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ore_Kiosk" sheetId="1" r:id="rId5"/>
    <sheet state="visible" name="Student_Profile_Display" sheetId="2" r:id="rId6"/>
    <sheet state="visible" name="Student_Portfolio_Display" sheetId="3" r:id="rId7"/>
    <sheet state="hidden" name="Imported_Students" sheetId="4" r:id="rId8"/>
    <sheet state="hidden" name="Imported_Transactions" sheetId="5" r:id="rId9"/>
    <sheet state="hidden" name="Imported_Attendance" sheetId="6" r:id="rId10"/>
    <sheet state="hidden" name="Imported_Stock_Portfolio" sheetId="7" r:id="rId11"/>
    <sheet state="hidden" name="Imported_Stock_Price_History" sheetId="8" r:id="rId12"/>
    <sheet state="hidden" name="Imported_Inventory" sheetId="9" r:id="rId13"/>
    <sheet state="hidden" name="Imported_Store" sheetId="10" r:id="rId14"/>
    <sheet state="visible" name="Stock_Trade" sheetId="11" r:id="rId15"/>
    <sheet state="visible" name="Stock_Profile" sheetId="12" r:id="rId16"/>
    <sheet state="visible" name="Stock_Forecast_Helper" sheetId="13" r:id="rId17"/>
    <sheet state="hidden" name="Imported_Stock_Ratings" sheetId="14" r:id="rId18"/>
    <sheet state="hidden" name="Imported_Stock_Market" sheetId="15" r:id="rId19"/>
    <sheet state="visible" name="Stock_Rating_Submit" sheetId="16" r:id="rId20"/>
    <sheet state="visible" name="Imported_Stock_News" sheetId="17" r:id="rId21"/>
    <sheet state="hidden" name="Imported_Stock_Financials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[scan card here]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Enter Stock Ticker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Enter Stock Ticker</t>
      </text>
    </comment>
  </commentList>
</comments>
</file>

<file path=xl/sharedStrings.xml><?xml version="1.0" encoding="utf-8"?>
<sst xmlns="http://schemas.openxmlformats.org/spreadsheetml/2006/main" count="144" uniqueCount="106">
  <si>
    <t>Classroom Store Kiosk</t>
  </si>
  <si>
    <t>1. Scan Student Card</t>
  </si>
  <si>
    <t>2. Store Item ID</t>
  </si>
  <si>
    <t>3. Quantity</t>
  </si>
  <si>
    <t>Result</t>
  </si>
  <si>
    <t>Enter Card ID, Item ID, and Quantity, then press Purchase.</t>
  </si>
  <si>
    <t>Available Store Items</t>
  </si>
  <si>
    <t>Item ID</t>
  </si>
  <si>
    <t>Item Name</t>
  </si>
  <si>
    <t>Price</t>
  </si>
  <si>
    <t>Inventory</t>
  </si>
  <si>
    <t>Category</t>
  </si>
  <si>
    <t>Description</t>
  </si>
  <si>
    <t>Student Profile</t>
  </si>
  <si>
    <t>Scan Student Card</t>
  </si>
  <si>
    <t>Scan student card to display profile.</t>
  </si>
  <si>
    <t>Item</t>
  </si>
  <si>
    <t>Quantity</t>
  </si>
  <si>
    <t>Total Spent</t>
  </si>
  <si>
    <t>Last Purchased</t>
  </si>
  <si>
    <t>Student Name</t>
  </si>
  <si>
    <t>Total Deposits</t>
  </si>
  <si>
    <t>Grade</t>
  </si>
  <si>
    <t>Total Withdrawals</t>
  </si>
  <si>
    <t>Homeroom</t>
  </si>
  <si>
    <t>Total Rewards</t>
  </si>
  <si>
    <t>Current Balance</t>
  </si>
  <si>
    <t>Total Fines</t>
  </si>
  <si>
    <t>Job Title</t>
  </si>
  <si>
    <t>Store Purchases</t>
  </si>
  <si>
    <t>Attendance Streak (Days)</t>
  </si>
  <si>
    <t>Recent Transactions</t>
  </si>
  <si>
    <t>Purchase History</t>
  </si>
  <si>
    <t>Date/Time</t>
  </si>
  <si>
    <t>Type</t>
  </si>
  <si>
    <t xml:space="preserve">Amount </t>
  </si>
  <si>
    <t xml:space="preserve">Ending Balance </t>
  </si>
  <si>
    <t>Note</t>
  </si>
  <si>
    <t>Amount</t>
  </si>
  <si>
    <t>Balance After</t>
  </si>
  <si>
    <t>Attendance History</t>
  </si>
  <si>
    <t>Rewards / Fines</t>
  </si>
  <si>
    <t>Checkin Time</t>
  </si>
  <si>
    <t>Status</t>
  </si>
  <si>
    <t xml:space="preserve"> Note</t>
  </si>
  <si>
    <t>Stock Portfolio</t>
  </si>
  <si>
    <t>Ticker</t>
  </si>
  <si>
    <t>Shares_Owned</t>
  </si>
  <si>
    <t>Avg_Buy_Price</t>
  </si>
  <si>
    <t>Total_Cost</t>
  </si>
  <si>
    <t>Last_Updated</t>
  </si>
  <si>
    <t>Student Stock Portfolio</t>
  </si>
  <si>
    <t>ae072910</t>
  </si>
  <si>
    <t>Scan a student card, then run Load Stock Portfolio.</t>
  </si>
  <si>
    <t>Shares Owned</t>
  </si>
  <si>
    <t>Avg Buy Price</t>
  </si>
  <si>
    <t>Current Price</t>
  </si>
  <si>
    <t>Market Value</t>
  </si>
  <si>
    <t>Unrealized Gain/Loss</t>
  </si>
  <si>
    <t>Last Updated</t>
  </si>
  <si>
    <t>Student Stock Trade</t>
  </si>
  <si>
    <t>Student Card ID</t>
  </si>
  <si>
    <t>Action</t>
  </si>
  <si>
    <t>Shares</t>
  </si>
  <si>
    <t>Suha Lee bought 1 shares of VRSE. Total: 122.24. New balance: 477.76</t>
  </si>
  <si>
    <t>Live Market Prices</t>
  </si>
  <si>
    <t>Company</t>
  </si>
  <si>
    <t>Sector</t>
  </si>
  <si>
    <t>Change %</t>
  </si>
  <si>
    <t>Change Amount</t>
  </si>
  <si>
    <t>Trend</t>
  </si>
  <si>
    <t>Asset Type</t>
  </si>
  <si>
    <t>Coupon Rate</t>
  </si>
  <si>
    <t>Stock Profile</t>
  </si>
  <si>
    <t>Enter Ticker</t>
  </si>
  <si>
    <t>Company Name</t>
  </si>
  <si>
    <t>Previous Price</t>
  </si>
  <si>
    <t>Volatility</t>
  </si>
  <si>
    <t>Active</t>
  </si>
  <si>
    <t>Latest News</t>
  </si>
  <si>
    <t>Timestamp</t>
  </si>
  <si>
    <t>Headline</t>
  </si>
  <si>
    <t>Body</t>
  </si>
  <si>
    <t>Financials</t>
  </si>
  <si>
    <t>Revenue</t>
  </si>
  <si>
    <t>Profit</t>
  </si>
  <si>
    <t>Debt</t>
  </si>
  <si>
    <t>Cash</t>
  </si>
  <si>
    <t>Growth_Rate</t>
  </si>
  <si>
    <t>Risk_Rating</t>
  </si>
  <si>
    <t>Notes</t>
  </si>
  <si>
    <t>Student Analyst Ratings</t>
  </si>
  <si>
    <t>Stock Forecast Helper</t>
  </si>
  <si>
    <t>Growth Rate</t>
  </si>
  <si>
    <t>Risk Rating</t>
  </si>
  <si>
    <t>Latest News Tone</t>
  </si>
  <si>
    <t>Suggested Direction</t>
  </si>
  <si>
    <t>Conservative Target</t>
  </si>
  <si>
    <t>Aggressive Target</t>
  </si>
  <si>
    <t>Student Note</t>
  </si>
  <si>
    <t>Use this as a guide, not an answer key. Strong financials improve odds, but prices can still move randomly.</t>
  </si>
  <si>
    <t>Stock Analyst Rating Submission</t>
  </si>
  <si>
    <t>Rating</t>
  </si>
  <si>
    <t>Target Price</t>
  </si>
  <si>
    <t>Reason</t>
  </si>
  <si>
    <t>Rating failed: Card ID, ticker, rating, target price, and reason are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</si>
</sst>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"/>
    <numFmt numFmtId="165" formatCode="M/d/yyyy"/>
    <numFmt numFmtId="166" formatCode="M/d/yyyy H:mm:ss"/>
    <numFmt numFmtId="167" formatCode="h:mm:ss am/pm"/>
    <numFmt numFmtId="168" formatCode="[$$]#,##0.00"/>
    <numFmt numFmtId="169" formatCode="[$$]#,##0"/>
    <numFmt numFmtId="170" formatCode="yyyy-mm-dd"/>
    <numFmt numFmtId="171" formatCode="yyyy-mm-dd hh:mm"/>
    <numFmt numFmtId="172" formatCode="yyyy-mm-dd hh:mm:ss"/>
    <numFmt numFmtId="173" formatCode="yyyy-mm-dd h:mm:ss"/>
    <numFmt numFmtId="174" formatCode="&quot;$&quot;#,##0.00"/>
    <numFmt numFmtId="175" formatCode="$0.00"/>
  </numFmts>
  <fonts count="22">
    <font>
      <sz val="10.0"/>
      <color rgb="FF000000"/>
      <name val="Arial"/>
      <scheme val="minor"/>
    </font>
    <font>
      <b/>
      <sz val="23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2CC"/>
      <name val="Calibri"/>
    </font>
    <font>
      <sz val="11.0"/>
      <color rgb="FFFFF2CC"/>
      <name val="Calibri"/>
    </font>
    <font>
      <b/>
      <sz val="11.0"/>
      <color theme="0"/>
      <name val="Calibri"/>
    </font>
    <font>
      <color theme="1"/>
      <name val="Arial"/>
      <scheme val="minor"/>
    </font>
    <font>
      <b/>
      <sz val="20.0"/>
      <color rgb="FFFFFFFF"/>
      <name val="Arial"/>
      <scheme val="minor"/>
    </font>
    <font>
      <b/>
      <color theme="1"/>
      <name val="Arial"/>
      <scheme val="minor"/>
    </font>
    <font>
      <sz val="11.0"/>
      <color theme="1"/>
      <name val="Carlito"/>
    </font>
    <font>
      <sz val="11.0"/>
      <color rgb="FF000000"/>
      <name val="Carlito"/>
    </font>
    <font>
      <b/>
      <color rgb="FFFFFFFF"/>
      <name val="Arial"/>
      <scheme val="minor"/>
    </font>
    <font>
      <sz val="11.0"/>
      <color rgb="FFC00000"/>
      <name val="Carlito"/>
    </font>
    <font>
      <sz val="11.0"/>
      <color rgb="FF008000"/>
      <name val="Carlito"/>
    </font>
    <font>
      <b/>
      <sz val="20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b/>
      <sz val="18.0"/>
      <color rgb="FFFFFFFF"/>
      <name val="Arial"/>
      <scheme val="minor"/>
    </font>
    <font>
      <color rgb="FFFFFFFF"/>
      <name val="Arial"/>
      <scheme val="minor"/>
    </font>
  </fonts>
  <fills count="73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8F0FE"/>
        <bgColor rgb="FFE8F0FE"/>
      </patternFill>
    </fill>
    <fill>
      <patternFill patternType="solid">
        <fgColor rgb="FFC1E4F5"/>
        <bgColor rgb="FFC1E4F5"/>
      </patternFill>
    </fill>
    <fill>
      <patternFill patternType="solid">
        <fgColor rgb="FFFEE0C9"/>
        <bgColor rgb="FFFEE0C9"/>
      </patternFill>
    </fill>
    <fill>
      <patternFill patternType="solid">
        <fgColor rgb="FFFFFFFF"/>
        <bgColor rgb="FFFFFFFF"/>
      </patternFill>
    </fill>
    <fill>
      <patternFill patternType="solid">
        <fgColor rgb="FFFEEEC8"/>
        <bgColor rgb="FFFEEEC8"/>
      </patternFill>
    </fill>
    <fill>
      <patternFill patternType="solid">
        <fgColor rgb="FFFCF3C9"/>
        <bgColor rgb="FFFCF3C9"/>
      </patternFill>
    </fill>
    <fill>
      <patternFill patternType="solid">
        <fgColor rgb="FFFEF1C8"/>
        <bgColor rgb="FFFEF1C8"/>
      </patternFill>
    </fill>
    <fill>
      <patternFill patternType="solid">
        <fgColor rgb="FFFEE6C8"/>
        <bgColor rgb="FFFEE6C8"/>
      </patternFill>
    </fill>
    <fill>
      <patternFill patternType="solid">
        <fgColor rgb="FFFEDAC9"/>
        <bgColor rgb="FFFEDAC9"/>
      </patternFill>
    </fill>
    <fill>
      <patternFill patternType="solid">
        <fgColor rgb="FFDCFCE7"/>
        <bgColor rgb="FFDCFCE7"/>
      </patternFill>
    </fill>
    <fill>
      <patternFill patternType="solid">
        <fgColor rgb="FFEFF7D5"/>
        <bgColor rgb="FFEFF7D5"/>
      </patternFill>
    </fill>
    <fill>
      <patternFill patternType="solid">
        <fgColor rgb="FFFECFCA"/>
        <bgColor rgb="FFFECFCA"/>
      </patternFill>
    </fill>
    <fill>
      <patternFill patternType="solid">
        <fgColor rgb="FFFEE4C9"/>
        <bgColor rgb="FFFEE4C9"/>
      </patternFill>
    </fill>
    <fill>
      <patternFill patternType="solid">
        <fgColor rgb="FFFEEAC8"/>
        <bgColor rgb="FFFEEAC8"/>
      </patternFill>
    </fill>
    <fill>
      <patternFill patternType="solid">
        <fgColor rgb="FFFEDCC9"/>
        <bgColor rgb="FFFEDCC9"/>
      </patternFill>
    </fill>
    <fill>
      <patternFill patternType="solid">
        <fgColor rgb="FFFEECC8"/>
        <bgColor rgb="FFFEECC8"/>
      </patternFill>
    </fill>
    <fill>
      <patternFill patternType="solid">
        <fgColor rgb="FFECF7D8"/>
        <bgColor rgb="FFECF7D8"/>
      </patternFill>
    </fill>
    <fill>
      <patternFill patternType="solid">
        <fgColor rgb="FFFED8C9"/>
        <bgColor rgb="FFFED8C9"/>
      </patternFill>
    </fill>
    <fill>
      <patternFill patternType="solid">
        <fgColor rgb="FFE8F9DC"/>
        <bgColor rgb="FFE8F9DC"/>
      </patternFill>
    </fill>
    <fill>
      <patternFill patternType="solid">
        <fgColor rgb="FFFECACA"/>
        <bgColor rgb="FFFECACA"/>
      </patternFill>
    </fill>
    <fill>
      <patternFill patternType="solid">
        <fgColor rgb="FFF2F6D2"/>
        <bgColor rgb="FFF2F6D2"/>
      </patternFill>
    </fill>
    <fill>
      <patternFill patternType="solid">
        <fgColor rgb="FFFAF4CB"/>
        <bgColor rgb="FFFAF4CB"/>
      </patternFill>
    </fill>
    <fill>
      <patternFill patternType="solid">
        <fgColor rgb="FFF8F4CD"/>
        <bgColor rgb="FFF8F4CD"/>
      </patternFill>
    </fill>
    <fill>
      <patternFill patternType="solid">
        <fgColor rgb="FFE2FAE1"/>
        <bgColor rgb="FFE2FAE1"/>
      </patternFill>
    </fill>
    <fill>
      <patternFill patternType="solid">
        <fgColor rgb="FFF7F5CE"/>
        <bgColor rgb="FFF7F5CE"/>
      </patternFill>
    </fill>
    <fill>
      <patternFill patternType="solid">
        <fgColor rgb="FFFEDDC9"/>
        <bgColor rgb="FFFEDDC9"/>
      </patternFill>
    </fill>
    <fill>
      <patternFill patternType="solid">
        <fgColor rgb="FFE9F8DB"/>
        <bgColor rgb="FFE9F8DB"/>
      </patternFill>
    </fill>
    <fill>
      <patternFill patternType="solid">
        <fgColor rgb="FFF5F5D0"/>
        <bgColor rgb="FFF5F5D0"/>
      </patternFill>
    </fill>
    <fill>
      <patternFill patternType="solid">
        <fgColor rgb="FFFEEFC8"/>
        <bgColor rgb="FFFEEFC8"/>
      </patternFill>
    </fill>
    <fill>
      <patternFill patternType="solid">
        <fgColor rgb="FFFEF3C7"/>
        <bgColor rgb="FFFEF3C7"/>
      </patternFill>
    </fill>
    <fill>
      <patternFill patternType="solid">
        <fgColor rgb="FFEBF8D9"/>
        <bgColor rgb="FFEBF8D9"/>
      </patternFill>
    </fill>
    <fill>
      <patternFill patternType="solid">
        <fgColor rgb="FFE2FAE2"/>
        <bgColor rgb="FFE2FAE2"/>
      </patternFill>
    </fill>
    <fill>
      <patternFill patternType="solid">
        <fgColor rgb="FFE1FAE2"/>
        <bgColor rgb="FFE1FAE2"/>
      </patternFill>
    </fill>
    <fill>
      <patternFill patternType="solid">
        <fgColor rgb="FFF2F6D3"/>
        <bgColor rgb="FFF2F6D3"/>
      </patternFill>
    </fill>
    <fill>
      <patternFill patternType="solid">
        <fgColor rgb="FFEDF7D7"/>
        <bgColor rgb="FFEDF7D7"/>
      </patternFill>
    </fill>
    <fill>
      <patternFill patternType="solid">
        <fgColor rgb="FFFBF3CA"/>
        <bgColor rgb="FFFBF3CA"/>
      </patternFill>
    </fill>
    <fill>
      <patternFill patternType="solid">
        <fgColor rgb="FFF9F4CB"/>
        <bgColor rgb="FFF9F4CB"/>
      </patternFill>
    </fill>
    <fill>
      <patternFill patternType="solid">
        <fgColor rgb="FFFED6CA"/>
        <bgColor rgb="FFFED6CA"/>
      </patternFill>
    </fill>
    <fill>
      <patternFill patternType="solid">
        <fgColor rgb="FFFCF3C8"/>
        <bgColor rgb="FFFCF3C8"/>
      </patternFill>
    </fill>
    <fill>
      <patternFill patternType="solid">
        <fgColor rgb="FFFED4CA"/>
        <bgColor rgb="FFFED4CA"/>
      </patternFill>
    </fill>
    <fill>
      <patternFill patternType="solid">
        <fgColor rgb="FFF3F5D1"/>
        <bgColor rgb="FFF3F5D1"/>
      </patternFill>
    </fill>
    <fill>
      <patternFill patternType="solid">
        <fgColor rgb="FFFEE1C9"/>
        <bgColor rgb="FFFEE1C9"/>
      </patternFill>
    </fill>
    <fill>
      <patternFill patternType="solid">
        <fgColor rgb="FFF4F5D1"/>
        <bgColor rgb="FFF4F5D1"/>
      </patternFill>
    </fill>
    <fill>
      <patternFill patternType="solid">
        <fgColor rgb="FFFDF3C8"/>
        <bgColor rgb="FFFDF3C8"/>
      </patternFill>
    </fill>
    <fill>
      <patternFill patternType="solid">
        <fgColor rgb="FFFEF2C8"/>
        <bgColor rgb="FFFEF2C8"/>
      </patternFill>
    </fill>
    <fill>
      <patternFill patternType="solid">
        <fgColor rgb="FFFEDEC9"/>
        <bgColor rgb="FFFEDEC9"/>
      </patternFill>
    </fill>
    <fill>
      <patternFill patternType="solid">
        <fgColor rgb="FFFEDFC9"/>
        <bgColor rgb="FFFEDFC9"/>
      </patternFill>
    </fill>
    <fill>
      <patternFill patternType="solid">
        <fgColor rgb="FFFECBCA"/>
        <bgColor rgb="FFFECBCA"/>
      </patternFill>
    </fill>
    <fill>
      <patternFill patternType="solid">
        <fgColor rgb="FFF4F5D0"/>
        <bgColor rgb="FFF4F5D0"/>
      </patternFill>
    </fill>
    <fill>
      <patternFill patternType="solid">
        <fgColor rgb="FFFEEDC8"/>
        <bgColor rgb="FFFEEDC8"/>
      </patternFill>
    </fill>
    <fill>
      <patternFill patternType="solid">
        <fgColor rgb="FFECF8D8"/>
        <bgColor rgb="FFECF8D8"/>
      </patternFill>
    </fill>
    <fill>
      <patternFill patternType="solid">
        <fgColor rgb="FFEAF8D9"/>
        <bgColor rgb="FFEAF8D9"/>
      </patternFill>
    </fill>
    <fill>
      <patternFill patternType="solid">
        <fgColor rgb="FFE8F8DB"/>
        <bgColor rgb="FFE8F8DB"/>
      </patternFill>
    </fill>
    <fill>
      <patternFill patternType="solid">
        <fgColor rgb="FFFEEBC8"/>
        <bgColor rgb="FFFEEBC8"/>
      </patternFill>
    </fill>
    <fill>
      <patternFill patternType="solid">
        <fgColor rgb="FFFEF0C8"/>
        <bgColor rgb="FFFEF0C8"/>
      </patternFill>
    </fill>
    <fill>
      <patternFill patternType="solid">
        <fgColor rgb="FFF7F4CD"/>
        <bgColor rgb="FFF7F4CD"/>
      </patternFill>
    </fill>
    <fill>
      <patternFill patternType="solid">
        <fgColor rgb="FFFED2CA"/>
        <bgColor rgb="FFFED2CA"/>
      </patternFill>
    </fill>
    <fill>
      <patternFill patternType="solid">
        <fgColor rgb="FFFED3CA"/>
        <bgColor rgb="FFFED3CA"/>
      </patternFill>
    </fill>
    <fill>
      <patternFill patternType="solid">
        <fgColor rgb="FFF6F5CF"/>
        <bgColor rgb="FFF6F5CF"/>
      </patternFill>
    </fill>
    <fill>
      <patternFill patternType="solid">
        <fgColor rgb="FFFEE3C9"/>
        <bgColor rgb="FFFEE3C9"/>
      </patternFill>
    </fill>
    <fill>
      <patternFill patternType="solid">
        <fgColor rgb="FFF1F6D3"/>
        <bgColor rgb="FFF1F6D3"/>
      </patternFill>
    </fill>
    <fill>
      <patternFill patternType="solid">
        <fgColor rgb="FFE7F9DD"/>
        <bgColor rgb="FFE7F9DD"/>
      </patternFill>
    </fill>
    <fill>
      <patternFill patternType="solid">
        <fgColor rgb="FFFEE9C8"/>
        <bgColor rgb="FFFEE9C8"/>
      </patternFill>
    </fill>
    <fill>
      <patternFill patternType="solid">
        <fgColor rgb="FFF6F5CE"/>
        <bgColor rgb="FFF6F5CE"/>
      </patternFill>
    </fill>
    <fill>
      <patternFill patternType="solid">
        <fgColor rgb="FFFEE7C8"/>
        <bgColor rgb="FFFEE7C8"/>
      </patternFill>
    </fill>
    <fill>
      <patternFill patternType="solid">
        <fgColor rgb="FFEFF7D6"/>
        <bgColor rgb="FFEFF7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vertical="center"/>
    </xf>
    <xf borderId="0" fillId="3" fontId="2" numFmtId="49" xfId="0" applyAlignment="1" applyFill="1" applyFont="1" applyNumberFormat="1">
      <alignment horizontal="left"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164" xfId="0" applyAlignment="1" applyFont="1" applyNumberFormat="1">
      <alignment horizontal="left" readingOrder="0" vertical="center"/>
    </xf>
    <xf borderId="0" fillId="4" fontId="2" numFmtId="0" xfId="0" applyAlignment="1" applyFill="1" applyFont="1">
      <alignment horizontal="left" readingOrder="0" vertical="center"/>
    </xf>
    <xf borderId="0" fillId="4" fontId="3" numFmtId="0" xfId="0" applyFont="1"/>
    <xf borderId="0" fillId="2" fontId="2" numFmtId="49" xfId="0" applyAlignment="1" applyFont="1" applyNumberFormat="1">
      <alignment readingOrder="0"/>
    </xf>
    <xf borderId="1" fillId="5" fontId="4" numFmtId="0" xfId="0" applyAlignment="1" applyBorder="1" applyFill="1" applyFont="1">
      <alignment readingOrder="0"/>
    </xf>
    <xf borderId="0" fillId="4" fontId="3" numFmtId="0" xfId="0" applyAlignment="1" applyFont="1">
      <alignment readingOrder="0"/>
    </xf>
    <xf borderId="0" fillId="4" fontId="3" numFmtId="164" xfId="0" applyFont="1" applyNumberFormat="1"/>
    <xf borderId="0" fillId="4" fontId="2" numFmtId="0" xfId="0" applyAlignment="1" applyFont="1">
      <alignment readingOrder="0"/>
    </xf>
    <xf borderId="0" fillId="4" fontId="5" numFmtId="49" xfId="0" applyAlignment="1" applyFont="1" applyNumberFormat="1">
      <alignment readingOrder="0"/>
    </xf>
    <xf borderId="1" fillId="5" fontId="3" numFmtId="0" xfId="0" applyAlignment="1" applyBorder="1" applyFont="1">
      <alignment horizontal="left" readingOrder="0"/>
    </xf>
    <xf borderId="0" fillId="4" fontId="3" numFmtId="164" xfId="0" applyAlignment="1" applyFont="1" applyNumberFormat="1">
      <alignment horizontal="left"/>
    </xf>
    <xf borderId="0" fillId="4" fontId="3" numFmtId="0" xfId="0" applyAlignment="1" applyFont="1">
      <alignment horizontal="left"/>
    </xf>
    <xf borderId="0" fillId="4" fontId="3" numFmtId="3" xfId="0" applyAlignment="1" applyFont="1" applyNumberFormat="1">
      <alignment horizontal="left"/>
    </xf>
    <xf borderId="0" fillId="4" fontId="3" numFmtId="165" xfId="0" applyAlignment="1" applyFont="1" applyNumberFormat="1">
      <alignment horizontal="left"/>
    </xf>
    <xf borderId="0" fillId="4" fontId="3" numFmtId="3" xfId="0" applyFont="1" applyNumberFormat="1"/>
    <xf borderId="0" fillId="4" fontId="3" numFmtId="165" xfId="0" applyFont="1" applyNumberFormat="1"/>
    <xf borderId="0" fillId="4" fontId="2" numFmtId="49" xfId="0" applyAlignment="1" applyFont="1" applyNumberFormat="1">
      <alignment readingOrder="0"/>
    </xf>
    <xf borderId="0" fillId="4" fontId="4" numFmtId="164" xfId="0" applyAlignment="1" applyFont="1" applyNumberFormat="1">
      <alignment horizontal="left" readingOrder="0"/>
    </xf>
    <xf borderId="0" fillId="4" fontId="6" numFmtId="0" xfId="0" applyAlignment="1" applyFont="1">
      <alignment readingOrder="0"/>
    </xf>
    <xf borderId="0" fillId="4" fontId="7" numFmtId="164" xfId="0" applyAlignment="1" applyFont="1" applyNumberFormat="1">
      <alignment horizontal="left"/>
    </xf>
    <xf borderId="0" fillId="6" fontId="3" numFmtId="49" xfId="0" applyAlignment="1" applyFill="1" applyFont="1" applyNumberFormat="1">
      <alignment horizontal="center" readingOrder="0"/>
    </xf>
    <xf borderId="0" fillId="6" fontId="3" numFmtId="0" xfId="0" applyAlignment="1" applyFont="1">
      <alignment horizontal="left" readingOrder="0"/>
    </xf>
    <xf borderId="0" fillId="6" fontId="3" numFmtId="164" xfId="0" applyAlignment="1" applyFont="1" applyNumberFormat="1">
      <alignment horizontal="left" readingOrder="0"/>
    </xf>
    <xf borderId="0" fillId="6" fontId="3" numFmtId="3" xfId="0" applyAlignment="1" applyFont="1" applyNumberFormat="1">
      <alignment horizontal="left" readingOrder="0"/>
    </xf>
    <xf borderId="0" fillId="4" fontId="3" numFmtId="49" xfId="0" applyAlignment="1" applyFont="1" applyNumberFormat="1">
      <alignment horizontal="center"/>
    </xf>
    <xf borderId="0" fillId="4" fontId="3" numFmtId="0" xfId="0" applyAlignment="1" applyFont="1">
      <alignment horizontal="left" shrinkToFit="0" wrapText="0"/>
    </xf>
    <xf borderId="0" fillId="4" fontId="3" numFmtId="166" xfId="0" applyAlignment="1" applyFont="1" applyNumberFormat="1">
      <alignment horizontal="left"/>
    </xf>
    <xf borderId="0" fillId="2" fontId="1" numFmtId="0" xfId="0" applyAlignment="1" applyFont="1">
      <alignment horizontal="left" readingOrder="0" vertical="center"/>
    </xf>
    <xf borderId="0" fillId="2" fontId="8" numFmtId="0" xfId="0" applyAlignment="1" applyFont="1">
      <alignment readingOrder="0"/>
    </xf>
    <xf borderId="0" fillId="5" fontId="9" numFmtId="0" xfId="0" applyAlignment="1" applyFont="1">
      <alignment readingOrder="0"/>
    </xf>
    <xf borderId="0" fillId="2" fontId="2" numFmtId="0" xfId="0" applyAlignment="1" applyFont="1">
      <alignment readingOrder="0"/>
    </xf>
    <xf borderId="0" fillId="4" fontId="5" numFmtId="0" xfId="0" applyAlignment="1" applyFont="1">
      <alignment readingOrder="0"/>
    </xf>
    <xf borderId="0" fillId="6" fontId="3" numFmtId="0" xfId="0" applyAlignment="1" applyFont="1">
      <alignment readingOrder="0"/>
    </xf>
    <xf borderId="0" fillId="4" fontId="3" numFmtId="164" xfId="0" applyAlignment="1" applyFont="1" applyNumberFormat="1">
      <alignment horizontal="left"/>
    </xf>
    <xf borderId="0" fillId="4" fontId="3" numFmtId="167" xfId="0" applyAlignment="1" applyFont="1" applyNumberFormat="1">
      <alignment horizontal="left"/>
    </xf>
    <xf borderId="0" fillId="4" fontId="3" numFmtId="4" xfId="0" applyAlignment="1" applyFont="1" applyNumberFormat="1">
      <alignment horizontal="left"/>
    </xf>
    <xf borderId="0" fillId="4" fontId="3" numFmtId="4" xfId="0" applyFont="1" applyNumberFormat="1"/>
    <xf borderId="0" fillId="4" fontId="3" numFmtId="164" xfId="0" applyAlignment="1" applyFont="1" applyNumberFormat="1">
      <alignment horizontal="left" readingOrder="0"/>
    </xf>
    <xf borderId="0" fillId="2" fontId="3" numFmtId="166" xfId="0" applyAlignment="1" applyFont="1" applyNumberFormat="1">
      <alignment horizontal="left"/>
    </xf>
    <xf borderId="0" fillId="2" fontId="3" numFmtId="4" xfId="0" applyAlignment="1" applyFont="1" applyNumberFormat="1">
      <alignment horizontal="left"/>
    </xf>
    <xf borderId="0" fillId="2" fontId="3" numFmtId="164" xfId="0" applyAlignment="1" applyFont="1" applyNumberFormat="1">
      <alignment horizontal="left"/>
    </xf>
    <xf borderId="0" fillId="6" fontId="4" numFmtId="166" xfId="0" applyAlignment="1" applyFont="1" applyNumberFormat="1">
      <alignment vertical="bottom"/>
    </xf>
    <xf borderId="0" fillId="6" fontId="4" numFmtId="165" xfId="0" applyAlignment="1" applyFont="1" applyNumberFormat="1">
      <alignment vertical="bottom"/>
    </xf>
    <xf borderId="0" fillId="6" fontId="4" numFmtId="4" xfId="0" applyAlignment="1" applyFont="1" applyNumberFormat="1">
      <alignment vertical="bottom"/>
    </xf>
    <xf borderId="0" fillId="6" fontId="4" numFmtId="4" xfId="0" applyFont="1" applyNumberFormat="1"/>
    <xf borderId="0" fillId="6" fontId="4" numFmtId="166" xfId="0" applyAlignment="1" applyFont="1" applyNumberFormat="1">
      <alignment horizontal="left"/>
    </xf>
    <xf borderId="0" fillId="6" fontId="4" numFmtId="4" xfId="0" applyAlignment="1" applyFont="1" applyNumberFormat="1">
      <alignment horizontal="left"/>
    </xf>
    <xf borderId="0" fillId="6" fontId="4" numFmtId="164" xfId="0" applyAlignment="1" applyFont="1" applyNumberFormat="1">
      <alignment horizontal="left"/>
    </xf>
    <xf borderId="0" fillId="4" fontId="4" numFmtId="166" xfId="0" applyAlignment="1" applyFont="1" applyNumberFormat="1">
      <alignment vertical="bottom"/>
    </xf>
    <xf borderId="0" fillId="4" fontId="4" numFmtId="165" xfId="0" applyAlignment="1" applyFont="1" applyNumberFormat="1">
      <alignment vertical="bottom"/>
    </xf>
    <xf borderId="0" fillId="4" fontId="4" numFmtId="4" xfId="0" applyAlignment="1" applyFont="1" applyNumberFormat="1">
      <alignment vertical="bottom"/>
    </xf>
    <xf borderId="0" fillId="4" fontId="4" numFmtId="4" xfId="0" applyFont="1" applyNumberFormat="1"/>
    <xf borderId="0" fillId="4" fontId="4" numFmtId="166" xfId="0" applyAlignment="1" applyFont="1" applyNumberFormat="1">
      <alignment horizontal="left"/>
    </xf>
    <xf borderId="0" fillId="4" fontId="4" numFmtId="4" xfId="0" applyAlignment="1" applyFont="1" applyNumberFormat="1">
      <alignment horizontal="left"/>
    </xf>
    <xf borderId="0" fillId="4" fontId="4" numFmtId="164" xfId="0" applyAlignment="1" applyFont="1" applyNumberFormat="1">
      <alignment horizontal="left"/>
    </xf>
    <xf borderId="0" fillId="2" fontId="10" numFmtId="0" xfId="0" applyAlignment="1" applyFont="1">
      <alignment readingOrder="0"/>
    </xf>
    <xf borderId="0" fillId="0" fontId="9" numFmtId="168" xfId="0" applyFont="1" applyNumberFormat="1"/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1" numFmtId="0" xfId="0" applyFont="1"/>
    <xf borderId="0" fillId="7" fontId="9" numFmtId="0" xfId="0" applyAlignment="1" applyFill="1" applyFont="1">
      <alignment readingOrder="0"/>
    </xf>
    <xf borderId="0" fillId="7" fontId="9" numFmtId="168" xfId="0" applyFont="1" applyNumberFormat="1"/>
    <xf borderId="0" fillId="7" fontId="9" numFmtId="0" xfId="0" applyFont="1"/>
    <xf borderId="0" fillId="7" fontId="11" numFmtId="0" xfId="0" applyAlignment="1" applyFont="1">
      <alignment readingOrder="0"/>
    </xf>
    <xf borderId="0" fillId="7" fontId="11" numFmtId="168" xfId="0" applyAlignment="1" applyFont="1" applyNumberFormat="1">
      <alignment readingOrder="0"/>
    </xf>
    <xf borderId="0" fillId="8" fontId="12" numFmtId="0" xfId="0" applyAlignment="1" applyFill="1" applyFont="1">
      <alignment vertical="bottom"/>
    </xf>
    <xf borderId="0" fillId="8" fontId="12" numFmtId="168" xfId="0" applyAlignment="1" applyFont="1" applyNumberFormat="1">
      <alignment vertical="bottom"/>
    </xf>
    <xf borderId="0" fillId="8" fontId="12" numFmtId="168" xfId="0" applyAlignment="1" applyFont="1" applyNumberFormat="1">
      <alignment horizontal="right" vertical="bottom"/>
    </xf>
    <xf borderId="0" fillId="8" fontId="12" numFmtId="168" xfId="0" applyAlignment="1" applyFont="1" applyNumberFormat="1">
      <alignment horizontal="right" readingOrder="0" vertical="bottom"/>
    </xf>
    <xf borderId="0" fillId="9" fontId="12" numFmtId="10" xfId="0" applyAlignment="1" applyFill="1" applyFont="1" applyNumberFormat="1">
      <alignment horizontal="right" vertical="bottom"/>
    </xf>
    <xf borderId="0" fillId="8" fontId="13" numFmtId="166" xfId="0" applyAlignment="1" applyFont="1" applyNumberFormat="1">
      <alignment horizontal="right" vertical="bottom"/>
    </xf>
    <xf borderId="0" fillId="10" fontId="12" numFmtId="0" xfId="0" applyAlignment="1" applyFill="1" applyFont="1">
      <alignment vertical="bottom"/>
    </xf>
    <xf borderId="0" fillId="10" fontId="12" numFmtId="168" xfId="0" applyAlignment="1" applyFont="1" applyNumberFormat="1">
      <alignment vertical="bottom"/>
    </xf>
    <xf borderId="0" fillId="10" fontId="12" numFmtId="168" xfId="0" applyAlignment="1" applyFont="1" applyNumberFormat="1">
      <alignment horizontal="right" vertical="bottom"/>
    </xf>
    <xf borderId="0" fillId="11" fontId="12" numFmtId="10" xfId="0" applyAlignment="1" applyFill="1" applyFont="1" applyNumberFormat="1">
      <alignment horizontal="right" vertical="bottom"/>
    </xf>
    <xf borderId="0" fillId="10" fontId="13" numFmtId="166" xfId="0" applyAlignment="1" applyFont="1" applyNumberFormat="1">
      <alignment horizontal="right" vertical="bottom"/>
    </xf>
    <xf borderId="0" fillId="12" fontId="12" numFmtId="10" xfId="0" applyAlignment="1" applyFill="1" applyFont="1" applyNumberFormat="1">
      <alignment horizontal="right" vertical="bottom"/>
    </xf>
    <xf borderId="0" fillId="13" fontId="12" numFmtId="10" xfId="0" applyAlignment="1" applyFill="1" applyFont="1" applyNumberFormat="1">
      <alignment horizontal="right" vertical="bottom"/>
    </xf>
    <xf borderId="0" fillId="14" fontId="12" numFmtId="10" xfId="0" applyAlignment="1" applyFill="1" applyFont="1" applyNumberFormat="1">
      <alignment horizontal="right" vertical="bottom"/>
    </xf>
    <xf borderId="0" fillId="15" fontId="12" numFmtId="10" xfId="0" applyAlignment="1" applyFill="1" applyFont="1" applyNumberFormat="1">
      <alignment horizontal="right" vertical="bottom"/>
    </xf>
    <xf borderId="0" fillId="16" fontId="12" numFmtId="10" xfId="0" applyAlignment="1" applyFill="1" applyFont="1" applyNumberFormat="1">
      <alignment horizontal="right" vertical="bottom"/>
    </xf>
    <xf borderId="0" fillId="17" fontId="12" numFmtId="10" xfId="0" applyAlignment="1" applyFill="1" applyFont="1" applyNumberFormat="1">
      <alignment horizontal="right" vertical="bottom"/>
    </xf>
    <xf borderId="0" fillId="18" fontId="12" numFmtId="10" xfId="0" applyAlignment="1" applyFill="1" applyFont="1" applyNumberFormat="1">
      <alignment horizontal="right" vertical="bottom"/>
    </xf>
    <xf borderId="0" fillId="19" fontId="12" numFmtId="10" xfId="0" applyAlignment="1" applyFill="1" applyFont="1" applyNumberFormat="1">
      <alignment horizontal="right" vertical="bottom"/>
    </xf>
    <xf borderId="0" fillId="20" fontId="12" numFmtId="10" xfId="0" applyAlignment="1" applyFill="1" applyFont="1" applyNumberFormat="1">
      <alignment horizontal="right" vertical="bottom"/>
    </xf>
    <xf borderId="0" fillId="21" fontId="12" numFmtId="10" xfId="0" applyAlignment="1" applyFill="1" applyFont="1" applyNumberFormat="1">
      <alignment horizontal="right" vertical="bottom"/>
    </xf>
    <xf borderId="0" fillId="22" fontId="12" numFmtId="10" xfId="0" applyAlignment="1" applyFill="1" applyFont="1" applyNumberFormat="1">
      <alignment horizontal="right" vertical="bottom"/>
    </xf>
    <xf borderId="0" fillId="23" fontId="12" numFmtId="10" xfId="0" applyAlignment="1" applyFill="1" applyFont="1" applyNumberFormat="1">
      <alignment horizontal="right" vertical="bottom"/>
    </xf>
    <xf borderId="0" fillId="24" fontId="12" numFmtId="10" xfId="0" applyAlignment="1" applyFill="1" applyFont="1" applyNumberFormat="1">
      <alignment horizontal="right" vertical="bottom"/>
    </xf>
    <xf borderId="0" fillId="25" fontId="12" numFmtId="10" xfId="0" applyAlignment="1" applyFill="1" applyFont="1" applyNumberFormat="1">
      <alignment horizontal="right" vertical="bottom"/>
    </xf>
    <xf borderId="0" fillId="26" fontId="12" numFmtId="10" xfId="0" applyAlignment="1" applyFill="1" applyFont="1" applyNumberFormat="1">
      <alignment horizontal="right" vertical="bottom"/>
    </xf>
    <xf borderId="0" fillId="27" fontId="12" numFmtId="10" xfId="0" applyAlignment="1" applyFill="1" applyFont="1" applyNumberFormat="1">
      <alignment horizontal="right" vertical="bottom"/>
    </xf>
    <xf borderId="0" fillId="28" fontId="12" numFmtId="10" xfId="0" applyAlignment="1" applyFill="1" applyFont="1" applyNumberFormat="1">
      <alignment horizontal="right" vertical="bottom"/>
    </xf>
    <xf borderId="0" fillId="29" fontId="12" numFmtId="10" xfId="0" applyAlignment="1" applyFill="1" applyFont="1" applyNumberFormat="1">
      <alignment horizontal="right" vertical="bottom"/>
    </xf>
    <xf borderId="0" fillId="30" fontId="12" numFmtId="10" xfId="0" applyAlignment="1" applyFill="1" applyFont="1" applyNumberFormat="1">
      <alignment horizontal="right" vertical="bottom"/>
    </xf>
    <xf borderId="0" fillId="31" fontId="12" numFmtId="10" xfId="0" applyAlignment="1" applyFill="1" applyFont="1" applyNumberFormat="1">
      <alignment horizontal="right" vertical="bottom"/>
    </xf>
    <xf borderId="0" fillId="32" fontId="12" numFmtId="10" xfId="0" applyAlignment="1" applyFill="1" applyFont="1" applyNumberFormat="1">
      <alignment horizontal="right" vertical="bottom"/>
    </xf>
    <xf borderId="0" fillId="33" fontId="12" numFmtId="10" xfId="0" applyAlignment="1" applyFill="1" applyFont="1" applyNumberFormat="1">
      <alignment horizontal="right" vertical="bottom"/>
    </xf>
    <xf borderId="0" fillId="34" fontId="12" numFmtId="10" xfId="0" applyAlignment="1" applyFill="1" applyFont="1" applyNumberFormat="1">
      <alignment horizontal="right" vertical="bottom"/>
    </xf>
    <xf borderId="0" fillId="35" fontId="12" numFmtId="10" xfId="0" applyAlignment="1" applyFill="1" applyFont="1" applyNumberFormat="1">
      <alignment horizontal="right" vertical="bottom"/>
    </xf>
    <xf borderId="0" fillId="36" fontId="12" numFmtId="10" xfId="0" applyAlignment="1" applyFill="1" applyFont="1" applyNumberFormat="1">
      <alignment horizontal="right" vertical="bottom"/>
    </xf>
    <xf borderId="0" fillId="37" fontId="12" numFmtId="10" xfId="0" applyAlignment="1" applyFill="1" applyFont="1" applyNumberFormat="1">
      <alignment horizontal="right" vertical="bottom"/>
    </xf>
    <xf borderId="0" fillId="38" fontId="12" numFmtId="10" xfId="0" applyAlignment="1" applyFill="1" applyFont="1" applyNumberFormat="1">
      <alignment horizontal="right" vertical="bottom"/>
    </xf>
    <xf borderId="0" fillId="39" fontId="12" numFmtId="10" xfId="0" applyAlignment="1" applyFill="1" applyFont="1" applyNumberFormat="1">
      <alignment horizontal="right" vertical="bottom"/>
    </xf>
    <xf borderId="0" fillId="40" fontId="12" numFmtId="10" xfId="0" applyAlignment="1" applyFill="1" applyFont="1" applyNumberFormat="1">
      <alignment horizontal="right" vertical="bottom"/>
    </xf>
    <xf borderId="0" fillId="41" fontId="12" numFmtId="10" xfId="0" applyAlignment="1" applyFill="1" applyFont="1" applyNumberFormat="1">
      <alignment horizontal="right" vertical="bottom"/>
    </xf>
    <xf borderId="0" fillId="42" fontId="12" numFmtId="10" xfId="0" applyAlignment="1" applyFill="1" applyFont="1" applyNumberFormat="1">
      <alignment horizontal="right" vertical="bottom"/>
    </xf>
    <xf borderId="0" fillId="43" fontId="12" numFmtId="10" xfId="0" applyAlignment="1" applyFill="1" applyFont="1" applyNumberFormat="1">
      <alignment horizontal="right" vertical="bottom"/>
    </xf>
    <xf borderId="0" fillId="44" fontId="12" numFmtId="10" xfId="0" applyAlignment="1" applyFill="1" applyFont="1" applyNumberFormat="1">
      <alignment horizontal="right" vertical="bottom"/>
    </xf>
    <xf borderId="0" fillId="45" fontId="12" numFmtId="10" xfId="0" applyAlignment="1" applyFill="1" applyFont="1" applyNumberFormat="1">
      <alignment horizontal="right" vertical="bottom"/>
    </xf>
    <xf borderId="0" fillId="46" fontId="12" numFmtId="10" xfId="0" applyAlignment="1" applyFill="1" applyFont="1" applyNumberFormat="1">
      <alignment horizontal="right" vertical="bottom"/>
    </xf>
    <xf borderId="0" fillId="47" fontId="12" numFmtId="10" xfId="0" applyAlignment="1" applyFill="1" applyFont="1" applyNumberFormat="1">
      <alignment horizontal="right" vertical="bottom"/>
    </xf>
    <xf borderId="0" fillId="48" fontId="12" numFmtId="10" xfId="0" applyAlignment="1" applyFill="1" applyFont="1" applyNumberFormat="1">
      <alignment horizontal="right" vertical="bottom"/>
    </xf>
    <xf borderId="0" fillId="49" fontId="12" numFmtId="10" xfId="0" applyAlignment="1" applyFill="1" applyFont="1" applyNumberFormat="1">
      <alignment horizontal="right" vertical="bottom"/>
    </xf>
    <xf borderId="0" fillId="50" fontId="12" numFmtId="10" xfId="0" applyAlignment="1" applyFill="1" applyFont="1" applyNumberFormat="1">
      <alignment horizontal="right" vertical="bottom"/>
    </xf>
    <xf borderId="0" fillId="51" fontId="12" numFmtId="10" xfId="0" applyAlignment="1" applyFill="1" applyFont="1" applyNumberFormat="1">
      <alignment horizontal="right" vertical="bottom"/>
    </xf>
    <xf borderId="0" fillId="10" fontId="13" numFmtId="168" xfId="0" applyAlignment="1" applyFont="1" applyNumberFormat="1">
      <alignment horizontal="right" vertical="bottom"/>
    </xf>
    <xf borderId="0" fillId="8" fontId="13" numFmtId="168" xfId="0" applyAlignment="1" applyFont="1" applyNumberFormat="1">
      <alignment horizontal="right" vertical="bottom"/>
    </xf>
    <xf borderId="0" fillId="0" fontId="9" numFmtId="0" xfId="0" applyFont="1"/>
    <xf borderId="0" fillId="0" fontId="9" numFmtId="169" xfId="0" applyFont="1" applyNumberFormat="1"/>
    <xf borderId="0" fillId="0" fontId="9" numFmtId="166" xfId="0" applyFont="1" applyNumberFormat="1"/>
    <xf borderId="0" fillId="0" fontId="9" numFmtId="3" xfId="0" applyFont="1" applyNumberFormat="1"/>
    <xf borderId="0" fillId="0" fontId="9" numFmtId="170" xfId="0" applyFont="1" applyNumberFormat="1"/>
    <xf borderId="0" fillId="0" fontId="9" numFmtId="171" xfId="0" applyFont="1" applyNumberFormat="1"/>
    <xf borderId="0" fillId="0" fontId="9" numFmtId="164" xfId="0" applyFont="1" applyNumberFormat="1"/>
    <xf borderId="0" fillId="0" fontId="9" numFmtId="172" xfId="0" applyFont="1" applyNumberFormat="1"/>
    <xf borderId="0" fillId="0" fontId="9" numFmtId="21" xfId="0" applyFont="1" applyNumberFormat="1"/>
    <xf borderId="0" fillId="0" fontId="9" numFmtId="173" xfId="0" applyFont="1" applyNumberFormat="1"/>
    <xf borderId="0" fillId="0" fontId="9" numFmtId="10" xfId="0" applyFont="1" applyNumberFormat="1"/>
    <xf borderId="0" fillId="2" fontId="14" numFmtId="0" xfId="0" applyAlignment="1" applyFont="1">
      <alignment readingOrder="0"/>
    </xf>
    <xf borderId="0" fillId="0" fontId="12" numFmtId="0" xfId="0" applyAlignment="1" applyFont="1">
      <alignment horizontal="left" readingOrder="0" shrinkToFit="0" wrapText="1"/>
    </xf>
    <xf borderId="0" fillId="5" fontId="9" numFmtId="49" xfId="0" applyAlignment="1" applyFont="1" applyNumberFormat="1">
      <alignment readingOrder="0"/>
    </xf>
    <xf borderId="0" fillId="5" fontId="9" numFmtId="1" xfId="0" applyAlignment="1" applyFont="1" applyNumberFormat="1">
      <alignment readingOrder="0"/>
    </xf>
    <xf borderId="0" fillId="7" fontId="9" numFmtId="0" xfId="0" applyFont="1"/>
    <xf borderId="0" fillId="7" fontId="9" numFmtId="10" xfId="0" applyFont="1" applyNumberFormat="1"/>
    <xf borderId="0" fillId="0" fontId="9" numFmtId="0" xfId="0" applyFont="1"/>
    <xf borderId="0" fillId="7" fontId="11" numFmtId="10" xfId="0" applyAlignment="1" applyFont="1" applyNumberFormat="1">
      <alignment readingOrder="0"/>
    </xf>
    <xf borderId="0" fillId="10" fontId="12" numFmtId="0" xfId="0" applyAlignment="1" applyFont="1">
      <alignment vertical="bottom"/>
    </xf>
    <xf borderId="0" fillId="10" fontId="12" numFmtId="168" xfId="0" applyAlignment="1" applyFont="1" applyNumberFormat="1">
      <alignment horizontal="right" vertical="bottom"/>
    </xf>
    <xf borderId="0" fillId="10" fontId="12" numFmtId="10" xfId="0" applyAlignment="1" applyFont="1" applyNumberFormat="1">
      <alignment horizontal="right" vertical="bottom"/>
    </xf>
    <xf borderId="0" fillId="10" fontId="15" numFmtId="168" xfId="0" applyAlignment="1" applyFont="1" applyNumberFormat="1">
      <alignment horizontal="right" vertical="bottom"/>
    </xf>
    <xf borderId="0" fillId="10" fontId="12" numFmtId="2" xfId="0" applyAlignment="1" applyFont="1" applyNumberFormat="1">
      <alignment horizontal="right" vertical="bottom"/>
    </xf>
    <xf borderId="0" fillId="10" fontId="12" numFmtId="10" xfId="0" applyAlignment="1" applyFont="1" applyNumberFormat="1">
      <alignment vertical="bottom"/>
    </xf>
    <xf borderId="0" fillId="8" fontId="12" numFmtId="0" xfId="0" applyAlignment="1" applyFont="1">
      <alignment vertical="bottom"/>
    </xf>
    <xf borderId="0" fillId="8" fontId="12" numFmtId="10" xfId="0" applyAlignment="1" applyFont="1" applyNumberFormat="1">
      <alignment horizontal="right" vertical="bottom"/>
    </xf>
    <xf borderId="0" fillId="52" fontId="12" numFmtId="168" xfId="0" applyAlignment="1" applyFill="1" applyFont="1" applyNumberFormat="1">
      <alignment horizontal="right" vertical="bottom"/>
    </xf>
    <xf borderId="0" fillId="8" fontId="15" numFmtId="168" xfId="0" applyAlignment="1" applyFont="1" applyNumberFormat="1">
      <alignment horizontal="right" vertical="bottom"/>
    </xf>
    <xf borderId="0" fillId="8" fontId="12" numFmtId="2" xfId="0" applyAlignment="1" applyFont="1" applyNumberFormat="1">
      <alignment horizontal="right" vertical="bottom"/>
    </xf>
    <xf borderId="0" fillId="8" fontId="12" numFmtId="10" xfId="0" applyAlignment="1" applyFont="1" applyNumberFormat="1">
      <alignment vertical="bottom"/>
    </xf>
    <xf borderId="0" fillId="10" fontId="12" numFmtId="0" xfId="0" applyAlignment="1" applyFont="1">
      <alignment vertical="bottom"/>
    </xf>
    <xf borderId="0" fillId="10" fontId="12" numFmtId="10" xfId="0" applyAlignment="1" applyFont="1" applyNumberFormat="1">
      <alignment horizontal="right" vertical="bottom"/>
    </xf>
    <xf borderId="0" fillId="48" fontId="12" numFmtId="168" xfId="0" applyAlignment="1" applyFont="1" applyNumberFormat="1">
      <alignment horizontal="right" vertical="bottom"/>
    </xf>
    <xf borderId="0" fillId="10" fontId="15" numFmtId="168" xfId="0" applyAlignment="1" applyFont="1" applyNumberFormat="1">
      <alignment horizontal="right" vertical="bottom"/>
    </xf>
    <xf borderId="0" fillId="10" fontId="12" numFmtId="2" xfId="0" applyAlignment="1" applyFont="1" applyNumberFormat="1">
      <alignment horizontal="right" vertical="bottom"/>
    </xf>
    <xf borderId="0" fillId="10" fontId="12" numFmtId="10" xfId="0" applyAlignment="1" applyFont="1" applyNumberFormat="1">
      <alignment vertical="bottom"/>
    </xf>
    <xf borderId="0" fillId="27" fontId="12" numFmtId="168" xfId="0" applyAlignment="1" applyFont="1" applyNumberFormat="1">
      <alignment horizontal="right" vertical="bottom"/>
    </xf>
    <xf borderId="0" fillId="8" fontId="16" numFmtId="168" xfId="0" applyAlignment="1" applyFont="1" applyNumberFormat="1">
      <alignment horizontal="right" vertical="bottom"/>
    </xf>
    <xf borderId="0" fillId="11" fontId="12" numFmtId="168" xfId="0" applyAlignment="1" applyFont="1" applyNumberFormat="1">
      <alignment horizontal="right" vertical="bottom"/>
    </xf>
    <xf borderId="0" fillId="31" fontId="12" numFmtId="168" xfId="0" applyAlignment="1" applyFont="1" applyNumberFormat="1">
      <alignment horizontal="right" vertical="bottom"/>
    </xf>
    <xf borderId="0" fillId="36" fontId="12" numFmtId="168" xfId="0" applyAlignment="1" applyFont="1" applyNumberFormat="1">
      <alignment horizontal="right" vertical="bottom"/>
    </xf>
    <xf borderId="0" fillId="10" fontId="16" numFmtId="168" xfId="0" applyAlignment="1" applyFont="1" applyNumberFormat="1">
      <alignment horizontal="right" vertical="bottom"/>
    </xf>
    <xf borderId="0" fillId="53" fontId="12" numFmtId="168" xfId="0" applyAlignment="1" applyFill="1" applyFont="1" applyNumberFormat="1">
      <alignment horizontal="right" vertical="bottom"/>
    </xf>
    <xf borderId="0" fillId="9" fontId="12" numFmtId="168" xfId="0" applyAlignment="1" applyFont="1" applyNumberFormat="1">
      <alignment horizontal="right" vertical="bottom"/>
    </xf>
    <xf borderId="0" fillId="54" fontId="12" numFmtId="168" xfId="0" applyAlignment="1" applyFill="1" applyFont="1" applyNumberFormat="1">
      <alignment horizontal="right" vertical="bottom"/>
    </xf>
    <xf borderId="0" fillId="55" fontId="12" numFmtId="168" xfId="0" applyAlignment="1" applyFill="1" applyFont="1" applyNumberFormat="1">
      <alignment horizontal="right" vertical="bottom"/>
    </xf>
    <xf borderId="0" fillId="56" fontId="12" numFmtId="168" xfId="0" applyAlignment="1" applyFill="1" applyFont="1" applyNumberFormat="1">
      <alignment horizontal="right" vertical="bottom"/>
    </xf>
    <xf borderId="0" fillId="20" fontId="12" numFmtId="168" xfId="0" applyAlignment="1" applyFont="1" applyNumberFormat="1">
      <alignment horizontal="right" vertical="bottom"/>
    </xf>
    <xf borderId="0" fillId="42" fontId="12" numFmtId="168" xfId="0" applyAlignment="1" applyFont="1" applyNumberFormat="1">
      <alignment horizontal="right" vertical="bottom"/>
    </xf>
    <xf borderId="0" fillId="50" fontId="12" numFmtId="168" xfId="0" applyAlignment="1" applyFont="1" applyNumberFormat="1">
      <alignment horizontal="right" vertical="bottom"/>
    </xf>
    <xf borderId="0" fillId="35" fontId="12" numFmtId="168" xfId="0" applyAlignment="1" applyFont="1" applyNumberFormat="1">
      <alignment horizontal="right" vertical="bottom"/>
    </xf>
    <xf borderId="0" fillId="57" fontId="12" numFmtId="168" xfId="0" applyAlignment="1" applyFill="1" applyFont="1" applyNumberFormat="1">
      <alignment horizontal="right" vertical="bottom"/>
    </xf>
    <xf borderId="0" fillId="58" fontId="12" numFmtId="168" xfId="0" applyAlignment="1" applyFill="1" applyFont="1" applyNumberFormat="1">
      <alignment horizontal="right" vertical="bottom"/>
    </xf>
    <xf borderId="0" fillId="44" fontId="12" numFmtId="168" xfId="0" applyAlignment="1" applyFont="1" applyNumberFormat="1">
      <alignment horizontal="right" vertical="bottom"/>
    </xf>
    <xf borderId="0" fillId="14" fontId="12" numFmtId="168" xfId="0" applyAlignment="1" applyFont="1" applyNumberFormat="1">
      <alignment horizontal="right" vertical="bottom"/>
    </xf>
    <xf borderId="0" fillId="59" fontId="12" numFmtId="168" xfId="0" applyAlignment="1" applyFill="1" applyFont="1" applyNumberFormat="1">
      <alignment horizontal="right" vertical="bottom"/>
    </xf>
    <xf borderId="0" fillId="60" fontId="12" numFmtId="168" xfId="0" applyAlignment="1" applyFill="1" applyFont="1" applyNumberFormat="1">
      <alignment horizontal="right" vertical="bottom"/>
    </xf>
    <xf borderId="0" fillId="61" fontId="12" numFmtId="168" xfId="0" applyAlignment="1" applyFill="1" applyFont="1" applyNumberFormat="1">
      <alignment horizontal="right" vertical="bottom"/>
    </xf>
    <xf borderId="0" fillId="62" fontId="12" numFmtId="168" xfId="0" applyAlignment="1" applyFill="1" applyFont="1" applyNumberFormat="1">
      <alignment horizontal="right" vertical="bottom"/>
    </xf>
    <xf borderId="0" fillId="46" fontId="12" numFmtId="168" xfId="0" applyAlignment="1" applyFont="1" applyNumberFormat="1">
      <alignment horizontal="right" vertical="bottom"/>
    </xf>
    <xf borderId="0" fillId="28" fontId="12" numFmtId="168" xfId="0" applyAlignment="1" applyFont="1" applyNumberFormat="1">
      <alignment horizontal="right" vertical="bottom"/>
    </xf>
    <xf borderId="0" fillId="21" fontId="12" numFmtId="168" xfId="0" applyAlignment="1" applyFont="1" applyNumberFormat="1">
      <alignment horizontal="right" vertical="bottom"/>
    </xf>
    <xf borderId="0" fillId="63" fontId="12" numFmtId="168" xfId="0" applyAlignment="1" applyFill="1" applyFont="1" applyNumberFormat="1">
      <alignment horizontal="right" vertical="bottom"/>
    </xf>
    <xf borderId="0" fillId="64" fontId="12" numFmtId="168" xfId="0" applyAlignment="1" applyFill="1" applyFont="1" applyNumberFormat="1">
      <alignment horizontal="right" vertical="bottom"/>
    </xf>
    <xf borderId="0" fillId="65" fontId="12" numFmtId="168" xfId="0" applyAlignment="1" applyFill="1" applyFont="1" applyNumberFormat="1">
      <alignment horizontal="right" vertical="bottom"/>
    </xf>
    <xf borderId="0" fillId="16" fontId="12" numFmtId="168" xfId="0" applyAlignment="1" applyFont="1" applyNumberFormat="1">
      <alignment horizontal="right" vertical="bottom"/>
    </xf>
    <xf borderId="0" fillId="66" fontId="12" numFmtId="168" xfId="0" applyAlignment="1" applyFill="1" applyFont="1" applyNumberFormat="1">
      <alignment horizontal="right" vertical="bottom"/>
    </xf>
    <xf borderId="0" fillId="43" fontId="12" numFmtId="168" xfId="0" applyAlignment="1" applyFont="1" applyNumberFormat="1">
      <alignment horizontal="right" vertical="bottom"/>
    </xf>
    <xf borderId="0" fillId="32" fontId="12" numFmtId="168" xfId="0" applyAlignment="1" applyFont="1" applyNumberFormat="1">
      <alignment horizontal="right" vertical="bottom"/>
    </xf>
    <xf borderId="0" fillId="67" fontId="12" numFmtId="168" xfId="0" applyAlignment="1" applyFill="1" applyFont="1" applyNumberFormat="1">
      <alignment horizontal="right" vertical="bottom"/>
    </xf>
    <xf borderId="0" fillId="41" fontId="12" numFmtId="168" xfId="0" applyAlignment="1" applyFont="1" applyNumberFormat="1">
      <alignment horizontal="right" vertical="bottom"/>
    </xf>
    <xf borderId="0" fillId="68" fontId="12" numFmtId="168" xfId="0" applyAlignment="1" applyFill="1" applyFont="1" applyNumberFormat="1">
      <alignment horizontal="right" vertical="bottom"/>
    </xf>
    <xf borderId="0" fillId="69" fontId="12" numFmtId="168" xfId="0" applyAlignment="1" applyFill="1" applyFont="1" applyNumberFormat="1">
      <alignment horizontal="right" vertical="bottom"/>
    </xf>
    <xf borderId="0" fillId="70" fontId="12" numFmtId="168" xfId="0" applyAlignment="1" applyFill="1" applyFont="1" applyNumberFormat="1">
      <alignment horizontal="right" vertical="bottom"/>
    </xf>
    <xf borderId="0" fillId="26" fontId="12" numFmtId="168" xfId="0" applyAlignment="1" applyFont="1" applyNumberFormat="1">
      <alignment horizontal="right" vertical="bottom"/>
    </xf>
    <xf borderId="0" fillId="71" fontId="12" numFmtId="168" xfId="0" applyAlignment="1" applyFill="1" applyFont="1" applyNumberFormat="1">
      <alignment horizontal="right" vertical="bottom"/>
    </xf>
    <xf borderId="0" fillId="72" fontId="12" numFmtId="168" xfId="0" applyAlignment="1" applyFill="1" applyFont="1" applyNumberFormat="1">
      <alignment horizontal="right" vertical="bottom"/>
    </xf>
    <xf borderId="0" fillId="22" fontId="12" numFmtId="168" xfId="0" applyAlignment="1" applyFont="1" applyNumberFormat="1">
      <alignment horizontal="right" vertical="bottom"/>
    </xf>
    <xf borderId="0" fillId="13" fontId="12" numFmtId="168" xfId="0" applyAlignment="1" applyFont="1" applyNumberFormat="1">
      <alignment horizontal="right" vertical="bottom"/>
    </xf>
    <xf borderId="0" fillId="2" fontId="17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8" numFmtId="0" xfId="0" applyAlignment="1" applyFont="1">
      <alignment vertical="bottom"/>
    </xf>
    <xf borderId="1" fillId="5" fontId="12" numFmtId="0" xfId="0" applyAlignment="1" applyBorder="1" applyFont="1">
      <alignment readingOrder="0" vertical="bottom"/>
    </xf>
    <xf borderId="2" fillId="2" fontId="18" numFmtId="0" xfId="0" applyAlignment="1" applyBorder="1" applyFont="1">
      <alignment vertical="bottom"/>
    </xf>
    <xf borderId="3" fillId="3" fontId="12" numFmtId="0" xfId="0" applyAlignment="1" applyBorder="1" applyFont="1">
      <alignment vertical="bottom"/>
    </xf>
    <xf borderId="4" fillId="2" fontId="18" numFmtId="0" xfId="0" applyAlignment="1" applyBorder="1" applyFont="1">
      <alignment vertical="bottom"/>
    </xf>
    <xf borderId="5" fillId="3" fontId="12" numFmtId="0" xfId="0" applyAlignment="1" applyBorder="1" applyFont="1">
      <alignment vertical="bottom"/>
    </xf>
    <xf borderId="5" fillId="3" fontId="12" numFmtId="174" xfId="0" applyAlignment="1" applyBorder="1" applyFont="1" applyNumberFormat="1">
      <alignment horizontal="right" vertical="bottom"/>
    </xf>
    <xf borderId="5" fillId="3" fontId="12" numFmtId="10" xfId="0" applyAlignment="1" applyBorder="1" applyFont="1" applyNumberFormat="1">
      <alignment horizontal="right" vertical="bottom"/>
    </xf>
    <xf borderId="5" fillId="3" fontId="12" numFmtId="0" xfId="0" applyAlignment="1" applyBorder="1" applyFont="1">
      <alignment horizontal="right" vertical="bottom"/>
    </xf>
    <xf borderId="5" fillId="3" fontId="12" numFmtId="0" xfId="0" applyAlignment="1" applyBorder="1" applyFont="1">
      <alignment horizontal="center" vertical="bottom"/>
    </xf>
    <xf borderId="5" fillId="3" fontId="12" numFmtId="166" xfId="0" applyAlignment="1" applyBorder="1" applyFont="1" applyNumberFormat="1">
      <alignment horizontal="right" vertical="bottom"/>
    </xf>
    <xf borderId="6" fillId="2" fontId="18" numFmtId="0" xfId="0" applyAlignment="1" applyBorder="1" applyFont="1">
      <alignment vertical="bottom"/>
    </xf>
    <xf borderId="7" fillId="3" fontId="12" numFmtId="0" xfId="0" applyAlignment="1" applyBorder="1" applyFont="1">
      <alignment vertical="bottom"/>
    </xf>
    <xf borderId="0" fillId="6" fontId="12" numFmtId="0" xfId="0" applyAlignment="1" applyFont="1">
      <alignment vertical="bottom"/>
    </xf>
    <xf borderId="0" fillId="0" fontId="12" numFmtId="165" xfId="0" applyAlignment="1" applyFont="1" applyNumberFormat="1">
      <alignment horizontal="center"/>
    </xf>
    <xf borderId="0" fillId="0" fontId="12" numFmtId="0" xfId="0" applyFont="1"/>
    <xf borderId="0" fillId="0" fontId="12" numFmtId="165" xfId="0" applyAlignment="1" applyFont="1" applyNumberFormat="1">
      <alignment vertical="bottom"/>
    </xf>
    <xf borderId="0" fillId="6" fontId="19" numFmtId="0" xfId="0" applyAlignment="1" applyFont="1">
      <alignment vertical="bottom"/>
    </xf>
    <xf borderId="0" fillId="0" fontId="12" numFmtId="175" xfId="0" applyAlignment="1" applyFont="1" applyNumberForma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2" fontId="20" numFmtId="0" xfId="0" applyAlignment="1" applyFont="1">
      <alignment readingOrder="0"/>
    </xf>
    <xf borderId="0" fillId="4" fontId="9" numFmtId="0" xfId="0" applyFont="1"/>
    <xf borderId="1" fillId="5" fontId="9" numFmtId="0" xfId="0" applyAlignment="1" applyBorder="1" applyFont="1">
      <alignment readingOrder="0"/>
    </xf>
    <xf borderId="0" fillId="4" fontId="11" numFmtId="0" xfId="0" applyFont="1"/>
    <xf borderId="2" fillId="2" fontId="14" numFmtId="0" xfId="0" applyAlignment="1" applyBorder="1" applyFont="1">
      <alignment readingOrder="0"/>
    </xf>
    <xf borderId="3" fillId="6" fontId="9" numFmtId="168" xfId="0" applyBorder="1" applyFont="1" applyNumberFormat="1"/>
    <xf borderId="4" fillId="2" fontId="14" numFmtId="0" xfId="0" applyAlignment="1" applyBorder="1" applyFont="1">
      <alignment readingOrder="0"/>
    </xf>
    <xf borderId="5" fillId="6" fontId="9" numFmtId="168" xfId="0" applyBorder="1" applyFont="1" applyNumberFormat="1"/>
    <xf borderId="5" fillId="6" fontId="9" numFmtId="10" xfId="0" applyBorder="1" applyFont="1" applyNumberFormat="1"/>
    <xf borderId="5" fillId="6" fontId="9" numFmtId="0" xfId="0" applyBorder="1" applyFont="1"/>
    <xf borderId="6" fillId="2" fontId="14" numFmtId="0" xfId="0" applyAlignment="1" applyBorder="1" applyFont="1">
      <alignment readingOrder="0"/>
    </xf>
    <xf borderId="7" fillId="6" fontId="9" numFmtId="0" xfId="0" applyBorder="1" applyFont="1"/>
    <xf borderId="0" fillId="2" fontId="2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9" numFmtId="2" xfId="0" applyFont="1" applyNumberFormat="1"/>
    <xf borderId="0" fillId="5" fontId="9" numFmtId="49" xfId="0" applyFont="1" applyNumberFormat="1"/>
    <xf borderId="0" fillId="5" fontId="9" numFmtId="0" xfId="0" applyFont="1"/>
    <xf borderId="0" fillId="5" fontId="9" numFmtId="2" xfId="0" applyFont="1" applyNumberFormat="1"/>
    <xf borderId="0" fillId="6" fontId="9" numFmtId="0" xfId="0" applyAlignment="1" applyFont="1">
      <alignment readingOrder="0"/>
    </xf>
    <xf borderId="0" fillId="6" fontId="9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5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CC0000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  <tableStyles count="2">
    <tableStyle count="2" pivot="0" name="Student_Portfolio_Display-style">
      <tableStyleElement dxfId="1" type="firstRowStripe"/>
      <tableStyleElement dxfId="2" type="secondRowStripe"/>
    </tableStyle>
    <tableStyle count="3" pivot="0" name="Stock_Trade-style">
      <tableStyleElement dxfId="6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5</xdr:row>
      <xdr:rowOff>161925</xdr:rowOff>
    </xdr:from>
    <xdr:ext cx="1171575" cy="285750"/>
    <xdr:sp>
      <xdr:nvSpPr>
        <xdr:cNvPr id="3" name="Shape 3"/>
        <xdr:cNvSpPr/>
      </xdr:nvSpPr>
      <xdr:spPr>
        <a:xfrm>
          <a:off x="2128550" y="1032050"/>
          <a:ext cx="6528000" cy="1572300"/>
        </a:xfrm>
        <a:prstGeom prst="roundRect">
          <a:avLst>
            <a:gd fmla="val 16667" name="adj"/>
          </a:avLst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200">
              <a:latin typeface="Calibri"/>
              <a:ea typeface="Calibri"/>
              <a:cs typeface="Calibri"/>
              <a:sym typeface="Calibri"/>
            </a:rPr>
            <a:t>Place Order</a:t>
          </a:r>
          <a:endParaRPr b="1" sz="5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4</xdr:row>
      <xdr:rowOff>171450</xdr:rowOff>
    </xdr:from>
    <xdr:ext cx="1019175" cy="228600"/>
    <xdr:sp>
      <xdr:nvSpPr>
        <xdr:cNvPr id="4" name="Shape 4"/>
        <xdr:cNvSpPr/>
      </xdr:nvSpPr>
      <xdr:spPr>
        <a:xfrm>
          <a:off x="2191550" y="820575"/>
          <a:ext cx="4002900" cy="870600"/>
        </a:xfrm>
        <a:prstGeom prst="roundRect">
          <a:avLst>
            <a:gd fmla="val 16667" name="adj"/>
          </a:avLst>
        </a:prstGeom>
        <a:solidFill>
          <a:srgbClr val="9FC5E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latin typeface="Calibri"/>
              <a:ea typeface="Calibri"/>
              <a:cs typeface="Calibri"/>
              <a:sym typeface="Calibri"/>
            </a:rPr>
            <a:t>SUBMIT</a:t>
          </a:r>
          <a:endParaRPr b="1" sz="3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5</xdr:row>
      <xdr:rowOff>152400</xdr:rowOff>
    </xdr:from>
    <xdr:ext cx="885825" cy="257175"/>
    <xdr:sp>
      <xdr:nvSpPr>
        <xdr:cNvPr id="5" name="Shape 5"/>
        <xdr:cNvSpPr/>
      </xdr:nvSpPr>
      <xdr:spPr>
        <a:xfrm>
          <a:off x="2141525" y="1421000"/>
          <a:ext cx="4793400" cy="1371000"/>
        </a:xfrm>
        <a:prstGeom prst="roundRect">
          <a:avLst>
            <a:gd fmla="val 16667" name="adj"/>
          </a:avLst>
        </a:prstGeom>
        <a:solidFill>
          <a:srgbClr val="9FC5E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100">
              <a:latin typeface="Calibri"/>
              <a:ea typeface="Calibri"/>
              <a:cs typeface="Calibri"/>
              <a:sym typeface="Calibri"/>
            </a:rPr>
            <a:t>SUBMIT RATING</a:t>
          </a:r>
          <a:endParaRPr b="1" sz="4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G7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tudent_Portfolio_Display-style" showColumnStripes="0" showFirstColumn="1" showLastColumn="1" showRowStripes="1"/>
</table>
</file>

<file path=xl/tables/table2.xml><?xml version="1.0" encoding="utf-8"?>
<table xmlns="http://schemas.openxmlformats.org/spreadsheetml/2006/main" headerRowCount="0" ref="A13:I77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ock_Trad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2.88"/>
    <col customWidth="1" min="3" max="3" width="13.0"/>
    <col customWidth="1" min="4" max="4" width="8.13"/>
    <col customWidth="1" min="5" max="5" width="8.25"/>
    <col customWidth="1" min="6" max="6" width="13.13"/>
    <col customWidth="1" min="7" max="7" width="9.5"/>
    <col customWidth="1" min="8" max="8" width="14.75"/>
  </cols>
  <sheetData>
    <row r="1">
      <c r="A1" s="1" t="s">
        <v>0</v>
      </c>
    </row>
    <row r="3">
      <c r="A3" s="2"/>
      <c r="B3" s="3"/>
      <c r="C3" s="3"/>
      <c r="D3" s="4"/>
      <c r="E3" s="3"/>
      <c r="F3" s="3"/>
      <c r="G3" s="5"/>
      <c r="H3" s="5"/>
      <c r="I3" s="5"/>
      <c r="J3" s="5"/>
      <c r="K3" s="5"/>
      <c r="L3" s="6"/>
    </row>
    <row r="4">
      <c r="A4" s="7" t="s">
        <v>1</v>
      </c>
      <c r="B4" s="8"/>
      <c r="C4" s="9"/>
      <c r="D4" s="10"/>
      <c r="E4" s="6"/>
      <c r="F4" s="11"/>
      <c r="G4" s="6"/>
      <c r="H4" s="6"/>
      <c r="I4" s="6"/>
      <c r="J4" s="6"/>
      <c r="K4" s="6"/>
      <c r="L4" s="6"/>
    </row>
    <row r="5">
      <c r="A5" s="12"/>
      <c r="B5" s="6"/>
      <c r="C5" s="6"/>
      <c r="D5" s="10"/>
      <c r="E5" s="6"/>
      <c r="F5" s="9"/>
      <c r="G5" s="9"/>
      <c r="H5" s="9"/>
      <c r="I5" s="9"/>
      <c r="J5" s="9"/>
      <c r="K5" s="6"/>
      <c r="L5" s="6"/>
    </row>
    <row r="6">
      <c r="A6" s="7" t="s">
        <v>2</v>
      </c>
      <c r="B6" s="13"/>
      <c r="C6" s="11"/>
      <c r="D6" s="14"/>
      <c r="E6" s="6"/>
      <c r="F6" s="15"/>
      <c r="G6" s="15"/>
      <c r="H6" s="16"/>
      <c r="I6" s="14"/>
      <c r="J6" s="17"/>
      <c r="K6" s="6"/>
      <c r="L6" s="6"/>
    </row>
    <row r="7">
      <c r="A7" s="7" t="s">
        <v>3</v>
      </c>
      <c r="B7" s="13"/>
      <c r="C7" s="11"/>
      <c r="D7" s="14"/>
      <c r="E7" s="6"/>
      <c r="F7" s="6"/>
      <c r="G7" s="6"/>
      <c r="H7" s="18"/>
      <c r="I7" s="10"/>
      <c r="J7" s="19"/>
      <c r="K7" s="6"/>
      <c r="L7" s="6"/>
    </row>
    <row r="8">
      <c r="A8" s="20"/>
      <c r="B8" s="15"/>
      <c r="C8" s="11"/>
      <c r="D8" s="14"/>
      <c r="E8" s="6"/>
      <c r="F8" s="6"/>
      <c r="G8" s="6"/>
      <c r="H8" s="18"/>
      <c r="I8" s="10"/>
      <c r="J8" s="19"/>
      <c r="K8" s="6"/>
      <c r="L8" s="6"/>
    </row>
    <row r="9">
      <c r="A9" s="7" t="s">
        <v>4</v>
      </c>
      <c r="B9" s="21" t="s">
        <v>5</v>
      </c>
      <c r="C9" s="22"/>
      <c r="D9" s="23"/>
      <c r="E9" s="6"/>
      <c r="F9" s="6"/>
      <c r="G9" s="6"/>
      <c r="H9" s="18"/>
      <c r="I9" s="10"/>
      <c r="J9" s="19"/>
      <c r="K9" s="6"/>
      <c r="L9" s="6"/>
    </row>
    <row r="10">
      <c r="A10" s="20"/>
      <c r="B10" s="15"/>
      <c r="C10" s="11"/>
      <c r="D10" s="14"/>
      <c r="E10" s="6"/>
      <c r="F10" s="6"/>
      <c r="G10" s="6"/>
      <c r="H10" s="18"/>
      <c r="I10" s="10"/>
      <c r="J10" s="19"/>
      <c r="K10" s="6"/>
      <c r="L10" s="6"/>
    </row>
    <row r="11">
      <c r="A11" s="7" t="s">
        <v>6</v>
      </c>
    </row>
    <row r="12">
      <c r="A12" s="24" t="s">
        <v>7</v>
      </c>
      <c r="B12" s="25" t="s">
        <v>8</v>
      </c>
      <c r="D12" s="26" t="s">
        <v>9</v>
      </c>
      <c r="E12" s="27" t="s">
        <v>10</v>
      </c>
      <c r="F12" s="25" t="s">
        <v>11</v>
      </c>
      <c r="G12" s="25" t="s">
        <v>12</v>
      </c>
    </row>
    <row r="13">
      <c r="A13" s="28">
        <f>IFERROR(__xludf.DUMMYFUNCTION("FILTER(
{
Imported_Store!A1:A1000,
Imported_Store!B1:B1000,
IF(ROW(Imported_Store!A1:A1000),"""",),
Imported_Store!C1:C1000,
Imported_Store!E1:G1000
},
Imported_Store!A1:A1000&lt;&gt;"""",
Imported_Store!D1:D1000=""Yes""
)"),7734.0)</f>
        <v>7734</v>
      </c>
      <c r="B13" s="15" t="str">
        <f>IFERROR(__xludf.DUMMYFUNCTION("""COMPUTED_VALUE"""),"Extra credit 1%")</f>
        <v>Extra credit 1%</v>
      </c>
      <c r="D13" s="14">
        <f>IFERROR(__xludf.DUMMYFUNCTION("""COMPUTED_VALUE"""),100.0)</f>
        <v>100</v>
      </c>
      <c r="E13" s="29">
        <f>IFERROR(__xludf.DUMMYFUNCTION("""COMPUTED_VALUE"""),76.0)</f>
        <v>76</v>
      </c>
      <c r="F13" s="29" t="str">
        <f>IFERROR(__xludf.DUMMYFUNCTION("""COMPUTED_VALUE"""),"Academic")</f>
        <v>Academic</v>
      </c>
      <c r="G13" s="30" t="str">
        <f>IFERROR(__xludf.DUMMYFUNCTION("""COMPUTED_VALUE"""),"Get 1% extra credit on an assignment")</f>
        <v>Get 1% extra credit on an assignment</v>
      </c>
    </row>
    <row r="14">
      <c r="A14" s="28"/>
      <c r="B14" s="15"/>
      <c r="D14" s="14"/>
      <c r="E14" s="29"/>
      <c r="F14" s="29"/>
      <c r="G14" s="30"/>
    </row>
    <row r="15">
      <c r="A15" s="28"/>
      <c r="B15" s="15"/>
      <c r="D15" s="14"/>
      <c r="E15" s="29"/>
      <c r="F15" s="29"/>
      <c r="G15" s="30"/>
    </row>
    <row r="16">
      <c r="A16" s="28"/>
      <c r="B16" s="15"/>
      <c r="D16" s="14"/>
      <c r="E16" s="29"/>
      <c r="F16" s="29"/>
      <c r="G16" s="30"/>
    </row>
    <row r="17">
      <c r="A17" s="28"/>
      <c r="B17" s="15"/>
      <c r="D17" s="14"/>
      <c r="E17" s="15"/>
      <c r="F17" s="15"/>
      <c r="G17" s="15"/>
    </row>
    <row r="18">
      <c r="A18" s="28"/>
      <c r="B18" s="15"/>
      <c r="D18" s="14"/>
      <c r="E18" s="15"/>
      <c r="F18" s="15"/>
      <c r="G18" s="15"/>
    </row>
    <row r="19">
      <c r="A19" s="28"/>
      <c r="B19" s="15"/>
      <c r="D19" s="14"/>
      <c r="E19" s="15"/>
      <c r="F19" s="15"/>
      <c r="G19" s="15"/>
    </row>
    <row r="20">
      <c r="A20" s="28"/>
      <c r="B20" s="15"/>
      <c r="D20" s="14"/>
      <c r="E20" s="29"/>
      <c r="F20" s="29"/>
      <c r="G20" s="30"/>
    </row>
    <row r="21">
      <c r="A21" s="28"/>
      <c r="B21" s="15"/>
      <c r="D21" s="14"/>
      <c r="E21" s="29"/>
      <c r="F21" s="29"/>
      <c r="G21" s="30"/>
    </row>
    <row r="22">
      <c r="A22" s="28"/>
      <c r="B22" s="15"/>
      <c r="D22" s="14"/>
      <c r="E22" s="29"/>
      <c r="F22" s="29"/>
      <c r="G22" s="30"/>
    </row>
    <row r="23">
      <c r="A23" s="28"/>
      <c r="B23" s="15"/>
      <c r="D23" s="14"/>
      <c r="E23" s="29"/>
      <c r="F23" s="29"/>
      <c r="G23" s="30"/>
    </row>
    <row r="24">
      <c r="A24" s="28"/>
      <c r="B24" s="15"/>
      <c r="D24" s="14"/>
      <c r="E24" s="29"/>
      <c r="F24" s="29"/>
      <c r="G24" s="30"/>
    </row>
    <row r="25">
      <c r="A25" s="28"/>
      <c r="B25" s="30"/>
      <c r="D25" s="14"/>
      <c r="E25" s="30"/>
      <c r="F25" s="30"/>
      <c r="G25" s="30"/>
    </row>
    <row r="26">
      <c r="A26" s="28"/>
      <c r="B26" s="30"/>
      <c r="D26" s="14"/>
      <c r="E26" s="30"/>
      <c r="F26" s="30"/>
      <c r="G26" s="30"/>
    </row>
    <row r="27">
      <c r="A27" s="28"/>
      <c r="B27" s="30"/>
      <c r="D27" s="14"/>
      <c r="E27" s="30"/>
      <c r="F27" s="30"/>
      <c r="G27" s="30"/>
    </row>
    <row r="28">
      <c r="A28" s="28"/>
      <c r="B28" s="30"/>
      <c r="D28" s="14"/>
      <c r="E28" s="30"/>
      <c r="F28" s="30"/>
      <c r="G28" s="30"/>
    </row>
    <row r="29">
      <c r="A29" s="28"/>
      <c r="B29" s="30"/>
      <c r="D29" s="14"/>
      <c r="E29" s="30"/>
      <c r="F29" s="30"/>
      <c r="G29" s="30"/>
    </row>
    <row r="30">
      <c r="A30" s="28"/>
      <c r="B30" s="30"/>
      <c r="D30" s="14"/>
      <c r="E30" s="30"/>
      <c r="F30" s="30"/>
      <c r="G30" s="30"/>
    </row>
    <row r="31">
      <c r="A31" s="28"/>
      <c r="B31" s="30"/>
      <c r="D31" s="14"/>
      <c r="E31" s="30"/>
      <c r="F31" s="30"/>
      <c r="G31" s="30"/>
    </row>
    <row r="32">
      <c r="A32" s="28"/>
      <c r="B32" s="30"/>
      <c r="D32" s="14"/>
      <c r="E32" s="30"/>
      <c r="F32" s="30"/>
      <c r="G32" s="30"/>
    </row>
    <row r="33">
      <c r="A33" s="28"/>
      <c r="B33" s="30"/>
      <c r="D33" s="14"/>
      <c r="E33" s="30"/>
      <c r="F33" s="30"/>
      <c r="G33" s="30"/>
    </row>
    <row r="34">
      <c r="A34" s="28"/>
      <c r="B34" s="30"/>
      <c r="D34" s="14"/>
      <c r="E34" s="30"/>
      <c r="F34" s="30"/>
      <c r="G34" s="30"/>
    </row>
    <row r="35">
      <c r="A35" s="28"/>
      <c r="B35" s="30"/>
      <c r="D35" s="14"/>
      <c r="E35" s="30"/>
      <c r="F35" s="30"/>
      <c r="G35" s="30"/>
    </row>
    <row r="36">
      <c r="A36" s="28"/>
      <c r="B36" s="30"/>
      <c r="D36" s="14"/>
      <c r="E36" s="30"/>
      <c r="F36" s="30"/>
      <c r="G36" s="30"/>
    </row>
    <row r="37">
      <c r="A37" s="28"/>
      <c r="B37" s="30"/>
      <c r="D37" s="14"/>
      <c r="E37" s="30"/>
      <c r="F37" s="30"/>
      <c r="G37" s="30"/>
    </row>
    <row r="38">
      <c r="A38" s="28"/>
      <c r="B38" s="30"/>
      <c r="D38" s="14"/>
      <c r="E38" s="30"/>
      <c r="F38" s="30"/>
      <c r="G38" s="30"/>
    </row>
  </sheetData>
  <mergeCells count="56">
    <mergeCell ref="G36:L36"/>
    <mergeCell ref="G37:L37"/>
    <mergeCell ref="G29:L29"/>
    <mergeCell ref="G30:L30"/>
    <mergeCell ref="G31:L31"/>
    <mergeCell ref="G32:L32"/>
    <mergeCell ref="G33:L33"/>
    <mergeCell ref="G34:L34"/>
    <mergeCell ref="G35:L35"/>
    <mergeCell ref="A1:L2"/>
    <mergeCell ref="A11:L11"/>
    <mergeCell ref="B12:C12"/>
    <mergeCell ref="G12:L12"/>
    <mergeCell ref="B13:C13"/>
    <mergeCell ref="G13:L13"/>
    <mergeCell ref="G14:L14"/>
    <mergeCell ref="B14:C14"/>
    <mergeCell ref="B15:C15"/>
    <mergeCell ref="B16:C16"/>
    <mergeCell ref="B17:C17"/>
    <mergeCell ref="B18:C18"/>
    <mergeCell ref="B19:C19"/>
    <mergeCell ref="B20:C20"/>
    <mergeCell ref="G15:L15"/>
    <mergeCell ref="G16:L16"/>
    <mergeCell ref="G17:L17"/>
    <mergeCell ref="G18:L18"/>
    <mergeCell ref="G19:L19"/>
    <mergeCell ref="G20:L20"/>
    <mergeCell ref="G21:L21"/>
    <mergeCell ref="B21:C21"/>
    <mergeCell ref="B22:C22"/>
    <mergeCell ref="B23:C23"/>
    <mergeCell ref="B24:C24"/>
    <mergeCell ref="B25:C25"/>
    <mergeCell ref="B26:C26"/>
    <mergeCell ref="B27:C27"/>
    <mergeCell ref="G22:L22"/>
    <mergeCell ref="G23:L23"/>
    <mergeCell ref="G24:L24"/>
    <mergeCell ref="G25:L25"/>
    <mergeCell ref="G26:L26"/>
    <mergeCell ref="G27:L27"/>
    <mergeCell ref="G28:L28"/>
    <mergeCell ref="B35:C35"/>
    <mergeCell ref="B36:C36"/>
    <mergeCell ref="B37:C37"/>
    <mergeCell ref="B38:C38"/>
    <mergeCell ref="G38:L38"/>
    <mergeCell ref="B28:C28"/>
    <mergeCell ref="B29:C29"/>
    <mergeCell ref="B30:C30"/>
    <mergeCell ref="B31:C31"/>
    <mergeCell ref="B32:C32"/>
    <mergeCell ref="B33:C33"/>
    <mergeCell ref="B34:C3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24.63"/>
    <col customWidth="1" min="3" max="3" width="16.13"/>
    <col customWidth="1" min="4" max="4" width="15.25"/>
    <col customWidth="1" min="7" max="7" width="20.38"/>
    <col customWidth="1" min="8" max="8" width="14.75"/>
  </cols>
  <sheetData>
    <row r="1" ht="15.0" customHeight="1">
      <c r="A1" s="31" t="s">
        <v>13</v>
      </c>
    </row>
    <row r="2" ht="15.0" customHeight="1"/>
    <row r="3" ht="15.0" customHeight="1">
      <c r="A3" s="3"/>
      <c r="B3" s="3"/>
      <c r="C3" s="3"/>
      <c r="D3" s="3"/>
      <c r="E3" s="3"/>
      <c r="F3" s="3"/>
      <c r="G3" s="5"/>
      <c r="H3" s="5"/>
      <c r="I3" s="5"/>
      <c r="J3" s="5"/>
      <c r="K3" s="5"/>
      <c r="L3" s="6"/>
    </row>
    <row r="4" ht="15.0" customHeight="1">
      <c r="A4" s="32" t="s">
        <v>14</v>
      </c>
      <c r="B4" s="33"/>
      <c r="C4" s="9" t="s">
        <v>15</v>
      </c>
      <c r="D4" s="6"/>
      <c r="E4" s="6"/>
      <c r="F4" s="34" t="s">
        <v>10</v>
      </c>
      <c r="G4" s="6"/>
      <c r="H4" s="6"/>
      <c r="I4" s="6"/>
      <c r="J4" s="6"/>
      <c r="K4" s="6"/>
      <c r="L4" s="6"/>
    </row>
    <row r="5" ht="15.0" customHeight="1">
      <c r="A5" s="35"/>
      <c r="B5" s="6"/>
      <c r="C5" s="6"/>
      <c r="D5" s="10"/>
      <c r="E5" s="6"/>
      <c r="F5" s="36" t="s">
        <v>16</v>
      </c>
      <c r="G5" s="36" t="s">
        <v>11</v>
      </c>
      <c r="H5" s="36" t="s">
        <v>17</v>
      </c>
      <c r="I5" s="36" t="s">
        <v>18</v>
      </c>
      <c r="J5" s="36" t="s">
        <v>19</v>
      </c>
      <c r="K5" s="6"/>
      <c r="L5" s="6"/>
    </row>
    <row r="6" ht="15.0" customHeight="1">
      <c r="A6" s="34" t="s">
        <v>20</v>
      </c>
      <c r="B6" s="15" t="str">
        <f t="array" ref="B6">IF($B$4="","",IFNA(XLOOKUP($B$4,Imported_Students!$A:$A,Imported_Students!$B:$B),"Unknown card"))</f>
        <v/>
      </c>
      <c r="C6" s="34" t="s">
        <v>21</v>
      </c>
      <c r="D6" s="37" t="str">
        <f>IF($B$4="","",SUMIFS(Imported_Transactions!$F:$F,Imported_Transactions!$C:$C,$B$4,Imported_Transactions!$E:$E,"DEPOSIT",Imported_Transactions!$L:$L,"Success"))</f>
        <v/>
      </c>
      <c r="E6" s="6"/>
      <c r="F6" s="6" t="str">
        <f>IFERROR(__xludf.DUMMYFUNCTION("IF($B$4="""","""",IFNA(QUERY(SORT(FILTER({Imported_Inventory!$D$2:$D70,Imported_Inventory!$E$2:$E70,Imported_Inventory!$F$2:$F70,Imported_Inventory!$G$2:$G70,Imported_Inventory!$H$2:$H70},Imported_Inventory!$A$2:$A70=$B$4,Imported_Inventory!$F$2:$F70&gt;0),5"&amp;",FALSE),""limit 8"",0),""No inventory found""))"),"")</f>
        <v/>
      </c>
      <c r="G6" s="6"/>
      <c r="H6" s="18"/>
      <c r="I6" s="10"/>
      <c r="J6" s="19"/>
      <c r="K6" s="6"/>
      <c r="L6" s="6"/>
    </row>
    <row r="7" ht="15.0" customHeight="1">
      <c r="A7" s="34" t="s">
        <v>22</v>
      </c>
      <c r="B7" s="15" t="str">
        <f t="array" ref="B7">IF($B$4="","",IFNA(XLOOKUP($B$4,Imported_Students!$A:$A,Imported_Students!$C:$C),""))</f>
        <v/>
      </c>
      <c r="C7" s="34" t="s">
        <v>23</v>
      </c>
      <c r="D7" s="37" t="str">
        <f>IF($B$4="","",SUMIFS(Imported_Transactions!$F:$F,Imported_Transactions!$C:$C,$B$4,Imported_Transactions!$E:$E,"WITHDRAW",Imported_Transactions!$L:$L,"Success"))</f>
        <v/>
      </c>
      <c r="E7" s="6"/>
      <c r="F7" s="6"/>
      <c r="G7" s="6"/>
      <c r="H7" s="18"/>
      <c r="I7" s="10"/>
      <c r="J7" s="19"/>
      <c r="K7" s="6"/>
      <c r="L7" s="6"/>
    </row>
    <row r="8" ht="15.0" customHeight="1">
      <c r="A8" s="34" t="s">
        <v>24</v>
      </c>
      <c r="B8" s="15" t="str">
        <f t="array" ref="B8">IF($B$4="","",IFNA(XLOOKUP($B$4,Imported_Students!$A:$A,Imported_Students!$D:$D),""))</f>
        <v/>
      </c>
      <c r="C8" s="34" t="s">
        <v>25</v>
      </c>
      <c r="D8" s="37" t="str">
        <f>IF($B$4="","",SUMIFS(Imported_Transactions!$F:$F,Imported_Transactions!$C:$C,$B$4,Imported_Transactions!$E:$E,"REWARD",Imported_Transactions!$L:$L,"Success"))</f>
        <v/>
      </c>
      <c r="E8" s="6"/>
      <c r="F8" s="6"/>
      <c r="G8" s="6"/>
      <c r="H8" s="18"/>
      <c r="I8" s="10"/>
      <c r="J8" s="19"/>
      <c r="K8" s="6"/>
      <c r="L8" s="6"/>
    </row>
    <row r="9" ht="15.0" customHeight="1">
      <c r="A9" s="34" t="s">
        <v>26</v>
      </c>
      <c r="B9" s="14" t="str">
        <f t="array" ref="B9">IF($B$4="","",IFNA(XLOOKUP($B$4,Imported_Students!$A:$A,Imported_Students!$E:$E),0))</f>
        <v/>
      </c>
      <c r="C9" s="34" t="s">
        <v>27</v>
      </c>
      <c r="D9" s="37" t="str">
        <f>IF($B$4="","",SUMIFS(Imported_Transactions!$F:$F,Imported_Transactions!$C:$C,$B$4,Imported_Transactions!$E:$E,"FINE",Imported_Transactions!$L:$L,"Success"))</f>
        <v/>
      </c>
      <c r="E9" s="6"/>
      <c r="F9" s="6"/>
      <c r="G9" s="6"/>
      <c r="H9" s="18"/>
      <c r="I9" s="10"/>
      <c r="J9" s="19"/>
      <c r="K9" s="6"/>
      <c r="L9" s="6"/>
    </row>
    <row r="10" ht="15.0" customHeight="1">
      <c r="A10" s="34" t="s">
        <v>28</v>
      </c>
      <c r="B10" s="15" t="str">
        <f t="array" ref="B10">IF($B$4="","",IFNA(XLOOKUP($B$4,Imported_Students!$A:$A,Imported_Students!$F:$F),"No job assigned"))</f>
        <v/>
      </c>
      <c r="C10" s="34" t="s">
        <v>29</v>
      </c>
      <c r="D10" s="16" t="str">
        <f>IF($B$4="","",COUNTIFS(Imported_Transactions!$C:$C,$B$4,Imported_Transactions!$E:$E,"STORE_PURCHASE",Imported_Transactions!$L:$L,"Success"))</f>
        <v/>
      </c>
      <c r="E10" s="6"/>
      <c r="F10" s="6"/>
      <c r="G10" s="6"/>
      <c r="H10" s="18"/>
      <c r="I10" s="10"/>
      <c r="J10" s="19"/>
      <c r="K10" s="6"/>
      <c r="L10" s="6"/>
    </row>
    <row r="11" ht="15.0" customHeight="1">
      <c r="A11" s="34" t="s">
        <v>30</v>
      </c>
      <c r="B11" s="15" t="str">
        <f t="array" ref="B11">IF($B$4="","",IFNA(XLOOKUP($B$4,Imported_Students!$A:$A,Imported_Students!$G:$G),0))</f>
        <v/>
      </c>
      <c r="C11" s="34" t="s">
        <v>18</v>
      </c>
      <c r="D11" s="37" t="str">
        <f>IF($B$4="","",SUMIFS(Imported_Transactions!$F:$F,Imported_Transactions!$C:$C,$B$4,Imported_Transactions!$E:$E,"STORE_PURCHASE",Imported_Transactions!$L:$L,"Success"))</f>
        <v/>
      </c>
      <c r="E11" s="6"/>
      <c r="F11" s="6"/>
      <c r="G11" s="6"/>
      <c r="H11" s="18"/>
      <c r="I11" s="10"/>
      <c r="J11" s="19"/>
      <c r="K11" s="6"/>
      <c r="L11" s="6"/>
    </row>
    <row r="12" ht="15.0" customHeight="1">
      <c r="A12" s="6"/>
      <c r="B12" s="6"/>
      <c r="C12" s="6"/>
      <c r="D12" s="6"/>
      <c r="E12" s="6"/>
      <c r="F12" s="6"/>
      <c r="G12" s="6"/>
      <c r="H12" s="18"/>
      <c r="I12" s="10"/>
      <c r="J12" s="19"/>
      <c r="K12" s="6"/>
      <c r="L12" s="6"/>
    </row>
    <row r="13" ht="15.0" customHeight="1">
      <c r="A13" s="6"/>
      <c r="B13" s="6"/>
      <c r="C13" s="6"/>
      <c r="D13" s="6"/>
      <c r="E13" s="6"/>
      <c r="F13" s="6"/>
      <c r="G13" s="6"/>
      <c r="H13" s="18"/>
      <c r="I13" s="10"/>
      <c r="J13" s="19"/>
      <c r="K13" s="6"/>
      <c r="L13" s="6"/>
    </row>
    <row r="14" ht="15.0" customHeight="1">
      <c r="A14" s="34" t="s">
        <v>31</v>
      </c>
      <c r="F14" s="34"/>
      <c r="G14" s="34" t="s">
        <v>32</v>
      </c>
    </row>
    <row r="15" ht="15.0" customHeight="1">
      <c r="A15" s="36" t="s">
        <v>33</v>
      </c>
      <c r="B15" s="36" t="s">
        <v>34</v>
      </c>
      <c r="C15" s="36" t="s">
        <v>35</v>
      </c>
      <c r="D15" s="36" t="s">
        <v>36</v>
      </c>
      <c r="E15" s="36" t="s">
        <v>37</v>
      </c>
      <c r="G15" s="36" t="s">
        <v>33</v>
      </c>
      <c r="H15" s="36" t="s">
        <v>34</v>
      </c>
      <c r="I15" s="36" t="s">
        <v>38</v>
      </c>
      <c r="J15" s="36" t="s">
        <v>39</v>
      </c>
      <c r="K15" s="36" t="s">
        <v>37</v>
      </c>
    </row>
    <row r="16" ht="15.0" customHeight="1">
      <c r="A16" s="30" t="str">
        <f>IFERROR(__xludf.DUMMYFUNCTION("IF($B$4="""","""",
 IFNA(
  QUERY(
   SORT(
    FILTER(
     {Transactions!$A$2:$A70,Transactions!$E$2:$E70,Transactions!$F$2:$F70,Transactions!$H$2:$H70,Transactions!$K$2:$K70},
     Transactions!$C$2:$C70=$B$4,
     Transactions!$L$2:$L70=""Success"",
 "&amp;"    NOT(REGEXMATCH(UPPER(Transactions!$E$2:$E70&amp;"" ""&amp;Transactions!$F$2:$F70&amp;"" ""&amp;Transactions!$H$2:$H70&amp;"" ""&amp;Transactions!$K$2:$K70),""REWARD|FINE""))
    ),
    1,FALSE
   ),
   ""limit 10"",
   0
  ),
  ""No transactions found""
 )
)"),"")</f>
        <v/>
      </c>
      <c r="B16" s="15"/>
      <c r="C16" s="14"/>
      <c r="D16" s="14"/>
      <c r="E16" s="29"/>
      <c r="G16" s="30" t="str">
        <f>IFERROR(__xludf.DUMMYFUNCTION("IF($B$4="""","""",IFNA(QUERY(SORT(FILTER({Transactions!$A$2:$A70,Transactions!$E$2:$E70,Transactions!$F$2:$F70,Transactions!$H$2:$H70,Transactions!$K$2:$K70},Transactions!$C$2:$C70=$B$4,Transactions!$E$2:$E70=""STORE_PURCHASE"",Transactions!$L$2:$L70=""Su"&amp;"ccess""),1,FALSE),""limit 10"",0),""No purchases found""))"),"")</f>
        <v/>
      </c>
      <c r="H16" s="15"/>
      <c r="I16" s="14"/>
      <c r="J16" s="14"/>
      <c r="K16" s="15"/>
    </row>
    <row r="17" ht="15.0" customHeight="1">
      <c r="A17" s="30"/>
      <c r="B17" s="15"/>
      <c r="C17" s="14"/>
      <c r="D17" s="14"/>
      <c r="E17" s="29"/>
      <c r="G17" s="30"/>
      <c r="H17" s="15"/>
      <c r="I17" s="14"/>
      <c r="J17" s="14"/>
      <c r="K17" s="15"/>
    </row>
    <row r="18" ht="15.0" customHeight="1">
      <c r="A18" s="30"/>
      <c r="B18" s="15"/>
      <c r="C18" s="14"/>
      <c r="D18" s="14"/>
      <c r="E18" s="29"/>
      <c r="G18" s="30"/>
      <c r="H18" s="15"/>
      <c r="I18" s="14"/>
      <c r="J18" s="14"/>
      <c r="K18" s="15"/>
    </row>
    <row r="19" ht="15.0" customHeight="1">
      <c r="A19" s="30"/>
      <c r="B19" s="15"/>
      <c r="C19" s="14"/>
      <c r="D19" s="14"/>
      <c r="E19" s="29"/>
      <c r="G19" s="30"/>
      <c r="H19" s="15"/>
      <c r="I19" s="14"/>
      <c r="J19" s="14"/>
      <c r="K19" s="15"/>
    </row>
    <row r="20" ht="15.0" customHeight="1">
      <c r="A20" s="30"/>
      <c r="B20" s="15"/>
      <c r="C20" s="14"/>
      <c r="D20" s="14"/>
      <c r="E20" s="29"/>
      <c r="G20" s="30"/>
      <c r="H20" s="15"/>
      <c r="I20" s="14"/>
      <c r="J20" s="14"/>
      <c r="K20" s="15"/>
    </row>
    <row r="21" ht="15.0" customHeight="1">
      <c r="A21" s="30"/>
      <c r="B21" s="15"/>
      <c r="C21" s="14"/>
      <c r="D21" s="14"/>
      <c r="E21" s="29"/>
      <c r="G21" s="30"/>
      <c r="H21" s="15"/>
      <c r="I21" s="14"/>
      <c r="J21" s="14"/>
      <c r="K21" s="15"/>
    </row>
    <row r="22" ht="15.0" customHeight="1">
      <c r="A22" s="30"/>
      <c r="B22" s="15"/>
      <c r="C22" s="14"/>
      <c r="D22" s="14"/>
      <c r="E22" s="29"/>
      <c r="G22" s="30"/>
      <c r="H22" s="15"/>
      <c r="I22" s="14"/>
      <c r="J22" s="14"/>
      <c r="K22" s="15"/>
    </row>
    <row r="23" ht="15.0" customHeight="1">
      <c r="A23" s="30"/>
      <c r="B23" s="15"/>
      <c r="C23" s="14"/>
      <c r="D23" s="14"/>
      <c r="E23" s="29"/>
      <c r="G23" s="30"/>
      <c r="H23" s="15"/>
      <c r="I23" s="14"/>
      <c r="J23" s="14"/>
      <c r="K23" s="15"/>
    </row>
    <row r="24" ht="15.0" customHeight="1">
      <c r="A24" s="30"/>
      <c r="B24" s="15"/>
      <c r="C24" s="14"/>
      <c r="D24" s="14"/>
      <c r="E24" s="29"/>
      <c r="G24" s="30"/>
      <c r="H24" s="15"/>
      <c r="I24" s="14"/>
      <c r="J24" s="14"/>
      <c r="K24" s="15"/>
    </row>
    <row r="25" ht="15.0" customHeight="1">
      <c r="A25" s="30"/>
      <c r="B25" s="15"/>
      <c r="C25" s="14"/>
      <c r="D25" s="14"/>
      <c r="E25" s="29"/>
      <c r="G25" s="30"/>
      <c r="H25" s="15"/>
      <c r="I25" s="14"/>
      <c r="J25" s="14"/>
      <c r="K25" s="15"/>
    </row>
    <row r="26" ht="15.0" customHeight="1">
      <c r="A26" s="30"/>
      <c r="B26" s="15"/>
      <c r="C26" s="14"/>
      <c r="D26" s="14"/>
      <c r="E26" s="29"/>
      <c r="G26" s="30"/>
      <c r="H26" s="15"/>
      <c r="I26" s="14"/>
      <c r="J26" s="14"/>
      <c r="K26" s="15"/>
    </row>
    <row r="27" ht="15.0" customHeight="1">
      <c r="A27" s="34" t="s">
        <v>40</v>
      </c>
      <c r="G27" s="34" t="s">
        <v>41</v>
      </c>
    </row>
    <row r="28" ht="15.0" customHeight="1">
      <c r="A28" s="36" t="s">
        <v>33</v>
      </c>
      <c r="B28" s="36" t="s">
        <v>42</v>
      </c>
      <c r="C28" s="36" t="s">
        <v>43</v>
      </c>
      <c r="D28" s="36" t="s">
        <v>37</v>
      </c>
      <c r="G28" s="36" t="s">
        <v>33</v>
      </c>
      <c r="H28" s="36" t="s">
        <v>34</v>
      </c>
      <c r="I28" s="36" t="s">
        <v>35</v>
      </c>
      <c r="J28" s="36" t="s">
        <v>39</v>
      </c>
      <c r="K28" s="36" t="s">
        <v>44</v>
      </c>
    </row>
    <row r="29" ht="15.0" customHeight="1">
      <c r="A29" s="30" t="str">
        <f>IFERROR(__xludf.DUMMYFUNCTION("IF($B$4="""","""",IFNA(QUERY(SORT(FILTER({Imported_Attendance!$A$2:$A70,Imported_Attendance!$I$2:$I70,Imported_Attendance!$H$2:$H70},Imported_Attendance!$C$2:$C70=$B$4),1,FALSE),""limit 10"",0),""No attendance records found""))"),"")</f>
        <v/>
      </c>
      <c r="B29" s="38"/>
      <c r="C29" s="39"/>
      <c r="D29" s="40"/>
      <c r="G29" s="30" t="str">
        <f>IFERROR(__xludf.DUMMYFUNCTION("IF($B$4="""","""",IFNA(QUERY(SORT(FILTER({Imported_Transactions!$A$2:$A70,Imported_Transactions!$E$2:$E70,Imported_Transactions!$F$2:$F70,Imported_Transactions!$H$2:$H70,Imported_Transactions!$K$2:$K70},Imported_Transactions!$C$2:$C70=$B$4,REGEXMATCH(Impo"&amp;"rted_Transactions!$E$2:$E70,""REWARD|FINE""),Imported_Transactions!$L$2:$L70=""Success""),1,FALSE),""limit 10"",0),""No rewards or fines found""))"),"")</f>
        <v/>
      </c>
      <c r="H29" s="39"/>
      <c r="I29" s="14"/>
      <c r="J29" s="14"/>
      <c r="K29" s="39"/>
    </row>
    <row r="30" ht="15.0" customHeight="1">
      <c r="A30" s="30"/>
      <c r="B30" s="17"/>
      <c r="C30" s="39"/>
      <c r="D30" s="40"/>
      <c r="G30" s="30"/>
      <c r="H30" s="39"/>
      <c r="I30" s="14"/>
      <c r="J30" s="14"/>
      <c r="K30" s="39"/>
    </row>
    <row r="31" ht="15.0" customHeight="1">
      <c r="A31" s="30"/>
      <c r="B31" s="17"/>
      <c r="C31" s="39"/>
      <c r="D31" s="40"/>
      <c r="G31" s="30"/>
      <c r="H31" s="39"/>
      <c r="I31" s="14"/>
      <c r="J31" s="14"/>
      <c r="K31" s="39"/>
    </row>
    <row r="32" ht="15.0" customHeight="1">
      <c r="A32" s="30"/>
      <c r="B32" s="17"/>
      <c r="C32" s="39"/>
      <c r="D32" s="40"/>
      <c r="G32" s="30"/>
      <c r="H32" s="39"/>
      <c r="I32" s="14"/>
      <c r="J32" s="14"/>
      <c r="K32" s="39"/>
    </row>
    <row r="33" ht="15.0" customHeight="1">
      <c r="A33" s="30"/>
      <c r="B33" s="17"/>
      <c r="C33" s="39"/>
      <c r="D33" s="40"/>
      <c r="G33" s="30"/>
      <c r="H33" s="39"/>
      <c r="I33" s="14"/>
      <c r="J33" s="14"/>
      <c r="K33" s="39"/>
    </row>
    <row r="34" ht="15.0" customHeight="1">
      <c r="A34" s="30"/>
      <c r="B34" s="17"/>
      <c r="C34" s="39"/>
      <c r="D34" s="40"/>
      <c r="G34" s="30"/>
      <c r="H34" s="39"/>
      <c r="I34" s="14"/>
      <c r="J34" s="14"/>
      <c r="K34" s="39"/>
    </row>
    <row r="35" ht="15.0" customHeight="1">
      <c r="A35" s="30"/>
      <c r="B35" s="17"/>
      <c r="C35" s="39"/>
      <c r="D35" s="40"/>
      <c r="G35" s="30"/>
      <c r="H35" s="39"/>
      <c r="I35" s="14"/>
      <c r="J35" s="14"/>
      <c r="K35" s="39"/>
    </row>
    <row r="36" ht="15.0" customHeight="1">
      <c r="A36" s="30"/>
      <c r="B36" s="17"/>
      <c r="C36" s="39"/>
      <c r="D36" s="40"/>
      <c r="G36" s="30"/>
      <c r="H36" s="39"/>
      <c r="I36" s="41"/>
      <c r="J36" s="14"/>
      <c r="K36" s="39"/>
    </row>
    <row r="37" ht="15.0" customHeight="1">
      <c r="A37" s="30"/>
      <c r="B37" s="17"/>
      <c r="C37" s="39"/>
      <c r="D37" s="40"/>
      <c r="G37" s="30"/>
      <c r="H37" s="39"/>
      <c r="I37" s="14"/>
      <c r="J37" s="14"/>
      <c r="K37" s="39"/>
    </row>
    <row r="38" ht="15.0" customHeight="1">
      <c r="A38" s="30"/>
      <c r="B38" s="17"/>
      <c r="C38" s="39"/>
      <c r="D38" s="40"/>
      <c r="G38" s="30"/>
      <c r="H38" s="39"/>
      <c r="I38" s="14"/>
      <c r="J38" s="14"/>
      <c r="K38" s="39"/>
    </row>
    <row r="39" ht="15.0" customHeight="1">
      <c r="A39" s="34" t="s">
        <v>45</v>
      </c>
      <c r="G39" s="42"/>
      <c r="H39" s="43"/>
      <c r="I39" s="44"/>
      <c r="J39" s="44"/>
      <c r="K39" s="43"/>
      <c r="L39" s="43"/>
    </row>
    <row r="40" ht="15.0" customHeight="1">
      <c r="A40" s="45" t="s">
        <v>46</v>
      </c>
      <c r="B40" s="46" t="s">
        <v>47</v>
      </c>
      <c r="C40" s="47" t="s">
        <v>48</v>
      </c>
      <c r="D40" s="47" t="s">
        <v>49</v>
      </c>
      <c r="E40" s="47" t="s">
        <v>50</v>
      </c>
      <c r="F40" s="48"/>
      <c r="G40" s="49"/>
      <c r="H40" s="50"/>
      <c r="I40" s="51"/>
      <c r="J40" s="51"/>
      <c r="K40" s="50"/>
      <c r="L40" s="50"/>
    </row>
    <row r="41" ht="15.0" customHeight="1">
      <c r="A41" s="52" t="str">
        <f>IFERROR(__xludf.DUMMYFUNCTION("IF($B$4="""","""",IFNA(
QUERY(
SORT(
FILTER(
{Imported_Stock_Portfolio!$C$2:$C70,Imported_Stock_Portfolio!$D$2:$D70,Imported_Stock_Portfolio!$E$2:$E70,Imported_Stock_Portfolio!$F$2:$F70,Imported_Stock_Portfolio!$G$2:$G70},
Imported_Stock_Portfolio!$A$2:$A"&amp;"70=$B$4
),
5,FALSE
),
""limit 10"",0
),
""No stock holdings found""))"),"")</f>
        <v/>
      </c>
      <c r="B41" s="53"/>
      <c r="C41" s="54"/>
      <c r="D41" s="54"/>
      <c r="E41" s="54"/>
      <c r="F41" s="55"/>
      <c r="G41" s="56"/>
      <c r="H41" s="57"/>
      <c r="I41" s="58"/>
      <c r="J41" s="58"/>
      <c r="K41" s="57"/>
      <c r="L41" s="57"/>
    </row>
    <row r="42" ht="15.0" customHeight="1">
      <c r="A42" s="52"/>
      <c r="B42" s="53"/>
      <c r="C42" s="54"/>
      <c r="D42" s="54"/>
      <c r="E42" s="54"/>
      <c r="F42" s="55"/>
      <c r="G42" s="56"/>
      <c r="H42" s="57"/>
      <c r="I42" s="58"/>
      <c r="J42" s="58"/>
      <c r="K42" s="57"/>
      <c r="L42" s="57"/>
    </row>
    <row r="43" ht="15.0" customHeight="1">
      <c r="A43" s="52"/>
      <c r="B43" s="53"/>
      <c r="C43" s="54"/>
      <c r="D43" s="54"/>
      <c r="E43" s="54"/>
      <c r="F43" s="55"/>
      <c r="G43" s="56"/>
      <c r="H43" s="57"/>
      <c r="I43" s="58"/>
      <c r="J43" s="58"/>
      <c r="K43" s="57"/>
      <c r="L43" s="57"/>
    </row>
    <row r="44" ht="15.0" customHeight="1">
      <c r="A44" s="52"/>
      <c r="B44" s="53"/>
      <c r="C44" s="54"/>
      <c r="D44" s="54"/>
      <c r="E44" s="54"/>
      <c r="F44" s="55"/>
      <c r="G44" s="56"/>
      <c r="H44" s="57"/>
      <c r="I44" s="58"/>
      <c r="J44" s="58"/>
      <c r="K44" s="57"/>
      <c r="L44" s="57"/>
    </row>
    <row r="45" ht="15.0" customHeight="1">
      <c r="A45" s="52"/>
      <c r="B45" s="53"/>
      <c r="C45" s="54"/>
      <c r="D45" s="54"/>
      <c r="E45" s="54"/>
      <c r="F45" s="55"/>
      <c r="G45" s="56"/>
      <c r="H45" s="57"/>
      <c r="I45" s="58"/>
      <c r="J45" s="58"/>
      <c r="K45" s="57"/>
      <c r="L45" s="57"/>
    </row>
    <row r="46" ht="15.0" customHeight="1">
      <c r="A46" s="52"/>
      <c r="B46" s="53"/>
      <c r="C46" s="54"/>
      <c r="D46" s="54"/>
      <c r="E46" s="54"/>
      <c r="F46" s="55"/>
      <c r="G46" s="56"/>
      <c r="H46" s="57"/>
      <c r="I46" s="58"/>
      <c r="J46" s="58"/>
      <c r="K46" s="57"/>
      <c r="L46" s="57"/>
    </row>
    <row r="47" ht="15.0" customHeight="1">
      <c r="A47" s="52"/>
      <c r="B47" s="53"/>
      <c r="C47" s="54"/>
      <c r="D47" s="54"/>
      <c r="E47" s="54"/>
      <c r="F47" s="55"/>
      <c r="G47" s="56"/>
      <c r="H47" s="57"/>
      <c r="I47" s="58"/>
      <c r="J47" s="58"/>
      <c r="K47" s="57"/>
      <c r="L47" s="57"/>
    </row>
    <row r="48" ht="15.0" customHeight="1">
      <c r="A48" s="52"/>
      <c r="B48" s="53"/>
      <c r="C48" s="54"/>
      <c r="D48" s="54"/>
      <c r="E48" s="54"/>
      <c r="F48" s="55"/>
      <c r="G48" s="56"/>
      <c r="H48" s="57"/>
      <c r="I48" s="58"/>
      <c r="J48" s="58"/>
      <c r="K48" s="57"/>
      <c r="L48" s="57"/>
    </row>
    <row r="49" ht="15.0" customHeight="1">
      <c r="A49" s="52"/>
      <c r="B49" s="53"/>
      <c r="C49" s="54"/>
      <c r="D49" s="54"/>
      <c r="E49" s="54"/>
      <c r="F49" s="55"/>
      <c r="G49" s="56"/>
      <c r="H49" s="57"/>
      <c r="I49" s="58"/>
      <c r="J49" s="58"/>
      <c r="K49" s="57"/>
      <c r="L49" s="57"/>
    </row>
    <row r="50" ht="15.0" customHeight="1">
      <c r="A50" s="52"/>
      <c r="B50" s="53"/>
      <c r="C50" s="54"/>
      <c r="D50" s="54"/>
      <c r="E50" s="54"/>
      <c r="F50" s="55"/>
      <c r="G50" s="56"/>
      <c r="H50" s="57"/>
      <c r="I50" s="58"/>
      <c r="J50" s="58"/>
      <c r="K50" s="57"/>
      <c r="L50" s="57"/>
    </row>
    <row r="51" ht="15.0" customHeight="1">
      <c r="A51" s="52"/>
      <c r="B51" s="53"/>
      <c r="C51" s="54"/>
      <c r="D51" s="54"/>
      <c r="E51" s="54"/>
      <c r="F51" s="55"/>
      <c r="G51" s="56"/>
      <c r="H51" s="57"/>
      <c r="I51" s="58"/>
      <c r="J51" s="58"/>
      <c r="K51" s="57"/>
      <c r="L51" s="57"/>
    </row>
    <row r="52" ht="15.0" customHeight="1">
      <c r="A52" s="52"/>
      <c r="B52" s="53"/>
      <c r="C52" s="54"/>
      <c r="D52" s="54"/>
      <c r="E52" s="54"/>
      <c r="F52" s="55"/>
      <c r="G52" s="56"/>
      <c r="H52" s="57"/>
      <c r="I52" s="58"/>
      <c r="J52" s="58"/>
      <c r="K52" s="57"/>
      <c r="L52" s="57"/>
    </row>
    <row r="53" ht="15.0" customHeight="1">
      <c r="A53" s="52"/>
      <c r="B53" s="53"/>
      <c r="C53" s="54"/>
      <c r="D53" s="54"/>
      <c r="E53" s="54"/>
      <c r="F53" s="55"/>
      <c r="G53" s="56"/>
      <c r="H53" s="57"/>
      <c r="I53" s="58"/>
      <c r="J53" s="58"/>
      <c r="K53" s="57"/>
      <c r="L53" s="57"/>
    </row>
    <row r="54" ht="15.0" customHeight="1">
      <c r="A54" s="52"/>
      <c r="B54" s="53"/>
      <c r="C54" s="54"/>
      <c r="D54" s="54"/>
      <c r="E54" s="54"/>
      <c r="F54" s="55"/>
      <c r="G54" s="56"/>
      <c r="H54" s="57"/>
      <c r="I54" s="58"/>
      <c r="J54" s="58"/>
      <c r="K54" s="57"/>
      <c r="L54" s="57"/>
    </row>
    <row r="55" ht="15.0" customHeight="1">
      <c r="A55" s="52"/>
      <c r="B55" s="53"/>
      <c r="C55" s="54"/>
      <c r="D55" s="54"/>
      <c r="E55" s="54"/>
      <c r="F55" s="55"/>
      <c r="G55" s="56"/>
      <c r="H55" s="57"/>
      <c r="I55" s="58"/>
      <c r="J55" s="58"/>
      <c r="K55" s="57"/>
      <c r="L55" s="57"/>
    </row>
    <row r="56" ht="15.0" customHeight="1">
      <c r="A56" s="52"/>
      <c r="B56" s="53"/>
      <c r="C56" s="54"/>
      <c r="D56" s="54"/>
      <c r="E56" s="54"/>
      <c r="F56" s="55"/>
      <c r="G56" s="56"/>
      <c r="H56" s="57"/>
      <c r="I56" s="58"/>
      <c r="J56" s="58"/>
      <c r="K56" s="57"/>
      <c r="L56" s="57"/>
    </row>
    <row r="57" ht="15.0" customHeight="1">
      <c r="A57" s="52"/>
      <c r="B57" s="53"/>
      <c r="C57" s="54"/>
      <c r="D57" s="54"/>
      <c r="E57" s="54"/>
      <c r="F57" s="55"/>
      <c r="G57" s="56"/>
      <c r="H57" s="57"/>
      <c r="I57" s="58"/>
      <c r="J57" s="58"/>
      <c r="K57" s="57"/>
      <c r="L57" s="57"/>
    </row>
    <row r="58" ht="15.0" customHeight="1">
      <c r="A58" s="52"/>
      <c r="B58" s="53"/>
      <c r="C58" s="54"/>
      <c r="D58" s="54"/>
      <c r="E58" s="54"/>
      <c r="F58" s="55"/>
      <c r="G58" s="56"/>
      <c r="H58" s="57"/>
      <c r="I58" s="58"/>
      <c r="J58" s="58"/>
      <c r="K58" s="57"/>
      <c r="L58" s="57"/>
    </row>
    <row r="59" ht="15.0" customHeight="1">
      <c r="A59" s="52"/>
      <c r="B59" s="53"/>
      <c r="C59" s="54"/>
      <c r="D59" s="54"/>
      <c r="E59" s="54"/>
      <c r="F59" s="55"/>
      <c r="G59" s="56"/>
      <c r="H59" s="57"/>
      <c r="I59" s="58"/>
      <c r="J59" s="58"/>
      <c r="K59" s="57"/>
      <c r="L59" s="57"/>
    </row>
    <row r="60" ht="15.0" customHeight="1">
      <c r="A60" s="52"/>
      <c r="B60" s="53"/>
      <c r="C60" s="54"/>
      <c r="D60" s="54"/>
      <c r="E60" s="54"/>
      <c r="F60" s="55"/>
      <c r="G60" s="56"/>
      <c r="H60" s="57"/>
      <c r="I60" s="58"/>
      <c r="J60" s="58"/>
      <c r="K60" s="57"/>
      <c r="L60" s="57"/>
    </row>
    <row r="61" ht="15.0" customHeight="1">
      <c r="A61" s="52"/>
      <c r="B61" s="53"/>
      <c r="C61" s="54"/>
      <c r="D61" s="54"/>
      <c r="E61" s="54"/>
      <c r="F61" s="55"/>
      <c r="G61" s="56"/>
      <c r="H61" s="57"/>
      <c r="I61" s="58"/>
      <c r="J61" s="58"/>
      <c r="K61" s="57"/>
      <c r="L61" s="57"/>
    </row>
    <row r="62" ht="15.0" customHeight="1">
      <c r="A62" s="52"/>
      <c r="B62" s="53"/>
      <c r="C62" s="54"/>
      <c r="D62" s="54"/>
      <c r="E62" s="54"/>
      <c r="F62" s="55"/>
      <c r="G62" s="56"/>
      <c r="H62" s="57"/>
      <c r="I62" s="58"/>
      <c r="J62" s="58"/>
      <c r="K62" s="57"/>
      <c r="L62" s="57"/>
    </row>
    <row r="63" ht="15.0" customHeight="1">
      <c r="A63" s="52"/>
      <c r="B63" s="53"/>
      <c r="C63" s="54"/>
      <c r="D63" s="54"/>
      <c r="E63" s="54"/>
      <c r="F63" s="55"/>
      <c r="G63" s="56"/>
      <c r="H63" s="57"/>
      <c r="I63" s="58"/>
      <c r="J63" s="58"/>
      <c r="K63" s="57"/>
      <c r="L63" s="57"/>
    </row>
    <row r="64" ht="15.0" customHeight="1">
      <c r="A64" s="52"/>
      <c r="B64" s="53"/>
      <c r="C64" s="54"/>
      <c r="D64" s="54"/>
      <c r="E64" s="54"/>
      <c r="F64" s="55"/>
      <c r="G64" s="56"/>
      <c r="H64" s="57"/>
      <c r="I64" s="58"/>
      <c r="J64" s="58"/>
      <c r="K64" s="57"/>
      <c r="L64" s="57"/>
    </row>
    <row r="65" ht="15.0" customHeight="1">
      <c r="A65" s="52"/>
      <c r="B65" s="53"/>
      <c r="C65" s="54"/>
      <c r="D65" s="54"/>
      <c r="E65" s="54"/>
      <c r="F65" s="55"/>
      <c r="G65" s="56"/>
      <c r="H65" s="57"/>
      <c r="I65" s="58"/>
      <c r="J65" s="58"/>
      <c r="K65" s="57"/>
      <c r="L65" s="57"/>
    </row>
    <row r="66" ht="15.0" customHeight="1">
      <c r="A66" s="52"/>
      <c r="B66" s="53"/>
      <c r="C66" s="54"/>
      <c r="D66" s="54"/>
      <c r="E66" s="54"/>
      <c r="F66" s="55"/>
      <c r="G66" s="56"/>
      <c r="H66" s="57"/>
      <c r="I66" s="58"/>
      <c r="J66" s="58"/>
      <c r="K66" s="57"/>
      <c r="L66" s="57"/>
    </row>
    <row r="67" ht="15.0" customHeight="1">
      <c r="A67" s="52"/>
      <c r="B67" s="53"/>
      <c r="C67" s="54"/>
      <c r="D67" s="54"/>
      <c r="E67" s="54"/>
      <c r="F67" s="55"/>
      <c r="G67" s="56"/>
      <c r="H67" s="57"/>
      <c r="I67" s="58"/>
      <c r="J67" s="58"/>
      <c r="K67" s="57"/>
      <c r="L67" s="57"/>
    </row>
    <row r="68" ht="15.0" customHeight="1">
      <c r="A68" s="52"/>
      <c r="B68" s="53"/>
      <c r="C68" s="54"/>
      <c r="D68" s="54"/>
      <c r="E68" s="54"/>
      <c r="F68" s="55"/>
      <c r="G68" s="56"/>
      <c r="H68" s="57"/>
      <c r="I68" s="58"/>
      <c r="J68" s="58"/>
      <c r="K68" s="57"/>
      <c r="L68" s="57"/>
    </row>
    <row r="69" ht="15.0" customHeight="1">
      <c r="A69" s="52"/>
      <c r="B69" s="53"/>
      <c r="C69" s="54"/>
      <c r="D69" s="54"/>
      <c r="E69" s="54"/>
      <c r="F69" s="55"/>
      <c r="G69" s="56"/>
      <c r="H69" s="57"/>
      <c r="I69" s="58"/>
      <c r="J69" s="58"/>
      <c r="K69" s="57"/>
      <c r="L69" s="57"/>
    </row>
    <row r="70" ht="15.0" customHeight="1">
      <c r="A70" s="52"/>
      <c r="B70" s="53"/>
      <c r="C70" s="54"/>
      <c r="D70" s="54"/>
      <c r="E70" s="54"/>
      <c r="F70" s="55"/>
      <c r="G70" s="56"/>
      <c r="H70" s="57"/>
      <c r="I70" s="58"/>
      <c r="J70" s="58"/>
      <c r="K70" s="57"/>
      <c r="L70" s="57"/>
    </row>
  </sheetData>
  <mergeCells count="52">
    <mergeCell ref="K36:L36"/>
    <mergeCell ref="K37:L37"/>
    <mergeCell ref="K29:L29"/>
    <mergeCell ref="K30:L30"/>
    <mergeCell ref="K31:L31"/>
    <mergeCell ref="K32:L32"/>
    <mergeCell ref="K33:L33"/>
    <mergeCell ref="K34:L34"/>
    <mergeCell ref="K35:L35"/>
    <mergeCell ref="K16:L16"/>
    <mergeCell ref="K17:L17"/>
    <mergeCell ref="A1:L2"/>
    <mergeCell ref="A14:E14"/>
    <mergeCell ref="G14:L14"/>
    <mergeCell ref="E15:F15"/>
    <mergeCell ref="K15:L15"/>
    <mergeCell ref="E16:F16"/>
    <mergeCell ref="E17:F17"/>
    <mergeCell ref="E18:F18"/>
    <mergeCell ref="K18:L18"/>
    <mergeCell ref="E19:F19"/>
    <mergeCell ref="K19:L19"/>
    <mergeCell ref="E20:F20"/>
    <mergeCell ref="K20:L20"/>
    <mergeCell ref="K21:L21"/>
    <mergeCell ref="E21:F21"/>
    <mergeCell ref="E22:F22"/>
    <mergeCell ref="E23:F23"/>
    <mergeCell ref="E24:F24"/>
    <mergeCell ref="E25:F25"/>
    <mergeCell ref="E26:F26"/>
    <mergeCell ref="A27:F27"/>
    <mergeCell ref="K22:L22"/>
    <mergeCell ref="K23:L23"/>
    <mergeCell ref="K24:L24"/>
    <mergeCell ref="K25:L25"/>
    <mergeCell ref="K26:L26"/>
    <mergeCell ref="G27:L27"/>
    <mergeCell ref="K28:L28"/>
    <mergeCell ref="D35:F35"/>
    <mergeCell ref="D36:F36"/>
    <mergeCell ref="D37:F37"/>
    <mergeCell ref="D38:F38"/>
    <mergeCell ref="K38:L38"/>
    <mergeCell ref="A39:F39"/>
    <mergeCell ref="D28:F28"/>
    <mergeCell ref="D29:F29"/>
    <mergeCell ref="D30:F30"/>
    <mergeCell ref="D31:F31"/>
    <mergeCell ref="D32:F32"/>
    <mergeCell ref="D33:F33"/>
    <mergeCell ref="D34:F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7" width="20.13"/>
  </cols>
  <sheetData>
    <row r="1">
      <c r="A1" s="59" t="s">
        <v>51</v>
      </c>
    </row>
    <row r="2">
      <c r="C2" s="60"/>
      <c r="D2" s="60"/>
      <c r="E2" s="60"/>
      <c r="F2" s="60"/>
    </row>
    <row r="3">
      <c r="A3" s="61" t="s">
        <v>14</v>
      </c>
      <c r="B3" s="62" t="s">
        <v>52</v>
      </c>
      <c r="C3" s="60"/>
      <c r="D3" s="60"/>
      <c r="E3" s="60"/>
      <c r="F3" s="60"/>
    </row>
    <row r="4">
      <c r="A4" s="63"/>
      <c r="C4" s="60"/>
      <c r="D4" s="60"/>
      <c r="E4" s="60"/>
      <c r="F4" s="60"/>
    </row>
    <row r="5">
      <c r="A5" s="61" t="s">
        <v>4</v>
      </c>
      <c r="B5" s="64" t="s">
        <v>53</v>
      </c>
      <c r="C5" s="65"/>
      <c r="D5" s="65"/>
      <c r="E5" s="65"/>
      <c r="F5" s="65"/>
      <c r="G5" s="66"/>
    </row>
    <row r="6">
      <c r="C6" s="60"/>
      <c r="D6" s="60"/>
      <c r="E6" s="60"/>
      <c r="F6" s="60"/>
    </row>
    <row r="7">
      <c r="C7" s="60"/>
      <c r="D7" s="60"/>
      <c r="E7" s="60"/>
      <c r="F7" s="60"/>
    </row>
    <row r="8">
      <c r="A8" s="67" t="s">
        <v>46</v>
      </c>
      <c r="B8" s="67" t="s">
        <v>54</v>
      </c>
      <c r="C8" s="68" t="s">
        <v>55</v>
      </c>
      <c r="D8" s="68" t="s">
        <v>56</v>
      </c>
      <c r="E8" s="68" t="s">
        <v>57</v>
      </c>
      <c r="F8" s="68" t="s">
        <v>58</v>
      </c>
      <c r="G8" s="67" t="s">
        <v>59</v>
      </c>
    </row>
    <row r="9">
      <c r="A9" s="69" t="str">
        <f>IFERROR(__xludf.DUMMYFUNCTION("IF($B$3="""","""",IFNA(
QUERY(
SORT(
FILTER(
{Imported_Stock_Portfolio!$C$2:$C73,Imported_Stock_Portfolio!$D$2:$D73,Imported_Stock_Portfolio!$E$2:$E73,Imported_Stock_Portfolio!$G$2:$G73,Imported_Stock_Portfolio!$H$2:$H73,Imported_Stock_Portfolio!$I$2:$I73"&amp;",Imported_Stock_Portfolio!$J$2:$J73},
Imported_Stock_Portfolio!$A$2:$A73=$B$3
),
5,FALSE
),
""limit 10"",0
),
""No stock holdings found""))"),"RIDE")</f>
        <v>RIDE</v>
      </c>
      <c r="B9" s="69">
        <f>IFERROR(__xludf.DUMMYFUNCTION("""COMPUTED_VALUE"""),2.0)</f>
        <v>2</v>
      </c>
      <c r="C9" s="70">
        <f>IFERROR(__xludf.DUMMYFUNCTION("""COMPUTED_VALUE"""),41.11)</f>
        <v>41.11</v>
      </c>
      <c r="D9" s="71">
        <f>IFERROR(__xludf.DUMMYFUNCTION("""COMPUTED_VALUE"""),98.16999999999825)</f>
        <v>98.17</v>
      </c>
      <c r="E9" s="72">
        <f>IFERROR(__xludf.DUMMYFUNCTION("""COMPUTED_VALUE"""),196.34)</f>
        <v>196.34</v>
      </c>
      <c r="F9" s="73">
        <f>IFERROR(__xludf.DUMMYFUNCTION("""COMPUTED_VALUE"""),114.12)</f>
        <v>114.12</v>
      </c>
      <c r="G9" s="74">
        <f>IFERROR(__xludf.DUMMYFUNCTION("""COMPUTED_VALUE"""),46187.706655092596)</f>
        <v>46187.70666</v>
      </c>
    </row>
    <row r="10">
      <c r="A10" s="75" t="str">
        <f>IFERROR(__xludf.DUMMYFUNCTION("""COMPUTED_VALUE"""),"LOAN")</f>
        <v>LOAN</v>
      </c>
      <c r="B10" s="75">
        <f>IFERROR(__xludf.DUMMYFUNCTION("""COMPUTED_VALUE"""),1.0)</f>
        <v>1</v>
      </c>
      <c r="C10" s="76">
        <f>IFERROR(__xludf.DUMMYFUNCTION("""COMPUTED_VALUE"""),58.91)</f>
        <v>58.91</v>
      </c>
      <c r="D10" s="77">
        <f>IFERROR(__xludf.DUMMYFUNCTION("""COMPUTED_VALUE"""),76.9900000000016)</f>
        <v>76.99</v>
      </c>
      <c r="E10" s="77">
        <f>IFERROR(__xludf.DUMMYFUNCTION("""COMPUTED_VALUE"""),76.99)</f>
        <v>76.99</v>
      </c>
      <c r="F10" s="78">
        <f>IFERROR(__xludf.DUMMYFUNCTION("""COMPUTED_VALUE"""),18.08)</f>
        <v>18.08</v>
      </c>
      <c r="G10" s="79">
        <f>IFERROR(__xludf.DUMMYFUNCTION("""COMPUTED_VALUE"""),46187.706655092596)</f>
        <v>46187.70666</v>
      </c>
    </row>
    <row r="11">
      <c r="A11" s="69"/>
      <c r="B11" s="69"/>
      <c r="C11" s="70"/>
      <c r="D11" s="71"/>
      <c r="E11" s="71"/>
      <c r="F11" s="80"/>
      <c r="G11" s="74"/>
    </row>
    <row r="12">
      <c r="A12" s="75"/>
      <c r="B12" s="75"/>
      <c r="C12" s="76"/>
      <c r="D12" s="77"/>
      <c r="E12" s="77"/>
      <c r="F12" s="81"/>
      <c r="G12" s="79"/>
    </row>
    <row r="13">
      <c r="A13" s="69"/>
      <c r="B13" s="69"/>
      <c r="C13" s="70"/>
      <c r="D13" s="71"/>
      <c r="E13" s="71"/>
      <c r="F13" s="82"/>
      <c r="G13" s="74"/>
    </row>
    <row r="14">
      <c r="A14" s="75"/>
      <c r="B14" s="75"/>
      <c r="C14" s="76"/>
      <c r="D14" s="77"/>
      <c r="E14" s="77"/>
      <c r="F14" s="83"/>
      <c r="G14" s="79"/>
    </row>
    <row r="15">
      <c r="A15" s="69"/>
      <c r="B15" s="69"/>
      <c r="C15" s="70"/>
      <c r="D15" s="71"/>
      <c r="E15" s="71"/>
      <c r="F15" s="84"/>
      <c r="G15" s="74"/>
    </row>
    <row r="16">
      <c r="A16" s="75"/>
      <c r="B16" s="75"/>
      <c r="C16" s="76"/>
      <c r="D16" s="77"/>
      <c r="E16" s="77"/>
      <c r="F16" s="85"/>
      <c r="G16" s="79"/>
    </row>
    <row r="17">
      <c r="A17" s="69"/>
      <c r="B17" s="69"/>
      <c r="C17" s="70"/>
      <c r="D17" s="71"/>
      <c r="E17" s="71"/>
      <c r="F17" s="86"/>
      <c r="G17" s="74"/>
    </row>
    <row r="18">
      <c r="A18" s="75"/>
      <c r="B18" s="75"/>
      <c r="C18" s="76"/>
      <c r="D18" s="77"/>
      <c r="E18" s="77"/>
      <c r="F18" s="87"/>
      <c r="G18" s="79"/>
    </row>
    <row r="19">
      <c r="A19" s="69"/>
      <c r="B19" s="69"/>
      <c r="C19" s="70"/>
      <c r="D19" s="71"/>
      <c r="E19" s="71"/>
      <c r="F19" s="88"/>
      <c r="G19" s="74"/>
    </row>
    <row r="20">
      <c r="A20" s="75"/>
      <c r="B20" s="75"/>
      <c r="C20" s="76"/>
      <c r="D20" s="77"/>
      <c r="E20" s="77"/>
      <c r="F20" s="89"/>
      <c r="G20" s="79"/>
    </row>
    <row r="21">
      <c r="A21" s="69"/>
      <c r="B21" s="69"/>
      <c r="C21" s="70"/>
      <c r="D21" s="71"/>
      <c r="E21" s="71"/>
      <c r="F21" s="90"/>
      <c r="G21" s="74"/>
    </row>
    <row r="22">
      <c r="A22" s="75"/>
      <c r="B22" s="75"/>
      <c r="C22" s="76"/>
      <c r="D22" s="77"/>
      <c r="E22" s="77"/>
      <c r="F22" s="91"/>
      <c r="G22" s="79"/>
    </row>
    <row r="23">
      <c r="A23" s="69"/>
      <c r="B23" s="69"/>
      <c r="C23" s="70"/>
      <c r="D23" s="71"/>
      <c r="E23" s="71"/>
      <c r="F23" s="88"/>
      <c r="G23" s="74"/>
    </row>
    <row r="24">
      <c r="A24" s="75"/>
      <c r="B24" s="75"/>
      <c r="C24" s="76"/>
      <c r="D24" s="77"/>
      <c r="E24" s="77"/>
      <c r="F24" s="92"/>
      <c r="G24" s="79"/>
    </row>
    <row r="25">
      <c r="A25" s="69"/>
      <c r="B25" s="69"/>
      <c r="C25" s="70"/>
      <c r="D25" s="71"/>
      <c r="E25" s="71"/>
      <c r="F25" s="93"/>
      <c r="G25" s="74"/>
    </row>
    <row r="26">
      <c r="A26" s="75"/>
      <c r="B26" s="75"/>
      <c r="C26" s="76"/>
      <c r="D26" s="77"/>
      <c r="E26" s="77"/>
      <c r="F26" s="94"/>
      <c r="G26" s="79"/>
    </row>
    <row r="27">
      <c r="A27" s="69"/>
      <c r="B27" s="69"/>
      <c r="C27" s="70"/>
      <c r="D27" s="71"/>
      <c r="E27" s="71"/>
      <c r="F27" s="95"/>
      <c r="G27" s="74"/>
    </row>
    <row r="28">
      <c r="A28" s="75"/>
      <c r="B28" s="75"/>
      <c r="C28" s="76"/>
      <c r="D28" s="77"/>
      <c r="E28" s="77"/>
      <c r="F28" s="96"/>
      <c r="G28" s="79"/>
    </row>
    <row r="29">
      <c r="A29" s="69"/>
      <c r="B29" s="69"/>
      <c r="C29" s="70"/>
      <c r="D29" s="71"/>
      <c r="E29" s="71"/>
      <c r="F29" s="97"/>
      <c r="G29" s="74"/>
    </row>
    <row r="30">
      <c r="A30" s="75"/>
      <c r="B30" s="75"/>
      <c r="C30" s="76"/>
      <c r="D30" s="77"/>
      <c r="E30" s="77"/>
      <c r="F30" s="96"/>
      <c r="G30" s="79"/>
    </row>
    <row r="31">
      <c r="A31" s="69"/>
      <c r="B31" s="69"/>
      <c r="C31" s="70"/>
      <c r="D31" s="71"/>
      <c r="E31" s="71"/>
      <c r="F31" s="98"/>
      <c r="G31" s="74"/>
    </row>
    <row r="32">
      <c r="A32" s="75"/>
      <c r="B32" s="75"/>
      <c r="C32" s="76"/>
      <c r="D32" s="77"/>
      <c r="E32" s="77"/>
      <c r="F32" s="99"/>
      <c r="G32" s="79"/>
    </row>
    <row r="33">
      <c r="A33" s="69"/>
      <c r="B33" s="69"/>
      <c r="C33" s="70"/>
      <c r="D33" s="71"/>
      <c r="E33" s="71"/>
      <c r="F33" s="89"/>
      <c r="G33" s="74"/>
    </row>
    <row r="34">
      <c r="A34" s="75"/>
      <c r="B34" s="75"/>
      <c r="C34" s="76"/>
      <c r="D34" s="77"/>
      <c r="E34" s="77"/>
      <c r="F34" s="100"/>
      <c r="G34" s="79"/>
    </row>
    <row r="35">
      <c r="A35" s="69"/>
      <c r="B35" s="69"/>
      <c r="C35" s="70"/>
      <c r="D35" s="71"/>
      <c r="E35" s="71"/>
      <c r="F35" s="101"/>
      <c r="G35" s="74"/>
    </row>
    <row r="36">
      <c r="A36" s="75"/>
      <c r="B36" s="75"/>
      <c r="C36" s="76"/>
      <c r="D36" s="77"/>
      <c r="E36" s="77"/>
      <c r="F36" s="102"/>
      <c r="G36" s="79"/>
    </row>
    <row r="37">
      <c r="A37" s="69"/>
      <c r="B37" s="69"/>
      <c r="C37" s="70"/>
      <c r="D37" s="71"/>
      <c r="E37" s="71"/>
      <c r="F37" s="103"/>
      <c r="G37" s="74"/>
    </row>
    <row r="38">
      <c r="A38" s="75"/>
      <c r="B38" s="75"/>
      <c r="C38" s="76"/>
      <c r="D38" s="77"/>
      <c r="E38" s="77"/>
      <c r="F38" s="103"/>
      <c r="G38" s="79"/>
    </row>
    <row r="39">
      <c r="A39" s="69"/>
      <c r="B39" s="69"/>
      <c r="C39" s="70"/>
      <c r="D39" s="71"/>
      <c r="E39" s="71"/>
      <c r="F39" s="104"/>
      <c r="G39" s="74"/>
    </row>
    <row r="40">
      <c r="A40" s="75"/>
      <c r="B40" s="75"/>
      <c r="C40" s="76"/>
      <c r="D40" s="77"/>
      <c r="E40" s="77"/>
      <c r="F40" s="80"/>
      <c r="G40" s="79"/>
    </row>
    <row r="41">
      <c r="A41" s="69"/>
      <c r="B41" s="69"/>
      <c r="C41" s="70"/>
      <c r="D41" s="71"/>
      <c r="E41" s="71"/>
      <c r="F41" s="105"/>
      <c r="G41" s="74"/>
    </row>
    <row r="42">
      <c r="A42" s="75"/>
      <c r="B42" s="75"/>
      <c r="C42" s="76"/>
      <c r="D42" s="77"/>
      <c r="E42" s="77"/>
      <c r="F42" s="81"/>
      <c r="G42" s="79"/>
    </row>
    <row r="43">
      <c r="A43" s="69"/>
      <c r="B43" s="69"/>
      <c r="C43" s="70"/>
      <c r="D43" s="71"/>
      <c r="E43" s="71"/>
      <c r="F43" s="88"/>
      <c r="G43" s="74"/>
    </row>
    <row r="44">
      <c r="A44" s="75"/>
      <c r="B44" s="75"/>
      <c r="C44" s="76"/>
      <c r="D44" s="77"/>
      <c r="E44" s="77"/>
      <c r="F44" s="106"/>
      <c r="G44" s="79"/>
    </row>
    <row r="45">
      <c r="A45" s="69"/>
      <c r="B45" s="69"/>
      <c r="C45" s="70"/>
      <c r="D45" s="71"/>
      <c r="E45" s="71"/>
      <c r="F45" s="96"/>
      <c r="G45" s="74"/>
    </row>
    <row r="46">
      <c r="A46" s="75"/>
      <c r="B46" s="75"/>
      <c r="C46" s="76"/>
      <c r="D46" s="77"/>
      <c r="E46" s="77"/>
      <c r="F46" s="100"/>
      <c r="G46" s="79"/>
    </row>
    <row r="47">
      <c r="A47" s="69"/>
      <c r="B47" s="69"/>
      <c r="C47" s="70"/>
      <c r="D47" s="71"/>
      <c r="E47" s="71"/>
      <c r="F47" s="107"/>
      <c r="G47" s="74"/>
    </row>
    <row r="48">
      <c r="A48" s="75"/>
      <c r="B48" s="75"/>
      <c r="C48" s="76"/>
      <c r="D48" s="77"/>
      <c r="E48" s="77"/>
      <c r="F48" s="108"/>
      <c r="G48" s="79"/>
    </row>
    <row r="49">
      <c r="A49" s="69"/>
      <c r="B49" s="69"/>
      <c r="C49" s="70"/>
      <c r="D49" s="71"/>
      <c r="E49" s="71"/>
      <c r="F49" s="102"/>
      <c r="G49" s="74"/>
    </row>
    <row r="50">
      <c r="A50" s="75"/>
      <c r="B50" s="75"/>
      <c r="C50" s="76"/>
      <c r="D50" s="77"/>
      <c r="E50" s="77"/>
      <c r="F50" s="109"/>
      <c r="G50" s="79"/>
    </row>
    <row r="51">
      <c r="A51" s="69"/>
      <c r="B51" s="69"/>
      <c r="C51" s="70"/>
      <c r="D51" s="71"/>
      <c r="E51" s="71"/>
      <c r="F51" s="110"/>
      <c r="G51" s="74"/>
    </row>
    <row r="52">
      <c r="A52" s="75"/>
      <c r="B52" s="75"/>
      <c r="C52" s="76"/>
      <c r="D52" s="77"/>
      <c r="E52" s="77"/>
      <c r="F52" s="109"/>
      <c r="G52" s="79"/>
    </row>
    <row r="53">
      <c r="A53" s="69"/>
      <c r="B53" s="69"/>
      <c r="C53" s="70"/>
      <c r="D53" s="71"/>
      <c r="E53" s="71"/>
      <c r="F53" s="80"/>
      <c r="G53" s="74"/>
    </row>
    <row r="54">
      <c r="A54" s="75"/>
      <c r="B54" s="75"/>
      <c r="C54" s="76"/>
      <c r="D54" s="77"/>
      <c r="E54" s="77"/>
      <c r="F54" s="111"/>
      <c r="G54" s="79"/>
    </row>
    <row r="55">
      <c r="A55" s="69"/>
      <c r="B55" s="69"/>
      <c r="C55" s="70"/>
      <c r="D55" s="71"/>
      <c r="E55" s="71"/>
      <c r="F55" s="112"/>
      <c r="G55" s="74"/>
    </row>
    <row r="56">
      <c r="A56" s="75"/>
      <c r="B56" s="75"/>
      <c r="C56" s="76"/>
      <c r="D56" s="77"/>
      <c r="E56" s="77"/>
      <c r="F56" s="113"/>
      <c r="G56" s="79"/>
    </row>
    <row r="57">
      <c r="A57" s="69"/>
      <c r="B57" s="69"/>
      <c r="C57" s="70"/>
      <c r="D57" s="71"/>
      <c r="E57" s="71"/>
      <c r="F57" s="114"/>
      <c r="G57" s="74"/>
    </row>
    <row r="58">
      <c r="A58" s="75"/>
      <c r="B58" s="75"/>
      <c r="C58" s="76"/>
      <c r="D58" s="77"/>
      <c r="E58" s="77"/>
      <c r="F58" s="115"/>
      <c r="G58" s="79"/>
    </row>
    <row r="59">
      <c r="A59" s="69"/>
      <c r="B59" s="69"/>
      <c r="C59" s="70"/>
      <c r="D59" s="71"/>
      <c r="E59" s="71"/>
      <c r="F59" s="116"/>
      <c r="G59" s="74"/>
    </row>
    <row r="60">
      <c r="A60" s="75"/>
      <c r="B60" s="75"/>
      <c r="C60" s="76"/>
      <c r="D60" s="77"/>
      <c r="E60" s="77"/>
      <c r="F60" s="109"/>
      <c r="G60" s="79"/>
    </row>
    <row r="61">
      <c r="A61" s="69"/>
      <c r="B61" s="69"/>
      <c r="C61" s="70"/>
      <c r="D61" s="71"/>
      <c r="E61" s="71"/>
      <c r="F61" s="81"/>
      <c r="G61" s="74"/>
    </row>
    <row r="62">
      <c r="A62" s="75"/>
      <c r="B62" s="75"/>
      <c r="C62" s="76"/>
      <c r="D62" s="77"/>
      <c r="E62" s="77"/>
      <c r="F62" s="105"/>
      <c r="G62" s="79"/>
    </row>
    <row r="63">
      <c r="A63" s="69"/>
      <c r="B63" s="69"/>
      <c r="C63" s="70"/>
      <c r="D63" s="71"/>
      <c r="E63" s="71"/>
      <c r="F63" s="103"/>
      <c r="G63" s="74"/>
    </row>
    <row r="64">
      <c r="A64" s="75"/>
      <c r="B64" s="75"/>
      <c r="C64" s="76"/>
      <c r="D64" s="77"/>
      <c r="E64" s="77"/>
      <c r="F64" s="104"/>
      <c r="G64" s="79"/>
    </row>
    <row r="65">
      <c r="A65" s="69"/>
      <c r="B65" s="69"/>
      <c r="C65" s="70"/>
      <c r="D65" s="71"/>
      <c r="E65" s="71"/>
      <c r="F65" s="94"/>
      <c r="G65" s="74"/>
    </row>
    <row r="66">
      <c r="A66" s="75"/>
      <c r="B66" s="75"/>
      <c r="C66" s="76"/>
      <c r="D66" s="77"/>
      <c r="E66" s="77"/>
      <c r="F66" s="78"/>
      <c r="G66" s="79"/>
    </row>
    <row r="67">
      <c r="A67" s="69"/>
      <c r="B67" s="69"/>
      <c r="C67" s="70"/>
      <c r="D67" s="71"/>
      <c r="E67" s="71"/>
      <c r="F67" s="117"/>
      <c r="G67" s="74"/>
    </row>
    <row r="68">
      <c r="A68" s="75"/>
      <c r="B68" s="75"/>
      <c r="C68" s="76"/>
      <c r="D68" s="77"/>
      <c r="E68" s="77"/>
      <c r="F68" s="85"/>
      <c r="G68" s="79"/>
    </row>
    <row r="69">
      <c r="A69" s="69"/>
      <c r="B69" s="69"/>
      <c r="C69" s="70"/>
      <c r="D69" s="71"/>
      <c r="E69" s="71"/>
      <c r="F69" s="81"/>
      <c r="G69" s="74"/>
    </row>
    <row r="70">
      <c r="A70" s="75"/>
      <c r="B70" s="75"/>
      <c r="C70" s="76"/>
      <c r="D70" s="77"/>
      <c r="E70" s="77"/>
      <c r="F70" s="118"/>
      <c r="G70" s="79"/>
    </row>
    <row r="71">
      <c r="A71" s="69"/>
      <c r="B71" s="69"/>
      <c r="C71" s="70"/>
      <c r="D71" s="71"/>
      <c r="E71" s="71"/>
      <c r="F71" s="119"/>
      <c r="G71" s="74"/>
    </row>
    <row r="72">
      <c r="A72" s="75"/>
      <c r="B72" s="75"/>
      <c r="C72" s="76"/>
      <c r="D72" s="77"/>
      <c r="E72" s="77"/>
      <c r="F72" s="81"/>
      <c r="G72" s="120"/>
    </row>
    <row r="73">
      <c r="A73" s="69"/>
      <c r="B73" s="69"/>
      <c r="C73" s="70"/>
      <c r="D73" s="71"/>
      <c r="E73" s="71"/>
      <c r="F73" s="81"/>
      <c r="G73" s="121"/>
    </row>
  </sheetData>
  <mergeCells count="1">
    <mergeCell ref="A1:G1"/>
  </mergeCells>
  <conditionalFormatting sqref="F9:F73">
    <cfRule type="cellIs" dxfId="3" priority="1" operator="lessThan">
      <formula>0</formula>
    </cfRule>
  </conditionalFormatting>
  <conditionalFormatting sqref="F9:F73">
    <cfRule type="cellIs" dxfId="4" priority="2" operator="greaterThan">
      <formula>0</formula>
    </cfRule>
  </conditionalFormatting>
  <conditionalFormatting sqref="B3">
    <cfRule type="notContainsBlanks" dxfId="5" priority="3">
      <formula>LEN(TRIM(B3))&gt;0</formula>
    </cfRule>
  </conditionalFormatting>
  <conditionalFormatting sqref="B3">
    <cfRule type="containsBlanks" dxfId="5" priority="4">
      <formula>LEN(TRIM(B3))=0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IFERROR(__xludf.DUMMYFUNCTION("IMPORTRANGE(""https://docs.google.com/spreadsheets/d/1xmGsP2eOXdfhJ9DjzCOVFJKoZ2DuuwRb_dbNg1M77M8/edit?gid=138364344#gid=138364344"",""Students!A:J"")"),"Students / Card Registry")</f>
        <v>Students / Card Registry</v>
      </c>
      <c r="B1" s="122"/>
      <c r="C1" s="122"/>
      <c r="D1" s="122"/>
      <c r="E1" s="122"/>
      <c r="F1" s="122"/>
      <c r="G1" s="122"/>
      <c r="H1" s="122"/>
      <c r="I1" s="122"/>
      <c r="J1" s="122"/>
    </row>
    <row r="2">
      <c r="A2" s="122"/>
      <c r="B2" s="122"/>
      <c r="C2" s="122"/>
      <c r="D2" s="122"/>
      <c r="E2" s="122"/>
      <c r="F2" s="122"/>
      <c r="G2" s="122"/>
      <c r="H2" s="122"/>
      <c r="I2" s="122"/>
      <c r="J2" s="122"/>
    </row>
    <row r="3">
      <c r="A3" s="122" t="str">
        <f>IFERROR(__xludf.DUMMYFUNCTION("""COMPUTED_VALUE"""),"Card_ID")</f>
        <v>Card_ID</v>
      </c>
      <c r="B3" s="122" t="str">
        <f>IFERROR(__xludf.DUMMYFUNCTION("""COMPUTED_VALUE"""),"Student_Name")</f>
        <v>Student_Name</v>
      </c>
      <c r="C3" s="122" t="str">
        <f>IFERROR(__xludf.DUMMYFUNCTION("""COMPUTED_VALUE"""),"Grade")</f>
        <v>Grade</v>
      </c>
      <c r="D3" s="122" t="str">
        <f>IFERROR(__xludf.DUMMYFUNCTION("""COMPUTED_VALUE"""),"Homeroom")</f>
        <v>Homeroom</v>
      </c>
      <c r="E3" s="123" t="str">
        <f>IFERROR(__xludf.DUMMYFUNCTION("""COMPUTED_VALUE"""),"Balance")</f>
        <v>Balance</v>
      </c>
      <c r="F3" s="122" t="str">
        <f>IFERROR(__xludf.DUMMYFUNCTION("""COMPUTED_VALUE"""),"Job_Title")</f>
        <v>Job_Title</v>
      </c>
      <c r="G3" s="122" t="str">
        <f>IFERROR(__xludf.DUMMYFUNCTION("""COMPUTED_VALUE"""),"Active")</f>
        <v>Active</v>
      </c>
      <c r="H3" s="122" t="str">
        <f>IFERROR(__xludf.DUMMYFUNCTION("""COMPUTED_VALUE"""),"Last_Updated")</f>
        <v>Last_Updated</v>
      </c>
      <c r="I3" s="122" t="str">
        <f>IFERROR(__xludf.DUMMYFUNCTION("""COMPUTED_VALUE"""),"Attendance_Streak")</f>
        <v>Attendance_Streak</v>
      </c>
      <c r="J3" s="122" t="str">
        <f>IFERROR(__xludf.DUMMYFUNCTION("""COMPUTED_VALUE"""),"Last_Attendance_Date")</f>
        <v>Last_Attendance_Date</v>
      </c>
    </row>
    <row r="4">
      <c r="A4" s="122" t="str">
        <f>IFERROR(__xludf.DUMMYFUNCTION("""COMPUTED_VALUE"""),"ba353911")</f>
        <v>ba353911</v>
      </c>
      <c r="B4" s="122" t="str">
        <f>IFERROR(__xludf.DUMMYFUNCTION("""COMPUTED_VALUE"""),"Dayeon Kang")</f>
        <v>Dayeon Kang</v>
      </c>
      <c r="C4" s="122">
        <f>IFERROR(__xludf.DUMMYFUNCTION("""COMPUTED_VALUE"""),10.0)</f>
        <v>10</v>
      </c>
      <c r="D4" s="122" t="str">
        <f>IFERROR(__xludf.DUMMYFUNCTION("""COMPUTED_VALUE"""),"HS202")</f>
        <v>HS202</v>
      </c>
      <c r="E4" s="123">
        <f>IFERROR(__xludf.DUMMYFUNCTION("""COMPUTED_VALUE"""),341.98)</f>
        <v>341.98</v>
      </c>
      <c r="F4" s="122" t="str">
        <f>IFERROR(__xludf.DUMMYFUNCTION("""COMPUTED_VALUE"""),"-")</f>
        <v>-</v>
      </c>
      <c r="G4" s="122" t="str">
        <f>IFERROR(__xludf.DUMMYFUNCTION("""COMPUTED_VALUE"""),"Yes")</f>
        <v>Yes</v>
      </c>
      <c r="H4" s="124">
        <f>IFERROR(__xludf.DUMMYFUNCTION("""COMPUTED_VALUE"""),46184.3566087963)</f>
        <v>46184.35661</v>
      </c>
      <c r="I4" s="125">
        <f>IFERROR(__xludf.DUMMYFUNCTION("""COMPUTED_VALUE"""),4.0)</f>
        <v>4</v>
      </c>
      <c r="J4" s="126">
        <f>IFERROR(__xludf.DUMMYFUNCTION("""COMPUTED_VALUE"""),46184.0)</f>
        <v>46184</v>
      </c>
    </row>
    <row r="5">
      <c r="A5" s="122" t="str">
        <f>IFERROR(__xludf.DUMMYFUNCTION("""COMPUTED_VALUE"""),"dc04eef4")</f>
        <v>dc04eef4</v>
      </c>
      <c r="B5" s="122" t="str">
        <f>IFERROR(__xludf.DUMMYFUNCTION("""COMPUTED_VALUE"""),"Joshua Jung")</f>
        <v>Joshua Jung</v>
      </c>
      <c r="C5" s="122">
        <f>IFERROR(__xludf.DUMMYFUNCTION("""COMPUTED_VALUE"""),10.0)</f>
        <v>10</v>
      </c>
      <c r="D5" s="122" t="str">
        <f>IFERROR(__xludf.DUMMYFUNCTION("""COMPUTED_VALUE"""),"HS202")</f>
        <v>HS202</v>
      </c>
      <c r="E5" s="123">
        <f>IFERROR(__xludf.DUMMYFUNCTION("""COMPUTED_VALUE"""),234.86)</f>
        <v>234.86</v>
      </c>
      <c r="F5" s="122" t="str">
        <f>IFERROR(__xludf.DUMMYFUNCTION("""COMPUTED_VALUE"""),"-")</f>
        <v>-</v>
      </c>
      <c r="G5" s="122" t="str">
        <f>IFERROR(__xludf.DUMMYFUNCTION("""COMPUTED_VALUE"""),"Yes")</f>
        <v>Yes</v>
      </c>
      <c r="H5" s="124">
        <f>IFERROR(__xludf.DUMMYFUNCTION("""COMPUTED_VALUE"""),46185.35445601852)</f>
        <v>46185.35446</v>
      </c>
      <c r="I5" s="125">
        <f>IFERROR(__xludf.DUMMYFUNCTION("""COMPUTED_VALUE"""),5.0)</f>
        <v>5</v>
      </c>
      <c r="J5" s="126">
        <f>IFERROR(__xludf.DUMMYFUNCTION("""COMPUTED_VALUE"""),46185.0)</f>
        <v>46185</v>
      </c>
    </row>
    <row r="6">
      <c r="A6" s="122" t="str">
        <f>IFERROR(__xludf.DUMMYFUNCTION("""COMPUTED_VALUE"""),"5a032611")</f>
        <v>5a032611</v>
      </c>
      <c r="B6" s="122" t="str">
        <f>IFERROR(__xludf.DUMMYFUNCTION("""COMPUTED_VALUE"""),"Harold Dou")</f>
        <v>Harold Dou</v>
      </c>
      <c r="C6" s="122">
        <f>IFERROR(__xludf.DUMMYFUNCTION("""COMPUTED_VALUE"""),10.0)</f>
        <v>10</v>
      </c>
      <c r="D6" s="122" t="str">
        <f>IFERROR(__xludf.DUMMYFUNCTION("""COMPUTED_VALUE"""),"HS202")</f>
        <v>HS202</v>
      </c>
      <c r="E6" s="123">
        <f>IFERROR(__xludf.DUMMYFUNCTION("""COMPUTED_VALUE"""),198.0)</f>
        <v>198</v>
      </c>
      <c r="F6" s="122" t="str">
        <f>IFERROR(__xludf.DUMMYFUNCTION("""COMPUTED_VALUE"""),"-")</f>
        <v>-</v>
      </c>
      <c r="G6" s="122" t="str">
        <f>IFERROR(__xludf.DUMMYFUNCTION("""COMPUTED_VALUE"""),"Yes")</f>
        <v>Yes</v>
      </c>
      <c r="H6" s="124">
        <f>IFERROR(__xludf.DUMMYFUNCTION("""COMPUTED_VALUE"""),46184.60606481481)</f>
        <v>46184.60606</v>
      </c>
      <c r="I6" s="125">
        <f>IFERROR(__xludf.DUMMYFUNCTION("""COMPUTED_VALUE"""),1.0)</f>
        <v>1</v>
      </c>
      <c r="J6" s="126">
        <f>IFERROR(__xludf.DUMMYFUNCTION("""COMPUTED_VALUE"""),46184.0)</f>
        <v>46184</v>
      </c>
    </row>
    <row r="7">
      <c r="A7" s="122" t="str">
        <f>IFERROR(__xludf.DUMMYFUNCTION("""COMPUTED_VALUE"""),"7c4e261e")</f>
        <v>7c4e261e</v>
      </c>
      <c r="B7" s="122" t="str">
        <f>IFERROR(__xludf.DUMMYFUNCTION("""COMPUTED_VALUE"""),"Suha Lee")</f>
        <v>Suha Lee</v>
      </c>
      <c r="C7" s="122">
        <f>IFERROR(__xludf.DUMMYFUNCTION("""COMPUTED_VALUE"""),10.0)</f>
        <v>10</v>
      </c>
      <c r="D7" s="122" t="str">
        <f>IFERROR(__xludf.DUMMYFUNCTION("""COMPUTED_VALUE"""),"HS202")</f>
        <v>HS202</v>
      </c>
      <c r="E7" s="123">
        <f>IFERROR(__xludf.DUMMYFUNCTION("""COMPUTED_VALUE"""),49.83)</f>
        <v>49.83</v>
      </c>
      <c r="F7" s="122" t="str">
        <f>IFERROR(__xludf.DUMMYFUNCTION("""COMPUTED_VALUE"""),"-")</f>
        <v>-</v>
      </c>
      <c r="G7" s="122" t="str">
        <f>IFERROR(__xludf.DUMMYFUNCTION("""COMPUTED_VALUE"""),"Yes")</f>
        <v>Yes</v>
      </c>
      <c r="H7" s="124">
        <f>IFERROR(__xludf.DUMMYFUNCTION("""COMPUTED_VALUE"""),46185.35123842592)</f>
        <v>46185.35124</v>
      </c>
      <c r="I7" s="125">
        <f>IFERROR(__xludf.DUMMYFUNCTION("""COMPUTED_VALUE"""),4.0)</f>
        <v>4</v>
      </c>
      <c r="J7" s="126">
        <f>IFERROR(__xludf.DUMMYFUNCTION("""COMPUTED_VALUE"""),46185.0)</f>
        <v>46185</v>
      </c>
    </row>
    <row r="8">
      <c r="A8" s="122" t="str">
        <f>IFERROR(__xludf.DUMMYFUNCTION("""COMPUTED_VALUE"""),"ba0fc5c4")</f>
        <v>ba0fc5c4</v>
      </c>
      <c r="B8" s="122" t="str">
        <f>IFERROR(__xludf.DUMMYFUNCTION("""COMPUTED_VALUE"""),"Junwoo Kang")</f>
        <v>Junwoo Kang</v>
      </c>
      <c r="C8" s="122">
        <f>IFERROR(__xludf.DUMMYFUNCTION("""COMPUTED_VALUE"""),10.0)</f>
        <v>10</v>
      </c>
      <c r="D8" s="122" t="str">
        <f>IFERROR(__xludf.DUMMYFUNCTION("""COMPUTED_VALUE"""),"HS202")</f>
        <v>HS202</v>
      </c>
      <c r="E8" s="123">
        <f>IFERROR(__xludf.DUMMYFUNCTION("""COMPUTED_VALUE"""),4.19)</f>
        <v>4.19</v>
      </c>
      <c r="F8" s="122" t="str">
        <f>IFERROR(__xludf.DUMMYFUNCTION("""COMPUTED_VALUE"""),"-")</f>
        <v>-</v>
      </c>
      <c r="G8" s="122" t="str">
        <f>IFERROR(__xludf.DUMMYFUNCTION("""COMPUTED_VALUE"""),"Yes")</f>
        <v>Yes</v>
      </c>
      <c r="H8" s="124">
        <f>IFERROR(__xludf.DUMMYFUNCTION("""COMPUTED_VALUE"""),46184.50125)</f>
        <v>46184.50125</v>
      </c>
      <c r="I8" s="125">
        <f>IFERROR(__xludf.DUMMYFUNCTION("""COMPUTED_VALUE"""),0.0)</f>
        <v>0</v>
      </c>
      <c r="J8" s="126">
        <f>IFERROR(__xludf.DUMMYFUNCTION("""COMPUTED_VALUE"""),46181.0)</f>
        <v>46181</v>
      </c>
    </row>
    <row r="9">
      <c r="A9" s="122" t="str">
        <f>IFERROR(__xludf.DUMMYFUNCTION("""COMPUTED_VALUE"""),"ba912211")</f>
        <v>ba912211</v>
      </c>
      <c r="B9" s="122" t="str">
        <f>IFERROR(__xludf.DUMMYFUNCTION("""COMPUTED_VALUE"""),"Daisy Doh")</f>
        <v>Daisy Doh</v>
      </c>
      <c r="C9" s="122">
        <f>IFERROR(__xludf.DUMMYFUNCTION("""COMPUTED_VALUE"""),10.0)</f>
        <v>10</v>
      </c>
      <c r="D9" s="122" t="str">
        <f>IFERROR(__xludf.DUMMYFUNCTION("""COMPUTED_VALUE"""),"HS202")</f>
        <v>HS202</v>
      </c>
      <c r="E9" s="123">
        <f>IFERROR(__xludf.DUMMYFUNCTION("""COMPUTED_VALUE"""),483.88)</f>
        <v>483.88</v>
      </c>
      <c r="F9" s="122" t="str">
        <f>IFERROR(__xludf.DUMMYFUNCTION("""COMPUTED_VALUE"""),"-")</f>
        <v>-</v>
      </c>
      <c r="G9" s="122" t="str">
        <f>IFERROR(__xludf.DUMMYFUNCTION("""COMPUTED_VALUE"""),"Yes")</f>
        <v>Yes</v>
      </c>
      <c r="H9" s="124">
        <f>IFERROR(__xludf.DUMMYFUNCTION("""COMPUTED_VALUE"""),46185.34641203703)</f>
        <v>46185.34641</v>
      </c>
      <c r="I9" s="125">
        <f>IFERROR(__xludf.DUMMYFUNCTION("""COMPUTED_VALUE"""),5.0)</f>
        <v>5</v>
      </c>
      <c r="J9" s="126">
        <f>IFERROR(__xludf.DUMMYFUNCTION("""COMPUTED_VALUE"""),46185.0)</f>
        <v>46185</v>
      </c>
    </row>
    <row r="10">
      <c r="A10" s="122" t="str">
        <f>IFERROR(__xludf.DUMMYFUNCTION("""COMPUTED_VALUE"""),"5c07fef4")</f>
        <v>5c07fef4</v>
      </c>
      <c r="B10" s="122" t="str">
        <f>IFERROR(__xludf.DUMMYFUNCTION("""COMPUTED_VALUE"""),"Tiffany Kim")</f>
        <v>Tiffany Kim</v>
      </c>
      <c r="C10" s="122">
        <f>IFERROR(__xludf.DUMMYFUNCTION("""COMPUTED_VALUE"""),10.0)</f>
        <v>10</v>
      </c>
      <c r="D10" s="122" t="str">
        <f>IFERROR(__xludf.DUMMYFUNCTION("""COMPUTED_VALUE"""),"HS202")</f>
        <v>HS202</v>
      </c>
      <c r="E10" s="123">
        <f>IFERROR(__xludf.DUMMYFUNCTION("""COMPUTED_VALUE"""),430.0)</f>
        <v>430</v>
      </c>
      <c r="F10" s="122" t="str">
        <f>IFERROR(__xludf.DUMMYFUNCTION("""COMPUTED_VALUE"""),"-")</f>
        <v>-</v>
      </c>
      <c r="G10" s="122" t="str">
        <f>IFERROR(__xludf.DUMMYFUNCTION("""COMPUTED_VALUE"""),"Yes")</f>
        <v>Yes</v>
      </c>
      <c r="H10" s="124">
        <f>IFERROR(__xludf.DUMMYFUNCTION("""COMPUTED_VALUE"""),46185.346180555556)</f>
        <v>46185.34618</v>
      </c>
      <c r="I10" s="125">
        <f>IFERROR(__xludf.DUMMYFUNCTION("""COMPUTED_VALUE"""),5.0)</f>
        <v>5</v>
      </c>
      <c r="J10" s="126">
        <f>IFERROR(__xludf.DUMMYFUNCTION("""COMPUTED_VALUE"""),46185.0)</f>
        <v>46185</v>
      </c>
    </row>
    <row r="11">
      <c r="A11" s="122" t="str">
        <f>IFERROR(__xludf.DUMMYFUNCTION("""COMPUTED_VALUE"""),"babde4c4")</f>
        <v>babde4c4</v>
      </c>
      <c r="B11" s="122" t="str">
        <f>IFERROR(__xludf.DUMMYFUNCTION("""COMPUTED_VALUE"""),"Ashley Guk")</f>
        <v>Ashley Guk</v>
      </c>
      <c r="C11" s="122">
        <f>IFERROR(__xludf.DUMMYFUNCTION("""COMPUTED_VALUE"""),10.0)</f>
        <v>10</v>
      </c>
      <c r="D11" s="122" t="str">
        <f>IFERROR(__xludf.DUMMYFUNCTION("""COMPUTED_VALUE"""),"HS202")</f>
        <v>HS202</v>
      </c>
      <c r="E11" s="123">
        <f>IFERROR(__xludf.DUMMYFUNCTION("""COMPUTED_VALUE"""),616.0)</f>
        <v>616</v>
      </c>
      <c r="F11" s="122" t="str">
        <f>IFERROR(__xludf.DUMMYFUNCTION("""COMPUTED_VALUE"""),"-")</f>
        <v>-</v>
      </c>
      <c r="G11" s="122" t="str">
        <f>IFERROR(__xludf.DUMMYFUNCTION("""COMPUTED_VALUE"""),"Yes")</f>
        <v>Yes</v>
      </c>
      <c r="H11" s="124">
        <f>IFERROR(__xludf.DUMMYFUNCTION("""COMPUTED_VALUE"""),46184.35596064815)</f>
        <v>46184.35596</v>
      </c>
      <c r="I11" s="125">
        <f>IFERROR(__xludf.DUMMYFUNCTION("""COMPUTED_VALUE"""),1.0)</f>
        <v>1</v>
      </c>
      <c r="J11" s="126">
        <f>IFERROR(__xludf.DUMMYFUNCTION("""COMPUTED_VALUE"""),46184.0)</f>
        <v>46184</v>
      </c>
    </row>
    <row r="12">
      <c r="A12" s="122" t="str">
        <f>IFERROR(__xludf.DUMMYFUNCTION("""COMPUTED_VALUE"""),"ae072910")</f>
        <v>ae072910</v>
      </c>
      <c r="B12" s="122" t="str">
        <f>IFERROR(__xludf.DUMMYFUNCTION("""COMPUTED_VALUE"""),"Selena Jung")</f>
        <v>Selena Jung</v>
      </c>
      <c r="C12" s="122">
        <f>IFERROR(__xludf.DUMMYFUNCTION("""COMPUTED_VALUE"""),10.0)</f>
        <v>10</v>
      </c>
      <c r="D12" s="122" t="str">
        <f>IFERROR(__xludf.DUMMYFUNCTION("""COMPUTED_VALUE"""),"HS202")</f>
        <v>HS202</v>
      </c>
      <c r="E12" s="123">
        <f>IFERROR(__xludf.DUMMYFUNCTION("""COMPUTED_VALUE"""),353.79)</f>
        <v>353.79</v>
      </c>
      <c r="F12" s="122" t="str">
        <f>IFERROR(__xludf.DUMMYFUNCTION("""COMPUTED_VALUE"""),"-")</f>
        <v>-</v>
      </c>
      <c r="G12" s="122" t="str">
        <f>IFERROR(__xludf.DUMMYFUNCTION("""COMPUTED_VALUE"""),"Yes")</f>
        <v>Yes</v>
      </c>
      <c r="H12" s="124">
        <f>IFERROR(__xludf.DUMMYFUNCTION("""COMPUTED_VALUE"""),46184.351122685184)</f>
        <v>46184.35112</v>
      </c>
      <c r="I12" s="125">
        <f>IFERROR(__xludf.DUMMYFUNCTION("""COMPUTED_VALUE"""),4.0)</f>
        <v>4</v>
      </c>
      <c r="J12" s="126">
        <f>IFERROR(__xludf.DUMMYFUNCTION("""COMPUTED_VALUE"""),46184.0)</f>
        <v>46184</v>
      </c>
    </row>
    <row r="13">
      <c r="A13" s="122" t="str">
        <f>IFERROR(__xludf.DUMMYFUNCTION("""COMPUTED_VALUE"""),"1e3e1410")</f>
        <v>1e3e1410</v>
      </c>
      <c r="B13" s="122" t="str">
        <f>IFERROR(__xludf.DUMMYFUNCTION("""COMPUTED_VALUE"""),"Junjae Park")</f>
        <v>Junjae Park</v>
      </c>
      <c r="C13" s="122">
        <f>IFERROR(__xludf.DUMMYFUNCTION("""COMPUTED_VALUE"""),10.0)</f>
        <v>10</v>
      </c>
      <c r="D13" s="122" t="str">
        <f>IFERROR(__xludf.DUMMYFUNCTION("""COMPUTED_VALUE"""),"HS202")</f>
        <v>HS202</v>
      </c>
      <c r="E13" s="123">
        <f>IFERROR(__xludf.DUMMYFUNCTION("""COMPUTED_VALUE"""),27.98)</f>
        <v>27.98</v>
      </c>
      <c r="F13" s="122" t="str">
        <f>IFERROR(__xludf.DUMMYFUNCTION("""COMPUTED_VALUE"""),"-")</f>
        <v>-</v>
      </c>
      <c r="G13" s="122" t="str">
        <f>IFERROR(__xludf.DUMMYFUNCTION("""COMPUTED_VALUE"""),"Yes")</f>
        <v>Yes</v>
      </c>
      <c r="H13" s="124">
        <f>IFERROR(__xludf.DUMMYFUNCTION("""COMPUTED_VALUE"""),46185.64902777778)</f>
        <v>46185.64903</v>
      </c>
      <c r="I13" s="125">
        <f>IFERROR(__xludf.DUMMYFUNCTION("""COMPUTED_VALUE"""),5.0)</f>
        <v>5</v>
      </c>
      <c r="J13" s="126">
        <f>IFERROR(__xludf.DUMMYFUNCTION("""COMPUTED_VALUE"""),46185.0)</f>
        <v>46185</v>
      </c>
    </row>
    <row r="14">
      <c r="A14" s="122" t="str">
        <f>IFERROR(__xludf.DUMMYFUNCTION("""COMPUTED_VALUE"""),"9a5f2811")</f>
        <v>9a5f2811</v>
      </c>
      <c r="B14" s="122" t="str">
        <f>IFERROR(__xludf.DUMMYFUNCTION("""COMPUTED_VALUE"""),"Junyoung Yoo")</f>
        <v>Junyoung Yoo</v>
      </c>
      <c r="C14" s="122">
        <f>IFERROR(__xludf.DUMMYFUNCTION("""COMPUTED_VALUE"""),10.0)</f>
        <v>10</v>
      </c>
      <c r="D14" s="122" t="str">
        <f>IFERROR(__xludf.DUMMYFUNCTION("""COMPUTED_VALUE"""),"HS202")</f>
        <v>HS202</v>
      </c>
      <c r="E14" s="123">
        <f>IFERROR(__xludf.DUMMYFUNCTION("""COMPUTED_VALUE"""),46.86)</f>
        <v>46.86</v>
      </c>
      <c r="F14" s="122" t="str">
        <f>IFERROR(__xludf.DUMMYFUNCTION("""COMPUTED_VALUE"""),"-")</f>
        <v>-</v>
      </c>
      <c r="G14" s="122" t="str">
        <f>IFERROR(__xludf.DUMMYFUNCTION("""COMPUTED_VALUE"""),"Yes")</f>
        <v>Yes</v>
      </c>
      <c r="H14" s="124">
        <f>IFERROR(__xludf.DUMMYFUNCTION("""COMPUTED_VALUE"""),46184.467881944445)</f>
        <v>46184.46788</v>
      </c>
      <c r="I14" s="125">
        <f>IFERROR(__xludf.DUMMYFUNCTION("""COMPUTED_VALUE"""),0.0)</f>
        <v>0</v>
      </c>
      <c r="J14" s="126">
        <f>IFERROR(__xludf.DUMMYFUNCTION("""COMPUTED_VALUE"""),46183.0)</f>
        <v>46183</v>
      </c>
    </row>
    <row r="15">
      <c r="A15" s="122">
        <f>IFERROR(__xludf.DUMMYFUNCTION("""COMPUTED_VALUE"""),1321.0)</f>
        <v>1321</v>
      </c>
      <c r="B15" s="122" t="str">
        <f>IFERROR(__xludf.DUMMYFUNCTION("""COMPUTED_VALUE"""),"Ahin")</f>
        <v>Ahin</v>
      </c>
      <c r="C15" s="122">
        <f>IFERROR(__xludf.DUMMYFUNCTION("""COMPUTED_VALUE"""),7.0)</f>
        <v>7</v>
      </c>
      <c r="D15" s="122" t="str">
        <f>IFERROR(__xludf.DUMMYFUNCTION("""COMPUTED_VALUE"""),"HS202")</f>
        <v>HS202</v>
      </c>
      <c r="E15" s="123">
        <f>IFERROR(__xludf.DUMMYFUNCTION("""COMPUTED_VALUE"""),743.61)</f>
        <v>743.61</v>
      </c>
      <c r="F15" s="122" t="str">
        <f>IFERROR(__xludf.DUMMYFUNCTION("""COMPUTED_VALUE"""),"-")</f>
        <v>-</v>
      </c>
      <c r="G15" s="122" t="str">
        <f>IFERROR(__xludf.DUMMYFUNCTION("""COMPUTED_VALUE"""),"Yes")</f>
        <v>Yes</v>
      </c>
      <c r="H15" s="127">
        <f>IFERROR(__xludf.DUMMYFUNCTION("""COMPUTED_VALUE"""),46186.43682870371)</f>
        <v>46186.43683</v>
      </c>
      <c r="I15" s="122"/>
      <c r="J15" s="122"/>
    </row>
    <row r="16">
      <c r="A16" s="122">
        <f>IFERROR(__xludf.DUMMYFUNCTION("""COMPUTED_VALUE"""),4673.0)</f>
        <v>4673</v>
      </c>
      <c r="B16" s="122" t="str">
        <f>IFERROR(__xludf.DUMMYFUNCTION("""COMPUTED_VALUE"""),"Ellie")</f>
        <v>Ellie</v>
      </c>
      <c r="C16" s="122">
        <f>IFERROR(__xludf.DUMMYFUNCTION("""COMPUTED_VALUE"""),7.0)</f>
        <v>7</v>
      </c>
      <c r="D16" s="122" t="str">
        <f>IFERROR(__xludf.DUMMYFUNCTION("""COMPUTED_VALUE"""),"HS203")</f>
        <v>HS203</v>
      </c>
      <c r="E16" s="123">
        <f>IFERROR(__xludf.DUMMYFUNCTION("""COMPUTED_VALUE"""),8764.1)</f>
        <v>8764.1</v>
      </c>
      <c r="F16" s="122" t="str">
        <f>IFERROR(__xludf.DUMMYFUNCTION("""COMPUTED_VALUE"""),"-")</f>
        <v>-</v>
      </c>
      <c r="G16" s="122" t="str">
        <f>IFERROR(__xludf.DUMMYFUNCTION("""COMPUTED_VALUE"""),"Yes")</f>
        <v>Yes</v>
      </c>
      <c r="H16" s="127">
        <f>IFERROR(__xludf.DUMMYFUNCTION("""COMPUTED_VALUE"""),46185.53475694444)</f>
        <v>46185.53476</v>
      </c>
      <c r="I16" s="122"/>
      <c r="J16" s="122"/>
    </row>
    <row r="17">
      <c r="A17" s="122">
        <f>IFERROR(__xludf.DUMMYFUNCTION("""COMPUTED_VALUE"""),2217.0)</f>
        <v>2217</v>
      </c>
      <c r="B17" s="122" t="str">
        <f>IFERROR(__xludf.DUMMYFUNCTION("""COMPUTED_VALUE"""),"DK")</f>
        <v>DK</v>
      </c>
      <c r="C17" s="122">
        <f>IFERROR(__xludf.DUMMYFUNCTION("""COMPUTED_VALUE"""),7.0)</f>
        <v>7</v>
      </c>
      <c r="D17" s="122" t="str">
        <f>IFERROR(__xludf.DUMMYFUNCTION("""COMPUTED_VALUE"""),"HS204")</f>
        <v>HS204</v>
      </c>
      <c r="E17" s="123">
        <f>IFERROR(__xludf.DUMMYFUNCTION("""COMPUTED_VALUE"""),8404.61)</f>
        <v>8404.61</v>
      </c>
      <c r="F17" s="122" t="str">
        <f>IFERROR(__xludf.DUMMYFUNCTION("""COMPUTED_VALUE"""),"-")</f>
        <v>-</v>
      </c>
      <c r="G17" s="122" t="str">
        <f>IFERROR(__xludf.DUMMYFUNCTION("""COMPUTED_VALUE"""),"Yes")</f>
        <v>Yes</v>
      </c>
      <c r="H17" s="127">
        <f>IFERROR(__xludf.DUMMYFUNCTION("""COMPUTED_VALUE"""),46185.67994212963)</f>
        <v>46185.67994</v>
      </c>
      <c r="I17" s="122"/>
      <c r="J17" s="122"/>
    </row>
    <row r="18">
      <c r="A18" s="122">
        <f>IFERROR(__xludf.DUMMYFUNCTION("""COMPUTED_VALUE"""),1978.0)</f>
        <v>1978</v>
      </c>
      <c r="B18" s="122" t="str">
        <f>IFERROR(__xludf.DUMMYFUNCTION("""COMPUTED_VALUE"""),"Hannah")</f>
        <v>Hannah</v>
      </c>
      <c r="C18" s="122">
        <f>IFERROR(__xludf.DUMMYFUNCTION("""COMPUTED_VALUE"""),7.0)</f>
        <v>7</v>
      </c>
      <c r="D18" s="122" t="str">
        <f>IFERROR(__xludf.DUMMYFUNCTION("""COMPUTED_VALUE"""),"HS205")</f>
        <v>HS205</v>
      </c>
      <c r="E18" s="123">
        <f>IFERROR(__xludf.DUMMYFUNCTION("""COMPUTED_VALUE"""),10028.2)</f>
        <v>10028.2</v>
      </c>
      <c r="F18" s="122" t="str">
        <f>IFERROR(__xludf.DUMMYFUNCTION("""COMPUTED_VALUE"""),"-")</f>
        <v>-</v>
      </c>
      <c r="G18" s="122" t="str">
        <f>IFERROR(__xludf.DUMMYFUNCTION("""COMPUTED_VALUE"""),"Yes")</f>
        <v>Yes</v>
      </c>
      <c r="H18" s="127">
        <f>IFERROR(__xludf.DUMMYFUNCTION("""COMPUTED_VALUE"""),46178.54225694444)</f>
        <v>46178.54226</v>
      </c>
      <c r="I18" s="122"/>
      <c r="J18" s="122"/>
    </row>
    <row r="19">
      <c r="A19" s="122">
        <f>IFERROR(__xludf.DUMMYFUNCTION("""COMPUTED_VALUE"""),1876.0)</f>
        <v>1876</v>
      </c>
      <c r="B19" s="122" t="str">
        <f>IFERROR(__xludf.DUMMYFUNCTION("""COMPUTED_VALUE"""),"Lena")</f>
        <v>Lena</v>
      </c>
      <c r="C19" s="122">
        <f>IFERROR(__xludf.DUMMYFUNCTION("""COMPUTED_VALUE"""),7.0)</f>
        <v>7</v>
      </c>
      <c r="D19" s="122" t="str">
        <f>IFERROR(__xludf.DUMMYFUNCTION("""COMPUTED_VALUE"""),"HS206")</f>
        <v>HS206</v>
      </c>
      <c r="E19" s="123">
        <f>IFERROR(__xludf.DUMMYFUNCTION("""COMPUTED_VALUE"""),311.09)</f>
        <v>311.09</v>
      </c>
      <c r="F19" s="122" t="str">
        <f>IFERROR(__xludf.DUMMYFUNCTION("""COMPUTED_VALUE"""),"-")</f>
        <v>-</v>
      </c>
      <c r="G19" s="122" t="str">
        <f>IFERROR(__xludf.DUMMYFUNCTION("""COMPUTED_VALUE"""),"Yes")</f>
        <v>Yes</v>
      </c>
      <c r="H19" s="127">
        <f>IFERROR(__xludf.DUMMYFUNCTION("""COMPUTED_VALUE"""),46185.57885416667)</f>
        <v>46185.57885</v>
      </c>
      <c r="I19" s="122"/>
      <c r="J19" s="122"/>
    </row>
    <row r="20">
      <c r="A20" s="122">
        <f>IFERROR(__xludf.DUMMYFUNCTION("""COMPUTED_VALUE"""),8765.0)</f>
        <v>8765</v>
      </c>
      <c r="B20" s="122" t="str">
        <f>IFERROR(__xludf.DUMMYFUNCTION("""COMPUTED_VALUE"""),"Minjun")</f>
        <v>Minjun</v>
      </c>
      <c r="C20" s="122">
        <f>IFERROR(__xludf.DUMMYFUNCTION("""COMPUTED_VALUE"""),7.0)</f>
        <v>7</v>
      </c>
      <c r="D20" s="122" t="str">
        <f>IFERROR(__xludf.DUMMYFUNCTION("""COMPUTED_VALUE"""),"HS207")</f>
        <v>HS207</v>
      </c>
      <c r="E20" s="123">
        <f>IFERROR(__xludf.DUMMYFUNCTION("""COMPUTED_VALUE"""),1135.58)</f>
        <v>1135.58</v>
      </c>
      <c r="F20" s="122" t="str">
        <f>IFERROR(__xludf.DUMMYFUNCTION("""COMPUTED_VALUE"""),"-")</f>
        <v>-</v>
      </c>
      <c r="G20" s="122" t="str">
        <f>IFERROR(__xludf.DUMMYFUNCTION("""COMPUTED_VALUE"""),"Yes")</f>
        <v>Yes</v>
      </c>
      <c r="H20" s="127">
        <f>IFERROR(__xludf.DUMMYFUNCTION("""COMPUTED_VALUE"""),46187.40190972222)</f>
        <v>46187.40191</v>
      </c>
      <c r="I20" s="122"/>
      <c r="J20" s="122"/>
    </row>
    <row r="21">
      <c r="A21" s="122">
        <f>IFERROR(__xludf.DUMMYFUNCTION("""COMPUTED_VALUE"""),9887.0)</f>
        <v>9887</v>
      </c>
      <c r="B21" s="122" t="str">
        <f>IFERROR(__xludf.DUMMYFUNCTION("""COMPUTED_VALUE"""),"Ruby")</f>
        <v>Ruby</v>
      </c>
      <c r="C21" s="122">
        <f>IFERROR(__xludf.DUMMYFUNCTION("""COMPUTED_VALUE"""),7.0)</f>
        <v>7</v>
      </c>
      <c r="D21" s="122" t="str">
        <f>IFERROR(__xludf.DUMMYFUNCTION("""COMPUTED_VALUE"""),"HS208")</f>
        <v>HS208</v>
      </c>
      <c r="E21" s="123">
        <f>IFERROR(__xludf.DUMMYFUNCTION("""COMPUTED_VALUE"""),1827.26)</f>
        <v>1827.26</v>
      </c>
      <c r="F21" s="122" t="str">
        <f>IFERROR(__xludf.DUMMYFUNCTION("""COMPUTED_VALUE"""),"-")</f>
        <v>-</v>
      </c>
      <c r="G21" s="122" t="str">
        <f>IFERROR(__xludf.DUMMYFUNCTION("""COMPUTED_VALUE"""),"Yes")</f>
        <v>Yes</v>
      </c>
      <c r="H21" s="127">
        <f>IFERROR(__xludf.DUMMYFUNCTION("""COMPUTED_VALUE"""),46185.523518518516)</f>
        <v>46185.52352</v>
      </c>
      <c r="I21" s="122"/>
      <c r="J21" s="122"/>
    </row>
    <row r="22">
      <c r="A22" s="122">
        <f>IFERROR(__xludf.DUMMYFUNCTION("""COMPUTED_VALUE"""),7765.0)</f>
        <v>7765</v>
      </c>
      <c r="B22" s="122" t="str">
        <f>IFERROR(__xludf.DUMMYFUNCTION("""COMPUTED_VALUE"""),"Yeonju")</f>
        <v>Yeonju</v>
      </c>
      <c r="C22" s="122">
        <f>IFERROR(__xludf.DUMMYFUNCTION("""COMPUTED_VALUE"""),7.0)</f>
        <v>7</v>
      </c>
      <c r="D22" s="122" t="str">
        <f>IFERROR(__xludf.DUMMYFUNCTION("""COMPUTED_VALUE"""),"HS209")</f>
        <v>HS209</v>
      </c>
      <c r="E22" s="123">
        <f>IFERROR(__xludf.DUMMYFUNCTION("""COMPUTED_VALUE"""),5263.92)</f>
        <v>5263.92</v>
      </c>
      <c r="F22" s="122" t="str">
        <f>IFERROR(__xludf.DUMMYFUNCTION("""COMPUTED_VALUE"""),"-")</f>
        <v>-</v>
      </c>
      <c r="G22" s="122" t="str">
        <f>IFERROR(__xludf.DUMMYFUNCTION("""COMPUTED_VALUE"""),"Yes")</f>
        <v>Yes</v>
      </c>
      <c r="H22" s="127">
        <f>IFERROR(__xludf.DUMMYFUNCTION("""COMPUTED_VALUE"""),46185.44773148148)</f>
        <v>46185.44773</v>
      </c>
      <c r="I22" s="122"/>
      <c r="J22" s="122"/>
    </row>
    <row r="23">
      <c r="A23" s="122">
        <f>IFERROR(__xludf.DUMMYFUNCTION("""COMPUTED_VALUE"""),6665.0)</f>
        <v>6665</v>
      </c>
      <c r="B23" s="122" t="str">
        <f>IFERROR(__xludf.DUMMYFUNCTION("""COMPUTED_VALUE"""),"Jinwoo")</f>
        <v>Jinwoo</v>
      </c>
      <c r="C23" s="122">
        <f>IFERROR(__xludf.DUMMYFUNCTION("""COMPUTED_VALUE"""),7.0)</f>
        <v>7</v>
      </c>
      <c r="D23" s="122" t="str">
        <f>IFERROR(__xludf.DUMMYFUNCTION("""COMPUTED_VALUE"""),"HS210")</f>
        <v>HS210</v>
      </c>
      <c r="E23" s="123">
        <f>IFERROR(__xludf.DUMMYFUNCTION("""COMPUTED_VALUE"""),1553.49)</f>
        <v>1553.49</v>
      </c>
      <c r="F23" s="122" t="str">
        <f>IFERROR(__xludf.DUMMYFUNCTION("""COMPUTED_VALUE"""),"-")</f>
        <v>-</v>
      </c>
      <c r="G23" s="122" t="str">
        <f>IFERROR(__xludf.DUMMYFUNCTION("""COMPUTED_VALUE"""),"Yes")</f>
        <v>Yes</v>
      </c>
      <c r="H23" s="127">
        <f>IFERROR(__xludf.DUMMYFUNCTION("""COMPUTED_VALUE"""),46185.53681712963)</f>
        <v>46185.53682</v>
      </c>
      <c r="I23" s="122"/>
      <c r="J23" s="122"/>
    </row>
    <row r="24">
      <c r="A24" s="122">
        <f>IFERROR(__xludf.DUMMYFUNCTION("""COMPUTED_VALUE"""),8989.0)</f>
        <v>8989</v>
      </c>
      <c r="B24" s="122" t="str">
        <f>IFERROR(__xludf.DUMMYFUNCTION("""COMPUTED_VALUE"""),"Oakley")</f>
        <v>Oakley</v>
      </c>
      <c r="C24" s="122">
        <f>IFERROR(__xludf.DUMMYFUNCTION("""COMPUTED_VALUE"""),7.0)</f>
        <v>7</v>
      </c>
      <c r="D24" s="122" t="str">
        <f>IFERROR(__xludf.DUMMYFUNCTION("""COMPUTED_VALUE"""),"HS211")</f>
        <v>HS211</v>
      </c>
      <c r="E24" s="123">
        <f>IFERROR(__xludf.DUMMYFUNCTION("""COMPUTED_VALUE"""),7002.67)</f>
        <v>7002.67</v>
      </c>
      <c r="F24" s="122" t="str">
        <f>IFERROR(__xludf.DUMMYFUNCTION("""COMPUTED_VALUE"""),"-")</f>
        <v>-</v>
      </c>
      <c r="G24" s="122" t="str">
        <f>IFERROR(__xludf.DUMMYFUNCTION("""COMPUTED_VALUE"""),"Yes")</f>
        <v>Yes</v>
      </c>
      <c r="H24" s="127">
        <f>IFERROR(__xludf.DUMMYFUNCTION("""COMPUTED_VALUE"""),46185.5353125)</f>
        <v>46185.53531</v>
      </c>
      <c r="I24" s="122"/>
      <c r="J24" s="122"/>
    </row>
    <row r="25">
      <c r="A25" s="122">
        <f>IFERROR(__xludf.DUMMYFUNCTION("""COMPUTED_VALUE"""),1234.0)</f>
        <v>1234</v>
      </c>
      <c r="B25" s="122" t="str">
        <f>IFERROR(__xludf.DUMMYFUNCTION("""COMPUTED_VALUE"""),"Test")</f>
        <v>Test</v>
      </c>
      <c r="C25" s="122">
        <f>IFERROR(__xludf.DUMMYFUNCTION("""COMPUTED_VALUE"""),11.0)</f>
        <v>11</v>
      </c>
      <c r="D25" s="122"/>
      <c r="E25" s="123">
        <f>IFERROR(__xludf.DUMMYFUNCTION("""COMPUTED_VALUE"""),95.34)</f>
        <v>95.34</v>
      </c>
      <c r="F25" s="122" t="str">
        <f>IFERROR(__xludf.DUMMYFUNCTION("""COMPUTED_VALUE"""),"-")</f>
        <v>-</v>
      </c>
      <c r="G25" s="122" t="str">
        <f>IFERROR(__xludf.DUMMYFUNCTION("""COMPUTED_VALUE"""),"Yes")</f>
        <v>Yes</v>
      </c>
      <c r="H25" s="127">
        <f>IFERROR(__xludf.DUMMYFUNCTION("""COMPUTED_VALUE"""),46186.699421296296)</f>
        <v>46186.69942</v>
      </c>
      <c r="I25" s="122"/>
      <c r="J25" s="122"/>
    </row>
    <row r="26">
      <c r="A26" s="122">
        <f>IFERROR(__xludf.DUMMYFUNCTION("""COMPUTED_VALUE"""),8244.0)</f>
        <v>8244</v>
      </c>
      <c r="B26" s="122" t="str">
        <f>IFERROR(__xludf.DUMMYFUNCTION("""COMPUTED_VALUE"""),"Alexis Parisee")</f>
        <v>Alexis Parisee</v>
      </c>
      <c r="C26" s="122">
        <f>IFERROR(__xludf.DUMMYFUNCTION("""COMPUTED_VALUE"""),11.0)</f>
        <v>11</v>
      </c>
      <c r="D26" s="122" t="str">
        <f>IFERROR(__xludf.DUMMYFUNCTION("""COMPUTED_VALUE"""),"HS203")</f>
        <v>HS203</v>
      </c>
      <c r="E26" s="123">
        <f>IFERROR(__xludf.DUMMYFUNCTION("""COMPUTED_VALUE"""),1000.0)</f>
        <v>1000</v>
      </c>
      <c r="F26" s="122" t="str">
        <f>IFERROR(__xludf.DUMMYFUNCTION("""COMPUTED_VALUE"""),"-")</f>
        <v>-</v>
      </c>
      <c r="G26" s="122" t="str">
        <f>IFERROR(__xludf.DUMMYFUNCTION("""COMPUTED_VALUE"""),"Yes")</f>
        <v>Yes</v>
      </c>
      <c r="H26" s="122"/>
      <c r="I26" s="122"/>
      <c r="J26" s="122"/>
    </row>
    <row r="27">
      <c r="A27" s="122">
        <f>IFERROR(__xludf.DUMMYFUNCTION("""COMPUTED_VALUE"""),3846.0)</f>
        <v>3846</v>
      </c>
      <c r="B27" s="122" t="str">
        <f>IFERROR(__xludf.DUMMYFUNCTION("""COMPUTED_VALUE"""),"Jace Kim")</f>
        <v>Jace Kim</v>
      </c>
      <c r="C27" s="122">
        <f>IFERROR(__xludf.DUMMYFUNCTION("""COMPUTED_VALUE"""),11.0)</f>
        <v>11</v>
      </c>
      <c r="D27" s="122" t="str">
        <f>IFERROR(__xludf.DUMMYFUNCTION("""COMPUTED_VALUE"""),"HS204")</f>
        <v>HS204</v>
      </c>
      <c r="E27" s="123">
        <f>IFERROR(__xludf.DUMMYFUNCTION("""COMPUTED_VALUE"""),1893.12)</f>
        <v>1893.12</v>
      </c>
      <c r="F27" s="122" t="str">
        <f>IFERROR(__xludf.DUMMYFUNCTION("""COMPUTED_VALUE"""),"-")</f>
        <v>-</v>
      </c>
      <c r="G27" s="122" t="str">
        <f>IFERROR(__xludf.DUMMYFUNCTION("""COMPUTED_VALUE"""),"Yes")</f>
        <v>Yes</v>
      </c>
      <c r="H27" s="127">
        <f>IFERROR(__xludf.DUMMYFUNCTION("""COMPUTED_VALUE"""),46184.38476851852)</f>
        <v>46184.38477</v>
      </c>
      <c r="I27" s="122"/>
      <c r="J27" s="122"/>
    </row>
    <row r="28">
      <c r="A28" s="122">
        <f>IFERROR(__xludf.DUMMYFUNCTION("""COMPUTED_VALUE"""),2659.0)</f>
        <v>2659</v>
      </c>
      <c r="B28" s="122" t="str">
        <f>IFERROR(__xludf.DUMMYFUNCTION("""COMPUTED_VALUE"""),"Jin Park")</f>
        <v>Jin Park</v>
      </c>
      <c r="C28" s="122">
        <f>IFERROR(__xludf.DUMMYFUNCTION("""COMPUTED_VALUE"""),11.0)</f>
        <v>11</v>
      </c>
      <c r="D28" s="122" t="str">
        <f>IFERROR(__xludf.DUMMYFUNCTION("""COMPUTED_VALUE"""),"HS205")</f>
        <v>HS205</v>
      </c>
      <c r="E28" s="123">
        <f>IFERROR(__xludf.DUMMYFUNCTION("""COMPUTED_VALUE"""),3.56)</f>
        <v>3.56</v>
      </c>
      <c r="F28" s="122" t="str">
        <f>IFERROR(__xludf.DUMMYFUNCTION("""COMPUTED_VALUE"""),"-")</f>
        <v>-</v>
      </c>
      <c r="G28" s="122" t="str">
        <f>IFERROR(__xludf.DUMMYFUNCTION("""COMPUTED_VALUE"""),"Yes")</f>
        <v>Yes</v>
      </c>
      <c r="H28" s="127">
        <f>IFERROR(__xludf.DUMMYFUNCTION("""COMPUTED_VALUE"""),46183.57168981482)</f>
        <v>46183.57169</v>
      </c>
      <c r="I28" s="122"/>
      <c r="J28" s="122"/>
    </row>
    <row r="29">
      <c r="A29" s="122">
        <f>IFERROR(__xludf.DUMMYFUNCTION("""COMPUTED_VALUE"""),7302.0)</f>
        <v>7302</v>
      </c>
      <c r="B29" s="122" t="str">
        <f>IFERROR(__xludf.DUMMYFUNCTION("""COMPUTED_VALUE"""),"Claire Yang")</f>
        <v>Claire Yang</v>
      </c>
      <c r="C29" s="122">
        <f>IFERROR(__xludf.DUMMYFUNCTION("""COMPUTED_VALUE"""),11.0)</f>
        <v>11</v>
      </c>
      <c r="D29" s="122" t="str">
        <f>IFERROR(__xludf.DUMMYFUNCTION("""COMPUTED_VALUE"""),"HS206")</f>
        <v>HS206</v>
      </c>
      <c r="E29" s="123">
        <f>IFERROR(__xludf.DUMMYFUNCTION("""COMPUTED_VALUE"""),43.05)</f>
        <v>43.05</v>
      </c>
      <c r="F29" s="122" t="str">
        <f>IFERROR(__xludf.DUMMYFUNCTION("""COMPUTED_VALUE"""),"-")</f>
        <v>-</v>
      </c>
      <c r="G29" s="122" t="str">
        <f>IFERROR(__xludf.DUMMYFUNCTION("""COMPUTED_VALUE"""),"Yes")</f>
        <v>Yes</v>
      </c>
      <c r="H29" s="127">
        <f>IFERROR(__xludf.DUMMYFUNCTION("""COMPUTED_VALUE"""),46183.57829861111)</f>
        <v>46183.5783</v>
      </c>
      <c r="I29" s="122"/>
      <c r="J29" s="122"/>
    </row>
    <row r="30">
      <c r="A30" s="122">
        <f>IFERROR(__xludf.DUMMYFUNCTION("""COMPUTED_VALUE"""),5420.0)</f>
        <v>5420</v>
      </c>
      <c r="B30" s="122" t="str">
        <f>IFERROR(__xludf.DUMMYFUNCTION("""COMPUTED_VALUE"""),"Daniel Park")</f>
        <v>Daniel Park</v>
      </c>
      <c r="C30" s="122">
        <f>IFERROR(__xludf.DUMMYFUNCTION("""COMPUTED_VALUE"""),11.0)</f>
        <v>11</v>
      </c>
      <c r="D30" s="122" t="str">
        <f>IFERROR(__xludf.DUMMYFUNCTION("""COMPUTED_VALUE"""),"HS207")</f>
        <v>HS207</v>
      </c>
      <c r="E30" s="123">
        <f>IFERROR(__xludf.DUMMYFUNCTION("""COMPUTED_VALUE"""),5.81)</f>
        <v>5.81</v>
      </c>
      <c r="F30" s="122" t="str">
        <f>IFERROR(__xludf.DUMMYFUNCTION("""COMPUTED_VALUE"""),"-")</f>
        <v>-</v>
      </c>
      <c r="G30" s="122" t="str">
        <f>IFERROR(__xludf.DUMMYFUNCTION("""COMPUTED_VALUE"""),"Yes")</f>
        <v>Yes</v>
      </c>
      <c r="H30" s="127">
        <f>IFERROR(__xludf.DUMMYFUNCTION("""COMPUTED_VALUE"""),46185.623460648145)</f>
        <v>46185.62346</v>
      </c>
      <c r="I30" s="122"/>
      <c r="J30" s="122"/>
    </row>
    <row r="31">
      <c r="A31" s="122">
        <f>IFERROR(__xludf.DUMMYFUNCTION("""COMPUTED_VALUE"""),4098.0)</f>
        <v>4098</v>
      </c>
      <c r="B31" s="122" t="str">
        <f>IFERROR(__xludf.DUMMYFUNCTION("""COMPUTED_VALUE"""),"Anthony Ahn")</f>
        <v>Anthony Ahn</v>
      </c>
      <c r="C31" s="122">
        <f>IFERROR(__xludf.DUMMYFUNCTION("""COMPUTED_VALUE"""),11.0)</f>
        <v>11</v>
      </c>
      <c r="D31" s="122" t="str">
        <f>IFERROR(__xludf.DUMMYFUNCTION("""COMPUTED_VALUE"""),"HS208")</f>
        <v>HS208</v>
      </c>
      <c r="E31" s="123">
        <f>IFERROR(__xludf.DUMMYFUNCTION("""COMPUTED_VALUE"""),1000.0)</f>
        <v>1000</v>
      </c>
      <c r="F31" s="122" t="str">
        <f>IFERROR(__xludf.DUMMYFUNCTION("""COMPUTED_VALUE"""),"-")</f>
        <v>-</v>
      </c>
      <c r="G31" s="122" t="str">
        <f>IFERROR(__xludf.DUMMYFUNCTION("""COMPUTED_VALUE"""),"Yes")</f>
        <v>Yes</v>
      </c>
      <c r="H31" s="122"/>
      <c r="I31" s="122"/>
      <c r="J31" s="122"/>
    </row>
    <row r="32">
      <c r="A32" s="122">
        <f>IFERROR(__xludf.DUMMYFUNCTION("""COMPUTED_VALUE"""),9908.0)</f>
        <v>9908</v>
      </c>
      <c r="B32" s="122" t="str">
        <f>IFERROR(__xludf.DUMMYFUNCTION("""COMPUTED_VALUE"""),"Alex Kang")</f>
        <v>Alex Kang</v>
      </c>
      <c r="C32" s="122">
        <f>IFERROR(__xludf.DUMMYFUNCTION("""COMPUTED_VALUE"""),11.0)</f>
        <v>11</v>
      </c>
      <c r="D32" s="122" t="str">
        <f>IFERROR(__xludf.DUMMYFUNCTION("""COMPUTED_VALUE"""),"HS209")</f>
        <v>HS209</v>
      </c>
      <c r="E32" s="123">
        <f>IFERROR(__xludf.DUMMYFUNCTION("""COMPUTED_VALUE"""),1000.0)</f>
        <v>1000</v>
      </c>
      <c r="F32" s="122" t="str">
        <f>IFERROR(__xludf.DUMMYFUNCTION("""COMPUTED_VALUE"""),"-")</f>
        <v>-</v>
      </c>
      <c r="G32" s="122" t="str">
        <f>IFERROR(__xludf.DUMMYFUNCTION("""COMPUTED_VALUE"""),"Yes")</f>
        <v>Yes</v>
      </c>
      <c r="H32" s="122"/>
      <c r="I32" s="122"/>
      <c r="J32" s="122"/>
    </row>
    <row r="33">
      <c r="A33" s="122">
        <f>IFERROR(__xludf.DUMMYFUNCTION("""COMPUTED_VALUE"""),8601.0)</f>
        <v>8601</v>
      </c>
      <c r="B33" s="122" t="str">
        <f>IFERROR(__xludf.DUMMYFUNCTION("""COMPUTED_VALUE"""),"Mathew Kim")</f>
        <v>Mathew Kim</v>
      </c>
      <c r="C33" s="122">
        <f>IFERROR(__xludf.DUMMYFUNCTION("""COMPUTED_VALUE"""),11.0)</f>
        <v>11</v>
      </c>
      <c r="D33" s="122" t="str">
        <f>IFERROR(__xludf.DUMMYFUNCTION("""COMPUTED_VALUE"""),"HS210")</f>
        <v>HS210</v>
      </c>
      <c r="E33" s="123">
        <f>IFERROR(__xludf.DUMMYFUNCTION("""COMPUTED_VALUE"""),1000.0)</f>
        <v>1000</v>
      </c>
      <c r="F33" s="122" t="str">
        <f>IFERROR(__xludf.DUMMYFUNCTION("""COMPUTED_VALUE"""),"-")</f>
        <v>-</v>
      </c>
      <c r="G33" s="122" t="str">
        <f>IFERROR(__xludf.DUMMYFUNCTION("""COMPUTED_VALUE"""),"Yes")</f>
        <v>Yes</v>
      </c>
      <c r="H33" s="122"/>
      <c r="I33" s="122"/>
      <c r="J33" s="122"/>
    </row>
    <row r="34">
      <c r="A34" s="122">
        <f>IFERROR(__xludf.DUMMYFUNCTION("""COMPUTED_VALUE"""),3466.0)</f>
        <v>3466</v>
      </c>
      <c r="B34" s="122" t="str">
        <f>IFERROR(__xludf.DUMMYFUNCTION("""COMPUTED_VALUE"""),"Jay Kim")</f>
        <v>Jay Kim</v>
      </c>
      <c r="C34" s="122">
        <f>IFERROR(__xludf.DUMMYFUNCTION("""COMPUTED_VALUE"""),11.0)</f>
        <v>11</v>
      </c>
      <c r="D34" s="122" t="str">
        <f>IFERROR(__xludf.DUMMYFUNCTION("""COMPUTED_VALUE"""),"HS211")</f>
        <v>HS211</v>
      </c>
      <c r="E34" s="123">
        <f>IFERROR(__xludf.DUMMYFUNCTION("""COMPUTED_VALUE"""),130.35)</f>
        <v>130.35</v>
      </c>
      <c r="F34" s="122" t="str">
        <f>IFERROR(__xludf.DUMMYFUNCTION("""COMPUTED_VALUE"""),"-")</f>
        <v>-</v>
      </c>
      <c r="G34" s="122" t="str">
        <f>IFERROR(__xludf.DUMMYFUNCTION("""COMPUTED_VALUE"""),"Yes")</f>
        <v>Yes</v>
      </c>
      <c r="H34" s="127">
        <f>IFERROR(__xludf.DUMMYFUNCTION("""COMPUTED_VALUE"""),46183.64832175926)</f>
        <v>46183.64832</v>
      </c>
      <c r="I34" s="122"/>
      <c r="J34" s="122"/>
    </row>
    <row r="35">
      <c r="A35" s="122">
        <f>IFERROR(__xludf.DUMMYFUNCTION("""COMPUTED_VALUE"""),8300.0)</f>
        <v>8300</v>
      </c>
      <c r="B35" s="122" t="str">
        <f>IFERROR(__xludf.DUMMYFUNCTION("""COMPUTED_VALUE"""),"Andy Lee")</f>
        <v>Andy Lee</v>
      </c>
      <c r="C35" s="122">
        <f>IFERROR(__xludf.DUMMYFUNCTION("""COMPUTED_VALUE"""),11.0)</f>
        <v>11</v>
      </c>
      <c r="D35" s="122" t="str">
        <f>IFERROR(__xludf.DUMMYFUNCTION("""COMPUTED_VALUE"""),"HS212")</f>
        <v>HS212</v>
      </c>
      <c r="E35" s="123">
        <f>IFERROR(__xludf.DUMMYFUNCTION("""COMPUTED_VALUE"""),27.22)</f>
        <v>27.22</v>
      </c>
      <c r="F35" s="122" t="str">
        <f>IFERROR(__xludf.DUMMYFUNCTION("""COMPUTED_VALUE"""),"-")</f>
        <v>-</v>
      </c>
      <c r="G35" s="122" t="str">
        <f>IFERROR(__xludf.DUMMYFUNCTION("""COMPUTED_VALUE"""),"Yes")</f>
        <v>Yes</v>
      </c>
      <c r="H35" s="127">
        <f>IFERROR(__xludf.DUMMYFUNCTION("""COMPUTED_VALUE"""),46183.572858796295)</f>
        <v>46183.57286</v>
      </c>
      <c r="I35" s="122"/>
      <c r="J35" s="122"/>
    </row>
    <row r="36">
      <c r="A36" s="122">
        <f>IFERROR(__xludf.DUMMYFUNCTION("""COMPUTED_VALUE"""),1688.0)</f>
        <v>1688</v>
      </c>
      <c r="B36" s="122" t="str">
        <f>IFERROR(__xludf.DUMMYFUNCTION("""COMPUTED_VALUE"""),"Junwoo Yoon")</f>
        <v>Junwoo Yoon</v>
      </c>
      <c r="C36" s="122">
        <f>IFERROR(__xludf.DUMMYFUNCTION("""COMPUTED_VALUE"""),11.0)</f>
        <v>11</v>
      </c>
      <c r="D36" s="122" t="str">
        <f>IFERROR(__xludf.DUMMYFUNCTION("""COMPUTED_VALUE"""),"HS213")</f>
        <v>HS213</v>
      </c>
      <c r="E36" s="123">
        <f>IFERROR(__xludf.DUMMYFUNCTION("""COMPUTED_VALUE"""),168.92)</f>
        <v>168.92</v>
      </c>
      <c r="F36" s="122" t="str">
        <f>IFERROR(__xludf.DUMMYFUNCTION("""COMPUTED_VALUE"""),"-")</f>
        <v>-</v>
      </c>
      <c r="G36" s="122" t="str">
        <f>IFERROR(__xludf.DUMMYFUNCTION("""COMPUTED_VALUE"""),"Yes")</f>
        <v>Yes</v>
      </c>
      <c r="H36" s="127">
        <f>IFERROR(__xludf.DUMMYFUNCTION("""COMPUTED_VALUE"""),46183.68376157407)</f>
        <v>46183.68376</v>
      </c>
      <c r="I36" s="122"/>
      <c r="J36" s="122"/>
    </row>
    <row r="37">
      <c r="A37" s="122">
        <f>IFERROR(__xludf.DUMMYFUNCTION("""COMPUTED_VALUE"""),8045.0)</f>
        <v>8045</v>
      </c>
      <c r="B37" s="122" t="str">
        <f>IFERROR(__xludf.DUMMYFUNCTION("""COMPUTED_VALUE"""),"Hyunmo Gu ")</f>
        <v>Hyunmo Gu </v>
      </c>
      <c r="C37" s="122">
        <f>IFERROR(__xludf.DUMMYFUNCTION("""COMPUTED_VALUE"""),11.0)</f>
        <v>11</v>
      </c>
      <c r="D37" s="122" t="str">
        <f>IFERROR(__xludf.DUMMYFUNCTION("""COMPUTED_VALUE"""),"HS214")</f>
        <v>HS214</v>
      </c>
      <c r="E37" s="123">
        <f>IFERROR(__xludf.DUMMYFUNCTION("""COMPUTED_VALUE"""),1000.0)</f>
        <v>1000</v>
      </c>
      <c r="F37" s="122" t="str">
        <f>IFERROR(__xludf.DUMMYFUNCTION("""COMPUTED_VALUE"""),"-")</f>
        <v>-</v>
      </c>
      <c r="G37" s="122" t="str">
        <f>IFERROR(__xludf.DUMMYFUNCTION("""COMPUTED_VALUE"""),"Yes")</f>
        <v>Yes</v>
      </c>
      <c r="H37" s="122"/>
      <c r="I37" s="122"/>
      <c r="J37" s="122"/>
    </row>
    <row r="38">
      <c r="A38" s="122">
        <f>IFERROR(__xludf.DUMMYFUNCTION("""COMPUTED_VALUE"""),1926.0)</f>
        <v>1926</v>
      </c>
      <c r="B38" s="122" t="str">
        <f>IFERROR(__xludf.DUMMYFUNCTION("""COMPUTED_VALUE"""),"Sooin Kang")</f>
        <v>Sooin Kang</v>
      </c>
      <c r="C38" s="122">
        <f>IFERROR(__xludf.DUMMYFUNCTION("""COMPUTED_VALUE"""),11.0)</f>
        <v>11</v>
      </c>
      <c r="D38" s="122" t="str">
        <f>IFERROR(__xludf.DUMMYFUNCTION("""COMPUTED_VALUE"""),"HS215")</f>
        <v>HS215</v>
      </c>
      <c r="E38" s="123">
        <f>IFERROR(__xludf.DUMMYFUNCTION("""COMPUTED_VALUE"""),1000.0)</f>
        <v>1000</v>
      </c>
      <c r="F38" s="122" t="str">
        <f>IFERROR(__xludf.DUMMYFUNCTION("""COMPUTED_VALUE"""),"-")</f>
        <v>-</v>
      </c>
      <c r="G38" s="122" t="str">
        <f>IFERROR(__xludf.DUMMYFUNCTION("""COMPUTED_VALUE"""),"Yes")</f>
        <v>Yes</v>
      </c>
      <c r="H38" s="122"/>
      <c r="I38" s="122"/>
      <c r="J38" s="122"/>
    </row>
    <row r="39">
      <c r="A39" s="122">
        <f>IFERROR(__xludf.DUMMYFUNCTION("""COMPUTED_VALUE"""),1035.0)</f>
        <v>1035</v>
      </c>
      <c r="B39" s="122" t="str">
        <f>IFERROR(__xludf.DUMMYFUNCTION("""COMPUTED_VALUE"""),"Jiwon Kang")</f>
        <v>Jiwon Kang</v>
      </c>
      <c r="C39" s="122">
        <f>IFERROR(__xludf.DUMMYFUNCTION("""COMPUTED_VALUE"""),11.0)</f>
        <v>11</v>
      </c>
      <c r="D39" s="122" t="str">
        <f>IFERROR(__xludf.DUMMYFUNCTION("""COMPUTED_VALUE"""),"HS216")</f>
        <v>HS216</v>
      </c>
      <c r="E39" s="123">
        <f>IFERROR(__xludf.DUMMYFUNCTION("""COMPUTED_VALUE"""),1000.0)</f>
        <v>1000</v>
      </c>
      <c r="F39" s="122" t="str">
        <f>IFERROR(__xludf.DUMMYFUNCTION("""COMPUTED_VALUE"""),"-")</f>
        <v>-</v>
      </c>
      <c r="G39" s="122" t="str">
        <f>IFERROR(__xludf.DUMMYFUNCTION("""COMPUTED_VALUE"""),"Yes")</f>
        <v>Yes</v>
      </c>
      <c r="H39" s="122"/>
      <c r="I39" s="122"/>
      <c r="J39" s="122"/>
    </row>
    <row r="40">
      <c r="A40" s="122">
        <f>IFERROR(__xludf.DUMMYFUNCTION("""COMPUTED_VALUE"""),3706.0)</f>
        <v>3706</v>
      </c>
      <c r="B40" s="122" t="str">
        <f>IFERROR(__xludf.DUMMYFUNCTION("""COMPUTED_VALUE"""),"Kevin Jeon")</f>
        <v>Kevin Jeon</v>
      </c>
      <c r="C40" s="122">
        <f>IFERROR(__xludf.DUMMYFUNCTION("""COMPUTED_VALUE"""),11.0)</f>
        <v>11</v>
      </c>
      <c r="D40" s="122" t="str">
        <f>IFERROR(__xludf.DUMMYFUNCTION("""COMPUTED_VALUE"""),"HS217")</f>
        <v>HS217</v>
      </c>
      <c r="E40" s="123">
        <f>IFERROR(__xludf.DUMMYFUNCTION("""COMPUTED_VALUE"""),107.95)</f>
        <v>107.95</v>
      </c>
      <c r="F40" s="122" t="str">
        <f>IFERROR(__xludf.DUMMYFUNCTION("""COMPUTED_VALUE"""),"-")</f>
        <v>-</v>
      </c>
      <c r="G40" s="122" t="str">
        <f>IFERROR(__xludf.DUMMYFUNCTION("""COMPUTED_VALUE"""),"Yes")</f>
        <v>Yes</v>
      </c>
      <c r="H40" s="127">
        <f>IFERROR(__xludf.DUMMYFUNCTION("""COMPUTED_VALUE"""),46183.59241898148)</f>
        <v>46183.59242</v>
      </c>
      <c r="I40" s="122"/>
      <c r="J40" s="122"/>
    </row>
    <row r="41">
      <c r="A41" s="122">
        <f>IFERROR(__xludf.DUMMYFUNCTION("""COMPUTED_VALUE"""),1117.0)</f>
        <v>1117</v>
      </c>
      <c r="B41" s="122" t="str">
        <f>IFERROR(__xludf.DUMMYFUNCTION("""COMPUTED_VALUE"""),"Hyeonjun Kim")</f>
        <v>Hyeonjun Kim</v>
      </c>
      <c r="C41" s="122">
        <f>IFERROR(__xludf.DUMMYFUNCTION("""COMPUTED_VALUE"""),8.0)</f>
        <v>8</v>
      </c>
      <c r="D41" s="122"/>
      <c r="E41" s="123">
        <f>IFERROR(__xludf.DUMMYFUNCTION("""COMPUTED_VALUE"""),48.17)</f>
        <v>48.17</v>
      </c>
      <c r="F41" s="122" t="str">
        <f>IFERROR(__xludf.DUMMYFUNCTION("""COMPUTED_VALUE"""),"-")</f>
        <v>-</v>
      </c>
      <c r="G41" s="122" t="str">
        <f>IFERROR(__xludf.DUMMYFUNCTION("""COMPUTED_VALUE"""),"Yes")</f>
        <v>Yes</v>
      </c>
      <c r="H41" s="127">
        <f>IFERROR(__xludf.DUMMYFUNCTION("""COMPUTED_VALUE"""),46185.65935185185)</f>
        <v>46185.65935</v>
      </c>
      <c r="I41" s="122"/>
      <c r="J41" s="122"/>
    </row>
    <row r="42">
      <c r="A42" s="122">
        <f>IFERROR(__xludf.DUMMYFUNCTION("""COMPUTED_VALUE"""),9658.0)</f>
        <v>9658</v>
      </c>
      <c r="B42" s="122" t="str">
        <f>IFERROR(__xludf.DUMMYFUNCTION("""COMPUTED_VALUE"""),"Austin Han")</f>
        <v>Austin Han</v>
      </c>
      <c r="C42" s="122">
        <f>IFERROR(__xludf.DUMMYFUNCTION("""COMPUTED_VALUE"""),8.0)</f>
        <v>8</v>
      </c>
      <c r="D42" s="122"/>
      <c r="E42" s="123">
        <f>IFERROR(__xludf.DUMMYFUNCTION("""COMPUTED_VALUE"""),40.51)</f>
        <v>40.51</v>
      </c>
      <c r="F42" s="122" t="str">
        <f>IFERROR(__xludf.DUMMYFUNCTION("""COMPUTED_VALUE"""),"-")</f>
        <v>-</v>
      </c>
      <c r="G42" s="122" t="str">
        <f>IFERROR(__xludf.DUMMYFUNCTION("""COMPUTED_VALUE"""),"Yes")</f>
        <v>Yes</v>
      </c>
      <c r="H42" s="127">
        <f>IFERROR(__xludf.DUMMYFUNCTION("""COMPUTED_VALUE"""),46187.343136574076)</f>
        <v>46187.34314</v>
      </c>
      <c r="I42" s="122"/>
      <c r="J42" s="122"/>
    </row>
    <row r="43">
      <c r="A43" s="122">
        <f>IFERROR(__xludf.DUMMYFUNCTION("""COMPUTED_VALUE"""),4647.0)</f>
        <v>4647</v>
      </c>
      <c r="B43" s="122" t="str">
        <f>IFERROR(__xludf.DUMMYFUNCTION("""COMPUTED_VALUE"""),"Jake Kim")</f>
        <v>Jake Kim</v>
      </c>
      <c r="C43" s="122">
        <f>IFERROR(__xludf.DUMMYFUNCTION("""COMPUTED_VALUE"""),8.0)</f>
        <v>8</v>
      </c>
      <c r="D43" s="122"/>
      <c r="E43" s="123">
        <f>IFERROR(__xludf.DUMMYFUNCTION("""COMPUTED_VALUE"""),42.61)</f>
        <v>42.61</v>
      </c>
      <c r="F43" s="122" t="str">
        <f>IFERROR(__xludf.DUMMYFUNCTION("""COMPUTED_VALUE"""),"-")</f>
        <v>-</v>
      </c>
      <c r="G43" s="122" t="str">
        <f>IFERROR(__xludf.DUMMYFUNCTION("""COMPUTED_VALUE"""),"Yes")</f>
        <v>Yes</v>
      </c>
      <c r="H43" s="127">
        <f>IFERROR(__xludf.DUMMYFUNCTION("""COMPUTED_VALUE"""),46187.57518518518)</f>
        <v>46187.57519</v>
      </c>
      <c r="I43" s="122"/>
      <c r="J43" s="122"/>
    </row>
    <row r="44">
      <c r="A44" s="122">
        <f>IFERROR(__xludf.DUMMYFUNCTION("""COMPUTED_VALUE"""),4346.0)</f>
        <v>4346</v>
      </c>
      <c r="B44" s="122" t="str">
        <f>IFERROR(__xludf.DUMMYFUNCTION("""COMPUTED_VALUE"""),"Shay Baek")</f>
        <v>Shay Baek</v>
      </c>
      <c r="C44" s="122">
        <f>IFERROR(__xludf.DUMMYFUNCTION("""COMPUTED_VALUE"""),8.0)</f>
        <v>8</v>
      </c>
      <c r="D44" s="122"/>
      <c r="E44" s="123">
        <f>IFERROR(__xludf.DUMMYFUNCTION("""COMPUTED_VALUE"""),1964.86)</f>
        <v>1964.86</v>
      </c>
      <c r="F44" s="122" t="str">
        <f>IFERROR(__xludf.DUMMYFUNCTION("""COMPUTED_VALUE"""),"-")</f>
        <v>-</v>
      </c>
      <c r="G44" s="122" t="str">
        <f>IFERROR(__xludf.DUMMYFUNCTION("""COMPUTED_VALUE"""),"Yes")</f>
        <v>Yes</v>
      </c>
      <c r="H44" s="127">
        <f>IFERROR(__xludf.DUMMYFUNCTION("""COMPUTED_VALUE"""),46185.686527777776)</f>
        <v>46185.68653</v>
      </c>
      <c r="I44" s="122"/>
      <c r="J44" s="122"/>
    </row>
    <row r="45">
      <c r="A45" s="122">
        <f>IFERROR(__xludf.DUMMYFUNCTION("""COMPUTED_VALUE"""),8332.0)</f>
        <v>8332</v>
      </c>
      <c r="B45" s="122" t="str">
        <f>IFERROR(__xludf.DUMMYFUNCTION("""COMPUTED_VALUE"""),"Lily Kim")</f>
        <v>Lily Kim</v>
      </c>
      <c r="C45" s="122">
        <f>IFERROR(__xludf.DUMMYFUNCTION("""COMPUTED_VALUE"""),8.0)</f>
        <v>8</v>
      </c>
      <c r="D45" s="122"/>
      <c r="E45" s="123">
        <f>IFERROR(__xludf.DUMMYFUNCTION("""COMPUTED_VALUE"""),921.89)</f>
        <v>921.89</v>
      </c>
      <c r="F45" s="122" t="str">
        <f>IFERROR(__xludf.DUMMYFUNCTION("""COMPUTED_VALUE"""),"-")</f>
        <v>-</v>
      </c>
      <c r="G45" s="122" t="str">
        <f>IFERROR(__xludf.DUMMYFUNCTION("""COMPUTED_VALUE"""),"Yes")</f>
        <v>Yes</v>
      </c>
      <c r="H45" s="127">
        <f>IFERROR(__xludf.DUMMYFUNCTION("""COMPUTED_VALUE"""),46184.59222222222)</f>
        <v>46184.59222</v>
      </c>
      <c r="I45" s="122"/>
      <c r="J45" s="122"/>
    </row>
    <row r="46">
      <c r="A46" s="122">
        <f>IFERROR(__xludf.DUMMYFUNCTION("""COMPUTED_VALUE"""),6050.0)</f>
        <v>6050</v>
      </c>
      <c r="B46" s="122" t="str">
        <f>IFERROR(__xludf.DUMMYFUNCTION("""COMPUTED_VALUE"""),"Claire Jeong")</f>
        <v>Claire Jeong</v>
      </c>
      <c r="C46" s="122">
        <f>IFERROR(__xludf.DUMMYFUNCTION("""COMPUTED_VALUE"""),8.0)</f>
        <v>8</v>
      </c>
      <c r="D46" s="122"/>
      <c r="E46" s="123">
        <f>IFERROR(__xludf.DUMMYFUNCTION("""COMPUTED_VALUE"""),38.28)</f>
        <v>38.28</v>
      </c>
      <c r="F46" s="122" t="str">
        <f>IFERROR(__xludf.DUMMYFUNCTION("""COMPUTED_VALUE"""),"-")</f>
        <v>-</v>
      </c>
      <c r="G46" s="122" t="str">
        <f>IFERROR(__xludf.DUMMYFUNCTION("""COMPUTED_VALUE"""),"Yes")</f>
        <v>Yes</v>
      </c>
      <c r="H46" s="127">
        <f>IFERROR(__xludf.DUMMYFUNCTION("""COMPUTED_VALUE"""),46183.595821759256)</f>
        <v>46183.59582</v>
      </c>
      <c r="I46" s="122"/>
      <c r="J46" s="122"/>
    </row>
    <row r="47">
      <c r="A47" s="122">
        <f>IFERROR(__xludf.DUMMYFUNCTION("""COMPUTED_VALUE"""),9842.0)</f>
        <v>9842</v>
      </c>
      <c r="B47" s="122" t="str">
        <f>IFERROR(__xludf.DUMMYFUNCTION("""COMPUTED_VALUE"""),"Sylvia Seo")</f>
        <v>Sylvia Seo</v>
      </c>
      <c r="C47" s="122">
        <f>IFERROR(__xludf.DUMMYFUNCTION("""COMPUTED_VALUE"""),8.0)</f>
        <v>8</v>
      </c>
      <c r="D47" s="122"/>
      <c r="E47" s="123">
        <f>IFERROR(__xludf.DUMMYFUNCTION("""COMPUTED_VALUE"""),257.9)</f>
        <v>257.9</v>
      </c>
      <c r="F47" s="122" t="str">
        <f>IFERROR(__xludf.DUMMYFUNCTION("""COMPUTED_VALUE"""),"-")</f>
        <v>-</v>
      </c>
      <c r="G47" s="122" t="str">
        <f>IFERROR(__xludf.DUMMYFUNCTION("""COMPUTED_VALUE"""),"Yes")</f>
        <v>Yes</v>
      </c>
      <c r="H47" s="127">
        <f>IFERROR(__xludf.DUMMYFUNCTION("""COMPUTED_VALUE"""),46184.40719907408)</f>
        <v>46184.4072</v>
      </c>
      <c r="I47" s="122"/>
      <c r="J47" s="122"/>
    </row>
    <row r="48">
      <c r="A48" s="122">
        <f>IFERROR(__xludf.DUMMYFUNCTION("""COMPUTED_VALUE"""),2399.0)</f>
        <v>2399</v>
      </c>
      <c r="B48" s="122" t="str">
        <f>IFERROR(__xludf.DUMMYFUNCTION("""COMPUTED_VALUE"""),"Seoyi Hong")</f>
        <v>Seoyi Hong</v>
      </c>
      <c r="C48" s="122">
        <f>IFERROR(__xludf.DUMMYFUNCTION("""COMPUTED_VALUE"""),8.0)</f>
        <v>8</v>
      </c>
      <c r="D48" s="122"/>
      <c r="E48" s="123">
        <f>IFERROR(__xludf.DUMMYFUNCTION("""COMPUTED_VALUE"""),290.59)</f>
        <v>290.59</v>
      </c>
      <c r="F48" s="122" t="str">
        <f>IFERROR(__xludf.DUMMYFUNCTION("""COMPUTED_VALUE"""),"-")</f>
        <v>-</v>
      </c>
      <c r="G48" s="122" t="str">
        <f>IFERROR(__xludf.DUMMYFUNCTION("""COMPUTED_VALUE"""),"Yes")</f>
        <v>Yes</v>
      </c>
      <c r="H48" s="127">
        <f>IFERROR(__xludf.DUMMYFUNCTION("""COMPUTED_VALUE"""),46184.40646990741)</f>
        <v>46184.40647</v>
      </c>
      <c r="I48" s="122"/>
      <c r="J48" s="122"/>
    </row>
    <row r="49">
      <c r="A49" s="122">
        <f>IFERROR(__xludf.DUMMYFUNCTION("""COMPUTED_VALUE"""),8365.0)</f>
        <v>8365</v>
      </c>
      <c r="B49" s="122" t="str">
        <f>IFERROR(__xludf.DUMMYFUNCTION("""COMPUTED_VALUE"""),"Casey Yang")</f>
        <v>Casey Yang</v>
      </c>
      <c r="C49" s="122">
        <f>IFERROR(__xludf.DUMMYFUNCTION("""COMPUTED_VALUE"""),8.0)</f>
        <v>8</v>
      </c>
      <c r="D49" s="122"/>
      <c r="E49" s="123">
        <f>IFERROR(__xludf.DUMMYFUNCTION("""COMPUTED_VALUE"""),774.4)</f>
        <v>774.4</v>
      </c>
      <c r="F49" s="122" t="str">
        <f>IFERROR(__xludf.DUMMYFUNCTION("""COMPUTED_VALUE"""),"-")</f>
        <v>-</v>
      </c>
      <c r="G49" s="122" t="str">
        <f>IFERROR(__xludf.DUMMYFUNCTION("""COMPUTED_VALUE"""),"Yes")</f>
        <v>Yes</v>
      </c>
      <c r="H49" s="127">
        <f>IFERROR(__xludf.DUMMYFUNCTION("""COMPUTED_VALUE"""),46185.59349537037)</f>
        <v>46185.5935</v>
      </c>
      <c r="I49" s="122"/>
      <c r="J49" s="122"/>
    </row>
    <row r="50">
      <c r="A50" s="122">
        <f>IFERROR(__xludf.DUMMYFUNCTION("""COMPUTED_VALUE"""),6742.0)</f>
        <v>6742</v>
      </c>
      <c r="B50" s="122" t="str">
        <f>IFERROR(__xludf.DUMMYFUNCTION("""COMPUTED_VALUE"""),"Raoul Kim")</f>
        <v>Raoul Kim</v>
      </c>
      <c r="C50" s="122">
        <f>IFERROR(__xludf.DUMMYFUNCTION("""COMPUTED_VALUE"""),8.0)</f>
        <v>8</v>
      </c>
      <c r="D50" s="122"/>
      <c r="E50" s="123">
        <f>IFERROR(__xludf.DUMMYFUNCTION("""COMPUTED_VALUE"""),649.56)</f>
        <v>649.56</v>
      </c>
      <c r="F50" s="122" t="str">
        <f>IFERROR(__xludf.DUMMYFUNCTION("""COMPUTED_VALUE"""),"-")</f>
        <v>-</v>
      </c>
      <c r="G50" s="122" t="str">
        <f>IFERROR(__xludf.DUMMYFUNCTION("""COMPUTED_VALUE"""),"Yes")</f>
        <v>Yes</v>
      </c>
      <c r="H50" s="127">
        <f>IFERROR(__xludf.DUMMYFUNCTION("""COMPUTED_VALUE"""),46187.675462962965)</f>
        <v>46187.67546</v>
      </c>
      <c r="I50" s="122"/>
      <c r="J50" s="122"/>
    </row>
    <row r="51">
      <c r="A51" s="122">
        <f>IFERROR(__xludf.DUMMYFUNCTION("""COMPUTED_VALUE"""),8043.0)</f>
        <v>8043</v>
      </c>
      <c r="B51" s="122" t="str">
        <f>IFERROR(__xludf.DUMMYFUNCTION("""COMPUTED_VALUE"""),"Jayden Hong")</f>
        <v>Jayden Hong</v>
      </c>
      <c r="C51" s="122">
        <f>IFERROR(__xludf.DUMMYFUNCTION("""COMPUTED_VALUE"""),8.0)</f>
        <v>8</v>
      </c>
      <c r="D51" s="122"/>
      <c r="E51" s="123">
        <f>IFERROR(__xludf.DUMMYFUNCTION("""COMPUTED_VALUE"""),153.98)</f>
        <v>153.98</v>
      </c>
      <c r="F51" s="122" t="str">
        <f>IFERROR(__xludf.DUMMYFUNCTION("""COMPUTED_VALUE"""),"-")</f>
        <v>-</v>
      </c>
      <c r="G51" s="122" t="str">
        <f>IFERROR(__xludf.DUMMYFUNCTION("""COMPUTED_VALUE"""),"Yes")</f>
        <v>Yes</v>
      </c>
      <c r="H51" s="127">
        <f>IFERROR(__xludf.DUMMYFUNCTION("""COMPUTED_VALUE"""),46186.675358796296)</f>
        <v>46186.67536</v>
      </c>
      <c r="I51" s="122"/>
      <c r="J51" s="122"/>
    </row>
    <row r="52">
      <c r="A52" s="122">
        <f>IFERROR(__xludf.DUMMYFUNCTION("""COMPUTED_VALUE"""),1749.0)</f>
        <v>1749</v>
      </c>
      <c r="B52" s="122" t="str">
        <f>IFERROR(__xludf.DUMMYFUNCTION("""COMPUTED_VALUE"""),"Edward Song")</f>
        <v>Edward Song</v>
      </c>
      <c r="C52" s="122">
        <f>IFERROR(__xludf.DUMMYFUNCTION("""COMPUTED_VALUE"""),8.0)</f>
        <v>8</v>
      </c>
      <c r="D52" s="122"/>
      <c r="E52" s="123">
        <f>IFERROR(__xludf.DUMMYFUNCTION("""COMPUTED_VALUE"""),497.54)</f>
        <v>497.54</v>
      </c>
      <c r="F52" s="122" t="str">
        <f>IFERROR(__xludf.DUMMYFUNCTION("""COMPUTED_VALUE"""),"-")</f>
        <v>-</v>
      </c>
      <c r="G52" s="122" t="str">
        <f>IFERROR(__xludf.DUMMYFUNCTION("""COMPUTED_VALUE"""),"Yes")</f>
        <v>Yes</v>
      </c>
      <c r="H52" s="127">
        <f>IFERROR(__xludf.DUMMYFUNCTION("""COMPUTED_VALUE"""),46187.652766203704)</f>
        <v>46187.65277</v>
      </c>
      <c r="I52" s="122"/>
      <c r="J52" s="122"/>
    </row>
    <row r="53">
      <c r="A53" s="122">
        <f>IFERROR(__xludf.DUMMYFUNCTION("""COMPUTED_VALUE"""),6119.0)</f>
        <v>6119</v>
      </c>
      <c r="B53" s="122" t="str">
        <f>IFERROR(__xludf.DUMMYFUNCTION("""COMPUTED_VALUE"""),"Hannah Lee")</f>
        <v>Hannah Lee</v>
      </c>
      <c r="C53" s="122">
        <f>IFERROR(__xludf.DUMMYFUNCTION("""COMPUTED_VALUE"""),8.0)</f>
        <v>8</v>
      </c>
      <c r="D53" s="122"/>
      <c r="E53" s="123">
        <f>IFERROR(__xludf.DUMMYFUNCTION("""COMPUTED_VALUE"""),458.06)</f>
        <v>458.06</v>
      </c>
      <c r="F53" s="122" t="str">
        <f>IFERROR(__xludf.DUMMYFUNCTION("""COMPUTED_VALUE"""),"-")</f>
        <v>-</v>
      </c>
      <c r="G53" s="122" t="str">
        <f>IFERROR(__xludf.DUMMYFUNCTION("""COMPUTED_VALUE"""),"Yes")</f>
        <v>Yes</v>
      </c>
      <c r="H53" s="127">
        <f>IFERROR(__xludf.DUMMYFUNCTION("""COMPUTED_VALUE"""),46185.597650462965)</f>
        <v>46185.59765</v>
      </c>
      <c r="I53" s="122"/>
      <c r="J53" s="122"/>
    </row>
    <row r="54">
      <c r="A54" s="122">
        <f>IFERROR(__xludf.DUMMYFUNCTION("""COMPUTED_VALUE"""),5121.0)</f>
        <v>5121</v>
      </c>
      <c r="B54" s="122" t="str">
        <f>IFERROR(__xludf.DUMMYFUNCTION("""COMPUTED_VALUE"""),"Ryan Kang")</f>
        <v>Ryan Kang</v>
      </c>
      <c r="C54" s="122">
        <f>IFERROR(__xludf.DUMMYFUNCTION("""COMPUTED_VALUE"""),8.0)</f>
        <v>8</v>
      </c>
      <c r="D54" s="122"/>
      <c r="E54" s="123">
        <f>IFERROR(__xludf.DUMMYFUNCTION("""COMPUTED_VALUE"""),86.92)</f>
        <v>86.92</v>
      </c>
      <c r="F54" s="122" t="str">
        <f>IFERROR(__xludf.DUMMYFUNCTION("""COMPUTED_VALUE"""),"-")</f>
        <v>-</v>
      </c>
      <c r="G54" s="122" t="str">
        <f>IFERROR(__xludf.DUMMYFUNCTION("""COMPUTED_VALUE"""),"Yes")</f>
        <v>Yes</v>
      </c>
      <c r="H54" s="127">
        <f>IFERROR(__xludf.DUMMYFUNCTION("""COMPUTED_VALUE"""),46185.65726851852)</f>
        <v>46185.65727</v>
      </c>
      <c r="I54" s="122"/>
      <c r="J54" s="122"/>
    </row>
    <row r="55">
      <c r="A55" s="122">
        <f>IFERROR(__xludf.DUMMYFUNCTION("""COMPUTED_VALUE"""),676768.0)</f>
        <v>676768</v>
      </c>
      <c r="B55" s="122" t="str">
        <f>IFERROR(__xludf.DUMMYFUNCTION("""COMPUTED_VALUE"""),"Jayden Yun")</f>
        <v>Jayden Yun</v>
      </c>
      <c r="C55" s="122">
        <f>IFERROR(__xludf.DUMMYFUNCTION("""COMPUTED_VALUE"""),8.0)</f>
        <v>8</v>
      </c>
      <c r="D55" s="122"/>
      <c r="E55" s="123">
        <f>IFERROR(__xludf.DUMMYFUNCTION("""COMPUTED_VALUE"""),45.45)</f>
        <v>45.45</v>
      </c>
      <c r="F55" s="122" t="str">
        <f>IFERROR(__xludf.DUMMYFUNCTION("""COMPUTED_VALUE"""),"-")</f>
        <v>-</v>
      </c>
      <c r="G55" s="122" t="str">
        <f>IFERROR(__xludf.DUMMYFUNCTION("""COMPUTED_VALUE"""),"Yes")</f>
        <v>Yes</v>
      </c>
      <c r="H55" s="127">
        <f>IFERROR(__xludf.DUMMYFUNCTION("""COMPUTED_VALUE"""),46187.56932870371)</f>
        <v>46187.56933</v>
      </c>
      <c r="I55" s="122"/>
      <c r="J55" s="122"/>
    </row>
    <row r="56">
      <c r="A56" s="122">
        <f>IFERROR(__xludf.DUMMYFUNCTION("""COMPUTED_VALUE"""),8375.0)</f>
        <v>8375</v>
      </c>
      <c r="B56" s="122" t="str">
        <f>IFERROR(__xludf.DUMMYFUNCTION("""COMPUTED_VALUE"""),"Annie Lee")</f>
        <v>Annie Lee</v>
      </c>
      <c r="C56" s="122">
        <f>IFERROR(__xludf.DUMMYFUNCTION("""COMPUTED_VALUE"""),8.0)</f>
        <v>8</v>
      </c>
      <c r="D56" s="122"/>
      <c r="E56" s="123">
        <f>IFERROR(__xludf.DUMMYFUNCTION("""COMPUTED_VALUE"""),419.36)</f>
        <v>419.36</v>
      </c>
      <c r="F56" s="122" t="str">
        <f>IFERROR(__xludf.DUMMYFUNCTION("""COMPUTED_VALUE"""),"-")</f>
        <v>-</v>
      </c>
      <c r="G56" s="122" t="str">
        <f>IFERROR(__xludf.DUMMYFUNCTION("""COMPUTED_VALUE"""),"Yes")</f>
        <v>Yes</v>
      </c>
      <c r="H56" s="127">
        <f>IFERROR(__xludf.DUMMYFUNCTION("""COMPUTED_VALUE"""),46183.59747685185)</f>
        <v>46183.59748</v>
      </c>
      <c r="I56" s="122"/>
      <c r="J56" s="122"/>
    </row>
    <row r="57">
      <c r="A57" s="122">
        <f>IFERROR(__xludf.DUMMYFUNCTION("""COMPUTED_VALUE"""),7920.0)</f>
        <v>7920</v>
      </c>
      <c r="B57" s="122" t="str">
        <f>IFERROR(__xludf.DUMMYFUNCTION("""COMPUTED_VALUE"""),"Alyssa Shin")</f>
        <v>Alyssa Shin</v>
      </c>
      <c r="C57" s="122">
        <f>IFERROR(__xludf.DUMMYFUNCTION("""COMPUTED_VALUE"""),8.0)</f>
        <v>8</v>
      </c>
      <c r="D57" s="122"/>
      <c r="E57" s="123">
        <f>IFERROR(__xludf.DUMMYFUNCTION("""COMPUTED_VALUE"""),870.12)</f>
        <v>870.12</v>
      </c>
      <c r="F57" s="122" t="str">
        <f>IFERROR(__xludf.DUMMYFUNCTION("""COMPUTED_VALUE"""),"-")</f>
        <v>-</v>
      </c>
      <c r="G57" s="122" t="str">
        <f>IFERROR(__xludf.DUMMYFUNCTION("""COMPUTED_VALUE"""),"Yes")</f>
        <v>Yes</v>
      </c>
      <c r="H57" s="127">
        <f>IFERROR(__xludf.DUMMYFUNCTION("""COMPUTED_VALUE"""),46185.60037037037)</f>
        <v>46185.60037</v>
      </c>
      <c r="I57" s="122"/>
      <c r="J57" s="122"/>
    </row>
    <row r="58">
      <c r="A58" s="122">
        <f>IFERROR(__xludf.DUMMYFUNCTION("""COMPUTED_VALUE"""),8673.0)</f>
        <v>8673</v>
      </c>
      <c r="B58" s="122" t="str">
        <f>IFERROR(__xludf.DUMMYFUNCTION("""COMPUTED_VALUE"""),"Minjung Lee")</f>
        <v>Minjung Lee</v>
      </c>
      <c r="C58" s="122">
        <f>IFERROR(__xludf.DUMMYFUNCTION("""COMPUTED_VALUE"""),8.0)</f>
        <v>8</v>
      </c>
      <c r="D58" s="122"/>
      <c r="E58" s="123">
        <f>IFERROR(__xludf.DUMMYFUNCTION("""COMPUTED_VALUE"""),130.1)</f>
        <v>130.1</v>
      </c>
      <c r="F58" s="122" t="str">
        <f>IFERROR(__xludf.DUMMYFUNCTION("""COMPUTED_VALUE"""),"-")</f>
        <v>-</v>
      </c>
      <c r="G58" s="122" t="str">
        <f>IFERROR(__xludf.DUMMYFUNCTION("""COMPUTED_VALUE"""),"Yes")</f>
        <v>Yes</v>
      </c>
      <c r="H58" s="127">
        <f>IFERROR(__xludf.DUMMYFUNCTION("""COMPUTED_VALUE"""),46185.59657407407)</f>
        <v>46185.59657</v>
      </c>
      <c r="I58" s="122"/>
      <c r="J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</row>
    <row r="60">
      <c r="A60" s="122">
        <f>IFERROR(__xludf.DUMMYFUNCTION("""COMPUTED_VALUE"""),2233.0)</f>
        <v>2233</v>
      </c>
      <c r="B60" s="122" t="str">
        <f>IFERROR(__xludf.DUMMYFUNCTION("""COMPUTED_VALUE"""),"John")</f>
        <v>John</v>
      </c>
      <c r="C60" s="122" t="str">
        <f>IFERROR(__xludf.DUMMYFUNCTION("""COMPUTED_VALUE"""),"Teacher")</f>
        <v>Teacher</v>
      </c>
      <c r="D60" s="122"/>
      <c r="E60" s="123">
        <f>IFERROR(__xludf.DUMMYFUNCTION("""COMPUTED_VALUE"""),51.9)</f>
        <v>51.9</v>
      </c>
      <c r="F60" s="122"/>
      <c r="G60" s="122" t="str">
        <f>IFERROR(__xludf.DUMMYFUNCTION("""COMPUTED_VALUE"""),"Yes")</f>
        <v>Yes</v>
      </c>
      <c r="H60" s="127">
        <f>IFERROR(__xludf.DUMMYFUNCTION("""COMPUTED_VALUE"""),46183.65100694444)</f>
        <v>46183.65101</v>
      </c>
      <c r="I60" s="122"/>
      <c r="J60" s="122"/>
    </row>
    <row r="61">
      <c r="A61" s="122">
        <f>IFERROR(__xludf.DUMMYFUNCTION("""COMPUTED_VALUE"""),4316.0)</f>
        <v>4316</v>
      </c>
      <c r="B61" s="122" t="str">
        <f>IFERROR(__xludf.DUMMYFUNCTION("""COMPUTED_VALUE"""),"Chloe An")</f>
        <v>Chloe An</v>
      </c>
      <c r="C61" s="122"/>
      <c r="D61" s="122"/>
      <c r="E61" s="123">
        <f>IFERROR(__xludf.DUMMYFUNCTION("""COMPUTED_VALUE"""),486.43)</f>
        <v>486.43</v>
      </c>
      <c r="F61" s="122"/>
      <c r="G61" s="122" t="str">
        <f>IFERROR(__xludf.DUMMYFUNCTION("""COMPUTED_VALUE"""),"Yes")</f>
        <v>Yes</v>
      </c>
      <c r="H61" s="127">
        <f>IFERROR(__xludf.DUMMYFUNCTION("""COMPUTED_VALUE"""),46185.40840277778)</f>
        <v>46185.4084</v>
      </c>
      <c r="I61" s="122"/>
      <c r="J61" s="122"/>
    </row>
    <row r="62">
      <c r="A62" s="122">
        <f>IFERROR(__xludf.DUMMYFUNCTION("""COMPUTED_VALUE"""),3553.0)</f>
        <v>3553</v>
      </c>
      <c r="B62" s="122" t="str">
        <f>IFERROR(__xludf.DUMMYFUNCTION("""COMPUTED_VALUE"""),"Ryan Kim")</f>
        <v>Ryan Kim</v>
      </c>
      <c r="C62" s="122"/>
      <c r="D62" s="122"/>
      <c r="E62" s="123">
        <f>IFERROR(__xludf.DUMMYFUNCTION("""COMPUTED_VALUE"""),150.84)</f>
        <v>150.84</v>
      </c>
      <c r="F62" s="122"/>
      <c r="G62" s="122" t="str">
        <f>IFERROR(__xludf.DUMMYFUNCTION("""COMPUTED_VALUE"""),"Yes")</f>
        <v>Yes</v>
      </c>
      <c r="H62" s="127">
        <f>IFERROR(__xludf.DUMMYFUNCTION("""COMPUTED_VALUE"""),46185.64158564815)</f>
        <v>46185.64159</v>
      </c>
      <c r="I62" s="122"/>
      <c r="J62" s="122"/>
    </row>
    <row r="63">
      <c r="A63" s="122">
        <f>IFERROR(__xludf.DUMMYFUNCTION("""COMPUTED_VALUE"""),7415.0)</f>
        <v>7415</v>
      </c>
      <c r="B63" s="122" t="str">
        <f>IFERROR(__xludf.DUMMYFUNCTION("""COMPUTED_VALUE"""),"Sarah Park")</f>
        <v>Sarah Park</v>
      </c>
      <c r="C63" s="122"/>
      <c r="D63" s="122"/>
      <c r="E63" s="123">
        <f>IFERROR(__xludf.DUMMYFUNCTION("""COMPUTED_VALUE"""),528.56)</f>
        <v>528.56</v>
      </c>
      <c r="F63" s="122"/>
      <c r="G63" s="122" t="str">
        <f>IFERROR(__xludf.DUMMYFUNCTION("""COMPUTED_VALUE"""),"Yes")</f>
        <v>Yes</v>
      </c>
      <c r="H63" s="127">
        <f>IFERROR(__xludf.DUMMYFUNCTION("""COMPUTED_VALUE"""),46185.55556712963)</f>
        <v>46185.55557</v>
      </c>
      <c r="I63" s="122"/>
      <c r="J63" s="122"/>
    </row>
    <row r="64">
      <c r="A64" s="122">
        <f>IFERROR(__xludf.DUMMYFUNCTION("""COMPUTED_VALUE"""),2240.0)</f>
        <v>2240</v>
      </c>
      <c r="B64" s="122" t="str">
        <f>IFERROR(__xludf.DUMMYFUNCTION("""COMPUTED_VALUE"""),"Shiwoo Kim")</f>
        <v>Shiwoo Kim</v>
      </c>
      <c r="C64" s="122"/>
      <c r="D64" s="122"/>
      <c r="E64" s="123">
        <f>IFERROR(__xludf.DUMMYFUNCTION("""COMPUTED_VALUE"""),1000.0)</f>
        <v>1000</v>
      </c>
      <c r="F64" s="122"/>
      <c r="G64" s="122" t="str">
        <f>IFERROR(__xludf.DUMMYFUNCTION("""COMPUTED_VALUE"""),"Yes")</f>
        <v>Yes</v>
      </c>
      <c r="H64" s="122"/>
      <c r="I64" s="122"/>
      <c r="J64" s="122"/>
    </row>
    <row r="65">
      <c r="A65" s="122">
        <f>IFERROR(__xludf.DUMMYFUNCTION("""COMPUTED_VALUE"""),1535.0)</f>
        <v>1535</v>
      </c>
      <c r="B65" s="122" t="str">
        <f>IFERROR(__xludf.DUMMYFUNCTION("""COMPUTED_VALUE"""),"Dano Kim")</f>
        <v>Dano Kim</v>
      </c>
      <c r="C65" s="122"/>
      <c r="D65" s="122"/>
      <c r="E65" s="123">
        <f>IFERROR(__xludf.DUMMYFUNCTION("""COMPUTED_VALUE"""),1.89)</f>
        <v>1.89</v>
      </c>
      <c r="F65" s="122"/>
      <c r="G65" s="122" t="str">
        <f>IFERROR(__xludf.DUMMYFUNCTION("""COMPUTED_VALUE"""),"Yes")</f>
        <v>Yes</v>
      </c>
      <c r="H65" s="127">
        <f>IFERROR(__xludf.DUMMYFUNCTION("""COMPUTED_VALUE"""),46185.584652777776)</f>
        <v>46185.58465</v>
      </c>
      <c r="I65" s="122"/>
      <c r="J65" s="122"/>
    </row>
    <row r="66">
      <c r="A66" s="122">
        <f>IFERROR(__xludf.DUMMYFUNCTION("""COMPUTED_VALUE"""),7260.0)</f>
        <v>7260</v>
      </c>
      <c r="B66" s="122" t="str">
        <f>IFERROR(__xludf.DUMMYFUNCTION("""COMPUTED_VALUE"""),"Soyeon Park")</f>
        <v>Soyeon Park</v>
      </c>
      <c r="C66" s="122"/>
      <c r="D66" s="122"/>
      <c r="E66" s="123">
        <f>IFERROR(__xludf.DUMMYFUNCTION("""COMPUTED_VALUE"""),1056.96)</f>
        <v>1056.96</v>
      </c>
      <c r="F66" s="122"/>
      <c r="G66" s="122" t="str">
        <f>IFERROR(__xludf.DUMMYFUNCTION("""COMPUTED_VALUE"""),"Yes")</f>
        <v>Yes</v>
      </c>
      <c r="H66" s="127">
        <f>IFERROR(__xludf.DUMMYFUNCTION("""COMPUTED_VALUE"""),46185.63997685185)</f>
        <v>46185.63998</v>
      </c>
      <c r="I66" s="122"/>
      <c r="J66" s="122"/>
    </row>
    <row r="67">
      <c r="A67" s="122">
        <f>IFERROR(__xludf.DUMMYFUNCTION("""COMPUTED_VALUE"""),7773.0)</f>
        <v>7773</v>
      </c>
      <c r="B67" s="122" t="str">
        <f>IFERROR(__xludf.DUMMYFUNCTION("""COMPUTED_VALUE"""),"Gahyeon Yoon")</f>
        <v>Gahyeon Yoon</v>
      </c>
      <c r="C67" s="122"/>
      <c r="D67" s="122"/>
      <c r="E67" s="123">
        <f>IFERROR(__xludf.DUMMYFUNCTION("""COMPUTED_VALUE"""),599.12)</f>
        <v>599.12</v>
      </c>
      <c r="F67" s="122"/>
      <c r="G67" s="122" t="str">
        <f>IFERROR(__xludf.DUMMYFUNCTION("""COMPUTED_VALUE"""),"Yes")</f>
        <v>Yes</v>
      </c>
      <c r="H67" s="127">
        <f>IFERROR(__xludf.DUMMYFUNCTION("""COMPUTED_VALUE"""),46185.61056712963)</f>
        <v>46185.61057</v>
      </c>
      <c r="I67" s="122"/>
      <c r="J67" s="122"/>
    </row>
    <row r="68">
      <c r="A68" s="122">
        <f>IFERROR(__xludf.DUMMYFUNCTION("""COMPUTED_VALUE"""),1064.0)</f>
        <v>1064</v>
      </c>
      <c r="B68" s="122" t="str">
        <f>IFERROR(__xludf.DUMMYFUNCTION("""COMPUTED_VALUE"""),"Christine Kim")</f>
        <v>Christine Kim</v>
      </c>
      <c r="C68" s="122"/>
      <c r="D68" s="122"/>
      <c r="E68" s="123">
        <f>IFERROR(__xludf.DUMMYFUNCTION("""COMPUTED_VALUE"""),187.23)</f>
        <v>187.23</v>
      </c>
      <c r="F68" s="122"/>
      <c r="G68" s="122" t="str">
        <f>IFERROR(__xludf.DUMMYFUNCTION("""COMPUTED_VALUE"""),"Yes")</f>
        <v>Yes</v>
      </c>
      <c r="H68" s="127">
        <f>IFERROR(__xludf.DUMMYFUNCTION("""COMPUTED_VALUE"""),46185.555625)</f>
        <v>46185.55563</v>
      </c>
      <c r="I68" s="122"/>
      <c r="J68" s="122"/>
    </row>
    <row r="69">
      <c r="A69" s="122">
        <f>IFERROR(__xludf.DUMMYFUNCTION("""COMPUTED_VALUE"""),2698.0)</f>
        <v>2698</v>
      </c>
      <c r="B69" s="122" t="str">
        <f>IFERROR(__xludf.DUMMYFUNCTION("""COMPUTED_VALUE"""),"David Ki")</f>
        <v>David Ki</v>
      </c>
      <c r="C69" s="122"/>
      <c r="D69" s="122"/>
      <c r="E69" s="123">
        <f>IFERROR(__xludf.DUMMYFUNCTION("""COMPUTED_VALUE"""),1000.0)</f>
        <v>1000</v>
      </c>
      <c r="F69" s="122"/>
      <c r="G69" s="122" t="str">
        <f>IFERROR(__xludf.DUMMYFUNCTION("""COMPUTED_VALUE"""),"Yes")</f>
        <v>Yes</v>
      </c>
      <c r="H69" s="122"/>
      <c r="I69" s="122"/>
      <c r="J69" s="122"/>
    </row>
    <row r="70">
      <c r="A70" s="122">
        <f>IFERROR(__xludf.DUMMYFUNCTION("""COMPUTED_VALUE"""),8054.0)</f>
        <v>8054</v>
      </c>
      <c r="B70" s="122" t="str">
        <f>IFERROR(__xludf.DUMMYFUNCTION("""COMPUTED_VALUE"""),"Sophie Lee")</f>
        <v>Sophie Lee</v>
      </c>
      <c r="C70" s="122"/>
      <c r="D70" s="122"/>
      <c r="E70" s="123">
        <f>IFERROR(__xludf.DUMMYFUNCTION("""COMPUTED_VALUE"""),1443.46)</f>
        <v>1443.46</v>
      </c>
      <c r="F70" s="122"/>
      <c r="G70" s="122" t="str">
        <f>IFERROR(__xludf.DUMMYFUNCTION("""COMPUTED_VALUE"""),"Yes")</f>
        <v>Yes</v>
      </c>
      <c r="H70" s="127">
        <f>IFERROR(__xludf.DUMMYFUNCTION("""COMPUTED_VALUE"""),46185.59792824074)</f>
        <v>46185.59793</v>
      </c>
      <c r="I70" s="122"/>
      <c r="J70" s="122"/>
    </row>
    <row r="71">
      <c r="A71" s="122">
        <f>IFERROR(__xludf.DUMMYFUNCTION("""COMPUTED_VALUE"""),5938.0)</f>
        <v>5938</v>
      </c>
      <c r="B71" s="122" t="str">
        <f>IFERROR(__xludf.DUMMYFUNCTION("""COMPUTED_VALUE"""),"Emily Kang")</f>
        <v>Emily Kang</v>
      </c>
      <c r="C71" s="122"/>
      <c r="D71" s="122"/>
      <c r="E71" s="123">
        <f>IFERROR(__xludf.DUMMYFUNCTION("""COMPUTED_VALUE"""),284.14)</f>
        <v>284.14</v>
      </c>
      <c r="F71" s="122"/>
      <c r="G71" s="122" t="str">
        <f>IFERROR(__xludf.DUMMYFUNCTION("""COMPUTED_VALUE"""),"Yes")</f>
        <v>Yes</v>
      </c>
      <c r="H71" s="127">
        <f>IFERROR(__xludf.DUMMYFUNCTION("""COMPUTED_VALUE"""),46185.629375)</f>
        <v>46185.62938</v>
      </c>
      <c r="I71" s="122"/>
      <c r="J71" s="122"/>
    </row>
    <row r="72">
      <c r="A72" s="122">
        <f>IFERROR(__xludf.DUMMYFUNCTION("""COMPUTED_VALUE"""),6755.0)</f>
        <v>6755</v>
      </c>
      <c r="B72" s="122" t="str">
        <f>IFERROR(__xludf.DUMMYFUNCTION("""COMPUTED_VALUE"""),"Matthew Yang")</f>
        <v>Matthew Yang</v>
      </c>
      <c r="C72" s="122"/>
      <c r="D72" s="122"/>
      <c r="E72" s="123">
        <f>IFERROR(__xludf.DUMMYFUNCTION("""COMPUTED_VALUE"""),1000.0)</f>
        <v>1000</v>
      </c>
      <c r="F72" s="122"/>
      <c r="G72" s="122" t="str">
        <f>IFERROR(__xludf.DUMMYFUNCTION("""COMPUTED_VALUE"""),"Yes")</f>
        <v>Yes</v>
      </c>
      <c r="H72" s="122"/>
      <c r="I72" s="122"/>
      <c r="J72" s="122"/>
    </row>
    <row r="73">
      <c r="A73" s="122">
        <f>IFERROR(__xludf.DUMMYFUNCTION("""COMPUTED_VALUE"""),2640.0)</f>
        <v>2640</v>
      </c>
      <c r="B73" s="122" t="str">
        <f>IFERROR(__xludf.DUMMYFUNCTION("""COMPUTED_VALUE"""),"Sean Park")</f>
        <v>Sean Park</v>
      </c>
      <c r="C73" s="122"/>
      <c r="D73" s="122"/>
      <c r="E73" s="123">
        <f>IFERROR(__xludf.DUMMYFUNCTION("""COMPUTED_VALUE"""),427.96)</f>
        <v>427.96</v>
      </c>
      <c r="F73" s="122"/>
      <c r="G73" s="122" t="str">
        <f>IFERROR(__xludf.DUMMYFUNCTION("""COMPUTED_VALUE"""),"Yes")</f>
        <v>Yes</v>
      </c>
      <c r="H73" s="127">
        <f>IFERROR(__xludf.DUMMYFUNCTION("""COMPUTED_VALUE"""),46187.599444444444)</f>
        <v>46187.59944</v>
      </c>
      <c r="I73" s="122"/>
      <c r="J73" s="122"/>
    </row>
    <row r="74">
      <c r="A74" s="122">
        <f>IFERROR(__xludf.DUMMYFUNCTION("""COMPUTED_VALUE"""),7465.0)</f>
        <v>7465</v>
      </c>
      <c r="B74" s="122" t="str">
        <f>IFERROR(__xludf.DUMMYFUNCTION("""COMPUTED_VALUE"""),"Dorothy Park")</f>
        <v>Dorothy Park</v>
      </c>
      <c r="C74" s="122"/>
      <c r="D74" s="122"/>
      <c r="E74" s="123">
        <f>IFERROR(__xludf.DUMMYFUNCTION("""COMPUTED_VALUE"""),1703.18)</f>
        <v>1703.18</v>
      </c>
      <c r="F74" s="122"/>
      <c r="G74" s="122" t="str">
        <f>IFERROR(__xludf.DUMMYFUNCTION("""COMPUTED_VALUE"""),"Yes")</f>
        <v>Yes</v>
      </c>
      <c r="H74" s="127">
        <f>IFERROR(__xludf.DUMMYFUNCTION("""COMPUTED_VALUE"""),46185.63921296296)</f>
        <v>46185.63921</v>
      </c>
      <c r="I74" s="122"/>
      <c r="J74" s="122"/>
    </row>
    <row r="75">
      <c r="A75" s="122">
        <f>IFERROR(__xludf.DUMMYFUNCTION("""COMPUTED_VALUE"""),6407.0)</f>
        <v>6407</v>
      </c>
      <c r="B75" s="122" t="str">
        <f>IFERROR(__xludf.DUMMYFUNCTION("""COMPUTED_VALUE"""),"Jun Lee")</f>
        <v>Jun Lee</v>
      </c>
      <c r="C75" s="122"/>
      <c r="D75" s="122"/>
      <c r="E75" s="123">
        <f>IFERROR(__xludf.DUMMYFUNCTION("""COMPUTED_VALUE"""),1911.48)</f>
        <v>1911.48</v>
      </c>
      <c r="F75" s="122"/>
      <c r="G75" s="122" t="str">
        <f>IFERROR(__xludf.DUMMYFUNCTION("""COMPUTED_VALUE"""),"Yes")</f>
        <v>Yes</v>
      </c>
      <c r="H75" s="127">
        <f>IFERROR(__xludf.DUMMYFUNCTION("""COMPUTED_VALUE"""),46184.5325)</f>
        <v>46184.5325</v>
      </c>
      <c r="I75" s="122"/>
      <c r="J75" s="122"/>
    </row>
    <row r="76">
      <c r="A76" s="122">
        <f>IFERROR(__xludf.DUMMYFUNCTION("""COMPUTED_VALUE"""),1921.0)</f>
        <v>1921</v>
      </c>
      <c r="B76" s="122" t="str">
        <f>IFERROR(__xludf.DUMMYFUNCTION("""COMPUTED_VALUE"""),"Danbee Kim")</f>
        <v>Danbee Kim</v>
      </c>
      <c r="C76" s="122"/>
      <c r="D76" s="122"/>
      <c r="E76" s="123">
        <f>IFERROR(__xludf.DUMMYFUNCTION("""COMPUTED_VALUE"""),1141.18)</f>
        <v>1141.18</v>
      </c>
      <c r="F76" s="122"/>
      <c r="G76" s="122" t="str">
        <f>IFERROR(__xludf.DUMMYFUNCTION("""COMPUTED_VALUE"""),"Yes")</f>
        <v>Yes</v>
      </c>
      <c r="H76" s="127">
        <f>IFERROR(__xludf.DUMMYFUNCTION("""COMPUTED_VALUE"""),46185.406006944446)</f>
        <v>46185.40601</v>
      </c>
      <c r="I76" s="122"/>
      <c r="J76" s="122"/>
    </row>
    <row r="77">
      <c r="A77" s="122">
        <f>IFERROR(__xludf.DUMMYFUNCTION("""COMPUTED_VALUE"""),8657.0)</f>
        <v>8657</v>
      </c>
      <c r="B77" s="122" t="str">
        <f>IFERROR(__xludf.DUMMYFUNCTION("""COMPUTED_VALUE"""),"Briar Cho")</f>
        <v>Briar Cho</v>
      </c>
      <c r="C77" s="122"/>
      <c r="D77" s="122"/>
      <c r="E77" s="123">
        <f>IFERROR(__xludf.DUMMYFUNCTION("""COMPUTED_VALUE"""),1740.57)</f>
        <v>1740.57</v>
      </c>
      <c r="F77" s="122"/>
      <c r="G77" s="122" t="str">
        <f>IFERROR(__xludf.DUMMYFUNCTION("""COMPUTED_VALUE"""),"Yes")</f>
        <v>Yes</v>
      </c>
      <c r="H77" s="127">
        <f>IFERROR(__xludf.DUMMYFUNCTION("""COMPUTED_VALUE"""),46184.44306712963)</f>
        <v>46184.44307</v>
      </c>
      <c r="I77" s="122"/>
      <c r="J77" s="122"/>
    </row>
    <row r="78">
      <c r="A78" s="122">
        <f>IFERROR(__xludf.DUMMYFUNCTION("""COMPUTED_VALUE"""),8312.0)</f>
        <v>8312</v>
      </c>
      <c r="B78" s="122" t="str">
        <f>IFERROR(__xludf.DUMMYFUNCTION("""COMPUTED_VALUE"""),"Ellie Kim")</f>
        <v>Ellie Kim</v>
      </c>
      <c r="C78" s="122"/>
      <c r="D78" s="122"/>
      <c r="E78" s="123">
        <f>IFERROR(__xludf.DUMMYFUNCTION("""COMPUTED_VALUE"""),1000.0)</f>
        <v>1000</v>
      </c>
      <c r="F78" s="122"/>
      <c r="G78" s="122" t="str">
        <f>IFERROR(__xludf.DUMMYFUNCTION("""COMPUTED_VALUE"""),"Yes")</f>
        <v>Yes</v>
      </c>
      <c r="H78" s="122"/>
      <c r="I78" s="122"/>
      <c r="J78" s="122"/>
    </row>
    <row r="79">
      <c r="A79" s="122">
        <f>IFERROR(__xludf.DUMMYFUNCTION("""COMPUTED_VALUE"""),6657.0)</f>
        <v>6657</v>
      </c>
      <c r="B79" s="122" t="str">
        <f>IFERROR(__xludf.DUMMYFUNCTION("""COMPUTED_VALUE"""),"Chaewon Jeon")</f>
        <v>Chaewon Jeon</v>
      </c>
      <c r="C79" s="122"/>
      <c r="D79" s="122"/>
      <c r="E79" s="123">
        <f>IFERROR(__xludf.DUMMYFUNCTION("""COMPUTED_VALUE"""),1390.51)</f>
        <v>1390.51</v>
      </c>
      <c r="F79" s="122"/>
      <c r="G79" s="122" t="str">
        <f>IFERROR(__xludf.DUMMYFUNCTION("""COMPUTED_VALUE"""),"Yes")</f>
        <v>Yes</v>
      </c>
      <c r="H79" s="127">
        <f>IFERROR(__xludf.DUMMYFUNCTION("""COMPUTED_VALUE"""),46185.51641203704)</f>
        <v>46185.51641</v>
      </c>
      <c r="I79" s="122"/>
      <c r="J79" s="122"/>
    </row>
    <row r="80">
      <c r="A80" s="122">
        <f>IFERROR(__xludf.DUMMYFUNCTION("""COMPUTED_VALUE"""),9500.0)</f>
        <v>9500</v>
      </c>
      <c r="B80" s="122" t="str">
        <f>IFERROR(__xludf.DUMMYFUNCTION("""COMPUTED_VALUE"""),"Irene Choi")</f>
        <v>Irene Choi</v>
      </c>
      <c r="C80" s="122"/>
      <c r="D80" s="122"/>
      <c r="E80" s="123">
        <f>IFERROR(__xludf.DUMMYFUNCTION("""COMPUTED_VALUE"""),1389.61)</f>
        <v>1389.61</v>
      </c>
      <c r="F80" s="122"/>
      <c r="G80" s="122" t="str">
        <f>IFERROR(__xludf.DUMMYFUNCTION("""COMPUTED_VALUE"""),"Yes")</f>
        <v>Yes</v>
      </c>
      <c r="H80" s="127">
        <f>IFERROR(__xludf.DUMMYFUNCTION("""COMPUTED_VALUE"""),46184.42736111111)</f>
        <v>46184.42736</v>
      </c>
      <c r="I80" s="122"/>
      <c r="J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IFERROR(__xludf.DUMMYFUNCTION("IMPORTRANGE(""https://docs.google.com/spreadsheets/d/1xmGsP2eOXdfhJ9DjzCOVFJKoZ2DuuwRb_dbNg1M77M8/edit?gid=138364344#gid=138364344"",""Transactions!A:L"")"),"Money / Store Transaction Log")</f>
        <v>Money / Store Transaction Log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>
      <c r="A3" s="122" t="str">
        <f>IFERROR(__xludf.DUMMYFUNCTION("""COMPUTED_VALUE"""),"Timestamp")</f>
        <v>Timestamp</v>
      </c>
      <c r="B3" s="122" t="str">
        <f>IFERROR(__xludf.DUMMYFUNCTION("""COMPUTED_VALUE"""),"Date")</f>
        <v>Date</v>
      </c>
      <c r="C3" s="122" t="str">
        <f>IFERROR(__xludf.DUMMYFUNCTION("""COMPUTED_VALUE"""),"Card_ID")</f>
        <v>Card_ID</v>
      </c>
      <c r="D3" s="122" t="str">
        <f>IFERROR(__xludf.DUMMYFUNCTION("""COMPUTED_VALUE"""),"Student_Name")</f>
        <v>Student_Name</v>
      </c>
      <c r="E3" s="122" t="str">
        <f>IFERROR(__xludf.DUMMYFUNCTION("""COMPUTED_VALUE"""),"Mode")</f>
        <v>Mode</v>
      </c>
      <c r="F3" s="128" t="str">
        <f>IFERROR(__xludf.DUMMYFUNCTION("""COMPUTED_VALUE"""),"Amount")</f>
        <v>Amount</v>
      </c>
      <c r="G3" s="128" t="str">
        <f>IFERROR(__xludf.DUMMYFUNCTION("""COMPUTED_VALUE"""),"Starting_Balance")</f>
        <v>Starting_Balance</v>
      </c>
      <c r="H3" s="128" t="str">
        <f>IFERROR(__xludf.DUMMYFUNCTION("""COMPUTED_VALUE"""),"Ending_Balance")</f>
        <v>Ending_Balance</v>
      </c>
      <c r="I3" s="122" t="str">
        <f>IFERROR(__xludf.DUMMYFUNCTION("""COMPUTED_VALUE"""),"Item_ID")</f>
        <v>Item_ID</v>
      </c>
      <c r="J3" s="122" t="str">
        <f>IFERROR(__xludf.DUMMYFUNCTION("""COMPUTED_VALUE"""),"Item_Name")</f>
        <v>Item_Name</v>
      </c>
      <c r="K3" s="122" t="str">
        <f>IFERROR(__xludf.DUMMYFUNCTION("""COMPUTED_VALUE"""),"Note")</f>
        <v>Note</v>
      </c>
      <c r="L3" s="122" t="str">
        <f>IFERROR(__xludf.DUMMYFUNCTION("""COMPUTED_VALUE"""),"Status")</f>
        <v>Status</v>
      </c>
    </row>
    <row r="4">
      <c r="A4" s="129">
        <f>IFERROR(__xludf.DUMMYFUNCTION("""COMPUTED_VALUE"""),46163.34710648148)</f>
        <v>46163.34711</v>
      </c>
      <c r="B4" s="126">
        <f>IFERROR(__xludf.DUMMYFUNCTION("""COMPUTED_VALUE"""),46163.0)</f>
        <v>46163</v>
      </c>
      <c r="C4" s="122" t="str">
        <f>IFERROR(__xludf.DUMMYFUNCTION("""COMPUTED_VALUE"""),"5c07fef4")</f>
        <v>5c07fef4</v>
      </c>
      <c r="D4" s="122" t="str">
        <f>IFERROR(__xludf.DUMMYFUNCTION("""COMPUTED_VALUE"""),"Tiffany Kim")</f>
        <v>Tiffany Kim</v>
      </c>
      <c r="E4" s="122" t="str">
        <f>IFERROR(__xludf.DUMMYFUNCTION("""COMPUTED_VALUE"""),"REWARD")</f>
        <v>REWARD</v>
      </c>
      <c r="F4" s="128">
        <f>IFERROR(__xludf.DUMMYFUNCTION("""COMPUTED_VALUE"""),10.0)</f>
        <v>10</v>
      </c>
      <c r="G4" s="128">
        <f>IFERROR(__xludf.DUMMYFUNCTION("""COMPUTED_VALUE"""),0.0)</f>
        <v>0</v>
      </c>
      <c r="H4" s="128">
        <f>IFERROR(__xludf.DUMMYFUNCTION("""COMPUTED_VALUE"""),10.0)</f>
        <v>10</v>
      </c>
      <c r="I4" s="122"/>
      <c r="J4" s="122"/>
      <c r="K4" s="122" t="str">
        <f>IFERROR(__xludf.DUMMYFUNCTION("""COMPUTED_VALUE"""),"On-time attendance reward")</f>
        <v>On-time attendance reward</v>
      </c>
      <c r="L4" s="122" t="str">
        <f>IFERROR(__xludf.DUMMYFUNCTION("""COMPUTED_VALUE"""),"Success")</f>
        <v>Success</v>
      </c>
    </row>
    <row r="5">
      <c r="A5" s="129">
        <f>IFERROR(__xludf.DUMMYFUNCTION("""COMPUTED_VALUE"""),46163.34847222222)</f>
        <v>46163.34847</v>
      </c>
      <c r="B5" s="126">
        <f>IFERROR(__xludf.DUMMYFUNCTION("""COMPUTED_VALUE"""),46163.0)</f>
        <v>46163</v>
      </c>
      <c r="C5" s="122" t="str">
        <f>IFERROR(__xludf.DUMMYFUNCTION("""COMPUTED_VALUE"""),"babde4c4")</f>
        <v>babde4c4</v>
      </c>
      <c r="D5" s="122" t="str">
        <f>IFERROR(__xludf.DUMMYFUNCTION("""COMPUTED_VALUE"""),"Ashley Guk")</f>
        <v>Ashley Guk</v>
      </c>
      <c r="E5" s="122" t="str">
        <f>IFERROR(__xludf.DUMMYFUNCTION("""COMPUTED_VALUE"""),"REWARD")</f>
        <v>REWARD</v>
      </c>
      <c r="F5" s="128">
        <f>IFERROR(__xludf.DUMMYFUNCTION("""COMPUTED_VALUE"""),10.0)</f>
        <v>10</v>
      </c>
      <c r="G5" s="128">
        <f>IFERROR(__xludf.DUMMYFUNCTION("""COMPUTED_VALUE"""),0.0)</f>
        <v>0</v>
      </c>
      <c r="H5" s="128">
        <f>IFERROR(__xludf.DUMMYFUNCTION("""COMPUTED_VALUE"""),10.0)</f>
        <v>10</v>
      </c>
      <c r="I5" s="122"/>
      <c r="J5" s="122"/>
      <c r="K5" s="122" t="str">
        <f>IFERROR(__xludf.DUMMYFUNCTION("""COMPUTED_VALUE"""),"On-time attendance reward")</f>
        <v>On-time attendance reward</v>
      </c>
      <c r="L5" s="122" t="str">
        <f>IFERROR(__xludf.DUMMYFUNCTION("""COMPUTED_VALUE"""),"Success")</f>
        <v>Success</v>
      </c>
    </row>
    <row r="6">
      <c r="A6" s="129">
        <f>IFERROR(__xludf.DUMMYFUNCTION("""COMPUTED_VALUE"""),46164.34847222222)</f>
        <v>46164.34847</v>
      </c>
      <c r="B6" s="126">
        <f>IFERROR(__xludf.DUMMYFUNCTION("""COMPUTED_VALUE"""),46164.0)</f>
        <v>46164</v>
      </c>
      <c r="C6" s="122" t="str">
        <f>IFERROR(__xludf.DUMMYFUNCTION("""COMPUTED_VALUE"""),"ba912211")</f>
        <v>ba912211</v>
      </c>
      <c r="D6" s="122" t="str">
        <f>IFERROR(__xludf.DUMMYFUNCTION("""COMPUTED_VALUE"""),"Daisy Dou")</f>
        <v>Daisy Dou</v>
      </c>
      <c r="E6" s="122" t="str">
        <f>IFERROR(__xludf.DUMMYFUNCTION("""COMPUTED_VALUE"""),"REWARD")</f>
        <v>REWARD</v>
      </c>
      <c r="F6" s="128">
        <f>IFERROR(__xludf.DUMMYFUNCTION("""COMPUTED_VALUE"""),10.0)</f>
        <v>10</v>
      </c>
      <c r="G6" s="128">
        <f>IFERROR(__xludf.DUMMYFUNCTION("""COMPUTED_VALUE"""),0.0)</f>
        <v>0</v>
      </c>
      <c r="H6" s="128">
        <f>IFERROR(__xludf.DUMMYFUNCTION("""COMPUTED_VALUE"""),10.0)</f>
        <v>10</v>
      </c>
      <c r="I6" s="122"/>
      <c r="J6" s="122"/>
      <c r="K6" s="122" t="str">
        <f>IFERROR(__xludf.DUMMYFUNCTION("""COMPUTED_VALUE"""),"On-time attendance reward")</f>
        <v>On-time attendance reward</v>
      </c>
      <c r="L6" s="122" t="str">
        <f>IFERROR(__xludf.DUMMYFUNCTION("""COMPUTED_VALUE"""),"Success")</f>
        <v>Success</v>
      </c>
    </row>
    <row r="7">
      <c r="A7" s="129">
        <f>IFERROR(__xludf.DUMMYFUNCTION("""COMPUTED_VALUE"""),46163.34946759259)</f>
        <v>46163.34947</v>
      </c>
      <c r="B7" s="126">
        <f>IFERROR(__xludf.DUMMYFUNCTION("""COMPUTED_VALUE"""),46163.0)</f>
        <v>46163</v>
      </c>
      <c r="C7" s="122" t="str">
        <f>IFERROR(__xludf.DUMMYFUNCTION("""COMPUTED_VALUE"""),"dc04eef4")</f>
        <v>dc04eef4</v>
      </c>
      <c r="D7" s="122" t="str">
        <f>IFERROR(__xludf.DUMMYFUNCTION("""COMPUTED_VALUE"""),"Joshua Jung")</f>
        <v>Joshua Jung</v>
      </c>
      <c r="E7" s="122" t="str">
        <f>IFERROR(__xludf.DUMMYFUNCTION("""COMPUTED_VALUE"""),"REWARD")</f>
        <v>REWARD</v>
      </c>
      <c r="F7" s="128">
        <f>IFERROR(__xludf.DUMMYFUNCTION("""COMPUTED_VALUE"""),10.0)</f>
        <v>10</v>
      </c>
      <c r="G7" s="128">
        <f>IFERROR(__xludf.DUMMYFUNCTION("""COMPUTED_VALUE"""),0.0)</f>
        <v>0</v>
      </c>
      <c r="H7" s="128">
        <f>IFERROR(__xludf.DUMMYFUNCTION("""COMPUTED_VALUE"""),10.0)</f>
        <v>10</v>
      </c>
      <c r="I7" s="122"/>
      <c r="J7" s="122"/>
      <c r="K7" s="122" t="str">
        <f>IFERROR(__xludf.DUMMYFUNCTION("""COMPUTED_VALUE"""),"On-time attendance reward")</f>
        <v>On-time attendance reward</v>
      </c>
      <c r="L7" s="122" t="str">
        <f>IFERROR(__xludf.DUMMYFUNCTION("""COMPUTED_VALUE"""),"Success")</f>
        <v>Success</v>
      </c>
    </row>
    <row r="8">
      <c r="A8" s="129">
        <f>IFERROR(__xludf.DUMMYFUNCTION("""COMPUTED_VALUE"""),46163.35591435185)</f>
        <v>46163.35591</v>
      </c>
      <c r="B8" s="126">
        <f>IFERROR(__xludf.DUMMYFUNCTION("""COMPUTED_VALUE"""),46163.0)</f>
        <v>46163</v>
      </c>
      <c r="C8" s="122" t="str">
        <f>IFERROR(__xludf.DUMMYFUNCTION("""COMPUTED_VALUE"""),"5a032611")</f>
        <v>5a032611</v>
      </c>
      <c r="D8" s="122" t="str">
        <f>IFERROR(__xludf.DUMMYFUNCTION("""COMPUTED_VALUE"""),"Harold Dou")</f>
        <v>Harold Dou</v>
      </c>
      <c r="E8" s="122" t="str">
        <f>IFERROR(__xludf.DUMMYFUNCTION("""COMPUTED_VALUE"""),"REWARD")</f>
        <v>REWARD</v>
      </c>
      <c r="F8" s="128">
        <f>IFERROR(__xludf.DUMMYFUNCTION("""COMPUTED_VALUE"""),10.0)</f>
        <v>10</v>
      </c>
      <c r="G8" s="128">
        <f>IFERROR(__xludf.DUMMYFUNCTION("""COMPUTED_VALUE"""),0.0)</f>
        <v>0</v>
      </c>
      <c r="H8" s="128">
        <f>IFERROR(__xludf.DUMMYFUNCTION("""COMPUTED_VALUE"""),10.0)</f>
        <v>10</v>
      </c>
      <c r="I8" s="122"/>
      <c r="J8" s="122"/>
      <c r="K8" s="122" t="str">
        <f>IFERROR(__xludf.DUMMYFUNCTION("""COMPUTED_VALUE"""),"On-time attendance reward")</f>
        <v>On-time attendance reward</v>
      </c>
      <c r="L8" s="122" t="str">
        <f>IFERROR(__xludf.DUMMYFUNCTION("""COMPUTED_VALUE"""),"Success")</f>
        <v>Success</v>
      </c>
    </row>
    <row r="9">
      <c r="A9" s="129">
        <f>IFERROR(__xludf.DUMMYFUNCTION("""COMPUTED_VALUE"""),46163.356261574074)</f>
        <v>46163.35626</v>
      </c>
      <c r="B9" s="126">
        <f>IFERROR(__xludf.DUMMYFUNCTION("""COMPUTED_VALUE"""),46163.0)</f>
        <v>46163</v>
      </c>
      <c r="C9" s="122" t="str">
        <f>IFERROR(__xludf.DUMMYFUNCTION("""COMPUTED_VALUE"""),"ba353911")</f>
        <v>ba353911</v>
      </c>
      <c r="D9" s="122" t="str">
        <f>IFERROR(__xludf.DUMMYFUNCTION("""COMPUTED_VALUE"""),"Dayeon Kang")</f>
        <v>Dayeon Kang</v>
      </c>
      <c r="E9" s="122" t="str">
        <f>IFERROR(__xludf.DUMMYFUNCTION("""COMPUTED_VALUE"""),"REWARD")</f>
        <v>REWARD</v>
      </c>
      <c r="F9" s="128">
        <f>IFERROR(__xludf.DUMMYFUNCTION("""COMPUTED_VALUE"""),10.0)</f>
        <v>10</v>
      </c>
      <c r="G9" s="128">
        <f>IFERROR(__xludf.DUMMYFUNCTION("""COMPUTED_VALUE"""),0.0)</f>
        <v>0</v>
      </c>
      <c r="H9" s="128">
        <f>IFERROR(__xludf.DUMMYFUNCTION("""COMPUTED_VALUE"""),10.0)</f>
        <v>10</v>
      </c>
      <c r="I9" s="122"/>
      <c r="J9" s="122"/>
      <c r="K9" s="122" t="str">
        <f>IFERROR(__xludf.DUMMYFUNCTION("""COMPUTED_VALUE"""),"On-time attendance reward")</f>
        <v>On-time attendance reward</v>
      </c>
      <c r="L9" s="122" t="str">
        <f>IFERROR(__xludf.DUMMYFUNCTION("""COMPUTED_VALUE"""),"Success")</f>
        <v>Success</v>
      </c>
    </row>
    <row r="10">
      <c r="A10" s="129">
        <f>IFERROR(__xludf.DUMMYFUNCTION("""COMPUTED_VALUE"""),46164.356261574074)</f>
        <v>46164.35626</v>
      </c>
      <c r="B10" s="126">
        <f>IFERROR(__xludf.DUMMYFUNCTION("""COMPUTED_VALUE"""),46164.0)</f>
        <v>46164</v>
      </c>
      <c r="C10" s="122" t="str">
        <f>IFERROR(__xludf.DUMMYFUNCTION("""COMPUTED_VALUE"""),"7c4e261e")</f>
        <v>7c4e261e</v>
      </c>
      <c r="D10" s="122" t="str">
        <f>IFERROR(__xludf.DUMMYFUNCTION("""COMPUTED_VALUE"""),"Suha Lee")</f>
        <v>Suha Lee</v>
      </c>
      <c r="E10" s="122" t="str">
        <f>IFERROR(__xludf.DUMMYFUNCTION("""COMPUTED_VALUE"""),"REWARD")</f>
        <v>REWARD</v>
      </c>
      <c r="F10" s="128">
        <f>IFERROR(__xludf.DUMMYFUNCTION("""COMPUTED_VALUE"""),10.0)</f>
        <v>10</v>
      </c>
      <c r="G10" s="128">
        <f>IFERROR(__xludf.DUMMYFUNCTION("""COMPUTED_VALUE"""),0.0)</f>
        <v>0</v>
      </c>
      <c r="H10" s="128">
        <f>IFERROR(__xludf.DUMMYFUNCTION("""COMPUTED_VALUE"""),10.0)</f>
        <v>10</v>
      </c>
      <c r="I10" s="122"/>
      <c r="J10" s="122"/>
      <c r="K10" s="122" t="str">
        <f>IFERROR(__xludf.DUMMYFUNCTION("""COMPUTED_VALUE"""),"On-time attendance reward")</f>
        <v>On-time attendance reward</v>
      </c>
      <c r="L10" s="122" t="str">
        <f>IFERROR(__xludf.DUMMYFUNCTION("""COMPUTED_VALUE"""),"Success")</f>
        <v>Success</v>
      </c>
    </row>
    <row r="11">
      <c r="A11" s="129">
        <f>IFERROR(__xludf.DUMMYFUNCTION("""COMPUTED_VALUE"""),46163.36684027778)</f>
        <v>46163.36684</v>
      </c>
      <c r="B11" s="126">
        <f>IFERROR(__xludf.DUMMYFUNCTION("""COMPUTED_VALUE"""),46163.0)</f>
        <v>46163</v>
      </c>
      <c r="C11" s="122" t="str">
        <f>IFERROR(__xludf.DUMMYFUNCTION("""COMPUTED_VALUE"""),"9a5f2811")</f>
        <v>9a5f2811</v>
      </c>
      <c r="D11" s="122" t="str">
        <f>IFERROR(__xludf.DUMMYFUNCTION("""COMPUTED_VALUE"""),"Junyoung Yoo")</f>
        <v>Junyoung Yoo</v>
      </c>
      <c r="E11" s="122" t="str">
        <f>IFERROR(__xludf.DUMMYFUNCTION("""COMPUTED_VALUE"""),"FINE")</f>
        <v>FINE</v>
      </c>
      <c r="F11" s="128">
        <f>IFERROR(__xludf.DUMMYFUNCTION("""COMPUTED_VALUE"""),10.0)</f>
        <v>10</v>
      </c>
      <c r="G11" s="128">
        <f>IFERROR(__xludf.DUMMYFUNCTION("""COMPUTED_VALUE"""),0.0)</f>
        <v>0</v>
      </c>
      <c r="H11" s="128">
        <f>IFERROR(__xludf.DUMMYFUNCTION("""COMPUTED_VALUE"""),0.0)</f>
        <v>0</v>
      </c>
      <c r="I11" s="122"/>
      <c r="J11" s="122"/>
      <c r="K11" s="122" t="str">
        <f>IFERROR(__xludf.DUMMYFUNCTION("""COMPUTED_VALUE"""),"Late attendance penalty")</f>
        <v>Late attendance penalty</v>
      </c>
      <c r="L11" s="122" t="str">
        <f>IFERROR(__xludf.DUMMYFUNCTION("""COMPUTED_VALUE"""),"Denied - insufficient balance")</f>
        <v>Denied - insufficient balance</v>
      </c>
    </row>
    <row r="12">
      <c r="A12" s="129">
        <f>IFERROR(__xludf.DUMMYFUNCTION("""COMPUTED_VALUE"""),46164.36684027778)</f>
        <v>46164.36684</v>
      </c>
      <c r="B12" s="126">
        <f>IFERROR(__xludf.DUMMYFUNCTION("""COMPUTED_VALUE"""),46164.0)</f>
        <v>46164</v>
      </c>
      <c r="C12" s="122" t="str">
        <f>IFERROR(__xludf.DUMMYFUNCTION("""COMPUTED_VALUE"""),"1e3e1410")</f>
        <v>1e3e1410</v>
      </c>
      <c r="D12" s="122" t="str">
        <f>IFERROR(__xludf.DUMMYFUNCTION("""COMPUTED_VALUE"""),"Junjae Park")</f>
        <v>Junjae Park</v>
      </c>
      <c r="E12" s="122" t="str">
        <f>IFERROR(__xludf.DUMMYFUNCTION("""COMPUTED_VALUE"""),"FINE")</f>
        <v>FINE</v>
      </c>
      <c r="F12" s="128">
        <f>IFERROR(__xludf.DUMMYFUNCTION("""COMPUTED_VALUE"""),10.0)</f>
        <v>10</v>
      </c>
      <c r="G12" s="128">
        <f>IFERROR(__xludf.DUMMYFUNCTION("""COMPUTED_VALUE"""),0.0)</f>
        <v>0</v>
      </c>
      <c r="H12" s="128">
        <f>IFERROR(__xludf.DUMMYFUNCTION("""COMPUTED_VALUE"""),0.0)</f>
        <v>0</v>
      </c>
      <c r="I12" s="122"/>
      <c r="J12" s="122"/>
      <c r="K12" s="122" t="str">
        <f>IFERROR(__xludf.DUMMYFUNCTION("""COMPUTED_VALUE"""),"Late attendance penalty")</f>
        <v>Late attendance penalty</v>
      </c>
      <c r="L12" s="122" t="str">
        <f>IFERROR(__xludf.DUMMYFUNCTION("""COMPUTED_VALUE"""),"Denied - insufficient balance")</f>
        <v>Denied - insufficient balance</v>
      </c>
    </row>
    <row r="13">
      <c r="A13" s="129">
        <f>IFERROR(__xludf.DUMMYFUNCTION("""COMPUTED_VALUE"""),46163.465162037035)</f>
        <v>46163.46516</v>
      </c>
      <c r="B13" s="126">
        <f>IFERROR(__xludf.DUMMYFUNCTION("""COMPUTED_VALUE"""),46163.0)</f>
        <v>46163</v>
      </c>
      <c r="C13" s="122" t="str">
        <f>IFERROR(__xludf.DUMMYFUNCTION("""COMPUTED_VALUE"""),"9a5f2811")</f>
        <v>9a5f2811</v>
      </c>
      <c r="D13" s="122" t="str">
        <f>IFERROR(__xludf.DUMMYFUNCTION("""COMPUTED_VALUE"""),"Junyoung Yoo")</f>
        <v>Junyoung Yoo</v>
      </c>
      <c r="E13" s="122" t="str">
        <f>IFERROR(__xludf.DUMMYFUNCTION("""COMPUTED_VALUE"""),"DEPOSIT")</f>
        <v>DEPOSIT</v>
      </c>
      <c r="F13" s="128">
        <f>IFERROR(__xludf.DUMMYFUNCTION("""COMPUTED_VALUE"""),20.0)</f>
        <v>20</v>
      </c>
      <c r="G13" s="128">
        <f>IFERROR(__xludf.DUMMYFUNCTION("""COMPUTED_VALUE"""),0.0)</f>
        <v>0</v>
      </c>
      <c r="H13" s="128">
        <f>IFERROR(__xludf.DUMMYFUNCTION("""COMPUTED_VALUE"""),20.0)</f>
        <v>20</v>
      </c>
      <c r="I13" s="122"/>
      <c r="J13" s="122"/>
      <c r="K13" s="122"/>
      <c r="L13" s="122" t="str">
        <f>IFERROR(__xludf.DUMMYFUNCTION("""COMPUTED_VALUE"""),"Success")</f>
        <v>Success</v>
      </c>
    </row>
    <row r="14">
      <c r="A14" s="129">
        <f>IFERROR(__xludf.DUMMYFUNCTION("""COMPUTED_VALUE"""),46163.46760416667)</f>
        <v>46163.4676</v>
      </c>
      <c r="B14" s="126">
        <f>IFERROR(__xludf.DUMMYFUNCTION("""COMPUTED_VALUE"""),46163.0)</f>
        <v>46163</v>
      </c>
      <c r="C14" s="122" t="str">
        <f>IFERROR(__xludf.DUMMYFUNCTION("""COMPUTED_VALUE"""),"7c4e261e")</f>
        <v>7c4e261e</v>
      </c>
      <c r="D14" s="122" t="str">
        <f>IFERROR(__xludf.DUMMYFUNCTION("""COMPUTED_VALUE"""),"Suha Lee")</f>
        <v>Suha Lee</v>
      </c>
      <c r="E14" s="122" t="str">
        <f>IFERROR(__xludf.DUMMYFUNCTION("""COMPUTED_VALUE"""),"DEPOSIT")</f>
        <v>DEPOSIT</v>
      </c>
      <c r="F14" s="128">
        <f>IFERROR(__xludf.DUMMYFUNCTION("""COMPUTED_VALUE"""),20.0)</f>
        <v>20</v>
      </c>
      <c r="G14" s="128">
        <f>IFERROR(__xludf.DUMMYFUNCTION("""COMPUTED_VALUE"""),10.0)</f>
        <v>10</v>
      </c>
      <c r="H14" s="128">
        <f>IFERROR(__xludf.DUMMYFUNCTION("""COMPUTED_VALUE"""),30.0)</f>
        <v>30</v>
      </c>
      <c r="I14" s="122"/>
      <c r="J14" s="122"/>
      <c r="K14" s="122"/>
      <c r="L14" s="122" t="str">
        <f>IFERROR(__xludf.DUMMYFUNCTION("""COMPUTED_VALUE"""),"Success")</f>
        <v>Success</v>
      </c>
    </row>
    <row r="15">
      <c r="A15" s="129">
        <f>IFERROR(__xludf.DUMMYFUNCTION("""COMPUTED_VALUE"""),46163.469618055555)</f>
        <v>46163.46962</v>
      </c>
      <c r="B15" s="126">
        <f>IFERROR(__xludf.DUMMYFUNCTION("""COMPUTED_VALUE"""),46163.0)</f>
        <v>46163</v>
      </c>
      <c r="C15" s="122" t="str">
        <f>IFERROR(__xludf.DUMMYFUNCTION("""COMPUTED_VALUE"""),"5a032611")</f>
        <v>5a032611</v>
      </c>
      <c r="D15" s="122" t="str">
        <f>IFERROR(__xludf.DUMMYFUNCTION("""COMPUTED_VALUE"""),"Harold Dou")</f>
        <v>Harold Dou</v>
      </c>
      <c r="E15" s="122" t="str">
        <f>IFERROR(__xludf.DUMMYFUNCTION("""COMPUTED_VALUE"""),"DEPOSIT")</f>
        <v>DEPOSIT</v>
      </c>
      <c r="F15" s="128">
        <f>IFERROR(__xludf.DUMMYFUNCTION("""COMPUTED_VALUE"""),20.0)</f>
        <v>20</v>
      </c>
      <c r="G15" s="128">
        <f>IFERROR(__xludf.DUMMYFUNCTION("""COMPUTED_VALUE"""),10.0)</f>
        <v>10</v>
      </c>
      <c r="H15" s="128">
        <f>IFERROR(__xludf.DUMMYFUNCTION("""COMPUTED_VALUE"""),30.0)</f>
        <v>30</v>
      </c>
      <c r="I15" s="122"/>
      <c r="J15" s="122"/>
      <c r="K15" s="122"/>
      <c r="L15" s="122" t="str">
        <f>IFERROR(__xludf.DUMMYFUNCTION("""COMPUTED_VALUE"""),"Success")</f>
        <v>Success</v>
      </c>
    </row>
    <row r="16">
      <c r="A16" s="129">
        <f>IFERROR(__xludf.DUMMYFUNCTION("""COMPUTED_VALUE"""),46163.472037037034)</f>
        <v>46163.47204</v>
      </c>
      <c r="B16" s="126">
        <f>IFERROR(__xludf.DUMMYFUNCTION("""COMPUTED_VALUE"""),46163.0)</f>
        <v>46163</v>
      </c>
      <c r="C16" s="122" t="str">
        <f>IFERROR(__xludf.DUMMYFUNCTION("""COMPUTED_VALUE"""),"babde4c4")</f>
        <v>babde4c4</v>
      </c>
      <c r="D16" s="122" t="str">
        <f>IFERROR(__xludf.DUMMYFUNCTION("""COMPUTED_VALUE"""),"Ashley Guk")</f>
        <v>Ashley Guk</v>
      </c>
      <c r="E16" s="122" t="str">
        <f>IFERROR(__xludf.DUMMYFUNCTION("""COMPUTED_VALUE"""),"DEPOSIT")</f>
        <v>DEPOSIT</v>
      </c>
      <c r="F16" s="128">
        <f>IFERROR(__xludf.DUMMYFUNCTION("""COMPUTED_VALUE"""),20.0)</f>
        <v>20</v>
      </c>
      <c r="G16" s="128">
        <f>IFERROR(__xludf.DUMMYFUNCTION("""COMPUTED_VALUE"""),10.0)</f>
        <v>10</v>
      </c>
      <c r="H16" s="128">
        <f>IFERROR(__xludf.DUMMYFUNCTION("""COMPUTED_VALUE"""),30.0)</f>
        <v>30</v>
      </c>
      <c r="I16" s="122"/>
      <c r="J16" s="122"/>
      <c r="K16" s="122"/>
      <c r="L16" s="122" t="str">
        <f>IFERROR(__xludf.DUMMYFUNCTION("""COMPUTED_VALUE"""),"Success")</f>
        <v>Success</v>
      </c>
    </row>
    <row r="17">
      <c r="A17" s="129">
        <f>IFERROR(__xludf.DUMMYFUNCTION("""COMPUTED_VALUE"""),46163.474490740744)</f>
        <v>46163.47449</v>
      </c>
      <c r="B17" s="126">
        <f>IFERROR(__xludf.DUMMYFUNCTION("""COMPUTED_VALUE"""),46163.0)</f>
        <v>46163</v>
      </c>
      <c r="C17" s="122" t="str">
        <f>IFERROR(__xludf.DUMMYFUNCTION("""COMPUTED_VALUE"""),"dc04eef4")</f>
        <v>dc04eef4</v>
      </c>
      <c r="D17" s="122" t="str">
        <f>IFERROR(__xludf.DUMMYFUNCTION("""COMPUTED_VALUE"""),"Joshua Jung")</f>
        <v>Joshua Jung</v>
      </c>
      <c r="E17" s="122" t="str">
        <f>IFERROR(__xludf.DUMMYFUNCTION("""COMPUTED_VALUE"""),"DEPOSIT")</f>
        <v>DEPOSIT</v>
      </c>
      <c r="F17" s="128">
        <f>IFERROR(__xludf.DUMMYFUNCTION("""COMPUTED_VALUE"""),20.0)</f>
        <v>20</v>
      </c>
      <c r="G17" s="128">
        <f>IFERROR(__xludf.DUMMYFUNCTION("""COMPUTED_VALUE"""),10.0)</f>
        <v>10</v>
      </c>
      <c r="H17" s="128">
        <f>IFERROR(__xludf.DUMMYFUNCTION("""COMPUTED_VALUE"""),30.0)</f>
        <v>30</v>
      </c>
      <c r="I17" s="122"/>
      <c r="J17" s="122"/>
      <c r="K17" s="122"/>
      <c r="L17" s="122" t="str">
        <f>IFERROR(__xludf.DUMMYFUNCTION("""COMPUTED_VALUE"""),"Success")</f>
        <v>Success</v>
      </c>
    </row>
    <row r="18">
      <c r="A18" s="129">
        <f>IFERROR(__xludf.DUMMYFUNCTION("""COMPUTED_VALUE"""),46163.47461805555)</f>
        <v>46163.47462</v>
      </c>
      <c r="B18" s="126">
        <f>IFERROR(__xludf.DUMMYFUNCTION("""COMPUTED_VALUE"""),46163.0)</f>
        <v>46163</v>
      </c>
      <c r="C18" s="122" t="str">
        <f>IFERROR(__xludf.DUMMYFUNCTION("""COMPUTED_VALUE"""),"1e3e1410")</f>
        <v>1e3e1410</v>
      </c>
      <c r="D18" s="122" t="str">
        <f>IFERROR(__xludf.DUMMYFUNCTION("""COMPUTED_VALUE"""),"Junjae Park")</f>
        <v>Junjae Park</v>
      </c>
      <c r="E18" s="122" t="str">
        <f>IFERROR(__xludf.DUMMYFUNCTION("""COMPUTED_VALUE"""),"DEPOSIT")</f>
        <v>DEPOSIT</v>
      </c>
      <c r="F18" s="128">
        <f>IFERROR(__xludf.DUMMYFUNCTION("""COMPUTED_VALUE"""),20.0)</f>
        <v>20</v>
      </c>
      <c r="G18" s="128">
        <f>IFERROR(__xludf.DUMMYFUNCTION("""COMPUTED_VALUE"""),0.0)</f>
        <v>0</v>
      </c>
      <c r="H18" s="128">
        <f>IFERROR(__xludf.DUMMYFUNCTION("""COMPUTED_VALUE"""),20.0)</f>
        <v>20</v>
      </c>
      <c r="I18" s="122"/>
      <c r="J18" s="122"/>
      <c r="K18" s="122"/>
      <c r="L18" s="122" t="str">
        <f>IFERROR(__xludf.DUMMYFUNCTION("""COMPUTED_VALUE"""),"Success")</f>
        <v>Success</v>
      </c>
    </row>
    <row r="19">
      <c r="A19" s="129">
        <f>IFERROR(__xludf.DUMMYFUNCTION("""COMPUTED_VALUE"""),46164.34457175926)</f>
        <v>46164.34457</v>
      </c>
      <c r="B19" s="126">
        <f>IFERROR(__xludf.DUMMYFUNCTION("""COMPUTED_VALUE"""),46164.0)</f>
        <v>46164</v>
      </c>
      <c r="C19" s="122" t="str">
        <f>IFERROR(__xludf.DUMMYFUNCTION("""COMPUTED_VALUE"""),"5c07fef4")</f>
        <v>5c07fef4</v>
      </c>
      <c r="D19" s="122" t="str">
        <f>IFERROR(__xludf.DUMMYFUNCTION("""COMPUTED_VALUE"""),"Tiffany Kim")</f>
        <v>Tiffany Kim</v>
      </c>
      <c r="E19" s="122" t="str">
        <f>IFERROR(__xludf.DUMMYFUNCTION("""COMPUTED_VALUE"""),"REWARD")</f>
        <v>REWARD</v>
      </c>
      <c r="F19" s="128">
        <f>IFERROR(__xludf.DUMMYFUNCTION("""COMPUTED_VALUE"""),10.0)</f>
        <v>10</v>
      </c>
      <c r="G19" s="128">
        <f>IFERROR(__xludf.DUMMYFUNCTION("""COMPUTED_VALUE"""),10.0)</f>
        <v>10</v>
      </c>
      <c r="H19" s="128">
        <f>IFERROR(__xludf.DUMMYFUNCTION("""COMPUTED_VALUE"""),20.0)</f>
        <v>20</v>
      </c>
      <c r="I19" s="122"/>
      <c r="J19" s="122"/>
      <c r="K19" s="122" t="str">
        <f>IFERROR(__xludf.DUMMYFUNCTION("""COMPUTED_VALUE"""),"On-time attendance reward")</f>
        <v>On-time attendance reward</v>
      </c>
      <c r="L19" s="122" t="str">
        <f>IFERROR(__xludf.DUMMYFUNCTION("""COMPUTED_VALUE"""),"Success")</f>
        <v>Success</v>
      </c>
    </row>
    <row r="20">
      <c r="A20" s="129">
        <f>IFERROR(__xludf.DUMMYFUNCTION("""COMPUTED_VALUE"""),46164.353368055556)</f>
        <v>46164.35337</v>
      </c>
      <c r="B20" s="126">
        <f>IFERROR(__xludf.DUMMYFUNCTION("""COMPUTED_VALUE"""),46164.0)</f>
        <v>46164</v>
      </c>
      <c r="C20" s="122" t="str">
        <f>IFERROR(__xludf.DUMMYFUNCTION("""COMPUTED_VALUE"""),"dc04eef4")</f>
        <v>dc04eef4</v>
      </c>
      <c r="D20" s="122" t="str">
        <f>IFERROR(__xludf.DUMMYFUNCTION("""COMPUTED_VALUE"""),"Joshua Jung")</f>
        <v>Joshua Jung</v>
      </c>
      <c r="E20" s="122" t="str">
        <f>IFERROR(__xludf.DUMMYFUNCTION("""COMPUTED_VALUE"""),"REWARD")</f>
        <v>REWARD</v>
      </c>
      <c r="F20" s="128">
        <f>IFERROR(__xludf.DUMMYFUNCTION("""COMPUTED_VALUE"""),10.0)</f>
        <v>10</v>
      </c>
      <c r="G20" s="128">
        <f>IFERROR(__xludf.DUMMYFUNCTION("""COMPUTED_VALUE"""),30.0)</f>
        <v>30</v>
      </c>
      <c r="H20" s="128">
        <f>IFERROR(__xludf.DUMMYFUNCTION("""COMPUTED_VALUE"""),40.0)</f>
        <v>40</v>
      </c>
      <c r="I20" s="122"/>
      <c r="J20" s="122"/>
      <c r="K20" s="122" t="str">
        <f>IFERROR(__xludf.DUMMYFUNCTION("""COMPUTED_VALUE"""),"On-time attendance reward")</f>
        <v>On-time attendance reward</v>
      </c>
      <c r="L20" s="122" t="str">
        <f>IFERROR(__xludf.DUMMYFUNCTION("""COMPUTED_VALUE"""),"Success")</f>
        <v>Success</v>
      </c>
    </row>
    <row r="21">
      <c r="A21" s="129">
        <f>IFERROR(__xludf.DUMMYFUNCTION("""COMPUTED_VALUE"""),46164.35349537037)</f>
        <v>46164.3535</v>
      </c>
      <c r="B21" s="126">
        <f>IFERROR(__xludf.DUMMYFUNCTION("""COMPUTED_VALUE"""),46164.0)</f>
        <v>46164</v>
      </c>
      <c r="C21" s="122" t="str">
        <f>IFERROR(__xludf.DUMMYFUNCTION("""COMPUTED_VALUE"""),"ba912211")</f>
        <v>ba912211</v>
      </c>
      <c r="D21" s="122" t="str">
        <f>IFERROR(__xludf.DUMMYFUNCTION("""COMPUTED_VALUE"""),"Daisy Dou")</f>
        <v>Daisy Dou</v>
      </c>
      <c r="E21" s="122" t="str">
        <f>IFERROR(__xludf.DUMMYFUNCTION("""COMPUTED_VALUE"""),"REWARD")</f>
        <v>REWARD</v>
      </c>
      <c r="F21" s="128">
        <f>IFERROR(__xludf.DUMMYFUNCTION("""COMPUTED_VALUE"""),10.0)</f>
        <v>10</v>
      </c>
      <c r="G21" s="128">
        <f>IFERROR(__xludf.DUMMYFUNCTION("""COMPUTED_VALUE"""),10.0)</f>
        <v>10</v>
      </c>
      <c r="H21" s="128">
        <f>IFERROR(__xludf.DUMMYFUNCTION("""COMPUTED_VALUE"""),20.0)</f>
        <v>20</v>
      </c>
      <c r="I21" s="122"/>
      <c r="J21" s="122"/>
      <c r="K21" s="122" t="str">
        <f>IFERROR(__xludf.DUMMYFUNCTION("""COMPUTED_VALUE"""),"On-time attendance reward")</f>
        <v>On-time attendance reward</v>
      </c>
      <c r="L21" s="122" t="str">
        <f>IFERROR(__xludf.DUMMYFUNCTION("""COMPUTED_VALUE"""),"Success")</f>
        <v>Success</v>
      </c>
    </row>
    <row r="22">
      <c r="A22" s="129">
        <f>IFERROR(__xludf.DUMMYFUNCTION("""COMPUTED_VALUE"""),46164.353634259256)</f>
        <v>46164.35363</v>
      </c>
      <c r="B22" s="126">
        <f>IFERROR(__xludf.DUMMYFUNCTION("""COMPUTED_VALUE"""),46164.0)</f>
        <v>46164</v>
      </c>
      <c r="C22" s="122" t="str">
        <f>IFERROR(__xludf.DUMMYFUNCTION("""COMPUTED_VALUE"""),"babde4c4")</f>
        <v>babde4c4</v>
      </c>
      <c r="D22" s="122" t="str">
        <f>IFERROR(__xludf.DUMMYFUNCTION("""COMPUTED_VALUE"""),"Ashley Guk")</f>
        <v>Ashley Guk</v>
      </c>
      <c r="E22" s="122" t="str">
        <f>IFERROR(__xludf.DUMMYFUNCTION("""COMPUTED_VALUE"""),"REWARD")</f>
        <v>REWARD</v>
      </c>
      <c r="F22" s="128">
        <f>IFERROR(__xludf.DUMMYFUNCTION("""COMPUTED_VALUE"""),10.0)</f>
        <v>10</v>
      </c>
      <c r="G22" s="128">
        <f>IFERROR(__xludf.DUMMYFUNCTION("""COMPUTED_VALUE"""),30.0)</f>
        <v>30</v>
      </c>
      <c r="H22" s="128">
        <f>IFERROR(__xludf.DUMMYFUNCTION("""COMPUTED_VALUE"""),40.0)</f>
        <v>40</v>
      </c>
      <c r="I22" s="122"/>
      <c r="J22" s="122"/>
      <c r="K22" s="122" t="str">
        <f>IFERROR(__xludf.DUMMYFUNCTION("""COMPUTED_VALUE"""),"On-time attendance reward")</f>
        <v>On-time attendance reward</v>
      </c>
      <c r="L22" s="122" t="str">
        <f>IFERROR(__xludf.DUMMYFUNCTION("""COMPUTED_VALUE"""),"Success")</f>
        <v>Success</v>
      </c>
    </row>
    <row r="23">
      <c r="A23" s="129">
        <f>IFERROR(__xludf.DUMMYFUNCTION("""COMPUTED_VALUE"""),46164.354409722226)</f>
        <v>46164.35441</v>
      </c>
      <c r="B23" s="126">
        <f>IFERROR(__xludf.DUMMYFUNCTION("""COMPUTED_VALUE"""),46164.0)</f>
        <v>46164</v>
      </c>
      <c r="C23" s="122" t="str">
        <f>IFERROR(__xludf.DUMMYFUNCTION("""COMPUTED_VALUE"""),"7c4e261e")</f>
        <v>7c4e261e</v>
      </c>
      <c r="D23" s="122" t="str">
        <f>IFERROR(__xludf.DUMMYFUNCTION("""COMPUTED_VALUE"""),"Suha Lee")</f>
        <v>Suha Lee</v>
      </c>
      <c r="E23" s="122" t="str">
        <f>IFERROR(__xludf.DUMMYFUNCTION("""COMPUTED_VALUE"""),"REWARD")</f>
        <v>REWARD</v>
      </c>
      <c r="F23" s="128">
        <f>IFERROR(__xludf.DUMMYFUNCTION("""COMPUTED_VALUE"""),10.0)</f>
        <v>10</v>
      </c>
      <c r="G23" s="128">
        <f>IFERROR(__xludf.DUMMYFUNCTION("""COMPUTED_VALUE"""),30.0)</f>
        <v>30</v>
      </c>
      <c r="H23" s="128">
        <f>IFERROR(__xludf.DUMMYFUNCTION("""COMPUTED_VALUE"""),40.0)</f>
        <v>40</v>
      </c>
      <c r="I23" s="122"/>
      <c r="J23" s="122"/>
      <c r="K23" s="122" t="str">
        <f>IFERROR(__xludf.DUMMYFUNCTION("""COMPUTED_VALUE"""),"On-time attendance reward")</f>
        <v>On-time attendance reward</v>
      </c>
      <c r="L23" s="122" t="str">
        <f>IFERROR(__xludf.DUMMYFUNCTION("""COMPUTED_VALUE"""),"Success")</f>
        <v>Success</v>
      </c>
    </row>
    <row r="24">
      <c r="A24" s="129">
        <f>IFERROR(__xludf.DUMMYFUNCTION("""COMPUTED_VALUE"""),46164.35689814815)</f>
        <v>46164.3569</v>
      </c>
      <c r="B24" s="126">
        <f>IFERROR(__xludf.DUMMYFUNCTION("""COMPUTED_VALUE"""),46164.0)</f>
        <v>46164</v>
      </c>
      <c r="C24" s="122" t="str">
        <f>IFERROR(__xludf.DUMMYFUNCTION("""COMPUTED_VALUE"""),"ba353911")</f>
        <v>ba353911</v>
      </c>
      <c r="D24" s="122" t="str">
        <f>IFERROR(__xludf.DUMMYFUNCTION("""COMPUTED_VALUE"""),"Dayeon Kang")</f>
        <v>Dayeon Kang</v>
      </c>
      <c r="E24" s="122" t="str">
        <f>IFERROR(__xludf.DUMMYFUNCTION("""COMPUTED_VALUE"""),"REWARD")</f>
        <v>REWARD</v>
      </c>
      <c r="F24" s="128">
        <f>IFERROR(__xludf.DUMMYFUNCTION("""COMPUTED_VALUE"""),10.0)</f>
        <v>10</v>
      </c>
      <c r="G24" s="128">
        <f>IFERROR(__xludf.DUMMYFUNCTION("""COMPUTED_VALUE"""),10.0)</f>
        <v>10</v>
      </c>
      <c r="H24" s="128">
        <f>IFERROR(__xludf.DUMMYFUNCTION("""COMPUTED_VALUE"""),20.0)</f>
        <v>20</v>
      </c>
      <c r="I24" s="122"/>
      <c r="J24" s="122"/>
      <c r="K24" s="122" t="str">
        <f>IFERROR(__xludf.DUMMYFUNCTION("""COMPUTED_VALUE"""),"On-time attendance reward")</f>
        <v>On-time attendance reward</v>
      </c>
      <c r="L24" s="122" t="str">
        <f>IFERROR(__xludf.DUMMYFUNCTION("""COMPUTED_VALUE"""),"Success")</f>
        <v>Success</v>
      </c>
    </row>
    <row r="25">
      <c r="A25" s="129">
        <f>IFERROR(__xludf.DUMMYFUNCTION("""COMPUTED_VALUE"""),46164.357037037036)</f>
        <v>46164.35704</v>
      </c>
      <c r="B25" s="126">
        <f>IFERROR(__xludf.DUMMYFUNCTION("""COMPUTED_VALUE"""),46164.0)</f>
        <v>46164</v>
      </c>
      <c r="C25" s="122" t="str">
        <f>IFERROR(__xludf.DUMMYFUNCTION("""COMPUTED_VALUE"""),"5a032611")</f>
        <v>5a032611</v>
      </c>
      <c r="D25" s="122" t="str">
        <f>IFERROR(__xludf.DUMMYFUNCTION("""COMPUTED_VALUE"""),"Harold Dou")</f>
        <v>Harold Dou</v>
      </c>
      <c r="E25" s="122" t="str">
        <f>IFERROR(__xludf.DUMMYFUNCTION("""COMPUTED_VALUE"""),"REWARD")</f>
        <v>REWARD</v>
      </c>
      <c r="F25" s="128">
        <f>IFERROR(__xludf.DUMMYFUNCTION("""COMPUTED_VALUE"""),10.0)</f>
        <v>10</v>
      </c>
      <c r="G25" s="128">
        <f>IFERROR(__xludf.DUMMYFUNCTION("""COMPUTED_VALUE"""),30.0)</f>
        <v>30</v>
      </c>
      <c r="H25" s="128">
        <f>IFERROR(__xludf.DUMMYFUNCTION("""COMPUTED_VALUE"""),40.0)</f>
        <v>40</v>
      </c>
      <c r="I25" s="122"/>
      <c r="J25" s="122"/>
      <c r="K25" s="122" t="str">
        <f>IFERROR(__xludf.DUMMYFUNCTION("""COMPUTED_VALUE"""),"On-time attendance reward")</f>
        <v>On-time attendance reward</v>
      </c>
      <c r="L25" s="122" t="str">
        <f>IFERROR(__xludf.DUMMYFUNCTION("""COMPUTED_VALUE"""),"Success")</f>
        <v>Success</v>
      </c>
    </row>
    <row r="26">
      <c r="A26" s="129">
        <f>IFERROR(__xludf.DUMMYFUNCTION("""COMPUTED_VALUE"""),46164.35717592593)</f>
        <v>46164.35718</v>
      </c>
      <c r="B26" s="126">
        <f>IFERROR(__xludf.DUMMYFUNCTION("""COMPUTED_VALUE"""),46164.0)</f>
        <v>46164</v>
      </c>
      <c r="C26" s="122" t="str">
        <f>IFERROR(__xludf.DUMMYFUNCTION("""COMPUTED_VALUE"""),"9a5f2811")</f>
        <v>9a5f2811</v>
      </c>
      <c r="D26" s="122" t="str">
        <f>IFERROR(__xludf.DUMMYFUNCTION("""COMPUTED_VALUE"""),"Junyoung Yoo")</f>
        <v>Junyoung Yoo</v>
      </c>
      <c r="E26" s="122" t="str">
        <f>IFERROR(__xludf.DUMMYFUNCTION("""COMPUTED_VALUE"""),"REWARD")</f>
        <v>REWARD</v>
      </c>
      <c r="F26" s="128">
        <f>IFERROR(__xludf.DUMMYFUNCTION("""COMPUTED_VALUE"""),10.0)</f>
        <v>10</v>
      </c>
      <c r="G26" s="128">
        <f>IFERROR(__xludf.DUMMYFUNCTION("""COMPUTED_VALUE"""),20.0)</f>
        <v>20</v>
      </c>
      <c r="H26" s="128">
        <f>IFERROR(__xludf.DUMMYFUNCTION("""COMPUTED_VALUE"""),30.0)</f>
        <v>30</v>
      </c>
      <c r="I26" s="122"/>
      <c r="J26" s="122"/>
      <c r="K26" s="122" t="str">
        <f>IFERROR(__xludf.DUMMYFUNCTION("""COMPUTED_VALUE"""),"On-time attendance reward")</f>
        <v>On-time attendance reward</v>
      </c>
      <c r="L26" s="122" t="str">
        <f>IFERROR(__xludf.DUMMYFUNCTION("""COMPUTED_VALUE"""),"Success")</f>
        <v>Success</v>
      </c>
    </row>
    <row r="27">
      <c r="A27" s="129">
        <f>IFERROR(__xludf.DUMMYFUNCTION("""COMPUTED_VALUE"""),46164.35865740741)</f>
        <v>46164.35866</v>
      </c>
      <c r="B27" s="126">
        <f>IFERROR(__xludf.DUMMYFUNCTION("""COMPUTED_VALUE"""),46164.0)</f>
        <v>46164</v>
      </c>
      <c r="C27" s="122" t="str">
        <f>IFERROR(__xludf.DUMMYFUNCTION("""COMPUTED_VALUE"""),"ba912211")</f>
        <v>ba912211</v>
      </c>
      <c r="D27" s="122" t="str">
        <f>IFERROR(__xludf.DUMMYFUNCTION("""COMPUTED_VALUE"""),"Daisy Dou")</f>
        <v>Daisy Dou</v>
      </c>
      <c r="E27" s="122" t="str">
        <f>IFERROR(__xludf.DUMMYFUNCTION("""COMPUTED_VALUE"""),"DEPOSIT")</f>
        <v>DEPOSIT</v>
      </c>
      <c r="F27" s="128">
        <f>IFERROR(__xludf.DUMMYFUNCTION("""COMPUTED_VALUE"""),71.0)</f>
        <v>71</v>
      </c>
      <c r="G27" s="128">
        <f>IFERROR(__xludf.DUMMYFUNCTION("""COMPUTED_VALUE"""),20.0)</f>
        <v>20</v>
      </c>
      <c r="H27" s="128">
        <f>IFERROR(__xludf.DUMMYFUNCTION("""COMPUTED_VALUE"""),91.0)</f>
        <v>91</v>
      </c>
      <c r="I27" s="122"/>
      <c r="J27" s="122"/>
      <c r="K27" s="122"/>
      <c r="L27" s="122" t="str">
        <f>IFERROR(__xludf.DUMMYFUNCTION("""COMPUTED_VALUE"""),"Success")</f>
        <v>Success</v>
      </c>
    </row>
    <row r="28">
      <c r="A28" s="129">
        <f>IFERROR(__xludf.DUMMYFUNCTION("""COMPUTED_VALUE"""),46164.359143518515)</f>
        <v>46164.35914</v>
      </c>
      <c r="B28" s="126">
        <f>IFERROR(__xludf.DUMMYFUNCTION("""COMPUTED_VALUE"""),46164.0)</f>
        <v>46164</v>
      </c>
      <c r="C28" s="122" t="str">
        <f>IFERROR(__xludf.DUMMYFUNCTION("""COMPUTED_VALUE"""),"babde4c4")</f>
        <v>babde4c4</v>
      </c>
      <c r="D28" s="122" t="str">
        <f>IFERROR(__xludf.DUMMYFUNCTION("""COMPUTED_VALUE"""),"Ashley Guk")</f>
        <v>Ashley Guk</v>
      </c>
      <c r="E28" s="122" t="str">
        <f>IFERROR(__xludf.DUMMYFUNCTION("""COMPUTED_VALUE"""),"DEPOSIT")</f>
        <v>DEPOSIT</v>
      </c>
      <c r="F28" s="128">
        <f>IFERROR(__xludf.DUMMYFUNCTION("""COMPUTED_VALUE"""),16.0)</f>
        <v>16</v>
      </c>
      <c r="G28" s="128">
        <f>IFERROR(__xludf.DUMMYFUNCTION("""COMPUTED_VALUE"""),40.0)</f>
        <v>40</v>
      </c>
      <c r="H28" s="128">
        <f>IFERROR(__xludf.DUMMYFUNCTION("""COMPUTED_VALUE"""),56.0)</f>
        <v>56</v>
      </c>
      <c r="I28" s="122"/>
      <c r="J28" s="122"/>
      <c r="K28" s="122"/>
      <c r="L28" s="122" t="str">
        <f>IFERROR(__xludf.DUMMYFUNCTION("""COMPUTED_VALUE"""),"Success")</f>
        <v>Success</v>
      </c>
    </row>
    <row r="29">
      <c r="A29" s="129">
        <f>IFERROR(__xludf.DUMMYFUNCTION("""COMPUTED_VALUE"""),46168.33908564815)</f>
        <v>46168.33909</v>
      </c>
      <c r="B29" s="126">
        <f>IFERROR(__xludf.DUMMYFUNCTION("""COMPUTED_VALUE"""),46168.0)</f>
        <v>46168</v>
      </c>
      <c r="C29" s="122" t="str">
        <f>IFERROR(__xludf.DUMMYFUNCTION("""COMPUTED_VALUE"""),"dc04eef4")</f>
        <v>dc04eef4</v>
      </c>
      <c r="D29" s="122" t="str">
        <f>IFERROR(__xludf.DUMMYFUNCTION("""COMPUTED_VALUE"""),"Joshua Jung")</f>
        <v>Joshua Jung</v>
      </c>
      <c r="E29" s="122" t="str">
        <f>IFERROR(__xludf.DUMMYFUNCTION("""COMPUTED_VALUE"""),"REWARD")</f>
        <v>REWARD</v>
      </c>
      <c r="F29" s="128">
        <f>IFERROR(__xludf.DUMMYFUNCTION("""COMPUTED_VALUE"""),10.0)</f>
        <v>10</v>
      </c>
      <c r="G29" s="128">
        <f>IFERROR(__xludf.DUMMYFUNCTION("""COMPUTED_VALUE"""),40.0)</f>
        <v>40</v>
      </c>
      <c r="H29" s="128">
        <f>IFERROR(__xludf.DUMMYFUNCTION("""COMPUTED_VALUE"""),50.0)</f>
        <v>50</v>
      </c>
      <c r="I29" s="122"/>
      <c r="J29" s="122"/>
      <c r="K29" s="122" t="str">
        <f>IFERROR(__xludf.DUMMYFUNCTION("""COMPUTED_VALUE"""),"On-time attendance reward")</f>
        <v>On-time attendance reward</v>
      </c>
      <c r="L29" s="122" t="str">
        <f>IFERROR(__xludf.DUMMYFUNCTION("""COMPUTED_VALUE"""),"Success")</f>
        <v>Success</v>
      </c>
    </row>
    <row r="30">
      <c r="A30" s="129">
        <f>IFERROR(__xludf.DUMMYFUNCTION("""COMPUTED_VALUE"""),46168.350902777776)</f>
        <v>46168.3509</v>
      </c>
      <c r="B30" s="126">
        <f>IFERROR(__xludf.DUMMYFUNCTION("""COMPUTED_VALUE"""),46168.0)</f>
        <v>46168</v>
      </c>
      <c r="C30" s="122" t="str">
        <f>IFERROR(__xludf.DUMMYFUNCTION("""COMPUTED_VALUE"""),"5c07fef4")</f>
        <v>5c07fef4</v>
      </c>
      <c r="D30" s="122" t="str">
        <f>IFERROR(__xludf.DUMMYFUNCTION("""COMPUTED_VALUE"""),"Tiffany Kim")</f>
        <v>Tiffany Kim</v>
      </c>
      <c r="E30" s="122" t="str">
        <f>IFERROR(__xludf.DUMMYFUNCTION("""COMPUTED_VALUE"""),"REWARD")</f>
        <v>REWARD</v>
      </c>
      <c r="F30" s="128">
        <f>IFERROR(__xludf.DUMMYFUNCTION("""COMPUTED_VALUE"""),10.0)</f>
        <v>10</v>
      </c>
      <c r="G30" s="128">
        <f>IFERROR(__xludf.DUMMYFUNCTION("""COMPUTED_VALUE"""),20.0)</f>
        <v>20</v>
      </c>
      <c r="H30" s="128">
        <f>IFERROR(__xludf.DUMMYFUNCTION("""COMPUTED_VALUE"""),30.0)</f>
        <v>30</v>
      </c>
      <c r="I30" s="122"/>
      <c r="J30" s="122"/>
      <c r="K30" s="122" t="str">
        <f>IFERROR(__xludf.DUMMYFUNCTION("""COMPUTED_VALUE"""),"On-time attendance reward")</f>
        <v>On-time attendance reward</v>
      </c>
      <c r="L30" s="122" t="str">
        <f>IFERROR(__xludf.DUMMYFUNCTION("""COMPUTED_VALUE"""),"Success")</f>
        <v>Success</v>
      </c>
    </row>
    <row r="31">
      <c r="A31" s="129">
        <f>IFERROR(__xludf.DUMMYFUNCTION("""COMPUTED_VALUE"""),46168.351643518516)</f>
        <v>46168.35164</v>
      </c>
      <c r="B31" s="126">
        <f>IFERROR(__xludf.DUMMYFUNCTION("""COMPUTED_VALUE"""),46168.0)</f>
        <v>46168</v>
      </c>
      <c r="C31" s="122" t="str">
        <f>IFERROR(__xludf.DUMMYFUNCTION("""COMPUTED_VALUE"""),"ba912211")</f>
        <v>ba912211</v>
      </c>
      <c r="D31" s="122" t="str">
        <f>IFERROR(__xludf.DUMMYFUNCTION("""COMPUTED_VALUE"""),"Daisy Dou")</f>
        <v>Daisy Dou</v>
      </c>
      <c r="E31" s="122" t="str">
        <f>IFERROR(__xludf.DUMMYFUNCTION("""COMPUTED_VALUE"""),"REWARD")</f>
        <v>REWARD</v>
      </c>
      <c r="F31" s="128">
        <f>IFERROR(__xludf.DUMMYFUNCTION("""COMPUTED_VALUE"""),10.0)</f>
        <v>10</v>
      </c>
      <c r="G31" s="128">
        <f>IFERROR(__xludf.DUMMYFUNCTION("""COMPUTED_VALUE"""),91.0)</f>
        <v>91</v>
      </c>
      <c r="H31" s="128">
        <f>IFERROR(__xludf.DUMMYFUNCTION("""COMPUTED_VALUE"""),101.0)</f>
        <v>101</v>
      </c>
      <c r="I31" s="122"/>
      <c r="J31" s="122"/>
      <c r="K31" s="122" t="str">
        <f>IFERROR(__xludf.DUMMYFUNCTION("""COMPUTED_VALUE"""),"On-time attendance reward")</f>
        <v>On-time attendance reward</v>
      </c>
      <c r="L31" s="122" t="str">
        <f>IFERROR(__xludf.DUMMYFUNCTION("""COMPUTED_VALUE"""),"Success")</f>
        <v>Success</v>
      </c>
    </row>
    <row r="32">
      <c r="A32" s="129">
        <f>IFERROR(__xludf.DUMMYFUNCTION("""COMPUTED_VALUE"""),46168.35450231482)</f>
        <v>46168.3545</v>
      </c>
      <c r="B32" s="126">
        <f>IFERROR(__xludf.DUMMYFUNCTION("""COMPUTED_VALUE"""),46168.0)</f>
        <v>46168</v>
      </c>
      <c r="C32" s="122" t="str">
        <f>IFERROR(__xludf.DUMMYFUNCTION("""COMPUTED_VALUE"""),"7c4e261e")</f>
        <v>7c4e261e</v>
      </c>
      <c r="D32" s="122" t="str">
        <f>IFERROR(__xludf.DUMMYFUNCTION("""COMPUTED_VALUE"""),"Suha Lee")</f>
        <v>Suha Lee</v>
      </c>
      <c r="E32" s="122" t="str">
        <f>IFERROR(__xludf.DUMMYFUNCTION("""COMPUTED_VALUE"""),"REWARD")</f>
        <v>REWARD</v>
      </c>
      <c r="F32" s="128">
        <f>IFERROR(__xludf.DUMMYFUNCTION("""COMPUTED_VALUE"""),10.0)</f>
        <v>10</v>
      </c>
      <c r="G32" s="128">
        <f>IFERROR(__xludf.DUMMYFUNCTION("""COMPUTED_VALUE"""),40.0)</f>
        <v>40</v>
      </c>
      <c r="H32" s="128">
        <f>IFERROR(__xludf.DUMMYFUNCTION("""COMPUTED_VALUE"""),50.0)</f>
        <v>50</v>
      </c>
      <c r="I32" s="122"/>
      <c r="J32" s="122"/>
      <c r="K32" s="122" t="str">
        <f>IFERROR(__xludf.DUMMYFUNCTION("""COMPUTED_VALUE"""),"On-time attendance reward")</f>
        <v>On-time attendance reward</v>
      </c>
      <c r="L32" s="122" t="str">
        <f>IFERROR(__xludf.DUMMYFUNCTION("""COMPUTED_VALUE"""),"Success")</f>
        <v>Success</v>
      </c>
    </row>
    <row r="33">
      <c r="A33" s="129">
        <f>IFERROR(__xludf.DUMMYFUNCTION("""COMPUTED_VALUE"""),46168.3559375)</f>
        <v>46168.35594</v>
      </c>
      <c r="B33" s="126">
        <f>IFERROR(__xludf.DUMMYFUNCTION("""COMPUTED_VALUE"""),46168.0)</f>
        <v>46168</v>
      </c>
      <c r="C33" s="122" t="str">
        <f>IFERROR(__xludf.DUMMYFUNCTION("""COMPUTED_VALUE"""),"5a032611")</f>
        <v>5a032611</v>
      </c>
      <c r="D33" s="122" t="str">
        <f>IFERROR(__xludf.DUMMYFUNCTION("""COMPUTED_VALUE"""),"Harold Dou")</f>
        <v>Harold Dou</v>
      </c>
      <c r="E33" s="122" t="str">
        <f>IFERROR(__xludf.DUMMYFUNCTION("""COMPUTED_VALUE"""),"REWARD")</f>
        <v>REWARD</v>
      </c>
      <c r="F33" s="128">
        <f>IFERROR(__xludf.DUMMYFUNCTION("""COMPUTED_VALUE"""),10.0)</f>
        <v>10</v>
      </c>
      <c r="G33" s="128">
        <f>IFERROR(__xludf.DUMMYFUNCTION("""COMPUTED_VALUE"""),40.0)</f>
        <v>40</v>
      </c>
      <c r="H33" s="128">
        <f>IFERROR(__xludf.DUMMYFUNCTION("""COMPUTED_VALUE"""),50.0)</f>
        <v>50</v>
      </c>
      <c r="I33" s="122"/>
      <c r="J33" s="122"/>
      <c r="K33" s="122" t="str">
        <f>IFERROR(__xludf.DUMMYFUNCTION("""COMPUTED_VALUE"""),"On-time attendance reward")</f>
        <v>On-time attendance reward</v>
      </c>
      <c r="L33" s="122" t="str">
        <f>IFERROR(__xludf.DUMMYFUNCTION("""COMPUTED_VALUE"""),"Success")</f>
        <v>Success</v>
      </c>
    </row>
    <row r="34">
      <c r="A34" s="129">
        <f>IFERROR(__xludf.DUMMYFUNCTION("""COMPUTED_VALUE"""),46168.35628472222)</f>
        <v>46168.35628</v>
      </c>
      <c r="B34" s="126">
        <f>IFERROR(__xludf.DUMMYFUNCTION("""COMPUTED_VALUE"""),46168.0)</f>
        <v>46168</v>
      </c>
      <c r="C34" s="122" t="str">
        <f>IFERROR(__xludf.DUMMYFUNCTION("""COMPUTED_VALUE"""),"9a5f2811")</f>
        <v>9a5f2811</v>
      </c>
      <c r="D34" s="122" t="str">
        <f>IFERROR(__xludf.DUMMYFUNCTION("""COMPUTED_VALUE"""),"Junyoung Yoo")</f>
        <v>Junyoung Yoo</v>
      </c>
      <c r="E34" s="122" t="str">
        <f>IFERROR(__xludf.DUMMYFUNCTION("""COMPUTED_VALUE"""),"REWARD")</f>
        <v>REWARD</v>
      </c>
      <c r="F34" s="128">
        <f>IFERROR(__xludf.DUMMYFUNCTION("""COMPUTED_VALUE"""),10.0)</f>
        <v>10</v>
      </c>
      <c r="G34" s="128">
        <f>IFERROR(__xludf.DUMMYFUNCTION("""COMPUTED_VALUE"""),30.0)</f>
        <v>30</v>
      </c>
      <c r="H34" s="128">
        <f>IFERROR(__xludf.DUMMYFUNCTION("""COMPUTED_VALUE"""),40.0)</f>
        <v>40</v>
      </c>
      <c r="I34" s="122"/>
      <c r="J34" s="122"/>
      <c r="K34" s="122" t="str">
        <f>IFERROR(__xludf.DUMMYFUNCTION("""COMPUTED_VALUE"""),"On-time attendance reward")</f>
        <v>On-time attendance reward</v>
      </c>
      <c r="L34" s="122" t="str">
        <f>IFERROR(__xludf.DUMMYFUNCTION("""COMPUTED_VALUE"""),"Success")</f>
        <v>Success</v>
      </c>
    </row>
    <row r="35">
      <c r="A35" s="129">
        <f>IFERROR(__xludf.DUMMYFUNCTION("""COMPUTED_VALUE"""),46168.35869212963)</f>
        <v>46168.35869</v>
      </c>
      <c r="B35" s="126">
        <f>IFERROR(__xludf.DUMMYFUNCTION("""COMPUTED_VALUE"""),46168.0)</f>
        <v>46168</v>
      </c>
      <c r="C35" s="122" t="str">
        <f>IFERROR(__xludf.DUMMYFUNCTION("""COMPUTED_VALUE"""),"ba353911")</f>
        <v>ba353911</v>
      </c>
      <c r="D35" s="122" t="str">
        <f>IFERROR(__xludf.DUMMYFUNCTION("""COMPUTED_VALUE"""),"Dayeon Kang")</f>
        <v>Dayeon Kang</v>
      </c>
      <c r="E35" s="122" t="str">
        <f>IFERROR(__xludf.DUMMYFUNCTION("""COMPUTED_VALUE"""),"FINE")</f>
        <v>FINE</v>
      </c>
      <c r="F35" s="128">
        <f>IFERROR(__xludf.DUMMYFUNCTION("""COMPUTED_VALUE"""),10.0)</f>
        <v>10</v>
      </c>
      <c r="G35" s="128">
        <f>IFERROR(__xludf.DUMMYFUNCTION("""COMPUTED_VALUE"""),20.0)</f>
        <v>20</v>
      </c>
      <c r="H35" s="128">
        <f>IFERROR(__xludf.DUMMYFUNCTION("""COMPUTED_VALUE"""),10.0)</f>
        <v>10</v>
      </c>
      <c r="I35" s="122"/>
      <c r="J35" s="122"/>
      <c r="K35" s="122" t="str">
        <f>IFERROR(__xludf.DUMMYFUNCTION("""COMPUTED_VALUE"""),"Late attendance penalty")</f>
        <v>Late attendance penalty</v>
      </c>
      <c r="L35" s="122" t="str">
        <f>IFERROR(__xludf.DUMMYFUNCTION("""COMPUTED_VALUE"""),"Success")</f>
        <v>Success</v>
      </c>
    </row>
    <row r="36">
      <c r="A36" s="129">
        <f>IFERROR(__xludf.DUMMYFUNCTION("""COMPUTED_VALUE"""),46168.4943287037)</f>
        <v>46168.49433</v>
      </c>
      <c r="B36" s="126">
        <f>IFERROR(__xludf.DUMMYFUNCTION("""COMPUTED_VALUE"""),46168.0)</f>
        <v>46168</v>
      </c>
      <c r="C36" s="122" t="str">
        <f>IFERROR(__xludf.DUMMYFUNCTION("""COMPUTED_VALUE"""),"ae072910")</f>
        <v>ae072910</v>
      </c>
      <c r="D36" s="122" t="str">
        <f>IFERROR(__xludf.DUMMYFUNCTION("""COMPUTED_VALUE"""),"Selena Jung")</f>
        <v>Selena Jung</v>
      </c>
      <c r="E36" s="122" t="str">
        <f>IFERROR(__xludf.DUMMYFUNCTION("""COMPUTED_VALUE"""),"FINE")</f>
        <v>FINE</v>
      </c>
      <c r="F36" s="128">
        <f>IFERROR(__xludf.DUMMYFUNCTION("""COMPUTED_VALUE"""),10.0)</f>
        <v>10</v>
      </c>
      <c r="G36" s="128">
        <f>IFERROR(__xludf.DUMMYFUNCTION("""COMPUTED_VALUE"""),0.0)</f>
        <v>0</v>
      </c>
      <c r="H36" s="128">
        <f>IFERROR(__xludf.DUMMYFUNCTION("""COMPUTED_VALUE"""),0.0)</f>
        <v>0</v>
      </c>
      <c r="I36" s="122"/>
      <c r="J36" s="122"/>
      <c r="K36" s="122" t="str">
        <f>IFERROR(__xludf.DUMMYFUNCTION("""COMPUTED_VALUE"""),"Late attendance penalty")</f>
        <v>Late attendance penalty</v>
      </c>
      <c r="L36" s="122" t="str">
        <f>IFERROR(__xludf.DUMMYFUNCTION("""COMPUTED_VALUE"""),"Denied - insufficient balance")</f>
        <v>Denied - insufficient balance</v>
      </c>
    </row>
    <row r="37">
      <c r="A37" s="129">
        <f>IFERROR(__xludf.DUMMYFUNCTION("""COMPUTED_VALUE"""),46168.65008101852)</f>
        <v>46168.65008</v>
      </c>
      <c r="B37" s="126">
        <f>IFERROR(__xludf.DUMMYFUNCTION("""COMPUTED_VALUE"""),46168.0)</f>
        <v>46168</v>
      </c>
      <c r="C37" s="122" t="str">
        <f>IFERROR(__xludf.DUMMYFUNCTION("""COMPUTED_VALUE"""),"ba0fc5c4")</f>
        <v>ba0fc5c4</v>
      </c>
      <c r="D37" s="122" t="str">
        <f>IFERROR(__xludf.DUMMYFUNCTION("""COMPUTED_VALUE"""),"Junwoo Kang")</f>
        <v>Junwoo Kang</v>
      </c>
      <c r="E37" s="122" t="str">
        <f>IFERROR(__xludf.DUMMYFUNCTION("""COMPUTED_VALUE"""),"FINE")</f>
        <v>FINE</v>
      </c>
      <c r="F37" s="128">
        <f>IFERROR(__xludf.DUMMYFUNCTION("""COMPUTED_VALUE"""),10.0)</f>
        <v>10</v>
      </c>
      <c r="G37" s="128">
        <f>IFERROR(__xludf.DUMMYFUNCTION("""COMPUTED_VALUE"""),0.0)</f>
        <v>0</v>
      </c>
      <c r="H37" s="128">
        <f>IFERROR(__xludf.DUMMYFUNCTION("""COMPUTED_VALUE"""),0.0)</f>
        <v>0</v>
      </c>
      <c r="I37" s="122"/>
      <c r="J37" s="122"/>
      <c r="K37" s="122" t="str">
        <f>IFERROR(__xludf.DUMMYFUNCTION("""COMPUTED_VALUE"""),"Late attendance penalty")</f>
        <v>Late attendance penalty</v>
      </c>
      <c r="L37" s="122" t="str">
        <f>IFERROR(__xludf.DUMMYFUNCTION("""COMPUTED_VALUE"""),"Denied - insufficient balance")</f>
        <v>Denied - insufficient balance</v>
      </c>
    </row>
    <row r="38">
      <c r="A38" s="129">
        <f>IFERROR(__xludf.DUMMYFUNCTION("""COMPUTED_VALUE"""),46170.34722222222)</f>
        <v>46170.34722</v>
      </c>
      <c r="B38" s="126">
        <f>IFERROR(__xludf.DUMMYFUNCTION("""COMPUTED_VALUE"""),46170.0)</f>
        <v>46170</v>
      </c>
      <c r="C38" s="122" t="str">
        <f>IFERROR(__xludf.DUMMYFUNCTION("""COMPUTED_VALUE"""),"ae072910")</f>
        <v>ae072910</v>
      </c>
      <c r="D38" s="122" t="str">
        <f>IFERROR(__xludf.DUMMYFUNCTION("""COMPUTED_VALUE"""),"Selena Jung")</f>
        <v>Selena Jung</v>
      </c>
      <c r="E38" s="122" t="str">
        <f>IFERROR(__xludf.DUMMYFUNCTION("""COMPUTED_VALUE"""),"REWARD")</f>
        <v>REWARD</v>
      </c>
      <c r="F38" s="128">
        <f>IFERROR(__xludf.DUMMYFUNCTION("""COMPUTED_VALUE"""),10.0)</f>
        <v>10</v>
      </c>
      <c r="G38" s="128">
        <f>IFERROR(__xludf.DUMMYFUNCTION("""COMPUTED_VALUE"""),0.0)</f>
        <v>0</v>
      </c>
      <c r="H38" s="128">
        <f>IFERROR(__xludf.DUMMYFUNCTION("""COMPUTED_VALUE"""),10.0)</f>
        <v>10</v>
      </c>
      <c r="I38" s="122"/>
      <c r="J38" s="122"/>
      <c r="K38" s="122" t="str">
        <f>IFERROR(__xludf.DUMMYFUNCTION("""COMPUTED_VALUE"""),"On-time attendance reward")</f>
        <v>On-time attendance reward</v>
      </c>
      <c r="L38" s="122" t="str">
        <f>IFERROR(__xludf.DUMMYFUNCTION("""COMPUTED_VALUE"""),"Success")</f>
        <v>Success</v>
      </c>
    </row>
    <row r="39">
      <c r="A39" s="129">
        <f>IFERROR(__xludf.DUMMYFUNCTION("""COMPUTED_VALUE"""),46170.35013888889)</f>
        <v>46170.35014</v>
      </c>
      <c r="B39" s="126">
        <f>IFERROR(__xludf.DUMMYFUNCTION("""COMPUTED_VALUE"""),46170.0)</f>
        <v>46170</v>
      </c>
      <c r="C39" s="122" t="str">
        <f>IFERROR(__xludf.DUMMYFUNCTION("""COMPUTED_VALUE"""),"5c07fef4")</f>
        <v>5c07fef4</v>
      </c>
      <c r="D39" s="122" t="str">
        <f>IFERROR(__xludf.DUMMYFUNCTION("""COMPUTED_VALUE"""),"Tiffany Kim")</f>
        <v>Tiffany Kim</v>
      </c>
      <c r="E39" s="122" t="str">
        <f>IFERROR(__xludf.DUMMYFUNCTION("""COMPUTED_VALUE"""),"REWARD")</f>
        <v>REWARD</v>
      </c>
      <c r="F39" s="128">
        <f>IFERROR(__xludf.DUMMYFUNCTION("""COMPUTED_VALUE"""),10.0)</f>
        <v>10</v>
      </c>
      <c r="G39" s="128">
        <f>IFERROR(__xludf.DUMMYFUNCTION("""COMPUTED_VALUE"""),30.0)</f>
        <v>30</v>
      </c>
      <c r="H39" s="128">
        <f>IFERROR(__xludf.DUMMYFUNCTION("""COMPUTED_VALUE"""),40.0)</f>
        <v>40</v>
      </c>
      <c r="I39" s="122"/>
      <c r="J39" s="122"/>
      <c r="K39" s="122" t="str">
        <f>IFERROR(__xludf.DUMMYFUNCTION("""COMPUTED_VALUE"""),"On-time attendance reward")</f>
        <v>On-time attendance reward</v>
      </c>
      <c r="L39" s="122" t="str">
        <f>IFERROR(__xludf.DUMMYFUNCTION("""COMPUTED_VALUE"""),"Success")</f>
        <v>Success</v>
      </c>
    </row>
    <row r="40">
      <c r="A40" s="129">
        <f>IFERROR(__xludf.DUMMYFUNCTION("""COMPUTED_VALUE"""),46170.35196759259)</f>
        <v>46170.35197</v>
      </c>
      <c r="B40" s="126">
        <f>IFERROR(__xludf.DUMMYFUNCTION("""COMPUTED_VALUE"""),46170.0)</f>
        <v>46170</v>
      </c>
      <c r="C40" s="122" t="str">
        <f>IFERROR(__xludf.DUMMYFUNCTION("""COMPUTED_VALUE"""),"ba912211")</f>
        <v>ba912211</v>
      </c>
      <c r="D40" s="122" t="str">
        <f>IFERROR(__xludf.DUMMYFUNCTION("""COMPUTED_VALUE"""),"Daisy Dou")</f>
        <v>Daisy Dou</v>
      </c>
      <c r="E40" s="122" t="str">
        <f>IFERROR(__xludf.DUMMYFUNCTION("""COMPUTED_VALUE"""),"REWARD")</f>
        <v>REWARD</v>
      </c>
      <c r="F40" s="128">
        <f>IFERROR(__xludf.DUMMYFUNCTION("""COMPUTED_VALUE"""),10.0)</f>
        <v>10</v>
      </c>
      <c r="G40" s="128">
        <f>IFERROR(__xludf.DUMMYFUNCTION("""COMPUTED_VALUE"""),101.0)</f>
        <v>101</v>
      </c>
      <c r="H40" s="128">
        <f>IFERROR(__xludf.DUMMYFUNCTION("""COMPUTED_VALUE"""),111.0)</f>
        <v>111</v>
      </c>
      <c r="I40" s="122"/>
      <c r="J40" s="122"/>
      <c r="K40" s="122" t="str">
        <f>IFERROR(__xludf.DUMMYFUNCTION("""COMPUTED_VALUE"""),"On-time attendance reward")</f>
        <v>On-time attendance reward</v>
      </c>
      <c r="L40" s="122" t="str">
        <f>IFERROR(__xludf.DUMMYFUNCTION("""COMPUTED_VALUE"""),"Success")</f>
        <v>Success</v>
      </c>
    </row>
    <row r="41">
      <c r="A41" s="129">
        <f>IFERROR(__xludf.DUMMYFUNCTION("""COMPUTED_VALUE"""),46170.3521412037)</f>
        <v>46170.35214</v>
      </c>
      <c r="B41" s="126">
        <f>IFERROR(__xludf.DUMMYFUNCTION("""COMPUTED_VALUE"""),46170.0)</f>
        <v>46170</v>
      </c>
      <c r="C41" s="122" t="str">
        <f>IFERROR(__xludf.DUMMYFUNCTION("""COMPUTED_VALUE"""),"7c4e261e")</f>
        <v>7c4e261e</v>
      </c>
      <c r="D41" s="122" t="str">
        <f>IFERROR(__xludf.DUMMYFUNCTION("""COMPUTED_VALUE"""),"Suha Lee")</f>
        <v>Suha Lee</v>
      </c>
      <c r="E41" s="122" t="str">
        <f>IFERROR(__xludf.DUMMYFUNCTION("""COMPUTED_VALUE"""),"REWARD")</f>
        <v>REWARD</v>
      </c>
      <c r="F41" s="128">
        <f>IFERROR(__xludf.DUMMYFUNCTION("""COMPUTED_VALUE"""),10.0)</f>
        <v>10</v>
      </c>
      <c r="G41" s="128">
        <f>IFERROR(__xludf.DUMMYFUNCTION("""COMPUTED_VALUE"""),50.0)</f>
        <v>50</v>
      </c>
      <c r="H41" s="128">
        <f>IFERROR(__xludf.DUMMYFUNCTION("""COMPUTED_VALUE"""),60.0)</f>
        <v>60</v>
      </c>
      <c r="I41" s="122"/>
      <c r="J41" s="122"/>
      <c r="K41" s="122" t="str">
        <f>IFERROR(__xludf.DUMMYFUNCTION("""COMPUTED_VALUE"""),"On-time attendance reward")</f>
        <v>On-time attendance reward</v>
      </c>
      <c r="L41" s="122" t="str">
        <f>IFERROR(__xludf.DUMMYFUNCTION("""COMPUTED_VALUE"""),"Success")</f>
        <v>Success</v>
      </c>
    </row>
    <row r="42">
      <c r="A42" s="129">
        <f>IFERROR(__xludf.DUMMYFUNCTION("""COMPUTED_VALUE"""),46170.35230324074)</f>
        <v>46170.3523</v>
      </c>
      <c r="B42" s="126">
        <f>IFERROR(__xludf.DUMMYFUNCTION("""COMPUTED_VALUE"""),46170.0)</f>
        <v>46170</v>
      </c>
      <c r="C42" s="122" t="str">
        <f>IFERROR(__xludf.DUMMYFUNCTION("""COMPUTED_VALUE"""),"dc04eef4")</f>
        <v>dc04eef4</v>
      </c>
      <c r="D42" s="122" t="str">
        <f>IFERROR(__xludf.DUMMYFUNCTION("""COMPUTED_VALUE"""),"Joshua Jung")</f>
        <v>Joshua Jung</v>
      </c>
      <c r="E42" s="122" t="str">
        <f>IFERROR(__xludf.DUMMYFUNCTION("""COMPUTED_VALUE"""),"REWARD")</f>
        <v>REWARD</v>
      </c>
      <c r="F42" s="128">
        <f>IFERROR(__xludf.DUMMYFUNCTION("""COMPUTED_VALUE"""),10.0)</f>
        <v>10</v>
      </c>
      <c r="G42" s="128">
        <f>IFERROR(__xludf.DUMMYFUNCTION("""COMPUTED_VALUE"""),50.0)</f>
        <v>50</v>
      </c>
      <c r="H42" s="128">
        <f>IFERROR(__xludf.DUMMYFUNCTION("""COMPUTED_VALUE"""),60.0)</f>
        <v>60</v>
      </c>
      <c r="I42" s="122"/>
      <c r="J42" s="122"/>
      <c r="K42" s="122" t="str">
        <f>IFERROR(__xludf.DUMMYFUNCTION("""COMPUTED_VALUE"""),"On-time attendance reward")</f>
        <v>On-time attendance reward</v>
      </c>
      <c r="L42" s="122" t="str">
        <f>IFERROR(__xludf.DUMMYFUNCTION("""COMPUTED_VALUE"""),"Success")</f>
        <v>Success</v>
      </c>
    </row>
    <row r="43">
      <c r="A43" s="129">
        <f>IFERROR(__xludf.DUMMYFUNCTION("""COMPUTED_VALUE"""),46170.3540625)</f>
        <v>46170.35406</v>
      </c>
      <c r="B43" s="126">
        <f>IFERROR(__xludf.DUMMYFUNCTION("""COMPUTED_VALUE"""),46170.0)</f>
        <v>46170</v>
      </c>
      <c r="C43" s="122" t="str">
        <f>IFERROR(__xludf.DUMMYFUNCTION("""COMPUTED_VALUE"""),"babde4c4")</f>
        <v>babde4c4</v>
      </c>
      <c r="D43" s="122" t="str">
        <f>IFERROR(__xludf.DUMMYFUNCTION("""COMPUTED_VALUE"""),"Ashley Guk")</f>
        <v>Ashley Guk</v>
      </c>
      <c r="E43" s="122" t="str">
        <f>IFERROR(__xludf.DUMMYFUNCTION("""COMPUTED_VALUE"""),"REWARD")</f>
        <v>REWARD</v>
      </c>
      <c r="F43" s="128">
        <f>IFERROR(__xludf.DUMMYFUNCTION("""COMPUTED_VALUE"""),10.0)</f>
        <v>10</v>
      </c>
      <c r="G43" s="128">
        <f>IFERROR(__xludf.DUMMYFUNCTION("""COMPUTED_VALUE"""),56.0)</f>
        <v>56</v>
      </c>
      <c r="H43" s="128">
        <f>IFERROR(__xludf.DUMMYFUNCTION("""COMPUTED_VALUE"""),66.0)</f>
        <v>66</v>
      </c>
      <c r="I43" s="122"/>
      <c r="J43" s="122"/>
      <c r="K43" s="122" t="str">
        <f>IFERROR(__xludf.DUMMYFUNCTION("""COMPUTED_VALUE"""),"On-time attendance reward")</f>
        <v>On-time attendance reward</v>
      </c>
      <c r="L43" s="122" t="str">
        <f>IFERROR(__xludf.DUMMYFUNCTION("""COMPUTED_VALUE"""),"Success")</f>
        <v>Success</v>
      </c>
    </row>
    <row r="44">
      <c r="A44" s="129">
        <f>IFERROR(__xludf.DUMMYFUNCTION("""COMPUTED_VALUE"""),46170.35631944444)</f>
        <v>46170.35632</v>
      </c>
      <c r="B44" s="126">
        <f>IFERROR(__xludf.DUMMYFUNCTION("""COMPUTED_VALUE"""),46170.0)</f>
        <v>46170</v>
      </c>
      <c r="C44" s="122" t="str">
        <f>IFERROR(__xludf.DUMMYFUNCTION("""COMPUTED_VALUE"""),"ba353911")</f>
        <v>ba353911</v>
      </c>
      <c r="D44" s="122" t="str">
        <f>IFERROR(__xludf.DUMMYFUNCTION("""COMPUTED_VALUE"""),"Dayeon Kang")</f>
        <v>Dayeon Kang</v>
      </c>
      <c r="E44" s="122" t="str">
        <f>IFERROR(__xludf.DUMMYFUNCTION("""COMPUTED_VALUE"""),"REWARD")</f>
        <v>REWARD</v>
      </c>
      <c r="F44" s="128">
        <f>IFERROR(__xludf.DUMMYFUNCTION("""COMPUTED_VALUE"""),10.0)</f>
        <v>10</v>
      </c>
      <c r="G44" s="128">
        <f>IFERROR(__xludf.DUMMYFUNCTION("""COMPUTED_VALUE"""),10.0)</f>
        <v>10</v>
      </c>
      <c r="H44" s="128">
        <f>IFERROR(__xludf.DUMMYFUNCTION("""COMPUTED_VALUE"""),20.0)</f>
        <v>20</v>
      </c>
      <c r="I44" s="122"/>
      <c r="J44" s="122"/>
      <c r="K44" s="122" t="str">
        <f>IFERROR(__xludf.DUMMYFUNCTION("""COMPUTED_VALUE"""),"On-time attendance reward")</f>
        <v>On-time attendance reward</v>
      </c>
      <c r="L44" s="122" t="str">
        <f>IFERROR(__xludf.DUMMYFUNCTION("""COMPUTED_VALUE"""),"Success")</f>
        <v>Success</v>
      </c>
    </row>
    <row r="45">
      <c r="A45" s="129">
        <f>IFERROR(__xludf.DUMMYFUNCTION("""COMPUTED_VALUE"""),46170.357986111114)</f>
        <v>46170.35799</v>
      </c>
      <c r="B45" s="126">
        <f>IFERROR(__xludf.DUMMYFUNCTION("""COMPUTED_VALUE"""),46170.0)</f>
        <v>46170</v>
      </c>
      <c r="C45" s="122" t="str">
        <f>IFERROR(__xludf.DUMMYFUNCTION("""COMPUTED_VALUE"""),"9a5f2811")</f>
        <v>9a5f2811</v>
      </c>
      <c r="D45" s="122" t="str">
        <f>IFERROR(__xludf.DUMMYFUNCTION("""COMPUTED_VALUE"""),"Junyoung Yoo")</f>
        <v>Junyoung Yoo</v>
      </c>
      <c r="E45" s="122" t="str">
        <f>IFERROR(__xludf.DUMMYFUNCTION("""COMPUTED_VALUE"""),"REWARD")</f>
        <v>REWARD</v>
      </c>
      <c r="F45" s="128">
        <f>IFERROR(__xludf.DUMMYFUNCTION("""COMPUTED_VALUE"""),10.0)</f>
        <v>10</v>
      </c>
      <c r="G45" s="128">
        <f>IFERROR(__xludf.DUMMYFUNCTION("""COMPUTED_VALUE"""),40.0)</f>
        <v>40</v>
      </c>
      <c r="H45" s="128">
        <f>IFERROR(__xludf.DUMMYFUNCTION("""COMPUTED_VALUE"""),50.0)</f>
        <v>50</v>
      </c>
      <c r="I45" s="122"/>
      <c r="J45" s="122"/>
      <c r="K45" s="122" t="str">
        <f>IFERROR(__xludf.DUMMYFUNCTION("""COMPUTED_VALUE"""),"On-time attendance reward")</f>
        <v>On-time attendance reward</v>
      </c>
      <c r="L45" s="122" t="str">
        <f>IFERROR(__xludf.DUMMYFUNCTION("""COMPUTED_VALUE"""),"Success")</f>
        <v>Success</v>
      </c>
    </row>
    <row r="46">
      <c r="A46" s="129">
        <f>IFERROR(__xludf.DUMMYFUNCTION("""COMPUTED_VALUE"""),46170.37253472222)</f>
        <v>46170.37253</v>
      </c>
      <c r="B46" s="126">
        <f>IFERROR(__xludf.DUMMYFUNCTION("""COMPUTED_VALUE"""),46170.0)</f>
        <v>46170</v>
      </c>
      <c r="C46" s="122" t="str">
        <f>IFERROR(__xludf.DUMMYFUNCTION("""COMPUTED_VALUE"""),"1e3e1410")</f>
        <v>1e3e1410</v>
      </c>
      <c r="D46" s="122" t="str">
        <f>IFERROR(__xludf.DUMMYFUNCTION("""COMPUTED_VALUE"""),"Junjae Park")</f>
        <v>Junjae Park</v>
      </c>
      <c r="E46" s="122" t="str">
        <f>IFERROR(__xludf.DUMMYFUNCTION("""COMPUTED_VALUE"""),"FINE")</f>
        <v>FINE</v>
      </c>
      <c r="F46" s="128">
        <f>IFERROR(__xludf.DUMMYFUNCTION("""COMPUTED_VALUE"""),10.0)</f>
        <v>10</v>
      </c>
      <c r="G46" s="128">
        <f>IFERROR(__xludf.DUMMYFUNCTION("""COMPUTED_VALUE"""),20.0)</f>
        <v>20</v>
      </c>
      <c r="H46" s="128">
        <f>IFERROR(__xludf.DUMMYFUNCTION("""COMPUTED_VALUE"""),10.0)</f>
        <v>10</v>
      </c>
      <c r="I46" s="122"/>
      <c r="J46" s="122"/>
      <c r="K46" s="122" t="str">
        <f>IFERROR(__xludf.DUMMYFUNCTION("""COMPUTED_VALUE"""),"Late attendance penalty")</f>
        <v>Late attendance penalty</v>
      </c>
      <c r="L46" s="122" t="str">
        <f>IFERROR(__xludf.DUMMYFUNCTION("""COMPUTED_VALUE"""),"Success")</f>
        <v>Success</v>
      </c>
    </row>
    <row r="47">
      <c r="A47" s="129">
        <f>IFERROR(__xludf.DUMMYFUNCTION("""COMPUTED_VALUE"""),46170.37268518518)</f>
        <v>46170.37269</v>
      </c>
      <c r="B47" s="126">
        <f>IFERROR(__xludf.DUMMYFUNCTION("""COMPUTED_VALUE"""),46170.0)</f>
        <v>46170</v>
      </c>
      <c r="C47" s="122" t="str">
        <f>IFERROR(__xludf.DUMMYFUNCTION("""COMPUTED_VALUE"""),"ba0fc5c4")</f>
        <v>ba0fc5c4</v>
      </c>
      <c r="D47" s="122" t="str">
        <f>IFERROR(__xludf.DUMMYFUNCTION("""COMPUTED_VALUE"""),"Junwoo Kang")</f>
        <v>Junwoo Kang</v>
      </c>
      <c r="E47" s="122" t="str">
        <f>IFERROR(__xludf.DUMMYFUNCTION("""COMPUTED_VALUE"""),"FINE")</f>
        <v>FINE</v>
      </c>
      <c r="F47" s="128">
        <f>IFERROR(__xludf.DUMMYFUNCTION("""COMPUTED_VALUE"""),10.0)</f>
        <v>10</v>
      </c>
      <c r="G47" s="128">
        <f>IFERROR(__xludf.DUMMYFUNCTION("""COMPUTED_VALUE"""),0.0)</f>
        <v>0</v>
      </c>
      <c r="H47" s="128">
        <f>IFERROR(__xludf.DUMMYFUNCTION("""COMPUTED_VALUE"""),0.0)</f>
        <v>0</v>
      </c>
      <c r="I47" s="122"/>
      <c r="J47" s="122"/>
      <c r="K47" s="122" t="str">
        <f>IFERROR(__xludf.DUMMYFUNCTION("""COMPUTED_VALUE"""),"Late attendance penalty")</f>
        <v>Late attendance penalty</v>
      </c>
      <c r="L47" s="122" t="str">
        <f>IFERROR(__xludf.DUMMYFUNCTION("""COMPUTED_VALUE"""),"Denied - insufficient balance")</f>
        <v>Denied - insufficient balance</v>
      </c>
    </row>
    <row r="48">
      <c r="A48" s="129">
        <f>IFERROR(__xludf.DUMMYFUNCTION("""COMPUTED_VALUE"""),46174.347962962966)</f>
        <v>46174.34796</v>
      </c>
      <c r="B48" s="126">
        <f>IFERROR(__xludf.DUMMYFUNCTION("""COMPUTED_VALUE"""),46174.0)</f>
        <v>46174</v>
      </c>
      <c r="C48" s="122" t="str">
        <f>IFERROR(__xludf.DUMMYFUNCTION("""COMPUTED_VALUE"""),"ae072910")</f>
        <v>ae072910</v>
      </c>
      <c r="D48" s="122" t="str">
        <f>IFERROR(__xludf.DUMMYFUNCTION("""COMPUTED_VALUE"""),"Selena Jung")</f>
        <v>Selena Jung</v>
      </c>
      <c r="E48" s="122" t="str">
        <f>IFERROR(__xludf.DUMMYFUNCTION("""COMPUTED_VALUE"""),"REWARD")</f>
        <v>REWARD</v>
      </c>
      <c r="F48" s="128">
        <f>IFERROR(__xludf.DUMMYFUNCTION("""COMPUTED_VALUE"""),10.0)</f>
        <v>10</v>
      </c>
      <c r="G48" s="128">
        <f>IFERROR(__xludf.DUMMYFUNCTION("""COMPUTED_VALUE"""),10.0)</f>
        <v>10</v>
      </c>
      <c r="H48" s="128">
        <f>IFERROR(__xludf.DUMMYFUNCTION("""COMPUTED_VALUE"""),20.0)</f>
        <v>20</v>
      </c>
      <c r="I48" s="122"/>
      <c r="J48" s="122"/>
      <c r="K48" s="122" t="str">
        <f>IFERROR(__xludf.DUMMYFUNCTION("""COMPUTED_VALUE"""),"On-time attendance reward")</f>
        <v>On-time attendance reward</v>
      </c>
      <c r="L48" s="122" t="str">
        <f>IFERROR(__xludf.DUMMYFUNCTION("""COMPUTED_VALUE"""),"Success")</f>
        <v>Success</v>
      </c>
    </row>
    <row r="49">
      <c r="A49" s="129">
        <f>IFERROR(__xludf.DUMMYFUNCTION("""COMPUTED_VALUE"""),46174.34818287037)</f>
        <v>46174.34818</v>
      </c>
      <c r="B49" s="126">
        <f>IFERROR(__xludf.DUMMYFUNCTION("""COMPUTED_VALUE"""),46174.0)</f>
        <v>46174</v>
      </c>
      <c r="C49" s="122" t="str">
        <f>IFERROR(__xludf.DUMMYFUNCTION("""COMPUTED_VALUE"""),"5c07fef4")</f>
        <v>5c07fef4</v>
      </c>
      <c r="D49" s="122" t="str">
        <f>IFERROR(__xludf.DUMMYFUNCTION("""COMPUTED_VALUE"""),"Tiffany Kim")</f>
        <v>Tiffany Kim</v>
      </c>
      <c r="E49" s="122" t="str">
        <f>IFERROR(__xludf.DUMMYFUNCTION("""COMPUTED_VALUE"""),"REWARD")</f>
        <v>REWARD</v>
      </c>
      <c r="F49" s="128">
        <f>IFERROR(__xludf.DUMMYFUNCTION("""COMPUTED_VALUE"""),10.0)</f>
        <v>10</v>
      </c>
      <c r="G49" s="128">
        <f>IFERROR(__xludf.DUMMYFUNCTION("""COMPUTED_VALUE"""),40.0)</f>
        <v>40</v>
      </c>
      <c r="H49" s="128">
        <f>IFERROR(__xludf.DUMMYFUNCTION("""COMPUTED_VALUE"""),50.0)</f>
        <v>50</v>
      </c>
      <c r="I49" s="122"/>
      <c r="J49" s="122"/>
      <c r="K49" s="122" t="str">
        <f>IFERROR(__xludf.DUMMYFUNCTION("""COMPUTED_VALUE"""),"On-time attendance reward")</f>
        <v>On-time attendance reward</v>
      </c>
      <c r="L49" s="122" t="str">
        <f>IFERROR(__xludf.DUMMYFUNCTION("""COMPUTED_VALUE"""),"Success")</f>
        <v>Success</v>
      </c>
    </row>
    <row r="50">
      <c r="A50" s="129">
        <f>IFERROR(__xludf.DUMMYFUNCTION("""COMPUTED_VALUE"""),46174.348344907405)</f>
        <v>46174.34834</v>
      </c>
      <c r="B50" s="126">
        <f>IFERROR(__xludf.DUMMYFUNCTION("""COMPUTED_VALUE"""),46174.0)</f>
        <v>46174</v>
      </c>
      <c r="C50" s="122" t="str">
        <f>IFERROR(__xludf.DUMMYFUNCTION("""COMPUTED_VALUE"""),"dc04eef4")</f>
        <v>dc04eef4</v>
      </c>
      <c r="D50" s="122" t="str">
        <f>IFERROR(__xludf.DUMMYFUNCTION("""COMPUTED_VALUE"""),"Joshua Jung")</f>
        <v>Joshua Jung</v>
      </c>
      <c r="E50" s="122" t="str">
        <f>IFERROR(__xludf.DUMMYFUNCTION("""COMPUTED_VALUE"""),"REWARD")</f>
        <v>REWARD</v>
      </c>
      <c r="F50" s="128">
        <f>IFERROR(__xludf.DUMMYFUNCTION("""COMPUTED_VALUE"""),10.0)</f>
        <v>10</v>
      </c>
      <c r="G50" s="128">
        <f>IFERROR(__xludf.DUMMYFUNCTION("""COMPUTED_VALUE"""),60.0)</f>
        <v>60</v>
      </c>
      <c r="H50" s="128">
        <f>IFERROR(__xludf.DUMMYFUNCTION("""COMPUTED_VALUE"""),70.0)</f>
        <v>70</v>
      </c>
      <c r="I50" s="122"/>
      <c r="J50" s="122"/>
      <c r="K50" s="122" t="str">
        <f>IFERROR(__xludf.DUMMYFUNCTION("""COMPUTED_VALUE"""),"On-time attendance reward")</f>
        <v>On-time attendance reward</v>
      </c>
      <c r="L50" s="122" t="str">
        <f>IFERROR(__xludf.DUMMYFUNCTION("""COMPUTED_VALUE"""),"Success")</f>
        <v>Success</v>
      </c>
    </row>
    <row r="51">
      <c r="A51" s="129">
        <f>IFERROR(__xludf.DUMMYFUNCTION("""COMPUTED_VALUE"""),46174.34916666667)</f>
        <v>46174.34917</v>
      </c>
      <c r="B51" s="126">
        <f>IFERROR(__xludf.DUMMYFUNCTION("""COMPUTED_VALUE"""),46174.0)</f>
        <v>46174</v>
      </c>
      <c r="C51" s="122" t="str">
        <f>IFERROR(__xludf.DUMMYFUNCTION("""COMPUTED_VALUE"""),"ba912211")</f>
        <v>ba912211</v>
      </c>
      <c r="D51" s="122" t="str">
        <f>IFERROR(__xludf.DUMMYFUNCTION("""COMPUTED_VALUE"""),"Daisy Dou")</f>
        <v>Daisy Dou</v>
      </c>
      <c r="E51" s="122" t="str">
        <f>IFERROR(__xludf.DUMMYFUNCTION("""COMPUTED_VALUE"""),"REWARD")</f>
        <v>REWARD</v>
      </c>
      <c r="F51" s="128">
        <f>IFERROR(__xludf.DUMMYFUNCTION("""COMPUTED_VALUE"""),10.0)</f>
        <v>10</v>
      </c>
      <c r="G51" s="128">
        <f>IFERROR(__xludf.DUMMYFUNCTION("""COMPUTED_VALUE"""),111.0)</f>
        <v>111</v>
      </c>
      <c r="H51" s="128">
        <f>IFERROR(__xludf.DUMMYFUNCTION("""COMPUTED_VALUE"""),121.0)</f>
        <v>121</v>
      </c>
      <c r="I51" s="122"/>
      <c r="J51" s="122"/>
      <c r="K51" s="122" t="str">
        <f>IFERROR(__xludf.DUMMYFUNCTION("""COMPUTED_VALUE"""),"On-time attendance reward")</f>
        <v>On-time attendance reward</v>
      </c>
      <c r="L51" s="122" t="str">
        <f>IFERROR(__xludf.DUMMYFUNCTION("""COMPUTED_VALUE"""),"Success")</f>
        <v>Success</v>
      </c>
    </row>
    <row r="52">
      <c r="A52" s="129">
        <f>IFERROR(__xludf.DUMMYFUNCTION("""COMPUTED_VALUE"""),46174.35314814815)</f>
        <v>46174.35315</v>
      </c>
      <c r="B52" s="126">
        <f>IFERROR(__xludf.DUMMYFUNCTION("""COMPUTED_VALUE"""),46174.0)</f>
        <v>46174</v>
      </c>
      <c r="C52" s="122" t="str">
        <f>IFERROR(__xludf.DUMMYFUNCTION("""COMPUTED_VALUE"""),"babde4c4")</f>
        <v>babde4c4</v>
      </c>
      <c r="D52" s="122" t="str">
        <f>IFERROR(__xludf.DUMMYFUNCTION("""COMPUTED_VALUE"""),"Ashley Guk")</f>
        <v>Ashley Guk</v>
      </c>
      <c r="E52" s="122" t="str">
        <f>IFERROR(__xludf.DUMMYFUNCTION("""COMPUTED_VALUE"""),"REWARD")</f>
        <v>REWARD</v>
      </c>
      <c r="F52" s="128">
        <f>IFERROR(__xludf.DUMMYFUNCTION("""COMPUTED_VALUE"""),10.0)</f>
        <v>10</v>
      </c>
      <c r="G52" s="128">
        <f>IFERROR(__xludf.DUMMYFUNCTION("""COMPUTED_VALUE"""),66.0)</f>
        <v>66</v>
      </c>
      <c r="H52" s="128">
        <f>IFERROR(__xludf.DUMMYFUNCTION("""COMPUTED_VALUE"""),76.0)</f>
        <v>76</v>
      </c>
      <c r="I52" s="122"/>
      <c r="J52" s="122"/>
      <c r="K52" s="122" t="str">
        <f>IFERROR(__xludf.DUMMYFUNCTION("""COMPUTED_VALUE"""),"On-time attendance reward")</f>
        <v>On-time attendance reward</v>
      </c>
      <c r="L52" s="122" t="str">
        <f>IFERROR(__xludf.DUMMYFUNCTION("""COMPUTED_VALUE"""),"Success")</f>
        <v>Success</v>
      </c>
    </row>
    <row r="53">
      <c r="A53" s="129">
        <f>IFERROR(__xludf.DUMMYFUNCTION("""COMPUTED_VALUE"""),46174.35422453703)</f>
        <v>46174.35422</v>
      </c>
      <c r="B53" s="126">
        <f>IFERROR(__xludf.DUMMYFUNCTION("""COMPUTED_VALUE"""),46174.0)</f>
        <v>46174</v>
      </c>
      <c r="C53" s="122" t="str">
        <f>IFERROR(__xludf.DUMMYFUNCTION("""COMPUTED_VALUE"""),"ba353911")</f>
        <v>ba353911</v>
      </c>
      <c r="D53" s="122" t="str">
        <f>IFERROR(__xludf.DUMMYFUNCTION("""COMPUTED_VALUE"""),"Dayeon Kang")</f>
        <v>Dayeon Kang</v>
      </c>
      <c r="E53" s="122" t="str">
        <f>IFERROR(__xludf.DUMMYFUNCTION("""COMPUTED_VALUE"""),"REWARD")</f>
        <v>REWARD</v>
      </c>
      <c r="F53" s="128">
        <f>IFERROR(__xludf.DUMMYFUNCTION("""COMPUTED_VALUE"""),10.0)</f>
        <v>10</v>
      </c>
      <c r="G53" s="128">
        <f>IFERROR(__xludf.DUMMYFUNCTION("""COMPUTED_VALUE"""),20.0)</f>
        <v>20</v>
      </c>
      <c r="H53" s="128">
        <f>IFERROR(__xludf.DUMMYFUNCTION("""COMPUTED_VALUE"""),30.0)</f>
        <v>30</v>
      </c>
      <c r="I53" s="122"/>
      <c r="J53" s="122"/>
      <c r="K53" s="122" t="str">
        <f>IFERROR(__xludf.DUMMYFUNCTION("""COMPUTED_VALUE"""),"On-time attendance reward")</f>
        <v>On-time attendance reward</v>
      </c>
      <c r="L53" s="122" t="str">
        <f>IFERROR(__xludf.DUMMYFUNCTION("""COMPUTED_VALUE"""),"Success")</f>
        <v>Success</v>
      </c>
    </row>
    <row r="54">
      <c r="A54" s="129">
        <f>IFERROR(__xludf.DUMMYFUNCTION("""COMPUTED_VALUE"""),46174.35525462963)</f>
        <v>46174.35525</v>
      </c>
      <c r="B54" s="126">
        <f>IFERROR(__xludf.DUMMYFUNCTION("""COMPUTED_VALUE"""),46174.0)</f>
        <v>46174</v>
      </c>
      <c r="C54" s="122" t="str">
        <f>IFERROR(__xludf.DUMMYFUNCTION("""COMPUTED_VALUE"""),"7c4e261e")</f>
        <v>7c4e261e</v>
      </c>
      <c r="D54" s="122" t="str">
        <f>IFERROR(__xludf.DUMMYFUNCTION("""COMPUTED_VALUE"""),"Suha Lee")</f>
        <v>Suha Lee</v>
      </c>
      <c r="E54" s="122" t="str">
        <f>IFERROR(__xludf.DUMMYFUNCTION("""COMPUTED_VALUE"""),"REWARD")</f>
        <v>REWARD</v>
      </c>
      <c r="F54" s="128">
        <f>IFERROR(__xludf.DUMMYFUNCTION("""COMPUTED_VALUE"""),10.0)</f>
        <v>10</v>
      </c>
      <c r="G54" s="128">
        <f>IFERROR(__xludf.DUMMYFUNCTION("""COMPUTED_VALUE"""),60.0)</f>
        <v>60</v>
      </c>
      <c r="H54" s="128">
        <f>IFERROR(__xludf.DUMMYFUNCTION("""COMPUTED_VALUE"""),70.0)</f>
        <v>70</v>
      </c>
      <c r="I54" s="122"/>
      <c r="J54" s="122"/>
      <c r="K54" s="122" t="str">
        <f>IFERROR(__xludf.DUMMYFUNCTION("""COMPUTED_VALUE"""),"On-time attendance reward")</f>
        <v>On-time attendance reward</v>
      </c>
      <c r="L54" s="122" t="str">
        <f>IFERROR(__xludf.DUMMYFUNCTION("""COMPUTED_VALUE"""),"Success")</f>
        <v>Success</v>
      </c>
    </row>
    <row r="55">
      <c r="A55" s="129">
        <f>IFERROR(__xludf.DUMMYFUNCTION("""COMPUTED_VALUE"""),46174.365694444445)</f>
        <v>46174.36569</v>
      </c>
      <c r="B55" s="126">
        <f>IFERROR(__xludf.DUMMYFUNCTION("""COMPUTED_VALUE"""),46174.0)</f>
        <v>46174</v>
      </c>
      <c r="C55" s="122" t="str">
        <f>IFERROR(__xludf.DUMMYFUNCTION("""COMPUTED_VALUE"""),"5a032611")</f>
        <v>5a032611</v>
      </c>
      <c r="D55" s="122" t="str">
        <f>IFERROR(__xludf.DUMMYFUNCTION("""COMPUTED_VALUE"""),"Harold Dou")</f>
        <v>Harold Dou</v>
      </c>
      <c r="E55" s="122" t="str">
        <f>IFERROR(__xludf.DUMMYFUNCTION("""COMPUTED_VALUE"""),"FINE")</f>
        <v>FINE</v>
      </c>
      <c r="F55" s="128">
        <f>IFERROR(__xludf.DUMMYFUNCTION("""COMPUTED_VALUE"""),10.0)</f>
        <v>10</v>
      </c>
      <c r="G55" s="128">
        <f>IFERROR(__xludf.DUMMYFUNCTION("""COMPUTED_VALUE"""),50.0)</f>
        <v>50</v>
      </c>
      <c r="H55" s="128">
        <f>IFERROR(__xludf.DUMMYFUNCTION("""COMPUTED_VALUE"""),40.0)</f>
        <v>40</v>
      </c>
      <c r="I55" s="122"/>
      <c r="J55" s="122"/>
      <c r="K55" s="122" t="str">
        <f>IFERROR(__xludf.DUMMYFUNCTION("""COMPUTED_VALUE"""),"Late attendance penalty")</f>
        <v>Late attendance penalty</v>
      </c>
      <c r="L55" s="122" t="str">
        <f>IFERROR(__xludf.DUMMYFUNCTION("""COMPUTED_VALUE"""),"Success")</f>
        <v>Success</v>
      </c>
    </row>
    <row r="56">
      <c r="A56" s="129">
        <f>IFERROR(__xludf.DUMMYFUNCTION("""COMPUTED_VALUE"""),46174.36770833333)</f>
        <v>46174.36771</v>
      </c>
      <c r="B56" s="126">
        <f>IFERROR(__xludf.DUMMYFUNCTION("""COMPUTED_VALUE"""),46174.0)</f>
        <v>46174</v>
      </c>
      <c r="C56" s="122" t="str">
        <f>IFERROR(__xludf.DUMMYFUNCTION("""COMPUTED_VALUE"""),"9a5f2811")</f>
        <v>9a5f2811</v>
      </c>
      <c r="D56" s="122" t="str">
        <f>IFERROR(__xludf.DUMMYFUNCTION("""COMPUTED_VALUE"""),"Junyoung Yoo")</f>
        <v>Junyoung Yoo</v>
      </c>
      <c r="E56" s="122" t="str">
        <f>IFERROR(__xludf.DUMMYFUNCTION("""COMPUTED_VALUE"""),"FINE")</f>
        <v>FINE</v>
      </c>
      <c r="F56" s="128">
        <f>IFERROR(__xludf.DUMMYFUNCTION("""COMPUTED_VALUE"""),10.0)</f>
        <v>10</v>
      </c>
      <c r="G56" s="128">
        <f>IFERROR(__xludf.DUMMYFUNCTION("""COMPUTED_VALUE"""),50.0)</f>
        <v>50</v>
      </c>
      <c r="H56" s="128">
        <f>IFERROR(__xludf.DUMMYFUNCTION("""COMPUTED_VALUE"""),40.0)</f>
        <v>40</v>
      </c>
      <c r="I56" s="122"/>
      <c r="J56" s="122"/>
      <c r="K56" s="122" t="str">
        <f>IFERROR(__xludf.DUMMYFUNCTION("""COMPUTED_VALUE"""),"Late attendance penalty")</f>
        <v>Late attendance penalty</v>
      </c>
      <c r="L56" s="122" t="str">
        <f>IFERROR(__xludf.DUMMYFUNCTION("""COMPUTED_VALUE"""),"Success")</f>
        <v>Success</v>
      </c>
    </row>
    <row r="57">
      <c r="A57" s="129">
        <f>IFERROR(__xludf.DUMMYFUNCTION("""COMPUTED_VALUE"""),46174.36913194445)</f>
        <v>46174.36913</v>
      </c>
      <c r="B57" s="126">
        <f>IFERROR(__xludf.DUMMYFUNCTION("""COMPUTED_VALUE"""),46174.0)</f>
        <v>46174</v>
      </c>
      <c r="C57" s="122" t="str">
        <f>IFERROR(__xludf.DUMMYFUNCTION("""COMPUTED_VALUE"""),"ba0fc5c4")</f>
        <v>ba0fc5c4</v>
      </c>
      <c r="D57" s="122" t="str">
        <f>IFERROR(__xludf.DUMMYFUNCTION("""COMPUTED_VALUE"""),"Junwoo Kang")</f>
        <v>Junwoo Kang</v>
      </c>
      <c r="E57" s="122" t="str">
        <f>IFERROR(__xludf.DUMMYFUNCTION("""COMPUTED_VALUE"""),"FINE")</f>
        <v>FINE</v>
      </c>
      <c r="F57" s="128">
        <f>IFERROR(__xludf.DUMMYFUNCTION("""COMPUTED_VALUE"""),10.0)</f>
        <v>10</v>
      </c>
      <c r="G57" s="128">
        <f>IFERROR(__xludf.DUMMYFUNCTION("""COMPUTED_VALUE"""),0.0)</f>
        <v>0</v>
      </c>
      <c r="H57" s="128">
        <f>IFERROR(__xludf.DUMMYFUNCTION("""COMPUTED_VALUE"""),0.0)</f>
        <v>0</v>
      </c>
      <c r="I57" s="122"/>
      <c r="J57" s="122"/>
      <c r="K57" s="122" t="str">
        <f>IFERROR(__xludf.DUMMYFUNCTION("""COMPUTED_VALUE"""),"Late attendance penalty")</f>
        <v>Late attendance penalty</v>
      </c>
      <c r="L57" s="122" t="str">
        <f>IFERROR(__xludf.DUMMYFUNCTION("""COMPUTED_VALUE"""),"Denied - insufficient balance")</f>
        <v>Denied - insufficient balance</v>
      </c>
    </row>
    <row r="58">
      <c r="A58" s="129">
        <f>IFERROR(__xludf.DUMMYFUNCTION("""COMPUTED_VALUE"""),46174.375613425924)</f>
        <v>46174.37561</v>
      </c>
      <c r="B58" s="126">
        <f>IFERROR(__xludf.DUMMYFUNCTION("""COMPUTED_VALUE"""),46174.0)</f>
        <v>46174</v>
      </c>
      <c r="C58" s="122" t="str">
        <f>IFERROR(__xludf.DUMMYFUNCTION("""COMPUTED_VALUE"""),"1e3e1410")</f>
        <v>1e3e1410</v>
      </c>
      <c r="D58" s="122" t="str">
        <f>IFERROR(__xludf.DUMMYFUNCTION("""COMPUTED_VALUE"""),"Junjae Park")</f>
        <v>Junjae Park</v>
      </c>
      <c r="E58" s="122" t="str">
        <f>IFERROR(__xludf.DUMMYFUNCTION("""COMPUTED_VALUE"""),"FINE")</f>
        <v>FINE</v>
      </c>
      <c r="F58" s="128">
        <f>IFERROR(__xludf.DUMMYFUNCTION("""COMPUTED_VALUE"""),10.0)</f>
        <v>10</v>
      </c>
      <c r="G58" s="128">
        <f>IFERROR(__xludf.DUMMYFUNCTION("""COMPUTED_VALUE"""),10.0)</f>
        <v>10</v>
      </c>
      <c r="H58" s="128">
        <f>IFERROR(__xludf.DUMMYFUNCTION("""COMPUTED_VALUE"""),0.0)</f>
        <v>0</v>
      </c>
      <c r="I58" s="122"/>
      <c r="J58" s="122"/>
      <c r="K58" s="122" t="str">
        <f>IFERROR(__xludf.DUMMYFUNCTION("""COMPUTED_VALUE"""),"Late attendance penalty")</f>
        <v>Late attendance penalty</v>
      </c>
      <c r="L58" s="122" t="str">
        <f>IFERROR(__xludf.DUMMYFUNCTION("""COMPUTED_VALUE"""),"Success")</f>
        <v>Success</v>
      </c>
    </row>
    <row r="59">
      <c r="A59" s="129">
        <f>IFERROR(__xludf.DUMMYFUNCTION("""COMPUTED_VALUE"""),46175.34792824074)</f>
        <v>46175.34793</v>
      </c>
      <c r="B59" s="126">
        <f>IFERROR(__xludf.DUMMYFUNCTION("""COMPUTED_VALUE"""),46175.0)</f>
        <v>46175</v>
      </c>
      <c r="C59" s="122" t="str">
        <f>IFERROR(__xludf.DUMMYFUNCTION("""COMPUTED_VALUE"""),"5c07fef4")</f>
        <v>5c07fef4</v>
      </c>
      <c r="D59" s="122" t="str">
        <f>IFERROR(__xludf.DUMMYFUNCTION("""COMPUTED_VALUE"""),"Tiffany Kim")</f>
        <v>Tiffany Kim</v>
      </c>
      <c r="E59" s="122" t="str">
        <f>IFERROR(__xludf.DUMMYFUNCTION("""COMPUTED_VALUE"""),"REWARD")</f>
        <v>REWARD</v>
      </c>
      <c r="F59" s="128">
        <f>IFERROR(__xludf.DUMMYFUNCTION("""COMPUTED_VALUE"""),10.0)</f>
        <v>10</v>
      </c>
      <c r="G59" s="128">
        <f>IFERROR(__xludf.DUMMYFUNCTION("""COMPUTED_VALUE"""),50.0)</f>
        <v>50</v>
      </c>
      <c r="H59" s="128">
        <f>IFERROR(__xludf.DUMMYFUNCTION("""COMPUTED_VALUE"""),60.0)</f>
        <v>60</v>
      </c>
      <c r="I59" s="122"/>
      <c r="J59" s="122"/>
      <c r="K59" s="122" t="str">
        <f>IFERROR(__xludf.DUMMYFUNCTION("""COMPUTED_VALUE"""),"On-time attendance reward")</f>
        <v>On-time attendance reward</v>
      </c>
      <c r="L59" s="122" t="str">
        <f>IFERROR(__xludf.DUMMYFUNCTION("""COMPUTED_VALUE"""),"Success")</f>
        <v>Success</v>
      </c>
    </row>
    <row r="60">
      <c r="A60" s="129">
        <f>IFERROR(__xludf.DUMMYFUNCTION("""COMPUTED_VALUE"""),46175.34988425926)</f>
        <v>46175.34988</v>
      </c>
      <c r="B60" s="126">
        <f>IFERROR(__xludf.DUMMYFUNCTION("""COMPUTED_VALUE"""),46175.0)</f>
        <v>46175</v>
      </c>
      <c r="C60" s="122" t="str">
        <f>IFERROR(__xludf.DUMMYFUNCTION("""COMPUTED_VALUE"""),"ae072910")</f>
        <v>ae072910</v>
      </c>
      <c r="D60" s="122" t="str">
        <f>IFERROR(__xludf.DUMMYFUNCTION("""COMPUTED_VALUE"""),"Selena Jung")</f>
        <v>Selena Jung</v>
      </c>
      <c r="E60" s="122" t="str">
        <f>IFERROR(__xludf.DUMMYFUNCTION("""COMPUTED_VALUE"""),"REWARD")</f>
        <v>REWARD</v>
      </c>
      <c r="F60" s="128">
        <f>IFERROR(__xludf.DUMMYFUNCTION("""COMPUTED_VALUE"""),10.0)</f>
        <v>10</v>
      </c>
      <c r="G60" s="128">
        <f>IFERROR(__xludf.DUMMYFUNCTION("""COMPUTED_VALUE"""),20.0)</f>
        <v>20</v>
      </c>
      <c r="H60" s="128">
        <f>IFERROR(__xludf.DUMMYFUNCTION("""COMPUTED_VALUE"""),30.0)</f>
        <v>30</v>
      </c>
      <c r="I60" s="122"/>
      <c r="J60" s="122"/>
      <c r="K60" s="122" t="str">
        <f>IFERROR(__xludf.DUMMYFUNCTION("""COMPUTED_VALUE"""),"On-time attendance reward")</f>
        <v>On-time attendance reward</v>
      </c>
      <c r="L60" s="122" t="str">
        <f>IFERROR(__xludf.DUMMYFUNCTION("""COMPUTED_VALUE"""),"Success")</f>
        <v>Success</v>
      </c>
    </row>
    <row r="61">
      <c r="A61" s="129">
        <f>IFERROR(__xludf.DUMMYFUNCTION("""COMPUTED_VALUE"""),46175.35037037037)</f>
        <v>46175.35037</v>
      </c>
      <c r="B61" s="126">
        <f>IFERROR(__xludf.DUMMYFUNCTION("""COMPUTED_VALUE"""),46175.0)</f>
        <v>46175</v>
      </c>
      <c r="C61" s="122" t="str">
        <f>IFERROR(__xludf.DUMMYFUNCTION("""COMPUTED_VALUE"""),"dc04eef4")</f>
        <v>dc04eef4</v>
      </c>
      <c r="D61" s="122" t="str">
        <f>IFERROR(__xludf.DUMMYFUNCTION("""COMPUTED_VALUE"""),"Joshua Jung")</f>
        <v>Joshua Jung</v>
      </c>
      <c r="E61" s="122" t="str">
        <f>IFERROR(__xludf.DUMMYFUNCTION("""COMPUTED_VALUE"""),"REWARD")</f>
        <v>REWARD</v>
      </c>
      <c r="F61" s="128">
        <f>IFERROR(__xludf.DUMMYFUNCTION("""COMPUTED_VALUE"""),10.0)</f>
        <v>10</v>
      </c>
      <c r="G61" s="128">
        <f>IFERROR(__xludf.DUMMYFUNCTION("""COMPUTED_VALUE"""),70.0)</f>
        <v>70</v>
      </c>
      <c r="H61" s="128">
        <f>IFERROR(__xludf.DUMMYFUNCTION("""COMPUTED_VALUE"""),80.0)</f>
        <v>80</v>
      </c>
      <c r="I61" s="122"/>
      <c r="J61" s="122"/>
      <c r="K61" s="122" t="str">
        <f>IFERROR(__xludf.DUMMYFUNCTION("""COMPUTED_VALUE"""),"On-time attendance reward")</f>
        <v>On-time attendance reward</v>
      </c>
      <c r="L61" s="122" t="str">
        <f>IFERROR(__xludf.DUMMYFUNCTION("""COMPUTED_VALUE"""),"Success")</f>
        <v>Success</v>
      </c>
    </row>
    <row r="62">
      <c r="A62" s="129">
        <f>IFERROR(__xludf.DUMMYFUNCTION("""COMPUTED_VALUE"""),46175.351273148146)</f>
        <v>46175.35127</v>
      </c>
      <c r="B62" s="126">
        <f>IFERROR(__xludf.DUMMYFUNCTION("""COMPUTED_VALUE"""),46175.0)</f>
        <v>46175</v>
      </c>
      <c r="C62" s="122" t="str">
        <f>IFERROR(__xludf.DUMMYFUNCTION("""COMPUTED_VALUE"""),"ba912211")</f>
        <v>ba912211</v>
      </c>
      <c r="D62" s="122" t="str">
        <f>IFERROR(__xludf.DUMMYFUNCTION("""COMPUTED_VALUE"""),"Daisy Dou")</f>
        <v>Daisy Dou</v>
      </c>
      <c r="E62" s="122" t="str">
        <f>IFERROR(__xludf.DUMMYFUNCTION("""COMPUTED_VALUE"""),"REWARD")</f>
        <v>REWARD</v>
      </c>
      <c r="F62" s="128">
        <f>IFERROR(__xludf.DUMMYFUNCTION("""COMPUTED_VALUE"""),10.0)</f>
        <v>10</v>
      </c>
      <c r="G62" s="128">
        <f>IFERROR(__xludf.DUMMYFUNCTION("""COMPUTED_VALUE"""),121.0)</f>
        <v>121</v>
      </c>
      <c r="H62" s="128">
        <f>IFERROR(__xludf.DUMMYFUNCTION("""COMPUTED_VALUE"""),131.0)</f>
        <v>131</v>
      </c>
      <c r="I62" s="122"/>
      <c r="J62" s="122"/>
      <c r="K62" s="122" t="str">
        <f>IFERROR(__xludf.DUMMYFUNCTION("""COMPUTED_VALUE"""),"On-time attendance reward")</f>
        <v>On-time attendance reward</v>
      </c>
      <c r="L62" s="122" t="str">
        <f>IFERROR(__xludf.DUMMYFUNCTION("""COMPUTED_VALUE"""),"Success")</f>
        <v>Success</v>
      </c>
    </row>
    <row r="63">
      <c r="A63" s="129">
        <f>IFERROR(__xludf.DUMMYFUNCTION("""COMPUTED_VALUE"""),46175.35251157408)</f>
        <v>46175.35251</v>
      </c>
      <c r="B63" s="126">
        <f>IFERROR(__xludf.DUMMYFUNCTION("""COMPUTED_VALUE"""),46175.0)</f>
        <v>46175</v>
      </c>
      <c r="C63" s="122" t="str">
        <f>IFERROR(__xludf.DUMMYFUNCTION("""COMPUTED_VALUE"""),"babde4c4")</f>
        <v>babde4c4</v>
      </c>
      <c r="D63" s="122" t="str">
        <f>IFERROR(__xludf.DUMMYFUNCTION("""COMPUTED_VALUE"""),"Ashley Guk")</f>
        <v>Ashley Guk</v>
      </c>
      <c r="E63" s="122" t="str">
        <f>IFERROR(__xludf.DUMMYFUNCTION("""COMPUTED_VALUE"""),"REWARD")</f>
        <v>REWARD</v>
      </c>
      <c r="F63" s="128">
        <f>IFERROR(__xludf.DUMMYFUNCTION("""COMPUTED_VALUE"""),10.0)</f>
        <v>10</v>
      </c>
      <c r="G63" s="128">
        <f>IFERROR(__xludf.DUMMYFUNCTION("""COMPUTED_VALUE"""),76.0)</f>
        <v>76</v>
      </c>
      <c r="H63" s="128">
        <f>IFERROR(__xludf.DUMMYFUNCTION("""COMPUTED_VALUE"""),86.0)</f>
        <v>86</v>
      </c>
      <c r="I63" s="122"/>
      <c r="J63" s="122"/>
      <c r="K63" s="122" t="str">
        <f>IFERROR(__xludf.DUMMYFUNCTION("""COMPUTED_VALUE"""),"On-time attendance reward")</f>
        <v>On-time attendance reward</v>
      </c>
      <c r="L63" s="122" t="str">
        <f>IFERROR(__xludf.DUMMYFUNCTION("""COMPUTED_VALUE"""),"Success")</f>
        <v>Success</v>
      </c>
    </row>
    <row r="64">
      <c r="A64" s="129">
        <f>IFERROR(__xludf.DUMMYFUNCTION("""COMPUTED_VALUE"""),46175.355833333335)</f>
        <v>46175.35583</v>
      </c>
      <c r="B64" s="126">
        <f>IFERROR(__xludf.DUMMYFUNCTION("""COMPUTED_VALUE"""),46175.0)</f>
        <v>46175</v>
      </c>
      <c r="C64" s="122" t="str">
        <f>IFERROR(__xludf.DUMMYFUNCTION("""COMPUTED_VALUE"""),"9a5f2811")</f>
        <v>9a5f2811</v>
      </c>
      <c r="D64" s="122" t="str">
        <f>IFERROR(__xludf.DUMMYFUNCTION("""COMPUTED_VALUE"""),"Junyoung Yoo")</f>
        <v>Junyoung Yoo</v>
      </c>
      <c r="E64" s="122" t="str">
        <f>IFERROR(__xludf.DUMMYFUNCTION("""COMPUTED_VALUE"""),"REWARD")</f>
        <v>REWARD</v>
      </c>
      <c r="F64" s="128">
        <f>IFERROR(__xludf.DUMMYFUNCTION("""COMPUTED_VALUE"""),10.0)</f>
        <v>10</v>
      </c>
      <c r="G64" s="128">
        <f>IFERROR(__xludf.DUMMYFUNCTION("""COMPUTED_VALUE"""),40.0)</f>
        <v>40</v>
      </c>
      <c r="H64" s="128">
        <f>IFERROR(__xludf.DUMMYFUNCTION("""COMPUTED_VALUE"""),50.0)</f>
        <v>50</v>
      </c>
      <c r="I64" s="122"/>
      <c r="J64" s="122"/>
      <c r="K64" s="122" t="str">
        <f>IFERROR(__xludf.DUMMYFUNCTION("""COMPUTED_VALUE"""),"On-time attendance reward")</f>
        <v>On-time attendance reward</v>
      </c>
      <c r="L64" s="122" t="str">
        <f>IFERROR(__xludf.DUMMYFUNCTION("""COMPUTED_VALUE"""),"Success")</f>
        <v>Success</v>
      </c>
    </row>
    <row r="65">
      <c r="A65" s="129">
        <f>IFERROR(__xludf.DUMMYFUNCTION("""COMPUTED_VALUE"""),46175.3559837963)</f>
        <v>46175.35598</v>
      </c>
      <c r="B65" s="126">
        <f>IFERROR(__xludf.DUMMYFUNCTION("""COMPUTED_VALUE"""),46175.0)</f>
        <v>46175</v>
      </c>
      <c r="C65" s="122" t="str">
        <f>IFERROR(__xludf.DUMMYFUNCTION("""COMPUTED_VALUE"""),"1e3e1410")</f>
        <v>1e3e1410</v>
      </c>
      <c r="D65" s="122" t="str">
        <f>IFERROR(__xludf.DUMMYFUNCTION("""COMPUTED_VALUE"""),"Junjae Park")</f>
        <v>Junjae Park</v>
      </c>
      <c r="E65" s="122" t="str">
        <f>IFERROR(__xludf.DUMMYFUNCTION("""COMPUTED_VALUE"""),"REWARD")</f>
        <v>REWARD</v>
      </c>
      <c r="F65" s="128">
        <f>IFERROR(__xludf.DUMMYFUNCTION("""COMPUTED_VALUE"""),10.0)</f>
        <v>10</v>
      </c>
      <c r="G65" s="128">
        <f>IFERROR(__xludf.DUMMYFUNCTION("""COMPUTED_VALUE"""),0.0)</f>
        <v>0</v>
      </c>
      <c r="H65" s="128">
        <f>IFERROR(__xludf.DUMMYFUNCTION("""COMPUTED_VALUE"""),10.0)</f>
        <v>10</v>
      </c>
      <c r="I65" s="122"/>
      <c r="J65" s="122"/>
      <c r="K65" s="122" t="str">
        <f>IFERROR(__xludf.DUMMYFUNCTION("""COMPUTED_VALUE"""),"On-time attendance reward")</f>
        <v>On-time attendance reward</v>
      </c>
      <c r="L65" s="122" t="str">
        <f>IFERROR(__xludf.DUMMYFUNCTION("""COMPUTED_VALUE"""),"Success")</f>
        <v>Success</v>
      </c>
    </row>
    <row r="66">
      <c r="A66" s="129">
        <f>IFERROR(__xludf.DUMMYFUNCTION("""COMPUTED_VALUE"""),46175.35627314815)</f>
        <v>46175.35627</v>
      </c>
      <c r="B66" s="126">
        <f>IFERROR(__xludf.DUMMYFUNCTION("""COMPUTED_VALUE"""),46175.0)</f>
        <v>46175</v>
      </c>
      <c r="C66" s="122" t="str">
        <f>IFERROR(__xludf.DUMMYFUNCTION("""COMPUTED_VALUE"""),"ba353911")</f>
        <v>ba353911</v>
      </c>
      <c r="D66" s="122" t="str">
        <f>IFERROR(__xludf.DUMMYFUNCTION("""COMPUTED_VALUE"""),"Dayeon Kang")</f>
        <v>Dayeon Kang</v>
      </c>
      <c r="E66" s="122" t="str">
        <f>IFERROR(__xludf.DUMMYFUNCTION("""COMPUTED_VALUE"""),"REWARD")</f>
        <v>REWARD</v>
      </c>
      <c r="F66" s="128">
        <f>IFERROR(__xludf.DUMMYFUNCTION("""COMPUTED_VALUE"""),10.0)</f>
        <v>10</v>
      </c>
      <c r="G66" s="128">
        <f>IFERROR(__xludf.DUMMYFUNCTION("""COMPUTED_VALUE"""),30.0)</f>
        <v>30</v>
      </c>
      <c r="H66" s="128">
        <f>IFERROR(__xludf.DUMMYFUNCTION("""COMPUTED_VALUE"""),40.0)</f>
        <v>40</v>
      </c>
      <c r="I66" s="122"/>
      <c r="J66" s="122"/>
      <c r="K66" s="122" t="str">
        <f>IFERROR(__xludf.DUMMYFUNCTION("""COMPUTED_VALUE"""),"On-time attendance reward")</f>
        <v>On-time attendance reward</v>
      </c>
      <c r="L66" s="122" t="str">
        <f>IFERROR(__xludf.DUMMYFUNCTION("""COMPUTED_VALUE"""),"Success")</f>
        <v>Success</v>
      </c>
    </row>
    <row r="67">
      <c r="A67" s="129">
        <f>IFERROR(__xludf.DUMMYFUNCTION("""COMPUTED_VALUE"""),46175.357569444444)</f>
        <v>46175.35757</v>
      </c>
      <c r="B67" s="126">
        <f>IFERROR(__xludf.DUMMYFUNCTION("""COMPUTED_VALUE"""),46175.0)</f>
        <v>46175</v>
      </c>
      <c r="C67" s="122" t="str">
        <f>IFERROR(__xludf.DUMMYFUNCTION("""COMPUTED_VALUE"""),"5a032611")</f>
        <v>5a032611</v>
      </c>
      <c r="D67" s="122" t="str">
        <f>IFERROR(__xludf.DUMMYFUNCTION("""COMPUTED_VALUE"""),"Harold Dou")</f>
        <v>Harold Dou</v>
      </c>
      <c r="E67" s="122" t="str">
        <f>IFERROR(__xludf.DUMMYFUNCTION("""COMPUTED_VALUE"""),"REWARD")</f>
        <v>REWARD</v>
      </c>
      <c r="F67" s="128">
        <f>IFERROR(__xludf.DUMMYFUNCTION("""COMPUTED_VALUE"""),10.0)</f>
        <v>10</v>
      </c>
      <c r="G67" s="128">
        <f>IFERROR(__xludf.DUMMYFUNCTION("""COMPUTED_VALUE"""),40.0)</f>
        <v>40</v>
      </c>
      <c r="H67" s="128">
        <f>IFERROR(__xludf.DUMMYFUNCTION("""COMPUTED_VALUE"""),50.0)</f>
        <v>50</v>
      </c>
      <c r="I67" s="122"/>
      <c r="J67" s="122"/>
      <c r="K67" s="122" t="str">
        <f>IFERROR(__xludf.DUMMYFUNCTION("""COMPUTED_VALUE"""),"On-time attendance reward")</f>
        <v>On-time attendance reward</v>
      </c>
      <c r="L67" s="122" t="str">
        <f>IFERROR(__xludf.DUMMYFUNCTION("""COMPUTED_VALUE"""),"Success")</f>
        <v>Success</v>
      </c>
    </row>
    <row r="68">
      <c r="A68" s="129">
        <f>IFERROR(__xludf.DUMMYFUNCTION("""COMPUTED_VALUE"""),46175.357719907406)</f>
        <v>46175.35772</v>
      </c>
      <c r="B68" s="126">
        <f>IFERROR(__xludf.DUMMYFUNCTION("""COMPUTED_VALUE"""),46175.0)</f>
        <v>46175</v>
      </c>
      <c r="C68" s="122" t="str">
        <f>IFERROR(__xludf.DUMMYFUNCTION("""COMPUTED_VALUE"""),"7c4e261e")</f>
        <v>7c4e261e</v>
      </c>
      <c r="D68" s="122" t="str">
        <f>IFERROR(__xludf.DUMMYFUNCTION("""COMPUTED_VALUE"""),"Suha Lee")</f>
        <v>Suha Lee</v>
      </c>
      <c r="E68" s="122" t="str">
        <f>IFERROR(__xludf.DUMMYFUNCTION("""COMPUTED_VALUE"""),"REWARD")</f>
        <v>REWARD</v>
      </c>
      <c r="F68" s="128">
        <f>IFERROR(__xludf.DUMMYFUNCTION("""COMPUTED_VALUE"""),10.0)</f>
        <v>10</v>
      </c>
      <c r="G68" s="128">
        <f>IFERROR(__xludf.DUMMYFUNCTION("""COMPUTED_VALUE"""),70.0)</f>
        <v>70</v>
      </c>
      <c r="H68" s="128">
        <f>IFERROR(__xludf.DUMMYFUNCTION("""COMPUTED_VALUE"""),80.0)</f>
        <v>80</v>
      </c>
      <c r="I68" s="122"/>
      <c r="J68" s="122"/>
      <c r="K68" s="122" t="str">
        <f>IFERROR(__xludf.DUMMYFUNCTION("""COMPUTED_VALUE"""),"On-time attendance reward")</f>
        <v>On-time attendance reward</v>
      </c>
      <c r="L68" s="122" t="str">
        <f>IFERROR(__xludf.DUMMYFUNCTION("""COMPUTED_VALUE"""),"Success")</f>
        <v>Success</v>
      </c>
    </row>
    <row r="69">
      <c r="A69" s="129">
        <f>IFERROR(__xludf.DUMMYFUNCTION("""COMPUTED_VALUE"""),46175.37443287037)</f>
        <v>46175.37443</v>
      </c>
      <c r="B69" s="126">
        <f>IFERROR(__xludf.DUMMYFUNCTION("""COMPUTED_VALUE"""),46175.0)</f>
        <v>46175</v>
      </c>
      <c r="C69" s="122" t="str">
        <f>IFERROR(__xludf.DUMMYFUNCTION("""COMPUTED_VALUE"""),"ba0fc5c4")</f>
        <v>ba0fc5c4</v>
      </c>
      <c r="D69" s="122" t="str">
        <f>IFERROR(__xludf.DUMMYFUNCTION("""COMPUTED_VALUE"""),"Junwoo Kang")</f>
        <v>Junwoo Kang</v>
      </c>
      <c r="E69" s="122" t="str">
        <f>IFERROR(__xludf.DUMMYFUNCTION("""COMPUTED_VALUE"""),"FINE")</f>
        <v>FINE</v>
      </c>
      <c r="F69" s="128">
        <f>IFERROR(__xludf.DUMMYFUNCTION("""COMPUTED_VALUE"""),10.0)</f>
        <v>10</v>
      </c>
      <c r="G69" s="128">
        <f>IFERROR(__xludf.DUMMYFUNCTION("""COMPUTED_VALUE"""),0.0)</f>
        <v>0</v>
      </c>
      <c r="H69" s="128">
        <f>IFERROR(__xludf.DUMMYFUNCTION("""COMPUTED_VALUE"""),0.0)</f>
        <v>0</v>
      </c>
      <c r="I69" s="122"/>
      <c r="J69" s="122"/>
      <c r="K69" s="122" t="str">
        <f>IFERROR(__xludf.DUMMYFUNCTION("""COMPUTED_VALUE"""),"Late attendance penalty")</f>
        <v>Late attendance penalty</v>
      </c>
      <c r="L69" s="122" t="str">
        <f>IFERROR(__xludf.DUMMYFUNCTION("""COMPUTED_VALUE"""),"Denied - insufficient balance")</f>
        <v>Denied - insufficient balance</v>
      </c>
    </row>
    <row r="70">
      <c r="A70" s="129">
        <f>IFERROR(__xludf.DUMMYFUNCTION("""COMPUTED_VALUE"""),46177.34890046297)</f>
        <v>46177.3489</v>
      </c>
      <c r="B70" s="126">
        <f>IFERROR(__xludf.DUMMYFUNCTION("""COMPUTED_VALUE"""),46177.0)</f>
        <v>46177</v>
      </c>
      <c r="C70" s="122" t="str">
        <f>IFERROR(__xludf.DUMMYFUNCTION("""COMPUTED_VALUE"""),"babde4c4")</f>
        <v>babde4c4</v>
      </c>
      <c r="D70" s="122" t="str">
        <f>IFERROR(__xludf.DUMMYFUNCTION("""COMPUTED_VALUE"""),"Ashley Guk")</f>
        <v>Ashley Guk</v>
      </c>
      <c r="E70" s="122" t="str">
        <f>IFERROR(__xludf.DUMMYFUNCTION("""COMPUTED_VALUE"""),"REWARD")</f>
        <v>REWARD</v>
      </c>
      <c r="F70" s="128">
        <f>IFERROR(__xludf.DUMMYFUNCTION("""COMPUTED_VALUE"""),10.0)</f>
        <v>10</v>
      </c>
      <c r="G70" s="128">
        <f>IFERROR(__xludf.DUMMYFUNCTION("""COMPUTED_VALUE"""),86.0)</f>
        <v>86</v>
      </c>
      <c r="H70" s="128">
        <f>IFERROR(__xludf.DUMMYFUNCTION("""COMPUTED_VALUE"""),96.0)</f>
        <v>96</v>
      </c>
      <c r="I70" s="122"/>
      <c r="J70" s="122"/>
      <c r="K70" s="122" t="str">
        <f>IFERROR(__xludf.DUMMYFUNCTION("""COMPUTED_VALUE"""),"On-time attendance reward")</f>
        <v>On-time attendance reward</v>
      </c>
      <c r="L70" s="122" t="str">
        <f>IFERROR(__xludf.DUMMYFUNCTION("""COMPUTED_VALUE"""),"Success")</f>
        <v>Success</v>
      </c>
    </row>
    <row r="71">
      <c r="A71" s="129">
        <f>IFERROR(__xludf.DUMMYFUNCTION("""COMPUTED_VALUE"""),46177.3490625)</f>
        <v>46177.34906</v>
      </c>
      <c r="B71" s="126">
        <f>IFERROR(__xludf.DUMMYFUNCTION("""COMPUTED_VALUE"""),46177.0)</f>
        <v>46177</v>
      </c>
      <c r="C71" s="122" t="str">
        <f>IFERROR(__xludf.DUMMYFUNCTION("""COMPUTED_VALUE"""),"ae072910")</f>
        <v>ae072910</v>
      </c>
      <c r="D71" s="122" t="str">
        <f>IFERROR(__xludf.DUMMYFUNCTION("""COMPUTED_VALUE"""),"Selena Jung")</f>
        <v>Selena Jung</v>
      </c>
      <c r="E71" s="122" t="str">
        <f>IFERROR(__xludf.DUMMYFUNCTION("""COMPUTED_VALUE"""),"REWARD")</f>
        <v>REWARD</v>
      </c>
      <c r="F71" s="128">
        <f>IFERROR(__xludf.DUMMYFUNCTION("""COMPUTED_VALUE"""),10.0)</f>
        <v>10</v>
      </c>
      <c r="G71" s="128">
        <f>IFERROR(__xludf.DUMMYFUNCTION("""COMPUTED_VALUE"""),30.0)</f>
        <v>30</v>
      </c>
      <c r="H71" s="128">
        <f>IFERROR(__xludf.DUMMYFUNCTION("""COMPUTED_VALUE"""),40.0)</f>
        <v>40</v>
      </c>
      <c r="I71" s="122"/>
      <c r="J71" s="122"/>
      <c r="K71" s="122" t="str">
        <f>IFERROR(__xludf.DUMMYFUNCTION("""COMPUTED_VALUE"""),"On-time attendance reward")</f>
        <v>On-time attendance reward</v>
      </c>
      <c r="L71" s="122" t="str">
        <f>IFERROR(__xludf.DUMMYFUNCTION("""COMPUTED_VALUE"""),"Success")</f>
        <v>Success</v>
      </c>
    </row>
    <row r="72">
      <c r="A72" s="129">
        <f>IFERROR(__xludf.DUMMYFUNCTION("""COMPUTED_VALUE"""),46177.349699074075)</f>
        <v>46177.3497</v>
      </c>
      <c r="B72" s="126">
        <f>IFERROR(__xludf.DUMMYFUNCTION("""COMPUTED_VALUE"""),46177.0)</f>
        <v>46177</v>
      </c>
      <c r="C72" s="122" t="str">
        <f>IFERROR(__xludf.DUMMYFUNCTION("""COMPUTED_VALUE"""),"dc04eef4")</f>
        <v>dc04eef4</v>
      </c>
      <c r="D72" s="122" t="str">
        <f>IFERROR(__xludf.DUMMYFUNCTION("""COMPUTED_VALUE"""),"Joshua Jung")</f>
        <v>Joshua Jung</v>
      </c>
      <c r="E72" s="122" t="str">
        <f>IFERROR(__xludf.DUMMYFUNCTION("""COMPUTED_VALUE"""),"REWARD")</f>
        <v>REWARD</v>
      </c>
      <c r="F72" s="128">
        <f>IFERROR(__xludf.DUMMYFUNCTION("""COMPUTED_VALUE"""),10.0)</f>
        <v>10</v>
      </c>
      <c r="G72" s="128">
        <f>IFERROR(__xludf.DUMMYFUNCTION("""COMPUTED_VALUE"""),80.0)</f>
        <v>80</v>
      </c>
      <c r="H72" s="128">
        <f>IFERROR(__xludf.DUMMYFUNCTION("""COMPUTED_VALUE"""),90.0)</f>
        <v>90</v>
      </c>
      <c r="I72" s="122"/>
      <c r="J72" s="122"/>
      <c r="K72" s="122" t="str">
        <f>IFERROR(__xludf.DUMMYFUNCTION("""COMPUTED_VALUE"""),"On-time attendance reward")</f>
        <v>On-time attendance reward</v>
      </c>
      <c r="L72" s="122" t="str">
        <f>IFERROR(__xludf.DUMMYFUNCTION("""COMPUTED_VALUE"""),"Success")</f>
        <v>Success</v>
      </c>
    </row>
    <row r="73">
      <c r="A73" s="129">
        <f>IFERROR(__xludf.DUMMYFUNCTION("""COMPUTED_VALUE"""),46177.34989583334)</f>
        <v>46177.3499</v>
      </c>
      <c r="B73" s="126">
        <f>IFERROR(__xludf.DUMMYFUNCTION("""COMPUTED_VALUE"""),46177.0)</f>
        <v>46177</v>
      </c>
      <c r="C73" s="122" t="str">
        <f>IFERROR(__xludf.DUMMYFUNCTION("""COMPUTED_VALUE"""),"5c07fef4")</f>
        <v>5c07fef4</v>
      </c>
      <c r="D73" s="122" t="str">
        <f>IFERROR(__xludf.DUMMYFUNCTION("""COMPUTED_VALUE"""),"Tiffany Kim")</f>
        <v>Tiffany Kim</v>
      </c>
      <c r="E73" s="122" t="str">
        <f>IFERROR(__xludf.DUMMYFUNCTION("""COMPUTED_VALUE"""),"REWARD")</f>
        <v>REWARD</v>
      </c>
      <c r="F73" s="128">
        <f>IFERROR(__xludf.DUMMYFUNCTION("""COMPUTED_VALUE"""),10.0)</f>
        <v>10</v>
      </c>
      <c r="G73" s="128">
        <f>IFERROR(__xludf.DUMMYFUNCTION("""COMPUTED_VALUE"""),60.0)</f>
        <v>60</v>
      </c>
      <c r="H73" s="128">
        <f>IFERROR(__xludf.DUMMYFUNCTION("""COMPUTED_VALUE"""),70.0)</f>
        <v>70</v>
      </c>
      <c r="I73" s="122"/>
      <c r="J73" s="122"/>
      <c r="K73" s="122" t="str">
        <f>IFERROR(__xludf.DUMMYFUNCTION("""COMPUTED_VALUE"""),"On-time attendance reward")</f>
        <v>On-time attendance reward</v>
      </c>
      <c r="L73" s="122" t="str">
        <f>IFERROR(__xludf.DUMMYFUNCTION("""COMPUTED_VALUE"""),"Success")</f>
        <v>Success</v>
      </c>
    </row>
    <row r="74">
      <c r="A74" s="129">
        <f>IFERROR(__xludf.DUMMYFUNCTION("""COMPUTED_VALUE"""),46177.35613425926)</f>
        <v>46177.35613</v>
      </c>
      <c r="B74" s="126">
        <f>IFERROR(__xludf.DUMMYFUNCTION("""COMPUTED_VALUE"""),46177.0)</f>
        <v>46177</v>
      </c>
      <c r="C74" s="122" t="str">
        <f>IFERROR(__xludf.DUMMYFUNCTION("""COMPUTED_VALUE"""),"ba912211")</f>
        <v>ba912211</v>
      </c>
      <c r="D74" s="122" t="str">
        <f>IFERROR(__xludf.DUMMYFUNCTION("""COMPUTED_VALUE"""),"Daisy Dou")</f>
        <v>Daisy Dou</v>
      </c>
      <c r="E74" s="122" t="str">
        <f>IFERROR(__xludf.DUMMYFUNCTION("""COMPUTED_VALUE"""),"REWARD")</f>
        <v>REWARD</v>
      </c>
      <c r="F74" s="128">
        <f>IFERROR(__xludf.DUMMYFUNCTION("""COMPUTED_VALUE"""),10.0)</f>
        <v>10</v>
      </c>
      <c r="G74" s="128">
        <f>IFERROR(__xludf.DUMMYFUNCTION("""COMPUTED_VALUE"""),131.0)</f>
        <v>131</v>
      </c>
      <c r="H74" s="128">
        <f>IFERROR(__xludf.DUMMYFUNCTION("""COMPUTED_VALUE"""),141.0)</f>
        <v>141</v>
      </c>
      <c r="I74" s="122"/>
      <c r="J74" s="122"/>
      <c r="K74" s="122" t="str">
        <f>IFERROR(__xludf.DUMMYFUNCTION("""COMPUTED_VALUE"""),"On-time attendance reward")</f>
        <v>On-time attendance reward</v>
      </c>
      <c r="L74" s="122" t="str">
        <f>IFERROR(__xludf.DUMMYFUNCTION("""COMPUTED_VALUE"""),"Success")</f>
        <v>Success</v>
      </c>
    </row>
    <row r="75">
      <c r="A75" s="129">
        <f>IFERROR(__xludf.DUMMYFUNCTION("""COMPUTED_VALUE"""),46177.35655092593)</f>
        <v>46177.35655</v>
      </c>
      <c r="B75" s="126">
        <f>IFERROR(__xludf.DUMMYFUNCTION("""COMPUTED_VALUE"""),46177.0)</f>
        <v>46177</v>
      </c>
      <c r="C75" s="122" t="str">
        <f>IFERROR(__xludf.DUMMYFUNCTION("""COMPUTED_VALUE"""),"7c4e261e")</f>
        <v>7c4e261e</v>
      </c>
      <c r="D75" s="122" t="str">
        <f>IFERROR(__xludf.DUMMYFUNCTION("""COMPUTED_VALUE"""),"Suha Lee")</f>
        <v>Suha Lee</v>
      </c>
      <c r="E75" s="122" t="str">
        <f>IFERROR(__xludf.DUMMYFUNCTION("""COMPUTED_VALUE"""),"REWARD")</f>
        <v>REWARD</v>
      </c>
      <c r="F75" s="128">
        <f>IFERROR(__xludf.DUMMYFUNCTION("""COMPUTED_VALUE"""),10.0)</f>
        <v>10</v>
      </c>
      <c r="G75" s="128">
        <f>IFERROR(__xludf.DUMMYFUNCTION("""COMPUTED_VALUE"""),80.0)</f>
        <v>80</v>
      </c>
      <c r="H75" s="128">
        <f>IFERROR(__xludf.DUMMYFUNCTION("""COMPUTED_VALUE"""),90.0)</f>
        <v>90</v>
      </c>
      <c r="I75" s="122"/>
      <c r="J75" s="122"/>
      <c r="K75" s="122" t="str">
        <f>IFERROR(__xludf.DUMMYFUNCTION("""COMPUTED_VALUE"""),"On-time attendance reward")</f>
        <v>On-time attendance reward</v>
      </c>
      <c r="L75" s="122" t="str">
        <f>IFERROR(__xludf.DUMMYFUNCTION("""COMPUTED_VALUE"""),"Success")</f>
        <v>Success</v>
      </c>
    </row>
    <row r="76">
      <c r="A76" s="129">
        <f>IFERROR(__xludf.DUMMYFUNCTION("""COMPUTED_VALUE"""),46177.35769675926)</f>
        <v>46177.3577</v>
      </c>
      <c r="B76" s="126">
        <f>IFERROR(__xludf.DUMMYFUNCTION("""COMPUTED_VALUE"""),46177.0)</f>
        <v>46177</v>
      </c>
      <c r="C76" s="122" t="str">
        <f>IFERROR(__xludf.DUMMYFUNCTION("""COMPUTED_VALUE"""),"1e3e1410")</f>
        <v>1e3e1410</v>
      </c>
      <c r="D76" s="122" t="str">
        <f>IFERROR(__xludf.DUMMYFUNCTION("""COMPUTED_VALUE"""),"Junjae Park")</f>
        <v>Junjae Park</v>
      </c>
      <c r="E76" s="122" t="str">
        <f>IFERROR(__xludf.DUMMYFUNCTION("""COMPUTED_VALUE"""),"REWARD")</f>
        <v>REWARD</v>
      </c>
      <c r="F76" s="128">
        <f>IFERROR(__xludf.DUMMYFUNCTION("""COMPUTED_VALUE"""),10.0)</f>
        <v>10</v>
      </c>
      <c r="G76" s="128">
        <f>IFERROR(__xludf.DUMMYFUNCTION("""COMPUTED_VALUE"""),10.0)</f>
        <v>10</v>
      </c>
      <c r="H76" s="128">
        <f>IFERROR(__xludf.DUMMYFUNCTION("""COMPUTED_VALUE"""),20.0)</f>
        <v>20</v>
      </c>
      <c r="I76" s="122"/>
      <c r="J76" s="122"/>
      <c r="K76" s="122" t="str">
        <f>IFERROR(__xludf.DUMMYFUNCTION("""COMPUTED_VALUE"""),"On-time attendance reward")</f>
        <v>On-time attendance reward</v>
      </c>
      <c r="L76" s="122" t="str">
        <f>IFERROR(__xludf.DUMMYFUNCTION("""COMPUTED_VALUE"""),"Success")</f>
        <v>Success</v>
      </c>
    </row>
    <row r="77">
      <c r="A77" s="129">
        <f>IFERROR(__xludf.DUMMYFUNCTION("""COMPUTED_VALUE"""),46177.35804398148)</f>
        <v>46177.35804</v>
      </c>
      <c r="B77" s="126">
        <f>IFERROR(__xludf.DUMMYFUNCTION("""COMPUTED_VALUE"""),46177.0)</f>
        <v>46177</v>
      </c>
      <c r="C77" s="122" t="str">
        <f>IFERROR(__xludf.DUMMYFUNCTION("""COMPUTED_VALUE"""),"5a032611")</f>
        <v>5a032611</v>
      </c>
      <c r="D77" s="122" t="str">
        <f>IFERROR(__xludf.DUMMYFUNCTION("""COMPUTED_VALUE"""),"Harold Dou")</f>
        <v>Harold Dou</v>
      </c>
      <c r="E77" s="122" t="str">
        <f>IFERROR(__xludf.DUMMYFUNCTION("""COMPUTED_VALUE"""),"REWARD")</f>
        <v>REWARD</v>
      </c>
      <c r="F77" s="128">
        <f>IFERROR(__xludf.DUMMYFUNCTION("""COMPUTED_VALUE"""),10.0)</f>
        <v>10</v>
      </c>
      <c r="G77" s="128">
        <f>IFERROR(__xludf.DUMMYFUNCTION("""COMPUTED_VALUE"""),50.0)</f>
        <v>50</v>
      </c>
      <c r="H77" s="128">
        <f>IFERROR(__xludf.DUMMYFUNCTION("""COMPUTED_VALUE"""),60.0)</f>
        <v>60</v>
      </c>
      <c r="I77" s="122"/>
      <c r="J77" s="122"/>
      <c r="K77" s="122" t="str">
        <f>IFERROR(__xludf.DUMMYFUNCTION("""COMPUTED_VALUE"""),"On-time attendance reward")</f>
        <v>On-time attendance reward</v>
      </c>
      <c r="L77" s="122" t="str">
        <f>IFERROR(__xludf.DUMMYFUNCTION("""COMPUTED_VALUE"""),"Success")</f>
        <v>Success</v>
      </c>
    </row>
    <row r="78">
      <c r="A78" s="129">
        <f>IFERROR(__xludf.DUMMYFUNCTION("""COMPUTED_VALUE"""),46177.35815972222)</f>
        <v>46177.35816</v>
      </c>
      <c r="B78" s="126">
        <f>IFERROR(__xludf.DUMMYFUNCTION("""COMPUTED_VALUE"""),46177.0)</f>
        <v>46177</v>
      </c>
      <c r="C78" s="122" t="str">
        <f>IFERROR(__xludf.DUMMYFUNCTION("""COMPUTED_VALUE"""),"9a5f2811")</f>
        <v>9a5f2811</v>
      </c>
      <c r="D78" s="122" t="str">
        <f>IFERROR(__xludf.DUMMYFUNCTION("""COMPUTED_VALUE"""),"Junyoung Yoo")</f>
        <v>Junyoung Yoo</v>
      </c>
      <c r="E78" s="122" t="str">
        <f>IFERROR(__xludf.DUMMYFUNCTION("""COMPUTED_VALUE"""),"REWARD")</f>
        <v>REWARD</v>
      </c>
      <c r="F78" s="128">
        <f>IFERROR(__xludf.DUMMYFUNCTION("""COMPUTED_VALUE"""),10.0)</f>
        <v>10</v>
      </c>
      <c r="G78" s="128">
        <f>IFERROR(__xludf.DUMMYFUNCTION("""COMPUTED_VALUE"""),50.0)</f>
        <v>50</v>
      </c>
      <c r="H78" s="128">
        <f>IFERROR(__xludf.DUMMYFUNCTION("""COMPUTED_VALUE"""),60.0)</f>
        <v>60</v>
      </c>
      <c r="I78" s="122"/>
      <c r="J78" s="122"/>
      <c r="K78" s="122" t="str">
        <f>IFERROR(__xludf.DUMMYFUNCTION("""COMPUTED_VALUE"""),"On-time attendance reward")</f>
        <v>On-time attendance reward</v>
      </c>
      <c r="L78" s="122" t="str">
        <f>IFERROR(__xludf.DUMMYFUNCTION("""COMPUTED_VALUE"""),"Success")</f>
        <v>Success</v>
      </c>
    </row>
    <row r="79">
      <c r="A79" s="129">
        <f>IFERROR(__xludf.DUMMYFUNCTION("""COMPUTED_VALUE"""),46177.3590625)</f>
        <v>46177.35906</v>
      </c>
      <c r="B79" s="126">
        <f>IFERROR(__xludf.DUMMYFUNCTION("""COMPUTED_VALUE"""),46177.0)</f>
        <v>46177</v>
      </c>
      <c r="C79" s="122" t="str">
        <f>IFERROR(__xludf.DUMMYFUNCTION("""COMPUTED_VALUE"""),"ba353911")</f>
        <v>ba353911</v>
      </c>
      <c r="D79" s="122" t="str">
        <f>IFERROR(__xludf.DUMMYFUNCTION("""COMPUTED_VALUE"""),"Dayeon Kang")</f>
        <v>Dayeon Kang</v>
      </c>
      <c r="E79" s="122" t="str">
        <f>IFERROR(__xludf.DUMMYFUNCTION("""COMPUTED_VALUE"""),"FINE")</f>
        <v>FINE</v>
      </c>
      <c r="F79" s="128">
        <f>IFERROR(__xludf.DUMMYFUNCTION("""COMPUTED_VALUE"""),10.0)</f>
        <v>10</v>
      </c>
      <c r="G79" s="128">
        <f>IFERROR(__xludf.DUMMYFUNCTION("""COMPUTED_VALUE"""),40.0)</f>
        <v>40</v>
      </c>
      <c r="H79" s="128">
        <f>IFERROR(__xludf.DUMMYFUNCTION("""COMPUTED_VALUE"""),30.0)</f>
        <v>30</v>
      </c>
      <c r="I79" s="122"/>
      <c r="J79" s="122"/>
      <c r="K79" s="122" t="str">
        <f>IFERROR(__xludf.DUMMYFUNCTION("""COMPUTED_VALUE"""),"Late attendance penalty")</f>
        <v>Late attendance penalty</v>
      </c>
      <c r="L79" s="122" t="str">
        <f>IFERROR(__xludf.DUMMYFUNCTION("""COMPUTED_VALUE"""),"Success")</f>
        <v>Success</v>
      </c>
    </row>
    <row r="80">
      <c r="A80" s="129">
        <f>IFERROR(__xludf.DUMMYFUNCTION("""COMPUTED_VALUE"""),46177.36456018518)</f>
        <v>46177.36456</v>
      </c>
      <c r="B80" s="126">
        <f>IFERROR(__xludf.DUMMYFUNCTION("""COMPUTED_VALUE"""),46177.0)</f>
        <v>46177</v>
      </c>
      <c r="C80" s="122" t="str">
        <f>IFERROR(__xludf.DUMMYFUNCTION("""COMPUTED_VALUE"""),"ba0fc5c4")</f>
        <v>ba0fc5c4</v>
      </c>
      <c r="D80" s="122" t="str">
        <f>IFERROR(__xludf.DUMMYFUNCTION("""COMPUTED_VALUE"""),"Junwoo Kang")</f>
        <v>Junwoo Kang</v>
      </c>
      <c r="E80" s="122" t="str">
        <f>IFERROR(__xludf.DUMMYFUNCTION("""COMPUTED_VALUE"""),"FINE")</f>
        <v>FINE</v>
      </c>
      <c r="F80" s="128">
        <f>IFERROR(__xludf.DUMMYFUNCTION("""COMPUTED_VALUE"""),10.0)</f>
        <v>10</v>
      </c>
      <c r="G80" s="128">
        <f>IFERROR(__xludf.DUMMYFUNCTION("""COMPUTED_VALUE"""),0.0)</f>
        <v>0</v>
      </c>
      <c r="H80" s="128">
        <f>IFERROR(__xludf.DUMMYFUNCTION("""COMPUTED_VALUE"""),0.0)</f>
        <v>0</v>
      </c>
      <c r="I80" s="122"/>
      <c r="J80" s="122"/>
      <c r="K80" s="122" t="str">
        <f>IFERROR(__xludf.DUMMYFUNCTION("""COMPUTED_VALUE"""),"Late attendance penalty")</f>
        <v>Late attendance penalty</v>
      </c>
      <c r="L80" s="122" t="str">
        <f>IFERROR(__xludf.DUMMYFUNCTION("""COMPUTED_VALUE"""),"Denied - insufficient balance")</f>
        <v>Denied - insufficient balance</v>
      </c>
    </row>
    <row r="81">
      <c r="A81" s="129">
        <f>IFERROR(__xludf.DUMMYFUNCTION("""COMPUTED_VALUE"""),46178.34515046296)</f>
        <v>46178.34515</v>
      </c>
      <c r="B81" s="126">
        <f>IFERROR(__xludf.DUMMYFUNCTION("""COMPUTED_VALUE"""),46178.0)</f>
        <v>46178</v>
      </c>
      <c r="C81" s="122" t="str">
        <f>IFERROR(__xludf.DUMMYFUNCTION("""COMPUTED_VALUE"""),"ba912211")</f>
        <v>ba912211</v>
      </c>
      <c r="D81" s="122" t="str">
        <f>IFERROR(__xludf.DUMMYFUNCTION("""COMPUTED_VALUE"""),"Daisy Dou")</f>
        <v>Daisy Dou</v>
      </c>
      <c r="E81" s="122" t="str">
        <f>IFERROR(__xludf.DUMMYFUNCTION("""COMPUTED_VALUE"""),"REWARD")</f>
        <v>REWARD</v>
      </c>
      <c r="F81" s="128">
        <f>IFERROR(__xludf.DUMMYFUNCTION("""COMPUTED_VALUE"""),10.0)</f>
        <v>10</v>
      </c>
      <c r="G81" s="128">
        <f>IFERROR(__xludf.DUMMYFUNCTION("""COMPUTED_VALUE"""),141.0)</f>
        <v>141</v>
      </c>
      <c r="H81" s="128">
        <f>IFERROR(__xludf.DUMMYFUNCTION("""COMPUTED_VALUE"""),151.0)</f>
        <v>151</v>
      </c>
      <c r="I81" s="122"/>
      <c r="J81" s="122"/>
      <c r="K81" s="122" t="str">
        <f>IFERROR(__xludf.DUMMYFUNCTION("""COMPUTED_VALUE"""),"On-time attendance reward")</f>
        <v>On-time attendance reward</v>
      </c>
      <c r="L81" s="122" t="str">
        <f>IFERROR(__xludf.DUMMYFUNCTION("""COMPUTED_VALUE"""),"Success")</f>
        <v>Success</v>
      </c>
    </row>
    <row r="82">
      <c r="A82" s="129">
        <f>IFERROR(__xludf.DUMMYFUNCTION("""COMPUTED_VALUE"""),46178.34532407407)</f>
        <v>46178.34532</v>
      </c>
      <c r="B82" s="126">
        <f>IFERROR(__xludf.DUMMYFUNCTION("""COMPUTED_VALUE"""),46178.0)</f>
        <v>46178</v>
      </c>
      <c r="C82" s="122" t="str">
        <f>IFERROR(__xludf.DUMMYFUNCTION("""COMPUTED_VALUE"""),"5c07fef4")</f>
        <v>5c07fef4</v>
      </c>
      <c r="D82" s="122" t="str">
        <f>IFERROR(__xludf.DUMMYFUNCTION("""COMPUTED_VALUE"""),"Tiffany Kim")</f>
        <v>Tiffany Kim</v>
      </c>
      <c r="E82" s="122" t="str">
        <f>IFERROR(__xludf.DUMMYFUNCTION("""COMPUTED_VALUE"""),"REWARD")</f>
        <v>REWARD</v>
      </c>
      <c r="F82" s="128">
        <f>IFERROR(__xludf.DUMMYFUNCTION("""COMPUTED_VALUE"""),10.0)</f>
        <v>10</v>
      </c>
      <c r="G82" s="128">
        <f>IFERROR(__xludf.DUMMYFUNCTION("""COMPUTED_VALUE"""),70.0)</f>
        <v>70</v>
      </c>
      <c r="H82" s="128">
        <f>IFERROR(__xludf.DUMMYFUNCTION("""COMPUTED_VALUE"""),80.0)</f>
        <v>80</v>
      </c>
      <c r="I82" s="122"/>
      <c r="J82" s="122"/>
      <c r="K82" s="122" t="str">
        <f>IFERROR(__xludf.DUMMYFUNCTION("""COMPUTED_VALUE"""),"On-time attendance reward")</f>
        <v>On-time attendance reward</v>
      </c>
      <c r="L82" s="122" t="str">
        <f>IFERROR(__xludf.DUMMYFUNCTION("""COMPUTED_VALUE"""),"Success")</f>
        <v>Success</v>
      </c>
    </row>
    <row r="83">
      <c r="A83" s="129">
        <f>IFERROR(__xludf.DUMMYFUNCTION("""COMPUTED_VALUE"""),46178.34637731482)</f>
        <v>46178.34638</v>
      </c>
      <c r="B83" s="126">
        <f>IFERROR(__xludf.DUMMYFUNCTION("""COMPUTED_VALUE"""),46178.0)</f>
        <v>46178</v>
      </c>
      <c r="C83" s="122" t="str">
        <f>IFERROR(__xludf.DUMMYFUNCTION("""COMPUTED_VALUE"""),"ba912211")</f>
        <v>ba912211</v>
      </c>
      <c r="D83" s="122" t="str">
        <f>IFERROR(__xludf.DUMMYFUNCTION("""COMPUTED_VALUE"""),"Daisy Dou")</f>
        <v>Daisy Dou</v>
      </c>
      <c r="E83" s="122" t="str">
        <f>IFERROR(__xludf.DUMMYFUNCTION("""COMPUTED_VALUE"""),"DEPOSIT")</f>
        <v>DEPOSIT</v>
      </c>
      <c r="F83" s="128">
        <f>IFERROR(__xludf.DUMMYFUNCTION("""COMPUTED_VALUE"""),121.0)</f>
        <v>121</v>
      </c>
      <c r="G83" s="128">
        <f>IFERROR(__xludf.DUMMYFUNCTION("""COMPUTED_VALUE"""),151.0)</f>
        <v>151</v>
      </c>
      <c r="H83" s="128">
        <f>IFERROR(__xludf.DUMMYFUNCTION("""COMPUTED_VALUE"""),272.0)</f>
        <v>272</v>
      </c>
      <c r="I83" s="122"/>
      <c r="J83" s="122"/>
      <c r="K83" s="122"/>
      <c r="L83" s="122" t="str">
        <f>IFERROR(__xludf.DUMMYFUNCTION("""COMPUTED_VALUE"""),"Success")</f>
        <v>Success</v>
      </c>
    </row>
    <row r="84">
      <c r="A84" s="129">
        <f>IFERROR(__xludf.DUMMYFUNCTION("""COMPUTED_VALUE"""),46178.349594907406)</f>
        <v>46178.34959</v>
      </c>
      <c r="B84" s="126">
        <f>IFERROR(__xludf.DUMMYFUNCTION("""COMPUTED_VALUE"""),46178.0)</f>
        <v>46178</v>
      </c>
      <c r="C84" s="122" t="str">
        <f>IFERROR(__xludf.DUMMYFUNCTION("""COMPUTED_VALUE"""),"ae072910")</f>
        <v>ae072910</v>
      </c>
      <c r="D84" s="122" t="str">
        <f>IFERROR(__xludf.DUMMYFUNCTION("""COMPUTED_VALUE"""),"Selena Jung")</f>
        <v>Selena Jung</v>
      </c>
      <c r="E84" s="122" t="str">
        <f>IFERROR(__xludf.DUMMYFUNCTION("""COMPUTED_VALUE"""),"REWARD")</f>
        <v>REWARD</v>
      </c>
      <c r="F84" s="128">
        <f>IFERROR(__xludf.DUMMYFUNCTION("""COMPUTED_VALUE"""),10.0)</f>
        <v>10</v>
      </c>
      <c r="G84" s="128">
        <f>IFERROR(__xludf.DUMMYFUNCTION("""COMPUTED_VALUE"""),40.0)</f>
        <v>40</v>
      </c>
      <c r="H84" s="128">
        <f>IFERROR(__xludf.DUMMYFUNCTION("""COMPUTED_VALUE"""),50.0)</f>
        <v>50</v>
      </c>
      <c r="I84" s="122"/>
      <c r="J84" s="122"/>
      <c r="K84" s="122" t="str">
        <f>IFERROR(__xludf.DUMMYFUNCTION("""COMPUTED_VALUE"""),"On-time attendance reward")</f>
        <v>On-time attendance reward</v>
      </c>
      <c r="L84" s="122" t="str">
        <f>IFERROR(__xludf.DUMMYFUNCTION("""COMPUTED_VALUE"""),"Success")</f>
        <v>Success</v>
      </c>
    </row>
    <row r="85">
      <c r="A85" s="129">
        <f>IFERROR(__xludf.DUMMYFUNCTION("""COMPUTED_VALUE"""),46178.35016203704)</f>
        <v>46178.35016</v>
      </c>
      <c r="B85" s="126">
        <f>IFERROR(__xludf.DUMMYFUNCTION("""COMPUTED_VALUE"""),46178.0)</f>
        <v>46178</v>
      </c>
      <c r="C85" s="122" t="str">
        <f>IFERROR(__xludf.DUMMYFUNCTION("""COMPUTED_VALUE"""),"dc04eef4")</f>
        <v>dc04eef4</v>
      </c>
      <c r="D85" s="122" t="str">
        <f>IFERROR(__xludf.DUMMYFUNCTION("""COMPUTED_VALUE"""),"Joshua Jung")</f>
        <v>Joshua Jung</v>
      </c>
      <c r="E85" s="122" t="str">
        <f>IFERROR(__xludf.DUMMYFUNCTION("""COMPUTED_VALUE"""),"REWARD")</f>
        <v>REWARD</v>
      </c>
      <c r="F85" s="128">
        <f>IFERROR(__xludf.DUMMYFUNCTION("""COMPUTED_VALUE"""),10.0)</f>
        <v>10</v>
      </c>
      <c r="G85" s="128">
        <f>IFERROR(__xludf.DUMMYFUNCTION("""COMPUTED_VALUE"""),90.0)</f>
        <v>90</v>
      </c>
      <c r="H85" s="128">
        <f>IFERROR(__xludf.DUMMYFUNCTION("""COMPUTED_VALUE"""),100.0)</f>
        <v>100</v>
      </c>
      <c r="I85" s="122"/>
      <c r="J85" s="122"/>
      <c r="K85" s="122" t="str">
        <f>IFERROR(__xludf.DUMMYFUNCTION("""COMPUTED_VALUE"""),"On-time attendance reward")</f>
        <v>On-time attendance reward</v>
      </c>
      <c r="L85" s="122" t="str">
        <f>IFERROR(__xludf.DUMMYFUNCTION("""COMPUTED_VALUE"""),"Success")</f>
        <v>Success</v>
      </c>
    </row>
    <row r="86">
      <c r="A86" s="129">
        <f>IFERROR(__xludf.DUMMYFUNCTION("""COMPUTED_VALUE"""),46178.35517361111)</f>
        <v>46178.35517</v>
      </c>
      <c r="B86" s="126">
        <f>IFERROR(__xludf.DUMMYFUNCTION("""COMPUTED_VALUE"""),46178.0)</f>
        <v>46178</v>
      </c>
      <c r="C86" s="122" t="str">
        <f>IFERROR(__xludf.DUMMYFUNCTION("""COMPUTED_VALUE"""),"7c4e261e")</f>
        <v>7c4e261e</v>
      </c>
      <c r="D86" s="122" t="str">
        <f>IFERROR(__xludf.DUMMYFUNCTION("""COMPUTED_VALUE"""),"Suha Lee")</f>
        <v>Suha Lee</v>
      </c>
      <c r="E86" s="122" t="str">
        <f>IFERROR(__xludf.DUMMYFUNCTION("""COMPUTED_VALUE"""),"REWARD")</f>
        <v>REWARD</v>
      </c>
      <c r="F86" s="128">
        <f>IFERROR(__xludf.DUMMYFUNCTION("""COMPUTED_VALUE"""),10.0)</f>
        <v>10</v>
      </c>
      <c r="G86" s="128">
        <f>IFERROR(__xludf.DUMMYFUNCTION("""COMPUTED_VALUE"""),90.0)</f>
        <v>90</v>
      </c>
      <c r="H86" s="128">
        <f>IFERROR(__xludf.DUMMYFUNCTION("""COMPUTED_VALUE"""),100.0)</f>
        <v>100</v>
      </c>
      <c r="I86" s="122"/>
      <c r="J86" s="122"/>
      <c r="K86" s="122" t="str">
        <f>IFERROR(__xludf.DUMMYFUNCTION("""COMPUTED_VALUE"""),"On-time attendance reward")</f>
        <v>On-time attendance reward</v>
      </c>
      <c r="L86" s="122" t="str">
        <f>IFERROR(__xludf.DUMMYFUNCTION("""COMPUTED_VALUE"""),"Success")</f>
        <v>Success</v>
      </c>
    </row>
    <row r="87">
      <c r="A87" s="129">
        <f>IFERROR(__xludf.DUMMYFUNCTION("""COMPUTED_VALUE"""),46178.35550925926)</f>
        <v>46178.35551</v>
      </c>
      <c r="B87" s="126">
        <f>IFERROR(__xludf.DUMMYFUNCTION("""COMPUTED_VALUE"""),46178.0)</f>
        <v>46178</v>
      </c>
      <c r="C87" s="122" t="str">
        <f>IFERROR(__xludf.DUMMYFUNCTION("""COMPUTED_VALUE"""),"ae072910")</f>
        <v>ae072910</v>
      </c>
      <c r="D87" s="122" t="str">
        <f>IFERROR(__xludf.DUMMYFUNCTION("""COMPUTED_VALUE"""),"Selena Jung")</f>
        <v>Selena Jung</v>
      </c>
      <c r="E87" s="122" t="str">
        <f>IFERROR(__xludf.DUMMYFUNCTION("""COMPUTED_VALUE"""),"DEPOSIT")</f>
        <v>DEPOSIT</v>
      </c>
      <c r="F87" s="128">
        <f>IFERROR(__xludf.DUMMYFUNCTION("""COMPUTED_VALUE"""),5.0)</f>
        <v>5</v>
      </c>
      <c r="G87" s="128">
        <f>IFERROR(__xludf.DUMMYFUNCTION("""COMPUTED_VALUE"""),50.0)</f>
        <v>50</v>
      </c>
      <c r="H87" s="128">
        <f>IFERROR(__xludf.DUMMYFUNCTION("""COMPUTED_VALUE"""),55.0)</f>
        <v>55</v>
      </c>
      <c r="I87" s="122"/>
      <c r="J87" s="122"/>
      <c r="K87" s="122"/>
      <c r="L87" s="122" t="str">
        <f>IFERROR(__xludf.DUMMYFUNCTION("""COMPUTED_VALUE"""),"Success")</f>
        <v>Success</v>
      </c>
    </row>
    <row r="88">
      <c r="A88" s="129">
        <f>IFERROR(__xludf.DUMMYFUNCTION("""COMPUTED_VALUE"""),46178.3565625)</f>
        <v>46178.35656</v>
      </c>
      <c r="B88" s="126">
        <f>IFERROR(__xludf.DUMMYFUNCTION("""COMPUTED_VALUE"""),46178.0)</f>
        <v>46178</v>
      </c>
      <c r="C88" s="122" t="str">
        <f>IFERROR(__xludf.DUMMYFUNCTION("""COMPUTED_VALUE"""),"9a5f2811")</f>
        <v>9a5f2811</v>
      </c>
      <c r="D88" s="122" t="str">
        <f>IFERROR(__xludf.DUMMYFUNCTION("""COMPUTED_VALUE"""),"Junyoung Yoo")</f>
        <v>Junyoung Yoo</v>
      </c>
      <c r="E88" s="122" t="str">
        <f>IFERROR(__xludf.DUMMYFUNCTION("""COMPUTED_VALUE"""),"REWARD")</f>
        <v>REWARD</v>
      </c>
      <c r="F88" s="128">
        <f>IFERROR(__xludf.DUMMYFUNCTION("""COMPUTED_VALUE"""),10.0)</f>
        <v>10</v>
      </c>
      <c r="G88" s="128">
        <f>IFERROR(__xludf.DUMMYFUNCTION("""COMPUTED_VALUE"""),60.0)</f>
        <v>60</v>
      </c>
      <c r="H88" s="128">
        <f>IFERROR(__xludf.DUMMYFUNCTION("""COMPUTED_VALUE"""),70.0)</f>
        <v>70</v>
      </c>
      <c r="I88" s="122"/>
      <c r="J88" s="122"/>
      <c r="K88" s="122" t="str">
        <f>IFERROR(__xludf.DUMMYFUNCTION("""COMPUTED_VALUE"""),"On-time attendance reward")</f>
        <v>On-time attendance reward</v>
      </c>
      <c r="L88" s="122" t="str">
        <f>IFERROR(__xludf.DUMMYFUNCTION("""COMPUTED_VALUE"""),"Success")</f>
        <v>Success</v>
      </c>
    </row>
    <row r="89">
      <c r="A89" s="129">
        <f>IFERROR(__xludf.DUMMYFUNCTION("""COMPUTED_VALUE"""),46178.3578125)</f>
        <v>46178.35781</v>
      </c>
      <c r="B89" s="126">
        <f>IFERROR(__xludf.DUMMYFUNCTION("""COMPUTED_VALUE"""),46178.0)</f>
        <v>46178</v>
      </c>
      <c r="C89" s="122" t="str">
        <f>IFERROR(__xludf.DUMMYFUNCTION("""COMPUTED_VALUE"""),"ba353911")</f>
        <v>ba353911</v>
      </c>
      <c r="D89" s="122" t="str">
        <f>IFERROR(__xludf.DUMMYFUNCTION("""COMPUTED_VALUE"""),"Dayeon Kang")</f>
        <v>Dayeon Kang</v>
      </c>
      <c r="E89" s="122" t="str">
        <f>IFERROR(__xludf.DUMMYFUNCTION("""COMPUTED_VALUE"""),"REWARD")</f>
        <v>REWARD</v>
      </c>
      <c r="F89" s="128">
        <f>IFERROR(__xludf.DUMMYFUNCTION("""COMPUTED_VALUE"""),10.0)</f>
        <v>10</v>
      </c>
      <c r="G89" s="128">
        <f>IFERROR(__xludf.DUMMYFUNCTION("""COMPUTED_VALUE"""),30.0)</f>
        <v>30</v>
      </c>
      <c r="H89" s="128">
        <f>IFERROR(__xludf.DUMMYFUNCTION("""COMPUTED_VALUE"""),40.0)</f>
        <v>40</v>
      </c>
      <c r="I89" s="122"/>
      <c r="J89" s="122"/>
      <c r="K89" s="122" t="str">
        <f>IFERROR(__xludf.DUMMYFUNCTION("""COMPUTED_VALUE"""),"On-time attendance reward")</f>
        <v>On-time attendance reward</v>
      </c>
      <c r="L89" s="122" t="str">
        <f>IFERROR(__xludf.DUMMYFUNCTION("""COMPUTED_VALUE"""),"Success")</f>
        <v>Success</v>
      </c>
    </row>
    <row r="90">
      <c r="A90" s="129">
        <f>IFERROR(__xludf.DUMMYFUNCTION("""COMPUTED_VALUE"""),46178.375185185185)</f>
        <v>46178.37519</v>
      </c>
      <c r="B90" s="126">
        <f>IFERROR(__xludf.DUMMYFUNCTION("""COMPUTED_VALUE"""),46178.0)</f>
        <v>46178</v>
      </c>
      <c r="C90" s="122" t="str">
        <f>IFERROR(__xludf.DUMMYFUNCTION("""COMPUTED_VALUE"""),"5a032611")</f>
        <v>5a032611</v>
      </c>
      <c r="D90" s="122" t="str">
        <f>IFERROR(__xludf.DUMMYFUNCTION("""COMPUTED_VALUE"""),"Harold Dou")</f>
        <v>Harold Dou</v>
      </c>
      <c r="E90" s="122" t="str">
        <f>IFERROR(__xludf.DUMMYFUNCTION("""COMPUTED_VALUE"""),"FINE")</f>
        <v>FINE</v>
      </c>
      <c r="F90" s="128">
        <f>IFERROR(__xludf.DUMMYFUNCTION("""COMPUTED_VALUE"""),10.0)</f>
        <v>10</v>
      </c>
      <c r="G90" s="128">
        <f>IFERROR(__xludf.DUMMYFUNCTION("""COMPUTED_VALUE"""),60.0)</f>
        <v>60</v>
      </c>
      <c r="H90" s="128">
        <f>IFERROR(__xludf.DUMMYFUNCTION("""COMPUTED_VALUE"""),50.0)</f>
        <v>50</v>
      </c>
      <c r="I90" s="122"/>
      <c r="J90" s="122"/>
      <c r="K90" s="122" t="str">
        <f>IFERROR(__xludf.DUMMYFUNCTION("""COMPUTED_VALUE"""),"Late attendance penalty")</f>
        <v>Late attendance penalty</v>
      </c>
      <c r="L90" s="122" t="str">
        <f>IFERROR(__xludf.DUMMYFUNCTION("""COMPUTED_VALUE"""),"Success")</f>
        <v>Success</v>
      </c>
    </row>
    <row r="91">
      <c r="A91" s="129">
        <f>IFERROR(__xludf.DUMMYFUNCTION("""COMPUTED_VALUE"""),46178.55496527778)</f>
        <v>46178.55497</v>
      </c>
      <c r="B91" s="126">
        <f>IFERROR(__xludf.DUMMYFUNCTION("""COMPUTED_VALUE"""),46178.0)</f>
        <v>46178</v>
      </c>
      <c r="C91" s="122" t="str">
        <f>IFERROR(__xludf.DUMMYFUNCTION("""COMPUTED_VALUE"""),"5a032611")</f>
        <v>5a032611</v>
      </c>
      <c r="D91" s="122" t="str">
        <f>IFERROR(__xludf.DUMMYFUNCTION("""COMPUTED_VALUE"""),"Harold Dou")</f>
        <v>Harold Dou</v>
      </c>
      <c r="E91" s="122" t="str">
        <f>IFERROR(__xludf.DUMMYFUNCTION("""COMPUTED_VALUE"""),"DEPOSIT")</f>
        <v>DEPOSIT</v>
      </c>
      <c r="F91" s="128">
        <f>IFERROR(__xludf.DUMMYFUNCTION("""COMPUTED_VALUE"""),15.0)</f>
        <v>15</v>
      </c>
      <c r="G91" s="128">
        <f>IFERROR(__xludf.DUMMYFUNCTION("""COMPUTED_VALUE"""),50.0)</f>
        <v>50</v>
      </c>
      <c r="H91" s="128">
        <f>IFERROR(__xludf.DUMMYFUNCTION("""COMPUTED_VALUE"""),65.0)</f>
        <v>65</v>
      </c>
      <c r="I91" s="122"/>
      <c r="J91" s="122"/>
      <c r="K91" s="122"/>
      <c r="L91" s="122" t="str">
        <f>IFERROR(__xludf.DUMMYFUNCTION("""COMPUTED_VALUE"""),"Success")</f>
        <v>Success</v>
      </c>
    </row>
    <row r="92">
      <c r="A92" s="129">
        <f>IFERROR(__xludf.DUMMYFUNCTION("""COMPUTED_VALUE"""),46181.34355324074)</f>
        <v>46181.34355</v>
      </c>
      <c r="B92" s="126">
        <f>IFERROR(__xludf.DUMMYFUNCTION("""COMPUTED_VALUE"""),46181.0)</f>
        <v>46181</v>
      </c>
      <c r="C92" s="122" t="str">
        <f>IFERROR(__xludf.DUMMYFUNCTION("""COMPUTED_VALUE"""),"ae072910")</f>
        <v>ae072910</v>
      </c>
      <c r="D92" s="122" t="str">
        <f>IFERROR(__xludf.DUMMYFUNCTION("""COMPUTED_VALUE"""),"Selena Jung")</f>
        <v>Selena Jung</v>
      </c>
      <c r="E92" s="122" t="str">
        <f>IFERROR(__xludf.DUMMYFUNCTION("""COMPUTED_VALUE"""),"REWARD")</f>
        <v>REWARD</v>
      </c>
      <c r="F92" s="128">
        <f>IFERROR(__xludf.DUMMYFUNCTION("""COMPUTED_VALUE"""),10.0)</f>
        <v>10</v>
      </c>
      <c r="G92" s="128">
        <f>IFERROR(__xludf.DUMMYFUNCTION("""COMPUTED_VALUE"""),472.79)</f>
        <v>472.79</v>
      </c>
      <c r="H92" s="128">
        <f>IFERROR(__xludf.DUMMYFUNCTION("""COMPUTED_VALUE"""),482.79)</f>
        <v>482.79</v>
      </c>
      <c r="I92" s="122"/>
      <c r="J92" s="122"/>
      <c r="K92" s="122" t="str">
        <f>IFERROR(__xludf.DUMMYFUNCTION("""COMPUTED_VALUE"""),"On-time attendance reward")</f>
        <v>On-time attendance reward</v>
      </c>
      <c r="L92" s="122" t="str">
        <f>IFERROR(__xludf.DUMMYFUNCTION("""COMPUTED_VALUE"""),"Success")</f>
        <v>Success</v>
      </c>
    </row>
    <row r="93">
      <c r="A93" s="129">
        <f>IFERROR(__xludf.DUMMYFUNCTION("""COMPUTED_VALUE"""),46181.34873842593)</f>
        <v>46181.34874</v>
      </c>
      <c r="B93" s="126">
        <f>IFERROR(__xludf.DUMMYFUNCTION("""COMPUTED_VALUE"""),46181.0)</f>
        <v>46181</v>
      </c>
      <c r="C93" s="122" t="str">
        <f>IFERROR(__xludf.DUMMYFUNCTION("""COMPUTED_VALUE"""),"dc04eef4")</f>
        <v>dc04eef4</v>
      </c>
      <c r="D93" s="122" t="str">
        <f>IFERROR(__xludf.DUMMYFUNCTION("""COMPUTED_VALUE"""),"Joshua Jung")</f>
        <v>Joshua Jung</v>
      </c>
      <c r="E93" s="122" t="str">
        <f>IFERROR(__xludf.DUMMYFUNCTION("""COMPUTED_VALUE"""),"REWARD")</f>
        <v>REWARD</v>
      </c>
      <c r="F93" s="128">
        <f>IFERROR(__xludf.DUMMYFUNCTION("""COMPUTED_VALUE"""),10.0)</f>
        <v>10</v>
      </c>
      <c r="G93" s="128">
        <f>IFERROR(__xludf.DUMMYFUNCTION("""COMPUTED_VALUE"""),275.16)</f>
        <v>275.16</v>
      </c>
      <c r="H93" s="128">
        <f>IFERROR(__xludf.DUMMYFUNCTION("""COMPUTED_VALUE"""),285.16)</f>
        <v>285.16</v>
      </c>
      <c r="I93" s="122"/>
      <c r="J93" s="122"/>
      <c r="K93" s="122" t="str">
        <f>IFERROR(__xludf.DUMMYFUNCTION("""COMPUTED_VALUE"""),"On-time attendance reward")</f>
        <v>On-time attendance reward</v>
      </c>
      <c r="L93" s="122" t="str">
        <f>IFERROR(__xludf.DUMMYFUNCTION("""COMPUTED_VALUE"""),"Success")</f>
        <v>Success</v>
      </c>
    </row>
    <row r="94">
      <c r="A94" s="129">
        <f>IFERROR(__xludf.DUMMYFUNCTION("""COMPUTED_VALUE"""),46181.34923611111)</f>
        <v>46181.34924</v>
      </c>
      <c r="B94" s="126">
        <f>IFERROR(__xludf.DUMMYFUNCTION("""COMPUTED_VALUE"""),46181.0)</f>
        <v>46181</v>
      </c>
      <c r="C94" s="122" t="str">
        <f>IFERROR(__xludf.DUMMYFUNCTION("""COMPUTED_VALUE"""),"5c07fef4")</f>
        <v>5c07fef4</v>
      </c>
      <c r="D94" s="122" t="str">
        <f>IFERROR(__xludf.DUMMYFUNCTION("""COMPUTED_VALUE"""),"Tiffany Kim")</f>
        <v>Tiffany Kim</v>
      </c>
      <c r="E94" s="122" t="str">
        <f>IFERROR(__xludf.DUMMYFUNCTION("""COMPUTED_VALUE"""),"REWARD")</f>
        <v>REWARD</v>
      </c>
      <c r="F94" s="128">
        <f>IFERROR(__xludf.DUMMYFUNCTION("""COMPUTED_VALUE"""),10.0)</f>
        <v>10</v>
      </c>
      <c r="G94" s="128">
        <f>IFERROR(__xludf.DUMMYFUNCTION("""COMPUTED_VALUE"""),580.0)</f>
        <v>580</v>
      </c>
      <c r="H94" s="128">
        <f>IFERROR(__xludf.DUMMYFUNCTION("""COMPUTED_VALUE"""),590.0)</f>
        <v>590</v>
      </c>
      <c r="I94" s="122"/>
      <c r="J94" s="122"/>
      <c r="K94" s="122" t="str">
        <f>IFERROR(__xludf.DUMMYFUNCTION("""COMPUTED_VALUE"""),"On-time attendance reward")</f>
        <v>On-time attendance reward</v>
      </c>
      <c r="L94" s="122" t="str">
        <f>IFERROR(__xludf.DUMMYFUNCTION("""COMPUTED_VALUE"""),"Success")</f>
        <v>Success</v>
      </c>
    </row>
    <row r="95">
      <c r="A95" s="129">
        <f>IFERROR(__xludf.DUMMYFUNCTION("""COMPUTED_VALUE"""),46181.35068287037)</f>
        <v>46181.35068</v>
      </c>
      <c r="B95" s="126">
        <f>IFERROR(__xludf.DUMMYFUNCTION("""COMPUTED_VALUE"""),46181.0)</f>
        <v>46181</v>
      </c>
      <c r="C95" s="122" t="str">
        <f>IFERROR(__xludf.DUMMYFUNCTION("""COMPUTED_VALUE"""),"5a032611")</f>
        <v>5a032611</v>
      </c>
      <c r="D95" s="122" t="str">
        <f>IFERROR(__xludf.DUMMYFUNCTION("""COMPUTED_VALUE"""),"Harold Dou")</f>
        <v>Harold Dou</v>
      </c>
      <c r="E95" s="122" t="str">
        <f>IFERROR(__xludf.DUMMYFUNCTION("""COMPUTED_VALUE"""),"REWARD")</f>
        <v>REWARD</v>
      </c>
      <c r="F95" s="128">
        <f>IFERROR(__xludf.DUMMYFUNCTION("""COMPUTED_VALUE"""),10.0)</f>
        <v>10</v>
      </c>
      <c r="G95" s="128">
        <f>IFERROR(__xludf.DUMMYFUNCTION("""COMPUTED_VALUE"""),565.0)</f>
        <v>565</v>
      </c>
      <c r="H95" s="128">
        <f>IFERROR(__xludf.DUMMYFUNCTION("""COMPUTED_VALUE"""),575.0)</f>
        <v>575</v>
      </c>
      <c r="I95" s="122"/>
      <c r="J95" s="122"/>
      <c r="K95" s="122" t="str">
        <f>IFERROR(__xludf.DUMMYFUNCTION("""COMPUTED_VALUE"""),"On-time attendance reward")</f>
        <v>On-time attendance reward</v>
      </c>
      <c r="L95" s="122" t="str">
        <f>IFERROR(__xludf.DUMMYFUNCTION("""COMPUTED_VALUE"""),"Success")</f>
        <v>Success</v>
      </c>
    </row>
    <row r="96">
      <c r="A96" s="129">
        <f>IFERROR(__xludf.DUMMYFUNCTION("""COMPUTED_VALUE"""),46181.35196759259)</f>
        <v>46181.35197</v>
      </c>
      <c r="B96" s="126">
        <f>IFERROR(__xludf.DUMMYFUNCTION("""COMPUTED_VALUE"""),46181.0)</f>
        <v>46181</v>
      </c>
      <c r="C96" s="122" t="str">
        <f>IFERROR(__xludf.DUMMYFUNCTION("""COMPUTED_VALUE"""),"ba912211")</f>
        <v>ba912211</v>
      </c>
      <c r="D96" s="122" t="str">
        <f>IFERROR(__xludf.DUMMYFUNCTION("""COMPUTED_VALUE"""),"Daisy Doh")</f>
        <v>Daisy Doh</v>
      </c>
      <c r="E96" s="122" t="str">
        <f>IFERROR(__xludf.DUMMYFUNCTION("""COMPUTED_VALUE"""),"REWARD")</f>
        <v>REWARD</v>
      </c>
      <c r="F96" s="128">
        <f>IFERROR(__xludf.DUMMYFUNCTION("""COMPUTED_VALUE"""),10.0)</f>
        <v>10</v>
      </c>
      <c r="G96" s="128">
        <f>IFERROR(__xludf.DUMMYFUNCTION("""COMPUTED_VALUE"""),696.29)</f>
        <v>696.29</v>
      </c>
      <c r="H96" s="128">
        <f>IFERROR(__xludf.DUMMYFUNCTION("""COMPUTED_VALUE"""),706.29)</f>
        <v>706.29</v>
      </c>
      <c r="I96" s="122"/>
      <c r="J96" s="122"/>
      <c r="K96" s="122" t="str">
        <f>IFERROR(__xludf.DUMMYFUNCTION("""COMPUTED_VALUE"""),"On-time attendance reward")</f>
        <v>On-time attendance reward</v>
      </c>
      <c r="L96" s="122" t="str">
        <f>IFERROR(__xludf.DUMMYFUNCTION("""COMPUTED_VALUE"""),"Success")</f>
        <v>Success</v>
      </c>
    </row>
    <row r="97">
      <c r="A97" s="129">
        <f>IFERROR(__xludf.DUMMYFUNCTION("""COMPUTED_VALUE"""),46181.354097222225)</f>
        <v>46181.3541</v>
      </c>
      <c r="B97" s="126">
        <f>IFERROR(__xludf.DUMMYFUNCTION("""COMPUTED_VALUE"""),46181.0)</f>
        <v>46181</v>
      </c>
      <c r="C97" s="122" t="str">
        <f>IFERROR(__xludf.DUMMYFUNCTION("""COMPUTED_VALUE"""),"babde4c4")</f>
        <v>babde4c4</v>
      </c>
      <c r="D97" s="122" t="str">
        <f>IFERROR(__xludf.DUMMYFUNCTION("""COMPUTED_VALUE"""),"Ashley Guk")</f>
        <v>Ashley Guk</v>
      </c>
      <c r="E97" s="122" t="str">
        <f>IFERROR(__xludf.DUMMYFUNCTION("""COMPUTED_VALUE"""),"REWARD")</f>
        <v>REWARD</v>
      </c>
      <c r="F97" s="128">
        <f>IFERROR(__xludf.DUMMYFUNCTION("""COMPUTED_VALUE"""),10.0)</f>
        <v>10</v>
      </c>
      <c r="G97" s="128">
        <f>IFERROR(__xludf.DUMMYFUNCTION("""COMPUTED_VALUE"""),596.0)</f>
        <v>596</v>
      </c>
      <c r="H97" s="128">
        <f>IFERROR(__xludf.DUMMYFUNCTION("""COMPUTED_VALUE"""),606.0)</f>
        <v>606</v>
      </c>
      <c r="I97" s="122"/>
      <c r="J97" s="122"/>
      <c r="K97" s="122" t="str">
        <f>IFERROR(__xludf.DUMMYFUNCTION("""COMPUTED_VALUE"""),"On-time attendance reward")</f>
        <v>On-time attendance reward</v>
      </c>
      <c r="L97" s="122" t="str">
        <f>IFERROR(__xludf.DUMMYFUNCTION("""COMPUTED_VALUE"""),"Success")</f>
        <v>Success</v>
      </c>
    </row>
    <row r="98">
      <c r="A98" s="129">
        <f>IFERROR(__xludf.DUMMYFUNCTION("""COMPUTED_VALUE"""),46181.35700231481)</f>
        <v>46181.357</v>
      </c>
      <c r="B98" s="126">
        <f>IFERROR(__xludf.DUMMYFUNCTION("""COMPUTED_VALUE"""),46181.0)</f>
        <v>46181</v>
      </c>
      <c r="C98" s="122" t="str">
        <f>IFERROR(__xludf.DUMMYFUNCTION("""COMPUTED_VALUE"""),"9a5f2811")</f>
        <v>9a5f2811</v>
      </c>
      <c r="D98" s="122" t="str">
        <f>IFERROR(__xludf.DUMMYFUNCTION("""COMPUTED_VALUE"""),"Junyoung Yoo")</f>
        <v>Junyoung Yoo</v>
      </c>
      <c r="E98" s="122" t="str">
        <f>IFERROR(__xludf.DUMMYFUNCTION("""COMPUTED_VALUE"""),"REWARD")</f>
        <v>REWARD</v>
      </c>
      <c r="F98" s="128">
        <f>IFERROR(__xludf.DUMMYFUNCTION("""COMPUTED_VALUE"""),10.0)</f>
        <v>10</v>
      </c>
      <c r="G98" s="128">
        <f>IFERROR(__xludf.DUMMYFUNCTION("""COMPUTED_VALUE"""),44.4)</f>
        <v>44.4</v>
      </c>
      <c r="H98" s="128">
        <f>IFERROR(__xludf.DUMMYFUNCTION("""COMPUTED_VALUE"""),54.4)</f>
        <v>54.4</v>
      </c>
      <c r="I98" s="122"/>
      <c r="J98" s="122"/>
      <c r="K98" s="122" t="str">
        <f>IFERROR(__xludf.DUMMYFUNCTION("""COMPUTED_VALUE"""),"On-time attendance reward")</f>
        <v>On-time attendance reward</v>
      </c>
      <c r="L98" s="122" t="str">
        <f>IFERROR(__xludf.DUMMYFUNCTION("""COMPUTED_VALUE"""),"Success")</f>
        <v>Success</v>
      </c>
    </row>
    <row r="99">
      <c r="A99" s="129">
        <f>IFERROR(__xludf.DUMMYFUNCTION("""COMPUTED_VALUE"""),46181.35716435185)</f>
        <v>46181.35716</v>
      </c>
      <c r="B99" s="126">
        <f>IFERROR(__xludf.DUMMYFUNCTION("""COMPUTED_VALUE"""),46181.0)</f>
        <v>46181</v>
      </c>
      <c r="C99" s="122" t="str">
        <f>IFERROR(__xludf.DUMMYFUNCTION("""COMPUTED_VALUE"""),"1e3e1410")</f>
        <v>1e3e1410</v>
      </c>
      <c r="D99" s="122" t="str">
        <f>IFERROR(__xludf.DUMMYFUNCTION("""COMPUTED_VALUE"""),"Junjae Park")</f>
        <v>Junjae Park</v>
      </c>
      <c r="E99" s="122" t="str">
        <f>IFERROR(__xludf.DUMMYFUNCTION("""COMPUTED_VALUE"""),"REWARD")</f>
        <v>REWARD</v>
      </c>
      <c r="F99" s="128">
        <f>IFERROR(__xludf.DUMMYFUNCTION("""COMPUTED_VALUE"""),10.0)</f>
        <v>10</v>
      </c>
      <c r="G99" s="128">
        <f>IFERROR(__xludf.DUMMYFUNCTION("""COMPUTED_VALUE"""),44.8)</f>
        <v>44.8</v>
      </c>
      <c r="H99" s="128">
        <f>IFERROR(__xludf.DUMMYFUNCTION("""COMPUTED_VALUE"""),54.8)</f>
        <v>54.8</v>
      </c>
      <c r="I99" s="122"/>
      <c r="J99" s="122"/>
      <c r="K99" s="122" t="str">
        <f>IFERROR(__xludf.DUMMYFUNCTION("""COMPUTED_VALUE"""),"On-time attendance reward")</f>
        <v>On-time attendance reward</v>
      </c>
      <c r="L99" s="122" t="str">
        <f>IFERROR(__xludf.DUMMYFUNCTION("""COMPUTED_VALUE"""),"Success")</f>
        <v>Success</v>
      </c>
    </row>
    <row r="100">
      <c r="A100" s="129">
        <f>IFERROR(__xludf.DUMMYFUNCTION("""COMPUTED_VALUE"""),46181.357407407406)</f>
        <v>46181.35741</v>
      </c>
      <c r="B100" s="126">
        <f>IFERROR(__xludf.DUMMYFUNCTION("""COMPUTED_VALUE"""),46181.0)</f>
        <v>46181</v>
      </c>
      <c r="C100" s="122" t="str">
        <f>IFERROR(__xludf.DUMMYFUNCTION("""COMPUTED_VALUE"""),"ba353911")</f>
        <v>ba353911</v>
      </c>
      <c r="D100" s="122" t="str">
        <f>IFERROR(__xludf.DUMMYFUNCTION("""COMPUTED_VALUE"""),"Dayeon Kang")</f>
        <v>Dayeon Kang</v>
      </c>
      <c r="E100" s="122" t="str">
        <f>IFERROR(__xludf.DUMMYFUNCTION("""COMPUTED_VALUE"""),"REWARD")</f>
        <v>REWARD</v>
      </c>
      <c r="F100" s="128">
        <f>IFERROR(__xludf.DUMMYFUNCTION("""COMPUTED_VALUE"""),10.0)</f>
        <v>10</v>
      </c>
      <c r="G100" s="128">
        <f>IFERROR(__xludf.DUMMYFUNCTION("""COMPUTED_VALUE"""),301.98)</f>
        <v>301.98</v>
      </c>
      <c r="H100" s="128">
        <f>IFERROR(__xludf.DUMMYFUNCTION("""COMPUTED_VALUE"""),311.98)</f>
        <v>311.98</v>
      </c>
      <c r="I100" s="122"/>
      <c r="J100" s="122"/>
      <c r="K100" s="122" t="str">
        <f>IFERROR(__xludf.DUMMYFUNCTION("""COMPUTED_VALUE"""),"On-time attendance reward")</f>
        <v>On-time attendance reward</v>
      </c>
      <c r="L100" s="122" t="str">
        <f>IFERROR(__xludf.DUMMYFUNCTION("""COMPUTED_VALUE"""),"Success")</f>
        <v>Success</v>
      </c>
    </row>
    <row r="101">
      <c r="A101" s="129">
        <f>IFERROR(__xludf.DUMMYFUNCTION("""COMPUTED_VALUE"""),46181.36615740741)</f>
        <v>46181.36616</v>
      </c>
      <c r="B101" s="126">
        <f>IFERROR(__xludf.DUMMYFUNCTION("""COMPUTED_VALUE"""),46181.0)</f>
        <v>46181</v>
      </c>
      <c r="C101" s="122" t="str">
        <f>IFERROR(__xludf.DUMMYFUNCTION("""COMPUTED_VALUE"""),"ba0fc5c4")</f>
        <v>ba0fc5c4</v>
      </c>
      <c r="D101" s="122" t="str">
        <f>IFERROR(__xludf.DUMMYFUNCTION("""COMPUTED_VALUE"""),"Junwoo Kang")</f>
        <v>Junwoo Kang</v>
      </c>
      <c r="E101" s="122" t="str">
        <f>IFERROR(__xludf.DUMMYFUNCTION("""COMPUTED_VALUE"""),"FINE")</f>
        <v>FINE</v>
      </c>
      <c r="F101" s="128">
        <f>IFERROR(__xludf.DUMMYFUNCTION("""COMPUTED_VALUE"""),10.0)</f>
        <v>10</v>
      </c>
      <c r="G101" s="128">
        <f>IFERROR(__xludf.DUMMYFUNCTION("""COMPUTED_VALUE"""),20.08)</f>
        <v>20.08</v>
      </c>
      <c r="H101" s="128">
        <f>IFERROR(__xludf.DUMMYFUNCTION("""COMPUTED_VALUE"""),10.079999999999998)</f>
        <v>10.08</v>
      </c>
      <c r="I101" s="122"/>
      <c r="J101" s="122"/>
      <c r="K101" s="122" t="str">
        <f>IFERROR(__xludf.DUMMYFUNCTION("""COMPUTED_VALUE"""),"Late attendance penalty")</f>
        <v>Late attendance penalty</v>
      </c>
      <c r="L101" s="122" t="str">
        <f>IFERROR(__xludf.DUMMYFUNCTION("""COMPUTED_VALUE"""),"Success")</f>
        <v>Success</v>
      </c>
    </row>
    <row r="102">
      <c r="A102" s="129">
        <f>IFERROR(__xludf.DUMMYFUNCTION("""COMPUTED_VALUE"""),46182.34726851852)</f>
        <v>46182.34727</v>
      </c>
      <c r="B102" s="126">
        <f>IFERROR(__xludf.DUMMYFUNCTION("""COMPUTED_VALUE"""),46182.0)</f>
        <v>46182</v>
      </c>
      <c r="C102" s="122" t="str">
        <f>IFERROR(__xludf.DUMMYFUNCTION("""COMPUTED_VALUE"""),"5c07fef4")</f>
        <v>5c07fef4</v>
      </c>
      <c r="D102" s="122" t="str">
        <f>IFERROR(__xludf.DUMMYFUNCTION("""COMPUTED_VALUE"""),"Tiffany Kim")</f>
        <v>Tiffany Kim</v>
      </c>
      <c r="E102" s="122" t="str">
        <f>IFERROR(__xludf.DUMMYFUNCTION("""COMPUTED_VALUE"""),"REWARD")</f>
        <v>REWARD</v>
      </c>
      <c r="F102" s="128">
        <f>IFERROR(__xludf.DUMMYFUNCTION("""COMPUTED_VALUE"""),10.0)</f>
        <v>10</v>
      </c>
      <c r="G102" s="128">
        <f>IFERROR(__xludf.DUMMYFUNCTION("""COMPUTED_VALUE"""),590.0)</f>
        <v>590</v>
      </c>
      <c r="H102" s="128">
        <f>IFERROR(__xludf.DUMMYFUNCTION("""COMPUTED_VALUE"""),600.0)</f>
        <v>600</v>
      </c>
      <c r="I102" s="122"/>
      <c r="J102" s="122"/>
      <c r="K102" s="122" t="str">
        <f>IFERROR(__xludf.DUMMYFUNCTION("""COMPUTED_VALUE"""),"On-time attendance reward")</f>
        <v>On-time attendance reward</v>
      </c>
      <c r="L102" s="122" t="str">
        <f>IFERROR(__xludf.DUMMYFUNCTION("""COMPUTED_VALUE"""),"Success")</f>
        <v>Success</v>
      </c>
    </row>
    <row r="103">
      <c r="A103" s="129">
        <f>IFERROR(__xludf.DUMMYFUNCTION("""COMPUTED_VALUE"""),46182.348020833335)</f>
        <v>46182.34802</v>
      </c>
      <c r="B103" s="126">
        <f>IFERROR(__xludf.DUMMYFUNCTION("""COMPUTED_VALUE"""),46182.0)</f>
        <v>46182</v>
      </c>
      <c r="C103" s="122" t="str">
        <f>IFERROR(__xludf.DUMMYFUNCTION("""COMPUTED_VALUE"""),"ae072910")</f>
        <v>ae072910</v>
      </c>
      <c r="D103" s="122" t="str">
        <f>IFERROR(__xludf.DUMMYFUNCTION("""COMPUTED_VALUE"""),"Selena Jung")</f>
        <v>Selena Jung</v>
      </c>
      <c r="E103" s="122" t="str">
        <f>IFERROR(__xludf.DUMMYFUNCTION("""COMPUTED_VALUE"""),"REWARD")</f>
        <v>REWARD</v>
      </c>
      <c r="F103" s="128">
        <f>IFERROR(__xludf.DUMMYFUNCTION("""COMPUTED_VALUE"""),10.0)</f>
        <v>10</v>
      </c>
      <c r="G103" s="128">
        <f>IFERROR(__xludf.DUMMYFUNCTION("""COMPUTED_VALUE"""),482.79)</f>
        <v>482.79</v>
      </c>
      <c r="H103" s="128">
        <f>IFERROR(__xludf.DUMMYFUNCTION("""COMPUTED_VALUE"""),492.79)</f>
        <v>492.79</v>
      </c>
      <c r="I103" s="122"/>
      <c r="J103" s="122"/>
      <c r="K103" s="122" t="str">
        <f>IFERROR(__xludf.DUMMYFUNCTION("""COMPUTED_VALUE"""),"On-time attendance reward")</f>
        <v>On-time attendance reward</v>
      </c>
      <c r="L103" s="122" t="str">
        <f>IFERROR(__xludf.DUMMYFUNCTION("""COMPUTED_VALUE"""),"Success")</f>
        <v>Success</v>
      </c>
    </row>
    <row r="104">
      <c r="A104" s="129">
        <f>IFERROR(__xludf.DUMMYFUNCTION("""COMPUTED_VALUE"""),46182.351643518516)</f>
        <v>46182.35164</v>
      </c>
      <c r="B104" s="126">
        <f>IFERROR(__xludf.DUMMYFUNCTION("""COMPUTED_VALUE"""),46182.0)</f>
        <v>46182</v>
      </c>
      <c r="C104" s="122" t="str">
        <f>IFERROR(__xludf.DUMMYFUNCTION("""COMPUTED_VALUE"""),"dc04eef4")</f>
        <v>dc04eef4</v>
      </c>
      <c r="D104" s="122" t="str">
        <f>IFERROR(__xludf.DUMMYFUNCTION("""COMPUTED_VALUE"""),"Joshua Jung")</f>
        <v>Joshua Jung</v>
      </c>
      <c r="E104" s="122" t="str">
        <f>IFERROR(__xludf.DUMMYFUNCTION("""COMPUTED_VALUE"""),"REWARD")</f>
        <v>REWARD</v>
      </c>
      <c r="F104" s="128">
        <f>IFERROR(__xludf.DUMMYFUNCTION("""COMPUTED_VALUE"""),10.0)</f>
        <v>10</v>
      </c>
      <c r="G104" s="128">
        <f>IFERROR(__xludf.DUMMYFUNCTION("""COMPUTED_VALUE"""),285.16)</f>
        <v>285.16</v>
      </c>
      <c r="H104" s="128">
        <f>IFERROR(__xludf.DUMMYFUNCTION("""COMPUTED_VALUE"""),295.16)</f>
        <v>295.16</v>
      </c>
      <c r="I104" s="122"/>
      <c r="J104" s="122"/>
      <c r="K104" s="122" t="str">
        <f>IFERROR(__xludf.DUMMYFUNCTION("""COMPUTED_VALUE"""),"On-time attendance reward")</f>
        <v>On-time attendance reward</v>
      </c>
      <c r="L104" s="122" t="str">
        <f>IFERROR(__xludf.DUMMYFUNCTION("""COMPUTED_VALUE"""),"Success")</f>
        <v>Success</v>
      </c>
    </row>
    <row r="105">
      <c r="A105" s="129">
        <f>IFERROR(__xludf.DUMMYFUNCTION("""COMPUTED_VALUE"""),46182.35258101852)</f>
        <v>46182.35258</v>
      </c>
      <c r="B105" s="126">
        <f>IFERROR(__xludf.DUMMYFUNCTION("""COMPUTED_VALUE"""),46182.0)</f>
        <v>46182</v>
      </c>
      <c r="C105" s="122" t="str">
        <f>IFERROR(__xludf.DUMMYFUNCTION("""COMPUTED_VALUE"""),"ba912211")</f>
        <v>ba912211</v>
      </c>
      <c r="D105" s="122" t="str">
        <f>IFERROR(__xludf.DUMMYFUNCTION("""COMPUTED_VALUE"""),"Daisy Doh")</f>
        <v>Daisy Doh</v>
      </c>
      <c r="E105" s="122" t="str">
        <f>IFERROR(__xludf.DUMMYFUNCTION("""COMPUTED_VALUE"""),"REWARD")</f>
        <v>REWARD</v>
      </c>
      <c r="F105" s="128">
        <f>IFERROR(__xludf.DUMMYFUNCTION("""COMPUTED_VALUE"""),10.0)</f>
        <v>10</v>
      </c>
      <c r="G105" s="128">
        <f>IFERROR(__xludf.DUMMYFUNCTION("""COMPUTED_VALUE"""),706.29)</f>
        <v>706.29</v>
      </c>
      <c r="H105" s="128">
        <f>IFERROR(__xludf.DUMMYFUNCTION("""COMPUTED_VALUE"""),716.29)</f>
        <v>716.29</v>
      </c>
      <c r="I105" s="122"/>
      <c r="J105" s="122"/>
      <c r="K105" s="122" t="str">
        <f>IFERROR(__xludf.DUMMYFUNCTION("""COMPUTED_VALUE"""),"On-time attendance reward")</f>
        <v>On-time attendance reward</v>
      </c>
      <c r="L105" s="122" t="str">
        <f>IFERROR(__xludf.DUMMYFUNCTION("""COMPUTED_VALUE"""),"Success")</f>
        <v>Success</v>
      </c>
    </row>
    <row r="106">
      <c r="A106" s="129">
        <f>IFERROR(__xludf.DUMMYFUNCTION("""COMPUTED_VALUE"""),46182.35381944444)</f>
        <v>46182.35382</v>
      </c>
      <c r="B106" s="126">
        <f>IFERROR(__xludf.DUMMYFUNCTION("""COMPUTED_VALUE"""),46182.0)</f>
        <v>46182</v>
      </c>
      <c r="C106" s="122" t="str">
        <f>IFERROR(__xludf.DUMMYFUNCTION("""COMPUTED_VALUE"""),"1e3e1410")</f>
        <v>1e3e1410</v>
      </c>
      <c r="D106" s="122" t="str">
        <f>IFERROR(__xludf.DUMMYFUNCTION("""COMPUTED_VALUE"""),"Junjae Park")</f>
        <v>Junjae Park</v>
      </c>
      <c r="E106" s="122" t="str">
        <f>IFERROR(__xludf.DUMMYFUNCTION("""COMPUTED_VALUE"""),"REWARD")</f>
        <v>REWARD</v>
      </c>
      <c r="F106" s="128">
        <f>IFERROR(__xludf.DUMMYFUNCTION("""COMPUTED_VALUE"""),10.0)</f>
        <v>10</v>
      </c>
      <c r="G106" s="128">
        <f>IFERROR(__xludf.DUMMYFUNCTION("""COMPUTED_VALUE"""),54.8)</f>
        <v>54.8</v>
      </c>
      <c r="H106" s="128">
        <f>IFERROR(__xludf.DUMMYFUNCTION("""COMPUTED_VALUE"""),64.8)</f>
        <v>64.8</v>
      </c>
      <c r="I106" s="122"/>
      <c r="J106" s="122"/>
      <c r="K106" s="122" t="str">
        <f>IFERROR(__xludf.DUMMYFUNCTION("""COMPUTED_VALUE"""),"On-time attendance reward")</f>
        <v>On-time attendance reward</v>
      </c>
      <c r="L106" s="122" t="str">
        <f>IFERROR(__xludf.DUMMYFUNCTION("""COMPUTED_VALUE"""),"Success")</f>
        <v>Success</v>
      </c>
    </row>
    <row r="107">
      <c r="A107" s="129">
        <f>IFERROR(__xludf.DUMMYFUNCTION("""COMPUTED_VALUE"""),46182.35474537037)</f>
        <v>46182.35475</v>
      </c>
      <c r="B107" s="126">
        <f>IFERROR(__xludf.DUMMYFUNCTION("""COMPUTED_VALUE"""),46182.0)</f>
        <v>46182</v>
      </c>
      <c r="C107" s="122" t="str">
        <f>IFERROR(__xludf.DUMMYFUNCTION("""COMPUTED_VALUE"""),"7c4e261e")</f>
        <v>7c4e261e</v>
      </c>
      <c r="D107" s="122" t="str">
        <f>IFERROR(__xludf.DUMMYFUNCTION("""COMPUTED_VALUE"""),"Suha Lee")</f>
        <v>Suha Lee</v>
      </c>
      <c r="E107" s="122" t="str">
        <f>IFERROR(__xludf.DUMMYFUNCTION("""COMPUTED_VALUE"""),"REWARD")</f>
        <v>REWARD</v>
      </c>
      <c r="F107" s="128">
        <f>IFERROR(__xludf.DUMMYFUNCTION("""COMPUTED_VALUE"""),10.0)</f>
        <v>10</v>
      </c>
      <c r="G107" s="128">
        <f>IFERROR(__xludf.DUMMYFUNCTION("""COMPUTED_VALUE"""),477.76)</f>
        <v>477.76</v>
      </c>
      <c r="H107" s="128">
        <f>IFERROR(__xludf.DUMMYFUNCTION("""COMPUTED_VALUE"""),487.76)</f>
        <v>487.76</v>
      </c>
      <c r="I107" s="122"/>
      <c r="J107" s="122"/>
      <c r="K107" s="122" t="str">
        <f>IFERROR(__xludf.DUMMYFUNCTION("""COMPUTED_VALUE"""),"On-time attendance reward")</f>
        <v>On-time attendance reward</v>
      </c>
      <c r="L107" s="122" t="str">
        <f>IFERROR(__xludf.DUMMYFUNCTION("""COMPUTED_VALUE"""),"Success")</f>
        <v>Success</v>
      </c>
    </row>
    <row r="108">
      <c r="A108" s="129">
        <f>IFERROR(__xludf.DUMMYFUNCTION("""COMPUTED_VALUE"""),46182.35690972222)</f>
        <v>46182.35691</v>
      </c>
      <c r="B108" s="126">
        <f>IFERROR(__xludf.DUMMYFUNCTION("""COMPUTED_VALUE"""),46182.0)</f>
        <v>46182</v>
      </c>
      <c r="C108" s="122" t="str">
        <f>IFERROR(__xludf.DUMMYFUNCTION("""COMPUTED_VALUE"""),"9a5f2811")</f>
        <v>9a5f2811</v>
      </c>
      <c r="D108" s="122" t="str">
        <f>IFERROR(__xludf.DUMMYFUNCTION("""COMPUTED_VALUE"""),"Junyoung Yoo")</f>
        <v>Junyoung Yoo</v>
      </c>
      <c r="E108" s="122" t="str">
        <f>IFERROR(__xludf.DUMMYFUNCTION("""COMPUTED_VALUE"""),"REWARD")</f>
        <v>REWARD</v>
      </c>
      <c r="F108" s="128">
        <f>IFERROR(__xludf.DUMMYFUNCTION("""COMPUTED_VALUE"""),10.0)</f>
        <v>10</v>
      </c>
      <c r="G108" s="128">
        <f>IFERROR(__xludf.DUMMYFUNCTION("""COMPUTED_VALUE"""),54.4)</f>
        <v>54.4</v>
      </c>
      <c r="H108" s="128">
        <f>IFERROR(__xludf.DUMMYFUNCTION("""COMPUTED_VALUE"""),64.4)</f>
        <v>64.4</v>
      </c>
      <c r="I108" s="122"/>
      <c r="J108" s="122"/>
      <c r="K108" s="122" t="str">
        <f>IFERROR(__xludf.DUMMYFUNCTION("""COMPUTED_VALUE"""),"On-time attendance reward")</f>
        <v>On-time attendance reward</v>
      </c>
      <c r="L108" s="122" t="str">
        <f>IFERROR(__xludf.DUMMYFUNCTION("""COMPUTED_VALUE"""),"Success")</f>
        <v>Success</v>
      </c>
    </row>
    <row r="109">
      <c r="A109" s="129">
        <f>IFERROR(__xludf.DUMMYFUNCTION("""COMPUTED_VALUE"""),46182.35728009259)</f>
        <v>46182.35728</v>
      </c>
      <c r="B109" s="126">
        <f>IFERROR(__xludf.DUMMYFUNCTION("""COMPUTED_VALUE"""),46182.0)</f>
        <v>46182</v>
      </c>
      <c r="C109" s="122" t="str">
        <f>IFERROR(__xludf.DUMMYFUNCTION("""COMPUTED_VALUE"""),"ba353911")</f>
        <v>ba353911</v>
      </c>
      <c r="D109" s="122" t="str">
        <f>IFERROR(__xludf.DUMMYFUNCTION("""COMPUTED_VALUE"""),"Dayeon Kang")</f>
        <v>Dayeon Kang</v>
      </c>
      <c r="E109" s="122" t="str">
        <f>IFERROR(__xludf.DUMMYFUNCTION("""COMPUTED_VALUE"""),"REWARD")</f>
        <v>REWARD</v>
      </c>
      <c r="F109" s="128">
        <f>IFERROR(__xludf.DUMMYFUNCTION("""COMPUTED_VALUE"""),10.0)</f>
        <v>10</v>
      </c>
      <c r="G109" s="128">
        <f>IFERROR(__xludf.DUMMYFUNCTION("""COMPUTED_VALUE"""),311.98)</f>
        <v>311.98</v>
      </c>
      <c r="H109" s="128">
        <f>IFERROR(__xludf.DUMMYFUNCTION("""COMPUTED_VALUE"""),321.98)</f>
        <v>321.98</v>
      </c>
      <c r="I109" s="122"/>
      <c r="J109" s="122"/>
      <c r="K109" s="122" t="str">
        <f>IFERROR(__xludf.DUMMYFUNCTION("""COMPUTED_VALUE"""),"On-time attendance reward")</f>
        <v>On-time attendance reward</v>
      </c>
      <c r="L109" s="122" t="str">
        <f>IFERROR(__xludf.DUMMYFUNCTION("""COMPUTED_VALUE"""),"Success")</f>
        <v>Success</v>
      </c>
    </row>
    <row r="110">
      <c r="A110" s="129">
        <f>IFERROR(__xludf.DUMMYFUNCTION("""COMPUTED_VALUE"""),46182.358078703706)</f>
        <v>46182.35808</v>
      </c>
      <c r="B110" s="126">
        <f>IFERROR(__xludf.DUMMYFUNCTION("""COMPUTED_VALUE"""),46182.0)</f>
        <v>46182</v>
      </c>
      <c r="C110" s="122" t="str">
        <f>IFERROR(__xludf.DUMMYFUNCTION("""COMPUTED_VALUE"""),"5a032611")</f>
        <v>5a032611</v>
      </c>
      <c r="D110" s="122" t="str">
        <f>IFERROR(__xludf.DUMMYFUNCTION("""COMPUTED_VALUE"""),"Harold Dou")</f>
        <v>Harold Dou</v>
      </c>
      <c r="E110" s="122" t="str">
        <f>IFERROR(__xludf.DUMMYFUNCTION("""COMPUTED_VALUE"""),"REWARD")</f>
        <v>REWARD</v>
      </c>
      <c r="F110" s="128">
        <f>IFERROR(__xludf.DUMMYFUNCTION("""COMPUTED_VALUE"""),10.0)</f>
        <v>10</v>
      </c>
      <c r="G110" s="128">
        <f>IFERROR(__xludf.DUMMYFUNCTION("""COMPUTED_VALUE"""),575.0)</f>
        <v>575</v>
      </c>
      <c r="H110" s="128">
        <f>IFERROR(__xludf.DUMMYFUNCTION("""COMPUTED_VALUE"""),585.0)</f>
        <v>585</v>
      </c>
      <c r="I110" s="122"/>
      <c r="J110" s="122"/>
      <c r="K110" s="122" t="str">
        <f>IFERROR(__xludf.DUMMYFUNCTION("""COMPUTED_VALUE"""),"On-time attendance reward")</f>
        <v>On-time attendance reward</v>
      </c>
      <c r="L110" s="122" t="str">
        <f>IFERROR(__xludf.DUMMYFUNCTION("""COMPUTED_VALUE"""),"Success")</f>
        <v>Success</v>
      </c>
    </row>
    <row r="111">
      <c r="A111" s="129">
        <f>IFERROR(__xludf.DUMMYFUNCTION("""COMPUTED_VALUE"""),46183.34612268519)</f>
        <v>46183.34612</v>
      </c>
      <c r="B111" s="126">
        <f>IFERROR(__xludf.DUMMYFUNCTION("""COMPUTED_VALUE"""),46183.0)</f>
        <v>46183</v>
      </c>
      <c r="C111" s="122" t="str">
        <f>IFERROR(__xludf.DUMMYFUNCTION("""COMPUTED_VALUE"""),"ba912211")</f>
        <v>ba912211</v>
      </c>
      <c r="D111" s="122" t="str">
        <f>IFERROR(__xludf.DUMMYFUNCTION("""COMPUTED_VALUE"""),"Daisy Doh")</f>
        <v>Daisy Doh</v>
      </c>
      <c r="E111" s="122" t="str">
        <f>IFERROR(__xludf.DUMMYFUNCTION("""COMPUTED_VALUE"""),"REWARD")</f>
        <v>REWARD</v>
      </c>
      <c r="F111" s="128">
        <f>IFERROR(__xludf.DUMMYFUNCTION("""COMPUTED_VALUE"""),10.0)</f>
        <v>10</v>
      </c>
      <c r="G111" s="128">
        <f>IFERROR(__xludf.DUMMYFUNCTION("""COMPUTED_VALUE"""),716.29)</f>
        <v>716.29</v>
      </c>
      <c r="H111" s="128">
        <f>IFERROR(__xludf.DUMMYFUNCTION("""COMPUTED_VALUE"""),726.29)</f>
        <v>726.29</v>
      </c>
      <c r="I111" s="122"/>
      <c r="J111" s="122"/>
      <c r="K111" s="122" t="str">
        <f>IFERROR(__xludf.DUMMYFUNCTION("""COMPUTED_VALUE"""),"On-time attendance reward")</f>
        <v>On-time attendance reward</v>
      </c>
      <c r="L111" s="122" t="str">
        <f>IFERROR(__xludf.DUMMYFUNCTION("""COMPUTED_VALUE"""),"Success")</f>
        <v>Success</v>
      </c>
    </row>
    <row r="112">
      <c r="A112" s="129">
        <f>IFERROR(__xludf.DUMMYFUNCTION("""COMPUTED_VALUE"""),46183.35053240741)</f>
        <v>46183.35053</v>
      </c>
      <c r="B112" s="126">
        <f>IFERROR(__xludf.DUMMYFUNCTION("""COMPUTED_VALUE"""),46183.0)</f>
        <v>46183</v>
      </c>
      <c r="C112" s="122" t="str">
        <f>IFERROR(__xludf.DUMMYFUNCTION("""COMPUTED_VALUE"""),"5c07fef4")</f>
        <v>5c07fef4</v>
      </c>
      <c r="D112" s="122" t="str">
        <f>IFERROR(__xludf.DUMMYFUNCTION("""COMPUTED_VALUE"""),"Tiffany Kim")</f>
        <v>Tiffany Kim</v>
      </c>
      <c r="E112" s="122" t="str">
        <f>IFERROR(__xludf.DUMMYFUNCTION("""COMPUTED_VALUE"""),"REWARD")</f>
        <v>REWARD</v>
      </c>
      <c r="F112" s="128">
        <f>IFERROR(__xludf.DUMMYFUNCTION("""COMPUTED_VALUE"""),10.0)</f>
        <v>10</v>
      </c>
      <c r="G112" s="128">
        <f>IFERROR(__xludf.DUMMYFUNCTION("""COMPUTED_VALUE"""),600.0)</f>
        <v>600</v>
      </c>
      <c r="H112" s="128">
        <f>IFERROR(__xludf.DUMMYFUNCTION("""COMPUTED_VALUE"""),610.0)</f>
        <v>610</v>
      </c>
      <c r="I112" s="122"/>
      <c r="J112" s="122"/>
      <c r="K112" s="122" t="str">
        <f>IFERROR(__xludf.DUMMYFUNCTION("""COMPUTED_VALUE"""),"On-time attendance reward")</f>
        <v>On-time attendance reward</v>
      </c>
      <c r="L112" s="122" t="str">
        <f>IFERROR(__xludf.DUMMYFUNCTION("""COMPUTED_VALUE"""),"Success")</f>
        <v>Success</v>
      </c>
    </row>
    <row r="113">
      <c r="A113" s="129">
        <f>IFERROR(__xludf.DUMMYFUNCTION("""COMPUTED_VALUE"""),46183.35241898148)</f>
        <v>46183.35242</v>
      </c>
      <c r="B113" s="126">
        <f>IFERROR(__xludf.DUMMYFUNCTION("""COMPUTED_VALUE"""),46183.0)</f>
        <v>46183</v>
      </c>
      <c r="C113" s="122" t="str">
        <f>IFERROR(__xludf.DUMMYFUNCTION("""COMPUTED_VALUE"""),"ae072910")</f>
        <v>ae072910</v>
      </c>
      <c r="D113" s="122" t="str">
        <f>IFERROR(__xludf.DUMMYFUNCTION("""COMPUTED_VALUE"""),"Selena Jung")</f>
        <v>Selena Jung</v>
      </c>
      <c r="E113" s="122" t="str">
        <f>IFERROR(__xludf.DUMMYFUNCTION("""COMPUTED_VALUE"""),"REWARD")</f>
        <v>REWARD</v>
      </c>
      <c r="F113" s="128">
        <f>IFERROR(__xludf.DUMMYFUNCTION("""COMPUTED_VALUE"""),10.0)</f>
        <v>10</v>
      </c>
      <c r="G113" s="128">
        <f>IFERROR(__xludf.DUMMYFUNCTION("""COMPUTED_VALUE"""),492.79)</f>
        <v>492.79</v>
      </c>
      <c r="H113" s="128">
        <f>IFERROR(__xludf.DUMMYFUNCTION("""COMPUTED_VALUE"""),502.79)</f>
        <v>502.79</v>
      </c>
      <c r="I113" s="122"/>
      <c r="J113" s="122"/>
      <c r="K113" s="122" t="str">
        <f>IFERROR(__xludf.DUMMYFUNCTION("""COMPUTED_VALUE"""),"On-time attendance reward")</f>
        <v>On-time attendance reward</v>
      </c>
      <c r="L113" s="122" t="str">
        <f>IFERROR(__xludf.DUMMYFUNCTION("""COMPUTED_VALUE"""),"Success")</f>
        <v>Success</v>
      </c>
    </row>
    <row r="114">
      <c r="A114" s="129">
        <f>IFERROR(__xludf.DUMMYFUNCTION("""COMPUTED_VALUE"""),46183.353530092594)</f>
        <v>46183.35353</v>
      </c>
      <c r="B114" s="126">
        <f>IFERROR(__xludf.DUMMYFUNCTION("""COMPUTED_VALUE"""),46183.0)</f>
        <v>46183</v>
      </c>
      <c r="C114" s="122" t="str">
        <f>IFERROR(__xludf.DUMMYFUNCTION("""COMPUTED_VALUE"""),"dc04eef4")</f>
        <v>dc04eef4</v>
      </c>
      <c r="D114" s="122" t="str">
        <f>IFERROR(__xludf.DUMMYFUNCTION("""COMPUTED_VALUE"""),"Joshua Jung")</f>
        <v>Joshua Jung</v>
      </c>
      <c r="E114" s="122" t="str">
        <f>IFERROR(__xludf.DUMMYFUNCTION("""COMPUTED_VALUE"""),"REWARD")</f>
        <v>REWARD</v>
      </c>
      <c r="F114" s="128">
        <f>IFERROR(__xludf.DUMMYFUNCTION("""COMPUTED_VALUE"""),10.0)</f>
        <v>10</v>
      </c>
      <c r="G114" s="128">
        <f>IFERROR(__xludf.DUMMYFUNCTION("""COMPUTED_VALUE"""),295.16)</f>
        <v>295.16</v>
      </c>
      <c r="H114" s="128">
        <f>IFERROR(__xludf.DUMMYFUNCTION("""COMPUTED_VALUE"""),305.16)</f>
        <v>305.16</v>
      </c>
      <c r="I114" s="122"/>
      <c r="J114" s="122"/>
      <c r="K114" s="122" t="str">
        <f>IFERROR(__xludf.DUMMYFUNCTION("""COMPUTED_VALUE"""),"On-time attendance reward")</f>
        <v>On-time attendance reward</v>
      </c>
      <c r="L114" s="122" t="str">
        <f>IFERROR(__xludf.DUMMYFUNCTION("""COMPUTED_VALUE"""),"Success")</f>
        <v>Success</v>
      </c>
    </row>
    <row r="115">
      <c r="A115" s="129">
        <f>IFERROR(__xludf.DUMMYFUNCTION("""COMPUTED_VALUE"""),46183.35503472222)</f>
        <v>46183.35503</v>
      </c>
      <c r="B115" s="126">
        <f>IFERROR(__xludf.DUMMYFUNCTION("""COMPUTED_VALUE"""),46183.0)</f>
        <v>46183</v>
      </c>
      <c r="C115" s="122" t="str">
        <f>IFERROR(__xludf.DUMMYFUNCTION("""COMPUTED_VALUE"""),"7c4e261e")</f>
        <v>7c4e261e</v>
      </c>
      <c r="D115" s="122" t="str">
        <f>IFERROR(__xludf.DUMMYFUNCTION("""COMPUTED_VALUE"""),"Suha Lee")</f>
        <v>Suha Lee</v>
      </c>
      <c r="E115" s="122" t="str">
        <f>IFERROR(__xludf.DUMMYFUNCTION("""COMPUTED_VALUE"""),"REWARD")</f>
        <v>REWARD</v>
      </c>
      <c r="F115" s="128">
        <f>IFERROR(__xludf.DUMMYFUNCTION("""COMPUTED_VALUE"""),10.0)</f>
        <v>10</v>
      </c>
      <c r="G115" s="128">
        <f>IFERROR(__xludf.DUMMYFUNCTION("""COMPUTED_VALUE"""),487.76)</f>
        <v>487.76</v>
      </c>
      <c r="H115" s="128">
        <f>IFERROR(__xludf.DUMMYFUNCTION("""COMPUTED_VALUE"""),497.76)</f>
        <v>497.76</v>
      </c>
      <c r="I115" s="122"/>
      <c r="J115" s="122"/>
      <c r="K115" s="122" t="str">
        <f>IFERROR(__xludf.DUMMYFUNCTION("""COMPUTED_VALUE"""),"On-time attendance reward")</f>
        <v>On-time attendance reward</v>
      </c>
      <c r="L115" s="122" t="str">
        <f>IFERROR(__xludf.DUMMYFUNCTION("""COMPUTED_VALUE"""),"Success")</f>
        <v>Success</v>
      </c>
    </row>
    <row r="116">
      <c r="A116" s="129">
        <f>IFERROR(__xludf.DUMMYFUNCTION("""COMPUTED_VALUE"""),46183.35627314815)</f>
        <v>46183.35627</v>
      </c>
      <c r="B116" s="126">
        <f>IFERROR(__xludf.DUMMYFUNCTION("""COMPUTED_VALUE"""),46183.0)</f>
        <v>46183</v>
      </c>
      <c r="C116" s="122" t="str">
        <f>IFERROR(__xludf.DUMMYFUNCTION("""COMPUTED_VALUE"""),"1e3e1410")</f>
        <v>1e3e1410</v>
      </c>
      <c r="D116" s="122" t="str">
        <f>IFERROR(__xludf.DUMMYFUNCTION("""COMPUTED_VALUE"""),"Junjae Park")</f>
        <v>Junjae Park</v>
      </c>
      <c r="E116" s="122" t="str">
        <f>IFERROR(__xludf.DUMMYFUNCTION("""COMPUTED_VALUE"""),"REWARD")</f>
        <v>REWARD</v>
      </c>
      <c r="F116" s="128">
        <f>IFERROR(__xludf.DUMMYFUNCTION("""COMPUTED_VALUE"""),10.0)</f>
        <v>10</v>
      </c>
      <c r="G116" s="128">
        <f>IFERROR(__xludf.DUMMYFUNCTION("""COMPUTED_VALUE"""),64.8)</f>
        <v>64.8</v>
      </c>
      <c r="H116" s="128">
        <f>IFERROR(__xludf.DUMMYFUNCTION("""COMPUTED_VALUE"""),74.8)</f>
        <v>74.8</v>
      </c>
      <c r="I116" s="122"/>
      <c r="J116" s="122"/>
      <c r="K116" s="122" t="str">
        <f>IFERROR(__xludf.DUMMYFUNCTION("""COMPUTED_VALUE"""),"On-time attendance reward")</f>
        <v>On-time attendance reward</v>
      </c>
      <c r="L116" s="122" t="str">
        <f>IFERROR(__xludf.DUMMYFUNCTION("""COMPUTED_VALUE"""),"Success")</f>
        <v>Success</v>
      </c>
    </row>
    <row r="117">
      <c r="A117" s="129">
        <f>IFERROR(__xludf.DUMMYFUNCTION("""COMPUTED_VALUE"""),46183.356770833336)</f>
        <v>46183.35677</v>
      </c>
      <c r="B117" s="126">
        <f>IFERROR(__xludf.DUMMYFUNCTION("""COMPUTED_VALUE"""),46183.0)</f>
        <v>46183</v>
      </c>
      <c r="C117" s="122" t="str">
        <f>IFERROR(__xludf.DUMMYFUNCTION("""COMPUTED_VALUE"""),"ba353911")</f>
        <v>ba353911</v>
      </c>
      <c r="D117" s="122" t="str">
        <f>IFERROR(__xludf.DUMMYFUNCTION("""COMPUTED_VALUE"""),"Dayeon Kang")</f>
        <v>Dayeon Kang</v>
      </c>
      <c r="E117" s="122" t="str">
        <f>IFERROR(__xludf.DUMMYFUNCTION("""COMPUTED_VALUE"""),"REWARD")</f>
        <v>REWARD</v>
      </c>
      <c r="F117" s="128">
        <f>IFERROR(__xludf.DUMMYFUNCTION("""COMPUTED_VALUE"""),10.0)</f>
        <v>10</v>
      </c>
      <c r="G117" s="128">
        <f>IFERROR(__xludf.DUMMYFUNCTION("""COMPUTED_VALUE"""),321.98)</f>
        <v>321.98</v>
      </c>
      <c r="H117" s="128">
        <f>IFERROR(__xludf.DUMMYFUNCTION("""COMPUTED_VALUE"""),331.98)</f>
        <v>331.98</v>
      </c>
      <c r="I117" s="122"/>
      <c r="J117" s="122"/>
      <c r="K117" s="122" t="str">
        <f>IFERROR(__xludf.DUMMYFUNCTION("""COMPUTED_VALUE"""),"On-time attendance reward")</f>
        <v>On-time attendance reward</v>
      </c>
      <c r="L117" s="122" t="str">
        <f>IFERROR(__xludf.DUMMYFUNCTION("""COMPUTED_VALUE"""),"Success")</f>
        <v>Success</v>
      </c>
    </row>
    <row r="118">
      <c r="A118" s="129">
        <f>IFERROR(__xludf.DUMMYFUNCTION("""COMPUTED_VALUE"""),46183.3696412037)</f>
        <v>46183.36964</v>
      </c>
      <c r="B118" s="126">
        <f>IFERROR(__xludf.DUMMYFUNCTION("""COMPUTED_VALUE"""),46183.0)</f>
        <v>46183</v>
      </c>
      <c r="C118" s="122" t="str">
        <f>IFERROR(__xludf.DUMMYFUNCTION("""COMPUTED_VALUE"""),"9a5f2811")</f>
        <v>9a5f2811</v>
      </c>
      <c r="D118" s="122" t="str">
        <f>IFERROR(__xludf.DUMMYFUNCTION("""COMPUTED_VALUE"""),"Junyoung Yoo")</f>
        <v>Junyoung Yoo</v>
      </c>
      <c r="E118" s="122" t="str">
        <f>IFERROR(__xludf.DUMMYFUNCTION("""COMPUTED_VALUE"""),"FINE")</f>
        <v>FINE</v>
      </c>
      <c r="F118" s="128">
        <f>IFERROR(__xludf.DUMMYFUNCTION("""COMPUTED_VALUE"""),10.0)</f>
        <v>10</v>
      </c>
      <c r="G118" s="128">
        <f>IFERROR(__xludf.DUMMYFUNCTION("""COMPUTED_VALUE"""),64.4)</f>
        <v>64.4</v>
      </c>
      <c r="H118" s="128">
        <f>IFERROR(__xludf.DUMMYFUNCTION("""COMPUTED_VALUE"""),54.400000000000006)</f>
        <v>54.4</v>
      </c>
      <c r="I118" s="122"/>
      <c r="J118" s="122"/>
      <c r="K118" s="122" t="str">
        <f>IFERROR(__xludf.DUMMYFUNCTION("""COMPUTED_VALUE"""),"Late attendance penalty")</f>
        <v>Late attendance penalty</v>
      </c>
      <c r="L118" s="122" t="str">
        <f>IFERROR(__xludf.DUMMYFUNCTION("""COMPUTED_VALUE"""),"Success")</f>
        <v>Success</v>
      </c>
    </row>
    <row r="119">
      <c r="A119" s="129">
        <f>IFERROR(__xludf.DUMMYFUNCTION("""COMPUTED_VALUE"""),46183.49630787037)</f>
        <v>46183.49631</v>
      </c>
      <c r="B119" s="126">
        <f>IFERROR(__xludf.DUMMYFUNCTION("""COMPUTED_VALUE"""),46183.0)</f>
        <v>46183</v>
      </c>
      <c r="C119" s="122" t="str">
        <f>IFERROR(__xludf.DUMMYFUNCTION("""COMPUTED_VALUE"""),"ae072910")</f>
        <v>ae072910</v>
      </c>
      <c r="D119" s="122" t="str">
        <f>IFERROR(__xludf.DUMMYFUNCTION("""COMPUTED_VALUE"""),"Selena Jung")</f>
        <v>Selena Jung</v>
      </c>
      <c r="E119" s="122" t="str">
        <f>IFERROR(__xludf.DUMMYFUNCTION("""COMPUTED_VALUE"""),"STORE_PURCHASE")</f>
        <v>STORE_PURCHASE</v>
      </c>
      <c r="F119" s="128">
        <f>IFERROR(__xludf.DUMMYFUNCTION("""COMPUTED_VALUE"""),100.0)</f>
        <v>100</v>
      </c>
      <c r="G119" s="128">
        <f>IFERROR(__xludf.DUMMYFUNCTION("""COMPUTED_VALUE"""),502.79)</f>
        <v>502.79</v>
      </c>
      <c r="H119" s="128">
        <f>IFERROR(__xludf.DUMMYFUNCTION("""COMPUTED_VALUE"""),402.79)</f>
        <v>402.79</v>
      </c>
      <c r="I119" s="122">
        <f>IFERROR(__xludf.DUMMYFUNCTION("""COMPUTED_VALUE"""),9965.0)</f>
        <v>9965</v>
      </c>
      <c r="J119" s="122" t="str">
        <f>IFERROR(__xludf.DUMMYFUNCTION("""COMPUTED_VALUE"""),"Market Prediction Report")</f>
        <v>Market Prediction Report</v>
      </c>
      <c r="K119" s="122" t="str">
        <f>IFERROR(__xludf.DUMMYFUNCTION("""COMPUTED_VALUE"""),"Store purchase")</f>
        <v>Store purchase</v>
      </c>
      <c r="L119" s="122" t="str">
        <f>IFERROR(__xludf.DUMMYFUNCTION("""COMPUTED_VALUE"""),"Success")</f>
        <v>Success</v>
      </c>
    </row>
    <row r="120">
      <c r="A120" s="129">
        <f>IFERROR(__xludf.DUMMYFUNCTION("""COMPUTED_VALUE"""),46183.53826388889)</f>
        <v>46183.53826</v>
      </c>
      <c r="B120" s="126">
        <f>IFERROR(__xludf.DUMMYFUNCTION("""COMPUTED_VALUE"""),46183.0)</f>
        <v>46183</v>
      </c>
      <c r="C120" s="122">
        <f>IFERROR(__xludf.DUMMYFUNCTION("""COMPUTED_VALUE"""),1234.0)</f>
        <v>1234</v>
      </c>
      <c r="D120" s="122" t="str">
        <f>IFERROR(__xludf.DUMMYFUNCTION("""COMPUTED_VALUE"""),"Test")</f>
        <v>Test</v>
      </c>
      <c r="E120" s="122" t="str">
        <f>IFERROR(__xludf.DUMMYFUNCTION("""COMPUTED_VALUE"""),"STORE_PURCHASE")</f>
        <v>STORE_PURCHASE</v>
      </c>
      <c r="F120" s="128">
        <f>IFERROR(__xludf.DUMMYFUNCTION("""COMPUTED_VALUE"""),200.0)</f>
        <v>200</v>
      </c>
      <c r="G120" s="128">
        <f>IFERROR(__xludf.DUMMYFUNCTION("""COMPUTED_VALUE"""),100000.0)</f>
        <v>100000</v>
      </c>
      <c r="H120" s="128">
        <f>IFERROR(__xludf.DUMMYFUNCTION("""COMPUTED_VALUE"""),99800.0)</f>
        <v>99800</v>
      </c>
      <c r="I120" s="122">
        <f>IFERROR(__xludf.DUMMYFUNCTION("""COMPUTED_VALUE"""),5587.0)</f>
        <v>5587</v>
      </c>
      <c r="J120" s="122" t="str">
        <f>IFERROR(__xludf.DUMMYFUNCTION("""COMPUTED_VALUE"""),"Homework Pass")</f>
        <v>Homework Pass</v>
      </c>
      <c r="K120" s="122" t="str">
        <f>IFERROR(__xludf.DUMMYFUNCTION("""COMPUTED_VALUE"""),"Store purchase")</f>
        <v>Store purchase</v>
      </c>
      <c r="L120" s="122" t="str">
        <f>IFERROR(__xludf.DUMMYFUNCTION("""COMPUTED_VALUE"""),"Success")</f>
        <v>Success</v>
      </c>
    </row>
    <row r="121">
      <c r="A121" s="129">
        <f>IFERROR(__xludf.DUMMYFUNCTION("""COMPUTED_VALUE"""),46183.549467592595)</f>
        <v>46183.54947</v>
      </c>
      <c r="B121" s="126">
        <f>IFERROR(__xludf.DUMMYFUNCTION("""COMPUTED_VALUE"""),46183.0)</f>
        <v>46183</v>
      </c>
      <c r="C121" s="122">
        <f>IFERROR(__xludf.DUMMYFUNCTION("""COMPUTED_VALUE"""),1234.0)</f>
        <v>1234</v>
      </c>
      <c r="D121" s="122" t="str">
        <f>IFERROR(__xludf.DUMMYFUNCTION("""COMPUTED_VALUE"""),"Test")</f>
        <v>Test</v>
      </c>
      <c r="E121" s="122" t="str">
        <f>IFERROR(__xludf.DUMMYFUNCTION("""COMPUTED_VALUE"""),"STORE_PURCHASE")</f>
        <v>STORE_PURCHASE</v>
      </c>
      <c r="F121" s="128">
        <f>IFERROR(__xludf.DUMMYFUNCTION("""COMPUTED_VALUE"""),200.0)</f>
        <v>200</v>
      </c>
      <c r="G121" s="128">
        <f>IFERROR(__xludf.DUMMYFUNCTION("""COMPUTED_VALUE"""),99800.0)</f>
        <v>99800</v>
      </c>
      <c r="H121" s="128">
        <f>IFERROR(__xludf.DUMMYFUNCTION("""COMPUTED_VALUE"""),99600.0)</f>
        <v>99600</v>
      </c>
      <c r="I121" s="122">
        <f>IFERROR(__xludf.DUMMYFUNCTION("""COMPUTED_VALUE"""),5587.0)</f>
        <v>5587</v>
      </c>
      <c r="J121" s="122" t="str">
        <f>IFERROR(__xludf.DUMMYFUNCTION("""COMPUTED_VALUE"""),"Homework Pass")</f>
        <v>Homework Pass</v>
      </c>
      <c r="K121" s="122" t="str">
        <f>IFERROR(__xludf.DUMMYFUNCTION("""COMPUTED_VALUE"""),"Store purchase")</f>
        <v>Store purchase</v>
      </c>
      <c r="L121" s="122" t="str">
        <f>IFERROR(__xludf.DUMMYFUNCTION("""COMPUTED_VALUE"""),"Success")</f>
        <v>Success</v>
      </c>
    </row>
    <row r="122">
      <c r="A122" s="129">
        <f>IFERROR(__xludf.DUMMYFUNCTION("""COMPUTED_VALUE"""),46183.54954861111)</f>
        <v>46183.54955</v>
      </c>
      <c r="B122" s="126">
        <f>IFERROR(__xludf.DUMMYFUNCTION("""COMPUTED_VALUE"""),46183.0)</f>
        <v>46183</v>
      </c>
      <c r="C122" s="122">
        <f>IFERROR(__xludf.DUMMYFUNCTION("""COMPUTED_VALUE"""),1234.0)</f>
        <v>1234</v>
      </c>
      <c r="D122" s="122" t="str">
        <f>IFERROR(__xludf.DUMMYFUNCTION("""COMPUTED_VALUE"""),"Test")</f>
        <v>Test</v>
      </c>
      <c r="E122" s="122" t="str">
        <f>IFERROR(__xludf.DUMMYFUNCTION("""COMPUTED_VALUE"""),"USE_ITEM")</f>
        <v>USE_ITEM</v>
      </c>
      <c r="F122" s="128">
        <f>IFERROR(__xludf.DUMMYFUNCTION("""COMPUTED_VALUE"""),0.0)</f>
        <v>0</v>
      </c>
      <c r="G122" s="128">
        <f>IFERROR(__xludf.DUMMYFUNCTION("""COMPUTED_VALUE"""),99600.0)</f>
        <v>99600</v>
      </c>
      <c r="H122" s="128">
        <f>IFERROR(__xludf.DUMMYFUNCTION("""COMPUTED_VALUE"""),99600.0)</f>
        <v>99600</v>
      </c>
      <c r="I122" s="122">
        <f>IFERROR(__xludf.DUMMYFUNCTION("""COMPUTED_VALUE"""),5587.0)</f>
        <v>5587</v>
      </c>
      <c r="J122" s="122" t="str">
        <f>IFERROR(__xludf.DUMMYFUNCTION("""COMPUTED_VALUE"""),"Homework Pass")</f>
        <v>Homework Pass</v>
      </c>
      <c r="K122" s="122" t="str">
        <f>IFERROR(__xludf.DUMMYFUNCTION("""COMPUTED_VALUE"""),"Testing item-use request from api-test-logger.gs")</f>
        <v>Testing item-use request from api-test-logger.gs</v>
      </c>
      <c r="L122" s="122" t="str">
        <f>IFERROR(__xludf.DUMMYFUNCTION("""COMPUTED_VALUE"""),"Pending")</f>
        <v>Pending</v>
      </c>
    </row>
    <row r="123">
      <c r="A123" s="129">
        <f>IFERROR(__xludf.DUMMYFUNCTION("""COMPUTED_VALUE"""),46183.553935185184)</f>
        <v>46183.55394</v>
      </c>
      <c r="B123" s="126">
        <f>IFERROR(__xludf.DUMMYFUNCTION("""COMPUTED_VALUE"""),46183.0)</f>
        <v>46183</v>
      </c>
      <c r="C123" s="122">
        <f>IFERROR(__xludf.DUMMYFUNCTION("""COMPUTED_VALUE"""),7302.0)</f>
        <v>7302</v>
      </c>
      <c r="D123" s="122" t="str">
        <f>IFERROR(__xludf.DUMMYFUNCTION("""COMPUTED_VALUE"""),"Claire Yang")</f>
        <v>Claire Yang</v>
      </c>
      <c r="E123" s="122" t="str">
        <f>IFERROR(__xludf.DUMMYFUNCTION("""COMPUTED_VALUE"""),"STORE_PURCHASE")</f>
        <v>STORE_PURCHASE</v>
      </c>
      <c r="F123" s="128">
        <f>IFERROR(__xludf.DUMMYFUNCTION("""COMPUTED_VALUE"""),200.0)</f>
        <v>200</v>
      </c>
      <c r="G123" s="128">
        <f>IFERROR(__xludf.DUMMYFUNCTION("""COMPUTED_VALUE"""),1000.0)</f>
        <v>1000</v>
      </c>
      <c r="H123" s="128">
        <f>IFERROR(__xludf.DUMMYFUNCTION("""COMPUTED_VALUE"""),800.0)</f>
        <v>800</v>
      </c>
      <c r="I123" s="122">
        <f>IFERROR(__xludf.DUMMYFUNCTION("""COMPUTED_VALUE"""),5587.0)</f>
        <v>5587</v>
      </c>
      <c r="J123" s="122" t="str">
        <f>IFERROR(__xludf.DUMMYFUNCTION("""COMPUTED_VALUE"""),"Homework Pass")</f>
        <v>Homework Pass</v>
      </c>
      <c r="K123" s="122" t="str">
        <f>IFERROR(__xludf.DUMMYFUNCTION("""COMPUTED_VALUE"""),"Store purchase")</f>
        <v>Store purchase</v>
      </c>
      <c r="L123" s="122" t="str">
        <f>IFERROR(__xludf.DUMMYFUNCTION("""COMPUTED_VALUE"""),"Success")</f>
        <v>Success</v>
      </c>
    </row>
    <row r="124">
      <c r="A124" s="129">
        <f>IFERROR(__xludf.DUMMYFUNCTION("""COMPUTED_VALUE"""),46183.55417824074)</f>
        <v>46183.55418</v>
      </c>
      <c r="B124" s="126">
        <f>IFERROR(__xludf.DUMMYFUNCTION("""COMPUTED_VALUE"""),46183.0)</f>
        <v>46183</v>
      </c>
      <c r="C124" s="122">
        <f>IFERROR(__xludf.DUMMYFUNCTION("""COMPUTED_VALUE"""),3466.0)</f>
        <v>3466</v>
      </c>
      <c r="D124" s="122" t="str">
        <f>IFERROR(__xludf.DUMMYFUNCTION("""COMPUTED_VALUE"""),"Jay Kim")</f>
        <v>Jay Kim</v>
      </c>
      <c r="E124" s="122" t="str">
        <f>IFERROR(__xludf.DUMMYFUNCTION("""COMPUTED_VALUE"""),"STORE_PURCHASE")</f>
        <v>STORE_PURCHASE</v>
      </c>
      <c r="F124" s="128">
        <f>IFERROR(__xludf.DUMMYFUNCTION("""COMPUTED_VALUE"""),100.0)</f>
        <v>100</v>
      </c>
      <c r="G124" s="128">
        <f>IFERROR(__xludf.DUMMYFUNCTION("""COMPUTED_VALUE"""),1000.0)</f>
        <v>1000</v>
      </c>
      <c r="H124" s="128">
        <f>IFERROR(__xludf.DUMMYFUNCTION("""COMPUTED_VALUE"""),900.0)</f>
        <v>900</v>
      </c>
      <c r="I124" s="122">
        <f>IFERROR(__xludf.DUMMYFUNCTION("""COMPUTED_VALUE"""),9965.0)</f>
        <v>9965</v>
      </c>
      <c r="J124" s="122" t="str">
        <f>IFERROR(__xludf.DUMMYFUNCTION("""COMPUTED_VALUE"""),"Market Prediction Report")</f>
        <v>Market Prediction Report</v>
      </c>
      <c r="K124" s="122" t="str">
        <f>IFERROR(__xludf.DUMMYFUNCTION("""COMPUTED_VALUE"""),"Store purchase")</f>
        <v>Store purchase</v>
      </c>
      <c r="L124" s="122" t="str">
        <f>IFERROR(__xludf.DUMMYFUNCTION("""COMPUTED_VALUE"""),"Success")</f>
        <v>Success</v>
      </c>
    </row>
    <row r="125">
      <c r="A125" s="129">
        <f>IFERROR(__xludf.DUMMYFUNCTION("""COMPUTED_VALUE"""),46183.554444444446)</f>
        <v>46183.55444</v>
      </c>
      <c r="B125" s="126">
        <f>IFERROR(__xludf.DUMMYFUNCTION("""COMPUTED_VALUE"""),46183.0)</f>
        <v>46183</v>
      </c>
      <c r="C125" s="122">
        <f>IFERROR(__xludf.DUMMYFUNCTION("""COMPUTED_VALUE"""),7302.0)</f>
        <v>7302</v>
      </c>
      <c r="D125" s="122" t="str">
        <f>IFERROR(__xludf.DUMMYFUNCTION("""COMPUTED_VALUE"""),"Claire Yang")</f>
        <v>Claire Yang</v>
      </c>
      <c r="E125" s="122" t="str">
        <f>IFERROR(__xludf.DUMMYFUNCTION("""COMPUTED_VALUE"""),"STORE_PURCHASE")</f>
        <v>STORE_PURCHASE</v>
      </c>
      <c r="F125" s="128">
        <f>IFERROR(__xludf.DUMMYFUNCTION("""COMPUTED_VALUE"""),100.0)</f>
        <v>100</v>
      </c>
      <c r="G125" s="128">
        <f>IFERROR(__xludf.DUMMYFUNCTION("""COMPUTED_VALUE"""),800.0)</f>
        <v>800</v>
      </c>
      <c r="H125" s="128">
        <f>IFERROR(__xludf.DUMMYFUNCTION("""COMPUTED_VALUE"""),700.0)</f>
        <v>700</v>
      </c>
      <c r="I125" s="122">
        <f>IFERROR(__xludf.DUMMYFUNCTION("""COMPUTED_VALUE"""),2241.0)</f>
        <v>2241</v>
      </c>
      <c r="J125" s="122" t="str">
        <f>IFERROR(__xludf.DUMMYFUNCTION("""COMPUTED_VALUE"""),"Relaxation Pass")</f>
        <v>Relaxation Pass</v>
      </c>
      <c r="K125" s="122" t="str">
        <f>IFERROR(__xludf.DUMMYFUNCTION("""COMPUTED_VALUE"""),"Store purchase")</f>
        <v>Store purchase</v>
      </c>
      <c r="L125" s="122" t="str">
        <f>IFERROR(__xludf.DUMMYFUNCTION("""COMPUTED_VALUE"""),"Success")</f>
        <v>Success</v>
      </c>
    </row>
    <row r="126">
      <c r="A126" s="129">
        <f>IFERROR(__xludf.DUMMYFUNCTION("""COMPUTED_VALUE"""),46183.555289351854)</f>
        <v>46183.55529</v>
      </c>
      <c r="B126" s="126">
        <f>IFERROR(__xludf.DUMMYFUNCTION("""COMPUTED_VALUE"""),46183.0)</f>
        <v>46183</v>
      </c>
      <c r="C126" s="122">
        <f>IFERROR(__xludf.DUMMYFUNCTION("""COMPUTED_VALUE"""),8300.0)</f>
        <v>8300</v>
      </c>
      <c r="D126" s="122" t="str">
        <f>IFERROR(__xludf.DUMMYFUNCTION("""COMPUTED_VALUE"""),"Andy Lee")</f>
        <v>Andy Lee</v>
      </c>
      <c r="E126" s="122" t="str">
        <f>IFERROR(__xludf.DUMMYFUNCTION("""COMPUTED_VALUE"""),"STORE_PURCHASE")</f>
        <v>STORE_PURCHASE</v>
      </c>
      <c r="F126" s="128">
        <f>IFERROR(__xludf.DUMMYFUNCTION("""COMPUTED_VALUE"""),200.0)</f>
        <v>200</v>
      </c>
      <c r="G126" s="128">
        <f>IFERROR(__xludf.DUMMYFUNCTION("""COMPUTED_VALUE"""),492.94)</f>
        <v>492.94</v>
      </c>
      <c r="H126" s="128">
        <f>IFERROR(__xludf.DUMMYFUNCTION("""COMPUTED_VALUE"""),292.94)</f>
        <v>292.94</v>
      </c>
      <c r="I126" s="122">
        <f>IFERROR(__xludf.DUMMYFUNCTION("""COMPUTED_VALUE"""),3313.0)</f>
        <v>3313</v>
      </c>
      <c r="J126" s="122" t="str">
        <f>IFERROR(__xludf.DUMMYFUNCTION("""COMPUTED_VALUE"""),"+1 Assignment Bonus Token")</f>
        <v>+1 Assignment Bonus Token</v>
      </c>
      <c r="K126" s="122" t="str">
        <f>IFERROR(__xludf.DUMMYFUNCTION("""COMPUTED_VALUE"""),"Store purchase")</f>
        <v>Store purchase</v>
      </c>
      <c r="L126" s="122" t="str">
        <f>IFERROR(__xludf.DUMMYFUNCTION("""COMPUTED_VALUE"""),"Success")</f>
        <v>Success</v>
      </c>
    </row>
    <row r="127">
      <c r="A127" s="129">
        <f>IFERROR(__xludf.DUMMYFUNCTION("""COMPUTED_VALUE"""),46183.555497685185)</f>
        <v>46183.5555</v>
      </c>
      <c r="B127" s="126">
        <f>IFERROR(__xludf.DUMMYFUNCTION("""COMPUTED_VALUE"""),46183.0)</f>
        <v>46183</v>
      </c>
      <c r="C127" s="122">
        <f>IFERROR(__xludf.DUMMYFUNCTION("""COMPUTED_VALUE"""),7302.0)</f>
        <v>7302</v>
      </c>
      <c r="D127" s="122" t="str">
        <f>IFERROR(__xludf.DUMMYFUNCTION("""COMPUTED_VALUE"""),"Claire Yang")</f>
        <v>Claire Yang</v>
      </c>
      <c r="E127" s="122" t="str">
        <f>IFERROR(__xludf.DUMMYFUNCTION("""COMPUTED_VALUE"""),"STORE_PURCHASE")</f>
        <v>STORE_PURCHASE</v>
      </c>
      <c r="F127" s="128">
        <f>IFERROR(__xludf.DUMMYFUNCTION("""COMPUTED_VALUE"""),200.0)</f>
        <v>200</v>
      </c>
      <c r="G127" s="128">
        <f>IFERROR(__xludf.DUMMYFUNCTION("""COMPUTED_VALUE"""),700.0)</f>
        <v>700</v>
      </c>
      <c r="H127" s="128">
        <f>IFERROR(__xludf.DUMMYFUNCTION("""COMPUTED_VALUE"""),500.0)</f>
        <v>500</v>
      </c>
      <c r="I127" s="122">
        <f>IFERROR(__xludf.DUMMYFUNCTION("""COMPUTED_VALUE"""),5587.0)</f>
        <v>5587</v>
      </c>
      <c r="J127" s="122" t="str">
        <f>IFERROR(__xludf.DUMMYFUNCTION("""COMPUTED_VALUE"""),"Homework Pass")</f>
        <v>Homework Pass</v>
      </c>
      <c r="K127" s="122" t="str">
        <f>IFERROR(__xludf.DUMMYFUNCTION("""COMPUTED_VALUE"""),"Store purchase")</f>
        <v>Store purchase</v>
      </c>
      <c r="L127" s="122" t="str">
        <f>IFERROR(__xludf.DUMMYFUNCTION("""COMPUTED_VALUE"""),"Success")</f>
        <v>Success</v>
      </c>
    </row>
    <row r="128">
      <c r="A128" s="129">
        <f>IFERROR(__xludf.DUMMYFUNCTION("""COMPUTED_VALUE"""),46183.556435185186)</f>
        <v>46183.55644</v>
      </c>
      <c r="B128" s="126">
        <f>IFERROR(__xludf.DUMMYFUNCTION("""COMPUTED_VALUE"""),46183.0)</f>
        <v>46183</v>
      </c>
      <c r="C128" s="122">
        <f>IFERROR(__xludf.DUMMYFUNCTION("""COMPUTED_VALUE"""),7302.0)</f>
        <v>7302</v>
      </c>
      <c r="D128" s="122" t="str">
        <f>IFERROR(__xludf.DUMMYFUNCTION("""COMPUTED_VALUE"""),"Claire Yang")</f>
        <v>Claire Yang</v>
      </c>
      <c r="E128" s="122" t="str">
        <f>IFERROR(__xludf.DUMMYFUNCTION("""COMPUTED_VALUE"""),"STORE_PURCHASE")</f>
        <v>STORE_PURCHASE</v>
      </c>
      <c r="F128" s="128">
        <f>IFERROR(__xludf.DUMMYFUNCTION("""COMPUTED_VALUE"""),400.0)</f>
        <v>400</v>
      </c>
      <c r="G128" s="128">
        <f>IFERROR(__xludf.DUMMYFUNCTION("""COMPUTED_VALUE"""),500.0)</f>
        <v>500</v>
      </c>
      <c r="H128" s="128">
        <f>IFERROR(__xludf.DUMMYFUNCTION("""COMPUTED_VALUE"""),100.0)</f>
        <v>100</v>
      </c>
      <c r="I128" s="122">
        <f>IFERROR(__xludf.DUMMYFUNCTION("""COMPUTED_VALUE"""),5587.0)</f>
        <v>5587</v>
      </c>
      <c r="J128" s="122" t="str">
        <f>IFERROR(__xludf.DUMMYFUNCTION("""COMPUTED_VALUE"""),"Homework Pass")</f>
        <v>Homework Pass</v>
      </c>
      <c r="K128" s="122" t="str">
        <f>IFERROR(__xludf.DUMMYFUNCTION("""COMPUTED_VALUE"""),"Store purchase")</f>
        <v>Store purchase</v>
      </c>
      <c r="L128" s="122" t="str">
        <f>IFERROR(__xludf.DUMMYFUNCTION("""COMPUTED_VALUE"""),"Success")</f>
        <v>Success</v>
      </c>
    </row>
    <row r="129">
      <c r="A129" s="129">
        <f>IFERROR(__xludf.DUMMYFUNCTION("""COMPUTED_VALUE"""),46183.556805555556)</f>
        <v>46183.55681</v>
      </c>
      <c r="B129" s="126">
        <f>IFERROR(__xludf.DUMMYFUNCTION("""COMPUTED_VALUE"""),46183.0)</f>
        <v>46183</v>
      </c>
      <c r="C129" s="122">
        <f>IFERROR(__xludf.DUMMYFUNCTION("""COMPUTED_VALUE"""),7302.0)</f>
        <v>7302</v>
      </c>
      <c r="D129" s="122" t="str">
        <f>IFERROR(__xludf.DUMMYFUNCTION("""COMPUTED_VALUE"""),"Claire Yang")</f>
        <v>Claire Yang</v>
      </c>
      <c r="E129" s="122" t="str">
        <f>IFERROR(__xludf.DUMMYFUNCTION("""COMPUTED_VALUE"""),"STORE_PURCHASE")</f>
        <v>STORE_PURCHASE</v>
      </c>
      <c r="F129" s="128">
        <f>IFERROR(__xludf.DUMMYFUNCTION("""COMPUTED_VALUE"""),100.0)</f>
        <v>100</v>
      </c>
      <c r="G129" s="128">
        <f>IFERROR(__xludf.DUMMYFUNCTION("""COMPUTED_VALUE"""),100.0)</f>
        <v>100</v>
      </c>
      <c r="H129" s="128">
        <f>IFERROR(__xludf.DUMMYFUNCTION("""COMPUTED_VALUE"""),0.0)</f>
        <v>0</v>
      </c>
      <c r="I129" s="122">
        <f>IFERROR(__xludf.DUMMYFUNCTION("""COMPUTED_VALUE"""),6655.0)</f>
        <v>6655</v>
      </c>
      <c r="J129" s="122" t="str">
        <f>IFERROR(__xludf.DUMMYFUNCTION("""COMPUTED_VALUE"""),"Open-Note Quiz Pass")</f>
        <v>Open-Note Quiz Pass</v>
      </c>
      <c r="K129" s="122" t="str">
        <f>IFERROR(__xludf.DUMMYFUNCTION("""COMPUTED_VALUE"""),"Store purchase")</f>
        <v>Store purchase</v>
      </c>
      <c r="L129" s="122" t="str">
        <f>IFERROR(__xludf.DUMMYFUNCTION("""COMPUTED_VALUE"""),"Success")</f>
        <v>Success</v>
      </c>
    </row>
    <row r="130">
      <c r="A130" s="129">
        <f>IFERROR(__xludf.DUMMYFUNCTION("""COMPUTED_VALUE"""),46183.562789351854)</f>
        <v>46183.56279</v>
      </c>
      <c r="B130" s="126">
        <f>IFERROR(__xludf.DUMMYFUNCTION("""COMPUTED_VALUE"""),46183.0)</f>
        <v>46183</v>
      </c>
      <c r="C130" s="122">
        <f>IFERROR(__xludf.DUMMYFUNCTION("""COMPUTED_VALUE"""),1234.0)</f>
        <v>1234</v>
      </c>
      <c r="D130" s="122" t="str">
        <f>IFERROR(__xludf.DUMMYFUNCTION("""COMPUTED_VALUE"""),"Test")</f>
        <v>Test</v>
      </c>
      <c r="E130" s="122" t="str">
        <f>IFERROR(__xludf.DUMMYFUNCTION("""COMPUTED_VALUE"""),"USE_ITEM")</f>
        <v>USE_ITEM</v>
      </c>
      <c r="F130" s="128">
        <f>IFERROR(__xludf.DUMMYFUNCTION("""COMPUTED_VALUE"""),0.0)</f>
        <v>0</v>
      </c>
      <c r="G130" s="128">
        <f>IFERROR(__xludf.DUMMYFUNCTION("""COMPUTED_VALUE"""),99318.24)</f>
        <v>99318.24</v>
      </c>
      <c r="H130" s="128">
        <f>IFERROR(__xludf.DUMMYFUNCTION("""COMPUTED_VALUE"""),99318.24)</f>
        <v>99318.24</v>
      </c>
      <c r="I130" s="122">
        <f>IFERROR(__xludf.DUMMYFUNCTION("""COMPUTED_VALUE"""),5587.0)</f>
        <v>5587</v>
      </c>
      <c r="J130" s="122" t="str">
        <f>IFERROR(__xludf.DUMMYFUNCTION("""COMPUTED_VALUE"""),"Homework Pass")</f>
        <v>Homework Pass</v>
      </c>
      <c r="K130" s="122" t="str">
        <f>IFERROR(__xludf.DUMMYFUNCTION("""COMPUTED_VALUE"""),"Testing USE_ITEM through apiRouter.")</f>
        <v>Testing USE_ITEM through apiRouter.</v>
      </c>
      <c r="L130" s="122" t="str">
        <f>IFERROR(__xludf.DUMMYFUNCTION("""COMPUTED_VALUE"""),"Pending")</f>
        <v>Pending</v>
      </c>
    </row>
    <row r="131">
      <c r="A131" s="129">
        <f>IFERROR(__xludf.DUMMYFUNCTION("""COMPUTED_VALUE"""),46183.570289351854)</f>
        <v>46183.57029</v>
      </c>
      <c r="B131" s="126">
        <f>IFERROR(__xludf.DUMMYFUNCTION("""COMPUTED_VALUE"""),46183.0)</f>
        <v>46183</v>
      </c>
      <c r="C131" s="122">
        <f>IFERROR(__xludf.DUMMYFUNCTION("""COMPUTED_VALUE"""),1234.0)</f>
        <v>1234</v>
      </c>
      <c r="D131" s="122" t="str">
        <f>IFERROR(__xludf.DUMMYFUNCTION("""COMPUTED_VALUE"""),"Test")</f>
        <v>Test</v>
      </c>
      <c r="E131" s="122" t="str">
        <f>IFERROR(__xludf.DUMMYFUNCTION("""COMPUTED_VALUE"""),"USE_ITEM")</f>
        <v>USE_ITEM</v>
      </c>
      <c r="F131" s="128">
        <f>IFERROR(__xludf.DUMMYFUNCTION("""COMPUTED_VALUE"""),0.0)</f>
        <v>0</v>
      </c>
      <c r="G131" s="128">
        <f>IFERROR(__xludf.DUMMYFUNCTION("""COMPUTED_VALUE"""),99087.6)</f>
        <v>99087.6</v>
      </c>
      <c r="H131" s="128">
        <f>IFERROR(__xludf.DUMMYFUNCTION("""COMPUTED_VALUE"""),99087.6)</f>
        <v>99087.6</v>
      </c>
      <c r="I131" s="122">
        <f>IFERROR(__xludf.DUMMYFUNCTION("""COMPUTED_VALUE"""),5587.0)</f>
        <v>5587</v>
      </c>
      <c r="J131" s="122" t="str">
        <f>IFERROR(__xludf.DUMMYFUNCTION("""COMPUTED_VALUE"""),"Homework Pass")</f>
        <v>Homework Pass</v>
      </c>
      <c r="K131" s="122" t="str">
        <f>IFERROR(__xludf.DUMMYFUNCTION("""COMPUTED_VALUE"""),"Item use requested")</f>
        <v>Item use requested</v>
      </c>
      <c r="L131" s="122" t="str">
        <f>IFERROR(__xludf.DUMMYFUNCTION("""COMPUTED_VALUE"""),"Pending")</f>
        <v>Pending</v>
      </c>
    </row>
    <row r="132">
      <c r="A132" s="129">
        <f>IFERROR(__xludf.DUMMYFUNCTION("""COMPUTED_VALUE"""),46183.570763888885)</f>
        <v>46183.57076</v>
      </c>
      <c r="B132" s="126">
        <f>IFERROR(__xludf.DUMMYFUNCTION("""COMPUTED_VALUE"""),46183.0)</f>
        <v>46183</v>
      </c>
      <c r="C132" s="122">
        <f>IFERROR(__xludf.DUMMYFUNCTION("""COMPUTED_VALUE"""),1234.0)</f>
        <v>1234</v>
      </c>
      <c r="D132" s="122" t="str">
        <f>IFERROR(__xludf.DUMMYFUNCTION("""COMPUTED_VALUE"""),"Test")</f>
        <v>Test</v>
      </c>
      <c r="E132" s="122" t="str">
        <f>IFERROR(__xludf.DUMMYFUNCTION("""COMPUTED_VALUE"""),"USE_ITEM")</f>
        <v>USE_ITEM</v>
      </c>
      <c r="F132" s="128">
        <f>IFERROR(__xludf.DUMMYFUNCTION("""COMPUTED_VALUE"""),0.0)</f>
        <v>0</v>
      </c>
      <c r="G132" s="128">
        <f>IFERROR(__xludf.DUMMYFUNCTION("""COMPUTED_VALUE"""),99087.6)</f>
        <v>99087.6</v>
      </c>
      <c r="H132" s="128">
        <f>IFERROR(__xludf.DUMMYFUNCTION("""COMPUTED_VALUE"""),99087.6)</f>
        <v>99087.6</v>
      </c>
      <c r="I132" s="122">
        <f>IFERROR(__xludf.DUMMYFUNCTION("""COMPUTED_VALUE"""),5587.0)</f>
        <v>5587</v>
      </c>
      <c r="J132" s="122" t="str">
        <f>IFERROR(__xludf.DUMMYFUNCTION("""COMPUTED_VALUE"""),"Homework Pass")</f>
        <v>Homework Pass</v>
      </c>
      <c r="K132" s="122" t="str">
        <f>IFERROR(__xludf.DUMMYFUNCTION("""COMPUTED_VALUE"""),"Item use requested")</f>
        <v>Item use requested</v>
      </c>
      <c r="L132" s="122" t="str">
        <f>IFERROR(__xludf.DUMMYFUNCTION("""COMPUTED_VALUE"""),"Pending")</f>
        <v>Pending</v>
      </c>
    </row>
    <row r="133">
      <c r="A133" s="129">
        <f>IFERROR(__xludf.DUMMYFUNCTION("""COMPUTED_VALUE"""),46183.574375)</f>
        <v>46183.57438</v>
      </c>
      <c r="B133" s="126">
        <f>IFERROR(__xludf.DUMMYFUNCTION("""COMPUTED_VALUE"""),46183.0)</f>
        <v>46183</v>
      </c>
      <c r="C133" s="122">
        <f>IFERROR(__xludf.DUMMYFUNCTION("""COMPUTED_VALUE"""),1234.0)</f>
        <v>1234</v>
      </c>
      <c r="D133" s="122" t="str">
        <f>IFERROR(__xludf.DUMMYFUNCTION("""COMPUTED_VALUE"""),"Test")</f>
        <v>Test</v>
      </c>
      <c r="E133" s="122" t="str">
        <f>IFERROR(__xludf.DUMMYFUNCTION("""COMPUTED_VALUE"""),"USE_ITEM")</f>
        <v>USE_ITEM</v>
      </c>
      <c r="F133" s="128">
        <f>IFERROR(__xludf.DUMMYFUNCTION("""COMPUTED_VALUE"""),0.0)</f>
        <v>0</v>
      </c>
      <c r="G133" s="128">
        <f>IFERROR(__xludf.DUMMYFUNCTION("""COMPUTED_VALUE"""),99087.6)</f>
        <v>99087.6</v>
      </c>
      <c r="H133" s="128">
        <f>IFERROR(__xludf.DUMMYFUNCTION("""COMPUTED_VALUE"""),99087.6)</f>
        <v>99087.6</v>
      </c>
      <c r="I133" s="122">
        <f>IFERROR(__xludf.DUMMYFUNCTION("""COMPUTED_VALUE"""),5587.0)</f>
        <v>5587</v>
      </c>
      <c r="J133" s="122" t="str">
        <f>IFERROR(__xludf.DUMMYFUNCTION("""COMPUTED_VALUE"""),"Homework Pass")</f>
        <v>Homework Pass</v>
      </c>
      <c r="K133" s="122" t="str">
        <f>IFERROR(__xludf.DUMMYFUNCTION("""COMPUTED_VALUE"""),"Item used")</f>
        <v>Item used</v>
      </c>
      <c r="L133" s="122" t="str">
        <f>IFERROR(__xludf.DUMMYFUNCTION("""COMPUTED_VALUE"""),"Used")</f>
        <v>Used</v>
      </c>
    </row>
    <row r="134">
      <c r="A134" s="129">
        <f>IFERROR(__xludf.DUMMYFUNCTION("""COMPUTED_VALUE"""),46183.57457175926)</f>
        <v>46183.57457</v>
      </c>
      <c r="B134" s="126">
        <f>IFERROR(__xludf.DUMMYFUNCTION("""COMPUTED_VALUE"""),46183.0)</f>
        <v>46183</v>
      </c>
      <c r="C134" s="122">
        <f>IFERROR(__xludf.DUMMYFUNCTION("""COMPUTED_VALUE"""),1234.0)</f>
        <v>1234</v>
      </c>
      <c r="D134" s="122" t="str">
        <f>IFERROR(__xludf.DUMMYFUNCTION("""COMPUTED_VALUE"""),"Test")</f>
        <v>Test</v>
      </c>
      <c r="E134" s="122" t="str">
        <f>IFERROR(__xludf.DUMMYFUNCTION("""COMPUTED_VALUE"""),"USE_ITEM")</f>
        <v>USE_ITEM</v>
      </c>
      <c r="F134" s="128">
        <f>IFERROR(__xludf.DUMMYFUNCTION("""COMPUTED_VALUE"""),0.0)</f>
        <v>0</v>
      </c>
      <c r="G134" s="128">
        <f>IFERROR(__xludf.DUMMYFUNCTION("""COMPUTED_VALUE"""),99087.6)</f>
        <v>99087.6</v>
      </c>
      <c r="H134" s="128">
        <f>IFERROR(__xludf.DUMMYFUNCTION("""COMPUTED_VALUE"""),99087.6)</f>
        <v>99087.6</v>
      </c>
      <c r="I134" s="122">
        <f>IFERROR(__xludf.DUMMYFUNCTION("""COMPUTED_VALUE"""),5587.0)</f>
        <v>5587</v>
      </c>
      <c r="J134" s="122" t="str">
        <f>IFERROR(__xludf.DUMMYFUNCTION("""COMPUTED_VALUE"""),"Homework Pass")</f>
        <v>Homework Pass</v>
      </c>
      <c r="K134" s="122" t="str">
        <f>IFERROR(__xludf.DUMMYFUNCTION("""COMPUTED_VALUE"""),"Item used")</f>
        <v>Item used</v>
      </c>
      <c r="L134" s="122" t="str">
        <f>IFERROR(__xludf.DUMMYFUNCTION("""COMPUTED_VALUE"""),"Used")</f>
        <v>Used</v>
      </c>
    </row>
    <row r="135">
      <c r="A135" s="129">
        <f>IFERROR(__xludf.DUMMYFUNCTION("""COMPUTED_VALUE"""),46183.57497685185)</f>
        <v>46183.57498</v>
      </c>
      <c r="B135" s="126">
        <f>IFERROR(__xludf.DUMMYFUNCTION("""COMPUTED_VALUE"""),46183.0)</f>
        <v>46183</v>
      </c>
      <c r="C135" s="122">
        <f>IFERROR(__xludf.DUMMYFUNCTION("""COMPUTED_VALUE"""),3466.0)</f>
        <v>3466</v>
      </c>
      <c r="D135" s="122" t="str">
        <f>IFERROR(__xludf.DUMMYFUNCTION("""COMPUTED_VALUE"""),"Jay Kim")</f>
        <v>Jay Kim</v>
      </c>
      <c r="E135" s="122" t="str">
        <f>IFERROR(__xludf.DUMMYFUNCTION("""COMPUTED_VALUE"""),"USE_ITEM")</f>
        <v>USE_ITEM</v>
      </c>
      <c r="F135" s="128">
        <f>IFERROR(__xludf.DUMMYFUNCTION("""COMPUTED_VALUE"""),0.0)</f>
        <v>0</v>
      </c>
      <c r="G135" s="128">
        <f>IFERROR(__xludf.DUMMYFUNCTION("""COMPUTED_VALUE"""),1.97)</f>
        <v>1.97</v>
      </c>
      <c r="H135" s="128">
        <f>IFERROR(__xludf.DUMMYFUNCTION("""COMPUTED_VALUE"""),1.97)</f>
        <v>1.97</v>
      </c>
      <c r="I135" s="122">
        <f>IFERROR(__xludf.DUMMYFUNCTION("""COMPUTED_VALUE"""),9965.0)</f>
        <v>9965</v>
      </c>
      <c r="J135" s="122" t="str">
        <f>IFERROR(__xludf.DUMMYFUNCTION("""COMPUTED_VALUE"""),"Market Prediction Report")</f>
        <v>Market Prediction Report</v>
      </c>
      <c r="K135" s="122" t="str">
        <f>IFERROR(__xludf.DUMMYFUNCTION("""COMPUTED_VALUE"""),"i wanna use this")</f>
        <v>i wanna use this</v>
      </c>
      <c r="L135" s="122" t="str">
        <f>IFERROR(__xludf.DUMMYFUNCTION("""COMPUTED_VALUE"""),"Used")</f>
        <v>Used</v>
      </c>
    </row>
    <row r="136">
      <c r="A136" s="129">
        <f>IFERROR(__xludf.DUMMYFUNCTION("""COMPUTED_VALUE"""),46183.58008101852)</f>
        <v>46183.58008</v>
      </c>
      <c r="B136" s="126">
        <f>IFERROR(__xludf.DUMMYFUNCTION("""COMPUTED_VALUE"""),46183.0)</f>
        <v>46183</v>
      </c>
      <c r="C136" s="122">
        <f>IFERROR(__xludf.DUMMYFUNCTION("""COMPUTED_VALUE"""),1234.0)</f>
        <v>1234</v>
      </c>
      <c r="D136" s="122" t="str">
        <f>IFERROR(__xludf.DUMMYFUNCTION("""COMPUTED_VALUE"""),"Test")</f>
        <v>Test</v>
      </c>
      <c r="E136" s="122" t="str">
        <f>IFERROR(__xludf.DUMMYFUNCTION("""COMPUTED_VALUE"""),"STORE_PURCHASE")</f>
        <v>STORE_PURCHASE</v>
      </c>
      <c r="F136" s="128">
        <f>IFERROR(__xludf.DUMMYFUNCTION("""COMPUTED_VALUE"""),200.0)</f>
        <v>200</v>
      </c>
      <c r="G136" s="128">
        <f>IFERROR(__xludf.DUMMYFUNCTION("""COMPUTED_VALUE"""),99087.6)</f>
        <v>99087.6</v>
      </c>
      <c r="H136" s="128">
        <f>IFERROR(__xludf.DUMMYFUNCTION("""COMPUTED_VALUE"""),98887.6)</f>
        <v>98887.6</v>
      </c>
      <c r="I136" s="122">
        <f>IFERROR(__xludf.DUMMYFUNCTION("""COMPUTED_VALUE"""),5587.0)</f>
        <v>5587</v>
      </c>
      <c r="J136" s="122" t="str">
        <f>IFERROR(__xludf.DUMMYFUNCTION("""COMPUTED_VALUE"""),"Homework Pass")</f>
        <v>Homework Pass</v>
      </c>
      <c r="K136" s="122" t="str">
        <f>IFERROR(__xludf.DUMMYFUNCTION("""COMPUTED_VALUE"""),"Store purchase")</f>
        <v>Store purchase</v>
      </c>
      <c r="L136" s="122" t="str">
        <f>IFERROR(__xludf.DUMMYFUNCTION("""COMPUTED_VALUE"""),"Success")</f>
        <v>Success</v>
      </c>
    </row>
    <row r="137">
      <c r="A137" s="129">
        <f>IFERROR(__xludf.DUMMYFUNCTION("""COMPUTED_VALUE"""),46183.58710648148)</f>
        <v>46183.58711</v>
      </c>
      <c r="B137" s="126">
        <f>IFERROR(__xludf.DUMMYFUNCTION("""COMPUTED_VALUE"""),46183.0)</f>
        <v>46183</v>
      </c>
      <c r="C137" s="122">
        <f>IFERROR(__xludf.DUMMYFUNCTION("""COMPUTED_VALUE"""),4647.0)</f>
        <v>4647</v>
      </c>
      <c r="D137" s="122" t="str">
        <f>IFERROR(__xludf.DUMMYFUNCTION("""COMPUTED_VALUE"""),"Jake Kim")</f>
        <v>Jake Kim</v>
      </c>
      <c r="E137" s="122" t="str">
        <f>IFERROR(__xludf.DUMMYFUNCTION("""COMPUTED_VALUE"""),"STORE_PURCHASE")</f>
        <v>STORE_PURCHASE</v>
      </c>
      <c r="F137" s="128">
        <f>IFERROR(__xludf.DUMMYFUNCTION("""COMPUTED_VALUE"""),200.0)</f>
        <v>200</v>
      </c>
      <c r="G137" s="128">
        <f>IFERROR(__xludf.DUMMYFUNCTION("""COMPUTED_VALUE"""),1000.0)</f>
        <v>1000</v>
      </c>
      <c r="H137" s="128">
        <f>IFERROR(__xludf.DUMMYFUNCTION("""COMPUTED_VALUE"""),800.0)</f>
        <v>800</v>
      </c>
      <c r="I137" s="122">
        <f>IFERROR(__xludf.DUMMYFUNCTION("""COMPUTED_VALUE"""),5587.0)</f>
        <v>5587</v>
      </c>
      <c r="J137" s="122" t="str">
        <f>IFERROR(__xludf.DUMMYFUNCTION("""COMPUTED_VALUE"""),"Homework Pass")</f>
        <v>Homework Pass</v>
      </c>
      <c r="K137" s="122" t="str">
        <f>IFERROR(__xludf.DUMMYFUNCTION("""COMPUTED_VALUE"""),"Store purchase")</f>
        <v>Store purchase</v>
      </c>
      <c r="L137" s="122" t="str">
        <f>IFERROR(__xludf.DUMMYFUNCTION("""COMPUTED_VALUE"""),"Success")</f>
        <v>Success</v>
      </c>
    </row>
    <row r="138">
      <c r="A138" s="129">
        <f>IFERROR(__xludf.DUMMYFUNCTION("""COMPUTED_VALUE"""),46183.58734953704)</f>
        <v>46183.58735</v>
      </c>
      <c r="B138" s="126">
        <f>IFERROR(__xludf.DUMMYFUNCTION("""COMPUTED_VALUE"""),46183.0)</f>
        <v>46183</v>
      </c>
      <c r="C138" s="122">
        <f>IFERROR(__xludf.DUMMYFUNCTION("""COMPUTED_VALUE"""),4647.0)</f>
        <v>4647</v>
      </c>
      <c r="D138" s="122" t="str">
        <f>IFERROR(__xludf.DUMMYFUNCTION("""COMPUTED_VALUE"""),"Jake Kim")</f>
        <v>Jake Kim</v>
      </c>
      <c r="E138" s="122" t="str">
        <f>IFERROR(__xludf.DUMMYFUNCTION("""COMPUTED_VALUE"""),"STORE_PURCHASE")</f>
        <v>STORE_PURCHASE</v>
      </c>
      <c r="F138" s="128">
        <f>IFERROR(__xludf.DUMMYFUNCTION("""COMPUTED_VALUE"""),200.0)</f>
        <v>200</v>
      </c>
      <c r="G138" s="128">
        <f>IFERROR(__xludf.DUMMYFUNCTION("""COMPUTED_VALUE"""),800.0)</f>
        <v>800</v>
      </c>
      <c r="H138" s="128">
        <f>IFERROR(__xludf.DUMMYFUNCTION("""COMPUTED_VALUE"""),600.0)</f>
        <v>600</v>
      </c>
      <c r="I138" s="122">
        <f>IFERROR(__xludf.DUMMYFUNCTION("""COMPUTED_VALUE"""),2241.0)</f>
        <v>2241</v>
      </c>
      <c r="J138" s="122" t="str">
        <f>IFERROR(__xludf.DUMMYFUNCTION("""COMPUTED_VALUE"""),"Relaxation Pass")</f>
        <v>Relaxation Pass</v>
      </c>
      <c r="K138" s="122" t="str">
        <f>IFERROR(__xludf.DUMMYFUNCTION("""COMPUTED_VALUE"""),"Store purchase")</f>
        <v>Store purchase</v>
      </c>
      <c r="L138" s="122" t="str">
        <f>IFERROR(__xludf.DUMMYFUNCTION("""COMPUTED_VALUE"""),"Success")</f>
        <v>Success</v>
      </c>
    </row>
    <row r="139">
      <c r="A139" s="129">
        <f>IFERROR(__xludf.DUMMYFUNCTION("""COMPUTED_VALUE"""),46183.587800925925)</f>
        <v>46183.5878</v>
      </c>
      <c r="B139" s="126">
        <f>IFERROR(__xludf.DUMMYFUNCTION("""COMPUTED_VALUE"""),46183.0)</f>
        <v>46183</v>
      </c>
      <c r="C139" s="122">
        <f>IFERROR(__xludf.DUMMYFUNCTION("""COMPUTED_VALUE"""),4647.0)</f>
        <v>4647</v>
      </c>
      <c r="D139" s="122" t="str">
        <f>IFERROR(__xludf.DUMMYFUNCTION("""COMPUTED_VALUE"""),"Jake Kim")</f>
        <v>Jake Kim</v>
      </c>
      <c r="E139" s="122" t="str">
        <f>IFERROR(__xludf.DUMMYFUNCTION("""COMPUTED_VALUE"""),"STORE_PURCHASE")</f>
        <v>STORE_PURCHASE</v>
      </c>
      <c r="F139" s="128">
        <f>IFERROR(__xludf.DUMMYFUNCTION("""COMPUTED_VALUE"""),500.0)</f>
        <v>500</v>
      </c>
      <c r="G139" s="128">
        <f>IFERROR(__xludf.DUMMYFUNCTION("""COMPUTED_VALUE"""),600.0)</f>
        <v>600</v>
      </c>
      <c r="H139" s="128">
        <f>IFERROR(__xludf.DUMMYFUNCTION("""COMPUTED_VALUE"""),100.0)</f>
        <v>100</v>
      </c>
      <c r="I139" s="122">
        <f>IFERROR(__xludf.DUMMYFUNCTION("""COMPUTED_VALUE"""),3487.0)</f>
        <v>3487</v>
      </c>
      <c r="J139" s="122" t="str">
        <f>IFERROR(__xludf.DUMMYFUNCTION("""COMPUTED_VALUE"""),"Preferred Seating Pass")</f>
        <v>Preferred Seating Pass</v>
      </c>
      <c r="K139" s="122" t="str">
        <f>IFERROR(__xludf.DUMMYFUNCTION("""COMPUTED_VALUE"""),"Store purchase")</f>
        <v>Store purchase</v>
      </c>
      <c r="L139" s="122" t="str">
        <f>IFERROR(__xludf.DUMMYFUNCTION("""COMPUTED_VALUE"""),"Success")</f>
        <v>Success</v>
      </c>
    </row>
    <row r="140">
      <c r="A140" s="129">
        <f>IFERROR(__xludf.DUMMYFUNCTION("""COMPUTED_VALUE"""),46183.587916666664)</f>
        <v>46183.58792</v>
      </c>
      <c r="B140" s="126">
        <f>IFERROR(__xludf.DUMMYFUNCTION("""COMPUTED_VALUE"""),46183.0)</f>
        <v>46183</v>
      </c>
      <c r="C140" s="122">
        <f>IFERROR(__xludf.DUMMYFUNCTION("""COMPUTED_VALUE"""),7920.0)</f>
        <v>7920</v>
      </c>
      <c r="D140" s="122" t="str">
        <f>IFERROR(__xludf.DUMMYFUNCTION("""COMPUTED_VALUE"""),"Alyssa Shin")</f>
        <v>Alyssa Shin</v>
      </c>
      <c r="E140" s="122" t="str">
        <f>IFERROR(__xludf.DUMMYFUNCTION("""COMPUTED_VALUE"""),"STORE_PURCHASE")</f>
        <v>STORE_PURCHASE</v>
      </c>
      <c r="F140" s="128">
        <f>IFERROR(__xludf.DUMMYFUNCTION("""COMPUTED_VALUE"""),100.0)</f>
        <v>100</v>
      </c>
      <c r="G140" s="128">
        <f>IFERROR(__xludf.DUMMYFUNCTION("""COMPUTED_VALUE"""),1000.0)</f>
        <v>1000</v>
      </c>
      <c r="H140" s="128">
        <f>IFERROR(__xludf.DUMMYFUNCTION("""COMPUTED_VALUE"""),900.0)</f>
        <v>900</v>
      </c>
      <c r="I140" s="122">
        <f>IFERROR(__xludf.DUMMYFUNCTION("""COMPUTED_VALUE"""),6655.0)</f>
        <v>6655</v>
      </c>
      <c r="J140" s="122" t="str">
        <f>IFERROR(__xludf.DUMMYFUNCTION("""COMPUTED_VALUE"""),"Open-Note Quiz Pass")</f>
        <v>Open-Note Quiz Pass</v>
      </c>
      <c r="K140" s="122" t="str">
        <f>IFERROR(__xludf.DUMMYFUNCTION("""COMPUTED_VALUE"""),"Store purchase")</f>
        <v>Store purchase</v>
      </c>
      <c r="L140" s="122" t="str">
        <f>IFERROR(__xludf.DUMMYFUNCTION("""COMPUTED_VALUE"""),"Success")</f>
        <v>Success</v>
      </c>
    </row>
    <row r="141">
      <c r="A141" s="129">
        <f>IFERROR(__xludf.DUMMYFUNCTION("""COMPUTED_VALUE"""),46183.58868055556)</f>
        <v>46183.58868</v>
      </c>
      <c r="B141" s="126">
        <f>IFERROR(__xludf.DUMMYFUNCTION("""COMPUTED_VALUE"""),46183.0)</f>
        <v>46183</v>
      </c>
      <c r="C141" s="122">
        <f>IFERROR(__xludf.DUMMYFUNCTION("""COMPUTED_VALUE"""),4647.0)</f>
        <v>4647</v>
      </c>
      <c r="D141" s="122" t="str">
        <f>IFERROR(__xludf.DUMMYFUNCTION("""COMPUTED_VALUE"""),"Jake Kim")</f>
        <v>Jake Kim</v>
      </c>
      <c r="E141" s="122" t="str">
        <f>IFERROR(__xludf.DUMMYFUNCTION("""COMPUTED_VALUE"""),"USE_ITEM")</f>
        <v>USE_ITEM</v>
      </c>
      <c r="F141" s="128">
        <f>IFERROR(__xludf.DUMMYFUNCTION("""COMPUTED_VALUE"""),0.0)</f>
        <v>0</v>
      </c>
      <c r="G141" s="128">
        <f>IFERROR(__xludf.DUMMYFUNCTION("""COMPUTED_VALUE"""),100.0)</f>
        <v>100</v>
      </c>
      <c r="H141" s="128">
        <f>IFERROR(__xludf.DUMMYFUNCTION("""COMPUTED_VALUE"""),100.0)</f>
        <v>100</v>
      </c>
      <c r="I141" s="122">
        <f>IFERROR(__xludf.DUMMYFUNCTION("""COMPUTED_VALUE"""),5587.0)</f>
        <v>5587</v>
      </c>
      <c r="J141" s="122" t="str">
        <f>IFERROR(__xludf.DUMMYFUNCTION("""COMPUTED_VALUE"""),"Homework Pass")</f>
        <v>Homework Pass</v>
      </c>
      <c r="K141" s="122" t="str">
        <f>IFERROR(__xludf.DUMMYFUNCTION("""COMPUTED_VALUE"""),"Item used")</f>
        <v>Item used</v>
      </c>
      <c r="L141" s="122" t="str">
        <f>IFERROR(__xludf.DUMMYFUNCTION("""COMPUTED_VALUE"""),"Used")</f>
        <v>Used</v>
      </c>
    </row>
    <row r="142">
      <c r="A142" s="129">
        <f>IFERROR(__xludf.DUMMYFUNCTION("""COMPUTED_VALUE"""),46183.64454861111)</f>
        <v>46183.64455</v>
      </c>
      <c r="B142" s="126">
        <f>IFERROR(__xludf.DUMMYFUNCTION("""COMPUTED_VALUE"""),46183.0)</f>
        <v>46183</v>
      </c>
      <c r="C142" s="122">
        <f>IFERROR(__xludf.DUMMYFUNCTION("""COMPUTED_VALUE"""),1234.0)</f>
        <v>1234</v>
      </c>
      <c r="D142" s="122" t="str">
        <f>IFERROR(__xludf.DUMMYFUNCTION("""COMPUTED_VALUE"""),"Test")</f>
        <v>Test</v>
      </c>
      <c r="E142" s="122" t="str">
        <f>IFERROR(__xludf.DUMMYFUNCTION("""COMPUTED_VALUE"""),"USE_ITEM")</f>
        <v>USE_ITEM</v>
      </c>
      <c r="F142" s="128">
        <f>IFERROR(__xludf.DUMMYFUNCTION("""COMPUTED_VALUE"""),0.0)</f>
        <v>0</v>
      </c>
      <c r="G142" s="128">
        <f>IFERROR(__xludf.DUMMYFUNCTION("""COMPUTED_VALUE"""),98887.6)</f>
        <v>98887.6</v>
      </c>
      <c r="H142" s="128">
        <f>IFERROR(__xludf.DUMMYFUNCTION("""COMPUTED_VALUE"""),98887.6)</f>
        <v>98887.6</v>
      </c>
      <c r="I142" s="122">
        <f>IFERROR(__xludf.DUMMYFUNCTION("""COMPUTED_VALUE"""),5587.0)</f>
        <v>5587</v>
      </c>
      <c r="J142" s="122" t="str">
        <f>IFERROR(__xludf.DUMMYFUNCTION("""COMPUTED_VALUE"""),"Homework Pass")</f>
        <v>Homework Pass</v>
      </c>
      <c r="K142" s="122" t="str">
        <f>IFERROR(__xludf.DUMMYFUNCTION("""COMPUTED_VALUE"""),"Testing item-use request from Apps Script.")</f>
        <v>Testing item-use request from Apps Script.</v>
      </c>
      <c r="L142" s="122" t="str">
        <f>IFERROR(__xludf.DUMMYFUNCTION("""COMPUTED_VALUE"""),"Used")</f>
        <v>Used</v>
      </c>
    </row>
    <row r="143">
      <c r="A143" s="129">
        <f>IFERROR(__xludf.DUMMYFUNCTION("""COMPUTED_VALUE"""),46183.64991898148)</f>
        <v>46183.64992</v>
      </c>
      <c r="B143" s="126">
        <f>IFERROR(__xludf.DUMMYFUNCTION("""COMPUTED_VALUE"""),46183.0)</f>
        <v>46183</v>
      </c>
      <c r="C143" s="122">
        <f>IFERROR(__xludf.DUMMYFUNCTION("""COMPUTED_VALUE"""),2233.0)</f>
        <v>2233</v>
      </c>
      <c r="D143" s="122" t="str">
        <f>IFERROR(__xludf.DUMMYFUNCTION("""COMPUTED_VALUE"""),"John")</f>
        <v>John</v>
      </c>
      <c r="E143" s="122" t="str">
        <f>IFERROR(__xludf.DUMMYFUNCTION("""COMPUTED_VALUE"""),"STORE_PURCHASE")</f>
        <v>STORE_PURCHASE</v>
      </c>
      <c r="F143" s="128">
        <f>IFERROR(__xludf.DUMMYFUNCTION("""COMPUTED_VALUE"""),500.0)</f>
        <v>500</v>
      </c>
      <c r="G143" s="128">
        <f>IFERROR(__xludf.DUMMYFUNCTION("""COMPUTED_VALUE"""),2000.0)</f>
        <v>2000</v>
      </c>
      <c r="H143" s="128">
        <f>IFERROR(__xludf.DUMMYFUNCTION("""COMPUTED_VALUE"""),1500.0)</f>
        <v>1500</v>
      </c>
      <c r="I143" s="122">
        <f>IFERROR(__xludf.DUMMYFUNCTION("""COMPUTED_VALUE"""),3313.0)</f>
        <v>3313</v>
      </c>
      <c r="J143" s="122" t="str">
        <f>IFERROR(__xludf.DUMMYFUNCTION("""COMPUTED_VALUE"""),"+1 Assignment Bonus Token")</f>
        <v>+1 Assignment Bonus Token</v>
      </c>
      <c r="K143" s="122" t="str">
        <f>IFERROR(__xludf.DUMMYFUNCTION("""COMPUTED_VALUE"""),"Store purchase")</f>
        <v>Store purchase</v>
      </c>
      <c r="L143" s="122" t="str">
        <f>IFERROR(__xludf.DUMMYFUNCTION("""COMPUTED_VALUE"""),"Success")</f>
        <v>Success</v>
      </c>
    </row>
    <row r="144">
      <c r="A144" s="129">
        <f>IFERROR(__xludf.DUMMYFUNCTION("""COMPUTED_VALUE"""),46183.6503125)</f>
        <v>46183.65031</v>
      </c>
      <c r="B144" s="126">
        <f>IFERROR(__xludf.DUMMYFUNCTION("""COMPUTED_VALUE"""),46183.0)</f>
        <v>46183</v>
      </c>
      <c r="C144" s="122">
        <f>IFERROR(__xludf.DUMMYFUNCTION("""COMPUTED_VALUE"""),2233.0)</f>
        <v>2233</v>
      </c>
      <c r="D144" s="122" t="str">
        <f>IFERROR(__xludf.DUMMYFUNCTION("""COMPUTED_VALUE"""),"John")</f>
        <v>John</v>
      </c>
      <c r="E144" s="122" t="str">
        <f>IFERROR(__xludf.DUMMYFUNCTION("""COMPUTED_VALUE"""),"USE_ITEM")</f>
        <v>USE_ITEM</v>
      </c>
      <c r="F144" s="128">
        <f>IFERROR(__xludf.DUMMYFUNCTION("""COMPUTED_VALUE"""),0.0)</f>
        <v>0</v>
      </c>
      <c r="G144" s="128">
        <f>IFERROR(__xludf.DUMMYFUNCTION("""COMPUTED_VALUE"""),1500.0)</f>
        <v>1500</v>
      </c>
      <c r="H144" s="128">
        <f>IFERROR(__xludf.DUMMYFUNCTION("""COMPUTED_VALUE"""),1500.0)</f>
        <v>1500</v>
      </c>
      <c r="I144" s="122">
        <f>IFERROR(__xludf.DUMMYFUNCTION("""COMPUTED_VALUE"""),3313.0)</f>
        <v>3313</v>
      </c>
      <c r="J144" s="122" t="str">
        <f>IFERROR(__xludf.DUMMYFUNCTION("""COMPUTED_VALUE"""),"+1 Assignment Bonus Token")</f>
        <v>+1 Assignment Bonus Token</v>
      </c>
      <c r="K144" s="122" t="str">
        <f>IFERROR(__xludf.DUMMYFUNCTION("""COMPUTED_VALUE"""),"Want to use for Homework #2")</f>
        <v>Want to use for Homework #2</v>
      </c>
      <c r="L144" s="122" t="str">
        <f>IFERROR(__xludf.DUMMYFUNCTION("""COMPUTED_VALUE"""),"Used")</f>
        <v>Used</v>
      </c>
    </row>
    <row r="145">
      <c r="A145" s="129">
        <f>IFERROR(__xludf.DUMMYFUNCTION("""COMPUTED_VALUE"""),46183.65274305556)</f>
        <v>46183.65274</v>
      </c>
      <c r="B145" s="126">
        <f>IFERROR(__xludf.DUMMYFUNCTION("""COMPUTED_VALUE"""),46183.0)</f>
        <v>46183</v>
      </c>
      <c r="C145" s="122">
        <f>IFERROR(__xludf.DUMMYFUNCTION("""COMPUTED_VALUE"""),1234.0)</f>
        <v>1234</v>
      </c>
      <c r="D145" s="122" t="str">
        <f>IFERROR(__xludf.DUMMYFUNCTION("""COMPUTED_VALUE"""),"Test")</f>
        <v>Test</v>
      </c>
      <c r="E145" s="122" t="str">
        <f>IFERROR(__xludf.DUMMYFUNCTION("""COMPUTED_VALUE"""),"STORE_PURCHASE")</f>
        <v>STORE_PURCHASE</v>
      </c>
      <c r="F145" s="128">
        <f>IFERROR(__xludf.DUMMYFUNCTION("""COMPUTED_VALUE"""),100.0)</f>
        <v>100</v>
      </c>
      <c r="G145" s="128">
        <f>IFERROR(__xludf.DUMMYFUNCTION("""COMPUTED_VALUE"""),98887.6)</f>
        <v>98887.6</v>
      </c>
      <c r="H145" s="128">
        <f>IFERROR(__xludf.DUMMYFUNCTION("""COMPUTED_VALUE"""),98787.6)</f>
        <v>98787.6</v>
      </c>
      <c r="I145" s="122">
        <f>IFERROR(__xludf.DUMMYFUNCTION("""COMPUTED_VALUE"""),6655.0)</f>
        <v>6655</v>
      </c>
      <c r="J145" s="122" t="str">
        <f>IFERROR(__xludf.DUMMYFUNCTION("""COMPUTED_VALUE"""),"Open-Note Quiz Pass")</f>
        <v>Open-Note Quiz Pass</v>
      </c>
      <c r="K145" s="122" t="str">
        <f>IFERROR(__xludf.DUMMYFUNCTION("""COMPUTED_VALUE"""),"Store purchase")</f>
        <v>Store purchase</v>
      </c>
      <c r="L145" s="122" t="str">
        <f>IFERROR(__xludf.DUMMYFUNCTION("""COMPUTED_VALUE"""),"Success")</f>
        <v>Success</v>
      </c>
    </row>
    <row r="146">
      <c r="A146" s="129">
        <f>IFERROR(__xludf.DUMMYFUNCTION("""COMPUTED_VALUE"""),46183.653969907406)</f>
        <v>46183.65397</v>
      </c>
      <c r="B146" s="126">
        <f>IFERROR(__xludf.DUMMYFUNCTION("""COMPUTED_VALUE"""),46183.0)</f>
        <v>46183</v>
      </c>
      <c r="C146" s="122">
        <f>IFERROR(__xludf.DUMMYFUNCTION("""COMPUTED_VALUE"""),1234.0)</f>
        <v>1234</v>
      </c>
      <c r="D146" s="122" t="str">
        <f>IFERROR(__xludf.DUMMYFUNCTION("""COMPUTED_VALUE"""),"Test")</f>
        <v>Test</v>
      </c>
      <c r="E146" s="122" t="str">
        <f>IFERROR(__xludf.DUMMYFUNCTION("""COMPUTED_VALUE"""),"STORE_PURCHASE")</f>
        <v>STORE_PURCHASE</v>
      </c>
      <c r="F146" s="128">
        <f>IFERROR(__xludf.DUMMYFUNCTION("""COMPUTED_VALUE"""),100.0)</f>
        <v>100</v>
      </c>
      <c r="G146" s="128">
        <f>IFERROR(__xludf.DUMMYFUNCTION("""COMPUTED_VALUE"""),98787.6)</f>
        <v>98787.6</v>
      </c>
      <c r="H146" s="128">
        <f>IFERROR(__xludf.DUMMYFUNCTION("""COMPUTED_VALUE"""),98687.6)</f>
        <v>98687.6</v>
      </c>
      <c r="I146" s="122">
        <f>IFERROR(__xludf.DUMMYFUNCTION("""COMPUTED_VALUE"""),3965.0)</f>
        <v>3965</v>
      </c>
      <c r="J146" s="122" t="str">
        <f>IFERROR(__xludf.DUMMYFUNCTION("""COMPUTED_VALUE"""),"Insurance Contract")</f>
        <v>Insurance Contract</v>
      </c>
      <c r="K146" s="122" t="str">
        <f>IFERROR(__xludf.DUMMYFUNCTION("""COMPUTED_VALUE"""),"Store purchase")</f>
        <v>Store purchase</v>
      </c>
      <c r="L146" s="122" t="str">
        <f>IFERROR(__xludf.DUMMYFUNCTION("""COMPUTED_VALUE"""),"Success")</f>
        <v>Success</v>
      </c>
    </row>
    <row r="147">
      <c r="A147" s="129">
        <f>IFERROR(__xludf.DUMMYFUNCTION("""COMPUTED_VALUE"""),46183.654131944444)</f>
        <v>46183.65413</v>
      </c>
      <c r="B147" s="126">
        <f>IFERROR(__xludf.DUMMYFUNCTION("""COMPUTED_VALUE"""),46183.0)</f>
        <v>46183</v>
      </c>
      <c r="C147" s="122">
        <f>IFERROR(__xludf.DUMMYFUNCTION("""COMPUTED_VALUE"""),1234.0)</f>
        <v>1234</v>
      </c>
      <c r="D147" s="122" t="str">
        <f>IFERROR(__xludf.DUMMYFUNCTION("""COMPUTED_VALUE"""),"Test")</f>
        <v>Test</v>
      </c>
      <c r="E147" s="122" t="str">
        <f>IFERROR(__xludf.DUMMYFUNCTION("""COMPUTED_VALUE"""),"USE_ITEM")</f>
        <v>USE_ITEM</v>
      </c>
      <c r="F147" s="128">
        <f>IFERROR(__xludf.DUMMYFUNCTION("""COMPUTED_VALUE"""),0.0)</f>
        <v>0</v>
      </c>
      <c r="G147" s="128">
        <f>IFERROR(__xludf.DUMMYFUNCTION("""COMPUTED_VALUE"""),98687.6)</f>
        <v>98687.6</v>
      </c>
      <c r="H147" s="128">
        <f>IFERROR(__xludf.DUMMYFUNCTION("""COMPUTED_VALUE"""),98687.6)</f>
        <v>98687.6</v>
      </c>
      <c r="I147" s="122">
        <f>IFERROR(__xludf.DUMMYFUNCTION("""COMPUTED_VALUE"""),6655.0)</f>
        <v>6655</v>
      </c>
      <c r="J147" s="122" t="str">
        <f>IFERROR(__xludf.DUMMYFUNCTION("""COMPUTED_VALUE"""),"Open-Note Quiz Pass")</f>
        <v>Open-Note Quiz Pass</v>
      </c>
      <c r="K147" s="122" t="str">
        <f>IFERROR(__xludf.DUMMYFUNCTION("""COMPUTED_VALUE"""),"Item used")</f>
        <v>Item used</v>
      </c>
      <c r="L147" s="122" t="str">
        <f>IFERROR(__xludf.DUMMYFUNCTION("""COMPUTED_VALUE"""),"Used")</f>
        <v>Used</v>
      </c>
    </row>
    <row r="148">
      <c r="A148" s="129">
        <f>IFERROR(__xludf.DUMMYFUNCTION("""COMPUTED_VALUE"""),46183.66287037037)</f>
        <v>46183.66287</v>
      </c>
      <c r="B148" s="126">
        <f>IFERROR(__xludf.DUMMYFUNCTION("""COMPUTED_VALUE"""),46183.0)</f>
        <v>46183</v>
      </c>
      <c r="C148" s="122">
        <f>IFERROR(__xludf.DUMMYFUNCTION("""COMPUTED_VALUE"""),1234.0)</f>
        <v>1234</v>
      </c>
      <c r="D148" s="122" t="str">
        <f>IFERROR(__xludf.DUMMYFUNCTION("""COMPUTED_VALUE"""),"Test")</f>
        <v>Test</v>
      </c>
      <c r="E148" s="122" t="str">
        <f>IFERROR(__xludf.DUMMYFUNCTION("""COMPUTED_VALUE"""),"STORE_PURCHASE")</f>
        <v>STORE_PURCHASE</v>
      </c>
      <c r="F148" s="128">
        <f>IFERROR(__xludf.DUMMYFUNCTION("""COMPUTED_VALUE"""),100.0)</f>
        <v>100</v>
      </c>
      <c r="G148" s="128">
        <f>IFERROR(__xludf.DUMMYFUNCTION("""COMPUTED_VALUE"""),98687.6)</f>
        <v>98687.6</v>
      </c>
      <c r="H148" s="128">
        <f>IFERROR(__xludf.DUMMYFUNCTION("""COMPUTED_VALUE"""),98587.6)</f>
        <v>98587.6</v>
      </c>
      <c r="I148" s="122">
        <f>IFERROR(__xludf.DUMMYFUNCTION("""COMPUTED_VALUE"""),7898.0)</f>
        <v>7898</v>
      </c>
      <c r="J148" s="122" t="str">
        <f>IFERROR(__xludf.DUMMYFUNCTION("""COMPUTED_VALUE"""),"Participation Recovery Token")</f>
        <v>Participation Recovery Token</v>
      </c>
      <c r="K148" s="122" t="str">
        <f>IFERROR(__xludf.DUMMYFUNCTION("""COMPUTED_VALUE"""),"Store purchase")</f>
        <v>Store purchase</v>
      </c>
      <c r="L148" s="122" t="str">
        <f>IFERROR(__xludf.DUMMYFUNCTION("""COMPUTED_VALUE"""),"Success")</f>
        <v>Success</v>
      </c>
    </row>
    <row r="149">
      <c r="A149" s="129">
        <f>IFERROR(__xludf.DUMMYFUNCTION("""COMPUTED_VALUE"""),46183.66353009259)</f>
        <v>46183.66353</v>
      </c>
      <c r="B149" s="126">
        <f>IFERROR(__xludf.DUMMYFUNCTION("""COMPUTED_VALUE"""),46183.0)</f>
        <v>46183</v>
      </c>
      <c r="C149" s="122">
        <f>IFERROR(__xludf.DUMMYFUNCTION("""COMPUTED_VALUE"""),1234.0)</f>
        <v>1234</v>
      </c>
      <c r="D149" s="122" t="str">
        <f>IFERROR(__xludf.DUMMYFUNCTION("""COMPUTED_VALUE"""),"Test")</f>
        <v>Test</v>
      </c>
      <c r="E149" s="122" t="str">
        <f>IFERROR(__xludf.DUMMYFUNCTION("""COMPUTED_VALUE"""),"STORE_PURCHASE")</f>
        <v>STORE_PURCHASE</v>
      </c>
      <c r="F149" s="128">
        <f>IFERROR(__xludf.DUMMYFUNCTION("""COMPUTED_VALUE"""),100.0)</f>
        <v>100</v>
      </c>
      <c r="G149" s="128">
        <f>IFERROR(__xludf.DUMMYFUNCTION("""COMPUTED_VALUE"""),98587.6)</f>
        <v>98587.6</v>
      </c>
      <c r="H149" s="128">
        <f>IFERROR(__xludf.DUMMYFUNCTION("""COMPUTED_VALUE"""),98487.6)</f>
        <v>98487.6</v>
      </c>
      <c r="I149" s="122">
        <f>IFERROR(__xludf.DUMMYFUNCTION("""COMPUTED_VALUE"""),3965.0)</f>
        <v>3965</v>
      </c>
      <c r="J149" s="122" t="str">
        <f>IFERROR(__xludf.DUMMYFUNCTION("""COMPUTED_VALUE"""),"Insurance Contract")</f>
        <v>Insurance Contract</v>
      </c>
      <c r="K149" s="122" t="str">
        <f>IFERROR(__xludf.DUMMYFUNCTION("""COMPUTED_VALUE"""),"Store purchase")</f>
        <v>Store purchase</v>
      </c>
      <c r="L149" s="122" t="str">
        <f>IFERROR(__xludf.DUMMYFUNCTION("""COMPUTED_VALUE"""),"Success")</f>
        <v>Success</v>
      </c>
    </row>
    <row r="150">
      <c r="A150" s="129">
        <f>IFERROR(__xludf.DUMMYFUNCTION("""COMPUTED_VALUE"""),46183.870625)</f>
        <v>46183.87063</v>
      </c>
      <c r="B150" s="126">
        <f>IFERROR(__xludf.DUMMYFUNCTION("""COMPUTED_VALUE"""),46183.0)</f>
        <v>46183</v>
      </c>
      <c r="C150" s="122">
        <f>IFERROR(__xludf.DUMMYFUNCTION("""COMPUTED_VALUE"""),1234.0)</f>
        <v>1234</v>
      </c>
      <c r="D150" s="122" t="str">
        <f>IFERROR(__xludf.DUMMYFUNCTION("""COMPUTED_VALUE"""),"Test")</f>
        <v>Test</v>
      </c>
      <c r="E150" s="122" t="str">
        <f>IFERROR(__xludf.DUMMYFUNCTION("""COMPUTED_VALUE"""),"USE_ITEM")</f>
        <v>USE_ITEM</v>
      </c>
      <c r="F150" s="128">
        <f>IFERROR(__xludf.DUMMYFUNCTION("""COMPUTED_VALUE"""),0.0)</f>
        <v>0</v>
      </c>
      <c r="G150" s="128">
        <f>IFERROR(__xludf.DUMMYFUNCTION("""COMPUTED_VALUE"""),98487.6)</f>
        <v>98487.6</v>
      </c>
      <c r="H150" s="128">
        <f>IFERROR(__xludf.DUMMYFUNCTION("""COMPUTED_VALUE"""),98487.6)</f>
        <v>98487.6</v>
      </c>
      <c r="I150" s="122">
        <f>IFERROR(__xludf.DUMMYFUNCTION("""COMPUTED_VALUE"""),3965.0)</f>
        <v>3965</v>
      </c>
      <c r="J150" s="122" t="str">
        <f>IFERROR(__xludf.DUMMYFUNCTION("""COMPUTED_VALUE"""),"Insurance Contract")</f>
        <v>Insurance Contract</v>
      </c>
      <c r="K150" s="122" t="str">
        <f>IFERROR(__xludf.DUMMYFUNCTION("""COMPUTED_VALUE"""),"Item used")</f>
        <v>Item used</v>
      </c>
      <c r="L150" s="122" t="str">
        <f>IFERROR(__xludf.DUMMYFUNCTION("""COMPUTED_VALUE"""),"Used")</f>
        <v>Used</v>
      </c>
    </row>
    <row r="151">
      <c r="A151" s="129">
        <f>IFERROR(__xludf.DUMMYFUNCTION("""COMPUTED_VALUE"""),46183.870787037034)</f>
        <v>46183.87079</v>
      </c>
      <c r="B151" s="126">
        <f>IFERROR(__xludf.DUMMYFUNCTION("""COMPUTED_VALUE"""),46183.0)</f>
        <v>46183</v>
      </c>
      <c r="C151" s="122">
        <f>IFERROR(__xludf.DUMMYFUNCTION("""COMPUTED_VALUE"""),1234.0)</f>
        <v>1234</v>
      </c>
      <c r="D151" s="122" t="str">
        <f>IFERROR(__xludf.DUMMYFUNCTION("""COMPUTED_VALUE"""),"Test")</f>
        <v>Test</v>
      </c>
      <c r="E151" s="122" t="str">
        <f>IFERROR(__xludf.DUMMYFUNCTION("""COMPUTED_VALUE"""),"USE_ITEM")</f>
        <v>USE_ITEM</v>
      </c>
      <c r="F151" s="128">
        <f>IFERROR(__xludf.DUMMYFUNCTION("""COMPUTED_VALUE"""),0.0)</f>
        <v>0</v>
      </c>
      <c r="G151" s="128">
        <f>IFERROR(__xludf.DUMMYFUNCTION("""COMPUTED_VALUE"""),98487.6)</f>
        <v>98487.6</v>
      </c>
      <c r="H151" s="128">
        <f>IFERROR(__xludf.DUMMYFUNCTION("""COMPUTED_VALUE"""),98487.6)</f>
        <v>98487.6</v>
      </c>
      <c r="I151" s="122">
        <f>IFERROR(__xludf.DUMMYFUNCTION("""COMPUTED_VALUE"""),3965.0)</f>
        <v>3965</v>
      </c>
      <c r="J151" s="122" t="str">
        <f>IFERROR(__xludf.DUMMYFUNCTION("""COMPUTED_VALUE"""),"Insurance Contract")</f>
        <v>Insurance Contract</v>
      </c>
      <c r="K151" s="122" t="str">
        <f>IFERROR(__xludf.DUMMYFUNCTION("""COMPUTED_VALUE"""),"Item used")</f>
        <v>Item used</v>
      </c>
      <c r="L151" s="122" t="str">
        <f>IFERROR(__xludf.DUMMYFUNCTION("""COMPUTED_VALUE"""),"Used")</f>
        <v>Used</v>
      </c>
    </row>
    <row r="152">
      <c r="A152" s="129">
        <f>IFERROR(__xludf.DUMMYFUNCTION("""COMPUTED_VALUE"""),46184.346041666664)</f>
        <v>46184.34604</v>
      </c>
      <c r="B152" s="126">
        <f>IFERROR(__xludf.DUMMYFUNCTION("""COMPUTED_VALUE"""),46184.0)</f>
        <v>46184</v>
      </c>
      <c r="C152" s="122" t="str">
        <f>IFERROR(__xludf.DUMMYFUNCTION("""COMPUTED_VALUE"""),"5c07fef4")</f>
        <v>5c07fef4</v>
      </c>
      <c r="D152" s="122" t="str">
        <f>IFERROR(__xludf.DUMMYFUNCTION("""COMPUTED_VALUE"""),"Tiffany Kim")</f>
        <v>Tiffany Kim</v>
      </c>
      <c r="E152" s="122" t="str">
        <f>IFERROR(__xludf.DUMMYFUNCTION("""COMPUTED_VALUE"""),"REWARD")</f>
        <v>REWARD</v>
      </c>
      <c r="F152" s="128">
        <f>IFERROR(__xludf.DUMMYFUNCTION("""COMPUTED_VALUE"""),10.0)</f>
        <v>10</v>
      </c>
      <c r="G152" s="128">
        <f>IFERROR(__xludf.DUMMYFUNCTION("""COMPUTED_VALUE"""),610.0)</f>
        <v>610</v>
      </c>
      <c r="H152" s="128">
        <f>IFERROR(__xludf.DUMMYFUNCTION("""COMPUTED_VALUE"""),620.0)</f>
        <v>620</v>
      </c>
      <c r="I152" s="122"/>
      <c r="J152" s="122"/>
      <c r="K152" s="122" t="str">
        <f>IFERROR(__xludf.DUMMYFUNCTION("""COMPUTED_VALUE"""),"On-time attendance reward")</f>
        <v>On-time attendance reward</v>
      </c>
      <c r="L152" s="122" t="str">
        <f>IFERROR(__xludf.DUMMYFUNCTION("""COMPUTED_VALUE"""),"Success")</f>
        <v>Success</v>
      </c>
    </row>
    <row r="153">
      <c r="A153" s="129">
        <f>IFERROR(__xludf.DUMMYFUNCTION("""COMPUTED_VALUE"""),46184.35113425926)</f>
        <v>46184.35113</v>
      </c>
      <c r="B153" s="126">
        <f>IFERROR(__xludf.DUMMYFUNCTION("""COMPUTED_VALUE"""),46184.0)</f>
        <v>46184</v>
      </c>
      <c r="C153" s="122" t="str">
        <f>IFERROR(__xludf.DUMMYFUNCTION("""COMPUTED_VALUE"""),"ae072910")</f>
        <v>ae072910</v>
      </c>
      <c r="D153" s="122" t="str">
        <f>IFERROR(__xludf.DUMMYFUNCTION("""COMPUTED_VALUE"""),"Selena Jung")</f>
        <v>Selena Jung</v>
      </c>
      <c r="E153" s="122" t="str">
        <f>IFERROR(__xludf.DUMMYFUNCTION("""COMPUTED_VALUE"""),"REWARD")</f>
        <v>REWARD</v>
      </c>
      <c r="F153" s="128">
        <f>IFERROR(__xludf.DUMMYFUNCTION("""COMPUTED_VALUE"""),10.0)</f>
        <v>10</v>
      </c>
      <c r="G153" s="128">
        <f>IFERROR(__xludf.DUMMYFUNCTION("""COMPUTED_VALUE"""),343.79)</f>
        <v>343.79</v>
      </c>
      <c r="H153" s="128">
        <f>IFERROR(__xludf.DUMMYFUNCTION("""COMPUTED_VALUE"""),353.79)</f>
        <v>353.79</v>
      </c>
      <c r="I153" s="122"/>
      <c r="J153" s="122"/>
      <c r="K153" s="122" t="str">
        <f>IFERROR(__xludf.DUMMYFUNCTION("""COMPUTED_VALUE"""),"On-time attendance reward")</f>
        <v>On-time attendance reward</v>
      </c>
      <c r="L153" s="122" t="str">
        <f>IFERROR(__xludf.DUMMYFUNCTION("""COMPUTED_VALUE"""),"Success")</f>
        <v>Success</v>
      </c>
    </row>
    <row r="154">
      <c r="A154" s="129">
        <f>IFERROR(__xludf.DUMMYFUNCTION("""COMPUTED_VALUE"""),46184.35230324074)</f>
        <v>46184.3523</v>
      </c>
      <c r="B154" s="126">
        <f>IFERROR(__xludf.DUMMYFUNCTION("""COMPUTED_VALUE"""),46184.0)</f>
        <v>46184</v>
      </c>
      <c r="C154" s="122" t="str">
        <f>IFERROR(__xludf.DUMMYFUNCTION("""COMPUTED_VALUE"""),"dc04eef4")</f>
        <v>dc04eef4</v>
      </c>
      <c r="D154" s="122" t="str">
        <f>IFERROR(__xludf.DUMMYFUNCTION("""COMPUTED_VALUE"""),"Joshua Jung")</f>
        <v>Joshua Jung</v>
      </c>
      <c r="E154" s="122" t="str">
        <f>IFERROR(__xludf.DUMMYFUNCTION("""COMPUTED_VALUE"""),"REWARD")</f>
        <v>REWARD</v>
      </c>
      <c r="F154" s="128">
        <f>IFERROR(__xludf.DUMMYFUNCTION("""COMPUTED_VALUE"""),10.0)</f>
        <v>10</v>
      </c>
      <c r="G154" s="128">
        <f>IFERROR(__xludf.DUMMYFUNCTION("""COMPUTED_VALUE"""),305.16)</f>
        <v>305.16</v>
      </c>
      <c r="H154" s="128">
        <f>IFERROR(__xludf.DUMMYFUNCTION("""COMPUTED_VALUE"""),315.16)</f>
        <v>315.16</v>
      </c>
      <c r="I154" s="122"/>
      <c r="J154" s="122"/>
      <c r="K154" s="122" t="str">
        <f>IFERROR(__xludf.DUMMYFUNCTION("""COMPUTED_VALUE"""),"On-time attendance reward")</f>
        <v>On-time attendance reward</v>
      </c>
      <c r="L154" s="122" t="str">
        <f>IFERROR(__xludf.DUMMYFUNCTION("""COMPUTED_VALUE"""),"Success")</f>
        <v>Success</v>
      </c>
    </row>
    <row r="155">
      <c r="A155" s="129">
        <f>IFERROR(__xludf.DUMMYFUNCTION("""COMPUTED_VALUE"""),46184.353784722225)</f>
        <v>46184.35378</v>
      </c>
      <c r="B155" s="126">
        <f>IFERROR(__xludf.DUMMYFUNCTION("""COMPUTED_VALUE"""),46184.0)</f>
        <v>46184</v>
      </c>
      <c r="C155" s="122" t="str">
        <f>IFERROR(__xludf.DUMMYFUNCTION("""COMPUTED_VALUE"""),"7c4e261e")</f>
        <v>7c4e261e</v>
      </c>
      <c r="D155" s="122" t="str">
        <f>IFERROR(__xludf.DUMMYFUNCTION("""COMPUTED_VALUE"""),"Suha Lee")</f>
        <v>Suha Lee</v>
      </c>
      <c r="E155" s="122" t="str">
        <f>IFERROR(__xludf.DUMMYFUNCTION("""COMPUTED_VALUE"""),"REWARD")</f>
        <v>REWARD</v>
      </c>
      <c r="F155" s="128">
        <f>IFERROR(__xludf.DUMMYFUNCTION("""COMPUTED_VALUE"""),10.0)</f>
        <v>10</v>
      </c>
      <c r="G155" s="128">
        <f>IFERROR(__xludf.DUMMYFUNCTION("""COMPUTED_VALUE"""),497.76)</f>
        <v>497.76</v>
      </c>
      <c r="H155" s="128">
        <f>IFERROR(__xludf.DUMMYFUNCTION("""COMPUTED_VALUE"""),507.76)</f>
        <v>507.76</v>
      </c>
      <c r="I155" s="122"/>
      <c r="J155" s="122"/>
      <c r="K155" s="122" t="str">
        <f>IFERROR(__xludf.DUMMYFUNCTION("""COMPUTED_VALUE"""),"On-time attendance reward")</f>
        <v>On-time attendance reward</v>
      </c>
      <c r="L155" s="122" t="str">
        <f>IFERROR(__xludf.DUMMYFUNCTION("""COMPUTED_VALUE"""),"Success")</f>
        <v>Success</v>
      </c>
    </row>
    <row r="156">
      <c r="A156" s="129">
        <f>IFERROR(__xludf.DUMMYFUNCTION("""COMPUTED_VALUE"""),46184.35427083333)</f>
        <v>46184.35427</v>
      </c>
      <c r="B156" s="126">
        <f>IFERROR(__xludf.DUMMYFUNCTION("""COMPUTED_VALUE"""),46184.0)</f>
        <v>46184</v>
      </c>
      <c r="C156" s="122" t="str">
        <f>IFERROR(__xludf.DUMMYFUNCTION("""COMPUTED_VALUE"""),"1e3e1410")</f>
        <v>1e3e1410</v>
      </c>
      <c r="D156" s="122" t="str">
        <f>IFERROR(__xludf.DUMMYFUNCTION("""COMPUTED_VALUE"""),"Junjae Park")</f>
        <v>Junjae Park</v>
      </c>
      <c r="E156" s="122" t="str">
        <f>IFERROR(__xludf.DUMMYFUNCTION("""COMPUTED_VALUE"""),"REWARD")</f>
        <v>REWARD</v>
      </c>
      <c r="F156" s="128">
        <f>IFERROR(__xludf.DUMMYFUNCTION("""COMPUTED_VALUE"""),10.0)</f>
        <v>10</v>
      </c>
      <c r="G156" s="128">
        <f>IFERROR(__xludf.DUMMYFUNCTION("""COMPUTED_VALUE"""),74.8)</f>
        <v>74.8</v>
      </c>
      <c r="H156" s="128">
        <f>IFERROR(__xludf.DUMMYFUNCTION("""COMPUTED_VALUE"""),84.8)</f>
        <v>84.8</v>
      </c>
      <c r="I156" s="122"/>
      <c r="J156" s="122"/>
      <c r="K156" s="122" t="str">
        <f>IFERROR(__xludf.DUMMYFUNCTION("""COMPUTED_VALUE"""),"On-time attendance reward")</f>
        <v>On-time attendance reward</v>
      </c>
      <c r="L156" s="122" t="str">
        <f>IFERROR(__xludf.DUMMYFUNCTION("""COMPUTED_VALUE"""),"Success")</f>
        <v>Success</v>
      </c>
    </row>
    <row r="157">
      <c r="A157" s="129">
        <f>IFERROR(__xludf.DUMMYFUNCTION("""COMPUTED_VALUE"""),46184.35596064815)</f>
        <v>46184.35596</v>
      </c>
      <c r="B157" s="126">
        <f>IFERROR(__xludf.DUMMYFUNCTION("""COMPUTED_VALUE"""),46184.0)</f>
        <v>46184</v>
      </c>
      <c r="C157" s="122" t="str">
        <f>IFERROR(__xludf.DUMMYFUNCTION("""COMPUTED_VALUE"""),"babde4c4")</f>
        <v>babde4c4</v>
      </c>
      <c r="D157" s="122" t="str">
        <f>IFERROR(__xludf.DUMMYFUNCTION("""COMPUTED_VALUE"""),"Ashley Guk")</f>
        <v>Ashley Guk</v>
      </c>
      <c r="E157" s="122" t="str">
        <f>IFERROR(__xludf.DUMMYFUNCTION("""COMPUTED_VALUE"""),"REWARD")</f>
        <v>REWARD</v>
      </c>
      <c r="F157" s="128">
        <f>IFERROR(__xludf.DUMMYFUNCTION("""COMPUTED_VALUE"""),10.0)</f>
        <v>10</v>
      </c>
      <c r="G157" s="128">
        <f>IFERROR(__xludf.DUMMYFUNCTION("""COMPUTED_VALUE"""),606.0)</f>
        <v>606</v>
      </c>
      <c r="H157" s="128">
        <f>IFERROR(__xludf.DUMMYFUNCTION("""COMPUTED_VALUE"""),616.0)</f>
        <v>616</v>
      </c>
      <c r="I157" s="122"/>
      <c r="J157" s="122"/>
      <c r="K157" s="122" t="str">
        <f>IFERROR(__xludf.DUMMYFUNCTION("""COMPUTED_VALUE"""),"On-time attendance reward")</f>
        <v>On-time attendance reward</v>
      </c>
      <c r="L157" s="122" t="str">
        <f>IFERROR(__xludf.DUMMYFUNCTION("""COMPUTED_VALUE"""),"Success")</f>
        <v>Success</v>
      </c>
    </row>
    <row r="158">
      <c r="A158" s="129">
        <f>IFERROR(__xludf.DUMMYFUNCTION("""COMPUTED_VALUE"""),46184.3566087963)</f>
        <v>46184.35661</v>
      </c>
      <c r="B158" s="126">
        <f>IFERROR(__xludf.DUMMYFUNCTION("""COMPUTED_VALUE"""),46184.0)</f>
        <v>46184</v>
      </c>
      <c r="C158" s="122" t="str">
        <f>IFERROR(__xludf.DUMMYFUNCTION("""COMPUTED_VALUE"""),"ba353911")</f>
        <v>ba353911</v>
      </c>
      <c r="D158" s="122" t="str">
        <f>IFERROR(__xludf.DUMMYFUNCTION("""COMPUTED_VALUE"""),"Dayeon Kang")</f>
        <v>Dayeon Kang</v>
      </c>
      <c r="E158" s="122" t="str">
        <f>IFERROR(__xludf.DUMMYFUNCTION("""COMPUTED_VALUE"""),"REWARD")</f>
        <v>REWARD</v>
      </c>
      <c r="F158" s="128">
        <f>IFERROR(__xludf.DUMMYFUNCTION("""COMPUTED_VALUE"""),10.0)</f>
        <v>10</v>
      </c>
      <c r="G158" s="128">
        <f>IFERROR(__xludf.DUMMYFUNCTION("""COMPUTED_VALUE"""),331.98)</f>
        <v>331.98</v>
      </c>
      <c r="H158" s="128">
        <f>IFERROR(__xludf.DUMMYFUNCTION("""COMPUTED_VALUE"""),341.98)</f>
        <v>341.98</v>
      </c>
      <c r="I158" s="122"/>
      <c r="J158" s="122"/>
      <c r="K158" s="122" t="str">
        <f>IFERROR(__xludf.DUMMYFUNCTION("""COMPUTED_VALUE"""),"On-time attendance reward")</f>
        <v>On-time attendance reward</v>
      </c>
      <c r="L158" s="122" t="str">
        <f>IFERROR(__xludf.DUMMYFUNCTION("""COMPUTED_VALUE"""),"Success")</f>
        <v>Success</v>
      </c>
    </row>
    <row r="159">
      <c r="A159" s="129">
        <f>IFERROR(__xludf.DUMMYFUNCTION("""COMPUTED_VALUE"""),46184.357395833336)</f>
        <v>46184.3574</v>
      </c>
      <c r="B159" s="126">
        <f>IFERROR(__xludf.DUMMYFUNCTION("""COMPUTED_VALUE"""),46184.0)</f>
        <v>46184</v>
      </c>
      <c r="C159" s="122" t="str">
        <f>IFERROR(__xludf.DUMMYFUNCTION("""COMPUTED_VALUE"""),"5a032611")</f>
        <v>5a032611</v>
      </c>
      <c r="D159" s="122" t="str">
        <f>IFERROR(__xludf.DUMMYFUNCTION("""COMPUTED_VALUE"""),"Harold Dou")</f>
        <v>Harold Dou</v>
      </c>
      <c r="E159" s="122" t="str">
        <f>IFERROR(__xludf.DUMMYFUNCTION("""COMPUTED_VALUE"""),"REWARD")</f>
        <v>REWARD</v>
      </c>
      <c r="F159" s="128">
        <f>IFERROR(__xludf.DUMMYFUNCTION("""COMPUTED_VALUE"""),10.0)</f>
        <v>10</v>
      </c>
      <c r="G159" s="128">
        <f>IFERROR(__xludf.DUMMYFUNCTION("""COMPUTED_VALUE"""),585.0)</f>
        <v>585</v>
      </c>
      <c r="H159" s="128">
        <f>IFERROR(__xludf.DUMMYFUNCTION("""COMPUTED_VALUE"""),595.0)</f>
        <v>595</v>
      </c>
      <c r="I159" s="122"/>
      <c r="J159" s="122"/>
      <c r="K159" s="122" t="str">
        <f>IFERROR(__xludf.DUMMYFUNCTION("""COMPUTED_VALUE"""),"On-time attendance reward")</f>
        <v>On-time attendance reward</v>
      </c>
      <c r="L159" s="122" t="str">
        <f>IFERROR(__xludf.DUMMYFUNCTION("""COMPUTED_VALUE"""),"Success")</f>
        <v>Success</v>
      </c>
    </row>
    <row r="160">
      <c r="A160" s="129">
        <f>IFERROR(__xludf.DUMMYFUNCTION("""COMPUTED_VALUE"""),46184.35769675926)</f>
        <v>46184.3577</v>
      </c>
      <c r="B160" s="126">
        <f>IFERROR(__xludf.DUMMYFUNCTION("""COMPUTED_VALUE"""),46184.0)</f>
        <v>46184</v>
      </c>
      <c r="C160" s="122" t="str">
        <f>IFERROR(__xludf.DUMMYFUNCTION("""COMPUTED_VALUE"""),"ba912211")</f>
        <v>ba912211</v>
      </c>
      <c r="D160" s="122" t="str">
        <f>IFERROR(__xludf.DUMMYFUNCTION("""COMPUTED_VALUE"""),"Daisy Doh")</f>
        <v>Daisy Doh</v>
      </c>
      <c r="E160" s="122" t="str">
        <f>IFERROR(__xludf.DUMMYFUNCTION("""COMPUTED_VALUE"""),"REWARD")</f>
        <v>REWARD</v>
      </c>
      <c r="F160" s="128">
        <f>IFERROR(__xludf.DUMMYFUNCTION("""COMPUTED_VALUE"""),10.0)</f>
        <v>10</v>
      </c>
      <c r="G160" s="128">
        <f>IFERROR(__xludf.DUMMYFUNCTION("""COMPUTED_VALUE"""),726.29)</f>
        <v>726.29</v>
      </c>
      <c r="H160" s="128">
        <f>IFERROR(__xludf.DUMMYFUNCTION("""COMPUTED_VALUE"""),736.29)</f>
        <v>736.29</v>
      </c>
      <c r="I160" s="122"/>
      <c r="J160" s="122"/>
      <c r="K160" s="122" t="str">
        <f>IFERROR(__xludf.DUMMYFUNCTION("""COMPUTED_VALUE"""),"On-time attendance reward")</f>
        <v>On-time attendance reward</v>
      </c>
      <c r="L160" s="122" t="str">
        <f>IFERROR(__xludf.DUMMYFUNCTION("""COMPUTED_VALUE"""),"Success")</f>
        <v>Success</v>
      </c>
    </row>
    <row r="161">
      <c r="A161" s="129">
        <f>IFERROR(__xludf.DUMMYFUNCTION("""COMPUTED_VALUE"""),46184.40715277778)</f>
        <v>46184.40715</v>
      </c>
      <c r="B161" s="126">
        <f>IFERROR(__xludf.DUMMYFUNCTION("""COMPUTED_VALUE"""),46184.0)</f>
        <v>46184</v>
      </c>
      <c r="C161" s="122">
        <f>IFERROR(__xludf.DUMMYFUNCTION("""COMPUTED_VALUE"""),3553.0)</f>
        <v>3553</v>
      </c>
      <c r="D161" s="122" t="str">
        <f>IFERROR(__xludf.DUMMYFUNCTION("""COMPUTED_VALUE"""),"Ryan Kim")</f>
        <v>Ryan Kim</v>
      </c>
      <c r="E161" s="122" t="str">
        <f>IFERROR(__xludf.DUMMYFUNCTION("""COMPUTED_VALUE"""),"STORE_PURCHASE")</f>
        <v>STORE_PURCHASE</v>
      </c>
      <c r="F161" s="128">
        <f>IFERROR(__xludf.DUMMYFUNCTION("""COMPUTED_VALUE"""),100.0)</f>
        <v>100</v>
      </c>
      <c r="G161" s="128">
        <f>IFERROR(__xludf.DUMMYFUNCTION("""COMPUTED_VALUE"""),0.0)</f>
        <v>0</v>
      </c>
      <c r="H161" s="128">
        <f>IFERROR(__xludf.DUMMYFUNCTION("""COMPUTED_VALUE"""),0.0)</f>
        <v>0</v>
      </c>
      <c r="I161" s="122">
        <f>IFERROR(__xludf.DUMMYFUNCTION("""COMPUTED_VALUE"""),3965.0)</f>
        <v>3965</v>
      </c>
      <c r="J161" s="122" t="str">
        <f>IFERROR(__xludf.DUMMYFUNCTION("""COMPUTED_VALUE"""),"Insurance Contract")</f>
        <v>Insurance Contract</v>
      </c>
      <c r="K161" s="122" t="str">
        <f>IFERROR(__xludf.DUMMYFUNCTION("""COMPUTED_VALUE"""),"Not enough balance.")</f>
        <v>Not enough balance.</v>
      </c>
      <c r="L161" s="122" t="str">
        <f>IFERROR(__xludf.DUMMYFUNCTION("""COMPUTED_VALUE"""),"Denied - insufficient balance")</f>
        <v>Denied - insufficient balance</v>
      </c>
    </row>
    <row r="162">
      <c r="A162" s="129">
        <f>IFERROR(__xludf.DUMMYFUNCTION("""COMPUTED_VALUE"""),46184.44422453704)</f>
        <v>46184.44422</v>
      </c>
      <c r="B162" s="126">
        <f>IFERROR(__xludf.DUMMYFUNCTION("""COMPUTED_VALUE"""),46184.0)</f>
        <v>46184</v>
      </c>
      <c r="C162" s="122" t="str">
        <f>IFERROR(__xludf.DUMMYFUNCTION("""COMPUTED_VALUE"""),"5c07fef4")</f>
        <v>5c07fef4</v>
      </c>
      <c r="D162" s="122" t="str">
        <f>IFERROR(__xludf.DUMMYFUNCTION("""COMPUTED_VALUE"""),"Tiffany Kim")</f>
        <v>Tiffany Kim</v>
      </c>
      <c r="E162" s="122" t="str">
        <f>IFERROR(__xludf.DUMMYFUNCTION("""COMPUTED_VALUE"""),"DEPOSIT")</f>
        <v>DEPOSIT</v>
      </c>
      <c r="F162" s="128">
        <f>IFERROR(__xludf.DUMMYFUNCTION("""COMPUTED_VALUE"""),100.0)</f>
        <v>100</v>
      </c>
      <c r="G162" s="128">
        <f>IFERROR(__xludf.DUMMYFUNCTION("""COMPUTED_VALUE"""),620.0)</f>
        <v>620</v>
      </c>
      <c r="H162" s="128">
        <f>IFERROR(__xludf.DUMMYFUNCTION("""COMPUTED_VALUE"""),720.0)</f>
        <v>720</v>
      </c>
      <c r="I162" s="122"/>
      <c r="J162" s="122"/>
      <c r="K162" s="122"/>
      <c r="L162" s="122" t="str">
        <f>IFERROR(__xludf.DUMMYFUNCTION("""COMPUTED_VALUE"""),"Success")</f>
        <v>Success</v>
      </c>
    </row>
    <row r="163">
      <c r="A163" s="129">
        <f>IFERROR(__xludf.DUMMYFUNCTION("""COMPUTED_VALUE"""),46184.44494212963)</f>
        <v>46184.44494</v>
      </c>
      <c r="B163" s="126">
        <f>IFERROR(__xludf.DUMMYFUNCTION("""COMPUTED_VALUE"""),46184.0)</f>
        <v>46184</v>
      </c>
      <c r="C163" s="122" t="str">
        <f>IFERROR(__xludf.DUMMYFUNCTION("""COMPUTED_VALUE"""),"7c4e261e")</f>
        <v>7c4e261e</v>
      </c>
      <c r="D163" s="122" t="str">
        <f>IFERROR(__xludf.DUMMYFUNCTION("""COMPUTED_VALUE"""),"Suha Lee")</f>
        <v>Suha Lee</v>
      </c>
      <c r="E163" s="122" t="str">
        <f>IFERROR(__xludf.DUMMYFUNCTION("""COMPUTED_VALUE"""),"STORE_PURCHASE")</f>
        <v>STORE_PURCHASE</v>
      </c>
      <c r="F163" s="128">
        <f>IFERROR(__xludf.DUMMYFUNCTION("""COMPUTED_VALUE"""),600.0)</f>
        <v>600</v>
      </c>
      <c r="G163" s="128">
        <f>IFERROR(__xludf.DUMMYFUNCTION("""COMPUTED_VALUE"""),639.83)</f>
        <v>639.83</v>
      </c>
      <c r="H163" s="128">
        <f>IFERROR(__xludf.DUMMYFUNCTION("""COMPUTED_VALUE"""),39.83)</f>
        <v>39.83</v>
      </c>
      <c r="I163" s="122">
        <f>IFERROR(__xludf.DUMMYFUNCTION("""COMPUTED_VALUE"""),7734.0)</f>
        <v>7734</v>
      </c>
      <c r="J163" s="122" t="str">
        <f>IFERROR(__xludf.DUMMYFUNCTION("""COMPUTED_VALUE"""),"Extra credit 1%")</f>
        <v>Extra credit 1%</v>
      </c>
      <c r="K163" s="122" t="str">
        <f>IFERROR(__xludf.DUMMYFUNCTION("""COMPUTED_VALUE"""),"Store purchase")</f>
        <v>Store purchase</v>
      </c>
      <c r="L163" s="122" t="str">
        <f>IFERROR(__xludf.DUMMYFUNCTION("""COMPUTED_VALUE"""),"Success")</f>
        <v>Success</v>
      </c>
    </row>
    <row r="164">
      <c r="A164" s="129">
        <f>IFERROR(__xludf.DUMMYFUNCTION("""COMPUTED_VALUE"""),46184.44567129629)</f>
        <v>46184.44567</v>
      </c>
      <c r="B164" s="126">
        <f>IFERROR(__xludf.DUMMYFUNCTION("""COMPUTED_VALUE"""),46184.0)</f>
        <v>46184</v>
      </c>
      <c r="C164" s="122" t="str">
        <f>IFERROR(__xludf.DUMMYFUNCTION("""COMPUTED_VALUE"""),"7c4e261e")</f>
        <v>7c4e261e</v>
      </c>
      <c r="D164" s="122" t="str">
        <f>IFERROR(__xludf.DUMMYFUNCTION("""COMPUTED_VALUE"""),"Suha Lee")</f>
        <v>Suha Lee</v>
      </c>
      <c r="E164" s="122" t="str">
        <f>IFERROR(__xludf.DUMMYFUNCTION("""COMPUTED_VALUE"""),"USE_ITEM")</f>
        <v>USE_ITEM</v>
      </c>
      <c r="F164" s="128">
        <f>IFERROR(__xludf.DUMMYFUNCTION("""COMPUTED_VALUE"""),0.0)</f>
        <v>0</v>
      </c>
      <c r="G164" s="128">
        <f>IFERROR(__xludf.DUMMYFUNCTION("""COMPUTED_VALUE"""),39.83)</f>
        <v>39.83</v>
      </c>
      <c r="H164" s="128">
        <f>IFERROR(__xludf.DUMMYFUNCTION("""COMPUTED_VALUE"""),39.83)</f>
        <v>39.83</v>
      </c>
      <c r="I164" s="122">
        <f>IFERROR(__xludf.DUMMYFUNCTION("""COMPUTED_VALUE"""),7734.0)</f>
        <v>7734</v>
      </c>
      <c r="J164" s="122" t="str">
        <f>IFERROR(__xludf.DUMMYFUNCTION("""COMPUTED_VALUE"""),"Extra credit 1%")</f>
        <v>Extra credit 1%</v>
      </c>
      <c r="K164" s="122" t="str">
        <f>IFERROR(__xludf.DUMMYFUNCTION("""COMPUTED_VALUE"""),"American Literature Honors increase 6% pls tytyty")</f>
        <v>American Literature Honors increase 6% pls tytyty</v>
      </c>
      <c r="L164" s="122" t="str">
        <f>IFERROR(__xludf.DUMMYFUNCTION("""COMPUTED_VALUE"""),"Used")</f>
        <v>Used</v>
      </c>
    </row>
    <row r="165">
      <c r="A165" s="129">
        <f>IFERROR(__xludf.DUMMYFUNCTION("""COMPUTED_VALUE"""),46184.44771990741)</f>
        <v>46184.44772</v>
      </c>
      <c r="B165" s="126">
        <f>IFERROR(__xludf.DUMMYFUNCTION("""COMPUTED_VALUE"""),46184.0)</f>
        <v>46184</v>
      </c>
      <c r="C165" s="122" t="str">
        <f>IFERROR(__xludf.DUMMYFUNCTION("""COMPUTED_VALUE"""),"5c07fef4")</f>
        <v>5c07fef4</v>
      </c>
      <c r="D165" s="122" t="str">
        <f>IFERROR(__xludf.DUMMYFUNCTION("""COMPUTED_VALUE"""),"Tiffany Kim")</f>
        <v>Tiffany Kim</v>
      </c>
      <c r="E165" s="122" t="str">
        <f>IFERROR(__xludf.DUMMYFUNCTION("""COMPUTED_VALUE"""),"STORE_PURCHASE")</f>
        <v>STORE_PURCHASE</v>
      </c>
      <c r="F165" s="128">
        <f>IFERROR(__xludf.DUMMYFUNCTION("""COMPUTED_VALUE"""),100.0)</f>
        <v>100</v>
      </c>
      <c r="G165" s="128">
        <f>IFERROR(__xludf.DUMMYFUNCTION("""COMPUTED_VALUE"""),720.0)</f>
        <v>720</v>
      </c>
      <c r="H165" s="128">
        <f>IFERROR(__xludf.DUMMYFUNCTION("""COMPUTED_VALUE"""),620.0)</f>
        <v>620</v>
      </c>
      <c r="I165" s="122">
        <f>IFERROR(__xludf.DUMMYFUNCTION("""COMPUTED_VALUE"""),7734.0)</f>
        <v>7734</v>
      </c>
      <c r="J165" s="122" t="str">
        <f>IFERROR(__xludf.DUMMYFUNCTION("""COMPUTED_VALUE"""),"Extra credit 1%")</f>
        <v>Extra credit 1%</v>
      </c>
      <c r="K165" s="122" t="str">
        <f>IFERROR(__xludf.DUMMYFUNCTION("""COMPUTED_VALUE"""),"Store purchase")</f>
        <v>Store purchase</v>
      </c>
      <c r="L165" s="122" t="str">
        <f>IFERROR(__xludf.DUMMYFUNCTION("""COMPUTED_VALUE"""),"Success")</f>
        <v>Success</v>
      </c>
    </row>
    <row r="166">
      <c r="A166" s="129">
        <f>IFERROR(__xludf.DUMMYFUNCTION("""COMPUTED_VALUE"""),46184.449108796296)</f>
        <v>46184.44911</v>
      </c>
      <c r="B166" s="126">
        <f>IFERROR(__xludf.DUMMYFUNCTION("""COMPUTED_VALUE"""),46184.0)</f>
        <v>46184</v>
      </c>
      <c r="C166" s="122" t="str">
        <f>IFERROR(__xludf.DUMMYFUNCTION("""COMPUTED_VALUE"""),"5c07fef4")</f>
        <v>5c07fef4</v>
      </c>
      <c r="D166" s="122" t="str">
        <f>IFERROR(__xludf.DUMMYFUNCTION("""COMPUTED_VALUE"""),"Tiffany Kim")</f>
        <v>Tiffany Kim</v>
      </c>
      <c r="E166" s="122" t="str">
        <f>IFERROR(__xludf.DUMMYFUNCTION("""COMPUTED_VALUE"""),"STORE_PURCHASE")</f>
        <v>STORE_PURCHASE</v>
      </c>
      <c r="F166" s="128">
        <f>IFERROR(__xludf.DUMMYFUNCTION("""COMPUTED_VALUE"""),200.0)</f>
        <v>200</v>
      </c>
      <c r="G166" s="128">
        <f>IFERROR(__xludf.DUMMYFUNCTION("""COMPUTED_VALUE"""),620.0)</f>
        <v>620</v>
      </c>
      <c r="H166" s="128">
        <f>IFERROR(__xludf.DUMMYFUNCTION("""COMPUTED_VALUE"""),420.0)</f>
        <v>420</v>
      </c>
      <c r="I166" s="122">
        <f>IFERROR(__xludf.DUMMYFUNCTION("""COMPUTED_VALUE"""),7734.0)</f>
        <v>7734</v>
      </c>
      <c r="J166" s="122" t="str">
        <f>IFERROR(__xludf.DUMMYFUNCTION("""COMPUTED_VALUE"""),"Extra credit 1%")</f>
        <v>Extra credit 1%</v>
      </c>
      <c r="K166" s="122" t="str">
        <f>IFERROR(__xludf.DUMMYFUNCTION("""COMPUTED_VALUE"""),"Store purchase")</f>
        <v>Store purchase</v>
      </c>
      <c r="L166" s="122" t="str">
        <f>IFERROR(__xludf.DUMMYFUNCTION("""COMPUTED_VALUE"""),"Success")</f>
        <v>Success</v>
      </c>
    </row>
    <row r="167">
      <c r="A167" s="129">
        <f>IFERROR(__xludf.DUMMYFUNCTION("""COMPUTED_VALUE"""),46184.44943287037)</f>
        <v>46184.44943</v>
      </c>
      <c r="B167" s="126">
        <f>IFERROR(__xludf.DUMMYFUNCTION("""COMPUTED_VALUE"""),46184.0)</f>
        <v>46184</v>
      </c>
      <c r="C167" s="122" t="str">
        <f>IFERROR(__xludf.DUMMYFUNCTION("""COMPUTED_VALUE"""),"5c07fef4")</f>
        <v>5c07fef4</v>
      </c>
      <c r="D167" s="122" t="str">
        <f>IFERROR(__xludf.DUMMYFUNCTION("""COMPUTED_VALUE"""),"Tiffany Kim")</f>
        <v>Tiffany Kim</v>
      </c>
      <c r="E167" s="122" t="str">
        <f>IFERROR(__xludf.DUMMYFUNCTION("""COMPUTED_VALUE"""),"USE_ITEM")</f>
        <v>USE_ITEM</v>
      </c>
      <c r="F167" s="128">
        <f>IFERROR(__xludf.DUMMYFUNCTION("""COMPUTED_VALUE"""),0.0)</f>
        <v>0</v>
      </c>
      <c r="G167" s="128">
        <f>IFERROR(__xludf.DUMMYFUNCTION("""COMPUTED_VALUE"""),420.0)</f>
        <v>420</v>
      </c>
      <c r="H167" s="128">
        <f>IFERROR(__xludf.DUMMYFUNCTION("""COMPUTED_VALUE"""),420.0)</f>
        <v>420</v>
      </c>
      <c r="I167" s="122">
        <f>IFERROR(__xludf.DUMMYFUNCTION("""COMPUTED_VALUE"""),7734.0)</f>
        <v>7734</v>
      </c>
      <c r="J167" s="122" t="str">
        <f>IFERROR(__xludf.DUMMYFUNCTION("""COMPUTED_VALUE"""),"Extra credit 1%")</f>
        <v>Extra credit 1%</v>
      </c>
      <c r="K167" s="122" t="str">
        <f>IFERROR(__xludf.DUMMYFUNCTION("""COMPUTED_VALUE"""),"econ test grad")</f>
        <v>econ test grad</v>
      </c>
      <c r="L167" s="122" t="str">
        <f>IFERROR(__xludf.DUMMYFUNCTION("""COMPUTED_VALUE"""),"Used")</f>
        <v>Used</v>
      </c>
    </row>
    <row r="168">
      <c r="A168" s="129">
        <f>IFERROR(__xludf.DUMMYFUNCTION("""COMPUTED_VALUE"""),46184.45011574074)</f>
        <v>46184.45012</v>
      </c>
      <c r="B168" s="126">
        <f>IFERROR(__xludf.DUMMYFUNCTION("""COMPUTED_VALUE"""),46184.0)</f>
        <v>46184</v>
      </c>
      <c r="C168" s="122" t="str">
        <f>IFERROR(__xludf.DUMMYFUNCTION("""COMPUTED_VALUE"""),"5c07fef4")</f>
        <v>5c07fef4</v>
      </c>
      <c r="D168" s="122" t="str">
        <f>IFERROR(__xludf.DUMMYFUNCTION("""COMPUTED_VALUE"""),"Tiffany Kim")</f>
        <v>Tiffany Kim</v>
      </c>
      <c r="E168" s="122" t="str">
        <f>IFERROR(__xludf.DUMMYFUNCTION("""COMPUTED_VALUE"""),"USE_ITEM")</f>
        <v>USE_ITEM</v>
      </c>
      <c r="F168" s="128">
        <f>IFERROR(__xludf.DUMMYFUNCTION("""COMPUTED_VALUE"""),0.0)</f>
        <v>0</v>
      </c>
      <c r="G168" s="128">
        <f>IFERROR(__xludf.DUMMYFUNCTION("""COMPUTED_VALUE"""),420.0)</f>
        <v>420</v>
      </c>
      <c r="H168" s="128">
        <f>IFERROR(__xludf.DUMMYFUNCTION("""COMPUTED_VALUE"""),420.0)</f>
        <v>420</v>
      </c>
      <c r="I168" s="122">
        <f>IFERROR(__xludf.DUMMYFUNCTION("""COMPUTED_VALUE"""),7734.0)</f>
        <v>7734</v>
      </c>
      <c r="J168" s="122" t="str">
        <f>IFERROR(__xludf.DUMMYFUNCTION("""COMPUTED_VALUE"""),"Extra credit 1%")</f>
        <v>Extra credit 1%</v>
      </c>
      <c r="K168" s="122" t="str">
        <f>IFERROR(__xludf.DUMMYFUNCTION("""COMPUTED_VALUE"""),"same")</f>
        <v>same</v>
      </c>
      <c r="L168" s="122" t="str">
        <f>IFERROR(__xludf.DUMMYFUNCTION("""COMPUTED_VALUE"""),"Used")</f>
        <v>Used</v>
      </c>
    </row>
    <row r="169">
      <c r="A169" s="129">
        <f>IFERROR(__xludf.DUMMYFUNCTION("""COMPUTED_VALUE"""),46184.45030092593)</f>
        <v>46184.4503</v>
      </c>
      <c r="B169" s="126">
        <f>IFERROR(__xludf.DUMMYFUNCTION("""COMPUTED_VALUE"""),46184.0)</f>
        <v>46184</v>
      </c>
      <c r="C169" s="122" t="str">
        <f>IFERROR(__xludf.DUMMYFUNCTION("""COMPUTED_VALUE"""),"5c07fef4")</f>
        <v>5c07fef4</v>
      </c>
      <c r="D169" s="122" t="str">
        <f>IFERROR(__xludf.DUMMYFUNCTION("""COMPUTED_VALUE"""),"Tiffany Kim")</f>
        <v>Tiffany Kim</v>
      </c>
      <c r="E169" s="122" t="str">
        <f>IFERROR(__xludf.DUMMYFUNCTION("""COMPUTED_VALUE"""),"USE_ITEM")</f>
        <v>USE_ITEM</v>
      </c>
      <c r="F169" s="128">
        <f>IFERROR(__xludf.DUMMYFUNCTION("""COMPUTED_VALUE"""),0.0)</f>
        <v>0</v>
      </c>
      <c r="G169" s="128">
        <f>IFERROR(__xludf.DUMMYFUNCTION("""COMPUTED_VALUE"""),420.0)</f>
        <v>420</v>
      </c>
      <c r="H169" s="128">
        <f>IFERROR(__xludf.DUMMYFUNCTION("""COMPUTED_VALUE"""),420.0)</f>
        <v>420</v>
      </c>
      <c r="I169" s="122">
        <f>IFERROR(__xludf.DUMMYFUNCTION("""COMPUTED_VALUE"""),7734.0)</f>
        <v>7734</v>
      </c>
      <c r="J169" s="122" t="str">
        <f>IFERROR(__xludf.DUMMYFUNCTION("""COMPUTED_VALUE"""),"Extra credit 1%")</f>
        <v>Extra credit 1%</v>
      </c>
      <c r="K169" s="122" t="str">
        <f>IFERROR(__xludf.DUMMYFUNCTION("""COMPUTED_VALUE"""),"same")</f>
        <v>same</v>
      </c>
      <c r="L169" s="122" t="str">
        <f>IFERROR(__xludf.DUMMYFUNCTION("""COMPUTED_VALUE"""),"Used")</f>
        <v>Used</v>
      </c>
    </row>
    <row r="170">
      <c r="A170" s="129">
        <f>IFERROR(__xludf.DUMMYFUNCTION("""COMPUTED_VALUE"""),46184.53056712963)</f>
        <v>46184.53057</v>
      </c>
      <c r="B170" s="126">
        <f>IFERROR(__xludf.DUMMYFUNCTION("""COMPUTED_VALUE"""),46184.0)</f>
        <v>46184</v>
      </c>
      <c r="C170" s="122">
        <f>IFERROR(__xludf.DUMMYFUNCTION("""COMPUTED_VALUE"""),6665.0)</f>
        <v>6665</v>
      </c>
      <c r="D170" s="122" t="str">
        <f>IFERROR(__xludf.DUMMYFUNCTION("""COMPUTED_VALUE"""),"Jinwoo")</f>
        <v>Jinwoo</v>
      </c>
      <c r="E170" s="122" t="str">
        <f>IFERROR(__xludf.DUMMYFUNCTION("""COMPUTED_VALUE"""),"STORE_PURCHASE")</f>
        <v>STORE_PURCHASE</v>
      </c>
      <c r="F170" s="128">
        <f>IFERROR(__xludf.DUMMYFUNCTION("""COMPUTED_VALUE"""),100.0)</f>
        <v>100</v>
      </c>
      <c r="G170" s="128">
        <f>IFERROR(__xludf.DUMMYFUNCTION("""COMPUTED_VALUE"""),1588.13)</f>
        <v>1588.13</v>
      </c>
      <c r="H170" s="128">
        <f>IFERROR(__xludf.DUMMYFUNCTION("""COMPUTED_VALUE"""),1488.13)</f>
        <v>1488.13</v>
      </c>
      <c r="I170" s="122">
        <f>IFERROR(__xludf.DUMMYFUNCTION("""COMPUTED_VALUE"""),7734.0)</f>
        <v>7734</v>
      </c>
      <c r="J170" s="122" t="str">
        <f>IFERROR(__xludf.DUMMYFUNCTION("""COMPUTED_VALUE"""),"Extra credit 1%")</f>
        <v>Extra credit 1%</v>
      </c>
      <c r="K170" s="122" t="str">
        <f>IFERROR(__xludf.DUMMYFUNCTION("""COMPUTED_VALUE"""),"Store purchase")</f>
        <v>Store purchase</v>
      </c>
      <c r="L170" s="122" t="str">
        <f>IFERROR(__xludf.DUMMYFUNCTION("""COMPUTED_VALUE"""),"Success")</f>
        <v>Success</v>
      </c>
    </row>
    <row r="171">
      <c r="A171" s="129">
        <f>IFERROR(__xludf.DUMMYFUNCTION("""COMPUTED_VALUE"""),46184.60606481481)</f>
        <v>46184.60606</v>
      </c>
      <c r="B171" s="126">
        <f>IFERROR(__xludf.DUMMYFUNCTION("""COMPUTED_VALUE"""),46184.0)</f>
        <v>46184</v>
      </c>
      <c r="C171" s="122" t="str">
        <f>IFERROR(__xludf.DUMMYFUNCTION("""COMPUTED_VALUE"""),"5a032611")</f>
        <v>5a032611</v>
      </c>
      <c r="D171" s="122" t="str">
        <f>IFERROR(__xludf.DUMMYFUNCTION("""COMPUTED_VALUE"""),"Harold Dou")</f>
        <v>Harold Dou</v>
      </c>
      <c r="E171" s="122" t="str">
        <f>IFERROR(__xludf.DUMMYFUNCTION("""COMPUTED_VALUE"""),"STORE_PURCHASE")</f>
        <v>STORE_PURCHASE</v>
      </c>
      <c r="F171" s="128">
        <f>IFERROR(__xludf.DUMMYFUNCTION("""COMPUTED_VALUE"""),1000.0)</f>
        <v>1000</v>
      </c>
      <c r="G171" s="128">
        <f>IFERROR(__xludf.DUMMYFUNCTION("""COMPUTED_VALUE"""),1198.0)</f>
        <v>1198</v>
      </c>
      <c r="H171" s="128">
        <f>IFERROR(__xludf.DUMMYFUNCTION("""COMPUTED_VALUE"""),198.0)</f>
        <v>198</v>
      </c>
      <c r="I171" s="122">
        <f>IFERROR(__xludf.DUMMYFUNCTION("""COMPUTED_VALUE"""),7734.0)</f>
        <v>7734</v>
      </c>
      <c r="J171" s="122" t="str">
        <f>IFERROR(__xludf.DUMMYFUNCTION("""COMPUTED_VALUE"""),"Extra credit 1%")</f>
        <v>Extra credit 1%</v>
      </c>
      <c r="K171" s="122" t="str">
        <f>IFERROR(__xludf.DUMMYFUNCTION("""COMPUTED_VALUE"""),"Store purchase")</f>
        <v>Store purchase</v>
      </c>
      <c r="L171" s="122" t="str">
        <f>IFERROR(__xludf.DUMMYFUNCTION("""COMPUTED_VALUE"""),"Success")</f>
        <v>Success</v>
      </c>
    </row>
    <row r="172">
      <c r="A172" s="129">
        <f>IFERROR(__xludf.DUMMYFUNCTION("""COMPUTED_VALUE"""),46184.64734953704)</f>
        <v>46184.64735</v>
      </c>
      <c r="B172" s="126">
        <f>IFERROR(__xludf.DUMMYFUNCTION("""COMPUTED_VALUE"""),46184.0)</f>
        <v>46184</v>
      </c>
      <c r="C172" s="122">
        <f>IFERROR(__xludf.DUMMYFUNCTION("""COMPUTED_VALUE"""),1234.0)</f>
        <v>1234</v>
      </c>
      <c r="D172" s="122" t="str">
        <f>IFERROR(__xludf.DUMMYFUNCTION("""COMPUTED_VALUE"""),"Test")</f>
        <v>Test</v>
      </c>
      <c r="E172" s="122" t="str">
        <f>IFERROR(__xludf.DUMMYFUNCTION("""COMPUTED_VALUE"""),"USE_ITEM")</f>
        <v>USE_ITEM</v>
      </c>
      <c r="F172" s="128">
        <f>IFERROR(__xludf.DUMMYFUNCTION("""COMPUTED_VALUE"""),0.0)</f>
        <v>0</v>
      </c>
      <c r="G172" s="128">
        <f>IFERROR(__xludf.DUMMYFUNCTION("""COMPUTED_VALUE"""),98487.6)</f>
        <v>98487.6</v>
      </c>
      <c r="H172" s="128">
        <f>IFERROR(__xludf.DUMMYFUNCTION("""COMPUTED_VALUE"""),98487.6)</f>
        <v>98487.6</v>
      </c>
      <c r="I172" s="122">
        <f>IFERROR(__xludf.DUMMYFUNCTION("""COMPUTED_VALUE"""),7898.0)</f>
        <v>7898</v>
      </c>
      <c r="J172" s="122" t="str">
        <f>IFERROR(__xludf.DUMMYFUNCTION("""COMPUTED_VALUE"""),"Participation Recovery Token")</f>
        <v>Participation Recovery Token</v>
      </c>
      <c r="K172" s="122" t="str">
        <f>IFERROR(__xludf.DUMMYFUNCTION("""COMPUTED_VALUE"""),"Item used")</f>
        <v>Item used</v>
      </c>
      <c r="L172" s="122" t="str">
        <f>IFERROR(__xludf.DUMMYFUNCTION("""COMPUTED_VALUE"""),"Used")</f>
        <v>Used</v>
      </c>
    </row>
    <row r="173">
      <c r="A173" s="129">
        <f>IFERROR(__xludf.DUMMYFUNCTION("""COMPUTED_VALUE"""),46184.64854166667)</f>
        <v>46184.64854</v>
      </c>
      <c r="B173" s="126">
        <f>IFERROR(__xludf.DUMMYFUNCTION("""COMPUTED_VALUE"""),46184.0)</f>
        <v>46184</v>
      </c>
      <c r="C173" s="122">
        <f>IFERROR(__xludf.DUMMYFUNCTION("""COMPUTED_VALUE"""),1234.0)</f>
        <v>1234</v>
      </c>
      <c r="D173" s="122" t="str">
        <f>IFERROR(__xludf.DUMMYFUNCTION("""COMPUTED_VALUE"""),"Test")</f>
        <v>Test</v>
      </c>
      <c r="E173" s="122" t="str">
        <f>IFERROR(__xludf.DUMMYFUNCTION("""COMPUTED_VALUE"""),"STORE_PURCHASE")</f>
        <v>STORE_PURCHASE</v>
      </c>
      <c r="F173" s="128">
        <f>IFERROR(__xludf.DUMMYFUNCTION("""COMPUTED_VALUE"""),100.0)</f>
        <v>100</v>
      </c>
      <c r="G173" s="128">
        <f>IFERROR(__xludf.DUMMYFUNCTION("""COMPUTED_VALUE"""),98487.6)</f>
        <v>98487.6</v>
      </c>
      <c r="H173" s="128">
        <f>IFERROR(__xludf.DUMMYFUNCTION("""COMPUTED_VALUE"""),98387.6)</f>
        <v>98387.6</v>
      </c>
      <c r="I173" s="122">
        <f>IFERROR(__xludf.DUMMYFUNCTION("""COMPUTED_VALUE"""),7734.0)</f>
        <v>7734</v>
      </c>
      <c r="J173" s="122" t="str">
        <f>IFERROR(__xludf.DUMMYFUNCTION("""COMPUTED_VALUE"""),"Extra credit 1%")</f>
        <v>Extra credit 1%</v>
      </c>
      <c r="K173" s="122" t="str">
        <f>IFERROR(__xludf.DUMMYFUNCTION("""COMPUTED_VALUE"""),"Store purchase")</f>
        <v>Store purchase</v>
      </c>
      <c r="L173" s="122" t="str">
        <f>IFERROR(__xludf.DUMMYFUNCTION("""COMPUTED_VALUE"""),"Success")</f>
        <v>Success</v>
      </c>
    </row>
    <row r="174">
      <c r="A174" s="129">
        <f>IFERROR(__xludf.DUMMYFUNCTION("""COMPUTED_VALUE"""),46184.65803240741)</f>
        <v>46184.65803</v>
      </c>
      <c r="B174" s="126">
        <f>IFERROR(__xludf.DUMMYFUNCTION("""COMPUTED_VALUE"""),46184.0)</f>
        <v>46184</v>
      </c>
      <c r="C174" s="122">
        <f>IFERROR(__xludf.DUMMYFUNCTION("""COMPUTED_VALUE"""),1234.0)</f>
        <v>1234</v>
      </c>
      <c r="D174" s="122" t="str">
        <f>IFERROR(__xludf.DUMMYFUNCTION("""COMPUTED_VALUE"""),"Test")</f>
        <v>Test</v>
      </c>
      <c r="E174" s="122" t="str">
        <f>IFERROR(__xludf.DUMMYFUNCTION("""COMPUTED_VALUE"""),"USE_ITEM")</f>
        <v>USE_ITEM</v>
      </c>
      <c r="F174" s="128">
        <f>IFERROR(__xludf.DUMMYFUNCTION("""COMPUTED_VALUE"""),0.0)</f>
        <v>0</v>
      </c>
      <c r="G174" s="128">
        <f>IFERROR(__xludf.DUMMYFUNCTION("""COMPUTED_VALUE"""),98387.6)</f>
        <v>98387.6</v>
      </c>
      <c r="H174" s="128">
        <f>IFERROR(__xludf.DUMMYFUNCTION("""COMPUTED_VALUE"""),98387.6)</f>
        <v>98387.6</v>
      </c>
      <c r="I174" s="122">
        <f>IFERROR(__xludf.DUMMYFUNCTION("""COMPUTED_VALUE"""),7734.0)</f>
        <v>7734</v>
      </c>
      <c r="J174" s="122" t="str">
        <f>IFERROR(__xludf.DUMMYFUNCTION("""COMPUTED_VALUE"""),"Extra credit 1%")</f>
        <v>Extra credit 1%</v>
      </c>
      <c r="K174" s="122" t="str">
        <f>IFERROR(__xludf.DUMMYFUNCTION("""COMPUTED_VALUE"""),"Item used")</f>
        <v>Item used</v>
      </c>
      <c r="L174" s="122" t="str">
        <f>IFERROR(__xludf.DUMMYFUNCTION("""COMPUTED_VALUE"""),"Used")</f>
        <v>Used</v>
      </c>
    </row>
    <row r="175">
      <c r="A175" s="129">
        <f>IFERROR(__xludf.DUMMYFUNCTION("""COMPUTED_VALUE"""),46185.34619212963)</f>
        <v>46185.34619</v>
      </c>
      <c r="B175" s="126">
        <f>IFERROR(__xludf.DUMMYFUNCTION("""COMPUTED_VALUE"""),46185.0)</f>
        <v>46185</v>
      </c>
      <c r="C175" s="122" t="str">
        <f>IFERROR(__xludf.DUMMYFUNCTION("""COMPUTED_VALUE"""),"5c07fef4")</f>
        <v>5c07fef4</v>
      </c>
      <c r="D175" s="122" t="str">
        <f>IFERROR(__xludf.DUMMYFUNCTION("""COMPUTED_VALUE"""),"Tiffany Kim")</f>
        <v>Tiffany Kim</v>
      </c>
      <c r="E175" s="122" t="str">
        <f>IFERROR(__xludf.DUMMYFUNCTION("""COMPUTED_VALUE"""),"REWARD")</f>
        <v>REWARD</v>
      </c>
      <c r="F175" s="128">
        <f>IFERROR(__xludf.DUMMYFUNCTION("""COMPUTED_VALUE"""),10.0)</f>
        <v>10</v>
      </c>
      <c r="G175" s="128">
        <f>IFERROR(__xludf.DUMMYFUNCTION("""COMPUTED_VALUE"""),420.0)</f>
        <v>420</v>
      </c>
      <c r="H175" s="128">
        <f>IFERROR(__xludf.DUMMYFUNCTION("""COMPUTED_VALUE"""),430.0)</f>
        <v>430</v>
      </c>
      <c r="I175" s="122"/>
      <c r="J175" s="122"/>
      <c r="K175" s="122" t="str">
        <f>IFERROR(__xludf.DUMMYFUNCTION("""COMPUTED_VALUE"""),"On-time attendance reward")</f>
        <v>On-time attendance reward</v>
      </c>
      <c r="L175" s="122" t="str">
        <f>IFERROR(__xludf.DUMMYFUNCTION("""COMPUTED_VALUE"""),"Success")</f>
        <v>Success</v>
      </c>
    </row>
    <row r="176">
      <c r="A176" s="129">
        <f>IFERROR(__xludf.DUMMYFUNCTION("""COMPUTED_VALUE"""),46185.34641203703)</f>
        <v>46185.34641</v>
      </c>
      <c r="B176" s="126">
        <f>IFERROR(__xludf.DUMMYFUNCTION("""COMPUTED_VALUE"""),46185.0)</f>
        <v>46185</v>
      </c>
      <c r="C176" s="122" t="str">
        <f>IFERROR(__xludf.DUMMYFUNCTION("""COMPUTED_VALUE"""),"ba912211")</f>
        <v>ba912211</v>
      </c>
      <c r="D176" s="122" t="str">
        <f>IFERROR(__xludf.DUMMYFUNCTION("""COMPUTED_VALUE"""),"Daisy Doh")</f>
        <v>Daisy Doh</v>
      </c>
      <c r="E176" s="122" t="str">
        <f>IFERROR(__xludf.DUMMYFUNCTION("""COMPUTED_VALUE"""),"REWARD")</f>
        <v>REWARD</v>
      </c>
      <c r="F176" s="128">
        <f>IFERROR(__xludf.DUMMYFUNCTION("""COMPUTED_VALUE"""),10.0)</f>
        <v>10</v>
      </c>
      <c r="G176" s="128">
        <f>IFERROR(__xludf.DUMMYFUNCTION("""COMPUTED_VALUE"""),473.88)</f>
        <v>473.88</v>
      </c>
      <c r="H176" s="128">
        <f>IFERROR(__xludf.DUMMYFUNCTION("""COMPUTED_VALUE"""),483.88)</f>
        <v>483.88</v>
      </c>
      <c r="I176" s="122"/>
      <c r="J176" s="122"/>
      <c r="K176" s="122" t="str">
        <f>IFERROR(__xludf.DUMMYFUNCTION("""COMPUTED_VALUE"""),"On-time attendance reward")</f>
        <v>On-time attendance reward</v>
      </c>
      <c r="L176" s="122" t="str">
        <f>IFERROR(__xludf.DUMMYFUNCTION("""COMPUTED_VALUE"""),"Success")</f>
        <v>Success</v>
      </c>
    </row>
    <row r="177">
      <c r="A177" s="129">
        <f>IFERROR(__xludf.DUMMYFUNCTION("""COMPUTED_VALUE"""),46185.35123842592)</f>
        <v>46185.35124</v>
      </c>
      <c r="B177" s="126">
        <f>IFERROR(__xludf.DUMMYFUNCTION("""COMPUTED_VALUE"""),46185.0)</f>
        <v>46185</v>
      </c>
      <c r="C177" s="122" t="str">
        <f>IFERROR(__xludf.DUMMYFUNCTION("""COMPUTED_VALUE"""),"7c4e261e")</f>
        <v>7c4e261e</v>
      </c>
      <c r="D177" s="122" t="str">
        <f>IFERROR(__xludf.DUMMYFUNCTION("""COMPUTED_VALUE"""),"Suha Lee")</f>
        <v>Suha Lee</v>
      </c>
      <c r="E177" s="122" t="str">
        <f>IFERROR(__xludf.DUMMYFUNCTION("""COMPUTED_VALUE"""),"REWARD")</f>
        <v>REWARD</v>
      </c>
      <c r="F177" s="128">
        <f>IFERROR(__xludf.DUMMYFUNCTION("""COMPUTED_VALUE"""),10.0)</f>
        <v>10</v>
      </c>
      <c r="G177" s="128">
        <f>IFERROR(__xludf.DUMMYFUNCTION("""COMPUTED_VALUE"""),39.83)</f>
        <v>39.83</v>
      </c>
      <c r="H177" s="128">
        <f>IFERROR(__xludf.DUMMYFUNCTION("""COMPUTED_VALUE"""),49.83)</f>
        <v>49.83</v>
      </c>
      <c r="I177" s="122"/>
      <c r="J177" s="122"/>
      <c r="K177" s="122" t="str">
        <f>IFERROR(__xludf.DUMMYFUNCTION("""COMPUTED_VALUE"""),"On-time attendance reward")</f>
        <v>On-time attendance reward</v>
      </c>
      <c r="L177" s="122" t="str">
        <f>IFERROR(__xludf.DUMMYFUNCTION("""COMPUTED_VALUE"""),"Success")</f>
        <v>Success</v>
      </c>
    </row>
    <row r="178">
      <c r="A178" s="129">
        <f>IFERROR(__xludf.DUMMYFUNCTION("""COMPUTED_VALUE"""),46185.35445601852)</f>
        <v>46185.35446</v>
      </c>
      <c r="B178" s="126">
        <f>IFERROR(__xludf.DUMMYFUNCTION("""COMPUTED_VALUE"""),46185.0)</f>
        <v>46185</v>
      </c>
      <c r="C178" s="122" t="str">
        <f>IFERROR(__xludf.DUMMYFUNCTION("""COMPUTED_VALUE"""),"dc04eef4")</f>
        <v>dc04eef4</v>
      </c>
      <c r="D178" s="122" t="str">
        <f>IFERROR(__xludf.DUMMYFUNCTION("""COMPUTED_VALUE"""),"Joshua Jung")</f>
        <v>Joshua Jung</v>
      </c>
      <c r="E178" s="122" t="str">
        <f>IFERROR(__xludf.DUMMYFUNCTION("""COMPUTED_VALUE"""),"REWARD")</f>
        <v>REWARD</v>
      </c>
      <c r="F178" s="128">
        <f>IFERROR(__xludf.DUMMYFUNCTION("""COMPUTED_VALUE"""),10.0)</f>
        <v>10</v>
      </c>
      <c r="G178" s="128">
        <f>IFERROR(__xludf.DUMMYFUNCTION("""COMPUTED_VALUE"""),224.86)</f>
        <v>224.86</v>
      </c>
      <c r="H178" s="128">
        <f>IFERROR(__xludf.DUMMYFUNCTION("""COMPUTED_VALUE"""),234.86)</f>
        <v>234.86</v>
      </c>
      <c r="I178" s="122"/>
      <c r="J178" s="122"/>
      <c r="K178" s="122" t="str">
        <f>IFERROR(__xludf.DUMMYFUNCTION("""COMPUTED_VALUE"""),"On-time attendance reward")</f>
        <v>On-time attendance reward</v>
      </c>
      <c r="L178" s="122" t="str">
        <f>IFERROR(__xludf.DUMMYFUNCTION("""COMPUTED_VALUE"""),"Success")</f>
        <v>Success</v>
      </c>
    </row>
    <row r="179">
      <c r="A179" s="129">
        <f>IFERROR(__xludf.DUMMYFUNCTION("""COMPUTED_VALUE"""),46185.35493055556)</f>
        <v>46185.35493</v>
      </c>
      <c r="B179" s="126">
        <f>IFERROR(__xludf.DUMMYFUNCTION("""COMPUTED_VALUE"""),46185.0)</f>
        <v>46185</v>
      </c>
      <c r="C179" s="122" t="str">
        <f>IFERROR(__xludf.DUMMYFUNCTION("""COMPUTED_VALUE"""),"1e3e1410")</f>
        <v>1e3e1410</v>
      </c>
      <c r="D179" s="122" t="str">
        <f>IFERROR(__xludf.DUMMYFUNCTION("""COMPUTED_VALUE"""),"Junjae Park")</f>
        <v>Junjae Park</v>
      </c>
      <c r="E179" s="122" t="str">
        <f>IFERROR(__xludf.DUMMYFUNCTION("""COMPUTED_VALUE"""),"REWARD")</f>
        <v>REWARD</v>
      </c>
      <c r="F179" s="128">
        <f>IFERROR(__xludf.DUMMYFUNCTION("""COMPUTED_VALUE"""),10.0)</f>
        <v>10</v>
      </c>
      <c r="G179" s="128">
        <f>IFERROR(__xludf.DUMMYFUNCTION("""COMPUTED_VALUE"""),73.9)</f>
        <v>73.9</v>
      </c>
      <c r="H179" s="128">
        <f>IFERROR(__xludf.DUMMYFUNCTION("""COMPUTED_VALUE"""),83.9)</f>
        <v>83.9</v>
      </c>
      <c r="I179" s="122"/>
      <c r="J179" s="122"/>
      <c r="K179" s="122" t="str">
        <f>IFERROR(__xludf.DUMMYFUNCTION("""COMPUTED_VALUE"""),"On-time attendance reward")</f>
        <v>On-time attendance reward</v>
      </c>
      <c r="L179" s="122" t="str">
        <f>IFERROR(__xludf.DUMMYFUNCTION("""COMPUTED_VALUE"""),"Success")</f>
        <v>Success</v>
      </c>
    </row>
    <row r="180">
      <c r="A180" s="129">
        <f>IFERROR(__xludf.DUMMYFUNCTION("""COMPUTED_VALUE"""),46185.381689814814)</f>
        <v>46185.38169</v>
      </c>
      <c r="B180" s="126">
        <f>IFERROR(__xludf.DUMMYFUNCTION("""COMPUTED_VALUE"""),46185.0)</f>
        <v>46185</v>
      </c>
      <c r="C180" s="122" t="str">
        <f>IFERROR(__xludf.DUMMYFUNCTION("""COMPUTED_VALUE"""),"5a032611")</f>
        <v>5a032611</v>
      </c>
      <c r="D180" s="122" t="str">
        <f>IFERROR(__xludf.DUMMYFUNCTION("""COMPUTED_VALUE"""),"Harold Dou")</f>
        <v>Harold Dou</v>
      </c>
      <c r="E180" s="122" t="str">
        <f>IFERROR(__xludf.DUMMYFUNCTION("""COMPUTED_VALUE"""),"USE_ITEM")</f>
        <v>USE_ITEM</v>
      </c>
      <c r="F180" s="128">
        <f>IFERROR(__xludf.DUMMYFUNCTION("""COMPUTED_VALUE"""),0.0)</f>
        <v>0</v>
      </c>
      <c r="G180" s="128">
        <f>IFERROR(__xludf.DUMMYFUNCTION("""COMPUTED_VALUE"""),198.0)</f>
        <v>198</v>
      </c>
      <c r="H180" s="128">
        <f>IFERROR(__xludf.DUMMYFUNCTION("""COMPUTED_VALUE"""),198.0)</f>
        <v>198</v>
      </c>
      <c r="I180" s="122">
        <f>IFERROR(__xludf.DUMMYFUNCTION("""COMPUTED_VALUE"""),7734.0)</f>
        <v>7734</v>
      </c>
      <c r="J180" s="122" t="str">
        <f>IFERROR(__xludf.DUMMYFUNCTION("""COMPUTED_VALUE"""),"Extra credit 1%")</f>
        <v>Extra credit 1%</v>
      </c>
      <c r="K180" s="122" t="str">
        <f>IFERROR(__xludf.DUMMYFUNCTION("""COMPUTED_VALUE"""),"I want to use in American Literature Walden Chapter Analysis Assignment")</f>
        <v>I want to use in American Literature Walden Chapter Analysis Assignment</v>
      </c>
      <c r="L180" s="122" t="str">
        <f>IFERROR(__xludf.DUMMYFUNCTION("""COMPUTED_VALUE"""),"Used")</f>
        <v>Used</v>
      </c>
    </row>
    <row r="181">
      <c r="A181" s="129">
        <f>IFERROR(__xludf.DUMMYFUNCTION("""COMPUTED_VALUE"""),46185.42863425926)</f>
        <v>46185.42863</v>
      </c>
      <c r="B181" s="126">
        <f>IFERROR(__xludf.DUMMYFUNCTION("""COMPUTED_VALUE"""),46185.0)</f>
        <v>46185</v>
      </c>
      <c r="C181" s="122">
        <f>IFERROR(__xludf.DUMMYFUNCTION("""COMPUTED_VALUE"""),1234.0)</f>
        <v>1234</v>
      </c>
      <c r="D181" s="122" t="str">
        <f>IFERROR(__xludf.DUMMYFUNCTION("""COMPUTED_VALUE"""),"Test")</f>
        <v>Test</v>
      </c>
      <c r="E181" s="122" t="str">
        <f>IFERROR(__xludf.DUMMYFUNCTION("""COMPUTED_VALUE"""),"STORE_PURCHASE")</f>
        <v>STORE_PURCHASE</v>
      </c>
      <c r="F181" s="128">
        <f>IFERROR(__xludf.DUMMYFUNCTION("""COMPUTED_VALUE"""),100.0)</f>
        <v>100</v>
      </c>
      <c r="G181" s="128">
        <f>IFERROR(__xludf.DUMMYFUNCTION("""COMPUTED_VALUE"""),98387.6)</f>
        <v>98387.6</v>
      </c>
      <c r="H181" s="128">
        <f>IFERROR(__xludf.DUMMYFUNCTION("""COMPUTED_VALUE"""),98287.6)</f>
        <v>98287.6</v>
      </c>
      <c r="I181" s="122">
        <f>IFERROR(__xludf.DUMMYFUNCTION("""COMPUTED_VALUE"""),7734.0)</f>
        <v>7734</v>
      </c>
      <c r="J181" s="122" t="str">
        <f>IFERROR(__xludf.DUMMYFUNCTION("""COMPUTED_VALUE"""),"Extra credit 1%")</f>
        <v>Extra credit 1%</v>
      </c>
      <c r="K181" s="122" t="str">
        <f>IFERROR(__xludf.DUMMYFUNCTION("""COMPUTED_VALUE"""),"Store purchase")</f>
        <v>Store purchase</v>
      </c>
      <c r="L181" s="122" t="str">
        <f>IFERROR(__xludf.DUMMYFUNCTION("""COMPUTED_VALUE"""),"Success")</f>
        <v>Success</v>
      </c>
    </row>
    <row r="182">
      <c r="A182" s="129">
        <f>IFERROR(__xludf.DUMMYFUNCTION("""COMPUTED_VALUE"""),46186.34226851852)</f>
        <v>46186.34227</v>
      </c>
      <c r="B182" s="126">
        <f>IFERROR(__xludf.DUMMYFUNCTION("""COMPUTED_VALUE"""),46186.0)</f>
        <v>46186</v>
      </c>
      <c r="C182" s="122">
        <f>IFERROR(__xludf.DUMMYFUNCTION("""COMPUTED_VALUE"""),1234.0)</f>
        <v>1234</v>
      </c>
      <c r="D182" s="122" t="str">
        <f>IFERROR(__xludf.DUMMYFUNCTION("""COMPUTED_VALUE"""),"Test")</f>
        <v>Test</v>
      </c>
      <c r="E182" s="122" t="str">
        <f>IFERROR(__xludf.DUMMYFUNCTION("""COMPUTED_VALUE"""),"USE_ITEM")</f>
        <v>USE_ITEM</v>
      </c>
      <c r="F182" s="128">
        <f>IFERROR(__xludf.DUMMYFUNCTION("""COMPUTED_VALUE"""),0.0)</f>
        <v>0</v>
      </c>
      <c r="G182" s="128">
        <f>IFERROR(__xludf.DUMMYFUNCTION("""COMPUTED_VALUE"""),98612.48)</f>
        <v>98612.48</v>
      </c>
      <c r="H182" s="128">
        <f>IFERROR(__xludf.DUMMYFUNCTION("""COMPUTED_VALUE"""),98612.48)</f>
        <v>98612.48</v>
      </c>
      <c r="I182" s="122">
        <f>IFERROR(__xludf.DUMMYFUNCTION("""COMPUTED_VALUE"""),7734.0)</f>
        <v>7734</v>
      </c>
      <c r="J182" s="122" t="str">
        <f>IFERROR(__xludf.DUMMYFUNCTION("""COMPUTED_VALUE"""),"Extra credit 1%")</f>
        <v>Extra credit 1%</v>
      </c>
      <c r="K182" s="122" t="str">
        <f>IFERROR(__xludf.DUMMYFUNCTION("""COMPUTED_VALUE"""),"test")</f>
        <v>test</v>
      </c>
      <c r="L182" s="122" t="str">
        <f>IFERROR(__xludf.DUMMYFUNCTION("""COMPUTED_VALUE"""),"Used")</f>
        <v>Used</v>
      </c>
    </row>
    <row r="183">
      <c r="A183" s="129">
        <f>IFERROR(__xludf.DUMMYFUNCTION("""COMPUTED_VALUE"""),46186.37420138889)</f>
        <v>46186.3742</v>
      </c>
      <c r="B183" s="126">
        <f>IFERROR(__xludf.DUMMYFUNCTION("""COMPUTED_VALUE"""),46186.0)</f>
        <v>46186</v>
      </c>
      <c r="C183" s="122">
        <f>IFERROR(__xludf.DUMMYFUNCTION("""COMPUTED_VALUE"""),1234.0)</f>
        <v>1234</v>
      </c>
      <c r="D183" s="122" t="str">
        <f>IFERROR(__xludf.DUMMYFUNCTION("""COMPUTED_VALUE"""),"Test")</f>
        <v>Test</v>
      </c>
      <c r="E183" s="122" t="str">
        <f>IFERROR(__xludf.DUMMYFUNCTION("""COMPUTED_VALUE"""),"STORE_PURCHASE")</f>
        <v>STORE_PURCHASE</v>
      </c>
      <c r="F183" s="128">
        <f>IFERROR(__xludf.DUMMYFUNCTION("""COMPUTED_VALUE"""),100.0)</f>
        <v>100</v>
      </c>
      <c r="G183" s="128">
        <f>IFERROR(__xludf.DUMMYFUNCTION("""COMPUTED_VALUE"""),98612.48)</f>
        <v>98612.48</v>
      </c>
      <c r="H183" s="128">
        <f>IFERROR(__xludf.DUMMYFUNCTION("""COMPUTED_VALUE"""),98512.48)</f>
        <v>98512.48</v>
      </c>
      <c r="I183" s="122">
        <f>IFERROR(__xludf.DUMMYFUNCTION("""COMPUTED_VALUE"""),7734.0)</f>
        <v>7734</v>
      </c>
      <c r="J183" s="122" t="str">
        <f>IFERROR(__xludf.DUMMYFUNCTION("""COMPUTED_VALUE"""),"Extra credit 1%")</f>
        <v>Extra credit 1%</v>
      </c>
      <c r="K183" s="122" t="str">
        <f>IFERROR(__xludf.DUMMYFUNCTION("""COMPUTED_VALUE"""),"Store purchase")</f>
        <v>Store purchase</v>
      </c>
      <c r="L183" s="122" t="str">
        <f>IFERROR(__xludf.DUMMYFUNCTION("""COMPUTED_VALUE"""),"Success")</f>
        <v>Success</v>
      </c>
    </row>
    <row r="184">
      <c r="A184" s="129">
        <f>IFERROR(__xludf.DUMMYFUNCTION("""COMPUTED_VALUE"""),46186.37939814815)</f>
        <v>46186.3794</v>
      </c>
      <c r="B184" s="126">
        <f>IFERROR(__xludf.DUMMYFUNCTION("""COMPUTED_VALUE"""),46186.0)</f>
        <v>46186</v>
      </c>
      <c r="C184" s="122">
        <f>IFERROR(__xludf.DUMMYFUNCTION("""COMPUTED_VALUE"""),1234.0)</f>
        <v>1234</v>
      </c>
      <c r="D184" s="122" t="str">
        <f>IFERROR(__xludf.DUMMYFUNCTION("""COMPUTED_VALUE"""),"Test")</f>
        <v>Test</v>
      </c>
      <c r="E184" s="122" t="str">
        <f>IFERROR(__xludf.DUMMYFUNCTION("""COMPUTED_VALUE"""),"STORE_PURCHASE")</f>
        <v>STORE_PURCHASE</v>
      </c>
      <c r="F184" s="128">
        <f>IFERROR(__xludf.DUMMYFUNCTION("""COMPUTED_VALUE"""),100.0)</f>
        <v>100</v>
      </c>
      <c r="G184" s="128">
        <f>IFERROR(__xludf.DUMMYFUNCTION("""COMPUTED_VALUE"""),98512.48)</f>
        <v>98512.48</v>
      </c>
      <c r="H184" s="128">
        <f>IFERROR(__xludf.DUMMYFUNCTION("""COMPUTED_VALUE"""),98412.48)</f>
        <v>98412.48</v>
      </c>
      <c r="I184" s="122">
        <f>IFERROR(__xludf.DUMMYFUNCTION("""COMPUTED_VALUE"""),7734.0)</f>
        <v>7734</v>
      </c>
      <c r="J184" s="122" t="str">
        <f>IFERROR(__xludf.DUMMYFUNCTION("""COMPUTED_VALUE"""),"Extra credit 1%")</f>
        <v>Extra credit 1%</v>
      </c>
      <c r="K184" s="122" t="str">
        <f>IFERROR(__xludf.DUMMYFUNCTION("""COMPUTED_VALUE"""),"Store purchase")</f>
        <v>Store purchase</v>
      </c>
      <c r="L184" s="122" t="str">
        <f>IFERROR(__xludf.DUMMYFUNCTION("""COMPUTED_VALUE"""),"Success")</f>
        <v>Success</v>
      </c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IFERROR(__xludf.DUMMYFUNCTION("IMPORTRANGE(""https://docs.google.com/spreadsheets/d/1xmGsP2eOXdfhJ9DjzCOVFJKoZ2DuuwRb_dbNg1M77M8/edit?gid=138364344#gid=138364344"",""Attendance_Log!A:M"")"),"Raw Attendance Scan Log")</f>
        <v>Raw Attendance Scan Log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>
      <c r="A3" s="122" t="str">
        <f>IFERROR(__xludf.DUMMYFUNCTION("""COMPUTED_VALUE"""),"Timestamp")</f>
        <v>Timestamp</v>
      </c>
      <c r="B3" s="122" t="str">
        <f>IFERROR(__xludf.DUMMYFUNCTION("""COMPUTED_VALUE"""),"Date")</f>
        <v>Date</v>
      </c>
      <c r="C3" s="122" t="str">
        <f>IFERROR(__xludf.DUMMYFUNCTION("""COMPUTED_VALUE"""),"Card_ID")</f>
        <v>Card_ID</v>
      </c>
      <c r="D3" s="122" t="str">
        <f>IFERROR(__xludf.DUMMYFUNCTION("""COMPUTED_VALUE"""),"Student_Name")</f>
        <v>Student_Name</v>
      </c>
      <c r="E3" s="122" t="str">
        <f>IFERROR(__xludf.DUMMYFUNCTION("""COMPUTED_VALUE"""),"Grade")</f>
        <v>Grade</v>
      </c>
      <c r="F3" s="122" t="str">
        <f>IFERROR(__xludf.DUMMYFUNCTION("""COMPUTED_VALUE"""),"Homeroom")</f>
        <v>Homeroom</v>
      </c>
      <c r="G3" s="122" t="str">
        <f>IFERROR(__xludf.DUMMYFUNCTION("""COMPUTED_VALUE"""),"Class_Period")</f>
        <v>Class_Period</v>
      </c>
      <c r="H3" s="122" t="str">
        <f>IFERROR(__xludf.DUMMYFUNCTION("""COMPUTED_VALUE"""),"Status")</f>
        <v>Status</v>
      </c>
      <c r="I3" s="122" t="str">
        <f>IFERROR(__xludf.DUMMYFUNCTION("""COMPUTED_VALUE"""),"Check_In_Time")</f>
        <v>Check_In_Time</v>
      </c>
      <c r="J3" s="122" t="str">
        <f>IFERROR(__xludf.DUMMYFUNCTION("""COMPUTED_VALUE"""),"Streak_After_Scan")</f>
        <v>Streak_After_Scan</v>
      </c>
      <c r="K3" s="123" t="str">
        <f>IFERROR(__xludf.DUMMYFUNCTION("""COMPUTED_VALUE"""),"Bonus_Applied")</f>
        <v>Bonus_Applied</v>
      </c>
      <c r="L3" s="122" t="str">
        <f>IFERROR(__xludf.DUMMYFUNCTION("""COMPUTED_VALUE"""),"Note")</f>
        <v>Note</v>
      </c>
      <c r="M3" s="122" t="str">
        <f>IFERROR(__xludf.DUMMYFUNCTION("""COMPUTED_VALUE"""),"System_Status")</f>
        <v>System_Status</v>
      </c>
    </row>
    <row r="4">
      <c r="A4" s="129">
        <f>IFERROR(__xludf.DUMMYFUNCTION("""COMPUTED_VALUE"""),46163.34707175926)</f>
        <v>46163.34707</v>
      </c>
      <c r="B4" s="126">
        <f>IFERROR(__xludf.DUMMYFUNCTION("""COMPUTED_VALUE"""),46163.0)</f>
        <v>46163</v>
      </c>
      <c r="C4" s="122" t="str">
        <f>IFERROR(__xludf.DUMMYFUNCTION("""COMPUTED_VALUE"""),"5c07fef4")</f>
        <v>5c07fef4</v>
      </c>
      <c r="D4" s="122" t="str">
        <f>IFERROR(__xludf.DUMMYFUNCTION("""COMPUTED_VALUE"""),"Tiffany Kim")</f>
        <v>Tiffany Kim</v>
      </c>
      <c r="E4" s="122">
        <f>IFERROR(__xludf.DUMMYFUNCTION("""COMPUTED_VALUE"""),10.0)</f>
        <v>10</v>
      </c>
      <c r="F4" s="122" t="str">
        <f>IFERROR(__xludf.DUMMYFUNCTION("""COMPUTED_VALUE"""),"HS202")</f>
        <v>HS202</v>
      </c>
      <c r="G4" s="122" t="str">
        <f>IFERROR(__xludf.DUMMYFUNCTION("""COMPUTED_VALUE"""),"Homeroom")</f>
        <v>Homeroom</v>
      </c>
      <c r="H4" s="122" t="str">
        <f>IFERROR(__xludf.DUMMYFUNCTION("""COMPUTED_VALUE"""),"Present")</f>
        <v>Present</v>
      </c>
      <c r="I4" s="130">
        <f>IFERROR(__xludf.DUMMYFUNCTION("""COMPUTED_VALUE"""),0.34707175925925926)</f>
        <v>0.3470717593</v>
      </c>
      <c r="J4" s="122">
        <f>IFERROR(__xludf.DUMMYFUNCTION("""COMPUTED_VALUE"""),1.0)</f>
        <v>1</v>
      </c>
      <c r="K4" s="123">
        <f>IFERROR(__xludf.DUMMYFUNCTION("""COMPUTED_VALUE"""),10.0)</f>
        <v>10</v>
      </c>
      <c r="L4" s="122" t="str">
        <f>IFERROR(__xludf.DUMMYFUNCTION("""COMPUTED_VALUE"""),"On-time reward applied")</f>
        <v>On-time reward applied</v>
      </c>
      <c r="M4" s="122" t="str">
        <f>IFERROR(__xludf.DUMMYFUNCTION("""COMPUTED_VALUE"""),"Success")</f>
        <v>Success</v>
      </c>
    </row>
    <row r="5">
      <c r="A5" s="129">
        <f>IFERROR(__xludf.DUMMYFUNCTION("""COMPUTED_VALUE"""),46163.348229166666)</f>
        <v>46163.34823</v>
      </c>
      <c r="B5" s="126">
        <f>IFERROR(__xludf.DUMMYFUNCTION("""COMPUTED_VALUE"""),46163.0)</f>
        <v>46163</v>
      </c>
      <c r="C5" s="122" t="str">
        <f>IFERROR(__xludf.DUMMYFUNCTION("""COMPUTED_VALUE"""),"ba912211")</f>
        <v>ba912211</v>
      </c>
      <c r="D5" s="122" t="str">
        <f>IFERROR(__xludf.DUMMYFUNCTION("""COMPUTED_VALUE"""),"Daisy Dou")</f>
        <v>Daisy Dou</v>
      </c>
      <c r="E5" s="122">
        <f>IFERROR(__xludf.DUMMYFUNCTION("""COMPUTED_VALUE"""),10.0)</f>
        <v>10</v>
      </c>
      <c r="F5" s="122" t="str">
        <f>IFERROR(__xludf.DUMMYFUNCTION("""COMPUTED_VALUE"""),"HS202")</f>
        <v>HS202</v>
      </c>
      <c r="G5" s="122" t="str">
        <f>IFERROR(__xludf.DUMMYFUNCTION("""COMPUTED_VALUE"""),"Homeroom")</f>
        <v>Homeroom</v>
      </c>
      <c r="H5" s="122" t="str">
        <f>IFERROR(__xludf.DUMMYFUNCTION("""COMPUTED_VALUE"""),"Present")</f>
        <v>Present</v>
      </c>
      <c r="I5" s="130">
        <f>IFERROR(__xludf.DUMMYFUNCTION("""COMPUTED_VALUE"""),0.34822916666666665)</f>
        <v>0.3482291667</v>
      </c>
      <c r="J5" s="122">
        <f>IFERROR(__xludf.DUMMYFUNCTION("""COMPUTED_VALUE"""),1.0)</f>
        <v>1</v>
      </c>
      <c r="K5" s="123">
        <f>IFERROR(__xludf.DUMMYFUNCTION("""COMPUTED_VALUE"""),10.0)</f>
        <v>10</v>
      </c>
      <c r="L5" s="122" t="str">
        <f>IFERROR(__xludf.DUMMYFUNCTION("""COMPUTED_VALUE"""),"On-time reward applied")</f>
        <v>On-time reward applied</v>
      </c>
      <c r="M5" s="122" t="str">
        <f>IFERROR(__xludf.DUMMYFUNCTION("""COMPUTED_VALUE"""),"Success")</f>
        <v>Success</v>
      </c>
    </row>
    <row r="6">
      <c r="A6" s="129">
        <f>IFERROR(__xludf.DUMMYFUNCTION("""COMPUTED_VALUE"""),46163.348449074074)</f>
        <v>46163.34845</v>
      </c>
      <c r="B6" s="126">
        <f>IFERROR(__xludf.DUMMYFUNCTION("""COMPUTED_VALUE"""),46163.0)</f>
        <v>46163</v>
      </c>
      <c r="C6" s="122" t="str">
        <f>IFERROR(__xludf.DUMMYFUNCTION("""COMPUTED_VALUE"""),"babde4c4")</f>
        <v>babde4c4</v>
      </c>
      <c r="D6" s="122" t="str">
        <f>IFERROR(__xludf.DUMMYFUNCTION("""COMPUTED_VALUE"""),"Ashley Guk")</f>
        <v>Ashley Guk</v>
      </c>
      <c r="E6" s="122">
        <f>IFERROR(__xludf.DUMMYFUNCTION("""COMPUTED_VALUE"""),10.0)</f>
        <v>10</v>
      </c>
      <c r="F6" s="122" t="str">
        <f>IFERROR(__xludf.DUMMYFUNCTION("""COMPUTED_VALUE"""),"HS202")</f>
        <v>HS202</v>
      </c>
      <c r="G6" s="122" t="str">
        <f>IFERROR(__xludf.DUMMYFUNCTION("""COMPUTED_VALUE"""),"Homeroom")</f>
        <v>Homeroom</v>
      </c>
      <c r="H6" s="122" t="str">
        <f>IFERROR(__xludf.DUMMYFUNCTION("""COMPUTED_VALUE"""),"Present")</f>
        <v>Present</v>
      </c>
      <c r="I6" s="130">
        <f>IFERROR(__xludf.DUMMYFUNCTION("""COMPUTED_VALUE"""),0.34844907407407405)</f>
        <v>0.3484490741</v>
      </c>
      <c r="J6" s="122">
        <f>IFERROR(__xludf.DUMMYFUNCTION("""COMPUTED_VALUE"""),1.0)</f>
        <v>1</v>
      </c>
      <c r="K6" s="123">
        <f>IFERROR(__xludf.DUMMYFUNCTION("""COMPUTED_VALUE"""),10.0)</f>
        <v>10</v>
      </c>
      <c r="L6" s="122" t="str">
        <f>IFERROR(__xludf.DUMMYFUNCTION("""COMPUTED_VALUE"""),"On-time reward applied")</f>
        <v>On-time reward applied</v>
      </c>
      <c r="M6" s="122" t="str">
        <f>IFERROR(__xludf.DUMMYFUNCTION("""COMPUTED_VALUE"""),"Success")</f>
        <v>Success</v>
      </c>
    </row>
    <row r="7">
      <c r="A7" s="129">
        <f>IFERROR(__xludf.DUMMYFUNCTION("""COMPUTED_VALUE"""),46163.349444444444)</f>
        <v>46163.34944</v>
      </c>
      <c r="B7" s="126">
        <f>IFERROR(__xludf.DUMMYFUNCTION("""COMPUTED_VALUE"""),46163.0)</f>
        <v>46163</v>
      </c>
      <c r="C7" s="122" t="str">
        <f>IFERROR(__xludf.DUMMYFUNCTION("""COMPUTED_VALUE"""),"dc04eef4")</f>
        <v>dc04eef4</v>
      </c>
      <c r="D7" s="122" t="str">
        <f>IFERROR(__xludf.DUMMYFUNCTION("""COMPUTED_VALUE"""),"Joshua Jung")</f>
        <v>Joshua Jung</v>
      </c>
      <c r="E7" s="122">
        <f>IFERROR(__xludf.DUMMYFUNCTION("""COMPUTED_VALUE"""),10.0)</f>
        <v>10</v>
      </c>
      <c r="F7" s="122" t="str">
        <f>IFERROR(__xludf.DUMMYFUNCTION("""COMPUTED_VALUE"""),"HS202")</f>
        <v>HS202</v>
      </c>
      <c r="G7" s="122" t="str">
        <f>IFERROR(__xludf.DUMMYFUNCTION("""COMPUTED_VALUE"""),"Homeroom")</f>
        <v>Homeroom</v>
      </c>
      <c r="H7" s="122" t="str">
        <f>IFERROR(__xludf.DUMMYFUNCTION("""COMPUTED_VALUE"""),"Present")</f>
        <v>Present</v>
      </c>
      <c r="I7" s="130">
        <f>IFERROR(__xludf.DUMMYFUNCTION("""COMPUTED_VALUE"""),0.34944444444444445)</f>
        <v>0.3494444444</v>
      </c>
      <c r="J7" s="122">
        <f>IFERROR(__xludf.DUMMYFUNCTION("""COMPUTED_VALUE"""),1.0)</f>
        <v>1</v>
      </c>
      <c r="K7" s="123">
        <f>IFERROR(__xludf.DUMMYFUNCTION("""COMPUTED_VALUE"""),10.0)</f>
        <v>10</v>
      </c>
      <c r="L7" s="122" t="str">
        <f>IFERROR(__xludf.DUMMYFUNCTION("""COMPUTED_VALUE"""),"On-time reward applied")</f>
        <v>On-time reward applied</v>
      </c>
      <c r="M7" s="122" t="str">
        <f>IFERROR(__xludf.DUMMYFUNCTION("""COMPUTED_VALUE"""),"Success")</f>
        <v>Success</v>
      </c>
    </row>
    <row r="8">
      <c r="A8" s="129">
        <f>IFERROR(__xludf.DUMMYFUNCTION("""COMPUTED_VALUE"""),46163.35587962963)</f>
        <v>46163.35588</v>
      </c>
      <c r="B8" s="126">
        <f>IFERROR(__xludf.DUMMYFUNCTION("""COMPUTED_VALUE"""),46163.0)</f>
        <v>46163</v>
      </c>
      <c r="C8" s="122" t="str">
        <f>IFERROR(__xludf.DUMMYFUNCTION("""COMPUTED_VALUE"""),"5a032611")</f>
        <v>5a032611</v>
      </c>
      <c r="D8" s="122" t="str">
        <f>IFERROR(__xludf.DUMMYFUNCTION("""COMPUTED_VALUE"""),"Harold Dou")</f>
        <v>Harold Dou</v>
      </c>
      <c r="E8" s="122">
        <f>IFERROR(__xludf.DUMMYFUNCTION("""COMPUTED_VALUE"""),10.0)</f>
        <v>10</v>
      </c>
      <c r="F8" s="122" t="str">
        <f>IFERROR(__xludf.DUMMYFUNCTION("""COMPUTED_VALUE"""),"HS202")</f>
        <v>HS202</v>
      </c>
      <c r="G8" s="122" t="str">
        <f>IFERROR(__xludf.DUMMYFUNCTION("""COMPUTED_VALUE"""),"Homeroom")</f>
        <v>Homeroom</v>
      </c>
      <c r="H8" s="122" t="str">
        <f>IFERROR(__xludf.DUMMYFUNCTION("""COMPUTED_VALUE"""),"Present")</f>
        <v>Present</v>
      </c>
      <c r="I8" s="130">
        <f>IFERROR(__xludf.DUMMYFUNCTION("""COMPUTED_VALUE"""),0.35587962962962966)</f>
        <v>0.3558796296</v>
      </c>
      <c r="J8" s="122">
        <f>IFERROR(__xludf.DUMMYFUNCTION("""COMPUTED_VALUE"""),1.0)</f>
        <v>1</v>
      </c>
      <c r="K8" s="123">
        <f>IFERROR(__xludf.DUMMYFUNCTION("""COMPUTED_VALUE"""),10.0)</f>
        <v>10</v>
      </c>
      <c r="L8" s="122" t="str">
        <f>IFERROR(__xludf.DUMMYFUNCTION("""COMPUTED_VALUE"""),"On-time reward applied")</f>
        <v>On-time reward applied</v>
      </c>
      <c r="M8" s="122" t="str">
        <f>IFERROR(__xludf.DUMMYFUNCTION("""COMPUTED_VALUE"""),"Success")</f>
        <v>Success</v>
      </c>
    </row>
    <row r="9">
      <c r="A9" s="129">
        <f>IFERROR(__xludf.DUMMYFUNCTION("""COMPUTED_VALUE"""),46163.35612268518)</f>
        <v>46163.35612</v>
      </c>
      <c r="B9" s="126">
        <f>IFERROR(__xludf.DUMMYFUNCTION("""COMPUTED_VALUE"""),46163.0)</f>
        <v>46163</v>
      </c>
      <c r="C9" s="122" t="str">
        <f>IFERROR(__xludf.DUMMYFUNCTION("""COMPUTED_VALUE"""),"7c4e261e")</f>
        <v>7c4e261e</v>
      </c>
      <c r="D9" s="122" t="str">
        <f>IFERROR(__xludf.DUMMYFUNCTION("""COMPUTED_VALUE"""),"Suha Lee")</f>
        <v>Suha Lee</v>
      </c>
      <c r="E9" s="122">
        <f>IFERROR(__xludf.DUMMYFUNCTION("""COMPUTED_VALUE"""),10.0)</f>
        <v>10</v>
      </c>
      <c r="F9" s="122" t="str">
        <f>IFERROR(__xludf.DUMMYFUNCTION("""COMPUTED_VALUE"""),"HS203")</f>
        <v>HS203</v>
      </c>
      <c r="G9" s="122" t="str">
        <f>IFERROR(__xludf.DUMMYFUNCTION("""COMPUTED_VALUE"""),"Homeroom")</f>
        <v>Homeroom</v>
      </c>
      <c r="H9" s="122" t="str">
        <f>IFERROR(__xludf.DUMMYFUNCTION("""COMPUTED_VALUE"""),"Present")</f>
        <v>Present</v>
      </c>
      <c r="I9" s="130">
        <f>IFERROR(__xludf.DUMMYFUNCTION("""COMPUTED_VALUE"""),0.3975462962962963)</f>
        <v>0.3975462963</v>
      </c>
      <c r="J9" s="122">
        <f>IFERROR(__xludf.DUMMYFUNCTION("""COMPUTED_VALUE"""),1.0)</f>
        <v>1</v>
      </c>
      <c r="K9" s="123">
        <f>IFERROR(__xludf.DUMMYFUNCTION("""COMPUTED_VALUE"""),10.0)</f>
        <v>10</v>
      </c>
      <c r="L9" s="122" t="str">
        <f>IFERROR(__xludf.DUMMYFUNCTION("""COMPUTED_VALUE"""),"On-time reward applied")</f>
        <v>On-time reward applied</v>
      </c>
      <c r="M9" s="122" t="str">
        <f>IFERROR(__xludf.DUMMYFUNCTION("""COMPUTED_VALUE"""),"Success")</f>
        <v>Success</v>
      </c>
    </row>
    <row r="10">
      <c r="A10" s="129">
        <f>IFERROR(__xludf.DUMMYFUNCTION("""COMPUTED_VALUE"""),46163.35622685185)</f>
        <v>46163.35623</v>
      </c>
      <c r="B10" s="126">
        <f>IFERROR(__xludf.DUMMYFUNCTION("""COMPUTED_VALUE"""),46163.0)</f>
        <v>46163</v>
      </c>
      <c r="C10" s="122" t="str">
        <f>IFERROR(__xludf.DUMMYFUNCTION("""COMPUTED_VALUE"""),"ba353911")</f>
        <v>ba353911</v>
      </c>
      <c r="D10" s="122" t="str">
        <f>IFERROR(__xludf.DUMMYFUNCTION("""COMPUTED_VALUE"""),"Dayeon Kang")</f>
        <v>Dayeon Kang</v>
      </c>
      <c r="E10" s="122">
        <f>IFERROR(__xludf.DUMMYFUNCTION("""COMPUTED_VALUE"""),10.0)</f>
        <v>10</v>
      </c>
      <c r="F10" s="122" t="str">
        <f>IFERROR(__xludf.DUMMYFUNCTION("""COMPUTED_VALUE"""),"HS202")</f>
        <v>HS202</v>
      </c>
      <c r="G10" s="122" t="str">
        <f>IFERROR(__xludf.DUMMYFUNCTION("""COMPUTED_VALUE"""),"Homeroom")</f>
        <v>Homeroom</v>
      </c>
      <c r="H10" s="122" t="str">
        <f>IFERROR(__xludf.DUMMYFUNCTION("""COMPUTED_VALUE"""),"Present")</f>
        <v>Present</v>
      </c>
      <c r="I10" s="130">
        <f>IFERROR(__xludf.DUMMYFUNCTION("""COMPUTED_VALUE"""),0.3562268518518519)</f>
        <v>0.3562268519</v>
      </c>
      <c r="J10" s="122">
        <f>IFERROR(__xludf.DUMMYFUNCTION("""COMPUTED_VALUE"""),1.0)</f>
        <v>1</v>
      </c>
      <c r="K10" s="123">
        <f>IFERROR(__xludf.DUMMYFUNCTION("""COMPUTED_VALUE"""),10.0)</f>
        <v>10</v>
      </c>
      <c r="L10" s="122" t="str">
        <f>IFERROR(__xludf.DUMMYFUNCTION("""COMPUTED_VALUE"""),"On-time reward applied")</f>
        <v>On-time reward applied</v>
      </c>
      <c r="M10" s="122" t="str">
        <f>IFERROR(__xludf.DUMMYFUNCTION("""COMPUTED_VALUE"""),"Success")</f>
        <v>Success</v>
      </c>
    </row>
    <row r="11">
      <c r="A11" s="129">
        <f>IFERROR(__xludf.DUMMYFUNCTION("""COMPUTED_VALUE"""),46163.35988425926)</f>
        <v>46163.35988</v>
      </c>
      <c r="B11" s="126">
        <f>IFERROR(__xludf.DUMMYFUNCTION("""COMPUTED_VALUE"""),46163.0)</f>
        <v>46163</v>
      </c>
      <c r="C11" s="122" t="str">
        <f>IFERROR(__xludf.DUMMYFUNCTION("""COMPUTED_VALUE"""),"7c4e261e")</f>
        <v>7c4e261e</v>
      </c>
      <c r="D11" s="122" t="str">
        <f>IFERROR(__xludf.DUMMYFUNCTION("""COMPUTED_VALUE"""),"Suha Lee")</f>
        <v>Suha Lee</v>
      </c>
      <c r="E11" s="122">
        <f>IFERROR(__xludf.DUMMYFUNCTION("""COMPUTED_VALUE"""),10.0)</f>
        <v>10</v>
      </c>
      <c r="F11" s="122" t="str">
        <f>IFERROR(__xludf.DUMMYFUNCTION("""COMPUTED_VALUE"""),"HS202")</f>
        <v>HS202</v>
      </c>
      <c r="G11" s="122" t="str">
        <f>IFERROR(__xludf.DUMMYFUNCTION("""COMPUTED_VALUE"""),"Homeroom")</f>
        <v>Homeroom</v>
      </c>
      <c r="H11" s="122" t="str">
        <f>IFERROR(__xludf.DUMMYFUNCTION("""COMPUTED_VALUE"""),"Duplicate")</f>
        <v>Duplicate</v>
      </c>
      <c r="I11" s="130">
        <f>IFERROR(__xludf.DUMMYFUNCTION("""COMPUTED_VALUE"""),0.35988425925925926)</f>
        <v>0.3598842593</v>
      </c>
      <c r="J11" s="122"/>
      <c r="K11" s="123">
        <f>IFERROR(__xludf.DUMMYFUNCTION("""COMPUTED_VALUE"""),0.0)</f>
        <v>0</v>
      </c>
      <c r="L11" s="122" t="str">
        <f>IFERROR(__xludf.DUMMYFUNCTION("""COMPUTED_VALUE"""),"Duplicate scan")</f>
        <v>Duplicate scan</v>
      </c>
      <c r="M11" s="122" t="str">
        <f>IFERROR(__xludf.DUMMYFUNCTION("""COMPUTED_VALUE"""),"Denied - duplicate attendance")</f>
        <v>Denied - duplicate attendance</v>
      </c>
    </row>
    <row r="12">
      <c r="A12" s="129">
        <f>IFERROR(__xludf.DUMMYFUNCTION("""COMPUTED_VALUE"""),46163.36289351852)</f>
        <v>46163.36289</v>
      </c>
      <c r="B12" s="126">
        <f>IFERROR(__xludf.DUMMYFUNCTION("""COMPUTED_VALUE"""),46163.0)</f>
        <v>46163</v>
      </c>
      <c r="C12" s="122" t="str">
        <f>IFERROR(__xludf.DUMMYFUNCTION("""COMPUTED_VALUE"""),"1e3e1410")</f>
        <v>1e3e1410</v>
      </c>
      <c r="D12" s="122" t="str">
        <f>IFERROR(__xludf.DUMMYFUNCTION("""COMPUTED_VALUE"""),"Junjae Park")</f>
        <v>Junjae Park</v>
      </c>
      <c r="E12" s="122">
        <f>IFERROR(__xludf.DUMMYFUNCTION("""COMPUTED_VALUE"""),10.0)</f>
        <v>10</v>
      </c>
      <c r="F12" s="122" t="str">
        <f>IFERROR(__xludf.DUMMYFUNCTION("""COMPUTED_VALUE"""),"HS202")</f>
        <v>HS202</v>
      </c>
      <c r="G12" s="122" t="str">
        <f>IFERROR(__xludf.DUMMYFUNCTION("""COMPUTED_VALUE"""),"Homeroom")</f>
        <v>Homeroom</v>
      </c>
      <c r="H12" s="122" t="str">
        <f>IFERROR(__xludf.DUMMYFUNCTION("""COMPUTED_VALUE"""),"Late")</f>
        <v>Late</v>
      </c>
      <c r="I12" s="130">
        <f>IFERROR(__xludf.DUMMYFUNCTION("""COMPUTED_VALUE"""),0.36289351851851853)</f>
        <v>0.3628935185</v>
      </c>
      <c r="J12" s="122">
        <f>IFERROR(__xludf.DUMMYFUNCTION("""COMPUTED_VALUE"""),0.0)</f>
        <v>0</v>
      </c>
      <c r="K12" s="123">
        <f>IFERROR(__xludf.DUMMYFUNCTION("""COMPUTED_VALUE"""),0.0)</f>
        <v>0</v>
      </c>
      <c r="L12" s="122" t="str">
        <f>IFERROR(__xludf.DUMMYFUNCTION("""COMPUTED_VALUE"""),"Late scan")</f>
        <v>Late scan</v>
      </c>
      <c r="M12" s="122" t="str">
        <f>IFERROR(__xludf.DUMMYFUNCTION("""COMPUTED_VALUE"""),"Success")</f>
        <v>Success</v>
      </c>
    </row>
    <row r="13">
      <c r="A13" s="129">
        <f>IFERROR(__xludf.DUMMYFUNCTION("""COMPUTED_VALUE"""),46163.36681712963)</f>
        <v>46163.36682</v>
      </c>
      <c r="B13" s="126">
        <f>IFERROR(__xludf.DUMMYFUNCTION("""COMPUTED_VALUE"""),46163.0)</f>
        <v>46163</v>
      </c>
      <c r="C13" s="122" t="str">
        <f>IFERROR(__xludf.DUMMYFUNCTION("""COMPUTED_VALUE"""),"9a5f2811")</f>
        <v>9a5f2811</v>
      </c>
      <c r="D13" s="122" t="str">
        <f>IFERROR(__xludf.DUMMYFUNCTION("""COMPUTED_VALUE"""),"Junyoung Yoo")</f>
        <v>Junyoung Yoo</v>
      </c>
      <c r="E13" s="122">
        <f>IFERROR(__xludf.DUMMYFUNCTION("""COMPUTED_VALUE"""),10.0)</f>
        <v>10</v>
      </c>
      <c r="F13" s="122" t="str">
        <f>IFERROR(__xludf.DUMMYFUNCTION("""COMPUTED_VALUE"""),"HS202")</f>
        <v>HS202</v>
      </c>
      <c r="G13" s="122" t="str">
        <f>IFERROR(__xludf.DUMMYFUNCTION("""COMPUTED_VALUE"""),"Homeroom")</f>
        <v>Homeroom</v>
      </c>
      <c r="H13" s="122" t="str">
        <f>IFERROR(__xludf.DUMMYFUNCTION("""COMPUTED_VALUE"""),"Late")</f>
        <v>Late</v>
      </c>
      <c r="I13" s="130">
        <f>IFERROR(__xludf.DUMMYFUNCTION("""COMPUTED_VALUE"""),0.36681712962962965)</f>
        <v>0.3668171296</v>
      </c>
      <c r="J13" s="122">
        <f>IFERROR(__xludf.DUMMYFUNCTION("""COMPUTED_VALUE"""),0.0)</f>
        <v>0</v>
      </c>
      <c r="K13" s="123">
        <f>IFERROR(__xludf.DUMMYFUNCTION("""COMPUTED_VALUE"""),0.0)</f>
        <v>0</v>
      </c>
      <c r="L13" s="122" t="str">
        <f>IFERROR(__xludf.DUMMYFUNCTION("""COMPUTED_VALUE"""),"Late penalty not applied: insufficient balance")</f>
        <v>Late penalty not applied: insufficient balance</v>
      </c>
      <c r="M13" s="122" t="str">
        <f>IFERROR(__xludf.DUMMYFUNCTION("""COMPUTED_VALUE"""),"Success")</f>
        <v>Success</v>
      </c>
    </row>
    <row r="14">
      <c r="A14" s="129">
        <f>IFERROR(__xludf.DUMMYFUNCTION("""COMPUTED_VALUE"""),46164.34453703704)</f>
        <v>46164.34454</v>
      </c>
      <c r="B14" s="126">
        <f>IFERROR(__xludf.DUMMYFUNCTION("""COMPUTED_VALUE"""),46164.0)</f>
        <v>46164</v>
      </c>
      <c r="C14" s="122" t="str">
        <f>IFERROR(__xludf.DUMMYFUNCTION("""COMPUTED_VALUE"""),"5c07fef4")</f>
        <v>5c07fef4</v>
      </c>
      <c r="D14" s="122" t="str">
        <f>IFERROR(__xludf.DUMMYFUNCTION("""COMPUTED_VALUE"""),"Tiffany Kim")</f>
        <v>Tiffany Kim</v>
      </c>
      <c r="E14" s="122">
        <f>IFERROR(__xludf.DUMMYFUNCTION("""COMPUTED_VALUE"""),10.0)</f>
        <v>10</v>
      </c>
      <c r="F14" s="122" t="str">
        <f>IFERROR(__xludf.DUMMYFUNCTION("""COMPUTED_VALUE"""),"HS202")</f>
        <v>HS202</v>
      </c>
      <c r="G14" s="122" t="str">
        <f>IFERROR(__xludf.DUMMYFUNCTION("""COMPUTED_VALUE"""),"Homeroom")</f>
        <v>Homeroom</v>
      </c>
      <c r="H14" s="122" t="str">
        <f>IFERROR(__xludf.DUMMYFUNCTION("""COMPUTED_VALUE"""),"Present")</f>
        <v>Present</v>
      </c>
      <c r="I14" s="130">
        <f>IFERROR(__xludf.DUMMYFUNCTION("""COMPUTED_VALUE"""),0.34453703703703703)</f>
        <v>0.344537037</v>
      </c>
      <c r="J14" s="122">
        <f>IFERROR(__xludf.DUMMYFUNCTION("""COMPUTED_VALUE"""),2.0)</f>
        <v>2</v>
      </c>
      <c r="K14" s="123">
        <f>IFERROR(__xludf.DUMMYFUNCTION("""COMPUTED_VALUE"""),10.0)</f>
        <v>10</v>
      </c>
      <c r="L14" s="122" t="str">
        <f>IFERROR(__xludf.DUMMYFUNCTION("""COMPUTED_VALUE"""),"On-time reward applied")</f>
        <v>On-time reward applied</v>
      </c>
      <c r="M14" s="122" t="str">
        <f>IFERROR(__xludf.DUMMYFUNCTION("""COMPUTED_VALUE"""),"Success")</f>
        <v>Success</v>
      </c>
    </row>
    <row r="15">
      <c r="A15" s="129">
        <f>IFERROR(__xludf.DUMMYFUNCTION("""COMPUTED_VALUE"""),46164.35334490741)</f>
        <v>46164.35334</v>
      </c>
      <c r="B15" s="126">
        <f>IFERROR(__xludf.DUMMYFUNCTION("""COMPUTED_VALUE"""),46164.0)</f>
        <v>46164</v>
      </c>
      <c r="C15" s="122" t="str">
        <f>IFERROR(__xludf.DUMMYFUNCTION("""COMPUTED_VALUE"""),"dc04eef4")</f>
        <v>dc04eef4</v>
      </c>
      <c r="D15" s="122" t="str">
        <f>IFERROR(__xludf.DUMMYFUNCTION("""COMPUTED_VALUE"""),"Joshua Jung")</f>
        <v>Joshua Jung</v>
      </c>
      <c r="E15" s="122">
        <f>IFERROR(__xludf.DUMMYFUNCTION("""COMPUTED_VALUE"""),10.0)</f>
        <v>10</v>
      </c>
      <c r="F15" s="122" t="str">
        <f>IFERROR(__xludf.DUMMYFUNCTION("""COMPUTED_VALUE"""),"HS202")</f>
        <v>HS202</v>
      </c>
      <c r="G15" s="122" t="str">
        <f>IFERROR(__xludf.DUMMYFUNCTION("""COMPUTED_VALUE"""),"Homeroom")</f>
        <v>Homeroom</v>
      </c>
      <c r="H15" s="122" t="str">
        <f>IFERROR(__xludf.DUMMYFUNCTION("""COMPUTED_VALUE"""),"Present")</f>
        <v>Present</v>
      </c>
      <c r="I15" s="130">
        <f>IFERROR(__xludf.DUMMYFUNCTION("""COMPUTED_VALUE"""),0.3533449074074074)</f>
        <v>0.3533449074</v>
      </c>
      <c r="J15" s="122">
        <f>IFERROR(__xludf.DUMMYFUNCTION("""COMPUTED_VALUE"""),2.0)</f>
        <v>2</v>
      </c>
      <c r="K15" s="123">
        <f>IFERROR(__xludf.DUMMYFUNCTION("""COMPUTED_VALUE"""),10.0)</f>
        <v>10</v>
      </c>
      <c r="L15" s="122" t="str">
        <f>IFERROR(__xludf.DUMMYFUNCTION("""COMPUTED_VALUE"""),"On-time reward applied")</f>
        <v>On-time reward applied</v>
      </c>
      <c r="M15" s="122" t="str">
        <f>IFERROR(__xludf.DUMMYFUNCTION("""COMPUTED_VALUE"""),"Success")</f>
        <v>Success</v>
      </c>
    </row>
    <row r="16">
      <c r="A16" s="129">
        <f>IFERROR(__xludf.DUMMYFUNCTION("""COMPUTED_VALUE"""),46164.353483796294)</f>
        <v>46164.35348</v>
      </c>
      <c r="B16" s="126">
        <f>IFERROR(__xludf.DUMMYFUNCTION("""COMPUTED_VALUE"""),46164.0)</f>
        <v>46164</v>
      </c>
      <c r="C16" s="122" t="str">
        <f>IFERROR(__xludf.DUMMYFUNCTION("""COMPUTED_VALUE"""),"ba912211")</f>
        <v>ba912211</v>
      </c>
      <c r="D16" s="122" t="str">
        <f>IFERROR(__xludf.DUMMYFUNCTION("""COMPUTED_VALUE"""),"Daisy Dou")</f>
        <v>Daisy Dou</v>
      </c>
      <c r="E16" s="122">
        <f>IFERROR(__xludf.DUMMYFUNCTION("""COMPUTED_VALUE"""),10.0)</f>
        <v>10</v>
      </c>
      <c r="F16" s="122" t="str">
        <f>IFERROR(__xludf.DUMMYFUNCTION("""COMPUTED_VALUE"""),"HS202")</f>
        <v>HS202</v>
      </c>
      <c r="G16" s="122" t="str">
        <f>IFERROR(__xludf.DUMMYFUNCTION("""COMPUTED_VALUE"""),"Homeroom")</f>
        <v>Homeroom</v>
      </c>
      <c r="H16" s="122" t="str">
        <f>IFERROR(__xludf.DUMMYFUNCTION("""COMPUTED_VALUE"""),"Present")</f>
        <v>Present</v>
      </c>
      <c r="I16" s="130">
        <f>IFERROR(__xludf.DUMMYFUNCTION("""COMPUTED_VALUE"""),0.3534837962962963)</f>
        <v>0.3534837963</v>
      </c>
      <c r="J16" s="122">
        <f>IFERROR(__xludf.DUMMYFUNCTION("""COMPUTED_VALUE"""),2.0)</f>
        <v>2</v>
      </c>
      <c r="K16" s="123">
        <f>IFERROR(__xludf.DUMMYFUNCTION("""COMPUTED_VALUE"""),10.0)</f>
        <v>10</v>
      </c>
      <c r="L16" s="122" t="str">
        <f>IFERROR(__xludf.DUMMYFUNCTION("""COMPUTED_VALUE"""),"On-time reward applied")</f>
        <v>On-time reward applied</v>
      </c>
      <c r="M16" s="122" t="str">
        <f>IFERROR(__xludf.DUMMYFUNCTION("""COMPUTED_VALUE"""),"Success")</f>
        <v>Success</v>
      </c>
    </row>
    <row r="17">
      <c r="A17" s="129">
        <f>IFERROR(__xludf.DUMMYFUNCTION("""COMPUTED_VALUE"""),46164.35361111111)</f>
        <v>46164.35361</v>
      </c>
      <c r="B17" s="126">
        <f>IFERROR(__xludf.DUMMYFUNCTION("""COMPUTED_VALUE"""),46164.0)</f>
        <v>46164</v>
      </c>
      <c r="C17" s="122" t="str">
        <f>IFERROR(__xludf.DUMMYFUNCTION("""COMPUTED_VALUE"""),"babde4c4")</f>
        <v>babde4c4</v>
      </c>
      <c r="D17" s="122" t="str">
        <f>IFERROR(__xludf.DUMMYFUNCTION("""COMPUTED_VALUE"""),"Ashley Guk")</f>
        <v>Ashley Guk</v>
      </c>
      <c r="E17" s="122">
        <f>IFERROR(__xludf.DUMMYFUNCTION("""COMPUTED_VALUE"""),10.0)</f>
        <v>10</v>
      </c>
      <c r="F17" s="122" t="str">
        <f>IFERROR(__xludf.DUMMYFUNCTION("""COMPUTED_VALUE"""),"HS202")</f>
        <v>HS202</v>
      </c>
      <c r="G17" s="122" t="str">
        <f>IFERROR(__xludf.DUMMYFUNCTION("""COMPUTED_VALUE"""),"Homeroom")</f>
        <v>Homeroom</v>
      </c>
      <c r="H17" s="122" t="str">
        <f>IFERROR(__xludf.DUMMYFUNCTION("""COMPUTED_VALUE"""),"Present")</f>
        <v>Present</v>
      </c>
      <c r="I17" s="130">
        <f>IFERROR(__xludf.DUMMYFUNCTION("""COMPUTED_VALUE"""),0.3536111111111111)</f>
        <v>0.3536111111</v>
      </c>
      <c r="J17" s="122">
        <f>IFERROR(__xludf.DUMMYFUNCTION("""COMPUTED_VALUE"""),2.0)</f>
        <v>2</v>
      </c>
      <c r="K17" s="123">
        <f>IFERROR(__xludf.DUMMYFUNCTION("""COMPUTED_VALUE"""),10.0)</f>
        <v>10</v>
      </c>
      <c r="L17" s="122" t="str">
        <f>IFERROR(__xludf.DUMMYFUNCTION("""COMPUTED_VALUE"""),"On-time reward applied")</f>
        <v>On-time reward applied</v>
      </c>
      <c r="M17" s="122" t="str">
        <f>IFERROR(__xludf.DUMMYFUNCTION("""COMPUTED_VALUE"""),"Success")</f>
        <v>Success</v>
      </c>
    </row>
    <row r="18">
      <c r="A18" s="129">
        <f>IFERROR(__xludf.DUMMYFUNCTION("""COMPUTED_VALUE"""),46164.35439814815)</f>
        <v>46164.3544</v>
      </c>
      <c r="B18" s="126">
        <f>IFERROR(__xludf.DUMMYFUNCTION("""COMPUTED_VALUE"""),46164.0)</f>
        <v>46164</v>
      </c>
      <c r="C18" s="122" t="str">
        <f>IFERROR(__xludf.DUMMYFUNCTION("""COMPUTED_VALUE"""),"7c4e261e")</f>
        <v>7c4e261e</v>
      </c>
      <c r="D18" s="122" t="str">
        <f>IFERROR(__xludf.DUMMYFUNCTION("""COMPUTED_VALUE"""),"Suha Lee")</f>
        <v>Suha Lee</v>
      </c>
      <c r="E18" s="122">
        <f>IFERROR(__xludf.DUMMYFUNCTION("""COMPUTED_VALUE"""),10.0)</f>
        <v>10</v>
      </c>
      <c r="F18" s="122" t="str">
        <f>IFERROR(__xludf.DUMMYFUNCTION("""COMPUTED_VALUE"""),"HS202")</f>
        <v>HS202</v>
      </c>
      <c r="G18" s="122" t="str">
        <f>IFERROR(__xludf.DUMMYFUNCTION("""COMPUTED_VALUE"""),"Homeroom")</f>
        <v>Homeroom</v>
      </c>
      <c r="H18" s="122" t="str">
        <f>IFERROR(__xludf.DUMMYFUNCTION("""COMPUTED_VALUE"""),"Present")</f>
        <v>Present</v>
      </c>
      <c r="I18" s="130">
        <f>IFERROR(__xludf.DUMMYFUNCTION("""COMPUTED_VALUE"""),0.35439814814814813)</f>
        <v>0.3543981481</v>
      </c>
      <c r="J18" s="122">
        <f>IFERROR(__xludf.DUMMYFUNCTION("""COMPUTED_VALUE"""),2.0)</f>
        <v>2</v>
      </c>
      <c r="K18" s="123">
        <f>IFERROR(__xludf.DUMMYFUNCTION("""COMPUTED_VALUE"""),10.0)</f>
        <v>10</v>
      </c>
      <c r="L18" s="122" t="str">
        <f>IFERROR(__xludf.DUMMYFUNCTION("""COMPUTED_VALUE"""),"On-time reward applied")</f>
        <v>On-time reward applied</v>
      </c>
      <c r="M18" s="122" t="str">
        <f>IFERROR(__xludf.DUMMYFUNCTION("""COMPUTED_VALUE"""),"Success")</f>
        <v>Success</v>
      </c>
    </row>
    <row r="19">
      <c r="A19" s="129">
        <f>IFERROR(__xludf.DUMMYFUNCTION("""COMPUTED_VALUE"""),46164.35686342593)</f>
        <v>46164.35686</v>
      </c>
      <c r="B19" s="126">
        <f>IFERROR(__xludf.DUMMYFUNCTION("""COMPUTED_VALUE"""),46164.0)</f>
        <v>46164</v>
      </c>
      <c r="C19" s="122" t="str">
        <f>IFERROR(__xludf.DUMMYFUNCTION("""COMPUTED_VALUE"""),"ba353911")</f>
        <v>ba353911</v>
      </c>
      <c r="D19" s="122" t="str">
        <f>IFERROR(__xludf.DUMMYFUNCTION("""COMPUTED_VALUE"""),"Dayeon Kang")</f>
        <v>Dayeon Kang</v>
      </c>
      <c r="E19" s="122">
        <f>IFERROR(__xludf.DUMMYFUNCTION("""COMPUTED_VALUE"""),10.0)</f>
        <v>10</v>
      </c>
      <c r="F19" s="122" t="str">
        <f>IFERROR(__xludf.DUMMYFUNCTION("""COMPUTED_VALUE"""),"HS202")</f>
        <v>HS202</v>
      </c>
      <c r="G19" s="122" t="str">
        <f>IFERROR(__xludf.DUMMYFUNCTION("""COMPUTED_VALUE"""),"Homeroom")</f>
        <v>Homeroom</v>
      </c>
      <c r="H19" s="122" t="str">
        <f>IFERROR(__xludf.DUMMYFUNCTION("""COMPUTED_VALUE"""),"Present")</f>
        <v>Present</v>
      </c>
      <c r="I19" s="130">
        <f>IFERROR(__xludf.DUMMYFUNCTION("""COMPUTED_VALUE"""),0.3568634259259259)</f>
        <v>0.3568634259</v>
      </c>
      <c r="J19" s="122">
        <f>IFERROR(__xludf.DUMMYFUNCTION("""COMPUTED_VALUE"""),2.0)</f>
        <v>2</v>
      </c>
      <c r="K19" s="123">
        <f>IFERROR(__xludf.DUMMYFUNCTION("""COMPUTED_VALUE"""),10.0)</f>
        <v>10</v>
      </c>
      <c r="L19" s="122" t="str">
        <f>IFERROR(__xludf.DUMMYFUNCTION("""COMPUTED_VALUE"""),"On-time reward applied")</f>
        <v>On-time reward applied</v>
      </c>
      <c r="M19" s="122" t="str">
        <f>IFERROR(__xludf.DUMMYFUNCTION("""COMPUTED_VALUE"""),"Success")</f>
        <v>Success</v>
      </c>
    </row>
    <row r="20">
      <c r="A20" s="129">
        <f>IFERROR(__xludf.DUMMYFUNCTION("""COMPUTED_VALUE"""),46164.35702546296)</f>
        <v>46164.35703</v>
      </c>
      <c r="B20" s="126">
        <f>IFERROR(__xludf.DUMMYFUNCTION("""COMPUTED_VALUE"""),46164.0)</f>
        <v>46164</v>
      </c>
      <c r="C20" s="122" t="str">
        <f>IFERROR(__xludf.DUMMYFUNCTION("""COMPUTED_VALUE"""),"5a032611")</f>
        <v>5a032611</v>
      </c>
      <c r="D20" s="122" t="str">
        <f>IFERROR(__xludf.DUMMYFUNCTION("""COMPUTED_VALUE"""),"Harold Dou")</f>
        <v>Harold Dou</v>
      </c>
      <c r="E20" s="122">
        <f>IFERROR(__xludf.DUMMYFUNCTION("""COMPUTED_VALUE"""),10.0)</f>
        <v>10</v>
      </c>
      <c r="F20" s="122" t="str">
        <f>IFERROR(__xludf.DUMMYFUNCTION("""COMPUTED_VALUE"""),"HS202")</f>
        <v>HS202</v>
      </c>
      <c r="G20" s="122" t="str">
        <f>IFERROR(__xludf.DUMMYFUNCTION("""COMPUTED_VALUE"""),"Homeroom")</f>
        <v>Homeroom</v>
      </c>
      <c r="H20" s="122" t="str">
        <f>IFERROR(__xludf.DUMMYFUNCTION("""COMPUTED_VALUE"""),"Present")</f>
        <v>Present</v>
      </c>
      <c r="I20" s="130">
        <f>IFERROR(__xludf.DUMMYFUNCTION("""COMPUTED_VALUE"""),0.35702546296296295)</f>
        <v>0.357025463</v>
      </c>
      <c r="J20" s="122">
        <f>IFERROR(__xludf.DUMMYFUNCTION("""COMPUTED_VALUE"""),2.0)</f>
        <v>2</v>
      </c>
      <c r="K20" s="123">
        <f>IFERROR(__xludf.DUMMYFUNCTION("""COMPUTED_VALUE"""),10.0)</f>
        <v>10</v>
      </c>
      <c r="L20" s="122" t="str">
        <f>IFERROR(__xludf.DUMMYFUNCTION("""COMPUTED_VALUE"""),"On-time reward applied")</f>
        <v>On-time reward applied</v>
      </c>
      <c r="M20" s="122" t="str">
        <f>IFERROR(__xludf.DUMMYFUNCTION("""COMPUTED_VALUE"""),"Success")</f>
        <v>Success</v>
      </c>
    </row>
    <row r="21">
      <c r="A21" s="129">
        <f>IFERROR(__xludf.DUMMYFUNCTION("""COMPUTED_VALUE"""),46164.357152777775)</f>
        <v>46164.35715</v>
      </c>
      <c r="B21" s="126">
        <f>IFERROR(__xludf.DUMMYFUNCTION("""COMPUTED_VALUE"""),46164.0)</f>
        <v>46164</v>
      </c>
      <c r="C21" s="122" t="str">
        <f>IFERROR(__xludf.DUMMYFUNCTION("""COMPUTED_VALUE"""),"9a5f2811")</f>
        <v>9a5f2811</v>
      </c>
      <c r="D21" s="122" t="str">
        <f>IFERROR(__xludf.DUMMYFUNCTION("""COMPUTED_VALUE"""),"Junyoung Yoo")</f>
        <v>Junyoung Yoo</v>
      </c>
      <c r="E21" s="122">
        <f>IFERROR(__xludf.DUMMYFUNCTION("""COMPUTED_VALUE"""),10.0)</f>
        <v>10</v>
      </c>
      <c r="F21" s="122" t="str">
        <f>IFERROR(__xludf.DUMMYFUNCTION("""COMPUTED_VALUE"""),"HS202")</f>
        <v>HS202</v>
      </c>
      <c r="G21" s="122" t="str">
        <f>IFERROR(__xludf.DUMMYFUNCTION("""COMPUTED_VALUE"""),"Homeroom")</f>
        <v>Homeroom</v>
      </c>
      <c r="H21" s="122" t="str">
        <f>IFERROR(__xludf.DUMMYFUNCTION("""COMPUTED_VALUE"""),"Present")</f>
        <v>Present</v>
      </c>
      <c r="I21" s="130">
        <f>IFERROR(__xludf.DUMMYFUNCTION("""COMPUTED_VALUE"""),0.35715277777777776)</f>
        <v>0.3571527778</v>
      </c>
      <c r="J21" s="122">
        <f>IFERROR(__xludf.DUMMYFUNCTION("""COMPUTED_VALUE"""),1.0)</f>
        <v>1</v>
      </c>
      <c r="K21" s="123">
        <f>IFERROR(__xludf.DUMMYFUNCTION("""COMPUTED_VALUE"""),10.0)</f>
        <v>10</v>
      </c>
      <c r="L21" s="122" t="str">
        <f>IFERROR(__xludf.DUMMYFUNCTION("""COMPUTED_VALUE"""),"On-time reward applied")</f>
        <v>On-time reward applied</v>
      </c>
      <c r="M21" s="122" t="str">
        <f>IFERROR(__xludf.DUMMYFUNCTION("""COMPUTED_VALUE"""),"Success")</f>
        <v>Success</v>
      </c>
    </row>
    <row r="22">
      <c r="A22" s="129">
        <f>IFERROR(__xludf.DUMMYFUNCTION("""COMPUTED_VALUE"""),46168.33902777778)</f>
        <v>46168.33903</v>
      </c>
      <c r="B22" s="126">
        <f>IFERROR(__xludf.DUMMYFUNCTION("""COMPUTED_VALUE"""),46168.0)</f>
        <v>46168</v>
      </c>
      <c r="C22" s="122" t="str">
        <f>IFERROR(__xludf.DUMMYFUNCTION("""COMPUTED_VALUE"""),"dc04eef4")</f>
        <v>dc04eef4</v>
      </c>
      <c r="D22" s="122" t="str">
        <f>IFERROR(__xludf.DUMMYFUNCTION("""COMPUTED_VALUE"""),"Joshua Jung")</f>
        <v>Joshua Jung</v>
      </c>
      <c r="E22" s="122">
        <f>IFERROR(__xludf.DUMMYFUNCTION("""COMPUTED_VALUE"""),10.0)</f>
        <v>10</v>
      </c>
      <c r="F22" s="122" t="str">
        <f>IFERROR(__xludf.DUMMYFUNCTION("""COMPUTED_VALUE"""),"HS202")</f>
        <v>HS202</v>
      </c>
      <c r="G22" s="122" t="str">
        <f>IFERROR(__xludf.DUMMYFUNCTION("""COMPUTED_VALUE"""),"Homeroom")</f>
        <v>Homeroom</v>
      </c>
      <c r="H22" s="122" t="str">
        <f>IFERROR(__xludf.DUMMYFUNCTION("""COMPUTED_VALUE"""),"Present")</f>
        <v>Present</v>
      </c>
      <c r="I22" s="130">
        <f>IFERROR(__xludf.DUMMYFUNCTION("""COMPUTED_VALUE"""),0.33902777777777776)</f>
        <v>0.3390277778</v>
      </c>
      <c r="J22" s="122">
        <f>IFERROR(__xludf.DUMMYFUNCTION("""COMPUTED_VALUE"""),1.0)</f>
        <v>1</v>
      </c>
      <c r="K22" s="123">
        <f>IFERROR(__xludf.DUMMYFUNCTION("""COMPUTED_VALUE"""),10.0)</f>
        <v>10</v>
      </c>
      <c r="L22" s="122" t="str">
        <f>IFERROR(__xludf.DUMMYFUNCTION("""COMPUTED_VALUE"""),"On-time reward applied")</f>
        <v>On-time reward applied</v>
      </c>
      <c r="M22" s="122" t="str">
        <f>IFERROR(__xludf.DUMMYFUNCTION("""COMPUTED_VALUE"""),"Success")</f>
        <v>Success</v>
      </c>
    </row>
    <row r="23">
      <c r="A23" s="129">
        <f>IFERROR(__xludf.DUMMYFUNCTION("""COMPUTED_VALUE"""),46168.35086805555)</f>
        <v>46168.35087</v>
      </c>
      <c r="B23" s="126">
        <f>IFERROR(__xludf.DUMMYFUNCTION("""COMPUTED_VALUE"""),46168.0)</f>
        <v>46168</v>
      </c>
      <c r="C23" s="122" t="str">
        <f>IFERROR(__xludf.DUMMYFUNCTION("""COMPUTED_VALUE"""),"5c07fef4")</f>
        <v>5c07fef4</v>
      </c>
      <c r="D23" s="122" t="str">
        <f>IFERROR(__xludf.DUMMYFUNCTION("""COMPUTED_VALUE"""),"Tiffany Kim")</f>
        <v>Tiffany Kim</v>
      </c>
      <c r="E23" s="122">
        <f>IFERROR(__xludf.DUMMYFUNCTION("""COMPUTED_VALUE"""),10.0)</f>
        <v>10</v>
      </c>
      <c r="F23" s="122" t="str">
        <f>IFERROR(__xludf.DUMMYFUNCTION("""COMPUTED_VALUE"""),"HS202")</f>
        <v>HS202</v>
      </c>
      <c r="G23" s="122" t="str">
        <f>IFERROR(__xludf.DUMMYFUNCTION("""COMPUTED_VALUE"""),"Homeroom")</f>
        <v>Homeroom</v>
      </c>
      <c r="H23" s="122" t="str">
        <f>IFERROR(__xludf.DUMMYFUNCTION("""COMPUTED_VALUE"""),"Present")</f>
        <v>Present</v>
      </c>
      <c r="I23" s="130">
        <f>IFERROR(__xludf.DUMMYFUNCTION("""COMPUTED_VALUE"""),0.35086805555555556)</f>
        <v>0.3508680556</v>
      </c>
      <c r="J23" s="122">
        <f>IFERROR(__xludf.DUMMYFUNCTION("""COMPUTED_VALUE"""),1.0)</f>
        <v>1</v>
      </c>
      <c r="K23" s="123">
        <f>IFERROR(__xludf.DUMMYFUNCTION("""COMPUTED_VALUE"""),10.0)</f>
        <v>10</v>
      </c>
      <c r="L23" s="122" t="str">
        <f>IFERROR(__xludf.DUMMYFUNCTION("""COMPUTED_VALUE"""),"On-time reward applied")</f>
        <v>On-time reward applied</v>
      </c>
      <c r="M23" s="122" t="str">
        <f>IFERROR(__xludf.DUMMYFUNCTION("""COMPUTED_VALUE"""),"Success")</f>
        <v>Success</v>
      </c>
    </row>
    <row r="24">
      <c r="A24" s="129">
        <f>IFERROR(__xludf.DUMMYFUNCTION("""COMPUTED_VALUE"""),46168.35162037037)</f>
        <v>46168.35162</v>
      </c>
      <c r="B24" s="126">
        <f>IFERROR(__xludf.DUMMYFUNCTION("""COMPUTED_VALUE"""),46168.0)</f>
        <v>46168</v>
      </c>
      <c r="C24" s="122" t="str">
        <f>IFERROR(__xludf.DUMMYFUNCTION("""COMPUTED_VALUE"""),"ba912211")</f>
        <v>ba912211</v>
      </c>
      <c r="D24" s="122" t="str">
        <f>IFERROR(__xludf.DUMMYFUNCTION("""COMPUTED_VALUE"""),"Daisy Dou")</f>
        <v>Daisy Dou</v>
      </c>
      <c r="E24" s="122">
        <f>IFERROR(__xludf.DUMMYFUNCTION("""COMPUTED_VALUE"""),10.0)</f>
        <v>10</v>
      </c>
      <c r="F24" s="122" t="str">
        <f>IFERROR(__xludf.DUMMYFUNCTION("""COMPUTED_VALUE"""),"HS202")</f>
        <v>HS202</v>
      </c>
      <c r="G24" s="122" t="str">
        <f>IFERROR(__xludf.DUMMYFUNCTION("""COMPUTED_VALUE"""),"Homeroom")</f>
        <v>Homeroom</v>
      </c>
      <c r="H24" s="122" t="str">
        <f>IFERROR(__xludf.DUMMYFUNCTION("""COMPUTED_VALUE"""),"Present")</f>
        <v>Present</v>
      </c>
      <c r="I24" s="130">
        <f>IFERROR(__xludf.DUMMYFUNCTION("""COMPUTED_VALUE"""),0.35162037037037036)</f>
        <v>0.3516203704</v>
      </c>
      <c r="J24" s="122">
        <f>IFERROR(__xludf.DUMMYFUNCTION("""COMPUTED_VALUE"""),1.0)</f>
        <v>1</v>
      </c>
      <c r="K24" s="123">
        <f>IFERROR(__xludf.DUMMYFUNCTION("""COMPUTED_VALUE"""),10.0)</f>
        <v>10</v>
      </c>
      <c r="L24" s="122" t="str">
        <f>IFERROR(__xludf.DUMMYFUNCTION("""COMPUTED_VALUE"""),"On-time reward applied")</f>
        <v>On-time reward applied</v>
      </c>
      <c r="M24" s="122" t="str">
        <f>IFERROR(__xludf.DUMMYFUNCTION("""COMPUTED_VALUE"""),"Success")</f>
        <v>Success</v>
      </c>
    </row>
    <row r="25">
      <c r="A25" s="129">
        <f>IFERROR(__xludf.DUMMYFUNCTION("""COMPUTED_VALUE"""),46168.35445601852)</f>
        <v>46168.35446</v>
      </c>
      <c r="B25" s="126">
        <f>IFERROR(__xludf.DUMMYFUNCTION("""COMPUTED_VALUE"""),46168.0)</f>
        <v>46168</v>
      </c>
      <c r="C25" s="122" t="str">
        <f>IFERROR(__xludf.DUMMYFUNCTION("""COMPUTED_VALUE"""),"7c4e261e")</f>
        <v>7c4e261e</v>
      </c>
      <c r="D25" s="122" t="str">
        <f>IFERROR(__xludf.DUMMYFUNCTION("""COMPUTED_VALUE"""),"Suha Lee")</f>
        <v>Suha Lee</v>
      </c>
      <c r="E25" s="122">
        <f>IFERROR(__xludf.DUMMYFUNCTION("""COMPUTED_VALUE"""),10.0)</f>
        <v>10</v>
      </c>
      <c r="F25" s="122" t="str">
        <f>IFERROR(__xludf.DUMMYFUNCTION("""COMPUTED_VALUE"""),"HS202")</f>
        <v>HS202</v>
      </c>
      <c r="G25" s="122" t="str">
        <f>IFERROR(__xludf.DUMMYFUNCTION("""COMPUTED_VALUE"""),"Homeroom")</f>
        <v>Homeroom</v>
      </c>
      <c r="H25" s="122" t="str">
        <f>IFERROR(__xludf.DUMMYFUNCTION("""COMPUTED_VALUE"""),"Present")</f>
        <v>Present</v>
      </c>
      <c r="I25" s="130">
        <f>IFERROR(__xludf.DUMMYFUNCTION("""COMPUTED_VALUE"""),0.35445601851851855)</f>
        <v>0.3544560185</v>
      </c>
      <c r="J25" s="122">
        <f>IFERROR(__xludf.DUMMYFUNCTION("""COMPUTED_VALUE"""),1.0)</f>
        <v>1</v>
      </c>
      <c r="K25" s="123">
        <f>IFERROR(__xludf.DUMMYFUNCTION("""COMPUTED_VALUE"""),10.0)</f>
        <v>10</v>
      </c>
      <c r="L25" s="122" t="str">
        <f>IFERROR(__xludf.DUMMYFUNCTION("""COMPUTED_VALUE"""),"On-time reward applied")</f>
        <v>On-time reward applied</v>
      </c>
      <c r="M25" s="122" t="str">
        <f>IFERROR(__xludf.DUMMYFUNCTION("""COMPUTED_VALUE"""),"Success")</f>
        <v>Success</v>
      </c>
    </row>
    <row r="26">
      <c r="A26" s="129">
        <f>IFERROR(__xludf.DUMMYFUNCTION("""COMPUTED_VALUE"""),46168.35590277778)</f>
        <v>46168.3559</v>
      </c>
      <c r="B26" s="126">
        <f>IFERROR(__xludf.DUMMYFUNCTION("""COMPUTED_VALUE"""),46168.0)</f>
        <v>46168</v>
      </c>
      <c r="C26" s="122" t="str">
        <f>IFERROR(__xludf.DUMMYFUNCTION("""COMPUTED_VALUE"""),"5a032611")</f>
        <v>5a032611</v>
      </c>
      <c r="D26" s="122" t="str">
        <f>IFERROR(__xludf.DUMMYFUNCTION("""COMPUTED_VALUE"""),"Harold Dou")</f>
        <v>Harold Dou</v>
      </c>
      <c r="E26" s="122">
        <f>IFERROR(__xludf.DUMMYFUNCTION("""COMPUTED_VALUE"""),10.0)</f>
        <v>10</v>
      </c>
      <c r="F26" s="122" t="str">
        <f>IFERROR(__xludf.DUMMYFUNCTION("""COMPUTED_VALUE"""),"HS202")</f>
        <v>HS202</v>
      </c>
      <c r="G26" s="122" t="str">
        <f>IFERROR(__xludf.DUMMYFUNCTION("""COMPUTED_VALUE"""),"Homeroom")</f>
        <v>Homeroom</v>
      </c>
      <c r="H26" s="122" t="str">
        <f>IFERROR(__xludf.DUMMYFUNCTION("""COMPUTED_VALUE"""),"Present")</f>
        <v>Present</v>
      </c>
      <c r="I26" s="130">
        <f>IFERROR(__xludf.DUMMYFUNCTION("""COMPUTED_VALUE"""),0.3559027777777778)</f>
        <v>0.3559027778</v>
      </c>
      <c r="J26" s="122">
        <f>IFERROR(__xludf.DUMMYFUNCTION("""COMPUTED_VALUE"""),1.0)</f>
        <v>1</v>
      </c>
      <c r="K26" s="123">
        <f>IFERROR(__xludf.DUMMYFUNCTION("""COMPUTED_VALUE"""),10.0)</f>
        <v>10</v>
      </c>
      <c r="L26" s="122" t="str">
        <f>IFERROR(__xludf.DUMMYFUNCTION("""COMPUTED_VALUE"""),"On-time reward applied")</f>
        <v>On-time reward applied</v>
      </c>
      <c r="M26" s="122" t="str">
        <f>IFERROR(__xludf.DUMMYFUNCTION("""COMPUTED_VALUE"""),"Success")</f>
        <v>Success</v>
      </c>
    </row>
    <row r="27">
      <c r="A27" s="129">
        <f>IFERROR(__xludf.DUMMYFUNCTION("""COMPUTED_VALUE"""),46168.356261574074)</f>
        <v>46168.35626</v>
      </c>
      <c r="B27" s="126">
        <f>IFERROR(__xludf.DUMMYFUNCTION("""COMPUTED_VALUE"""),46168.0)</f>
        <v>46168</v>
      </c>
      <c r="C27" s="122" t="str">
        <f>IFERROR(__xludf.DUMMYFUNCTION("""COMPUTED_VALUE"""),"9a5f2811")</f>
        <v>9a5f2811</v>
      </c>
      <c r="D27" s="122" t="str">
        <f>IFERROR(__xludf.DUMMYFUNCTION("""COMPUTED_VALUE"""),"Junyoung Yoo")</f>
        <v>Junyoung Yoo</v>
      </c>
      <c r="E27" s="122">
        <f>IFERROR(__xludf.DUMMYFUNCTION("""COMPUTED_VALUE"""),10.0)</f>
        <v>10</v>
      </c>
      <c r="F27" s="122" t="str">
        <f>IFERROR(__xludf.DUMMYFUNCTION("""COMPUTED_VALUE"""),"HS202")</f>
        <v>HS202</v>
      </c>
      <c r="G27" s="122" t="str">
        <f>IFERROR(__xludf.DUMMYFUNCTION("""COMPUTED_VALUE"""),"Homeroom")</f>
        <v>Homeroom</v>
      </c>
      <c r="H27" s="122" t="str">
        <f>IFERROR(__xludf.DUMMYFUNCTION("""COMPUTED_VALUE"""),"Present")</f>
        <v>Present</v>
      </c>
      <c r="I27" s="130">
        <f>IFERROR(__xludf.DUMMYFUNCTION("""COMPUTED_VALUE"""),0.35626157407407405)</f>
        <v>0.3562615741</v>
      </c>
      <c r="J27" s="122">
        <f>IFERROR(__xludf.DUMMYFUNCTION("""COMPUTED_VALUE"""),1.0)</f>
        <v>1</v>
      </c>
      <c r="K27" s="123">
        <f>IFERROR(__xludf.DUMMYFUNCTION("""COMPUTED_VALUE"""),10.0)</f>
        <v>10</v>
      </c>
      <c r="L27" s="122" t="str">
        <f>IFERROR(__xludf.DUMMYFUNCTION("""COMPUTED_VALUE"""),"On-time reward applied")</f>
        <v>On-time reward applied</v>
      </c>
      <c r="M27" s="122" t="str">
        <f>IFERROR(__xludf.DUMMYFUNCTION("""COMPUTED_VALUE"""),"Success")</f>
        <v>Success</v>
      </c>
    </row>
    <row r="28">
      <c r="A28" s="129">
        <f>IFERROR(__xludf.DUMMYFUNCTION("""COMPUTED_VALUE"""),46168.35865740741)</f>
        <v>46168.35866</v>
      </c>
      <c r="B28" s="126">
        <f>IFERROR(__xludf.DUMMYFUNCTION("""COMPUTED_VALUE"""),46168.0)</f>
        <v>46168</v>
      </c>
      <c r="C28" s="122" t="str">
        <f>IFERROR(__xludf.DUMMYFUNCTION("""COMPUTED_VALUE"""),"ba353911")</f>
        <v>ba353911</v>
      </c>
      <c r="D28" s="122" t="str">
        <f>IFERROR(__xludf.DUMMYFUNCTION("""COMPUTED_VALUE"""),"Dayeon Kang")</f>
        <v>Dayeon Kang</v>
      </c>
      <c r="E28" s="122">
        <f>IFERROR(__xludf.DUMMYFUNCTION("""COMPUTED_VALUE"""),10.0)</f>
        <v>10</v>
      </c>
      <c r="F28" s="122" t="str">
        <f>IFERROR(__xludf.DUMMYFUNCTION("""COMPUTED_VALUE"""),"HS202")</f>
        <v>HS202</v>
      </c>
      <c r="G28" s="122" t="str">
        <f>IFERROR(__xludf.DUMMYFUNCTION("""COMPUTED_VALUE"""),"Homeroom")</f>
        <v>Homeroom</v>
      </c>
      <c r="H28" s="122" t="str">
        <f>IFERROR(__xludf.DUMMYFUNCTION("""COMPUTED_VALUE"""),"Late")</f>
        <v>Late</v>
      </c>
      <c r="I28" s="130">
        <f>IFERROR(__xludf.DUMMYFUNCTION("""COMPUTED_VALUE"""),0.3586574074074074)</f>
        <v>0.3586574074</v>
      </c>
      <c r="J28" s="122">
        <f>IFERROR(__xludf.DUMMYFUNCTION("""COMPUTED_VALUE"""),0.0)</f>
        <v>0</v>
      </c>
      <c r="K28" s="123">
        <f>IFERROR(__xludf.DUMMYFUNCTION("""COMPUTED_VALUE"""),0.0)</f>
        <v>0</v>
      </c>
      <c r="L28" s="122" t="str">
        <f>IFERROR(__xludf.DUMMYFUNCTION("""COMPUTED_VALUE"""),"Late penalty applied")</f>
        <v>Late penalty applied</v>
      </c>
      <c r="M28" s="122" t="str">
        <f>IFERROR(__xludf.DUMMYFUNCTION("""COMPUTED_VALUE"""),"Success")</f>
        <v>Success</v>
      </c>
    </row>
    <row r="29">
      <c r="A29" s="129">
        <f>IFERROR(__xludf.DUMMYFUNCTION("""COMPUTED_VALUE"""),46168.49429398148)</f>
        <v>46168.49429</v>
      </c>
      <c r="B29" s="126">
        <f>IFERROR(__xludf.DUMMYFUNCTION("""COMPUTED_VALUE"""),46168.0)</f>
        <v>46168</v>
      </c>
      <c r="C29" s="122" t="str">
        <f>IFERROR(__xludf.DUMMYFUNCTION("""COMPUTED_VALUE"""),"ae072910")</f>
        <v>ae072910</v>
      </c>
      <c r="D29" s="122" t="str">
        <f>IFERROR(__xludf.DUMMYFUNCTION("""COMPUTED_VALUE"""),"Selena Jung")</f>
        <v>Selena Jung</v>
      </c>
      <c r="E29" s="122">
        <f>IFERROR(__xludf.DUMMYFUNCTION("""COMPUTED_VALUE"""),10.0)</f>
        <v>10</v>
      </c>
      <c r="F29" s="122" t="str">
        <f>IFERROR(__xludf.DUMMYFUNCTION("""COMPUTED_VALUE"""),"HS202")</f>
        <v>HS202</v>
      </c>
      <c r="G29" s="122" t="str">
        <f>IFERROR(__xludf.DUMMYFUNCTION("""COMPUTED_VALUE"""),"Homeroom")</f>
        <v>Homeroom</v>
      </c>
      <c r="H29" s="122" t="str">
        <f>IFERROR(__xludf.DUMMYFUNCTION("""COMPUTED_VALUE"""),"Late")</f>
        <v>Late</v>
      </c>
      <c r="I29" s="130">
        <f>IFERROR(__xludf.DUMMYFUNCTION("""COMPUTED_VALUE"""),0.49429398148148146)</f>
        <v>0.4942939815</v>
      </c>
      <c r="J29" s="122">
        <f>IFERROR(__xludf.DUMMYFUNCTION("""COMPUTED_VALUE"""),0.0)</f>
        <v>0</v>
      </c>
      <c r="K29" s="123">
        <f>IFERROR(__xludf.DUMMYFUNCTION("""COMPUTED_VALUE"""),0.0)</f>
        <v>0</v>
      </c>
      <c r="L29" s="122" t="str">
        <f>IFERROR(__xludf.DUMMYFUNCTION("""COMPUTED_VALUE"""),"Late penalty not applied: insufficient balance")</f>
        <v>Late penalty not applied: insufficient balance</v>
      </c>
      <c r="M29" s="122" t="str">
        <f>IFERROR(__xludf.DUMMYFUNCTION("""COMPUTED_VALUE"""),"Success")</f>
        <v>Success</v>
      </c>
    </row>
    <row r="30">
      <c r="A30" s="129">
        <f>IFERROR(__xludf.DUMMYFUNCTION("""COMPUTED_VALUE"""),46168.65002314815)</f>
        <v>46168.65002</v>
      </c>
      <c r="B30" s="126">
        <f>IFERROR(__xludf.DUMMYFUNCTION("""COMPUTED_VALUE"""),46168.0)</f>
        <v>46168</v>
      </c>
      <c r="C30" s="122" t="str">
        <f>IFERROR(__xludf.DUMMYFUNCTION("""COMPUTED_VALUE"""),"ba0fc5c4")</f>
        <v>ba0fc5c4</v>
      </c>
      <c r="D30" s="122" t="str">
        <f>IFERROR(__xludf.DUMMYFUNCTION("""COMPUTED_VALUE"""),"Junwoo Kang")</f>
        <v>Junwoo Kang</v>
      </c>
      <c r="E30" s="122">
        <f>IFERROR(__xludf.DUMMYFUNCTION("""COMPUTED_VALUE"""),10.0)</f>
        <v>10</v>
      </c>
      <c r="F30" s="122" t="str">
        <f>IFERROR(__xludf.DUMMYFUNCTION("""COMPUTED_VALUE"""),"HS202")</f>
        <v>HS202</v>
      </c>
      <c r="G30" s="122" t="str">
        <f>IFERROR(__xludf.DUMMYFUNCTION("""COMPUTED_VALUE"""),"Homeroom")</f>
        <v>Homeroom</v>
      </c>
      <c r="H30" s="122" t="str">
        <f>IFERROR(__xludf.DUMMYFUNCTION("""COMPUTED_VALUE"""),"Late")</f>
        <v>Late</v>
      </c>
      <c r="I30" s="130">
        <f>IFERROR(__xludf.DUMMYFUNCTION("""COMPUTED_VALUE"""),0.6500231481481481)</f>
        <v>0.6500231481</v>
      </c>
      <c r="J30" s="122">
        <f>IFERROR(__xludf.DUMMYFUNCTION("""COMPUTED_VALUE"""),0.0)</f>
        <v>0</v>
      </c>
      <c r="K30" s="123">
        <f>IFERROR(__xludf.DUMMYFUNCTION("""COMPUTED_VALUE"""),0.0)</f>
        <v>0</v>
      </c>
      <c r="L30" s="122" t="str">
        <f>IFERROR(__xludf.DUMMYFUNCTION("""COMPUTED_VALUE"""),"Late penalty not applied: insufficient balance")</f>
        <v>Late penalty not applied: insufficient balance</v>
      </c>
      <c r="M30" s="122" t="str">
        <f>IFERROR(__xludf.DUMMYFUNCTION("""COMPUTED_VALUE"""),"Success")</f>
        <v>Success</v>
      </c>
    </row>
    <row r="31">
      <c r="A31" s="129">
        <f>IFERROR(__xludf.DUMMYFUNCTION("""COMPUTED_VALUE"""),46169.37300925926)</f>
        <v>46169.37301</v>
      </c>
      <c r="B31" s="126">
        <f>IFERROR(__xludf.DUMMYFUNCTION("""COMPUTED_VALUE"""),46169.0)</f>
        <v>46169</v>
      </c>
      <c r="C31" s="122" t="str">
        <f>IFERROR(__xludf.DUMMYFUNCTION("""COMPUTED_VALUE"""),"ba353911")</f>
        <v>ba353911</v>
      </c>
      <c r="D31" s="122" t="str">
        <f>IFERROR(__xludf.DUMMYFUNCTION("""COMPUTED_VALUE"""),"Dayeon Kang")</f>
        <v>Dayeon Kang</v>
      </c>
      <c r="E31" s="122">
        <f>IFERROR(__xludf.DUMMYFUNCTION("""COMPUTED_VALUE"""),10.0)</f>
        <v>10</v>
      </c>
      <c r="F31" s="122" t="str">
        <f>IFERROR(__xludf.DUMMYFUNCTION("""COMPUTED_VALUE"""),"HS202")</f>
        <v>HS202</v>
      </c>
      <c r="G31" s="122" t="str">
        <f>IFERROR(__xludf.DUMMYFUNCTION("""COMPUTED_VALUE"""),"Homeroom")</f>
        <v>Homeroom</v>
      </c>
      <c r="H31" s="122" t="str">
        <f>IFERROR(__xludf.DUMMYFUNCTION("""COMPUTED_VALUE"""),"Duplicate")</f>
        <v>Duplicate</v>
      </c>
      <c r="I31" s="130">
        <f>IFERROR(__xludf.DUMMYFUNCTION("""COMPUTED_VALUE"""),0.37300925925925926)</f>
        <v>0.3730092593</v>
      </c>
      <c r="J31" s="122"/>
      <c r="K31" s="123">
        <f>IFERROR(__xludf.DUMMYFUNCTION("""COMPUTED_VALUE"""),0.0)</f>
        <v>0</v>
      </c>
      <c r="L31" s="122" t="str">
        <f>IFERROR(__xludf.DUMMYFUNCTION("""COMPUTED_VALUE"""),"Duplicate scan")</f>
        <v>Duplicate scan</v>
      </c>
      <c r="M31" s="122" t="str">
        <f>IFERROR(__xludf.DUMMYFUNCTION("""COMPUTED_VALUE"""),"Denied - duplicate attendance")</f>
        <v>Denied - duplicate attendance</v>
      </c>
    </row>
    <row r="32">
      <c r="A32" s="129">
        <f>IFERROR(__xludf.DUMMYFUNCTION("""COMPUTED_VALUE"""),46170.34717592593)</f>
        <v>46170.34718</v>
      </c>
      <c r="B32" s="126">
        <f>IFERROR(__xludf.DUMMYFUNCTION("""COMPUTED_VALUE"""),46170.0)</f>
        <v>46170</v>
      </c>
      <c r="C32" s="122" t="str">
        <f>IFERROR(__xludf.DUMMYFUNCTION("""COMPUTED_VALUE"""),"ae072910")</f>
        <v>ae072910</v>
      </c>
      <c r="D32" s="122" t="str">
        <f>IFERROR(__xludf.DUMMYFUNCTION("""COMPUTED_VALUE"""),"Selena Jung")</f>
        <v>Selena Jung</v>
      </c>
      <c r="E32" s="122">
        <f>IFERROR(__xludf.DUMMYFUNCTION("""COMPUTED_VALUE"""),10.0)</f>
        <v>10</v>
      </c>
      <c r="F32" s="122" t="str">
        <f>IFERROR(__xludf.DUMMYFUNCTION("""COMPUTED_VALUE"""),"HS202")</f>
        <v>HS202</v>
      </c>
      <c r="G32" s="122" t="str">
        <f>IFERROR(__xludf.DUMMYFUNCTION("""COMPUTED_VALUE"""),"Homeroom")</f>
        <v>Homeroom</v>
      </c>
      <c r="H32" s="122" t="str">
        <f>IFERROR(__xludf.DUMMYFUNCTION("""COMPUTED_VALUE"""),"Present")</f>
        <v>Present</v>
      </c>
      <c r="I32" s="130">
        <f>IFERROR(__xludf.DUMMYFUNCTION("""COMPUTED_VALUE"""),0.34717592592592594)</f>
        <v>0.3471759259</v>
      </c>
      <c r="J32" s="122">
        <f>IFERROR(__xludf.DUMMYFUNCTION("""COMPUTED_VALUE"""),1.0)</f>
        <v>1</v>
      </c>
      <c r="K32" s="123">
        <f>IFERROR(__xludf.DUMMYFUNCTION("""COMPUTED_VALUE"""),10.0)</f>
        <v>10</v>
      </c>
      <c r="L32" s="122" t="str">
        <f>IFERROR(__xludf.DUMMYFUNCTION("""COMPUTED_VALUE"""),"On-time reward applied")</f>
        <v>On-time reward applied</v>
      </c>
      <c r="M32" s="122" t="str">
        <f>IFERROR(__xludf.DUMMYFUNCTION("""COMPUTED_VALUE"""),"Success")</f>
        <v>Success</v>
      </c>
    </row>
    <row r="33">
      <c r="A33" s="129">
        <f>IFERROR(__xludf.DUMMYFUNCTION("""COMPUTED_VALUE"""),46170.35011574074)</f>
        <v>46170.35012</v>
      </c>
      <c r="B33" s="126">
        <f>IFERROR(__xludf.DUMMYFUNCTION("""COMPUTED_VALUE"""),46170.0)</f>
        <v>46170</v>
      </c>
      <c r="C33" s="122" t="str">
        <f>IFERROR(__xludf.DUMMYFUNCTION("""COMPUTED_VALUE"""),"5c07fef4")</f>
        <v>5c07fef4</v>
      </c>
      <c r="D33" s="122" t="str">
        <f>IFERROR(__xludf.DUMMYFUNCTION("""COMPUTED_VALUE"""),"Tiffany Kim")</f>
        <v>Tiffany Kim</v>
      </c>
      <c r="E33" s="122">
        <f>IFERROR(__xludf.DUMMYFUNCTION("""COMPUTED_VALUE"""),10.0)</f>
        <v>10</v>
      </c>
      <c r="F33" s="122" t="str">
        <f>IFERROR(__xludf.DUMMYFUNCTION("""COMPUTED_VALUE"""),"HS202")</f>
        <v>HS202</v>
      </c>
      <c r="G33" s="122" t="str">
        <f>IFERROR(__xludf.DUMMYFUNCTION("""COMPUTED_VALUE"""),"Homeroom")</f>
        <v>Homeroom</v>
      </c>
      <c r="H33" s="122" t="str">
        <f>IFERROR(__xludf.DUMMYFUNCTION("""COMPUTED_VALUE"""),"Present")</f>
        <v>Present</v>
      </c>
      <c r="I33" s="130">
        <f>IFERROR(__xludf.DUMMYFUNCTION("""COMPUTED_VALUE"""),0.35011574074074076)</f>
        <v>0.3501157407</v>
      </c>
      <c r="J33" s="122">
        <f>IFERROR(__xludf.DUMMYFUNCTION("""COMPUTED_VALUE"""),1.0)</f>
        <v>1</v>
      </c>
      <c r="K33" s="123">
        <f>IFERROR(__xludf.DUMMYFUNCTION("""COMPUTED_VALUE"""),10.0)</f>
        <v>10</v>
      </c>
      <c r="L33" s="122" t="str">
        <f>IFERROR(__xludf.DUMMYFUNCTION("""COMPUTED_VALUE"""),"On-time reward applied")</f>
        <v>On-time reward applied</v>
      </c>
      <c r="M33" s="122" t="str">
        <f>IFERROR(__xludf.DUMMYFUNCTION("""COMPUTED_VALUE"""),"Success")</f>
        <v>Success</v>
      </c>
    </row>
    <row r="34">
      <c r="A34" s="129">
        <f>IFERROR(__xludf.DUMMYFUNCTION("""COMPUTED_VALUE"""),46170.35193287037)</f>
        <v>46170.35193</v>
      </c>
      <c r="B34" s="126">
        <f>IFERROR(__xludf.DUMMYFUNCTION("""COMPUTED_VALUE"""),46170.0)</f>
        <v>46170</v>
      </c>
      <c r="C34" s="122" t="str">
        <f>IFERROR(__xludf.DUMMYFUNCTION("""COMPUTED_VALUE"""),"ba912211")</f>
        <v>ba912211</v>
      </c>
      <c r="D34" s="122" t="str">
        <f>IFERROR(__xludf.DUMMYFUNCTION("""COMPUTED_VALUE"""),"Daisy Dou")</f>
        <v>Daisy Dou</v>
      </c>
      <c r="E34" s="122">
        <f>IFERROR(__xludf.DUMMYFUNCTION("""COMPUTED_VALUE"""),10.0)</f>
        <v>10</v>
      </c>
      <c r="F34" s="122" t="str">
        <f>IFERROR(__xludf.DUMMYFUNCTION("""COMPUTED_VALUE"""),"HS202")</f>
        <v>HS202</v>
      </c>
      <c r="G34" s="122" t="str">
        <f>IFERROR(__xludf.DUMMYFUNCTION("""COMPUTED_VALUE"""),"Homeroom")</f>
        <v>Homeroom</v>
      </c>
      <c r="H34" s="122" t="str">
        <f>IFERROR(__xludf.DUMMYFUNCTION("""COMPUTED_VALUE"""),"Present")</f>
        <v>Present</v>
      </c>
      <c r="I34" s="130">
        <f>IFERROR(__xludf.DUMMYFUNCTION("""COMPUTED_VALUE"""),0.35193287037037035)</f>
        <v>0.3519328704</v>
      </c>
      <c r="J34" s="122">
        <f>IFERROR(__xludf.DUMMYFUNCTION("""COMPUTED_VALUE"""),1.0)</f>
        <v>1</v>
      </c>
      <c r="K34" s="123">
        <f>IFERROR(__xludf.DUMMYFUNCTION("""COMPUTED_VALUE"""),10.0)</f>
        <v>10</v>
      </c>
      <c r="L34" s="122" t="str">
        <f>IFERROR(__xludf.DUMMYFUNCTION("""COMPUTED_VALUE"""),"On-time reward applied")</f>
        <v>On-time reward applied</v>
      </c>
      <c r="M34" s="122" t="str">
        <f>IFERROR(__xludf.DUMMYFUNCTION("""COMPUTED_VALUE"""),"Success")</f>
        <v>Success</v>
      </c>
    </row>
    <row r="35">
      <c r="A35" s="129">
        <f>IFERROR(__xludf.DUMMYFUNCTION("""COMPUTED_VALUE"""),46170.352118055554)</f>
        <v>46170.35212</v>
      </c>
      <c r="B35" s="126">
        <f>IFERROR(__xludf.DUMMYFUNCTION("""COMPUTED_VALUE"""),46170.0)</f>
        <v>46170</v>
      </c>
      <c r="C35" s="122" t="str">
        <f>IFERROR(__xludf.DUMMYFUNCTION("""COMPUTED_VALUE"""),"7c4e261e")</f>
        <v>7c4e261e</v>
      </c>
      <c r="D35" s="122" t="str">
        <f>IFERROR(__xludf.DUMMYFUNCTION("""COMPUTED_VALUE"""),"Suha Lee")</f>
        <v>Suha Lee</v>
      </c>
      <c r="E35" s="122">
        <f>IFERROR(__xludf.DUMMYFUNCTION("""COMPUTED_VALUE"""),10.0)</f>
        <v>10</v>
      </c>
      <c r="F35" s="122" t="str">
        <f>IFERROR(__xludf.DUMMYFUNCTION("""COMPUTED_VALUE"""),"HS202")</f>
        <v>HS202</v>
      </c>
      <c r="G35" s="122" t="str">
        <f>IFERROR(__xludf.DUMMYFUNCTION("""COMPUTED_VALUE"""),"Homeroom")</f>
        <v>Homeroom</v>
      </c>
      <c r="H35" s="122" t="str">
        <f>IFERROR(__xludf.DUMMYFUNCTION("""COMPUTED_VALUE"""),"Present")</f>
        <v>Present</v>
      </c>
      <c r="I35" s="130">
        <f>IFERROR(__xludf.DUMMYFUNCTION("""COMPUTED_VALUE"""),0.35211805555555553)</f>
        <v>0.3521180556</v>
      </c>
      <c r="J35" s="122">
        <f>IFERROR(__xludf.DUMMYFUNCTION("""COMPUTED_VALUE"""),1.0)</f>
        <v>1</v>
      </c>
      <c r="K35" s="123">
        <f>IFERROR(__xludf.DUMMYFUNCTION("""COMPUTED_VALUE"""),10.0)</f>
        <v>10</v>
      </c>
      <c r="L35" s="122" t="str">
        <f>IFERROR(__xludf.DUMMYFUNCTION("""COMPUTED_VALUE"""),"On-time reward applied")</f>
        <v>On-time reward applied</v>
      </c>
      <c r="M35" s="122" t="str">
        <f>IFERROR(__xludf.DUMMYFUNCTION("""COMPUTED_VALUE"""),"Success")</f>
        <v>Success</v>
      </c>
    </row>
    <row r="36">
      <c r="A36" s="129">
        <f>IFERROR(__xludf.DUMMYFUNCTION("""COMPUTED_VALUE"""),46170.352268518516)</f>
        <v>46170.35227</v>
      </c>
      <c r="B36" s="126">
        <f>IFERROR(__xludf.DUMMYFUNCTION("""COMPUTED_VALUE"""),46170.0)</f>
        <v>46170</v>
      </c>
      <c r="C36" s="122" t="str">
        <f>IFERROR(__xludf.DUMMYFUNCTION("""COMPUTED_VALUE"""),"dc04eef4")</f>
        <v>dc04eef4</v>
      </c>
      <c r="D36" s="122" t="str">
        <f>IFERROR(__xludf.DUMMYFUNCTION("""COMPUTED_VALUE"""),"Joshua Jung")</f>
        <v>Joshua Jung</v>
      </c>
      <c r="E36" s="122">
        <f>IFERROR(__xludf.DUMMYFUNCTION("""COMPUTED_VALUE"""),10.0)</f>
        <v>10</v>
      </c>
      <c r="F36" s="122" t="str">
        <f>IFERROR(__xludf.DUMMYFUNCTION("""COMPUTED_VALUE"""),"HS202")</f>
        <v>HS202</v>
      </c>
      <c r="G36" s="122" t="str">
        <f>IFERROR(__xludf.DUMMYFUNCTION("""COMPUTED_VALUE"""),"Homeroom")</f>
        <v>Homeroom</v>
      </c>
      <c r="H36" s="122" t="str">
        <f>IFERROR(__xludf.DUMMYFUNCTION("""COMPUTED_VALUE"""),"Present")</f>
        <v>Present</v>
      </c>
      <c r="I36" s="130">
        <f>IFERROR(__xludf.DUMMYFUNCTION("""COMPUTED_VALUE"""),0.35226851851851854)</f>
        <v>0.3522685185</v>
      </c>
      <c r="J36" s="122">
        <f>IFERROR(__xludf.DUMMYFUNCTION("""COMPUTED_VALUE"""),1.0)</f>
        <v>1</v>
      </c>
      <c r="K36" s="123">
        <f>IFERROR(__xludf.DUMMYFUNCTION("""COMPUTED_VALUE"""),10.0)</f>
        <v>10</v>
      </c>
      <c r="L36" s="122" t="str">
        <f>IFERROR(__xludf.DUMMYFUNCTION("""COMPUTED_VALUE"""),"On-time reward applied")</f>
        <v>On-time reward applied</v>
      </c>
      <c r="M36" s="122" t="str">
        <f>IFERROR(__xludf.DUMMYFUNCTION("""COMPUTED_VALUE"""),"Success")</f>
        <v>Success</v>
      </c>
    </row>
    <row r="37">
      <c r="A37" s="129">
        <f>IFERROR(__xludf.DUMMYFUNCTION("""COMPUTED_VALUE"""),46170.35403935185)</f>
        <v>46170.35404</v>
      </c>
      <c r="B37" s="126">
        <f>IFERROR(__xludf.DUMMYFUNCTION("""COMPUTED_VALUE"""),46170.0)</f>
        <v>46170</v>
      </c>
      <c r="C37" s="122" t="str">
        <f>IFERROR(__xludf.DUMMYFUNCTION("""COMPUTED_VALUE"""),"babde4c4")</f>
        <v>babde4c4</v>
      </c>
      <c r="D37" s="122" t="str">
        <f>IFERROR(__xludf.DUMMYFUNCTION("""COMPUTED_VALUE"""),"Ashley Guk")</f>
        <v>Ashley Guk</v>
      </c>
      <c r="E37" s="122">
        <f>IFERROR(__xludf.DUMMYFUNCTION("""COMPUTED_VALUE"""),10.0)</f>
        <v>10</v>
      </c>
      <c r="F37" s="122" t="str">
        <f>IFERROR(__xludf.DUMMYFUNCTION("""COMPUTED_VALUE"""),"HS202")</f>
        <v>HS202</v>
      </c>
      <c r="G37" s="122" t="str">
        <f>IFERROR(__xludf.DUMMYFUNCTION("""COMPUTED_VALUE"""),"Homeroom")</f>
        <v>Homeroom</v>
      </c>
      <c r="H37" s="122" t="str">
        <f>IFERROR(__xludf.DUMMYFUNCTION("""COMPUTED_VALUE"""),"Present")</f>
        <v>Present</v>
      </c>
      <c r="I37" s="130">
        <f>IFERROR(__xludf.DUMMYFUNCTION("""COMPUTED_VALUE"""),0.35403935185185187)</f>
        <v>0.3540393519</v>
      </c>
      <c r="J37" s="122">
        <f>IFERROR(__xludf.DUMMYFUNCTION("""COMPUTED_VALUE"""),1.0)</f>
        <v>1</v>
      </c>
      <c r="K37" s="123">
        <f>IFERROR(__xludf.DUMMYFUNCTION("""COMPUTED_VALUE"""),10.0)</f>
        <v>10</v>
      </c>
      <c r="L37" s="122" t="str">
        <f>IFERROR(__xludf.DUMMYFUNCTION("""COMPUTED_VALUE"""),"On-time reward applied")</f>
        <v>On-time reward applied</v>
      </c>
      <c r="M37" s="122" t="str">
        <f>IFERROR(__xludf.DUMMYFUNCTION("""COMPUTED_VALUE"""),"Success")</f>
        <v>Success</v>
      </c>
    </row>
    <row r="38">
      <c r="A38" s="129">
        <f>IFERROR(__xludf.DUMMYFUNCTION("""COMPUTED_VALUE"""),46170.35628472222)</f>
        <v>46170.35628</v>
      </c>
      <c r="B38" s="126">
        <f>IFERROR(__xludf.DUMMYFUNCTION("""COMPUTED_VALUE"""),46170.0)</f>
        <v>46170</v>
      </c>
      <c r="C38" s="122" t="str">
        <f>IFERROR(__xludf.DUMMYFUNCTION("""COMPUTED_VALUE"""),"ba353911")</f>
        <v>ba353911</v>
      </c>
      <c r="D38" s="122" t="str">
        <f>IFERROR(__xludf.DUMMYFUNCTION("""COMPUTED_VALUE"""),"Dayeon Kang")</f>
        <v>Dayeon Kang</v>
      </c>
      <c r="E38" s="122">
        <f>IFERROR(__xludf.DUMMYFUNCTION("""COMPUTED_VALUE"""),10.0)</f>
        <v>10</v>
      </c>
      <c r="F38" s="122" t="str">
        <f>IFERROR(__xludf.DUMMYFUNCTION("""COMPUTED_VALUE"""),"HS202")</f>
        <v>HS202</v>
      </c>
      <c r="G38" s="122" t="str">
        <f>IFERROR(__xludf.DUMMYFUNCTION("""COMPUTED_VALUE"""),"Homeroom")</f>
        <v>Homeroom</v>
      </c>
      <c r="H38" s="122" t="str">
        <f>IFERROR(__xludf.DUMMYFUNCTION("""COMPUTED_VALUE"""),"Present")</f>
        <v>Present</v>
      </c>
      <c r="I38" s="130">
        <f>IFERROR(__xludf.DUMMYFUNCTION("""COMPUTED_VALUE"""),0.35628472222222224)</f>
        <v>0.3562847222</v>
      </c>
      <c r="J38" s="122">
        <f>IFERROR(__xludf.DUMMYFUNCTION("""COMPUTED_VALUE"""),1.0)</f>
        <v>1</v>
      </c>
      <c r="K38" s="123">
        <f>IFERROR(__xludf.DUMMYFUNCTION("""COMPUTED_VALUE"""),10.0)</f>
        <v>10</v>
      </c>
      <c r="L38" s="122" t="str">
        <f>IFERROR(__xludf.DUMMYFUNCTION("""COMPUTED_VALUE"""),"On-time reward applied")</f>
        <v>On-time reward applied</v>
      </c>
      <c r="M38" s="122" t="str">
        <f>IFERROR(__xludf.DUMMYFUNCTION("""COMPUTED_VALUE"""),"Success")</f>
        <v>Success</v>
      </c>
    </row>
    <row r="39">
      <c r="A39" s="129">
        <f>IFERROR(__xludf.DUMMYFUNCTION("""COMPUTED_VALUE"""),46170.35795138889)</f>
        <v>46170.35795</v>
      </c>
      <c r="B39" s="126">
        <f>IFERROR(__xludf.DUMMYFUNCTION("""COMPUTED_VALUE"""),46170.0)</f>
        <v>46170</v>
      </c>
      <c r="C39" s="122" t="str">
        <f>IFERROR(__xludf.DUMMYFUNCTION("""COMPUTED_VALUE"""),"9a5f2811")</f>
        <v>9a5f2811</v>
      </c>
      <c r="D39" s="122" t="str">
        <f>IFERROR(__xludf.DUMMYFUNCTION("""COMPUTED_VALUE"""),"Junyoung Yoo")</f>
        <v>Junyoung Yoo</v>
      </c>
      <c r="E39" s="122">
        <f>IFERROR(__xludf.DUMMYFUNCTION("""COMPUTED_VALUE"""),10.0)</f>
        <v>10</v>
      </c>
      <c r="F39" s="122" t="str">
        <f>IFERROR(__xludf.DUMMYFUNCTION("""COMPUTED_VALUE"""),"HS202")</f>
        <v>HS202</v>
      </c>
      <c r="G39" s="122" t="str">
        <f>IFERROR(__xludf.DUMMYFUNCTION("""COMPUTED_VALUE"""),"Homeroom")</f>
        <v>Homeroom</v>
      </c>
      <c r="H39" s="122" t="str">
        <f>IFERROR(__xludf.DUMMYFUNCTION("""COMPUTED_VALUE"""),"Present")</f>
        <v>Present</v>
      </c>
      <c r="I39" s="130">
        <f>IFERROR(__xludf.DUMMYFUNCTION("""COMPUTED_VALUE"""),0.3579513888888889)</f>
        <v>0.3579513889</v>
      </c>
      <c r="J39" s="122">
        <f>IFERROR(__xludf.DUMMYFUNCTION("""COMPUTED_VALUE"""),1.0)</f>
        <v>1</v>
      </c>
      <c r="K39" s="123">
        <f>IFERROR(__xludf.DUMMYFUNCTION("""COMPUTED_VALUE"""),10.0)</f>
        <v>10</v>
      </c>
      <c r="L39" s="122" t="str">
        <f>IFERROR(__xludf.DUMMYFUNCTION("""COMPUTED_VALUE"""),"On-time reward applied")</f>
        <v>On-time reward applied</v>
      </c>
      <c r="M39" s="122" t="str">
        <f>IFERROR(__xludf.DUMMYFUNCTION("""COMPUTED_VALUE"""),"Success")</f>
        <v>Success</v>
      </c>
    </row>
    <row r="40">
      <c r="A40" s="129">
        <f>IFERROR(__xludf.DUMMYFUNCTION("""COMPUTED_VALUE"""),46170.3725)</f>
        <v>46170.3725</v>
      </c>
      <c r="B40" s="126">
        <f>IFERROR(__xludf.DUMMYFUNCTION("""COMPUTED_VALUE"""),46170.0)</f>
        <v>46170</v>
      </c>
      <c r="C40" s="122" t="str">
        <f>IFERROR(__xludf.DUMMYFUNCTION("""COMPUTED_VALUE"""),"1e3e1410")</f>
        <v>1e3e1410</v>
      </c>
      <c r="D40" s="122" t="str">
        <f>IFERROR(__xludf.DUMMYFUNCTION("""COMPUTED_VALUE"""),"Junjae Park")</f>
        <v>Junjae Park</v>
      </c>
      <c r="E40" s="122">
        <f>IFERROR(__xludf.DUMMYFUNCTION("""COMPUTED_VALUE"""),10.0)</f>
        <v>10</v>
      </c>
      <c r="F40" s="122" t="str">
        <f>IFERROR(__xludf.DUMMYFUNCTION("""COMPUTED_VALUE"""),"HS202")</f>
        <v>HS202</v>
      </c>
      <c r="G40" s="122" t="str">
        <f>IFERROR(__xludf.DUMMYFUNCTION("""COMPUTED_VALUE"""),"Homeroom")</f>
        <v>Homeroom</v>
      </c>
      <c r="H40" s="122" t="str">
        <f>IFERROR(__xludf.DUMMYFUNCTION("""COMPUTED_VALUE"""),"Late")</f>
        <v>Late</v>
      </c>
      <c r="I40" s="130">
        <f>IFERROR(__xludf.DUMMYFUNCTION("""COMPUTED_VALUE"""),0.3725)</f>
        <v>0.3725</v>
      </c>
      <c r="J40" s="122">
        <f>IFERROR(__xludf.DUMMYFUNCTION("""COMPUTED_VALUE"""),0.0)</f>
        <v>0</v>
      </c>
      <c r="K40" s="123">
        <f>IFERROR(__xludf.DUMMYFUNCTION("""COMPUTED_VALUE"""),0.0)</f>
        <v>0</v>
      </c>
      <c r="L40" s="122" t="str">
        <f>IFERROR(__xludf.DUMMYFUNCTION("""COMPUTED_VALUE"""),"Late penalty applied")</f>
        <v>Late penalty applied</v>
      </c>
      <c r="M40" s="122" t="str">
        <f>IFERROR(__xludf.DUMMYFUNCTION("""COMPUTED_VALUE"""),"Success")</f>
        <v>Success</v>
      </c>
    </row>
    <row r="41">
      <c r="A41" s="129">
        <f>IFERROR(__xludf.DUMMYFUNCTION("""COMPUTED_VALUE"""),46170.37265046296)</f>
        <v>46170.37265</v>
      </c>
      <c r="B41" s="126">
        <f>IFERROR(__xludf.DUMMYFUNCTION("""COMPUTED_VALUE"""),46170.0)</f>
        <v>46170</v>
      </c>
      <c r="C41" s="122" t="str">
        <f>IFERROR(__xludf.DUMMYFUNCTION("""COMPUTED_VALUE"""),"ba0fc5c4")</f>
        <v>ba0fc5c4</v>
      </c>
      <c r="D41" s="122" t="str">
        <f>IFERROR(__xludf.DUMMYFUNCTION("""COMPUTED_VALUE"""),"Junwoo Kang")</f>
        <v>Junwoo Kang</v>
      </c>
      <c r="E41" s="122">
        <f>IFERROR(__xludf.DUMMYFUNCTION("""COMPUTED_VALUE"""),10.0)</f>
        <v>10</v>
      </c>
      <c r="F41" s="122" t="str">
        <f>IFERROR(__xludf.DUMMYFUNCTION("""COMPUTED_VALUE"""),"HS202")</f>
        <v>HS202</v>
      </c>
      <c r="G41" s="122" t="str">
        <f>IFERROR(__xludf.DUMMYFUNCTION("""COMPUTED_VALUE"""),"Homeroom")</f>
        <v>Homeroom</v>
      </c>
      <c r="H41" s="122" t="str">
        <f>IFERROR(__xludf.DUMMYFUNCTION("""COMPUTED_VALUE"""),"Late")</f>
        <v>Late</v>
      </c>
      <c r="I41" s="130">
        <f>IFERROR(__xludf.DUMMYFUNCTION("""COMPUTED_VALUE"""),0.37265046296296295)</f>
        <v>0.372650463</v>
      </c>
      <c r="J41" s="122">
        <f>IFERROR(__xludf.DUMMYFUNCTION("""COMPUTED_VALUE"""),0.0)</f>
        <v>0</v>
      </c>
      <c r="K41" s="123">
        <f>IFERROR(__xludf.DUMMYFUNCTION("""COMPUTED_VALUE"""),0.0)</f>
        <v>0</v>
      </c>
      <c r="L41" s="122" t="str">
        <f>IFERROR(__xludf.DUMMYFUNCTION("""COMPUTED_VALUE"""),"Late penalty not applied: insufficient balance")</f>
        <v>Late penalty not applied: insufficient balance</v>
      </c>
      <c r="M41" s="122" t="str">
        <f>IFERROR(__xludf.DUMMYFUNCTION("""COMPUTED_VALUE"""),"Success")</f>
        <v>Success</v>
      </c>
    </row>
    <row r="42">
      <c r="A42" s="129">
        <f>IFERROR(__xludf.DUMMYFUNCTION("""COMPUTED_VALUE"""),46174.34792824074)</f>
        <v>46174.34793</v>
      </c>
      <c r="B42" s="126">
        <f>IFERROR(__xludf.DUMMYFUNCTION("""COMPUTED_VALUE"""),46174.0)</f>
        <v>46174</v>
      </c>
      <c r="C42" s="122" t="str">
        <f>IFERROR(__xludf.DUMMYFUNCTION("""COMPUTED_VALUE"""),"ae072910")</f>
        <v>ae072910</v>
      </c>
      <c r="D42" s="122" t="str">
        <f>IFERROR(__xludf.DUMMYFUNCTION("""COMPUTED_VALUE"""),"Selena Jung")</f>
        <v>Selena Jung</v>
      </c>
      <c r="E42" s="122">
        <f>IFERROR(__xludf.DUMMYFUNCTION("""COMPUTED_VALUE"""),10.0)</f>
        <v>10</v>
      </c>
      <c r="F42" s="122" t="str">
        <f>IFERROR(__xludf.DUMMYFUNCTION("""COMPUTED_VALUE"""),"HS202")</f>
        <v>HS202</v>
      </c>
      <c r="G42" s="122" t="str">
        <f>IFERROR(__xludf.DUMMYFUNCTION("""COMPUTED_VALUE"""),"Homeroom")</f>
        <v>Homeroom</v>
      </c>
      <c r="H42" s="122" t="str">
        <f>IFERROR(__xludf.DUMMYFUNCTION("""COMPUTED_VALUE"""),"Present")</f>
        <v>Present</v>
      </c>
      <c r="I42" s="130">
        <f>IFERROR(__xludf.DUMMYFUNCTION("""COMPUTED_VALUE"""),0.34792824074074075)</f>
        <v>0.3479282407</v>
      </c>
      <c r="J42" s="122">
        <f>IFERROR(__xludf.DUMMYFUNCTION("""COMPUTED_VALUE"""),1.0)</f>
        <v>1</v>
      </c>
      <c r="K42" s="123">
        <f>IFERROR(__xludf.DUMMYFUNCTION("""COMPUTED_VALUE"""),10.0)</f>
        <v>10</v>
      </c>
      <c r="L42" s="122" t="str">
        <f>IFERROR(__xludf.DUMMYFUNCTION("""COMPUTED_VALUE"""),"On-time reward applied")</f>
        <v>On-time reward applied</v>
      </c>
      <c r="M42" s="122" t="str">
        <f>IFERROR(__xludf.DUMMYFUNCTION("""COMPUTED_VALUE"""),"Success")</f>
        <v>Success</v>
      </c>
    </row>
    <row r="43">
      <c r="A43" s="129">
        <f>IFERROR(__xludf.DUMMYFUNCTION("""COMPUTED_VALUE"""),46174.34815972222)</f>
        <v>46174.34816</v>
      </c>
      <c r="B43" s="126">
        <f>IFERROR(__xludf.DUMMYFUNCTION("""COMPUTED_VALUE"""),46174.0)</f>
        <v>46174</v>
      </c>
      <c r="C43" s="122" t="str">
        <f>IFERROR(__xludf.DUMMYFUNCTION("""COMPUTED_VALUE"""),"5c07fef4")</f>
        <v>5c07fef4</v>
      </c>
      <c r="D43" s="122" t="str">
        <f>IFERROR(__xludf.DUMMYFUNCTION("""COMPUTED_VALUE"""),"Tiffany Kim")</f>
        <v>Tiffany Kim</v>
      </c>
      <c r="E43" s="122">
        <f>IFERROR(__xludf.DUMMYFUNCTION("""COMPUTED_VALUE"""),10.0)</f>
        <v>10</v>
      </c>
      <c r="F43" s="122" t="str">
        <f>IFERROR(__xludf.DUMMYFUNCTION("""COMPUTED_VALUE"""),"HS202")</f>
        <v>HS202</v>
      </c>
      <c r="G43" s="122" t="str">
        <f>IFERROR(__xludf.DUMMYFUNCTION("""COMPUTED_VALUE"""),"Homeroom")</f>
        <v>Homeroom</v>
      </c>
      <c r="H43" s="122" t="str">
        <f>IFERROR(__xludf.DUMMYFUNCTION("""COMPUTED_VALUE"""),"Present")</f>
        <v>Present</v>
      </c>
      <c r="I43" s="130">
        <f>IFERROR(__xludf.DUMMYFUNCTION("""COMPUTED_VALUE"""),0.34815972222222225)</f>
        <v>0.3481597222</v>
      </c>
      <c r="J43" s="122">
        <f>IFERROR(__xludf.DUMMYFUNCTION("""COMPUTED_VALUE"""),1.0)</f>
        <v>1</v>
      </c>
      <c r="K43" s="123">
        <f>IFERROR(__xludf.DUMMYFUNCTION("""COMPUTED_VALUE"""),10.0)</f>
        <v>10</v>
      </c>
      <c r="L43" s="122" t="str">
        <f>IFERROR(__xludf.DUMMYFUNCTION("""COMPUTED_VALUE"""),"On-time reward applied")</f>
        <v>On-time reward applied</v>
      </c>
      <c r="M43" s="122" t="str">
        <f>IFERROR(__xludf.DUMMYFUNCTION("""COMPUTED_VALUE"""),"Success")</f>
        <v>Success</v>
      </c>
    </row>
    <row r="44">
      <c r="A44" s="129">
        <f>IFERROR(__xludf.DUMMYFUNCTION("""COMPUTED_VALUE"""),46174.34831018518)</f>
        <v>46174.34831</v>
      </c>
      <c r="B44" s="126">
        <f>IFERROR(__xludf.DUMMYFUNCTION("""COMPUTED_VALUE"""),46174.0)</f>
        <v>46174</v>
      </c>
      <c r="C44" s="122" t="str">
        <f>IFERROR(__xludf.DUMMYFUNCTION("""COMPUTED_VALUE"""),"dc04eef4")</f>
        <v>dc04eef4</v>
      </c>
      <c r="D44" s="122" t="str">
        <f>IFERROR(__xludf.DUMMYFUNCTION("""COMPUTED_VALUE"""),"Joshua Jung")</f>
        <v>Joshua Jung</v>
      </c>
      <c r="E44" s="122">
        <f>IFERROR(__xludf.DUMMYFUNCTION("""COMPUTED_VALUE"""),10.0)</f>
        <v>10</v>
      </c>
      <c r="F44" s="122" t="str">
        <f>IFERROR(__xludf.DUMMYFUNCTION("""COMPUTED_VALUE"""),"HS202")</f>
        <v>HS202</v>
      </c>
      <c r="G44" s="122" t="str">
        <f>IFERROR(__xludf.DUMMYFUNCTION("""COMPUTED_VALUE"""),"Homeroom")</f>
        <v>Homeroom</v>
      </c>
      <c r="H44" s="122" t="str">
        <f>IFERROR(__xludf.DUMMYFUNCTION("""COMPUTED_VALUE"""),"Present")</f>
        <v>Present</v>
      </c>
      <c r="I44" s="130">
        <f>IFERROR(__xludf.DUMMYFUNCTION("""COMPUTED_VALUE"""),0.3483101851851852)</f>
        <v>0.3483101852</v>
      </c>
      <c r="J44" s="122">
        <f>IFERROR(__xludf.DUMMYFUNCTION("""COMPUTED_VALUE"""),1.0)</f>
        <v>1</v>
      </c>
      <c r="K44" s="123">
        <f>IFERROR(__xludf.DUMMYFUNCTION("""COMPUTED_VALUE"""),10.0)</f>
        <v>10</v>
      </c>
      <c r="L44" s="122" t="str">
        <f>IFERROR(__xludf.DUMMYFUNCTION("""COMPUTED_VALUE"""),"On-time reward applied")</f>
        <v>On-time reward applied</v>
      </c>
      <c r="M44" s="122" t="str">
        <f>IFERROR(__xludf.DUMMYFUNCTION("""COMPUTED_VALUE"""),"Success")</f>
        <v>Success</v>
      </c>
    </row>
    <row r="45">
      <c r="A45" s="129">
        <f>IFERROR(__xludf.DUMMYFUNCTION("""COMPUTED_VALUE"""),46174.34914351852)</f>
        <v>46174.34914</v>
      </c>
      <c r="B45" s="126">
        <f>IFERROR(__xludf.DUMMYFUNCTION("""COMPUTED_VALUE"""),46174.0)</f>
        <v>46174</v>
      </c>
      <c r="C45" s="122" t="str">
        <f>IFERROR(__xludf.DUMMYFUNCTION("""COMPUTED_VALUE"""),"ba912211")</f>
        <v>ba912211</v>
      </c>
      <c r="D45" s="122" t="str">
        <f>IFERROR(__xludf.DUMMYFUNCTION("""COMPUTED_VALUE"""),"Daisy Dou")</f>
        <v>Daisy Dou</v>
      </c>
      <c r="E45" s="122">
        <f>IFERROR(__xludf.DUMMYFUNCTION("""COMPUTED_VALUE"""),10.0)</f>
        <v>10</v>
      </c>
      <c r="F45" s="122" t="str">
        <f>IFERROR(__xludf.DUMMYFUNCTION("""COMPUTED_VALUE"""),"HS202")</f>
        <v>HS202</v>
      </c>
      <c r="G45" s="122" t="str">
        <f>IFERROR(__xludf.DUMMYFUNCTION("""COMPUTED_VALUE"""),"Homeroom")</f>
        <v>Homeroom</v>
      </c>
      <c r="H45" s="122" t="str">
        <f>IFERROR(__xludf.DUMMYFUNCTION("""COMPUTED_VALUE"""),"Present")</f>
        <v>Present</v>
      </c>
      <c r="I45" s="130">
        <f>IFERROR(__xludf.DUMMYFUNCTION("""COMPUTED_VALUE"""),0.3491435185185185)</f>
        <v>0.3491435185</v>
      </c>
      <c r="J45" s="122">
        <f>IFERROR(__xludf.DUMMYFUNCTION("""COMPUTED_VALUE"""),1.0)</f>
        <v>1</v>
      </c>
      <c r="K45" s="123">
        <f>IFERROR(__xludf.DUMMYFUNCTION("""COMPUTED_VALUE"""),10.0)</f>
        <v>10</v>
      </c>
      <c r="L45" s="122" t="str">
        <f>IFERROR(__xludf.DUMMYFUNCTION("""COMPUTED_VALUE"""),"On-time reward applied")</f>
        <v>On-time reward applied</v>
      </c>
      <c r="M45" s="122" t="str">
        <f>IFERROR(__xludf.DUMMYFUNCTION("""COMPUTED_VALUE"""),"Success")</f>
        <v>Success</v>
      </c>
    </row>
    <row r="46">
      <c r="A46" s="129">
        <f>IFERROR(__xludf.DUMMYFUNCTION("""COMPUTED_VALUE"""),46174.353125)</f>
        <v>46174.35313</v>
      </c>
      <c r="B46" s="126">
        <f>IFERROR(__xludf.DUMMYFUNCTION("""COMPUTED_VALUE"""),46174.0)</f>
        <v>46174</v>
      </c>
      <c r="C46" s="122" t="str">
        <f>IFERROR(__xludf.DUMMYFUNCTION("""COMPUTED_VALUE"""),"babde4c4")</f>
        <v>babde4c4</v>
      </c>
      <c r="D46" s="122" t="str">
        <f>IFERROR(__xludf.DUMMYFUNCTION("""COMPUTED_VALUE"""),"Ashley Guk")</f>
        <v>Ashley Guk</v>
      </c>
      <c r="E46" s="122">
        <f>IFERROR(__xludf.DUMMYFUNCTION("""COMPUTED_VALUE"""),10.0)</f>
        <v>10</v>
      </c>
      <c r="F46" s="122" t="str">
        <f>IFERROR(__xludf.DUMMYFUNCTION("""COMPUTED_VALUE"""),"HS202")</f>
        <v>HS202</v>
      </c>
      <c r="G46" s="122" t="str">
        <f>IFERROR(__xludf.DUMMYFUNCTION("""COMPUTED_VALUE"""),"Homeroom")</f>
        <v>Homeroom</v>
      </c>
      <c r="H46" s="122" t="str">
        <f>IFERROR(__xludf.DUMMYFUNCTION("""COMPUTED_VALUE"""),"Present")</f>
        <v>Present</v>
      </c>
      <c r="I46" s="130">
        <f>IFERROR(__xludf.DUMMYFUNCTION("""COMPUTED_VALUE"""),0.353125)</f>
        <v>0.353125</v>
      </c>
      <c r="J46" s="122">
        <f>IFERROR(__xludf.DUMMYFUNCTION("""COMPUTED_VALUE"""),1.0)</f>
        <v>1</v>
      </c>
      <c r="K46" s="123">
        <f>IFERROR(__xludf.DUMMYFUNCTION("""COMPUTED_VALUE"""),10.0)</f>
        <v>10</v>
      </c>
      <c r="L46" s="122" t="str">
        <f>IFERROR(__xludf.DUMMYFUNCTION("""COMPUTED_VALUE"""),"On-time reward applied")</f>
        <v>On-time reward applied</v>
      </c>
      <c r="M46" s="122" t="str">
        <f>IFERROR(__xludf.DUMMYFUNCTION("""COMPUTED_VALUE"""),"Success")</f>
        <v>Success</v>
      </c>
    </row>
    <row r="47">
      <c r="A47" s="129">
        <f>IFERROR(__xludf.DUMMYFUNCTION("""COMPUTED_VALUE"""),46174.35418981482)</f>
        <v>46174.35419</v>
      </c>
      <c r="B47" s="126">
        <f>IFERROR(__xludf.DUMMYFUNCTION("""COMPUTED_VALUE"""),46174.0)</f>
        <v>46174</v>
      </c>
      <c r="C47" s="122" t="str">
        <f>IFERROR(__xludf.DUMMYFUNCTION("""COMPUTED_VALUE"""),"ba353911")</f>
        <v>ba353911</v>
      </c>
      <c r="D47" s="122" t="str">
        <f>IFERROR(__xludf.DUMMYFUNCTION("""COMPUTED_VALUE"""),"Dayeon Kang")</f>
        <v>Dayeon Kang</v>
      </c>
      <c r="E47" s="122">
        <f>IFERROR(__xludf.DUMMYFUNCTION("""COMPUTED_VALUE"""),10.0)</f>
        <v>10</v>
      </c>
      <c r="F47" s="122" t="str">
        <f>IFERROR(__xludf.DUMMYFUNCTION("""COMPUTED_VALUE"""),"HS202")</f>
        <v>HS202</v>
      </c>
      <c r="G47" s="122" t="str">
        <f>IFERROR(__xludf.DUMMYFUNCTION("""COMPUTED_VALUE"""),"Homeroom")</f>
        <v>Homeroom</v>
      </c>
      <c r="H47" s="122" t="str">
        <f>IFERROR(__xludf.DUMMYFUNCTION("""COMPUTED_VALUE"""),"Present")</f>
        <v>Present</v>
      </c>
      <c r="I47" s="130">
        <f>IFERROR(__xludf.DUMMYFUNCTION("""COMPUTED_VALUE"""),0.3541898148148148)</f>
        <v>0.3541898148</v>
      </c>
      <c r="J47" s="122">
        <f>IFERROR(__xludf.DUMMYFUNCTION("""COMPUTED_VALUE"""),1.0)</f>
        <v>1</v>
      </c>
      <c r="K47" s="123">
        <f>IFERROR(__xludf.DUMMYFUNCTION("""COMPUTED_VALUE"""),10.0)</f>
        <v>10</v>
      </c>
      <c r="L47" s="122" t="str">
        <f>IFERROR(__xludf.DUMMYFUNCTION("""COMPUTED_VALUE"""),"On-time reward applied")</f>
        <v>On-time reward applied</v>
      </c>
      <c r="M47" s="122" t="str">
        <f>IFERROR(__xludf.DUMMYFUNCTION("""COMPUTED_VALUE"""),"Success")</f>
        <v>Success</v>
      </c>
    </row>
    <row r="48">
      <c r="A48" s="129">
        <f>IFERROR(__xludf.DUMMYFUNCTION("""COMPUTED_VALUE"""),46174.35523148148)</f>
        <v>46174.35523</v>
      </c>
      <c r="B48" s="126">
        <f>IFERROR(__xludf.DUMMYFUNCTION("""COMPUTED_VALUE"""),46174.0)</f>
        <v>46174</v>
      </c>
      <c r="C48" s="122" t="str">
        <f>IFERROR(__xludf.DUMMYFUNCTION("""COMPUTED_VALUE"""),"7c4e261e")</f>
        <v>7c4e261e</v>
      </c>
      <c r="D48" s="122" t="str">
        <f>IFERROR(__xludf.DUMMYFUNCTION("""COMPUTED_VALUE"""),"Suha Lee")</f>
        <v>Suha Lee</v>
      </c>
      <c r="E48" s="122">
        <f>IFERROR(__xludf.DUMMYFUNCTION("""COMPUTED_VALUE"""),10.0)</f>
        <v>10</v>
      </c>
      <c r="F48" s="122" t="str">
        <f>IFERROR(__xludf.DUMMYFUNCTION("""COMPUTED_VALUE"""),"HS202")</f>
        <v>HS202</v>
      </c>
      <c r="G48" s="122" t="str">
        <f>IFERROR(__xludf.DUMMYFUNCTION("""COMPUTED_VALUE"""),"Homeroom")</f>
        <v>Homeroom</v>
      </c>
      <c r="H48" s="122" t="str">
        <f>IFERROR(__xludf.DUMMYFUNCTION("""COMPUTED_VALUE"""),"Present")</f>
        <v>Present</v>
      </c>
      <c r="I48" s="130">
        <f>IFERROR(__xludf.DUMMYFUNCTION("""COMPUTED_VALUE"""),0.3552314814814815)</f>
        <v>0.3552314815</v>
      </c>
      <c r="J48" s="122">
        <f>IFERROR(__xludf.DUMMYFUNCTION("""COMPUTED_VALUE"""),1.0)</f>
        <v>1</v>
      </c>
      <c r="K48" s="123">
        <f>IFERROR(__xludf.DUMMYFUNCTION("""COMPUTED_VALUE"""),10.0)</f>
        <v>10</v>
      </c>
      <c r="L48" s="122" t="str">
        <f>IFERROR(__xludf.DUMMYFUNCTION("""COMPUTED_VALUE"""),"On-time reward applied")</f>
        <v>On-time reward applied</v>
      </c>
      <c r="M48" s="122" t="str">
        <f>IFERROR(__xludf.DUMMYFUNCTION("""COMPUTED_VALUE"""),"Success")</f>
        <v>Success</v>
      </c>
    </row>
    <row r="49">
      <c r="A49" s="129">
        <f>IFERROR(__xludf.DUMMYFUNCTION("""COMPUTED_VALUE"""),46174.36565972222)</f>
        <v>46174.36566</v>
      </c>
      <c r="B49" s="126">
        <f>IFERROR(__xludf.DUMMYFUNCTION("""COMPUTED_VALUE"""),46174.0)</f>
        <v>46174</v>
      </c>
      <c r="C49" s="122" t="str">
        <f>IFERROR(__xludf.DUMMYFUNCTION("""COMPUTED_VALUE"""),"5a032611")</f>
        <v>5a032611</v>
      </c>
      <c r="D49" s="122" t="str">
        <f>IFERROR(__xludf.DUMMYFUNCTION("""COMPUTED_VALUE"""),"Harold Dou")</f>
        <v>Harold Dou</v>
      </c>
      <c r="E49" s="122">
        <f>IFERROR(__xludf.DUMMYFUNCTION("""COMPUTED_VALUE"""),10.0)</f>
        <v>10</v>
      </c>
      <c r="F49" s="122" t="str">
        <f>IFERROR(__xludf.DUMMYFUNCTION("""COMPUTED_VALUE"""),"HS202")</f>
        <v>HS202</v>
      </c>
      <c r="G49" s="122" t="str">
        <f>IFERROR(__xludf.DUMMYFUNCTION("""COMPUTED_VALUE"""),"Homeroom")</f>
        <v>Homeroom</v>
      </c>
      <c r="H49" s="122" t="str">
        <f>IFERROR(__xludf.DUMMYFUNCTION("""COMPUTED_VALUE"""),"Late")</f>
        <v>Late</v>
      </c>
      <c r="I49" s="130">
        <f>IFERROR(__xludf.DUMMYFUNCTION("""COMPUTED_VALUE"""),0.3656597222222222)</f>
        <v>0.3656597222</v>
      </c>
      <c r="J49" s="122">
        <f>IFERROR(__xludf.DUMMYFUNCTION("""COMPUTED_VALUE"""),0.0)</f>
        <v>0</v>
      </c>
      <c r="K49" s="123">
        <f>IFERROR(__xludf.DUMMYFUNCTION("""COMPUTED_VALUE"""),0.0)</f>
        <v>0</v>
      </c>
      <c r="L49" s="122" t="str">
        <f>IFERROR(__xludf.DUMMYFUNCTION("""COMPUTED_VALUE"""),"Late penalty applied")</f>
        <v>Late penalty applied</v>
      </c>
      <c r="M49" s="122" t="str">
        <f>IFERROR(__xludf.DUMMYFUNCTION("""COMPUTED_VALUE"""),"Success")</f>
        <v>Success</v>
      </c>
    </row>
    <row r="50">
      <c r="A50" s="129">
        <f>IFERROR(__xludf.DUMMYFUNCTION("""COMPUTED_VALUE"""),46174.367685185185)</f>
        <v>46174.36769</v>
      </c>
      <c r="B50" s="126">
        <f>IFERROR(__xludf.DUMMYFUNCTION("""COMPUTED_VALUE"""),46174.0)</f>
        <v>46174</v>
      </c>
      <c r="C50" s="122" t="str">
        <f>IFERROR(__xludf.DUMMYFUNCTION("""COMPUTED_VALUE"""),"9a5f2811")</f>
        <v>9a5f2811</v>
      </c>
      <c r="D50" s="122" t="str">
        <f>IFERROR(__xludf.DUMMYFUNCTION("""COMPUTED_VALUE"""),"Junyoung Yoo")</f>
        <v>Junyoung Yoo</v>
      </c>
      <c r="E50" s="122">
        <f>IFERROR(__xludf.DUMMYFUNCTION("""COMPUTED_VALUE"""),10.0)</f>
        <v>10</v>
      </c>
      <c r="F50" s="122" t="str">
        <f>IFERROR(__xludf.DUMMYFUNCTION("""COMPUTED_VALUE"""),"HS202")</f>
        <v>HS202</v>
      </c>
      <c r="G50" s="122" t="str">
        <f>IFERROR(__xludf.DUMMYFUNCTION("""COMPUTED_VALUE"""),"Homeroom")</f>
        <v>Homeroom</v>
      </c>
      <c r="H50" s="122" t="str">
        <f>IFERROR(__xludf.DUMMYFUNCTION("""COMPUTED_VALUE"""),"Late")</f>
        <v>Late</v>
      </c>
      <c r="I50" s="130">
        <f>IFERROR(__xludf.DUMMYFUNCTION("""COMPUTED_VALUE"""),0.36768518518518517)</f>
        <v>0.3676851852</v>
      </c>
      <c r="J50" s="122">
        <f>IFERROR(__xludf.DUMMYFUNCTION("""COMPUTED_VALUE"""),0.0)</f>
        <v>0</v>
      </c>
      <c r="K50" s="123">
        <f>IFERROR(__xludf.DUMMYFUNCTION("""COMPUTED_VALUE"""),0.0)</f>
        <v>0</v>
      </c>
      <c r="L50" s="122" t="str">
        <f>IFERROR(__xludf.DUMMYFUNCTION("""COMPUTED_VALUE"""),"Late penalty applied")</f>
        <v>Late penalty applied</v>
      </c>
      <c r="M50" s="122" t="str">
        <f>IFERROR(__xludf.DUMMYFUNCTION("""COMPUTED_VALUE"""),"Success")</f>
        <v>Success</v>
      </c>
    </row>
    <row r="51">
      <c r="A51" s="129">
        <f>IFERROR(__xludf.DUMMYFUNCTION("""COMPUTED_VALUE"""),46174.369108796294)</f>
        <v>46174.36911</v>
      </c>
      <c r="B51" s="126">
        <f>IFERROR(__xludf.DUMMYFUNCTION("""COMPUTED_VALUE"""),46174.0)</f>
        <v>46174</v>
      </c>
      <c r="C51" s="122" t="str">
        <f>IFERROR(__xludf.DUMMYFUNCTION("""COMPUTED_VALUE"""),"ba0fc5c4")</f>
        <v>ba0fc5c4</v>
      </c>
      <c r="D51" s="122" t="str">
        <f>IFERROR(__xludf.DUMMYFUNCTION("""COMPUTED_VALUE"""),"Junwoo Kang")</f>
        <v>Junwoo Kang</v>
      </c>
      <c r="E51" s="122">
        <f>IFERROR(__xludf.DUMMYFUNCTION("""COMPUTED_VALUE"""),10.0)</f>
        <v>10</v>
      </c>
      <c r="F51" s="122" t="str">
        <f>IFERROR(__xludf.DUMMYFUNCTION("""COMPUTED_VALUE"""),"HS202")</f>
        <v>HS202</v>
      </c>
      <c r="G51" s="122" t="str">
        <f>IFERROR(__xludf.DUMMYFUNCTION("""COMPUTED_VALUE"""),"Homeroom")</f>
        <v>Homeroom</v>
      </c>
      <c r="H51" s="122" t="str">
        <f>IFERROR(__xludf.DUMMYFUNCTION("""COMPUTED_VALUE"""),"Late")</f>
        <v>Late</v>
      </c>
      <c r="I51" s="130">
        <f>IFERROR(__xludf.DUMMYFUNCTION("""COMPUTED_VALUE"""),0.3691087962962963)</f>
        <v>0.3691087963</v>
      </c>
      <c r="J51" s="122">
        <f>IFERROR(__xludf.DUMMYFUNCTION("""COMPUTED_VALUE"""),0.0)</f>
        <v>0</v>
      </c>
      <c r="K51" s="123">
        <f>IFERROR(__xludf.DUMMYFUNCTION("""COMPUTED_VALUE"""),0.0)</f>
        <v>0</v>
      </c>
      <c r="L51" s="122" t="str">
        <f>IFERROR(__xludf.DUMMYFUNCTION("""COMPUTED_VALUE"""),"Late penalty not applied: insufficient balance")</f>
        <v>Late penalty not applied: insufficient balance</v>
      </c>
      <c r="M51" s="122" t="str">
        <f>IFERROR(__xludf.DUMMYFUNCTION("""COMPUTED_VALUE"""),"Success")</f>
        <v>Success</v>
      </c>
    </row>
    <row r="52">
      <c r="A52" s="129">
        <f>IFERROR(__xludf.DUMMYFUNCTION("""COMPUTED_VALUE"""),46174.37559027778)</f>
        <v>46174.37559</v>
      </c>
      <c r="B52" s="126">
        <f>IFERROR(__xludf.DUMMYFUNCTION("""COMPUTED_VALUE"""),46174.0)</f>
        <v>46174</v>
      </c>
      <c r="C52" s="122" t="str">
        <f>IFERROR(__xludf.DUMMYFUNCTION("""COMPUTED_VALUE"""),"1e3e1410")</f>
        <v>1e3e1410</v>
      </c>
      <c r="D52" s="122" t="str">
        <f>IFERROR(__xludf.DUMMYFUNCTION("""COMPUTED_VALUE"""),"Junjae Park")</f>
        <v>Junjae Park</v>
      </c>
      <c r="E52" s="122">
        <f>IFERROR(__xludf.DUMMYFUNCTION("""COMPUTED_VALUE"""),10.0)</f>
        <v>10</v>
      </c>
      <c r="F52" s="122" t="str">
        <f>IFERROR(__xludf.DUMMYFUNCTION("""COMPUTED_VALUE"""),"HS202")</f>
        <v>HS202</v>
      </c>
      <c r="G52" s="122" t="str">
        <f>IFERROR(__xludf.DUMMYFUNCTION("""COMPUTED_VALUE"""),"Homeroom")</f>
        <v>Homeroom</v>
      </c>
      <c r="H52" s="122" t="str">
        <f>IFERROR(__xludf.DUMMYFUNCTION("""COMPUTED_VALUE"""),"Late")</f>
        <v>Late</v>
      </c>
      <c r="I52" s="130">
        <f>IFERROR(__xludf.DUMMYFUNCTION("""COMPUTED_VALUE"""),0.37559027777777776)</f>
        <v>0.3755902778</v>
      </c>
      <c r="J52" s="122">
        <f>IFERROR(__xludf.DUMMYFUNCTION("""COMPUTED_VALUE"""),0.0)</f>
        <v>0</v>
      </c>
      <c r="K52" s="123">
        <f>IFERROR(__xludf.DUMMYFUNCTION("""COMPUTED_VALUE"""),0.0)</f>
        <v>0</v>
      </c>
      <c r="L52" s="122" t="str">
        <f>IFERROR(__xludf.DUMMYFUNCTION("""COMPUTED_VALUE"""),"Late penalty applied")</f>
        <v>Late penalty applied</v>
      </c>
      <c r="M52" s="122" t="str">
        <f>IFERROR(__xludf.DUMMYFUNCTION("""COMPUTED_VALUE"""),"Success")</f>
        <v>Success</v>
      </c>
    </row>
    <row r="53">
      <c r="A53" s="129">
        <f>IFERROR(__xludf.DUMMYFUNCTION("""COMPUTED_VALUE"""),46175.34787037037)</f>
        <v>46175.34787</v>
      </c>
      <c r="B53" s="126">
        <f>IFERROR(__xludf.DUMMYFUNCTION("""COMPUTED_VALUE"""),46175.0)</f>
        <v>46175</v>
      </c>
      <c r="C53" s="122" t="str">
        <f>IFERROR(__xludf.DUMMYFUNCTION("""COMPUTED_VALUE"""),"5c07fef4")</f>
        <v>5c07fef4</v>
      </c>
      <c r="D53" s="122" t="str">
        <f>IFERROR(__xludf.DUMMYFUNCTION("""COMPUTED_VALUE"""),"Tiffany Kim")</f>
        <v>Tiffany Kim</v>
      </c>
      <c r="E53" s="122">
        <f>IFERROR(__xludf.DUMMYFUNCTION("""COMPUTED_VALUE"""),10.0)</f>
        <v>10</v>
      </c>
      <c r="F53" s="122" t="str">
        <f>IFERROR(__xludf.DUMMYFUNCTION("""COMPUTED_VALUE"""),"HS202")</f>
        <v>HS202</v>
      </c>
      <c r="G53" s="122" t="str">
        <f>IFERROR(__xludf.DUMMYFUNCTION("""COMPUTED_VALUE"""),"Homeroom")</f>
        <v>Homeroom</v>
      </c>
      <c r="H53" s="122" t="str">
        <f>IFERROR(__xludf.DUMMYFUNCTION("""COMPUTED_VALUE"""),"Present")</f>
        <v>Present</v>
      </c>
      <c r="I53" s="130">
        <f>IFERROR(__xludf.DUMMYFUNCTION("""COMPUTED_VALUE"""),0.3478703703703704)</f>
        <v>0.3478703704</v>
      </c>
      <c r="J53" s="122">
        <f>IFERROR(__xludf.DUMMYFUNCTION("""COMPUTED_VALUE"""),2.0)</f>
        <v>2</v>
      </c>
      <c r="K53" s="123">
        <f>IFERROR(__xludf.DUMMYFUNCTION("""COMPUTED_VALUE"""),10.0)</f>
        <v>10</v>
      </c>
      <c r="L53" s="122" t="str">
        <f>IFERROR(__xludf.DUMMYFUNCTION("""COMPUTED_VALUE"""),"On-time reward applied")</f>
        <v>On-time reward applied</v>
      </c>
      <c r="M53" s="122" t="str">
        <f>IFERROR(__xludf.DUMMYFUNCTION("""COMPUTED_VALUE"""),"Success")</f>
        <v>Success</v>
      </c>
    </row>
    <row r="54">
      <c r="A54" s="129">
        <f>IFERROR(__xludf.DUMMYFUNCTION("""COMPUTED_VALUE"""),46175.34984953704)</f>
        <v>46175.34985</v>
      </c>
      <c r="B54" s="126">
        <f>IFERROR(__xludf.DUMMYFUNCTION("""COMPUTED_VALUE"""),46175.0)</f>
        <v>46175</v>
      </c>
      <c r="C54" s="122" t="str">
        <f>IFERROR(__xludf.DUMMYFUNCTION("""COMPUTED_VALUE"""),"ae072910")</f>
        <v>ae072910</v>
      </c>
      <c r="D54" s="122" t="str">
        <f>IFERROR(__xludf.DUMMYFUNCTION("""COMPUTED_VALUE"""),"Selena Jung")</f>
        <v>Selena Jung</v>
      </c>
      <c r="E54" s="122">
        <f>IFERROR(__xludf.DUMMYFUNCTION("""COMPUTED_VALUE"""),10.0)</f>
        <v>10</v>
      </c>
      <c r="F54" s="122" t="str">
        <f>IFERROR(__xludf.DUMMYFUNCTION("""COMPUTED_VALUE"""),"HS202")</f>
        <v>HS202</v>
      </c>
      <c r="G54" s="122" t="str">
        <f>IFERROR(__xludf.DUMMYFUNCTION("""COMPUTED_VALUE"""),"Homeroom")</f>
        <v>Homeroom</v>
      </c>
      <c r="H54" s="122" t="str">
        <f>IFERROR(__xludf.DUMMYFUNCTION("""COMPUTED_VALUE"""),"Present")</f>
        <v>Present</v>
      </c>
      <c r="I54" s="130">
        <f>IFERROR(__xludf.DUMMYFUNCTION("""COMPUTED_VALUE"""),0.34984953703703703)</f>
        <v>0.349849537</v>
      </c>
      <c r="J54" s="122">
        <f>IFERROR(__xludf.DUMMYFUNCTION("""COMPUTED_VALUE"""),2.0)</f>
        <v>2</v>
      </c>
      <c r="K54" s="123">
        <f>IFERROR(__xludf.DUMMYFUNCTION("""COMPUTED_VALUE"""),10.0)</f>
        <v>10</v>
      </c>
      <c r="L54" s="122" t="str">
        <f>IFERROR(__xludf.DUMMYFUNCTION("""COMPUTED_VALUE"""),"On-time reward applied")</f>
        <v>On-time reward applied</v>
      </c>
      <c r="M54" s="122" t="str">
        <f>IFERROR(__xludf.DUMMYFUNCTION("""COMPUTED_VALUE"""),"Success")</f>
        <v>Success</v>
      </c>
    </row>
    <row r="55">
      <c r="A55" s="129">
        <f>IFERROR(__xludf.DUMMYFUNCTION("""COMPUTED_VALUE"""),46175.35034722222)</f>
        <v>46175.35035</v>
      </c>
      <c r="B55" s="126">
        <f>IFERROR(__xludf.DUMMYFUNCTION("""COMPUTED_VALUE"""),46175.0)</f>
        <v>46175</v>
      </c>
      <c r="C55" s="122" t="str">
        <f>IFERROR(__xludf.DUMMYFUNCTION("""COMPUTED_VALUE"""),"dc04eef4")</f>
        <v>dc04eef4</v>
      </c>
      <c r="D55" s="122" t="str">
        <f>IFERROR(__xludf.DUMMYFUNCTION("""COMPUTED_VALUE"""),"Joshua Jung")</f>
        <v>Joshua Jung</v>
      </c>
      <c r="E55" s="122">
        <f>IFERROR(__xludf.DUMMYFUNCTION("""COMPUTED_VALUE"""),10.0)</f>
        <v>10</v>
      </c>
      <c r="F55" s="122" t="str">
        <f>IFERROR(__xludf.DUMMYFUNCTION("""COMPUTED_VALUE"""),"HS202")</f>
        <v>HS202</v>
      </c>
      <c r="G55" s="122" t="str">
        <f>IFERROR(__xludf.DUMMYFUNCTION("""COMPUTED_VALUE"""),"Homeroom")</f>
        <v>Homeroom</v>
      </c>
      <c r="H55" s="122" t="str">
        <f>IFERROR(__xludf.DUMMYFUNCTION("""COMPUTED_VALUE"""),"Present")</f>
        <v>Present</v>
      </c>
      <c r="I55" s="130">
        <f>IFERROR(__xludf.DUMMYFUNCTION("""COMPUTED_VALUE"""),0.3503472222222222)</f>
        <v>0.3503472222</v>
      </c>
      <c r="J55" s="122">
        <f>IFERROR(__xludf.DUMMYFUNCTION("""COMPUTED_VALUE"""),2.0)</f>
        <v>2</v>
      </c>
      <c r="K55" s="123">
        <f>IFERROR(__xludf.DUMMYFUNCTION("""COMPUTED_VALUE"""),10.0)</f>
        <v>10</v>
      </c>
      <c r="L55" s="122" t="str">
        <f>IFERROR(__xludf.DUMMYFUNCTION("""COMPUTED_VALUE"""),"On-time reward applied")</f>
        <v>On-time reward applied</v>
      </c>
      <c r="M55" s="122" t="str">
        <f>IFERROR(__xludf.DUMMYFUNCTION("""COMPUTED_VALUE"""),"Success")</f>
        <v>Success</v>
      </c>
    </row>
    <row r="56">
      <c r="A56" s="129">
        <f>IFERROR(__xludf.DUMMYFUNCTION("""COMPUTED_VALUE"""),46175.35125)</f>
        <v>46175.35125</v>
      </c>
      <c r="B56" s="126">
        <f>IFERROR(__xludf.DUMMYFUNCTION("""COMPUTED_VALUE"""),46175.0)</f>
        <v>46175</v>
      </c>
      <c r="C56" s="122" t="str">
        <f>IFERROR(__xludf.DUMMYFUNCTION("""COMPUTED_VALUE"""),"ba912211")</f>
        <v>ba912211</v>
      </c>
      <c r="D56" s="122" t="str">
        <f>IFERROR(__xludf.DUMMYFUNCTION("""COMPUTED_VALUE"""),"Daisy Dou")</f>
        <v>Daisy Dou</v>
      </c>
      <c r="E56" s="122">
        <f>IFERROR(__xludf.DUMMYFUNCTION("""COMPUTED_VALUE"""),10.0)</f>
        <v>10</v>
      </c>
      <c r="F56" s="122" t="str">
        <f>IFERROR(__xludf.DUMMYFUNCTION("""COMPUTED_VALUE"""),"HS202")</f>
        <v>HS202</v>
      </c>
      <c r="G56" s="122" t="str">
        <f>IFERROR(__xludf.DUMMYFUNCTION("""COMPUTED_VALUE"""),"Homeroom")</f>
        <v>Homeroom</v>
      </c>
      <c r="H56" s="122" t="str">
        <f>IFERROR(__xludf.DUMMYFUNCTION("""COMPUTED_VALUE"""),"Present")</f>
        <v>Present</v>
      </c>
      <c r="I56" s="130">
        <f>IFERROR(__xludf.DUMMYFUNCTION("""COMPUTED_VALUE"""),0.35125)</f>
        <v>0.35125</v>
      </c>
      <c r="J56" s="122">
        <f>IFERROR(__xludf.DUMMYFUNCTION("""COMPUTED_VALUE"""),2.0)</f>
        <v>2</v>
      </c>
      <c r="K56" s="123">
        <f>IFERROR(__xludf.DUMMYFUNCTION("""COMPUTED_VALUE"""),10.0)</f>
        <v>10</v>
      </c>
      <c r="L56" s="122" t="str">
        <f>IFERROR(__xludf.DUMMYFUNCTION("""COMPUTED_VALUE"""),"On-time reward applied")</f>
        <v>On-time reward applied</v>
      </c>
      <c r="M56" s="122" t="str">
        <f>IFERROR(__xludf.DUMMYFUNCTION("""COMPUTED_VALUE"""),"Success")</f>
        <v>Success</v>
      </c>
    </row>
    <row r="57">
      <c r="A57" s="129">
        <f>IFERROR(__xludf.DUMMYFUNCTION("""COMPUTED_VALUE"""),46175.352476851855)</f>
        <v>46175.35248</v>
      </c>
      <c r="B57" s="126">
        <f>IFERROR(__xludf.DUMMYFUNCTION("""COMPUTED_VALUE"""),46175.0)</f>
        <v>46175</v>
      </c>
      <c r="C57" s="122" t="str">
        <f>IFERROR(__xludf.DUMMYFUNCTION("""COMPUTED_VALUE"""),"babde4c4")</f>
        <v>babde4c4</v>
      </c>
      <c r="D57" s="122" t="str">
        <f>IFERROR(__xludf.DUMMYFUNCTION("""COMPUTED_VALUE"""),"Ashley Guk")</f>
        <v>Ashley Guk</v>
      </c>
      <c r="E57" s="122">
        <f>IFERROR(__xludf.DUMMYFUNCTION("""COMPUTED_VALUE"""),10.0)</f>
        <v>10</v>
      </c>
      <c r="F57" s="122" t="str">
        <f>IFERROR(__xludf.DUMMYFUNCTION("""COMPUTED_VALUE"""),"HS202")</f>
        <v>HS202</v>
      </c>
      <c r="G57" s="122" t="str">
        <f>IFERROR(__xludf.DUMMYFUNCTION("""COMPUTED_VALUE"""),"Homeroom")</f>
        <v>Homeroom</v>
      </c>
      <c r="H57" s="122" t="str">
        <f>IFERROR(__xludf.DUMMYFUNCTION("""COMPUTED_VALUE"""),"Present")</f>
        <v>Present</v>
      </c>
      <c r="I57" s="130">
        <f>IFERROR(__xludf.DUMMYFUNCTION("""COMPUTED_VALUE"""),0.35247685185185185)</f>
        <v>0.3524768519</v>
      </c>
      <c r="J57" s="122">
        <f>IFERROR(__xludf.DUMMYFUNCTION("""COMPUTED_VALUE"""),2.0)</f>
        <v>2</v>
      </c>
      <c r="K57" s="123">
        <f>IFERROR(__xludf.DUMMYFUNCTION("""COMPUTED_VALUE"""),10.0)</f>
        <v>10</v>
      </c>
      <c r="L57" s="122" t="str">
        <f>IFERROR(__xludf.DUMMYFUNCTION("""COMPUTED_VALUE"""),"On-time reward applied")</f>
        <v>On-time reward applied</v>
      </c>
      <c r="M57" s="122" t="str">
        <f>IFERROR(__xludf.DUMMYFUNCTION("""COMPUTED_VALUE"""),"Success")</f>
        <v>Success</v>
      </c>
    </row>
    <row r="58">
      <c r="A58" s="129">
        <f>IFERROR(__xludf.DUMMYFUNCTION("""COMPUTED_VALUE"""),46175.35579861111)</f>
        <v>46175.3558</v>
      </c>
      <c r="B58" s="126">
        <f>IFERROR(__xludf.DUMMYFUNCTION("""COMPUTED_VALUE"""),46175.0)</f>
        <v>46175</v>
      </c>
      <c r="C58" s="122" t="str">
        <f>IFERROR(__xludf.DUMMYFUNCTION("""COMPUTED_VALUE"""),"9a5f2811")</f>
        <v>9a5f2811</v>
      </c>
      <c r="D58" s="122" t="str">
        <f>IFERROR(__xludf.DUMMYFUNCTION("""COMPUTED_VALUE"""),"Junyoung Yoo")</f>
        <v>Junyoung Yoo</v>
      </c>
      <c r="E58" s="122">
        <f>IFERROR(__xludf.DUMMYFUNCTION("""COMPUTED_VALUE"""),10.0)</f>
        <v>10</v>
      </c>
      <c r="F58" s="122" t="str">
        <f>IFERROR(__xludf.DUMMYFUNCTION("""COMPUTED_VALUE"""),"HS202")</f>
        <v>HS202</v>
      </c>
      <c r="G58" s="122" t="str">
        <f>IFERROR(__xludf.DUMMYFUNCTION("""COMPUTED_VALUE"""),"Homeroom")</f>
        <v>Homeroom</v>
      </c>
      <c r="H58" s="122" t="str">
        <f>IFERROR(__xludf.DUMMYFUNCTION("""COMPUTED_VALUE"""),"Present")</f>
        <v>Present</v>
      </c>
      <c r="I58" s="130">
        <f>IFERROR(__xludf.DUMMYFUNCTION("""COMPUTED_VALUE"""),0.3557986111111111)</f>
        <v>0.3557986111</v>
      </c>
      <c r="J58" s="122">
        <f>IFERROR(__xludf.DUMMYFUNCTION("""COMPUTED_VALUE"""),1.0)</f>
        <v>1</v>
      </c>
      <c r="K58" s="123">
        <f>IFERROR(__xludf.DUMMYFUNCTION("""COMPUTED_VALUE"""),10.0)</f>
        <v>10</v>
      </c>
      <c r="L58" s="122" t="str">
        <f>IFERROR(__xludf.DUMMYFUNCTION("""COMPUTED_VALUE"""),"On-time reward applied")</f>
        <v>On-time reward applied</v>
      </c>
      <c r="M58" s="122" t="str">
        <f>IFERROR(__xludf.DUMMYFUNCTION("""COMPUTED_VALUE"""),"Success")</f>
        <v>Success</v>
      </c>
    </row>
    <row r="59">
      <c r="A59" s="129">
        <f>IFERROR(__xludf.DUMMYFUNCTION("""COMPUTED_VALUE"""),46175.35594907407)</f>
        <v>46175.35595</v>
      </c>
      <c r="B59" s="126">
        <f>IFERROR(__xludf.DUMMYFUNCTION("""COMPUTED_VALUE"""),46175.0)</f>
        <v>46175</v>
      </c>
      <c r="C59" s="122" t="str">
        <f>IFERROR(__xludf.DUMMYFUNCTION("""COMPUTED_VALUE"""),"1e3e1410")</f>
        <v>1e3e1410</v>
      </c>
      <c r="D59" s="122" t="str">
        <f>IFERROR(__xludf.DUMMYFUNCTION("""COMPUTED_VALUE"""),"Junjae Park")</f>
        <v>Junjae Park</v>
      </c>
      <c r="E59" s="122">
        <f>IFERROR(__xludf.DUMMYFUNCTION("""COMPUTED_VALUE"""),10.0)</f>
        <v>10</v>
      </c>
      <c r="F59" s="122" t="str">
        <f>IFERROR(__xludf.DUMMYFUNCTION("""COMPUTED_VALUE"""),"HS202")</f>
        <v>HS202</v>
      </c>
      <c r="G59" s="122" t="str">
        <f>IFERROR(__xludf.DUMMYFUNCTION("""COMPUTED_VALUE"""),"Homeroom")</f>
        <v>Homeroom</v>
      </c>
      <c r="H59" s="122" t="str">
        <f>IFERROR(__xludf.DUMMYFUNCTION("""COMPUTED_VALUE"""),"Present")</f>
        <v>Present</v>
      </c>
      <c r="I59" s="130">
        <f>IFERROR(__xludf.DUMMYFUNCTION("""COMPUTED_VALUE"""),0.35594907407407406)</f>
        <v>0.3559490741</v>
      </c>
      <c r="J59" s="122">
        <f>IFERROR(__xludf.DUMMYFUNCTION("""COMPUTED_VALUE"""),1.0)</f>
        <v>1</v>
      </c>
      <c r="K59" s="123">
        <f>IFERROR(__xludf.DUMMYFUNCTION("""COMPUTED_VALUE"""),10.0)</f>
        <v>10</v>
      </c>
      <c r="L59" s="122" t="str">
        <f>IFERROR(__xludf.DUMMYFUNCTION("""COMPUTED_VALUE"""),"On-time reward applied")</f>
        <v>On-time reward applied</v>
      </c>
      <c r="M59" s="122" t="str">
        <f>IFERROR(__xludf.DUMMYFUNCTION("""COMPUTED_VALUE"""),"Success")</f>
        <v>Success</v>
      </c>
    </row>
    <row r="60">
      <c r="A60" s="129">
        <f>IFERROR(__xludf.DUMMYFUNCTION("""COMPUTED_VALUE"""),46175.35625)</f>
        <v>46175.35625</v>
      </c>
      <c r="B60" s="126">
        <f>IFERROR(__xludf.DUMMYFUNCTION("""COMPUTED_VALUE"""),46175.0)</f>
        <v>46175</v>
      </c>
      <c r="C60" s="122" t="str">
        <f>IFERROR(__xludf.DUMMYFUNCTION("""COMPUTED_VALUE"""),"ba353911")</f>
        <v>ba353911</v>
      </c>
      <c r="D60" s="122" t="str">
        <f>IFERROR(__xludf.DUMMYFUNCTION("""COMPUTED_VALUE"""),"Dayeon Kang")</f>
        <v>Dayeon Kang</v>
      </c>
      <c r="E60" s="122">
        <f>IFERROR(__xludf.DUMMYFUNCTION("""COMPUTED_VALUE"""),10.0)</f>
        <v>10</v>
      </c>
      <c r="F60" s="122" t="str">
        <f>IFERROR(__xludf.DUMMYFUNCTION("""COMPUTED_VALUE"""),"HS202")</f>
        <v>HS202</v>
      </c>
      <c r="G60" s="122" t="str">
        <f>IFERROR(__xludf.DUMMYFUNCTION("""COMPUTED_VALUE"""),"Homeroom")</f>
        <v>Homeroom</v>
      </c>
      <c r="H60" s="122" t="str">
        <f>IFERROR(__xludf.DUMMYFUNCTION("""COMPUTED_VALUE"""),"Present")</f>
        <v>Present</v>
      </c>
      <c r="I60" s="130">
        <f>IFERROR(__xludf.DUMMYFUNCTION("""COMPUTED_VALUE"""),0.35625)</f>
        <v>0.35625</v>
      </c>
      <c r="J60" s="122">
        <f>IFERROR(__xludf.DUMMYFUNCTION("""COMPUTED_VALUE"""),2.0)</f>
        <v>2</v>
      </c>
      <c r="K60" s="123">
        <f>IFERROR(__xludf.DUMMYFUNCTION("""COMPUTED_VALUE"""),10.0)</f>
        <v>10</v>
      </c>
      <c r="L60" s="122" t="str">
        <f>IFERROR(__xludf.DUMMYFUNCTION("""COMPUTED_VALUE"""),"On-time reward applied")</f>
        <v>On-time reward applied</v>
      </c>
      <c r="M60" s="122" t="str">
        <f>IFERROR(__xludf.DUMMYFUNCTION("""COMPUTED_VALUE"""),"Success")</f>
        <v>Success</v>
      </c>
    </row>
    <row r="61">
      <c r="A61" s="129">
        <f>IFERROR(__xludf.DUMMYFUNCTION("""COMPUTED_VALUE"""),46175.3575462963)</f>
        <v>46175.35755</v>
      </c>
      <c r="B61" s="126">
        <f>IFERROR(__xludf.DUMMYFUNCTION("""COMPUTED_VALUE"""),46175.0)</f>
        <v>46175</v>
      </c>
      <c r="C61" s="122" t="str">
        <f>IFERROR(__xludf.DUMMYFUNCTION("""COMPUTED_VALUE"""),"5a032611")</f>
        <v>5a032611</v>
      </c>
      <c r="D61" s="122" t="str">
        <f>IFERROR(__xludf.DUMMYFUNCTION("""COMPUTED_VALUE"""),"Harold Dou")</f>
        <v>Harold Dou</v>
      </c>
      <c r="E61" s="122">
        <f>IFERROR(__xludf.DUMMYFUNCTION("""COMPUTED_VALUE"""),10.0)</f>
        <v>10</v>
      </c>
      <c r="F61" s="122" t="str">
        <f>IFERROR(__xludf.DUMMYFUNCTION("""COMPUTED_VALUE"""),"HS202")</f>
        <v>HS202</v>
      </c>
      <c r="G61" s="122" t="str">
        <f>IFERROR(__xludf.DUMMYFUNCTION("""COMPUTED_VALUE"""),"Homeroom")</f>
        <v>Homeroom</v>
      </c>
      <c r="H61" s="122" t="str">
        <f>IFERROR(__xludf.DUMMYFUNCTION("""COMPUTED_VALUE"""),"Present")</f>
        <v>Present</v>
      </c>
      <c r="I61" s="130">
        <f>IFERROR(__xludf.DUMMYFUNCTION("""COMPUTED_VALUE"""),0.3575462962962963)</f>
        <v>0.3575462963</v>
      </c>
      <c r="J61" s="122">
        <f>IFERROR(__xludf.DUMMYFUNCTION("""COMPUTED_VALUE"""),1.0)</f>
        <v>1</v>
      </c>
      <c r="K61" s="123">
        <f>IFERROR(__xludf.DUMMYFUNCTION("""COMPUTED_VALUE"""),10.0)</f>
        <v>10</v>
      </c>
      <c r="L61" s="122" t="str">
        <f>IFERROR(__xludf.DUMMYFUNCTION("""COMPUTED_VALUE"""),"On-time reward applied")</f>
        <v>On-time reward applied</v>
      </c>
      <c r="M61" s="122" t="str">
        <f>IFERROR(__xludf.DUMMYFUNCTION("""COMPUTED_VALUE"""),"Success")</f>
        <v>Success</v>
      </c>
    </row>
    <row r="62">
      <c r="A62" s="129">
        <f>IFERROR(__xludf.DUMMYFUNCTION("""COMPUTED_VALUE"""),46175.35768518518)</f>
        <v>46175.35769</v>
      </c>
      <c r="B62" s="126">
        <f>IFERROR(__xludf.DUMMYFUNCTION("""COMPUTED_VALUE"""),46175.0)</f>
        <v>46175</v>
      </c>
      <c r="C62" s="122" t="str">
        <f>IFERROR(__xludf.DUMMYFUNCTION("""COMPUTED_VALUE"""),"7c4e261e")</f>
        <v>7c4e261e</v>
      </c>
      <c r="D62" s="122" t="str">
        <f>IFERROR(__xludf.DUMMYFUNCTION("""COMPUTED_VALUE"""),"Suha Lee")</f>
        <v>Suha Lee</v>
      </c>
      <c r="E62" s="122">
        <f>IFERROR(__xludf.DUMMYFUNCTION("""COMPUTED_VALUE"""),10.0)</f>
        <v>10</v>
      </c>
      <c r="F62" s="122" t="str">
        <f>IFERROR(__xludf.DUMMYFUNCTION("""COMPUTED_VALUE"""),"HS202")</f>
        <v>HS202</v>
      </c>
      <c r="G62" s="122" t="str">
        <f>IFERROR(__xludf.DUMMYFUNCTION("""COMPUTED_VALUE"""),"Homeroom")</f>
        <v>Homeroom</v>
      </c>
      <c r="H62" s="122" t="str">
        <f>IFERROR(__xludf.DUMMYFUNCTION("""COMPUTED_VALUE"""),"Present")</f>
        <v>Present</v>
      </c>
      <c r="I62" s="130">
        <f>IFERROR(__xludf.DUMMYFUNCTION("""COMPUTED_VALUE"""),0.35768518518518516)</f>
        <v>0.3576851852</v>
      </c>
      <c r="J62" s="122">
        <f>IFERROR(__xludf.DUMMYFUNCTION("""COMPUTED_VALUE"""),2.0)</f>
        <v>2</v>
      </c>
      <c r="K62" s="123">
        <f>IFERROR(__xludf.DUMMYFUNCTION("""COMPUTED_VALUE"""),10.0)</f>
        <v>10</v>
      </c>
      <c r="L62" s="122" t="str">
        <f>IFERROR(__xludf.DUMMYFUNCTION("""COMPUTED_VALUE"""),"On-time reward applied")</f>
        <v>On-time reward applied</v>
      </c>
      <c r="M62" s="122" t="str">
        <f>IFERROR(__xludf.DUMMYFUNCTION("""COMPUTED_VALUE"""),"Success")</f>
        <v>Success</v>
      </c>
    </row>
    <row r="63">
      <c r="A63" s="129">
        <f>IFERROR(__xludf.DUMMYFUNCTION("""COMPUTED_VALUE"""),46175.37440972222)</f>
        <v>46175.37441</v>
      </c>
      <c r="B63" s="126">
        <f>IFERROR(__xludf.DUMMYFUNCTION("""COMPUTED_VALUE"""),46175.0)</f>
        <v>46175</v>
      </c>
      <c r="C63" s="122" t="str">
        <f>IFERROR(__xludf.DUMMYFUNCTION("""COMPUTED_VALUE"""),"ba0fc5c4")</f>
        <v>ba0fc5c4</v>
      </c>
      <c r="D63" s="122" t="str">
        <f>IFERROR(__xludf.DUMMYFUNCTION("""COMPUTED_VALUE"""),"Junwoo Kang")</f>
        <v>Junwoo Kang</v>
      </c>
      <c r="E63" s="122">
        <f>IFERROR(__xludf.DUMMYFUNCTION("""COMPUTED_VALUE"""),10.0)</f>
        <v>10</v>
      </c>
      <c r="F63" s="122" t="str">
        <f>IFERROR(__xludf.DUMMYFUNCTION("""COMPUTED_VALUE"""),"HS202")</f>
        <v>HS202</v>
      </c>
      <c r="G63" s="122" t="str">
        <f>IFERROR(__xludf.DUMMYFUNCTION("""COMPUTED_VALUE"""),"Homeroom")</f>
        <v>Homeroom</v>
      </c>
      <c r="H63" s="122" t="str">
        <f>IFERROR(__xludf.DUMMYFUNCTION("""COMPUTED_VALUE"""),"Late")</f>
        <v>Late</v>
      </c>
      <c r="I63" s="130">
        <f>IFERROR(__xludf.DUMMYFUNCTION("""COMPUTED_VALUE"""),0.37440972222222224)</f>
        <v>0.3744097222</v>
      </c>
      <c r="J63" s="122">
        <f>IFERROR(__xludf.DUMMYFUNCTION("""COMPUTED_VALUE"""),0.0)</f>
        <v>0</v>
      </c>
      <c r="K63" s="123">
        <f>IFERROR(__xludf.DUMMYFUNCTION("""COMPUTED_VALUE"""),0.0)</f>
        <v>0</v>
      </c>
      <c r="L63" s="122" t="str">
        <f>IFERROR(__xludf.DUMMYFUNCTION("""COMPUTED_VALUE"""),"Late penalty not applied: insufficient balance")</f>
        <v>Late penalty not applied: insufficient balance</v>
      </c>
      <c r="M63" s="122" t="str">
        <f>IFERROR(__xludf.DUMMYFUNCTION("""COMPUTED_VALUE"""),"Success")</f>
        <v>Success</v>
      </c>
    </row>
    <row r="64">
      <c r="A64" s="129">
        <f>IFERROR(__xludf.DUMMYFUNCTION("""COMPUTED_VALUE"""),46177.34887731481)</f>
        <v>46177.34888</v>
      </c>
      <c r="B64" s="126">
        <f>IFERROR(__xludf.DUMMYFUNCTION("""COMPUTED_VALUE"""),46177.0)</f>
        <v>46177</v>
      </c>
      <c r="C64" s="122" t="str">
        <f>IFERROR(__xludf.DUMMYFUNCTION("""COMPUTED_VALUE"""),"babde4c4")</f>
        <v>babde4c4</v>
      </c>
      <c r="D64" s="122" t="str">
        <f>IFERROR(__xludf.DUMMYFUNCTION("""COMPUTED_VALUE"""),"Ashley Guk")</f>
        <v>Ashley Guk</v>
      </c>
      <c r="E64" s="122">
        <f>IFERROR(__xludf.DUMMYFUNCTION("""COMPUTED_VALUE"""),10.0)</f>
        <v>10</v>
      </c>
      <c r="F64" s="122" t="str">
        <f>IFERROR(__xludf.DUMMYFUNCTION("""COMPUTED_VALUE"""),"HS202")</f>
        <v>HS202</v>
      </c>
      <c r="G64" s="122" t="str">
        <f>IFERROR(__xludf.DUMMYFUNCTION("""COMPUTED_VALUE"""),"Homeroom")</f>
        <v>Homeroom</v>
      </c>
      <c r="H64" s="122" t="str">
        <f>IFERROR(__xludf.DUMMYFUNCTION("""COMPUTED_VALUE"""),"Present")</f>
        <v>Present</v>
      </c>
      <c r="I64" s="130">
        <f>IFERROR(__xludf.DUMMYFUNCTION("""COMPUTED_VALUE"""),0.3488773148148148)</f>
        <v>0.3488773148</v>
      </c>
      <c r="J64" s="122">
        <f>IFERROR(__xludf.DUMMYFUNCTION("""COMPUTED_VALUE"""),1.0)</f>
        <v>1</v>
      </c>
      <c r="K64" s="123">
        <f>IFERROR(__xludf.DUMMYFUNCTION("""COMPUTED_VALUE"""),10.0)</f>
        <v>10</v>
      </c>
      <c r="L64" s="122" t="str">
        <f>IFERROR(__xludf.DUMMYFUNCTION("""COMPUTED_VALUE"""),"On-time reward applied")</f>
        <v>On-time reward applied</v>
      </c>
      <c r="M64" s="122" t="str">
        <f>IFERROR(__xludf.DUMMYFUNCTION("""COMPUTED_VALUE"""),"Success")</f>
        <v>Success</v>
      </c>
    </row>
    <row r="65">
      <c r="A65" s="129">
        <f>IFERROR(__xludf.DUMMYFUNCTION("""COMPUTED_VALUE"""),46177.349027777775)</f>
        <v>46177.34903</v>
      </c>
      <c r="B65" s="126">
        <f>IFERROR(__xludf.DUMMYFUNCTION("""COMPUTED_VALUE"""),46177.0)</f>
        <v>46177</v>
      </c>
      <c r="C65" s="122" t="str">
        <f>IFERROR(__xludf.DUMMYFUNCTION("""COMPUTED_VALUE"""),"ae072910")</f>
        <v>ae072910</v>
      </c>
      <c r="D65" s="122" t="str">
        <f>IFERROR(__xludf.DUMMYFUNCTION("""COMPUTED_VALUE"""),"Selena Jung")</f>
        <v>Selena Jung</v>
      </c>
      <c r="E65" s="122">
        <f>IFERROR(__xludf.DUMMYFUNCTION("""COMPUTED_VALUE"""),10.0)</f>
        <v>10</v>
      </c>
      <c r="F65" s="122" t="str">
        <f>IFERROR(__xludf.DUMMYFUNCTION("""COMPUTED_VALUE"""),"HS202")</f>
        <v>HS202</v>
      </c>
      <c r="G65" s="122" t="str">
        <f>IFERROR(__xludf.DUMMYFUNCTION("""COMPUTED_VALUE"""),"Homeroom")</f>
        <v>Homeroom</v>
      </c>
      <c r="H65" s="122" t="str">
        <f>IFERROR(__xludf.DUMMYFUNCTION("""COMPUTED_VALUE"""),"Present")</f>
        <v>Present</v>
      </c>
      <c r="I65" s="130">
        <f>IFERROR(__xludf.DUMMYFUNCTION("""COMPUTED_VALUE"""),0.34902777777777777)</f>
        <v>0.3490277778</v>
      </c>
      <c r="J65" s="122">
        <f>IFERROR(__xludf.DUMMYFUNCTION("""COMPUTED_VALUE"""),1.0)</f>
        <v>1</v>
      </c>
      <c r="K65" s="123">
        <f>IFERROR(__xludf.DUMMYFUNCTION("""COMPUTED_VALUE"""),10.0)</f>
        <v>10</v>
      </c>
      <c r="L65" s="122" t="str">
        <f>IFERROR(__xludf.DUMMYFUNCTION("""COMPUTED_VALUE"""),"On-time reward applied")</f>
        <v>On-time reward applied</v>
      </c>
      <c r="M65" s="122" t="str">
        <f>IFERROR(__xludf.DUMMYFUNCTION("""COMPUTED_VALUE"""),"Success")</f>
        <v>Success</v>
      </c>
    </row>
    <row r="66">
      <c r="A66" s="129">
        <f>IFERROR(__xludf.DUMMYFUNCTION("""COMPUTED_VALUE"""),46177.34966435185)</f>
        <v>46177.34966</v>
      </c>
      <c r="B66" s="126">
        <f>IFERROR(__xludf.DUMMYFUNCTION("""COMPUTED_VALUE"""),46177.0)</f>
        <v>46177</v>
      </c>
      <c r="C66" s="122" t="str">
        <f>IFERROR(__xludf.DUMMYFUNCTION("""COMPUTED_VALUE"""),"dc04eef4")</f>
        <v>dc04eef4</v>
      </c>
      <c r="D66" s="122" t="str">
        <f>IFERROR(__xludf.DUMMYFUNCTION("""COMPUTED_VALUE"""),"Joshua Jung")</f>
        <v>Joshua Jung</v>
      </c>
      <c r="E66" s="122">
        <f>IFERROR(__xludf.DUMMYFUNCTION("""COMPUTED_VALUE"""),10.0)</f>
        <v>10</v>
      </c>
      <c r="F66" s="122" t="str">
        <f>IFERROR(__xludf.DUMMYFUNCTION("""COMPUTED_VALUE"""),"HS202")</f>
        <v>HS202</v>
      </c>
      <c r="G66" s="122" t="str">
        <f>IFERROR(__xludf.DUMMYFUNCTION("""COMPUTED_VALUE"""),"Homeroom")</f>
        <v>Homeroom</v>
      </c>
      <c r="H66" s="122" t="str">
        <f>IFERROR(__xludf.DUMMYFUNCTION("""COMPUTED_VALUE"""),"Present")</f>
        <v>Present</v>
      </c>
      <c r="I66" s="130">
        <f>IFERROR(__xludf.DUMMYFUNCTION("""COMPUTED_VALUE"""),0.34966435185185185)</f>
        <v>0.3496643519</v>
      </c>
      <c r="J66" s="122">
        <f>IFERROR(__xludf.DUMMYFUNCTION("""COMPUTED_VALUE"""),1.0)</f>
        <v>1</v>
      </c>
      <c r="K66" s="123">
        <f>IFERROR(__xludf.DUMMYFUNCTION("""COMPUTED_VALUE"""),10.0)</f>
        <v>10</v>
      </c>
      <c r="L66" s="122" t="str">
        <f>IFERROR(__xludf.DUMMYFUNCTION("""COMPUTED_VALUE"""),"On-time reward applied")</f>
        <v>On-time reward applied</v>
      </c>
      <c r="M66" s="122" t="str">
        <f>IFERROR(__xludf.DUMMYFUNCTION("""COMPUTED_VALUE"""),"Success")</f>
        <v>Success</v>
      </c>
    </row>
    <row r="67">
      <c r="A67" s="129">
        <f>IFERROR(__xludf.DUMMYFUNCTION("""COMPUTED_VALUE"""),46177.34987268518)</f>
        <v>46177.34987</v>
      </c>
      <c r="B67" s="126">
        <f>IFERROR(__xludf.DUMMYFUNCTION("""COMPUTED_VALUE"""),46177.0)</f>
        <v>46177</v>
      </c>
      <c r="C67" s="122" t="str">
        <f>IFERROR(__xludf.DUMMYFUNCTION("""COMPUTED_VALUE"""),"5c07fef4")</f>
        <v>5c07fef4</v>
      </c>
      <c r="D67" s="122" t="str">
        <f>IFERROR(__xludf.DUMMYFUNCTION("""COMPUTED_VALUE"""),"Tiffany Kim")</f>
        <v>Tiffany Kim</v>
      </c>
      <c r="E67" s="122">
        <f>IFERROR(__xludf.DUMMYFUNCTION("""COMPUTED_VALUE"""),10.0)</f>
        <v>10</v>
      </c>
      <c r="F67" s="122" t="str">
        <f>IFERROR(__xludf.DUMMYFUNCTION("""COMPUTED_VALUE"""),"HS202")</f>
        <v>HS202</v>
      </c>
      <c r="G67" s="122" t="str">
        <f>IFERROR(__xludf.DUMMYFUNCTION("""COMPUTED_VALUE"""),"Homeroom")</f>
        <v>Homeroom</v>
      </c>
      <c r="H67" s="122" t="str">
        <f>IFERROR(__xludf.DUMMYFUNCTION("""COMPUTED_VALUE"""),"Present")</f>
        <v>Present</v>
      </c>
      <c r="I67" s="130">
        <f>IFERROR(__xludf.DUMMYFUNCTION("""COMPUTED_VALUE"""),0.34987268518518516)</f>
        <v>0.3498726852</v>
      </c>
      <c r="J67" s="122">
        <f>IFERROR(__xludf.DUMMYFUNCTION("""COMPUTED_VALUE"""),1.0)</f>
        <v>1</v>
      </c>
      <c r="K67" s="123">
        <f>IFERROR(__xludf.DUMMYFUNCTION("""COMPUTED_VALUE"""),10.0)</f>
        <v>10</v>
      </c>
      <c r="L67" s="122" t="str">
        <f>IFERROR(__xludf.DUMMYFUNCTION("""COMPUTED_VALUE"""),"On-time reward applied")</f>
        <v>On-time reward applied</v>
      </c>
      <c r="M67" s="122" t="str">
        <f>IFERROR(__xludf.DUMMYFUNCTION("""COMPUTED_VALUE"""),"Success")</f>
        <v>Success</v>
      </c>
    </row>
    <row r="68">
      <c r="A68" s="129">
        <f>IFERROR(__xludf.DUMMYFUNCTION("""COMPUTED_VALUE"""),46177.356099537035)</f>
        <v>46177.3561</v>
      </c>
      <c r="B68" s="126">
        <f>IFERROR(__xludf.DUMMYFUNCTION("""COMPUTED_VALUE"""),46177.0)</f>
        <v>46177</v>
      </c>
      <c r="C68" s="122" t="str">
        <f>IFERROR(__xludf.DUMMYFUNCTION("""COMPUTED_VALUE"""),"ba912211")</f>
        <v>ba912211</v>
      </c>
      <c r="D68" s="122" t="str">
        <f>IFERROR(__xludf.DUMMYFUNCTION("""COMPUTED_VALUE"""),"Daisy Dou")</f>
        <v>Daisy Dou</v>
      </c>
      <c r="E68" s="122">
        <f>IFERROR(__xludf.DUMMYFUNCTION("""COMPUTED_VALUE"""),10.0)</f>
        <v>10</v>
      </c>
      <c r="F68" s="122" t="str">
        <f>IFERROR(__xludf.DUMMYFUNCTION("""COMPUTED_VALUE"""),"HS202")</f>
        <v>HS202</v>
      </c>
      <c r="G68" s="122" t="str">
        <f>IFERROR(__xludf.DUMMYFUNCTION("""COMPUTED_VALUE"""),"Homeroom")</f>
        <v>Homeroom</v>
      </c>
      <c r="H68" s="122" t="str">
        <f>IFERROR(__xludf.DUMMYFUNCTION("""COMPUTED_VALUE"""),"Present")</f>
        <v>Present</v>
      </c>
      <c r="I68" s="130">
        <f>IFERROR(__xludf.DUMMYFUNCTION("""COMPUTED_VALUE"""),0.35609953703703706)</f>
        <v>0.356099537</v>
      </c>
      <c r="J68" s="122">
        <f>IFERROR(__xludf.DUMMYFUNCTION("""COMPUTED_VALUE"""),1.0)</f>
        <v>1</v>
      </c>
      <c r="K68" s="123">
        <f>IFERROR(__xludf.DUMMYFUNCTION("""COMPUTED_VALUE"""),10.0)</f>
        <v>10</v>
      </c>
      <c r="L68" s="122" t="str">
        <f>IFERROR(__xludf.DUMMYFUNCTION("""COMPUTED_VALUE"""),"On-time reward applied")</f>
        <v>On-time reward applied</v>
      </c>
      <c r="M68" s="122" t="str">
        <f>IFERROR(__xludf.DUMMYFUNCTION("""COMPUTED_VALUE"""),"Success")</f>
        <v>Success</v>
      </c>
    </row>
    <row r="69">
      <c r="A69" s="129">
        <f>IFERROR(__xludf.DUMMYFUNCTION("""COMPUTED_VALUE"""),46177.356527777774)</f>
        <v>46177.35653</v>
      </c>
      <c r="B69" s="126">
        <f>IFERROR(__xludf.DUMMYFUNCTION("""COMPUTED_VALUE"""),46177.0)</f>
        <v>46177</v>
      </c>
      <c r="C69" s="122" t="str">
        <f>IFERROR(__xludf.DUMMYFUNCTION("""COMPUTED_VALUE"""),"7c4e261e")</f>
        <v>7c4e261e</v>
      </c>
      <c r="D69" s="122" t="str">
        <f>IFERROR(__xludf.DUMMYFUNCTION("""COMPUTED_VALUE"""),"Suha Lee")</f>
        <v>Suha Lee</v>
      </c>
      <c r="E69" s="122">
        <f>IFERROR(__xludf.DUMMYFUNCTION("""COMPUTED_VALUE"""),10.0)</f>
        <v>10</v>
      </c>
      <c r="F69" s="122" t="str">
        <f>IFERROR(__xludf.DUMMYFUNCTION("""COMPUTED_VALUE"""),"HS202")</f>
        <v>HS202</v>
      </c>
      <c r="G69" s="122" t="str">
        <f>IFERROR(__xludf.DUMMYFUNCTION("""COMPUTED_VALUE"""),"Homeroom")</f>
        <v>Homeroom</v>
      </c>
      <c r="H69" s="122" t="str">
        <f>IFERROR(__xludf.DUMMYFUNCTION("""COMPUTED_VALUE"""),"Present")</f>
        <v>Present</v>
      </c>
      <c r="I69" s="130">
        <f>IFERROR(__xludf.DUMMYFUNCTION("""COMPUTED_VALUE"""),0.3565277777777778)</f>
        <v>0.3565277778</v>
      </c>
      <c r="J69" s="122">
        <f>IFERROR(__xludf.DUMMYFUNCTION("""COMPUTED_VALUE"""),1.0)</f>
        <v>1</v>
      </c>
      <c r="K69" s="123">
        <f>IFERROR(__xludf.DUMMYFUNCTION("""COMPUTED_VALUE"""),10.0)</f>
        <v>10</v>
      </c>
      <c r="L69" s="122" t="str">
        <f>IFERROR(__xludf.DUMMYFUNCTION("""COMPUTED_VALUE"""),"On-time reward applied")</f>
        <v>On-time reward applied</v>
      </c>
      <c r="M69" s="122" t="str">
        <f>IFERROR(__xludf.DUMMYFUNCTION("""COMPUTED_VALUE"""),"Success")</f>
        <v>Success</v>
      </c>
    </row>
    <row r="70">
      <c r="A70" s="129">
        <f>IFERROR(__xludf.DUMMYFUNCTION("""COMPUTED_VALUE"""),46177.35753472222)</f>
        <v>46177.35753</v>
      </c>
      <c r="B70" s="126">
        <f>IFERROR(__xludf.DUMMYFUNCTION("""COMPUTED_VALUE"""),46177.0)</f>
        <v>46177</v>
      </c>
      <c r="C70" s="122" t="str">
        <f>IFERROR(__xludf.DUMMYFUNCTION("""COMPUTED_VALUE"""),"bf93598d")</f>
        <v>bf93598d</v>
      </c>
      <c r="D70" s="122" t="str">
        <f>IFERROR(__xludf.DUMMYFUNCTION("""COMPUTED_VALUE"""),"UNKNOWN")</f>
        <v>UNKNOWN</v>
      </c>
      <c r="E70" s="122"/>
      <c r="F70" s="122"/>
      <c r="G70" s="122" t="str">
        <f>IFERROR(__xludf.DUMMYFUNCTION("""COMPUTED_VALUE"""),"Homeroom")</f>
        <v>Homeroom</v>
      </c>
      <c r="H70" s="122" t="str">
        <f>IFERROR(__xludf.DUMMYFUNCTION("""COMPUTED_VALUE"""),"Unknown Card")</f>
        <v>Unknown Card</v>
      </c>
      <c r="I70" s="130">
        <f>IFERROR(__xludf.DUMMYFUNCTION("""COMPUTED_VALUE"""),0.3575347222222222)</f>
        <v>0.3575347222</v>
      </c>
      <c r="J70" s="122"/>
      <c r="K70" s="123">
        <f>IFERROR(__xludf.DUMMYFUNCTION("""COMPUTED_VALUE"""),0.0)</f>
        <v>0</v>
      </c>
      <c r="L70" s="122"/>
      <c r="M70" s="122" t="str">
        <f>IFERROR(__xludf.DUMMYFUNCTION("""COMPUTED_VALUE"""),"Denied - card not registered")</f>
        <v>Denied - card not registered</v>
      </c>
    </row>
    <row r="71">
      <c r="A71" s="129">
        <f>IFERROR(__xludf.DUMMYFUNCTION("""COMPUTED_VALUE"""),46177.35766203704)</f>
        <v>46177.35766</v>
      </c>
      <c r="B71" s="126">
        <f>IFERROR(__xludf.DUMMYFUNCTION("""COMPUTED_VALUE"""),46177.0)</f>
        <v>46177</v>
      </c>
      <c r="C71" s="122" t="str">
        <f>IFERROR(__xludf.DUMMYFUNCTION("""COMPUTED_VALUE"""),"1e3e1410")</f>
        <v>1e3e1410</v>
      </c>
      <c r="D71" s="122" t="str">
        <f>IFERROR(__xludf.DUMMYFUNCTION("""COMPUTED_VALUE"""),"Junjae Park")</f>
        <v>Junjae Park</v>
      </c>
      <c r="E71" s="122">
        <f>IFERROR(__xludf.DUMMYFUNCTION("""COMPUTED_VALUE"""),10.0)</f>
        <v>10</v>
      </c>
      <c r="F71" s="122" t="str">
        <f>IFERROR(__xludf.DUMMYFUNCTION("""COMPUTED_VALUE"""),"HS202")</f>
        <v>HS202</v>
      </c>
      <c r="G71" s="122" t="str">
        <f>IFERROR(__xludf.DUMMYFUNCTION("""COMPUTED_VALUE"""),"Homeroom")</f>
        <v>Homeroom</v>
      </c>
      <c r="H71" s="122" t="str">
        <f>IFERROR(__xludf.DUMMYFUNCTION("""COMPUTED_VALUE"""),"Present")</f>
        <v>Present</v>
      </c>
      <c r="I71" s="130">
        <f>IFERROR(__xludf.DUMMYFUNCTION("""COMPUTED_VALUE"""),0.35766203703703703)</f>
        <v>0.357662037</v>
      </c>
      <c r="J71" s="122">
        <f>IFERROR(__xludf.DUMMYFUNCTION("""COMPUTED_VALUE"""),1.0)</f>
        <v>1</v>
      </c>
      <c r="K71" s="123">
        <f>IFERROR(__xludf.DUMMYFUNCTION("""COMPUTED_VALUE"""),10.0)</f>
        <v>10</v>
      </c>
      <c r="L71" s="122" t="str">
        <f>IFERROR(__xludf.DUMMYFUNCTION("""COMPUTED_VALUE"""),"On-time reward applied")</f>
        <v>On-time reward applied</v>
      </c>
      <c r="M71" s="122" t="str">
        <f>IFERROR(__xludf.DUMMYFUNCTION("""COMPUTED_VALUE"""),"Success")</f>
        <v>Success</v>
      </c>
    </row>
    <row r="72">
      <c r="A72" s="129">
        <f>IFERROR(__xludf.DUMMYFUNCTION("""COMPUTED_VALUE"""),46177.35799768518)</f>
        <v>46177.358</v>
      </c>
      <c r="B72" s="126">
        <f>IFERROR(__xludf.DUMMYFUNCTION("""COMPUTED_VALUE"""),46177.0)</f>
        <v>46177</v>
      </c>
      <c r="C72" s="122" t="str">
        <f>IFERROR(__xludf.DUMMYFUNCTION("""COMPUTED_VALUE"""),"5a032611")</f>
        <v>5a032611</v>
      </c>
      <c r="D72" s="122" t="str">
        <f>IFERROR(__xludf.DUMMYFUNCTION("""COMPUTED_VALUE"""),"Harold Dou")</f>
        <v>Harold Dou</v>
      </c>
      <c r="E72" s="122">
        <f>IFERROR(__xludf.DUMMYFUNCTION("""COMPUTED_VALUE"""),10.0)</f>
        <v>10</v>
      </c>
      <c r="F72" s="122" t="str">
        <f>IFERROR(__xludf.DUMMYFUNCTION("""COMPUTED_VALUE"""),"HS202")</f>
        <v>HS202</v>
      </c>
      <c r="G72" s="122" t="str">
        <f>IFERROR(__xludf.DUMMYFUNCTION("""COMPUTED_VALUE"""),"Homeroom")</f>
        <v>Homeroom</v>
      </c>
      <c r="H72" s="122" t="str">
        <f>IFERROR(__xludf.DUMMYFUNCTION("""COMPUTED_VALUE"""),"Present")</f>
        <v>Present</v>
      </c>
      <c r="I72" s="130">
        <f>IFERROR(__xludf.DUMMYFUNCTION("""COMPUTED_VALUE"""),0.3579976851851852)</f>
        <v>0.3579976852</v>
      </c>
      <c r="J72" s="122">
        <f>IFERROR(__xludf.DUMMYFUNCTION("""COMPUTED_VALUE"""),1.0)</f>
        <v>1</v>
      </c>
      <c r="K72" s="123">
        <f>IFERROR(__xludf.DUMMYFUNCTION("""COMPUTED_VALUE"""),10.0)</f>
        <v>10</v>
      </c>
      <c r="L72" s="122" t="str">
        <f>IFERROR(__xludf.DUMMYFUNCTION("""COMPUTED_VALUE"""),"On-time reward applied")</f>
        <v>On-time reward applied</v>
      </c>
      <c r="M72" s="122" t="str">
        <f>IFERROR(__xludf.DUMMYFUNCTION("""COMPUTED_VALUE"""),"Success")</f>
        <v>Success</v>
      </c>
    </row>
    <row r="73">
      <c r="A73" s="129">
        <f>IFERROR(__xludf.DUMMYFUNCTION("""COMPUTED_VALUE"""),46177.358136574076)</f>
        <v>46177.35814</v>
      </c>
      <c r="B73" s="126">
        <f>IFERROR(__xludf.DUMMYFUNCTION("""COMPUTED_VALUE"""),46177.0)</f>
        <v>46177</v>
      </c>
      <c r="C73" s="122" t="str">
        <f>IFERROR(__xludf.DUMMYFUNCTION("""COMPUTED_VALUE"""),"9a5f2811")</f>
        <v>9a5f2811</v>
      </c>
      <c r="D73" s="122" t="str">
        <f>IFERROR(__xludf.DUMMYFUNCTION("""COMPUTED_VALUE"""),"Junyoung Yoo")</f>
        <v>Junyoung Yoo</v>
      </c>
      <c r="E73" s="122">
        <f>IFERROR(__xludf.DUMMYFUNCTION("""COMPUTED_VALUE"""),10.0)</f>
        <v>10</v>
      </c>
      <c r="F73" s="122" t="str">
        <f>IFERROR(__xludf.DUMMYFUNCTION("""COMPUTED_VALUE"""),"HS202")</f>
        <v>HS202</v>
      </c>
      <c r="G73" s="122" t="str">
        <f>IFERROR(__xludf.DUMMYFUNCTION("""COMPUTED_VALUE"""),"Homeroom")</f>
        <v>Homeroom</v>
      </c>
      <c r="H73" s="122" t="str">
        <f>IFERROR(__xludf.DUMMYFUNCTION("""COMPUTED_VALUE"""),"Present")</f>
        <v>Present</v>
      </c>
      <c r="I73" s="130">
        <f>IFERROR(__xludf.DUMMYFUNCTION("""COMPUTED_VALUE"""),0.35813657407407407)</f>
        <v>0.3581365741</v>
      </c>
      <c r="J73" s="122">
        <f>IFERROR(__xludf.DUMMYFUNCTION("""COMPUTED_VALUE"""),1.0)</f>
        <v>1</v>
      </c>
      <c r="K73" s="123">
        <f>IFERROR(__xludf.DUMMYFUNCTION("""COMPUTED_VALUE"""),10.0)</f>
        <v>10</v>
      </c>
      <c r="L73" s="122" t="str">
        <f>IFERROR(__xludf.DUMMYFUNCTION("""COMPUTED_VALUE"""),"On-time reward applied")</f>
        <v>On-time reward applied</v>
      </c>
      <c r="M73" s="122" t="str">
        <f>IFERROR(__xludf.DUMMYFUNCTION("""COMPUTED_VALUE"""),"Success")</f>
        <v>Success</v>
      </c>
    </row>
    <row r="74">
      <c r="A74" s="129">
        <f>IFERROR(__xludf.DUMMYFUNCTION("""COMPUTED_VALUE"""),46177.35903935185)</f>
        <v>46177.35904</v>
      </c>
      <c r="B74" s="126">
        <f>IFERROR(__xludf.DUMMYFUNCTION("""COMPUTED_VALUE"""),46177.0)</f>
        <v>46177</v>
      </c>
      <c r="C74" s="122" t="str">
        <f>IFERROR(__xludf.DUMMYFUNCTION("""COMPUTED_VALUE"""),"ba353911")</f>
        <v>ba353911</v>
      </c>
      <c r="D74" s="122" t="str">
        <f>IFERROR(__xludf.DUMMYFUNCTION("""COMPUTED_VALUE"""),"Dayeon Kang")</f>
        <v>Dayeon Kang</v>
      </c>
      <c r="E74" s="122">
        <f>IFERROR(__xludf.DUMMYFUNCTION("""COMPUTED_VALUE"""),10.0)</f>
        <v>10</v>
      </c>
      <c r="F74" s="122" t="str">
        <f>IFERROR(__xludf.DUMMYFUNCTION("""COMPUTED_VALUE"""),"HS202")</f>
        <v>HS202</v>
      </c>
      <c r="G74" s="122" t="str">
        <f>IFERROR(__xludf.DUMMYFUNCTION("""COMPUTED_VALUE"""),"Homeroom")</f>
        <v>Homeroom</v>
      </c>
      <c r="H74" s="122" t="str">
        <f>IFERROR(__xludf.DUMMYFUNCTION("""COMPUTED_VALUE"""),"Late")</f>
        <v>Late</v>
      </c>
      <c r="I74" s="130">
        <f>IFERROR(__xludf.DUMMYFUNCTION("""COMPUTED_VALUE"""),0.3590393518518519)</f>
        <v>0.3590393519</v>
      </c>
      <c r="J74" s="122">
        <f>IFERROR(__xludf.DUMMYFUNCTION("""COMPUTED_VALUE"""),0.0)</f>
        <v>0</v>
      </c>
      <c r="K74" s="123">
        <f>IFERROR(__xludf.DUMMYFUNCTION("""COMPUTED_VALUE"""),0.0)</f>
        <v>0</v>
      </c>
      <c r="L74" s="122" t="str">
        <f>IFERROR(__xludf.DUMMYFUNCTION("""COMPUTED_VALUE"""),"Late penalty applied")</f>
        <v>Late penalty applied</v>
      </c>
      <c r="M74" s="122" t="str">
        <f>IFERROR(__xludf.DUMMYFUNCTION("""COMPUTED_VALUE"""),"Success")</f>
        <v>Success</v>
      </c>
    </row>
    <row r="75">
      <c r="A75" s="129">
        <f>IFERROR(__xludf.DUMMYFUNCTION("""COMPUTED_VALUE"""),46177.364537037036)</f>
        <v>46177.36454</v>
      </c>
      <c r="B75" s="126">
        <f>IFERROR(__xludf.DUMMYFUNCTION("""COMPUTED_VALUE"""),46177.0)</f>
        <v>46177</v>
      </c>
      <c r="C75" s="122" t="str">
        <f>IFERROR(__xludf.DUMMYFUNCTION("""COMPUTED_VALUE"""),"ba0fc5c4")</f>
        <v>ba0fc5c4</v>
      </c>
      <c r="D75" s="122" t="str">
        <f>IFERROR(__xludf.DUMMYFUNCTION("""COMPUTED_VALUE"""),"Junwoo Kang")</f>
        <v>Junwoo Kang</v>
      </c>
      <c r="E75" s="122">
        <f>IFERROR(__xludf.DUMMYFUNCTION("""COMPUTED_VALUE"""),10.0)</f>
        <v>10</v>
      </c>
      <c r="F75" s="122" t="str">
        <f>IFERROR(__xludf.DUMMYFUNCTION("""COMPUTED_VALUE"""),"HS202")</f>
        <v>HS202</v>
      </c>
      <c r="G75" s="122" t="str">
        <f>IFERROR(__xludf.DUMMYFUNCTION("""COMPUTED_VALUE"""),"Homeroom")</f>
        <v>Homeroom</v>
      </c>
      <c r="H75" s="122" t="str">
        <f>IFERROR(__xludf.DUMMYFUNCTION("""COMPUTED_VALUE"""),"Late")</f>
        <v>Late</v>
      </c>
      <c r="I75" s="130">
        <f>IFERROR(__xludf.DUMMYFUNCTION("""COMPUTED_VALUE"""),0.36453703703703705)</f>
        <v>0.364537037</v>
      </c>
      <c r="J75" s="122">
        <f>IFERROR(__xludf.DUMMYFUNCTION("""COMPUTED_VALUE"""),0.0)</f>
        <v>0</v>
      </c>
      <c r="K75" s="123">
        <f>IFERROR(__xludf.DUMMYFUNCTION("""COMPUTED_VALUE"""),0.0)</f>
        <v>0</v>
      </c>
      <c r="L75" s="122" t="str">
        <f>IFERROR(__xludf.DUMMYFUNCTION("""COMPUTED_VALUE"""),"Late penalty not applied: insufficient balance")</f>
        <v>Late penalty not applied: insufficient balance</v>
      </c>
      <c r="M75" s="122" t="str">
        <f>IFERROR(__xludf.DUMMYFUNCTION("""COMPUTED_VALUE"""),"Success")</f>
        <v>Success</v>
      </c>
    </row>
    <row r="76">
      <c r="A76" s="129">
        <f>IFERROR(__xludf.DUMMYFUNCTION("""COMPUTED_VALUE"""),46178.34511574074)</f>
        <v>46178.34512</v>
      </c>
      <c r="B76" s="126">
        <f>IFERROR(__xludf.DUMMYFUNCTION("""COMPUTED_VALUE"""),46178.0)</f>
        <v>46178</v>
      </c>
      <c r="C76" s="122" t="str">
        <f>IFERROR(__xludf.DUMMYFUNCTION("""COMPUTED_VALUE"""),"ba912211")</f>
        <v>ba912211</v>
      </c>
      <c r="D76" s="122" t="str">
        <f>IFERROR(__xludf.DUMMYFUNCTION("""COMPUTED_VALUE"""),"Daisy Dou")</f>
        <v>Daisy Dou</v>
      </c>
      <c r="E76" s="122">
        <f>IFERROR(__xludf.DUMMYFUNCTION("""COMPUTED_VALUE"""),10.0)</f>
        <v>10</v>
      </c>
      <c r="F76" s="122" t="str">
        <f>IFERROR(__xludf.DUMMYFUNCTION("""COMPUTED_VALUE"""),"HS202")</f>
        <v>HS202</v>
      </c>
      <c r="G76" s="122" t="str">
        <f>IFERROR(__xludf.DUMMYFUNCTION("""COMPUTED_VALUE"""),"Homeroom")</f>
        <v>Homeroom</v>
      </c>
      <c r="H76" s="122" t="str">
        <f>IFERROR(__xludf.DUMMYFUNCTION("""COMPUTED_VALUE"""),"Present")</f>
        <v>Present</v>
      </c>
      <c r="I76" s="130">
        <f>IFERROR(__xludf.DUMMYFUNCTION("""COMPUTED_VALUE"""),0.34511574074074075)</f>
        <v>0.3451157407</v>
      </c>
      <c r="J76" s="122">
        <f>IFERROR(__xludf.DUMMYFUNCTION("""COMPUTED_VALUE"""),2.0)</f>
        <v>2</v>
      </c>
      <c r="K76" s="123">
        <f>IFERROR(__xludf.DUMMYFUNCTION("""COMPUTED_VALUE"""),10.0)</f>
        <v>10</v>
      </c>
      <c r="L76" s="122" t="str">
        <f>IFERROR(__xludf.DUMMYFUNCTION("""COMPUTED_VALUE"""),"On-time reward applied")</f>
        <v>On-time reward applied</v>
      </c>
      <c r="M76" s="122" t="str">
        <f>IFERROR(__xludf.DUMMYFUNCTION("""COMPUTED_VALUE"""),"Success")</f>
        <v>Success</v>
      </c>
    </row>
    <row r="77">
      <c r="A77" s="129">
        <f>IFERROR(__xludf.DUMMYFUNCTION("""COMPUTED_VALUE"""),46178.345289351855)</f>
        <v>46178.34529</v>
      </c>
      <c r="B77" s="126">
        <f>IFERROR(__xludf.DUMMYFUNCTION("""COMPUTED_VALUE"""),46178.0)</f>
        <v>46178</v>
      </c>
      <c r="C77" s="122" t="str">
        <f>IFERROR(__xludf.DUMMYFUNCTION("""COMPUTED_VALUE"""),"5c07fef4")</f>
        <v>5c07fef4</v>
      </c>
      <c r="D77" s="122" t="str">
        <f>IFERROR(__xludf.DUMMYFUNCTION("""COMPUTED_VALUE"""),"Tiffany Kim")</f>
        <v>Tiffany Kim</v>
      </c>
      <c r="E77" s="122">
        <f>IFERROR(__xludf.DUMMYFUNCTION("""COMPUTED_VALUE"""),10.0)</f>
        <v>10</v>
      </c>
      <c r="F77" s="122" t="str">
        <f>IFERROR(__xludf.DUMMYFUNCTION("""COMPUTED_VALUE"""),"HS202")</f>
        <v>HS202</v>
      </c>
      <c r="G77" s="122" t="str">
        <f>IFERROR(__xludf.DUMMYFUNCTION("""COMPUTED_VALUE"""),"Homeroom")</f>
        <v>Homeroom</v>
      </c>
      <c r="H77" s="122" t="str">
        <f>IFERROR(__xludf.DUMMYFUNCTION("""COMPUTED_VALUE"""),"Present")</f>
        <v>Present</v>
      </c>
      <c r="I77" s="130">
        <f>IFERROR(__xludf.DUMMYFUNCTION("""COMPUTED_VALUE"""),0.34528935185185183)</f>
        <v>0.3452893519</v>
      </c>
      <c r="J77" s="122">
        <f>IFERROR(__xludf.DUMMYFUNCTION("""COMPUTED_VALUE"""),2.0)</f>
        <v>2</v>
      </c>
      <c r="K77" s="123">
        <f>IFERROR(__xludf.DUMMYFUNCTION("""COMPUTED_VALUE"""),10.0)</f>
        <v>10</v>
      </c>
      <c r="L77" s="122" t="str">
        <f>IFERROR(__xludf.DUMMYFUNCTION("""COMPUTED_VALUE"""),"On-time reward applied")</f>
        <v>On-time reward applied</v>
      </c>
      <c r="M77" s="122" t="str">
        <f>IFERROR(__xludf.DUMMYFUNCTION("""COMPUTED_VALUE"""),"Success")</f>
        <v>Success</v>
      </c>
    </row>
    <row r="78">
      <c r="A78" s="129">
        <f>IFERROR(__xludf.DUMMYFUNCTION("""COMPUTED_VALUE"""),46178.34954861111)</f>
        <v>46178.34955</v>
      </c>
      <c r="B78" s="126">
        <f>IFERROR(__xludf.DUMMYFUNCTION("""COMPUTED_VALUE"""),46178.0)</f>
        <v>46178</v>
      </c>
      <c r="C78" s="122" t="str">
        <f>IFERROR(__xludf.DUMMYFUNCTION("""COMPUTED_VALUE"""),"ae072910")</f>
        <v>ae072910</v>
      </c>
      <c r="D78" s="122" t="str">
        <f>IFERROR(__xludf.DUMMYFUNCTION("""COMPUTED_VALUE"""),"Selena Jung")</f>
        <v>Selena Jung</v>
      </c>
      <c r="E78" s="122">
        <f>IFERROR(__xludf.DUMMYFUNCTION("""COMPUTED_VALUE"""),10.0)</f>
        <v>10</v>
      </c>
      <c r="F78" s="122" t="str">
        <f>IFERROR(__xludf.DUMMYFUNCTION("""COMPUTED_VALUE"""),"HS202")</f>
        <v>HS202</v>
      </c>
      <c r="G78" s="122" t="str">
        <f>IFERROR(__xludf.DUMMYFUNCTION("""COMPUTED_VALUE"""),"Homeroom")</f>
        <v>Homeroom</v>
      </c>
      <c r="H78" s="122" t="str">
        <f>IFERROR(__xludf.DUMMYFUNCTION("""COMPUTED_VALUE"""),"Present")</f>
        <v>Present</v>
      </c>
      <c r="I78" s="130">
        <f>IFERROR(__xludf.DUMMYFUNCTION("""COMPUTED_VALUE"""),0.34954861111111113)</f>
        <v>0.3495486111</v>
      </c>
      <c r="J78" s="122">
        <f>IFERROR(__xludf.DUMMYFUNCTION("""COMPUTED_VALUE"""),2.0)</f>
        <v>2</v>
      </c>
      <c r="K78" s="123">
        <f>IFERROR(__xludf.DUMMYFUNCTION("""COMPUTED_VALUE"""),10.0)</f>
        <v>10</v>
      </c>
      <c r="L78" s="122" t="str">
        <f>IFERROR(__xludf.DUMMYFUNCTION("""COMPUTED_VALUE"""),"On-time reward applied")</f>
        <v>On-time reward applied</v>
      </c>
      <c r="M78" s="122" t="str">
        <f>IFERROR(__xludf.DUMMYFUNCTION("""COMPUTED_VALUE"""),"Success")</f>
        <v>Success</v>
      </c>
    </row>
    <row r="79">
      <c r="A79" s="129">
        <f>IFERROR(__xludf.DUMMYFUNCTION("""COMPUTED_VALUE"""),46178.35011574074)</f>
        <v>46178.35012</v>
      </c>
      <c r="B79" s="126">
        <f>IFERROR(__xludf.DUMMYFUNCTION("""COMPUTED_VALUE"""),46178.0)</f>
        <v>46178</v>
      </c>
      <c r="C79" s="122" t="str">
        <f>IFERROR(__xludf.DUMMYFUNCTION("""COMPUTED_VALUE"""),"dc04eef4")</f>
        <v>dc04eef4</v>
      </c>
      <c r="D79" s="122" t="str">
        <f>IFERROR(__xludf.DUMMYFUNCTION("""COMPUTED_VALUE"""),"Joshua Jung")</f>
        <v>Joshua Jung</v>
      </c>
      <c r="E79" s="122">
        <f>IFERROR(__xludf.DUMMYFUNCTION("""COMPUTED_VALUE"""),10.0)</f>
        <v>10</v>
      </c>
      <c r="F79" s="122" t="str">
        <f>IFERROR(__xludf.DUMMYFUNCTION("""COMPUTED_VALUE"""),"HS202")</f>
        <v>HS202</v>
      </c>
      <c r="G79" s="122" t="str">
        <f>IFERROR(__xludf.DUMMYFUNCTION("""COMPUTED_VALUE"""),"Homeroom")</f>
        <v>Homeroom</v>
      </c>
      <c r="H79" s="122" t="str">
        <f>IFERROR(__xludf.DUMMYFUNCTION("""COMPUTED_VALUE"""),"Present")</f>
        <v>Present</v>
      </c>
      <c r="I79" s="130">
        <f>IFERROR(__xludf.DUMMYFUNCTION("""COMPUTED_VALUE"""),0.35011574074074076)</f>
        <v>0.3501157407</v>
      </c>
      <c r="J79" s="122">
        <f>IFERROR(__xludf.DUMMYFUNCTION("""COMPUTED_VALUE"""),2.0)</f>
        <v>2</v>
      </c>
      <c r="K79" s="123">
        <f>IFERROR(__xludf.DUMMYFUNCTION("""COMPUTED_VALUE"""),10.0)</f>
        <v>10</v>
      </c>
      <c r="L79" s="122" t="str">
        <f>IFERROR(__xludf.DUMMYFUNCTION("""COMPUTED_VALUE"""),"On-time reward applied")</f>
        <v>On-time reward applied</v>
      </c>
      <c r="M79" s="122" t="str">
        <f>IFERROR(__xludf.DUMMYFUNCTION("""COMPUTED_VALUE"""),"Success")</f>
        <v>Success</v>
      </c>
    </row>
    <row r="80">
      <c r="A80" s="129">
        <f>IFERROR(__xludf.DUMMYFUNCTION("""COMPUTED_VALUE"""),46178.35511574074)</f>
        <v>46178.35512</v>
      </c>
      <c r="B80" s="126">
        <f>IFERROR(__xludf.DUMMYFUNCTION("""COMPUTED_VALUE"""),46178.0)</f>
        <v>46178</v>
      </c>
      <c r="C80" s="122" t="str">
        <f>IFERROR(__xludf.DUMMYFUNCTION("""COMPUTED_VALUE"""),"7c4e261e")</f>
        <v>7c4e261e</v>
      </c>
      <c r="D80" s="122" t="str">
        <f>IFERROR(__xludf.DUMMYFUNCTION("""COMPUTED_VALUE"""),"Suha Lee")</f>
        <v>Suha Lee</v>
      </c>
      <c r="E80" s="122">
        <f>IFERROR(__xludf.DUMMYFUNCTION("""COMPUTED_VALUE"""),10.0)</f>
        <v>10</v>
      </c>
      <c r="F80" s="122" t="str">
        <f>IFERROR(__xludf.DUMMYFUNCTION("""COMPUTED_VALUE"""),"HS202")</f>
        <v>HS202</v>
      </c>
      <c r="G80" s="122" t="str">
        <f>IFERROR(__xludf.DUMMYFUNCTION("""COMPUTED_VALUE"""),"Homeroom")</f>
        <v>Homeroom</v>
      </c>
      <c r="H80" s="122" t="str">
        <f>IFERROR(__xludf.DUMMYFUNCTION("""COMPUTED_VALUE"""),"Present")</f>
        <v>Present</v>
      </c>
      <c r="I80" s="130">
        <f>IFERROR(__xludf.DUMMYFUNCTION("""COMPUTED_VALUE"""),0.35511574074074076)</f>
        <v>0.3551157407</v>
      </c>
      <c r="J80" s="122">
        <f>IFERROR(__xludf.DUMMYFUNCTION("""COMPUTED_VALUE"""),2.0)</f>
        <v>2</v>
      </c>
      <c r="K80" s="123">
        <f>IFERROR(__xludf.DUMMYFUNCTION("""COMPUTED_VALUE"""),10.0)</f>
        <v>10</v>
      </c>
      <c r="L80" s="122" t="str">
        <f>IFERROR(__xludf.DUMMYFUNCTION("""COMPUTED_VALUE"""),"On-time reward applied")</f>
        <v>On-time reward applied</v>
      </c>
      <c r="M80" s="122" t="str">
        <f>IFERROR(__xludf.DUMMYFUNCTION("""COMPUTED_VALUE"""),"Success")</f>
        <v>Success</v>
      </c>
    </row>
    <row r="81">
      <c r="A81" s="129">
        <f>IFERROR(__xludf.DUMMYFUNCTION("""COMPUTED_VALUE"""),46178.356527777774)</f>
        <v>46178.35653</v>
      </c>
      <c r="B81" s="126">
        <f>IFERROR(__xludf.DUMMYFUNCTION("""COMPUTED_VALUE"""),46178.0)</f>
        <v>46178</v>
      </c>
      <c r="C81" s="122" t="str">
        <f>IFERROR(__xludf.DUMMYFUNCTION("""COMPUTED_VALUE"""),"9a5f2811")</f>
        <v>9a5f2811</v>
      </c>
      <c r="D81" s="122" t="str">
        <f>IFERROR(__xludf.DUMMYFUNCTION("""COMPUTED_VALUE"""),"Junyoung Yoo")</f>
        <v>Junyoung Yoo</v>
      </c>
      <c r="E81" s="122">
        <f>IFERROR(__xludf.DUMMYFUNCTION("""COMPUTED_VALUE"""),10.0)</f>
        <v>10</v>
      </c>
      <c r="F81" s="122" t="str">
        <f>IFERROR(__xludf.DUMMYFUNCTION("""COMPUTED_VALUE"""),"HS202")</f>
        <v>HS202</v>
      </c>
      <c r="G81" s="122" t="str">
        <f>IFERROR(__xludf.DUMMYFUNCTION("""COMPUTED_VALUE"""),"Homeroom")</f>
        <v>Homeroom</v>
      </c>
      <c r="H81" s="122" t="str">
        <f>IFERROR(__xludf.DUMMYFUNCTION("""COMPUTED_VALUE"""),"Present")</f>
        <v>Present</v>
      </c>
      <c r="I81" s="130">
        <f>IFERROR(__xludf.DUMMYFUNCTION("""COMPUTED_VALUE"""),0.3565277777777778)</f>
        <v>0.3565277778</v>
      </c>
      <c r="J81" s="122">
        <f>IFERROR(__xludf.DUMMYFUNCTION("""COMPUTED_VALUE"""),2.0)</f>
        <v>2</v>
      </c>
      <c r="K81" s="123">
        <f>IFERROR(__xludf.DUMMYFUNCTION("""COMPUTED_VALUE"""),10.0)</f>
        <v>10</v>
      </c>
      <c r="L81" s="122" t="str">
        <f>IFERROR(__xludf.DUMMYFUNCTION("""COMPUTED_VALUE"""),"On-time reward applied")</f>
        <v>On-time reward applied</v>
      </c>
      <c r="M81" s="122" t="str">
        <f>IFERROR(__xludf.DUMMYFUNCTION("""COMPUTED_VALUE"""),"Success")</f>
        <v>Success</v>
      </c>
    </row>
    <row r="82">
      <c r="A82" s="129">
        <f>IFERROR(__xludf.DUMMYFUNCTION("""COMPUTED_VALUE"""),46178.357777777775)</f>
        <v>46178.35778</v>
      </c>
      <c r="B82" s="126">
        <f>IFERROR(__xludf.DUMMYFUNCTION("""COMPUTED_VALUE"""),46178.0)</f>
        <v>46178</v>
      </c>
      <c r="C82" s="122" t="str">
        <f>IFERROR(__xludf.DUMMYFUNCTION("""COMPUTED_VALUE"""),"ba353911")</f>
        <v>ba353911</v>
      </c>
      <c r="D82" s="122" t="str">
        <f>IFERROR(__xludf.DUMMYFUNCTION("""COMPUTED_VALUE"""),"Dayeon Kang")</f>
        <v>Dayeon Kang</v>
      </c>
      <c r="E82" s="122">
        <f>IFERROR(__xludf.DUMMYFUNCTION("""COMPUTED_VALUE"""),10.0)</f>
        <v>10</v>
      </c>
      <c r="F82" s="122" t="str">
        <f>IFERROR(__xludf.DUMMYFUNCTION("""COMPUTED_VALUE"""),"HS202")</f>
        <v>HS202</v>
      </c>
      <c r="G82" s="122" t="str">
        <f>IFERROR(__xludf.DUMMYFUNCTION("""COMPUTED_VALUE"""),"Homeroom")</f>
        <v>Homeroom</v>
      </c>
      <c r="H82" s="122" t="str">
        <f>IFERROR(__xludf.DUMMYFUNCTION("""COMPUTED_VALUE"""),"Present")</f>
        <v>Present</v>
      </c>
      <c r="I82" s="130">
        <f>IFERROR(__xludf.DUMMYFUNCTION("""COMPUTED_VALUE"""),0.35777777777777775)</f>
        <v>0.3577777778</v>
      </c>
      <c r="J82" s="122">
        <f>IFERROR(__xludf.DUMMYFUNCTION("""COMPUTED_VALUE"""),1.0)</f>
        <v>1</v>
      </c>
      <c r="K82" s="123">
        <f>IFERROR(__xludf.DUMMYFUNCTION("""COMPUTED_VALUE"""),10.0)</f>
        <v>10</v>
      </c>
      <c r="L82" s="122" t="str">
        <f>IFERROR(__xludf.DUMMYFUNCTION("""COMPUTED_VALUE"""),"On-time reward applied")</f>
        <v>On-time reward applied</v>
      </c>
      <c r="M82" s="122" t="str">
        <f>IFERROR(__xludf.DUMMYFUNCTION("""COMPUTED_VALUE"""),"Success")</f>
        <v>Success</v>
      </c>
    </row>
    <row r="83">
      <c r="A83" s="129">
        <f>IFERROR(__xludf.DUMMYFUNCTION("""COMPUTED_VALUE"""),46178.375127314815)</f>
        <v>46178.37513</v>
      </c>
      <c r="B83" s="126">
        <f>IFERROR(__xludf.DUMMYFUNCTION("""COMPUTED_VALUE"""),46178.0)</f>
        <v>46178</v>
      </c>
      <c r="C83" s="122" t="str">
        <f>IFERROR(__xludf.DUMMYFUNCTION("""COMPUTED_VALUE"""),"5a032611")</f>
        <v>5a032611</v>
      </c>
      <c r="D83" s="122" t="str">
        <f>IFERROR(__xludf.DUMMYFUNCTION("""COMPUTED_VALUE"""),"Harold Dou")</f>
        <v>Harold Dou</v>
      </c>
      <c r="E83" s="122">
        <f>IFERROR(__xludf.DUMMYFUNCTION("""COMPUTED_VALUE"""),10.0)</f>
        <v>10</v>
      </c>
      <c r="F83" s="122" t="str">
        <f>IFERROR(__xludf.DUMMYFUNCTION("""COMPUTED_VALUE"""),"HS202")</f>
        <v>HS202</v>
      </c>
      <c r="G83" s="122" t="str">
        <f>IFERROR(__xludf.DUMMYFUNCTION("""COMPUTED_VALUE"""),"Homeroom")</f>
        <v>Homeroom</v>
      </c>
      <c r="H83" s="122" t="str">
        <f>IFERROR(__xludf.DUMMYFUNCTION("""COMPUTED_VALUE"""),"Late")</f>
        <v>Late</v>
      </c>
      <c r="I83" s="130">
        <f>IFERROR(__xludf.DUMMYFUNCTION("""COMPUTED_VALUE"""),0.3751273148148148)</f>
        <v>0.3751273148</v>
      </c>
      <c r="J83" s="122">
        <f>IFERROR(__xludf.DUMMYFUNCTION("""COMPUTED_VALUE"""),0.0)</f>
        <v>0</v>
      </c>
      <c r="K83" s="123">
        <f>IFERROR(__xludf.DUMMYFUNCTION("""COMPUTED_VALUE"""),0.0)</f>
        <v>0</v>
      </c>
      <c r="L83" s="122" t="str">
        <f>IFERROR(__xludf.DUMMYFUNCTION("""COMPUTED_VALUE"""),"Late penalty applied")</f>
        <v>Late penalty applied</v>
      </c>
      <c r="M83" s="122" t="str">
        <f>IFERROR(__xludf.DUMMYFUNCTION("""COMPUTED_VALUE"""),"Success")</f>
        <v>Success</v>
      </c>
    </row>
    <row r="84">
      <c r="A84" s="129">
        <f>IFERROR(__xludf.DUMMYFUNCTION("""COMPUTED_VALUE"""),46178.55480324074)</f>
        <v>46178.5548</v>
      </c>
      <c r="B84" s="126">
        <f>IFERROR(__xludf.DUMMYFUNCTION("""COMPUTED_VALUE"""),46178.0)</f>
        <v>46178</v>
      </c>
      <c r="C84" s="122" t="str">
        <f>IFERROR(__xludf.DUMMYFUNCTION("""COMPUTED_VALUE"""),"5a032611")</f>
        <v>5a032611</v>
      </c>
      <c r="D84" s="122" t="str">
        <f>IFERROR(__xludf.DUMMYFUNCTION("""COMPUTED_VALUE"""),"Harold Dou")</f>
        <v>Harold Dou</v>
      </c>
      <c r="E84" s="122">
        <f>IFERROR(__xludf.DUMMYFUNCTION("""COMPUTED_VALUE"""),10.0)</f>
        <v>10</v>
      </c>
      <c r="F84" s="122" t="str">
        <f>IFERROR(__xludf.DUMMYFUNCTION("""COMPUTED_VALUE"""),"HS202")</f>
        <v>HS202</v>
      </c>
      <c r="G84" s="122" t="str">
        <f>IFERROR(__xludf.DUMMYFUNCTION("""COMPUTED_VALUE"""),"Homeroom")</f>
        <v>Homeroom</v>
      </c>
      <c r="H84" s="122" t="str">
        <f>IFERROR(__xludf.DUMMYFUNCTION("""COMPUTED_VALUE"""),"Duplicate")</f>
        <v>Duplicate</v>
      </c>
      <c r="I84" s="130">
        <f>IFERROR(__xludf.DUMMYFUNCTION("""COMPUTED_VALUE"""),0.5548032407407407)</f>
        <v>0.5548032407</v>
      </c>
      <c r="J84" s="122"/>
      <c r="K84" s="123">
        <f>IFERROR(__xludf.DUMMYFUNCTION("""COMPUTED_VALUE"""),0.0)</f>
        <v>0</v>
      </c>
      <c r="L84" s="122" t="str">
        <f>IFERROR(__xludf.DUMMYFUNCTION("""COMPUTED_VALUE"""),"Duplicate scan")</f>
        <v>Duplicate scan</v>
      </c>
      <c r="M84" s="122" t="str">
        <f>IFERROR(__xludf.DUMMYFUNCTION("""COMPUTED_VALUE"""),"Denied - duplicate attendance")</f>
        <v>Denied - duplicate attendance</v>
      </c>
    </row>
    <row r="85">
      <c r="A85" s="129">
        <f>IFERROR(__xludf.DUMMYFUNCTION("""COMPUTED_VALUE"""),46181.343506944446)</f>
        <v>46181.34351</v>
      </c>
      <c r="B85" s="126">
        <f>IFERROR(__xludf.DUMMYFUNCTION("""COMPUTED_VALUE"""),46181.0)</f>
        <v>46181</v>
      </c>
      <c r="C85" s="122" t="str">
        <f>IFERROR(__xludf.DUMMYFUNCTION("""COMPUTED_VALUE"""),"ae072910")</f>
        <v>ae072910</v>
      </c>
      <c r="D85" s="122" t="str">
        <f>IFERROR(__xludf.DUMMYFUNCTION("""COMPUTED_VALUE"""),"Selena Jung")</f>
        <v>Selena Jung</v>
      </c>
      <c r="E85" s="122">
        <f>IFERROR(__xludf.DUMMYFUNCTION("""COMPUTED_VALUE"""),10.0)</f>
        <v>10</v>
      </c>
      <c r="F85" s="122" t="str">
        <f>IFERROR(__xludf.DUMMYFUNCTION("""COMPUTED_VALUE"""),"HS202")</f>
        <v>HS202</v>
      </c>
      <c r="G85" s="122" t="str">
        <f>IFERROR(__xludf.DUMMYFUNCTION("""COMPUTED_VALUE"""),"Homeroom")</f>
        <v>Homeroom</v>
      </c>
      <c r="H85" s="122" t="str">
        <f>IFERROR(__xludf.DUMMYFUNCTION("""COMPUTED_VALUE"""),"Present")</f>
        <v>Present</v>
      </c>
      <c r="I85" s="130">
        <f>IFERROR(__xludf.DUMMYFUNCTION("""COMPUTED_VALUE"""),0.34350694444444446)</f>
        <v>0.3435069444</v>
      </c>
      <c r="J85" s="122">
        <f>IFERROR(__xludf.DUMMYFUNCTION("""COMPUTED_VALUE"""),1.0)</f>
        <v>1</v>
      </c>
      <c r="K85" s="123">
        <f>IFERROR(__xludf.DUMMYFUNCTION("""COMPUTED_VALUE"""),10.0)</f>
        <v>10</v>
      </c>
      <c r="L85" s="122" t="str">
        <f>IFERROR(__xludf.DUMMYFUNCTION("""COMPUTED_VALUE"""),"On-time reward applied")</f>
        <v>On-time reward applied</v>
      </c>
      <c r="M85" s="122" t="str">
        <f>IFERROR(__xludf.DUMMYFUNCTION("""COMPUTED_VALUE"""),"Success")</f>
        <v>Success</v>
      </c>
    </row>
    <row r="86">
      <c r="A86" s="129">
        <f>IFERROR(__xludf.DUMMYFUNCTION("""COMPUTED_VALUE"""),46181.348703703705)</f>
        <v>46181.3487</v>
      </c>
      <c r="B86" s="126">
        <f>IFERROR(__xludf.DUMMYFUNCTION("""COMPUTED_VALUE"""),46181.0)</f>
        <v>46181</v>
      </c>
      <c r="C86" s="122" t="str">
        <f>IFERROR(__xludf.DUMMYFUNCTION("""COMPUTED_VALUE"""),"dc04eef4")</f>
        <v>dc04eef4</v>
      </c>
      <c r="D86" s="122" t="str">
        <f>IFERROR(__xludf.DUMMYFUNCTION("""COMPUTED_VALUE"""),"Joshua Jung")</f>
        <v>Joshua Jung</v>
      </c>
      <c r="E86" s="122">
        <f>IFERROR(__xludf.DUMMYFUNCTION("""COMPUTED_VALUE"""),10.0)</f>
        <v>10</v>
      </c>
      <c r="F86" s="122" t="str">
        <f>IFERROR(__xludf.DUMMYFUNCTION("""COMPUTED_VALUE"""),"HS202")</f>
        <v>HS202</v>
      </c>
      <c r="G86" s="122" t="str">
        <f>IFERROR(__xludf.DUMMYFUNCTION("""COMPUTED_VALUE"""),"Homeroom")</f>
        <v>Homeroom</v>
      </c>
      <c r="H86" s="122" t="str">
        <f>IFERROR(__xludf.DUMMYFUNCTION("""COMPUTED_VALUE"""),"Present")</f>
        <v>Present</v>
      </c>
      <c r="I86" s="130">
        <f>IFERROR(__xludf.DUMMYFUNCTION("""COMPUTED_VALUE"""),0.3487037037037037)</f>
        <v>0.3487037037</v>
      </c>
      <c r="J86" s="122">
        <f>IFERROR(__xludf.DUMMYFUNCTION("""COMPUTED_VALUE"""),1.0)</f>
        <v>1</v>
      </c>
      <c r="K86" s="123">
        <f>IFERROR(__xludf.DUMMYFUNCTION("""COMPUTED_VALUE"""),10.0)</f>
        <v>10</v>
      </c>
      <c r="L86" s="122" t="str">
        <f>IFERROR(__xludf.DUMMYFUNCTION("""COMPUTED_VALUE"""),"On-time reward applied")</f>
        <v>On-time reward applied</v>
      </c>
      <c r="M86" s="122" t="str">
        <f>IFERROR(__xludf.DUMMYFUNCTION("""COMPUTED_VALUE"""),"Success")</f>
        <v>Success</v>
      </c>
    </row>
    <row r="87">
      <c r="A87" s="129">
        <f>IFERROR(__xludf.DUMMYFUNCTION("""COMPUTED_VALUE"""),46181.34886574074)</f>
        <v>46181.34887</v>
      </c>
      <c r="B87" s="126">
        <f>IFERROR(__xludf.DUMMYFUNCTION("""COMPUTED_VALUE"""),46181.0)</f>
        <v>46181</v>
      </c>
      <c r="C87" s="122" t="str">
        <f>IFERROR(__xludf.DUMMYFUNCTION("""COMPUTED_VALUE"""),"dc04eef4")</f>
        <v>dc04eef4</v>
      </c>
      <c r="D87" s="122" t="str">
        <f>IFERROR(__xludf.DUMMYFUNCTION("""COMPUTED_VALUE"""),"Joshua Jung")</f>
        <v>Joshua Jung</v>
      </c>
      <c r="E87" s="122">
        <f>IFERROR(__xludf.DUMMYFUNCTION("""COMPUTED_VALUE"""),10.0)</f>
        <v>10</v>
      </c>
      <c r="F87" s="122" t="str">
        <f>IFERROR(__xludf.DUMMYFUNCTION("""COMPUTED_VALUE"""),"HS202")</f>
        <v>HS202</v>
      </c>
      <c r="G87" s="122" t="str">
        <f>IFERROR(__xludf.DUMMYFUNCTION("""COMPUTED_VALUE"""),"Homeroom")</f>
        <v>Homeroom</v>
      </c>
      <c r="H87" s="122" t="str">
        <f>IFERROR(__xludf.DUMMYFUNCTION("""COMPUTED_VALUE"""),"Duplicate")</f>
        <v>Duplicate</v>
      </c>
      <c r="I87" s="130">
        <f>IFERROR(__xludf.DUMMYFUNCTION("""COMPUTED_VALUE"""),0.3488657407407407)</f>
        <v>0.3488657407</v>
      </c>
      <c r="J87" s="122"/>
      <c r="K87" s="123">
        <f>IFERROR(__xludf.DUMMYFUNCTION("""COMPUTED_VALUE"""),0.0)</f>
        <v>0</v>
      </c>
      <c r="L87" s="122" t="str">
        <f>IFERROR(__xludf.DUMMYFUNCTION("""COMPUTED_VALUE"""),"Duplicate scan")</f>
        <v>Duplicate scan</v>
      </c>
      <c r="M87" s="122" t="str">
        <f>IFERROR(__xludf.DUMMYFUNCTION("""COMPUTED_VALUE"""),"Denied - duplicate attendance")</f>
        <v>Denied - duplicate attendance</v>
      </c>
    </row>
    <row r="88">
      <c r="A88" s="129">
        <f>IFERROR(__xludf.DUMMYFUNCTION("""COMPUTED_VALUE"""),46181.34921296296)</f>
        <v>46181.34921</v>
      </c>
      <c r="B88" s="126">
        <f>IFERROR(__xludf.DUMMYFUNCTION("""COMPUTED_VALUE"""),46181.0)</f>
        <v>46181</v>
      </c>
      <c r="C88" s="122" t="str">
        <f>IFERROR(__xludf.DUMMYFUNCTION("""COMPUTED_VALUE"""),"5c07fef4")</f>
        <v>5c07fef4</v>
      </c>
      <c r="D88" s="122" t="str">
        <f>IFERROR(__xludf.DUMMYFUNCTION("""COMPUTED_VALUE"""),"Tiffany Kim")</f>
        <v>Tiffany Kim</v>
      </c>
      <c r="E88" s="122">
        <f>IFERROR(__xludf.DUMMYFUNCTION("""COMPUTED_VALUE"""),10.0)</f>
        <v>10</v>
      </c>
      <c r="F88" s="122" t="str">
        <f>IFERROR(__xludf.DUMMYFUNCTION("""COMPUTED_VALUE"""),"HS202")</f>
        <v>HS202</v>
      </c>
      <c r="G88" s="122" t="str">
        <f>IFERROR(__xludf.DUMMYFUNCTION("""COMPUTED_VALUE"""),"Homeroom")</f>
        <v>Homeroom</v>
      </c>
      <c r="H88" s="122" t="str">
        <f>IFERROR(__xludf.DUMMYFUNCTION("""COMPUTED_VALUE"""),"Present")</f>
        <v>Present</v>
      </c>
      <c r="I88" s="130">
        <f>IFERROR(__xludf.DUMMYFUNCTION("""COMPUTED_VALUE"""),0.34921296296296295)</f>
        <v>0.349212963</v>
      </c>
      <c r="J88" s="122">
        <f>IFERROR(__xludf.DUMMYFUNCTION("""COMPUTED_VALUE"""),1.0)</f>
        <v>1</v>
      </c>
      <c r="K88" s="123">
        <f>IFERROR(__xludf.DUMMYFUNCTION("""COMPUTED_VALUE"""),10.0)</f>
        <v>10</v>
      </c>
      <c r="L88" s="122" t="str">
        <f>IFERROR(__xludf.DUMMYFUNCTION("""COMPUTED_VALUE"""),"On-time reward applied")</f>
        <v>On-time reward applied</v>
      </c>
      <c r="M88" s="122" t="str">
        <f>IFERROR(__xludf.DUMMYFUNCTION("""COMPUTED_VALUE"""),"Success")</f>
        <v>Success</v>
      </c>
    </row>
    <row r="89">
      <c r="A89" s="129">
        <f>IFERROR(__xludf.DUMMYFUNCTION("""COMPUTED_VALUE"""),46181.350648148145)</f>
        <v>46181.35065</v>
      </c>
      <c r="B89" s="126">
        <f>IFERROR(__xludf.DUMMYFUNCTION("""COMPUTED_VALUE"""),46181.0)</f>
        <v>46181</v>
      </c>
      <c r="C89" s="122" t="str">
        <f>IFERROR(__xludf.DUMMYFUNCTION("""COMPUTED_VALUE"""),"5a032611")</f>
        <v>5a032611</v>
      </c>
      <c r="D89" s="122" t="str">
        <f>IFERROR(__xludf.DUMMYFUNCTION("""COMPUTED_VALUE"""),"Harold Dou")</f>
        <v>Harold Dou</v>
      </c>
      <c r="E89" s="122">
        <f>IFERROR(__xludf.DUMMYFUNCTION("""COMPUTED_VALUE"""),10.0)</f>
        <v>10</v>
      </c>
      <c r="F89" s="122" t="str">
        <f>IFERROR(__xludf.DUMMYFUNCTION("""COMPUTED_VALUE"""),"HS202")</f>
        <v>HS202</v>
      </c>
      <c r="G89" s="122" t="str">
        <f>IFERROR(__xludf.DUMMYFUNCTION("""COMPUTED_VALUE"""),"Homeroom")</f>
        <v>Homeroom</v>
      </c>
      <c r="H89" s="122" t="str">
        <f>IFERROR(__xludf.DUMMYFUNCTION("""COMPUTED_VALUE"""),"Present")</f>
        <v>Present</v>
      </c>
      <c r="I89" s="130">
        <f>IFERROR(__xludf.DUMMYFUNCTION("""COMPUTED_VALUE"""),0.35064814814814815)</f>
        <v>0.3506481481</v>
      </c>
      <c r="J89" s="122">
        <f>IFERROR(__xludf.DUMMYFUNCTION("""COMPUTED_VALUE"""),1.0)</f>
        <v>1</v>
      </c>
      <c r="K89" s="123">
        <f>IFERROR(__xludf.DUMMYFUNCTION("""COMPUTED_VALUE"""),10.0)</f>
        <v>10</v>
      </c>
      <c r="L89" s="122" t="str">
        <f>IFERROR(__xludf.DUMMYFUNCTION("""COMPUTED_VALUE"""),"On-time reward applied")</f>
        <v>On-time reward applied</v>
      </c>
      <c r="M89" s="122" t="str">
        <f>IFERROR(__xludf.DUMMYFUNCTION("""COMPUTED_VALUE"""),"Success")</f>
        <v>Success</v>
      </c>
    </row>
    <row r="90">
      <c r="A90" s="129">
        <f>IFERROR(__xludf.DUMMYFUNCTION("""COMPUTED_VALUE"""),46181.35194444445)</f>
        <v>46181.35194</v>
      </c>
      <c r="B90" s="126">
        <f>IFERROR(__xludf.DUMMYFUNCTION("""COMPUTED_VALUE"""),46181.0)</f>
        <v>46181</v>
      </c>
      <c r="C90" s="122" t="str">
        <f>IFERROR(__xludf.DUMMYFUNCTION("""COMPUTED_VALUE"""),"ba912211")</f>
        <v>ba912211</v>
      </c>
      <c r="D90" s="122" t="str">
        <f>IFERROR(__xludf.DUMMYFUNCTION("""COMPUTED_VALUE"""),"Daisy Doh")</f>
        <v>Daisy Doh</v>
      </c>
      <c r="E90" s="122">
        <f>IFERROR(__xludf.DUMMYFUNCTION("""COMPUTED_VALUE"""),10.0)</f>
        <v>10</v>
      </c>
      <c r="F90" s="122" t="str">
        <f>IFERROR(__xludf.DUMMYFUNCTION("""COMPUTED_VALUE"""),"HS202")</f>
        <v>HS202</v>
      </c>
      <c r="G90" s="122" t="str">
        <f>IFERROR(__xludf.DUMMYFUNCTION("""COMPUTED_VALUE"""),"Homeroom")</f>
        <v>Homeroom</v>
      </c>
      <c r="H90" s="122" t="str">
        <f>IFERROR(__xludf.DUMMYFUNCTION("""COMPUTED_VALUE"""),"Present")</f>
        <v>Present</v>
      </c>
      <c r="I90" s="130">
        <f>IFERROR(__xludf.DUMMYFUNCTION("""COMPUTED_VALUE"""),0.35194444444444445)</f>
        <v>0.3519444444</v>
      </c>
      <c r="J90" s="122">
        <f>IFERROR(__xludf.DUMMYFUNCTION("""COMPUTED_VALUE"""),1.0)</f>
        <v>1</v>
      </c>
      <c r="K90" s="123">
        <f>IFERROR(__xludf.DUMMYFUNCTION("""COMPUTED_VALUE"""),10.0)</f>
        <v>10</v>
      </c>
      <c r="L90" s="122" t="str">
        <f>IFERROR(__xludf.DUMMYFUNCTION("""COMPUTED_VALUE"""),"On-time reward applied")</f>
        <v>On-time reward applied</v>
      </c>
      <c r="M90" s="122" t="str">
        <f>IFERROR(__xludf.DUMMYFUNCTION("""COMPUTED_VALUE"""),"Success")</f>
        <v>Success</v>
      </c>
    </row>
    <row r="91">
      <c r="A91" s="129">
        <f>IFERROR(__xludf.DUMMYFUNCTION("""COMPUTED_VALUE"""),46181.35407407407)</f>
        <v>46181.35407</v>
      </c>
      <c r="B91" s="126">
        <f>IFERROR(__xludf.DUMMYFUNCTION("""COMPUTED_VALUE"""),46181.0)</f>
        <v>46181</v>
      </c>
      <c r="C91" s="122" t="str">
        <f>IFERROR(__xludf.DUMMYFUNCTION("""COMPUTED_VALUE"""),"babde4c4")</f>
        <v>babde4c4</v>
      </c>
      <c r="D91" s="122" t="str">
        <f>IFERROR(__xludf.DUMMYFUNCTION("""COMPUTED_VALUE"""),"Ashley Guk")</f>
        <v>Ashley Guk</v>
      </c>
      <c r="E91" s="122">
        <f>IFERROR(__xludf.DUMMYFUNCTION("""COMPUTED_VALUE"""),10.0)</f>
        <v>10</v>
      </c>
      <c r="F91" s="122" t="str">
        <f>IFERROR(__xludf.DUMMYFUNCTION("""COMPUTED_VALUE"""),"HS202")</f>
        <v>HS202</v>
      </c>
      <c r="G91" s="122" t="str">
        <f>IFERROR(__xludf.DUMMYFUNCTION("""COMPUTED_VALUE"""),"Homeroom")</f>
        <v>Homeroom</v>
      </c>
      <c r="H91" s="122" t="str">
        <f>IFERROR(__xludf.DUMMYFUNCTION("""COMPUTED_VALUE"""),"Present")</f>
        <v>Present</v>
      </c>
      <c r="I91" s="130">
        <f>IFERROR(__xludf.DUMMYFUNCTION("""COMPUTED_VALUE"""),0.3540740740740741)</f>
        <v>0.3540740741</v>
      </c>
      <c r="J91" s="122">
        <f>IFERROR(__xludf.DUMMYFUNCTION("""COMPUTED_VALUE"""),1.0)</f>
        <v>1</v>
      </c>
      <c r="K91" s="123">
        <f>IFERROR(__xludf.DUMMYFUNCTION("""COMPUTED_VALUE"""),10.0)</f>
        <v>10</v>
      </c>
      <c r="L91" s="122" t="str">
        <f>IFERROR(__xludf.DUMMYFUNCTION("""COMPUTED_VALUE"""),"On-time reward applied")</f>
        <v>On-time reward applied</v>
      </c>
      <c r="M91" s="122" t="str">
        <f>IFERROR(__xludf.DUMMYFUNCTION("""COMPUTED_VALUE"""),"Success")</f>
        <v>Success</v>
      </c>
    </row>
    <row r="92">
      <c r="A92" s="129">
        <f>IFERROR(__xludf.DUMMYFUNCTION("""COMPUTED_VALUE"""),46181.35697916667)</f>
        <v>46181.35698</v>
      </c>
      <c r="B92" s="126">
        <f>IFERROR(__xludf.DUMMYFUNCTION("""COMPUTED_VALUE"""),46181.0)</f>
        <v>46181</v>
      </c>
      <c r="C92" s="122" t="str">
        <f>IFERROR(__xludf.DUMMYFUNCTION("""COMPUTED_VALUE"""),"9a5f2811")</f>
        <v>9a5f2811</v>
      </c>
      <c r="D92" s="122" t="str">
        <f>IFERROR(__xludf.DUMMYFUNCTION("""COMPUTED_VALUE"""),"Junyoung Yoo")</f>
        <v>Junyoung Yoo</v>
      </c>
      <c r="E92" s="122">
        <f>IFERROR(__xludf.DUMMYFUNCTION("""COMPUTED_VALUE"""),10.0)</f>
        <v>10</v>
      </c>
      <c r="F92" s="122" t="str">
        <f>IFERROR(__xludf.DUMMYFUNCTION("""COMPUTED_VALUE"""),"HS202")</f>
        <v>HS202</v>
      </c>
      <c r="G92" s="122" t="str">
        <f>IFERROR(__xludf.DUMMYFUNCTION("""COMPUTED_VALUE"""),"Homeroom")</f>
        <v>Homeroom</v>
      </c>
      <c r="H92" s="122" t="str">
        <f>IFERROR(__xludf.DUMMYFUNCTION("""COMPUTED_VALUE"""),"Present")</f>
        <v>Present</v>
      </c>
      <c r="I92" s="130">
        <f>IFERROR(__xludf.DUMMYFUNCTION("""COMPUTED_VALUE"""),0.3569791666666667)</f>
        <v>0.3569791667</v>
      </c>
      <c r="J92" s="122">
        <f>IFERROR(__xludf.DUMMYFUNCTION("""COMPUTED_VALUE"""),1.0)</f>
        <v>1</v>
      </c>
      <c r="K92" s="123">
        <f>IFERROR(__xludf.DUMMYFUNCTION("""COMPUTED_VALUE"""),10.0)</f>
        <v>10</v>
      </c>
      <c r="L92" s="122" t="str">
        <f>IFERROR(__xludf.DUMMYFUNCTION("""COMPUTED_VALUE"""),"On-time reward applied")</f>
        <v>On-time reward applied</v>
      </c>
      <c r="M92" s="122" t="str">
        <f>IFERROR(__xludf.DUMMYFUNCTION("""COMPUTED_VALUE"""),"Success")</f>
        <v>Success</v>
      </c>
    </row>
    <row r="93">
      <c r="A93" s="129">
        <f>IFERROR(__xludf.DUMMYFUNCTION("""COMPUTED_VALUE"""),46181.357141203705)</f>
        <v>46181.35714</v>
      </c>
      <c r="B93" s="126">
        <f>IFERROR(__xludf.DUMMYFUNCTION("""COMPUTED_VALUE"""),46181.0)</f>
        <v>46181</v>
      </c>
      <c r="C93" s="122" t="str">
        <f>IFERROR(__xludf.DUMMYFUNCTION("""COMPUTED_VALUE"""),"1e3e1410")</f>
        <v>1e3e1410</v>
      </c>
      <c r="D93" s="122" t="str">
        <f>IFERROR(__xludf.DUMMYFUNCTION("""COMPUTED_VALUE"""),"Junjae Park")</f>
        <v>Junjae Park</v>
      </c>
      <c r="E93" s="122">
        <f>IFERROR(__xludf.DUMMYFUNCTION("""COMPUTED_VALUE"""),10.0)</f>
        <v>10</v>
      </c>
      <c r="F93" s="122" t="str">
        <f>IFERROR(__xludf.DUMMYFUNCTION("""COMPUTED_VALUE"""),"HS202")</f>
        <v>HS202</v>
      </c>
      <c r="G93" s="122" t="str">
        <f>IFERROR(__xludf.DUMMYFUNCTION("""COMPUTED_VALUE"""),"Homeroom")</f>
        <v>Homeroom</v>
      </c>
      <c r="H93" s="122" t="str">
        <f>IFERROR(__xludf.DUMMYFUNCTION("""COMPUTED_VALUE"""),"Present")</f>
        <v>Present</v>
      </c>
      <c r="I93" s="130">
        <f>IFERROR(__xludf.DUMMYFUNCTION("""COMPUTED_VALUE"""),0.3571412037037037)</f>
        <v>0.3571412037</v>
      </c>
      <c r="J93" s="122">
        <f>IFERROR(__xludf.DUMMYFUNCTION("""COMPUTED_VALUE"""),1.0)</f>
        <v>1</v>
      </c>
      <c r="K93" s="123">
        <f>IFERROR(__xludf.DUMMYFUNCTION("""COMPUTED_VALUE"""),10.0)</f>
        <v>10</v>
      </c>
      <c r="L93" s="122" t="str">
        <f>IFERROR(__xludf.DUMMYFUNCTION("""COMPUTED_VALUE"""),"On-time reward applied")</f>
        <v>On-time reward applied</v>
      </c>
      <c r="M93" s="122" t="str">
        <f>IFERROR(__xludf.DUMMYFUNCTION("""COMPUTED_VALUE"""),"Success")</f>
        <v>Success</v>
      </c>
    </row>
    <row r="94">
      <c r="A94" s="129">
        <f>IFERROR(__xludf.DUMMYFUNCTION("""COMPUTED_VALUE"""),46181.35736111111)</f>
        <v>46181.35736</v>
      </c>
      <c r="B94" s="126">
        <f>IFERROR(__xludf.DUMMYFUNCTION("""COMPUTED_VALUE"""),46181.0)</f>
        <v>46181</v>
      </c>
      <c r="C94" s="122" t="str">
        <f>IFERROR(__xludf.DUMMYFUNCTION("""COMPUTED_VALUE"""),"ba353911")</f>
        <v>ba353911</v>
      </c>
      <c r="D94" s="122" t="str">
        <f>IFERROR(__xludf.DUMMYFUNCTION("""COMPUTED_VALUE"""),"Dayeon Kang")</f>
        <v>Dayeon Kang</v>
      </c>
      <c r="E94" s="122">
        <f>IFERROR(__xludf.DUMMYFUNCTION("""COMPUTED_VALUE"""),10.0)</f>
        <v>10</v>
      </c>
      <c r="F94" s="122" t="str">
        <f>IFERROR(__xludf.DUMMYFUNCTION("""COMPUTED_VALUE"""),"HS202")</f>
        <v>HS202</v>
      </c>
      <c r="G94" s="122" t="str">
        <f>IFERROR(__xludf.DUMMYFUNCTION("""COMPUTED_VALUE"""),"Homeroom")</f>
        <v>Homeroom</v>
      </c>
      <c r="H94" s="122" t="str">
        <f>IFERROR(__xludf.DUMMYFUNCTION("""COMPUTED_VALUE"""),"Present")</f>
        <v>Present</v>
      </c>
      <c r="I94" s="130">
        <f>IFERROR(__xludf.DUMMYFUNCTION("""COMPUTED_VALUE"""),0.35736111111111113)</f>
        <v>0.3573611111</v>
      </c>
      <c r="J94" s="122">
        <f>IFERROR(__xludf.DUMMYFUNCTION("""COMPUTED_VALUE"""),1.0)</f>
        <v>1</v>
      </c>
      <c r="K94" s="123">
        <f>IFERROR(__xludf.DUMMYFUNCTION("""COMPUTED_VALUE"""),10.0)</f>
        <v>10</v>
      </c>
      <c r="L94" s="122" t="str">
        <f>IFERROR(__xludf.DUMMYFUNCTION("""COMPUTED_VALUE"""),"On-time reward applied")</f>
        <v>On-time reward applied</v>
      </c>
      <c r="M94" s="122" t="str">
        <f>IFERROR(__xludf.DUMMYFUNCTION("""COMPUTED_VALUE"""),"Success")</f>
        <v>Success</v>
      </c>
    </row>
    <row r="95">
      <c r="A95" s="129">
        <f>IFERROR(__xludf.DUMMYFUNCTION("""COMPUTED_VALUE"""),46181.366122685184)</f>
        <v>46181.36612</v>
      </c>
      <c r="B95" s="126">
        <f>IFERROR(__xludf.DUMMYFUNCTION("""COMPUTED_VALUE"""),46181.0)</f>
        <v>46181</v>
      </c>
      <c r="C95" s="122" t="str">
        <f>IFERROR(__xludf.DUMMYFUNCTION("""COMPUTED_VALUE"""),"ba0fc5c4")</f>
        <v>ba0fc5c4</v>
      </c>
      <c r="D95" s="122" t="str">
        <f>IFERROR(__xludf.DUMMYFUNCTION("""COMPUTED_VALUE"""),"Junwoo Kang")</f>
        <v>Junwoo Kang</v>
      </c>
      <c r="E95" s="122">
        <f>IFERROR(__xludf.DUMMYFUNCTION("""COMPUTED_VALUE"""),10.0)</f>
        <v>10</v>
      </c>
      <c r="F95" s="122" t="str">
        <f>IFERROR(__xludf.DUMMYFUNCTION("""COMPUTED_VALUE"""),"HS202")</f>
        <v>HS202</v>
      </c>
      <c r="G95" s="122" t="str">
        <f>IFERROR(__xludf.DUMMYFUNCTION("""COMPUTED_VALUE"""),"Homeroom")</f>
        <v>Homeroom</v>
      </c>
      <c r="H95" s="122" t="str">
        <f>IFERROR(__xludf.DUMMYFUNCTION("""COMPUTED_VALUE"""),"Late")</f>
        <v>Late</v>
      </c>
      <c r="I95" s="130">
        <f>IFERROR(__xludf.DUMMYFUNCTION("""COMPUTED_VALUE"""),0.3661226851851852)</f>
        <v>0.3661226852</v>
      </c>
      <c r="J95" s="122">
        <f>IFERROR(__xludf.DUMMYFUNCTION("""COMPUTED_VALUE"""),0.0)</f>
        <v>0</v>
      </c>
      <c r="K95" s="123">
        <f>IFERROR(__xludf.DUMMYFUNCTION("""COMPUTED_VALUE"""),0.0)</f>
        <v>0</v>
      </c>
      <c r="L95" s="122" t="str">
        <f>IFERROR(__xludf.DUMMYFUNCTION("""COMPUTED_VALUE"""),"Late penalty applied")</f>
        <v>Late penalty applied</v>
      </c>
      <c r="M95" s="122" t="str">
        <f>IFERROR(__xludf.DUMMYFUNCTION("""COMPUTED_VALUE"""),"Success")</f>
        <v>Success</v>
      </c>
    </row>
    <row r="96">
      <c r="A96" s="129">
        <f>IFERROR(__xludf.DUMMYFUNCTION("""COMPUTED_VALUE"""),46182.34721064815)</f>
        <v>46182.34721</v>
      </c>
      <c r="B96" s="126">
        <f>IFERROR(__xludf.DUMMYFUNCTION("""COMPUTED_VALUE"""),46182.0)</f>
        <v>46182</v>
      </c>
      <c r="C96" s="122" t="str">
        <f>IFERROR(__xludf.DUMMYFUNCTION("""COMPUTED_VALUE"""),"5c07fef4")</f>
        <v>5c07fef4</v>
      </c>
      <c r="D96" s="122" t="str">
        <f>IFERROR(__xludf.DUMMYFUNCTION("""COMPUTED_VALUE"""),"Tiffany Kim")</f>
        <v>Tiffany Kim</v>
      </c>
      <c r="E96" s="122">
        <f>IFERROR(__xludf.DUMMYFUNCTION("""COMPUTED_VALUE"""),10.0)</f>
        <v>10</v>
      </c>
      <c r="F96" s="122" t="str">
        <f>IFERROR(__xludf.DUMMYFUNCTION("""COMPUTED_VALUE"""),"HS202")</f>
        <v>HS202</v>
      </c>
      <c r="G96" s="122" t="str">
        <f>IFERROR(__xludf.DUMMYFUNCTION("""COMPUTED_VALUE"""),"Homeroom")</f>
        <v>Homeroom</v>
      </c>
      <c r="H96" s="122" t="str">
        <f>IFERROR(__xludf.DUMMYFUNCTION("""COMPUTED_VALUE"""),"Present")</f>
        <v>Present</v>
      </c>
      <c r="I96" s="130">
        <f>IFERROR(__xludf.DUMMYFUNCTION("""COMPUTED_VALUE"""),0.34721064814814817)</f>
        <v>0.3472106481</v>
      </c>
      <c r="J96" s="122">
        <f>IFERROR(__xludf.DUMMYFUNCTION("""COMPUTED_VALUE"""),2.0)</f>
        <v>2</v>
      </c>
      <c r="K96" s="123">
        <f>IFERROR(__xludf.DUMMYFUNCTION("""COMPUTED_VALUE"""),10.0)</f>
        <v>10</v>
      </c>
      <c r="L96" s="122" t="str">
        <f>IFERROR(__xludf.DUMMYFUNCTION("""COMPUTED_VALUE"""),"On-time reward applied")</f>
        <v>On-time reward applied</v>
      </c>
      <c r="M96" s="122" t="str">
        <f>IFERROR(__xludf.DUMMYFUNCTION("""COMPUTED_VALUE"""),"Success")</f>
        <v>Success</v>
      </c>
    </row>
    <row r="97">
      <c r="A97" s="129">
        <f>IFERROR(__xludf.DUMMYFUNCTION("""COMPUTED_VALUE"""),46182.34798611111)</f>
        <v>46182.34799</v>
      </c>
      <c r="B97" s="126">
        <f>IFERROR(__xludf.DUMMYFUNCTION("""COMPUTED_VALUE"""),46182.0)</f>
        <v>46182</v>
      </c>
      <c r="C97" s="122" t="str">
        <f>IFERROR(__xludf.DUMMYFUNCTION("""COMPUTED_VALUE"""),"ae072910")</f>
        <v>ae072910</v>
      </c>
      <c r="D97" s="122" t="str">
        <f>IFERROR(__xludf.DUMMYFUNCTION("""COMPUTED_VALUE"""),"Selena Jung")</f>
        <v>Selena Jung</v>
      </c>
      <c r="E97" s="122">
        <f>IFERROR(__xludf.DUMMYFUNCTION("""COMPUTED_VALUE"""),10.0)</f>
        <v>10</v>
      </c>
      <c r="F97" s="122" t="str">
        <f>IFERROR(__xludf.DUMMYFUNCTION("""COMPUTED_VALUE"""),"HS202")</f>
        <v>HS202</v>
      </c>
      <c r="G97" s="122" t="str">
        <f>IFERROR(__xludf.DUMMYFUNCTION("""COMPUTED_VALUE"""),"Homeroom")</f>
        <v>Homeroom</v>
      </c>
      <c r="H97" s="122" t="str">
        <f>IFERROR(__xludf.DUMMYFUNCTION("""COMPUTED_VALUE"""),"Present")</f>
        <v>Present</v>
      </c>
      <c r="I97" s="130">
        <f>IFERROR(__xludf.DUMMYFUNCTION("""COMPUTED_VALUE"""),0.3479861111111111)</f>
        <v>0.3479861111</v>
      </c>
      <c r="J97" s="122">
        <f>IFERROR(__xludf.DUMMYFUNCTION("""COMPUTED_VALUE"""),2.0)</f>
        <v>2</v>
      </c>
      <c r="K97" s="123">
        <f>IFERROR(__xludf.DUMMYFUNCTION("""COMPUTED_VALUE"""),10.0)</f>
        <v>10</v>
      </c>
      <c r="L97" s="122" t="str">
        <f>IFERROR(__xludf.DUMMYFUNCTION("""COMPUTED_VALUE"""),"On-time reward applied")</f>
        <v>On-time reward applied</v>
      </c>
      <c r="M97" s="122" t="str">
        <f>IFERROR(__xludf.DUMMYFUNCTION("""COMPUTED_VALUE"""),"Success")</f>
        <v>Success</v>
      </c>
    </row>
    <row r="98">
      <c r="A98" s="129">
        <f>IFERROR(__xludf.DUMMYFUNCTION("""COMPUTED_VALUE"""),46182.3516087963)</f>
        <v>46182.35161</v>
      </c>
      <c r="B98" s="126">
        <f>IFERROR(__xludf.DUMMYFUNCTION("""COMPUTED_VALUE"""),46182.0)</f>
        <v>46182</v>
      </c>
      <c r="C98" s="122" t="str">
        <f>IFERROR(__xludf.DUMMYFUNCTION("""COMPUTED_VALUE"""),"dc04eef4")</f>
        <v>dc04eef4</v>
      </c>
      <c r="D98" s="122" t="str">
        <f>IFERROR(__xludf.DUMMYFUNCTION("""COMPUTED_VALUE"""),"Joshua Jung")</f>
        <v>Joshua Jung</v>
      </c>
      <c r="E98" s="122">
        <f>IFERROR(__xludf.DUMMYFUNCTION("""COMPUTED_VALUE"""),10.0)</f>
        <v>10</v>
      </c>
      <c r="F98" s="122" t="str">
        <f>IFERROR(__xludf.DUMMYFUNCTION("""COMPUTED_VALUE"""),"HS202")</f>
        <v>HS202</v>
      </c>
      <c r="G98" s="122" t="str">
        <f>IFERROR(__xludf.DUMMYFUNCTION("""COMPUTED_VALUE"""),"Homeroom")</f>
        <v>Homeroom</v>
      </c>
      <c r="H98" s="122" t="str">
        <f>IFERROR(__xludf.DUMMYFUNCTION("""COMPUTED_VALUE"""),"Present")</f>
        <v>Present</v>
      </c>
      <c r="I98" s="130">
        <f>IFERROR(__xludf.DUMMYFUNCTION("""COMPUTED_VALUE"""),0.3516087962962963)</f>
        <v>0.3516087963</v>
      </c>
      <c r="J98" s="122">
        <f>IFERROR(__xludf.DUMMYFUNCTION("""COMPUTED_VALUE"""),2.0)</f>
        <v>2</v>
      </c>
      <c r="K98" s="123">
        <f>IFERROR(__xludf.DUMMYFUNCTION("""COMPUTED_VALUE"""),10.0)</f>
        <v>10</v>
      </c>
      <c r="L98" s="122" t="str">
        <f>IFERROR(__xludf.DUMMYFUNCTION("""COMPUTED_VALUE"""),"On-time reward applied")</f>
        <v>On-time reward applied</v>
      </c>
      <c r="M98" s="122" t="str">
        <f>IFERROR(__xludf.DUMMYFUNCTION("""COMPUTED_VALUE"""),"Success")</f>
        <v>Success</v>
      </c>
    </row>
    <row r="99">
      <c r="A99" s="129">
        <f>IFERROR(__xludf.DUMMYFUNCTION("""COMPUTED_VALUE"""),46182.35254629629)</f>
        <v>46182.35255</v>
      </c>
      <c r="B99" s="126">
        <f>IFERROR(__xludf.DUMMYFUNCTION("""COMPUTED_VALUE"""),46182.0)</f>
        <v>46182</v>
      </c>
      <c r="C99" s="122" t="str">
        <f>IFERROR(__xludf.DUMMYFUNCTION("""COMPUTED_VALUE"""),"ba912211")</f>
        <v>ba912211</v>
      </c>
      <c r="D99" s="122" t="str">
        <f>IFERROR(__xludf.DUMMYFUNCTION("""COMPUTED_VALUE"""),"Daisy Doh")</f>
        <v>Daisy Doh</v>
      </c>
      <c r="E99" s="122">
        <f>IFERROR(__xludf.DUMMYFUNCTION("""COMPUTED_VALUE"""),10.0)</f>
        <v>10</v>
      </c>
      <c r="F99" s="122" t="str">
        <f>IFERROR(__xludf.DUMMYFUNCTION("""COMPUTED_VALUE"""),"HS202")</f>
        <v>HS202</v>
      </c>
      <c r="G99" s="122" t="str">
        <f>IFERROR(__xludf.DUMMYFUNCTION("""COMPUTED_VALUE"""),"Homeroom")</f>
        <v>Homeroom</v>
      </c>
      <c r="H99" s="122" t="str">
        <f>IFERROR(__xludf.DUMMYFUNCTION("""COMPUTED_VALUE"""),"Present")</f>
        <v>Present</v>
      </c>
      <c r="I99" s="130">
        <f>IFERROR(__xludf.DUMMYFUNCTION("""COMPUTED_VALUE"""),0.3525462962962963)</f>
        <v>0.3525462963</v>
      </c>
      <c r="J99" s="122">
        <f>IFERROR(__xludf.DUMMYFUNCTION("""COMPUTED_VALUE"""),2.0)</f>
        <v>2</v>
      </c>
      <c r="K99" s="123">
        <f>IFERROR(__xludf.DUMMYFUNCTION("""COMPUTED_VALUE"""),10.0)</f>
        <v>10</v>
      </c>
      <c r="L99" s="122" t="str">
        <f>IFERROR(__xludf.DUMMYFUNCTION("""COMPUTED_VALUE"""),"On-time reward applied")</f>
        <v>On-time reward applied</v>
      </c>
      <c r="M99" s="122" t="str">
        <f>IFERROR(__xludf.DUMMYFUNCTION("""COMPUTED_VALUE"""),"Success")</f>
        <v>Success</v>
      </c>
    </row>
    <row r="100">
      <c r="A100" s="129">
        <f>IFERROR(__xludf.DUMMYFUNCTION("""COMPUTED_VALUE"""),46182.353796296295)</f>
        <v>46182.3538</v>
      </c>
      <c r="B100" s="126">
        <f>IFERROR(__xludf.DUMMYFUNCTION("""COMPUTED_VALUE"""),46182.0)</f>
        <v>46182</v>
      </c>
      <c r="C100" s="122" t="str">
        <f>IFERROR(__xludf.DUMMYFUNCTION("""COMPUTED_VALUE"""),"1e3e1410")</f>
        <v>1e3e1410</v>
      </c>
      <c r="D100" s="122" t="str">
        <f>IFERROR(__xludf.DUMMYFUNCTION("""COMPUTED_VALUE"""),"Junjae Park")</f>
        <v>Junjae Park</v>
      </c>
      <c r="E100" s="122">
        <f>IFERROR(__xludf.DUMMYFUNCTION("""COMPUTED_VALUE"""),10.0)</f>
        <v>10</v>
      </c>
      <c r="F100" s="122" t="str">
        <f>IFERROR(__xludf.DUMMYFUNCTION("""COMPUTED_VALUE"""),"HS202")</f>
        <v>HS202</v>
      </c>
      <c r="G100" s="122" t="str">
        <f>IFERROR(__xludf.DUMMYFUNCTION("""COMPUTED_VALUE"""),"Homeroom")</f>
        <v>Homeroom</v>
      </c>
      <c r="H100" s="122" t="str">
        <f>IFERROR(__xludf.DUMMYFUNCTION("""COMPUTED_VALUE"""),"Present")</f>
        <v>Present</v>
      </c>
      <c r="I100" s="130">
        <f>IFERROR(__xludf.DUMMYFUNCTION("""COMPUTED_VALUE"""),0.3537962962962963)</f>
        <v>0.3537962963</v>
      </c>
      <c r="J100" s="122">
        <f>IFERROR(__xludf.DUMMYFUNCTION("""COMPUTED_VALUE"""),2.0)</f>
        <v>2</v>
      </c>
      <c r="K100" s="123">
        <f>IFERROR(__xludf.DUMMYFUNCTION("""COMPUTED_VALUE"""),10.0)</f>
        <v>10</v>
      </c>
      <c r="L100" s="122" t="str">
        <f>IFERROR(__xludf.DUMMYFUNCTION("""COMPUTED_VALUE"""),"On-time reward applied")</f>
        <v>On-time reward applied</v>
      </c>
      <c r="M100" s="122" t="str">
        <f>IFERROR(__xludf.DUMMYFUNCTION("""COMPUTED_VALUE"""),"Success")</f>
        <v>Success</v>
      </c>
    </row>
    <row r="101">
      <c r="A101" s="129">
        <f>IFERROR(__xludf.DUMMYFUNCTION("""COMPUTED_VALUE"""),46182.35471064815)</f>
        <v>46182.35471</v>
      </c>
      <c r="B101" s="126">
        <f>IFERROR(__xludf.DUMMYFUNCTION("""COMPUTED_VALUE"""),46182.0)</f>
        <v>46182</v>
      </c>
      <c r="C101" s="122" t="str">
        <f>IFERROR(__xludf.DUMMYFUNCTION("""COMPUTED_VALUE"""),"7c4e261e")</f>
        <v>7c4e261e</v>
      </c>
      <c r="D101" s="122" t="str">
        <f>IFERROR(__xludf.DUMMYFUNCTION("""COMPUTED_VALUE"""),"Suha Lee")</f>
        <v>Suha Lee</v>
      </c>
      <c r="E101" s="122">
        <f>IFERROR(__xludf.DUMMYFUNCTION("""COMPUTED_VALUE"""),10.0)</f>
        <v>10</v>
      </c>
      <c r="F101" s="122" t="str">
        <f>IFERROR(__xludf.DUMMYFUNCTION("""COMPUTED_VALUE"""),"HS202")</f>
        <v>HS202</v>
      </c>
      <c r="G101" s="122" t="str">
        <f>IFERROR(__xludf.DUMMYFUNCTION("""COMPUTED_VALUE"""),"Homeroom")</f>
        <v>Homeroom</v>
      </c>
      <c r="H101" s="122" t="str">
        <f>IFERROR(__xludf.DUMMYFUNCTION("""COMPUTED_VALUE"""),"Present")</f>
        <v>Present</v>
      </c>
      <c r="I101" s="130">
        <f>IFERROR(__xludf.DUMMYFUNCTION("""COMPUTED_VALUE"""),0.3547106481481481)</f>
        <v>0.3547106481</v>
      </c>
      <c r="J101" s="122">
        <f>IFERROR(__xludf.DUMMYFUNCTION("""COMPUTED_VALUE"""),1.0)</f>
        <v>1</v>
      </c>
      <c r="K101" s="123">
        <f>IFERROR(__xludf.DUMMYFUNCTION("""COMPUTED_VALUE"""),10.0)</f>
        <v>10</v>
      </c>
      <c r="L101" s="122" t="str">
        <f>IFERROR(__xludf.DUMMYFUNCTION("""COMPUTED_VALUE"""),"On-time reward applied")</f>
        <v>On-time reward applied</v>
      </c>
      <c r="M101" s="122" t="str">
        <f>IFERROR(__xludf.DUMMYFUNCTION("""COMPUTED_VALUE"""),"Success")</f>
        <v>Success</v>
      </c>
    </row>
    <row r="102">
      <c r="A102" s="129">
        <f>IFERROR(__xludf.DUMMYFUNCTION("""COMPUTED_VALUE"""),46182.35686342593)</f>
        <v>46182.35686</v>
      </c>
      <c r="B102" s="126">
        <f>IFERROR(__xludf.DUMMYFUNCTION("""COMPUTED_VALUE"""),46182.0)</f>
        <v>46182</v>
      </c>
      <c r="C102" s="122" t="str">
        <f>IFERROR(__xludf.DUMMYFUNCTION("""COMPUTED_VALUE"""),"9a5f2811")</f>
        <v>9a5f2811</v>
      </c>
      <c r="D102" s="122" t="str">
        <f>IFERROR(__xludf.DUMMYFUNCTION("""COMPUTED_VALUE"""),"Junyoung Yoo")</f>
        <v>Junyoung Yoo</v>
      </c>
      <c r="E102" s="122">
        <f>IFERROR(__xludf.DUMMYFUNCTION("""COMPUTED_VALUE"""),10.0)</f>
        <v>10</v>
      </c>
      <c r="F102" s="122" t="str">
        <f>IFERROR(__xludf.DUMMYFUNCTION("""COMPUTED_VALUE"""),"HS202")</f>
        <v>HS202</v>
      </c>
      <c r="G102" s="122" t="str">
        <f>IFERROR(__xludf.DUMMYFUNCTION("""COMPUTED_VALUE"""),"Homeroom")</f>
        <v>Homeroom</v>
      </c>
      <c r="H102" s="122" t="str">
        <f>IFERROR(__xludf.DUMMYFUNCTION("""COMPUTED_VALUE"""),"Present")</f>
        <v>Present</v>
      </c>
      <c r="I102" s="130">
        <f>IFERROR(__xludf.DUMMYFUNCTION("""COMPUTED_VALUE"""),0.3568634259259259)</f>
        <v>0.3568634259</v>
      </c>
      <c r="J102" s="122">
        <f>IFERROR(__xludf.DUMMYFUNCTION("""COMPUTED_VALUE"""),2.0)</f>
        <v>2</v>
      </c>
      <c r="K102" s="123">
        <f>IFERROR(__xludf.DUMMYFUNCTION("""COMPUTED_VALUE"""),10.0)</f>
        <v>10</v>
      </c>
      <c r="L102" s="122" t="str">
        <f>IFERROR(__xludf.DUMMYFUNCTION("""COMPUTED_VALUE"""),"On-time reward applied")</f>
        <v>On-time reward applied</v>
      </c>
      <c r="M102" s="122" t="str">
        <f>IFERROR(__xludf.DUMMYFUNCTION("""COMPUTED_VALUE"""),"Success")</f>
        <v>Success</v>
      </c>
    </row>
    <row r="103">
      <c r="A103" s="129">
        <f>IFERROR(__xludf.DUMMYFUNCTION("""COMPUTED_VALUE"""),46182.35724537037)</f>
        <v>46182.35725</v>
      </c>
      <c r="B103" s="126">
        <f>IFERROR(__xludf.DUMMYFUNCTION("""COMPUTED_VALUE"""),46182.0)</f>
        <v>46182</v>
      </c>
      <c r="C103" s="122" t="str">
        <f>IFERROR(__xludf.DUMMYFUNCTION("""COMPUTED_VALUE"""),"ba353911")</f>
        <v>ba353911</v>
      </c>
      <c r="D103" s="122" t="str">
        <f>IFERROR(__xludf.DUMMYFUNCTION("""COMPUTED_VALUE"""),"Dayeon Kang")</f>
        <v>Dayeon Kang</v>
      </c>
      <c r="E103" s="122">
        <f>IFERROR(__xludf.DUMMYFUNCTION("""COMPUTED_VALUE"""),10.0)</f>
        <v>10</v>
      </c>
      <c r="F103" s="122" t="str">
        <f>IFERROR(__xludf.DUMMYFUNCTION("""COMPUTED_VALUE"""),"HS202")</f>
        <v>HS202</v>
      </c>
      <c r="G103" s="122" t="str">
        <f>IFERROR(__xludf.DUMMYFUNCTION("""COMPUTED_VALUE"""),"Homeroom")</f>
        <v>Homeroom</v>
      </c>
      <c r="H103" s="122" t="str">
        <f>IFERROR(__xludf.DUMMYFUNCTION("""COMPUTED_VALUE"""),"Present")</f>
        <v>Present</v>
      </c>
      <c r="I103" s="130">
        <f>IFERROR(__xludf.DUMMYFUNCTION("""COMPUTED_VALUE"""),0.35724537037037035)</f>
        <v>0.3572453704</v>
      </c>
      <c r="J103" s="122">
        <f>IFERROR(__xludf.DUMMYFUNCTION("""COMPUTED_VALUE"""),2.0)</f>
        <v>2</v>
      </c>
      <c r="K103" s="123">
        <f>IFERROR(__xludf.DUMMYFUNCTION("""COMPUTED_VALUE"""),10.0)</f>
        <v>10</v>
      </c>
      <c r="L103" s="122" t="str">
        <f>IFERROR(__xludf.DUMMYFUNCTION("""COMPUTED_VALUE"""),"On-time reward applied")</f>
        <v>On-time reward applied</v>
      </c>
      <c r="M103" s="122" t="str">
        <f>IFERROR(__xludf.DUMMYFUNCTION("""COMPUTED_VALUE"""),"Success")</f>
        <v>Success</v>
      </c>
    </row>
    <row r="104">
      <c r="A104" s="129">
        <f>IFERROR(__xludf.DUMMYFUNCTION("""COMPUTED_VALUE"""),46182.35805555555)</f>
        <v>46182.35806</v>
      </c>
      <c r="B104" s="126">
        <f>IFERROR(__xludf.DUMMYFUNCTION("""COMPUTED_VALUE"""),46182.0)</f>
        <v>46182</v>
      </c>
      <c r="C104" s="122" t="str">
        <f>IFERROR(__xludf.DUMMYFUNCTION("""COMPUTED_VALUE"""),"5a032611")</f>
        <v>5a032611</v>
      </c>
      <c r="D104" s="122" t="str">
        <f>IFERROR(__xludf.DUMMYFUNCTION("""COMPUTED_VALUE"""),"Harold Dou")</f>
        <v>Harold Dou</v>
      </c>
      <c r="E104" s="122">
        <f>IFERROR(__xludf.DUMMYFUNCTION("""COMPUTED_VALUE"""),10.0)</f>
        <v>10</v>
      </c>
      <c r="F104" s="122" t="str">
        <f>IFERROR(__xludf.DUMMYFUNCTION("""COMPUTED_VALUE"""),"HS202")</f>
        <v>HS202</v>
      </c>
      <c r="G104" s="122" t="str">
        <f>IFERROR(__xludf.DUMMYFUNCTION("""COMPUTED_VALUE"""),"Homeroom")</f>
        <v>Homeroom</v>
      </c>
      <c r="H104" s="122" t="str">
        <f>IFERROR(__xludf.DUMMYFUNCTION("""COMPUTED_VALUE"""),"Present")</f>
        <v>Present</v>
      </c>
      <c r="I104" s="130">
        <f>IFERROR(__xludf.DUMMYFUNCTION("""COMPUTED_VALUE"""),0.35805555555555557)</f>
        <v>0.3580555556</v>
      </c>
      <c r="J104" s="122">
        <f>IFERROR(__xludf.DUMMYFUNCTION("""COMPUTED_VALUE"""),2.0)</f>
        <v>2</v>
      </c>
      <c r="K104" s="123">
        <f>IFERROR(__xludf.DUMMYFUNCTION("""COMPUTED_VALUE"""),10.0)</f>
        <v>10</v>
      </c>
      <c r="L104" s="122" t="str">
        <f>IFERROR(__xludf.DUMMYFUNCTION("""COMPUTED_VALUE"""),"On-time reward applied")</f>
        <v>On-time reward applied</v>
      </c>
      <c r="M104" s="122" t="str">
        <f>IFERROR(__xludf.DUMMYFUNCTION("""COMPUTED_VALUE"""),"Success")</f>
        <v>Success</v>
      </c>
    </row>
    <row r="105">
      <c r="A105" s="129">
        <f>IFERROR(__xludf.DUMMYFUNCTION("""COMPUTED_VALUE"""),46183.34607638889)</f>
        <v>46183.34608</v>
      </c>
      <c r="B105" s="126">
        <f>IFERROR(__xludf.DUMMYFUNCTION("""COMPUTED_VALUE"""),46183.0)</f>
        <v>46183</v>
      </c>
      <c r="C105" s="122" t="str">
        <f>IFERROR(__xludf.DUMMYFUNCTION("""COMPUTED_VALUE"""),"ba912211")</f>
        <v>ba912211</v>
      </c>
      <c r="D105" s="122" t="str">
        <f>IFERROR(__xludf.DUMMYFUNCTION("""COMPUTED_VALUE"""),"Daisy Doh")</f>
        <v>Daisy Doh</v>
      </c>
      <c r="E105" s="122">
        <f>IFERROR(__xludf.DUMMYFUNCTION("""COMPUTED_VALUE"""),10.0)</f>
        <v>10</v>
      </c>
      <c r="F105" s="122" t="str">
        <f>IFERROR(__xludf.DUMMYFUNCTION("""COMPUTED_VALUE"""),"HS202")</f>
        <v>HS202</v>
      </c>
      <c r="G105" s="122" t="str">
        <f>IFERROR(__xludf.DUMMYFUNCTION("""COMPUTED_VALUE"""),"Homeroom")</f>
        <v>Homeroom</v>
      </c>
      <c r="H105" s="122" t="str">
        <f>IFERROR(__xludf.DUMMYFUNCTION("""COMPUTED_VALUE"""),"Present")</f>
        <v>Present</v>
      </c>
      <c r="I105" s="130">
        <f>IFERROR(__xludf.DUMMYFUNCTION("""COMPUTED_VALUE"""),0.34607638888888886)</f>
        <v>0.3460763889</v>
      </c>
      <c r="J105" s="122">
        <f>IFERROR(__xludf.DUMMYFUNCTION("""COMPUTED_VALUE"""),3.0)</f>
        <v>3</v>
      </c>
      <c r="K105" s="123">
        <f>IFERROR(__xludf.DUMMYFUNCTION("""COMPUTED_VALUE"""),10.0)</f>
        <v>10</v>
      </c>
      <c r="L105" s="122" t="str">
        <f>IFERROR(__xludf.DUMMYFUNCTION("""COMPUTED_VALUE"""),"On-time reward applied")</f>
        <v>On-time reward applied</v>
      </c>
      <c r="M105" s="122" t="str">
        <f>IFERROR(__xludf.DUMMYFUNCTION("""COMPUTED_VALUE"""),"Success")</f>
        <v>Success</v>
      </c>
    </row>
    <row r="106">
      <c r="A106" s="129">
        <f>IFERROR(__xludf.DUMMYFUNCTION("""COMPUTED_VALUE"""),46183.350486111114)</f>
        <v>46183.35049</v>
      </c>
      <c r="B106" s="126">
        <f>IFERROR(__xludf.DUMMYFUNCTION("""COMPUTED_VALUE"""),46183.0)</f>
        <v>46183</v>
      </c>
      <c r="C106" s="122" t="str">
        <f>IFERROR(__xludf.DUMMYFUNCTION("""COMPUTED_VALUE"""),"5c07fef4")</f>
        <v>5c07fef4</v>
      </c>
      <c r="D106" s="122" t="str">
        <f>IFERROR(__xludf.DUMMYFUNCTION("""COMPUTED_VALUE"""),"Tiffany Kim")</f>
        <v>Tiffany Kim</v>
      </c>
      <c r="E106" s="122">
        <f>IFERROR(__xludf.DUMMYFUNCTION("""COMPUTED_VALUE"""),10.0)</f>
        <v>10</v>
      </c>
      <c r="F106" s="122" t="str">
        <f>IFERROR(__xludf.DUMMYFUNCTION("""COMPUTED_VALUE"""),"HS202")</f>
        <v>HS202</v>
      </c>
      <c r="G106" s="122" t="str">
        <f>IFERROR(__xludf.DUMMYFUNCTION("""COMPUTED_VALUE"""),"Homeroom")</f>
        <v>Homeroom</v>
      </c>
      <c r="H106" s="122" t="str">
        <f>IFERROR(__xludf.DUMMYFUNCTION("""COMPUTED_VALUE"""),"Present")</f>
        <v>Present</v>
      </c>
      <c r="I106" s="130">
        <f>IFERROR(__xludf.DUMMYFUNCTION("""COMPUTED_VALUE"""),0.3504861111111111)</f>
        <v>0.3504861111</v>
      </c>
      <c r="J106" s="122">
        <f>IFERROR(__xludf.DUMMYFUNCTION("""COMPUTED_VALUE"""),3.0)</f>
        <v>3</v>
      </c>
      <c r="K106" s="123">
        <f>IFERROR(__xludf.DUMMYFUNCTION("""COMPUTED_VALUE"""),10.0)</f>
        <v>10</v>
      </c>
      <c r="L106" s="122" t="str">
        <f>IFERROR(__xludf.DUMMYFUNCTION("""COMPUTED_VALUE"""),"On-time reward applied")</f>
        <v>On-time reward applied</v>
      </c>
      <c r="M106" s="122" t="str">
        <f>IFERROR(__xludf.DUMMYFUNCTION("""COMPUTED_VALUE"""),"Success")</f>
        <v>Success</v>
      </c>
    </row>
    <row r="107">
      <c r="A107" s="129">
        <f>IFERROR(__xludf.DUMMYFUNCTION("""COMPUTED_VALUE"""),46183.35239583333)</f>
        <v>46183.3524</v>
      </c>
      <c r="B107" s="126">
        <f>IFERROR(__xludf.DUMMYFUNCTION("""COMPUTED_VALUE"""),46183.0)</f>
        <v>46183</v>
      </c>
      <c r="C107" s="122" t="str">
        <f>IFERROR(__xludf.DUMMYFUNCTION("""COMPUTED_VALUE"""),"ae072910")</f>
        <v>ae072910</v>
      </c>
      <c r="D107" s="122" t="str">
        <f>IFERROR(__xludf.DUMMYFUNCTION("""COMPUTED_VALUE"""),"Selena Jung")</f>
        <v>Selena Jung</v>
      </c>
      <c r="E107" s="122">
        <f>IFERROR(__xludf.DUMMYFUNCTION("""COMPUTED_VALUE"""),10.0)</f>
        <v>10</v>
      </c>
      <c r="F107" s="122" t="str">
        <f>IFERROR(__xludf.DUMMYFUNCTION("""COMPUTED_VALUE"""),"HS202")</f>
        <v>HS202</v>
      </c>
      <c r="G107" s="122" t="str">
        <f>IFERROR(__xludf.DUMMYFUNCTION("""COMPUTED_VALUE"""),"Homeroom")</f>
        <v>Homeroom</v>
      </c>
      <c r="H107" s="122" t="str">
        <f>IFERROR(__xludf.DUMMYFUNCTION("""COMPUTED_VALUE"""),"Present")</f>
        <v>Present</v>
      </c>
      <c r="I107" s="130">
        <f>IFERROR(__xludf.DUMMYFUNCTION("""COMPUTED_VALUE"""),0.35239583333333335)</f>
        <v>0.3523958333</v>
      </c>
      <c r="J107" s="122">
        <f>IFERROR(__xludf.DUMMYFUNCTION("""COMPUTED_VALUE"""),3.0)</f>
        <v>3</v>
      </c>
      <c r="K107" s="123">
        <f>IFERROR(__xludf.DUMMYFUNCTION("""COMPUTED_VALUE"""),10.0)</f>
        <v>10</v>
      </c>
      <c r="L107" s="122" t="str">
        <f>IFERROR(__xludf.DUMMYFUNCTION("""COMPUTED_VALUE"""),"On-time reward applied")</f>
        <v>On-time reward applied</v>
      </c>
      <c r="M107" s="122" t="str">
        <f>IFERROR(__xludf.DUMMYFUNCTION("""COMPUTED_VALUE"""),"Success")</f>
        <v>Success</v>
      </c>
    </row>
    <row r="108">
      <c r="A108" s="129">
        <f>IFERROR(__xludf.DUMMYFUNCTION("""COMPUTED_VALUE"""),46183.35349537037)</f>
        <v>46183.3535</v>
      </c>
      <c r="B108" s="126">
        <f>IFERROR(__xludf.DUMMYFUNCTION("""COMPUTED_VALUE"""),46183.0)</f>
        <v>46183</v>
      </c>
      <c r="C108" s="122" t="str">
        <f>IFERROR(__xludf.DUMMYFUNCTION("""COMPUTED_VALUE"""),"dc04eef4")</f>
        <v>dc04eef4</v>
      </c>
      <c r="D108" s="122" t="str">
        <f>IFERROR(__xludf.DUMMYFUNCTION("""COMPUTED_VALUE"""),"Joshua Jung")</f>
        <v>Joshua Jung</v>
      </c>
      <c r="E108" s="122">
        <f>IFERROR(__xludf.DUMMYFUNCTION("""COMPUTED_VALUE"""),10.0)</f>
        <v>10</v>
      </c>
      <c r="F108" s="122" t="str">
        <f>IFERROR(__xludf.DUMMYFUNCTION("""COMPUTED_VALUE"""),"HS202")</f>
        <v>HS202</v>
      </c>
      <c r="G108" s="122" t="str">
        <f>IFERROR(__xludf.DUMMYFUNCTION("""COMPUTED_VALUE"""),"Homeroom")</f>
        <v>Homeroom</v>
      </c>
      <c r="H108" s="122" t="str">
        <f>IFERROR(__xludf.DUMMYFUNCTION("""COMPUTED_VALUE"""),"Present")</f>
        <v>Present</v>
      </c>
      <c r="I108" s="130">
        <f>IFERROR(__xludf.DUMMYFUNCTION("""COMPUTED_VALUE"""),0.3534953703703704)</f>
        <v>0.3534953704</v>
      </c>
      <c r="J108" s="122">
        <f>IFERROR(__xludf.DUMMYFUNCTION("""COMPUTED_VALUE"""),3.0)</f>
        <v>3</v>
      </c>
      <c r="K108" s="123">
        <f>IFERROR(__xludf.DUMMYFUNCTION("""COMPUTED_VALUE"""),10.0)</f>
        <v>10</v>
      </c>
      <c r="L108" s="122" t="str">
        <f>IFERROR(__xludf.DUMMYFUNCTION("""COMPUTED_VALUE"""),"On-time reward applied")</f>
        <v>On-time reward applied</v>
      </c>
      <c r="M108" s="122" t="str">
        <f>IFERROR(__xludf.DUMMYFUNCTION("""COMPUTED_VALUE"""),"Success")</f>
        <v>Success</v>
      </c>
    </row>
    <row r="109">
      <c r="A109" s="129">
        <f>IFERROR(__xludf.DUMMYFUNCTION("""COMPUTED_VALUE"""),46183.355)</f>
        <v>46183.355</v>
      </c>
      <c r="B109" s="126">
        <f>IFERROR(__xludf.DUMMYFUNCTION("""COMPUTED_VALUE"""),46183.0)</f>
        <v>46183</v>
      </c>
      <c r="C109" s="122" t="str">
        <f>IFERROR(__xludf.DUMMYFUNCTION("""COMPUTED_VALUE"""),"7c4e261e")</f>
        <v>7c4e261e</v>
      </c>
      <c r="D109" s="122" t="str">
        <f>IFERROR(__xludf.DUMMYFUNCTION("""COMPUTED_VALUE"""),"Suha Lee")</f>
        <v>Suha Lee</v>
      </c>
      <c r="E109" s="122">
        <f>IFERROR(__xludf.DUMMYFUNCTION("""COMPUTED_VALUE"""),10.0)</f>
        <v>10</v>
      </c>
      <c r="F109" s="122" t="str">
        <f>IFERROR(__xludf.DUMMYFUNCTION("""COMPUTED_VALUE"""),"HS202")</f>
        <v>HS202</v>
      </c>
      <c r="G109" s="122" t="str">
        <f>IFERROR(__xludf.DUMMYFUNCTION("""COMPUTED_VALUE"""),"Homeroom")</f>
        <v>Homeroom</v>
      </c>
      <c r="H109" s="122" t="str">
        <f>IFERROR(__xludf.DUMMYFUNCTION("""COMPUTED_VALUE"""),"Present")</f>
        <v>Present</v>
      </c>
      <c r="I109" s="130">
        <f>IFERROR(__xludf.DUMMYFUNCTION("""COMPUTED_VALUE"""),0.355)</f>
        <v>0.355</v>
      </c>
      <c r="J109" s="122">
        <f>IFERROR(__xludf.DUMMYFUNCTION("""COMPUTED_VALUE"""),2.0)</f>
        <v>2</v>
      </c>
      <c r="K109" s="123">
        <f>IFERROR(__xludf.DUMMYFUNCTION("""COMPUTED_VALUE"""),10.0)</f>
        <v>10</v>
      </c>
      <c r="L109" s="122" t="str">
        <f>IFERROR(__xludf.DUMMYFUNCTION("""COMPUTED_VALUE"""),"On-time reward applied")</f>
        <v>On-time reward applied</v>
      </c>
      <c r="M109" s="122" t="str">
        <f>IFERROR(__xludf.DUMMYFUNCTION("""COMPUTED_VALUE"""),"Success")</f>
        <v>Success</v>
      </c>
    </row>
    <row r="110">
      <c r="A110" s="129">
        <f>IFERROR(__xludf.DUMMYFUNCTION("""COMPUTED_VALUE"""),46183.35625)</f>
        <v>46183.35625</v>
      </c>
      <c r="B110" s="126">
        <f>IFERROR(__xludf.DUMMYFUNCTION("""COMPUTED_VALUE"""),46183.0)</f>
        <v>46183</v>
      </c>
      <c r="C110" s="122" t="str">
        <f>IFERROR(__xludf.DUMMYFUNCTION("""COMPUTED_VALUE"""),"1e3e1410")</f>
        <v>1e3e1410</v>
      </c>
      <c r="D110" s="122" t="str">
        <f>IFERROR(__xludf.DUMMYFUNCTION("""COMPUTED_VALUE"""),"Junjae Park")</f>
        <v>Junjae Park</v>
      </c>
      <c r="E110" s="122">
        <f>IFERROR(__xludf.DUMMYFUNCTION("""COMPUTED_VALUE"""),10.0)</f>
        <v>10</v>
      </c>
      <c r="F110" s="122" t="str">
        <f>IFERROR(__xludf.DUMMYFUNCTION("""COMPUTED_VALUE"""),"HS202")</f>
        <v>HS202</v>
      </c>
      <c r="G110" s="122" t="str">
        <f>IFERROR(__xludf.DUMMYFUNCTION("""COMPUTED_VALUE"""),"Homeroom")</f>
        <v>Homeroom</v>
      </c>
      <c r="H110" s="122" t="str">
        <f>IFERROR(__xludf.DUMMYFUNCTION("""COMPUTED_VALUE"""),"Present")</f>
        <v>Present</v>
      </c>
      <c r="I110" s="130">
        <f>IFERROR(__xludf.DUMMYFUNCTION("""COMPUTED_VALUE"""),0.35625)</f>
        <v>0.35625</v>
      </c>
      <c r="J110" s="122">
        <f>IFERROR(__xludf.DUMMYFUNCTION("""COMPUTED_VALUE"""),3.0)</f>
        <v>3</v>
      </c>
      <c r="K110" s="123">
        <f>IFERROR(__xludf.DUMMYFUNCTION("""COMPUTED_VALUE"""),10.0)</f>
        <v>10</v>
      </c>
      <c r="L110" s="122" t="str">
        <f>IFERROR(__xludf.DUMMYFUNCTION("""COMPUTED_VALUE"""),"On-time reward applied")</f>
        <v>On-time reward applied</v>
      </c>
      <c r="M110" s="122" t="str">
        <f>IFERROR(__xludf.DUMMYFUNCTION("""COMPUTED_VALUE"""),"Success")</f>
        <v>Success</v>
      </c>
    </row>
    <row r="111">
      <c r="A111" s="129">
        <f>IFERROR(__xludf.DUMMYFUNCTION("""COMPUTED_VALUE"""),46183.35674768518)</f>
        <v>46183.35675</v>
      </c>
      <c r="B111" s="126">
        <f>IFERROR(__xludf.DUMMYFUNCTION("""COMPUTED_VALUE"""),46183.0)</f>
        <v>46183</v>
      </c>
      <c r="C111" s="122" t="str">
        <f>IFERROR(__xludf.DUMMYFUNCTION("""COMPUTED_VALUE"""),"ba353911")</f>
        <v>ba353911</v>
      </c>
      <c r="D111" s="122" t="str">
        <f>IFERROR(__xludf.DUMMYFUNCTION("""COMPUTED_VALUE"""),"Dayeon Kang")</f>
        <v>Dayeon Kang</v>
      </c>
      <c r="E111" s="122">
        <f>IFERROR(__xludf.DUMMYFUNCTION("""COMPUTED_VALUE"""),10.0)</f>
        <v>10</v>
      </c>
      <c r="F111" s="122" t="str">
        <f>IFERROR(__xludf.DUMMYFUNCTION("""COMPUTED_VALUE"""),"HS202")</f>
        <v>HS202</v>
      </c>
      <c r="G111" s="122" t="str">
        <f>IFERROR(__xludf.DUMMYFUNCTION("""COMPUTED_VALUE"""),"Homeroom")</f>
        <v>Homeroom</v>
      </c>
      <c r="H111" s="122" t="str">
        <f>IFERROR(__xludf.DUMMYFUNCTION("""COMPUTED_VALUE"""),"Present")</f>
        <v>Present</v>
      </c>
      <c r="I111" s="130">
        <f>IFERROR(__xludf.DUMMYFUNCTION("""COMPUTED_VALUE"""),0.3567476851851852)</f>
        <v>0.3567476852</v>
      </c>
      <c r="J111" s="122">
        <f>IFERROR(__xludf.DUMMYFUNCTION("""COMPUTED_VALUE"""),3.0)</f>
        <v>3</v>
      </c>
      <c r="K111" s="123">
        <f>IFERROR(__xludf.DUMMYFUNCTION("""COMPUTED_VALUE"""),10.0)</f>
        <v>10</v>
      </c>
      <c r="L111" s="122" t="str">
        <f>IFERROR(__xludf.DUMMYFUNCTION("""COMPUTED_VALUE"""),"On-time reward applied")</f>
        <v>On-time reward applied</v>
      </c>
      <c r="M111" s="122" t="str">
        <f>IFERROR(__xludf.DUMMYFUNCTION("""COMPUTED_VALUE"""),"Success")</f>
        <v>Success</v>
      </c>
    </row>
    <row r="112">
      <c r="A112" s="129">
        <f>IFERROR(__xludf.DUMMYFUNCTION("""COMPUTED_VALUE"""),46183.36960648148)</f>
        <v>46183.36961</v>
      </c>
      <c r="B112" s="126">
        <f>IFERROR(__xludf.DUMMYFUNCTION("""COMPUTED_VALUE"""),46183.0)</f>
        <v>46183</v>
      </c>
      <c r="C112" s="122" t="str">
        <f>IFERROR(__xludf.DUMMYFUNCTION("""COMPUTED_VALUE"""),"9a5f2811")</f>
        <v>9a5f2811</v>
      </c>
      <c r="D112" s="122" t="str">
        <f>IFERROR(__xludf.DUMMYFUNCTION("""COMPUTED_VALUE"""),"Junyoung Yoo")</f>
        <v>Junyoung Yoo</v>
      </c>
      <c r="E112" s="122">
        <f>IFERROR(__xludf.DUMMYFUNCTION("""COMPUTED_VALUE"""),10.0)</f>
        <v>10</v>
      </c>
      <c r="F112" s="122" t="str">
        <f>IFERROR(__xludf.DUMMYFUNCTION("""COMPUTED_VALUE"""),"HS202")</f>
        <v>HS202</v>
      </c>
      <c r="G112" s="122" t="str">
        <f>IFERROR(__xludf.DUMMYFUNCTION("""COMPUTED_VALUE"""),"Homeroom")</f>
        <v>Homeroom</v>
      </c>
      <c r="H112" s="122" t="str">
        <f>IFERROR(__xludf.DUMMYFUNCTION("""COMPUTED_VALUE"""),"Late")</f>
        <v>Late</v>
      </c>
      <c r="I112" s="130">
        <f>IFERROR(__xludf.DUMMYFUNCTION("""COMPUTED_VALUE"""),0.3696064814814815)</f>
        <v>0.3696064815</v>
      </c>
      <c r="J112" s="122">
        <f>IFERROR(__xludf.DUMMYFUNCTION("""COMPUTED_VALUE"""),0.0)</f>
        <v>0</v>
      </c>
      <c r="K112" s="123">
        <f>IFERROR(__xludf.DUMMYFUNCTION("""COMPUTED_VALUE"""),0.0)</f>
        <v>0</v>
      </c>
      <c r="L112" s="122" t="str">
        <f>IFERROR(__xludf.DUMMYFUNCTION("""COMPUTED_VALUE"""),"Late penalty applied")</f>
        <v>Late penalty applied</v>
      </c>
      <c r="M112" s="122" t="str">
        <f>IFERROR(__xludf.DUMMYFUNCTION("""COMPUTED_VALUE"""),"Success")</f>
        <v>Success</v>
      </c>
    </row>
    <row r="113">
      <c r="A113" s="129">
        <f>IFERROR(__xludf.DUMMYFUNCTION("""COMPUTED_VALUE"""),46184.34600694444)</f>
        <v>46184.34601</v>
      </c>
      <c r="B113" s="126">
        <f>IFERROR(__xludf.DUMMYFUNCTION("""COMPUTED_VALUE"""),46184.0)</f>
        <v>46184</v>
      </c>
      <c r="C113" s="122" t="str">
        <f>IFERROR(__xludf.DUMMYFUNCTION("""COMPUTED_VALUE"""),"5c07fef4")</f>
        <v>5c07fef4</v>
      </c>
      <c r="D113" s="122" t="str">
        <f>IFERROR(__xludf.DUMMYFUNCTION("""COMPUTED_VALUE"""),"Tiffany Kim")</f>
        <v>Tiffany Kim</v>
      </c>
      <c r="E113" s="122">
        <f>IFERROR(__xludf.DUMMYFUNCTION("""COMPUTED_VALUE"""),10.0)</f>
        <v>10</v>
      </c>
      <c r="F113" s="122" t="str">
        <f>IFERROR(__xludf.DUMMYFUNCTION("""COMPUTED_VALUE"""),"HS202")</f>
        <v>HS202</v>
      </c>
      <c r="G113" s="122" t="str">
        <f>IFERROR(__xludf.DUMMYFUNCTION("""COMPUTED_VALUE"""),"Homeroom")</f>
        <v>Homeroom</v>
      </c>
      <c r="H113" s="122" t="str">
        <f>IFERROR(__xludf.DUMMYFUNCTION("""COMPUTED_VALUE"""),"Present")</f>
        <v>Present</v>
      </c>
      <c r="I113" s="130">
        <f>IFERROR(__xludf.DUMMYFUNCTION("""COMPUTED_VALUE"""),0.34600694444444446)</f>
        <v>0.3460069444</v>
      </c>
      <c r="J113" s="122">
        <f>IFERROR(__xludf.DUMMYFUNCTION("""COMPUTED_VALUE"""),4.0)</f>
        <v>4</v>
      </c>
      <c r="K113" s="123">
        <f>IFERROR(__xludf.DUMMYFUNCTION("""COMPUTED_VALUE"""),10.0)</f>
        <v>10</v>
      </c>
      <c r="L113" s="122" t="str">
        <f>IFERROR(__xludf.DUMMYFUNCTION("""COMPUTED_VALUE"""),"On-time reward applied")</f>
        <v>On-time reward applied</v>
      </c>
      <c r="M113" s="122" t="str">
        <f>IFERROR(__xludf.DUMMYFUNCTION("""COMPUTED_VALUE"""),"Success")</f>
        <v>Success</v>
      </c>
    </row>
    <row r="114">
      <c r="A114" s="129">
        <f>IFERROR(__xludf.DUMMYFUNCTION("""COMPUTED_VALUE"""),46184.35107638889)</f>
        <v>46184.35108</v>
      </c>
      <c r="B114" s="126">
        <f>IFERROR(__xludf.DUMMYFUNCTION("""COMPUTED_VALUE"""),46184.0)</f>
        <v>46184</v>
      </c>
      <c r="C114" s="122" t="str">
        <f>IFERROR(__xludf.DUMMYFUNCTION("""COMPUTED_VALUE"""),"ae072910")</f>
        <v>ae072910</v>
      </c>
      <c r="D114" s="122" t="str">
        <f>IFERROR(__xludf.DUMMYFUNCTION("""COMPUTED_VALUE"""),"Selena Jung")</f>
        <v>Selena Jung</v>
      </c>
      <c r="E114" s="122">
        <f>IFERROR(__xludf.DUMMYFUNCTION("""COMPUTED_VALUE"""),10.0)</f>
        <v>10</v>
      </c>
      <c r="F114" s="122" t="str">
        <f>IFERROR(__xludf.DUMMYFUNCTION("""COMPUTED_VALUE"""),"HS202")</f>
        <v>HS202</v>
      </c>
      <c r="G114" s="122" t="str">
        <f>IFERROR(__xludf.DUMMYFUNCTION("""COMPUTED_VALUE"""),"Homeroom")</f>
        <v>Homeroom</v>
      </c>
      <c r="H114" s="122" t="str">
        <f>IFERROR(__xludf.DUMMYFUNCTION("""COMPUTED_VALUE"""),"Present")</f>
        <v>Present</v>
      </c>
      <c r="I114" s="130">
        <f>IFERROR(__xludf.DUMMYFUNCTION("""COMPUTED_VALUE"""),0.35107638888888887)</f>
        <v>0.3510763889</v>
      </c>
      <c r="J114" s="122">
        <f>IFERROR(__xludf.DUMMYFUNCTION("""COMPUTED_VALUE"""),4.0)</f>
        <v>4</v>
      </c>
      <c r="K114" s="123">
        <f>IFERROR(__xludf.DUMMYFUNCTION("""COMPUTED_VALUE"""),10.0)</f>
        <v>10</v>
      </c>
      <c r="L114" s="122" t="str">
        <f>IFERROR(__xludf.DUMMYFUNCTION("""COMPUTED_VALUE"""),"On-time reward applied")</f>
        <v>On-time reward applied</v>
      </c>
      <c r="M114" s="122" t="str">
        <f>IFERROR(__xludf.DUMMYFUNCTION("""COMPUTED_VALUE"""),"Success")</f>
        <v>Success</v>
      </c>
    </row>
    <row r="115">
      <c r="A115" s="129">
        <f>IFERROR(__xludf.DUMMYFUNCTION("""COMPUTED_VALUE"""),46184.352268518516)</f>
        <v>46184.35227</v>
      </c>
      <c r="B115" s="126">
        <f>IFERROR(__xludf.DUMMYFUNCTION("""COMPUTED_VALUE"""),46184.0)</f>
        <v>46184</v>
      </c>
      <c r="C115" s="122" t="str">
        <f>IFERROR(__xludf.DUMMYFUNCTION("""COMPUTED_VALUE"""),"dc04eef4")</f>
        <v>dc04eef4</v>
      </c>
      <c r="D115" s="122" t="str">
        <f>IFERROR(__xludf.DUMMYFUNCTION("""COMPUTED_VALUE"""),"Joshua Jung")</f>
        <v>Joshua Jung</v>
      </c>
      <c r="E115" s="122">
        <f>IFERROR(__xludf.DUMMYFUNCTION("""COMPUTED_VALUE"""),10.0)</f>
        <v>10</v>
      </c>
      <c r="F115" s="122" t="str">
        <f>IFERROR(__xludf.DUMMYFUNCTION("""COMPUTED_VALUE"""),"HS202")</f>
        <v>HS202</v>
      </c>
      <c r="G115" s="122" t="str">
        <f>IFERROR(__xludf.DUMMYFUNCTION("""COMPUTED_VALUE"""),"Homeroom")</f>
        <v>Homeroom</v>
      </c>
      <c r="H115" s="122" t="str">
        <f>IFERROR(__xludf.DUMMYFUNCTION("""COMPUTED_VALUE"""),"Present")</f>
        <v>Present</v>
      </c>
      <c r="I115" s="130">
        <f>IFERROR(__xludf.DUMMYFUNCTION("""COMPUTED_VALUE"""),0.35226851851851854)</f>
        <v>0.3522685185</v>
      </c>
      <c r="J115" s="122">
        <f>IFERROR(__xludf.DUMMYFUNCTION("""COMPUTED_VALUE"""),4.0)</f>
        <v>4</v>
      </c>
      <c r="K115" s="123">
        <f>IFERROR(__xludf.DUMMYFUNCTION("""COMPUTED_VALUE"""),10.0)</f>
        <v>10</v>
      </c>
      <c r="L115" s="122" t="str">
        <f>IFERROR(__xludf.DUMMYFUNCTION("""COMPUTED_VALUE"""),"On-time reward applied")</f>
        <v>On-time reward applied</v>
      </c>
      <c r="M115" s="122" t="str">
        <f>IFERROR(__xludf.DUMMYFUNCTION("""COMPUTED_VALUE"""),"Success")</f>
        <v>Success</v>
      </c>
    </row>
    <row r="116">
      <c r="A116" s="129">
        <f>IFERROR(__xludf.DUMMYFUNCTION("""COMPUTED_VALUE"""),46184.35376157407)</f>
        <v>46184.35376</v>
      </c>
      <c r="B116" s="126">
        <f>IFERROR(__xludf.DUMMYFUNCTION("""COMPUTED_VALUE"""),46184.0)</f>
        <v>46184</v>
      </c>
      <c r="C116" s="122" t="str">
        <f>IFERROR(__xludf.DUMMYFUNCTION("""COMPUTED_VALUE"""),"7c4e261e")</f>
        <v>7c4e261e</v>
      </c>
      <c r="D116" s="122" t="str">
        <f>IFERROR(__xludf.DUMMYFUNCTION("""COMPUTED_VALUE"""),"Suha Lee")</f>
        <v>Suha Lee</v>
      </c>
      <c r="E116" s="122">
        <f>IFERROR(__xludf.DUMMYFUNCTION("""COMPUTED_VALUE"""),10.0)</f>
        <v>10</v>
      </c>
      <c r="F116" s="122" t="str">
        <f>IFERROR(__xludf.DUMMYFUNCTION("""COMPUTED_VALUE"""),"HS202")</f>
        <v>HS202</v>
      </c>
      <c r="G116" s="122" t="str">
        <f>IFERROR(__xludf.DUMMYFUNCTION("""COMPUTED_VALUE"""),"Homeroom")</f>
        <v>Homeroom</v>
      </c>
      <c r="H116" s="122" t="str">
        <f>IFERROR(__xludf.DUMMYFUNCTION("""COMPUTED_VALUE"""),"Present")</f>
        <v>Present</v>
      </c>
      <c r="I116" s="130">
        <f>IFERROR(__xludf.DUMMYFUNCTION("""COMPUTED_VALUE"""),0.35376157407407405)</f>
        <v>0.3537615741</v>
      </c>
      <c r="J116" s="122">
        <f>IFERROR(__xludf.DUMMYFUNCTION("""COMPUTED_VALUE"""),3.0)</f>
        <v>3</v>
      </c>
      <c r="K116" s="123">
        <f>IFERROR(__xludf.DUMMYFUNCTION("""COMPUTED_VALUE"""),10.0)</f>
        <v>10</v>
      </c>
      <c r="L116" s="122" t="str">
        <f>IFERROR(__xludf.DUMMYFUNCTION("""COMPUTED_VALUE"""),"On-time reward applied")</f>
        <v>On-time reward applied</v>
      </c>
      <c r="M116" s="122" t="str">
        <f>IFERROR(__xludf.DUMMYFUNCTION("""COMPUTED_VALUE"""),"Success")</f>
        <v>Success</v>
      </c>
    </row>
    <row r="117">
      <c r="A117" s="129">
        <f>IFERROR(__xludf.DUMMYFUNCTION("""COMPUTED_VALUE"""),46184.35424768519)</f>
        <v>46184.35425</v>
      </c>
      <c r="B117" s="126">
        <f>IFERROR(__xludf.DUMMYFUNCTION("""COMPUTED_VALUE"""),46184.0)</f>
        <v>46184</v>
      </c>
      <c r="C117" s="122" t="str">
        <f>IFERROR(__xludf.DUMMYFUNCTION("""COMPUTED_VALUE"""),"1e3e1410")</f>
        <v>1e3e1410</v>
      </c>
      <c r="D117" s="122" t="str">
        <f>IFERROR(__xludf.DUMMYFUNCTION("""COMPUTED_VALUE"""),"Junjae Park")</f>
        <v>Junjae Park</v>
      </c>
      <c r="E117" s="122">
        <f>IFERROR(__xludf.DUMMYFUNCTION("""COMPUTED_VALUE"""),10.0)</f>
        <v>10</v>
      </c>
      <c r="F117" s="122" t="str">
        <f>IFERROR(__xludf.DUMMYFUNCTION("""COMPUTED_VALUE"""),"HS202")</f>
        <v>HS202</v>
      </c>
      <c r="G117" s="122" t="str">
        <f>IFERROR(__xludf.DUMMYFUNCTION("""COMPUTED_VALUE"""),"Homeroom")</f>
        <v>Homeroom</v>
      </c>
      <c r="H117" s="122" t="str">
        <f>IFERROR(__xludf.DUMMYFUNCTION("""COMPUTED_VALUE"""),"Present")</f>
        <v>Present</v>
      </c>
      <c r="I117" s="130">
        <f>IFERROR(__xludf.DUMMYFUNCTION("""COMPUTED_VALUE"""),0.3542476851851852)</f>
        <v>0.3542476852</v>
      </c>
      <c r="J117" s="122">
        <f>IFERROR(__xludf.DUMMYFUNCTION("""COMPUTED_VALUE"""),4.0)</f>
        <v>4</v>
      </c>
      <c r="K117" s="123">
        <f>IFERROR(__xludf.DUMMYFUNCTION("""COMPUTED_VALUE"""),10.0)</f>
        <v>10</v>
      </c>
      <c r="L117" s="122" t="str">
        <f>IFERROR(__xludf.DUMMYFUNCTION("""COMPUTED_VALUE"""),"On-time reward applied")</f>
        <v>On-time reward applied</v>
      </c>
      <c r="M117" s="122" t="str">
        <f>IFERROR(__xludf.DUMMYFUNCTION("""COMPUTED_VALUE"""),"Success")</f>
        <v>Success</v>
      </c>
    </row>
    <row r="118">
      <c r="A118" s="129">
        <f>IFERROR(__xludf.DUMMYFUNCTION("""COMPUTED_VALUE"""),46184.3559375)</f>
        <v>46184.35594</v>
      </c>
      <c r="B118" s="126">
        <f>IFERROR(__xludf.DUMMYFUNCTION("""COMPUTED_VALUE"""),46184.0)</f>
        <v>46184</v>
      </c>
      <c r="C118" s="122" t="str">
        <f>IFERROR(__xludf.DUMMYFUNCTION("""COMPUTED_VALUE"""),"babde4c4")</f>
        <v>babde4c4</v>
      </c>
      <c r="D118" s="122" t="str">
        <f>IFERROR(__xludf.DUMMYFUNCTION("""COMPUTED_VALUE"""),"Ashley Guk")</f>
        <v>Ashley Guk</v>
      </c>
      <c r="E118" s="122">
        <f>IFERROR(__xludf.DUMMYFUNCTION("""COMPUTED_VALUE"""),10.0)</f>
        <v>10</v>
      </c>
      <c r="F118" s="122" t="str">
        <f>IFERROR(__xludf.DUMMYFUNCTION("""COMPUTED_VALUE"""),"HS202")</f>
        <v>HS202</v>
      </c>
      <c r="G118" s="122" t="str">
        <f>IFERROR(__xludf.DUMMYFUNCTION("""COMPUTED_VALUE"""),"Homeroom")</f>
        <v>Homeroom</v>
      </c>
      <c r="H118" s="122" t="str">
        <f>IFERROR(__xludf.DUMMYFUNCTION("""COMPUTED_VALUE"""),"Present")</f>
        <v>Present</v>
      </c>
      <c r="I118" s="130">
        <f>IFERROR(__xludf.DUMMYFUNCTION("""COMPUTED_VALUE"""),0.3559375)</f>
        <v>0.3559375</v>
      </c>
      <c r="J118" s="122">
        <f>IFERROR(__xludf.DUMMYFUNCTION("""COMPUTED_VALUE"""),1.0)</f>
        <v>1</v>
      </c>
      <c r="K118" s="123">
        <f>IFERROR(__xludf.DUMMYFUNCTION("""COMPUTED_VALUE"""),10.0)</f>
        <v>10</v>
      </c>
      <c r="L118" s="122" t="str">
        <f>IFERROR(__xludf.DUMMYFUNCTION("""COMPUTED_VALUE"""),"On-time reward applied")</f>
        <v>On-time reward applied</v>
      </c>
      <c r="M118" s="122" t="str">
        <f>IFERROR(__xludf.DUMMYFUNCTION("""COMPUTED_VALUE"""),"Success")</f>
        <v>Success</v>
      </c>
    </row>
    <row r="119">
      <c r="A119" s="129">
        <f>IFERROR(__xludf.DUMMYFUNCTION("""COMPUTED_VALUE"""),46184.35658564815)</f>
        <v>46184.35659</v>
      </c>
      <c r="B119" s="126">
        <f>IFERROR(__xludf.DUMMYFUNCTION("""COMPUTED_VALUE"""),46184.0)</f>
        <v>46184</v>
      </c>
      <c r="C119" s="122" t="str">
        <f>IFERROR(__xludf.DUMMYFUNCTION("""COMPUTED_VALUE"""),"ba353911")</f>
        <v>ba353911</v>
      </c>
      <c r="D119" s="122" t="str">
        <f>IFERROR(__xludf.DUMMYFUNCTION("""COMPUTED_VALUE"""),"Dayeon Kang")</f>
        <v>Dayeon Kang</v>
      </c>
      <c r="E119" s="122">
        <f>IFERROR(__xludf.DUMMYFUNCTION("""COMPUTED_VALUE"""),10.0)</f>
        <v>10</v>
      </c>
      <c r="F119" s="122" t="str">
        <f>IFERROR(__xludf.DUMMYFUNCTION("""COMPUTED_VALUE"""),"HS202")</f>
        <v>HS202</v>
      </c>
      <c r="G119" s="122" t="str">
        <f>IFERROR(__xludf.DUMMYFUNCTION("""COMPUTED_VALUE"""),"Homeroom")</f>
        <v>Homeroom</v>
      </c>
      <c r="H119" s="122" t="str">
        <f>IFERROR(__xludf.DUMMYFUNCTION("""COMPUTED_VALUE"""),"Present")</f>
        <v>Present</v>
      </c>
      <c r="I119" s="130">
        <f>IFERROR(__xludf.DUMMYFUNCTION("""COMPUTED_VALUE"""),0.35658564814814814)</f>
        <v>0.3565856481</v>
      </c>
      <c r="J119" s="122">
        <f>IFERROR(__xludf.DUMMYFUNCTION("""COMPUTED_VALUE"""),4.0)</f>
        <v>4</v>
      </c>
      <c r="K119" s="123">
        <f>IFERROR(__xludf.DUMMYFUNCTION("""COMPUTED_VALUE"""),10.0)</f>
        <v>10</v>
      </c>
      <c r="L119" s="122" t="str">
        <f>IFERROR(__xludf.DUMMYFUNCTION("""COMPUTED_VALUE"""),"On-time reward applied")</f>
        <v>On-time reward applied</v>
      </c>
      <c r="M119" s="122" t="str">
        <f>IFERROR(__xludf.DUMMYFUNCTION("""COMPUTED_VALUE"""),"Success")</f>
        <v>Success</v>
      </c>
    </row>
    <row r="120">
      <c r="A120" s="129">
        <f>IFERROR(__xludf.DUMMYFUNCTION("""COMPUTED_VALUE"""),46184.35737268518)</f>
        <v>46184.35737</v>
      </c>
      <c r="B120" s="126">
        <f>IFERROR(__xludf.DUMMYFUNCTION("""COMPUTED_VALUE"""),46184.0)</f>
        <v>46184</v>
      </c>
      <c r="C120" s="122" t="str">
        <f>IFERROR(__xludf.DUMMYFUNCTION("""COMPUTED_VALUE"""),"5a032611")</f>
        <v>5a032611</v>
      </c>
      <c r="D120" s="122" t="str">
        <f>IFERROR(__xludf.DUMMYFUNCTION("""COMPUTED_VALUE"""),"Harold Dou")</f>
        <v>Harold Dou</v>
      </c>
      <c r="E120" s="122">
        <f>IFERROR(__xludf.DUMMYFUNCTION("""COMPUTED_VALUE"""),10.0)</f>
        <v>10</v>
      </c>
      <c r="F120" s="122" t="str">
        <f>IFERROR(__xludf.DUMMYFUNCTION("""COMPUTED_VALUE"""),"HS202")</f>
        <v>HS202</v>
      </c>
      <c r="G120" s="122" t="str">
        <f>IFERROR(__xludf.DUMMYFUNCTION("""COMPUTED_VALUE"""),"Homeroom")</f>
        <v>Homeroom</v>
      </c>
      <c r="H120" s="122" t="str">
        <f>IFERROR(__xludf.DUMMYFUNCTION("""COMPUTED_VALUE"""),"Present")</f>
        <v>Present</v>
      </c>
      <c r="I120" s="130">
        <f>IFERROR(__xludf.DUMMYFUNCTION("""COMPUTED_VALUE"""),0.35737268518518517)</f>
        <v>0.3573726852</v>
      </c>
      <c r="J120" s="122">
        <f>IFERROR(__xludf.DUMMYFUNCTION("""COMPUTED_VALUE"""),1.0)</f>
        <v>1</v>
      </c>
      <c r="K120" s="123">
        <f>IFERROR(__xludf.DUMMYFUNCTION("""COMPUTED_VALUE"""),10.0)</f>
        <v>10</v>
      </c>
      <c r="L120" s="122" t="str">
        <f>IFERROR(__xludf.DUMMYFUNCTION("""COMPUTED_VALUE"""),"On-time reward applied")</f>
        <v>On-time reward applied</v>
      </c>
      <c r="M120" s="122" t="str">
        <f>IFERROR(__xludf.DUMMYFUNCTION("""COMPUTED_VALUE"""),"Success")</f>
        <v>Success</v>
      </c>
    </row>
    <row r="121">
      <c r="A121" s="129">
        <f>IFERROR(__xludf.DUMMYFUNCTION("""COMPUTED_VALUE"""),46184.35766203704)</f>
        <v>46184.35766</v>
      </c>
      <c r="B121" s="126">
        <f>IFERROR(__xludf.DUMMYFUNCTION("""COMPUTED_VALUE"""),46184.0)</f>
        <v>46184</v>
      </c>
      <c r="C121" s="122" t="str">
        <f>IFERROR(__xludf.DUMMYFUNCTION("""COMPUTED_VALUE"""),"ba912211")</f>
        <v>ba912211</v>
      </c>
      <c r="D121" s="122" t="str">
        <f>IFERROR(__xludf.DUMMYFUNCTION("""COMPUTED_VALUE"""),"Daisy Doh")</f>
        <v>Daisy Doh</v>
      </c>
      <c r="E121" s="122">
        <f>IFERROR(__xludf.DUMMYFUNCTION("""COMPUTED_VALUE"""),10.0)</f>
        <v>10</v>
      </c>
      <c r="F121" s="122" t="str">
        <f>IFERROR(__xludf.DUMMYFUNCTION("""COMPUTED_VALUE"""),"HS202")</f>
        <v>HS202</v>
      </c>
      <c r="G121" s="122" t="str">
        <f>IFERROR(__xludf.DUMMYFUNCTION("""COMPUTED_VALUE"""),"Homeroom")</f>
        <v>Homeroom</v>
      </c>
      <c r="H121" s="122" t="str">
        <f>IFERROR(__xludf.DUMMYFUNCTION("""COMPUTED_VALUE"""),"Present")</f>
        <v>Present</v>
      </c>
      <c r="I121" s="130">
        <f>IFERROR(__xludf.DUMMYFUNCTION("""COMPUTED_VALUE"""),0.35766203703703703)</f>
        <v>0.357662037</v>
      </c>
      <c r="J121" s="122">
        <f>IFERROR(__xludf.DUMMYFUNCTION("""COMPUTED_VALUE"""),4.0)</f>
        <v>4</v>
      </c>
      <c r="K121" s="123">
        <f>IFERROR(__xludf.DUMMYFUNCTION("""COMPUTED_VALUE"""),10.0)</f>
        <v>10</v>
      </c>
      <c r="L121" s="122" t="str">
        <f>IFERROR(__xludf.DUMMYFUNCTION("""COMPUTED_VALUE"""),"On-time reward applied")</f>
        <v>On-time reward applied</v>
      </c>
      <c r="M121" s="122" t="str">
        <f>IFERROR(__xludf.DUMMYFUNCTION("""COMPUTED_VALUE"""),"Success")</f>
        <v>Success</v>
      </c>
    </row>
    <row r="122">
      <c r="A122" s="129">
        <f>IFERROR(__xludf.DUMMYFUNCTION("""COMPUTED_VALUE"""),46185.34615740741)</f>
        <v>46185.34616</v>
      </c>
      <c r="B122" s="126">
        <f>IFERROR(__xludf.DUMMYFUNCTION("""COMPUTED_VALUE"""),46185.0)</f>
        <v>46185</v>
      </c>
      <c r="C122" s="122" t="str">
        <f>IFERROR(__xludf.DUMMYFUNCTION("""COMPUTED_VALUE"""),"5c07fef4")</f>
        <v>5c07fef4</v>
      </c>
      <c r="D122" s="122" t="str">
        <f>IFERROR(__xludf.DUMMYFUNCTION("""COMPUTED_VALUE"""),"Tiffany Kim")</f>
        <v>Tiffany Kim</v>
      </c>
      <c r="E122" s="122">
        <f>IFERROR(__xludf.DUMMYFUNCTION("""COMPUTED_VALUE"""),10.0)</f>
        <v>10</v>
      </c>
      <c r="F122" s="122" t="str">
        <f>IFERROR(__xludf.DUMMYFUNCTION("""COMPUTED_VALUE"""),"HS202")</f>
        <v>HS202</v>
      </c>
      <c r="G122" s="122" t="str">
        <f>IFERROR(__xludf.DUMMYFUNCTION("""COMPUTED_VALUE"""),"Homeroom")</f>
        <v>Homeroom</v>
      </c>
      <c r="H122" s="122" t="str">
        <f>IFERROR(__xludf.DUMMYFUNCTION("""COMPUTED_VALUE"""),"Present")</f>
        <v>Present</v>
      </c>
      <c r="I122" s="130">
        <f>IFERROR(__xludf.DUMMYFUNCTION("""COMPUTED_VALUE"""),0.3461574074074074)</f>
        <v>0.3461574074</v>
      </c>
      <c r="J122" s="122">
        <f>IFERROR(__xludf.DUMMYFUNCTION("""COMPUTED_VALUE"""),5.0)</f>
        <v>5</v>
      </c>
      <c r="K122" s="123">
        <f>IFERROR(__xludf.DUMMYFUNCTION("""COMPUTED_VALUE"""),10.0)</f>
        <v>10</v>
      </c>
      <c r="L122" s="122" t="str">
        <f>IFERROR(__xludf.DUMMYFUNCTION("""COMPUTED_VALUE"""),"On-time reward applied")</f>
        <v>On-time reward applied</v>
      </c>
      <c r="M122" s="122" t="str">
        <f>IFERROR(__xludf.DUMMYFUNCTION("""COMPUTED_VALUE"""),"Success")</f>
        <v>Success</v>
      </c>
    </row>
    <row r="123">
      <c r="A123" s="129">
        <f>IFERROR(__xludf.DUMMYFUNCTION("""COMPUTED_VALUE"""),46185.34636574074)</f>
        <v>46185.34637</v>
      </c>
      <c r="B123" s="126">
        <f>IFERROR(__xludf.DUMMYFUNCTION("""COMPUTED_VALUE"""),46185.0)</f>
        <v>46185</v>
      </c>
      <c r="C123" s="122" t="str">
        <f>IFERROR(__xludf.DUMMYFUNCTION("""COMPUTED_VALUE"""),"ba912211")</f>
        <v>ba912211</v>
      </c>
      <c r="D123" s="122" t="str">
        <f>IFERROR(__xludf.DUMMYFUNCTION("""COMPUTED_VALUE"""),"Daisy Doh")</f>
        <v>Daisy Doh</v>
      </c>
      <c r="E123" s="122">
        <f>IFERROR(__xludf.DUMMYFUNCTION("""COMPUTED_VALUE"""),10.0)</f>
        <v>10</v>
      </c>
      <c r="F123" s="122" t="str">
        <f>IFERROR(__xludf.DUMMYFUNCTION("""COMPUTED_VALUE"""),"HS202")</f>
        <v>HS202</v>
      </c>
      <c r="G123" s="122" t="str">
        <f>IFERROR(__xludf.DUMMYFUNCTION("""COMPUTED_VALUE"""),"Homeroom")</f>
        <v>Homeroom</v>
      </c>
      <c r="H123" s="122" t="str">
        <f>IFERROR(__xludf.DUMMYFUNCTION("""COMPUTED_VALUE"""),"Present")</f>
        <v>Present</v>
      </c>
      <c r="I123" s="130">
        <f>IFERROR(__xludf.DUMMYFUNCTION("""COMPUTED_VALUE"""),0.3463657407407407)</f>
        <v>0.3463657407</v>
      </c>
      <c r="J123" s="122">
        <f>IFERROR(__xludf.DUMMYFUNCTION("""COMPUTED_VALUE"""),5.0)</f>
        <v>5</v>
      </c>
      <c r="K123" s="123">
        <f>IFERROR(__xludf.DUMMYFUNCTION("""COMPUTED_VALUE"""),10.0)</f>
        <v>10</v>
      </c>
      <c r="L123" s="122" t="str">
        <f>IFERROR(__xludf.DUMMYFUNCTION("""COMPUTED_VALUE"""),"On-time reward applied")</f>
        <v>On-time reward applied</v>
      </c>
      <c r="M123" s="122" t="str">
        <f>IFERROR(__xludf.DUMMYFUNCTION("""COMPUTED_VALUE"""),"Success")</f>
        <v>Success</v>
      </c>
    </row>
    <row r="124">
      <c r="A124" s="129">
        <f>IFERROR(__xludf.DUMMYFUNCTION("""COMPUTED_VALUE"""),46185.35119212963)</f>
        <v>46185.35119</v>
      </c>
      <c r="B124" s="126">
        <f>IFERROR(__xludf.DUMMYFUNCTION("""COMPUTED_VALUE"""),46185.0)</f>
        <v>46185</v>
      </c>
      <c r="C124" s="122" t="str">
        <f>IFERROR(__xludf.DUMMYFUNCTION("""COMPUTED_VALUE"""),"7c4e261e")</f>
        <v>7c4e261e</v>
      </c>
      <c r="D124" s="122" t="str">
        <f>IFERROR(__xludf.DUMMYFUNCTION("""COMPUTED_VALUE"""),"Suha Lee")</f>
        <v>Suha Lee</v>
      </c>
      <c r="E124" s="122">
        <f>IFERROR(__xludf.DUMMYFUNCTION("""COMPUTED_VALUE"""),10.0)</f>
        <v>10</v>
      </c>
      <c r="F124" s="122" t="str">
        <f>IFERROR(__xludf.DUMMYFUNCTION("""COMPUTED_VALUE"""),"HS202")</f>
        <v>HS202</v>
      </c>
      <c r="G124" s="122" t="str">
        <f>IFERROR(__xludf.DUMMYFUNCTION("""COMPUTED_VALUE"""),"Homeroom")</f>
        <v>Homeroom</v>
      </c>
      <c r="H124" s="122" t="str">
        <f>IFERROR(__xludf.DUMMYFUNCTION("""COMPUTED_VALUE"""),"Present")</f>
        <v>Present</v>
      </c>
      <c r="I124" s="130">
        <f>IFERROR(__xludf.DUMMYFUNCTION("""COMPUTED_VALUE"""),0.35119212962962965)</f>
        <v>0.3511921296</v>
      </c>
      <c r="J124" s="122">
        <f>IFERROR(__xludf.DUMMYFUNCTION("""COMPUTED_VALUE"""),4.0)</f>
        <v>4</v>
      </c>
      <c r="K124" s="123">
        <f>IFERROR(__xludf.DUMMYFUNCTION("""COMPUTED_VALUE"""),10.0)</f>
        <v>10</v>
      </c>
      <c r="L124" s="122" t="str">
        <f>IFERROR(__xludf.DUMMYFUNCTION("""COMPUTED_VALUE"""),"On-time reward applied")</f>
        <v>On-time reward applied</v>
      </c>
      <c r="M124" s="122" t="str">
        <f>IFERROR(__xludf.DUMMYFUNCTION("""COMPUTED_VALUE"""),"Success")</f>
        <v>Success</v>
      </c>
    </row>
    <row r="125">
      <c r="A125" s="129">
        <f>IFERROR(__xludf.DUMMYFUNCTION("""COMPUTED_VALUE"""),46185.354409722226)</f>
        <v>46185.35441</v>
      </c>
      <c r="B125" s="126">
        <f>IFERROR(__xludf.DUMMYFUNCTION("""COMPUTED_VALUE"""),46185.0)</f>
        <v>46185</v>
      </c>
      <c r="C125" s="122" t="str">
        <f>IFERROR(__xludf.DUMMYFUNCTION("""COMPUTED_VALUE"""),"dc04eef4")</f>
        <v>dc04eef4</v>
      </c>
      <c r="D125" s="122" t="str">
        <f>IFERROR(__xludf.DUMMYFUNCTION("""COMPUTED_VALUE"""),"Joshua Jung")</f>
        <v>Joshua Jung</v>
      </c>
      <c r="E125" s="122">
        <f>IFERROR(__xludf.DUMMYFUNCTION("""COMPUTED_VALUE"""),10.0)</f>
        <v>10</v>
      </c>
      <c r="F125" s="122" t="str">
        <f>IFERROR(__xludf.DUMMYFUNCTION("""COMPUTED_VALUE"""),"HS202")</f>
        <v>HS202</v>
      </c>
      <c r="G125" s="122" t="str">
        <f>IFERROR(__xludf.DUMMYFUNCTION("""COMPUTED_VALUE"""),"Homeroom")</f>
        <v>Homeroom</v>
      </c>
      <c r="H125" s="122" t="str">
        <f>IFERROR(__xludf.DUMMYFUNCTION("""COMPUTED_VALUE"""),"Present")</f>
        <v>Present</v>
      </c>
      <c r="I125" s="130">
        <f>IFERROR(__xludf.DUMMYFUNCTION("""COMPUTED_VALUE"""),0.3544097222222222)</f>
        <v>0.3544097222</v>
      </c>
      <c r="J125" s="122">
        <f>IFERROR(__xludf.DUMMYFUNCTION("""COMPUTED_VALUE"""),5.0)</f>
        <v>5</v>
      </c>
      <c r="K125" s="123">
        <f>IFERROR(__xludf.DUMMYFUNCTION("""COMPUTED_VALUE"""),10.0)</f>
        <v>10</v>
      </c>
      <c r="L125" s="122" t="str">
        <f>IFERROR(__xludf.DUMMYFUNCTION("""COMPUTED_VALUE"""),"On-time reward applied")</f>
        <v>On-time reward applied</v>
      </c>
      <c r="M125" s="122" t="str">
        <f>IFERROR(__xludf.DUMMYFUNCTION("""COMPUTED_VALUE"""),"Success")</f>
        <v>Success</v>
      </c>
    </row>
    <row r="126">
      <c r="A126" s="129">
        <f>IFERROR(__xludf.DUMMYFUNCTION("""COMPUTED_VALUE"""),46185.35490740741)</f>
        <v>46185.35491</v>
      </c>
      <c r="B126" s="126">
        <f>IFERROR(__xludf.DUMMYFUNCTION("""COMPUTED_VALUE"""),46185.0)</f>
        <v>46185</v>
      </c>
      <c r="C126" s="122" t="str">
        <f>IFERROR(__xludf.DUMMYFUNCTION("""COMPUTED_VALUE"""),"1e3e1410")</f>
        <v>1e3e1410</v>
      </c>
      <c r="D126" s="122" t="str">
        <f>IFERROR(__xludf.DUMMYFUNCTION("""COMPUTED_VALUE"""),"Junjae Park")</f>
        <v>Junjae Park</v>
      </c>
      <c r="E126" s="122">
        <f>IFERROR(__xludf.DUMMYFUNCTION("""COMPUTED_VALUE"""),10.0)</f>
        <v>10</v>
      </c>
      <c r="F126" s="122" t="str">
        <f>IFERROR(__xludf.DUMMYFUNCTION("""COMPUTED_VALUE"""),"HS202")</f>
        <v>HS202</v>
      </c>
      <c r="G126" s="122" t="str">
        <f>IFERROR(__xludf.DUMMYFUNCTION("""COMPUTED_VALUE"""),"Homeroom")</f>
        <v>Homeroom</v>
      </c>
      <c r="H126" s="122" t="str">
        <f>IFERROR(__xludf.DUMMYFUNCTION("""COMPUTED_VALUE"""),"Present")</f>
        <v>Present</v>
      </c>
      <c r="I126" s="130">
        <f>IFERROR(__xludf.DUMMYFUNCTION("""COMPUTED_VALUE"""),0.3549074074074074)</f>
        <v>0.3549074074</v>
      </c>
      <c r="J126" s="122">
        <f>IFERROR(__xludf.DUMMYFUNCTION("""COMPUTED_VALUE"""),5.0)</f>
        <v>5</v>
      </c>
      <c r="K126" s="123">
        <f>IFERROR(__xludf.DUMMYFUNCTION("""COMPUTED_VALUE"""),10.0)</f>
        <v>10</v>
      </c>
      <c r="L126" s="122" t="str">
        <f>IFERROR(__xludf.DUMMYFUNCTION("""COMPUTED_VALUE"""),"On-time reward applied")</f>
        <v>On-time reward applied</v>
      </c>
      <c r="M126" s="122" t="str">
        <f>IFERROR(__xludf.DUMMYFUNCTION("""COMPUTED_VALUE"""),"Success")</f>
        <v>Success</v>
      </c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IFERROR(__xludf.DUMMYFUNCTION("IMPORTRANGE(""https://docs.google.com/spreadsheets/d/1R2r21OUCmsRB4LtOboB6fOM_WL3_ezt7cytLM-cfMvg/edit?gid=960886324#gid=960886324"",""Stock_Portfolio!A:M"")"),"Card_ID")</f>
        <v>Card_ID</v>
      </c>
      <c r="B1" s="122" t="str">
        <f>IFERROR(__xludf.DUMMYFUNCTION("""COMPUTED_VALUE"""),"Student_Name")</f>
        <v>Student_Name</v>
      </c>
      <c r="C1" s="122" t="str">
        <f>IFERROR(__xludf.DUMMYFUNCTION("""COMPUTED_VALUE"""),"Ticker")</f>
        <v>Ticker</v>
      </c>
      <c r="D1" s="122" t="str">
        <f>IFERROR(__xludf.DUMMYFUNCTION("""COMPUTED_VALUE"""),"Shares_Owned")</f>
        <v>Shares_Owned</v>
      </c>
      <c r="E1" s="122" t="str">
        <f>IFERROR(__xludf.DUMMYFUNCTION("""COMPUTED_VALUE"""),"Avg_Buy_Price")</f>
        <v>Avg_Buy_Price</v>
      </c>
      <c r="F1" s="122" t="str">
        <f>IFERROR(__xludf.DUMMYFUNCTION("""COMPUTED_VALUE"""),"Total_Cost")</f>
        <v>Total_Cost</v>
      </c>
      <c r="G1" s="122" t="str">
        <f>IFERROR(__xludf.DUMMYFUNCTION("""COMPUTED_VALUE"""),"Current Price")</f>
        <v>Current Price</v>
      </c>
      <c r="H1" s="122" t="str">
        <f>IFERROR(__xludf.DUMMYFUNCTION("""COMPUTED_VALUE"""),"Market Value")</f>
        <v>Market Value</v>
      </c>
      <c r="I1" s="122" t="str">
        <f>IFERROR(__xludf.DUMMYFUNCTION("""COMPUTED_VALUE"""),"Unrealized Gain/Loss")</f>
        <v>Unrealized Gain/Loss</v>
      </c>
      <c r="J1" s="122" t="str">
        <f>IFERROR(__xludf.DUMMYFUNCTION("""COMPUTED_VALUE"""),"Last_Updated")</f>
        <v>Last_Updated</v>
      </c>
    </row>
    <row r="2">
      <c r="A2" s="122" t="str">
        <f>IFERROR(__xludf.DUMMYFUNCTION("""COMPUTED_VALUE"""),"ba353911")</f>
        <v>ba353911</v>
      </c>
      <c r="B2" s="122" t="str">
        <f>IFERROR(__xludf.DUMMYFUNCTION("""COMPUTED_VALUE"""),"Dayeon Kang")</f>
        <v>Dayeon Kang</v>
      </c>
      <c r="C2" s="122" t="str">
        <f>IFERROR(__xludf.DUMMYFUNCTION("""COMPUTED_VALUE"""),"CHIP")</f>
        <v>CHIP</v>
      </c>
      <c r="D2" s="122">
        <f>IFERROR(__xludf.DUMMYFUNCTION("""COMPUTED_VALUE"""),1.0)</f>
        <v>1</v>
      </c>
      <c r="E2" s="122">
        <f>IFERROR(__xludf.DUMMYFUNCTION("""COMPUTED_VALUE"""),38.22)</f>
        <v>38.22</v>
      </c>
      <c r="F2" s="122">
        <f>IFERROR(__xludf.DUMMYFUNCTION("""COMPUTED_VALUE"""),38.22)</f>
        <v>38.22</v>
      </c>
      <c r="G2" s="131">
        <f>IFERROR(__xludf.DUMMYFUNCTION("""COMPUTED_VALUE"""),81.95999999999913)</f>
        <v>81.96</v>
      </c>
      <c r="H2" s="122">
        <f>IFERROR(__xludf.DUMMYFUNCTION("""COMPUTED_VALUE"""),81.96)</f>
        <v>81.96</v>
      </c>
      <c r="I2" s="122">
        <f>IFERROR(__xludf.DUMMYFUNCTION("""COMPUTED_VALUE"""),43.74)</f>
        <v>43.74</v>
      </c>
      <c r="J2" s="131">
        <f>IFERROR(__xludf.DUMMYFUNCTION("""COMPUTED_VALUE"""),46187.706655092596)</f>
        <v>46187.70666</v>
      </c>
    </row>
    <row r="3">
      <c r="A3" s="122" t="str">
        <f>IFERROR(__xludf.DUMMYFUNCTION("""COMPUTED_VALUE"""),"ba912211")</f>
        <v>ba912211</v>
      </c>
      <c r="B3" s="122" t="str">
        <f>IFERROR(__xludf.DUMMYFUNCTION("""COMPUTED_VALUE"""),"Daisy Dou")</f>
        <v>Daisy Dou</v>
      </c>
      <c r="C3" s="122" t="str">
        <f>IFERROR(__xludf.DUMMYFUNCTION("""COMPUTED_VALUE"""),"BYTE")</f>
        <v>BYTE</v>
      </c>
      <c r="D3" s="122">
        <f>IFERROR(__xludf.DUMMYFUNCTION("""COMPUTED_VALUE"""),1.0)</f>
        <v>1</v>
      </c>
      <c r="E3" s="122">
        <f>IFERROR(__xludf.DUMMYFUNCTION("""COMPUTED_VALUE"""),75.71)</f>
        <v>75.71</v>
      </c>
      <c r="F3" s="122">
        <f>IFERROR(__xludf.DUMMYFUNCTION("""COMPUTED_VALUE"""),75.71)</f>
        <v>75.71</v>
      </c>
      <c r="G3" s="131">
        <f>IFERROR(__xludf.DUMMYFUNCTION("""COMPUTED_VALUE"""),110.27000000000044)</f>
        <v>110.27</v>
      </c>
      <c r="H3" s="122">
        <f>IFERROR(__xludf.DUMMYFUNCTION("""COMPUTED_VALUE"""),110.27)</f>
        <v>110.27</v>
      </c>
      <c r="I3" s="122">
        <f>IFERROR(__xludf.DUMMYFUNCTION("""COMPUTED_VALUE"""),34.56)</f>
        <v>34.56</v>
      </c>
      <c r="J3" s="131">
        <f>IFERROR(__xludf.DUMMYFUNCTION("""COMPUTED_VALUE"""),46187.706655092596)</f>
        <v>46187.70666</v>
      </c>
    </row>
    <row r="4">
      <c r="A4" s="122" t="str">
        <f>IFERROR(__xludf.DUMMYFUNCTION("""COMPUTED_VALUE"""),"ae072910")</f>
        <v>ae072910</v>
      </c>
      <c r="B4" s="122" t="str">
        <f>IFERROR(__xludf.DUMMYFUNCTION("""COMPUTED_VALUE"""),"Selena Jung")</f>
        <v>Selena Jung</v>
      </c>
      <c r="C4" s="122" t="str">
        <f>IFERROR(__xludf.DUMMYFUNCTION("""COMPUTED_VALUE"""),"RIDE")</f>
        <v>RIDE</v>
      </c>
      <c r="D4" s="122">
        <f>IFERROR(__xludf.DUMMYFUNCTION("""COMPUTED_VALUE"""),2.0)</f>
        <v>2</v>
      </c>
      <c r="E4" s="122">
        <f>IFERROR(__xludf.DUMMYFUNCTION("""COMPUTED_VALUE"""),41.11)</f>
        <v>41.11</v>
      </c>
      <c r="F4" s="122">
        <f>IFERROR(__xludf.DUMMYFUNCTION("""COMPUTED_VALUE"""),82.21)</f>
        <v>82.21</v>
      </c>
      <c r="G4" s="131">
        <f>IFERROR(__xludf.DUMMYFUNCTION("""COMPUTED_VALUE"""),98.16999999999825)</f>
        <v>98.17</v>
      </c>
      <c r="H4" s="122">
        <f>IFERROR(__xludf.DUMMYFUNCTION("""COMPUTED_VALUE"""),196.34)</f>
        <v>196.34</v>
      </c>
      <c r="I4" s="122">
        <f>IFERROR(__xludf.DUMMYFUNCTION("""COMPUTED_VALUE"""),114.12)</f>
        <v>114.12</v>
      </c>
      <c r="J4" s="131">
        <f>IFERROR(__xludf.DUMMYFUNCTION("""COMPUTED_VALUE"""),46187.706655092596)</f>
        <v>46187.70666</v>
      </c>
    </row>
    <row r="5">
      <c r="A5" s="122" t="str">
        <f>IFERROR(__xludf.DUMMYFUNCTION("""COMPUTED_VALUE"""),"ba353911")</f>
        <v>ba353911</v>
      </c>
      <c r="B5" s="122" t="str">
        <f>IFERROR(__xludf.DUMMYFUNCTION("""COMPUTED_VALUE"""),"Dayeon Kang")</f>
        <v>Dayeon Kang</v>
      </c>
      <c r="C5" s="122" t="str">
        <f>IFERROR(__xludf.DUMMYFUNCTION("""COMPUTED_VALUE"""),"MEME")</f>
        <v>MEME</v>
      </c>
      <c r="D5" s="122">
        <f>IFERROR(__xludf.DUMMYFUNCTION("""COMPUTED_VALUE"""),10.0)</f>
        <v>10</v>
      </c>
      <c r="E5" s="122">
        <f>IFERROR(__xludf.DUMMYFUNCTION("""COMPUTED_VALUE"""),19.98)</f>
        <v>19.98</v>
      </c>
      <c r="F5" s="122">
        <f>IFERROR(__xludf.DUMMYFUNCTION("""COMPUTED_VALUE"""),199.8)</f>
        <v>199.8</v>
      </c>
      <c r="G5" s="131">
        <f>IFERROR(__xludf.DUMMYFUNCTION("""COMPUTED_VALUE"""),74.38000000000102)</f>
        <v>74.38</v>
      </c>
      <c r="H5" s="122">
        <f>IFERROR(__xludf.DUMMYFUNCTION("""COMPUTED_VALUE"""),743.8)</f>
        <v>743.8</v>
      </c>
      <c r="I5" s="122">
        <f>IFERROR(__xludf.DUMMYFUNCTION("""COMPUTED_VALUE"""),544.0)</f>
        <v>544</v>
      </c>
      <c r="J5" s="131">
        <f>IFERROR(__xludf.DUMMYFUNCTION("""COMPUTED_VALUE"""),46187.706655092596)</f>
        <v>46187.70666</v>
      </c>
    </row>
    <row r="6">
      <c r="A6" s="122" t="str">
        <f>IFERROR(__xludf.DUMMYFUNCTION("""COMPUTED_VALUE"""),"ae072910")</f>
        <v>ae072910</v>
      </c>
      <c r="B6" s="122" t="str">
        <f>IFERROR(__xludf.DUMMYFUNCTION("""COMPUTED_VALUE"""),"Selena Jung")</f>
        <v>Selena Jung</v>
      </c>
      <c r="C6" s="122" t="str">
        <f>IFERROR(__xludf.DUMMYFUNCTION("""COMPUTED_VALUE"""),"LOAN")</f>
        <v>LOAN</v>
      </c>
      <c r="D6" s="122">
        <f>IFERROR(__xludf.DUMMYFUNCTION("""COMPUTED_VALUE"""),1.0)</f>
        <v>1</v>
      </c>
      <c r="E6" s="122">
        <f>IFERROR(__xludf.DUMMYFUNCTION("""COMPUTED_VALUE"""),58.91)</f>
        <v>58.91</v>
      </c>
      <c r="F6" s="122">
        <f>IFERROR(__xludf.DUMMYFUNCTION("""COMPUTED_VALUE"""),58.91)</f>
        <v>58.91</v>
      </c>
      <c r="G6" s="122">
        <f>IFERROR(__xludf.DUMMYFUNCTION("""COMPUTED_VALUE"""),76.99)</f>
        <v>76.99</v>
      </c>
      <c r="H6" s="122">
        <f>IFERROR(__xludf.DUMMYFUNCTION("""COMPUTED_VALUE"""),76.99)</f>
        <v>76.99</v>
      </c>
      <c r="I6" s="122">
        <f>IFERROR(__xludf.DUMMYFUNCTION("""COMPUTED_VALUE"""),18.08)</f>
        <v>18.08</v>
      </c>
      <c r="J6" s="131">
        <f>IFERROR(__xludf.DUMMYFUNCTION("""COMPUTED_VALUE"""),46187.706655092596)</f>
        <v>46187.70666</v>
      </c>
    </row>
    <row r="7">
      <c r="A7" s="122">
        <f>IFERROR(__xludf.DUMMYFUNCTION("""COMPUTED_VALUE"""),2217.0)</f>
        <v>2217</v>
      </c>
      <c r="B7" s="122" t="str">
        <f>IFERROR(__xludf.DUMMYFUNCTION("""COMPUTED_VALUE"""),"DK")</f>
        <v>DK</v>
      </c>
      <c r="C7" s="122" t="str">
        <f>IFERROR(__xludf.DUMMYFUNCTION("""COMPUTED_VALUE"""),"RAMN")</f>
        <v>RAMN</v>
      </c>
      <c r="D7" s="122">
        <f>IFERROR(__xludf.DUMMYFUNCTION("""COMPUTED_VALUE"""),51.0)</f>
        <v>51</v>
      </c>
      <c r="E7" s="122">
        <f>IFERROR(__xludf.DUMMYFUNCTION("""COMPUTED_VALUE"""),51.22)</f>
        <v>51.22</v>
      </c>
      <c r="F7" s="122">
        <f>IFERROR(__xludf.DUMMYFUNCTION("""COMPUTED_VALUE"""),2612.22)</f>
        <v>2612.22</v>
      </c>
      <c r="G7" s="122">
        <f>IFERROR(__xludf.DUMMYFUNCTION("""COMPUTED_VALUE"""),58.7)</f>
        <v>58.7</v>
      </c>
      <c r="H7" s="122">
        <f>IFERROR(__xludf.DUMMYFUNCTION("""COMPUTED_VALUE"""),2993.7)</f>
        <v>2993.7</v>
      </c>
      <c r="I7" s="122">
        <f>IFERROR(__xludf.DUMMYFUNCTION("""COMPUTED_VALUE"""),381.48)</f>
        <v>381.48</v>
      </c>
      <c r="J7" s="131">
        <f>IFERROR(__xludf.DUMMYFUNCTION("""COMPUTED_VALUE"""),46187.706655092596)</f>
        <v>46187.70666</v>
      </c>
    </row>
    <row r="8">
      <c r="A8" s="122">
        <f>IFERROR(__xludf.DUMMYFUNCTION("""COMPUTED_VALUE"""),7765.0)</f>
        <v>7765</v>
      </c>
      <c r="B8" s="122" t="str">
        <f>IFERROR(__xludf.DUMMYFUNCTION("""COMPUTED_VALUE"""),"Yeonju")</f>
        <v>Yeonju</v>
      </c>
      <c r="C8" s="122" t="str">
        <f>IFERROR(__xludf.DUMMYFUNCTION("""COMPUTED_VALUE"""),"AIBO")</f>
        <v>AIBO</v>
      </c>
      <c r="D8" s="122">
        <f>IFERROR(__xludf.DUMMYFUNCTION("""COMPUTED_VALUE"""),10.0)</f>
        <v>10</v>
      </c>
      <c r="E8" s="122">
        <f>IFERROR(__xludf.DUMMYFUNCTION("""COMPUTED_VALUE"""),500.6)</f>
        <v>500.6</v>
      </c>
      <c r="F8" s="122">
        <f>IFERROR(__xludf.DUMMYFUNCTION("""COMPUTED_VALUE"""),5006.0)</f>
        <v>5006</v>
      </c>
      <c r="G8" s="122">
        <f>IFERROR(__xludf.DUMMYFUNCTION("""COMPUTED_VALUE"""),194.32)</f>
        <v>194.32</v>
      </c>
      <c r="H8" s="122">
        <f>IFERROR(__xludf.DUMMYFUNCTION("""COMPUTED_VALUE"""),1943.2)</f>
        <v>1943.2</v>
      </c>
      <c r="I8" s="122">
        <f>IFERROR(__xludf.DUMMYFUNCTION("""COMPUTED_VALUE"""),-3062.8)</f>
        <v>-3062.8</v>
      </c>
      <c r="J8" s="131">
        <f>IFERROR(__xludf.DUMMYFUNCTION("""COMPUTED_VALUE"""),46187.706655092596)</f>
        <v>46187.70666</v>
      </c>
    </row>
    <row r="9">
      <c r="A9" s="122">
        <f>IFERROR(__xludf.DUMMYFUNCTION("""COMPUTED_VALUE"""),1234.0)</f>
        <v>1234</v>
      </c>
      <c r="B9" s="122" t="str">
        <f>IFERROR(__xludf.DUMMYFUNCTION("""COMPUTED_VALUE"""),"Test")</f>
        <v>Test</v>
      </c>
      <c r="C9" s="122" t="str">
        <f>IFERROR(__xludf.DUMMYFUNCTION("""COMPUTED_VALUE"""),"BYTE")</f>
        <v>BYTE</v>
      </c>
      <c r="D9" s="122">
        <f>IFERROR(__xludf.DUMMYFUNCTION("""COMPUTED_VALUE"""),1.0)</f>
        <v>1</v>
      </c>
      <c r="E9" s="122">
        <f>IFERROR(__xludf.DUMMYFUNCTION("""COMPUTED_VALUE"""),48.33)</f>
        <v>48.33</v>
      </c>
      <c r="F9" s="122">
        <f>IFERROR(__xludf.DUMMYFUNCTION("""COMPUTED_VALUE"""),48.33)</f>
        <v>48.33</v>
      </c>
      <c r="G9" s="122">
        <f>IFERROR(__xludf.DUMMYFUNCTION("""COMPUTED_VALUE"""),110.27)</f>
        <v>110.27</v>
      </c>
      <c r="H9" s="122">
        <f>IFERROR(__xludf.DUMMYFUNCTION("""COMPUTED_VALUE"""),110.27)</f>
        <v>110.27</v>
      </c>
      <c r="I9" s="122">
        <f>IFERROR(__xludf.DUMMYFUNCTION("""COMPUTED_VALUE"""),61.94)</f>
        <v>61.94</v>
      </c>
      <c r="J9" s="131">
        <f>IFERROR(__xludf.DUMMYFUNCTION("""COMPUTED_VALUE"""),46187.706655092596)</f>
        <v>46187.70666</v>
      </c>
    </row>
    <row r="10">
      <c r="A10" s="122">
        <f>IFERROR(__xludf.DUMMYFUNCTION("""COMPUTED_VALUE"""),2659.0)</f>
        <v>2659</v>
      </c>
      <c r="B10" s="122" t="str">
        <f>IFERROR(__xludf.DUMMYFUNCTION("""COMPUTED_VALUE"""),"Jin Park")</f>
        <v>Jin Park</v>
      </c>
      <c r="C10" s="122" t="str">
        <f>IFERROR(__xludf.DUMMYFUNCTION("""COMPUTED_VALUE"""),"OILX")</f>
        <v>OILX</v>
      </c>
      <c r="D10" s="122">
        <f>IFERROR(__xludf.DUMMYFUNCTION("""COMPUTED_VALUE"""),1.0)</f>
        <v>1</v>
      </c>
      <c r="E10" s="122">
        <f>IFERROR(__xludf.DUMMYFUNCTION("""COMPUTED_VALUE"""),250.2)</f>
        <v>250.2</v>
      </c>
      <c r="F10" s="122">
        <f>IFERROR(__xludf.DUMMYFUNCTION("""COMPUTED_VALUE"""),250.2)</f>
        <v>250.2</v>
      </c>
      <c r="G10" s="122">
        <f>IFERROR(__xludf.DUMMYFUNCTION("""COMPUTED_VALUE"""),134.87)</f>
        <v>134.87</v>
      </c>
      <c r="H10" s="122">
        <f>IFERROR(__xludf.DUMMYFUNCTION("""COMPUTED_VALUE"""),134.87)</f>
        <v>134.87</v>
      </c>
      <c r="I10" s="122">
        <f>IFERROR(__xludf.DUMMYFUNCTION("""COMPUTED_VALUE"""),-115.33)</f>
        <v>-115.33</v>
      </c>
      <c r="J10" s="131">
        <f>IFERROR(__xludf.DUMMYFUNCTION("""COMPUTED_VALUE"""),46187.706655092596)</f>
        <v>46187.70666</v>
      </c>
    </row>
    <row r="11">
      <c r="A11" s="122">
        <f>IFERROR(__xludf.DUMMYFUNCTION("""COMPUTED_VALUE"""),8300.0)</f>
        <v>8300</v>
      </c>
      <c r="B11" s="122" t="str">
        <f>IFERROR(__xludf.DUMMYFUNCTION("""COMPUTED_VALUE"""),"Andy Lee")</f>
        <v>Andy Lee</v>
      </c>
      <c r="C11" s="122" t="str">
        <f>IFERROR(__xludf.DUMMYFUNCTION("""COMPUTED_VALUE"""),"AIBO")</f>
        <v>AIBO</v>
      </c>
      <c r="D11" s="122">
        <f>IFERROR(__xludf.DUMMYFUNCTION("""COMPUTED_VALUE"""),1.0)</f>
        <v>1</v>
      </c>
      <c r="E11" s="122">
        <f>IFERROR(__xludf.DUMMYFUNCTION("""COMPUTED_VALUE"""),507.06)</f>
        <v>507.06</v>
      </c>
      <c r="F11" s="122">
        <f>IFERROR(__xludf.DUMMYFUNCTION("""COMPUTED_VALUE"""),507.06)</f>
        <v>507.06</v>
      </c>
      <c r="G11" s="122">
        <f>IFERROR(__xludf.DUMMYFUNCTION("""COMPUTED_VALUE"""),194.32)</f>
        <v>194.32</v>
      </c>
      <c r="H11" s="122">
        <f>IFERROR(__xludf.DUMMYFUNCTION("""COMPUTED_VALUE"""),194.32)</f>
        <v>194.32</v>
      </c>
      <c r="I11" s="122">
        <f>IFERROR(__xludf.DUMMYFUNCTION("""COMPUTED_VALUE"""),-312.74)</f>
        <v>-312.74</v>
      </c>
      <c r="J11" s="131">
        <f>IFERROR(__xludf.DUMMYFUNCTION("""COMPUTED_VALUE"""),46187.706655092596)</f>
        <v>46187.70666</v>
      </c>
    </row>
    <row r="12">
      <c r="A12" s="122">
        <f>IFERROR(__xludf.DUMMYFUNCTION("""COMPUTED_VALUE"""),2659.0)</f>
        <v>2659</v>
      </c>
      <c r="B12" s="122" t="str">
        <f>IFERROR(__xludf.DUMMYFUNCTION("""COMPUTED_VALUE"""),"Jin Park")</f>
        <v>Jin Park</v>
      </c>
      <c r="C12" s="122" t="str">
        <f>IFERROR(__xludf.DUMMYFUNCTION("""COMPUTED_VALUE"""),"AIBO")</f>
        <v>AIBO</v>
      </c>
      <c r="D12" s="122">
        <f>IFERROR(__xludf.DUMMYFUNCTION("""COMPUTED_VALUE"""),1.0)</f>
        <v>1</v>
      </c>
      <c r="E12" s="122">
        <f>IFERROR(__xludf.DUMMYFUNCTION("""COMPUTED_VALUE"""),501.68)</f>
        <v>501.68</v>
      </c>
      <c r="F12" s="122">
        <f>IFERROR(__xludf.DUMMYFUNCTION("""COMPUTED_VALUE"""),501.68)</f>
        <v>501.68</v>
      </c>
      <c r="G12" s="122">
        <f>IFERROR(__xludf.DUMMYFUNCTION("""COMPUTED_VALUE"""),194.32)</f>
        <v>194.32</v>
      </c>
      <c r="H12" s="122">
        <f>IFERROR(__xludf.DUMMYFUNCTION("""COMPUTED_VALUE"""),194.32)</f>
        <v>194.32</v>
      </c>
      <c r="I12" s="122">
        <f>IFERROR(__xludf.DUMMYFUNCTION("""COMPUTED_VALUE"""),-307.36)</f>
        <v>-307.36</v>
      </c>
      <c r="J12" s="131">
        <f>IFERROR(__xludf.DUMMYFUNCTION("""COMPUTED_VALUE"""),46187.706655092596)</f>
        <v>46187.70666</v>
      </c>
    </row>
    <row r="13">
      <c r="A13" s="122">
        <f>IFERROR(__xludf.DUMMYFUNCTION("""COMPUTED_VALUE"""),2659.0)</f>
        <v>2659</v>
      </c>
      <c r="B13" s="122" t="str">
        <f>IFERROR(__xludf.DUMMYFUNCTION("""COMPUTED_VALUE"""),"Jin Park")</f>
        <v>Jin Park</v>
      </c>
      <c r="C13" s="122" t="str">
        <f>IFERROR(__xludf.DUMMYFUNCTION("""COMPUTED_VALUE"""),"CARS")</f>
        <v>CARS</v>
      </c>
      <c r="D13" s="122">
        <f>IFERROR(__xludf.DUMMYFUNCTION("""COMPUTED_VALUE"""),5.0)</f>
        <v>5</v>
      </c>
      <c r="E13" s="122">
        <f>IFERROR(__xludf.DUMMYFUNCTION("""COMPUTED_VALUE"""),31.4)</f>
        <v>31.4</v>
      </c>
      <c r="F13" s="122">
        <f>IFERROR(__xludf.DUMMYFUNCTION("""COMPUTED_VALUE"""),157.0)</f>
        <v>157</v>
      </c>
      <c r="G13" s="122">
        <f>IFERROR(__xludf.DUMMYFUNCTION("""COMPUTED_VALUE"""),78.3)</f>
        <v>78.3</v>
      </c>
      <c r="H13" s="122">
        <f>IFERROR(__xludf.DUMMYFUNCTION("""COMPUTED_VALUE"""),391.5)</f>
        <v>391.5</v>
      </c>
      <c r="I13" s="122">
        <f>IFERROR(__xludf.DUMMYFUNCTION("""COMPUTED_VALUE"""),234.5)</f>
        <v>234.5</v>
      </c>
      <c r="J13" s="131">
        <f>IFERROR(__xludf.DUMMYFUNCTION("""COMPUTED_VALUE"""),46187.706655092596)</f>
        <v>46187.70666</v>
      </c>
    </row>
    <row r="14">
      <c r="A14" s="122">
        <f>IFERROR(__xludf.DUMMYFUNCTION("""COMPUTED_VALUE"""),5420.0)</f>
        <v>5420</v>
      </c>
      <c r="B14" s="122" t="str">
        <f>IFERROR(__xludf.DUMMYFUNCTION("""COMPUTED_VALUE"""),"Daniel Park")</f>
        <v>Daniel Park</v>
      </c>
      <c r="C14" s="122" t="str">
        <f>IFERROR(__xludf.DUMMYFUNCTION("""COMPUTED_VALUE"""),"RAMN")</f>
        <v>RAMN</v>
      </c>
      <c r="D14" s="122">
        <f>IFERROR(__xludf.DUMMYFUNCTION("""COMPUTED_VALUE"""),10.0)</f>
        <v>10</v>
      </c>
      <c r="E14" s="122">
        <f>IFERROR(__xludf.DUMMYFUNCTION("""COMPUTED_VALUE"""),51.38)</f>
        <v>51.38</v>
      </c>
      <c r="F14" s="122">
        <f>IFERROR(__xludf.DUMMYFUNCTION("""COMPUTED_VALUE"""),513.8)</f>
        <v>513.8</v>
      </c>
      <c r="G14" s="122">
        <f>IFERROR(__xludf.DUMMYFUNCTION("""COMPUTED_VALUE"""),58.7)</f>
        <v>58.7</v>
      </c>
      <c r="H14" s="122">
        <f>IFERROR(__xludf.DUMMYFUNCTION("""COMPUTED_VALUE"""),587.0)</f>
        <v>587</v>
      </c>
      <c r="I14" s="122">
        <f>IFERROR(__xludf.DUMMYFUNCTION("""COMPUTED_VALUE"""),73.2)</f>
        <v>73.2</v>
      </c>
      <c r="J14" s="131">
        <f>IFERROR(__xludf.DUMMYFUNCTION("""COMPUTED_VALUE"""),46187.706655092596)</f>
        <v>46187.70666</v>
      </c>
    </row>
    <row r="15">
      <c r="A15" s="122">
        <f>IFERROR(__xludf.DUMMYFUNCTION("""COMPUTED_VALUE"""),8300.0)</f>
        <v>8300</v>
      </c>
      <c r="B15" s="122" t="str">
        <f>IFERROR(__xludf.DUMMYFUNCTION("""COMPUTED_VALUE"""),"Andy Lee")</f>
        <v>Andy Lee</v>
      </c>
      <c r="C15" s="122" t="str">
        <f>IFERROR(__xludf.DUMMYFUNCTION("""COMPUTED_VALUE"""),"MEME")</f>
        <v>MEME</v>
      </c>
      <c r="D15" s="122">
        <f>IFERROR(__xludf.DUMMYFUNCTION("""COMPUTED_VALUE"""),17.0)</f>
        <v>17</v>
      </c>
      <c r="E15" s="122">
        <f>IFERROR(__xludf.DUMMYFUNCTION("""COMPUTED_VALUE"""),15.63)</f>
        <v>15.63</v>
      </c>
      <c r="F15" s="122">
        <f>IFERROR(__xludf.DUMMYFUNCTION("""COMPUTED_VALUE"""),265.72)</f>
        <v>265.72</v>
      </c>
      <c r="G15" s="122">
        <f>IFERROR(__xludf.DUMMYFUNCTION("""COMPUTED_VALUE"""),74.38)</f>
        <v>74.38</v>
      </c>
      <c r="H15" s="122">
        <f>IFERROR(__xludf.DUMMYFUNCTION("""COMPUTED_VALUE"""),1264.46)</f>
        <v>1264.46</v>
      </c>
      <c r="I15" s="122">
        <f>IFERROR(__xludf.DUMMYFUNCTION("""COMPUTED_VALUE"""),998.75)</f>
        <v>998.75</v>
      </c>
      <c r="J15" s="131">
        <f>IFERROR(__xludf.DUMMYFUNCTION("""COMPUTED_VALUE"""),46187.706655092596)</f>
        <v>46187.70666</v>
      </c>
    </row>
    <row r="16">
      <c r="A16" s="122">
        <f>IFERROR(__xludf.DUMMYFUNCTION("""COMPUTED_VALUE"""),7302.0)</f>
        <v>7302</v>
      </c>
      <c r="B16" s="122" t="str">
        <f>IFERROR(__xludf.DUMMYFUNCTION("""COMPUTED_VALUE"""),"Claire Yang")</f>
        <v>Claire Yang</v>
      </c>
      <c r="C16" s="122" t="str">
        <f>IFERROR(__xludf.DUMMYFUNCTION("""COMPUTED_VALUE"""),"SNAX")</f>
        <v>SNAX</v>
      </c>
      <c r="D16" s="122">
        <f>IFERROR(__xludf.DUMMYFUNCTION("""COMPUTED_VALUE"""),2.0)</f>
        <v>2</v>
      </c>
      <c r="E16" s="122">
        <f>IFERROR(__xludf.DUMMYFUNCTION("""COMPUTED_VALUE"""),230.34)</f>
        <v>230.34</v>
      </c>
      <c r="F16" s="122">
        <f>IFERROR(__xludf.DUMMYFUNCTION("""COMPUTED_VALUE"""),460.67)</f>
        <v>460.67</v>
      </c>
      <c r="G16" s="122">
        <f>IFERROR(__xludf.DUMMYFUNCTION("""COMPUTED_VALUE"""),122.55)</f>
        <v>122.55</v>
      </c>
      <c r="H16" s="122">
        <f>IFERROR(__xludf.DUMMYFUNCTION("""COMPUTED_VALUE"""),245.1)</f>
        <v>245.1</v>
      </c>
      <c r="I16" s="122">
        <f>IFERROR(__xludf.DUMMYFUNCTION("""COMPUTED_VALUE"""),-215.58)</f>
        <v>-215.58</v>
      </c>
      <c r="J16" s="131">
        <f>IFERROR(__xludf.DUMMYFUNCTION("""COMPUTED_VALUE"""),46187.706655092596)</f>
        <v>46187.70666</v>
      </c>
    </row>
    <row r="17">
      <c r="A17" s="122">
        <f>IFERROR(__xludf.DUMMYFUNCTION("""COMPUTED_VALUE"""),5420.0)</f>
        <v>5420</v>
      </c>
      <c r="B17" s="122" t="str">
        <f>IFERROR(__xludf.DUMMYFUNCTION("""COMPUTED_VALUE"""),"Daniel Park")</f>
        <v>Daniel Park</v>
      </c>
      <c r="C17" s="122" t="str">
        <f>IFERROR(__xludf.DUMMYFUNCTION("""COMPUTED_VALUE"""),"BYTE")</f>
        <v>BYTE</v>
      </c>
      <c r="D17" s="122">
        <f>IFERROR(__xludf.DUMMYFUNCTION("""COMPUTED_VALUE"""),2.0)</f>
        <v>2</v>
      </c>
      <c r="E17" s="122">
        <f>IFERROR(__xludf.DUMMYFUNCTION("""COMPUTED_VALUE"""),48.6)</f>
        <v>48.6</v>
      </c>
      <c r="F17" s="122">
        <f>IFERROR(__xludf.DUMMYFUNCTION("""COMPUTED_VALUE"""),97.2)</f>
        <v>97.2</v>
      </c>
      <c r="G17" s="122">
        <f>IFERROR(__xludf.DUMMYFUNCTION("""COMPUTED_VALUE"""),110.27)</f>
        <v>110.27</v>
      </c>
      <c r="H17" s="122">
        <f>IFERROR(__xludf.DUMMYFUNCTION("""COMPUTED_VALUE"""),220.54)</f>
        <v>220.54</v>
      </c>
      <c r="I17" s="122">
        <f>IFERROR(__xludf.DUMMYFUNCTION("""COMPUTED_VALUE"""),123.34)</f>
        <v>123.34</v>
      </c>
      <c r="J17" s="131">
        <f>IFERROR(__xludf.DUMMYFUNCTION("""COMPUTED_VALUE"""),46187.706655092596)</f>
        <v>46187.70666</v>
      </c>
    </row>
    <row r="18">
      <c r="A18" s="122">
        <f>IFERROR(__xludf.DUMMYFUNCTION("""COMPUTED_VALUE"""),5420.0)</f>
        <v>5420</v>
      </c>
      <c r="B18" s="122" t="str">
        <f>IFERROR(__xludf.DUMMYFUNCTION("""COMPUTED_VALUE"""),"Daniel Park")</f>
        <v>Daniel Park</v>
      </c>
      <c r="C18" s="122" t="str">
        <f>IFERROR(__xludf.DUMMYFUNCTION("""COMPUTED_VALUE"""),"CHIP")</f>
        <v>CHIP</v>
      </c>
      <c r="D18" s="122">
        <f>IFERROR(__xludf.DUMMYFUNCTION("""COMPUTED_VALUE"""),1.0)</f>
        <v>1</v>
      </c>
      <c r="E18" s="122">
        <f>IFERROR(__xludf.DUMMYFUNCTION("""COMPUTED_VALUE"""),49.48)</f>
        <v>49.48</v>
      </c>
      <c r="F18" s="122">
        <f>IFERROR(__xludf.DUMMYFUNCTION("""COMPUTED_VALUE"""),49.48)</f>
        <v>49.48</v>
      </c>
      <c r="G18" s="122">
        <f>IFERROR(__xludf.DUMMYFUNCTION("""COMPUTED_VALUE"""),81.96)</f>
        <v>81.96</v>
      </c>
      <c r="H18" s="122">
        <f>IFERROR(__xludf.DUMMYFUNCTION("""COMPUTED_VALUE"""),81.96)</f>
        <v>81.96</v>
      </c>
      <c r="I18" s="122">
        <f>IFERROR(__xludf.DUMMYFUNCTION("""COMPUTED_VALUE"""),32.48)</f>
        <v>32.48</v>
      </c>
      <c r="J18" s="131">
        <f>IFERROR(__xludf.DUMMYFUNCTION("""COMPUTED_VALUE"""),46187.706655092596)</f>
        <v>46187.70666</v>
      </c>
    </row>
    <row r="19">
      <c r="A19" s="122">
        <f>IFERROR(__xludf.DUMMYFUNCTION("""COMPUTED_VALUE"""),5420.0)</f>
        <v>5420</v>
      </c>
      <c r="B19" s="122" t="str">
        <f>IFERROR(__xludf.DUMMYFUNCTION("""COMPUTED_VALUE"""),"Daniel Park")</f>
        <v>Daniel Park</v>
      </c>
      <c r="C19" s="122" t="str">
        <f>IFERROR(__xludf.DUMMYFUNCTION("""COMPUTED_VALUE"""),"BOND")</f>
        <v>BOND</v>
      </c>
      <c r="D19" s="122">
        <f>IFERROR(__xludf.DUMMYFUNCTION("""COMPUTED_VALUE"""),1.0)</f>
        <v>1</v>
      </c>
      <c r="E19" s="122">
        <f>IFERROR(__xludf.DUMMYFUNCTION("""COMPUTED_VALUE"""),48.08)</f>
        <v>48.08</v>
      </c>
      <c r="F19" s="122">
        <f>IFERROR(__xludf.DUMMYFUNCTION("""COMPUTED_VALUE"""),48.08)</f>
        <v>48.08</v>
      </c>
      <c r="G19" s="122">
        <f>IFERROR(__xludf.DUMMYFUNCTION("""COMPUTED_VALUE"""),108.25)</f>
        <v>108.25</v>
      </c>
      <c r="H19" s="122">
        <f>IFERROR(__xludf.DUMMYFUNCTION("""COMPUTED_VALUE"""),108.25)</f>
        <v>108.25</v>
      </c>
      <c r="I19" s="122">
        <f>IFERROR(__xludf.DUMMYFUNCTION("""COMPUTED_VALUE"""),60.17)</f>
        <v>60.17</v>
      </c>
      <c r="J19" s="131">
        <f>IFERROR(__xludf.DUMMYFUNCTION("""COMPUTED_VALUE"""),46187.706655092596)</f>
        <v>46187.70666</v>
      </c>
    </row>
    <row r="20">
      <c r="A20" s="122">
        <f>IFERROR(__xludf.DUMMYFUNCTION("""COMPUTED_VALUE"""),2659.0)</f>
        <v>2659</v>
      </c>
      <c r="B20" s="122" t="str">
        <f>IFERROR(__xludf.DUMMYFUNCTION("""COMPUTED_VALUE"""),"Jin Park")</f>
        <v>Jin Park</v>
      </c>
      <c r="C20" s="122" t="str">
        <f>IFERROR(__xludf.DUMMYFUNCTION("""COMPUTED_VALUE"""),"VITA")</f>
        <v>VITA</v>
      </c>
      <c r="D20" s="122">
        <f>IFERROR(__xludf.DUMMYFUNCTION("""COMPUTED_VALUE"""),2.0)</f>
        <v>2</v>
      </c>
      <c r="E20" s="122">
        <f>IFERROR(__xludf.DUMMYFUNCTION("""COMPUTED_VALUE"""),43.78)</f>
        <v>43.78</v>
      </c>
      <c r="F20" s="122">
        <f>IFERROR(__xludf.DUMMYFUNCTION("""COMPUTED_VALUE"""),87.56)</f>
        <v>87.56</v>
      </c>
      <c r="G20" s="122">
        <f>IFERROR(__xludf.DUMMYFUNCTION("""COMPUTED_VALUE"""),72.0)</f>
        <v>72</v>
      </c>
      <c r="H20" s="122">
        <f>IFERROR(__xludf.DUMMYFUNCTION("""COMPUTED_VALUE"""),144.0)</f>
        <v>144</v>
      </c>
      <c r="I20" s="122">
        <f>IFERROR(__xludf.DUMMYFUNCTION("""COMPUTED_VALUE"""),56.44)</f>
        <v>56.44</v>
      </c>
      <c r="J20" s="131">
        <f>IFERROR(__xludf.DUMMYFUNCTION("""COMPUTED_VALUE"""),46187.706655092596)</f>
        <v>46187.70666</v>
      </c>
    </row>
    <row r="21">
      <c r="A21" s="122">
        <f>IFERROR(__xludf.DUMMYFUNCTION("""COMPUTED_VALUE"""),7302.0)</f>
        <v>7302</v>
      </c>
      <c r="B21" s="122" t="str">
        <f>IFERROR(__xludf.DUMMYFUNCTION("""COMPUTED_VALUE"""),"Claire Yang")</f>
        <v>Claire Yang</v>
      </c>
      <c r="C21" s="122" t="str">
        <f>IFERROR(__xludf.DUMMYFUNCTION("""COMPUTED_VALUE"""),"VRSE")</f>
        <v>VRSE</v>
      </c>
      <c r="D21" s="122">
        <f>IFERROR(__xludf.DUMMYFUNCTION("""COMPUTED_VALUE"""),3.0)</f>
        <v>3</v>
      </c>
      <c r="E21" s="122">
        <f>IFERROR(__xludf.DUMMYFUNCTION("""COMPUTED_VALUE"""),167.84)</f>
        <v>167.84</v>
      </c>
      <c r="F21" s="122">
        <f>IFERROR(__xludf.DUMMYFUNCTION("""COMPUTED_VALUE"""),503.52)</f>
        <v>503.52</v>
      </c>
      <c r="G21" s="122">
        <f>IFERROR(__xludf.DUMMYFUNCTION("""COMPUTED_VALUE"""),146.1)</f>
        <v>146.1</v>
      </c>
      <c r="H21" s="122">
        <f>IFERROR(__xludf.DUMMYFUNCTION("""COMPUTED_VALUE"""),438.3)</f>
        <v>438.3</v>
      </c>
      <c r="I21" s="122">
        <f>IFERROR(__xludf.DUMMYFUNCTION("""COMPUTED_VALUE"""),-65.22)</f>
        <v>-65.22</v>
      </c>
      <c r="J21" s="131">
        <f>IFERROR(__xludf.DUMMYFUNCTION("""COMPUTED_VALUE"""),46187.706655092596)</f>
        <v>46187.70666</v>
      </c>
    </row>
    <row r="22">
      <c r="A22" s="122">
        <f>IFERROR(__xludf.DUMMYFUNCTION("""COMPUTED_VALUE"""),3706.0)</f>
        <v>3706</v>
      </c>
      <c r="B22" s="122" t="str">
        <f>IFERROR(__xludf.DUMMYFUNCTION("""COMPUTED_VALUE"""),"Kevin Jeon")</f>
        <v>Kevin Jeon</v>
      </c>
      <c r="C22" s="122" t="str">
        <f>IFERROR(__xludf.DUMMYFUNCTION("""COMPUTED_VALUE"""),"SNAX")</f>
        <v>SNAX</v>
      </c>
      <c r="D22" s="122">
        <f>IFERROR(__xludf.DUMMYFUNCTION("""COMPUTED_VALUE"""),1.0)</f>
        <v>1</v>
      </c>
      <c r="E22" s="122">
        <f>IFERROR(__xludf.DUMMYFUNCTION("""COMPUTED_VALUE"""),228.09)</f>
        <v>228.09</v>
      </c>
      <c r="F22" s="122">
        <f>IFERROR(__xludf.DUMMYFUNCTION("""COMPUTED_VALUE"""),228.09)</f>
        <v>228.09</v>
      </c>
      <c r="G22" s="122">
        <f>IFERROR(__xludf.DUMMYFUNCTION("""COMPUTED_VALUE"""),122.55)</f>
        <v>122.55</v>
      </c>
      <c r="H22" s="122">
        <f>IFERROR(__xludf.DUMMYFUNCTION("""COMPUTED_VALUE"""),122.55)</f>
        <v>122.55</v>
      </c>
      <c r="I22" s="122">
        <f>IFERROR(__xludf.DUMMYFUNCTION("""COMPUTED_VALUE"""),-105.54)</f>
        <v>-105.54</v>
      </c>
      <c r="J22" s="131">
        <f>IFERROR(__xludf.DUMMYFUNCTION("""COMPUTED_VALUE"""),46187.706655092596)</f>
        <v>46187.70666</v>
      </c>
    </row>
    <row r="23">
      <c r="A23" s="122">
        <f>IFERROR(__xludf.DUMMYFUNCTION("""COMPUTED_VALUE"""),5420.0)</f>
        <v>5420</v>
      </c>
      <c r="B23" s="122" t="str">
        <f>IFERROR(__xludf.DUMMYFUNCTION("""COMPUTED_VALUE"""),"Daniel Park")</f>
        <v>Daniel Park</v>
      </c>
      <c r="C23" s="122" t="str">
        <f>IFERROR(__xludf.DUMMYFUNCTION("""COMPUTED_VALUE"""),"HOME")</f>
        <v>HOME</v>
      </c>
      <c r="D23" s="122">
        <f>IFERROR(__xludf.DUMMYFUNCTION("""COMPUTED_VALUE"""),1.0)</f>
        <v>1</v>
      </c>
      <c r="E23" s="122">
        <f>IFERROR(__xludf.DUMMYFUNCTION("""COMPUTED_VALUE"""),70.87)</f>
        <v>70.87</v>
      </c>
      <c r="F23" s="122">
        <f>IFERROR(__xludf.DUMMYFUNCTION("""COMPUTED_VALUE"""),70.87)</f>
        <v>70.87</v>
      </c>
      <c r="G23" s="122">
        <f>IFERROR(__xludf.DUMMYFUNCTION("""COMPUTED_VALUE"""),163.18)</f>
        <v>163.18</v>
      </c>
      <c r="H23" s="122">
        <f>IFERROR(__xludf.DUMMYFUNCTION("""COMPUTED_VALUE"""),163.18)</f>
        <v>163.18</v>
      </c>
      <c r="I23" s="122">
        <f>IFERROR(__xludf.DUMMYFUNCTION("""COMPUTED_VALUE"""),92.31)</f>
        <v>92.31</v>
      </c>
      <c r="J23" s="131">
        <f>IFERROR(__xludf.DUMMYFUNCTION("""COMPUTED_VALUE"""),46187.706655092596)</f>
        <v>46187.70666</v>
      </c>
    </row>
    <row r="24">
      <c r="A24" s="122">
        <f>IFERROR(__xludf.DUMMYFUNCTION("""COMPUTED_VALUE"""),8375.0)</f>
        <v>8375</v>
      </c>
      <c r="B24" s="122" t="str">
        <f>IFERROR(__xludf.DUMMYFUNCTION("""COMPUTED_VALUE"""),"Annie Lee")</f>
        <v>Annie Lee</v>
      </c>
      <c r="C24" s="122" t="str">
        <f>IFERROR(__xludf.DUMMYFUNCTION("""COMPUTED_VALUE"""),"MEDX")</f>
        <v>MEDX</v>
      </c>
      <c r="D24" s="122">
        <f>IFERROR(__xludf.DUMMYFUNCTION("""COMPUTED_VALUE"""),1.0)</f>
        <v>1</v>
      </c>
      <c r="E24" s="122">
        <f>IFERROR(__xludf.DUMMYFUNCTION("""COMPUTED_VALUE"""),40.08)</f>
        <v>40.08</v>
      </c>
      <c r="F24" s="122">
        <f>IFERROR(__xludf.DUMMYFUNCTION("""COMPUTED_VALUE"""),40.08)</f>
        <v>40.08</v>
      </c>
      <c r="G24" s="122">
        <f>IFERROR(__xludf.DUMMYFUNCTION("""COMPUTED_VALUE"""),139.38)</f>
        <v>139.38</v>
      </c>
      <c r="H24" s="122">
        <f>IFERROR(__xludf.DUMMYFUNCTION("""COMPUTED_VALUE"""),139.38)</f>
        <v>139.38</v>
      </c>
      <c r="I24" s="122">
        <f>IFERROR(__xludf.DUMMYFUNCTION("""COMPUTED_VALUE"""),99.3)</f>
        <v>99.3</v>
      </c>
      <c r="J24" s="131">
        <f>IFERROR(__xludf.DUMMYFUNCTION("""COMPUTED_VALUE"""),46187.706655092596)</f>
        <v>46187.70666</v>
      </c>
    </row>
    <row r="25">
      <c r="A25" s="122">
        <f>IFERROR(__xludf.DUMMYFUNCTION("""COMPUTED_VALUE"""),6119.0)</f>
        <v>6119</v>
      </c>
      <c r="B25" s="122" t="str">
        <f>IFERROR(__xludf.DUMMYFUNCTION("""COMPUTED_VALUE"""),"Hannah Lee")</f>
        <v>Hannah Lee</v>
      </c>
      <c r="C25" s="122" t="str">
        <f>IFERROR(__xludf.DUMMYFUNCTION("""COMPUTED_VALUE"""),"SNAX")</f>
        <v>SNAX</v>
      </c>
      <c r="D25" s="122">
        <f>IFERROR(__xludf.DUMMYFUNCTION("""COMPUTED_VALUE"""),2.0)</f>
        <v>2</v>
      </c>
      <c r="E25" s="122">
        <f>IFERROR(__xludf.DUMMYFUNCTION("""COMPUTED_VALUE"""),227.85)</f>
        <v>227.85</v>
      </c>
      <c r="F25" s="122">
        <f>IFERROR(__xludf.DUMMYFUNCTION("""COMPUTED_VALUE"""),455.7)</f>
        <v>455.7</v>
      </c>
      <c r="G25" s="122">
        <f>IFERROR(__xludf.DUMMYFUNCTION("""COMPUTED_VALUE"""),122.55)</f>
        <v>122.55</v>
      </c>
      <c r="H25" s="122">
        <f>IFERROR(__xludf.DUMMYFUNCTION("""COMPUTED_VALUE"""),245.1)</f>
        <v>245.1</v>
      </c>
      <c r="I25" s="122">
        <f>IFERROR(__xludf.DUMMYFUNCTION("""COMPUTED_VALUE"""),-210.6)</f>
        <v>-210.6</v>
      </c>
      <c r="J25" s="131">
        <f>IFERROR(__xludf.DUMMYFUNCTION("""COMPUTED_VALUE"""),46187.706655092596)</f>
        <v>46187.70666</v>
      </c>
    </row>
    <row r="26">
      <c r="A26" s="122">
        <f>IFERROR(__xludf.DUMMYFUNCTION("""COMPUTED_VALUE"""),6050.0)</f>
        <v>6050</v>
      </c>
      <c r="B26" s="122" t="str">
        <f>IFERROR(__xludf.DUMMYFUNCTION("""COMPUTED_VALUE"""),"Claire Jeong")</f>
        <v>Claire Jeong</v>
      </c>
      <c r="C26" s="122" t="str">
        <f>IFERROR(__xludf.DUMMYFUNCTION("""COMPUTED_VALUE"""),"CARS")</f>
        <v>CARS</v>
      </c>
      <c r="D26" s="122">
        <f>IFERROR(__xludf.DUMMYFUNCTION("""COMPUTED_VALUE"""),1.0)</f>
        <v>1</v>
      </c>
      <c r="E26" s="122">
        <f>IFERROR(__xludf.DUMMYFUNCTION("""COMPUTED_VALUE"""),31.43)</f>
        <v>31.43</v>
      </c>
      <c r="F26" s="122">
        <f>IFERROR(__xludf.DUMMYFUNCTION("""COMPUTED_VALUE"""),31.43)</f>
        <v>31.43</v>
      </c>
      <c r="G26" s="122">
        <f>IFERROR(__xludf.DUMMYFUNCTION("""COMPUTED_VALUE"""),78.3)</f>
        <v>78.3</v>
      </c>
      <c r="H26" s="122">
        <f>IFERROR(__xludf.DUMMYFUNCTION("""COMPUTED_VALUE"""),78.3)</f>
        <v>78.3</v>
      </c>
      <c r="I26" s="122">
        <f>IFERROR(__xludf.DUMMYFUNCTION("""COMPUTED_VALUE"""),46.87)</f>
        <v>46.87</v>
      </c>
      <c r="J26" s="131">
        <f>IFERROR(__xludf.DUMMYFUNCTION("""COMPUTED_VALUE"""),46187.706655092596)</f>
        <v>46187.70666</v>
      </c>
    </row>
    <row r="27">
      <c r="A27" s="122">
        <f>IFERROR(__xludf.DUMMYFUNCTION("""COMPUTED_VALUE"""),6050.0)</f>
        <v>6050</v>
      </c>
      <c r="B27" s="122" t="str">
        <f>IFERROR(__xludf.DUMMYFUNCTION("""COMPUTED_VALUE"""),"Claire Jeong")</f>
        <v>Claire Jeong</v>
      </c>
      <c r="C27" s="122" t="str">
        <f>IFERROR(__xludf.DUMMYFUNCTION("""COMPUTED_VALUE"""),"GLAM")</f>
        <v>GLAM</v>
      </c>
      <c r="D27" s="122">
        <f>IFERROR(__xludf.DUMMYFUNCTION("""COMPUTED_VALUE"""),1.0)</f>
        <v>1</v>
      </c>
      <c r="E27" s="122">
        <f>IFERROR(__xludf.DUMMYFUNCTION("""COMPUTED_VALUE"""),191.76)</f>
        <v>191.76</v>
      </c>
      <c r="F27" s="122">
        <f>IFERROR(__xludf.DUMMYFUNCTION("""COMPUTED_VALUE"""),191.76)</f>
        <v>191.76</v>
      </c>
      <c r="G27" s="122">
        <f>IFERROR(__xludf.DUMMYFUNCTION("""COMPUTED_VALUE"""),113.44)</f>
        <v>113.44</v>
      </c>
      <c r="H27" s="122">
        <f>IFERROR(__xludf.DUMMYFUNCTION("""COMPUTED_VALUE"""),113.44)</f>
        <v>113.44</v>
      </c>
      <c r="I27" s="122">
        <f>IFERROR(__xludf.DUMMYFUNCTION("""COMPUTED_VALUE"""),-78.32)</f>
        <v>-78.32</v>
      </c>
      <c r="J27" s="131">
        <f>IFERROR(__xludf.DUMMYFUNCTION("""COMPUTED_VALUE"""),46187.706655092596)</f>
        <v>46187.70666</v>
      </c>
    </row>
    <row r="28">
      <c r="A28" s="122">
        <f>IFERROR(__xludf.DUMMYFUNCTION("""COMPUTED_VALUE"""),8332.0)</f>
        <v>8332</v>
      </c>
      <c r="B28" s="122" t="str">
        <f>IFERROR(__xludf.DUMMYFUNCTION("""COMPUTED_VALUE"""),"Lily Kim")</f>
        <v>Lily Kim</v>
      </c>
      <c r="C28" s="122" t="str">
        <f>IFERROR(__xludf.DUMMYFUNCTION("""COMPUTED_VALUE"""),"SNAX")</f>
        <v>SNAX</v>
      </c>
      <c r="D28" s="122">
        <f>IFERROR(__xludf.DUMMYFUNCTION("""COMPUTED_VALUE"""),1.0)</f>
        <v>1</v>
      </c>
      <c r="E28" s="122">
        <f>IFERROR(__xludf.DUMMYFUNCTION("""COMPUTED_VALUE"""),227.88)</f>
        <v>227.88</v>
      </c>
      <c r="F28" s="122">
        <f>IFERROR(__xludf.DUMMYFUNCTION("""COMPUTED_VALUE"""),227.88)</f>
        <v>227.88</v>
      </c>
      <c r="G28" s="122">
        <f>IFERROR(__xludf.DUMMYFUNCTION("""COMPUTED_VALUE"""),122.55)</f>
        <v>122.55</v>
      </c>
      <c r="H28" s="122">
        <f>IFERROR(__xludf.DUMMYFUNCTION("""COMPUTED_VALUE"""),122.55)</f>
        <v>122.55</v>
      </c>
      <c r="I28" s="122">
        <f>IFERROR(__xludf.DUMMYFUNCTION("""COMPUTED_VALUE"""),-105.33)</f>
        <v>-105.33</v>
      </c>
      <c r="J28" s="131">
        <f>IFERROR(__xludf.DUMMYFUNCTION("""COMPUTED_VALUE"""),46187.706655092596)</f>
        <v>46187.70666</v>
      </c>
    </row>
    <row r="29">
      <c r="A29" s="122">
        <f>IFERROR(__xludf.DUMMYFUNCTION("""COMPUTED_VALUE"""),3706.0)</f>
        <v>3706</v>
      </c>
      <c r="B29" s="122" t="str">
        <f>IFERROR(__xludf.DUMMYFUNCTION("""COMPUTED_VALUE"""),"Kevin Jeon")</f>
        <v>Kevin Jeon</v>
      </c>
      <c r="C29" s="122" t="str">
        <f>IFERROR(__xludf.DUMMYFUNCTION("""COMPUTED_VALUE"""),"VRSE")</f>
        <v>VRSE</v>
      </c>
      <c r="D29" s="122">
        <f>IFERROR(__xludf.DUMMYFUNCTION("""COMPUTED_VALUE"""),4.0)</f>
        <v>4</v>
      </c>
      <c r="E29" s="122">
        <f>IFERROR(__xludf.DUMMYFUNCTION("""COMPUTED_VALUE"""),165.94)</f>
        <v>165.94</v>
      </c>
      <c r="F29" s="122">
        <f>IFERROR(__xludf.DUMMYFUNCTION("""COMPUTED_VALUE"""),663.76)</f>
        <v>663.76</v>
      </c>
      <c r="G29" s="122">
        <f>IFERROR(__xludf.DUMMYFUNCTION("""COMPUTED_VALUE"""),146.1)</f>
        <v>146.1</v>
      </c>
      <c r="H29" s="122">
        <f>IFERROR(__xludf.DUMMYFUNCTION("""COMPUTED_VALUE"""),584.4)</f>
        <v>584.4</v>
      </c>
      <c r="I29" s="122">
        <f>IFERROR(__xludf.DUMMYFUNCTION("""COMPUTED_VALUE"""),-79.36)</f>
        <v>-79.36</v>
      </c>
      <c r="J29" s="131">
        <f>IFERROR(__xludf.DUMMYFUNCTION("""COMPUTED_VALUE"""),46187.706655092596)</f>
        <v>46187.70666</v>
      </c>
    </row>
    <row r="30">
      <c r="A30" s="122">
        <f>IFERROR(__xludf.DUMMYFUNCTION("""COMPUTED_VALUE"""),8375.0)</f>
        <v>8375</v>
      </c>
      <c r="B30" s="122" t="str">
        <f>IFERROR(__xludf.DUMMYFUNCTION("""COMPUTED_VALUE"""),"Annie Lee")</f>
        <v>Annie Lee</v>
      </c>
      <c r="C30" s="122" t="str">
        <f>IFERROR(__xludf.DUMMYFUNCTION("""COMPUTED_VALUE"""),"RAMN")</f>
        <v>RAMN</v>
      </c>
      <c r="D30" s="122">
        <f>IFERROR(__xludf.DUMMYFUNCTION("""COMPUTED_VALUE"""),1.0)</f>
        <v>1</v>
      </c>
      <c r="E30" s="122">
        <f>IFERROR(__xludf.DUMMYFUNCTION("""COMPUTED_VALUE"""),53.32)</f>
        <v>53.32</v>
      </c>
      <c r="F30" s="122">
        <f>IFERROR(__xludf.DUMMYFUNCTION("""COMPUTED_VALUE"""),53.32)</f>
        <v>53.32</v>
      </c>
      <c r="G30" s="122">
        <f>IFERROR(__xludf.DUMMYFUNCTION("""COMPUTED_VALUE"""),58.7)</f>
        <v>58.7</v>
      </c>
      <c r="H30" s="122">
        <f>IFERROR(__xludf.DUMMYFUNCTION("""COMPUTED_VALUE"""),58.7)</f>
        <v>58.7</v>
      </c>
      <c r="I30" s="122">
        <f>IFERROR(__xludf.DUMMYFUNCTION("""COMPUTED_VALUE"""),5.38)</f>
        <v>5.38</v>
      </c>
      <c r="J30" s="131">
        <f>IFERROR(__xludf.DUMMYFUNCTION("""COMPUTED_VALUE"""),46187.706655092596)</f>
        <v>46187.70666</v>
      </c>
    </row>
    <row r="31">
      <c r="A31" s="122">
        <f>IFERROR(__xludf.DUMMYFUNCTION("""COMPUTED_VALUE"""),6050.0)</f>
        <v>6050</v>
      </c>
      <c r="B31" s="122" t="str">
        <f>IFERROR(__xludf.DUMMYFUNCTION("""COMPUTED_VALUE"""),"Claire Jeong")</f>
        <v>Claire Jeong</v>
      </c>
      <c r="C31" s="122" t="str">
        <f>IFERROR(__xludf.DUMMYFUNCTION("""COMPUTED_VALUE"""),"LANG")</f>
        <v>LANG</v>
      </c>
      <c r="D31" s="122">
        <f>IFERROR(__xludf.DUMMYFUNCTION("""COMPUTED_VALUE"""),1.0)</f>
        <v>1</v>
      </c>
      <c r="E31" s="122">
        <f>IFERROR(__xludf.DUMMYFUNCTION("""COMPUTED_VALUE"""),80.73)</f>
        <v>80.73</v>
      </c>
      <c r="F31" s="122">
        <f>IFERROR(__xludf.DUMMYFUNCTION("""COMPUTED_VALUE"""),80.73)</f>
        <v>80.73</v>
      </c>
      <c r="G31" s="122">
        <f>IFERROR(__xludf.DUMMYFUNCTION("""COMPUTED_VALUE"""),103.53)</f>
        <v>103.53</v>
      </c>
      <c r="H31" s="122">
        <f>IFERROR(__xludf.DUMMYFUNCTION("""COMPUTED_VALUE"""),103.53)</f>
        <v>103.53</v>
      </c>
      <c r="I31" s="122">
        <f>IFERROR(__xludf.DUMMYFUNCTION("""COMPUTED_VALUE"""),22.8)</f>
        <v>22.8</v>
      </c>
      <c r="J31" s="131">
        <f>IFERROR(__xludf.DUMMYFUNCTION("""COMPUTED_VALUE"""),46187.706655092596)</f>
        <v>46187.70666</v>
      </c>
    </row>
    <row r="32">
      <c r="A32" s="122">
        <f>IFERROR(__xludf.DUMMYFUNCTION("""COMPUTED_VALUE"""),6050.0)</f>
        <v>6050</v>
      </c>
      <c r="B32" s="122" t="str">
        <f>IFERROR(__xludf.DUMMYFUNCTION("""COMPUTED_VALUE"""),"Claire Jeong")</f>
        <v>Claire Jeong</v>
      </c>
      <c r="C32" s="122" t="str">
        <f>IFERROR(__xludf.DUMMYFUNCTION("""COMPUTED_VALUE"""),"TECH")</f>
        <v>TECH</v>
      </c>
      <c r="D32" s="122">
        <f>IFERROR(__xludf.DUMMYFUNCTION("""COMPUTED_VALUE"""),1.0)</f>
        <v>1</v>
      </c>
      <c r="E32" s="122">
        <f>IFERROR(__xludf.DUMMYFUNCTION("""COMPUTED_VALUE"""),100.96)</f>
        <v>100.96</v>
      </c>
      <c r="F32" s="122">
        <f>IFERROR(__xludf.DUMMYFUNCTION("""COMPUTED_VALUE"""),100.96)</f>
        <v>100.96</v>
      </c>
      <c r="G32" s="122">
        <f>IFERROR(__xludf.DUMMYFUNCTION("""COMPUTED_VALUE"""),246.95)</f>
        <v>246.95</v>
      </c>
      <c r="H32" s="122">
        <f>IFERROR(__xludf.DUMMYFUNCTION("""COMPUTED_VALUE"""),246.95)</f>
        <v>246.95</v>
      </c>
      <c r="I32" s="122">
        <f>IFERROR(__xludf.DUMMYFUNCTION("""COMPUTED_VALUE"""),145.99)</f>
        <v>145.99</v>
      </c>
      <c r="J32" s="131">
        <f>IFERROR(__xludf.DUMMYFUNCTION("""COMPUTED_VALUE"""),46187.706655092596)</f>
        <v>46187.70666</v>
      </c>
    </row>
    <row r="33">
      <c r="A33" s="122">
        <f>IFERROR(__xludf.DUMMYFUNCTION("""COMPUTED_VALUE"""),8673.0)</f>
        <v>8673</v>
      </c>
      <c r="B33" s="122" t="str">
        <f>IFERROR(__xludf.DUMMYFUNCTION("""COMPUTED_VALUE"""),"Minjung Lee")</f>
        <v>Minjung Lee</v>
      </c>
      <c r="C33" s="122" t="str">
        <f>IFERROR(__xludf.DUMMYFUNCTION("""COMPUTED_VALUE"""),"GAME")</f>
        <v>GAME</v>
      </c>
      <c r="D33" s="122">
        <f>IFERROR(__xludf.DUMMYFUNCTION("""COMPUTED_VALUE"""),1.0)</f>
        <v>1</v>
      </c>
      <c r="E33" s="122">
        <f>IFERROR(__xludf.DUMMYFUNCTION("""COMPUTED_VALUE"""),146.03)</f>
        <v>146.03</v>
      </c>
      <c r="F33" s="122">
        <f>IFERROR(__xludf.DUMMYFUNCTION("""COMPUTED_VALUE"""),146.03)</f>
        <v>146.03</v>
      </c>
      <c r="G33" s="122">
        <f>IFERROR(__xludf.DUMMYFUNCTION("""COMPUTED_VALUE"""),103.19)</f>
        <v>103.19</v>
      </c>
      <c r="H33" s="122">
        <f>IFERROR(__xludf.DUMMYFUNCTION("""COMPUTED_VALUE"""),103.19)</f>
        <v>103.19</v>
      </c>
      <c r="I33" s="122">
        <f>IFERROR(__xludf.DUMMYFUNCTION("""COMPUTED_VALUE"""),-42.84)</f>
        <v>-42.84</v>
      </c>
      <c r="J33" s="131">
        <f>IFERROR(__xludf.DUMMYFUNCTION("""COMPUTED_VALUE"""),46187.706655092596)</f>
        <v>46187.70666</v>
      </c>
    </row>
    <row r="34">
      <c r="A34" s="122">
        <f>IFERROR(__xludf.DUMMYFUNCTION("""COMPUTED_VALUE"""),6050.0)</f>
        <v>6050</v>
      </c>
      <c r="B34" s="122" t="str">
        <f>IFERROR(__xludf.DUMMYFUNCTION("""COMPUTED_VALUE"""),"Claire Jeong")</f>
        <v>Claire Jeong</v>
      </c>
      <c r="C34" s="122" t="str">
        <f>IFERROR(__xludf.DUMMYFUNCTION("""COMPUTED_VALUE"""),"INSR")</f>
        <v>INSR</v>
      </c>
      <c r="D34" s="122">
        <f>IFERROR(__xludf.DUMMYFUNCTION("""COMPUTED_VALUE"""),1.0)</f>
        <v>1</v>
      </c>
      <c r="E34" s="122">
        <f>IFERROR(__xludf.DUMMYFUNCTION("""COMPUTED_VALUE"""),62.5)</f>
        <v>62.5</v>
      </c>
      <c r="F34" s="122">
        <f>IFERROR(__xludf.DUMMYFUNCTION("""COMPUTED_VALUE"""),62.5)</f>
        <v>62.5</v>
      </c>
      <c r="G34" s="122">
        <f>IFERROR(__xludf.DUMMYFUNCTION("""COMPUTED_VALUE"""),158.44)</f>
        <v>158.44</v>
      </c>
      <c r="H34" s="122">
        <f>IFERROR(__xludf.DUMMYFUNCTION("""COMPUTED_VALUE"""),158.44)</f>
        <v>158.44</v>
      </c>
      <c r="I34" s="122">
        <f>IFERROR(__xludf.DUMMYFUNCTION("""COMPUTED_VALUE"""),95.94)</f>
        <v>95.94</v>
      </c>
      <c r="J34" s="131">
        <f>IFERROR(__xludf.DUMMYFUNCTION("""COMPUTED_VALUE"""),46187.706655092596)</f>
        <v>46187.70666</v>
      </c>
    </row>
    <row r="35">
      <c r="A35" s="122">
        <f>IFERROR(__xludf.DUMMYFUNCTION("""COMPUTED_VALUE"""),6050.0)</f>
        <v>6050</v>
      </c>
      <c r="B35" s="122" t="str">
        <f>IFERROR(__xludf.DUMMYFUNCTION("""COMPUTED_VALUE"""),"Claire Jeong")</f>
        <v>Claire Jeong</v>
      </c>
      <c r="C35" s="122" t="str">
        <f>IFERROR(__xludf.DUMMYFUNCTION("""COMPUTED_VALUE"""),"VRSE")</f>
        <v>VRSE</v>
      </c>
      <c r="D35" s="122">
        <f>IFERROR(__xludf.DUMMYFUNCTION("""COMPUTED_VALUE"""),3.0)</f>
        <v>3</v>
      </c>
      <c r="E35" s="122">
        <f>IFERROR(__xludf.DUMMYFUNCTION("""COMPUTED_VALUE"""),164.78)</f>
        <v>164.78</v>
      </c>
      <c r="F35" s="122">
        <f>IFERROR(__xludf.DUMMYFUNCTION("""COMPUTED_VALUE"""),494.34)</f>
        <v>494.34</v>
      </c>
      <c r="G35" s="122">
        <f>IFERROR(__xludf.DUMMYFUNCTION("""COMPUTED_VALUE"""),146.1)</f>
        <v>146.1</v>
      </c>
      <c r="H35" s="122">
        <f>IFERROR(__xludf.DUMMYFUNCTION("""COMPUTED_VALUE"""),438.3)</f>
        <v>438.3</v>
      </c>
      <c r="I35" s="122">
        <f>IFERROR(__xludf.DUMMYFUNCTION("""COMPUTED_VALUE"""),-56.04)</f>
        <v>-56.04</v>
      </c>
      <c r="J35" s="131">
        <f>IFERROR(__xludf.DUMMYFUNCTION("""COMPUTED_VALUE"""),46187.706655092596)</f>
        <v>46187.70666</v>
      </c>
    </row>
    <row r="36">
      <c r="A36" s="122">
        <f>IFERROR(__xludf.DUMMYFUNCTION("""COMPUTED_VALUE"""),8375.0)</f>
        <v>8375</v>
      </c>
      <c r="B36" s="122" t="str">
        <f>IFERROR(__xludf.DUMMYFUNCTION("""COMPUTED_VALUE"""),"Annie Lee")</f>
        <v>Annie Lee</v>
      </c>
      <c r="C36" s="122" t="str">
        <f>IFERROR(__xludf.DUMMYFUNCTION("""COMPUTED_VALUE"""),"AIBO")</f>
        <v>AIBO</v>
      </c>
      <c r="D36" s="122">
        <f>IFERROR(__xludf.DUMMYFUNCTION("""COMPUTED_VALUE"""),1.0)</f>
        <v>1</v>
      </c>
      <c r="E36" s="122">
        <f>IFERROR(__xludf.DUMMYFUNCTION("""COMPUTED_VALUE"""),487.24)</f>
        <v>487.24</v>
      </c>
      <c r="F36" s="122">
        <f>IFERROR(__xludf.DUMMYFUNCTION("""COMPUTED_VALUE"""),487.24)</f>
        <v>487.24</v>
      </c>
      <c r="G36" s="122">
        <f>IFERROR(__xludf.DUMMYFUNCTION("""COMPUTED_VALUE"""),194.32)</f>
        <v>194.32</v>
      </c>
      <c r="H36" s="122">
        <f>IFERROR(__xludf.DUMMYFUNCTION("""COMPUTED_VALUE"""),194.32)</f>
        <v>194.32</v>
      </c>
      <c r="I36" s="122">
        <f>IFERROR(__xludf.DUMMYFUNCTION("""COMPUTED_VALUE"""),-292.92)</f>
        <v>-292.92</v>
      </c>
      <c r="J36" s="131">
        <f>IFERROR(__xludf.DUMMYFUNCTION("""COMPUTED_VALUE"""),46187.706655092596)</f>
        <v>46187.70666</v>
      </c>
    </row>
    <row r="37">
      <c r="A37" s="122">
        <f>IFERROR(__xludf.DUMMYFUNCTION("""COMPUTED_VALUE"""),9842.0)</f>
        <v>9842</v>
      </c>
      <c r="B37" s="122" t="str">
        <f>IFERROR(__xludf.DUMMYFUNCTION("""COMPUTED_VALUE"""),"Sylvia Seo")</f>
        <v>Sylvia Seo</v>
      </c>
      <c r="C37" s="122" t="str">
        <f>IFERROR(__xludf.DUMMYFUNCTION("""COMPUTED_VALUE"""),"GBND")</f>
        <v>GBND</v>
      </c>
      <c r="D37" s="122">
        <f>IFERROR(__xludf.DUMMYFUNCTION("""COMPUTED_VALUE"""),1.0)</f>
        <v>1</v>
      </c>
      <c r="E37" s="122">
        <f>IFERROR(__xludf.DUMMYFUNCTION("""COMPUTED_VALUE"""),100.46)</f>
        <v>100.46</v>
      </c>
      <c r="F37" s="122">
        <f>IFERROR(__xludf.DUMMYFUNCTION("""COMPUTED_VALUE"""),100.46)</f>
        <v>100.46</v>
      </c>
      <c r="G37" s="122">
        <f>IFERROR(__xludf.DUMMYFUNCTION("""COMPUTED_VALUE"""),101.2)</f>
        <v>101.2</v>
      </c>
      <c r="H37" s="122">
        <f>IFERROR(__xludf.DUMMYFUNCTION("""COMPUTED_VALUE"""),101.2)</f>
        <v>101.2</v>
      </c>
      <c r="I37" s="122">
        <f>IFERROR(__xludf.DUMMYFUNCTION("""COMPUTED_VALUE"""),0.74)</f>
        <v>0.74</v>
      </c>
      <c r="J37" s="131">
        <f>IFERROR(__xludf.DUMMYFUNCTION("""COMPUTED_VALUE"""),46187.706655092596)</f>
        <v>46187.70666</v>
      </c>
    </row>
    <row r="38">
      <c r="A38" s="122">
        <f>IFERROR(__xludf.DUMMYFUNCTION("""COMPUTED_VALUE"""),2399.0)</f>
        <v>2399</v>
      </c>
      <c r="B38" s="122" t="str">
        <f>IFERROR(__xludf.DUMMYFUNCTION("""COMPUTED_VALUE"""),"Seoyi Hong")</f>
        <v>Seoyi Hong</v>
      </c>
      <c r="C38" s="122" t="str">
        <f>IFERROR(__xludf.DUMMYFUNCTION("""COMPUTED_VALUE"""),"LANG")</f>
        <v>LANG</v>
      </c>
      <c r="D38" s="122">
        <f>IFERROR(__xludf.DUMMYFUNCTION("""COMPUTED_VALUE"""),8.0)</f>
        <v>8</v>
      </c>
      <c r="E38" s="122">
        <f>IFERROR(__xludf.DUMMYFUNCTION("""COMPUTED_VALUE"""),88.18)</f>
        <v>88.18</v>
      </c>
      <c r="F38" s="122">
        <f>IFERROR(__xludf.DUMMYFUNCTION("""COMPUTED_VALUE"""),705.43)</f>
        <v>705.43</v>
      </c>
      <c r="G38" s="122">
        <f>IFERROR(__xludf.DUMMYFUNCTION("""COMPUTED_VALUE"""),103.53)</f>
        <v>103.53</v>
      </c>
      <c r="H38" s="122">
        <f>IFERROR(__xludf.DUMMYFUNCTION("""COMPUTED_VALUE"""),828.24)</f>
        <v>828.24</v>
      </c>
      <c r="I38" s="122">
        <f>IFERROR(__xludf.DUMMYFUNCTION("""COMPUTED_VALUE"""),122.8)</f>
        <v>122.8</v>
      </c>
      <c r="J38" s="131">
        <f>IFERROR(__xludf.DUMMYFUNCTION("""COMPUTED_VALUE"""),46187.706655092596)</f>
        <v>46187.70666</v>
      </c>
    </row>
    <row r="39">
      <c r="A39" s="122">
        <f>IFERROR(__xludf.DUMMYFUNCTION("""COMPUTED_VALUE"""),9842.0)</f>
        <v>9842</v>
      </c>
      <c r="B39" s="122" t="str">
        <f>IFERROR(__xludf.DUMMYFUNCTION("""COMPUTED_VALUE"""),"Sylvia Seo")</f>
        <v>Sylvia Seo</v>
      </c>
      <c r="C39" s="122" t="str">
        <f>IFERROR(__xludf.DUMMYFUNCTION("""COMPUTED_VALUE"""),"VITA")</f>
        <v>VITA</v>
      </c>
      <c r="D39" s="122">
        <f>IFERROR(__xludf.DUMMYFUNCTION("""COMPUTED_VALUE"""),1.0)</f>
        <v>1</v>
      </c>
      <c r="E39" s="122">
        <f>IFERROR(__xludf.DUMMYFUNCTION("""COMPUTED_VALUE"""),46.04)</f>
        <v>46.04</v>
      </c>
      <c r="F39" s="122">
        <f>IFERROR(__xludf.DUMMYFUNCTION("""COMPUTED_VALUE"""),46.04)</f>
        <v>46.04</v>
      </c>
      <c r="G39" s="122">
        <f>IFERROR(__xludf.DUMMYFUNCTION("""COMPUTED_VALUE"""),72.0)</f>
        <v>72</v>
      </c>
      <c r="H39" s="122">
        <f>IFERROR(__xludf.DUMMYFUNCTION("""COMPUTED_VALUE"""),72.0)</f>
        <v>72</v>
      </c>
      <c r="I39" s="122">
        <f>IFERROR(__xludf.DUMMYFUNCTION("""COMPUTED_VALUE"""),25.96)</f>
        <v>25.96</v>
      </c>
      <c r="J39" s="131">
        <f>IFERROR(__xludf.DUMMYFUNCTION("""COMPUTED_VALUE"""),46187.706655092596)</f>
        <v>46187.70666</v>
      </c>
    </row>
    <row r="40">
      <c r="A40" s="122">
        <f>IFERROR(__xludf.DUMMYFUNCTION("""COMPUTED_VALUE"""),9842.0)</f>
        <v>9842</v>
      </c>
      <c r="B40" s="122" t="str">
        <f>IFERROR(__xludf.DUMMYFUNCTION("""COMPUTED_VALUE"""),"Sylvia Seo")</f>
        <v>Sylvia Seo</v>
      </c>
      <c r="C40" s="122" t="str">
        <f>IFERROR(__xludf.DUMMYFUNCTION("""COMPUTED_VALUE"""),"LOAN")</f>
        <v>LOAN</v>
      </c>
      <c r="D40" s="122">
        <f>IFERROR(__xludf.DUMMYFUNCTION("""COMPUTED_VALUE"""),1.0)</f>
        <v>1</v>
      </c>
      <c r="E40" s="122">
        <f>IFERROR(__xludf.DUMMYFUNCTION("""COMPUTED_VALUE"""),54.86)</f>
        <v>54.86</v>
      </c>
      <c r="F40" s="122">
        <f>IFERROR(__xludf.DUMMYFUNCTION("""COMPUTED_VALUE"""),54.86)</f>
        <v>54.86</v>
      </c>
      <c r="G40" s="122">
        <f>IFERROR(__xludf.DUMMYFUNCTION("""COMPUTED_VALUE"""),76.99)</f>
        <v>76.99</v>
      </c>
      <c r="H40" s="122">
        <f>IFERROR(__xludf.DUMMYFUNCTION("""COMPUTED_VALUE"""),76.99)</f>
        <v>76.99</v>
      </c>
      <c r="I40" s="122">
        <f>IFERROR(__xludf.DUMMYFUNCTION("""COMPUTED_VALUE"""),22.13)</f>
        <v>22.13</v>
      </c>
      <c r="J40" s="131">
        <f>IFERROR(__xludf.DUMMYFUNCTION("""COMPUTED_VALUE"""),46187.706655092596)</f>
        <v>46187.70666</v>
      </c>
    </row>
    <row r="41">
      <c r="A41" s="122">
        <f>IFERROR(__xludf.DUMMYFUNCTION("""COMPUTED_VALUE"""),9842.0)</f>
        <v>9842</v>
      </c>
      <c r="B41" s="122" t="str">
        <f>IFERROR(__xludf.DUMMYFUNCTION("""COMPUTED_VALUE"""),"Sylvia Seo")</f>
        <v>Sylvia Seo</v>
      </c>
      <c r="C41" s="122" t="str">
        <f>IFERROR(__xludf.DUMMYFUNCTION("""COMPUTED_VALUE"""),"TUTR")</f>
        <v>TUTR</v>
      </c>
      <c r="D41" s="122">
        <f>IFERROR(__xludf.DUMMYFUNCTION("""COMPUTED_VALUE"""),1.0)</f>
        <v>1</v>
      </c>
      <c r="E41" s="122">
        <f>IFERROR(__xludf.DUMMYFUNCTION("""COMPUTED_VALUE"""),34.04)</f>
        <v>34.04</v>
      </c>
      <c r="F41" s="122">
        <f>IFERROR(__xludf.DUMMYFUNCTION("""COMPUTED_VALUE"""),34.04)</f>
        <v>34.04</v>
      </c>
      <c r="G41" s="122">
        <f>IFERROR(__xludf.DUMMYFUNCTION("""COMPUTED_VALUE"""),92.46)</f>
        <v>92.46</v>
      </c>
      <c r="H41" s="122">
        <f>IFERROR(__xludf.DUMMYFUNCTION("""COMPUTED_VALUE"""),92.46)</f>
        <v>92.46</v>
      </c>
      <c r="I41" s="122">
        <f>IFERROR(__xludf.DUMMYFUNCTION("""COMPUTED_VALUE"""),58.42)</f>
        <v>58.42</v>
      </c>
      <c r="J41" s="131">
        <f>IFERROR(__xludf.DUMMYFUNCTION("""COMPUTED_VALUE"""),46187.706655092596)</f>
        <v>46187.70666</v>
      </c>
    </row>
    <row r="42">
      <c r="A42" s="122">
        <f>IFERROR(__xludf.DUMMYFUNCTION("""COMPUTED_VALUE"""),3466.0)</f>
        <v>3466</v>
      </c>
      <c r="B42" s="122" t="str">
        <f>IFERROR(__xludf.DUMMYFUNCTION("""COMPUTED_VALUE"""),"Jay Kim")</f>
        <v>Jay Kim</v>
      </c>
      <c r="C42" s="122" t="str">
        <f>IFERROR(__xludf.DUMMYFUNCTION("""COMPUTED_VALUE"""),"LANG")</f>
        <v>LANG</v>
      </c>
      <c r="D42" s="122">
        <f>IFERROR(__xludf.DUMMYFUNCTION("""COMPUTED_VALUE"""),10.0)</f>
        <v>10</v>
      </c>
      <c r="E42" s="122">
        <f>IFERROR(__xludf.DUMMYFUNCTION("""COMPUTED_VALUE"""),77.28)</f>
        <v>77.28</v>
      </c>
      <c r="F42" s="122">
        <f>IFERROR(__xludf.DUMMYFUNCTION("""COMPUTED_VALUE"""),772.8)</f>
        <v>772.8</v>
      </c>
      <c r="G42" s="122">
        <f>IFERROR(__xludf.DUMMYFUNCTION("""COMPUTED_VALUE"""),103.53)</f>
        <v>103.53</v>
      </c>
      <c r="H42" s="122">
        <f>IFERROR(__xludf.DUMMYFUNCTION("""COMPUTED_VALUE"""),1035.3)</f>
        <v>1035.3</v>
      </c>
      <c r="I42" s="122">
        <f>IFERROR(__xludf.DUMMYFUNCTION("""COMPUTED_VALUE"""),262.5)</f>
        <v>262.5</v>
      </c>
      <c r="J42" s="131">
        <f>IFERROR(__xludf.DUMMYFUNCTION("""COMPUTED_VALUE"""),46187.706655092596)</f>
        <v>46187.70666</v>
      </c>
    </row>
    <row r="43">
      <c r="A43" s="122">
        <f>IFERROR(__xludf.DUMMYFUNCTION("""COMPUTED_VALUE"""),2233.0)</f>
        <v>2233</v>
      </c>
      <c r="B43" s="122" t="str">
        <f>IFERROR(__xludf.DUMMYFUNCTION("""COMPUTED_VALUE"""),"John")</f>
        <v>John</v>
      </c>
      <c r="C43" s="122" t="str">
        <f>IFERROR(__xludf.DUMMYFUNCTION("""COMPUTED_VALUE"""),"BATT")</f>
        <v>BATT</v>
      </c>
      <c r="D43" s="122">
        <f>IFERROR(__xludf.DUMMYFUNCTION("""COMPUTED_VALUE"""),5.0)</f>
        <v>5</v>
      </c>
      <c r="E43" s="122">
        <f>IFERROR(__xludf.DUMMYFUNCTION("""COMPUTED_VALUE"""),289.62)</f>
        <v>289.62</v>
      </c>
      <c r="F43" s="122">
        <f>IFERROR(__xludf.DUMMYFUNCTION("""COMPUTED_VALUE"""),1448.1)</f>
        <v>1448.1</v>
      </c>
      <c r="G43" s="122">
        <f>IFERROR(__xludf.DUMMYFUNCTION("""COMPUTED_VALUE"""),115.9)</f>
        <v>115.9</v>
      </c>
      <c r="H43" s="122">
        <f>IFERROR(__xludf.DUMMYFUNCTION("""COMPUTED_VALUE"""),579.5)</f>
        <v>579.5</v>
      </c>
      <c r="I43" s="122">
        <f>IFERROR(__xludf.DUMMYFUNCTION("""COMPUTED_VALUE"""),-868.6)</f>
        <v>-868.6</v>
      </c>
      <c r="J43" s="131">
        <f>IFERROR(__xludf.DUMMYFUNCTION("""COMPUTED_VALUE"""),46187.706655092596)</f>
        <v>46187.70666</v>
      </c>
    </row>
    <row r="44">
      <c r="A44" s="122">
        <f>IFERROR(__xludf.DUMMYFUNCTION("""COMPUTED_VALUE"""),1688.0)</f>
        <v>1688</v>
      </c>
      <c r="B44" s="122" t="str">
        <f>IFERROR(__xludf.DUMMYFUNCTION("""COMPUTED_VALUE"""),"Junwoo Yoon")</f>
        <v>Junwoo Yoon</v>
      </c>
      <c r="C44" s="122" t="str">
        <f>IFERROR(__xludf.DUMMYFUNCTION("""COMPUTED_VALUE"""),"GAME")</f>
        <v>GAME</v>
      </c>
      <c r="D44" s="122">
        <f>IFERROR(__xludf.DUMMYFUNCTION("""COMPUTED_VALUE"""),4.0)</f>
        <v>4</v>
      </c>
      <c r="E44" s="122">
        <f>IFERROR(__xludf.DUMMYFUNCTION("""COMPUTED_VALUE"""),209.05)</f>
        <v>209.05</v>
      </c>
      <c r="F44" s="122">
        <f>IFERROR(__xludf.DUMMYFUNCTION("""COMPUTED_VALUE"""),836.2)</f>
        <v>836.2</v>
      </c>
      <c r="G44" s="122">
        <f>IFERROR(__xludf.DUMMYFUNCTION("""COMPUTED_VALUE"""),103.19)</f>
        <v>103.19</v>
      </c>
      <c r="H44" s="122">
        <f>IFERROR(__xludf.DUMMYFUNCTION("""COMPUTED_VALUE"""),412.76)</f>
        <v>412.76</v>
      </c>
      <c r="I44" s="122">
        <f>IFERROR(__xludf.DUMMYFUNCTION("""COMPUTED_VALUE"""),-423.44)</f>
        <v>-423.44</v>
      </c>
      <c r="J44" s="131">
        <f>IFERROR(__xludf.DUMMYFUNCTION("""COMPUTED_VALUE"""),46187.706655092596)</f>
        <v>46187.70666</v>
      </c>
    </row>
    <row r="45">
      <c r="A45" s="122" t="str">
        <f>IFERROR(__xludf.DUMMYFUNCTION("""COMPUTED_VALUE"""),"dc04eef4")</f>
        <v>dc04eef4</v>
      </c>
      <c r="B45" s="122" t="str">
        <f>IFERROR(__xludf.DUMMYFUNCTION("""COMPUTED_VALUE"""),"Joshua Jung")</f>
        <v>Joshua Jung</v>
      </c>
      <c r="C45" s="122" t="str">
        <f>IFERROR(__xludf.DUMMYFUNCTION("""COMPUTED_VALUE"""),"GAME")</f>
        <v>GAME</v>
      </c>
      <c r="D45" s="122">
        <f>IFERROR(__xludf.DUMMYFUNCTION("""COMPUTED_VALUE"""),2.0)</f>
        <v>2</v>
      </c>
      <c r="E45" s="122">
        <f>IFERROR(__xludf.DUMMYFUNCTION("""COMPUTED_VALUE"""),59.65)</f>
        <v>59.65</v>
      </c>
      <c r="F45" s="122">
        <f>IFERROR(__xludf.DUMMYFUNCTION("""COMPUTED_VALUE"""),119.3)</f>
        <v>119.3</v>
      </c>
      <c r="G45" s="122">
        <f>IFERROR(__xludf.DUMMYFUNCTION("""COMPUTED_VALUE"""),103.19)</f>
        <v>103.19</v>
      </c>
      <c r="H45" s="122">
        <f>IFERROR(__xludf.DUMMYFUNCTION("""COMPUTED_VALUE"""),206.38)</f>
        <v>206.38</v>
      </c>
      <c r="I45" s="122">
        <f>IFERROR(__xludf.DUMMYFUNCTION("""COMPUTED_VALUE"""),87.08)</f>
        <v>87.08</v>
      </c>
      <c r="J45" s="131">
        <f>IFERROR(__xludf.DUMMYFUNCTION("""COMPUTED_VALUE"""),46187.706655092596)</f>
        <v>46187.70666</v>
      </c>
    </row>
    <row r="46">
      <c r="A46" s="122">
        <f>IFERROR(__xludf.DUMMYFUNCTION("""COMPUTED_VALUE"""),6742.0)</f>
        <v>6742</v>
      </c>
      <c r="B46" s="122" t="str">
        <f>IFERROR(__xludf.DUMMYFUNCTION("""COMPUTED_VALUE"""),"Raoul Kim")</f>
        <v>Raoul Kim</v>
      </c>
      <c r="C46" s="122" t="str">
        <f>IFERROR(__xludf.DUMMYFUNCTION("""COMPUTED_VALUE"""),"CRED")</f>
        <v>CRED</v>
      </c>
      <c r="D46" s="122">
        <f>IFERROR(__xludf.DUMMYFUNCTION("""COMPUTED_VALUE"""),1.0)</f>
        <v>1</v>
      </c>
      <c r="E46" s="122">
        <f>IFERROR(__xludf.DUMMYFUNCTION("""COMPUTED_VALUE"""),91.19)</f>
        <v>91.19</v>
      </c>
      <c r="F46" s="122">
        <f>IFERROR(__xludf.DUMMYFUNCTION("""COMPUTED_VALUE"""),91.19)</f>
        <v>91.19</v>
      </c>
      <c r="G46" s="122">
        <f>IFERROR(__xludf.DUMMYFUNCTION("""COMPUTED_VALUE"""),67.35)</f>
        <v>67.35</v>
      </c>
      <c r="H46" s="122">
        <f>IFERROR(__xludf.DUMMYFUNCTION("""COMPUTED_VALUE"""),67.35)</f>
        <v>67.35</v>
      </c>
      <c r="I46" s="122">
        <f>IFERROR(__xludf.DUMMYFUNCTION("""COMPUTED_VALUE"""),-23.84)</f>
        <v>-23.84</v>
      </c>
      <c r="J46" s="131">
        <f>IFERROR(__xludf.DUMMYFUNCTION("""COMPUTED_VALUE"""),46187.706655092596)</f>
        <v>46187.70666</v>
      </c>
    </row>
    <row r="47">
      <c r="A47" s="122">
        <f>IFERROR(__xludf.DUMMYFUNCTION("""COMPUTED_VALUE"""),9842.0)</f>
        <v>9842</v>
      </c>
      <c r="B47" s="122" t="str">
        <f>IFERROR(__xludf.DUMMYFUNCTION("""COMPUTED_VALUE"""),"Sylvia Seo")</f>
        <v>Sylvia Seo</v>
      </c>
      <c r="C47" s="122" t="str">
        <f>IFERROR(__xludf.DUMMYFUNCTION("""COMPUTED_VALUE"""),"LANG")</f>
        <v>LANG</v>
      </c>
      <c r="D47" s="122">
        <f>IFERROR(__xludf.DUMMYFUNCTION("""COMPUTED_VALUE"""),3.0)</f>
        <v>3</v>
      </c>
      <c r="E47" s="122">
        <f>IFERROR(__xludf.DUMMYFUNCTION("""COMPUTED_VALUE"""),92.14)</f>
        <v>92.14</v>
      </c>
      <c r="F47" s="122">
        <f>IFERROR(__xludf.DUMMYFUNCTION("""COMPUTED_VALUE"""),276.42)</f>
        <v>276.42</v>
      </c>
      <c r="G47" s="122">
        <f>IFERROR(__xludf.DUMMYFUNCTION("""COMPUTED_VALUE"""),103.53)</f>
        <v>103.53</v>
      </c>
      <c r="H47" s="122">
        <f>IFERROR(__xludf.DUMMYFUNCTION("""COMPUTED_VALUE"""),310.59)</f>
        <v>310.59</v>
      </c>
      <c r="I47" s="122">
        <f>IFERROR(__xludf.DUMMYFUNCTION("""COMPUTED_VALUE"""),34.17)</f>
        <v>34.17</v>
      </c>
      <c r="J47" s="131">
        <f>IFERROR(__xludf.DUMMYFUNCTION("""COMPUTED_VALUE"""),46187.706655092596)</f>
        <v>46187.70666</v>
      </c>
    </row>
    <row r="48">
      <c r="A48" s="122">
        <f>IFERROR(__xludf.DUMMYFUNCTION("""COMPUTED_VALUE"""),5938.0)</f>
        <v>5938</v>
      </c>
      <c r="B48" s="122" t="str">
        <f>IFERROR(__xludf.DUMMYFUNCTION("""COMPUTED_VALUE"""),"Emily Kang")</f>
        <v>Emily Kang</v>
      </c>
      <c r="C48" s="122" t="str">
        <f>IFERROR(__xludf.DUMMYFUNCTION("""COMPUTED_VALUE"""),"COLA")</f>
        <v>COLA</v>
      </c>
      <c r="D48" s="122">
        <f>IFERROR(__xludf.DUMMYFUNCTION("""COMPUTED_VALUE"""),4.0)</f>
        <v>4</v>
      </c>
      <c r="E48" s="122">
        <f>IFERROR(__xludf.DUMMYFUNCTION("""COMPUTED_VALUE"""),95.04)</f>
        <v>95.04</v>
      </c>
      <c r="F48" s="122">
        <f>IFERROR(__xludf.DUMMYFUNCTION("""COMPUTED_VALUE"""),380.16)</f>
        <v>380.16</v>
      </c>
      <c r="G48" s="122">
        <f>IFERROR(__xludf.DUMMYFUNCTION("""COMPUTED_VALUE"""),116.04)</f>
        <v>116.04</v>
      </c>
      <c r="H48" s="122">
        <f>IFERROR(__xludf.DUMMYFUNCTION("""COMPUTED_VALUE"""),464.16)</f>
        <v>464.16</v>
      </c>
      <c r="I48" s="122">
        <f>IFERROR(__xludf.DUMMYFUNCTION("""COMPUTED_VALUE"""),84.0)</f>
        <v>84</v>
      </c>
      <c r="J48" s="131">
        <f>IFERROR(__xludf.DUMMYFUNCTION("""COMPUTED_VALUE"""),46187.706655092596)</f>
        <v>46187.70666</v>
      </c>
    </row>
    <row r="49">
      <c r="A49" s="122">
        <f>IFERROR(__xludf.DUMMYFUNCTION("""COMPUTED_VALUE"""),9658.0)</f>
        <v>9658</v>
      </c>
      <c r="B49" s="122" t="str">
        <f>IFERROR(__xludf.DUMMYFUNCTION("""COMPUTED_VALUE"""),"Austin Han")</f>
        <v>Austin Han</v>
      </c>
      <c r="C49" s="122" t="str">
        <f>IFERROR(__xludf.DUMMYFUNCTION("""COMPUTED_VALUE"""),"DRON")</f>
        <v>DRON</v>
      </c>
      <c r="D49" s="122">
        <f>IFERROR(__xludf.DUMMYFUNCTION("""COMPUTED_VALUE"""),1.0)</f>
        <v>1</v>
      </c>
      <c r="E49" s="122">
        <f>IFERROR(__xludf.DUMMYFUNCTION("""COMPUTED_VALUE"""),141.25)</f>
        <v>141.25</v>
      </c>
      <c r="F49" s="122">
        <f>IFERROR(__xludf.DUMMYFUNCTION("""COMPUTED_VALUE"""),141.25)</f>
        <v>141.25</v>
      </c>
      <c r="G49" s="122">
        <f>IFERROR(__xludf.DUMMYFUNCTION("""COMPUTED_VALUE"""),121.18)</f>
        <v>121.18</v>
      </c>
      <c r="H49" s="122">
        <f>IFERROR(__xludf.DUMMYFUNCTION("""COMPUTED_VALUE"""),121.18)</f>
        <v>121.18</v>
      </c>
      <c r="I49" s="122">
        <f>IFERROR(__xludf.DUMMYFUNCTION("""COMPUTED_VALUE"""),-20.07)</f>
        <v>-20.07</v>
      </c>
      <c r="J49" s="131">
        <f>IFERROR(__xludf.DUMMYFUNCTION("""COMPUTED_VALUE"""),46187.706655092596)</f>
        <v>46187.70666</v>
      </c>
    </row>
    <row r="50">
      <c r="A50" s="122">
        <f>IFERROR(__xludf.DUMMYFUNCTION("""COMPUTED_VALUE"""),1064.0)</f>
        <v>1064</v>
      </c>
      <c r="B50" s="122" t="str">
        <f>IFERROR(__xludf.DUMMYFUNCTION("""COMPUTED_VALUE"""),"Christine Kim")</f>
        <v>Christine Kim</v>
      </c>
      <c r="C50" s="122" t="str">
        <f>IFERROR(__xludf.DUMMYFUNCTION("""COMPUTED_VALUE"""),"IDOL")</f>
        <v>IDOL</v>
      </c>
      <c r="D50" s="122">
        <f>IFERROR(__xludf.DUMMYFUNCTION("""COMPUTED_VALUE"""),1.0)</f>
        <v>1</v>
      </c>
      <c r="E50" s="122">
        <f>IFERROR(__xludf.DUMMYFUNCTION("""COMPUTED_VALUE"""),172.53)</f>
        <v>172.53</v>
      </c>
      <c r="F50" s="122">
        <f>IFERROR(__xludf.DUMMYFUNCTION("""COMPUTED_VALUE"""),172.53)</f>
        <v>172.53</v>
      </c>
      <c r="G50" s="122">
        <f>IFERROR(__xludf.DUMMYFUNCTION("""COMPUTED_VALUE"""),188.23)</f>
        <v>188.23</v>
      </c>
      <c r="H50" s="122">
        <f>IFERROR(__xludf.DUMMYFUNCTION("""COMPUTED_VALUE"""),188.23)</f>
        <v>188.23</v>
      </c>
      <c r="I50" s="122">
        <f>IFERROR(__xludf.DUMMYFUNCTION("""COMPUTED_VALUE"""),15.7)</f>
        <v>15.7</v>
      </c>
      <c r="J50" s="131">
        <f>IFERROR(__xludf.DUMMYFUNCTION("""COMPUTED_VALUE"""),46187.706655092596)</f>
        <v>46187.70666</v>
      </c>
    </row>
    <row r="51">
      <c r="A51" s="122" t="str">
        <f>IFERROR(__xludf.DUMMYFUNCTION("""COMPUTED_VALUE"""),"dc04eef4")</f>
        <v>dc04eef4</v>
      </c>
      <c r="B51" s="122" t="str">
        <f>IFERROR(__xludf.DUMMYFUNCTION("""COMPUTED_VALUE"""),"Joshua Jung")</f>
        <v>Joshua Jung</v>
      </c>
      <c r="C51" s="122" t="str">
        <f>IFERROR(__xludf.DUMMYFUNCTION("""COMPUTED_VALUE"""),"CHIP")</f>
        <v>CHIP</v>
      </c>
      <c r="D51" s="122">
        <f>IFERROR(__xludf.DUMMYFUNCTION("""COMPUTED_VALUE"""),3.0)</f>
        <v>3</v>
      </c>
      <c r="E51" s="122">
        <f>IFERROR(__xludf.DUMMYFUNCTION("""COMPUTED_VALUE"""),66.99)</f>
        <v>66.99</v>
      </c>
      <c r="F51" s="122">
        <f>IFERROR(__xludf.DUMMYFUNCTION("""COMPUTED_VALUE"""),200.97)</f>
        <v>200.97</v>
      </c>
      <c r="G51" s="122">
        <f>IFERROR(__xludf.DUMMYFUNCTION("""COMPUTED_VALUE"""),81.96)</f>
        <v>81.96</v>
      </c>
      <c r="H51" s="122">
        <f>IFERROR(__xludf.DUMMYFUNCTION("""COMPUTED_VALUE"""),245.88)</f>
        <v>245.88</v>
      </c>
      <c r="I51" s="122">
        <f>IFERROR(__xludf.DUMMYFUNCTION("""COMPUTED_VALUE"""),44.91)</f>
        <v>44.91</v>
      </c>
      <c r="J51" s="131">
        <f>IFERROR(__xludf.DUMMYFUNCTION("""COMPUTED_VALUE"""),46187.706655092596)</f>
        <v>46187.70666</v>
      </c>
    </row>
    <row r="52">
      <c r="A52" s="122">
        <f>IFERROR(__xludf.DUMMYFUNCTION("""COMPUTED_VALUE"""),6657.0)</f>
        <v>6657</v>
      </c>
      <c r="B52" s="122" t="str">
        <f>IFERROR(__xludf.DUMMYFUNCTION("""COMPUTED_VALUE"""),"Chaewon Jeon")</f>
        <v>Chaewon Jeon</v>
      </c>
      <c r="C52" s="122" t="str">
        <f>IFERROR(__xludf.DUMMYFUNCTION("""COMPUTED_VALUE"""),"COLA")</f>
        <v>COLA</v>
      </c>
      <c r="D52" s="122">
        <f>IFERROR(__xludf.DUMMYFUNCTION("""COMPUTED_VALUE"""),1.0)</f>
        <v>1</v>
      </c>
      <c r="E52" s="122">
        <f>IFERROR(__xludf.DUMMYFUNCTION("""COMPUTED_VALUE"""),94.44)</f>
        <v>94.44</v>
      </c>
      <c r="F52" s="122">
        <f>IFERROR(__xludf.DUMMYFUNCTION("""COMPUTED_VALUE"""),94.44)</f>
        <v>94.44</v>
      </c>
      <c r="G52" s="122">
        <f>IFERROR(__xludf.DUMMYFUNCTION("""COMPUTED_VALUE"""),116.04)</f>
        <v>116.04</v>
      </c>
      <c r="H52" s="122">
        <f>IFERROR(__xludf.DUMMYFUNCTION("""COMPUTED_VALUE"""),116.04)</f>
        <v>116.04</v>
      </c>
      <c r="I52" s="122">
        <f>IFERROR(__xludf.DUMMYFUNCTION("""COMPUTED_VALUE"""),21.6)</f>
        <v>21.6</v>
      </c>
      <c r="J52" s="131">
        <f>IFERROR(__xludf.DUMMYFUNCTION("""COMPUTED_VALUE"""),46187.706655092596)</f>
        <v>46187.70666</v>
      </c>
    </row>
    <row r="53">
      <c r="A53" s="122">
        <f>IFERROR(__xludf.DUMMYFUNCTION("""COMPUTED_VALUE"""),2640.0)</f>
        <v>2640</v>
      </c>
      <c r="B53" s="122" t="str">
        <f>IFERROR(__xludf.DUMMYFUNCTION("""COMPUTED_VALUE"""),"Sean Park")</f>
        <v>Sean Park</v>
      </c>
      <c r="C53" s="122" t="str">
        <f>IFERROR(__xludf.DUMMYFUNCTION("""COMPUTED_VALUE"""),"GAME")</f>
        <v>GAME</v>
      </c>
      <c r="D53" s="122">
        <f>IFERROR(__xludf.DUMMYFUNCTION("""COMPUTED_VALUE"""),2.0)</f>
        <v>2</v>
      </c>
      <c r="E53" s="122">
        <f>IFERROR(__xludf.DUMMYFUNCTION("""COMPUTED_VALUE"""),66.21)</f>
        <v>66.21</v>
      </c>
      <c r="F53" s="122">
        <f>IFERROR(__xludf.DUMMYFUNCTION("""COMPUTED_VALUE"""),132.42)</f>
        <v>132.42</v>
      </c>
      <c r="G53" s="122">
        <f>IFERROR(__xludf.DUMMYFUNCTION("""COMPUTED_VALUE"""),103.19)</f>
        <v>103.19</v>
      </c>
      <c r="H53" s="122">
        <f>IFERROR(__xludf.DUMMYFUNCTION("""COMPUTED_VALUE"""),206.38)</f>
        <v>206.38</v>
      </c>
      <c r="I53" s="122">
        <f>IFERROR(__xludf.DUMMYFUNCTION("""COMPUTED_VALUE"""),73.96)</f>
        <v>73.96</v>
      </c>
      <c r="J53" s="131">
        <f>IFERROR(__xludf.DUMMYFUNCTION("""COMPUTED_VALUE"""),46187.706655092596)</f>
        <v>46187.70666</v>
      </c>
    </row>
    <row r="54">
      <c r="A54" s="122">
        <f>IFERROR(__xludf.DUMMYFUNCTION("""COMPUTED_VALUE"""),1535.0)</f>
        <v>1535</v>
      </c>
      <c r="B54" s="122" t="str">
        <f>IFERROR(__xludf.DUMMYFUNCTION("""COMPUTED_VALUE"""),"Dano Kim")</f>
        <v>Dano Kim</v>
      </c>
      <c r="C54" s="122" t="str">
        <f>IFERROR(__xludf.DUMMYFUNCTION("""COMPUTED_VALUE"""),"GAME")</f>
        <v>GAME</v>
      </c>
      <c r="D54" s="122">
        <f>IFERROR(__xludf.DUMMYFUNCTION("""COMPUTED_VALUE"""),3.0)</f>
        <v>3</v>
      </c>
      <c r="E54" s="122">
        <f>IFERROR(__xludf.DUMMYFUNCTION("""COMPUTED_VALUE"""),66.04)</f>
        <v>66.04</v>
      </c>
      <c r="F54" s="122">
        <f>IFERROR(__xludf.DUMMYFUNCTION("""COMPUTED_VALUE"""),198.12)</f>
        <v>198.12</v>
      </c>
      <c r="G54" s="122">
        <f>IFERROR(__xludf.DUMMYFUNCTION("""COMPUTED_VALUE"""),103.19)</f>
        <v>103.19</v>
      </c>
      <c r="H54" s="122">
        <f>IFERROR(__xludf.DUMMYFUNCTION("""COMPUTED_VALUE"""),309.57)</f>
        <v>309.57</v>
      </c>
      <c r="I54" s="122">
        <f>IFERROR(__xludf.DUMMYFUNCTION("""COMPUTED_VALUE"""),111.45)</f>
        <v>111.45</v>
      </c>
      <c r="J54" s="131">
        <f>IFERROR(__xludf.DUMMYFUNCTION("""COMPUTED_VALUE"""),46187.706655092596)</f>
        <v>46187.70666</v>
      </c>
    </row>
    <row r="55">
      <c r="A55" s="122">
        <f>IFERROR(__xludf.DUMMYFUNCTION("""COMPUTED_VALUE"""),9500.0)</f>
        <v>9500</v>
      </c>
      <c r="B55" s="122" t="str">
        <f>IFERROR(__xludf.DUMMYFUNCTION("""COMPUTED_VALUE"""),"Irene Choi")</f>
        <v>Irene Choi</v>
      </c>
      <c r="C55" s="122" t="str">
        <f>IFERROR(__xludf.DUMMYFUNCTION("""COMPUTED_VALUE"""),"COLA")</f>
        <v>COLA</v>
      </c>
      <c r="D55" s="122">
        <f>IFERROR(__xludf.DUMMYFUNCTION("""COMPUTED_VALUE"""),1.0)</f>
        <v>1</v>
      </c>
      <c r="E55" s="122">
        <f>IFERROR(__xludf.DUMMYFUNCTION("""COMPUTED_VALUE"""),95.04)</f>
        <v>95.04</v>
      </c>
      <c r="F55" s="122">
        <f>IFERROR(__xludf.DUMMYFUNCTION("""COMPUTED_VALUE"""),95.04)</f>
        <v>95.04</v>
      </c>
      <c r="G55" s="122">
        <f>IFERROR(__xludf.DUMMYFUNCTION("""COMPUTED_VALUE"""),116.04)</f>
        <v>116.04</v>
      </c>
      <c r="H55" s="122">
        <f>IFERROR(__xludf.DUMMYFUNCTION("""COMPUTED_VALUE"""),116.04)</f>
        <v>116.04</v>
      </c>
      <c r="I55" s="122">
        <f>IFERROR(__xludf.DUMMYFUNCTION("""COMPUTED_VALUE"""),21.0)</f>
        <v>21</v>
      </c>
      <c r="J55" s="131">
        <f>IFERROR(__xludf.DUMMYFUNCTION("""COMPUTED_VALUE"""),46187.706655092596)</f>
        <v>46187.70666</v>
      </c>
    </row>
    <row r="56">
      <c r="A56" s="122">
        <f>IFERROR(__xludf.DUMMYFUNCTION("""COMPUTED_VALUE"""),6657.0)</f>
        <v>6657</v>
      </c>
      <c r="B56" s="122" t="str">
        <f>IFERROR(__xludf.DUMMYFUNCTION("""COMPUTED_VALUE"""),"Chaewon Jeon")</f>
        <v>Chaewon Jeon</v>
      </c>
      <c r="C56" s="122" t="str">
        <f>IFERROR(__xludf.DUMMYFUNCTION("""COMPUTED_VALUE"""),"GAME")</f>
        <v>GAME</v>
      </c>
      <c r="D56" s="122">
        <f>IFERROR(__xludf.DUMMYFUNCTION("""COMPUTED_VALUE"""),2.0)</f>
        <v>2</v>
      </c>
      <c r="E56" s="122">
        <f>IFERROR(__xludf.DUMMYFUNCTION("""COMPUTED_VALUE"""),65.94)</f>
        <v>65.94</v>
      </c>
      <c r="F56" s="122">
        <f>IFERROR(__xludf.DUMMYFUNCTION("""COMPUTED_VALUE"""),131.87)</f>
        <v>131.87</v>
      </c>
      <c r="G56" s="122">
        <f>IFERROR(__xludf.DUMMYFUNCTION("""COMPUTED_VALUE"""),103.19)</f>
        <v>103.19</v>
      </c>
      <c r="H56" s="122">
        <f>IFERROR(__xludf.DUMMYFUNCTION("""COMPUTED_VALUE"""),206.38)</f>
        <v>206.38</v>
      </c>
      <c r="I56" s="122">
        <f>IFERROR(__xludf.DUMMYFUNCTION("""COMPUTED_VALUE"""),74.5)</f>
        <v>74.5</v>
      </c>
      <c r="J56" s="131">
        <f>IFERROR(__xludf.DUMMYFUNCTION("""COMPUTED_VALUE"""),46187.706655092596)</f>
        <v>46187.70666</v>
      </c>
    </row>
    <row r="57">
      <c r="A57" s="122">
        <f>IFERROR(__xludf.DUMMYFUNCTION("""COMPUTED_VALUE"""),8054.0)</f>
        <v>8054</v>
      </c>
      <c r="B57" s="122" t="str">
        <f>IFERROR(__xludf.DUMMYFUNCTION("""COMPUTED_VALUE"""),"Sophie Lee")</f>
        <v>Sophie Lee</v>
      </c>
      <c r="C57" s="122" t="str">
        <f>IFERROR(__xludf.DUMMYFUNCTION("""COMPUTED_VALUE"""),"SNAX")</f>
        <v>SNAX</v>
      </c>
      <c r="D57" s="122">
        <f>IFERROR(__xludf.DUMMYFUNCTION("""COMPUTED_VALUE"""),1.0)</f>
        <v>1</v>
      </c>
      <c r="E57" s="122">
        <f>IFERROR(__xludf.DUMMYFUNCTION("""COMPUTED_VALUE"""),99.05)</f>
        <v>99.05</v>
      </c>
      <c r="F57" s="122">
        <f>IFERROR(__xludf.DUMMYFUNCTION("""COMPUTED_VALUE"""),99.05)</f>
        <v>99.05</v>
      </c>
      <c r="G57" s="122">
        <f>IFERROR(__xludf.DUMMYFUNCTION("""COMPUTED_VALUE"""),122.55)</f>
        <v>122.55</v>
      </c>
      <c r="H57" s="122">
        <f>IFERROR(__xludf.DUMMYFUNCTION("""COMPUTED_VALUE"""),122.55)</f>
        <v>122.55</v>
      </c>
      <c r="I57" s="122">
        <f>IFERROR(__xludf.DUMMYFUNCTION("""COMPUTED_VALUE"""),23.5)</f>
        <v>23.5</v>
      </c>
      <c r="J57" s="131">
        <f>IFERROR(__xludf.DUMMYFUNCTION("""COMPUTED_VALUE"""),46187.706655092596)</f>
        <v>46187.70666</v>
      </c>
    </row>
    <row r="58">
      <c r="A58" s="122">
        <f>IFERROR(__xludf.DUMMYFUNCTION("""COMPUTED_VALUE"""),7415.0)</f>
        <v>7415</v>
      </c>
      <c r="B58" s="122" t="str">
        <f>IFERROR(__xludf.DUMMYFUNCTION("""COMPUTED_VALUE"""),"Sarah Park")</f>
        <v>Sarah Park</v>
      </c>
      <c r="C58" s="122" t="str">
        <f>IFERROR(__xludf.DUMMYFUNCTION("""COMPUTED_VALUE"""),"IDOL")</f>
        <v>IDOL</v>
      </c>
      <c r="D58" s="122">
        <f>IFERROR(__xludf.DUMMYFUNCTION("""COMPUTED_VALUE"""),1.0)</f>
        <v>1</v>
      </c>
      <c r="E58" s="122">
        <f>IFERROR(__xludf.DUMMYFUNCTION("""COMPUTED_VALUE"""),174.6)</f>
        <v>174.6</v>
      </c>
      <c r="F58" s="122">
        <f>IFERROR(__xludf.DUMMYFUNCTION("""COMPUTED_VALUE"""),174.6)</f>
        <v>174.6</v>
      </c>
      <c r="G58" s="122">
        <f>IFERROR(__xludf.DUMMYFUNCTION("""COMPUTED_VALUE"""),188.23)</f>
        <v>188.23</v>
      </c>
      <c r="H58" s="122">
        <f>IFERROR(__xludf.DUMMYFUNCTION("""COMPUTED_VALUE"""),188.23)</f>
        <v>188.23</v>
      </c>
      <c r="I58" s="122">
        <f>IFERROR(__xludf.DUMMYFUNCTION("""COMPUTED_VALUE"""),13.63)</f>
        <v>13.63</v>
      </c>
      <c r="J58" s="131">
        <f>IFERROR(__xludf.DUMMYFUNCTION("""COMPUTED_VALUE"""),46187.706655092596)</f>
        <v>46187.70666</v>
      </c>
    </row>
    <row r="59">
      <c r="A59" s="122">
        <f>IFERROR(__xludf.DUMMYFUNCTION("""COMPUTED_VALUE"""),7773.0)</f>
        <v>7773</v>
      </c>
      <c r="B59" s="122" t="str">
        <f>IFERROR(__xludf.DUMMYFUNCTION("""COMPUTED_VALUE"""),"Gahyeon Yoon")</f>
        <v>Gahyeon Yoon</v>
      </c>
      <c r="C59" s="122" t="str">
        <f>IFERROR(__xludf.DUMMYFUNCTION("""COMPUTED_VALUE"""),"TECH")</f>
        <v>TECH</v>
      </c>
      <c r="D59" s="122">
        <f>IFERROR(__xludf.DUMMYFUNCTION("""COMPUTED_VALUE"""),2.0)</f>
        <v>2</v>
      </c>
      <c r="E59" s="122">
        <f>IFERROR(__xludf.DUMMYFUNCTION("""COMPUTED_VALUE"""),159.88)</f>
        <v>159.88</v>
      </c>
      <c r="F59" s="122">
        <f>IFERROR(__xludf.DUMMYFUNCTION("""COMPUTED_VALUE"""),319.76)</f>
        <v>319.76</v>
      </c>
      <c r="G59" s="122">
        <f>IFERROR(__xludf.DUMMYFUNCTION("""COMPUTED_VALUE"""),246.95)</f>
        <v>246.95</v>
      </c>
      <c r="H59" s="122">
        <f>IFERROR(__xludf.DUMMYFUNCTION("""COMPUTED_VALUE"""),493.9)</f>
        <v>493.9</v>
      </c>
      <c r="I59" s="122">
        <f>IFERROR(__xludf.DUMMYFUNCTION("""COMPUTED_VALUE"""),174.14)</f>
        <v>174.14</v>
      </c>
      <c r="J59" s="131">
        <f>IFERROR(__xludf.DUMMYFUNCTION("""COMPUTED_VALUE"""),46187.706655092596)</f>
        <v>46187.70666</v>
      </c>
    </row>
    <row r="60">
      <c r="A60" s="122">
        <f>IFERROR(__xludf.DUMMYFUNCTION("""COMPUTED_VALUE"""),7415.0)</f>
        <v>7415</v>
      </c>
      <c r="B60" s="122" t="str">
        <f>IFERROR(__xludf.DUMMYFUNCTION("""COMPUTED_VALUE"""),"Sarah Park")</f>
        <v>Sarah Park</v>
      </c>
      <c r="C60" s="122" t="str">
        <f>IFERROR(__xludf.DUMMYFUNCTION("""COMPUTED_VALUE"""),"GLAM")</f>
        <v>GLAM</v>
      </c>
      <c r="D60" s="122">
        <f>IFERROR(__xludf.DUMMYFUNCTION("""COMPUTED_VALUE"""),1.0)</f>
        <v>1</v>
      </c>
      <c r="E60" s="122">
        <f>IFERROR(__xludf.DUMMYFUNCTION("""COMPUTED_VALUE"""),85.54)</f>
        <v>85.54</v>
      </c>
      <c r="F60" s="122">
        <f>IFERROR(__xludf.DUMMYFUNCTION("""COMPUTED_VALUE"""),85.54)</f>
        <v>85.54</v>
      </c>
      <c r="G60" s="122">
        <f>IFERROR(__xludf.DUMMYFUNCTION("""COMPUTED_VALUE"""),113.44)</f>
        <v>113.44</v>
      </c>
      <c r="H60" s="122">
        <f>IFERROR(__xludf.DUMMYFUNCTION("""COMPUTED_VALUE"""),113.44)</f>
        <v>113.44</v>
      </c>
      <c r="I60" s="122">
        <f>IFERROR(__xludf.DUMMYFUNCTION("""COMPUTED_VALUE"""),27.9)</f>
        <v>27.9</v>
      </c>
      <c r="J60" s="131">
        <f>IFERROR(__xludf.DUMMYFUNCTION("""COMPUTED_VALUE"""),46187.706655092596)</f>
        <v>46187.70666</v>
      </c>
    </row>
    <row r="61">
      <c r="A61" s="122">
        <f>IFERROR(__xludf.DUMMYFUNCTION("""COMPUTED_VALUE"""),2640.0)</f>
        <v>2640</v>
      </c>
      <c r="B61" s="122" t="str">
        <f>IFERROR(__xludf.DUMMYFUNCTION("""COMPUTED_VALUE"""),"Sean Park")</f>
        <v>Sean Park</v>
      </c>
      <c r="C61" s="122" t="str">
        <f>IFERROR(__xludf.DUMMYFUNCTION("""COMPUTED_VALUE"""),"BOND")</f>
        <v>BOND</v>
      </c>
      <c r="D61" s="122">
        <f>IFERROR(__xludf.DUMMYFUNCTION("""COMPUTED_VALUE"""),6.0)</f>
        <v>6</v>
      </c>
      <c r="E61" s="122">
        <f>IFERROR(__xludf.DUMMYFUNCTION("""COMPUTED_VALUE"""),83.42)</f>
        <v>83.42</v>
      </c>
      <c r="F61" s="122">
        <f>IFERROR(__xludf.DUMMYFUNCTION("""COMPUTED_VALUE"""),500.5)</f>
        <v>500.5</v>
      </c>
      <c r="G61" s="122">
        <f>IFERROR(__xludf.DUMMYFUNCTION("""COMPUTED_VALUE"""),108.25)</f>
        <v>108.25</v>
      </c>
      <c r="H61" s="122">
        <f>IFERROR(__xludf.DUMMYFUNCTION("""COMPUTED_VALUE"""),649.5)</f>
        <v>649.5</v>
      </c>
      <c r="I61" s="122">
        <f>IFERROR(__xludf.DUMMYFUNCTION("""COMPUTED_VALUE"""),148.98)</f>
        <v>148.98</v>
      </c>
      <c r="J61" s="131">
        <f>IFERROR(__xludf.DUMMYFUNCTION("""COMPUTED_VALUE"""),46187.706655092596)</f>
        <v>46187.70666</v>
      </c>
    </row>
    <row r="62">
      <c r="A62" s="122">
        <f>IFERROR(__xludf.DUMMYFUNCTION("""COMPUTED_VALUE"""),7260.0)</f>
        <v>7260</v>
      </c>
      <c r="B62" s="122" t="str">
        <f>IFERROR(__xludf.DUMMYFUNCTION("""COMPUTED_VALUE"""),"Soyeon Park")</f>
        <v>Soyeon Park</v>
      </c>
      <c r="C62" s="122" t="str">
        <f>IFERROR(__xludf.DUMMYFUNCTION("""COMPUTED_VALUE"""),"GAME")</f>
        <v>GAME</v>
      </c>
      <c r="D62" s="122">
        <f>IFERROR(__xludf.DUMMYFUNCTION("""COMPUTED_VALUE"""),1.0)</f>
        <v>1</v>
      </c>
      <c r="E62" s="122">
        <f>IFERROR(__xludf.DUMMYFUNCTION("""COMPUTED_VALUE"""),66.33)</f>
        <v>66.33</v>
      </c>
      <c r="F62" s="122">
        <f>IFERROR(__xludf.DUMMYFUNCTION("""COMPUTED_VALUE"""),66.33)</f>
        <v>66.33</v>
      </c>
      <c r="G62" s="122">
        <f>IFERROR(__xludf.DUMMYFUNCTION("""COMPUTED_VALUE"""),103.19)</f>
        <v>103.19</v>
      </c>
      <c r="H62" s="122">
        <f>IFERROR(__xludf.DUMMYFUNCTION("""COMPUTED_VALUE"""),103.19)</f>
        <v>103.19</v>
      </c>
      <c r="I62" s="122">
        <f>IFERROR(__xludf.DUMMYFUNCTION("""COMPUTED_VALUE"""),36.86)</f>
        <v>36.86</v>
      </c>
      <c r="J62" s="131">
        <f>IFERROR(__xludf.DUMMYFUNCTION("""COMPUTED_VALUE"""),46187.706655092596)</f>
        <v>46187.70666</v>
      </c>
    </row>
    <row r="63">
      <c r="A63" s="122">
        <f>IFERROR(__xludf.DUMMYFUNCTION("""COMPUTED_VALUE"""),1921.0)</f>
        <v>1921</v>
      </c>
      <c r="B63" s="122" t="str">
        <f>IFERROR(__xludf.DUMMYFUNCTION("""COMPUTED_VALUE"""),"Danbee Kim")</f>
        <v>Danbee Kim</v>
      </c>
      <c r="C63" s="122" t="str">
        <f>IFERROR(__xludf.DUMMYFUNCTION("""COMPUTED_VALUE"""),"TECH")</f>
        <v>TECH</v>
      </c>
      <c r="D63" s="122">
        <f>IFERROR(__xludf.DUMMYFUNCTION("""COMPUTED_VALUE"""),1.0)</f>
        <v>1</v>
      </c>
      <c r="E63" s="122">
        <f>IFERROR(__xludf.DUMMYFUNCTION("""COMPUTED_VALUE"""),157.63)</f>
        <v>157.63</v>
      </c>
      <c r="F63" s="122">
        <f>IFERROR(__xludf.DUMMYFUNCTION("""COMPUTED_VALUE"""),157.63)</f>
        <v>157.63</v>
      </c>
      <c r="G63" s="122">
        <f>IFERROR(__xludf.DUMMYFUNCTION("""COMPUTED_VALUE"""),246.95)</f>
        <v>246.95</v>
      </c>
      <c r="H63" s="122">
        <f>IFERROR(__xludf.DUMMYFUNCTION("""COMPUTED_VALUE"""),246.95)</f>
        <v>246.95</v>
      </c>
      <c r="I63" s="122">
        <f>IFERROR(__xludf.DUMMYFUNCTION("""COMPUTED_VALUE"""),89.32)</f>
        <v>89.32</v>
      </c>
      <c r="J63" s="131">
        <f>IFERROR(__xludf.DUMMYFUNCTION("""COMPUTED_VALUE"""),46187.706655092596)</f>
        <v>46187.70666</v>
      </c>
    </row>
    <row r="64">
      <c r="A64" s="122">
        <f>IFERROR(__xludf.DUMMYFUNCTION("""COMPUTED_VALUE"""),6657.0)</f>
        <v>6657</v>
      </c>
      <c r="B64" s="122" t="str">
        <f>IFERROR(__xludf.DUMMYFUNCTION("""COMPUTED_VALUE"""),"Chaewon Jeon")</f>
        <v>Chaewon Jeon</v>
      </c>
      <c r="C64" s="122" t="str">
        <f>IFERROR(__xludf.DUMMYFUNCTION("""COMPUTED_VALUE"""),"BOND")</f>
        <v>BOND</v>
      </c>
      <c r="D64" s="122">
        <f>IFERROR(__xludf.DUMMYFUNCTION("""COMPUTED_VALUE"""),1.0)</f>
        <v>1</v>
      </c>
      <c r="E64" s="122">
        <f>IFERROR(__xludf.DUMMYFUNCTION("""COMPUTED_VALUE"""),79.03)</f>
        <v>79.03</v>
      </c>
      <c r="F64" s="122">
        <f>IFERROR(__xludf.DUMMYFUNCTION("""COMPUTED_VALUE"""),79.03)</f>
        <v>79.03</v>
      </c>
      <c r="G64" s="122">
        <f>IFERROR(__xludf.DUMMYFUNCTION("""COMPUTED_VALUE"""),108.25)</f>
        <v>108.25</v>
      </c>
      <c r="H64" s="122">
        <f>IFERROR(__xludf.DUMMYFUNCTION("""COMPUTED_VALUE"""),108.25)</f>
        <v>108.25</v>
      </c>
      <c r="I64" s="122">
        <f>IFERROR(__xludf.DUMMYFUNCTION("""COMPUTED_VALUE"""),29.22)</f>
        <v>29.22</v>
      </c>
      <c r="J64" s="131">
        <f>IFERROR(__xludf.DUMMYFUNCTION("""COMPUTED_VALUE"""),46187.706655092596)</f>
        <v>46187.70666</v>
      </c>
    </row>
    <row r="65">
      <c r="A65" s="122">
        <f>IFERROR(__xludf.DUMMYFUNCTION("""COMPUTED_VALUE"""),1535.0)</f>
        <v>1535</v>
      </c>
      <c r="B65" s="122" t="str">
        <f>IFERROR(__xludf.DUMMYFUNCTION("""COMPUTED_VALUE"""),"Dano Kim")</f>
        <v>Dano Kim</v>
      </c>
      <c r="C65" s="122" t="str">
        <f>IFERROR(__xludf.DUMMYFUNCTION("""COMPUTED_VALUE"""),"CAND")</f>
        <v>CAND</v>
      </c>
      <c r="D65" s="122">
        <f>IFERROR(__xludf.DUMMYFUNCTION("""COMPUTED_VALUE"""),1.0)</f>
        <v>1</v>
      </c>
      <c r="E65" s="122">
        <f>IFERROR(__xludf.DUMMYFUNCTION("""COMPUTED_VALUE"""),55.01)</f>
        <v>55.01</v>
      </c>
      <c r="F65" s="122">
        <f>IFERROR(__xludf.DUMMYFUNCTION("""COMPUTED_VALUE"""),55.01)</f>
        <v>55.01</v>
      </c>
      <c r="G65" s="122">
        <f>IFERROR(__xludf.DUMMYFUNCTION("""COMPUTED_VALUE"""),77.29)</f>
        <v>77.29</v>
      </c>
      <c r="H65" s="122">
        <f>IFERROR(__xludf.DUMMYFUNCTION("""COMPUTED_VALUE"""),77.29)</f>
        <v>77.29</v>
      </c>
      <c r="I65" s="122">
        <f>IFERROR(__xludf.DUMMYFUNCTION("""COMPUTED_VALUE"""),22.28)</f>
        <v>22.28</v>
      </c>
      <c r="J65" s="131">
        <f>IFERROR(__xludf.DUMMYFUNCTION("""COMPUTED_VALUE"""),46187.706655092596)</f>
        <v>46187.70666</v>
      </c>
    </row>
    <row r="66">
      <c r="A66" s="122">
        <f>IFERROR(__xludf.DUMMYFUNCTION("""COMPUTED_VALUE"""),2640.0)</f>
        <v>2640</v>
      </c>
      <c r="B66" s="122" t="str">
        <f>IFERROR(__xludf.DUMMYFUNCTION("""COMPUTED_VALUE"""),"Sean Park")</f>
        <v>Sean Park</v>
      </c>
      <c r="C66" s="122" t="str">
        <f>IFERROR(__xludf.DUMMYFUNCTION("""COMPUTED_VALUE"""),"CAND")</f>
        <v>CAND</v>
      </c>
      <c r="D66" s="122">
        <f>IFERROR(__xludf.DUMMYFUNCTION("""COMPUTED_VALUE"""),2.0)</f>
        <v>2</v>
      </c>
      <c r="E66" s="122">
        <f>IFERROR(__xludf.DUMMYFUNCTION("""COMPUTED_VALUE"""),55.01)</f>
        <v>55.01</v>
      </c>
      <c r="F66" s="122">
        <f>IFERROR(__xludf.DUMMYFUNCTION("""COMPUTED_VALUE"""),110.02)</f>
        <v>110.02</v>
      </c>
      <c r="G66" s="122">
        <f>IFERROR(__xludf.DUMMYFUNCTION("""COMPUTED_VALUE"""),77.29)</f>
        <v>77.29</v>
      </c>
      <c r="H66" s="122">
        <f>IFERROR(__xludf.DUMMYFUNCTION("""COMPUTED_VALUE"""),154.58)</f>
        <v>154.58</v>
      </c>
      <c r="I66" s="122">
        <f>IFERROR(__xludf.DUMMYFUNCTION("""COMPUTED_VALUE"""),44.56)</f>
        <v>44.56</v>
      </c>
      <c r="J66" s="131">
        <f>IFERROR(__xludf.DUMMYFUNCTION("""COMPUTED_VALUE"""),46187.706655092596)</f>
        <v>46187.70666</v>
      </c>
    </row>
    <row r="67">
      <c r="A67" s="122">
        <f>IFERROR(__xludf.DUMMYFUNCTION("""COMPUTED_VALUE"""),9500.0)</f>
        <v>9500</v>
      </c>
      <c r="B67" s="122" t="str">
        <f>IFERROR(__xludf.DUMMYFUNCTION("""COMPUTED_VALUE"""),"Irene Choi")</f>
        <v>Irene Choi</v>
      </c>
      <c r="C67" s="122" t="str">
        <f>IFERROR(__xludf.DUMMYFUNCTION("""COMPUTED_VALUE"""),"VRSE")</f>
        <v>VRSE</v>
      </c>
      <c r="D67" s="122">
        <f>IFERROR(__xludf.DUMMYFUNCTION("""COMPUTED_VALUE"""),1.0)</f>
        <v>1</v>
      </c>
      <c r="E67" s="122">
        <f>IFERROR(__xludf.DUMMYFUNCTION("""COMPUTED_VALUE"""),135.5)</f>
        <v>135.5</v>
      </c>
      <c r="F67" s="122">
        <f>IFERROR(__xludf.DUMMYFUNCTION("""COMPUTED_VALUE"""),135.5)</f>
        <v>135.5</v>
      </c>
      <c r="G67" s="122">
        <f>IFERROR(__xludf.DUMMYFUNCTION("""COMPUTED_VALUE"""),146.1)</f>
        <v>146.1</v>
      </c>
      <c r="H67" s="122">
        <f>IFERROR(__xludf.DUMMYFUNCTION("""COMPUTED_VALUE"""),146.1)</f>
        <v>146.1</v>
      </c>
      <c r="I67" s="122">
        <f>IFERROR(__xludf.DUMMYFUNCTION("""COMPUTED_VALUE"""),10.6)</f>
        <v>10.6</v>
      </c>
      <c r="J67" s="131">
        <f>IFERROR(__xludf.DUMMYFUNCTION("""COMPUTED_VALUE"""),46187.706655092596)</f>
        <v>46187.70666</v>
      </c>
    </row>
    <row r="68">
      <c r="A68" s="122">
        <f>IFERROR(__xludf.DUMMYFUNCTION("""COMPUTED_VALUE"""),9500.0)</f>
        <v>9500</v>
      </c>
      <c r="B68" s="122" t="str">
        <f>IFERROR(__xludf.DUMMYFUNCTION("""COMPUTED_VALUE"""),"Irene Choi")</f>
        <v>Irene Choi</v>
      </c>
      <c r="C68" s="122" t="str">
        <f>IFERROR(__xludf.DUMMYFUNCTION("""COMPUTED_VALUE"""),"SNAX")</f>
        <v>SNAX</v>
      </c>
      <c r="D68" s="122">
        <f>IFERROR(__xludf.DUMMYFUNCTION("""COMPUTED_VALUE"""),1.0)</f>
        <v>1</v>
      </c>
      <c r="E68" s="122">
        <f>IFERROR(__xludf.DUMMYFUNCTION("""COMPUTED_VALUE"""),99.2)</f>
        <v>99.2</v>
      </c>
      <c r="F68" s="122">
        <f>IFERROR(__xludf.DUMMYFUNCTION("""COMPUTED_VALUE"""),99.2)</f>
        <v>99.2</v>
      </c>
      <c r="G68" s="122">
        <f>IFERROR(__xludf.DUMMYFUNCTION("""COMPUTED_VALUE"""),122.55)</f>
        <v>122.55</v>
      </c>
      <c r="H68" s="122">
        <f>IFERROR(__xludf.DUMMYFUNCTION("""COMPUTED_VALUE"""),122.55)</f>
        <v>122.55</v>
      </c>
      <c r="I68" s="122">
        <f>IFERROR(__xludf.DUMMYFUNCTION("""COMPUTED_VALUE"""),23.35)</f>
        <v>23.35</v>
      </c>
      <c r="J68" s="131">
        <f>IFERROR(__xludf.DUMMYFUNCTION("""COMPUTED_VALUE"""),46187.706655092596)</f>
        <v>46187.70666</v>
      </c>
    </row>
    <row r="69">
      <c r="A69" s="122">
        <f>IFERROR(__xludf.DUMMYFUNCTION("""COMPUTED_VALUE"""),1535.0)</f>
        <v>1535</v>
      </c>
      <c r="B69" s="122" t="str">
        <f>IFERROR(__xludf.DUMMYFUNCTION("""COMPUTED_VALUE"""),"Dano Kim")</f>
        <v>Dano Kim</v>
      </c>
      <c r="C69" s="122" t="str">
        <f>IFERROR(__xludf.DUMMYFUNCTION("""COMPUTED_VALUE"""),"SNAX")</f>
        <v>SNAX</v>
      </c>
      <c r="D69" s="122">
        <f>IFERROR(__xludf.DUMMYFUNCTION("""COMPUTED_VALUE"""),1.0)</f>
        <v>1</v>
      </c>
      <c r="E69" s="122">
        <f>IFERROR(__xludf.DUMMYFUNCTION("""COMPUTED_VALUE"""),99.2)</f>
        <v>99.2</v>
      </c>
      <c r="F69" s="122">
        <f>IFERROR(__xludf.DUMMYFUNCTION("""COMPUTED_VALUE"""),99.2)</f>
        <v>99.2</v>
      </c>
      <c r="G69" s="122">
        <f>IFERROR(__xludf.DUMMYFUNCTION("""COMPUTED_VALUE"""),122.55)</f>
        <v>122.55</v>
      </c>
      <c r="H69" s="122">
        <f>IFERROR(__xludf.DUMMYFUNCTION("""COMPUTED_VALUE"""),122.55)</f>
        <v>122.55</v>
      </c>
      <c r="I69" s="122">
        <f>IFERROR(__xludf.DUMMYFUNCTION("""COMPUTED_VALUE"""),23.35)</f>
        <v>23.35</v>
      </c>
      <c r="J69" s="131">
        <f>IFERROR(__xludf.DUMMYFUNCTION("""COMPUTED_VALUE"""),46187.706655092596)</f>
        <v>46187.70666</v>
      </c>
    </row>
    <row r="70">
      <c r="A70" s="122">
        <f>IFERROR(__xludf.DUMMYFUNCTION("""COMPUTED_VALUE"""),7260.0)</f>
        <v>7260</v>
      </c>
      <c r="B70" s="122" t="str">
        <f>IFERROR(__xludf.DUMMYFUNCTION("""COMPUTED_VALUE"""),"Soyeon Park")</f>
        <v>Soyeon Park</v>
      </c>
      <c r="C70" s="122" t="str">
        <f>IFERROR(__xludf.DUMMYFUNCTION("""COMPUTED_VALUE"""),"BOOK")</f>
        <v>BOOK</v>
      </c>
      <c r="D70" s="122">
        <f>IFERROR(__xludf.DUMMYFUNCTION("""COMPUTED_VALUE"""),1.0)</f>
        <v>1</v>
      </c>
      <c r="E70" s="122">
        <f>IFERROR(__xludf.DUMMYFUNCTION("""COMPUTED_VALUE"""),72.46)</f>
        <v>72.46</v>
      </c>
      <c r="F70" s="122">
        <f>IFERROR(__xludf.DUMMYFUNCTION("""COMPUTED_VALUE"""),72.46)</f>
        <v>72.46</v>
      </c>
      <c r="G70" s="122">
        <f>IFERROR(__xludf.DUMMYFUNCTION("""COMPUTED_VALUE"""),121.84)</f>
        <v>121.84</v>
      </c>
      <c r="H70" s="122">
        <f>IFERROR(__xludf.DUMMYFUNCTION("""COMPUTED_VALUE"""),121.84)</f>
        <v>121.84</v>
      </c>
      <c r="I70" s="122">
        <f>IFERROR(__xludf.DUMMYFUNCTION("""COMPUTED_VALUE"""),49.38)</f>
        <v>49.38</v>
      </c>
      <c r="J70" s="131">
        <f>IFERROR(__xludf.DUMMYFUNCTION("""COMPUTED_VALUE"""),46187.706655092596)</f>
        <v>46187.70666</v>
      </c>
    </row>
    <row r="71">
      <c r="A71" s="122">
        <f>IFERROR(__xludf.DUMMYFUNCTION("""COMPUTED_VALUE"""),9500.0)</f>
        <v>9500</v>
      </c>
      <c r="B71" s="122" t="str">
        <f>IFERROR(__xludf.DUMMYFUNCTION("""COMPUTED_VALUE"""),"Irene Choi")</f>
        <v>Irene Choi</v>
      </c>
      <c r="C71" s="122" t="str">
        <f>IFERROR(__xludf.DUMMYFUNCTION("""COMPUTED_VALUE"""),"CHIP")</f>
        <v>CHIP</v>
      </c>
      <c r="D71" s="122">
        <f>IFERROR(__xludf.DUMMYFUNCTION("""COMPUTED_VALUE"""),1.0)</f>
        <v>1</v>
      </c>
      <c r="E71" s="122">
        <f>IFERROR(__xludf.DUMMYFUNCTION("""COMPUTED_VALUE"""),66.75)</f>
        <v>66.75</v>
      </c>
      <c r="F71" s="122">
        <f>IFERROR(__xludf.DUMMYFUNCTION("""COMPUTED_VALUE"""),66.75)</f>
        <v>66.75</v>
      </c>
      <c r="G71" s="122">
        <f>IFERROR(__xludf.DUMMYFUNCTION("""COMPUTED_VALUE"""),81.96)</f>
        <v>81.96</v>
      </c>
      <c r="H71" s="122">
        <f>IFERROR(__xludf.DUMMYFUNCTION("""COMPUTED_VALUE"""),81.96)</f>
        <v>81.96</v>
      </c>
      <c r="I71" s="122">
        <f>IFERROR(__xludf.DUMMYFUNCTION("""COMPUTED_VALUE"""),15.21)</f>
        <v>15.21</v>
      </c>
      <c r="J71" s="131">
        <f>IFERROR(__xludf.DUMMYFUNCTION("""COMPUTED_VALUE"""),46187.706655092596)</f>
        <v>46187.70666</v>
      </c>
    </row>
    <row r="72">
      <c r="A72" s="122">
        <f>IFERROR(__xludf.DUMMYFUNCTION("""COMPUTED_VALUE"""),5938.0)</f>
        <v>5938</v>
      </c>
      <c r="B72" s="122" t="str">
        <f>IFERROR(__xludf.DUMMYFUNCTION("""COMPUTED_VALUE"""),"Emily Kang")</f>
        <v>Emily Kang</v>
      </c>
      <c r="C72" s="122" t="str">
        <f>IFERROR(__xludf.DUMMYFUNCTION("""COMPUTED_VALUE"""),"GAME")</f>
        <v>GAME</v>
      </c>
      <c r="D72" s="122">
        <f>IFERROR(__xludf.DUMMYFUNCTION("""COMPUTED_VALUE"""),2.0)</f>
        <v>2</v>
      </c>
      <c r="E72" s="122">
        <f>IFERROR(__xludf.DUMMYFUNCTION("""COMPUTED_VALUE"""),70.51)</f>
        <v>70.51</v>
      </c>
      <c r="F72" s="122">
        <f>IFERROR(__xludf.DUMMYFUNCTION("""COMPUTED_VALUE"""),141.01)</f>
        <v>141.01</v>
      </c>
      <c r="G72" s="122">
        <f>IFERROR(__xludf.DUMMYFUNCTION("""COMPUTED_VALUE"""),103.19)</f>
        <v>103.19</v>
      </c>
      <c r="H72" s="122">
        <f>IFERROR(__xludf.DUMMYFUNCTION("""COMPUTED_VALUE"""),206.38)</f>
        <v>206.38</v>
      </c>
      <c r="I72" s="122">
        <f>IFERROR(__xludf.DUMMYFUNCTION("""COMPUTED_VALUE"""),65.36)</f>
        <v>65.36</v>
      </c>
      <c r="J72" s="131">
        <f>IFERROR(__xludf.DUMMYFUNCTION("""COMPUTED_VALUE"""),46187.706655092596)</f>
        <v>46187.70666</v>
      </c>
    </row>
    <row r="73">
      <c r="A73" s="122">
        <f>IFERROR(__xludf.DUMMYFUNCTION("""COMPUTED_VALUE"""),9500.0)</f>
        <v>9500</v>
      </c>
      <c r="B73" s="122" t="str">
        <f>IFERROR(__xludf.DUMMYFUNCTION("""COMPUTED_VALUE"""),"Irene Choi")</f>
        <v>Irene Choi</v>
      </c>
      <c r="C73" s="122" t="str">
        <f>IFERROR(__xludf.DUMMYFUNCTION("""COMPUTED_VALUE"""),"TECH")</f>
        <v>TECH</v>
      </c>
      <c r="D73" s="122">
        <f>IFERROR(__xludf.DUMMYFUNCTION("""COMPUTED_VALUE"""),1.0)</f>
        <v>1</v>
      </c>
      <c r="E73" s="122">
        <f>IFERROR(__xludf.DUMMYFUNCTION("""COMPUTED_VALUE"""),158.75)</f>
        <v>158.75</v>
      </c>
      <c r="F73" s="122">
        <f>IFERROR(__xludf.DUMMYFUNCTION("""COMPUTED_VALUE"""),158.75)</f>
        <v>158.75</v>
      </c>
      <c r="G73" s="122">
        <f>IFERROR(__xludf.DUMMYFUNCTION("""COMPUTED_VALUE"""),246.95)</f>
        <v>246.95</v>
      </c>
      <c r="H73" s="122">
        <f>IFERROR(__xludf.DUMMYFUNCTION("""COMPUTED_VALUE"""),246.95)</f>
        <v>246.95</v>
      </c>
      <c r="I73" s="122">
        <f>IFERROR(__xludf.DUMMYFUNCTION("""COMPUTED_VALUE"""),88.2)</f>
        <v>88.2</v>
      </c>
      <c r="J73" s="131">
        <f>IFERROR(__xludf.DUMMYFUNCTION("""COMPUTED_VALUE"""),46187.706655092596)</f>
        <v>46187.70666</v>
      </c>
    </row>
    <row r="74">
      <c r="A74" s="122">
        <f>IFERROR(__xludf.DUMMYFUNCTION("""COMPUTED_VALUE"""),7415.0)</f>
        <v>7415</v>
      </c>
      <c r="B74" s="122" t="str">
        <f>IFERROR(__xludf.DUMMYFUNCTION("""COMPUTED_VALUE"""),"Sarah Park")</f>
        <v>Sarah Park</v>
      </c>
      <c r="C74" s="122" t="str">
        <f>IFERROR(__xludf.DUMMYFUNCTION("""COMPUTED_VALUE"""),"TECH")</f>
        <v>TECH</v>
      </c>
      <c r="D74" s="122">
        <f>IFERROR(__xludf.DUMMYFUNCTION("""COMPUTED_VALUE"""),3.0)</f>
        <v>3</v>
      </c>
      <c r="E74" s="122">
        <f>IFERROR(__xludf.DUMMYFUNCTION("""COMPUTED_VALUE"""),180.74)</f>
        <v>180.74</v>
      </c>
      <c r="F74" s="122">
        <f>IFERROR(__xludf.DUMMYFUNCTION("""COMPUTED_VALUE"""),542.21)</f>
        <v>542.21</v>
      </c>
      <c r="G74" s="122">
        <f>IFERROR(__xludf.DUMMYFUNCTION("""COMPUTED_VALUE"""),246.95)</f>
        <v>246.95</v>
      </c>
      <c r="H74" s="122">
        <f>IFERROR(__xludf.DUMMYFUNCTION("""COMPUTED_VALUE"""),740.85)</f>
        <v>740.85</v>
      </c>
      <c r="I74" s="122">
        <f>IFERROR(__xludf.DUMMYFUNCTION("""COMPUTED_VALUE"""),198.63)</f>
        <v>198.63</v>
      </c>
      <c r="J74" s="131">
        <f>IFERROR(__xludf.DUMMYFUNCTION("""COMPUTED_VALUE"""),46187.706655092596)</f>
        <v>46187.70666</v>
      </c>
    </row>
    <row r="75">
      <c r="A75" s="122">
        <f>IFERROR(__xludf.DUMMYFUNCTION("""COMPUTED_VALUE"""),4316.0)</f>
        <v>4316</v>
      </c>
      <c r="B75" s="122" t="str">
        <f>IFERROR(__xludf.DUMMYFUNCTION("""COMPUTED_VALUE"""),"Chloe An")</f>
        <v>Chloe An</v>
      </c>
      <c r="C75" s="122" t="str">
        <f>IFERROR(__xludf.DUMMYFUNCTION("""COMPUTED_VALUE"""),"VRSE")</f>
        <v>VRSE</v>
      </c>
      <c r="D75" s="122">
        <f>IFERROR(__xludf.DUMMYFUNCTION("""COMPUTED_VALUE"""),3.0)</f>
        <v>3</v>
      </c>
      <c r="E75" s="122">
        <f>IFERROR(__xludf.DUMMYFUNCTION("""COMPUTED_VALUE"""),139.24)</f>
        <v>139.24</v>
      </c>
      <c r="F75" s="122">
        <f>IFERROR(__xludf.DUMMYFUNCTION("""COMPUTED_VALUE"""),417.71)</f>
        <v>417.71</v>
      </c>
      <c r="G75" s="122">
        <f>IFERROR(__xludf.DUMMYFUNCTION("""COMPUTED_VALUE"""),146.1)</f>
        <v>146.1</v>
      </c>
      <c r="H75" s="122">
        <f>IFERROR(__xludf.DUMMYFUNCTION("""COMPUTED_VALUE"""),438.3)</f>
        <v>438.3</v>
      </c>
      <c r="I75" s="122">
        <f>IFERROR(__xludf.DUMMYFUNCTION("""COMPUTED_VALUE"""),20.58)</f>
        <v>20.58</v>
      </c>
      <c r="J75" s="131">
        <f>IFERROR(__xludf.DUMMYFUNCTION("""COMPUTED_VALUE"""),46187.706655092596)</f>
        <v>46187.70666</v>
      </c>
    </row>
    <row r="76">
      <c r="A76" s="122">
        <f>IFERROR(__xludf.DUMMYFUNCTION("""COMPUTED_VALUE"""),4316.0)</f>
        <v>4316</v>
      </c>
      <c r="B76" s="122" t="str">
        <f>IFERROR(__xludf.DUMMYFUNCTION("""COMPUTED_VALUE"""),"Chloe An")</f>
        <v>Chloe An</v>
      </c>
      <c r="C76" s="122" t="str">
        <f>IFERROR(__xludf.DUMMYFUNCTION("""COMPUTED_VALUE"""),"AIBO")</f>
        <v>AIBO</v>
      </c>
      <c r="D76" s="122">
        <f>IFERROR(__xludf.DUMMYFUNCTION("""COMPUTED_VALUE"""),3.0)</f>
        <v>3</v>
      </c>
      <c r="E76" s="122">
        <f>IFERROR(__xludf.DUMMYFUNCTION("""COMPUTED_VALUE"""),172.6)</f>
        <v>172.6</v>
      </c>
      <c r="F76" s="122">
        <f>IFERROR(__xludf.DUMMYFUNCTION("""COMPUTED_VALUE"""),517.79)</f>
        <v>517.79</v>
      </c>
      <c r="G76" s="122">
        <f>IFERROR(__xludf.DUMMYFUNCTION("""COMPUTED_VALUE"""),194.32)</f>
        <v>194.32</v>
      </c>
      <c r="H76" s="122">
        <f>IFERROR(__xludf.DUMMYFUNCTION("""COMPUTED_VALUE"""),582.96)</f>
        <v>582.96</v>
      </c>
      <c r="I76" s="122">
        <f>IFERROR(__xludf.DUMMYFUNCTION("""COMPUTED_VALUE"""),65.16)</f>
        <v>65.16</v>
      </c>
      <c r="J76" s="131">
        <f>IFERROR(__xludf.DUMMYFUNCTION("""COMPUTED_VALUE"""),46187.706655092596)</f>
        <v>46187.70666</v>
      </c>
    </row>
    <row r="77">
      <c r="A77" s="122">
        <f>IFERROR(__xludf.DUMMYFUNCTION("""COMPUTED_VALUE"""),4316.0)</f>
        <v>4316</v>
      </c>
      <c r="B77" s="122" t="str">
        <f>IFERROR(__xludf.DUMMYFUNCTION("""COMPUTED_VALUE"""),"Chloe An")</f>
        <v>Chloe An</v>
      </c>
      <c r="C77" s="122" t="str">
        <f>IFERROR(__xludf.DUMMYFUNCTION("""COMPUTED_VALUE"""),"BANK")</f>
        <v>BANK</v>
      </c>
      <c r="D77" s="122">
        <f>IFERROR(__xludf.DUMMYFUNCTION("""COMPUTED_VALUE"""),5.0)</f>
        <v>5</v>
      </c>
      <c r="E77" s="122">
        <f>IFERROR(__xludf.DUMMYFUNCTION("""COMPUTED_VALUE"""),115.44)</f>
        <v>115.44</v>
      </c>
      <c r="F77" s="122">
        <f>IFERROR(__xludf.DUMMYFUNCTION("""COMPUTED_VALUE"""),577.22)</f>
        <v>577.22</v>
      </c>
      <c r="G77" s="122">
        <f>IFERROR(__xludf.DUMMYFUNCTION("""COMPUTED_VALUE"""),133.21)</f>
        <v>133.21</v>
      </c>
      <c r="H77" s="122">
        <f>IFERROR(__xludf.DUMMYFUNCTION("""COMPUTED_VALUE"""),666.05)</f>
        <v>666.05</v>
      </c>
      <c r="I77" s="122">
        <f>IFERROR(__xludf.DUMMYFUNCTION("""COMPUTED_VALUE"""),88.85)</f>
        <v>88.85</v>
      </c>
      <c r="J77" s="131">
        <f>IFERROR(__xludf.DUMMYFUNCTION("""COMPUTED_VALUE"""),46187.706655092596)</f>
        <v>46187.70666</v>
      </c>
    </row>
    <row r="78">
      <c r="A78" s="122">
        <f>IFERROR(__xludf.DUMMYFUNCTION("""COMPUTED_VALUE"""),9500.0)</f>
        <v>9500</v>
      </c>
      <c r="B78" s="122" t="str">
        <f>IFERROR(__xludf.DUMMYFUNCTION("""COMPUTED_VALUE"""),"Irene Choi")</f>
        <v>Irene Choi</v>
      </c>
      <c r="C78" s="122" t="str">
        <f>IFERROR(__xludf.DUMMYFUNCTION("""COMPUTED_VALUE"""),"CAND")</f>
        <v>CAND</v>
      </c>
      <c r="D78" s="122">
        <f>IFERROR(__xludf.DUMMYFUNCTION("""COMPUTED_VALUE"""),1.0)</f>
        <v>1</v>
      </c>
      <c r="E78" s="122">
        <f>IFERROR(__xludf.DUMMYFUNCTION("""COMPUTED_VALUE"""),55.68)</f>
        <v>55.68</v>
      </c>
      <c r="F78" s="122">
        <f>IFERROR(__xludf.DUMMYFUNCTION("""COMPUTED_VALUE"""),55.68)</f>
        <v>55.68</v>
      </c>
      <c r="G78" s="122">
        <f>IFERROR(__xludf.DUMMYFUNCTION("""COMPUTED_VALUE"""),77.29)</f>
        <v>77.29</v>
      </c>
      <c r="H78" s="122">
        <f>IFERROR(__xludf.DUMMYFUNCTION("""COMPUTED_VALUE"""),77.29)</f>
        <v>77.29</v>
      </c>
      <c r="I78" s="122">
        <f>IFERROR(__xludf.DUMMYFUNCTION("""COMPUTED_VALUE"""),21.61)</f>
        <v>21.61</v>
      </c>
      <c r="J78" s="131">
        <f>IFERROR(__xludf.DUMMYFUNCTION("""COMPUTED_VALUE"""),46187.706655092596)</f>
        <v>46187.70666</v>
      </c>
    </row>
    <row r="79">
      <c r="A79" s="122">
        <f>IFERROR(__xludf.DUMMYFUNCTION("""COMPUTED_VALUE"""),1535.0)</f>
        <v>1535</v>
      </c>
      <c r="B79" s="122" t="str">
        <f>IFERROR(__xludf.DUMMYFUNCTION("""COMPUTED_VALUE"""),"Dano Kim")</f>
        <v>Dano Kim</v>
      </c>
      <c r="C79" s="122" t="str">
        <f>IFERROR(__xludf.DUMMYFUNCTION("""COMPUTED_VALUE"""),"TECH")</f>
        <v>TECH</v>
      </c>
      <c r="D79" s="122">
        <f>IFERROR(__xludf.DUMMYFUNCTION("""COMPUTED_VALUE"""),1.0)</f>
        <v>1</v>
      </c>
      <c r="E79" s="122">
        <f>IFERROR(__xludf.DUMMYFUNCTION("""COMPUTED_VALUE"""),157.67)</f>
        <v>157.67</v>
      </c>
      <c r="F79" s="122">
        <f>IFERROR(__xludf.DUMMYFUNCTION("""COMPUTED_VALUE"""),157.67)</f>
        <v>157.67</v>
      </c>
      <c r="G79" s="122">
        <f>IFERROR(__xludf.DUMMYFUNCTION("""COMPUTED_VALUE"""),246.95)</f>
        <v>246.95</v>
      </c>
      <c r="H79" s="122">
        <f>IFERROR(__xludf.DUMMYFUNCTION("""COMPUTED_VALUE"""),246.95)</f>
        <v>246.95</v>
      </c>
      <c r="I79" s="122">
        <f>IFERROR(__xludf.DUMMYFUNCTION("""COMPUTED_VALUE"""),89.28)</f>
        <v>89.28</v>
      </c>
      <c r="J79" s="131">
        <f>IFERROR(__xludf.DUMMYFUNCTION("""COMPUTED_VALUE"""),46187.706655092596)</f>
        <v>46187.70666</v>
      </c>
    </row>
    <row r="80">
      <c r="A80" s="122">
        <f>IFERROR(__xludf.DUMMYFUNCTION("""COMPUTED_VALUE"""),8657.0)</f>
        <v>8657</v>
      </c>
      <c r="B80" s="122" t="str">
        <f>IFERROR(__xludf.DUMMYFUNCTION("""COMPUTED_VALUE"""),"Briar Cho")</f>
        <v>Briar Cho</v>
      </c>
      <c r="C80" s="122" t="str">
        <f>IFERROR(__xludf.DUMMYFUNCTION("""COMPUTED_VALUE"""),"CRED")</f>
        <v>CRED</v>
      </c>
      <c r="D80" s="122">
        <f>IFERROR(__xludf.DUMMYFUNCTION("""COMPUTED_VALUE"""),1.0)</f>
        <v>1</v>
      </c>
      <c r="E80" s="122">
        <f>IFERROR(__xludf.DUMMYFUNCTION("""COMPUTED_VALUE"""),88.91)</f>
        <v>88.91</v>
      </c>
      <c r="F80" s="122">
        <f>IFERROR(__xludf.DUMMYFUNCTION("""COMPUTED_VALUE"""),88.91)</f>
        <v>88.91</v>
      </c>
      <c r="G80" s="122">
        <f>IFERROR(__xludf.DUMMYFUNCTION("""COMPUTED_VALUE"""),67.35)</f>
        <v>67.35</v>
      </c>
      <c r="H80" s="122">
        <f>IFERROR(__xludf.DUMMYFUNCTION("""COMPUTED_VALUE"""),67.35)</f>
        <v>67.35</v>
      </c>
      <c r="I80" s="122">
        <f>IFERROR(__xludf.DUMMYFUNCTION("""COMPUTED_VALUE"""),-21.56)</f>
        <v>-21.56</v>
      </c>
      <c r="J80" s="131">
        <f>IFERROR(__xludf.DUMMYFUNCTION("""COMPUTED_VALUE"""),46187.706655092596)</f>
        <v>46187.70666</v>
      </c>
    </row>
    <row r="81">
      <c r="A81" s="122">
        <f>IFERROR(__xludf.DUMMYFUNCTION("""COMPUTED_VALUE"""),6407.0)</f>
        <v>6407</v>
      </c>
      <c r="B81" s="122" t="str">
        <f>IFERROR(__xludf.DUMMYFUNCTION("""COMPUTED_VALUE"""),"Jun Lee")</f>
        <v>Jun Lee</v>
      </c>
      <c r="C81" s="122" t="str">
        <f>IFERROR(__xludf.DUMMYFUNCTION("""COMPUTED_VALUE"""),"SNAX")</f>
        <v>SNAX</v>
      </c>
      <c r="D81" s="122">
        <f>IFERROR(__xludf.DUMMYFUNCTION("""COMPUTED_VALUE"""),1.0)</f>
        <v>1</v>
      </c>
      <c r="E81" s="122">
        <f>IFERROR(__xludf.DUMMYFUNCTION("""COMPUTED_VALUE"""),99.18)</f>
        <v>99.18</v>
      </c>
      <c r="F81" s="122">
        <f>IFERROR(__xludf.DUMMYFUNCTION("""COMPUTED_VALUE"""),99.18)</f>
        <v>99.18</v>
      </c>
      <c r="G81" s="122">
        <f>IFERROR(__xludf.DUMMYFUNCTION("""COMPUTED_VALUE"""),122.55)</f>
        <v>122.55</v>
      </c>
      <c r="H81" s="122">
        <f>IFERROR(__xludf.DUMMYFUNCTION("""COMPUTED_VALUE"""),122.55)</f>
        <v>122.55</v>
      </c>
      <c r="I81" s="122">
        <f>IFERROR(__xludf.DUMMYFUNCTION("""COMPUTED_VALUE"""),23.37)</f>
        <v>23.37</v>
      </c>
      <c r="J81" s="131">
        <f>IFERROR(__xludf.DUMMYFUNCTION("""COMPUTED_VALUE"""),46187.706655092596)</f>
        <v>46187.70666</v>
      </c>
    </row>
    <row r="82">
      <c r="A82" s="122">
        <f>IFERROR(__xludf.DUMMYFUNCTION("""COMPUTED_VALUE"""),7465.0)</f>
        <v>7465</v>
      </c>
      <c r="B82" s="122" t="str">
        <f>IFERROR(__xludf.DUMMYFUNCTION("""COMPUTED_VALUE"""),"Dorothy Park")</f>
        <v>Dorothy Park</v>
      </c>
      <c r="C82" s="122" t="str">
        <f>IFERROR(__xludf.DUMMYFUNCTION("""COMPUTED_VALUE"""),"BOND")</f>
        <v>BOND</v>
      </c>
      <c r="D82" s="122">
        <f>IFERROR(__xludf.DUMMYFUNCTION("""COMPUTED_VALUE"""),1.0)</f>
        <v>1</v>
      </c>
      <c r="E82" s="122">
        <f>IFERROR(__xludf.DUMMYFUNCTION("""COMPUTED_VALUE"""),79.52)</f>
        <v>79.52</v>
      </c>
      <c r="F82" s="122">
        <f>IFERROR(__xludf.DUMMYFUNCTION("""COMPUTED_VALUE"""),79.52)</f>
        <v>79.52</v>
      </c>
      <c r="G82" s="122">
        <f>IFERROR(__xludf.DUMMYFUNCTION("""COMPUTED_VALUE"""),108.25)</f>
        <v>108.25</v>
      </c>
      <c r="H82" s="122">
        <f>IFERROR(__xludf.DUMMYFUNCTION("""COMPUTED_VALUE"""),108.25)</f>
        <v>108.25</v>
      </c>
      <c r="I82" s="122">
        <f>IFERROR(__xludf.DUMMYFUNCTION("""COMPUTED_VALUE"""),28.73)</f>
        <v>28.73</v>
      </c>
      <c r="J82" s="131">
        <f>IFERROR(__xludf.DUMMYFUNCTION("""COMPUTED_VALUE"""),46187.706655092596)</f>
        <v>46187.70666</v>
      </c>
    </row>
    <row r="83">
      <c r="A83" s="122">
        <f>IFERROR(__xludf.DUMMYFUNCTION("""COMPUTED_VALUE"""),8054.0)</f>
        <v>8054</v>
      </c>
      <c r="B83" s="122" t="str">
        <f>IFERROR(__xludf.DUMMYFUNCTION("""COMPUTED_VALUE"""),"Sophie Lee")</f>
        <v>Sophie Lee</v>
      </c>
      <c r="C83" s="122" t="str">
        <f>IFERROR(__xludf.DUMMYFUNCTION("""COMPUTED_VALUE"""),"GYMX")</f>
        <v>GYMX</v>
      </c>
      <c r="D83" s="122">
        <f>IFERROR(__xludf.DUMMYFUNCTION("""COMPUTED_VALUE"""),1.0)</f>
        <v>1</v>
      </c>
      <c r="E83" s="122">
        <f>IFERROR(__xludf.DUMMYFUNCTION("""COMPUTED_VALUE"""),92.37)</f>
        <v>92.37</v>
      </c>
      <c r="F83" s="122">
        <f>IFERROR(__xludf.DUMMYFUNCTION("""COMPUTED_VALUE"""),92.37)</f>
        <v>92.37</v>
      </c>
      <c r="G83" s="122">
        <f>IFERROR(__xludf.DUMMYFUNCTION("""COMPUTED_VALUE"""),80.33)</f>
        <v>80.33</v>
      </c>
      <c r="H83" s="122">
        <f>IFERROR(__xludf.DUMMYFUNCTION("""COMPUTED_VALUE"""),80.33)</f>
        <v>80.33</v>
      </c>
      <c r="I83" s="122">
        <f>IFERROR(__xludf.DUMMYFUNCTION("""COMPUTED_VALUE"""),-12.04)</f>
        <v>-12.04</v>
      </c>
      <c r="J83" s="131">
        <f>IFERROR(__xludf.DUMMYFUNCTION("""COMPUTED_VALUE"""),46187.706655092596)</f>
        <v>46187.70666</v>
      </c>
    </row>
    <row r="84">
      <c r="A84" s="122">
        <f>IFERROR(__xludf.DUMMYFUNCTION("""COMPUTED_VALUE"""),7465.0)</f>
        <v>7465</v>
      </c>
      <c r="B84" s="122" t="str">
        <f>IFERROR(__xludf.DUMMYFUNCTION("""COMPUTED_VALUE"""),"Dorothy Park")</f>
        <v>Dorothy Park</v>
      </c>
      <c r="C84" s="122" t="str">
        <f>IFERROR(__xludf.DUMMYFUNCTION("""COMPUTED_VALUE"""),"VRSE")</f>
        <v>VRSE</v>
      </c>
      <c r="D84" s="122">
        <f>IFERROR(__xludf.DUMMYFUNCTION("""COMPUTED_VALUE"""),1.0)</f>
        <v>1</v>
      </c>
      <c r="E84" s="122">
        <f>IFERROR(__xludf.DUMMYFUNCTION("""COMPUTED_VALUE"""),134.67)</f>
        <v>134.67</v>
      </c>
      <c r="F84" s="122">
        <f>IFERROR(__xludf.DUMMYFUNCTION("""COMPUTED_VALUE"""),134.67)</f>
        <v>134.67</v>
      </c>
      <c r="G84" s="122">
        <f>IFERROR(__xludf.DUMMYFUNCTION("""COMPUTED_VALUE"""),146.1)</f>
        <v>146.1</v>
      </c>
      <c r="H84" s="122">
        <f>IFERROR(__xludf.DUMMYFUNCTION("""COMPUTED_VALUE"""),146.1)</f>
        <v>146.1</v>
      </c>
      <c r="I84" s="122">
        <f>IFERROR(__xludf.DUMMYFUNCTION("""COMPUTED_VALUE"""),11.43)</f>
        <v>11.43</v>
      </c>
      <c r="J84" s="131">
        <f>IFERROR(__xludf.DUMMYFUNCTION("""COMPUTED_VALUE"""),46187.706655092596)</f>
        <v>46187.70666</v>
      </c>
    </row>
    <row r="85">
      <c r="A85" s="122">
        <f>IFERROR(__xludf.DUMMYFUNCTION("""COMPUTED_VALUE"""),5938.0)</f>
        <v>5938</v>
      </c>
      <c r="B85" s="122" t="str">
        <f>IFERROR(__xludf.DUMMYFUNCTION("""COMPUTED_VALUE"""),"Emily Kang")</f>
        <v>Emily Kang</v>
      </c>
      <c r="C85" s="122" t="str">
        <f>IFERROR(__xludf.DUMMYFUNCTION("""COMPUTED_VALUE"""),"MEDX")</f>
        <v>MEDX</v>
      </c>
      <c r="D85" s="122">
        <f>IFERROR(__xludf.DUMMYFUNCTION("""COMPUTED_VALUE"""),1.0)</f>
        <v>1</v>
      </c>
      <c r="E85" s="122">
        <f>IFERROR(__xludf.DUMMYFUNCTION("""COMPUTED_VALUE"""),140.92)</f>
        <v>140.92</v>
      </c>
      <c r="F85" s="122">
        <f>IFERROR(__xludf.DUMMYFUNCTION("""COMPUTED_VALUE"""),140.92)</f>
        <v>140.92</v>
      </c>
      <c r="G85" s="122">
        <f>IFERROR(__xludf.DUMMYFUNCTION("""COMPUTED_VALUE"""),139.38)</f>
        <v>139.38</v>
      </c>
      <c r="H85" s="122">
        <f>IFERROR(__xludf.DUMMYFUNCTION("""COMPUTED_VALUE"""),139.38)</f>
        <v>139.38</v>
      </c>
      <c r="I85" s="122">
        <f>IFERROR(__xludf.DUMMYFUNCTION("""COMPUTED_VALUE"""),-1.54)</f>
        <v>-1.54</v>
      </c>
      <c r="J85" s="131">
        <f>IFERROR(__xludf.DUMMYFUNCTION("""COMPUTED_VALUE"""),46187.706655092596)</f>
        <v>46187.70666</v>
      </c>
    </row>
    <row r="86">
      <c r="A86" s="122">
        <f>IFERROR(__xludf.DUMMYFUNCTION("""COMPUTED_VALUE"""),7260.0)</f>
        <v>7260</v>
      </c>
      <c r="B86" s="122" t="str">
        <f>IFERROR(__xludf.DUMMYFUNCTION("""COMPUTED_VALUE"""),"Soyeon Park")</f>
        <v>Soyeon Park</v>
      </c>
      <c r="C86" s="122" t="str">
        <f>IFERROR(__xludf.DUMMYFUNCTION("""COMPUTED_VALUE"""),"LUXE")</f>
        <v>LUXE</v>
      </c>
      <c r="D86" s="122">
        <f>IFERROR(__xludf.DUMMYFUNCTION("""COMPUTED_VALUE"""),1.0)</f>
        <v>1</v>
      </c>
      <c r="E86" s="122">
        <f>IFERROR(__xludf.DUMMYFUNCTION("""COMPUTED_VALUE"""),206.61)</f>
        <v>206.61</v>
      </c>
      <c r="F86" s="122">
        <f>IFERROR(__xludf.DUMMYFUNCTION("""COMPUTED_VALUE"""),206.61)</f>
        <v>206.61</v>
      </c>
      <c r="G86" s="122">
        <f>IFERROR(__xludf.DUMMYFUNCTION("""COMPUTED_VALUE"""),272.26)</f>
        <v>272.26</v>
      </c>
      <c r="H86" s="122">
        <f>IFERROR(__xludf.DUMMYFUNCTION("""COMPUTED_VALUE"""),272.26)</f>
        <v>272.26</v>
      </c>
      <c r="I86" s="122">
        <f>IFERROR(__xludf.DUMMYFUNCTION("""COMPUTED_VALUE"""),65.65)</f>
        <v>65.65</v>
      </c>
      <c r="J86" s="131">
        <f>IFERROR(__xludf.DUMMYFUNCTION("""COMPUTED_VALUE"""),46187.706655092596)</f>
        <v>46187.70666</v>
      </c>
    </row>
    <row r="87">
      <c r="A87" s="122">
        <f>IFERROR(__xludf.DUMMYFUNCTION("""COMPUTED_VALUE"""),2640.0)</f>
        <v>2640</v>
      </c>
      <c r="B87" s="122" t="str">
        <f>IFERROR(__xludf.DUMMYFUNCTION("""COMPUTED_VALUE"""),"Sean Park")</f>
        <v>Sean Park</v>
      </c>
      <c r="C87" s="122" t="str">
        <f>IFERROR(__xludf.DUMMYFUNCTION("""COMPUTED_VALUE"""),"TECH")</f>
        <v>TECH</v>
      </c>
      <c r="D87" s="122">
        <f>IFERROR(__xludf.DUMMYFUNCTION("""COMPUTED_VALUE"""),1.0)</f>
        <v>1</v>
      </c>
      <c r="E87" s="122">
        <f>IFERROR(__xludf.DUMMYFUNCTION("""COMPUTED_VALUE"""),158.72)</f>
        <v>158.72</v>
      </c>
      <c r="F87" s="122">
        <f>IFERROR(__xludf.DUMMYFUNCTION("""COMPUTED_VALUE"""),158.72)</f>
        <v>158.72</v>
      </c>
      <c r="G87" s="122">
        <f>IFERROR(__xludf.DUMMYFUNCTION("""COMPUTED_VALUE"""),246.95)</f>
        <v>246.95</v>
      </c>
      <c r="H87" s="122">
        <f>IFERROR(__xludf.DUMMYFUNCTION("""COMPUTED_VALUE"""),246.95)</f>
        <v>246.95</v>
      </c>
      <c r="I87" s="122">
        <f>IFERROR(__xludf.DUMMYFUNCTION("""COMPUTED_VALUE"""),88.23)</f>
        <v>88.23</v>
      </c>
      <c r="J87" s="131">
        <f>IFERROR(__xludf.DUMMYFUNCTION("""COMPUTED_VALUE"""),46187.706655092596)</f>
        <v>46187.70666</v>
      </c>
    </row>
    <row r="88">
      <c r="A88" s="122">
        <f>IFERROR(__xludf.DUMMYFUNCTION("""COMPUTED_VALUE"""),6407.0)</f>
        <v>6407</v>
      </c>
      <c r="B88" s="122" t="str">
        <f>IFERROR(__xludf.DUMMYFUNCTION("""COMPUTED_VALUE"""),"Jun Lee")</f>
        <v>Jun Lee</v>
      </c>
      <c r="C88" s="122" t="str">
        <f>IFERROR(__xludf.DUMMYFUNCTION("""COMPUTED_VALUE"""),"RAMN")</f>
        <v>RAMN</v>
      </c>
      <c r="D88" s="122">
        <f>IFERROR(__xludf.DUMMYFUNCTION("""COMPUTED_VALUE"""),1.0)</f>
        <v>1</v>
      </c>
      <c r="E88" s="122">
        <f>IFERROR(__xludf.DUMMYFUNCTION("""COMPUTED_VALUE"""),80.68)</f>
        <v>80.68</v>
      </c>
      <c r="F88" s="122">
        <f>IFERROR(__xludf.DUMMYFUNCTION("""COMPUTED_VALUE"""),80.68)</f>
        <v>80.68</v>
      </c>
      <c r="G88" s="122">
        <f>IFERROR(__xludf.DUMMYFUNCTION("""COMPUTED_VALUE"""),58.7)</f>
        <v>58.7</v>
      </c>
      <c r="H88" s="122">
        <f>IFERROR(__xludf.DUMMYFUNCTION("""COMPUTED_VALUE"""),58.7)</f>
        <v>58.7</v>
      </c>
      <c r="I88" s="122">
        <f>IFERROR(__xludf.DUMMYFUNCTION("""COMPUTED_VALUE"""),-21.98)</f>
        <v>-21.98</v>
      </c>
      <c r="J88" s="131">
        <f>IFERROR(__xludf.DUMMYFUNCTION("""COMPUTED_VALUE"""),46187.706655092596)</f>
        <v>46187.70666</v>
      </c>
    </row>
    <row r="89">
      <c r="A89" s="122">
        <f>IFERROR(__xludf.DUMMYFUNCTION("""COMPUTED_VALUE"""),8054.0)</f>
        <v>8054</v>
      </c>
      <c r="B89" s="122" t="str">
        <f>IFERROR(__xludf.DUMMYFUNCTION("""COMPUTED_VALUE"""),"Sophie Lee")</f>
        <v>Sophie Lee</v>
      </c>
      <c r="C89" s="122" t="str">
        <f>IFERROR(__xludf.DUMMYFUNCTION("""COMPUTED_VALUE"""),"CHIP")</f>
        <v>CHIP</v>
      </c>
      <c r="D89" s="122">
        <f>IFERROR(__xludf.DUMMYFUNCTION("""COMPUTED_VALUE"""),1.0)</f>
        <v>1</v>
      </c>
      <c r="E89" s="122">
        <f>IFERROR(__xludf.DUMMYFUNCTION("""COMPUTED_VALUE"""),67.14)</f>
        <v>67.14</v>
      </c>
      <c r="F89" s="122">
        <f>IFERROR(__xludf.DUMMYFUNCTION("""COMPUTED_VALUE"""),67.14)</f>
        <v>67.14</v>
      </c>
      <c r="G89" s="122">
        <f>IFERROR(__xludf.DUMMYFUNCTION("""COMPUTED_VALUE"""),81.96)</f>
        <v>81.96</v>
      </c>
      <c r="H89" s="122">
        <f>IFERROR(__xludf.DUMMYFUNCTION("""COMPUTED_VALUE"""),81.96)</f>
        <v>81.96</v>
      </c>
      <c r="I89" s="122">
        <f>IFERROR(__xludf.DUMMYFUNCTION("""COMPUTED_VALUE"""),14.82)</f>
        <v>14.82</v>
      </c>
      <c r="J89" s="131">
        <f>IFERROR(__xludf.DUMMYFUNCTION("""COMPUTED_VALUE"""),46187.706655092596)</f>
        <v>46187.70666</v>
      </c>
    </row>
    <row r="90">
      <c r="A90" s="122">
        <f>IFERROR(__xludf.DUMMYFUNCTION("""COMPUTED_VALUE"""),8657.0)</f>
        <v>8657</v>
      </c>
      <c r="B90" s="122" t="str">
        <f>IFERROR(__xludf.DUMMYFUNCTION("""COMPUTED_VALUE"""),"Briar Cho")</f>
        <v>Briar Cho</v>
      </c>
      <c r="C90" s="122" t="str">
        <f>IFERROR(__xludf.DUMMYFUNCTION("""COMPUTED_VALUE"""),"IDOL")</f>
        <v>IDOL</v>
      </c>
      <c r="D90" s="122">
        <f>IFERROR(__xludf.DUMMYFUNCTION("""COMPUTED_VALUE"""),1.0)</f>
        <v>1</v>
      </c>
      <c r="E90" s="122">
        <f>IFERROR(__xludf.DUMMYFUNCTION("""COMPUTED_VALUE"""),179.54)</f>
        <v>179.54</v>
      </c>
      <c r="F90" s="122">
        <f>IFERROR(__xludf.DUMMYFUNCTION("""COMPUTED_VALUE"""),179.54)</f>
        <v>179.54</v>
      </c>
      <c r="G90" s="122">
        <f>IFERROR(__xludf.DUMMYFUNCTION("""COMPUTED_VALUE"""),188.23)</f>
        <v>188.23</v>
      </c>
      <c r="H90" s="122">
        <f>IFERROR(__xludf.DUMMYFUNCTION("""COMPUTED_VALUE"""),188.23)</f>
        <v>188.23</v>
      </c>
      <c r="I90" s="122">
        <f>IFERROR(__xludf.DUMMYFUNCTION("""COMPUTED_VALUE"""),8.69)</f>
        <v>8.69</v>
      </c>
      <c r="J90" s="131">
        <f>IFERROR(__xludf.DUMMYFUNCTION("""COMPUTED_VALUE"""),46187.706655092596)</f>
        <v>46187.70666</v>
      </c>
    </row>
    <row r="91">
      <c r="A91" s="122" t="str">
        <f>IFERROR(__xludf.DUMMYFUNCTION("""COMPUTED_VALUE"""),"ba912211")</f>
        <v>ba912211</v>
      </c>
      <c r="B91" s="122" t="str">
        <f>IFERROR(__xludf.DUMMYFUNCTION("""COMPUTED_VALUE"""),"Daisy Doh")</f>
        <v>Daisy Doh</v>
      </c>
      <c r="C91" s="122" t="str">
        <f>IFERROR(__xludf.DUMMYFUNCTION("""COMPUTED_VALUE"""),"AIBO")</f>
        <v>AIBO</v>
      </c>
      <c r="D91" s="122">
        <f>IFERROR(__xludf.DUMMYFUNCTION("""COMPUTED_VALUE"""),1.0)</f>
        <v>1</v>
      </c>
      <c r="E91" s="122">
        <f>IFERROR(__xludf.DUMMYFUNCTION("""COMPUTED_VALUE"""),170.29)</f>
        <v>170.29</v>
      </c>
      <c r="F91" s="122">
        <f>IFERROR(__xludf.DUMMYFUNCTION("""COMPUTED_VALUE"""),170.29)</f>
        <v>170.29</v>
      </c>
      <c r="G91" s="122">
        <f>IFERROR(__xludf.DUMMYFUNCTION("""COMPUTED_VALUE"""),194.32)</f>
        <v>194.32</v>
      </c>
      <c r="H91" s="122">
        <f>IFERROR(__xludf.DUMMYFUNCTION("""COMPUTED_VALUE"""),194.32)</f>
        <v>194.32</v>
      </c>
      <c r="I91" s="122">
        <f>IFERROR(__xludf.DUMMYFUNCTION("""COMPUTED_VALUE"""),24.03)</f>
        <v>24.03</v>
      </c>
      <c r="J91" s="131">
        <f>IFERROR(__xludf.DUMMYFUNCTION("""COMPUTED_VALUE"""),46187.706655092596)</f>
        <v>46187.70666</v>
      </c>
    </row>
    <row r="92">
      <c r="A92" s="122" t="str">
        <f>IFERROR(__xludf.DUMMYFUNCTION("""COMPUTED_VALUE"""),"ba912211")</f>
        <v>ba912211</v>
      </c>
      <c r="B92" s="122" t="str">
        <f>IFERROR(__xludf.DUMMYFUNCTION("""COMPUTED_VALUE"""),"Daisy Doh")</f>
        <v>Daisy Doh</v>
      </c>
      <c r="C92" s="122" t="str">
        <f>IFERROR(__xludf.DUMMYFUNCTION("""COMPUTED_VALUE"""),"MUSC")</f>
        <v>MUSC</v>
      </c>
      <c r="D92" s="122">
        <f>IFERROR(__xludf.DUMMYFUNCTION("""COMPUTED_VALUE"""),1.0)</f>
        <v>1</v>
      </c>
      <c r="E92" s="122">
        <f>IFERROR(__xludf.DUMMYFUNCTION("""COMPUTED_VALUE"""),92.12)</f>
        <v>92.12</v>
      </c>
      <c r="F92" s="122">
        <f>IFERROR(__xludf.DUMMYFUNCTION("""COMPUTED_VALUE"""),92.12)</f>
        <v>92.12</v>
      </c>
      <c r="G92" s="122">
        <f>IFERROR(__xludf.DUMMYFUNCTION("""COMPUTED_VALUE"""),104.89)</f>
        <v>104.89</v>
      </c>
      <c r="H92" s="122">
        <f>IFERROR(__xludf.DUMMYFUNCTION("""COMPUTED_VALUE"""),104.89)</f>
        <v>104.89</v>
      </c>
      <c r="I92" s="122">
        <f>IFERROR(__xludf.DUMMYFUNCTION("""COMPUTED_VALUE"""),12.77)</f>
        <v>12.77</v>
      </c>
      <c r="J92" s="131">
        <f>IFERROR(__xludf.DUMMYFUNCTION("""COMPUTED_VALUE"""),46187.706655092596)</f>
        <v>46187.70666</v>
      </c>
    </row>
    <row r="93">
      <c r="A93" s="122">
        <f>IFERROR(__xludf.DUMMYFUNCTION("""COMPUTED_VALUE"""),1535.0)</f>
        <v>1535</v>
      </c>
      <c r="B93" s="122" t="str">
        <f>IFERROR(__xludf.DUMMYFUNCTION("""COMPUTED_VALUE"""),"Dano Kim")</f>
        <v>Dano Kim</v>
      </c>
      <c r="C93" s="122" t="str">
        <f>IFERROR(__xludf.DUMMYFUNCTION("""COMPUTED_VALUE"""),"BOND")</f>
        <v>BOND</v>
      </c>
      <c r="D93" s="122">
        <f>IFERROR(__xludf.DUMMYFUNCTION("""COMPUTED_VALUE"""),5.0)</f>
        <v>5</v>
      </c>
      <c r="E93" s="122">
        <f>IFERROR(__xludf.DUMMYFUNCTION("""COMPUTED_VALUE"""),85.41)</f>
        <v>85.41</v>
      </c>
      <c r="F93" s="122">
        <f>IFERROR(__xludf.DUMMYFUNCTION("""COMPUTED_VALUE"""),427.03)</f>
        <v>427.03</v>
      </c>
      <c r="G93" s="122">
        <f>IFERROR(__xludf.DUMMYFUNCTION("""COMPUTED_VALUE"""),108.25)</f>
        <v>108.25</v>
      </c>
      <c r="H93" s="122">
        <f>IFERROR(__xludf.DUMMYFUNCTION("""COMPUTED_VALUE"""),541.25)</f>
        <v>541.25</v>
      </c>
      <c r="I93" s="122">
        <f>IFERROR(__xludf.DUMMYFUNCTION("""COMPUTED_VALUE"""),114.2)</f>
        <v>114.2</v>
      </c>
      <c r="J93" s="131">
        <f>IFERROR(__xludf.DUMMYFUNCTION("""COMPUTED_VALUE"""),46187.706655092596)</f>
        <v>46187.70666</v>
      </c>
    </row>
    <row r="94">
      <c r="A94" s="122" t="str">
        <f>IFERROR(__xludf.DUMMYFUNCTION("""COMPUTED_VALUE"""),"9a5f2811")</f>
        <v>9a5f2811</v>
      </c>
      <c r="B94" s="122" t="str">
        <f>IFERROR(__xludf.DUMMYFUNCTION("""COMPUTED_VALUE"""),"Junyoung Yoo")</f>
        <v>Junyoung Yoo</v>
      </c>
      <c r="C94" s="122" t="str">
        <f>IFERROR(__xludf.DUMMYFUNCTION("""COMPUTED_VALUE"""),"SHIP")</f>
        <v>SHIP</v>
      </c>
      <c r="D94" s="122">
        <f>IFERROR(__xludf.DUMMYFUNCTION("""COMPUTED_VALUE"""),10.0)</f>
        <v>10</v>
      </c>
      <c r="E94" s="122">
        <f>IFERROR(__xludf.DUMMYFUNCTION("""COMPUTED_VALUE"""),97.32)</f>
        <v>97.32</v>
      </c>
      <c r="F94" s="122">
        <f>IFERROR(__xludf.DUMMYFUNCTION("""COMPUTED_VALUE"""),973.2)</f>
        <v>973.2</v>
      </c>
      <c r="G94" s="122">
        <f>IFERROR(__xludf.DUMMYFUNCTION("""COMPUTED_VALUE"""),132.25)</f>
        <v>132.25</v>
      </c>
      <c r="H94" s="122">
        <f>IFERROR(__xludf.DUMMYFUNCTION("""COMPUTED_VALUE"""),1322.5)</f>
        <v>1322.5</v>
      </c>
      <c r="I94" s="122">
        <f>IFERROR(__xludf.DUMMYFUNCTION("""COMPUTED_VALUE"""),349.3)</f>
        <v>349.3</v>
      </c>
      <c r="J94" s="131">
        <f>IFERROR(__xludf.DUMMYFUNCTION("""COMPUTED_VALUE"""),46187.706655092596)</f>
        <v>46187.70666</v>
      </c>
    </row>
    <row r="95">
      <c r="A95" s="122" t="str">
        <f>IFERROR(__xludf.DUMMYFUNCTION("""COMPUTED_VALUE"""),"ba0fc5c4")</f>
        <v>ba0fc5c4</v>
      </c>
      <c r="B95" s="122" t="str">
        <f>IFERROR(__xludf.DUMMYFUNCTION("""COMPUTED_VALUE"""),"Junwoo Kang")</f>
        <v>Junwoo Kang</v>
      </c>
      <c r="C95" s="122" t="str">
        <f>IFERROR(__xludf.DUMMYFUNCTION("""COMPUTED_VALUE"""),"SHIP")</f>
        <v>SHIP</v>
      </c>
      <c r="D95" s="122">
        <f>IFERROR(__xludf.DUMMYFUNCTION("""COMPUTED_VALUE"""),11.0)</f>
        <v>11</v>
      </c>
      <c r="E95" s="122">
        <f>IFERROR(__xludf.DUMMYFUNCTION("""COMPUTED_VALUE"""),97.32)</f>
        <v>97.32</v>
      </c>
      <c r="F95" s="122">
        <f>IFERROR(__xludf.DUMMYFUNCTION("""COMPUTED_VALUE"""),1070.52)</f>
        <v>1070.52</v>
      </c>
      <c r="G95" s="122">
        <f>IFERROR(__xludf.DUMMYFUNCTION("""COMPUTED_VALUE"""),132.25)</f>
        <v>132.25</v>
      </c>
      <c r="H95" s="122">
        <f>IFERROR(__xludf.DUMMYFUNCTION("""COMPUTED_VALUE"""),1454.75)</f>
        <v>1454.75</v>
      </c>
      <c r="I95" s="122">
        <f>IFERROR(__xludf.DUMMYFUNCTION("""COMPUTED_VALUE"""),384.23)</f>
        <v>384.23</v>
      </c>
      <c r="J95" s="131">
        <f>IFERROR(__xludf.DUMMYFUNCTION("""COMPUTED_VALUE"""),46187.706655092596)</f>
        <v>46187.70666</v>
      </c>
    </row>
    <row r="96">
      <c r="A96" s="122">
        <f>IFERROR(__xludf.DUMMYFUNCTION("""COMPUTED_VALUE"""),6407.0)</f>
        <v>6407</v>
      </c>
      <c r="B96" s="122" t="str">
        <f>IFERROR(__xludf.DUMMYFUNCTION("""COMPUTED_VALUE"""),"Jun Lee")</f>
        <v>Jun Lee</v>
      </c>
      <c r="C96" s="122" t="str">
        <f>IFERROR(__xludf.DUMMYFUNCTION("""COMPUTED_VALUE"""),"CHIP")</f>
        <v>CHIP</v>
      </c>
      <c r="D96" s="122">
        <f>IFERROR(__xludf.DUMMYFUNCTION("""COMPUTED_VALUE"""),1.0)</f>
        <v>1</v>
      </c>
      <c r="E96" s="122">
        <f>IFERROR(__xludf.DUMMYFUNCTION("""COMPUTED_VALUE"""),66.51)</f>
        <v>66.51</v>
      </c>
      <c r="F96" s="122">
        <f>IFERROR(__xludf.DUMMYFUNCTION("""COMPUTED_VALUE"""),66.51)</f>
        <v>66.51</v>
      </c>
      <c r="G96" s="122">
        <f>IFERROR(__xludf.DUMMYFUNCTION("""COMPUTED_VALUE"""),81.96)</f>
        <v>81.96</v>
      </c>
      <c r="H96" s="122">
        <f>IFERROR(__xludf.DUMMYFUNCTION("""COMPUTED_VALUE"""),81.96)</f>
        <v>81.96</v>
      </c>
      <c r="I96" s="122">
        <f>IFERROR(__xludf.DUMMYFUNCTION("""COMPUTED_VALUE"""),15.45)</f>
        <v>15.45</v>
      </c>
      <c r="J96" s="131">
        <f>IFERROR(__xludf.DUMMYFUNCTION("""COMPUTED_VALUE"""),46187.706655092596)</f>
        <v>46187.70666</v>
      </c>
    </row>
    <row r="97">
      <c r="A97" s="122" t="str">
        <f>IFERROR(__xludf.DUMMYFUNCTION("""COMPUTED_VALUE"""),"ba0fc5c4")</f>
        <v>ba0fc5c4</v>
      </c>
      <c r="B97" s="122" t="str">
        <f>IFERROR(__xludf.DUMMYFUNCTION("""COMPUTED_VALUE"""),"Junwoo Kang")</f>
        <v>Junwoo Kang</v>
      </c>
      <c r="C97" s="122" t="str">
        <f>IFERROR(__xludf.DUMMYFUNCTION("""COMPUTED_VALUE"""),"MEME")</f>
        <v>MEME</v>
      </c>
      <c r="D97" s="122">
        <f>IFERROR(__xludf.DUMMYFUNCTION("""COMPUTED_VALUE"""),1.0)</f>
        <v>1</v>
      </c>
      <c r="E97" s="122">
        <f>IFERROR(__xludf.DUMMYFUNCTION("""COMPUTED_VALUE"""),57.45)</f>
        <v>57.45</v>
      </c>
      <c r="F97" s="122">
        <f>IFERROR(__xludf.DUMMYFUNCTION("""COMPUTED_VALUE"""),57.45)</f>
        <v>57.45</v>
      </c>
      <c r="G97" s="122">
        <f>IFERROR(__xludf.DUMMYFUNCTION("""COMPUTED_VALUE"""),74.38)</f>
        <v>74.38</v>
      </c>
      <c r="H97" s="122">
        <f>IFERROR(__xludf.DUMMYFUNCTION("""COMPUTED_VALUE"""),74.38)</f>
        <v>74.38</v>
      </c>
      <c r="I97" s="122">
        <f>IFERROR(__xludf.DUMMYFUNCTION("""COMPUTED_VALUE"""),16.93)</f>
        <v>16.93</v>
      </c>
      <c r="J97" s="131">
        <f>IFERROR(__xludf.DUMMYFUNCTION("""COMPUTED_VALUE"""),46187.706655092596)</f>
        <v>46187.70666</v>
      </c>
    </row>
    <row r="98">
      <c r="A98" s="122">
        <f>IFERROR(__xludf.DUMMYFUNCTION("""COMPUTED_VALUE"""),2640.0)</f>
        <v>2640</v>
      </c>
      <c r="B98" s="122" t="str">
        <f>IFERROR(__xludf.DUMMYFUNCTION("""COMPUTED_VALUE"""),"Sean Park")</f>
        <v>Sean Park</v>
      </c>
      <c r="C98" s="122" t="str">
        <f>IFERROR(__xludf.DUMMYFUNCTION("""COMPUTED_VALUE"""),"COLA")</f>
        <v>COLA</v>
      </c>
      <c r="D98" s="122">
        <f>IFERROR(__xludf.DUMMYFUNCTION("""COMPUTED_VALUE"""),1.0)</f>
        <v>1</v>
      </c>
      <c r="E98" s="122">
        <f>IFERROR(__xludf.DUMMYFUNCTION("""COMPUTED_VALUE"""),98.99)</f>
        <v>98.99</v>
      </c>
      <c r="F98" s="122">
        <f>IFERROR(__xludf.DUMMYFUNCTION("""COMPUTED_VALUE"""),98.99)</f>
        <v>98.99</v>
      </c>
      <c r="G98" s="122">
        <f>IFERROR(__xludf.DUMMYFUNCTION("""COMPUTED_VALUE"""),116.04)</f>
        <v>116.04</v>
      </c>
      <c r="H98" s="122">
        <f>IFERROR(__xludf.DUMMYFUNCTION("""COMPUTED_VALUE"""),116.04)</f>
        <v>116.04</v>
      </c>
      <c r="I98" s="122">
        <f>IFERROR(__xludf.DUMMYFUNCTION("""COMPUTED_VALUE"""),17.05)</f>
        <v>17.05</v>
      </c>
      <c r="J98" s="131">
        <f>IFERROR(__xludf.DUMMYFUNCTION("""COMPUTED_VALUE"""),46187.706655092596)</f>
        <v>46187.70666</v>
      </c>
    </row>
    <row r="99">
      <c r="A99" s="122">
        <f>IFERROR(__xludf.DUMMYFUNCTION("""COMPUTED_VALUE"""),4673.0)</f>
        <v>4673</v>
      </c>
      <c r="B99" s="122" t="str">
        <f>IFERROR(__xludf.DUMMYFUNCTION("""COMPUTED_VALUE"""),"Ellie")</f>
        <v>Ellie</v>
      </c>
      <c r="C99" s="122" t="str">
        <f>IFERROR(__xludf.DUMMYFUNCTION("""COMPUTED_VALUE"""),"SNAX")</f>
        <v>SNAX</v>
      </c>
      <c r="D99" s="122">
        <f>IFERROR(__xludf.DUMMYFUNCTION("""COMPUTED_VALUE"""),1.0)</f>
        <v>1</v>
      </c>
      <c r="E99" s="122">
        <f>IFERROR(__xludf.DUMMYFUNCTION("""COMPUTED_VALUE"""),96.2)</f>
        <v>96.2</v>
      </c>
      <c r="F99" s="122">
        <f>IFERROR(__xludf.DUMMYFUNCTION("""COMPUTED_VALUE"""),96.2)</f>
        <v>96.2</v>
      </c>
      <c r="G99" s="122">
        <f>IFERROR(__xludf.DUMMYFUNCTION("""COMPUTED_VALUE"""),122.55)</f>
        <v>122.55</v>
      </c>
      <c r="H99" s="122">
        <f>IFERROR(__xludf.DUMMYFUNCTION("""COMPUTED_VALUE"""),122.55)</f>
        <v>122.55</v>
      </c>
      <c r="I99" s="122">
        <f>IFERROR(__xludf.DUMMYFUNCTION("""COMPUTED_VALUE"""),26.35)</f>
        <v>26.35</v>
      </c>
      <c r="J99" s="131">
        <f>IFERROR(__xludf.DUMMYFUNCTION("""COMPUTED_VALUE"""),46187.706655092596)</f>
        <v>46187.70666</v>
      </c>
    </row>
    <row r="100">
      <c r="A100" s="122">
        <f>IFERROR(__xludf.DUMMYFUNCTION("""COMPUTED_VALUE"""),2217.0)</f>
        <v>2217</v>
      </c>
      <c r="B100" s="122" t="str">
        <f>IFERROR(__xludf.DUMMYFUNCTION("""COMPUTED_VALUE"""),"DK")</f>
        <v>DK</v>
      </c>
      <c r="C100" s="122" t="str">
        <f>IFERROR(__xludf.DUMMYFUNCTION("""COMPUTED_VALUE"""),"KICK")</f>
        <v>KICK</v>
      </c>
      <c r="D100" s="122">
        <f>IFERROR(__xludf.DUMMYFUNCTION("""COMPUTED_VALUE"""),1.0)</f>
        <v>1</v>
      </c>
      <c r="E100" s="122">
        <f>IFERROR(__xludf.DUMMYFUNCTION("""COMPUTED_VALUE"""),151.98)</f>
        <v>151.98</v>
      </c>
      <c r="F100" s="122">
        <f>IFERROR(__xludf.DUMMYFUNCTION("""COMPUTED_VALUE"""),151.98)</f>
        <v>151.98</v>
      </c>
      <c r="G100" s="122">
        <f>IFERROR(__xludf.DUMMYFUNCTION("""COMPUTED_VALUE"""),169.19)</f>
        <v>169.19</v>
      </c>
      <c r="H100" s="122">
        <f>IFERROR(__xludf.DUMMYFUNCTION("""COMPUTED_VALUE"""),169.19)</f>
        <v>169.19</v>
      </c>
      <c r="I100" s="122">
        <f>IFERROR(__xludf.DUMMYFUNCTION("""COMPUTED_VALUE"""),17.21)</f>
        <v>17.21</v>
      </c>
      <c r="J100" s="131">
        <f>IFERROR(__xludf.DUMMYFUNCTION("""COMPUTED_VALUE"""),46187.706655092596)</f>
        <v>46187.70666</v>
      </c>
    </row>
    <row r="101">
      <c r="A101" s="122">
        <f>IFERROR(__xludf.DUMMYFUNCTION("""COMPUTED_VALUE"""),6657.0)</f>
        <v>6657</v>
      </c>
      <c r="B101" s="122" t="str">
        <f>IFERROR(__xludf.DUMMYFUNCTION("""COMPUTED_VALUE"""),"Chaewon Jeon")</f>
        <v>Chaewon Jeon</v>
      </c>
      <c r="C101" s="122" t="str">
        <f>IFERROR(__xludf.DUMMYFUNCTION("""COMPUTED_VALUE"""),"GYMX")</f>
        <v>GYMX</v>
      </c>
      <c r="D101" s="122">
        <f>IFERROR(__xludf.DUMMYFUNCTION("""COMPUTED_VALUE"""),1.0)</f>
        <v>1</v>
      </c>
      <c r="E101" s="122">
        <f>IFERROR(__xludf.DUMMYFUNCTION("""COMPUTED_VALUE"""),93.68)</f>
        <v>93.68</v>
      </c>
      <c r="F101" s="122">
        <f>IFERROR(__xludf.DUMMYFUNCTION("""COMPUTED_VALUE"""),93.68)</f>
        <v>93.68</v>
      </c>
      <c r="G101" s="122">
        <f>IFERROR(__xludf.DUMMYFUNCTION("""COMPUTED_VALUE"""),80.33)</f>
        <v>80.33</v>
      </c>
      <c r="H101" s="122">
        <f>IFERROR(__xludf.DUMMYFUNCTION("""COMPUTED_VALUE"""),80.33)</f>
        <v>80.33</v>
      </c>
      <c r="I101" s="122">
        <f>IFERROR(__xludf.DUMMYFUNCTION("""COMPUTED_VALUE"""),-13.35)</f>
        <v>-13.35</v>
      </c>
      <c r="J101" s="131">
        <f>IFERROR(__xludf.DUMMYFUNCTION("""COMPUTED_VALUE"""),46187.706655092596)</f>
        <v>46187.70666</v>
      </c>
    </row>
    <row r="102">
      <c r="A102" s="122">
        <f>IFERROR(__xludf.DUMMYFUNCTION("""COMPUTED_VALUE"""),8365.0)</f>
        <v>8365</v>
      </c>
      <c r="B102" s="122" t="str">
        <f>IFERROR(__xludf.DUMMYFUNCTION("""COMPUTED_VALUE"""),"Casey Yang")</f>
        <v>Casey Yang</v>
      </c>
      <c r="C102" s="122" t="str">
        <f>IFERROR(__xludf.DUMMYFUNCTION("""COMPUTED_VALUE"""),"AIBO")</f>
        <v>AIBO</v>
      </c>
      <c r="D102" s="122">
        <f>IFERROR(__xludf.DUMMYFUNCTION("""COMPUTED_VALUE"""),1.0)</f>
        <v>1</v>
      </c>
      <c r="E102" s="122">
        <f>IFERROR(__xludf.DUMMYFUNCTION("""COMPUTED_VALUE"""),185.75)</f>
        <v>185.75</v>
      </c>
      <c r="F102" s="122">
        <f>IFERROR(__xludf.DUMMYFUNCTION("""COMPUTED_VALUE"""),185.75)</f>
        <v>185.75</v>
      </c>
      <c r="G102" s="122">
        <f>IFERROR(__xludf.DUMMYFUNCTION("""COMPUTED_VALUE"""),194.32)</f>
        <v>194.32</v>
      </c>
      <c r="H102" s="122">
        <f>IFERROR(__xludf.DUMMYFUNCTION("""COMPUTED_VALUE"""),194.32)</f>
        <v>194.32</v>
      </c>
      <c r="I102" s="122">
        <f>IFERROR(__xludf.DUMMYFUNCTION("""COMPUTED_VALUE"""),8.57)</f>
        <v>8.57</v>
      </c>
      <c r="J102" s="131">
        <f>IFERROR(__xludf.DUMMYFUNCTION("""COMPUTED_VALUE"""),46187.706655092596)</f>
        <v>46187.70666</v>
      </c>
    </row>
    <row r="103">
      <c r="A103" s="122">
        <f>IFERROR(__xludf.DUMMYFUNCTION("""COMPUTED_VALUE"""),1064.0)</f>
        <v>1064</v>
      </c>
      <c r="B103" s="122" t="str">
        <f>IFERROR(__xludf.DUMMYFUNCTION("""COMPUTED_VALUE"""),"Christine Kim")</f>
        <v>Christine Kim</v>
      </c>
      <c r="C103" s="122" t="str">
        <f>IFERROR(__xludf.DUMMYFUNCTION("""COMPUTED_VALUE"""),"INSR")</f>
        <v>INSR</v>
      </c>
      <c r="D103" s="122">
        <f>IFERROR(__xludf.DUMMYFUNCTION("""COMPUTED_VALUE"""),1.0)</f>
        <v>1</v>
      </c>
      <c r="E103" s="122">
        <f>IFERROR(__xludf.DUMMYFUNCTION("""COMPUTED_VALUE"""),111.41)</f>
        <v>111.41</v>
      </c>
      <c r="F103" s="122">
        <f>IFERROR(__xludf.DUMMYFUNCTION("""COMPUTED_VALUE"""),111.41)</f>
        <v>111.41</v>
      </c>
      <c r="G103" s="122">
        <f>IFERROR(__xludf.DUMMYFUNCTION("""COMPUTED_VALUE"""),158.44)</f>
        <v>158.44</v>
      </c>
      <c r="H103" s="122">
        <f>IFERROR(__xludf.DUMMYFUNCTION("""COMPUTED_VALUE"""),158.44)</f>
        <v>158.44</v>
      </c>
      <c r="I103" s="122">
        <f>IFERROR(__xludf.DUMMYFUNCTION("""COMPUTED_VALUE"""),47.03)</f>
        <v>47.03</v>
      </c>
      <c r="J103" s="131">
        <f>IFERROR(__xludf.DUMMYFUNCTION("""COMPUTED_VALUE"""),46187.706655092596)</f>
        <v>46187.70666</v>
      </c>
    </row>
    <row r="104">
      <c r="A104" s="122">
        <f>IFERROR(__xludf.DUMMYFUNCTION("""COMPUTED_VALUE"""),1535.0)</f>
        <v>1535</v>
      </c>
      <c r="B104" s="122" t="str">
        <f>IFERROR(__xludf.DUMMYFUNCTION("""COMPUTED_VALUE"""),"Dano Kim")</f>
        <v>Dano Kim</v>
      </c>
      <c r="C104" s="122" t="str">
        <f>IFERROR(__xludf.DUMMYFUNCTION("""COMPUTED_VALUE"""),"IDOL")</f>
        <v>IDOL</v>
      </c>
      <c r="D104" s="122">
        <f>IFERROR(__xludf.DUMMYFUNCTION("""COMPUTED_VALUE"""),4.0)</f>
        <v>4</v>
      </c>
      <c r="E104" s="122">
        <f>IFERROR(__xludf.DUMMYFUNCTION("""COMPUTED_VALUE"""),175.59)</f>
        <v>175.59</v>
      </c>
      <c r="F104" s="122">
        <f>IFERROR(__xludf.DUMMYFUNCTION("""COMPUTED_VALUE"""),702.37)</f>
        <v>702.37</v>
      </c>
      <c r="G104" s="122">
        <f>IFERROR(__xludf.DUMMYFUNCTION("""COMPUTED_VALUE"""),188.23)</f>
        <v>188.23</v>
      </c>
      <c r="H104" s="122">
        <f>IFERROR(__xludf.DUMMYFUNCTION("""COMPUTED_VALUE"""),752.92)</f>
        <v>752.92</v>
      </c>
      <c r="I104" s="122">
        <f>IFERROR(__xludf.DUMMYFUNCTION("""COMPUTED_VALUE"""),50.56)</f>
        <v>50.56</v>
      </c>
      <c r="J104" s="131">
        <f>IFERROR(__xludf.DUMMYFUNCTION("""COMPUTED_VALUE"""),46187.706655092596)</f>
        <v>46187.70666</v>
      </c>
    </row>
    <row r="105">
      <c r="A105" s="122">
        <f>IFERROR(__xludf.DUMMYFUNCTION("""COMPUTED_VALUE"""),5938.0)</f>
        <v>5938</v>
      </c>
      <c r="B105" s="122" t="str">
        <f>IFERROR(__xludf.DUMMYFUNCTION("""COMPUTED_VALUE"""),"Emily Kang")</f>
        <v>Emily Kang</v>
      </c>
      <c r="C105" s="122" t="str">
        <f>IFERROR(__xludf.DUMMYFUNCTION("""COMPUTED_VALUE"""),"AIBO")</f>
        <v>AIBO</v>
      </c>
      <c r="D105" s="122">
        <f>IFERROR(__xludf.DUMMYFUNCTION("""COMPUTED_VALUE"""),1.0)</f>
        <v>1</v>
      </c>
      <c r="E105" s="122">
        <f>IFERROR(__xludf.DUMMYFUNCTION("""COMPUTED_VALUE"""),186.23)</f>
        <v>186.23</v>
      </c>
      <c r="F105" s="122">
        <f>IFERROR(__xludf.DUMMYFUNCTION("""COMPUTED_VALUE"""),186.23)</f>
        <v>186.23</v>
      </c>
      <c r="G105" s="122">
        <f>IFERROR(__xludf.DUMMYFUNCTION("""COMPUTED_VALUE"""),194.32)</f>
        <v>194.32</v>
      </c>
      <c r="H105" s="122">
        <f>IFERROR(__xludf.DUMMYFUNCTION("""COMPUTED_VALUE"""),194.32)</f>
        <v>194.32</v>
      </c>
      <c r="I105" s="122">
        <f>IFERROR(__xludf.DUMMYFUNCTION("""COMPUTED_VALUE"""),8.09)</f>
        <v>8.09</v>
      </c>
      <c r="J105" s="131">
        <f>IFERROR(__xludf.DUMMYFUNCTION("""COMPUTED_VALUE"""),46187.706655092596)</f>
        <v>46187.70666</v>
      </c>
    </row>
    <row r="106">
      <c r="A106" s="122">
        <f>IFERROR(__xludf.DUMMYFUNCTION("""COMPUTED_VALUE"""),1064.0)</f>
        <v>1064</v>
      </c>
      <c r="B106" s="122" t="str">
        <f>IFERROR(__xludf.DUMMYFUNCTION("""COMPUTED_VALUE"""),"Christine Kim")</f>
        <v>Christine Kim</v>
      </c>
      <c r="C106" s="122" t="str">
        <f>IFERROR(__xludf.DUMMYFUNCTION("""COMPUTED_VALUE"""),"HOME")</f>
        <v>HOME</v>
      </c>
      <c r="D106" s="122">
        <f>IFERROR(__xludf.DUMMYFUNCTION("""COMPUTED_VALUE"""),1.0)</f>
        <v>1</v>
      </c>
      <c r="E106" s="122">
        <f>IFERROR(__xludf.DUMMYFUNCTION("""COMPUTED_VALUE"""),167.13)</f>
        <v>167.13</v>
      </c>
      <c r="F106" s="122">
        <f>IFERROR(__xludf.DUMMYFUNCTION("""COMPUTED_VALUE"""),167.13)</f>
        <v>167.13</v>
      </c>
      <c r="G106" s="122">
        <f>IFERROR(__xludf.DUMMYFUNCTION("""COMPUTED_VALUE"""),163.18)</f>
        <v>163.18</v>
      </c>
      <c r="H106" s="122">
        <f>IFERROR(__xludf.DUMMYFUNCTION("""COMPUTED_VALUE"""),163.18)</f>
        <v>163.18</v>
      </c>
      <c r="I106" s="122">
        <f>IFERROR(__xludf.DUMMYFUNCTION("""COMPUTED_VALUE"""),-3.95)</f>
        <v>-3.95</v>
      </c>
      <c r="J106" s="131">
        <f>IFERROR(__xludf.DUMMYFUNCTION("""COMPUTED_VALUE"""),46187.706655092596)</f>
        <v>46187.70666</v>
      </c>
    </row>
    <row r="107">
      <c r="A107" s="122">
        <f>IFERROR(__xludf.DUMMYFUNCTION("""COMPUTED_VALUE"""),1921.0)</f>
        <v>1921</v>
      </c>
      <c r="B107" s="122" t="str">
        <f>IFERROR(__xludf.DUMMYFUNCTION("""COMPUTED_VALUE"""),"Danbee Kim")</f>
        <v>Danbee Kim</v>
      </c>
      <c r="C107" s="122" t="str">
        <f>IFERROR(__xludf.DUMMYFUNCTION("""COMPUTED_VALUE"""),"GAME")</f>
        <v>GAME</v>
      </c>
      <c r="D107" s="122">
        <f>IFERROR(__xludf.DUMMYFUNCTION("""COMPUTED_VALUE"""),2.0)</f>
        <v>2</v>
      </c>
      <c r="E107" s="122">
        <f>IFERROR(__xludf.DUMMYFUNCTION("""COMPUTED_VALUE"""),74.46)</f>
        <v>74.46</v>
      </c>
      <c r="F107" s="122">
        <f>IFERROR(__xludf.DUMMYFUNCTION("""COMPUTED_VALUE"""),148.92)</f>
        <v>148.92</v>
      </c>
      <c r="G107" s="122">
        <f>IFERROR(__xludf.DUMMYFUNCTION("""COMPUTED_VALUE"""),103.19)</f>
        <v>103.19</v>
      </c>
      <c r="H107" s="122">
        <f>IFERROR(__xludf.DUMMYFUNCTION("""COMPUTED_VALUE"""),206.38)</f>
        <v>206.38</v>
      </c>
      <c r="I107" s="122">
        <f>IFERROR(__xludf.DUMMYFUNCTION("""COMPUTED_VALUE"""),57.46)</f>
        <v>57.46</v>
      </c>
      <c r="J107" s="131">
        <f>IFERROR(__xludf.DUMMYFUNCTION("""COMPUTED_VALUE"""),46187.706655092596)</f>
        <v>46187.70666</v>
      </c>
    </row>
    <row r="108">
      <c r="A108" s="122">
        <f>IFERROR(__xludf.DUMMYFUNCTION("""COMPUTED_VALUE"""),7415.0)</f>
        <v>7415</v>
      </c>
      <c r="B108" s="122" t="str">
        <f>IFERROR(__xludf.DUMMYFUNCTION("""COMPUTED_VALUE"""),"Sarah Park")</f>
        <v>Sarah Park</v>
      </c>
      <c r="C108" s="122" t="str">
        <f>IFERROR(__xludf.DUMMYFUNCTION("""COMPUTED_VALUE"""),"GYMX")</f>
        <v>GYMX</v>
      </c>
      <c r="D108" s="122">
        <f>IFERROR(__xludf.DUMMYFUNCTION("""COMPUTED_VALUE"""),2.0)</f>
        <v>2</v>
      </c>
      <c r="E108" s="122">
        <f>IFERROR(__xludf.DUMMYFUNCTION("""COMPUTED_VALUE"""),94.91)</f>
        <v>94.91</v>
      </c>
      <c r="F108" s="122">
        <f>IFERROR(__xludf.DUMMYFUNCTION("""COMPUTED_VALUE"""),189.82)</f>
        <v>189.82</v>
      </c>
      <c r="G108" s="122">
        <f>IFERROR(__xludf.DUMMYFUNCTION("""COMPUTED_VALUE"""),80.33)</f>
        <v>80.33</v>
      </c>
      <c r="H108" s="122">
        <f>IFERROR(__xludf.DUMMYFUNCTION("""COMPUTED_VALUE"""),160.66)</f>
        <v>160.66</v>
      </c>
      <c r="I108" s="122">
        <f>IFERROR(__xludf.DUMMYFUNCTION("""COMPUTED_VALUE"""),-29.16)</f>
        <v>-29.16</v>
      </c>
      <c r="J108" s="131">
        <f>IFERROR(__xludf.DUMMYFUNCTION("""COMPUTED_VALUE"""),46187.706655092596)</f>
        <v>46187.70666</v>
      </c>
    </row>
    <row r="109">
      <c r="A109" s="122">
        <f>IFERROR(__xludf.DUMMYFUNCTION("""COMPUTED_VALUE"""),1921.0)</f>
        <v>1921</v>
      </c>
      <c r="B109" s="122" t="str">
        <f>IFERROR(__xludf.DUMMYFUNCTION("""COMPUTED_VALUE"""),"Danbee Kim")</f>
        <v>Danbee Kim</v>
      </c>
      <c r="C109" s="122" t="str">
        <f>IFERROR(__xludf.DUMMYFUNCTION("""COMPUTED_VALUE"""),"DENT")</f>
        <v>DENT</v>
      </c>
      <c r="D109" s="122">
        <f>IFERROR(__xludf.DUMMYFUNCTION("""COMPUTED_VALUE"""),1.0)</f>
        <v>1</v>
      </c>
      <c r="E109" s="122">
        <f>IFERROR(__xludf.DUMMYFUNCTION("""COMPUTED_VALUE"""),75.91)</f>
        <v>75.91</v>
      </c>
      <c r="F109" s="122">
        <f>IFERROR(__xludf.DUMMYFUNCTION("""COMPUTED_VALUE"""),75.91)</f>
        <v>75.91</v>
      </c>
      <c r="G109" s="122">
        <f>IFERROR(__xludf.DUMMYFUNCTION("""COMPUTED_VALUE"""),100.2)</f>
        <v>100.2</v>
      </c>
      <c r="H109" s="122">
        <f>IFERROR(__xludf.DUMMYFUNCTION("""COMPUTED_VALUE"""),100.2)</f>
        <v>100.2</v>
      </c>
      <c r="I109" s="122">
        <f>IFERROR(__xludf.DUMMYFUNCTION("""COMPUTED_VALUE"""),24.29)</f>
        <v>24.29</v>
      </c>
      <c r="J109" s="131">
        <f>IFERROR(__xludf.DUMMYFUNCTION("""COMPUTED_VALUE"""),46187.706655092596)</f>
        <v>46187.70666</v>
      </c>
    </row>
    <row r="110">
      <c r="A110" s="122">
        <f>IFERROR(__xludf.DUMMYFUNCTION("""COMPUTED_VALUE"""),6657.0)</f>
        <v>6657</v>
      </c>
      <c r="B110" s="122" t="str">
        <f>IFERROR(__xludf.DUMMYFUNCTION("""COMPUTED_VALUE"""),"Chaewon Jeon")</f>
        <v>Chaewon Jeon</v>
      </c>
      <c r="C110" s="122" t="str">
        <f>IFERROR(__xludf.DUMMYFUNCTION("""COMPUTED_VALUE"""),"RAMN")</f>
        <v>RAMN</v>
      </c>
      <c r="D110" s="122">
        <f>IFERROR(__xludf.DUMMYFUNCTION("""COMPUTED_VALUE"""),1.0)</f>
        <v>1</v>
      </c>
      <c r="E110" s="122">
        <f>IFERROR(__xludf.DUMMYFUNCTION("""COMPUTED_VALUE"""),81.88)</f>
        <v>81.88</v>
      </c>
      <c r="F110" s="122">
        <f>IFERROR(__xludf.DUMMYFUNCTION("""COMPUTED_VALUE"""),81.88)</f>
        <v>81.88</v>
      </c>
      <c r="G110" s="122">
        <f>IFERROR(__xludf.DUMMYFUNCTION("""COMPUTED_VALUE"""),58.7)</f>
        <v>58.7</v>
      </c>
      <c r="H110" s="122">
        <f>IFERROR(__xludf.DUMMYFUNCTION("""COMPUTED_VALUE"""),58.7)</f>
        <v>58.7</v>
      </c>
      <c r="I110" s="122">
        <f>IFERROR(__xludf.DUMMYFUNCTION("""COMPUTED_VALUE"""),-23.18)</f>
        <v>-23.18</v>
      </c>
      <c r="J110" s="131">
        <f>IFERROR(__xludf.DUMMYFUNCTION("""COMPUTED_VALUE"""),46187.706655092596)</f>
        <v>46187.70666</v>
      </c>
    </row>
    <row r="111">
      <c r="A111" s="122">
        <f>IFERROR(__xludf.DUMMYFUNCTION("""COMPUTED_VALUE"""),1535.0)</f>
        <v>1535</v>
      </c>
      <c r="B111" s="122" t="str">
        <f>IFERROR(__xludf.DUMMYFUNCTION("""COMPUTED_VALUE"""),"Dano Kim")</f>
        <v>Dano Kim</v>
      </c>
      <c r="C111" s="122" t="str">
        <f>IFERROR(__xludf.DUMMYFUNCTION("""COMPUTED_VALUE"""),"INSR")</f>
        <v>INSR</v>
      </c>
      <c r="D111" s="122">
        <f>IFERROR(__xludf.DUMMYFUNCTION("""COMPUTED_VALUE"""),2.0)</f>
        <v>2</v>
      </c>
      <c r="E111" s="122">
        <f>IFERROR(__xludf.DUMMYFUNCTION("""COMPUTED_VALUE"""),116.58)</f>
        <v>116.58</v>
      </c>
      <c r="F111" s="122">
        <f>IFERROR(__xludf.DUMMYFUNCTION("""COMPUTED_VALUE"""),233.16)</f>
        <v>233.16</v>
      </c>
      <c r="G111" s="122">
        <f>IFERROR(__xludf.DUMMYFUNCTION("""COMPUTED_VALUE"""),158.44)</f>
        <v>158.44</v>
      </c>
      <c r="H111" s="122">
        <f>IFERROR(__xludf.DUMMYFUNCTION("""COMPUTED_VALUE"""),316.88)</f>
        <v>316.88</v>
      </c>
      <c r="I111" s="122">
        <f>IFERROR(__xludf.DUMMYFUNCTION("""COMPUTED_VALUE"""),83.72)</f>
        <v>83.72</v>
      </c>
      <c r="J111" s="131">
        <f>IFERROR(__xludf.DUMMYFUNCTION("""COMPUTED_VALUE"""),46187.706655092596)</f>
        <v>46187.70666</v>
      </c>
    </row>
    <row r="112">
      <c r="A112" s="122">
        <f>IFERROR(__xludf.DUMMYFUNCTION("""COMPUTED_VALUE"""),1535.0)</f>
        <v>1535</v>
      </c>
      <c r="B112" s="122" t="str">
        <f>IFERROR(__xludf.DUMMYFUNCTION("""COMPUTED_VALUE"""),"Dano Kim")</f>
        <v>Dano Kim</v>
      </c>
      <c r="C112" s="122" t="str">
        <f>IFERROR(__xludf.DUMMYFUNCTION("""COMPUTED_VALUE"""),"MEME")</f>
        <v>MEME</v>
      </c>
      <c r="D112" s="122">
        <f>IFERROR(__xludf.DUMMYFUNCTION("""COMPUTED_VALUE"""),2.0)</f>
        <v>2</v>
      </c>
      <c r="E112" s="122">
        <f>IFERROR(__xludf.DUMMYFUNCTION("""COMPUTED_VALUE"""),61.08)</f>
        <v>61.08</v>
      </c>
      <c r="F112" s="122">
        <f>IFERROR(__xludf.DUMMYFUNCTION("""COMPUTED_VALUE"""),122.16)</f>
        <v>122.16</v>
      </c>
      <c r="G112" s="122">
        <f>IFERROR(__xludf.DUMMYFUNCTION("""COMPUTED_VALUE"""),74.38)</f>
        <v>74.38</v>
      </c>
      <c r="H112" s="122">
        <f>IFERROR(__xludf.DUMMYFUNCTION("""COMPUTED_VALUE"""),148.76)</f>
        <v>148.76</v>
      </c>
      <c r="I112" s="122">
        <f>IFERROR(__xludf.DUMMYFUNCTION("""COMPUTED_VALUE"""),26.6)</f>
        <v>26.6</v>
      </c>
      <c r="J112" s="131">
        <f>IFERROR(__xludf.DUMMYFUNCTION("""COMPUTED_VALUE"""),46187.706655092596)</f>
        <v>46187.70666</v>
      </c>
    </row>
    <row r="113">
      <c r="A113" s="122">
        <f>IFERROR(__xludf.DUMMYFUNCTION("""COMPUTED_VALUE"""),1064.0)</f>
        <v>1064</v>
      </c>
      <c r="B113" s="122" t="str">
        <f>IFERROR(__xludf.DUMMYFUNCTION("""COMPUTED_VALUE"""),"Christine Kim")</f>
        <v>Christine Kim</v>
      </c>
      <c r="C113" s="122" t="str">
        <f>IFERROR(__xludf.DUMMYFUNCTION("""COMPUTED_VALUE"""),"LOAN")</f>
        <v>LOAN</v>
      </c>
      <c r="D113" s="122">
        <f>IFERROR(__xludf.DUMMYFUNCTION("""COMPUTED_VALUE"""),1.0)</f>
        <v>1</v>
      </c>
      <c r="E113" s="122">
        <f>IFERROR(__xludf.DUMMYFUNCTION("""COMPUTED_VALUE"""),63.8)</f>
        <v>63.8</v>
      </c>
      <c r="F113" s="122">
        <f>IFERROR(__xludf.DUMMYFUNCTION("""COMPUTED_VALUE"""),63.8)</f>
        <v>63.8</v>
      </c>
      <c r="G113" s="122">
        <f>IFERROR(__xludf.DUMMYFUNCTION("""COMPUTED_VALUE"""),76.99)</f>
        <v>76.99</v>
      </c>
      <c r="H113" s="122">
        <f>IFERROR(__xludf.DUMMYFUNCTION("""COMPUTED_VALUE"""),76.99)</f>
        <v>76.99</v>
      </c>
      <c r="I113" s="122">
        <f>IFERROR(__xludf.DUMMYFUNCTION("""COMPUTED_VALUE"""),13.19)</f>
        <v>13.19</v>
      </c>
      <c r="J113" s="131">
        <f>IFERROR(__xludf.DUMMYFUNCTION("""COMPUTED_VALUE"""),46187.706655092596)</f>
        <v>46187.70666</v>
      </c>
    </row>
    <row r="114">
      <c r="A114" s="122">
        <f>IFERROR(__xludf.DUMMYFUNCTION("""COMPUTED_VALUE"""),7260.0)</f>
        <v>7260</v>
      </c>
      <c r="B114" s="122" t="str">
        <f>IFERROR(__xludf.DUMMYFUNCTION("""COMPUTED_VALUE"""),"Soyeon Park")</f>
        <v>Soyeon Park</v>
      </c>
      <c r="C114" s="122" t="str">
        <f>IFERROR(__xludf.DUMMYFUNCTION("""COMPUTED_VALUE"""),"KICK")</f>
        <v>KICK</v>
      </c>
      <c r="D114" s="122">
        <f>IFERROR(__xludf.DUMMYFUNCTION("""COMPUTED_VALUE"""),1.0)</f>
        <v>1</v>
      </c>
      <c r="E114" s="122">
        <f>IFERROR(__xludf.DUMMYFUNCTION("""COMPUTED_VALUE"""),163.31)</f>
        <v>163.31</v>
      </c>
      <c r="F114" s="122">
        <f>IFERROR(__xludf.DUMMYFUNCTION("""COMPUTED_VALUE"""),163.31)</f>
        <v>163.31</v>
      </c>
      <c r="G114" s="122">
        <f>IFERROR(__xludf.DUMMYFUNCTION("""COMPUTED_VALUE"""),169.19)</f>
        <v>169.19</v>
      </c>
      <c r="H114" s="122">
        <f>IFERROR(__xludf.DUMMYFUNCTION("""COMPUTED_VALUE"""),169.19)</f>
        <v>169.19</v>
      </c>
      <c r="I114" s="122">
        <f>IFERROR(__xludf.DUMMYFUNCTION("""COMPUTED_VALUE"""),5.88)</f>
        <v>5.88</v>
      </c>
      <c r="J114" s="131">
        <f>IFERROR(__xludf.DUMMYFUNCTION("""COMPUTED_VALUE"""),46187.706655092596)</f>
        <v>46187.70666</v>
      </c>
    </row>
    <row r="115">
      <c r="A115" s="122">
        <f>IFERROR(__xludf.DUMMYFUNCTION("""COMPUTED_VALUE"""),7773.0)</f>
        <v>7773</v>
      </c>
      <c r="B115" s="122" t="str">
        <f>IFERROR(__xludf.DUMMYFUNCTION("""COMPUTED_VALUE"""),"Gahyeon Yoon")</f>
        <v>Gahyeon Yoon</v>
      </c>
      <c r="C115" s="122" t="str">
        <f>IFERROR(__xludf.DUMMYFUNCTION("""COMPUTED_VALUE"""),"FARM")</f>
        <v>FARM</v>
      </c>
      <c r="D115" s="122">
        <f>IFERROR(__xludf.DUMMYFUNCTION("""COMPUTED_VALUE"""),2.0)</f>
        <v>2</v>
      </c>
      <c r="E115" s="122">
        <f>IFERROR(__xludf.DUMMYFUNCTION("""COMPUTED_VALUE"""),76.62)</f>
        <v>76.62</v>
      </c>
      <c r="F115" s="122">
        <f>IFERROR(__xludf.DUMMYFUNCTION("""COMPUTED_VALUE"""),153.24)</f>
        <v>153.24</v>
      </c>
      <c r="G115" s="122">
        <f>IFERROR(__xludf.DUMMYFUNCTION("""COMPUTED_VALUE"""),103.14)</f>
        <v>103.14</v>
      </c>
      <c r="H115" s="122">
        <f>IFERROR(__xludf.DUMMYFUNCTION("""COMPUTED_VALUE"""),206.28)</f>
        <v>206.28</v>
      </c>
      <c r="I115" s="122">
        <f>IFERROR(__xludf.DUMMYFUNCTION("""COMPUTED_VALUE"""),53.04)</f>
        <v>53.04</v>
      </c>
      <c r="J115" s="131">
        <f>IFERROR(__xludf.DUMMYFUNCTION("""COMPUTED_VALUE"""),46187.706655092596)</f>
        <v>46187.70666</v>
      </c>
    </row>
    <row r="116">
      <c r="A116" s="122">
        <f>IFERROR(__xludf.DUMMYFUNCTION("""COMPUTED_VALUE"""),6657.0)</f>
        <v>6657</v>
      </c>
      <c r="B116" s="122" t="str">
        <f>IFERROR(__xludf.DUMMYFUNCTION("""COMPUTED_VALUE"""),"Chaewon Jeon")</f>
        <v>Chaewon Jeon</v>
      </c>
      <c r="C116" s="122" t="str">
        <f>IFERROR(__xludf.DUMMYFUNCTION("""COMPUTED_VALUE"""),"LOAN")</f>
        <v>LOAN</v>
      </c>
      <c r="D116" s="122">
        <f>IFERROR(__xludf.DUMMYFUNCTION("""COMPUTED_VALUE"""),1.0)</f>
        <v>1</v>
      </c>
      <c r="E116" s="122">
        <f>IFERROR(__xludf.DUMMYFUNCTION("""COMPUTED_VALUE"""),62.87)</f>
        <v>62.87</v>
      </c>
      <c r="F116" s="122">
        <f>IFERROR(__xludf.DUMMYFUNCTION("""COMPUTED_VALUE"""),62.87)</f>
        <v>62.87</v>
      </c>
      <c r="G116" s="122">
        <f>IFERROR(__xludf.DUMMYFUNCTION("""COMPUTED_VALUE"""),76.99)</f>
        <v>76.99</v>
      </c>
      <c r="H116" s="122">
        <f>IFERROR(__xludf.DUMMYFUNCTION("""COMPUTED_VALUE"""),76.99)</f>
        <v>76.99</v>
      </c>
      <c r="I116" s="122">
        <f>IFERROR(__xludf.DUMMYFUNCTION("""COMPUTED_VALUE"""),14.12)</f>
        <v>14.12</v>
      </c>
      <c r="J116" s="131">
        <f>IFERROR(__xludf.DUMMYFUNCTION("""COMPUTED_VALUE"""),46187.706655092596)</f>
        <v>46187.70666</v>
      </c>
    </row>
    <row r="117">
      <c r="A117" s="122">
        <f>IFERROR(__xludf.DUMMYFUNCTION("""COMPUTED_VALUE"""),5938.0)</f>
        <v>5938</v>
      </c>
      <c r="B117" s="122" t="str">
        <f>IFERROR(__xludf.DUMMYFUNCTION("""COMPUTED_VALUE"""),"Emily Kang")</f>
        <v>Emily Kang</v>
      </c>
      <c r="C117" s="122" t="str">
        <f>IFERROR(__xludf.DUMMYFUNCTION("""COMPUTED_VALUE"""),"TECH")</f>
        <v>TECH</v>
      </c>
      <c r="D117" s="122">
        <f>IFERROR(__xludf.DUMMYFUNCTION("""COMPUTED_VALUE"""),4.0)</f>
        <v>4</v>
      </c>
      <c r="E117" s="122">
        <f>IFERROR(__xludf.DUMMYFUNCTION("""COMPUTED_VALUE"""),218.57)</f>
        <v>218.57</v>
      </c>
      <c r="F117" s="122">
        <f>IFERROR(__xludf.DUMMYFUNCTION("""COMPUTED_VALUE"""),874.28)</f>
        <v>874.28</v>
      </c>
      <c r="G117" s="122">
        <f>IFERROR(__xludf.DUMMYFUNCTION("""COMPUTED_VALUE"""),246.95)</f>
        <v>246.95</v>
      </c>
      <c r="H117" s="122">
        <f>IFERROR(__xludf.DUMMYFUNCTION("""COMPUTED_VALUE"""),987.8)</f>
        <v>987.8</v>
      </c>
      <c r="I117" s="122">
        <f>IFERROR(__xludf.DUMMYFUNCTION("""COMPUTED_VALUE"""),113.52)</f>
        <v>113.52</v>
      </c>
      <c r="J117" s="131">
        <f>IFERROR(__xludf.DUMMYFUNCTION("""COMPUTED_VALUE"""),46187.706655092596)</f>
        <v>46187.70666</v>
      </c>
    </row>
    <row r="118">
      <c r="A118" s="122">
        <f>IFERROR(__xludf.DUMMYFUNCTION("""COMPUTED_VALUE"""),8043.0)</f>
        <v>8043</v>
      </c>
      <c r="B118" s="122" t="str">
        <f>IFERROR(__xludf.DUMMYFUNCTION("""COMPUTED_VALUE"""),"Jayden Hong")</f>
        <v>Jayden Hong</v>
      </c>
      <c r="C118" s="122" t="str">
        <f>IFERROR(__xludf.DUMMYFUNCTION("""COMPUTED_VALUE"""),"CAFE")</f>
        <v>CAFE</v>
      </c>
      <c r="D118" s="122">
        <f>IFERROR(__xludf.DUMMYFUNCTION("""COMPUTED_VALUE"""),2.0)</f>
        <v>2</v>
      </c>
      <c r="E118" s="122">
        <f>IFERROR(__xludf.DUMMYFUNCTION("""COMPUTED_VALUE"""),83.44)</f>
        <v>83.44</v>
      </c>
      <c r="F118" s="122">
        <f>IFERROR(__xludf.DUMMYFUNCTION("""COMPUTED_VALUE"""),166.88)</f>
        <v>166.88</v>
      </c>
      <c r="G118" s="122">
        <f>IFERROR(__xludf.DUMMYFUNCTION("""COMPUTED_VALUE"""),104.91)</f>
        <v>104.91</v>
      </c>
      <c r="H118" s="122">
        <f>IFERROR(__xludf.DUMMYFUNCTION("""COMPUTED_VALUE"""),209.82)</f>
        <v>209.82</v>
      </c>
      <c r="I118" s="122">
        <f>IFERROR(__xludf.DUMMYFUNCTION("""COMPUTED_VALUE"""),42.94)</f>
        <v>42.94</v>
      </c>
      <c r="J118" s="131">
        <f>IFERROR(__xludf.DUMMYFUNCTION("""COMPUTED_VALUE"""),46187.706655092596)</f>
        <v>46187.70666</v>
      </c>
    </row>
    <row r="119">
      <c r="A119" s="122">
        <f>IFERROR(__xludf.DUMMYFUNCTION("""COMPUTED_VALUE"""),7260.0)</f>
        <v>7260</v>
      </c>
      <c r="B119" s="122" t="str">
        <f>IFERROR(__xludf.DUMMYFUNCTION("""COMPUTED_VALUE"""),"Soyeon Park")</f>
        <v>Soyeon Park</v>
      </c>
      <c r="C119" s="122" t="str">
        <f>IFERROR(__xludf.DUMMYFUNCTION("""COMPUTED_VALUE"""),"CAND")</f>
        <v>CAND</v>
      </c>
      <c r="D119" s="122">
        <f>IFERROR(__xludf.DUMMYFUNCTION("""COMPUTED_VALUE"""),1.0)</f>
        <v>1</v>
      </c>
      <c r="E119" s="122">
        <f>IFERROR(__xludf.DUMMYFUNCTION("""COMPUTED_VALUE"""),58.81)</f>
        <v>58.81</v>
      </c>
      <c r="F119" s="122">
        <f>IFERROR(__xludf.DUMMYFUNCTION("""COMPUTED_VALUE"""),58.81)</f>
        <v>58.81</v>
      </c>
      <c r="G119" s="122">
        <f>IFERROR(__xludf.DUMMYFUNCTION("""COMPUTED_VALUE"""),77.29)</f>
        <v>77.29</v>
      </c>
      <c r="H119" s="122">
        <f>IFERROR(__xludf.DUMMYFUNCTION("""COMPUTED_VALUE"""),77.29)</f>
        <v>77.29</v>
      </c>
      <c r="I119" s="122">
        <f>IFERROR(__xludf.DUMMYFUNCTION("""COMPUTED_VALUE"""),18.48)</f>
        <v>18.48</v>
      </c>
      <c r="J119" s="131">
        <f>IFERROR(__xludf.DUMMYFUNCTION("""COMPUTED_VALUE"""),46187.706655092596)</f>
        <v>46187.70666</v>
      </c>
    </row>
    <row r="120">
      <c r="A120" s="122">
        <f>IFERROR(__xludf.DUMMYFUNCTION("""COMPUTED_VALUE"""),7773.0)</f>
        <v>7773</v>
      </c>
      <c r="B120" s="122" t="str">
        <f>IFERROR(__xludf.DUMMYFUNCTION("""COMPUTED_VALUE"""),"Gahyeon Yoon")</f>
        <v>Gahyeon Yoon</v>
      </c>
      <c r="C120" s="122" t="str">
        <f>IFERROR(__xludf.DUMMYFUNCTION("""COMPUTED_VALUE"""),"MEME")</f>
        <v>MEME</v>
      </c>
      <c r="D120" s="122">
        <f>IFERROR(__xludf.DUMMYFUNCTION("""COMPUTED_VALUE"""),2.0)</f>
        <v>2</v>
      </c>
      <c r="E120" s="122">
        <f>IFERROR(__xludf.DUMMYFUNCTION("""COMPUTED_VALUE"""),61.75)</f>
        <v>61.75</v>
      </c>
      <c r="F120" s="122">
        <f>IFERROR(__xludf.DUMMYFUNCTION("""COMPUTED_VALUE"""),123.5)</f>
        <v>123.5</v>
      </c>
      <c r="G120" s="122">
        <f>IFERROR(__xludf.DUMMYFUNCTION("""COMPUTED_VALUE"""),74.38)</f>
        <v>74.38</v>
      </c>
      <c r="H120" s="122">
        <f>IFERROR(__xludf.DUMMYFUNCTION("""COMPUTED_VALUE"""),148.76)</f>
        <v>148.76</v>
      </c>
      <c r="I120" s="122">
        <f>IFERROR(__xludf.DUMMYFUNCTION("""COMPUTED_VALUE"""),25.26)</f>
        <v>25.26</v>
      </c>
      <c r="J120" s="131">
        <f>IFERROR(__xludf.DUMMYFUNCTION("""COMPUTED_VALUE"""),46187.706655092596)</f>
        <v>46187.70666</v>
      </c>
    </row>
    <row r="121">
      <c r="A121" s="122">
        <f>IFERROR(__xludf.DUMMYFUNCTION("""COMPUTED_VALUE"""),1921.0)</f>
        <v>1921</v>
      </c>
      <c r="B121" s="122" t="str">
        <f>IFERROR(__xludf.DUMMYFUNCTION("""COMPUTED_VALUE"""),"Danbee Kim")</f>
        <v>Danbee Kim</v>
      </c>
      <c r="C121" s="122" t="str">
        <f>IFERROR(__xludf.DUMMYFUNCTION("""COMPUTED_VALUE"""),"AIBO")</f>
        <v>AIBO</v>
      </c>
      <c r="D121" s="122">
        <f>IFERROR(__xludf.DUMMYFUNCTION("""COMPUTED_VALUE"""),3.0)</f>
        <v>3</v>
      </c>
      <c r="E121" s="122">
        <f>IFERROR(__xludf.DUMMYFUNCTION("""COMPUTED_VALUE"""),184.51)</f>
        <v>184.51</v>
      </c>
      <c r="F121" s="122">
        <f>IFERROR(__xludf.DUMMYFUNCTION("""COMPUTED_VALUE"""),553.53)</f>
        <v>553.53</v>
      </c>
      <c r="G121" s="122">
        <f>IFERROR(__xludf.DUMMYFUNCTION("""COMPUTED_VALUE"""),194.32)</f>
        <v>194.32</v>
      </c>
      <c r="H121" s="122">
        <f>IFERROR(__xludf.DUMMYFUNCTION("""COMPUTED_VALUE"""),582.96)</f>
        <v>582.96</v>
      </c>
      <c r="I121" s="122">
        <f>IFERROR(__xludf.DUMMYFUNCTION("""COMPUTED_VALUE"""),29.43)</f>
        <v>29.43</v>
      </c>
      <c r="J121" s="131">
        <f>IFERROR(__xludf.DUMMYFUNCTION("""COMPUTED_VALUE"""),46187.706655092596)</f>
        <v>46187.70666</v>
      </c>
    </row>
    <row r="122">
      <c r="A122" s="122">
        <f>IFERROR(__xludf.DUMMYFUNCTION("""COMPUTED_VALUE"""),1921.0)</f>
        <v>1921</v>
      </c>
      <c r="B122" s="122" t="str">
        <f>IFERROR(__xludf.DUMMYFUNCTION("""COMPUTED_VALUE"""),"Danbee Kim")</f>
        <v>Danbee Kim</v>
      </c>
      <c r="C122" s="122" t="str">
        <f>IFERROR(__xludf.DUMMYFUNCTION("""COMPUTED_VALUE"""),"GLAM")</f>
        <v>GLAM</v>
      </c>
      <c r="D122" s="122">
        <f>IFERROR(__xludf.DUMMYFUNCTION("""COMPUTED_VALUE"""),2.0)</f>
        <v>2</v>
      </c>
      <c r="E122" s="122">
        <f>IFERROR(__xludf.DUMMYFUNCTION("""COMPUTED_VALUE"""),86.19)</f>
        <v>86.19</v>
      </c>
      <c r="F122" s="122">
        <f>IFERROR(__xludf.DUMMYFUNCTION("""COMPUTED_VALUE"""),172.38)</f>
        <v>172.38</v>
      </c>
      <c r="G122" s="122">
        <f>IFERROR(__xludf.DUMMYFUNCTION("""COMPUTED_VALUE"""),113.44)</f>
        <v>113.44</v>
      </c>
      <c r="H122" s="122">
        <f>IFERROR(__xludf.DUMMYFUNCTION("""COMPUTED_VALUE"""),226.88)</f>
        <v>226.88</v>
      </c>
      <c r="I122" s="122">
        <f>IFERROR(__xludf.DUMMYFUNCTION("""COMPUTED_VALUE"""),54.5)</f>
        <v>54.5</v>
      </c>
      <c r="J122" s="131">
        <f>IFERROR(__xludf.DUMMYFUNCTION("""COMPUTED_VALUE"""),46187.706655092596)</f>
        <v>46187.70666</v>
      </c>
    </row>
    <row r="123">
      <c r="A123" s="122">
        <f>IFERROR(__xludf.DUMMYFUNCTION("""COMPUTED_VALUE"""),4673.0)</f>
        <v>4673</v>
      </c>
      <c r="B123" s="122" t="str">
        <f>IFERROR(__xludf.DUMMYFUNCTION("""COMPUTED_VALUE"""),"Ellie")</f>
        <v>Ellie</v>
      </c>
      <c r="C123" s="122" t="str">
        <f>IFERROR(__xludf.DUMMYFUNCTION("""COMPUTED_VALUE"""),"MEDX")</f>
        <v>MEDX</v>
      </c>
      <c r="D123" s="122">
        <f>IFERROR(__xludf.DUMMYFUNCTION("""COMPUTED_VALUE"""),2.0)</f>
        <v>2</v>
      </c>
      <c r="E123" s="122">
        <f>IFERROR(__xludf.DUMMYFUNCTION("""COMPUTED_VALUE"""),127.72)</f>
        <v>127.72</v>
      </c>
      <c r="F123" s="122">
        <f>IFERROR(__xludf.DUMMYFUNCTION("""COMPUTED_VALUE"""),255.44)</f>
        <v>255.44</v>
      </c>
      <c r="G123" s="122">
        <f>IFERROR(__xludf.DUMMYFUNCTION("""COMPUTED_VALUE"""),139.38)</f>
        <v>139.38</v>
      </c>
      <c r="H123" s="122">
        <f>IFERROR(__xludf.DUMMYFUNCTION("""COMPUTED_VALUE"""),278.76)</f>
        <v>278.76</v>
      </c>
      <c r="I123" s="122">
        <f>IFERROR(__xludf.DUMMYFUNCTION("""COMPUTED_VALUE"""),23.32)</f>
        <v>23.32</v>
      </c>
      <c r="J123" s="131">
        <f>IFERROR(__xludf.DUMMYFUNCTION("""COMPUTED_VALUE"""),46187.706655092596)</f>
        <v>46187.70666</v>
      </c>
    </row>
    <row r="124">
      <c r="A124" s="122">
        <f>IFERROR(__xludf.DUMMYFUNCTION("""COMPUTED_VALUE"""),7765.0)</f>
        <v>7765</v>
      </c>
      <c r="B124" s="122" t="str">
        <f>IFERROR(__xludf.DUMMYFUNCTION("""COMPUTED_VALUE"""),"Yeonju")</f>
        <v>Yeonju</v>
      </c>
      <c r="C124" s="122" t="str">
        <f>IFERROR(__xludf.DUMMYFUNCTION("""COMPUTED_VALUE"""),"GYMX")</f>
        <v>GYMX</v>
      </c>
      <c r="D124" s="122">
        <f>IFERROR(__xludf.DUMMYFUNCTION("""COMPUTED_VALUE"""),10.0)</f>
        <v>10</v>
      </c>
      <c r="E124" s="122">
        <f>IFERROR(__xludf.DUMMYFUNCTION("""COMPUTED_VALUE"""),99.58)</f>
        <v>99.58</v>
      </c>
      <c r="F124" s="122">
        <f>IFERROR(__xludf.DUMMYFUNCTION("""COMPUTED_VALUE"""),995.8)</f>
        <v>995.8</v>
      </c>
      <c r="G124" s="122">
        <f>IFERROR(__xludf.DUMMYFUNCTION("""COMPUTED_VALUE"""),80.33)</f>
        <v>80.33</v>
      </c>
      <c r="H124" s="122">
        <f>IFERROR(__xludf.DUMMYFUNCTION("""COMPUTED_VALUE"""),803.3)</f>
        <v>803.3</v>
      </c>
      <c r="I124" s="122">
        <f>IFERROR(__xludf.DUMMYFUNCTION("""COMPUTED_VALUE"""),-192.5)</f>
        <v>-192.5</v>
      </c>
      <c r="J124" s="131">
        <f>IFERROR(__xludf.DUMMYFUNCTION("""COMPUTED_VALUE"""),46187.706655092596)</f>
        <v>46187.70666</v>
      </c>
    </row>
    <row r="125">
      <c r="A125" s="122">
        <f>IFERROR(__xludf.DUMMYFUNCTION("""COMPUTED_VALUE"""),8365.0)</f>
        <v>8365</v>
      </c>
      <c r="B125" s="122" t="str">
        <f>IFERROR(__xludf.DUMMYFUNCTION("""COMPUTED_VALUE"""),"Casey Yang")</f>
        <v>Casey Yang</v>
      </c>
      <c r="C125" s="122" t="str">
        <f>IFERROR(__xludf.DUMMYFUNCTION("""COMPUTED_VALUE"""),"COLA")</f>
        <v>COLA</v>
      </c>
      <c r="D125" s="122">
        <f>IFERROR(__xludf.DUMMYFUNCTION("""COMPUTED_VALUE"""),1.0)</f>
        <v>1</v>
      </c>
      <c r="E125" s="122">
        <f>IFERROR(__xludf.DUMMYFUNCTION("""COMPUTED_VALUE"""),108.29)</f>
        <v>108.29</v>
      </c>
      <c r="F125" s="122">
        <f>IFERROR(__xludf.DUMMYFUNCTION("""COMPUTED_VALUE"""),108.29)</f>
        <v>108.29</v>
      </c>
      <c r="G125" s="122">
        <f>IFERROR(__xludf.DUMMYFUNCTION("""COMPUTED_VALUE"""),116.04)</f>
        <v>116.04</v>
      </c>
      <c r="H125" s="122">
        <f>IFERROR(__xludf.DUMMYFUNCTION("""COMPUTED_VALUE"""),116.04)</f>
        <v>116.04</v>
      </c>
      <c r="I125" s="122">
        <f>IFERROR(__xludf.DUMMYFUNCTION("""COMPUTED_VALUE"""),7.75)</f>
        <v>7.75</v>
      </c>
      <c r="J125" s="131">
        <f>IFERROR(__xludf.DUMMYFUNCTION("""COMPUTED_VALUE"""),46187.706655092596)</f>
        <v>46187.70666</v>
      </c>
    </row>
    <row r="126">
      <c r="A126" s="122">
        <f>IFERROR(__xludf.DUMMYFUNCTION("""COMPUTED_VALUE"""),1321.0)</f>
        <v>1321</v>
      </c>
      <c r="B126" s="122" t="str">
        <f>IFERROR(__xludf.DUMMYFUNCTION("""COMPUTED_VALUE"""),"Ahin")</f>
        <v>Ahin</v>
      </c>
      <c r="C126" s="122" t="str">
        <f>IFERROR(__xludf.DUMMYFUNCTION("""COMPUTED_VALUE"""),"MEME")</f>
        <v>MEME</v>
      </c>
      <c r="D126" s="122">
        <f>IFERROR(__xludf.DUMMYFUNCTION("""COMPUTED_VALUE"""),1.0)</f>
        <v>1</v>
      </c>
      <c r="E126" s="122">
        <f>IFERROR(__xludf.DUMMYFUNCTION("""COMPUTED_VALUE"""),61.08)</f>
        <v>61.08</v>
      </c>
      <c r="F126" s="122">
        <f>IFERROR(__xludf.DUMMYFUNCTION("""COMPUTED_VALUE"""),61.08)</f>
        <v>61.08</v>
      </c>
      <c r="G126" s="122">
        <f>IFERROR(__xludf.DUMMYFUNCTION("""COMPUTED_VALUE"""),74.38)</f>
        <v>74.38</v>
      </c>
      <c r="H126" s="122">
        <f>IFERROR(__xludf.DUMMYFUNCTION("""COMPUTED_VALUE"""),74.38)</f>
        <v>74.38</v>
      </c>
      <c r="I126" s="122">
        <f>IFERROR(__xludf.DUMMYFUNCTION("""COMPUTED_VALUE"""),13.3)</f>
        <v>13.3</v>
      </c>
      <c r="J126" s="131">
        <f>IFERROR(__xludf.DUMMYFUNCTION("""COMPUTED_VALUE"""),46187.706655092596)</f>
        <v>46187.70666</v>
      </c>
    </row>
    <row r="127">
      <c r="A127" s="122">
        <f>IFERROR(__xludf.DUMMYFUNCTION("""COMPUTED_VALUE"""),4673.0)</f>
        <v>4673</v>
      </c>
      <c r="B127" s="122" t="str">
        <f>IFERROR(__xludf.DUMMYFUNCTION("""COMPUTED_VALUE"""),"Ellie")</f>
        <v>Ellie</v>
      </c>
      <c r="C127" s="122" t="str">
        <f>IFERROR(__xludf.DUMMYFUNCTION("""COMPUTED_VALUE"""),"BANK")</f>
        <v>BANK</v>
      </c>
      <c r="D127" s="122">
        <f>IFERROR(__xludf.DUMMYFUNCTION("""COMPUTED_VALUE"""),4.0)</f>
        <v>4</v>
      </c>
      <c r="E127" s="122">
        <f>IFERROR(__xludf.DUMMYFUNCTION("""COMPUTED_VALUE"""),119.96)</f>
        <v>119.96</v>
      </c>
      <c r="F127" s="122">
        <f>IFERROR(__xludf.DUMMYFUNCTION("""COMPUTED_VALUE"""),479.84)</f>
        <v>479.84</v>
      </c>
      <c r="G127" s="122">
        <f>IFERROR(__xludf.DUMMYFUNCTION("""COMPUTED_VALUE"""),133.21)</f>
        <v>133.21</v>
      </c>
      <c r="H127" s="122">
        <f>IFERROR(__xludf.DUMMYFUNCTION("""COMPUTED_VALUE"""),532.84)</f>
        <v>532.84</v>
      </c>
      <c r="I127" s="122">
        <f>IFERROR(__xludf.DUMMYFUNCTION("""COMPUTED_VALUE"""),53.0)</f>
        <v>53</v>
      </c>
      <c r="J127" s="131">
        <f>IFERROR(__xludf.DUMMYFUNCTION("""COMPUTED_VALUE"""),46187.706655092596)</f>
        <v>46187.70666</v>
      </c>
    </row>
    <row r="128">
      <c r="A128" s="122">
        <f>IFERROR(__xludf.DUMMYFUNCTION("""COMPUTED_VALUE"""),6657.0)</f>
        <v>6657</v>
      </c>
      <c r="B128" s="122" t="str">
        <f>IFERROR(__xludf.DUMMYFUNCTION("""COMPUTED_VALUE"""),"Chaewon Jeon")</f>
        <v>Chaewon Jeon</v>
      </c>
      <c r="C128" s="122" t="str">
        <f>IFERROR(__xludf.DUMMYFUNCTION("""COMPUTED_VALUE"""),"MEME")</f>
        <v>MEME</v>
      </c>
      <c r="D128" s="122">
        <f>IFERROR(__xludf.DUMMYFUNCTION("""COMPUTED_VALUE"""),1.0)</f>
        <v>1</v>
      </c>
      <c r="E128" s="122">
        <f>IFERROR(__xludf.DUMMYFUNCTION("""COMPUTED_VALUE"""),61.08)</f>
        <v>61.08</v>
      </c>
      <c r="F128" s="122">
        <f>IFERROR(__xludf.DUMMYFUNCTION("""COMPUTED_VALUE"""),61.08)</f>
        <v>61.08</v>
      </c>
      <c r="G128" s="122">
        <f>IFERROR(__xludf.DUMMYFUNCTION("""COMPUTED_VALUE"""),74.38)</f>
        <v>74.38</v>
      </c>
      <c r="H128" s="122">
        <f>IFERROR(__xludf.DUMMYFUNCTION("""COMPUTED_VALUE"""),74.38)</f>
        <v>74.38</v>
      </c>
      <c r="I128" s="122">
        <f>IFERROR(__xludf.DUMMYFUNCTION("""COMPUTED_VALUE"""),13.3)</f>
        <v>13.3</v>
      </c>
      <c r="J128" s="131">
        <f>IFERROR(__xludf.DUMMYFUNCTION("""COMPUTED_VALUE"""),46187.706655092596)</f>
        <v>46187.70666</v>
      </c>
    </row>
    <row r="129">
      <c r="A129" s="122">
        <f>IFERROR(__xludf.DUMMYFUNCTION("""COMPUTED_VALUE"""),8054.0)</f>
        <v>8054</v>
      </c>
      <c r="B129" s="122" t="str">
        <f>IFERROR(__xludf.DUMMYFUNCTION("""COMPUTED_VALUE"""),"Sophie Lee")</f>
        <v>Sophie Lee</v>
      </c>
      <c r="C129" s="122" t="str">
        <f>IFERROR(__xludf.DUMMYFUNCTION("""COMPUTED_VALUE"""),"MEME")</f>
        <v>MEME</v>
      </c>
      <c r="D129" s="122">
        <f>IFERROR(__xludf.DUMMYFUNCTION("""COMPUTED_VALUE"""),1.0)</f>
        <v>1</v>
      </c>
      <c r="E129" s="122">
        <f>IFERROR(__xludf.DUMMYFUNCTION("""COMPUTED_VALUE"""),61.08)</f>
        <v>61.08</v>
      </c>
      <c r="F129" s="122">
        <f>IFERROR(__xludf.DUMMYFUNCTION("""COMPUTED_VALUE"""),61.08)</f>
        <v>61.08</v>
      </c>
      <c r="G129" s="122">
        <f>IFERROR(__xludf.DUMMYFUNCTION("""COMPUTED_VALUE"""),74.38)</f>
        <v>74.38</v>
      </c>
      <c r="H129" s="122">
        <f>IFERROR(__xludf.DUMMYFUNCTION("""COMPUTED_VALUE"""),74.38)</f>
        <v>74.38</v>
      </c>
      <c r="I129" s="122">
        <f>IFERROR(__xludf.DUMMYFUNCTION("""COMPUTED_VALUE"""),13.3)</f>
        <v>13.3</v>
      </c>
      <c r="J129" s="131">
        <f>IFERROR(__xludf.DUMMYFUNCTION("""COMPUTED_VALUE"""),46187.706655092596)</f>
        <v>46187.70666</v>
      </c>
    </row>
    <row r="130">
      <c r="A130" s="122">
        <f>IFERROR(__xludf.DUMMYFUNCTION("""COMPUTED_VALUE"""),1321.0)</f>
        <v>1321</v>
      </c>
      <c r="B130" s="122" t="str">
        <f>IFERROR(__xludf.DUMMYFUNCTION("""COMPUTED_VALUE"""),"Ahin")</f>
        <v>Ahin</v>
      </c>
      <c r="C130" s="122" t="str">
        <f>IFERROR(__xludf.DUMMYFUNCTION("""COMPUTED_VALUE"""),"DRIP")</f>
        <v>DRIP</v>
      </c>
      <c r="D130" s="122">
        <f>IFERROR(__xludf.DUMMYFUNCTION("""COMPUTED_VALUE"""),26.0)</f>
        <v>26</v>
      </c>
      <c r="E130" s="122">
        <f>IFERROR(__xludf.DUMMYFUNCTION("""COMPUTED_VALUE"""),151.55)</f>
        <v>151.55</v>
      </c>
      <c r="F130" s="122">
        <f>IFERROR(__xludf.DUMMYFUNCTION("""COMPUTED_VALUE"""),3940.33)</f>
        <v>3940.33</v>
      </c>
      <c r="G130" s="122">
        <f>IFERROR(__xludf.DUMMYFUNCTION("""COMPUTED_VALUE"""),191.93)</f>
        <v>191.93</v>
      </c>
      <c r="H130" s="122">
        <f>IFERROR(__xludf.DUMMYFUNCTION("""COMPUTED_VALUE"""),4990.18)</f>
        <v>4990.18</v>
      </c>
      <c r="I130" s="122">
        <f>IFERROR(__xludf.DUMMYFUNCTION("""COMPUTED_VALUE"""),1049.88)</f>
        <v>1049.88</v>
      </c>
      <c r="J130" s="131">
        <f>IFERROR(__xludf.DUMMYFUNCTION("""COMPUTED_VALUE"""),46187.706655092596)</f>
        <v>46187.70666</v>
      </c>
    </row>
    <row r="131">
      <c r="A131" s="122">
        <f>IFERROR(__xludf.DUMMYFUNCTION("""COMPUTED_VALUE"""),1876.0)</f>
        <v>1876</v>
      </c>
      <c r="B131" s="122" t="str">
        <f>IFERROR(__xludf.DUMMYFUNCTION("""COMPUTED_VALUE"""),"Lena")</f>
        <v>Lena</v>
      </c>
      <c r="C131" s="122" t="str">
        <f>IFERROR(__xludf.DUMMYFUNCTION("""COMPUTED_VALUE"""),"MEME")</f>
        <v>MEME</v>
      </c>
      <c r="D131" s="122">
        <f>IFERROR(__xludf.DUMMYFUNCTION("""COMPUTED_VALUE"""),6.0)</f>
        <v>6</v>
      </c>
      <c r="E131" s="122">
        <f>IFERROR(__xludf.DUMMYFUNCTION("""COMPUTED_VALUE"""),61.95)</f>
        <v>61.95</v>
      </c>
      <c r="F131" s="122">
        <f>IFERROR(__xludf.DUMMYFUNCTION("""COMPUTED_VALUE"""),371.7)</f>
        <v>371.7</v>
      </c>
      <c r="G131" s="122">
        <f>IFERROR(__xludf.DUMMYFUNCTION("""COMPUTED_VALUE"""),74.38)</f>
        <v>74.38</v>
      </c>
      <c r="H131" s="122">
        <f>IFERROR(__xludf.DUMMYFUNCTION("""COMPUTED_VALUE"""),446.28)</f>
        <v>446.28</v>
      </c>
      <c r="I131" s="122">
        <f>IFERROR(__xludf.DUMMYFUNCTION("""COMPUTED_VALUE"""),74.58)</f>
        <v>74.58</v>
      </c>
      <c r="J131" s="131">
        <f>IFERROR(__xludf.DUMMYFUNCTION("""COMPUTED_VALUE"""),46187.706655092596)</f>
        <v>46187.70666</v>
      </c>
    </row>
    <row r="132">
      <c r="A132" s="122">
        <f>IFERROR(__xludf.DUMMYFUNCTION("""COMPUTED_VALUE"""),8989.0)</f>
        <v>8989</v>
      </c>
      <c r="B132" s="122" t="str">
        <f>IFERROR(__xludf.DUMMYFUNCTION("""COMPUTED_VALUE"""),"Oakley")</f>
        <v>Oakley</v>
      </c>
      <c r="C132" s="122" t="str">
        <f>IFERROR(__xludf.DUMMYFUNCTION("""COMPUTED_VALUE"""),"SNAX")</f>
        <v>SNAX</v>
      </c>
      <c r="D132" s="122">
        <f>IFERROR(__xludf.DUMMYFUNCTION("""COMPUTED_VALUE"""),17.0)</f>
        <v>17</v>
      </c>
      <c r="E132" s="122">
        <f>IFERROR(__xludf.DUMMYFUNCTION("""COMPUTED_VALUE"""),101.93)</f>
        <v>101.93</v>
      </c>
      <c r="F132" s="122">
        <f>IFERROR(__xludf.DUMMYFUNCTION("""COMPUTED_VALUE"""),1732.81)</f>
        <v>1732.81</v>
      </c>
      <c r="G132" s="122">
        <f>IFERROR(__xludf.DUMMYFUNCTION("""COMPUTED_VALUE"""),122.55)</f>
        <v>122.55</v>
      </c>
      <c r="H132" s="122">
        <f>IFERROR(__xludf.DUMMYFUNCTION("""COMPUTED_VALUE"""),2083.35)</f>
        <v>2083.35</v>
      </c>
      <c r="I132" s="122">
        <f>IFERROR(__xludf.DUMMYFUNCTION("""COMPUTED_VALUE"""),350.54)</f>
        <v>350.54</v>
      </c>
      <c r="J132" s="131">
        <f>IFERROR(__xludf.DUMMYFUNCTION("""COMPUTED_VALUE"""),46187.706655092596)</f>
        <v>46187.70666</v>
      </c>
    </row>
    <row r="133">
      <c r="A133" s="122">
        <f>IFERROR(__xludf.DUMMYFUNCTION("""COMPUTED_VALUE"""),6665.0)</f>
        <v>6665</v>
      </c>
      <c r="B133" s="122" t="str">
        <f>IFERROR(__xludf.DUMMYFUNCTION("""COMPUTED_VALUE"""),"Jinwoo")</f>
        <v>Jinwoo</v>
      </c>
      <c r="C133" s="122" t="str">
        <f>IFERROR(__xludf.DUMMYFUNCTION("""COMPUTED_VALUE"""),"CHIP")</f>
        <v>CHIP</v>
      </c>
      <c r="D133" s="122">
        <f>IFERROR(__xludf.DUMMYFUNCTION("""COMPUTED_VALUE"""),5.0)</f>
        <v>5</v>
      </c>
      <c r="E133" s="122">
        <f>IFERROR(__xludf.DUMMYFUNCTION("""COMPUTED_VALUE"""),68.18)</f>
        <v>68.18</v>
      </c>
      <c r="F133" s="122">
        <f>IFERROR(__xludf.DUMMYFUNCTION("""COMPUTED_VALUE"""),340.9)</f>
        <v>340.9</v>
      </c>
      <c r="G133" s="122">
        <f>IFERROR(__xludf.DUMMYFUNCTION("""COMPUTED_VALUE"""),81.96)</f>
        <v>81.96</v>
      </c>
      <c r="H133" s="122">
        <f>IFERROR(__xludf.DUMMYFUNCTION("""COMPUTED_VALUE"""),409.8)</f>
        <v>409.8</v>
      </c>
      <c r="I133" s="122">
        <f>IFERROR(__xludf.DUMMYFUNCTION("""COMPUTED_VALUE"""),68.9)</f>
        <v>68.9</v>
      </c>
      <c r="J133" s="131">
        <f>IFERROR(__xludf.DUMMYFUNCTION("""COMPUTED_VALUE"""),46187.706655092596)</f>
        <v>46187.70666</v>
      </c>
    </row>
    <row r="134">
      <c r="A134" s="122">
        <f>IFERROR(__xludf.DUMMYFUNCTION("""COMPUTED_VALUE"""),1321.0)</f>
        <v>1321</v>
      </c>
      <c r="B134" s="122" t="str">
        <f>IFERROR(__xludf.DUMMYFUNCTION("""COMPUTED_VALUE"""),"Ahin")</f>
        <v>Ahin</v>
      </c>
      <c r="C134" s="122" t="str">
        <f>IFERROR(__xludf.DUMMYFUNCTION("""COMPUTED_VALUE"""),"COLA")</f>
        <v>COLA</v>
      </c>
      <c r="D134" s="122">
        <f>IFERROR(__xludf.DUMMYFUNCTION("""COMPUTED_VALUE"""),1.0)</f>
        <v>1</v>
      </c>
      <c r="E134" s="122">
        <f>IFERROR(__xludf.DUMMYFUNCTION("""COMPUTED_VALUE"""),108.25)</f>
        <v>108.25</v>
      </c>
      <c r="F134" s="122">
        <f>IFERROR(__xludf.DUMMYFUNCTION("""COMPUTED_VALUE"""),108.25)</f>
        <v>108.25</v>
      </c>
      <c r="G134" s="122">
        <f>IFERROR(__xludf.DUMMYFUNCTION("""COMPUTED_VALUE"""),116.04)</f>
        <v>116.04</v>
      </c>
      <c r="H134" s="122">
        <f>IFERROR(__xludf.DUMMYFUNCTION("""COMPUTED_VALUE"""),116.04)</f>
        <v>116.04</v>
      </c>
      <c r="I134" s="122">
        <f>IFERROR(__xludf.DUMMYFUNCTION("""COMPUTED_VALUE"""),7.79)</f>
        <v>7.79</v>
      </c>
      <c r="J134" s="131">
        <f>IFERROR(__xludf.DUMMYFUNCTION("""COMPUTED_VALUE"""),46187.706655092596)</f>
        <v>46187.70666</v>
      </c>
    </row>
    <row r="135">
      <c r="A135" s="122">
        <f>IFERROR(__xludf.DUMMYFUNCTION("""COMPUTED_VALUE"""),9887.0)</f>
        <v>9887</v>
      </c>
      <c r="B135" s="122" t="str">
        <f>IFERROR(__xludf.DUMMYFUNCTION("""COMPUTED_VALUE"""),"Ruby")</f>
        <v>Ruby</v>
      </c>
      <c r="C135" s="122" t="str">
        <f>IFERROR(__xludf.DUMMYFUNCTION("""COMPUTED_VALUE"""),"SNAX")</f>
        <v>SNAX</v>
      </c>
      <c r="D135" s="122">
        <f>IFERROR(__xludf.DUMMYFUNCTION("""COMPUTED_VALUE"""),80.0)</f>
        <v>80</v>
      </c>
      <c r="E135" s="122">
        <f>IFERROR(__xludf.DUMMYFUNCTION("""COMPUTED_VALUE"""),102.16)</f>
        <v>102.16</v>
      </c>
      <c r="F135" s="122">
        <f>IFERROR(__xludf.DUMMYFUNCTION("""COMPUTED_VALUE"""),8172.8)</f>
        <v>8172.8</v>
      </c>
      <c r="G135" s="122">
        <f>IFERROR(__xludf.DUMMYFUNCTION("""COMPUTED_VALUE"""),122.55)</f>
        <v>122.55</v>
      </c>
      <c r="H135" s="122">
        <f>IFERROR(__xludf.DUMMYFUNCTION("""COMPUTED_VALUE"""),9804.0)</f>
        <v>9804</v>
      </c>
      <c r="I135" s="122">
        <f>IFERROR(__xludf.DUMMYFUNCTION("""COMPUTED_VALUE"""),1631.2)</f>
        <v>1631.2</v>
      </c>
      <c r="J135" s="131">
        <f>IFERROR(__xludf.DUMMYFUNCTION("""COMPUTED_VALUE"""),46187.706655092596)</f>
        <v>46187.70666</v>
      </c>
    </row>
    <row r="136">
      <c r="A136" s="122">
        <f>IFERROR(__xludf.DUMMYFUNCTION("""COMPUTED_VALUE"""),1321.0)</f>
        <v>1321</v>
      </c>
      <c r="B136" s="122" t="str">
        <f>IFERROR(__xludf.DUMMYFUNCTION("""COMPUTED_VALUE"""),"Ahin")</f>
        <v>Ahin</v>
      </c>
      <c r="C136" s="122" t="str">
        <f>IFERROR(__xludf.DUMMYFUNCTION("""COMPUTED_VALUE"""),"KICK")</f>
        <v>KICK</v>
      </c>
      <c r="D136" s="122">
        <f>IFERROR(__xludf.DUMMYFUNCTION("""COMPUTED_VALUE"""),25.0)</f>
        <v>25</v>
      </c>
      <c r="E136" s="122">
        <f>IFERROR(__xludf.DUMMYFUNCTION("""COMPUTED_VALUE"""),185.73)</f>
        <v>185.73</v>
      </c>
      <c r="F136" s="122">
        <f>IFERROR(__xludf.DUMMYFUNCTION("""COMPUTED_VALUE"""),4643.25)</f>
        <v>4643.25</v>
      </c>
      <c r="G136" s="122">
        <f>IFERROR(__xludf.DUMMYFUNCTION("""COMPUTED_VALUE"""),169.19)</f>
        <v>169.19</v>
      </c>
      <c r="H136" s="122">
        <f>IFERROR(__xludf.DUMMYFUNCTION("""COMPUTED_VALUE"""),4229.75)</f>
        <v>4229.75</v>
      </c>
      <c r="I136" s="122">
        <f>IFERROR(__xludf.DUMMYFUNCTION("""COMPUTED_VALUE"""),-413.5)</f>
        <v>-413.5</v>
      </c>
      <c r="J136" s="131">
        <f>IFERROR(__xludf.DUMMYFUNCTION("""COMPUTED_VALUE"""),46187.706655092596)</f>
        <v>46187.70666</v>
      </c>
    </row>
    <row r="137">
      <c r="A137" s="122">
        <f>IFERROR(__xludf.DUMMYFUNCTION("""COMPUTED_VALUE"""),1876.0)</f>
        <v>1876</v>
      </c>
      <c r="B137" s="122" t="str">
        <f>IFERROR(__xludf.DUMMYFUNCTION("""COMPUTED_VALUE"""),"Lena")</f>
        <v>Lena</v>
      </c>
      <c r="C137" s="122" t="str">
        <f>IFERROR(__xludf.DUMMYFUNCTION("""COMPUTED_VALUE"""),"SHIP")</f>
        <v>SHIP</v>
      </c>
      <c r="D137" s="122">
        <f>IFERROR(__xludf.DUMMYFUNCTION("""COMPUTED_VALUE"""),1.0)</f>
        <v>1</v>
      </c>
      <c r="E137" s="122">
        <f>IFERROR(__xludf.DUMMYFUNCTION("""COMPUTED_VALUE"""),104.37)</f>
        <v>104.37</v>
      </c>
      <c r="F137" s="122">
        <f>IFERROR(__xludf.DUMMYFUNCTION("""COMPUTED_VALUE"""),104.37)</f>
        <v>104.37</v>
      </c>
      <c r="G137" s="122">
        <f>IFERROR(__xludf.DUMMYFUNCTION("""COMPUTED_VALUE"""),132.25)</f>
        <v>132.25</v>
      </c>
      <c r="H137" s="122">
        <f>IFERROR(__xludf.DUMMYFUNCTION("""COMPUTED_VALUE"""),132.25)</f>
        <v>132.25</v>
      </c>
      <c r="I137" s="122">
        <f>IFERROR(__xludf.DUMMYFUNCTION("""COMPUTED_VALUE"""),27.88)</f>
        <v>27.88</v>
      </c>
      <c r="J137" s="131">
        <f>IFERROR(__xludf.DUMMYFUNCTION("""COMPUTED_VALUE"""),46187.706655092596)</f>
        <v>46187.70666</v>
      </c>
    </row>
    <row r="138">
      <c r="A138" s="122">
        <f>IFERROR(__xludf.DUMMYFUNCTION("""COMPUTED_VALUE"""),1876.0)</f>
        <v>1876</v>
      </c>
      <c r="B138" s="122" t="str">
        <f>IFERROR(__xludf.DUMMYFUNCTION("""COMPUTED_VALUE"""),"Lena")</f>
        <v>Lena</v>
      </c>
      <c r="C138" s="122" t="str">
        <f>IFERROR(__xludf.DUMMYFUNCTION("""COMPUTED_VALUE"""),"MUSC")</f>
        <v>MUSC</v>
      </c>
      <c r="D138" s="122">
        <f>IFERROR(__xludf.DUMMYFUNCTION("""COMPUTED_VALUE"""),1.0)</f>
        <v>1</v>
      </c>
      <c r="E138" s="122">
        <f>IFERROR(__xludf.DUMMYFUNCTION("""COMPUTED_VALUE"""),98.05)</f>
        <v>98.05</v>
      </c>
      <c r="F138" s="122">
        <f>IFERROR(__xludf.DUMMYFUNCTION("""COMPUTED_VALUE"""),98.05)</f>
        <v>98.05</v>
      </c>
      <c r="G138" s="122">
        <f>IFERROR(__xludf.DUMMYFUNCTION("""COMPUTED_VALUE"""),104.89)</f>
        <v>104.89</v>
      </c>
      <c r="H138" s="122">
        <f>IFERROR(__xludf.DUMMYFUNCTION("""COMPUTED_VALUE"""),104.89)</f>
        <v>104.89</v>
      </c>
      <c r="I138" s="122">
        <f>IFERROR(__xludf.DUMMYFUNCTION("""COMPUTED_VALUE"""),6.84)</f>
        <v>6.84</v>
      </c>
      <c r="J138" s="131">
        <f>IFERROR(__xludf.DUMMYFUNCTION("""COMPUTED_VALUE"""),46187.706655092596)</f>
        <v>46187.70666</v>
      </c>
    </row>
    <row r="139">
      <c r="A139" s="122">
        <f>IFERROR(__xludf.DUMMYFUNCTION("""COMPUTED_VALUE"""),1876.0)</f>
        <v>1876</v>
      </c>
      <c r="B139" s="122" t="str">
        <f>IFERROR(__xludf.DUMMYFUNCTION("""COMPUTED_VALUE"""),"Lena")</f>
        <v>Lena</v>
      </c>
      <c r="C139" s="122" t="str">
        <f>IFERROR(__xludf.DUMMYFUNCTION("""COMPUTED_VALUE"""),"BOOK")</f>
        <v>BOOK</v>
      </c>
      <c r="D139" s="122">
        <f>IFERROR(__xludf.DUMMYFUNCTION("""COMPUTED_VALUE"""),5.0)</f>
        <v>5</v>
      </c>
      <c r="E139" s="122">
        <f>IFERROR(__xludf.DUMMYFUNCTION("""COMPUTED_VALUE"""),85.07)</f>
        <v>85.07</v>
      </c>
      <c r="F139" s="122">
        <f>IFERROR(__xludf.DUMMYFUNCTION("""COMPUTED_VALUE"""),425.35)</f>
        <v>425.35</v>
      </c>
      <c r="G139" s="122">
        <f>IFERROR(__xludf.DUMMYFUNCTION("""COMPUTED_VALUE"""),121.84)</f>
        <v>121.84</v>
      </c>
      <c r="H139" s="122">
        <f>IFERROR(__xludf.DUMMYFUNCTION("""COMPUTED_VALUE"""),609.2)</f>
        <v>609.2</v>
      </c>
      <c r="I139" s="122">
        <f>IFERROR(__xludf.DUMMYFUNCTION("""COMPUTED_VALUE"""),183.85)</f>
        <v>183.85</v>
      </c>
      <c r="J139" s="131">
        <f>IFERROR(__xludf.DUMMYFUNCTION("""COMPUTED_VALUE"""),46187.706655092596)</f>
        <v>46187.70666</v>
      </c>
    </row>
    <row r="140">
      <c r="A140" s="122">
        <f>IFERROR(__xludf.DUMMYFUNCTION("""COMPUTED_VALUE"""),1876.0)</f>
        <v>1876</v>
      </c>
      <c r="B140" s="122" t="str">
        <f>IFERROR(__xludf.DUMMYFUNCTION("""COMPUTED_VALUE"""),"Lena")</f>
        <v>Lena</v>
      </c>
      <c r="C140" s="122" t="str">
        <f>IFERROR(__xludf.DUMMYFUNCTION("""COMPUTED_VALUE"""),"VEGI")</f>
        <v>VEGI</v>
      </c>
      <c r="D140" s="122">
        <f>IFERROR(__xludf.DUMMYFUNCTION("""COMPUTED_VALUE"""),5.0)</f>
        <v>5</v>
      </c>
      <c r="E140" s="122">
        <f>IFERROR(__xludf.DUMMYFUNCTION("""COMPUTED_VALUE"""),78.69)</f>
        <v>78.69</v>
      </c>
      <c r="F140" s="122">
        <f>IFERROR(__xludf.DUMMYFUNCTION("""COMPUTED_VALUE"""),393.45)</f>
        <v>393.45</v>
      </c>
      <c r="G140" s="122">
        <f>IFERROR(__xludf.DUMMYFUNCTION("""COMPUTED_VALUE"""),76.36)</f>
        <v>76.36</v>
      </c>
      <c r="H140" s="122">
        <f>IFERROR(__xludf.DUMMYFUNCTION("""COMPUTED_VALUE"""),381.8)</f>
        <v>381.8</v>
      </c>
      <c r="I140" s="122">
        <f>IFERROR(__xludf.DUMMYFUNCTION("""COMPUTED_VALUE"""),-11.65)</f>
        <v>-11.65</v>
      </c>
      <c r="J140" s="131">
        <f>IFERROR(__xludf.DUMMYFUNCTION("""COMPUTED_VALUE"""),46187.706655092596)</f>
        <v>46187.70666</v>
      </c>
    </row>
    <row r="141">
      <c r="A141" s="122">
        <f>IFERROR(__xludf.DUMMYFUNCTION("""COMPUTED_VALUE"""),1876.0)</f>
        <v>1876</v>
      </c>
      <c r="B141" s="122" t="str">
        <f>IFERROR(__xludf.DUMMYFUNCTION("""COMPUTED_VALUE"""),"Lena")</f>
        <v>Lena</v>
      </c>
      <c r="C141" s="122" t="str">
        <f>IFERROR(__xludf.DUMMYFUNCTION("""COMPUTED_VALUE"""),"CAND")</f>
        <v>CAND</v>
      </c>
      <c r="D141" s="122">
        <f>IFERROR(__xludf.DUMMYFUNCTION("""COMPUTED_VALUE"""),2.0)</f>
        <v>2</v>
      </c>
      <c r="E141" s="122">
        <f>IFERROR(__xludf.DUMMYFUNCTION("""COMPUTED_VALUE"""),65.67)</f>
        <v>65.67</v>
      </c>
      <c r="F141" s="122">
        <f>IFERROR(__xludf.DUMMYFUNCTION("""COMPUTED_VALUE"""),131.34)</f>
        <v>131.34</v>
      </c>
      <c r="G141" s="122">
        <f>IFERROR(__xludf.DUMMYFUNCTION("""COMPUTED_VALUE"""),77.29)</f>
        <v>77.29</v>
      </c>
      <c r="H141" s="122">
        <f>IFERROR(__xludf.DUMMYFUNCTION("""COMPUTED_VALUE"""),154.58)</f>
        <v>154.58</v>
      </c>
      <c r="I141" s="122">
        <f>IFERROR(__xludf.DUMMYFUNCTION("""COMPUTED_VALUE"""),23.24)</f>
        <v>23.24</v>
      </c>
      <c r="J141" s="131">
        <f>IFERROR(__xludf.DUMMYFUNCTION("""COMPUTED_VALUE"""),46187.706655092596)</f>
        <v>46187.70666</v>
      </c>
    </row>
    <row r="142">
      <c r="A142" s="122">
        <f>IFERROR(__xludf.DUMMYFUNCTION("""COMPUTED_VALUE"""),1876.0)</f>
        <v>1876</v>
      </c>
      <c r="B142" s="122" t="str">
        <f>IFERROR(__xludf.DUMMYFUNCTION("""COMPUTED_VALUE"""),"Lena")</f>
        <v>Lena</v>
      </c>
      <c r="C142" s="122" t="str">
        <f>IFERROR(__xludf.DUMMYFUNCTION("""COMPUTED_VALUE"""),"COLA")</f>
        <v>COLA</v>
      </c>
      <c r="D142" s="122">
        <f>IFERROR(__xludf.DUMMYFUNCTION("""COMPUTED_VALUE"""),2.0)</f>
        <v>2</v>
      </c>
      <c r="E142" s="122">
        <f>IFERROR(__xludf.DUMMYFUNCTION("""COMPUTED_VALUE"""),108.26)</f>
        <v>108.26</v>
      </c>
      <c r="F142" s="122">
        <f>IFERROR(__xludf.DUMMYFUNCTION("""COMPUTED_VALUE"""),216.52)</f>
        <v>216.52</v>
      </c>
      <c r="G142" s="122">
        <f>IFERROR(__xludf.DUMMYFUNCTION("""COMPUTED_VALUE"""),116.04)</f>
        <v>116.04</v>
      </c>
      <c r="H142" s="122">
        <f>IFERROR(__xludf.DUMMYFUNCTION("""COMPUTED_VALUE"""),232.08)</f>
        <v>232.08</v>
      </c>
      <c r="I142" s="122">
        <f>IFERROR(__xludf.DUMMYFUNCTION("""COMPUTED_VALUE"""),15.56)</f>
        <v>15.56</v>
      </c>
      <c r="J142" s="131">
        <f>IFERROR(__xludf.DUMMYFUNCTION("""COMPUTED_VALUE"""),46187.706655092596)</f>
        <v>46187.70666</v>
      </c>
    </row>
    <row r="143">
      <c r="A143" s="122">
        <f>IFERROR(__xludf.DUMMYFUNCTION("""COMPUTED_VALUE"""),6665.0)</f>
        <v>6665</v>
      </c>
      <c r="B143" s="122" t="str">
        <f>IFERROR(__xludf.DUMMYFUNCTION("""COMPUTED_VALUE"""),"Jinwoo")</f>
        <v>Jinwoo</v>
      </c>
      <c r="C143" s="122" t="str">
        <f>IFERROR(__xludf.DUMMYFUNCTION("""COMPUTED_VALUE"""),"INSR")</f>
        <v>INSR</v>
      </c>
      <c r="D143" s="122">
        <f>IFERROR(__xludf.DUMMYFUNCTION("""COMPUTED_VALUE"""),50.0)</f>
        <v>50</v>
      </c>
      <c r="E143" s="122">
        <f>IFERROR(__xludf.DUMMYFUNCTION("""COMPUTED_VALUE"""),132.58)</f>
        <v>132.58</v>
      </c>
      <c r="F143" s="122">
        <f>IFERROR(__xludf.DUMMYFUNCTION("""COMPUTED_VALUE"""),6629.0)</f>
        <v>6629</v>
      </c>
      <c r="G143" s="122">
        <f>IFERROR(__xludf.DUMMYFUNCTION("""COMPUTED_VALUE"""),158.44)</f>
        <v>158.44</v>
      </c>
      <c r="H143" s="122">
        <f>IFERROR(__xludf.DUMMYFUNCTION("""COMPUTED_VALUE"""),7922.0)</f>
        <v>7922</v>
      </c>
      <c r="I143" s="122">
        <f>IFERROR(__xludf.DUMMYFUNCTION("""COMPUTED_VALUE"""),1293.0)</f>
        <v>1293</v>
      </c>
      <c r="J143" s="131">
        <f>IFERROR(__xludf.DUMMYFUNCTION("""COMPUTED_VALUE"""),46187.706655092596)</f>
        <v>46187.70666</v>
      </c>
    </row>
    <row r="144">
      <c r="A144" s="122">
        <f>IFERROR(__xludf.DUMMYFUNCTION("""COMPUTED_VALUE"""),8989.0)</f>
        <v>8989</v>
      </c>
      <c r="B144" s="122" t="str">
        <f>IFERROR(__xludf.DUMMYFUNCTION("""COMPUTED_VALUE"""),"Oakley")</f>
        <v>Oakley</v>
      </c>
      <c r="C144" s="122" t="str">
        <f>IFERROR(__xludf.DUMMYFUNCTION("""COMPUTED_VALUE"""),"MEME")</f>
        <v>MEME</v>
      </c>
      <c r="D144" s="122">
        <f>IFERROR(__xludf.DUMMYFUNCTION("""COMPUTED_VALUE"""),5.0)</f>
        <v>5</v>
      </c>
      <c r="E144" s="122">
        <f>IFERROR(__xludf.DUMMYFUNCTION("""COMPUTED_VALUE"""),62.77)</f>
        <v>62.77</v>
      </c>
      <c r="F144" s="122">
        <f>IFERROR(__xludf.DUMMYFUNCTION("""COMPUTED_VALUE"""),313.85)</f>
        <v>313.85</v>
      </c>
      <c r="G144" s="122">
        <f>IFERROR(__xludf.DUMMYFUNCTION("""COMPUTED_VALUE"""),74.38)</f>
        <v>74.38</v>
      </c>
      <c r="H144" s="122">
        <f>IFERROR(__xludf.DUMMYFUNCTION("""COMPUTED_VALUE"""),371.9)</f>
        <v>371.9</v>
      </c>
      <c r="I144" s="122">
        <f>IFERROR(__xludf.DUMMYFUNCTION("""COMPUTED_VALUE"""),58.05)</f>
        <v>58.05</v>
      </c>
      <c r="J144" s="131">
        <f>IFERROR(__xludf.DUMMYFUNCTION("""COMPUTED_VALUE"""),46187.706655092596)</f>
        <v>46187.70666</v>
      </c>
    </row>
    <row r="145">
      <c r="A145" s="122">
        <f>IFERROR(__xludf.DUMMYFUNCTION("""COMPUTED_VALUE"""),1876.0)</f>
        <v>1876</v>
      </c>
      <c r="B145" s="122" t="str">
        <f>IFERROR(__xludf.DUMMYFUNCTION("""COMPUTED_VALUE"""),"Lena")</f>
        <v>Lena</v>
      </c>
      <c r="C145" s="122" t="str">
        <f>IFERROR(__xludf.DUMMYFUNCTION("""COMPUTED_VALUE"""),"BIKE")</f>
        <v>BIKE</v>
      </c>
      <c r="D145" s="122">
        <f>IFERROR(__xludf.DUMMYFUNCTION("""COMPUTED_VALUE"""),4.0)</f>
        <v>4</v>
      </c>
      <c r="E145" s="122">
        <f>IFERROR(__xludf.DUMMYFUNCTION("""COMPUTED_VALUE"""),58.52)</f>
        <v>58.52</v>
      </c>
      <c r="F145" s="122">
        <f>IFERROR(__xludf.DUMMYFUNCTION("""COMPUTED_VALUE"""),234.08)</f>
        <v>234.08</v>
      </c>
      <c r="G145" s="122">
        <f>IFERROR(__xludf.DUMMYFUNCTION("""COMPUTED_VALUE"""),50.24)</f>
        <v>50.24</v>
      </c>
      <c r="H145" s="122">
        <f>IFERROR(__xludf.DUMMYFUNCTION("""COMPUTED_VALUE"""),200.96)</f>
        <v>200.96</v>
      </c>
      <c r="I145" s="122">
        <f>IFERROR(__xludf.DUMMYFUNCTION("""COMPUTED_VALUE"""),-33.12)</f>
        <v>-33.12</v>
      </c>
      <c r="J145" s="131">
        <f>IFERROR(__xludf.DUMMYFUNCTION("""COMPUTED_VALUE"""),46187.706655092596)</f>
        <v>46187.70666</v>
      </c>
    </row>
    <row r="146">
      <c r="A146" s="122">
        <f>IFERROR(__xludf.DUMMYFUNCTION("""COMPUTED_VALUE"""),4673.0)</f>
        <v>4673</v>
      </c>
      <c r="B146" s="122" t="str">
        <f>IFERROR(__xludf.DUMMYFUNCTION("""COMPUTED_VALUE"""),"Ellie")</f>
        <v>Ellie</v>
      </c>
      <c r="C146" s="122" t="str">
        <f>IFERROR(__xludf.DUMMYFUNCTION("""COMPUTED_VALUE"""),"CARE")</f>
        <v>CARE</v>
      </c>
      <c r="D146" s="122">
        <f>IFERROR(__xludf.DUMMYFUNCTION("""COMPUTED_VALUE"""),3.0)</f>
        <v>3</v>
      </c>
      <c r="E146" s="122">
        <f>IFERROR(__xludf.DUMMYFUNCTION("""COMPUTED_VALUE"""),136.82)</f>
        <v>136.82</v>
      </c>
      <c r="F146" s="122">
        <f>IFERROR(__xludf.DUMMYFUNCTION("""COMPUTED_VALUE"""),410.46)</f>
        <v>410.46</v>
      </c>
      <c r="G146" s="122">
        <f>IFERROR(__xludf.DUMMYFUNCTION("""COMPUTED_VALUE"""),187.5)</f>
        <v>187.5</v>
      </c>
      <c r="H146" s="122">
        <f>IFERROR(__xludf.DUMMYFUNCTION("""COMPUTED_VALUE"""),562.5)</f>
        <v>562.5</v>
      </c>
      <c r="I146" s="122">
        <f>IFERROR(__xludf.DUMMYFUNCTION("""COMPUTED_VALUE"""),152.04)</f>
        <v>152.04</v>
      </c>
      <c r="J146" s="131">
        <f>IFERROR(__xludf.DUMMYFUNCTION("""COMPUTED_VALUE"""),46187.706655092596)</f>
        <v>46187.70666</v>
      </c>
    </row>
    <row r="147">
      <c r="A147" s="122">
        <f>IFERROR(__xludf.DUMMYFUNCTION("""COMPUTED_VALUE"""),6665.0)</f>
        <v>6665</v>
      </c>
      <c r="B147" s="122" t="str">
        <f>IFERROR(__xludf.DUMMYFUNCTION("""COMPUTED_VALUE"""),"Jinwoo")</f>
        <v>Jinwoo</v>
      </c>
      <c r="C147" s="122" t="str">
        <f>IFERROR(__xludf.DUMMYFUNCTION("""COMPUTED_VALUE"""),"RAMN")</f>
        <v>RAMN</v>
      </c>
      <c r="D147" s="122">
        <f>IFERROR(__xludf.DUMMYFUNCTION("""COMPUTED_VALUE"""),10.0)</f>
        <v>10</v>
      </c>
      <c r="E147" s="122">
        <f>IFERROR(__xludf.DUMMYFUNCTION("""COMPUTED_VALUE"""),82.0)</f>
        <v>82</v>
      </c>
      <c r="F147" s="122">
        <f>IFERROR(__xludf.DUMMYFUNCTION("""COMPUTED_VALUE"""),820.0)</f>
        <v>820</v>
      </c>
      <c r="G147" s="122">
        <f>IFERROR(__xludf.DUMMYFUNCTION("""COMPUTED_VALUE"""),58.7)</f>
        <v>58.7</v>
      </c>
      <c r="H147" s="122">
        <f>IFERROR(__xludf.DUMMYFUNCTION("""COMPUTED_VALUE"""),587.0)</f>
        <v>587</v>
      </c>
      <c r="I147" s="122">
        <f>IFERROR(__xludf.DUMMYFUNCTION("""COMPUTED_VALUE"""),-233.0)</f>
        <v>-233</v>
      </c>
      <c r="J147" s="131">
        <f>IFERROR(__xludf.DUMMYFUNCTION("""COMPUTED_VALUE"""),46187.706655092596)</f>
        <v>46187.70666</v>
      </c>
    </row>
    <row r="148">
      <c r="A148" s="122">
        <f>IFERROR(__xludf.DUMMYFUNCTION("""COMPUTED_VALUE"""),1876.0)</f>
        <v>1876</v>
      </c>
      <c r="B148" s="122" t="str">
        <f>IFERROR(__xludf.DUMMYFUNCTION("""COMPUTED_VALUE"""),"Lena")</f>
        <v>Lena</v>
      </c>
      <c r="C148" s="122" t="str">
        <f>IFERROR(__xludf.DUMMYFUNCTION("""COMPUTED_VALUE"""),"GAME")</f>
        <v>GAME</v>
      </c>
      <c r="D148" s="122">
        <f>IFERROR(__xludf.DUMMYFUNCTION("""COMPUTED_VALUE"""),5.0)</f>
        <v>5</v>
      </c>
      <c r="E148" s="122">
        <f>IFERROR(__xludf.DUMMYFUNCTION("""COMPUTED_VALUE"""),87.31)</f>
        <v>87.31</v>
      </c>
      <c r="F148" s="122">
        <f>IFERROR(__xludf.DUMMYFUNCTION("""COMPUTED_VALUE"""),436.55)</f>
        <v>436.55</v>
      </c>
      <c r="G148" s="122">
        <f>IFERROR(__xludf.DUMMYFUNCTION("""COMPUTED_VALUE"""),103.19)</f>
        <v>103.19</v>
      </c>
      <c r="H148" s="122">
        <f>IFERROR(__xludf.DUMMYFUNCTION("""COMPUTED_VALUE"""),515.95)</f>
        <v>515.95</v>
      </c>
      <c r="I148" s="122">
        <f>IFERROR(__xludf.DUMMYFUNCTION("""COMPUTED_VALUE"""),79.4)</f>
        <v>79.4</v>
      </c>
      <c r="J148" s="131">
        <f>IFERROR(__xludf.DUMMYFUNCTION("""COMPUTED_VALUE"""),46187.706655092596)</f>
        <v>46187.70666</v>
      </c>
    </row>
    <row r="149">
      <c r="A149" s="122">
        <f>IFERROR(__xludf.DUMMYFUNCTION("""COMPUTED_VALUE"""),7773.0)</f>
        <v>7773</v>
      </c>
      <c r="B149" s="122" t="str">
        <f>IFERROR(__xludf.DUMMYFUNCTION("""COMPUTED_VALUE"""),"Gahyeon Yoon")</f>
        <v>Gahyeon Yoon</v>
      </c>
      <c r="C149" s="122" t="str">
        <f>IFERROR(__xludf.DUMMYFUNCTION("""COMPUTED_VALUE"""),"WIND")</f>
        <v>WIND</v>
      </c>
      <c r="D149" s="122">
        <f>IFERROR(__xludf.DUMMYFUNCTION("""COMPUTED_VALUE"""),2.0)</f>
        <v>2</v>
      </c>
      <c r="E149" s="122">
        <f>IFERROR(__xludf.DUMMYFUNCTION("""COMPUTED_VALUE"""),103.15)</f>
        <v>103.15</v>
      </c>
      <c r="F149" s="122">
        <f>IFERROR(__xludf.DUMMYFUNCTION("""COMPUTED_VALUE"""),206.3)</f>
        <v>206.3</v>
      </c>
      <c r="G149" s="122">
        <f>IFERROR(__xludf.DUMMYFUNCTION("""COMPUTED_VALUE"""),86.82)</f>
        <v>86.82</v>
      </c>
      <c r="H149" s="122">
        <f>IFERROR(__xludf.DUMMYFUNCTION("""COMPUTED_VALUE"""),173.64)</f>
        <v>173.64</v>
      </c>
      <c r="I149" s="122">
        <f>IFERROR(__xludf.DUMMYFUNCTION("""COMPUTED_VALUE"""),-32.66)</f>
        <v>-32.66</v>
      </c>
      <c r="J149" s="131">
        <f>IFERROR(__xludf.DUMMYFUNCTION("""COMPUTED_VALUE"""),46187.706655092596)</f>
        <v>46187.70666</v>
      </c>
    </row>
    <row r="150">
      <c r="A150" s="122">
        <f>IFERROR(__xludf.DUMMYFUNCTION("""COMPUTED_VALUE"""),7773.0)</f>
        <v>7773</v>
      </c>
      <c r="B150" s="122" t="str">
        <f>IFERROR(__xludf.DUMMYFUNCTION("""COMPUTED_VALUE"""),"Gahyeon Yoon")</f>
        <v>Gahyeon Yoon</v>
      </c>
      <c r="C150" s="122" t="str">
        <f>IFERROR(__xludf.DUMMYFUNCTION("""COMPUTED_VALUE"""),"IDOL")</f>
        <v>IDOL</v>
      </c>
      <c r="D150" s="122">
        <f>IFERROR(__xludf.DUMMYFUNCTION("""COMPUTED_VALUE"""),1.0)</f>
        <v>1</v>
      </c>
      <c r="E150" s="122">
        <f>IFERROR(__xludf.DUMMYFUNCTION("""COMPUTED_VALUE"""),204.82)</f>
        <v>204.82</v>
      </c>
      <c r="F150" s="122">
        <f>IFERROR(__xludf.DUMMYFUNCTION("""COMPUTED_VALUE"""),204.82)</f>
        <v>204.82</v>
      </c>
      <c r="G150" s="122">
        <f>IFERROR(__xludf.DUMMYFUNCTION("""COMPUTED_VALUE"""),188.23)</f>
        <v>188.23</v>
      </c>
      <c r="H150" s="122">
        <f>IFERROR(__xludf.DUMMYFUNCTION("""COMPUTED_VALUE"""),188.23)</f>
        <v>188.23</v>
      </c>
      <c r="I150" s="122">
        <f>IFERROR(__xludf.DUMMYFUNCTION("""COMPUTED_VALUE"""),-16.59)</f>
        <v>-16.59</v>
      </c>
      <c r="J150" s="131">
        <f>IFERROR(__xludf.DUMMYFUNCTION("""COMPUTED_VALUE"""),46187.706655092596)</f>
        <v>46187.70666</v>
      </c>
    </row>
    <row r="151">
      <c r="A151" s="122">
        <f>IFERROR(__xludf.DUMMYFUNCTION("""COMPUTED_VALUE"""),1064.0)</f>
        <v>1064</v>
      </c>
      <c r="B151" s="122" t="str">
        <f>IFERROR(__xludf.DUMMYFUNCTION("""COMPUTED_VALUE"""),"Christine Kim")</f>
        <v>Christine Kim</v>
      </c>
      <c r="C151" s="122" t="str">
        <f>IFERROR(__xludf.DUMMYFUNCTION("""COMPUTED_VALUE"""),"MOVI")</f>
        <v>MOVI</v>
      </c>
      <c r="D151" s="122">
        <f>IFERROR(__xludf.DUMMYFUNCTION("""COMPUTED_VALUE"""),1.0)</f>
        <v>1</v>
      </c>
      <c r="E151" s="122">
        <f>IFERROR(__xludf.DUMMYFUNCTION("""COMPUTED_VALUE"""),79.52)</f>
        <v>79.52</v>
      </c>
      <c r="F151" s="122">
        <f>IFERROR(__xludf.DUMMYFUNCTION("""COMPUTED_VALUE"""),79.52)</f>
        <v>79.52</v>
      </c>
      <c r="G151" s="122">
        <f>IFERROR(__xludf.DUMMYFUNCTION("""COMPUTED_VALUE"""),84.08)</f>
        <v>84.08</v>
      </c>
      <c r="H151" s="122">
        <f>IFERROR(__xludf.DUMMYFUNCTION("""COMPUTED_VALUE"""),84.08)</f>
        <v>84.08</v>
      </c>
      <c r="I151" s="122">
        <f>IFERROR(__xludf.DUMMYFUNCTION("""COMPUTED_VALUE"""),4.56)</f>
        <v>4.56</v>
      </c>
      <c r="J151" s="131">
        <f>IFERROR(__xludf.DUMMYFUNCTION("""COMPUTED_VALUE"""),46187.706655092596)</f>
        <v>46187.70666</v>
      </c>
    </row>
    <row r="152">
      <c r="A152" s="122">
        <f>IFERROR(__xludf.DUMMYFUNCTION("""COMPUTED_VALUE"""),1064.0)</f>
        <v>1064</v>
      </c>
      <c r="B152" s="122" t="str">
        <f>IFERROR(__xludf.DUMMYFUNCTION("""COMPUTED_VALUE"""),"Christine Kim")</f>
        <v>Christine Kim</v>
      </c>
      <c r="C152" s="122" t="str">
        <f>IFERROR(__xludf.DUMMYFUNCTION("""COMPUTED_VALUE"""),"MUSC")</f>
        <v>MUSC</v>
      </c>
      <c r="D152" s="122">
        <f>IFERROR(__xludf.DUMMYFUNCTION("""COMPUTED_VALUE"""),4.0)</f>
        <v>4</v>
      </c>
      <c r="E152" s="122">
        <f>IFERROR(__xludf.DUMMYFUNCTION("""COMPUTED_VALUE"""),97.03)</f>
        <v>97.03</v>
      </c>
      <c r="F152" s="122">
        <f>IFERROR(__xludf.DUMMYFUNCTION("""COMPUTED_VALUE"""),388.12)</f>
        <v>388.12</v>
      </c>
      <c r="G152" s="122">
        <f>IFERROR(__xludf.DUMMYFUNCTION("""COMPUTED_VALUE"""),104.89)</f>
        <v>104.89</v>
      </c>
      <c r="H152" s="122">
        <f>IFERROR(__xludf.DUMMYFUNCTION("""COMPUTED_VALUE"""),419.56)</f>
        <v>419.56</v>
      </c>
      <c r="I152" s="122">
        <f>IFERROR(__xludf.DUMMYFUNCTION("""COMPUTED_VALUE"""),31.44)</f>
        <v>31.44</v>
      </c>
      <c r="J152" s="131">
        <f>IFERROR(__xludf.DUMMYFUNCTION("""COMPUTED_VALUE"""),46187.706655092596)</f>
        <v>46187.70666</v>
      </c>
    </row>
    <row r="153">
      <c r="A153" s="122">
        <f>IFERROR(__xludf.DUMMYFUNCTION("""COMPUTED_VALUE"""),7773.0)</f>
        <v>7773</v>
      </c>
      <c r="B153" s="122" t="str">
        <f>IFERROR(__xludf.DUMMYFUNCTION("""COMPUTED_VALUE"""),"Gahyeon Yoon")</f>
        <v>Gahyeon Yoon</v>
      </c>
      <c r="C153" s="122" t="str">
        <f>IFERROR(__xludf.DUMMYFUNCTION("""COMPUTED_VALUE"""),"GAME")</f>
        <v>GAME</v>
      </c>
      <c r="D153" s="122">
        <f>IFERROR(__xludf.DUMMYFUNCTION("""COMPUTED_VALUE"""),2.0)</f>
        <v>2</v>
      </c>
      <c r="E153" s="122">
        <f>IFERROR(__xludf.DUMMYFUNCTION("""COMPUTED_VALUE"""),86.68)</f>
        <v>86.68</v>
      </c>
      <c r="F153" s="122">
        <f>IFERROR(__xludf.DUMMYFUNCTION("""COMPUTED_VALUE"""),173.36)</f>
        <v>173.36</v>
      </c>
      <c r="G153" s="122">
        <f>IFERROR(__xludf.DUMMYFUNCTION("""COMPUTED_VALUE"""),103.19)</f>
        <v>103.19</v>
      </c>
      <c r="H153" s="122">
        <f>IFERROR(__xludf.DUMMYFUNCTION("""COMPUTED_VALUE"""),206.38)</f>
        <v>206.38</v>
      </c>
      <c r="I153" s="122">
        <f>IFERROR(__xludf.DUMMYFUNCTION("""COMPUTED_VALUE"""),33.02)</f>
        <v>33.02</v>
      </c>
      <c r="J153" s="131">
        <f>IFERROR(__xludf.DUMMYFUNCTION("""COMPUTED_VALUE"""),46187.706655092596)</f>
        <v>46187.70666</v>
      </c>
    </row>
    <row r="154">
      <c r="A154" s="122">
        <f>IFERROR(__xludf.DUMMYFUNCTION("""COMPUTED_VALUE"""),7415.0)</f>
        <v>7415</v>
      </c>
      <c r="B154" s="122" t="str">
        <f>IFERROR(__xludf.DUMMYFUNCTION("""COMPUTED_VALUE"""),"Sarah Park")</f>
        <v>Sarah Park</v>
      </c>
      <c r="C154" s="122" t="str">
        <f>IFERROR(__xludf.DUMMYFUNCTION("""COMPUTED_VALUE"""),"SHIP")</f>
        <v>SHIP</v>
      </c>
      <c r="D154" s="122">
        <f>IFERROR(__xludf.DUMMYFUNCTION("""COMPUTED_VALUE"""),2.0)</f>
        <v>2</v>
      </c>
      <c r="E154" s="122">
        <f>IFERROR(__xludf.DUMMYFUNCTION("""COMPUTED_VALUE"""),105.74)</f>
        <v>105.74</v>
      </c>
      <c r="F154" s="122">
        <f>IFERROR(__xludf.DUMMYFUNCTION("""COMPUTED_VALUE"""),211.48)</f>
        <v>211.48</v>
      </c>
      <c r="G154" s="122">
        <f>IFERROR(__xludf.DUMMYFUNCTION("""COMPUTED_VALUE"""),132.25)</f>
        <v>132.25</v>
      </c>
      <c r="H154" s="122">
        <f>IFERROR(__xludf.DUMMYFUNCTION("""COMPUTED_VALUE"""),264.5)</f>
        <v>264.5</v>
      </c>
      <c r="I154" s="122">
        <f>IFERROR(__xludf.DUMMYFUNCTION("""COMPUTED_VALUE"""),53.02)</f>
        <v>53.02</v>
      </c>
      <c r="J154" s="131">
        <f>IFERROR(__xludf.DUMMYFUNCTION("""COMPUTED_VALUE"""),46187.706655092596)</f>
        <v>46187.70666</v>
      </c>
    </row>
    <row r="155">
      <c r="A155" s="122">
        <f>IFERROR(__xludf.DUMMYFUNCTION("""COMPUTED_VALUE"""),1064.0)</f>
        <v>1064</v>
      </c>
      <c r="B155" s="122" t="str">
        <f>IFERROR(__xludf.DUMMYFUNCTION("""COMPUTED_VALUE"""),"Christine Kim")</f>
        <v>Christine Kim</v>
      </c>
      <c r="C155" s="122" t="str">
        <f>IFERROR(__xludf.DUMMYFUNCTION("""COMPUTED_VALUE"""),"BAGG")</f>
        <v>BAGG</v>
      </c>
      <c r="D155" s="122">
        <f>IFERROR(__xludf.DUMMYFUNCTION("""COMPUTED_VALUE"""),5.0)</f>
        <v>5</v>
      </c>
      <c r="E155" s="122">
        <f>IFERROR(__xludf.DUMMYFUNCTION("""COMPUTED_VALUE"""),186.08)</f>
        <v>186.08</v>
      </c>
      <c r="F155" s="122">
        <f>IFERROR(__xludf.DUMMYFUNCTION("""COMPUTED_VALUE"""),930.4)</f>
        <v>930.4</v>
      </c>
      <c r="G155" s="122">
        <f>IFERROR(__xludf.DUMMYFUNCTION("""COMPUTED_VALUE"""),281.53)</f>
        <v>281.53</v>
      </c>
      <c r="H155" s="122">
        <f>IFERROR(__xludf.DUMMYFUNCTION("""COMPUTED_VALUE"""),1407.65)</f>
        <v>1407.65</v>
      </c>
      <c r="I155" s="122">
        <f>IFERROR(__xludf.DUMMYFUNCTION("""COMPUTED_VALUE"""),477.25)</f>
        <v>477.25</v>
      </c>
      <c r="J155" s="131">
        <f>IFERROR(__xludf.DUMMYFUNCTION("""COMPUTED_VALUE"""),46187.706655092596)</f>
        <v>46187.70666</v>
      </c>
    </row>
    <row r="156">
      <c r="A156" s="122">
        <f>IFERROR(__xludf.DUMMYFUNCTION("""COMPUTED_VALUE"""),7415.0)</f>
        <v>7415</v>
      </c>
      <c r="B156" s="122" t="str">
        <f>IFERROR(__xludf.DUMMYFUNCTION("""COMPUTED_VALUE"""),"Sarah Park")</f>
        <v>Sarah Park</v>
      </c>
      <c r="C156" s="122" t="str">
        <f>IFERROR(__xludf.DUMMYFUNCTION("""COMPUTED_VALUE"""),"MEDX")</f>
        <v>MEDX</v>
      </c>
      <c r="D156" s="122">
        <f>IFERROR(__xludf.DUMMYFUNCTION("""COMPUTED_VALUE"""),2.0)</f>
        <v>2</v>
      </c>
      <c r="E156" s="122">
        <f>IFERROR(__xludf.DUMMYFUNCTION("""COMPUTED_VALUE"""),132.11)</f>
        <v>132.11</v>
      </c>
      <c r="F156" s="122">
        <f>IFERROR(__xludf.DUMMYFUNCTION("""COMPUTED_VALUE"""),264.22)</f>
        <v>264.22</v>
      </c>
      <c r="G156" s="122">
        <f>IFERROR(__xludf.DUMMYFUNCTION("""COMPUTED_VALUE"""),139.38)</f>
        <v>139.38</v>
      </c>
      <c r="H156" s="122">
        <f>IFERROR(__xludf.DUMMYFUNCTION("""COMPUTED_VALUE"""),278.76)</f>
        <v>278.76</v>
      </c>
      <c r="I156" s="122">
        <f>IFERROR(__xludf.DUMMYFUNCTION("""COMPUTED_VALUE"""),14.54)</f>
        <v>14.54</v>
      </c>
      <c r="J156" s="131">
        <f>IFERROR(__xludf.DUMMYFUNCTION("""COMPUTED_VALUE"""),46187.706655092596)</f>
        <v>46187.70666</v>
      </c>
    </row>
    <row r="157">
      <c r="A157" s="122">
        <f>IFERROR(__xludf.DUMMYFUNCTION("""COMPUTED_VALUE"""),7773.0)</f>
        <v>7773</v>
      </c>
      <c r="B157" s="122" t="str">
        <f>IFERROR(__xludf.DUMMYFUNCTION("""COMPUTED_VALUE"""),"Gahyeon Yoon")</f>
        <v>Gahyeon Yoon</v>
      </c>
      <c r="C157" s="122" t="str">
        <f>IFERROR(__xludf.DUMMYFUNCTION("""COMPUTED_VALUE"""),"TIRE")</f>
        <v>TIRE</v>
      </c>
      <c r="D157" s="122">
        <f>IFERROR(__xludf.DUMMYFUNCTION("""COMPUTED_VALUE"""),2.0)</f>
        <v>2</v>
      </c>
      <c r="E157" s="122">
        <f>IFERROR(__xludf.DUMMYFUNCTION("""COMPUTED_VALUE"""),67.32)</f>
        <v>67.32</v>
      </c>
      <c r="F157" s="122">
        <f>IFERROR(__xludf.DUMMYFUNCTION("""COMPUTED_VALUE"""),134.64)</f>
        <v>134.64</v>
      </c>
      <c r="G157" s="122">
        <f>IFERROR(__xludf.DUMMYFUNCTION("""COMPUTED_VALUE"""),99.77)</f>
        <v>99.77</v>
      </c>
      <c r="H157" s="122">
        <f>IFERROR(__xludf.DUMMYFUNCTION("""COMPUTED_VALUE"""),199.54)</f>
        <v>199.54</v>
      </c>
      <c r="I157" s="122">
        <f>IFERROR(__xludf.DUMMYFUNCTION("""COMPUTED_VALUE"""),64.9)</f>
        <v>64.9</v>
      </c>
      <c r="J157" s="131">
        <f>IFERROR(__xludf.DUMMYFUNCTION("""COMPUTED_VALUE"""),46187.706655092596)</f>
        <v>46187.70666</v>
      </c>
    </row>
    <row r="158">
      <c r="A158" s="122">
        <f>IFERROR(__xludf.DUMMYFUNCTION("""COMPUTED_VALUE"""),7773.0)</f>
        <v>7773</v>
      </c>
      <c r="B158" s="122" t="str">
        <f>IFERROR(__xludf.DUMMYFUNCTION("""COMPUTED_VALUE"""),"Gahyeon Yoon")</f>
        <v>Gahyeon Yoon</v>
      </c>
      <c r="C158" s="122" t="str">
        <f>IFERROR(__xludf.DUMMYFUNCTION("""COMPUTED_VALUE"""),"GLAM")</f>
        <v>GLAM</v>
      </c>
      <c r="D158" s="122">
        <f>IFERROR(__xludf.DUMMYFUNCTION("""COMPUTED_VALUE"""),2.0)</f>
        <v>2</v>
      </c>
      <c r="E158" s="122">
        <f>IFERROR(__xludf.DUMMYFUNCTION("""COMPUTED_VALUE"""),86.74)</f>
        <v>86.74</v>
      </c>
      <c r="F158" s="122">
        <f>IFERROR(__xludf.DUMMYFUNCTION("""COMPUTED_VALUE"""),173.48)</f>
        <v>173.48</v>
      </c>
      <c r="G158" s="122">
        <f>IFERROR(__xludf.DUMMYFUNCTION("""COMPUTED_VALUE"""),113.44)</f>
        <v>113.44</v>
      </c>
      <c r="H158" s="122">
        <f>IFERROR(__xludf.DUMMYFUNCTION("""COMPUTED_VALUE"""),226.88)</f>
        <v>226.88</v>
      </c>
      <c r="I158" s="122">
        <f>IFERROR(__xludf.DUMMYFUNCTION("""COMPUTED_VALUE"""),53.4)</f>
        <v>53.4</v>
      </c>
      <c r="J158" s="131">
        <f>IFERROR(__xludf.DUMMYFUNCTION("""COMPUTED_VALUE"""),46187.706655092596)</f>
        <v>46187.70666</v>
      </c>
    </row>
    <row r="159">
      <c r="A159" s="122">
        <f>IFERROR(__xludf.DUMMYFUNCTION("""COMPUTED_VALUE"""),1876.0)</f>
        <v>1876</v>
      </c>
      <c r="B159" s="122" t="str">
        <f>IFERROR(__xludf.DUMMYFUNCTION("""COMPUTED_VALUE"""),"Lena")</f>
        <v>Lena</v>
      </c>
      <c r="C159" s="122" t="str">
        <f>IFERROR(__xludf.DUMMYFUNCTION("""COMPUTED_VALUE"""),"TECH")</f>
        <v>TECH</v>
      </c>
      <c r="D159" s="122">
        <f>IFERROR(__xludf.DUMMYFUNCTION("""COMPUTED_VALUE"""),20.0)</f>
        <v>20</v>
      </c>
      <c r="E159" s="122">
        <f>IFERROR(__xludf.DUMMYFUNCTION("""COMPUTED_VALUE"""),227.62)</f>
        <v>227.62</v>
      </c>
      <c r="F159" s="122">
        <f>IFERROR(__xludf.DUMMYFUNCTION("""COMPUTED_VALUE"""),4552.4)</f>
        <v>4552.4</v>
      </c>
      <c r="G159" s="122">
        <f>IFERROR(__xludf.DUMMYFUNCTION("""COMPUTED_VALUE"""),246.95)</f>
        <v>246.95</v>
      </c>
      <c r="H159" s="122">
        <f>IFERROR(__xludf.DUMMYFUNCTION("""COMPUTED_VALUE"""),4939.0)</f>
        <v>4939</v>
      </c>
      <c r="I159" s="122">
        <f>IFERROR(__xludf.DUMMYFUNCTION("""COMPUTED_VALUE"""),386.6)</f>
        <v>386.6</v>
      </c>
      <c r="J159" s="131">
        <f>IFERROR(__xludf.DUMMYFUNCTION("""COMPUTED_VALUE"""),46187.706655092596)</f>
        <v>46187.70666</v>
      </c>
    </row>
    <row r="160">
      <c r="A160" s="122">
        <f>IFERROR(__xludf.DUMMYFUNCTION("""COMPUTED_VALUE"""),1876.0)</f>
        <v>1876</v>
      </c>
      <c r="B160" s="122" t="str">
        <f>IFERROR(__xludf.DUMMYFUNCTION("""COMPUTED_VALUE"""),"Lena")</f>
        <v>Lena</v>
      </c>
      <c r="C160" s="122" t="str">
        <f>IFERROR(__xludf.DUMMYFUNCTION("""COMPUTED_VALUE"""),"IDOL")</f>
        <v>IDOL</v>
      </c>
      <c r="D160" s="122">
        <f>IFERROR(__xludf.DUMMYFUNCTION("""COMPUTED_VALUE"""),8.0)</f>
        <v>8</v>
      </c>
      <c r="E160" s="122">
        <f>IFERROR(__xludf.DUMMYFUNCTION("""COMPUTED_VALUE"""),212.88)</f>
        <v>212.88</v>
      </c>
      <c r="F160" s="122">
        <f>IFERROR(__xludf.DUMMYFUNCTION("""COMPUTED_VALUE"""),1703.04)</f>
        <v>1703.04</v>
      </c>
      <c r="G160" s="122">
        <f>IFERROR(__xludf.DUMMYFUNCTION("""COMPUTED_VALUE"""),188.23)</f>
        <v>188.23</v>
      </c>
      <c r="H160" s="122">
        <f>IFERROR(__xludf.DUMMYFUNCTION("""COMPUTED_VALUE"""),1505.84)</f>
        <v>1505.84</v>
      </c>
      <c r="I160" s="122">
        <f>IFERROR(__xludf.DUMMYFUNCTION("""COMPUTED_VALUE"""),-197.2)</f>
        <v>-197.2</v>
      </c>
      <c r="J160" s="131">
        <f>IFERROR(__xludf.DUMMYFUNCTION("""COMPUTED_VALUE"""),46187.706655092596)</f>
        <v>46187.70666</v>
      </c>
    </row>
    <row r="161">
      <c r="A161" s="122">
        <f>IFERROR(__xludf.DUMMYFUNCTION("""COMPUTED_VALUE"""),7260.0)</f>
        <v>7260</v>
      </c>
      <c r="B161" s="122" t="str">
        <f>IFERROR(__xludf.DUMMYFUNCTION("""COMPUTED_VALUE"""),"Soyeon Park")</f>
        <v>Soyeon Park</v>
      </c>
      <c r="C161" s="122" t="str">
        <f>IFERROR(__xludf.DUMMYFUNCTION("""COMPUTED_VALUE"""),"GLAM")</f>
        <v>GLAM</v>
      </c>
      <c r="D161" s="122">
        <f>IFERROR(__xludf.DUMMYFUNCTION("""COMPUTED_VALUE"""),1.0)</f>
        <v>1</v>
      </c>
      <c r="E161" s="122">
        <f>IFERROR(__xludf.DUMMYFUNCTION("""COMPUTED_VALUE"""),87.32)</f>
        <v>87.32</v>
      </c>
      <c r="F161" s="122">
        <f>IFERROR(__xludf.DUMMYFUNCTION("""COMPUTED_VALUE"""),87.32)</f>
        <v>87.32</v>
      </c>
      <c r="G161" s="122">
        <f>IFERROR(__xludf.DUMMYFUNCTION("""COMPUTED_VALUE"""),113.44)</f>
        <v>113.44</v>
      </c>
      <c r="H161" s="122">
        <f>IFERROR(__xludf.DUMMYFUNCTION("""COMPUTED_VALUE"""),113.44)</f>
        <v>113.44</v>
      </c>
      <c r="I161" s="122">
        <f>IFERROR(__xludf.DUMMYFUNCTION("""COMPUTED_VALUE"""),26.12)</f>
        <v>26.12</v>
      </c>
      <c r="J161" s="131">
        <f>IFERROR(__xludf.DUMMYFUNCTION("""COMPUTED_VALUE"""),46187.706655092596)</f>
        <v>46187.70666</v>
      </c>
    </row>
    <row r="162">
      <c r="A162" s="122">
        <f>IFERROR(__xludf.DUMMYFUNCTION("""COMPUTED_VALUE"""),2640.0)</f>
        <v>2640</v>
      </c>
      <c r="B162" s="122" t="str">
        <f>IFERROR(__xludf.DUMMYFUNCTION("""COMPUTED_VALUE"""),"Sean Park")</f>
        <v>Sean Park</v>
      </c>
      <c r="C162" s="122" t="str">
        <f>IFERROR(__xludf.DUMMYFUNCTION("""COMPUTED_VALUE"""),"INSR")</f>
        <v>INSR</v>
      </c>
      <c r="D162" s="122">
        <f>IFERROR(__xludf.DUMMYFUNCTION("""COMPUTED_VALUE"""),1.0)</f>
        <v>1</v>
      </c>
      <c r="E162" s="122">
        <f>IFERROR(__xludf.DUMMYFUNCTION("""COMPUTED_VALUE"""),134.76)</f>
        <v>134.76</v>
      </c>
      <c r="F162" s="122">
        <f>IFERROR(__xludf.DUMMYFUNCTION("""COMPUTED_VALUE"""),134.76)</f>
        <v>134.76</v>
      </c>
      <c r="G162" s="122">
        <f>IFERROR(__xludf.DUMMYFUNCTION("""COMPUTED_VALUE"""),158.44)</f>
        <v>158.44</v>
      </c>
      <c r="H162" s="122">
        <f>IFERROR(__xludf.DUMMYFUNCTION("""COMPUTED_VALUE"""),158.44)</f>
        <v>158.44</v>
      </c>
      <c r="I162" s="122">
        <f>IFERROR(__xludf.DUMMYFUNCTION("""COMPUTED_VALUE"""),23.68)</f>
        <v>23.68</v>
      </c>
      <c r="J162" s="131">
        <f>IFERROR(__xludf.DUMMYFUNCTION("""COMPUTED_VALUE"""),46187.706655092596)</f>
        <v>46187.70666</v>
      </c>
    </row>
    <row r="163">
      <c r="A163" s="122">
        <f>IFERROR(__xludf.DUMMYFUNCTION("""COMPUTED_VALUE"""),7260.0)</f>
        <v>7260</v>
      </c>
      <c r="B163" s="122" t="str">
        <f>IFERROR(__xludf.DUMMYFUNCTION("""COMPUTED_VALUE"""),"Soyeon Park")</f>
        <v>Soyeon Park</v>
      </c>
      <c r="C163" s="122" t="str">
        <f>IFERROR(__xludf.DUMMYFUNCTION("""COMPUTED_VALUE"""),"IDOL")</f>
        <v>IDOL</v>
      </c>
      <c r="D163" s="122">
        <f>IFERROR(__xludf.DUMMYFUNCTION("""COMPUTED_VALUE"""),1.0)</f>
        <v>1</v>
      </c>
      <c r="E163" s="122">
        <f>IFERROR(__xludf.DUMMYFUNCTION("""COMPUTED_VALUE"""),214.81)</f>
        <v>214.81</v>
      </c>
      <c r="F163" s="122">
        <f>IFERROR(__xludf.DUMMYFUNCTION("""COMPUTED_VALUE"""),214.81)</f>
        <v>214.81</v>
      </c>
      <c r="G163" s="122">
        <f>IFERROR(__xludf.DUMMYFUNCTION("""COMPUTED_VALUE"""),188.23)</f>
        <v>188.23</v>
      </c>
      <c r="H163" s="122">
        <f>IFERROR(__xludf.DUMMYFUNCTION("""COMPUTED_VALUE"""),188.23)</f>
        <v>188.23</v>
      </c>
      <c r="I163" s="122">
        <f>IFERROR(__xludf.DUMMYFUNCTION("""COMPUTED_VALUE"""),-26.58)</f>
        <v>-26.58</v>
      </c>
      <c r="J163" s="131">
        <f>IFERROR(__xludf.DUMMYFUNCTION("""COMPUTED_VALUE"""),46187.706655092596)</f>
        <v>46187.70666</v>
      </c>
    </row>
    <row r="164">
      <c r="A164" s="122">
        <f>IFERROR(__xludf.DUMMYFUNCTION("""COMPUTED_VALUE"""),1535.0)</f>
        <v>1535</v>
      </c>
      <c r="B164" s="122" t="str">
        <f>IFERROR(__xludf.DUMMYFUNCTION("""COMPUTED_VALUE"""),"Dano Kim")</f>
        <v>Dano Kim</v>
      </c>
      <c r="C164" s="122" t="str">
        <f>IFERROR(__xludf.DUMMYFUNCTION("""COMPUTED_VALUE"""),"CRED")</f>
        <v>CRED</v>
      </c>
      <c r="D164" s="122">
        <f>IFERROR(__xludf.DUMMYFUNCTION("""COMPUTED_VALUE"""),1.0)</f>
        <v>1</v>
      </c>
      <c r="E164" s="122">
        <f>IFERROR(__xludf.DUMMYFUNCTION("""COMPUTED_VALUE"""),77.52)</f>
        <v>77.52</v>
      </c>
      <c r="F164" s="122">
        <f>IFERROR(__xludf.DUMMYFUNCTION("""COMPUTED_VALUE"""),77.52)</f>
        <v>77.52</v>
      </c>
      <c r="G164" s="122">
        <f>IFERROR(__xludf.DUMMYFUNCTION("""COMPUTED_VALUE"""),67.35)</f>
        <v>67.35</v>
      </c>
      <c r="H164" s="122">
        <f>IFERROR(__xludf.DUMMYFUNCTION("""COMPUTED_VALUE"""),67.35)</f>
        <v>67.35</v>
      </c>
      <c r="I164" s="122">
        <f>IFERROR(__xludf.DUMMYFUNCTION("""COMPUTED_VALUE"""),-10.17)</f>
        <v>-10.17</v>
      </c>
      <c r="J164" s="131">
        <f>IFERROR(__xludf.DUMMYFUNCTION("""COMPUTED_VALUE"""),46187.706655092596)</f>
        <v>46187.70666</v>
      </c>
    </row>
    <row r="165">
      <c r="A165" s="122">
        <f>IFERROR(__xludf.DUMMYFUNCTION("""COMPUTED_VALUE"""),8054.0)</f>
        <v>8054</v>
      </c>
      <c r="B165" s="122" t="str">
        <f>IFERROR(__xludf.DUMMYFUNCTION("""COMPUTED_VALUE"""),"Sophie Lee")</f>
        <v>Sophie Lee</v>
      </c>
      <c r="C165" s="122" t="str">
        <f>IFERROR(__xludf.DUMMYFUNCTION("""COMPUTED_VALUE"""),"BAGG")</f>
        <v>BAGG</v>
      </c>
      <c r="D165" s="122">
        <f>IFERROR(__xludf.DUMMYFUNCTION("""COMPUTED_VALUE"""),1.0)</f>
        <v>1</v>
      </c>
      <c r="E165" s="122">
        <f>IFERROR(__xludf.DUMMYFUNCTION("""COMPUTED_VALUE"""),188.34)</f>
        <v>188.34</v>
      </c>
      <c r="F165" s="122">
        <f>IFERROR(__xludf.DUMMYFUNCTION("""COMPUTED_VALUE"""),188.34)</f>
        <v>188.34</v>
      </c>
      <c r="G165" s="122">
        <f>IFERROR(__xludf.DUMMYFUNCTION("""COMPUTED_VALUE"""),281.53)</f>
        <v>281.53</v>
      </c>
      <c r="H165" s="122">
        <f>IFERROR(__xludf.DUMMYFUNCTION("""COMPUTED_VALUE"""),281.53)</f>
        <v>281.53</v>
      </c>
      <c r="I165" s="122">
        <f>IFERROR(__xludf.DUMMYFUNCTION("""COMPUTED_VALUE"""),93.19)</f>
        <v>93.19</v>
      </c>
      <c r="J165" s="131">
        <f>IFERROR(__xludf.DUMMYFUNCTION("""COMPUTED_VALUE"""),46187.706655092596)</f>
        <v>46187.70666</v>
      </c>
    </row>
    <row r="166">
      <c r="A166" s="122">
        <f>IFERROR(__xludf.DUMMYFUNCTION("""COMPUTED_VALUE"""),8673.0)</f>
        <v>8673</v>
      </c>
      <c r="B166" s="122" t="str">
        <f>IFERROR(__xludf.DUMMYFUNCTION("""COMPUTED_VALUE"""),"Minjung Lee")</f>
        <v>Minjung Lee</v>
      </c>
      <c r="C166" s="122" t="str">
        <f>IFERROR(__xludf.DUMMYFUNCTION("""COMPUTED_VALUE"""),"TECH")</f>
        <v>TECH</v>
      </c>
      <c r="D166" s="122">
        <f>IFERROR(__xludf.DUMMYFUNCTION("""COMPUTED_VALUE"""),1.0)</f>
        <v>1</v>
      </c>
      <c r="E166" s="122">
        <f>IFERROR(__xludf.DUMMYFUNCTION("""COMPUTED_VALUE"""),232.5)</f>
        <v>232.5</v>
      </c>
      <c r="F166" s="122">
        <f>IFERROR(__xludf.DUMMYFUNCTION("""COMPUTED_VALUE"""),232.5)</f>
        <v>232.5</v>
      </c>
      <c r="G166" s="122">
        <f>IFERROR(__xludf.DUMMYFUNCTION("""COMPUTED_VALUE"""),246.95)</f>
        <v>246.95</v>
      </c>
      <c r="H166" s="122">
        <f>IFERROR(__xludf.DUMMYFUNCTION("""COMPUTED_VALUE"""),246.95)</f>
        <v>246.95</v>
      </c>
      <c r="I166" s="122">
        <f>IFERROR(__xludf.DUMMYFUNCTION("""COMPUTED_VALUE"""),14.45)</f>
        <v>14.45</v>
      </c>
      <c r="J166" s="131">
        <f>IFERROR(__xludf.DUMMYFUNCTION("""COMPUTED_VALUE"""),46187.706655092596)</f>
        <v>46187.70666</v>
      </c>
    </row>
    <row r="167">
      <c r="A167" s="122">
        <f>IFERROR(__xludf.DUMMYFUNCTION("""COMPUTED_VALUE"""),6119.0)</f>
        <v>6119</v>
      </c>
      <c r="B167" s="122" t="str">
        <f>IFERROR(__xludf.DUMMYFUNCTION("""COMPUTED_VALUE"""),"Hannah Lee")</f>
        <v>Hannah Lee</v>
      </c>
      <c r="C167" s="122" t="str">
        <f>IFERROR(__xludf.DUMMYFUNCTION("""COMPUTED_VALUE"""),"GAME")</f>
        <v>GAME</v>
      </c>
      <c r="D167" s="122">
        <f>IFERROR(__xludf.DUMMYFUNCTION("""COMPUTED_VALUE"""),1.0)</f>
        <v>1</v>
      </c>
      <c r="E167" s="122">
        <f>IFERROR(__xludf.DUMMYFUNCTION("""COMPUTED_VALUE"""),86.24)</f>
        <v>86.24</v>
      </c>
      <c r="F167" s="122">
        <f>IFERROR(__xludf.DUMMYFUNCTION("""COMPUTED_VALUE"""),86.24)</f>
        <v>86.24</v>
      </c>
      <c r="G167" s="122">
        <f>IFERROR(__xludf.DUMMYFUNCTION("""COMPUTED_VALUE"""),103.19)</f>
        <v>103.19</v>
      </c>
      <c r="H167" s="122">
        <f>IFERROR(__xludf.DUMMYFUNCTION("""COMPUTED_VALUE"""),103.19)</f>
        <v>103.19</v>
      </c>
      <c r="I167" s="122">
        <f>IFERROR(__xludf.DUMMYFUNCTION("""COMPUTED_VALUE"""),16.95)</f>
        <v>16.95</v>
      </c>
      <c r="J167" s="131">
        <f>IFERROR(__xludf.DUMMYFUNCTION("""COMPUTED_VALUE"""),46187.706655092596)</f>
        <v>46187.70666</v>
      </c>
    </row>
    <row r="168">
      <c r="A168" s="122">
        <f>IFERROR(__xludf.DUMMYFUNCTION("""COMPUTED_VALUE"""),8054.0)</f>
        <v>8054</v>
      </c>
      <c r="B168" s="122" t="str">
        <f>IFERROR(__xludf.DUMMYFUNCTION("""COMPUTED_VALUE"""),"Sophie Lee")</f>
        <v>Sophie Lee</v>
      </c>
      <c r="C168" s="122" t="str">
        <f>IFERROR(__xludf.DUMMYFUNCTION("""COMPUTED_VALUE"""),"DENT")</f>
        <v>DENT</v>
      </c>
      <c r="D168" s="122">
        <f>IFERROR(__xludf.DUMMYFUNCTION("""COMPUTED_VALUE"""),1.0)</f>
        <v>1</v>
      </c>
      <c r="E168" s="122">
        <f>IFERROR(__xludf.DUMMYFUNCTION("""COMPUTED_VALUE"""),78.09)</f>
        <v>78.09</v>
      </c>
      <c r="F168" s="122">
        <f>IFERROR(__xludf.DUMMYFUNCTION("""COMPUTED_VALUE"""),78.09)</f>
        <v>78.09</v>
      </c>
      <c r="G168" s="122">
        <f>IFERROR(__xludf.DUMMYFUNCTION("""COMPUTED_VALUE"""),100.2)</f>
        <v>100.2</v>
      </c>
      <c r="H168" s="122">
        <f>IFERROR(__xludf.DUMMYFUNCTION("""COMPUTED_VALUE"""),100.2)</f>
        <v>100.2</v>
      </c>
      <c r="I168" s="122">
        <f>IFERROR(__xludf.DUMMYFUNCTION("""COMPUTED_VALUE"""),22.11)</f>
        <v>22.11</v>
      </c>
      <c r="J168" s="131">
        <f>IFERROR(__xludf.DUMMYFUNCTION("""COMPUTED_VALUE"""),46187.706655092596)</f>
        <v>46187.70666</v>
      </c>
    </row>
    <row r="169">
      <c r="A169" s="122">
        <f>IFERROR(__xludf.DUMMYFUNCTION("""COMPUTED_VALUE"""),7920.0)</f>
        <v>7920</v>
      </c>
      <c r="B169" s="122" t="str">
        <f>IFERROR(__xludf.DUMMYFUNCTION("""COMPUTED_VALUE"""),"Alyssa Shin")</f>
        <v>Alyssa Shin</v>
      </c>
      <c r="C169" s="122" t="str">
        <f>IFERROR(__xludf.DUMMYFUNCTION("""COMPUTED_VALUE"""),"CHIP")</f>
        <v>CHIP</v>
      </c>
      <c r="D169" s="122">
        <f>IFERROR(__xludf.DUMMYFUNCTION("""COMPUTED_VALUE"""),2.0)</f>
        <v>2</v>
      </c>
      <c r="E169" s="122">
        <f>IFERROR(__xludf.DUMMYFUNCTION("""COMPUTED_VALUE"""),67.67)</f>
        <v>67.67</v>
      </c>
      <c r="F169" s="122">
        <f>IFERROR(__xludf.DUMMYFUNCTION("""COMPUTED_VALUE"""),135.34)</f>
        <v>135.34</v>
      </c>
      <c r="G169" s="122">
        <f>IFERROR(__xludf.DUMMYFUNCTION("""COMPUTED_VALUE"""),81.96)</f>
        <v>81.96</v>
      </c>
      <c r="H169" s="122">
        <f>IFERROR(__xludf.DUMMYFUNCTION("""COMPUTED_VALUE"""),163.92)</f>
        <v>163.92</v>
      </c>
      <c r="I169" s="122">
        <f>IFERROR(__xludf.DUMMYFUNCTION("""COMPUTED_VALUE"""),28.58)</f>
        <v>28.58</v>
      </c>
      <c r="J169" s="131">
        <f>IFERROR(__xludf.DUMMYFUNCTION("""COMPUTED_VALUE"""),46187.706655092596)</f>
        <v>46187.70666</v>
      </c>
    </row>
    <row r="170">
      <c r="A170" s="122">
        <f>IFERROR(__xludf.DUMMYFUNCTION("""COMPUTED_VALUE"""),7920.0)</f>
        <v>7920</v>
      </c>
      <c r="B170" s="122" t="str">
        <f>IFERROR(__xludf.DUMMYFUNCTION("""COMPUTED_VALUE"""),"Alyssa Shin")</f>
        <v>Alyssa Shin</v>
      </c>
      <c r="C170" s="122" t="str">
        <f>IFERROR(__xludf.DUMMYFUNCTION("""COMPUTED_VALUE"""),"COLA")</f>
        <v>COLA</v>
      </c>
      <c r="D170" s="122">
        <f>IFERROR(__xludf.DUMMYFUNCTION("""COMPUTED_VALUE"""),1.0)</f>
        <v>1</v>
      </c>
      <c r="E170" s="122">
        <f>IFERROR(__xludf.DUMMYFUNCTION("""COMPUTED_VALUE"""),110.08)</f>
        <v>110.08</v>
      </c>
      <c r="F170" s="122">
        <f>IFERROR(__xludf.DUMMYFUNCTION("""COMPUTED_VALUE"""),110.08)</f>
        <v>110.08</v>
      </c>
      <c r="G170" s="122">
        <f>IFERROR(__xludf.DUMMYFUNCTION("""COMPUTED_VALUE"""),116.04)</f>
        <v>116.04</v>
      </c>
      <c r="H170" s="122">
        <f>IFERROR(__xludf.DUMMYFUNCTION("""COMPUTED_VALUE"""),116.04)</f>
        <v>116.04</v>
      </c>
      <c r="I170" s="122">
        <f>IFERROR(__xludf.DUMMYFUNCTION("""COMPUTED_VALUE"""),5.96)</f>
        <v>5.96</v>
      </c>
      <c r="J170" s="131">
        <f>IFERROR(__xludf.DUMMYFUNCTION("""COMPUTED_VALUE"""),46187.706655092596)</f>
        <v>46187.70666</v>
      </c>
    </row>
    <row r="171">
      <c r="A171" s="122">
        <f>IFERROR(__xludf.DUMMYFUNCTION("""COMPUTED_VALUE"""),8043.0)</f>
        <v>8043</v>
      </c>
      <c r="B171" s="122" t="str">
        <f>IFERROR(__xludf.DUMMYFUNCTION("""COMPUTED_VALUE"""),"Jayden Hong")</f>
        <v>Jayden Hong</v>
      </c>
      <c r="C171" s="122" t="str">
        <f>IFERROR(__xludf.DUMMYFUNCTION("""COMPUTED_VALUE"""),"CAND")</f>
        <v>CAND</v>
      </c>
      <c r="D171" s="122">
        <f>IFERROR(__xludf.DUMMYFUNCTION("""COMPUTED_VALUE"""),4.0)</f>
        <v>4</v>
      </c>
      <c r="E171" s="122">
        <f>IFERROR(__xludf.DUMMYFUNCTION("""COMPUTED_VALUE"""),69.6)</f>
        <v>69.6</v>
      </c>
      <c r="F171" s="122">
        <f>IFERROR(__xludf.DUMMYFUNCTION("""COMPUTED_VALUE"""),278.4)</f>
        <v>278.4</v>
      </c>
      <c r="G171" s="122">
        <f>IFERROR(__xludf.DUMMYFUNCTION("""COMPUTED_VALUE"""),77.29)</f>
        <v>77.29</v>
      </c>
      <c r="H171" s="122">
        <f>IFERROR(__xludf.DUMMYFUNCTION("""COMPUTED_VALUE"""),309.16)</f>
        <v>309.16</v>
      </c>
      <c r="I171" s="122">
        <f>IFERROR(__xludf.DUMMYFUNCTION("""COMPUTED_VALUE"""),30.76)</f>
        <v>30.76</v>
      </c>
      <c r="J171" s="131">
        <f>IFERROR(__xludf.DUMMYFUNCTION("""COMPUTED_VALUE"""),46187.706655092596)</f>
        <v>46187.70666</v>
      </c>
    </row>
    <row r="172">
      <c r="A172" s="122">
        <f>IFERROR(__xludf.DUMMYFUNCTION("""COMPUTED_VALUE"""),5420.0)</f>
        <v>5420</v>
      </c>
      <c r="B172" s="122" t="str">
        <f>IFERROR(__xludf.DUMMYFUNCTION("""COMPUTED_VALUE"""),"Daniel Park")</f>
        <v>Daniel Park</v>
      </c>
      <c r="C172" s="122" t="str">
        <f>IFERROR(__xludf.DUMMYFUNCTION("""COMPUTED_VALUE"""),"BAGG")</f>
        <v>BAGG</v>
      </c>
      <c r="D172" s="122">
        <f>IFERROR(__xludf.DUMMYFUNCTION("""COMPUTED_VALUE"""),1.0)</f>
        <v>1</v>
      </c>
      <c r="E172" s="122">
        <f>IFERROR(__xludf.DUMMYFUNCTION("""COMPUTED_VALUE"""),184.68)</f>
        <v>184.68</v>
      </c>
      <c r="F172" s="122">
        <f>IFERROR(__xludf.DUMMYFUNCTION("""COMPUTED_VALUE"""),184.68)</f>
        <v>184.68</v>
      </c>
      <c r="G172" s="122">
        <f>IFERROR(__xludf.DUMMYFUNCTION("""COMPUTED_VALUE"""),281.53)</f>
        <v>281.53</v>
      </c>
      <c r="H172" s="122">
        <f>IFERROR(__xludf.DUMMYFUNCTION("""COMPUTED_VALUE"""),281.53)</f>
        <v>281.53</v>
      </c>
      <c r="I172" s="122">
        <f>IFERROR(__xludf.DUMMYFUNCTION("""COMPUTED_VALUE"""),96.85)</f>
        <v>96.85</v>
      </c>
      <c r="J172" s="131">
        <f>IFERROR(__xludf.DUMMYFUNCTION("""COMPUTED_VALUE"""),46187.706655092596)</f>
        <v>46187.70666</v>
      </c>
    </row>
    <row r="173">
      <c r="A173" s="122">
        <f>IFERROR(__xludf.DUMMYFUNCTION("""COMPUTED_VALUE"""),6742.0)</f>
        <v>6742</v>
      </c>
      <c r="B173" s="122" t="str">
        <f>IFERROR(__xludf.DUMMYFUNCTION("""COMPUTED_VALUE"""),"Raoul Kim")</f>
        <v>Raoul Kim</v>
      </c>
      <c r="C173" s="122" t="str">
        <f>IFERROR(__xludf.DUMMYFUNCTION("""COMPUTED_VALUE"""),"BYTE")</f>
        <v>BYTE</v>
      </c>
      <c r="D173" s="122">
        <f>IFERROR(__xludf.DUMMYFUNCTION("""COMPUTED_VALUE"""),3.0)</f>
        <v>3</v>
      </c>
      <c r="E173" s="122">
        <f>IFERROR(__xludf.DUMMYFUNCTION("""COMPUTED_VALUE"""),128.5)</f>
        <v>128.5</v>
      </c>
      <c r="F173" s="122">
        <f>IFERROR(__xludf.DUMMYFUNCTION("""COMPUTED_VALUE"""),385.5)</f>
        <v>385.5</v>
      </c>
      <c r="G173" s="122">
        <f>IFERROR(__xludf.DUMMYFUNCTION("""COMPUTED_VALUE"""),110.27)</f>
        <v>110.27</v>
      </c>
      <c r="H173" s="122">
        <f>IFERROR(__xludf.DUMMYFUNCTION("""COMPUTED_VALUE"""),330.81)</f>
        <v>330.81</v>
      </c>
      <c r="I173" s="122">
        <f>IFERROR(__xludf.DUMMYFUNCTION("""COMPUTED_VALUE"""),-54.69)</f>
        <v>-54.69</v>
      </c>
      <c r="J173" s="131">
        <f>IFERROR(__xludf.DUMMYFUNCTION("""COMPUTED_VALUE"""),46187.706655092596)</f>
        <v>46187.70666</v>
      </c>
    </row>
    <row r="174">
      <c r="A174" s="122">
        <f>IFERROR(__xludf.DUMMYFUNCTION("""COMPUTED_VALUE"""),7465.0)</f>
        <v>7465</v>
      </c>
      <c r="B174" s="122" t="str">
        <f>IFERROR(__xludf.DUMMYFUNCTION("""COMPUTED_VALUE"""),"Dorothy Park")</f>
        <v>Dorothy Park</v>
      </c>
      <c r="C174" s="122" t="str">
        <f>IFERROR(__xludf.DUMMYFUNCTION("""COMPUTED_VALUE"""),"RAMN")</f>
        <v>RAMN</v>
      </c>
      <c r="D174" s="122">
        <f>IFERROR(__xludf.DUMMYFUNCTION("""COMPUTED_VALUE"""),1.0)</f>
        <v>1</v>
      </c>
      <c r="E174" s="122">
        <f>IFERROR(__xludf.DUMMYFUNCTION("""COMPUTED_VALUE"""),82.63)</f>
        <v>82.63</v>
      </c>
      <c r="F174" s="122">
        <f>IFERROR(__xludf.DUMMYFUNCTION("""COMPUTED_VALUE"""),82.63)</f>
        <v>82.63</v>
      </c>
      <c r="G174" s="122">
        <f>IFERROR(__xludf.DUMMYFUNCTION("""COMPUTED_VALUE"""),58.7)</f>
        <v>58.7</v>
      </c>
      <c r="H174" s="122">
        <f>IFERROR(__xludf.DUMMYFUNCTION("""COMPUTED_VALUE"""),58.7)</f>
        <v>58.7</v>
      </c>
      <c r="I174" s="122">
        <f>IFERROR(__xludf.DUMMYFUNCTION("""COMPUTED_VALUE"""),-23.93)</f>
        <v>-23.93</v>
      </c>
      <c r="J174" s="131">
        <f>IFERROR(__xludf.DUMMYFUNCTION("""COMPUTED_VALUE"""),46187.706655092596)</f>
        <v>46187.70666</v>
      </c>
    </row>
    <row r="175">
      <c r="A175" s="122">
        <f>IFERROR(__xludf.DUMMYFUNCTION("""COMPUTED_VALUE"""),7260.0)</f>
        <v>7260</v>
      </c>
      <c r="B175" s="122" t="str">
        <f>IFERROR(__xludf.DUMMYFUNCTION("""COMPUTED_VALUE"""),"Soyeon Park")</f>
        <v>Soyeon Park</v>
      </c>
      <c r="C175" s="122" t="str">
        <f>IFERROR(__xludf.DUMMYFUNCTION("""COMPUTED_VALUE"""),"BOND")</f>
        <v>BOND</v>
      </c>
      <c r="D175" s="122">
        <f>IFERROR(__xludf.DUMMYFUNCTION("""COMPUTED_VALUE"""),1.0)</f>
        <v>1</v>
      </c>
      <c r="E175" s="122">
        <f>IFERROR(__xludf.DUMMYFUNCTION("""COMPUTED_VALUE"""),93.47)</f>
        <v>93.47</v>
      </c>
      <c r="F175" s="122">
        <f>IFERROR(__xludf.DUMMYFUNCTION("""COMPUTED_VALUE"""),93.47)</f>
        <v>93.47</v>
      </c>
      <c r="G175" s="122">
        <f>IFERROR(__xludf.DUMMYFUNCTION("""COMPUTED_VALUE"""),108.25)</f>
        <v>108.25</v>
      </c>
      <c r="H175" s="122">
        <f>IFERROR(__xludf.DUMMYFUNCTION("""COMPUTED_VALUE"""),108.25)</f>
        <v>108.25</v>
      </c>
      <c r="I175" s="122">
        <f>IFERROR(__xludf.DUMMYFUNCTION("""COMPUTED_VALUE"""),14.78)</f>
        <v>14.78</v>
      </c>
      <c r="J175" s="131">
        <f>IFERROR(__xludf.DUMMYFUNCTION("""COMPUTED_VALUE"""),46187.706655092596)</f>
        <v>46187.70666</v>
      </c>
    </row>
    <row r="176">
      <c r="A176" s="122">
        <f>IFERROR(__xludf.DUMMYFUNCTION("""COMPUTED_VALUE"""),3553.0)</f>
        <v>3553</v>
      </c>
      <c r="B176" s="122" t="str">
        <f>IFERROR(__xludf.DUMMYFUNCTION("""COMPUTED_VALUE"""),"Ryan Kim")</f>
        <v>Ryan Kim</v>
      </c>
      <c r="C176" s="122" t="str">
        <f>IFERROR(__xludf.DUMMYFUNCTION("""COMPUTED_VALUE"""),"MEME")</f>
        <v>MEME</v>
      </c>
      <c r="D176" s="122">
        <f>IFERROR(__xludf.DUMMYFUNCTION("""COMPUTED_VALUE"""),30.0)</f>
        <v>30</v>
      </c>
      <c r="E176" s="122">
        <f>IFERROR(__xludf.DUMMYFUNCTION("""COMPUTED_VALUE"""),66.69)</f>
        <v>66.69</v>
      </c>
      <c r="F176" s="122">
        <f>IFERROR(__xludf.DUMMYFUNCTION("""COMPUTED_VALUE"""),2000.7)</f>
        <v>2000.7</v>
      </c>
      <c r="G176" s="122">
        <f>IFERROR(__xludf.DUMMYFUNCTION("""COMPUTED_VALUE"""),74.38)</f>
        <v>74.38</v>
      </c>
      <c r="H176" s="122">
        <f>IFERROR(__xludf.DUMMYFUNCTION("""COMPUTED_VALUE"""),2231.4)</f>
        <v>2231.4</v>
      </c>
      <c r="I176" s="122">
        <f>IFERROR(__xludf.DUMMYFUNCTION("""COMPUTED_VALUE"""),230.7)</f>
        <v>230.7</v>
      </c>
      <c r="J176" s="131">
        <f>IFERROR(__xludf.DUMMYFUNCTION("""COMPUTED_VALUE"""),46187.706655092596)</f>
        <v>46187.70666</v>
      </c>
    </row>
    <row r="177">
      <c r="A177" s="122">
        <f>IFERROR(__xludf.DUMMYFUNCTION("""COMPUTED_VALUE"""),676768.0)</f>
        <v>676768</v>
      </c>
      <c r="B177" s="122" t="str">
        <f>IFERROR(__xludf.DUMMYFUNCTION("""COMPUTED_VALUE"""),"Jayden Yun")</f>
        <v>Jayden Yun</v>
      </c>
      <c r="C177" s="122" t="str">
        <f>IFERROR(__xludf.DUMMYFUNCTION("""COMPUTED_VALUE"""),"RAMN")</f>
        <v>RAMN</v>
      </c>
      <c r="D177" s="122">
        <f>IFERROR(__xludf.DUMMYFUNCTION("""COMPUTED_VALUE"""),1.0)</f>
        <v>1</v>
      </c>
      <c r="E177" s="122">
        <f>IFERROR(__xludf.DUMMYFUNCTION("""COMPUTED_VALUE"""),83.13)</f>
        <v>83.13</v>
      </c>
      <c r="F177" s="122">
        <f>IFERROR(__xludf.DUMMYFUNCTION("""COMPUTED_VALUE"""),83.13)</f>
        <v>83.13</v>
      </c>
      <c r="G177" s="122">
        <f>IFERROR(__xludf.DUMMYFUNCTION("""COMPUTED_VALUE"""),58.7)</f>
        <v>58.7</v>
      </c>
      <c r="H177" s="122">
        <f>IFERROR(__xludf.DUMMYFUNCTION("""COMPUTED_VALUE"""),58.7)</f>
        <v>58.7</v>
      </c>
      <c r="I177" s="122">
        <f>IFERROR(__xludf.DUMMYFUNCTION("""COMPUTED_VALUE"""),-24.43)</f>
        <v>-24.43</v>
      </c>
      <c r="J177" s="131">
        <f>IFERROR(__xludf.DUMMYFUNCTION("""COMPUTED_VALUE"""),46187.706655092596)</f>
        <v>46187.70666</v>
      </c>
    </row>
    <row r="178">
      <c r="A178" s="122" t="str">
        <f>IFERROR(__xludf.DUMMYFUNCTION("""COMPUTED_VALUE"""),"1e3e1410")</f>
        <v>1e3e1410</v>
      </c>
      <c r="B178" s="122" t="str">
        <f>IFERROR(__xludf.DUMMYFUNCTION("""COMPUTED_VALUE"""),"Junjae Park")</f>
        <v>Junjae Park</v>
      </c>
      <c r="C178" s="122" t="str">
        <f>IFERROR(__xludf.DUMMYFUNCTION("""COMPUTED_VALUE"""),"MEME")</f>
        <v>MEME</v>
      </c>
      <c r="D178" s="122">
        <f>IFERROR(__xludf.DUMMYFUNCTION("""COMPUTED_VALUE"""),20.0)</f>
        <v>20</v>
      </c>
      <c r="E178" s="122">
        <f>IFERROR(__xludf.DUMMYFUNCTION("""COMPUTED_VALUE"""),65.52)</f>
        <v>65.52</v>
      </c>
      <c r="F178" s="122">
        <f>IFERROR(__xludf.DUMMYFUNCTION("""COMPUTED_VALUE"""),1310.4)</f>
        <v>1310.4</v>
      </c>
      <c r="G178" s="122">
        <f>IFERROR(__xludf.DUMMYFUNCTION("""COMPUTED_VALUE"""),74.38)</f>
        <v>74.38</v>
      </c>
      <c r="H178" s="122">
        <f>IFERROR(__xludf.DUMMYFUNCTION("""COMPUTED_VALUE"""),1487.6)</f>
        <v>1487.6</v>
      </c>
      <c r="I178" s="122">
        <f>IFERROR(__xludf.DUMMYFUNCTION("""COMPUTED_VALUE"""),177.2)</f>
        <v>177.2</v>
      </c>
      <c r="J178" s="131">
        <f>IFERROR(__xludf.DUMMYFUNCTION("""COMPUTED_VALUE"""),46187.706655092596)</f>
        <v>46187.70666</v>
      </c>
    </row>
    <row r="179">
      <c r="A179" s="122">
        <f>IFERROR(__xludf.DUMMYFUNCTION("""COMPUTED_VALUE"""),5121.0)</f>
        <v>5121</v>
      </c>
      <c r="B179" s="122" t="str">
        <f>IFERROR(__xludf.DUMMYFUNCTION("""COMPUTED_VALUE"""),"Ryan Kang")</f>
        <v>Ryan Kang</v>
      </c>
      <c r="C179" s="122" t="str">
        <f>IFERROR(__xludf.DUMMYFUNCTION("""COMPUTED_VALUE"""),"FARM")</f>
        <v>FARM</v>
      </c>
      <c r="D179" s="122">
        <f>IFERROR(__xludf.DUMMYFUNCTION("""COMPUTED_VALUE"""),22.0)</f>
        <v>22</v>
      </c>
      <c r="E179" s="122">
        <f>IFERROR(__xludf.DUMMYFUNCTION("""COMPUTED_VALUE"""),73.81)</f>
        <v>73.81</v>
      </c>
      <c r="F179" s="122">
        <f>IFERROR(__xludf.DUMMYFUNCTION("""COMPUTED_VALUE"""),1623.82)</f>
        <v>1623.82</v>
      </c>
      <c r="G179" s="122">
        <f>IFERROR(__xludf.DUMMYFUNCTION("""COMPUTED_VALUE"""),103.14)</f>
        <v>103.14</v>
      </c>
      <c r="H179" s="122">
        <f>IFERROR(__xludf.DUMMYFUNCTION("""COMPUTED_VALUE"""),2269.08)</f>
        <v>2269.08</v>
      </c>
      <c r="I179" s="122">
        <f>IFERROR(__xludf.DUMMYFUNCTION("""COMPUTED_VALUE"""),645.26)</f>
        <v>645.26</v>
      </c>
      <c r="J179" s="131">
        <f>IFERROR(__xludf.DUMMYFUNCTION("""COMPUTED_VALUE"""),46187.706655092596)</f>
        <v>46187.70666</v>
      </c>
    </row>
    <row r="180">
      <c r="A180" s="122">
        <f>IFERROR(__xludf.DUMMYFUNCTION("""COMPUTED_VALUE"""),1117.0)</f>
        <v>1117</v>
      </c>
      <c r="B180" s="122" t="str">
        <f>IFERROR(__xludf.DUMMYFUNCTION("""COMPUTED_VALUE"""),"Hyeonjun Kim")</f>
        <v>Hyeonjun Kim</v>
      </c>
      <c r="C180" s="122" t="str">
        <f>IFERROR(__xludf.DUMMYFUNCTION("""COMPUTED_VALUE"""),"TECH")</f>
        <v>TECH</v>
      </c>
      <c r="D180" s="122">
        <f>IFERROR(__xludf.DUMMYFUNCTION("""COMPUTED_VALUE"""),2.0)</f>
        <v>2</v>
      </c>
      <c r="E180" s="122">
        <f>IFERROR(__xludf.DUMMYFUNCTION("""COMPUTED_VALUE"""),222.29)</f>
        <v>222.29</v>
      </c>
      <c r="F180" s="122">
        <f>IFERROR(__xludf.DUMMYFUNCTION("""COMPUTED_VALUE"""),444.58)</f>
        <v>444.58</v>
      </c>
      <c r="G180" s="122">
        <f>IFERROR(__xludf.DUMMYFUNCTION("""COMPUTED_VALUE"""),246.95)</f>
        <v>246.95</v>
      </c>
      <c r="H180" s="122">
        <f>IFERROR(__xludf.DUMMYFUNCTION("""COMPUTED_VALUE"""),493.9)</f>
        <v>493.9</v>
      </c>
      <c r="I180" s="122">
        <f>IFERROR(__xludf.DUMMYFUNCTION("""COMPUTED_VALUE"""),49.32)</f>
        <v>49.32</v>
      </c>
      <c r="J180" s="131">
        <f>IFERROR(__xludf.DUMMYFUNCTION("""COMPUTED_VALUE"""),46187.706655092596)</f>
        <v>46187.70666</v>
      </c>
    </row>
    <row r="181">
      <c r="A181" s="122">
        <f>IFERROR(__xludf.DUMMYFUNCTION("""COMPUTED_VALUE"""),2217.0)</f>
        <v>2217</v>
      </c>
      <c r="B181" s="122" t="str">
        <f>IFERROR(__xludf.DUMMYFUNCTION("""COMPUTED_VALUE"""),"DK")</f>
        <v>DK</v>
      </c>
      <c r="C181" s="122" t="str">
        <f>IFERROR(__xludf.DUMMYFUNCTION("""COMPUTED_VALUE"""),"TECH")</f>
        <v>TECH</v>
      </c>
      <c r="D181" s="122">
        <f>IFERROR(__xludf.DUMMYFUNCTION("""COMPUTED_VALUE"""),1.0)</f>
        <v>1</v>
      </c>
      <c r="E181" s="122">
        <f>IFERROR(__xludf.DUMMYFUNCTION("""COMPUTED_VALUE"""),225.25)</f>
        <v>225.25</v>
      </c>
      <c r="F181" s="122">
        <f>IFERROR(__xludf.DUMMYFUNCTION("""COMPUTED_VALUE"""),225.25)</f>
        <v>225.25</v>
      </c>
      <c r="G181" s="122">
        <f>IFERROR(__xludf.DUMMYFUNCTION("""COMPUTED_VALUE"""),246.95)</f>
        <v>246.95</v>
      </c>
      <c r="H181" s="122">
        <f>IFERROR(__xludf.DUMMYFUNCTION("""COMPUTED_VALUE"""),246.95)</f>
        <v>246.95</v>
      </c>
      <c r="I181" s="122">
        <f>IFERROR(__xludf.DUMMYFUNCTION("""COMPUTED_VALUE"""),21.7)</f>
        <v>21.7</v>
      </c>
      <c r="J181" s="131">
        <f>IFERROR(__xludf.DUMMYFUNCTION("""COMPUTED_VALUE"""),46187.706655092596)</f>
        <v>46187.70666</v>
      </c>
    </row>
    <row r="182">
      <c r="A182" s="122">
        <f>IFERROR(__xludf.DUMMYFUNCTION("""COMPUTED_VALUE"""),9658.0)</f>
        <v>9658</v>
      </c>
      <c r="B182" s="122" t="str">
        <f>IFERROR(__xludf.DUMMYFUNCTION("""COMPUTED_VALUE"""),"Austin Han")</f>
        <v>Austin Han</v>
      </c>
      <c r="C182" s="122" t="str">
        <f>IFERROR(__xludf.DUMMYFUNCTION("""COMPUTED_VALUE"""),"BAGG")</f>
        <v>BAGG</v>
      </c>
      <c r="D182" s="122">
        <f>IFERROR(__xludf.DUMMYFUNCTION("""COMPUTED_VALUE"""),2.0)</f>
        <v>2</v>
      </c>
      <c r="E182" s="122">
        <f>IFERROR(__xludf.DUMMYFUNCTION("""COMPUTED_VALUE"""),191.06)</f>
        <v>191.06</v>
      </c>
      <c r="F182" s="122">
        <f>IFERROR(__xludf.DUMMYFUNCTION("""COMPUTED_VALUE"""),382.11)</f>
        <v>382.11</v>
      </c>
      <c r="G182" s="122">
        <f>IFERROR(__xludf.DUMMYFUNCTION("""COMPUTED_VALUE"""),281.53)</f>
        <v>281.53</v>
      </c>
      <c r="H182" s="122">
        <f>IFERROR(__xludf.DUMMYFUNCTION("""COMPUTED_VALUE"""),563.06)</f>
        <v>563.06</v>
      </c>
      <c r="I182" s="122">
        <f>IFERROR(__xludf.DUMMYFUNCTION("""COMPUTED_VALUE"""),180.94)</f>
        <v>180.94</v>
      </c>
      <c r="J182" s="131">
        <f>IFERROR(__xludf.DUMMYFUNCTION("""COMPUTED_VALUE"""),46187.706655092596)</f>
        <v>46187.70666</v>
      </c>
    </row>
    <row r="183">
      <c r="A183" s="122">
        <f>IFERROR(__xludf.DUMMYFUNCTION("""COMPUTED_VALUE"""),1321.0)</f>
        <v>1321</v>
      </c>
      <c r="B183" s="122" t="str">
        <f>IFERROR(__xludf.DUMMYFUNCTION("""COMPUTED_VALUE"""),"Ahin")</f>
        <v>Ahin</v>
      </c>
      <c r="C183" s="122" t="str">
        <f>IFERROR(__xludf.DUMMYFUNCTION("""COMPUTED_VALUE"""),"BANK")</f>
        <v>BANK</v>
      </c>
      <c r="D183" s="122">
        <f>IFERROR(__xludf.DUMMYFUNCTION("""COMPUTED_VALUE"""),3.0)</f>
        <v>3</v>
      </c>
      <c r="E183" s="122">
        <f>IFERROR(__xludf.DUMMYFUNCTION("""COMPUTED_VALUE"""),126.58)</f>
        <v>126.58</v>
      </c>
      <c r="F183" s="122">
        <f>IFERROR(__xludf.DUMMYFUNCTION("""COMPUTED_VALUE"""),379.74)</f>
        <v>379.74</v>
      </c>
      <c r="G183" s="122">
        <f>IFERROR(__xludf.DUMMYFUNCTION("""COMPUTED_VALUE"""),133.21)</f>
        <v>133.21</v>
      </c>
      <c r="H183" s="122">
        <f>IFERROR(__xludf.DUMMYFUNCTION("""COMPUTED_VALUE"""),399.63)</f>
        <v>399.63</v>
      </c>
      <c r="I183" s="122">
        <f>IFERROR(__xludf.DUMMYFUNCTION("""COMPUTED_VALUE"""),19.89)</f>
        <v>19.89</v>
      </c>
      <c r="J183" s="131">
        <f>IFERROR(__xludf.DUMMYFUNCTION("""COMPUTED_VALUE"""),46187.706655092596)</f>
        <v>46187.70666</v>
      </c>
    </row>
    <row r="184">
      <c r="A184" s="122">
        <f>IFERROR(__xludf.DUMMYFUNCTION("""COMPUTED_VALUE"""),676768.0)</f>
        <v>676768</v>
      </c>
      <c r="B184" s="122" t="str">
        <f>IFERROR(__xludf.DUMMYFUNCTION("""COMPUTED_VALUE"""),"Jayden Yun")</f>
        <v>Jayden Yun</v>
      </c>
      <c r="C184" s="122" t="str">
        <f>IFERROR(__xludf.DUMMYFUNCTION("""COMPUTED_VALUE"""),"SHIP")</f>
        <v>SHIP</v>
      </c>
      <c r="D184" s="122">
        <f>IFERROR(__xludf.DUMMYFUNCTION("""COMPUTED_VALUE"""),2.0)</f>
        <v>2</v>
      </c>
      <c r="E184" s="122">
        <f>IFERROR(__xludf.DUMMYFUNCTION("""COMPUTED_VALUE"""),111.58)</f>
        <v>111.58</v>
      </c>
      <c r="F184" s="122">
        <f>IFERROR(__xludf.DUMMYFUNCTION("""COMPUTED_VALUE"""),223.16)</f>
        <v>223.16</v>
      </c>
      <c r="G184" s="122">
        <f>IFERROR(__xludf.DUMMYFUNCTION("""COMPUTED_VALUE"""),132.25)</f>
        <v>132.25</v>
      </c>
      <c r="H184" s="122">
        <f>IFERROR(__xludf.DUMMYFUNCTION("""COMPUTED_VALUE"""),264.5)</f>
        <v>264.5</v>
      </c>
      <c r="I184" s="122">
        <f>IFERROR(__xludf.DUMMYFUNCTION("""COMPUTED_VALUE"""),41.34)</f>
        <v>41.34</v>
      </c>
      <c r="J184" s="131">
        <f>IFERROR(__xludf.DUMMYFUNCTION("""COMPUTED_VALUE"""),46187.706655092596)</f>
        <v>46187.70666</v>
      </c>
    </row>
    <row r="185">
      <c r="A185" s="122">
        <f>IFERROR(__xludf.DUMMYFUNCTION("""COMPUTED_VALUE"""),676768.0)</f>
        <v>676768</v>
      </c>
      <c r="B185" s="122" t="str">
        <f>IFERROR(__xludf.DUMMYFUNCTION("""COMPUTED_VALUE"""),"Jayden Yun")</f>
        <v>Jayden Yun</v>
      </c>
      <c r="C185" s="122" t="str">
        <f>IFERROR(__xludf.DUMMYFUNCTION("""COMPUTED_VALUE"""),"BANK")</f>
        <v>BANK</v>
      </c>
      <c r="D185" s="122">
        <f>IFERROR(__xludf.DUMMYFUNCTION("""COMPUTED_VALUE"""),2.0)</f>
        <v>2</v>
      </c>
      <c r="E185" s="122">
        <f>IFERROR(__xludf.DUMMYFUNCTION("""COMPUTED_VALUE"""),126.42)</f>
        <v>126.42</v>
      </c>
      <c r="F185" s="122">
        <f>IFERROR(__xludf.DUMMYFUNCTION("""COMPUTED_VALUE"""),252.84)</f>
        <v>252.84</v>
      </c>
      <c r="G185" s="122">
        <f>IFERROR(__xludf.DUMMYFUNCTION("""COMPUTED_VALUE"""),133.21)</f>
        <v>133.21</v>
      </c>
      <c r="H185" s="122">
        <f>IFERROR(__xludf.DUMMYFUNCTION("""COMPUTED_VALUE"""),266.42)</f>
        <v>266.42</v>
      </c>
      <c r="I185" s="122">
        <f>IFERROR(__xludf.DUMMYFUNCTION("""COMPUTED_VALUE"""),13.58)</f>
        <v>13.58</v>
      </c>
      <c r="J185" s="131">
        <f>IFERROR(__xludf.DUMMYFUNCTION("""COMPUTED_VALUE"""),46187.706655092596)</f>
        <v>46187.70666</v>
      </c>
    </row>
    <row r="186">
      <c r="A186" s="122">
        <f>IFERROR(__xludf.DUMMYFUNCTION("""COMPUTED_VALUE"""),676768.0)</f>
        <v>676768</v>
      </c>
      <c r="B186" s="122" t="str">
        <f>IFERROR(__xludf.DUMMYFUNCTION("""COMPUTED_VALUE"""),"Jayden Yun")</f>
        <v>Jayden Yun</v>
      </c>
      <c r="C186" s="122" t="str">
        <f>IFERROR(__xludf.DUMMYFUNCTION("""COMPUTED_VALUE"""),"CHIP")</f>
        <v>CHIP</v>
      </c>
      <c r="D186" s="122">
        <f>IFERROR(__xludf.DUMMYFUNCTION("""COMPUTED_VALUE"""),2.0)</f>
        <v>2</v>
      </c>
      <c r="E186" s="122">
        <f>IFERROR(__xludf.DUMMYFUNCTION("""COMPUTED_VALUE"""),79.86)</f>
        <v>79.86</v>
      </c>
      <c r="F186" s="122">
        <f>IFERROR(__xludf.DUMMYFUNCTION("""COMPUTED_VALUE"""),159.72)</f>
        <v>159.72</v>
      </c>
      <c r="G186" s="122">
        <f>IFERROR(__xludf.DUMMYFUNCTION("""COMPUTED_VALUE"""),81.96)</f>
        <v>81.96</v>
      </c>
      <c r="H186" s="122">
        <f>IFERROR(__xludf.DUMMYFUNCTION("""COMPUTED_VALUE"""),163.92)</f>
        <v>163.92</v>
      </c>
      <c r="I186" s="122">
        <f>IFERROR(__xludf.DUMMYFUNCTION("""COMPUTED_VALUE"""),4.2)</f>
        <v>4.2</v>
      </c>
      <c r="J186" s="131">
        <f>IFERROR(__xludf.DUMMYFUNCTION("""COMPUTED_VALUE"""),46187.706655092596)</f>
        <v>46187.70666</v>
      </c>
    </row>
    <row r="187">
      <c r="A187" s="122">
        <f>IFERROR(__xludf.DUMMYFUNCTION("""COMPUTED_VALUE"""),2640.0)</f>
        <v>2640</v>
      </c>
      <c r="B187" s="122" t="str">
        <f>IFERROR(__xludf.DUMMYFUNCTION("""COMPUTED_VALUE"""),"Sean Park")</f>
        <v>Sean Park</v>
      </c>
      <c r="C187" s="122" t="str">
        <f>IFERROR(__xludf.DUMMYFUNCTION("""COMPUTED_VALUE"""),"MEDX")</f>
        <v>MEDX</v>
      </c>
      <c r="D187" s="122">
        <f>IFERROR(__xludf.DUMMYFUNCTION("""COMPUTED_VALUE"""),1.0)</f>
        <v>1</v>
      </c>
      <c r="E187" s="122">
        <f>IFERROR(__xludf.DUMMYFUNCTION("""COMPUTED_VALUE"""),135.19)</f>
        <v>135.19</v>
      </c>
      <c r="F187" s="122">
        <f>IFERROR(__xludf.DUMMYFUNCTION("""COMPUTED_VALUE"""),135.19)</f>
        <v>135.19</v>
      </c>
      <c r="G187" s="122">
        <f>IFERROR(__xludf.DUMMYFUNCTION("""COMPUTED_VALUE"""),139.38)</f>
        <v>139.38</v>
      </c>
      <c r="H187" s="122">
        <f>IFERROR(__xludf.DUMMYFUNCTION("""COMPUTED_VALUE"""),139.38)</f>
        <v>139.38</v>
      </c>
      <c r="I187" s="122">
        <f>IFERROR(__xludf.DUMMYFUNCTION("""COMPUTED_VALUE"""),4.19)</f>
        <v>4.19</v>
      </c>
      <c r="J187" s="131">
        <f>IFERROR(__xludf.DUMMYFUNCTION("""COMPUTED_VALUE"""),46187.706655092596)</f>
        <v>46187.70666</v>
      </c>
    </row>
    <row r="188">
      <c r="A188" s="122">
        <f>IFERROR(__xludf.DUMMYFUNCTION("""COMPUTED_VALUE"""),2640.0)</f>
        <v>2640</v>
      </c>
      <c r="B188" s="122" t="str">
        <f>IFERROR(__xludf.DUMMYFUNCTION("""COMPUTED_VALUE"""),"Sean Park")</f>
        <v>Sean Park</v>
      </c>
      <c r="C188" s="122" t="str">
        <f>IFERROR(__xludf.DUMMYFUNCTION("""COMPUTED_VALUE"""),"MOVI")</f>
        <v>MOVI</v>
      </c>
      <c r="D188" s="122">
        <f>IFERROR(__xludf.DUMMYFUNCTION("""COMPUTED_VALUE"""),1.0)</f>
        <v>1</v>
      </c>
      <c r="E188" s="122">
        <f>IFERROR(__xludf.DUMMYFUNCTION("""COMPUTED_VALUE"""),78.34)</f>
        <v>78.34</v>
      </c>
      <c r="F188" s="122">
        <f>IFERROR(__xludf.DUMMYFUNCTION("""COMPUTED_VALUE"""),78.34)</f>
        <v>78.34</v>
      </c>
      <c r="G188" s="122">
        <f>IFERROR(__xludf.DUMMYFUNCTION("""COMPUTED_VALUE"""),84.08)</f>
        <v>84.08</v>
      </c>
      <c r="H188" s="122">
        <f>IFERROR(__xludf.DUMMYFUNCTION("""COMPUTED_VALUE"""),84.08)</f>
        <v>84.08</v>
      </c>
      <c r="I188" s="122">
        <f>IFERROR(__xludf.DUMMYFUNCTION("""COMPUTED_VALUE"""),5.74)</f>
        <v>5.74</v>
      </c>
      <c r="J188" s="131">
        <f>IFERROR(__xludf.DUMMYFUNCTION("""COMPUTED_VALUE"""),46187.706655092596)</f>
        <v>46187.70666</v>
      </c>
    </row>
    <row r="189">
      <c r="A189" s="122">
        <f>IFERROR(__xludf.DUMMYFUNCTION("""COMPUTED_VALUE"""),1234.0)</f>
        <v>1234</v>
      </c>
      <c r="B189" s="122" t="str">
        <f>IFERROR(__xludf.DUMMYFUNCTION("""COMPUTED_VALUE"""),"Test")</f>
        <v>Test</v>
      </c>
      <c r="C189" s="122" t="str">
        <f>IFERROR(__xludf.DUMMYFUNCTION("""COMPUTED_VALUE"""),"TECH")</f>
        <v>TECH</v>
      </c>
      <c r="D189" s="122">
        <f>IFERROR(__xludf.DUMMYFUNCTION("""COMPUTED_VALUE"""),402.0)</f>
        <v>402</v>
      </c>
      <c r="E189" s="122">
        <f>IFERROR(__xludf.DUMMYFUNCTION("""COMPUTED_VALUE"""),244.57)</f>
        <v>244.57</v>
      </c>
      <c r="F189" s="122">
        <f>IFERROR(__xludf.DUMMYFUNCTION("""COMPUTED_VALUE"""),98317.14)</f>
        <v>98317.14</v>
      </c>
      <c r="G189" s="122">
        <f>IFERROR(__xludf.DUMMYFUNCTION("""COMPUTED_VALUE"""),246.95)</f>
        <v>246.95</v>
      </c>
      <c r="H189" s="122">
        <f>IFERROR(__xludf.DUMMYFUNCTION("""COMPUTED_VALUE"""),99273.9)</f>
        <v>99273.9</v>
      </c>
      <c r="I189" s="122">
        <f>IFERROR(__xludf.DUMMYFUNCTION("""COMPUTED_VALUE"""),956.76)</f>
        <v>956.76</v>
      </c>
      <c r="J189" s="131">
        <f>IFERROR(__xludf.DUMMYFUNCTION("""COMPUTED_VALUE"""),46187.706655092596)</f>
        <v>46187.70666</v>
      </c>
    </row>
    <row r="190">
      <c r="A190" s="122">
        <f>IFERROR(__xludf.DUMMYFUNCTION("""COMPUTED_VALUE"""),9658.0)</f>
        <v>9658</v>
      </c>
      <c r="B190" s="122" t="str">
        <f>IFERROR(__xludf.DUMMYFUNCTION("""COMPUTED_VALUE"""),"Austin Han")</f>
        <v>Austin Han</v>
      </c>
      <c r="C190" s="122" t="str">
        <f>IFERROR(__xludf.DUMMYFUNCTION("""COMPUTED_VALUE"""),"AIBO")</f>
        <v>AIBO</v>
      </c>
      <c r="D190" s="122">
        <f>IFERROR(__xludf.DUMMYFUNCTION("""COMPUTED_VALUE"""),4.0)</f>
        <v>4</v>
      </c>
      <c r="E190" s="122">
        <f>IFERROR(__xludf.DUMMYFUNCTION("""COMPUTED_VALUE"""),165.0)</f>
        <v>165</v>
      </c>
      <c r="F190" s="122">
        <f>IFERROR(__xludf.DUMMYFUNCTION("""COMPUTED_VALUE"""),660.0)</f>
        <v>660</v>
      </c>
      <c r="G190" s="122">
        <f>IFERROR(__xludf.DUMMYFUNCTION("""COMPUTED_VALUE"""),194.32)</f>
        <v>194.32</v>
      </c>
      <c r="H190" s="122">
        <f>IFERROR(__xludf.DUMMYFUNCTION("""COMPUTED_VALUE"""),777.28)</f>
        <v>777.28</v>
      </c>
      <c r="I190" s="122">
        <f>IFERROR(__xludf.DUMMYFUNCTION("""COMPUTED_VALUE"""),117.28)</f>
        <v>117.28</v>
      </c>
      <c r="J190" s="131">
        <f>IFERROR(__xludf.DUMMYFUNCTION("""COMPUTED_VALUE"""),46187.706655092596)</f>
        <v>46187.70666</v>
      </c>
    </row>
    <row r="191">
      <c r="A191" s="122">
        <f>IFERROR(__xludf.DUMMYFUNCTION("""COMPUTED_VALUE"""),9658.0)</f>
        <v>9658</v>
      </c>
      <c r="B191" s="122" t="str">
        <f>IFERROR(__xludf.DUMMYFUNCTION("""COMPUTED_VALUE"""),"Austin Han")</f>
        <v>Austin Han</v>
      </c>
      <c r="C191" s="122" t="str">
        <f>IFERROR(__xludf.DUMMYFUNCTION("""COMPUTED_VALUE"""),"MUSC")</f>
        <v>MUSC</v>
      </c>
      <c r="D191" s="122">
        <f>IFERROR(__xludf.DUMMYFUNCTION("""COMPUTED_VALUE"""),1.0)</f>
        <v>1</v>
      </c>
      <c r="E191" s="122">
        <f>IFERROR(__xludf.DUMMYFUNCTION("""COMPUTED_VALUE"""),97.46)</f>
        <v>97.46</v>
      </c>
      <c r="F191" s="122">
        <f>IFERROR(__xludf.DUMMYFUNCTION("""COMPUTED_VALUE"""),97.46)</f>
        <v>97.46</v>
      </c>
      <c r="G191" s="122">
        <f>IFERROR(__xludf.DUMMYFUNCTION("""COMPUTED_VALUE"""),104.89)</f>
        <v>104.89</v>
      </c>
      <c r="H191" s="122">
        <f>IFERROR(__xludf.DUMMYFUNCTION("""COMPUTED_VALUE"""),104.89)</f>
        <v>104.89</v>
      </c>
      <c r="I191" s="122">
        <f>IFERROR(__xludf.DUMMYFUNCTION("""COMPUTED_VALUE"""),7.43)</f>
        <v>7.43</v>
      </c>
      <c r="J191" s="131">
        <f>IFERROR(__xludf.DUMMYFUNCTION("""COMPUTED_VALUE"""),46187.706655092596)</f>
        <v>46187.70666</v>
      </c>
    </row>
    <row r="192">
      <c r="A192" s="122">
        <f>IFERROR(__xludf.DUMMYFUNCTION("""COMPUTED_VALUE"""),9658.0)</f>
        <v>9658</v>
      </c>
      <c r="B192" s="122" t="str">
        <f>IFERROR(__xludf.DUMMYFUNCTION("""COMPUTED_VALUE"""),"Austin Han")</f>
        <v>Austin Han</v>
      </c>
      <c r="C192" s="122" t="str">
        <f>IFERROR(__xludf.DUMMYFUNCTION("""COMPUTED_VALUE"""),"LOAN")</f>
        <v>LOAN</v>
      </c>
      <c r="D192" s="122">
        <f>IFERROR(__xludf.DUMMYFUNCTION("""COMPUTED_VALUE"""),2.0)</f>
        <v>2</v>
      </c>
      <c r="E192" s="122">
        <f>IFERROR(__xludf.DUMMYFUNCTION("""COMPUTED_VALUE"""),59.79)</f>
        <v>59.79</v>
      </c>
      <c r="F192" s="122">
        <f>IFERROR(__xludf.DUMMYFUNCTION("""COMPUTED_VALUE"""),119.58)</f>
        <v>119.58</v>
      </c>
      <c r="G192" s="122">
        <f>IFERROR(__xludf.DUMMYFUNCTION("""COMPUTED_VALUE"""),76.99)</f>
        <v>76.99</v>
      </c>
      <c r="H192" s="122">
        <f>IFERROR(__xludf.DUMMYFUNCTION("""COMPUTED_VALUE"""),153.98)</f>
        <v>153.98</v>
      </c>
      <c r="I192" s="122">
        <f>IFERROR(__xludf.DUMMYFUNCTION("""COMPUTED_VALUE"""),34.4)</f>
        <v>34.4</v>
      </c>
      <c r="J192" s="131">
        <f>IFERROR(__xludf.DUMMYFUNCTION("""COMPUTED_VALUE"""),46187.706655092596)</f>
        <v>46187.70666</v>
      </c>
    </row>
    <row r="193">
      <c r="A193" s="122">
        <f>IFERROR(__xludf.DUMMYFUNCTION("""COMPUTED_VALUE"""),8765.0)</f>
        <v>8765</v>
      </c>
      <c r="B193" s="122" t="str">
        <f>IFERROR(__xludf.DUMMYFUNCTION("""COMPUTED_VALUE"""),"Minjun")</f>
        <v>Minjun</v>
      </c>
      <c r="C193" s="122" t="str">
        <f>IFERROR(__xludf.DUMMYFUNCTION("""COMPUTED_VALUE"""),"EDUX")</f>
        <v>EDUX</v>
      </c>
      <c r="D193" s="122">
        <f>IFERROR(__xludf.DUMMYFUNCTION("""COMPUTED_VALUE"""),30.0)</f>
        <v>30</v>
      </c>
      <c r="E193" s="122">
        <f>IFERROR(__xludf.DUMMYFUNCTION("""COMPUTED_VALUE"""),133.43)</f>
        <v>133.43</v>
      </c>
      <c r="F193" s="122">
        <f>IFERROR(__xludf.DUMMYFUNCTION("""COMPUTED_VALUE"""),4002.9)</f>
        <v>4002.9</v>
      </c>
      <c r="G193" s="122">
        <f>IFERROR(__xludf.DUMMYFUNCTION("""COMPUTED_VALUE"""),156.24)</f>
        <v>156.24</v>
      </c>
      <c r="H193" s="122">
        <f>IFERROR(__xludf.DUMMYFUNCTION("""COMPUTED_VALUE"""),4687.2)</f>
        <v>4687.2</v>
      </c>
      <c r="I193" s="122">
        <f>IFERROR(__xludf.DUMMYFUNCTION("""COMPUTED_VALUE"""),684.3)</f>
        <v>684.3</v>
      </c>
      <c r="J193" s="131">
        <f>IFERROR(__xludf.DUMMYFUNCTION("""COMPUTED_VALUE"""),46187.706655092596)</f>
        <v>46187.70666</v>
      </c>
    </row>
    <row r="194">
      <c r="A194" s="122">
        <f>IFERROR(__xludf.DUMMYFUNCTION("""COMPUTED_VALUE"""),8765.0)</f>
        <v>8765</v>
      </c>
      <c r="B194" s="122" t="str">
        <f>IFERROR(__xludf.DUMMYFUNCTION("""COMPUTED_VALUE"""),"Minjun")</f>
        <v>Minjun</v>
      </c>
      <c r="C194" s="122" t="str">
        <f>IFERROR(__xludf.DUMMYFUNCTION("""COMPUTED_VALUE"""),"BOOK")</f>
        <v>BOOK</v>
      </c>
      <c r="D194" s="122">
        <f>IFERROR(__xludf.DUMMYFUNCTION("""COMPUTED_VALUE"""),30.0)</f>
        <v>30</v>
      </c>
      <c r="E194" s="122">
        <f>IFERROR(__xludf.DUMMYFUNCTION("""COMPUTED_VALUE"""),114.86)</f>
        <v>114.86</v>
      </c>
      <c r="F194" s="122">
        <f>IFERROR(__xludf.DUMMYFUNCTION("""COMPUTED_VALUE"""),3445.8)</f>
        <v>3445.8</v>
      </c>
      <c r="G194" s="122">
        <f>IFERROR(__xludf.DUMMYFUNCTION("""COMPUTED_VALUE"""),121.84)</f>
        <v>121.84</v>
      </c>
      <c r="H194" s="122">
        <f>IFERROR(__xludf.DUMMYFUNCTION("""COMPUTED_VALUE"""),3655.2)</f>
        <v>3655.2</v>
      </c>
      <c r="I194" s="122">
        <f>IFERROR(__xludf.DUMMYFUNCTION("""COMPUTED_VALUE"""),209.4)</f>
        <v>209.4</v>
      </c>
      <c r="J194" s="131">
        <f>IFERROR(__xludf.DUMMYFUNCTION("""COMPUTED_VALUE"""),46187.706655092596)</f>
        <v>46187.70666</v>
      </c>
    </row>
    <row r="195">
      <c r="A195" s="122">
        <f>IFERROR(__xludf.DUMMYFUNCTION("""COMPUTED_VALUE"""),8765.0)</f>
        <v>8765</v>
      </c>
      <c r="B195" s="122" t="str">
        <f>IFERROR(__xludf.DUMMYFUNCTION("""COMPUTED_VALUE"""),"Minjun")</f>
        <v>Minjun</v>
      </c>
      <c r="C195" s="122" t="str">
        <f>IFERROR(__xludf.DUMMYFUNCTION("""COMPUTED_VALUE"""),"SOLR")</f>
        <v>SOLR</v>
      </c>
      <c r="D195" s="122">
        <f>IFERROR(__xludf.DUMMYFUNCTION("""COMPUTED_VALUE"""),20.0)</f>
        <v>20</v>
      </c>
      <c r="E195" s="122">
        <f>IFERROR(__xludf.DUMMYFUNCTION("""COMPUTED_VALUE"""),88.18)</f>
        <v>88.18</v>
      </c>
      <c r="F195" s="122">
        <f>IFERROR(__xludf.DUMMYFUNCTION("""COMPUTED_VALUE"""),1763.6)</f>
        <v>1763.6</v>
      </c>
      <c r="G195" s="122">
        <f>IFERROR(__xludf.DUMMYFUNCTION("""COMPUTED_VALUE"""),110.22)</f>
        <v>110.22</v>
      </c>
      <c r="H195" s="122">
        <f>IFERROR(__xludf.DUMMYFUNCTION("""COMPUTED_VALUE"""),2204.4)</f>
        <v>2204.4</v>
      </c>
      <c r="I195" s="122">
        <f>IFERROR(__xludf.DUMMYFUNCTION("""COMPUTED_VALUE"""),440.8)</f>
        <v>440.8</v>
      </c>
      <c r="J195" s="131">
        <f>IFERROR(__xludf.DUMMYFUNCTION("""COMPUTED_VALUE"""),46187.706655092596)</f>
        <v>46187.70666</v>
      </c>
    </row>
    <row r="196">
      <c r="A196" s="122">
        <f>IFERROR(__xludf.DUMMYFUNCTION("""COMPUTED_VALUE"""),676768.0)</f>
        <v>676768</v>
      </c>
      <c r="B196" s="122" t="str">
        <f>IFERROR(__xludf.DUMMYFUNCTION("""COMPUTED_VALUE"""),"Jayden Yun")</f>
        <v>Jayden Yun</v>
      </c>
      <c r="C196" s="122" t="str">
        <f>IFERROR(__xludf.DUMMYFUNCTION("""COMPUTED_VALUE"""),"AIBO")</f>
        <v>AIBO</v>
      </c>
      <c r="D196" s="122">
        <f>IFERROR(__xludf.DUMMYFUNCTION("""COMPUTED_VALUE"""),3.0)</f>
        <v>3</v>
      </c>
      <c r="E196" s="122">
        <f>IFERROR(__xludf.DUMMYFUNCTION("""COMPUTED_VALUE"""),185.91)</f>
        <v>185.91</v>
      </c>
      <c r="F196" s="122">
        <f>IFERROR(__xludf.DUMMYFUNCTION("""COMPUTED_VALUE"""),557.73)</f>
        <v>557.73</v>
      </c>
      <c r="G196" s="122">
        <f>IFERROR(__xludf.DUMMYFUNCTION("""COMPUTED_VALUE"""),194.32)</f>
        <v>194.32</v>
      </c>
      <c r="H196" s="122">
        <f>IFERROR(__xludf.DUMMYFUNCTION("""COMPUTED_VALUE"""),582.96)</f>
        <v>582.96</v>
      </c>
      <c r="I196" s="122">
        <f>IFERROR(__xludf.DUMMYFUNCTION("""COMPUTED_VALUE"""),25.23)</f>
        <v>25.23</v>
      </c>
      <c r="J196" s="131">
        <f>IFERROR(__xludf.DUMMYFUNCTION("""COMPUTED_VALUE"""),46187.706655092596)</f>
        <v>46187.70666</v>
      </c>
    </row>
    <row r="197">
      <c r="A197" s="122">
        <f>IFERROR(__xludf.DUMMYFUNCTION("""COMPUTED_VALUE"""),676768.0)</f>
        <v>676768</v>
      </c>
      <c r="B197" s="122" t="str">
        <f>IFERROR(__xludf.DUMMYFUNCTION("""COMPUTED_VALUE"""),"Jayden Yun")</f>
        <v>Jayden Yun</v>
      </c>
      <c r="C197" s="122" t="str">
        <f>IFERROR(__xludf.DUMMYFUNCTION("""COMPUTED_VALUE"""),"BYTE")</f>
        <v>BYTE</v>
      </c>
      <c r="D197" s="122">
        <f>IFERROR(__xludf.DUMMYFUNCTION("""COMPUTED_VALUE"""),1.0)</f>
        <v>1</v>
      </c>
      <c r="E197" s="122">
        <f>IFERROR(__xludf.DUMMYFUNCTION("""COMPUTED_VALUE"""),116.31)</f>
        <v>116.31</v>
      </c>
      <c r="F197" s="122">
        <f>IFERROR(__xludf.DUMMYFUNCTION("""COMPUTED_VALUE"""),116.31)</f>
        <v>116.31</v>
      </c>
      <c r="G197" s="122">
        <f>IFERROR(__xludf.DUMMYFUNCTION("""COMPUTED_VALUE"""),110.27)</f>
        <v>110.27</v>
      </c>
      <c r="H197" s="122">
        <f>IFERROR(__xludf.DUMMYFUNCTION("""COMPUTED_VALUE"""),110.27)</f>
        <v>110.27</v>
      </c>
      <c r="I197" s="122">
        <f>IFERROR(__xludf.DUMMYFUNCTION("""COMPUTED_VALUE"""),-6.04)</f>
        <v>-6.04</v>
      </c>
      <c r="J197" s="131">
        <f>IFERROR(__xludf.DUMMYFUNCTION("""COMPUTED_VALUE"""),46187.706655092596)</f>
        <v>46187.70666</v>
      </c>
    </row>
    <row r="198">
      <c r="A198" s="122">
        <f>IFERROR(__xludf.DUMMYFUNCTION("""COMPUTED_VALUE"""),676768.0)</f>
        <v>676768</v>
      </c>
      <c r="B198" s="122" t="str">
        <f>IFERROR(__xludf.DUMMYFUNCTION("""COMPUTED_VALUE"""),"Jayden Yun")</f>
        <v>Jayden Yun</v>
      </c>
      <c r="C198" s="122" t="str">
        <f>IFERROR(__xludf.DUMMYFUNCTION("""COMPUTED_VALUE"""),"BIKE")</f>
        <v>BIKE</v>
      </c>
      <c r="D198" s="122">
        <f>IFERROR(__xludf.DUMMYFUNCTION("""COMPUTED_VALUE"""),5.0)</f>
        <v>5</v>
      </c>
      <c r="E198" s="122">
        <f>IFERROR(__xludf.DUMMYFUNCTION("""COMPUTED_VALUE"""),52.09)</f>
        <v>52.09</v>
      </c>
      <c r="F198" s="122">
        <f>IFERROR(__xludf.DUMMYFUNCTION("""COMPUTED_VALUE"""),260.45)</f>
        <v>260.45</v>
      </c>
      <c r="G198" s="122">
        <f>IFERROR(__xludf.DUMMYFUNCTION("""COMPUTED_VALUE"""),50.24)</f>
        <v>50.24</v>
      </c>
      <c r="H198" s="122">
        <f>IFERROR(__xludf.DUMMYFUNCTION("""COMPUTED_VALUE"""),251.2)</f>
        <v>251.2</v>
      </c>
      <c r="I198" s="122">
        <f>IFERROR(__xludf.DUMMYFUNCTION("""COMPUTED_VALUE"""),-9.25)</f>
        <v>-9.25</v>
      </c>
      <c r="J198" s="131">
        <f>IFERROR(__xludf.DUMMYFUNCTION("""COMPUTED_VALUE"""),46187.706655092596)</f>
        <v>46187.70666</v>
      </c>
    </row>
    <row r="199">
      <c r="A199" s="122">
        <f>IFERROR(__xludf.DUMMYFUNCTION("""COMPUTED_VALUE"""),4647.0)</f>
        <v>4647</v>
      </c>
      <c r="B199" s="122" t="str">
        <f>IFERROR(__xludf.DUMMYFUNCTION("""COMPUTED_VALUE"""),"Jake Kim")</f>
        <v>Jake Kim</v>
      </c>
      <c r="C199" s="122" t="str">
        <f>IFERROR(__xludf.DUMMYFUNCTION("""COMPUTED_VALUE"""),"FAST")</f>
        <v>FAST</v>
      </c>
      <c r="D199" s="122">
        <f>IFERROR(__xludf.DUMMYFUNCTION("""COMPUTED_VALUE"""),21.0)</f>
        <v>21</v>
      </c>
      <c r="E199" s="122">
        <f>IFERROR(__xludf.DUMMYFUNCTION("""COMPUTED_VALUE"""),107.26)</f>
        <v>107.26</v>
      </c>
      <c r="F199" s="122">
        <f>IFERROR(__xludf.DUMMYFUNCTION("""COMPUTED_VALUE"""),2252.46)</f>
        <v>2252.46</v>
      </c>
      <c r="G199" s="122">
        <f>IFERROR(__xludf.DUMMYFUNCTION("""COMPUTED_VALUE"""),111.39)</f>
        <v>111.39</v>
      </c>
      <c r="H199" s="122">
        <f>IFERROR(__xludf.DUMMYFUNCTION("""COMPUTED_VALUE"""),2339.19)</f>
        <v>2339.19</v>
      </c>
      <c r="I199" s="122">
        <f>IFERROR(__xludf.DUMMYFUNCTION("""COMPUTED_VALUE"""),86.73)</f>
        <v>86.73</v>
      </c>
      <c r="J199" s="131">
        <f>IFERROR(__xludf.DUMMYFUNCTION("""COMPUTED_VALUE"""),46187.706655092596)</f>
        <v>46187.70666</v>
      </c>
    </row>
    <row r="200">
      <c r="A200" s="122">
        <f>IFERROR(__xludf.DUMMYFUNCTION("""COMPUTED_VALUE"""),2640.0)</f>
        <v>2640</v>
      </c>
      <c r="B200" s="122" t="str">
        <f>IFERROR(__xludf.DUMMYFUNCTION("""COMPUTED_VALUE"""),"Sean Park")</f>
        <v>Sean Park</v>
      </c>
      <c r="C200" s="122" t="str">
        <f>IFERROR(__xludf.DUMMYFUNCTION("""COMPUTED_VALUE"""),"OILX")</f>
        <v>OILX</v>
      </c>
      <c r="D200" s="122">
        <f>IFERROR(__xludf.DUMMYFUNCTION("""COMPUTED_VALUE"""),1.0)</f>
        <v>1</v>
      </c>
      <c r="E200" s="122">
        <f>IFERROR(__xludf.DUMMYFUNCTION("""COMPUTED_VALUE"""),134.7)</f>
        <v>134.7</v>
      </c>
      <c r="F200" s="122">
        <f>IFERROR(__xludf.DUMMYFUNCTION("""COMPUTED_VALUE"""),134.7)</f>
        <v>134.7</v>
      </c>
      <c r="G200" s="122">
        <f>IFERROR(__xludf.DUMMYFUNCTION("""COMPUTED_VALUE"""),134.87)</f>
        <v>134.87</v>
      </c>
      <c r="H200" s="122">
        <f>IFERROR(__xludf.DUMMYFUNCTION("""COMPUTED_VALUE"""),134.87)</f>
        <v>134.87</v>
      </c>
      <c r="I200" s="122">
        <f>IFERROR(__xludf.DUMMYFUNCTION("""COMPUTED_VALUE"""),0.17)</f>
        <v>0.17</v>
      </c>
      <c r="J200" s="131">
        <f>IFERROR(__xludf.DUMMYFUNCTION("""COMPUTED_VALUE"""),46187.706655092596)</f>
        <v>46187.70666</v>
      </c>
    </row>
    <row r="201">
      <c r="A201" s="122">
        <f>IFERROR(__xludf.DUMMYFUNCTION("""COMPUTED_VALUE"""),2640.0)</f>
        <v>2640</v>
      </c>
      <c r="B201" s="122" t="str">
        <f>IFERROR(__xludf.DUMMYFUNCTION("""COMPUTED_VALUE"""),"Sean Park")</f>
        <v>Sean Park</v>
      </c>
      <c r="C201" s="122" t="str">
        <f>IFERROR(__xludf.DUMMYFUNCTION("""COMPUTED_VALUE"""),"MEAT")</f>
        <v>MEAT</v>
      </c>
      <c r="D201" s="122">
        <f>IFERROR(__xludf.DUMMYFUNCTION("""COMPUTED_VALUE"""),1.0)</f>
        <v>1</v>
      </c>
      <c r="E201" s="122">
        <f>IFERROR(__xludf.DUMMYFUNCTION("""COMPUTED_VALUE"""),104.67)</f>
        <v>104.67</v>
      </c>
      <c r="F201" s="122">
        <f>IFERROR(__xludf.DUMMYFUNCTION("""COMPUTED_VALUE"""),104.67)</f>
        <v>104.67</v>
      </c>
      <c r="G201" s="122">
        <f>IFERROR(__xludf.DUMMYFUNCTION("""COMPUTED_VALUE"""),106.12)</f>
        <v>106.12</v>
      </c>
      <c r="H201" s="122">
        <f>IFERROR(__xludf.DUMMYFUNCTION("""COMPUTED_VALUE"""),106.12)</f>
        <v>106.12</v>
      </c>
      <c r="I201" s="122">
        <f>IFERROR(__xludf.DUMMYFUNCTION("""COMPUTED_VALUE"""),1.45)</f>
        <v>1.45</v>
      </c>
      <c r="J201" s="131">
        <f>IFERROR(__xludf.DUMMYFUNCTION("""COMPUTED_VALUE"""),46187.706655092596)</f>
        <v>46187.70666</v>
      </c>
    </row>
    <row r="202">
      <c r="A202" s="122">
        <f>IFERROR(__xludf.DUMMYFUNCTION("""COMPUTED_VALUE"""),1749.0)</f>
        <v>1749</v>
      </c>
      <c r="B202" s="122" t="str">
        <f>IFERROR(__xludf.DUMMYFUNCTION("""COMPUTED_VALUE"""),"Edward Song")</f>
        <v>Edward Song</v>
      </c>
      <c r="C202" s="122" t="str">
        <f>IFERROR(__xludf.DUMMYFUNCTION("""COMPUTED_VALUE"""),"BYTE")</f>
        <v>BYTE</v>
      </c>
      <c r="D202" s="122">
        <f>IFERROR(__xludf.DUMMYFUNCTION("""COMPUTED_VALUE"""),2.0)</f>
        <v>2</v>
      </c>
      <c r="E202" s="122">
        <f>IFERROR(__xludf.DUMMYFUNCTION("""COMPUTED_VALUE"""),111.18)</f>
        <v>111.18</v>
      </c>
      <c r="F202" s="122">
        <f>IFERROR(__xludf.DUMMYFUNCTION("""COMPUTED_VALUE"""),222.36)</f>
        <v>222.36</v>
      </c>
      <c r="G202" s="122">
        <f>IFERROR(__xludf.DUMMYFUNCTION("""COMPUTED_VALUE"""),110.27)</f>
        <v>110.27</v>
      </c>
      <c r="H202" s="122">
        <f>IFERROR(__xludf.DUMMYFUNCTION("""COMPUTED_VALUE"""),220.54)</f>
        <v>220.54</v>
      </c>
      <c r="I202" s="122">
        <f>IFERROR(__xludf.DUMMYFUNCTION("""COMPUTED_VALUE"""),-1.82)</f>
        <v>-1.82</v>
      </c>
      <c r="J202" s="131">
        <f>IFERROR(__xludf.DUMMYFUNCTION("""COMPUTED_VALUE"""),46187.706655092596)</f>
        <v>46187.70666</v>
      </c>
    </row>
    <row r="203">
      <c r="A203" s="122">
        <f>IFERROR(__xludf.DUMMYFUNCTION("""COMPUTED_VALUE"""),6742.0)</f>
        <v>6742</v>
      </c>
      <c r="B203" s="122" t="str">
        <f>IFERROR(__xludf.DUMMYFUNCTION("""COMPUTED_VALUE"""),"Raoul Kim")</f>
        <v>Raoul Kim</v>
      </c>
      <c r="C203" s="122" t="str">
        <f>IFERROR(__xludf.DUMMYFUNCTION("""COMPUTED_VALUE"""),"RAMN")</f>
        <v>RAMN</v>
      </c>
      <c r="D203" s="122">
        <f>IFERROR(__xludf.DUMMYFUNCTION("""COMPUTED_VALUE"""),10.0)</f>
        <v>10</v>
      </c>
      <c r="E203" s="122">
        <f>IFERROR(__xludf.DUMMYFUNCTION("""COMPUTED_VALUE"""),60.22)</f>
        <v>60.22</v>
      </c>
      <c r="F203" s="122">
        <f>IFERROR(__xludf.DUMMYFUNCTION("""COMPUTED_VALUE"""),602.2)</f>
        <v>602.2</v>
      </c>
      <c r="G203" s="122">
        <f>IFERROR(__xludf.DUMMYFUNCTION("""COMPUTED_VALUE"""),58.7)</f>
        <v>58.7</v>
      </c>
      <c r="H203" s="122">
        <f>IFERROR(__xludf.DUMMYFUNCTION("""COMPUTED_VALUE"""),587.0)</f>
        <v>587</v>
      </c>
      <c r="I203" s="122">
        <f>IFERROR(__xludf.DUMMYFUNCTION("""COMPUTED_VALUE"""),-15.2)</f>
        <v>-15.2</v>
      </c>
      <c r="J203" s="131">
        <f>IFERROR(__xludf.DUMMYFUNCTION("""COMPUTED_VALUE"""),46187.706655092596)</f>
        <v>46187.70666</v>
      </c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IFERROR(__xludf.DUMMYFUNCTION("IMPORTRANGE(""https://docs.google.com/spreadsheets/d/1R2r21OUCmsRB4LtOboB6fOM_WL3_ezt7cytLM-cfMvg/edit?gid=960886324#gid=960886324"",""Stock_Price_History!A:F"")"),"Timestamp")</f>
        <v>Timestamp</v>
      </c>
      <c r="B1" s="122" t="str">
        <f>IFERROR(__xludf.DUMMYFUNCTION("""COMPUTED_VALUE"""),"Date")</f>
        <v>Date</v>
      </c>
      <c r="C1" s="122" t="str">
        <f>IFERROR(__xludf.DUMMYFUNCTION("""COMPUTED_VALUE"""),"Ticker")</f>
        <v>Ticker</v>
      </c>
      <c r="D1" s="122" t="str">
        <f>IFERROR(__xludf.DUMMYFUNCTION("""COMPUTED_VALUE"""),"Company_Name")</f>
        <v>Company_Name</v>
      </c>
      <c r="E1" s="122" t="str">
        <f>IFERROR(__xludf.DUMMYFUNCTION("""COMPUTED_VALUE"""),"Price")</f>
        <v>Price</v>
      </c>
      <c r="F1" s="122" t="str">
        <f>IFERROR(__xludf.DUMMYFUNCTION("""COMPUTED_VALUE"""),"Change_%")</f>
        <v>Change_%</v>
      </c>
    </row>
    <row r="2">
      <c r="A2" s="131">
        <f>IFERROR(__xludf.DUMMYFUNCTION("""COMPUTED_VALUE"""),46186.67875)</f>
        <v>46186.67875</v>
      </c>
      <c r="B2" s="126">
        <f>IFERROR(__xludf.DUMMYFUNCTION("""COMPUTED_VALUE"""),46186.0)</f>
        <v>46186</v>
      </c>
      <c r="C2" s="122" t="str">
        <f>IFERROR(__xludf.DUMMYFUNCTION("""COMPUTED_VALUE"""),"BAGG")</f>
        <v>BAGG</v>
      </c>
      <c r="D2" s="122" t="str">
        <f>IFERROR(__xludf.DUMMYFUNCTION("""COMPUTED_VALUE"""),"BagVault")</f>
        <v>BagVault</v>
      </c>
      <c r="E2" s="122">
        <f>IFERROR(__xludf.DUMMYFUNCTION("""COMPUTED_VALUE"""),235.14)</f>
        <v>235.14</v>
      </c>
      <c r="F2" s="122">
        <f>IFERROR(__xludf.DUMMYFUNCTION("""COMPUTED_VALUE"""),0.005)</f>
        <v>0.005</v>
      </c>
    </row>
    <row r="3">
      <c r="A3" s="131">
        <f>IFERROR(__xludf.DUMMYFUNCTION("""COMPUTED_VALUE"""),46186.67875)</f>
        <v>46186.67875</v>
      </c>
      <c r="B3" s="126">
        <f>IFERROR(__xludf.DUMMYFUNCTION("""COMPUTED_VALUE"""),46186.0)</f>
        <v>46186</v>
      </c>
      <c r="C3" s="122" t="str">
        <f>IFERROR(__xludf.DUMMYFUNCTION("""COMPUTED_VALUE"""),"FAST")</f>
        <v>FAST</v>
      </c>
      <c r="D3" s="122" t="str">
        <f>IFERROR(__xludf.DUMMYFUNCTION("""COMPUTED_VALUE"""),"Flash Logistics")</f>
        <v>Flash Logistics</v>
      </c>
      <c r="E3" s="122">
        <f>IFERROR(__xludf.DUMMYFUNCTION("""COMPUTED_VALUE"""),101.85)</f>
        <v>101.85</v>
      </c>
      <c r="F3" s="122">
        <f>IFERROR(__xludf.DUMMYFUNCTION("""COMPUTED_VALUE"""),-1.0E-4)</f>
        <v>-0.0001</v>
      </c>
    </row>
    <row r="4">
      <c r="A4" s="131">
        <f>IFERROR(__xludf.DUMMYFUNCTION("""COMPUTED_VALUE"""),46186.67875)</f>
        <v>46186.67875</v>
      </c>
      <c r="B4" s="126">
        <f>IFERROR(__xludf.DUMMYFUNCTION("""COMPUTED_VALUE"""),46186.0)</f>
        <v>46186</v>
      </c>
      <c r="C4" s="122" t="str">
        <f>IFERROR(__xludf.DUMMYFUNCTION("""COMPUTED_VALUE"""),"SHIP")</f>
        <v>SHIP</v>
      </c>
      <c r="D4" s="122" t="str">
        <f>IFERROR(__xludf.DUMMYFUNCTION("""COMPUTED_VALUE"""),"Seoul Shipping")</f>
        <v>Seoul Shipping</v>
      </c>
      <c r="E4" s="122">
        <f>IFERROR(__xludf.DUMMYFUNCTION("""COMPUTED_VALUE"""),118.25)</f>
        <v>118.25</v>
      </c>
      <c r="F4" s="122">
        <f>IFERROR(__xludf.DUMMYFUNCTION("""COMPUTED_VALUE"""),2.0E-4)</f>
        <v>0.0002</v>
      </c>
    </row>
    <row r="5">
      <c r="A5" s="131">
        <f>IFERROR(__xludf.DUMMYFUNCTION("""COMPUTED_VALUE"""),46186.67875)</f>
        <v>46186.67875</v>
      </c>
      <c r="B5" s="126">
        <f>IFERROR(__xludf.DUMMYFUNCTION("""COMPUTED_VALUE"""),46186.0)</f>
        <v>46186</v>
      </c>
      <c r="C5" s="122" t="str">
        <f>IFERROR(__xludf.DUMMYFUNCTION("""COMPUTED_VALUE"""),"DRON")</f>
        <v>DRON</v>
      </c>
      <c r="D5" s="122" t="str">
        <f>IFERROR(__xludf.DUMMYFUNCTION("""COMPUTED_VALUE"""),"DroneDrop")</f>
        <v>DroneDrop</v>
      </c>
      <c r="E5" s="122">
        <f>IFERROR(__xludf.DUMMYFUNCTION("""COMPUTED_VALUE"""),132.78)</f>
        <v>132.78</v>
      </c>
      <c r="F5" s="122">
        <f>IFERROR(__xludf.DUMMYFUNCTION("""COMPUTED_VALUE"""),0.0051)</f>
        <v>0.0051</v>
      </c>
    </row>
    <row r="6">
      <c r="A6" s="131">
        <f>IFERROR(__xludf.DUMMYFUNCTION("""COMPUTED_VALUE"""),46186.67875)</f>
        <v>46186.67875</v>
      </c>
      <c r="B6" s="126">
        <f>IFERROR(__xludf.DUMMYFUNCTION("""COMPUTED_VALUE"""),46186.0)</f>
        <v>46186</v>
      </c>
      <c r="C6" s="122" t="str">
        <f>IFERROR(__xludf.DUMMYFUNCTION("""COMPUTED_VALUE"""),"RIDE")</f>
        <v>RIDE</v>
      </c>
      <c r="D6" s="122" t="str">
        <f>IFERROR(__xludf.DUMMYFUNCTION("""COMPUTED_VALUE"""),"QuickRide")</f>
        <v>QuickRide</v>
      </c>
      <c r="E6" s="122">
        <f>IFERROR(__xludf.DUMMYFUNCTION("""COMPUTED_VALUE"""),93.72)</f>
        <v>93.72</v>
      </c>
      <c r="F6" s="122">
        <f>IFERROR(__xludf.DUMMYFUNCTION("""COMPUTED_VALUE"""),-0.0021)</f>
        <v>-0.0021</v>
      </c>
    </row>
    <row r="7">
      <c r="A7" s="131">
        <f>IFERROR(__xludf.DUMMYFUNCTION("""COMPUTED_VALUE"""),46186.67875)</f>
        <v>46186.67875</v>
      </c>
      <c r="B7" s="126">
        <f>IFERROR(__xludf.DUMMYFUNCTION("""COMPUTED_VALUE"""),46186.0)</f>
        <v>46186</v>
      </c>
      <c r="C7" s="122" t="str">
        <f>IFERROR(__xludf.DUMMYFUNCTION("""COMPUTED_VALUE"""),"RAIL")</f>
        <v>RAIL</v>
      </c>
      <c r="D7" s="122" t="str">
        <f>IFERROR(__xludf.DUMMYFUNCTION("""COMPUTED_VALUE"""),"MetroRail Corp")</f>
        <v>MetroRail Corp</v>
      </c>
      <c r="E7" s="122">
        <f>IFERROR(__xludf.DUMMYFUNCTION("""COMPUTED_VALUE"""),133.07)</f>
        <v>133.07</v>
      </c>
      <c r="F7" s="122">
        <f>IFERROR(__xludf.DUMMYFUNCTION("""COMPUTED_VALUE"""),0.004)</f>
        <v>0.004</v>
      </c>
    </row>
    <row r="8">
      <c r="A8" s="131">
        <f>IFERROR(__xludf.DUMMYFUNCTION("""COMPUTED_VALUE"""),46186.67875)</f>
        <v>46186.67875</v>
      </c>
      <c r="B8" s="126">
        <f>IFERROR(__xludf.DUMMYFUNCTION("""COMPUTED_VALUE"""),46186.0)</f>
        <v>46186</v>
      </c>
      <c r="C8" s="122" t="str">
        <f>IFERROR(__xludf.DUMMYFUNCTION("""COMPUTED_VALUE"""),"MEDX")</f>
        <v>MEDX</v>
      </c>
      <c r="D8" s="122" t="str">
        <f>IFERROR(__xludf.DUMMYFUNCTION("""COMPUTED_VALUE"""),"MediCore")</f>
        <v>MediCore</v>
      </c>
      <c r="E8" s="122">
        <f>IFERROR(__xludf.DUMMYFUNCTION("""COMPUTED_VALUE"""),136.55)</f>
        <v>136.55</v>
      </c>
      <c r="F8" s="122">
        <f>IFERROR(__xludf.DUMMYFUNCTION("""COMPUTED_VALUE"""),-1.0E-4)</f>
        <v>-0.0001</v>
      </c>
    </row>
    <row r="9">
      <c r="A9" s="131">
        <f>IFERROR(__xludf.DUMMYFUNCTION("""COMPUTED_VALUE"""),46186.67875)</f>
        <v>46186.67875</v>
      </c>
      <c r="B9" s="126">
        <f>IFERROR(__xludf.DUMMYFUNCTION("""COMPUTED_VALUE"""),46186.0)</f>
        <v>46186</v>
      </c>
      <c r="C9" s="122" t="str">
        <f>IFERROR(__xludf.DUMMYFUNCTION("""COMPUTED_VALUE"""),"GYMX")</f>
        <v>GYMX</v>
      </c>
      <c r="D9" s="122" t="str">
        <f>IFERROR(__xludf.DUMMYFUNCTION("""COMPUTED_VALUE"""),"GymX Fitness")</f>
        <v>GymX Fitness</v>
      </c>
      <c r="E9" s="122">
        <f>IFERROR(__xludf.DUMMYFUNCTION("""COMPUTED_VALUE"""),88.56)</f>
        <v>88.56</v>
      </c>
      <c r="F9" s="122">
        <f>IFERROR(__xludf.DUMMYFUNCTION("""COMPUTED_VALUE"""),-0.002)</f>
        <v>-0.002</v>
      </c>
    </row>
    <row r="10">
      <c r="A10" s="131">
        <f>IFERROR(__xludf.DUMMYFUNCTION("""COMPUTED_VALUE"""),46186.67875)</f>
        <v>46186.67875</v>
      </c>
      <c r="B10" s="126">
        <f>IFERROR(__xludf.DUMMYFUNCTION("""COMPUTED_VALUE"""),46186.0)</f>
        <v>46186</v>
      </c>
      <c r="C10" s="122" t="str">
        <f>IFERROR(__xludf.DUMMYFUNCTION("""COMPUTED_VALUE"""),"VITA")</f>
        <v>VITA</v>
      </c>
      <c r="D10" s="122" t="str">
        <f>IFERROR(__xludf.DUMMYFUNCTION("""COMPUTED_VALUE"""),"VitaPlus")</f>
        <v>VitaPlus</v>
      </c>
      <c r="E10" s="122">
        <f>IFERROR(__xludf.DUMMYFUNCTION("""COMPUTED_VALUE"""),76.8)</f>
        <v>76.8</v>
      </c>
      <c r="F10" s="122">
        <f>IFERROR(__xludf.DUMMYFUNCTION("""COMPUTED_VALUE"""),-0.0012)</f>
        <v>-0.0012</v>
      </c>
    </row>
    <row r="11">
      <c r="A11" s="131">
        <f>IFERROR(__xludf.DUMMYFUNCTION("""COMPUTED_VALUE"""),46186.67875)</f>
        <v>46186.67875</v>
      </c>
      <c r="B11" s="126">
        <f>IFERROR(__xludf.DUMMYFUNCTION("""COMPUTED_VALUE"""),46186.0)</f>
        <v>46186</v>
      </c>
      <c r="C11" s="122" t="str">
        <f>IFERROR(__xludf.DUMMYFUNCTION("""COMPUTED_VALUE"""),"CARE")</f>
        <v>CARE</v>
      </c>
      <c r="D11" s="122" t="str">
        <f>IFERROR(__xludf.DUMMYFUNCTION("""COMPUTED_VALUE"""),"CareCloud")</f>
        <v>CareCloud</v>
      </c>
      <c r="E11" s="122">
        <f>IFERROR(__xludf.DUMMYFUNCTION("""COMPUTED_VALUE"""),171.14)</f>
        <v>171.14</v>
      </c>
      <c r="F11" s="122">
        <f>IFERROR(__xludf.DUMMYFUNCTION("""COMPUTED_VALUE"""),0.0082)</f>
        <v>0.0082</v>
      </c>
    </row>
    <row r="12">
      <c r="A12" s="131">
        <f>IFERROR(__xludf.DUMMYFUNCTION("""COMPUTED_VALUE"""),46186.67875)</f>
        <v>46186.67875</v>
      </c>
      <c r="B12" s="126">
        <f>IFERROR(__xludf.DUMMYFUNCTION("""COMPUTED_VALUE"""),46186.0)</f>
        <v>46186</v>
      </c>
      <c r="C12" s="122" t="str">
        <f>IFERROR(__xludf.DUMMYFUNCTION("""COMPUTED_VALUE"""),"DENT")</f>
        <v>DENT</v>
      </c>
      <c r="D12" s="122" t="str">
        <f>IFERROR(__xludf.DUMMYFUNCTION("""COMPUTED_VALUE"""),"SmileWorks")</f>
        <v>SmileWorks</v>
      </c>
      <c r="E12" s="122">
        <f>IFERROR(__xludf.DUMMYFUNCTION("""COMPUTED_VALUE"""),81.69)</f>
        <v>81.69</v>
      </c>
      <c r="F12" s="122">
        <f>IFERROR(__xludf.DUMMYFUNCTION("""COMPUTED_VALUE"""),0.0031)</f>
        <v>0.0031</v>
      </c>
    </row>
    <row r="13">
      <c r="A13" s="131">
        <f>IFERROR(__xludf.DUMMYFUNCTION("""COMPUTED_VALUE"""),46186.67875)</f>
        <v>46186.67875</v>
      </c>
      <c r="B13" s="126">
        <f>IFERROR(__xludf.DUMMYFUNCTION("""COMPUTED_VALUE"""),46186.0)</f>
        <v>46186</v>
      </c>
      <c r="C13" s="122" t="str">
        <f>IFERROR(__xludf.DUMMYFUNCTION("""COMPUTED_VALUE"""),"EDUX")</f>
        <v>EDUX</v>
      </c>
      <c r="D13" s="122" t="str">
        <f>IFERROR(__xludf.DUMMYFUNCTION("""COMPUTED_VALUE"""),"EduMax Learning")</f>
        <v>EduMax Learning</v>
      </c>
      <c r="E13" s="122">
        <f>IFERROR(__xludf.DUMMYFUNCTION("""COMPUTED_VALUE"""),133.07)</f>
        <v>133.07</v>
      </c>
      <c r="F13" s="122">
        <f>IFERROR(__xludf.DUMMYFUNCTION("""COMPUTED_VALUE"""),-0.0011)</f>
        <v>-0.0011</v>
      </c>
    </row>
    <row r="14">
      <c r="A14" s="131">
        <f>IFERROR(__xludf.DUMMYFUNCTION("""COMPUTED_VALUE"""),46186.67875)</f>
        <v>46186.67875</v>
      </c>
      <c r="B14" s="126">
        <f>IFERROR(__xludf.DUMMYFUNCTION("""COMPUTED_VALUE"""),46186.0)</f>
        <v>46186</v>
      </c>
      <c r="C14" s="122" t="str">
        <f>IFERROR(__xludf.DUMMYFUNCTION("""COMPUTED_VALUE"""),"BOOK")</f>
        <v>BOOK</v>
      </c>
      <c r="D14" s="122" t="str">
        <f>IFERROR(__xludf.DUMMYFUNCTION("""COMPUTED_VALUE"""),"BookBridge")</f>
        <v>BookBridge</v>
      </c>
      <c r="E14" s="122">
        <f>IFERROR(__xludf.DUMMYFUNCTION("""COMPUTED_VALUE"""),109.15)</f>
        <v>109.15</v>
      </c>
      <c r="F14" s="122">
        <f>IFERROR(__xludf.DUMMYFUNCTION("""COMPUTED_VALUE"""),-0.0031)</f>
        <v>-0.0031</v>
      </c>
    </row>
    <row r="15">
      <c r="A15" s="131">
        <f>IFERROR(__xludf.DUMMYFUNCTION("""COMPUTED_VALUE"""),46186.67875)</f>
        <v>46186.67875</v>
      </c>
      <c r="B15" s="126">
        <f>IFERROR(__xludf.DUMMYFUNCTION("""COMPUTED_VALUE"""),46186.0)</f>
        <v>46186</v>
      </c>
      <c r="C15" s="122" t="str">
        <f>IFERROR(__xludf.DUMMYFUNCTION("""COMPUTED_VALUE"""),"TUTR")</f>
        <v>TUTR</v>
      </c>
      <c r="D15" s="122" t="str">
        <f>IFERROR(__xludf.DUMMYFUNCTION("""COMPUTED_VALUE"""),"TutorTown")</f>
        <v>TutorTown</v>
      </c>
      <c r="E15" s="122">
        <f>IFERROR(__xludf.DUMMYFUNCTION("""COMPUTED_VALUE"""),88.86)</f>
        <v>88.86</v>
      </c>
      <c r="F15" s="122">
        <f>IFERROR(__xludf.DUMMYFUNCTION("""COMPUTED_VALUE"""),0.0075)</f>
        <v>0.0075</v>
      </c>
    </row>
    <row r="16">
      <c r="A16" s="131">
        <f>IFERROR(__xludf.DUMMYFUNCTION("""COMPUTED_VALUE"""),46186.67875)</f>
        <v>46186.67875</v>
      </c>
      <c r="B16" s="126">
        <f>IFERROR(__xludf.DUMMYFUNCTION("""COMPUTED_VALUE"""),46186.0)</f>
        <v>46186</v>
      </c>
      <c r="C16" s="122" t="str">
        <f>IFERROR(__xludf.DUMMYFUNCTION("""COMPUTED_VALUE"""),"LANG")</f>
        <v>LANG</v>
      </c>
      <c r="D16" s="122" t="str">
        <f>IFERROR(__xludf.DUMMYFUNCTION("""COMPUTED_VALUE"""),"LinguaLab")</f>
        <v>LinguaLab</v>
      </c>
      <c r="E16" s="122">
        <f>IFERROR(__xludf.DUMMYFUNCTION("""COMPUTED_VALUE"""),94.97)</f>
        <v>94.97</v>
      </c>
      <c r="F16" s="122">
        <f>IFERROR(__xludf.DUMMYFUNCTION("""COMPUTED_VALUE"""),0.0032)</f>
        <v>0.0032</v>
      </c>
    </row>
    <row r="17">
      <c r="A17" s="131">
        <f>IFERROR(__xludf.DUMMYFUNCTION("""COMPUTED_VALUE"""),46186.67875)</f>
        <v>46186.67875</v>
      </c>
      <c r="B17" s="126">
        <f>IFERROR(__xludf.DUMMYFUNCTION("""COMPUTED_VALUE"""),46186.0)</f>
        <v>46186</v>
      </c>
      <c r="C17" s="122" t="str">
        <f>IFERROR(__xludf.DUMMYFUNCTION("""COMPUTED_VALUE"""),"TEST")</f>
        <v>TEST</v>
      </c>
      <c r="D17" s="122" t="str">
        <f>IFERROR(__xludf.DUMMYFUNCTION("""COMPUTED_VALUE"""),"TestPrep Pro")</f>
        <v>TestPrep Pro</v>
      </c>
      <c r="E17" s="122">
        <f>IFERROR(__xludf.DUMMYFUNCTION("""COMPUTED_VALUE"""),104.45)</f>
        <v>104.45</v>
      </c>
      <c r="F17" s="122">
        <f>IFERROR(__xludf.DUMMYFUNCTION("""COMPUTED_VALUE"""),0.0034)</f>
        <v>0.0034</v>
      </c>
    </row>
    <row r="18">
      <c r="A18" s="131">
        <f>IFERROR(__xludf.DUMMYFUNCTION("""COMPUTED_VALUE"""),46186.67875)</f>
        <v>46186.67875</v>
      </c>
      <c r="B18" s="126">
        <f>IFERROR(__xludf.DUMMYFUNCTION("""COMPUTED_VALUE"""),46186.0)</f>
        <v>46186</v>
      </c>
      <c r="C18" s="122" t="str">
        <f>IFERROR(__xludf.DUMMYFUNCTION("""COMPUTED_VALUE"""),"MOVI")</f>
        <v>MOVI</v>
      </c>
      <c r="D18" s="122" t="str">
        <f>IFERROR(__xludf.DUMMYFUNCTION("""COMPUTED_VALUE"""),"MovieBox")</f>
        <v>MovieBox</v>
      </c>
      <c r="E18" s="122">
        <f>IFERROR(__xludf.DUMMYFUNCTION("""COMPUTED_VALUE"""),79.36)</f>
        <v>79.36</v>
      </c>
      <c r="F18" s="122">
        <f>IFERROR(__xludf.DUMMYFUNCTION("""COMPUTED_VALUE"""),-1.0E-4)</f>
        <v>-0.0001</v>
      </c>
    </row>
    <row r="19">
      <c r="A19" s="131">
        <f>IFERROR(__xludf.DUMMYFUNCTION("""COMPUTED_VALUE"""),46186.67875)</f>
        <v>46186.67875</v>
      </c>
      <c r="B19" s="126">
        <f>IFERROR(__xludf.DUMMYFUNCTION("""COMPUTED_VALUE"""),46186.0)</f>
        <v>46186</v>
      </c>
      <c r="C19" s="122" t="str">
        <f>IFERROR(__xludf.DUMMYFUNCTION("""COMPUTED_VALUE"""),"MUSC")</f>
        <v>MUSC</v>
      </c>
      <c r="D19" s="122" t="str">
        <f>IFERROR(__xludf.DUMMYFUNCTION("""COMPUTED_VALUE"""),"MusicWave")</f>
        <v>MusicWave</v>
      </c>
      <c r="E19" s="122">
        <f>IFERROR(__xludf.DUMMYFUNCTION("""COMPUTED_VALUE"""),95.42)</f>
        <v>95.42</v>
      </c>
      <c r="F19" s="122">
        <f>IFERROR(__xludf.DUMMYFUNCTION("""COMPUTED_VALUE"""),0.0025)</f>
        <v>0.0025</v>
      </c>
    </row>
    <row r="20">
      <c r="A20" s="131">
        <f>IFERROR(__xludf.DUMMYFUNCTION("""COMPUTED_VALUE"""),46186.67875)</f>
        <v>46186.67875</v>
      </c>
      <c r="B20" s="126">
        <f>IFERROR(__xludf.DUMMYFUNCTION("""COMPUTED_VALUE"""),46186.0)</f>
        <v>46186</v>
      </c>
      <c r="C20" s="122" t="str">
        <f>IFERROR(__xludf.DUMMYFUNCTION("""COMPUTED_VALUE"""),"IDOL")</f>
        <v>IDOL</v>
      </c>
      <c r="D20" s="122" t="str">
        <f>IFERROR(__xludf.DUMMYFUNCTION("""COMPUTED_VALUE"""),"Idol Agency")</f>
        <v>Idol Agency</v>
      </c>
      <c r="E20" s="122">
        <f>IFERROR(__xludf.DUMMYFUNCTION("""COMPUTED_VALUE"""),201.37)</f>
        <v>201.37</v>
      </c>
      <c r="F20" s="122">
        <f>IFERROR(__xludf.DUMMYFUNCTION("""COMPUTED_VALUE"""),0.0097)</f>
        <v>0.0097</v>
      </c>
    </row>
    <row r="21">
      <c r="A21" s="131">
        <f>IFERROR(__xludf.DUMMYFUNCTION("""COMPUTED_VALUE"""),46186.67875)</f>
        <v>46186.67875</v>
      </c>
      <c r="B21" s="126">
        <f>IFERROR(__xludf.DUMMYFUNCTION("""COMPUTED_VALUE"""),46186.0)</f>
        <v>46186</v>
      </c>
      <c r="C21" s="122" t="str">
        <f>IFERROR(__xludf.DUMMYFUNCTION("""COMPUTED_VALUE"""),"MEME")</f>
        <v>MEME</v>
      </c>
      <c r="D21" s="122" t="str">
        <f>IFERROR(__xludf.DUMMYFUNCTION("""COMPUTED_VALUE"""),"Meme Media")</f>
        <v>Meme Media</v>
      </c>
      <c r="E21" s="122">
        <f>IFERROR(__xludf.DUMMYFUNCTION("""COMPUTED_VALUE"""),80.69)</f>
        <v>80.69</v>
      </c>
      <c r="F21" s="122">
        <f>IFERROR(__xludf.DUMMYFUNCTION("""COMPUTED_VALUE"""),0.0029)</f>
        <v>0.0029</v>
      </c>
    </row>
    <row r="22">
      <c r="A22" s="131">
        <f>IFERROR(__xludf.DUMMYFUNCTION("""COMPUTED_VALUE"""),46186.67875)</f>
        <v>46186.67875</v>
      </c>
      <c r="B22" s="126">
        <f>IFERROR(__xludf.DUMMYFUNCTION("""COMPUTED_VALUE"""),46186.0)</f>
        <v>46186</v>
      </c>
      <c r="C22" s="122" t="str">
        <f>IFERROR(__xludf.DUMMYFUNCTION("""COMPUTED_VALUE"""),"STRM")</f>
        <v>STRM</v>
      </c>
      <c r="D22" s="122" t="str">
        <f>IFERROR(__xludf.DUMMYFUNCTION("""COMPUTED_VALUE"""),"Streamly")</f>
        <v>Streamly</v>
      </c>
      <c r="E22" s="122">
        <f>IFERROR(__xludf.DUMMYFUNCTION("""COMPUTED_VALUE"""),139.95)</f>
        <v>139.95</v>
      </c>
      <c r="F22" s="122">
        <f>IFERROR(__xludf.DUMMYFUNCTION("""COMPUTED_VALUE"""),-0.0055)</f>
        <v>-0.0055</v>
      </c>
    </row>
    <row r="23">
      <c r="A23" s="131">
        <f>IFERROR(__xludf.DUMMYFUNCTION("""COMPUTED_VALUE"""),46186.67875)</f>
        <v>46186.67875</v>
      </c>
      <c r="B23" s="126">
        <f>IFERROR(__xludf.DUMMYFUNCTION("""COMPUTED_VALUE"""),46186.0)</f>
        <v>46186</v>
      </c>
      <c r="C23" s="122" t="str">
        <f>IFERROR(__xludf.DUMMYFUNCTION("""COMPUTED_VALUE"""),"FARM")</f>
        <v>FARM</v>
      </c>
      <c r="D23" s="122" t="str">
        <f>IFERROR(__xludf.DUMMYFUNCTION("""COMPUTED_VALUE"""),"Future Farms")</f>
        <v>Future Farms</v>
      </c>
      <c r="E23" s="122">
        <f>IFERROR(__xludf.DUMMYFUNCTION("""COMPUTED_VALUE"""),78.56)</f>
        <v>78.56</v>
      </c>
      <c r="F23" s="122">
        <f>IFERROR(__xludf.DUMMYFUNCTION("""COMPUTED_VALUE"""),-4.0E-4)</f>
        <v>-0.0004</v>
      </c>
    </row>
    <row r="24">
      <c r="A24" s="131">
        <f>IFERROR(__xludf.DUMMYFUNCTION("""COMPUTED_VALUE"""),46186.67875)</f>
        <v>46186.67875</v>
      </c>
      <c r="B24" s="126">
        <f>IFERROR(__xludf.DUMMYFUNCTION("""COMPUTED_VALUE"""),46186.0)</f>
        <v>46186</v>
      </c>
      <c r="C24" s="122" t="str">
        <f>IFERROR(__xludf.DUMMYFUNCTION("""COMPUTED_VALUE"""),"MEAT")</f>
        <v>MEAT</v>
      </c>
      <c r="D24" s="122" t="str">
        <f>IFERROR(__xludf.DUMMYFUNCTION("""COMPUTED_VALUE"""),"MeatWorks")</f>
        <v>MeatWorks</v>
      </c>
      <c r="E24" s="122">
        <f>IFERROR(__xludf.DUMMYFUNCTION("""COMPUTED_VALUE"""),101.88)</f>
        <v>101.88</v>
      </c>
      <c r="F24" s="122">
        <f>IFERROR(__xludf.DUMMYFUNCTION("""COMPUTED_VALUE"""),0.0044)</f>
        <v>0.0044</v>
      </c>
    </row>
    <row r="25">
      <c r="A25" s="131">
        <f>IFERROR(__xludf.DUMMYFUNCTION("""COMPUTED_VALUE"""),46186.67875)</f>
        <v>46186.67875</v>
      </c>
      <c r="B25" s="126">
        <f>IFERROR(__xludf.DUMMYFUNCTION("""COMPUTED_VALUE"""),46186.0)</f>
        <v>46186</v>
      </c>
      <c r="C25" s="122" t="str">
        <f>IFERROR(__xludf.DUMMYFUNCTION("""COMPUTED_VALUE"""),"VEGI")</f>
        <v>VEGI</v>
      </c>
      <c r="D25" s="122" t="str">
        <f>IFERROR(__xludf.DUMMYFUNCTION("""COMPUTED_VALUE"""),"Green Basket")</f>
        <v>Green Basket</v>
      </c>
      <c r="E25" s="122">
        <f>IFERROR(__xludf.DUMMYFUNCTION("""COMPUTED_VALUE"""),84.26)</f>
        <v>84.26</v>
      </c>
      <c r="F25" s="122">
        <f>IFERROR(__xludf.DUMMYFUNCTION("""COMPUTED_VALUE"""),0.0051)</f>
        <v>0.0051</v>
      </c>
    </row>
    <row r="26">
      <c r="A26" s="131">
        <f>IFERROR(__xludf.DUMMYFUNCTION("""COMPUTED_VALUE"""),46186.67875)</f>
        <v>46186.67875</v>
      </c>
      <c r="B26" s="126">
        <f>IFERROR(__xludf.DUMMYFUNCTION("""COMPUTED_VALUE"""),46186.0)</f>
        <v>46186</v>
      </c>
      <c r="C26" s="122" t="str">
        <f>IFERROR(__xludf.DUMMYFUNCTION("""COMPUTED_VALUE"""),"CAFE")</f>
        <v>CAFE</v>
      </c>
      <c r="D26" s="122" t="str">
        <f>IFERROR(__xludf.DUMMYFUNCTION("""COMPUTED_VALUE"""),"Cafe Cloud")</f>
        <v>Cafe Cloud</v>
      </c>
      <c r="E26" s="122">
        <f>IFERROR(__xludf.DUMMYFUNCTION("""COMPUTED_VALUE"""),97.35)</f>
        <v>97.35</v>
      </c>
      <c r="F26" s="122">
        <f>IFERROR(__xludf.DUMMYFUNCTION("""COMPUTED_VALUE"""),0.0039)</f>
        <v>0.0039</v>
      </c>
    </row>
    <row r="27">
      <c r="A27" s="131">
        <f>IFERROR(__xludf.DUMMYFUNCTION("""COMPUTED_VALUE"""),46186.67875)</f>
        <v>46186.67875</v>
      </c>
      <c r="B27" s="126">
        <f>IFERROR(__xludf.DUMMYFUNCTION("""COMPUTED_VALUE"""),46186.0)</f>
        <v>46186</v>
      </c>
      <c r="C27" s="122" t="str">
        <f>IFERROR(__xludf.DUMMYFUNCTION("""COMPUTED_VALUE"""),"BAKE")</f>
        <v>BAKE</v>
      </c>
      <c r="D27" s="122" t="str">
        <f>IFERROR(__xludf.DUMMYFUNCTION("""COMPUTED_VALUE"""),"BakeHouse")</f>
        <v>BakeHouse</v>
      </c>
      <c r="E27" s="122">
        <f>IFERROR(__xludf.DUMMYFUNCTION("""COMPUTED_VALUE"""),100.67)</f>
        <v>100.67</v>
      </c>
      <c r="F27" s="122">
        <f>IFERROR(__xludf.DUMMYFUNCTION("""COMPUTED_VALUE"""),9.0E-4)</f>
        <v>0.0009</v>
      </c>
    </row>
    <row r="28">
      <c r="A28" s="131">
        <f>IFERROR(__xludf.DUMMYFUNCTION("""COMPUTED_VALUE"""),46186.67875)</f>
        <v>46186.67875</v>
      </c>
      <c r="B28" s="126">
        <f>IFERROR(__xludf.DUMMYFUNCTION("""COMPUTED_VALUE"""),46186.0)</f>
        <v>46186</v>
      </c>
      <c r="C28" s="122" t="str">
        <f>IFERROR(__xludf.DUMMYFUNCTION("""COMPUTED_VALUE"""),"OILX")</f>
        <v>OILX</v>
      </c>
      <c r="D28" s="122" t="str">
        <f>IFERROR(__xludf.DUMMYFUNCTION("""COMPUTED_VALUE"""),"OilMax Energy")</f>
        <v>OilMax Energy</v>
      </c>
      <c r="E28" s="122">
        <f>IFERROR(__xludf.DUMMYFUNCTION("""COMPUTED_VALUE"""),131.93)</f>
        <v>131.93</v>
      </c>
      <c r="F28" s="122">
        <f>IFERROR(__xludf.DUMMYFUNCTION("""COMPUTED_VALUE"""),0.0059)</f>
        <v>0.0059</v>
      </c>
    </row>
    <row r="29">
      <c r="A29" s="131">
        <f>IFERROR(__xludf.DUMMYFUNCTION("""COMPUTED_VALUE"""),46186.67875)</f>
        <v>46186.67875</v>
      </c>
      <c r="B29" s="126">
        <f>IFERROR(__xludf.DUMMYFUNCTION("""COMPUTED_VALUE"""),46186.0)</f>
        <v>46186</v>
      </c>
      <c r="C29" s="122" t="str">
        <f>IFERROR(__xludf.DUMMYFUNCTION("""COMPUTED_VALUE"""),"SOLR")</f>
        <v>SOLR</v>
      </c>
      <c r="D29" s="122" t="str">
        <f>IFERROR(__xludf.DUMMYFUNCTION("""COMPUTED_VALUE"""),"SolarSpark")</f>
        <v>SolarSpark</v>
      </c>
      <c r="E29" s="122">
        <f>IFERROR(__xludf.DUMMYFUNCTION("""COMPUTED_VALUE"""),84.85)</f>
        <v>84.85</v>
      </c>
      <c r="F29" s="122">
        <f>IFERROR(__xludf.DUMMYFUNCTION("""COMPUTED_VALUE"""),0.0017)</f>
        <v>0.0017</v>
      </c>
    </row>
    <row r="30">
      <c r="A30" s="131">
        <f>IFERROR(__xludf.DUMMYFUNCTION("""COMPUTED_VALUE"""),46186.67875)</f>
        <v>46186.67875</v>
      </c>
      <c r="B30" s="126">
        <f>IFERROR(__xludf.DUMMYFUNCTION("""COMPUTED_VALUE"""),46186.0)</f>
        <v>46186</v>
      </c>
      <c r="C30" s="122" t="str">
        <f>IFERROR(__xludf.DUMMYFUNCTION("""COMPUTED_VALUE"""),"BATT")</f>
        <v>BATT</v>
      </c>
      <c r="D30" s="122" t="str">
        <f>IFERROR(__xludf.DUMMYFUNCTION("""COMPUTED_VALUE"""),"BatteryBox")</f>
        <v>BatteryBox</v>
      </c>
      <c r="E30" s="122">
        <f>IFERROR(__xludf.DUMMYFUNCTION("""COMPUTED_VALUE"""),116.74)</f>
        <v>116.74</v>
      </c>
      <c r="F30" s="122">
        <f>IFERROR(__xludf.DUMMYFUNCTION("""COMPUTED_VALUE"""),0.0015)</f>
        <v>0.0015</v>
      </c>
    </row>
    <row r="31">
      <c r="A31" s="131">
        <f>IFERROR(__xludf.DUMMYFUNCTION("""COMPUTED_VALUE"""),46186.67875)</f>
        <v>46186.67875</v>
      </c>
      <c r="B31" s="126">
        <f>IFERROR(__xludf.DUMMYFUNCTION("""COMPUTED_VALUE"""),46186.0)</f>
        <v>46186</v>
      </c>
      <c r="C31" s="122" t="str">
        <f>IFERROR(__xludf.DUMMYFUNCTION("""COMPUTED_VALUE"""),"WIND")</f>
        <v>WIND</v>
      </c>
      <c r="D31" s="122" t="str">
        <f>IFERROR(__xludf.DUMMYFUNCTION("""COMPUTED_VALUE"""),"WindWorks")</f>
        <v>WindWorks</v>
      </c>
      <c r="E31" s="122">
        <f>IFERROR(__xludf.DUMMYFUNCTION("""COMPUTED_VALUE"""),91.81)</f>
        <v>91.81</v>
      </c>
      <c r="F31" s="122">
        <f>IFERROR(__xludf.DUMMYFUNCTION("""COMPUTED_VALUE"""),9.0E-4)</f>
        <v>0.0009</v>
      </c>
    </row>
    <row r="32">
      <c r="A32" s="131">
        <f>IFERROR(__xludf.DUMMYFUNCTION("""COMPUTED_VALUE"""),46186.67875)</f>
        <v>46186.67875</v>
      </c>
      <c r="B32" s="126">
        <f>IFERROR(__xludf.DUMMYFUNCTION("""COMPUTED_VALUE"""),46186.0)</f>
        <v>46186</v>
      </c>
      <c r="C32" s="122" t="str">
        <f>IFERROR(__xludf.DUMMYFUNCTION("""COMPUTED_VALUE"""),"GRID")</f>
        <v>GRID</v>
      </c>
      <c r="D32" s="122" t="str">
        <f>IFERROR(__xludf.DUMMYFUNCTION("""COMPUTED_VALUE"""),"GridPower")</f>
        <v>GridPower</v>
      </c>
      <c r="E32" s="122">
        <f>IFERROR(__xludf.DUMMYFUNCTION("""COMPUTED_VALUE"""),144.92)</f>
        <v>144.92</v>
      </c>
      <c r="F32" s="122">
        <f>IFERROR(__xludf.DUMMYFUNCTION("""COMPUTED_VALUE"""),0.0047)</f>
        <v>0.0047</v>
      </c>
    </row>
    <row r="33">
      <c r="A33" s="131">
        <f>IFERROR(__xludf.DUMMYFUNCTION("""COMPUTED_VALUE"""),46186.67875)</f>
        <v>46186.67875</v>
      </c>
      <c r="B33" s="126">
        <f>IFERROR(__xludf.DUMMYFUNCTION("""COMPUTED_VALUE"""),46186.0)</f>
        <v>46186</v>
      </c>
      <c r="C33" s="122" t="str">
        <f>IFERROR(__xludf.DUMMYFUNCTION("""COMPUTED_VALUE"""),"HOME")</f>
        <v>HOME</v>
      </c>
      <c r="D33" s="122" t="str">
        <f>IFERROR(__xludf.DUMMYFUNCTION("""COMPUTED_VALUE"""),"HomeHub")</f>
        <v>HomeHub</v>
      </c>
      <c r="E33" s="122">
        <f>IFERROR(__xludf.DUMMYFUNCTION("""COMPUTED_VALUE"""),146.46)</f>
        <v>146.46</v>
      </c>
      <c r="F33" s="122">
        <f>IFERROR(__xludf.DUMMYFUNCTION("""COMPUTED_VALUE"""),0.001)</f>
        <v>0.001</v>
      </c>
    </row>
    <row r="34">
      <c r="A34" s="131">
        <f>IFERROR(__xludf.DUMMYFUNCTION("""COMPUTED_VALUE"""),46186.67875)</f>
        <v>46186.67875</v>
      </c>
      <c r="B34" s="126">
        <f>IFERROR(__xludf.DUMMYFUNCTION("""COMPUTED_VALUE"""),46186.0)</f>
        <v>46186</v>
      </c>
      <c r="C34" s="122" t="str">
        <f>IFERROR(__xludf.DUMMYFUNCTION("""COMPUTED_VALUE"""),"RENT")</f>
        <v>RENT</v>
      </c>
      <c r="D34" s="122" t="str">
        <f>IFERROR(__xludf.DUMMYFUNCTION("""COMPUTED_VALUE"""),"RentRight")</f>
        <v>RentRight</v>
      </c>
      <c r="E34" s="122">
        <f>IFERROR(__xludf.DUMMYFUNCTION("""COMPUTED_VALUE"""),94.48)</f>
        <v>94.48</v>
      </c>
      <c r="F34" s="122">
        <f>IFERROR(__xludf.DUMMYFUNCTION("""COMPUTED_VALUE"""),0.0055)</f>
        <v>0.0055</v>
      </c>
    </row>
    <row r="35">
      <c r="A35" s="131">
        <f>IFERROR(__xludf.DUMMYFUNCTION("""COMPUTED_VALUE"""),46186.67875)</f>
        <v>46186.67875</v>
      </c>
      <c r="B35" s="126">
        <f>IFERROR(__xludf.DUMMYFUNCTION("""COMPUTED_VALUE"""),46186.0)</f>
        <v>46186</v>
      </c>
      <c r="C35" s="122" t="str">
        <f>IFERROR(__xludf.DUMMYFUNCTION("""COMPUTED_VALUE"""),"MALL")</f>
        <v>MALL</v>
      </c>
      <c r="D35" s="122" t="str">
        <f>IFERROR(__xludf.DUMMYFUNCTION("""COMPUTED_VALUE"""),"MegaMall")</f>
        <v>MegaMall</v>
      </c>
      <c r="E35" s="122">
        <f>IFERROR(__xludf.DUMMYFUNCTION("""COMPUTED_VALUE"""),93.09)</f>
        <v>93.09</v>
      </c>
      <c r="F35" s="122">
        <f>IFERROR(__xludf.DUMMYFUNCTION("""COMPUTED_VALUE"""),-0.0056)</f>
        <v>-0.0056</v>
      </c>
    </row>
    <row r="36">
      <c r="A36" s="131">
        <f>IFERROR(__xludf.DUMMYFUNCTION("""COMPUTED_VALUE"""),46186.67875)</f>
        <v>46186.67875</v>
      </c>
      <c r="B36" s="126">
        <f>IFERROR(__xludf.DUMMYFUNCTION("""COMPUTED_VALUE"""),46186.0)</f>
        <v>46186</v>
      </c>
      <c r="C36" s="122" t="str">
        <f>IFERROR(__xludf.DUMMYFUNCTION("""COMPUTED_VALUE"""),"HOTL")</f>
        <v>HOTL</v>
      </c>
      <c r="D36" s="122" t="str">
        <f>IFERROR(__xludf.DUMMYFUNCTION("""COMPUTED_VALUE"""),"HotelHive")</f>
        <v>HotelHive</v>
      </c>
      <c r="E36" s="122">
        <f>IFERROR(__xludf.DUMMYFUNCTION("""COMPUTED_VALUE"""),132.66)</f>
        <v>132.66</v>
      </c>
      <c r="F36" s="122">
        <f>IFERROR(__xludf.DUMMYFUNCTION("""COMPUTED_VALUE"""),-0.0098)</f>
        <v>-0.0098</v>
      </c>
    </row>
    <row r="37">
      <c r="A37" s="131">
        <f>IFERROR(__xludf.DUMMYFUNCTION("""COMPUTED_VALUE"""),46186.67875)</f>
        <v>46186.67875</v>
      </c>
      <c r="B37" s="126">
        <f>IFERROR(__xludf.DUMMYFUNCTION("""COMPUTED_VALUE"""),46186.0)</f>
        <v>46186</v>
      </c>
      <c r="C37" s="122" t="str">
        <f>IFERROR(__xludf.DUMMYFUNCTION("""COMPUTED_VALUE"""),"LAND")</f>
        <v>LAND</v>
      </c>
      <c r="D37" s="122" t="str">
        <f>IFERROR(__xludf.DUMMYFUNCTION("""COMPUTED_VALUE"""),"LandLink")</f>
        <v>LandLink</v>
      </c>
      <c r="E37" s="122">
        <f>IFERROR(__xludf.DUMMYFUNCTION("""COMPUTED_VALUE"""),179.59)</f>
        <v>179.59</v>
      </c>
      <c r="F37" s="122">
        <f>IFERROR(__xludf.DUMMYFUNCTION("""COMPUTED_VALUE"""),-0.0038)</f>
        <v>-0.0038</v>
      </c>
    </row>
    <row r="38">
      <c r="A38" s="131">
        <f>IFERROR(__xludf.DUMMYFUNCTION("""COMPUTED_VALUE"""),46186.67875)</f>
        <v>46186.67875</v>
      </c>
      <c r="B38" s="126">
        <f>IFERROR(__xludf.DUMMYFUNCTION("""COMPUTED_VALUE"""),46186.0)</f>
        <v>46186</v>
      </c>
      <c r="C38" s="122" t="str">
        <f>IFERROR(__xludf.DUMMYFUNCTION("""COMPUTED_VALUE"""),"CARS")</f>
        <v>CARS</v>
      </c>
      <c r="D38" s="122" t="str">
        <f>IFERROR(__xludf.DUMMYFUNCTION("""COMPUTED_VALUE"""),"AutoArena")</f>
        <v>AutoArena</v>
      </c>
      <c r="E38" s="122">
        <f>IFERROR(__xludf.DUMMYFUNCTION("""COMPUTED_VALUE"""),80.66)</f>
        <v>80.66</v>
      </c>
      <c r="F38" s="122">
        <f>IFERROR(__xludf.DUMMYFUNCTION("""COMPUTED_VALUE"""),-9.0E-4)</f>
        <v>-0.0009</v>
      </c>
    </row>
    <row r="39">
      <c r="A39" s="131">
        <f>IFERROR(__xludf.DUMMYFUNCTION("""COMPUTED_VALUE"""),46186.67875)</f>
        <v>46186.67875</v>
      </c>
      <c r="B39" s="126">
        <f>IFERROR(__xludf.DUMMYFUNCTION("""COMPUTED_VALUE"""),46186.0)</f>
        <v>46186</v>
      </c>
      <c r="C39" s="122" t="str">
        <f>IFERROR(__xludf.DUMMYFUNCTION("""COMPUTED_VALUE"""),"EVGO")</f>
        <v>EVGO</v>
      </c>
      <c r="D39" s="122" t="str">
        <f>IFERROR(__xludf.DUMMYFUNCTION("""COMPUTED_VALUE"""),"EVGo Motors")</f>
        <v>EVGo Motors</v>
      </c>
      <c r="E39" s="122">
        <f>IFERROR(__xludf.DUMMYFUNCTION("""COMPUTED_VALUE"""),200.98)</f>
        <v>200.98</v>
      </c>
      <c r="F39" s="122">
        <f>IFERROR(__xludf.DUMMYFUNCTION("""COMPUTED_VALUE"""),0.0101)</f>
        <v>0.0101</v>
      </c>
    </row>
    <row r="40">
      <c r="A40" s="131">
        <f>IFERROR(__xludf.DUMMYFUNCTION("""COMPUTED_VALUE"""),46186.67875)</f>
        <v>46186.67875</v>
      </c>
      <c r="B40" s="126">
        <f>IFERROR(__xludf.DUMMYFUNCTION("""COMPUTED_VALUE"""),46186.0)</f>
        <v>46186</v>
      </c>
      <c r="C40" s="122" t="str">
        <f>IFERROR(__xludf.DUMMYFUNCTION("""COMPUTED_VALUE"""),"TIRE")</f>
        <v>TIRE</v>
      </c>
      <c r="D40" s="122" t="str">
        <f>IFERROR(__xludf.DUMMYFUNCTION("""COMPUTED_VALUE"""),"TireTown")</f>
        <v>TireTown</v>
      </c>
      <c r="E40" s="122">
        <f>IFERROR(__xludf.DUMMYFUNCTION("""COMPUTED_VALUE"""),83.71)</f>
        <v>83.71</v>
      </c>
      <c r="F40" s="122">
        <f>IFERROR(__xludf.DUMMYFUNCTION("""COMPUTED_VALUE"""),0.0012)</f>
        <v>0.0012</v>
      </c>
    </row>
    <row r="41">
      <c r="A41" s="131">
        <f>IFERROR(__xludf.DUMMYFUNCTION("""COMPUTED_VALUE"""),46186.67875)</f>
        <v>46186.67875</v>
      </c>
      <c r="B41" s="126">
        <f>IFERROR(__xludf.DUMMYFUNCTION("""COMPUTED_VALUE"""),46186.0)</f>
        <v>46186</v>
      </c>
      <c r="C41" s="122" t="str">
        <f>IFERROR(__xludf.DUMMYFUNCTION("""COMPUTED_VALUE"""),"BIKE")</f>
        <v>BIKE</v>
      </c>
      <c r="D41" s="122" t="str">
        <f>IFERROR(__xludf.DUMMYFUNCTION("""COMPUTED_VALUE"""),"BikeBox")</f>
        <v>BikeBox</v>
      </c>
      <c r="E41" s="122">
        <f>IFERROR(__xludf.DUMMYFUNCTION("""COMPUTED_VALUE"""),55.59)</f>
        <v>55.59</v>
      </c>
      <c r="F41" s="122">
        <f>IFERROR(__xludf.DUMMYFUNCTION("""COMPUTED_VALUE"""),-0.0016)</f>
        <v>-0.0016</v>
      </c>
    </row>
    <row r="42">
      <c r="A42" s="131">
        <f>IFERROR(__xludf.DUMMYFUNCTION("""COMPUTED_VALUE"""),46186.67875)</f>
        <v>46186.67875</v>
      </c>
      <c r="B42" s="126">
        <f>IFERROR(__xludf.DUMMYFUNCTION("""COMPUTED_VALUE"""),46186.0)</f>
        <v>46186</v>
      </c>
      <c r="C42" s="122" t="str">
        <f>IFERROR(__xludf.DUMMYFUNCTION("""COMPUTED_VALUE"""),"WASH")</f>
        <v>WASH</v>
      </c>
      <c r="D42" s="122" t="str">
        <f>IFERROR(__xludf.DUMMYFUNCTION("""COMPUTED_VALUE"""),"CarWash Co")</f>
        <v>CarWash Co</v>
      </c>
      <c r="E42" s="122">
        <f>IFERROR(__xludf.DUMMYFUNCTION("""COMPUTED_VALUE"""),116.31)</f>
        <v>116.31</v>
      </c>
      <c r="F42" s="122">
        <f>IFERROR(__xludf.DUMMYFUNCTION("""COMPUTED_VALUE"""),0.0056)</f>
        <v>0.0056</v>
      </c>
    </row>
    <row r="43">
      <c r="A43" s="131">
        <f>IFERROR(__xludf.DUMMYFUNCTION("""COMPUTED_VALUE"""),46186.67875)</f>
        <v>46186.67875</v>
      </c>
      <c r="B43" s="126">
        <f>IFERROR(__xludf.DUMMYFUNCTION("""COMPUTED_VALUE"""),46186.0)</f>
        <v>46186</v>
      </c>
      <c r="C43" s="122" t="str">
        <f>IFERROR(__xludf.DUMMYFUNCTION("""COMPUTED_VALUE"""),"GBND")</f>
        <v>GBND</v>
      </c>
      <c r="D43" s="122" t="str">
        <f>IFERROR(__xludf.DUMMYFUNCTION("""COMPUTED_VALUE"""),"Classroom Government Bond")</f>
        <v>Classroom Government Bond</v>
      </c>
      <c r="E43" s="122">
        <f>IFERROR(__xludf.DUMMYFUNCTION("""COMPUTED_VALUE"""),100.82)</f>
        <v>100.82</v>
      </c>
      <c r="F43" s="122">
        <f>IFERROR(__xludf.DUMMYFUNCTION("""COMPUTED_VALUE"""),5.0E-4)</f>
        <v>0.0005</v>
      </c>
    </row>
    <row r="44">
      <c r="A44" s="131">
        <f>IFERROR(__xludf.DUMMYFUNCTION("""COMPUTED_VALUE"""),46186.67875)</f>
        <v>46186.67875</v>
      </c>
      <c r="B44" s="126">
        <f>IFERROR(__xludf.DUMMYFUNCTION("""COMPUTED_VALUE"""),46186.0)</f>
        <v>46186</v>
      </c>
      <c r="C44" s="122" t="str">
        <f>IFERROR(__xludf.DUMMYFUNCTION("""COMPUTED_VALUE"""),"SBND")</f>
        <v>SBND</v>
      </c>
      <c r="D44" s="122" t="str">
        <f>IFERROR(__xludf.DUMMYFUNCTION("""COMPUTED_VALUE"""),"School Savings Bond")</f>
        <v>School Savings Bond</v>
      </c>
      <c r="E44" s="122">
        <f>IFERROR(__xludf.DUMMYFUNCTION("""COMPUTED_VALUE"""),99.18)</f>
        <v>99.18</v>
      </c>
      <c r="F44" s="122">
        <f>IFERROR(__xludf.DUMMYFUNCTION("""COMPUTED_VALUE"""),3.0E-4)</f>
        <v>0.0003</v>
      </c>
    </row>
    <row r="45">
      <c r="A45" s="131">
        <f>IFERROR(__xludf.DUMMYFUNCTION("""COMPUTED_VALUE"""),46186.67875)</f>
        <v>46186.67875</v>
      </c>
      <c r="B45" s="126">
        <f>IFERROR(__xludf.DUMMYFUNCTION("""COMPUTED_VALUE"""),46186.0)</f>
        <v>46186</v>
      </c>
      <c r="C45" s="122" t="str">
        <f>IFERROR(__xludf.DUMMYFUNCTION("""COMPUTED_VALUE"""),"CBND")</f>
        <v>CBND</v>
      </c>
      <c r="D45" s="122" t="str">
        <f>IFERROR(__xludf.DUMMYFUNCTION("""COMPUTED_VALUE"""),"Corporate Classroom Bond")</f>
        <v>Corporate Classroom Bond</v>
      </c>
      <c r="E45" s="122">
        <f>IFERROR(__xludf.DUMMYFUNCTION("""COMPUTED_VALUE"""),97.88)</f>
        <v>97.88</v>
      </c>
      <c r="F45" s="122">
        <f>IFERROR(__xludf.DUMMYFUNCTION("""COMPUTED_VALUE"""),1.0E-4)</f>
        <v>0.0001</v>
      </c>
    </row>
    <row r="46">
      <c r="A46" s="131">
        <f>IFERROR(__xludf.DUMMYFUNCTION("""COMPUTED_VALUE"""),46186.67875)</f>
        <v>46186.67875</v>
      </c>
      <c r="B46" s="126">
        <f>IFERROR(__xludf.DUMMYFUNCTION("""COMPUTED_VALUE"""),46186.0)</f>
        <v>46186</v>
      </c>
      <c r="C46" s="122" t="str">
        <f>IFERROR(__xludf.DUMMYFUNCTION("""COMPUTED_VALUE"""),"TBIL")</f>
        <v>TBIL</v>
      </c>
      <c r="D46" s="122" t="str">
        <f>IFERROR(__xludf.DUMMYFUNCTION("""COMPUTED_VALUE"""),"Treasury Bill")</f>
        <v>Treasury Bill</v>
      </c>
      <c r="E46" s="122">
        <f>IFERROR(__xludf.DUMMYFUNCTION("""COMPUTED_VALUE"""),98.0)</f>
        <v>98</v>
      </c>
      <c r="F46" s="122">
        <f>IFERROR(__xludf.DUMMYFUNCTION("""COMPUTED_VALUE"""),1.0E-4)</f>
        <v>0.0001</v>
      </c>
    </row>
    <row r="47">
      <c r="A47" s="131">
        <f>IFERROR(__xludf.DUMMYFUNCTION("""COMPUTED_VALUE"""),46186.67875)</f>
        <v>46186.67875</v>
      </c>
      <c r="B47" s="126">
        <f>IFERROR(__xludf.DUMMYFUNCTION("""COMPUTED_VALUE"""),46186.0)</f>
        <v>46186</v>
      </c>
      <c r="C47" s="122" t="str">
        <f>IFERROR(__xludf.DUMMYFUNCTION("""COMPUTED_VALUE"""),"IBND")</f>
        <v>IBND</v>
      </c>
      <c r="D47" s="122" t="str">
        <f>IFERROR(__xludf.DUMMYFUNCTION("""COMPUTED_VALUE"""),"Inflation Protected Bond")</f>
        <v>Inflation Protected Bond</v>
      </c>
      <c r="E47" s="122">
        <f>IFERROR(__xludf.DUMMYFUNCTION("""COMPUTED_VALUE"""),100.58)</f>
        <v>100.58</v>
      </c>
      <c r="F47" s="122">
        <f>IFERROR(__xludf.DUMMYFUNCTION("""COMPUTED_VALUE"""),1.0E-4)</f>
        <v>0.0001</v>
      </c>
    </row>
    <row r="48">
      <c r="A48" s="131">
        <f>IFERROR(__xludf.DUMMYFUNCTION("""COMPUTED_VALUE"""),46186.68006944445)</f>
        <v>46186.68007</v>
      </c>
      <c r="B48" s="126">
        <f>IFERROR(__xludf.DUMMYFUNCTION("""COMPUTED_VALUE"""),46186.0)</f>
        <v>46186</v>
      </c>
      <c r="C48" s="130">
        <f>IFERROR(__xludf.DUMMYFUNCTION("""COMPUTED_VALUE"""),0.6800694444444444)</f>
        <v>0.6800694444</v>
      </c>
      <c r="D48" s="122" t="str">
        <f>IFERROR(__xludf.DUMMYFUNCTION("""COMPUTED_VALUE"""),"SNAX")</f>
        <v>SNAX</v>
      </c>
      <c r="E48" s="122" t="str">
        <f>IFERROR(__xludf.DUMMYFUNCTION("""COMPUTED_VALUE"""),"MICA Snacks")</f>
        <v>MICA Snacks</v>
      </c>
      <c r="F48" s="122" t="str">
        <f>IFERROR(__xludf.DUMMYFUNCTION("""COMPUTED_VALUE"""),"Consumer Goods")</f>
        <v>Consumer Goods</v>
      </c>
    </row>
    <row r="49">
      <c r="A49" s="131">
        <f>IFERROR(__xludf.DUMMYFUNCTION("""COMPUTED_VALUE"""),46186.68006944445)</f>
        <v>46186.68007</v>
      </c>
      <c r="B49" s="126">
        <f>IFERROR(__xludf.DUMMYFUNCTION("""COMPUTED_VALUE"""),46186.0)</f>
        <v>46186</v>
      </c>
      <c r="C49" s="130">
        <f>IFERROR(__xludf.DUMMYFUNCTION("""COMPUTED_VALUE"""),0.6800694444444444)</f>
        <v>0.6800694444</v>
      </c>
      <c r="D49" s="122" t="str">
        <f>IFERROR(__xludf.DUMMYFUNCTION("""COMPUTED_VALUE"""),"RAMN")</f>
        <v>RAMN</v>
      </c>
      <c r="E49" s="122" t="str">
        <f>IFERROR(__xludf.DUMMYFUNCTION("""COMPUTED_VALUE"""),"Ramen Republic")</f>
        <v>Ramen Republic</v>
      </c>
      <c r="F49" s="122" t="str">
        <f>IFERROR(__xludf.DUMMYFUNCTION("""COMPUTED_VALUE"""),"Food")</f>
        <v>Food</v>
      </c>
    </row>
    <row r="50">
      <c r="A50" s="131">
        <f>IFERROR(__xludf.DUMMYFUNCTION("""COMPUTED_VALUE"""),46186.68006944445)</f>
        <v>46186.68007</v>
      </c>
      <c r="B50" s="126">
        <f>IFERROR(__xludf.DUMMYFUNCTION("""COMPUTED_VALUE"""),46186.0)</f>
        <v>46186</v>
      </c>
      <c r="C50" s="130">
        <f>IFERROR(__xludf.DUMMYFUNCTION("""COMPUTED_VALUE"""),0.6800694444444444)</f>
        <v>0.6800694444</v>
      </c>
      <c r="D50" s="122" t="str">
        <f>IFERROR(__xludf.DUMMYFUNCTION("""COMPUTED_VALUE"""),"COLA")</f>
        <v>COLA</v>
      </c>
      <c r="E50" s="122" t="str">
        <f>IFERROR(__xludf.DUMMYFUNCTION("""COMPUTED_VALUE"""),"K-Pop Cola")</f>
        <v>K-Pop Cola</v>
      </c>
      <c r="F50" s="122" t="str">
        <f>IFERROR(__xludf.DUMMYFUNCTION("""COMPUTED_VALUE"""),"Beverage")</f>
        <v>Beverage</v>
      </c>
    </row>
    <row r="51">
      <c r="A51" s="131">
        <f>IFERROR(__xludf.DUMMYFUNCTION("""COMPUTED_VALUE"""),46186.68006944445)</f>
        <v>46186.68007</v>
      </c>
      <c r="B51" s="126">
        <f>IFERROR(__xludf.DUMMYFUNCTION("""COMPUTED_VALUE"""),46186.0)</f>
        <v>46186</v>
      </c>
      <c r="C51" s="130">
        <f>IFERROR(__xludf.DUMMYFUNCTION("""COMPUTED_VALUE"""),0.6800694444444444)</f>
        <v>0.6800694444</v>
      </c>
      <c r="D51" s="122" t="str">
        <f>IFERROR(__xludf.DUMMYFUNCTION("""COMPUTED_VALUE"""),"CHIP")</f>
        <v>CHIP</v>
      </c>
      <c r="E51" s="122" t="str">
        <f>IFERROR(__xludf.DUMMYFUNCTION("""COMPUTED_VALUE"""),"Chip Empire")</f>
        <v>Chip Empire</v>
      </c>
      <c r="F51" s="122" t="str">
        <f>IFERROR(__xludf.DUMMYFUNCTION("""COMPUTED_VALUE"""),"Consumer Goods")</f>
        <v>Consumer Goods</v>
      </c>
    </row>
    <row r="52">
      <c r="A52" s="131">
        <f>IFERROR(__xludf.DUMMYFUNCTION("""COMPUTED_VALUE"""),46186.68006944445)</f>
        <v>46186.68007</v>
      </c>
      <c r="B52" s="126">
        <f>IFERROR(__xludf.DUMMYFUNCTION("""COMPUTED_VALUE"""),46186.0)</f>
        <v>46186</v>
      </c>
      <c r="C52" s="130">
        <f>IFERROR(__xludf.DUMMYFUNCTION("""COMPUTED_VALUE"""),0.6800694444444444)</f>
        <v>0.6800694444</v>
      </c>
      <c r="D52" s="122" t="str">
        <f>IFERROR(__xludf.DUMMYFUNCTION("""COMPUTED_VALUE"""),"CAND")</f>
        <v>CAND</v>
      </c>
      <c r="E52" s="122" t="str">
        <f>IFERROR(__xludf.DUMMYFUNCTION("""COMPUTED_VALUE"""),"Candy Capital")</f>
        <v>Candy Capital</v>
      </c>
      <c r="F52" s="122" t="str">
        <f>IFERROR(__xludf.DUMMYFUNCTION("""COMPUTED_VALUE"""),"Consumer Goods")</f>
        <v>Consumer Goods</v>
      </c>
    </row>
    <row r="53">
      <c r="A53" s="131">
        <f>IFERROR(__xludf.DUMMYFUNCTION("""COMPUTED_VALUE"""),46186.68006944445)</f>
        <v>46186.68007</v>
      </c>
      <c r="B53" s="126">
        <f>IFERROR(__xludf.DUMMYFUNCTION("""COMPUTED_VALUE"""),46186.0)</f>
        <v>46186</v>
      </c>
      <c r="C53" s="130">
        <f>IFERROR(__xludf.DUMMYFUNCTION("""COMPUTED_VALUE"""),0.6800694444444444)</f>
        <v>0.6800694444</v>
      </c>
      <c r="D53" s="122" t="str">
        <f>IFERROR(__xludf.DUMMYFUNCTION("""COMPUTED_VALUE"""),"TECH")</f>
        <v>TECH</v>
      </c>
      <c r="E53" s="122" t="str">
        <f>IFERROR(__xludf.DUMMYFUNCTION("""COMPUTED_VALUE"""),"Dragon Tech")</f>
        <v>Dragon Tech</v>
      </c>
      <c r="F53" s="122" t="str">
        <f>IFERROR(__xludf.DUMMYFUNCTION("""COMPUTED_VALUE"""),"Technology")</f>
        <v>Technology</v>
      </c>
    </row>
    <row r="54">
      <c r="A54" s="131">
        <f>IFERROR(__xludf.DUMMYFUNCTION("""COMPUTED_VALUE"""),46186.68006944445)</f>
        <v>46186.68007</v>
      </c>
      <c r="B54" s="126">
        <f>IFERROR(__xludf.DUMMYFUNCTION("""COMPUTED_VALUE"""),46186.0)</f>
        <v>46186</v>
      </c>
      <c r="C54" s="130">
        <f>IFERROR(__xludf.DUMMYFUNCTION("""COMPUTED_VALUE"""),0.6800694444444444)</f>
        <v>0.6800694444</v>
      </c>
      <c r="D54" s="122" t="str">
        <f>IFERROR(__xludf.DUMMYFUNCTION("""COMPUTED_VALUE"""),"AIBO")</f>
        <v>AIBO</v>
      </c>
      <c r="E54" s="122" t="str">
        <f>IFERROR(__xludf.DUMMYFUNCTION("""COMPUTED_VALUE"""),"Homework AI")</f>
        <v>Homework AI</v>
      </c>
      <c r="F54" s="122" t="str">
        <f>IFERROR(__xludf.DUMMYFUNCTION("""COMPUTED_VALUE"""),"Technology")</f>
        <v>Technology</v>
      </c>
    </row>
    <row r="55">
      <c r="A55" s="131">
        <f>IFERROR(__xludf.DUMMYFUNCTION("""COMPUTED_VALUE"""),46186.68006944445)</f>
        <v>46186.68007</v>
      </c>
      <c r="B55" s="126">
        <f>IFERROR(__xludf.DUMMYFUNCTION("""COMPUTED_VALUE"""),46186.0)</f>
        <v>46186</v>
      </c>
      <c r="C55" s="130">
        <f>IFERROR(__xludf.DUMMYFUNCTION("""COMPUTED_VALUE"""),0.6800694444444444)</f>
        <v>0.6800694444</v>
      </c>
      <c r="D55" s="122" t="str">
        <f>IFERROR(__xludf.DUMMYFUNCTION("""COMPUTED_VALUE"""),"GAME")</f>
        <v>GAME</v>
      </c>
      <c r="E55" s="122" t="str">
        <f>IFERROR(__xludf.DUMMYFUNCTION("""COMPUTED_VALUE"""),"GameBox Media")</f>
        <v>GameBox Media</v>
      </c>
      <c r="F55" s="122" t="str">
        <f>IFERROR(__xludf.DUMMYFUNCTION("""COMPUTED_VALUE"""),"Entertainment")</f>
        <v>Entertainment</v>
      </c>
    </row>
    <row r="56">
      <c r="A56" s="131">
        <f>IFERROR(__xludf.DUMMYFUNCTION("""COMPUTED_VALUE"""),46186.68006944445)</f>
        <v>46186.68007</v>
      </c>
      <c r="B56" s="126">
        <f>IFERROR(__xludf.DUMMYFUNCTION("""COMPUTED_VALUE"""),46186.0)</f>
        <v>46186</v>
      </c>
      <c r="C56" s="130">
        <f>IFERROR(__xludf.DUMMYFUNCTION("""COMPUTED_VALUE"""),0.6800694444444444)</f>
        <v>0.6800694444</v>
      </c>
      <c r="D56" s="122" t="str">
        <f>IFERROR(__xludf.DUMMYFUNCTION("""COMPUTED_VALUE"""),"VRSE")</f>
        <v>VRSE</v>
      </c>
      <c r="E56" s="122" t="str">
        <f>IFERROR(__xludf.DUMMYFUNCTION("""COMPUTED_VALUE"""),"VerseVR")</f>
        <v>VerseVR</v>
      </c>
      <c r="F56" s="122" t="str">
        <f>IFERROR(__xludf.DUMMYFUNCTION("""COMPUTED_VALUE"""),"Technology")</f>
        <v>Technology</v>
      </c>
    </row>
    <row r="57">
      <c r="A57" s="131">
        <f>IFERROR(__xludf.DUMMYFUNCTION("""COMPUTED_VALUE"""),46186.68006944445)</f>
        <v>46186.68007</v>
      </c>
      <c r="B57" s="126">
        <f>IFERROR(__xludf.DUMMYFUNCTION("""COMPUTED_VALUE"""),46186.0)</f>
        <v>46186</v>
      </c>
      <c r="C57" s="130">
        <f>IFERROR(__xludf.DUMMYFUNCTION("""COMPUTED_VALUE"""),0.6800694444444444)</f>
        <v>0.6800694444</v>
      </c>
      <c r="D57" s="122" t="str">
        <f>IFERROR(__xludf.DUMMYFUNCTION("""COMPUTED_VALUE"""),"BYTE")</f>
        <v>BYTE</v>
      </c>
      <c r="E57" s="122" t="str">
        <f>IFERROR(__xludf.DUMMYFUNCTION("""COMPUTED_VALUE"""),"ByteWorks")</f>
        <v>ByteWorks</v>
      </c>
      <c r="F57" s="122" t="str">
        <f>IFERROR(__xludf.DUMMYFUNCTION("""COMPUTED_VALUE"""),"Technology")</f>
        <v>Technology</v>
      </c>
    </row>
    <row r="58">
      <c r="A58" s="131">
        <f>IFERROR(__xludf.DUMMYFUNCTION("""COMPUTED_VALUE"""),46186.68006944445)</f>
        <v>46186.68007</v>
      </c>
      <c r="B58" s="126">
        <f>IFERROR(__xludf.DUMMYFUNCTION("""COMPUTED_VALUE"""),46186.0)</f>
        <v>46186</v>
      </c>
      <c r="C58" s="130">
        <f>IFERROR(__xludf.DUMMYFUNCTION("""COMPUTED_VALUE"""),0.6800694444444444)</f>
        <v>0.6800694444</v>
      </c>
      <c r="D58" s="122" t="str">
        <f>IFERROR(__xludf.DUMMYFUNCTION("""COMPUTED_VALUE"""),"BANK")</f>
        <v>BANK</v>
      </c>
      <c r="E58" s="122" t="str">
        <f>IFERROR(__xludf.DUMMYFUNCTION("""COMPUTED_VALUE"""),"Tiger Bank")</f>
        <v>Tiger Bank</v>
      </c>
      <c r="F58" s="122" t="str">
        <f>IFERROR(__xludf.DUMMYFUNCTION("""COMPUTED_VALUE"""),"Finance")</f>
        <v>Finance</v>
      </c>
    </row>
    <row r="59">
      <c r="A59" s="131">
        <f>IFERROR(__xludf.DUMMYFUNCTION("""COMPUTED_VALUE"""),46186.68006944445)</f>
        <v>46186.68007</v>
      </c>
      <c r="B59" s="126">
        <f>IFERROR(__xludf.DUMMYFUNCTION("""COMPUTED_VALUE"""),46186.0)</f>
        <v>46186</v>
      </c>
      <c r="C59" s="130">
        <f>IFERROR(__xludf.DUMMYFUNCTION("""COMPUTED_VALUE"""),0.6800694444444444)</f>
        <v>0.6800694444</v>
      </c>
      <c r="D59" s="122" t="str">
        <f>IFERROR(__xludf.DUMMYFUNCTION("""COMPUTED_VALUE"""),"CRED")</f>
        <v>CRED</v>
      </c>
      <c r="E59" s="122" t="str">
        <f>IFERROR(__xludf.DUMMYFUNCTION("""COMPUTED_VALUE"""),"Credit Castle")</f>
        <v>Credit Castle</v>
      </c>
      <c r="F59" s="122" t="str">
        <f>IFERROR(__xludf.DUMMYFUNCTION("""COMPUTED_VALUE"""),"Finance")</f>
        <v>Finance</v>
      </c>
    </row>
    <row r="60">
      <c r="A60" s="131">
        <f>IFERROR(__xludf.DUMMYFUNCTION("""COMPUTED_VALUE"""),46186.68006944445)</f>
        <v>46186.68007</v>
      </c>
      <c r="B60" s="126">
        <f>IFERROR(__xludf.DUMMYFUNCTION("""COMPUTED_VALUE"""),46186.0)</f>
        <v>46186</v>
      </c>
      <c r="C60" s="130">
        <f>IFERROR(__xludf.DUMMYFUNCTION("""COMPUTED_VALUE"""),0.6800694444444444)</f>
        <v>0.6800694444</v>
      </c>
      <c r="D60" s="122" t="str">
        <f>IFERROR(__xludf.DUMMYFUNCTION("""COMPUTED_VALUE"""),"BOND")</f>
        <v>BOND</v>
      </c>
      <c r="E60" s="122" t="str">
        <f>IFERROR(__xludf.DUMMYFUNCTION("""COMPUTED_VALUE"""),"BondBridge")</f>
        <v>BondBridge</v>
      </c>
      <c r="F60" s="122" t="str">
        <f>IFERROR(__xludf.DUMMYFUNCTION("""COMPUTED_VALUE"""),"Finance")</f>
        <v>Finance</v>
      </c>
    </row>
    <row r="61">
      <c r="A61" s="131">
        <f>IFERROR(__xludf.DUMMYFUNCTION("""COMPUTED_VALUE"""),46186.68006944445)</f>
        <v>46186.68007</v>
      </c>
      <c r="B61" s="126">
        <f>IFERROR(__xludf.DUMMYFUNCTION("""COMPUTED_VALUE"""),46186.0)</f>
        <v>46186</v>
      </c>
      <c r="C61" s="130">
        <f>IFERROR(__xludf.DUMMYFUNCTION("""COMPUTED_VALUE"""),0.6800694444444444)</f>
        <v>0.6800694444</v>
      </c>
      <c r="D61" s="122" t="str">
        <f>IFERROR(__xludf.DUMMYFUNCTION("""COMPUTED_VALUE"""),"INSR")</f>
        <v>INSR</v>
      </c>
      <c r="E61" s="122" t="str">
        <f>IFERROR(__xludf.DUMMYFUNCTION("""COMPUTED_VALUE"""),"Shield Insurance")</f>
        <v>Shield Insurance</v>
      </c>
      <c r="F61" s="122" t="str">
        <f>IFERROR(__xludf.DUMMYFUNCTION("""COMPUTED_VALUE"""),"Finance")</f>
        <v>Finance</v>
      </c>
    </row>
    <row r="62">
      <c r="A62" s="131">
        <f>IFERROR(__xludf.DUMMYFUNCTION("""COMPUTED_VALUE"""),46186.68006944445)</f>
        <v>46186.68007</v>
      </c>
      <c r="B62" s="126">
        <f>IFERROR(__xludf.DUMMYFUNCTION("""COMPUTED_VALUE"""),46186.0)</f>
        <v>46186</v>
      </c>
      <c r="C62" s="130">
        <f>IFERROR(__xludf.DUMMYFUNCTION("""COMPUTED_VALUE"""),0.6800694444444444)</f>
        <v>0.6800694444</v>
      </c>
      <c r="D62" s="122" t="str">
        <f>IFERROR(__xludf.DUMMYFUNCTION("""COMPUTED_VALUE"""),"LOAN")</f>
        <v>LOAN</v>
      </c>
      <c r="E62" s="122" t="str">
        <f>IFERROR(__xludf.DUMMYFUNCTION("""COMPUTED_VALUE"""),"LoanLab")</f>
        <v>LoanLab</v>
      </c>
      <c r="F62" s="122" t="str">
        <f>IFERROR(__xludf.DUMMYFUNCTION("""COMPUTED_VALUE"""),"Finance")</f>
        <v>Finance</v>
      </c>
    </row>
    <row r="63">
      <c r="A63" s="131">
        <f>IFERROR(__xludf.DUMMYFUNCTION("""COMPUTED_VALUE"""),46186.68006944445)</f>
        <v>46186.68007</v>
      </c>
      <c r="B63" s="126">
        <f>IFERROR(__xludf.DUMMYFUNCTION("""COMPUTED_VALUE"""),46186.0)</f>
        <v>46186</v>
      </c>
      <c r="C63" s="130">
        <f>IFERROR(__xludf.DUMMYFUNCTION("""COMPUTED_VALUE"""),0.6800694444444444)</f>
        <v>0.6800694444</v>
      </c>
      <c r="D63" s="122" t="str">
        <f>IFERROR(__xludf.DUMMYFUNCTION("""COMPUTED_VALUE"""),"LUXE")</f>
        <v>LUXE</v>
      </c>
      <c r="E63" s="122" t="str">
        <f>IFERROR(__xludf.DUMMYFUNCTION("""COMPUTED_VALUE"""),"Luxury Locker")</f>
        <v>Luxury Locker</v>
      </c>
      <c r="F63" s="122" t="str">
        <f>IFERROR(__xludf.DUMMYFUNCTION("""COMPUTED_VALUE"""),"Luxury Goods")</f>
        <v>Luxury Goods</v>
      </c>
    </row>
    <row r="64">
      <c r="A64" s="131">
        <f>IFERROR(__xludf.DUMMYFUNCTION("""COMPUTED_VALUE"""),46186.68006944445)</f>
        <v>46186.68007</v>
      </c>
      <c r="B64" s="126">
        <f>IFERROR(__xludf.DUMMYFUNCTION("""COMPUTED_VALUE"""),46186.0)</f>
        <v>46186</v>
      </c>
      <c r="C64" s="130">
        <f>IFERROR(__xludf.DUMMYFUNCTION("""COMPUTED_VALUE"""),0.6800694444444444)</f>
        <v>0.6800694444</v>
      </c>
      <c r="D64" s="122" t="str">
        <f>IFERROR(__xludf.DUMMYFUNCTION("""COMPUTED_VALUE"""),"DRIP")</f>
        <v>DRIP</v>
      </c>
      <c r="E64" s="122" t="str">
        <f>IFERROR(__xludf.DUMMYFUNCTION("""COMPUTED_VALUE"""),"Drip Streetwear")</f>
        <v>Drip Streetwear</v>
      </c>
      <c r="F64" s="122" t="str">
        <f>IFERROR(__xludf.DUMMYFUNCTION("""COMPUTED_VALUE"""),"Fashion")</f>
        <v>Fashion</v>
      </c>
    </row>
    <row r="65">
      <c r="A65" s="131">
        <f>IFERROR(__xludf.DUMMYFUNCTION("""COMPUTED_VALUE"""),46186.68006944445)</f>
        <v>46186.68007</v>
      </c>
      <c r="B65" s="126">
        <f>IFERROR(__xludf.DUMMYFUNCTION("""COMPUTED_VALUE"""),46186.0)</f>
        <v>46186</v>
      </c>
      <c r="C65" s="130">
        <f>IFERROR(__xludf.DUMMYFUNCTION("""COMPUTED_VALUE"""),0.6800694444444444)</f>
        <v>0.6800694444</v>
      </c>
      <c r="D65" s="122" t="str">
        <f>IFERROR(__xludf.DUMMYFUNCTION("""COMPUTED_VALUE"""),"KICK")</f>
        <v>KICK</v>
      </c>
      <c r="E65" s="122" t="str">
        <f>IFERROR(__xludf.DUMMYFUNCTION("""COMPUTED_VALUE"""),"KickDrop Sneakers")</f>
        <v>KickDrop Sneakers</v>
      </c>
      <c r="F65" s="122" t="str">
        <f>IFERROR(__xludf.DUMMYFUNCTION("""COMPUTED_VALUE"""),"Fashion")</f>
        <v>Fashion</v>
      </c>
    </row>
    <row r="66">
      <c r="A66" s="131">
        <f>IFERROR(__xludf.DUMMYFUNCTION("""COMPUTED_VALUE"""),46186.68006944445)</f>
        <v>46186.68007</v>
      </c>
      <c r="B66" s="126">
        <f>IFERROR(__xludf.DUMMYFUNCTION("""COMPUTED_VALUE"""),46186.0)</f>
        <v>46186</v>
      </c>
      <c r="C66" s="130">
        <f>IFERROR(__xludf.DUMMYFUNCTION("""COMPUTED_VALUE"""),0.6800694444444444)</f>
        <v>0.6800694444</v>
      </c>
      <c r="D66" s="122" t="str">
        <f>IFERROR(__xludf.DUMMYFUNCTION("""COMPUTED_VALUE"""),"GLAM")</f>
        <v>GLAM</v>
      </c>
      <c r="E66" s="122" t="str">
        <f>IFERROR(__xludf.DUMMYFUNCTION("""COMPUTED_VALUE"""),"Glow Cosmetics")</f>
        <v>Glow Cosmetics</v>
      </c>
      <c r="F66" s="122" t="str">
        <f>IFERROR(__xludf.DUMMYFUNCTION("""COMPUTED_VALUE"""),"Fashion")</f>
        <v>Fashion</v>
      </c>
    </row>
    <row r="67">
      <c r="A67" s="131">
        <f>IFERROR(__xludf.DUMMYFUNCTION("""COMPUTED_VALUE"""),46186.68006944445)</f>
        <v>46186.68007</v>
      </c>
      <c r="B67" s="126">
        <f>IFERROR(__xludf.DUMMYFUNCTION("""COMPUTED_VALUE"""),46186.0)</f>
        <v>46186</v>
      </c>
      <c r="C67" s="130">
        <f>IFERROR(__xludf.DUMMYFUNCTION("""COMPUTED_VALUE"""),0.6800694444444444)</f>
        <v>0.6800694444</v>
      </c>
      <c r="D67" s="122" t="str">
        <f>IFERROR(__xludf.DUMMYFUNCTION("""COMPUTED_VALUE"""),"BAGG")</f>
        <v>BAGG</v>
      </c>
      <c r="E67" s="122" t="str">
        <f>IFERROR(__xludf.DUMMYFUNCTION("""COMPUTED_VALUE"""),"BagVault")</f>
        <v>BagVault</v>
      </c>
      <c r="F67" s="122" t="str">
        <f>IFERROR(__xludf.DUMMYFUNCTION("""COMPUTED_VALUE"""),"Fashion")</f>
        <v>Fashion</v>
      </c>
    </row>
    <row r="68">
      <c r="A68" s="131">
        <f>IFERROR(__xludf.DUMMYFUNCTION("""COMPUTED_VALUE"""),46186.68006944445)</f>
        <v>46186.68007</v>
      </c>
      <c r="B68" s="126">
        <f>IFERROR(__xludf.DUMMYFUNCTION("""COMPUTED_VALUE"""),46186.0)</f>
        <v>46186</v>
      </c>
      <c r="C68" s="130">
        <f>IFERROR(__xludf.DUMMYFUNCTION("""COMPUTED_VALUE"""),0.6800694444444444)</f>
        <v>0.6800694444</v>
      </c>
      <c r="D68" s="122" t="str">
        <f>IFERROR(__xludf.DUMMYFUNCTION("""COMPUTED_VALUE"""),"FAST")</f>
        <v>FAST</v>
      </c>
      <c r="E68" s="122" t="str">
        <f>IFERROR(__xludf.DUMMYFUNCTION("""COMPUTED_VALUE"""),"Flash Logistics")</f>
        <v>Flash Logistics</v>
      </c>
      <c r="F68" s="122" t="str">
        <f>IFERROR(__xludf.DUMMYFUNCTION("""COMPUTED_VALUE"""),"Logistics")</f>
        <v>Logistics</v>
      </c>
    </row>
    <row r="69">
      <c r="A69" s="131">
        <f>IFERROR(__xludf.DUMMYFUNCTION("""COMPUTED_VALUE"""),46186.68006944445)</f>
        <v>46186.68007</v>
      </c>
      <c r="B69" s="126">
        <f>IFERROR(__xludf.DUMMYFUNCTION("""COMPUTED_VALUE"""),46186.0)</f>
        <v>46186</v>
      </c>
      <c r="C69" s="130">
        <f>IFERROR(__xludf.DUMMYFUNCTION("""COMPUTED_VALUE"""),0.6800694444444444)</f>
        <v>0.6800694444</v>
      </c>
      <c r="D69" s="122" t="str">
        <f>IFERROR(__xludf.DUMMYFUNCTION("""COMPUTED_VALUE"""),"SHIP")</f>
        <v>SHIP</v>
      </c>
      <c r="E69" s="122" t="str">
        <f>IFERROR(__xludf.DUMMYFUNCTION("""COMPUTED_VALUE"""),"Seoul Shipping")</f>
        <v>Seoul Shipping</v>
      </c>
      <c r="F69" s="122" t="str">
        <f>IFERROR(__xludf.DUMMYFUNCTION("""COMPUTED_VALUE"""),"Logistics")</f>
        <v>Logistics</v>
      </c>
    </row>
    <row r="70">
      <c r="A70" s="131">
        <f>IFERROR(__xludf.DUMMYFUNCTION("""COMPUTED_VALUE"""),46186.68006944445)</f>
        <v>46186.68007</v>
      </c>
      <c r="B70" s="126">
        <f>IFERROR(__xludf.DUMMYFUNCTION("""COMPUTED_VALUE"""),46186.0)</f>
        <v>46186</v>
      </c>
      <c r="C70" s="130">
        <f>IFERROR(__xludf.DUMMYFUNCTION("""COMPUTED_VALUE"""),0.6800694444444444)</f>
        <v>0.6800694444</v>
      </c>
      <c r="D70" s="122" t="str">
        <f>IFERROR(__xludf.DUMMYFUNCTION("""COMPUTED_VALUE"""),"DRON")</f>
        <v>DRON</v>
      </c>
      <c r="E70" s="122" t="str">
        <f>IFERROR(__xludf.DUMMYFUNCTION("""COMPUTED_VALUE"""),"DroneDrop")</f>
        <v>DroneDrop</v>
      </c>
      <c r="F70" s="122" t="str">
        <f>IFERROR(__xludf.DUMMYFUNCTION("""COMPUTED_VALUE"""),"Logistics")</f>
        <v>Logistics</v>
      </c>
    </row>
    <row r="71">
      <c r="A71" s="131">
        <f>IFERROR(__xludf.DUMMYFUNCTION("""COMPUTED_VALUE"""),46186.68006944445)</f>
        <v>46186.68007</v>
      </c>
      <c r="B71" s="126">
        <f>IFERROR(__xludf.DUMMYFUNCTION("""COMPUTED_VALUE"""),46186.0)</f>
        <v>46186</v>
      </c>
      <c r="C71" s="130">
        <f>IFERROR(__xludf.DUMMYFUNCTION("""COMPUTED_VALUE"""),0.6800694444444444)</f>
        <v>0.6800694444</v>
      </c>
      <c r="D71" s="122" t="str">
        <f>IFERROR(__xludf.DUMMYFUNCTION("""COMPUTED_VALUE"""),"RIDE")</f>
        <v>RIDE</v>
      </c>
      <c r="E71" s="122" t="str">
        <f>IFERROR(__xludf.DUMMYFUNCTION("""COMPUTED_VALUE"""),"QuickRide")</f>
        <v>QuickRide</v>
      </c>
      <c r="F71" s="122" t="str">
        <f>IFERROR(__xludf.DUMMYFUNCTION("""COMPUTED_VALUE"""),"Transportation")</f>
        <v>Transportation</v>
      </c>
    </row>
    <row r="72">
      <c r="A72" s="131">
        <f>IFERROR(__xludf.DUMMYFUNCTION("""COMPUTED_VALUE"""),46186.68006944445)</f>
        <v>46186.68007</v>
      </c>
      <c r="B72" s="126">
        <f>IFERROR(__xludf.DUMMYFUNCTION("""COMPUTED_VALUE"""),46186.0)</f>
        <v>46186</v>
      </c>
      <c r="C72" s="130">
        <f>IFERROR(__xludf.DUMMYFUNCTION("""COMPUTED_VALUE"""),0.6800694444444444)</f>
        <v>0.6800694444</v>
      </c>
      <c r="D72" s="122" t="str">
        <f>IFERROR(__xludf.DUMMYFUNCTION("""COMPUTED_VALUE"""),"RAIL")</f>
        <v>RAIL</v>
      </c>
      <c r="E72" s="122" t="str">
        <f>IFERROR(__xludf.DUMMYFUNCTION("""COMPUTED_VALUE"""),"MetroRail Corp")</f>
        <v>MetroRail Corp</v>
      </c>
      <c r="F72" s="122" t="str">
        <f>IFERROR(__xludf.DUMMYFUNCTION("""COMPUTED_VALUE"""),"Transportation")</f>
        <v>Transportation</v>
      </c>
    </row>
    <row r="73">
      <c r="A73" s="131">
        <f>IFERROR(__xludf.DUMMYFUNCTION("""COMPUTED_VALUE"""),46186.68006944445)</f>
        <v>46186.68007</v>
      </c>
      <c r="B73" s="126">
        <f>IFERROR(__xludf.DUMMYFUNCTION("""COMPUTED_VALUE"""),46186.0)</f>
        <v>46186</v>
      </c>
      <c r="C73" s="130">
        <f>IFERROR(__xludf.DUMMYFUNCTION("""COMPUTED_VALUE"""),0.6800694444444444)</f>
        <v>0.6800694444</v>
      </c>
      <c r="D73" s="122" t="str">
        <f>IFERROR(__xludf.DUMMYFUNCTION("""COMPUTED_VALUE"""),"MEDX")</f>
        <v>MEDX</v>
      </c>
      <c r="E73" s="122" t="str">
        <f>IFERROR(__xludf.DUMMYFUNCTION("""COMPUTED_VALUE"""),"MediCore")</f>
        <v>MediCore</v>
      </c>
      <c r="F73" s="122" t="str">
        <f>IFERROR(__xludf.DUMMYFUNCTION("""COMPUTED_VALUE"""),"Healthcare")</f>
        <v>Healthcare</v>
      </c>
    </row>
    <row r="74">
      <c r="A74" s="131">
        <f>IFERROR(__xludf.DUMMYFUNCTION("""COMPUTED_VALUE"""),46186.68006944445)</f>
        <v>46186.68007</v>
      </c>
      <c r="B74" s="126">
        <f>IFERROR(__xludf.DUMMYFUNCTION("""COMPUTED_VALUE"""),46186.0)</f>
        <v>46186</v>
      </c>
      <c r="C74" s="130">
        <f>IFERROR(__xludf.DUMMYFUNCTION("""COMPUTED_VALUE"""),0.6800694444444444)</f>
        <v>0.6800694444</v>
      </c>
      <c r="D74" s="122" t="str">
        <f>IFERROR(__xludf.DUMMYFUNCTION("""COMPUTED_VALUE"""),"GYMX")</f>
        <v>GYMX</v>
      </c>
      <c r="E74" s="122" t="str">
        <f>IFERROR(__xludf.DUMMYFUNCTION("""COMPUTED_VALUE"""),"GymX Fitness")</f>
        <v>GymX Fitness</v>
      </c>
      <c r="F74" s="122" t="str">
        <f>IFERROR(__xludf.DUMMYFUNCTION("""COMPUTED_VALUE"""),"Healthcare")</f>
        <v>Healthcare</v>
      </c>
    </row>
    <row r="75">
      <c r="A75" s="131">
        <f>IFERROR(__xludf.DUMMYFUNCTION("""COMPUTED_VALUE"""),46186.68006944445)</f>
        <v>46186.68007</v>
      </c>
      <c r="B75" s="126">
        <f>IFERROR(__xludf.DUMMYFUNCTION("""COMPUTED_VALUE"""),46186.0)</f>
        <v>46186</v>
      </c>
      <c r="C75" s="130">
        <f>IFERROR(__xludf.DUMMYFUNCTION("""COMPUTED_VALUE"""),0.6800694444444444)</f>
        <v>0.6800694444</v>
      </c>
      <c r="D75" s="122" t="str">
        <f>IFERROR(__xludf.DUMMYFUNCTION("""COMPUTED_VALUE"""),"VITA")</f>
        <v>VITA</v>
      </c>
      <c r="E75" s="122" t="str">
        <f>IFERROR(__xludf.DUMMYFUNCTION("""COMPUTED_VALUE"""),"VitaPlus")</f>
        <v>VitaPlus</v>
      </c>
      <c r="F75" s="122" t="str">
        <f>IFERROR(__xludf.DUMMYFUNCTION("""COMPUTED_VALUE"""),"Healthcare")</f>
        <v>Healthcare</v>
      </c>
    </row>
    <row r="76">
      <c r="A76" s="131">
        <f>IFERROR(__xludf.DUMMYFUNCTION("""COMPUTED_VALUE"""),46186.68006944445)</f>
        <v>46186.68007</v>
      </c>
      <c r="B76" s="126">
        <f>IFERROR(__xludf.DUMMYFUNCTION("""COMPUTED_VALUE"""),46186.0)</f>
        <v>46186</v>
      </c>
      <c r="C76" s="130">
        <f>IFERROR(__xludf.DUMMYFUNCTION("""COMPUTED_VALUE"""),0.6800694444444444)</f>
        <v>0.6800694444</v>
      </c>
      <c r="D76" s="122" t="str">
        <f>IFERROR(__xludf.DUMMYFUNCTION("""COMPUTED_VALUE"""),"CARE")</f>
        <v>CARE</v>
      </c>
      <c r="E76" s="122" t="str">
        <f>IFERROR(__xludf.DUMMYFUNCTION("""COMPUTED_VALUE"""),"CareCloud")</f>
        <v>CareCloud</v>
      </c>
      <c r="F76" s="122" t="str">
        <f>IFERROR(__xludf.DUMMYFUNCTION("""COMPUTED_VALUE"""),"Healthcare")</f>
        <v>Healthcare</v>
      </c>
    </row>
    <row r="77">
      <c r="A77" s="131">
        <f>IFERROR(__xludf.DUMMYFUNCTION("""COMPUTED_VALUE"""),46186.68006944445)</f>
        <v>46186.68007</v>
      </c>
      <c r="B77" s="126">
        <f>IFERROR(__xludf.DUMMYFUNCTION("""COMPUTED_VALUE"""),46186.0)</f>
        <v>46186</v>
      </c>
      <c r="C77" s="130">
        <f>IFERROR(__xludf.DUMMYFUNCTION("""COMPUTED_VALUE"""),0.6800694444444444)</f>
        <v>0.6800694444</v>
      </c>
      <c r="D77" s="122" t="str">
        <f>IFERROR(__xludf.DUMMYFUNCTION("""COMPUTED_VALUE"""),"DENT")</f>
        <v>DENT</v>
      </c>
      <c r="E77" s="122" t="str">
        <f>IFERROR(__xludf.DUMMYFUNCTION("""COMPUTED_VALUE"""),"SmileWorks")</f>
        <v>SmileWorks</v>
      </c>
      <c r="F77" s="122" t="str">
        <f>IFERROR(__xludf.DUMMYFUNCTION("""COMPUTED_VALUE"""),"Healthcare")</f>
        <v>Healthcare</v>
      </c>
    </row>
    <row r="78">
      <c r="A78" s="131">
        <f>IFERROR(__xludf.DUMMYFUNCTION("""COMPUTED_VALUE"""),46186.68006944445)</f>
        <v>46186.68007</v>
      </c>
      <c r="B78" s="126">
        <f>IFERROR(__xludf.DUMMYFUNCTION("""COMPUTED_VALUE"""),46186.0)</f>
        <v>46186</v>
      </c>
      <c r="C78" s="130">
        <f>IFERROR(__xludf.DUMMYFUNCTION("""COMPUTED_VALUE"""),0.6800694444444444)</f>
        <v>0.6800694444</v>
      </c>
      <c r="D78" s="122" t="str">
        <f>IFERROR(__xludf.DUMMYFUNCTION("""COMPUTED_VALUE"""),"EDUX")</f>
        <v>EDUX</v>
      </c>
      <c r="E78" s="122" t="str">
        <f>IFERROR(__xludf.DUMMYFUNCTION("""COMPUTED_VALUE"""),"EduMax Learning")</f>
        <v>EduMax Learning</v>
      </c>
      <c r="F78" s="122" t="str">
        <f>IFERROR(__xludf.DUMMYFUNCTION("""COMPUTED_VALUE"""),"Education")</f>
        <v>Education</v>
      </c>
    </row>
    <row r="79">
      <c r="A79" s="131">
        <f>IFERROR(__xludf.DUMMYFUNCTION("""COMPUTED_VALUE"""),46186.68006944445)</f>
        <v>46186.68007</v>
      </c>
      <c r="B79" s="126">
        <f>IFERROR(__xludf.DUMMYFUNCTION("""COMPUTED_VALUE"""),46186.0)</f>
        <v>46186</v>
      </c>
      <c r="C79" s="130">
        <f>IFERROR(__xludf.DUMMYFUNCTION("""COMPUTED_VALUE"""),0.6800694444444444)</f>
        <v>0.6800694444</v>
      </c>
      <c r="D79" s="122" t="str">
        <f>IFERROR(__xludf.DUMMYFUNCTION("""COMPUTED_VALUE"""),"BOOK")</f>
        <v>BOOK</v>
      </c>
      <c r="E79" s="122" t="str">
        <f>IFERROR(__xludf.DUMMYFUNCTION("""COMPUTED_VALUE"""),"BookBridge")</f>
        <v>BookBridge</v>
      </c>
      <c r="F79" s="122" t="str">
        <f>IFERROR(__xludf.DUMMYFUNCTION("""COMPUTED_VALUE"""),"Education")</f>
        <v>Education</v>
      </c>
    </row>
    <row r="80">
      <c r="A80" s="131">
        <f>IFERROR(__xludf.DUMMYFUNCTION("""COMPUTED_VALUE"""),46186.68006944445)</f>
        <v>46186.68007</v>
      </c>
      <c r="B80" s="126">
        <f>IFERROR(__xludf.DUMMYFUNCTION("""COMPUTED_VALUE"""),46186.0)</f>
        <v>46186</v>
      </c>
      <c r="C80" s="130">
        <f>IFERROR(__xludf.DUMMYFUNCTION("""COMPUTED_VALUE"""),0.6800694444444444)</f>
        <v>0.6800694444</v>
      </c>
      <c r="D80" s="122" t="str">
        <f>IFERROR(__xludf.DUMMYFUNCTION("""COMPUTED_VALUE"""),"TUTR")</f>
        <v>TUTR</v>
      </c>
      <c r="E80" s="122" t="str">
        <f>IFERROR(__xludf.DUMMYFUNCTION("""COMPUTED_VALUE"""),"TutorTown")</f>
        <v>TutorTown</v>
      </c>
      <c r="F80" s="122" t="str">
        <f>IFERROR(__xludf.DUMMYFUNCTION("""COMPUTED_VALUE"""),"Education")</f>
        <v>Education</v>
      </c>
    </row>
    <row r="81">
      <c r="A81" s="131">
        <f>IFERROR(__xludf.DUMMYFUNCTION("""COMPUTED_VALUE"""),46186.68006944445)</f>
        <v>46186.68007</v>
      </c>
      <c r="B81" s="126">
        <f>IFERROR(__xludf.DUMMYFUNCTION("""COMPUTED_VALUE"""),46186.0)</f>
        <v>46186</v>
      </c>
      <c r="C81" s="130">
        <f>IFERROR(__xludf.DUMMYFUNCTION("""COMPUTED_VALUE"""),0.6800694444444444)</f>
        <v>0.6800694444</v>
      </c>
      <c r="D81" s="122" t="str">
        <f>IFERROR(__xludf.DUMMYFUNCTION("""COMPUTED_VALUE"""),"LANG")</f>
        <v>LANG</v>
      </c>
      <c r="E81" s="122" t="str">
        <f>IFERROR(__xludf.DUMMYFUNCTION("""COMPUTED_VALUE"""),"LinguaLab")</f>
        <v>LinguaLab</v>
      </c>
      <c r="F81" s="122" t="str">
        <f>IFERROR(__xludf.DUMMYFUNCTION("""COMPUTED_VALUE"""),"Education")</f>
        <v>Education</v>
      </c>
    </row>
    <row r="82">
      <c r="A82" s="131">
        <f>IFERROR(__xludf.DUMMYFUNCTION("""COMPUTED_VALUE"""),46186.68006944445)</f>
        <v>46186.68007</v>
      </c>
      <c r="B82" s="126">
        <f>IFERROR(__xludf.DUMMYFUNCTION("""COMPUTED_VALUE"""),46186.0)</f>
        <v>46186</v>
      </c>
      <c r="C82" s="130">
        <f>IFERROR(__xludf.DUMMYFUNCTION("""COMPUTED_VALUE"""),0.6800694444444444)</f>
        <v>0.6800694444</v>
      </c>
      <c r="D82" s="122" t="str">
        <f>IFERROR(__xludf.DUMMYFUNCTION("""COMPUTED_VALUE"""),"TEST")</f>
        <v>TEST</v>
      </c>
      <c r="E82" s="122" t="str">
        <f>IFERROR(__xludf.DUMMYFUNCTION("""COMPUTED_VALUE"""),"TestPrep Pro")</f>
        <v>TestPrep Pro</v>
      </c>
      <c r="F82" s="122" t="str">
        <f>IFERROR(__xludf.DUMMYFUNCTION("""COMPUTED_VALUE"""),"Education")</f>
        <v>Education</v>
      </c>
    </row>
    <row r="83">
      <c r="A83" s="131">
        <f>IFERROR(__xludf.DUMMYFUNCTION("""COMPUTED_VALUE"""),46186.68006944445)</f>
        <v>46186.68007</v>
      </c>
      <c r="B83" s="126">
        <f>IFERROR(__xludf.DUMMYFUNCTION("""COMPUTED_VALUE"""),46186.0)</f>
        <v>46186</v>
      </c>
      <c r="C83" s="130">
        <f>IFERROR(__xludf.DUMMYFUNCTION("""COMPUTED_VALUE"""),0.6800694444444444)</f>
        <v>0.6800694444</v>
      </c>
      <c r="D83" s="122" t="str">
        <f>IFERROR(__xludf.DUMMYFUNCTION("""COMPUTED_VALUE"""),"MOVI")</f>
        <v>MOVI</v>
      </c>
      <c r="E83" s="122" t="str">
        <f>IFERROR(__xludf.DUMMYFUNCTION("""COMPUTED_VALUE"""),"MovieBox")</f>
        <v>MovieBox</v>
      </c>
      <c r="F83" s="122" t="str">
        <f>IFERROR(__xludf.DUMMYFUNCTION("""COMPUTED_VALUE"""),"Entertainment")</f>
        <v>Entertainment</v>
      </c>
    </row>
    <row r="84">
      <c r="A84" s="131">
        <f>IFERROR(__xludf.DUMMYFUNCTION("""COMPUTED_VALUE"""),46186.68006944445)</f>
        <v>46186.68007</v>
      </c>
      <c r="B84" s="126">
        <f>IFERROR(__xludf.DUMMYFUNCTION("""COMPUTED_VALUE"""),46186.0)</f>
        <v>46186</v>
      </c>
      <c r="C84" s="130">
        <f>IFERROR(__xludf.DUMMYFUNCTION("""COMPUTED_VALUE"""),0.6800694444444444)</f>
        <v>0.6800694444</v>
      </c>
      <c r="D84" s="122" t="str">
        <f>IFERROR(__xludf.DUMMYFUNCTION("""COMPUTED_VALUE"""),"MUSC")</f>
        <v>MUSC</v>
      </c>
      <c r="E84" s="122" t="str">
        <f>IFERROR(__xludf.DUMMYFUNCTION("""COMPUTED_VALUE"""),"MusicWave")</f>
        <v>MusicWave</v>
      </c>
      <c r="F84" s="122" t="str">
        <f>IFERROR(__xludf.DUMMYFUNCTION("""COMPUTED_VALUE"""),"Entertainment")</f>
        <v>Entertainment</v>
      </c>
    </row>
    <row r="85">
      <c r="A85" s="131">
        <f>IFERROR(__xludf.DUMMYFUNCTION("""COMPUTED_VALUE"""),46186.68006944445)</f>
        <v>46186.68007</v>
      </c>
      <c r="B85" s="126">
        <f>IFERROR(__xludf.DUMMYFUNCTION("""COMPUTED_VALUE"""),46186.0)</f>
        <v>46186</v>
      </c>
      <c r="C85" s="130">
        <f>IFERROR(__xludf.DUMMYFUNCTION("""COMPUTED_VALUE"""),0.6800694444444444)</f>
        <v>0.6800694444</v>
      </c>
      <c r="D85" s="122" t="str">
        <f>IFERROR(__xludf.DUMMYFUNCTION("""COMPUTED_VALUE"""),"IDOL")</f>
        <v>IDOL</v>
      </c>
      <c r="E85" s="122" t="str">
        <f>IFERROR(__xludf.DUMMYFUNCTION("""COMPUTED_VALUE"""),"Idol Agency")</f>
        <v>Idol Agency</v>
      </c>
      <c r="F85" s="122" t="str">
        <f>IFERROR(__xludf.DUMMYFUNCTION("""COMPUTED_VALUE"""),"Entertainment")</f>
        <v>Entertainment</v>
      </c>
    </row>
    <row r="86">
      <c r="A86" s="131">
        <f>IFERROR(__xludf.DUMMYFUNCTION("""COMPUTED_VALUE"""),46186.68006944445)</f>
        <v>46186.68007</v>
      </c>
      <c r="B86" s="126">
        <f>IFERROR(__xludf.DUMMYFUNCTION("""COMPUTED_VALUE"""),46186.0)</f>
        <v>46186</v>
      </c>
      <c r="C86" s="130">
        <f>IFERROR(__xludf.DUMMYFUNCTION("""COMPUTED_VALUE"""),0.6800694444444444)</f>
        <v>0.6800694444</v>
      </c>
      <c r="D86" s="122" t="str">
        <f>IFERROR(__xludf.DUMMYFUNCTION("""COMPUTED_VALUE"""),"MEME")</f>
        <v>MEME</v>
      </c>
      <c r="E86" s="122" t="str">
        <f>IFERROR(__xludf.DUMMYFUNCTION("""COMPUTED_VALUE"""),"Meme Media")</f>
        <v>Meme Media</v>
      </c>
      <c r="F86" s="122" t="str">
        <f>IFERROR(__xludf.DUMMYFUNCTION("""COMPUTED_VALUE"""),"Entertainment")</f>
        <v>Entertainment</v>
      </c>
    </row>
    <row r="87">
      <c r="A87" s="131">
        <f>IFERROR(__xludf.DUMMYFUNCTION("""COMPUTED_VALUE"""),46186.68006944445)</f>
        <v>46186.68007</v>
      </c>
      <c r="B87" s="126">
        <f>IFERROR(__xludf.DUMMYFUNCTION("""COMPUTED_VALUE"""),46186.0)</f>
        <v>46186</v>
      </c>
      <c r="C87" s="130">
        <f>IFERROR(__xludf.DUMMYFUNCTION("""COMPUTED_VALUE"""),0.6800694444444444)</f>
        <v>0.6800694444</v>
      </c>
      <c r="D87" s="122" t="str">
        <f>IFERROR(__xludf.DUMMYFUNCTION("""COMPUTED_VALUE"""),"STRM")</f>
        <v>STRM</v>
      </c>
      <c r="E87" s="122" t="str">
        <f>IFERROR(__xludf.DUMMYFUNCTION("""COMPUTED_VALUE"""),"Streamly")</f>
        <v>Streamly</v>
      </c>
      <c r="F87" s="122" t="str">
        <f>IFERROR(__xludf.DUMMYFUNCTION("""COMPUTED_VALUE"""),"Entertainment")</f>
        <v>Entertainment</v>
      </c>
    </row>
    <row r="88">
      <c r="A88" s="131">
        <f>IFERROR(__xludf.DUMMYFUNCTION("""COMPUTED_VALUE"""),46186.68006944445)</f>
        <v>46186.68007</v>
      </c>
      <c r="B88" s="126">
        <f>IFERROR(__xludf.DUMMYFUNCTION("""COMPUTED_VALUE"""),46186.0)</f>
        <v>46186</v>
      </c>
      <c r="C88" s="130">
        <f>IFERROR(__xludf.DUMMYFUNCTION("""COMPUTED_VALUE"""),0.6800694444444444)</f>
        <v>0.6800694444</v>
      </c>
      <c r="D88" s="122" t="str">
        <f>IFERROR(__xludf.DUMMYFUNCTION("""COMPUTED_VALUE"""),"FARM")</f>
        <v>FARM</v>
      </c>
      <c r="E88" s="122" t="str">
        <f>IFERROR(__xludf.DUMMYFUNCTION("""COMPUTED_VALUE"""),"Future Farms")</f>
        <v>Future Farms</v>
      </c>
      <c r="F88" s="122" t="str">
        <f>IFERROR(__xludf.DUMMYFUNCTION("""COMPUTED_VALUE"""),"Agriculture")</f>
        <v>Agriculture</v>
      </c>
    </row>
    <row r="89">
      <c r="A89" s="131">
        <f>IFERROR(__xludf.DUMMYFUNCTION("""COMPUTED_VALUE"""),46186.68006944445)</f>
        <v>46186.68007</v>
      </c>
      <c r="B89" s="126">
        <f>IFERROR(__xludf.DUMMYFUNCTION("""COMPUTED_VALUE"""),46186.0)</f>
        <v>46186</v>
      </c>
      <c r="C89" s="130">
        <f>IFERROR(__xludf.DUMMYFUNCTION("""COMPUTED_VALUE"""),0.6800694444444444)</f>
        <v>0.6800694444</v>
      </c>
      <c r="D89" s="122" t="str">
        <f>IFERROR(__xludf.DUMMYFUNCTION("""COMPUTED_VALUE"""),"MEAT")</f>
        <v>MEAT</v>
      </c>
      <c r="E89" s="122" t="str">
        <f>IFERROR(__xludf.DUMMYFUNCTION("""COMPUTED_VALUE"""),"MeatWorks")</f>
        <v>MeatWorks</v>
      </c>
      <c r="F89" s="122" t="str">
        <f>IFERROR(__xludf.DUMMYFUNCTION("""COMPUTED_VALUE"""),"Food")</f>
        <v>Food</v>
      </c>
    </row>
    <row r="90">
      <c r="A90" s="131">
        <f>IFERROR(__xludf.DUMMYFUNCTION("""COMPUTED_VALUE"""),46186.68006944445)</f>
        <v>46186.68007</v>
      </c>
      <c r="B90" s="126">
        <f>IFERROR(__xludf.DUMMYFUNCTION("""COMPUTED_VALUE"""),46186.0)</f>
        <v>46186</v>
      </c>
      <c r="C90" s="130">
        <f>IFERROR(__xludf.DUMMYFUNCTION("""COMPUTED_VALUE"""),0.6800694444444444)</f>
        <v>0.6800694444</v>
      </c>
      <c r="D90" s="122" t="str">
        <f>IFERROR(__xludf.DUMMYFUNCTION("""COMPUTED_VALUE"""),"VEGI")</f>
        <v>VEGI</v>
      </c>
      <c r="E90" s="122" t="str">
        <f>IFERROR(__xludf.DUMMYFUNCTION("""COMPUTED_VALUE"""),"Green Basket")</f>
        <v>Green Basket</v>
      </c>
      <c r="F90" s="122" t="str">
        <f>IFERROR(__xludf.DUMMYFUNCTION("""COMPUTED_VALUE"""),"Food")</f>
        <v>Food</v>
      </c>
    </row>
    <row r="91">
      <c r="A91" s="131">
        <f>IFERROR(__xludf.DUMMYFUNCTION("""COMPUTED_VALUE"""),46186.68006944445)</f>
        <v>46186.68007</v>
      </c>
      <c r="B91" s="126">
        <f>IFERROR(__xludf.DUMMYFUNCTION("""COMPUTED_VALUE"""),46186.0)</f>
        <v>46186</v>
      </c>
      <c r="C91" s="130">
        <f>IFERROR(__xludf.DUMMYFUNCTION("""COMPUTED_VALUE"""),0.6800694444444444)</f>
        <v>0.6800694444</v>
      </c>
      <c r="D91" s="122" t="str">
        <f>IFERROR(__xludf.DUMMYFUNCTION("""COMPUTED_VALUE"""),"CAFE")</f>
        <v>CAFE</v>
      </c>
      <c r="E91" s="122" t="str">
        <f>IFERROR(__xludf.DUMMYFUNCTION("""COMPUTED_VALUE"""),"Cafe Cloud")</f>
        <v>Cafe Cloud</v>
      </c>
      <c r="F91" s="122" t="str">
        <f>IFERROR(__xludf.DUMMYFUNCTION("""COMPUTED_VALUE"""),"Food")</f>
        <v>Food</v>
      </c>
    </row>
    <row r="92">
      <c r="A92" s="131">
        <f>IFERROR(__xludf.DUMMYFUNCTION("""COMPUTED_VALUE"""),46186.68006944445)</f>
        <v>46186.68007</v>
      </c>
      <c r="B92" s="126">
        <f>IFERROR(__xludf.DUMMYFUNCTION("""COMPUTED_VALUE"""),46186.0)</f>
        <v>46186</v>
      </c>
      <c r="C92" s="130">
        <f>IFERROR(__xludf.DUMMYFUNCTION("""COMPUTED_VALUE"""),0.6800694444444444)</f>
        <v>0.6800694444</v>
      </c>
      <c r="D92" s="122" t="str">
        <f>IFERROR(__xludf.DUMMYFUNCTION("""COMPUTED_VALUE"""),"BAKE")</f>
        <v>BAKE</v>
      </c>
      <c r="E92" s="122" t="str">
        <f>IFERROR(__xludf.DUMMYFUNCTION("""COMPUTED_VALUE"""),"BakeHouse")</f>
        <v>BakeHouse</v>
      </c>
      <c r="F92" s="122" t="str">
        <f>IFERROR(__xludf.DUMMYFUNCTION("""COMPUTED_VALUE"""),"Food")</f>
        <v>Food</v>
      </c>
    </row>
    <row r="93">
      <c r="A93" s="131">
        <f>IFERROR(__xludf.DUMMYFUNCTION("""COMPUTED_VALUE"""),46186.68006944445)</f>
        <v>46186.68007</v>
      </c>
      <c r="B93" s="126">
        <f>IFERROR(__xludf.DUMMYFUNCTION("""COMPUTED_VALUE"""),46186.0)</f>
        <v>46186</v>
      </c>
      <c r="C93" s="130">
        <f>IFERROR(__xludf.DUMMYFUNCTION("""COMPUTED_VALUE"""),0.6800694444444444)</f>
        <v>0.6800694444</v>
      </c>
      <c r="D93" s="122" t="str">
        <f>IFERROR(__xludf.DUMMYFUNCTION("""COMPUTED_VALUE"""),"OILX")</f>
        <v>OILX</v>
      </c>
      <c r="E93" s="122" t="str">
        <f>IFERROR(__xludf.DUMMYFUNCTION("""COMPUTED_VALUE"""),"OilMax Energy")</f>
        <v>OilMax Energy</v>
      </c>
      <c r="F93" s="122" t="str">
        <f>IFERROR(__xludf.DUMMYFUNCTION("""COMPUTED_VALUE"""),"Energy")</f>
        <v>Energy</v>
      </c>
    </row>
    <row r="94">
      <c r="A94" s="131">
        <f>IFERROR(__xludf.DUMMYFUNCTION("""COMPUTED_VALUE"""),46186.68006944445)</f>
        <v>46186.68007</v>
      </c>
      <c r="B94" s="126">
        <f>IFERROR(__xludf.DUMMYFUNCTION("""COMPUTED_VALUE"""),46186.0)</f>
        <v>46186</v>
      </c>
      <c r="C94" s="130">
        <f>IFERROR(__xludf.DUMMYFUNCTION("""COMPUTED_VALUE"""),0.6800694444444444)</f>
        <v>0.6800694444</v>
      </c>
      <c r="D94" s="122" t="str">
        <f>IFERROR(__xludf.DUMMYFUNCTION("""COMPUTED_VALUE"""),"SOLR")</f>
        <v>SOLR</v>
      </c>
      <c r="E94" s="122" t="str">
        <f>IFERROR(__xludf.DUMMYFUNCTION("""COMPUTED_VALUE"""),"SolarSpark")</f>
        <v>SolarSpark</v>
      </c>
      <c r="F94" s="122" t="str">
        <f>IFERROR(__xludf.DUMMYFUNCTION("""COMPUTED_VALUE"""),"Energy")</f>
        <v>Energy</v>
      </c>
    </row>
    <row r="95">
      <c r="A95" s="131">
        <f>IFERROR(__xludf.DUMMYFUNCTION("""COMPUTED_VALUE"""),46186.68006944445)</f>
        <v>46186.68007</v>
      </c>
      <c r="B95" s="126">
        <f>IFERROR(__xludf.DUMMYFUNCTION("""COMPUTED_VALUE"""),46186.0)</f>
        <v>46186</v>
      </c>
      <c r="C95" s="130">
        <f>IFERROR(__xludf.DUMMYFUNCTION("""COMPUTED_VALUE"""),0.6800694444444444)</f>
        <v>0.6800694444</v>
      </c>
      <c r="D95" s="122" t="str">
        <f>IFERROR(__xludf.DUMMYFUNCTION("""COMPUTED_VALUE"""),"BATT")</f>
        <v>BATT</v>
      </c>
      <c r="E95" s="122" t="str">
        <f>IFERROR(__xludf.DUMMYFUNCTION("""COMPUTED_VALUE"""),"BatteryBox")</f>
        <v>BatteryBox</v>
      </c>
      <c r="F95" s="122" t="str">
        <f>IFERROR(__xludf.DUMMYFUNCTION("""COMPUTED_VALUE"""),"Energy")</f>
        <v>Energy</v>
      </c>
    </row>
    <row r="96">
      <c r="A96" s="131">
        <f>IFERROR(__xludf.DUMMYFUNCTION("""COMPUTED_VALUE"""),46186.68006944445)</f>
        <v>46186.68007</v>
      </c>
      <c r="B96" s="126">
        <f>IFERROR(__xludf.DUMMYFUNCTION("""COMPUTED_VALUE"""),46186.0)</f>
        <v>46186</v>
      </c>
      <c r="C96" s="130">
        <f>IFERROR(__xludf.DUMMYFUNCTION("""COMPUTED_VALUE"""),0.6800694444444444)</f>
        <v>0.6800694444</v>
      </c>
      <c r="D96" s="122" t="str">
        <f>IFERROR(__xludf.DUMMYFUNCTION("""COMPUTED_VALUE"""),"WIND")</f>
        <v>WIND</v>
      </c>
      <c r="E96" s="122" t="str">
        <f>IFERROR(__xludf.DUMMYFUNCTION("""COMPUTED_VALUE"""),"WindWorks")</f>
        <v>WindWorks</v>
      </c>
      <c r="F96" s="122" t="str">
        <f>IFERROR(__xludf.DUMMYFUNCTION("""COMPUTED_VALUE"""),"Energy")</f>
        <v>Energy</v>
      </c>
    </row>
    <row r="97">
      <c r="A97" s="131">
        <f>IFERROR(__xludf.DUMMYFUNCTION("""COMPUTED_VALUE"""),46186.68006944445)</f>
        <v>46186.68007</v>
      </c>
      <c r="B97" s="126">
        <f>IFERROR(__xludf.DUMMYFUNCTION("""COMPUTED_VALUE"""),46186.0)</f>
        <v>46186</v>
      </c>
      <c r="C97" s="130">
        <f>IFERROR(__xludf.DUMMYFUNCTION("""COMPUTED_VALUE"""),0.6800694444444444)</f>
        <v>0.6800694444</v>
      </c>
      <c r="D97" s="122" t="str">
        <f>IFERROR(__xludf.DUMMYFUNCTION("""COMPUTED_VALUE"""),"GRID")</f>
        <v>GRID</v>
      </c>
      <c r="E97" s="122" t="str">
        <f>IFERROR(__xludf.DUMMYFUNCTION("""COMPUTED_VALUE"""),"GridPower")</f>
        <v>GridPower</v>
      </c>
      <c r="F97" s="122" t="str">
        <f>IFERROR(__xludf.DUMMYFUNCTION("""COMPUTED_VALUE"""),"Energy")</f>
        <v>Energy</v>
      </c>
    </row>
    <row r="98">
      <c r="A98" s="131">
        <f>IFERROR(__xludf.DUMMYFUNCTION("""COMPUTED_VALUE"""),46186.68006944445)</f>
        <v>46186.68007</v>
      </c>
      <c r="B98" s="126">
        <f>IFERROR(__xludf.DUMMYFUNCTION("""COMPUTED_VALUE"""),46186.0)</f>
        <v>46186</v>
      </c>
      <c r="C98" s="130">
        <f>IFERROR(__xludf.DUMMYFUNCTION("""COMPUTED_VALUE"""),0.6800694444444444)</f>
        <v>0.6800694444</v>
      </c>
      <c r="D98" s="122" t="str">
        <f>IFERROR(__xludf.DUMMYFUNCTION("""COMPUTED_VALUE"""),"HOME")</f>
        <v>HOME</v>
      </c>
      <c r="E98" s="122" t="str">
        <f>IFERROR(__xludf.DUMMYFUNCTION("""COMPUTED_VALUE"""),"HomeHub")</f>
        <v>HomeHub</v>
      </c>
      <c r="F98" s="122" t="str">
        <f>IFERROR(__xludf.DUMMYFUNCTION("""COMPUTED_VALUE"""),"Real Estate")</f>
        <v>Real Estate</v>
      </c>
    </row>
    <row r="99">
      <c r="A99" s="131">
        <f>IFERROR(__xludf.DUMMYFUNCTION("""COMPUTED_VALUE"""),46186.68006944445)</f>
        <v>46186.68007</v>
      </c>
      <c r="B99" s="126">
        <f>IFERROR(__xludf.DUMMYFUNCTION("""COMPUTED_VALUE"""),46186.0)</f>
        <v>46186</v>
      </c>
      <c r="C99" s="130">
        <f>IFERROR(__xludf.DUMMYFUNCTION("""COMPUTED_VALUE"""),0.6800694444444444)</f>
        <v>0.6800694444</v>
      </c>
      <c r="D99" s="122" t="str">
        <f>IFERROR(__xludf.DUMMYFUNCTION("""COMPUTED_VALUE"""),"RENT")</f>
        <v>RENT</v>
      </c>
      <c r="E99" s="122" t="str">
        <f>IFERROR(__xludf.DUMMYFUNCTION("""COMPUTED_VALUE"""),"RentRight")</f>
        <v>RentRight</v>
      </c>
      <c r="F99" s="122" t="str">
        <f>IFERROR(__xludf.DUMMYFUNCTION("""COMPUTED_VALUE"""),"Real Estate")</f>
        <v>Real Estate</v>
      </c>
    </row>
    <row r="100">
      <c r="A100" s="131">
        <f>IFERROR(__xludf.DUMMYFUNCTION("""COMPUTED_VALUE"""),46186.68006944445)</f>
        <v>46186.68007</v>
      </c>
      <c r="B100" s="126">
        <f>IFERROR(__xludf.DUMMYFUNCTION("""COMPUTED_VALUE"""),46186.0)</f>
        <v>46186</v>
      </c>
      <c r="C100" s="130">
        <f>IFERROR(__xludf.DUMMYFUNCTION("""COMPUTED_VALUE"""),0.6800694444444444)</f>
        <v>0.6800694444</v>
      </c>
      <c r="D100" s="122" t="str">
        <f>IFERROR(__xludf.DUMMYFUNCTION("""COMPUTED_VALUE"""),"MALL")</f>
        <v>MALL</v>
      </c>
      <c r="E100" s="122" t="str">
        <f>IFERROR(__xludf.DUMMYFUNCTION("""COMPUTED_VALUE"""),"MegaMall")</f>
        <v>MegaMall</v>
      </c>
      <c r="F100" s="122" t="str">
        <f>IFERROR(__xludf.DUMMYFUNCTION("""COMPUTED_VALUE"""),"Real Estate")</f>
        <v>Real Estate</v>
      </c>
    </row>
    <row r="101">
      <c r="A101" s="131">
        <f>IFERROR(__xludf.DUMMYFUNCTION("""COMPUTED_VALUE"""),46186.68006944445)</f>
        <v>46186.68007</v>
      </c>
      <c r="B101" s="126">
        <f>IFERROR(__xludf.DUMMYFUNCTION("""COMPUTED_VALUE"""),46186.0)</f>
        <v>46186</v>
      </c>
      <c r="C101" s="130">
        <f>IFERROR(__xludf.DUMMYFUNCTION("""COMPUTED_VALUE"""),0.6800694444444444)</f>
        <v>0.6800694444</v>
      </c>
      <c r="D101" s="122" t="str">
        <f>IFERROR(__xludf.DUMMYFUNCTION("""COMPUTED_VALUE"""),"HOTL")</f>
        <v>HOTL</v>
      </c>
      <c r="E101" s="122" t="str">
        <f>IFERROR(__xludf.DUMMYFUNCTION("""COMPUTED_VALUE"""),"HotelHive")</f>
        <v>HotelHive</v>
      </c>
      <c r="F101" s="122" t="str">
        <f>IFERROR(__xludf.DUMMYFUNCTION("""COMPUTED_VALUE"""),"Real Estate")</f>
        <v>Real Estate</v>
      </c>
    </row>
    <row r="102">
      <c r="A102" s="131">
        <f>IFERROR(__xludf.DUMMYFUNCTION("""COMPUTED_VALUE"""),46186.68006944445)</f>
        <v>46186.68007</v>
      </c>
      <c r="B102" s="126">
        <f>IFERROR(__xludf.DUMMYFUNCTION("""COMPUTED_VALUE"""),46186.0)</f>
        <v>46186</v>
      </c>
      <c r="C102" s="130">
        <f>IFERROR(__xludf.DUMMYFUNCTION("""COMPUTED_VALUE"""),0.6800694444444444)</f>
        <v>0.6800694444</v>
      </c>
      <c r="D102" s="122" t="str">
        <f>IFERROR(__xludf.DUMMYFUNCTION("""COMPUTED_VALUE"""),"LAND")</f>
        <v>LAND</v>
      </c>
      <c r="E102" s="122" t="str">
        <f>IFERROR(__xludf.DUMMYFUNCTION("""COMPUTED_VALUE"""),"LandLink")</f>
        <v>LandLink</v>
      </c>
      <c r="F102" s="122" t="str">
        <f>IFERROR(__xludf.DUMMYFUNCTION("""COMPUTED_VALUE"""),"Real Estate")</f>
        <v>Real Estate</v>
      </c>
    </row>
    <row r="103">
      <c r="A103" s="131">
        <f>IFERROR(__xludf.DUMMYFUNCTION("""COMPUTED_VALUE"""),46186.68006944445)</f>
        <v>46186.68007</v>
      </c>
      <c r="B103" s="126">
        <f>IFERROR(__xludf.DUMMYFUNCTION("""COMPUTED_VALUE"""),46186.0)</f>
        <v>46186</v>
      </c>
      <c r="C103" s="130">
        <f>IFERROR(__xludf.DUMMYFUNCTION("""COMPUTED_VALUE"""),0.6800694444444444)</f>
        <v>0.6800694444</v>
      </c>
      <c r="D103" s="122" t="str">
        <f>IFERROR(__xludf.DUMMYFUNCTION("""COMPUTED_VALUE"""),"CARS")</f>
        <v>CARS</v>
      </c>
      <c r="E103" s="122" t="str">
        <f>IFERROR(__xludf.DUMMYFUNCTION("""COMPUTED_VALUE"""),"AutoArena")</f>
        <v>AutoArena</v>
      </c>
      <c r="F103" s="122" t="str">
        <f>IFERROR(__xludf.DUMMYFUNCTION("""COMPUTED_VALUE"""),"Automotive")</f>
        <v>Automotive</v>
      </c>
    </row>
    <row r="104">
      <c r="A104" s="131">
        <f>IFERROR(__xludf.DUMMYFUNCTION("""COMPUTED_VALUE"""),46186.68006944445)</f>
        <v>46186.68007</v>
      </c>
      <c r="B104" s="126">
        <f>IFERROR(__xludf.DUMMYFUNCTION("""COMPUTED_VALUE"""),46186.0)</f>
        <v>46186</v>
      </c>
      <c r="C104" s="130">
        <f>IFERROR(__xludf.DUMMYFUNCTION("""COMPUTED_VALUE"""),0.6800694444444444)</f>
        <v>0.6800694444</v>
      </c>
      <c r="D104" s="122" t="str">
        <f>IFERROR(__xludf.DUMMYFUNCTION("""COMPUTED_VALUE"""),"EVGO")</f>
        <v>EVGO</v>
      </c>
      <c r="E104" s="122" t="str">
        <f>IFERROR(__xludf.DUMMYFUNCTION("""COMPUTED_VALUE"""),"EVGo Motors")</f>
        <v>EVGo Motors</v>
      </c>
      <c r="F104" s="122" t="str">
        <f>IFERROR(__xludf.DUMMYFUNCTION("""COMPUTED_VALUE"""),"Automotive")</f>
        <v>Automotive</v>
      </c>
    </row>
    <row r="105">
      <c r="A105" s="131">
        <f>IFERROR(__xludf.DUMMYFUNCTION("""COMPUTED_VALUE"""),46186.68006944445)</f>
        <v>46186.68007</v>
      </c>
      <c r="B105" s="126">
        <f>IFERROR(__xludf.DUMMYFUNCTION("""COMPUTED_VALUE"""),46186.0)</f>
        <v>46186</v>
      </c>
      <c r="C105" s="130">
        <f>IFERROR(__xludf.DUMMYFUNCTION("""COMPUTED_VALUE"""),0.6800694444444444)</f>
        <v>0.6800694444</v>
      </c>
      <c r="D105" s="122" t="str">
        <f>IFERROR(__xludf.DUMMYFUNCTION("""COMPUTED_VALUE"""),"TIRE")</f>
        <v>TIRE</v>
      </c>
      <c r="E105" s="122" t="str">
        <f>IFERROR(__xludf.DUMMYFUNCTION("""COMPUTED_VALUE"""),"TireTown")</f>
        <v>TireTown</v>
      </c>
      <c r="F105" s="122" t="str">
        <f>IFERROR(__xludf.DUMMYFUNCTION("""COMPUTED_VALUE"""),"Automotive")</f>
        <v>Automotive</v>
      </c>
    </row>
    <row r="106">
      <c r="A106" s="131">
        <f>IFERROR(__xludf.DUMMYFUNCTION("""COMPUTED_VALUE"""),46186.68006944445)</f>
        <v>46186.68007</v>
      </c>
      <c r="B106" s="126">
        <f>IFERROR(__xludf.DUMMYFUNCTION("""COMPUTED_VALUE"""),46186.0)</f>
        <v>46186</v>
      </c>
      <c r="C106" s="130">
        <f>IFERROR(__xludf.DUMMYFUNCTION("""COMPUTED_VALUE"""),0.6800694444444444)</f>
        <v>0.6800694444</v>
      </c>
      <c r="D106" s="122" t="str">
        <f>IFERROR(__xludf.DUMMYFUNCTION("""COMPUTED_VALUE"""),"BIKE")</f>
        <v>BIKE</v>
      </c>
      <c r="E106" s="122" t="str">
        <f>IFERROR(__xludf.DUMMYFUNCTION("""COMPUTED_VALUE"""),"BikeBox")</f>
        <v>BikeBox</v>
      </c>
      <c r="F106" s="122" t="str">
        <f>IFERROR(__xludf.DUMMYFUNCTION("""COMPUTED_VALUE"""),"Automotive")</f>
        <v>Automotive</v>
      </c>
    </row>
    <row r="107">
      <c r="A107" s="131">
        <f>IFERROR(__xludf.DUMMYFUNCTION("""COMPUTED_VALUE"""),46186.68006944445)</f>
        <v>46186.68007</v>
      </c>
      <c r="B107" s="126">
        <f>IFERROR(__xludf.DUMMYFUNCTION("""COMPUTED_VALUE"""),46186.0)</f>
        <v>46186</v>
      </c>
      <c r="C107" s="130">
        <f>IFERROR(__xludf.DUMMYFUNCTION("""COMPUTED_VALUE"""),0.6800694444444444)</f>
        <v>0.6800694444</v>
      </c>
      <c r="D107" s="122" t="str">
        <f>IFERROR(__xludf.DUMMYFUNCTION("""COMPUTED_VALUE"""),"WASH")</f>
        <v>WASH</v>
      </c>
      <c r="E107" s="122" t="str">
        <f>IFERROR(__xludf.DUMMYFUNCTION("""COMPUTED_VALUE"""),"CarWash Co")</f>
        <v>CarWash Co</v>
      </c>
      <c r="F107" s="122" t="str">
        <f>IFERROR(__xludf.DUMMYFUNCTION("""COMPUTED_VALUE"""),"Automotive")</f>
        <v>Automotive</v>
      </c>
    </row>
    <row r="108">
      <c r="A108" s="131">
        <f>IFERROR(__xludf.DUMMYFUNCTION("""COMPUTED_VALUE"""),46186.68006944445)</f>
        <v>46186.68007</v>
      </c>
      <c r="B108" s="126">
        <f>IFERROR(__xludf.DUMMYFUNCTION("""COMPUTED_VALUE"""),46186.0)</f>
        <v>46186</v>
      </c>
      <c r="C108" s="130">
        <f>IFERROR(__xludf.DUMMYFUNCTION("""COMPUTED_VALUE"""),0.6800694444444444)</f>
        <v>0.6800694444</v>
      </c>
      <c r="D108" s="122" t="str">
        <f>IFERROR(__xludf.DUMMYFUNCTION("""COMPUTED_VALUE"""),"GBND")</f>
        <v>GBND</v>
      </c>
      <c r="E108" s="122" t="str">
        <f>IFERROR(__xludf.DUMMYFUNCTION("""COMPUTED_VALUE"""),"Classroom Government Bond")</f>
        <v>Classroom Government Bond</v>
      </c>
      <c r="F108" s="122" t="str">
        <f>IFERROR(__xludf.DUMMYFUNCTION("""COMPUTED_VALUE"""),"Bond")</f>
        <v>Bond</v>
      </c>
    </row>
    <row r="109">
      <c r="A109" s="131">
        <f>IFERROR(__xludf.DUMMYFUNCTION("""COMPUTED_VALUE"""),46186.68006944445)</f>
        <v>46186.68007</v>
      </c>
      <c r="B109" s="126">
        <f>IFERROR(__xludf.DUMMYFUNCTION("""COMPUTED_VALUE"""),46186.0)</f>
        <v>46186</v>
      </c>
      <c r="C109" s="130">
        <f>IFERROR(__xludf.DUMMYFUNCTION("""COMPUTED_VALUE"""),0.6800694444444444)</f>
        <v>0.6800694444</v>
      </c>
      <c r="D109" s="122" t="str">
        <f>IFERROR(__xludf.DUMMYFUNCTION("""COMPUTED_VALUE"""),"SBND")</f>
        <v>SBND</v>
      </c>
      <c r="E109" s="122" t="str">
        <f>IFERROR(__xludf.DUMMYFUNCTION("""COMPUTED_VALUE"""),"School Savings Bond")</f>
        <v>School Savings Bond</v>
      </c>
      <c r="F109" s="122" t="str">
        <f>IFERROR(__xludf.DUMMYFUNCTION("""COMPUTED_VALUE"""),"Bond")</f>
        <v>Bond</v>
      </c>
    </row>
    <row r="110">
      <c r="A110" s="131">
        <f>IFERROR(__xludf.DUMMYFUNCTION("""COMPUTED_VALUE"""),46186.68006944445)</f>
        <v>46186.68007</v>
      </c>
      <c r="B110" s="126">
        <f>IFERROR(__xludf.DUMMYFUNCTION("""COMPUTED_VALUE"""),46186.0)</f>
        <v>46186</v>
      </c>
      <c r="C110" s="130">
        <f>IFERROR(__xludf.DUMMYFUNCTION("""COMPUTED_VALUE"""),0.6800694444444444)</f>
        <v>0.6800694444</v>
      </c>
      <c r="D110" s="122" t="str">
        <f>IFERROR(__xludf.DUMMYFUNCTION("""COMPUTED_VALUE"""),"CBND")</f>
        <v>CBND</v>
      </c>
      <c r="E110" s="122" t="str">
        <f>IFERROR(__xludf.DUMMYFUNCTION("""COMPUTED_VALUE"""),"Corporate Classroom Bond")</f>
        <v>Corporate Classroom Bond</v>
      </c>
      <c r="F110" s="122" t="str">
        <f>IFERROR(__xludf.DUMMYFUNCTION("""COMPUTED_VALUE"""),"Bond")</f>
        <v>Bond</v>
      </c>
    </row>
    <row r="111">
      <c r="A111" s="131">
        <f>IFERROR(__xludf.DUMMYFUNCTION("""COMPUTED_VALUE"""),46186.68006944445)</f>
        <v>46186.68007</v>
      </c>
      <c r="B111" s="126">
        <f>IFERROR(__xludf.DUMMYFUNCTION("""COMPUTED_VALUE"""),46186.0)</f>
        <v>46186</v>
      </c>
      <c r="C111" s="130">
        <f>IFERROR(__xludf.DUMMYFUNCTION("""COMPUTED_VALUE"""),0.6800694444444444)</f>
        <v>0.6800694444</v>
      </c>
      <c r="D111" s="122" t="str">
        <f>IFERROR(__xludf.DUMMYFUNCTION("""COMPUTED_VALUE"""),"TBIL")</f>
        <v>TBIL</v>
      </c>
      <c r="E111" s="122" t="str">
        <f>IFERROR(__xludf.DUMMYFUNCTION("""COMPUTED_VALUE"""),"Treasury Bill")</f>
        <v>Treasury Bill</v>
      </c>
      <c r="F111" s="122" t="str">
        <f>IFERROR(__xludf.DUMMYFUNCTION("""COMPUTED_VALUE"""),"Bond")</f>
        <v>Bond</v>
      </c>
    </row>
    <row r="112">
      <c r="A112" s="131">
        <f>IFERROR(__xludf.DUMMYFUNCTION("""COMPUTED_VALUE"""),46186.68006944445)</f>
        <v>46186.68007</v>
      </c>
      <c r="B112" s="126">
        <f>IFERROR(__xludf.DUMMYFUNCTION("""COMPUTED_VALUE"""),46186.0)</f>
        <v>46186</v>
      </c>
      <c r="C112" s="130">
        <f>IFERROR(__xludf.DUMMYFUNCTION("""COMPUTED_VALUE"""),0.6800694444444444)</f>
        <v>0.6800694444</v>
      </c>
      <c r="D112" s="122" t="str">
        <f>IFERROR(__xludf.DUMMYFUNCTION("""COMPUTED_VALUE"""),"IBND")</f>
        <v>IBND</v>
      </c>
      <c r="E112" s="122" t="str">
        <f>IFERROR(__xludf.DUMMYFUNCTION("""COMPUTED_VALUE"""),"Inflation Protected Bond")</f>
        <v>Inflation Protected Bond</v>
      </c>
      <c r="F112" s="122" t="str">
        <f>IFERROR(__xludf.DUMMYFUNCTION("""COMPUTED_VALUE"""),"Bond")</f>
        <v>Bond</v>
      </c>
    </row>
    <row r="113">
      <c r="A113" s="131">
        <f>IFERROR(__xludf.DUMMYFUNCTION("""COMPUTED_VALUE"""),46186.68204861111)</f>
        <v>46186.68205</v>
      </c>
      <c r="B113" s="126">
        <f>IFERROR(__xludf.DUMMYFUNCTION("""COMPUTED_VALUE"""),46186.0)</f>
        <v>46186</v>
      </c>
      <c r="C113" s="122" t="str">
        <f>IFERROR(__xludf.DUMMYFUNCTION("""COMPUTED_VALUE"""),"SNAX")</f>
        <v>SNAX</v>
      </c>
      <c r="D113" s="122" t="str">
        <f>IFERROR(__xludf.DUMMYFUNCTION("""COMPUTED_VALUE"""),"MICA Snacks")</f>
        <v>MICA Snacks</v>
      </c>
      <c r="E113" s="122">
        <f>IFERROR(__xludf.DUMMYFUNCTION("""COMPUTED_VALUE"""),124.44)</f>
        <v>124.44</v>
      </c>
      <c r="F113" s="122">
        <f>IFERROR(__xludf.DUMMYFUNCTION("""COMPUTED_VALUE"""),0.0028)</f>
        <v>0.0028</v>
      </c>
    </row>
    <row r="114">
      <c r="A114" s="131">
        <f>IFERROR(__xludf.DUMMYFUNCTION("""COMPUTED_VALUE"""),46186.68204861111)</f>
        <v>46186.68205</v>
      </c>
      <c r="B114" s="126">
        <f>IFERROR(__xludf.DUMMYFUNCTION("""COMPUTED_VALUE"""),46186.0)</f>
        <v>46186</v>
      </c>
      <c r="C114" s="122" t="str">
        <f>IFERROR(__xludf.DUMMYFUNCTION("""COMPUTED_VALUE"""),"RAMN")</f>
        <v>RAMN</v>
      </c>
      <c r="D114" s="122" t="str">
        <f>IFERROR(__xludf.DUMMYFUNCTION("""COMPUTED_VALUE"""),"Ramen Republic")</f>
        <v>Ramen Republic</v>
      </c>
      <c r="E114" s="122">
        <f>IFERROR(__xludf.DUMMYFUNCTION("""COMPUTED_VALUE"""),78.92)</f>
        <v>78.92</v>
      </c>
      <c r="F114" s="122">
        <f>IFERROR(__xludf.DUMMYFUNCTION("""COMPUTED_VALUE"""),0.0024)</f>
        <v>0.0024</v>
      </c>
    </row>
    <row r="115">
      <c r="A115" s="131">
        <f>IFERROR(__xludf.DUMMYFUNCTION("""COMPUTED_VALUE"""),46186.68204861111)</f>
        <v>46186.68205</v>
      </c>
      <c r="B115" s="126">
        <f>IFERROR(__xludf.DUMMYFUNCTION("""COMPUTED_VALUE"""),46186.0)</f>
        <v>46186</v>
      </c>
      <c r="C115" s="122" t="str">
        <f>IFERROR(__xludf.DUMMYFUNCTION("""COMPUTED_VALUE"""),"COLA")</f>
        <v>COLA</v>
      </c>
      <c r="D115" s="122" t="str">
        <f>IFERROR(__xludf.DUMMYFUNCTION("""COMPUTED_VALUE"""),"K-Pop Cola")</f>
        <v>K-Pop Cola</v>
      </c>
      <c r="E115" s="122">
        <f>IFERROR(__xludf.DUMMYFUNCTION("""COMPUTED_VALUE"""),104.57)</f>
        <v>104.57</v>
      </c>
      <c r="F115" s="122">
        <f>IFERROR(__xludf.DUMMYFUNCTION("""COMPUTED_VALUE"""),-0.0026)</f>
        <v>-0.0026</v>
      </c>
    </row>
    <row r="116">
      <c r="A116" s="131">
        <f>IFERROR(__xludf.DUMMYFUNCTION("""COMPUTED_VALUE"""),46186.68204861111)</f>
        <v>46186.68205</v>
      </c>
      <c r="B116" s="126">
        <f>IFERROR(__xludf.DUMMYFUNCTION("""COMPUTED_VALUE"""),46186.0)</f>
        <v>46186</v>
      </c>
      <c r="C116" s="122" t="str">
        <f>IFERROR(__xludf.DUMMYFUNCTION("""COMPUTED_VALUE"""),"CHIP")</f>
        <v>CHIP</v>
      </c>
      <c r="D116" s="122" t="str">
        <f>IFERROR(__xludf.DUMMYFUNCTION("""COMPUTED_VALUE"""),"Chip Empire")</f>
        <v>Chip Empire</v>
      </c>
      <c r="E116" s="122">
        <f>IFERROR(__xludf.DUMMYFUNCTION("""COMPUTED_VALUE"""),86.85)</f>
        <v>86.85</v>
      </c>
      <c r="F116" s="122">
        <f>IFERROR(__xludf.DUMMYFUNCTION("""COMPUTED_VALUE"""),-0.0012)</f>
        <v>-0.0012</v>
      </c>
    </row>
    <row r="117">
      <c r="A117" s="131">
        <f>IFERROR(__xludf.DUMMYFUNCTION("""COMPUTED_VALUE"""),46186.68204861111)</f>
        <v>46186.68205</v>
      </c>
      <c r="B117" s="126">
        <f>IFERROR(__xludf.DUMMYFUNCTION("""COMPUTED_VALUE"""),46186.0)</f>
        <v>46186</v>
      </c>
      <c r="C117" s="122" t="str">
        <f>IFERROR(__xludf.DUMMYFUNCTION("""COMPUTED_VALUE"""),"CAND")</f>
        <v>CAND</v>
      </c>
      <c r="D117" s="122" t="str">
        <f>IFERROR(__xludf.DUMMYFUNCTION("""COMPUTED_VALUE"""),"Candy Capital")</f>
        <v>Candy Capital</v>
      </c>
      <c r="E117" s="122">
        <f>IFERROR(__xludf.DUMMYFUNCTION("""COMPUTED_VALUE"""),76.62)</f>
        <v>76.62</v>
      </c>
      <c r="F117" s="122">
        <f>IFERROR(__xludf.DUMMYFUNCTION("""COMPUTED_VALUE"""),0.0034)</f>
        <v>0.0034</v>
      </c>
    </row>
    <row r="118">
      <c r="A118" s="131">
        <f>IFERROR(__xludf.DUMMYFUNCTION("""COMPUTED_VALUE"""),46186.68204861111)</f>
        <v>46186.68205</v>
      </c>
      <c r="B118" s="126">
        <f>IFERROR(__xludf.DUMMYFUNCTION("""COMPUTED_VALUE"""),46186.0)</f>
        <v>46186</v>
      </c>
      <c r="C118" s="122" t="str">
        <f>IFERROR(__xludf.DUMMYFUNCTION("""COMPUTED_VALUE"""),"TECH")</f>
        <v>TECH</v>
      </c>
      <c r="D118" s="122" t="str">
        <f>IFERROR(__xludf.DUMMYFUNCTION("""COMPUTED_VALUE"""),"Dragon Tech")</f>
        <v>Dragon Tech</v>
      </c>
      <c r="E118" s="122">
        <f>IFERROR(__xludf.DUMMYFUNCTION("""COMPUTED_VALUE"""),244.15)</f>
        <v>244.15</v>
      </c>
      <c r="F118" s="122">
        <f>IFERROR(__xludf.DUMMYFUNCTION("""COMPUTED_VALUE"""),-6.0E-4)</f>
        <v>-0.0006</v>
      </c>
    </row>
    <row r="119">
      <c r="A119" s="131">
        <f>IFERROR(__xludf.DUMMYFUNCTION("""COMPUTED_VALUE"""),46186.68204861111)</f>
        <v>46186.68205</v>
      </c>
      <c r="B119" s="126">
        <f>IFERROR(__xludf.DUMMYFUNCTION("""COMPUTED_VALUE"""),46186.0)</f>
        <v>46186</v>
      </c>
      <c r="C119" s="122" t="str">
        <f>IFERROR(__xludf.DUMMYFUNCTION("""COMPUTED_VALUE"""),"AIBO")</f>
        <v>AIBO</v>
      </c>
      <c r="D119" s="122" t="str">
        <f>IFERROR(__xludf.DUMMYFUNCTION("""COMPUTED_VALUE"""),"Homework AI")</f>
        <v>Homework AI</v>
      </c>
      <c r="E119" s="122">
        <f>IFERROR(__xludf.DUMMYFUNCTION("""COMPUTED_VALUE"""),176.08)</f>
        <v>176.08</v>
      </c>
      <c r="F119" s="122">
        <f>IFERROR(__xludf.DUMMYFUNCTION("""COMPUTED_VALUE"""),-0.0027)</f>
        <v>-0.0027</v>
      </c>
    </row>
    <row r="120">
      <c r="A120" s="131">
        <f>IFERROR(__xludf.DUMMYFUNCTION("""COMPUTED_VALUE"""),46186.68204861111)</f>
        <v>46186.68205</v>
      </c>
      <c r="B120" s="126">
        <f>IFERROR(__xludf.DUMMYFUNCTION("""COMPUTED_VALUE"""),46186.0)</f>
        <v>46186</v>
      </c>
      <c r="C120" s="122" t="str">
        <f>IFERROR(__xludf.DUMMYFUNCTION("""COMPUTED_VALUE"""),"GAME")</f>
        <v>GAME</v>
      </c>
      <c r="D120" s="122" t="str">
        <f>IFERROR(__xludf.DUMMYFUNCTION("""COMPUTED_VALUE"""),"GameBox Media")</f>
        <v>GameBox Media</v>
      </c>
      <c r="E120" s="122">
        <f>IFERROR(__xludf.DUMMYFUNCTION("""COMPUTED_VALUE"""),86.87)</f>
        <v>86.87</v>
      </c>
      <c r="F120" s="122">
        <f>IFERROR(__xludf.DUMMYFUNCTION("""COMPUTED_VALUE"""),0.0036)</f>
        <v>0.0036</v>
      </c>
    </row>
    <row r="121">
      <c r="A121" s="131">
        <f>IFERROR(__xludf.DUMMYFUNCTION("""COMPUTED_VALUE"""),46186.68204861111)</f>
        <v>46186.68205</v>
      </c>
      <c r="B121" s="126">
        <f>IFERROR(__xludf.DUMMYFUNCTION("""COMPUTED_VALUE"""),46186.0)</f>
        <v>46186</v>
      </c>
      <c r="C121" s="122" t="str">
        <f>IFERROR(__xludf.DUMMYFUNCTION("""COMPUTED_VALUE"""),"VRSE")</f>
        <v>VRSE</v>
      </c>
      <c r="D121" s="122" t="str">
        <f>IFERROR(__xludf.DUMMYFUNCTION("""COMPUTED_VALUE"""),"VerseVR")</f>
        <v>VerseVR</v>
      </c>
      <c r="E121" s="122">
        <f>IFERROR(__xludf.DUMMYFUNCTION("""COMPUTED_VALUE"""),156.48)</f>
        <v>156.48</v>
      </c>
      <c r="F121" s="122">
        <f>IFERROR(__xludf.DUMMYFUNCTION("""COMPUTED_VALUE"""),0.006)</f>
        <v>0.006</v>
      </c>
    </row>
    <row r="122">
      <c r="A122" s="131">
        <f>IFERROR(__xludf.DUMMYFUNCTION("""COMPUTED_VALUE"""),46186.68204861111)</f>
        <v>46186.68205</v>
      </c>
      <c r="B122" s="126">
        <f>IFERROR(__xludf.DUMMYFUNCTION("""COMPUTED_VALUE"""),46186.0)</f>
        <v>46186</v>
      </c>
      <c r="C122" s="122" t="str">
        <f>IFERROR(__xludf.DUMMYFUNCTION("""COMPUTED_VALUE"""),"BYTE")</f>
        <v>BYTE</v>
      </c>
      <c r="D122" s="122" t="str">
        <f>IFERROR(__xludf.DUMMYFUNCTION("""COMPUTED_VALUE"""),"ByteWorks")</f>
        <v>ByteWorks</v>
      </c>
      <c r="E122" s="122">
        <f>IFERROR(__xludf.DUMMYFUNCTION("""COMPUTED_VALUE"""),108.34)</f>
        <v>108.34</v>
      </c>
      <c r="F122" s="122">
        <f>IFERROR(__xludf.DUMMYFUNCTION("""COMPUTED_VALUE"""),-0.0073)</f>
        <v>-0.0073</v>
      </c>
    </row>
    <row r="123">
      <c r="A123" s="131">
        <f>IFERROR(__xludf.DUMMYFUNCTION("""COMPUTED_VALUE"""),46186.68204861111)</f>
        <v>46186.68205</v>
      </c>
      <c r="B123" s="126">
        <f>IFERROR(__xludf.DUMMYFUNCTION("""COMPUTED_VALUE"""),46186.0)</f>
        <v>46186</v>
      </c>
      <c r="C123" s="122" t="str">
        <f>IFERROR(__xludf.DUMMYFUNCTION("""COMPUTED_VALUE"""),"BANK")</f>
        <v>BANK</v>
      </c>
      <c r="D123" s="122" t="str">
        <f>IFERROR(__xludf.DUMMYFUNCTION("""COMPUTED_VALUE"""),"Tiger Bank")</f>
        <v>Tiger Bank</v>
      </c>
      <c r="E123" s="122">
        <f>IFERROR(__xludf.DUMMYFUNCTION("""COMPUTED_VALUE"""),122.25)</f>
        <v>122.25</v>
      </c>
      <c r="F123" s="122">
        <f>IFERROR(__xludf.DUMMYFUNCTION("""COMPUTED_VALUE"""),2.0E-4)</f>
        <v>0.0002</v>
      </c>
    </row>
    <row r="124">
      <c r="A124" s="131">
        <f>IFERROR(__xludf.DUMMYFUNCTION("""COMPUTED_VALUE"""),46186.68204861111)</f>
        <v>46186.68205</v>
      </c>
      <c r="B124" s="126">
        <f>IFERROR(__xludf.DUMMYFUNCTION("""COMPUTED_VALUE"""),46186.0)</f>
        <v>46186</v>
      </c>
      <c r="C124" s="122" t="str">
        <f>IFERROR(__xludf.DUMMYFUNCTION("""COMPUTED_VALUE"""),"CRED")</f>
        <v>CRED</v>
      </c>
      <c r="D124" s="122" t="str">
        <f>IFERROR(__xludf.DUMMYFUNCTION("""COMPUTED_VALUE"""),"Credit Castle")</f>
        <v>Credit Castle</v>
      </c>
      <c r="E124" s="122">
        <f>IFERROR(__xludf.DUMMYFUNCTION("""COMPUTED_VALUE"""),68.99)</f>
        <v>68.99</v>
      </c>
      <c r="F124" s="122">
        <f>IFERROR(__xludf.DUMMYFUNCTION("""COMPUTED_VALUE"""),-1.0E-4)</f>
        <v>-0.0001</v>
      </c>
    </row>
    <row r="125">
      <c r="A125" s="131">
        <f>IFERROR(__xludf.DUMMYFUNCTION("""COMPUTED_VALUE"""),46186.68204861111)</f>
        <v>46186.68205</v>
      </c>
      <c r="B125" s="126">
        <f>IFERROR(__xludf.DUMMYFUNCTION("""COMPUTED_VALUE"""),46186.0)</f>
        <v>46186</v>
      </c>
      <c r="C125" s="122" t="str">
        <f>IFERROR(__xludf.DUMMYFUNCTION("""COMPUTED_VALUE"""),"BOND")</f>
        <v>BOND</v>
      </c>
      <c r="D125" s="122" t="str">
        <f>IFERROR(__xludf.DUMMYFUNCTION("""COMPUTED_VALUE"""),"BondBridge")</f>
        <v>BondBridge</v>
      </c>
      <c r="E125" s="122">
        <f>IFERROR(__xludf.DUMMYFUNCTION("""COMPUTED_VALUE"""),94.17)</f>
        <v>94.17</v>
      </c>
      <c r="F125" s="122">
        <f>IFERROR(__xludf.DUMMYFUNCTION("""COMPUTED_VALUE"""),9.0E-4)</f>
        <v>0.0009</v>
      </c>
    </row>
    <row r="126">
      <c r="A126" s="131">
        <f>IFERROR(__xludf.DUMMYFUNCTION("""COMPUTED_VALUE"""),46186.68204861111)</f>
        <v>46186.68205</v>
      </c>
      <c r="B126" s="126">
        <f>IFERROR(__xludf.DUMMYFUNCTION("""COMPUTED_VALUE"""),46186.0)</f>
        <v>46186</v>
      </c>
      <c r="C126" s="122" t="str">
        <f>IFERROR(__xludf.DUMMYFUNCTION("""COMPUTED_VALUE"""),"INSR")</f>
        <v>INSR</v>
      </c>
      <c r="D126" s="122" t="str">
        <f>IFERROR(__xludf.DUMMYFUNCTION("""COMPUTED_VALUE"""),"Shield Insurance")</f>
        <v>Shield Insurance</v>
      </c>
      <c r="E126" s="122">
        <f>IFERROR(__xludf.DUMMYFUNCTION("""COMPUTED_VALUE"""),151.62)</f>
        <v>151.62</v>
      </c>
      <c r="F126" s="122">
        <f>IFERROR(__xludf.DUMMYFUNCTION("""COMPUTED_VALUE"""),0.0022)</f>
        <v>0.0022</v>
      </c>
    </row>
    <row r="127">
      <c r="A127" s="131">
        <f>IFERROR(__xludf.DUMMYFUNCTION("""COMPUTED_VALUE"""),46186.68204861111)</f>
        <v>46186.68205</v>
      </c>
      <c r="B127" s="126">
        <f>IFERROR(__xludf.DUMMYFUNCTION("""COMPUTED_VALUE"""),46186.0)</f>
        <v>46186</v>
      </c>
      <c r="C127" s="122" t="str">
        <f>IFERROR(__xludf.DUMMYFUNCTION("""COMPUTED_VALUE"""),"LOAN")</f>
        <v>LOAN</v>
      </c>
      <c r="D127" s="122" t="str">
        <f>IFERROR(__xludf.DUMMYFUNCTION("""COMPUTED_VALUE"""),"LoanLab")</f>
        <v>LoanLab</v>
      </c>
      <c r="E127" s="122">
        <f>IFERROR(__xludf.DUMMYFUNCTION("""COMPUTED_VALUE"""),59.5)</f>
        <v>59.5</v>
      </c>
      <c r="F127" s="122">
        <f>IFERROR(__xludf.DUMMYFUNCTION("""COMPUTED_VALUE"""),-0.001)</f>
        <v>-0.001</v>
      </c>
    </row>
    <row r="128">
      <c r="A128" s="131">
        <f>IFERROR(__xludf.DUMMYFUNCTION("""COMPUTED_VALUE"""),46186.68204861111)</f>
        <v>46186.68205</v>
      </c>
      <c r="B128" s="126">
        <f>IFERROR(__xludf.DUMMYFUNCTION("""COMPUTED_VALUE"""),46186.0)</f>
        <v>46186</v>
      </c>
      <c r="C128" s="122" t="str">
        <f>IFERROR(__xludf.DUMMYFUNCTION("""COMPUTED_VALUE"""),"LUXE")</f>
        <v>LUXE</v>
      </c>
      <c r="D128" s="122" t="str">
        <f>IFERROR(__xludf.DUMMYFUNCTION("""COMPUTED_VALUE"""),"Luxury Locker")</f>
        <v>Luxury Locker</v>
      </c>
      <c r="E128" s="122">
        <f>IFERROR(__xludf.DUMMYFUNCTION("""COMPUTED_VALUE"""),263.22)</f>
        <v>263.22</v>
      </c>
      <c r="F128" s="122">
        <f>IFERROR(__xludf.DUMMYFUNCTION("""COMPUTED_VALUE"""),0.0052)</f>
        <v>0.0052</v>
      </c>
    </row>
    <row r="129">
      <c r="A129" s="131">
        <f>IFERROR(__xludf.DUMMYFUNCTION("""COMPUTED_VALUE"""),46186.68204861111)</f>
        <v>46186.68205</v>
      </c>
      <c r="B129" s="126">
        <f>IFERROR(__xludf.DUMMYFUNCTION("""COMPUTED_VALUE"""),46186.0)</f>
        <v>46186</v>
      </c>
      <c r="C129" s="122" t="str">
        <f>IFERROR(__xludf.DUMMYFUNCTION("""COMPUTED_VALUE"""),"DRIP")</f>
        <v>DRIP</v>
      </c>
      <c r="D129" s="122" t="str">
        <f>IFERROR(__xludf.DUMMYFUNCTION("""COMPUTED_VALUE"""),"Drip Streetwear")</f>
        <v>Drip Streetwear</v>
      </c>
      <c r="E129" s="122">
        <f>IFERROR(__xludf.DUMMYFUNCTION("""COMPUTED_VALUE"""),200.58)</f>
        <v>200.58</v>
      </c>
      <c r="F129" s="122">
        <f>IFERROR(__xludf.DUMMYFUNCTION("""COMPUTED_VALUE"""),0.0045)</f>
        <v>0.0045</v>
      </c>
    </row>
    <row r="130">
      <c r="A130" s="131">
        <f>IFERROR(__xludf.DUMMYFUNCTION("""COMPUTED_VALUE"""),46186.68204861111)</f>
        <v>46186.68205</v>
      </c>
      <c r="B130" s="126">
        <f>IFERROR(__xludf.DUMMYFUNCTION("""COMPUTED_VALUE"""),46186.0)</f>
        <v>46186</v>
      </c>
      <c r="C130" s="122" t="str">
        <f>IFERROR(__xludf.DUMMYFUNCTION("""COMPUTED_VALUE"""),"KICK")</f>
        <v>KICK</v>
      </c>
      <c r="D130" s="122" t="str">
        <f>IFERROR(__xludf.DUMMYFUNCTION("""COMPUTED_VALUE"""),"KickDrop Sneakers")</f>
        <v>KickDrop Sneakers</v>
      </c>
      <c r="E130" s="122">
        <f>IFERROR(__xludf.DUMMYFUNCTION("""COMPUTED_VALUE"""),183.8)</f>
        <v>183.8</v>
      </c>
      <c r="F130" s="122">
        <f>IFERROR(__xludf.DUMMYFUNCTION("""COMPUTED_VALUE"""),-0.0016)</f>
        <v>-0.0016</v>
      </c>
    </row>
    <row r="131">
      <c r="A131" s="131">
        <f>IFERROR(__xludf.DUMMYFUNCTION("""COMPUTED_VALUE"""),46186.68204861111)</f>
        <v>46186.68205</v>
      </c>
      <c r="B131" s="126">
        <f>IFERROR(__xludf.DUMMYFUNCTION("""COMPUTED_VALUE"""),46186.0)</f>
        <v>46186</v>
      </c>
      <c r="C131" s="122" t="str">
        <f>IFERROR(__xludf.DUMMYFUNCTION("""COMPUTED_VALUE"""),"GLAM")</f>
        <v>GLAM</v>
      </c>
      <c r="D131" s="122" t="str">
        <f>IFERROR(__xludf.DUMMYFUNCTION("""COMPUTED_VALUE"""),"Glow Cosmetics")</f>
        <v>Glow Cosmetics</v>
      </c>
      <c r="E131" s="122">
        <f>IFERROR(__xludf.DUMMYFUNCTION("""COMPUTED_VALUE"""),90.36)</f>
        <v>90.36</v>
      </c>
      <c r="F131" s="122">
        <f>IFERROR(__xludf.DUMMYFUNCTION("""COMPUTED_VALUE"""),0.0011)</f>
        <v>0.0011</v>
      </c>
    </row>
    <row r="132">
      <c r="A132" s="131">
        <f>IFERROR(__xludf.DUMMYFUNCTION("""COMPUTED_VALUE"""),46186.68204861111)</f>
        <v>46186.68205</v>
      </c>
      <c r="B132" s="126">
        <f>IFERROR(__xludf.DUMMYFUNCTION("""COMPUTED_VALUE"""),46186.0)</f>
        <v>46186</v>
      </c>
      <c r="C132" s="122" t="str">
        <f>IFERROR(__xludf.DUMMYFUNCTION("""COMPUTED_VALUE"""),"BAGG")</f>
        <v>BAGG</v>
      </c>
      <c r="D132" s="122" t="str">
        <f>IFERROR(__xludf.DUMMYFUNCTION("""COMPUTED_VALUE"""),"BagVault")</f>
        <v>BagVault</v>
      </c>
      <c r="E132" s="122">
        <f>IFERROR(__xludf.DUMMYFUNCTION("""COMPUTED_VALUE"""),236.99)</f>
        <v>236.99</v>
      </c>
      <c r="F132" s="122">
        <f>IFERROR(__xludf.DUMMYFUNCTION("""COMPUTED_VALUE"""),0.0079)</f>
        <v>0.0079</v>
      </c>
    </row>
    <row r="133">
      <c r="A133" s="131">
        <f>IFERROR(__xludf.DUMMYFUNCTION("""COMPUTED_VALUE"""),46186.68204861111)</f>
        <v>46186.68205</v>
      </c>
      <c r="B133" s="126">
        <f>IFERROR(__xludf.DUMMYFUNCTION("""COMPUTED_VALUE"""),46186.0)</f>
        <v>46186</v>
      </c>
      <c r="C133" s="122" t="str">
        <f>IFERROR(__xludf.DUMMYFUNCTION("""COMPUTED_VALUE"""),"FAST")</f>
        <v>FAST</v>
      </c>
      <c r="D133" s="122" t="str">
        <f>IFERROR(__xludf.DUMMYFUNCTION("""COMPUTED_VALUE"""),"Flash Logistics")</f>
        <v>Flash Logistics</v>
      </c>
      <c r="E133" s="122">
        <f>IFERROR(__xludf.DUMMYFUNCTION("""COMPUTED_VALUE"""),101.4)</f>
        <v>101.4</v>
      </c>
      <c r="F133" s="122">
        <f>IFERROR(__xludf.DUMMYFUNCTION("""COMPUTED_VALUE"""),-0.0044)</f>
        <v>-0.0044</v>
      </c>
    </row>
    <row r="134">
      <c r="A134" s="131">
        <f>IFERROR(__xludf.DUMMYFUNCTION("""COMPUTED_VALUE"""),46186.68204861111)</f>
        <v>46186.68205</v>
      </c>
      <c r="B134" s="126">
        <f>IFERROR(__xludf.DUMMYFUNCTION("""COMPUTED_VALUE"""),46186.0)</f>
        <v>46186</v>
      </c>
      <c r="C134" s="122" t="str">
        <f>IFERROR(__xludf.DUMMYFUNCTION("""COMPUTED_VALUE"""),"SHIP")</f>
        <v>SHIP</v>
      </c>
      <c r="D134" s="122" t="str">
        <f>IFERROR(__xludf.DUMMYFUNCTION("""COMPUTED_VALUE"""),"Seoul Shipping")</f>
        <v>Seoul Shipping</v>
      </c>
      <c r="E134" s="122">
        <f>IFERROR(__xludf.DUMMYFUNCTION("""COMPUTED_VALUE"""),118.11)</f>
        <v>118.11</v>
      </c>
      <c r="F134" s="122">
        <f>IFERROR(__xludf.DUMMYFUNCTION("""COMPUTED_VALUE"""),-0.0012)</f>
        <v>-0.0012</v>
      </c>
    </row>
    <row r="135">
      <c r="A135" s="131">
        <f>IFERROR(__xludf.DUMMYFUNCTION("""COMPUTED_VALUE"""),46186.68204861111)</f>
        <v>46186.68205</v>
      </c>
      <c r="B135" s="126">
        <f>IFERROR(__xludf.DUMMYFUNCTION("""COMPUTED_VALUE"""),46186.0)</f>
        <v>46186</v>
      </c>
      <c r="C135" s="122" t="str">
        <f>IFERROR(__xludf.DUMMYFUNCTION("""COMPUTED_VALUE"""),"DRON")</f>
        <v>DRON</v>
      </c>
      <c r="D135" s="122" t="str">
        <f>IFERROR(__xludf.DUMMYFUNCTION("""COMPUTED_VALUE"""),"DroneDrop")</f>
        <v>DroneDrop</v>
      </c>
      <c r="E135" s="122">
        <f>IFERROR(__xludf.DUMMYFUNCTION("""COMPUTED_VALUE"""),133.02)</f>
        <v>133.02</v>
      </c>
      <c r="F135" s="122">
        <f>IFERROR(__xludf.DUMMYFUNCTION("""COMPUTED_VALUE"""),0.0018)</f>
        <v>0.0018</v>
      </c>
    </row>
    <row r="136">
      <c r="A136" s="131">
        <f>IFERROR(__xludf.DUMMYFUNCTION("""COMPUTED_VALUE"""),46186.68204861111)</f>
        <v>46186.68205</v>
      </c>
      <c r="B136" s="126">
        <f>IFERROR(__xludf.DUMMYFUNCTION("""COMPUTED_VALUE"""),46186.0)</f>
        <v>46186</v>
      </c>
      <c r="C136" s="122" t="str">
        <f>IFERROR(__xludf.DUMMYFUNCTION("""COMPUTED_VALUE"""),"RIDE")</f>
        <v>RIDE</v>
      </c>
      <c r="D136" s="122" t="str">
        <f>IFERROR(__xludf.DUMMYFUNCTION("""COMPUTED_VALUE"""),"QuickRide")</f>
        <v>QuickRide</v>
      </c>
      <c r="E136" s="122">
        <f>IFERROR(__xludf.DUMMYFUNCTION("""COMPUTED_VALUE"""),93.84)</f>
        <v>93.84</v>
      </c>
      <c r="F136" s="122">
        <f>IFERROR(__xludf.DUMMYFUNCTION("""COMPUTED_VALUE"""),0.0013)</f>
        <v>0.0013</v>
      </c>
    </row>
    <row r="137">
      <c r="A137" s="131">
        <f>IFERROR(__xludf.DUMMYFUNCTION("""COMPUTED_VALUE"""),46186.68204861111)</f>
        <v>46186.68205</v>
      </c>
      <c r="B137" s="126">
        <f>IFERROR(__xludf.DUMMYFUNCTION("""COMPUTED_VALUE"""),46186.0)</f>
        <v>46186</v>
      </c>
      <c r="C137" s="122" t="str">
        <f>IFERROR(__xludf.DUMMYFUNCTION("""COMPUTED_VALUE"""),"RAIL")</f>
        <v>RAIL</v>
      </c>
      <c r="D137" s="122" t="str">
        <f>IFERROR(__xludf.DUMMYFUNCTION("""COMPUTED_VALUE"""),"MetroRail Corp")</f>
        <v>MetroRail Corp</v>
      </c>
      <c r="E137" s="122">
        <f>IFERROR(__xludf.DUMMYFUNCTION("""COMPUTED_VALUE"""),133.62)</f>
        <v>133.62</v>
      </c>
      <c r="F137" s="122">
        <f>IFERROR(__xludf.DUMMYFUNCTION("""COMPUTED_VALUE"""),0.0041)</f>
        <v>0.0041</v>
      </c>
    </row>
    <row r="138">
      <c r="A138" s="131">
        <f>IFERROR(__xludf.DUMMYFUNCTION("""COMPUTED_VALUE"""),46186.68204861111)</f>
        <v>46186.68205</v>
      </c>
      <c r="B138" s="126">
        <f>IFERROR(__xludf.DUMMYFUNCTION("""COMPUTED_VALUE"""),46186.0)</f>
        <v>46186</v>
      </c>
      <c r="C138" s="122" t="str">
        <f>IFERROR(__xludf.DUMMYFUNCTION("""COMPUTED_VALUE"""),"MEDX")</f>
        <v>MEDX</v>
      </c>
      <c r="D138" s="122" t="str">
        <f>IFERROR(__xludf.DUMMYFUNCTION("""COMPUTED_VALUE"""),"MediCore")</f>
        <v>MediCore</v>
      </c>
      <c r="E138" s="122">
        <f>IFERROR(__xludf.DUMMYFUNCTION("""COMPUTED_VALUE"""),136.58)</f>
        <v>136.58</v>
      </c>
      <c r="F138" s="122">
        <f>IFERROR(__xludf.DUMMYFUNCTION("""COMPUTED_VALUE"""),2.0E-4)</f>
        <v>0.0002</v>
      </c>
    </row>
    <row r="139">
      <c r="A139" s="131">
        <f>IFERROR(__xludf.DUMMYFUNCTION("""COMPUTED_VALUE"""),46186.68204861111)</f>
        <v>46186.68205</v>
      </c>
      <c r="B139" s="126">
        <f>IFERROR(__xludf.DUMMYFUNCTION("""COMPUTED_VALUE"""),46186.0)</f>
        <v>46186</v>
      </c>
      <c r="C139" s="122" t="str">
        <f>IFERROR(__xludf.DUMMYFUNCTION("""COMPUTED_VALUE"""),"GYMX")</f>
        <v>GYMX</v>
      </c>
      <c r="D139" s="122" t="str">
        <f>IFERROR(__xludf.DUMMYFUNCTION("""COMPUTED_VALUE"""),"GymX Fitness")</f>
        <v>GymX Fitness</v>
      </c>
      <c r="E139" s="122">
        <f>IFERROR(__xludf.DUMMYFUNCTION("""COMPUTED_VALUE"""),88.66)</f>
        <v>88.66</v>
      </c>
      <c r="F139" s="122">
        <f>IFERROR(__xludf.DUMMYFUNCTION("""COMPUTED_VALUE"""),0.0011)</f>
        <v>0.0011</v>
      </c>
    </row>
    <row r="140">
      <c r="A140" s="131">
        <f>IFERROR(__xludf.DUMMYFUNCTION("""COMPUTED_VALUE"""),46186.68204861111)</f>
        <v>46186.68205</v>
      </c>
      <c r="B140" s="126">
        <f>IFERROR(__xludf.DUMMYFUNCTION("""COMPUTED_VALUE"""),46186.0)</f>
        <v>46186</v>
      </c>
      <c r="C140" s="122" t="str">
        <f>IFERROR(__xludf.DUMMYFUNCTION("""COMPUTED_VALUE"""),"VITA")</f>
        <v>VITA</v>
      </c>
      <c r="D140" s="122" t="str">
        <f>IFERROR(__xludf.DUMMYFUNCTION("""COMPUTED_VALUE"""),"VitaPlus")</f>
        <v>VitaPlus</v>
      </c>
      <c r="E140" s="122">
        <f>IFERROR(__xludf.DUMMYFUNCTION("""COMPUTED_VALUE"""),76.46)</f>
        <v>76.46</v>
      </c>
      <c r="F140" s="122">
        <f>IFERROR(__xludf.DUMMYFUNCTION("""COMPUTED_VALUE"""),-0.0044)</f>
        <v>-0.0044</v>
      </c>
    </row>
    <row r="141">
      <c r="A141" s="131">
        <f>IFERROR(__xludf.DUMMYFUNCTION("""COMPUTED_VALUE"""),46186.68204861111)</f>
        <v>46186.68205</v>
      </c>
      <c r="B141" s="126">
        <f>IFERROR(__xludf.DUMMYFUNCTION("""COMPUTED_VALUE"""),46186.0)</f>
        <v>46186</v>
      </c>
      <c r="C141" s="122" t="str">
        <f>IFERROR(__xludf.DUMMYFUNCTION("""COMPUTED_VALUE"""),"CARE")</f>
        <v>CARE</v>
      </c>
      <c r="D141" s="122" t="str">
        <f>IFERROR(__xludf.DUMMYFUNCTION("""COMPUTED_VALUE"""),"CareCloud")</f>
        <v>CareCloud</v>
      </c>
      <c r="E141" s="122">
        <f>IFERROR(__xludf.DUMMYFUNCTION("""COMPUTED_VALUE"""),171.42)</f>
        <v>171.42</v>
      </c>
      <c r="F141" s="122">
        <f>IFERROR(__xludf.DUMMYFUNCTION("""COMPUTED_VALUE"""),0.0016)</f>
        <v>0.0016</v>
      </c>
    </row>
    <row r="142">
      <c r="A142" s="131">
        <f>IFERROR(__xludf.DUMMYFUNCTION("""COMPUTED_VALUE"""),46186.68204861111)</f>
        <v>46186.68205</v>
      </c>
      <c r="B142" s="126">
        <f>IFERROR(__xludf.DUMMYFUNCTION("""COMPUTED_VALUE"""),46186.0)</f>
        <v>46186</v>
      </c>
      <c r="C142" s="122" t="str">
        <f>IFERROR(__xludf.DUMMYFUNCTION("""COMPUTED_VALUE"""),"DENT")</f>
        <v>DENT</v>
      </c>
      <c r="D142" s="122" t="str">
        <f>IFERROR(__xludf.DUMMYFUNCTION("""COMPUTED_VALUE"""),"SmileWorks")</f>
        <v>SmileWorks</v>
      </c>
      <c r="E142" s="122">
        <f>IFERROR(__xludf.DUMMYFUNCTION("""COMPUTED_VALUE"""),81.35)</f>
        <v>81.35</v>
      </c>
      <c r="F142" s="122">
        <f>IFERROR(__xludf.DUMMYFUNCTION("""COMPUTED_VALUE"""),-0.0042)</f>
        <v>-0.0042</v>
      </c>
    </row>
    <row r="143">
      <c r="A143" s="131">
        <f>IFERROR(__xludf.DUMMYFUNCTION("""COMPUTED_VALUE"""),46186.68204861111)</f>
        <v>46186.68205</v>
      </c>
      <c r="B143" s="126">
        <f>IFERROR(__xludf.DUMMYFUNCTION("""COMPUTED_VALUE"""),46186.0)</f>
        <v>46186</v>
      </c>
      <c r="C143" s="122" t="str">
        <f>IFERROR(__xludf.DUMMYFUNCTION("""COMPUTED_VALUE"""),"EDUX")</f>
        <v>EDUX</v>
      </c>
      <c r="D143" s="122" t="str">
        <f>IFERROR(__xludf.DUMMYFUNCTION("""COMPUTED_VALUE"""),"EduMax Learning")</f>
        <v>EduMax Learning</v>
      </c>
      <c r="E143" s="122">
        <f>IFERROR(__xludf.DUMMYFUNCTION("""COMPUTED_VALUE"""),132.52)</f>
        <v>132.52</v>
      </c>
      <c r="F143" s="122">
        <f>IFERROR(__xludf.DUMMYFUNCTION("""COMPUTED_VALUE"""),-0.0041)</f>
        <v>-0.0041</v>
      </c>
    </row>
    <row r="144">
      <c r="A144" s="131">
        <f>IFERROR(__xludf.DUMMYFUNCTION("""COMPUTED_VALUE"""),46186.68204861111)</f>
        <v>46186.68205</v>
      </c>
      <c r="B144" s="126">
        <f>IFERROR(__xludf.DUMMYFUNCTION("""COMPUTED_VALUE"""),46186.0)</f>
        <v>46186</v>
      </c>
      <c r="C144" s="122" t="str">
        <f>IFERROR(__xludf.DUMMYFUNCTION("""COMPUTED_VALUE"""),"BOOK")</f>
        <v>BOOK</v>
      </c>
      <c r="D144" s="122" t="str">
        <f>IFERROR(__xludf.DUMMYFUNCTION("""COMPUTED_VALUE"""),"BookBridge")</f>
        <v>BookBridge</v>
      </c>
      <c r="E144" s="122">
        <f>IFERROR(__xludf.DUMMYFUNCTION("""COMPUTED_VALUE"""),109.75)</f>
        <v>109.75</v>
      </c>
      <c r="F144" s="122">
        <f>IFERROR(__xludf.DUMMYFUNCTION("""COMPUTED_VALUE"""),0.0055)</f>
        <v>0.0055</v>
      </c>
    </row>
    <row r="145">
      <c r="A145" s="131">
        <f>IFERROR(__xludf.DUMMYFUNCTION("""COMPUTED_VALUE"""),46186.68204861111)</f>
        <v>46186.68205</v>
      </c>
      <c r="B145" s="126">
        <f>IFERROR(__xludf.DUMMYFUNCTION("""COMPUTED_VALUE"""),46186.0)</f>
        <v>46186</v>
      </c>
      <c r="C145" s="122" t="str">
        <f>IFERROR(__xludf.DUMMYFUNCTION("""COMPUTED_VALUE"""),"TUTR")</f>
        <v>TUTR</v>
      </c>
      <c r="D145" s="122" t="str">
        <f>IFERROR(__xludf.DUMMYFUNCTION("""COMPUTED_VALUE"""),"TutorTown")</f>
        <v>TutorTown</v>
      </c>
      <c r="E145" s="122">
        <f>IFERROR(__xludf.DUMMYFUNCTION("""COMPUTED_VALUE"""),89.51)</f>
        <v>89.51</v>
      </c>
      <c r="F145" s="122">
        <f>IFERROR(__xludf.DUMMYFUNCTION("""COMPUTED_VALUE"""),0.0073)</f>
        <v>0.0073</v>
      </c>
    </row>
    <row r="146">
      <c r="A146" s="131">
        <f>IFERROR(__xludf.DUMMYFUNCTION("""COMPUTED_VALUE"""),46186.68204861111)</f>
        <v>46186.68205</v>
      </c>
      <c r="B146" s="126">
        <f>IFERROR(__xludf.DUMMYFUNCTION("""COMPUTED_VALUE"""),46186.0)</f>
        <v>46186</v>
      </c>
      <c r="C146" s="122" t="str">
        <f>IFERROR(__xludf.DUMMYFUNCTION("""COMPUTED_VALUE"""),"LANG")</f>
        <v>LANG</v>
      </c>
      <c r="D146" s="122" t="str">
        <f>IFERROR(__xludf.DUMMYFUNCTION("""COMPUTED_VALUE"""),"LinguaLab")</f>
        <v>LinguaLab</v>
      </c>
      <c r="E146" s="122">
        <f>IFERROR(__xludf.DUMMYFUNCTION("""COMPUTED_VALUE"""),94.64)</f>
        <v>94.64</v>
      </c>
      <c r="F146" s="122">
        <f>IFERROR(__xludf.DUMMYFUNCTION("""COMPUTED_VALUE"""),-0.0035)</f>
        <v>-0.0035</v>
      </c>
    </row>
    <row r="147">
      <c r="A147" s="131">
        <f>IFERROR(__xludf.DUMMYFUNCTION("""COMPUTED_VALUE"""),46186.68204861111)</f>
        <v>46186.68205</v>
      </c>
      <c r="B147" s="126">
        <f>IFERROR(__xludf.DUMMYFUNCTION("""COMPUTED_VALUE"""),46186.0)</f>
        <v>46186</v>
      </c>
      <c r="C147" s="122" t="str">
        <f>IFERROR(__xludf.DUMMYFUNCTION("""COMPUTED_VALUE"""),"TEST")</f>
        <v>TEST</v>
      </c>
      <c r="D147" s="122" t="str">
        <f>IFERROR(__xludf.DUMMYFUNCTION("""COMPUTED_VALUE"""),"TestPrep Pro")</f>
        <v>TestPrep Pro</v>
      </c>
      <c r="E147" s="122">
        <f>IFERROR(__xludf.DUMMYFUNCTION("""COMPUTED_VALUE"""),104.63)</f>
        <v>104.63</v>
      </c>
      <c r="F147" s="122">
        <f>IFERROR(__xludf.DUMMYFUNCTION("""COMPUTED_VALUE"""),0.0017)</f>
        <v>0.0017</v>
      </c>
    </row>
    <row r="148">
      <c r="A148" s="131">
        <f>IFERROR(__xludf.DUMMYFUNCTION("""COMPUTED_VALUE"""),46186.68204861111)</f>
        <v>46186.68205</v>
      </c>
      <c r="B148" s="126">
        <f>IFERROR(__xludf.DUMMYFUNCTION("""COMPUTED_VALUE"""),46186.0)</f>
        <v>46186</v>
      </c>
      <c r="C148" s="122" t="str">
        <f>IFERROR(__xludf.DUMMYFUNCTION("""COMPUTED_VALUE"""),"MOVI")</f>
        <v>MOVI</v>
      </c>
      <c r="D148" s="122" t="str">
        <f>IFERROR(__xludf.DUMMYFUNCTION("""COMPUTED_VALUE"""),"MovieBox")</f>
        <v>MovieBox</v>
      </c>
      <c r="E148" s="122">
        <f>IFERROR(__xludf.DUMMYFUNCTION("""COMPUTED_VALUE"""),79.68)</f>
        <v>79.68</v>
      </c>
      <c r="F148" s="122">
        <f>IFERROR(__xludf.DUMMYFUNCTION("""COMPUTED_VALUE"""),0.004)</f>
        <v>0.004</v>
      </c>
    </row>
    <row r="149">
      <c r="A149" s="131">
        <f>IFERROR(__xludf.DUMMYFUNCTION("""COMPUTED_VALUE"""),46186.68204861111)</f>
        <v>46186.68205</v>
      </c>
      <c r="B149" s="126">
        <f>IFERROR(__xludf.DUMMYFUNCTION("""COMPUTED_VALUE"""),46186.0)</f>
        <v>46186</v>
      </c>
      <c r="C149" s="122" t="str">
        <f>IFERROR(__xludf.DUMMYFUNCTION("""COMPUTED_VALUE"""),"MUSC")</f>
        <v>MUSC</v>
      </c>
      <c r="D149" s="122" t="str">
        <f>IFERROR(__xludf.DUMMYFUNCTION("""COMPUTED_VALUE"""),"MusicWave")</f>
        <v>MusicWave</v>
      </c>
      <c r="E149" s="122">
        <f>IFERROR(__xludf.DUMMYFUNCTION("""COMPUTED_VALUE"""),96.02)</f>
        <v>96.02</v>
      </c>
      <c r="F149" s="122">
        <f>IFERROR(__xludf.DUMMYFUNCTION("""COMPUTED_VALUE"""),0.0063)</f>
        <v>0.0063</v>
      </c>
    </row>
    <row r="150">
      <c r="A150" s="131">
        <f>IFERROR(__xludf.DUMMYFUNCTION("""COMPUTED_VALUE"""),46186.68204861111)</f>
        <v>46186.68205</v>
      </c>
      <c r="B150" s="126">
        <f>IFERROR(__xludf.DUMMYFUNCTION("""COMPUTED_VALUE"""),46186.0)</f>
        <v>46186</v>
      </c>
      <c r="C150" s="122" t="str">
        <f>IFERROR(__xludf.DUMMYFUNCTION("""COMPUTED_VALUE"""),"IDOL")</f>
        <v>IDOL</v>
      </c>
      <c r="D150" s="122" t="str">
        <f>IFERROR(__xludf.DUMMYFUNCTION("""COMPUTED_VALUE"""),"Idol Agency")</f>
        <v>Idol Agency</v>
      </c>
      <c r="E150" s="122">
        <f>IFERROR(__xludf.DUMMYFUNCTION("""COMPUTED_VALUE"""),199.13)</f>
        <v>199.13</v>
      </c>
      <c r="F150" s="122">
        <f>IFERROR(__xludf.DUMMYFUNCTION("""COMPUTED_VALUE"""),-0.0111)</f>
        <v>-0.0111</v>
      </c>
    </row>
    <row r="151">
      <c r="A151" s="131">
        <f>IFERROR(__xludf.DUMMYFUNCTION("""COMPUTED_VALUE"""),46186.68204861111)</f>
        <v>46186.68205</v>
      </c>
      <c r="B151" s="126">
        <f>IFERROR(__xludf.DUMMYFUNCTION("""COMPUTED_VALUE"""),46186.0)</f>
        <v>46186</v>
      </c>
      <c r="C151" s="122" t="str">
        <f>IFERROR(__xludf.DUMMYFUNCTION("""COMPUTED_VALUE"""),"MEME")</f>
        <v>MEME</v>
      </c>
      <c r="D151" s="122" t="str">
        <f>IFERROR(__xludf.DUMMYFUNCTION("""COMPUTED_VALUE"""),"Meme Media")</f>
        <v>Meme Media</v>
      </c>
      <c r="E151" s="122">
        <f>IFERROR(__xludf.DUMMYFUNCTION("""COMPUTED_VALUE"""),80.45)</f>
        <v>80.45</v>
      </c>
      <c r="F151" s="122">
        <f>IFERROR(__xludf.DUMMYFUNCTION("""COMPUTED_VALUE"""),-0.003)</f>
        <v>-0.003</v>
      </c>
    </row>
    <row r="152">
      <c r="A152" s="131">
        <f>IFERROR(__xludf.DUMMYFUNCTION("""COMPUTED_VALUE"""),46186.68204861111)</f>
        <v>46186.68205</v>
      </c>
      <c r="B152" s="126">
        <f>IFERROR(__xludf.DUMMYFUNCTION("""COMPUTED_VALUE"""),46186.0)</f>
        <v>46186</v>
      </c>
      <c r="C152" s="122" t="str">
        <f>IFERROR(__xludf.DUMMYFUNCTION("""COMPUTED_VALUE"""),"STRM")</f>
        <v>STRM</v>
      </c>
      <c r="D152" s="122" t="str">
        <f>IFERROR(__xludf.DUMMYFUNCTION("""COMPUTED_VALUE"""),"Streamly")</f>
        <v>Streamly</v>
      </c>
      <c r="E152" s="122">
        <f>IFERROR(__xludf.DUMMYFUNCTION("""COMPUTED_VALUE"""),139.3)</f>
        <v>139.3</v>
      </c>
      <c r="F152" s="122">
        <f>IFERROR(__xludf.DUMMYFUNCTION("""COMPUTED_VALUE"""),-0.0046)</f>
        <v>-0.0046</v>
      </c>
    </row>
    <row r="153">
      <c r="A153" s="131">
        <f>IFERROR(__xludf.DUMMYFUNCTION("""COMPUTED_VALUE"""),46186.68204861111)</f>
        <v>46186.68205</v>
      </c>
      <c r="B153" s="126">
        <f>IFERROR(__xludf.DUMMYFUNCTION("""COMPUTED_VALUE"""),46186.0)</f>
        <v>46186</v>
      </c>
      <c r="C153" s="122" t="str">
        <f>IFERROR(__xludf.DUMMYFUNCTION("""COMPUTED_VALUE"""),"FARM")</f>
        <v>FARM</v>
      </c>
      <c r="D153" s="122" t="str">
        <f>IFERROR(__xludf.DUMMYFUNCTION("""COMPUTED_VALUE"""),"Future Farms")</f>
        <v>Future Farms</v>
      </c>
      <c r="E153" s="122">
        <f>IFERROR(__xludf.DUMMYFUNCTION("""COMPUTED_VALUE"""),78.71)</f>
        <v>78.71</v>
      </c>
      <c r="F153" s="122">
        <f>IFERROR(__xludf.DUMMYFUNCTION("""COMPUTED_VALUE"""),0.0019)</f>
        <v>0.0019</v>
      </c>
    </row>
    <row r="154">
      <c r="A154" s="131">
        <f>IFERROR(__xludf.DUMMYFUNCTION("""COMPUTED_VALUE"""),46186.68204861111)</f>
        <v>46186.68205</v>
      </c>
      <c r="B154" s="126">
        <f>IFERROR(__xludf.DUMMYFUNCTION("""COMPUTED_VALUE"""),46186.0)</f>
        <v>46186</v>
      </c>
      <c r="C154" s="122" t="str">
        <f>IFERROR(__xludf.DUMMYFUNCTION("""COMPUTED_VALUE"""),"MEAT")</f>
        <v>MEAT</v>
      </c>
      <c r="D154" s="122" t="str">
        <f>IFERROR(__xludf.DUMMYFUNCTION("""COMPUTED_VALUE"""),"MeatWorks")</f>
        <v>MeatWorks</v>
      </c>
      <c r="E154" s="122">
        <f>IFERROR(__xludf.DUMMYFUNCTION("""COMPUTED_VALUE"""),101.82)</f>
        <v>101.82</v>
      </c>
      <c r="F154" s="122">
        <f>IFERROR(__xludf.DUMMYFUNCTION("""COMPUTED_VALUE"""),-6.0E-4)</f>
        <v>-0.0006</v>
      </c>
    </row>
    <row r="155">
      <c r="A155" s="131">
        <f>IFERROR(__xludf.DUMMYFUNCTION("""COMPUTED_VALUE"""),46186.68204861111)</f>
        <v>46186.68205</v>
      </c>
      <c r="B155" s="126">
        <f>IFERROR(__xludf.DUMMYFUNCTION("""COMPUTED_VALUE"""),46186.0)</f>
        <v>46186</v>
      </c>
      <c r="C155" s="122" t="str">
        <f>IFERROR(__xludf.DUMMYFUNCTION("""COMPUTED_VALUE"""),"VEGI")</f>
        <v>VEGI</v>
      </c>
      <c r="D155" s="122" t="str">
        <f>IFERROR(__xludf.DUMMYFUNCTION("""COMPUTED_VALUE"""),"Green Basket")</f>
        <v>Green Basket</v>
      </c>
      <c r="E155" s="122">
        <f>IFERROR(__xludf.DUMMYFUNCTION("""COMPUTED_VALUE"""),83.94)</f>
        <v>83.94</v>
      </c>
      <c r="F155" s="122">
        <f>IFERROR(__xludf.DUMMYFUNCTION("""COMPUTED_VALUE"""),-0.0038)</f>
        <v>-0.0038</v>
      </c>
    </row>
    <row r="156">
      <c r="A156" s="131">
        <f>IFERROR(__xludf.DUMMYFUNCTION("""COMPUTED_VALUE"""),46186.68204861111)</f>
        <v>46186.68205</v>
      </c>
      <c r="B156" s="126">
        <f>IFERROR(__xludf.DUMMYFUNCTION("""COMPUTED_VALUE"""),46186.0)</f>
        <v>46186</v>
      </c>
      <c r="C156" s="122" t="str">
        <f>IFERROR(__xludf.DUMMYFUNCTION("""COMPUTED_VALUE"""),"CAFE")</f>
        <v>CAFE</v>
      </c>
      <c r="D156" s="122" t="str">
        <f>IFERROR(__xludf.DUMMYFUNCTION("""COMPUTED_VALUE"""),"Cafe Cloud")</f>
        <v>Cafe Cloud</v>
      </c>
      <c r="E156" s="122">
        <f>IFERROR(__xludf.DUMMYFUNCTION("""COMPUTED_VALUE"""),97.86)</f>
        <v>97.86</v>
      </c>
      <c r="F156" s="122">
        <f>IFERROR(__xludf.DUMMYFUNCTION("""COMPUTED_VALUE"""),0.0052)</f>
        <v>0.0052</v>
      </c>
    </row>
    <row r="157">
      <c r="A157" s="131">
        <f>IFERROR(__xludf.DUMMYFUNCTION("""COMPUTED_VALUE"""),46186.68204861111)</f>
        <v>46186.68205</v>
      </c>
      <c r="B157" s="126">
        <f>IFERROR(__xludf.DUMMYFUNCTION("""COMPUTED_VALUE"""),46186.0)</f>
        <v>46186</v>
      </c>
      <c r="C157" s="122" t="str">
        <f>IFERROR(__xludf.DUMMYFUNCTION("""COMPUTED_VALUE"""),"BAKE")</f>
        <v>BAKE</v>
      </c>
      <c r="D157" s="122" t="str">
        <f>IFERROR(__xludf.DUMMYFUNCTION("""COMPUTED_VALUE"""),"BakeHouse")</f>
        <v>BakeHouse</v>
      </c>
      <c r="E157" s="122">
        <f>IFERROR(__xludf.DUMMYFUNCTION("""COMPUTED_VALUE"""),100.59)</f>
        <v>100.59</v>
      </c>
      <c r="F157" s="122">
        <f>IFERROR(__xludf.DUMMYFUNCTION("""COMPUTED_VALUE"""),-8.0E-4)</f>
        <v>-0.0008</v>
      </c>
    </row>
    <row r="158">
      <c r="A158" s="131">
        <f>IFERROR(__xludf.DUMMYFUNCTION("""COMPUTED_VALUE"""),46186.68204861111)</f>
        <v>46186.68205</v>
      </c>
      <c r="B158" s="126">
        <f>IFERROR(__xludf.DUMMYFUNCTION("""COMPUTED_VALUE"""),46186.0)</f>
        <v>46186</v>
      </c>
      <c r="C158" s="122" t="str">
        <f>IFERROR(__xludf.DUMMYFUNCTION("""COMPUTED_VALUE"""),"OILX")</f>
        <v>OILX</v>
      </c>
      <c r="D158" s="122" t="str">
        <f>IFERROR(__xludf.DUMMYFUNCTION("""COMPUTED_VALUE"""),"OilMax Energy")</f>
        <v>OilMax Energy</v>
      </c>
      <c r="E158" s="122">
        <f>IFERROR(__xludf.DUMMYFUNCTION("""COMPUTED_VALUE"""),133.03)</f>
        <v>133.03</v>
      </c>
      <c r="F158" s="122">
        <f>IFERROR(__xludf.DUMMYFUNCTION("""COMPUTED_VALUE"""),0.0083)</f>
        <v>0.0083</v>
      </c>
    </row>
    <row r="159">
      <c r="A159" s="131">
        <f>IFERROR(__xludf.DUMMYFUNCTION("""COMPUTED_VALUE"""),46186.68204861111)</f>
        <v>46186.68205</v>
      </c>
      <c r="B159" s="126">
        <f>IFERROR(__xludf.DUMMYFUNCTION("""COMPUTED_VALUE"""),46186.0)</f>
        <v>46186</v>
      </c>
      <c r="C159" s="122" t="str">
        <f>IFERROR(__xludf.DUMMYFUNCTION("""COMPUTED_VALUE"""),"SOLR")</f>
        <v>SOLR</v>
      </c>
      <c r="D159" s="122" t="str">
        <f>IFERROR(__xludf.DUMMYFUNCTION("""COMPUTED_VALUE"""),"SolarSpark")</f>
        <v>SolarSpark</v>
      </c>
      <c r="E159" s="122">
        <f>IFERROR(__xludf.DUMMYFUNCTION("""COMPUTED_VALUE"""),84.84)</f>
        <v>84.84</v>
      </c>
      <c r="F159" s="122">
        <f>IFERROR(__xludf.DUMMYFUNCTION("""COMPUTED_VALUE"""),-1.0E-4)</f>
        <v>-0.0001</v>
      </c>
    </row>
    <row r="160">
      <c r="A160" s="131">
        <f>IFERROR(__xludf.DUMMYFUNCTION("""COMPUTED_VALUE"""),46186.68204861111)</f>
        <v>46186.68205</v>
      </c>
      <c r="B160" s="126">
        <f>IFERROR(__xludf.DUMMYFUNCTION("""COMPUTED_VALUE"""),46186.0)</f>
        <v>46186</v>
      </c>
      <c r="C160" s="122" t="str">
        <f>IFERROR(__xludf.DUMMYFUNCTION("""COMPUTED_VALUE"""),"BATT")</f>
        <v>BATT</v>
      </c>
      <c r="D160" s="122" t="str">
        <f>IFERROR(__xludf.DUMMYFUNCTION("""COMPUTED_VALUE"""),"BatteryBox")</f>
        <v>BatteryBox</v>
      </c>
      <c r="E160" s="122">
        <f>IFERROR(__xludf.DUMMYFUNCTION("""COMPUTED_VALUE"""),117.11)</f>
        <v>117.11</v>
      </c>
      <c r="F160" s="122">
        <f>IFERROR(__xludf.DUMMYFUNCTION("""COMPUTED_VALUE"""),0.0032)</f>
        <v>0.0032</v>
      </c>
    </row>
    <row r="161">
      <c r="A161" s="131">
        <f>IFERROR(__xludf.DUMMYFUNCTION("""COMPUTED_VALUE"""),46186.68204861111)</f>
        <v>46186.68205</v>
      </c>
      <c r="B161" s="126">
        <f>IFERROR(__xludf.DUMMYFUNCTION("""COMPUTED_VALUE"""),46186.0)</f>
        <v>46186</v>
      </c>
      <c r="C161" s="122" t="str">
        <f>IFERROR(__xludf.DUMMYFUNCTION("""COMPUTED_VALUE"""),"WIND")</f>
        <v>WIND</v>
      </c>
      <c r="D161" s="122" t="str">
        <f>IFERROR(__xludf.DUMMYFUNCTION("""COMPUTED_VALUE"""),"WindWorks")</f>
        <v>WindWorks</v>
      </c>
      <c r="E161" s="122">
        <f>IFERROR(__xludf.DUMMYFUNCTION("""COMPUTED_VALUE"""),91.43)</f>
        <v>91.43</v>
      </c>
      <c r="F161" s="122">
        <f>IFERROR(__xludf.DUMMYFUNCTION("""COMPUTED_VALUE"""),-0.0041)</f>
        <v>-0.0041</v>
      </c>
    </row>
    <row r="162">
      <c r="A162" s="131">
        <f>IFERROR(__xludf.DUMMYFUNCTION("""COMPUTED_VALUE"""),46186.68204861111)</f>
        <v>46186.68205</v>
      </c>
      <c r="B162" s="126">
        <f>IFERROR(__xludf.DUMMYFUNCTION("""COMPUTED_VALUE"""),46186.0)</f>
        <v>46186</v>
      </c>
      <c r="C162" s="122" t="str">
        <f>IFERROR(__xludf.DUMMYFUNCTION("""COMPUTED_VALUE"""),"GRID")</f>
        <v>GRID</v>
      </c>
      <c r="D162" s="122" t="str">
        <f>IFERROR(__xludf.DUMMYFUNCTION("""COMPUTED_VALUE"""),"GridPower")</f>
        <v>GridPower</v>
      </c>
      <c r="E162" s="122">
        <f>IFERROR(__xludf.DUMMYFUNCTION("""COMPUTED_VALUE"""),145.04)</f>
        <v>145.04</v>
      </c>
      <c r="F162" s="122">
        <f>IFERROR(__xludf.DUMMYFUNCTION("""COMPUTED_VALUE"""),8.0E-4)</f>
        <v>0.0008</v>
      </c>
    </row>
    <row r="163">
      <c r="A163" s="131">
        <f>IFERROR(__xludf.DUMMYFUNCTION("""COMPUTED_VALUE"""),46186.68204861111)</f>
        <v>46186.68205</v>
      </c>
      <c r="B163" s="126">
        <f>IFERROR(__xludf.DUMMYFUNCTION("""COMPUTED_VALUE"""),46186.0)</f>
        <v>46186</v>
      </c>
      <c r="C163" s="122" t="str">
        <f>IFERROR(__xludf.DUMMYFUNCTION("""COMPUTED_VALUE"""),"HOME")</f>
        <v>HOME</v>
      </c>
      <c r="D163" s="122" t="str">
        <f>IFERROR(__xludf.DUMMYFUNCTION("""COMPUTED_VALUE"""),"HomeHub")</f>
        <v>HomeHub</v>
      </c>
      <c r="E163" s="122">
        <f>IFERROR(__xludf.DUMMYFUNCTION("""COMPUTED_VALUE"""),146.57)</f>
        <v>146.57</v>
      </c>
      <c r="F163" s="122">
        <f>IFERROR(__xludf.DUMMYFUNCTION("""COMPUTED_VALUE"""),8.0E-4)</f>
        <v>0.0008</v>
      </c>
    </row>
    <row r="164">
      <c r="A164" s="131">
        <f>IFERROR(__xludf.DUMMYFUNCTION("""COMPUTED_VALUE"""),46186.68204861111)</f>
        <v>46186.68205</v>
      </c>
      <c r="B164" s="126">
        <f>IFERROR(__xludf.DUMMYFUNCTION("""COMPUTED_VALUE"""),46186.0)</f>
        <v>46186</v>
      </c>
      <c r="C164" s="122" t="str">
        <f>IFERROR(__xludf.DUMMYFUNCTION("""COMPUTED_VALUE"""),"RENT")</f>
        <v>RENT</v>
      </c>
      <c r="D164" s="122" t="str">
        <f>IFERROR(__xludf.DUMMYFUNCTION("""COMPUTED_VALUE"""),"RentRight")</f>
        <v>RentRight</v>
      </c>
      <c r="E164" s="122">
        <f>IFERROR(__xludf.DUMMYFUNCTION("""COMPUTED_VALUE"""),94.81)</f>
        <v>94.81</v>
      </c>
      <c r="F164" s="122">
        <f>IFERROR(__xludf.DUMMYFUNCTION("""COMPUTED_VALUE"""),0.0035)</f>
        <v>0.0035</v>
      </c>
    </row>
    <row r="165">
      <c r="A165" s="131">
        <f>IFERROR(__xludf.DUMMYFUNCTION("""COMPUTED_VALUE"""),46186.68204861111)</f>
        <v>46186.68205</v>
      </c>
      <c r="B165" s="126">
        <f>IFERROR(__xludf.DUMMYFUNCTION("""COMPUTED_VALUE"""),46186.0)</f>
        <v>46186</v>
      </c>
      <c r="C165" s="122" t="str">
        <f>IFERROR(__xludf.DUMMYFUNCTION("""COMPUTED_VALUE"""),"MALL")</f>
        <v>MALL</v>
      </c>
      <c r="D165" s="122" t="str">
        <f>IFERROR(__xludf.DUMMYFUNCTION("""COMPUTED_VALUE"""),"MegaMall")</f>
        <v>MegaMall</v>
      </c>
      <c r="E165" s="122">
        <f>IFERROR(__xludf.DUMMYFUNCTION("""COMPUTED_VALUE"""),93.46)</f>
        <v>93.46</v>
      </c>
      <c r="F165" s="122">
        <f>IFERROR(__xludf.DUMMYFUNCTION("""COMPUTED_VALUE"""),0.004)</f>
        <v>0.004</v>
      </c>
    </row>
    <row r="166">
      <c r="A166" s="131">
        <f>IFERROR(__xludf.DUMMYFUNCTION("""COMPUTED_VALUE"""),46186.68204861111)</f>
        <v>46186.68205</v>
      </c>
      <c r="B166" s="126">
        <f>IFERROR(__xludf.DUMMYFUNCTION("""COMPUTED_VALUE"""),46186.0)</f>
        <v>46186</v>
      </c>
      <c r="C166" s="122" t="str">
        <f>IFERROR(__xludf.DUMMYFUNCTION("""COMPUTED_VALUE"""),"HOTL")</f>
        <v>HOTL</v>
      </c>
      <c r="D166" s="122" t="str">
        <f>IFERROR(__xludf.DUMMYFUNCTION("""COMPUTED_VALUE"""),"HotelHive")</f>
        <v>HotelHive</v>
      </c>
      <c r="E166" s="122">
        <f>IFERROR(__xludf.DUMMYFUNCTION("""COMPUTED_VALUE"""),132.96)</f>
        <v>132.96</v>
      </c>
      <c r="F166" s="122">
        <f>IFERROR(__xludf.DUMMYFUNCTION("""COMPUTED_VALUE"""),0.0023)</f>
        <v>0.0023</v>
      </c>
    </row>
    <row r="167">
      <c r="A167" s="131">
        <f>IFERROR(__xludf.DUMMYFUNCTION("""COMPUTED_VALUE"""),46186.68204861111)</f>
        <v>46186.68205</v>
      </c>
      <c r="B167" s="126">
        <f>IFERROR(__xludf.DUMMYFUNCTION("""COMPUTED_VALUE"""),46186.0)</f>
        <v>46186</v>
      </c>
      <c r="C167" s="122" t="str">
        <f>IFERROR(__xludf.DUMMYFUNCTION("""COMPUTED_VALUE"""),"LAND")</f>
        <v>LAND</v>
      </c>
      <c r="D167" s="122" t="str">
        <f>IFERROR(__xludf.DUMMYFUNCTION("""COMPUTED_VALUE"""),"LandLink")</f>
        <v>LandLink</v>
      </c>
      <c r="E167" s="122">
        <f>IFERROR(__xludf.DUMMYFUNCTION("""COMPUTED_VALUE"""),179.2)</f>
        <v>179.2</v>
      </c>
      <c r="F167" s="122">
        <f>IFERROR(__xludf.DUMMYFUNCTION("""COMPUTED_VALUE"""),-0.0022)</f>
        <v>-0.0022</v>
      </c>
    </row>
    <row r="168">
      <c r="A168" s="131">
        <f>IFERROR(__xludf.DUMMYFUNCTION("""COMPUTED_VALUE"""),46186.68204861111)</f>
        <v>46186.68205</v>
      </c>
      <c r="B168" s="126">
        <f>IFERROR(__xludf.DUMMYFUNCTION("""COMPUTED_VALUE"""),46186.0)</f>
        <v>46186</v>
      </c>
      <c r="C168" s="122" t="str">
        <f>IFERROR(__xludf.DUMMYFUNCTION("""COMPUTED_VALUE"""),"CARS")</f>
        <v>CARS</v>
      </c>
      <c r="D168" s="122" t="str">
        <f>IFERROR(__xludf.DUMMYFUNCTION("""COMPUTED_VALUE"""),"AutoArena")</f>
        <v>AutoArena</v>
      </c>
      <c r="E168" s="122">
        <f>IFERROR(__xludf.DUMMYFUNCTION("""COMPUTED_VALUE"""),81.5)</f>
        <v>81.5</v>
      </c>
      <c r="F168" s="122">
        <f>IFERROR(__xludf.DUMMYFUNCTION("""COMPUTED_VALUE"""),0.0104)</f>
        <v>0.0104</v>
      </c>
    </row>
    <row r="169">
      <c r="A169" s="131">
        <f>IFERROR(__xludf.DUMMYFUNCTION("""COMPUTED_VALUE"""),46186.68204861111)</f>
        <v>46186.68205</v>
      </c>
      <c r="B169" s="126">
        <f>IFERROR(__xludf.DUMMYFUNCTION("""COMPUTED_VALUE"""),46186.0)</f>
        <v>46186</v>
      </c>
      <c r="C169" s="122" t="str">
        <f>IFERROR(__xludf.DUMMYFUNCTION("""COMPUTED_VALUE"""),"EVGO")</f>
        <v>EVGO</v>
      </c>
      <c r="D169" s="122" t="str">
        <f>IFERROR(__xludf.DUMMYFUNCTION("""COMPUTED_VALUE"""),"EVGo Motors")</f>
        <v>EVGo Motors</v>
      </c>
      <c r="E169" s="122">
        <f>IFERROR(__xludf.DUMMYFUNCTION("""COMPUTED_VALUE"""),199.47)</f>
        <v>199.47</v>
      </c>
      <c r="F169" s="122">
        <f>IFERROR(__xludf.DUMMYFUNCTION("""COMPUTED_VALUE"""),-0.0075)</f>
        <v>-0.0075</v>
      </c>
    </row>
    <row r="170">
      <c r="A170" s="131">
        <f>IFERROR(__xludf.DUMMYFUNCTION("""COMPUTED_VALUE"""),46186.68204861111)</f>
        <v>46186.68205</v>
      </c>
      <c r="B170" s="126">
        <f>IFERROR(__xludf.DUMMYFUNCTION("""COMPUTED_VALUE"""),46186.0)</f>
        <v>46186</v>
      </c>
      <c r="C170" s="122" t="str">
        <f>IFERROR(__xludf.DUMMYFUNCTION("""COMPUTED_VALUE"""),"TIRE")</f>
        <v>TIRE</v>
      </c>
      <c r="D170" s="122" t="str">
        <f>IFERROR(__xludf.DUMMYFUNCTION("""COMPUTED_VALUE"""),"TireTown")</f>
        <v>TireTown</v>
      </c>
      <c r="E170" s="122">
        <f>IFERROR(__xludf.DUMMYFUNCTION("""COMPUTED_VALUE"""),83.84)</f>
        <v>83.84</v>
      </c>
      <c r="F170" s="122">
        <f>IFERROR(__xludf.DUMMYFUNCTION("""COMPUTED_VALUE"""),0.0016)</f>
        <v>0.0016</v>
      </c>
    </row>
    <row r="171">
      <c r="A171" s="131">
        <f>IFERROR(__xludf.DUMMYFUNCTION("""COMPUTED_VALUE"""),46186.68204861111)</f>
        <v>46186.68205</v>
      </c>
      <c r="B171" s="126">
        <f>IFERROR(__xludf.DUMMYFUNCTION("""COMPUTED_VALUE"""),46186.0)</f>
        <v>46186</v>
      </c>
      <c r="C171" s="122" t="str">
        <f>IFERROR(__xludf.DUMMYFUNCTION("""COMPUTED_VALUE"""),"BIKE")</f>
        <v>BIKE</v>
      </c>
      <c r="D171" s="122" t="str">
        <f>IFERROR(__xludf.DUMMYFUNCTION("""COMPUTED_VALUE"""),"BikeBox")</f>
        <v>BikeBox</v>
      </c>
      <c r="E171" s="122">
        <f>IFERROR(__xludf.DUMMYFUNCTION("""COMPUTED_VALUE"""),55.32)</f>
        <v>55.32</v>
      </c>
      <c r="F171" s="122">
        <f>IFERROR(__xludf.DUMMYFUNCTION("""COMPUTED_VALUE"""),-0.0049)</f>
        <v>-0.0049</v>
      </c>
    </row>
    <row r="172">
      <c r="A172" s="131">
        <f>IFERROR(__xludf.DUMMYFUNCTION("""COMPUTED_VALUE"""),46186.68204861111)</f>
        <v>46186.68205</v>
      </c>
      <c r="B172" s="126">
        <f>IFERROR(__xludf.DUMMYFUNCTION("""COMPUTED_VALUE"""),46186.0)</f>
        <v>46186</v>
      </c>
      <c r="C172" s="122" t="str">
        <f>IFERROR(__xludf.DUMMYFUNCTION("""COMPUTED_VALUE"""),"WASH")</f>
        <v>WASH</v>
      </c>
      <c r="D172" s="122" t="str">
        <f>IFERROR(__xludf.DUMMYFUNCTION("""COMPUTED_VALUE"""),"CarWash Co")</f>
        <v>CarWash Co</v>
      </c>
      <c r="E172" s="122">
        <f>IFERROR(__xludf.DUMMYFUNCTION("""COMPUTED_VALUE"""),116.52)</f>
        <v>116.52</v>
      </c>
      <c r="F172" s="122">
        <f>IFERROR(__xludf.DUMMYFUNCTION("""COMPUTED_VALUE"""),0.0018)</f>
        <v>0.0018</v>
      </c>
    </row>
    <row r="173">
      <c r="A173" s="131">
        <f>IFERROR(__xludf.DUMMYFUNCTION("""COMPUTED_VALUE"""),46186.68204861111)</f>
        <v>46186.68205</v>
      </c>
      <c r="B173" s="126">
        <f>IFERROR(__xludf.DUMMYFUNCTION("""COMPUTED_VALUE"""),46186.0)</f>
        <v>46186</v>
      </c>
      <c r="C173" s="122" t="str">
        <f>IFERROR(__xludf.DUMMYFUNCTION("""COMPUTED_VALUE"""),"GBND")</f>
        <v>GBND</v>
      </c>
      <c r="D173" s="122" t="str">
        <f>IFERROR(__xludf.DUMMYFUNCTION("""COMPUTED_VALUE"""),"Classroom Government Bond")</f>
        <v>Classroom Government Bond</v>
      </c>
      <c r="E173" s="122">
        <f>IFERROR(__xludf.DUMMYFUNCTION("""COMPUTED_VALUE"""),100.78)</f>
        <v>100.78</v>
      </c>
      <c r="F173" s="122">
        <f>IFERROR(__xludf.DUMMYFUNCTION("""COMPUTED_VALUE"""),-4.0E-4)</f>
        <v>-0.0004</v>
      </c>
    </row>
    <row r="174">
      <c r="A174" s="131">
        <f>IFERROR(__xludf.DUMMYFUNCTION("""COMPUTED_VALUE"""),46186.68204861111)</f>
        <v>46186.68205</v>
      </c>
      <c r="B174" s="126">
        <f>IFERROR(__xludf.DUMMYFUNCTION("""COMPUTED_VALUE"""),46186.0)</f>
        <v>46186</v>
      </c>
      <c r="C174" s="122" t="str">
        <f>IFERROR(__xludf.DUMMYFUNCTION("""COMPUTED_VALUE"""),"SBND")</f>
        <v>SBND</v>
      </c>
      <c r="D174" s="122" t="str">
        <f>IFERROR(__xludf.DUMMYFUNCTION("""COMPUTED_VALUE"""),"School Savings Bond")</f>
        <v>School Savings Bond</v>
      </c>
      <c r="E174" s="122">
        <f>IFERROR(__xludf.DUMMYFUNCTION("""COMPUTED_VALUE"""),99.21)</f>
        <v>99.21</v>
      </c>
      <c r="F174" s="122">
        <f>IFERROR(__xludf.DUMMYFUNCTION("""COMPUTED_VALUE"""),3.0E-4)</f>
        <v>0.0003</v>
      </c>
    </row>
    <row r="175">
      <c r="A175" s="131">
        <f>IFERROR(__xludf.DUMMYFUNCTION("""COMPUTED_VALUE"""),46186.68204861111)</f>
        <v>46186.68205</v>
      </c>
      <c r="B175" s="126">
        <f>IFERROR(__xludf.DUMMYFUNCTION("""COMPUTED_VALUE"""),46186.0)</f>
        <v>46186</v>
      </c>
      <c r="C175" s="122" t="str">
        <f>IFERROR(__xludf.DUMMYFUNCTION("""COMPUTED_VALUE"""),"CBND")</f>
        <v>CBND</v>
      </c>
      <c r="D175" s="122" t="str">
        <f>IFERROR(__xludf.DUMMYFUNCTION("""COMPUTED_VALUE"""),"Corporate Classroom Bond")</f>
        <v>Corporate Classroom Bond</v>
      </c>
      <c r="E175" s="122">
        <f>IFERROR(__xludf.DUMMYFUNCTION("""COMPUTED_VALUE"""),97.88)</f>
        <v>97.88</v>
      </c>
      <c r="F175" s="122">
        <f>IFERROR(__xludf.DUMMYFUNCTION("""COMPUTED_VALUE"""),0.0)</f>
        <v>0</v>
      </c>
    </row>
    <row r="176">
      <c r="A176" s="131">
        <f>IFERROR(__xludf.DUMMYFUNCTION("""COMPUTED_VALUE"""),46186.68204861111)</f>
        <v>46186.68205</v>
      </c>
      <c r="B176" s="126">
        <f>IFERROR(__xludf.DUMMYFUNCTION("""COMPUTED_VALUE"""),46186.0)</f>
        <v>46186</v>
      </c>
      <c r="C176" s="122" t="str">
        <f>IFERROR(__xludf.DUMMYFUNCTION("""COMPUTED_VALUE"""),"TBIL")</f>
        <v>TBIL</v>
      </c>
      <c r="D176" s="122" t="str">
        <f>IFERROR(__xludf.DUMMYFUNCTION("""COMPUTED_VALUE"""),"Treasury Bill")</f>
        <v>Treasury Bill</v>
      </c>
      <c r="E176" s="122">
        <f>IFERROR(__xludf.DUMMYFUNCTION("""COMPUTED_VALUE"""),98.04)</f>
        <v>98.04</v>
      </c>
      <c r="F176" s="122">
        <f>IFERROR(__xludf.DUMMYFUNCTION("""COMPUTED_VALUE"""),4.0E-4)</f>
        <v>0.0004</v>
      </c>
    </row>
    <row r="177">
      <c r="A177" s="131">
        <f>IFERROR(__xludf.DUMMYFUNCTION("""COMPUTED_VALUE"""),46186.68204861111)</f>
        <v>46186.68205</v>
      </c>
      <c r="B177" s="126">
        <f>IFERROR(__xludf.DUMMYFUNCTION("""COMPUTED_VALUE"""),46186.0)</f>
        <v>46186</v>
      </c>
      <c r="C177" s="122" t="str">
        <f>IFERROR(__xludf.DUMMYFUNCTION("""COMPUTED_VALUE"""),"IBND")</f>
        <v>IBND</v>
      </c>
      <c r="D177" s="122" t="str">
        <f>IFERROR(__xludf.DUMMYFUNCTION("""COMPUTED_VALUE"""),"Inflation Protected Bond")</f>
        <v>Inflation Protected Bond</v>
      </c>
      <c r="E177" s="122">
        <f>IFERROR(__xludf.DUMMYFUNCTION("""COMPUTED_VALUE"""),100.59)</f>
        <v>100.59</v>
      </c>
      <c r="F177" s="122">
        <f>IFERROR(__xludf.DUMMYFUNCTION("""COMPUTED_VALUE"""),1.0E-4)</f>
        <v>0.0001</v>
      </c>
    </row>
    <row r="178">
      <c r="A178" s="131">
        <f>IFERROR(__xludf.DUMMYFUNCTION("""COMPUTED_VALUE"""),46186.685625)</f>
        <v>46186.68563</v>
      </c>
      <c r="B178" s="126">
        <f>IFERROR(__xludf.DUMMYFUNCTION("""COMPUTED_VALUE"""),46186.0)</f>
        <v>46186</v>
      </c>
      <c r="C178" s="122" t="str">
        <f>IFERROR(__xludf.DUMMYFUNCTION("""COMPUTED_VALUE"""),"SNAX")</f>
        <v>SNAX</v>
      </c>
      <c r="D178" s="122" t="str">
        <f>IFERROR(__xludf.DUMMYFUNCTION("""COMPUTED_VALUE"""),"MICA Snacks")</f>
        <v>MICA Snacks</v>
      </c>
      <c r="E178" s="122">
        <f>IFERROR(__xludf.DUMMYFUNCTION("""COMPUTED_VALUE"""),124.31)</f>
        <v>124.31</v>
      </c>
      <c r="F178" s="122">
        <f>IFERROR(__xludf.DUMMYFUNCTION("""COMPUTED_VALUE"""),-0.001)</f>
        <v>-0.001</v>
      </c>
    </row>
    <row r="179">
      <c r="A179" s="131">
        <f>IFERROR(__xludf.DUMMYFUNCTION("""COMPUTED_VALUE"""),46186.685625)</f>
        <v>46186.68563</v>
      </c>
      <c r="B179" s="126">
        <f>IFERROR(__xludf.DUMMYFUNCTION("""COMPUTED_VALUE"""),46186.0)</f>
        <v>46186</v>
      </c>
      <c r="C179" s="122" t="str">
        <f>IFERROR(__xludf.DUMMYFUNCTION("""COMPUTED_VALUE"""),"RAMN")</f>
        <v>RAMN</v>
      </c>
      <c r="D179" s="122" t="str">
        <f>IFERROR(__xludf.DUMMYFUNCTION("""COMPUTED_VALUE"""),"Ramen Republic")</f>
        <v>Ramen Republic</v>
      </c>
      <c r="E179" s="122">
        <f>IFERROR(__xludf.DUMMYFUNCTION("""COMPUTED_VALUE"""),78.83)</f>
        <v>78.83</v>
      </c>
      <c r="F179" s="122">
        <f>IFERROR(__xludf.DUMMYFUNCTION("""COMPUTED_VALUE"""),-0.0011)</f>
        <v>-0.0011</v>
      </c>
    </row>
    <row r="180">
      <c r="A180" s="131">
        <f>IFERROR(__xludf.DUMMYFUNCTION("""COMPUTED_VALUE"""),46186.685625)</f>
        <v>46186.68563</v>
      </c>
      <c r="B180" s="126">
        <f>IFERROR(__xludf.DUMMYFUNCTION("""COMPUTED_VALUE"""),46186.0)</f>
        <v>46186</v>
      </c>
      <c r="C180" s="122" t="str">
        <f>IFERROR(__xludf.DUMMYFUNCTION("""COMPUTED_VALUE"""),"COLA")</f>
        <v>COLA</v>
      </c>
      <c r="D180" s="122" t="str">
        <f>IFERROR(__xludf.DUMMYFUNCTION("""COMPUTED_VALUE"""),"K-Pop Cola")</f>
        <v>K-Pop Cola</v>
      </c>
      <c r="E180" s="122">
        <f>IFERROR(__xludf.DUMMYFUNCTION("""COMPUTED_VALUE"""),104.95)</f>
        <v>104.95</v>
      </c>
      <c r="F180" s="122">
        <f>IFERROR(__xludf.DUMMYFUNCTION("""COMPUTED_VALUE"""),0.0036)</f>
        <v>0.0036</v>
      </c>
    </row>
    <row r="181">
      <c r="A181" s="131">
        <f>IFERROR(__xludf.DUMMYFUNCTION("""COMPUTED_VALUE"""),46186.685625)</f>
        <v>46186.68563</v>
      </c>
      <c r="B181" s="126">
        <f>IFERROR(__xludf.DUMMYFUNCTION("""COMPUTED_VALUE"""),46186.0)</f>
        <v>46186</v>
      </c>
      <c r="C181" s="122" t="str">
        <f>IFERROR(__xludf.DUMMYFUNCTION("""COMPUTED_VALUE"""),"CHIP")</f>
        <v>CHIP</v>
      </c>
      <c r="D181" s="122" t="str">
        <f>IFERROR(__xludf.DUMMYFUNCTION("""COMPUTED_VALUE"""),"Chip Empire")</f>
        <v>Chip Empire</v>
      </c>
      <c r="E181" s="122">
        <f>IFERROR(__xludf.DUMMYFUNCTION("""COMPUTED_VALUE"""),86.3)</f>
        <v>86.3</v>
      </c>
      <c r="F181" s="122">
        <f>IFERROR(__xludf.DUMMYFUNCTION("""COMPUTED_VALUE"""),-0.0063)</f>
        <v>-0.0063</v>
      </c>
    </row>
    <row r="182">
      <c r="A182" s="131">
        <f>IFERROR(__xludf.DUMMYFUNCTION("""COMPUTED_VALUE"""),46186.685625)</f>
        <v>46186.68563</v>
      </c>
      <c r="B182" s="126">
        <f>IFERROR(__xludf.DUMMYFUNCTION("""COMPUTED_VALUE"""),46186.0)</f>
        <v>46186</v>
      </c>
      <c r="C182" s="122" t="str">
        <f>IFERROR(__xludf.DUMMYFUNCTION("""COMPUTED_VALUE"""),"CAND")</f>
        <v>CAND</v>
      </c>
      <c r="D182" s="122" t="str">
        <f>IFERROR(__xludf.DUMMYFUNCTION("""COMPUTED_VALUE"""),"Candy Capital")</f>
        <v>Candy Capital</v>
      </c>
      <c r="E182" s="122">
        <f>IFERROR(__xludf.DUMMYFUNCTION("""COMPUTED_VALUE"""),76.21)</f>
        <v>76.21</v>
      </c>
      <c r="F182" s="122">
        <f>IFERROR(__xludf.DUMMYFUNCTION("""COMPUTED_VALUE"""),-0.0054)</f>
        <v>-0.0054</v>
      </c>
    </row>
    <row r="183">
      <c r="A183" s="131">
        <f>IFERROR(__xludf.DUMMYFUNCTION("""COMPUTED_VALUE"""),46186.685625)</f>
        <v>46186.68563</v>
      </c>
      <c r="B183" s="126">
        <f>IFERROR(__xludf.DUMMYFUNCTION("""COMPUTED_VALUE"""),46186.0)</f>
        <v>46186</v>
      </c>
      <c r="C183" s="122" t="str">
        <f>IFERROR(__xludf.DUMMYFUNCTION("""COMPUTED_VALUE"""),"TECH")</f>
        <v>TECH</v>
      </c>
      <c r="D183" s="122" t="str">
        <f>IFERROR(__xludf.DUMMYFUNCTION("""COMPUTED_VALUE"""),"Dragon Tech")</f>
        <v>Dragon Tech</v>
      </c>
      <c r="E183" s="122">
        <f>IFERROR(__xludf.DUMMYFUNCTION("""COMPUTED_VALUE"""),243.46)</f>
        <v>243.46</v>
      </c>
      <c r="F183" s="122">
        <f>IFERROR(__xludf.DUMMYFUNCTION("""COMPUTED_VALUE"""),-0.0028)</f>
        <v>-0.0028</v>
      </c>
    </row>
    <row r="184">
      <c r="A184" s="131">
        <f>IFERROR(__xludf.DUMMYFUNCTION("""COMPUTED_VALUE"""),46186.685625)</f>
        <v>46186.68563</v>
      </c>
      <c r="B184" s="126">
        <f>IFERROR(__xludf.DUMMYFUNCTION("""COMPUTED_VALUE"""),46186.0)</f>
        <v>46186</v>
      </c>
      <c r="C184" s="122" t="str">
        <f>IFERROR(__xludf.DUMMYFUNCTION("""COMPUTED_VALUE"""),"AIBO")</f>
        <v>AIBO</v>
      </c>
      <c r="D184" s="122" t="str">
        <f>IFERROR(__xludf.DUMMYFUNCTION("""COMPUTED_VALUE"""),"Homework AI")</f>
        <v>Homework AI</v>
      </c>
      <c r="E184" s="122">
        <f>IFERROR(__xludf.DUMMYFUNCTION("""COMPUTED_VALUE"""),177.64)</f>
        <v>177.64</v>
      </c>
      <c r="F184" s="122">
        <f>IFERROR(__xludf.DUMMYFUNCTION("""COMPUTED_VALUE"""),0.0089)</f>
        <v>0.0089</v>
      </c>
    </row>
    <row r="185">
      <c r="A185" s="131">
        <f>IFERROR(__xludf.DUMMYFUNCTION("""COMPUTED_VALUE"""),46186.685625)</f>
        <v>46186.68563</v>
      </c>
      <c r="B185" s="126">
        <f>IFERROR(__xludf.DUMMYFUNCTION("""COMPUTED_VALUE"""),46186.0)</f>
        <v>46186</v>
      </c>
      <c r="C185" s="122" t="str">
        <f>IFERROR(__xludf.DUMMYFUNCTION("""COMPUTED_VALUE"""),"GAME")</f>
        <v>GAME</v>
      </c>
      <c r="D185" s="122" t="str">
        <f>IFERROR(__xludf.DUMMYFUNCTION("""COMPUTED_VALUE"""),"GameBox Media")</f>
        <v>GameBox Media</v>
      </c>
      <c r="E185" s="122">
        <f>IFERROR(__xludf.DUMMYFUNCTION("""COMPUTED_VALUE"""),87.82)</f>
        <v>87.82</v>
      </c>
      <c r="F185" s="122">
        <f>IFERROR(__xludf.DUMMYFUNCTION("""COMPUTED_VALUE"""),0.0109)</f>
        <v>0.0109</v>
      </c>
    </row>
    <row r="186">
      <c r="A186" s="131">
        <f>IFERROR(__xludf.DUMMYFUNCTION("""COMPUTED_VALUE"""),46186.685625)</f>
        <v>46186.68563</v>
      </c>
      <c r="B186" s="126">
        <f>IFERROR(__xludf.DUMMYFUNCTION("""COMPUTED_VALUE"""),46186.0)</f>
        <v>46186</v>
      </c>
      <c r="C186" s="122" t="str">
        <f>IFERROR(__xludf.DUMMYFUNCTION("""COMPUTED_VALUE"""),"VRSE")</f>
        <v>VRSE</v>
      </c>
      <c r="D186" s="122" t="str">
        <f>IFERROR(__xludf.DUMMYFUNCTION("""COMPUTED_VALUE"""),"VerseVR")</f>
        <v>VerseVR</v>
      </c>
      <c r="E186" s="122">
        <f>IFERROR(__xludf.DUMMYFUNCTION("""COMPUTED_VALUE"""),154.97)</f>
        <v>154.97</v>
      </c>
      <c r="F186" s="122">
        <f>IFERROR(__xludf.DUMMYFUNCTION("""COMPUTED_VALUE"""),-0.0096)</f>
        <v>-0.0096</v>
      </c>
    </row>
    <row r="187">
      <c r="A187" s="131">
        <f>IFERROR(__xludf.DUMMYFUNCTION("""COMPUTED_VALUE"""),46186.685625)</f>
        <v>46186.68563</v>
      </c>
      <c r="B187" s="126">
        <f>IFERROR(__xludf.DUMMYFUNCTION("""COMPUTED_VALUE"""),46186.0)</f>
        <v>46186</v>
      </c>
      <c r="C187" s="122" t="str">
        <f>IFERROR(__xludf.DUMMYFUNCTION("""COMPUTED_VALUE"""),"BYTE")</f>
        <v>BYTE</v>
      </c>
      <c r="D187" s="122" t="str">
        <f>IFERROR(__xludf.DUMMYFUNCTION("""COMPUTED_VALUE"""),"ByteWorks")</f>
        <v>ByteWorks</v>
      </c>
      <c r="E187" s="122">
        <f>IFERROR(__xludf.DUMMYFUNCTION("""COMPUTED_VALUE"""),108.63)</f>
        <v>108.63</v>
      </c>
      <c r="F187" s="122">
        <f>IFERROR(__xludf.DUMMYFUNCTION("""COMPUTED_VALUE"""),0.0027)</f>
        <v>0.0027</v>
      </c>
    </row>
    <row r="188">
      <c r="A188" s="131">
        <f>IFERROR(__xludf.DUMMYFUNCTION("""COMPUTED_VALUE"""),46186.685625)</f>
        <v>46186.68563</v>
      </c>
      <c r="B188" s="126">
        <f>IFERROR(__xludf.DUMMYFUNCTION("""COMPUTED_VALUE"""),46186.0)</f>
        <v>46186</v>
      </c>
      <c r="C188" s="122" t="str">
        <f>IFERROR(__xludf.DUMMYFUNCTION("""COMPUTED_VALUE"""),"BANK")</f>
        <v>BANK</v>
      </c>
      <c r="D188" s="122" t="str">
        <f>IFERROR(__xludf.DUMMYFUNCTION("""COMPUTED_VALUE"""),"Tiger Bank")</f>
        <v>Tiger Bank</v>
      </c>
      <c r="E188" s="122">
        <f>IFERROR(__xludf.DUMMYFUNCTION("""COMPUTED_VALUE"""),122.27)</f>
        <v>122.27</v>
      </c>
      <c r="F188" s="122">
        <f>IFERROR(__xludf.DUMMYFUNCTION("""COMPUTED_VALUE"""),2.0E-4)</f>
        <v>0.0002</v>
      </c>
    </row>
    <row r="189">
      <c r="A189" s="131">
        <f>IFERROR(__xludf.DUMMYFUNCTION("""COMPUTED_VALUE"""),46186.685625)</f>
        <v>46186.68563</v>
      </c>
      <c r="B189" s="126">
        <f>IFERROR(__xludf.DUMMYFUNCTION("""COMPUTED_VALUE"""),46186.0)</f>
        <v>46186</v>
      </c>
      <c r="C189" s="122" t="str">
        <f>IFERROR(__xludf.DUMMYFUNCTION("""COMPUTED_VALUE"""),"CRED")</f>
        <v>CRED</v>
      </c>
      <c r="D189" s="122" t="str">
        <f>IFERROR(__xludf.DUMMYFUNCTION("""COMPUTED_VALUE"""),"Credit Castle")</f>
        <v>Credit Castle</v>
      </c>
      <c r="E189" s="122">
        <f>IFERROR(__xludf.DUMMYFUNCTION("""COMPUTED_VALUE"""),69.13)</f>
        <v>69.13</v>
      </c>
      <c r="F189" s="122">
        <f>IFERROR(__xludf.DUMMYFUNCTION("""COMPUTED_VALUE"""),0.002)</f>
        <v>0.002</v>
      </c>
    </row>
    <row r="190">
      <c r="A190" s="131">
        <f>IFERROR(__xludf.DUMMYFUNCTION("""COMPUTED_VALUE"""),46186.685625)</f>
        <v>46186.68563</v>
      </c>
      <c r="B190" s="126">
        <f>IFERROR(__xludf.DUMMYFUNCTION("""COMPUTED_VALUE"""),46186.0)</f>
        <v>46186</v>
      </c>
      <c r="C190" s="122" t="str">
        <f>IFERROR(__xludf.DUMMYFUNCTION("""COMPUTED_VALUE"""),"BOND")</f>
        <v>BOND</v>
      </c>
      <c r="D190" s="122" t="str">
        <f>IFERROR(__xludf.DUMMYFUNCTION("""COMPUTED_VALUE"""),"BondBridge")</f>
        <v>BondBridge</v>
      </c>
      <c r="E190" s="122">
        <f>IFERROR(__xludf.DUMMYFUNCTION("""COMPUTED_VALUE"""),94.12)</f>
        <v>94.12</v>
      </c>
      <c r="F190" s="122">
        <f>IFERROR(__xludf.DUMMYFUNCTION("""COMPUTED_VALUE"""),-5.0E-4)</f>
        <v>-0.0005</v>
      </c>
    </row>
    <row r="191">
      <c r="A191" s="131">
        <f>IFERROR(__xludf.DUMMYFUNCTION("""COMPUTED_VALUE"""),46186.685625)</f>
        <v>46186.68563</v>
      </c>
      <c r="B191" s="126">
        <f>IFERROR(__xludf.DUMMYFUNCTION("""COMPUTED_VALUE"""),46186.0)</f>
        <v>46186</v>
      </c>
      <c r="C191" s="122" t="str">
        <f>IFERROR(__xludf.DUMMYFUNCTION("""COMPUTED_VALUE"""),"INSR")</f>
        <v>INSR</v>
      </c>
      <c r="D191" s="122" t="str">
        <f>IFERROR(__xludf.DUMMYFUNCTION("""COMPUTED_VALUE"""),"Shield Insurance")</f>
        <v>Shield Insurance</v>
      </c>
      <c r="E191" s="122">
        <f>IFERROR(__xludf.DUMMYFUNCTION("""COMPUTED_VALUE"""),151.51)</f>
        <v>151.51</v>
      </c>
      <c r="F191" s="122">
        <f>IFERROR(__xludf.DUMMYFUNCTION("""COMPUTED_VALUE"""),-7.0E-4)</f>
        <v>-0.0007</v>
      </c>
    </row>
    <row r="192">
      <c r="A192" s="131">
        <f>IFERROR(__xludf.DUMMYFUNCTION("""COMPUTED_VALUE"""),46186.685625)</f>
        <v>46186.68563</v>
      </c>
      <c r="B192" s="126">
        <f>IFERROR(__xludf.DUMMYFUNCTION("""COMPUTED_VALUE"""),46186.0)</f>
        <v>46186</v>
      </c>
      <c r="C192" s="122" t="str">
        <f>IFERROR(__xludf.DUMMYFUNCTION("""COMPUTED_VALUE"""),"LOAN")</f>
        <v>LOAN</v>
      </c>
      <c r="D192" s="122" t="str">
        <f>IFERROR(__xludf.DUMMYFUNCTION("""COMPUTED_VALUE"""),"LoanLab")</f>
        <v>LoanLab</v>
      </c>
      <c r="E192" s="122">
        <f>IFERROR(__xludf.DUMMYFUNCTION("""COMPUTED_VALUE"""),59.85)</f>
        <v>59.85</v>
      </c>
      <c r="F192" s="122">
        <f>IFERROR(__xludf.DUMMYFUNCTION("""COMPUTED_VALUE"""),0.0059)</f>
        <v>0.0059</v>
      </c>
    </row>
    <row r="193">
      <c r="A193" s="131">
        <f>IFERROR(__xludf.DUMMYFUNCTION("""COMPUTED_VALUE"""),46186.685625)</f>
        <v>46186.68563</v>
      </c>
      <c r="B193" s="126">
        <f>IFERROR(__xludf.DUMMYFUNCTION("""COMPUTED_VALUE"""),46186.0)</f>
        <v>46186</v>
      </c>
      <c r="C193" s="122" t="str">
        <f>IFERROR(__xludf.DUMMYFUNCTION("""COMPUTED_VALUE"""),"LUXE")</f>
        <v>LUXE</v>
      </c>
      <c r="D193" s="122" t="str">
        <f>IFERROR(__xludf.DUMMYFUNCTION("""COMPUTED_VALUE"""),"Luxury Locker")</f>
        <v>Luxury Locker</v>
      </c>
      <c r="E193" s="122">
        <f>IFERROR(__xludf.DUMMYFUNCTION("""COMPUTED_VALUE"""),264.83)</f>
        <v>264.83</v>
      </c>
      <c r="F193" s="122">
        <f>IFERROR(__xludf.DUMMYFUNCTION("""COMPUTED_VALUE"""),0.0061)</f>
        <v>0.0061</v>
      </c>
    </row>
    <row r="194">
      <c r="A194" s="131">
        <f>IFERROR(__xludf.DUMMYFUNCTION("""COMPUTED_VALUE"""),46186.685625)</f>
        <v>46186.68563</v>
      </c>
      <c r="B194" s="126">
        <f>IFERROR(__xludf.DUMMYFUNCTION("""COMPUTED_VALUE"""),46186.0)</f>
        <v>46186</v>
      </c>
      <c r="C194" s="122" t="str">
        <f>IFERROR(__xludf.DUMMYFUNCTION("""COMPUTED_VALUE"""),"DRIP")</f>
        <v>DRIP</v>
      </c>
      <c r="D194" s="122" t="str">
        <f>IFERROR(__xludf.DUMMYFUNCTION("""COMPUTED_VALUE"""),"Drip Streetwear")</f>
        <v>Drip Streetwear</v>
      </c>
      <c r="E194" s="122">
        <f>IFERROR(__xludf.DUMMYFUNCTION("""COMPUTED_VALUE"""),198.56)</f>
        <v>198.56</v>
      </c>
      <c r="F194" s="122">
        <f>IFERROR(__xludf.DUMMYFUNCTION("""COMPUTED_VALUE"""),-0.0101)</f>
        <v>-0.0101</v>
      </c>
    </row>
    <row r="195">
      <c r="A195" s="131">
        <f>IFERROR(__xludf.DUMMYFUNCTION("""COMPUTED_VALUE"""),46186.685625)</f>
        <v>46186.68563</v>
      </c>
      <c r="B195" s="126">
        <f>IFERROR(__xludf.DUMMYFUNCTION("""COMPUTED_VALUE"""),46186.0)</f>
        <v>46186</v>
      </c>
      <c r="C195" s="122" t="str">
        <f>IFERROR(__xludf.DUMMYFUNCTION("""COMPUTED_VALUE"""),"KICK")</f>
        <v>KICK</v>
      </c>
      <c r="D195" s="122" t="str">
        <f>IFERROR(__xludf.DUMMYFUNCTION("""COMPUTED_VALUE"""),"KickDrop Sneakers")</f>
        <v>KickDrop Sneakers</v>
      </c>
      <c r="E195" s="122">
        <f>IFERROR(__xludf.DUMMYFUNCTION("""COMPUTED_VALUE"""),182.9)</f>
        <v>182.9</v>
      </c>
      <c r="F195" s="122">
        <f>IFERROR(__xludf.DUMMYFUNCTION("""COMPUTED_VALUE"""),-0.0049)</f>
        <v>-0.0049</v>
      </c>
    </row>
    <row r="196">
      <c r="A196" s="131">
        <f>IFERROR(__xludf.DUMMYFUNCTION("""COMPUTED_VALUE"""),46186.685625)</f>
        <v>46186.68563</v>
      </c>
      <c r="B196" s="126">
        <f>IFERROR(__xludf.DUMMYFUNCTION("""COMPUTED_VALUE"""),46186.0)</f>
        <v>46186</v>
      </c>
      <c r="C196" s="122" t="str">
        <f>IFERROR(__xludf.DUMMYFUNCTION("""COMPUTED_VALUE"""),"GLAM")</f>
        <v>GLAM</v>
      </c>
      <c r="D196" s="122" t="str">
        <f>IFERROR(__xludf.DUMMYFUNCTION("""COMPUTED_VALUE"""),"Glow Cosmetics")</f>
        <v>Glow Cosmetics</v>
      </c>
      <c r="E196" s="122">
        <f>IFERROR(__xludf.DUMMYFUNCTION("""COMPUTED_VALUE"""),90.67)</f>
        <v>90.67</v>
      </c>
      <c r="F196" s="122">
        <f>IFERROR(__xludf.DUMMYFUNCTION("""COMPUTED_VALUE"""),0.0034)</f>
        <v>0.0034</v>
      </c>
    </row>
    <row r="197">
      <c r="A197" s="131">
        <f>IFERROR(__xludf.DUMMYFUNCTION("""COMPUTED_VALUE"""),46186.685625)</f>
        <v>46186.68563</v>
      </c>
      <c r="B197" s="126">
        <f>IFERROR(__xludf.DUMMYFUNCTION("""COMPUTED_VALUE"""),46186.0)</f>
        <v>46186</v>
      </c>
      <c r="C197" s="122" t="str">
        <f>IFERROR(__xludf.DUMMYFUNCTION("""COMPUTED_VALUE"""),"BAGG")</f>
        <v>BAGG</v>
      </c>
      <c r="D197" s="122" t="str">
        <f>IFERROR(__xludf.DUMMYFUNCTION("""COMPUTED_VALUE"""),"BagVault")</f>
        <v>BagVault</v>
      </c>
      <c r="E197" s="122">
        <f>IFERROR(__xludf.DUMMYFUNCTION("""COMPUTED_VALUE"""),239.55)</f>
        <v>239.55</v>
      </c>
      <c r="F197" s="122">
        <f>IFERROR(__xludf.DUMMYFUNCTION("""COMPUTED_VALUE"""),0.0108)</f>
        <v>0.0108</v>
      </c>
    </row>
    <row r="198">
      <c r="A198" s="131">
        <f>IFERROR(__xludf.DUMMYFUNCTION("""COMPUTED_VALUE"""),46186.685625)</f>
        <v>46186.68563</v>
      </c>
      <c r="B198" s="126">
        <f>IFERROR(__xludf.DUMMYFUNCTION("""COMPUTED_VALUE"""),46186.0)</f>
        <v>46186</v>
      </c>
      <c r="C198" s="122" t="str">
        <f>IFERROR(__xludf.DUMMYFUNCTION("""COMPUTED_VALUE"""),"FAST")</f>
        <v>FAST</v>
      </c>
      <c r="D198" s="122" t="str">
        <f>IFERROR(__xludf.DUMMYFUNCTION("""COMPUTED_VALUE"""),"Flash Logistics")</f>
        <v>Flash Logistics</v>
      </c>
      <c r="E198" s="122">
        <f>IFERROR(__xludf.DUMMYFUNCTION("""COMPUTED_VALUE"""),101.25)</f>
        <v>101.25</v>
      </c>
      <c r="F198" s="122">
        <f>IFERROR(__xludf.DUMMYFUNCTION("""COMPUTED_VALUE"""),-0.0015)</f>
        <v>-0.0015</v>
      </c>
    </row>
    <row r="199">
      <c r="A199" s="131">
        <f>IFERROR(__xludf.DUMMYFUNCTION("""COMPUTED_VALUE"""),46186.685625)</f>
        <v>46186.68563</v>
      </c>
      <c r="B199" s="126">
        <f>IFERROR(__xludf.DUMMYFUNCTION("""COMPUTED_VALUE"""),46186.0)</f>
        <v>46186</v>
      </c>
      <c r="C199" s="122" t="str">
        <f>IFERROR(__xludf.DUMMYFUNCTION("""COMPUTED_VALUE"""),"SHIP")</f>
        <v>SHIP</v>
      </c>
      <c r="D199" s="122" t="str">
        <f>IFERROR(__xludf.DUMMYFUNCTION("""COMPUTED_VALUE"""),"Seoul Shipping")</f>
        <v>Seoul Shipping</v>
      </c>
      <c r="E199" s="122">
        <f>IFERROR(__xludf.DUMMYFUNCTION("""COMPUTED_VALUE"""),117.9)</f>
        <v>117.9</v>
      </c>
      <c r="F199" s="122">
        <f>IFERROR(__xludf.DUMMYFUNCTION("""COMPUTED_VALUE"""),-0.0018)</f>
        <v>-0.0018</v>
      </c>
    </row>
    <row r="200">
      <c r="A200" s="131">
        <f>IFERROR(__xludf.DUMMYFUNCTION("""COMPUTED_VALUE"""),46186.685625)</f>
        <v>46186.68563</v>
      </c>
      <c r="B200" s="126">
        <f>IFERROR(__xludf.DUMMYFUNCTION("""COMPUTED_VALUE"""),46186.0)</f>
        <v>46186</v>
      </c>
      <c r="C200" s="122" t="str">
        <f>IFERROR(__xludf.DUMMYFUNCTION("""COMPUTED_VALUE"""),"DRON")</f>
        <v>DRON</v>
      </c>
      <c r="D200" s="122" t="str">
        <f>IFERROR(__xludf.DUMMYFUNCTION("""COMPUTED_VALUE"""),"DroneDrop")</f>
        <v>DroneDrop</v>
      </c>
      <c r="E200" s="122">
        <f>IFERROR(__xludf.DUMMYFUNCTION("""COMPUTED_VALUE"""),133.79)</f>
        <v>133.79</v>
      </c>
      <c r="F200" s="122">
        <f>IFERROR(__xludf.DUMMYFUNCTION("""COMPUTED_VALUE"""),0.0058)</f>
        <v>0.0058</v>
      </c>
    </row>
    <row r="201">
      <c r="A201" s="131">
        <f>IFERROR(__xludf.DUMMYFUNCTION("""COMPUTED_VALUE"""),46186.685625)</f>
        <v>46186.68563</v>
      </c>
      <c r="B201" s="126">
        <f>IFERROR(__xludf.DUMMYFUNCTION("""COMPUTED_VALUE"""),46186.0)</f>
        <v>46186</v>
      </c>
      <c r="C201" s="122" t="str">
        <f>IFERROR(__xludf.DUMMYFUNCTION("""COMPUTED_VALUE"""),"RIDE")</f>
        <v>RIDE</v>
      </c>
      <c r="D201" s="122" t="str">
        <f>IFERROR(__xludf.DUMMYFUNCTION("""COMPUTED_VALUE"""),"QuickRide")</f>
        <v>QuickRide</v>
      </c>
      <c r="E201" s="122">
        <f>IFERROR(__xludf.DUMMYFUNCTION("""COMPUTED_VALUE"""),94.88)</f>
        <v>94.88</v>
      </c>
      <c r="F201" s="122">
        <f>IFERROR(__xludf.DUMMYFUNCTION("""COMPUTED_VALUE"""),0.0111)</f>
        <v>0.0111</v>
      </c>
    </row>
    <row r="202">
      <c r="A202" s="131">
        <f>IFERROR(__xludf.DUMMYFUNCTION("""COMPUTED_VALUE"""),46186.685625)</f>
        <v>46186.68563</v>
      </c>
      <c r="B202" s="126">
        <f>IFERROR(__xludf.DUMMYFUNCTION("""COMPUTED_VALUE"""),46186.0)</f>
        <v>46186</v>
      </c>
      <c r="C202" s="122" t="str">
        <f>IFERROR(__xludf.DUMMYFUNCTION("""COMPUTED_VALUE"""),"RAIL")</f>
        <v>RAIL</v>
      </c>
      <c r="D202" s="122" t="str">
        <f>IFERROR(__xludf.DUMMYFUNCTION("""COMPUTED_VALUE"""),"MetroRail Corp")</f>
        <v>MetroRail Corp</v>
      </c>
      <c r="E202" s="122">
        <f>IFERROR(__xludf.DUMMYFUNCTION("""COMPUTED_VALUE"""),133.63)</f>
        <v>133.63</v>
      </c>
      <c r="F202" s="122">
        <f>IFERROR(__xludf.DUMMYFUNCTION("""COMPUTED_VALUE"""),1.0E-4)</f>
        <v>0.0001</v>
      </c>
    </row>
    <row r="203">
      <c r="A203" s="131">
        <f>IFERROR(__xludf.DUMMYFUNCTION("""COMPUTED_VALUE"""),46186.685625)</f>
        <v>46186.68563</v>
      </c>
      <c r="B203" s="126">
        <f>IFERROR(__xludf.DUMMYFUNCTION("""COMPUTED_VALUE"""),46186.0)</f>
        <v>46186</v>
      </c>
      <c r="C203" s="122" t="str">
        <f>IFERROR(__xludf.DUMMYFUNCTION("""COMPUTED_VALUE"""),"MEDX")</f>
        <v>MEDX</v>
      </c>
      <c r="D203" s="122" t="str">
        <f>IFERROR(__xludf.DUMMYFUNCTION("""COMPUTED_VALUE"""),"MediCore")</f>
        <v>MediCore</v>
      </c>
      <c r="E203" s="122">
        <f>IFERROR(__xludf.DUMMYFUNCTION("""COMPUTED_VALUE"""),136.25)</f>
        <v>136.25</v>
      </c>
      <c r="F203" s="122">
        <f>IFERROR(__xludf.DUMMYFUNCTION("""COMPUTED_VALUE"""),-0.0024)</f>
        <v>-0.0024</v>
      </c>
    </row>
    <row r="204">
      <c r="A204" s="131">
        <f>IFERROR(__xludf.DUMMYFUNCTION("""COMPUTED_VALUE"""),46186.685625)</f>
        <v>46186.68563</v>
      </c>
      <c r="B204" s="126">
        <f>IFERROR(__xludf.DUMMYFUNCTION("""COMPUTED_VALUE"""),46186.0)</f>
        <v>46186</v>
      </c>
      <c r="C204" s="122" t="str">
        <f>IFERROR(__xludf.DUMMYFUNCTION("""COMPUTED_VALUE"""),"GYMX")</f>
        <v>GYMX</v>
      </c>
      <c r="D204" s="122" t="str">
        <f>IFERROR(__xludf.DUMMYFUNCTION("""COMPUTED_VALUE"""),"GymX Fitness")</f>
        <v>GymX Fitness</v>
      </c>
      <c r="E204" s="122">
        <f>IFERROR(__xludf.DUMMYFUNCTION("""COMPUTED_VALUE"""),88.49)</f>
        <v>88.49</v>
      </c>
      <c r="F204" s="122">
        <f>IFERROR(__xludf.DUMMYFUNCTION("""COMPUTED_VALUE"""),-0.0019)</f>
        <v>-0.0019</v>
      </c>
    </row>
    <row r="205">
      <c r="A205" s="131">
        <f>IFERROR(__xludf.DUMMYFUNCTION("""COMPUTED_VALUE"""),46186.685625)</f>
        <v>46186.68563</v>
      </c>
      <c r="B205" s="126">
        <f>IFERROR(__xludf.DUMMYFUNCTION("""COMPUTED_VALUE"""),46186.0)</f>
        <v>46186</v>
      </c>
      <c r="C205" s="122" t="str">
        <f>IFERROR(__xludf.DUMMYFUNCTION("""COMPUTED_VALUE"""),"VITA")</f>
        <v>VITA</v>
      </c>
      <c r="D205" s="122" t="str">
        <f>IFERROR(__xludf.DUMMYFUNCTION("""COMPUTED_VALUE"""),"VitaPlus")</f>
        <v>VitaPlus</v>
      </c>
      <c r="E205" s="122">
        <f>IFERROR(__xludf.DUMMYFUNCTION("""COMPUTED_VALUE"""),76.69)</f>
        <v>76.69</v>
      </c>
      <c r="F205" s="122">
        <f>IFERROR(__xludf.DUMMYFUNCTION("""COMPUTED_VALUE"""),0.003)</f>
        <v>0.003</v>
      </c>
    </row>
    <row r="206">
      <c r="A206" s="131">
        <f>IFERROR(__xludf.DUMMYFUNCTION("""COMPUTED_VALUE"""),46186.685625)</f>
        <v>46186.68563</v>
      </c>
      <c r="B206" s="126">
        <f>IFERROR(__xludf.DUMMYFUNCTION("""COMPUTED_VALUE"""),46186.0)</f>
        <v>46186</v>
      </c>
      <c r="C206" s="122" t="str">
        <f>IFERROR(__xludf.DUMMYFUNCTION("""COMPUTED_VALUE"""),"CARE")</f>
        <v>CARE</v>
      </c>
      <c r="D206" s="122" t="str">
        <f>IFERROR(__xludf.DUMMYFUNCTION("""COMPUTED_VALUE"""),"CareCloud")</f>
        <v>CareCloud</v>
      </c>
      <c r="E206" s="122">
        <f>IFERROR(__xludf.DUMMYFUNCTION("""COMPUTED_VALUE"""),172.88)</f>
        <v>172.88</v>
      </c>
      <c r="F206" s="122">
        <f>IFERROR(__xludf.DUMMYFUNCTION("""COMPUTED_VALUE"""),0.0085)</f>
        <v>0.0085</v>
      </c>
    </row>
    <row r="207">
      <c r="A207" s="131">
        <f>IFERROR(__xludf.DUMMYFUNCTION("""COMPUTED_VALUE"""),46186.685625)</f>
        <v>46186.68563</v>
      </c>
      <c r="B207" s="126">
        <f>IFERROR(__xludf.DUMMYFUNCTION("""COMPUTED_VALUE"""),46186.0)</f>
        <v>46186</v>
      </c>
      <c r="C207" s="122" t="str">
        <f>IFERROR(__xludf.DUMMYFUNCTION("""COMPUTED_VALUE"""),"DENT")</f>
        <v>DENT</v>
      </c>
      <c r="D207" s="122" t="str">
        <f>IFERROR(__xludf.DUMMYFUNCTION("""COMPUTED_VALUE"""),"SmileWorks")</f>
        <v>SmileWorks</v>
      </c>
      <c r="E207" s="122">
        <f>IFERROR(__xludf.DUMMYFUNCTION("""COMPUTED_VALUE"""),81.54)</f>
        <v>81.54</v>
      </c>
      <c r="F207" s="122">
        <f>IFERROR(__xludf.DUMMYFUNCTION("""COMPUTED_VALUE"""),0.0023)</f>
        <v>0.0023</v>
      </c>
    </row>
    <row r="208">
      <c r="A208" s="131">
        <f>IFERROR(__xludf.DUMMYFUNCTION("""COMPUTED_VALUE"""),46186.685625)</f>
        <v>46186.68563</v>
      </c>
      <c r="B208" s="126">
        <f>IFERROR(__xludf.DUMMYFUNCTION("""COMPUTED_VALUE"""),46186.0)</f>
        <v>46186</v>
      </c>
      <c r="C208" s="122" t="str">
        <f>IFERROR(__xludf.DUMMYFUNCTION("""COMPUTED_VALUE"""),"EDUX")</f>
        <v>EDUX</v>
      </c>
      <c r="D208" s="122" t="str">
        <f>IFERROR(__xludf.DUMMYFUNCTION("""COMPUTED_VALUE"""),"EduMax Learning")</f>
        <v>EduMax Learning</v>
      </c>
      <c r="E208" s="122">
        <f>IFERROR(__xludf.DUMMYFUNCTION("""COMPUTED_VALUE"""),133.16)</f>
        <v>133.16</v>
      </c>
      <c r="F208" s="122">
        <f>IFERROR(__xludf.DUMMYFUNCTION("""COMPUTED_VALUE"""),0.0048)</f>
        <v>0.0048</v>
      </c>
    </row>
    <row r="209">
      <c r="A209" s="131">
        <f>IFERROR(__xludf.DUMMYFUNCTION("""COMPUTED_VALUE"""),46186.685625)</f>
        <v>46186.68563</v>
      </c>
      <c r="B209" s="126">
        <f>IFERROR(__xludf.DUMMYFUNCTION("""COMPUTED_VALUE"""),46186.0)</f>
        <v>46186</v>
      </c>
      <c r="C209" s="122" t="str">
        <f>IFERROR(__xludf.DUMMYFUNCTION("""COMPUTED_VALUE"""),"BOOK")</f>
        <v>BOOK</v>
      </c>
      <c r="D209" s="122" t="str">
        <f>IFERROR(__xludf.DUMMYFUNCTION("""COMPUTED_VALUE"""),"BookBridge")</f>
        <v>BookBridge</v>
      </c>
      <c r="E209" s="122">
        <f>IFERROR(__xludf.DUMMYFUNCTION("""COMPUTED_VALUE"""),110.17)</f>
        <v>110.17</v>
      </c>
      <c r="F209" s="122">
        <f>IFERROR(__xludf.DUMMYFUNCTION("""COMPUTED_VALUE"""),0.0038)</f>
        <v>0.0038</v>
      </c>
    </row>
    <row r="210">
      <c r="A210" s="131">
        <f>IFERROR(__xludf.DUMMYFUNCTION("""COMPUTED_VALUE"""),46186.685625)</f>
        <v>46186.68563</v>
      </c>
      <c r="B210" s="126">
        <f>IFERROR(__xludf.DUMMYFUNCTION("""COMPUTED_VALUE"""),46186.0)</f>
        <v>46186</v>
      </c>
      <c r="C210" s="122" t="str">
        <f>IFERROR(__xludf.DUMMYFUNCTION("""COMPUTED_VALUE"""),"TUTR")</f>
        <v>TUTR</v>
      </c>
      <c r="D210" s="122" t="str">
        <f>IFERROR(__xludf.DUMMYFUNCTION("""COMPUTED_VALUE"""),"TutorTown")</f>
        <v>TutorTown</v>
      </c>
      <c r="E210" s="122">
        <f>IFERROR(__xludf.DUMMYFUNCTION("""COMPUTED_VALUE"""),89.52)</f>
        <v>89.52</v>
      </c>
      <c r="F210" s="122">
        <f>IFERROR(__xludf.DUMMYFUNCTION("""COMPUTED_VALUE"""),1.0E-4)</f>
        <v>0.0001</v>
      </c>
    </row>
    <row r="211">
      <c r="A211" s="131">
        <f>IFERROR(__xludf.DUMMYFUNCTION("""COMPUTED_VALUE"""),46186.685625)</f>
        <v>46186.68563</v>
      </c>
      <c r="B211" s="126">
        <f>IFERROR(__xludf.DUMMYFUNCTION("""COMPUTED_VALUE"""),46186.0)</f>
        <v>46186</v>
      </c>
      <c r="C211" s="122" t="str">
        <f>IFERROR(__xludf.DUMMYFUNCTION("""COMPUTED_VALUE"""),"LANG")</f>
        <v>LANG</v>
      </c>
      <c r="D211" s="122" t="str">
        <f>IFERROR(__xludf.DUMMYFUNCTION("""COMPUTED_VALUE"""),"LinguaLab")</f>
        <v>LinguaLab</v>
      </c>
      <c r="E211" s="122">
        <f>IFERROR(__xludf.DUMMYFUNCTION("""COMPUTED_VALUE"""),94.65)</f>
        <v>94.65</v>
      </c>
      <c r="F211" s="122">
        <f>IFERROR(__xludf.DUMMYFUNCTION("""COMPUTED_VALUE"""),1.0E-4)</f>
        <v>0.0001</v>
      </c>
    </row>
    <row r="212">
      <c r="A212" s="131">
        <f>IFERROR(__xludf.DUMMYFUNCTION("""COMPUTED_VALUE"""),46186.685625)</f>
        <v>46186.68563</v>
      </c>
      <c r="B212" s="126">
        <f>IFERROR(__xludf.DUMMYFUNCTION("""COMPUTED_VALUE"""),46186.0)</f>
        <v>46186</v>
      </c>
      <c r="C212" s="122" t="str">
        <f>IFERROR(__xludf.DUMMYFUNCTION("""COMPUTED_VALUE"""),"TEST")</f>
        <v>TEST</v>
      </c>
      <c r="D212" s="122" t="str">
        <f>IFERROR(__xludf.DUMMYFUNCTION("""COMPUTED_VALUE"""),"TestPrep Pro")</f>
        <v>TestPrep Pro</v>
      </c>
      <c r="E212" s="122">
        <f>IFERROR(__xludf.DUMMYFUNCTION("""COMPUTED_VALUE"""),103.97)</f>
        <v>103.97</v>
      </c>
      <c r="F212" s="122">
        <f>IFERROR(__xludf.DUMMYFUNCTION("""COMPUTED_VALUE"""),-0.0063)</f>
        <v>-0.0063</v>
      </c>
    </row>
    <row r="213">
      <c r="A213" s="131">
        <f>IFERROR(__xludf.DUMMYFUNCTION("""COMPUTED_VALUE"""),46186.685625)</f>
        <v>46186.68563</v>
      </c>
      <c r="B213" s="126">
        <f>IFERROR(__xludf.DUMMYFUNCTION("""COMPUTED_VALUE"""),46186.0)</f>
        <v>46186</v>
      </c>
      <c r="C213" s="122" t="str">
        <f>IFERROR(__xludf.DUMMYFUNCTION("""COMPUTED_VALUE"""),"MOVI")</f>
        <v>MOVI</v>
      </c>
      <c r="D213" s="122" t="str">
        <f>IFERROR(__xludf.DUMMYFUNCTION("""COMPUTED_VALUE"""),"MovieBox")</f>
        <v>MovieBox</v>
      </c>
      <c r="E213" s="122">
        <f>IFERROR(__xludf.DUMMYFUNCTION("""COMPUTED_VALUE"""),79.01)</f>
        <v>79.01</v>
      </c>
      <c r="F213" s="122">
        <f>IFERROR(__xludf.DUMMYFUNCTION("""COMPUTED_VALUE"""),-0.0084)</f>
        <v>-0.0084</v>
      </c>
    </row>
    <row r="214">
      <c r="A214" s="131">
        <f>IFERROR(__xludf.DUMMYFUNCTION("""COMPUTED_VALUE"""),46186.685625)</f>
        <v>46186.68563</v>
      </c>
      <c r="B214" s="126">
        <f>IFERROR(__xludf.DUMMYFUNCTION("""COMPUTED_VALUE"""),46186.0)</f>
        <v>46186</v>
      </c>
      <c r="C214" s="122" t="str">
        <f>IFERROR(__xludf.DUMMYFUNCTION("""COMPUTED_VALUE"""),"MUSC")</f>
        <v>MUSC</v>
      </c>
      <c r="D214" s="122" t="str">
        <f>IFERROR(__xludf.DUMMYFUNCTION("""COMPUTED_VALUE"""),"MusicWave")</f>
        <v>MusicWave</v>
      </c>
      <c r="E214" s="122">
        <f>IFERROR(__xludf.DUMMYFUNCTION("""COMPUTED_VALUE"""),96.45)</f>
        <v>96.45</v>
      </c>
      <c r="F214" s="122">
        <f>IFERROR(__xludf.DUMMYFUNCTION("""COMPUTED_VALUE"""),0.0045)</f>
        <v>0.0045</v>
      </c>
    </row>
    <row r="215">
      <c r="A215" s="131">
        <f>IFERROR(__xludf.DUMMYFUNCTION("""COMPUTED_VALUE"""),46186.685625)</f>
        <v>46186.68563</v>
      </c>
      <c r="B215" s="126">
        <f>IFERROR(__xludf.DUMMYFUNCTION("""COMPUTED_VALUE"""),46186.0)</f>
        <v>46186</v>
      </c>
      <c r="C215" s="122" t="str">
        <f>IFERROR(__xludf.DUMMYFUNCTION("""COMPUTED_VALUE"""),"IDOL")</f>
        <v>IDOL</v>
      </c>
      <c r="D215" s="122" t="str">
        <f>IFERROR(__xludf.DUMMYFUNCTION("""COMPUTED_VALUE"""),"Idol Agency")</f>
        <v>Idol Agency</v>
      </c>
      <c r="E215" s="122">
        <f>IFERROR(__xludf.DUMMYFUNCTION("""COMPUTED_VALUE"""),200.93)</f>
        <v>200.93</v>
      </c>
      <c r="F215" s="122">
        <f>IFERROR(__xludf.DUMMYFUNCTION("""COMPUTED_VALUE"""),0.009)</f>
        <v>0.009</v>
      </c>
    </row>
    <row r="216">
      <c r="A216" s="131">
        <f>IFERROR(__xludf.DUMMYFUNCTION("""COMPUTED_VALUE"""),46186.685625)</f>
        <v>46186.68563</v>
      </c>
      <c r="B216" s="126">
        <f>IFERROR(__xludf.DUMMYFUNCTION("""COMPUTED_VALUE"""),46186.0)</f>
        <v>46186</v>
      </c>
      <c r="C216" s="122" t="str">
        <f>IFERROR(__xludf.DUMMYFUNCTION("""COMPUTED_VALUE"""),"MEME")</f>
        <v>MEME</v>
      </c>
      <c r="D216" s="122" t="str">
        <f>IFERROR(__xludf.DUMMYFUNCTION("""COMPUTED_VALUE"""),"Meme Media")</f>
        <v>Meme Media</v>
      </c>
      <c r="E216" s="122">
        <f>IFERROR(__xludf.DUMMYFUNCTION("""COMPUTED_VALUE"""),79.34)</f>
        <v>79.34</v>
      </c>
      <c r="F216" s="122">
        <f>IFERROR(__xludf.DUMMYFUNCTION("""COMPUTED_VALUE"""),-0.0138)</f>
        <v>-0.0138</v>
      </c>
    </row>
    <row r="217">
      <c r="A217" s="131">
        <f>IFERROR(__xludf.DUMMYFUNCTION("""COMPUTED_VALUE"""),46186.685625)</f>
        <v>46186.68563</v>
      </c>
      <c r="B217" s="126">
        <f>IFERROR(__xludf.DUMMYFUNCTION("""COMPUTED_VALUE"""),46186.0)</f>
        <v>46186</v>
      </c>
      <c r="C217" s="122" t="str">
        <f>IFERROR(__xludf.DUMMYFUNCTION("""COMPUTED_VALUE"""),"STRM")</f>
        <v>STRM</v>
      </c>
      <c r="D217" s="122" t="str">
        <f>IFERROR(__xludf.DUMMYFUNCTION("""COMPUTED_VALUE"""),"Streamly")</f>
        <v>Streamly</v>
      </c>
      <c r="E217" s="122">
        <f>IFERROR(__xludf.DUMMYFUNCTION("""COMPUTED_VALUE"""),138.24)</f>
        <v>138.24</v>
      </c>
      <c r="F217" s="122">
        <f>IFERROR(__xludf.DUMMYFUNCTION("""COMPUTED_VALUE"""),-0.0076)</f>
        <v>-0.0076</v>
      </c>
    </row>
    <row r="218">
      <c r="A218" s="131">
        <f>IFERROR(__xludf.DUMMYFUNCTION("""COMPUTED_VALUE"""),46186.685625)</f>
        <v>46186.68563</v>
      </c>
      <c r="B218" s="126">
        <f>IFERROR(__xludf.DUMMYFUNCTION("""COMPUTED_VALUE"""),46186.0)</f>
        <v>46186</v>
      </c>
      <c r="C218" s="122" t="str">
        <f>IFERROR(__xludf.DUMMYFUNCTION("""COMPUTED_VALUE"""),"FARM")</f>
        <v>FARM</v>
      </c>
      <c r="D218" s="122" t="str">
        <f>IFERROR(__xludf.DUMMYFUNCTION("""COMPUTED_VALUE"""),"Future Farms")</f>
        <v>Future Farms</v>
      </c>
      <c r="E218" s="122">
        <f>IFERROR(__xludf.DUMMYFUNCTION("""COMPUTED_VALUE"""),78.94)</f>
        <v>78.94</v>
      </c>
      <c r="F218" s="122">
        <f>IFERROR(__xludf.DUMMYFUNCTION("""COMPUTED_VALUE"""),0.0029)</f>
        <v>0.0029</v>
      </c>
    </row>
    <row r="219">
      <c r="A219" s="131">
        <f>IFERROR(__xludf.DUMMYFUNCTION("""COMPUTED_VALUE"""),46186.685625)</f>
        <v>46186.68563</v>
      </c>
      <c r="B219" s="126">
        <f>IFERROR(__xludf.DUMMYFUNCTION("""COMPUTED_VALUE"""),46186.0)</f>
        <v>46186</v>
      </c>
      <c r="C219" s="122" t="str">
        <f>IFERROR(__xludf.DUMMYFUNCTION("""COMPUTED_VALUE"""),"MEAT")</f>
        <v>MEAT</v>
      </c>
      <c r="D219" s="122" t="str">
        <f>IFERROR(__xludf.DUMMYFUNCTION("""COMPUTED_VALUE"""),"MeatWorks")</f>
        <v>MeatWorks</v>
      </c>
      <c r="E219" s="122">
        <f>IFERROR(__xludf.DUMMYFUNCTION("""COMPUTED_VALUE"""),102.5)</f>
        <v>102.5</v>
      </c>
      <c r="F219" s="122">
        <f>IFERROR(__xludf.DUMMYFUNCTION("""COMPUTED_VALUE"""),0.0067)</f>
        <v>0.0067</v>
      </c>
    </row>
    <row r="220">
      <c r="A220" s="131">
        <f>IFERROR(__xludf.DUMMYFUNCTION("""COMPUTED_VALUE"""),46186.685625)</f>
        <v>46186.68563</v>
      </c>
      <c r="B220" s="126">
        <f>IFERROR(__xludf.DUMMYFUNCTION("""COMPUTED_VALUE"""),46186.0)</f>
        <v>46186</v>
      </c>
      <c r="C220" s="122" t="str">
        <f>IFERROR(__xludf.DUMMYFUNCTION("""COMPUTED_VALUE"""),"VEGI")</f>
        <v>VEGI</v>
      </c>
      <c r="D220" s="122" t="str">
        <f>IFERROR(__xludf.DUMMYFUNCTION("""COMPUTED_VALUE"""),"Green Basket")</f>
        <v>Green Basket</v>
      </c>
      <c r="E220" s="122">
        <f>IFERROR(__xludf.DUMMYFUNCTION("""COMPUTED_VALUE"""),83.93)</f>
        <v>83.93</v>
      </c>
      <c r="F220" s="122">
        <f>IFERROR(__xludf.DUMMYFUNCTION("""COMPUTED_VALUE"""),-1.0E-4)</f>
        <v>-0.0001</v>
      </c>
    </row>
    <row r="221">
      <c r="A221" s="131">
        <f>IFERROR(__xludf.DUMMYFUNCTION("""COMPUTED_VALUE"""),46186.685625)</f>
        <v>46186.68563</v>
      </c>
      <c r="B221" s="126">
        <f>IFERROR(__xludf.DUMMYFUNCTION("""COMPUTED_VALUE"""),46186.0)</f>
        <v>46186</v>
      </c>
      <c r="C221" s="122" t="str">
        <f>IFERROR(__xludf.DUMMYFUNCTION("""COMPUTED_VALUE"""),"CAFE")</f>
        <v>CAFE</v>
      </c>
      <c r="D221" s="122" t="str">
        <f>IFERROR(__xludf.DUMMYFUNCTION("""COMPUTED_VALUE"""),"Cafe Cloud")</f>
        <v>Cafe Cloud</v>
      </c>
      <c r="E221" s="122">
        <f>IFERROR(__xludf.DUMMYFUNCTION("""COMPUTED_VALUE"""),97.54)</f>
        <v>97.54</v>
      </c>
      <c r="F221" s="122">
        <f>IFERROR(__xludf.DUMMYFUNCTION("""COMPUTED_VALUE"""),-0.0033)</f>
        <v>-0.0033</v>
      </c>
    </row>
    <row r="222">
      <c r="A222" s="131">
        <f>IFERROR(__xludf.DUMMYFUNCTION("""COMPUTED_VALUE"""),46186.685625)</f>
        <v>46186.68563</v>
      </c>
      <c r="B222" s="126">
        <f>IFERROR(__xludf.DUMMYFUNCTION("""COMPUTED_VALUE"""),46186.0)</f>
        <v>46186</v>
      </c>
      <c r="C222" s="122" t="str">
        <f>IFERROR(__xludf.DUMMYFUNCTION("""COMPUTED_VALUE"""),"BAKE")</f>
        <v>BAKE</v>
      </c>
      <c r="D222" s="122" t="str">
        <f>IFERROR(__xludf.DUMMYFUNCTION("""COMPUTED_VALUE"""),"BakeHouse")</f>
        <v>BakeHouse</v>
      </c>
      <c r="E222" s="122">
        <f>IFERROR(__xludf.DUMMYFUNCTION("""COMPUTED_VALUE"""),101.05)</f>
        <v>101.05</v>
      </c>
      <c r="F222" s="122">
        <f>IFERROR(__xludf.DUMMYFUNCTION("""COMPUTED_VALUE"""),0.0046)</f>
        <v>0.0046</v>
      </c>
    </row>
    <row r="223">
      <c r="A223" s="131">
        <f>IFERROR(__xludf.DUMMYFUNCTION("""COMPUTED_VALUE"""),46186.685625)</f>
        <v>46186.68563</v>
      </c>
      <c r="B223" s="126">
        <f>IFERROR(__xludf.DUMMYFUNCTION("""COMPUTED_VALUE"""),46186.0)</f>
        <v>46186</v>
      </c>
      <c r="C223" s="122" t="str">
        <f>IFERROR(__xludf.DUMMYFUNCTION("""COMPUTED_VALUE"""),"OILX")</f>
        <v>OILX</v>
      </c>
      <c r="D223" s="122" t="str">
        <f>IFERROR(__xludf.DUMMYFUNCTION("""COMPUTED_VALUE"""),"OilMax Energy")</f>
        <v>OilMax Energy</v>
      </c>
      <c r="E223" s="122">
        <f>IFERROR(__xludf.DUMMYFUNCTION("""COMPUTED_VALUE"""),134.13)</f>
        <v>134.13</v>
      </c>
      <c r="F223" s="122">
        <f>IFERROR(__xludf.DUMMYFUNCTION("""COMPUTED_VALUE"""),0.0083)</f>
        <v>0.0083</v>
      </c>
    </row>
    <row r="224">
      <c r="A224" s="131">
        <f>IFERROR(__xludf.DUMMYFUNCTION("""COMPUTED_VALUE"""),46186.685625)</f>
        <v>46186.68563</v>
      </c>
      <c r="B224" s="126">
        <f>IFERROR(__xludf.DUMMYFUNCTION("""COMPUTED_VALUE"""),46186.0)</f>
        <v>46186</v>
      </c>
      <c r="C224" s="122" t="str">
        <f>IFERROR(__xludf.DUMMYFUNCTION("""COMPUTED_VALUE"""),"SOLR")</f>
        <v>SOLR</v>
      </c>
      <c r="D224" s="122" t="str">
        <f>IFERROR(__xludf.DUMMYFUNCTION("""COMPUTED_VALUE"""),"SolarSpark")</f>
        <v>SolarSpark</v>
      </c>
      <c r="E224" s="122">
        <f>IFERROR(__xludf.DUMMYFUNCTION("""COMPUTED_VALUE"""),83.97)</f>
        <v>83.97</v>
      </c>
      <c r="F224" s="122">
        <f>IFERROR(__xludf.DUMMYFUNCTION("""COMPUTED_VALUE"""),-0.0103)</f>
        <v>-0.0103</v>
      </c>
    </row>
    <row r="225">
      <c r="A225" s="131">
        <f>IFERROR(__xludf.DUMMYFUNCTION("""COMPUTED_VALUE"""),46186.685625)</f>
        <v>46186.68563</v>
      </c>
      <c r="B225" s="126">
        <f>IFERROR(__xludf.DUMMYFUNCTION("""COMPUTED_VALUE"""),46186.0)</f>
        <v>46186</v>
      </c>
      <c r="C225" s="122" t="str">
        <f>IFERROR(__xludf.DUMMYFUNCTION("""COMPUTED_VALUE"""),"BATT")</f>
        <v>BATT</v>
      </c>
      <c r="D225" s="122" t="str">
        <f>IFERROR(__xludf.DUMMYFUNCTION("""COMPUTED_VALUE"""),"BatteryBox")</f>
        <v>BatteryBox</v>
      </c>
      <c r="E225" s="122">
        <f>IFERROR(__xludf.DUMMYFUNCTION("""COMPUTED_VALUE"""),116.23)</f>
        <v>116.23</v>
      </c>
      <c r="F225" s="122">
        <f>IFERROR(__xludf.DUMMYFUNCTION("""COMPUTED_VALUE"""),-0.0075)</f>
        <v>-0.0075</v>
      </c>
    </row>
    <row r="226">
      <c r="A226" s="131">
        <f>IFERROR(__xludf.DUMMYFUNCTION("""COMPUTED_VALUE"""),46186.685625)</f>
        <v>46186.68563</v>
      </c>
      <c r="B226" s="126">
        <f>IFERROR(__xludf.DUMMYFUNCTION("""COMPUTED_VALUE"""),46186.0)</f>
        <v>46186</v>
      </c>
      <c r="C226" s="122" t="str">
        <f>IFERROR(__xludf.DUMMYFUNCTION("""COMPUTED_VALUE"""),"WIND")</f>
        <v>WIND</v>
      </c>
      <c r="D226" s="122" t="str">
        <f>IFERROR(__xludf.DUMMYFUNCTION("""COMPUTED_VALUE"""),"WindWorks")</f>
        <v>WindWorks</v>
      </c>
      <c r="E226" s="122">
        <f>IFERROR(__xludf.DUMMYFUNCTION("""COMPUTED_VALUE"""),90.92)</f>
        <v>90.92</v>
      </c>
      <c r="F226" s="122">
        <f>IFERROR(__xludf.DUMMYFUNCTION("""COMPUTED_VALUE"""),-0.0056)</f>
        <v>-0.0056</v>
      </c>
    </row>
    <row r="227">
      <c r="A227" s="131">
        <f>IFERROR(__xludf.DUMMYFUNCTION("""COMPUTED_VALUE"""),46186.685625)</f>
        <v>46186.68563</v>
      </c>
      <c r="B227" s="126">
        <f>IFERROR(__xludf.DUMMYFUNCTION("""COMPUTED_VALUE"""),46186.0)</f>
        <v>46186</v>
      </c>
      <c r="C227" s="122" t="str">
        <f>IFERROR(__xludf.DUMMYFUNCTION("""COMPUTED_VALUE"""),"GRID")</f>
        <v>GRID</v>
      </c>
      <c r="D227" s="122" t="str">
        <f>IFERROR(__xludf.DUMMYFUNCTION("""COMPUTED_VALUE"""),"GridPower")</f>
        <v>GridPower</v>
      </c>
      <c r="E227" s="122">
        <f>IFERROR(__xludf.DUMMYFUNCTION("""COMPUTED_VALUE"""),145.82)</f>
        <v>145.82</v>
      </c>
      <c r="F227" s="122">
        <f>IFERROR(__xludf.DUMMYFUNCTION("""COMPUTED_VALUE"""),0.0054)</f>
        <v>0.0054</v>
      </c>
    </row>
    <row r="228">
      <c r="A228" s="131">
        <f>IFERROR(__xludf.DUMMYFUNCTION("""COMPUTED_VALUE"""),46186.685625)</f>
        <v>46186.68563</v>
      </c>
      <c r="B228" s="126">
        <f>IFERROR(__xludf.DUMMYFUNCTION("""COMPUTED_VALUE"""),46186.0)</f>
        <v>46186</v>
      </c>
      <c r="C228" s="122" t="str">
        <f>IFERROR(__xludf.DUMMYFUNCTION("""COMPUTED_VALUE"""),"HOME")</f>
        <v>HOME</v>
      </c>
      <c r="D228" s="122" t="str">
        <f>IFERROR(__xludf.DUMMYFUNCTION("""COMPUTED_VALUE"""),"HomeHub")</f>
        <v>HomeHub</v>
      </c>
      <c r="E228" s="122">
        <f>IFERROR(__xludf.DUMMYFUNCTION("""COMPUTED_VALUE"""),146.56)</f>
        <v>146.56</v>
      </c>
      <c r="F228" s="122">
        <f>IFERROR(__xludf.DUMMYFUNCTION("""COMPUTED_VALUE"""),-1.0E-4)</f>
        <v>-0.0001</v>
      </c>
    </row>
    <row r="229">
      <c r="A229" s="131">
        <f>IFERROR(__xludf.DUMMYFUNCTION("""COMPUTED_VALUE"""),46186.685625)</f>
        <v>46186.68563</v>
      </c>
      <c r="B229" s="126">
        <f>IFERROR(__xludf.DUMMYFUNCTION("""COMPUTED_VALUE"""),46186.0)</f>
        <v>46186</v>
      </c>
      <c r="C229" s="122" t="str">
        <f>IFERROR(__xludf.DUMMYFUNCTION("""COMPUTED_VALUE"""),"RENT")</f>
        <v>RENT</v>
      </c>
      <c r="D229" s="122" t="str">
        <f>IFERROR(__xludf.DUMMYFUNCTION("""COMPUTED_VALUE"""),"RentRight")</f>
        <v>RentRight</v>
      </c>
      <c r="E229" s="122">
        <f>IFERROR(__xludf.DUMMYFUNCTION("""COMPUTED_VALUE"""),95.33)</f>
        <v>95.33</v>
      </c>
      <c r="F229" s="122">
        <f>IFERROR(__xludf.DUMMYFUNCTION("""COMPUTED_VALUE"""),0.0055)</f>
        <v>0.0055</v>
      </c>
    </row>
    <row r="230">
      <c r="A230" s="131">
        <f>IFERROR(__xludf.DUMMYFUNCTION("""COMPUTED_VALUE"""),46186.685625)</f>
        <v>46186.68563</v>
      </c>
      <c r="B230" s="126">
        <f>IFERROR(__xludf.DUMMYFUNCTION("""COMPUTED_VALUE"""),46186.0)</f>
        <v>46186</v>
      </c>
      <c r="C230" s="122" t="str">
        <f>IFERROR(__xludf.DUMMYFUNCTION("""COMPUTED_VALUE"""),"MALL")</f>
        <v>MALL</v>
      </c>
      <c r="D230" s="122" t="str">
        <f>IFERROR(__xludf.DUMMYFUNCTION("""COMPUTED_VALUE"""),"MegaMall")</f>
        <v>MegaMall</v>
      </c>
      <c r="E230" s="122">
        <f>IFERROR(__xludf.DUMMYFUNCTION("""COMPUTED_VALUE"""),93.98)</f>
        <v>93.98</v>
      </c>
      <c r="F230" s="122">
        <f>IFERROR(__xludf.DUMMYFUNCTION("""COMPUTED_VALUE"""),0.0056)</f>
        <v>0.0056</v>
      </c>
    </row>
    <row r="231">
      <c r="A231" s="131">
        <f>IFERROR(__xludf.DUMMYFUNCTION("""COMPUTED_VALUE"""),46186.685625)</f>
        <v>46186.68563</v>
      </c>
      <c r="B231" s="126">
        <f>IFERROR(__xludf.DUMMYFUNCTION("""COMPUTED_VALUE"""),46186.0)</f>
        <v>46186</v>
      </c>
      <c r="C231" s="122" t="str">
        <f>IFERROR(__xludf.DUMMYFUNCTION("""COMPUTED_VALUE"""),"HOTL")</f>
        <v>HOTL</v>
      </c>
      <c r="D231" s="122" t="str">
        <f>IFERROR(__xludf.DUMMYFUNCTION("""COMPUTED_VALUE"""),"HotelHive")</f>
        <v>HotelHive</v>
      </c>
      <c r="E231" s="122">
        <f>IFERROR(__xludf.DUMMYFUNCTION("""COMPUTED_VALUE"""),132.98)</f>
        <v>132.98</v>
      </c>
      <c r="F231" s="122">
        <f>IFERROR(__xludf.DUMMYFUNCTION("""COMPUTED_VALUE"""),2.0E-4)</f>
        <v>0.0002</v>
      </c>
    </row>
    <row r="232">
      <c r="A232" s="131">
        <f>IFERROR(__xludf.DUMMYFUNCTION("""COMPUTED_VALUE"""),46186.685625)</f>
        <v>46186.68563</v>
      </c>
      <c r="B232" s="126">
        <f>IFERROR(__xludf.DUMMYFUNCTION("""COMPUTED_VALUE"""),46186.0)</f>
        <v>46186</v>
      </c>
      <c r="C232" s="122" t="str">
        <f>IFERROR(__xludf.DUMMYFUNCTION("""COMPUTED_VALUE"""),"LAND")</f>
        <v>LAND</v>
      </c>
      <c r="D232" s="122" t="str">
        <f>IFERROR(__xludf.DUMMYFUNCTION("""COMPUTED_VALUE"""),"LandLink")</f>
        <v>LandLink</v>
      </c>
      <c r="E232" s="122">
        <f>IFERROR(__xludf.DUMMYFUNCTION("""COMPUTED_VALUE"""),180.27)</f>
        <v>180.27</v>
      </c>
      <c r="F232" s="122">
        <f>IFERROR(__xludf.DUMMYFUNCTION("""COMPUTED_VALUE"""),0.006)</f>
        <v>0.006</v>
      </c>
    </row>
    <row r="233">
      <c r="A233" s="131">
        <f>IFERROR(__xludf.DUMMYFUNCTION("""COMPUTED_VALUE"""),46186.685625)</f>
        <v>46186.68563</v>
      </c>
      <c r="B233" s="126">
        <f>IFERROR(__xludf.DUMMYFUNCTION("""COMPUTED_VALUE"""),46186.0)</f>
        <v>46186</v>
      </c>
      <c r="C233" s="122" t="str">
        <f>IFERROR(__xludf.DUMMYFUNCTION("""COMPUTED_VALUE"""),"CARS")</f>
        <v>CARS</v>
      </c>
      <c r="D233" s="122" t="str">
        <f>IFERROR(__xludf.DUMMYFUNCTION("""COMPUTED_VALUE"""),"AutoArena")</f>
        <v>AutoArena</v>
      </c>
      <c r="E233" s="122">
        <f>IFERROR(__xludf.DUMMYFUNCTION("""COMPUTED_VALUE"""),80.71)</f>
        <v>80.71</v>
      </c>
      <c r="F233" s="122">
        <f>IFERROR(__xludf.DUMMYFUNCTION("""COMPUTED_VALUE"""),-0.0097)</f>
        <v>-0.0097</v>
      </c>
    </row>
    <row r="234">
      <c r="A234" s="131">
        <f>IFERROR(__xludf.DUMMYFUNCTION("""COMPUTED_VALUE"""),46186.685625)</f>
        <v>46186.68563</v>
      </c>
      <c r="B234" s="126">
        <f>IFERROR(__xludf.DUMMYFUNCTION("""COMPUTED_VALUE"""),46186.0)</f>
        <v>46186</v>
      </c>
      <c r="C234" s="122" t="str">
        <f>IFERROR(__xludf.DUMMYFUNCTION("""COMPUTED_VALUE"""),"EVGO")</f>
        <v>EVGO</v>
      </c>
      <c r="D234" s="122" t="str">
        <f>IFERROR(__xludf.DUMMYFUNCTION("""COMPUTED_VALUE"""),"EVGo Motors")</f>
        <v>EVGo Motors</v>
      </c>
      <c r="E234" s="122">
        <f>IFERROR(__xludf.DUMMYFUNCTION("""COMPUTED_VALUE"""),199.72)</f>
        <v>199.72</v>
      </c>
      <c r="F234" s="122">
        <f>IFERROR(__xludf.DUMMYFUNCTION("""COMPUTED_VALUE"""),0.0013)</f>
        <v>0.0013</v>
      </c>
    </row>
    <row r="235">
      <c r="A235" s="131">
        <f>IFERROR(__xludf.DUMMYFUNCTION("""COMPUTED_VALUE"""),46186.685625)</f>
        <v>46186.68563</v>
      </c>
      <c r="B235" s="126">
        <f>IFERROR(__xludf.DUMMYFUNCTION("""COMPUTED_VALUE"""),46186.0)</f>
        <v>46186</v>
      </c>
      <c r="C235" s="122" t="str">
        <f>IFERROR(__xludf.DUMMYFUNCTION("""COMPUTED_VALUE"""),"TIRE")</f>
        <v>TIRE</v>
      </c>
      <c r="D235" s="122" t="str">
        <f>IFERROR(__xludf.DUMMYFUNCTION("""COMPUTED_VALUE"""),"TireTown")</f>
        <v>TireTown</v>
      </c>
      <c r="E235" s="122">
        <f>IFERROR(__xludf.DUMMYFUNCTION("""COMPUTED_VALUE"""),83.89)</f>
        <v>83.89</v>
      </c>
      <c r="F235" s="122">
        <f>IFERROR(__xludf.DUMMYFUNCTION("""COMPUTED_VALUE"""),6.0E-4)</f>
        <v>0.0006</v>
      </c>
    </row>
    <row r="236">
      <c r="A236" s="131">
        <f>IFERROR(__xludf.DUMMYFUNCTION("""COMPUTED_VALUE"""),46186.685625)</f>
        <v>46186.68563</v>
      </c>
      <c r="B236" s="126">
        <f>IFERROR(__xludf.DUMMYFUNCTION("""COMPUTED_VALUE"""),46186.0)</f>
        <v>46186</v>
      </c>
      <c r="C236" s="122" t="str">
        <f>IFERROR(__xludf.DUMMYFUNCTION("""COMPUTED_VALUE"""),"BIKE")</f>
        <v>BIKE</v>
      </c>
      <c r="D236" s="122" t="str">
        <f>IFERROR(__xludf.DUMMYFUNCTION("""COMPUTED_VALUE"""),"BikeBox")</f>
        <v>BikeBox</v>
      </c>
      <c r="E236" s="122">
        <f>IFERROR(__xludf.DUMMYFUNCTION("""COMPUTED_VALUE"""),55.43)</f>
        <v>55.43</v>
      </c>
      <c r="F236" s="122">
        <f>IFERROR(__xludf.DUMMYFUNCTION("""COMPUTED_VALUE"""),0.002)</f>
        <v>0.002</v>
      </c>
    </row>
    <row r="237">
      <c r="A237" s="131">
        <f>IFERROR(__xludf.DUMMYFUNCTION("""COMPUTED_VALUE"""),46186.685625)</f>
        <v>46186.68563</v>
      </c>
      <c r="B237" s="126">
        <f>IFERROR(__xludf.DUMMYFUNCTION("""COMPUTED_VALUE"""),46186.0)</f>
        <v>46186</v>
      </c>
      <c r="C237" s="122" t="str">
        <f>IFERROR(__xludf.DUMMYFUNCTION("""COMPUTED_VALUE"""),"WASH")</f>
        <v>WASH</v>
      </c>
      <c r="D237" s="122" t="str">
        <f>IFERROR(__xludf.DUMMYFUNCTION("""COMPUTED_VALUE"""),"CarWash Co")</f>
        <v>CarWash Co</v>
      </c>
      <c r="E237" s="122">
        <f>IFERROR(__xludf.DUMMYFUNCTION("""COMPUTED_VALUE"""),116.41)</f>
        <v>116.41</v>
      </c>
      <c r="F237" s="122">
        <f>IFERROR(__xludf.DUMMYFUNCTION("""COMPUTED_VALUE"""),-9.0E-4)</f>
        <v>-0.0009</v>
      </c>
    </row>
    <row r="238">
      <c r="A238" s="131">
        <f>IFERROR(__xludf.DUMMYFUNCTION("""COMPUTED_VALUE"""),46186.685625)</f>
        <v>46186.68563</v>
      </c>
      <c r="B238" s="126">
        <f>IFERROR(__xludf.DUMMYFUNCTION("""COMPUTED_VALUE"""),46186.0)</f>
        <v>46186</v>
      </c>
      <c r="C238" s="122" t="str">
        <f>IFERROR(__xludf.DUMMYFUNCTION("""COMPUTED_VALUE"""),"GBND")</f>
        <v>GBND</v>
      </c>
      <c r="D238" s="122" t="str">
        <f>IFERROR(__xludf.DUMMYFUNCTION("""COMPUTED_VALUE"""),"Classroom Government Bond")</f>
        <v>Classroom Government Bond</v>
      </c>
      <c r="E238" s="122">
        <f>IFERROR(__xludf.DUMMYFUNCTION("""COMPUTED_VALUE"""),100.79)</f>
        <v>100.79</v>
      </c>
      <c r="F238" s="122">
        <f>IFERROR(__xludf.DUMMYFUNCTION("""COMPUTED_VALUE"""),1.0E-4)</f>
        <v>0.0001</v>
      </c>
    </row>
    <row r="239">
      <c r="A239" s="131">
        <f>IFERROR(__xludf.DUMMYFUNCTION("""COMPUTED_VALUE"""),46186.685625)</f>
        <v>46186.68563</v>
      </c>
      <c r="B239" s="126">
        <f>IFERROR(__xludf.DUMMYFUNCTION("""COMPUTED_VALUE"""),46186.0)</f>
        <v>46186</v>
      </c>
      <c r="C239" s="122" t="str">
        <f>IFERROR(__xludf.DUMMYFUNCTION("""COMPUTED_VALUE"""),"SBND")</f>
        <v>SBND</v>
      </c>
      <c r="D239" s="122" t="str">
        <f>IFERROR(__xludf.DUMMYFUNCTION("""COMPUTED_VALUE"""),"School Savings Bond")</f>
        <v>School Savings Bond</v>
      </c>
      <c r="E239" s="122">
        <f>IFERROR(__xludf.DUMMYFUNCTION("""COMPUTED_VALUE"""),99.22)</f>
        <v>99.22</v>
      </c>
      <c r="F239" s="122">
        <f>IFERROR(__xludf.DUMMYFUNCTION("""COMPUTED_VALUE"""),1.0E-4)</f>
        <v>0.0001</v>
      </c>
    </row>
    <row r="240">
      <c r="A240" s="131">
        <f>IFERROR(__xludf.DUMMYFUNCTION("""COMPUTED_VALUE"""),46186.685625)</f>
        <v>46186.68563</v>
      </c>
      <c r="B240" s="126">
        <f>IFERROR(__xludf.DUMMYFUNCTION("""COMPUTED_VALUE"""),46186.0)</f>
        <v>46186</v>
      </c>
      <c r="C240" s="122" t="str">
        <f>IFERROR(__xludf.DUMMYFUNCTION("""COMPUTED_VALUE"""),"CBND")</f>
        <v>CBND</v>
      </c>
      <c r="D240" s="122" t="str">
        <f>IFERROR(__xludf.DUMMYFUNCTION("""COMPUTED_VALUE"""),"Corporate Classroom Bond")</f>
        <v>Corporate Classroom Bond</v>
      </c>
      <c r="E240" s="122">
        <f>IFERROR(__xludf.DUMMYFUNCTION("""COMPUTED_VALUE"""),97.85)</f>
        <v>97.85</v>
      </c>
      <c r="F240" s="122">
        <f>IFERROR(__xludf.DUMMYFUNCTION("""COMPUTED_VALUE"""),-3.0E-4)</f>
        <v>-0.0003</v>
      </c>
    </row>
    <row r="241">
      <c r="A241" s="131">
        <f>IFERROR(__xludf.DUMMYFUNCTION("""COMPUTED_VALUE"""),46186.685625)</f>
        <v>46186.68563</v>
      </c>
      <c r="B241" s="126">
        <f>IFERROR(__xludf.DUMMYFUNCTION("""COMPUTED_VALUE"""),46186.0)</f>
        <v>46186</v>
      </c>
      <c r="C241" s="122" t="str">
        <f>IFERROR(__xludf.DUMMYFUNCTION("""COMPUTED_VALUE"""),"TBIL")</f>
        <v>TBIL</v>
      </c>
      <c r="D241" s="122" t="str">
        <f>IFERROR(__xludf.DUMMYFUNCTION("""COMPUTED_VALUE"""),"Treasury Bill")</f>
        <v>Treasury Bill</v>
      </c>
      <c r="E241" s="122">
        <f>IFERROR(__xludf.DUMMYFUNCTION("""COMPUTED_VALUE"""),98.0)</f>
        <v>98</v>
      </c>
      <c r="F241" s="122">
        <f>IFERROR(__xludf.DUMMYFUNCTION("""COMPUTED_VALUE"""),-4.0E-4)</f>
        <v>-0.0004</v>
      </c>
    </row>
    <row r="242">
      <c r="A242" s="131">
        <f>IFERROR(__xludf.DUMMYFUNCTION("""COMPUTED_VALUE"""),46186.685625)</f>
        <v>46186.68563</v>
      </c>
      <c r="B242" s="126">
        <f>IFERROR(__xludf.DUMMYFUNCTION("""COMPUTED_VALUE"""),46186.0)</f>
        <v>46186</v>
      </c>
      <c r="C242" s="122" t="str">
        <f>IFERROR(__xludf.DUMMYFUNCTION("""COMPUTED_VALUE"""),"IBND")</f>
        <v>IBND</v>
      </c>
      <c r="D242" s="122" t="str">
        <f>IFERROR(__xludf.DUMMYFUNCTION("""COMPUTED_VALUE"""),"Inflation Protected Bond")</f>
        <v>Inflation Protected Bond</v>
      </c>
      <c r="E242" s="122">
        <f>IFERROR(__xludf.DUMMYFUNCTION("""COMPUTED_VALUE"""),100.55)</f>
        <v>100.55</v>
      </c>
      <c r="F242" s="122">
        <f>IFERROR(__xludf.DUMMYFUNCTION("""COMPUTED_VALUE"""),-4.0E-4)</f>
        <v>-0.0004</v>
      </c>
    </row>
    <row r="243">
      <c r="A243" s="131">
        <f>IFERROR(__xludf.DUMMYFUNCTION("""COMPUTED_VALUE"""),46186.689039351855)</f>
        <v>46186.68904</v>
      </c>
      <c r="B243" s="126">
        <f>IFERROR(__xludf.DUMMYFUNCTION("""COMPUTED_VALUE"""),46186.0)</f>
        <v>46186</v>
      </c>
      <c r="C243" s="122" t="str">
        <f>IFERROR(__xludf.DUMMYFUNCTION("""COMPUTED_VALUE"""),"SNAX")</f>
        <v>SNAX</v>
      </c>
      <c r="D243" s="122" t="str">
        <f>IFERROR(__xludf.DUMMYFUNCTION("""COMPUTED_VALUE"""),"MICA Snacks")</f>
        <v>MICA Snacks</v>
      </c>
      <c r="E243" s="122">
        <f>IFERROR(__xludf.DUMMYFUNCTION("""COMPUTED_VALUE"""),123.89)</f>
        <v>123.89</v>
      </c>
      <c r="F243" s="122">
        <f>IFERROR(__xludf.DUMMYFUNCTION("""COMPUTED_VALUE"""),-0.0034)</f>
        <v>-0.0034</v>
      </c>
    </row>
    <row r="244">
      <c r="A244" s="131">
        <f>IFERROR(__xludf.DUMMYFUNCTION("""COMPUTED_VALUE"""),46186.689039351855)</f>
        <v>46186.68904</v>
      </c>
      <c r="B244" s="126">
        <f>IFERROR(__xludf.DUMMYFUNCTION("""COMPUTED_VALUE"""),46186.0)</f>
        <v>46186</v>
      </c>
      <c r="C244" s="122" t="str">
        <f>IFERROR(__xludf.DUMMYFUNCTION("""COMPUTED_VALUE"""),"RAMN")</f>
        <v>RAMN</v>
      </c>
      <c r="D244" s="122" t="str">
        <f>IFERROR(__xludf.DUMMYFUNCTION("""COMPUTED_VALUE"""),"Ramen Republic")</f>
        <v>Ramen Republic</v>
      </c>
      <c r="E244" s="122">
        <f>IFERROR(__xludf.DUMMYFUNCTION("""COMPUTED_VALUE"""),78.99)</f>
        <v>78.99</v>
      </c>
      <c r="F244" s="122">
        <f>IFERROR(__xludf.DUMMYFUNCTION("""COMPUTED_VALUE"""),0.002)</f>
        <v>0.002</v>
      </c>
    </row>
    <row r="245">
      <c r="A245" s="131">
        <f>IFERROR(__xludf.DUMMYFUNCTION("""COMPUTED_VALUE"""),46186.689039351855)</f>
        <v>46186.68904</v>
      </c>
      <c r="B245" s="126">
        <f>IFERROR(__xludf.DUMMYFUNCTION("""COMPUTED_VALUE"""),46186.0)</f>
        <v>46186</v>
      </c>
      <c r="C245" s="122" t="str">
        <f>IFERROR(__xludf.DUMMYFUNCTION("""COMPUTED_VALUE"""),"COLA")</f>
        <v>COLA</v>
      </c>
      <c r="D245" s="122" t="str">
        <f>IFERROR(__xludf.DUMMYFUNCTION("""COMPUTED_VALUE"""),"K-Pop Cola")</f>
        <v>K-Pop Cola</v>
      </c>
      <c r="E245" s="122">
        <f>IFERROR(__xludf.DUMMYFUNCTION("""COMPUTED_VALUE"""),104.36)</f>
        <v>104.36</v>
      </c>
      <c r="F245" s="122">
        <f>IFERROR(__xludf.DUMMYFUNCTION("""COMPUTED_VALUE"""),-0.0056)</f>
        <v>-0.0056</v>
      </c>
    </row>
    <row r="246">
      <c r="A246" s="131">
        <f>IFERROR(__xludf.DUMMYFUNCTION("""COMPUTED_VALUE"""),46186.689039351855)</f>
        <v>46186.68904</v>
      </c>
      <c r="B246" s="126">
        <f>IFERROR(__xludf.DUMMYFUNCTION("""COMPUTED_VALUE"""),46186.0)</f>
        <v>46186</v>
      </c>
      <c r="C246" s="122" t="str">
        <f>IFERROR(__xludf.DUMMYFUNCTION("""COMPUTED_VALUE"""),"CHIP")</f>
        <v>CHIP</v>
      </c>
      <c r="D246" s="122" t="str">
        <f>IFERROR(__xludf.DUMMYFUNCTION("""COMPUTED_VALUE"""),"Chip Empire")</f>
        <v>Chip Empire</v>
      </c>
      <c r="E246" s="122">
        <f>IFERROR(__xludf.DUMMYFUNCTION("""COMPUTED_VALUE"""),87.02)</f>
        <v>87.02</v>
      </c>
      <c r="F246" s="122">
        <f>IFERROR(__xludf.DUMMYFUNCTION("""COMPUTED_VALUE"""),0.0083)</f>
        <v>0.0083</v>
      </c>
    </row>
    <row r="247">
      <c r="A247" s="131">
        <f>IFERROR(__xludf.DUMMYFUNCTION("""COMPUTED_VALUE"""),46186.689039351855)</f>
        <v>46186.68904</v>
      </c>
      <c r="B247" s="126">
        <f>IFERROR(__xludf.DUMMYFUNCTION("""COMPUTED_VALUE"""),46186.0)</f>
        <v>46186</v>
      </c>
      <c r="C247" s="122" t="str">
        <f>IFERROR(__xludf.DUMMYFUNCTION("""COMPUTED_VALUE"""),"CAND")</f>
        <v>CAND</v>
      </c>
      <c r="D247" s="122" t="str">
        <f>IFERROR(__xludf.DUMMYFUNCTION("""COMPUTED_VALUE"""),"Candy Capital")</f>
        <v>Candy Capital</v>
      </c>
      <c r="E247" s="122">
        <f>IFERROR(__xludf.DUMMYFUNCTION("""COMPUTED_VALUE"""),76.7)</f>
        <v>76.7</v>
      </c>
      <c r="F247" s="122">
        <f>IFERROR(__xludf.DUMMYFUNCTION("""COMPUTED_VALUE"""),0.0064)</f>
        <v>0.0064</v>
      </c>
    </row>
    <row r="248">
      <c r="A248" s="131">
        <f>IFERROR(__xludf.DUMMYFUNCTION("""COMPUTED_VALUE"""),46186.689039351855)</f>
        <v>46186.68904</v>
      </c>
      <c r="B248" s="126">
        <f>IFERROR(__xludf.DUMMYFUNCTION("""COMPUTED_VALUE"""),46186.0)</f>
        <v>46186</v>
      </c>
      <c r="C248" s="122" t="str">
        <f>IFERROR(__xludf.DUMMYFUNCTION("""COMPUTED_VALUE"""),"TECH")</f>
        <v>TECH</v>
      </c>
      <c r="D248" s="122" t="str">
        <f>IFERROR(__xludf.DUMMYFUNCTION("""COMPUTED_VALUE"""),"Dragon Tech")</f>
        <v>Dragon Tech</v>
      </c>
      <c r="E248" s="122">
        <f>IFERROR(__xludf.DUMMYFUNCTION("""COMPUTED_VALUE"""),244.78)</f>
        <v>244.78</v>
      </c>
      <c r="F248" s="122">
        <f>IFERROR(__xludf.DUMMYFUNCTION("""COMPUTED_VALUE"""),0.0054)</f>
        <v>0.0054</v>
      </c>
    </row>
    <row r="249">
      <c r="A249" s="131">
        <f>IFERROR(__xludf.DUMMYFUNCTION("""COMPUTED_VALUE"""),46186.689039351855)</f>
        <v>46186.68904</v>
      </c>
      <c r="B249" s="126">
        <f>IFERROR(__xludf.DUMMYFUNCTION("""COMPUTED_VALUE"""),46186.0)</f>
        <v>46186</v>
      </c>
      <c r="C249" s="122" t="str">
        <f>IFERROR(__xludf.DUMMYFUNCTION("""COMPUTED_VALUE"""),"AIBO")</f>
        <v>AIBO</v>
      </c>
      <c r="D249" s="122" t="str">
        <f>IFERROR(__xludf.DUMMYFUNCTION("""COMPUTED_VALUE"""),"Homework AI")</f>
        <v>Homework AI</v>
      </c>
      <c r="E249" s="122">
        <f>IFERROR(__xludf.DUMMYFUNCTION("""COMPUTED_VALUE"""),176.13)</f>
        <v>176.13</v>
      </c>
      <c r="F249" s="122">
        <f>IFERROR(__xludf.DUMMYFUNCTION("""COMPUTED_VALUE"""),-0.0085)</f>
        <v>-0.0085</v>
      </c>
    </row>
    <row r="250">
      <c r="A250" s="131">
        <f>IFERROR(__xludf.DUMMYFUNCTION("""COMPUTED_VALUE"""),46186.689039351855)</f>
        <v>46186.68904</v>
      </c>
      <c r="B250" s="126">
        <f>IFERROR(__xludf.DUMMYFUNCTION("""COMPUTED_VALUE"""),46186.0)</f>
        <v>46186</v>
      </c>
      <c r="C250" s="122" t="str">
        <f>IFERROR(__xludf.DUMMYFUNCTION("""COMPUTED_VALUE"""),"GAME")</f>
        <v>GAME</v>
      </c>
      <c r="D250" s="122" t="str">
        <f>IFERROR(__xludf.DUMMYFUNCTION("""COMPUTED_VALUE"""),"GameBox Media")</f>
        <v>GameBox Media</v>
      </c>
      <c r="E250" s="122">
        <f>IFERROR(__xludf.DUMMYFUNCTION("""COMPUTED_VALUE"""),87.8)</f>
        <v>87.8</v>
      </c>
      <c r="F250" s="122">
        <f>IFERROR(__xludf.DUMMYFUNCTION("""COMPUTED_VALUE"""),-2.0E-4)</f>
        <v>-0.0002</v>
      </c>
    </row>
    <row r="251">
      <c r="A251" s="131">
        <f>IFERROR(__xludf.DUMMYFUNCTION("""COMPUTED_VALUE"""),46186.689039351855)</f>
        <v>46186.68904</v>
      </c>
      <c r="B251" s="126">
        <f>IFERROR(__xludf.DUMMYFUNCTION("""COMPUTED_VALUE"""),46186.0)</f>
        <v>46186</v>
      </c>
      <c r="C251" s="122" t="str">
        <f>IFERROR(__xludf.DUMMYFUNCTION("""COMPUTED_VALUE"""),"VRSE")</f>
        <v>VRSE</v>
      </c>
      <c r="D251" s="122" t="str">
        <f>IFERROR(__xludf.DUMMYFUNCTION("""COMPUTED_VALUE"""),"VerseVR")</f>
        <v>VerseVR</v>
      </c>
      <c r="E251" s="122">
        <f>IFERROR(__xludf.DUMMYFUNCTION("""COMPUTED_VALUE"""),153.59)</f>
        <v>153.59</v>
      </c>
      <c r="F251" s="122">
        <f>IFERROR(__xludf.DUMMYFUNCTION("""COMPUTED_VALUE"""),-0.0089)</f>
        <v>-0.0089</v>
      </c>
    </row>
    <row r="252">
      <c r="A252" s="131">
        <f>IFERROR(__xludf.DUMMYFUNCTION("""COMPUTED_VALUE"""),46186.689039351855)</f>
        <v>46186.68904</v>
      </c>
      <c r="B252" s="126">
        <f>IFERROR(__xludf.DUMMYFUNCTION("""COMPUTED_VALUE"""),46186.0)</f>
        <v>46186</v>
      </c>
      <c r="C252" s="122" t="str">
        <f>IFERROR(__xludf.DUMMYFUNCTION("""COMPUTED_VALUE"""),"BYTE")</f>
        <v>BYTE</v>
      </c>
      <c r="D252" s="122" t="str">
        <f>IFERROR(__xludf.DUMMYFUNCTION("""COMPUTED_VALUE"""),"ByteWorks")</f>
        <v>ByteWorks</v>
      </c>
      <c r="E252" s="122">
        <f>IFERROR(__xludf.DUMMYFUNCTION("""COMPUTED_VALUE"""),109.29)</f>
        <v>109.29</v>
      </c>
      <c r="F252" s="122">
        <f>IFERROR(__xludf.DUMMYFUNCTION("""COMPUTED_VALUE"""),0.0061)</f>
        <v>0.0061</v>
      </c>
    </row>
    <row r="253">
      <c r="A253" s="131">
        <f>IFERROR(__xludf.DUMMYFUNCTION("""COMPUTED_VALUE"""),46186.689039351855)</f>
        <v>46186.68904</v>
      </c>
      <c r="B253" s="126">
        <f>IFERROR(__xludf.DUMMYFUNCTION("""COMPUTED_VALUE"""),46186.0)</f>
        <v>46186</v>
      </c>
      <c r="C253" s="122" t="str">
        <f>IFERROR(__xludf.DUMMYFUNCTION("""COMPUTED_VALUE"""),"BANK")</f>
        <v>BANK</v>
      </c>
      <c r="D253" s="122" t="str">
        <f>IFERROR(__xludf.DUMMYFUNCTION("""COMPUTED_VALUE"""),"Tiger Bank")</f>
        <v>Tiger Bank</v>
      </c>
      <c r="E253" s="122">
        <f>IFERROR(__xludf.DUMMYFUNCTION("""COMPUTED_VALUE"""),122.3)</f>
        <v>122.3</v>
      </c>
      <c r="F253" s="122">
        <f>IFERROR(__xludf.DUMMYFUNCTION("""COMPUTED_VALUE"""),2.0E-4)</f>
        <v>0.0002</v>
      </c>
    </row>
    <row r="254">
      <c r="A254" s="131">
        <f>IFERROR(__xludf.DUMMYFUNCTION("""COMPUTED_VALUE"""),46186.689039351855)</f>
        <v>46186.68904</v>
      </c>
      <c r="B254" s="126">
        <f>IFERROR(__xludf.DUMMYFUNCTION("""COMPUTED_VALUE"""),46186.0)</f>
        <v>46186</v>
      </c>
      <c r="C254" s="122" t="str">
        <f>IFERROR(__xludf.DUMMYFUNCTION("""COMPUTED_VALUE"""),"CRED")</f>
        <v>CRED</v>
      </c>
      <c r="D254" s="122" t="str">
        <f>IFERROR(__xludf.DUMMYFUNCTION("""COMPUTED_VALUE"""),"Credit Castle")</f>
        <v>Credit Castle</v>
      </c>
      <c r="E254" s="122">
        <f>IFERROR(__xludf.DUMMYFUNCTION("""COMPUTED_VALUE"""),68.88)</f>
        <v>68.88</v>
      </c>
      <c r="F254" s="122">
        <f>IFERROR(__xludf.DUMMYFUNCTION("""COMPUTED_VALUE"""),-0.0036)</f>
        <v>-0.0036</v>
      </c>
    </row>
    <row r="255">
      <c r="A255" s="131">
        <f>IFERROR(__xludf.DUMMYFUNCTION("""COMPUTED_VALUE"""),46186.689039351855)</f>
        <v>46186.68904</v>
      </c>
      <c r="B255" s="126">
        <f>IFERROR(__xludf.DUMMYFUNCTION("""COMPUTED_VALUE"""),46186.0)</f>
        <v>46186</v>
      </c>
      <c r="C255" s="122" t="str">
        <f>IFERROR(__xludf.DUMMYFUNCTION("""COMPUTED_VALUE"""),"BOND")</f>
        <v>BOND</v>
      </c>
      <c r="D255" s="122" t="str">
        <f>IFERROR(__xludf.DUMMYFUNCTION("""COMPUTED_VALUE"""),"BondBridge")</f>
        <v>BondBridge</v>
      </c>
      <c r="E255" s="122">
        <f>IFERROR(__xludf.DUMMYFUNCTION("""COMPUTED_VALUE"""),94.2)</f>
        <v>94.2</v>
      </c>
      <c r="F255" s="122">
        <f>IFERROR(__xludf.DUMMYFUNCTION("""COMPUTED_VALUE"""),8.0E-4)</f>
        <v>0.0008</v>
      </c>
    </row>
    <row r="256">
      <c r="A256" s="131">
        <f>IFERROR(__xludf.DUMMYFUNCTION("""COMPUTED_VALUE"""),46186.689039351855)</f>
        <v>46186.68904</v>
      </c>
      <c r="B256" s="126">
        <f>IFERROR(__xludf.DUMMYFUNCTION("""COMPUTED_VALUE"""),46186.0)</f>
        <v>46186</v>
      </c>
      <c r="C256" s="122" t="str">
        <f>IFERROR(__xludf.DUMMYFUNCTION("""COMPUTED_VALUE"""),"INSR")</f>
        <v>INSR</v>
      </c>
      <c r="D256" s="122" t="str">
        <f>IFERROR(__xludf.DUMMYFUNCTION("""COMPUTED_VALUE"""),"Shield Insurance")</f>
        <v>Shield Insurance</v>
      </c>
      <c r="E256" s="122">
        <f>IFERROR(__xludf.DUMMYFUNCTION("""COMPUTED_VALUE"""),151.01)</f>
        <v>151.01</v>
      </c>
      <c r="F256" s="122">
        <f>IFERROR(__xludf.DUMMYFUNCTION("""COMPUTED_VALUE"""),-0.0033)</f>
        <v>-0.0033</v>
      </c>
    </row>
    <row r="257">
      <c r="A257" s="131">
        <f>IFERROR(__xludf.DUMMYFUNCTION("""COMPUTED_VALUE"""),46186.689039351855)</f>
        <v>46186.68904</v>
      </c>
      <c r="B257" s="126">
        <f>IFERROR(__xludf.DUMMYFUNCTION("""COMPUTED_VALUE"""),46186.0)</f>
        <v>46186</v>
      </c>
      <c r="C257" s="122" t="str">
        <f>IFERROR(__xludf.DUMMYFUNCTION("""COMPUTED_VALUE"""),"LOAN")</f>
        <v>LOAN</v>
      </c>
      <c r="D257" s="122" t="str">
        <f>IFERROR(__xludf.DUMMYFUNCTION("""COMPUTED_VALUE"""),"LoanLab")</f>
        <v>LoanLab</v>
      </c>
      <c r="E257" s="122">
        <f>IFERROR(__xludf.DUMMYFUNCTION("""COMPUTED_VALUE"""),59.67)</f>
        <v>59.67</v>
      </c>
      <c r="F257" s="122">
        <f>IFERROR(__xludf.DUMMYFUNCTION("""COMPUTED_VALUE"""),-0.003)</f>
        <v>-0.003</v>
      </c>
    </row>
    <row r="258">
      <c r="A258" s="131">
        <f>IFERROR(__xludf.DUMMYFUNCTION("""COMPUTED_VALUE"""),46186.689039351855)</f>
        <v>46186.68904</v>
      </c>
      <c r="B258" s="126">
        <f>IFERROR(__xludf.DUMMYFUNCTION("""COMPUTED_VALUE"""),46186.0)</f>
        <v>46186</v>
      </c>
      <c r="C258" s="122" t="str">
        <f>IFERROR(__xludf.DUMMYFUNCTION("""COMPUTED_VALUE"""),"LUXE")</f>
        <v>LUXE</v>
      </c>
      <c r="D258" s="122" t="str">
        <f>IFERROR(__xludf.DUMMYFUNCTION("""COMPUTED_VALUE"""),"Luxury Locker")</f>
        <v>Luxury Locker</v>
      </c>
      <c r="E258" s="122">
        <f>IFERROR(__xludf.DUMMYFUNCTION("""COMPUTED_VALUE"""),263.85)</f>
        <v>263.85</v>
      </c>
      <c r="F258" s="122">
        <f>IFERROR(__xludf.DUMMYFUNCTION("""COMPUTED_VALUE"""),-0.0037)</f>
        <v>-0.0037</v>
      </c>
    </row>
    <row r="259">
      <c r="A259" s="131">
        <f>IFERROR(__xludf.DUMMYFUNCTION("""COMPUTED_VALUE"""),46186.689039351855)</f>
        <v>46186.68904</v>
      </c>
      <c r="B259" s="126">
        <f>IFERROR(__xludf.DUMMYFUNCTION("""COMPUTED_VALUE"""),46186.0)</f>
        <v>46186</v>
      </c>
      <c r="C259" s="122" t="str">
        <f>IFERROR(__xludf.DUMMYFUNCTION("""COMPUTED_VALUE"""),"DRIP")</f>
        <v>DRIP</v>
      </c>
      <c r="D259" s="122" t="str">
        <f>IFERROR(__xludf.DUMMYFUNCTION("""COMPUTED_VALUE"""),"Drip Streetwear")</f>
        <v>Drip Streetwear</v>
      </c>
      <c r="E259" s="122">
        <f>IFERROR(__xludf.DUMMYFUNCTION("""COMPUTED_VALUE"""),200.44)</f>
        <v>200.44</v>
      </c>
      <c r="F259" s="122">
        <f>IFERROR(__xludf.DUMMYFUNCTION("""COMPUTED_VALUE"""),0.0095)</f>
        <v>0.0095</v>
      </c>
    </row>
    <row r="260">
      <c r="A260" s="131">
        <f>IFERROR(__xludf.DUMMYFUNCTION("""COMPUTED_VALUE"""),46186.689039351855)</f>
        <v>46186.68904</v>
      </c>
      <c r="B260" s="126">
        <f>IFERROR(__xludf.DUMMYFUNCTION("""COMPUTED_VALUE"""),46186.0)</f>
        <v>46186</v>
      </c>
      <c r="C260" s="122" t="str">
        <f>IFERROR(__xludf.DUMMYFUNCTION("""COMPUTED_VALUE"""),"KICK")</f>
        <v>KICK</v>
      </c>
      <c r="D260" s="122" t="str">
        <f>IFERROR(__xludf.DUMMYFUNCTION("""COMPUTED_VALUE"""),"KickDrop Sneakers")</f>
        <v>KickDrop Sneakers</v>
      </c>
      <c r="E260" s="122">
        <f>IFERROR(__xludf.DUMMYFUNCTION("""COMPUTED_VALUE"""),181.9)</f>
        <v>181.9</v>
      </c>
      <c r="F260" s="122">
        <f>IFERROR(__xludf.DUMMYFUNCTION("""COMPUTED_VALUE"""),-0.0055)</f>
        <v>-0.0055</v>
      </c>
    </row>
    <row r="261">
      <c r="A261" s="131">
        <f>IFERROR(__xludf.DUMMYFUNCTION("""COMPUTED_VALUE"""),46186.689039351855)</f>
        <v>46186.68904</v>
      </c>
      <c r="B261" s="126">
        <f>IFERROR(__xludf.DUMMYFUNCTION("""COMPUTED_VALUE"""),46186.0)</f>
        <v>46186</v>
      </c>
      <c r="C261" s="122" t="str">
        <f>IFERROR(__xludf.DUMMYFUNCTION("""COMPUTED_VALUE"""),"GLAM")</f>
        <v>GLAM</v>
      </c>
      <c r="D261" s="122" t="str">
        <f>IFERROR(__xludf.DUMMYFUNCTION("""COMPUTED_VALUE"""),"Glow Cosmetics")</f>
        <v>Glow Cosmetics</v>
      </c>
      <c r="E261" s="122">
        <f>IFERROR(__xludf.DUMMYFUNCTION("""COMPUTED_VALUE"""),91.14)</f>
        <v>91.14</v>
      </c>
      <c r="F261" s="122">
        <f>IFERROR(__xludf.DUMMYFUNCTION("""COMPUTED_VALUE"""),0.0052)</f>
        <v>0.0052</v>
      </c>
    </row>
    <row r="262">
      <c r="A262" s="131">
        <f>IFERROR(__xludf.DUMMYFUNCTION("""COMPUTED_VALUE"""),46186.689039351855)</f>
        <v>46186.68904</v>
      </c>
      <c r="B262" s="126">
        <f>IFERROR(__xludf.DUMMYFUNCTION("""COMPUTED_VALUE"""),46186.0)</f>
        <v>46186</v>
      </c>
      <c r="C262" s="122" t="str">
        <f>IFERROR(__xludf.DUMMYFUNCTION("""COMPUTED_VALUE"""),"BAGG")</f>
        <v>BAGG</v>
      </c>
      <c r="D262" s="122" t="str">
        <f>IFERROR(__xludf.DUMMYFUNCTION("""COMPUTED_VALUE"""),"BagVault")</f>
        <v>BagVault</v>
      </c>
      <c r="E262" s="122">
        <f>IFERROR(__xludf.DUMMYFUNCTION("""COMPUTED_VALUE"""),240.28)</f>
        <v>240.28</v>
      </c>
      <c r="F262" s="122">
        <f>IFERROR(__xludf.DUMMYFUNCTION("""COMPUTED_VALUE"""),0.003)</f>
        <v>0.003</v>
      </c>
    </row>
    <row r="263">
      <c r="A263" s="131">
        <f>IFERROR(__xludf.DUMMYFUNCTION("""COMPUTED_VALUE"""),46186.689039351855)</f>
        <v>46186.68904</v>
      </c>
      <c r="B263" s="126">
        <f>IFERROR(__xludf.DUMMYFUNCTION("""COMPUTED_VALUE"""),46186.0)</f>
        <v>46186</v>
      </c>
      <c r="C263" s="122" t="str">
        <f>IFERROR(__xludf.DUMMYFUNCTION("""COMPUTED_VALUE"""),"FAST")</f>
        <v>FAST</v>
      </c>
      <c r="D263" s="122" t="str">
        <f>IFERROR(__xludf.DUMMYFUNCTION("""COMPUTED_VALUE"""),"Flash Logistics")</f>
        <v>Flash Logistics</v>
      </c>
      <c r="E263" s="122">
        <f>IFERROR(__xludf.DUMMYFUNCTION("""COMPUTED_VALUE"""),101.43)</f>
        <v>101.43</v>
      </c>
      <c r="F263" s="122">
        <f>IFERROR(__xludf.DUMMYFUNCTION("""COMPUTED_VALUE"""),0.0018)</f>
        <v>0.0018</v>
      </c>
    </row>
    <row r="264">
      <c r="A264" s="131">
        <f>IFERROR(__xludf.DUMMYFUNCTION("""COMPUTED_VALUE"""),46186.689039351855)</f>
        <v>46186.68904</v>
      </c>
      <c r="B264" s="126">
        <f>IFERROR(__xludf.DUMMYFUNCTION("""COMPUTED_VALUE"""),46186.0)</f>
        <v>46186</v>
      </c>
      <c r="C264" s="122" t="str">
        <f>IFERROR(__xludf.DUMMYFUNCTION("""COMPUTED_VALUE"""),"SHIP")</f>
        <v>SHIP</v>
      </c>
      <c r="D264" s="122" t="str">
        <f>IFERROR(__xludf.DUMMYFUNCTION("""COMPUTED_VALUE"""),"Seoul Shipping")</f>
        <v>Seoul Shipping</v>
      </c>
      <c r="E264" s="122">
        <f>IFERROR(__xludf.DUMMYFUNCTION("""COMPUTED_VALUE"""),117.82)</f>
        <v>117.82</v>
      </c>
      <c r="F264" s="122">
        <f>IFERROR(__xludf.DUMMYFUNCTION("""COMPUTED_VALUE"""),-7.0E-4)</f>
        <v>-0.0007</v>
      </c>
    </row>
    <row r="265">
      <c r="A265" s="131">
        <f>IFERROR(__xludf.DUMMYFUNCTION("""COMPUTED_VALUE"""),46186.689039351855)</f>
        <v>46186.68904</v>
      </c>
      <c r="B265" s="126">
        <f>IFERROR(__xludf.DUMMYFUNCTION("""COMPUTED_VALUE"""),46186.0)</f>
        <v>46186</v>
      </c>
      <c r="C265" s="122" t="str">
        <f>IFERROR(__xludf.DUMMYFUNCTION("""COMPUTED_VALUE"""),"DRON")</f>
        <v>DRON</v>
      </c>
      <c r="D265" s="122" t="str">
        <f>IFERROR(__xludf.DUMMYFUNCTION("""COMPUTED_VALUE"""),"DroneDrop")</f>
        <v>DroneDrop</v>
      </c>
      <c r="E265" s="122">
        <f>IFERROR(__xludf.DUMMYFUNCTION("""COMPUTED_VALUE"""),133.77)</f>
        <v>133.77</v>
      </c>
      <c r="F265" s="122">
        <f>IFERROR(__xludf.DUMMYFUNCTION("""COMPUTED_VALUE"""),-1.0E-4)</f>
        <v>-0.0001</v>
      </c>
    </row>
    <row r="266">
      <c r="A266" s="131">
        <f>IFERROR(__xludf.DUMMYFUNCTION("""COMPUTED_VALUE"""),46186.689039351855)</f>
        <v>46186.68904</v>
      </c>
      <c r="B266" s="126">
        <f>IFERROR(__xludf.DUMMYFUNCTION("""COMPUTED_VALUE"""),46186.0)</f>
        <v>46186</v>
      </c>
      <c r="C266" s="122" t="str">
        <f>IFERROR(__xludf.DUMMYFUNCTION("""COMPUTED_VALUE"""),"RIDE")</f>
        <v>RIDE</v>
      </c>
      <c r="D266" s="122" t="str">
        <f>IFERROR(__xludf.DUMMYFUNCTION("""COMPUTED_VALUE"""),"QuickRide")</f>
        <v>QuickRide</v>
      </c>
      <c r="E266" s="122">
        <f>IFERROR(__xludf.DUMMYFUNCTION("""COMPUTED_VALUE"""),94.87)</f>
        <v>94.87</v>
      </c>
      <c r="F266" s="122">
        <f>IFERROR(__xludf.DUMMYFUNCTION("""COMPUTED_VALUE"""),-1.0E-4)</f>
        <v>-0.0001</v>
      </c>
    </row>
    <row r="267">
      <c r="A267" s="131">
        <f>IFERROR(__xludf.DUMMYFUNCTION("""COMPUTED_VALUE"""),46186.689039351855)</f>
        <v>46186.68904</v>
      </c>
      <c r="B267" s="126">
        <f>IFERROR(__xludf.DUMMYFUNCTION("""COMPUTED_VALUE"""),46186.0)</f>
        <v>46186</v>
      </c>
      <c r="C267" s="122" t="str">
        <f>IFERROR(__xludf.DUMMYFUNCTION("""COMPUTED_VALUE"""),"RAIL")</f>
        <v>RAIL</v>
      </c>
      <c r="D267" s="122" t="str">
        <f>IFERROR(__xludf.DUMMYFUNCTION("""COMPUTED_VALUE"""),"MetroRail Corp")</f>
        <v>MetroRail Corp</v>
      </c>
      <c r="E267" s="122">
        <f>IFERROR(__xludf.DUMMYFUNCTION("""COMPUTED_VALUE"""),133.89)</f>
        <v>133.89</v>
      </c>
      <c r="F267" s="122">
        <f>IFERROR(__xludf.DUMMYFUNCTION("""COMPUTED_VALUE"""),0.0019)</f>
        <v>0.0019</v>
      </c>
    </row>
    <row r="268">
      <c r="A268" s="131">
        <f>IFERROR(__xludf.DUMMYFUNCTION("""COMPUTED_VALUE"""),46186.689039351855)</f>
        <v>46186.68904</v>
      </c>
      <c r="B268" s="126">
        <f>IFERROR(__xludf.DUMMYFUNCTION("""COMPUTED_VALUE"""),46186.0)</f>
        <v>46186</v>
      </c>
      <c r="C268" s="122" t="str">
        <f>IFERROR(__xludf.DUMMYFUNCTION("""COMPUTED_VALUE"""),"MEDX")</f>
        <v>MEDX</v>
      </c>
      <c r="D268" s="122" t="str">
        <f>IFERROR(__xludf.DUMMYFUNCTION("""COMPUTED_VALUE"""),"MediCore")</f>
        <v>MediCore</v>
      </c>
      <c r="E268" s="122">
        <f>IFERROR(__xludf.DUMMYFUNCTION("""COMPUTED_VALUE"""),135.74)</f>
        <v>135.74</v>
      </c>
      <c r="F268" s="122">
        <f>IFERROR(__xludf.DUMMYFUNCTION("""COMPUTED_VALUE"""),-0.0037)</f>
        <v>-0.0037</v>
      </c>
    </row>
    <row r="269">
      <c r="A269" s="131">
        <f>IFERROR(__xludf.DUMMYFUNCTION("""COMPUTED_VALUE"""),46186.689039351855)</f>
        <v>46186.68904</v>
      </c>
      <c r="B269" s="126">
        <f>IFERROR(__xludf.DUMMYFUNCTION("""COMPUTED_VALUE"""),46186.0)</f>
        <v>46186</v>
      </c>
      <c r="C269" s="122" t="str">
        <f>IFERROR(__xludf.DUMMYFUNCTION("""COMPUTED_VALUE"""),"GYMX")</f>
        <v>GYMX</v>
      </c>
      <c r="D269" s="122" t="str">
        <f>IFERROR(__xludf.DUMMYFUNCTION("""COMPUTED_VALUE"""),"GymX Fitness")</f>
        <v>GymX Fitness</v>
      </c>
      <c r="E269" s="122">
        <f>IFERROR(__xludf.DUMMYFUNCTION("""COMPUTED_VALUE"""),87.86)</f>
        <v>87.86</v>
      </c>
      <c r="F269" s="122">
        <f>IFERROR(__xludf.DUMMYFUNCTION("""COMPUTED_VALUE"""),-0.0071)</f>
        <v>-0.0071</v>
      </c>
    </row>
    <row r="270">
      <c r="A270" s="131">
        <f>IFERROR(__xludf.DUMMYFUNCTION("""COMPUTED_VALUE"""),46186.689039351855)</f>
        <v>46186.68904</v>
      </c>
      <c r="B270" s="126">
        <f>IFERROR(__xludf.DUMMYFUNCTION("""COMPUTED_VALUE"""),46186.0)</f>
        <v>46186</v>
      </c>
      <c r="C270" s="122" t="str">
        <f>IFERROR(__xludf.DUMMYFUNCTION("""COMPUTED_VALUE"""),"VITA")</f>
        <v>VITA</v>
      </c>
      <c r="D270" s="122" t="str">
        <f>IFERROR(__xludf.DUMMYFUNCTION("""COMPUTED_VALUE"""),"VitaPlus")</f>
        <v>VitaPlus</v>
      </c>
      <c r="E270" s="122">
        <f>IFERROR(__xludf.DUMMYFUNCTION("""COMPUTED_VALUE"""),76.29)</f>
        <v>76.29</v>
      </c>
      <c r="F270" s="122">
        <f>IFERROR(__xludf.DUMMYFUNCTION("""COMPUTED_VALUE"""),-0.0052)</f>
        <v>-0.0052</v>
      </c>
    </row>
    <row r="271">
      <c r="A271" s="131">
        <f>IFERROR(__xludf.DUMMYFUNCTION("""COMPUTED_VALUE"""),46186.689039351855)</f>
        <v>46186.68904</v>
      </c>
      <c r="B271" s="126">
        <f>IFERROR(__xludf.DUMMYFUNCTION("""COMPUTED_VALUE"""),46186.0)</f>
        <v>46186</v>
      </c>
      <c r="C271" s="122" t="str">
        <f>IFERROR(__xludf.DUMMYFUNCTION("""COMPUTED_VALUE"""),"CARE")</f>
        <v>CARE</v>
      </c>
      <c r="D271" s="122" t="str">
        <f>IFERROR(__xludf.DUMMYFUNCTION("""COMPUTED_VALUE"""),"CareCloud")</f>
        <v>CareCloud</v>
      </c>
      <c r="E271" s="122">
        <f>IFERROR(__xludf.DUMMYFUNCTION("""COMPUTED_VALUE"""),173.58)</f>
        <v>173.58</v>
      </c>
      <c r="F271" s="122">
        <f>IFERROR(__xludf.DUMMYFUNCTION("""COMPUTED_VALUE"""),0.004)</f>
        <v>0.004</v>
      </c>
    </row>
    <row r="272">
      <c r="A272" s="131">
        <f>IFERROR(__xludf.DUMMYFUNCTION("""COMPUTED_VALUE"""),46186.689039351855)</f>
        <v>46186.68904</v>
      </c>
      <c r="B272" s="126">
        <f>IFERROR(__xludf.DUMMYFUNCTION("""COMPUTED_VALUE"""),46186.0)</f>
        <v>46186</v>
      </c>
      <c r="C272" s="122" t="str">
        <f>IFERROR(__xludf.DUMMYFUNCTION("""COMPUTED_VALUE"""),"DENT")</f>
        <v>DENT</v>
      </c>
      <c r="D272" s="122" t="str">
        <f>IFERROR(__xludf.DUMMYFUNCTION("""COMPUTED_VALUE"""),"SmileWorks")</f>
        <v>SmileWorks</v>
      </c>
      <c r="E272" s="122">
        <f>IFERROR(__xludf.DUMMYFUNCTION("""COMPUTED_VALUE"""),81.24)</f>
        <v>81.24</v>
      </c>
      <c r="F272" s="122">
        <f>IFERROR(__xludf.DUMMYFUNCTION("""COMPUTED_VALUE"""),-0.0037)</f>
        <v>-0.0037</v>
      </c>
    </row>
    <row r="273">
      <c r="A273" s="131">
        <f>IFERROR(__xludf.DUMMYFUNCTION("""COMPUTED_VALUE"""),46186.689039351855)</f>
        <v>46186.68904</v>
      </c>
      <c r="B273" s="126">
        <f>IFERROR(__xludf.DUMMYFUNCTION("""COMPUTED_VALUE"""),46186.0)</f>
        <v>46186</v>
      </c>
      <c r="C273" s="122" t="str">
        <f>IFERROR(__xludf.DUMMYFUNCTION("""COMPUTED_VALUE"""),"EDUX")</f>
        <v>EDUX</v>
      </c>
      <c r="D273" s="122" t="str">
        <f>IFERROR(__xludf.DUMMYFUNCTION("""COMPUTED_VALUE"""),"EduMax Learning")</f>
        <v>EduMax Learning</v>
      </c>
      <c r="E273" s="122">
        <f>IFERROR(__xludf.DUMMYFUNCTION("""COMPUTED_VALUE"""),132.64)</f>
        <v>132.64</v>
      </c>
      <c r="F273" s="122">
        <f>IFERROR(__xludf.DUMMYFUNCTION("""COMPUTED_VALUE"""),-0.0039)</f>
        <v>-0.0039</v>
      </c>
    </row>
    <row r="274">
      <c r="A274" s="131">
        <f>IFERROR(__xludf.DUMMYFUNCTION("""COMPUTED_VALUE"""),46186.689039351855)</f>
        <v>46186.68904</v>
      </c>
      <c r="B274" s="126">
        <f>IFERROR(__xludf.DUMMYFUNCTION("""COMPUTED_VALUE"""),46186.0)</f>
        <v>46186</v>
      </c>
      <c r="C274" s="122" t="str">
        <f>IFERROR(__xludf.DUMMYFUNCTION("""COMPUTED_VALUE"""),"BOOK")</f>
        <v>BOOK</v>
      </c>
      <c r="D274" s="122" t="str">
        <f>IFERROR(__xludf.DUMMYFUNCTION("""COMPUTED_VALUE"""),"BookBridge")</f>
        <v>BookBridge</v>
      </c>
      <c r="E274" s="122">
        <f>IFERROR(__xludf.DUMMYFUNCTION("""COMPUTED_VALUE"""),110.29)</f>
        <v>110.29</v>
      </c>
      <c r="F274" s="122">
        <f>IFERROR(__xludf.DUMMYFUNCTION("""COMPUTED_VALUE"""),0.0011)</f>
        <v>0.0011</v>
      </c>
    </row>
    <row r="275">
      <c r="A275" s="131">
        <f>IFERROR(__xludf.DUMMYFUNCTION("""COMPUTED_VALUE"""),46186.689039351855)</f>
        <v>46186.68904</v>
      </c>
      <c r="B275" s="126">
        <f>IFERROR(__xludf.DUMMYFUNCTION("""COMPUTED_VALUE"""),46186.0)</f>
        <v>46186</v>
      </c>
      <c r="C275" s="122" t="str">
        <f>IFERROR(__xludf.DUMMYFUNCTION("""COMPUTED_VALUE"""),"TUTR")</f>
        <v>TUTR</v>
      </c>
      <c r="D275" s="122" t="str">
        <f>IFERROR(__xludf.DUMMYFUNCTION("""COMPUTED_VALUE"""),"TutorTown")</f>
        <v>TutorTown</v>
      </c>
      <c r="E275" s="122">
        <f>IFERROR(__xludf.DUMMYFUNCTION("""COMPUTED_VALUE"""),90.11)</f>
        <v>90.11</v>
      </c>
      <c r="F275" s="122">
        <f>IFERROR(__xludf.DUMMYFUNCTION("""COMPUTED_VALUE"""),0.0066)</f>
        <v>0.0066</v>
      </c>
    </row>
    <row r="276">
      <c r="A276" s="131">
        <f>IFERROR(__xludf.DUMMYFUNCTION("""COMPUTED_VALUE"""),46186.689039351855)</f>
        <v>46186.68904</v>
      </c>
      <c r="B276" s="126">
        <f>IFERROR(__xludf.DUMMYFUNCTION("""COMPUTED_VALUE"""),46186.0)</f>
        <v>46186</v>
      </c>
      <c r="C276" s="122" t="str">
        <f>IFERROR(__xludf.DUMMYFUNCTION("""COMPUTED_VALUE"""),"LANG")</f>
        <v>LANG</v>
      </c>
      <c r="D276" s="122" t="str">
        <f>IFERROR(__xludf.DUMMYFUNCTION("""COMPUTED_VALUE"""),"LinguaLab")</f>
        <v>LinguaLab</v>
      </c>
      <c r="E276" s="122">
        <f>IFERROR(__xludf.DUMMYFUNCTION("""COMPUTED_VALUE"""),94.46)</f>
        <v>94.46</v>
      </c>
      <c r="F276" s="122">
        <f>IFERROR(__xludf.DUMMYFUNCTION("""COMPUTED_VALUE"""),-0.002)</f>
        <v>-0.002</v>
      </c>
    </row>
    <row r="277">
      <c r="A277" s="131">
        <f>IFERROR(__xludf.DUMMYFUNCTION("""COMPUTED_VALUE"""),46186.689039351855)</f>
        <v>46186.68904</v>
      </c>
      <c r="B277" s="126">
        <f>IFERROR(__xludf.DUMMYFUNCTION("""COMPUTED_VALUE"""),46186.0)</f>
        <v>46186</v>
      </c>
      <c r="C277" s="122" t="str">
        <f>IFERROR(__xludf.DUMMYFUNCTION("""COMPUTED_VALUE"""),"TEST")</f>
        <v>TEST</v>
      </c>
      <c r="D277" s="122" t="str">
        <f>IFERROR(__xludf.DUMMYFUNCTION("""COMPUTED_VALUE"""),"TestPrep Pro")</f>
        <v>TestPrep Pro</v>
      </c>
      <c r="E277" s="122">
        <f>IFERROR(__xludf.DUMMYFUNCTION("""COMPUTED_VALUE"""),104.21)</f>
        <v>104.21</v>
      </c>
      <c r="F277" s="122">
        <f>IFERROR(__xludf.DUMMYFUNCTION("""COMPUTED_VALUE"""),0.0023)</f>
        <v>0.0023</v>
      </c>
    </row>
    <row r="278">
      <c r="A278" s="131">
        <f>IFERROR(__xludf.DUMMYFUNCTION("""COMPUTED_VALUE"""),46186.689039351855)</f>
        <v>46186.68904</v>
      </c>
      <c r="B278" s="126">
        <f>IFERROR(__xludf.DUMMYFUNCTION("""COMPUTED_VALUE"""),46186.0)</f>
        <v>46186</v>
      </c>
      <c r="C278" s="122" t="str">
        <f>IFERROR(__xludf.DUMMYFUNCTION("""COMPUTED_VALUE"""),"MOVI")</f>
        <v>MOVI</v>
      </c>
      <c r="D278" s="122" t="str">
        <f>IFERROR(__xludf.DUMMYFUNCTION("""COMPUTED_VALUE"""),"MovieBox")</f>
        <v>MovieBox</v>
      </c>
      <c r="E278" s="122">
        <f>IFERROR(__xludf.DUMMYFUNCTION("""COMPUTED_VALUE"""),79.5)</f>
        <v>79.5</v>
      </c>
      <c r="F278" s="122">
        <f>IFERROR(__xludf.DUMMYFUNCTION("""COMPUTED_VALUE"""),0.0062)</f>
        <v>0.0062</v>
      </c>
    </row>
    <row r="279">
      <c r="A279" s="131">
        <f>IFERROR(__xludf.DUMMYFUNCTION("""COMPUTED_VALUE"""),46186.689039351855)</f>
        <v>46186.68904</v>
      </c>
      <c r="B279" s="126">
        <f>IFERROR(__xludf.DUMMYFUNCTION("""COMPUTED_VALUE"""),46186.0)</f>
        <v>46186</v>
      </c>
      <c r="C279" s="122" t="str">
        <f>IFERROR(__xludf.DUMMYFUNCTION("""COMPUTED_VALUE"""),"MUSC")</f>
        <v>MUSC</v>
      </c>
      <c r="D279" s="122" t="str">
        <f>IFERROR(__xludf.DUMMYFUNCTION("""COMPUTED_VALUE"""),"MusicWave")</f>
        <v>MusicWave</v>
      </c>
      <c r="E279" s="122">
        <f>IFERROR(__xludf.DUMMYFUNCTION("""COMPUTED_VALUE"""),97.18)</f>
        <v>97.18</v>
      </c>
      <c r="F279" s="122">
        <f>IFERROR(__xludf.DUMMYFUNCTION("""COMPUTED_VALUE"""),0.0076)</f>
        <v>0.0076</v>
      </c>
    </row>
    <row r="280">
      <c r="A280" s="131">
        <f>IFERROR(__xludf.DUMMYFUNCTION("""COMPUTED_VALUE"""),46186.689039351855)</f>
        <v>46186.68904</v>
      </c>
      <c r="B280" s="126">
        <f>IFERROR(__xludf.DUMMYFUNCTION("""COMPUTED_VALUE"""),46186.0)</f>
        <v>46186</v>
      </c>
      <c r="C280" s="122" t="str">
        <f>IFERROR(__xludf.DUMMYFUNCTION("""COMPUTED_VALUE"""),"IDOL")</f>
        <v>IDOL</v>
      </c>
      <c r="D280" s="122" t="str">
        <f>IFERROR(__xludf.DUMMYFUNCTION("""COMPUTED_VALUE"""),"Idol Agency")</f>
        <v>Idol Agency</v>
      </c>
      <c r="E280" s="122">
        <f>IFERROR(__xludf.DUMMYFUNCTION("""COMPUTED_VALUE"""),201.0)</f>
        <v>201</v>
      </c>
      <c r="F280" s="122">
        <f>IFERROR(__xludf.DUMMYFUNCTION("""COMPUTED_VALUE"""),3.0E-4)</f>
        <v>0.0003</v>
      </c>
    </row>
    <row r="281">
      <c r="A281" s="131">
        <f>IFERROR(__xludf.DUMMYFUNCTION("""COMPUTED_VALUE"""),46186.689039351855)</f>
        <v>46186.68904</v>
      </c>
      <c r="B281" s="126">
        <f>IFERROR(__xludf.DUMMYFUNCTION("""COMPUTED_VALUE"""),46186.0)</f>
        <v>46186</v>
      </c>
      <c r="C281" s="122" t="str">
        <f>IFERROR(__xludf.DUMMYFUNCTION("""COMPUTED_VALUE"""),"MEME")</f>
        <v>MEME</v>
      </c>
      <c r="D281" s="122" t="str">
        <f>IFERROR(__xludf.DUMMYFUNCTION("""COMPUTED_VALUE"""),"Meme Media")</f>
        <v>Meme Media</v>
      </c>
      <c r="E281" s="122">
        <f>IFERROR(__xludf.DUMMYFUNCTION("""COMPUTED_VALUE"""),78.55)</f>
        <v>78.55</v>
      </c>
      <c r="F281" s="122">
        <f>IFERROR(__xludf.DUMMYFUNCTION("""COMPUTED_VALUE"""),-0.01)</f>
        <v>-0.01</v>
      </c>
    </row>
    <row r="282">
      <c r="A282" s="131">
        <f>IFERROR(__xludf.DUMMYFUNCTION("""COMPUTED_VALUE"""),46186.689039351855)</f>
        <v>46186.68904</v>
      </c>
      <c r="B282" s="126">
        <f>IFERROR(__xludf.DUMMYFUNCTION("""COMPUTED_VALUE"""),46186.0)</f>
        <v>46186</v>
      </c>
      <c r="C282" s="122" t="str">
        <f>IFERROR(__xludf.DUMMYFUNCTION("""COMPUTED_VALUE"""),"STRM")</f>
        <v>STRM</v>
      </c>
      <c r="D282" s="122" t="str">
        <f>IFERROR(__xludf.DUMMYFUNCTION("""COMPUTED_VALUE"""),"Streamly")</f>
        <v>Streamly</v>
      </c>
      <c r="E282" s="122">
        <f>IFERROR(__xludf.DUMMYFUNCTION("""COMPUTED_VALUE"""),137.29)</f>
        <v>137.29</v>
      </c>
      <c r="F282" s="122">
        <f>IFERROR(__xludf.DUMMYFUNCTION("""COMPUTED_VALUE"""),-0.0069)</f>
        <v>-0.0069</v>
      </c>
    </row>
    <row r="283">
      <c r="A283" s="131">
        <f>IFERROR(__xludf.DUMMYFUNCTION("""COMPUTED_VALUE"""),46186.689039351855)</f>
        <v>46186.68904</v>
      </c>
      <c r="B283" s="126">
        <f>IFERROR(__xludf.DUMMYFUNCTION("""COMPUTED_VALUE"""),46186.0)</f>
        <v>46186</v>
      </c>
      <c r="C283" s="122" t="str">
        <f>IFERROR(__xludf.DUMMYFUNCTION("""COMPUTED_VALUE"""),"FARM")</f>
        <v>FARM</v>
      </c>
      <c r="D283" s="122" t="str">
        <f>IFERROR(__xludf.DUMMYFUNCTION("""COMPUTED_VALUE"""),"Future Farms")</f>
        <v>Future Farms</v>
      </c>
      <c r="E283" s="122">
        <f>IFERROR(__xludf.DUMMYFUNCTION("""COMPUTED_VALUE"""),78.77)</f>
        <v>78.77</v>
      </c>
      <c r="F283" s="122">
        <f>IFERROR(__xludf.DUMMYFUNCTION("""COMPUTED_VALUE"""),-0.0022)</f>
        <v>-0.0022</v>
      </c>
    </row>
    <row r="284">
      <c r="A284" s="131">
        <f>IFERROR(__xludf.DUMMYFUNCTION("""COMPUTED_VALUE"""),46186.689039351855)</f>
        <v>46186.68904</v>
      </c>
      <c r="B284" s="126">
        <f>IFERROR(__xludf.DUMMYFUNCTION("""COMPUTED_VALUE"""),46186.0)</f>
        <v>46186</v>
      </c>
      <c r="C284" s="122" t="str">
        <f>IFERROR(__xludf.DUMMYFUNCTION("""COMPUTED_VALUE"""),"MEAT")</f>
        <v>MEAT</v>
      </c>
      <c r="D284" s="122" t="str">
        <f>IFERROR(__xludf.DUMMYFUNCTION("""COMPUTED_VALUE"""),"MeatWorks")</f>
        <v>MeatWorks</v>
      </c>
      <c r="E284" s="122">
        <f>IFERROR(__xludf.DUMMYFUNCTION("""COMPUTED_VALUE"""),101.93)</f>
        <v>101.93</v>
      </c>
      <c r="F284" s="122">
        <f>IFERROR(__xludf.DUMMYFUNCTION("""COMPUTED_VALUE"""),-0.0056)</f>
        <v>-0.0056</v>
      </c>
    </row>
    <row r="285">
      <c r="A285" s="131">
        <f>IFERROR(__xludf.DUMMYFUNCTION("""COMPUTED_VALUE"""),46186.689039351855)</f>
        <v>46186.68904</v>
      </c>
      <c r="B285" s="126">
        <f>IFERROR(__xludf.DUMMYFUNCTION("""COMPUTED_VALUE"""),46186.0)</f>
        <v>46186</v>
      </c>
      <c r="C285" s="122" t="str">
        <f>IFERROR(__xludf.DUMMYFUNCTION("""COMPUTED_VALUE"""),"VEGI")</f>
        <v>VEGI</v>
      </c>
      <c r="D285" s="122" t="str">
        <f>IFERROR(__xludf.DUMMYFUNCTION("""COMPUTED_VALUE"""),"Green Basket")</f>
        <v>Green Basket</v>
      </c>
      <c r="E285" s="122">
        <f>IFERROR(__xludf.DUMMYFUNCTION("""COMPUTED_VALUE"""),83.96)</f>
        <v>83.96</v>
      </c>
      <c r="F285" s="122">
        <f>IFERROR(__xludf.DUMMYFUNCTION("""COMPUTED_VALUE"""),4.0E-4)</f>
        <v>0.0004</v>
      </c>
    </row>
    <row r="286">
      <c r="A286" s="131">
        <f>IFERROR(__xludf.DUMMYFUNCTION("""COMPUTED_VALUE"""),46186.689039351855)</f>
        <v>46186.68904</v>
      </c>
      <c r="B286" s="126">
        <f>IFERROR(__xludf.DUMMYFUNCTION("""COMPUTED_VALUE"""),46186.0)</f>
        <v>46186</v>
      </c>
      <c r="C286" s="122" t="str">
        <f>IFERROR(__xludf.DUMMYFUNCTION("""COMPUTED_VALUE"""),"CAFE")</f>
        <v>CAFE</v>
      </c>
      <c r="D286" s="122" t="str">
        <f>IFERROR(__xludf.DUMMYFUNCTION("""COMPUTED_VALUE"""),"Cafe Cloud")</f>
        <v>Cafe Cloud</v>
      </c>
      <c r="E286" s="122">
        <f>IFERROR(__xludf.DUMMYFUNCTION("""COMPUTED_VALUE"""),97.54)</f>
        <v>97.54</v>
      </c>
      <c r="F286" s="122">
        <f>IFERROR(__xludf.DUMMYFUNCTION("""COMPUTED_VALUE"""),0.0)</f>
        <v>0</v>
      </c>
    </row>
    <row r="287">
      <c r="A287" s="131">
        <f>IFERROR(__xludf.DUMMYFUNCTION("""COMPUTED_VALUE"""),46186.689039351855)</f>
        <v>46186.68904</v>
      </c>
      <c r="B287" s="126">
        <f>IFERROR(__xludf.DUMMYFUNCTION("""COMPUTED_VALUE"""),46186.0)</f>
        <v>46186</v>
      </c>
      <c r="C287" s="122" t="str">
        <f>IFERROR(__xludf.DUMMYFUNCTION("""COMPUTED_VALUE"""),"BAKE")</f>
        <v>BAKE</v>
      </c>
      <c r="D287" s="122" t="str">
        <f>IFERROR(__xludf.DUMMYFUNCTION("""COMPUTED_VALUE"""),"BakeHouse")</f>
        <v>BakeHouse</v>
      </c>
      <c r="E287" s="122">
        <f>IFERROR(__xludf.DUMMYFUNCTION("""COMPUTED_VALUE"""),101.02)</f>
        <v>101.02</v>
      </c>
      <c r="F287" s="122">
        <f>IFERROR(__xludf.DUMMYFUNCTION("""COMPUTED_VALUE"""),-3.0E-4)</f>
        <v>-0.0003</v>
      </c>
    </row>
    <row r="288">
      <c r="A288" s="131">
        <f>IFERROR(__xludf.DUMMYFUNCTION("""COMPUTED_VALUE"""),46186.689039351855)</f>
        <v>46186.68904</v>
      </c>
      <c r="B288" s="126">
        <f>IFERROR(__xludf.DUMMYFUNCTION("""COMPUTED_VALUE"""),46186.0)</f>
        <v>46186</v>
      </c>
      <c r="C288" s="122" t="str">
        <f>IFERROR(__xludf.DUMMYFUNCTION("""COMPUTED_VALUE"""),"OILX")</f>
        <v>OILX</v>
      </c>
      <c r="D288" s="122" t="str">
        <f>IFERROR(__xludf.DUMMYFUNCTION("""COMPUTED_VALUE"""),"OilMax Energy")</f>
        <v>OilMax Energy</v>
      </c>
      <c r="E288" s="122">
        <f>IFERROR(__xludf.DUMMYFUNCTION("""COMPUTED_VALUE"""),133.56)</f>
        <v>133.56</v>
      </c>
      <c r="F288" s="122">
        <f>IFERROR(__xludf.DUMMYFUNCTION("""COMPUTED_VALUE"""),-0.0042)</f>
        <v>-0.0042</v>
      </c>
    </row>
    <row r="289">
      <c r="A289" s="131">
        <f>IFERROR(__xludf.DUMMYFUNCTION("""COMPUTED_VALUE"""),46186.689039351855)</f>
        <v>46186.68904</v>
      </c>
      <c r="B289" s="126">
        <f>IFERROR(__xludf.DUMMYFUNCTION("""COMPUTED_VALUE"""),46186.0)</f>
        <v>46186</v>
      </c>
      <c r="C289" s="122" t="str">
        <f>IFERROR(__xludf.DUMMYFUNCTION("""COMPUTED_VALUE"""),"SOLR")</f>
        <v>SOLR</v>
      </c>
      <c r="D289" s="122" t="str">
        <f>IFERROR(__xludf.DUMMYFUNCTION("""COMPUTED_VALUE"""),"SolarSpark")</f>
        <v>SolarSpark</v>
      </c>
      <c r="E289" s="122">
        <f>IFERROR(__xludf.DUMMYFUNCTION("""COMPUTED_VALUE"""),83.52)</f>
        <v>83.52</v>
      </c>
      <c r="F289" s="122">
        <f>IFERROR(__xludf.DUMMYFUNCTION("""COMPUTED_VALUE"""),-0.0054)</f>
        <v>-0.0054</v>
      </c>
    </row>
    <row r="290">
      <c r="A290" s="131">
        <f>IFERROR(__xludf.DUMMYFUNCTION("""COMPUTED_VALUE"""),46186.689039351855)</f>
        <v>46186.68904</v>
      </c>
      <c r="B290" s="126">
        <f>IFERROR(__xludf.DUMMYFUNCTION("""COMPUTED_VALUE"""),46186.0)</f>
        <v>46186</v>
      </c>
      <c r="C290" s="122" t="str">
        <f>IFERROR(__xludf.DUMMYFUNCTION("""COMPUTED_VALUE"""),"BATT")</f>
        <v>BATT</v>
      </c>
      <c r="D290" s="122" t="str">
        <f>IFERROR(__xludf.DUMMYFUNCTION("""COMPUTED_VALUE"""),"BatteryBox")</f>
        <v>BatteryBox</v>
      </c>
      <c r="E290" s="122">
        <f>IFERROR(__xludf.DUMMYFUNCTION("""COMPUTED_VALUE"""),115.18)</f>
        <v>115.18</v>
      </c>
      <c r="F290" s="122">
        <f>IFERROR(__xludf.DUMMYFUNCTION("""COMPUTED_VALUE"""),-0.009)</f>
        <v>-0.009</v>
      </c>
    </row>
    <row r="291">
      <c r="A291" s="131">
        <f>IFERROR(__xludf.DUMMYFUNCTION("""COMPUTED_VALUE"""),46186.689039351855)</f>
        <v>46186.68904</v>
      </c>
      <c r="B291" s="126">
        <f>IFERROR(__xludf.DUMMYFUNCTION("""COMPUTED_VALUE"""),46186.0)</f>
        <v>46186</v>
      </c>
      <c r="C291" s="122" t="str">
        <f>IFERROR(__xludf.DUMMYFUNCTION("""COMPUTED_VALUE"""),"WIND")</f>
        <v>WIND</v>
      </c>
      <c r="D291" s="122" t="str">
        <f>IFERROR(__xludf.DUMMYFUNCTION("""COMPUTED_VALUE"""),"WindWorks")</f>
        <v>WindWorks</v>
      </c>
      <c r="E291" s="122">
        <f>IFERROR(__xludf.DUMMYFUNCTION("""COMPUTED_VALUE"""),91.27)</f>
        <v>91.27</v>
      </c>
      <c r="F291" s="122">
        <f>IFERROR(__xludf.DUMMYFUNCTION("""COMPUTED_VALUE"""),0.0038)</f>
        <v>0.0038</v>
      </c>
    </row>
    <row r="292">
      <c r="A292" s="131">
        <f>IFERROR(__xludf.DUMMYFUNCTION("""COMPUTED_VALUE"""),46186.689039351855)</f>
        <v>46186.68904</v>
      </c>
      <c r="B292" s="126">
        <f>IFERROR(__xludf.DUMMYFUNCTION("""COMPUTED_VALUE"""),46186.0)</f>
        <v>46186</v>
      </c>
      <c r="C292" s="122" t="str">
        <f>IFERROR(__xludf.DUMMYFUNCTION("""COMPUTED_VALUE"""),"GRID")</f>
        <v>GRID</v>
      </c>
      <c r="D292" s="122" t="str">
        <f>IFERROR(__xludf.DUMMYFUNCTION("""COMPUTED_VALUE"""),"GridPower")</f>
        <v>GridPower</v>
      </c>
      <c r="E292" s="122">
        <f>IFERROR(__xludf.DUMMYFUNCTION("""COMPUTED_VALUE"""),146.25)</f>
        <v>146.25</v>
      </c>
      <c r="F292" s="122">
        <f>IFERROR(__xludf.DUMMYFUNCTION("""COMPUTED_VALUE"""),0.0029)</f>
        <v>0.0029</v>
      </c>
    </row>
    <row r="293">
      <c r="A293" s="131">
        <f>IFERROR(__xludf.DUMMYFUNCTION("""COMPUTED_VALUE"""),46186.689039351855)</f>
        <v>46186.68904</v>
      </c>
      <c r="B293" s="126">
        <f>IFERROR(__xludf.DUMMYFUNCTION("""COMPUTED_VALUE"""),46186.0)</f>
        <v>46186</v>
      </c>
      <c r="C293" s="122" t="str">
        <f>IFERROR(__xludf.DUMMYFUNCTION("""COMPUTED_VALUE"""),"HOME")</f>
        <v>HOME</v>
      </c>
      <c r="D293" s="122" t="str">
        <f>IFERROR(__xludf.DUMMYFUNCTION("""COMPUTED_VALUE"""),"HomeHub")</f>
        <v>HomeHub</v>
      </c>
      <c r="E293" s="122">
        <f>IFERROR(__xludf.DUMMYFUNCTION("""COMPUTED_VALUE"""),146.17)</f>
        <v>146.17</v>
      </c>
      <c r="F293" s="122">
        <f>IFERROR(__xludf.DUMMYFUNCTION("""COMPUTED_VALUE"""),-0.0027)</f>
        <v>-0.0027</v>
      </c>
    </row>
    <row r="294">
      <c r="A294" s="131">
        <f>IFERROR(__xludf.DUMMYFUNCTION("""COMPUTED_VALUE"""),46186.689039351855)</f>
        <v>46186.68904</v>
      </c>
      <c r="B294" s="126">
        <f>IFERROR(__xludf.DUMMYFUNCTION("""COMPUTED_VALUE"""),46186.0)</f>
        <v>46186</v>
      </c>
      <c r="C294" s="122" t="str">
        <f>IFERROR(__xludf.DUMMYFUNCTION("""COMPUTED_VALUE"""),"RENT")</f>
        <v>RENT</v>
      </c>
      <c r="D294" s="122" t="str">
        <f>IFERROR(__xludf.DUMMYFUNCTION("""COMPUTED_VALUE"""),"RentRight")</f>
        <v>RentRight</v>
      </c>
      <c r="E294" s="122">
        <f>IFERROR(__xludf.DUMMYFUNCTION("""COMPUTED_VALUE"""),95.53)</f>
        <v>95.53</v>
      </c>
      <c r="F294" s="122">
        <f>IFERROR(__xludf.DUMMYFUNCTION("""COMPUTED_VALUE"""),0.0021)</f>
        <v>0.0021</v>
      </c>
    </row>
    <row r="295">
      <c r="A295" s="131">
        <f>IFERROR(__xludf.DUMMYFUNCTION("""COMPUTED_VALUE"""),46186.689039351855)</f>
        <v>46186.68904</v>
      </c>
      <c r="B295" s="126">
        <f>IFERROR(__xludf.DUMMYFUNCTION("""COMPUTED_VALUE"""),46186.0)</f>
        <v>46186</v>
      </c>
      <c r="C295" s="122" t="str">
        <f>IFERROR(__xludf.DUMMYFUNCTION("""COMPUTED_VALUE"""),"MALL")</f>
        <v>MALL</v>
      </c>
      <c r="D295" s="122" t="str">
        <f>IFERROR(__xludf.DUMMYFUNCTION("""COMPUTED_VALUE"""),"MegaMall")</f>
        <v>MegaMall</v>
      </c>
      <c r="E295" s="122">
        <f>IFERROR(__xludf.DUMMYFUNCTION("""COMPUTED_VALUE"""),93.96)</f>
        <v>93.96</v>
      </c>
      <c r="F295" s="122">
        <f>IFERROR(__xludf.DUMMYFUNCTION("""COMPUTED_VALUE"""),-2.0E-4)</f>
        <v>-0.0002</v>
      </c>
    </row>
    <row r="296">
      <c r="A296" s="131">
        <f>IFERROR(__xludf.DUMMYFUNCTION("""COMPUTED_VALUE"""),46186.689039351855)</f>
        <v>46186.68904</v>
      </c>
      <c r="B296" s="126">
        <f>IFERROR(__xludf.DUMMYFUNCTION("""COMPUTED_VALUE"""),46186.0)</f>
        <v>46186</v>
      </c>
      <c r="C296" s="122" t="str">
        <f>IFERROR(__xludf.DUMMYFUNCTION("""COMPUTED_VALUE"""),"HOTL")</f>
        <v>HOTL</v>
      </c>
      <c r="D296" s="122" t="str">
        <f>IFERROR(__xludf.DUMMYFUNCTION("""COMPUTED_VALUE"""),"HotelHive")</f>
        <v>HotelHive</v>
      </c>
      <c r="E296" s="122">
        <f>IFERROR(__xludf.DUMMYFUNCTION("""COMPUTED_VALUE"""),131.96)</f>
        <v>131.96</v>
      </c>
      <c r="F296" s="122">
        <f>IFERROR(__xludf.DUMMYFUNCTION("""COMPUTED_VALUE"""),-0.0077)</f>
        <v>-0.0077</v>
      </c>
    </row>
    <row r="297">
      <c r="A297" s="131">
        <f>IFERROR(__xludf.DUMMYFUNCTION("""COMPUTED_VALUE"""),46186.689039351855)</f>
        <v>46186.68904</v>
      </c>
      <c r="B297" s="126">
        <f>IFERROR(__xludf.DUMMYFUNCTION("""COMPUTED_VALUE"""),46186.0)</f>
        <v>46186</v>
      </c>
      <c r="C297" s="122" t="str">
        <f>IFERROR(__xludf.DUMMYFUNCTION("""COMPUTED_VALUE"""),"LAND")</f>
        <v>LAND</v>
      </c>
      <c r="D297" s="122" t="str">
        <f>IFERROR(__xludf.DUMMYFUNCTION("""COMPUTED_VALUE"""),"LandLink")</f>
        <v>LandLink</v>
      </c>
      <c r="E297" s="122">
        <f>IFERROR(__xludf.DUMMYFUNCTION("""COMPUTED_VALUE"""),180.56)</f>
        <v>180.56</v>
      </c>
      <c r="F297" s="122">
        <f>IFERROR(__xludf.DUMMYFUNCTION("""COMPUTED_VALUE"""),0.0016)</f>
        <v>0.0016</v>
      </c>
    </row>
    <row r="298">
      <c r="A298" s="131">
        <f>IFERROR(__xludf.DUMMYFUNCTION("""COMPUTED_VALUE"""),46186.689039351855)</f>
        <v>46186.68904</v>
      </c>
      <c r="B298" s="126">
        <f>IFERROR(__xludf.DUMMYFUNCTION("""COMPUTED_VALUE"""),46186.0)</f>
        <v>46186</v>
      </c>
      <c r="C298" s="122" t="str">
        <f>IFERROR(__xludf.DUMMYFUNCTION("""COMPUTED_VALUE"""),"CARS")</f>
        <v>CARS</v>
      </c>
      <c r="D298" s="122" t="str">
        <f>IFERROR(__xludf.DUMMYFUNCTION("""COMPUTED_VALUE"""),"AutoArena")</f>
        <v>AutoArena</v>
      </c>
      <c r="E298" s="122">
        <f>IFERROR(__xludf.DUMMYFUNCTION("""COMPUTED_VALUE"""),81.23)</f>
        <v>81.23</v>
      </c>
      <c r="F298" s="122">
        <f>IFERROR(__xludf.DUMMYFUNCTION("""COMPUTED_VALUE"""),0.0064)</f>
        <v>0.0064</v>
      </c>
    </row>
    <row r="299">
      <c r="A299" s="131">
        <f>IFERROR(__xludf.DUMMYFUNCTION("""COMPUTED_VALUE"""),46186.689039351855)</f>
        <v>46186.68904</v>
      </c>
      <c r="B299" s="126">
        <f>IFERROR(__xludf.DUMMYFUNCTION("""COMPUTED_VALUE"""),46186.0)</f>
        <v>46186</v>
      </c>
      <c r="C299" s="122" t="str">
        <f>IFERROR(__xludf.DUMMYFUNCTION("""COMPUTED_VALUE"""),"EVGO")</f>
        <v>EVGO</v>
      </c>
      <c r="D299" s="122" t="str">
        <f>IFERROR(__xludf.DUMMYFUNCTION("""COMPUTED_VALUE"""),"EVGo Motors")</f>
        <v>EVGo Motors</v>
      </c>
      <c r="E299" s="122">
        <f>IFERROR(__xludf.DUMMYFUNCTION("""COMPUTED_VALUE"""),197.6)</f>
        <v>197.6</v>
      </c>
      <c r="F299" s="122">
        <f>IFERROR(__xludf.DUMMYFUNCTION("""COMPUTED_VALUE"""),-0.0106)</f>
        <v>-0.0106</v>
      </c>
    </row>
    <row r="300">
      <c r="A300" s="131">
        <f>IFERROR(__xludf.DUMMYFUNCTION("""COMPUTED_VALUE"""),46186.689039351855)</f>
        <v>46186.68904</v>
      </c>
      <c r="B300" s="126">
        <f>IFERROR(__xludf.DUMMYFUNCTION("""COMPUTED_VALUE"""),46186.0)</f>
        <v>46186</v>
      </c>
      <c r="C300" s="122" t="str">
        <f>IFERROR(__xludf.DUMMYFUNCTION("""COMPUTED_VALUE"""),"TIRE")</f>
        <v>TIRE</v>
      </c>
      <c r="D300" s="122" t="str">
        <f>IFERROR(__xludf.DUMMYFUNCTION("""COMPUTED_VALUE"""),"TireTown")</f>
        <v>TireTown</v>
      </c>
      <c r="E300" s="122">
        <f>IFERROR(__xludf.DUMMYFUNCTION("""COMPUTED_VALUE"""),84.22)</f>
        <v>84.22</v>
      </c>
      <c r="F300" s="122">
        <f>IFERROR(__xludf.DUMMYFUNCTION("""COMPUTED_VALUE"""),0.0039)</f>
        <v>0.0039</v>
      </c>
    </row>
    <row r="301">
      <c r="A301" s="131">
        <f>IFERROR(__xludf.DUMMYFUNCTION("""COMPUTED_VALUE"""),46186.689039351855)</f>
        <v>46186.68904</v>
      </c>
      <c r="B301" s="126">
        <f>IFERROR(__xludf.DUMMYFUNCTION("""COMPUTED_VALUE"""),46186.0)</f>
        <v>46186</v>
      </c>
      <c r="C301" s="122" t="str">
        <f>IFERROR(__xludf.DUMMYFUNCTION("""COMPUTED_VALUE"""),"BIKE")</f>
        <v>BIKE</v>
      </c>
      <c r="D301" s="122" t="str">
        <f>IFERROR(__xludf.DUMMYFUNCTION("""COMPUTED_VALUE"""),"BikeBox")</f>
        <v>BikeBox</v>
      </c>
      <c r="E301" s="122">
        <f>IFERROR(__xludf.DUMMYFUNCTION("""COMPUTED_VALUE"""),55.18)</f>
        <v>55.18</v>
      </c>
      <c r="F301" s="122">
        <f>IFERROR(__xludf.DUMMYFUNCTION("""COMPUTED_VALUE"""),-0.0045)</f>
        <v>-0.0045</v>
      </c>
    </row>
    <row r="302">
      <c r="A302" s="131">
        <f>IFERROR(__xludf.DUMMYFUNCTION("""COMPUTED_VALUE"""),46186.689039351855)</f>
        <v>46186.68904</v>
      </c>
      <c r="B302" s="126">
        <f>IFERROR(__xludf.DUMMYFUNCTION("""COMPUTED_VALUE"""),46186.0)</f>
        <v>46186</v>
      </c>
      <c r="C302" s="122" t="str">
        <f>IFERROR(__xludf.DUMMYFUNCTION("""COMPUTED_VALUE"""),"WASH")</f>
        <v>WASH</v>
      </c>
      <c r="D302" s="122" t="str">
        <f>IFERROR(__xludf.DUMMYFUNCTION("""COMPUTED_VALUE"""),"CarWash Co")</f>
        <v>CarWash Co</v>
      </c>
      <c r="E302" s="122">
        <f>IFERROR(__xludf.DUMMYFUNCTION("""COMPUTED_VALUE"""),116.91)</f>
        <v>116.91</v>
      </c>
      <c r="F302" s="122">
        <f>IFERROR(__xludf.DUMMYFUNCTION("""COMPUTED_VALUE"""),0.0043)</f>
        <v>0.0043</v>
      </c>
    </row>
    <row r="303">
      <c r="A303" s="131">
        <f>IFERROR(__xludf.DUMMYFUNCTION("""COMPUTED_VALUE"""),46186.689039351855)</f>
        <v>46186.68904</v>
      </c>
      <c r="B303" s="126">
        <f>IFERROR(__xludf.DUMMYFUNCTION("""COMPUTED_VALUE"""),46186.0)</f>
        <v>46186</v>
      </c>
      <c r="C303" s="122" t="str">
        <f>IFERROR(__xludf.DUMMYFUNCTION("""COMPUTED_VALUE"""),"GBND")</f>
        <v>GBND</v>
      </c>
      <c r="D303" s="122" t="str">
        <f>IFERROR(__xludf.DUMMYFUNCTION("""COMPUTED_VALUE"""),"Classroom Government Bond")</f>
        <v>Classroom Government Bond</v>
      </c>
      <c r="E303" s="122">
        <f>IFERROR(__xludf.DUMMYFUNCTION("""COMPUTED_VALUE"""),100.82)</f>
        <v>100.82</v>
      </c>
      <c r="F303" s="122">
        <f>IFERROR(__xludf.DUMMYFUNCTION("""COMPUTED_VALUE"""),3.0E-4)</f>
        <v>0.0003</v>
      </c>
    </row>
    <row r="304">
      <c r="A304" s="131">
        <f>IFERROR(__xludf.DUMMYFUNCTION("""COMPUTED_VALUE"""),46186.689039351855)</f>
        <v>46186.68904</v>
      </c>
      <c r="B304" s="126">
        <f>IFERROR(__xludf.DUMMYFUNCTION("""COMPUTED_VALUE"""),46186.0)</f>
        <v>46186</v>
      </c>
      <c r="C304" s="122" t="str">
        <f>IFERROR(__xludf.DUMMYFUNCTION("""COMPUTED_VALUE"""),"SBND")</f>
        <v>SBND</v>
      </c>
      <c r="D304" s="122" t="str">
        <f>IFERROR(__xludf.DUMMYFUNCTION("""COMPUTED_VALUE"""),"School Savings Bond")</f>
        <v>School Savings Bond</v>
      </c>
      <c r="E304" s="122">
        <f>IFERROR(__xludf.DUMMYFUNCTION("""COMPUTED_VALUE"""),99.23)</f>
        <v>99.23</v>
      </c>
      <c r="F304" s="122">
        <f>IFERROR(__xludf.DUMMYFUNCTION("""COMPUTED_VALUE"""),1.0E-4)</f>
        <v>0.0001</v>
      </c>
    </row>
    <row r="305">
      <c r="A305" s="131">
        <f>IFERROR(__xludf.DUMMYFUNCTION("""COMPUTED_VALUE"""),46186.689039351855)</f>
        <v>46186.68904</v>
      </c>
      <c r="B305" s="126">
        <f>IFERROR(__xludf.DUMMYFUNCTION("""COMPUTED_VALUE"""),46186.0)</f>
        <v>46186</v>
      </c>
      <c r="C305" s="122" t="str">
        <f>IFERROR(__xludf.DUMMYFUNCTION("""COMPUTED_VALUE"""),"CBND")</f>
        <v>CBND</v>
      </c>
      <c r="D305" s="122" t="str">
        <f>IFERROR(__xludf.DUMMYFUNCTION("""COMPUTED_VALUE"""),"Corporate Classroom Bond")</f>
        <v>Corporate Classroom Bond</v>
      </c>
      <c r="E305" s="122">
        <f>IFERROR(__xludf.DUMMYFUNCTION("""COMPUTED_VALUE"""),97.84)</f>
        <v>97.84</v>
      </c>
      <c r="F305" s="122">
        <f>IFERROR(__xludf.DUMMYFUNCTION("""COMPUTED_VALUE"""),-1.0E-4)</f>
        <v>-0.0001</v>
      </c>
    </row>
    <row r="306">
      <c r="A306" s="131">
        <f>IFERROR(__xludf.DUMMYFUNCTION("""COMPUTED_VALUE"""),46186.689039351855)</f>
        <v>46186.68904</v>
      </c>
      <c r="B306" s="126">
        <f>IFERROR(__xludf.DUMMYFUNCTION("""COMPUTED_VALUE"""),46186.0)</f>
        <v>46186</v>
      </c>
      <c r="C306" s="122" t="str">
        <f>IFERROR(__xludf.DUMMYFUNCTION("""COMPUTED_VALUE"""),"TBIL")</f>
        <v>TBIL</v>
      </c>
      <c r="D306" s="122" t="str">
        <f>IFERROR(__xludf.DUMMYFUNCTION("""COMPUTED_VALUE"""),"Treasury Bill")</f>
        <v>Treasury Bill</v>
      </c>
      <c r="E306" s="122">
        <f>IFERROR(__xludf.DUMMYFUNCTION("""COMPUTED_VALUE"""),98.04)</f>
        <v>98.04</v>
      </c>
      <c r="F306" s="122">
        <f>IFERROR(__xludf.DUMMYFUNCTION("""COMPUTED_VALUE"""),4.0E-4)</f>
        <v>0.0004</v>
      </c>
    </row>
    <row r="307">
      <c r="A307" s="131">
        <f>IFERROR(__xludf.DUMMYFUNCTION("""COMPUTED_VALUE"""),46186.689039351855)</f>
        <v>46186.68904</v>
      </c>
      <c r="B307" s="126">
        <f>IFERROR(__xludf.DUMMYFUNCTION("""COMPUTED_VALUE"""),46186.0)</f>
        <v>46186</v>
      </c>
      <c r="C307" s="122" t="str">
        <f>IFERROR(__xludf.DUMMYFUNCTION("""COMPUTED_VALUE"""),"IBND")</f>
        <v>IBND</v>
      </c>
      <c r="D307" s="122" t="str">
        <f>IFERROR(__xludf.DUMMYFUNCTION("""COMPUTED_VALUE"""),"Inflation Protected Bond")</f>
        <v>Inflation Protected Bond</v>
      </c>
      <c r="E307" s="122">
        <f>IFERROR(__xludf.DUMMYFUNCTION("""COMPUTED_VALUE"""),100.58)</f>
        <v>100.58</v>
      </c>
      <c r="F307" s="122">
        <f>IFERROR(__xludf.DUMMYFUNCTION("""COMPUTED_VALUE"""),3.0E-4)</f>
        <v>0.0003</v>
      </c>
    </row>
    <row r="308">
      <c r="A308" s="131">
        <f>IFERROR(__xludf.DUMMYFUNCTION("""COMPUTED_VALUE"""),46186.690474537034)</f>
        <v>46186.69047</v>
      </c>
      <c r="B308" s="126">
        <f>IFERROR(__xludf.DUMMYFUNCTION("""COMPUTED_VALUE"""),46186.0)</f>
        <v>46186</v>
      </c>
      <c r="C308" s="130">
        <f>IFERROR(__xludf.DUMMYFUNCTION("""COMPUTED_VALUE"""),0.690474537037037)</f>
        <v>0.690474537</v>
      </c>
      <c r="D308" s="122" t="str">
        <f>IFERROR(__xludf.DUMMYFUNCTION("""COMPUTED_VALUE"""),"SNAX")</f>
        <v>SNAX</v>
      </c>
      <c r="E308" s="122" t="str">
        <f>IFERROR(__xludf.DUMMYFUNCTION("""COMPUTED_VALUE"""),"MICA Snacks")</f>
        <v>MICA Snacks</v>
      </c>
      <c r="F308" s="122" t="str">
        <f>IFERROR(__xludf.DUMMYFUNCTION("""COMPUTED_VALUE"""),"Consumer Goods")</f>
        <v>Consumer Goods</v>
      </c>
    </row>
    <row r="309">
      <c r="A309" s="131">
        <f>IFERROR(__xludf.DUMMYFUNCTION("""COMPUTED_VALUE"""),46186.690474537034)</f>
        <v>46186.69047</v>
      </c>
      <c r="B309" s="126">
        <f>IFERROR(__xludf.DUMMYFUNCTION("""COMPUTED_VALUE"""),46186.0)</f>
        <v>46186</v>
      </c>
      <c r="C309" s="130">
        <f>IFERROR(__xludf.DUMMYFUNCTION("""COMPUTED_VALUE"""),0.690474537037037)</f>
        <v>0.690474537</v>
      </c>
      <c r="D309" s="122" t="str">
        <f>IFERROR(__xludf.DUMMYFUNCTION("""COMPUTED_VALUE"""),"RAMN")</f>
        <v>RAMN</v>
      </c>
      <c r="E309" s="122" t="str">
        <f>IFERROR(__xludf.DUMMYFUNCTION("""COMPUTED_VALUE"""),"Ramen Republic")</f>
        <v>Ramen Republic</v>
      </c>
      <c r="F309" s="122" t="str">
        <f>IFERROR(__xludf.DUMMYFUNCTION("""COMPUTED_VALUE"""),"Food")</f>
        <v>Food</v>
      </c>
    </row>
    <row r="310">
      <c r="A310" s="131">
        <f>IFERROR(__xludf.DUMMYFUNCTION("""COMPUTED_VALUE"""),46186.690474537034)</f>
        <v>46186.69047</v>
      </c>
      <c r="B310" s="126">
        <f>IFERROR(__xludf.DUMMYFUNCTION("""COMPUTED_VALUE"""),46186.0)</f>
        <v>46186</v>
      </c>
      <c r="C310" s="130">
        <f>IFERROR(__xludf.DUMMYFUNCTION("""COMPUTED_VALUE"""),0.690474537037037)</f>
        <v>0.690474537</v>
      </c>
      <c r="D310" s="122" t="str">
        <f>IFERROR(__xludf.DUMMYFUNCTION("""COMPUTED_VALUE"""),"COLA")</f>
        <v>COLA</v>
      </c>
      <c r="E310" s="122" t="str">
        <f>IFERROR(__xludf.DUMMYFUNCTION("""COMPUTED_VALUE"""),"K-Pop Cola")</f>
        <v>K-Pop Cola</v>
      </c>
      <c r="F310" s="122" t="str">
        <f>IFERROR(__xludf.DUMMYFUNCTION("""COMPUTED_VALUE"""),"Beverage")</f>
        <v>Beverage</v>
      </c>
    </row>
    <row r="311">
      <c r="A311" s="131">
        <f>IFERROR(__xludf.DUMMYFUNCTION("""COMPUTED_VALUE"""),46186.690474537034)</f>
        <v>46186.69047</v>
      </c>
      <c r="B311" s="126">
        <f>IFERROR(__xludf.DUMMYFUNCTION("""COMPUTED_VALUE"""),46186.0)</f>
        <v>46186</v>
      </c>
      <c r="C311" s="130">
        <f>IFERROR(__xludf.DUMMYFUNCTION("""COMPUTED_VALUE"""),0.690474537037037)</f>
        <v>0.690474537</v>
      </c>
      <c r="D311" s="122" t="str">
        <f>IFERROR(__xludf.DUMMYFUNCTION("""COMPUTED_VALUE"""),"CHIP")</f>
        <v>CHIP</v>
      </c>
      <c r="E311" s="122" t="str">
        <f>IFERROR(__xludf.DUMMYFUNCTION("""COMPUTED_VALUE"""),"Chip Empire")</f>
        <v>Chip Empire</v>
      </c>
      <c r="F311" s="122" t="str">
        <f>IFERROR(__xludf.DUMMYFUNCTION("""COMPUTED_VALUE"""),"Consumer Goods")</f>
        <v>Consumer Goods</v>
      </c>
    </row>
    <row r="312">
      <c r="A312" s="131">
        <f>IFERROR(__xludf.DUMMYFUNCTION("""COMPUTED_VALUE"""),46186.690474537034)</f>
        <v>46186.69047</v>
      </c>
      <c r="B312" s="126">
        <f>IFERROR(__xludf.DUMMYFUNCTION("""COMPUTED_VALUE"""),46186.0)</f>
        <v>46186</v>
      </c>
      <c r="C312" s="130">
        <f>IFERROR(__xludf.DUMMYFUNCTION("""COMPUTED_VALUE"""),0.690474537037037)</f>
        <v>0.690474537</v>
      </c>
      <c r="D312" s="122" t="str">
        <f>IFERROR(__xludf.DUMMYFUNCTION("""COMPUTED_VALUE"""),"CAND")</f>
        <v>CAND</v>
      </c>
      <c r="E312" s="122" t="str">
        <f>IFERROR(__xludf.DUMMYFUNCTION("""COMPUTED_VALUE"""),"Candy Capital")</f>
        <v>Candy Capital</v>
      </c>
      <c r="F312" s="122" t="str">
        <f>IFERROR(__xludf.DUMMYFUNCTION("""COMPUTED_VALUE"""),"Consumer Goods")</f>
        <v>Consumer Goods</v>
      </c>
    </row>
    <row r="313">
      <c r="A313" s="131">
        <f>IFERROR(__xludf.DUMMYFUNCTION("""COMPUTED_VALUE"""),46186.690474537034)</f>
        <v>46186.69047</v>
      </c>
      <c r="B313" s="126">
        <f>IFERROR(__xludf.DUMMYFUNCTION("""COMPUTED_VALUE"""),46186.0)</f>
        <v>46186</v>
      </c>
      <c r="C313" s="130">
        <f>IFERROR(__xludf.DUMMYFUNCTION("""COMPUTED_VALUE"""),0.690474537037037)</f>
        <v>0.690474537</v>
      </c>
      <c r="D313" s="122" t="str">
        <f>IFERROR(__xludf.DUMMYFUNCTION("""COMPUTED_VALUE"""),"TECH")</f>
        <v>TECH</v>
      </c>
      <c r="E313" s="122" t="str">
        <f>IFERROR(__xludf.DUMMYFUNCTION("""COMPUTED_VALUE"""),"Dragon Tech")</f>
        <v>Dragon Tech</v>
      </c>
      <c r="F313" s="122" t="str">
        <f>IFERROR(__xludf.DUMMYFUNCTION("""COMPUTED_VALUE"""),"Technology")</f>
        <v>Technology</v>
      </c>
    </row>
    <row r="314">
      <c r="A314" s="131">
        <f>IFERROR(__xludf.DUMMYFUNCTION("""COMPUTED_VALUE"""),46186.690474537034)</f>
        <v>46186.69047</v>
      </c>
      <c r="B314" s="126">
        <f>IFERROR(__xludf.DUMMYFUNCTION("""COMPUTED_VALUE"""),46186.0)</f>
        <v>46186</v>
      </c>
      <c r="C314" s="130">
        <f>IFERROR(__xludf.DUMMYFUNCTION("""COMPUTED_VALUE"""),0.690474537037037)</f>
        <v>0.690474537</v>
      </c>
      <c r="D314" s="122" t="str">
        <f>IFERROR(__xludf.DUMMYFUNCTION("""COMPUTED_VALUE"""),"AIBO")</f>
        <v>AIBO</v>
      </c>
      <c r="E314" s="122" t="str">
        <f>IFERROR(__xludf.DUMMYFUNCTION("""COMPUTED_VALUE"""),"Homework AI")</f>
        <v>Homework AI</v>
      </c>
      <c r="F314" s="122" t="str">
        <f>IFERROR(__xludf.DUMMYFUNCTION("""COMPUTED_VALUE"""),"Technology")</f>
        <v>Technology</v>
      </c>
    </row>
    <row r="315">
      <c r="A315" s="131">
        <f>IFERROR(__xludf.DUMMYFUNCTION("""COMPUTED_VALUE"""),46186.690474537034)</f>
        <v>46186.69047</v>
      </c>
      <c r="B315" s="126">
        <f>IFERROR(__xludf.DUMMYFUNCTION("""COMPUTED_VALUE"""),46186.0)</f>
        <v>46186</v>
      </c>
      <c r="C315" s="130">
        <f>IFERROR(__xludf.DUMMYFUNCTION("""COMPUTED_VALUE"""),0.690474537037037)</f>
        <v>0.690474537</v>
      </c>
      <c r="D315" s="122" t="str">
        <f>IFERROR(__xludf.DUMMYFUNCTION("""COMPUTED_VALUE"""),"GAME")</f>
        <v>GAME</v>
      </c>
      <c r="E315" s="122" t="str">
        <f>IFERROR(__xludf.DUMMYFUNCTION("""COMPUTED_VALUE"""),"GameBox Media")</f>
        <v>GameBox Media</v>
      </c>
      <c r="F315" s="122" t="str">
        <f>IFERROR(__xludf.DUMMYFUNCTION("""COMPUTED_VALUE"""),"Entertainment")</f>
        <v>Entertainment</v>
      </c>
    </row>
    <row r="316">
      <c r="A316" s="131">
        <f>IFERROR(__xludf.DUMMYFUNCTION("""COMPUTED_VALUE"""),46186.690474537034)</f>
        <v>46186.69047</v>
      </c>
      <c r="B316" s="126">
        <f>IFERROR(__xludf.DUMMYFUNCTION("""COMPUTED_VALUE"""),46186.0)</f>
        <v>46186</v>
      </c>
      <c r="C316" s="130">
        <f>IFERROR(__xludf.DUMMYFUNCTION("""COMPUTED_VALUE"""),0.690474537037037)</f>
        <v>0.690474537</v>
      </c>
      <c r="D316" s="122" t="str">
        <f>IFERROR(__xludf.DUMMYFUNCTION("""COMPUTED_VALUE"""),"VRSE")</f>
        <v>VRSE</v>
      </c>
      <c r="E316" s="122" t="str">
        <f>IFERROR(__xludf.DUMMYFUNCTION("""COMPUTED_VALUE"""),"VerseVR")</f>
        <v>VerseVR</v>
      </c>
      <c r="F316" s="122" t="str">
        <f>IFERROR(__xludf.DUMMYFUNCTION("""COMPUTED_VALUE"""),"Technology")</f>
        <v>Technology</v>
      </c>
    </row>
    <row r="317">
      <c r="A317" s="131">
        <f>IFERROR(__xludf.DUMMYFUNCTION("""COMPUTED_VALUE"""),46186.690474537034)</f>
        <v>46186.69047</v>
      </c>
      <c r="B317" s="126">
        <f>IFERROR(__xludf.DUMMYFUNCTION("""COMPUTED_VALUE"""),46186.0)</f>
        <v>46186</v>
      </c>
      <c r="C317" s="130">
        <f>IFERROR(__xludf.DUMMYFUNCTION("""COMPUTED_VALUE"""),0.690474537037037)</f>
        <v>0.690474537</v>
      </c>
      <c r="D317" s="122" t="str">
        <f>IFERROR(__xludf.DUMMYFUNCTION("""COMPUTED_VALUE"""),"BYTE")</f>
        <v>BYTE</v>
      </c>
      <c r="E317" s="122" t="str">
        <f>IFERROR(__xludf.DUMMYFUNCTION("""COMPUTED_VALUE"""),"ByteWorks")</f>
        <v>ByteWorks</v>
      </c>
      <c r="F317" s="122" t="str">
        <f>IFERROR(__xludf.DUMMYFUNCTION("""COMPUTED_VALUE"""),"Technology")</f>
        <v>Technology</v>
      </c>
    </row>
    <row r="318">
      <c r="A318" s="131">
        <f>IFERROR(__xludf.DUMMYFUNCTION("""COMPUTED_VALUE"""),46186.690474537034)</f>
        <v>46186.69047</v>
      </c>
      <c r="B318" s="126">
        <f>IFERROR(__xludf.DUMMYFUNCTION("""COMPUTED_VALUE"""),46186.0)</f>
        <v>46186</v>
      </c>
      <c r="C318" s="130">
        <f>IFERROR(__xludf.DUMMYFUNCTION("""COMPUTED_VALUE"""),0.690474537037037)</f>
        <v>0.690474537</v>
      </c>
      <c r="D318" s="122" t="str">
        <f>IFERROR(__xludf.DUMMYFUNCTION("""COMPUTED_VALUE"""),"BANK")</f>
        <v>BANK</v>
      </c>
      <c r="E318" s="122" t="str">
        <f>IFERROR(__xludf.DUMMYFUNCTION("""COMPUTED_VALUE"""),"Tiger Bank")</f>
        <v>Tiger Bank</v>
      </c>
      <c r="F318" s="122" t="str">
        <f>IFERROR(__xludf.DUMMYFUNCTION("""COMPUTED_VALUE"""),"Finance")</f>
        <v>Finance</v>
      </c>
    </row>
    <row r="319">
      <c r="A319" s="131">
        <f>IFERROR(__xludf.DUMMYFUNCTION("""COMPUTED_VALUE"""),46186.690474537034)</f>
        <v>46186.69047</v>
      </c>
      <c r="B319" s="126">
        <f>IFERROR(__xludf.DUMMYFUNCTION("""COMPUTED_VALUE"""),46186.0)</f>
        <v>46186</v>
      </c>
      <c r="C319" s="130">
        <f>IFERROR(__xludf.DUMMYFUNCTION("""COMPUTED_VALUE"""),0.690474537037037)</f>
        <v>0.690474537</v>
      </c>
      <c r="D319" s="122" t="str">
        <f>IFERROR(__xludf.DUMMYFUNCTION("""COMPUTED_VALUE"""),"CRED")</f>
        <v>CRED</v>
      </c>
      <c r="E319" s="122" t="str">
        <f>IFERROR(__xludf.DUMMYFUNCTION("""COMPUTED_VALUE"""),"Credit Castle")</f>
        <v>Credit Castle</v>
      </c>
      <c r="F319" s="122" t="str">
        <f>IFERROR(__xludf.DUMMYFUNCTION("""COMPUTED_VALUE"""),"Finance")</f>
        <v>Finance</v>
      </c>
    </row>
    <row r="320">
      <c r="A320" s="131">
        <f>IFERROR(__xludf.DUMMYFUNCTION("""COMPUTED_VALUE"""),46186.690474537034)</f>
        <v>46186.69047</v>
      </c>
      <c r="B320" s="126">
        <f>IFERROR(__xludf.DUMMYFUNCTION("""COMPUTED_VALUE"""),46186.0)</f>
        <v>46186</v>
      </c>
      <c r="C320" s="130">
        <f>IFERROR(__xludf.DUMMYFUNCTION("""COMPUTED_VALUE"""),0.690474537037037)</f>
        <v>0.690474537</v>
      </c>
      <c r="D320" s="122" t="str">
        <f>IFERROR(__xludf.DUMMYFUNCTION("""COMPUTED_VALUE"""),"BOND")</f>
        <v>BOND</v>
      </c>
      <c r="E320" s="122" t="str">
        <f>IFERROR(__xludf.DUMMYFUNCTION("""COMPUTED_VALUE"""),"BondBridge")</f>
        <v>BondBridge</v>
      </c>
      <c r="F320" s="122" t="str">
        <f>IFERROR(__xludf.DUMMYFUNCTION("""COMPUTED_VALUE"""),"Finance")</f>
        <v>Finance</v>
      </c>
    </row>
    <row r="321">
      <c r="A321" s="131">
        <f>IFERROR(__xludf.DUMMYFUNCTION("""COMPUTED_VALUE"""),46186.690474537034)</f>
        <v>46186.69047</v>
      </c>
      <c r="B321" s="126">
        <f>IFERROR(__xludf.DUMMYFUNCTION("""COMPUTED_VALUE"""),46186.0)</f>
        <v>46186</v>
      </c>
      <c r="C321" s="130">
        <f>IFERROR(__xludf.DUMMYFUNCTION("""COMPUTED_VALUE"""),0.690474537037037)</f>
        <v>0.690474537</v>
      </c>
      <c r="D321" s="122" t="str">
        <f>IFERROR(__xludf.DUMMYFUNCTION("""COMPUTED_VALUE"""),"INSR")</f>
        <v>INSR</v>
      </c>
      <c r="E321" s="122" t="str">
        <f>IFERROR(__xludf.DUMMYFUNCTION("""COMPUTED_VALUE"""),"Shield Insurance")</f>
        <v>Shield Insurance</v>
      </c>
      <c r="F321" s="122" t="str">
        <f>IFERROR(__xludf.DUMMYFUNCTION("""COMPUTED_VALUE"""),"Finance")</f>
        <v>Finance</v>
      </c>
    </row>
    <row r="322">
      <c r="A322" s="131">
        <f>IFERROR(__xludf.DUMMYFUNCTION("""COMPUTED_VALUE"""),46186.690474537034)</f>
        <v>46186.69047</v>
      </c>
      <c r="B322" s="126">
        <f>IFERROR(__xludf.DUMMYFUNCTION("""COMPUTED_VALUE"""),46186.0)</f>
        <v>46186</v>
      </c>
      <c r="C322" s="130">
        <f>IFERROR(__xludf.DUMMYFUNCTION("""COMPUTED_VALUE"""),0.690474537037037)</f>
        <v>0.690474537</v>
      </c>
      <c r="D322" s="122" t="str">
        <f>IFERROR(__xludf.DUMMYFUNCTION("""COMPUTED_VALUE"""),"LOAN")</f>
        <v>LOAN</v>
      </c>
      <c r="E322" s="122" t="str">
        <f>IFERROR(__xludf.DUMMYFUNCTION("""COMPUTED_VALUE"""),"LoanLab")</f>
        <v>LoanLab</v>
      </c>
      <c r="F322" s="122" t="str">
        <f>IFERROR(__xludf.DUMMYFUNCTION("""COMPUTED_VALUE"""),"Finance")</f>
        <v>Finance</v>
      </c>
    </row>
    <row r="323">
      <c r="A323" s="131">
        <f>IFERROR(__xludf.DUMMYFUNCTION("""COMPUTED_VALUE"""),46186.690474537034)</f>
        <v>46186.69047</v>
      </c>
      <c r="B323" s="126">
        <f>IFERROR(__xludf.DUMMYFUNCTION("""COMPUTED_VALUE"""),46186.0)</f>
        <v>46186</v>
      </c>
      <c r="C323" s="130">
        <f>IFERROR(__xludf.DUMMYFUNCTION("""COMPUTED_VALUE"""),0.690474537037037)</f>
        <v>0.690474537</v>
      </c>
      <c r="D323" s="122" t="str">
        <f>IFERROR(__xludf.DUMMYFUNCTION("""COMPUTED_VALUE"""),"LUXE")</f>
        <v>LUXE</v>
      </c>
      <c r="E323" s="122" t="str">
        <f>IFERROR(__xludf.DUMMYFUNCTION("""COMPUTED_VALUE"""),"Luxury Locker")</f>
        <v>Luxury Locker</v>
      </c>
      <c r="F323" s="122" t="str">
        <f>IFERROR(__xludf.DUMMYFUNCTION("""COMPUTED_VALUE"""),"Luxury Goods")</f>
        <v>Luxury Goods</v>
      </c>
    </row>
    <row r="324">
      <c r="A324" s="131">
        <f>IFERROR(__xludf.DUMMYFUNCTION("""COMPUTED_VALUE"""),46186.690474537034)</f>
        <v>46186.69047</v>
      </c>
      <c r="B324" s="126">
        <f>IFERROR(__xludf.DUMMYFUNCTION("""COMPUTED_VALUE"""),46186.0)</f>
        <v>46186</v>
      </c>
      <c r="C324" s="130">
        <f>IFERROR(__xludf.DUMMYFUNCTION("""COMPUTED_VALUE"""),0.690474537037037)</f>
        <v>0.690474537</v>
      </c>
      <c r="D324" s="122" t="str">
        <f>IFERROR(__xludf.DUMMYFUNCTION("""COMPUTED_VALUE"""),"DRIP")</f>
        <v>DRIP</v>
      </c>
      <c r="E324" s="122" t="str">
        <f>IFERROR(__xludf.DUMMYFUNCTION("""COMPUTED_VALUE"""),"Drip Streetwear")</f>
        <v>Drip Streetwear</v>
      </c>
      <c r="F324" s="122" t="str">
        <f>IFERROR(__xludf.DUMMYFUNCTION("""COMPUTED_VALUE"""),"Fashion")</f>
        <v>Fashion</v>
      </c>
    </row>
    <row r="325">
      <c r="A325" s="131">
        <f>IFERROR(__xludf.DUMMYFUNCTION("""COMPUTED_VALUE"""),46186.690474537034)</f>
        <v>46186.69047</v>
      </c>
      <c r="B325" s="126">
        <f>IFERROR(__xludf.DUMMYFUNCTION("""COMPUTED_VALUE"""),46186.0)</f>
        <v>46186</v>
      </c>
      <c r="C325" s="130">
        <f>IFERROR(__xludf.DUMMYFUNCTION("""COMPUTED_VALUE"""),0.690474537037037)</f>
        <v>0.690474537</v>
      </c>
      <c r="D325" s="122" t="str">
        <f>IFERROR(__xludf.DUMMYFUNCTION("""COMPUTED_VALUE"""),"KICK")</f>
        <v>KICK</v>
      </c>
      <c r="E325" s="122" t="str">
        <f>IFERROR(__xludf.DUMMYFUNCTION("""COMPUTED_VALUE"""),"KickDrop Sneakers")</f>
        <v>KickDrop Sneakers</v>
      </c>
      <c r="F325" s="122" t="str">
        <f>IFERROR(__xludf.DUMMYFUNCTION("""COMPUTED_VALUE"""),"Fashion")</f>
        <v>Fashion</v>
      </c>
    </row>
    <row r="326">
      <c r="A326" s="131">
        <f>IFERROR(__xludf.DUMMYFUNCTION("""COMPUTED_VALUE"""),46186.690474537034)</f>
        <v>46186.69047</v>
      </c>
      <c r="B326" s="126">
        <f>IFERROR(__xludf.DUMMYFUNCTION("""COMPUTED_VALUE"""),46186.0)</f>
        <v>46186</v>
      </c>
      <c r="C326" s="130">
        <f>IFERROR(__xludf.DUMMYFUNCTION("""COMPUTED_VALUE"""),0.690474537037037)</f>
        <v>0.690474537</v>
      </c>
      <c r="D326" s="122" t="str">
        <f>IFERROR(__xludf.DUMMYFUNCTION("""COMPUTED_VALUE"""),"GLAM")</f>
        <v>GLAM</v>
      </c>
      <c r="E326" s="122" t="str">
        <f>IFERROR(__xludf.DUMMYFUNCTION("""COMPUTED_VALUE"""),"Glow Cosmetics")</f>
        <v>Glow Cosmetics</v>
      </c>
      <c r="F326" s="122" t="str">
        <f>IFERROR(__xludf.DUMMYFUNCTION("""COMPUTED_VALUE"""),"Fashion")</f>
        <v>Fashion</v>
      </c>
    </row>
    <row r="327">
      <c r="A327" s="131">
        <f>IFERROR(__xludf.DUMMYFUNCTION("""COMPUTED_VALUE"""),46186.690474537034)</f>
        <v>46186.69047</v>
      </c>
      <c r="B327" s="126">
        <f>IFERROR(__xludf.DUMMYFUNCTION("""COMPUTED_VALUE"""),46186.0)</f>
        <v>46186</v>
      </c>
      <c r="C327" s="130">
        <f>IFERROR(__xludf.DUMMYFUNCTION("""COMPUTED_VALUE"""),0.690474537037037)</f>
        <v>0.690474537</v>
      </c>
      <c r="D327" s="122" t="str">
        <f>IFERROR(__xludf.DUMMYFUNCTION("""COMPUTED_VALUE"""),"BAGG")</f>
        <v>BAGG</v>
      </c>
      <c r="E327" s="122" t="str">
        <f>IFERROR(__xludf.DUMMYFUNCTION("""COMPUTED_VALUE"""),"BagVault")</f>
        <v>BagVault</v>
      </c>
      <c r="F327" s="122" t="str">
        <f>IFERROR(__xludf.DUMMYFUNCTION("""COMPUTED_VALUE"""),"Fashion")</f>
        <v>Fashion</v>
      </c>
    </row>
    <row r="328">
      <c r="A328" s="131">
        <f>IFERROR(__xludf.DUMMYFUNCTION("""COMPUTED_VALUE"""),46186.690474537034)</f>
        <v>46186.69047</v>
      </c>
      <c r="B328" s="126">
        <f>IFERROR(__xludf.DUMMYFUNCTION("""COMPUTED_VALUE"""),46186.0)</f>
        <v>46186</v>
      </c>
      <c r="C328" s="130">
        <f>IFERROR(__xludf.DUMMYFUNCTION("""COMPUTED_VALUE"""),0.690474537037037)</f>
        <v>0.690474537</v>
      </c>
      <c r="D328" s="122" t="str">
        <f>IFERROR(__xludf.DUMMYFUNCTION("""COMPUTED_VALUE"""),"FAST")</f>
        <v>FAST</v>
      </c>
      <c r="E328" s="122" t="str">
        <f>IFERROR(__xludf.DUMMYFUNCTION("""COMPUTED_VALUE"""),"Flash Logistics")</f>
        <v>Flash Logistics</v>
      </c>
      <c r="F328" s="122" t="str">
        <f>IFERROR(__xludf.DUMMYFUNCTION("""COMPUTED_VALUE"""),"Logistics")</f>
        <v>Logistics</v>
      </c>
    </row>
    <row r="329">
      <c r="A329" s="131">
        <f>IFERROR(__xludf.DUMMYFUNCTION("""COMPUTED_VALUE"""),46186.690474537034)</f>
        <v>46186.69047</v>
      </c>
      <c r="B329" s="126">
        <f>IFERROR(__xludf.DUMMYFUNCTION("""COMPUTED_VALUE"""),46186.0)</f>
        <v>46186</v>
      </c>
      <c r="C329" s="130">
        <f>IFERROR(__xludf.DUMMYFUNCTION("""COMPUTED_VALUE"""),0.690474537037037)</f>
        <v>0.690474537</v>
      </c>
      <c r="D329" s="122" t="str">
        <f>IFERROR(__xludf.DUMMYFUNCTION("""COMPUTED_VALUE"""),"SHIP")</f>
        <v>SHIP</v>
      </c>
      <c r="E329" s="122" t="str">
        <f>IFERROR(__xludf.DUMMYFUNCTION("""COMPUTED_VALUE"""),"Seoul Shipping")</f>
        <v>Seoul Shipping</v>
      </c>
      <c r="F329" s="122" t="str">
        <f>IFERROR(__xludf.DUMMYFUNCTION("""COMPUTED_VALUE"""),"Logistics")</f>
        <v>Logistics</v>
      </c>
    </row>
    <row r="330">
      <c r="A330" s="131">
        <f>IFERROR(__xludf.DUMMYFUNCTION("""COMPUTED_VALUE"""),46186.690474537034)</f>
        <v>46186.69047</v>
      </c>
      <c r="B330" s="126">
        <f>IFERROR(__xludf.DUMMYFUNCTION("""COMPUTED_VALUE"""),46186.0)</f>
        <v>46186</v>
      </c>
      <c r="C330" s="130">
        <f>IFERROR(__xludf.DUMMYFUNCTION("""COMPUTED_VALUE"""),0.690474537037037)</f>
        <v>0.690474537</v>
      </c>
      <c r="D330" s="122" t="str">
        <f>IFERROR(__xludf.DUMMYFUNCTION("""COMPUTED_VALUE"""),"DRON")</f>
        <v>DRON</v>
      </c>
      <c r="E330" s="122" t="str">
        <f>IFERROR(__xludf.DUMMYFUNCTION("""COMPUTED_VALUE"""),"DroneDrop")</f>
        <v>DroneDrop</v>
      </c>
      <c r="F330" s="122" t="str">
        <f>IFERROR(__xludf.DUMMYFUNCTION("""COMPUTED_VALUE"""),"Logistics")</f>
        <v>Logistics</v>
      </c>
    </row>
    <row r="331">
      <c r="A331" s="131">
        <f>IFERROR(__xludf.DUMMYFUNCTION("""COMPUTED_VALUE"""),46186.690474537034)</f>
        <v>46186.69047</v>
      </c>
      <c r="B331" s="126">
        <f>IFERROR(__xludf.DUMMYFUNCTION("""COMPUTED_VALUE"""),46186.0)</f>
        <v>46186</v>
      </c>
      <c r="C331" s="130">
        <f>IFERROR(__xludf.DUMMYFUNCTION("""COMPUTED_VALUE"""),0.690474537037037)</f>
        <v>0.690474537</v>
      </c>
      <c r="D331" s="122" t="str">
        <f>IFERROR(__xludf.DUMMYFUNCTION("""COMPUTED_VALUE"""),"RIDE")</f>
        <v>RIDE</v>
      </c>
      <c r="E331" s="122" t="str">
        <f>IFERROR(__xludf.DUMMYFUNCTION("""COMPUTED_VALUE"""),"QuickRide")</f>
        <v>QuickRide</v>
      </c>
      <c r="F331" s="122" t="str">
        <f>IFERROR(__xludf.DUMMYFUNCTION("""COMPUTED_VALUE"""),"Transportation")</f>
        <v>Transportation</v>
      </c>
    </row>
    <row r="332">
      <c r="A332" s="131">
        <f>IFERROR(__xludf.DUMMYFUNCTION("""COMPUTED_VALUE"""),46186.690474537034)</f>
        <v>46186.69047</v>
      </c>
      <c r="B332" s="126">
        <f>IFERROR(__xludf.DUMMYFUNCTION("""COMPUTED_VALUE"""),46186.0)</f>
        <v>46186</v>
      </c>
      <c r="C332" s="130">
        <f>IFERROR(__xludf.DUMMYFUNCTION("""COMPUTED_VALUE"""),0.690474537037037)</f>
        <v>0.690474537</v>
      </c>
      <c r="D332" s="122" t="str">
        <f>IFERROR(__xludf.DUMMYFUNCTION("""COMPUTED_VALUE"""),"RAIL")</f>
        <v>RAIL</v>
      </c>
      <c r="E332" s="122" t="str">
        <f>IFERROR(__xludf.DUMMYFUNCTION("""COMPUTED_VALUE"""),"MetroRail Corp")</f>
        <v>MetroRail Corp</v>
      </c>
      <c r="F332" s="122" t="str">
        <f>IFERROR(__xludf.DUMMYFUNCTION("""COMPUTED_VALUE"""),"Transportation")</f>
        <v>Transportation</v>
      </c>
    </row>
    <row r="333">
      <c r="A333" s="131">
        <f>IFERROR(__xludf.DUMMYFUNCTION("""COMPUTED_VALUE"""),46186.690474537034)</f>
        <v>46186.69047</v>
      </c>
      <c r="B333" s="126">
        <f>IFERROR(__xludf.DUMMYFUNCTION("""COMPUTED_VALUE"""),46186.0)</f>
        <v>46186</v>
      </c>
      <c r="C333" s="130">
        <f>IFERROR(__xludf.DUMMYFUNCTION("""COMPUTED_VALUE"""),0.690474537037037)</f>
        <v>0.690474537</v>
      </c>
      <c r="D333" s="122" t="str">
        <f>IFERROR(__xludf.DUMMYFUNCTION("""COMPUTED_VALUE"""),"MEDX")</f>
        <v>MEDX</v>
      </c>
      <c r="E333" s="122" t="str">
        <f>IFERROR(__xludf.DUMMYFUNCTION("""COMPUTED_VALUE"""),"MediCore")</f>
        <v>MediCore</v>
      </c>
      <c r="F333" s="122" t="str">
        <f>IFERROR(__xludf.DUMMYFUNCTION("""COMPUTED_VALUE"""),"Healthcare")</f>
        <v>Healthcare</v>
      </c>
    </row>
    <row r="334">
      <c r="A334" s="131">
        <f>IFERROR(__xludf.DUMMYFUNCTION("""COMPUTED_VALUE"""),46186.690474537034)</f>
        <v>46186.69047</v>
      </c>
      <c r="B334" s="126">
        <f>IFERROR(__xludf.DUMMYFUNCTION("""COMPUTED_VALUE"""),46186.0)</f>
        <v>46186</v>
      </c>
      <c r="C334" s="130">
        <f>IFERROR(__xludf.DUMMYFUNCTION("""COMPUTED_VALUE"""),0.690474537037037)</f>
        <v>0.690474537</v>
      </c>
      <c r="D334" s="122" t="str">
        <f>IFERROR(__xludf.DUMMYFUNCTION("""COMPUTED_VALUE"""),"GYMX")</f>
        <v>GYMX</v>
      </c>
      <c r="E334" s="122" t="str">
        <f>IFERROR(__xludf.DUMMYFUNCTION("""COMPUTED_VALUE"""),"GymX Fitness")</f>
        <v>GymX Fitness</v>
      </c>
      <c r="F334" s="122" t="str">
        <f>IFERROR(__xludf.DUMMYFUNCTION("""COMPUTED_VALUE"""),"Healthcare")</f>
        <v>Healthcare</v>
      </c>
    </row>
    <row r="335">
      <c r="A335" s="131">
        <f>IFERROR(__xludf.DUMMYFUNCTION("""COMPUTED_VALUE"""),46186.690474537034)</f>
        <v>46186.69047</v>
      </c>
      <c r="B335" s="126">
        <f>IFERROR(__xludf.DUMMYFUNCTION("""COMPUTED_VALUE"""),46186.0)</f>
        <v>46186</v>
      </c>
      <c r="C335" s="130">
        <f>IFERROR(__xludf.DUMMYFUNCTION("""COMPUTED_VALUE"""),0.690474537037037)</f>
        <v>0.690474537</v>
      </c>
      <c r="D335" s="122" t="str">
        <f>IFERROR(__xludf.DUMMYFUNCTION("""COMPUTED_VALUE"""),"VITA")</f>
        <v>VITA</v>
      </c>
      <c r="E335" s="122" t="str">
        <f>IFERROR(__xludf.DUMMYFUNCTION("""COMPUTED_VALUE"""),"VitaPlus")</f>
        <v>VitaPlus</v>
      </c>
      <c r="F335" s="122" t="str">
        <f>IFERROR(__xludf.DUMMYFUNCTION("""COMPUTED_VALUE"""),"Healthcare")</f>
        <v>Healthcare</v>
      </c>
    </row>
    <row r="336">
      <c r="A336" s="131">
        <f>IFERROR(__xludf.DUMMYFUNCTION("""COMPUTED_VALUE"""),46186.690474537034)</f>
        <v>46186.69047</v>
      </c>
      <c r="B336" s="126">
        <f>IFERROR(__xludf.DUMMYFUNCTION("""COMPUTED_VALUE"""),46186.0)</f>
        <v>46186</v>
      </c>
      <c r="C336" s="130">
        <f>IFERROR(__xludf.DUMMYFUNCTION("""COMPUTED_VALUE"""),0.690474537037037)</f>
        <v>0.690474537</v>
      </c>
      <c r="D336" s="122" t="str">
        <f>IFERROR(__xludf.DUMMYFUNCTION("""COMPUTED_VALUE"""),"CARE")</f>
        <v>CARE</v>
      </c>
      <c r="E336" s="122" t="str">
        <f>IFERROR(__xludf.DUMMYFUNCTION("""COMPUTED_VALUE"""),"CareCloud")</f>
        <v>CareCloud</v>
      </c>
      <c r="F336" s="122" t="str">
        <f>IFERROR(__xludf.DUMMYFUNCTION("""COMPUTED_VALUE"""),"Healthcare")</f>
        <v>Healthcare</v>
      </c>
    </row>
    <row r="337">
      <c r="A337" s="131">
        <f>IFERROR(__xludf.DUMMYFUNCTION("""COMPUTED_VALUE"""),46186.690474537034)</f>
        <v>46186.69047</v>
      </c>
      <c r="B337" s="126">
        <f>IFERROR(__xludf.DUMMYFUNCTION("""COMPUTED_VALUE"""),46186.0)</f>
        <v>46186</v>
      </c>
      <c r="C337" s="130">
        <f>IFERROR(__xludf.DUMMYFUNCTION("""COMPUTED_VALUE"""),0.690474537037037)</f>
        <v>0.690474537</v>
      </c>
      <c r="D337" s="122" t="str">
        <f>IFERROR(__xludf.DUMMYFUNCTION("""COMPUTED_VALUE"""),"DENT")</f>
        <v>DENT</v>
      </c>
      <c r="E337" s="122" t="str">
        <f>IFERROR(__xludf.DUMMYFUNCTION("""COMPUTED_VALUE"""),"SmileWorks")</f>
        <v>SmileWorks</v>
      </c>
      <c r="F337" s="122" t="str">
        <f>IFERROR(__xludf.DUMMYFUNCTION("""COMPUTED_VALUE"""),"Healthcare")</f>
        <v>Healthcare</v>
      </c>
    </row>
    <row r="338">
      <c r="A338" s="131">
        <f>IFERROR(__xludf.DUMMYFUNCTION("""COMPUTED_VALUE"""),46186.690474537034)</f>
        <v>46186.69047</v>
      </c>
      <c r="B338" s="126">
        <f>IFERROR(__xludf.DUMMYFUNCTION("""COMPUTED_VALUE"""),46186.0)</f>
        <v>46186</v>
      </c>
      <c r="C338" s="130">
        <f>IFERROR(__xludf.DUMMYFUNCTION("""COMPUTED_VALUE"""),0.690474537037037)</f>
        <v>0.690474537</v>
      </c>
      <c r="D338" s="122" t="str">
        <f>IFERROR(__xludf.DUMMYFUNCTION("""COMPUTED_VALUE"""),"EDUX")</f>
        <v>EDUX</v>
      </c>
      <c r="E338" s="122" t="str">
        <f>IFERROR(__xludf.DUMMYFUNCTION("""COMPUTED_VALUE"""),"EduMax Learning")</f>
        <v>EduMax Learning</v>
      </c>
      <c r="F338" s="122" t="str">
        <f>IFERROR(__xludf.DUMMYFUNCTION("""COMPUTED_VALUE"""),"Education")</f>
        <v>Education</v>
      </c>
    </row>
    <row r="339">
      <c r="A339" s="131">
        <f>IFERROR(__xludf.DUMMYFUNCTION("""COMPUTED_VALUE"""),46186.690474537034)</f>
        <v>46186.69047</v>
      </c>
      <c r="B339" s="126">
        <f>IFERROR(__xludf.DUMMYFUNCTION("""COMPUTED_VALUE"""),46186.0)</f>
        <v>46186</v>
      </c>
      <c r="C339" s="130">
        <f>IFERROR(__xludf.DUMMYFUNCTION("""COMPUTED_VALUE"""),0.690474537037037)</f>
        <v>0.690474537</v>
      </c>
      <c r="D339" s="122" t="str">
        <f>IFERROR(__xludf.DUMMYFUNCTION("""COMPUTED_VALUE"""),"BOOK")</f>
        <v>BOOK</v>
      </c>
      <c r="E339" s="122" t="str">
        <f>IFERROR(__xludf.DUMMYFUNCTION("""COMPUTED_VALUE"""),"BookBridge")</f>
        <v>BookBridge</v>
      </c>
      <c r="F339" s="122" t="str">
        <f>IFERROR(__xludf.DUMMYFUNCTION("""COMPUTED_VALUE"""),"Education")</f>
        <v>Education</v>
      </c>
    </row>
    <row r="340">
      <c r="A340" s="131">
        <f>IFERROR(__xludf.DUMMYFUNCTION("""COMPUTED_VALUE"""),46186.690474537034)</f>
        <v>46186.69047</v>
      </c>
      <c r="B340" s="126">
        <f>IFERROR(__xludf.DUMMYFUNCTION("""COMPUTED_VALUE"""),46186.0)</f>
        <v>46186</v>
      </c>
      <c r="C340" s="130">
        <f>IFERROR(__xludf.DUMMYFUNCTION("""COMPUTED_VALUE"""),0.690474537037037)</f>
        <v>0.690474537</v>
      </c>
      <c r="D340" s="122" t="str">
        <f>IFERROR(__xludf.DUMMYFUNCTION("""COMPUTED_VALUE"""),"TUTR")</f>
        <v>TUTR</v>
      </c>
      <c r="E340" s="122" t="str">
        <f>IFERROR(__xludf.DUMMYFUNCTION("""COMPUTED_VALUE"""),"TutorTown")</f>
        <v>TutorTown</v>
      </c>
      <c r="F340" s="122" t="str">
        <f>IFERROR(__xludf.DUMMYFUNCTION("""COMPUTED_VALUE"""),"Education")</f>
        <v>Education</v>
      </c>
    </row>
    <row r="341">
      <c r="A341" s="131">
        <f>IFERROR(__xludf.DUMMYFUNCTION("""COMPUTED_VALUE"""),46186.690474537034)</f>
        <v>46186.69047</v>
      </c>
      <c r="B341" s="126">
        <f>IFERROR(__xludf.DUMMYFUNCTION("""COMPUTED_VALUE"""),46186.0)</f>
        <v>46186</v>
      </c>
      <c r="C341" s="130">
        <f>IFERROR(__xludf.DUMMYFUNCTION("""COMPUTED_VALUE"""),0.690474537037037)</f>
        <v>0.690474537</v>
      </c>
      <c r="D341" s="122" t="str">
        <f>IFERROR(__xludf.DUMMYFUNCTION("""COMPUTED_VALUE"""),"LANG")</f>
        <v>LANG</v>
      </c>
      <c r="E341" s="122" t="str">
        <f>IFERROR(__xludf.DUMMYFUNCTION("""COMPUTED_VALUE"""),"LinguaLab")</f>
        <v>LinguaLab</v>
      </c>
      <c r="F341" s="122" t="str">
        <f>IFERROR(__xludf.DUMMYFUNCTION("""COMPUTED_VALUE"""),"Education")</f>
        <v>Education</v>
      </c>
    </row>
    <row r="342">
      <c r="A342" s="131">
        <f>IFERROR(__xludf.DUMMYFUNCTION("""COMPUTED_VALUE"""),46186.690474537034)</f>
        <v>46186.69047</v>
      </c>
      <c r="B342" s="126">
        <f>IFERROR(__xludf.DUMMYFUNCTION("""COMPUTED_VALUE"""),46186.0)</f>
        <v>46186</v>
      </c>
      <c r="C342" s="130">
        <f>IFERROR(__xludf.DUMMYFUNCTION("""COMPUTED_VALUE"""),0.690474537037037)</f>
        <v>0.690474537</v>
      </c>
      <c r="D342" s="122" t="str">
        <f>IFERROR(__xludf.DUMMYFUNCTION("""COMPUTED_VALUE"""),"TEST")</f>
        <v>TEST</v>
      </c>
      <c r="E342" s="122" t="str">
        <f>IFERROR(__xludf.DUMMYFUNCTION("""COMPUTED_VALUE"""),"TestPrep Pro")</f>
        <v>TestPrep Pro</v>
      </c>
      <c r="F342" s="122" t="str">
        <f>IFERROR(__xludf.DUMMYFUNCTION("""COMPUTED_VALUE"""),"Education")</f>
        <v>Education</v>
      </c>
    </row>
    <row r="343">
      <c r="A343" s="131">
        <f>IFERROR(__xludf.DUMMYFUNCTION("""COMPUTED_VALUE"""),46186.690474537034)</f>
        <v>46186.69047</v>
      </c>
      <c r="B343" s="126">
        <f>IFERROR(__xludf.DUMMYFUNCTION("""COMPUTED_VALUE"""),46186.0)</f>
        <v>46186</v>
      </c>
      <c r="C343" s="130">
        <f>IFERROR(__xludf.DUMMYFUNCTION("""COMPUTED_VALUE"""),0.690474537037037)</f>
        <v>0.690474537</v>
      </c>
      <c r="D343" s="122" t="str">
        <f>IFERROR(__xludf.DUMMYFUNCTION("""COMPUTED_VALUE"""),"MOVI")</f>
        <v>MOVI</v>
      </c>
      <c r="E343" s="122" t="str">
        <f>IFERROR(__xludf.DUMMYFUNCTION("""COMPUTED_VALUE"""),"MovieBox")</f>
        <v>MovieBox</v>
      </c>
      <c r="F343" s="122" t="str">
        <f>IFERROR(__xludf.DUMMYFUNCTION("""COMPUTED_VALUE"""),"Entertainment")</f>
        <v>Entertainment</v>
      </c>
    </row>
    <row r="344">
      <c r="A344" s="131">
        <f>IFERROR(__xludf.DUMMYFUNCTION("""COMPUTED_VALUE"""),46186.690474537034)</f>
        <v>46186.69047</v>
      </c>
      <c r="B344" s="126">
        <f>IFERROR(__xludf.DUMMYFUNCTION("""COMPUTED_VALUE"""),46186.0)</f>
        <v>46186</v>
      </c>
      <c r="C344" s="130">
        <f>IFERROR(__xludf.DUMMYFUNCTION("""COMPUTED_VALUE"""),0.690474537037037)</f>
        <v>0.690474537</v>
      </c>
      <c r="D344" s="122" t="str">
        <f>IFERROR(__xludf.DUMMYFUNCTION("""COMPUTED_VALUE"""),"MUSC")</f>
        <v>MUSC</v>
      </c>
      <c r="E344" s="122" t="str">
        <f>IFERROR(__xludf.DUMMYFUNCTION("""COMPUTED_VALUE"""),"MusicWave")</f>
        <v>MusicWave</v>
      </c>
      <c r="F344" s="122" t="str">
        <f>IFERROR(__xludf.DUMMYFUNCTION("""COMPUTED_VALUE"""),"Entertainment")</f>
        <v>Entertainment</v>
      </c>
    </row>
    <row r="345">
      <c r="A345" s="131">
        <f>IFERROR(__xludf.DUMMYFUNCTION("""COMPUTED_VALUE"""),46186.690474537034)</f>
        <v>46186.69047</v>
      </c>
      <c r="B345" s="126">
        <f>IFERROR(__xludf.DUMMYFUNCTION("""COMPUTED_VALUE"""),46186.0)</f>
        <v>46186</v>
      </c>
      <c r="C345" s="130">
        <f>IFERROR(__xludf.DUMMYFUNCTION("""COMPUTED_VALUE"""),0.690474537037037)</f>
        <v>0.690474537</v>
      </c>
      <c r="D345" s="122" t="str">
        <f>IFERROR(__xludf.DUMMYFUNCTION("""COMPUTED_VALUE"""),"IDOL")</f>
        <v>IDOL</v>
      </c>
      <c r="E345" s="122" t="str">
        <f>IFERROR(__xludf.DUMMYFUNCTION("""COMPUTED_VALUE"""),"Idol Agency")</f>
        <v>Idol Agency</v>
      </c>
      <c r="F345" s="122" t="str">
        <f>IFERROR(__xludf.DUMMYFUNCTION("""COMPUTED_VALUE"""),"Entertainment")</f>
        <v>Entertainment</v>
      </c>
    </row>
    <row r="346">
      <c r="A346" s="131">
        <f>IFERROR(__xludf.DUMMYFUNCTION("""COMPUTED_VALUE"""),46186.690474537034)</f>
        <v>46186.69047</v>
      </c>
      <c r="B346" s="126">
        <f>IFERROR(__xludf.DUMMYFUNCTION("""COMPUTED_VALUE"""),46186.0)</f>
        <v>46186</v>
      </c>
      <c r="C346" s="130">
        <f>IFERROR(__xludf.DUMMYFUNCTION("""COMPUTED_VALUE"""),0.690474537037037)</f>
        <v>0.690474537</v>
      </c>
      <c r="D346" s="122" t="str">
        <f>IFERROR(__xludf.DUMMYFUNCTION("""COMPUTED_VALUE"""),"MEME")</f>
        <v>MEME</v>
      </c>
      <c r="E346" s="122" t="str">
        <f>IFERROR(__xludf.DUMMYFUNCTION("""COMPUTED_VALUE"""),"Meme Media")</f>
        <v>Meme Media</v>
      </c>
      <c r="F346" s="122" t="str">
        <f>IFERROR(__xludf.DUMMYFUNCTION("""COMPUTED_VALUE"""),"Entertainment")</f>
        <v>Entertainment</v>
      </c>
    </row>
    <row r="347">
      <c r="A347" s="131">
        <f>IFERROR(__xludf.DUMMYFUNCTION("""COMPUTED_VALUE"""),46186.690474537034)</f>
        <v>46186.69047</v>
      </c>
      <c r="B347" s="126">
        <f>IFERROR(__xludf.DUMMYFUNCTION("""COMPUTED_VALUE"""),46186.0)</f>
        <v>46186</v>
      </c>
      <c r="C347" s="130">
        <f>IFERROR(__xludf.DUMMYFUNCTION("""COMPUTED_VALUE"""),0.690474537037037)</f>
        <v>0.690474537</v>
      </c>
      <c r="D347" s="122" t="str">
        <f>IFERROR(__xludf.DUMMYFUNCTION("""COMPUTED_VALUE"""),"STRM")</f>
        <v>STRM</v>
      </c>
      <c r="E347" s="122" t="str">
        <f>IFERROR(__xludf.DUMMYFUNCTION("""COMPUTED_VALUE"""),"Streamly")</f>
        <v>Streamly</v>
      </c>
      <c r="F347" s="122" t="str">
        <f>IFERROR(__xludf.DUMMYFUNCTION("""COMPUTED_VALUE"""),"Entertainment")</f>
        <v>Entertainment</v>
      </c>
    </row>
    <row r="348">
      <c r="A348" s="131">
        <f>IFERROR(__xludf.DUMMYFUNCTION("""COMPUTED_VALUE"""),46186.690474537034)</f>
        <v>46186.69047</v>
      </c>
      <c r="B348" s="126">
        <f>IFERROR(__xludf.DUMMYFUNCTION("""COMPUTED_VALUE"""),46186.0)</f>
        <v>46186</v>
      </c>
      <c r="C348" s="130">
        <f>IFERROR(__xludf.DUMMYFUNCTION("""COMPUTED_VALUE"""),0.690474537037037)</f>
        <v>0.690474537</v>
      </c>
      <c r="D348" s="122" t="str">
        <f>IFERROR(__xludf.DUMMYFUNCTION("""COMPUTED_VALUE"""),"FARM")</f>
        <v>FARM</v>
      </c>
      <c r="E348" s="122" t="str">
        <f>IFERROR(__xludf.DUMMYFUNCTION("""COMPUTED_VALUE"""),"Future Farms")</f>
        <v>Future Farms</v>
      </c>
      <c r="F348" s="122" t="str">
        <f>IFERROR(__xludf.DUMMYFUNCTION("""COMPUTED_VALUE"""),"Agriculture")</f>
        <v>Agriculture</v>
      </c>
    </row>
    <row r="349">
      <c r="A349" s="131">
        <f>IFERROR(__xludf.DUMMYFUNCTION("""COMPUTED_VALUE"""),46186.690474537034)</f>
        <v>46186.69047</v>
      </c>
      <c r="B349" s="126">
        <f>IFERROR(__xludf.DUMMYFUNCTION("""COMPUTED_VALUE"""),46186.0)</f>
        <v>46186</v>
      </c>
      <c r="C349" s="130">
        <f>IFERROR(__xludf.DUMMYFUNCTION("""COMPUTED_VALUE"""),0.690474537037037)</f>
        <v>0.690474537</v>
      </c>
      <c r="D349" s="122" t="str">
        <f>IFERROR(__xludf.DUMMYFUNCTION("""COMPUTED_VALUE"""),"MEAT")</f>
        <v>MEAT</v>
      </c>
      <c r="E349" s="122" t="str">
        <f>IFERROR(__xludf.DUMMYFUNCTION("""COMPUTED_VALUE"""),"MeatWorks")</f>
        <v>MeatWorks</v>
      </c>
      <c r="F349" s="122" t="str">
        <f>IFERROR(__xludf.DUMMYFUNCTION("""COMPUTED_VALUE"""),"Food")</f>
        <v>Food</v>
      </c>
    </row>
    <row r="350">
      <c r="A350" s="131">
        <f>IFERROR(__xludf.DUMMYFUNCTION("""COMPUTED_VALUE"""),46186.690474537034)</f>
        <v>46186.69047</v>
      </c>
      <c r="B350" s="126">
        <f>IFERROR(__xludf.DUMMYFUNCTION("""COMPUTED_VALUE"""),46186.0)</f>
        <v>46186</v>
      </c>
      <c r="C350" s="130">
        <f>IFERROR(__xludf.DUMMYFUNCTION("""COMPUTED_VALUE"""),0.690474537037037)</f>
        <v>0.690474537</v>
      </c>
      <c r="D350" s="122" t="str">
        <f>IFERROR(__xludf.DUMMYFUNCTION("""COMPUTED_VALUE"""),"VEGI")</f>
        <v>VEGI</v>
      </c>
      <c r="E350" s="122" t="str">
        <f>IFERROR(__xludf.DUMMYFUNCTION("""COMPUTED_VALUE"""),"Green Basket")</f>
        <v>Green Basket</v>
      </c>
      <c r="F350" s="122" t="str">
        <f>IFERROR(__xludf.DUMMYFUNCTION("""COMPUTED_VALUE"""),"Food")</f>
        <v>Food</v>
      </c>
    </row>
    <row r="351">
      <c r="A351" s="131">
        <f>IFERROR(__xludf.DUMMYFUNCTION("""COMPUTED_VALUE"""),46186.690474537034)</f>
        <v>46186.69047</v>
      </c>
      <c r="B351" s="126">
        <f>IFERROR(__xludf.DUMMYFUNCTION("""COMPUTED_VALUE"""),46186.0)</f>
        <v>46186</v>
      </c>
      <c r="C351" s="130">
        <f>IFERROR(__xludf.DUMMYFUNCTION("""COMPUTED_VALUE"""),0.690474537037037)</f>
        <v>0.690474537</v>
      </c>
      <c r="D351" s="122" t="str">
        <f>IFERROR(__xludf.DUMMYFUNCTION("""COMPUTED_VALUE"""),"CAFE")</f>
        <v>CAFE</v>
      </c>
      <c r="E351" s="122" t="str">
        <f>IFERROR(__xludf.DUMMYFUNCTION("""COMPUTED_VALUE"""),"Cafe Cloud")</f>
        <v>Cafe Cloud</v>
      </c>
      <c r="F351" s="122" t="str">
        <f>IFERROR(__xludf.DUMMYFUNCTION("""COMPUTED_VALUE"""),"Food")</f>
        <v>Food</v>
      </c>
    </row>
    <row r="352">
      <c r="A352" s="131">
        <f>IFERROR(__xludf.DUMMYFUNCTION("""COMPUTED_VALUE"""),46186.690474537034)</f>
        <v>46186.69047</v>
      </c>
      <c r="B352" s="126">
        <f>IFERROR(__xludf.DUMMYFUNCTION("""COMPUTED_VALUE"""),46186.0)</f>
        <v>46186</v>
      </c>
      <c r="C352" s="130">
        <f>IFERROR(__xludf.DUMMYFUNCTION("""COMPUTED_VALUE"""),0.690474537037037)</f>
        <v>0.690474537</v>
      </c>
      <c r="D352" s="122" t="str">
        <f>IFERROR(__xludf.DUMMYFUNCTION("""COMPUTED_VALUE"""),"BAKE")</f>
        <v>BAKE</v>
      </c>
      <c r="E352" s="122" t="str">
        <f>IFERROR(__xludf.DUMMYFUNCTION("""COMPUTED_VALUE"""),"BakeHouse")</f>
        <v>BakeHouse</v>
      </c>
      <c r="F352" s="122" t="str">
        <f>IFERROR(__xludf.DUMMYFUNCTION("""COMPUTED_VALUE"""),"Food")</f>
        <v>Food</v>
      </c>
    </row>
    <row r="353">
      <c r="A353" s="131">
        <f>IFERROR(__xludf.DUMMYFUNCTION("""COMPUTED_VALUE"""),46186.690474537034)</f>
        <v>46186.69047</v>
      </c>
      <c r="B353" s="126">
        <f>IFERROR(__xludf.DUMMYFUNCTION("""COMPUTED_VALUE"""),46186.0)</f>
        <v>46186</v>
      </c>
      <c r="C353" s="130">
        <f>IFERROR(__xludf.DUMMYFUNCTION("""COMPUTED_VALUE"""),0.690474537037037)</f>
        <v>0.690474537</v>
      </c>
      <c r="D353" s="122" t="str">
        <f>IFERROR(__xludf.DUMMYFUNCTION("""COMPUTED_VALUE"""),"OILX")</f>
        <v>OILX</v>
      </c>
      <c r="E353" s="122" t="str">
        <f>IFERROR(__xludf.DUMMYFUNCTION("""COMPUTED_VALUE"""),"OilMax Energy")</f>
        <v>OilMax Energy</v>
      </c>
      <c r="F353" s="122" t="str">
        <f>IFERROR(__xludf.DUMMYFUNCTION("""COMPUTED_VALUE"""),"Energy")</f>
        <v>Energy</v>
      </c>
    </row>
    <row r="354">
      <c r="A354" s="131">
        <f>IFERROR(__xludf.DUMMYFUNCTION("""COMPUTED_VALUE"""),46186.690474537034)</f>
        <v>46186.69047</v>
      </c>
      <c r="B354" s="126">
        <f>IFERROR(__xludf.DUMMYFUNCTION("""COMPUTED_VALUE"""),46186.0)</f>
        <v>46186</v>
      </c>
      <c r="C354" s="130">
        <f>IFERROR(__xludf.DUMMYFUNCTION("""COMPUTED_VALUE"""),0.690474537037037)</f>
        <v>0.690474537</v>
      </c>
      <c r="D354" s="122" t="str">
        <f>IFERROR(__xludf.DUMMYFUNCTION("""COMPUTED_VALUE"""),"SOLR")</f>
        <v>SOLR</v>
      </c>
      <c r="E354" s="122" t="str">
        <f>IFERROR(__xludf.DUMMYFUNCTION("""COMPUTED_VALUE"""),"SolarSpark")</f>
        <v>SolarSpark</v>
      </c>
      <c r="F354" s="122" t="str">
        <f>IFERROR(__xludf.DUMMYFUNCTION("""COMPUTED_VALUE"""),"Energy")</f>
        <v>Energy</v>
      </c>
    </row>
    <row r="355">
      <c r="A355" s="131">
        <f>IFERROR(__xludf.DUMMYFUNCTION("""COMPUTED_VALUE"""),46186.690474537034)</f>
        <v>46186.69047</v>
      </c>
      <c r="B355" s="126">
        <f>IFERROR(__xludf.DUMMYFUNCTION("""COMPUTED_VALUE"""),46186.0)</f>
        <v>46186</v>
      </c>
      <c r="C355" s="130">
        <f>IFERROR(__xludf.DUMMYFUNCTION("""COMPUTED_VALUE"""),0.690474537037037)</f>
        <v>0.690474537</v>
      </c>
      <c r="D355" s="122" t="str">
        <f>IFERROR(__xludf.DUMMYFUNCTION("""COMPUTED_VALUE"""),"BATT")</f>
        <v>BATT</v>
      </c>
      <c r="E355" s="122" t="str">
        <f>IFERROR(__xludf.DUMMYFUNCTION("""COMPUTED_VALUE"""),"BatteryBox")</f>
        <v>BatteryBox</v>
      </c>
      <c r="F355" s="122" t="str">
        <f>IFERROR(__xludf.DUMMYFUNCTION("""COMPUTED_VALUE"""),"Energy")</f>
        <v>Energy</v>
      </c>
    </row>
    <row r="356">
      <c r="A356" s="131">
        <f>IFERROR(__xludf.DUMMYFUNCTION("""COMPUTED_VALUE"""),46186.690474537034)</f>
        <v>46186.69047</v>
      </c>
      <c r="B356" s="126">
        <f>IFERROR(__xludf.DUMMYFUNCTION("""COMPUTED_VALUE"""),46186.0)</f>
        <v>46186</v>
      </c>
      <c r="C356" s="130">
        <f>IFERROR(__xludf.DUMMYFUNCTION("""COMPUTED_VALUE"""),0.690474537037037)</f>
        <v>0.690474537</v>
      </c>
      <c r="D356" s="122" t="str">
        <f>IFERROR(__xludf.DUMMYFUNCTION("""COMPUTED_VALUE"""),"WIND")</f>
        <v>WIND</v>
      </c>
      <c r="E356" s="122" t="str">
        <f>IFERROR(__xludf.DUMMYFUNCTION("""COMPUTED_VALUE"""),"WindWorks")</f>
        <v>WindWorks</v>
      </c>
      <c r="F356" s="122" t="str">
        <f>IFERROR(__xludf.DUMMYFUNCTION("""COMPUTED_VALUE"""),"Energy")</f>
        <v>Energy</v>
      </c>
    </row>
    <row r="357">
      <c r="A357" s="131">
        <f>IFERROR(__xludf.DUMMYFUNCTION("""COMPUTED_VALUE"""),46186.690474537034)</f>
        <v>46186.69047</v>
      </c>
      <c r="B357" s="126">
        <f>IFERROR(__xludf.DUMMYFUNCTION("""COMPUTED_VALUE"""),46186.0)</f>
        <v>46186</v>
      </c>
      <c r="C357" s="130">
        <f>IFERROR(__xludf.DUMMYFUNCTION("""COMPUTED_VALUE"""),0.690474537037037)</f>
        <v>0.690474537</v>
      </c>
      <c r="D357" s="122" t="str">
        <f>IFERROR(__xludf.DUMMYFUNCTION("""COMPUTED_VALUE"""),"GRID")</f>
        <v>GRID</v>
      </c>
      <c r="E357" s="122" t="str">
        <f>IFERROR(__xludf.DUMMYFUNCTION("""COMPUTED_VALUE"""),"GridPower")</f>
        <v>GridPower</v>
      </c>
      <c r="F357" s="122" t="str">
        <f>IFERROR(__xludf.DUMMYFUNCTION("""COMPUTED_VALUE"""),"Energy")</f>
        <v>Energy</v>
      </c>
    </row>
    <row r="358">
      <c r="A358" s="131">
        <f>IFERROR(__xludf.DUMMYFUNCTION("""COMPUTED_VALUE"""),46186.690474537034)</f>
        <v>46186.69047</v>
      </c>
      <c r="B358" s="126">
        <f>IFERROR(__xludf.DUMMYFUNCTION("""COMPUTED_VALUE"""),46186.0)</f>
        <v>46186</v>
      </c>
      <c r="C358" s="130">
        <f>IFERROR(__xludf.DUMMYFUNCTION("""COMPUTED_VALUE"""),0.690474537037037)</f>
        <v>0.690474537</v>
      </c>
      <c r="D358" s="122" t="str">
        <f>IFERROR(__xludf.DUMMYFUNCTION("""COMPUTED_VALUE"""),"HOME")</f>
        <v>HOME</v>
      </c>
      <c r="E358" s="122" t="str">
        <f>IFERROR(__xludf.DUMMYFUNCTION("""COMPUTED_VALUE"""),"HomeHub")</f>
        <v>HomeHub</v>
      </c>
      <c r="F358" s="122" t="str">
        <f>IFERROR(__xludf.DUMMYFUNCTION("""COMPUTED_VALUE"""),"Real Estate")</f>
        <v>Real Estate</v>
      </c>
    </row>
    <row r="359">
      <c r="A359" s="131">
        <f>IFERROR(__xludf.DUMMYFUNCTION("""COMPUTED_VALUE"""),46186.690474537034)</f>
        <v>46186.69047</v>
      </c>
      <c r="B359" s="126">
        <f>IFERROR(__xludf.DUMMYFUNCTION("""COMPUTED_VALUE"""),46186.0)</f>
        <v>46186</v>
      </c>
      <c r="C359" s="130">
        <f>IFERROR(__xludf.DUMMYFUNCTION("""COMPUTED_VALUE"""),0.690474537037037)</f>
        <v>0.690474537</v>
      </c>
      <c r="D359" s="122" t="str">
        <f>IFERROR(__xludf.DUMMYFUNCTION("""COMPUTED_VALUE"""),"RENT")</f>
        <v>RENT</v>
      </c>
      <c r="E359" s="122" t="str">
        <f>IFERROR(__xludf.DUMMYFUNCTION("""COMPUTED_VALUE"""),"RentRight")</f>
        <v>RentRight</v>
      </c>
      <c r="F359" s="122" t="str">
        <f>IFERROR(__xludf.DUMMYFUNCTION("""COMPUTED_VALUE"""),"Real Estate")</f>
        <v>Real Estate</v>
      </c>
    </row>
    <row r="360">
      <c r="A360" s="131">
        <f>IFERROR(__xludf.DUMMYFUNCTION("""COMPUTED_VALUE"""),46186.690474537034)</f>
        <v>46186.69047</v>
      </c>
      <c r="B360" s="126">
        <f>IFERROR(__xludf.DUMMYFUNCTION("""COMPUTED_VALUE"""),46186.0)</f>
        <v>46186</v>
      </c>
      <c r="C360" s="130">
        <f>IFERROR(__xludf.DUMMYFUNCTION("""COMPUTED_VALUE"""),0.690474537037037)</f>
        <v>0.690474537</v>
      </c>
      <c r="D360" s="122" t="str">
        <f>IFERROR(__xludf.DUMMYFUNCTION("""COMPUTED_VALUE"""),"MALL")</f>
        <v>MALL</v>
      </c>
      <c r="E360" s="122" t="str">
        <f>IFERROR(__xludf.DUMMYFUNCTION("""COMPUTED_VALUE"""),"MegaMall")</f>
        <v>MegaMall</v>
      </c>
      <c r="F360" s="122" t="str">
        <f>IFERROR(__xludf.DUMMYFUNCTION("""COMPUTED_VALUE"""),"Real Estate")</f>
        <v>Real Estate</v>
      </c>
    </row>
    <row r="361">
      <c r="A361" s="131">
        <f>IFERROR(__xludf.DUMMYFUNCTION("""COMPUTED_VALUE"""),46186.690474537034)</f>
        <v>46186.69047</v>
      </c>
      <c r="B361" s="126">
        <f>IFERROR(__xludf.DUMMYFUNCTION("""COMPUTED_VALUE"""),46186.0)</f>
        <v>46186</v>
      </c>
      <c r="C361" s="130">
        <f>IFERROR(__xludf.DUMMYFUNCTION("""COMPUTED_VALUE"""),0.690474537037037)</f>
        <v>0.690474537</v>
      </c>
      <c r="D361" s="122" t="str">
        <f>IFERROR(__xludf.DUMMYFUNCTION("""COMPUTED_VALUE"""),"HOTL")</f>
        <v>HOTL</v>
      </c>
      <c r="E361" s="122" t="str">
        <f>IFERROR(__xludf.DUMMYFUNCTION("""COMPUTED_VALUE"""),"HotelHive")</f>
        <v>HotelHive</v>
      </c>
      <c r="F361" s="122" t="str">
        <f>IFERROR(__xludf.DUMMYFUNCTION("""COMPUTED_VALUE"""),"Real Estate")</f>
        <v>Real Estate</v>
      </c>
    </row>
    <row r="362">
      <c r="A362" s="131">
        <f>IFERROR(__xludf.DUMMYFUNCTION("""COMPUTED_VALUE"""),46186.690474537034)</f>
        <v>46186.69047</v>
      </c>
      <c r="B362" s="126">
        <f>IFERROR(__xludf.DUMMYFUNCTION("""COMPUTED_VALUE"""),46186.0)</f>
        <v>46186</v>
      </c>
      <c r="C362" s="130">
        <f>IFERROR(__xludf.DUMMYFUNCTION("""COMPUTED_VALUE"""),0.690474537037037)</f>
        <v>0.690474537</v>
      </c>
      <c r="D362" s="122" t="str">
        <f>IFERROR(__xludf.DUMMYFUNCTION("""COMPUTED_VALUE"""),"LAND")</f>
        <v>LAND</v>
      </c>
      <c r="E362" s="122" t="str">
        <f>IFERROR(__xludf.DUMMYFUNCTION("""COMPUTED_VALUE"""),"LandLink")</f>
        <v>LandLink</v>
      </c>
      <c r="F362" s="122" t="str">
        <f>IFERROR(__xludf.DUMMYFUNCTION("""COMPUTED_VALUE"""),"Real Estate")</f>
        <v>Real Estate</v>
      </c>
    </row>
    <row r="363">
      <c r="A363" s="131">
        <f>IFERROR(__xludf.DUMMYFUNCTION("""COMPUTED_VALUE"""),46186.690474537034)</f>
        <v>46186.69047</v>
      </c>
      <c r="B363" s="126">
        <f>IFERROR(__xludf.DUMMYFUNCTION("""COMPUTED_VALUE"""),46186.0)</f>
        <v>46186</v>
      </c>
      <c r="C363" s="130">
        <f>IFERROR(__xludf.DUMMYFUNCTION("""COMPUTED_VALUE"""),0.690474537037037)</f>
        <v>0.690474537</v>
      </c>
      <c r="D363" s="122" t="str">
        <f>IFERROR(__xludf.DUMMYFUNCTION("""COMPUTED_VALUE"""),"CARS")</f>
        <v>CARS</v>
      </c>
      <c r="E363" s="122" t="str">
        <f>IFERROR(__xludf.DUMMYFUNCTION("""COMPUTED_VALUE"""),"AutoArena")</f>
        <v>AutoArena</v>
      </c>
      <c r="F363" s="122" t="str">
        <f>IFERROR(__xludf.DUMMYFUNCTION("""COMPUTED_VALUE"""),"Automotive")</f>
        <v>Automotive</v>
      </c>
    </row>
    <row r="364">
      <c r="A364" s="131">
        <f>IFERROR(__xludf.DUMMYFUNCTION("""COMPUTED_VALUE"""),46186.690474537034)</f>
        <v>46186.69047</v>
      </c>
      <c r="B364" s="126">
        <f>IFERROR(__xludf.DUMMYFUNCTION("""COMPUTED_VALUE"""),46186.0)</f>
        <v>46186</v>
      </c>
      <c r="C364" s="130">
        <f>IFERROR(__xludf.DUMMYFUNCTION("""COMPUTED_VALUE"""),0.690474537037037)</f>
        <v>0.690474537</v>
      </c>
      <c r="D364" s="122" t="str">
        <f>IFERROR(__xludf.DUMMYFUNCTION("""COMPUTED_VALUE"""),"EVGO")</f>
        <v>EVGO</v>
      </c>
      <c r="E364" s="122" t="str">
        <f>IFERROR(__xludf.DUMMYFUNCTION("""COMPUTED_VALUE"""),"EVGo Motors")</f>
        <v>EVGo Motors</v>
      </c>
      <c r="F364" s="122" t="str">
        <f>IFERROR(__xludf.DUMMYFUNCTION("""COMPUTED_VALUE"""),"Automotive")</f>
        <v>Automotive</v>
      </c>
    </row>
    <row r="365">
      <c r="A365" s="131">
        <f>IFERROR(__xludf.DUMMYFUNCTION("""COMPUTED_VALUE"""),46186.690474537034)</f>
        <v>46186.69047</v>
      </c>
      <c r="B365" s="126">
        <f>IFERROR(__xludf.DUMMYFUNCTION("""COMPUTED_VALUE"""),46186.0)</f>
        <v>46186</v>
      </c>
      <c r="C365" s="130">
        <f>IFERROR(__xludf.DUMMYFUNCTION("""COMPUTED_VALUE"""),0.690474537037037)</f>
        <v>0.690474537</v>
      </c>
      <c r="D365" s="122" t="str">
        <f>IFERROR(__xludf.DUMMYFUNCTION("""COMPUTED_VALUE"""),"TIRE")</f>
        <v>TIRE</v>
      </c>
      <c r="E365" s="122" t="str">
        <f>IFERROR(__xludf.DUMMYFUNCTION("""COMPUTED_VALUE"""),"TireTown")</f>
        <v>TireTown</v>
      </c>
      <c r="F365" s="122" t="str">
        <f>IFERROR(__xludf.DUMMYFUNCTION("""COMPUTED_VALUE"""),"Automotive")</f>
        <v>Automotive</v>
      </c>
    </row>
    <row r="366">
      <c r="A366" s="131">
        <f>IFERROR(__xludf.DUMMYFUNCTION("""COMPUTED_VALUE"""),46186.690474537034)</f>
        <v>46186.69047</v>
      </c>
      <c r="B366" s="126">
        <f>IFERROR(__xludf.DUMMYFUNCTION("""COMPUTED_VALUE"""),46186.0)</f>
        <v>46186</v>
      </c>
      <c r="C366" s="130">
        <f>IFERROR(__xludf.DUMMYFUNCTION("""COMPUTED_VALUE"""),0.690474537037037)</f>
        <v>0.690474537</v>
      </c>
      <c r="D366" s="122" t="str">
        <f>IFERROR(__xludf.DUMMYFUNCTION("""COMPUTED_VALUE"""),"BIKE")</f>
        <v>BIKE</v>
      </c>
      <c r="E366" s="122" t="str">
        <f>IFERROR(__xludf.DUMMYFUNCTION("""COMPUTED_VALUE"""),"BikeBox")</f>
        <v>BikeBox</v>
      </c>
      <c r="F366" s="122" t="str">
        <f>IFERROR(__xludf.DUMMYFUNCTION("""COMPUTED_VALUE"""),"Automotive")</f>
        <v>Automotive</v>
      </c>
    </row>
    <row r="367">
      <c r="A367" s="131">
        <f>IFERROR(__xludf.DUMMYFUNCTION("""COMPUTED_VALUE"""),46186.690474537034)</f>
        <v>46186.69047</v>
      </c>
      <c r="B367" s="126">
        <f>IFERROR(__xludf.DUMMYFUNCTION("""COMPUTED_VALUE"""),46186.0)</f>
        <v>46186</v>
      </c>
      <c r="C367" s="130">
        <f>IFERROR(__xludf.DUMMYFUNCTION("""COMPUTED_VALUE"""),0.690474537037037)</f>
        <v>0.690474537</v>
      </c>
      <c r="D367" s="122" t="str">
        <f>IFERROR(__xludf.DUMMYFUNCTION("""COMPUTED_VALUE"""),"WASH")</f>
        <v>WASH</v>
      </c>
      <c r="E367" s="122" t="str">
        <f>IFERROR(__xludf.DUMMYFUNCTION("""COMPUTED_VALUE"""),"CarWash Co")</f>
        <v>CarWash Co</v>
      </c>
      <c r="F367" s="122" t="str">
        <f>IFERROR(__xludf.DUMMYFUNCTION("""COMPUTED_VALUE"""),"Automotive")</f>
        <v>Automotive</v>
      </c>
    </row>
    <row r="368">
      <c r="A368" s="131">
        <f>IFERROR(__xludf.DUMMYFUNCTION("""COMPUTED_VALUE"""),46186.690474537034)</f>
        <v>46186.69047</v>
      </c>
      <c r="B368" s="126">
        <f>IFERROR(__xludf.DUMMYFUNCTION("""COMPUTED_VALUE"""),46186.0)</f>
        <v>46186</v>
      </c>
      <c r="C368" s="130">
        <f>IFERROR(__xludf.DUMMYFUNCTION("""COMPUTED_VALUE"""),0.690474537037037)</f>
        <v>0.690474537</v>
      </c>
      <c r="D368" s="122" t="str">
        <f>IFERROR(__xludf.DUMMYFUNCTION("""COMPUTED_VALUE"""),"GBND")</f>
        <v>GBND</v>
      </c>
      <c r="E368" s="122" t="str">
        <f>IFERROR(__xludf.DUMMYFUNCTION("""COMPUTED_VALUE"""),"Classroom Government Bond")</f>
        <v>Classroom Government Bond</v>
      </c>
      <c r="F368" s="122" t="str">
        <f>IFERROR(__xludf.DUMMYFUNCTION("""COMPUTED_VALUE"""),"Bond")</f>
        <v>Bond</v>
      </c>
    </row>
    <row r="369">
      <c r="A369" s="131">
        <f>IFERROR(__xludf.DUMMYFUNCTION("""COMPUTED_VALUE"""),46186.690474537034)</f>
        <v>46186.69047</v>
      </c>
      <c r="B369" s="126">
        <f>IFERROR(__xludf.DUMMYFUNCTION("""COMPUTED_VALUE"""),46186.0)</f>
        <v>46186</v>
      </c>
      <c r="C369" s="130">
        <f>IFERROR(__xludf.DUMMYFUNCTION("""COMPUTED_VALUE"""),0.690474537037037)</f>
        <v>0.690474537</v>
      </c>
      <c r="D369" s="122" t="str">
        <f>IFERROR(__xludf.DUMMYFUNCTION("""COMPUTED_VALUE"""),"SBND")</f>
        <v>SBND</v>
      </c>
      <c r="E369" s="122" t="str">
        <f>IFERROR(__xludf.DUMMYFUNCTION("""COMPUTED_VALUE"""),"School Savings Bond")</f>
        <v>School Savings Bond</v>
      </c>
      <c r="F369" s="122" t="str">
        <f>IFERROR(__xludf.DUMMYFUNCTION("""COMPUTED_VALUE"""),"Bond")</f>
        <v>Bond</v>
      </c>
    </row>
    <row r="370">
      <c r="A370" s="131">
        <f>IFERROR(__xludf.DUMMYFUNCTION("""COMPUTED_VALUE"""),46186.690474537034)</f>
        <v>46186.69047</v>
      </c>
      <c r="B370" s="126">
        <f>IFERROR(__xludf.DUMMYFUNCTION("""COMPUTED_VALUE"""),46186.0)</f>
        <v>46186</v>
      </c>
      <c r="C370" s="130">
        <f>IFERROR(__xludf.DUMMYFUNCTION("""COMPUTED_VALUE"""),0.690474537037037)</f>
        <v>0.690474537</v>
      </c>
      <c r="D370" s="122" t="str">
        <f>IFERROR(__xludf.DUMMYFUNCTION("""COMPUTED_VALUE"""),"CBND")</f>
        <v>CBND</v>
      </c>
      <c r="E370" s="122" t="str">
        <f>IFERROR(__xludf.DUMMYFUNCTION("""COMPUTED_VALUE"""),"Corporate Classroom Bond")</f>
        <v>Corporate Classroom Bond</v>
      </c>
      <c r="F370" s="122" t="str">
        <f>IFERROR(__xludf.DUMMYFUNCTION("""COMPUTED_VALUE"""),"Bond")</f>
        <v>Bond</v>
      </c>
    </row>
    <row r="371">
      <c r="A371" s="131">
        <f>IFERROR(__xludf.DUMMYFUNCTION("""COMPUTED_VALUE"""),46186.690474537034)</f>
        <v>46186.69047</v>
      </c>
      <c r="B371" s="126">
        <f>IFERROR(__xludf.DUMMYFUNCTION("""COMPUTED_VALUE"""),46186.0)</f>
        <v>46186</v>
      </c>
      <c r="C371" s="130">
        <f>IFERROR(__xludf.DUMMYFUNCTION("""COMPUTED_VALUE"""),0.690474537037037)</f>
        <v>0.690474537</v>
      </c>
      <c r="D371" s="122" t="str">
        <f>IFERROR(__xludf.DUMMYFUNCTION("""COMPUTED_VALUE"""),"TBIL")</f>
        <v>TBIL</v>
      </c>
      <c r="E371" s="122" t="str">
        <f>IFERROR(__xludf.DUMMYFUNCTION("""COMPUTED_VALUE"""),"Treasury Bill")</f>
        <v>Treasury Bill</v>
      </c>
      <c r="F371" s="122" t="str">
        <f>IFERROR(__xludf.DUMMYFUNCTION("""COMPUTED_VALUE"""),"Bond")</f>
        <v>Bond</v>
      </c>
    </row>
    <row r="372">
      <c r="A372" s="131">
        <f>IFERROR(__xludf.DUMMYFUNCTION("""COMPUTED_VALUE"""),46186.690474537034)</f>
        <v>46186.69047</v>
      </c>
      <c r="B372" s="126">
        <f>IFERROR(__xludf.DUMMYFUNCTION("""COMPUTED_VALUE"""),46186.0)</f>
        <v>46186</v>
      </c>
      <c r="C372" s="130">
        <f>IFERROR(__xludf.DUMMYFUNCTION("""COMPUTED_VALUE"""),0.690474537037037)</f>
        <v>0.690474537</v>
      </c>
      <c r="D372" s="122" t="str">
        <f>IFERROR(__xludf.DUMMYFUNCTION("""COMPUTED_VALUE"""),"IBND")</f>
        <v>IBND</v>
      </c>
      <c r="E372" s="122" t="str">
        <f>IFERROR(__xludf.DUMMYFUNCTION("""COMPUTED_VALUE"""),"Inflation Protected Bond")</f>
        <v>Inflation Protected Bond</v>
      </c>
      <c r="F372" s="122" t="str">
        <f>IFERROR(__xludf.DUMMYFUNCTION("""COMPUTED_VALUE"""),"Bond")</f>
        <v>Bond</v>
      </c>
    </row>
    <row r="373">
      <c r="A373" s="131">
        <f>IFERROR(__xludf.DUMMYFUNCTION("""COMPUTED_VALUE"""),46186.69247685185)</f>
        <v>46186.69248</v>
      </c>
      <c r="B373" s="126">
        <f>IFERROR(__xludf.DUMMYFUNCTION("""COMPUTED_VALUE"""),46186.0)</f>
        <v>46186</v>
      </c>
      <c r="C373" s="122" t="str">
        <f>IFERROR(__xludf.DUMMYFUNCTION("""COMPUTED_VALUE"""),"SNAX")</f>
        <v>SNAX</v>
      </c>
      <c r="D373" s="122" t="str">
        <f>IFERROR(__xludf.DUMMYFUNCTION("""COMPUTED_VALUE"""),"MICA Snacks")</f>
        <v>MICA Snacks</v>
      </c>
      <c r="E373" s="122">
        <f>IFERROR(__xludf.DUMMYFUNCTION("""COMPUTED_VALUE"""),124.14)</f>
        <v>124.14</v>
      </c>
      <c r="F373" s="122">
        <f>IFERROR(__xludf.DUMMYFUNCTION("""COMPUTED_VALUE"""),0.002)</f>
        <v>0.002</v>
      </c>
    </row>
    <row r="374">
      <c r="A374" s="131">
        <f>IFERROR(__xludf.DUMMYFUNCTION("""COMPUTED_VALUE"""),46186.69247685185)</f>
        <v>46186.69248</v>
      </c>
      <c r="B374" s="126">
        <f>IFERROR(__xludf.DUMMYFUNCTION("""COMPUTED_VALUE"""),46186.0)</f>
        <v>46186</v>
      </c>
      <c r="C374" s="122" t="str">
        <f>IFERROR(__xludf.DUMMYFUNCTION("""COMPUTED_VALUE"""),"RAMN")</f>
        <v>RAMN</v>
      </c>
      <c r="D374" s="122" t="str">
        <f>IFERROR(__xludf.DUMMYFUNCTION("""COMPUTED_VALUE"""),"Ramen Republic")</f>
        <v>Ramen Republic</v>
      </c>
      <c r="E374" s="122">
        <f>IFERROR(__xludf.DUMMYFUNCTION("""COMPUTED_VALUE"""),79.24)</f>
        <v>79.24</v>
      </c>
      <c r="F374" s="122">
        <f>IFERROR(__xludf.DUMMYFUNCTION("""COMPUTED_VALUE"""),0.0032)</f>
        <v>0.0032</v>
      </c>
    </row>
    <row r="375">
      <c r="A375" s="131">
        <f>IFERROR(__xludf.DUMMYFUNCTION("""COMPUTED_VALUE"""),46186.69247685185)</f>
        <v>46186.69248</v>
      </c>
      <c r="B375" s="126">
        <f>IFERROR(__xludf.DUMMYFUNCTION("""COMPUTED_VALUE"""),46186.0)</f>
        <v>46186</v>
      </c>
      <c r="C375" s="122" t="str">
        <f>IFERROR(__xludf.DUMMYFUNCTION("""COMPUTED_VALUE"""),"COLA")</f>
        <v>COLA</v>
      </c>
      <c r="D375" s="122" t="str">
        <f>IFERROR(__xludf.DUMMYFUNCTION("""COMPUTED_VALUE"""),"K-Pop Cola")</f>
        <v>K-Pop Cola</v>
      </c>
      <c r="E375" s="122">
        <f>IFERROR(__xludf.DUMMYFUNCTION("""COMPUTED_VALUE"""),104.46)</f>
        <v>104.46</v>
      </c>
      <c r="F375" s="122">
        <f>IFERROR(__xludf.DUMMYFUNCTION("""COMPUTED_VALUE"""),0.001)</f>
        <v>0.001</v>
      </c>
    </row>
    <row r="376">
      <c r="A376" s="131">
        <f>IFERROR(__xludf.DUMMYFUNCTION("""COMPUTED_VALUE"""),46186.69247685185)</f>
        <v>46186.69248</v>
      </c>
      <c r="B376" s="126">
        <f>IFERROR(__xludf.DUMMYFUNCTION("""COMPUTED_VALUE"""),46186.0)</f>
        <v>46186</v>
      </c>
      <c r="C376" s="122" t="str">
        <f>IFERROR(__xludf.DUMMYFUNCTION("""COMPUTED_VALUE"""),"CHIP")</f>
        <v>CHIP</v>
      </c>
      <c r="D376" s="122" t="str">
        <f>IFERROR(__xludf.DUMMYFUNCTION("""COMPUTED_VALUE"""),"Chip Empire")</f>
        <v>Chip Empire</v>
      </c>
      <c r="E376" s="122">
        <f>IFERROR(__xludf.DUMMYFUNCTION("""COMPUTED_VALUE"""),87.65)</f>
        <v>87.65</v>
      </c>
      <c r="F376" s="122">
        <f>IFERROR(__xludf.DUMMYFUNCTION("""COMPUTED_VALUE"""),0.0072)</f>
        <v>0.0072</v>
      </c>
    </row>
    <row r="377">
      <c r="A377" s="131">
        <f>IFERROR(__xludf.DUMMYFUNCTION("""COMPUTED_VALUE"""),46186.69247685185)</f>
        <v>46186.69248</v>
      </c>
      <c r="B377" s="126">
        <f>IFERROR(__xludf.DUMMYFUNCTION("""COMPUTED_VALUE"""),46186.0)</f>
        <v>46186</v>
      </c>
      <c r="C377" s="122" t="str">
        <f>IFERROR(__xludf.DUMMYFUNCTION("""COMPUTED_VALUE"""),"CAND")</f>
        <v>CAND</v>
      </c>
      <c r="D377" s="122" t="str">
        <f>IFERROR(__xludf.DUMMYFUNCTION("""COMPUTED_VALUE"""),"Candy Capital")</f>
        <v>Candy Capital</v>
      </c>
      <c r="E377" s="122">
        <f>IFERROR(__xludf.DUMMYFUNCTION("""COMPUTED_VALUE"""),77.06)</f>
        <v>77.06</v>
      </c>
      <c r="F377" s="122">
        <f>IFERROR(__xludf.DUMMYFUNCTION("""COMPUTED_VALUE"""),0.0047)</f>
        <v>0.0047</v>
      </c>
    </row>
    <row r="378">
      <c r="A378" s="131">
        <f>IFERROR(__xludf.DUMMYFUNCTION("""COMPUTED_VALUE"""),46186.69247685185)</f>
        <v>46186.69248</v>
      </c>
      <c r="B378" s="126">
        <f>IFERROR(__xludf.DUMMYFUNCTION("""COMPUTED_VALUE"""),46186.0)</f>
        <v>46186</v>
      </c>
      <c r="C378" s="122" t="str">
        <f>IFERROR(__xludf.DUMMYFUNCTION("""COMPUTED_VALUE"""),"TECH")</f>
        <v>TECH</v>
      </c>
      <c r="D378" s="122" t="str">
        <f>IFERROR(__xludf.DUMMYFUNCTION("""COMPUTED_VALUE"""),"Dragon Tech")</f>
        <v>Dragon Tech</v>
      </c>
      <c r="E378" s="122">
        <f>IFERROR(__xludf.DUMMYFUNCTION("""COMPUTED_VALUE"""),246.92)</f>
        <v>246.92</v>
      </c>
      <c r="F378" s="122">
        <f>IFERROR(__xludf.DUMMYFUNCTION("""COMPUTED_VALUE"""),0.0087)</f>
        <v>0.0087</v>
      </c>
    </row>
    <row r="379">
      <c r="A379" s="131">
        <f>IFERROR(__xludf.DUMMYFUNCTION("""COMPUTED_VALUE"""),46186.69247685185)</f>
        <v>46186.69248</v>
      </c>
      <c r="B379" s="126">
        <f>IFERROR(__xludf.DUMMYFUNCTION("""COMPUTED_VALUE"""),46186.0)</f>
        <v>46186</v>
      </c>
      <c r="C379" s="122" t="str">
        <f>IFERROR(__xludf.DUMMYFUNCTION("""COMPUTED_VALUE"""),"AIBO")</f>
        <v>AIBO</v>
      </c>
      <c r="D379" s="122" t="str">
        <f>IFERROR(__xludf.DUMMYFUNCTION("""COMPUTED_VALUE"""),"Homework AI")</f>
        <v>Homework AI</v>
      </c>
      <c r="E379" s="122">
        <f>IFERROR(__xludf.DUMMYFUNCTION("""COMPUTED_VALUE"""),177.2)</f>
        <v>177.2</v>
      </c>
      <c r="F379" s="122">
        <f>IFERROR(__xludf.DUMMYFUNCTION("""COMPUTED_VALUE"""),0.0061)</f>
        <v>0.0061</v>
      </c>
    </row>
    <row r="380">
      <c r="A380" s="131">
        <f>IFERROR(__xludf.DUMMYFUNCTION("""COMPUTED_VALUE"""),46186.69247685185)</f>
        <v>46186.69248</v>
      </c>
      <c r="B380" s="126">
        <f>IFERROR(__xludf.DUMMYFUNCTION("""COMPUTED_VALUE"""),46186.0)</f>
        <v>46186</v>
      </c>
      <c r="C380" s="122" t="str">
        <f>IFERROR(__xludf.DUMMYFUNCTION("""COMPUTED_VALUE"""),"GAME")</f>
        <v>GAME</v>
      </c>
      <c r="D380" s="122" t="str">
        <f>IFERROR(__xludf.DUMMYFUNCTION("""COMPUTED_VALUE"""),"GameBox Media")</f>
        <v>GameBox Media</v>
      </c>
      <c r="E380" s="122">
        <f>IFERROR(__xludf.DUMMYFUNCTION("""COMPUTED_VALUE"""),87.63)</f>
        <v>87.63</v>
      </c>
      <c r="F380" s="122">
        <f>IFERROR(__xludf.DUMMYFUNCTION("""COMPUTED_VALUE"""),-0.0019)</f>
        <v>-0.0019</v>
      </c>
    </row>
    <row r="381">
      <c r="A381" s="131">
        <f>IFERROR(__xludf.DUMMYFUNCTION("""COMPUTED_VALUE"""),46186.69247685185)</f>
        <v>46186.69248</v>
      </c>
      <c r="B381" s="126">
        <f>IFERROR(__xludf.DUMMYFUNCTION("""COMPUTED_VALUE"""),46186.0)</f>
        <v>46186</v>
      </c>
      <c r="C381" s="122" t="str">
        <f>IFERROR(__xludf.DUMMYFUNCTION("""COMPUTED_VALUE"""),"VRSE")</f>
        <v>VRSE</v>
      </c>
      <c r="D381" s="122" t="str">
        <f>IFERROR(__xludf.DUMMYFUNCTION("""COMPUTED_VALUE"""),"VerseVR")</f>
        <v>VerseVR</v>
      </c>
      <c r="E381" s="122">
        <f>IFERROR(__xludf.DUMMYFUNCTION("""COMPUTED_VALUE"""),153.19)</f>
        <v>153.19</v>
      </c>
      <c r="F381" s="122">
        <f>IFERROR(__xludf.DUMMYFUNCTION("""COMPUTED_VALUE"""),-0.0026)</f>
        <v>-0.0026</v>
      </c>
    </row>
    <row r="382">
      <c r="A382" s="131">
        <f>IFERROR(__xludf.DUMMYFUNCTION("""COMPUTED_VALUE"""),46186.69247685185)</f>
        <v>46186.69248</v>
      </c>
      <c r="B382" s="126">
        <f>IFERROR(__xludf.DUMMYFUNCTION("""COMPUTED_VALUE"""),46186.0)</f>
        <v>46186</v>
      </c>
      <c r="C382" s="122" t="str">
        <f>IFERROR(__xludf.DUMMYFUNCTION("""COMPUTED_VALUE"""),"BYTE")</f>
        <v>BYTE</v>
      </c>
      <c r="D382" s="122" t="str">
        <f>IFERROR(__xludf.DUMMYFUNCTION("""COMPUTED_VALUE"""),"ByteWorks")</f>
        <v>ByteWorks</v>
      </c>
      <c r="E382" s="122">
        <f>IFERROR(__xludf.DUMMYFUNCTION("""COMPUTED_VALUE"""),109.75)</f>
        <v>109.75</v>
      </c>
      <c r="F382" s="122">
        <f>IFERROR(__xludf.DUMMYFUNCTION("""COMPUTED_VALUE"""),0.0042)</f>
        <v>0.0042</v>
      </c>
    </row>
    <row r="383">
      <c r="A383" s="131">
        <f>IFERROR(__xludf.DUMMYFUNCTION("""COMPUTED_VALUE"""),46186.69247685185)</f>
        <v>46186.69248</v>
      </c>
      <c r="B383" s="126">
        <f>IFERROR(__xludf.DUMMYFUNCTION("""COMPUTED_VALUE"""),46186.0)</f>
        <v>46186</v>
      </c>
      <c r="C383" s="122" t="str">
        <f>IFERROR(__xludf.DUMMYFUNCTION("""COMPUTED_VALUE"""),"BANK")</f>
        <v>BANK</v>
      </c>
      <c r="D383" s="122" t="str">
        <f>IFERROR(__xludf.DUMMYFUNCTION("""COMPUTED_VALUE"""),"Tiger Bank")</f>
        <v>Tiger Bank</v>
      </c>
      <c r="E383" s="122">
        <f>IFERROR(__xludf.DUMMYFUNCTION("""COMPUTED_VALUE"""),122.5)</f>
        <v>122.5</v>
      </c>
      <c r="F383" s="122">
        <f>IFERROR(__xludf.DUMMYFUNCTION("""COMPUTED_VALUE"""),0.0016)</f>
        <v>0.0016</v>
      </c>
    </row>
    <row r="384">
      <c r="A384" s="131">
        <f>IFERROR(__xludf.DUMMYFUNCTION("""COMPUTED_VALUE"""),46186.69247685185)</f>
        <v>46186.69248</v>
      </c>
      <c r="B384" s="126">
        <f>IFERROR(__xludf.DUMMYFUNCTION("""COMPUTED_VALUE"""),46186.0)</f>
        <v>46186</v>
      </c>
      <c r="C384" s="122" t="str">
        <f>IFERROR(__xludf.DUMMYFUNCTION("""COMPUTED_VALUE"""),"CRED")</f>
        <v>CRED</v>
      </c>
      <c r="D384" s="122" t="str">
        <f>IFERROR(__xludf.DUMMYFUNCTION("""COMPUTED_VALUE"""),"Credit Castle")</f>
        <v>Credit Castle</v>
      </c>
      <c r="E384" s="122">
        <f>IFERROR(__xludf.DUMMYFUNCTION("""COMPUTED_VALUE"""),68.54)</f>
        <v>68.54</v>
      </c>
      <c r="F384" s="122">
        <f>IFERROR(__xludf.DUMMYFUNCTION("""COMPUTED_VALUE"""),-0.0049)</f>
        <v>-0.0049</v>
      </c>
    </row>
    <row r="385">
      <c r="A385" s="131">
        <f>IFERROR(__xludf.DUMMYFUNCTION("""COMPUTED_VALUE"""),46186.69247685185)</f>
        <v>46186.69248</v>
      </c>
      <c r="B385" s="126">
        <f>IFERROR(__xludf.DUMMYFUNCTION("""COMPUTED_VALUE"""),46186.0)</f>
        <v>46186</v>
      </c>
      <c r="C385" s="122" t="str">
        <f>IFERROR(__xludf.DUMMYFUNCTION("""COMPUTED_VALUE"""),"BOND")</f>
        <v>BOND</v>
      </c>
      <c r="D385" s="122" t="str">
        <f>IFERROR(__xludf.DUMMYFUNCTION("""COMPUTED_VALUE"""),"BondBridge")</f>
        <v>BondBridge</v>
      </c>
      <c r="E385" s="122">
        <f>IFERROR(__xludf.DUMMYFUNCTION("""COMPUTED_VALUE"""),94.34)</f>
        <v>94.34</v>
      </c>
      <c r="F385" s="122">
        <f>IFERROR(__xludf.DUMMYFUNCTION("""COMPUTED_VALUE"""),0.0015)</f>
        <v>0.0015</v>
      </c>
    </row>
    <row r="386">
      <c r="A386" s="131">
        <f>IFERROR(__xludf.DUMMYFUNCTION("""COMPUTED_VALUE"""),46186.69247685185)</f>
        <v>46186.69248</v>
      </c>
      <c r="B386" s="126">
        <f>IFERROR(__xludf.DUMMYFUNCTION("""COMPUTED_VALUE"""),46186.0)</f>
        <v>46186</v>
      </c>
      <c r="C386" s="122" t="str">
        <f>IFERROR(__xludf.DUMMYFUNCTION("""COMPUTED_VALUE"""),"INSR")</f>
        <v>INSR</v>
      </c>
      <c r="D386" s="122" t="str">
        <f>IFERROR(__xludf.DUMMYFUNCTION("""COMPUTED_VALUE"""),"Shield Insurance")</f>
        <v>Shield Insurance</v>
      </c>
      <c r="E386" s="122">
        <f>IFERROR(__xludf.DUMMYFUNCTION("""COMPUTED_VALUE"""),150.63)</f>
        <v>150.63</v>
      </c>
      <c r="F386" s="122">
        <f>IFERROR(__xludf.DUMMYFUNCTION("""COMPUTED_VALUE"""),-0.0025)</f>
        <v>-0.0025</v>
      </c>
    </row>
    <row r="387">
      <c r="A387" s="131">
        <f>IFERROR(__xludf.DUMMYFUNCTION("""COMPUTED_VALUE"""),46186.69247685185)</f>
        <v>46186.69248</v>
      </c>
      <c r="B387" s="126">
        <f>IFERROR(__xludf.DUMMYFUNCTION("""COMPUTED_VALUE"""),46186.0)</f>
        <v>46186</v>
      </c>
      <c r="C387" s="122" t="str">
        <f>IFERROR(__xludf.DUMMYFUNCTION("""COMPUTED_VALUE"""),"LOAN")</f>
        <v>LOAN</v>
      </c>
      <c r="D387" s="122" t="str">
        <f>IFERROR(__xludf.DUMMYFUNCTION("""COMPUTED_VALUE"""),"LoanLab")</f>
        <v>LoanLab</v>
      </c>
      <c r="E387" s="122">
        <f>IFERROR(__xludf.DUMMYFUNCTION("""COMPUTED_VALUE"""),59.43)</f>
        <v>59.43</v>
      </c>
      <c r="F387" s="122">
        <f>IFERROR(__xludf.DUMMYFUNCTION("""COMPUTED_VALUE"""),-0.004)</f>
        <v>-0.004</v>
      </c>
    </row>
    <row r="388">
      <c r="A388" s="131">
        <f>IFERROR(__xludf.DUMMYFUNCTION("""COMPUTED_VALUE"""),46186.69247685185)</f>
        <v>46186.69248</v>
      </c>
      <c r="B388" s="126">
        <f>IFERROR(__xludf.DUMMYFUNCTION("""COMPUTED_VALUE"""),46186.0)</f>
        <v>46186</v>
      </c>
      <c r="C388" s="122" t="str">
        <f>IFERROR(__xludf.DUMMYFUNCTION("""COMPUTED_VALUE"""),"LUXE")</f>
        <v>LUXE</v>
      </c>
      <c r="D388" s="122" t="str">
        <f>IFERROR(__xludf.DUMMYFUNCTION("""COMPUTED_VALUE"""),"Luxury Locker")</f>
        <v>Luxury Locker</v>
      </c>
      <c r="E388" s="122">
        <f>IFERROR(__xludf.DUMMYFUNCTION("""COMPUTED_VALUE"""),262.36)</f>
        <v>262.36</v>
      </c>
      <c r="F388" s="122">
        <f>IFERROR(__xludf.DUMMYFUNCTION("""COMPUTED_VALUE"""),-0.0056)</f>
        <v>-0.0056</v>
      </c>
    </row>
    <row r="389">
      <c r="A389" s="131">
        <f>IFERROR(__xludf.DUMMYFUNCTION("""COMPUTED_VALUE"""),46186.69247685185)</f>
        <v>46186.69248</v>
      </c>
      <c r="B389" s="126">
        <f>IFERROR(__xludf.DUMMYFUNCTION("""COMPUTED_VALUE"""),46186.0)</f>
        <v>46186</v>
      </c>
      <c r="C389" s="122" t="str">
        <f>IFERROR(__xludf.DUMMYFUNCTION("""COMPUTED_VALUE"""),"DRIP")</f>
        <v>DRIP</v>
      </c>
      <c r="D389" s="122" t="str">
        <f>IFERROR(__xludf.DUMMYFUNCTION("""COMPUTED_VALUE"""),"Drip Streetwear")</f>
        <v>Drip Streetwear</v>
      </c>
      <c r="E389" s="122">
        <f>IFERROR(__xludf.DUMMYFUNCTION("""COMPUTED_VALUE"""),199.49)</f>
        <v>199.49</v>
      </c>
      <c r="F389" s="122">
        <f>IFERROR(__xludf.DUMMYFUNCTION("""COMPUTED_VALUE"""),-0.0047)</f>
        <v>-0.0047</v>
      </c>
    </row>
    <row r="390">
      <c r="A390" s="131">
        <f>IFERROR(__xludf.DUMMYFUNCTION("""COMPUTED_VALUE"""),46186.69247685185)</f>
        <v>46186.69248</v>
      </c>
      <c r="B390" s="126">
        <f>IFERROR(__xludf.DUMMYFUNCTION("""COMPUTED_VALUE"""),46186.0)</f>
        <v>46186</v>
      </c>
      <c r="C390" s="122" t="str">
        <f>IFERROR(__xludf.DUMMYFUNCTION("""COMPUTED_VALUE"""),"KICK")</f>
        <v>KICK</v>
      </c>
      <c r="D390" s="122" t="str">
        <f>IFERROR(__xludf.DUMMYFUNCTION("""COMPUTED_VALUE"""),"KickDrop Sneakers")</f>
        <v>KickDrop Sneakers</v>
      </c>
      <c r="E390" s="122">
        <f>IFERROR(__xludf.DUMMYFUNCTION("""COMPUTED_VALUE"""),180.91)</f>
        <v>180.91</v>
      </c>
      <c r="F390" s="122">
        <f>IFERROR(__xludf.DUMMYFUNCTION("""COMPUTED_VALUE"""),-0.0054)</f>
        <v>-0.0054</v>
      </c>
    </row>
    <row r="391">
      <c r="A391" s="131">
        <f>IFERROR(__xludf.DUMMYFUNCTION("""COMPUTED_VALUE"""),46186.69247685185)</f>
        <v>46186.69248</v>
      </c>
      <c r="B391" s="126">
        <f>IFERROR(__xludf.DUMMYFUNCTION("""COMPUTED_VALUE"""),46186.0)</f>
        <v>46186</v>
      </c>
      <c r="C391" s="122" t="str">
        <f>IFERROR(__xludf.DUMMYFUNCTION("""COMPUTED_VALUE"""),"GLAM")</f>
        <v>GLAM</v>
      </c>
      <c r="D391" s="122" t="str">
        <f>IFERROR(__xludf.DUMMYFUNCTION("""COMPUTED_VALUE"""),"Glow Cosmetics")</f>
        <v>Glow Cosmetics</v>
      </c>
      <c r="E391" s="122">
        <f>IFERROR(__xludf.DUMMYFUNCTION("""COMPUTED_VALUE"""),91.66)</f>
        <v>91.66</v>
      </c>
      <c r="F391" s="122">
        <f>IFERROR(__xludf.DUMMYFUNCTION("""COMPUTED_VALUE"""),0.0057)</f>
        <v>0.0057</v>
      </c>
    </row>
    <row r="392">
      <c r="A392" s="131">
        <f>IFERROR(__xludf.DUMMYFUNCTION("""COMPUTED_VALUE"""),46186.69247685185)</f>
        <v>46186.69248</v>
      </c>
      <c r="B392" s="126">
        <f>IFERROR(__xludf.DUMMYFUNCTION("""COMPUTED_VALUE"""),46186.0)</f>
        <v>46186</v>
      </c>
      <c r="C392" s="122" t="str">
        <f>IFERROR(__xludf.DUMMYFUNCTION("""COMPUTED_VALUE"""),"BAGG")</f>
        <v>BAGG</v>
      </c>
      <c r="D392" s="122" t="str">
        <f>IFERROR(__xludf.DUMMYFUNCTION("""COMPUTED_VALUE"""),"BagVault")</f>
        <v>BagVault</v>
      </c>
      <c r="E392" s="122">
        <f>IFERROR(__xludf.DUMMYFUNCTION("""COMPUTED_VALUE"""),243.0)</f>
        <v>243</v>
      </c>
      <c r="F392" s="122">
        <f>IFERROR(__xludf.DUMMYFUNCTION("""COMPUTED_VALUE"""),0.0113)</f>
        <v>0.0113</v>
      </c>
    </row>
    <row r="393">
      <c r="A393" s="131">
        <f>IFERROR(__xludf.DUMMYFUNCTION("""COMPUTED_VALUE"""),46186.69247685185)</f>
        <v>46186.69248</v>
      </c>
      <c r="B393" s="126">
        <f>IFERROR(__xludf.DUMMYFUNCTION("""COMPUTED_VALUE"""),46186.0)</f>
        <v>46186</v>
      </c>
      <c r="C393" s="122" t="str">
        <f>IFERROR(__xludf.DUMMYFUNCTION("""COMPUTED_VALUE"""),"FAST")</f>
        <v>FAST</v>
      </c>
      <c r="D393" s="122" t="str">
        <f>IFERROR(__xludf.DUMMYFUNCTION("""COMPUTED_VALUE"""),"Flash Logistics")</f>
        <v>Flash Logistics</v>
      </c>
      <c r="E393" s="122">
        <f>IFERROR(__xludf.DUMMYFUNCTION("""COMPUTED_VALUE"""),101.88)</f>
        <v>101.88</v>
      </c>
      <c r="F393" s="122">
        <f>IFERROR(__xludf.DUMMYFUNCTION("""COMPUTED_VALUE"""),0.0044)</f>
        <v>0.0044</v>
      </c>
    </row>
    <row r="394">
      <c r="A394" s="131">
        <f>IFERROR(__xludf.DUMMYFUNCTION("""COMPUTED_VALUE"""),46186.69247685185)</f>
        <v>46186.69248</v>
      </c>
      <c r="B394" s="126">
        <f>IFERROR(__xludf.DUMMYFUNCTION("""COMPUTED_VALUE"""),46186.0)</f>
        <v>46186</v>
      </c>
      <c r="C394" s="122" t="str">
        <f>IFERROR(__xludf.DUMMYFUNCTION("""COMPUTED_VALUE"""),"SHIP")</f>
        <v>SHIP</v>
      </c>
      <c r="D394" s="122" t="str">
        <f>IFERROR(__xludf.DUMMYFUNCTION("""COMPUTED_VALUE"""),"Seoul Shipping")</f>
        <v>Seoul Shipping</v>
      </c>
      <c r="E394" s="122">
        <f>IFERROR(__xludf.DUMMYFUNCTION("""COMPUTED_VALUE"""),117.51)</f>
        <v>117.51</v>
      </c>
      <c r="F394" s="122">
        <f>IFERROR(__xludf.DUMMYFUNCTION("""COMPUTED_VALUE"""),-0.0026)</f>
        <v>-0.0026</v>
      </c>
    </row>
    <row r="395">
      <c r="A395" s="131">
        <f>IFERROR(__xludf.DUMMYFUNCTION("""COMPUTED_VALUE"""),46186.69247685185)</f>
        <v>46186.69248</v>
      </c>
      <c r="B395" s="126">
        <f>IFERROR(__xludf.DUMMYFUNCTION("""COMPUTED_VALUE"""),46186.0)</f>
        <v>46186</v>
      </c>
      <c r="C395" s="122" t="str">
        <f>IFERROR(__xludf.DUMMYFUNCTION("""COMPUTED_VALUE"""),"DRON")</f>
        <v>DRON</v>
      </c>
      <c r="D395" s="122" t="str">
        <f>IFERROR(__xludf.DUMMYFUNCTION("""COMPUTED_VALUE"""),"DroneDrop")</f>
        <v>DroneDrop</v>
      </c>
      <c r="E395" s="122">
        <f>IFERROR(__xludf.DUMMYFUNCTION("""COMPUTED_VALUE"""),132.39)</f>
        <v>132.39</v>
      </c>
      <c r="F395" s="122">
        <f>IFERROR(__xludf.DUMMYFUNCTION("""COMPUTED_VALUE"""),-0.0103)</f>
        <v>-0.0103</v>
      </c>
    </row>
    <row r="396">
      <c r="A396" s="131">
        <f>IFERROR(__xludf.DUMMYFUNCTION("""COMPUTED_VALUE"""),46186.69247685185)</f>
        <v>46186.69248</v>
      </c>
      <c r="B396" s="126">
        <f>IFERROR(__xludf.DUMMYFUNCTION("""COMPUTED_VALUE"""),46186.0)</f>
        <v>46186</v>
      </c>
      <c r="C396" s="122" t="str">
        <f>IFERROR(__xludf.DUMMYFUNCTION("""COMPUTED_VALUE"""),"RIDE")</f>
        <v>RIDE</v>
      </c>
      <c r="D396" s="122" t="str">
        <f>IFERROR(__xludf.DUMMYFUNCTION("""COMPUTED_VALUE"""),"QuickRide")</f>
        <v>QuickRide</v>
      </c>
      <c r="E396" s="122">
        <f>IFERROR(__xludf.DUMMYFUNCTION("""COMPUTED_VALUE"""),95.86)</f>
        <v>95.86</v>
      </c>
      <c r="F396" s="122">
        <f>IFERROR(__xludf.DUMMYFUNCTION("""COMPUTED_VALUE"""),0.0104)</f>
        <v>0.0104</v>
      </c>
    </row>
    <row r="397">
      <c r="A397" s="131">
        <f>IFERROR(__xludf.DUMMYFUNCTION("""COMPUTED_VALUE"""),46186.69247685185)</f>
        <v>46186.69248</v>
      </c>
      <c r="B397" s="126">
        <f>IFERROR(__xludf.DUMMYFUNCTION("""COMPUTED_VALUE"""),46186.0)</f>
        <v>46186</v>
      </c>
      <c r="C397" s="122" t="str">
        <f>IFERROR(__xludf.DUMMYFUNCTION("""COMPUTED_VALUE"""),"RAIL")</f>
        <v>RAIL</v>
      </c>
      <c r="D397" s="122" t="str">
        <f>IFERROR(__xludf.DUMMYFUNCTION("""COMPUTED_VALUE"""),"MetroRail Corp")</f>
        <v>MetroRail Corp</v>
      </c>
      <c r="E397" s="122">
        <f>IFERROR(__xludf.DUMMYFUNCTION("""COMPUTED_VALUE"""),134.24)</f>
        <v>134.24</v>
      </c>
      <c r="F397" s="122">
        <f>IFERROR(__xludf.DUMMYFUNCTION("""COMPUTED_VALUE"""),0.0026)</f>
        <v>0.0026</v>
      </c>
    </row>
    <row r="398">
      <c r="A398" s="131">
        <f>IFERROR(__xludf.DUMMYFUNCTION("""COMPUTED_VALUE"""),46186.69247685185)</f>
        <v>46186.69248</v>
      </c>
      <c r="B398" s="126">
        <f>IFERROR(__xludf.DUMMYFUNCTION("""COMPUTED_VALUE"""),46186.0)</f>
        <v>46186</v>
      </c>
      <c r="C398" s="122" t="str">
        <f>IFERROR(__xludf.DUMMYFUNCTION("""COMPUTED_VALUE"""),"MEDX")</f>
        <v>MEDX</v>
      </c>
      <c r="D398" s="122" t="str">
        <f>IFERROR(__xludf.DUMMYFUNCTION("""COMPUTED_VALUE"""),"MediCore")</f>
        <v>MediCore</v>
      </c>
      <c r="E398" s="122">
        <f>IFERROR(__xludf.DUMMYFUNCTION("""COMPUTED_VALUE"""),136.07)</f>
        <v>136.07</v>
      </c>
      <c r="F398" s="122">
        <f>IFERROR(__xludf.DUMMYFUNCTION("""COMPUTED_VALUE"""),0.0024)</f>
        <v>0.0024</v>
      </c>
    </row>
    <row r="399">
      <c r="A399" s="131">
        <f>IFERROR(__xludf.DUMMYFUNCTION("""COMPUTED_VALUE"""),46186.69247685185)</f>
        <v>46186.69248</v>
      </c>
      <c r="B399" s="126">
        <f>IFERROR(__xludf.DUMMYFUNCTION("""COMPUTED_VALUE"""),46186.0)</f>
        <v>46186</v>
      </c>
      <c r="C399" s="122" t="str">
        <f>IFERROR(__xludf.DUMMYFUNCTION("""COMPUTED_VALUE"""),"GYMX")</f>
        <v>GYMX</v>
      </c>
      <c r="D399" s="122" t="str">
        <f>IFERROR(__xludf.DUMMYFUNCTION("""COMPUTED_VALUE"""),"GymX Fitness")</f>
        <v>GymX Fitness</v>
      </c>
      <c r="E399" s="122">
        <f>IFERROR(__xludf.DUMMYFUNCTION("""COMPUTED_VALUE"""),87.76)</f>
        <v>87.76</v>
      </c>
      <c r="F399" s="122">
        <f>IFERROR(__xludf.DUMMYFUNCTION("""COMPUTED_VALUE"""),-0.0011)</f>
        <v>-0.0011</v>
      </c>
    </row>
    <row r="400">
      <c r="A400" s="131">
        <f>IFERROR(__xludf.DUMMYFUNCTION("""COMPUTED_VALUE"""),46186.69247685185)</f>
        <v>46186.69248</v>
      </c>
      <c r="B400" s="126">
        <f>IFERROR(__xludf.DUMMYFUNCTION("""COMPUTED_VALUE"""),46186.0)</f>
        <v>46186</v>
      </c>
      <c r="C400" s="122" t="str">
        <f>IFERROR(__xludf.DUMMYFUNCTION("""COMPUTED_VALUE"""),"VITA")</f>
        <v>VITA</v>
      </c>
      <c r="D400" s="122" t="str">
        <f>IFERROR(__xludf.DUMMYFUNCTION("""COMPUTED_VALUE"""),"VitaPlus")</f>
        <v>VitaPlus</v>
      </c>
      <c r="E400" s="122">
        <f>IFERROR(__xludf.DUMMYFUNCTION("""COMPUTED_VALUE"""),75.74)</f>
        <v>75.74</v>
      </c>
      <c r="F400" s="122">
        <f>IFERROR(__xludf.DUMMYFUNCTION("""COMPUTED_VALUE"""),-0.0072)</f>
        <v>-0.0072</v>
      </c>
    </row>
    <row r="401">
      <c r="A401" s="131">
        <f>IFERROR(__xludf.DUMMYFUNCTION("""COMPUTED_VALUE"""),46186.69247685185)</f>
        <v>46186.69248</v>
      </c>
      <c r="B401" s="126">
        <f>IFERROR(__xludf.DUMMYFUNCTION("""COMPUTED_VALUE"""),46186.0)</f>
        <v>46186</v>
      </c>
      <c r="C401" s="122" t="str">
        <f>IFERROR(__xludf.DUMMYFUNCTION("""COMPUTED_VALUE"""),"CARE")</f>
        <v>CARE</v>
      </c>
      <c r="D401" s="122" t="str">
        <f>IFERROR(__xludf.DUMMYFUNCTION("""COMPUTED_VALUE"""),"CareCloud")</f>
        <v>CareCloud</v>
      </c>
      <c r="E401" s="122">
        <f>IFERROR(__xludf.DUMMYFUNCTION("""COMPUTED_VALUE"""),173.91)</f>
        <v>173.91</v>
      </c>
      <c r="F401" s="122">
        <f>IFERROR(__xludf.DUMMYFUNCTION("""COMPUTED_VALUE"""),0.0019)</f>
        <v>0.0019</v>
      </c>
    </row>
    <row r="402">
      <c r="A402" s="131">
        <f>IFERROR(__xludf.DUMMYFUNCTION("""COMPUTED_VALUE"""),46186.69247685185)</f>
        <v>46186.69248</v>
      </c>
      <c r="B402" s="126">
        <f>IFERROR(__xludf.DUMMYFUNCTION("""COMPUTED_VALUE"""),46186.0)</f>
        <v>46186</v>
      </c>
      <c r="C402" s="122" t="str">
        <f>IFERROR(__xludf.DUMMYFUNCTION("""COMPUTED_VALUE"""),"DENT")</f>
        <v>DENT</v>
      </c>
      <c r="D402" s="122" t="str">
        <f>IFERROR(__xludf.DUMMYFUNCTION("""COMPUTED_VALUE"""),"SmileWorks")</f>
        <v>SmileWorks</v>
      </c>
      <c r="E402" s="122">
        <f>IFERROR(__xludf.DUMMYFUNCTION("""COMPUTED_VALUE"""),81.51)</f>
        <v>81.51</v>
      </c>
      <c r="F402" s="122">
        <f>IFERROR(__xludf.DUMMYFUNCTION("""COMPUTED_VALUE"""),0.0033)</f>
        <v>0.0033</v>
      </c>
    </row>
    <row r="403">
      <c r="A403" s="131">
        <f>IFERROR(__xludf.DUMMYFUNCTION("""COMPUTED_VALUE"""),46186.69247685185)</f>
        <v>46186.69248</v>
      </c>
      <c r="B403" s="126">
        <f>IFERROR(__xludf.DUMMYFUNCTION("""COMPUTED_VALUE"""),46186.0)</f>
        <v>46186</v>
      </c>
      <c r="C403" s="122" t="str">
        <f>IFERROR(__xludf.DUMMYFUNCTION("""COMPUTED_VALUE"""),"EDUX")</f>
        <v>EDUX</v>
      </c>
      <c r="D403" s="122" t="str">
        <f>IFERROR(__xludf.DUMMYFUNCTION("""COMPUTED_VALUE"""),"EduMax Learning")</f>
        <v>EduMax Learning</v>
      </c>
      <c r="E403" s="122">
        <f>IFERROR(__xludf.DUMMYFUNCTION("""COMPUTED_VALUE"""),131.93)</f>
        <v>131.93</v>
      </c>
      <c r="F403" s="122">
        <f>IFERROR(__xludf.DUMMYFUNCTION("""COMPUTED_VALUE"""),-0.0054)</f>
        <v>-0.0054</v>
      </c>
    </row>
    <row r="404">
      <c r="A404" s="131">
        <f>IFERROR(__xludf.DUMMYFUNCTION("""COMPUTED_VALUE"""),46186.69247685185)</f>
        <v>46186.69248</v>
      </c>
      <c r="B404" s="126">
        <f>IFERROR(__xludf.DUMMYFUNCTION("""COMPUTED_VALUE"""),46186.0)</f>
        <v>46186</v>
      </c>
      <c r="C404" s="122" t="str">
        <f>IFERROR(__xludf.DUMMYFUNCTION("""COMPUTED_VALUE"""),"BOOK")</f>
        <v>BOOK</v>
      </c>
      <c r="D404" s="122" t="str">
        <f>IFERROR(__xludf.DUMMYFUNCTION("""COMPUTED_VALUE"""),"BookBridge")</f>
        <v>BookBridge</v>
      </c>
      <c r="E404" s="122">
        <f>IFERROR(__xludf.DUMMYFUNCTION("""COMPUTED_VALUE"""),110.08)</f>
        <v>110.08</v>
      </c>
      <c r="F404" s="122">
        <f>IFERROR(__xludf.DUMMYFUNCTION("""COMPUTED_VALUE"""),-0.0019)</f>
        <v>-0.0019</v>
      </c>
    </row>
    <row r="405">
      <c r="A405" s="131">
        <f>IFERROR(__xludf.DUMMYFUNCTION("""COMPUTED_VALUE"""),46186.69247685185)</f>
        <v>46186.69248</v>
      </c>
      <c r="B405" s="126">
        <f>IFERROR(__xludf.DUMMYFUNCTION("""COMPUTED_VALUE"""),46186.0)</f>
        <v>46186</v>
      </c>
      <c r="C405" s="122" t="str">
        <f>IFERROR(__xludf.DUMMYFUNCTION("""COMPUTED_VALUE"""),"TUTR")</f>
        <v>TUTR</v>
      </c>
      <c r="D405" s="122" t="str">
        <f>IFERROR(__xludf.DUMMYFUNCTION("""COMPUTED_VALUE"""),"TutorTown")</f>
        <v>TutorTown</v>
      </c>
      <c r="E405" s="122">
        <f>IFERROR(__xludf.DUMMYFUNCTION("""COMPUTED_VALUE"""),90.67)</f>
        <v>90.67</v>
      </c>
      <c r="F405" s="122">
        <f>IFERROR(__xludf.DUMMYFUNCTION("""COMPUTED_VALUE"""),0.0062)</f>
        <v>0.0062</v>
      </c>
    </row>
    <row r="406">
      <c r="A406" s="131">
        <f>IFERROR(__xludf.DUMMYFUNCTION("""COMPUTED_VALUE"""),46186.69247685185)</f>
        <v>46186.69248</v>
      </c>
      <c r="B406" s="126">
        <f>IFERROR(__xludf.DUMMYFUNCTION("""COMPUTED_VALUE"""),46186.0)</f>
        <v>46186</v>
      </c>
      <c r="C406" s="122" t="str">
        <f>IFERROR(__xludf.DUMMYFUNCTION("""COMPUTED_VALUE"""),"LANG")</f>
        <v>LANG</v>
      </c>
      <c r="D406" s="122" t="str">
        <f>IFERROR(__xludf.DUMMYFUNCTION("""COMPUTED_VALUE"""),"LinguaLab")</f>
        <v>LinguaLab</v>
      </c>
      <c r="E406" s="122">
        <f>IFERROR(__xludf.DUMMYFUNCTION("""COMPUTED_VALUE"""),94.3)</f>
        <v>94.3</v>
      </c>
      <c r="F406" s="122">
        <f>IFERROR(__xludf.DUMMYFUNCTION("""COMPUTED_VALUE"""),-0.0017)</f>
        <v>-0.0017</v>
      </c>
    </row>
    <row r="407">
      <c r="A407" s="131">
        <f>IFERROR(__xludf.DUMMYFUNCTION("""COMPUTED_VALUE"""),46186.69247685185)</f>
        <v>46186.69248</v>
      </c>
      <c r="B407" s="126">
        <f>IFERROR(__xludf.DUMMYFUNCTION("""COMPUTED_VALUE"""),46186.0)</f>
        <v>46186</v>
      </c>
      <c r="C407" s="122" t="str">
        <f>IFERROR(__xludf.DUMMYFUNCTION("""COMPUTED_VALUE"""),"TEST")</f>
        <v>TEST</v>
      </c>
      <c r="D407" s="122" t="str">
        <f>IFERROR(__xludf.DUMMYFUNCTION("""COMPUTED_VALUE"""),"TestPrep Pro")</f>
        <v>TestPrep Pro</v>
      </c>
      <c r="E407" s="122">
        <f>IFERROR(__xludf.DUMMYFUNCTION("""COMPUTED_VALUE"""),103.99)</f>
        <v>103.99</v>
      </c>
      <c r="F407" s="122">
        <f>IFERROR(__xludf.DUMMYFUNCTION("""COMPUTED_VALUE"""),-0.0021)</f>
        <v>-0.0021</v>
      </c>
    </row>
    <row r="408">
      <c r="A408" s="131">
        <f>IFERROR(__xludf.DUMMYFUNCTION("""COMPUTED_VALUE"""),46186.69247685185)</f>
        <v>46186.69248</v>
      </c>
      <c r="B408" s="126">
        <f>IFERROR(__xludf.DUMMYFUNCTION("""COMPUTED_VALUE"""),46186.0)</f>
        <v>46186</v>
      </c>
      <c r="C408" s="122" t="str">
        <f>IFERROR(__xludf.DUMMYFUNCTION("""COMPUTED_VALUE"""),"MOVI")</f>
        <v>MOVI</v>
      </c>
      <c r="D408" s="122" t="str">
        <f>IFERROR(__xludf.DUMMYFUNCTION("""COMPUTED_VALUE"""),"MovieBox")</f>
        <v>MovieBox</v>
      </c>
      <c r="E408" s="122">
        <f>IFERROR(__xludf.DUMMYFUNCTION("""COMPUTED_VALUE"""),79.78)</f>
        <v>79.78</v>
      </c>
      <c r="F408" s="122">
        <f>IFERROR(__xludf.DUMMYFUNCTION("""COMPUTED_VALUE"""),0.0035)</f>
        <v>0.0035</v>
      </c>
    </row>
    <row r="409">
      <c r="A409" s="131">
        <f>IFERROR(__xludf.DUMMYFUNCTION("""COMPUTED_VALUE"""),46186.69247685185)</f>
        <v>46186.69248</v>
      </c>
      <c r="B409" s="126">
        <f>IFERROR(__xludf.DUMMYFUNCTION("""COMPUTED_VALUE"""),46186.0)</f>
        <v>46186</v>
      </c>
      <c r="C409" s="122" t="str">
        <f>IFERROR(__xludf.DUMMYFUNCTION("""COMPUTED_VALUE"""),"MUSC")</f>
        <v>MUSC</v>
      </c>
      <c r="D409" s="122" t="str">
        <f>IFERROR(__xludf.DUMMYFUNCTION("""COMPUTED_VALUE"""),"MusicWave")</f>
        <v>MusicWave</v>
      </c>
      <c r="E409" s="122">
        <f>IFERROR(__xludf.DUMMYFUNCTION("""COMPUTED_VALUE"""),97.08)</f>
        <v>97.08</v>
      </c>
      <c r="F409" s="122">
        <f>IFERROR(__xludf.DUMMYFUNCTION("""COMPUTED_VALUE"""),-0.001)</f>
        <v>-0.001</v>
      </c>
    </row>
    <row r="410">
      <c r="A410" s="131">
        <f>IFERROR(__xludf.DUMMYFUNCTION("""COMPUTED_VALUE"""),46186.69247685185)</f>
        <v>46186.69248</v>
      </c>
      <c r="B410" s="126">
        <f>IFERROR(__xludf.DUMMYFUNCTION("""COMPUTED_VALUE"""),46186.0)</f>
        <v>46186</v>
      </c>
      <c r="C410" s="122" t="str">
        <f>IFERROR(__xludf.DUMMYFUNCTION("""COMPUTED_VALUE"""),"IDOL")</f>
        <v>IDOL</v>
      </c>
      <c r="D410" s="122" t="str">
        <f>IFERROR(__xludf.DUMMYFUNCTION("""COMPUTED_VALUE"""),"Idol Agency")</f>
        <v>Idol Agency</v>
      </c>
      <c r="E410" s="122">
        <f>IFERROR(__xludf.DUMMYFUNCTION("""COMPUTED_VALUE"""),201.34)</f>
        <v>201.34</v>
      </c>
      <c r="F410" s="122">
        <f>IFERROR(__xludf.DUMMYFUNCTION("""COMPUTED_VALUE"""),0.0017)</f>
        <v>0.0017</v>
      </c>
    </row>
    <row r="411">
      <c r="A411" s="131">
        <f>IFERROR(__xludf.DUMMYFUNCTION("""COMPUTED_VALUE"""),46186.69247685185)</f>
        <v>46186.69248</v>
      </c>
      <c r="B411" s="126">
        <f>IFERROR(__xludf.DUMMYFUNCTION("""COMPUTED_VALUE"""),46186.0)</f>
        <v>46186</v>
      </c>
      <c r="C411" s="122" t="str">
        <f>IFERROR(__xludf.DUMMYFUNCTION("""COMPUTED_VALUE"""),"MEME")</f>
        <v>MEME</v>
      </c>
      <c r="D411" s="122" t="str">
        <f>IFERROR(__xludf.DUMMYFUNCTION("""COMPUTED_VALUE"""),"Meme Media")</f>
        <v>Meme Media</v>
      </c>
      <c r="E411" s="122">
        <f>IFERROR(__xludf.DUMMYFUNCTION("""COMPUTED_VALUE"""),79.58)</f>
        <v>79.58</v>
      </c>
      <c r="F411" s="122">
        <f>IFERROR(__xludf.DUMMYFUNCTION("""COMPUTED_VALUE"""),0.0131)</f>
        <v>0.0131</v>
      </c>
    </row>
    <row r="412">
      <c r="A412" s="131">
        <f>IFERROR(__xludf.DUMMYFUNCTION("""COMPUTED_VALUE"""),46186.69247685185)</f>
        <v>46186.69248</v>
      </c>
      <c r="B412" s="126">
        <f>IFERROR(__xludf.DUMMYFUNCTION("""COMPUTED_VALUE"""),46186.0)</f>
        <v>46186</v>
      </c>
      <c r="C412" s="122" t="str">
        <f>IFERROR(__xludf.DUMMYFUNCTION("""COMPUTED_VALUE"""),"STRM")</f>
        <v>STRM</v>
      </c>
      <c r="D412" s="122" t="str">
        <f>IFERROR(__xludf.DUMMYFUNCTION("""COMPUTED_VALUE"""),"Streamly")</f>
        <v>Streamly</v>
      </c>
      <c r="E412" s="122">
        <f>IFERROR(__xludf.DUMMYFUNCTION("""COMPUTED_VALUE"""),137.73)</f>
        <v>137.73</v>
      </c>
      <c r="F412" s="122">
        <f>IFERROR(__xludf.DUMMYFUNCTION("""COMPUTED_VALUE"""),0.0032)</f>
        <v>0.0032</v>
      </c>
    </row>
    <row r="413">
      <c r="A413" s="131">
        <f>IFERROR(__xludf.DUMMYFUNCTION("""COMPUTED_VALUE"""),46186.69247685185)</f>
        <v>46186.69248</v>
      </c>
      <c r="B413" s="126">
        <f>IFERROR(__xludf.DUMMYFUNCTION("""COMPUTED_VALUE"""),46186.0)</f>
        <v>46186</v>
      </c>
      <c r="C413" s="122" t="str">
        <f>IFERROR(__xludf.DUMMYFUNCTION("""COMPUTED_VALUE"""),"FARM")</f>
        <v>FARM</v>
      </c>
      <c r="D413" s="122" t="str">
        <f>IFERROR(__xludf.DUMMYFUNCTION("""COMPUTED_VALUE"""),"Future Farms")</f>
        <v>Future Farms</v>
      </c>
      <c r="E413" s="122">
        <f>IFERROR(__xludf.DUMMYFUNCTION("""COMPUTED_VALUE"""),79.06)</f>
        <v>79.06</v>
      </c>
      <c r="F413" s="122">
        <f>IFERROR(__xludf.DUMMYFUNCTION("""COMPUTED_VALUE"""),0.0037)</f>
        <v>0.0037</v>
      </c>
    </row>
    <row r="414">
      <c r="A414" s="131">
        <f>IFERROR(__xludf.DUMMYFUNCTION("""COMPUTED_VALUE"""),46186.69247685185)</f>
        <v>46186.69248</v>
      </c>
      <c r="B414" s="126">
        <f>IFERROR(__xludf.DUMMYFUNCTION("""COMPUTED_VALUE"""),46186.0)</f>
        <v>46186</v>
      </c>
      <c r="C414" s="122" t="str">
        <f>IFERROR(__xludf.DUMMYFUNCTION("""COMPUTED_VALUE"""),"MEAT")</f>
        <v>MEAT</v>
      </c>
      <c r="D414" s="122" t="str">
        <f>IFERROR(__xludf.DUMMYFUNCTION("""COMPUTED_VALUE"""),"MeatWorks")</f>
        <v>MeatWorks</v>
      </c>
      <c r="E414" s="122">
        <f>IFERROR(__xludf.DUMMYFUNCTION("""COMPUTED_VALUE"""),102.24)</f>
        <v>102.24</v>
      </c>
      <c r="F414" s="122">
        <f>IFERROR(__xludf.DUMMYFUNCTION("""COMPUTED_VALUE"""),0.003)</f>
        <v>0.003</v>
      </c>
    </row>
    <row r="415">
      <c r="A415" s="131">
        <f>IFERROR(__xludf.DUMMYFUNCTION("""COMPUTED_VALUE"""),46186.69247685185)</f>
        <v>46186.69248</v>
      </c>
      <c r="B415" s="126">
        <f>IFERROR(__xludf.DUMMYFUNCTION("""COMPUTED_VALUE"""),46186.0)</f>
        <v>46186</v>
      </c>
      <c r="C415" s="122" t="str">
        <f>IFERROR(__xludf.DUMMYFUNCTION("""COMPUTED_VALUE"""),"VEGI")</f>
        <v>VEGI</v>
      </c>
      <c r="D415" s="122" t="str">
        <f>IFERROR(__xludf.DUMMYFUNCTION("""COMPUTED_VALUE"""),"Green Basket")</f>
        <v>Green Basket</v>
      </c>
      <c r="E415" s="122">
        <f>IFERROR(__xludf.DUMMYFUNCTION("""COMPUTED_VALUE"""),84.11)</f>
        <v>84.11</v>
      </c>
      <c r="F415" s="122">
        <f>IFERROR(__xludf.DUMMYFUNCTION("""COMPUTED_VALUE"""),0.0018)</f>
        <v>0.0018</v>
      </c>
    </row>
    <row r="416">
      <c r="A416" s="131">
        <f>IFERROR(__xludf.DUMMYFUNCTION("""COMPUTED_VALUE"""),46186.69247685185)</f>
        <v>46186.69248</v>
      </c>
      <c r="B416" s="126">
        <f>IFERROR(__xludf.DUMMYFUNCTION("""COMPUTED_VALUE"""),46186.0)</f>
        <v>46186</v>
      </c>
      <c r="C416" s="122" t="str">
        <f>IFERROR(__xludf.DUMMYFUNCTION("""COMPUTED_VALUE"""),"CAFE")</f>
        <v>CAFE</v>
      </c>
      <c r="D416" s="122" t="str">
        <f>IFERROR(__xludf.DUMMYFUNCTION("""COMPUTED_VALUE"""),"Cafe Cloud")</f>
        <v>Cafe Cloud</v>
      </c>
      <c r="E416" s="122">
        <f>IFERROR(__xludf.DUMMYFUNCTION("""COMPUTED_VALUE"""),97.54)</f>
        <v>97.54</v>
      </c>
      <c r="F416" s="122">
        <f>IFERROR(__xludf.DUMMYFUNCTION("""COMPUTED_VALUE"""),0.0)</f>
        <v>0</v>
      </c>
    </row>
    <row r="417">
      <c r="A417" s="131">
        <f>IFERROR(__xludf.DUMMYFUNCTION("""COMPUTED_VALUE"""),46186.69247685185)</f>
        <v>46186.69248</v>
      </c>
      <c r="B417" s="126">
        <f>IFERROR(__xludf.DUMMYFUNCTION("""COMPUTED_VALUE"""),46186.0)</f>
        <v>46186</v>
      </c>
      <c r="C417" s="122" t="str">
        <f>IFERROR(__xludf.DUMMYFUNCTION("""COMPUTED_VALUE"""),"BAKE")</f>
        <v>BAKE</v>
      </c>
      <c r="D417" s="122" t="str">
        <f>IFERROR(__xludf.DUMMYFUNCTION("""COMPUTED_VALUE"""),"BakeHouse")</f>
        <v>BakeHouse</v>
      </c>
      <c r="E417" s="122">
        <f>IFERROR(__xludf.DUMMYFUNCTION("""COMPUTED_VALUE"""),100.56)</f>
        <v>100.56</v>
      </c>
      <c r="F417" s="122">
        <f>IFERROR(__xludf.DUMMYFUNCTION("""COMPUTED_VALUE"""),-0.0046)</f>
        <v>-0.0046</v>
      </c>
    </row>
    <row r="418">
      <c r="A418" s="131">
        <f>IFERROR(__xludf.DUMMYFUNCTION("""COMPUTED_VALUE"""),46186.69247685185)</f>
        <v>46186.69248</v>
      </c>
      <c r="B418" s="126">
        <f>IFERROR(__xludf.DUMMYFUNCTION("""COMPUTED_VALUE"""),46186.0)</f>
        <v>46186</v>
      </c>
      <c r="C418" s="122" t="str">
        <f>IFERROR(__xludf.DUMMYFUNCTION("""COMPUTED_VALUE"""),"OILX")</f>
        <v>OILX</v>
      </c>
      <c r="D418" s="122" t="str">
        <f>IFERROR(__xludf.DUMMYFUNCTION("""COMPUTED_VALUE"""),"OilMax Energy")</f>
        <v>OilMax Energy</v>
      </c>
      <c r="E418" s="122">
        <f>IFERROR(__xludf.DUMMYFUNCTION("""COMPUTED_VALUE"""),134.27)</f>
        <v>134.27</v>
      </c>
      <c r="F418" s="122">
        <f>IFERROR(__xludf.DUMMYFUNCTION("""COMPUTED_VALUE"""),0.0053)</f>
        <v>0.0053</v>
      </c>
    </row>
    <row r="419">
      <c r="A419" s="131">
        <f>IFERROR(__xludf.DUMMYFUNCTION("""COMPUTED_VALUE"""),46186.69247685185)</f>
        <v>46186.69248</v>
      </c>
      <c r="B419" s="126">
        <f>IFERROR(__xludf.DUMMYFUNCTION("""COMPUTED_VALUE"""),46186.0)</f>
        <v>46186</v>
      </c>
      <c r="C419" s="122" t="str">
        <f>IFERROR(__xludf.DUMMYFUNCTION("""COMPUTED_VALUE"""),"SOLR")</f>
        <v>SOLR</v>
      </c>
      <c r="D419" s="122" t="str">
        <f>IFERROR(__xludf.DUMMYFUNCTION("""COMPUTED_VALUE"""),"SolarSpark")</f>
        <v>SolarSpark</v>
      </c>
      <c r="E419" s="122">
        <f>IFERROR(__xludf.DUMMYFUNCTION("""COMPUTED_VALUE"""),82.93)</f>
        <v>82.93</v>
      </c>
      <c r="F419" s="122">
        <f>IFERROR(__xludf.DUMMYFUNCTION("""COMPUTED_VALUE"""),-0.0071)</f>
        <v>-0.0071</v>
      </c>
    </row>
    <row r="420">
      <c r="A420" s="131">
        <f>IFERROR(__xludf.DUMMYFUNCTION("""COMPUTED_VALUE"""),46186.69247685185)</f>
        <v>46186.69248</v>
      </c>
      <c r="B420" s="126">
        <f>IFERROR(__xludf.DUMMYFUNCTION("""COMPUTED_VALUE"""),46186.0)</f>
        <v>46186</v>
      </c>
      <c r="C420" s="122" t="str">
        <f>IFERROR(__xludf.DUMMYFUNCTION("""COMPUTED_VALUE"""),"BATT")</f>
        <v>BATT</v>
      </c>
      <c r="D420" s="122" t="str">
        <f>IFERROR(__xludf.DUMMYFUNCTION("""COMPUTED_VALUE"""),"BatteryBox")</f>
        <v>BatteryBox</v>
      </c>
      <c r="E420" s="122">
        <f>IFERROR(__xludf.DUMMYFUNCTION("""COMPUTED_VALUE"""),114.97)</f>
        <v>114.97</v>
      </c>
      <c r="F420" s="122">
        <f>IFERROR(__xludf.DUMMYFUNCTION("""COMPUTED_VALUE"""),-0.0018)</f>
        <v>-0.0018</v>
      </c>
    </row>
    <row r="421">
      <c r="A421" s="131">
        <f>IFERROR(__xludf.DUMMYFUNCTION("""COMPUTED_VALUE"""),46186.69247685185)</f>
        <v>46186.69248</v>
      </c>
      <c r="B421" s="126">
        <f>IFERROR(__xludf.DUMMYFUNCTION("""COMPUTED_VALUE"""),46186.0)</f>
        <v>46186</v>
      </c>
      <c r="C421" s="122" t="str">
        <f>IFERROR(__xludf.DUMMYFUNCTION("""COMPUTED_VALUE"""),"WIND")</f>
        <v>WIND</v>
      </c>
      <c r="D421" s="122" t="str">
        <f>IFERROR(__xludf.DUMMYFUNCTION("""COMPUTED_VALUE"""),"WindWorks")</f>
        <v>WindWorks</v>
      </c>
      <c r="E421" s="122">
        <f>IFERROR(__xludf.DUMMYFUNCTION("""COMPUTED_VALUE"""),91.28)</f>
        <v>91.28</v>
      </c>
      <c r="F421" s="122">
        <f>IFERROR(__xludf.DUMMYFUNCTION("""COMPUTED_VALUE"""),1.0E-4)</f>
        <v>0.0001</v>
      </c>
    </row>
    <row r="422">
      <c r="A422" s="131">
        <f>IFERROR(__xludf.DUMMYFUNCTION("""COMPUTED_VALUE"""),46186.69247685185)</f>
        <v>46186.69248</v>
      </c>
      <c r="B422" s="126">
        <f>IFERROR(__xludf.DUMMYFUNCTION("""COMPUTED_VALUE"""),46186.0)</f>
        <v>46186</v>
      </c>
      <c r="C422" s="122" t="str">
        <f>IFERROR(__xludf.DUMMYFUNCTION("""COMPUTED_VALUE"""),"GRID")</f>
        <v>GRID</v>
      </c>
      <c r="D422" s="122" t="str">
        <f>IFERROR(__xludf.DUMMYFUNCTION("""COMPUTED_VALUE"""),"GridPower")</f>
        <v>GridPower</v>
      </c>
      <c r="E422" s="122">
        <f>IFERROR(__xludf.DUMMYFUNCTION("""COMPUTED_VALUE"""),146.68)</f>
        <v>146.68</v>
      </c>
      <c r="F422" s="122">
        <f>IFERROR(__xludf.DUMMYFUNCTION("""COMPUTED_VALUE"""),0.0029)</f>
        <v>0.0029</v>
      </c>
    </row>
    <row r="423">
      <c r="A423" s="131">
        <f>IFERROR(__xludf.DUMMYFUNCTION("""COMPUTED_VALUE"""),46186.69247685185)</f>
        <v>46186.69248</v>
      </c>
      <c r="B423" s="126">
        <f>IFERROR(__xludf.DUMMYFUNCTION("""COMPUTED_VALUE"""),46186.0)</f>
        <v>46186</v>
      </c>
      <c r="C423" s="122" t="str">
        <f>IFERROR(__xludf.DUMMYFUNCTION("""COMPUTED_VALUE"""),"HOME")</f>
        <v>HOME</v>
      </c>
      <c r="D423" s="122" t="str">
        <f>IFERROR(__xludf.DUMMYFUNCTION("""COMPUTED_VALUE"""),"HomeHub")</f>
        <v>HomeHub</v>
      </c>
      <c r="E423" s="122">
        <f>IFERROR(__xludf.DUMMYFUNCTION("""COMPUTED_VALUE"""),145.63)</f>
        <v>145.63</v>
      </c>
      <c r="F423" s="122">
        <f>IFERROR(__xludf.DUMMYFUNCTION("""COMPUTED_VALUE"""),-0.0037)</f>
        <v>-0.0037</v>
      </c>
    </row>
    <row r="424">
      <c r="A424" s="131">
        <f>IFERROR(__xludf.DUMMYFUNCTION("""COMPUTED_VALUE"""),46186.69247685185)</f>
        <v>46186.69248</v>
      </c>
      <c r="B424" s="126">
        <f>IFERROR(__xludf.DUMMYFUNCTION("""COMPUTED_VALUE"""),46186.0)</f>
        <v>46186</v>
      </c>
      <c r="C424" s="122" t="str">
        <f>IFERROR(__xludf.DUMMYFUNCTION("""COMPUTED_VALUE"""),"RENT")</f>
        <v>RENT</v>
      </c>
      <c r="D424" s="122" t="str">
        <f>IFERROR(__xludf.DUMMYFUNCTION("""COMPUTED_VALUE"""),"RentRight")</f>
        <v>RentRight</v>
      </c>
      <c r="E424" s="122">
        <f>IFERROR(__xludf.DUMMYFUNCTION("""COMPUTED_VALUE"""),95.6)</f>
        <v>95.6</v>
      </c>
      <c r="F424" s="122">
        <f>IFERROR(__xludf.DUMMYFUNCTION("""COMPUTED_VALUE"""),7.0E-4)</f>
        <v>0.0007</v>
      </c>
    </row>
    <row r="425">
      <c r="A425" s="131">
        <f>IFERROR(__xludf.DUMMYFUNCTION("""COMPUTED_VALUE"""),46186.69247685185)</f>
        <v>46186.69248</v>
      </c>
      <c r="B425" s="126">
        <f>IFERROR(__xludf.DUMMYFUNCTION("""COMPUTED_VALUE"""),46186.0)</f>
        <v>46186</v>
      </c>
      <c r="C425" s="122" t="str">
        <f>IFERROR(__xludf.DUMMYFUNCTION("""COMPUTED_VALUE"""),"MALL")</f>
        <v>MALL</v>
      </c>
      <c r="D425" s="122" t="str">
        <f>IFERROR(__xludf.DUMMYFUNCTION("""COMPUTED_VALUE"""),"MegaMall")</f>
        <v>MegaMall</v>
      </c>
      <c r="E425" s="122">
        <f>IFERROR(__xludf.DUMMYFUNCTION("""COMPUTED_VALUE"""),93.76)</f>
        <v>93.76</v>
      </c>
      <c r="F425" s="122">
        <f>IFERROR(__xludf.DUMMYFUNCTION("""COMPUTED_VALUE"""),-0.0021)</f>
        <v>-0.0021</v>
      </c>
    </row>
    <row r="426">
      <c r="A426" s="131">
        <f>IFERROR(__xludf.DUMMYFUNCTION("""COMPUTED_VALUE"""),46186.69247685185)</f>
        <v>46186.69248</v>
      </c>
      <c r="B426" s="126">
        <f>IFERROR(__xludf.DUMMYFUNCTION("""COMPUTED_VALUE"""),46186.0)</f>
        <v>46186</v>
      </c>
      <c r="C426" s="122" t="str">
        <f>IFERROR(__xludf.DUMMYFUNCTION("""COMPUTED_VALUE"""),"HOTL")</f>
        <v>HOTL</v>
      </c>
      <c r="D426" s="122" t="str">
        <f>IFERROR(__xludf.DUMMYFUNCTION("""COMPUTED_VALUE"""),"HotelHive")</f>
        <v>HotelHive</v>
      </c>
      <c r="E426" s="122">
        <f>IFERROR(__xludf.DUMMYFUNCTION("""COMPUTED_VALUE"""),130.9)</f>
        <v>130.9</v>
      </c>
      <c r="F426" s="122">
        <f>IFERROR(__xludf.DUMMYFUNCTION("""COMPUTED_VALUE"""),-0.008)</f>
        <v>-0.008</v>
      </c>
    </row>
    <row r="427">
      <c r="A427" s="131">
        <f>IFERROR(__xludf.DUMMYFUNCTION("""COMPUTED_VALUE"""),46186.69247685185)</f>
        <v>46186.69248</v>
      </c>
      <c r="B427" s="126">
        <f>IFERROR(__xludf.DUMMYFUNCTION("""COMPUTED_VALUE"""),46186.0)</f>
        <v>46186</v>
      </c>
      <c r="C427" s="122" t="str">
        <f>IFERROR(__xludf.DUMMYFUNCTION("""COMPUTED_VALUE"""),"LAND")</f>
        <v>LAND</v>
      </c>
      <c r="D427" s="122" t="str">
        <f>IFERROR(__xludf.DUMMYFUNCTION("""COMPUTED_VALUE"""),"LandLink")</f>
        <v>LandLink</v>
      </c>
      <c r="E427" s="122">
        <f>IFERROR(__xludf.DUMMYFUNCTION("""COMPUTED_VALUE"""),180.34)</f>
        <v>180.34</v>
      </c>
      <c r="F427" s="122">
        <f>IFERROR(__xludf.DUMMYFUNCTION("""COMPUTED_VALUE"""),-0.0012)</f>
        <v>-0.0012</v>
      </c>
    </row>
    <row r="428">
      <c r="A428" s="131">
        <f>IFERROR(__xludf.DUMMYFUNCTION("""COMPUTED_VALUE"""),46186.69247685185)</f>
        <v>46186.69248</v>
      </c>
      <c r="B428" s="126">
        <f>IFERROR(__xludf.DUMMYFUNCTION("""COMPUTED_VALUE"""),46186.0)</f>
        <v>46186</v>
      </c>
      <c r="C428" s="122" t="str">
        <f>IFERROR(__xludf.DUMMYFUNCTION("""COMPUTED_VALUE"""),"CARS")</f>
        <v>CARS</v>
      </c>
      <c r="D428" s="122" t="str">
        <f>IFERROR(__xludf.DUMMYFUNCTION("""COMPUTED_VALUE"""),"AutoArena")</f>
        <v>AutoArena</v>
      </c>
      <c r="E428" s="122">
        <f>IFERROR(__xludf.DUMMYFUNCTION("""COMPUTED_VALUE"""),80.52)</f>
        <v>80.52</v>
      </c>
      <c r="F428" s="122">
        <f>IFERROR(__xludf.DUMMYFUNCTION("""COMPUTED_VALUE"""),-0.0087)</f>
        <v>-0.0087</v>
      </c>
    </row>
    <row r="429">
      <c r="A429" s="131">
        <f>IFERROR(__xludf.DUMMYFUNCTION("""COMPUTED_VALUE"""),46186.69247685185)</f>
        <v>46186.69248</v>
      </c>
      <c r="B429" s="126">
        <f>IFERROR(__xludf.DUMMYFUNCTION("""COMPUTED_VALUE"""),46186.0)</f>
        <v>46186</v>
      </c>
      <c r="C429" s="122" t="str">
        <f>IFERROR(__xludf.DUMMYFUNCTION("""COMPUTED_VALUE"""),"EVGO")</f>
        <v>EVGO</v>
      </c>
      <c r="D429" s="122" t="str">
        <f>IFERROR(__xludf.DUMMYFUNCTION("""COMPUTED_VALUE"""),"EVGo Motors")</f>
        <v>EVGo Motors</v>
      </c>
      <c r="E429" s="122">
        <f>IFERROR(__xludf.DUMMYFUNCTION("""COMPUTED_VALUE"""),198.12)</f>
        <v>198.12</v>
      </c>
      <c r="F429" s="122">
        <f>IFERROR(__xludf.DUMMYFUNCTION("""COMPUTED_VALUE"""),0.0026)</f>
        <v>0.0026</v>
      </c>
    </row>
    <row r="430">
      <c r="A430" s="131">
        <f>IFERROR(__xludf.DUMMYFUNCTION("""COMPUTED_VALUE"""),46186.69247685185)</f>
        <v>46186.69248</v>
      </c>
      <c r="B430" s="126">
        <f>IFERROR(__xludf.DUMMYFUNCTION("""COMPUTED_VALUE"""),46186.0)</f>
        <v>46186</v>
      </c>
      <c r="C430" s="122" t="str">
        <f>IFERROR(__xludf.DUMMYFUNCTION("""COMPUTED_VALUE"""),"TIRE")</f>
        <v>TIRE</v>
      </c>
      <c r="D430" s="122" t="str">
        <f>IFERROR(__xludf.DUMMYFUNCTION("""COMPUTED_VALUE"""),"TireTown")</f>
        <v>TireTown</v>
      </c>
      <c r="E430" s="122">
        <f>IFERROR(__xludf.DUMMYFUNCTION("""COMPUTED_VALUE"""),84.44)</f>
        <v>84.44</v>
      </c>
      <c r="F430" s="122">
        <f>IFERROR(__xludf.DUMMYFUNCTION("""COMPUTED_VALUE"""),0.0026)</f>
        <v>0.0026</v>
      </c>
    </row>
    <row r="431">
      <c r="A431" s="131">
        <f>IFERROR(__xludf.DUMMYFUNCTION("""COMPUTED_VALUE"""),46186.69247685185)</f>
        <v>46186.69248</v>
      </c>
      <c r="B431" s="126">
        <f>IFERROR(__xludf.DUMMYFUNCTION("""COMPUTED_VALUE"""),46186.0)</f>
        <v>46186</v>
      </c>
      <c r="C431" s="122" t="str">
        <f>IFERROR(__xludf.DUMMYFUNCTION("""COMPUTED_VALUE"""),"BIKE")</f>
        <v>BIKE</v>
      </c>
      <c r="D431" s="122" t="str">
        <f>IFERROR(__xludf.DUMMYFUNCTION("""COMPUTED_VALUE"""),"BikeBox")</f>
        <v>BikeBox</v>
      </c>
      <c r="E431" s="122">
        <f>IFERROR(__xludf.DUMMYFUNCTION("""COMPUTED_VALUE"""),54.98)</f>
        <v>54.98</v>
      </c>
      <c r="F431" s="122">
        <f>IFERROR(__xludf.DUMMYFUNCTION("""COMPUTED_VALUE"""),-0.0036)</f>
        <v>-0.0036</v>
      </c>
    </row>
    <row r="432">
      <c r="A432" s="131">
        <f>IFERROR(__xludf.DUMMYFUNCTION("""COMPUTED_VALUE"""),46186.69247685185)</f>
        <v>46186.69248</v>
      </c>
      <c r="B432" s="126">
        <f>IFERROR(__xludf.DUMMYFUNCTION("""COMPUTED_VALUE"""),46186.0)</f>
        <v>46186</v>
      </c>
      <c r="C432" s="122" t="str">
        <f>IFERROR(__xludf.DUMMYFUNCTION("""COMPUTED_VALUE"""),"WASH")</f>
        <v>WASH</v>
      </c>
      <c r="D432" s="122" t="str">
        <f>IFERROR(__xludf.DUMMYFUNCTION("""COMPUTED_VALUE"""),"CarWash Co")</f>
        <v>CarWash Co</v>
      </c>
      <c r="E432" s="122">
        <f>IFERROR(__xludf.DUMMYFUNCTION("""COMPUTED_VALUE"""),116.7)</f>
        <v>116.7</v>
      </c>
      <c r="F432" s="122">
        <f>IFERROR(__xludf.DUMMYFUNCTION("""COMPUTED_VALUE"""),-0.0018)</f>
        <v>-0.0018</v>
      </c>
    </row>
    <row r="433">
      <c r="A433" s="131">
        <f>IFERROR(__xludf.DUMMYFUNCTION("""COMPUTED_VALUE"""),46186.69247685185)</f>
        <v>46186.69248</v>
      </c>
      <c r="B433" s="126">
        <f>IFERROR(__xludf.DUMMYFUNCTION("""COMPUTED_VALUE"""),46186.0)</f>
        <v>46186</v>
      </c>
      <c r="C433" s="122" t="str">
        <f>IFERROR(__xludf.DUMMYFUNCTION("""COMPUTED_VALUE"""),"GBND")</f>
        <v>GBND</v>
      </c>
      <c r="D433" s="122" t="str">
        <f>IFERROR(__xludf.DUMMYFUNCTION("""COMPUTED_VALUE"""),"Classroom Government Bond")</f>
        <v>Classroom Government Bond</v>
      </c>
      <c r="E433" s="122">
        <f>IFERROR(__xludf.DUMMYFUNCTION("""COMPUTED_VALUE"""),100.87)</f>
        <v>100.87</v>
      </c>
      <c r="F433" s="122">
        <f>IFERROR(__xludf.DUMMYFUNCTION("""COMPUTED_VALUE"""),5.0E-4)</f>
        <v>0.0005</v>
      </c>
    </row>
    <row r="434">
      <c r="A434" s="131">
        <f>IFERROR(__xludf.DUMMYFUNCTION("""COMPUTED_VALUE"""),46186.69247685185)</f>
        <v>46186.69248</v>
      </c>
      <c r="B434" s="126">
        <f>IFERROR(__xludf.DUMMYFUNCTION("""COMPUTED_VALUE"""),46186.0)</f>
        <v>46186</v>
      </c>
      <c r="C434" s="122" t="str">
        <f>IFERROR(__xludf.DUMMYFUNCTION("""COMPUTED_VALUE"""),"SBND")</f>
        <v>SBND</v>
      </c>
      <c r="D434" s="122" t="str">
        <f>IFERROR(__xludf.DUMMYFUNCTION("""COMPUTED_VALUE"""),"School Savings Bond")</f>
        <v>School Savings Bond</v>
      </c>
      <c r="E434" s="122">
        <f>IFERROR(__xludf.DUMMYFUNCTION("""COMPUTED_VALUE"""),99.21)</f>
        <v>99.21</v>
      </c>
      <c r="F434" s="122">
        <f>IFERROR(__xludf.DUMMYFUNCTION("""COMPUTED_VALUE"""),-2.0E-4)</f>
        <v>-0.0002</v>
      </c>
    </row>
    <row r="435">
      <c r="A435" s="131">
        <f>IFERROR(__xludf.DUMMYFUNCTION("""COMPUTED_VALUE"""),46186.69247685185)</f>
        <v>46186.69248</v>
      </c>
      <c r="B435" s="126">
        <f>IFERROR(__xludf.DUMMYFUNCTION("""COMPUTED_VALUE"""),46186.0)</f>
        <v>46186</v>
      </c>
      <c r="C435" s="122" t="str">
        <f>IFERROR(__xludf.DUMMYFUNCTION("""COMPUTED_VALUE"""),"CBND")</f>
        <v>CBND</v>
      </c>
      <c r="D435" s="122" t="str">
        <f>IFERROR(__xludf.DUMMYFUNCTION("""COMPUTED_VALUE"""),"Corporate Classroom Bond")</f>
        <v>Corporate Classroom Bond</v>
      </c>
      <c r="E435" s="122">
        <f>IFERROR(__xludf.DUMMYFUNCTION("""COMPUTED_VALUE"""),97.85)</f>
        <v>97.85</v>
      </c>
      <c r="F435" s="122">
        <f>IFERROR(__xludf.DUMMYFUNCTION("""COMPUTED_VALUE"""),1.0E-4)</f>
        <v>0.0001</v>
      </c>
    </row>
    <row r="436">
      <c r="A436" s="131">
        <f>IFERROR(__xludf.DUMMYFUNCTION("""COMPUTED_VALUE"""),46186.69247685185)</f>
        <v>46186.69248</v>
      </c>
      <c r="B436" s="126">
        <f>IFERROR(__xludf.DUMMYFUNCTION("""COMPUTED_VALUE"""),46186.0)</f>
        <v>46186</v>
      </c>
      <c r="C436" s="122" t="str">
        <f>IFERROR(__xludf.DUMMYFUNCTION("""COMPUTED_VALUE"""),"TBIL")</f>
        <v>TBIL</v>
      </c>
      <c r="D436" s="122" t="str">
        <f>IFERROR(__xludf.DUMMYFUNCTION("""COMPUTED_VALUE"""),"Treasury Bill")</f>
        <v>Treasury Bill</v>
      </c>
      <c r="E436" s="122">
        <f>IFERROR(__xludf.DUMMYFUNCTION("""COMPUTED_VALUE"""),98.06)</f>
        <v>98.06</v>
      </c>
      <c r="F436" s="122">
        <f>IFERROR(__xludf.DUMMYFUNCTION("""COMPUTED_VALUE"""),2.0E-4)</f>
        <v>0.0002</v>
      </c>
    </row>
    <row r="437">
      <c r="A437" s="131">
        <f>IFERROR(__xludf.DUMMYFUNCTION("""COMPUTED_VALUE"""),46186.69247685185)</f>
        <v>46186.69248</v>
      </c>
      <c r="B437" s="126">
        <f>IFERROR(__xludf.DUMMYFUNCTION("""COMPUTED_VALUE"""),46186.0)</f>
        <v>46186</v>
      </c>
      <c r="C437" s="122" t="str">
        <f>IFERROR(__xludf.DUMMYFUNCTION("""COMPUTED_VALUE"""),"IBND")</f>
        <v>IBND</v>
      </c>
      <c r="D437" s="122" t="str">
        <f>IFERROR(__xludf.DUMMYFUNCTION("""COMPUTED_VALUE"""),"Inflation Protected Bond")</f>
        <v>Inflation Protected Bond</v>
      </c>
      <c r="E437" s="122">
        <f>IFERROR(__xludf.DUMMYFUNCTION("""COMPUTED_VALUE"""),100.63)</f>
        <v>100.63</v>
      </c>
      <c r="F437" s="122">
        <f>IFERROR(__xludf.DUMMYFUNCTION("""COMPUTED_VALUE"""),5.0E-4)</f>
        <v>0.0005</v>
      </c>
    </row>
    <row r="438">
      <c r="A438" s="131">
        <f>IFERROR(__xludf.DUMMYFUNCTION("""COMPUTED_VALUE"""),46186.695925925924)</f>
        <v>46186.69593</v>
      </c>
      <c r="B438" s="126">
        <f>IFERROR(__xludf.DUMMYFUNCTION("""COMPUTED_VALUE"""),46186.0)</f>
        <v>46186</v>
      </c>
      <c r="C438" s="122" t="str">
        <f>IFERROR(__xludf.DUMMYFUNCTION("""COMPUTED_VALUE"""),"SNAX")</f>
        <v>SNAX</v>
      </c>
      <c r="D438" s="122" t="str">
        <f>IFERROR(__xludf.DUMMYFUNCTION("""COMPUTED_VALUE"""),"MICA Snacks")</f>
        <v>MICA Snacks</v>
      </c>
      <c r="E438" s="122">
        <f>IFERROR(__xludf.DUMMYFUNCTION("""COMPUTED_VALUE"""),124.8)</f>
        <v>124.8</v>
      </c>
      <c r="F438" s="122">
        <f>IFERROR(__xludf.DUMMYFUNCTION("""COMPUTED_VALUE"""),0.0053)</f>
        <v>0.0053</v>
      </c>
    </row>
    <row r="439">
      <c r="A439" s="131">
        <f>IFERROR(__xludf.DUMMYFUNCTION("""COMPUTED_VALUE"""),46186.695925925924)</f>
        <v>46186.69593</v>
      </c>
      <c r="B439" s="126">
        <f>IFERROR(__xludf.DUMMYFUNCTION("""COMPUTED_VALUE"""),46186.0)</f>
        <v>46186</v>
      </c>
      <c r="C439" s="122" t="str">
        <f>IFERROR(__xludf.DUMMYFUNCTION("""COMPUTED_VALUE"""),"RAMN")</f>
        <v>RAMN</v>
      </c>
      <c r="D439" s="122" t="str">
        <f>IFERROR(__xludf.DUMMYFUNCTION("""COMPUTED_VALUE"""),"Ramen Republic")</f>
        <v>Ramen Republic</v>
      </c>
      <c r="E439" s="122">
        <f>IFERROR(__xludf.DUMMYFUNCTION("""COMPUTED_VALUE"""),79.31)</f>
        <v>79.31</v>
      </c>
      <c r="F439" s="122">
        <f>IFERROR(__xludf.DUMMYFUNCTION("""COMPUTED_VALUE"""),9.0E-4)</f>
        <v>0.0009</v>
      </c>
    </row>
    <row r="440">
      <c r="A440" s="131">
        <f>IFERROR(__xludf.DUMMYFUNCTION("""COMPUTED_VALUE"""),46186.695925925924)</f>
        <v>46186.69593</v>
      </c>
      <c r="B440" s="126">
        <f>IFERROR(__xludf.DUMMYFUNCTION("""COMPUTED_VALUE"""),46186.0)</f>
        <v>46186</v>
      </c>
      <c r="C440" s="122" t="str">
        <f>IFERROR(__xludf.DUMMYFUNCTION("""COMPUTED_VALUE"""),"COLA")</f>
        <v>COLA</v>
      </c>
      <c r="D440" s="122" t="str">
        <f>IFERROR(__xludf.DUMMYFUNCTION("""COMPUTED_VALUE"""),"K-Pop Cola")</f>
        <v>K-Pop Cola</v>
      </c>
      <c r="E440" s="122">
        <f>IFERROR(__xludf.DUMMYFUNCTION("""COMPUTED_VALUE"""),103.85)</f>
        <v>103.85</v>
      </c>
      <c r="F440" s="122">
        <f>IFERROR(__xludf.DUMMYFUNCTION("""COMPUTED_VALUE"""),-0.0058)</f>
        <v>-0.0058</v>
      </c>
    </row>
    <row r="441">
      <c r="A441" s="131">
        <f>IFERROR(__xludf.DUMMYFUNCTION("""COMPUTED_VALUE"""),46186.695925925924)</f>
        <v>46186.69593</v>
      </c>
      <c r="B441" s="126">
        <f>IFERROR(__xludf.DUMMYFUNCTION("""COMPUTED_VALUE"""),46186.0)</f>
        <v>46186</v>
      </c>
      <c r="C441" s="122" t="str">
        <f>IFERROR(__xludf.DUMMYFUNCTION("""COMPUTED_VALUE"""),"CHIP")</f>
        <v>CHIP</v>
      </c>
      <c r="D441" s="122" t="str">
        <f>IFERROR(__xludf.DUMMYFUNCTION("""COMPUTED_VALUE"""),"Chip Empire")</f>
        <v>Chip Empire</v>
      </c>
      <c r="E441" s="122">
        <f>IFERROR(__xludf.DUMMYFUNCTION("""COMPUTED_VALUE"""),87.66)</f>
        <v>87.66</v>
      </c>
      <c r="F441" s="122">
        <f>IFERROR(__xludf.DUMMYFUNCTION("""COMPUTED_VALUE"""),1.0E-4)</f>
        <v>0.0001</v>
      </c>
    </row>
    <row r="442">
      <c r="A442" s="131">
        <f>IFERROR(__xludf.DUMMYFUNCTION("""COMPUTED_VALUE"""),46186.695925925924)</f>
        <v>46186.69593</v>
      </c>
      <c r="B442" s="126">
        <f>IFERROR(__xludf.DUMMYFUNCTION("""COMPUTED_VALUE"""),46186.0)</f>
        <v>46186</v>
      </c>
      <c r="C442" s="122" t="str">
        <f>IFERROR(__xludf.DUMMYFUNCTION("""COMPUTED_VALUE"""),"CAND")</f>
        <v>CAND</v>
      </c>
      <c r="D442" s="122" t="str">
        <f>IFERROR(__xludf.DUMMYFUNCTION("""COMPUTED_VALUE"""),"Candy Capital")</f>
        <v>Candy Capital</v>
      </c>
      <c r="E442" s="122">
        <f>IFERROR(__xludf.DUMMYFUNCTION("""COMPUTED_VALUE"""),76.67)</f>
        <v>76.67</v>
      </c>
      <c r="F442" s="122">
        <f>IFERROR(__xludf.DUMMYFUNCTION("""COMPUTED_VALUE"""),-0.0051)</f>
        <v>-0.0051</v>
      </c>
    </row>
    <row r="443">
      <c r="A443" s="131">
        <f>IFERROR(__xludf.DUMMYFUNCTION("""COMPUTED_VALUE"""),46186.695925925924)</f>
        <v>46186.69593</v>
      </c>
      <c r="B443" s="126">
        <f>IFERROR(__xludf.DUMMYFUNCTION("""COMPUTED_VALUE"""),46186.0)</f>
        <v>46186</v>
      </c>
      <c r="C443" s="122" t="str">
        <f>IFERROR(__xludf.DUMMYFUNCTION("""COMPUTED_VALUE"""),"TECH")</f>
        <v>TECH</v>
      </c>
      <c r="D443" s="122" t="str">
        <f>IFERROR(__xludf.DUMMYFUNCTION("""COMPUTED_VALUE"""),"Dragon Tech")</f>
        <v>Dragon Tech</v>
      </c>
      <c r="E443" s="122">
        <f>IFERROR(__xludf.DUMMYFUNCTION("""COMPUTED_VALUE"""),244.57)</f>
        <v>244.57</v>
      </c>
      <c r="F443" s="122">
        <f>IFERROR(__xludf.DUMMYFUNCTION("""COMPUTED_VALUE"""),-0.0095)</f>
        <v>-0.0095</v>
      </c>
    </row>
    <row r="444">
      <c r="A444" s="131">
        <f>IFERROR(__xludf.DUMMYFUNCTION("""COMPUTED_VALUE"""),46186.695925925924)</f>
        <v>46186.69593</v>
      </c>
      <c r="B444" s="126">
        <f>IFERROR(__xludf.DUMMYFUNCTION("""COMPUTED_VALUE"""),46186.0)</f>
        <v>46186</v>
      </c>
      <c r="C444" s="122" t="str">
        <f>IFERROR(__xludf.DUMMYFUNCTION("""COMPUTED_VALUE"""),"AIBO")</f>
        <v>AIBO</v>
      </c>
      <c r="D444" s="122" t="str">
        <f>IFERROR(__xludf.DUMMYFUNCTION("""COMPUTED_VALUE"""),"Homework AI")</f>
        <v>Homework AI</v>
      </c>
      <c r="E444" s="122">
        <f>IFERROR(__xludf.DUMMYFUNCTION("""COMPUTED_VALUE"""),177.63)</f>
        <v>177.63</v>
      </c>
      <c r="F444" s="122">
        <f>IFERROR(__xludf.DUMMYFUNCTION("""COMPUTED_VALUE"""),0.0024)</f>
        <v>0.0024</v>
      </c>
    </row>
    <row r="445">
      <c r="A445" s="131">
        <f>IFERROR(__xludf.DUMMYFUNCTION("""COMPUTED_VALUE"""),46186.695925925924)</f>
        <v>46186.69593</v>
      </c>
      <c r="B445" s="126">
        <f>IFERROR(__xludf.DUMMYFUNCTION("""COMPUTED_VALUE"""),46186.0)</f>
        <v>46186</v>
      </c>
      <c r="C445" s="122" t="str">
        <f>IFERROR(__xludf.DUMMYFUNCTION("""COMPUTED_VALUE"""),"GAME")</f>
        <v>GAME</v>
      </c>
      <c r="D445" s="122" t="str">
        <f>IFERROR(__xludf.DUMMYFUNCTION("""COMPUTED_VALUE"""),"GameBox Media")</f>
        <v>GameBox Media</v>
      </c>
      <c r="E445" s="122">
        <f>IFERROR(__xludf.DUMMYFUNCTION("""COMPUTED_VALUE"""),87.84)</f>
        <v>87.84</v>
      </c>
      <c r="F445" s="122">
        <f>IFERROR(__xludf.DUMMYFUNCTION("""COMPUTED_VALUE"""),0.0024)</f>
        <v>0.0024</v>
      </c>
    </row>
    <row r="446">
      <c r="A446" s="131">
        <f>IFERROR(__xludf.DUMMYFUNCTION("""COMPUTED_VALUE"""),46186.695925925924)</f>
        <v>46186.69593</v>
      </c>
      <c r="B446" s="126">
        <f>IFERROR(__xludf.DUMMYFUNCTION("""COMPUTED_VALUE"""),46186.0)</f>
        <v>46186</v>
      </c>
      <c r="C446" s="122" t="str">
        <f>IFERROR(__xludf.DUMMYFUNCTION("""COMPUTED_VALUE"""),"VRSE")</f>
        <v>VRSE</v>
      </c>
      <c r="D446" s="122" t="str">
        <f>IFERROR(__xludf.DUMMYFUNCTION("""COMPUTED_VALUE"""),"VerseVR")</f>
        <v>VerseVR</v>
      </c>
      <c r="E446" s="122">
        <f>IFERROR(__xludf.DUMMYFUNCTION("""COMPUTED_VALUE"""),154.4)</f>
        <v>154.4</v>
      </c>
      <c r="F446" s="122">
        <f>IFERROR(__xludf.DUMMYFUNCTION("""COMPUTED_VALUE"""),0.0079)</f>
        <v>0.0079</v>
      </c>
    </row>
    <row r="447">
      <c r="A447" s="131">
        <f>IFERROR(__xludf.DUMMYFUNCTION("""COMPUTED_VALUE"""),46186.695925925924)</f>
        <v>46186.69593</v>
      </c>
      <c r="B447" s="126">
        <f>IFERROR(__xludf.DUMMYFUNCTION("""COMPUTED_VALUE"""),46186.0)</f>
        <v>46186</v>
      </c>
      <c r="C447" s="122" t="str">
        <f>IFERROR(__xludf.DUMMYFUNCTION("""COMPUTED_VALUE"""),"BYTE")</f>
        <v>BYTE</v>
      </c>
      <c r="D447" s="122" t="str">
        <f>IFERROR(__xludf.DUMMYFUNCTION("""COMPUTED_VALUE"""),"ByteWorks")</f>
        <v>ByteWorks</v>
      </c>
      <c r="E447" s="122">
        <f>IFERROR(__xludf.DUMMYFUNCTION("""COMPUTED_VALUE"""),110.27)</f>
        <v>110.27</v>
      </c>
      <c r="F447" s="122">
        <f>IFERROR(__xludf.DUMMYFUNCTION("""COMPUTED_VALUE"""),0.0047)</f>
        <v>0.0047</v>
      </c>
    </row>
    <row r="448">
      <c r="A448" s="131">
        <f>IFERROR(__xludf.DUMMYFUNCTION("""COMPUTED_VALUE"""),46186.695925925924)</f>
        <v>46186.69593</v>
      </c>
      <c r="B448" s="126">
        <f>IFERROR(__xludf.DUMMYFUNCTION("""COMPUTED_VALUE"""),46186.0)</f>
        <v>46186</v>
      </c>
      <c r="C448" s="122" t="str">
        <f>IFERROR(__xludf.DUMMYFUNCTION("""COMPUTED_VALUE"""),"BANK")</f>
        <v>BANK</v>
      </c>
      <c r="D448" s="122" t="str">
        <f>IFERROR(__xludf.DUMMYFUNCTION("""COMPUTED_VALUE"""),"Tiger Bank")</f>
        <v>Tiger Bank</v>
      </c>
      <c r="E448" s="122">
        <f>IFERROR(__xludf.DUMMYFUNCTION("""COMPUTED_VALUE"""),122.87)</f>
        <v>122.87</v>
      </c>
      <c r="F448" s="122">
        <f>IFERROR(__xludf.DUMMYFUNCTION("""COMPUTED_VALUE"""),0.003)</f>
        <v>0.003</v>
      </c>
    </row>
    <row r="449">
      <c r="A449" s="131">
        <f>IFERROR(__xludf.DUMMYFUNCTION("""COMPUTED_VALUE"""),46186.695925925924)</f>
        <v>46186.69593</v>
      </c>
      <c r="B449" s="126">
        <f>IFERROR(__xludf.DUMMYFUNCTION("""COMPUTED_VALUE"""),46186.0)</f>
        <v>46186</v>
      </c>
      <c r="C449" s="122" t="str">
        <f>IFERROR(__xludf.DUMMYFUNCTION("""COMPUTED_VALUE"""),"CRED")</f>
        <v>CRED</v>
      </c>
      <c r="D449" s="122" t="str">
        <f>IFERROR(__xludf.DUMMYFUNCTION("""COMPUTED_VALUE"""),"Credit Castle")</f>
        <v>Credit Castle</v>
      </c>
      <c r="E449" s="122">
        <f>IFERROR(__xludf.DUMMYFUNCTION("""COMPUTED_VALUE"""),68.63)</f>
        <v>68.63</v>
      </c>
      <c r="F449" s="122">
        <f>IFERROR(__xludf.DUMMYFUNCTION("""COMPUTED_VALUE"""),0.0013)</f>
        <v>0.0013</v>
      </c>
    </row>
    <row r="450">
      <c r="A450" s="131">
        <f>IFERROR(__xludf.DUMMYFUNCTION("""COMPUTED_VALUE"""),46186.695925925924)</f>
        <v>46186.69593</v>
      </c>
      <c r="B450" s="126">
        <f>IFERROR(__xludf.DUMMYFUNCTION("""COMPUTED_VALUE"""),46186.0)</f>
        <v>46186</v>
      </c>
      <c r="C450" s="122" t="str">
        <f>IFERROR(__xludf.DUMMYFUNCTION("""COMPUTED_VALUE"""),"BOND")</f>
        <v>BOND</v>
      </c>
      <c r="D450" s="122" t="str">
        <f>IFERROR(__xludf.DUMMYFUNCTION("""COMPUTED_VALUE"""),"BondBridge")</f>
        <v>BondBridge</v>
      </c>
      <c r="E450" s="122">
        <f>IFERROR(__xludf.DUMMYFUNCTION("""COMPUTED_VALUE"""),94.54)</f>
        <v>94.54</v>
      </c>
      <c r="F450" s="122">
        <f>IFERROR(__xludf.DUMMYFUNCTION("""COMPUTED_VALUE"""),0.0021)</f>
        <v>0.0021</v>
      </c>
    </row>
    <row r="451">
      <c r="A451" s="131">
        <f>IFERROR(__xludf.DUMMYFUNCTION("""COMPUTED_VALUE"""),46186.695925925924)</f>
        <v>46186.69593</v>
      </c>
      <c r="B451" s="126">
        <f>IFERROR(__xludf.DUMMYFUNCTION("""COMPUTED_VALUE"""),46186.0)</f>
        <v>46186</v>
      </c>
      <c r="C451" s="122" t="str">
        <f>IFERROR(__xludf.DUMMYFUNCTION("""COMPUTED_VALUE"""),"INSR")</f>
        <v>INSR</v>
      </c>
      <c r="D451" s="122" t="str">
        <f>IFERROR(__xludf.DUMMYFUNCTION("""COMPUTED_VALUE"""),"Shield Insurance")</f>
        <v>Shield Insurance</v>
      </c>
      <c r="E451" s="122">
        <f>IFERROR(__xludf.DUMMYFUNCTION("""COMPUTED_VALUE"""),150.22)</f>
        <v>150.22</v>
      </c>
      <c r="F451" s="122">
        <f>IFERROR(__xludf.DUMMYFUNCTION("""COMPUTED_VALUE"""),-0.0027)</f>
        <v>-0.0027</v>
      </c>
    </row>
    <row r="452">
      <c r="A452" s="131">
        <f>IFERROR(__xludf.DUMMYFUNCTION("""COMPUTED_VALUE"""),46186.695925925924)</f>
        <v>46186.69593</v>
      </c>
      <c r="B452" s="126">
        <f>IFERROR(__xludf.DUMMYFUNCTION("""COMPUTED_VALUE"""),46186.0)</f>
        <v>46186</v>
      </c>
      <c r="C452" s="122" t="str">
        <f>IFERROR(__xludf.DUMMYFUNCTION("""COMPUTED_VALUE"""),"LOAN")</f>
        <v>LOAN</v>
      </c>
      <c r="D452" s="122" t="str">
        <f>IFERROR(__xludf.DUMMYFUNCTION("""COMPUTED_VALUE"""),"LoanLab")</f>
        <v>LoanLab</v>
      </c>
      <c r="E452" s="122">
        <f>IFERROR(__xludf.DUMMYFUNCTION("""COMPUTED_VALUE"""),59.63)</f>
        <v>59.63</v>
      </c>
      <c r="F452" s="122">
        <f>IFERROR(__xludf.DUMMYFUNCTION("""COMPUTED_VALUE"""),0.0034)</f>
        <v>0.0034</v>
      </c>
    </row>
    <row r="453">
      <c r="A453" s="131">
        <f>IFERROR(__xludf.DUMMYFUNCTION("""COMPUTED_VALUE"""),46186.695925925924)</f>
        <v>46186.69593</v>
      </c>
      <c r="B453" s="126">
        <f>IFERROR(__xludf.DUMMYFUNCTION("""COMPUTED_VALUE"""),46186.0)</f>
        <v>46186</v>
      </c>
      <c r="C453" s="122" t="str">
        <f>IFERROR(__xludf.DUMMYFUNCTION("""COMPUTED_VALUE"""),"LUXE")</f>
        <v>LUXE</v>
      </c>
      <c r="D453" s="122" t="str">
        <f>IFERROR(__xludf.DUMMYFUNCTION("""COMPUTED_VALUE"""),"Luxury Locker")</f>
        <v>Luxury Locker</v>
      </c>
      <c r="E453" s="122">
        <f>IFERROR(__xludf.DUMMYFUNCTION("""COMPUTED_VALUE"""),261.64)</f>
        <v>261.64</v>
      </c>
      <c r="F453" s="122">
        <f>IFERROR(__xludf.DUMMYFUNCTION("""COMPUTED_VALUE"""),-0.0027)</f>
        <v>-0.0027</v>
      </c>
    </row>
    <row r="454">
      <c r="A454" s="131">
        <f>IFERROR(__xludf.DUMMYFUNCTION("""COMPUTED_VALUE"""),46186.695925925924)</f>
        <v>46186.69593</v>
      </c>
      <c r="B454" s="126">
        <f>IFERROR(__xludf.DUMMYFUNCTION("""COMPUTED_VALUE"""),46186.0)</f>
        <v>46186</v>
      </c>
      <c r="C454" s="122" t="str">
        <f>IFERROR(__xludf.DUMMYFUNCTION("""COMPUTED_VALUE"""),"DRIP")</f>
        <v>DRIP</v>
      </c>
      <c r="D454" s="122" t="str">
        <f>IFERROR(__xludf.DUMMYFUNCTION("""COMPUTED_VALUE"""),"Drip Streetwear")</f>
        <v>Drip Streetwear</v>
      </c>
      <c r="E454" s="122">
        <f>IFERROR(__xludf.DUMMYFUNCTION("""COMPUTED_VALUE"""),198.69)</f>
        <v>198.69</v>
      </c>
      <c r="F454" s="122">
        <f>IFERROR(__xludf.DUMMYFUNCTION("""COMPUTED_VALUE"""),-0.004)</f>
        <v>-0.004</v>
      </c>
    </row>
    <row r="455">
      <c r="A455" s="131">
        <f>IFERROR(__xludf.DUMMYFUNCTION("""COMPUTED_VALUE"""),46186.695925925924)</f>
        <v>46186.69593</v>
      </c>
      <c r="B455" s="126">
        <f>IFERROR(__xludf.DUMMYFUNCTION("""COMPUTED_VALUE"""),46186.0)</f>
        <v>46186</v>
      </c>
      <c r="C455" s="122" t="str">
        <f>IFERROR(__xludf.DUMMYFUNCTION("""COMPUTED_VALUE"""),"KICK")</f>
        <v>KICK</v>
      </c>
      <c r="D455" s="122" t="str">
        <f>IFERROR(__xludf.DUMMYFUNCTION("""COMPUTED_VALUE"""),"KickDrop Sneakers")</f>
        <v>KickDrop Sneakers</v>
      </c>
      <c r="E455" s="122">
        <f>IFERROR(__xludf.DUMMYFUNCTION("""COMPUTED_VALUE"""),181.07)</f>
        <v>181.07</v>
      </c>
      <c r="F455" s="122">
        <f>IFERROR(__xludf.DUMMYFUNCTION("""COMPUTED_VALUE"""),9.0E-4)</f>
        <v>0.0009</v>
      </c>
    </row>
    <row r="456">
      <c r="A456" s="131">
        <f>IFERROR(__xludf.DUMMYFUNCTION("""COMPUTED_VALUE"""),46186.695925925924)</f>
        <v>46186.69593</v>
      </c>
      <c r="B456" s="126">
        <f>IFERROR(__xludf.DUMMYFUNCTION("""COMPUTED_VALUE"""),46186.0)</f>
        <v>46186</v>
      </c>
      <c r="C456" s="122" t="str">
        <f>IFERROR(__xludf.DUMMYFUNCTION("""COMPUTED_VALUE"""),"GLAM")</f>
        <v>GLAM</v>
      </c>
      <c r="D456" s="122" t="str">
        <f>IFERROR(__xludf.DUMMYFUNCTION("""COMPUTED_VALUE"""),"Glow Cosmetics")</f>
        <v>Glow Cosmetics</v>
      </c>
      <c r="E456" s="122">
        <f>IFERROR(__xludf.DUMMYFUNCTION("""COMPUTED_VALUE"""),91.31)</f>
        <v>91.31</v>
      </c>
      <c r="F456" s="122">
        <f>IFERROR(__xludf.DUMMYFUNCTION("""COMPUTED_VALUE"""),-0.0038)</f>
        <v>-0.0038</v>
      </c>
    </row>
    <row r="457">
      <c r="A457" s="131">
        <f>IFERROR(__xludf.DUMMYFUNCTION("""COMPUTED_VALUE"""),46186.695925925924)</f>
        <v>46186.69593</v>
      </c>
      <c r="B457" s="126">
        <f>IFERROR(__xludf.DUMMYFUNCTION("""COMPUTED_VALUE"""),46186.0)</f>
        <v>46186</v>
      </c>
      <c r="C457" s="122" t="str">
        <f>IFERROR(__xludf.DUMMYFUNCTION("""COMPUTED_VALUE"""),"BAGG")</f>
        <v>BAGG</v>
      </c>
      <c r="D457" s="122" t="str">
        <f>IFERROR(__xludf.DUMMYFUNCTION("""COMPUTED_VALUE"""),"BagVault")</f>
        <v>BagVault</v>
      </c>
      <c r="E457" s="122">
        <f>IFERROR(__xludf.DUMMYFUNCTION("""COMPUTED_VALUE"""),241.75)</f>
        <v>241.75</v>
      </c>
      <c r="F457" s="122">
        <f>IFERROR(__xludf.DUMMYFUNCTION("""COMPUTED_VALUE"""),-0.0051)</f>
        <v>-0.0051</v>
      </c>
    </row>
    <row r="458">
      <c r="A458" s="131">
        <f>IFERROR(__xludf.DUMMYFUNCTION("""COMPUTED_VALUE"""),46186.695925925924)</f>
        <v>46186.69593</v>
      </c>
      <c r="B458" s="126">
        <f>IFERROR(__xludf.DUMMYFUNCTION("""COMPUTED_VALUE"""),46186.0)</f>
        <v>46186</v>
      </c>
      <c r="C458" s="122" t="str">
        <f>IFERROR(__xludf.DUMMYFUNCTION("""COMPUTED_VALUE"""),"FAST")</f>
        <v>FAST</v>
      </c>
      <c r="D458" s="122" t="str">
        <f>IFERROR(__xludf.DUMMYFUNCTION("""COMPUTED_VALUE"""),"Flash Logistics")</f>
        <v>Flash Logistics</v>
      </c>
      <c r="E458" s="122">
        <f>IFERROR(__xludf.DUMMYFUNCTION("""COMPUTED_VALUE"""),102.11)</f>
        <v>102.11</v>
      </c>
      <c r="F458" s="122">
        <f>IFERROR(__xludf.DUMMYFUNCTION("""COMPUTED_VALUE"""),0.0023)</f>
        <v>0.0023</v>
      </c>
    </row>
    <row r="459">
      <c r="A459" s="131">
        <f>IFERROR(__xludf.DUMMYFUNCTION("""COMPUTED_VALUE"""),46186.695925925924)</f>
        <v>46186.69593</v>
      </c>
      <c r="B459" s="126">
        <f>IFERROR(__xludf.DUMMYFUNCTION("""COMPUTED_VALUE"""),46186.0)</f>
        <v>46186</v>
      </c>
      <c r="C459" s="122" t="str">
        <f>IFERROR(__xludf.DUMMYFUNCTION("""COMPUTED_VALUE"""),"SHIP")</f>
        <v>SHIP</v>
      </c>
      <c r="D459" s="122" t="str">
        <f>IFERROR(__xludf.DUMMYFUNCTION("""COMPUTED_VALUE"""),"Seoul Shipping")</f>
        <v>Seoul Shipping</v>
      </c>
      <c r="E459" s="122">
        <f>IFERROR(__xludf.DUMMYFUNCTION("""COMPUTED_VALUE"""),117.36)</f>
        <v>117.36</v>
      </c>
      <c r="F459" s="122">
        <f>IFERROR(__xludf.DUMMYFUNCTION("""COMPUTED_VALUE"""),-0.0013)</f>
        <v>-0.0013</v>
      </c>
    </row>
    <row r="460">
      <c r="A460" s="131">
        <f>IFERROR(__xludf.DUMMYFUNCTION("""COMPUTED_VALUE"""),46186.695925925924)</f>
        <v>46186.69593</v>
      </c>
      <c r="B460" s="126">
        <f>IFERROR(__xludf.DUMMYFUNCTION("""COMPUTED_VALUE"""),46186.0)</f>
        <v>46186</v>
      </c>
      <c r="C460" s="122" t="str">
        <f>IFERROR(__xludf.DUMMYFUNCTION("""COMPUTED_VALUE"""),"DRON")</f>
        <v>DRON</v>
      </c>
      <c r="D460" s="122" t="str">
        <f>IFERROR(__xludf.DUMMYFUNCTION("""COMPUTED_VALUE"""),"DroneDrop")</f>
        <v>DroneDrop</v>
      </c>
      <c r="E460" s="122">
        <f>IFERROR(__xludf.DUMMYFUNCTION("""COMPUTED_VALUE"""),131.86)</f>
        <v>131.86</v>
      </c>
      <c r="F460" s="122">
        <f>IFERROR(__xludf.DUMMYFUNCTION("""COMPUTED_VALUE"""),-0.004)</f>
        <v>-0.004</v>
      </c>
    </row>
    <row r="461">
      <c r="A461" s="131">
        <f>IFERROR(__xludf.DUMMYFUNCTION("""COMPUTED_VALUE"""),46186.695925925924)</f>
        <v>46186.69593</v>
      </c>
      <c r="B461" s="126">
        <f>IFERROR(__xludf.DUMMYFUNCTION("""COMPUTED_VALUE"""),46186.0)</f>
        <v>46186</v>
      </c>
      <c r="C461" s="122" t="str">
        <f>IFERROR(__xludf.DUMMYFUNCTION("""COMPUTED_VALUE"""),"RIDE")</f>
        <v>RIDE</v>
      </c>
      <c r="D461" s="122" t="str">
        <f>IFERROR(__xludf.DUMMYFUNCTION("""COMPUTED_VALUE"""),"QuickRide")</f>
        <v>QuickRide</v>
      </c>
      <c r="E461" s="122">
        <f>IFERROR(__xludf.DUMMYFUNCTION("""COMPUTED_VALUE"""),96.94)</f>
        <v>96.94</v>
      </c>
      <c r="F461" s="122">
        <f>IFERROR(__xludf.DUMMYFUNCTION("""COMPUTED_VALUE"""),0.0113)</f>
        <v>0.0113</v>
      </c>
    </row>
    <row r="462">
      <c r="A462" s="131">
        <f>IFERROR(__xludf.DUMMYFUNCTION("""COMPUTED_VALUE"""),46186.695925925924)</f>
        <v>46186.69593</v>
      </c>
      <c r="B462" s="126">
        <f>IFERROR(__xludf.DUMMYFUNCTION("""COMPUTED_VALUE"""),46186.0)</f>
        <v>46186</v>
      </c>
      <c r="C462" s="122" t="str">
        <f>IFERROR(__xludf.DUMMYFUNCTION("""COMPUTED_VALUE"""),"RAIL")</f>
        <v>RAIL</v>
      </c>
      <c r="D462" s="122" t="str">
        <f>IFERROR(__xludf.DUMMYFUNCTION("""COMPUTED_VALUE"""),"MetroRail Corp")</f>
        <v>MetroRail Corp</v>
      </c>
      <c r="E462" s="122">
        <f>IFERROR(__xludf.DUMMYFUNCTION("""COMPUTED_VALUE"""),134.74)</f>
        <v>134.74</v>
      </c>
      <c r="F462" s="122">
        <f>IFERROR(__xludf.DUMMYFUNCTION("""COMPUTED_VALUE"""),0.0037)</f>
        <v>0.0037</v>
      </c>
    </row>
    <row r="463">
      <c r="A463" s="131">
        <f>IFERROR(__xludf.DUMMYFUNCTION("""COMPUTED_VALUE"""),46186.695925925924)</f>
        <v>46186.69593</v>
      </c>
      <c r="B463" s="126">
        <f>IFERROR(__xludf.DUMMYFUNCTION("""COMPUTED_VALUE"""),46186.0)</f>
        <v>46186</v>
      </c>
      <c r="C463" s="122" t="str">
        <f>IFERROR(__xludf.DUMMYFUNCTION("""COMPUTED_VALUE"""),"MEDX")</f>
        <v>MEDX</v>
      </c>
      <c r="D463" s="122" t="str">
        <f>IFERROR(__xludf.DUMMYFUNCTION("""COMPUTED_VALUE"""),"MediCore")</f>
        <v>MediCore</v>
      </c>
      <c r="E463" s="122">
        <f>IFERROR(__xludf.DUMMYFUNCTION("""COMPUTED_VALUE"""),136.59)</f>
        <v>136.59</v>
      </c>
      <c r="F463" s="122">
        <f>IFERROR(__xludf.DUMMYFUNCTION("""COMPUTED_VALUE"""),0.0038)</f>
        <v>0.0038</v>
      </c>
    </row>
    <row r="464">
      <c r="A464" s="131">
        <f>IFERROR(__xludf.DUMMYFUNCTION("""COMPUTED_VALUE"""),46186.695925925924)</f>
        <v>46186.69593</v>
      </c>
      <c r="B464" s="126">
        <f>IFERROR(__xludf.DUMMYFUNCTION("""COMPUTED_VALUE"""),46186.0)</f>
        <v>46186</v>
      </c>
      <c r="C464" s="122" t="str">
        <f>IFERROR(__xludf.DUMMYFUNCTION("""COMPUTED_VALUE"""),"GYMX")</f>
        <v>GYMX</v>
      </c>
      <c r="D464" s="122" t="str">
        <f>IFERROR(__xludf.DUMMYFUNCTION("""COMPUTED_VALUE"""),"GymX Fitness")</f>
        <v>GymX Fitness</v>
      </c>
      <c r="E464" s="122">
        <f>IFERROR(__xludf.DUMMYFUNCTION("""COMPUTED_VALUE"""),87.24)</f>
        <v>87.24</v>
      </c>
      <c r="F464" s="122">
        <f>IFERROR(__xludf.DUMMYFUNCTION("""COMPUTED_VALUE"""),-0.0059)</f>
        <v>-0.0059</v>
      </c>
    </row>
    <row r="465">
      <c r="A465" s="131">
        <f>IFERROR(__xludf.DUMMYFUNCTION("""COMPUTED_VALUE"""),46186.695925925924)</f>
        <v>46186.69593</v>
      </c>
      <c r="B465" s="126">
        <f>IFERROR(__xludf.DUMMYFUNCTION("""COMPUTED_VALUE"""),46186.0)</f>
        <v>46186</v>
      </c>
      <c r="C465" s="122" t="str">
        <f>IFERROR(__xludf.DUMMYFUNCTION("""COMPUTED_VALUE"""),"VITA")</f>
        <v>VITA</v>
      </c>
      <c r="D465" s="122" t="str">
        <f>IFERROR(__xludf.DUMMYFUNCTION("""COMPUTED_VALUE"""),"VitaPlus")</f>
        <v>VitaPlus</v>
      </c>
      <c r="E465" s="122">
        <f>IFERROR(__xludf.DUMMYFUNCTION("""COMPUTED_VALUE"""),76.04)</f>
        <v>76.04</v>
      </c>
      <c r="F465" s="122">
        <f>IFERROR(__xludf.DUMMYFUNCTION("""COMPUTED_VALUE"""),0.004)</f>
        <v>0.004</v>
      </c>
    </row>
    <row r="466">
      <c r="A466" s="131">
        <f>IFERROR(__xludf.DUMMYFUNCTION("""COMPUTED_VALUE"""),46186.695925925924)</f>
        <v>46186.69593</v>
      </c>
      <c r="B466" s="126">
        <f>IFERROR(__xludf.DUMMYFUNCTION("""COMPUTED_VALUE"""),46186.0)</f>
        <v>46186</v>
      </c>
      <c r="C466" s="122" t="str">
        <f>IFERROR(__xludf.DUMMYFUNCTION("""COMPUTED_VALUE"""),"CARE")</f>
        <v>CARE</v>
      </c>
      <c r="D466" s="122" t="str">
        <f>IFERROR(__xludf.DUMMYFUNCTION("""COMPUTED_VALUE"""),"CareCloud")</f>
        <v>CareCloud</v>
      </c>
      <c r="E466" s="122">
        <f>IFERROR(__xludf.DUMMYFUNCTION("""COMPUTED_VALUE"""),174.42)</f>
        <v>174.42</v>
      </c>
      <c r="F466" s="122">
        <f>IFERROR(__xludf.DUMMYFUNCTION("""COMPUTED_VALUE"""),0.0029)</f>
        <v>0.0029</v>
      </c>
    </row>
    <row r="467">
      <c r="A467" s="131">
        <f>IFERROR(__xludf.DUMMYFUNCTION("""COMPUTED_VALUE"""),46186.695925925924)</f>
        <v>46186.69593</v>
      </c>
      <c r="B467" s="126">
        <f>IFERROR(__xludf.DUMMYFUNCTION("""COMPUTED_VALUE"""),46186.0)</f>
        <v>46186</v>
      </c>
      <c r="C467" s="122" t="str">
        <f>IFERROR(__xludf.DUMMYFUNCTION("""COMPUTED_VALUE"""),"DENT")</f>
        <v>DENT</v>
      </c>
      <c r="D467" s="122" t="str">
        <f>IFERROR(__xludf.DUMMYFUNCTION("""COMPUTED_VALUE"""),"SmileWorks")</f>
        <v>SmileWorks</v>
      </c>
      <c r="E467" s="122">
        <f>IFERROR(__xludf.DUMMYFUNCTION("""COMPUTED_VALUE"""),81.77)</f>
        <v>81.77</v>
      </c>
      <c r="F467" s="122">
        <f>IFERROR(__xludf.DUMMYFUNCTION("""COMPUTED_VALUE"""),0.0032)</f>
        <v>0.0032</v>
      </c>
    </row>
    <row r="468">
      <c r="A468" s="131">
        <f>IFERROR(__xludf.DUMMYFUNCTION("""COMPUTED_VALUE"""),46186.695925925924)</f>
        <v>46186.69593</v>
      </c>
      <c r="B468" s="126">
        <f>IFERROR(__xludf.DUMMYFUNCTION("""COMPUTED_VALUE"""),46186.0)</f>
        <v>46186</v>
      </c>
      <c r="C468" s="122" t="str">
        <f>IFERROR(__xludf.DUMMYFUNCTION("""COMPUTED_VALUE"""),"EDUX")</f>
        <v>EDUX</v>
      </c>
      <c r="D468" s="122" t="str">
        <f>IFERROR(__xludf.DUMMYFUNCTION("""COMPUTED_VALUE"""),"EduMax Learning")</f>
        <v>EduMax Learning</v>
      </c>
      <c r="E468" s="122">
        <f>IFERROR(__xludf.DUMMYFUNCTION("""COMPUTED_VALUE"""),131.16)</f>
        <v>131.16</v>
      </c>
      <c r="F468" s="122">
        <f>IFERROR(__xludf.DUMMYFUNCTION("""COMPUTED_VALUE"""),-0.0058)</f>
        <v>-0.0058</v>
      </c>
    </row>
    <row r="469">
      <c r="A469" s="131">
        <f>IFERROR(__xludf.DUMMYFUNCTION("""COMPUTED_VALUE"""),46186.695925925924)</f>
        <v>46186.69593</v>
      </c>
      <c r="B469" s="126">
        <f>IFERROR(__xludf.DUMMYFUNCTION("""COMPUTED_VALUE"""),46186.0)</f>
        <v>46186</v>
      </c>
      <c r="C469" s="122" t="str">
        <f>IFERROR(__xludf.DUMMYFUNCTION("""COMPUTED_VALUE"""),"BOOK")</f>
        <v>BOOK</v>
      </c>
      <c r="D469" s="122" t="str">
        <f>IFERROR(__xludf.DUMMYFUNCTION("""COMPUTED_VALUE"""),"BookBridge")</f>
        <v>BookBridge</v>
      </c>
      <c r="E469" s="122">
        <f>IFERROR(__xludf.DUMMYFUNCTION("""COMPUTED_VALUE"""),110.33)</f>
        <v>110.33</v>
      </c>
      <c r="F469" s="122">
        <f>IFERROR(__xludf.DUMMYFUNCTION("""COMPUTED_VALUE"""),0.0023)</f>
        <v>0.0023</v>
      </c>
    </row>
    <row r="470">
      <c r="A470" s="131">
        <f>IFERROR(__xludf.DUMMYFUNCTION("""COMPUTED_VALUE"""),46186.695925925924)</f>
        <v>46186.69593</v>
      </c>
      <c r="B470" s="126">
        <f>IFERROR(__xludf.DUMMYFUNCTION("""COMPUTED_VALUE"""),46186.0)</f>
        <v>46186</v>
      </c>
      <c r="C470" s="122" t="str">
        <f>IFERROR(__xludf.DUMMYFUNCTION("""COMPUTED_VALUE"""),"TUTR")</f>
        <v>TUTR</v>
      </c>
      <c r="D470" s="122" t="str">
        <f>IFERROR(__xludf.DUMMYFUNCTION("""COMPUTED_VALUE"""),"TutorTown")</f>
        <v>TutorTown</v>
      </c>
      <c r="E470" s="122">
        <f>IFERROR(__xludf.DUMMYFUNCTION("""COMPUTED_VALUE"""),90.89)</f>
        <v>90.89</v>
      </c>
      <c r="F470" s="122">
        <f>IFERROR(__xludf.DUMMYFUNCTION("""COMPUTED_VALUE"""),0.0024)</f>
        <v>0.0024</v>
      </c>
    </row>
    <row r="471">
      <c r="A471" s="131">
        <f>IFERROR(__xludf.DUMMYFUNCTION("""COMPUTED_VALUE"""),46186.695925925924)</f>
        <v>46186.69593</v>
      </c>
      <c r="B471" s="126">
        <f>IFERROR(__xludf.DUMMYFUNCTION("""COMPUTED_VALUE"""),46186.0)</f>
        <v>46186</v>
      </c>
      <c r="C471" s="122" t="str">
        <f>IFERROR(__xludf.DUMMYFUNCTION("""COMPUTED_VALUE"""),"LANG")</f>
        <v>LANG</v>
      </c>
      <c r="D471" s="122" t="str">
        <f>IFERROR(__xludf.DUMMYFUNCTION("""COMPUTED_VALUE"""),"LinguaLab")</f>
        <v>LinguaLab</v>
      </c>
      <c r="E471" s="122">
        <f>IFERROR(__xludf.DUMMYFUNCTION("""COMPUTED_VALUE"""),94.39)</f>
        <v>94.39</v>
      </c>
      <c r="F471" s="122">
        <f>IFERROR(__xludf.DUMMYFUNCTION("""COMPUTED_VALUE"""),0.001)</f>
        <v>0.001</v>
      </c>
    </row>
    <row r="472">
      <c r="A472" s="131">
        <f>IFERROR(__xludf.DUMMYFUNCTION("""COMPUTED_VALUE"""),46186.695925925924)</f>
        <v>46186.69593</v>
      </c>
      <c r="B472" s="126">
        <f>IFERROR(__xludf.DUMMYFUNCTION("""COMPUTED_VALUE"""),46186.0)</f>
        <v>46186</v>
      </c>
      <c r="C472" s="122" t="str">
        <f>IFERROR(__xludf.DUMMYFUNCTION("""COMPUTED_VALUE"""),"TEST")</f>
        <v>TEST</v>
      </c>
      <c r="D472" s="122" t="str">
        <f>IFERROR(__xludf.DUMMYFUNCTION("""COMPUTED_VALUE"""),"TestPrep Pro")</f>
        <v>TestPrep Pro</v>
      </c>
      <c r="E472" s="122">
        <f>IFERROR(__xludf.DUMMYFUNCTION("""COMPUTED_VALUE"""),103.0)</f>
        <v>103</v>
      </c>
      <c r="F472" s="122">
        <f>IFERROR(__xludf.DUMMYFUNCTION("""COMPUTED_VALUE"""),-0.0095)</f>
        <v>-0.0095</v>
      </c>
    </row>
    <row r="473">
      <c r="A473" s="131">
        <f>IFERROR(__xludf.DUMMYFUNCTION("""COMPUTED_VALUE"""),46186.695925925924)</f>
        <v>46186.69593</v>
      </c>
      <c r="B473" s="126">
        <f>IFERROR(__xludf.DUMMYFUNCTION("""COMPUTED_VALUE"""),46186.0)</f>
        <v>46186</v>
      </c>
      <c r="C473" s="122" t="str">
        <f>IFERROR(__xludf.DUMMYFUNCTION("""COMPUTED_VALUE"""),"MOVI")</f>
        <v>MOVI</v>
      </c>
      <c r="D473" s="122" t="str">
        <f>IFERROR(__xludf.DUMMYFUNCTION("""COMPUTED_VALUE"""),"MovieBox")</f>
        <v>MovieBox</v>
      </c>
      <c r="E473" s="122">
        <f>IFERROR(__xludf.DUMMYFUNCTION("""COMPUTED_VALUE"""),79.78)</f>
        <v>79.78</v>
      </c>
      <c r="F473" s="122">
        <f>IFERROR(__xludf.DUMMYFUNCTION("""COMPUTED_VALUE"""),0.0)</f>
        <v>0</v>
      </c>
    </row>
    <row r="474">
      <c r="A474" s="131">
        <f>IFERROR(__xludf.DUMMYFUNCTION("""COMPUTED_VALUE"""),46186.695925925924)</f>
        <v>46186.69593</v>
      </c>
      <c r="B474" s="126">
        <f>IFERROR(__xludf.DUMMYFUNCTION("""COMPUTED_VALUE"""),46186.0)</f>
        <v>46186</v>
      </c>
      <c r="C474" s="122" t="str">
        <f>IFERROR(__xludf.DUMMYFUNCTION("""COMPUTED_VALUE"""),"MUSC")</f>
        <v>MUSC</v>
      </c>
      <c r="D474" s="122" t="str">
        <f>IFERROR(__xludf.DUMMYFUNCTION("""COMPUTED_VALUE"""),"MusicWave")</f>
        <v>MusicWave</v>
      </c>
      <c r="E474" s="122">
        <f>IFERROR(__xludf.DUMMYFUNCTION("""COMPUTED_VALUE"""),96.51)</f>
        <v>96.51</v>
      </c>
      <c r="F474" s="122">
        <f>IFERROR(__xludf.DUMMYFUNCTION("""COMPUTED_VALUE"""),-0.0059)</f>
        <v>-0.0059</v>
      </c>
    </row>
    <row r="475">
      <c r="A475" s="131">
        <f>IFERROR(__xludf.DUMMYFUNCTION("""COMPUTED_VALUE"""),46186.695925925924)</f>
        <v>46186.69593</v>
      </c>
      <c r="B475" s="126">
        <f>IFERROR(__xludf.DUMMYFUNCTION("""COMPUTED_VALUE"""),46186.0)</f>
        <v>46186</v>
      </c>
      <c r="C475" s="122" t="str">
        <f>IFERROR(__xludf.DUMMYFUNCTION("""COMPUTED_VALUE"""),"IDOL")</f>
        <v>IDOL</v>
      </c>
      <c r="D475" s="122" t="str">
        <f>IFERROR(__xludf.DUMMYFUNCTION("""COMPUTED_VALUE"""),"Idol Agency")</f>
        <v>Idol Agency</v>
      </c>
      <c r="E475" s="122">
        <f>IFERROR(__xludf.DUMMYFUNCTION("""COMPUTED_VALUE"""),203.66)</f>
        <v>203.66</v>
      </c>
      <c r="F475" s="122">
        <f>IFERROR(__xludf.DUMMYFUNCTION("""COMPUTED_VALUE"""),0.0115)</f>
        <v>0.0115</v>
      </c>
    </row>
    <row r="476">
      <c r="A476" s="131">
        <f>IFERROR(__xludf.DUMMYFUNCTION("""COMPUTED_VALUE"""),46186.695925925924)</f>
        <v>46186.69593</v>
      </c>
      <c r="B476" s="126">
        <f>IFERROR(__xludf.DUMMYFUNCTION("""COMPUTED_VALUE"""),46186.0)</f>
        <v>46186</v>
      </c>
      <c r="C476" s="122" t="str">
        <f>IFERROR(__xludf.DUMMYFUNCTION("""COMPUTED_VALUE"""),"MEME")</f>
        <v>MEME</v>
      </c>
      <c r="D476" s="122" t="str">
        <f>IFERROR(__xludf.DUMMYFUNCTION("""COMPUTED_VALUE"""),"Meme Media")</f>
        <v>Meme Media</v>
      </c>
      <c r="E476" s="122">
        <f>IFERROR(__xludf.DUMMYFUNCTION("""COMPUTED_VALUE"""),78.5)</f>
        <v>78.5</v>
      </c>
      <c r="F476" s="122">
        <f>IFERROR(__xludf.DUMMYFUNCTION("""COMPUTED_VALUE"""),-0.0136)</f>
        <v>-0.0136</v>
      </c>
    </row>
    <row r="477">
      <c r="A477" s="131">
        <f>IFERROR(__xludf.DUMMYFUNCTION("""COMPUTED_VALUE"""),46186.695925925924)</f>
        <v>46186.69593</v>
      </c>
      <c r="B477" s="126">
        <f>IFERROR(__xludf.DUMMYFUNCTION("""COMPUTED_VALUE"""),46186.0)</f>
        <v>46186</v>
      </c>
      <c r="C477" s="122" t="str">
        <f>IFERROR(__xludf.DUMMYFUNCTION("""COMPUTED_VALUE"""),"STRM")</f>
        <v>STRM</v>
      </c>
      <c r="D477" s="122" t="str">
        <f>IFERROR(__xludf.DUMMYFUNCTION("""COMPUTED_VALUE"""),"Streamly")</f>
        <v>Streamly</v>
      </c>
      <c r="E477" s="122">
        <f>IFERROR(__xludf.DUMMYFUNCTION("""COMPUTED_VALUE"""),138.61)</f>
        <v>138.61</v>
      </c>
      <c r="F477" s="122">
        <f>IFERROR(__xludf.DUMMYFUNCTION("""COMPUTED_VALUE"""),0.0064)</f>
        <v>0.0064</v>
      </c>
    </row>
    <row r="478">
      <c r="A478" s="131">
        <f>IFERROR(__xludf.DUMMYFUNCTION("""COMPUTED_VALUE"""),46186.695925925924)</f>
        <v>46186.69593</v>
      </c>
      <c r="B478" s="126">
        <f>IFERROR(__xludf.DUMMYFUNCTION("""COMPUTED_VALUE"""),46186.0)</f>
        <v>46186</v>
      </c>
      <c r="C478" s="122" t="str">
        <f>IFERROR(__xludf.DUMMYFUNCTION("""COMPUTED_VALUE"""),"FARM")</f>
        <v>FARM</v>
      </c>
      <c r="D478" s="122" t="str">
        <f>IFERROR(__xludf.DUMMYFUNCTION("""COMPUTED_VALUE"""),"Future Farms")</f>
        <v>Future Farms</v>
      </c>
      <c r="E478" s="122">
        <f>IFERROR(__xludf.DUMMYFUNCTION("""COMPUTED_VALUE"""),79.25)</f>
        <v>79.25</v>
      </c>
      <c r="F478" s="122">
        <f>IFERROR(__xludf.DUMMYFUNCTION("""COMPUTED_VALUE"""),0.0024)</f>
        <v>0.0024</v>
      </c>
    </row>
    <row r="479">
      <c r="A479" s="131">
        <f>IFERROR(__xludf.DUMMYFUNCTION("""COMPUTED_VALUE"""),46186.695925925924)</f>
        <v>46186.69593</v>
      </c>
      <c r="B479" s="126">
        <f>IFERROR(__xludf.DUMMYFUNCTION("""COMPUTED_VALUE"""),46186.0)</f>
        <v>46186</v>
      </c>
      <c r="C479" s="122" t="str">
        <f>IFERROR(__xludf.DUMMYFUNCTION("""COMPUTED_VALUE"""),"MEAT")</f>
        <v>MEAT</v>
      </c>
      <c r="D479" s="122" t="str">
        <f>IFERROR(__xludf.DUMMYFUNCTION("""COMPUTED_VALUE"""),"MeatWorks")</f>
        <v>MeatWorks</v>
      </c>
      <c r="E479" s="122">
        <f>IFERROR(__xludf.DUMMYFUNCTION("""COMPUTED_VALUE"""),102.32)</f>
        <v>102.32</v>
      </c>
      <c r="F479" s="122">
        <f>IFERROR(__xludf.DUMMYFUNCTION("""COMPUTED_VALUE"""),8.0E-4)</f>
        <v>0.0008</v>
      </c>
    </row>
    <row r="480">
      <c r="A480" s="131">
        <f>IFERROR(__xludf.DUMMYFUNCTION("""COMPUTED_VALUE"""),46186.695925925924)</f>
        <v>46186.69593</v>
      </c>
      <c r="B480" s="126">
        <f>IFERROR(__xludf.DUMMYFUNCTION("""COMPUTED_VALUE"""),46186.0)</f>
        <v>46186</v>
      </c>
      <c r="C480" s="122" t="str">
        <f>IFERROR(__xludf.DUMMYFUNCTION("""COMPUTED_VALUE"""),"VEGI")</f>
        <v>VEGI</v>
      </c>
      <c r="D480" s="122" t="str">
        <f>IFERROR(__xludf.DUMMYFUNCTION("""COMPUTED_VALUE"""),"Green Basket")</f>
        <v>Green Basket</v>
      </c>
      <c r="E480" s="122">
        <f>IFERROR(__xludf.DUMMYFUNCTION("""COMPUTED_VALUE"""),83.7)</f>
        <v>83.7</v>
      </c>
      <c r="F480" s="122">
        <f>IFERROR(__xludf.DUMMYFUNCTION("""COMPUTED_VALUE"""),-0.0049)</f>
        <v>-0.0049</v>
      </c>
    </row>
    <row r="481">
      <c r="A481" s="131">
        <f>IFERROR(__xludf.DUMMYFUNCTION("""COMPUTED_VALUE"""),46186.695925925924)</f>
        <v>46186.69593</v>
      </c>
      <c r="B481" s="126">
        <f>IFERROR(__xludf.DUMMYFUNCTION("""COMPUTED_VALUE"""),46186.0)</f>
        <v>46186</v>
      </c>
      <c r="C481" s="122" t="str">
        <f>IFERROR(__xludf.DUMMYFUNCTION("""COMPUTED_VALUE"""),"CAFE")</f>
        <v>CAFE</v>
      </c>
      <c r="D481" s="122" t="str">
        <f>IFERROR(__xludf.DUMMYFUNCTION("""COMPUTED_VALUE"""),"Cafe Cloud")</f>
        <v>Cafe Cloud</v>
      </c>
      <c r="E481" s="122">
        <f>IFERROR(__xludf.DUMMYFUNCTION("""COMPUTED_VALUE"""),98.06)</f>
        <v>98.06</v>
      </c>
      <c r="F481" s="122">
        <f>IFERROR(__xludf.DUMMYFUNCTION("""COMPUTED_VALUE"""),0.0053)</f>
        <v>0.0053</v>
      </c>
    </row>
    <row r="482">
      <c r="A482" s="131">
        <f>IFERROR(__xludf.DUMMYFUNCTION("""COMPUTED_VALUE"""),46186.695925925924)</f>
        <v>46186.69593</v>
      </c>
      <c r="B482" s="126">
        <f>IFERROR(__xludf.DUMMYFUNCTION("""COMPUTED_VALUE"""),46186.0)</f>
        <v>46186</v>
      </c>
      <c r="C482" s="122" t="str">
        <f>IFERROR(__xludf.DUMMYFUNCTION("""COMPUTED_VALUE"""),"BAKE")</f>
        <v>BAKE</v>
      </c>
      <c r="D482" s="122" t="str">
        <f>IFERROR(__xludf.DUMMYFUNCTION("""COMPUTED_VALUE"""),"BakeHouse")</f>
        <v>BakeHouse</v>
      </c>
      <c r="E482" s="122">
        <f>IFERROR(__xludf.DUMMYFUNCTION("""COMPUTED_VALUE"""),100.07)</f>
        <v>100.07</v>
      </c>
      <c r="F482" s="122">
        <f>IFERROR(__xludf.DUMMYFUNCTION("""COMPUTED_VALUE"""),-0.0049)</f>
        <v>-0.0049</v>
      </c>
    </row>
    <row r="483">
      <c r="A483" s="131">
        <f>IFERROR(__xludf.DUMMYFUNCTION("""COMPUTED_VALUE"""),46186.695925925924)</f>
        <v>46186.69593</v>
      </c>
      <c r="B483" s="126">
        <f>IFERROR(__xludf.DUMMYFUNCTION("""COMPUTED_VALUE"""),46186.0)</f>
        <v>46186</v>
      </c>
      <c r="C483" s="122" t="str">
        <f>IFERROR(__xludf.DUMMYFUNCTION("""COMPUTED_VALUE"""),"OILX")</f>
        <v>OILX</v>
      </c>
      <c r="D483" s="122" t="str">
        <f>IFERROR(__xludf.DUMMYFUNCTION("""COMPUTED_VALUE"""),"OilMax Energy")</f>
        <v>OilMax Energy</v>
      </c>
      <c r="E483" s="122">
        <f>IFERROR(__xludf.DUMMYFUNCTION("""COMPUTED_VALUE"""),133.64)</f>
        <v>133.64</v>
      </c>
      <c r="F483" s="122">
        <f>IFERROR(__xludf.DUMMYFUNCTION("""COMPUTED_VALUE"""),-0.0047)</f>
        <v>-0.0047</v>
      </c>
    </row>
    <row r="484">
      <c r="A484" s="131">
        <f>IFERROR(__xludf.DUMMYFUNCTION("""COMPUTED_VALUE"""),46186.695925925924)</f>
        <v>46186.69593</v>
      </c>
      <c r="B484" s="126">
        <f>IFERROR(__xludf.DUMMYFUNCTION("""COMPUTED_VALUE"""),46186.0)</f>
        <v>46186</v>
      </c>
      <c r="C484" s="122" t="str">
        <f>IFERROR(__xludf.DUMMYFUNCTION("""COMPUTED_VALUE"""),"SOLR")</f>
        <v>SOLR</v>
      </c>
      <c r="D484" s="122" t="str">
        <f>IFERROR(__xludf.DUMMYFUNCTION("""COMPUTED_VALUE"""),"SolarSpark")</f>
        <v>SolarSpark</v>
      </c>
      <c r="E484" s="122">
        <f>IFERROR(__xludf.DUMMYFUNCTION("""COMPUTED_VALUE"""),82.19)</f>
        <v>82.19</v>
      </c>
      <c r="F484" s="122">
        <f>IFERROR(__xludf.DUMMYFUNCTION("""COMPUTED_VALUE"""),-0.0089)</f>
        <v>-0.0089</v>
      </c>
    </row>
    <row r="485">
      <c r="A485" s="131">
        <f>IFERROR(__xludf.DUMMYFUNCTION("""COMPUTED_VALUE"""),46186.695925925924)</f>
        <v>46186.69593</v>
      </c>
      <c r="B485" s="126">
        <f>IFERROR(__xludf.DUMMYFUNCTION("""COMPUTED_VALUE"""),46186.0)</f>
        <v>46186</v>
      </c>
      <c r="C485" s="122" t="str">
        <f>IFERROR(__xludf.DUMMYFUNCTION("""COMPUTED_VALUE"""),"BATT")</f>
        <v>BATT</v>
      </c>
      <c r="D485" s="122" t="str">
        <f>IFERROR(__xludf.DUMMYFUNCTION("""COMPUTED_VALUE"""),"BatteryBox")</f>
        <v>BatteryBox</v>
      </c>
      <c r="E485" s="122">
        <f>IFERROR(__xludf.DUMMYFUNCTION("""COMPUTED_VALUE"""),116.22)</f>
        <v>116.22</v>
      </c>
      <c r="F485" s="122">
        <f>IFERROR(__xludf.DUMMYFUNCTION("""COMPUTED_VALUE"""),0.0109)</f>
        <v>0.0109</v>
      </c>
    </row>
    <row r="486">
      <c r="A486" s="131">
        <f>IFERROR(__xludf.DUMMYFUNCTION("""COMPUTED_VALUE"""),46186.695925925924)</f>
        <v>46186.69593</v>
      </c>
      <c r="B486" s="126">
        <f>IFERROR(__xludf.DUMMYFUNCTION("""COMPUTED_VALUE"""),46186.0)</f>
        <v>46186</v>
      </c>
      <c r="C486" s="122" t="str">
        <f>IFERROR(__xludf.DUMMYFUNCTION("""COMPUTED_VALUE"""),"WIND")</f>
        <v>WIND</v>
      </c>
      <c r="D486" s="122" t="str">
        <f>IFERROR(__xludf.DUMMYFUNCTION("""COMPUTED_VALUE"""),"WindWorks")</f>
        <v>WindWorks</v>
      </c>
      <c r="E486" s="122">
        <f>IFERROR(__xludf.DUMMYFUNCTION("""COMPUTED_VALUE"""),91.82)</f>
        <v>91.82</v>
      </c>
      <c r="F486" s="122">
        <f>IFERROR(__xludf.DUMMYFUNCTION("""COMPUTED_VALUE"""),0.0059)</f>
        <v>0.0059</v>
      </c>
    </row>
    <row r="487">
      <c r="A487" s="131">
        <f>IFERROR(__xludf.DUMMYFUNCTION("""COMPUTED_VALUE"""),46186.695925925924)</f>
        <v>46186.69593</v>
      </c>
      <c r="B487" s="126">
        <f>IFERROR(__xludf.DUMMYFUNCTION("""COMPUTED_VALUE"""),46186.0)</f>
        <v>46186</v>
      </c>
      <c r="C487" s="122" t="str">
        <f>IFERROR(__xludf.DUMMYFUNCTION("""COMPUTED_VALUE"""),"GRID")</f>
        <v>GRID</v>
      </c>
      <c r="D487" s="122" t="str">
        <f>IFERROR(__xludf.DUMMYFUNCTION("""COMPUTED_VALUE"""),"GridPower")</f>
        <v>GridPower</v>
      </c>
      <c r="E487" s="122">
        <f>IFERROR(__xludf.DUMMYFUNCTION("""COMPUTED_VALUE"""),146.3)</f>
        <v>146.3</v>
      </c>
      <c r="F487" s="122">
        <f>IFERROR(__xludf.DUMMYFUNCTION("""COMPUTED_VALUE"""),-0.0026)</f>
        <v>-0.0026</v>
      </c>
    </row>
    <row r="488">
      <c r="A488" s="131">
        <f>IFERROR(__xludf.DUMMYFUNCTION("""COMPUTED_VALUE"""),46186.695925925924)</f>
        <v>46186.69593</v>
      </c>
      <c r="B488" s="126">
        <f>IFERROR(__xludf.DUMMYFUNCTION("""COMPUTED_VALUE"""),46186.0)</f>
        <v>46186</v>
      </c>
      <c r="C488" s="122" t="str">
        <f>IFERROR(__xludf.DUMMYFUNCTION("""COMPUTED_VALUE"""),"HOME")</f>
        <v>HOME</v>
      </c>
      <c r="D488" s="122" t="str">
        <f>IFERROR(__xludf.DUMMYFUNCTION("""COMPUTED_VALUE"""),"HomeHub")</f>
        <v>HomeHub</v>
      </c>
      <c r="E488" s="122">
        <f>IFERROR(__xludf.DUMMYFUNCTION("""COMPUTED_VALUE"""),145.39)</f>
        <v>145.39</v>
      </c>
      <c r="F488" s="122">
        <f>IFERROR(__xludf.DUMMYFUNCTION("""COMPUTED_VALUE"""),-0.0016)</f>
        <v>-0.0016</v>
      </c>
    </row>
    <row r="489">
      <c r="A489" s="131">
        <f>IFERROR(__xludf.DUMMYFUNCTION("""COMPUTED_VALUE"""),46186.695925925924)</f>
        <v>46186.69593</v>
      </c>
      <c r="B489" s="126">
        <f>IFERROR(__xludf.DUMMYFUNCTION("""COMPUTED_VALUE"""),46186.0)</f>
        <v>46186</v>
      </c>
      <c r="C489" s="122" t="str">
        <f>IFERROR(__xludf.DUMMYFUNCTION("""COMPUTED_VALUE"""),"RENT")</f>
        <v>RENT</v>
      </c>
      <c r="D489" s="122" t="str">
        <f>IFERROR(__xludf.DUMMYFUNCTION("""COMPUTED_VALUE"""),"RentRight")</f>
        <v>RentRight</v>
      </c>
      <c r="E489" s="122">
        <f>IFERROR(__xludf.DUMMYFUNCTION("""COMPUTED_VALUE"""),95.35)</f>
        <v>95.35</v>
      </c>
      <c r="F489" s="122">
        <f>IFERROR(__xludf.DUMMYFUNCTION("""COMPUTED_VALUE"""),-0.0026)</f>
        <v>-0.0026</v>
      </c>
    </row>
    <row r="490">
      <c r="A490" s="131">
        <f>IFERROR(__xludf.DUMMYFUNCTION("""COMPUTED_VALUE"""),46186.695925925924)</f>
        <v>46186.69593</v>
      </c>
      <c r="B490" s="126">
        <f>IFERROR(__xludf.DUMMYFUNCTION("""COMPUTED_VALUE"""),46186.0)</f>
        <v>46186</v>
      </c>
      <c r="C490" s="122" t="str">
        <f>IFERROR(__xludf.DUMMYFUNCTION("""COMPUTED_VALUE"""),"MALL")</f>
        <v>MALL</v>
      </c>
      <c r="D490" s="122" t="str">
        <f>IFERROR(__xludf.DUMMYFUNCTION("""COMPUTED_VALUE"""),"MegaMall")</f>
        <v>MegaMall</v>
      </c>
      <c r="E490" s="122">
        <f>IFERROR(__xludf.DUMMYFUNCTION("""COMPUTED_VALUE"""),94.09)</f>
        <v>94.09</v>
      </c>
      <c r="F490" s="122">
        <f>IFERROR(__xludf.DUMMYFUNCTION("""COMPUTED_VALUE"""),0.0035)</f>
        <v>0.0035</v>
      </c>
    </row>
    <row r="491">
      <c r="A491" s="131">
        <f>IFERROR(__xludf.DUMMYFUNCTION("""COMPUTED_VALUE"""),46186.695925925924)</f>
        <v>46186.69593</v>
      </c>
      <c r="B491" s="126">
        <f>IFERROR(__xludf.DUMMYFUNCTION("""COMPUTED_VALUE"""),46186.0)</f>
        <v>46186</v>
      </c>
      <c r="C491" s="122" t="str">
        <f>IFERROR(__xludf.DUMMYFUNCTION("""COMPUTED_VALUE"""),"HOTL")</f>
        <v>HOTL</v>
      </c>
      <c r="D491" s="122" t="str">
        <f>IFERROR(__xludf.DUMMYFUNCTION("""COMPUTED_VALUE"""),"HotelHive")</f>
        <v>HotelHive</v>
      </c>
      <c r="E491" s="122">
        <f>IFERROR(__xludf.DUMMYFUNCTION("""COMPUTED_VALUE"""),132.08)</f>
        <v>132.08</v>
      </c>
      <c r="F491" s="122">
        <f>IFERROR(__xludf.DUMMYFUNCTION("""COMPUTED_VALUE"""),0.009)</f>
        <v>0.009</v>
      </c>
    </row>
    <row r="492">
      <c r="A492" s="131">
        <f>IFERROR(__xludf.DUMMYFUNCTION("""COMPUTED_VALUE"""),46186.695925925924)</f>
        <v>46186.69593</v>
      </c>
      <c r="B492" s="126">
        <f>IFERROR(__xludf.DUMMYFUNCTION("""COMPUTED_VALUE"""),46186.0)</f>
        <v>46186</v>
      </c>
      <c r="C492" s="122" t="str">
        <f>IFERROR(__xludf.DUMMYFUNCTION("""COMPUTED_VALUE"""),"LAND")</f>
        <v>LAND</v>
      </c>
      <c r="D492" s="122" t="str">
        <f>IFERROR(__xludf.DUMMYFUNCTION("""COMPUTED_VALUE"""),"LandLink")</f>
        <v>LandLink</v>
      </c>
      <c r="E492" s="122">
        <f>IFERROR(__xludf.DUMMYFUNCTION("""COMPUTED_VALUE"""),180.05)</f>
        <v>180.05</v>
      </c>
      <c r="F492" s="122">
        <f>IFERROR(__xludf.DUMMYFUNCTION("""COMPUTED_VALUE"""),-0.0016)</f>
        <v>-0.0016</v>
      </c>
    </row>
    <row r="493">
      <c r="A493" s="131">
        <f>IFERROR(__xludf.DUMMYFUNCTION("""COMPUTED_VALUE"""),46186.695925925924)</f>
        <v>46186.69593</v>
      </c>
      <c r="B493" s="126">
        <f>IFERROR(__xludf.DUMMYFUNCTION("""COMPUTED_VALUE"""),46186.0)</f>
        <v>46186</v>
      </c>
      <c r="C493" s="122" t="str">
        <f>IFERROR(__xludf.DUMMYFUNCTION("""COMPUTED_VALUE"""),"CARS")</f>
        <v>CARS</v>
      </c>
      <c r="D493" s="122" t="str">
        <f>IFERROR(__xludf.DUMMYFUNCTION("""COMPUTED_VALUE"""),"AutoArena")</f>
        <v>AutoArena</v>
      </c>
      <c r="E493" s="122">
        <f>IFERROR(__xludf.DUMMYFUNCTION("""COMPUTED_VALUE"""),80.49)</f>
        <v>80.49</v>
      </c>
      <c r="F493" s="122">
        <f>IFERROR(__xludf.DUMMYFUNCTION("""COMPUTED_VALUE"""),-4.0E-4)</f>
        <v>-0.0004</v>
      </c>
    </row>
    <row r="494">
      <c r="A494" s="131">
        <f>IFERROR(__xludf.DUMMYFUNCTION("""COMPUTED_VALUE"""),46186.695925925924)</f>
        <v>46186.69593</v>
      </c>
      <c r="B494" s="126">
        <f>IFERROR(__xludf.DUMMYFUNCTION("""COMPUTED_VALUE"""),46186.0)</f>
        <v>46186</v>
      </c>
      <c r="C494" s="122" t="str">
        <f>IFERROR(__xludf.DUMMYFUNCTION("""COMPUTED_VALUE"""),"EVGO")</f>
        <v>EVGO</v>
      </c>
      <c r="D494" s="122" t="str">
        <f>IFERROR(__xludf.DUMMYFUNCTION("""COMPUTED_VALUE"""),"EVGo Motors")</f>
        <v>EVGo Motors</v>
      </c>
      <c r="E494" s="122">
        <f>IFERROR(__xludf.DUMMYFUNCTION("""COMPUTED_VALUE"""),196.77)</f>
        <v>196.77</v>
      </c>
      <c r="F494" s="122">
        <f>IFERROR(__xludf.DUMMYFUNCTION("""COMPUTED_VALUE"""),-0.0068)</f>
        <v>-0.0068</v>
      </c>
    </row>
    <row r="495">
      <c r="A495" s="131">
        <f>IFERROR(__xludf.DUMMYFUNCTION("""COMPUTED_VALUE"""),46186.695925925924)</f>
        <v>46186.69593</v>
      </c>
      <c r="B495" s="126">
        <f>IFERROR(__xludf.DUMMYFUNCTION("""COMPUTED_VALUE"""),46186.0)</f>
        <v>46186</v>
      </c>
      <c r="C495" s="122" t="str">
        <f>IFERROR(__xludf.DUMMYFUNCTION("""COMPUTED_VALUE"""),"TIRE")</f>
        <v>TIRE</v>
      </c>
      <c r="D495" s="122" t="str">
        <f>IFERROR(__xludf.DUMMYFUNCTION("""COMPUTED_VALUE"""),"TireTown")</f>
        <v>TireTown</v>
      </c>
      <c r="E495" s="122">
        <f>IFERROR(__xludf.DUMMYFUNCTION("""COMPUTED_VALUE"""),84.71)</f>
        <v>84.71</v>
      </c>
      <c r="F495" s="122">
        <f>IFERROR(__xludf.DUMMYFUNCTION("""COMPUTED_VALUE"""),0.0032)</f>
        <v>0.0032</v>
      </c>
    </row>
    <row r="496">
      <c r="A496" s="131">
        <f>IFERROR(__xludf.DUMMYFUNCTION("""COMPUTED_VALUE"""),46186.695925925924)</f>
        <v>46186.69593</v>
      </c>
      <c r="B496" s="126">
        <f>IFERROR(__xludf.DUMMYFUNCTION("""COMPUTED_VALUE"""),46186.0)</f>
        <v>46186</v>
      </c>
      <c r="C496" s="122" t="str">
        <f>IFERROR(__xludf.DUMMYFUNCTION("""COMPUTED_VALUE"""),"BIKE")</f>
        <v>BIKE</v>
      </c>
      <c r="D496" s="122" t="str">
        <f>IFERROR(__xludf.DUMMYFUNCTION("""COMPUTED_VALUE"""),"BikeBox")</f>
        <v>BikeBox</v>
      </c>
      <c r="E496" s="122">
        <f>IFERROR(__xludf.DUMMYFUNCTION("""COMPUTED_VALUE"""),54.74)</f>
        <v>54.74</v>
      </c>
      <c r="F496" s="122">
        <f>IFERROR(__xludf.DUMMYFUNCTION("""COMPUTED_VALUE"""),-0.0044)</f>
        <v>-0.0044</v>
      </c>
    </row>
    <row r="497">
      <c r="A497" s="131">
        <f>IFERROR(__xludf.DUMMYFUNCTION("""COMPUTED_VALUE"""),46186.695925925924)</f>
        <v>46186.69593</v>
      </c>
      <c r="B497" s="126">
        <f>IFERROR(__xludf.DUMMYFUNCTION("""COMPUTED_VALUE"""),46186.0)</f>
        <v>46186</v>
      </c>
      <c r="C497" s="122" t="str">
        <f>IFERROR(__xludf.DUMMYFUNCTION("""COMPUTED_VALUE"""),"WASH")</f>
        <v>WASH</v>
      </c>
      <c r="D497" s="122" t="str">
        <f>IFERROR(__xludf.DUMMYFUNCTION("""COMPUTED_VALUE"""),"CarWash Co")</f>
        <v>CarWash Co</v>
      </c>
      <c r="E497" s="122">
        <f>IFERROR(__xludf.DUMMYFUNCTION("""COMPUTED_VALUE"""),116.94)</f>
        <v>116.94</v>
      </c>
      <c r="F497" s="122">
        <f>IFERROR(__xludf.DUMMYFUNCTION("""COMPUTED_VALUE"""),0.0021)</f>
        <v>0.0021</v>
      </c>
    </row>
    <row r="498">
      <c r="A498" s="131">
        <f>IFERROR(__xludf.DUMMYFUNCTION("""COMPUTED_VALUE"""),46186.695925925924)</f>
        <v>46186.69593</v>
      </c>
      <c r="B498" s="126">
        <f>IFERROR(__xludf.DUMMYFUNCTION("""COMPUTED_VALUE"""),46186.0)</f>
        <v>46186</v>
      </c>
      <c r="C498" s="122" t="str">
        <f>IFERROR(__xludf.DUMMYFUNCTION("""COMPUTED_VALUE"""),"GBND")</f>
        <v>GBND</v>
      </c>
      <c r="D498" s="122" t="str">
        <f>IFERROR(__xludf.DUMMYFUNCTION("""COMPUTED_VALUE"""),"Classroom Government Bond")</f>
        <v>Classroom Government Bond</v>
      </c>
      <c r="E498" s="122">
        <f>IFERROR(__xludf.DUMMYFUNCTION("""COMPUTED_VALUE"""),100.87)</f>
        <v>100.87</v>
      </c>
      <c r="F498" s="122">
        <f>IFERROR(__xludf.DUMMYFUNCTION("""COMPUTED_VALUE"""),0.0)</f>
        <v>0</v>
      </c>
    </row>
    <row r="499">
      <c r="A499" s="131">
        <f>IFERROR(__xludf.DUMMYFUNCTION("""COMPUTED_VALUE"""),46186.695925925924)</f>
        <v>46186.69593</v>
      </c>
      <c r="B499" s="126">
        <f>IFERROR(__xludf.DUMMYFUNCTION("""COMPUTED_VALUE"""),46186.0)</f>
        <v>46186</v>
      </c>
      <c r="C499" s="122" t="str">
        <f>IFERROR(__xludf.DUMMYFUNCTION("""COMPUTED_VALUE"""),"SBND")</f>
        <v>SBND</v>
      </c>
      <c r="D499" s="122" t="str">
        <f>IFERROR(__xludf.DUMMYFUNCTION("""COMPUTED_VALUE"""),"School Savings Bond")</f>
        <v>School Savings Bond</v>
      </c>
      <c r="E499" s="122">
        <f>IFERROR(__xludf.DUMMYFUNCTION("""COMPUTED_VALUE"""),99.25)</f>
        <v>99.25</v>
      </c>
      <c r="F499" s="122">
        <f>IFERROR(__xludf.DUMMYFUNCTION("""COMPUTED_VALUE"""),4.0E-4)</f>
        <v>0.0004</v>
      </c>
    </row>
    <row r="500">
      <c r="A500" s="131">
        <f>IFERROR(__xludf.DUMMYFUNCTION("""COMPUTED_VALUE"""),46186.695925925924)</f>
        <v>46186.69593</v>
      </c>
      <c r="B500" s="126">
        <f>IFERROR(__xludf.DUMMYFUNCTION("""COMPUTED_VALUE"""),46186.0)</f>
        <v>46186</v>
      </c>
      <c r="C500" s="122" t="str">
        <f>IFERROR(__xludf.DUMMYFUNCTION("""COMPUTED_VALUE"""),"CBND")</f>
        <v>CBND</v>
      </c>
      <c r="D500" s="122" t="str">
        <f>IFERROR(__xludf.DUMMYFUNCTION("""COMPUTED_VALUE"""),"Corporate Classroom Bond")</f>
        <v>Corporate Classroom Bond</v>
      </c>
      <c r="E500" s="122">
        <f>IFERROR(__xludf.DUMMYFUNCTION("""COMPUTED_VALUE"""),97.82)</f>
        <v>97.82</v>
      </c>
      <c r="F500" s="122">
        <f>IFERROR(__xludf.DUMMYFUNCTION("""COMPUTED_VALUE"""),-3.0E-4)</f>
        <v>-0.0003</v>
      </c>
    </row>
    <row r="501">
      <c r="A501" s="131">
        <f>IFERROR(__xludf.DUMMYFUNCTION("""COMPUTED_VALUE"""),46186.695925925924)</f>
        <v>46186.69593</v>
      </c>
      <c r="B501" s="126">
        <f>IFERROR(__xludf.DUMMYFUNCTION("""COMPUTED_VALUE"""),46186.0)</f>
        <v>46186</v>
      </c>
      <c r="C501" s="122" t="str">
        <f>IFERROR(__xludf.DUMMYFUNCTION("""COMPUTED_VALUE"""),"TBIL")</f>
        <v>TBIL</v>
      </c>
      <c r="D501" s="122" t="str">
        <f>IFERROR(__xludf.DUMMYFUNCTION("""COMPUTED_VALUE"""),"Treasury Bill")</f>
        <v>Treasury Bill</v>
      </c>
      <c r="E501" s="122">
        <f>IFERROR(__xludf.DUMMYFUNCTION("""COMPUTED_VALUE"""),98.03)</f>
        <v>98.03</v>
      </c>
      <c r="F501" s="122">
        <f>IFERROR(__xludf.DUMMYFUNCTION("""COMPUTED_VALUE"""),-3.0E-4)</f>
        <v>-0.0003</v>
      </c>
    </row>
    <row r="502">
      <c r="A502" s="131">
        <f>IFERROR(__xludf.DUMMYFUNCTION("""COMPUTED_VALUE"""),46186.695925925924)</f>
        <v>46186.69593</v>
      </c>
      <c r="B502" s="126">
        <f>IFERROR(__xludf.DUMMYFUNCTION("""COMPUTED_VALUE"""),46186.0)</f>
        <v>46186</v>
      </c>
      <c r="C502" s="122" t="str">
        <f>IFERROR(__xludf.DUMMYFUNCTION("""COMPUTED_VALUE"""),"IBND")</f>
        <v>IBND</v>
      </c>
      <c r="D502" s="122" t="str">
        <f>IFERROR(__xludf.DUMMYFUNCTION("""COMPUTED_VALUE"""),"Inflation Protected Bond")</f>
        <v>Inflation Protected Bond</v>
      </c>
      <c r="E502" s="122">
        <f>IFERROR(__xludf.DUMMYFUNCTION("""COMPUTED_VALUE"""),100.58)</f>
        <v>100.58</v>
      </c>
      <c r="F502" s="122">
        <f>IFERROR(__xludf.DUMMYFUNCTION("""COMPUTED_VALUE"""),-5.0E-4)</f>
        <v>-0.0005</v>
      </c>
    </row>
    <row r="503">
      <c r="A503" s="131">
        <f>IFERROR(__xludf.DUMMYFUNCTION("""COMPUTED_VALUE"""),46186.699479166666)</f>
        <v>46186.69948</v>
      </c>
      <c r="B503" s="126">
        <f>IFERROR(__xludf.DUMMYFUNCTION("""COMPUTED_VALUE"""),46186.0)</f>
        <v>46186</v>
      </c>
      <c r="C503" s="122" t="str">
        <f>IFERROR(__xludf.DUMMYFUNCTION("""COMPUTED_VALUE"""),"SNAX")</f>
        <v>SNAX</v>
      </c>
      <c r="D503" s="122" t="str">
        <f>IFERROR(__xludf.DUMMYFUNCTION("""COMPUTED_VALUE"""),"MICA Snacks")</f>
        <v>MICA Snacks</v>
      </c>
      <c r="E503" s="122">
        <f>IFERROR(__xludf.DUMMYFUNCTION("""COMPUTED_VALUE"""),124.56)</f>
        <v>124.56</v>
      </c>
      <c r="F503" s="122">
        <f>IFERROR(__xludf.DUMMYFUNCTION("""COMPUTED_VALUE"""),-0.0019)</f>
        <v>-0.0019</v>
      </c>
    </row>
    <row r="504">
      <c r="A504" s="131">
        <f>IFERROR(__xludf.DUMMYFUNCTION("""COMPUTED_VALUE"""),46186.699479166666)</f>
        <v>46186.69948</v>
      </c>
      <c r="B504" s="126">
        <f>IFERROR(__xludf.DUMMYFUNCTION("""COMPUTED_VALUE"""),46186.0)</f>
        <v>46186</v>
      </c>
      <c r="C504" s="122" t="str">
        <f>IFERROR(__xludf.DUMMYFUNCTION("""COMPUTED_VALUE"""),"RAMN")</f>
        <v>RAMN</v>
      </c>
      <c r="D504" s="122" t="str">
        <f>IFERROR(__xludf.DUMMYFUNCTION("""COMPUTED_VALUE"""),"Ramen Republic")</f>
        <v>Ramen Republic</v>
      </c>
      <c r="E504" s="122">
        <f>IFERROR(__xludf.DUMMYFUNCTION("""COMPUTED_VALUE"""),78.94)</f>
        <v>78.94</v>
      </c>
      <c r="F504" s="122">
        <f>IFERROR(__xludf.DUMMYFUNCTION("""COMPUTED_VALUE"""),-0.0047)</f>
        <v>-0.0047</v>
      </c>
    </row>
    <row r="505">
      <c r="A505" s="131">
        <f>IFERROR(__xludf.DUMMYFUNCTION("""COMPUTED_VALUE"""),46186.699479166666)</f>
        <v>46186.69948</v>
      </c>
      <c r="B505" s="126">
        <f>IFERROR(__xludf.DUMMYFUNCTION("""COMPUTED_VALUE"""),46186.0)</f>
        <v>46186</v>
      </c>
      <c r="C505" s="122" t="str">
        <f>IFERROR(__xludf.DUMMYFUNCTION("""COMPUTED_VALUE"""),"COLA")</f>
        <v>COLA</v>
      </c>
      <c r="D505" s="122" t="str">
        <f>IFERROR(__xludf.DUMMYFUNCTION("""COMPUTED_VALUE"""),"K-Pop Cola")</f>
        <v>K-Pop Cola</v>
      </c>
      <c r="E505" s="122">
        <f>IFERROR(__xludf.DUMMYFUNCTION("""COMPUTED_VALUE"""),104.05)</f>
        <v>104.05</v>
      </c>
      <c r="F505" s="122">
        <f>IFERROR(__xludf.DUMMYFUNCTION("""COMPUTED_VALUE"""),0.0019)</f>
        <v>0.0019</v>
      </c>
    </row>
    <row r="506">
      <c r="A506" s="131">
        <f>IFERROR(__xludf.DUMMYFUNCTION("""COMPUTED_VALUE"""),46186.699479166666)</f>
        <v>46186.69948</v>
      </c>
      <c r="B506" s="126">
        <f>IFERROR(__xludf.DUMMYFUNCTION("""COMPUTED_VALUE"""),46186.0)</f>
        <v>46186</v>
      </c>
      <c r="C506" s="122" t="str">
        <f>IFERROR(__xludf.DUMMYFUNCTION("""COMPUTED_VALUE"""),"CHIP")</f>
        <v>CHIP</v>
      </c>
      <c r="D506" s="122" t="str">
        <f>IFERROR(__xludf.DUMMYFUNCTION("""COMPUTED_VALUE"""),"Chip Empire")</f>
        <v>Chip Empire</v>
      </c>
      <c r="E506" s="122">
        <f>IFERROR(__xludf.DUMMYFUNCTION("""COMPUTED_VALUE"""),88.04)</f>
        <v>88.04</v>
      </c>
      <c r="F506" s="122">
        <f>IFERROR(__xludf.DUMMYFUNCTION("""COMPUTED_VALUE"""),0.0043)</f>
        <v>0.0043</v>
      </c>
    </row>
    <row r="507">
      <c r="A507" s="131">
        <f>IFERROR(__xludf.DUMMYFUNCTION("""COMPUTED_VALUE"""),46186.699479166666)</f>
        <v>46186.69948</v>
      </c>
      <c r="B507" s="126">
        <f>IFERROR(__xludf.DUMMYFUNCTION("""COMPUTED_VALUE"""),46186.0)</f>
        <v>46186</v>
      </c>
      <c r="C507" s="122" t="str">
        <f>IFERROR(__xludf.DUMMYFUNCTION("""COMPUTED_VALUE"""),"CAND")</f>
        <v>CAND</v>
      </c>
      <c r="D507" s="122" t="str">
        <f>IFERROR(__xludf.DUMMYFUNCTION("""COMPUTED_VALUE"""),"Candy Capital")</f>
        <v>Candy Capital</v>
      </c>
      <c r="E507" s="122">
        <f>IFERROR(__xludf.DUMMYFUNCTION("""COMPUTED_VALUE"""),77.26)</f>
        <v>77.26</v>
      </c>
      <c r="F507" s="122">
        <f>IFERROR(__xludf.DUMMYFUNCTION("""COMPUTED_VALUE"""),0.0077)</f>
        <v>0.0077</v>
      </c>
    </row>
    <row r="508">
      <c r="A508" s="131">
        <f>IFERROR(__xludf.DUMMYFUNCTION("""COMPUTED_VALUE"""),46186.699479166666)</f>
        <v>46186.69948</v>
      </c>
      <c r="B508" s="126">
        <f>IFERROR(__xludf.DUMMYFUNCTION("""COMPUTED_VALUE"""),46186.0)</f>
        <v>46186</v>
      </c>
      <c r="C508" s="122" t="str">
        <f>IFERROR(__xludf.DUMMYFUNCTION("""COMPUTED_VALUE"""),"TECH")</f>
        <v>TECH</v>
      </c>
      <c r="D508" s="122" t="str">
        <f>IFERROR(__xludf.DUMMYFUNCTION("""COMPUTED_VALUE"""),"Dragon Tech")</f>
        <v>Dragon Tech</v>
      </c>
      <c r="E508" s="122">
        <f>IFERROR(__xludf.DUMMYFUNCTION("""COMPUTED_VALUE"""),246.42)</f>
        <v>246.42</v>
      </c>
      <c r="F508" s="122">
        <f>IFERROR(__xludf.DUMMYFUNCTION("""COMPUTED_VALUE"""),0.0076)</f>
        <v>0.0076</v>
      </c>
    </row>
    <row r="509">
      <c r="A509" s="131">
        <f>IFERROR(__xludf.DUMMYFUNCTION("""COMPUTED_VALUE"""),46186.699479166666)</f>
        <v>46186.69948</v>
      </c>
      <c r="B509" s="126">
        <f>IFERROR(__xludf.DUMMYFUNCTION("""COMPUTED_VALUE"""),46186.0)</f>
        <v>46186</v>
      </c>
      <c r="C509" s="122" t="str">
        <f>IFERROR(__xludf.DUMMYFUNCTION("""COMPUTED_VALUE"""),"AIBO")</f>
        <v>AIBO</v>
      </c>
      <c r="D509" s="122" t="str">
        <f>IFERROR(__xludf.DUMMYFUNCTION("""COMPUTED_VALUE"""),"Homework AI")</f>
        <v>Homework AI</v>
      </c>
      <c r="E509" s="122">
        <f>IFERROR(__xludf.DUMMYFUNCTION("""COMPUTED_VALUE"""),176.23)</f>
        <v>176.23</v>
      </c>
      <c r="F509" s="122">
        <f>IFERROR(__xludf.DUMMYFUNCTION("""COMPUTED_VALUE"""),-0.0079)</f>
        <v>-0.0079</v>
      </c>
    </row>
    <row r="510">
      <c r="A510" s="131">
        <f>IFERROR(__xludf.DUMMYFUNCTION("""COMPUTED_VALUE"""),46186.699479166666)</f>
        <v>46186.69948</v>
      </c>
      <c r="B510" s="126">
        <f>IFERROR(__xludf.DUMMYFUNCTION("""COMPUTED_VALUE"""),46186.0)</f>
        <v>46186</v>
      </c>
      <c r="C510" s="122" t="str">
        <f>IFERROR(__xludf.DUMMYFUNCTION("""COMPUTED_VALUE"""),"GAME")</f>
        <v>GAME</v>
      </c>
      <c r="D510" s="122" t="str">
        <f>IFERROR(__xludf.DUMMYFUNCTION("""COMPUTED_VALUE"""),"GameBox Media")</f>
        <v>GameBox Media</v>
      </c>
      <c r="E510" s="122">
        <f>IFERROR(__xludf.DUMMYFUNCTION("""COMPUTED_VALUE"""),88.51)</f>
        <v>88.51</v>
      </c>
      <c r="F510" s="122">
        <f>IFERROR(__xludf.DUMMYFUNCTION("""COMPUTED_VALUE"""),0.0076)</f>
        <v>0.0076</v>
      </c>
    </row>
    <row r="511">
      <c r="A511" s="131">
        <f>IFERROR(__xludf.DUMMYFUNCTION("""COMPUTED_VALUE"""),46186.699479166666)</f>
        <v>46186.69948</v>
      </c>
      <c r="B511" s="126">
        <f>IFERROR(__xludf.DUMMYFUNCTION("""COMPUTED_VALUE"""),46186.0)</f>
        <v>46186</v>
      </c>
      <c r="C511" s="122" t="str">
        <f>IFERROR(__xludf.DUMMYFUNCTION("""COMPUTED_VALUE"""),"VRSE")</f>
        <v>VRSE</v>
      </c>
      <c r="D511" s="122" t="str">
        <f>IFERROR(__xludf.DUMMYFUNCTION("""COMPUTED_VALUE"""),"VerseVR")</f>
        <v>VerseVR</v>
      </c>
      <c r="E511" s="122">
        <f>IFERROR(__xludf.DUMMYFUNCTION("""COMPUTED_VALUE"""),152.94)</f>
        <v>152.94</v>
      </c>
      <c r="F511" s="122">
        <f>IFERROR(__xludf.DUMMYFUNCTION("""COMPUTED_VALUE"""),-0.0095)</f>
        <v>-0.0095</v>
      </c>
    </row>
    <row r="512">
      <c r="A512" s="131">
        <f>IFERROR(__xludf.DUMMYFUNCTION("""COMPUTED_VALUE"""),46186.699479166666)</f>
        <v>46186.69948</v>
      </c>
      <c r="B512" s="126">
        <f>IFERROR(__xludf.DUMMYFUNCTION("""COMPUTED_VALUE"""),46186.0)</f>
        <v>46186</v>
      </c>
      <c r="C512" s="122" t="str">
        <f>IFERROR(__xludf.DUMMYFUNCTION("""COMPUTED_VALUE"""),"BYTE")</f>
        <v>BYTE</v>
      </c>
      <c r="D512" s="122" t="str">
        <f>IFERROR(__xludf.DUMMYFUNCTION("""COMPUTED_VALUE"""),"ByteWorks")</f>
        <v>ByteWorks</v>
      </c>
      <c r="E512" s="122">
        <f>IFERROR(__xludf.DUMMYFUNCTION("""COMPUTED_VALUE"""),110.52)</f>
        <v>110.52</v>
      </c>
      <c r="F512" s="122">
        <f>IFERROR(__xludf.DUMMYFUNCTION("""COMPUTED_VALUE"""),0.0023)</f>
        <v>0.0023</v>
      </c>
    </row>
    <row r="513">
      <c r="A513" s="131">
        <f>IFERROR(__xludf.DUMMYFUNCTION("""COMPUTED_VALUE"""),46186.699479166666)</f>
        <v>46186.69948</v>
      </c>
      <c r="B513" s="126">
        <f>IFERROR(__xludf.DUMMYFUNCTION("""COMPUTED_VALUE"""),46186.0)</f>
        <v>46186</v>
      </c>
      <c r="C513" s="122" t="str">
        <f>IFERROR(__xludf.DUMMYFUNCTION("""COMPUTED_VALUE"""),"BANK")</f>
        <v>BANK</v>
      </c>
      <c r="D513" s="122" t="str">
        <f>IFERROR(__xludf.DUMMYFUNCTION("""COMPUTED_VALUE"""),"Tiger Bank")</f>
        <v>Tiger Bank</v>
      </c>
      <c r="E513" s="122">
        <f>IFERROR(__xludf.DUMMYFUNCTION("""COMPUTED_VALUE"""),122.6)</f>
        <v>122.6</v>
      </c>
      <c r="F513" s="122">
        <f>IFERROR(__xludf.DUMMYFUNCTION("""COMPUTED_VALUE"""),-0.0022)</f>
        <v>-0.0022</v>
      </c>
    </row>
    <row r="514">
      <c r="A514" s="131">
        <f>IFERROR(__xludf.DUMMYFUNCTION("""COMPUTED_VALUE"""),46186.699479166666)</f>
        <v>46186.69948</v>
      </c>
      <c r="B514" s="126">
        <f>IFERROR(__xludf.DUMMYFUNCTION("""COMPUTED_VALUE"""),46186.0)</f>
        <v>46186</v>
      </c>
      <c r="C514" s="122" t="str">
        <f>IFERROR(__xludf.DUMMYFUNCTION("""COMPUTED_VALUE"""),"CRED")</f>
        <v>CRED</v>
      </c>
      <c r="D514" s="122" t="str">
        <f>IFERROR(__xludf.DUMMYFUNCTION("""COMPUTED_VALUE"""),"Credit Castle")</f>
        <v>Credit Castle</v>
      </c>
      <c r="E514" s="122">
        <f>IFERROR(__xludf.DUMMYFUNCTION("""COMPUTED_VALUE"""),68.76)</f>
        <v>68.76</v>
      </c>
      <c r="F514" s="122">
        <f>IFERROR(__xludf.DUMMYFUNCTION("""COMPUTED_VALUE"""),0.0019)</f>
        <v>0.0019</v>
      </c>
    </row>
    <row r="515">
      <c r="A515" s="131">
        <f>IFERROR(__xludf.DUMMYFUNCTION("""COMPUTED_VALUE"""),46186.699479166666)</f>
        <v>46186.69948</v>
      </c>
      <c r="B515" s="126">
        <f>IFERROR(__xludf.DUMMYFUNCTION("""COMPUTED_VALUE"""),46186.0)</f>
        <v>46186</v>
      </c>
      <c r="C515" s="122" t="str">
        <f>IFERROR(__xludf.DUMMYFUNCTION("""COMPUTED_VALUE"""),"BOND")</f>
        <v>BOND</v>
      </c>
      <c r="D515" s="122" t="str">
        <f>IFERROR(__xludf.DUMMYFUNCTION("""COMPUTED_VALUE"""),"BondBridge")</f>
        <v>BondBridge</v>
      </c>
      <c r="E515" s="122">
        <f>IFERROR(__xludf.DUMMYFUNCTION("""COMPUTED_VALUE"""),94.58)</f>
        <v>94.58</v>
      </c>
      <c r="F515" s="122">
        <f>IFERROR(__xludf.DUMMYFUNCTION("""COMPUTED_VALUE"""),4.0E-4)</f>
        <v>0.0004</v>
      </c>
    </row>
    <row r="516">
      <c r="A516" s="131">
        <f>IFERROR(__xludf.DUMMYFUNCTION("""COMPUTED_VALUE"""),46186.699479166666)</f>
        <v>46186.69948</v>
      </c>
      <c r="B516" s="126">
        <f>IFERROR(__xludf.DUMMYFUNCTION("""COMPUTED_VALUE"""),46186.0)</f>
        <v>46186</v>
      </c>
      <c r="C516" s="122" t="str">
        <f>IFERROR(__xludf.DUMMYFUNCTION("""COMPUTED_VALUE"""),"INSR")</f>
        <v>INSR</v>
      </c>
      <c r="D516" s="122" t="str">
        <f>IFERROR(__xludf.DUMMYFUNCTION("""COMPUTED_VALUE"""),"Shield Insurance")</f>
        <v>Shield Insurance</v>
      </c>
      <c r="E516" s="122">
        <f>IFERROR(__xludf.DUMMYFUNCTION("""COMPUTED_VALUE"""),150.79)</f>
        <v>150.79</v>
      </c>
      <c r="F516" s="122">
        <f>IFERROR(__xludf.DUMMYFUNCTION("""COMPUTED_VALUE"""),0.0038)</f>
        <v>0.0038</v>
      </c>
    </row>
    <row r="517">
      <c r="A517" s="131">
        <f>IFERROR(__xludf.DUMMYFUNCTION("""COMPUTED_VALUE"""),46186.699479166666)</f>
        <v>46186.69948</v>
      </c>
      <c r="B517" s="126">
        <f>IFERROR(__xludf.DUMMYFUNCTION("""COMPUTED_VALUE"""),46186.0)</f>
        <v>46186</v>
      </c>
      <c r="C517" s="122" t="str">
        <f>IFERROR(__xludf.DUMMYFUNCTION("""COMPUTED_VALUE"""),"LOAN")</f>
        <v>LOAN</v>
      </c>
      <c r="D517" s="122" t="str">
        <f>IFERROR(__xludf.DUMMYFUNCTION("""COMPUTED_VALUE"""),"LoanLab")</f>
        <v>LoanLab</v>
      </c>
      <c r="E517" s="122">
        <f>IFERROR(__xludf.DUMMYFUNCTION("""COMPUTED_VALUE"""),60.02)</f>
        <v>60.02</v>
      </c>
      <c r="F517" s="122">
        <f>IFERROR(__xludf.DUMMYFUNCTION("""COMPUTED_VALUE"""),0.0065)</f>
        <v>0.0065</v>
      </c>
    </row>
    <row r="518">
      <c r="A518" s="131">
        <f>IFERROR(__xludf.DUMMYFUNCTION("""COMPUTED_VALUE"""),46186.699479166666)</f>
        <v>46186.69948</v>
      </c>
      <c r="B518" s="126">
        <f>IFERROR(__xludf.DUMMYFUNCTION("""COMPUTED_VALUE"""),46186.0)</f>
        <v>46186</v>
      </c>
      <c r="C518" s="122" t="str">
        <f>IFERROR(__xludf.DUMMYFUNCTION("""COMPUTED_VALUE"""),"LUXE")</f>
        <v>LUXE</v>
      </c>
      <c r="D518" s="122" t="str">
        <f>IFERROR(__xludf.DUMMYFUNCTION("""COMPUTED_VALUE"""),"Luxury Locker")</f>
        <v>Luxury Locker</v>
      </c>
      <c r="E518" s="122">
        <f>IFERROR(__xludf.DUMMYFUNCTION("""COMPUTED_VALUE"""),261.23)</f>
        <v>261.23</v>
      </c>
      <c r="F518" s="122">
        <f>IFERROR(__xludf.DUMMYFUNCTION("""COMPUTED_VALUE"""),-0.0016)</f>
        <v>-0.0016</v>
      </c>
    </row>
    <row r="519">
      <c r="A519" s="131">
        <f>IFERROR(__xludf.DUMMYFUNCTION("""COMPUTED_VALUE"""),46186.699479166666)</f>
        <v>46186.69948</v>
      </c>
      <c r="B519" s="126">
        <f>IFERROR(__xludf.DUMMYFUNCTION("""COMPUTED_VALUE"""),46186.0)</f>
        <v>46186</v>
      </c>
      <c r="C519" s="122" t="str">
        <f>IFERROR(__xludf.DUMMYFUNCTION("""COMPUTED_VALUE"""),"DRIP")</f>
        <v>DRIP</v>
      </c>
      <c r="D519" s="122" t="str">
        <f>IFERROR(__xludf.DUMMYFUNCTION("""COMPUTED_VALUE"""),"Drip Streetwear")</f>
        <v>Drip Streetwear</v>
      </c>
      <c r="E519" s="122">
        <f>IFERROR(__xludf.DUMMYFUNCTION("""COMPUTED_VALUE"""),200.53)</f>
        <v>200.53</v>
      </c>
      <c r="F519" s="122">
        <f>IFERROR(__xludf.DUMMYFUNCTION("""COMPUTED_VALUE"""),0.0093)</f>
        <v>0.0093</v>
      </c>
    </row>
    <row r="520">
      <c r="A520" s="131">
        <f>IFERROR(__xludf.DUMMYFUNCTION("""COMPUTED_VALUE"""),46186.699479166666)</f>
        <v>46186.69948</v>
      </c>
      <c r="B520" s="126">
        <f>IFERROR(__xludf.DUMMYFUNCTION("""COMPUTED_VALUE"""),46186.0)</f>
        <v>46186</v>
      </c>
      <c r="C520" s="122" t="str">
        <f>IFERROR(__xludf.DUMMYFUNCTION("""COMPUTED_VALUE"""),"KICK")</f>
        <v>KICK</v>
      </c>
      <c r="D520" s="122" t="str">
        <f>IFERROR(__xludf.DUMMYFUNCTION("""COMPUTED_VALUE"""),"KickDrop Sneakers")</f>
        <v>KickDrop Sneakers</v>
      </c>
      <c r="E520" s="122">
        <f>IFERROR(__xludf.DUMMYFUNCTION("""COMPUTED_VALUE"""),179.58)</f>
        <v>179.58</v>
      </c>
      <c r="F520" s="122">
        <f>IFERROR(__xludf.DUMMYFUNCTION("""COMPUTED_VALUE"""),-0.0082)</f>
        <v>-0.0082</v>
      </c>
    </row>
    <row r="521">
      <c r="A521" s="131">
        <f>IFERROR(__xludf.DUMMYFUNCTION("""COMPUTED_VALUE"""),46186.699479166666)</f>
        <v>46186.69948</v>
      </c>
      <c r="B521" s="126">
        <f>IFERROR(__xludf.DUMMYFUNCTION("""COMPUTED_VALUE"""),46186.0)</f>
        <v>46186</v>
      </c>
      <c r="C521" s="122" t="str">
        <f>IFERROR(__xludf.DUMMYFUNCTION("""COMPUTED_VALUE"""),"GLAM")</f>
        <v>GLAM</v>
      </c>
      <c r="D521" s="122" t="str">
        <f>IFERROR(__xludf.DUMMYFUNCTION("""COMPUTED_VALUE"""),"Glow Cosmetics")</f>
        <v>Glow Cosmetics</v>
      </c>
      <c r="E521" s="122">
        <f>IFERROR(__xludf.DUMMYFUNCTION("""COMPUTED_VALUE"""),90.94)</f>
        <v>90.94</v>
      </c>
      <c r="F521" s="122">
        <f>IFERROR(__xludf.DUMMYFUNCTION("""COMPUTED_VALUE"""),-0.0041)</f>
        <v>-0.0041</v>
      </c>
    </row>
    <row r="522">
      <c r="A522" s="131">
        <f>IFERROR(__xludf.DUMMYFUNCTION("""COMPUTED_VALUE"""),46186.699479166666)</f>
        <v>46186.69948</v>
      </c>
      <c r="B522" s="126">
        <f>IFERROR(__xludf.DUMMYFUNCTION("""COMPUTED_VALUE"""),46186.0)</f>
        <v>46186</v>
      </c>
      <c r="C522" s="122" t="str">
        <f>IFERROR(__xludf.DUMMYFUNCTION("""COMPUTED_VALUE"""),"BAGG")</f>
        <v>BAGG</v>
      </c>
      <c r="D522" s="122" t="str">
        <f>IFERROR(__xludf.DUMMYFUNCTION("""COMPUTED_VALUE"""),"BagVault")</f>
        <v>BagVault</v>
      </c>
      <c r="E522" s="122">
        <f>IFERROR(__xludf.DUMMYFUNCTION("""COMPUTED_VALUE"""),240.87)</f>
        <v>240.87</v>
      </c>
      <c r="F522" s="122">
        <f>IFERROR(__xludf.DUMMYFUNCTION("""COMPUTED_VALUE"""),-0.0036)</f>
        <v>-0.0036</v>
      </c>
    </row>
    <row r="523">
      <c r="A523" s="131">
        <f>IFERROR(__xludf.DUMMYFUNCTION("""COMPUTED_VALUE"""),46186.699479166666)</f>
        <v>46186.69948</v>
      </c>
      <c r="B523" s="126">
        <f>IFERROR(__xludf.DUMMYFUNCTION("""COMPUTED_VALUE"""),46186.0)</f>
        <v>46186</v>
      </c>
      <c r="C523" s="122" t="str">
        <f>IFERROR(__xludf.DUMMYFUNCTION("""COMPUTED_VALUE"""),"FAST")</f>
        <v>FAST</v>
      </c>
      <c r="D523" s="122" t="str">
        <f>IFERROR(__xludf.DUMMYFUNCTION("""COMPUTED_VALUE"""),"Flash Logistics")</f>
        <v>Flash Logistics</v>
      </c>
      <c r="E523" s="122">
        <f>IFERROR(__xludf.DUMMYFUNCTION("""COMPUTED_VALUE"""),102.06)</f>
        <v>102.06</v>
      </c>
      <c r="F523" s="122">
        <f>IFERROR(__xludf.DUMMYFUNCTION("""COMPUTED_VALUE"""),-5.0E-4)</f>
        <v>-0.0005</v>
      </c>
    </row>
    <row r="524">
      <c r="A524" s="131">
        <f>IFERROR(__xludf.DUMMYFUNCTION("""COMPUTED_VALUE"""),46186.699479166666)</f>
        <v>46186.69948</v>
      </c>
      <c r="B524" s="126">
        <f>IFERROR(__xludf.DUMMYFUNCTION("""COMPUTED_VALUE"""),46186.0)</f>
        <v>46186</v>
      </c>
      <c r="C524" s="122" t="str">
        <f>IFERROR(__xludf.DUMMYFUNCTION("""COMPUTED_VALUE"""),"SHIP")</f>
        <v>SHIP</v>
      </c>
      <c r="D524" s="122" t="str">
        <f>IFERROR(__xludf.DUMMYFUNCTION("""COMPUTED_VALUE"""),"Seoul Shipping")</f>
        <v>Seoul Shipping</v>
      </c>
      <c r="E524" s="122">
        <f>IFERROR(__xludf.DUMMYFUNCTION("""COMPUTED_VALUE"""),116.93)</f>
        <v>116.93</v>
      </c>
      <c r="F524" s="122">
        <f>IFERROR(__xludf.DUMMYFUNCTION("""COMPUTED_VALUE"""),-0.0037)</f>
        <v>-0.0037</v>
      </c>
    </row>
    <row r="525">
      <c r="A525" s="131">
        <f>IFERROR(__xludf.DUMMYFUNCTION("""COMPUTED_VALUE"""),46186.699479166666)</f>
        <v>46186.69948</v>
      </c>
      <c r="B525" s="126">
        <f>IFERROR(__xludf.DUMMYFUNCTION("""COMPUTED_VALUE"""),46186.0)</f>
        <v>46186</v>
      </c>
      <c r="C525" s="122" t="str">
        <f>IFERROR(__xludf.DUMMYFUNCTION("""COMPUTED_VALUE"""),"DRON")</f>
        <v>DRON</v>
      </c>
      <c r="D525" s="122" t="str">
        <f>IFERROR(__xludf.DUMMYFUNCTION("""COMPUTED_VALUE"""),"DroneDrop")</f>
        <v>DroneDrop</v>
      </c>
      <c r="E525" s="122">
        <f>IFERROR(__xludf.DUMMYFUNCTION("""COMPUTED_VALUE"""),131.28)</f>
        <v>131.28</v>
      </c>
      <c r="F525" s="122">
        <f>IFERROR(__xludf.DUMMYFUNCTION("""COMPUTED_VALUE"""),-0.0044)</f>
        <v>-0.0044</v>
      </c>
    </row>
    <row r="526">
      <c r="A526" s="131">
        <f>IFERROR(__xludf.DUMMYFUNCTION("""COMPUTED_VALUE"""),46186.699479166666)</f>
        <v>46186.69948</v>
      </c>
      <c r="B526" s="126">
        <f>IFERROR(__xludf.DUMMYFUNCTION("""COMPUTED_VALUE"""),46186.0)</f>
        <v>46186</v>
      </c>
      <c r="C526" s="122" t="str">
        <f>IFERROR(__xludf.DUMMYFUNCTION("""COMPUTED_VALUE"""),"RIDE")</f>
        <v>RIDE</v>
      </c>
      <c r="D526" s="122" t="str">
        <f>IFERROR(__xludf.DUMMYFUNCTION("""COMPUTED_VALUE"""),"QuickRide")</f>
        <v>QuickRide</v>
      </c>
      <c r="E526" s="122">
        <f>IFERROR(__xludf.DUMMYFUNCTION("""COMPUTED_VALUE"""),97.63)</f>
        <v>97.63</v>
      </c>
      <c r="F526" s="122">
        <f>IFERROR(__xludf.DUMMYFUNCTION("""COMPUTED_VALUE"""),0.0071)</f>
        <v>0.0071</v>
      </c>
    </row>
    <row r="527">
      <c r="A527" s="131">
        <f>IFERROR(__xludf.DUMMYFUNCTION("""COMPUTED_VALUE"""),46186.699479166666)</f>
        <v>46186.69948</v>
      </c>
      <c r="B527" s="126">
        <f>IFERROR(__xludf.DUMMYFUNCTION("""COMPUTED_VALUE"""),46186.0)</f>
        <v>46186</v>
      </c>
      <c r="C527" s="122" t="str">
        <f>IFERROR(__xludf.DUMMYFUNCTION("""COMPUTED_VALUE"""),"RAIL")</f>
        <v>RAIL</v>
      </c>
      <c r="D527" s="122" t="str">
        <f>IFERROR(__xludf.DUMMYFUNCTION("""COMPUTED_VALUE"""),"MetroRail Corp")</f>
        <v>MetroRail Corp</v>
      </c>
      <c r="E527" s="122">
        <f>IFERROR(__xludf.DUMMYFUNCTION("""COMPUTED_VALUE"""),134.74)</f>
        <v>134.74</v>
      </c>
      <c r="F527" s="122">
        <f>IFERROR(__xludf.DUMMYFUNCTION("""COMPUTED_VALUE"""),0.0)</f>
        <v>0</v>
      </c>
    </row>
    <row r="528">
      <c r="A528" s="131">
        <f>IFERROR(__xludf.DUMMYFUNCTION("""COMPUTED_VALUE"""),46186.699479166666)</f>
        <v>46186.69948</v>
      </c>
      <c r="B528" s="126">
        <f>IFERROR(__xludf.DUMMYFUNCTION("""COMPUTED_VALUE"""),46186.0)</f>
        <v>46186</v>
      </c>
      <c r="C528" s="122" t="str">
        <f>IFERROR(__xludf.DUMMYFUNCTION("""COMPUTED_VALUE"""),"MEDX")</f>
        <v>MEDX</v>
      </c>
      <c r="D528" s="122" t="str">
        <f>IFERROR(__xludf.DUMMYFUNCTION("""COMPUTED_VALUE"""),"MediCore")</f>
        <v>MediCore</v>
      </c>
      <c r="E528" s="122">
        <f>IFERROR(__xludf.DUMMYFUNCTION("""COMPUTED_VALUE"""),136.47)</f>
        <v>136.47</v>
      </c>
      <c r="F528" s="122">
        <f>IFERROR(__xludf.DUMMYFUNCTION("""COMPUTED_VALUE"""),-9.0E-4)</f>
        <v>-0.0009</v>
      </c>
    </row>
    <row r="529">
      <c r="A529" s="131">
        <f>IFERROR(__xludf.DUMMYFUNCTION("""COMPUTED_VALUE"""),46186.699479166666)</f>
        <v>46186.69948</v>
      </c>
      <c r="B529" s="126">
        <f>IFERROR(__xludf.DUMMYFUNCTION("""COMPUTED_VALUE"""),46186.0)</f>
        <v>46186</v>
      </c>
      <c r="C529" s="122" t="str">
        <f>IFERROR(__xludf.DUMMYFUNCTION("""COMPUTED_VALUE"""),"GYMX")</f>
        <v>GYMX</v>
      </c>
      <c r="D529" s="122" t="str">
        <f>IFERROR(__xludf.DUMMYFUNCTION("""COMPUTED_VALUE"""),"GymX Fitness")</f>
        <v>GymX Fitness</v>
      </c>
      <c r="E529" s="122">
        <f>IFERROR(__xludf.DUMMYFUNCTION("""COMPUTED_VALUE"""),87.07)</f>
        <v>87.07</v>
      </c>
      <c r="F529" s="122">
        <f>IFERROR(__xludf.DUMMYFUNCTION("""COMPUTED_VALUE"""),-0.0019)</f>
        <v>-0.0019</v>
      </c>
    </row>
    <row r="530">
      <c r="A530" s="131">
        <f>IFERROR(__xludf.DUMMYFUNCTION("""COMPUTED_VALUE"""),46186.699479166666)</f>
        <v>46186.69948</v>
      </c>
      <c r="B530" s="126">
        <f>IFERROR(__xludf.DUMMYFUNCTION("""COMPUTED_VALUE"""),46186.0)</f>
        <v>46186</v>
      </c>
      <c r="C530" s="122" t="str">
        <f>IFERROR(__xludf.DUMMYFUNCTION("""COMPUTED_VALUE"""),"VITA")</f>
        <v>VITA</v>
      </c>
      <c r="D530" s="122" t="str">
        <f>IFERROR(__xludf.DUMMYFUNCTION("""COMPUTED_VALUE"""),"VitaPlus")</f>
        <v>VitaPlus</v>
      </c>
      <c r="E530" s="122">
        <f>IFERROR(__xludf.DUMMYFUNCTION("""COMPUTED_VALUE"""),75.93)</f>
        <v>75.93</v>
      </c>
      <c r="F530" s="122">
        <f>IFERROR(__xludf.DUMMYFUNCTION("""COMPUTED_VALUE"""),-0.0014)</f>
        <v>-0.0014</v>
      </c>
    </row>
    <row r="531">
      <c r="A531" s="131">
        <f>IFERROR(__xludf.DUMMYFUNCTION("""COMPUTED_VALUE"""),46186.699479166666)</f>
        <v>46186.69948</v>
      </c>
      <c r="B531" s="126">
        <f>IFERROR(__xludf.DUMMYFUNCTION("""COMPUTED_VALUE"""),46186.0)</f>
        <v>46186</v>
      </c>
      <c r="C531" s="122" t="str">
        <f>IFERROR(__xludf.DUMMYFUNCTION("""COMPUTED_VALUE"""),"CARE")</f>
        <v>CARE</v>
      </c>
      <c r="D531" s="122" t="str">
        <f>IFERROR(__xludf.DUMMYFUNCTION("""COMPUTED_VALUE"""),"CareCloud")</f>
        <v>CareCloud</v>
      </c>
      <c r="E531" s="122">
        <f>IFERROR(__xludf.DUMMYFUNCTION("""COMPUTED_VALUE"""),175.34)</f>
        <v>175.34</v>
      </c>
      <c r="F531" s="122">
        <f>IFERROR(__xludf.DUMMYFUNCTION("""COMPUTED_VALUE"""),0.0053)</f>
        <v>0.0053</v>
      </c>
    </row>
    <row r="532">
      <c r="A532" s="131">
        <f>IFERROR(__xludf.DUMMYFUNCTION("""COMPUTED_VALUE"""),46186.699479166666)</f>
        <v>46186.69948</v>
      </c>
      <c r="B532" s="126">
        <f>IFERROR(__xludf.DUMMYFUNCTION("""COMPUTED_VALUE"""),46186.0)</f>
        <v>46186</v>
      </c>
      <c r="C532" s="122" t="str">
        <f>IFERROR(__xludf.DUMMYFUNCTION("""COMPUTED_VALUE"""),"DENT")</f>
        <v>DENT</v>
      </c>
      <c r="D532" s="122" t="str">
        <f>IFERROR(__xludf.DUMMYFUNCTION("""COMPUTED_VALUE"""),"SmileWorks")</f>
        <v>SmileWorks</v>
      </c>
      <c r="E532" s="122">
        <f>IFERROR(__xludf.DUMMYFUNCTION("""COMPUTED_VALUE"""),81.45)</f>
        <v>81.45</v>
      </c>
      <c r="F532" s="122">
        <f>IFERROR(__xludf.DUMMYFUNCTION("""COMPUTED_VALUE"""),-0.0039)</f>
        <v>-0.0039</v>
      </c>
    </row>
    <row r="533">
      <c r="A533" s="131">
        <f>IFERROR(__xludf.DUMMYFUNCTION("""COMPUTED_VALUE"""),46186.699479166666)</f>
        <v>46186.69948</v>
      </c>
      <c r="B533" s="126">
        <f>IFERROR(__xludf.DUMMYFUNCTION("""COMPUTED_VALUE"""),46186.0)</f>
        <v>46186</v>
      </c>
      <c r="C533" s="122" t="str">
        <f>IFERROR(__xludf.DUMMYFUNCTION("""COMPUTED_VALUE"""),"EDUX")</f>
        <v>EDUX</v>
      </c>
      <c r="D533" s="122" t="str">
        <f>IFERROR(__xludf.DUMMYFUNCTION("""COMPUTED_VALUE"""),"EduMax Learning")</f>
        <v>EduMax Learning</v>
      </c>
      <c r="E533" s="122">
        <f>IFERROR(__xludf.DUMMYFUNCTION("""COMPUTED_VALUE"""),131.83)</f>
        <v>131.83</v>
      </c>
      <c r="F533" s="122">
        <f>IFERROR(__xludf.DUMMYFUNCTION("""COMPUTED_VALUE"""),0.0051)</f>
        <v>0.0051</v>
      </c>
    </row>
    <row r="534">
      <c r="A534" s="131">
        <f>IFERROR(__xludf.DUMMYFUNCTION("""COMPUTED_VALUE"""),46186.699479166666)</f>
        <v>46186.69948</v>
      </c>
      <c r="B534" s="126">
        <f>IFERROR(__xludf.DUMMYFUNCTION("""COMPUTED_VALUE"""),46186.0)</f>
        <v>46186</v>
      </c>
      <c r="C534" s="122" t="str">
        <f>IFERROR(__xludf.DUMMYFUNCTION("""COMPUTED_VALUE"""),"BOOK")</f>
        <v>BOOK</v>
      </c>
      <c r="D534" s="122" t="str">
        <f>IFERROR(__xludf.DUMMYFUNCTION("""COMPUTED_VALUE"""),"BookBridge")</f>
        <v>BookBridge</v>
      </c>
      <c r="E534" s="122">
        <f>IFERROR(__xludf.DUMMYFUNCTION("""COMPUTED_VALUE"""),111.03)</f>
        <v>111.03</v>
      </c>
      <c r="F534" s="122">
        <f>IFERROR(__xludf.DUMMYFUNCTION("""COMPUTED_VALUE"""),0.0063)</f>
        <v>0.0063</v>
      </c>
    </row>
    <row r="535">
      <c r="A535" s="131">
        <f>IFERROR(__xludf.DUMMYFUNCTION("""COMPUTED_VALUE"""),46186.699479166666)</f>
        <v>46186.69948</v>
      </c>
      <c r="B535" s="126">
        <f>IFERROR(__xludf.DUMMYFUNCTION("""COMPUTED_VALUE"""),46186.0)</f>
        <v>46186</v>
      </c>
      <c r="C535" s="122" t="str">
        <f>IFERROR(__xludf.DUMMYFUNCTION("""COMPUTED_VALUE"""),"TUTR")</f>
        <v>TUTR</v>
      </c>
      <c r="D535" s="122" t="str">
        <f>IFERROR(__xludf.DUMMYFUNCTION("""COMPUTED_VALUE"""),"TutorTown")</f>
        <v>TutorTown</v>
      </c>
      <c r="E535" s="122">
        <f>IFERROR(__xludf.DUMMYFUNCTION("""COMPUTED_VALUE"""),91.45)</f>
        <v>91.45</v>
      </c>
      <c r="F535" s="122">
        <f>IFERROR(__xludf.DUMMYFUNCTION("""COMPUTED_VALUE"""),0.0062)</f>
        <v>0.0062</v>
      </c>
    </row>
    <row r="536">
      <c r="A536" s="131">
        <f>IFERROR(__xludf.DUMMYFUNCTION("""COMPUTED_VALUE"""),46186.699479166666)</f>
        <v>46186.69948</v>
      </c>
      <c r="B536" s="126">
        <f>IFERROR(__xludf.DUMMYFUNCTION("""COMPUTED_VALUE"""),46186.0)</f>
        <v>46186</v>
      </c>
      <c r="C536" s="122" t="str">
        <f>IFERROR(__xludf.DUMMYFUNCTION("""COMPUTED_VALUE"""),"LANG")</f>
        <v>LANG</v>
      </c>
      <c r="D536" s="122" t="str">
        <f>IFERROR(__xludf.DUMMYFUNCTION("""COMPUTED_VALUE"""),"LinguaLab")</f>
        <v>LinguaLab</v>
      </c>
      <c r="E536" s="122">
        <f>IFERROR(__xludf.DUMMYFUNCTION("""COMPUTED_VALUE"""),94.31)</f>
        <v>94.31</v>
      </c>
      <c r="F536" s="122">
        <f>IFERROR(__xludf.DUMMYFUNCTION("""COMPUTED_VALUE"""),-8.0E-4)</f>
        <v>-0.0008</v>
      </c>
    </row>
    <row r="537">
      <c r="A537" s="131">
        <f>IFERROR(__xludf.DUMMYFUNCTION("""COMPUTED_VALUE"""),46186.699479166666)</f>
        <v>46186.69948</v>
      </c>
      <c r="B537" s="126">
        <f>IFERROR(__xludf.DUMMYFUNCTION("""COMPUTED_VALUE"""),46186.0)</f>
        <v>46186</v>
      </c>
      <c r="C537" s="122" t="str">
        <f>IFERROR(__xludf.DUMMYFUNCTION("""COMPUTED_VALUE"""),"TEST")</f>
        <v>TEST</v>
      </c>
      <c r="D537" s="122" t="str">
        <f>IFERROR(__xludf.DUMMYFUNCTION("""COMPUTED_VALUE"""),"TestPrep Pro")</f>
        <v>TestPrep Pro</v>
      </c>
      <c r="E537" s="122">
        <f>IFERROR(__xludf.DUMMYFUNCTION("""COMPUTED_VALUE"""),102.34)</f>
        <v>102.34</v>
      </c>
      <c r="F537" s="122">
        <f>IFERROR(__xludf.DUMMYFUNCTION("""COMPUTED_VALUE"""),-0.0064)</f>
        <v>-0.0064</v>
      </c>
    </row>
    <row r="538">
      <c r="A538" s="131">
        <f>IFERROR(__xludf.DUMMYFUNCTION("""COMPUTED_VALUE"""),46186.699479166666)</f>
        <v>46186.69948</v>
      </c>
      <c r="B538" s="126">
        <f>IFERROR(__xludf.DUMMYFUNCTION("""COMPUTED_VALUE"""),46186.0)</f>
        <v>46186</v>
      </c>
      <c r="C538" s="122" t="str">
        <f>IFERROR(__xludf.DUMMYFUNCTION("""COMPUTED_VALUE"""),"MOVI")</f>
        <v>MOVI</v>
      </c>
      <c r="D538" s="122" t="str">
        <f>IFERROR(__xludf.DUMMYFUNCTION("""COMPUTED_VALUE"""),"MovieBox")</f>
        <v>MovieBox</v>
      </c>
      <c r="E538" s="122">
        <f>IFERROR(__xludf.DUMMYFUNCTION("""COMPUTED_VALUE"""),79.37)</f>
        <v>79.37</v>
      </c>
      <c r="F538" s="122">
        <f>IFERROR(__xludf.DUMMYFUNCTION("""COMPUTED_VALUE"""),-0.0051)</f>
        <v>-0.0051</v>
      </c>
    </row>
    <row r="539">
      <c r="A539" s="131">
        <f>IFERROR(__xludf.DUMMYFUNCTION("""COMPUTED_VALUE"""),46186.699479166666)</f>
        <v>46186.69948</v>
      </c>
      <c r="B539" s="126">
        <f>IFERROR(__xludf.DUMMYFUNCTION("""COMPUTED_VALUE"""),46186.0)</f>
        <v>46186</v>
      </c>
      <c r="C539" s="122" t="str">
        <f>IFERROR(__xludf.DUMMYFUNCTION("""COMPUTED_VALUE"""),"MUSC")</f>
        <v>MUSC</v>
      </c>
      <c r="D539" s="122" t="str">
        <f>IFERROR(__xludf.DUMMYFUNCTION("""COMPUTED_VALUE"""),"MusicWave")</f>
        <v>MusicWave</v>
      </c>
      <c r="E539" s="122">
        <f>IFERROR(__xludf.DUMMYFUNCTION("""COMPUTED_VALUE"""),97.27)</f>
        <v>97.27</v>
      </c>
      <c r="F539" s="122">
        <f>IFERROR(__xludf.DUMMYFUNCTION("""COMPUTED_VALUE"""),0.0079)</f>
        <v>0.0079</v>
      </c>
    </row>
    <row r="540">
      <c r="A540" s="131">
        <f>IFERROR(__xludf.DUMMYFUNCTION("""COMPUTED_VALUE"""),46186.699479166666)</f>
        <v>46186.69948</v>
      </c>
      <c r="B540" s="126">
        <f>IFERROR(__xludf.DUMMYFUNCTION("""COMPUTED_VALUE"""),46186.0)</f>
        <v>46186</v>
      </c>
      <c r="C540" s="122" t="str">
        <f>IFERROR(__xludf.DUMMYFUNCTION("""COMPUTED_VALUE"""),"IDOL")</f>
        <v>IDOL</v>
      </c>
      <c r="D540" s="122" t="str">
        <f>IFERROR(__xludf.DUMMYFUNCTION("""COMPUTED_VALUE"""),"Idol Agency")</f>
        <v>Idol Agency</v>
      </c>
      <c r="E540" s="122">
        <f>IFERROR(__xludf.DUMMYFUNCTION("""COMPUTED_VALUE"""),204.62)</f>
        <v>204.62</v>
      </c>
      <c r="F540" s="122">
        <f>IFERROR(__xludf.DUMMYFUNCTION("""COMPUTED_VALUE"""),0.0047)</f>
        <v>0.0047</v>
      </c>
    </row>
    <row r="541">
      <c r="A541" s="131">
        <f>IFERROR(__xludf.DUMMYFUNCTION("""COMPUTED_VALUE"""),46186.699479166666)</f>
        <v>46186.69948</v>
      </c>
      <c r="B541" s="126">
        <f>IFERROR(__xludf.DUMMYFUNCTION("""COMPUTED_VALUE"""),46186.0)</f>
        <v>46186</v>
      </c>
      <c r="C541" s="122" t="str">
        <f>IFERROR(__xludf.DUMMYFUNCTION("""COMPUTED_VALUE"""),"MEME")</f>
        <v>MEME</v>
      </c>
      <c r="D541" s="122" t="str">
        <f>IFERROR(__xludf.DUMMYFUNCTION("""COMPUTED_VALUE"""),"Meme Media")</f>
        <v>Meme Media</v>
      </c>
      <c r="E541" s="122">
        <f>IFERROR(__xludf.DUMMYFUNCTION("""COMPUTED_VALUE"""),79.26)</f>
        <v>79.26</v>
      </c>
      <c r="F541" s="122">
        <f>IFERROR(__xludf.DUMMYFUNCTION("""COMPUTED_VALUE"""),0.0097)</f>
        <v>0.0097</v>
      </c>
    </row>
    <row r="542">
      <c r="A542" s="131">
        <f>IFERROR(__xludf.DUMMYFUNCTION("""COMPUTED_VALUE"""),46186.699479166666)</f>
        <v>46186.69948</v>
      </c>
      <c r="B542" s="126">
        <f>IFERROR(__xludf.DUMMYFUNCTION("""COMPUTED_VALUE"""),46186.0)</f>
        <v>46186</v>
      </c>
      <c r="C542" s="122" t="str">
        <f>IFERROR(__xludf.DUMMYFUNCTION("""COMPUTED_VALUE"""),"STRM")</f>
        <v>STRM</v>
      </c>
      <c r="D542" s="122" t="str">
        <f>IFERROR(__xludf.DUMMYFUNCTION("""COMPUTED_VALUE"""),"Streamly")</f>
        <v>Streamly</v>
      </c>
      <c r="E542" s="122">
        <f>IFERROR(__xludf.DUMMYFUNCTION("""COMPUTED_VALUE"""),137.68)</f>
        <v>137.68</v>
      </c>
      <c r="F542" s="122">
        <f>IFERROR(__xludf.DUMMYFUNCTION("""COMPUTED_VALUE"""),-0.0067)</f>
        <v>-0.0067</v>
      </c>
    </row>
    <row r="543">
      <c r="A543" s="131">
        <f>IFERROR(__xludf.DUMMYFUNCTION("""COMPUTED_VALUE"""),46186.699479166666)</f>
        <v>46186.69948</v>
      </c>
      <c r="B543" s="126">
        <f>IFERROR(__xludf.DUMMYFUNCTION("""COMPUTED_VALUE"""),46186.0)</f>
        <v>46186</v>
      </c>
      <c r="C543" s="122" t="str">
        <f>IFERROR(__xludf.DUMMYFUNCTION("""COMPUTED_VALUE"""),"FARM")</f>
        <v>FARM</v>
      </c>
      <c r="D543" s="122" t="str">
        <f>IFERROR(__xludf.DUMMYFUNCTION("""COMPUTED_VALUE"""),"Future Farms")</f>
        <v>Future Farms</v>
      </c>
      <c r="E543" s="122">
        <f>IFERROR(__xludf.DUMMYFUNCTION("""COMPUTED_VALUE"""),79.0)</f>
        <v>79</v>
      </c>
      <c r="F543" s="122">
        <f>IFERROR(__xludf.DUMMYFUNCTION("""COMPUTED_VALUE"""),-0.0032)</f>
        <v>-0.0032</v>
      </c>
    </row>
    <row r="544">
      <c r="A544" s="131">
        <f>IFERROR(__xludf.DUMMYFUNCTION("""COMPUTED_VALUE"""),46186.699479166666)</f>
        <v>46186.69948</v>
      </c>
      <c r="B544" s="126">
        <f>IFERROR(__xludf.DUMMYFUNCTION("""COMPUTED_VALUE"""),46186.0)</f>
        <v>46186</v>
      </c>
      <c r="C544" s="122" t="str">
        <f>IFERROR(__xludf.DUMMYFUNCTION("""COMPUTED_VALUE"""),"MEAT")</f>
        <v>MEAT</v>
      </c>
      <c r="D544" s="122" t="str">
        <f>IFERROR(__xludf.DUMMYFUNCTION("""COMPUTED_VALUE"""),"MeatWorks")</f>
        <v>MeatWorks</v>
      </c>
      <c r="E544" s="122">
        <f>IFERROR(__xludf.DUMMYFUNCTION("""COMPUTED_VALUE"""),102.7)</f>
        <v>102.7</v>
      </c>
      <c r="F544" s="122">
        <f>IFERROR(__xludf.DUMMYFUNCTION("""COMPUTED_VALUE"""),0.0037)</f>
        <v>0.0037</v>
      </c>
    </row>
    <row r="545">
      <c r="A545" s="131">
        <f>IFERROR(__xludf.DUMMYFUNCTION("""COMPUTED_VALUE"""),46186.699479166666)</f>
        <v>46186.69948</v>
      </c>
      <c r="B545" s="126">
        <f>IFERROR(__xludf.DUMMYFUNCTION("""COMPUTED_VALUE"""),46186.0)</f>
        <v>46186</v>
      </c>
      <c r="C545" s="122" t="str">
        <f>IFERROR(__xludf.DUMMYFUNCTION("""COMPUTED_VALUE"""),"VEGI")</f>
        <v>VEGI</v>
      </c>
      <c r="D545" s="122" t="str">
        <f>IFERROR(__xludf.DUMMYFUNCTION("""COMPUTED_VALUE"""),"Green Basket")</f>
        <v>Green Basket</v>
      </c>
      <c r="E545" s="122">
        <f>IFERROR(__xludf.DUMMYFUNCTION("""COMPUTED_VALUE"""),83.67)</f>
        <v>83.67</v>
      </c>
      <c r="F545" s="122">
        <f>IFERROR(__xludf.DUMMYFUNCTION("""COMPUTED_VALUE"""),-4.0E-4)</f>
        <v>-0.0004</v>
      </c>
    </row>
    <row r="546">
      <c r="A546" s="131">
        <f>IFERROR(__xludf.DUMMYFUNCTION("""COMPUTED_VALUE"""),46186.699479166666)</f>
        <v>46186.69948</v>
      </c>
      <c r="B546" s="126">
        <f>IFERROR(__xludf.DUMMYFUNCTION("""COMPUTED_VALUE"""),46186.0)</f>
        <v>46186</v>
      </c>
      <c r="C546" s="122" t="str">
        <f>IFERROR(__xludf.DUMMYFUNCTION("""COMPUTED_VALUE"""),"CAFE")</f>
        <v>CAFE</v>
      </c>
      <c r="D546" s="122" t="str">
        <f>IFERROR(__xludf.DUMMYFUNCTION("""COMPUTED_VALUE"""),"Cafe Cloud")</f>
        <v>Cafe Cloud</v>
      </c>
      <c r="E546" s="122">
        <f>IFERROR(__xludf.DUMMYFUNCTION("""COMPUTED_VALUE"""),97.65)</f>
        <v>97.65</v>
      </c>
      <c r="F546" s="122">
        <f>IFERROR(__xludf.DUMMYFUNCTION("""COMPUTED_VALUE"""),-0.0042)</f>
        <v>-0.0042</v>
      </c>
    </row>
    <row r="547">
      <c r="A547" s="131">
        <f>IFERROR(__xludf.DUMMYFUNCTION("""COMPUTED_VALUE"""),46186.699479166666)</f>
        <v>46186.69948</v>
      </c>
      <c r="B547" s="126">
        <f>IFERROR(__xludf.DUMMYFUNCTION("""COMPUTED_VALUE"""),46186.0)</f>
        <v>46186</v>
      </c>
      <c r="C547" s="122" t="str">
        <f>IFERROR(__xludf.DUMMYFUNCTION("""COMPUTED_VALUE"""),"BAKE")</f>
        <v>BAKE</v>
      </c>
      <c r="D547" s="122" t="str">
        <f>IFERROR(__xludf.DUMMYFUNCTION("""COMPUTED_VALUE"""),"BakeHouse")</f>
        <v>BakeHouse</v>
      </c>
      <c r="E547" s="122">
        <f>IFERROR(__xludf.DUMMYFUNCTION("""COMPUTED_VALUE"""),100.34)</f>
        <v>100.34</v>
      </c>
      <c r="F547" s="122">
        <f>IFERROR(__xludf.DUMMYFUNCTION("""COMPUTED_VALUE"""),0.0027)</f>
        <v>0.0027</v>
      </c>
    </row>
    <row r="548">
      <c r="A548" s="131">
        <f>IFERROR(__xludf.DUMMYFUNCTION("""COMPUTED_VALUE"""),46186.699479166666)</f>
        <v>46186.69948</v>
      </c>
      <c r="B548" s="126">
        <f>IFERROR(__xludf.DUMMYFUNCTION("""COMPUTED_VALUE"""),46186.0)</f>
        <v>46186</v>
      </c>
      <c r="C548" s="122" t="str">
        <f>IFERROR(__xludf.DUMMYFUNCTION("""COMPUTED_VALUE"""),"OILX")</f>
        <v>OILX</v>
      </c>
      <c r="D548" s="122" t="str">
        <f>IFERROR(__xludf.DUMMYFUNCTION("""COMPUTED_VALUE"""),"OilMax Energy")</f>
        <v>OilMax Energy</v>
      </c>
      <c r="E548" s="122">
        <f>IFERROR(__xludf.DUMMYFUNCTION("""COMPUTED_VALUE"""),133.88)</f>
        <v>133.88</v>
      </c>
      <c r="F548" s="122">
        <f>IFERROR(__xludf.DUMMYFUNCTION("""COMPUTED_VALUE"""),0.0018)</f>
        <v>0.0018</v>
      </c>
    </row>
    <row r="549">
      <c r="A549" s="131">
        <f>IFERROR(__xludf.DUMMYFUNCTION("""COMPUTED_VALUE"""),46186.699479166666)</f>
        <v>46186.69948</v>
      </c>
      <c r="B549" s="126">
        <f>IFERROR(__xludf.DUMMYFUNCTION("""COMPUTED_VALUE"""),46186.0)</f>
        <v>46186</v>
      </c>
      <c r="C549" s="122" t="str">
        <f>IFERROR(__xludf.DUMMYFUNCTION("""COMPUTED_VALUE"""),"SOLR")</f>
        <v>SOLR</v>
      </c>
      <c r="D549" s="122" t="str">
        <f>IFERROR(__xludf.DUMMYFUNCTION("""COMPUTED_VALUE"""),"SolarSpark")</f>
        <v>SolarSpark</v>
      </c>
      <c r="E549" s="122">
        <f>IFERROR(__xludf.DUMMYFUNCTION("""COMPUTED_VALUE"""),81.89)</f>
        <v>81.89</v>
      </c>
      <c r="F549" s="122">
        <f>IFERROR(__xludf.DUMMYFUNCTION("""COMPUTED_VALUE"""),-0.0037)</f>
        <v>-0.0037</v>
      </c>
    </row>
    <row r="550">
      <c r="A550" s="131">
        <f>IFERROR(__xludf.DUMMYFUNCTION("""COMPUTED_VALUE"""),46186.699479166666)</f>
        <v>46186.69948</v>
      </c>
      <c r="B550" s="126">
        <f>IFERROR(__xludf.DUMMYFUNCTION("""COMPUTED_VALUE"""),46186.0)</f>
        <v>46186</v>
      </c>
      <c r="C550" s="122" t="str">
        <f>IFERROR(__xludf.DUMMYFUNCTION("""COMPUTED_VALUE"""),"BATT")</f>
        <v>BATT</v>
      </c>
      <c r="D550" s="122" t="str">
        <f>IFERROR(__xludf.DUMMYFUNCTION("""COMPUTED_VALUE"""),"BatteryBox")</f>
        <v>BatteryBox</v>
      </c>
      <c r="E550" s="122">
        <f>IFERROR(__xludf.DUMMYFUNCTION("""COMPUTED_VALUE"""),116.93)</f>
        <v>116.93</v>
      </c>
      <c r="F550" s="122">
        <f>IFERROR(__xludf.DUMMYFUNCTION("""COMPUTED_VALUE"""),0.0061)</f>
        <v>0.0061</v>
      </c>
    </row>
    <row r="551">
      <c r="A551" s="131">
        <f>IFERROR(__xludf.DUMMYFUNCTION("""COMPUTED_VALUE"""),46186.699479166666)</f>
        <v>46186.69948</v>
      </c>
      <c r="B551" s="126">
        <f>IFERROR(__xludf.DUMMYFUNCTION("""COMPUTED_VALUE"""),46186.0)</f>
        <v>46186</v>
      </c>
      <c r="C551" s="122" t="str">
        <f>IFERROR(__xludf.DUMMYFUNCTION("""COMPUTED_VALUE"""),"WIND")</f>
        <v>WIND</v>
      </c>
      <c r="D551" s="122" t="str">
        <f>IFERROR(__xludf.DUMMYFUNCTION("""COMPUTED_VALUE"""),"WindWorks")</f>
        <v>WindWorks</v>
      </c>
      <c r="E551" s="122">
        <f>IFERROR(__xludf.DUMMYFUNCTION("""COMPUTED_VALUE"""),91.67)</f>
        <v>91.67</v>
      </c>
      <c r="F551" s="122">
        <f>IFERROR(__xludf.DUMMYFUNCTION("""COMPUTED_VALUE"""),-0.0016)</f>
        <v>-0.0016</v>
      </c>
    </row>
    <row r="552">
      <c r="A552" s="131">
        <f>IFERROR(__xludf.DUMMYFUNCTION("""COMPUTED_VALUE"""),46186.699479166666)</f>
        <v>46186.69948</v>
      </c>
      <c r="B552" s="126">
        <f>IFERROR(__xludf.DUMMYFUNCTION("""COMPUTED_VALUE"""),46186.0)</f>
        <v>46186</v>
      </c>
      <c r="C552" s="122" t="str">
        <f>IFERROR(__xludf.DUMMYFUNCTION("""COMPUTED_VALUE"""),"GRID")</f>
        <v>GRID</v>
      </c>
      <c r="D552" s="122" t="str">
        <f>IFERROR(__xludf.DUMMYFUNCTION("""COMPUTED_VALUE"""),"GridPower")</f>
        <v>GridPower</v>
      </c>
      <c r="E552" s="122">
        <f>IFERROR(__xludf.DUMMYFUNCTION("""COMPUTED_VALUE"""),146.27)</f>
        <v>146.27</v>
      </c>
      <c r="F552" s="122">
        <f>IFERROR(__xludf.DUMMYFUNCTION("""COMPUTED_VALUE"""),-2.0E-4)</f>
        <v>-0.0002</v>
      </c>
    </row>
    <row r="553">
      <c r="A553" s="131">
        <f>IFERROR(__xludf.DUMMYFUNCTION("""COMPUTED_VALUE"""),46186.699479166666)</f>
        <v>46186.69948</v>
      </c>
      <c r="B553" s="126">
        <f>IFERROR(__xludf.DUMMYFUNCTION("""COMPUTED_VALUE"""),46186.0)</f>
        <v>46186</v>
      </c>
      <c r="C553" s="122" t="str">
        <f>IFERROR(__xludf.DUMMYFUNCTION("""COMPUTED_VALUE"""),"HOME")</f>
        <v>HOME</v>
      </c>
      <c r="D553" s="122" t="str">
        <f>IFERROR(__xludf.DUMMYFUNCTION("""COMPUTED_VALUE"""),"HomeHub")</f>
        <v>HomeHub</v>
      </c>
      <c r="E553" s="122">
        <f>IFERROR(__xludf.DUMMYFUNCTION("""COMPUTED_VALUE"""),145.43)</f>
        <v>145.43</v>
      </c>
      <c r="F553" s="122">
        <f>IFERROR(__xludf.DUMMYFUNCTION("""COMPUTED_VALUE"""),3.0E-4)</f>
        <v>0.0003</v>
      </c>
    </row>
    <row r="554">
      <c r="A554" s="131">
        <f>IFERROR(__xludf.DUMMYFUNCTION("""COMPUTED_VALUE"""),46186.699479166666)</f>
        <v>46186.69948</v>
      </c>
      <c r="B554" s="126">
        <f>IFERROR(__xludf.DUMMYFUNCTION("""COMPUTED_VALUE"""),46186.0)</f>
        <v>46186</v>
      </c>
      <c r="C554" s="122" t="str">
        <f>IFERROR(__xludf.DUMMYFUNCTION("""COMPUTED_VALUE"""),"RENT")</f>
        <v>RENT</v>
      </c>
      <c r="D554" s="122" t="str">
        <f>IFERROR(__xludf.DUMMYFUNCTION("""COMPUTED_VALUE"""),"RentRight")</f>
        <v>RentRight</v>
      </c>
      <c r="E554" s="122">
        <f>IFERROR(__xludf.DUMMYFUNCTION("""COMPUTED_VALUE"""),94.93)</f>
        <v>94.93</v>
      </c>
      <c r="F554" s="122">
        <f>IFERROR(__xludf.DUMMYFUNCTION("""COMPUTED_VALUE"""),-0.0044)</f>
        <v>-0.0044</v>
      </c>
    </row>
    <row r="555">
      <c r="A555" s="131">
        <f>IFERROR(__xludf.DUMMYFUNCTION("""COMPUTED_VALUE"""),46186.699479166666)</f>
        <v>46186.69948</v>
      </c>
      <c r="B555" s="126">
        <f>IFERROR(__xludf.DUMMYFUNCTION("""COMPUTED_VALUE"""),46186.0)</f>
        <v>46186</v>
      </c>
      <c r="C555" s="122" t="str">
        <f>IFERROR(__xludf.DUMMYFUNCTION("""COMPUTED_VALUE"""),"MALL")</f>
        <v>MALL</v>
      </c>
      <c r="D555" s="122" t="str">
        <f>IFERROR(__xludf.DUMMYFUNCTION("""COMPUTED_VALUE"""),"MegaMall")</f>
        <v>MegaMall</v>
      </c>
      <c r="E555" s="122">
        <f>IFERROR(__xludf.DUMMYFUNCTION("""COMPUTED_VALUE"""),93.89)</f>
        <v>93.89</v>
      </c>
      <c r="F555" s="122">
        <f>IFERROR(__xludf.DUMMYFUNCTION("""COMPUTED_VALUE"""),-0.0021)</f>
        <v>-0.0021</v>
      </c>
    </row>
    <row r="556">
      <c r="A556" s="131">
        <f>IFERROR(__xludf.DUMMYFUNCTION("""COMPUTED_VALUE"""),46186.699479166666)</f>
        <v>46186.69948</v>
      </c>
      <c r="B556" s="126">
        <f>IFERROR(__xludf.DUMMYFUNCTION("""COMPUTED_VALUE"""),46186.0)</f>
        <v>46186</v>
      </c>
      <c r="C556" s="122" t="str">
        <f>IFERROR(__xludf.DUMMYFUNCTION("""COMPUTED_VALUE"""),"HOTL")</f>
        <v>HOTL</v>
      </c>
      <c r="D556" s="122" t="str">
        <f>IFERROR(__xludf.DUMMYFUNCTION("""COMPUTED_VALUE"""),"HotelHive")</f>
        <v>HotelHive</v>
      </c>
      <c r="E556" s="122">
        <f>IFERROR(__xludf.DUMMYFUNCTION("""COMPUTED_VALUE"""),133.2)</f>
        <v>133.2</v>
      </c>
      <c r="F556" s="122">
        <f>IFERROR(__xludf.DUMMYFUNCTION("""COMPUTED_VALUE"""),0.0085)</f>
        <v>0.0085</v>
      </c>
    </row>
    <row r="557">
      <c r="A557" s="131">
        <f>IFERROR(__xludf.DUMMYFUNCTION("""COMPUTED_VALUE"""),46186.699479166666)</f>
        <v>46186.69948</v>
      </c>
      <c r="B557" s="126">
        <f>IFERROR(__xludf.DUMMYFUNCTION("""COMPUTED_VALUE"""),46186.0)</f>
        <v>46186</v>
      </c>
      <c r="C557" s="122" t="str">
        <f>IFERROR(__xludf.DUMMYFUNCTION("""COMPUTED_VALUE"""),"LAND")</f>
        <v>LAND</v>
      </c>
      <c r="D557" s="122" t="str">
        <f>IFERROR(__xludf.DUMMYFUNCTION("""COMPUTED_VALUE"""),"LandLink")</f>
        <v>LandLink</v>
      </c>
      <c r="E557" s="122">
        <f>IFERROR(__xludf.DUMMYFUNCTION("""COMPUTED_VALUE"""),180.1)</f>
        <v>180.1</v>
      </c>
      <c r="F557" s="122">
        <f>IFERROR(__xludf.DUMMYFUNCTION("""COMPUTED_VALUE"""),3.0E-4)</f>
        <v>0.0003</v>
      </c>
    </row>
    <row r="558">
      <c r="A558" s="131">
        <f>IFERROR(__xludf.DUMMYFUNCTION("""COMPUTED_VALUE"""),46186.699479166666)</f>
        <v>46186.69948</v>
      </c>
      <c r="B558" s="126">
        <f>IFERROR(__xludf.DUMMYFUNCTION("""COMPUTED_VALUE"""),46186.0)</f>
        <v>46186</v>
      </c>
      <c r="C558" s="122" t="str">
        <f>IFERROR(__xludf.DUMMYFUNCTION("""COMPUTED_VALUE"""),"CARS")</f>
        <v>CARS</v>
      </c>
      <c r="D558" s="122" t="str">
        <f>IFERROR(__xludf.DUMMYFUNCTION("""COMPUTED_VALUE"""),"AutoArena")</f>
        <v>AutoArena</v>
      </c>
      <c r="E558" s="122">
        <f>IFERROR(__xludf.DUMMYFUNCTION("""COMPUTED_VALUE"""),81.15)</f>
        <v>81.15</v>
      </c>
      <c r="F558" s="122">
        <f>IFERROR(__xludf.DUMMYFUNCTION("""COMPUTED_VALUE"""),0.0082)</f>
        <v>0.0082</v>
      </c>
    </row>
    <row r="559">
      <c r="A559" s="131">
        <f>IFERROR(__xludf.DUMMYFUNCTION("""COMPUTED_VALUE"""),46186.699479166666)</f>
        <v>46186.69948</v>
      </c>
      <c r="B559" s="126">
        <f>IFERROR(__xludf.DUMMYFUNCTION("""COMPUTED_VALUE"""),46186.0)</f>
        <v>46186</v>
      </c>
      <c r="C559" s="122" t="str">
        <f>IFERROR(__xludf.DUMMYFUNCTION("""COMPUTED_VALUE"""),"EVGO")</f>
        <v>EVGO</v>
      </c>
      <c r="D559" s="122" t="str">
        <f>IFERROR(__xludf.DUMMYFUNCTION("""COMPUTED_VALUE"""),"EVGo Motors")</f>
        <v>EVGo Motors</v>
      </c>
      <c r="E559" s="122">
        <f>IFERROR(__xludf.DUMMYFUNCTION("""COMPUTED_VALUE"""),197.98)</f>
        <v>197.98</v>
      </c>
      <c r="F559" s="122">
        <f>IFERROR(__xludf.DUMMYFUNCTION("""COMPUTED_VALUE"""),0.0061)</f>
        <v>0.0061</v>
      </c>
    </row>
    <row r="560">
      <c r="A560" s="131">
        <f>IFERROR(__xludf.DUMMYFUNCTION("""COMPUTED_VALUE"""),46186.699479166666)</f>
        <v>46186.69948</v>
      </c>
      <c r="B560" s="126">
        <f>IFERROR(__xludf.DUMMYFUNCTION("""COMPUTED_VALUE"""),46186.0)</f>
        <v>46186</v>
      </c>
      <c r="C560" s="122" t="str">
        <f>IFERROR(__xludf.DUMMYFUNCTION("""COMPUTED_VALUE"""),"TIRE")</f>
        <v>TIRE</v>
      </c>
      <c r="D560" s="122" t="str">
        <f>IFERROR(__xludf.DUMMYFUNCTION("""COMPUTED_VALUE"""),"TireTown")</f>
        <v>TireTown</v>
      </c>
      <c r="E560" s="122">
        <f>IFERROR(__xludf.DUMMYFUNCTION("""COMPUTED_VALUE"""),84.68)</f>
        <v>84.68</v>
      </c>
      <c r="F560" s="122">
        <f>IFERROR(__xludf.DUMMYFUNCTION("""COMPUTED_VALUE"""),-4.0E-4)</f>
        <v>-0.0004</v>
      </c>
    </row>
    <row r="561">
      <c r="A561" s="131">
        <f>IFERROR(__xludf.DUMMYFUNCTION("""COMPUTED_VALUE"""),46186.699479166666)</f>
        <v>46186.69948</v>
      </c>
      <c r="B561" s="126">
        <f>IFERROR(__xludf.DUMMYFUNCTION("""COMPUTED_VALUE"""),46186.0)</f>
        <v>46186</v>
      </c>
      <c r="C561" s="122" t="str">
        <f>IFERROR(__xludf.DUMMYFUNCTION("""COMPUTED_VALUE"""),"BIKE")</f>
        <v>BIKE</v>
      </c>
      <c r="D561" s="122" t="str">
        <f>IFERROR(__xludf.DUMMYFUNCTION("""COMPUTED_VALUE"""),"BikeBox")</f>
        <v>BikeBox</v>
      </c>
      <c r="E561" s="122">
        <f>IFERROR(__xludf.DUMMYFUNCTION("""COMPUTED_VALUE"""),54.75)</f>
        <v>54.75</v>
      </c>
      <c r="F561" s="122">
        <f>IFERROR(__xludf.DUMMYFUNCTION("""COMPUTED_VALUE"""),2.0E-4)</f>
        <v>0.0002</v>
      </c>
    </row>
    <row r="562">
      <c r="A562" s="131">
        <f>IFERROR(__xludf.DUMMYFUNCTION("""COMPUTED_VALUE"""),46186.699479166666)</f>
        <v>46186.69948</v>
      </c>
      <c r="B562" s="126">
        <f>IFERROR(__xludf.DUMMYFUNCTION("""COMPUTED_VALUE"""),46186.0)</f>
        <v>46186</v>
      </c>
      <c r="C562" s="122" t="str">
        <f>IFERROR(__xludf.DUMMYFUNCTION("""COMPUTED_VALUE"""),"WASH")</f>
        <v>WASH</v>
      </c>
      <c r="D562" s="122" t="str">
        <f>IFERROR(__xludf.DUMMYFUNCTION("""COMPUTED_VALUE"""),"CarWash Co")</f>
        <v>CarWash Co</v>
      </c>
      <c r="E562" s="122">
        <f>IFERROR(__xludf.DUMMYFUNCTION("""COMPUTED_VALUE"""),117.09)</f>
        <v>117.09</v>
      </c>
      <c r="F562" s="122">
        <f>IFERROR(__xludf.DUMMYFUNCTION("""COMPUTED_VALUE"""),0.0013)</f>
        <v>0.0013</v>
      </c>
    </row>
    <row r="563">
      <c r="A563" s="131">
        <f>IFERROR(__xludf.DUMMYFUNCTION("""COMPUTED_VALUE"""),46186.699479166666)</f>
        <v>46186.69948</v>
      </c>
      <c r="B563" s="126">
        <f>IFERROR(__xludf.DUMMYFUNCTION("""COMPUTED_VALUE"""),46186.0)</f>
        <v>46186</v>
      </c>
      <c r="C563" s="122" t="str">
        <f>IFERROR(__xludf.DUMMYFUNCTION("""COMPUTED_VALUE"""),"GBND")</f>
        <v>GBND</v>
      </c>
      <c r="D563" s="122" t="str">
        <f>IFERROR(__xludf.DUMMYFUNCTION("""COMPUTED_VALUE"""),"Classroom Government Bond")</f>
        <v>Classroom Government Bond</v>
      </c>
      <c r="E563" s="122">
        <f>IFERROR(__xludf.DUMMYFUNCTION("""COMPUTED_VALUE"""),100.88)</f>
        <v>100.88</v>
      </c>
      <c r="F563" s="122">
        <f>IFERROR(__xludf.DUMMYFUNCTION("""COMPUTED_VALUE"""),1.0E-4)</f>
        <v>0.0001</v>
      </c>
    </row>
    <row r="564">
      <c r="A564" s="131">
        <f>IFERROR(__xludf.DUMMYFUNCTION("""COMPUTED_VALUE"""),46186.699479166666)</f>
        <v>46186.69948</v>
      </c>
      <c r="B564" s="126">
        <f>IFERROR(__xludf.DUMMYFUNCTION("""COMPUTED_VALUE"""),46186.0)</f>
        <v>46186</v>
      </c>
      <c r="C564" s="122" t="str">
        <f>IFERROR(__xludf.DUMMYFUNCTION("""COMPUTED_VALUE"""),"SBND")</f>
        <v>SBND</v>
      </c>
      <c r="D564" s="122" t="str">
        <f>IFERROR(__xludf.DUMMYFUNCTION("""COMPUTED_VALUE"""),"School Savings Bond")</f>
        <v>School Savings Bond</v>
      </c>
      <c r="E564" s="122">
        <f>IFERROR(__xludf.DUMMYFUNCTION("""COMPUTED_VALUE"""),99.27)</f>
        <v>99.27</v>
      </c>
      <c r="F564" s="122">
        <f>IFERROR(__xludf.DUMMYFUNCTION("""COMPUTED_VALUE"""),2.0E-4)</f>
        <v>0.0002</v>
      </c>
    </row>
    <row r="565">
      <c r="A565" s="131">
        <f>IFERROR(__xludf.DUMMYFUNCTION("""COMPUTED_VALUE"""),46186.699479166666)</f>
        <v>46186.69948</v>
      </c>
      <c r="B565" s="126">
        <f>IFERROR(__xludf.DUMMYFUNCTION("""COMPUTED_VALUE"""),46186.0)</f>
        <v>46186</v>
      </c>
      <c r="C565" s="122" t="str">
        <f>IFERROR(__xludf.DUMMYFUNCTION("""COMPUTED_VALUE"""),"CBND")</f>
        <v>CBND</v>
      </c>
      <c r="D565" s="122" t="str">
        <f>IFERROR(__xludf.DUMMYFUNCTION("""COMPUTED_VALUE"""),"Corporate Classroom Bond")</f>
        <v>Corporate Classroom Bond</v>
      </c>
      <c r="E565" s="122">
        <f>IFERROR(__xludf.DUMMYFUNCTION("""COMPUTED_VALUE"""),97.79)</f>
        <v>97.79</v>
      </c>
      <c r="F565" s="122">
        <f>IFERROR(__xludf.DUMMYFUNCTION("""COMPUTED_VALUE"""),-3.0E-4)</f>
        <v>-0.0003</v>
      </c>
    </row>
    <row r="566">
      <c r="A566" s="131">
        <f>IFERROR(__xludf.DUMMYFUNCTION("""COMPUTED_VALUE"""),46186.699479166666)</f>
        <v>46186.69948</v>
      </c>
      <c r="B566" s="126">
        <f>IFERROR(__xludf.DUMMYFUNCTION("""COMPUTED_VALUE"""),46186.0)</f>
        <v>46186</v>
      </c>
      <c r="C566" s="122" t="str">
        <f>IFERROR(__xludf.DUMMYFUNCTION("""COMPUTED_VALUE"""),"TBIL")</f>
        <v>TBIL</v>
      </c>
      <c r="D566" s="122" t="str">
        <f>IFERROR(__xludf.DUMMYFUNCTION("""COMPUTED_VALUE"""),"Treasury Bill")</f>
        <v>Treasury Bill</v>
      </c>
      <c r="E566" s="122">
        <f>IFERROR(__xludf.DUMMYFUNCTION("""COMPUTED_VALUE"""),98.07)</f>
        <v>98.07</v>
      </c>
      <c r="F566" s="122">
        <f>IFERROR(__xludf.DUMMYFUNCTION("""COMPUTED_VALUE"""),4.0E-4)</f>
        <v>0.0004</v>
      </c>
    </row>
    <row r="567">
      <c r="A567" s="131">
        <f>IFERROR(__xludf.DUMMYFUNCTION("""COMPUTED_VALUE"""),46186.699479166666)</f>
        <v>46186.69948</v>
      </c>
      <c r="B567" s="126">
        <f>IFERROR(__xludf.DUMMYFUNCTION("""COMPUTED_VALUE"""),46186.0)</f>
        <v>46186</v>
      </c>
      <c r="C567" s="122" t="str">
        <f>IFERROR(__xludf.DUMMYFUNCTION("""COMPUTED_VALUE"""),"IBND")</f>
        <v>IBND</v>
      </c>
      <c r="D567" s="122" t="str">
        <f>IFERROR(__xludf.DUMMYFUNCTION("""COMPUTED_VALUE"""),"Inflation Protected Bond")</f>
        <v>Inflation Protected Bond</v>
      </c>
      <c r="E567" s="122">
        <f>IFERROR(__xludf.DUMMYFUNCTION("""COMPUTED_VALUE"""),100.54)</f>
        <v>100.54</v>
      </c>
      <c r="F567" s="122">
        <f>IFERROR(__xludf.DUMMYFUNCTION("""COMPUTED_VALUE"""),-4.0E-4)</f>
        <v>-0.0004</v>
      </c>
    </row>
    <row r="568">
      <c r="A568" s="131">
        <f>IFERROR(__xludf.DUMMYFUNCTION("""COMPUTED_VALUE"""),46186.700902777775)</f>
        <v>46186.7009</v>
      </c>
      <c r="B568" s="126">
        <f>IFERROR(__xludf.DUMMYFUNCTION("""COMPUTED_VALUE"""),46186.0)</f>
        <v>46186</v>
      </c>
      <c r="C568" s="130">
        <f>IFERROR(__xludf.DUMMYFUNCTION("""COMPUTED_VALUE"""),0.7009027777777778)</f>
        <v>0.7009027778</v>
      </c>
      <c r="D568" s="122" t="str">
        <f>IFERROR(__xludf.DUMMYFUNCTION("""COMPUTED_VALUE"""),"SNAX")</f>
        <v>SNAX</v>
      </c>
      <c r="E568" s="122" t="str">
        <f>IFERROR(__xludf.DUMMYFUNCTION("""COMPUTED_VALUE"""),"MICA Snacks")</f>
        <v>MICA Snacks</v>
      </c>
      <c r="F568" s="122" t="str">
        <f>IFERROR(__xludf.DUMMYFUNCTION("""COMPUTED_VALUE"""),"Consumer Goods")</f>
        <v>Consumer Goods</v>
      </c>
    </row>
    <row r="569">
      <c r="A569" s="131">
        <f>IFERROR(__xludf.DUMMYFUNCTION("""COMPUTED_VALUE"""),46186.700902777775)</f>
        <v>46186.7009</v>
      </c>
      <c r="B569" s="126">
        <f>IFERROR(__xludf.DUMMYFUNCTION("""COMPUTED_VALUE"""),46186.0)</f>
        <v>46186</v>
      </c>
      <c r="C569" s="130">
        <f>IFERROR(__xludf.DUMMYFUNCTION("""COMPUTED_VALUE"""),0.7009027777777778)</f>
        <v>0.7009027778</v>
      </c>
      <c r="D569" s="122" t="str">
        <f>IFERROR(__xludf.DUMMYFUNCTION("""COMPUTED_VALUE"""),"RAMN")</f>
        <v>RAMN</v>
      </c>
      <c r="E569" s="122" t="str">
        <f>IFERROR(__xludf.DUMMYFUNCTION("""COMPUTED_VALUE"""),"Ramen Republic")</f>
        <v>Ramen Republic</v>
      </c>
      <c r="F569" s="122" t="str">
        <f>IFERROR(__xludf.DUMMYFUNCTION("""COMPUTED_VALUE"""),"Food")</f>
        <v>Food</v>
      </c>
    </row>
    <row r="570">
      <c r="A570" s="131">
        <f>IFERROR(__xludf.DUMMYFUNCTION("""COMPUTED_VALUE"""),46186.700902777775)</f>
        <v>46186.7009</v>
      </c>
      <c r="B570" s="126">
        <f>IFERROR(__xludf.DUMMYFUNCTION("""COMPUTED_VALUE"""),46186.0)</f>
        <v>46186</v>
      </c>
      <c r="C570" s="130">
        <f>IFERROR(__xludf.DUMMYFUNCTION("""COMPUTED_VALUE"""),0.7009027777777778)</f>
        <v>0.7009027778</v>
      </c>
      <c r="D570" s="122" t="str">
        <f>IFERROR(__xludf.DUMMYFUNCTION("""COMPUTED_VALUE"""),"COLA")</f>
        <v>COLA</v>
      </c>
      <c r="E570" s="122" t="str">
        <f>IFERROR(__xludf.DUMMYFUNCTION("""COMPUTED_VALUE"""),"K-Pop Cola")</f>
        <v>K-Pop Cola</v>
      </c>
      <c r="F570" s="122" t="str">
        <f>IFERROR(__xludf.DUMMYFUNCTION("""COMPUTED_VALUE"""),"Beverage")</f>
        <v>Beverage</v>
      </c>
    </row>
    <row r="571">
      <c r="A571" s="131">
        <f>IFERROR(__xludf.DUMMYFUNCTION("""COMPUTED_VALUE"""),46186.700902777775)</f>
        <v>46186.7009</v>
      </c>
      <c r="B571" s="126">
        <f>IFERROR(__xludf.DUMMYFUNCTION("""COMPUTED_VALUE"""),46186.0)</f>
        <v>46186</v>
      </c>
      <c r="C571" s="130">
        <f>IFERROR(__xludf.DUMMYFUNCTION("""COMPUTED_VALUE"""),0.7009027777777778)</f>
        <v>0.7009027778</v>
      </c>
      <c r="D571" s="122" t="str">
        <f>IFERROR(__xludf.DUMMYFUNCTION("""COMPUTED_VALUE"""),"CHIP")</f>
        <v>CHIP</v>
      </c>
      <c r="E571" s="122" t="str">
        <f>IFERROR(__xludf.DUMMYFUNCTION("""COMPUTED_VALUE"""),"Chip Empire")</f>
        <v>Chip Empire</v>
      </c>
      <c r="F571" s="122" t="str">
        <f>IFERROR(__xludf.DUMMYFUNCTION("""COMPUTED_VALUE"""),"Consumer Goods")</f>
        <v>Consumer Goods</v>
      </c>
    </row>
    <row r="572">
      <c r="A572" s="131">
        <f>IFERROR(__xludf.DUMMYFUNCTION("""COMPUTED_VALUE"""),46186.700902777775)</f>
        <v>46186.7009</v>
      </c>
      <c r="B572" s="126">
        <f>IFERROR(__xludf.DUMMYFUNCTION("""COMPUTED_VALUE"""),46186.0)</f>
        <v>46186</v>
      </c>
      <c r="C572" s="130">
        <f>IFERROR(__xludf.DUMMYFUNCTION("""COMPUTED_VALUE"""),0.7009027777777778)</f>
        <v>0.7009027778</v>
      </c>
      <c r="D572" s="122" t="str">
        <f>IFERROR(__xludf.DUMMYFUNCTION("""COMPUTED_VALUE"""),"CAND")</f>
        <v>CAND</v>
      </c>
      <c r="E572" s="122" t="str">
        <f>IFERROR(__xludf.DUMMYFUNCTION("""COMPUTED_VALUE"""),"Candy Capital")</f>
        <v>Candy Capital</v>
      </c>
      <c r="F572" s="122" t="str">
        <f>IFERROR(__xludf.DUMMYFUNCTION("""COMPUTED_VALUE"""),"Consumer Goods")</f>
        <v>Consumer Goods</v>
      </c>
    </row>
    <row r="573">
      <c r="A573" s="131">
        <f>IFERROR(__xludf.DUMMYFUNCTION("""COMPUTED_VALUE"""),46186.700902777775)</f>
        <v>46186.7009</v>
      </c>
      <c r="B573" s="126">
        <f>IFERROR(__xludf.DUMMYFUNCTION("""COMPUTED_VALUE"""),46186.0)</f>
        <v>46186</v>
      </c>
      <c r="C573" s="130">
        <f>IFERROR(__xludf.DUMMYFUNCTION("""COMPUTED_VALUE"""),0.7009027777777778)</f>
        <v>0.7009027778</v>
      </c>
      <c r="D573" s="122" t="str">
        <f>IFERROR(__xludf.DUMMYFUNCTION("""COMPUTED_VALUE"""),"TECH")</f>
        <v>TECH</v>
      </c>
      <c r="E573" s="122" t="str">
        <f>IFERROR(__xludf.DUMMYFUNCTION("""COMPUTED_VALUE"""),"Dragon Tech")</f>
        <v>Dragon Tech</v>
      </c>
      <c r="F573" s="122" t="str">
        <f>IFERROR(__xludf.DUMMYFUNCTION("""COMPUTED_VALUE"""),"Technology")</f>
        <v>Technology</v>
      </c>
    </row>
    <row r="574">
      <c r="A574" s="131">
        <f>IFERROR(__xludf.DUMMYFUNCTION("""COMPUTED_VALUE"""),46186.700902777775)</f>
        <v>46186.7009</v>
      </c>
      <c r="B574" s="126">
        <f>IFERROR(__xludf.DUMMYFUNCTION("""COMPUTED_VALUE"""),46186.0)</f>
        <v>46186</v>
      </c>
      <c r="C574" s="130">
        <f>IFERROR(__xludf.DUMMYFUNCTION("""COMPUTED_VALUE"""),0.7009027777777778)</f>
        <v>0.7009027778</v>
      </c>
      <c r="D574" s="122" t="str">
        <f>IFERROR(__xludf.DUMMYFUNCTION("""COMPUTED_VALUE"""),"AIBO")</f>
        <v>AIBO</v>
      </c>
      <c r="E574" s="122" t="str">
        <f>IFERROR(__xludf.DUMMYFUNCTION("""COMPUTED_VALUE"""),"Homework AI")</f>
        <v>Homework AI</v>
      </c>
      <c r="F574" s="122" t="str">
        <f>IFERROR(__xludf.DUMMYFUNCTION("""COMPUTED_VALUE"""),"Technology")</f>
        <v>Technology</v>
      </c>
    </row>
    <row r="575">
      <c r="A575" s="131">
        <f>IFERROR(__xludf.DUMMYFUNCTION("""COMPUTED_VALUE"""),46186.700902777775)</f>
        <v>46186.7009</v>
      </c>
      <c r="B575" s="126">
        <f>IFERROR(__xludf.DUMMYFUNCTION("""COMPUTED_VALUE"""),46186.0)</f>
        <v>46186</v>
      </c>
      <c r="C575" s="130">
        <f>IFERROR(__xludf.DUMMYFUNCTION("""COMPUTED_VALUE"""),0.7009027777777778)</f>
        <v>0.7009027778</v>
      </c>
      <c r="D575" s="122" t="str">
        <f>IFERROR(__xludf.DUMMYFUNCTION("""COMPUTED_VALUE"""),"GAME")</f>
        <v>GAME</v>
      </c>
      <c r="E575" s="122" t="str">
        <f>IFERROR(__xludf.DUMMYFUNCTION("""COMPUTED_VALUE"""),"GameBox Media")</f>
        <v>GameBox Media</v>
      </c>
      <c r="F575" s="122" t="str">
        <f>IFERROR(__xludf.DUMMYFUNCTION("""COMPUTED_VALUE"""),"Entertainment")</f>
        <v>Entertainment</v>
      </c>
    </row>
    <row r="576">
      <c r="A576" s="131">
        <f>IFERROR(__xludf.DUMMYFUNCTION("""COMPUTED_VALUE"""),46186.700902777775)</f>
        <v>46186.7009</v>
      </c>
      <c r="B576" s="126">
        <f>IFERROR(__xludf.DUMMYFUNCTION("""COMPUTED_VALUE"""),46186.0)</f>
        <v>46186</v>
      </c>
      <c r="C576" s="130">
        <f>IFERROR(__xludf.DUMMYFUNCTION("""COMPUTED_VALUE"""),0.7009027777777778)</f>
        <v>0.7009027778</v>
      </c>
      <c r="D576" s="122" t="str">
        <f>IFERROR(__xludf.DUMMYFUNCTION("""COMPUTED_VALUE"""),"VRSE")</f>
        <v>VRSE</v>
      </c>
      <c r="E576" s="122" t="str">
        <f>IFERROR(__xludf.DUMMYFUNCTION("""COMPUTED_VALUE"""),"VerseVR")</f>
        <v>VerseVR</v>
      </c>
      <c r="F576" s="122" t="str">
        <f>IFERROR(__xludf.DUMMYFUNCTION("""COMPUTED_VALUE"""),"Technology")</f>
        <v>Technology</v>
      </c>
    </row>
    <row r="577">
      <c r="A577" s="131">
        <f>IFERROR(__xludf.DUMMYFUNCTION("""COMPUTED_VALUE"""),46186.700902777775)</f>
        <v>46186.7009</v>
      </c>
      <c r="B577" s="126">
        <f>IFERROR(__xludf.DUMMYFUNCTION("""COMPUTED_VALUE"""),46186.0)</f>
        <v>46186</v>
      </c>
      <c r="C577" s="130">
        <f>IFERROR(__xludf.DUMMYFUNCTION("""COMPUTED_VALUE"""),0.7009027777777778)</f>
        <v>0.7009027778</v>
      </c>
      <c r="D577" s="122" t="str">
        <f>IFERROR(__xludf.DUMMYFUNCTION("""COMPUTED_VALUE"""),"BYTE")</f>
        <v>BYTE</v>
      </c>
      <c r="E577" s="122" t="str">
        <f>IFERROR(__xludf.DUMMYFUNCTION("""COMPUTED_VALUE"""),"ByteWorks")</f>
        <v>ByteWorks</v>
      </c>
      <c r="F577" s="122" t="str">
        <f>IFERROR(__xludf.DUMMYFUNCTION("""COMPUTED_VALUE"""),"Technology")</f>
        <v>Technology</v>
      </c>
    </row>
    <row r="578">
      <c r="A578" s="131">
        <f>IFERROR(__xludf.DUMMYFUNCTION("""COMPUTED_VALUE"""),46186.700902777775)</f>
        <v>46186.7009</v>
      </c>
      <c r="B578" s="126">
        <f>IFERROR(__xludf.DUMMYFUNCTION("""COMPUTED_VALUE"""),46186.0)</f>
        <v>46186</v>
      </c>
      <c r="C578" s="130">
        <f>IFERROR(__xludf.DUMMYFUNCTION("""COMPUTED_VALUE"""),0.7009027777777778)</f>
        <v>0.7009027778</v>
      </c>
      <c r="D578" s="122" t="str">
        <f>IFERROR(__xludf.DUMMYFUNCTION("""COMPUTED_VALUE"""),"BANK")</f>
        <v>BANK</v>
      </c>
      <c r="E578" s="122" t="str">
        <f>IFERROR(__xludf.DUMMYFUNCTION("""COMPUTED_VALUE"""),"Tiger Bank")</f>
        <v>Tiger Bank</v>
      </c>
      <c r="F578" s="122" t="str">
        <f>IFERROR(__xludf.DUMMYFUNCTION("""COMPUTED_VALUE"""),"Finance")</f>
        <v>Finance</v>
      </c>
    </row>
    <row r="579">
      <c r="A579" s="131">
        <f>IFERROR(__xludf.DUMMYFUNCTION("""COMPUTED_VALUE"""),46186.700902777775)</f>
        <v>46186.7009</v>
      </c>
      <c r="B579" s="126">
        <f>IFERROR(__xludf.DUMMYFUNCTION("""COMPUTED_VALUE"""),46186.0)</f>
        <v>46186</v>
      </c>
      <c r="C579" s="130">
        <f>IFERROR(__xludf.DUMMYFUNCTION("""COMPUTED_VALUE"""),0.7009027777777778)</f>
        <v>0.7009027778</v>
      </c>
      <c r="D579" s="122" t="str">
        <f>IFERROR(__xludf.DUMMYFUNCTION("""COMPUTED_VALUE"""),"CRED")</f>
        <v>CRED</v>
      </c>
      <c r="E579" s="122" t="str">
        <f>IFERROR(__xludf.DUMMYFUNCTION("""COMPUTED_VALUE"""),"Credit Castle")</f>
        <v>Credit Castle</v>
      </c>
      <c r="F579" s="122" t="str">
        <f>IFERROR(__xludf.DUMMYFUNCTION("""COMPUTED_VALUE"""),"Finance")</f>
        <v>Finance</v>
      </c>
    </row>
    <row r="580">
      <c r="A580" s="131">
        <f>IFERROR(__xludf.DUMMYFUNCTION("""COMPUTED_VALUE"""),46186.700902777775)</f>
        <v>46186.7009</v>
      </c>
      <c r="B580" s="126">
        <f>IFERROR(__xludf.DUMMYFUNCTION("""COMPUTED_VALUE"""),46186.0)</f>
        <v>46186</v>
      </c>
      <c r="C580" s="130">
        <f>IFERROR(__xludf.DUMMYFUNCTION("""COMPUTED_VALUE"""),0.7009027777777778)</f>
        <v>0.7009027778</v>
      </c>
      <c r="D580" s="122" t="str">
        <f>IFERROR(__xludf.DUMMYFUNCTION("""COMPUTED_VALUE"""),"BOND")</f>
        <v>BOND</v>
      </c>
      <c r="E580" s="122" t="str">
        <f>IFERROR(__xludf.DUMMYFUNCTION("""COMPUTED_VALUE"""),"BondBridge")</f>
        <v>BondBridge</v>
      </c>
      <c r="F580" s="122" t="str">
        <f>IFERROR(__xludf.DUMMYFUNCTION("""COMPUTED_VALUE"""),"Finance")</f>
        <v>Finance</v>
      </c>
    </row>
    <row r="581">
      <c r="A581" s="131">
        <f>IFERROR(__xludf.DUMMYFUNCTION("""COMPUTED_VALUE"""),46186.700902777775)</f>
        <v>46186.7009</v>
      </c>
      <c r="B581" s="126">
        <f>IFERROR(__xludf.DUMMYFUNCTION("""COMPUTED_VALUE"""),46186.0)</f>
        <v>46186</v>
      </c>
      <c r="C581" s="130">
        <f>IFERROR(__xludf.DUMMYFUNCTION("""COMPUTED_VALUE"""),0.7009027777777778)</f>
        <v>0.7009027778</v>
      </c>
      <c r="D581" s="122" t="str">
        <f>IFERROR(__xludf.DUMMYFUNCTION("""COMPUTED_VALUE"""),"INSR")</f>
        <v>INSR</v>
      </c>
      <c r="E581" s="122" t="str">
        <f>IFERROR(__xludf.DUMMYFUNCTION("""COMPUTED_VALUE"""),"Shield Insurance")</f>
        <v>Shield Insurance</v>
      </c>
      <c r="F581" s="122" t="str">
        <f>IFERROR(__xludf.DUMMYFUNCTION("""COMPUTED_VALUE"""),"Finance")</f>
        <v>Finance</v>
      </c>
    </row>
    <row r="582">
      <c r="A582" s="131">
        <f>IFERROR(__xludf.DUMMYFUNCTION("""COMPUTED_VALUE"""),46186.700902777775)</f>
        <v>46186.7009</v>
      </c>
      <c r="B582" s="126">
        <f>IFERROR(__xludf.DUMMYFUNCTION("""COMPUTED_VALUE"""),46186.0)</f>
        <v>46186</v>
      </c>
      <c r="C582" s="130">
        <f>IFERROR(__xludf.DUMMYFUNCTION("""COMPUTED_VALUE"""),0.7009027777777778)</f>
        <v>0.7009027778</v>
      </c>
      <c r="D582" s="122" t="str">
        <f>IFERROR(__xludf.DUMMYFUNCTION("""COMPUTED_VALUE"""),"LOAN")</f>
        <v>LOAN</v>
      </c>
      <c r="E582" s="122" t="str">
        <f>IFERROR(__xludf.DUMMYFUNCTION("""COMPUTED_VALUE"""),"LoanLab")</f>
        <v>LoanLab</v>
      </c>
      <c r="F582" s="122" t="str">
        <f>IFERROR(__xludf.DUMMYFUNCTION("""COMPUTED_VALUE"""),"Finance")</f>
        <v>Finance</v>
      </c>
    </row>
    <row r="583">
      <c r="A583" s="131">
        <f>IFERROR(__xludf.DUMMYFUNCTION("""COMPUTED_VALUE"""),46186.700902777775)</f>
        <v>46186.7009</v>
      </c>
      <c r="B583" s="126">
        <f>IFERROR(__xludf.DUMMYFUNCTION("""COMPUTED_VALUE"""),46186.0)</f>
        <v>46186</v>
      </c>
      <c r="C583" s="130">
        <f>IFERROR(__xludf.DUMMYFUNCTION("""COMPUTED_VALUE"""),0.7009027777777778)</f>
        <v>0.7009027778</v>
      </c>
      <c r="D583" s="122" t="str">
        <f>IFERROR(__xludf.DUMMYFUNCTION("""COMPUTED_VALUE"""),"LUXE")</f>
        <v>LUXE</v>
      </c>
      <c r="E583" s="122" t="str">
        <f>IFERROR(__xludf.DUMMYFUNCTION("""COMPUTED_VALUE"""),"Luxury Locker")</f>
        <v>Luxury Locker</v>
      </c>
      <c r="F583" s="122" t="str">
        <f>IFERROR(__xludf.DUMMYFUNCTION("""COMPUTED_VALUE"""),"Luxury Goods")</f>
        <v>Luxury Goods</v>
      </c>
    </row>
    <row r="584">
      <c r="A584" s="131">
        <f>IFERROR(__xludf.DUMMYFUNCTION("""COMPUTED_VALUE"""),46186.700902777775)</f>
        <v>46186.7009</v>
      </c>
      <c r="B584" s="126">
        <f>IFERROR(__xludf.DUMMYFUNCTION("""COMPUTED_VALUE"""),46186.0)</f>
        <v>46186</v>
      </c>
      <c r="C584" s="130">
        <f>IFERROR(__xludf.DUMMYFUNCTION("""COMPUTED_VALUE"""),0.7009027777777778)</f>
        <v>0.7009027778</v>
      </c>
      <c r="D584" s="122" t="str">
        <f>IFERROR(__xludf.DUMMYFUNCTION("""COMPUTED_VALUE"""),"DRIP")</f>
        <v>DRIP</v>
      </c>
      <c r="E584" s="122" t="str">
        <f>IFERROR(__xludf.DUMMYFUNCTION("""COMPUTED_VALUE"""),"Drip Streetwear")</f>
        <v>Drip Streetwear</v>
      </c>
      <c r="F584" s="122" t="str">
        <f>IFERROR(__xludf.DUMMYFUNCTION("""COMPUTED_VALUE"""),"Fashion")</f>
        <v>Fashion</v>
      </c>
    </row>
    <row r="585">
      <c r="A585" s="131">
        <f>IFERROR(__xludf.DUMMYFUNCTION("""COMPUTED_VALUE"""),46186.700902777775)</f>
        <v>46186.7009</v>
      </c>
      <c r="B585" s="126">
        <f>IFERROR(__xludf.DUMMYFUNCTION("""COMPUTED_VALUE"""),46186.0)</f>
        <v>46186</v>
      </c>
      <c r="C585" s="130">
        <f>IFERROR(__xludf.DUMMYFUNCTION("""COMPUTED_VALUE"""),0.7009027777777778)</f>
        <v>0.7009027778</v>
      </c>
      <c r="D585" s="122" t="str">
        <f>IFERROR(__xludf.DUMMYFUNCTION("""COMPUTED_VALUE"""),"KICK")</f>
        <v>KICK</v>
      </c>
      <c r="E585" s="122" t="str">
        <f>IFERROR(__xludf.DUMMYFUNCTION("""COMPUTED_VALUE"""),"KickDrop Sneakers")</f>
        <v>KickDrop Sneakers</v>
      </c>
      <c r="F585" s="122" t="str">
        <f>IFERROR(__xludf.DUMMYFUNCTION("""COMPUTED_VALUE"""),"Fashion")</f>
        <v>Fashion</v>
      </c>
    </row>
    <row r="586">
      <c r="A586" s="131">
        <f>IFERROR(__xludf.DUMMYFUNCTION("""COMPUTED_VALUE"""),46186.700902777775)</f>
        <v>46186.7009</v>
      </c>
      <c r="B586" s="126">
        <f>IFERROR(__xludf.DUMMYFUNCTION("""COMPUTED_VALUE"""),46186.0)</f>
        <v>46186</v>
      </c>
      <c r="C586" s="130">
        <f>IFERROR(__xludf.DUMMYFUNCTION("""COMPUTED_VALUE"""),0.7009027777777778)</f>
        <v>0.7009027778</v>
      </c>
      <c r="D586" s="122" t="str">
        <f>IFERROR(__xludf.DUMMYFUNCTION("""COMPUTED_VALUE"""),"GLAM")</f>
        <v>GLAM</v>
      </c>
      <c r="E586" s="122" t="str">
        <f>IFERROR(__xludf.DUMMYFUNCTION("""COMPUTED_VALUE"""),"Glow Cosmetics")</f>
        <v>Glow Cosmetics</v>
      </c>
      <c r="F586" s="122" t="str">
        <f>IFERROR(__xludf.DUMMYFUNCTION("""COMPUTED_VALUE"""),"Fashion")</f>
        <v>Fashion</v>
      </c>
    </row>
    <row r="587">
      <c r="A587" s="131">
        <f>IFERROR(__xludf.DUMMYFUNCTION("""COMPUTED_VALUE"""),46186.700902777775)</f>
        <v>46186.7009</v>
      </c>
      <c r="B587" s="126">
        <f>IFERROR(__xludf.DUMMYFUNCTION("""COMPUTED_VALUE"""),46186.0)</f>
        <v>46186</v>
      </c>
      <c r="C587" s="130">
        <f>IFERROR(__xludf.DUMMYFUNCTION("""COMPUTED_VALUE"""),0.7009027777777778)</f>
        <v>0.7009027778</v>
      </c>
      <c r="D587" s="122" t="str">
        <f>IFERROR(__xludf.DUMMYFUNCTION("""COMPUTED_VALUE"""),"BAGG")</f>
        <v>BAGG</v>
      </c>
      <c r="E587" s="122" t="str">
        <f>IFERROR(__xludf.DUMMYFUNCTION("""COMPUTED_VALUE"""),"BagVault")</f>
        <v>BagVault</v>
      </c>
      <c r="F587" s="122" t="str">
        <f>IFERROR(__xludf.DUMMYFUNCTION("""COMPUTED_VALUE"""),"Fashion")</f>
        <v>Fashion</v>
      </c>
    </row>
    <row r="588">
      <c r="A588" s="131">
        <f>IFERROR(__xludf.DUMMYFUNCTION("""COMPUTED_VALUE"""),46186.700902777775)</f>
        <v>46186.7009</v>
      </c>
      <c r="B588" s="126">
        <f>IFERROR(__xludf.DUMMYFUNCTION("""COMPUTED_VALUE"""),46186.0)</f>
        <v>46186</v>
      </c>
      <c r="C588" s="130">
        <f>IFERROR(__xludf.DUMMYFUNCTION("""COMPUTED_VALUE"""),0.7009027777777778)</f>
        <v>0.7009027778</v>
      </c>
      <c r="D588" s="122" t="str">
        <f>IFERROR(__xludf.DUMMYFUNCTION("""COMPUTED_VALUE"""),"FAST")</f>
        <v>FAST</v>
      </c>
      <c r="E588" s="122" t="str">
        <f>IFERROR(__xludf.DUMMYFUNCTION("""COMPUTED_VALUE"""),"Flash Logistics")</f>
        <v>Flash Logistics</v>
      </c>
      <c r="F588" s="122" t="str">
        <f>IFERROR(__xludf.DUMMYFUNCTION("""COMPUTED_VALUE"""),"Logistics")</f>
        <v>Logistics</v>
      </c>
    </row>
    <row r="589">
      <c r="A589" s="131">
        <f>IFERROR(__xludf.DUMMYFUNCTION("""COMPUTED_VALUE"""),46186.700902777775)</f>
        <v>46186.7009</v>
      </c>
      <c r="B589" s="126">
        <f>IFERROR(__xludf.DUMMYFUNCTION("""COMPUTED_VALUE"""),46186.0)</f>
        <v>46186</v>
      </c>
      <c r="C589" s="130">
        <f>IFERROR(__xludf.DUMMYFUNCTION("""COMPUTED_VALUE"""),0.7009027777777778)</f>
        <v>0.7009027778</v>
      </c>
      <c r="D589" s="122" t="str">
        <f>IFERROR(__xludf.DUMMYFUNCTION("""COMPUTED_VALUE"""),"SHIP")</f>
        <v>SHIP</v>
      </c>
      <c r="E589" s="122" t="str">
        <f>IFERROR(__xludf.DUMMYFUNCTION("""COMPUTED_VALUE"""),"Seoul Shipping")</f>
        <v>Seoul Shipping</v>
      </c>
      <c r="F589" s="122" t="str">
        <f>IFERROR(__xludf.DUMMYFUNCTION("""COMPUTED_VALUE"""),"Logistics")</f>
        <v>Logistics</v>
      </c>
    </row>
    <row r="590">
      <c r="A590" s="131">
        <f>IFERROR(__xludf.DUMMYFUNCTION("""COMPUTED_VALUE"""),46186.700902777775)</f>
        <v>46186.7009</v>
      </c>
      <c r="B590" s="126">
        <f>IFERROR(__xludf.DUMMYFUNCTION("""COMPUTED_VALUE"""),46186.0)</f>
        <v>46186</v>
      </c>
      <c r="C590" s="130">
        <f>IFERROR(__xludf.DUMMYFUNCTION("""COMPUTED_VALUE"""),0.7009027777777778)</f>
        <v>0.7009027778</v>
      </c>
      <c r="D590" s="122" t="str">
        <f>IFERROR(__xludf.DUMMYFUNCTION("""COMPUTED_VALUE"""),"DRON")</f>
        <v>DRON</v>
      </c>
      <c r="E590" s="122" t="str">
        <f>IFERROR(__xludf.DUMMYFUNCTION("""COMPUTED_VALUE"""),"DroneDrop")</f>
        <v>DroneDrop</v>
      </c>
      <c r="F590" s="122" t="str">
        <f>IFERROR(__xludf.DUMMYFUNCTION("""COMPUTED_VALUE"""),"Logistics")</f>
        <v>Logistics</v>
      </c>
    </row>
    <row r="591">
      <c r="A591" s="131">
        <f>IFERROR(__xludf.DUMMYFUNCTION("""COMPUTED_VALUE"""),46186.700902777775)</f>
        <v>46186.7009</v>
      </c>
      <c r="B591" s="126">
        <f>IFERROR(__xludf.DUMMYFUNCTION("""COMPUTED_VALUE"""),46186.0)</f>
        <v>46186</v>
      </c>
      <c r="C591" s="130">
        <f>IFERROR(__xludf.DUMMYFUNCTION("""COMPUTED_VALUE"""),0.7009027777777778)</f>
        <v>0.7009027778</v>
      </c>
      <c r="D591" s="122" t="str">
        <f>IFERROR(__xludf.DUMMYFUNCTION("""COMPUTED_VALUE"""),"RIDE")</f>
        <v>RIDE</v>
      </c>
      <c r="E591" s="122" t="str">
        <f>IFERROR(__xludf.DUMMYFUNCTION("""COMPUTED_VALUE"""),"QuickRide")</f>
        <v>QuickRide</v>
      </c>
      <c r="F591" s="122" t="str">
        <f>IFERROR(__xludf.DUMMYFUNCTION("""COMPUTED_VALUE"""),"Transportation")</f>
        <v>Transportation</v>
      </c>
    </row>
    <row r="592">
      <c r="A592" s="131">
        <f>IFERROR(__xludf.DUMMYFUNCTION("""COMPUTED_VALUE"""),46186.700902777775)</f>
        <v>46186.7009</v>
      </c>
      <c r="B592" s="126">
        <f>IFERROR(__xludf.DUMMYFUNCTION("""COMPUTED_VALUE"""),46186.0)</f>
        <v>46186</v>
      </c>
      <c r="C592" s="130">
        <f>IFERROR(__xludf.DUMMYFUNCTION("""COMPUTED_VALUE"""),0.7009027777777778)</f>
        <v>0.7009027778</v>
      </c>
      <c r="D592" s="122" t="str">
        <f>IFERROR(__xludf.DUMMYFUNCTION("""COMPUTED_VALUE"""),"RAIL")</f>
        <v>RAIL</v>
      </c>
      <c r="E592" s="122" t="str">
        <f>IFERROR(__xludf.DUMMYFUNCTION("""COMPUTED_VALUE"""),"MetroRail Corp")</f>
        <v>MetroRail Corp</v>
      </c>
      <c r="F592" s="122" t="str">
        <f>IFERROR(__xludf.DUMMYFUNCTION("""COMPUTED_VALUE"""),"Transportation")</f>
        <v>Transportation</v>
      </c>
    </row>
    <row r="593">
      <c r="A593" s="131">
        <f>IFERROR(__xludf.DUMMYFUNCTION("""COMPUTED_VALUE"""),46186.700902777775)</f>
        <v>46186.7009</v>
      </c>
      <c r="B593" s="126">
        <f>IFERROR(__xludf.DUMMYFUNCTION("""COMPUTED_VALUE"""),46186.0)</f>
        <v>46186</v>
      </c>
      <c r="C593" s="130">
        <f>IFERROR(__xludf.DUMMYFUNCTION("""COMPUTED_VALUE"""),0.7009027777777778)</f>
        <v>0.7009027778</v>
      </c>
      <c r="D593" s="122" t="str">
        <f>IFERROR(__xludf.DUMMYFUNCTION("""COMPUTED_VALUE"""),"MEDX")</f>
        <v>MEDX</v>
      </c>
      <c r="E593" s="122" t="str">
        <f>IFERROR(__xludf.DUMMYFUNCTION("""COMPUTED_VALUE"""),"MediCore")</f>
        <v>MediCore</v>
      </c>
      <c r="F593" s="122" t="str">
        <f>IFERROR(__xludf.DUMMYFUNCTION("""COMPUTED_VALUE"""),"Healthcare")</f>
        <v>Healthcare</v>
      </c>
    </row>
    <row r="594">
      <c r="A594" s="131">
        <f>IFERROR(__xludf.DUMMYFUNCTION("""COMPUTED_VALUE"""),46186.700902777775)</f>
        <v>46186.7009</v>
      </c>
      <c r="B594" s="126">
        <f>IFERROR(__xludf.DUMMYFUNCTION("""COMPUTED_VALUE"""),46186.0)</f>
        <v>46186</v>
      </c>
      <c r="C594" s="130">
        <f>IFERROR(__xludf.DUMMYFUNCTION("""COMPUTED_VALUE"""),0.7009027777777778)</f>
        <v>0.7009027778</v>
      </c>
      <c r="D594" s="122" t="str">
        <f>IFERROR(__xludf.DUMMYFUNCTION("""COMPUTED_VALUE"""),"GYMX")</f>
        <v>GYMX</v>
      </c>
      <c r="E594" s="122" t="str">
        <f>IFERROR(__xludf.DUMMYFUNCTION("""COMPUTED_VALUE"""),"GymX Fitness")</f>
        <v>GymX Fitness</v>
      </c>
      <c r="F594" s="122" t="str">
        <f>IFERROR(__xludf.DUMMYFUNCTION("""COMPUTED_VALUE"""),"Healthcare")</f>
        <v>Healthcare</v>
      </c>
    </row>
    <row r="595">
      <c r="A595" s="131">
        <f>IFERROR(__xludf.DUMMYFUNCTION("""COMPUTED_VALUE"""),46186.700902777775)</f>
        <v>46186.7009</v>
      </c>
      <c r="B595" s="126">
        <f>IFERROR(__xludf.DUMMYFUNCTION("""COMPUTED_VALUE"""),46186.0)</f>
        <v>46186</v>
      </c>
      <c r="C595" s="130">
        <f>IFERROR(__xludf.DUMMYFUNCTION("""COMPUTED_VALUE"""),0.7009027777777778)</f>
        <v>0.7009027778</v>
      </c>
      <c r="D595" s="122" t="str">
        <f>IFERROR(__xludf.DUMMYFUNCTION("""COMPUTED_VALUE"""),"VITA")</f>
        <v>VITA</v>
      </c>
      <c r="E595" s="122" t="str">
        <f>IFERROR(__xludf.DUMMYFUNCTION("""COMPUTED_VALUE"""),"VitaPlus")</f>
        <v>VitaPlus</v>
      </c>
      <c r="F595" s="122" t="str">
        <f>IFERROR(__xludf.DUMMYFUNCTION("""COMPUTED_VALUE"""),"Healthcare")</f>
        <v>Healthcare</v>
      </c>
    </row>
    <row r="596">
      <c r="A596" s="131">
        <f>IFERROR(__xludf.DUMMYFUNCTION("""COMPUTED_VALUE"""),46186.700902777775)</f>
        <v>46186.7009</v>
      </c>
      <c r="B596" s="126">
        <f>IFERROR(__xludf.DUMMYFUNCTION("""COMPUTED_VALUE"""),46186.0)</f>
        <v>46186</v>
      </c>
      <c r="C596" s="130">
        <f>IFERROR(__xludf.DUMMYFUNCTION("""COMPUTED_VALUE"""),0.7009027777777778)</f>
        <v>0.7009027778</v>
      </c>
      <c r="D596" s="122" t="str">
        <f>IFERROR(__xludf.DUMMYFUNCTION("""COMPUTED_VALUE"""),"CARE")</f>
        <v>CARE</v>
      </c>
      <c r="E596" s="122" t="str">
        <f>IFERROR(__xludf.DUMMYFUNCTION("""COMPUTED_VALUE"""),"CareCloud")</f>
        <v>CareCloud</v>
      </c>
      <c r="F596" s="122" t="str">
        <f>IFERROR(__xludf.DUMMYFUNCTION("""COMPUTED_VALUE"""),"Healthcare")</f>
        <v>Healthcare</v>
      </c>
    </row>
    <row r="597">
      <c r="A597" s="131">
        <f>IFERROR(__xludf.DUMMYFUNCTION("""COMPUTED_VALUE"""),46186.700902777775)</f>
        <v>46186.7009</v>
      </c>
      <c r="B597" s="126">
        <f>IFERROR(__xludf.DUMMYFUNCTION("""COMPUTED_VALUE"""),46186.0)</f>
        <v>46186</v>
      </c>
      <c r="C597" s="130">
        <f>IFERROR(__xludf.DUMMYFUNCTION("""COMPUTED_VALUE"""),0.7009027777777778)</f>
        <v>0.7009027778</v>
      </c>
      <c r="D597" s="122" t="str">
        <f>IFERROR(__xludf.DUMMYFUNCTION("""COMPUTED_VALUE"""),"DENT")</f>
        <v>DENT</v>
      </c>
      <c r="E597" s="122" t="str">
        <f>IFERROR(__xludf.DUMMYFUNCTION("""COMPUTED_VALUE"""),"SmileWorks")</f>
        <v>SmileWorks</v>
      </c>
      <c r="F597" s="122" t="str">
        <f>IFERROR(__xludf.DUMMYFUNCTION("""COMPUTED_VALUE"""),"Healthcare")</f>
        <v>Healthcare</v>
      </c>
    </row>
    <row r="598">
      <c r="A598" s="131">
        <f>IFERROR(__xludf.DUMMYFUNCTION("""COMPUTED_VALUE"""),46186.700902777775)</f>
        <v>46186.7009</v>
      </c>
      <c r="B598" s="126">
        <f>IFERROR(__xludf.DUMMYFUNCTION("""COMPUTED_VALUE"""),46186.0)</f>
        <v>46186</v>
      </c>
      <c r="C598" s="130">
        <f>IFERROR(__xludf.DUMMYFUNCTION("""COMPUTED_VALUE"""),0.7009027777777778)</f>
        <v>0.7009027778</v>
      </c>
      <c r="D598" s="122" t="str">
        <f>IFERROR(__xludf.DUMMYFUNCTION("""COMPUTED_VALUE"""),"EDUX")</f>
        <v>EDUX</v>
      </c>
      <c r="E598" s="122" t="str">
        <f>IFERROR(__xludf.DUMMYFUNCTION("""COMPUTED_VALUE"""),"EduMax Learning")</f>
        <v>EduMax Learning</v>
      </c>
      <c r="F598" s="122" t="str">
        <f>IFERROR(__xludf.DUMMYFUNCTION("""COMPUTED_VALUE"""),"Education")</f>
        <v>Education</v>
      </c>
    </row>
    <row r="599">
      <c r="A599" s="131">
        <f>IFERROR(__xludf.DUMMYFUNCTION("""COMPUTED_VALUE"""),46186.700902777775)</f>
        <v>46186.7009</v>
      </c>
      <c r="B599" s="126">
        <f>IFERROR(__xludf.DUMMYFUNCTION("""COMPUTED_VALUE"""),46186.0)</f>
        <v>46186</v>
      </c>
      <c r="C599" s="130">
        <f>IFERROR(__xludf.DUMMYFUNCTION("""COMPUTED_VALUE"""),0.7009027777777778)</f>
        <v>0.7009027778</v>
      </c>
      <c r="D599" s="122" t="str">
        <f>IFERROR(__xludf.DUMMYFUNCTION("""COMPUTED_VALUE"""),"BOOK")</f>
        <v>BOOK</v>
      </c>
      <c r="E599" s="122" t="str">
        <f>IFERROR(__xludf.DUMMYFUNCTION("""COMPUTED_VALUE"""),"BookBridge")</f>
        <v>BookBridge</v>
      </c>
      <c r="F599" s="122" t="str">
        <f>IFERROR(__xludf.DUMMYFUNCTION("""COMPUTED_VALUE"""),"Education")</f>
        <v>Education</v>
      </c>
    </row>
    <row r="600">
      <c r="A600" s="131">
        <f>IFERROR(__xludf.DUMMYFUNCTION("""COMPUTED_VALUE"""),46186.700902777775)</f>
        <v>46186.7009</v>
      </c>
      <c r="B600" s="126">
        <f>IFERROR(__xludf.DUMMYFUNCTION("""COMPUTED_VALUE"""),46186.0)</f>
        <v>46186</v>
      </c>
      <c r="C600" s="130">
        <f>IFERROR(__xludf.DUMMYFUNCTION("""COMPUTED_VALUE"""),0.7009027777777778)</f>
        <v>0.7009027778</v>
      </c>
      <c r="D600" s="122" t="str">
        <f>IFERROR(__xludf.DUMMYFUNCTION("""COMPUTED_VALUE"""),"TUTR")</f>
        <v>TUTR</v>
      </c>
      <c r="E600" s="122" t="str">
        <f>IFERROR(__xludf.DUMMYFUNCTION("""COMPUTED_VALUE"""),"TutorTown")</f>
        <v>TutorTown</v>
      </c>
      <c r="F600" s="122" t="str">
        <f>IFERROR(__xludf.DUMMYFUNCTION("""COMPUTED_VALUE"""),"Education")</f>
        <v>Education</v>
      </c>
    </row>
    <row r="601">
      <c r="A601" s="131">
        <f>IFERROR(__xludf.DUMMYFUNCTION("""COMPUTED_VALUE"""),46186.700902777775)</f>
        <v>46186.7009</v>
      </c>
      <c r="B601" s="126">
        <f>IFERROR(__xludf.DUMMYFUNCTION("""COMPUTED_VALUE"""),46186.0)</f>
        <v>46186</v>
      </c>
      <c r="C601" s="130">
        <f>IFERROR(__xludf.DUMMYFUNCTION("""COMPUTED_VALUE"""),0.7009027777777778)</f>
        <v>0.7009027778</v>
      </c>
      <c r="D601" s="122" t="str">
        <f>IFERROR(__xludf.DUMMYFUNCTION("""COMPUTED_VALUE"""),"LANG")</f>
        <v>LANG</v>
      </c>
      <c r="E601" s="122" t="str">
        <f>IFERROR(__xludf.DUMMYFUNCTION("""COMPUTED_VALUE"""),"LinguaLab")</f>
        <v>LinguaLab</v>
      </c>
      <c r="F601" s="122" t="str">
        <f>IFERROR(__xludf.DUMMYFUNCTION("""COMPUTED_VALUE"""),"Education")</f>
        <v>Education</v>
      </c>
    </row>
    <row r="602">
      <c r="A602" s="131">
        <f>IFERROR(__xludf.DUMMYFUNCTION("""COMPUTED_VALUE"""),46186.700902777775)</f>
        <v>46186.7009</v>
      </c>
      <c r="B602" s="126">
        <f>IFERROR(__xludf.DUMMYFUNCTION("""COMPUTED_VALUE"""),46186.0)</f>
        <v>46186</v>
      </c>
      <c r="C602" s="130">
        <f>IFERROR(__xludf.DUMMYFUNCTION("""COMPUTED_VALUE"""),0.7009027777777778)</f>
        <v>0.7009027778</v>
      </c>
      <c r="D602" s="122" t="str">
        <f>IFERROR(__xludf.DUMMYFUNCTION("""COMPUTED_VALUE"""),"TEST")</f>
        <v>TEST</v>
      </c>
      <c r="E602" s="122" t="str">
        <f>IFERROR(__xludf.DUMMYFUNCTION("""COMPUTED_VALUE"""),"TestPrep Pro")</f>
        <v>TestPrep Pro</v>
      </c>
      <c r="F602" s="122" t="str">
        <f>IFERROR(__xludf.DUMMYFUNCTION("""COMPUTED_VALUE"""),"Education")</f>
        <v>Education</v>
      </c>
    </row>
    <row r="603">
      <c r="A603" s="131">
        <f>IFERROR(__xludf.DUMMYFUNCTION("""COMPUTED_VALUE"""),46186.700902777775)</f>
        <v>46186.7009</v>
      </c>
      <c r="B603" s="126">
        <f>IFERROR(__xludf.DUMMYFUNCTION("""COMPUTED_VALUE"""),46186.0)</f>
        <v>46186</v>
      </c>
      <c r="C603" s="130">
        <f>IFERROR(__xludf.DUMMYFUNCTION("""COMPUTED_VALUE"""),0.7009027777777778)</f>
        <v>0.7009027778</v>
      </c>
      <c r="D603" s="122" t="str">
        <f>IFERROR(__xludf.DUMMYFUNCTION("""COMPUTED_VALUE"""),"MOVI")</f>
        <v>MOVI</v>
      </c>
      <c r="E603" s="122" t="str">
        <f>IFERROR(__xludf.DUMMYFUNCTION("""COMPUTED_VALUE"""),"MovieBox")</f>
        <v>MovieBox</v>
      </c>
      <c r="F603" s="122" t="str">
        <f>IFERROR(__xludf.DUMMYFUNCTION("""COMPUTED_VALUE"""),"Entertainment")</f>
        <v>Entertainment</v>
      </c>
    </row>
    <row r="604">
      <c r="A604" s="131">
        <f>IFERROR(__xludf.DUMMYFUNCTION("""COMPUTED_VALUE"""),46186.700902777775)</f>
        <v>46186.7009</v>
      </c>
      <c r="B604" s="126">
        <f>IFERROR(__xludf.DUMMYFUNCTION("""COMPUTED_VALUE"""),46186.0)</f>
        <v>46186</v>
      </c>
      <c r="C604" s="130">
        <f>IFERROR(__xludf.DUMMYFUNCTION("""COMPUTED_VALUE"""),0.7009027777777778)</f>
        <v>0.7009027778</v>
      </c>
      <c r="D604" s="122" t="str">
        <f>IFERROR(__xludf.DUMMYFUNCTION("""COMPUTED_VALUE"""),"MUSC")</f>
        <v>MUSC</v>
      </c>
      <c r="E604" s="122" t="str">
        <f>IFERROR(__xludf.DUMMYFUNCTION("""COMPUTED_VALUE"""),"MusicWave")</f>
        <v>MusicWave</v>
      </c>
      <c r="F604" s="122" t="str">
        <f>IFERROR(__xludf.DUMMYFUNCTION("""COMPUTED_VALUE"""),"Entertainment")</f>
        <v>Entertainment</v>
      </c>
    </row>
    <row r="605">
      <c r="A605" s="131">
        <f>IFERROR(__xludf.DUMMYFUNCTION("""COMPUTED_VALUE"""),46186.700902777775)</f>
        <v>46186.7009</v>
      </c>
      <c r="B605" s="126">
        <f>IFERROR(__xludf.DUMMYFUNCTION("""COMPUTED_VALUE"""),46186.0)</f>
        <v>46186</v>
      </c>
      <c r="C605" s="130">
        <f>IFERROR(__xludf.DUMMYFUNCTION("""COMPUTED_VALUE"""),0.7009027777777778)</f>
        <v>0.7009027778</v>
      </c>
      <c r="D605" s="122" t="str">
        <f>IFERROR(__xludf.DUMMYFUNCTION("""COMPUTED_VALUE"""),"IDOL")</f>
        <v>IDOL</v>
      </c>
      <c r="E605" s="122" t="str">
        <f>IFERROR(__xludf.DUMMYFUNCTION("""COMPUTED_VALUE"""),"Idol Agency")</f>
        <v>Idol Agency</v>
      </c>
      <c r="F605" s="122" t="str">
        <f>IFERROR(__xludf.DUMMYFUNCTION("""COMPUTED_VALUE"""),"Entertainment")</f>
        <v>Entertainment</v>
      </c>
    </row>
    <row r="606">
      <c r="A606" s="131">
        <f>IFERROR(__xludf.DUMMYFUNCTION("""COMPUTED_VALUE"""),46186.700902777775)</f>
        <v>46186.7009</v>
      </c>
      <c r="B606" s="126">
        <f>IFERROR(__xludf.DUMMYFUNCTION("""COMPUTED_VALUE"""),46186.0)</f>
        <v>46186</v>
      </c>
      <c r="C606" s="130">
        <f>IFERROR(__xludf.DUMMYFUNCTION("""COMPUTED_VALUE"""),0.7009027777777778)</f>
        <v>0.7009027778</v>
      </c>
      <c r="D606" s="122" t="str">
        <f>IFERROR(__xludf.DUMMYFUNCTION("""COMPUTED_VALUE"""),"MEME")</f>
        <v>MEME</v>
      </c>
      <c r="E606" s="122" t="str">
        <f>IFERROR(__xludf.DUMMYFUNCTION("""COMPUTED_VALUE"""),"Meme Media")</f>
        <v>Meme Media</v>
      </c>
      <c r="F606" s="122" t="str">
        <f>IFERROR(__xludf.DUMMYFUNCTION("""COMPUTED_VALUE"""),"Entertainment")</f>
        <v>Entertainment</v>
      </c>
    </row>
    <row r="607">
      <c r="A607" s="131">
        <f>IFERROR(__xludf.DUMMYFUNCTION("""COMPUTED_VALUE"""),46186.700902777775)</f>
        <v>46186.7009</v>
      </c>
      <c r="B607" s="126">
        <f>IFERROR(__xludf.DUMMYFUNCTION("""COMPUTED_VALUE"""),46186.0)</f>
        <v>46186</v>
      </c>
      <c r="C607" s="130">
        <f>IFERROR(__xludf.DUMMYFUNCTION("""COMPUTED_VALUE"""),0.7009027777777778)</f>
        <v>0.7009027778</v>
      </c>
      <c r="D607" s="122" t="str">
        <f>IFERROR(__xludf.DUMMYFUNCTION("""COMPUTED_VALUE"""),"STRM")</f>
        <v>STRM</v>
      </c>
      <c r="E607" s="122" t="str">
        <f>IFERROR(__xludf.DUMMYFUNCTION("""COMPUTED_VALUE"""),"Streamly")</f>
        <v>Streamly</v>
      </c>
      <c r="F607" s="122" t="str">
        <f>IFERROR(__xludf.DUMMYFUNCTION("""COMPUTED_VALUE"""),"Entertainment")</f>
        <v>Entertainment</v>
      </c>
    </row>
    <row r="608">
      <c r="A608" s="131">
        <f>IFERROR(__xludf.DUMMYFUNCTION("""COMPUTED_VALUE"""),46186.700902777775)</f>
        <v>46186.7009</v>
      </c>
      <c r="B608" s="126">
        <f>IFERROR(__xludf.DUMMYFUNCTION("""COMPUTED_VALUE"""),46186.0)</f>
        <v>46186</v>
      </c>
      <c r="C608" s="130">
        <f>IFERROR(__xludf.DUMMYFUNCTION("""COMPUTED_VALUE"""),0.7009027777777778)</f>
        <v>0.7009027778</v>
      </c>
      <c r="D608" s="122" t="str">
        <f>IFERROR(__xludf.DUMMYFUNCTION("""COMPUTED_VALUE"""),"FARM")</f>
        <v>FARM</v>
      </c>
      <c r="E608" s="122" t="str">
        <f>IFERROR(__xludf.DUMMYFUNCTION("""COMPUTED_VALUE"""),"Future Farms")</f>
        <v>Future Farms</v>
      </c>
      <c r="F608" s="122" t="str">
        <f>IFERROR(__xludf.DUMMYFUNCTION("""COMPUTED_VALUE"""),"Agriculture")</f>
        <v>Agriculture</v>
      </c>
    </row>
    <row r="609">
      <c r="A609" s="131">
        <f>IFERROR(__xludf.DUMMYFUNCTION("""COMPUTED_VALUE"""),46186.700902777775)</f>
        <v>46186.7009</v>
      </c>
      <c r="B609" s="126">
        <f>IFERROR(__xludf.DUMMYFUNCTION("""COMPUTED_VALUE"""),46186.0)</f>
        <v>46186</v>
      </c>
      <c r="C609" s="130">
        <f>IFERROR(__xludf.DUMMYFUNCTION("""COMPUTED_VALUE"""),0.7009027777777778)</f>
        <v>0.7009027778</v>
      </c>
      <c r="D609" s="122" t="str">
        <f>IFERROR(__xludf.DUMMYFUNCTION("""COMPUTED_VALUE"""),"MEAT")</f>
        <v>MEAT</v>
      </c>
      <c r="E609" s="122" t="str">
        <f>IFERROR(__xludf.DUMMYFUNCTION("""COMPUTED_VALUE"""),"MeatWorks")</f>
        <v>MeatWorks</v>
      </c>
      <c r="F609" s="122" t="str">
        <f>IFERROR(__xludf.DUMMYFUNCTION("""COMPUTED_VALUE"""),"Food")</f>
        <v>Food</v>
      </c>
    </row>
    <row r="610">
      <c r="A610" s="131">
        <f>IFERROR(__xludf.DUMMYFUNCTION("""COMPUTED_VALUE"""),46186.700902777775)</f>
        <v>46186.7009</v>
      </c>
      <c r="B610" s="126">
        <f>IFERROR(__xludf.DUMMYFUNCTION("""COMPUTED_VALUE"""),46186.0)</f>
        <v>46186</v>
      </c>
      <c r="C610" s="130">
        <f>IFERROR(__xludf.DUMMYFUNCTION("""COMPUTED_VALUE"""),0.7009027777777778)</f>
        <v>0.7009027778</v>
      </c>
      <c r="D610" s="122" t="str">
        <f>IFERROR(__xludf.DUMMYFUNCTION("""COMPUTED_VALUE"""),"VEGI")</f>
        <v>VEGI</v>
      </c>
      <c r="E610" s="122" t="str">
        <f>IFERROR(__xludf.DUMMYFUNCTION("""COMPUTED_VALUE"""),"Green Basket")</f>
        <v>Green Basket</v>
      </c>
      <c r="F610" s="122" t="str">
        <f>IFERROR(__xludf.DUMMYFUNCTION("""COMPUTED_VALUE"""),"Food")</f>
        <v>Food</v>
      </c>
    </row>
    <row r="611">
      <c r="A611" s="131">
        <f>IFERROR(__xludf.DUMMYFUNCTION("""COMPUTED_VALUE"""),46186.700902777775)</f>
        <v>46186.7009</v>
      </c>
      <c r="B611" s="126">
        <f>IFERROR(__xludf.DUMMYFUNCTION("""COMPUTED_VALUE"""),46186.0)</f>
        <v>46186</v>
      </c>
      <c r="C611" s="130">
        <f>IFERROR(__xludf.DUMMYFUNCTION("""COMPUTED_VALUE"""),0.7009027777777778)</f>
        <v>0.7009027778</v>
      </c>
      <c r="D611" s="122" t="str">
        <f>IFERROR(__xludf.DUMMYFUNCTION("""COMPUTED_VALUE"""),"CAFE")</f>
        <v>CAFE</v>
      </c>
      <c r="E611" s="122" t="str">
        <f>IFERROR(__xludf.DUMMYFUNCTION("""COMPUTED_VALUE"""),"Cafe Cloud")</f>
        <v>Cafe Cloud</v>
      </c>
      <c r="F611" s="122" t="str">
        <f>IFERROR(__xludf.DUMMYFUNCTION("""COMPUTED_VALUE"""),"Food")</f>
        <v>Food</v>
      </c>
    </row>
    <row r="612">
      <c r="A612" s="131">
        <f>IFERROR(__xludf.DUMMYFUNCTION("""COMPUTED_VALUE"""),46186.700902777775)</f>
        <v>46186.7009</v>
      </c>
      <c r="B612" s="126">
        <f>IFERROR(__xludf.DUMMYFUNCTION("""COMPUTED_VALUE"""),46186.0)</f>
        <v>46186</v>
      </c>
      <c r="C612" s="130">
        <f>IFERROR(__xludf.DUMMYFUNCTION("""COMPUTED_VALUE"""),0.7009027777777778)</f>
        <v>0.7009027778</v>
      </c>
      <c r="D612" s="122" t="str">
        <f>IFERROR(__xludf.DUMMYFUNCTION("""COMPUTED_VALUE"""),"BAKE")</f>
        <v>BAKE</v>
      </c>
      <c r="E612" s="122" t="str">
        <f>IFERROR(__xludf.DUMMYFUNCTION("""COMPUTED_VALUE"""),"BakeHouse")</f>
        <v>BakeHouse</v>
      </c>
      <c r="F612" s="122" t="str">
        <f>IFERROR(__xludf.DUMMYFUNCTION("""COMPUTED_VALUE"""),"Food")</f>
        <v>Food</v>
      </c>
    </row>
    <row r="613">
      <c r="A613" s="131">
        <f>IFERROR(__xludf.DUMMYFUNCTION("""COMPUTED_VALUE"""),46186.700902777775)</f>
        <v>46186.7009</v>
      </c>
      <c r="B613" s="126">
        <f>IFERROR(__xludf.DUMMYFUNCTION("""COMPUTED_VALUE"""),46186.0)</f>
        <v>46186</v>
      </c>
      <c r="C613" s="130">
        <f>IFERROR(__xludf.DUMMYFUNCTION("""COMPUTED_VALUE"""),0.7009027777777778)</f>
        <v>0.7009027778</v>
      </c>
      <c r="D613" s="122" t="str">
        <f>IFERROR(__xludf.DUMMYFUNCTION("""COMPUTED_VALUE"""),"OILX")</f>
        <v>OILX</v>
      </c>
      <c r="E613" s="122" t="str">
        <f>IFERROR(__xludf.DUMMYFUNCTION("""COMPUTED_VALUE"""),"OilMax Energy")</f>
        <v>OilMax Energy</v>
      </c>
      <c r="F613" s="122" t="str">
        <f>IFERROR(__xludf.DUMMYFUNCTION("""COMPUTED_VALUE"""),"Energy")</f>
        <v>Energy</v>
      </c>
    </row>
    <row r="614">
      <c r="A614" s="131">
        <f>IFERROR(__xludf.DUMMYFUNCTION("""COMPUTED_VALUE"""),46186.700902777775)</f>
        <v>46186.7009</v>
      </c>
      <c r="B614" s="126">
        <f>IFERROR(__xludf.DUMMYFUNCTION("""COMPUTED_VALUE"""),46186.0)</f>
        <v>46186</v>
      </c>
      <c r="C614" s="130">
        <f>IFERROR(__xludf.DUMMYFUNCTION("""COMPUTED_VALUE"""),0.7009027777777778)</f>
        <v>0.7009027778</v>
      </c>
      <c r="D614" s="122" t="str">
        <f>IFERROR(__xludf.DUMMYFUNCTION("""COMPUTED_VALUE"""),"SOLR")</f>
        <v>SOLR</v>
      </c>
      <c r="E614" s="122" t="str">
        <f>IFERROR(__xludf.DUMMYFUNCTION("""COMPUTED_VALUE"""),"SolarSpark")</f>
        <v>SolarSpark</v>
      </c>
      <c r="F614" s="122" t="str">
        <f>IFERROR(__xludf.DUMMYFUNCTION("""COMPUTED_VALUE"""),"Energy")</f>
        <v>Energy</v>
      </c>
    </row>
    <row r="615">
      <c r="A615" s="131">
        <f>IFERROR(__xludf.DUMMYFUNCTION("""COMPUTED_VALUE"""),46186.700902777775)</f>
        <v>46186.7009</v>
      </c>
      <c r="B615" s="126">
        <f>IFERROR(__xludf.DUMMYFUNCTION("""COMPUTED_VALUE"""),46186.0)</f>
        <v>46186</v>
      </c>
      <c r="C615" s="130">
        <f>IFERROR(__xludf.DUMMYFUNCTION("""COMPUTED_VALUE"""),0.7009027777777778)</f>
        <v>0.7009027778</v>
      </c>
      <c r="D615" s="122" t="str">
        <f>IFERROR(__xludf.DUMMYFUNCTION("""COMPUTED_VALUE"""),"BATT")</f>
        <v>BATT</v>
      </c>
      <c r="E615" s="122" t="str">
        <f>IFERROR(__xludf.DUMMYFUNCTION("""COMPUTED_VALUE"""),"BatteryBox")</f>
        <v>BatteryBox</v>
      </c>
      <c r="F615" s="122" t="str">
        <f>IFERROR(__xludf.DUMMYFUNCTION("""COMPUTED_VALUE"""),"Energy")</f>
        <v>Energy</v>
      </c>
    </row>
    <row r="616">
      <c r="A616" s="131">
        <f>IFERROR(__xludf.DUMMYFUNCTION("""COMPUTED_VALUE"""),46186.700902777775)</f>
        <v>46186.7009</v>
      </c>
      <c r="B616" s="126">
        <f>IFERROR(__xludf.DUMMYFUNCTION("""COMPUTED_VALUE"""),46186.0)</f>
        <v>46186</v>
      </c>
      <c r="C616" s="130">
        <f>IFERROR(__xludf.DUMMYFUNCTION("""COMPUTED_VALUE"""),0.7009027777777778)</f>
        <v>0.7009027778</v>
      </c>
      <c r="D616" s="122" t="str">
        <f>IFERROR(__xludf.DUMMYFUNCTION("""COMPUTED_VALUE"""),"WIND")</f>
        <v>WIND</v>
      </c>
      <c r="E616" s="122" t="str">
        <f>IFERROR(__xludf.DUMMYFUNCTION("""COMPUTED_VALUE"""),"WindWorks")</f>
        <v>WindWorks</v>
      </c>
      <c r="F616" s="122" t="str">
        <f>IFERROR(__xludf.DUMMYFUNCTION("""COMPUTED_VALUE"""),"Energy")</f>
        <v>Energy</v>
      </c>
    </row>
    <row r="617">
      <c r="A617" s="131">
        <f>IFERROR(__xludf.DUMMYFUNCTION("""COMPUTED_VALUE"""),46186.700902777775)</f>
        <v>46186.7009</v>
      </c>
      <c r="B617" s="126">
        <f>IFERROR(__xludf.DUMMYFUNCTION("""COMPUTED_VALUE"""),46186.0)</f>
        <v>46186</v>
      </c>
      <c r="C617" s="130">
        <f>IFERROR(__xludf.DUMMYFUNCTION("""COMPUTED_VALUE"""),0.7009027777777778)</f>
        <v>0.7009027778</v>
      </c>
      <c r="D617" s="122" t="str">
        <f>IFERROR(__xludf.DUMMYFUNCTION("""COMPUTED_VALUE"""),"GRID")</f>
        <v>GRID</v>
      </c>
      <c r="E617" s="122" t="str">
        <f>IFERROR(__xludf.DUMMYFUNCTION("""COMPUTED_VALUE"""),"GridPower")</f>
        <v>GridPower</v>
      </c>
      <c r="F617" s="122" t="str">
        <f>IFERROR(__xludf.DUMMYFUNCTION("""COMPUTED_VALUE"""),"Energy")</f>
        <v>Energy</v>
      </c>
    </row>
    <row r="618">
      <c r="A618" s="131">
        <f>IFERROR(__xludf.DUMMYFUNCTION("""COMPUTED_VALUE"""),46186.700902777775)</f>
        <v>46186.7009</v>
      </c>
      <c r="B618" s="126">
        <f>IFERROR(__xludf.DUMMYFUNCTION("""COMPUTED_VALUE"""),46186.0)</f>
        <v>46186</v>
      </c>
      <c r="C618" s="130">
        <f>IFERROR(__xludf.DUMMYFUNCTION("""COMPUTED_VALUE"""),0.7009027777777778)</f>
        <v>0.7009027778</v>
      </c>
      <c r="D618" s="122" t="str">
        <f>IFERROR(__xludf.DUMMYFUNCTION("""COMPUTED_VALUE"""),"HOME")</f>
        <v>HOME</v>
      </c>
      <c r="E618" s="122" t="str">
        <f>IFERROR(__xludf.DUMMYFUNCTION("""COMPUTED_VALUE"""),"HomeHub")</f>
        <v>HomeHub</v>
      </c>
      <c r="F618" s="122" t="str">
        <f>IFERROR(__xludf.DUMMYFUNCTION("""COMPUTED_VALUE"""),"Real Estate")</f>
        <v>Real Estate</v>
      </c>
    </row>
    <row r="619">
      <c r="A619" s="131">
        <f>IFERROR(__xludf.DUMMYFUNCTION("""COMPUTED_VALUE"""),46186.700902777775)</f>
        <v>46186.7009</v>
      </c>
      <c r="B619" s="126">
        <f>IFERROR(__xludf.DUMMYFUNCTION("""COMPUTED_VALUE"""),46186.0)</f>
        <v>46186</v>
      </c>
      <c r="C619" s="130">
        <f>IFERROR(__xludf.DUMMYFUNCTION("""COMPUTED_VALUE"""),0.7009027777777778)</f>
        <v>0.7009027778</v>
      </c>
      <c r="D619" s="122" t="str">
        <f>IFERROR(__xludf.DUMMYFUNCTION("""COMPUTED_VALUE"""),"RENT")</f>
        <v>RENT</v>
      </c>
      <c r="E619" s="122" t="str">
        <f>IFERROR(__xludf.DUMMYFUNCTION("""COMPUTED_VALUE"""),"RentRight")</f>
        <v>RentRight</v>
      </c>
      <c r="F619" s="122" t="str">
        <f>IFERROR(__xludf.DUMMYFUNCTION("""COMPUTED_VALUE"""),"Real Estate")</f>
        <v>Real Estate</v>
      </c>
    </row>
    <row r="620">
      <c r="A620" s="131">
        <f>IFERROR(__xludf.DUMMYFUNCTION("""COMPUTED_VALUE"""),46186.700902777775)</f>
        <v>46186.7009</v>
      </c>
      <c r="B620" s="126">
        <f>IFERROR(__xludf.DUMMYFUNCTION("""COMPUTED_VALUE"""),46186.0)</f>
        <v>46186</v>
      </c>
      <c r="C620" s="130">
        <f>IFERROR(__xludf.DUMMYFUNCTION("""COMPUTED_VALUE"""),0.7009027777777778)</f>
        <v>0.7009027778</v>
      </c>
      <c r="D620" s="122" t="str">
        <f>IFERROR(__xludf.DUMMYFUNCTION("""COMPUTED_VALUE"""),"MALL")</f>
        <v>MALL</v>
      </c>
      <c r="E620" s="122" t="str">
        <f>IFERROR(__xludf.DUMMYFUNCTION("""COMPUTED_VALUE"""),"MegaMall")</f>
        <v>MegaMall</v>
      </c>
      <c r="F620" s="122" t="str">
        <f>IFERROR(__xludf.DUMMYFUNCTION("""COMPUTED_VALUE"""),"Real Estate")</f>
        <v>Real Estate</v>
      </c>
    </row>
    <row r="621">
      <c r="A621" s="131">
        <f>IFERROR(__xludf.DUMMYFUNCTION("""COMPUTED_VALUE"""),46186.700902777775)</f>
        <v>46186.7009</v>
      </c>
      <c r="B621" s="126">
        <f>IFERROR(__xludf.DUMMYFUNCTION("""COMPUTED_VALUE"""),46186.0)</f>
        <v>46186</v>
      </c>
      <c r="C621" s="130">
        <f>IFERROR(__xludf.DUMMYFUNCTION("""COMPUTED_VALUE"""),0.7009027777777778)</f>
        <v>0.7009027778</v>
      </c>
      <c r="D621" s="122" t="str">
        <f>IFERROR(__xludf.DUMMYFUNCTION("""COMPUTED_VALUE"""),"HOTL")</f>
        <v>HOTL</v>
      </c>
      <c r="E621" s="122" t="str">
        <f>IFERROR(__xludf.DUMMYFUNCTION("""COMPUTED_VALUE"""),"HotelHive")</f>
        <v>HotelHive</v>
      </c>
      <c r="F621" s="122" t="str">
        <f>IFERROR(__xludf.DUMMYFUNCTION("""COMPUTED_VALUE"""),"Real Estate")</f>
        <v>Real Estate</v>
      </c>
    </row>
    <row r="622">
      <c r="A622" s="131">
        <f>IFERROR(__xludf.DUMMYFUNCTION("""COMPUTED_VALUE"""),46186.700902777775)</f>
        <v>46186.7009</v>
      </c>
      <c r="B622" s="126">
        <f>IFERROR(__xludf.DUMMYFUNCTION("""COMPUTED_VALUE"""),46186.0)</f>
        <v>46186</v>
      </c>
      <c r="C622" s="130">
        <f>IFERROR(__xludf.DUMMYFUNCTION("""COMPUTED_VALUE"""),0.7009027777777778)</f>
        <v>0.7009027778</v>
      </c>
      <c r="D622" s="122" t="str">
        <f>IFERROR(__xludf.DUMMYFUNCTION("""COMPUTED_VALUE"""),"LAND")</f>
        <v>LAND</v>
      </c>
      <c r="E622" s="122" t="str">
        <f>IFERROR(__xludf.DUMMYFUNCTION("""COMPUTED_VALUE"""),"LandLink")</f>
        <v>LandLink</v>
      </c>
      <c r="F622" s="122" t="str">
        <f>IFERROR(__xludf.DUMMYFUNCTION("""COMPUTED_VALUE"""),"Real Estate")</f>
        <v>Real Estate</v>
      </c>
    </row>
    <row r="623">
      <c r="A623" s="131">
        <f>IFERROR(__xludf.DUMMYFUNCTION("""COMPUTED_VALUE"""),46186.700902777775)</f>
        <v>46186.7009</v>
      </c>
      <c r="B623" s="126">
        <f>IFERROR(__xludf.DUMMYFUNCTION("""COMPUTED_VALUE"""),46186.0)</f>
        <v>46186</v>
      </c>
      <c r="C623" s="130">
        <f>IFERROR(__xludf.DUMMYFUNCTION("""COMPUTED_VALUE"""),0.7009027777777778)</f>
        <v>0.7009027778</v>
      </c>
      <c r="D623" s="122" t="str">
        <f>IFERROR(__xludf.DUMMYFUNCTION("""COMPUTED_VALUE"""),"CARS")</f>
        <v>CARS</v>
      </c>
      <c r="E623" s="122" t="str">
        <f>IFERROR(__xludf.DUMMYFUNCTION("""COMPUTED_VALUE"""),"AutoArena")</f>
        <v>AutoArena</v>
      </c>
      <c r="F623" s="122" t="str">
        <f>IFERROR(__xludf.DUMMYFUNCTION("""COMPUTED_VALUE"""),"Automotive")</f>
        <v>Automotive</v>
      </c>
    </row>
    <row r="624">
      <c r="A624" s="131">
        <f>IFERROR(__xludf.DUMMYFUNCTION("""COMPUTED_VALUE"""),46186.700902777775)</f>
        <v>46186.7009</v>
      </c>
      <c r="B624" s="126">
        <f>IFERROR(__xludf.DUMMYFUNCTION("""COMPUTED_VALUE"""),46186.0)</f>
        <v>46186</v>
      </c>
      <c r="C624" s="130">
        <f>IFERROR(__xludf.DUMMYFUNCTION("""COMPUTED_VALUE"""),0.7009027777777778)</f>
        <v>0.7009027778</v>
      </c>
      <c r="D624" s="122" t="str">
        <f>IFERROR(__xludf.DUMMYFUNCTION("""COMPUTED_VALUE"""),"EVGO")</f>
        <v>EVGO</v>
      </c>
      <c r="E624" s="122" t="str">
        <f>IFERROR(__xludf.DUMMYFUNCTION("""COMPUTED_VALUE"""),"EVGo Motors")</f>
        <v>EVGo Motors</v>
      </c>
      <c r="F624" s="122" t="str">
        <f>IFERROR(__xludf.DUMMYFUNCTION("""COMPUTED_VALUE"""),"Automotive")</f>
        <v>Automotive</v>
      </c>
    </row>
    <row r="625">
      <c r="A625" s="131">
        <f>IFERROR(__xludf.DUMMYFUNCTION("""COMPUTED_VALUE"""),46186.700902777775)</f>
        <v>46186.7009</v>
      </c>
      <c r="B625" s="126">
        <f>IFERROR(__xludf.DUMMYFUNCTION("""COMPUTED_VALUE"""),46186.0)</f>
        <v>46186</v>
      </c>
      <c r="C625" s="130">
        <f>IFERROR(__xludf.DUMMYFUNCTION("""COMPUTED_VALUE"""),0.7009027777777778)</f>
        <v>0.7009027778</v>
      </c>
      <c r="D625" s="122" t="str">
        <f>IFERROR(__xludf.DUMMYFUNCTION("""COMPUTED_VALUE"""),"TIRE")</f>
        <v>TIRE</v>
      </c>
      <c r="E625" s="122" t="str">
        <f>IFERROR(__xludf.DUMMYFUNCTION("""COMPUTED_VALUE"""),"TireTown")</f>
        <v>TireTown</v>
      </c>
      <c r="F625" s="122" t="str">
        <f>IFERROR(__xludf.DUMMYFUNCTION("""COMPUTED_VALUE"""),"Automotive")</f>
        <v>Automotive</v>
      </c>
    </row>
    <row r="626">
      <c r="A626" s="131">
        <f>IFERROR(__xludf.DUMMYFUNCTION("""COMPUTED_VALUE"""),46186.700902777775)</f>
        <v>46186.7009</v>
      </c>
      <c r="B626" s="126">
        <f>IFERROR(__xludf.DUMMYFUNCTION("""COMPUTED_VALUE"""),46186.0)</f>
        <v>46186</v>
      </c>
      <c r="C626" s="130">
        <f>IFERROR(__xludf.DUMMYFUNCTION("""COMPUTED_VALUE"""),0.7009027777777778)</f>
        <v>0.7009027778</v>
      </c>
      <c r="D626" s="122" t="str">
        <f>IFERROR(__xludf.DUMMYFUNCTION("""COMPUTED_VALUE"""),"BIKE")</f>
        <v>BIKE</v>
      </c>
      <c r="E626" s="122" t="str">
        <f>IFERROR(__xludf.DUMMYFUNCTION("""COMPUTED_VALUE"""),"BikeBox")</f>
        <v>BikeBox</v>
      </c>
      <c r="F626" s="122" t="str">
        <f>IFERROR(__xludf.DUMMYFUNCTION("""COMPUTED_VALUE"""),"Automotive")</f>
        <v>Automotive</v>
      </c>
    </row>
    <row r="627">
      <c r="A627" s="131">
        <f>IFERROR(__xludf.DUMMYFUNCTION("""COMPUTED_VALUE"""),46186.700902777775)</f>
        <v>46186.7009</v>
      </c>
      <c r="B627" s="126">
        <f>IFERROR(__xludf.DUMMYFUNCTION("""COMPUTED_VALUE"""),46186.0)</f>
        <v>46186</v>
      </c>
      <c r="C627" s="130">
        <f>IFERROR(__xludf.DUMMYFUNCTION("""COMPUTED_VALUE"""),0.7009027777777778)</f>
        <v>0.7009027778</v>
      </c>
      <c r="D627" s="122" t="str">
        <f>IFERROR(__xludf.DUMMYFUNCTION("""COMPUTED_VALUE"""),"WASH")</f>
        <v>WASH</v>
      </c>
      <c r="E627" s="122" t="str">
        <f>IFERROR(__xludf.DUMMYFUNCTION("""COMPUTED_VALUE"""),"CarWash Co")</f>
        <v>CarWash Co</v>
      </c>
      <c r="F627" s="122" t="str">
        <f>IFERROR(__xludf.DUMMYFUNCTION("""COMPUTED_VALUE"""),"Automotive")</f>
        <v>Automotive</v>
      </c>
    </row>
    <row r="628">
      <c r="A628" s="131">
        <f>IFERROR(__xludf.DUMMYFUNCTION("""COMPUTED_VALUE"""),46186.700902777775)</f>
        <v>46186.7009</v>
      </c>
      <c r="B628" s="126">
        <f>IFERROR(__xludf.DUMMYFUNCTION("""COMPUTED_VALUE"""),46186.0)</f>
        <v>46186</v>
      </c>
      <c r="C628" s="130">
        <f>IFERROR(__xludf.DUMMYFUNCTION("""COMPUTED_VALUE"""),0.7009027777777778)</f>
        <v>0.7009027778</v>
      </c>
      <c r="D628" s="122" t="str">
        <f>IFERROR(__xludf.DUMMYFUNCTION("""COMPUTED_VALUE"""),"GBND")</f>
        <v>GBND</v>
      </c>
      <c r="E628" s="122" t="str">
        <f>IFERROR(__xludf.DUMMYFUNCTION("""COMPUTED_VALUE"""),"Classroom Government Bond")</f>
        <v>Classroom Government Bond</v>
      </c>
      <c r="F628" s="122" t="str">
        <f>IFERROR(__xludf.DUMMYFUNCTION("""COMPUTED_VALUE"""),"Bond")</f>
        <v>Bond</v>
      </c>
    </row>
    <row r="629">
      <c r="A629" s="131">
        <f>IFERROR(__xludf.DUMMYFUNCTION("""COMPUTED_VALUE"""),46186.700902777775)</f>
        <v>46186.7009</v>
      </c>
      <c r="B629" s="126">
        <f>IFERROR(__xludf.DUMMYFUNCTION("""COMPUTED_VALUE"""),46186.0)</f>
        <v>46186</v>
      </c>
      <c r="C629" s="130">
        <f>IFERROR(__xludf.DUMMYFUNCTION("""COMPUTED_VALUE"""),0.7009027777777778)</f>
        <v>0.7009027778</v>
      </c>
      <c r="D629" s="122" t="str">
        <f>IFERROR(__xludf.DUMMYFUNCTION("""COMPUTED_VALUE"""),"SBND")</f>
        <v>SBND</v>
      </c>
      <c r="E629" s="122" t="str">
        <f>IFERROR(__xludf.DUMMYFUNCTION("""COMPUTED_VALUE"""),"School Savings Bond")</f>
        <v>School Savings Bond</v>
      </c>
      <c r="F629" s="122" t="str">
        <f>IFERROR(__xludf.DUMMYFUNCTION("""COMPUTED_VALUE"""),"Bond")</f>
        <v>Bond</v>
      </c>
    </row>
    <row r="630">
      <c r="A630" s="131">
        <f>IFERROR(__xludf.DUMMYFUNCTION("""COMPUTED_VALUE"""),46186.700902777775)</f>
        <v>46186.7009</v>
      </c>
      <c r="B630" s="126">
        <f>IFERROR(__xludf.DUMMYFUNCTION("""COMPUTED_VALUE"""),46186.0)</f>
        <v>46186</v>
      </c>
      <c r="C630" s="130">
        <f>IFERROR(__xludf.DUMMYFUNCTION("""COMPUTED_VALUE"""),0.7009027777777778)</f>
        <v>0.7009027778</v>
      </c>
      <c r="D630" s="122" t="str">
        <f>IFERROR(__xludf.DUMMYFUNCTION("""COMPUTED_VALUE"""),"CBND")</f>
        <v>CBND</v>
      </c>
      <c r="E630" s="122" t="str">
        <f>IFERROR(__xludf.DUMMYFUNCTION("""COMPUTED_VALUE"""),"Corporate Classroom Bond")</f>
        <v>Corporate Classroom Bond</v>
      </c>
      <c r="F630" s="122" t="str">
        <f>IFERROR(__xludf.DUMMYFUNCTION("""COMPUTED_VALUE"""),"Bond")</f>
        <v>Bond</v>
      </c>
    </row>
    <row r="631">
      <c r="A631" s="131">
        <f>IFERROR(__xludf.DUMMYFUNCTION("""COMPUTED_VALUE"""),46186.700902777775)</f>
        <v>46186.7009</v>
      </c>
      <c r="B631" s="126">
        <f>IFERROR(__xludf.DUMMYFUNCTION("""COMPUTED_VALUE"""),46186.0)</f>
        <v>46186</v>
      </c>
      <c r="C631" s="130">
        <f>IFERROR(__xludf.DUMMYFUNCTION("""COMPUTED_VALUE"""),0.7009027777777778)</f>
        <v>0.7009027778</v>
      </c>
      <c r="D631" s="122" t="str">
        <f>IFERROR(__xludf.DUMMYFUNCTION("""COMPUTED_VALUE"""),"TBIL")</f>
        <v>TBIL</v>
      </c>
      <c r="E631" s="122" t="str">
        <f>IFERROR(__xludf.DUMMYFUNCTION("""COMPUTED_VALUE"""),"Treasury Bill")</f>
        <v>Treasury Bill</v>
      </c>
      <c r="F631" s="122" t="str">
        <f>IFERROR(__xludf.DUMMYFUNCTION("""COMPUTED_VALUE"""),"Bond")</f>
        <v>Bond</v>
      </c>
    </row>
    <row r="632">
      <c r="A632" s="131">
        <f>IFERROR(__xludf.DUMMYFUNCTION("""COMPUTED_VALUE"""),46186.700902777775)</f>
        <v>46186.7009</v>
      </c>
      <c r="B632" s="126">
        <f>IFERROR(__xludf.DUMMYFUNCTION("""COMPUTED_VALUE"""),46186.0)</f>
        <v>46186</v>
      </c>
      <c r="C632" s="130">
        <f>IFERROR(__xludf.DUMMYFUNCTION("""COMPUTED_VALUE"""),0.7009027777777778)</f>
        <v>0.7009027778</v>
      </c>
      <c r="D632" s="122" t="str">
        <f>IFERROR(__xludf.DUMMYFUNCTION("""COMPUTED_VALUE"""),"IBND")</f>
        <v>IBND</v>
      </c>
      <c r="E632" s="122" t="str">
        <f>IFERROR(__xludf.DUMMYFUNCTION("""COMPUTED_VALUE"""),"Inflation Protected Bond")</f>
        <v>Inflation Protected Bond</v>
      </c>
      <c r="F632" s="122" t="str">
        <f>IFERROR(__xludf.DUMMYFUNCTION("""COMPUTED_VALUE"""),"Bond")</f>
        <v>Bond</v>
      </c>
    </row>
    <row r="633">
      <c r="A633" s="131">
        <f>IFERROR(__xludf.DUMMYFUNCTION("""COMPUTED_VALUE"""),46186.70295138889)</f>
        <v>46186.70295</v>
      </c>
      <c r="B633" s="126">
        <f>IFERROR(__xludf.DUMMYFUNCTION("""COMPUTED_VALUE"""),46186.0)</f>
        <v>46186</v>
      </c>
      <c r="C633" s="122" t="str">
        <f>IFERROR(__xludf.DUMMYFUNCTION("""COMPUTED_VALUE"""),"SNAX")</f>
        <v>SNAX</v>
      </c>
      <c r="D633" s="122" t="str">
        <f>IFERROR(__xludf.DUMMYFUNCTION("""COMPUTED_VALUE"""),"MICA Snacks")</f>
        <v>MICA Snacks</v>
      </c>
      <c r="E633" s="122">
        <f>IFERROR(__xludf.DUMMYFUNCTION("""COMPUTED_VALUE"""),125.0)</f>
        <v>125</v>
      </c>
      <c r="F633" s="122">
        <f>IFERROR(__xludf.DUMMYFUNCTION("""COMPUTED_VALUE"""),0.0035)</f>
        <v>0.0035</v>
      </c>
    </row>
    <row r="634">
      <c r="A634" s="131">
        <f>IFERROR(__xludf.DUMMYFUNCTION("""COMPUTED_VALUE"""),46186.70295138889)</f>
        <v>46186.70295</v>
      </c>
      <c r="B634" s="126">
        <f>IFERROR(__xludf.DUMMYFUNCTION("""COMPUTED_VALUE"""),46186.0)</f>
        <v>46186</v>
      </c>
      <c r="C634" s="122" t="str">
        <f>IFERROR(__xludf.DUMMYFUNCTION("""COMPUTED_VALUE"""),"RAMN")</f>
        <v>RAMN</v>
      </c>
      <c r="D634" s="122" t="str">
        <f>IFERROR(__xludf.DUMMYFUNCTION("""COMPUTED_VALUE"""),"Ramen Republic")</f>
        <v>Ramen Republic</v>
      </c>
      <c r="E634" s="122">
        <f>IFERROR(__xludf.DUMMYFUNCTION("""COMPUTED_VALUE"""),79.05)</f>
        <v>79.05</v>
      </c>
      <c r="F634" s="122">
        <f>IFERROR(__xludf.DUMMYFUNCTION("""COMPUTED_VALUE"""),0.0014)</f>
        <v>0.0014</v>
      </c>
    </row>
    <row r="635">
      <c r="A635" s="131">
        <f>IFERROR(__xludf.DUMMYFUNCTION("""COMPUTED_VALUE"""),46186.70295138889)</f>
        <v>46186.70295</v>
      </c>
      <c r="B635" s="126">
        <f>IFERROR(__xludf.DUMMYFUNCTION("""COMPUTED_VALUE"""),46186.0)</f>
        <v>46186</v>
      </c>
      <c r="C635" s="122" t="str">
        <f>IFERROR(__xludf.DUMMYFUNCTION("""COMPUTED_VALUE"""),"COLA")</f>
        <v>COLA</v>
      </c>
      <c r="D635" s="122" t="str">
        <f>IFERROR(__xludf.DUMMYFUNCTION("""COMPUTED_VALUE"""),"K-Pop Cola")</f>
        <v>K-Pop Cola</v>
      </c>
      <c r="E635" s="122">
        <f>IFERROR(__xludf.DUMMYFUNCTION("""COMPUTED_VALUE"""),104.01)</f>
        <v>104.01</v>
      </c>
      <c r="F635" s="122">
        <f>IFERROR(__xludf.DUMMYFUNCTION("""COMPUTED_VALUE"""),-4.0E-4)</f>
        <v>-0.0004</v>
      </c>
    </row>
    <row r="636">
      <c r="A636" s="131">
        <f>IFERROR(__xludf.DUMMYFUNCTION("""COMPUTED_VALUE"""),46186.70295138889)</f>
        <v>46186.70295</v>
      </c>
      <c r="B636" s="126">
        <f>IFERROR(__xludf.DUMMYFUNCTION("""COMPUTED_VALUE"""),46186.0)</f>
        <v>46186</v>
      </c>
      <c r="C636" s="122" t="str">
        <f>IFERROR(__xludf.DUMMYFUNCTION("""COMPUTED_VALUE"""),"CHIP")</f>
        <v>CHIP</v>
      </c>
      <c r="D636" s="122" t="str">
        <f>IFERROR(__xludf.DUMMYFUNCTION("""COMPUTED_VALUE"""),"Chip Empire")</f>
        <v>Chip Empire</v>
      </c>
      <c r="E636" s="122">
        <f>IFERROR(__xludf.DUMMYFUNCTION("""COMPUTED_VALUE"""),87.52)</f>
        <v>87.52</v>
      </c>
      <c r="F636" s="122">
        <f>IFERROR(__xludf.DUMMYFUNCTION("""COMPUTED_VALUE"""),-0.0059)</f>
        <v>-0.0059</v>
      </c>
    </row>
    <row r="637">
      <c r="A637" s="131">
        <f>IFERROR(__xludf.DUMMYFUNCTION("""COMPUTED_VALUE"""),46186.70295138889)</f>
        <v>46186.70295</v>
      </c>
      <c r="B637" s="126">
        <f>IFERROR(__xludf.DUMMYFUNCTION("""COMPUTED_VALUE"""),46186.0)</f>
        <v>46186</v>
      </c>
      <c r="C637" s="122" t="str">
        <f>IFERROR(__xludf.DUMMYFUNCTION("""COMPUTED_VALUE"""),"CAND")</f>
        <v>CAND</v>
      </c>
      <c r="D637" s="122" t="str">
        <f>IFERROR(__xludf.DUMMYFUNCTION("""COMPUTED_VALUE"""),"Candy Capital")</f>
        <v>Candy Capital</v>
      </c>
      <c r="E637" s="122">
        <f>IFERROR(__xludf.DUMMYFUNCTION("""COMPUTED_VALUE"""),77.14)</f>
        <v>77.14</v>
      </c>
      <c r="F637" s="122">
        <f>IFERROR(__xludf.DUMMYFUNCTION("""COMPUTED_VALUE"""),-0.0016)</f>
        <v>-0.0016</v>
      </c>
    </row>
    <row r="638">
      <c r="A638" s="131">
        <f>IFERROR(__xludf.DUMMYFUNCTION("""COMPUTED_VALUE"""),46186.70295138889)</f>
        <v>46186.70295</v>
      </c>
      <c r="B638" s="126">
        <f>IFERROR(__xludf.DUMMYFUNCTION("""COMPUTED_VALUE"""),46186.0)</f>
        <v>46186</v>
      </c>
      <c r="C638" s="122" t="str">
        <f>IFERROR(__xludf.DUMMYFUNCTION("""COMPUTED_VALUE"""),"TECH")</f>
        <v>TECH</v>
      </c>
      <c r="D638" s="122" t="str">
        <f>IFERROR(__xludf.DUMMYFUNCTION("""COMPUTED_VALUE"""),"Dragon Tech")</f>
        <v>Dragon Tech</v>
      </c>
      <c r="E638" s="122">
        <f>IFERROR(__xludf.DUMMYFUNCTION("""COMPUTED_VALUE"""),248.65)</f>
        <v>248.65</v>
      </c>
      <c r="F638" s="122">
        <f>IFERROR(__xludf.DUMMYFUNCTION("""COMPUTED_VALUE"""),0.009)</f>
        <v>0.009</v>
      </c>
    </row>
    <row r="639">
      <c r="A639" s="131">
        <f>IFERROR(__xludf.DUMMYFUNCTION("""COMPUTED_VALUE"""),46186.70295138889)</f>
        <v>46186.70295</v>
      </c>
      <c r="B639" s="126">
        <f>IFERROR(__xludf.DUMMYFUNCTION("""COMPUTED_VALUE"""),46186.0)</f>
        <v>46186</v>
      </c>
      <c r="C639" s="122" t="str">
        <f>IFERROR(__xludf.DUMMYFUNCTION("""COMPUTED_VALUE"""),"AIBO")</f>
        <v>AIBO</v>
      </c>
      <c r="D639" s="122" t="str">
        <f>IFERROR(__xludf.DUMMYFUNCTION("""COMPUTED_VALUE"""),"Homework AI")</f>
        <v>Homework AI</v>
      </c>
      <c r="E639" s="122">
        <f>IFERROR(__xludf.DUMMYFUNCTION("""COMPUTED_VALUE"""),175.98)</f>
        <v>175.98</v>
      </c>
      <c r="F639" s="122">
        <f>IFERROR(__xludf.DUMMYFUNCTION("""COMPUTED_VALUE"""),-0.0014)</f>
        <v>-0.0014</v>
      </c>
    </row>
    <row r="640">
      <c r="A640" s="131">
        <f>IFERROR(__xludf.DUMMYFUNCTION("""COMPUTED_VALUE"""),46186.70295138889)</f>
        <v>46186.70295</v>
      </c>
      <c r="B640" s="126">
        <f>IFERROR(__xludf.DUMMYFUNCTION("""COMPUTED_VALUE"""),46186.0)</f>
        <v>46186</v>
      </c>
      <c r="C640" s="122" t="str">
        <f>IFERROR(__xludf.DUMMYFUNCTION("""COMPUTED_VALUE"""),"GAME")</f>
        <v>GAME</v>
      </c>
      <c r="D640" s="122" t="str">
        <f>IFERROR(__xludf.DUMMYFUNCTION("""COMPUTED_VALUE"""),"GameBox Media")</f>
        <v>GameBox Media</v>
      </c>
      <c r="E640" s="122">
        <f>IFERROR(__xludf.DUMMYFUNCTION("""COMPUTED_VALUE"""),89.15)</f>
        <v>89.15</v>
      </c>
      <c r="F640" s="122">
        <f>IFERROR(__xludf.DUMMYFUNCTION("""COMPUTED_VALUE"""),0.0072)</f>
        <v>0.0072</v>
      </c>
    </row>
    <row r="641">
      <c r="A641" s="131">
        <f>IFERROR(__xludf.DUMMYFUNCTION("""COMPUTED_VALUE"""),46186.70295138889)</f>
        <v>46186.70295</v>
      </c>
      <c r="B641" s="126">
        <f>IFERROR(__xludf.DUMMYFUNCTION("""COMPUTED_VALUE"""),46186.0)</f>
        <v>46186</v>
      </c>
      <c r="C641" s="122" t="str">
        <f>IFERROR(__xludf.DUMMYFUNCTION("""COMPUTED_VALUE"""),"VRSE")</f>
        <v>VRSE</v>
      </c>
      <c r="D641" s="122" t="str">
        <f>IFERROR(__xludf.DUMMYFUNCTION("""COMPUTED_VALUE"""),"VerseVR")</f>
        <v>VerseVR</v>
      </c>
      <c r="E641" s="122">
        <f>IFERROR(__xludf.DUMMYFUNCTION("""COMPUTED_VALUE"""),151.7)</f>
        <v>151.7</v>
      </c>
      <c r="F641" s="122">
        <f>IFERROR(__xludf.DUMMYFUNCTION("""COMPUTED_VALUE"""),-0.0081)</f>
        <v>-0.0081</v>
      </c>
    </row>
    <row r="642">
      <c r="A642" s="131">
        <f>IFERROR(__xludf.DUMMYFUNCTION("""COMPUTED_VALUE"""),46186.70295138889)</f>
        <v>46186.70295</v>
      </c>
      <c r="B642" s="126">
        <f>IFERROR(__xludf.DUMMYFUNCTION("""COMPUTED_VALUE"""),46186.0)</f>
        <v>46186</v>
      </c>
      <c r="C642" s="122" t="str">
        <f>IFERROR(__xludf.DUMMYFUNCTION("""COMPUTED_VALUE"""),"BYTE")</f>
        <v>BYTE</v>
      </c>
      <c r="D642" s="122" t="str">
        <f>IFERROR(__xludf.DUMMYFUNCTION("""COMPUTED_VALUE"""),"ByteWorks")</f>
        <v>ByteWorks</v>
      </c>
      <c r="E642" s="122">
        <f>IFERROR(__xludf.DUMMYFUNCTION("""COMPUTED_VALUE"""),110.54)</f>
        <v>110.54</v>
      </c>
      <c r="F642" s="122">
        <f>IFERROR(__xludf.DUMMYFUNCTION("""COMPUTED_VALUE"""),2.0E-4)</f>
        <v>0.0002</v>
      </c>
    </row>
    <row r="643">
      <c r="A643" s="131">
        <f>IFERROR(__xludf.DUMMYFUNCTION("""COMPUTED_VALUE"""),46186.70295138889)</f>
        <v>46186.70295</v>
      </c>
      <c r="B643" s="126">
        <f>IFERROR(__xludf.DUMMYFUNCTION("""COMPUTED_VALUE"""),46186.0)</f>
        <v>46186</v>
      </c>
      <c r="C643" s="122" t="str">
        <f>IFERROR(__xludf.DUMMYFUNCTION("""COMPUTED_VALUE"""),"BANK")</f>
        <v>BANK</v>
      </c>
      <c r="D643" s="122" t="str">
        <f>IFERROR(__xludf.DUMMYFUNCTION("""COMPUTED_VALUE"""),"Tiger Bank")</f>
        <v>Tiger Bank</v>
      </c>
      <c r="E643" s="122">
        <f>IFERROR(__xludf.DUMMYFUNCTION("""COMPUTED_VALUE"""),122.23)</f>
        <v>122.23</v>
      </c>
      <c r="F643" s="122">
        <f>IFERROR(__xludf.DUMMYFUNCTION("""COMPUTED_VALUE"""),-0.003)</f>
        <v>-0.003</v>
      </c>
    </row>
    <row r="644">
      <c r="A644" s="131">
        <f>IFERROR(__xludf.DUMMYFUNCTION("""COMPUTED_VALUE"""),46186.70295138889)</f>
        <v>46186.70295</v>
      </c>
      <c r="B644" s="126">
        <f>IFERROR(__xludf.DUMMYFUNCTION("""COMPUTED_VALUE"""),46186.0)</f>
        <v>46186</v>
      </c>
      <c r="C644" s="122" t="str">
        <f>IFERROR(__xludf.DUMMYFUNCTION("""COMPUTED_VALUE"""),"CRED")</f>
        <v>CRED</v>
      </c>
      <c r="D644" s="122" t="str">
        <f>IFERROR(__xludf.DUMMYFUNCTION("""COMPUTED_VALUE"""),"Credit Castle")</f>
        <v>Credit Castle</v>
      </c>
      <c r="E644" s="122">
        <f>IFERROR(__xludf.DUMMYFUNCTION("""COMPUTED_VALUE"""),68.56)</f>
        <v>68.56</v>
      </c>
      <c r="F644" s="122">
        <f>IFERROR(__xludf.DUMMYFUNCTION("""COMPUTED_VALUE"""),-0.0029)</f>
        <v>-0.0029</v>
      </c>
    </row>
    <row r="645">
      <c r="A645" s="131">
        <f>IFERROR(__xludf.DUMMYFUNCTION("""COMPUTED_VALUE"""),46186.70295138889)</f>
        <v>46186.70295</v>
      </c>
      <c r="B645" s="126">
        <f>IFERROR(__xludf.DUMMYFUNCTION("""COMPUTED_VALUE"""),46186.0)</f>
        <v>46186</v>
      </c>
      <c r="C645" s="122" t="str">
        <f>IFERROR(__xludf.DUMMYFUNCTION("""COMPUTED_VALUE"""),"BOND")</f>
        <v>BOND</v>
      </c>
      <c r="D645" s="122" t="str">
        <f>IFERROR(__xludf.DUMMYFUNCTION("""COMPUTED_VALUE"""),"BondBridge")</f>
        <v>BondBridge</v>
      </c>
      <c r="E645" s="122">
        <f>IFERROR(__xludf.DUMMYFUNCTION("""COMPUTED_VALUE"""),94.77)</f>
        <v>94.77</v>
      </c>
      <c r="F645" s="122">
        <f>IFERROR(__xludf.DUMMYFUNCTION("""COMPUTED_VALUE"""),0.002)</f>
        <v>0.002</v>
      </c>
    </row>
    <row r="646">
      <c r="A646" s="131">
        <f>IFERROR(__xludf.DUMMYFUNCTION("""COMPUTED_VALUE"""),46186.70295138889)</f>
        <v>46186.70295</v>
      </c>
      <c r="B646" s="126">
        <f>IFERROR(__xludf.DUMMYFUNCTION("""COMPUTED_VALUE"""),46186.0)</f>
        <v>46186</v>
      </c>
      <c r="C646" s="122" t="str">
        <f>IFERROR(__xludf.DUMMYFUNCTION("""COMPUTED_VALUE"""),"INSR")</f>
        <v>INSR</v>
      </c>
      <c r="D646" s="122" t="str">
        <f>IFERROR(__xludf.DUMMYFUNCTION("""COMPUTED_VALUE"""),"Shield Insurance")</f>
        <v>Shield Insurance</v>
      </c>
      <c r="E646" s="122">
        <f>IFERROR(__xludf.DUMMYFUNCTION("""COMPUTED_VALUE"""),150.39)</f>
        <v>150.39</v>
      </c>
      <c r="F646" s="122">
        <f>IFERROR(__xludf.DUMMYFUNCTION("""COMPUTED_VALUE"""),-0.0027)</f>
        <v>-0.0027</v>
      </c>
    </row>
    <row r="647">
      <c r="A647" s="131">
        <f>IFERROR(__xludf.DUMMYFUNCTION("""COMPUTED_VALUE"""),46186.70295138889)</f>
        <v>46186.70295</v>
      </c>
      <c r="B647" s="126">
        <f>IFERROR(__xludf.DUMMYFUNCTION("""COMPUTED_VALUE"""),46186.0)</f>
        <v>46186</v>
      </c>
      <c r="C647" s="122" t="str">
        <f>IFERROR(__xludf.DUMMYFUNCTION("""COMPUTED_VALUE"""),"LOAN")</f>
        <v>LOAN</v>
      </c>
      <c r="D647" s="122" t="str">
        <f>IFERROR(__xludf.DUMMYFUNCTION("""COMPUTED_VALUE"""),"LoanLab")</f>
        <v>LoanLab</v>
      </c>
      <c r="E647" s="122">
        <f>IFERROR(__xludf.DUMMYFUNCTION("""COMPUTED_VALUE"""),59.73)</f>
        <v>59.73</v>
      </c>
      <c r="F647" s="122">
        <f>IFERROR(__xludf.DUMMYFUNCTION("""COMPUTED_VALUE"""),-0.0048)</f>
        <v>-0.0048</v>
      </c>
    </row>
    <row r="648">
      <c r="A648" s="131">
        <f>IFERROR(__xludf.DUMMYFUNCTION("""COMPUTED_VALUE"""),46186.70295138889)</f>
        <v>46186.70295</v>
      </c>
      <c r="B648" s="126">
        <f>IFERROR(__xludf.DUMMYFUNCTION("""COMPUTED_VALUE"""),46186.0)</f>
        <v>46186</v>
      </c>
      <c r="C648" s="122" t="str">
        <f>IFERROR(__xludf.DUMMYFUNCTION("""COMPUTED_VALUE"""),"LUXE")</f>
        <v>LUXE</v>
      </c>
      <c r="D648" s="122" t="str">
        <f>IFERROR(__xludf.DUMMYFUNCTION("""COMPUTED_VALUE"""),"Luxury Locker")</f>
        <v>Luxury Locker</v>
      </c>
      <c r="E648" s="122">
        <f>IFERROR(__xludf.DUMMYFUNCTION("""COMPUTED_VALUE"""),262.04)</f>
        <v>262.04</v>
      </c>
      <c r="F648" s="122">
        <f>IFERROR(__xludf.DUMMYFUNCTION("""COMPUTED_VALUE"""),0.0031)</f>
        <v>0.0031</v>
      </c>
    </row>
    <row r="649">
      <c r="A649" s="131">
        <f>IFERROR(__xludf.DUMMYFUNCTION("""COMPUTED_VALUE"""),46186.70295138889)</f>
        <v>46186.70295</v>
      </c>
      <c r="B649" s="126">
        <f>IFERROR(__xludf.DUMMYFUNCTION("""COMPUTED_VALUE"""),46186.0)</f>
        <v>46186</v>
      </c>
      <c r="C649" s="122" t="str">
        <f>IFERROR(__xludf.DUMMYFUNCTION("""COMPUTED_VALUE"""),"DRIP")</f>
        <v>DRIP</v>
      </c>
      <c r="D649" s="122" t="str">
        <f>IFERROR(__xludf.DUMMYFUNCTION("""COMPUTED_VALUE"""),"Drip Streetwear")</f>
        <v>Drip Streetwear</v>
      </c>
      <c r="E649" s="122">
        <f>IFERROR(__xludf.DUMMYFUNCTION("""COMPUTED_VALUE"""),200.25)</f>
        <v>200.25</v>
      </c>
      <c r="F649" s="122">
        <f>IFERROR(__xludf.DUMMYFUNCTION("""COMPUTED_VALUE"""),-0.0014)</f>
        <v>-0.0014</v>
      </c>
    </row>
    <row r="650">
      <c r="A650" s="131">
        <f>IFERROR(__xludf.DUMMYFUNCTION("""COMPUTED_VALUE"""),46186.70295138889)</f>
        <v>46186.70295</v>
      </c>
      <c r="B650" s="126">
        <f>IFERROR(__xludf.DUMMYFUNCTION("""COMPUTED_VALUE"""),46186.0)</f>
        <v>46186</v>
      </c>
      <c r="C650" s="122" t="str">
        <f>IFERROR(__xludf.DUMMYFUNCTION("""COMPUTED_VALUE"""),"KICK")</f>
        <v>KICK</v>
      </c>
      <c r="D650" s="122" t="str">
        <f>IFERROR(__xludf.DUMMYFUNCTION("""COMPUTED_VALUE"""),"KickDrop Sneakers")</f>
        <v>KickDrop Sneakers</v>
      </c>
      <c r="E650" s="122">
        <f>IFERROR(__xludf.DUMMYFUNCTION("""COMPUTED_VALUE"""),178.69)</f>
        <v>178.69</v>
      </c>
      <c r="F650" s="122">
        <f>IFERROR(__xludf.DUMMYFUNCTION("""COMPUTED_VALUE"""),-0.005)</f>
        <v>-0.005</v>
      </c>
    </row>
    <row r="651">
      <c r="A651" s="131">
        <f>IFERROR(__xludf.DUMMYFUNCTION("""COMPUTED_VALUE"""),46186.70295138889)</f>
        <v>46186.70295</v>
      </c>
      <c r="B651" s="126">
        <f>IFERROR(__xludf.DUMMYFUNCTION("""COMPUTED_VALUE"""),46186.0)</f>
        <v>46186</v>
      </c>
      <c r="C651" s="122" t="str">
        <f>IFERROR(__xludf.DUMMYFUNCTION("""COMPUTED_VALUE"""),"GLAM")</f>
        <v>GLAM</v>
      </c>
      <c r="D651" s="122" t="str">
        <f>IFERROR(__xludf.DUMMYFUNCTION("""COMPUTED_VALUE"""),"Glow Cosmetics")</f>
        <v>Glow Cosmetics</v>
      </c>
      <c r="E651" s="122">
        <f>IFERROR(__xludf.DUMMYFUNCTION("""COMPUTED_VALUE"""),90.48)</f>
        <v>90.48</v>
      </c>
      <c r="F651" s="122">
        <f>IFERROR(__xludf.DUMMYFUNCTION("""COMPUTED_VALUE"""),-0.0051)</f>
        <v>-0.0051</v>
      </c>
    </row>
    <row r="652">
      <c r="A652" s="131">
        <f>IFERROR(__xludf.DUMMYFUNCTION("""COMPUTED_VALUE"""),46186.70295138889)</f>
        <v>46186.70295</v>
      </c>
      <c r="B652" s="126">
        <f>IFERROR(__xludf.DUMMYFUNCTION("""COMPUTED_VALUE"""),46186.0)</f>
        <v>46186</v>
      </c>
      <c r="C652" s="122" t="str">
        <f>IFERROR(__xludf.DUMMYFUNCTION("""COMPUTED_VALUE"""),"BAGG")</f>
        <v>BAGG</v>
      </c>
      <c r="D652" s="122" t="str">
        <f>IFERROR(__xludf.DUMMYFUNCTION("""COMPUTED_VALUE"""),"BagVault")</f>
        <v>BagVault</v>
      </c>
      <c r="E652" s="122">
        <f>IFERROR(__xludf.DUMMYFUNCTION("""COMPUTED_VALUE"""),240.5)</f>
        <v>240.5</v>
      </c>
      <c r="F652" s="122">
        <f>IFERROR(__xludf.DUMMYFUNCTION("""COMPUTED_VALUE"""),-0.0015)</f>
        <v>-0.0015</v>
      </c>
    </row>
    <row r="653">
      <c r="A653" s="131">
        <f>IFERROR(__xludf.DUMMYFUNCTION("""COMPUTED_VALUE"""),46186.70295138889)</f>
        <v>46186.70295</v>
      </c>
      <c r="B653" s="126">
        <f>IFERROR(__xludf.DUMMYFUNCTION("""COMPUTED_VALUE"""),46186.0)</f>
        <v>46186</v>
      </c>
      <c r="C653" s="122" t="str">
        <f>IFERROR(__xludf.DUMMYFUNCTION("""COMPUTED_VALUE"""),"FAST")</f>
        <v>FAST</v>
      </c>
      <c r="D653" s="122" t="str">
        <f>IFERROR(__xludf.DUMMYFUNCTION("""COMPUTED_VALUE"""),"Flash Logistics")</f>
        <v>Flash Logistics</v>
      </c>
      <c r="E653" s="122">
        <f>IFERROR(__xludf.DUMMYFUNCTION("""COMPUTED_VALUE"""),101.75)</f>
        <v>101.75</v>
      </c>
      <c r="F653" s="122">
        <f>IFERROR(__xludf.DUMMYFUNCTION("""COMPUTED_VALUE"""),-0.003)</f>
        <v>-0.003</v>
      </c>
    </row>
    <row r="654">
      <c r="A654" s="131">
        <f>IFERROR(__xludf.DUMMYFUNCTION("""COMPUTED_VALUE"""),46186.70295138889)</f>
        <v>46186.70295</v>
      </c>
      <c r="B654" s="126">
        <f>IFERROR(__xludf.DUMMYFUNCTION("""COMPUTED_VALUE"""),46186.0)</f>
        <v>46186</v>
      </c>
      <c r="C654" s="122" t="str">
        <f>IFERROR(__xludf.DUMMYFUNCTION("""COMPUTED_VALUE"""),"SHIP")</f>
        <v>SHIP</v>
      </c>
      <c r="D654" s="122" t="str">
        <f>IFERROR(__xludf.DUMMYFUNCTION("""COMPUTED_VALUE"""),"Seoul Shipping")</f>
        <v>Seoul Shipping</v>
      </c>
      <c r="E654" s="122">
        <f>IFERROR(__xludf.DUMMYFUNCTION("""COMPUTED_VALUE"""),116.38)</f>
        <v>116.38</v>
      </c>
      <c r="F654" s="122">
        <f>IFERROR(__xludf.DUMMYFUNCTION("""COMPUTED_VALUE"""),-0.0047)</f>
        <v>-0.0047</v>
      </c>
    </row>
    <row r="655">
      <c r="A655" s="131">
        <f>IFERROR(__xludf.DUMMYFUNCTION("""COMPUTED_VALUE"""),46186.70295138889)</f>
        <v>46186.70295</v>
      </c>
      <c r="B655" s="126">
        <f>IFERROR(__xludf.DUMMYFUNCTION("""COMPUTED_VALUE"""),46186.0)</f>
        <v>46186</v>
      </c>
      <c r="C655" s="122" t="str">
        <f>IFERROR(__xludf.DUMMYFUNCTION("""COMPUTED_VALUE"""),"DRON")</f>
        <v>DRON</v>
      </c>
      <c r="D655" s="122" t="str">
        <f>IFERROR(__xludf.DUMMYFUNCTION("""COMPUTED_VALUE"""),"DroneDrop")</f>
        <v>DroneDrop</v>
      </c>
      <c r="E655" s="122">
        <f>IFERROR(__xludf.DUMMYFUNCTION("""COMPUTED_VALUE"""),130.19)</f>
        <v>130.19</v>
      </c>
      <c r="F655" s="122">
        <f>IFERROR(__xludf.DUMMYFUNCTION("""COMPUTED_VALUE"""),-0.0083)</f>
        <v>-0.0083</v>
      </c>
    </row>
    <row r="656">
      <c r="A656" s="131">
        <f>IFERROR(__xludf.DUMMYFUNCTION("""COMPUTED_VALUE"""),46186.70295138889)</f>
        <v>46186.70295</v>
      </c>
      <c r="B656" s="126">
        <f>IFERROR(__xludf.DUMMYFUNCTION("""COMPUTED_VALUE"""),46186.0)</f>
        <v>46186</v>
      </c>
      <c r="C656" s="122" t="str">
        <f>IFERROR(__xludf.DUMMYFUNCTION("""COMPUTED_VALUE"""),"RIDE")</f>
        <v>RIDE</v>
      </c>
      <c r="D656" s="122" t="str">
        <f>IFERROR(__xludf.DUMMYFUNCTION("""COMPUTED_VALUE"""),"QuickRide")</f>
        <v>QuickRide</v>
      </c>
      <c r="E656" s="122">
        <f>IFERROR(__xludf.DUMMYFUNCTION("""COMPUTED_VALUE"""),96.72)</f>
        <v>96.72</v>
      </c>
      <c r="F656" s="122">
        <f>IFERROR(__xludf.DUMMYFUNCTION("""COMPUTED_VALUE"""),-0.0093)</f>
        <v>-0.0093</v>
      </c>
    </row>
    <row r="657">
      <c r="A657" s="131">
        <f>IFERROR(__xludf.DUMMYFUNCTION("""COMPUTED_VALUE"""),46186.70295138889)</f>
        <v>46186.70295</v>
      </c>
      <c r="B657" s="126">
        <f>IFERROR(__xludf.DUMMYFUNCTION("""COMPUTED_VALUE"""),46186.0)</f>
        <v>46186</v>
      </c>
      <c r="C657" s="122" t="str">
        <f>IFERROR(__xludf.DUMMYFUNCTION("""COMPUTED_VALUE"""),"RAIL")</f>
        <v>RAIL</v>
      </c>
      <c r="D657" s="122" t="str">
        <f>IFERROR(__xludf.DUMMYFUNCTION("""COMPUTED_VALUE"""),"MetroRail Corp")</f>
        <v>MetroRail Corp</v>
      </c>
      <c r="E657" s="122">
        <f>IFERROR(__xludf.DUMMYFUNCTION("""COMPUTED_VALUE"""),135.12)</f>
        <v>135.12</v>
      </c>
      <c r="F657" s="122">
        <f>IFERROR(__xludf.DUMMYFUNCTION("""COMPUTED_VALUE"""),0.0028)</f>
        <v>0.0028</v>
      </c>
    </row>
    <row r="658">
      <c r="A658" s="131">
        <f>IFERROR(__xludf.DUMMYFUNCTION("""COMPUTED_VALUE"""),46186.70295138889)</f>
        <v>46186.70295</v>
      </c>
      <c r="B658" s="126">
        <f>IFERROR(__xludf.DUMMYFUNCTION("""COMPUTED_VALUE"""),46186.0)</f>
        <v>46186</v>
      </c>
      <c r="C658" s="122" t="str">
        <f>IFERROR(__xludf.DUMMYFUNCTION("""COMPUTED_VALUE"""),"MEDX")</f>
        <v>MEDX</v>
      </c>
      <c r="D658" s="122" t="str">
        <f>IFERROR(__xludf.DUMMYFUNCTION("""COMPUTED_VALUE"""),"MediCore")</f>
        <v>MediCore</v>
      </c>
      <c r="E658" s="122">
        <f>IFERROR(__xludf.DUMMYFUNCTION("""COMPUTED_VALUE"""),136.61)</f>
        <v>136.61</v>
      </c>
      <c r="F658" s="122">
        <f>IFERROR(__xludf.DUMMYFUNCTION("""COMPUTED_VALUE"""),0.001)</f>
        <v>0.001</v>
      </c>
    </row>
    <row r="659">
      <c r="A659" s="131">
        <f>IFERROR(__xludf.DUMMYFUNCTION("""COMPUTED_VALUE"""),46186.70295138889)</f>
        <v>46186.70295</v>
      </c>
      <c r="B659" s="126">
        <f>IFERROR(__xludf.DUMMYFUNCTION("""COMPUTED_VALUE"""),46186.0)</f>
        <v>46186</v>
      </c>
      <c r="C659" s="122" t="str">
        <f>IFERROR(__xludf.DUMMYFUNCTION("""COMPUTED_VALUE"""),"GYMX")</f>
        <v>GYMX</v>
      </c>
      <c r="D659" s="122" t="str">
        <f>IFERROR(__xludf.DUMMYFUNCTION("""COMPUTED_VALUE"""),"GymX Fitness")</f>
        <v>GymX Fitness</v>
      </c>
      <c r="E659" s="122">
        <f>IFERROR(__xludf.DUMMYFUNCTION("""COMPUTED_VALUE"""),87.05)</f>
        <v>87.05</v>
      </c>
      <c r="F659" s="122">
        <f>IFERROR(__xludf.DUMMYFUNCTION("""COMPUTED_VALUE"""),-2.0E-4)</f>
        <v>-0.0002</v>
      </c>
    </row>
    <row r="660">
      <c r="A660" s="131">
        <f>IFERROR(__xludf.DUMMYFUNCTION("""COMPUTED_VALUE"""),46186.70295138889)</f>
        <v>46186.70295</v>
      </c>
      <c r="B660" s="126">
        <f>IFERROR(__xludf.DUMMYFUNCTION("""COMPUTED_VALUE"""),46186.0)</f>
        <v>46186</v>
      </c>
      <c r="C660" s="122" t="str">
        <f>IFERROR(__xludf.DUMMYFUNCTION("""COMPUTED_VALUE"""),"VITA")</f>
        <v>VITA</v>
      </c>
      <c r="D660" s="122" t="str">
        <f>IFERROR(__xludf.DUMMYFUNCTION("""COMPUTED_VALUE"""),"VitaPlus")</f>
        <v>VitaPlus</v>
      </c>
      <c r="E660" s="122">
        <f>IFERROR(__xludf.DUMMYFUNCTION("""COMPUTED_VALUE"""),75.37)</f>
        <v>75.37</v>
      </c>
      <c r="F660" s="122">
        <f>IFERROR(__xludf.DUMMYFUNCTION("""COMPUTED_VALUE"""),-0.0074)</f>
        <v>-0.0074</v>
      </c>
    </row>
    <row r="661">
      <c r="A661" s="131">
        <f>IFERROR(__xludf.DUMMYFUNCTION("""COMPUTED_VALUE"""),46186.70295138889)</f>
        <v>46186.70295</v>
      </c>
      <c r="B661" s="126">
        <f>IFERROR(__xludf.DUMMYFUNCTION("""COMPUTED_VALUE"""),46186.0)</f>
        <v>46186</v>
      </c>
      <c r="C661" s="122" t="str">
        <f>IFERROR(__xludf.DUMMYFUNCTION("""COMPUTED_VALUE"""),"CARE")</f>
        <v>CARE</v>
      </c>
      <c r="D661" s="122" t="str">
        <f>IFERROR(__xludf.DUMMYFUNCTION("""COMPUTED_VALUE"""),"CareCloud")</f>
        <v>CareCloud</v>
      </c>
      <c r="E661" s="122">
        <f>IFERROR(__xludf.DUMMYFUNCTION("""COMPUTED_VALUE"""),176.43)</f>
        <v>176.43</v>
      </c>
      <c r="F661" s="122">
        <f>IFERROR(__xludf.DUMMYFUNCTION("""COMPUTED_VALUE"""),0.0062)</f>
        <v>0.0062</v>
      </c>
    </row>
    <row r="662">
      <c r="A662" s="131">
        <f>IFERROR(__xludf.DUMMYFUNCTION("""COMPUTED_VALUE"""),46186.70295138889)</f>
        <v>46186.70295</v>
      </c>
      <c r="B662" s="126">
        <f>IFERROR(__xludf.DUMMYFUNCTION("""COMPUTED_VALUE"""),46186.0)</f>
        <v>46186</v>
      </c>
      <c r="C662" s="122" t="str">
        <f>IFERROR(__xludf.DUMMYFUNCTION("""COMPUTED_VALUE"""),"DENT")</f>
        <v>DENT</v>
      </c>
      <c r="D662" s="122" t="str">
        <f>IFERROR(__xludf.DUMMYFUNCTION("""COMPUTED_VALUE"""),"SmileWorks")</f>
        <v>SmileWorks</v>
      </c>
      <c r="E662" s="122">
        <f>IFERROR(__xludf.DUMMYFUNCTION("""COMPUTED_VALUE"""),81.84)</f>
        <v>81.84</v>
      </c>
      <c r="F662" s="122">
        <f>IFERROR(__xludf.DUMMYFUNCTION("""COMPUTED_VALUE"""),0.0048)</f>
        <v>0.0048</v>
      </c>
    </row>
    <row r="663">
      <c r="A663" s="131">
        <f>IFERROR(__xludf.DUMMYFUNCTION("""COMPUTED_VALUE"""),46186.70295138889)</f>
        <v>46186.70295</v>
      </c>
      <c r="B663" s="126">
        <f>IFERROR(__xludf.DUMMYFUNCTION("""COMPUTED_VALUE"""),46186.0)</f>
        <v>46186</v>
      </c>
      <c r="C663" s="122" t="str">
        <f>IFERROR(__xludf.DUMMYFUNCTION("""COMPUTED_VALUE"""),"EDUX")</f>
        <v>EDUX</v>
      </c>
      <c r="D663" s="122" t="str">
        <f>IFERROR(__xludf.DUMMYFUNCTION("""COMPUTED_VALUE"""),"EduMax Learning")</f>
        <v>EduMax Learning</v>
      </c>
      <c r="E663" s="122">
        <f>IFERROR(__xludf.DUMMYFUNCTION("""COMPUTED_VALUE"""),132.35)</f>
        <v>132.35</v>
      </c>
      <c r="F663" s="122">
        <f>IFERROR(__xludf.DUMMYFUNCTION("""COMPUTED_VALUE"""),0.0039)</f>
        <v>0.0039</v>
      </c>
    </row>
    <row r="664">
      <c r="A664" s="131">
        <f>IFERROR(__xludf.DUMMYFUNCTION("""COMPUTED_VALUE"""),46186.70295138889)</f>
        <v>46186.70295</v>
      </c>
      <c r="B664" s="126">
        <f>IFERROR(__xludf.DUMMYFUNCTION("""COMPUTED_VALUE"""),46186.0)</f>
        <v>46186</v>
      </c>
      <c r="C664" s="122" t="str">
        <f>IFERROR(__xludf.DUMMYFUNCTION("""COMPUTED_VALUE"""),"BOOK")</f>
        <v>BOOK</v>
      </c>
      <c r="D664" s="122" t="str">
        <f>IFERROR(__xludf.DUMMYFUNCTION("""COMPUTED_VALUE"""),"BookBridge")</f>
        <v>BookBridge</v>
      </c>
      <c r="E664" s="122">
        <f>IFERROR(__xludf.DUMMYFUNCTION("""COMPUTED_VALUE"""),111.56)</f>
        <v>111.56</v>
      </c>
      <c r="F664" s="122">
        <f>IFERROR(__xludf.DUMMYFUNCTION("""COMPUTED_VALUE"""),0.0048)</f>
        <v>0.0048</v>
      </c>
    </row>
    <row r="665">
      <c r="A665" s="131">
        <f>IFERROR(__xludf.DUMMYFUNCTION("""COMPUTED_VALUE"""),46186.70295138889)</f>
        <v>46186.70295</v>
      </c>
      <c r="B665" s="126">
        <f>IFERROR(__xludf.DUMMYFUNCTION("""COMPUTED_VALUE"""),46186.0)</f>
        <v>46186</v>
      </c>
      <c r="C665" s="122" t="str">
        <f>IFERROR(__xludf.DUMMYFUNCTION("""COMPUTED_VALUE"""),"TUTR")</f>
        <v>TUTR</v>
      </c>
      <c r="D665" s="122" t="str">
        <f>IFERROR(__xludf.DUMMYFUNCTION("""COMPUTED_VALUE"""),"TutorTown")</f>
        <v>TutorTown</v>
      </c>
      <c r="E665" s="122">
        <f>IFERROR(__xludf.DUMMYFUNCTION("""COMPUTED_VALUE"""),91.21)</f>
        <v>91.21</v>
      </c>
      <c r="F665" s="122">
        <f>IFERROR(__xludf.DUMMYFUNCTION("""COMPUTED_VALUE"""),-0.0026)</f>
        <v>-0.0026</v>
      </c>
    </row>
    <row r="666">
      <c r="A666" s="131">
        <f>IFERROR(__xludf.DUMMYFUNCTION("""COMPUTED_VALUE"""),46186.70295138889)</f>
        <v>46186.70295</v>
      </c>
      <c r="B666" s="126">
        <f>IFERROR(__xludf.DUMMYFUNCTION("""COMPUTED_VALUE"""),46186.0)</f>
        <v>46186</v>
      </c>
      <c r="C666" s="122" t="str">
        <f>IFERROR(__xludf.DUMMYFUNCTION("""COMPUTED_VALUE"""),"LANG")</f>
        <v>LANG</v>
      </c>
      <c r="D666" s="122" t="str">
        <f>IFERROR(__xludf.DUMMYFUNCTION("""COMPUTED_VALUE"""),"LinguaLab")</f>
        <v>LinguaLab</v>
      </c>
      <c r="E666" s="122">
        <f>IFERROR(__xludf.DUMMYFUNCTION("""COMPUTED_VALUE"""),94.62)</f>
        <v>94.62</v>
      </c>
      <c r="F666" s="122">
        <f>IFERROR(__xludf.DUMMYFUNCTION("""COMPUTED_VALUE"""),0.0033)</f>
        <v>0.0033</v>
      </c>
    </row>
    <row r="667">
      <c r="A667" s="131">
        <f>IFERROR(__xludf.DUMMYFUNCTION("""COMPUTED_VALUE"""),46186.70295138889)</f>
        <v>46186.70295</v>
      </c>
      <c r="B667" s="126">
        <f>IFERROR(__xludf.DUMMYFUNCTION("""COMPUTED_VALUE"""),46186.0)</f>
        <v>46186</v>
      </c>
      <c r="C667" s="122" t="str">
        <f>IFERROR(__xludf.DUMMYFUNCTION("""COMPUTED_VALUE"""),"TEST")</f>
        <v>TEST</v>
      </c>
      <c r="D667" s="122" t="str">
        <f>IFERROR(__xludf.DUMMYFUNCTION("""COMPUTED_VALUE"""),"TestPrep Pro")</f>
        <v>TestPrep Pro</v>
      </c>
      <c r="E667" s="122">
        <f>IFERROR(__xludf.DUMMYFUNCTION("""COMPUTED_VALUE"""),101.99)</f>
        <v>101.99</v>
      </c>
      <c r="F667" s="122">
        <f>IFERROR(__xludf.DUMMYFUNCTION("""COMPUTED_VALUE"""),-0.0034)</f>
        <v>-0.0034</v>
      </c>
    </row>
    <row r="668">
      <c r="A668" s="131">
        <f>IFERROR(__xludf.DUMMYFUNCTION("""COMPUTED_VALUE"""),46186.70295138889)</f>
        <v>46186.70295</v>
      </c>
      <c r="B668" s="126">
        <f>IFERROR(__xludf.DUMMYFUNCTION("""COMPUTED_VALUE"""),46186.0)</f>
        <v>46186</v>
      </c>
      <c r="C668" s="122" t="str">
        <f>IFERROR(__xludf.DUMMYFUNCTION("""COMPUTED_VALUE"""),"MOVI")</f>
        <v>MOVI</v>
      </c>
      <c r="D668" s="122" t="str">
        <f>IFERROR(__xludf.DUMMYFUNCTION("""COMPUTED_VALUE"""),"MovieBox")</f>
        <v>MovieBox</v>
      </c>
      <c r="E668" s="122">
        <f>IFERROR(__xludf.DUMMYFUNCTION("""COMPUTED_VALUE"""),79.46)</f>
        <v>79.46</v>
      </c>
      <c r="F668" s="122">
        <f>IFERROR(__xludf.DUMMYFUNCTION("""COMPUTED_VALUE"""),0.0011)</f>
        <v>0.0011</v>
      </c>
    </row>
    <row r="669">
      <c r="A669" s="131">
        <f>IFERROR(__xludf.DUMMYFUNCTION("""COMPUTED_VALUE"""),46186.70295138889)</f>
        <v>46186.70295</v>
      </c>
      <c r="B669" s="126">
        <f>IFERROR(__xludf.DUMMYFUNCTION("""COMPUTED_VALUE"""),46186.0)</f>
        <v>46186</v>
      </c>
      <c r="C669" s="122" t="str">
        <f>IFERROR(__xludf.DUMMYFUNCTION("""COMPUTED_VALUE"""),"MUSC")</f>
        <v>MUSC</v>
      </c>
      <c r="D669" s="122" t="str">
        <f>IFERROR(__xludf.DUMMYFUNCTION("""COMPUTED_VALUE"""),"MusicWave")</f>
        <v>MusicWave</v>
      </c>
      <c r="E669" s="122">
        <f>IFERROR(__xludf.DUMMYFUNCTION("""COMPUTED_VALUE"""),96.52)</f>
        <v>96.52</v>
      </c>
      <c r="F669" s="122">
        <f>IFERROR(__xludf.DUMMYFUNCTION("""COMPUTED_VALUE"""),-0.0077)</f>
        <v>-0.0077</v>
      </c>
    </row>
    <row r="670">
      <c r="A670" s="131">
        <f>IFERROR(__xludf.DUMMYFUNCTION("""COMPUTED_VALUE"""),46186.70295138889)</f>
        <v>46186.70295</v>
      </c>
      <c r="B670" s="126">
        <f>IFERROR(__xludf.DUMMYFUNCTION("""COMPUTED_VALUE"""),46186.0)</f>
        <v>46186</v>
      </c>
      <c r="C670" s="122" t="str">
        <f>IFERROR(__xludf.DUMMYFUNCTION("""COMPUTED_VALUE"""),"IDOL")</f>
        <v>IDOL</v>
      </c>
      <c r="D670" s="122" t="str">
        <f>IFERROR(__xludf.DUMMYFUNCTION("""COMPUTED_VALUE"""),"Idol Agency")</f>
        <v>Idol Agency</v>
      </c>
      <c r="E670" s="122">
        <f>IFERROR(__xludf.DUMMYFUNCTION("""COMPUTED_VALUE"""),204.21)</f>
        <v>204.21</v>
      </c>
      <c r="F670" s="122">
        <f>IFERROR(__xludf.DUMMYFUNCTION("""COMPUTED_VALUE"""),-0.002)</f>
        <v>-0.002</v>
      </c>
    </row>
    <row r="671">
      <c r="A671" s="131">
        <f>IFERROR(__xludf.DUMMYFUNCTION("""COMPUTED_VALUE"""),46186.70295138889)</f>
        <v>46186.70295</v>
      </c>
      <c r="B671" s="126">
        <f>IFERROR(__xludf.DUMMYFUNCTION("""COMPUTED_VALUE"""),46186.0)</f>
        <v>46186</v>
      </c>
      <c r="C671" s="122" t="str">
        <f>IFERROR(__xludf.DUMMYFUNCTION("""COMPUTED_VALUE"""),"MEME")</f>
        <v>MEME</v>
      </c>
      <c r="D671" s="122" t="str">
        <f>IFERROR(__xludf.DUMMYFUNCTION("""COMPUTED_VALUE"""),"Meme Media")</f>
        <v>Meme Media</v>
      </c>
      <c r="E671" s="122">
        <f>IFERROR(__xludf.DUMMYFUNCTION("""COMPUTED_VALUE"""),79.94)</f>
        <v>79.94</v>
      </c>
      <c r="F671" s="122">
        <f>IFERROR(__xludf.DUMMYFUNCTION("""COMPUTED_VALUE"""),0.0086)</f>
        <v>0.0086</v>
      </c>
    </row>
    <row r="672">
      <c r="A672" s="131">
        <f>IFERROR(__xludf.DUMMYFUNCTION("""COMPUTED_VALUE"""),46186.70295138889)</f>
        <v>46186.70295</v>
      </c>
      <c r="B672" s="126">
        <f>IFERROR(__xludf.DUMMYFUNCTION("""COMPUTED_VALUE"""),46186.0)</f>
        <v>46186</v>
      </c>
      <c r="C672" s="122" t="str">
        <f>IFERROR(__xludf.DUMMYFUNCTION("""COMPUTED_VALUE"""),"STRM")</f>
        <v>STRM</v>
      </c>
      <c r="D672" s="122" t="str">
        <f>IFERROR(__xludf.DUMMYFUNCTION("""COMPUTED_VALUE"""),"Streamly")</f>
        <v>Streamly</v>
      </c>
      <c r="E672" s="122">
        <f>IFERROR(__xludf.DUMMYFUNCTION("""COMPUTED_VALUE"""),138.26)</f>
        <v>138.26</v>
      </c>
      <c r="F672" s="122">
        <f>IFERROR(__xludf.DUMMYFUNCTION("""COMPUTED_VALUE"""),0.0042)</f>
        <v>0.0042</v>
      </c>
    </row>
    <row r="673">
      <c r="A673" s="131">
        <f>IFERROR(__xludf.DUMMYFUNCTION("""COMPUTED_VALUE"""),46186.70295138889)</f>
        <v>46186.70295</v>
      </c>
      <c r="B673" s="126">
        <f>IFERROR(__xludf.DUMMYFUNCTION("""COMPUTED_VALUE"""),46186.0)</f>
        <v>46186</v>
      </c>
      <c r="C673" s="122" t="str">
        <f>IFERROR(__xludf.DUMMYFUNCTION("""COMPUTED_VALUE"""),"FARM")</f>
        <v>FARM</v>
      </c>
      <c r="D673" s="122" t="str">
        <f>IFERROR(__xludf.DUMMYFUNCTION("""COMPUTED_VALUE"""),"Future Farms")</f>
        <v>Future Farms</v>
      </c>
      <c r="E673" s="122">
        <f>IFERROR(__xludf.DUMMYFUNCTION("""COMPUTED_VALUE"""),78.71)</f>
        <v>78.71</v>
      </c>
      <c r="F673" s="122">
        <f>IFERROR(__xludf.DUMMYFUNCTION("""COMPUTED_VALUE"""),-0.0037)</f>
        <v>-0.0037</v>
      </c>
    </row>
    <row r="674">
      <c r="A674" s="131">
        <f>IFERROR(__xludf.DUMMYFUNCTION("""COMPUTED_VALUE"""),46186.70295138889)</f>
        <v>46186.70295</v>
      </c>
      <c r="B674" s="126">
        <f>IFERROR(__xludf.DUMMYFUNCTION("""COMPUTED_VALUE"""),46186.0)</f>
        <v>46186</v>
      </c>
      <c r="C674" s="122" t="str">
        <f>IFERROR(__xludf.DUMMYFUNCTION("""COMPUTED_VALUE"""),"MEAT")</f>
        <v>MEAT</v>
      </c>
      <c r="D674" s="122" t="str">
        <f>IFERROR(__xludf.DUMMYFUNCTION("""COMPUTED_VALUE"""),"MeatWorks")</f>
        <v>MeatWorks</v>
      </c>
      <c r="E674" s="122">
        <f>IFERROR(__xludf.DUMMYFUNCTION("""COMPUTED_VALUE"""),102.74)</f>
        <v>102.74</v>
      </c>
      <c r="F674" s="122">
        <f>IFERROR(__xludf.DUMMYFUNCTION("""COMPUTED_VALUE"""),4.0E-4)</f>
        <v>0.0004</v>
      </c>
    </row>
    <row r="675">
      <c r="A675" s="131">
        <f>IFERROR(__xludf.DUMMYFUNCTION("""COMPUTED_VALUE"""),46186.70295138889)</f>
        <v>46186.70295</v>
      </c>
      <c r="B675" s="126">
        <f>IFERROR(__xludf.DUMMYFUNCTION("""COMPUTED_VALUE"""),46186.0)</f>
        <v>46186</v>
      </c>
      <c r="C675" s="122" t="str">
        <f>IFERROR(__xludf.DUMMYFUNCTION("""COMPUTED_VALUE"""),"VEGI")</f>
        <v>VEGI</v>
      </c>
      <c r="D675" s="122" t="str">
        <f>IFERROR(__xludf.DUMMYFUNCTION("""COMPUTED_VALUE"""),"Green Basket")</f>
        <v>Green Basket</v>
      </c>
      <c r="E675" s="122">
        <f>IFERROR(__xludf.DUMMYFUNCTION("""COMPUTED_VALUE"""),84.09)</f>
        <v>84.09</v>
      </c>
      <c r="F675" s="122">
        <f>IFERROR(__xludf.DUMMYFUNCTION("""COMPUTED_VALUE"""),0.005)</f>
        <v>0.005</v>
      </c>
    </row>
    <row r="676">
      <c r="A676" s="131">
        <f>IFERROR(__xludf.DUMMYFUNCTION("""COMPUTED_VALUE"""),46186.70295138889)</f>
        <v>46186.70295</v>
      </c>
      <c r="B676" s="126">
        <f>IFERROR(__xludf.DUMMYFUNCTION("""COMPUTED_VALUE"""),46186.0)</f>
        <v>46186</v>
      </c>
      <c r="C676" s="122" t="str">
        <f>IFERROR(__xludf.DUMMYFUNCTION("""COMPUTED_VALUE"""),"CAFE")</f>
        <v>CAFE</v>
      </c>
      <c r="D676" s="122" t="str">
        <f>IFERROR(__xludf.DUMMYFUNCTION("""COMPUTED_VALUE"""),"Cafe Cloud")</f>
        <v>Cafe Cloud</v>
      </c>
      <c r="E676" s="122">
        <f>IFERROR(__xludf.DUMMYFUNCTION("""COMPUTED_VALUE"""),97.76)</f>
        <v>97.76</v>
      </c>
      <c r="F676" s="122">
        <f>IFERROR(__xludf.DUMMYFUNCTION("""COMPUTED_VALUE"""),0.0011)</f>
        <v>0.0011</v>
      </c>
    </row>
    <row r="677">
      <c r="A677" s="131">
        <f>IFERROR(__xludf.DUMMYFUNCTION("""COMPUTED_VALUE"""),46186.70295138889)</f>
        <v>46186.70295</v>
      </c>
      <c r="B677" s="126">
        <f>IFERROR(__xludf.DUMMYFUNCTION("""COMPUTED_VALUE"""),46186.0)</f>
        <v>46186</v>
      </c>
      <c r="C677" s="122" t="str">
        <f>IFERROR(__xludf.DUMMYFUNCTION("""COMPUTED_VALUE"""),"BAKE")</f>
        <v>BAKE</v>
      </c>
      <c r="D677" s="122" t="str">
        <f>IFERROR(__xludf.DUMMYFUNCTION("""COMPUTED_VALUE"""),"BakeHouse")</f>
        <v>BakeHouse</v>
      </c>
      <c r="E677" s="122">
        <f>IFERROR(__xludf.DUMMYFUNCTION("""COMPUTED_VALUE"""),100.42)</f>
        <v>100.42</v>
      </c>
      <c r="F677" s="122">
        <f>IFERROR(__xludf.DUMMYFUNCTION("""COMPUTED_VALUE"""),8.0E-4)</f>
        <v>0.0008</v>
      </c>
    </row>
    <row r="678">
      <c r="A678" s="131">
        <f>IFERROR(__xludf.DUMMYFUNCTION("""COMPUTED_VALUE"""),46186.70295138889)</f>
        <v>46186.70295</v>
      </c>
      <c r="B678" s="126">
        <f>IFERROR(__xludf.DUMMYFUNCTION("""COMPUTED_VALUE"""),46186.0)</f>
        <v>46186</v>
      </c>
      <c r="C678" s="122" t="str">
        <f>IFERROR(__xludf.DUMMYFUNCTION("""COMPUTED_VALUE"""),"OILX")</f>
        <v>OILX</v>
      </c>
      <c r="D678" s="122" t="str">
        <f>IFERROR(__xludf.DUMMYFUNCTION("""COMPUTED_VALUE"""),"OilMax Energy")</f>
        <v>OilMax Energy</v>
      </c>
      <c r="E678" s="122">
        <f>IFERROR(__xludf.DUMMYFUNCTION("""COMPUTED_VALUE"""),133.09)</f>
        <v>133.09</v>
      </c>
      <c r="F678" s="122">
        <f>IFERROR(__xludf.DUMMYFUNCTION("""COMPUTED_VALUE"""),-0.0059)</f>
        <v>-0.0059</v>
      </c>
    </row>
    <row r="679">
      <c r="A679" s="131">
        <f>IFERROR(__xludf.DUMMYFUNCTION("""COMPUTED_VALUE"""),46186.70295138889)</f>
        <v>46186.70295</v>
      </c>
      <c r="B679" s="126">
        <f>IFERROR(__xludf.DUMMYFUNCTION("""COMPUTED_VALUE"""),46186.0)</f>
        <v>46186</v>
      </c>
      <c r="C679" s="122" t="str">
        <f>IFERROR(__xludf.DUMMYFUNCTION("""COMPUTED_VALUE"""),"SOLR")</f>
        <v>SOLR</v>
      </c>
      <c r="D679" s="122" t="str">
        <f>IFERROR(__xludf.DUMMYFUNCTION("""COMPUTED_VALUE"""),"SolarSpark")</f>
        <v>SolarSpark</v>
      </c>
      <c r="E679" s="122">
        <f>IFERROR(__xludf.DUMMYFUNCTION("""COMPUTED_VALUE"""),81.11)</f>
        <v>81.11</v>
      </c>
      <c r="F679" s="122">
        <f>IFERROR(__xludf.DUMMYFUNCTION("""COMPUTED_VALUE"""),-0.0095)</f>
        <v>-0.0095</v>
      </c>
    </row>
    <row r="680">
      <c r="A680" s="131">
        <f>IFERROR(__xludf.DUMMYFUNCTION("""COMPUTED_VALUE"""),46186.70295138889)</f>
        <v>46186.70295</v>
      </c>
      <c r="B680" s="126">
        <f>IFERROR(__xludf.DUMMYFUNCTION("""COMPUTED_VALUE"""),46186.0)</f>
        <v>46186</v>
      </c>
      <c r="C680" s="122" t="str">
        <f>IFERROR(__xludf.DUMMYFUNCTION("""COMPUTED_VALUE"""),"BATT")</f>
        <v>BATT</v>
      </c>
      <c r="D680" s="122" t="str">
        <f>IFERROR(__xludf.DUMMYFUNCTION("""COMPUTED_VALUE"""),"BatteryBox")</f>
        <v>BatteryBox</v>
      </c>
      <c r="E680" s="122">
        <f>IFERROR(__xludf.DUMMYFUNCTION("""COMPUTED_VALUE"""),117.69)</f>
        <v>117.69</v>
      </c>
      <c r="F680" s="122">
        <f>IFERROR(__xludf.DUMMYFUNCTION("""COMPUTED_VALUE"""),0.0065)</f>
        <v>0.0065</v>
      </c>
    </row>
    <row r="681">
      <c r="A681" s="131">
        <f>IFERROR(__xludf.DUMMYFUNCTION("""COMPUTED_VALUE"""),46186.70295138889)</f>
        <v>46186.70295</v>
      </c>
      <c r="B681" s="126">
        <f>IFERROR(__xludf.DUMMYFUNCTION("""COMPUTED_VALUE"""),46186.0)</f>
        <v>46186</v>
      </c>
      <c r="C681" s="122" t="str">
        <f>IFERROR(__xludf.DUMMYFUNCTION("""COMPUTED_VALUE"""),"WIND")</f>
        <v>WIND</v>
      </c>
      <c r="D681" s="122" t="str">
        <f>IFERROR(__xludf.DUMMYFUNCTION("""COMPUTED_VALUE"""),"WindWorks")</f>
        <v>WindWorks</v>
      </c>
      <c r="E681" s="122">
        <f>IFERROR(__xludf.DUMMYFUNCTION("""COMPUTED_VALUE"""),91.52)</f>
        <v>91.52</v>
      </c>
      <c r="F681" s="122">
        <f>IFERROR(__xludf.DUMMYFUNCTION("""COMPUTED_VALUE"""),-0.0016)</f>
        <v>-0.0016</v>
      </c>
    </row>
    <row r="682">
      <c r="A682" s="131">
        <f>IFERROR(__xludf.DUMMYFUNCTION("""COMPUTED_VALUE"""),46186.70295138889)</f>
        <v>46186.70295</v>
      </c>
      <c r="B682" s="126">
        <f>IFERROR(__xludf.DUMMYFUNCTION("""COMPUTED_VALUE"""),46186.0)</f>
        <v>46186</v>
      </c>
      <c r="C682" s="122" t="str">
        <f>IFERROR(__xludf.DUMMYFUNCTION("""COMPUTED_VALUE"""),"GRID")</f>
        <v>GRID</v>
      </c>
      <c r="D682" s="122" t="str">
        <f>IFERROR(__xludf.DUMMYFUNCTION("""COMPUTED_VALUE"""),"GridPower")</f>
        <v>GridPower</v>
      </c>
      <c r="E682" s="122">
        <f>IFERROR(__xludf.DUMMYFUNCTION("""COMPUTED_VALUE"""),146.9)</f>
        <v>146.9</v>
      </c>
      <c r="F682" s="122">
        <f>IFERROR(__xludf.DUMMYFUNCTION("""COMPUTED_VALUE"""),0.0043)</f>
        <v>0.0043</v>
      </c>
    </row>
    <row r="683">
      <c r="A683" s="131">
        <f>IFERROR(__xludf.DUMMYFUNCTION("""COMPUTED_VALUE"""),46186.70295138889)</f>
        <v>46186.70295</v>
      </c>
      <c r="B683" s="126">
        <f>IFERROR(__xludf.DUMMYFUNCTION("""COMPUTED_VALUE"""),46186.0)</f>
        <v>46186</v>
      </c>
      <c r="C683" s="122" t="str">
        <f>IFERROR(__xludf.DUMMYFUNCTION("""COMPUTED_VALUE"""),"HOME")</f>
        <v>HOME</v>
      </c>
      <c r="D683" s="122" t="str">
        <f>IFERROR(__xludf.DUMMYFUNCTION("""COMPUTED_VALUE"""),"HomeHub")</f>
        <v>HomeHub</v>
      </c>
      <c r="E683" s="122">
        <f>IFERROR(__xludf.DUMMYFUNCTION("""COMPUTED_VALUE"""),144.98)</f>
        <v>144.98</v>
      </c>
      <c r="F683" s="122">
        <f>IFERROR(__xludf.DUMMYFUNCTION("""COMPUTED_VALUE"""),-0.0031)</f>
        <v>-0.0031</v>
      </c>
    </row>
    <row r="684">
      <c r="A684" s="131">
        <f>IFERROR(__xludf.DUMMYFUNCTION("""COMPUTED_VALUE"""),46186.70295138889)</f>
        <v>46186.70295</v>
      </c>
      <c r="B684" s="126">
        <f>IFERROR(__xludf.DUMMYFUNCTION("""COMPUTED_VALUE"""),46186.0)</f>
        <v>46186</v>
      </c>
      <c r="C684" s="122" t="str">
        <f>IFERROR(__xludf.DUMMYFUNCTION("""COMPUTED_VALUE"""),"RENT")</f>
        <v>RENT</v>
      </c>
      <c r="D684" s="122" t="str">
        <f>IFERROR(__xludf.DUMMYFUNCTION("""COMPUTED_VALUE"""),"RentRight")</f>
        <v>RentRight</v>
      </c>
      <c r="E684" s="122">
        <f>IFERROR(__xludf.DUMMYFUNCTION("""COMPUTED_VALUE"""),95.13)</f>
        <v>95.13</v>
      </c>
      <c r="F684" s="122">
        <f>IFERROR(__xludf.DUMMYFUNCTION("""COMPUTED_VALUE"""),0.0021)</f>
        <v>0.0021</v>
      </c>
    </row>
    <row r="685">
      <c r="A685" s="131">
        <f>IFERROR(__xludf.DUMMYFUNCTION("""COMPUTED_VALUE"""),46186.70295138889)</f>
        <v>46186.70295</v>
      </c>
      <c r="B685" s="126">
        <f>IFERROR(__xludf.DUMMYFUNCTION("""COMPUTED_VALUE"""),46186.0)</f>
        <v>46186</v>
      </c>
      <c r="C685" s="122" t="str">
        <f>IFERROR(__xludf.DUMMYFUNCTION("""COMPUTED_VALUE"""),"MALL")</f>
        <v>MALL</v>
      </c>
      <c r="D685" s="122" t="str">
        <f>IFERROR(__xludf.DUMMYFUNCTION("""COMPUTED_VALUE"""),"MegaMall")</f>
        <v>MegaMall</v>
      </c>
      <c r="E685" s="122">
        <f>IFERROR(__xludf.DUMMYFUNCTION("""COMPUTED_VALUE"""),93.59)</f>
        <v>93.59</v>
      </c>
      <c r="F685" s="122">
        <f>IFERROR(__xludf.DUMMYFUNCTION("""COMPUTED_VALUE"""),-0.0032)</f>
        <v>-0.0032</v>
      </c>
    </row>
    <row r="686">
      <c r="A686" s="131">
        <f>IFERROR(__xludf.DUMMYFUNCTION("""COMPUTED_VALUE"""),46186.70295138889)</f>
        <v>46186.70295</v>
      </c>
      <c r="B686" s="126">
        <f>IFERROR(__xludf.DUMMYFUNCTION("""COMPUTED_VALUE"""),46186.0)</f>
        <v>46186</v>
      </c>
      <c r="C686" s="122" t="str">
        <f>IFERROR(__xludf.DUMMYFUNCTION("""COMPUTED_VALUE"""),"HOTL")</f>
        <v>HOTL</v>
      </c>
      <c r="D686" s="122" t="str">
        <f>IFERROR(__xludf.DUMMYFUNCTION("""COMPUTED_VALUE"""),"HotelHive")</f>
        <v>HotelHive</v>
      </c>
      <c r="E686" s="122">
        <f>IFERROR(__xludf.DUMMYFUNCTION("""COMPUTED_VALUE"""),132.57)</f>
        <v>132.57</v>
      </c>
      <c r="F686" s="122">
        <f>IFERROR(__xludf.DUMMYFUNCTION("""COMPUTED_VALUE"""),-0.0047)</f>
        <v>-0.0047</v>
      </c>
    </row>
    <row r="687">
      <c r="A687" s="131">
        <f>IFERROR(__xludf.DUMMYFUNCTION("""COMPUTED_VALUE"""),46186.70295138889)</f>
        <v>46186.70295</v>
      </c>
      <c r="B687" s="126">
        <f>IFERROR(__xludf.DUMMYFUNCTION("""COMPUTED_VALUE"""),46186.0)</f>
        <v>46186</v>
      </c>
      <c r="C687" s="122" t="str">
        <f>IFERROR(__xludf.DUMMYFUNCTION("""COMPUTED_VALUE"""),"LAND")</f>
        <v>LAND</v>
      </c>
      <c r="D687" s="122" t="str">
        <f>IFERROR(__xludf.DUMMYFUNCTION("""COMPUTED_VALUE"""),"LandLink")</f>
        <v>LandLink</v>
      </c>
      <c r="E687" s="122">
        <f>IFERROR(__xludf.DUMMYFUNCTION("""COMPUTED_VALUE"""),179.64)</f>
        <v>179.64</v>
      </c>
      <c r="F687" s="122">
        <f>IFERROR(__xludf.DUMMYFUNCTION("""COMPUTED_VALUE"""),-0.0026)</f>
        <v>-0.0026</v>
      </c>
    </row>
    <row r="688">
      <c r="A688" s="131">
        <f>IFERROR(__xludf.DUMMYFUNCTION("""COMPUTED_VALUE"""),46186.70295138889)</f>
        <v>46186.70295</v>
      </c>
      <c r="B688" s="126">
        <f>IFERROR(__xludf.DUMMYFUNCTION("""COMPUTED_VALUE"""),46186.0)</f>
        <v>46186</v>
      </c>
      <c r="C688" s="122" t="str">
        <f>IFERROR(__xludf.DUMMYFUNCTION("""COMPUTED_VALUE"""),"CARS")</f>
        <v>CARS</v>
      </c>
      <c r="D688" s="122" t="str">
        <f>IFERROR(__xludf.DUMMYFUNCTION("""COMPUTED_VALUE"""),"AutoArena")</f>
        <v>AutoArena</v>
      </c>
      <c r="E688" s="122">
        <f>IFERROR(__xludf.DUMMYFUNCTION("""COMPUTED_VALUE"""),81.31)</f>
        <v>81.31</v>
      </c>
      <c r="F688" s="122">
        <f>IFERROR(__xludf.DUMMYFUNCTION("""COMPUTED_VALUE"""),0.002)</f>
        <v>0.002</v>
      </c>
    </row>
    <row r="689">
      <c r="A689" s="131">
        <f>IFERROR(__xludf.DUMMYFUNCTION("""COMPUTED_VALUE"""),46186.70295138889)</f>
        <v>46186.70295</v>
      </c>
      <c r="B689" s="126">
        <f>IFERROR(__xludf.DUMMYFUNCTION("""COMPUTED_VALUE"""),46186.0)</f>
        <v>46186</v>
      </c>
      <c r="C689" s="122" t="str">
        <f>IFERROR(__xludf.DUMMYFUNCTION("""COMPUTED_VALUE"""),"EVGO")</f>
        <v>EVGO</v>
      </c>
      <c r="D689" s="122" t="str">
        <f>IFERROR(__xludf.DUMMYFUNCTION("""COMPUTED_VALUE"""),"EVGo Motors")</f>
        <v>EVGo Motors</v>
      </c>
      <c r="E689" s="122">
        <f>IFERROR(__xludf.DUMMYFUNCTION("""COMPUTED_VALUE"""),195.87)</f>
        <v>195.87</v>
      </c>
      <c r="F689" s="122">
        <f>IFERROR(__xludf.DUMMYFUNCTION("""COMPUTED_VALUE"""),-0.0107)</f>
        <v>-0.0107</v>
      </c>
    </row>
    <row r="690">
      <c r="A690" s="131">
        <f>IFERROR(__xludf.DUMMYFUNCTION("""COMPUTED_VALUE"""),46186.70295138889)</f>
        <v>46186.70295</v>
      </c>
      <c r="B690" s="126">
        <f>IFERROR(__xludf.DUMMYFUNCTION("""COMPUTED_VALUE"""),46186.0)</f>
        <v>46186</v>
      </c>
      <c r="C690" s="122" t="str">
        <f>IFERROR(__xludf.DUMMYFUNCTION("""COMPUTED_VALUE"""),"TIRE")</f>
        <v>TIRE</v>
      </c>
      <c r="D690" s="122" t="str">
        <f>IFERROR(__xludf.DUMMYFUNCTION("""COMPUTED_VALUE"""),"TireTown")</f>
        <v>TireTown</v>
      </c>
      <c r="E690" s="122">
        <f>IFERROR(__xludf.DUMMYFUNCTION("""COMPUTED_VALUE"""),85.12)</f>
        <v>85.12</v>
      </c>
      <c r="F690" s="122">
        <f>IFERROR(__xludf.DUMMYFUNCTION("""COMPUTED_VALUE"""),0.0052)</f>
        <v>0.0052</v>
      </c>
    </row>
    <row r="691">
      <c r="A691" s="131">
        <f>IFERROR(__xludf.DUMMYFUNCTION("""COMPUTED_VALUE"""),46186.70295138889)</f>
        <v>46186.70295</v>
      </c>
      <c r="B691" s="126">
        <f>IFERROR(__xludf.DUMMYFUNCTION("""COMPUTED_VALUE"""),46186.0)</f>
        <v>46186</v>
      </c>
      <c r="C691" s="122" t="str">
        <f>IFERROR(__xludf.DUMMYFUNCTION("""COMPUTED_VALUE"""),"BIKE")</f>
        <v>BIKE</v>
      </c>
      <c r="D691" s="122" t="str">
        <f>IFERROR(__xludf.DUMMYFUNCTION("""COMPUTED_VALUE"""),"BikeBox")</f>
        <v>BikeBox</v>
      </c>
      <c r="E691" s="122">
        <f>IFERROR(__xludf.DUMMYFUNCTION("""COMPUTED_VALUE"""),54.89)</f>
        <v>54.89</v>
      </c>
      <c r="F691" s="122">
        <f>IFERROR(__xludf.DUMMYFUNCTION("""COMPUTED_VALUE"""),0.0026)</f>
        <v>0.0026</v>
      </c>
    </row>
    <row r="692">
      <c r="A692" s="131">
        <f>IFERROR(__xludf.DUMMYFUNCTION("""COMPUTED_VALUE"""),46186.70295138889)</f>
        <v>46186.70295</v>
      </c>
      <c r="B692" s="126">
        <f>IFERROR(__xludf.DUMMYFUNCTION("""COMPUTED_VALUE"""),46186.0)</f>
        <v>46186</v>
      </c>
      <c r="C692" s="122" t="str">
        <f>IFERROR(__xludf.DUMMYFUNCTION("""COMPUTED_VALUE"""),"WASH")</f>
        <v>WASH</v>
      </c>
      <c r="D692" s="122" t="str">
        <f>IFERROR(__xludf.DUMMYFUNCTION("""COMPUTED_VALUE"""),"CarWash Co")</f>
        <v>CarWash Co</v>
      </c>
      <c r="E692" s="122">
        <f>IFERROR(__xludf.DUMMYFUNCTION("""COMPUTED_VALUE"""),116.81)</f>
        <v>116.81</v>
      </c>
      <c r="F692" s="122">
        <f>IFERROR(__xludf.DUMMYFUNCTION("""COMPUTED_VALUE"""),-0.0024)</f>
        <v>-0.0024</v>
      </c>
    </row>
    <row r="693">
      <c r="A693" s="131">
        <f>IFERROR(__xludf.DUMMYFUNCTION("""COMPUTED_VALUE"""),46186.70295138889)</f>
        <v>46186.70295</v>
      </c>
      <c r="B693" s="126">
        <f>IFERROR(__xludf.DUMMYFUNCTION("""COMPUTED_VALUE"""),46186.0)</f>
        <v>46186</v>
      </c>
      <c r="C693" s="122" t="str">
        <f>IFERROR(__xludf.DUMMYFUNCTION("""COMPUTED_VALUE"""),"GBND")</f>
        <v>GBND</v>
      </c>
      <c r="D693" s="122" t="str">
        <f>IFERROR(__xludf.DUMMYFUNCTION("""COMPUTED_VALUE"""),"Classroom Government Bond")</f>
        <v>Classroom Government Bond</v>
      </c>
      <c r="E693" s="122">
        <f>IFERROR(__xludf.DUMMYFUNCTION("""COMPUTED_VALUE"""),100.93)</f>
        <v>100.93</v>
      </c>
      <c r="F693" s="122">
        <f>IFERROR(__xludf.DUMMYFUNCTION("""COMPUTED_VALUE"""),5.0E-4)</f>
        <v>0.0005</v>
      </c>
    </row>
    <row r="694">
      <c r="A694" s="131">
        <f>IFERROR(__xludf.DUMMYFUNCTION("""COMPUTED_VALUE"""),46186.70295138889)</f>
        <v>46186.70295</v>
      </c>
      <c r="B694" s="126">
        <f>IFERROR(__xludf.DUMMYFUNCTION("""COMPUTED_VALUE"""),46186.0)</f>
        <v>46186</v>
      </c>
      <c r="C694" s="122" t="str">
        <f>IFERROR(__xludf.DUMMYFUNCTION("""COMPUTED_VALUE"""),"SBND")</f>
        <v>SBND</v>
      </c>
      <c r="D694" s="122" t="str">
        <f>IFERROR(__xludf.DUMMYFUNCTION("""COMPUTED_VALUE"""),"School Savings Bond")</f>
        <v>School Savings Bond</v>
      </c>
      <c r="E694" s="122">
        <f>IFERROR(__xludf.DUMMYFUNCTION("""COMPUTED_VALUE"""),99.28)</f>
        <v>99.28</v>
      </c>
      <c r="F694" s="122">
        <f>IFERROR(__xludf.DUMMYFUNCTION("""COMPUTED_VALUE"""),1.0E-4)</f>
        <v>0.0001</v>
      </c>
    </row>
    <row r="695">
      <c r="A695" s="131">
        <f>IFERROR(__xludf.DUMMYFUNCTION("""COMPUTED_VALUE"""),46186.70295138889)</f>
        <v>46186.70295</v>
      </c>
      <c r="B695" s="126">
        <f>IFERROR(__xludf.DUMMYFUNCTION("""COMPUTED_VALUE"""),46186.0)</f>
        <v>46186</v>
      </c>
      <c r="C695" s="122" t="str">
        <f>IFERROR(__xludf.DUMMYFUNCTION("""COMPUTED_VALUE"""),"CBND")</f>
        <v>CBND</v>
      </c>
      <c r="D695" s="122" t="str">
        <f>IFERROR(__xludf.DUMMYFUNCTION("""COMPUTED_VALUE"""),"Corporate Classroom Bond")</f>
        <v>Corporate Classroom Bond</v>
      </c>
      <c r="E695" s="122">
        <f>IFERROR(__xludf.DUMMYFUNCTION("""COMPUTED_VALUE"""),97.78)</f>
        <v>97.78</v>
      </c>
      <c r="F695" s="122">
        <f>IFERROR(__xludf.DUMMYFUNCTION("""COMPUTED_VALUE"""),-1.0E-4)</f>
        <v>-0.0001</v>
      </c>
    </row>
    <row r="696">
      <c r="A696" s="131">
        <f>IFERROR(__xludf.DUMMYFUNCTION("""COMPUTED_VALUE"""),46186.70295138889)</f>
        <v>46186.70295</v>
      </c>
      <c r="B696" s="126">
        <f>IFERROR(__xludf.DUMMYFUNCTION("""COMPUTED_VALUE"""),46186.0)</f>
        <v>46186</v>
      </c>
      <c r="C696" s="122" t="str">
        <f>IFERROR(__xludf.DUMMYFUNCTION("""COMPUTED_VALUE"""),"TBIL")</f>
        <v>TBIL</v>
      </c>
      <c r="D696" s="122" t="str">
        <f>IFERROR(__xludf.DUMMYFUNCTION("""COMPUTED_VALUE"""),"Treasury Bill")</f>
        <v>Treasury Bill</v>
      </c>
      <c r="E696" s="122">
        <f>IFERROR(__xludf.DUMMYFUNCTION("""COMPUTED_VALUE"""),98.03)</f>
        <v>98.03</v>
      </c>
      <c r="F696" s="122">
        <f>IFERROR(__xludf.DUMMYFUNCTION("""COMPUTED_VALUE"""),-4.0E-4)</f>
        <v>-0.0004</v>
      </c>
    </row>
    <row r="697">
      <c r="A697" s="131">
        <f>IFERROR(__xludf.DUMMYFUNCTION("""COMPUTED_VALUE"""),46186.70295138889)</f>
        <v>46186.70295</v>
      </c>
      <c r="B697" s="126">
        <f>IFERROR(__xludf.DUMMYFUNCTION("""COMPUTED_VALUE"""),46186.0)</f>
        <v>46186</v>
      </c>
      <c r="C697" s="122" t="str">
        <f>IFERROR(__xludf.DUMMYFUNCTION("""COMPUTED_VALUE"""),"IBND")</f>
        <v>IBND</v>
      </c>
      <c r="D697" s="122" t="str">
        <f>IFERROR(__xludf.DUMMYFUNCTION("""COMPUTED_VALUE"""),"Inflation Protected Bond")</f>
        <v>Inflation Protected Bond</v>
      </c>
      <c r="E697" s="122">
        <f>IFERROR(__xludf.DUMMYFUNCTION("""COMPUTED_VALUE"""),100.49)</f>
        <v>100.49</v>
      </c>
      <c r="F697" s="122">
        <f>IFERROR(__xludf.DUMMYFUNCTION("""COMPUTED_VALUE"""),-5.0E-4)</f>
        <v>-0.0005</v>
      </c>
    </row>
    <row r="698">
      <c r="A698" s="131">
        <f>IFERROR(__xludf.DUMMYFUNCTION("""COMPUTED_VALUE"""),46186.70642361111)</f>
        <v>46186.70642</v>
      </c>
      <c r="B698" s="126">
        <f>IFERROR(__xludf.DUMMYFUNCTION("""COMPUTED_VALUE"""),46186.0)</f>
        <v>46186</v>
      </c>
      <c r="C698" s="122" t="str">
        <f>IFERROR(__xludf.DUMMYFUNCTION("""COMPUTED_VALUE"""),"SNAX")</f>
        <v>SNAX</v>
      </c>
      <c r="D698" s="122" t="str">
        <f>IFERROR(__xludf.DUMMYFUNCTION("""COMPUTED_VALUE"""),"MICA Snacks")</f>
        <v>MICA Snacks</v>
      </c>
      <c r="E698" s="122">
        <f>IFERROR(__xludf.DUMMYFUNCTION("""COMPUTED_VALUE"""),125.68)</f>
        <v>125.68</v>
      </c>
      <c r="F698" s="122">
        <f>IFERROR(__xludf.DUMMYFUNCTION("""COMPUTED_VALUE"""),0.0054)</f>
        <v>0.0054</v>
      </c>
    </row>
    <row r="699">
      <c r="A699" s="131">
        <f>IFERROR(__xludf.DUMMYFUNCTION("""COMPUTED_VALUE"""),46186.70642361111)</f>
        <v>46186.70642</v>
      </c>
      <c r="B699" s="126">
        <f>IFERROR(__xludf.DUMMYFUNCTION("""COMPUTED_VALUE"""),46186.0)</f>
        <v>46186</v>
      </c>
      <c r="C699" s="122" t="str">
        <f>IFERROR(__xludf.DUMMYFUNCTION("""COMPUTED_VALUE"""),"RAMN")</f>
        <v>RAMN</v>
      </c>
      <c r="D699" s="122" t="str">
        <f>IFERROR(__xludf.DUMMYFUNCTION("""COMPUTED_VALUE"""),"Ramen Republic")</f>
        <v>Ramen Republic</v>
      </c>
      <c r="E699" s="122">
        <f>IFERROR(__xludf.DUMMYFUNCTION("""COMPUTED_VALUE"""),78.79)</f>
        <v>78.79</v>
      </c>
      <c r="F699" s="122">
        <f>IFERROR(__xludf.DUMMYFUNCTION("""COMPUTED_VALUE"""),-0.0033)</f>
        <v>-0.0033</v>
      </c>
    </row>
    <row r="700">
      <c r="A700" s="131">
        <f>IFERROR(__xludf.DUMMYFUNCTION("""COMPUTED_VALUE"""),46186.70642361111)</f>
        <v>46186.70642</v>
      </c>
      <c r="B700" s="126">
        <f>IFERROR(__xludf.DUMMYFUNCTION("""COMPUTED_VALUE"""),46186.0)</f>
        <v>46186</v>
      </c>
      <c r="C700" s="122" t="str">
        <f>IFERROR(__xludf.DUMMYFUNCTION("""COMPUTED_VALUE"""),"COLA")</f>
        <v>COLA</v>
      </c>
      <c r="D700" s="122" t="str">
        <f>IFERROR(__xludf.DUMMYFUNCTION("""COMPUTED_VALUE"""),"K-Pop Cola")</f>
        <v>K-Pop Cola</v>
      </c>
      <c r="E700" s="122">
        <f>IFERROR(__xludf.DUMMYFUNCTION("""COMPUTED_VALUE"""),104.1)</f>
        <v>104.1</v>
      </c>
      <c r="F700" s="122">
        <f>IFERROR(__xludf.DUMMYFUNCTION("""COMPUTED_VALUE"""),9.0E-4)</f>
        <v>0.0009</v>
      </c>
    </row>
    <row r="701">
      <c r="A701" s="131">
        <f>IFERROR(__xludf.DUMMYFUNCTION("""COMPUTED_VALUE"""),46186.70642361111)</f>
        <v>46186.70642</v>
      </c>
      <c r="B701" s="126">
        <f>IFERROR(__xludf.DUMMYFUNCTION("""COMPUTED_VALUE"""),46186.0)</f>
        <v>46186</v>
      </c>
      <c r="C701" s="122" t="str">
        <f>IFERROR(__xludf.DUMMYFUNCTION("""COMPUTED_VALUE"""),"CHIP")</f>
        <v>CHIP</v>
      </c>
      <c r="D701" s="122" t="str">
        <f>IFERROR(__xludf.DUMMYFUNCTION("""COMPUTED_VALUE"""),"Chip Empire")</f>
        <v>Chip Empire</v>
      </c>
      <c r="E701" s="122">
        <f>IFERROR(__xludf.DUMMYFUNCTION("""COMPUTED_VALUE"""),86.94)</f>
        <v>86.94</v>
      </c>
      <c r="F701" s="122">
        <f>IFERROR(__xludf.DUMMYFUNCTION("""COMPUTED_VALUE"""),-0.0066)</f>
        <v>-0.0066</v>
      </c>
    </row>
    <row r="702">
      <c r="A702" s="131">
        <f>IFERROR(__xludf.DUMMYFUNCTION("""COMPUTED_VALUE"""),46186.70642361111)</f>
        <v>46186.70642</v>
      </c>
      <c r="B702" s="126">
        <f>IFERROR(__xludf.DUMMYFUNCTION("""COMPUTED_VALUE"""),46186.0)</f>
        <v>46186</v>
      </c>
      <c r="C702" s="122" t="str">
        <f>IFERROR(__xludf.DUMMYFUNCTION("""COMPUTED_VALUE"""),"CAND")</f>
        <v>CAND</v>
      </c>
      <c r="D702" s="122" t="str">
        <f>IFERROR(__xludf.DUMMYFUNCTION("""COMPUTED_VALUE"""),"Candy Capital")</f>
        <v>Candy Capital</v>
      </c>
      <c r="E702" s="122">
        <f>IFERROR(__xludf.DUMMYFUNCTION("""COMPUTED_VALUE"""),76.89)</f>
        <v>76.89</v>
      </c>
      <c r="F702" s="122">
        <f>IFERROR(__xludf.DUMMYFUNCTION("""COMPUTED_VALUE"""),-0.0032)</f>
        <v>-0.0032</v>
      </c>
    </row>
    <row r="703">
      <c r="A703" s="131">
        <f>IFERROR(__xludf.DUMMYFUNCTION("""COMPUTED_VALUE"""),46186.70642361111)</f>
        <v>46186.70642</v>
      </c>
      <c r="B703" s="126">
        <f>IFERROR(__xludf.DUMMYFUNCTION("""COMPUTED_VALUE"""),46186.0)</f>
        <v>46186</v>
      </c>
      <c r="C703" s="122" t="str">
        <f>IFERROR(__xludf.DUMMYFUNCTION("""COMPUTED_VALUE"""),"TECH")</f>
        <v>TECH</v>
      </c>
      <c r="D703" s="122" t="str">
        <f>IFERROR(__xludf.DUMMYFUNCTION("""COMPUTED_VALUE"""),"Dragon Tech")</f>
        <v>Dragon Tech</v>
      </c>
      <c r="E703" s="122">
        <f>IFERROR(__xludf.DUMMYFUNCTION("""COMPUTED_VALUE"""),247.58)</f>
        <v>247.58</v>
      </c>
      <c r="F703" s="122">
        <f>IFERROR(__xludf.DUMMYFUNCTION("""COMPUTED_VALUE"""),-0.0043)</f>
        <v>-0.0043</v>
      </c>
    </row>
    <row r="704">
      <c r="A704" s="131">
        <f>IFERROR(__xludf.DUMMYFUNCTION("""COMPUTED_VALUE"""),46186.70642361111)</f>
        <v>46186.70642</v>
      </c>
      <c r="B704" s="126">
        <f>IFERROR(__xludf.DUMMYFUNCTION("""COMPUTED_VALUE"""),46186.0)</f>
        <v>46186</v>
      </c>
      <c r="C704" s="122" t="str">
        <f>IFERROR(__xludf.DUMMYFUNCTION("""COMPUTED_VALUE"""),"AIBO")</f>
        <v>AIBO</v>
      </c>
      <c r="D704" s="122" t="str">
        <f>IFERROR(__xludf.DUMMYFUNCTION("""COMPUTED_VALUE"""),"Homework AI")</f>
        <v>Homework AI</v>
      </c>
      <c r="E704" s="122">
        <f>IFERROR(__xludf.DUMMYFUNCTION("""COMPUTED_VALUE"""),175.98)</f>
        <v>175.98</v>
      </c>
      <c r="F704" s="122">
        <f>IFERROR(__xludf.DUMMYFUNCTION("""COMPUTED_VALUE"""),0.0)</f>
        <v>0</v>
      </c>
    </row>
    <row r="705">
      <c r="A705" s="131">
        <f>IFERROR(__xludf.DUMMYFUNCTION("""COMPUTED_VALUE"""),46186.70642361111)</f>
        <v>46186.70642</v>
      </c>
      <c r="B705" s="126">
        <f>IFERROR(__xludf.DUMMYFUNCTION("""COMPUTED_VALUE"""),46186.0)</f>
        <v>46186</v>
      </c>
      <c r="C705" s="122" t="str">
        <f>IFERROR(__xludf.DUMMYFUNCTION("""COMPUTED_VALUE"""),"GAME")</f>
        <v>GAME</v>
      </c>
      <c r="D705" s="122" t="str">
        <f>IFERROR(__xludf.DUMMYFUNCTION("""COMPUTED_VALUE"""),"GameBox Media")</f>
        <v>GameBox Media</v>
      </c>
      <c r="E705" s="122">
        <f>IFERROR(__xludf.DUMMYFUNCTION("""COMPUTED_VALUE"""),90.02)</f>
        <v>90.02</v>
      </c>
      <c r="F705" s="122">
        <f>IFERROR(__xludf.DUMMYFUNCTION("""COMPUTED_VALUE"""),0.0098)</f>
        <v>0.0098</v>
      </c>
    </row>
    <row r="706">
      <c r="A706" s="131">
        <f>IFERROR(__xludf.DUMMYFUNCTION("""COMPUTED_VALUE"""),46186.70642361111)</f>
        <v>46186.70642</v>
      </c>
      <c r="B706" s="126">
        <f>IFERROR(__xludf.DUMMYFUNCTION("""COMPUTED_VALUE"""),46186.0)</f>
        <v>46186</v>
      </c>
      <c r="C706" s="122" t="str">
        <f>IFERROR(__xludf.DUMMYFUNCTION("""COMPUTED_VALUE"""),"VRSE")</f>
        <v>VRSE</v>
      </c>
      <c r="D706" s="122" t="str">
        <f>IFERROR(__xludf.DUMMYFUNCTION("""COMPUTED_VALUE"""),"VerseVR")</f>
        <v>VerseVR</v>
      </c>
      <c r="E706" s="122">
        <f>IFERROR(__xludf.DUMMYFUNCTION("""COMPUTED_VALUE"""),152.09)</f>
        <v>152.09</v>
      </c>
      <c r="F706" s="122">
        <f>IFERROR(__xludf.DUMMYFUNCTION("""COMPUTED_VALUE"""),0.0026)</f>
        <v>0.0026</v>
      </c>
    </row>
    <row r="707">
      <c r="A707" s="131">
        <f>IFERROR(__xludf.DUMMYFUNCTION("""COMPUTED_VALUE"""),46186.70642361111)</f>
        <v>46186.70642</v>
      </c>
      <c r="B707" s="126">
        <f>IFERROR(__xludf.DUMMYFUNCTION("""COMPUTED_VALUE"""),46186.0)</f>
        <v>46186</v>
      </c>
      <c r="C707" s="122" t="str">
        <f>IFERROR(__xludf.DUMMYFUNCTION("""COMPUTED_VALUE"""),"BYTE")</f>
        <v>BYTE</v>
      </c>
      <c r="D707" s="122" t="str">
        <f>IFERROR(__xludf.DUMMYFUNCTION("""COMPUTED_VALUE"""),"ByteWorks")</f>
        <v>ByteWorks</v>
      </c>
      <c r="E707" s="122">
        <f>IFERROR(__xludf.DUMMYFUNCTION("""COMPUTED_VALUE"""),110.73)</f>
        <v>110.73</v>
      </c>
      <c r="F707" s="122">
        <f>IFERROR(__xludf.DUMMYFUNCTION("""COMPUTED_VALUE"""),0.0017)</f>
        <v>0.0017</v>
      </c>
    </row>
    <row r="708">
      <c r="A708" s="131">
        <f>IFERROR(__xludf.DUMMYFUNCTION("""COMPUTED_VALUE"""),46186.70642361111)</f>
        <v>46186.70642</v>
      </c>
      <c r="B708" s="126">
        <f>IFERROR(__xludf.DUMMYFUNCTION("""COMPUTED_VALUE"""),46186.0)</f>
        <v>46186</v>
      </c>
      <c r="C708" s="122" t="str">
        <f>IFERROR(__xludf.DUMMYFUNCTION("""COMPUTED_VALUE"""),"BANK")</f>
        <v>BANK</v>
      </c>
      <c r="D708" s="122" t="str">
        <f>IFERROR(__xludf.DUMMYFUNCTION("""COMPUTED_VALUE"""),"Tiger Bank")</f>
        <v>Tiger Bank</v>
      </c>
      <c r="E708" s="122">
        <f>IFERROR(__xludf.DUMMYFUNCTION("""COMPUTED_VALUE"""),122.0)</f>
        <v>122</v>
      </c>
      <c r="F708" s="122">
        <f>IFERROR(__xludf.DUMMYFUNCTION("""COMPUTED_VALUE"""),-0.0019)</f>
        <v>-0.0019</v>
      </c>
    </row>
    <row r="709">
      <c r="A709" s="131">
        <f>IFERROR(__xludf.DUMMYFUNCTION("""COMPUTED_VALUE"""),46186.70642361111)</f>
        <v>46186.70642</v>
      </c>
      <c r="B709" s="126">
        <f>IFERROR(__xludf.DUMMYFUNCTION("""COMPUTED_VALUE"""),46186.0)</f>
        <v>46186</v>
      </c>
      <c r="C709" s="122" t="str">
        <f>IFERROR(__xludf.DUMMYFUNCTION("""COMPUTED_VALUE"""),"CRED")</f>
        <v>CRED</v>
      </c>
      <c r="D709" s="122" t="str">
        <f>IFERROR(__xludf.DUMMYFUNCTION("""COMPUTED_VALUE"""),"Credit Castle")</f>
        <v>Credit Castle</v>
      </c>
      <c r="E709" s="122">
        <f>IFERROR(__xludf.DUMMYFUNCTION("""COMPUTED_VALUE"""),68.67)</f>
        <v>68.67</v>
      </c>
      <c r="F709" s="122">
        <f>IFERROR(__xludf.DUMMYFUNCTION("""COMPUTED_VALUE"""),0.0016)</f>
        <v>0.0016</v>
      </c>
    </row>
    <row r="710">
      <c r="A710" s="131">
        <f>IFERROR(__xludf.DUMMYFUNCTION("""COMPUTED_VALUE"""),46186.70642361111)</f>
        <v>46186.70642</v>
      </c>
      <c r="B710" s="126">
        <f>IFERROR(__xludf.DUMMYFUNCTION("""COMPUTED_VALUE"""),46186.0)</f>
        <v>46186</v>
      </c>
      <c r="C710" s="122" t="str">
        <f>IFERROR(__xludf.DUMMYFUNCTION("""COMPUTED_VALUE"""),"BOND")</f>
        <v>BOND</v>
      </c>
      <c r="D710" s="122" t="str">
        <f>IFERROR(__xludf.DUMMYFUNCTION("""COMPUTED_VALUE"""),"BondBridge")</f>
        <v>BondBridge</v>
      </c>
      <c r="E710" s="122">
        <f>IFERROR(__xludf.DUMMYFUNCTION("""COMPUTED_VALUE"""),94.83)</f>
        <v>94.83</v>
      </c>
      <c r="F710" s="122">
        <f>IFERROR(__xludf.DUMMYFUNCTION("""COMPUTED_VALUE"""),6.0E-4)</f>
        <v>0.0006</v>
      </c>
    </row>
    <row r="711">
      <c r="A711" s="131">
        <f>IFERROR(__xludf.DUMMYFUNCTION("""COMPUTED_VALUE"""),46186.70642361111)</f>
        <v>46186.70642</v>
      </c>
      <c r="B711" s="126">
        <f>IFERROR(__xludf.DUMMYFUNCTION("""COMPUTED_VALUE"""),46186.0)</f>
        <v>46186</v>
      </c>
      <c r="C711" s="122" t="str">
        <f>IFERROR(__xludf.DUMMYFUNCTION("""COMPUTED_VALUE"""),"INSR")</f>
        <v>INSR</v>
      </c>
      <c r="D711" s="122" t="str">
        <f>IFERROR(__xludf.DUMMYFUNCTION("""COMPUTED_VALUE"""),"Shield Insurance")</f>
        <v>Shield Insurance</v>
      </c>
      <c r="E711" s="122">
        <f>IFERROR(__xludf.DUMMYFUNCTION("""COMPUTED_VALUE"""),150.19)</f>
        <v>150.19</v>
      </c>
      <c r="F711" s="122">
        <f>IFERROR(__xludf.DUMMYFUNCTION("""COMPUTED_VALUE"""),-0.0013)</f>
        <v>-0.0013</v>
      </c>
    </row>
    <row r="712">
      <c r="A712" s="131">
        <f>IFERROR(__xludf.DUMMYFUNCTION("""COMPUTED_VALUE"""),46186.70642361111)</f>
        <v>46186.70642</v>
      </c>
      <c r="B712" s="126">
        <f>IFERROR(__xludf.DUMMYFUNCTION("""COMPUTED_VALUE"""),46186.0)</f>
        <v>46186</v>
      </c>
      <c r="C712" s="122" t="str">
        <f>IFERROR(__xludf.DUMMYFUNCTION("""COMPUTED_VALUE"""),"LOAN")</f>
        <v>LOAN</v>
      </c>
      <c r="D712" s="122" t="str">
        <f>IFERROR(__xludf.DUMMYFUNCTION("""COMPUTED_VALUE"""),"LoanLab")</f>
        <v>LoanLab</v>
      </c>
      <c r="E712" s="122">
        <f>IFERROR(__xludf.DUMMYFUNCTION("""COMPUTED_VALUE"""),59.53)</f>
        <v>59.53</v>
      </c>
      <c r="F712" s="122">
        <f>IFERROR(__xludf.DUMMYFUNCTION("""COMPUTED_VALUE"""),-0.0033)</f>
        <v>-0.0033</v>
      </c>
    </row>
    <row r="713">
      <c r="A713" s="131">
        <f>IFERROR(__xludf.DUMMYFUNCTION("""COMPUTED_VALUE"""),46186.70642361111)</f>
        <v>46186.70642</v>
      </c>
      <c r="B713" s="126">
        <f>IFERROR(__xludf.DUMMYFUNCTION("""COMPUTED_VALUE"""),46186.0)</f>
        <v>46186</v>
      </c>
      <c r="C713" s="122" t="str">
        <f>IFERROR(__xludf.DUMMYFUNCTION("""COMPUTED_VALUE"""),"LUXE")</f>
        <v>LUXE</v>
      </c>
      <c r="D713" s="122" t="str">
        <f>IFERROR(__xludf.DUMMYFUNCTION("""COMPUTED_VALUE"""),"Luxury Locker")</f>
        <v>Luxury Locker</v>
      </c>
      <c r="E713" s="122">
        <f>IFERROR(__xludf.DUMMYFUNCTION("""COMPUTED_VALUE"""),263.7)</f>
        <v>263.7</v>
      </c>
      <c r="F713" s="122">
        <f>IFERROR(__xludf.DUMMYFUNCTION("""COMPUTED_VALUE"""),0.0063)</f>
        <v>0.0063</v>
      </c>
    </row>
    <row r="714">
      <c r="A714" s="131">
        <f>IFERROR(__xludf.DUMMYFUNCTION("""COMPUTED_VALUE"""),46186.70642361111)</f>
        <v>46186.70642</v>
      </c>
      <c r="B714" s="126">
        <f>IFERROR(__xludf.DUMMYFUNCTION("""COMPUTED_VALUE"""),46186.0)</f>
        <v>46186</v>
      </c>
      <c r="C714" s="122" t="str">
        <f>IFERROR(__xludf.DUMMYFUNCTION("""COMPUTED_VALUE"""),"DRIP")</f>
        <v>DRIP</v>
      </c>
      <c r="D714" s="122" t="str">
        <f>IFERROR(__xludf.DUMMYFUNCTION("""COMPUTED_VALUE"""),"Drip Streetwear")</f>
        <v>Drip Streetwear</v>
      </c>
      <c r="E714" s="122">
        <f>IFERROR(__xludf.DUMMYFUNCTION("""COMPUTED_VALUE"""),199.74)</f>
        <v>199.74</v>
      </c>
      <c r="F714" s="122">
        <f>IFERROR(__xludf.DUMMYFUNCTION("""COMPUTED_VALUE"""),-0.0025)</f>
        <v>-0.0025</v>
      </c>
    </row>
    <row r="715">
      <c r="A715" s="131">
        <f>IFERROR(__xludf.DUMMYFUNCTION("""COMPUTED_VALUE"""),46186.70642361111)</f>
        <v>46186.70642</v>
      </c>
      <c r="B715" s="126">
        <f>IFERROR(__xludf.DUMMYFUNCTION("""COMPUTED_VALUE"""),46186.0)</f>
        <v>46186</v>
      </c>
      <c r="C715" s="122" t="str">
        <f>IFERROR(__xludf.DUMMYFUNCTION("""COMPUTED_VALUE"""),"KICK")</f>
        <v>KICK</v>
      </c>
      <c r="D715" s="122" t="str">
        <f>IFERROR(__xludf.DUMMYFUNCTION("""COMPUTED_VALUE"""),"KickDrop Sneakers")</f>
        <v>KickDrop Sneakers</v>
      </c>
      <c r="E715" s="122">
        <f>IFERROR(__xludf.DUMMYFUNCTION("""COMPUTED_VALUE"""),178.8)</f>
        <v>178.8</v>
      </c>
      <c r="F715" s="122">
        <f>IFERROR(__xludf.DUMMYFUNCTION("""COMPUTED_VALUE"""),6.0E-4)</f>
        <v>0.0006</v>
      </c>
    </row>
    <row r="716">
      <c r="A716" s="131">
        <f>IFERROR(__xludf.DUMMYFUNCTION("""COMPUTED_VALUE"""),46186.70642361111)</f>
        <v>46186.70642</v>
      </c>
      <c r="B716" s="126">
        <f>IFERROR(__xludf.DUMMYFUNCTION("""COMPUTED_VALUE"""),46186.0)</f>
        <v>46186</v>
      </c>
      <c r="C716" s="122" t="str">
        <f>IFERROR(__xludf.DUMMYFUNCTION("""COMPUTED_VALUE"""),"GLAM")</f>
        <v>GLAM</v>
      </c>
      <c r="D716" s="122" t="str">
        <f>IFERROR(__xludf.DUMMYFUNCTION("""COMPUTED_VALUE"""),"Glow Cosmetics")</f>
        <v>Glow Cosmetics</v>
      </c>
      <c r="E716" s="122">
        <f>IFERROR(__xludf.DUMMYFUNCTION("""COMPUTED_VALUE"""),90.06)</f>
        <v>90.06</v>
      </c>
      <c r="F716" s="122">
        <f>IFERROR(__xludf.DUMMYFUNCTION("""COMPUTED_VALUE"""),-0.0046)</f>
        <v>-0.0046</v>
      </c>
    </row>
    <row r="717">
      <c r="A717" s="131">
        <f>IFERROR(__xludf.DUMMYFUNCTION("""COMPUTED_VALUE"""),46186.70642361111)</f>
        <v>46186.70642</v>
      </c>
      <c r="B717" s="126">
        <f>IFERROR(__xludf.DUMMYFUNCTION("""COMPUTED_VALUE"""),46186.0)</f>
        <v>46186</v>
      </c>
      <c r="C717" s="122" t="str">
        <f>IFERROR(__xludf.DUMMYFUNCTION("""COMPUTED_VALUE"""),"BAGG")</f>
        <v>BAGG</v>
      </c>
      <c r="D717" s="122" t="str">
        <f>IFERROR(__xludf.DUMMYFUNCTION("""COMPUTED_VALUE"""),"BagVault")</f>
        <v>BagVault</v>
      </c>
      <c r="E717" s="122">
        <f>IFERROR(__xludf.DUMMYFUNCTION("""COMPUTED_VALUE"""),241.06)</f>
        <v>241.06</v>
      </c>
      <c r="F717" s="122">
        <f>IFERROR(__xludf.DUMMYFUNCTION("""COMPUTED_VALUE"""),0.0023)</f>
        <v>0.0023</v>
      </c>
    </row>
    <row r="718">
      <c r="A718" s="131">
        <f>IFERROR(__xludf.DUMMYFUNCTION("""COMPUTED_VALUE"""),46186.70642361111)</f>
        <v>46186.70642</v>
      </c>
      <c r="B718" s="126">
        <f>IFERROR(__xludf.DUMMYFUNCTION("""COMPUTED_VALUE"""),46186.0)</f>
        <v>46186</v>
      </c>
      <c r="C718" s="122" t="str">
        <f>IFERROR(__xludf.DUMMYFUNCTION("""COMPUTED_VALUE"""),"FAST")</f>
        <v>FAST</v>
      </c>
      <c r="D718" s="122" t="str">
        <f>IFERROR(__xludf.DUMMYFUNCTION("""COMPUTED_VALUE"""),"Flash Logistics")</f>
        <v>Flash Logistics</v>
      </c>
      <c r="E718" s="122">
        <f>IFERROR(__xludf.DUMMYFUNCTION("""COMPUTED_VALUE"""),102.12)</f>
        <v>102.12</v>
      </c>
      <c r="F718" s="122">
        <f>IFERROR(__xludf.DUMMYFUNCTION("""COMPUTED_VALUE"""),0.0036)</f>
        <v>0.0036</v>
      </c>
    </row>
    <row r="719">
      <c r="A719" s="131">
        <f>IFERROR(__xludf.DUMMYFUNCTION("""COMPUTED_VALUE"""),46186.70642361111)</f>
        <v>46186.70642</v>
      </c>
      <c r="B719" s="126">
        <f>IFERROR(__xludf.DUMMYFUNCTION("""COMPUTED_VALUE"""),46186.0)</f>
        <v>46186</v>
      </c>
      <c r="C719" s="122" t="str">
        <f>IFERROR(__xludf.DUMMYFUNCTION("""COMPUTED_VALUE"""),"SHIP")</f>
        <v>SHIP</v>
      </c>
      <c r="D719" s="122" t="str">
        <f>IFERROR(__xludf.DUMMYFUNCTION("""COMPUTED_VALUE"""),"Seoul Shipping")</f>
        <v>Seoul Shipping</v>
      </c>
      <c r="E719" s="122">
        <f>IFERROR(__xludf.DUMMYFUNCTION("""COMPUTED_VALUE"""),116.56)</f>
        <v>116.56</v>
      </c>
      <c r="F719" s="122">
        <f>IFERROR(__xludf.DUMMYFUNCTION("""COMPUTED_VALUE"""),0.0015)</f>
        <v>0.0015</v>
      </c>
    </row>
    <row r="720">
      <c r="A720" s="131">
        <f>IFERROR(__xludf.DUMMYFUNCTION("""COMPUTED_VALUE"""),46186.70642361111)</f>
        <v>46186.70642</v>
      </c>
      <c r="B720" s="126">
        <f>IFERROR(__xludf.DUMMYFUNCTION("""COMPUTED_VALUE"""),46186.0)</f>
        <v>46186</v>
      </c>
      <c r="C720" s="122" t="str">
        <f>IFERROR(__xludf.DUMMYFUNCTION("""COMPUTED_VALUE"""),"DRON")</f>
        <v>DRON</v>
      </c>
      <c r="D720" s="122" t="str">
        <f>IFERROR(__xludf.DUMMYFUNCTION("""COMPUTED_VALUE"""),"DroneDrop")</f>
        <v>DroneDrop</v>
      </c>
      <c r="E720" s="122">
        <f>IFERROR(__xludf.DUMMYFUNCTION("""COMPUTED_VALUE"""),129.99)</f>
        <v>129.99</v>
      </c>
      <c r="F720" s="122">
        <f>IFERROR(__xludf.DUMMYFUNCTION("""COMPUTED_VALUE"""),-0.0015)</f>
        <v>-0.0015</v>
      </c>
    </row>
    <row r="721">
      <c r="A721" s="131">
        <f>IFERROR(__xludf.DUMMYFUNCTION("""COMPUTED_VALUE"""),46186.70642361111)</f>
        <v>46186.70642</v>
      </c>
      <c r="B721" s="126">
        <f>IFERROR(__xludf.DUMMYFUNCTION("""COMPUTED_VALUE"""),46186.0)</f>
        <v>46186</v>
      </c>
      <c r="C721" s="122" t="str">
        <f>IFERROR(__xludf.DUMMYFUNCTION("""COMPUTED_VALUE"""),"RIDE")</f>
        <v>RIDE</v>
      </c>
      <c r="D721" s="122" t="str">
        <f>IFERROR(__xludf.DUMMYFUNCTION("""COMPUTED_VALUE"""),"QuickRide")</f>
        <v>QuickRide</v>
      </c>
      <c r="E721" s="122">
        <f>IFERROR(__xludf.DUMMYFUNCTION("""COMPUTED_VALUE"""),96.18)</f>
        <v>96.18</v>
      </c>
      <c r="F721" s="122">
        <f>IFERROR(__xludf.DUMMYFUNCTION("""COMPUTED_VALUE"""),-0.0056)</f>
        <v>-0.0056</v>
      </c>
    </row>
    <row r="722">
      <c r="A722" s="131">
        <f>IFERROR(__xludf.DUMMYFUNCTION("""COMPUTED_VALUE"""),46186.70642361111)</f>
        <v>46186.70642</v>
      </c>
      <c r="B722" s="126">
        <f>IFERROR(__xludf.DUMMYFUNCTION("""COMPUTED_VALUE"""),46186.0)</f>
        <v>46186</v>
      </c>
      <c r="C722" s="122" t="str">
        <f>IFERROR(__xludf.DUMMYFUNCTION("""COMPUTED_VALUE"""),"RAIL")</f>
        <v>RAIL</v>
      </c>
      <c r="D722" s="122" t="str">
        <f>IFERROR(__xludf.DUMMYFUNCTION("""COMPUTED_VALUE"""),"MetroRail Corp")</f>
        <v>MetroRail Corp</v>
      </c>
      <c r="E722" s="122">
        <f>IFERROR(__xludf.DUMMYFUNCTION("""COMPUTED_VALUE"""),135.11)</f>
        <v>135.11</v>
      </c>
      <c r="F722" s="122">
        <f>IFERROR(__xludf.DUMMYFUNCTION("""COMPUTED_VALUE"""),-1.0E-4)</f>
        <v>-0.0001</v>
      </c>
    </row>
    <row r="723">
      <c r="A723" s="131">
        <f>IFERROR(__xludf.DUMMYFUNCTION("""COMPUTED_VALUE"""),46186.70642361111)</f>
        <v>46186.70642</v>
      </c>
      <c r="B723" s="126">
        <f>IFERROR(__xludf.DUMMYFUNCTION("""COMPUTED_VALUE"""),46186.0)</f>
        <v>46186</v>
      </c>
      <c r="C723" s="122" t="str">
        <f>IFERROR(__xludf.DUMMYFUNCTION("""COMPUTED_VALUE"""),"MEDX")</f>
        <v>MEDX</v>
      </c>
      <c r="D723" s="122" t="str">
        <f>IFERROR(__xludf.DUMMYFUNCTION("""COMPUTED_VALUE"""),"MediCore")</f>
        <v>MediCore</v>
      </c>
      <c r="E723" s="122">
        <f>IFERROR(__xludf.DUMMYFUNCTION("""COMPUTED_VALUE"""),136.55)</f>
        <v>136.55</v>
      </c>
      <c r="F723" s="122">
        <f>IFERROR(__xludf.DUMMYFUNCTION("""COMPUTED_VALUE"""),-4.0E-4)</f>
        <v>-0.0004</v>
      </c>
    </row>
    <row r="724">
      <c r="A724" s="131">
        <f>IFERROR(__xludf.DUMMYFUNCTION("""COMPUTED_VALUE"""),46186.70642361111)</f>
        <v>46186.70642</v>
      </c>
      <c r="B724" s="126">
        <f>IFERROR(__xludf.DUMMYFUNCTION("""COMPUTED_VALUE"""),46186.0)</f>
        <v>46186</v>
      </c>
      <c r="C724" s="122" t="str">
        <f>IFERROR(__xludf.DUMMYFUNCTION("""COMPUTED_VALUE"""),"GYMX")</f>
        <v>GYMX</v>
      </c>
      <c r="D724" s="122" t="str">
        <f>IFERROR(__xludf.DUMMYFUNCTION("""COMPUTED_VALUE"""),"GymX Fitness")</f>
        <v>GymX Fitness</v>
      </c>
      <c r="E724" s="122">
        <f>IFERROR(__xludf.DUMMYFUNCTION("""COMPUTED_VALUE"""),86.74)</f>
        <v>86.74</v>
      </c>
      <c r="F724" s="122">
        <f>IFERROR(__xludf.DUMMYFUNCTION("""COMPUTED_VALUE"""),-0.0036)</f>
        <v>-0.0036</v>
      </c>
    </row>
    <row r="725">
      <c r="A725" s="131">
        <f>IFERROR(__xludf.DUMMYFUNCTION("""COMPUTED_VALUE"""),46186.70642361111)</f>
        <v>46186.70642</v>
      </c>
      <c r="B725" s="126">
        <f>IFERROR(__xludf.DUMMYFUNCTION("""COMPUTED_VALUE"""),46186.0)</f>
        <v>46186</v>
      </c>
      <c r="C725" s="122" t="str">
        <f>IFERROR(__xludf.DUMMYFUNCTION("""COMPUTED_VALUE"""),"VITA")</f>
        <v>VITA</v>
      </c>
      <c r="D725" s="122" t="str">
        <f>IFERROR(__xludf.DUMMYFUNCTION("""COMPUTED_VALUE"""),"VitaPlus")</f>
        <v>VitaPlus</v>
      </c>
      <c r="E725" s="122">
        <f>IFERROR(__xludf.DUMMYFUNCTION("""COMPUTED_VALUE"""),75.17)</f>
        <v>75.17</v>
      </c>
      <c r="F725" s="122">
        <f>IFERROR(__xludf.DUMMYFUNCTION("""COMPUTED_VALUE"""),-0.0027)</f>
        <v>-0.0027</v>
      </c>
    </row>
    <row r="726">
      <c r="A726" s="131">
        <f>IFERROR(__xludf.DUMMYFUNCTION("""COMPUTED_VALUE"""),46186.70642361111)</f>
        <v>46186.70642</v>
      </c>
      <c r="B726" s="126">
        <f>IFERROR(__xludf.DUMMYFUNCTION("""COMPUTED_VALUE"""),46186.0)</f>
        <v>46186</v>
      </c>
      <c r="C726" s="122" t="str">
        <f>IFERROR(__xludf.DUMMYFUNCTION("""COMPUTED_VALUE"""),"CARE")</f>
        <v>CARE</v>
      </c>
      <c r="D726" s="122" t="str">
        <f>IFERROR(__xludf.DUMMYFUNCTION("""COMPUTED_VALUE"""),"CareCloud")</f>
        <v>CareCloud</v>
      </c>
      <c r="E726" s="122">
        <f>IFERROR(__xludf.DUMMYFUNCTION("""COMPUTED_VALUE"""),177.75)</f>
        <v>177.75</v>
      </c>
      <c r="F726" s="122">
        <f>IFERROR(__xludf.DUMMYFUNCTION("""COMPUTED_VALUE"""),0.0075)</f>
        <v>0.0075</v>
      </c>
    </row>
    <row r="727">
      <c r="A727" s="131">
        <f>IFERROR(__xludf.DUMMYFUNCTION("""COMPUTED_VALUE"""),46186.70642361111)</f>
        <v>46186.70642</v>
      </c>
      <c r="B727" s="126">
        <f>IFERROR(__xludf.DUMMYFUNCTION("""COMPUTED_VALUE"""),46186.0)</f>
        <v>46186</v>
      </c>
      <c r="C727" s="122" t="str">
        <f>IFERROR(__xludf.DUMMYFUNCTION("""COMPUTED_VALUE"""),"DENT")</f>
        <v>DENT</v>
      </c>
      <c r="D727" s="122" t="str">
        <f>IFERROR(__xludf.DUMMYFUNCTION("""COMPUTED_VALUE"""),"SmileWorks")</f>
        <v>SmileWorks</v>
      </c>
      <c r="E727" s="122">
        <f>IFERROR(__xludf.DUMMYFUNCTION("""COMPUTED_VALUE"""),81.56)</f>
        <v>81.56</v>
      </c>
      <c r="F727" s="122">
        <f>IFERROR(__xludf.DUMMYFUNCTION("""COMPUTED_VALUE"""),-0.0034)</f>
        <v>-0.0034</v>
      </c>
    </row>
    <row r="728">
      <c r="A728" s="131">
        <f>IFERROR(__xludf.DUMMYFUNCTION("""COMPUTED_VALUE"""),46186.70642361111)</f>
        <v>46186.70642</v>
      </c>
      <c r="B728" s="126">
        <f>IFERROR(__xludf.DUMMYFUNCTION("""COMPUTED_VALUE"""),46186.0)</f>
        <v>46186</v>
      </c>
      <c r="C728" s="122" t="str">
        <f>IFERROR(__xludf.DUMMYFUNCTION("""COMPUTED_VALUE"""),"EDUX")</f>
        <v>EDUX</v>
      </c>
      <c r="D728" s="122" t="str">
        <f>IFERROR(__xludf.DUMMYFUNCTION("""COMPUTED_VALUE"""),"EduMax Learning")</f>
        <v>EduMax Learning</v>
      </c>
      <c r="E728" s="122">
        <f>IFERROR(__xludf.DUMMYFUNCTION("""COMPUTED_VALUE"""),132.57)</f>
        <v>132.57</v>
      </c>
      <c r="F728" s="122">
        <f>IFERROR(__xludf.DUMMYFUNCTION("""COMPUTED_VALUE"""),0.0017)</f>
        <v>0.0017</v>
      </c>
    </row>
    <row r="729">
      <c r="A729" s="131">
        <f>IFERROR(__xludf.DUMMYFUNCTION("""COMPUTED_VALUE"""),46186.70642361111)</f>
        <v>46186.70642</v>
      </c>
      <c r="B729" s="126">
        <f>IFERROR(__xludf.DUMMYFUNCTION("""COMPUTED_VALUE"""),46186.0)</f>
        <v>46186</v>
      </c>
      <c r="C729" s="122" t="str">
        <f>IFERROR(__xludf.DUMMYFUNCTION("""COMPUTED_VALUE"""),"BOOK")</f>
        <v>BOOK</v>
      </c>
      <c r="D729" s="122" t="str">
        <f>IFERROR(__xludf.DUMMYFUNCTION("""COMPUTED_VALUE"""),"BookBridge")</f>
        <v>BookBridge</v>
      </c>
      <c r="E729" s="122">
        <f>IFERROR(__xludf.DUMMYFUNCTION("""COMPUTED_VALUE"""),111.87)</f>
        <v>111.87</v>
      </c>
      <c r="F729" s="122">
        <f>IFERROR(__xludf.DUMMYFUNCTION("""COMPUTED_VALUE"""),0.0028)</f>
        <v>0.0028</v>
      </c>
    </row>
    <row r="730">
      <c r="A730" s="131">
        <f>IFERROR(__xludf.DUMMYFUNCTION("""COMPUTED_VALUE"""),46186.70642361111)</f>
        <v>46186.70642</v>
      </c>
      <c r="B730" s="126">
        <f>IFERROR(__xludf.DUMMYFUNCTION("""COMPUTED_VALUE"""),46186.0)</f>
        <v>46186</v>
      </c>
      <c r="C730" s="122" t="str">
        <f>IFERROR(__xludf.DUMMYFUNCTION("""COMPUTED_VALUE"""),"TUTR")</f>
        <v>TUTR</v>
      </c>
      <c r="D730" s="122" t="str">
        <f>IFERROR(__xludf.DUMMYFUNCTION("""COMPUTED_VALUE"""),"TutorTown")</f>
        <v>TutorTown</v>
      </c>
      <c r="E730" s="122">
        <f>IFERROR(__xludf.DUMMYFUNCTION("""COMPUTED_VALUE"""),91.15)</f>
        <v>91.15</v>
      </c>
      <c r="F730" s="122">
        <f>IFERROR(__xludf.DUMMYFUNCTION("""COMPUTED_VALUE"""),-7.0E-4)</f>
        <v>-0.0007</v>
      </c>
    </row>
    <row r="731">
      <c r="A731" s="131">
        <f>IFERROR(__xludf.DUMMYFUNCTION("""COMPUTED_VALUE"""),46186.70642361111)</f>
        <v>46186.70642</v>
      </c>
      <c r="B731" s="126">
        <f>IFERROR(__xludf.DUMMYFUNCTION("""COMPUTED_VALUE"""),46186.0)</f>
        <v>46186</v>
      </c>
      <c r="C731" s="122" t="str">
        <f>IFERROR(__xludf.DUMMYFUNCTION("""COMPUTED_VALUE"""),"LANG")</f>
        <v>LANG</v>
      </c>
      <c r="D731" s="122" t="str">
        <f>IFERROR(__xludf.DUMMYFUNCTION("""COMPUTED_VALUE"""),"LinguaLab")</f>
        <v>LinguaLab</v>
      </c>
      <c r="E731" s="122">
        <f>IFERROR(__xludf.DUMMYFUNCTION("""COMPUTED_VALUE"""),94.77)</f>
        <v>94.77</v>
      </c>
      <c r="F731" s="122">
        <f>IFERROR(__xludf.DUMMYFUNCTION("""COMPUTED_VALUE"""),0.0016)</f>
        <v>0.0016</v>
      </c>
    </row>
    <row r="732">
      <c r="A732" s="131">
        <f>IFERROR(__xludf.DUMMYFUNCTION("""COMPUTED_VALUE"""),46186.70642361111)</f>
        <v>46186.70642</v>
      </c>
      <c r="B732" s="126">
        <f>IFERROR(__xludf.DUMMYFUNCTION("""COMPUTED_VALUE"""),46186.0)</f>
        <v>46186</v>
      </c>
      <c r="C732" s="122" t="str">
        <f>IFERROR(__xludf.DUMMYFUNCTION("""COMPUTED_VALUE"""),"TEST")</f>
        <v>TEST</v>
      </c>
      <c r="D732" s="122" t="str">
        <f>IFERROR(__xludf.DUMMYFUNCTION("""COMPUTED_VALUE"""),"TestPrep Pro")</f>
        <v>TestPrep Pro</v>
      </c>
      <c r="E732" s="122">
        <f>IFERROR(__xludf.DUMMYFUNCTION("""COMPUTED_VALUE"""),101.07)</f>
        <v>101.07</v>
      </c>
      <c r="F732" s="122">
        <f>IFERROR(__xludf.DUMMYFUNCTION("""COMPUTED_VALUE"""),-0.009)</f>
        <v>-0.009</v>
      </c>
    </row>
    <row r="733">
      <c r="A733" s="131">
        <f>IFERROR(__xludf.DUMMYFUNCTION("""COMPUTED_VALUE"""),46186.70642361111)</f>
        <v>46186.70642</v>
      </c>
      <c r="B733" s="126">
        <f>IFERROR(__xludf.DUMMYFUNCTION("""COMPUTED_VALUE"""),46186.0)</f>
        <v>46186</v>
      </c>
      <c r="C733" s="122" t="str">
        <f>IFERROR(__xludf.DUMMYFUNCTION("""COMPUTED_VALUE"""),"MOVI")</f>
        <v>MOVI</v>
      </c>
      <c r="D733" s="122" t="str">
        <f>IFERROR(__xludf.DUMMYFUNCTION("""COMPUTED_VALUE"""),"MovieBox")</f>
        <v>MovieBox</v>
      </c>
      <c r="E733" s="122">
        <f>IFERROR(__xludf.DUMMYFUNCTION("""COMPUTED_VALUE"""),79.98)</f>
        <v>79.98</v>
      </c>
      <c r="F733" s="122">
        <f>IFERROR(__xludf.DUMMYFUNCTION("""COMPUTED_VALUE"""),0.0065)</f>
        <v>0.0065</v>
      </c>
    </row>
    <row r="734">
      <c r="A734" s="131">
        <f>IFERROR(__xludf.DUMMYFUNCTION("""COMPUTED_VALUE"""),46186.70642361111)</f>
        <v>46186.70642</v>
      </c>
      <c r="B734" s="126">
        <f>IFERROR(__xludf.DUMMYFUNCTION("""COMPUTED_VALUE"""),46186.0)</f>
        <v>46186</v>
      </c>
      <c r="C734" s="122" t="str">
        <f>IFERROR(__xludf.DUMMYFUNCTION("""COMPUTED_VALUE"""),"MUSC")</f>
        <v>MUSC</v>
      </c>
      <c r="D734" s="122" t="str">
        <f>IFERROR(__xludf.DUMMYFUNCTION("""COMPUTED_VALUE"""),"MusicWave")</f>
        <v>MusicWave</v>
      </c>
      <c r="E734" s="122">
        <f>IFERROR(__xludf.DUMMYFUNCTION("""COMPUTED_VALUE"""),97.28)</f>
        <v>97.28</v>
      </c>
      <c r="F734" s="122">
        <f>IFERROR(__xludf.DUMMYFUNCTION("""COMPUTED_VALUE"""),0.0079)</f>
        <v>0.0079</v>
      </c>
    </row>
    <row r="735">
      <c r="A735" s="131">
        <f>IFERROR(__xludf.DUMMYFUNCTION("""COMPUTED_VALUE"""),46186.70642361111)</f>
        <v>46186.70642</v>
      </c>
      <c r="B735" s="126">
        <f>IFERROR(__xludf.DUMMYFUNCTION("""COMPUTED_VALUE"""),46186.0)</f>
        <v>46186</v>
      </c>
      <c r="C735" s="122" t="str">
        <f>IFERROR(__xludf.DUMMYFUNCTION("""COMPUTED_VALUE"""),"IDOL")</f>
        <v>IDOL</v>
      </c>
      <c r="D735" s="122" t="str">
        <f>IFERROR(__xludf.DUMMYFUNCTION("""COMPUTED_VALUE"""),"Idol Agency")</f>
        <v>Idol Agency</v>
      </c>
      <c r="E735" s="122">
        <f>IFERROR(__xludf.DUMMYFUNCTION("""COMPUTED_VALUE"""),202.41)</f>
        <v>202.41</v>
      </c>
      <c r="F735" s="122">
        <f>IFERROR(__xludf.DUMMYFUNCTION("""COMPUTED_VALUE"""),-0.0088)</f>
        <v>-0.0088</v>
      </c>
    </row>
    <row r="736">
      <c r="A736" s="131">
        <f>IFERROR(__xludf.DUMMYFUNCTION("""COMPUTED_VALUE"""),46186.70642361111)</f>
        <v>46186.70642</v>
      </c>
      <c r="B736" s="126">
        <f>IFERROR(__xludf.DUMMYFUNCTION("""COMPUTED_VALUE"""),46186.0)</f>
        <v>46186</v>
      </c>
      <c r="C736" s="122" t="str">
        <f>IFERROR(__xludf.DUMMYFUNCTION("""COMPUTED_VALUE"""),"MEME")</f>
        <v>MEME</v>
      </c>
      <c r="D736" s="122" t="str">
        <f>IFERROR(__xludf.DUMMYFUNCTION("""COMPUTED_VALUE"""),"Meme Media")</f>
        <v>Meme Media</v>
      </c>
      <c r="E736" s="122">
        <f>IFERROR(__xludf.DUMMYFUNCTION("""COMPUTED_VALUE"""),80.54)</f>
        <v>80.54</v>
      </c>
      <c r="F736" s="122">
        <f>IFERROR(__xludf.DUMMYFUNCTION("""COMPUTED_VALUE"""),0.0075)</f>
        <v>0.0075</v>
      </c>
    </row>
    <row r="737">
      <c r="A737" s="131">
        <f>IFERROR(__xludf.DUMMYFUNCTION("""COMPUTED_VALUE"""),46186.70642361111)</f>
        <v>46186.70642</v>
      </c>
      <c r="B737" s="126">
        <f>IFERROR(__xludf.DUMMYFUNCTION("""COMPUTED_VALUE"""),46186.0)</f>
        <v>46186</v>
      </c>
      <c r="C737" s="122" t="str">
        <f>IFERROR(__xludf.DUMMYFUNCTION("""COMPUTED_VALUE"""),"STRM")</f>
        <v>STRM</v>
      </c>
      <c r="D737" s="122" t="str">
        <f>IFERROR(__xludf.DUMMYFUNCTION("""COMPUTED_VALUE"""),"Streamly")</f>
        <v>Streamly</v>
      </c>
      <c r="E737" s="122">
        <f>IFERROR(__xludf.DUMMYFUNCTION("""COMPUTED_VALUE"""),138.41)</f>
        <v>138.41</v>
      </c>
      <c r="F737" s="122">
        <f>IFERROR(__xludf.DUMMYFUNCTION("""COMPUTED_VALUE"""),0.0011)</f>
        <v>0.0011</v>
      </c>
    </row>
    <row r="738">
      <c r="A738" s="131">
        <f>IFERROR(__xludf.DUMMYFUNCTION("""COMPUTED_VALUE"""),46186.70642361111)</f>
        <v>46186.70642</v>
      </c>
      <c r="B738" s="126">
        <f>IFERROR(__xludf.DUMMYFUNCTION("""COMPUTED_VALUE"""),46186.0)</f>
        <v>46186</v>
      </c>
      <c r="C738" s="122" t="str">
        <f>IFERROR(__xludf.DUMMYFUNCTION("""COMPUTED_VALUE"""),"FARM")</f>
        <v>FARM</v>
      </c>
      <c r="D738" s="122" t="str">
        <f>IFERROR(__xludf.DUMMYFUNCTION("""COMPUTED_VALUE"""),"Future Farms")</f>
        <v>Future Farms</v>
      </c>
      <c r="E738" s="122">
        <f>IFERROR(__xludf.DUMMYFUNCTION("""COMPUTED_VALUE"""),78.99)</f>
        <v>78.99</v>
      </c>
      <c r="F738" s="122">
        <f>IFERROR(__xludf.DUMMYFUNCTION("""COMPUTED_VALUE"""),0.0036)</f>
        <v>0.0036</v>
      </c>
    </row>
    <row r="739">
      <c r="A739" s="131">
        <f>IFERROR(__xludf.DUMMYFUNCTION("""COMPUTED_VALUE"""),46186.70642361111)</f>
        <v>46186.70642</v>
      </c>
      <c r="B739" s="126">
        <f>IFERROR(__xludf.DUMMYFUNCTION("""COMPUTED_VALUE"""),46186.0)</f>
        <v>46186</v>
      </c>
      <c r="C739" s="122" t="str">
        <f>IFERROR(__xludf.DUMMYFUNCTION("""COMPUTED_VALUE"""),"MEAT")</f>
        <v>MEAT</v>
      </c>
      <c r="D739" s="122" t="str">
        <f>IFERROR(__xludf.DUMMYFUNCTION("""COMPUTED_VALUE"""),"MeatWorks")</f>
        <v>MeatWorks</v>
      </c>
      <c r="E739" s="122">
        <f>IFERROR(__xludf.DUMMYFUNCTION("""COMPUTED_VALUE"""),102.12)</f>
        <v>102.12</v>
      </c>
      <c r="F739" s="122">
        <f>IFERROR(__xludf.DUMMYFUNCTION("""COMPUTED_VALUE"""),-0.006)</f>
        <v>-0.006</v>
      </c>
    </row>
    <row r="740">
      <c r="A740" s="131">
        <f>IFERROR(__xludf.DUMMYFUNCTION("""COMPUTED_VALUE"""),46186.70642361111)</f>
        <v>46186.70642</v>
      </c>
      <c r="B740" s="126">
        <f>IFERROR(__xludf.DUMMYFUNCTION("""COMPUTED_VALUE"""),46186.0)</f>
        <v>46186</v>
      </c>
      <c r="C740" s="122" t="str">
        <f>IFERROR(__xludf.DUMMYFUNCTION("""COMPUTED_VALUE"""),"VEGI")</f>
        <v>VEGI</v>
      </c>
      <c r="D740" s="122" t="str">
        <f>IFERROR(__xludf.DUMMYFUNCTION("""COMPUTED_VALUE"""),"Green Basket")</f>
        <v>Green Basket</v>
      </c>
      <c r="E740" s="122">
        <f>IFERROR(__xludf.DUMMYFUNCTION("""COMPUTED_VALUE"""),84.1)</f>
        <v>84.1</v>
      </c>
      <c r="F740" s="122">
        <f>IFERROR(__xludf.DUMMYFUNCTION("""COMPUTED_VALUE"""),1.0E-4)</f>
        <v>0.0001</v>
      </c>
    </row>
    <row r="741">
      <c r="A741" s="131">
        <f>IFERROR(__xludf.DUMMYFUNCTION("""COMPUTED_VALUE"""),46186.70642361111)</f>
        <v>46186.70642</v>
      </c>
      <c r="B741" s="126">
        <f>IFERROR(__xludf.DUMMYFUNCTION("""COMPUTED_VALUE"""),46186.0)</f>
        <v>46186</v>
      </c>
      <c r="C741" s="122" t="str">
        <f>IFERROR(__xludf.DUMMYFUNCTION("""COMPUTED_VALUE"""),"CAFE")</f>
        <v>CAFE</v>
      </c>
      <c r="D741" s="122" t="str">
        <f>IFERROR(__xludf.DUMMYFUNCTION("""COMPUTED_VALUE"""),"Cafe Cloud")</f>
        <v>Cafe Cloud</v>
      </c>
      <c r="E741" s="122">
        <f>IFERROR(__xludf.DUMMYFUNCTION("""COMPUTED_VALUE"""),98.74)</f>
        <v>98.74</v>
      </c>
      <c r="F741" s="122">
        <f>IFERROR(__xludf.DUMMYFUNCTION("""COMPUTED_VALUE"""),0.01)</f>
        <v>0.01</v>
      </c>
    </row>
    <row r="742">
      <c r="A742" s="131">
        <f>IFERROR(__xludf.DUMMYFUNCTION("""COMPUTED_VALUE"""),46186.70642361111)</f>
        <v>46186.70642</v>
      </c>
      <c r="B742" s="126">
        <f>IFERROR(__xludf.DUMMYFUNCTION("""COMPUTED_VALUE"""),46186.0)</f>
        <v>46186</v>
      </c>
      <c r="C742" s="122" t="str">
        <f>IFERROR(__xludf.DUMMYFUNCTION("""COMPUTED_VALUE"""),"BAKE")</f>
        <v>BAKE</v>
      </c>
      <c r="D742" s="122" t="str">
        <f>IFERROR(__xludf.DUMMYFUNCTION("""COMPUTED_VALUE"""),"BakeHouse")</f>
        <v>BakeHouse</v>
      </c>
      <c r="E742" s="122">
        <f>IFERROR(__xludf.DUMMYFUNCTION("""COMPUTED_VALUE"""),100.13)</f>
        <v>100.13</v>
      </c>
      <c r="F742" s="122">
        <f>IFERROR(__xludf.DUMMYFUNCTION("""COMPUTED_VALUE"""),-0.0029)</f>
        <v>-0.0029</v>
      </c>
    </row>
    <row r="743">
      <c r="A743" s="131">
        <f>IFERROR(__xludf.DUMMYFUNCTION("""COMPUTED_VALUE"""),46186.70642361111)</f>
        <v>46186.70642</v>
      </c>
      <c r="B743" s="126">
        <f>IFERROR(__xludf.DUMMYFUNCTION("""COMPUTED_VALUE"""),46186.0)</f>
        <v>46186</v>
      </c>
      <c r="C743" s="122" t="str">
        <f>IFERROR(__xludf.DUMMYFUNCTION("""COMPUTED_VALUE"""),"OILX")</f>
        <v>OILX</v>
      </c>
      <c r="D743" s="122" t="str">
        <f>IFERROR(__xludf.DUMMYFUNCTION("""COMPUTED_VALUE"""),"OilMax Energy")</f>
        <v>OilMax Energy</v>
      </c>
      <c r="E743" s="122">
        <f>IFERROR(__xludf.DUMMYFUNCTION("""COMPUTED_VALUE"""),132.95)</f>
        <v>132.95</v>
      </c>
      <c r="F743" s="122">
        <f>IFERROR(__xludf.DUMMYFUNCTION("""COMPUTED_VALUE"""),-0.0011)</f>
        <v>-0.0011</v>
      </c>
    </row>
    <row r="744">
      <c r="A744" s="131">
        <f>IFERROR(__xludf.DUMMYFUNCTION("""COMPUTED_VALUE"""),46186.70642361111)</f>
        <v>46186.70642</v>
      </c>
      <c r="B744" s="126">
        <f>IFERROR(__xludf.DUMMYFUNCTION("""COMPUTED_VALUE"""),46186.0)</f>
        <v>46186</v>
      </c>
      <c r="C744" s="122" t="str">
        <f>IFERROR(__xludf.DUMMYFUNCTION("""COMPUTED_VALUE"""),"SOLR")</f>
        <v>SOLR</v>
      </c>
      <c r="D744" s="122" t="str">
        <f>IFERROR(__xludf.DUMMYFUNCTION("""COMPUTED_VALUE"""),"SolarSpark")</f>
        <v>SolarSpark</v>
      </c>
      <c r="E744" s="122">
        <f>IFERROR(__xludf.DUMMYFUNCTION("""COMPUTED_VALUE"""),80.28)</f>
        <v>80.28</v>
      </c>
      <c r="F744" s="122">
        <f>IFERROR(__xludf.DUMMYFUNCTION("""COMPUTED_VALUE"""),-0.0102)</f>
        <v>-0.0102</v>
      </c>
    </row>
    <row r="745">
      <c r="A745" s="131">
        <f>IFERROR(__xludf.DUMMYFUNCTION("""COMPUTED_VALUE"""),46186.70642361111)</f>
        <v>46186.70642</v>
      </c>
      <c r="B745" s="126">
        <f>IFERROR(__xludf.DUMMYFUNCTION("""COMPUTED_VALUE"""),46186.0)</f>
        <v>46186</v>
      </c>
      <c r="C745" s="122" t="str">
        <f>IFERROR(__xludf.DUMMYFUNCTION("""COMPUTED_VALUE"""),"BATT")</f>
        <v>BATT</v>
      </c>
      <c r="D745" s="122" t="str">
        <f>IFERROR(__xludf.DUMMYFUNCTION("""COMPUTED_VALUE"""),"BatteryBox")</f>
        <v>BatteryBox</v>
      </c>
      <c r="E745" s="122">
        <f>IFERROR(__xludf.DUMMYFUNCTION("""COMPUTED_VALUE"""),118.27)</f>
        <v>118.27</v>
      </c>
      <c r="F745" s="122">
        <f>IFERROR(__xludf.DUMMYFUNCTION("""COMPUTED_VALUE"""),0.0049)</f>
        <v>0.0049</v>
      </c>
    </row>
    <row r="746">
      <c r="A746" s="131">
        <f>IFERROR(__xludf.DUMMYFUNCTION("""COMPUTED_VALUE"""),46186.70642361111)</f>
        <v>46186.70642</v>
      </c>
      <c r="B746" s="126">
        <f>IFERROR(__xludf.DUMMYFUNCTION("""COMPUTED_VALUE"""),46186.0)</f>
        <v>46186</v>
      </c>
      <c r="C746" s="122" t="str">
        <f>IFERROR(__xludf.DUMMYFUNCTION("""COMPUTED_VALUE"""),"WIND")</f>
        <v>WIND</v>
      </c>
      <c r="D746" s="122" t="str">
        <f>IFERROR(__xludf.DUMMYFUNCTION("""COMPUTED_VALUE"""),"WindWorks")</f>
        <v>WindWorks</v>
      </c>
      <c r="E746" s="122">
        <f>IFERROR(__xludf.DUMMYFUNCTION("""COMPUTED_VALUE"""),90.75)</f>
        <v>90.75</v>
      </c>
      <c r="F746" s="122">
        <f>IFERROR(__xludf.DUMMYFUNCTION("""COMPUTED_VALUE"""),-0.0084)</f>
        <v>-0.0084</v>
      </c>
    </row>
    <row r="747">
      <c r="A747" s="131">
        <f>IFERROR(__xludf.DUMMYFUNCTION("""COMPUTED_VALUE"""),46186.70642361111)</f>
        <v>46186.70642</v>
      </c>
      <c r="B747" s="126">
        <f>IFERROR(__xludf.DUMMYFUNCTION("""COMPUTED_VALUE"""),46186.0)</f>
        <v>46186</v>
      </c>
      <c r="C747" s="122" t="str">
        <f>IFERROR(__xludf.DUMMYFUNCTION("""COMPUTED_VALUE"""),"GRID")</f>
        <v>GRID</v>
      </c>
      <c r="D747" s="122" t="str">
        <f>IFERROR(__xludf.DUMMYFUNCTION("""COMPUTED_VALUE"""),"GridPower")</f>
        <v>GridPower</v>
      </c>
      <c r="E747" s="122">
        <f>IFERROR(__xludf.DUMMYFUNCTION("""COMPUTED_VALUE"""),148.11)</f>
        <v>148.11</v>
      </c>
      <c r="F747" s="122">
        <f>IFERROR(__xludf.DUMMYFUNCTION("""COMPUTED_VALUE"""),0.0082)</f>
        <v>0.0082</v>
      </c>
    </row>
    <row r="748">
      <c r="A748" s="131">
        <f>IFERROR(__xludf.DUMMYFUNCTION("""COMPUTED_VALUE"""),46186.70642361111)</f>
        <v>46186.70642</v>
      </c>
      <c r="B748" s="126">
        <f>IFERROR(__xludf.DUMMYFUNCTION("""COMPUTED_VALUE"""),46186.0)</f>
        <v>46186</v>
      </c>
      <c r="C748" s="122" t="str">
        <f>IFERROR(__xludf.DUMMYFUNCTION("""COMPUTED_VALUE"""),"HOME")</f>
        <v>HOME</v>
      </c>
      <c r="D748" s="122" t="str">
        <f>IFERROR(__xludf.DUMMYFUNCTION("""COMPUTED_VALUE"""),"HomeHub")</f>
        <v>HomeHub</v>
      </c>
      <c r="E748" s="122">
        <f>IFERROR(__xludf.DUMMYFUNCTION("""COMPUTED_VALUE"""),144.76)</f>
        <v>144.76</v>
      </c>
      <c r="F748" s="122">
        <f>IFERROR(__xludf.DUMMYFUNCTION("""COMPUTED_VALUE"""),-0.0015)</f>
        <v>-0.0015</v>
      </c>
    </row>
    <row r="749">
      <c r="A749" s="131">
        <f>IFERROR(__xludf.DUMMYFUNCTION("""COMPUTED_VALUE"""),46186.70642361111)</f>
        <v>46186.70642</v>
      </c>
      <c r="B749" s="126">
        <f>IFERROR(__xludf.DUMMYFUNCTION("""COMPUTED_VALUE"""),46186.0)</f>
        <v>46186</v>
      </c>
      <c r="C749" s="122" t="str">
        <f>IFERROR(__xludf.DUMMYFUNCTION("""COMPUTED_VALUE"""),"RENT")</f>
        <v>RENT</v>
      </c>
      <c r="D749" s="122" t="str">
        <f>IFERROR(__xludf.DUMMYFUNCTION("""COMPUTED_VALUE"""),"RentRight")</f>
        <v>RentRight</v>
      </c>
      <c r="E749" s="122">
        <f>IFERROR(__xludf.DUMMYFUNCTION("""COMPUTED_VALUE"""),94.87)</f>
        <v>94.87</v>
      </c>
      <c r="F749" s="122">
        <f>IFERROR(__xludf.DUMMYFUNCTION("""COMPUTED_VALUE"""),-0.0027)</f>
        <v>-0.0027</v>
      </c>
    </row>
    <row r="750">
      <c r="A750" s="131">
        <f>IFERROR(__xludf.DUMMYFUNCTION("""COMPUTED_VALUE"""),46186.70642361111)</f>
        <v>46186.70642</v>
      </c>
      <c r="B750" s="126">
        <f>IFERROR(__xludf.DUMMYFUNCTION("""COMPUTED_VALUE"""),46186.0)</f>
        <v>46186</v>
      </c>
      <c r="C750" s="122" t="str">
        <f>IFERROR(__xludf.DUMMYFUNCTION("""COMPUTED_VALUE"""),"MALL")</f>
        <v>MALL</v>
      </c>
      <c r="D750" s="122" t="str">
        <f>IFERROR(__xludf.DUMMYFUNCTION("""COMPUTED_VALUE"""),"MegaMall")</f>
        <v>MegaMall</v>
      </c>
      <c r="E750" s="122">
        <f>IFERROR(__xludf.DUMMYFUNCTION("""COMPUTED_VALUE"""),93.72)</f>
        <v>93.72</v>
      </c>
      <c r="F750" s="122">
        <f>IFERROR(__xludf.DUMMYFUNCTION("""COMPUTED_VALUE"""),0.0014)</f>
        <v>0.0014</v>
      </c>
    </row>
    <row r="751">
      <c r="A751" s="131">
        <f>IFERROR(__xludf.DUMMYFUNCTION("""COMPUTED_VALUE"""),46186.70642361111)</f>
        <v>46186.70642</v>
      </c>
      <c r="B751" s="126">
        <f>IFERROR(__xludf.DUMMYFUNCTION("""COMPUTED_VALUE"""),46186.0)</f>
        <v>46186</v>
      </c>
      <c r="C751" s="122" t="str">
        <f>IFERROR(__xludf.DUMMYFUNCTION("""COMPUTED_VALUE"""),"HOTL")</f>
        <v>HOTL</v>
      </c>
      <c r="D751" s="122" t="str">
        <f>IFERROR(__xludf.DUMMYFUNCTION("""COMPUTED_VALUE"""),"HotelHive")</f>
        <v>HotelHive</v>
      </c>
      <c r="E751" s="122">
        <f>IFERROR(__xludf.DUMMYFUNCTION("""COMPUTED_VALUE"""),131.71)</f>
        <v>131.71</v>
      </c>
      <c r="F751" s="122">
        <f>IFERROR(__xludf.DUMMYFUNCTION("""COMPUTED_VALUE"""),-0.0065)</f>
        <v>-0.0065</v>
      </c>
    </row>
    <row r="752">
      <c r="A752" s="131">
        <f>IFERROR(__xludf.DUMMYFUNCTION("""COMPUTED_VALUE"""),46186.70642361111)</f>
        <v>46186.70642</v>
      </c>
      <c r="B752" s="126">
        <f>IFERROR(__xludf.DUMMYFUNCTION("""COMPUTED_VALUE"""),46186.0)</f>
        <v>46186</v>
      </c>
      <c r="C752" s="122" t="str">
        <f>IFERROR(__xludf.DUMMYFUNCTION("""COMPUTED_VALUE"""),"LAND")</f>
        <v>LAND</v>
      </c>
      <c r="D752" s="122" t="str">
        <f>IFERROR(__xludf.DUMMYFUNCTION("""COMPUTED_VALUE"""),"LandLink")</f>
        <v>LandLink</v>
      </c>
      <c r="E752" s="122">
        <f>IFERROR(__xludf.DUMMYFUNCTION("""COMPUTED_VALUE"""),180.46)</f>
        <v>180.46</v>
      </c>
      <c r="F752" s="122">
        <f>IFERROR(__xludf.DUMMYFUNCTION("""COMPUTED_VALUE"""),0.0046)</f>
        <v>0.0046</v>
      </c>
    </row>
    <row r="753">
      <c r="A753" s="131">
        <f>IFERROR(__xludf.DUMMYFUNCTION("""COMPUTED_VALUE"""),46186.70642361111)</f>
        <v>46186.70642</v>
      </c>
      <c r="B753" s="126">
        <f>IFERROR(__xludf.DUMMYFUNCTION("""COMPUTED_VALUE"""),46186.0)</f>
        <v>46186</v>
      </c>
      <c r="C753" s="122" t="str">
        <f>IFERROR(__xludf.DUMMYFUNCTION("""COMPUTED_VALUE"""),"CARS")</f>
        <v>CARS</v>
      </c>
      <c r="D753" s="122" t="str">
        <f>IFERROR(__xludf.DUMMYFUNCTION("""COMPUTED_VALUE"""),"AutoArena")</f>
        <v>AutoArena</v>
      </c>
      <c r="E753" s="122">
        <f>IFERROR(__xludf.DUMMYFUNCTION("""COMPUTED_VALUE"""),81.84)</f>
        <v>81.84</v>
      </c>
      <c r="F753" s="122">
        <f>IFERROR(__xludf.DUMMYFUNCTION("""COMPUTED_VALUE"""),0.0065)</f>
        <v>0.0065</v>
      </c>
    </row>
    <row r="754">
      <c r="A754" s="131">
        <f>IFERROR(__xludf.DUMMYFUNCTION("""COMPUTED_VALUE"""),46186.70642361111)</f>
        <v>46186.70642</v>
      </c>
      <c r="B754" s="126">
        <f>IFERROR(__xludf.DUMMYFUNCTION("""COMPUTED_VALUE"""),46186.0)</f>
        <v>46186</v>
      </c>
      <c r="C754" s="122" t="str">
        <f>IFERROR(__xludf.DUMMYFUNCTION("""COMPUTED_VALUE"""),"EVGO")</f>
        <v>EVGO</v>
      </c>
      <c r="D754" s="122" t="str">
        <f>IFERROR(__xludf.DUMMYFUNCTION("""COMPUTED_VALUE"""),"EVGo Motors")</f>
        <v>EVGo Motors</v>
      </c>
      <c r="E754" s="122">
        <f>IFERROR(__xludf.DUMMYFUNCTION("""COMPUTED_VALUE"""),194.21)</f>
        <v>194.21</v>
      </c>
      <c r="F754" s="122">
        <f>IFERROR(__xludf.DUMMYFUNCTION("""COMPUTED_VALUE"""),-0.0085)</f>
        <v>-0.0085</v>
      </c>
    </row>
    <row r="755">
      <c r="A755" s="131">
        <f>IFERROR(__xludf.DUMMYFUNCTION("""COMPUTED_VALUE"""),46186.70642361111)</f>
        <v>46186.70642</v>
      </c>
      <c r="B755" s="126">
        <f>IFERROR(__xludf.DUMMYFUNCTION("""COMPUTED_VALUE"""),46186.0)</f>
        <v>46186</v>
      </c>
      <c r="C755" s="122" t="str">
        <f>IFERROR(__xludf.DUMMYFUNCTION("""COMPUTED_VALUE"""),"TIRE")</f>
        <v>TIRE</v>
      </c>
      <c r="D755" s="122" t="str">
        <f>IFERROR(__xludf.DUMMYFUNCTION("""COMPUTED_VALUE"""),"TireTown")</f>
        <v>TireTown</v>
      </c>
      <c r="E755" s="122">
        <f>IFERROR(__xludf.DUMMYFUNCTION("""COMPUTED_VALUE"""),85.11)</f>
        <v>85.11</v>
      </c>
      <c r="F755" s="122">
        <f>IFERROR(__xludf.DUMMYFUNCTION("""COMPUTED_VALUE"""),-1.0E-4)</f>
        <v>-0.0001</v>
      </c>
    </row>
    <row r="756">
      <c r="A756" s="131">
        <f>IFERROR(__xludf.DUMMYFUNCTION("""COMPUTED_VALUE"""),46186.70642361111)</f>
        <v>46186.70642</v>
      </c>
      <c r="B756" s="126">
        <f>IFERROR(__xludf.DUMMYFUNCTION("""COMPUTED_VALUE"""),46186.0)</f>
        <v>46186</v>
      </c>
      <c r="C756" s="122" t="str">
        <f>IFERROR(__xludf.DUMMYFUNCTION("""COMPUTED_VALUE"""),"BIKE")</f>
        <v>BIKE</v>
      </c>
      <c r="D756" s="122" t="str">
        <f>IFERROR(__xludf.DUMMYFUNCTION("""COMPUTED_VALUE"""),"BikeBox")</f>
        <v>BikeBox</v>
      </c>
      <c r="E756" s="122">
        <f>IFERROR(__xludf.DUMMYFUNCTION("""COMPUTED_VALUE"""),55.04)</f>
        <v>55.04</v>
      </c>
      <c r="F756" s="122">
        <f>IFERROR(__xludf.DUMMYFUNCTION("""COMPUTED_VALUE"""),0.0027)</f>
        <v>0.0027</v>
      </c>
    </row>
    <row r="757">
      <c r="A757" s="131">
        <f>IFERROR(__xludf.DUMMYFUNCTION("""COMPUTED_VALUE"""),46186.70642361111)</f>
        <v>46186.70642</v>
      </c>
      <c r="B757" s="126">
        <f>IFERROR(__xludf.DUMMYFUNCTION("""COMPUTED_VALUE"""),46186.0)</f>
        <v>46186</v>
      </c>
      <c r="C757" s="122" t="str">
        <f>IFERROR(__xludf.DUMMYFUNCTION("""COMPUTED_VALUE"""),"WASH")</f>
        <v>WASH</v>
      </c>
      <c r="D757" s="122" t="str">
        <f>IFERROR(__xludf.DUMMYFUNCTION("""COMPUTED_VALUE"""),"CarWash Co")</f>
        <v>CarWash Co</v>
      </c>
      <c r="E757" s="122">
        <f>IFERROR(__xludf.DUMMYFUNCTION("""COMPUTED_VALUE"""),117.17)</f>
        <v>117.17</v>
      </c>
      <c r="F757" s="122">
        <f>IFERROR(__xludf.DUMMYFUNCTION("""COMPUTED_VALUE"""),0.0031)</f>
        <v>0.0031</v>
      </c>
    </row>
    <row r="758">
      <c r="A758" s="131">
        <f>IFERROR(__xludf.DUMMYFUNCTION("""COMPUTED_VALUE"""),46186.70642361111)</f>
        <v>46186.70642</v>
      </c>
      <c r="B758" s="126">
        <f>IFERROR(__xludf.DUMMYFUNCTION("""COMPUTED_VALUE"""),46186.0)</f>
        <v>46186</v>
      </c>
      <c r="C758" s="122" t="str">
        <f>IFERROR(__xludf.DUMMYFUNCTION("""COMPUTED_VALUE"""),"GBND")</f>
        <v>GBND</v>
      </c>
      <c r="D758" s="122" t="str">
        <f>IFERROR(__xludf.DUMMYFUNCTION("""COMPUTED_VALUE"""),"Classroom Government Bond")</f>
        <v>Classroom Government Bond</v>
      </c>
      <c r="E758" s="122">
        <f>IFERROR(__xludf.DUMMYFUNCTION("""COMPUTED_VALUE"""),100.89)</f>
        <v>100.89</v>
      </c>
      <c r="F758" s="122">
        <f>IFERROR(__xludf.DUMMYFUNCTION("""COMPUTED_VALUE"""),-4.0E-4)</f>
        <v>-0.0004</v>
      </c>
    </row>
    <row r="759">
      <c r="A759" s="131">
        <f>IFERROR(__xludf.DUMMYFUNCTION("""COMPUTED_VALUE"""),46186.70642361111)</f>
        <v>46186.70642</v>
      </c>
      <c r="B759" s="126">
        <f>IFERROR(__xludf.DUMMYFUNCTION("""COMPUTED_VALUE"""),46186.0)</f>
        <v>46186</v>
      </c>
      <c r="C759" s="122" t="str">
        <f>IFERROR(__xludf.DUMMYFUNCTION("""COMPUTED_VALUE"""),"SBND")</f>
        <v>SBND</v>
      </c>
      <c r="D759" s="122" t="str">
        <f>IFERROR(__xludf.DUMMYFUNCTION("""COMPUTED_VALUE"""),"School Savings Bond")</f>
        <v>School Savings Bond</v>
      </c>
      <c r="E759" s="122">
        <f>IFERROR(__xludf.DUMMYFUNCTION("""COMPUTED_VALUE"""),99.32)</f>
        <v>99.32</v>
      </c>
      <c r="F759" s="122">
        <f>IFERROR(__xludf.DUMMYFUNCTION("""COMPUTED_VALUE"""),4.0E-4)</f>
        <v>0.0004</v>
      </c>
    </row>
    <row r="760">
      <c r="A760" s="131">
        <f>IFERROR(__xludf.DUMMYFUNCTION("""COMPUTED_VALUE"""),46186.70642361111)</f>
        <v>46186.70642</v>
      </c>
      <c r="B760" s="126">
        <f>IFERROR(__xludf.DUMMYFUNCTION("""COMPUTED_VALUE"""),46186.0)</f>
        <v>46186</v>
      </c>
      <c r="C760" s="122" t="str">
        <f>IFERROR(__xludf.DUMMYFUNCTION("""COMPUTED_VALUE"""),"CBND")</f>
        <v>CBND</v>
      </c>
      <c r="D760" s="122" t="str">
        <f>IFERROR(__xludf.DUMMYFUNCTION("""COMPUTED_VALUE"""),"Corporate Classroom Bond")</f>
        <v>Corporate Classroom Bond</v>
      </c>
      <c r="E760" s="122">
        <f>IFERROR(__xludf.DUMMYFUNCTION("""COMPUTED_VALUE"""),97.78)</f>
        <v>97.78</v>
      </c>
      <c r="F760" s="122">
        <f>IFERROR(__xludf.DUMMYFUNCTION("""COMPUTED_VALUE"""),0.0)</f>
        <v>0</v>
      </c>
    </row>
    <row r="761">
      <c r="A761" s="131">
        <f>IFERROR(__xludf.DUMMYFUNCTION("""COMPUTED_VALUE"""),46186.70642361111)</f>
        <v>46186.70642</v>
      </c>
      <c r="B761" s="126">
        <f>IFERROR(__xludf.DUMMYFUNCTION("""COMPUTED_VALUE"""),46186.0)</f>
        <v>46186</v>
      </c>
      <c r="C761" s="122" t="str">
        <f>IFERROR(__xludf.DUMMYFUNCTION("""COMPUTED_VALUE"""),"TBIL")</f>
        <v>TBIL</v>
      </c>
      <c r="D761" s="122" t="str">
        <f>IFERROR(__xludf.DUMMYFUNCTION("""COMPUTED_VALUE"""),"Treasury Bill")</f>
        <v>Treasury Bill</v>
      </c>
      <c r="E761" s="122">
        <f>IFERROR(__xludf.DUMMYFUNCTION("""COMPUTED_VALUE"""),98.03)</f>
        <v>98.03</v>
      </c>
      <c r="F761" s="122">
        <f>IFERROR(__xludf.DUMMYFUNCTION("""COMPUTED_VALUE"""),0.0)</f>
        <v>0</v>
      </c>
    </row>
    <row r="762">
      <c r="A762" s="131">
        <f>IFERROR(__xludf.DUMMYFUNCTION("""COMPUTED_VALUE"""),46186.70642361111)</f>
        <v>46186.70642</v>
      </c>
      <c r="B762" s="126">
        <f>IFERROR(__xludf.DUMMYFUNCTION("""COMPUTED_VALUE"""),46186.0)</f>
        <v>46186</v>
      </c>
      <c r="C762" s="122" t="str">
        <f>IFERROR(__xludf.DUMMYFUNCTION("""COMPUTED_VALUE"""),"IBND")</f>
        <v>IBND</v>
      </c>
      <c r="D762" s="122" t="str">
        <f>IFERROR(__xludf.DUMMYFUNCTION("""COMPUTED_VALUE"""),"Inflation Protected Bond")</f>
        <v>Inflation Protected Bond</v>
      </c>
      <c r="E762" s="122">
        <f>IFERROR(__xludf.DUMMYFUNCTION("""COMPUTED_VALUE"""),100.5)</f>
        <v>100.5</v>
      </c>
      <c r="F762" s="122">
        <f>IFERROR(__xludf.DUMMYFUNCTION("""COMPUTED_VALUE"""),1.0E-4)</f>
        <v>0.0001</v>
      </c>
    </row>
    <row r="763">
      <c r="A763" s="131">
        <f>IFERROR(__xludf.DUMMYFUNCTION("""COMPUTED_VALUE"""),46187.31763888889)</f>
        <v>46187.31764</v>
      </c>
      <c r="B763" s="126">
        <f>IFERROR(__xludf.DUMMYFUNCTION("""COMPUTED_VALUE"""),46187.0)</f>
        <v>46187</v>
      </c>
      <c r="C763" s="122" t="str">
        <f>IFERROR(__xludf.DUMMYFUNCTION("""COMPUTED_VALUE"""),"EDUX")</f>
        <v>EDUX</v>
      </c>
      <c r="D763" s="122" t="str">
        <f>IFERROR(__xludf.DUMMYFUNCTION("""COMPUTED_VALUE"""),"EduMax Learning")</f>
        <v>EduMax Learning</v>
      </c>
      <c r="E763" s="122">
        <f>IFERROR(__xludf.DUMMYFUNCTION("""COMPUTED_VALUE"""),128.32)</f>
        <v>128.32</v>
      </c>
      <c r="F763" s="122">
        <f>IFERROR(__xludf.DUMMYFUNCTION("""COMPUTED_VALUE"""),-0.03208658819992736)</f>
        <v>-0.0320865882</v>
      </c>
    </row>
    <row r="764">
      <c r="A764" s="131">
        <f>IFERROR(__xludf.DUMMYFUNCTION("""COMPUTED_VALUE"""),46187.317719907405)</f>
        <v>46187.31772</v>
      </c>
      <c r="B764" s="126">
        <f>IFERROR(__xludf.DUMMYFUNCTION("""COMPUTED_VALUE"""),46187.0)</f>
        <v>46187</v>
      </c>
      <c r="C764" s="122" t="str">
        <f>IFERROR(__xludf.DUMMYFUNCTION("""COMPUTED_VALUE"""),"RAIL")</f>
        <v>RAIL</v>
      </c>
      <c r="D764" s="122" t="str">
        <f>IFERROR(__xludf.DUMMYFUNCTION("""COMPUTED_VALUE"""),"MetroRail Corp")</f>
        <v>MetroRail Corp</v>
      </c>
      <c r="E764" s="122">
        <f>IFERROR(__xludf.DUMMYFUNCTION("""COMPUTED_VALUE"""),137.22)</f>
        <v>137.22</v>
      </c>
      <c r="F764" s="122">
        <f>IFERROR(__xludf.DUMMYFUNCTION("""COMPUTED_VALUE"""),0.01563003153490399)</f>
        <v>0.01563003153</v>
      </c>
    </row>
    <row r="765">
      <c r="A765" s="131">
        <f>IFERROR(__xludf.DUMMYFUNCTION("""COMPUTED_VALUE"""),46187.31780092593)</f>
        <v>46187.3178</v>
      </c>
      <c r="B765" s="126">
        <f>IFERROR(__xludf.DUMMYFUNCTION("""COMPUTED_VALUE"""),46187.0)</f>
        <v>46187</v>
      </c>
      <c r="C765" s="122" t="str">
        <f>IFERROR(__xludf.DUMMYFUNCTION("""COMPUTED_VALUE"""),"INSR")</f>
        <v>INSR</v>
      </c>
      <c r="D765" s="122" t="str">
        <f>IFERROR(__xludf.DUMMYFUNCTION("""COMPUTED_VALUE"""),"Shield Insurance")</f>
        <v>Shield Insurance</v>
      </c>
      <c r="E765" s="122">
        <f>IFERROR(__xludf.DUMMYFUNCTION("""COMPUTED_VALUE"""),154.68)</f>
        <v>154.68</v>
      </c>
      <c r="F765" s="122">
        <f>IFERROR(__xludf.DUMMYFUNCTION("""COMPUTED_VALUE"""),0.02987043377413822)</f>
        <v>0.02987043377</v>
      </c>
    </row>
    <row r="766">
      <c r="A766" s="131">
        <f>IFERROR(__xludf.DUMMYFUNCTION("""COMPUTED_VALUE"""),46187.31787037037)</f>
        <v>46187.31787</v>
      </c>
      <c r="B766" s="126">
        <f>IFERROR(__xludf.DUMMYFUNCTION("""COMPUTED_VALUE"""),46187.0)</f>
        <v>46187</v>
      </c>
      <c r="C766" s="122" t="str">
        <f>IFERROR(__xludf.DUMMYFUNCTION("""COMPUTED_VALUE"""),"TUTR")</f>
        <v>TUTR</v>
      </c>
      <c r="D766" s="122" t="str">
        <f>IFERROR(__xludf.DUMMYFUNCTION("""COMPUTED_VALUE"""),"TutorTown")</f>
        <v>TutorTown</v>
      </c>
      <c r="E766" s="122">
        <f>IFERROR(__xludf.DUMMYFUNCTION("""COMPUTED_VALUE"""),90.09)</f>
        <v>90.09</v>
      </c>
      <c r="F766" s="122">
        <f>IFERROR(__xludf.DUMMYFUNCTION("""COMPUTED_VALUE"""),-0.011606723565180851)</f>
        <v>-0.01160672357</v>
      </c>
    </row>
    <row r="767">
      <c r="A767" s="131">
        <f>IFERROR(__xludf.DUMMYFUNCTION("""COMPUTED_VALUE"""),46187.31793981481)</f>
        <v>46187.31794</v>
      </c>
      <c r="B767" s="126">
        <f>IFERROR(__xludf.DUMMYFUNCTION("""COMPUTED_VALUE"""),46187.0)</f>
        <v>46187</v>
      </c>
      <c r="C767" s="122" t="str">
        <f>IFERROR(__xludf.DUMMYFUNCTION("""COMPUTED_VALUE"""),"SNAX")</f>
        <v>SNAX</v>
      </c>
      <c r="D767" s="122" t="str">
        <f>IFERROR(__xludf.DUMMYFUNCTION("""COMPUTED_VALUE"""),"MICA Snacks")</f>
        <v>MICA Snacks</v>
      </c>
      <c r="E767" s="122">
        <f>IFERROR(__xludf.DUMMYFUNCTION("""COMPUTED_VALUE"""),122.63)</f>
        <v>122.63</v>
      </c>
      <c r="F767" s="122">
        <f>IFERROR(__xludf.DUMMYFUNCTION("""COMPUTED_VALUE"""),-0.02430766815673288)</f>
        <v>-0.02430766816</v>
      </c>
    </row>
    <row r="768">
      <c r="A768" s="131">
        <f>IFERROR(__xludf.DUMMYFUNCTION("""COMPUTED_VALUE"""),46187.318020833336)</f>
        <v>46187.31802</v>
      </c>
      <c r="B768" s="126">
        <f>IFERROR(__xludf.DUMMYFUNCTION("""COMPUTED_VALUE"""),46187.0)</f>
        <v>46187</v>
      </c>
      <c r="C768" s="122" t="str">
        <f>IFERROR(__xludf.DUMMYFUNCTION("""COMPUTED_VALUE"""),"AIBO")</f>
        <v>AIBO</v>
      </c>
      <c r="D768" s="122" t="str">
        <f>IFERROR(__xludf.DUMMYFUNCTION("""COMPUTED_VALUE"""),"Homework AI")</f>
        <v>Homework AI</v>
      </c>
      <c r="E768" s="122">
        <f>IFERROR(__xludf.DUMMYFUNCTION("""COMPUTED_VALUE"""),167.45)</f>
        <v>167.45</v>
      </c>
      <c r="F768" s="122">
        <f>IFERROR(__xludf.DUMMYFUNCTION("""COMPUTED_VALUE"""),-0.04848024500607119)</f>
        <v>-0.04848024501</v>
      </c>
    </row>
    <row r="769">
      <c r="A769" s="131">
        <f>IFERROR(__xludf.DUMMYFUNCTION("""COMPUTED_VALUE"""),46187.318078703705)</f>
        <v>46187.31808</v>
      </c>
      <c r="B769" s="126">
        <f>IFERROR(__xludf.DUMMYFUNCTION("""COMPUTED_VALUE"""),46187.0)</f>
        <v>46187</v>
      </c>
      <c r="C769" s="122" t="str">
        <f>IFERROR(__xludf.DUMMYFUNCTION("""COMPUTED_VALUE"""),"TIRE")</f>
        <v>TIRE</v>
      </c>
      <c r="D769" s="122" t="str">
        <f>IFERROR(__xludf.DUMMYFUNCTION("""COMPUTED_VALUE"""),"TireTown")</f>
        <v>TireTown</v>
      </c>
      <c r="E769" s="122">
        <f>IFERROR(__xludf.DUMMYFUNCTION("""COMPUTED_VALUE"""),89.91)</f>
        <v>89.91</v>
      </c>
      <c r="F769" s="122">
        <f>IFERROR(__xludf.DUMMYFUNCTION("""COMPUTED_VALUE"""),0.05642337374040141)</f>
        <v>0.05642337374</v>
      </c>
    </row>
    <row r="770">
      <c r="A770" s="131">
        <f>IFERROR(__xludf.DUMMYFUNCTION("""COMPUTED_VALUE"""),46187.318136574075)</f>
        <v>46187.31814</v>
      </c>
      <c r="B770" s="126">
        <f>IFERROR(__xludf.DUMMYFUNCTION("""COMPUTED_VALUE"""),46187.0)</f>
        <v>46187</v>
      </c>
      <c r="C770" s="122" t="str">
        <f>IFERROR(__xludf.DUMMYFUNCTION("""COMPUTED_VALUE"""),"GLAM")</f>
        <v>GLAM</v>
      </c>
      <c r="D770" s="122" t="str">
        <f>IFERROR(__xludf.DUMMYFUNCTION("""COMPUTED_VALUE"""),"Glow Cosmetics")</f>
        <v>Glow Cosmetics</v>
      </c>
      <c r="E770" s="122">
        <f>IFERROR(__xludf.DUMMYFUNCTION("""COMPUTED_VALUE"""),94.17)</f>
        <v>94.17</v>
      </c>
      <c r="F770" s="122">
        <f>IFERROR(__xludf.DUMMYFUNCTION("""COMPUTED_VALUE"""),0.0456134184347885)</f>
        <v>0.04561341843</v>
      </c>
    </row>
    <row r="771">
      <c r="A771" s="131">
        <f>IFERROR(__xludf.DUMMYFUNCTION("""COMPUTED_VALUE"""),46187.31820601852)</f>
        <v>46187.31821</v>
      </c>
      <c r="B771" s="126">
        <f>IFERROR(__xludf.DUMMYFUNCTION("""COMPUTED_VALUE"""),46187.0)</f>
        <v>46187</v>
      </c>
      <c r="C771" s="122" t="str">
        <f>IFERROR(__xludf.DUMMYFUNCTION("""COMPUTED_VALUE"""),"SOLR")</f>
        <v>SOLR</v>
      </c>
      <c r="D771" s="122" t="str">
        <f>IFERROR(__xludf.DUMMYFUNCTION("""COMPUTED_VALUE"""),"SolarSpark")</f>
        <v>SolarSpark</v>
      </c>
      <c r="E771" s="122">
        <f>IFERROR(__xludf.DUMMYFUNCTION("""COMPUTED_VALUE"""),80.46)</f>
        <v>80.46</v>
      </c>
      <c r="F771" s="122">
        <f>IFERROR(__xludf.DUMMYFUNCTION("""COMPUTED_VALUE"""),0.0022243843680625065)</f>
        <v>0.002224384368</v>
      </c>
    </row>
    <row r="772">
      <c r="A772" s="131">
        <f>IFERROR(__xludf.DUMMYFUNCTION("""COMPUTED_VALUE"""),46187.334872685184)</f>
        <v>46187.33487</v>
      </c>
      <c r="B772" s="126">
        <f>IFERROR(__xludf.DUMMYFUNCTION("""COMPUTED_VALUE"""),46187.0)</f>
        <v>46187</v>
      </c>
      <c r="C772" s="122" t="str">
        <f>IFERROR(__xludf.DUMMYFUNCTION("""COMPUTED_VALUE"""),"SNAX")</f>
        <v>SNAX</v>
      </c>
      <c r="D772" s="122" t="str">
        <f>IFERROR(__xludf.DUMMYFUNCTION("""COMPUTED_VALUE"""),"MICA Snacks")</f>
        <v>MICA Snacks</v>
      </c>
      <c r="E772" s="122">
        <f>IFERROR(__xludf.DUMMYFUNCTION("""COMPUTED_VALUE"""),122.45)</f>
        <v>122.45</v>
      </c>
      <c r="F772" s="122">
        <f>IFERROR(__xludf.DUMMYFUNCTION("""COMPUTED_VALUE"""),-0.0015)</f>
        <v>-0.0015</v>
      </c>
    </row>
    <row r="773">
      <c r="A773" s="131">
        <f>IFERROR(__xludf.DUMMYFUNCTION("""COMPUTED_VALUE"""),46187.334872685184)</f>
        <v>46187.33487</v>
      </c>
      <c r="B773" s="126">
        <f>IFERROR(__xludf.DUMMYFUNCTION("""COMPUTED_VALUE"""),46187.0)</f>
        <v>46187</v>
      </c>
      <c r="C773" s="122" t="str">
        <f>IFERROR(__xludf.DUMMYFUNCTION("""COMPUTED_VALUE"""),"RAMN")</f>
        <v>RAMN</v>
      </c>
      <c r="D773" s="122" t="str">
        <f>IFERROR(__xludf.DUMMYFUNCTION("""COMPUTED_VALUE"""),"Ramen Republic")</f>
        <v>Ramen Republic</v>
      </c>
      <c r="E773" s="122">
        <f>IFERROR(__xludf.DUMMYFUNCTION("""COMPUTED_VALUE"""),78.71)</f>
        <v>78.71</v>
      </c>
      <c r="F773" s="122">
        <f>IFERROR(__xludf.DUMMYFUNCTION("""COMPUTED_VALUE"""),-0.001)</f>
        <v>-0.001</v>
      </c>
    </row>
    <row r="774">
      <c r="A774" s="131">
        <f>IFERROR(__xludf.DUMMYFUNCTION("""COMPUTED_VALUE"""),46187.334872685184)</f>
        <v>46187.33487</v>
      </c>
      <c r="B774" s="126">
        <f>IFERROR(__xludf.DUMMYFUNCTION("""COMPUTED_VALUE"""),46187.0)</f>
        <v>46187</v>
      </c>
      <c r="C774" s="122" t="str">
        <f>IFERROR(__xludf.DUMMYFUNCTION("""COMPUTED_VALUE"""),"COLA")</f>
        <v>COLA</v>
      </c>
      <c r="D774" s="122" t="str">
        <f>IFERROR(__xludf.DUMMYFUNCTION("""COMPUTED_VALUE"""),"K-Pop Cola")</f>
        <v>K-Pop Cola</v>
      </c>
      <c r="E774" s="122">
        <f>IFERROR(__xludf.DUMMYFUNCTION("""COMPUTED_VALUE"""),103.71)</f>
        <v>103.71</v>
      </c>
      <c r="F774" s="122">
        <f>IFERROR(__xludf.DUMMYFUNCTION("""COMPUTED_VALUE"""),-0.0037)</f>
        <v>-0.0037</v>
      </c>
    </row>
    <row r="775">
      <c r="A775" s="131">
        <f>IFERROR(__xludf.DUMMYFUNCTION("""COMPUTED_VALUE"""),46187.334872685184)</f>
        <v>46187.33487</v>
      </c>
      <c r="B775" s="126">
        <f>IFERROR(__xludf.DUMMYFUNCTION("""COMPUTED_VALUE"""),46187.0)</f>
        <v>46187</v>
      </c>
      <c r="C775" s="122" t="str">
        <f>IFERROR(__xludf.DUMMYFUNCTION("""COMPUTED_VALUE"""),"CHIP")</f>
        <v>CHIP</v>
      </c>
      <c r="D775" s="122" t="str">
        <f>IFERROR(__xludf.DUMMYFUNCTION("""COMPUTED_VALUE"""),"Chip Empire")</f>
        <v>Chip Empire</v>
      </c>
      <c r="E775" s="122">
        <f>IFERROR(__xludf.DUMMYFUNCTION("""COMPUTED_VALUE"""),87.5)</f>
        <v>87.5</v>
      </c>
      <c r="F775" s="122">
        <f>IFERROR(__xludf.DUMMYFUNCTION("""COMPUTED_VALUE"""),0.0064)</f>
        <v>0.0064</v>
      </c>
    </row>
    <row r="776">
      <c r="A776" s="131">
        <f>IFERROR(__xludf.DUMMYFUNCTION("""COMPUTED_VALUE"""),46187.334872685184)</f>
        <v>46187.33487</v>
      </c>
      <c r="B776" s="126">
        <f>IFERROR(__xludf.DUMMYFUNCTION("""COMPUTED_VALUE"""),46187.0)</f>
        <v>46187</v>
      </c>
      <c r="C776" s="122" t="str">
        <f>IFERROR(__xludf.DUMMYFUNCTION("""COMPUTED_VALUE"""),"CAND")</f>
        <v>CAND</v>
      </c>
      <c r="D776" s="122" t="str">
        <f>IFERROR(__xludf.DUMMYFUNCTION("""COMPUTED_VALUE"""),"Candy Capital")</f>
        <v>Candy Capital</v>
      </c>
      <c r="E776" s="122">
        <f>IFERROR(__xludf.DUMMYFUNCTION("""COMPUTED_VALUE"""),77.56)</f>
        <v>77.56</v>
      </c>
      <c r="F776" s="122">
        <f>IFERROR(__xludf.DUMMYFUNCTION("""COMPUTED_VALUE"""),0.0087)</f>
        <v>0.0087</v>
      </c>
    </row>
    <row r="777">
      <c r="A777" s="131">
        <f>IFERROR(__xludf.DUMMYFUNCTION("""COMPUTED_VALUE"""),46187.334872685184)</f>
        <v>46187.33487</v>
      </c>
      <c r="B777" s="126">
        <f>IFERROR(__xludf.DUMMYFUNCTION("""COMPUTED_VALUE"""),46187.0)</f>
        <v>46187</v>
      </c>
      <c r="C777" s="122" t="str">
        <f>IFERROR(__xludf.DUMMYFUNCTION("""COMPUTED_VALUE"""),"TECH")</f>
        <v>TECH</v>
      </c>
      <c r="D777" s="122" t="str">
        <f>IFERROR(__xludf.DUMMYFUNCTION("""COMPUTED_VALUE"""),"Dragon Tech")</f>
        <v>Dragon Tech</v>
      </c>
      <c r="E777" s="122">
        <f>IFERROR(__xludf.DUMMYFUNCTION("""COMPUTED_VALUE"""),248.24)</f>
        <v>248.24</v>
      </c>
      <c r="F777" s="122">
        <f>IFERROR(__xludf.DUMMYFUNCTION("""COMPUTED_VALUE"""),0.0027)</f>
        <v>0.0027</v>
      </c>
    </row>
    <row r="778">
      <c r="A778" s="131">
        <f>IFERROR(__xludf.DUMMYFUNCTION("""COMPUTED_VALUE"""),46187.334872685184)</f>
        <v>46187.33487</v>
      </c>
      <c r="B778" s="126">
        <f>IFERROR(__xludf.DUMMYFUNCTION("""COMPUTED_VALUE"""),46187.0)</f>
        <v>46187</v>
      </c>
      <c r="C778" s="122" t="str">
        <f>IFERROR(__xludf.DUMMYFUNCTION("""COMPUTED_VALUE"""),"AIBO")</f>
        <v>AIBO</v>
      </c>
      <c r="D778" s="122" t="str">
        <f>IFERROR(__xludf.DUMMYFUNCTION("""COMPUTED_VALUE"""),"Homework AI")</f>
        <v>Homework AI</v>
      </c>
      <c r="E778" s="122">
        <f>IFERROR(__xludf.DUMMYFUNCTION("""COMPUTED_VALUE"""),166.21)</f>
        <v>166.21</v>
      </c>
      <c r="F778" s="122">
        <f>IFERROR(__xludf.DUMMYFUNCTION("""COMPUTED_VALUE"""),-0.0074)</f>
        <v>-0.0074</v>
      </c>
    </row>
    <row r="779">
      <c r="A779" s="131">
        <f>IFERROR(__xludf.DUMMYFUNCTION("""COMPUTED_VALUE"""),46187.334872685184)</f>
        <v>46187.33487</v>
      </c>
      <c r="B779" s="126">
        <f>IFERROR(__xludf.DUMMYFUNCTION("""COMPUTED_VALUE"""),46187.0)</f>
        <v>46187</v>
      </c>
      <c r="C779" s="122" t="str">
        <f>IFERROR(__xludf.DUMMYFUNCTION("""COMPUTED_VALUE"""),"GAME")</f>
        <v>GAME</v>
      </c>
      <c r="D779" s="122" t="str">
        <f>IFERROR(__xludf.DUMMYFUNCTION("""COMPUTED_VALUE"""),"GameBox Media")</f>
        <v>GameBox Media</v>
      </c>
      <c r="E779" s="122">
        <f>IFERROR(__xludf.DUMMYFUNCTION("""COMPUTED_VALUE"""),90.8)</f>
        <v>90.8</v>
      </c>
      <c r="F779" s="122">
        <f>IFERROR(__xludf.DUMMYFUNCTION("""COMPUTED_VALUE"""),0.0087)</f>
        <v>0.0087</v>
      </c>
    </row>
    <row r="780">
      <c r="A780" s="131">
        <f>IFERROR(__xludf.DUMMYFUNCTION("""COMPUTED_VALUE"""),46187.334872685184)</f>
        <v>46187.33487</v>
      </c>
      <c r="B780" s="126">
        <f>IFERROR(__xludf.DUMMYFUNCTION("""COMPUTED_VALUE"""),46187.0)</f>
        <v>46187</v>
      </c>
      <c r="C780" s="122" t="str">
        <f>IFERROR(__xludf.DUMMYFUNCTION("""COMPUTED_VALUE"""),"VRSE")</f>
        <v>VRSE</v>
      </c>
      <c r="D780" s="122" t="str">
        <f>IFERROR(__xludf.DUMMYFUNCTION("""COMPUTED_VALUE"""),"VerseVR")</f>
        <v>VerseVR</v>
      </c>
      <c r="E780" s="122">
        <f>IFERROR(__xludf.DUMMYFUNCTION("""COMPUTED_VALUE"""),153.74)</f>
        <v>153.74</v>
      </c>
      <c r="F780" s="122">
        <f>IFERROR(__xludf.DUMMYFUNCTION("""COMPUTED_VALUE"""),0.0108)</f>
        <v>0.0108</v>
      </c>
    </row>
    <row r="781">
      <c r="A781" s="131">
        <f>IFERROR(__xludf.DUMMYFUNCTION("""COMPUTED_VALUE"""),46187.334872685184)</f>
        <v>46187.33487</v>
      </c>
      <c r="B781" s="126">
        <f>IFERROR(__xludf.DUMMYFUNCTION("""COMPUTED_VALUE"""),46187.0)</f>
        <v>46187</v>
      </c>
      <c r="C781" s="122" t="str">
        <f>IFERROR(__xludf.DUMMYFUNCTION("""COMPUTED_VALUE"""),"BYTE")</f>
        <v>BYTE</v>
      </c>
      <c r="D781" s="122" t="str">
        <f>IFERROR(__xludf.DUMMYFUNCTION("""COMPUTED_VALUE"""),"ByteWorks")</f>
        <v>ByteWorks</v>
      </c>
      <c r="E781" s="122">
        <f>IFERROR(__xludf.DUMMYFUNCTION("""COMPUTED_VALUE"""),110.01)</f>
        <v>110.01</v>
      </c>
      <c r="F781" s="122">
        <f>IFERROR(__xludf.DUMMYFUNCTION("""COMPUTED_VALUE"""),-0.0065)</f>
        <v>-0.0065</v>
      </c>
    </row>
    <row r="782">
      <c r="A782" s="131">
        <f>IFERROR(__xludf.DUMMYFUNCTION("""COMPUTED_VALUE"""),46187.334872685184)</f>
        <v>46187.33487</v>
      </c>
      <c r="B782" s="126">
        <f>IFERROR(__xludf.DUMMYFUNCTION("""COMPUTED_VALUE"""),46187.0)</f>
        <v>46187</v>
      </c>
      <c r="C782" s="122" t="str">
        <f>IFERROR(__xludf.DUMMYFUNCTION("""COMPUTED_VALUE"""),"BANK")</f>
        <v>BANK</v>
      </c>
      <c r="D782" s="122" t="str">
        <f>IFERROR(__xludf.DUMMYFUNCTION("""COMPUTED_VALUE"""),"Tiger Bank")</f>
        <v>Tiger Bank</v>
      </c>
      <c r="E782" s="122">
        <f>IFERROR(__xludf.DUMMYFUNCTION("""COMPUTED_VALUE"""),122.44)</f>
        <v>122.44</v>
      </c>
      <c r="F782" s="122">
        <f>IFERROR(__xludf.DUMMYFUNCTION("""COMPUTED_VALUE"""),0.0036)</f>
        <v>0.0036</v>
      </c>
    </row>
    <row r="783">
      <c r="A783" s="131">
        <f>IFERROR(__xludf.DUMMYFUNCTION("""COMPUTED_VALUE"""),46187.334872685184)</f>
        <v>46187.33487</v>
      </c>
      <c r="B783" s="126">
        <f>IFERROR(__xludf.DUMMYFUNCTION("""COMPUTED_VALUE"""),46187.0)</f>
        <v>46187</v>
      </c>
      <c r="C783" s="122" t="str">
        <f>IFERROR(__xludf.DUMMYFUNCTION("""COMPUTED_VALUE"""),"CRED")</f>
        <v>CRED</v>
      </c>
      <c r="D783" s="122" t="str">
        <f>IFERROR(__xludf.DUMMYFUNCTION("""COMPUTED_VALUE"""),"Credit Castle")</f>
        <v>Credit Castle</v>
      </c>
      <c r="E783" s="122">
        <f>IFERROR(__xludf.DUMMYFUNCTION("""COMPUTED_VALUE"""),68.74)</f>
        <v>68.74</v>
      </c>
      <c r="F783" s="122">
        <f>IFERROR(__xludf.DUMMYFUNCTION("""COMPUTED_VALUE"""),0.001)</f>
        <v>0.001</v>
      </c>
    </row>
    <row r="784">
      <c r="A784" s="131">
        <f>IFERROR(__xludf.DUMMYFUNCTION("""COMPUTED_VALUE"""),46187.334872685184)</f>
        <v>46187.33487</v>
      </c>
      <c r="B784" s="126">
        <f>IFERROR(__xludf.DUMMYFUNCTION("""COMPUTED_VALUE"""),46187.0)</f>
        <v>46187</v>
      </c>
      <c r="C784" s="122" t="str">
        <f>IFERROR(__xludf.DUMMYFUNCTION("""COMPUTED_VALUE"""),"BOND")</f>
        <v>BOND</v>
      </c>
      <c r="D784" s="122" t="str">
        <f>IFERROR(__xludf.DUMMYFUNCTION("""COMPUTED_VALUE"""),"BondBridge")</f>
        <v>BondBridge</v>
      </c>
      <c r="E784" s="122">
        <f>IFERROR(__xludf.DUMMYFUNCTION("""COMPUTED_VALUE"""),94.89)</f>
        <v>94.89</v>
      </c>
      <c r="F784" s="122">
        <f>IFERROR(__xludf.DUMMYFUNCTION("""COMPUTED_VALUE"""),6.0E-4)</f>
        <v>0.0006</v>
      </c>
    </row>
    <row r="785">
      <c r="A785" s="131">
        <f>IFERROR(__xludf.DUMMYFUNCTION("""COMPUTED_VALUE"""),46187.334872685184)</f>
        <v>46187.33487</v>
      </c>
      <c r="B785" s="126">
        <f>IFERROR(__xludf.DUMMYFUNCTION("""COMPUTED_VALUE"""),46187.0)</f>
        <v>46187</v>
      </c>
      <c r="C785" s="122" t="str">
        <f>IFERROR(__xludf.DUMMYFUNCTION("""COMPUTED_VALUE"""),"INSR")</f>
        <v>INSR</v>
      </c>
      <c r="D785" s="122" t="str">
        <f>IFERROR(__xludf.DUMMYFUNCTION("""COMPUTED_VALUE"""),"Shield Insurance")</f>
        <v>Shield Insurance</v>
      </c>
      <c r="E785" s="122">
        <f>IFERROR(__xludf.DUMMYFUNCTION("""COMPUTED_VALUE"""),155.0)</f>
        <v>155</v>
      </c>
      <c r="F785" s="122">
        <f>IFERROR(__xludf.DUMMYFUNCTION("""COMPUTED_VALUE"""),0.0021)</f>
        <v>0.0021</v>
      </c>
    </row>
    <row r="786">
      <c r="A786" s="131">
        <f>IFERROR(__xludf.DUMMYFUNCTION("""COMPUTED_VALUE"""),46187.334872685184)</f>
        <v>46187.33487</v>
      </c>
      <c r="B786" s="126">
        <f>IFERROR(__xludf.DUMMYFUNCTION("""COMPUTED_VALUE"""),46187.0)</f>
        <v>46187</v>
      </c>
      <c r="C786" s="122" t="str">
        <f>IFERROR(__xludf.DUMMYFUNCTION("""COMPUTED_VALUE"""),"LOAN")</f>
        <v>LOAN</v>
      </c>
      <c r="D786" s="122" t="str">
        <f>IFERROR(__xludf.DUMMYFUNCTION("""COMPUTED_VALUE"""),"LoanLab")</f>
        <v>LoanLab</v>
      </c>
      <c r="E786" s="122">
        <f>IFERROR(__xludf.DUMMYFUNCTION("""COMPUTED_VALUE"""),59.51)</f>
        <v>59.51</v>
      </c>
      <c r="F786" s="122">
        <f>IFERROR(__xludf.DUMMYFUNCTION("""COMPUTED_VALUE"""),-3.0E-4)</f>
        <v>-0.0003</v>
      </c>
    </row>
    <row r="787">
      <c r="A787" s="131">
        <f>IFERROR(__xludf.DUMMYFUNCTION("""COMPUTED_VALUE"""),46187.334872685184)</f>
        <v>46187.33487</v>
      </c>
      <c r="B787" s="126">
        <f>IFERROR(__xludf.DUMMYFUNCTION("""COMPUTED_VALUE"""),46187.0)</f>
        <v>46187</v>
      </c>
      <c r="C787" s="122" t="str">
        <f>IFERROR(__xludf.DUMMYFUNCTION("""COMPUTED_VALUE"""),"LUXE")</f>
        <v>LUXE</v>
      </c>
      <c r="D787" s="122" t="str">
        <f>IFERROR(__xludf.DUMMYFUNCTION("""COMPUTED_VALUE"""),"Luxury Locker")</f>
        <v>Luxury Locker</v>
      </c>
      <c r="E787" s="122">
        <f>IFERROR(__xludf.DUMMYFUNCTION("""COMPUTED_VALUE"""),262.19)</f>
        <v>262.19</v>
      </c>
      <c r="F787" s="122">
        <f>IFERROR(__xludf.DUMMYFUNCTION("""COMPUTED_VALUE"""),-0.0057)</f>
        <v>-0.0057</v>
      </c>
    </row>
    <row r="788">
      <c r="A788" s="131">
        <f>IFERROR(__xludf.DUMMYFUNCTION("""COMPUTED_VALUE"""),46187.334872685184)</f>
        <v>46187.33487</v>
      </c>
      <c r="B788" s="126">
        <f>IFERROR(__xludf.DUMMYFUNCTION("""COMPUTED_VALUE"""),46187.0)</f>
        <v>46187</v>
      </c>
      <c r="C788" s="122" t="str">
        <f>IFERROR(__xludf.DUMMYFUNCTION("""COMPUTED_VALUE"""),"DRIP")</f>
        <v>DRIP</v>
      </c>
      <c r="D788" s="122" t="str">
        <f>IFERROR(__xludf.DUMMYFUNCTION("""COMPUTED_VALUE"""),"Drip Streetwear")</f>
        <v>Drip Streetwear</v>
      </c>
      <c r="E788" s="122">
        <f>IFERROR(__xludf.DUMMYFUNCTION("""COMPUTED_VALUE"""),198.81)</f>
        <v>198.81</v>
      </c>
      <c r="F788" s="122">
        <f>IFERROR(__xludf.DUMMYFUNCTION("""COMPUTED_VALUE"""),-0.0047)</f>
        <v>-0.0047</v>
      </c>
    </row>
    <row r="789">
      <c r="A789" s="131">
        <f>IFERROR(__xludf.DUMMYFUNCTION("""COMPUTED_VALUE"""),46187.334872685184)</f>
        <v>46187.33487</v>
      </c>
      <c r="B789" s="126">
        <f>IFERROR(__xludf.DUMMYFUNCTION("""COMPUTED_VALUE"""),46187.0)</f>
        <v>46187</v>
      </c>
      <c r="C789" s="122" t="str">
        <f>IFERROR(__xludf.DUMMYFUNCTION("""COMPUTED_VALUE"""),"KICK")</f>
        <v>KICK</v>
      </c>
      <c r="D789" s="122" t="str">
        <f>IFERROR(__xludf.DUMMYFUNCTION("""COMPUTED_VALUE"""),"KickDrop Sneakers")</f>
        <v>KickDrop Sneakers</v>
      </c>
      <c r="E789" s="122">
        <f>IFERROR(__xludf.DUMMYFUNCTION("""COMPUTED_VALUE"""),177.77)</f>
        <v>177.77</v>
      </c>
      <c r="F789" s="122">
        <f>IFERROR(__xludf.DUMMYFUNCTION("""COMPUTED_VALUE"""),-0.0058)</f>
        <v>-0.0058</v>
      </c>
    </row>
    <row r="790">
      <c r="A790" s="131">
        <f>IFERROR(__xludf.DUMMYFUNCTION("""COMPUTED_VALUE"""),46187.334872685184)</f>
        <v>46187.33487</v>
      </c>
      <c r="B790" s="126">
        <f>IFERROR(__xludf.DUMMYFUNCTION("""COMPUTED_VALUE"""),46187.0)</f>
        <v>46187</v>
      </c>
      <c r="C790" s="122" t="str">
        <f>IFERROR(__xludf.DUMMYFUNCTION("""COMPUTED_VALUE"""),"GLAM")</f>
        <v>GLAM</v>
      </c>
      <c r="D790" s="122" t="str">
        <f>IFERROR(__xludf.DUMMYFUNCTION("""COMPUTED_VALUE"""),"Glow Cosmetics")</f>
        <v>Glow Cosmetics</v>
      </c>
      <c r="E790" s="122">
        <f>IFERROR(__xludf.DUMMYFUNCTION("""COMPUTED_VALUE"""),94.05)</f>
        <v>94.05</v>
      </c>
      <c r="F790" s="122">
        <f>IFERROR(__xludf.DUMMYFUNCTION("""COMPUTED_VALUE"""),-0.0013)</f>
        <v>-0.0013</v>
      </c>
    </row>
    <row r="791">
      <c r="A791" s="131">
        <f>IFERROR(__xludf.DUMMYFUNCTION("""COMPUTED_VALUE"""),46187.334872685184)</f>
        <v>46187.33487</v>
      </c>
      <c r="B791" s="126">
        <f>IFERROR(__xludf.DUMMYFUNCTION("""COMPUTED_VALUE"""),46187.0)</f>
        <v>46187</v>
      </c>
      <c r="C791" s="122" t="str">
        <f>IFERROR(__xludf.DUMMYFUNCTION("""COMPUTED_VALUE"""),"BAGG")</f>
        <v>BAGG</v>
      </c>
      <c r="D791" s="122" t="str">
        <f>IFERROR(__xludf.DUMMYFUNCTION("""COMPUTED_VALUE"""),"BagVault")</f>
        <v>BagVault</v>
      </c>
      <c r="E791" s="122">
        <f>IFERROR(__xludf.DUMMYFUNCTION("""COMPUTED_VALUE"""),242.39)</f>
        <v>242.39</v>
      </c>
      <c r="F791" s="122">
        <f>IFERROR(__xludf.DUMMYFUNCTION("""COMPUTED_VALUE"""),0.0055)</f>
        <v>0.0055</v>
      </c>
    </row>
    <row r="792">
      <c r="A792" s="131">
        <f>IFERROR(__xludf.DUMMYFUNCTION("""COMPUTED_VALUE"""),46187.334872685184)</f>
        <v>46187.33487</v>
      </c>
      <c r="B792" s="126">
        <f>IFERROR(__xludf.DUMMYFUNCTION("""COMPUTED_VALUE"""),46187.0)</f>
        <v>46187</v>
      </c>
      <c r="C792" s="122" t="str">
        <f>IFERROR(__xludf.DUMMYFUNCTION("""COMPUTED_VALUE"""),"FAST")</f>
        <v>FAST</v>
      </c>
      <c r="D792" s="122" t="str">
        <f>IFERROR(__xludf.DUMMYFUNCTION("""COMPUTED_VALUE"""),"Flash Logistics")</f>
        <v>Flash Logistics</v>
      </c>
      <c r="E792" s="122">
        <f>IFERROR(__xludf.DUMMYFUNCTION("""COMPUTED_VALUE"""),102.24)</f>
        <v>102.24</v>
      </c>
      <c r="F792" s="122">
        <f>IFERROR(__xludf.DUMMYFUNCTION("""COMPUTED_VALUE"""),0.0012)</f>
        <v>0.0012</v>
      </c>
    </row>
    <row r="793">
      <c r="A793" s="131">
        <f>IFERROR(__xludf.DUMMYFUNCTION("""COMPUTED_VALUE"""),46187.334872685184)</f>
        <v>46187.33487</v>
      </c>
      <c r="B793" s="126">
        <f>IFERROR(__xludf.DUMMYFUNCTION("""COMPUTED_VALUE"""),46187.0)</f>
        <v>46187</v>
      </c>
      <c r="C793" s="122" t="str">
        <f>IFERROR(__xludf.DUMMYFUNCTION("""COMPUTED_VALUE"""),"SHIP")</f>
        <v>SHIP</v>
      </c>
      <c r="D793" s="122" t="str">
        <f>IFERROR(__xludf.DUMMYFUNCTION("""COMPUTED_VALUE"""),"Seoul Shipping")</f>
        <v>Seoul Shipping</v>
      </c>
      <c r="E793" s="122">
        <f>IFERROR(__xludf.DUMMYFUNCTION("""COMPUTED_VALUE"""),115.97)</f>
        <v>115.97</v>
      </c>
      <c r="F793" s="122">
        <f>IFERROR(__xludf.DUMMYFUNCTION("""COMPUTED_VALUE"""),-0.0051)</f>
        <v>-0.0051</v>
      </c>
    </row>
    <row r="794">
      <c r="A794" s="131">
        <f>IFERROR(__xludf.DUMMYFUNCTION("""COMPUTED_VALUE"""),46187.334872685184)</f>
        <v>46187.33487</v>
      </c>
      <c r="B794" s="126">
        <f>IFERROR(__xludf.DUMMYFUNCTION("""COMPUTED_VALUE"""),46187.0)</f>
        <v>46187</v>
      </c>
      <c r="C794" s="122" t="str">
        <f>IFERROR(__xludf.DUMMYFUNCTION("""COMPUTED_VALUE"""),"DRON")</f>
        <v>DRON</v>
      </c>
      <c r="D794" s="122" t="str">
        <f>IFERROR(__xludf.DUMMYFUNCTION("""COMPUTED_VALUE"""),"DroneDrop")</f>
        <v>DroneDrop</v>
      </c>
      <c r="E794" s="122">
        <f>IFERROR(__xludf.DUMMYFUNCTION("""COMPUTED_VALUE"""),130.03)</f>
        <v>130.03</v>
      </c>
      <c r="F794" s="122">
        <f>IFERROR(__xludf.DUMMYFUNCTION("""COMPUTED_VALUE"""),3.0E-4)</f>
        <v>0.0003</v>
      </c>
    </row>
    <row r="795">
      <c r="A795" s="131">
        <f>IFERROR(__xludf.DUMMYFUNCTION("""COMPUTED_VALUE"""),46187.334872685184)</f>
        <v>46187.33487</v>
      </c>
      <c r="B795" s="126">
        <f>IFERROR(__xludf.DUMMYFUNCTION("""COMPUTED_VALUE"""),46187.0)</f>
        <v>46187</v>
      </c>
      <c r="C795" s="122" t="str">
        <f>IFERROR(__xludf.DUMMYFUNCTION("""COMPUTED_VALUE"""),"RIDE")</f>
        <v>RIDE</v>
      </c>
      <c r="D795" s="122" t="str">
        <f>IFERROR(__xludf.DUMMYFUNCTION("""COMPUTED_VALUE"""),"QuickRide")</f>
        <v>QuickRide</v>
      </c>
      <c r="E795" s="122">
        <f>IFERROR(__xludf.DUMMYFUNCTION("""COMPUTED_VALUE"""),95.16)</f>
        <v>95.16</v>
      </c>
      <c r="F795" s="122">
        <f>IFERROR(__xludf.DUMMYFUNCTION("""COMPUTED_VALUE"""),-0.0106)</f>
        <v>-0.0106</v>
      </c>
    </row>
    <row r="796">
      <c r="A796" s="131">
        <f>IFERROR(__xludf.DUMMYFUNCTION("""COMPUTED_VALUE"""),46187.334872685184)</f>
        <v>46187.33487</v>
      </c>
      <c r="B796" s="126">
        <f>IFERROR(__xludf.DUMMYFUNCTION("""COMPUTED_VALUE"""),46187.0)</f>
        <v>46187</v>
      </c>
      <c r="C796" s="122" t="str">
        <f>IFERROR(__xludf.DUMMYFUNCTION("""COMPUTED_VALUE"""),"RAIL")</f>
        <v>RAIL</v>
      </c>
      <c r="D796" s="122" t="str">
        <f>IFERROR(__xludf.DUMMYFUNCTION("""COMPUTED_VALUE"""),"MetroRail Corp")</f>
        <v>MetroRail Corp</v>
      </c>
      <c r="E796" s="122">
        <f>IFERROR(__xludf.DUMMYFUNCTION("""COMPUTED_VALUE"""),137.58)</f>
        <v>137.58</v>
      </c>
      <c r="F796" s="122">
        <f>IFERROR(__xludf.DUMMYFUNCTION("""COMPUTED_VALUE"""),0.0026)</f>
        <v>0.0026</v>
      </c>
    </row>
    <row r="797">
      <c r="A797" s="131">
        <f>IFERROR(__xludf.DUMMYFUNCTION("""COMPUTED_VALUE"""),46187.334872685184)</f>
        <v>46187.33487</v>
      </c>
      <c r="B797" s="126">
        <f>IFERROR(__xludf.DUMMYFUNCTION("""COMPUTED_VALUE"""),46187.0)</f>
        <v>46187</v>
      </c>
      <c r="C797" s="122" t="str">
        <f>IFERROR(__xludf.DUMMYFUNCTION("""COMPUTED_VALUE"""),"MEDX")</f>
        <v>MEDX</v>
      </c>
      <c r="D797" s="122" t="str">
        <f>IFERROR(__xludf.DUMMYFUNCTION("""COMPUTED_VALUE"""),"MediCore")</f>
        <v>MediCore</v>
      </c>
      <c r="E797" s="122">
        <f>IFERROR(__xludf.DUMMYFUNCTION("""COMPUTED_VALUE"""),136.77)</f>
        <v>136.77</v>
      </c>
      <c r="F797" s="122">
        <f>IFERROR(__xludf.DUMMYFUNCTION("""COMPUTED_VALUE"""),0.0016)</f>
        <v>0.0016</v>
      </c>
    </row>
    <row r="798">
      <c r="A798" s="131">
        <f>IFERROR(__xludf.DUMMYFUNCTION("""COMPUTED_VALUE"""),46187.334872685184)</f>
        <v>46187.33487</v>
      </c>
      <c r="B798" s="126">
        <f>IFERROR(__xludf.DUMMYFUNCTION("""COMPUTED_VALUE"""),46187.0)</f>
        <v>46187</v>
      </c>
      <c r="C798" s="122" t="str">
        <f>IFERROR(__xludf.DUMMYFUNCTION("""COMPUTED_VALUE"""),"GYMX")</f>
        <v>GYMX</v>
      </c>
      <c r="D798" s="122" t="str">
        <f>IFERROR(__xludf.DUMMYFUNCTION("""COMPUTED_VALUE"""),"GymX Fitness")</f>
        <v>GymX Fitness</v>
      </c>
      <c r="E798" s="122">
        <f>IFERROR(__xludf.DUMMYFUNCTION("""COMPUTED_VALUE"""),86.8)</f>
        <v>86.8</v>
      </c>
      <c r="F798" s="122">
        <f>IFERROR(__xludf.DUMMYFUNCTION("""COMPUTED_VALUE"""),7.0E-4)</f>
        <v>0.0007</v>
      </c>
    </row>
    <row r="799">
      <c r="A799" s="131">
        <f>IFERROR(__xludf.DUMMYFUNCTION("""COMPUTED_VALUE"""),46187.334872685184)</f>
        <v>46187.33487</v>
      </c>
      <c r="B799" s="126">
        <f>IFERROR(__xludf.DUMMYFUNCTION("""COMPUTED_VALUE"""),46187.0)</f>
        <v>46187</v>
      </c>
      <c r="C799" s="122" t="str">
        <f>IFERROR(__xludf.DUMMYFUNCTION("""COMPUTED_VALUE"""),"VITA")</f>
        <v>VITA</v>
      </c>
      <c r="D799" s="122" t="str">
        <f>IFERROR(__xludf.DUMMYFUNCTION("""COMPUTED_VALUE"""),"VitaPlus")</f>
        <v>VitaPlus</v>
      </c>
      <c r="E799" s="122">
        <f>IFERROR(__xludf.DUMMYFUNCTION("""COMPUTED_VALUE"""),75.45)</f>
        <v>75.45</v>
      </c>
      <c r="F799" s="122">
        <f>IFERROR(__xludf.DUMMYFUNCTION("""COMPUTED_VALUE"""),0.0037)</f>
        <v>0.0037</v>
      </c>
    </row>
    <row r="800">
      <c r="A800" s="131">
        <f>IFERROR(__xludf.DUMMYFUNCTION("""COMPUTED_VALUE"""),46187.334872685184)</f>
        <v>46187.33487</v>
      </c>
      <c r="B800" s="126">
        <f>IFERROR(__xludf.DUMMYFUNCTION("""COMPUTED_VALUE"""),46187.0)</f>
        <v>46187</v>
      </c>
      <c r="C800" s="122" t="str">
        <f>IFERROR(__xludf.DUMMYFUNCTION("""COMPUTED_VALUE"""),"CARE")</f>
        <v>CARE</v>
      </c>
      <c r="D800" s="122" t="str">
        <f>IFERROR(__xludf.DUMMYFUNCTION("""COMPUTED_VALUE"""),"CareCloud")</f>
        <v>CareCloud</v>
      </c>
      <c r="E800" s="122">
        <f>IFERROR(__xludf.DUMMYFUNCTION("""COMPUTED_VALUE"""),176.93)</f>
        <v>176.93</v>
      </c>
      <c r="F800" s="122">
        <f>IFERROR(__xludf.DUMMYFUNCTION("""COMPUTED_VALUE"""),-0.0046)</f>
        <v>-0.0046</v>
      </c>
    </row>
    <row r="801">
      <c r="A801" s="131">
        <f>IFERROR(__xludf.DUMMYFUNCTION("""COMPUTED_VALUE"""),46187.334872685184)</f>
        <v>46187.33487</v>
      </c>
      <c r="B801" s="126">
        <f>IFERROR(__xludf.DUMMYFUNCTION("""COMPUTED_VALUE"""),46187.0)</f>
        <v>46187</v>
      </c>
      <c r="C801" s="122" t="str">
        <f>IFERROR(__xludf.DUMMYFUNCTION("""COMPUTED_VALUE"""),"DENT")</f>
        <v>DENT</v>
      </c>
      <c r="D801" s="122" t="str">
        <f>IFERROR(__xludf.DUMMYFUNCTION("""COMPUTED_VALUE"""),"SmileWorks")</f>
        <v>SmileWorks</v>
      </c>
      <c r="E801" s="122">
        <f>IFERROR(__xludf.DUMMYFUNCTION("""COMPUTED_VALUE"""),81.49)</f>
        <v>81.49</v>
      </c>
      <c r="F801" s="122">
        <f>IFERROR(__xludf.DUMMYFUNCTION("""COMPUTED_VALUE"""),-9.0E-4)</f>
        <v>-0.0009</v>
      </c>
    </row>
    <row r="802">
      <c r="A802" s="131">
        <f>IFERROR(__xludf.DUMMYFUNCTION("""COMPUTED_VALUE"""),46187.334872685184)</f>
        <v>46187.33487</v>
      </c>
      <c r="B802" s="126">
        <f>IFERROR(__xludf.DUMMYFUNCTION("""COMPUTED_VALUE"""),46187.0)</f>
        <v>46187</v>
      </c>
      <c r="C802" s="122" t="str">
        <f>IFERROR(__xludf.DUMMYFUNCTION("""COMPUTED_VALUE"""),"EDUX")</f>
        <v>EDUX</v>
      </c>
      <c r="D802" s="122" t="str">
        <f>IFERROR(__xludf.DUMMYFUNCTION("""COMPUTED_VALUE"""),"EduMax Learning")</f>
        <v>EduMax Learning</v>
      </c>
      <c r="E802" s="122">
        <f>IFERROR(__xludf.DUMMYFUNCTION("""COMPUTED_VALUE"""),129.18)</f>
        <v>129.18</v>
      </c>
      <c r="F802" s="122">
        <f>IFERROR(__xludf.DUMMYFUNCTION("""COMPUTED_VALUE"""),0.0067)</f>
        <v>0.0067</v>
      </c>
    </row>
    <row r="803">
      <c r="A803" s="131">
        <f>IFERROR(__xludf.DUMMYFUNCTION("""COMPUTED_VALUE"""),46187.334872685184)</f>
        <v>46187.33487</v>
      </c>
      <c r="B803" s="126">
        <f>IFERROR(__xludf.DUMMYFUNCTION("""COMPUTED_VALUE"""),46187.0)</f>
        <v>46187</v>
      </c>
      <c r="C803" s="122" t="str">
        <f>IFERROR(__xludf.DUMMYFUNCTION("""COMPUTED_VALUE"""),"BOOK")</f>
        <v>BOOK</v>
      </c>
      <c r="D803" s="122" t="str">
        <f>IFERROR(__xludf.DUMMYFUNCTION("""COMPUTED_VALUE"""),"BookBridge")</f>
        <v>BookBridge</v>
      </c>
      <c r="E803" s="122">
        <f>IFERROR(__xludf.DUMMYFUNCTION("""COMPUTED_VALUE"""),111.56)</f>
        <v>111.56</v>
      </c>
      <c r="F803" s="122">
        <f>IFERROR(__xludf.DUMMYFUNCTION("""COMPUTED_VALUE"""),-0.0028)</f>
        <v>-0.0028</v>
      </c>
    </row>
    <row r="804">
      <c r="A804" s="131">
        <f>IFERROR(__xludf.DUMMYFUNCTION("""COMPUTED_VALUE"""),46187.334872685184)</f>
        <v>46187.33487</v>
      </c>
      <c r="B804" s="126">
        <f>IFERROR(__xludf.DUMMYFUNCTION("""COMPUTED_VALUE"""),46187.0)</f>
        <v>46187</v>
      </c>
      <c r="C804" s="122" t="str">
        <f>IFERROR(__xludf.DUMMYFUNCTION("""COMPUTED_VALUE"""),"TUTR")</f>
        <v>TUTR</v>
      </c>
      <c r="D804" s="122" t="str">
        <f>IFERROR(__xludf.DUMMYFUNCTION("""COMPUTED_VALUE"""),"TutorTown")</f>
        <v>TutorTown</v>
      </c>
      <c r="E804" s="122">
        <f>IFERROR(__xludf.DUMMYFUNCTION("""COMPUTED_VALUE"""),90.01)</f>
        <v>90.01</v>
      </c>
      <c r="F804" s="122">
        <f>IFERROR(__xludf.DUMMYFUNCTION("""COMPUTED_VALUE"""),-9.0E-4)</f>
        <v>-0.0009</v>
      </c>
    </row>
    <row r="805">
      <c r="A805" s="131">
        <f>IFERROR(__xludf.DUMMYFUNCTION("""COMPUTED_VALUE"""),46187.334872685184)</f>
        <v>46187.33487</v>
      </c>
      <c r="B805" s="126">
        <f>IFERROR(__xludf.DUMMYFUNCTION("""COMPUTED_VALUE"""),46187.0)</f>
        <v>46187</v>
      </c>
      <c r="C805" s="122" t="str">
        <f>IFERROR(__xludf.DUMMYFUNCTION("""COMPUTED_VALUE"""),"LANG")</f>
        <v>LANG</v>
      </c>
      <c r="D805" s="122" t="str">
        <f>IFERROR(__xludf.DUMMYFUNCTION("""COMPUTED_VALUE"""),"LinguaLab")</f>
        <v>LinguaLab</v>
      </c>
      <c r="E805" s="122">
        <f>IFERROR(__xludf.DUMMYFUNCTION("""COMPUTED_VALUE"""),94.45)</f>
        <v>94.45</v>
      </c>
      <c r="F805" s="122">
        <f>IFERROR(__xludf.DUMMYFUNCTION("""COMPUTED_VALUE"""),-0.0034)</f>
        <v>-0.0034</v>
      </c>
    </row>
    <row r="806">
      <c r="A806" s="131">
        <f>IFERROR(__xludf.DUMMYFUNCTION("""COMPUTED_VALUE"""),46187.334872685184)</f>
        <v>46187.33487</v>
      </c>
      <c r="B806" s="126">
        <f>IFERROR(__xludf.DUMMYFUNCTION("""COMPUTED_VALUE"""),46187.0)</f>
        <v>46187</v>
      </c>
      <c r="C806" s="122" t="str">
        <f>IFERROR(__xludf.DUMMYFUNCTION("""COMPUTED_VALUE"""),"TEST")</f>
        <v>TEST</v>
      </c>
      <c r="D806" s="122" t="str">
        <f>IFERROR(__xludf.DUMMYFUNCTION("""COMPUTED_VALUE"""),"TestPrep Pro")</f>
        <v>TestPrep Pro</v>
      </c>
      <c r="E806" s="122">
        <f>IFERROR(__xludf.DUMMYFUNCTION("""COMPUTED_VALUE"""),100.24)</f>
        <v>100.24</v>
      </c>
      <c r="F806" s="122">
        <f>IFERROR(__xludf.DUMMYFUNCTION("""COMPUTED_VALUE"""),-0.0082)</f>
        <v>-0.0082</v>
      </c>
    </row>
    <row r="807">
      <c r="A807" s="131">
        <f>IFERROR(__xludf.DUMMYFUNCTION("""COMPUTED_VALUE"""),46187.334872685184)</f>
        <v>46187.33487</v>
      </c>
      <c r="B807" s="126">
        <f>IFERROR(__xludf.DUMMYFUNCTION("""COMPUTED_VALUE"""),46187.0)</f>
        <v>46187</v>
      </c>
      <c r="C807" s="122" t="str">
        <f>IFERROR(__xludf.DUMMYFUNCTION("""COMPUTED_VALUE"""),"MOVI")</f>
        <v>MOVI</v>
      </c>
      <c r="D807" s="122" t="str">
        <f>IFERROR(__xludf.DUMMYFUNCTION("""COMPUTED_VALUE"""),"MovieBox")</f>
        <v>MovieBox</v>
      </c>
      <c r="E807" s="122">
        <f>IFERROR(__xludf.DUMMYFUNCTION("""COMPUTED_VALUE"""),79.87)</f>
        <v>79.87</v>
      </c>
      <c r="F807" s="122">
        <f>IFERROR(__xludf.DUMMYFUNCTION("""COMPUTED_VALUE"""),-0.0014)</f>
        <v>-0.0014</v>
      </c>
    </row>
    <row r="808">
      <c r="A808" s="131">
        <f>IFERROR(__xludf.DUMMYFUNCTION("""COMPUTED_VALUE"""),46187.334872685184)</f>
        <v>46187.33487</v>
      </c>
      <c r="B808" s="126">
        <f>IFERROR(__xludf.DUMMYFUNCTION("""COMPUTED_VALUE"""),46187.0)</f>
        <v>46187</v>
      </c>
      <c r="C808" s="122" t="str">
        <f>IFERROR(__xludf.DUMMYFUNCTION("""COMPUTED_VALUE"""),"MUSC")</f>
        <v>MUSC</v>
      </c>
      <c r="D808" s="122" t="str">
        <f>IFERROR(__xludf.DUMMYFUNCTION("""COMPUTED_VALUE"""),"MusicWave")</f>
        <v>MusicWave</v>
      </c>
      <c r="E808" s="122">
        <f>IFERROR(__xludf.DUMMYFUNCTION("""COMPUTED_VALUE"""),97.91)</f>
        <v>97.91</v>
      </c>
      <c r="F808" s="122">
        <f>IFERROR(__xludf.DUMMYFUNCTION("""COMPUTED_VALUE"""),0.0065)</f>
        <v>0.0065</v>
      </c>
    </row>
    <row r="809">
      <c r="A809" s="131">
        <f>IFERROR(__xludf.DUMMYFUNCTION("""COMPUTED_VALUE"""),46187.334872685184)</f>
        <v>46187.33487</v>
      </c>
      <c r="B809" s="126">
        <f>IFERROR(__xludf.DUMMYFUNCTION("""COMPUTED_VALUE"""),46187.0)</f>
        <v>46187</v>
      </c>
      <c r="C809" s="122" t="str">
        <f>IFERROR(__xludf.DUMMYFUNCTION("""COMPUTED_VALUE"""),"IDOL")</f>
        <v>IDOL</v>
      </c>
      <c r="D809" s="122" t="str">
        <f>IFERROR(__xludf.DUMMYFUNCTION("""COMPUTED_VALUE"""),"Idol Agency")</f>
        <v>Idol Agency</v>
      </c>
      <c r="E809" s="122">
        <f>IFERROR(__xludf.DUMMYFUNCTION("""COMPUTED_VALUE"""),199.74)</f>
        <v>199.74</v>
      </c>
      <c r="F809" s="122">
        <f>IFERROR(__xludf.DUMMYFUNCTION("""COMPUTED_VALUE"""),-0.0132)</f>
        <v>-0.0132</v>
      </c>
    </row>
    <row r="810">
      <c r="A810" s="131">
        <f>IFERROR(__xludf.DUMMYFUNCTION("""COMPUTED_VALUE"""),46187.334872685184)</f>
        <v>46187.33487</v>
      </c>
      <c r="B810" s="126">
        <f>IFERROR(__xludf.DUMMYFUNCTION("""COMPUTED_VALUE"""),46187.0)</f>
        <v>46187</v>
      </c>
      <c r="C810" s="122" t="str">
        <f>IFERROR(__xludf.DUMMYFUNCTION("""COMPUTED_VALUE"""),"MEME")</f>
        <v>MEME</v>
      </c>
      <c r="D810" s="122" t="str">
        <f>IFERROR(__xludf.DUMMYFUNCTION("""COMPUTED_VALUE"""),"Meme Media")</f>
        <v>Meme Media</v>
      </c>
      <c r="E810" s="122">
        <f>IFERROR(__xludf.DUMMYFUNCTION("""COMPUTED_VALUE"""),79.76)</f>
        <v>79.76</v>
      </c>
      <c r="F810" s="122">
        <f>IFERROR(__xludf.DUMMYFUNCTION("""COMPUTED_VALUE"""),-0.0097)</f>
        <v>-0.0097</v>
      </c>
    </row>
    <row r="811">
      <c r="A811" s="131">
        <f>IFERROR(__xludf.DUMMYFUNCTION("""COMPUTED_VALUE"""),46187.334872685184)</f>
        <v>46187.33487</v>
      </c>
      <c r="B811" s="126">
        <f>IFERROR(__xludf.DUMMYFUNCTION("""COMPUTED_VALUE"""),46187.0)</f>
        <v>46187</v>
      </c>
      <c r="C811" s="122" t="str">
        <f>IFERROR(__xludf.DUMMYFUNCTION("""COMPUTED_VALUE"""),"STRM")</f>
        <v>STRM</v>
      </c>
      <c r="D811" s="122" t="str">
        <f>IFERROR(__xludf.DUMMYFUNCTION("""COMPUTED_VALUE"""),"Streamly")</f>
        <v>Streamly</v>
      </c>
      <c r="E811" s="122">
        <f>IFERROR(__xludf.DUMMYFUNCTION("""COMPUTED_VALUE"""),138.88)</f>
        <v>138.88</v>
      </c>
      <c r="F811" s="122">
        <f>IFERROR(__xludf.DUMMYFUNCTION("""COMPUTED_VALUE"""),0.0034)</f>
        <v>0.0034</v>
      </c>
    </row>
    <row r="812">
      <c r="A812" s="131">
        <f>IFERROR(__xludf.DUMMYFUNCTION("""COMPUTED_VALUE"""),46187.334872685184)</f>
        <v>46187.33487</v>
      </c>
      <c r="B812" s="126">
        <f>IFERROR(__xludf.DUMMYFUNCTION("""COMPUTED_VALUE"""),46187.0)</f>
        <v>46187</v>
      </c>
      <c r="C812" s="122" t="str">
        <f>IFERROR(__xludf.DUMMYFUNCTION("""COMPUTED_VALUE"""),"FARM")</f>
        <v>FARM</v>
      </c>
      <c r="D812" s="122" t="str">
        <f>IFERROR(__xludf.DUMMYFUNCTION("""COMPUTED_VALUE"""),"Future Farms")</f>
        <v>Future Farms</v>
      </c>
      <c r="E812" s="122">
        <f>IFERROR(__xludf.DUMMYFUNCTION("""COMPUTED_VALUE"""),79.27)</f>
        <v>79.27</v>
      </c>
      <c r="F812" s="122">
        <f>IFERROR(__xludf.DUMMYFUNCTION("""COMPUTED_VALUE"""),0.0035)</f>
        <v>0.0035</v>
      </c>
    </row>
    <row r="813">
      <c r="A813" s="131">
        <f>IFERROR(__xludf.DUMMYFUNCTION("""COMPUTED_VALUE"""),46187.334872685184)</f>
        <v>46187.33487</v>
      </c>
      <c r="B813" s="126">
        <f>IFERROR(__xludf.DUMMYFUNCTION("""COMPUTED_VALUE"""),46187.0)</f>
        <v>46187</v>
      </c>
      <c r="C813" s="122" t="str">
        <f>IFERROR(__xludf.DUMMYFUNCTION("""COMPUTED_VALUE"""),"MEAT")</f>
        <v>MEAT</v>
      </c>
      <c r="D813" s="122" t="str">
        <f>IFERROR(__xludf.DUMMYFUNCTION("""COMPUTED_VALUE"""),"MeatWorks")</f>
        <v>MeatWorks</v>
      </c>
      <c r="E813" s="122">
        <f>IFERROR(__xludf.DUMMYFUNCTION("""COMPUTED_VALUE"""),102.92)</f>
        <v>102.92</v>
      </c>
      <c r="F813" s="122">
        <f>IFERROR(__xludf.DUMMYFUNCTION("""COMPUTED_VALUE"""),0.0078)</f>
        <v>0.0078</v>
      </c>
    </row>
    <row r="814">
      <c r="A814" s="131">
        <f>IFERROR(__xludf.DUMMYFUNCTION("""COMPUTED_VALUE"""),46187.334872685184)</f>
        <v>46187.33487</v>
      </c>
      <c r="B814" s="126">
        <f>IFERROR(__xludf.DUMMYFUNCTION("""COMPUTED_VALUE"""),46187.0)</f>
        <v>46187</v>
      </c>
      <c r="C814" s="122" t="str">
        <f>IFERROR(__xludf.DUMMYFUNCTION("""COMPUTED_VALUE"""),"VEGI")</f>
        <v>VEGI</v>
      </c>
      <c r="D814" s="122" t="str">
        <f>IFERROR(__xludf.DUMMYFUNCTION("""COMPUTED_VALUE"""),"Green Basket")</f>
        <v>Green Basket</v>
      </c>
      <c r="E814" s="122">
        <f>IFERROR(__xludf.DUMMYFUNCTION("""COMPUTED_VALUE"""),83.92)</f>
        <v>83.92</v>
      </c>
      <c r="F814" s="122">
        <f>IFERROR(__xludf.DUMMYFUNCTION("""COMPUTED_VALUE"""),-0.0021)</f>
        <v>-0.0021</v>
      </c>
    </row>
    <row r="815">
      <c r="A815" s="131">
        <f>IFERROR(__xludf.DUMMYFUNCTION("""COMPUTED_VALUE"""),46187.334872685184)</f>
        <v>46187.33487</v>
      </c>
      <c r="B815" s="126">
        <f>IFERROR(__xludf.DUMMYFUNCTION("""COMPUTED_VALUE"""),46187.0)</f>
        <v>46187</v>
      </c>
      <c r="C815" s="122" t="str">
        <f>IFERROR(__xludf.DUMMYFUNCTION("""COMPUTED_VALUE"""),"CAFE")</f>
        <v>CAFE</v>
      </c>
      <c r="D815" s="122" t="str">
        <f>IFERROR(__xludf.DUMMYFUNCTION("""COMPUTED_VALUE"""),"Cafe Cloud")</f>
        <v>Cafe Cloud</v>
      </c>
      <c r="E815" s="122">
        <f>IFERROR(__xludf.DUMMYFUNCTION("""COMPUTED_VALUE"""),98.93)</f>
        <v>98.93</v>
      </c>
      <c r="F815" s="122">
        <f>IFERROR(__xludf.DUMMYFUNCTION("""COMPUTED_VALUE"""),0.0019)</f>
        <v>0.0019</v>
      </c>
    </row>
    <row r="816">
      <c r="A816" s="131">
        <f>IFERROR(__xludf.DUMMYFUNCTION("""COMPUTED_VALUE"""),46187.334872685184)</f>
        <v>46187.33487</v>
      </c>
      <c r="B816" s="126">
        <f>IFERROR(__xludf.DUMMYFUNCTION("""COMPUTED_VALUE"""),46187.0)</f>
        <v>46187</v>
      </c>
      <c r="C816" s="122" t="str">
        <f>IFERROR(__xludf.DUMMYFUNCTION("""COMPUTED_VALUE"""),"BAKE")</f>
        <v>BAKE</v>
      </c>
      <c r="D816" s="122" t="str">
        <f>IFERROR(__xludf.DUMMYFUNCTION("""COMPUTED_VALUE"""),"BakeHouse")</f>
        <v>BakeHouse</v>
      </c>
      <c r="E816" s="122">
        <f>IFERROR(__xludf.DUMMYFUNCTION("""COMPUTED_VALUE"""),100.43)</f>
        <v>100.43</v>
      </c>
      <c r="F816" s="122">
        <f>IFERROR(__xludf.DUMMYFUNCTION("""COMPUTED_VALUE"""),0.003)</f>
        <v>0.003</v>
      </c>
    </row>
    <row r="817">
      <c r="A817" s="131">
        <f>IFERROR(__xludf.DUMMYFUNCTION("""COMPUTED_VALUE"""),46187.334872685184)</f>
        <v>46187.33487</v>
      </c>
      <c r="B817" s="126">
        <f>IFERROR(__xludf.DUMMYFUNCTION("""COMPUTED_VALUE"""),46187.0)</f>
        <v>46187</v>
      </c>
      <c r="C817" s="122" t="str">
        <f>IFERROR(__xludf.DUMMYFUNCTION("""COMPUTED_VALUE"""),"OILX")</f>
        <v>OILX</v>
      </c>
      <c r="D817" s="122" t="str">
        <f>IFERROR(__xludf.DUMMYFUNCTION("""COMPUTED_VALUE"""),"OilMax Energy")</f>
        <v>OilMax Energy</v>
      </c>
      <c r="E817" s="122">
        <f>IFERROR(__xludf.DUMMYFUNCTION("""COMPUTED_VALUE"""),132.91)</f>
        <v>132.91</v>
      </c>
      <c r="F817" s="122">
        <f>IFERROR(__xludf.DUMMYFUNCTION("""COMPUTED_VALUE"""),-3.0E-4)</f>
        <v>-0.0003</v>
      </c>
    </row>
    <row r="818">
      <c r="A818" s="131">
        <f>IFERROR(__xludf.DUMMYFUNCTION("""COMPUTED_VALUE"""),46187.334872685184)</f>
        <v>46187.33487</v>
      </c>
      <c r="B818" s="126">
        <f>IFERROR(__xludf.DUMMYFUNCTION("""COMPUTED_VALUE"""),46187.0)</f>
        <v>46187</v>
      </c>
      <c r="C818" s="122" t="str">
        <f>IFERROR(__xludf.DUMMYFUNCTION("""COMPUTED_VALUE"""),"SOLR")</f>
        <v>SOLR</v>
      </c>
      <c r="D818" s="122" t="str">
        <f>IFERROR(__xludf.DUMMYFUNCTION("""COMPUTED_VALUE"""),"SolarSpark")</f>
        <v>SolarSpark</v>
      </c>
      <c r="E818" s="122">
        <f>IFERROR(__xludf.DUMMYFUNCTION("""COMPUTED_VALUE"""),81.01)</f>
        <v>81.01</v>
      </c>
      <c r="F818" s="122">
        <f>IFERROR(__xludf.DUMMYFUNCTION("""COMPUTED_VALUE"""),0.0068)</f>
        <v>0.0068</v>
      </c>
    </row>
    <row r="819">
      <c r="A819" s="131">
        <f>IFERROR(__xludf.DUMMYFUNCTION("""COMPUTED_VALUE"""),46187.334872685184)</f>
        <v>46187.33487</v>
      </c>
      <c r="B819" s="126">
        <f>IFERROR(__xludf.DUMMYFUNCTION("""COMPUTED_VALUE"""),46187.0)</f>
        <v>46187</v>
      </c>
      <c r="C819" s="122" t="str">
        <f>IFERROR(__xludf.DUMMYFUNCTION("""COMPUTED_VALUE"""),"BATT")</f>
        <v>BATT</v>
      </c>
      <c r="D819" s="122" t="str">
        <f>IFERROR(__xludf.DUMMYFUNCTION("""COMPUTED_VALUE"""),"BatteryBox")</f>
        <v>BatteryBox</v>
      </c>
      <c r="E819" s="122">
        <f>IFERROR(__xludf.DUMMYFUNCTION("""COMPUTED_VALUE"""),118.06)</f>
        <v>118.06</v>
      </c>
      <c r="F819" s="122">
        <f>IFERROR(__xludf.DUMMYFUNCTION("""COMPUTED_VALUE"""),-0.0018)</f>
        <v>-0.0018</v>
      </c>
    </row>
    <row r="820">
      <c r="A820" s="131">
        <f>IFERROR(__xludf.DUMMYFUNCTION("""COMPUTED_VALUE"""),46187.334872685184)</f>
        <v>46187.33487</v>
      </c>
      <c r="B820" s="126">
        <f>IFERROR(__xludf.DUMMYFUNCTION("""COMPUTED_VALUE"""),46187.0)</f>
        <v>46187</v>
      </c>
      <c r="C820" s="122" t="str">
        <f>IFERROR(__xludf.DUMMYFUNCTION("""COMPUTED_VALUE"""),"WIND")</f>
        <v>WIND</v>
      </c>
      <c r="D820" s="122" t="str">
        <f>IFERROR(__xludf.DUMMYFUNCTION("""COMPUTED_VALUE"""),"WindWorks")</f>
        <v>WindWorks</v>
      </c>
      <c r="E820" s="122">
        <f>IFERROR(__xludf.DUMMYFUNCTION("""COMPUTED_VALUE"""),90.28)</f>
        <v>90.28</v>
      </c>
      <c r="F820" s="122">
        <f>IFERROR(__xludf.DUMMYFUNCTION("""COMPUTED_VALUE"""),-0.0052)</f>
        <v>-0.0052</v>
      </c>
    </row>
    <row r="821">
      <c r="A821" s="131">
        <f>IFERROR(__xludf.DUMMYFUNCTION("""COMPUTED_VALUE"""),46187.334872685184)</f>
        <v>46187.33487</v>
      </c>
      <c r="B821" s="126">
        <f>IFERROR(__xludf.DUMMYFUNCTION("""COMPUTED_VALUE"""),46187.0)</f>
        <v>46187</v>
      </c>
      <c r="C821" s="122" t="str">
        <f>IFERROR(__xludf.DUMMYFUNCTION("""COMPUTED_VALUE"""),"GRID")</f>
        <v>GRID</v>
      </c>
      <c r="D821" s="122" t="str">
        <f>IFERROR(__xludf.DUMMYFUNCTION("""COMPUTED_VALUE"""),"GridPower")</f>
        <v>GridPower</v>
      </c>
      <c r="E821" s="122">
        <f>IFERROR(__xludf.DUMMYFUNCTION("""COMPUTED_VALUE"""),147.05)</f>
        <v>147.05</v>
      </c>
      <c r="F821" s="122">
        <f>IFERROR(__xludf.DUMMYFUNCTION("""COMPUTED_VALUE"""),-0.0072)</f>
        <v>-0.0072</v>
      </c>
    </row>
    <row r="822">
      <c r="A822" s="131">
        <f>IFERROR(__xludf.DUMMYFUNCTION("""COMPUTED_VALUE"""),46187.334872685184)</f>
        <v>46187.33487</v>
      </c>
      <c r="B822" s="126">
        <f>IFERROR(__xludf.DUMMYFUNCTION("""COMPUTED_VALUE"""),46187.0)</f>
        <v>46187</v>
      </c>
      <c r="C822" s="122" t="str">
        <f>IFERROR(__xludf.DUMMYFUNCTION("""COMPUTED_VALUE"""),"HOME")</f>
        <v>HOME</v>
      </c>
      <c r="D822" s="122" t="str">
        <f>IFERROR(__xludf.DUMMYFUNCTION("""COMPUTED_VALUE"""),"HomeHub")</f>
        <v>HomeHub</v>
      </c>
      <c r="E822" s="122">
        <f>IFERROR(__xludf.DUMMYFUNCTION("""COMPUTED_VALUE"""),144.62)</f>
        <v>144.62</v>
      </c>
      <c r="F822" s="122">
        <f>IFERROR(__xludf.DUMMYFUNCTION("""COMPUTED_VALUE"""),-0.001)</f>
        <v>-0.001</v>
      </c>
    </row>
    <row r="823">
      <c r="A823" s="131">
        <f>IFERROR(__xludf.DUMMYFUNCTION("""COMPUTED_VALUE"""),46187.334872685184)</f>
        <v>46187.33487</v>
      </c>
      <c r="B823" s="126">
        <f>IFERROR(__xludf.DUMMYFUNCTION("""COMPUTED_VALUE"""),46187.0)</f>
        <v>46187</v>
      </c>
      <c r="C823" s="122" t="str">
        <f>IFERROR(__xludf.DUMMYFUNCTION("""COMPUTED_VALUE"""),"RENT")</f>
        <v>RENT</v>
      </c>
      <c r="D823" s="122" t="str">
        <f>IFERROR(__xludf.DUMMYFUNCTION("""COMPUTED_VALUE"""),"RentRight")</f>
        <v>RentRight</v>
      </c>
      <c r="E823" s="122">
        <f>IFERROR(__xludf.DUMMYFUNCTION("""COMPUTED_VALUE"""),94.26)</f>
        <v>94.26</v>
      </c>
      <c r="F823" s="122">
        <f>IFERROR(__xludf.DUMMYFUNCTION("""COMPUTED_VALUE"""),-0.0064)</f>
        <v>-0.0064</v>
      </c>
    </row>
    <row r="824">
      <c r="A824" s="131">
        <f>IFERROR(__xludf.DUMMYFUNCTION("""COMPUTED_VALUE"""),46187.334872685184)</f>
        <v>46187.33487</v>
      </c>
      <c r="B824" s="126">
        <f>IFERROR(__xludf.DUMMYFUNCTION("""COMPUTED_VALUE"""),46187.0)</f>
        <v>46187</v>
      </c>
      <c r="C824" s="122" t="str">
        <f>IFERROR(__xludf.DUMMYFUNCTION("""COMPUTED_VALUE"""),"MALL")</f>
        <v>MALL</v>
      </c>
      <c r="D824" s="122" t="str">
        <f>IFERROR(__xludf.DUMMYFUNCTION("""COMPUTED_VALUE"""),"MegaMall")</f>
        <v>MegaMall</v>
      </c>
      <c r="E824" s="122">
        <f>IFERROR(__xludf.DUMMYFUNCTION("""COMPUTED_VALUE"""),94.31)</f>
        <v>94.31</v>
      </c>
      <c r="F824" s="122">
        <f>IFERROR(__xludf.DUMMYFUNCTION("""COMPUTED_VALUE"""),0.0063)</f>
        <v>0.0063</v>
      </c>
    </row>
    <row r="825">
      <c r="A825" s="131">
        <f>IFERROR(__xludf.DUMMYFUNCTION("""COMPUTED_VALUE"""),46187.334872685184)</f>
        <v>46187.33487</v>
      </c>
      <c r="B825" s="126">
        <f>IFERROR(__xludf.DUMMYFUNCTION("""COMPUTED_VALUE"""),46187.0)</f>
        <v>46187</v>
      </c>
      <c r="C825" s="122" t="str">
        <f>IFERROR(__xludf.DUMMYFUNCTION("""COMPUTED_VALUE"""),"HOTL")</f>
        <v>HOTL</v>
      </c>
      <c r="D825" s="122" t="str">
        <f>IFERROR(__xludf.DUMMYFUNCTION("""COMPUTED_VALUE"""),"HotelHive")</f>
        <v>HotelHive</v>
      </c>
      <c r="E825" s="122">
        <f>IFERROR(__xludf.DUMMYFUNCTION("""COMPUTED_VALUE"""),130.97)</f>
        <v>130.97</v>
      </c>
      <c r="F825" s="122">
        <f>IFERROR(__xludf.DUMMYFUNCTION("""COMPUTED_VALUE"""),-0.0056)</f>
        <v>-0.0056</v>
      </c>
    </row>
    <row r="826">
      <c r="A826" s="131">
        <f>IFERROR(__xludf.DUMMYFUNCTION("""COMPUTED_VALUE"""),46187.334872685184)</f>
        <v>46187.33487</v>
      </c>
      <c r="B826" s="126">
        <f>IFERROR(__xludf.DUMMYFUNCTION("""COMPUTED_VALUE"""),46187.0)</f>
        <v>46187</v>
      </c>
      <c r="C826" s="122" t="str">
        <f>IFERROR(__xludf.DUMMYFUNCTION("""COMPUTED_VALUE"""),"LAND")</f>
        <v>LAND</v>
      </c>
      <c r="D826" s="122" t="str">
        <f>IFERROR(__xludf.DUMMYFUNCTION("""COMPUTED_VALUE"""),"LandLink")</f>
        <v>LandLink</v>
      </c>
      <c r="E826" s="122">
        <f>IFERROR(__xludf.DUMMYFUNCTION("""COMPUTED_VALUE"""),180.57)</f>
        <v>180.57</v>
      </c>
      <c r="F826" s="122">
        <f>IFERROR(__xludf.DUMMYFUNCTION("""COMPUTED_VALUE"""),6.0E-4)</f>
        <v>0.0006</v>
      </c>
    </row>
    <row r="827">
      <c r="A827" s="131">
        <f>IFERROR(__xludf.DUMMYFUNCTION("""COMPUTED_VALUE"""),46187.334872685184)</f>
        <v>46187.33487</v>
      </c>
      <c r="B827" s="126">
        <f>IFERROR(__xludf.DUMMYFUNCTION("""COMPUTED_VALUE"""),46187.0)</f>
        <v>46187</v>
      </c>
      <c r="C827" s="122" t="str">
        <f>IFERROR(__xludf.DUMMYFUNCTION("""COMPUTED_VALUE"""),"CARS")</f>
        <v>CARS</v>
      </c>
      <c r="D827" s="122" t="str">
        <f>IFERROR(__xludf.DUMMYFUNCTION("""COMPUTED_VALUE"""),"AutoArena")</f>
        <v>AutoArena</v>
      </c>
      <c r="E827" s="122">
        <f>IFERROR(__xludf.DUMMYFUNCTION("""COMPUTED_VALUE"""),81.26)</f>
        <v>81.26</v>
      </c>
      <c r="F827" s="122">
        <f>IFERROR(__xludf.DUMMYFUNCTION("""COMPUTED_VALUE"""),-0.0071)</f>
        <v>-0.0071</v>
      </c>
    </row>
    <row r="828">
      <c r="A828" s="131">
        <f>IFERROR(__xludf.DUMMYFUNCTION("""COMPUTED_VALUE"""),46187.334872685184)</f>
        <v>46187.33487</v>
      </c>
      <c r="B828" s="126">
        <f>IFERROR(__xludf.DUMMYFUNCTION("""COMPUTED_VALUE"""),46187.0)</f>
        <v>46187</v>
      </c>
      <c r="C828" s="122" t="str">
        <f>IFERROR(__xludf.DUMMYFUNCTION("""COMPUTED_VALUE"""),"EVGO")</f>
        <v>EVGO</v>
      </c>
      <c r="D828" s="122" t="str">
        <f>IFERROR(__xludf.DUMMYFUNCTION("""COMPUTED_VALUE"""),"EVGo Motors")</f>
        <v>EVGo Motors</v>
      </c>
      <c r="E828" s="122">
        <f>IFERROR(__xludf.DUMMYFUNCTION("""COMPUTED_VALUE"""),196.38)</f>
        <v>196.38</v>
      </c>
      <c r="F828" s="122">
        <f>IFERROR(__xludf.DUMMYFUNCTION("""COMPUTED_VALUE"""),0.0112)</f>
        <v>0.0112</v>
      </c>
    </row>
    <row r="829">
      <c r="A829" s="131">
        <f>IFERROR(__xludf.DUMMYFUNCTION("""COMPUTED_VALUE"""),46187.334872685184)</f>
        <v>46187.33487</v>
      </c>
      <c r="B829" s="126">
        <f>IFERROR(__xludf.DUMMYFUNCTION("""COMPUTED_VALUE"""),46187.0)</f>
        <v>46187</v>
      </c>
      <c r="C829" s="122" t="str">
        <f>IFERROR(__xludf.DUMMYFUNCTION("""COMPUTED_VALUE"""),"TIRE")</f>
        <v>TIRE</v>
      </c>
      <c r="D829" s="122" t="str">
        <f>IFERROR(__xludf.DUMMYFUNCTION("""COMPUTED_VALUE"""),"TireTown")</f>
        <v>TireTown</v>
      </c>
      <c r="E829" s="122">
        <f>IFERROR(__xludf.DUMMYFUNCTION("""COMPUTED_VALUE"""),89.61)</f>
        <v>89.61</v>
      </c>
      <c r="F829" s="122">
        <f>IFERROR(__xludf.DUMMYFUNCTION("""COMPUTED_VALUE"""),-0.0033)</f>
        <v>-0.0033</v>
      </c>
    </row>
    <row r="830">
      <c r="A830" s="131">
        <f>IFERROR(__xludf.DUMMYFUNCTION("""COMPUTED_VALUE"""),46187.334872685184)</f>
        <v>46187.33487</v>
      </c>
      <c r="B830" s="126">
        <f>IFERROR(__xludf.DUMMYFUNCTION("""COMPUTED_VALUE"""),46187.0)</f>
        <v>46187</v>
      </c>
      <c r="C830" s="122" t="str">
        <f>IFERROR(__xludf.DUMMYFUNCTION("""COMPUTED_VALUE"""),"BIKE")</f>
        <v>BIKE</v>
      </c>
      <c r="D830" s="122" t="str">
        <f>IFERROR(__xludf.DUMMYFUNCTION("""COMPUTED_VALUE"""),"BikeBox")</f>
        <v>BikeBox</v>
      </c>
      <c r="E830" s="122">
        <f>IFERROR(__xludf.DUMMYFUNCTION("""COMPUTED_VALUE"""),54.79)</f>
        <v>54.79</v>
      </c>
      <c r="F830" s="122">
        <f>IFERROR(__xludf.DUMMYFUNCTION("""COMPUTED_VALUE"""),-0.0045)</f>
        <v>-0.0045</v>
      </c>
    </row>
    <row r="831">
      <c r="A831" s="131">
        <f>IFERROR(__xludf.DUMMYFUNCTION("""COMPUTED_VALUE"""),46187.334872685184)</f>
        <v>46187.33487</v>
      </c>
      <c r="B831" s="126">
        <f>IFERROR(__xludf.DUMMYFUNCTION("""COMPUTED_VALUE"""),46187.0)</f>
        <v>46187</v>
      </c>
      <c r="C831" s="122" t="str">
        <f>IFERROR(__xludf.DUMMYFUNCTION("""COMPUTED_VALUE"""),"WASH")</f>
        <v>WASH</v>
      </c>
      <c r="D831" s="122" t="str">
        <f>IFERROR(__xludf.DUMMYFUNCTION("""COMPUTED_VALUE"""),"CarWash Co")</f>
        <v>CarWash Co</v>
      </c>
      <c r="E831" s="122">
        <f>IFERROR(__xludf.DUMMYFUNCTION("""COMPUTED_VALUE"""),117.24)</f>
        <v>117.24</v>
      </c>
      <c r="F831" s="122">
        <f>IFERROR(__xludf.DUMMYFUNCTION("""COMPUTED_VALUE"""),6.0E-4)</f>
        <v>0.0006</v>
      </c>
    </row>
    <row r="832">
      <c r="A832" s="131">
        <f>IFERROR(__xludf.DUMMYFUNCTION("""COMPUTED_VALUE"""),46187.334872685184)</f>
        <v>46187.33487</v>
      </c>
      <c r="B832" s="126">
        <f>IFERROR(__xludf.DUMMYFUNCTION("""COMPUTED_VALUE"""),46187.0)</f>
        <v>46187</v>
      </c>
      <c r="C832" s="122" t="str">
        <f>IFERROR(__xludf.DUMMYFUNCTION("""COMPUTED_VALUE"""),"GBND")</f>
        <v>GBND</v>
      </c>
      <c r="D832" s="122" t="str">
        <f>IFERROR(__xludf.DUMMYFUNCTION("""COMPUTED_VALUE"""),"Classroom Government Bond")</f>
        <v>Classroom Government Bond</v>
      </c>
      <c r="E832" s="122">
        <f>IFERROR(__xludf.DUMMYFUNCTION("""COMPUTED_VALUE"""),100.86)</f>
        <v>100.86</v>
      </c>
      <c r="F832" s="122">
        <f>IFERROR(__xludf.DUMMYFUNCTION("""COMPUTED_VALUE"""),-3.0E-4)</f>
        <v>-0.0003</v>
      </c>
    </row>
    <row r="833">
      <c r="A833" s="131">
        <f>IFERROR(__xludf.DUMMYFUNCTION("""COMPUTED_VALUE"""),46187.334872685184)</f>
        <v>46187.33487</v>
      </c>
      <c r="B833" s="126">
        <f>IFERROR(__xludf.DUMMYFUNCTION("""COMPUTED_VALUE"""),46187.0)</f>
        <v>46187</v>
      </c>
      <c r="C833" s="122" t="str">
        <f>IFERROR(__xludf.DUMMYFUNCTION("""COMPUTED_VALUE"""),"SBND")</f>
        <v>SBND</v>
      </c>
      <c r="D833" s="122" t="str">
        <f>IFERROR(__xludf.DUMMYFUNCTION("""COMPUTED_VALUE"""),"School Savings Bond")</f>
        <v>School Savings Bond</v>
      </c>
      <c r="E833" s="122">
        <f>IFERROR(__xludf.DUMMYFUNCTION("""COMPUTED_VALUE"""),99.35)</f>
        <v>99.35</v>
      </c>
      <c r="F833" s="122">
        <f>IFERROR(__xludf.DUMMYFUNCTION("""COMPUTED_VALUE"""),3.0E-4)</f>
        <v>0.0003</v>
      </c>
    </row>
    <row r="834">
      <c r="A834" s="131">
        <f>IFERROR(__xludf.DUMMYFUNCTION("""COMPUTED_VALUE"""),46187.334872685184)</f>
        <v>46187.33487</v>
      </c>
      <c r="B834" s="126">
        <f>IFERROR(__xludf.DUMMYFUNCTION("""COMPUTED_VALUE"""),46187.0)</f>
        <v>46187</v>
      </c>
      <c r="C834" s="122" t="str">
        <f>IFERROR(__xludf.DUMMYFUNCTION("""COMPUTED_VALUE"""),"CBND")</f>
        <v>CBND</v>
      </c>
      <c r="D834" s="122" t="str">
        <f>IFERROR(__xludf.DUMMYFUNCTION("""COMPUTED_VALUE"""),"Corporate Classroom Bond")</f>
        <v>Corporate Classroom Bond</v>
      </c>
      <c r="E834" s="122">
        <f>IFERROR(__xludf.DUMMYFUNCTION("""COMPUTED_VALUE"""),97.83)</f>
        <v>97.83</v>
      </c>
      <c r="F834" s="122">
        <f>IFERROR(__xludf.DUMMYFUNCTION("""COMPUTED_VALUE"""),5.0E-4)</f>
        <v>0.0005</v>
      </c>
    </row>
    <row r="835">
      <c r="A835" s="131">
        <f>IFERROR(__xludf.DUMMYFUNCTION("""COMPUTED_VALUE"""),46187.334872685184)</f>
        <v>46187.33487</v>
      </c>
      <c r="B835" s="126">
        <f>IFERROR(__xludf.DUMMYFUNCTION("""COMPUTED_VALUE"""),46187.0)</f>
        <v>46187</v>
      </c>
      <c r="C835" s="122" t="str">
        <f>IFERROR(__xludf.DUMMYFUNCTION("""COMPUTED_VALUE"""),"TBIL")</f>
        <v>TBIL</v>
      </c>
      <c r="D835" s="122" t="str">
        <f>IFERROR(__xludf.DUMMYFUNCTION("""COMPUTED_VALUE"""),"Treasury Bill")</f>
        <v>Treasury Bill</v>
      </c>
      <c r="E835" s="122">
        <f>IFERROR(__xludf.DUMMYFUNCTION("""COMPUTED_VALUE"""),98.04)</f>
        <v>98.04</v>
      </c>
      <c r="F835" s="122">
        <f>IFERROR(__xludf.DUMMYFUNCTION("""COMPUTED_VALUE"""),1.0E-4)</f>
        <v>0.0001</v>
      </c>
    </row>
    <row r="836">
      <c r="A836" s="131">
        <f>IFERROR(__xludf.DUMMYFUNCTION("""COMPUTED_VALUE"""),46187.334872685184)</f>
        <v>46187.33487</v>
      </c>
      <c r="B836" s="126">
        <f>IFERROR(__xludf.DUMMYFUNCTION("""COMPUTED_VALUE"""),46187.0)</f>
        <v>46187</v>
      </c>
      <c r="C836" s="122" t="str">
        <f>IFERROR(__xludf.DUMMYFUNCTION("""COMPUTED_VALUE"""),"IBND")</f>
        <v>IBND</v>
      </c>
      <c r="D836" s="122" t="str">
        <f>IFERROR(__xludf.DUMMYFUNCTION("""COMPUTED_VALUE"""),"Inflation Protected Bond")</f>
        <v>Inflation Protected Bond</v>
      </c>
      <c r="E836" s="122">
        <f>IFERROR(__xludf.DUMMYFUNCTION("""COMPUTED_VALUE"""),100.53)</f>
        <v>100.53</v>
      </c>
      <c r="F836" s="122">
        <f>IFERROR(__xludf.DUMMYFUNCTION("""COMPUTED_VALUE"""),3.0E-4)</f>
        <v>0.0003</v>
      </c>
    </row>
    <row r="837">
      <c r="A837" s="131">
        <f>IFERROR(__xludf.DUMMYFUNCTION("""COMPUTED_VALUE"""),46187.336331018516)</f>
        <v>46187.33633</v>
      </c>
      <c r="B837" s="126">
        <f>IFERROR(__xludf.DUMMYFUNCTION("""COMPUTED_VALUE"""),46187.0)</f>
        <v>46187</v>
      </c>
      <c r="C837" s="130">
        <f>IFERROR(__xludf.DUMMYFUNCTION("""COMPUTED_VALUE"""),0.33633101851851854)</f>
        <v>0.3363310185</v>
      </c>
      <c r="D837" s="122" t="str">
        <f>IFERROR(__xludf.DUMMYFUNCTION("""COMPUTED_VALUE"""),"SNAX")</f>
        <v>SNAX</v>
      </c>
      <c r="E837" s="122" t="str">
        <f>IFERROR(__xludf.DUMMYFUNCTION("""COMPUTED_VALUE"""),"MICA Snacks")</f>
        <v>MICA Snacks</v>
      </c>
      <c r="F837" s="122" t="str">
        <f>IFERROR(__xludf.DUMMYFUNCTION("""COMPUTED_VALUE"""),"Consumer Goods")</f>
        <v>Consumer Goods</v>
      </c>
    </row>
    <row r="838">
      <c r="A838" s="131">
        <f>IFERROR(__xludf.DUMMYFUNCTION("""COMPUTED_VALUE"""),46187.336331018516)</f>
        <v>46187.33633</v>
      </c>
      <c r="B838" s="126">
        <f>IFERROR(__xludf.DUMMYFUNCTION("""COMPUTED_VALUE"""),46187.0)</f>
        <v>46187</v>
      </c>
      <c r="C838" s="130">
        <f>IFERROR(__xludf.DUMMYFUNCTION("""COMPUTED_VALUE"""),0.33633101851851854)</f>
        <v>0.3363310185</v>
      </c>
      <c r="D838" s="122" t="str">
        <f>IFERROR(__xludf.DUMMYFUNCTION("""COMPUTED_VALUE"""),"RAMN")</f>
        <v>RAMN</v>
      </c>
      <c r="E838" s="122" t="str">
        <f>IFERROR(__xludf.DUMMYFUNCTION("""COMPUTED_VALUE"""),"Ramen Republic")</f>
        <v>Ramen Republic</v>
      </c>
      <c r="F838" s="122" t="str">
        <f>IFERROR(__xludf.DUMMYFUNCTION("""COMPUTED_VALUE"""),"Food")</f>
        <v>Food</v>
      </c>
    </row>
    <row r="839">
      <c r="A839" s="131">
        <f>IFERROR(__xludf.DUMMYFUNCTION("""COMPUTED_VALUE"""),46187.336331018516)</f>
        <v>46187.33633</v>
      </c>
      <c r="B839" s="126">
        <f>IFERROR(__xludf.DUMMYFUNCTION("""COMPUTED_VALUE"""),46187.0)</f>
        <v>46187</v>
      </c>
      <c r="C839" s="130">
        <f>IFERROR(__xludf.DUMMYFUNCTION("""COMPUTED_VALUE"""),0.33633101851851854)</f>
        <v>0.3363310185</v>
      </c>
      <c r="D839" s="122" t="str">
        <f>IFERROR(__xludf.DUMMYFUNCTION("""COMPUTED_VALUE"""),"COLA")</f>
        <v>COLA</v>
      </c>
      <c r="E839" s="122" t="str">
        <f>IFERROR(__xludf.DUMMYFUNCTION("""COMPUTED_VALUE"""),"K-Pop Cola")</f>
        <v>K-Pop Cola</v>
      </c>
      <c r="F839" s="122" t="str">
        <f>IFERROR(__xludf.DUMMYFUNCTION("""COMPUTED_VALUE"""),"Beverage")</f>
        <v>Beverage</v>
      </c>
    </row>
    <row r="840">
      <c r="A840" s="131">
        <f>IFERROR(__xludf.DUMMYFUNCTION("""COMPUTED_VALUE"""),46187.336331018516)</f>
        <v>46187.33633</v>
      </c>
      <c r="B840" s="126">
        <f>IFERROR(__xludf.DUMMYFUNCTION("""COMPUTED_VALUE"""),46187.0)</f>
        <v>46187</v>
      </c>
      <c r="C840" s="130">
        <f>IFERROR(__xludf.DUMMYFUNCTION("""COMPUTED_VALUE"""),0.33633101851851854)</f>
        <v>0.3363310185</v>
      </c>
      <c r="D840" s="122" t="str">
        <f>IFERROR(__xludf.DUMMYFUNCTION("""COMPUTED_VALUE"""),"CHIP")</f>
        <v>CHIP</v>
      </c>
      <c r="E840" s="122" t="str">
        <f>IFERROR(__xludf.DUMMYFUNCTION("""COMPUTED_VALUE"""),"Chip Empire")</f>
        <v>Chip Empire</v>
      </c>
      <c r="F840" s="122" t="str">
        <f>IFERROR(__xludf.DUMMYFUNCTION("""COMPUTED_VALUE"""),"Consumer Goods")</f>
        <v>Consumer Goods</v>
      </c>
    </row>
    <row r="841">
      <c r="A841" s="131">
        <f>IFERROR(__xludf.DUMMYFUNCTION("""COMPUTED_VALUE"""),46187.336331018516)</f>
        <v>46187.33633</v>
      </c>
      <c r="B841" s="126">
        <f>IFERROR(__xludf.DUMMYFUNCTION("""COMPUTED_VALUE"""),46187.0)</f>
        <v>46187</v>
      </c>
      <c r="C841" s="130">
        <f>IFERROR(__xludf.DUMMYFUNCTION("""COMPUTED_VALUE"""),0.33633101851851854)</f>
        <v>0.3363310185</v>
      </c>
      <c r="D841" s="122" t="str">
        <f>IFERROR(__xludf.DUMMYFUNCTION("""COMPUTED_VALUE"""),"CAND")</f>
        <v>CAND</v>
      </c>
      <c r="E841" s="122" t="str">
        <f>IFERROR(__xludf.DUMMYFUNCTION("""COMPUTED_VALUE"""),"Candy Capital")</f>
        <v>Candy Capital</v>
      </c>
      <c r="F841" s="122" t="str">
        <f>IFERROR(__xludf.DUMMYFUNCTION("""COMPUTED_VALUE"""),"Consumer Goods")</f>
        <v>Consumer Goods</v>
      </c>
    </row>
    <row r="842">
      <c r="A842" s="131">
        <f>IFERROR(__xludf.DUMMYFUNCTION("""COMPUTED_VALUE"""),46187.336331018516)</f>
        <v>46187.33633</v>
      </c>
      <c r="B842" s="126">
        <f>IFERROR(__xludf.DUMMYFUNCTION("""COMPUTED_VALUE"""),46187.0)</f>
        <v>46187</v>
      </c>
      <c r="C842" s="130">
        <f>IFERROR(__xludf.DUMMYFUNCTION("""COMPUTED_VALUE"""),0.33633101851851854)</f>
        <v>0.3363310185</v>
      </c>
      <c r="D842" s="122" t="str">
        <f>IFERROR(__xludf.DUMMYFUNCTION("""COMPUTED_VALUE"""),"TECH")</f>
        <v>TECH</v>
      </c>
      <c r="E842" s="122" t="str">
        <f>IFERROR(__xludf.DUMMYFUNCTION("""COMPUTED_VALUE"""),"Dragon Tech")</f>
        <v>Dragon Tech</v>
      </c>
      <c r="F842" s="122" t="str">
        <f>IFERROR(__xludf.DUMMYFUNCTION("""COMPUTED_VALUE"""),"Technology")</f>
        <v>Technology</v>
      </c>
    </row>
    <row r="843">
      <c r="A843" s="131">
        <f>IFERROR(__xludf.DUMMYFUNCTION("""COMPUTED_VALUE"""),46187.336331018516)</f>
        <v>46187.33633</v>
      </c>
      <c r="B843" s="126">
        <f>IFERROR(__xludf.DUMMYFUNCTION("""COMPUTED_VALUE"""),46187.0)</f>
        <v>46187</v>
      </c>
      <c r="C843" s="130">
        <f>IFERROR(__xludf.DUMMYFUNCTION("""COMPUTED_VALUE"""),0.33633101851851854)</f>
        <v>0.3363310185</v>
      </c>
      <c r="D843" s="122" t="str">
        <f>IFERROR(__xludf.DUMMYFUNCTION("""COMPUTED_VALUE"""),"AIBO")</f>
        <v>AIBO</v>
      </c>
      <c r="E843" s="122" t="str">
        <f>IFERROR(__xludf.DUMMYFUNCTION("""COMPUTED_VALUE"""),"Homework AI")</f>
        <v>Homework AI</v>
      </c>
      <c r="F843" s="122" t="str">
        <f>IFERROR(__xludf.DUMMYFUNCTION("""COMPUTED_VALUE"""),"Technology")</f>
        <v>Technology</v>
      </c>
    </row>
    <row r="844">
      <c r="A844" s="131">
        <f>IFERROR(__xludf.DUMMYFUNCTION("""COMPUTED_VALUE"""),46187.336331018516)</f>
        <v>46187.33633</v>
      </c>
      <c r="B844" s="126">
        <f>IFERROR(__xludf.DUMMYFUNCTION("""COMPUTED_VALUE"""),46187.0)</f>
        <v>46187</v>
      </c>
      <c r="C844" s="130">
        <f>IFERROR(__xludf.DUMMYFUNCTION("""COMPUTED_VALUE"""),0.33633101851851854)</f>
        <v>0.3363310185</v>
      </c>
      <c r="D844" s="122" t="str">
        <f>IFERROR(__xludf.DUMMYFUNCTION("""COMPUTED_VALUE"""),"GAME")</f>
        <v>GAME</v>
      </c>
      <c r="E844" s="122" t="str">
        <f>IFERROR(__xludf.DUMMYFUNCTION("""COMPUTED_VALUE"""),"GameBox Media")</f>
        <v>GameBox Media</v>
      </c>
      <c r="F844" s="122" t="str">
        <f>IFERROR(__xludf.DUMMYFUNCTION("""COMPUTED_VALUE"""),"Entertainment")</f>
        <v>Entertainment</v>
      </c>
    </row>
    <row r="845">
      <c r="A845" s="131">
        <f>IFERROR(__xludf.DUMMYFUNCTION("""COMPUTED_VALUE"""),46187.336331018516)</f>
        <v>46187.33633</v>
      </c>
      <c r="B845" s="126">
        <f>IFERROR(__xludf.DUMMYFUNCTION("""COMPUTED_VALUE"""),46187.0)</f>
        <v>46187</v>
      </c>
      <c r="C845" s="130">
        <f>IFERROR(__xludf.DUMMYFUNCTION("""COMPUTED_VALUE"""),0.33633101851851854)</f>
        <v>0.3363310185</v>
      </c>
      <c r="D845" s="122" t="str">
        <f>IFERROR(__xludf.DUMMYFUNCTION("""COMPUTED_VALUE"""),"VRSE")</f>
        <v>VRSE</v>
      </c>
      <c r="E845" s="122" t="str">
        <f>IFERROR(__xludf.DUMMYFUNCTION("""COMPUTED_VALUE"""),"VerseVR")</f>
        <v>VerseVR</v>
      </c>
      <c r="F845" s="122" t="str">
        <f>IFERROR(__xludf.DUMMYFUNCTION("""COMPUTED_VALUE"""),"Technology")</f>
        <v>Technology</v>
      </c>
    </row>
    <row r="846">
      <c r="A846" s="131">
        <f>IFERROR(__xludf.DUMMYFUNCTION("""COMPUTED_VALUE"""),46187.336331018516)</f>
        <v>46187.33633</v>
      </c>
      <c r="B846" s="126">
        <f>IFERROR(__xludf.DUMMYFUNCTION("""COMPUTED_VALUE"""),46187.0)</f>
        <v>46187</v>
      </c>
      <c r="C846" s="130">
        <f>IFERROR(__xludf.DUMMYFUNCTION("""COMPUTED_VALUE"""),0.33633101851851854)</f>
        <v>0.3363310185</v>
      </c>
      <c r="D846" s="122" t="str">
        <f>IFERROR(__xludf.DUMMYFUNCTION("""COMPUTED_VALUE"""),"BYTE")</f>
        <v>BYTE</v>
      </c>
      <c r="E846" s="122" t="str">
        <f>IFERROR(__xludf.DUMMYFUNCTION("""COMPUTED_VALUE"""),"ByteWorks")</f>
        <v>ByteWorks</v>
      </c>
      <c r="F846" s="122" t="str">
        <f>IFERROR(__xludf.DUMMYFUNCTION("""COMPUTED_VALUE"""),"Technology")</f>
        <v>Technology</v>
      </c>
    </row>
    <row r="847">
      <c r="A847" s="131">
        <f>IFERROR(__xludf.DUMMYFUNCTION("""COMPUTED_VALUE"""),46187.336331018516)</f>
        <v>46187.33633</v>
      </c>
      <c r="B847" s="126">
        <f>IFERROR(__xludf.DUMMYFUNCTION("""COMPUTED_VALUE"""),46187.0)</f>
        <v>46187</v>
      </c>
      <c r="C847" s="130">
        <f>IFERROR(__xludf.DUMMYFUNCTION("""COMPUTED_VALUE"""),0.33633101851851854)</f>
        <v>0.3363310185</v>
      </c>
      <c r="D847" s="122" t="str">
        <f>IFERROR(__xludf.DUMMYFUNCTION("""COMPUTED_VALUE"""),"BANK")</f>
        <v>BANK</v>
      </c>
      <c r="E847" s="122" t="str">
        <f>IFERROR(__xludf.DUMMYFUNCTION("""COMPUTED_VALUE"""),"Tiger Bank")</f>
        <v>Tiger Bank</v>
      </c>
      <c r="F847" s="122" t="str">
        <f>IFERROR(__xludf.DUMMYFUNCTION("""COMPUTED_VALUE"""),"Finance")</f>
        <v>Finance</v>
      </c>
    </row>
    <row r="848">
      <c r="A848" s="131">
        <f>IFERROR(__xludf.DUMMYFUNCTION("""COMPUTED_VALUE"""),46187.336331018516)</f>
        <v>46187.33633</v>
      </c>
      <c r="B848" s="126">
        <f>IFERROR(__xludf.DUMMYFUNCTION("""COMPUTED_VALUE"""),46187.0)</f>
        <v>46187</v>
      </c>
      <c r="C848" s="130">
        <f>IFERROR(__xludf.DUMMYFUNCTION("""COMPUTED_VALUE"""),0.33633101851851854)</f>
        <v>0.3363310185</v>
      </c>
      <c r="D848" s="122" t="str">
        <f>IFERROR(__xludf.DUMMYFUNCTION("""COMPUTED_VALUE"""),"CRED")</f>
        <v>CRED</v>
      </c>
      <c r="E848" s="122" t="str">
        <f>IFERROR(__xludf.DUMMYFUNCTION("""COMPUTED_VALUE"""),"Credit Castle")</f>
        <v>Credit Castle</v>
      </c>
      <c r="F848" s="122" t="str">
        <f>IFERROR(__xludf.DUMMYFUNCTION("""COMPUTED_VALUE"""),"Finance")</f>
        <v>Finance</v>
      </c>
    </row>
    <row r="849">
      <c r="A849" s="131">
        <f>IFERROR(__xludf.DUMMYFUNCTION("""COMPUTED_VALUE"""),46187.336331018516)</f>
        <v>46187.33633</v>
      </c>
      <c r="B849" s="126">
        <f>IFERROR(__xludf.DUMMYFUNCTION("""COMPUTED_VALUE"""),46187.0)</f>
        <v>46187</v>
      </c>
      <c r="C849" s="130">
        <f>IFERROR(__xludf.DUMMYFUNCTION("""COMPUTED_VALUE"""),0.33633101851851854)</f>
        <v>0.3363310185</v>
      </c>
      <c r="D849" s="122" t="str">
        <f>IFERROR(__xludf.DUMMYFUNCTION("""COMPUTED_VALUE"""),"BOND")</f>
        <v>BOND</v>
      </c>
      <c r="E849" s="122" t="str">
        <f>IFERROR(__xludf.DUMMYFUNCTION("""COMPUTED_VALUE"""),"BondBridge")</f>
        <v>BondBridge</v>
      </c>
      <c r="F849" s="122" t="str">
        <f>IFERROR(__xludf.DUMMYFUNCTION("""COMPUTED_VALUE"""),"Finance")</f>
        <v>Finance</v>
      </c>
    </row>
    <row r="850">
      <c r="A850" s="131">
        <f>IFERROR(__xludf.DUMMYFUNCTION("""COMPUTED_VALUE"""),46187.336331018516)</f>
        <v>46187.33633</v>
      </c>
      <c r="B850" s="126">
        <f>IFERROR(__xludf.DUMMYFUNCTION("""COMPUTED_VALUE"""),46187.0)</f>
        <v>46187</v>
      </c>
      <c r="C850" s="130">
        <f>IFERROR(__xludf.DUMMYFUNCTION("""COMPUTED_VALUE"""),0.33633101851851854)</f>
        <v>0.3363310185</v>
      </c>
      <c r="D850" s="122" t="str">
        <f>IFERROR(__xludf.DUMMYFUNCTION("""COMPUTED_VALUE"""),"INSR")</f>
        <v>INSR</v>
      </c>
      <c r="E850" s="122" t="str">
        <f>IFERROR(__xludf.DUMMYFUNCTION("""COMPUTED_VALUE"""),"Shield Insurance")</f>
        <v>Shield Insurance</v>
      </c>
      <c r="F850" s="122" t="str">
        <f>IFERROR(__xludf.DUMMYFUNCTION("""COMPUTED_VALUE"""),"Finance")</f>
        <v>Finance</v>
      </c>
    </row>
    <row r="851">
      <c r="A851" s="131">
        <f>IFERROR(__xludf.DUMMYFUNCTION("""COMPUTED_VALUE"""),46187.336331018516)</f>
        <v>46187.33633</v>
      </c>
      <c r="B851" s="126">
        <f>IFERROR(__xludf.DUMMYFUNCTION("""COMPUTED_VALUE"""),46187.0)</f>
        <v>46187</v>
      </c>
      <c r="C851" s="130">
        <f>IFERROR(__xludf.DUMMYFUNCTION("""COMPUTED_VALUE"""),0.33633101851851854)</f>
        <v>0.3363310185</v>
      </c>
      <c r="D851" s="122" t="str">
        <f>IFERROR(__xludf.DUMMYFUNCTION("""COMPUTED_VALUE"""),"LOAN")</f>
        <v>LOAN</v>
      </c>
      <c r="E851" s="122" t="str">
        <f>IFERROR(__xludf.DUMMYFUNCTION("""COMPUTED_VALUE"""),"LoanLab")</f>
        <v>LoanLab</v>
      </c>
      <c r="F851" s="122" t="str">
        <f>IFERROR(__xludf.DUMMYFUNCTION("""COMPUTED_VALUE"""),"Finance")</f>
        <v>Finance</v>
      </c>
    </row>
    <row r="852">
      <c r="A852" s="131">
        <f>IFERROR(__xludf.DUMMYFUNCTION("""COMPUTED_VALUE"""),46187.336331018516)</f>
        <v>46187.33633</v>
      </c>
      <c r="B852" s="126">
        <f>IFERROR(__xludf.DUMMYFUNCTION("""COMPUTED_VALUE"""),46187.0)</f>
        <v>46187</v>
      </c>
      <c r="C852" s="130">
        <f>IFERROR(__xludf.DUMMYFUNCTION("""COMPUTED_VALUE"""),0.33633101851851854)</f>
        <v>0.3363310185</v>
      </c>
      <c r="D852" s="122" t="str">
        <f>IFERROR(__xludf.DUMMYFUNCTION("""COMPUTED_VALUE"""),"LUXE")</f>
        <v>LUXE</v>
      </c>
      <c r="E852" s="122" t="str">
        <f>IFERROR(__xludf.DUMMYFUNCTION("""COMPUTED_VALUE"""),"Luxury Locker")</f>
        <v>Luxury Locker</v>
      </c>
      <c r="F852" s="122" t="str">
        <f>IFERROR(__xludf.DUMMYFUNCTION("""COMPUTED_VALUE"""),"Luxury Goods")</f>
        <v>Luxury Goods</v>
      </c>
    </row>
    <row r="853">
      <c r="A853" s="131">
        <f>IFERROR(__xludf.DUMMYFUNCTION("""COMPUTED_VALUE"""),46187.336331018516)</f>
        <v>46187.33633</v>
      </c>
      <c r="B853" s="126">
        <f>IFERROR(__xludf.DUMMYFUNCTION("""COMPUTED_VALUE"""),46187.0)</f>
        <v>46187</v>
      </c>
      <c r="C853" s="130">
        <f>IFERROR(__xludf.DUMMYFUNCTION("""COMPUTED_VALUE"""),0.33633101851851854)</f>
        <v>0.3363310185</v>
      </c>
      <c r="D853" s="122" t="str">
        <f>IFERROR(__xludf.DUMMYFUNCTION("""COMPUTED_VALUE"""),"DRIP")</f>
        <v>DRIP</v>
      </c>
      <c r="E853" s="122" t="str">
        <f>IFERROR(__xludf.DUMMYFUNCTION("""COMPUTED_VALUE"""),"Drip Streetwear")</f>
        <v>Drip Streetwear</v>
      </c>
      <c r="F853" s="122" t="str">
        <f>IFERROR(__xludf.DUMMYFUNCTION("""COMPUTED_VALUE"""),"Fashion")</f>
        <v>Fashion</v>
      </c>
    </row>
    <row r="854">
      <c r="A854" s="131">
        <f>IFERROR(__xludf.DUMMYFUNCTION("""COMPUTED_VALUE"""),46187.336331018516)</f>
        <v>46187.33633</v>
      </c>
      <c r="B854" s="126">
        <f>IFERROR(__xludf.DUMMYFUNCTION("""COMPUTED_VALUE"""),46187.0)</f>
        <v>46187</v>
      </c>
      <c r="C854" s="130">
        <f>IFERROR(__xludf.DUMMYFUNCTION("""COMPUTED_VALUE"""),0.33633101851851854)</f>
        <v>0.3363310185</v>
      </c>
      <c r="D854" s="122" t="str">
        <f>IFERROR(__xludf.DUMMYFUNCTION("""COMPUTED_VALUE"""),"KICK")</f>
        <v>KICK</v>
      </c>
      <c r="E854" s="122" t="str">
        <f>IFERROR(__xludf.DUMMYFUNCTION("""COMPUTED_VALUE"""),"KickDrop Sneakers")</f>
        <v>KickDrop Sneakers</v>
      </c>
      <c r="F854" s="122" t="str">
        <f>IFERROR(__xludf.DUMMYFUNCTION("""COMPUTED_VALUE"""),"Fashion")</f>
        <v>Fashion</v>
      </c>
    </row>
    <row r="855">
      <c r="A855" s="131">
        <f>IFERROR(__xludf.DUMMYFUNCTION("""COMPUTED_VALUE"""),46187.336331018516)</f>
        <v>46187.33633</v>
      </c>
      <c r="B855" s="126">
        <f>IFERROR(__xludf.DUMMYFUNCTION("""COMPUTED_VALUE"""),46187.0)</f>
        <v>46187</v>
      </c>
      <c r="C855" s="130">
        <f>IFERROR(__xludf.DUMMYFUNCTION("""COMPUTED_VALUE"""),0.33633101851851854)</f>
        <v>0.3363310185</v>
      </c>
      <c r="D855" s="122" t="str">
        <f>IFERROR(__xludf.DUMMYFUNCTION("""COMPUTED_VALUE"""),"GLAM")</f>
        <v>GLAM</v>
      </c>
      <c r="E855" s="122" t="str">
        <f>IFERROR(__xludf.DUMMYFUNCTION("""COMPUTED_VALUE"""),"Glow Cosmetics")</f>
        <v>Glow Cosmetics</v>
      </c>
      <c r="F855" s="122" t="str">
        <f>IFERROR(__xludf.DUMMYFUNCTION("""COMPUTED_VALUE"""),"Fashion")</f>
        <v>Fashion</v>
      </c>
    </row>
    <row r="856">
      <c r="A856" s="131">
        <f>IFERROR(__xludf.DUMMYFUNCTION("""COMPUTED_VALUE"""),46187.336331018516)</f>
        <v>46187.33633</v>
      </c>
      <c r="B856" s="126">
        <f>IFERROR(__xludf.DUMMYFUNCTION("""COMPUTED_VALUE"""),46187.0)</f>
        <v>46187</v>
      </c>
      <c r="C856" s="130">
        <f>IFERROR(__xludf.DUMMYFUNCTION("""COMPUTED_VALUE"""),0.33633101851851854)</f>
        <v>0.3363310185</v>
      </c>
      <c r="D856" s="122" t="str">
        <f>IFERROR(__xludf.DUMMYFUNCTION("""COMPUTED_VALUE"""),"BAGG")</f>
        <v>BAGG</v>
      </c>
      <c r="E856" s="122" t="str">
        <f>IFERROR(__xludf.DUMMYFUNCTION("""COMPUTED_VALUE"""),"BagVault")</f>
        <v>BagVault</v>
      </c>
      <c r="F856" s="122" t="str">
        <f>IFERROR(__xludf.DUMMYFUNCTION("""COMPUTED_VALUE"""),"Fashion")</f>
        <v>Fashion</v>
      </c>
    </row>
    <row r="857">
      <c r="A857" s="131">
        <f>IFERROR(__xludf.DUMMYFUNCTION("""COMPUTED_VALUE"""),46187.336331018516)</f>
        <v>46187.33633</v>
      </c>
      <c r="B857" s="126">
        <f>IFERROR(__xludf.DUMMYFUNCTION("""COMPUTED_VALUE"""),46187.0)</f>
        <v>46187</v>
      </c>
      <c r="C857" s="130">
        <f>IFERROR(__xludf.DUMMYFUNCTION("""COMPUTED_VALUE"""),0.33633101851851854)</f>
        <v>0.3363310185</v>
      </c>
      <c r="D857" s="122" t="str">
        <f>IFERROR(__xludf.DUMMYFUNCTION("""COMPUTED_VALUE"""),"FAST")</f>
        <v>FAST</v>
      </c>
      <c r="E857" s="122" t="str">
        <f>IFERROR(__xludf.DUMMYFUNCTION("""COMPUTED_VALUE"""),"Flash Logistics")</f>
        <v>Flash Logistics</v>
      </c>
      <c r="F857" s="122" t="str">
        <f>IFERROR(__xludf.DUMMYFUNCTION("""COMPUTED_VALUE"""),"Logistics")</f>
        <v>Logistics</v>
      </c>
    </row>
    <row r="858">
      <c r="A858" s="131">
        <f>IFERROR(__xludf.DUMMYFUNCTION("""COMPUTED_VALUE"""),46187.336331018516)</f>
        <v>46187.33633</v>
      </c>
      <c r="B858" s="126">
        <f>IFERROR(__xludf.DUMMYFUNCTION("""COMPUTED_VALUE"""),46187.0)</f>
        <v>46187</v>
      </c>
      <c r="C858" s="130">
        <f>IFERROR(__xludf.DUMMYFUNCTION("""COMPUTED_VALUE"""),0.33633101851851854)</f>
        <v>0.3363310185</v>
      </c>
      <c r="D858" s="122" t="str">
        <f>IFERROR(__xludf.DUMMYFUNCTION("""COMPUTED_VALUE"""),"SHIP")</f>
        <v>SHIP</v>
      </c>
      <c r="E858" s="122" t="str">
        <f>IFERROR(__xludf.DUMMYFUNCTION("""COMPUTED_VALUE"""),"Seoul Shipping")</f>
        <v>Seoul Shipping</v>
      </c>
      <c r="F858" s="122" t="str">
        <f>IFERROR(__xludf.DUMMYFUNCTION("""COMPUTED_VALUE"""),"Logistics")</f>
        <v>Logistics</v>
      </c>
    </row>
    <row r="859">
      <c r="A859" s="131">
        <f>IFERROR(__xludf.DUMMYFUNCTION("""COMPUTED_VALUE"""),46187.336331018516)</f>
        <v>46187.33633</v>
      </c>
      <c r="B859" s="126">
        <f>IFERROR(__xludf.DUMMYFUNCTION("""COMPUTED_VALUE"""),46187.0)</f>
        <v>46187</v>
      </c>
      <c r="C859" s="130">
        <f>IFERROR(__xludf.DUMMYFUNCTION("""COMPUTED_VALUE"""),0.33633101851851854)</f>
        <v>0.3363310185</v>
      </c>
      <c r="D859" s="122" t="str">
        <f>IFERROR(__xludf.DUMMYFUNCTION("""COMPUTED_VALUE"""),"DRON")</f>
        <v>DRON</v>
      </c>
      <c r="E859" s="122" t="str">
        <f>IFERROR(__xludf.DUMMYFUNCTION("""COMPUTED_VALUE"""),"DroneDrop")</f>
        <v>DroneDrop</v>
      </c>
      <c r="F859" s="122" t="str">
        <f>IFERROR(__xludf.DUMMYFUNCTION("""COMPUTED_VALUE"""),"Logistics")</f>
        <v>Logistics</v>
      </c>
    </row>
    <row r="860">
      <c r="A860" s="131">
        <f>IFERROR(__xludf.DUMMYFUNCTION("""COMPUTED_VALUE"""),46187.336331018516)</f>
        <v>46187.33633</v>
      </c>
      <c r="B860" s="126">
        <f>IFERROR(__xludf.DUMMYFUNCTION("""COMPUTED_VALUE"""),46187.0)</f>
        <v>46187</v>
      </c>
      <c r="C860" s="130">
        <f>IFERROR(__xludf.DUMMYFUNCTION("""COMPUTED_VALUE"""),0.33633101851851854)</f>
        <v>0.3363310185</v>
      </c>
      <c r="D860" s="122" t="str">
        <f>IFERROR(__xludf.DUMMYFUNCTION("""COMPUTED_VALUE"""),"RIDE")</f>
        <v>RIDE</v>
      </c>
      <c r="E860" s="122" t="str">
        <f>IFERROR(__xludf.DUMMYFUNCTION("""COMPUTED_VALUE"""),"QuickRide")</f>
        <v>QuickRide</v>
      </c>
      <c r="F860" s="122" t="str">
        <f>IFERROR(__xludf.DUMMYFUNCTION("""COMPUTED_VALUE"""),"Transportation")</f>
        <v>Transportation</v>
      </c>
    </row>
    <row r="861">
      <c r="A861" s="131">
        <f>IFERROR(__xludf.DUMMYFUNCTION("""COMPUTED_VALUE"""),46187.336331018516)</f>
        <v>46187.33633</v>
      </c>
      <c r="B861" s="126">
        <f>IFERROR(__xludf.DUMMYFUNCTION("""COMPUTED_VALUE"""),46187.0)</f>
        <v>46187</v>
      </c>
      <c r="C861" s="130">
        <f>IFERROR(__xludf.DUMMYFUNCTION("""COMPUTED_VALUE"""),0.33633101851851854)</f>
        <v>0.3363310185</v>
      </c>
      <c r="D861" s="122" t="str">
        <f>IFERROR(__xludf.DUMMYFUNCTION("""COMPUTED_VALUE"""),"RAIL")</f>
        <v>RAIL</v>
      </c>
      <c r="E861" s="122" t="str">
        <f>IFERROR(__xludf.DUMMYFUNCTION("""COMPUTED_VALUE"""),"MetroRail Corp")</f>
        <v>MetroRail Corp</v>
      </c>
      <c r="F861" s="122" t="str">
        <f>IFERROR(__xludf.DUMMYFUNCTION("""COMPUTED_VALUE"""),"Transportation")</f>
        <v>Transportation</v>
      </c>
    </row>
    <row r="862">
      <c r="A862" s="131">
        <f>IFERROR(__xludf.DUMMYFUNCTION("""COMPUTED_VALUE"""),46187.336331018516)</f>
        <v>46187.33633</v>
      </c>
      <c r="B862" s="126">
        <f>IFERROR(__xludf.DUMMYFUNCTION("""COMPUTED_VALUE"""),46187.0)</f>
        <v>46187</v>
      </c>
      <c r="C862" s="130">
        <f>IFERROR(__xludf.DUMMYFUNCTION("""COMPUTED_VALUE"""),0.33633101851851854)</f>
        <v>0.3363310185</v>
      </c>
      <c r="D862" s="122" t="str">
        <f>IFERROR(__xludf.DUMMYFUNCTION("""COMPUTED_VALUE"""),"MEDX")</f>
        <v>MEDX</v>
      </c>
      <c r="E862" s="122" t="str">
        <f>IFERROR(__xludf.DUMMYFUNCTION("""COMPUTED_VALUE"""),"MediCore")</f>
        <v>MediCore</v>
      </c>
      <c r="F862" s="122" t="str">
        <f>IFERROR(__xludf.DUMMYFUNCTION("""COMPUTED_VALUE"""),"Healthcare")</f>
        <v>Healthcare</v>
      </c>
    </row>
    <row r="863">
      <c r="A863" s="131">
        <f>IFERROR(__xludf.DUMMYFUNCTION("""COMPUTED_VALUE"""),46187.336331018516)</f>
        <v>46187.33633</v>
      </c>
      <c r="B863" s="126">
        <f>IFERROR(__xludf.DUMMYFUNCTION("""COMPUTED_VALUE"""),46187.0)</f>
        <v>46187</v>
      </c>
      <c r="C863" s="130">
        <f>IFERROR(__xludf.DUMMYFUNCTION("""COMPUTED_VALUE"""),0.33633101851851854)</f>
        <v>0.3363310185</v>
      </c>
      <c r="D863" s="122" t="str">
        <f>IFERROR(__xludf.DUMMYFUNCTION("""COMPUTED_VALUE"""),"GYMX")</f>
        <v>GYMX</v>
      </c>
      <c r="E863" s="122" t="str">
        <f>IFERROR(__xludf.DUMMYFUNCTION("""COMPUTED_VALUE"""),"GymX Fitness")</f>
        <v>GymX Fitness</v>
      </c>
      <c r="F863" s="122" t="str">
        <f>IFERROR(__xludf.DUMMYFUNCTION("""COMPUTED_VALUE"""),"Healthcare")</f>
        <v>Healthcare</v>
      </c>
    </row>
    <row r="864">
      <c r="A864" s="131">
        <f>IFERROR(__xludf.DUMMYFUNCTION("""COMPUTED_VALUE"""),46187.336331018516)</f>
        <v>46187.33633</v>
      </c>
      <c r="B864" s="126">
        <f>IFERROR(__xludf.DUMMYFUNCTION("""COMPUTED_VALUE"""),46187.0)</f>
        <v>46187</v>
      </c>
      <c r="C864" s="130">
        <f>IFERROR(__xludf.DUMMYFUNCTION("""COMPUTED_VALUE"""),0.33633101851851854)</f>
        <v>0.3363310185</v>
      </c>
      <c r="D864" s="122" t="str">
        <f>IFERROR(__xludf.DUMMYFUNCTION("""COMPUTED_VALUE"""),"VITA")</f>
        <v>VITA</v>
      </c>
      <c r="E864" s="122" t="str">
        <f>IFERROR(__xludf.DUMMYFUNCTION("""COMPUTED_VALUE"""),"VitaPlus")</f>
        <v>VitaPlus</v>
      </c>
      <c r="F864" s="122" t="str">
        <f>IFERROR(__xludf.DUMMYFUNCTION("""COMPUTED_VALUE"""),"Healthcare")</f>
        <v>Healthcare</v>
      </c>
    </row>
    <row r="865">
      <c r="A865" s="131">
        <f>IFERROR(__xludf.DUMMYFUNCTION("""COMPUTED_VALUE"""),46187.336331018516)</f>
        <v>46187.33633</v>
      </c>
      <c r="B865" s="126">
        <f>IFERROR(__xludf.DUMMYFUNCTION("""COMPUTED_VALUE"""),46187.0)</f>
        <v>46187</v>
      </c>
      <c r="C865" s="130">
        <f>IFERROR(__xludf.DUMMYFUNCTION("""COMPUTED_VALUE"""),0.33633101851851854)</f>
        <v>0.3363310185</v>
      </c>
      <c r="D865" s="122" t="str">
        <f>IFERROR(__xludf.DUMMYFUNCTION("""COMPUTED_VALUE"""),"CARE")</f>
        <v>CARE</v>
      </c>
      <c r="E865" s="122" t="str">
        <f>IFERROR(__xludf.DUMMYFUNCTION("""COMPUTED_VALUE"""),"CareCloud")</f>
        <v>CareCloud</v>
      </c>
      <c r="F865" s="122" t="str">
        <f>IFERROR(__xludf.DUMMYFUNCTION("""COMPUTED_VALUE"""),"Healthcare")</f>
        <v>Healthcare</v>
      </c>
    </row>
    <row r="866">
      <c r="A866" s="131">
        <f>IFERROR(__xludf.DUMMYFUNCTION("""COMPUTED_VALUE"""),46187.336331018516)</f>
        <v>46187.33633</v>
      </c>
      <c r="B866" s="126">
        <f>IFERROR(__xludf.DUMMYFUNCTION("""COMPUTED_VALUE"""),46187.0)</f>
        <v>46187</v>
      </c>
      <c r="C866" s="130">
        <f>IFERROR(__xludf.DUMMYFUNCTION("""COMPUTED_VALUE"""),0.33633101851851854)</f>
        <v>0.3363310185</v>
      </c>
      <c r="D866" s="122" t="str">
        <f>IFERROR(__xludf.DUMMYFUNCTION("""COMPUTED_VALUE"""),"DENT")</f>
        <v>DENT</v>
      </c>
      <c r="E866" s="122" t="str">
        <f>IFERROR(__xludf.DUMMYFUNCTION("""COMPUTED_VALUE"""),"SmileWorks")</f>
        <v>SmileWorks</v>
      </c>
      <c r="F866" s="122" t="str">
        <f>IFERROR(__xludf.DUMMYFUNCTION("""COMPUTED_VALUE"""),"Healthcare")</f>
        <v>Healthcare</v>
      </c>
    </row>
    <row r="867">
      <c r="A867" s="131">
        <f>IFERROR(__xludf.DUMMYFUNCTION("""COMPUTED_VALUE"""),46187.336331018516)</f>
        <v>46187.33633</v>
      </c>
      <c r="B867" s="126">
        <f>IFERROR(__xludf.DUMMYFUNCTION("""COMPUTED_VALUE"""),46187.0)</f>
        <v>46187</v>
      </c>
      <c r="C867" s="130">
        <f>IFERROR(__xludf.DUMMYFUNCTION("""COMPUTED_VALUE"""),0.33633101851851854)</f>
        <v>0.3363310185</v>
      </c>
      <c r="D867" s="122" t="str">
        <f>IFERROR(__xludf.DUMMYFUNCTION("""COMPUTED_VALUE"""),"EDUX")</f>
        <v>EDUX</v>
      </c>
      <c r="E867" s="122" t="str">
        <f>IFERROR(__xludf.DUMMYFUNCTION("""COMPUTED_VALUE"""),"EduMax Learning")</f>
        <v>EduMax Learning</v>
      </c>
      <c r="F867" s="122" t="str">
        <f>IFERROR(__xludf.DUMMYFUNCTION("""COMPUTED_VALUE"""),"Education")</f>
        <v>Education</v>
      </c>
    </row>
    <row r="868">
      <c r="A868" s="131">
        <f>IFERROR(__xludf.DUMMYFUNCTION("""COMPUTED_VALUE"""),46187.336331018516)</f>
        <v>46187.33633</v>
      </c>
      <c r="B868" s="126">
        <f>IFERROR(__xludf.DUMMYFUNCTION("""COMPUTED_VALUE"""),46187.0)</f>
        <v>46187</v>
      </c>
      <c r="C868" s="130">
        <f>IFERROR(__xludf.DUMMYFUNCTION("""COMPUTED_VALUE"""),0.33633101851851854)</f>
        <v>0.3363310185</v>
      </c>
      <c r="D868" s="122" t="str">
        <f>IFERROR(__xludf.DUMMYFUNCTION("""COMPUTED_VALUE"""),"BOOK")</f>
        <v>BOOK</v>
      </c>
      <c r="E868" s="122" t="str">
        <f>IFERROR(__xludf.DUMMYFUNCTION("""COMPUTED_VALUE"""),"BookBridge")</f>
        <v>BookBridge</v>
      </c>
      <c r="F868" s="122" t="str">
        <f>IFERROR(__xludf.DUMMYFUNCTION("""COMPUTED_VALUE"""),"Education")</f>
        <v>Education</v>
      </c>
    </row>
    <row r="869">
      <c r="A869" s="131">
        <f>IFERROR(__xludf.DUMMYFUNCTION("""COMPUTED_VALUE"""),46187.336331018516)</f>
        <v>46187.33633</v>
      </c>
      <c r="B869" s="126">
        <f>IFERROR(__xludf.DUMMYFUNCTION("""COMPUTED_VALUE"""),46187.0)</f>
        <v>46187</v>
      </c>
      <c r="C869" s="130">
        <f>IFERROR(__xludf.DUMMYFUNCTION("""COMPUTED_VALUE"""),0.33633101851851854)</f>
        <v>0.3363310185</v>
      </c>
      <c r="D869" s="122" t="str">
        <f>IFERROR(__xludf.DUMMYFUNCTION("""COMPUTED_VALUE"""),"TUTR")</f>
        <v>TUTR</v>
      </c>
      <c r="E869" s="122" t="str">
        <f>IFERROR(__xludf.DUMMYFUNCTION("""COMPUTED_VALUE"""),"TutorTown")</f>
        <v>TutorTown</v>
      </c>
      <c r="F869" s="122" t="str">
        <f>IFERROR(__xludf.DUMMYFUNCTION("""COMPUTED_VALUE"""),"Education")</f>
        <v>Education</v>
      </c>
    </row>
    <row r="870">
      <c r="A870" s="131">
        <f>IFERROR(__xludf.DUMMYFUNCTION("""COMPUTED_VALUE"""),46187.336331018516)</f>
        <v>46187.33633</v>
      </c>
      <c r="B870" s="126">
        <f>IFERROR(__xludf.DUMMYFUNCTION("""COMPUTED_VALUE"""),46187.0)</f>
        <v>46187</v>
      </c>
      <c r="C870" s="130">
        <f>IFERROR(__xludf.DUMMYFUNCTION("""COMPUTED_VALUE"""),0.33633101851851854)</f>
        <v>0.3363310185</v>
      </c>
      <c r="D870" s="122" t="str">
        <f>IFERROR(__xludf.DUMMYFUNCTION("""COMPUTED_VALUE"""),"LANG")</f>
        <v>LANG</v>
      </c>
      <c r="E870" s="122" t="str">
        <f>IFERROR(__xludf.DUMMYFUNCTION("""COMPUTED_VALUE"""),"LinguaLab")</f>
        <v>LinguaLab</v>
      </c>
      <c r="F870" s="122" t="str">
        <f>IFERROR(__xludf.DUMMYFUNCTION("""COMPUTED_VALUE"""),"Education")</f>
        <v>Education</v>
      </c>
    </row>
    <row r="871">
      <c r="A871" s="131">
        <f>IFERROR(__xludf.DUMMYFUNCTION("""COMPUTED_VALUE"""),46187.336331018516)</f>
        <v>46187.33633</v>
      </c>
      <c r="B871" s="126">
        <f>IFERROR(__xludf.DUMMYFUNCTION("""COMPUTED_VALUE"""),46187.0)</f>
        <v>46187</v>
      </c>
      <c r="C871" s="130">
        <f>IFERROR(__xludf.DUMMYFUNCTION("""COMPUTED_VALUE"""),0.33633101851851854)</f>
        <v>0.3363310185</v>
      </c>
      <c r="D871" s="122" t="str">
        <f>IFERROR(__xludf.DUMMYFUNCTION("""COMPUTED_VALUE"""),"TEST")</f>
        <v>TEST</v>
      </c>
      <c r="E871" s="122" t="str">
        <f>IFERROR(__xludf.DUMMYFUNCTION("""COMPUTED_VALUE"""),"TestPrep Pro")</f>
        <v>TestPrep Pro</v>
      </c>
      <c r="F871" s="122" t="str">
        <f>IFERROR(__xludf.DUMMYFUNCTION("""COMPUTED_VALUE"""),"Education")</f>
        <v>Education</v>
      </c>
    </row>
    <row r="872">
      <c r="A872" s="131">
        <f>IFERROR(__xludf.DUMMYFUNCTION("""COMPUTED_VALUE"""),46187.336331018516)</f>
        <v>46187.33633</v>
      </c>
      <c r="B872" s="126">
        <f>IFERROR(__xludf.DUMMYFUNCTION("""COMPUTED_VALUE"""),46187.0)</f>
        <v>46187</v>
      </c>
      <c r="C872" s="130">
        <f>IFERROR(__xludf.DUMMYFUNCTION("""COMPUTED_VALUE"""),0.33633101851851854)</f>
        <v>0.3363310185</v>
      </c>
      <c r="D872" s="122" t="str">
        <f>IFERROR(__xludf.DUMMYFUNCTION("""COMPUTED_VALUE"""),"MOVI")</f>
        <v>MOVI</v>
      </c>
      <c r="E872" s="122" t="str">
        <f>IFERROR(__xludf.DUMMYFUNCTION("""COMPUTED_VALUE"""),"MovieBox")</f>
        <v>MovieBox</v>
      </c>
      <c r="F872" s="122" t="str">
        <f>IFERROR(__xludf.DUMMYFUNCTION("""COMPUTED_VALUE"""),"Entertainment")</f>
        <v>Entertainment</v>
      </c>
    </row>
    <row r="873">
      <c r="A873" s="131">
        <f>IFERROR(__xludf.DUMMYFUNCTION("""COMPUTED_VALUE"""),46187.336331018516)</f>
        <v>46187.33633</v>
      </c>
      <c r="B873" s="126">
        <f>IFERROR(__xludf.DUMMYFUNCTION("""COMPUTED_VALUE"""),46187.0)</f>
        <v>46187</v>
      </c>
      <c r="C873" s="130">
        <f>IFERROR(__xludf.DUMMYFUNCTION("""COMPUTED_VALUE"""),0.33633101851851854)</f>
        <v>0.3363310185</v>
      </c>
      <c r="D873" s="122" t="str">
        <f>IFERROR(__xludf.DUMMYFUNCTION("""COMPUTED_VALUE"""),"MUSC")</f>
        <v>MUSC</v>
      </c>
      <c r="E873" s="122" t="str">
        <f>IFERROR(__xludf.DUMMYFUNCTION("""COMPUTED_VALUE"""),"MusicWave")</f>
        <v>MusicWave</v>
      </c>
      <c r="F873" s="122" t="str">
        <f>IFERROR(__xludf.DUMMYFUNCTION("""COMPUTED_VALUE"""),"Entertainment")</f>
        <v>Entertainment</v>
      </c>
    </row>
    <row r="874">
      <c r="A874" s="131">
        <f>IFERROR(__xludf.DUMMYFUNCTION("""COMPUTED_VALUE"""),46187.336331018516)</f>
        <v>46187.33633</v>
      </c>
      <c r="B874" s="126">
        <f>IFERROR(__xludf.DUMMYFUNCTION("""COMPUTED_VALUE"""),46187.0)</f>
        <v>46187</v>
      </c>
      <c r="C874" s="130">
        <f>IFERROR(__xludf.DUMMYFUNCTION("""COMPUTED_VALUE"""),0.33633101851851854)</f>
        <v>0.3363310185</v>
      </c>
      <c r="D874" s="122" t="str">
        <f>IFERROR(__xludf.DUMMYFUNCTION("""COMPUTED_VALUE"""),"IDOL")</f>
        <v>IDOL</v>
      </c>
      <c r="E874" s="122" t="str">
        <f>IFERROR(__xludf.DUMMYFUNCTION("""COMPUTED_VALUE"""),"Idol Agency")</f>
        <v>Idol Agency</v>
      </c>
      <c r="F874" s="122" t="str">
        <f>IFERROR(__xludf.DUMMYFUNCTION("""COMPUTED_VALUE"""),"Entertainment")</f>
        <v>Entertainment</v>
      </c>
    </row>
    <row r="875">
      <c r="A875" s="131">
        <f>IFERROR(__xludf.DUMMYFUNCTION("""COMPUTED_VALUE"""),46187.336331018516)</f>
        <v>46187.33633</v>
      </c>
      <c r="B875" s="126">
        <f>IFERROR(__xludf.DUMMYFUNCTION("""COMPUTED_VALUE"""),46187.0)</f>
        <v>46187</v>
      </c>
      <c r="C875" s="130">
        <f>IFERROR(__xludf.DUMMYFUNCTION("""COMPUTED_VALUE"""),0.33633101851851854)</f>
        <v>0.3363310185</v>
      </c>
      <c r="D875" s="122" t="str">
        <f>IFERROR(__xludf.DUMMYFUNCTION("""COMPUTED_VALUE"""),"MEME")</f>
        <v>MEME</v>
      </c>
      <c r="E875" s="122" t="str">
        <f>IFERROR(__xludf.DUMMYFUNCTION("""COMPUTED_VALUE"""),"Meme Media")</f>
        <v>Meme Media</v>
      </c>
      <c r="F875" s="122" t="str">
        <f>IFERROR(__xludf.DUMMYFUNCTION("""COMPUTED_VALUE"""),"Entertainment")</f>
        <v>Entertainment</v>
      </c>
    </row>
    <row r="876">
      <c r="A876" s="131">
        <f>IFERROR(__xludf.DUMMYFUNCTION("""COMPUTED_VALUE"""),46187.336331018516)</f>
        <v>46187.33633</v>
      </c>
      <c r="B876" s="126">
        <f>IFERROR(__xludf.DUMMYFUNCTION("""COMPUTED_VALUE"""),46187.0)</f>
        <v>46187</v>
      </c>
      <c r="C876" s="130">
        <f>IFERROR(__xludf.DUMMYFUNCTION("""COMPUTED_VALUE"""),0.33633101851851854)</f>
        <v>0.3363310185</v>
      </c>
      <c r="D876" s="122" t="str">
        <f>IFERROR(__xludf.DUMMYFUNCTION("""COMPUTED_VALUE"""),"STRM")</f>
        <v>STRM</v>
      </c>
      <c r="E876" s="122" t="str">
        <f>IFERROR(__xludf.DUMMYFUNCTION("""COMPUTED_VALUE"""),"Streamly")</f>
        <v>Streamly</v>
      </c>
      <c r="F876" s="122" t="str">
        <f>IFERROR(__xludf.DUMMYFUNCTION("""COMPUTED_VALUE"""),"Entertainment")</f>
        <v>Entertainment</v>
      </c>
    </row>
    <row r="877">
      <c r="A877" s="131">
        <f>IFERROR(__xludf.DUMMYFUNCTION("""COMPUTED_VALUE"""),46187.336331018516)</f>
        <v>46187.33633</v>
      </c>
      <c r="B877" s="126">
        <f>IFERROR(__xludf.DUMMYFUNCTION("""COMPUTED_VALUE"""),46187.0)</f>
        <v>46187</v>
      </c>
      <c r="C877" s="130">
        <f>IFERROR(__xludf.DUMMYFUNCTION("""COMPUTED_VALUE"""),0.33633101851851854)</f>
        <v>0.3363310185</v>
      </c>
      <c r="D877" s="122" t="str">
        <f>IFERROR(__xludf.DUMMYFUNCTION("""COMPUTED_VALUE"""),"FARM")</f>
        <v>FARM</v>
      </c>
      <c r="E877" s="122" t="str">
        <f>IFERROR(__xludf.DUMMYFUNCTION("""COMPUTED_VALUE"""),"Future Farms")</f>
        <v>Future Farms</v>
      </c>
      <c r="F877" s="122" t="str">
        <f>IFERROR(__xludf.DUMMYFUNCTION("""COMPUTED_VALUE"""),"Agriculture")</f>
        <v>Agriculture</v>
      </c>
    </row>
    <row r="878">
      <c r="A878" s="131">
        <f>IFERROR(__xludf.DUMMYFUNCTION("""COMPUTED_VALUE"""),46187.336331018516)</f>
        <v>46187.33633</v>
      </c>
      <c r="B878" s="126">
        <f>IFERROR(__xludf.DUMMYFUNCTION("""COMPUTED_VALUE"""),46187.0)</f>
        <v>46187</v>
      </c>
      <c r="C878" s="130">
        <f>IFERROR(__xludf.DUMMYFUNCTION("""COMPUTED_VALUE"""),0.33633101851851854)</f>
        <v>0.3363310185</v>
      </c>
      <c r="D878" s="122" t="str">
        <f>IFERROR(__xludf.DUMMYFUNCTION("""COMPUTED_VALUE"""),"MEAT")</f>
        <v>MEAT</v>
      </c>
      <c r="E878" s="122" t="str">
        <f>IFERROR(__xludf.DUMMYFUNCTION("""COMPUTED_VALUE"""),"MeatWorks")</f>
        <v>MeatWorks</v>
      </c>
      <c r="F878" s="122" t="str">
        <f>IFERROR(__xludf.DUMMYFUNCTION("""COMPUTED_VALUE"""),"Food")</f>
        <v>Food</v>
      </c>
    </row>
    <row r="879">
      <c r="A879" s="131">
        <f>IFERROR(__xludf.DUMMYFUNCTION("""COMPUTED_VALUE"""),46187.336331018516)</f>
        <v>46187.33633</v>
      </c>
      <c r="B879" s="126">
        <f>IFERROR(__xludf.DUMMYFUNCTION("""COMPUTED_VALUE"""),46187.0)</f>
        <v>46187</v>
      </c>
      <c r="C879" s="130">
        <f>IFERROR(__xludf.DUMMYFUNCTION("""COMPUTED_VALUE"""),0.33633101851851854)</f>
        <v>0.3363310185</v>
      </c>
      <c r="D879" s="122" t="str">
        <f>IFERROR(__xludf.DUMMYFUNCTION("""COMPUTED_VALUE"""),"VEGI")</f>
        <v>VEGI</v>
      </c>
      <c r="E879" s="122" t="str">
        <f>IFERROR(__xludf.DUMMYFUNCTION("""COMPUTED_VALUE"""),"Green Basket")</f>
        <v>Green Basket</v>
      </c>
      <c r="F879" s="122" t="str">
        <f>IFERROR(__xludf.DUMMYFUNCTION("""COMPUTED_VALUE"""),"Food")</f>
        <v>Food</v>
      </c>
    </row>
    <row r="880">
      <c r="A880" s="131">
        <f>IFERROR(__xludf.DUMMYFUNCTION("""COMPUTED_VALUE"""),46187.336331018516)</f>
        <v>46187.33633</v>
      </c>
      <c r="B880" s="126">
        <f>IFERROR(__xludf.DUMMYFUNCTION("""COMPUTED_VALUE"""),46187.0)</f>
        <v>46187</v>
      </c>
      <c r="C880" s="130">
        <f>IFERROR(__xludf.DUMMYFUNCTION("""COMPUTED_VALUE"""),0.33633101851851854)</f>
        <v>0.3363310185</v>
      </c>
      <c r="D880" s="122" t="str">
        <f>IFERROR(__xludf.DUMMYFUNCTION("""COMPUTED_VALUE"""),"CAFE")</f>
        <v>CAFE</v>
      </c>
      <c r="E880" s="122" t="str">
        <f>IFERROR(__xludf.DUMMYFUNCTION("""COMPUTED_VALUE"""),"Cafe Cloud")</f>
        <v>Cafe Cloud</v>
      </c>
      <c r="F880" s="122" t="str">
        <f>IFERROR(__xludf.DUMMYFUNCTION("""COMPUTED_VALUE"""),"Food")</f>
        <v>Food</v>
      </c>
    </row>
    <row r="881">
      <c r="A881" s="131">
        <f>IFERROR(__xludf.DUMMYFUNCTION("""COMPUTED_VALUE"""),46187.336331018516)</f>
        <v>46187.33633</v>
      </c>
      <c r="B881" s="126">
        <f>IFERROR(__xludf.DUMMYFUNCTION("""COMPUTED_VALUE"""),46187.0)</f>
        <v>46187</v>
      </c>
      <c r="C881" s="130">
        <f>IFERROR(__xludf.DUMMYFUNCTION("""COMPUTED_VALUE"""),0.33633101851851854)</f>
        <v>0.3363310185</v>
      </c>
      <c r="D881" s="122" t="str">
        <f>IFERROR(__xludf.DUMMYFUNCTION("""COMPUTED_VALUE"""),"BAKE")</f>
        <v>BAKE</v>
      </c>
      <c r="E881" s="122" t="str">
        <f>IFERROR(__xludf.DUMMYFUNCTION("""COMPUTED_VALUE"""),"BakeHouse")</f>
        <v>BakeHouse</v>
      </c>
      <c r="F881" s="122" t="str">
        <f>IFERROR(__xludf.DUMMYFUNCTION("""COMPUTED_VALUE"""),"Food")</f>
        <v>Food</v>
      </c>
    </row>
    <row r="882">
      <c r="A882" s="131">
        <f>IFERROR(__xludf.DUMMYFUNCTION("""COMPUTED_VALUE"""),46187.336331018516)</f>
        <v>46187.33633</v>
      </c>
      <c r="B882" s="126">
        <f>IFERROR(__xludf.DUMMYFUNCTION("""COMPUTED_VALUE"""),46187.0)</f>
        <v>46187</v>
      </c>
      <c r="C882" s="130">
        <f>IFERROR(__xludf.DUMMYFUNCTION("""COMPUTED_VALUE"""),0.33633101851851854)</f>
        <v>0.3363310185</v>
      </c>
      <c r="D882" s="122" t="str">
        <f>IFERROR(__xludf.DUMMYFUNCTION("""COMPUTED_VALUE"""),"OILX")</f>
        <v>OILX</v>
      </c>
      <c r="E882" s="122" t="str">
        <f>IFERROR(__xludf.DUMMYFUNCTION("""COMPUTED_VALUE"""),"OilMax Energy")</f>
        <v>OilMax Energy</v>
      </c>
      <c r="F882" s="122" t="str">
        <f>IFERROR(__xludf.DUMMYFUNCTION("""COMPUTED_VALUE"""),"Energy")</f>
        <v>Energy</v>
      </c>
    </row>
    <row r="883">
      <c r="A883" s="131">
        <f>IFERROR(__xludf.DUMMYFUNCTION("""COMPUTED_VALUE"""),46187.336331018516)</f>
        <v>46187.33633</v>
      </c>
      <c r="B883" s="126">
        <f>IFERROR(__xludf.DUMMYFUNCTION("""COMPUTED_VALUE"""),46187.0)</f>
        <v>46187</v>
      </c>
      <c r="C883" s="130">
        <f>IFERROR(__xludf.DUMMYFUNCTION("""COMPUTED_VALUE"""),0.33633101851851854)</f>
        <v>0.3363310185</v>
      </c>
      <c r="D883" s="122" t="str">
        <f>IFERROR(__xludf.DUMMYFUNCTION("""COMPUTED_VALUE"""),"SOLR")</f>
        <v>SOLR</v>
      </c>
      <c r="E883" s="122" t="str">
        <f>IFERROR(__xludf.DUMMYFUNCTION("""COMPUTED_VALUE"""),"SolarSpark")</f>
        <v>SolarSpark</v>
      </c>
      <c r="F883" s="122" t="str">
        <f>IFERROR(__xludf.DUMMYFUNCTION("""COMPUTED_VALUE"""),"Energy")</f>
        <v>Energy</v>
      </c>
    </row>
    <row r="884">
      <c r="A884" s="131">
        <f>IFERROR(__xludf.DUMMYFUNCTION("""COMPUTED_VALUE"""),46187.336331018516)</f>
        <v>46187.33633</v>
      </c>
      <c r="B884" s="126">
        <f>IFERROR(__xludf.DUMMYFUNCTION("""COMPUTED_VALUE"""),46187.0)</f>
        <v>46187</v>
      </c>
      <c r="C884" s="130">
        <f>IFERROR(__xludf.DUMMYFUNCTION("""COMPUTED_VALUE"""),0.33633101851851854)</f>
        <v>0.3363310185</v>
      </c>
      <c r="D884" s="122" t="str">
        <f>IFERROR(__xludf.DUMMYFUNCTION("""COMPUTED_VALUE"""),"BATT")</f>
        <v>BATT</v>
      </c>
      <c r="E884" s="122" t="str">
        <f>IFERROR(__xludf.DUMMYFUNCTION("""COMPUTED_VALUE"""),"BatteryBox")</f>
        <v>BatteryBox</v>
      </c>
      <c r="F884" s="122" t="str">
        <f>IFERROR(__xludf.DUMMYFUNCTION("""COMPUTED_VALUE"""),"Energy")</f>
        <v>Energy</v>
      </c>
    </row>
    <row r="885">
      <c r="A885" s="131">
        <f>IFERROR(__xludf.DUMMYFUNCTION("""COMPUTED_VALUE"""),46187.336331018516)</f>
        <v>46187.33633</v>
      </c>
      <c r="B885" s="126">
        <f>IFERROR(__xludf.DUMMYFUNCTION("""COMPUTED_VALUE"""),46187.0)</f>
        <v>46187</v>
      </c>
      <c r="C885" s="130">
        <f>IFERROR(__xludf.DUMMYFUNCTION("""COMPUTED_VALUE"""),0.33633101851851854)</f>
        <v>0.3363310185</v>
      </c>
      <c r="D885" s="122" t="str">
        <f>IFERROR(__xludf.DUMMYFUNCTION("""COMPUTED_VALUE"""),"WIND")</f>
        <v>WIND</v>
      </c>
      <c r="E885" s="122" t="str">
        <f>IFERROR(__xludf.DUMMYFUNCTION("""COMPUTED_VALUE"""),"WindWorks")</f>
        <v>WindWorks</v>
      </c>
      <c r="F885" s="122" t="str">
        <f>IFERROR(__xludf.DUMMYFUNCTION("""COMPUTED_VALUE"""),"Energy")</f>
        <v>Energy</v>
      </c>
    </row>
    <row r="886">
      <c r="A886" s="131">
        <f>IFERROR(__xludf.DUMMYFUNCTION("""COMPUTED_VALUE"""),46187.336331018516)</f>
        <v>46187.33633</v>
      </c>
      <c r="B886" s="126">
        <f>IFERROR(__xludf.DUMMYFUNCTION("""COMPUTED_VALUE"""),46187.0)</f>
        <v>46187</v>
      </c>
      <c r="C886" s="130">
        <f>IFERROR(__xludf.DUMMYFUNCTION("""COMPUTED_VALUE"""),0.33633101851851854)</f>
        <v>0.3363310185</v>
      </c>
      <c r="D886" s="122" t="str">
        <f>IFERROR(__xludf.DUMMYFUNCTION("""COMPUTED_VALUE"""),"GRID")</f>
        <v>GRID</v>
      </c>
      <c r="E886" s="122" t="str">
        <f>IFERROR(__xludf.DUMMYFUNCTION("""COMPUTED_VALUE"""),"GridPower")</f>
        <v>GridPower</v>
      </c>
      <c r="F886" s="122" t="str">
        <f>IFERROR(__xludf.DUMMYFUNCTION("""COMPUTED_VALUE"""),"Energy")</f>
        <v>Energy</v>
      </c>
    </row>
    <row r="887">
      <c r="A887" s="131">
        <f>IFERROR(__xludf.DUMMYFUNCTION("""COMPUTED_VALUE"""),46187.336331018516)</f>
        <v>46187.33633</v>
      </c>
      <c r="B887" s="126">
        <f>IFERROR(__xludf.DUMMYFUNCTION("""COMPUTED_VALUE"""),46187.0)</f>
        <v>46187</v>
      </c>
      <c r="C887" s="130">
        <f>IFERROR(__xludf.DUMMYFUNCTION("""COMPUTED_VALUE"""),0.33633101851851854)</f>
        <v>0.3363310185</v>
      </c>
      <c r="D887" s="122" t="str">
        <f>IFERROR(__xludf.DUMMYFUNCTION("""COMPUTED_VALUE"""),"HOME")</f>
        <v>HOME</v>
      </c>
      <c r="E887" s="122" t="str">
        <f>IFERROR(__xludf.DUMMYFUNCTION("""COMPUTED_VALUE"""),"HomeHub")</f>
        <v>HomeHub</v>
      </c>
      <c r="F887" s="122" t="str">
        <f>IFERROR(__xludf.DUMMYFUNCTION("""COMPUTED_VALUE"""),"Real Estate")</f>
        <v>Real Estate</v>
      </c>
    </row>
    <row r="888">
      <c r="A888" s="131">
        <f>IFERROR(__xludf.DUMMYFUNCTION("""COMPUTED_VALUE"""),46187.336331018516)</f>
        <v>46187.33633</v>
      </c>
      <c r="B888" s="126">
        <f>IFERROR(__xludf.DUMMYFUNCTION("""COMPUTED_VALUE"""),46187.0)</f>
        <v>46187</v>
      </c>
      <c r="C888" s="130">
        <f>IFERROR(__xludf.DUMMYFUNCTION("""COMPUTED_VALUE"""),0.33633101851851854)</f>
        <v>0.3363310185</v>
      </c>
      <c r="D888" s="122" t="str">
        <f>IFERROR(__xludf.DUMMYFUNCTION("""COMPUTED_VALUE"""),"RENT")</f>
        <v>RENT</v>
      </c>
      <c r="E888" s="122" t="str">
        <f>IFERROR(__xludf.DUMMYFUNCTION("""COMPUTED_VALUE"""),"RentRight")</f>
        <v>RentRight</v>
      </c>
      <c r="F888" s="122" t="str">
        <f>IFERROR(__xludf.DUMMYFUNCTION("""COMPUTED_VALUE"""),"Real Estate")</f>
        <v>Real Estate</v>
      </c>
    </row>
    <row r="889">
      <c r="A889" s="131">
        <f>IFERROR(__xludf.DUMMYFUNCTION("""COMPUTED_VALUE"""),46187.336331018516)</f>
        <v>46187.33633</v>
      </c>
      <c r="B889" s="126">
        <f>IFERROR(__xludf.DUMMYFUNCTION("""COMPUTED_VALUE"""),46187.0)</f>
        <v>46187</v>
      </c>
      <c r="C889" s="130">
        <f>IFERROR(__xludf.DUMMYFUNCTION("""COMPUTED_VALUE"""),0.33633101851851854)</f>
        <v>0.3363310185</v>
      </c>
      <c r="D889" s="122" t="str">
        <f>IFERROR(__xludf.DUMMYFUNCTION("""COMPUTED_VALUE"""),"MALL")</f>
        <v>MALL</v>
      </c>
      <c r="E889" s="122" t="str">
        <f>IFERROR(__xludf.DUMMYFUNCTION("""COMPUTED_VALUE"""),"MegaMall")</f>
        <v>MegaMall</v>
      </c>
      <c r="F889" s="122" t="str">
        <f>IFERROR(__xludf.DUMMYFUNCTION("""COMPUTED_VALUE"""),"Real Estate")</f>
        <v>Real Estate</v>
      </c>
    </row>
    <row r="890">
      <c r="A890" s="131">
        <f>IFERROR(__xludf.DUMMYFUNCTION("""COMPUTED_VALUE"""),46187.336331018516)</f>
        <v>46187.33633</v>
      </c>
      <c r="B890" s="126">
        <f>IFERROR(__xludf.DUMMYFUNCTION("""COMPUTED_VALUE"""),46187.0)</f>
        <v>46187</v>
      </c>
      <c r="C890" s="130">
        <f>IFERROR(__xludf.DUMMYFUNCTION("""COMPUTED_VALUE"""),0.33633101851851854)</f>
        <v>0.3363310185</v>
      </c>
      <c r="D890" s="122" t="str">
        <f>IFERROR(__xludf.DUMMYFUNCTION("""COMPUTED_VALUE"""),"HOTL")</f>
        <v>HOTL</v>
      </c>
      <c r="E890" s="122" t="str">
        <f>IFERROR(__xludf.DUMMYFUNCTION("""COMPUTED_VALUE"""),"HotelHive")</f>
        <v>HotelHive</v>
      </c>
      <c r="F890" s="122" t="str">
        <f>IFERROR(__xludf.DUMMYFUNCTION("""COMPUTED_VALUE"""),"Real Estate")</f>
        <v>Real Estate</v>
      </c>
    </row>
    <row r="891">
      <c r="A891" s="131">
        <f>IFERROR(__xludf.DUMMYFUNCTION("""COMPUTED_VALUE"""),46187.336331018516)</f>
        <v>46187.33633</v>
      </c>
      <c r="B891" s="126">
        <f>IFERROR(__xludf.DUMMYFUNCTION("""COMPUTED_VALUE"""),46187.0)</f>
        <v>46187</v>
      </c>
      <c r="C891" s="130">
        <f>IFERROR(__xludf.DUMMYFUNCTION("""COMPUTED_VALUE"""),0.33633101851851854)</f>
        <v>0.3363310185</v>
      </c>
      <c r="D891" s="122" t="str">
        <f>IFERROR(__xludf.DUMMYFUNCTION("""COMPUTED_VALUE"""),"LAND")</f>
        <v>LAND</v>
      </c>
      <c r="E891" s="122" t="str">
        <f>IFERROR(__xludf.DUMMYFUNCTION("""COMPUTED_VALUE"""),"LandLink")</f>
        <v>LandLink</v>
      </c>
      <c r="F891" s="122" t="str">
        <f>IFERROR(__xludf.DUMMYFUNCTION("""COMPUTED_VALUE"""),"Real Estate")</f>
        <v>Real Estate</v>
      </c>
    </row>
    <row r="892">
      <c r="A892" s="131">
        <f>IFERROR(__xludf.DUMMYFUNCTION("""COMPUTED_VALUE"""),46187.336331018516)</f>
        <v>46187.33633</v>
      </c>
      <c r="B892" s="126">
        <f>IFERROR(__xludf.DUMMYFUNCTION("""COMPUTED_VALUE"""),46187.0)</f>
        <v>46187</v>
      </c>
      <c r="C892" s="130">
        <f>IFERROR(__xludf.DUMMYFUNCTION("""COMPUTED_VALUE"""),0.33633101851851854)</f>
        <v>0.3363310185</v>
      </c>
      <c r="D892" s="122" t="str">
        <f>IFERROR(__xludf.DUMMYFUNCTION("""COMPUTED_VALUE"""),"CARS")</f>
        <v>CARS</v>
      </c>
      <c r="E892" s="122" t="str">
        <f>IFERROR(__xludf.DUMMYFUNCTION("""COMPUTED_VALUE"""),"AutoArena")</f>
        <v>AutoArena</v>
      </c>
      <c r="F892" s="122" t="str">
        <f>IFERROR(__xludf.DUMMYFUNCTION("""COMPUTED_VALUE"""),"Automotive")</f>
        <v>Automotive</v>
      </c>
    </row>
    <row r="893">
      <c r="A893" s="131">
        <f>IFERROR(__xludf.DUMMYFUNCTION("""COMPUTED_VALUE"""),46187.336331018516)</f>
        <v>46187.33633</v>
      </c>
      <c r="B893" s="126">
        <f>IFERROR(__xludf.DUMMYFUNCTION("""COMPUTED_VALUE"""),46187.0)</f>
        <v>46187</v>
      </c>
      <c r="C893" s="130">
        <f>IFERROR(__xludf.DUMMYFUNCTION("""COMPUTED_VALUE"""),0.33633101851851854)</f>
        <v>0.3363310185</v>
      </c>
      <c r="D893" s="122" t="str">
        <f>IFERROR(__xludf.DUMMYFUNCTION("""COMPUTED_VALUE"""),"EVGO")</f>
        <v>EVGO</v>
      </c>
      <c r="E893" s="122" t="str">
        <f>IFERROR(__xludf.DUMMYFUNCTION("""COMPUTED_VALUE"""),"EVGo Motors")</f>
        <v>EVGo Motors</v>
      </c>
      <c r="F893" s="122" t="str">
        <f>IFERROR(__xludf.DUMMYFUNCTION("""COMPUTED_VALUE"""),"Automotive")</f>
        <v>Automotive</v>
      </c>
    </row>
    <row r="894">
      <c r="A894" s="131">
        <f>IFERROR(__xludf.DUMMYFUNCTION("""COMPUTED_VALUE"""),46187.336331018516)</f>
        <v>46187.33633</v>
      </c>
      <c r="B894" s="126">
        <f>IFERROR(__xludf.DUMMYFUNCTION("""COMPUTED_VALUE"""),46187.0)</f>
        <v>46187</v>
      </c>
      <c r="C894" s="130">
        <f>IFERROR(__xludf.DUMMYFUNCTION("""COMPUTED_VALUE"""),0.33633101851851854)</f>
        <v>0.3363310185</v>
      </c>
      <c r="D894" s="122" t="str">
        <f>IFERROR(__xludf.DUMMYFUNCTION("""COMPUTED_VALUE"""),"TIRE")</f>
        <v>TIRE</v>
      </c>
      <c r="E894" s="122" t="str">
        <f>IFERROR(__xludf.DUMMYFUNCTION("""COMPUTED_VALUE"""),"TireTown")</f>
        <v>TireTown</v>
      </c>
      <c r="F894" s="122" t="str">
        <f>IFERROR(__xludf.DUMMYFUNCTION("""COMPUTED_VALUE"""),"Automotive")</f>
        <v>Automotive</v>
      </c>
    </row>
    <row r="895">
      <c r="A895" s="131">
        <f>IFERROR(__xludf.DUMMYFUNCTION("""COMPUTED_VALUE"""),46187.336331018516)</f>
        <v>46187.33633</v>
      </c>
      <c r="B895" s="126">
        <f>IFERROR(__xludf.DUMMYFUNCTION("""COMPUTED_VALUE"""),46187.0)</f>
        <v>46187</v>
      </c>
      <c r="C895" s="130">
        <f>IFERROR(__xludf.DUMMYFUNCTION("""COMPUTED_VALUE"""),0.33633101851851854)</f>
        <v>0.3363310185</v>
      </c>
      <c r="D895" s="122" t="str">
        <f>IFERROR(__xludf.DUMMYFUNCTION("""COMPUTED_VALUE"""),"BIKE")</f>
        <v>BIKE</v>
      </c>
      <c r="E895" s="122" t="str">
        <f>IFERROR(__xludf.DUMMYFUNCTION("""COMPUTED_VALUE"""),"BikeBox")</f>
        <v>BikeBox</v>
      </c>
      <c r="F895" s="122" t="str">
        <f>IFERROR(__xludf.DUMMYFUNCTION("""COMPUTED_VALUE"""),"Automotive")</f>
        <v>Automotive</v>
      </c>
    </row>
    <row r="896">
      <c r="A896" s="131">
        <f>IFERROR(__xludf.DUMMYFUNCTION("""COMPUTED_VALUE"""),46187.336331018516)</f>
        <v>46187.33633</v>
      </c>
      <c r="B896" s="126">
        <f>IFERROR(__xludf.DUMMYFUNCTION("""COMPUTED_VALUE"""),46187.0)</f>
        <v>46187</v>
      </c>
      <c r="C896" s="130">
        <f>IFERROR(__xludf.DUMMYFUNCTION("""COMPUTED_VALUE"""),0.33633101851851854)</f>
        <v>0.3363310185</v>
      </c>
      <c r="D896" s="122" t="str">
        <f>IFERROR(__xludf.DUMMYFUNCTION("""COMPUTED_VALUE"""),"WASH")</f>
        <v>WASH</v>
      </c>
      <c r="E896" s="122" t="str">
        <f>IFERROR(__xludf.DUMMYFUNCTION("""COMPUTED_VALUE"""),"CarWash Co")</f>
        <v>CarWash Co</v>
      </c>
      <c r="F896" s="122" t="str">
        <f>IFERROR(__xludf.DUMMYFUNCTION("""COMPUTED_VALUE"""),"Automotive")</f>
        <v>Automotive</v>
      </c>
    </row>
    <row r="897">
      <c r="A897" s="131">
        <f>IFERROR(__xludf.DUMMYFUNCTION("""COMPUTED_VALUE"""),46187.336331018516)</f>
        <v>46187.33633</v>
      </c>
      <c r="B897" s="126">
        <f>IFERROR(__xludf.DUMMYFUNCTION("""COMPUTED_VALUE"""),46187.0)</f>
        <v>46187</v>
      </c>
      <c r="C897" s="130">
        <f>IFERROR(__xludf.DUMMYFUNCTION("""COMPUTED_VALUE"""),0.33633101851851854)</f>
        <v>0.3363310185</v>
      </c>
      <c r="D897" s="122" t="str">
        <f>IFERROR(__xludf.DUMMYFUNCTION("""COMPUTED_VALUE"""),"GBND")</f>
        <v>GBND</v>
      </c>
      <c r="E897" s="122" t="str">
        <f>IFERROR(__xludf.DUMMYFUNCTION("""COMPUTED_VALUE"""),"Classroom Government Bond")</f>
        <v>Classroom Government Bond</v>
      </c>
      <c r="F897" s="122" t="str">
        <f>IFERROR(__xludf.DUMMYFUNCTION("""COMPUTED_VALUE"""),"Bond")</f>
        <v>Bond</v>
      </c>
    </row>
    <row r="898">
      <c r="A898" s="131">
        <f>IFERROR(__xludf.DUMMYFUNCTION("""COMPUTED_VALUE"""),46187.336331018516)</f>
        <v>46187.33633</v>
      </c>
      <c r="B898" s="126">
        <f>IFERROR(__xludf.DUMMYFUNCTION("""COMPUTED_VALUE"""),46187.0)</f>
        <v>46187</v>
      </c>
      <c r="C898" s="130">
        <f>IFERROR(__xludf.DUMMYFUNCTION("""COMPUTED_VALUE"""),0.33633101851851854)</f>
        <v>0.3363310185</v>
      </c>
      <c r="D898" s="122" t="str">
        <f>IFERROR(__xludf.DUMMYFUNCTION("""COMPUTED_VALUE"""),"SBND")</f>
        <v>SBND</v>
      </c>
      <c r="E898" s="122" t="str">
        <f>IFERROR(__xludf.DUMMYFUNCTION("""COMPUTED_VALUE"""),"School Savings Bond")</f>
        <v>School Savings Bond</v>
      </c>
      <c r="F898" s="122" t="str">
        <f>IFERROR(__xludf.DUMMYFUNCTION("""COMPUTED_VALUE"""),"Bond")</f>
        <v>Bond</v>
      </c>
    </row>
    <row r="899">
      <c r="A899" s="131">
        <f>IFERROR(__xludf.DUMMYFUNCTION("""COMPUTED_VALUE"""),46187.336331018516)</f>
        <v>46187.33633</v>
      </c>
      <c r="B899" s="126">
        <f>IFERROR(__xludf.DUMMYFUNCTION("""COMPUTED_VALUE"""),46187.0)</f>
        <v>46187</v>
      </c>
      <c r="C899" s="130">
        <f>IFERROR(__xludf.DUMMYFUNCTION("""COMPUTED_VALUE"""),0.33633101851851854)</f>
        <v>0.3363310185</v>
      </c>
      <c r="D899" s="122" t="str">
        <f>IFERROR(__xludf.DUMMYFUNCTION("""COMPUTED_VALUE"""),"CBND")</f>
        <v>CBND</v>
      </c>
      <c r="E899" s="122" t="str">
        <f>IFERROR(__xludf.DUMMYFUNCTION("""COMPUTED_VALUE"""),"Corporate Classroom Bond")</f>
        <v>Corporate Classroom Bond</v>
      </c>
      <c r="F899" s="122" t="str">
        <f>IFERROR(__xludf.DUMMYFUNCTION("""COMPUTED_VALUE"""),"Bond")</f>
        <v>Bond</v>
      </c>
    </row>
    <row r="900">
      <c r="A900" s="131">
        <f>IFERROR(__xludf.DUMMYFUNCTION("""COMPUTED_VALUE"""),46187.336331018516)</f>
        <v>46187.33633</v>
      </c>
      <c r="B900" s="126">
        <f>IFERROR(__xludf.DUMMYFUNCTION("""COMPUTED_VALUE"""),46187.0)</f>
        <v>46187</v>
      </c>
      <c r="C900" s="130">
        <f>IFERROR(__xludf.DUMMYFUNCTION("""COMPUTED_VALUE"""),0.33633101851851854)</f>
        <v>0.3363310185</v>
      </c>
      <c r="D900" s="122" t="str">
        <f>IFERROR(__xludf.DUMMYFUNCTION("""COMPUTED_VALUE"""),"TBIL")</f>
        <v>TBIL</v>
      </c>
      <c r="E900" s="122" t="str">
        <f>IFERROR(__xludf.DUMMYFUNCTION("""COMPUTED_VALUE"""),"Treasury Bill")</f>
        <v>Treasury Bill</v>
      </c>
      <c r="F900" s="122" t="str">
        <f>IFERROR(__xludf.DUMMYFUNCTION("""COMPUTED_VALUE"""),"Bond")</f>
        <v>Bond</v>
      </c>
    </row>
    <row r="901">
      <c r="A901" s="131">
        <f>IFERROR(__xludf.DUMMYFUNCTION("""COMPUTED_VALUE"""),46187.336331018516)</f>
        <v>46187.33633</v>
      </c>
      <c r="B901" s="126">
        <f>IFERROR(__xludf.DUMMYFUNCTION("""COMPUTED_VALUE"""),46187.0)</f>
        <v>46187</v>
      </c>
      <c r="C901" s="130">
        <f>IFERROR(__xludf.DUMMYFUNCTION("""COMPUTED_VALUE"""),0.33633101851851854)</f>
        <v>0.3363310185</v>
      </c>
      <c r="D901" s="122" t="str">
        <f>IFERROR(__xludf.DUMMYFUNCTION("""COMPUTED_VALUE"""),"IBND")</f>
        <v>IBND</v>
      </c>
      <c r="E901" s="122" t="str">
        <f>IFERROR(__xludf.DUMMYFUNCTION("""COMPUTED_VALUE"""),"Inflation Protected Bond")</f>
        <v>Inflation Protected Bond</v>
      </c>
      <c r="F901" s="122" t="str">
        <f>IFERROR(__xludf.DUMMYFUNCTION("""COMPUTED_VALUE"""),"Bond")</f>
        <v>Bond</v>
      </c>
    </row>
    <row r="902">
      <c r="A902" s="131">
        <f>IFERROR(__xludf.DUMMYFUNCTION("""COMPUTED_VALUE"""),46187.33833333333)</f>
        <v>46187.33833</v>
      </c>
      <c r="B902" s="126">
        <f>IFERROR(__xludf.DUMMYFUNCTION("""COMPUTED_VALUE"""),46187.0)</f>
        <v>46187</v>
      </c>
      <c r="C902" s="122" t="str">
        <f>IFERROR(__xludf.DUMMYFUNCTION("""COMPUTED_VALUE"""),"SNAX")</f>
        <v>SNAX</v>
      </c>
      <c r="D902" s="122" t="str">
        <f>IFERROR(__xludf.DUMMYFUNCTION("""COMPUTED_VALUE"""),"MICA Snacks")</f>
        <v>MICA Snacks</v>
      </c>
      <c r="E902" s="122">
        <f>IFERROR(__xludf.DUMMYFUNCTION("""COMPUTED_VALUE"""),123.1)</f>
        <v>123.1</v>
      </c>
      <c r="F902" s="122">
        <f>IFERROR(__xludf.DUMMYFUNCTION("""COMPUTED_VALUE"""),0.0053)</f>
        <v>0.0053</v>
      </c>
    </row>
    <row r="903">
      <c r="A903" s="131">
        <f>IFERROR(__xludf.DUMMYFUNCTION("""COMPUTED_VALUE"""),46187.33833333333)</f>
        <v>46187.33833</v>
      </c>
      <c r="B903" s="126">
        <f>IFERROR(__xludf.DUMMYFUNCTION("""COMPUTED_VALUE"""),46187.0)</f>
        <v>46187</v>
      </c>
      <c r="C903" s="122" t="str">
        <f>IFERROR(__xludf.DUMMYFUNCTION("""COMPUTED_VALUE"""),"RAMN")</f>
        <v>RAMN</v>
      </c>
      <c r="D903" s="122" t="str">
        <f>IFERROR(__xludf.DUMMYFUNCTION("""COMPUTED_VALUE"""),"Ramen Republic")</f>
        <v>Ramen Republic</v>
      </c>
      <c r="E903" s="122">
        <f>IFERROR(__xludf.DUMMYFUNCTION("""COMPUTED_VALUE"""),78.25)</f>
        <v>78.25</v>
      </c>
      <c r="F903" s="122">
        <f>IFERROR(__xludf.DUMMYFUNCTION("""COMPUTED_VALUE"""),-0.0058)</f>
        <v>-0.0058</v>
      </c>
    </row>
    <row r="904">
      <c r="A904" s="131">
        <f>IFERROR(__xludf.DUMMYFUNCTION("""COMPUTED_VALUE"""),46187.33833333333)</f>
        <v>46187.33833</v>
      </c>
      <c r="B904" s="126">
        <f>IFERROR(__xludf.DUMMYFUNCTION("""COMPUTED_VALUE"""),46187.0)</f>
        <v>46187</v>
      </c>
      <c r="C904" s="122" t="str">
        <f>IFERROR(__xludf.DUMMYFUNCTION("""COMPUTED_VALUE"""),"COLA")</f>
        <v>COLA</v>
      </c>
      <c r="D904" s="122" t="str">
        <f>IFERROR(__xludf.DUMMYFUNCTION("""COMPUTED_VALUE"""),"K-Pop Cola")</f>
        <v>K-Pop Cola</v>
      </c>
      <c r="E904" s="122">
        <f>IFERROR(__xludf.DUMMYFUNCTION("""COMPUTED_VALUE"""),103.67)</f>
        <v>103.67</v>
      </c>
      <c r="F904" s="122">
        <f>IFERROR(__xludf.DUMMYFUNCTION("""COMPUTED_VALUE"""),-4.0E-4)</f>
        <v>-0.0004</v>
      </c>
    </row>
    <row r="905">
      <c r="A905" s="131">
        <f>IFERROR(__xludf.DUMMYFUNCTION("""COMPUTED_VALUE"""),46187.33833333333)</f>
        <v>46187.33833</v>
      </c>
      <c r="B905" s="126">
        <f>IFERROR(__xludf.DUMMYFUNCTION("""COMPUTED_VALUE"""),46187.0)</f>
        <v>46187</v>
      </c>
      <c r="C905" s="122" t="str">
        <f>IFERROR(__xludf.DUMMYFUNCTION("""COMPUTED_VALUE"""),"CHIP")</f>
        <v>CHIP</v>
      </c>
      <c r="D905" s="122" t="str">
        <f>IFERROR(__xludf.DUMMYFUNCTION("""COMPUTED_VALUE"""),"Chip Empire")</f>
        <v>Chip Empire</v>
      </c>
      <c r="E905" s="122">
        <f>IFERROR(__xludf.DUMMYFUNCTION("""COMPUTED_VALUE"""),87.84)</f>
        <v>87.84</v>
      </c>
      <c r="F905" s="122">
        <f>IFERROR(__xludf.DUMMYFUNCTION("""COMPUTED_VALUE"""),0.0039)</f>
        <v>0.0039</v>
      </c>
    </row>
    <row r="906">
      <c r="A906" s="131">
        <f>IFERROR(__xludf.DUMMYFUNCTION("""COMPUTED_VALUE"""),46187.33833333333)</f>
        <v>46187.33833</v>
      </c>
      <c r="B906" s="126">
        <f>IFERROR(__xludf.DUMMYFUNCTION("""COMPUTED_VALUE"""),46187.0)</f>
        <v>46187</v>
      </c>
      <c r="C906" s="122" t="str">
        <f>IFERROR(__xludf.DUMMYFUNCTION("""COMPUTED_VALUE"""),"CAND")</f>
        <v>CAND</v>
      </c>
      <c r="D906" s="122" t="str">
        <f>IFERROR(__xludf.DUMMYFUNCTION("""COMPUTED_VALUE"""),"Candy Capital")</f>
        <v>Candy Capital</v>
      </c>
      <c r="E906" s="122">
        <f>IFERROR(__xludf.DUMMYFUNCTION("""COMPUTED_VALUE"""),77.7)</f>
        <v>77.7</v>
      </c>
      <c r="F906" s="122">
        <f>IFERROR(__xludf.DUMMYFUNCTION("""COMPUTED_VALUE"""),0.0018)</f>
        <v>0.0018</v>
      </c>
    </row>
    <row r="907">
      <c r="A907" s="131">
        <f>IFERROR(__xludf.DUMMYFUNCTION("""COMPUTED_VALUE"""),46187.33833333333)</f>
        <v>46187.33833</v>
      </c>
      <c r="B907" s="126">
        <f>IFERROR(__xludf.DUMMYFUNCTION("""COMPUTED_VALUE"""),46187.0)</f>
        <v>46187</v>
      </c>
      <c r="C907" s="122" t="str">
        <f>IFERROR(__xludf.DUMMYFUNCTION("""COMPUTED_VALUE"""),"TECH")</f>
        <v>TECH</v>
      </c>
      <c r="D907" s="122" t="str">
        <f>IFERROR(__xludf.DUMMYFUNCTION("""COMPUTED_VALUE"""),"Dragon Tech")</f>
        <v>Dragon Tech</v>
      </c>
      <c r="E907" s="122">
        <f>IFERROR(__xludf.DUMMYFUNCTION("""COMPUTED_VALUE"""),249.74)</f>
        <v>249.74</v>
      </c>
      <c r="F907" s="122">
        <f>IFERROR(__xludf.DUMMYFUNCTION("""COMPUTED_VALUE"""),0.006)</f>
        <v>0.006</v>
      </c>
    </row>
    <row r="908">
      <c r="A908" s="131">
        <f>IFERROR(__xludf.DUMMYFUNCTION("""COMPUTED_VALUE"""),46187.33833333333)</f>
        <v>46187.33833</v>
      </c>
      <c r="B908" s="126">
        <f>IFERROR(__xludf.DUMMYFUNCTION("""COMPUTED_VALUE"""),46187.0)</f>
        <v>46187</v>
      </c>
      <c r="C908" s="122" t="str">
        <f>IFERROR(__xludf.DUMMYFUNCTION("""COMPUTED_VALUE"""),"AIBO")</f>
        <v>AIBO</v>
      </c>
      <c r="D908" s="122" t="str">
        <f>IFERROR(__xludf.DUMMYFUNCTION("""COMPUTED_VALUE"""),"Homework AI")</f>
        <v>Homework AI</v>
      </c>
      <c r="E908" s="122">
        <f>IFERROR(__xludf.DUMMYFUNCTION("""COMPUTED_VALUE"""),165.0)</f>
        <v>165</v>
      </c>
      <c r="F908" s="122">
        <f>IFERROR(__xludf.DUMMYFUNCTION("""COMPUTED_VALUE"""),-0.0073)</f>
        <v>-0.0073</v>
      </c>
    </row>
    <row r="909">
      <c r="A909" s="131">
        <f>IFERROR(__xludf.DUMMYFUNCTION("""COMPUTED_VALUE"""),46187.33833333333)</f>
        <v>46187.33833</v>
      </c>
      <c r="B909" s="126">
        <f>IFERROR(__xludf.DUMMYFUNCTION("""COMPUTED_VALUE"""),46187.0)</f>
        <v>46187</v>
      </c>
      <c r="C909" s="122" t="str">
        <f>IFERROR(__xludf.DUMMYFUNCTION("""COMPUTED_VALUE"""),"GAME")</f>
        <v>GAME</v>
      </c>
      <c r="D909" s="122" t="str">
        <f>IFERROR(__xludf.DUMMYFUNCTION("""COMPUTED_VALUE"""),"GameBox Media")</f>
        <v>GameBox Media</v>
      </c>
      <c r="E909" s="122">
        <f>IFERROR(__xludf.DUMMYFUNCTION("""COMPUTED_VALUE"""),89.83)</f>
        <v>89.83</v>
      </c>
      <c r="F909" s="122">
        <f>IFERROR(__xludf.DUMMYFUNCTION("""COMPUTED_VALUE"""),-0.0107)</f>
        <v>-0.0107</v>
      </c>
    </row>
    <row r="910">
      <c r="A910" s="131">
        <f>IFERROR(__xludf.DUMMYFUNCTION("""COMPUTED_VALUE"""),46187.33833333333)</f>
        <v>46187.33833</v>
      </c>
      <c r="B910" s="126">
        <f>IFERROR(__xludf.DUMMYFUNCTION("""COMPUTED_VALUE"""),46187.0)</f>
        <v>46187</v>
      </c>
      <c r="C910" s="122" t="str">
        <f>IFERROR(__xludf.DUMMYFUNCTION("""COMPUTED_VALUE"""),"VRSE")</f>
        <v>VRSE</v>
      </c>
      <c r="D910" s="122" t="str">
        <f>IFERROR(__xludf.DUMMYFUNCTION("""COMPUTED_VALUE"""),"VerseVR")</f>
        <v>VerseVR</v>
      </c>
      <c r="E910" s="122">
        <f>IFERROR(__xludf.DUMMYFUNCTION("""COMPUTED_VALUE"""),153.1)</f>
        <v>153.1</v>
      </c>
      <c r="F910" s="122">
        <f>IFERROR(__xludf.DUMMYFUNCTION("""COMPUTED_VALUE"""),-0.0042)</f>
        <v>-0.0042</v>
      </c>
    </row>
    <row r="911">
      <c r="A911" s="131">
        <f>IFERROR(__xludf.DUMMYFUNCTION("""COMPUTED_VALUE"""),46187.33833333333)</f>
        <v>46187.33833</v>
      </c>
      <c r="B911" s="126">
        <f>IFERROR(__xludf.DUMMYFUNCTION("""COMPUTED_VALUE"""),46187.0)</f>
        <v>46187</v>
      </c>
      <c r="C911" s="122" t="str">
        <f>IFERROR(__xludf.DUMMYFUNCTION("""COMPUTED_VALUE"""),"BYTE")</f>
        <v>BYTE</v>
      </c>
      <c r="D911" s="122" t="str">
        <f>IFERROR(__xludf.DUMMYFUNCTION("""COMPUTED_VALUE"""),"ByteWorks")</f>
        <v>ByteWorks</v>
      </c>
      <c r="E911" s="122">
        <f>IFERROR(__xludf.DUMMYFUNCTION("""COMPUTED_VALUE"""),110.62)</f>
        <v>110.62</v>
      </c>
      <c r="F911" s="122">
        <f>IFERROR(__xludf.DUMMYFUNCTION("""COMPUTED_VALUE"""),0.0055)</f>
        <v>0.0055</v>
      </c>
    </row>
    <row r="912">
      <c r="A912" s="131">
        <f>IFERROR(__xludf.DUMMYFUNCTION("""COMPUTED_VALUE"""),46187.33833333333)</f>
        <v>46187.33833</v>
      </c>
      <c r="B912" s="126">
        <f>IFERROR(__xludf.DUMMYFUNCTION("""COMPUTED_VALUE"""),46187.0)</f>
        <v>46187</v>
      </c>
      <c r="C912" s="122" t="str">
        <f>IFERROR(__xludf.DUMMYFUNCTION("""COMPUTED_VALUE"""),"BANK")</f>
        <v>BANK</v>
      </c>
      <c r="D912" s="122" t="str">
        <f>IFERROR(__xludf.DUMMYFUNCTION("""COMPUTED_VALUE"""),"Tiger Bank")</f>
        <v>Tiger Bank</v>
      </c>
      <c r="E912" s="122">
        <f>IFERROR(__xludf.DUMMYFUNCTION("""COMPUTED_VALUE"""),122.68)</f>
        <v>122.68</v>
      </c>
      <c r="F912" s="122">
        <f>IFERROR(__xludf.DUMMYFUNCTION("""COMPUTED_VALUE"""),0.002)</f>
        <v>0.002</v>
      </c>
    </row>
    <row r="913">
      <c r="A913" s="131">
        <f>IFERROR(__xludf.DUMMYFUNCTION("""COMPUTED_VALUE"""),46187.33833333333)</f>
        <v>46187.33833</v>
      </c>
      <c r="B913" s="126">
        <f>IFERROR(__xludf.DUMMYFUNCTION("""COMPUTED_VALUE"""),46187.0)</f>
        <v>46187</v>
      </c>
      <c r="C913" s="122" t="str">
        <f>IFERROR(__xludf.DUMMYFUNCTION("""COMPUTED_VALUE"""),"CRED")</f>
        <v>CRED</v>
      </c>
      <c r="D913" s="122" t="str">
        <f>IFERROR(__xludf.DUMMYFUNCTION("""COMPUTED_VALUE"""),"Credit Castle")</f>
        <v>Credit Castle</v>
      </c>
      <c r="E913" s="122">
        <f>IFERROR(__xludf.DUMMYFUNCTION("""COMPUTED_VALUE"""),68.8)</f>
        <v>68.8</v>
      </c>
      <c r="F913" s="122">
        <f>IFERROR(__xludf.DUMMYFUNCTION("""COMPUTED_VALUE"""),9.0E-4)</f>
        <v>0.0009</v>
      </c>
    </row>
    <row r="914">
      <c r="A914" s="131">
        <f>IFERROR(__xludf.DUMMYFUNCTION("""COMPUTED_VALUE"""),46187.33833333333)</f>
        <v>46187.33833</v>
      </c>
      <c r="B914" s="126">
        <f>IFERROR(__xludf.DUMMYFUNCTION("""COMPUTED_VALUE"""),46187.0)</f>
        <v>46187</v>
      </c>
      <c r="C914" s="122" t="str">
        <f>IFERROR(__xludf.DUMMYFUNCTION("""COMPUTED_VALUE"""),"BOND")</f>
        <v>BOND</v>
      </c>
      <c r="D914" s="122" t="str">
        <f>IFERROR(__xludf.DUMMYFUNCTION("""COMPUTED_VALUE"""),"BondBridge")</f>
        <v>BondBridge</v>
      </c>
      <c r="E914" s="122">
        <f>IFERROR(__xludf.DUMMYFUNCTION("""COMPUTED_VALUE"""),94.81)</f>
        <v>94.81</v>
      </c>
      <c r="F914" s="122">
        <f>IFERROR(__xludf.DUMMYFUNCTION("""COMPUTED_VALUE"""),-8.0E-4)</f>
        <v>-0.0008</v>
      </c>
    </row>
    <row r="915">
      <c r="A915" s="131">
        <f>IFERROR(__xludf.DUMMYFUNCTION("""COMPUTED_VALUE"""),46187.33833333333)</f>
        <v>46187.33833</v>
      </c>
      <c r="B915" s="126">
        <f>IFERROR(__xludf.DUMMYFUNCTION("""COMPUTED_VALUE"""),46187.0)</f>
        <v>46187</v>
      </c>
      <c r="C915" s="122" t="str">
        <f>IFERROR(__xludf.DUMMYFUNCTION("""COMPUTED_VALUE"""),"INSR")</f>
        <v>INSR</v>
      </c>
      <c r="D915" s="122" t="str">
        <f>IFERROR(__xludf.DUMMYFUNCTION("""COMPUTED_VALUE"""),"Shield Insurance")</f>
        <v>Shield Insurance</v>
      </c>
      <c r="E915" s="122">
        <f>IFERROR(__xludf.DUMMYFUNCTION("""COMPUTED_VALUE"""),155.64)</f>
        <v>155.64</v>
      </c>
      <c r="F915" s="122">
        <f>IFERROR(__xludf.DUMMYFUNCTION("""COMPUTED_VALUE"""),0.0041)</f>
        <v>0.0041</v>
      </c>
    </row>
    <row r="916">
      <c r="A916" s="131">
        <f>IFERROR(__xludf.DUMMYFUNCTION("""COMPUTED_VALUE"""),46187.33833333333)</f>
        <v>46187.33833</v>
      </c>
      <c r="B916" s="126">
        <f>IFERROR(__xludf.DUMMYFUNCTION("""COMPUTED_VALUE"""),46187.0)</f>
        <v>46187</v>
      </c>
      <c r="C916" s="122" t="str">
        <f>IFERROR(__xludf.DUMMYFUNCTION("""COMPUTED_VALUE"""),"LOAN")</f>
        <v>LOAN</v>
      </c>
      <c r="D916" s="122" t="str">
        <f>IFERROR(__xludf.DUMMYFUNCTION("""COMPUTED_VALUE"""),"LoanLab")</f>
        <v>LoanLab</v>
      </c>
      <c r="E916" s="122">
        <f>IFERROR(__xludf.DUMMYFUNCTION("""COMPUTED_VALUE"""),59.28)</f>
        <v>59.28</v>
      </c>
      <c r="F916" s="122">
        <f>IFERROR(__xludf.DUMMYFUNCTION("""COMPUTED_VALUE"""),-0.0039)</f>
        <v>-0.0039</v>
      </c>
    </row>
    <row r="917">
      <c r="A917" s="131">
        <f>IFERROR(__xludf.DUMMYFUNCTION("""COMPUTED_VALUE"""),46187.33833333333)</f>
        <v>46187.33833</v>
      </c>
      <c r="B917" s="126">
        <f>IFERROR(__xludf.DUMMYFUNCTION("""COMPUTED_VALUE"""),46187.0)</f>
        <v>46187</v>
      </c>
      <c r="C917" s="122" t="str">
        <f>IFERROR(__xludf.DUMMYFUNCTION("""COMPUTED_VALUE"""),"LUXE")</f>
        <v>LUXE</v>
      </c>
      <c r="D917" s="122" t="str">
        <f>IFERROR(__xludf.DUMMYFUNCTION("""COMPUTED_VALUE"""),"Luxury Locker")</f>
        <v>Luxury Locker</v>
      </c>
      <c r="E917" s="122">
        <f>IFERROR(__xludf.DUMMYFUNCTION("""COMPUTED_VALUE"""),262.02)</f>
        <v>262.02</v>
      </c>
      <c r="F917" s="122">
        <f>IFERROR(__xludf.DUMMYFUNCTION("""COMPUTED_VALUE"""),-6.0E-4)</f>
        <v>-0.0006</v>
      </c>
    </row>
    <row r="918">
      <c r="A918" s="131">
        <f>IFERROR(__xludf.DUMMYFUNCTION("""COMPUTED_VALUE"""),46187.33833333333)</f>
        <v>46187.33833</v>
      </c>
      <c r="B918" s="126">
        <f>IFERROR(__xludf.DUMMYFUNCTION("""COMPUTED_VALUE"""),46187.0)</f>
        <v>46187</v>
      </c>
      <c r="C918" s="122" t="str">
        <f>IFERROR(__xludf.DUMMYFUNCTION("""COMPUTED_VALUE"""),"DRIP")</f>
        <v>DRIP</v>
      </c>
      <c r="D918" s="122" t="str">
        <f>IFERROR(__xludf.DUMMYFUNCTION("""COMPUTED_VALUE"""),"Drip Streetwear")</f>
        <v>Drip Streetwear</v>
      </c>
      <c r="E918" s="122">
        <f>IFERROR(__xludf.DUMMYFUNCTION("""COMPUTED_VALUE"""),198.59)</f>
        <v>198.59</v>
      </c>
      <c r="F918" s="122">
        <f>IFERROR(__xludf.DUMMYFUNCTION("""COMPUTED_VALUE"""),-0.0011)</f>
        <v>-0.0011</v>
      </c>
    </row>
    <row r="919">
      <c r="A919" s="131">
        <f>IFERROR(__xludf.DUMMYFUNCTION("""COMPUTED_VALUE"""),46187.33833333333)</f>
        <v>46187.33833</v>
      </c>
      <c r="B919" s="126">
        <f>IFERROR(__xludf.DUMMYFUNCTION("""COMPUTED_VALUE"""),46187.0)</f>
        <v>46187</v>
      </c>
      <c r="C919" s="122" t="str">
        <f>IFERROR(__xludf.DUMMYFUNCTION("""COMPUTED_VALUE"""),"KICK")</f>
        <v>KICK</v>
      </c>
      <c r="D919" s="122" t="str">
        <f>IFERROR(__xludf.DUMMYFUNCTION("""COMPUTED_VALUE"""),"KickDrop Sneakers")</f>
        <v>KickDrop Sneakers</v>
      </c>
      <c r="E919" s="122">
        <f>IFERROR(__xludf.DUMMYFUNCTION("""COMPUTED_VALUE"""),178.05)</f>
        <v>178.05</v>
      </c>
      <c r="F919" s="122">
        <f>IFERROR(__xludf.DUMMYFUNCTION("""COMPUTED_VALUE"""),0.0016)</f>
        <v>0.0016</v>
      </c>
    </row>
    <row r="920">
      <c r="A920" s="131">
        <f>IFERROR(__xludf.DUMMYFUNCTION("""COMPUTED_VALUE"""),46187.33833333333)</f>
        <v>46187.33833</v>
      </c>
      <c r="B920" s="126">
        <f>IFERROR(__xludf.DUMMYFUNCTION("""COMPUTED_VALUE"""),46187.0)</f>
        <v>46187</v>
      </c>
      <c r="C920" s="122" t="str">
        <f>IFERROR(__xludf.DUMMYFUNCTION("""COMPUTED_VALUE"""),"GLAM")</f>
        <v>GLAM</v>
      </c>
      <c r="D920" s="122" t="str">
        <f>IFERROR(__xludf.DUMMYFUNCTION("""COMPUTED_VALUE"""),"Glow Cosmetics")</f>
        <v>Glow Cosmetics</v>
      </c>
      <c r="E920" s="122">
        <f>IFERROR(__xludf.DUMMYFUNCTION("""COMPUTED_VALUE"""),94.51)</f>
        <v>94.51</v>
      </c>
      <c r="F920" s="122">
        <f>IFERROR(__xludf.DUMMYFUNCTION("""COMPUTED_VALUE"""),0.0049)</f>
        <v>0.0049</v>
      </c>
    </row>
    <row r="921">
      <c r="A921" s="131">
        <f>IFERROR(__xludf.DUMMYFUNCTION("""COMPUTED_VALUE"""),46187.33833333333)</f>
        <v>46187.33833</v>
      </c>
      <c r="B921" s="126">
        <f>IFERROR(__xludf.DUMMYFUNCTION("""COMPUTED_VALUE"""),46187.0)</f>
        <v>46187</v>
      </c>
      <c r="C921" s="122" t="str">
        <f>IFERROR(__xludf.DUMMYFUNCTION("""COMPUTED_VALUE"""),"BAGG")</f>
        <v>BAGG</v>
      </c>
      <c r="D921" s="122" t="str">
        <f>IFERROR(__xludf.DUMMYFUNCTION("""COMPUTED_VALUE"""),"BagVault")</f>
        <v>BagVault</v>
      </c>
      <c r="E921" s="122">
        <f>IFERROR(__xludf.DUMMYFUNCTION("""COMPUTED_VALUE"""),243.31)</f>
        <v>243.31</v>
      </c>
      <c r="F921" s="122">
        <f>IFERROR(__xludf.DUMMYFUNCTION("""COMPUTED_VALUE"""),0.0038)</f>
        <v>0.0038</v>
      </c>
    </row>
    <row r="922">
      <c r="A922" s="131">
        <f>IFERROR(__xludf.DUMMYFUNCTION("""COMPUTED_VALUE"""),46187.33833333333)</f>
        <v>46187.33833</v>
      </c>
      <c r="B922" s="126">
        <f>IFERROR(__xludf.DUMMYFUNCTION("""COMPUTED_VALUE"""),46187.0)</f>
        <v>46187</v>
      </c>
      <c r="C922" s="122" t="str">
        <f>IFERROR(__xludf.DUMMYFUNCTION("""COMPUTED_VALUE"""),"FAST")</f>
        <v>FAST</v>
      </c>
      <c r="D922" s="122" t="str">
        <f>IFERROR(__xludf.DUMMYFUNCTION("""COMPUTED_VALUE"""),"Flash Logistics")</f>
        <v>Flash Logistics</v>
      </c>
      <c r="E922" s="122">
        <f>IFERROR(__xludf.DUMMYFUNCTION("""COMPUTED_VALUE"""),101.98)</f>
        <v>101.98</v>
      </c>
      <c r="F922" s="122">
        <f>IFERROR(__xludf.DUMMYFUNCTION("""COMPUTED_VALUE"""),-0.0025)</f>
        <v>-0.0025</v>
      </c>
    </row>
    <row r="923">
      <c r="A923" s="131">
        <f>IFERROR(__xludf.DUMMYFUNCTION("""COMPUTED_VALUE"""),46187.33833333333)</f>
        <v>46187.33833</v>
      </c>
      <c r="B923" s="126">
        <f>IFERROR(__xludf.DUMMYFUNCTION("""COMPUTED_VALUE"""),46187.0)</f>
        <v>46187</v>
      </c>
      <c r="C923" s="122" t="str">
        <f>IFERROR(__xludf.DUMMYFUNCTION("""COMPUTED_VALUE"""),"SHIP")</f>
        <v>SHIP</v>
      </c>
      <c r="D923" s="122" t="str">
        <f>IFERROR(__xludf.DUMMYFUNCTION("""COMPUTED_VALUE"""),"Seoul Shipping")</f>
        <v>Seoul Shipping</v>
      </c>
      <c r="E923" s="122">
        <f>IFERROR(__xludf.DUMMYFUNCTION("""COMPUTED_VALUE"""),116.72)</f>
        <v>116.72</v>
      </c>
      <c r="F923" s="122">
        <f>IFERROR(__xludf.DUMMYFUNCTION("""COMPUTED_VALUE"""),0.0065)</f>
        <v>0.0065</v>
      </c>
    </row>
    <row r="924">
      <c r="A924" s="131">
        <f>IFERROR(__xludf.DUMMYFUNCTION("""COMPUTED_VALUE"""),46187.33833333333)</f>
        <v>46187.33833</v>
      </c>
      <c r="B924" s="126">
        <f>IFERROR(__xludf.DUMMYFUNCTION("""COMPUTED_VALUE"""),46187.0)</f>
        <v>46187</v>
      </c>
      <c r="C924" s="122" t="str">
        <f>IFERROR(__xludf.DUMMYFUNCTION("""COMPUTED_VALUE"""),"DRON")</f>
        <v>DRON</v>
      </c>
      <c r="D924" s="122" t="str">
        <f>IFERROR(__xludf.DUMMYFUNCTION("""COMPUTED_VALUE"""),"DroneDrop")</f>
        <v>DroneDrop</v>
      </c>
      <c r="E924" s="122">
        <f>IFERROR(__xludf.DUMMYFUNCTION("""COMPUTED_VALUE"""),130.68)</f>
        <v>130.68</v>
      </c>
      <c r="F924" s="122">
        <f>IFERROR(__xludf.DUMMYFUNCTION("""COMPUTED_VALUE"""),0.005)</f>
        <v>0.005</v>
      </c>
    </row>
    <row r="925">
      <c r="A925" s="131">
        <f>IFERROR(__xludf.DUMMYFUNCTION("""COMPUTED_VALUE"""),46187.33833333333)</f>
        <v>46187.33833</v>
      </c>
      <c r="B925" s="126">
        <f>IFERROR(__xludf.DUMMYFUNCTION("""COMPUTED_VALUE"""),46187.0)</f>
        <v>46187</v>
      </c>
      <c r="C925" s="122" t="str">
        <f>IFERROR(__xludf.DUMMYFUNCTION("""COMPUTED_VALUE"""),"RIDE")</f>
        <v>RIDE</v>
      </c>
      <c r="D925" s="122" t="str">
        <f>IFERROR(__xludf.DUMMYFUNCTION("""COMPUTED_VALUE"""),"QuickRide")</f>
        <v>QuickRide</v>
      </c>
      <c r="E925" s="122">
        <f>IFERROR(__xludf.DUMMYFUNCTION("""COMPUTED_VALUE"""),95.94)</f>
        <v>95.94</v>
      </c>
      <c r="F925" s="122">
        <f>IFERROR(__xludf.DUMMYFUNCTION("""COMPUTED_VALUE"""),0.0082)</f>
        <v>0.0082</v>
      </c>
    </row>
    <row r="926">
      <c r="A926" s="131">
        <f>IFERROR(__xludf.DUMMYFUNCTION("""COMPUTED_VALUE"""),46187.33833333333)</f>
        <v>46187.33833</v>
      </c>
      <c r="B926" s="126">
        <f>IFERROR(__xludf.DUMMYFUNCTION("""COMPUTED_VALUE"""),46187.0)</f>
        <v>46187</v>
      </c>
      <c r="C926" s="122" t="str">
        <f>IFERROR(__xludf.DUMMYFUNCTION("""COMPUTED_VALUE"""),"RAIL")</f>
        <v>RAIL</v>
      </c>
      <c r="D926" s="122" t="str">
        <f>IFERROR(__xludf.DUMMYFUNCTION("""COMPUTED_VALUE"""),"MetroRail Corp")</f>
        <v>MetroRail Corp</v>
      </c>
      <c r="E926" s="122">
        <f>IFERROR(__xludf.DUMMYFUNCTION("""COMPUTED_VALUE"""),137.15)</f>
        <v>137.15</v>
      </c>
      <c r="F926" s="122">
        <f>IFERROR(__xludf.DUMMYFUNCTION("""COMPUTED_VALUE"""),-0.0031)</f>
        <v>-0.0031</v>
      </c>
    </row>
    <row r="927">
      <c r="A927" s="131">
        <f>IFERROR(__xludf.DUMMYFUNCTION("""COMPUTED_VALUE"""),46187.33833333333)</f>
        <v>46187.33833</v>
      </c>
      <c r="B927" s="126">
        <f>IFERROR(__xludf.DUMMYFUNCTION("""COMPUTED_VALUE"""),46187.0)</f>
        <v>46187</v>
      </c>
      <c r="C927" s="122" t="str">
        <f>IFERROR(__xludf.DUMMYFUNCTION("""COMPUTED_VALUE"""),"MEDX")</f>
        <v>MEDX</v>
      </c>
      <c r="D927" s="122" t="str">
        <f>IFERROR(__xludf.DUMMYFUNCTION("""COMPUTED_VALUE"""),"MediCore")</f>
        <v>MediCore</v>
      </c>
      <c r="E927" s="122">
        <f>IFERROR(__xludf.DUMMYFUNCTION("""COMPUTED_VALUE"""),137.16)</f>
        <v>137.16</v>
      </c>
      <c r="F927" s="122">
        <f>IFERROR(__xludf.DUMMYFUNCTION("""COMPUTED_VALUE"""),0.0029)</f>
        <v>0.0029</v>
      </c>
    </row>
    <row r="928">
      <c r="A928" s="131">
        <f>IFERROR(__xludf.DUMMYFUNCTION("""COMPUTED_VALUE"""),46187.33833333333)</f>
        <v>46187.33833</v>
      </c>
      <c r="B928" s="126">
        <f>IFERROR(__xludf.DUMMYFUNCTION("""COMPUTED_VALUE"""),46187.0)</f>
        <v>46187</v>
      </c>
      <c r="C928" s="122" t="str">
        <f>IFERROR(__xludf.DUMMYFUNCTION("""COMPUTED_VALUE"""),"GYMX")</f>
        <v>GYMX</v>
      </c>
      <c r="D928" s="122" t="str">
        <f>IFERROR(__xludf.DUMMYFUNCTION("""COMPUTED_VALUE"""),"GymX Fitness")</f>
        <v>GymX Fitness</v>
      </c>
      <c r="E928" s="122">
        <f>IFERROR(__xludf.DUMMYFUNCTION("""COMPUTED_VALUE"""),87.06)</f>
        <v>87.06</v>
      </c>
      <c r="F928" s="122">
        <f>IFERROR(__xludf.DUMMYFUNCTION("""COMPUTED_VALUE"""),0.003)</f>
        <v>0.003</v>
      </c>
    </row>
    <row r="929">
      <c r="A929" s="131">
        <f>IFERROR(__xludf.DUMMYFUNCTION("""COMPUTED_VALUE"""),46187.33833333333)</f>
        <v>46187.33833</v>
      </c>
      <c r="B929" s="126">
        <f>IFERROR(__xludf.DUMMYFUNCTION("""COMPUTED_VALUE"""),46187.0)</f>
        <v>46187</v>
      </c>
      <c r="C929" s="122" t="str">
        <f>IFERROR(__xludf.DUMMYFUNCTION("""COMPUTED_VALUE"""),"VITA")</f>
        <v>VITA</v>
      </c>
      <c r="D929" s="122" t="str">
        <f>IFERROR(__xludf.DUMMYFUNCTION("""COMPUTED_VALUE"""),"VitaPlus")</f>
        <v>VitaPlus</v>
      </c>
      <c r="E929" s="122">
        <f>IFERROR(__xludf.DUMMYFUNCTION("""COMPUTED_VALUE"""),75.03)</f>
        <v>75.03</v>
      </c>
      <c r="F929" s="122">
        <f>IFERROR(__xludf.DUMMYFUNCTION("""COMPUTED_VALUE"""),-0.0056)</f>
        <v>-0.0056</v>
      </c>
    </row>
    <row r="930">
      <c r="A930" s="131">
        <f>IFERROR(__xludf.DUMMYFUNCTION("""COMPUTED_VALUE"""),46187.33833333333)</f>
        <v>46187.33833</v>
      </c>
      <c r="B930" s="126">
        <f>IFERROR(__xludf.DUMMYFUNCTION("""COMPUTED_VALUE"""),46187.0)</f>
        <v>46187</v>
      </c>
      <c r="C930" s="122" t="str">
        <f>IFERROR(__xludf.DUMMYFUNCTION("""COMPUTED_VALUE"""),"CARE")</f>
        <v>CARE</v>
      </c>
      <c r="D930" s="122" t="str">
        <f>IFERROR(__xludf.DUMMYFUNCTION("""COMPUTED_VALUE"""),"CareCloud")</f>
        <v>CareCloud</v>
      </c>
      <c r="E930" s="122">
        <f>IFERROR(__xludf.DUMMYFUNCTION("""COMPUTED_VALUE"""),177.94)</f>
        <v>177.94</v>
      </c>
      <c r="F930" s="122">
        <f>IFERROR(__xludf.DUMMYFUNCTION("""COMPUTED_VALUE"""),0.0057)</f>
        <v>0.0057</v>
      </c>
    </row>
    <row r="931">
      <c r="A931" s="131">
        <f>IFERROR(__xludf.DUMMYFUNCTION("""COMPUTED_VALUE"""),46187.33833333333)</f>
        <v>46187.33833</v>
      </c>
      <c r="B931" s="126">
        <f>IFERROR(__xludf.DUMMYFUNCTION("""COMPUTED_VALUE"""),46187.0)</f>
        <v>46187</v>
      </c>
      <c r="C931" s="122" t="str">
        <f>IFERROR(__xludf.DUMMYFUNCTION("""COMPUTED_VALUE"""),"DENT")</f>
        <v>DENT</v>
      </c>
      <c r="D931" s="122" t="str">
        <f>IFERROR(__xludf.DUMMYFUNCTION("""COMPUTED_VALUE"""),"SmileWorks")</f>
        <v>SmileWorks</v>
      </c>
      <c r="E931" s="122">
        <f>IFERROR(__xludf.DUMMYFUNCTION("""COMPUTED_VALUE"""),81.44)</f>
        <v>81.44</v>
      </c>
      <c r="F931" s="122">
        <f>IFERROR(__xludf.DUMMYFUNCTION("""COMPUTED_VALUE"""),-6.0E-4)</f>
        <v>-0.0006</v>
      </c>
    </row>
    <row r="932">
      <c r="A932" s="131">
        <f>IFERROR(__xludf.DUMMYFUNCTION("""COMPUTED_VALUE"""),46187.33833333333)</f>
        <v>46187.33833</v>
      </c>
      <c r="B932" s="126">
        <f>IFERROR(__xludf.DUMMYFUNCTION("""COMPUTED_VALUE"""),46187.0)</f>
        <v>46187</v>
      </c>
      <c r="C932" s="122" t="str">
        <f>IFERROR(__xludf.DUMMYFUNCTION("""COMPUTED_VALUE"""),"EDUX")</f>
        <v>EDUX</v>
      </c>
      <c r="D932" s="122" t="str">
        <f>IFERROR(__xludf.DUMMYFUNCTION("""COMPUTED_VALUE"""),"EduMax Learning")</f>
        <v>EduMax Learning</v>
      </c>
      <c r="E932" s="122">
        <f>IFERROR(__xludf.DUMMYFUNCTION("""COMPUTED_VALUE"""),128.88)</f>
        <v>128.88</v>
      </c>
      <c r="F932" s="122">
        <f>IFERROR(__xludf.DUMMYFUNCTION("""COMPUTED_VALUE"""),-0.0023)</f>
        <v>-0.0023</v>
      </c>
    </row>
    <row r="933">
      <c r="A933" s="131">
        <f>IFERROR(__xludf.DUMMYFUNCTION("""COMPUTED_VALUE"""),46187.33833333333)</f>
        <v>46187.33833</v>
      </c>
      <c r="B933" s="126">
        <f>IFERROR(__xludf.DUMMYFUNCTION("""COMPUTED_VALUE"""),46187.0)</f>
        <v>46187</v>
      </c>
      <c r="C933" s="122" t="str">
        <f>IFERROR(__xludf.DUMMYFUNCTION("""COMPUTED_VALUE"""),"BOOK")</f>
        <v>BOOK</v>
      </c>
      <c r="D933" s="122" t="str">
        <f>IFERROR(__xludf.DUMMYFUNCTION("""COMPUTED_VALUE"""),"BookBridge")</f>
        <v>BookBridge</v>
      </c>
      <c r="E933" s="122">
        <f>IFERROR(__xludf.DUMMYFUNCTION("""COMPUTED_VALUE"""),111.92)</f>
        <v>111.92</v>
      </c>
      <c r="F933" s="122">
        <f>IFERROR(__xludf.DUMMYFUNCTION("""COMPUTED_VALUE"""),0.0032)</f>
        <v>0.0032</v>
      </c>
    </row>
    <row r="934">
      <c r="A934" s="131">
        <f>IFERROR(__xludf.DUMMYFUNCTION("""COMPUTED_VALUE"""),46187.33833333333)</f>
        <v>46187.33833</v>
      </c>
      <c r="B934" s="126">
        <f>IFERROR(__xludf.DUMMYFUNCTION("""COMPUTED_VALUE"""),46187.0)</f>
        <v>46187</v>
      </c>
      <c r="C934" s="122" t="str">
        <f>IFERROR(__xludf.DUMMYFUNCTION("""COMPUTED_VALUE"""),"TUTR")</f>
        <v>TUTR</v>
      </c>
      <c r="D934" s="122" t="str">
        <f>IFERROR(__xludf.DUMMYFUNCTION("""COMPUTED_VALUE"""),"TutorTown")</f>
        <v>TutorTown</v>
      </c>
      <c r="E934" s="122">
        <f>IFERROR(__xludf.DUMMYFUNCTION("""COMPUTED_VALUE"""),89.41)</f>
        <v>89.41</v>
      </c>
      <c r="F934" s="122">
        <f>IFERROR(__xludf.DUMMYFUNCTION("""COMPUTED_VALUE"""),-0.0067)</f>
        <v>-0.0067</v>
      </c>
    </row>
    <row r="935">
      <c r="A935" s="131">
        <f>IFERROR(__xludf.DUMMYFUNCTION("""COMPUTED_VALUE"""),46187.33833333333)</f>
        <v>46187.33833</v>
      </c>
      <c r="B935" s="126">
        <f>IFERROR(__xludf.DUMMYFUNCTION("""COMPUTED_VALUE"""),46187.0)</f>
        <v>46187</v>
      </c>
      <c r="C935" s="122" t="str">
        <f>IFERROR(__xludf.DUMMYFUNCTION("""COMPUTED_VALUE"""),"LANG")</f>
        <v>LANG</v>
      </c>
      <c r="D935" s="122" t="str">
        <f>IFERROR(__xludf.DUMMYFUNCTION("""COMPUTED_VALUE"""),"LinguaLab")</f>
        <v>LinguaLab</v>
      </c>
      <c r="E935" s="122">
        <f>IFERROR(__xludf.DUMMYFUNCTION("""COMPUTED_VALUE"""),94.55)</f>
        <v>94.55</v>
      </c>
      <c r="F935" s="122">
        <f>IFERROR(__xludf.DUMMYFUNCTION("""COMPUTED_VALUE"""),0.0011)</f>
        <v>0.0011</v>
      </c>
    </row>
    <row r="936">
      <c r="A936" s="131">
        <f>IFERROR(__xludf.DUMMYFUNCTION("""COMPUTED_VALUE"""),46187.33833333333)</f>
        <v>46187.33833</v>
      </c>
      <c r="B936" s="126">
        <f>IFERROR(__xludf.DUMMYFUNCTION("""COMPUTED_VALUE"""),46187.0)</f>
        <v>46187</v>
      </c>
      <c r="C936" s="122" t="str">
        <f>IFERROR(__xludf.DUMMYFUNCTION("""COMPUTED_VALUE"""),"TEST")</f>
        <v>TEST</v>
      </c>
      <c r="D936" s="122" t="str">
        <f>IFERROR(__xludf.DUMMYFUNCTION("""COMPUTED_VALUE"""),"TestPrep Pro")</f>
        <v>TestPrep Pro</v>
      </c>
      <c r="E936" s="122">
        <f>IFERROR(__xludf.DUMMYFUNCTION("""COMPUTED_VALUE"""),100.61)</f>
        <v>100.61</v>
      </c>
      <c r="F936" s="122">
        <f>IFERROR(__xludf.DUMMYFUNCTION("""COMPUTED_VALUE"""),0.0037)</f>
        <v>0.0037</v>
      </c>
    </row>
    <row r="937">
      <c r="A937" s="131">
        <f>IFERROR(__xludf.DUMMYFUNCTION("""COMPUTED_VALUE"""),46187.33833333333)</f>
        <v>46187.33833</v>
      </c>
      <c r="B937" s="126">
        <f>IFERROR(__xludf.DUMMYFUNCTION("""COMPUTED_VALUE"""),46187.0)</f>
        <v>46187</v>
      </c>
      <c r="C937" s="122" t="str">
        <f>IFERROR(__xludf.DUMMYFUNCTION("""COMPUTED_VALUE"""),"MOVI")</f>
        <v>MOVI</v>
      </c>
      <c r="D937" s="122" t="str">
        <f>IFERROR(__xludf.DUMMYFUNCTION("""COMPUTED_VALUE"""),"MovieBox")</f>
        <v>MovieBox</v>
      </c>
      <c r="E937" s="122">
        <f>IFERROR(__xludf.DUMMYFUNCTION("""COMPUTED_VALUE"""),80.07)</f>
        <v>80.07</v>
      </c>
      <c r="F937" s="122">
        <f>IFERROR(__xludf.DUMMYFUNCTION("""COMPUTED_VALUE"""),0.0025)</f>
        <v>0.0025</v>
      </c>
    </row>
    <row r="938">
      <c r="A938" s="131">
        <f>IFERROR(__xludf.DUMMYFUNCTION("""COMPUTED_VALUE"""),46187.33833333333)</f>
        <v>46187.33833</v>
      </c>
      <c r="B938" s="126">
        <f>IFERROR(__xludf.DUMMYFUNCTION("""COMPUTED_VALUE"""),46187.0)</f>
        <v>46187</v>
      </c>
      <c r="C938" s="122" t="str">
        <f>IFERROR(__xludf.DUMMYFUNCTION("""COMPUTED_VALUE"""),"MUSC")</f>
        <v>MUSC</v>
      </c>
      <c r="D938" s="122" t="str">
        <f>IFERROR(__xludf.DUMMYFUNCTION("""COMPUTED_VALUE"""),"MusicWave")</f>
        <v>MusicWave</v>
      </c>
      <c r="E938" s="122">
        <f>IFERROR(__xludf.DUMMYFUNCTION("""COMPUTED_VALUE"""),97.46)</f>
        <v>97.46</v>
      </c>
      <c r="F938" s="122">
        <f>IFERROR(__xludf.DUMMYFUNCTION("""COMPUTED_VALUE"""),-0.0046)</f>
        <v>-0.0046</v>
      </c>
    </row>
    <row r="939">
      <c r="A939" s="131">
        <f>IFERROR(__xludf.DUMMYFUNCTION("""COMPUTED_VALUE"""),46187.33833333333)</f>
        <v>46187.33833</v>
      </c>
      <c r="B939" s="126">
        <f>IFERROR(__xludf.DUMMYFUNCTION("""COMPUTED_VALUE"""),46187.0)</f>
        <v>46187</v>
      </c>
      <c r="C939" s="122" t="str">
        <f>IFERROR(__xludf.DUMMYFUNCTION("""COMPUTED_VALUE"""),"IDOL")</f>
        <v>IDOL</v>
      </c>
      <c r="D939" s="122" t="str">
        <f>IFERROR(__xludf.DUMMYFUNCTION("""COMPUTED_VALUE"""),"Idol Agency")</f>
        <v>Idol Agency</v>
      </c>
      <c r="E939" s="122">
        <f>IFERROR(__xludf.DUMMYFUNCTION("""COMPUTED_VALUE"""),201.55)</f>
        <v>201.55</v>
      </c>
      <c r="F939" s="122">
        <f>IFERROR(__xludf.DUMMYFUNCTION("""COMPUTED_VALUE"""),0.0091)</f>
        <v>0.0091</v>
      </c>
    </row>
    <row r="940">
      <c r="A940" s="131">
        <f>IFERROR(__xludf.DUMMYFUNCTION("""COMPUTED_VALUE"""),46187.33833333333)</f>
        <v>46187.33833</v>
      </c>
      <c r="B940" s="126">
        <f>IFERROR(__xludf.DUMMYFUNCTION("""COMPUTED_VALUE"""),46187.0)</f>
        <v>46187</v>
      </c>
      <c r="C940" s="122" t="str">
        <f>IFERROR(__xludf.DUMMYFUNCTION("""COMPUTED_VALUE"""),"MEME")</f>
        <v>MEME</v>
      </c>
      <c r="D940" s="122" t="str">
        <f>IFERROR(__xludf.DUMMYFUNCTION("""COMPUTED_VALUE"""),"Meme Media")</f>
        <v>Meme Media</v>
      </c>
      <c r="E940" s="122">
        <f>IFERROR(__xludf.DUMMYFUNCTION("""COMPUTED_VALUE"""),79.46)</f>
        <v>79.46</v>
      </c>
      <c r="F940" s="122">
        <f>IFERROR(__xludf.DUMMYFUNCTION("""COMPUTED_VALUE"""),-0.0038)</f>
        <v>-0.0038</v>
      </c>
    </row>
    <row r="941">
      <c r="A941" s="131">
        <f>IFERROR(__xludf.DUMMYFUNCTION("""COMPUTED_VALUE"""),46187.33833333333)</f>
        <v>46187.33833</v>
      </c>
      <c r="B941" s="126">
        <f>IFERROR(__xludf.DUMMYFUNCTION("""COMPUTED_VALUE"""),46187.0)</f>
        <v>46187</v>
      </c>
      <c r="C941" s="122" t="str">
        <f>IFERROR(__xludf.DUMMYFUNCTION("""COMPUTED_VALUE"""),"STRM")</f>
        <v>STRM</v>
      </c>
      <c r="D941" s="122" t="str">
        <f>IFERROR(__xludf.DUMMYFUNCTION("""COMPUTED_VALUE"""),"Streamly")</f>
        <v>Streamly</v>
      </c>
      <c r="E941" s="122">
        <f>IFERROR(__xludf.DUMMYFUNCTION("""COMPUTED_VALUE"""),138.39)</f>
        <v>138.39</v>
      </c>
      <c r="F941" s="122">
        <f>IFERROR(__xludf.DUMMYFUNCTION("""COMPUTED_VALUE"""),-0.0035)</f>
        <v>-0.0035</v>
      </c>
    </row>
    <row r="942">
      <c r="A942" s="131">
        <f>IFERROR(__xludf.DUMMYFUNCTION("""COMPUTED_VALUE"""),46187.33833333333)</f>
        <v>46187.33833</v>
      </c>
      <c r="B942" s="126">
        <f>IFERROR(__xludf.DUMMYFUNCTION("""COMPUTED_VALUE"""),46187.0)</f>
        <v>46187</v>
      </c>
      <c r="C942" s="122" t="str">
        <f>IFERROR(__xludf.DUMMYFUNCTION("""COMPUTED_VALUE"""),"FARM")</f>
        <v>FARM</v>
      </c>
      <c r="D942" s="122" t="str">
        <f>IFERROR(__xludf.DUMMYFUNCTION("""COMPUTED_VALUE"""),"Future Farms")</f>
        <v>Future Farms</v>
      </c>
      <c r="E942" s="122">
        <f>IFERROR(__xludf.DUMMYFUNCTION("""COMPUTED_VALUE"""),79.37)</f>
        <v>79.37</v>
      </c>
      <c r="F942" s="122">
        <f>IFERROR(__xludf.DUMMYFUNCTION("""COMPUTED_VALUE"""),0.0013)</f>
        <v>0.0013</v>
      </c>
    </row>
    <row r="943">
      <c r="A943" s="131">
        <f>IFERROR(__xludf.DUMMYFUNCTION("""COMPUTED_VALUE"""),46187.33833333333)</f>
        <v>46187.33833</v>
      </c>
      <c r="B943" s="126">
        <f>IFERROR(__xludf.DUMMYFUNCTION("""COMPUTED_VALUE"""),46187.0)</f>
        <v>46187</v>
      </c>
      <c r="C943" s="122" t="str">
        <f>IFERROR(__xludf.DUMMYFUNCTION("""COMPUTED_VALUE"""),"MEAT")</f>
        <v>MEAT</v>
      </c>
      <c r="D943" s="122" t="str">
        <f>IFERROR(__xludf.DUMMYFUNCTION("""COMPUTED_VALUE"""),"MeatWorks")</f>
        <v>MeatWorks</v>
      </c>
      <c r="E943" s="122">
        <f>IFERROR(__xludf.DUMMYFUNCTION("""COMPUTED_VALUE"""),103.25)</f>
        <v>103.25</v>
      </c>
      <c r="F943" s="122">
        <f>IFERROR(__xludf.DUMMYFUNCTION("""COMPUTED_VALUE"""),0.0032)</f>
        <v>0.0032</v>
      </c>
    </row>
    <row r="944">
      <c r="A944" s="131">
        <f>IFERROR(__xludf.DUMMYFUNCTION("""COMPUTED_VALUE"""),46187.33833333333)</f>
        <v>46187.33833</v>
      </c>
      <c r="B944" s="126">
        <f>IFERROR(__xludf.DUMMYFUNCTION("""COMPUTED_VALUE"""),46187.0)</f>
        <v>46187</v>
      </c>
      <c r="C944" s="122" t="str">
        <f>IFERROR(__xludf.DUMMYFUNCTION("""COMPUTED_VALUE"""),"VEGI")</f>
        <v>VEGI</v>
      </c>
      <c r="D944" s="122" t="str">
        <f>IFERROR(__xludf.DUMMYFUNCTION("""COMPUTED_VALUE"""),"Green Basket")</f>
        <v>Green Basket</v>
      </c>
      <c r="E944" s="122">
        <f>IFERROR(__xludf.DUMMYFUNCTION("""COMPUTED_VALUE"""),83.99)</f>
        <v>83.99</v>
      </c>
      <c r="F944" s="122">
        <f>IFERROR(__xludf.DUMMYFUNCTION("""COMPUTED_VALUE"""),8.0E-4)</f>
        <v>0.0008</v>
      </c>
    </row>
    <row r="945">
      <c r="A945" s="131">
        <f>IFERROR(__xludf.DUMMYFUNCTION("""COMPUTED_VALUE"""),46187.33833333333)</f>
        <v>46187.33833</v>
      </c>
      <c r="B945" s="126">
        <f>IFERROR(__xludf.DUMMYFUNCTION("""COMPUTED_VALUE"""),46187.0)</f>
        <v>46187</v>
      </c>
      <c r="C945" s="122" t="str">
        <f>IFERROR(__xludf.DUMMYFUNCTION("""COMPUTED_VALUE"""),"CAFE")</f>
        <v>CAFE</v>
      </c>
      <c r="D945" s="122" t="str">
        <f>IFERROR(__xludf.DUMMYFUNCTION("""COMPUTED_VALUE"""),"Cafe Cloud")</f>
        <v>Cafe Cloud</v>
      </c>
      <c r="E945" s="122">
        <f>IFERROR(__xludf.DUMMYFUNCTION("""COMPUTED_VALUE"""),98.01)</f>
        <v>98.01</v>
      </c>
      <c r="F945" s="122">
        <f>IFERROR(__xludf.DUMMYFUNCTION("""COMPUTED_VALUE"""),-0.0093)</f>
        <v>-0.0093</v>
      </c>
    </row>
    <row r="946">
      <c r="A946" s="131">
        <f>IFERROR(__xludf.DUMMYFUNCTION("""COMPUTED_VALUE"""),46187.33833333333)</f>
        <v>46187.33833</v>
      </c>
      <c r="B946" s="126">
        <f>IFERROR(__xludf.DUMMYFUNCTION("""COMPUTED_VALUE"""),46187.0)</f>
        <v>46187</v>
      </c>
      <c r="C946" s="122" t="str">
        <f>IFERROR(__xludf.DUMMYFUNCTION("""COMPUTED_VALUE"""),"BAKE")</f>
        <v>BAKE</v>
      </c>
      <c r="D946" s="122" t="str">
        <f>IFERROR(__xludf.DUMMYFUNCTION("""COMPUTED_VALUE"""),"BakeHouse")</f>
        <v>BakeHouse</v>
      </c>
      <c r="E946" s="122">
        <f>IFERROR(__xludf.DUMMYFUNCTION("""COMPUTED_VALUE"""),100.15)</f>
        <v>100.15</v>
      </c>
      <c r="F946" s="122">
        <f>IFERROR(__xludf.DUMMYFUNCTION("""COMPUTED_VALUE"""),-0.0028)</f>
        <v>-0.0028</v>
      </c>
    </row>
    <row r="947">
      <c r="A947" s="131">
        <f>IFERROR(__xludf.DUMMYFUNCTION("""COMPUTED_VALUE"""),46187.33833333333)</f>
        <v>46187.33833</v>
      </c>
      <c r="B947" s="126">
        <f>IFERROR(__xludf.DUMMYFUNCTION("""COMPUTED_VALUE"""),46187.0)</f>
        <v>46187</v>
      </c>
      <c r="C947" s="122" t="str">
        <f>IFERROR(__xludf.DUMMYFUNCTION("""COMPUTED_VALUE"""),"OILX")</f>
        <v>OILX</v>
      </c>
      <c r="D947" s="122" t="str">
        <f>IFERROR(__xludf.DUMMYFUNCTION("""COMPUTED_VALUE"""),"OilMax Energy")</f>
        <v>OilMax Energy</v>
      </c>
      <c r="E947" s="122">
        <f>IFERROR(__xludf.DUMMYFUNCTION("""COMPUTED_VALUE"""),131.66)</f>
        <v>131.66</v>
      </c>
      <c r="F947" s="122">
        <f>IFERROR(__xludf.DUMMYFUNCTION("""COMPUTED_VALUE"""),-0.0094)</f>
        <v>-0.0094</v>
      </c>
    </row>
    <row r="948">
      <c r="A948" s="131">
        <f>IFERROR(__xludf.DUMMYFUNCTION("""COMPUTED_VALUE"""),46187.33833333333)</f>
        <v>46187.33833</v>
      </c>
      <c r="B948" s="126">
        <f>IFERROR(__xludf.DUMMYFUNCTION("""COMPUTED_VALUE"""),46187.0)</f>
        <v>46187</v>
      </c>
      <c r="C948" s="122" t="str">
        <f>IFERROR(__xludf.DUMMYFUNCTION("""COMPUTED_VALUE"""),"SOLR")</f>
        <v>SOLR</v>
      </c>
      <c r="D948" s="122" t="str">
        <f>IFERROR(__xludf.DUMMYFUNCTION("""COMPUTED_VALUE"""),"SolarSpark")</f>
        <v>SolarSpark</v>
      </c>
      <c r="E948" s="122">
        <f>IFERROR(__xludf.DUMMYFUNCTION("""COMPUTED_VALUE"""),81.26)</f>
        <v>81.26</v>
      </c>
      <c r="F948" s="122">
        <f>IFERROR(__xludf.DUMMYFUNCTION("""COMPUTED_VALUE"""),0.0031)</f>
        <v>0.0031</v>
      </c>
    </row>
    <row r="949">
      <c r="A949" s="131">
        <f>IFERROR(__xludf.DUMMYFUNCTION("""COMPUTED_VALUE"""),46187.33833333333)</f>
        <v>46187.33833</v>
      </c>
      <c r="B949" s="126">
        <f>IFERROR(__xludf.DUMMYFUNCTION("""COMPUTED_VALUE"""),46187.0)</f>
        <v>46187</v>
      </c>
      <c r="C949" s="122" t="str">
        <f>IFERROR(__xludf.DUMMYFUNCTION("""COMPUTED_VALUE"""),"BATT")</f>
        <v>BATT</v>
      </c>
      <c r="D949" s="122" t="str">
        <f>IFERROR(__xludf.DUMMYFUNCTION("""COMPUTED_VALUE"""),"BatteryBox")</f>
        <v>BatteryBox</v>
      </c>
      <c r="E949" s="122">
        <f>IFERROR(__xludf.DUMMYFUNCTION("""COMPUTED_VALUE"""),118.41)</f>
        <v>118.41</v>
      </c>
      <c r="F949" s="122">
        <f>IFERROR(__xludf.DUMMYFUNCTION("""COMPUTED_VALUE"""),0.003)</f>
        <v>0.003</v>
      </c>
    </row>
    <row r="950">
      <c r="A950" s="131">
        <f>IFERROR(__xludf.DUMMYFUNCTION("""COMPUTED_VALUE"""),46187.33833333333)</f>
        <v>46187.33833</v>
      </c>
      <c r="B950" s="126">
        <f>IFERROR(__xludf.DUMMYFUNCTION("""COMPUTED_VALUE"""),46187.0)</f>
        <v>46187</v>
      </c>
      <c r="C950" s="122" t="str">
        <f>IFERROR(__xludf.DUMMYFUNCTION("""COMPUTED_VALUE"""),"WIND")</f>
        <v>WIND</v>
      </c>
      <c r="D950" s="122" t="str">
        <f>IFERROR(__xludf.DUMMYFUNCTION("""COMPUTED_VALUE"""),"WindWorks")</f>
        <v>WindWorks</v>
      </c>
      <c r="E950" s="122">
        <f>IFERROR(__xludf.DUMMYFUNCTION("""COMPUTED_VALUE"""),89.78)</f>
        <v>89.78</v>
      </c>
      <c r="F950" s="122">
        <f>IFERROR(__xludf.DUMMYFUNCTION("""COMPUTED_VALUE"""),-0.0055)</f>
        <v>-0.0055</v>
      </c>
    </row>
    <row r="951">
      <c r="A951" s="131">
        <f>IFERROR(__xludf.DUMMYFUNCTION("""COMPUTED_VALUE"""),46187.33833333333)</f>
        <v>46187.33833</v>
      </c>
      <c r="B951" s="126">
        <f>IFERROR(__xludf.DUMMYFUNCTION("""COMPUTED_VALUE"""),46187.0)</f>
        <v>46187</v>
      </c>
      <c r="C951" s="122" t="str">
        <f>IFERROR(__xludf.DUMMYFUNCTION("""COMPUTED_VALUE"""),"GRID")</f>
        <v>GRID</v>
      </c>
      <c r="D951" s="122" t="str">
        <f>IFERROR(__xludf.DUMMYFUNCTION("""COMPUTED_VALUE"""),"GridPower")</f>
        <v>GridPower</v>
      </c>
      <c r="E951" s="122">
        <f>IFERROR(__xludf.DUMMYFUNCTION("""COMPUTED_VALUE"""),146.84)</f>
        <v>146.84</v>
      </c>
      <c r="F951" s="122">
        <f>IFERROR(__xludf.DUMMYFUNCTION("""COMPUTED_VALUE"""),-0.0014)</f>
        <v>-0.0014</v>
      </c>
    </row>
    <row r="952">
      <c r="A952" s="131">
        <f>IFERROR(__xludf.DUMMYFUNCTION("""COMPUTED_VALUE"""),46187.33833333333)</f>
        <v>46187.33833</v>
      </c>
      <c r="B952" s="126">
        <f>IFERROR(__xludf.DUMMYFUNCTION("""COMPUTED_VALUE"""),46187.0)</f>
        <v>46187</v>
      </c>
      <c r="C952" s="122" t="str">
        <f>IFERROR(__xludf.DUMMYFUNCTION("""COMPUTED_VALUE"""),"HOME")</f>
        <v>HOME</v>
      </c>
      <c r="D952" s="122" t="str">
        <f>IFERROR(__xludf.DUMMYFUNCTION("""COMPUTED_VALUE"""),"HomeHub")</f>
        <v>HomeHub</v>
      </c>
      <c r="E952" s="122">
        <f>IFERROR(__xludf.DUMMYFUNCTION("""COMPUTED_VALUE"""),144.99)</f>
        <v>144.99</v>
      </c>
      <c r="F952" s="122">
        <f>IFERROR(__xludf.DUMMYFUNCTION("""COMPUTED_VALUE"""),0.0026)</f>
        <v>0.0026</v>
      </c>
    </row>
    <row r="953">
      <c r="A953" s="131">
        <f>IFERROR(__xludf.DUMMYFUNCTION("""COMPUTED_VALUE"""),46187.33833333333)</f>
        <v>46187.33833</v>
      </c>
      <c r="B953" s="126">
        <f>IFERROR(__xludf.DUMMYFUNCTION("""COMPUTED_VALUE"""),46187.0)</f>
        <v>46187</v>
      </c>
      <c r="C953" s="122" t="str">
        <f>IFERROR(__xludf.DUMMYFUNCTION("""COMPUTED_VALUE"""),"RENT")</f>
        <v>RENT</v>
      </c>
      <c r="D953" s="122" t="str">
        <f>IFERROR(__xludf.DUMMYFUNCTION("""COMPUTED_VALUE"""),"RentRight")</f>
        <v>RentRight</v>
      </c>
      <c r="E953" s="122">
        <f>IFERROR(__xludf.DUMMYFUNCTION("""COMPUTED_VALUE"""),93.67)</f>
        <v>93.67</v>
      </c>
      <c r="F953" s="122">
        <f>IFERROR(__xludf.DUMMYFUNCTION("""COMPUTED_VALUE"""),-0.0063)</f>
        <v>-0.0063</v>
      </c>
    </row>
    <row r="954">
      <c r="A954" s="131">
        <f>IFERROR(__xludf.DUMMYFUNCTION("""COMPUTED_VALUE"""),46187.33833333333)</f>
        <v>46187.33833</v>
      </c>
      <c r="B954" s="126">
        <f>IFERROR(__xludf.DUMMYFUNCTION("""COMPUTED_VALUE"""),46187.0)</f>
        <v>46187</v>
      </c>
      <c r="C954" s="122" t="str">
        <f>IFERROR(__xludf.DUMMYFUNCTION("""COMPUTED_VALUE"""),"MALL")</f>
        <v>MALL</v>
      </c>
      <c r="D954" s="122" t="str">
        <f>IFERROR(__xludf.DUMMYFUNCTION("""COMPUTED_VALUE"""),"MegaMall")</f>
        <v>MegaMall</v>
      </c>
      <c r="E954" s="122">
        <f>IFERROR(__xludf.DUMMYFUNCTION("""COMPUTED_VALUE"""),94.75)</f>
        <v>94.75</v>
      </c>
      <c r="F954" s="122">
        <f>IFERROR(__xludf.DUMMYFUNCTION("""COMPUTED_VALUE"""),0.0047)</f>
        <v>0.0047</v>
      </c>
    </row>
    <row r="955">
      <c r="A955" s="131">
        <f>IFERROR(__xludf.DUMMYFUNCTION("""COMPUTED_VALUE"""),46187.33833333333)</f>
        <v>46187.33833</v>
      </c>
      <c r="B955" s="126">
        <f>IFERROR(__xludf.DUMMYFUNCTION("""COMPUTED_VALUE"""),46187.0)</f>
        <v>46187</v>
      </c>
      <c r="C955" s="122" t="str">
        <f>IFERROR(__xludf.DUMMYFUNCTION("""COMPUTED_VALUE"""),"HOTL")</f>
        <v>HOTL</v>
      </c>
      <c r="D955" s="122" t="str">
        <f>IFERROR(__xludf.DUMMYFUNCTION("""COMPUTED_VALUE"""),"HotelHive")</f>
        <v>HotelHive</v>
      </c>
      <c r="E955" s="122">
        <f>IFERROR(__xludf.DUMMYFUNCTION("""COMPUTED_VALUE"""),131.96)</f>
        <v>131.96</v>
      </c>
      <c r="F955" s="122">
        <f>IFERROR(__xludf.DUMMYFUNCTION("""COMPUTED_VALUE"""),0.0076)</f>
        <v>0.0076</v>
      </c>
    </row>
    <row r="956">
      <c r="A956" s="131">
        <f>IFERROR(__xludf.DUMMYFUNCTION("""COMPUTED_VALUE"""),46187.33833333333)</f>
        <v>46187.33833</v>
      </c>
      <c r="B956" s="126">
        <f>IFERROR(__xludf.DUMMYFUNCTION("""COMPUTED_VALUE"""),46187.0)</f>
        <v>46187</v>
      </c>
      <c r="C956" s="122" t="str">
        <f>IFERROR(__xludf.DUMMYFUNCTION("""COMPUTED_VALUE"""),"LAND")</f>
        <v>LAND</v>
      </c>
      <c r="D956" s="122" t="str">
        <f>IFERROR(__xludf.DUMMYFUNCTION("""COMPUTED_VALUE"""),"LandLink")</f>
        <v>LandLink</v>
      </c>
      <c r="E956" s="122">
        <f>IFERROR(__xludf.DUMMYFUNCTION("""COMPUTED_VALUE"""),181.28)</f>
        <v>181.28</v>
      </c>
      <c r="F956" s="122">
        <f>IFERROR(__xludf.DUMMYFUNCTION("""COMPUTED_VALUE"""),0.0039)</f>
        <v>0.0039</v>
      </c>
    </row>
    <row r="957">
      <c r="A957" s="131">
        <f>IFERROR(__xludf.DUMMYFUNCTION("""COMPUTED_VALUE"""),46187.33833333333)</f>
        <v>46187.33833</v>
      </c>
      <c r="B957" s="126">
        <f>IFERROR(__xludf.DUMMYFUNCTION("""COMPUTED_VALUE"""),46187.0)</f>
        <v>46187</v>
      </c>
      <c r="C957" s="122" t="str">
        <f>IFERROR(__xludf.DUMMYFUNCTION("""COMPUTED_VALUE"""),"CARS")</f>
        <v>CARS</v>
      </c>
      <c r="D957" s="122" t="str">
        <f>IFERROR(__xludf.DUMMYFUNCTION("""COMPUTED_VALUE"""),"AutoArena")</f>
        <v>AutoArena</v>
      </c>
      <c r="E957" s="122">
        <f>IFERROR(__xludf.DUMMYFUNCTION("""COMPUTED_VALUE"""),80.55)</f>
        <v>80.55</v>
      </c>
      <c r="F957" s="122">
        <f>IFERROR(__xludf.DUMMYFUNCTION("""COMPUTED_VALUE"""),-0.0087)</f>
        <v>-0.0087</v>
      </c>
    </row>
    <row r="958">
      <c r="A958" s="131">
        <f>IFERROR(__xludf.DUMMYFUNCTION("""COMPUTED_VALUE"""),46187.33833333333)</f>
        <v>46187.33833</v>
      </c>
      <c r="B958" s="126">
        <f>IFERROR(__xludf.DUMMYFUNCTION("""COMPUTED_VALUE"""),46187.0)</f>
        <v>46187</v>
      </c>
      <c r="C958" s="122" t="str">
        <f>IFERROR(__xludf.DUMMYFUNCTION("""COMPUTED_VALUE"""),"EVGO")</f>
        <v>EVGO</v>
      </c>
      <c r="D958" s="122" t="str">
        <f>IFERROR(__xludf.DUMMYFUNCTION("""COMPUTED_VALUE"""),"EVGo Motors")</f>
        <v>EVGo Motors</v>
      </c>
      <c r="E958" s="122">
        <f>IFERROR(__xludf.DUMMYFUNCTION("""COMPUTED_VALUE"""),197.9)</f>
        <v>197.9</v>
      </c>
      <c r="F958" s="122">
        <f>IFERROR(__xludf.DUMMYFUNCTION("""COMPUTED_VALUE"""),0.0077)</f>
        <v>0.0077</v>
      </c>
    </row>
    <row r="959">
      <c r="A959" s="131">
        <f>IFERROR(__xludf.DUMMYFUNCTION("""COMPUTED_VALUE"""),46187.33833333333)</f>
        <v>46187.33833</v>
      </c>
      <c r="B959" s="126">
        <f>IFERROR(__xludf.DUMMYFUNCTION("""COMPUTED_VALUE"""),46187.0)</f>
        <v>46187</v>
      </c>
      <c r="C959" s="122" t="str">
        <f>IFERROR(__xludf.DUMMYFUNCTION("""COMPUTED_VALUE"""),"TIRE")</f>
        <v>TIRE</v>
      </c>
      <c r="D959" s="122" t="str">
        <f>IFERROR(__xludf.DUMMYFUNCTION("""COMPUTED_VALUE"""),"TireTown")</f>
        <v>TireTown</v>
      </c>
      <c r="E959" s="122">
        <f>IFERROR(__xludf.DUMMYFUNCTION("""COMPUTED_VALUE"""),89.32)</f>
        <v>89.32</v>
      </c>
      <c r="F959" s="122">
        <f>IFERROR(__xludf.DUMMYFUNCTION("""COMPUTED_VALUE"""),-0.0032)</f>
        <v>-0.0032</v>
      </c>
    </row>
    <row r="960">
      <c r="A960" s="131">
        <f>IFERROR(__xludf.DUMMYFUNCTION("""COMPUTED_VALUE"""),46187.33833333333)</f>
        <v>46187.33833</v>
      </c>
      <c r="B960" s="126">
        <f>IFERROR(__xludf.DUMMYFUNCTION("""COMPUTED_VALUE"""),46187.0)</f>
        <v>46187</v>
      </c>
      <c r="C960" s="122" t="str">
        <f>IFERROR(__xludf.DUMMYFUNCTION("""COMPUTED_VALUE"""),"BIKE")</f>
        <v>BIKE</v>
      </c>
      <c r="D960" s="122" t="str">
        <f>IFERROR(__xludf.DUMMYFUNCTION("""COMPUTED_VALUE"""),"BikeBox")</f>
        <v>BikeBox</v>
      </c>
      <c r="E960" s="122">
        <f>IFERROR(__xludf.DUMMYFUNCTION("""COMPUTED_VALUE"""),55.01)</f>
        <v>55.01</v>
      </c>
      <c r="F960" s="122">
        <f>IFERROR(__xludf.DUMMYFUNCTION("""COMPUTED_VALUE"""),0.004)</f>
        <v>0.004</v>
      </c>
    </row>
    <row r="961">
      <c r="A961" s="131">
        <f>IFERROR(__xludf.DUMMYFUNCTION("""COMPUTED_VALUE"""),46187.33833333333)</f>
        <v>46187.33833</v>
      </c>
      <c r="B961" s="126">
        <f>IFERROR(__xludf.DUMMYFUNCTION("""COMPUTED_VALUE"""),46187.0)</f>
        <v>46187</v>
      </c>
      <c r="C961" s="122" t="str">
        <f>IFERROR(__xludf.DUMMYFUNCTION("""COMPUTED_VALUE"""),"WASH")</f>
        <v>WASH</v>
      </c>
      <c r="D961" s="122" t="str">
        <f>IFERROR(__xludf.DUMMYFUNCTION("""COMPUTED_VALUE"""),"CarWash Co")</f>
        <v>CarWash Co</v>
      </c>
      <c r="E961" s="122">
        <f>IFERROR(__xludf.DUMMYFUNCTION("""COMPUTED_VALUE"""),117.5)</f>
        <v>117.5</v>
      </c>
      <c r="F961" s="122">
        <f>IFERROR(__xludf.DUMMYFUNCTION("""COMPUTED_VALUE"""),0.0022)</f>
        <v>0.0022</v>
      </c>
    </row>
    <row r="962">
      <c r="A962" s="131">
        <f>IFERROR(__xludf.DUMMYFUNCTION("""COMPUTED_VALUE"""),46187.33833333333)</f>
        <v>46187.33833</v>
      </c>
      <c r="B962" s="126">
        <f>IFERROR(__xludf.DUMMYFUNCTION("""COMPUTED_VALUE"""),46187.0)</f>
        <v>46187</v>
      </c>
      <c r="C962" s="122" t="str">
        <f>IFERROR(__xludf.DUMMYFUNCTION("""COMPUTED_VALUE"""),"GBND")</f>
        <v>GBND</v>
      </c>
      <c r="D962" s="122" t="str">
        <f>IFERROR(__xludf.DUMMYFUNCTION("""COMPUTED_VALUE"""),"Classroom Government Bond")</f>
        <v>Classroom Government Bond</v>
      </c>
      <c r="E962" s="122">
        <f>IFERROR(__xludf.DUMMYFUNCTION("""COMPUTED_VALUE"""),100.82)</f>
        <v>100.82</v>
      </c>
      <c r="F962" s="122">
        <f>IFERROR(__xludf.DUMMYFUNCTION("""COMPUTED_VALUE"""),-4.0E-4)</f>
        <v>-0.0004</v>
      </c>
    </row>
    <row r="963">
      <c r="A963" s="131">
        <f>IFERROR(__xludf.DUMMYFUNCTION("""COMPUTED_VALUE"""),46187.33833333333)</f>
        <v>46187.33833</v>
      </c>
      <c r="B963" s="126">
        <f>IFERROR(__xludf.DUMMYFUNCTION("""COMPUTED_VALUE"""),46187.0)</f>
        <v>46187</v>
      </c>
      <c r="C963" s="122" t="str">
        <f>IFERROR(__xludf.DUMMYFUNCTION("""COMPUTED_VALUE"""),"SBND")</f>
        <v>SBND</v>
      </c>
      <c r="D963" s="122" t="str">
        <f>IFERROR(__xludf.DUMMYFUNCTION("""COMPUTED_VALUE"""),"School Savings Bond")</f>
        <v>School Savings Bond</v>
      </c>
      <c r="E963" s="122">
        <f>IFERROR(__xludf.DUMMYFUNCTION("""COMPUTED_VALUE"""),99.36)</f>
        <v>99.36</v>
      </c>
      <c r="F963" s="122">
        <f>IFERROR(__xludf.DUMMYFUNCTION("""COMPUTED_VALUE"""),1.0E-4)</f>
        <v>0.0001</v>
      </c>
    </row>
    <row r="964">
      <c r="A964" s="131">
        <f>IFERROR(__xludf.DUMMYFUNCTION("""COMPUTED_VALUE"""),46187.33833333333)</f>
        <v>46187.33833</v>
      </c>
      <c r="B964" s="126">
        <f>IFERROR(__xludf.DUMMYFUNCTION("""COMPUTED_VALUE"""),46187.0)</f>
        <v>46187</v>
      </c>
      <c r="C964" s="122" t="str">
        <f>IFERROR(__xludf.DUMMYFUNCTION("""COMPUTED_VALUE"""),"CBND")</f>
        <v>CBND</v>
      </c>
      <c r="D964" s="122" t="str">
        <f>IFERROR(__xludf.DUMMYFUNCTION("""COMPUTED_VALUE"""),"Corporate Classroom Bond")</f>
        <v>Corporate Classroom Bond</v>
      </c>
      <c r="E964" s="122">
        <f>IFERROR(__xludf.DUMMYFUNCTION("""COMPUTED_VALUE"""),97.86)</f>
        <v>97.86</v>
      </c>
      <c r="F964" s="122">
        <f>IFERROR(__xludf.DUMMYFUNCTION("""COMPUTED_VALUE"""),3.0E-4)</f>
        <v>0.0003</v>
      </c>
    </row>
    <row r="965">
      <c r="A965" s="131">
        <f>IFERROR(__xludf.DUMMYFUNCTION("""COMPUTED_VALUE"""),46187.33833333333)</f>
        <v>46187.33833</v>
      </c>
      <c r="B965" s="126">
        <f>IFERROR(__xludf.DUMMYFUNCTION("""COMPUTED_VALUE"""),46187.0)</f>
        <v>46187</v>
      </c>
      <c r="C965" s="122" t="str">
        <f>IFERROR(__xludf.DUMMYFUNCTION("""COMPUTED_VALUE"""),"TBIL")</f>
        <v>TBIL</v>
      </c>
      <c r="D965" s="122" t="str">
        <f>IFERROR(__xludf.DUMMYFUNCTION("""COMPUTED_VALUE"""),"Treasury Bill")</f>
        <v>Treasury Bill</v>
      </c>
      <c r="E965" s="122">
        <f>IFERROR(__xludf.DUMMYFUNCTION("""COMPUTED_VALUE"""),97.99)</f>
        <v>97.99</v>
      </c>
      <c r="F965" s="122">
        <f>IFERROR(__xludf.DUMMYFUNCTION("""COMPUTED_VALUE"""),-5.0E-4)</f>
        <v>-0.0005</v>
      </c>
    </row>
    <row r="966">
      <c r="A966" s="131">
        <f>IFERROR(__xludf.DUMMYFUNCTION("""COMPUTED_VALUE"""),46187.33833333333)</f>
        <v>46187.33833</v>
      </c>
      <c r="B966" s="126">
        <f>IFERROR(__xludf.DUMMYFUNCTION("""COMPUTED_VALUE"""),46187.0)</f>
        <v>46187</v>
      </c>
      <c r="C966" s="122" t="str">
        <f>IFERROR(__xludf.DUMMYFUNCTION("""COMPUTED_VALUE"""),"IBND")</f>
        <v>IBND</v>
      </c>
      <c r="D966" s="122" t="str">
        <f>IFERROR(__xludf.DUMMYFUNCTION("""COMPUTED_VALUE"""),"Inflation Protected Bond")</f>
        <v>Inflation Protected Bond</v>
      </c>
      <c r="E966" s="122">
        <f>IFERROR(__xludf.DUMMYFUNCTION("""COMPUTED_VALUE"""),100.5)</f>
        <v>100.5</v>
      </c>
      <c r="F966" s="122">
        <f>IFERROR(__xludf.DUMMYFUNCTION("""COMPUTED_VALUE"""),-3.0E-4)</f>
        <v>-0.0003</v>
      </c>
    </row>
    <row r="967">
      <c r="A967" s="131">
        <f>IFERROR(__xludf.DUMMYFUNCTION("""COMPUTED_VALUE"""),46187.34174768518)</f>
        <v>46187.34175</v>
      </c>
      <c r="B967" s="126">
        <f>IFERROR(__xludf.DUMMYFUNCTION("""COMPUTED_VALUE"""),46187.0)</f>
        <v>46187</v>
      </c>
      <c r="C967" s="122" t="str">
        <f>IFERROR(__xludf.DUMMYFUNCTION("""COMPUTED_VALUE"""),"SNAX")</f>
        <v>SNAX</v>
      </c>
      <c r="D967" s="122" t="str">
        <f>IFERROR(__xludf.DUMMYFUNCTION("""COMPUTED_VALUE"""),"MICA Snacks")</f>
        <v>MICA Snacks</v>
      </c>
      <c r="E967" s="122">
        <f>IFERROR(__xludf.DUMMYFUNCTION("""COMPUTED_VALUE"""),122.74)</f>
        <v>122.74</v>
      </c>
      <c r="F967" s="122">
        <f>IFERROR(__xludf.DUMMYFUNCTION("""COMPUTED_VALUE"""),-0.0029)</f>
        <v>-0.0029</v>
      </c>
    </row>
    <row r="968">
      <c r="A968" s="131">
        <f>IFERROR(__xludf.DUMMYFUNCTION("""COMPUTED_VALUE"""),46187.34174768518)</f>
        <v>46187.34175</v>
      </c>
      <c r="B968" s="126">
        <f>IFERROR(__xludf.DUMMYFUNCTION("""COMPUTED_VALUE"""),46187.0)</f>
        <v>46187</v>
      </c>
      <c r="C968" s="122" t="str">
        <f>IFERROR(__xludf.DUMMYFUNCTION("""COMPUTED_VALUE"""),"RAMN")</f>
        <v>RAMN</v>
      </c>
      <c r="D968" s="122" t="str">
        <f>IFERROR(__xludf.DUMMYFUNCTION("""COMPUTED_VALUE"""),"Ramen Republic")</f>
        <v>Ramen Republic</v>
      </c>
      <c r="E968" s="122">
        <f>IFERROR(__xludf.DUMMYFUNCTION("""COMPUTED_VALUE"""),77.88)</f>
        <v>77.88</v>
      </c>
      <c r="F968" s="122">
        <f>IFERROR(__xludf.DUMMYFUNCTION("""COMPUTED_VALUE"""),-0.0047)</f>
        <v>-0.0047</v>
      </c>
    </row>
    <row r="969">
      <c r="A969" s="131">
        <f>IFERROR(__xludf.DUMMYFUNCTION("""COMPUTED_VALUE"""),46187.34174768518)</f>
        <v>46187.34175</v>
      </c>
      <c r="B969" s="126">
        <f>IFERROR(__xludf.DUMMYFUNCTION("""COMPUTED_VALUE"""),46187.0)</f>
        <v>46187</v>
      </c>
      <c r="C969" s="122" t="str">
        <f>IFERROR(__xludf.DUMMYFUNCTION("""COMPUTED_VALUE"""),"COLA")</f>
        <v>COLA</v>
      </c>
      <c r="D969" s="122" t="str">
        <f>IFERROR(__xludf.DUMMYFUNCTION("""COMPUTED_VALUE"""),"K-Pop Cola")</f>
        <v>K-Pop Cola</v>
      </c>
      <c r="E969" s="122">
        <f>IFERROR(__xludf.DUMMYFUNCTION("""COMPUTED_VALUE"""),103.43)</f>
        <v>103.43</v>
      </c>
      <c r="F969" s="122">
        <f>IFERROR(__xludf.DUMMYFUNCTION("""COMPUTED_VALUE"""),-0.0023)</f>
        <v>-0.0023</v>
      </c>
    </row>
    <row r="970">
      <c r="A970" s="131">
        <f>IFERROR(__xludf.DUMMYFUNCTION("""COMPUTED_VALUE"""),46187.34174768518)</f>
        <v>46187.34175</v>
      </c>
      <c r="B970" s="126">
        <f>IFERROR(__xludf.DUMMYFUNCTION("""COMPUTED_VALUE"""),46187.0)</f>
        <v>46187</v>
      </c>
      <c r="C970" s="122" t="str">
        <f>IFERROR(__xludf.DUMMYFUNCTION("""COMPUTED_VALUE"""),"CHIP")</f>
        <v>CHIP</v>
      </c>
      <c r="D970" s="122" t="str">
        <f>IFERROR(__xludf.DUMMYFUNCTION("""COMPUTED_VALUE"""),"Chip Empire")</f>
        <v>Chip Empire</v>
      </c>
      <c r="E970" s="122">
        <f>IFERROR(__xludf.DUMMYFUNCTION("""COMPUTED_VALUE"""),87.04)</f>
        <v>87.04</v>
      </c>
      <c r="F970" s="122">
        <f>IFERROR(__xludf.DUMMYFUNCTION("""COMPUTED_VALUE"""),-0.0091)</f>
        <v>-0.0091</v>
      </c>
    </row>
    <row r="971">
      <c r="A971" s="131">
        <f>IFERROR(__xludf.DUMMYFUNCTION("""COMPUTED_VALUE"""),46187.34174768518)</f>
        <v>46187.34175</v>
      </c>
      <c r="B971" s="126">
        <f>IFERROR(__xludf.DUMMYFUNCTION("""COMPUTED_VALUE"""),46187.0)</f>
        <v>46187</v>
      </c>
      <c r="C971" s="122" t="str">
        <f>IFERROR(__xludf.DUMMYFUNCTION("""COMPUTED_VALUE"""),"CAND")</f>
        <v>CAND</v>
      </c>
      <c r="D971" s="122" t="str">
        <f>IFERROR(__xludf.DUMMYFUNCTION("""COMPUTED_VALUE"""),"Candy Capital")</f>
        <v>Candy Capital</v>
      </c>
      <c r="E971" s="122">
        <f>IFERROR(__xludf.DUMMYFUNCTION("""COMPUTED_VALUE"""),77.11)</f>
        <v>77.11</v>
      </c>
      <c r="F971" s="122">
        <f>IFERROR(__xludf.DUMMYFUNCTION("""COMPUTED_VALUE"""),-0.0076)</f>
        <v>-0.0076</v>
      </c>
    </row>
    <row r="972">
      <c r="A972" s="131">
        <f>IFERROR(__xludf.DUMMYFUNCTION("""COMPUTED_VALUE"""),46187.34174768518)</f>
        <v>46187.34175</v>
      </c>
      <c r="B972" s="126">
        <f>IFERROR(__xludf.DUMMYFUNCTION("""COMPUTED_VALUE"""),46187.0)</f>
        <v>46187</v>
      </c>
      <c r="C972" s="122" t="str">
        <f>IFERROR(__xludf.DUMMYFUNCTION("""COMPUTED_VALUE"""),"TECH")</f>
        <v>TECH</v>
      </c>
      <c r="D972" s="122" t="str">
        <f>IFERROR(__xludf.DUMMYFUNCTION("""COMPUTED_VALUE"""),"Dragon Tech")</f>
        <v>Dragon Tech</v>
      </c>
      <c r="E972" s="122">
        <f>IFERROR(__xludf.DUMMYFUNCTION("""COMPUTED_VALUE"""),247.18)</f>
        <v>247.18</v>
      </c>
      <c r="F972" s="122">
        <f>IFERROR(__xludf.DUMMYFUNCTION("""COMPUTED_VALUE"""),-0.0103)</f>
        <v>-0.0103</v>
      </c>
    </row>
    <row r="973">
      <c r="A973" s="131">
        <f>IFERROR(__xludf.DUMMYFUNCTION("""COMPUTED_VALUE"""),46187.34174768518)</f>
        <v>46187.34175</v>
      </c>
      <c r="B973" s="126">
        <f>IFERROR(__xludf.DUMMYFUNCTION("""COMPUTED_VALUE"""),46187.0)</f>
        <v>46187</v>
      </c>
      <c r="C973" s="122" t="str">
        <f>IFERROR(__xludf.DUMMYFUNCTION("""COMPUTED_VALUE"""),"AIBO")</f>
        <v>AIBO</v>
      </c>
      <c r="D973" s="122" t="str">
        <f>IFERROR(__xludf.DUMMYFUNCTION("""COMPUTED_VALUE"""),"Homework AI")</f>
        <v>Homework AI</v>
      </c>
      <c r="E973" s="122">
        <f>IFERROR(__xludf.DUMMYFUNCTION("""COMPUTED_VALUE"""),163.62)</f>
        <v>163.62</v>
      </c>
      <c r="F973" s="122">
        <f>IFERROR(__xludf.DUMMYFUNCTION("""COMPUTED_VALUE"""),-0.0084)</f>
        <v>-0.0084</v>
      </c>
    </row>
    <row r="974">
      <c r="A974" s="131">
        <f>IFERROR(__xludf.DUMMYFUNCTION("""COMPUTED_VALUE"""),46187.34174768518)</f>
        <v>46187.34175</v>
      </c>
      <c r="B974" s="126">
        <f>IFERROR(__xludf.DUMMYFUNCTION("""COMPUTED_VALUE"""),46187.0)</f>
        <v>46187</v>
      </c>
      <c r="C974" s="122" t="str">
        <f>IFERROR(__xludf.DUMMYFUNCTION("""COMPUTED_VALUE"""),"GAME")</f>
        <v>GAME</v>
      </c>
      <c r="D974" s="122" t="str">
        <f>IFERROR(__xludf.DUMMYFUNCTION("""COMPUTED_VALUE"""),"GameBox Media")</f>
        <v>GameBox Media</v>
      </c>
      <c r="E974" s="122">
        <f>IFERROR(__xludf.DUMMYFUNCTION("""COMPUTED_VALUE"""),90.01)</f>
        <v>90.01</v>
      </c>
      <c r="F974" s="122">
        <f>IFERROR(__xludf.DUMMYFUNCTION("""COMPUTED_VALUE"""),0.002)</f>
        <v>0.002</v>
      </c>
    </row>
    <row r="975">
      <c r="A975" s="131">
        <f>IFERROR(__xludf.DUMMYFUNCTION("""COMPUTED_VALUE"""),46187.34174768518)</f>
        <v>46187.34175</v>
      </c>
      <c r="B975" s="126">
        <f>IFERROR(__xludf.DUMMYFUNCTION("""COMPUTED_VALUE"""),46187.0)</f>
        <v>46187</v>
      </c>
      <c r="C975" s="122" t="str">
        <f>IFERROR(__xludf.DUMMYFUNCTION("""COMPUTED_VALUE"""),"VRSE")</f>
        <v>VRSE</v>
      </c>
      <c r="D975" s="122" t="str">
        <f>IFERROR(__xludf.DUMMYFUNCTION("""COMPUTED_VALUE"""),"VerseVR")</f>
        <v>VerseVR</v>
      </c>
      <c r="E975" s="122">
        <f>IFERROR(__xludf.DUMMYFUNCTION("""COMPUTED_VALUE"""),153.74)</f>
        <v>153.74</v>
      </c>
      <c r="F975" s="122">
        <f>IFERROR(__xludf.DUMMYFUNCTION("""COMPUTED_VALUE"""),0.0042)</f>
        <v>0.0042</v>
      </c>
    </row>
    <row r="976">
      <c r="A976" s="131">
        <f>IFERROR(__xludf.DUMMYFUNCTION("""COMPUTED_VALUE"""),46187.34174768518)</f>
        <v>46187.34175</v>
      </c>
      <c r="B976" s="126">
        <f>IFERROR(__xludf.DUMMYFUNCTION("""COMPUTED_VALUE"""),46187.0)</f>
        <v>46187</v>
      </c>
      <c r="C976" s="122" t="str">
        <f>IFERROR(__xludf.DUMMYFUNCTION("""COMPUTED_VALUE"""),"BYTE")</f>
        <v>BYTE</v>
      </c>
      <c r="D976" s="122" t="str">
        <f>IFERROR(__xludf.DUMMYFUNCTION("""COMPUTED_VALUE"""),"ByteWorks")</f>
        <v>ByteWorks</v>
      </c>
      <c r="E976" s="122">
        <f>IFERROR(__xludf.DUMMYFUNCTION("""COMPUTED_VALUE"""),110.94)</f>
        <v>110.94</v>
      </c>
      <c r="F976" s="122">
        <f>IFERROR(__xludf.DUMMYFUNCTION("""COMPUTED_VALUE"""),0.0029)</f>
        <v>0.0029</v>
      </c>
    </row>
    <row r="977">
      <c r="A977" s="131">
        <f>IFERROR(__xludf.DUMMYFUNCTION("""COMPUTED_VALUE"""),46187.34174768518)</f>
        <v>46187.34175</v>
      </c>
      <c r="B977" s="126">
        <f>IFERROR(__xludf.DUMMYFUNCTION("""COMPUTED_VALUE"""),46187.0)</f>
        <v>46187</v>
      </c>
      <c r="C977" s="122" t="str">
        <f>IFERROR(__xludf.DUMMYFUNCTION("""COMPUTED_VALUE"""),"BANK")</f>
        <v>BANK</v>
      </c>
      <c r="D977" s="122" t="str">
        <f>IFERROR(__xludf.DUMMYFUNCTION("""COMPUTED_VALUE"""),"Tiger Bank")</f>
        <v>Tiger Bank</v>
      </c>
      <c r="E977" s="122">
        <f>IFERROR(__xludf.DUMMYFUNCTION("""COMPUTED_VALUE"""),123.13)</f>
        <v>123.13</v>
      </c>
      <c r="F977" s="122">
        <f>IFERROR(__xludf.DUMMYFUNCTION("""COMPUTED_VALUE"""),0.0037)</f>
        <v>0.0037</v>
      </c>
    </row>
    <row r="978">
      <c r="A978" s="131">
        <f>IFERROR(__xludf.DUMMYFUNCTION("""COMPUTED_VALUE"""),46187.34174768518)</f>
        <v>46187.34175</v>
      </c>
      <c r="B978" s="126">
        <f>IFERROR(__xludf.DUMMYFUNCTION("""COMPUTED_VALUE"""),46187.0)</f>
        <v>46187</v>
      </c>
      <c r="C978" s="122" t="str">
        <f>IFERROR(__xludf.DUMMYFUNCTION("""COMPUTED_VALUE"""),"CRED")</f>
        <v>CRED</v>
      </c>
      <c r="D978" s="122" t="str">
        <f>IFERROR(__xludf.DUMMYFUNCTION("""COMPUTED_VALUE"""),"Credit Castle")</f>
        <v>Credit Castle</v>
      </c>
      <c r="E978" s="122">
        <f>IFERROR(__xludf.DUMMYFUNCTION("""COMPUTED_VALUE"""),68.54)</f>
        <v>68.54</v>
      </c>
      <c r="F978" s="122">
        <f>IFERROR(__xludf.DUMMYFUNCTION("""COMPUTED_VALUE"""),-0.0038)</f>
        <v>-0.0038</v>
      </c>
    </row>
    <row r="979">
      <c r="A979" s="131">
        <f>IFERROR(__xludf.DUMMYFUNCTION("""COMPUTED_VALUE"""),46187.34174768518)</f>
        <v>46187.34175</v>
      </c>
      <c r="B979" s="126">
        <f>IFERROR(__xludf.DUMMYFUNCTION("""COMPUTED_VALUE"""),46187.0)</f>
        <v>46187</v>
      </c>
      <c r="C979" s="122" t="str">
        <f>IFERROR(__xludf.DUMMYFUNCTION("""COMPUTED_VALUE"""),"BOND")</f>
        <v>BOND</v>
      </c>
      <c r="D979" s="122" t="str">
        <f>IFERROR(__xludf.DUMMYFUNCTION("""COMPUTED_VALUE"""),"BondBridge")</f>
        <v>BondBridge</v>
      </c>
      <c r="E979" s="122">
        <f>IFERROR(__xludf.DUMMYFUNCTION("""COMPUTED_VALUE"""),94.77)</f>
        <v>94.77</v>
      </c>
      <c r="F979" s="122">
        <f>IFERROR(__xludf.DUMMYFUNCTION("""COMPUTED_VALUE"""),-4.0E-4)</f>
        <v>-0.0004</v>
      </c>
    </row>
    <row r="980">
      <c r="A980" s="131">
        <f>IFERROR(__xludf.DUMMYFUNCTION("""COMPUTED_VALUE"""),46187.34174768518)</f>
        <v>46187.34175</v>
      </c>
      <c r="B980" s="126">
        <f>IFERROR(__xludf.DUMMYFUNCTION("""COMPUTED_VALUE"""),46187.0)</f>
        <v>46187</v>
      </c>
      <c r="C980" s="122" t="str">
        <f>IFERROR(__xludf.DUMMYFUNCTION("""COMPUTED_VALUE"""),"INSR")</f>
        <v>INSR</v>
      </c>
      <c r="D980" s="122" t="str">
        <f>IFERROR(__xludf.DUMMYFUNCTION("""COMPUTED_VALUE"""),"Shield Insurance")</f>
        <v>Shield Insurance</v>
      </c>
      <c r="E980" s="122">
        <f>IFERROR(__xludf.DUMMYFUNCTION("""COMPUTED_VALUE"""),155.18)</f>
        <v>155.18</v>
      </c>
      <c r="F980" s="122">
        <f>IFERROR(__xludf.DUMMYFUNCTION("""COMPUTED_VALUE"""),-0.003)</f>
        <v>-0.003</v>
      </c>
    </row>
    <row r="981">
      <c r="A981" s="131">
        <f>IFERROR(__xludf.DUMMYFUNCTION("""COMPUTED_VALUE"""),46187.34174768518)</f>
        <v>46187.34175</v>
      </c>
      <c r="B981" s="126">
        <f>IFERROR(__xludf.DUMMYFUNCTION("""COMPUTED_VALUE"""),46187.0)</f>
        <v>46187</v>
      </c>
      <c r="C981" s="122" t="str">
        <f>IFERROR(__xludf.DUMMYFUNCTION("""COMPUTED_VALUE"""),"LOAN")</f>
        <v>LOAN</v>
      </c>
      <c r="D981" s="122" t="str">
        <f>IFERROR(__xludf.DUMMYFUNCTION("""COMPUTED_VALUE"""),"LoanLab")</f>
        <v>LoanLab</v>
      </c>
      <c r="E981" s="122">
        <f>IFERROR(__xludf.DUMMYFUNCTION("""COMPUTED_VALUE"""),59.79)</f>
        <v>59.79</v>
      </c>
      <c r="F981" s="122">
        <f>IFERROR(__xludf.DUMMYFUNCTION("""COMPUTED_VALUE"""),0.0086)</f>
        <v>0.0086</v>
      </c>
    </row>
    <row r="982">
      <c r="A982" s="131">
        <f>IFERROR(__xludf.DUMMYFUNCTION("""COMPUTED_VALUE"""),46187.34174768518)</f>
        <v>46187.34175</v>
      </c>
      <c r="B982" s="126">
        <f>IFERROR(__xludf.DUMMYFUNCTION("""COMPUTED_VALUE"""),46187.0)</f>
        <v>46187</v>
      </c>
      <c r="C982" s="122" t="str">
        <f>IFERROR(__xludf.DUMMYFUNCTION("""COMPUTED_VALUE"""),"LUXE")</f>
        <v>LUXE</v>
      </c>
      <c r="D982" s="122" t="str">
        <f>IFERROR(__xludf.DUMMYFUNCTION("""COMPUTED_VALUE"""),"Luxury Locker")</f>
        <v>Luxury Locker</v>
      </c>
      <c r="E982" s="122">
        <f>IFERROR(__xludf.DUMMYFUNCTION("""COMPUTED_VALUE"""),263.22)</f>
        <v>263.22</v>
      </c>
      <c r="F982" s="122">
        <f>IFERROR(__xludf.DUMMYFUNCTION("""COMPUTED_VALUE"""),0.0046)</f>
        <v>0.0046</v>
      </c>
    </row>
    <row r="983">
      <c r="A983" s="131">
        <f>IFERROR(__xludf.DUMMYFUNCTION("""COMPUTED_VALUE"""),46187.34174768518)</f>
        <v>46187.34175</v>
      </c>
      <c r="B983" s="126">
        <f>IFERROR(__xludf.DUMMYFUNCTION("""COMPUTED_VALUE"""),46187.0)</f>
        <v>46187</v>
      </c>
      <c r="C983" s="122" t="str">
        <f>IFERROR(__xludf.DUMMYFUNCTION("""COMPUTED_VALUE"""),"DRIP")</f>
        <v>DRIP</v>
      </c>
      <c r="D983" s="122" t="str">
        <f>IFERROR(__xludf.DUMMYFUNCTION("""COMPUTED_VALUE"""),"Drip Streetwear")</f>
        <v>Drip Streetwear</v>
      </c>
      <c r="E983" s="122">
        <f>IFERROR(__xludf.DUMMYFUNCTION("""COMPUTED_VALUE"""),197.27)</f>
        <v>197.27</v>
      </c>
      <c r="F983" s="122">
        <f>IFERROR(__xludf.DUMMYFUNCTION("""COMPUTED_VALUE"""),-0.0066)</f>
        <v>-0.0066</v>
      </c>
    </row>
    <row r="984">
      <c r="A984" s="131">
        <f>IFERROR(__xludf.DUMMYFUNCTION("""COMPUTED_VALUE"""),46187.34174768518)</f>
        <v>46187.34175</v>
      </c>
      <c r="B984" s="126">
        <f>IFERROR(__xludf.DUMMYFUNCTION("""COMPUTED_VALUE"""),46187.0)</f>
        <v>46187</v>
      </c>
      <c r="C984" s="122" t="str">
        <f>IFERROR(__xludf.DUMMYFUNCTION("""COMPUTED_VALUE"""),"KICK")</f>
        <v>KICK</v>
      </c>
      <c r="D984" s="122" t="str">
        <f>IFERROR(__xludf.DUMMYFUNCTION("""COMPUTED_VALUE"""),"KickDrop Sneakers")</f>
        <v>KickDrop Sneakers</v>
      </c>
      <c r="E984" s="122">
        <f>IFERROR(__xludf.DUMMYFUNCTION("""COMPUTED_VALUE"""),178.06)</f>
        <v>178.06</v>
      </c>
      <c r="F984" s="122">
        <f>IFERROR(__xludf.DUMMYFUNCTION("""COMPUTED_VALUE"""),1.0E-4)</f>
        <v>0.0001</v>
      </c>
    </row>
    <row r="985">
      <c r="A985" s="131">
        <f>IFERROR(__xludf.DUMMYFUNCTION("""COMPUTED_VALUE"""),46187.34174768518)</f>
        <v>46187.34175</v>
      </c>
      <c r="B985" s="126">
        <f>IFERROR(__xludf.DUMMYFUNCTION("""COMPUTED_VALUE"""),46187.0)</f>
        <v>46187</v>
      </c>
      <c r="C985" s="122" t="str">
        <f>IFERROR(__xludf.DUMMYFUNCTION("""COMPUTED_VALUE"""),"GLAM")</f>
        <v>GLAM</v>
      </c>
      <c r="D985" s="122" t="str">
        <f>IFERROR(__xludf.DUMMYFUNCTION("""COMPUTED_VALUE"""),"Glow Cosmetics")</f>
        <v>Glow Cosmetics</v>
      </c>
      <c r="E985" s="122">
        <f>IFERROR(__xludf.DUMMYFUNCTION("""COMPUTED_VALUE"""),94.73)</f>
        <v>94.73</v>
      </c>
      <c r="F985" s="122">
        <f>IFERROR(__xludf.DUMMYFUNCTION("""COMPUTED_VALUE"""),0.0023)</f>
        <v>0.0023</v>
      </c>
    </row>
    <row r="986">
      <c r="A986" s="131">
        <f>IFERROR(__xludf.DUMMYFUNCTION("""COMPUTED_VALUE"""),46187.34174768518)</f>
        <v>46187.34175</v>
      </c>
      <c r="B986" s="126">
        <f>IFERROR(__xludf.DUMMYFUNCTION("""COMPUTED_VALUE"""),46187.0)</f>
        <v>46187</v>
      </c>
      <c r="C986" s="122" t="str">
        <f>IFERROR(__xludf.DUMMYFUNCTION("""COMPUTED_VALUE"""),"BAGG")</f>
        <v>BAGG</v>
      </c>
      <c r="D986" s="122" t="str">
        <f>IFERROR(__xludf.DUMMYFUNCTION("""COMPUTED_VALUE"""),"BagVault")</f>
        <v>BagVault</v>
      </c>
      <c r="E986" s="122">
        <f>IFERROR(__xludf.DUMMYFUNCTION("""COMPUTED_VALUE"""),243.15)</f>
        <v>243.15</v>
      </c>
      <c r="F986" s="122">
        <f>IFERROR(__xludf.DUMMYFUNCTION("""COMPUTED_VALUE"""),-7.0E-4)</f>
        <v>-0.0007</v>
      </c>
    </row>
    <row r="987">
      <c r="A987" s="131">
        <f>IFERROR(__xludf.DUMMYFUNCTION("""COMPUTED_VALUE"""),46187.34174768518)</f>
        <v>46187.34175</v>
      </c>
      <c r="B987" s="126">
        <f>IFERROR(__xludf.DUMMYFUNCTION("""COMPUTED_VALUE"""),46187.0)</f>
        <v>46187</v>
      </c>
      <c r="C987" s="122" t="str">
        <f>IFERROR(__xludf.DUMMYFUNCTION("""COMPUTED_VALUE"""),"FAST")</f>
        <v>FAST</v>
      </c>
      <c r="D987" s="122" t="str">
        <f>IFERROR(__xludf.DUMMYFUNCTION("""COMPUTED_VALUE"""),"Flash Logistics")</f>
        <v>Flash Logistics</v>
      </c>
      <c r="E987" s="122">
        <f>IFERROR(__xludf.DUMMYFUNCTION("""COMPUTED_VALUE"""),101.61)</f>
        <v>101.61</v>
      </c>
      <c r="F987" s="122">
        <f>IFERROR(__xludf.DUMMYFUNCTION("""COMPUTED_VALUE"""),-0.0036)</f>
        <v>-0.0036</v>
      </c>
    </row>
    <row r="988">
      <c r="A988" s="131">
        <f>IFERROR(__xludf.DUMMYFUNCTION("""COMPUTED_VALUE"""),46187.34174768518)</f>
        <v>46187.34175</v>
      </c>
      <c r="B988" s="126">
        <f>IFERROR(__xludf.DUMMYFUNCTION("""COMPUTED_VALUE"""),46187.0)</f>
        <v>46187</v>
      </c>
      <c r="C988" s="122" t="str">
        <f>IFERROR(__xludf.DUMMYFUNCTION("""COMPUTED_VALUE"""),"SHIP")</f>
        <v>SHIP</v>
      </c>
      <c r="D988" s="122" t="str">
        <f>IFERROR(__xludf.DUMMYFUNCTION("""COMPUTED_VALUE"""),"Seoul Shipping")</f>
        <v>Seoul Shipping</v>
      </c>
      <c r="E988" s="122">
        <f>IFERROR(__xludf.DUMMYFUNCTION("""COMPUTED_VALUE"""),116.62)</f>
        <v>116.62</v>
      </c>
      <c r="F988" s="122">
        <f>IFERROR(__xludf.DUMMYFUNCTION("""COMPUTED_VALUE"""),-9.0E-4)</f>
        <v>-0.0009</v>
      </c>
    </row>
    <row r="989">
      <c r="A989" s="131">
        <f>IFERROR(__xludf.DUMMYFUNCTION("""COMPUTED_VALUE"""),46187.34174768518)</f>
        <v>46187.34175</v>
      </c>
      <c r="B989" s="126">
        <f>IFERROR(__xludf.DUMMYFUNCTION("""COMPUTED_VALUE"""),46187.0)</f>
        <v>46187</v>
      </c>
      <c r="C989" s="122" t="str">
        <f>IFERROR(__xludf.DUMMYFUNCTION("""COMPUTED_VALUE"""),"DRON")</f>
        <v>DRON</v>
      </c>
      <c r="D989" s="122" t="str">
        <f>IFERROR(__xludf.DUMMYFUNCTION("""COMPUTED_VALUE"""),"DroneDrop")</f>
        <v>DroneDrop</v>
      </c>
      <c r="E989" s="122">
        <f>IFERROR(__xludf.DUMMYFUNCTION("""COMPUTED_VALUE"""),131.25)</f>
        <v>131.25</v>
      </c>
      <c r="F989" s="122">
        <f>IFERROR(__xludf.DUMMYFUNCTION("""COMPUTED_VALUE"""),0.0044)</f>
        <v>0.0044</v>
      </c>
    </row>
    <row r="990">
      <c r="A990" s="131">
        <f>IFERROR(__xludf.DUMMYFUNCTION("""COMPUTED_VALUE"""),46187.34174768518)</f>
        <v>46187.34175</v>
      </c>
      <c r="B990" s="126">
        <f>IFERROR(__xludf.DUMMYFUNCTION("""COMPUTED_VALUE"""),46187.0)</f>
        <v>46187</v>
      </c>
      <c r="C990" s="122" t="str">
        <f>IFERROR(__xludf.DUMMYFUNCTION("""COMPUTED_VALUE"""),"RIDE")</f>
        <v>RIDE</v>
      </c>
      <c r="D990" s="122" t="str">
        <f>IFERROR(__xludf.DUMMYFUNCTION("""COMPUTED_VALUE"""),"QuickRide")</f>
        <v>QuickRide</v>
      </c>
      <c r="E990" s="122">
        <f>IFERROR(__xludf.DUMMYFUNCTION("""COMPUTED_VALUE"""),96.47)</f>
        <v>96.47</v>
      </c>
      <c r="F990" s="122">
        <f>IFERROR(__xludf.DUMMYFUNCTION("""COMPUTED_VALUE"""),0.0055)</f>
        <v>0.0055</v>
      </c>
    </row>
    <row r="991">
      <c r="A991" s="131">
        <f>IFERROR(__xludf.DUMMYFUNCTION("""COMPUTED_VALUE"""),46187.34174768518)</f>
        <v>46187.34175</v>
      </c>
      <c r="B991" s="126">
        <f>IFERROR(__xludf.DUMMYFUNCTION("""COMPUTED_VALUE"""),46187.0)</f>
        <v>46187</v>
      </c>
      <c r="C991" s="122" t="str">
        <f>IFERROR(__xludf.DUMMYFUNCTION("""COMPUTED_VALUE"""),"RAIL")</f>
        <v>RAIL</v>
      </c>
      <c r="D991" s="122" t="str">
        <f>IFERROR(__xludf.DUMMYFUNCTION("""COMPUTED_VALUE"""),"MetroRail Corp")</f>
        <v>MetroRail Corp</v>
      </c>
      <c r="E991" s="122">
        <f>IFERROR(__xludf.DUMMYFUNCTION("""COMPUTED_VALUE"""),136.62)</f>
        <v>136.62</v>
      </c>
      <c r="F991" s="122">
        <f>IFERROR(__xludf.DUMMYFUNCTION("""COMPUTED_VALUE"""),-0.0039)</f>
        <v>-0.0039</v>
      </c>
    </row>
    <row r="992">
      <c r="A992" s="131">
        <f>IFERROR(__xludf.DUMMYFUNCTION("""COMPUTED_VALUE"""),46187.34174768518)</f>
        <v>46187.34175</v>
      </c>
      <c r="B992" s="126">
        <f>IFERROR(__xludf.DUMMYFUNCTION("""COMPUTED_VALUE"""),46187.0)</f>
        <v>46187</v>
      </c>
      <c r="C992" s="122" t="str">
        <f>IFERROR(__xludf.DUMMYFUNCTION("""COMPUTED_VALUE"""),"MEDX")</f>
        <v>MEDX</v>
      </c>
      <c r="D992" s="122" t="str">
        <f>IFERROR(__xludf.DUMMYFUNCTION("""COMPUTED_VALUE"""),"MediCore")</f>
        <v>MediCore</v>
      </c>
      <c r="E992" s="122">
        <f>IFERROR(__xludf.DUMMYFUNCTION("""COMPUTED_VALUE"""),136.76)</f>
        <v>136.76</v>
      </c>
      <c r="F992" s="122">
        <f>IFERROR(__xludf.DUMMYFUNCTION("""COMPUTED_VALUE"""),-0.0029)</f>
        <v>-0.0029</v>
      </c>
    </row>
    <row r="993">
      <c r="A993" s="131">
        <f>IFERROR(__xludf.DUMMYFUNCTION("""COMPUTED_VALUE"""),46187.34174768518)</f>
        <v>46187.34175</v>
      </c>
      <c r="B993" s="126">
        <f>IFERROR(__xludf.DUMMYFUNCTION("""COMPUTED_VALUE"""),46187.0)</f>
        <v>46187</v>
      </c>
      <c r="C993" s="122" t="str">
        <f>IFERROR(__xludf.DUMMYFUNCTION("""COMPUTED_VALUE"""),"GYMX")</f>
        <v>GYMX</v>
      </c>
      <c r="D993" s="122" t="str">
        <f>IFERROR(__xludf.DUMMYFUNCTION("""COMPUTED_VALUE"""),"GymX Fitness")</f>
        <v>GymX Fitness</v>
      </c>
      <c r="E993" s="122">
        <f>IFERROR(__xludf.DUMMYFUNCTION("""COMPUTED_VALUE"""),87.37)</f>
        <v>87.37</v>
      </c>
      <c r="F993" s="122">
        <f>IFERROR(__xludf.DUMMYFUNCTION("""COMPUTED_VALUE"""),0.0036)</f>
        <v>0.0036</v>
      </c>
    </row>
    <row r="994">
      <c r="A994" s="131">
        <f>IFERROR(__xludf.DUMMYFUNCTION("""COMPUTED_VALUE"""),46187.34174768518)</f>
        <v>46187.34175</v>
      </c>
      <c r="B994" s="126">
        <f>IFERROR(__xludf.DUMMYFUNCTION("""COMPUTED_VALUE"""),46187.0)</f>
        <v>46187</v>
      </c>
      <c r="C994" s="122" t="str">
        <f>IFERROR(__xludf.DUMMYFUNCTION("""COMPUTED_VALUE"""),"VITA")</f>
        <v>VITA</v>
      </c>
      <c r="D994" s="122" t="str">
        <f>IFERROR(__xludf.DUMMYFUNCTION("""COMPUTED_VALUE"""),"VitaPlus")</f>
        <v>VitaPlus</v>
      </c>
      <c r="E994" s="122">
        <f>IFERROR(__xludf.DUMMYFUNCTION("""COMPUTED_VALUE"""),75.17)</f>
        <v>75.17</v>
      </c>
      <c r="F994" s="122">
        <f>IFERROR(__xludf.DUMMYFUNCTION("""COMPUTED_VALUE"""),0.0019)</f>
        <v>0.0019</v>
      </c>
    </row>
    <row r="995">
      <c r="A995" s="131">
        <f>IFERROR(__xludf.DUMMYFUNCTION("""COMPUTED_VALUE"""),46187.34174768518)</f>
        <v>46187.34175</v>
      </c>
      <c r="B995" s="126">
        <f>IFERROR(__xludf.DUMMYFUNCTION("""COMPUTED_VALUE"""),46187.0)</f>
        <v>46187</v>
      </c>
      <c r="C995" s="122" t="str">
        <f>IFERROR(__xludf.DUMMYFUNCTION("""COMPUTED_VALUE"""),"CARE")</f>
        <v>CARE</v>
      </c>
      <c r="D995" s="122" t="str">
        <f>IFERROR(__xludf.DUMMYFUNCTION("""COMPUTED_VALUE"""),"CareCloud")</f>
        <v>CareCloud</v>
      </c>
      <c r="E995" s="122">
        <f>IFERROR(__xludf.DUMMYFUNCTION("""COMPUTED_VALUE"""),176.73)</f>
        <v>176.73</v>
      </c>
      <c r="F995" s="122">
        <f>IFERROR(__xludf.DUMMYFUNCTION("""COMPUTED_VALUE"""),-0.0068)</f>
        <v>-0.0068</v>
      </c>
    </row>
    <row r="996">
      <c r="A996" s="131">
        <f>IFERROR(__xludf.DUMMYFUNCTION("""COMPUTED_VALUE"""),46187.34174768518)</f>
        <v>46187.34175</v>
      </c>
      <c r="B996" s="126">
        <f>IFERROR(__xludf.DUMMYFUNCTION("""COMPUTED_VALUE"""),46187.0)</f>
        <v>46187</v>
      </c>
      <c r="C996" s="122" t="str">
        <f>IFERROR(__xludf.DUMMYFUNCTION("""COMPUTED_VALUE"""),"DENT")</f>
        <v>DENT</v>
      </c>
      <c r="D996" s="122" t="str">
        <f>IFERROR(__xludf.DUMMYFUNCTION("""COMPUTED_VALUE"""),"SmileWorks")</f>
        <v>SmileWorks</v>
      </c>
      <c r="E996" s="122">
        <f>IFERROR(__xludf.DUMMYFUNCTION("""COMPUTED_VALUE"""),81.63)</f>
        <v>81.63</v>
      </c>
      <c r="F996" s="122">
        <f>IFERROR(__xludf.DUMMYFUNCTION("""COMPUTED_VALUE"""),0.0023)</f>
        <v>0.0023</v>
      </c>
    </row>
    <row r="997">
      <c r="A997" s="131">
        <f>IFERROR(__xludf.DUMMYFUNCTION("""COMPUTED_VALUE"""),46187.34174768518)</f>
        <v>46187.34175</v>
      </c>
      <c r="B997" s="126">
        <f>IFERROR(__xludf.DUMMYFUNCTION("""COMPUTED_VALUE"""),46187.0)</f>
        <v>46187</v>
      </c>
      <c r="C997" s="122" t="str">
        <f>IFERROR(__xludf.DUMMYFUNCTION("""COMPUTED_VALUE"""),"EDUX")</f>
        <v>EDUX</v>
      </c>
      <c r="D997" s="122" t="str">
        <f>IFERROR(__xludf.DUMMYFUNCTION("""COMPUTED_VALUE"""),"EduMax Learning")</f>
        <v>EduMax Learning</v>
      </c>
      <c r="E997" s="122">
        <f>IFERROR(__xludf.DUMMYFUNCTION("""COMPUTED_VALUE"""),129.67)</f>
        <v>129.67</v>
      </c>
      <c r="F997" s="122">
        <f>IFERROR(__xludf.DUMMYFUNCTION("""COMPUTED_VALUE"""),0.0061)</f>
        <v>0.0061</v>
      </c>
    </row>
    <row r="998">
      <c r="A998" s="131">
        <f>IFERROR(__xludf.DUMMYFUNCTION("""COMPUTED_VALUE"""),46187.34174768518)</f>
        <v>46187.34175</v>
      </c>
      <c r="B998" s="126">
        <f>IFERROR(__xludf.DUMMYFUNCTION("""COMPUTED_VALUE"""),46187.0)</f>
        <v>46187</v>
      </c>
      <c r="C998" s="122" t="str">
        <f>IFERROR(__xludf.DUMMYFUNCTION("""COMPUTED_VALUE"""),"BOOK")</f>
        <v>BOOK</v>
      </c>
      <c r="D998" s="122" t="str">
        <f>IFERROR(__xludf.DUMMYFUNCTION("""COMPUTED_VALUE"""),"BookBridge")</f>
        <v>BookBridge</v>
      </c>
      <c r="E998" s="122">
        <f>IFERROR(__xludf.DUMMYFUNCTION("""COMPUTED_VALUE"""),111.9)</f>
        <v>111.9</v>
      </c>
      <c r="F998" s="122">
        <f>IFERROR(__xludf.DUMMYFUNCTION("""COMPUTED_VALUE"""),-2.0E-4)</f>
        <v>-0.0002</v>
      </c>
    </row>
    <row r="999">
      <c r="A999" s="131">
        <f>IFERROR(__xludf.DUMMYFUNCTION("""COMPUTED_VALUE"""),46187.34174768518)</f>
        <v>46187.34175</v>
      </c>
      <c r="B999" s="126">
        <f>IFERROR(__xludf.DUMMYFUNCTION("""COMPUTED_VALUE"""),46187.0)</f>
        <v>46187</v>
      </c>
      <c r="C999" s="122" t="str">
        <f>IFERROR(__xludf.DUMMYFUNCTION("""COMPUTED_VALUE"""),"TUTR")</f>
        <v>TUTR</v>
      </c>
      <c r="D999" s="122" t="str">
        <f>IFERROR(__xludf.DUMMYFUNCTION("""COMPUTED_VALUE"""),"TutorTown")</f>
        <v>TutorTown</v>
      </c>
      <c r="E999" s="122">
        <f>IFERROR(__xludf.DUMMYFUNCTION("""COMPUTED_VALUE"""),89.86)</f>
        <v>89.86</v>
      </c>
      <c r="F999" s="122">
        <f>IFERROR(__xludf.DUMMYFUNCTION("""COMPUTED_VALUE"""),0.005)</f>
        <v>0.005</v>
      </c>
    </row>
    <row r="1000">
      <c r="A1000" s="131">
        <f>IFERROR(__xludf.DUMMYFUNCTION("""COMPUTED_VALUE"""),46187.34174768518)</f>
        <v>46187.34175</v>
      </c>
      <c r="B1000" s="126">
        <f>IFERROR(__xludf.DUMMYFUNCTION("""COMPUTED_VALUE"""),46187.0)</f>
        <v>46187</v>
      </c>
      <c r="C1000" s="122" t="str">
        <f>IFERROR(__xludf.DUMMYFUNCTION("""COMPUTED_VALUE"""),"LANG")</f>
        <v>LANG</v>
      </c>
      <c r="D1000" s="122" t="str">
        <f>IFERROR(__xludf.DUMMYFUNCTION("""COMPUTED_VALUE"""),"LinguaLab")</f>
        <v>LinguaLab</v>
      </c>
      <c r="E1000" s="122">
        <f>IFERROR(__xludf.DUMMYFUNCTION("""COMPUTED_VALUE"""),94.71)</f>
        <v>94.71</v>
      </c>
      <c r="F1000" s="122">
        <f>IFERROR(__xludf.DUMMYFUNCTION("""COMPUTED_VALUE"""),0.0017)</f>
        <v>0.0017</v>
      </c>
    </row>
    <row r="1001">
      <c r="A1001" s="131">
        <f>IFERROR(__xludf.DUMMYFUNCTION("""COMPUTED_VALUE"""),46187.34174768518)</f>
        <v>46187.34175</v>
      </c>
      <c r="B1001" s="126">
        <f>IFERROR(__xludf.DUMMYFUNCTION("""COMPUTED_VALUE"""),46187.0)</f>
        <v>46187</v>
      </c>
      <c r="C1001" s="122" t="str">
        <f>IFERROR(__xludf.DUMMYFUNCTION("""COMPUTED_VALUE"""),"TEST")</f>
        <v>TEST</v>
      </c>
      <c r="D1001" s="122" t="str">
        <f>IFERROR(__xludf.DUMMYFUNCTION("""COMPUTED_VALUE"""),"TestPrep Pro")</f>
        <v>TestPrep Pro</v>
      </c>
      <c r="E1001" s="122">
        <f>IFERROR(__xludf.DUMMYFUNCTION("""COMPUTED_VALUE"""),101.34)</f>
        <v>101.34</v>
      </c>
      <c r="F1001" s="122">
        <f>IFERROR(__xludf.DUMMYFUNCTION("""COMPUTED_VALUE"""),0.0073)</f>
        <v>0.0073</v>
      </c>
    </row>
    <row r="1002">
      <c r="A1002" s="131">
        <f>IFERROR(__xludf.DUMMYFUNCTION("""COMPUTED_VALUE"""),46187.34174768518)</f>
        <v>46187.34175</v>
      </c>
      <c r="B1002" s="126">
        <f>IFERROR(__xludf.DUMMYFUNCTION("""COMPUTED_VALUE"""),46187.0)</f>
        <v>46187</v>
      </c>
      <c r="C1002" s="122" t="str">
        <f>IFERROR(__xludf.DUMMYFUNCTION("""COMPUTED_VALUE"""),"MOVI")</f>
        <v>MOVI</v>
      </c>
      <c r="D1002" s="122" t="str">
        <f>IFERROR(__xludf.DUMMYFUNCTION("""COMPUTED_VALUE"""),"MovieBox")</f>
        <v>MovieBox</v>
      </c>
      <c r="E1002" s="122">
        <f>IFERROR(__xludf.DUMMYFUNCTION("""COMPUTED_VALUE"""),80.54)</f>
        <v>80.54</v>
      </c>
      <c r="F1002" s="122">
        <f>IFERROR(__xludf.DUMMYFUNCTION("""COMPUTED_VALUE"""),0.0059)</f>
        <v>0.0059</v>
      </c>
    </row>
    <row r="1003">
      <c r="A1003" s="131">
        <f>IFERROR(__xludf.DUMMYFUNCTION("""COMPUTED_VALUE"""),46187.34174768518)</f>
        <v>46187.34175</v>
      </c>
      <c r="B1003" s="126">
        <f>IFERROR(__xludf.DUMMYFUNCTION("""COMPUTED_VALUE"""),46187.0)</f>
        <v>46187</v>
      </c>
      <c r="C1003" s="122" t="str">
        <f>IFERROR(__xludf.DUMMYFUNCTION("""COMPUTED_VALUE"""),"MUSC")</f>
        <v>MUSC</v>
      </c>
      <c r="D1003" s="122" t="str">
        <f>IFERROR(__xludf.DUMMYFUNCTION("""COMPUTED_VALUE"""),"MusicWave")</f>
        <v>MusicWave</v>
      </c>
      <c r="E1003" s="122">
        <f>IFERROR(__xludf.DUMMYFUNCTION("""COMPUTED_VALUE"""),96.79)</f>
        <v>96.79</v>
      </c>
      <c r="F1003" s="122">
        <f>IFERROR(__xludf.DUMMYFUNCTION("""COMPUTED_VALUE"""),-0.0069)</f>
        <v>-0.0069</v>
      </c>
    </row>
    <row r="1004">
      <c r="A1004" s="131">
        <f>IFERROR(__xludf.DUMMYFUNCTION("""COMPUTED_VALUE"""),46187.34174768518)</f>
        <v>46187.34175</v>
      </c>
      <c r="B1004" s="126">
        <f>IFERROR(__xludf.DUMMYFUNCTION("""COMPUTED_VALUE"""),46187.0)</f>
        <v>46187</v>
      </c>
      <c r="C1004" s="122" t="str">
        <f>IFERROR(__xludf.DUMMYFUNCTION("""COMPUTED_VALUE"""),"IDOL")</f>
        <v>IDOL</v>
      </c>
      <c r="D1004" s="122" t="str">
        <f>IFERROR(__xludf.DUMMYFUNCTION("""COMPUTED_VALUE"""),"Idol Agency")</f>
        <v>Idol Agency</v>
      </c>
      <c r="E1004" s="122">
        <f>IFERROR(__xludf.DUMMYFUNCTION("""COMPUTED_VALUE"""),200.23)</f>
        <v>200.23</v>
      </c>
      <c r="F1004" s="122">
        <f>IFERROR(__xludf.DUMMYFUNCTION("""COMPUTED_VALUE"""),-0.0065)</f>
        <v>-0.0065</v>
      </c>
    </row>
    <row r="1005">
      <c r="A1005" s="131">
        <f>IFERROR(__xludf.DUMMYFUNCTION("""COMPUTED_VALUE"""),46187.34174768518)</f>
        <v>46187.34175</v>
      </c>
      <c r="B1005" s="126">
        <f>IFERROR(__xludf.DUMMYFUNCTION("""COMPUTED_VALUE"""),46187.0)</f>
        <v>46187</v>
      </c>
      <c r="C1005" s="122" t="str">
        <f>IFERROR(__xludf.DUMMYFUNCTION("""COMPUTED_VALUE"""),"MEME")</f>
        <v>MEME</v>
      </c>
      <c r="D1005" s="122" t="str">
        <f>IFERROR(__xludf.DUMMYFUNCTION("""COMPUTED_VALUE"""),"Meme Media")</f>
        <v>Meme Media</v>
      </c>
      <c r="E1005" s="122">
        <f>IFERROR(__xludf.DUMMYFUNCTION("""COMPUTED_VALUE"""),78.83)</f>
        <v>78.83</v>
      </c>
      <c r="F1005" s="122">
        <f>IFERROR(__xludf.DUMMYFUNCTION("""COMPUTED_VALUE"""),-0.0079)</f>
        <v>-0.0079</v>
      </c>
    </row>
    <row r="1006">
      <c r="A1006" s="131">
        <f>IFERROR(__xludf.DUMMYFUNCTION("""COMPUTED_VALUE"""),46187.34174768518)</f>
        <v>46187.34175</v>
      </c>
      <c r="B1006" s="126">
        <f>IFERROR(__xludf.DUMMYFUNCTION("""COMPUTED_VALUE"""),46187.0)</f>
        <v>46187</v>
      </c>
      <c r="C1006" s="122" t="str">
        <f>IFERROR(__xludf.DUMMYFUNCTION("""COMPUTED_VALUE"""),"STRM")</f>
        <v>STRM</v>
      </c>
      <c r="D1006" s="122" t="str">
        <f>IFERROR(__xludf.DUMMYFUNCTION("""COMPUTED_VALUE"""),"Streamly")</f>
        <v>Streamly</v>
      </c>
      <c r="E1006" s="122">
        <f>IFERROR(__xludf.DUMMYFUNCTION("""COMPUTED_VALUE"""),137.95)</f>
        <v>137.95</v>
      </c>
      <c r="F1006" s="122">
        <f>IFERROR(__xludf.DUMMYFUNCTION("""COMPUTED_VALUE"""),-0.0032)</f>
        <v>-0.0032</v>
      </c>
    </row>
    <row r="1007">
      <c r="A1007" s="131">
        <f>IFERROR(__xludf.DUMMYFUNCTION("""COMPUTED_VALUE"""),46187.34174768518)</f>
        <v>46187.34175</v>
      </c>
      <c r="B1007" s="126">
        <f>IFERROR(__xludf.DUMMYFUNCTION("""COMPUTED_VALUE"""),46187.0)</f>
        <v>46187</v>
      </c>
      <c r="C1007" s="122" t="str">
        <f>IFERROR(__xludf.DUMMYFUNCTION("""COMPUTED_VALUE"""),"FARM")</f>
        <v>FARM</v>
      </c>
      <c r="D1007" s="122" t="str">
        <f>IFERROR(__xludf.DUMMYFUNCTION("""COMPUTED_VALUE"""),"Future Farms")</f>
        <v>Future Farms</v>
      </c>
      <c r="E1007" s="122">
        <f>IFERROR(__xludf.DUMMYFUNCTION("""COMPUTED_VALUE"""),79.6)</f>
        <v>79.6</v>
      </c>
      <c r="F1007" s="122">
        <f>IFERROR(__xludf.DUMMYFUNCTION("""COMPUTED_VALUE"""),0.0029)</f>
        <v>0.0029</v>
      </c>
    </row>
    <row r="1008">
      <c r="A1008" s="131">
        <f>IFERROR(__xludf.DUMMYFUNCTION("""COMPUTED_VALUE"""),46187.34174768518)</f>
        <v>46187.34175</v>
      </c>
      <c r="B1008" s="126">
        <f>IFERROR(__xludf.DUMMYFUNCTION("""COMPUTED_VALUE"""),46187.0)</f>
        <v>46187</v>
      </c>
      <c r="C1008" s="122" t="str">
        <f>IFERROR(__xludf.DUMMYFUNCTION("""COMPUTED_VALUE"""),"MEAT")</f>
        <v>MEAT</v>
      </c>
      <c r="D1008" s="122" t="str">
        <f>IFERROR(__xludf.DUMMYFUNCTION("""COMPUTED_VALUE"""),"MeatWorks")</f>
        <v>MeatWorks</v>
      </c>
      <c r="E1008" s="122">
        <f>IFERROR(__xludf.DUMMYFUNCTION("""COMPUTED_VALUE"""),103.97)</f>
        <v>103.97</v>
      </c>
      <c r="F1008" s="122">
        <f>IFERROR(__xludf.DUMMYFUNCTION("""COMPUTED_VALUE"""),0.007)</f>
        <v>0.007</v>
      </c>
    </row>
    <row r="1009">
      <c r="A1009" s="131">
        <f>IFERROR(__xludf.DUMMYFUNCTION("""COMPUTED_VALUE"""),46187.34174768518)</f>
        <v>46187.34175</v>
      </c>
      <c r="B1009" s="126">
        <f>IFERROR(__xludf.DUMMYFUNCTION("""COMPUTED_VALUE"""),46187.0)</f>
        <v>46187</v>
      </c>
      <c r="C1009" s="122" t="str">
        <f>IFERROR(__xludf.DUMMYFUNCTION("""COMPUTED_VALUE"""),"VEGI")</f>
        <v>VEGI</v>
      </c>
      <c r="D1009" s="122" t="str">
        <f>IFERROR(__xludf.DUMMYFUNCTION("""COMPUTED_VALUE"""),"Green Basket")</f>
        <v>Green Basket</v>
      </c>
      <c r="E1009" s="122">
        <f>IFERROR(__xludf.DUMMYFUNCTION("""COMPUTED_VALUE"""),83.94)</f>
        <v>83.94</v>
      </c>
      <c r="F1009" s="122">
        <f>IFERROR(__xludf.DUMMYFUNCTION("""COMPUTED_VALUE"""),-6.0E-4)</f>
        <v>-0.0006</v>
      </c>
    </row>
    <row r="1010">
      <c r="A1010" s="131">
        <f>IFERROR(__xludf.DUMMYFUNCTION("""COMPUTED_VALUE"""),46187.34174768518)</f>
        <v>46187.34175</v>
      </c>
      <c r="B1010" s="126">
        <f>IFERROR(__xludf.DUMMYFUNCTION("""COMPUTED_VALUE"""),46187.0)</f>
        <v>46187</v>
      </c>
      <c r="C1010" s="122" t="str">
        <f>IFERROR(__xludf.DUMMYFUNCTION("""COMPUTED_VALUE"""),"CAFE")</f>
        <v>CAFE</v>
      </c>
      <c r="D1010" s="122" t="str">
        <f>IFERROR(__xludf.DUMMYFUNCTION("""COMPUTED_VALUE"""),"Cafe Cloud")</f>
        <v>Cafe Cloud</v>
      </c>
      <c r="E1010" s="122">
        <f>IFERROR(__xludf.DUMMYFUNCTION("""COMPUTED_VALUE"""),98.64)</f>
        <v>98.64</v>
      </c>
      <c r="F1010" s="122">
        <f>IFERROR(__xludf.DUMMYFUNCTION("""COMPUTED_VALUE"""),0.0064)</f>
        <v>0.0064</v>
      </c>
    </row>
    <row r="1011">
      <c r="A1011" s="131">
        <f>IFERROR(__xludf.DUMMYFUNCTION("""COMPUTED_VALUE"""),46187.34174768518)</f>
        <v>46187.34175</v>
      </c>
      <c r="B1011" s="126">
        <f>IFERROR(__xludf.DUMMYFUNCTION("""COMPUTED_VALUE"""),46187.0)</f>
        <v>46187</v>
      </c>
      <c r="C1011" s="122" t="str">
        <f>IFERROR(__xludf.DUMMYFUNCTION("""COMPUTED_VALUE"""),"BAKE")</f>
        <v>BAKE</v>
      </c>
      <c r="D1011" s="122" t="str">
        <f>IFERROR(__xludf.DUMMYFUNCTION("""COMPUTED_VALUE"""),"BakeHouse")</f>
        <v>BakeHouse</v>
      </c>
      <c r="E1011" s="122">
        <f>IFERROR(__xludf.DUMMYFUNCTION("""COMPUTED_VALUE"""),100.28)</f>
        <v>100.28</v>
      </c>
      <c r="F1011" s="122">
        <f>IFERROR(__xludf.DUMMYFUNCTION("""COMPUTED_VALUE"""),0.0013)</f>
        <v>0.0013</v>
      </c>
    </row>
    <row r="1012">
      <c r="A1012" s="131">
        <f>IFERROR(__xludf.DUMMYFUNCTION("""COMPUTED_VALUE"""),46187.34174768518)</f>
        <v>46187.34175</v>
      </c>
      <c r="B1012" s="126">
        <f>IFERROR(__xludf.DUMMYFUNCTION("""COMPUTED_VALUE"""),46187.0)</f>
        <v>46187</v>
      </c>
      <c r="C1012" s="122" t="str">
        <f>IFERROR(__xludf.DUMMYFUNCTION("""COMPUTED_VALUE"""),"OILX")</f>
        <v>OILX</v>
      </c>
      <c r="D1012" s="122" t="str">
        <f>IFERROR(__xludf.DUMMYFUNCTION("""COMPUTED_VALUE"""),"OilMax Energy")</f>
        <v>OilMax Energy</v>
      </c>
      <c r="E1012" s="122">
        <f>IFERROR(__xludf.DUMMYFUNCTION("""COMPUTED_VALUE"""),131.76)</f>
        <v>131.76</v>
      </c>
      <c r="F1012" s="122">
        <f>IFERROR(__xludf.DUMMYFUNCTION("""COMPUTED_VALUE"""),8.0E-4)</f>
        <v>0.0008</v>
      </c>
    </row>
    <row r="1013">
      <c r="A1013" s="131">
        <f>IFERROR(__xludf.DUMMYFUNCTION("""COMPUTED_VALUE"""),46187.34174768518)</f>
        <v>46187.34175</v>
      </c>
      <c r="B1013" s="126">
        <f>IFERROR(__xludf.DUMMYFUNCTION("""COMPUTED_VALUE"""),46187.0)</f>
        <v>46187</v>
      </c>
      <c r="C1013" s="122" t="str">
        <f>IFERROR(__xludf.DUMMYFUNCTION("""COMPUTED_VALUE"""),"SOLR")</f>
        <v>SOLR</v>
      </c>
      <c r="D1013" s="122" t="str">
        <f>IFERROR(__xludf.DUMMYFUNCTION("""COMPUTED_VALUE"""),"SolarSpark")</f>
        <v>SolarSpark</v>
      </c>
      <c r="E1013" s="122">
        <f>IFERROR(__xludf.DUMMYFUNCTION("""COMPUTED_VALUE"""),81.95)</f>
        <v>81.95</v>
      </c>
      <c r="F1013" s="122">
        <f>IFERROR(__xludf.DUMMYFUNCTION("""COMPUTED_VALUE"""),0.0085)</f>
        <v>0.0085</v>
      </c>
    </row>
    <row r="1014">
      <c r="A1014" s="131">
        <f>IFERROR(__xludf.DUMMYFUNCTION("""COMPUTED_VALUE"""),46187.34174768518)</f>
        <v>46187.34175</v>
      </c>
      <c r="B1014" s="126">
        <f>IFERROR(__xludf.DUMMYFUNCTION("""COMPUTED_VALUE"""),46187.0)</f>
        <v>46187</v>
      </c>
      <c r="C1014" s="122" t="str">
        <f>IFERROR(__xludf.DUMMYFUNCTION("""COMPUTED_VALUE"""),"BATT")</f>
        <v>BATT</v>
      </c>
      <c r="D1014" s="122" t="str">
        <f>IFERROR(__xludf.DUMMYFUNCTION("""COMPUTED_VALUE"""),"BatteryBox")</f>
        <v>BatteryBox</v>
      </c>
      <c r="E1014" s="122">
        <f>IFERROR(__xludf.DUMMYFUNCTION("""COMPUTED_VALUE"""),118.24)</f>
        <v>118.24</v>
      </c>
      <c r="F1014" s="122">
        <f>IFERROR(__xludf.DUMMYFUNCTION("""COMPUTED_VALUE"""),-0.0014)</f>
        <v>-0.0014</v>
      </c>
    </row>
    <row r="1015">
      <c r="A1015" s="131">
        <f>IFERROR(__xludf.DUMMYFUNCTION("""COMPUTED_VALUE"""),46187.34174768518)</f>
        <v>46187.34175</v>
      </c>
      <c r="B1015" s="126">
        <f>IFERROR(__xludf.DUMMYFUNCTION("""COMPUTED_VALUE"""),46187.0)</f>
        <v>46187</v>
      </c>
      <c r="C1015" s="122" t="str">
        <f>IFERROR(__xludf.DUMMYFUNCTION("""COMPUTED_VALUE"""),"WIND")</f>
        <v>WIND</v>
      </c>
      <c r="D1015" s="122" t="str">
        <f>IFERROR(__xludf.DUMMYFUNCTION("""COMPUTED_VALUE"""),"WindWorks")</f>
        <v>WindWorks</v>
      </c>
      <c r="E1015" s="122">
        <f>IFERROR(__xludf.DUMMYFUNCTION("""COMPUTED_VALUE"""),89.38)</f>
        <v>89.38</v>
      </c>
      <c r="F1015" s="122">
        <f>IFERROR(__xludf.DUMMYFUNCTION("""COMPUTED_VALUE"""),-0.0045)</f>
        <v>-0.0045</v>
      </c>
    </row>
    <row r="1016">
      <c r="A1016" s="131">
        <f>IFERROR(__xludf.DUMMYFUNCTION("""COMPUTED_VALUE"""),46187.34174768518)</f>
        <v>46187.34175</v>
      </c>
      <c r="B1016" s="126">
        <f>IFERROR(__xludf.DUMMYFUNCTION("""COMPUTED_VALUE"""),46187.0)</f>
        <v>46187</v>
      </c>
      <c r="C1016" s="122" t="str">
        <f>IFERROR(__xludf.DUMMYFUNCTION("""COMPUTED_VALUE"""),"GRID")</f>
        <v>GRID</v>
      </c>
      <c r="D1016" s="122" t="str">
        <f>IFERROR(__xludf.DUMMYFUNCTION("""COMPUTED_VALUE"""),"GridPower")</f>
        <v>GridPower</v>
      </c>
      <c r="E1016" s="122">
        <f>IFERROR(__xludf.DUMMYFUNCTION("""COMPUTED_VALUE"""),147.01)</f>
        <v>147.01</v>
      </c>
      <c r="F1016" s="122">
        <f>IFERROR(__xludf.DUMMYFUNCTION("""COMPUTED_VALUE"""),0.0012)</f>
        <v>0.0012</v>
      </c>
    </row>
    <row r="1017">
      <c r="A1017" s="131">
        <f>IFERROR(__xludf.DUMMYFUNCTION("""COMPUTED_VALUE"""),46187.34174768518)</f>
        <v>46187.34175</v>
      </c>
      <c r="B1017" s="126">
        <f>IFERROR(__xludf.DUMMYFUNCTION("""COMPUTED_VALUE"""),46187.0)</f>
        <v>46187</v>
      </c>
      <c r="C1017" s="122" t="str">
        <f>IFERROR(__xludf.DUMMYFUNCTION("""COMPUTED_VALUE"""),"HOME")</f>
        <v>HOME</v>
      </c>
      <c r="D1017" s="122" t="str">
        <f>IFERROR(__xludf.DUMMYFUNCTION("""COMPUTED_VALUE"""),"HomeHub")</f>
        <v>HomeHub</v>
      </c>
      <c r="E1017" s="122">
        <f>IFERROR(__xludf.DUMMYFUNCTION("""COMPUTED_VALUE"""),144.61)</f>
        <v>144.61</v>
      </c>
      <c r="F1017" s="122">
        <f>IFERROR(__xludf.DUMMYFUNCTION("""COMPUTED_VALUE"""),-0.0026)</f>
        <v>-0.0026</v>
      </c>
    </row>
    <row r="1018">
      <c r="A1018" s="131">
        <f>IFERROR(__xludf.DUMMYFUNCTION("""COMPUTED_VALUE"""),46187.34174768518)</f>
        <v>46187.34175</v>
      </c>
      <c r="B1018" s="126">
        <f>IFERROR(__xludf.DUMMYFUNCTION("""COMPUTED_VALUE"""),46187.0)</f>
        <v>46187</v>
      </c>
      <c r="C1018" s="122" t="str">
        <f>IFERROR(__xludf.DUMMYFUNCTION("""COMPUTED_VALUE"""),"RENT")</f>
        <v>RENT</v>
      </c>
      <c r="D1018" s="122" t="str">
        <f>IFERROR(__xludf.DUMMYFUNCTION("""COMPUTED_VALUE"""),"RentRight")</f>
        <v>RentRight</v>
      </c>
      <c r="E1018" s="122">
        <f>IFERROR(__xludf.DUMMYFUNCTION("""COMPUTED_VALUE"""),93.07)</f>
        <v>93.07</v>
      </c>
      <c r="F1018" s="122">
        <f>IFERROR(__xludf.DUMMYFUNCTION("""COMPUTED_VALUE"""),-0.0064)</f>
        <v>-0.0064</v>
      </c>
    </row>
    <row r="1019">
      <c r="A1019" s="131">
        <f>IFERROR(__xludf.DUMMYFUNCTION("""COMPUTED_VALUE"""),46187.34174768518)</f>
        <v>46187.34175</v>
      </c>
      <c r="B1019" s="126">
        <f>IFERROR(__xludf.DUMMYFUNCTION("""COMPUTED_VALUE"""),46187.0)</f>
        <v>46187</v>
      </c>
      <c r="C1019" s="122" t="str">
        <f>IFERROR(__xludf.DUMMYFUNCTION("""COMPUTED_VALUE"""),"MALL")</f>
        <v>MALL</v>
      </c>
      <c r="D1019" s="122" t="str">
        <f>IFERROR(__xludf.DUMMYFUNCTION("""COMPUTED_VALUE"""),"MegaMall")</f>
        <v>MegaMall</v>
      </c>
      <c r="E1019" s="122">
        <f>IFERROR(__xludf.DUMMYFUNCTION("""COMPUTED_VALUE"""),95.11)</f>
        <v>95.11</v>
      </c>
      <c r="F1019" s="122">
        <f>IFERROR(__xludf.DUMMYFUNCTION("""COMPUTED_VALUE"""),0.0038)</f>
        <v>0.0038</v>
      </c>
    </row>
    <row r="1020">
      <c r="A1020" s="131">
        <f>IFERROR(__xludf.DUMMYFUNCTION("""COMPUTED_VALUE"""),46187.34174768518)</f>
        <v>46187.34175</v>
      </c>
      <c r="B1020" s="126">
        <f>IFERROR(__xludf.DUMMYFUNCTION("""COMPUTED_VALUE"""),46187.0)</f>
        <v>46187</v>
      </c>
      <c r="C1020" s="122" t="str">
        <f>IFERROR(__xludf.DUMMYFUNCTION("""COMPUTED_VALUE"""),"HOTL")</f>
        <v>HOTL</v>
      </c>
      <c r="D1020" s="122" t="str">
        <f>IFERROR(__xludf.DUMMYFUNCTION("""COMPUTED_VALUE"""),"HotelHive")</f>
        <v>HotelHive</v>
      </c>
      <c r="E1020" s="122">
        <f>IFERROR(__xludf.DUMMYFUNCTION("""COMPUTED_VALUE"""),132.74)</f>
        <v>132.74</v>
      </c>
      <c r="F1020" s="122">
        <f>IFERROR(__xludf.DUMMYFUNCTION("""COMPUTED_VALUE"""),0.0059)</f>
        <v>0.0059</v>
      </c>
    </row>
    <row r="1021">
      <c r="A1021" s="131">
        <f>IFERROR(__xludf.DUMMYFUNCTION("""COMPUTED_VALUE"""),46187.34174768518)</f>
        <v>46187.34175</v>
      </c>
      <c r="B1021" s="126">
        <f>IFERROR(__xludf.DUMMYFUNCTION("""COMPUTED_VALUE"""),46187.0)</f>
        <v>46187</v>
      </c>
      <c r="C1021" s="122" t="str">
        <f>IFERROR(__xludf.DUMMYFUNCTION("""COMPUTED_VALUE"""),"LAND")</f>
        <v>LAND</v>
      </c>
      <c r="D1021" s="122" t="str">
        <f>IFERROR(__xludf.DUMMYFUNCTION("""COMPUTED_VALUE"""),"LandLink")</f>
        <v>LandLink</v>
      </c>
      <c r="E1021" s="122">
        <f>IFERROR(__xludf.DUMMYFUNCTION("""COMPUTED_VALUE"""),182.2)</f>
        <v>182.2</v>
      </c>
      <c r="F1021" s="122">
        <f>IFERROR(__xludf.DUMMYFUNCTION("""COMPUTED_VALUE"""),0.0051)</f>
        <v>0.0051</v>
      </c>
    </row>
    <row r="1022">
      <c r="A1022" s="131">
        <f>IFERROR(__xludf.DUMMYFUNCTION("""COMPUTED_VALUE"""),46187.34174768518)</f>
        <v>46187.34175</v>
      </c>
      <c r="B1022" s="126">
        <f>IFERROR(__xludf.DUMMYFUNCTION("""COMPUTED_VALUE"""),46187.0)</f>
        <v>46187</v>
      </c>
      <c r="C1022" s="122" t="str">
        <f>IFERROR(__xludf.DUMMYFUNCTION("""COMPUTED_VALUE"""),"CARS")</f>
        <v>CARS</v>
      </c>
      <c r="D1022" s="122" t="str">
        <f>IFERROR(__xludf.DUMMYFUNCTION("""COMPUTED_VALUE"""),"AutoArena")</f>
        <v>AutoArena</v>
      </c>
      <c r="E1022" s="122">
        <f>IFERROR(__xludf.DUMMYFUNCTION("""COMPUTED_VALUE"""),79.86)</f>
        <v>79.86</v>
      </c>
      <c r="F1022" s="122">
        <f>IFERROR(__xludf.DUMMYFUNCTION("""COMPUTED_VALUE"""),-0.0086)</f>
        <v>-0.0086</v>
      </c>
    </row>
    <row r="1023">
      <c r="A1023" s="131">
        <f>IFERROR(__xludf.DUMMYFUNCTION("""COMPUTED_VALUE"""),46187.34174768518)</f>
        <v>46187.34175</v>
      </c>
      <c r="B1023" s="126">
        <f>IFERROR(__xludf.DUMMYFUNCTION("""COMPUTED_VALUE"""),46187.0)</f>
        <v>46187</v>
      </c>
      <c r="C1023" s="122" t="str">
        <f>IFERROR(__xludf.DUMMYFUNCTION("""COMPUTED_VALUE"""),"EVGO")</f>
        <v>EVGO</v>
      </c>
      <c r="D1023" s="122" t="str">
        <f>IFERROR(__xludf.DUMMYFUNCTION("""COMPUTED_VALUE"""),"EVGo Motors")</f>
        <v>EVGo Motors</v>
      </c>
      <c r="E1023" s="122">
        <f>IFERROR(__xludf.DUMMYFUNCTION("""COMPUTED_VALUE"""),196.9)</f>
        <v>196.9</v>
      </c>
      <c r="F1023" s="122">
        <f>IFERROR(__xludf.DUMMYFUNCTION("""COMPUTED_VALUE"""),-0.0051)</f>
        <v>-0.0051</v>
      </c>
    </row>
    <row r="1024">
      <c r="A1024" s="131">
        <f>IFERROR(__xludf.DUMMYFUNCTION("""COMPUTED_VALUE"""),46187.34174768518)</f>
        <v>46187.34175</v>
      </c>
      <c r="B1024" s="126">
        <f>IFERROR(__xludf.DUMMYFUNCTION("""COMPUTED_VALUE"""),46187.0)</f>
        <v>46187</v>
      </c>
      <c r="C1024" s="122" t="str">
        <f>IFERROR(__xludf.DUMMYFUNCTION("""COMPUTED_VALUE"""),"TIRE")</f>
        <v>TIRE</v>
      </c>
      <c r="D1024" s="122" t="str">
        <f>IFERROR(__xludf.DUMMYFUNCTION("""COMPUTED_VALUE"""),"TireTown")</f>
        <v>TireTown</v>
      </c>
      <c r="E1024" s="122">
        <f>IFERROR(__xludf.DUMMYFUNCTION("""COMPUTED_VALUE"""),89.54)</f>
        <v>89.54</v>
      </c>
      <c r="F1024" s="122">
        <f>IFERROR(__xludf.DUMMYFUNCTION("""COMPUTED_VALUE"""),0.0025)</f>
        <v>0.0025</v>
      </c>
    </row>
    <row r="1025">
      <c r="A1025" s="131">
        <f>IFERROR(__xludf.DUMMYFUNCTION("""COMPUTED_VALUE"""),46187.34174768518)</f>
        <v>46187.34175</v>
      </c>
      <c r="B1025" s="126">
        <f>IFERROR(__xludf.DUMMYFUNCTION("""COMPUTED_VALUE"""),46187.0)</f>
        <v>46187</v>
      </c>
      <c r="C1025" s="122" t="str">
        <f>IFERROR(__xludf.DUMMYFUNCTION("""COMPUTED_VALUE"""),"BIKE")</f>
        <v>BIKE</v>
      </c>
      <c r="D1025" s="122" t="str">
        <f>IFERROR(__xludf.DUMMYFUNCTION("""COMPUTED_VALUE"""),"BikeBox")</f>
        <v>BikeBox</v>
      </c>
      <c r="E1025" s="122">
        <f>IFERROR(__xludf.DUMMYFUNCTION("""COMPUTED_VALUE"""),54.69)</f>
        <v>54.69</v>
      </c>
      <c r="F1025" s="122">
        <f>IFERROR(__xludf.DUMMYFUNCTION("""COMPUTED_VALUE"""),-0.0058)</f>
        <v>-0.0058</v>
      </c>
    </row>
    <row r="1026">
      <c r="A1026" s="131">
        <f>IFERROR(__xludf.DUMMYFUNCTION("""COMPUTED_VALUE"""),46187.34174768518)</f>
        <v>46187.34175</v>
      </c>
      <c r="B1026" s="126">
        <f>IFERROR(__xludf.DUMMYFUNCTION("""COMPUTED_VALUE"""),46187.0)</f>
        <v>46187</v>
      </c>
      <c r="C1026" s="122" t="str">
        <f>IFERROR(__xludf.DUMMYFUNCTION("""COMPUTED_VALUE"""),"WASH")</f>
        <v>WASH</v>
      </c>
      <c r="D1026" s="122" t="str">
        <f>IFERROR(__xludf.DUMMYFUNCTION("""COMPUTED_VALUE"""),"CarWash Co")</f>
        <v>CarWash Co</v>
      </c>
      <c r="E1026" s="122">
        <f>IFERROR(__xludf.DUMMYFUNCTION("""COMPUTED_VALUE"""),117.81)</f>
        <v>117.81</v>
      </c>
      <c r="F1026" s="122">
        <f>IFERROR(__xludf.DUMMYFUNCTION("""COMPUTED_VALUE"""),0.0026)</f>
        <v>0.0026</v>
      </c>
    </row>
    <row r="1027">
      <c r="A1027" s="131">
        <f>IFERROR(__xludf.DUMMYFUNCTION("""COMPUTED_VALUE"""),46187.34174768518)</f>
        <v>46187.34175</v>
      </c>
      <c r="B1027" s="126">
        <f>IFERROR(__xludf.DUMMYFUNCTION("""COMPUTED_VALUE"""),46187.0)</f>
        <v>46187</v>
      </c>
      <c r="C1027" s="122" t="str">
        <f>IFERROR(__xludf.DUMMYFUNCTION("""COMPUTED_VALUE"""),"GBND")</f>
        <v>GBND</v>
      </c>
      <c r="D1027" s="122" t="str">
        <f>IFERROR(__xludf.DUMMYFUNCTION("""COMPUTED_VALUE"""),"Classroom Government Bond")</f>
        <v>Classroom Government Bond</v>
      </c>
      <c r="E1027" s="122">
        <f>IFERROR(__xludf.DUMMYFUNCTION("""COMPUTED_VALUE"""),100.79)</f>
        <v>100.79</v>
      </c>
      <c r="F1027" s="122">
        <f>IFERROR(__xludf.DUMMYFUNCTION("""COMPUTED_VALUE"""),-3.0E-4)</f>
        <v>-0.0003</v>
      </c>
    </row>
    <row r="1028">
      <c r="A1028" s="131">
        <f>IFERROR(__xludf.DUMMYFUNCTION("""COMPUTED_VALUE"""),46187.34174768518)</f>
        <v>46187.34175</v>
      </c>
      <c r="B1028" s="126">
        <f>IFERROR(__xludf.DUMMYFUNCTION("""COMPUTED_VALUE"""),46187.0)</f>
        <v>46187</v>
      </c>
      <c r="C1028" s="122" t="str">
        <f>IFERROR(__xludf.DUMMYFUNCTION("""COMPUTED_VALUE"""),"SBND")</f>
        <v>SBND</v>
      </c>
      <c r="D1028" s="122" t="str">
        <f>IFERROR(__xludf.DUMMYFUNCTION("""COMPUTED_VALUE"""),"School Savings Bond")</f>
        <v>School Savings Bond</v>
      </c>
      <c r="E1028" s="122">
        <f>IFERROR(__xludf.DUMMYFUNCTION("""COMPUTED_VALUE"""),99.37)</f>
        <v>99.37</v>
      </c>
      <c r="F1028" s="122">
        <f>IFERROR(__xludf.DUMMYFUNCTION("""COMPUTED_VALUE"""),1.0E-4)</f>
        <v>0.0001</v>
      </c>
    </row>
    <row r="1029">
      <c r="A1029" s="131">
        <f>IFERROR(__xludf.DUMMYFUNCTION("""COMPUTED_VALUE"""),46187.34174768518)</f>
        <v>46187.34175</v>
      </c>
      <c r="B1029" s="126">
        <f>IFERROR(__xludf.DUMMYFUNCTION("""COMPUTED_VALUE"""),46187.0)</f>
        <v>46187</v>
      </c>
      <c r="C1029" s="122" t="str">
        <f>IFERROR(__xludf.DUMMYFUNCTION("""COMPUTED_VALUE"""),"CBND")</f>
        <v>CBND</v>
      </c>
      <c r="D1029" s="122" t="str">
        <f>IFERROR(__xludf.DUMMYFUNCTION("""COMPUTED_VALUE"""),"Corporate Classroom Bond")</f>
        <v>Corporate Classroom Bond</v>
      </c>
      <c r="E1029" s="122">
        <f>IFERROR(__xludf.DUMMYFUNCTION("""COMPUTED_VALUE"""),97.83)</f>
        <v>97.83</v>
      </c>
      <c r="F1029" s="122">
        <f>IFERROR(__xludf.DUMMYFUNCTION("""COMPUTED_VALUE"""),-3.0E-4)</f>
        <v>-0.0003</v>
      </c>
    </row>
    <row r="1030">
      <c r="A1030" s="131">
        <f>IFERROR(__xludf.DUMMYFUNCTION("""COMPUTED_VALUE"""),46187.34174768518)</f>
        <v>46187.34175</v>
      </c>
      <c r="B1030" s="126">
        <f>IFERROR(__xludf.DUMMYFUNCTION("""COMPUTED_VALUE"""),46187.0)</f>
        <v>46187</v>
      </c>
      <c r="C1030" s="122" t="str">
        <f>IFERROR(__xludf.DUMMYFUNCTION("""COMPUTED_VALUE"""),"TBIL")</f>
        <v>TBIL</v>
      </c>
      <c r="D1030" s="122" t="str">
        <f>IFERROR(__xludf.DUMMYFUNCTION("""COMPUTED_VALUE"""),"Treasury Bill")</f>
        <v>Treasury Bill</v>
      </c>
      <c r="E1030" s="122">
        <f>IFERROR(__xludf.DUMMYFUNCTION("""COMPUTED_VALUE"""),98.02)</f>
        <v>98.02</v>
      </c>
      <c r="F1030" s="122">
        <f>IFERROR(__xludf.DUMMYFUNCTION("""COMPUTED_VALUE"""),3.0E-4)</f>
        <v>0.0003</v>
      </c>
    </row>
    <row r="1031">
      <c r="A1031" s="131">
        <f>IFERROR(__xludf.DUMMYFUNCTION("""COMPUTED_VALUE"""),46187.34174768518)</f>
        <v>46187.34175</v>
      </c>
      <c r="B1031" s="126">
        <f>IFERROR(__xludf.DUMMYFUNCTION("""COMPUTED_VALUE"""),46187.0)</f>
        <v>46187</v>
      </c>
      <c r="C1031" s="122" t="str">
        <f>IFERROR(__xludf.DUMMYFUNCTION("""COMPUTED_VALUE"""),"IBND")</f>
        <v>IBND</v>
      </c>
      <c r="D1031" s="122" t="str">
        <f>IFERROR(__xludf.DUMMYFUNCTION("""COMPUTED_VALUE"""),"Inflation Protected Bond")</f>
        <v>Inflation Protected Bond</v>
      </c>
      <c r="E1031" s="122">
        <f>IFERROR(__xludf.DUMMYFUNCTION("""COMPUTED_VALUE"""),100.53)</f>
        <v>100.53</v>
      </c>
      <c r="F1031" s="122">
        <f>IFERROR(__xludf.DUMMYFUNCTION("""COMPUTED_VALUE"""),3.0E-4)</f>
        <v>0.0003</v>
      </c>
    </row>
    <row r="1032">
      <c r="A1032" s="131">
        <f>IFERROR(__xludf.DUMMYFUNCTION("""COMPUTED_VALUE"""),46187.34525462963)</f>
        <v>46187.34525</v>
      </c>
      <c r="B1032" s="126">
        <f>IFERROR(__xludf.DUMMYFUNCTION("""COMPUTED_VALUE"""),46187.0)</f>
        <v>46187</v>
      </c>
      <c r="C1032" s="122" t="str">
        <f>IFERROR(__xludf.DUMMYFUNCTION("""COMPUTED_VALUE"""),"SNAX")</f>
        <v>SNAX</v>
      </c>
      <c r="D1032" s="122" t="str">
        <f>IFERROR(__xludf.DUMMYFUNCTION("""COMPUTED_VALUE"""),"MICA Snacks")</f>
        <v>MICA Snacks</v>
      </c>
      <c r="E1032" s="122">
        <f>IFERROR(__xludf.DUMMYFUNCTION("""COMPUTED_VALUE"""),122.05)</f>
        <v>122.05</v>
      </c>
      <c r="F1032" s="122">
        <f>IFERROR(__xludf.DUMMYFUNCTION("""COMPUTED_VALUE"""),-0.0056)</f>
        <v>-0.0056</v>
      </c>
    </row>
    <row r="1033">
      <c r="A1033" s="131">
        <f>IFERROR(__xludf.DUMMYFUNCTION("""COMPUTED_VALUE"""),46187.34525462963)</f>
        <v>46187.34525</v>
      </c>
      <c r="B1033" s="126">
        <f>IFERROR(__xludf.DUMMYFUNCTION("""COMPUTED_VALUE"""),46187.0)</f>
        <v>46187</v>
      </c>
      <c r="C1033" s="122" t="str">
        <f>IFERROR(__xludf.DUMMYFUNCTION("""COMPUTED_VALUE"""),"RAMN")</f>
        <v>RAMN</v>
      </c>
      <c r="D1033" s="122" t="str">
        <f>IFERROR(__xludf.DUMMYFUNCTION("""COMPUTED_VALUE"""),"Ramen Republic")</f>
        <v>Ramen Republic</v>
      </c>
      <c r="E1033" s="122">
        <f>IFERROR(__xludf.DUMMYFUNCTION("""COMPUTED_VALUE"""),77.56)</f>
        <v>77.56</v>
      </c>
      <c r="F1033" s="122">
        <f>IFERROR(__xludf.DUMMYFUNCTION("""COMPUTED_VALUE"""),-0.0041)</f>
        <v>-0.0041</v>
      </c>
    </row>
    <row r="1034">
      <c r="A1034" s="131">
        <f>IFERROR(__xludf.DUMMYFUNCTION("""COMPUTED_VALUE"""),46187.34525462963)</f>
        <v>46187.34525</v>
      </c>
      <c r="B1034" s="126">
        <f>IFERROR(__xludf.DUMMYFUNCTION("""COMPUTED_VALUE"""),46187.0)</f>
        <v>46187</v>
      </c>
      <c r="C1034" s="122" t="str">
        <f>IFERROR(__xludf.DUMMYFUNCTION("""COMPUTED_VALUE"""),"COLA")</f>
        <v>COLA</v>
      </c>
      <c r="D1034" s="122" t="str">
        <f>IFERROR(__xludf.DUMMYFUNCTION("""COMPUTED_VALUE"""),"K-Pop Cola")</f>
        <v>K-Pop Cola</v>
      </c>
      <c r="E1034" s="122">
        <f>IFERROR(__xludf.DUMMYFUNCTION("""COMPUTED_VALUE"""),103.04)</f>
        <v>103.04</v>
      </c>
      <c r="F1034" s="122">
        <f>IFERROR(__xludf.DUMMYFUNCTION("""COMPUTED_VALUE"""),-0.0038)</f>
        <v>-0.0038</v>
      </c>
    </row>
    <row r="1035">
      <c r="A1035" s="131">
        <f>IFERROR(__xludf.DUMMYFUNCTION("""COMPUTED_VALUE"""),46187.34525462963)</f>
        <v>46187.34525</v>
      </c>
      <c r="B1035" s="126">
        <f>IFERROR(__xludf.DUMMYFUNCTION("""COMPUTED_VALUE"""),46187.0)</f>
        <v>46187</v>
      </c>
      <c r="C1035" s="122" t="str">
        <f>IFERROR(__xludf.DUMMYFUNCTION("""COMPUTED_VALUE"""),"CHIP")</f>
        <v>CHIP</v>
      </c>
      <c r="D1035" s="122" t="str">
        <f>IFERROR(__xludf.DUMMYFUNCTION("""COMPUTED_VALUE"""),"Chip Empire")</f>
        <v>Chip Empire</v>
      </c>
      <c r="E1035" s="122">
        <f>IFERROR(__xludf.DUMMYFUNCTION("""COMPUTED_VALUE"""),87.42)</f>
        <v>87.42</v>
      </c>
      <c r="F1035" s="122">
        <f>IFERROR(__xludf.DUMMYFUNCTION("""COMPUTED_VALUE"""),0.0044)</f>
        <v>0.0044</v>
      </c>
    </row>
    <row r="1036">
      <c r="A1036" s="131">
        <f>IFERROR(__xludf.DUMMYFUNCTION("""COMPUTED_VALUE"""),46187.34525462963)</f>
        <v>46187.34525</v>
      </c>
      <c r="B1036" s="126">
        <f>IFERROR(__xludf.DUMMYFUNCTION("""COMPUTED_VALUE"""),46187.0)</f>
        <v>46187</v>
      </c>
      <c r="C1036" s="122" t="str">
        <f>IFERROR(__xludf.DUMMYFUNCTION("""COMPUTED_VALUE"""),"CAND")</f>
        <v>CAND</v>
      </c>
      <c r="D1036" s="122" t="str">
        <f>IFERROR(__xludf.DUMMYFUNCTION("""COMPUTED_VALUE"""),"Candy Capital")</f>
        <v>Candy Capital</v>
      </c>
      <c r="E1036" s="122">
        <f>IFERROR(__xludf.DUMMYFUNCTION("""COMPUTED_VALUE"""),76.72)</f>
        <v>76.72</v>
      </c>
      <c r="F1036" s="122">
        <f>IFERROR(__xludf.DUMMYFUNCTION("""COMPUTED_VALUE"""),-0.0051)</f>
        <v>-0.0051</v>
      </c>
    </row>
    <row r="1037">
      <c r="A1037" s="131">
        <f>IFERROR(__xludf.DUMMYFUNCTION("""COMPUTED_VALUE"""),46187.34525462963)</f>
        <v>46187.34525</v>
      </c>
      <c r="B1037" s="126">
        <f>IFERROR(__xludf.DUMMYFUNCTION("""COMPUTED_VALUE"""),46187.0)</f>
        <v>46187</v>
      </c>
      <c r="C1037" s="122" t="str">
        <f>IFERROR(__xludf.DUMMYFUNCTION("""COMPUTED_VALUE"""),"TECH")</f>
        <v>TECH</v>
      </c>
      <c r="D1037" s="122" t="str">
        <f>IFERROR(__xludf.DUMMYFUNCTION("""COMPUTED_VALUE"""),"Dragon Tech")</f>
        <v>Dragon Tech</v>
      </c>
      <c r="E1037" s="122">
        <f>IFERROR(__xludf.DUMMYFUNCTION("""COMPUTED_VALUE"""),244.75)</f>
        <v>244.75</v>
      </c>
      <c r="F1037" s="122">
        <f>IFERROR(__xludf.DUMMYFUNCTION("""COMPUTED_VALUE"""),-0.0098)</f>
        <v>-0.0098</v>
      </c>
    </row>
    <row r="1038">
      <c r="A1038" s="131">
        <f>IFERROR(__xludf.DUMMYFUNCTION("""COMPUTED_VALUE"""),46187.34525462963)</f>
        <v>46187.34525</v>
      </c>
      <c r="B1038" s="126">
        <f>IFERROR(__xludf.DUMMYFUNCTION("""COMPUTED_VALUE"""),46187.0)</f>
        <v>46187</v>
      </c>
      <c r="C1038" s="122" t="str">
        <f>IFERROR(__xludf.DUMMYFUNCTION("""COMPUTED_VALUE"""),"AIBO")</f>
        <v>AIBO</v>
      </c>
      <c r="D1038" s="122" t="str">
        <f>IFERROR(__xludf.DUMMYFUNCTION("""COMPUTED_VALUE"""),"Homework AI")</f>
        <v>Homework AI</v>
      </c>
      <c r="E1038" s="122">
        <f>IFERROR(__xludf.DUMMYFUNCTION("""COMPUTED_VALUE"""),162.26)</f>
        <v>162.26</v>
      </c>
      <c r="F1038" s="122">
        <f>IFERROR(__xludf.DUMMYFUNCTION("""COMPUTED_VALUE"""),-0.0083)</f>
        <v>-0.0083</v>
      </c>
    </row>
    <row r="1039">
      <c r="A1039" s="131">
        <f>IFERROR(__xludf.DUMMYFUNCTION("""COMPUTED_VALUE"""),46187.34525462963)</f>
        <v>46187.34525</v>
      </c>
      <c r="B1039" s="126">
        <f>IFERROR(__xludf.DUMMYFUNCTION("""COMPUTED_VALUE"""),46187.0)</f>
        <v>46187</v>
      </c>
      <c r="C1039" s="122" t="str">
        <f>IFERROR(__xludf.DUMMYFUNCTION("""COMPUTED_VALUE"""),"GAME")</f>
        <v>GAME</v>
      </c>
      <c r="D1039" s="122" t="str">
        <f>IFERROR(__xludf.DUMMYFUNCTION("""COMPUTED_VALUE"""),"GameBox Media")</f>
        <v>GameBox Media</v>
      </c>
      <c r="E1039" s="122">
        <f>IFERROR(__xludf.DUMMYFUNCTION("""COMPUTED_VALUE"""),89.25)</f>
        <v>89.25</v>
      </c>
      <c r="F1039" s="122">
        <f>IFERROR(__xludf.DUMMYFUNCTION("""COMPUTED_VALUE"""),-0.0084)</f>
        <v>-0.0084</v>
      </c>
    </row>
    <row r="1040">
      <c r="A1040" s="131">
        <f>IFERROR(__xludf.DUMMYFUNCTION("""COMPUTED_VALUE"""),46187.34525462963)</f>
        <v>46187.34525</v>
      </c>
      <c r="B1040" s="126">
        <f>IFERROR(__xludf.DUMMYFUNCTION("""COMPUTED_VALUE"""),46187.0)</f>
        <v>46187</v>
      </c>
      <c r="C1040" s="122" t="str">
        <f>IFERROR(__xludf.DUMMYFUNCTION("""COMPUTED_VALUE"""),"VRSE")</f>
        <v>VRSE</v>
      </c>
      <c r="D1040" s="122" t="str">
        <f>IFERROR(__xludf.DUMMYFUNCTION("""COMPUTED_VALUE"""),"VerseVR")</f>
        <v>VerseVR</v>
      </c>
      <c r="E1040" s="122">
        <f>IFERROR(__xludf.DUMMYFUNCTION("""COMPUTED_VALUE"""),152.76)</f>
        <v>152.76</v>
      </c>
      <c r="F1040" s="122">
        <f>IFERROR(__xludf.DUMMYFUNCTION("""COMPUTED_VALUE"""),-0.0064)</f>
        <v>-0.0064</v>
      </c>
    </row>
    <row r="1041">
      <c r="A1041" s="131">
        <f>IFERROR(__xludf.DUMMYFUNCTION("""COMPUTED_VALUE"""),46187.34525462963)</f>
        <v>46187.34525</v>
      </c>
      <c r="B1041" s="126">
        <f>IFERROR(__xludf.DUMMYFUNCTION("""COMPUTED_VALUE"""),46187.0)</f>
        <v>46187</v>
      </c>
      <c r="C1041" s="122" t="str">
        <f>IFERROR(__xludf.DUMMYFUNCTION("""COMPUTED_VALUE"""),"BYTE")</f>
        <v>BYTE</v>
      </c>
      <c r="D1041" s="122" t="str">
        <f>IFERROR(__xludf.DUMMYFUNCTION("""COMPUTED_VALUE"""),"ByteWorks")</f>
        <v>ByteWorks</v>
      </c>
      <c r="E1041" s="122">
        <f>IFERROR(__xludf.DUMMYFUNCTION("""COMPUTED_VALUE"""),111.74)</f>
        <v>111.74</v>
      </c>
      <c r="F1041" s="122">
        <f>IFERROR(__xludf.DUMMYFUNCTION("""COMPUTED_VALUE"""),0.0072)</f>
        <v>0.0072</v>
      </c>
    </row>
    <row r="1042">
      <c r="A1042" s="131">
        <f>IFERROR(__xludf.DUMMYFUNCTION("""COMPUTED_VALUE"""),46187.34525462963)</f>
        <v>46187.34525</v>
      </c>
      <c r="B1042" s="126">
        <f>IFERROR(__xludf.DUMMYFUNCTION("""COMPUTED_VALUE"""),46187.0)</f>
        <v>46187</v>
      </c>
      <c r="C1042" s="122" t="str">
        <f>IFERROR(__xludf.DUMMYFUNCTION("""COMPUTED_VALUE"""),"BANK")</f>
        <v>BANK</v>
      </c>
      <c r="D1042" s="122" t="str">
        <f>IFERROR(__xludf.DUMMYFUNCTION("""COMPUTED_VALUE"""),"Tiger Bank")</f>
        <v>Tiger Bank</v>
      </c>
      <c r="E1042" s="122">
        <f>IFERROR(__xludf.DUMMYFUNCTION("""COMPUTED_VALUE"""),123.23)</f>
        <v>123.23</v>
      </c>
      <c r="F1042" s="122">
        <f>IFERROR(__xludf.DUMMYFUNCTION("""COMPUTED_VALUE"""),8.0E-4)</f>
        <v>0.0008</v>
      </c>
    </row>
    <row r="1043">
      <c r="A1043" s="131">
        <f>IFERROR(__xludf.DUMMYFUNCTION("""COMPUTED_VALUE"""),46187.34525462963)</f>
        <v>46187.34525</v>
      </c>
      <c r="B1043" s="126">
        <f>IFERROR(__xludf.DUMMYFUNCTION("""COMPUTED_VALUE"""),46187.0)</f>
        <v>46187</v>
      </c>
      <c r="C1043" s="122" t="str">
        <f>IFERROR(__xludf.DUMMYFUNCTION("""COMPUTED_VALUE"""),"CRED")</f>
        <v>CRED</v>
      </c>
      <c r="D1043" s="122" t="str">
        <f>IFERROR(__xludf.DUMMYFUNCTION("""COMPUTED_VALUE"""),"Credit Castle")</f>
        <v>Credit Castle</v>
      </c>
      <c r="E1043" s="122">
        <f>IFERROR(__xludf.DUMMYFUNCTION("""COMPUTED_VALUE"""),68.46)</f>
        <v>68.46</v>
      </c>
      <c r="F1043" s="122">
        <f>IFERROR(__xludf.DUMMYFUNCTION("""COMPUTED_VALUE"""),-0.0012)</f>
        <v>-0.0012</v>
      </c>
    </row>
    <row r="1044">
      <c r="A1044" s="131">
        <f>IFERROR(__xludf.DUMMYFUNCTION("""COMPUTED_VALUE"""),46187.34525462963)</f>
        <v>46187.34525</v>
      </c>
      <c r="B1044" s="126">
        <f>IFERROR(__xludf.DUMMYFUNCTION("""COMPUTED_VALUE"""),46187.0)</f>
        <v>46187</v>
      </c>
      <c r="C1044" s="122" t="str">
        <f>IFERROR(__xludf.DUMMYFUNCTION("""COMPUTED_VALUE"""),"BOND")</f>
        <v>BOND</v>
      </c>
      <c r="D1044" s="122" t="str">
        <f>IFERROR(__xludf.DUMMYFUNCTION("""COMPUTED_VALUE"""),"BondBridge")</f>
        <v>BondBridge</v>
      </c>
      <c r="E1044" s="122">
        <f>IFERROR(__xludf.DUMMYFUNCTION("""COMPUTED_VALUE"""),95.04)</f>
        <v>95.04</v>
      </c>
      <c r="F1044" s="122">
        <f>IFERROR(__xludf.DUMMYFUNCTION("""COMPUTED_VALUE"""),0.0028)</f>
        <v>0.0028</v>
      </c>
    </row>
    <row r="1045">
      <c r="A1045" s="131">
        <f>IFERROR(__xludf.DUMMYFUNCTION("""COMPUTED_VALUE"""),46187.34525462963)</f>
        <v>46187.34525</v>
      </c>
      <c r="B1045" s="126">
        <f>IFERROR(__xludf.DUMMYFUNCTION("""COMPUTED_VALUE"""),46187.0)</f>
        <v>46187</v>
      </c>
      <c r="C1045" s="122" t="str">
        <f>IFERROR(__xludf.DUMMYFUNCTION("""COMPUTED_VALUE"""),"INSR")</f>
        <v>INSR</v>
      </c>
      <c r="D1045" s="122" t="str">
        <f>IFERROR(__xludf.DUMMYFUNCTION("""COMPUTED_VALUE"""),"Shield Insurance")</f>
        <v>Shield Insurance</v>
      </c>
      <c r="E1045" s="122">
        <f>IFERROR(__xludf.DUMMYFUNCTION("""COMPUTED_VALUE"""),155.64)</f>
        <v>155.64</v>
      </c>
      <c r="F1045" s="122">
        <f>IFERROR(__xludf.DUMMYFUNCTION("""COMPUTED_VALUE"""),0.003)</f>
        <v>0.003</v>
      </c>
    </row>
    <row r="1046">
      <c r="A1046" s="131">
        <f>IFERROR(__xludf.DUMMYFUNCTION("""COMPUTED_VALUE"""),46187.34525462963)</f>
        <v>46187.34525</v>
      </c>
      <c r="B1046" s="126">
        <f>IFERROR(__xludf.DUMMYFUNCTION("""COMPUTED_VALUE"""),46187.0)</f>
        <v>46187</v>
      </c>
      <c r="C1046" s="122" t="str">
        <f>IFERROR(__xludf.DUMMYFUNCTION("""COMPUTED_VALUE"""),"LOAN")</f>
        <v>LOAN</v>
      </c>
      <c r="D1046" s="122" t="str">
        <f>IFERROR(__xludf.DUMMYFUNCTION("""COMPUTED_VALUE"""),"LoanLab")</f>
        <v>LoanLab</v>
      </c>
      <c r="E1046" s="122">
        <f>IFERROR(__xludf.DUMMYFUNCTION("""COMPUTED_VALUE"""),60.22)</f>
        <v>60.22</v>
      </c>
      <c r="F1046" s="122">
        <f>IFERROR(__xludf.DUMMYFUNCTION("""COMPUTED_VALUE"""),0.0072)</f>
        <v>0.0072</v>
      </c>
    </row>
    <row r="1047">
      <c r="A1047" s="131">
        <f>IFERROR(__xludf.DUMMYFUNCTION("""COMPUTED_VALUE"""),46187.34525462963)</f>
        <v>46187.34525</v>
      </c>
      <c r="B1047" s="126">
        <f>IFERROR(__xludf.DUMMYFUNCTION("""COMPUTED_VALUE"""),46187.0)</f>
        <v>46187</v>
      </c>
      <c r="C1047" s="122" t="str">
        <f>IFERROR(__xludf.DUMMYFUNCTION("""COMPUTED_VALUE"""),"LUXE")</f>
        <v>LUXE</v>
      </c>
      <c r="D1047" s="122" t="str">
        <f>IFERROR(__xludf.DUMMYFUNCTION("""COMPUTED_VALUE"""),"Luxury Locker")</f>
        <v>Luxury Locker</v>
      </c>
      <c r="E1047" s="122">
        <f>IFERROR(__xludf.DUMMYFUNCTION("""COMPUTED_VALUE"""),262.18)</f>
        <v>262.18</v>
      </c>
      <c r="F1047" s="122">
        <f>IFERROR(__xludf.DUMMYFUNCTION("""COMPUTED_VALUE"""),-0.004)</f>
        <v>-0.004</v>
      </c>
    </row>
    <row r="1048">
      <c r="A1048" s="131">
        <f>IFERROR(__xludf.DUMMYFUNCTION("""COMPUTED_VALUE"""),46187.34525462963)</f>
        <v>46187.34525</v>
      </c>
      <c r="B1048" s="126">
        <f>IFERROR(__xludf.DUMMYFUNCTION("""COMPUTED_VALUE"""),46187.0)</f>
        <v>46187</v>
      </c>
      <c r="C1048" s="122" t="str">
        <f>IFERROR(__xludf.DUMMYFUNCTION("""COMPUTED_VALUE"""),"DRIP")</f>
        <v>DRIP</v>
      </c>
      <c r="D1048" s="122" t="str">
        <f>IFERROR(__xludf.DUMMYFUNCTION("""COMPUTED_VALUE"""),"Drip Streetwear")</f>
        <v>Drip Streetwear</v>
      </c>
      <c r="E1048" s="122">
        <f>IFERROR(__xludf.DUMMYFUNCTION("""COMPUTED_VALUE"""),197.9)</f>
        <v>197.9</v>
      </c>
      <c r="F1048" s="122">
        <f>IFERROR(__xludf.DUMMYFUNCTION("""COMPUTED_VALUE"""),0.0032)</f>
        <v>0.0032</v>
      </c>
    </row>
    <row r="1049">
      <c r="A1049" s="131">
        <f>IFERROR(__xludf.DUMMYFUNCTION("""COMPUTED_VALUE"""),46187.34525462963)</f>
        <v>46187.34525</v>
      </c>
      <c r="B1049" s="126">
        <f>IFERROR(__xludf.DUMMYFUNCTION("""COMPUTED_VALUE"""),46187.0)</f>
        <v>46187</v>
      </c>
      <c r="C1049" s="122" t="str">
        <f>IFERROR(__xludf.DUMMYFUNCTION("""COMPUTED_VALUE"""),"KICK")</f>
        <v>KICK</v>
      </c>
      <c r="D1049" s="122" t="str">
        <f>IFERROR(__xludf.DUMMYFUNCTION("""COMPUTED_VALUE"""),"KickDrop Sneakers")</f>
        <v>KickDrop Sneakers</v>
      </c>
      <c r="E1049" s="122">
        <f>IFERROR(__xludf.DUMMYFUNCTION("""COMPUTED_VALUE"""),177.72)</f>
        <v>177.72</v>
      </c>
      <c r="F1049" s="122">
        <f>IFERROR(__xludf.DUMMYFUNCTION("""COMPUTED_VALUE"""),-0.0019)</f>
        <v>-0.0019</v>
      </c>
    </row>
    <row r="1050">
      <c r="A1050" s="131">
        <f>IFERROR(__xludf.DUMMYFUNCTION("""COMPUTED_VALUE"""),46187.34525462963)</f>
        <v>46187.34525</v>
      </c>
      <c r="B1050" s="126">
        <f>IFERROR(__xludf.DUMMYFUNCTION("""COMPUTED_VALUE"""),46187.0)</f>
        <v>46187</v>
      </c>
      <c r="C1050" s="122" t="str">
        <f>IFERROR(__xludf.DUMMYFUNCTION("""COMPUTED_VALUE"""),"GLAM")</f>
        <v>GLAM</v>
      </c>
      <c r="D1050" s="122" t="str">
        <f>IFERROR(__xludf.DUMMYFUNCTION("""COMPUTED_VALUE"""),"Glow Cosmetics")</f>
        <v>Glow Cosmetics</v>
      </c>
      <c r="E1050" s="122">
        <f>IFERROR(__xludf.DUMMYFUNCTION("""COMPUTED_VALUE"""),94.46)</f>
        <v>94.46</v>
      </c>
      <c r="F1050" s="122">
        <f>IFERROR(__xludf.DUMMYFUNCTION("""COMPUTED_VALUE"""),-0.0029)</f>
        <v>-0.0029</v>
      </c>
    </row>
    <row r="1051">
      <c r="A1051" s="131">
        <f>IFERROR(__xludf.DUMMYFUNCTION("""COMPUTED_VALUE"""),46187.34525462963)</f>
        <v>46187.34525</v>
      </c>
      <c r="B1051" s="126">
        <f>IFERROR(__xludf.DUMMYFUNCTION("""COMPUTED_VALUE"""),46187.0)</f>
        <v>46187</v>
      </c>
      <c r="C1051" s="122" t="str">
        <f>IFERROR(__xludf.DUMMYFUNCTION("""COMPUTED_VALUE"""),"BAGG")</f>
        <v>BAGG</v>
      </c>
      <c r="D1051" s="122" t="str">
        <f>IFERROR(__xludf.DUMMYFUNCTION("""COMPUTED_VALUE"""),"BagVault")</f>
        <v>BagVault</v>
      </c>
      <c r="E1051" s="122">
        <f>IFERROR(__xludf.DUMMYFUNCTION("""COMPUTED_VALUE"""),241.99)</f>
        <v>241.99</v>
      </c>
      <c r="F1051" s="122">
        <f>IFERROR(__xludf.DUMMYFUNCTION("""COMPUTED_VALUE"""),-0.0048)</f>
        <v>-0.0048</v>
      </c>
    </row>
    <row r="1052">
      <c r="A1052" s="131">
        <f>IFERROR(__xludf.DUMMYFUNCTION("""COMPUTED_VALUE"""),46187.34525462963)</f>
        <v>46187.34525</v>
      </c>
      <c r="B1052" s="126">
        <f>IFERROR(__xludf.DUMMYFUNCTION("""COMPUTED_VALUE"""),46187.0)</f>
        <v>46187</v>
      </c>
      <c r="C1052" s="122" t="str">
        <f>IFERROR(__xludf.DUMMYFUNCTION("""COMPUTED_VALUE"""),"FAST")</f>
        <v>FAST</v>
      </c>
      <c r="D1052" s="122" t="str">
        <f>IFERROR(__xludf.DUMMYFUNCTION("""COMPUTED_VALUE"""),"Flash Logistics")</f>
        <v>Flash Logistics</v>
      </c>
      <c r="E1052" s="122">
        <f>IFERROR(__xludf.DUMMYFUNCTION("""COMPUTED_VALUE"""),102.09)</f>
        <v>102.09</v>
      </c>
      <c r="F1052" s="122">
        <f>IFERROR(__xludf.DUMMYFUNCTION("""COMPUTED_VALUE"""),0.0047)</f>
        <v>0.0047</v>
      </c>
    </row>
    <row r="1053">
      <c r="A1053" s="131">
        <f>IFERROR(__xludf.DUMMYFUNCTION("""COMPUTED_VALUE"""),46187.34525462963)</f>
        <v>46187.34525</v>
      </c>
      <c r="B1053" s="126">
        <f>IFERROR(__xludf.DUMMYFUNCTION("""COMPUTED_VALUE"""),46187.0)</f>
        <v>46187</v>
      </c>
      <c r="C1053" s="122" t="str">
        <f>IFERROR(__xludf.DUMMYFUNCTION("""COMPUTED_VALUE"""),"SHIP")</f>
        <v>SHIP</v>
      </c>
      <c r="D1053" s="122" t="str">
        <f>IFERROR(__xludf.DUMMYFUNCTION("""COMPUTED_VALUE"""),"Seoul Shipping")</f>
        <v>Seoul Shipping</v>
      </c>
      <c r="E1053" s="122">
        <f>IFERROR(__xludf.DUMMYFUNCTION("""COMPUTED_VALUE"""),116.19)</f>
        <v>116.19</v>
      </c>
      <c r="F1053" s="122">
        <f>IFERROR(__xludf.DUMMYFUNCTION("""COMPUTED_VALUE"""),-0.0037)</f>
        <v>-0.0037</v>
      </c>
    </row>
    <row r="1054">
      <c r="A1054" s="131">
        <f>IFERROR(__xludf.DUMMYFUNCTION("""COMPUTED_VALUE"""),46187.34525462963)</f>
        <v>46187.34525</v>
      </c>
      <c r="B1054" s="126">
        <f>IFERROR(__xludf.DUMMYFUNCTION("""COMPUTED_VALUE"""),46187.0)</f>
        <v>46187</v>
      </c>
      <c r="C1054" s="122" t="str">
        <f>IFERROR(__xludf.DUMMYFUNCTION("""COMPUTED_VALUE"""),"DRON")</f>
        <v>DRON</v>
      </c>
      <c r="D1054" s="122" t="str">
        <f>IFERROR(__xludf.DUMMYFUNCTION("""COMPUTED_VALUE"""),"DroneDrop")</f>
        <v>DroneDrop</v>
      </c>
      <c r="E1054" s="122">
        <f>IFERROR(__xludf.DUMMYFUNCTION("""COMPUTED_VALUE"""),131.46)</f>
        <v>131.46</v>
      </c>
      <c r="F1054" s="122">
        <f>IFERROR(__xludf.DUMMYFUNCTION("""COMPUTED_VALUE"""),0.0016)</f>
        <v>0.0016</v>
      </c>
    </row>
    <row r="1055">
      <c r="A1055" s="131">
        <f>IFERROR(__xludf.DUMMYFUNCTION("""COMPUTED_VALUE"""),46187.34525462963)</f>
        <v>46187.34525</v>
      </c>
      <c r="B1055" s="126">
        <f>IFERROR(__xludf.DUMMYFUNCTION("""COMPUTED_VALUE"""),46187.0)</f>
        <v>46187</v>
      </c>
      <c r="C1055" s="122" t="str">
        <f>IFERROR(__xludf.DUMMYFUNCTION("""COMPUTED_VALUE"""),"RIDE")</f>
        <v>RIDE</v>
      </c>
      <c r="D1055" s="122" t="str">
        <f>IFERROR(__xludf.DUMMYFUNCTION("""COMPUTED_VALUE"""),"QuickRide")</f>
        <v>QuickRide</v>
      </c>
      <c r="E1055" s="122">
        <f>IFERROR(__xludf.DUMMYFUNCTION("""COMPUTED_VALUE"""),96.97)</f>
        <v>96.97</v>
      </c>
      <c r="F1055" s="122">
        <f>IFERROR(__xludf.DUMMYFUNCTION("""COMPUTED_VALUE"""),0.0052)</f>
        <v>0.0052</v>
      </c>
    </row>
    <row r="1056">
      <c r="A1056" s="131">
        <f>IFERROR(__xludf.DUMMYFUNCTION("""COMPUTED_VALUE"""),46187.34525462963)</f>
        <v>46187.34525</v>
      </c>
      <c r="B1056" s="126">
        <f>IFERROR(__xludf.DUMMYFUNCTION("""COMPUTED_VALUE"""),46187.0)</f>
        <v>46187</v>
      </c>
      <c r="C1056" s="122" t="str">
        <f>IFERROR(__xludf.DUMMYFUNCTION("""COMPUTED_VALUE"""),"RAIL")</f>
        <v>RAIL</v>
      </c>
      <c r="D1056" s="122" t="str">
        <f>IFERROR(__xludf.DUMMYFUNCTION("""COMPUTED_VALUE"""),"MetroRail Corp")</f>
        <v>MetroRail Corp</v>
      </c>
      <c r="E1056" s="122">
        <f>IFERROR(__xludf.DUMMYFUNCTION("""COMPUTED_VALUE"""),136.51)</f>
        <v>136.51</v>
      </c>
      <c r="F1056" s="122">
        <f>IFERROR(__xludf.DUMMYFUNCTION("""COMPUTED_VALUE"""),-8.0E-4)</f>
        <v>-0.0008</v>
      </c>
    </row>
    <row r="1057">
      <c r="A1057" s="131">
        <f>IFERROR(__xludf.DUMMYFUNCTION("""COMPUTED_VALUE"""),46187.34525462963)</f>
        <v>46187.34525</v>
      </c>
      <c r="B1057" s="126">
        <f>IFERROR(__xludf.DUMMYFUNCTION("""COMPUTED_VALUE"""),46187.0)</f>
        <v>46187</v>
      </c>
      <c r="C1057" s="122" t="str">
        <f>IFERROR(__xludf.DUMMYFUNCTION("""COMPUTED_VALUE"""),"MEDX")</f>
        <v>MEDX</v>
      </c>
      <c r="D1057" s="122" t="str">
        <f>IFERROR(__xludf.DUMMYFUNCTION("""COMPUTED_VALUE"""),"MediCore")</f>
        <v>MediCore</v>
      </c>
      <c r="E1057" s="122">
        <f>IFERROR(__xludf.DUMMYFUNCTION("""COMPUTED_VALUE"""),137.15)</f>
        <v>137.15</v>
      </c>
      <c r="F1057" s="122">
        <f>IFERROR(__xludf.DUMMYFUNCTION("""COMPUTED_VALUE"""),0.0029)</f>
        <v>0.0029</v>
      </c>
    </row>
    <row r="1058">
      <c r="A1058" s="131">
        <f>IFERROR(__xludf.DUMMYFUNCTION("""COMPUTED_VALUE"""),46187.34525462963)</f>
        <v>46187.34525</v>
      </c>
      <c r="B1058" s="126">
        <f>IFERROR(__xludf.DUMMYFUNCTION("""COMPUTED_VALUE"""),46187.0)</f>
        <v>46187</v>
      </c>
      <c r="C1058" s="122" t="str">
        <f>IFERROR(__xludf.DUMMYFUNCTION("""COMPUTED_VALUE"""),"GYMX")</f>
        <v>GYMX</v>
      </c>
      <c r="D1058" s="122" t="str">
        <f>IFERROR(__xludf.DUMMYFUNCTION("""COMPUTED_VALUE"""),"GymX Fitness")</f>
        <v>GymX Fitness</v>
      </c>
      <c r="E1058" s="122">
        <f>IFERROR(__xludf.DUMMYFUNCTION("""COMPUTED_VALUE"""),87.5)</f>
        <v>87.5</v>
      </c>
      <c r="F1058" s="122">
        <f>IFERROR(__xludf.DUMMYFUNCTION("""COMPUTED_VALUE"""),0.0015)</f>
        <v>0.0015</v>
      </c>
    </row>
    <row r="1059">
      <c r="A1059" s="131">
        <f>IFERROR(__xludf.DUMMYFUNCTION("""COMPUTED_VALUE"""),46187.34525462963)</f>
        <v>46187.34525</v>
      </c>
      <c r="B1059" s="126">
        <f>IFERROR(__xludf.DUMMYFUNCTION("""COMPUTED_VALUE"""),46187.0)</f>
        <v>46187</v>
      </c>
      <c r="C1059" s="122" t="str">
        <f>IFERROR(__xludf.DUMMYFUNCTION("""COMPUTED_VALUE"""),"VITA")</f>
        <v>VITA</v>
      </c>
      <c r="D1059" s="122" t="str">
        <f>IFERROR(__xludf.DUMMYFUNCTION("""COMPUTED_VALUE"""),"VitaPlus")</f>
        <v>VitaPlus</v>
      </c>
      <c r="E1059" s="122">
        <f>IFERROR(__xludf.DUMMYFUNCTION("""COMPUTED_VALUE"""),74.89)</f>
        <v>74.89</v>
      </c>
      <c r="F1059" s="122">
        <f>IFERROR(__xludf.DUMMYFUNCTION("""COMPUTED_VALUE"""),-0.0037)</f>
        <v>-0.0037</v>
      </c>
    </row>
    <row r="1060">
      <c r="A1060" s="131">
        <f>IFERROR(__xludf.DUMMYFUNCTION("""COMPUTED_VALUE"""),46187.34525462963)</f>
        <v>46187.34525</v>
      </c>
      <c r="B1060" s="126">
        <f>IFERROR(__xludf.DUMMYFUNCTION("""COMPUTED_VALUE"""),46187.0)</f>
        <v>46187</v>
      </c>
      <c r="C1060" s="122" t="str">
        <f>IFERROR(__xludf.DUMMYFUNCTION("""COMPUTED_VALUE"""),"CARE")</f>
        <v>CARE</v>
      </c>
      <c r="D1060" s="122" t="str">
        <f>IFERROR(__xludf.DUMMYFUNCTION("""COMPUTED_VALUE"""),"CareCloud")</f>
        <v>CareCloud</v>
      </c>
      <c r="E1060" s="122">
        <f>IFERROR(__xludf.DUMMYFUNCTION("""COMPUTED_VALUE"""),177.81)</f>
        <v>177.81</v>
      </c>
      <c r="F1060" s="122">
        <f>IFERROR(__xludf.DUMMYFUNCTION("""COMPUTED_VALUE"""),0.0061)</f>
        <v>0.0061</v>
      </c>
    </row>
    <row r="1061">
      <c r="A1061" s="131">
        <f>IFERROR(__xludf.DUMMYFUNCTION("""COMPUTED_VALUE"""),46187.34525462963)</f>
        <v>46187.34525</v>
      </c>
      <c r="B1061" s="126">
        <f>IFERROR(__xludf.DUMMYFUNCTION("""COMPUTED_VALUE"""),46187.0)</f>
        <v>46187</v>
      </c>
      <c r="C1061" s="122" t="str">
        <f>IFERROR(__xludf.DUMMYFUNCTION("""COMPUTED_VALUE"""),"DENT")</f>
        <v>DENT</v>
      </c>
      <c r="D1061" s="122" t="str">
        <f>IFERROR(__xludf.DUMMYFUNCTION("""COMPUTED_VALUE"""),"SmileWorks")</f>
        <v>SmileWorks</v>
      </c>
      <c r="E1061" s="122">
        <f>IFERROR(__xludf.DUMMYFUNCTION("""COMPUTED_VALUE"""),81.95)</f>
        <v>81.95</v>
      </c>
      <c r="F1061" s="122">
        <f>IFERROR(__xludf.DUMMYFUNCTION("""COMPUTED_VALUE"""),0.0039)</f>
        <v>0.0039</v>
      </c>
    </row>
    <row r="1062">
      <c r="A1062" s="131">
        <f>IFERROR(__xludf.DUMMYFUNCTION("""COMPUTED_VALUE"""),46187.34525462963)</f>
        <v>46187.34525</v>
      </c>
      <c r="B1062" s="126">
        <f>IFERROR(__xludf.DUMMYFUNCTION("""COMPUTED_VALUE"""),46187.0)</f>
        <v>46187</v>
      </c>
      <c r="C1062" s="122" t="str">
        <f>IFERROR(__xludf.DUMMYFUNCTION("""COMPUTED_VALUE"""),"EDUX")</f>
        <v>EDUX</v>
      </c>
      <c r="D1062" s="122" t="str">
        <f>IFERROR(__xludf.DUMMYFUNCTION("""COMPUTED_VALUE"""),"EduMax Learning")</f>
        <v>EduMax Learning</v>
      </c>
      <c r="E1062" s="122">
        <f>IFERROR(__xludf.DUMMYFUNCTION("""COMPUTED_VALUE"""),130.01)</f>
        <v>130.01</v>
      </c>
      <c r="F1062" s="122">
        <f>IFERROR(__xludf.DUMMYFUNCTION("""COMPUTED_VALUE"""),0.0026)</f>
        <v>0.0026</v>
      </c>
    </row>
    <row r="1063">
      <c r="A1063" s="131">
        <f>IFERROR(__xludf.DUMMYFUNCTION("""COMPUTED_VALUE"""),46187.34525462963)</f>
        <v>46187.34525</v>
      </c>
      <c r="B1063" s="126">
        <f>IFERROR(__xludf.DUMMYFUNCTION("""COMPUTED_VALUE"""),46187.0)</f>
        <v>46187</v>
      </c>
      <c r="C1063" s="122" t="str">
        <f>IFERROR(__xludf.DUMMYFUNCTION("""COMPUTED_VALUE"""),"BOOK")</f>
        <v>BOOK</v>
      </c>
      <c r="D1063" s="122" t="str">
        <f>IFERROR(__xludf.DUMMYFUNCTION("""COMPUTED_VALUE"""),"BookBridge")</f>
        <v>BookBridge</v>
      </c>
      <c r="E1063" s="122">
        <f>IFERROR(__xludf.DUMMYFUNCTION("""COMPUTED_VALUE"""),112.27)</f>
        <v>112.27</v>
      </c>
      <c r="F1063" s="122">
        <f>IFERROR(__xludf.DUMMYFUNCTION("""COMPUTED_VALUE"""),0.0033)</f>
        <v>0.0033</v>
      </c>
    </row>
    <row r="1064">
      <c r="A1064" s="131">
        <f>IFERROR(__xludf.DUMMYFUNCTION("""COMPUTED_VALUE"""),46187.34525462963)</f>
        <v>46187.34525</v>
      </c>
      <c r="B1064" s="126">
        <f>IFERROR(__xludf.DUMMYFUNCTION("""COMPUTED_VALUE"""),46187.0)</f>
        <v>46187</v>
      </c>
      <c r="C1064" s="122" t="str">
        <f>IFERROR(__xludf.DUMMYFUNCTION("""COMPUTED_VALUE"""),"TUTR")</f>
        <v>TUTR</v>
      </c>
      <c r="D1064" s="122" t="str">
        <f>IFERROR(__xludf.DUMMYFUNCTION("""COMPUTED_VALUE"""),"TutorTown")</f>
        <v>TutorTown</v>
      </c>
      <c r="E1064" s="122">
        <f>IFERROR(__xludf.DUMMYFUNCTION("""COMPUTED_VALUE"""),89.79)</f>
        <v>89.79</v>
      </c>
      <c r="F1064" s="122">
        <f>IFERROR(__xludf.DUMMYFUNCTION("""COMPUTED_VALUE"""),-8.0E-4)</f>
        <v>-0.0008</v>
      </c>
    </row>
    <row r="1065">
      <c r="A1065" s="131">
        <f>IFERROR(__xludf.DUMMYFUNCTION("""COMPUTED_VALUE"""),46187.34525462963)</f>
        <v>46187.34525</v>
      </c>
      <c r="B1065" s="126">
        <f>IFERROR(__xludf.DUMMYFUNCTION("""COMPUTED_VALUE"""),46187.0)</f>
        <v>46187</v>
      </c>
      <c r="C1065" s="122" t="str">
        <f>IFERROR(__xludf.DUMMYFUNCTION("""COMPUTED_VALUE"""),"LANG")</f>
        <v>LANG</v>
      </c>
      <c r="D1065" s="122" t="str">
        <f>IFERROR(__xludf.DUMMYFUNCTION("""COMPUTED_VALUE"""),"LinguaLab")</f>
        <v>LinguaLab</v>
      </c>
      <c r="E1065" s="122">
        <f>IFERROR(__xludf.DUMMYFUNCTION("""COMPUTED_VALUE"""),95.05)</f>
        <v>95.05</v>
      </c>
      <c r="F1065" s="122">
        <f>IFERROR(__xludf.DUMMYFUNCTION("""COMPUTED_VALUE"""),0.0036)</f>
        <v>0.0036</v>
      </c>
    </row>
    <row r="1066">
      <c r="A1066" s="131">
        <f>IFERROR(__xludf.DUMMYFUNCTION("""COMPUTED_VALUE"""),46187.34525462963)</f>
        <v>46187.34525</v>
      </c>
      <c r="B1066" s="126">
        <f>IFERROR(__xludf.DUMMYFUNCTION("""COMPUTED_VALUE"""),46187.0)</f>
        <v>46187</v>
      </c>
      <c r="C1066" s="122" t="str">
        <f>IFERROR(__xludf.DUMMYFUNCTION("""COMPUTED_VALUE"""),"TEST")</f>
        <v>TEST</v>
      </c>
      <c r="D1066" s="122" t="str">
        <f>IFERROR(__xludf.DUMMYFUNCTION("""COMPUTED_VALUE"""),"TestPrep Pro")</f>
        <v>TestPrep Pro</v>
      </c>
      <c r="E1066" s="122">
        <f>IFERROR(__xludf.DUMMYFUNCTION("""COMPUTED_VALUE"""),101.81)</f>
        <v>101.81</v>
      </c>
      <c r="F1066" s="122">
        <f>IFERROR(__xludf.DUMMYFUNCTION("""COMPUTED_VALUE"""),0.0046)</f>
        <v>0.0046</v>
      </c>
    </row>
    <row r="1067">
      <c r="A1067" s="131">
        <f>IFERROR(__xludf.DUMMYFUNCTION("""COMPUTED_VALUE"""),46187.34525462963)</f>
        <v>46187.34525</v>
      </c>
      <c r="B1067" s="126">
        <f>IFERROR(__xludf.DUMMYFUNCTION("""COMPUTED_VALUE"""),46187.0)</f>
        <v>46187</v>
      </c>
      <c r="C1067" s="122" t="str">
        <f>IFERROR(__xludf.DUMMYFUNCTION("""COMPUTED_VALUE"""),"MOVI")</f>
        <v>MOVI</v>
      </c>
      <c r="D1067" s="122" t="str">
        <f>IFERROR(__xludf.DUMMYFUNCTION("""COMPUTED_VALUE"""),"MovieBox")</f>
        <v>MovieBox</v>
      </c>
      <c r="E1067" s="122">
        <f>IFERROR(__xludf.DUMMYFUNCTION("""COMPUTED_VALUE"""),80.28)</f>
        <v>80.28</v>
      </c>
      <c r="F1067" s="122">
        <f>IFERROR(__xludf.DUMMYFUNCTION("""COMPUTED_VALUE"""),-0.0032)</f>
        <v>-0.0032</v>
      </c>
    </row>
    <row r="1068">
      <c r="A1068" s="131">
        <f>IFERROR(__xludf.DUMMYFUNCTION("""COMPUTED_VALUE"""),46187.34525462963)</f>
        <v>46187.34525</v>
      </c>
      <c r="B1068" s="126">
        <f>IFERROR(__xludf.DUMMYFUNCTION("""COMPUTED_VALUE"""),46187.0)</f>
        <v>46187</v>
      </c>
      <c r="C1068" s="122" t="str">
        <f>IFERROR(__xludf.DUMMYFUNCTION("""COMPUTED_VALUE"""),"MUSC")</f>
        <v>MUSC</v>
      </c>
      <c r="D1068" s="122" t="str">
        <f>IFERROR(__xludf.DUMMYFUNCTION("""COMPUTED_VALUE"""),"MusicWave")</f>
        <v>MusicWave</v>
      </c>
      <c r="E1068" s="122">
        <f>IFERROR(__xludf.DUMMYFUNCTION("""COMPUTED_VALUE"""),96.4)</f>
        <v>96.4</v>
      </c>
      <c r="F1068" s="122">
        <f>IFERROR(__xludf.DUMMYFUNCTION("""COMPUTED_VALUE"""),-0.004)</f>
        <v>-0.004</v>
      </c>
    </row>
    <row r="1069">
      <c r="A1069" s="131">
        <f>IFERROR(__xludf.DUMMYFUNCTION("""COMPUTED_VALUE"""),46187.34525462963)</f>
        <v>46187.34525</v>
      </c>
      <c r="B1069" s="126">
        <f>IFERROR(__xludf.DUMMYFUNCTION("""COMPUTED_VALUE"""),46187.0)</f>
        <v>46187</v>
      </c>
      <c r="C1069" s="122" t="str">
        <f>IFERROR(__xludf.DUMMYFUNCTION("""COMPUTED_VALUE"""),"IDOL")</f>
        <v>IDOL</v>
      </c>
      <c r="D1069" s="122" t="str">
        <f>IFERROR(__xludf.DUMMYFUNCTION("""COMPUTED_VALUE"""),"Idol Agency")</f>
        <v>Idol Agency</v>
      </c>
      <c r="E1069" s="122">
        <f>IFERROR(__xludf.DUMMYFUNCTION("""COMPUTED_VALUE"""),199.82)</f>
        <v>199.82</v>
      </c>
      <c r="F1069" s="122">
        <f>IFERROR(__xludf.DUMMYFUNCTION("""COMPUTED_VALUE"""),-0.002)</f>
        <v>-0.002</v>
      </c>
    </row>
    <row r="1070">
      <c r="A1070" s="131">
        <f>IFERROR(__xludf.DUMMYFUNCTION("""COMPUTED_VALUE"""),46187.34525462963)</f>
        <v>46187.34525</v>
      </c>
      <c r="B1070" s="126">
        <f>IFERROR(__xludf.DUMMYFUNCTION("""COMPUTED_VALUE"""),46187.0)</f>
        <v>46187</v>
      </c>
      <c r="C1070" s="122" t="str">
        <f>IFERROR(__xludf.DUMMYFUNCTION("""COMPUTED_VALUE"""),"MEME")</f>
        <v>MEME</v>
      </c>
      <c r="D1070" s="122" t="str">
        <f>IFERROR(__xludf.DUMMYFUNCTION("""COMPUTED_VALUE"""),"Meme Media")</f>
        <v>Meme Media</v>
      </c>
      <c r="E1070" s="122">
        <f>IFERROR(__xludf.DUMMYFUNCTION("""COMPUTED_VALUE"""),78.17)</f>
        <v>78.17</v>
      </c>
      <c r="F1070" s="122">
        <f>IFERROR(__xludf.DUMMYFUNCTION("""COMPUTED_VALUE"""),-0.0084)</f>
        <v>-0.0084</v>
      </c>
    </row>
    <row r="1071">
      <c r="A1071" s="131">
        <f>IFERROR(__xludf.DUMMYFUNCTION("""COMPUTED_VALUE"""),46187.34525462963)</f>
        <v>46187.34525</v>
      </c>
      <c r="B1071" s="126">
        <f>IFERROR(__xludf.DUMMYFUNCTION("""COMPUTED_VALUE"""),46187.0)</f>
        <v>46187</v>
      </c>
      <c r="C1071" s="122" t="str">
        <f>IFERROR(__xludf.DUMMYFUNCTION("""COMPUTED_VALUE"""),"STRM")</f>
        <v>STRM</v>
      </c>
      <c r="D1071" s="122" t="str">
        <f>IFERROR(__xludf.DUMMYFUNCTION("""COMPUTED_VALUE"""),"Streamly")</f>
        <v>Streamly</v>
      </c>
      <c r="E1071" s="122">
        <f>IFERROR(__xludf.DUMMYFUNCTION("""COMPUTED_VALUE"""),138.21)</f>
        <v>138.21</v>
      </c>
      <c r="F1071" s="122">
        <f>IFERROR(__xludf.DUMMYFUNCTION("""COMPUTED_VALUE"""),0.0019)</f>
        <v>0.0019</v>
      </c>
    </row>
    <row r="1072">
      <c r="A1072" s="131">
        <f>IFERROR(__xludf.DUMMYFUNCTION("""COMPUTED_VALUE"""),46187.34525462963)</f>
        <v>46187.34525</v>
      </c>
      <c r="B1072" s="126">
        <f>IFERROR(__xludf.DUMMYFUNCTION("""COMPUTED_VALUE"""),46187.0)</f>
        <v>46187</v>
      </c>
      <c r="C1072" s="122" t="str">
        <f>IFERROR(__xludf.DUMMYFUNCTION("""COMPUTED_VALUE"""),"FARM")</f>
        <v>FARM</v>
      </c>
      <c r="D1072" s="122" t="str">
        <f>IFERROR(__xludf.DUMMYFUNCTION("""COMPUTED_VALUE"""),"Future Farms")</f>
        <v>Future Farms</v>
      </c>
      <c r="E1072" s="122">
        <f>IFERROR(__xludf.DUMMYFUNCTION("""COMPUTED_VALUE"""),79.6)</f>
        <v>79.6</v>
      </c>
      <c r="F1072" s="122">
        <f>IFERROR(__xludf.DUMMYFUNCTION("""COMPUTED_VALUE"""),0.0)</f>
        <v>0</v>
      </c>
    </row>
    <row r="1073">
      <c r="A1073" s="131">
        <f>IFERROR(__xludf.DUMMYFUNCTION("""COMPUTED_VALUE"""),46187.34525462963)</f>
        <v>46187.34525</v>
      </c>
      <c r="B1073" s="126">
        <f>IFERROR(__xludf.DUMMYFUNCTION("""COMPUTED_VALUE"""),46187.0)</f>
        <v>46187</v>
      </c>
      <c r="C1073" s="122" t="str">
        <f>IFERROR(__xludf.DUMMYFUNCTION("""COMPUTED_VALUE"""),"MEAT")</f>
        <v>MEAT</v>
      </c>
      <c r="D1073" s="122" t="str">
        <f>IFERROR(__xludf.DUMMYFUNCTION("""COMPUTED_VALUE"""),"MeatWorks")</f>
        <v>MeatWorks</v>
      </c>
      <c r="E1073" s="122">
        <f>IFERROR(__xludf.DUMMYFUNCTION("""COMPUTED_VALUE"""),103.95)</f>
        <v>103.95</v>
      </c>
      <c r="F1073" s="122">
        <f>IFERROR(__xludf.DUMMYFUNCTION("""COMPUTED_VALUE"""),-2.0E-4)</f>
        <v>-0.0002</v>
      </c>
    </row>
    <row r="1074">
      <c r="A1074" s="131">
        <f>IFERROR(__xludf.DUMMYFUNCTION("""COMPUTED_VALUE"""),46187.34525462963)</f>
        <v>46187.34525</v>
      </c>
      <c r="B1074" s="126">
        <f>IFERROR(__xludf.DUMMYFUNCTION("""COMPUTED_VALUE"""),46187.0)</f>
        <v>46187</v>
      </c>
      <c r="C1074" s="122" t="str">
        <f>IFERROR(__xludf.DUMMYFUNCTION("""COMPUTED_VALUE"""),"VEGI")</f>
        <v>VEGI</v>
      </c>
      <c r="D1074" s="122" t="str">
        <f>IFERROR(__xludf.DUMMYFUNCTION("""COMPUTED_VALUE"""),"Green Basket")</f>
        <v>Green Basket</v>
      </c>
      <c r="E1074" s="122">
        <f>IFERROR(__xludf.DUMMYFUNCTION("""COMPUTED_VALUE"""),83.69)</f>
        <v>83.69</v>
      </c>
      <c r="F1074" s="122">
        <f>IFERROR(__xludf.DUMMYFUNCTION("""COMPUTED_VALUE"""),-0.003)</f>
        <v>-0.003</v>
      </c>
    </row>
    <row r="1075">
      <c r="A1075" s="131">
        <f>IFERROR(__xludf.DUMMYFUNCTION("""COMPUTED_VALUE"""),46187.34525462963)</f>
        <v>46187.34525</v>
      </c>
      <c r="B1075" s="126">
        <f>IFERROR(__xludf.DUMMYFUNCTION("""COMPUTED_VALUE"""),46187.0)</f>
        <v>46187</v>
      </c>
      <c r="C1075" s="122" t="str">
        <f>IFERROR(__xludf.DUMMYFUNCTION("""COMPUTED_VALUE"""),"CAFE")</f>
        <v>CAFE</v>
      </c>
      <c r="D1075" s="122" t="str">
        <f>IFERROR(__xludf.DUMMYFUNCTION("""COMPUTED_VALUE"""),"Cafe Cloud")</f>
        <v>Cafe Cloud</v>
      </c>
      <c r="E1075" s="122">
        <f>IFERROR(__xludf.DUMMYFUNCTION("""COMPUTED_VALUE"""),99.37)</f>
        <v>99.37</v>
      </c>
      <c r="F1075" s="122">
        <f>IFERROR(__xludf.DUMMYFUNCTION("""COMPUTED_VALUE"""),0.0074)</f>
        <v>0.0074</v>
      </c>
    </row>
    <row r="1076">
      <c r="A1076" s="131">
        <f>IFERROR(__xludf.DUMMYFUNCTION("""COMPUTED_VALUE"""),46187.34525462963)</f>
        <v>46187.34525</v>
      </c>
      <c r="B1076" s="126">
        <f>IFERROR(__xludf.DUMMYFUNCTION("""COMPUTED_VALUE"""),46187.0)</f>
        <v>46187</v>
      </c>
      <c r="C1076" s="122" t="str">
        <f>IFERROR(__xludf.DUMMYFUNCTION("""COMPUTED_VALUE"""),"BAKE")</f>
        <v>BAKE</v>
      </c>
      <c r="D1076" s="122" t="str">
        <f>IFERROR(__xludf.DUMMYFUNCTION("""COMPUTED_VALUE"""),"BakeHouse")</f>
        <v>BakeHouse</v>
      </c>
      <c r="E1076" s="122">
        <f>IFERROR(__xludf.DUMMYFUNCTION("""COMPUTED_VALUE"""),99.92)</f>
        <v>99.92</v>
      </c>
      <c r="F1076" s="122">
        <f>IFERROR(__xludf.DUMMYFUNCTION("""COMPUTED_VALUE"""),-0.0036)</f>
        <v>-0.0036</v>
      </c>
    </row>
    <row r="1077">
      <c r="A1077" s="131">
        <f>IFERROR(__xludf.DUMMYFUNCTION("""COMPUTED_VALUE"""),46187.34525462963)</f>
        <v>46187.34525</v>
      </c>
      <c r="B1077" s="126">
        <f>IFERROR(__xludf.DUMMYFUNCTION("""COMPUTED_VALUE"""),46187.0)</f>
        <v>46187</v>
      </c>
      <c r="C1077" s="122" t="str">
        <f>IFERROR(__xludf.DUMMYFUNCTION("""COMPUTED_VALUE"""),"OILX")</f>
        <v>OILX</v>
      </c>
      <c r="D1077" s="122" t="str">
        <f>IFERROR(__xludf.DUMMYFUNCTION("""COMPUTED_VALUE"""),"OilMax Energy")</f>
        <v>OilMax Energy</v>
      </c>
      <c r="E1077" s="122">
        <f>IFERROR(__xludf.DUMMYFUNCTION("""COMPUTED_VALUE"""),131.06)</f>
        <v>131.06</v>
      </c>
      <c r="F1077" s="122">
        <f>IFERROR(__xludf.DUMMYFUNCTION("""COMPUTED_VALUE"""),-0.0053)</f>
        <v>-0.0053</v>
      </c>
    </row>
    <row r="1078">
      <c r="A1078" s="131">
        <f>IFERROR(__xludf.DUMMYFUNCTION("""COMPUTED_VALUE"""),46187.34525462963)</f>
        <v>46187.34525</v>
      </c>
      <c r="B1078" s="126">
        <f>IFERROR(__xludf.DUMMYFUNCTION("""COMPUTED_VALUE"""),46187.0)</f>
        <v>46187</v>
      </c>
      <c r="C1078" s="122" t="str">
        <f>IFERROR(__xludf.DUMMYFUNCTION("""COMPUTED_VALUE"""),"SOLR")</f>
        <v>SOLR</v>
      </c>
      <c r="D1078" s="122" t="str">
        <f>IFERROR(__xludf.DUMMYFUNCTION("""COMPUTED_VALUE"""),"SolarSpark")</f>
        <v>SolarSpark</v>
      </c>
      <c r="E1078" s="122">
        <f>IFERROR(__xludf.DUMMYFUNCTION("""COMPUTED_VALUE"""),82.62)</f>
        <v>82.62</v>
      </c>
      <c r="F1078" s="122">
        <f>IFERROR(__xludf.DUMMYFUNCTION("""COMPUTED_VALUE"""),0.0082)</f>
        <v>0.0082</v>
      </c>
    </row>
    <row r="1079">
      <c r="A1079" s="131">
        <f>IFERROR(__xludf.DUMMYFUNCTION("""COMPUTED_VALUE"""),46187.34525462963)</f>
        <v>46187.34525</v>
      </c>
      <c r="B1079" s="126">
        <f>IFERROR(__xludf.DUMMYFUNCTION("""COMPUTED_VALUE"""),46187.0)</f>
        <v>46187</v>
      </c>
      <c r="C1079" s="122" t="str">
        <f>IFERROR(__xludf.DUMMYFUNCTION("""COMPUTED_VALUE"""),"BATT")</f>
        <v>BATT</v>
      </c>
      <c r="D1079" s="122" t="str">
        <f>IFERROR(__xludf.DUMMYFUNCTION("""COMPUTED_VALUE"""),"BatteryBox")</f>
        <v>BatteryBox</v>
      </c>
      <c r="E1079" s="122">
        <f>IFERROR(__xludf.DUMMYFUNCTION("""COMPUTED_VALUE"""),117.84)</f>
        <v>117.84</v>
      </c>
      <c r="F1079" s="122">
        <f>IFERROR(__xludf.DUMMYFUNCTION("""COMPUTED_VALUE"""),-0.0034)</f>
        <v>-0.0034</v>
      </c>
    </row>
    <row r="1080">
      <c r="A1080" s="131">
        <f>IFERROR(__xludf.DUMMYFUNCTION("""COMPUTED_VALUE"""),46187.34525462963)</f>
        <v>46187.34525</v>
      </c>
      <c r="B1080" s="126">
        <f>IFERROR(__xludf.DUMMYFUNCTION("""COMPUTED_VALUE"""),46187.0)</f>
        <v>46187</v>
      </c>
      <c r="C1080" s="122" t="str">
        <f>IFERROR(__xludf.DUMMYFUNCTION("""COMPUTED_VALUE"""),"WIND")</f>
        <v>WIND</v>
      </c>
      <c r="D1080" s="122" t="str">
        <f>IFERROR(__xludf.DUMMYFUNCTION("""COMPUTED_VALUE"""),"WindWorks")</f>
        <v>WindWorks</v>
      </c>
      <c r="E1080" s="122">
        <f>IFERROR(__xludf.DUMMYFUNCTION("""COMPUTED_VALUE"""),88.84)</f>
        <v>88.84</v>
      </c>
      <c r="F1080" s="122">
        <f>IFERROR(__xludf.DUMMYFUNCTION("""COMPUTED_VALUE"""),-0.006)</f>
        <v>-0.006</v>
      </c>
    </row>
    <row r="1081">
      <c r="A1081" s="131">
        <f>IFERROR(__xludf.DUMMYFUNCTION("""COMPUTED_VALUE"""),46187.34525462963)</f>
        <v>46187.34525</v>
      </c>
      <c r="B1081" s="126">
        <f>IFERROR(__xludf.DUMMYFUNCTION("""COMPUTED_VALUE"""),46187.0)</f>
        <v>46187</v>
      </c>
      <c r="C1081" s="122" t="str">
        <f>IFERROR(__xludf.DUMMYFUNCTION("""COMPUTED_VALUE"""),"GRID")</f>
        <v>GRID</v>
      </c>
      <c r="D1081" s="122" t="str">
        <f>IFERROR(__xludf.DUMMYFUNCTION("""COMPUTED_VALUE"""),"GridPower")</f>
        <v>GridPower</v>
      </c>
      <c r="E1081" s="122">
        <f>IFERROR(__xludf.DUMMYFUNCTION("""COMPUTED_VALUE"""),147.52)</f>
        <v>147.52</v>
      </c>
      <c r="F1081" s="122">
        <f>IFERROR(__xludf.DUMMYFUNCTION("""COMPUTED_VALUE"""),0.0035)</f>
        <v>0.0035</v>
      </c>
    </row>
    <row r="1082">
      <c r="A1082" s="131">
        <f>IFERROR(__xludf.DUMMYFUNCTION("""COMPUTED_VALUE"""),46187.34525462963)</f>
        <v>46187.34525</v>
      </c>
      <c r="B1082" s="126">
        <f>IFERROR(__xludf.DUMMYFUNCTION("""COMPUTED_VALUE"""),46187.0)</f>
        <v>46187</v>
      </c>
      <c r="C1082" s="122" t="str">
        <f>IFERROR(__xludf.DUMMYFUNCTION("""COMPUTED_VALUE"""),"HOME")</f>
        <v>HOME</v>
      </c>
      <c r="D1082" s="122" t="str">
        <f>IFERROR(__xludf.DUMMYFUNCTION("""COMPUTED_VALUE"""),"HomeHub")</f>
        <v>HomeHub</v>
      </c>
      <c r="E1082" s="122">
        <f>IFERROR(__xludf.DUMMYFUNCTION("""COMPUTED_VALUE"""),144.95)</f>
        <v>144.95</v>
      </c>
      <c r="F1082" s="122">
        <f>IFERROR(__xludf.DUMMYFUNCTION("""COMPUTED_VALUE"""),0.0024)</f>
        <v>0.0024</v>
      </c>
    </row>
    <row r="1083">
      <c r="A1083" s="131">
        <f>IFERROR(__xludf.DUMMYFUNCTION("""COMPUTED_VALUE"""),46187.34525462963)</f>
        <v>46187.34525</v>
      </c>
      <c r="B1083" s="126">
        <f>IFERROR(__xludf.DUMMYFUNCTION("""COMPUTED_VALUE"""),46187.0)</f>
        <v>46187</v>
      </c>
      <c r="C1083" s="122" t="str">
        <f>IFERROR(__xludf.DUMMYFUNCTION("""COMPUTED_VALUE"""),"RENT")</f>
        <v>RENT</v>
      </c>
      <c r="D1083" s="122" t="str">
        <f>IFERROR(__xludf.DUMMYFUNCTION("""COMPUTED_VALUE"""),"RentRight")</f>
        <v>RentRight</v>
      </c>
      <c r="E1083" s="122">
        <f>IFERROR(__xludf.DUMMYFUNCTION("""COMPUTED_VALUE"""),93.5)</f>
        <v>93.5</v>
      </c>
      <c r="F1083" s="122">
        <f>IFERROR(__xludf.DUMMYFUNCTION("""COMPUTED_VALUE"""),0.0046)</f>
        <v>0.0046</v>
      </c>
    </row>
    <row r="1084">
      <c r="A1084" s="131">
        <f>IFERROR(__xludf.DUMMYFUNCTION("""COMPUTED_VALUE"""),46187.34525462963)</f>
        <v>46187.34525</v>
      </c>
      <c r="B1084" s="126">
        <f>IFERROR(__xludf.DUMMYFUNCTION("""COMPUTED_VALUE"""),46187.0)</f>
        <v>46187</v>
      </c>
      <c r="C1084" s="122" t="str">
        <f>IFERROR(__xludf.DUMMYFUNCTION("""COMPUTED_VALUE"""),"MALL")</f>
        <v>MALL</v>
      </c>
      <c r="D1084" s="122" t="str">
        <f>IFERROR(__xludf.DUMMYFUNCTION("""COMPUTED_VALUE"""),"MegaMall")</f>
        <v>MegaMall</v>
      </c>
      <c r="E1084" s="122">
        <f>IFERROR(__xludf.DUMMYFUNCTION("""COMPUTED_VALUE"""),95.82)</f>
        <v>95.82</v>
      </c>
      <c r="F1084" s="122">
        <f>IFERROR(__xludf.DUMMYFUNCTION("""COMPUTED_VALUE"""),0.0075)</f>
        <v>0.0075</v>
      </c>
    </row>
    <row r="1085">
      <c r="A1085" s="131">
        <f>IFERROR(__xludf.DUMMYFUNCTION("""COMPUTED_VALUE"""),46187.34525462963)</f>
        <v>46187.34525</v>
      </c>
      <c r="B1085" s="126">
        <f>IFERROR(__xludf.DUMMYFUNCTION("""COMPUTED_VALUE"""),46187.0)</f>
        <v>46187</v>
      </c>
      <c r="C1085" s="122" t="str">
        <f>IFERROR(__xludf.DUMMYFUNCTION("""COMPUTED_VALUE"""),"HOTL")</f>
        <v>HOTL</v>
      </c>
      <c r="D1085" s="122" t="str">
        <f>IFERROR(__xludf.DUMMYFUNCTION("""COMPUTED_VALUE"""),"HotelHive")</f>
        <v>HotelHive</v>
      </c>
      <c r="E1085" s="122">
        <f>IFERROR(__xludf.DUMMYFUNCTION("""COMPUTED_VALUE"""),132.54)</f>
        <v>132.54</v>
      </c>
      <c r="F1085" s="122">
        <f>IFERROR(__xludf.DUMMYFUNCTION("""COMPUTED_VALUE"""),-0.0015)</f>
        <v>-0.0015</v>
      </c>
    </row>
    <row r="1086">
      <c r="A1086" s="131">
        <f>IFERROR(__xludf.DUMMYFUNCTION("""COMPUTED_VALUE"""),46187.34525462963)</f>
        <v>46187.34525</v>
      </c>
      <c r="B1086" s="126">
        <f>IFERROR(__xludf.DUMMYFUNCTION("""COMPUTED_VALUE"""),46187.0)</f>
        <v>46187</v>
      </c>
      <c r="C1086" s="122" t="str">
        <f>IFERROR(__xludf.DUMMYFUNCTION("""COMPUTED_VALUE"""),"LAND")</f>
        <v>LAND</v>
      </c>
      <c r="D1086" s="122" t="str">
        <f>IFERROR(__xludf.DUMMYFUNCTION("""COMPUTED_VALUE"""),"LandLink")</f>
        <v>LandLink</v>
      </c>
      <c r="E1086" s="122">
        <f>IFERROR(__xludf.DUMMYFUNCTION("""COMPUTED_VALUE"""),181.36)</f>
        <v>181.36</v>
      </c>
      <c r="F1086" s="122">
        <f>IFERROR(__xludf.DUMMYFUNCTION("""COMPUTED_VALUE"""),-0.0046)</f>
        <v>-0.0046</v>
      </c>
    </row>
    <row r="1087">
      <c r="A1087" s="131">
        <f>IFERROR(__xludf.DUMMYFUNCTION("""COMPUTED_VALUE"""),46187.34525462963)</f>
        <v>46187.34525</v>
      </c>
      <c r="B1087" s="126">
        <f>IFERROR(__xludf.DUMMYFUNCTION("""COMPUTED_VALUE"""),46187.0)</f>
        <v>46187</v>
      </c>
      <c r="C1087" s="122" t="str">
        <f>IFERROR(__xludf.DUMMYFUNCTION("""COMPUTED_VALUE"""),"CARS")</f>
        <v>CARS</v>
      </c>
      <c r="D1087" s="122" t="str">
        <f>IFERROR(__xludf.DUMMYFUNCTION("""COMPUTED_VALUE"""),"AutoArena")</f>
        <v>AutoArena</v>
      </c>
      <c r="E1087" s="122">
        <f>IFERROR(__xludf.DUMMYFUNCTION("""COMPUTED_VALUE"""),79.22)</f>
        <v>79.22</v>
      </c>
      <c r="F1087" s="122">
        <f>IFERROR(__xludf.DUMMYFUNCTION("""COMPUTED_VALUE"""),-0.008)</f>
        <v>-0.008</v>
      </c>
    </row>
    <row r="1088">
      <c r="A1088" s="131">
        <f>IFERROR(__xludf.DUMMYFUNCTION("""COMPUTED_VALUE"""),46187.34525462963)</f>
        <v>46187.34525</v>
      </c>
      <c r="B1088" s="126">
        <f>IFERROR(__xludf.DUMMYFUNCTION("""COMPUTED_VALUE"""),46187.0)</f>
        <v>46187</v>
      </c>
      <c r="C1088" s="122" t="str">
        <f>IFERROR(__xludf.DUMMYFUNCTION("""COMPUTED_VALUE"""),"EVGO")</f>
        <v>EVGO</v>
      </c>
      <c r="D1088" s="122" t="str">
        <f>IFERROR(__xludf.DUMMYFUNCTION("""COMPUTED_VALUE"""),"EVGo Motors")</f>
        <v>EVGo Motors</v>
      </c>
      <c r="E1088" s="122">
        <f>IFERROR(__xludf.DUMMYFUNCTION("""COMPUTED_VALUE"""),195.48)</f>
        <v>195.48</v>
      </c>
      <c r="F1088" s="122">
        <f>IFERROR(__xludf.DUMMYFUNCTION("""COMPUTED_VALUE"""),-0.0072)</f>
        <v>-0.0072</v>
      </c>
    </row>
    <row r="1089">
      <c r="A1089" s="131">
        <f>IFERROR(__xludf.DUMMYFUNCTION("""COMPUTED_VALUE"""),46187.34525462963)</f>
        <v>46187.34525</v>
      </c>
      <c r="B1089" s="126">
        <f>IFERROR(__xludf.DUMMYFUNCTION("""COMPUTED_VALUE"""),46187.0)</f>
        <v>46187</v>
      </c>
      <c r="C1089" s="122" t="str">
        <f>IFERROR(__xludf.DUMMYFUNCTION("""COMPUTED_VALUE"""),"TIRE")</f>
        <v>TIRE</v>
      </c>
      <c r="D1089" s="122" t="str">
        <f>IFERROR(__xludf.DUMMYFUNCTION("""COMPUTED_VALUE"""),"TireTown")</f>
        <v>TireTown</v>
      </c>
      <c r="E1089" s="122">
        <f>IFERROR(__xludf.DUMMYFUNCTION("""COMPUTED_VALUE"""),89.86)</f>
        <v>89.86</v>
      </c>
      <c r="F1089" s="122">
        <f>IFERROR(__xludf.DUMMYFUNCTION("""COMPUTED_VALUE"""),0.0036)</f>
        <v>0.0036</v>
      </c>
    </row>
    <row r="1090">
      <c r="A1090" s="131">
        <f>IFERROR(__xludf.DUMMYFUNCTION("""COMPUTED_VALUE"""),46187.34525462963)</f>
        <v>46187.34525</v>
      </c>
      <c r="B1090" s="126">
        <f>IFERROR(__xludf.DUMMYFUNCTION("""COMPUTED_VALUE"""),46187.0)</f>
        <v>46187</v>
      </c>
      <c r="C1090" s="122" t="str">
        <f>IFERROR(__xludf.DUMMYFUNCTION("""COMPUTED_VALUE"""),"BIKE")</f>
        <v>BIKE</v>
      </c>
      <c r="D1090" s="122" t="str">
        <f>IFERROR(__xludf.DUMMYFUNCTION("""COMPUTED_VALUE"""),"BikeBox")</f>
        <v>BikeBox</v>
      </c>
      <c r="E1090" s="122">
        <f>IFERROR(__xludf.DUMMYFUNCTION("""COMPUTED_VALUE"""),54.57)</f>
        <v>54.57</v>
      </c>
      <c r="F1090" s="122">
        <f>IFERROR(__xludf.DUMMYFUNCTION("""COMPUTED_VALUE"""),-0.0022)</f>
        <v>-0.0022</v>
      </c>
    </row>
    <row r="1091">
      <c r="A1091" s="131">
        <f>IFERROR(__xludf.DUMMYFUNCTION("""COMPUTED_VALUE"""),46187.34525462963)</f>
        <v>46187.34525</v>
      </c>
      <c r="B1091" s="126">
        <f>IFERROR(__xludf.DUMMYFUNCTION("""COMPUTED_VALUE"""),46187.0)</f>
        <v>46187</v>
      </c>
      <c r="C1091" s="122" t="str">
        <f>IFERROR(__xludf.DUMMYFUNCTION("""COMPUTED_VALUE"""),"WASH")</f>
        <v>WASH</v>
      </c>
      <c r="D1091" s="122" t="str">
        <f>IFERROR(__xludf.DUMMYFUNCTION("""COMPUTED_VALUE"""),"CarWash Co")</f>
        <v>CarWash Co</v>
      </c>
      <c r="E1091" s="122">
        <f>IFERROR(__xludf.DUMMYFUNCTION("""COMPUTED_VALUE"""),117.59)</f>
        <v>117.59</v>
      </c>
      <c r="F1091" s="122">
        <f>IFERROR(__xludf.DUMMYFUNCTION("""COMPUTED_VALUE"""),-0.0019)</f>
        <v>-0.0019</v>
      </c>
    </row>
    <row r="1092">
      <c r="A1092" s="131">
        <f>IFERROR(__xludf.DUMMYFUNCTION("""COMPUTED_VALUE"""),46187.34525462963)</f>
        <v>46187.34525</v>
      </c>
      <c r="B1092" s="126">
        <f>IFERROR(__xludf.DUMMYFUNCTION("""COMPUTED_VALUE"""),46187.0)</f>
        <v>46187</v>
      </c>
      <c r="C1092" s="122" t="str">
        <f>IFERROR(__xludf.DUMMYFUNCTION("""COMPUTED_VALUE"""),"GBND")</f>
        <v>GBND</v>
      </c>
      <c r="D1092" s="122" t="str">
        <f>IFERROR(__xludf.DUMMYFUNCTION("""COMPUTED_VALUE"""),"Classroom Government Bond")</f>
        <v>Classroom Government Bond</v>
      </c>
      <c r="E1092" s="122">
        <f>IFERROR(__xludf.DUMMYFUNCTION("""COMPUTED_VALUE"""),100.8)</f>
        <v>100.8</v>
      </c>
      <c r="F1092" s="122">
        <f>IFERROR(__xludf.DUMMYFUNCTION("""COMPUTED_VALUE"""),1.0E-4)</f>
        <v>0.0001</v>
      </c>
    </row>
    <row r="1093">
      <c r="A1093" s="131">
        <f>IFERROR(__xludf.DUMMYFUNCTION("""COMPUTED_VALUE"""),46187.34525462963)</f>
        <v>46187.34525</v>
      </c>
      <c r="B1093" s="126">
        <f>IFERROR(__xludf.DUMMYFUNCTION("""COMPUTED_VALUE"""),46187.0)</f>
        <v>46187</v>
      </c>
      <c r="C1093" s="122" t="str">
        <f>IFERROR(__xludf.DUMMYFUNCTION("""COMPUTED_VALUE"""),"SBND")</f>
        <v>SBND</v>
      </c>
      <c r="D1093" s="122" t="str">
        <f>IFERROR(__xludf.DUMMYFUNCTION("""COMPUTED_VALUE"""),"School Savings Bond")</f>
        <v>School Savings Bond</v>
      </c>
      <c r="E1093" s="122">
        <f>IFERROR(__xludf.DUMMYFUNCTION("""COMPUTED_VALUE"""),99.35)</f>
        <v>99.35</v>
      </c>
      <c r="F1093" s="122">
        <f>IFERROR(__xludf.DUMMYFUNCTION("""COMPUTED_VALUE"""),-2.0E-4)</f>
        <v>-0.0002</v>
      </c>
    </row>
    <row r="1094">
      <c r="A1094" s="131">
        <f>IFERROR(__xludf.DUMMYFUNCTION("""COMPUTED_VALUE"""),46187.34525462963)</f>
        <v>46187.34525</v>
      </c>
      <c r="B1094" s="126">
        <f>IFERROR(__xludf.DUMMYFUNCTION("""COMPUTED_VALUE"""),46187.0)</f>
        <v>46187</v>
      </c>
      <c r="C1094" s="122" t="str">
        <f>IFERROR(__xludf.DUMMYFUNCTION("""COMPUTED_VALUE"""),"CBND")</f>
        <v>CBND</v>
      </c>
      <c r="D1094" s="122" t="str">
        <f>IFERROR(__xludf.DUMMYFUNCTION("""COMPUTED_VALUE"""),"Corporate Classroom Bond")</f>
        <v>Corporate Classroom Bond</v>
      </c>
      <c r="E1094" s="122">
        <f>IFERROR(__xludf.DUMMYFUNCTION("""COMPUTED_VALUE"""),97.8)</f>
        <v>97.8</v>
      </c>
      <c r="F1094" s="122">
        <f>IFERROR(__xludf.DUMMYFUNCTION("""COMPUTED_VALUE"""),-3.0E-4)</f>
        <v>-0.0003</v>
      </c>
    </row>
    <row r="1095">
      <c r="A1095" s="131">
        <f>IFERROR(__xludf.DUMMYFUNCTION("""COMPUTED_VALUE"""),46187.34525462963)</f>
        <v>46187.34525</v>
      </c>
      <c r="B1095" s="126">
        <f>IFERROR(__xludf.DUMMYFUNCTION("""COMPUTED_VALUE"""),46187.0)</f>
        <v>46187</v>
      </c>
      <c r="C1095" s="122" t="str">
        <f>IFERROR(__xludf.DUMMYFUNCTION("""COMPUTED_VALUE"""),"TBIL")</f>
        <v>TBIL</v>
      </c>
      <c r="D1095" s="122" t="str">
        <f>IFERROR(__xludf.DUMMYFUNCTION("""COMPUTED_VALUE"""),"Treasury Bill")</f>
        <v>Treasury Bill</v>
      </c>
      <c r="E1095" s="122">
        <f>IFERROR(__xludf.DUMMYFUNCTION("""COMPUTED_VALUE"""),98.01)</f>
        <v>98.01</v>
      </c>
      <c r="F1095" s="122">
        <f>IFERROR(__xludf.DUMMYFUNCTION("""COMPUTED_VALUE"""),-1.0E-4)</f>
        <v>-0.0001</v>
      </c>
    </row>
    <row r="1096">
      <c r="A1096" s="131">
        <f>IFERROR(__xludf.DUMMYFUNCTION("""COMPUTED_VALUE"""),46187.34525462963)</f>
        <v>46187.34525</v>
      </c>
      <c r="B1096" s="126">
        <f>IFERROR(__xludf.DUMMYFUNCTION("""COMPUTED_VALUE"""),46187.0)</f>
        <v>46187</v>
      </c>
      <c r="C1096" s="122" t="str">
        <f>IFERROR(__xludf.DUMMYFUNCTION("""COMPUTED_VALUE"""),"IBND")</f>
        <v>IBND</v>
      </c>
      <c r="D1096" s="122" t="str">
        <f>IFERROR(__xludf.DUMMYFUNCTION("""COMPUTED_VALUE"""),"Inflation Protected Bond")</f>
        <v>Inflation Protected Bond</v>
      </c>
      <c r="E1096" s="122">
        <f>IFERROR(__xludf.DUMMYFUNCTION("""COMPUTED_VALUE"""),100.5)</f>
        <v>100.5</v>
      </c>
      <c r="F1096" s="122">
        <f>IFERROR(__xludf.DUMMYFUNCTION("""COMPUTED_VALUE"""),-3.0E-4)</f>
        <v>-0.0003</v>
      </c>
    </row>
    <row r="1097">
      <c r="A1097" s="131">
        <f>IFERROR(__xludf.DUMMYFUNCTION("""COMPUTED_VALUE"""),46187.346724537034)</f>
        <v>46187.34672</v>
      </c>
      <c r="B1097" s="126">
        <f>IFERROR(__xludf.DUMMYFUNCTION("""COMPUTED_VALUE"""),46187.0)</f>
        <v>46187</v>
      </c>
      <c r="C1097" s="130">
        <f>IFERROR(__xludf.DUMMYFUNCTION("""COMPUTED_VALUE"""),0.34672453703703704)</f>
        <v>0.346724537</v>
      </c>
      <c r="D1097" s="122" t="str">
        <f>IFERROR(__xludf.DUMMYFUNCTION("""COMPUTED_VALUE"""),"SNAX")</f>
        <v>SNAX</v>
      </c>
      <c r="E1097" s="122" t="str">
        <f>IFERROR(__xludf.DUMMYFUNCTION("""COMPUTED_VALUE"""),"MICA Snacks")</f>
        <v>MICA Snacks</v>
      </c>
      <c r="F1097" s="122" t="str">
        <f>IFERROR(__xludf.DUMMYFUNCTION("""COMPUTED_VALUE"""),"Consumer Goods")</f>
        <v>Consumer Goods</v>
      </c>
    </row>
    <row r="1098">
      <c r="A1098" s="131">
        <f>IFERROR(__xludf.DUMMYFUNCTION("""COMPUTED_VALUE"""),46187.346724537034)</f>
        <v>46187.34672</v>
      </c>
      <c r="B1098" s="126">
        <f>IFERROR(__xludf.DUMMYFUNCTION("""COMPUTED_VALUE"""),46187.0)</f>
        <v>46187</v>
      </c>
      <c r="C1098" s="130">
        <f>IFERROR(__xludf.DUMMYFUNCTION("""COMPUTED_VALUE"""),0.34672453703703704)</f>
        <v>0.346724537</v>
      </c>
      <c r="D1098" s="122" t="str">
        <f>IFERROR(__xludf.DUMMYFUNCTION("""COMPUTED_VALUE"""),"RAMN")</f>
        <v>RAMN</v>
      </c>
      <c r="E1098" s="122" t="str">
        <f>IFERROR(__xludf.DUMMYFUNCTION("""COMPUTED_VALUE"""),"Ramen Republic")</f>
        <v>Ramen Republic</v>
      </c>
      <c r="F1098" s="122" t="str">
        <f>IFERROR(__xludf.DUMMYFUNCTION("""COMPUTED_VALUE"""),"Food")</f>
        <v>Food</v>
      </c>
    </row>
    <row r="1099">
      <c r="A1099" s="131">
        <f>IFERROR(__xludf.DUMMYFUNCTION("""COMPUTED_VALUE"""),46187.346724537034)</f>
        <v>46187.34672</v>
      </c>
      <c r="B1099" s="126">
        <f>IFERROR(__xludf.DUMMYFUNCTION("""COMPUTED_VALUE"""),46187.0)</f>
        <v>46187</v>
      </c>
      <c r="C1099" s="130">
        <f>IFERROR(__xludf.DUMMYFUNCTION("""COMPUTED_VALUE"""),0.34672453703703704)</f>
        <v>0.346724537</v>
      </c>
      <c r="D1099" s="122" t="str">
        <f>IFERROR(__xludf.DUMMYFUNCTION("""COMPUTED_VALUE"""),"COLA")</f>
        <v>COLA</v>
      </c>
      <c r="E1099" s="122" t="str">
        <f>IFERROR(__xludf.DUMMYFUNCTION("""COMPUTED_VALUE"""),"K-Pop Cola")</f>
        <v>K-Pop Cola</v>
      </c>
      <c r="F1099" s="122" t="str">
        <f>IFERROR(__xludf.DUMMYFUNCTION("""COMPUTED_VALUE"""),"Beverage")</f>
        <v>Beverage</v>
      </c>
    </row>
    <row r="1100">
      <c r="A1100" s="131">
        <f>IFERROR(__xludf.DUMMYFUNCTION("""COMPUTED_VALUE"""),46187.346724537034)</f>
        <v>46187.34672</v>
      </c>
      <c r="B1100" s="126">
        <f>IFERROR(__xludf.DUMMYFUNCTION("""COMPUTED_VALUE"""),46187.0)</f>
        <v>46187</v>
      </c>
      <c r="C1100" s="130">
        <f>IFERROR(__xludf.DUMMYFUNCTION("""COMPUTED_VALUE"""),0.34672453703703704)</f>
        <v>0.346724537</v>
      </c>
      <c r="D1100" s="122" t="str">
        <f>IFERROR(__xludf.DUMMYFUNCTION("""COMPUTED_VALUE"""),"CHIP")</f>
        <v>CHIP</v>
      </c>
      <c r="E1100" s="122" t="str">
        <f>IFERROR(__xludf.DUMMYFUNCTION("""COMPUTED_VALUE"""),"Chip Empire")</f>
        <v>Chip Empire</v>
      </c>
      <c r="F1100" s="122" t="str">
        <f>IFERROR(__xludf.DUMMYFUNCTION("""COMPUTED_VALUE"""),"Consumer Goods")</f>
        <v>Consumer Goods</v>
      </c>
    </row>
    <row r="1101">
      <c r="A1101" s="131">
        <f>IFERROR(__xludf.DUMMYFUNCTION("""COMPUTED_VALUE"""),46187.346724537034)</f>
        <v>46187.34672</v>
      </c>
      <c r="B1101" s="126">
        <f>IFERROR(__xludf.DUMMYFUNCTION("""COMPUTED_VALUE"""),46187.0)</f>
        <v>46187</v>
      </c>
      <c r="C1101" s="130">
        <f>IFERROR(__xludf.DUMMYFUNCTION("""COMPUTED_VALUE"""),0.34672453703703704)</f>
        <v>0.346724537</v>
      </c>
      <c r="D1101" s="122" t="str">
        <f>IFERROR(__xludf.DUMMYFUNCTION("""COMPUTED_VALUE"""),"CAND")</f>
        <v>CAND</v>
      </c>
      <c r="E1101" s="122" t="str">
        <f>IFERROR(__xludf.DUMMYFUNCTION("""COMPUTED_VALUE"""),"Candy Capital")</f>
        <v>Candy Capital</v>
      </c>
      <c r="F1101" s="122" t="str">
        <f>IFERROR(__xludf.DUMMYFUNCTION("""COMPUTED_VALUE"""),"Consumer Goods")</f>
        <v>Consumer Goods</v>
      </c>
    </row>
    <row r="1102">
      <c r="A1102" s="131">
        <f>IFERROR(__xludf.DUMMYFUNCTION("""COMPUTED_VALUE"""),46187.346724537034)</f>
        <v>46187.34672</v>
      </c>
      <c r="B1102" s="126">
        <f>IFERROR(__xludf.DUMMYFUNCTION("""COMPUTED_VALUE"""),46187.0)</f>
        <v>46187</v>
      </c>
      <c r="C1102" s="130">
        <f>IFERROR(__xludf.DUMMYFUNCTION("""COMPUTED_VALUE"""),0.34672453703703704)</f>
        <v>0.346724537</v>
      </c>
      <c r="D1102" s="122" t="str">
        <f>IFERROR(__xludf.DUMMYFUNCTION("""COMPUTED_VALUE"""),"TECH")</f>
        <v>TECH</v>
      </c>
      <c r="E1102" s="122" t="str">
        <f>IFERROR(__xludf.DUMMYFUNCTION("""COMPUTED_VALUE"""),"Dragon Tech")</f>
        <v>Dragon Tech</v>
      </c>
      <c r="F1102" s="122" t="str">
        <f>IFERROR(__xludf.DUMMYFUNCTION("""COMPUTED_VALUE"""),"Technology")</f>
        <v>Technology</v>
      </c>
    </row>
    <row r="1103">
      <c r="A1103" s="131">
        <f>IFERROR(__xludf.DUMMYFUNCTION("""COMPUTED_VALUE"""),46187.346724537034)</f>
        <v>46187.34672</v>
      </c>
      <c r="B1103" s="126">
        <f>IFERROR(__xludf.DUMMYFUNCTION("""COMPUTED_VALUE"""),46187.0)</f>
        <v>46187</v>
      </c>
      <c r="C1103" s="130">
        <f>IFERROR(__xludf.DUMMYFUNCTION("""COMPUTED_VALUE"""),0.34672453703703704)</f>
        <v>0.346724537</v>
      </c>
      <c r="D1103" s="122" t="str">
        <f>IFERROR(__xludf.DUMMYFUNCTION("""COMPUTED_VALUE"""),"AIBO")</f>
        <v>AIBO</v>
      </c>
      <c r="E1103" s="122" t="str">
        <f>IFERROR(__xludf.DUMMYFUNCTION("""COMPUTED_VALUE"""),"Homework AI")</f>
        <v>Homework AI</v>
      </c>
      <c r="F1103" s="122" t="str">
        <f>IFERROR(__xludf.DUMMYFUNCTION("""COMPUTED_VALUE"""),"Technology")</f>
        <v>Technology</v>
      </c>
    </row>
    <row r="1104">
      <c r="A1104" s="131">
        <f>IFERROR(__xludf.DUMMYFUNCTION("""COMPUTED_VALUE"""),46187.346724537034)</f>
        <v>46187.34672</v>
      </c>
      <c r="B1104" s="126">
        <f>IFERROR(__xludf.DUMMYFUNCTION("""COMPUTED_VALUE"""),46187.0)</f>
        <v>46187</v>
      </c>
      <c r="C1104" s="130">
        <f>IFERROR(__xludf.DUMMYFUNCTION("""COMPUTED_VALUE"""),0.34672453703703704)</f>
        <v>0.346724537</v>
      </c>
      <c r="D1104" s="122" t="str">
        <f>IFERROR(__xludf.DUMMYFUNCTION("""COMPUTED_VALUE"""),"GAME")</f>
        <v>GAME</v>
      </c>
      <c r="E1104" s="122" t="str">
        <f>IFERROR(__xludf.DUMMYFUNCTION("""COMPUTED_VALUE"""),"GameBox Media")</f>
        <v>GameBox Media</v>
      </c>
      <c r="F1104" s="122" t="str">
        <f>IFERROR(__xludf.DUMMYFUNCTION("""COMPUTED_VALUE"""),"Entertainment")</f>
        <v>Entertainment</v>
      </c>
    </row>
    <row r="1105">
      <c r="A1105" s="131">
        <f>IFERROR(__xludf.DUMMYFUNCTION("""COMPUTED_VALUE"""),46187.346724537034)</f>
        <v>46187.34672</v>
      </c>
      <c r="B1105" s="126">
        <f>IFERROR(__xludf.DUMMYFUNCTION("""COMPUTED_VALUE"""),46187.0)</f>
        <v>46187</v>
      </c>
      <c r="C1105" s="130">
        <f>IFERROR(__xludf.DUMMYFUNCTION("""COMPUTED_VALUE"""),0.34672453703703704)</f>
        <v>0.346724537</v>
      </c>
      <c r="D1105" s="122" t="str">
        <f>IFERROR(__xludf.DUMMYFUNCTION("""COMPUTED_VALUE"""),"VRSE")</f>
        <v>VRSE</v>
      </c>
      <c r="E1105" s="122" t="str">
        <f>IFERROR(__xludf.DUMMYFUNCTION("""COMPUTED_VALUE"""),"VerseVR")</f>
        <v>VerseVR</v>
      </c>
      <c r="F1105" s="122" t="str">
        <f>IFERROR(__xludf.DUMMYFUNCTION("""COMPUTED_VALUE"""),"Technology")</f>
        <v>Technology</v>
      </c>
    </row>
    <row r="1106">
      <c r="A1106" s="131">
        <f>IFERROR(__xludf.DUMMYFUNCTION("""COMPUTED_VALUE"""),46187.346724537034)</f>
        <v>46187.34672</v>
      </c>
      <c r="B1106" s="126">
        <f>IFERROR(__xludf.DUMMYFUNCTION("""COMPUTED_VALUE"""),46187.0)</f>
        <v>46187</v>
      </c>
      <c r="C1106" s="130">
        <f>IFERROR(__xludf.DUMMYFUNCTION("""COMPUTED_VALUE"""),0.34672453703703704)</f>
        <v>0.346724537</v>
      </c>
      <c r="D1106" s="122" t="str">
        <f>IFERROR(__xludf.DUMMYFUNCTION("""COMPUTED_VALUE"""),"BYTE")</f>
        <v>BYTE</v>
      </c>
      <c r="E1106" s="122" t="str">
        <f>IFERROR(__xludf.DUMMYFUNCTION("""COMPUTED_VALUE"""),"ByteWorks")</f>
        <v>ByteWorks</v>
      </c>
      <c r="F1106" s="122" t="str">
        <f>IFERROR(__xludf.DUMMYFUNCTION("""COMPUTED_VALUE"""),"Technology")</f>
        <v>Technology</v>
      </c>
    </row>
    <row r="1107">
      <c r="A1107" s="131">
        <f>IFERROR(__xludf.DUMMYFUNCTION("""COMPUTED_VALUE"""),46187.346724537034)</f>
        <v>46187.34672</v>
      </c>
      <c r="B1107" s="126">
        <f>IFERROR(__xludf.DUMMYFUNCTION("""COMPUTED_VALUE"""),46187.0)</f>
        <v>46187</v>
      </c>
      <c r="C1107" s="130">
        <f>IFERROR(__xludf.DUMMYFUNCTION("""COMPUTED_VALUE"""),0.34672453703703704)</f>
        <v>0.346724537</v>
      </c>
      <c r="D1107" s="122" t="str">
        <f>IFERROR(__xludf.DUMMYFUNCTION("""COMPUTED_VALUE"""),"BANK")</f>
        <v>BANK</v>
      </c>
      <c r="E1107" s="122" t="str">
        <f>IFERROR(__xludf.DUMMYFUNCTION("""COMPUTED_VALUE"""),"Tiger Bank")</f>
        <v>Tiger Bank</v>
      </c>
      <c r="F1107" s="122" t="str">
        <f>IFERROR(__xludf.DUMMYFUNCTION("""COMPUTED_VALUE"""),"Finance")</f>
        <v>Finance</v>
      </c>
    </row>
    <row r="1108">
      <c r="A1108" s="131">
        <f>IFERROR(__xludf.DUMMYFUNCTION("""COMPUTED_VALUE"""),46187.346724537034)</f>
        <v>46187.34672</v>
      </c>
      <c r="B1108" s="126">
        <f>IFERROR(__xludf.DUMMYFUNCTION("""COMPUTED_VALUE"""),46187.0)</f>
        <v>46187</v>
      </c>
      <c r="C1108" s="130">
        <f>IFERROR(__xludf.DUMMYFUNCTION("""COMPUTED_VALUE"""),0.34672453703703704)</f>
        <v>0.346724537</v>
      </c>
      <c r="D1108" s="122" t="str">
        <f>IFERROR(__xludf.DUMMYFUNCTION("""COMPUTED_VALUE"""),"CRED")</f>
        <v>CRED</v>
      </c>
      <c r="E1108" s="122" t="str">
        <f>IFERROR(__xludf.DUMMYFUNCTION("""COMPUTED_VALUE"""),"Credit Castle")</f>
        <v>Credit Castle</v>
      </c>
      <c r="F1108" s="122" t="str">
        <f>IFERROR(__xludf.DUMMYFUNCTION("""COMPUTED_VALUE"""),"Finance")</f>
        <v>Finance</v>
      </c>
    </row>
    <row r="1109">
      <c r="A1109" s="131">
        <f>IFERROR(__xludf.DUMMYFUNCTION("""COMPUTED_VALUE"""),46187.346724537034)</f>
        <v>46187.34672</v>
      </c>
      <c r="B1109" s="126">
        <f>IFERROR(__xludf.DUMMYFUNCTION("""COMPUTED_VALUE"""),46187.0)</f>
        <v>46187</v>
      </c>
      <c r="C1109" s="130">
        <f>IFERROR(__xludf.DUMMYFUNCTION("""COMPUTED_VALUE"""),0.34672453703703704)</f>
        <v>0.346724537</v>
      </c>
      <c r="D1109" s="122" t="str">
        <f>IFERROR(__xludf.DUMMYFUNCTION("""COMPUTED_VALUE"""),"BOND")</f>
        <v>BOND</v>
      </c>
      <c r="E1109" s="122" t="str">
        <f>IFERROR(__xludf.DUMMYFUNCTION("""COMPUTED_VALUE"""),"BondBridge")</f>
        <v>BondBridge</v>
      </c>
      <c r="F1109" s="122" t="str">
        <f>IFERROR(__xludf.DUMMYFUNCTION("""COMPUTED_VALUE"""),"Finance")</f>
        <v>Finance</v>
      </c>
    </row>
    <row r="1110">
      <c r="A1110" s="131">
        <f>IFERROR(__xludf.DUMMYFUNCTION("""COMPUTED_VALUE"""),46187.346724537034)</f>
        <v>46187.34672</v>
      </c>
      <c r="B1110" s="126">
        <f>IFERROR(__xludf.DUMMYFUNCTION("""COMPUTED_VALUE"""),46187.0)</f>
        <v>46187</v>
      </c>
      <c r="C1110" s="130">
        <f>IFERROR(__xludf.DUMMYFUNCTION("""COMPUTED_VALUE"""),0.34672453703703704)</f>
        <v>0.346724537</v>
      </c>
      <c r="D1110" s="122" t="str">
        <f>IFERROR(__xludf.DUMMYFUNCTION("""COMPUTED_VALUE"""),"INSR")</f>
        <v>INSR</v>
      </c>
      <c r="E1110" s="122" t="str">
        <f>IFERROR(__xludf.DUMMYFUNCTION("""COMPUTED_VALUE"""),"Shield Insurance")</f>
        <v>Shield Insurance</v>
      </c>
      <c r="F1110" s="122" t="str">
        <f>IFERROR(__xludf.DUMMYFUNCTION("""COMPUTED_VALUE"""),"Finance")</f>
        <v>Finance</v>
      </c>
    </row>
    <row r="1111">
      <c r="A1111" s="131">
        <f>IFERROR(__xludf.DUMMYFUNCTION("""COMPUTED_VALUE"""),46187.346724537034)</f>
        <v>46187.34672</v>
      </c>
      <c r="B1111" s="126">
        <f>IFERROR(__xludf.DUMMYFUNCTION("""COMPUTED_VALUE"""),46187.0)</f>
        <v>46187</v>
      </c>
      <c r="C1111" s="130">
        <f>IFERROR(__xludf.DUMMYFUNCTION("""COMPUTED_VALUE"""),0.34672453703703704)</f>
        <v>0.346724537</v>
      </c>
      <c r="D1111" s="122" t="str">
        <f>IFERROR(__xludf.DUMMYFUNCTION("""COMPUTED_VALUE"""),"LOAN")</f>
        <v>LOAN</v>
      </c>
      <c r="E1111" s="122" t="str">
        <f>IFERROR(__xludf.DUMMYFUNCTION("""COMPUTED_VALUE"""),"LoanLab")</f>
        <v>LoanLab</v>
      </c>
      <c r="F1111" s="122" t="str">
        <f>IFERROR(__xludf.DUMMYFUNCTION("""COMPUTED_VALUE"""),"Finance")</f>
        <v>Finance</v>
      </c>
    </row>
    <row r="1112">
      <c r="A1112" s="131">
        <f>IFERROR(__xludf.DUMMYFUNCTION("""COMPUTED_VALUE"""),46187.346724537034)</f>
        <v>46187.34672</v>
      </c>
      <c r="B1112" s="126">
        <f>IFERROR(__xludf.DUMMYFUNCTION("""COMPUTED_VALUE"""),46187.0)</f>
        <v>46187</v>
      </c>
      <c r="C1112" s="130">
        <f>IFERROR(__xludf.DUMMYFUNCTION("""COMPUTED_VALUE"""),0.34672453703703704)</f>
        <v>0.346724537</v>
      </c>
      <c r="D1112" s="122" t="str">
        <f>IFERROR(__xludf.DUMMYFUNCTION("""COMPUTED_VALUE"""),"LUXE")</f>
        <v>LUXE</v>
      </c>
      <c r="E1112" s="122" t="str">
        <f>IFERROR(__xludf.DUMMYFUNCTION("""COMPUTED_VALUE"""),"Luxury Locker")</f>
        <v>Luxury Locker</v>
      </c>
      <c r="F1112" s="122" t="str">
        <f>IFERROR(__xludf.DUMMYFUNCTION("""COMPUTED_VALUE"""),"Luxury Goods")</f>
        <v>Luxury Goods</v>
      </c>
    </row>
    <row r="1113">
      <c r="A1113" s="131">
        <f>IFERROR(__xludf.DUMMYFUNCTION("""COMPUTED_VALUE"""),46187.346724537034)</f>
        <v>46187.34672</v>
      </c>
      <c r="B1113" s="126">
        <f>IFERROR(__xludf.DUMMYFUNCTION("""COMPUTED_VALUE"""),46187.0)</f>
        <v>46187</v>
      </c>
      <c r="C1113" s="130">
        <f>IFERROR(__xludf.DUMMYFUNCTION("""COMPUTED_VALUE"""),0.34672453703703704)</f>
        <v>0.346724537</v>
      </c>
      <c r="D1113" s="122" t="str">
        <f>IFERROR(__xludf.DUMMYFUNCTION("""COMPUTED_VALUE"""),"DRIP")</f>
        <v>DRIP</v>
      </c>
      <c r="E1113" s="122" t="str">
        <f>IFERROR(__xludf.DUMMYFUNCTION("""COMPUTED_VALUE"""),"Drip Streetwear")</f>
        <v>Drip Streetwear</v>
      </c>
      <c r="F1113" s="122" t="str">
        <f>IFERROR(__xludf.DUMMYFUNCTION("""COMPUTED_VALUE"""),"Fashion")</f>
        <v>Fashion</v>
      </c>
    </row>
    <row r="1114">
      <c r="A1114" s="131">
        <f>IFERROR(__xludf.DUMMYFUNCTION("""COMPUTED_VALUE"""),46187.346724537034)</f>
        <v>46187.34672</v>
      </c>
      <c r="B1114" s="126">
        <f>IFERROR(__xludf.DUMMYFUNCTION("""COMPUTED_VALUE"""),46187.0)</f>
        <v>46187</v>
      </c>
      <c r="C1114" s="130">
        <f>IFERROR(__xludf.DUMMYFUNCTION("""COMPUTED_VALUE"""),0.34672453703703704)</f>
        <v>0.346724537</v>
      </c>
      <c r="D1114" s="122" t="str">
        <f>IFERROR(__xludf.DUMMYFUNCTION("""COMPUTED_VALUE"""),"KICK")</f>
        <v>KICK</v>
      </c>
      <c r="E1114" s="122" t="str">
        <f>IFERROR(__xludf.DUMMYFUNCTION("""COMPUTED_VALUE"""),"KickDrop Sneakers")</f>
        <v>KickDrop Sneakers</v>
      </c>
      <c r="F1114" s="122" t="str">
        <f>IFERROR(__xludf.DUMMYFUNCTION("""COMPUTED_VALUE"""),"Fashion")</f>
        <v>Fashion</v>
      </c>
    </row>
    <row r="1115">
      <c r="A1115" s="131">
        <f>IFERROR(__xludf.DUMMYFUNCTION("""COMPUTED_VALUE"""),46187.346724537034)</f>
        <v>46187.34672</v>
      </c>
      <c r="B1115" s="126">
        <f>IFERROR(__xludf.DUMMYFUNCTION("""COMPUTED_VALUE"""),46187.0)</f>
        <v>46187</v>
      </c>
      <c r="C1115" s="130">
        <f>IFERROR(__xludf.DUMMYFUNCTION("""COMPUTED_VALUE"""),0.34672453703703704)</f>
        <v>0.346724537</v>
      </c>
      <c r="D1115" s="122" t="str">
        <f>IFERROR(__xludf.DUMMYFUNCTION("""COMPUTED_VALUE"""),"GLAM")</f>
        <v>GLAM</v>
      </c>
      <c r="E1115" s="122" t="str">
        <f>IFERROR(__xludf.DUMMYFUNCTION("""COMPUTED_VALUE"""),"Glow Cosmetics")</f>
        <v>Glow Cosmetics</v>
      </c>
      <c r="F1115" s="122" t="str">
        <f>IFERROR(__xludf.DUMMYFUNCTION("""COMPUTED_VALUE"""),"Fashion")</f>
        <v>Fashion</v>
      </c>
    </row>
    <row r="1116">
      <c r="A1116" s="131">
        <f>IFERROR(__xludf.DUMMYFUNCTION("""COMPUTED_VALUE"""),46187.346724537034)</f>
        <v>46187.34672</v>
      </c>
      <c r="B1116" s="126">
        <f>IFERROR(__xludf.DUMMYFUNCTION("""COMPUTED_VALUE"""),46187.0)</f>
        <v>46187</v>
      </c>
      <c r="C1116" s="130">
        <f>IFERROR(__xludf.DUMMYFUNCTION("""COMPUTED_VALUE"""),0.34672453703703704)</f>
        <v>0.346724537</v>
      </c>
      <c r="D1116" s="122" t="str">
        <f>IFERROR(__xludf.DUMMYFUNCTION("""COMPUTED_VALUE"""),"BAGG")</f>
        <v>BAGG</v>
      </c>
      <c r="E1116" s="122" t="str">
        <f>IFERROR(__xludf.DUMMYFUNCTION("""COMPUTED_VALUE"""),"BagVault")</f>
        <v>BagVault</v>
      </c>
      <c r="F1116" s="122" t="str">
        <f>IFERROR(__xludf.DUMMYFUNCTION("""COMPUTED_VALUE"""),"Fashion")</f>
        <v>Fashion</v>
      </c>
    </row>
    <row r="1117">
      <c r="A1117" s="131">
        <f>IFERROR(__xludf.DUMMYFUNCTION("""COMPUTED_VALUE"""),46187.346724537034)</f>
        <v>46187.34672</v>
      </c>
      <c r="B1117" s="126">
        <f>IFERROR(__xludf.DUMMYFUNCTION("""COMPUTED_VALUE"""),46187.0)</f>
        <v>46187</v>
      </c>
      <c r="C1117" s="130">
        <f>IFERROR(__xludf.DUMMYFUNCTION("""COMPUTED_VALUE"""),0.34672453703703704)</f>
        <v>0.346724537</v>
      </c>
      <c r="D1117" s="122" t="str">
        <f>IFERROR(__xludf.DUMMYFUNCTION("""COMPUTED_VALUE"""),"FAST")</f>
        <v>FAST</v>
      </c>
      <c r="E1117" s="122" t="str">
        <f>IFERROR(__xludf.DUMMYFUNCTION("""COMPUTED_VALUE"""),"Flash Logistics")</f>
        <v>Flash Logistics</v>
      </c>
      <c r="F1117" s="122" t="str">
        <f>IFERROR(__xludf.DUMMYFUNCTION("""COMPUTED_VALUE"""),"Logistics")</f>
        <v>Logistics</v>
      </c>
    </row>
    <row r="1118">
      <c r="A1118" s="131">
        <f>IFERROR(__xludf.DUMMYFUNCTION("""COMPUTED_VALUE"""),46187.346724537034)</f>
        <v>46187.34672</v>
      </c>
      <c r="B1118" s="126">
        <f>IFERROR(__xludf.DUMMYFUNCTION("""COMPUTED_VALUE"""),46187.0)</f>
        <v>46187</v>
      </c>
      <c r="C1118" s="130">
        <f>IFERROR(__xludf.DUMMYFUNCTION("""COMPUTED_VALUE"""),0.34672453703703704)</f>
        <v>0.346724537</v>
      </c>
      <c r="D1118" s="122" t="str">
        <f>IFERROR(__xludf.DUMMYFUNCTION("""COMPUTED_VALUE"""),"SHIP")</f>
        <v>SHIP</v>
      </c>
      <c r="E1118" s="122" t="str">
        <f>IFERROR(__xludf.DUMMYFUNCTION("""COMPUTED_VALUE"""),"Seoul Shipping")</f>
        <v>Seoul Shipping</v>
      </c>
      <c r="F1118" s="122" t="str">
        <f>IFERROR(__xludf.DUMMYFUNCTION("""COMPUTED_VALUE"""),"Logistics")</f>
        <v>Logistics</v>
      </c>
    </row>
    <row r="1119">
      <c r="A1119" s="131">
        <f>IFERROR(__xludf.DUMMYFUNCTION("""COMPUTED_VALUE"""),46187.346724537034)</f>
        <v>46187.34672</v>
      </c>
      <c r="B1119" s="126">
        <f>IFERROR(__xludf.DUMMYFUNCTION("""COMPUTED_VALUE"""),46187.0)</f>
        <v>46187</v>
      </c>
      <c r="C1119" s="130">
        <f>IFERROR(__xludf.DUMMYFUNCTION("""COMPUTED_VALUE"""),0.34672453703703704)</f>
        <v>0.346724537</v>
      </c>
      <c r="D1119" s="122" t="str">
        <f>IFERROR(__xludf.DUMMYFUNCTION("""COMPUTED_VALUE"""),"DRON")</f>
        <v>DRON</v>
      </c>
      <c r="E1119" s="122" t="str">
        <f>IFERROR(__xludf.DUMMYFUNCTION("""COMPUTED_VALUE"""),"DroneDrop")</f>
        <v>DroneDrop</v>
      </c>
      <c r="F1119" s="122" t="str">
        <f>IFERROR(__xludf.DUMMYFUNCTION("""COMPUTED_VALUE"""),"Logistics")</f>
        <v>Logistics</v>
      </c>
    </row>
    <row r="1120">
      <c r="A1120" s="131">
        <f>IFERROR(__xludf.DUMMYFUNCTION("""COMPUTED_VALUE"""),46187.346724537034)</f>
        <v>46187.34672</v>
      </c>
      <c r="B1120" s="126">
        <f>IFERROR(__xludf.DUMMYFUNCTION("""COMPUTED_VALUE"""),46187.0)</f>
        <v>46187</v>
      </c>
      <c r="C1120" s="130">
        <f>IFERROR(__xludf.DUMMYFUNCTION("""COMPUTED_VALUE"""),0.34672453703703704)</f>
        <v>0.346724537</v>
      </c>
      <c r="D1120" s="122" t="str">
        <f>IFERROR(__xludf.DUMMYFUNCTION("""COMPUTED_VALUE"""),"RIDE")</f>
        <v>RIDE</v>
      </c>
      <c r="E1120" s="122" t="str">
        <f>IFERROR(__xludf.DUMMYFUNCTION("""COMPUTED_VALUE"""),"QuickRide")</f>
        <v>QuickRide</v>
      </c>
      <c r="F1120" s="122" t="str">
        <f>IFERROR(__xludf.DUMMYFUNCTION("""COMPUTED_VALUE"""),"Transportation")</f>
        <v>Transportation</v>
      </c>
    </row>
    <row r="1121">
      <c r="A1121" s="131">
        <f>IFERROR(__xludf.DUMMYFUNCTION("""COMPUTED_VALUE"""),46187.346724537034)</f>
        <v>46187.34672</v>
      </c>
      <c r="B1121" s="126">
        <f>IFERROR(__xludf.DUMMYFUNCTION("""COMPUTED_VALUE"""),46187.0)</f>
        <v>46187</v>
      </c>
      <c r="C1121" s="130">
        <f>IFERROR(__xludf.DUMMYFUNCTION("""COMPUTED_VALUE"""),0.34672453703703704)</f>
        <v>0.346724537</v>
      </c>
      <c r="D1121" s="122" t="str">
        <f>IFERROR(__xludf.DUMMYFUNCTION("""COMPUTED_VALUE"""),"RAIL")</f>
        <v>RAIL</v>
      </c>
      <c r="E1121" s="122" t="str">
        <f>IFERROR(__xludf.DUMMYFUNCTION("""COMPUTED_VALUE"""),"MetroRail Corp")</f>
        <v>MetroRail Corp</v>
      </c>
      <c r="F1121" s="122" t="str">
        <f>IFERROR(__xludf.DUMMYFUNCTION("""COMPUTED_VALUE"""),"Transportation")</f>
        <v>Transportation</v>
      </c>
    </row>
    <row r="1122">
      <c r="A1122" s="131">
        <f>IFERROR(__xludf.DUMMYFUNCTION("""COMPUTED_VALUE"""),46187.346724537034)</f>
        <v>46187.34672</v>
      </c>
      <c r="B1122" s="126">
        <f>IFERROR(__xludf.DUMMYFUNCTION("""COMPUTED_VALUE"""),46187.0)</f>
        <v>46187</v>
      </c>
      <c r="C1122" s="130">
        <f>IFERROR(__xludf.DUMMYFUNCTION("""COMPUTED_VALUE"""),0.34672453703703704)</f>
        <v>0.346724537</v>
      </c>
      <c r="D1122" s="122" t="str">
        <f>IFERROR(__xludf.DUMMYFUNCTION("""COMPUTED_VALUE"""),"MEDX")</f>
        <v>MEDX</v>
      </c>
      <c r="E1122" s="122" t="str">
        <f>IFERROR(__xludf.DUMMYFUNCTION("""COMPUTED_VALUE"""),"MediCore")</f>
        <v>MediCore</v>
      </c>
      <c r="F1122" s="122" t="str">
        <f>IFERROR(__xludf.DUMMYFUNCTION("""COMPUTED_VALUE"""),"Healthcare")</f>
        <v>Healthcare</v>
      </c>
    </row>
    <row r="1123">
      <c r="A1123" s="131">
        <f>IFERROR(__xludf.DUMMYFUNCTION("""COMPUTED_VALUE"""),46187.346724537034)</f>
        <v>46187.34672</v>
      </c>
      <c r="B1123" s="126">
        <f>IFERROR(__xludf.DUMMYFUNCTION("""COMPUTED_VALUE"""),46187.0)</f>
        <v>46187</v>
      </c>
      <c r="C1123" s="130">
        <f>IFERROR(__xludf.DUMMYFUNCTION("""COMPUTED_VALUE"""),0.34672453703703704)</f>
        <v>0.346724537</v>
      </c>
      <c r="D1123" s="122" t="str">
        <f>IFERROR(__xludf.DUMMYFUNCTION("""COMPUTED_VALUE"""),"GYMX")</f>
        <v>GYMX</v>
      </c>
      <c r="E1123" s="122" t="str">
        <f>IFERROR(__xludf.DUMMYFUNCTION("""COMPUTED_VALUE"""),"GymX Fitness")</f>
        <v>GymX Fitness</v>
      </c>
      <c r="F1123" s="122" t="str">
        <f>IFERROR(__xludf.DUMMYFUNCTION("""COMPUTED_VALUE"""),"Healthcare")</f>
        <v>Healthcare</v>
      </c>
    </row>
    <row r="1124">
      <c r="A1124" s="131">
        <f>IFERROR(__xludf.DUMMYFUNCTION("""COMPUTED_VALUE"""),46187.346724537034)</f>
        <v>46187.34672</v>
      </c>
      <c r="B1124" s="126">
        <f>IFERROR(__xludf.DUMMYFUNCTION("""COMPUTED_VALUE"""),46187.0)</f>
        <v>46187</v>
      </c>
      <c r="C1124" s="130">
        <f>IFERROR(__xludf.DUMMYFUNCTION("""COMPUTED_VALUE"""),0.34672453703703704)</f>
        <v>0.346724537</v>
      </c>
      <c r="D1124" s="122" t="str">
        <f>IFERROR(__xludf.DUMMYFUNCTION("""COMPUTED_VALUE"""),"VITA")</f>
        <v>VITA</v>
      </c>
      <c r="E1124" s="122" t="str">
        <f>IFERROR(__xludf.DUMMYFUNCTION("""COMPUTED_VALUE"""),"VitaPlus")</f>
        <v>VitaPlus</v>
      </c>
      <c r="F1124" s="122" t="str">
        <f>IFERROR(__xludf.DUMMYFUNCTION("""COMPUTED_VALUE"""),"Healthcare")</f>
        <v>Healthcare</v>
      </c>
    </row>
    <row r="1125">
      <c r="A1125" s="131">
        <f>IFERROR(__xludf.DUMMYFUNCTION("""COMPUTED_VALUE"""),46187.346724537034)</f>
        <v>46187.34672</v>
      </c>
      <c r="B1125" s="126">
        <f>IFERROR(__xludf.DUMMYFUNCTION("""COMPUTED_VALUE"""),46187.0)</f>
        <v>46187</v>
      </c>
      <c r="C1125" s="130">
        <f>IFERROR(__xludf.DUMMYFUNCTION("""COMPUTED_VALUE"""),0.34672453703703704)</f>
        <v>0.346724537</v>
      </c>
      <c r="D1125" s="122" t="str">
        <f>IFERROR(__xludf.DUMMYFUNCTION("""COMPUTED_VALUE"""),"CARE")</f>
        <v>CARE</v>
      </c>
      <c r="E1125" s="122" t="str">
        <f>IFERROR(__xludf.DUMMYFUNCTION("""COMPUTED_VALUE"""),"CareCloud")</f>
        <v>CareCloud</v>
      </c>
      <c r="F1125" s="122" t="str">
        <f>IFERROR(__xludf.DUMMYFUNCTION("""COMPUTED_VALUE"""),"Healthcare")</f>
        <v>Healthcare</v>
      </c>
    </row>
    <row r="1126">
      <c r="A1126" s="131">
        <f>IFERROR(__xludf.DUMMYFUNCTION("""COMPUTED_VALUE"""),46187.346724537034)</f>
        <v>46187.34672</v>
      </c>
      <c r="B1126" s="126">
        <f>IFERROR(__xludf.DUMMYFUNCTION("""COMPUTED_VALUE"""),46187.0)</f>
        <v>46187</v>
      </c>
      <c r="C1126" s="130">
        <f>IFERROR(__xludf.DUMMYFUNCTION("""COMPUTED_VALUE"""),0.34672453703703704)</f>
        <v>0.346724537</v>
      </c>
      <c r="D1126" s="122" t="str">
        <f>IFERROR(__xludf.DUMMYFUNCTION("""COMPUTED_VALUE"""),"DENT")</f>
        <v>DENT</v>
      </c>
      <c r="E1126" s="122" t="str">
        <f>IFERROR(__xludf.DUMMYFUNCTION("""COMPUTED_VALUE"""),"SmileWorks")</f>
        <v>SmileWorks</v>
      </c>
      <c r="F1126" s="122" t="str">
        <f>IFERROR(__xludf.DUMMYFUNCTION("""COMPUTED_VALUE"""),"Healthcare")</f>
        <v>Healthcare</v>
      </c>
    </row>
    <row r="1127">
      <c r="A1127" s="131">
        <f>IFERROR(__xludf.DUMMYFUNCTION("""COMPUTED_VALUE"""),46187.346724537034)</f>
        <v>46187.34672</v>
      </c>
      <c r="B1127" s="126">
        <f>IFERROR(__xludf.DUMMYFUNCTION("""COMPUTED_VALUE"""),46187.0)</f>
        <v>46187</v>
      </c>
      <c r="C1127" s="130">
        <f>IFERROR(__xludf.DUMMYFUNCTION("""COMPUTED_VALUE"""),0.34672453703703704)</f>
        <v>0.346724537</v>
      </c>
      <c r="D1127" s="122" t="str">
        <f>IFERROR(__xludf.DUMMYFUNCTION("""COMPUTED_VALUE"""),"EDUX")</f>
        <v>EDUX</v>
      </c>
      <c r="E1127" s="122" t="str">
        <f>IFERROR(__xludf.DUMMYFUNCTION("""COMPUTED_VALUE"""),"EduMax Learning")</f>
        <v>EduMax Learning</v>
      </c>
      <c r="F1127" s="122" t="str">
        <f>IFERROR(__xludf.DUMMYFUNCTION("""COMPUTED_VALUE"""),"Education")</f>
        <v>Education</v>
      </c>
    </row>
    <row r="1128">
      <c r="A1128" s="131">
        <f>IFERROR(__xludf.DUMMYFUNCTION("""COMPUTED_VALUE"""),46187.346724537034)</f>
        <v>46187.34672</v>
      </c>
      <c r="B1128" s="126">
        <f>IFERROR(__xludf.DUMMYFUNCTION("""COMPUTED_VALUE"""),46187.0)</f>
        <v>46187</v>
      </c>
      <c r="C1128" s="130">
        <f>IFERROR(__xludf.DUMMYFUNCTION("""COMPUTED_VALUE"""),0.34672453703703704)</f>
        <v>0.346724537</v>
      </c>
      <c r="D1128" s="122" t="str">
        <f>IFERROR(__xludf.DUMMYFUNCTION("""COMPUTED_VALUE"""),"BOOK")</f>
        <v>BOOK</v>
      </c>
      <c r="E1128" s="122" t="str">
        <f>IFERROR(__xludf.DUMMYFUNCTION("""COMPUTED_VALUE"""),"BookBridge")</f>
        <v>BookBridge</v>
      </c>
      <c r="F1128" s="122" t="str">
        <f>IFERROR(__xludf.DUMMYFUNCTION("""COMPUTED_VALUE"""),"Education")</f>
        <v>Education</v>
      </c>
    </row>
    <row r="1129">
      <c r="A1129" s="131">
        <f>IFERROR(__xludf.DUMMYFUNCTION("""COMPUTED_VALUE"""),46187.346724537034)</f>
        <v>46187.34672</v>
      </c>
      <c r="B1129" s="126">
        <f>IFERROR(__xludf.DUMMYFUNCTION("""COMPUTED_VALUE"""),46187.0)</f>
        <v>46187</v>
      </c>
      <c r="C1129" s="130">
        <f>IFERROR(__xludf.DUMMYFUNCTION("""COMPUTED_VALUE"""),0.34672453703703704)</f>
        <v>0.346724537</v>
      </c>
      <c r="D1129" s="122" t="str">
        <f>IFERROR(__xludf.DUMMYFUNCTION("""COMPUTED_VALUE"""),"TUTR")</f>
        <v>TUTR</v>
      </c>
      <c r="E1129" s="122" t="str">
        <f>IFERROR(__xludf.DUMMYFUNCTION("""COMPUTED_VALUE"""),"TutorTown")</f>
        <v>TutorTown</v>
      </c>
      <c r="F1129" s="122" t="str">
        <f>IFERROR(__xludf.DUMMYFUNCTION("""COMPUTED_VALUE"""),"Education")</f>
        <v>Education</v>
      </c>
    </row>
    <row r="1130">
      <c r="A1130" s="131">
        <f>IFERROR(__xludf.DUMMYFUNCTION("""COMPUTED_VALUE"""),46187.346724537034)</f>
        <v>46187.34672</v>
      </c>
      <c r="B1130" s="126">
        <f>IFERROR(__xludf.DUMMYFUNCTION("""COMPUTED_VALUE"""),46187.0)</f>
        <v>46187</v>
      </c>
      <c r="C1130" s="130">
        <f>IFERROR(__xludf.DUMMYFUNCTION("""COMPUTED_VALUE"""),0.34672453703703704)</f>
        <v>0.346724537</v>
      </c>
      <c r="D1130" s="122" t="str">
        <f>IFERROR(__xludf.DUMMYFUNCTION("""COMPUTED_VALUE"""),"LANG")</f>
        <v>LANG</v>
      </c>
      <c r="E1130" s="122" t="str">
        <f>IFERROR(__xludf.DUMMYFUNCTION("""COMPUTED_VALUE"""),"LinguaLab")</f>
        <v>LinguaLab</v>
      </c>
      <c r="F1130" s="122" t="str">
        <f>IFERROR(__xludf.DUMMYFUNCTION("""COMPUTED_VALUE"""),"Education")</f>
        <v>Education</v>
      </c>
    </row>
    <row r="1131">
      <c r="A1131" s="131">
        <f>IFERROR(__xludf.DUMMYFUNCTION("""COMPUTED_VALUE"""),46187.346724537034)</f>
        <v>46187.34672</v>
      </c>
      <c r="B1131" s="126">
        <f>IFERROR(__xludf.DUMMYFUNCTION("""COMPUTED_VALUE"""),46187.0)</f>
        <v>46187</v>
      </c>
      <c r="C1131" s="130">
        <f>IFERROR(__xludf.DUMMYFUNCTION("""COMPUTED_VALUE"""),0.34672453703703704)</f>
        <v>0.346724537</v>
      </c>
      <c r="D1131" s="122" t="str">
        <f>IFERROR(__xludf.DUMMYFUNCTION("""COMPUTED_VALUE"""),"TEST")</f>
        <v>TEST</v>
      </c>
      <c r="E1131" s="122" t="str">
        <f>IFERROR(__xludf.DUMMYFUNCTION("""COMPUTED_VALUE"""),"TestPrep Pro")</f>
        <v>TestPrep Pro</v>
      </c>
      <c r="F1131" s="122" t="str">
        <f>IFERROR(__xludf.DUMMYFUNCTION("""COMPUTED_VALUE"""),"Education")</f>
        <v>Education</v>
      </c>
    </row>
    <row r="1132">
      <c r="A1132" s="131">
        <f>IFERROR(__xludf.DUMMYFUNCTION("""COMPUTED_VALUE"""),46187.346724537034)</f>
        <v>46187.34672</v>
      </c>
      <c r="B1132" s="126">
        <f>IFERROR(__xludf.DUMMYFUNCTION("""COMPUTED_VALUE"""),46187.0)</f>
        <v>46187</v>
      </c>
      <c r="C1132" s="130">
        <f>IFERROR(__xludf.DUMMYFUNCTION("""COMPUTED_VALUE"""),0.34672453703703704)</f>
        <v>0.346724537</v>
      </c>
      <c r="D1132" s="122" t="str">
        <f>IFERROR(__xludf.DUMMYFUNCTION("""COMPUTED_VALUE"""),"MOVI")</f>
        <v>MOVI</v>
      </c>
      <c r="E1132" s="122" t="str">
        <f>IFERROR(__xludf.DUMMYFUNCTION("""COMPUTED_VALUE"""),"MovieBox")</f>
        <v>MovieBox</v>
      </c>
      <c r="F1132" s="122" t="str">
        <f>IFERROR(__xludf.DUMMYFUNCTION("""COMPUTED_VALUE"""),"Entertainment")</f>
        <v>Entertainment</v>
      </c>
    </row>
    <row r="1133">
      <c r="A1133" s="131">
        <f>IFERROR(__xludf.DUMMYFUNCTION("""COMPUTED_VALUE"""),46187.346724537034)</f>
        <v>46187.34672</v>
      </c>
      <c r="B1133" s="126">
        <f>IFERROR(__xludf.DUMMYFUNCTION("""COMPUTED_VALUE"""),46187.0)</f>
        <v>46187</v>
      </c>
      <c r="C1133" s="130">
        <f>IFERROR(__xludf.DUMMYFUNCTION("""COMPUTED_VALUE"""),0.34672453703703704)</f>
        <v>0.346724537</v>
      </c>
      <c r="D1133" s="122" t="str">
        <f>IFERROR(__xludf.DUMMYFUNCTION("""COMPUTED_VALUE"""),"MUSC")</f>
        <v>MUSC</v>
      </c>
      <c r="E1133" s="122" t="str">
        <f>IFERROR(__xludf.DUMMYFUNCTION("""COMPUTED_VALUE"""),"MusicWave")</f>
        <v>MusicWave</v>
      </c>
      <c r="F1133" s="122" t="str">
        <f>IFERROR(__xludf.DUMMYFUNCTION("""COMPUTED_VALUE"""),"Entertainment")</f>
        <v>Entertainment</v>
      </c>
    </row>
    <row r="1134">
      <c r="A1134" s="131">
        <f>IFERROR(__xludf.DUMMYFUNCTION("""COMPUTED_VALUE"""),46187.346724537034)</f>
        <v>46187.34672</v>
      </c>
      <c r="B1134" s="126">
        <f>IFERROR(__xludf.DUMMYFUNCTION("""COMPUTED_VALUE"""),46187.0)</f>
        <v>46187</v>
      </c>
      <c r="C1134" s="130">
        <f>IFERROR(__xludf.DUMMYFUNCTION("""COMPUTED_VALUE"""),0.34672453703703704)</f>
        <v>0.346724537</v>
      </c>
      <c r="D1134" s="122" t="str">
        <f>IFERROR(__xludf.DUMMYFUNCTION("""COMPUTED_VALUE"""),"IDOL")</f>
        <v>IDOL</v>
      </c>
      <c r="E1134" s="122" t="str">
        <f>IFERROR(__xludf.DUMMYFUNCTION("""COMPUTED_VALUE"""),"Idol Agency")</f>
        <v>Idol Agency</v>
      </c>
      <c r="F1134" s="122" t="str">
        <f>IFERROR(__xludf.DUMMYFUNCTION("""COMPUTED_VALUE"""),"Entertainment")</f>
        <v>Entertainment</v>
      </c>
    </row>
    <row r="1135">
      <c r="A1135" s="131">
        <f>IFERROR(__xludf.DUMMYFUNCTION("""COMPUTED_VALUE"""),46187.346724537034)</f>
        <v>46187.34672</v>
      </c>
      <c r="B1135" s="126">
        <f>IFERROR(__xludf.DUMMYFUNCTION("""COMPUTED_VALUE"""),46187.0)</f>
        <v>46187</v>
      </c>
      <c r="C1135" s="130">
        <f>IFERROR(__xludf.DUMMYFUNCTION("""COMPUTED_VALUE"""),0.34672453703703704)</f>
        <v>0.346724537</v>
      </c>
      <c r="D1135" s="122" t="str">
        <f>IFERROR(__xludf.DUMMYFUNCTION("""COMPUTED_VALUE"""),"MEME")</f>
        <v>MEME</v>
      </c>
      <c r="E1135" s="122" t="str">
        <f>IFERROR(__xludf.DUMMYFUNCTION("""COMPUTED_VALUE"""),"Meme Media")</f>
        <v>Meme Media</v>
      </c>
      <c r="F1135" s="122" t="str">
        <f>IFERROR(__xludf.DUMMYFUNCTION("""COMPUTED_VALUE"""),"Entertainment")</f>
        <v>Entertainment</v>
      </c>
    </row>
    <row r="1136">
      <c r="A1136" s="131">
        <f>IFERROR(__xludf.DUMMYFUNCTION("""COMPUTED_VALUE"""),46187.346724537034)</f>
        <v>46187.34672</v>
      </c>
      <c r="B1136" s="126">
        <f>IFERROR(__xludf.DUMMYFUNCTION("""COMPUTED_VALUE"""),46187.0)</f>
        <v>46187</v>
      </c>
      <c r="C1136" s="130">
        <f>IFERROR(__xludf.DUMMYFUNCTION("""COMPUTED_VALUE"""),0.34672453703703704)</f>
        <v>0.346724537</v>
      </c>
      <c r="D1136" s="122" t="str">
        <f>IFERROR(__xludf.DUMMYFUNCTION("""COMPUTED_VALUE"""),"STRM")</f>
        <v>STRM</v>
      </c>
      <c r="E1136" s="122" t="str">
        <f>IFERROR(__xludf.DUMMYFUNCTION("""COMPUTED_VALUE"""),"Streamly")</f>
        <v>Streamly</v>
      </c>
      <c r="F1136" s="122" t="str">
        <f>IFERROR(__xludf.DUMMYFUNCTION("""COMPUTED_VALUE"""),"Entertainment")</f>
        <v>Entertainment</v>
      </c>
    </row>
    <row r="1137">
      <c r="A1137" s="131">
        <f>IFERROR(__xludf.DUMMYFUNCTION("""COMPUTED_VALUE"""),46187.346724537034)</f>
        <v>46187.34672</v>
      </c>
      <c r="B1137" s="126">
        <f>IFERROR(__xludf.DUMMYFUNCTION("""COMPUTED_VALUE"""),46187.0)</f>
        <v>46187</v>
      </c>
      <c r="C1137" s="130">
        <f>IFERROR(__xludf.DUMMYFUNCTION("""COMPUTED_VALUE"""),0.34672453703703704)</f>
        <v>0.346724537</v>
      </c>
      <c r="D1137" s="122" t="str">
        <f>IFERROR(__xludf.DUMMYFUNCTION("""COMPUTED_VALUE"""),"FARM")</f>
        <v>FARM</v>
      </c>
      <c r="E1137" s="122" t="str">
        <f>IFERROR(__xludf.DUMMYFUNCTION("""COMPUTED_VALUE"""),"Future Farms")</f>
        <v>Future Farms</v>
      </c>
      <c r="F1137" s="122" t="str">
        <f>IFERROR(__xludf.DUMMYFUNCTION("""COMPUTED_VALUE"""),"Agriculture")</f>
        <v>Agriculture</v>
      </c>
    </row>
    <row r="1138">
      <c r="A1138" s="131">
        <f>IFERROR(__xludf.DUMMYFUNCTION("""COMPUTED_VALUE"""),46187.346724537034)</f>
        <v>46187.34672</v>
      </c>
      <c r="B1138" s="126">
        <f>IFERROR(__xludf.DUMMYFUNCTION("""COMPUTED_VALUE"""),46187.0)</f>
        <v>46187</v>
      </c>
      <c r="C1138" s="130">
        <f>IFERROR(__xludf.DUMMYFUNCTION("""COMPUTED_VALUE"""),0.34672453703703704)</f>
        <v>0.346724537</v>
      </c>
      <c r="D1138" s="122" t="str">
        <f>IFERROR(__xludf.DUMMYFUNCTION("""COMPUTED_VALUE"""),"MEAT")</f>
        <v>MEAT</v>
      </c>
      <c r="E1138" s="122" t="str">
        <f>IFERROR(__xludf.DUMMYFUNCTION("""COMPUTED_VALUE"""),"MeatWorks")</f>
        <v>MeatWorks</v>
      </c>
      <c r="F1138" s="122" t="str">
        <f>IFERROR(__xludf.DUMMYFUNCTION("""COMPUTED_VALUE"""),"Food")</f>
        <v>Food</v>
      </c>
    </row>
    <row r="1139">
      <c r="A1139" s="131">
        <f>IFERROR(__xludf.DUMMYFUNCTION("""COMPUTED_VALUE"""),46187.346724537034)</f>
        <v>46187.34672</v>
      </c>
      <c r="B1139" s="126">
        <f>IFERROR(__xludf.DUMMYFUNCTION("""COMPUTED_VALUE"""),46187.0)</f>
        <v>46187</v>
      </c>
      <c r="C1139" s="130">
        <f>IFERROR(__xludf.DUMMYFUNCTION("""COMPUTED_VALUE"""),0.34672453703703704)</f>
        <v>0.346724537</v>
      </c>
      <c r="D1139" s="122" t="str">
        <f>IFERROR(__xludf.DUMMYFUNCTION("""COMPUTED_VALUE"""),"VEGI")</f>
        <v>VEGI</v>
      </c>
      <c r="E1139" s="122" t="str">
        <f>IFERROR(__xludf.DUMMYFUNCTION("""COMPUTED_VALUE"""),"Green Basket")</f>
        <v>Green Basket</v>
      </c>
      <c r="F1139" s="122" t="str">
        <f>IFERROR(__xludf.DUMMYFUNCTION("""COMPUTED_VALUE"""),"Food")</f>
        <v>Food</v>
      </c>
    </row>
    <row r="1140">
      <c r="A1140" s="131">
        <f>IFERROR(__xludf.DUMMYFUNCTION("""COMPUTED_VALUE"""),46187.346724537034)</f>
        <v>46187.34672</v>
      </c>
      <c r="B1140" s="126">
        <f>IFERROR(__xludf.DUMMYFUNCTION("""COMPUTED_VALUE"""),46187.0)</f>
        <v>46187</v>
      </c>
      <c r="C1140" s="130">
        <f>IFERROR(__xludf.DUMMYFUNCTION("""COMPUTED_VALUE"""),0.34672453703703704)</f>
        <v>0.346724537</v>
      </c>
      <c r="D1140" s="122" t="str">
        <f>IFERROR(__xludf.DUMMYFUNCTION("""COMPUTED_VALUE"""),"CAFE")</f>
        <v>CAFE</v>
      </c>
      <c r="E1140" s="122" t="str">
        <f>IFERROR(__xludf.DUMMYFUNCTION("""COMPUTED_VALUE"""),"Cafe Cloud")</f>
        <v>Cafe Cloud</v>
      </c>
      <c r="F1140" s="122" t="str">
        <f>IFERROR(__xludf.DUMMYFUNCTION("""COMPUTED_VALUE"""),"Food")</f>
        <v>Food</v>
      </c>
    </row>
    <row r="1141">
      <c r="A1141" s="131">
        <f>IFERROR(__xludf.DUMMYFUNCTION("""COMPUTED_VALUE"""),46187.346724537034)</f>
        <v>46187.34672</v>
      </c>
      <c r="B1141" s="126">
        <f>IFERROR(__xludf.DUMMYFUNCTION("""COMPUTED_VALUE"""),46187.0)</f>
        <v>46187</v>
      </c>
      <c r="C1141" s="130">
        <f>IFERROR(__xludf.DUMMYFUNCTION("""COMPUTED_VALUE"""),0.34672453703703704)</f>
        <v>0.346724537</v>
      </c>
      <c r="D1141" s="122" t="str">
        <f>IFERROR(__xludf.DUMMYFUNCTION("""COMPUTED_VALUE"""),"BAKE")</f>
        <v>BAKE</v>
      </c>
      <c r="E1141" s="122" t="str">
        <f>IFERROR(__xludf.DUMMYFUNCTION("""COMPUTED_VALUE"""),"BakeHouse")</f>
        <v>BakeHouse</v>
      </c>
      <c r="F1141" s="122" t="str">
        <f>IFERROR(__xludf.DUMMYFUNCTION("""COMPUTED_VALUE"""),"Food")</f>
        <v>Food</v>
      </c>
    </row>
    <row r="1142">
      <c r="A1142" s="131">
        <f>IFERROR(__xludf.DUMMYFUNCTION("""COMPUTED_VALUE"""),46187.346724537034)</f>
        <v>46187.34672</v>
      </c>
      <c r="B1142" s="126">
        <f>IFERROR(__xludf.DUMMYFUNCTION("""COMPUTED_VALUE"""),46187.0)</f>
        <v>46187</v>
      </c>
      <c r="C1142" s="130">
        <f>IFERROR(__xludf.DUMMYFUNCTION("""COMPUTED_VALUE"""),0.34672453703703704)</f>
        <v>0.346724537</v>
      </c>
      <c r="D1142" s="122" t="str">
        <f>IFERROR(__xludf.DUMMYFUNCTION("""COMPUTED_VALUE"""),"OILX")</f>
        <v>OILX</v>
      </c>
      <c r="E1142" s="122" t="str">
        <f>IFERROR(__xludf.DUMMYFUNCTION("""COMPUTED_VALUE"""),"OilMax Energy")</f>
        <v>OilMax Energy</v>
      </c>
      <c r="F1142" s="122" t="str">
        <f>IFERROR(__xludf.DUMMYFUNCTION("""COMPUTED_VALUE"""),"Energy")</f>
        <v>Energy</v>
      </c>
    </row>
    <row r="1143">
      <c r="A1143" s="131">
        <f>IFERROR(__xludf.DUMMYFUNCTION("""COMPUTED_VALUE"""),46187.346724537034)</f>
        <v>46187.34672</v>
      </c>
      <c r="B1143" s="126">
        <f>IFERROR(__xludf.DUMMYFUNCTION("""COMPUTED_VALUE"""),46187.0)</f>
        <v>46187</v>
      </c>
      <c r="C1143" s="130">
        <f>IFERROR(__xludf.DUMMYFUNCTION("""COMPUTED_VALUE"""),0.34672453703703704)</f>
        <v>0.346724537</v>
      </c>
      <c r="D1143" s="122" t="str">
        <f>IFERROR(__xludf.DUMMYFUNCTION("""COMPUTED_VALUE"""),"SOLR")</f>
        <v>SOLR</v>
      </c>
      <c r="E1143" s="122" t="str">
        <f>IFERROR(__xludf.DUMMYFUNCTION("""COMPUTED_VALUE"""),"SolarSpark")</f>
        <v>SolarSpark</v>
      </c>
      <c r="F1143" s="122" t="str">
        <f>IFERROR(__xludf.DUMMYFUNCTION("""COMPUTED_VALUE"""),"Energy")</f>
        <v>Energy</v>
      </c>
    </row>
    <row r="1144">
      <c r="A1144" s="131">
        <f>IFERROR(__xludf.DUMMYFUNCTION("""COMPUTED_VALUE"""),46187.346724537034)</f>
        <v>46187.34672</v>
      </c>
      <c r="B1144" s="126">
        <f>IFERROR(__xludf.DUMMYFUNCTION("""COMPUTED_VALUE"""),46187.0)</f>
        <v>46187</v>
      </c>
      <c r="C1144" s="130">
        <f>IFERROR(__xludf.DUMMYFUNCTION("""COMPUTED_VALUE"""),0.34672453703703704)</f>
        <v>0.346724537</v>
      </c>
      <c r="D1144" s="122" t="str">
        <f>IFERROR(__xludf.DUMMYFUNCTION("""COMPUTED_VALUE"""),"BATT")</f>
        <v>BATT</v>
      </c>
      <c r="E1144" s="122" t="str">
        <f>IFERROR(__xludf.DUMMYFUNCTION("""COMPUTED_VALUE"""),"BatteryBox")</f>
        <v>BatteryBox</v>
      </c>
      <c r="F1144" s="122" t="str">
        <f>IFERROR(__xludf.DUMMYFUNCTION("""COMPUTED_VALUE"""),"Energy")</f>
        <v>Energy</v>
      </c>
    </row>
    <row r="1145">
      <c r="A1145" s="131">
        <f>IFERROR(__xludf.DUMMYFUNCTION("""COMPUTED_VALUE"""),46187.346724537034)</f>
        <v>46187.34672</v>
      </c>
      <c r="B1145" s="126">
        <f>IFERROR(__xludf.DUMMYFUNCTION("""COMPUTED_VALUE"""),46187.0)</f>
        <v>46187</v>
      </c>
      <c r="C1145" s="130">
        <f>IFERROR(__xludf.DUMMYFUNCTION("""COMPUTED_VALUE"""),0.34672453703703704)</f>
        <v>0.346724537</v>
      </c>
      <c r="D1145" s="122" t="str">
        <f>IFERROR(__xludf.DUMMYFUNCTION("""COMPUTED_VALUE"""),"WIND")</f>
        <v>WIND</v>
      </c>
      <c r="E1145" s="122" t="str">
        <f>IFERROR(__xludf.DUMMYFUNCTION("""COMPUTED_VALUE"""),"WindWorks")</f>
        <v>WindWorks</v>
      </c>
      <c r="F1145" s="122" t="str">
        <f>IFERROR(__xludf.DUMMYFUNCTION("""COMPUTED_VALUE"""),"Energy")</f>
        <v>Energy</v>
      </c>
    </row>
    <row r="1146">
      <c r="A1146" s="131">
        <f>IFERROR(__xludf.DUMMYFUNCTION("""COMPUTED_VALUE"""),46187.346724537034)</f>
        <v>46187.34672</v>
      </c>
      <c r="B1146" s="126">
        <f>IFERROR(__xludf.DUMMYFUNCTION("""COMPUTED_VALUE"""),46187.0)</f>
        <v>46187</v>
      </c>
      <c r="C1146" s="130">
        <f>IFERROR(__xludf.DUMMYFUNCTION("""COMPUTED_VALUE"""),0.34672453703703704)</f>
        <v>0.346724537</v>
      </c>
      <c r="D1146" s="122" t="str">
        <f>IFERROR(__xludf.DUMMYFUNCTION("""COMPUTED_VALUE"""),"GRID")</f>
        <v>GRID</v>
      </c>
      <c r="E1146" s="122" t="str">
        <f>IFERROR(__xludf.DUMMYFUNCTION("""COMPUTED_VALUE"""),"GridPower")</f>
        <v>GridPower</v>
      </c>
      <c r="F1146" s="122" t="str">
        <f>IFERROR(__xludf.DUMMYFUNCTION("""COMPUTED_VALUE"""),"Energy")</f>
        <v>Energy</v>
      </c>
    </row>
    <row r="1147">
      <c r="A1147" s="131">
        <f>IFERROR(__xludf.DUMMYFUNCTION("""COMPUTED_VALUE"""),46187.346724537034)</f>
        <v>46187.34672</v>
      </c>
      <c r="B1147" s="126">
        <f>IFERROR(__xludf.DUMMYFUNCTION("""COMPUTED_VALUE"""),46187.0)</f>
        <v>46187</v>
      </c>
      <c r="C1147" s="130">
        <f>IFERROR(__xludf.DUMMYFUNCTION("""COMPUTED_VALUE"""),0.34672453703703704)</f>
        <v>0.346724537</v>
      </c>
      <c r="D1147" s="122" t="str">
        <f>IFERROR(__xludf.DUMMYFUNCTION("""COMPUTED_VALUE"""),"HOME")</f>
        <v>HOME</v>
      </c>
      <c r="E1147" s="122" t="str">
        <f>IFERROR(__xludf.DUMMYFUNCTION("""COMPUTED_VALUE"""),"HomeHub")</f>
        <v>HomeHub</v>
      </c>
      <c r="F1147" s="122" t="str">
        <f>IFERROR(__xludf.DUMMYFUNCTION("""COMPUTED_VALUE"""),"Real Estate")</f>
        <v>Real Estate</v>
      </c>
    </row>
    <row r="1148">
      <c r="A1148" s="131">
        <f>IFERROR(__xludf.DUMMYFUNCTION("""COMPUTED_VALUE"""),46187.346724537034)</f>
        <v>46187.34672</v>
      </c>
      <c r="B1148" s="126">
        <f>IFERROR(__xludf.DUMMYFUNCTION("""COMPUTED_VALUE"""),46187.0)</f>
        <v>46187</v>
      </c>
      <c r="C1148" s="130">
        <f>IFERROR(__xludf.DUMMYFUNCTION("""COMPUTED_VALUE"""),0.34672453703703704)</f>
        <v>0.346724537</v>
      </c>
      <c r="D1148" s="122" t="str">
        <f>IFERROR(__xludf.DUMMYFUNCTION("""COMPUTED_VALUE"""),"RENT")</f>
        <v>RENT</v>
      </c>
      <c r="E1148" s="122" t="str">
        <f>IFERROR(__xludf.DUMMYFUNCTION("""COMPUTED_VALUE"""),"RentRight")</f>
        <v>RentRight</v>
      </c>
      <c r="F1148" s="122" t="str">
        <f>IFERROR(__xludf.DUMMYFUNCTION("""COMPUTED_VALUE"""),"Real Estate")</f>
        <v>Real Estate</v>
      </c>
    </row>
    <row r="1149">
      <c r="A1149" s="131">
        <f>IFERROR(__xludf.DUMMYFUNCTION("""COMPUTED_VALUE"""),46187.346724537034)</f>
        <v>46187.34672</v>
      </c>
      <c r="B1149" s="126">
        <f>IFERROR(__xludf.DUMMYFUNCTION("""COMPUTED_VALUE"""),46187.0)</f>
        <v>46187</v>
      </c>
      <c r="C1149" s="130">
        <f>IFERROR(__xludf.DUMMYFUNCTION("""COMPUTED_VALUE"""),0.34672453703703704)</f>
        <v>0.346724537</v>
      </c>
      <c r="D1149" s="122" t="str">
        <f>IFERROR(__xludf.DUMMYFUNCTION("""COMPUTED_VALUE"""),"MALL")</f>
        <v>MALL</v>
      </c>
      <c r="E1149" s="122" t="str">
        <f>IFERROR(__xludf.DUMMYFUNCTION("""COMPUTED_VALUE"""),"MegaMall")</f>
        <v>MegaMall</v>
      </c>
      <c r="F1149" s="122" t="str">
        <f>IFERROR(__xludf.DUMMYFUNCTION("""COMPUTED_VALUE"""),"Real Estate")</f>
        <v>Real Estate</v>
      </c>
    </row>
    <row r="1150">
      <c r="A1150" s="131">
        <f>IFERROR(__xludf.DUMMYFUNCTION("""COMPUTED_VALUE"""),46187.346724537034)</f>
        <v>46187.34672</v>
      </c>
      <c r="B1150" s="126">
        <f>IFERROR(__xludf.DUMMYFUNCTION("""COMPUTED_VALUE"""),46187.0)</f>
        <v>46187</v>
      </c>
      <c r="C1150" s="130">
        <f>IFERROR(__xludf.DUMMYFUNCTION("""COMPUTED_VALUE"""),0.34672453703703704)</f>
        <v>0.346724537</v>
      </c>
      <c r="D1150" s="122" t="str">
        <f>IFERROR(__xludf.DUMMYFUNCTION("""COMPUTED_VALUE"""),"HOTL")</f>
        <v>HOTL</v>
      </c>
      <c r="E1150" s="122" t="str">
        <f>IFERROR(__xludf.DUMMYFUNCTION("""COMPUTED_VALUE"""),"HotelHive")</f>
        <v>HotelHive</v>
      </c>
      <c r="F1150" s="122" t="str">
        <f>IFERROR(__xludf.DUMMYFUNCTION("""COMPUTED_VALUE"""),"Real Estate")</f>
        <v>Real Estate</v>
      </c>
    </row>
    <row r="1151">
      <c r="A1151" s="131">
        <f>IFERROR(__xludf.DUMMYFUNCTION("""COMPUTED_VALUE"""),46187.346724537034)</f>
        <v>46187.34672</v>
      </c>
      <c r="B1151" s="126">
        <f>IFERROR(__xludf.DUMMYFUNCTION("""COMPUTED_VALUE"""),46187.0)</f>
        <v>46187</v>
      </c>
      <c r="C1151" s="130">
        <f>IFERROR(__xludf.DUMMYFUNCTION("""COMPUTED_VALUE"""),0.34672453703703704)</f>
        <v>0.346724537</v>
      </c>
      <c r="D1151" s="122" t="str">
        <f>IFERROR(__xludf.DUMMYFUNCTION("""COMPUTED_VALUE"""),"LAND")</f>
        <v>LAND</v>
      </c>
      <c r="E1151" s="122" t="str">
        <f>IFERROR(__xludf.DUMMYFUNCTION("""COMPUTED_VALUE"""),"LandLink")</f>
        <v>LandLink</v>
      </c>
      <c r="F1151" s="122" t="str">
        <f>IFERROR(__xludf.DUMMYFUNCTION("""COMPUTED_VALUE"""),"Real Estate")</f>
        <v>Real Estate</v>
      </c>
    </row>
    <row r="1152">
      <c r="A1152" s="131">
        <f>IFERROR(__xludf.DUMMYFUNCTION("""COMPUTED_VALUE"""),46187.346724537034)</f>
        <v>46187.34672</v>
      </c>
      <c r="B1152" s="126">
        <f>IFERROR(__xludf.DUMMYFUNCTION("""COMPUTED_VALUE"""),46187.0)</f>
        <v>46187</v>
      </c>
      <c r="C1152" s="130">
        <f>IFERROR(__xludf.DUMMYFUNCTION("""COMPUTED_VALUE"""),0.34672453703703704)</f>
        <v>0.346724537</v>
      </c>
      <c r="D1152" s="122" t="str">
        <f>IFERROR(__xludf.DUMMYFUNCTION("""COMPUTED_VALUE"""),"CARS")</f>
        <v>CARS</v>
      </c>
      <c r="E1152" s="122" t="str">
        <f>IFERROR(__xludf.DUMMYFUNCTION("""COMPUTED_VALUE"""),"AutoArena")</f>
        <v>AutoArena</v>
      </c>
      <c r="F1152" s="122" t="str">
        <f>IFERROR(__xludf.DUMMYFUNCTION("""COMPUTED_VALUE"""),"Automotive")</f>
        <v>Automotive</v>
      </c>
    </row>
    <row r="1153">
      <c r="A1153" s="131">
        <f>IFERROR(__xludf.DUMMYFUNCTION("""COMPUTED_VALUE"""),46187.346724537034)</f>
        <v>46187.34672</v>
      </c>
      <c r="B1153" s="126">
        <f>IFERROR(__xludf.DUMMYFUNCTION("""COMPUTED_VALUE"""),46187.0)</f>
        <v>46187</v>
      </c>
      <c r="C1153" s="130">
        <f>IFERROR(__xludf.DUMMYFUNCTION("""COMPUTED_VALUE"""),0.34672453703703704)</f>
        <v>0.346724537</v>
      </c>
      <c r="D1153" s="122" t="str">
        <f>IFERROR(__xludf.DUMMYFUNCTION("""COMPUTED_VALUE"""),"EVGO")</f>
        <v>EVGO</v>
      </c>
      <c r="E1153" s="122" t="str">
        <f>IFERROR(__xludf.DUMMYFUNCTION("""COMPUTED_VALUE"""),"EVGo Motors")</f>
        <v>EVGo Motors</v>
      </c>
      <c r="F1153" s="122" t="str">
        <f>IFERROR(__xludf.DUMMYFUNCTION("""COMPUTED_VALUE"""),"Automotive")</f>
        <v>Automotive</v>
      </c>
    </row>
    <row r="1154">
      <c r="A1154" s="131">
        <f>IFERROR(__xludf.DUMMYFUNCTION("""COMPUTED_VALUE"""),46187.346724537034)</f>
        <v>46187.34672</v>
      </c>
      <c r="B1154" s="126">
        <f>IFERROR(__xludf.DUMMYFUNCTION("""COMPUTED_VALUE"""),46187.0)</f>
        <v>46187</v>
      </c>
      <c r="C1154" s="130">
        <f>IFERROR(__xludf.DUMMYFUNCTION("""COMPUTED_VALUE"""),0.34672453703703704)</f>
        <v>0.346724537</v>
      </c>
      <c r="D1154" s="122" t="str">
        <f>IFERROR(__xludf.DUMMYFUNCTION("""COMPUTED_VALUE"""),"TIRE")</f>
        <v>TIRE</v>
      </c>
      <c r="E1154" s="122" t="str">
        <f>IFERROR(__xludf.DUMMYFUNCTION("""COMPUTED_VALUE"""),"TireTown")</f>
        <v>TireTown</v>
      </c>
      <c r="F1154" s="122" t="str">
        <f>IFERROR(__xludf.DUMMYFUNCTION("""COMPUTED_VALUE"""),"Automotive")</f>
        <v>Automotive</v>
      </c>
    </row>
    <row r="1155">
      <c r="A1155" s="131">
        <f>IFERROR(__xludf.DUMMYFUNCTION("""COMPUTED_VALUE"""),46187.346724537034)</f>
        <v>46187.34672</v>
      </c>
      <c r="B1155" s="126">
        <f>IFERROR(__xludf.DUMMYFUNCTION("""COMPUTED_VALUE"""),46187.0)</f>
        <v>46187</v>
      </c>
      <c r="C1155" s="130">
        <f>IFERROR(__xludf.DUMMYFUNCTION("""COMPUTED_VALUE"""),0.34672453703703704)</f>
        <v>0.346724537</v>
      </c>
      <c r="D1155" s="122" t="str">
        <f>IFERROR(__xludf.DUMMYFUNCTION("""COMPUTED_VALUE"""),"BIKE")</f>
        <v>BIKE</v>
      </c>
      <c r="E1155" s="122" t="str">
        <f>IFERROR(__xludf.DUMMYFUNCTION("""COMPUTED_VALUE"""),"BikeBox")</f>
        <v>BikeBox</v>
      </c>
      <c r="F1155" s="122" t="str">
        <f>IFERROR(__xludf.DUMMYFUNCTION("""COMPUTED_VALUE"""),"Automotive")</f>
        <v>Automotive</v>
      </c>
    </row>
    <row r="1156">
      <c r="A1156" s="131">
        <f>IFERROR(__xludf.DUMMYFUNCTION("""COMPUTED_VALUE"""),46187.346724537034)</f>
        <v>46187.34672</v>
      </c>
      <c r="B1156" s="126">
        <f>IFERROR(__xludf.DUMMYFUNCTION("""COMPUTED_VALUE"""),46187.0)</f>
        <v>46187</v>
      </c>
      <c r="C1156" s="130">
        <f>IFERROR(__xludf.DUMMYFUNCTION("""COMPUTED_VALUE"""),0.34672453703703704)</f>
        <v>0.346724537</v>
      </c>
      <c r="D1156" s="122" t="str">
        <f>IFERROR(__xludf.DUMMYFUNCTION("""COMPUTED_VALUE"""),"WASH")</f>
        <v>WASH</v>
      </c>
      <c r="E1156" s="122" t="str">
        <f>IFERROR(__xludf.DUMMYFUNCTION("""COMPUTED_VALUE"""),"CarWash Co")</f>
        <v>CarWash Co</v>
      </c>
      <c r="F1156" s="122" t="str">
        <f>IFERROR(__xludf.DUMMYFUNCTION("""COMPUTED_VALUE"""),"Automotive")</f>
        <v>Automotive</v>
      </c>
    </row>
    <row r="1157">
      <c r="A1157" s="131">
        <f>IFERROR(__xludf.DUMMYFUNCTION("""COMPUTED_VALUE"""),46187.346724537034)</f>
        <v>46187.34672</v>
      </c>
      <c r="B1157" s="126">
        <f>IFERROR(__xludf.DUMMYFUNCTION("""COMPUTED_VALUE"""),46187.0)</f>
        <v>46187</v>
      </c>
      <c r="C1157" s="130">
        <f>IFERROR(__xludf.DUMMYFUNCTION("""COMPUTED_VALUE"""),0.34672453703703704)</f>
        <v>0.346724537</v>
      </c>
      <c r="D1157" s="122" t="str">
        <f>IFERROR(__xludf.DUMMYFUNCTION("""COMPUTED_VALUE"""),"GBND")</f>
        <v>GBND</v>
      </c>
      <c r="E1157" s="122" t="str">
        <f>IFERROR(__xludf.DUMMYFUNCTION("""COMPUTED_VALUE"""),"Classroom Government Bond")</f>
        <v>Classroom Government Bond</v>
      </c>
      <c r="F1157" s="122" t="str">
        <f>IFERROR(__xludf.DUMMYFUNCTION("""COMPUTED_VALUE"""),"Bond")</f>
        <v>Bond</v>
      </c>
    </row>
    <row r="1158">
      <c r="A1158" s="131">
        <f>IFERROR(__xludf.DUMMYFUNCTION("""COMPUTED_VALUE"""),46187.346724537034)</f>
        <v>46187.34672</v>
      </c>
      <c r="B1158" s="126">
        <f>IFERROR(__xludf.DUMMYFUNCTION("""COMPUTED_VALUE"""),46187.0)</f>
        <v>46187</v>
      </c>
      <c r="C1158" s="130">
        <f>IFERROR(__xludf.DUMMYFUNCTION("""COMPUTED_VALUE"""),0.34672453703703704)</f>
        <v>0.346724537</v>
      </c>
      <c r="D1158" s="122" t="str">
        <f>IFERROR(__xludf.DUMMYFUNCTION("""COMPUTED_VALUE"""),"SBND")</f>
        <v>SBND</v>
      </c>
      <c r="E1158" s="122" t="str">
        <f>IFERROR(__xludf.DUMMYFUNCTION("""COMPUTED_VALUE"""),"School Savings Bond")</f>
        <v>School Savings Bond</v>
      </c>
      <c r="F1158" s="122" t="str">
        <f>IFERROR(__xludf.DUMMYFUNCTION("""COMPUTED_VALUE"""),"Bond")</f>
        <v>Bond</v>
      </c>
    </row>
    <row r="1159">
      <c r="A1159" s="131">
        <f>IFERROR(__xludf.DUMMYFUNCTION("""COMPUTED_VALUE"""),46187.346724537034)</f>
        <v>46187.34672</v>
      </c>
      <c r="B1159" s="126">
        <f>IFERROR(__xludf.DUMMYFUNCTION("""COMPUTED_VALUE"""),46187.0)</f>
        <v>46187</v>
      </c>
      <c r="C1159" s="130">
        <f>IFERROR(__xludf.DUMMYFUNCTION("""COMPUTED_VALUE"""),0.34672453703703704)</f>
        <v>0.346724537</v>
      </c>
      <c r="D1159" s="122" t="str">
        <f>IFERROR(__xludf.DUMMYFUNCTION("""COMPUTED_VALUE"""),"CBND")</f>
        <v>CBND</v>
      </c>
      <c r="E1159" s="122" t="str">
        <f>IFERROR(__xludf.DUMMYFUNCTION("""COMPUTED_VALUE"""),"Corporate Classroom Bond")</f>
        <v>Corporate Classroom Bond</v>
      </c>
      <c r="F1159" s="122" t="str">
        <f>IFERROR(__xludf.DUMMYFUNCTION("""COMPUTED_VALUE"""),"Bond")</f>
        <v>Bond</v>
      </c>
    </row>
    <row r="1160">
      <c r="A1160" s="131">
        <f>IFERROR(__xludf.DUMMYFUNCTION("""COMPUTED_VALUE"""),46187.346724537034)</f>
        <v>46187.34672</v>
      </c>
      <c r="B1160" s="126">
        <f>IFERROR(__xludf.DUMMYFUNCTION("""COMPUTED_VALUE"""),46187.0)</f>
        <v>46187</v>
      </c>
      <c r="C1160" s="130">
        <f>IFERROR(__xludf.DUMMYFUNCTION("""COMPUTED_VALUE"""),0.34672453703703704)</f>
        <v>0.346724537</v>
      </c>
      <c r="D1160" s="122" t="str">
        <f>IFERROR(__xludf.DUMMYFUNCTION("""COMPUTED_VALUE"""),"TBIL")</f>
        <v>TBIL</v>
      </c>
      <c r="E1160" s="122" t="str">
        <f>IFERROR(__xludf.DUMMYFUNCTION("""COMPUTED_VALUE"""),"Treasury Bill")</f>
        <v>Treasury Bill</v>
      </c>
      <c r="F1160" s="122" t="str">
        <f>IFERROR(__xludf.DUMMYFUNCTION("""COMPUTED_VALUE"""),"Bond")</f>
        <v>Bond</v>
      </c>
    </row>
    <row r="1161">
      <c r="A1161" s="131">
        <f>IFERROR(__xludf.DUMMYFUNCTION("""COMPUTED_VALUE"""),46187.346724537034)</f>
        <v>46187.34672</v>
      </c>
      <c r="B1161" s="126">
        <f>IFERROR(__xludf.DUMMYFUNCTION("""COMPUTED_VALUE"""),46187.0)</f>
        <v>46187</v>
      </c>
      <c r="C1161" s="130">
        <f>IFERROR(__xludf.DUMMYFUNCTION("""COMPUTED_VALUE"""),0.34672453703703704)</f>
        <v>0.346724537</v>
      </c>
      <c r="D1161" s="122" t="str">
        <f>IFERROR(__xludf.DUMMYFUNCTION("""COMPUTED_VALUE"""),"IBND")</f>
        <v>IBND</v>
      </c>
      <c r="E1161" s="122" t="str">
        <f>IFERROR(__xludf.DUMMYFUNCTION("""COMPUTED_VALUE"""),"Inflation Protected Bond")</f>
        <v>Inflation Protected Bond</v>
      </c>
      <c r="F1161" s="122" t="str">
        <f>IFERROR(__xludf.DUMMYFUNCTION("""COMPUTED_VALUE"""),"Bond")</f>
        <v>Bond</v>
      </c>
    </row>
    <row r="1162">
      <c r="A1162" s="131">
        <f>IFERROR(__xludf.DUMMYFUNCTION("""COMPUTED_VALUE"""),46187.348761574074)</f>
        <v>46187.34876</v>
      </c>
      <c r="B1162" s="126">
        <f>IFERROR(__xludf.DUMMYFUNCTION("""COMPUTED_VALUE"""),46187.0)</f>
        <v>46187</v>
      </c>
      <c r="C1162" s="122" t="str">
        <f>IFERROR(__xludf.DUMMYFUNCTION("""COMPUTED_VALUE"""),"SNAX")</f>
        <v>SNAX</v>
      </c>
      <c r="D1162" s="122" t="str">
        <f>IFERROR(__xludf.DUMMYFUNCTION("""COMPUTED_VALUE"""),"MICA Snacks")</f>
        <v>MICA Snacks</v>
      </c>
      <c r="E1162" s="122">
        <f>IFERROR(__xludf.DUMMYFUNCTION("""COMPUTED_VALUE"""),121.66)</f>
        <v>121.66</v>
      </c>
      <c r="F1162" s="122">
        <f>IFERROR(__xludf.DUMMYFUNCTION("""COMPUTED_VALUE"""),-0.0032)</f>
        <v>-0.0032</v>
      </c>
    </row>
    <row r="1163">
      <c r="A1163" s="131">
        <f>IFERROR(__xludf.DUMMYFUNCTION("""COMPUTED_VALUE"""),46187.348761574074)</f>
        <v>46187.34876</v>
      </c>
      <c r="B1163" s="126">
        <f>IFERROR(__xludf.DUMMYFUNCTION("""COMPUTED_VALUE"""),46187.0)</f>
        <v>46187</v>
      </c>
      <c r="C1163" s="122" t="str">
        <f>IFERROR(__xludf.DUMMYFUNCTION("""COMPUTED_VALUE"""),"RAMN")</f>
        <v>RAMN</v>
      </c>
      <c r="D1163" s="122" t="str">
        <f>IFERROR(__xludf.DUMMYFUNCTION("""COMPUTED_VALUE"""),"Ramen Republic")</f>
        <v>Ramen Republic</v>
      </c>
      <c r="E1163" s="122">
        <f>IFERROR(__xludf.DUMMYFUNCTION("""COMPUTED_VALUE"""),77.68)</f>
        <v>77.68</v>
      </c>
      <c r="F1163" s="122">
        <f>IFERROR(__xludf.DUMMYFUNCTION("""COMPUTED_VALUE"""),0.0015)</f>
        <v>0.0015</v>
      </c>
    </row>
    <row r="1164">
      <c r="A1164" s="131">
        <f>IFERROR(__xludf.DUMMYFUNCTION("""COMPUTED_VALUE"""),46187.348761574074)</f>
        <v>46187.34876</v>
      </c>
      <c r="B1164" s="126">
        <f>IFERROR(__xludf.DUMMYFUNCTION("""COMPUTED_VALUE"""),46187.0)</f>
        <v>46187</v>
      </c>
      <c r="C1164" s="122" t="str">
        <f>IFERROR(__xludf.DUMMYFUNCTION("""COMPUTED_VALUE"""),"COLA")</f>
        <v>COLA</v>
      </c>
      <c r="D1164" s="122" t="str">
        <f>IFERROR(__xludf.DUMMYFUNCTION("""COMPUTED_VALUE"""),"K-Pop Cola")</f>
        <v>K-Pop Cola</v>
      </c>
      <c r="E1164" s="122">
        <f>IFERROR(__xludf.DUMMYFUNCTION("""COMPUTED_VALUE"""),103.04)</f>
        <v>103.04</v>
      </c>
      <c r="F1164" s="122">
        <f>IFERROR(__xludf.DUMMYFUNCTION("""COMPUTED_VALUE"""),0.0)</f>
        <v>0</v>
      </c>
    </row>
    <row r="1165">
      <c r="A1165" s="131">
        <f>IFERROR(__xludf.DUMMYFUNCTION("""COMPUTED_VALUE"""),46187.348761574074)</f>
        <v>46187.34876</v>
      </c>
      <c r="B1165" s="126">
        <f>IFERROR(__xludf.DUMMYFUNCTION("""COMPUTED_VALUE"""),46187.0)</f>
        <v>46187</v>
      </c>
      <c r="C1165" s="122" t="str">
        <f>IFERROR(__xludf.DUMMYFUNCTION("""COMPUTED_VALUE"""),"CHIP")</f>
        <v>CHIP</v>
      </c>
      <c r="D1165" s="122" t="str">
        <f>IFERROR(__xludf.DUMMYFUNCTION("""COMPUTED_VALUE"""),"Chip Empire")</f>
        <v>Chip Empire</v>
      </c>
      <c r="E1165" s="122">
        <f>IFERROR(__xludf.DUMMYFUNCTION("""COMPUTED_VALUE"""),86.87)</f>
        <v>86.87</v>
      </c>
      <c r="F1165" s="122">
        <f>IFERROR(__xludf.DUMMYFUNCTION("""COMPUTED_VALUE"""),-0.0063)</f>
        <v>-0.0063</v>
      </c>
    </row>
    <row r="1166">
      <c r="A1166" s="131">
        <f>IFERROR(__xludf.DUMMYFUNCTION("""COMPUTED_VALUE"""),46187.348761574074)</f>
        <v>46187.34876</v>
      </c>
      <c r="B1166" s="126">
        <f>IFERROR(__xludf.DUMMYFUNCTION("""COMPUTED_VALUE"""),46187.0)</f>
        <v>46187</v>
      </c>
      <c r="C1166" s="122" t="str">
        <f>IFERROR(__xludf.DUMMYFUNCTION("""COMPUTED_VALUE"""),"CAND")</f>
        <v>CAND</v>
      </c>
      <c r="D1166" s="122" t="str">
        <f>IFERROR(__xludf.DUMMYFUNCTION("""COMPUTED_VALUE"""),"Candy Capital")</f>
        <v>Candy Capital</v>
      </c>
      <c r="E1166" s="122">
        <f>IFERROR(__xludf.DUMMYFUNCTION("""COMPUTED_VALUE"""),77.16)</f>
        <v>77.16</v>
      </c>
      <c r="F1166" s="122">
        <f>IFERROR(__xludf.DUMMYFUNCTION("""COMPUTED_VALUE"""),0.0057)</f>
        <v>0.0057</v>
      </c>
    </row>
    <row r="1167">
      <c r="A1167" s="131">
        <f>IFERROR(__xludf.DUMMYFUNCTION("""COMPUTED_VALUE"""),46187.348761574074)</f>
        <v>46187.34876</v>
      </c>
      <c r="B1167" s="126">
        <f>IFERROR(__xludf.DUMMYFUNCTION("""COMPUTED_VALUE"""),46187.0)</f>
        <v>46187</v>
      </c>
      <c r="C1167" s="122" t="str">
        <f>IFERROR(__xludf.DUMMYFUNCTION("""COMPUTED_VALUE"""),"TECH")</f>
        <v>TECH</v>
      </c>
      <c r="D1167" s="122" t="str">
        <f>IFERROR(__xludf.DUMMYFUNCTION("""COMPUTED_VALUE"""),"Dragon Tech")</f>
        <v>Dragon Tech</v>
      </c>
      <c r="E1167" s="122">
        <f>IFERROR(__xludf.DUMMYFUNCTION("""COMPUTED_VALUE"""),244.36)</f>
        <v>244.36</v>
      </c>
      <c r="F1167" s="122">
        <f>IFERROR(__xludf.DUMMYFUNCTION("""COMPUTED_VALUE"""),-0.0016)</f>
        <v>-0.0016</v>
      </c>
    </row>
    <row r="1168">
      <c r="A1168" s="131">
        <f>IFERROR(__xludf.DUMMYFUNCTION("""COMPUTED_VALUE"""),46187.348761574074)</f>
        <v>46187.34876</v>
      </c>
      <c r="B1168" s="126">
        <f>IFERROR(__xludf.DUMMYFUNCTION("""COMPUTED_VALUE"""),46187.0)</f>
        <v>46187</v>
      </c>
      <c r="C1168" s="122" t="str">
        <f>IFERROR(__xludf.DUMMYFUNCTION("""COMPUTED_VALUE"""),"AIBO")</f>
        <v>AIBO</v>
      </c>
      <c r="D1168" s="122" t="str">
        <f>IFERROR(__xludf.DUMMYFUNCTION("""COMPUTED_VALUE"""),"Homework AI")</f>
        <v>Homework AI</v>
      </c>
      <c r="E1168" s="122">
        <f>IFERROR(__xludf.DUMMYFUNCTION("""COMPUTED_VALUE"""),162.09)</f>
        <v>162.09</v>
      </c>
      <c r="F1168" s="122">
        <f>IFERROR(__xludf.DUMMYFUNCTION("""COMPUTED_VALUE"""),-0.001)</f>
        <v>-0.001</v>
      </c>
    </row>
    <row r="1169">
      <c r="A1169" s="131">
        <f>IFERROR(__xludf.DUMMYFUNCTION("""COMPUTED_VALUE"""),46187.348761574074)</f>
        <v>46187.34876</v>
      </c>
      <c r="B1169" s="126">
        <f>IFERROR(__xludf.DUMMYFUNCTION("""COMPUTED_VALUE"""),46187.0)</f>
        <v>46187</v>
      </c>
      <c r="C1169" s="122" t="str">
        <f>IFERROR(__xludf.DUMMYFUNCTION("""COMPUTED_VALUE"""),"GAME")</f>
        <v>GAME</v>
      </c>
      <c r="D1169" s="122" t="str">
        <f>IFERROR(__xludf.DUMMYFUNCTION("""COMPUTED_VALUE"""),"GameBox Media")</f>
        <v>GameBox Media</v>
      </c>
      <c r="E1169" s="122">
        <f>IFERROR(__xludf.DUMMYFUNCTION("""COMPUTED_VALUE"""),89.4)</f>
        <v>89.4</v>
      </c>
      <c r="F1169" s="122">
        <f>IFERROR(__xludf.DUMMYFUNCTION("""COMPUTED_VALUE"""),0.0017)</f>
        <v>0.0017</v>
      </c>
    </row>
    <row r="1170">
      <c r="A1170" s="131">
        <f>IFERROR(__xludf.DUMMYFUNCTION("""COMPUTED_VALUE"""),46187.348761574074)</f>
        <v>46187.34876</v>
      </c>
      <c r="B1170" s="126">
        <f>IFERROR(__xludf.DUMMYFUNCTION("""COMPUTED_VALUE"""),46187.0)</f>
        <v>46187</v>
      </c>
      <c r="C1170" s="122" t="str">
        <f>IFERROR(__xludf.DUMMYFUNCTION("""COMPUTED_VALUE"""),"VRSE")</f>
        <v>VRSE</v>
      </c>
      <c r="D1170" s="122" t="str">
        <f>IFERROR(__xludf.DUMMYFUNCTION("""COMPUTED_VALUE"""),"VerseVR")</f>
        <v>VerseVR</v>
      </c>
      <c r="E1170" s="122">
        <f>IFERROR(__xludf.DUMMYFUNCTION("""COMPUTED_VALUE"""),151.96)</f>
        <v>151.96</v>
      </c>
      <c r="F1170" s="122">
        <f>IFERROR(__xludf.DUMMYFUNCTION("""COMPUTED_VALUE"""),-0.0052)</f>
        <v>-0.0052</v>
      </c>
    </row>
    <row r="1171">
      <c r="A1171" s="131">
        <f>IFERROR(__xludf.DUMMYFUNCTION("""COMPUTED_VALUE"""),46187.348761574074)</f>
        <v>46187.34876</v>
      </c>
      <c r="B1171" s="126">
        <f>IFERROR(__xludf.DUMMYFUNCTION("""COMPUTED_VALUE"""),46187.0)</f>
        <v>46187</v>
      </c>
      <c r="C1171" s="122" t="str">
        <f>IFERROR(__xludf.DUMMYFUNCTION("""COMPUTED_VALUE"""),"BYTE")</f>
        <v>BYTE</v>
      </c>
      <c r="D1171" s="122" t="str">
        <f>IFERROR(__xludf.DUMMYFUNCTION("""COMPUTED_VALUE"""),"ByteWorks")</f>
        <v>ByteWorks</v>
      </c>
      <c r="E1171" s="122">
        <f>IFERROR(__xludf.DUMMYFUNCTION("""COMPUTED_VALUE"""),112.22)</f>
        <v>112.22</v>
      </c>
      <c r="F1171" s="122">
        <f>IFERROR(__xludf.DUMMYFUNCTION("""COMPUTED_VALUE"""),0.0043)</f>
        <v>0.0043</v>
      </c>
    </row>
    <row r="1172">
      <c r="A1172" s="131">
        <f>IFERROR(__xludf.DUMMYFUNCTION("""COMPUTED_VALUE"""),46187.348761574074)</f>
        <v>46187.34876</v>
      </c>
      <c r="B1172" s="126">
        <f>IFERROR(__xludf.DUMMYFUNCTION("""COMPUTED_VALUE"""),46187.0)</f>
        <v>46187</v>
      </c>
      <c r="C1172" s="122" t="str">
        <f>IFERROR(__xludf.DUMMYFUNCTION("""COMPUTED_VALUE"""),"BANK")</f>
        <v>BANK</v>
      </c>
      <c r="D1172" s="122" t="str">
        <f>IFERROR(__xludf.DUMMYFUNCTION("""COMPUTED_VALUE"""),"Tiger Bank")</f>
        <v>Tiger Bank</v>
      </c>
      <c r="E1172" s="122">
        <f>IFERROR(__xludf.DUMMYFUNCTION("""COMPUTED_VALUE"""),123.71)</f>
        <v>123.71</v>
      </c>
      <c r="F1172" s="122">
        <f>IFERROR(__xludf.DUMMYFUNCTION("""COMPUTED_VALUE"""),0.0039)</f>
        <v>0.0039</v>
      </c>
    </row>
    <row r="1173">
      <c r="A1173" s="131">
        <f>IFERROR(__xludf.DUMMYFUNCTION("""COMPUTED_VALUE"""),46187.348761574074)</f>
        <v>46187.34876</v>
      </c>
      <c r="B1173" s="126">
        <f>IFERROR(__xludf.DUMMYFUNCTION("""COMPUTED_VALUE"""),46187.0)</f>
        <v>46187</v>
      </c>
      <c r="C1173" s="122" t="str">
        <f>IFERROR(__xludf.DUMMYFUNCTION("""COMPUTED_VALUE"""),"CRED")</f>
        <v>CRED</v>
      </c>
      <c r="D1173" s="122" t="str">
        <f>IFERROR(__xludf.DUMMYFUNCTION("""COMPUTED_VALUE"""),"Credit Castle")</f>
        <v>Credit Castle</v>
      </c>
      <c r="E1173" s="122">
        <f>IFERROR(__xludf.DUMMYFUNCTION("""COMPUTED_VALUE"""),68.7)</f>
        <v>68.7</v>
      </c>
      <c r="F1173" s="122">
        <f>IFERROR(__xludf.DUMMYFUNCTION("""COMPUTED_VALUE"""),0.0035)</f>
        <v>0.0035</v>
      </c>
    </row>
    <row r="1174">
      <c r="A1174" s="131">
        <f>IFERROR(__xludf.DUMMYFUNCTION("""COMPUTED_VALUE"""),46187.348761574074)</f>
        <v>46187.34876</v>
      </c>
      <c r="B1174" s="126">
        <f>IFERROR(__xludf.DUMMYFUNCTION("""COMPUTED_VALUE"""),46187.0)</f>
        <v>46187</v>
      </c>
      <c r="C1174" s="122" t="str">
        <f>IFERROR(__xludf.DUMMYFUNCTION("""COMPUTED_VALUE"""),"BOND")</f>
        <v>BOND</v>
      </c>
      <c r="D1174" s="122" t="str">
        <f>IFERROR(__xludf.DUMMYFUNCTION("""COMPUTED_VALUE"""),"BondBridge")</f>
        <v>BondBridge</v>
      </c>
      <c r="E1174" s="122">
        <f>IFERROR(__xludf.DUMMYFUNCTION("""COMPUTED_VALUE"""),95.1)</f>
        <v>95.1</v>
      </c>
      <c r="F1174" s="122">
        <f>IFERROR(__xludf.DUMMYFUNCTION("""COMPUTED_VALUE"""),6.0E-4)</f>
        <v>0.0006</v>
      </c>
    </row>
    <row r="1175">
      <c r="A1175" s="131">
        <f>IFERROR(__xludf.DUMMYFUNCTION("""COMPUTED_VALUE"""),46187.348761574074)</f>
        <v>46187.34876</v>
      </c>
      <c r="B1175" s="126">
        <f>IFERROR(__xludf.DUMMYFUNCTION("""COMPUTED_VALUE"""),46187.0)</f>
        <v>46187</v>
      </c>
      <c r="C1175" s="122" t="str">
        <f>IFERROR(__xludf.DUMMYFUNCTION("""COMPUTED_VALUE"""),"INSR")</f>
        <v>INSR</v>
      </c>
      <c r="D1175" s="122" t="str">
        <f>IFERROR(__xludf.DUMMYFUNCTION("""COMPUTED_VALUE"""),"Shield Insurance")</f>
        <v>Shield Insurance</v>
      </c>
      <c r="E1175" s="122">
        <f>IFERROR(__xludf.DUMMYFUNCTION("""COMPUTED_VALUE"""),155.59)</f>
        <v>155.59</v>
      </c>
      <c r="F1175" s="122">
        <f>IFERROR(__xludf.DUMMYFUNCTION("""COMPUTED_VALUE"""),-3.0E-4)</f>
        <v>-0.0003</v>
      </c>
    </row>
    <row r="1176">
      <c r="A1176" s="131">
        <f>IFERROR(__xludf.DUMMYFUNCTION("""COMPUTED_VALUE"""),46187.348761574074)</f>
        <v>46187.34876</v>
      </c>
      <c r="B1176" s="126">
        <f>IFERROR(__xludf.DUMMYFUNCTION("""COMPUTED_VALUE"""),46187.0)</f>
        <v>46187</v>
      </c>
      <c r="C1176" s="122" t="str">
        <f>IFERROR(__xludf.DUMMYFUNCTION("""COMPUTED_VALUE"""),"LOAN")</f>
        <v>LOAN</v>
      </c>
      <c r="D1176" s="122" t="str">
        <f>IFERROR(__xludf.DUMMYFUNCTION("""COMPUTED_VALUE"""),"LoanLab")</f>
        <v>LoanLab</v>
      </c>
      <c r="E1176" s="122">
        <f>IFERROR(__xludf.DUMMYFUNCTION("""COMPUTED_VALUE"""),59.96)</f>
        <v>59.96</v>
      </c>
      <c r="F1176" s="122">
        <f>IFERROR(__xludf.DUMMYFUNCTION("""COMPUTED_VALUE"""),-0.0043)</f>
        <v>-0.0043</v>
      </c>
    </row>
    <row r="1177">
      <c r="A1177" s="131">
        <f>IFERROR(__xludf.DUMMYFUNCTION("""COMPUTED_VALUE"""),46187.348761574074)</f>
        <v>46187.34876</v>
      </c>
      <c r="B1177" s="126">
        <f>IFERROR(__xludf.DUMMYFUNCTION("""COMPUTED_VALUE"""),46187.0)</f>
        <v>46187</v>
      </c>
      <c r="C1177" s="122" t="str">
        <f>IFERROR(__xludf.DUMMYFUNCTION("""COMPUTED_VALUE"""),"LUXE")</f>
        <v>LUXE</v>
      </c>
      <c r="D1177" s="122" t="str">
        <f>IFERROR(__xludf.DUMMYFUNCTION("""COMPUTED_VALUE"""),"Luxury Locker")</f>
        <v>Luxury Locker</v>
      </c>
      <c r="E1177" s="122">
        <f>IFERROR(__xludf.DUMMYFUNCTION("""COMPUTED_VALUE"""),263.95)</f>
        <v>263.95</v>
      </c>
      <c r="F1177" s="122">
        <f>IFERROR(__xludf.DUMMYFUNCTION("""COMPUTED_VALUE"""),0.0068)</f>
        <v>0.0068</v>
      </c>
    </row>
    <row r="1178">
      <c r="A1178" s="131">
        <f>IFERROR(__xludf.DUMMYFUNCTION("""COMPUTED_VALUE"""),46187.348761574074)</f>
        <v>46187.34876</v>
      </c>
      <c r="B1178" s="126">
        <f>IFERROR(__xludf.DUMMYFUNCTION("""COMPUTED_VALUE"""),46187.0)</f>
        <v>46187</v>
      </c>
      <c r="C1178" s="122" t="str">
        <f>IFERROR(__xludf.DUMMYFUNCTION("""COMPUTED_VALUE"""),"DRIP")</f>
        <v>DRIP</v>
      </c>
      <c r="D1178" s="122" t="str">
        <f>IFERROR(__xludf.DUMMYFUNCTION("""COMPUTED_VALUE"""),"Drip Streetwear")</f>
        <v>Drip Streetwear</v>
      </c>
      <c r="E1178" s="122">
        <f>IFERROR(__xludf.DUMMYFUNCTION("""COMPUTED_VALUE"""),198.5)</f>
        <v>198.5</v>
      </c>
      <c r="F1178" s="122">
        <f>IFERROR(__xludf.DUMMYFUNCTION("""COMPUTED_VALUE"""),0.003)</f>
        <v>0.003</v>
      </c>
    </row>
    <row r="1179">
      <c r="A1179" s="131">
        <f>IFERROR(__xludf.DUMMYFUNCTION("""COMPUTED_VALUE"""),46187.348761574074)</f>
        <v>46187.34876</v>
      </c>
      <c r="B1179" s="126">
        <f>IFERROR(__xludf.DUMMYFUNCTION("""COMPUTED_VALUE"""),46187.0)</f>
        <v>46187</v>
      </c>
      <c r="C1179" s="122" t="str">
        <f>IFERROR(__xludf.DUMMYFUNCTION("""COMPUTED_VALUE"""),"KICK")</f>
        <v>KICK</v>
      </c>
      <c r="D1179" s="122" t="str">
        <f>IFERROR(__xludf.DUMMYFUNCTION("""COMPUTED_VALUE"""),"KickDrop Sneakers")</f>
        <v>KickDrop Sneakers</v>
      </c>
      <c r="E1179" s="122">
        <f>IFERROR(__xludf.DUMMYFUNCTION("""COMPUTED_VALUE"""),178.9)</f>
        <v>178.9</v>
      </c>
      <c r="F1179" s="122">
        <f>IFERROR(__xludf.DUMMYFUNCTION("""COMPUTED_VALUE"""),0.0066)</f>
        <v>0.0066</v>
      </c>
    </row>
    <row r="1180">
      <c r="A1180" s="131">
        <f>IFERROR(__xludf.DUMMYFUNCTION("""COMPUTED_VALUE"""),46187.348761574074)</f>
        <v>46187.34876</v>
      </c>
      <c r="B1180" s="126">
        <f>IFERROR(__xludf.DUMMYFUNCTION("""COMPUTED_VALUE"""),46187.0)</f>
        <v>46187</v>
      </c>
      <c r="C1180" s="122" t="str">
        <f>IFERROR(__xludf.DUMMYFUNCTION("""COMPUTED_VALUE"""),"GLAM")</f>
        <v>GLAM</v>
      </c>
      <c r="D1180" s="122" t="str">
        <f>IFERROR(__xludf.DUMMYFUNCTION("""COMPUTED_VALUE"""),"Glow Cosmetics")</f>
        <v>Glow Cosmetics</v>
      </c>
      <c r="E1180" s="122">
        <f>IFERROR(__xludf.DUMMYFUNCTION("""COMPUTED_VALUE"""),94.47)</f>
        <v>94.47</v>
      </c>
      <c r="F1180" s="122">
        <f>IFERROR(__xludf.DUMMYFUNCTION("""COMPUTED_VALUE"""),1.0E-4)</f>
        <v>0.0001</v>
      </c>
    </row>
    <row r="1181">
      <c r="A1181" s="131">
        <f>IFERROR(__xludf.DUMMYFUNCTION("""COMPUTED_VALUE"""),46187.348761574074)</f>
        <v>46187.34876</v>
      </c>
      <c r="B1181" s="126">
        <f>IFERROR(__xludf.DUMMYFUNCTION("""COMPUTED_VALUE"""),46187.0)</f>
        <v>46187</v>
      </c>
      <c r="C1181" s="122" t="str">
        <f>IFERROR(__xludf.DUMMYFUNCTION("""COMPUTED_VALUE"""),"BAGG")</f>
        <v>BAGG</v>
      </c>
      <c r="D1181" s="122" t="str">
        <f>IFERROR(__xludf.DUMMYFUNCTION("""COMPUTED_VALUE"""),"BagVault")</f>
        <v>BagVault</v>
      </c>
      <c r="E1181" s="122">
        <f>IFERROR(__xludf.DUMMYFUNCTION("""COMPUTED_VALUE"""),240.8)</f>
        <v>240.8</v>
      </c>
      <c r="F1181" s="122">
        <f>IFERROR(__xludf.DUMMYFUNCTION("""COMPUTED_VALUE"""),-0.0049)</f>
        <v>-0.0049</v>
      </c>
    </row>
    <row r="1182">
      <c r="A1182" s="131">
        <f>IFERROR(__xludf.DUMMYFUNCTION("""COMPUTED_VALUE"""),46187.348761574074)</f>
        <v>46187.34876</v>
      </c>
      <c r="B1182" s="126">
        <f>IFERROR(__xludf.DUMMYFUNCTION("""COMPUTED_VALUE"""),46187.0)</f>
        <v>46187</v>
      </c>
      <c r="C1182" s="122" t="str">
        <f>IFERROR(__xludf.DUMMYFUNCTION("""COMPUTED_VALUE"""),"FAST")</f>
        <v>FAST</v>
      </c>
      <c r="D1182" s="122" t="str">
        <f>IFERROR(__xludf.DUMMYFUNCTION("""COMPUTED_VALUE"""),"Flash Logistics")</f>
        <v>Flash Logistics</v>
      </c>
      <c r="E1182" s="122">
        <f>IFERROR(__xludf.DUMMYFUNCTION("""COMPUTED_VALUE"""),102.02)</f>
        <v>102.02</v>
      </c>
      <c r="F1182" s="122">
        <f>IFERROR(__xludf.DUMMYFUNCTION("""COMPUTED_VALUE"""),-7.0E-4)</f>
        <v>-0.0007</v>
      </c>
    </row>
    <row r="1183">
      <c r="A1183" s="131">
        <f>IFERROR(__xludf.DUMMYFUNCTION("""COMPUTED_VALUE"""),46187.348761574074)</f>
        <v>46187.34876</v>
      </c>
      <c r="B1183" s="126">
        <f>IFERROR(__xludf.DUMMYFUNCTION("""COMPUTED_VALUE"""),46187.0)</f>
        <v>46187</v>
      </c>
      <c r="C1183" s="122" t="str">
        <f>IFERROR(__xludf.DUMMYFUNCTION("""COMPUTED_VALUE"""),"SHIP")</f>
        <v>SHIP</v>
      </c>
      <c r="D1183" s="122" t="str">
        <f>IFERROR(__xludf.DUMMYFUNCTION("""COMPUTED_VALUE"""),"Seoul Shipping")</f>
        <v>Seoul Shipping</v>
      </c>
      <c r="E1183" s="122">
        <f>IFERROR(__xludf.DUMMYFUNCTION("""COMPUTED_VALUE"""),115.42)</f>
        <v>115.42</v>
      </c>
      <c r="F1183" s="122">
        <f>IFERROR(__xludf.DUMMYFUNCTION("""COMPUTED_VALUE"""),-0.0066)</f>
        <v>-0.0066</v>
      </c>
    </row>
    <row r="1184">
      <c r="A1184" s="131">
        <f>IFERROR(__xludf.DUMMYFUNCTION("""COMPUTED_VALUE"""),46187.348761574074)</f>
        <v>46187.34876</v>
      </c>
      <c r="B1184" s="126">
        <f>IFERROR(__xludf.DUMMYFUNCTION("""COMPUTED_VALUE"""),46187.0)</f>
        <v>46187</v>
      </c>
      <c r="C1184" s="122" t="str">
        <f>IFERROR(__xludf.DUMMYFUNCTION("""COMPUTED_VALUE"""),"DRON")</f>
        <v>DRON</v>
      </c>
      <c r="D1184" s="122" t="str">
        <f>IFERROR(__xludf.DUMMYFUNCTION("""COMPUTED_VALUE"""),"DroneDrop")</f>
        <v>DroneDrop</v>
      </c>
      <c r="E1184" s="122">
        <f>IFERROR(__xludf.DUMMYFUNCTION("""COMPUTED_VALUE"""),130.39)</f>
        <v>130.39</v>
      </c>
      <c r="F1184" s="122">
        <f>IFERROR(__xludf.DUMMYFUNCTION("""COMPUTED_VALUE"""),-0.0081)</f>
        <v>-0.0081</v>
      </c>
    </row>
    <row r="1185">
      <c r="A1185" s="131">
        <f>IFERROR(__xludf.DUMMYFUNCTION("""COMPUTED_VALUE"""),46187.348761574074)</f>
        <v>46187.34876</v>
      </c>
      <c r="B1185" s="126">
        <f>IFERROR(__xludf.DUMMYFUNCTION("""COMPUTED_VALUE"""),46187.0)</f>
        <v>46187</v>
      </c>
      <c r="C1185" s="122" t="str">
        <f>IFERROR(__xludf.DUMMYFUNCTION("""COMPUTED_VALUE"""),"RIDE")</f>
        <v>RIDE</v>
      </c>
      <c r="D1185" s="122" t="str">
        <f>IFERROR(__xludf.DUMMYFUNCTION("""COMPUTED_VALUE"""),"QuickRide")</f>
        <v>QuickRide</v>
      </c>
      <c r="E1185" s="122">
        <f>IFERROR(__xludf.DUMMYFUNCTION("""COMPUTED_VALUE"""),96.4)</f>
        <v>96.4</v>
      </c>
      <c r="F1185" s="122">
        <f>IFERROR(__xludf.DUMMYFUNCTION("""COMPUTED_VALUE"""),-0.0059)</f>
        <v>-0.0059</v>
      </c>
    </row>
    <row r="1186">
      <c r="A1186" s="131">
        <f>IFERROR(__xludf.DUMMYFUNCTION("""COMPUTED_VALUE"""),46187.348761574074)</f>
        <v>46187.34876</v>
      </c>
      <c r="B1186" s="126">
        <f>IFERROR(__xludf.DUMMYFUNCTION("""COMPUTED_VALUE"""),46187.0)</f>
        <v>46187</v>
      </c>
      <c r="C1186" s="122" t="str">
        <f>IFERROR(__xludf.DUMMYFUNCTION("""COMPUTED_VALUE"""),"RAIL")</f>
        <v>RAIL</v>
      </c>
      <c r="D1186" s="122" t="str">
        <f>IFERROR(__xludf.DUMMYFUNCTION("""COMPUTED_VALUE"""),"MetroRail Corp")</f>
        <v>MetroRail Corp</v>
      </c>
      <c r="E1186" s="122">
        <f>IFERROR(__xludf.DUMMYFUNCTION("""COMPUTED_VALUE"""),136.64)</f>
        <v>136.64</v>
      </c>
      <c r="F1186" s="122">
        <f>IFERROR(__xludf.DUMMYFUNCTION("""COMPUTED_VALUE"""),0.001)</f>
        <v>0.001</v>
      </c>
    </row>
    <row r="1187">
      <c r="A1187" s="131">
        <f>IFERROR(__xludf.DUMMYFUNCTION("""COMPUTED_VALUE"""),46187.348761574074)</f>
        <v>46187.34876</v>
      </c>
      <c r="B1187" s="126">
        <f>IFERROR(__xludf.DUMMYFUNCTION("""COMPUTED_VALUE"""),46187.0)</f>
        <v>46187</v>
      </c>
      <c r="C1187" s="122" t="str">
        <f>IFERROR(__xludf.DUMMYFUNCTION("""COMPUTED_VALUE"""),"MEDX")</f>
        <v>MEDX</v>
      </c>
      <c r="D1187" s="122" t="str">
        <f>IFERROR(__xludf.DUMMYFUNCTION("""COMPUTED_VALUE"""),"MediCore")</f>
        <v>MediCore</v>
      </c>
      <c r="E1187" s="122">
        <f>IFERROR(__xludf.DUMMYFUNCTION("""COMPUTED_VALUE"""),136.78)</f>
        <v>136.78</v>
      </c>
      <c r="F1187" s="122">
        <f>IFERROR(__xludf.DUMMYFUNCTION("""COMPUTED_VALUE"""),-0.0027)</f>
        <v>-0.0027</v>
      </c>
    </row>
    <row r="1188">
      <c r="A1188" s="131">
        <f>IFERROR(__xludf.DUMMYFUNCTION("""COMPUTED_VALUE"""),46187.348761574074)</f>
        <v>46187.34876</v>
      </c>
      <c r="B1188" s="126">
        <f>IFERROR(__xludf.DUMMYFUNCTION("""COMPUTED_VALUE"""),46187.0)</f>
        <v>46187</v>
      </c>
      <c r="C1188" s="122" t="str">
        <f>IFERROR(__xludf.DUMMYFUNCTION("""COMPUTED_VALUE"""),"GYMX")</f>
        <v>GYMX</v>
      </c>
      <c r="D1188" s="122" t="str">
        <f>IFERROR(__xludf.DUMMYFUNCTION("""COMPUTED_VALUE"""),"GymX Fitness")</f>
        <v>GymX Fitness</v>
      </c>
      <c r="E1188" s="122">
        <f>IFERROR(__xludf.DUMMYFUNCTION("""COMPUTED_VALUE"""),87.21)</f>
        <v>87.21</v>
      </c>
      <c r="F1188" s="122">
        <f>IFERROR(__xludf.DUMMYFUNCTION("""COMPUTED_VALUE"""),-0.0033)</f>
        <v>-0.0033</v>
      </c>
    </row>
    <row r="1189">
      <c r="A1189" s="131">
        <f>IFERROR(__xludf.DUMMYFUNCTION("""COMPUTED_VALUE"""),46187.348761574074)</f>
        <v>46187.34876</v>
      </c>
      <c r="B1189" s="126">
        <f>IFERROR(__xludf.DUMMYFUNCTION("""COMPUTED_VALUE"""),46187.0)</f>
        <v>46187</v>
      </c>
      <c r="C1189" s="122" t="str">
        <f>IFERROR(__xludf.DUMMYFUNCTION("""COMPUTED_VALUE"""),"VITA")</f>
        <v>VITA</v>
      </c>
      <c r="D1189" s="122" t="str">
        <f>IFERROR(__xludf.DUMMYFUNCTION("""COMPUTED_VALUE"""),"VitaPlus")</f>
        <v>VitaPlus</v>
      </c>
      <c r="E1189" s="122">
        <f>IFERROR(__xludf.DUMMYFUNCTION("""COMPUTED_VALUE"""),75.02)</f>
        <v>75.02</v>
      </c>
      <c r="F1189" s="122">
        <f>IFERROR(__xludf.DUMMYFUNCTION("""COMPUTED_VALUE"""),0.0017)</f>
        <v>0.0017</v>
      </c>
    </row>
    <row r="1190">
      <c r="A1190" s="131">
        <f>IFERROR(__xludf.DUMMYFUNCTION("""COMPUTED_VALUE"""),46187.348761574074)</f>
        <v>46187.34876</v>
      </c>
      <c r="B1190" s="126">
        <f>IFERROR(__xludf.DUMMYFUNCTION("""COMPUTED_VALUE"""),46187.0)</f>
        <v>46187</v>
      </c>
      <c r="C1190" s="122" t="str">
        <f>IFERROR(__xludf.DUMMYFUNCTION("""COMPUTED_VALUE"""),"CARE")</f>
        <v>CARE</v>
      </c>
      <c r="D1190" s="122" t="str">
        <f>IFERROR(__xludf.DUMMYFUNCTION("""COMPUTED_VALUE"""),"CareCloud")</f>
        <v>CareCloud</v>
      </c>
      <c r="E1190" s="122">
        <f>IFERROR(__xludf.DUMMYFUNCTION("""COMPUTED_VALUE"""),179.19)</f>
        <v>179.19</v>
      </c>
      <c r="F1190" s="122">
        <f>IFERROR(__xludf.DUMMYFUNCTION("""COMPUTED_VALUE"""),0.0078)</f>
        <v>0.0078</v>
      </c>
    </row>
    <row r="1191">
      <c r="A1191" s="131">
        <f>IFERROR(__xludf.DUMMYFUNCTION("""COMPUTED_VALUE"""),46187.348761574074)</f>
        <v>46187.34876</v>
      </c>
      <c r="B1191" s="126">
        <f>IFERROR(__xludf.DUMMYFUNCTION("""COMPUTED_VALUE"""),46187.0)</f>
        <v>46187</v>
      </c>
      <c r="C1191" s="122" t="str">
        <f>IFERROR(__xludf.DUMMYFUNCTION("""COMPUTED_VALUE"""),"DENT")</f>
        <v>DENT</v>
      </c>
      <c r="D1191" s="122" t="str">
        <f>IFERROR(__xludf.DUMMYFUNCTION("""COMPUTED_VALUE"""),"SmileWorks")</f>
        <v>SmileWorks</v>
      </c>
      <c r="E1191" s="122">
        <f>IFERROR(__xludf.DUMMYFUNCTION("""COMPUTED_VALUE"""),81.74)</f>
        <v>81.74</v>
      </c>
      <c r="F1191" s="122">
        <f>IFERROR(__xludf.DUMMYFUNCTION("""COMPUTED_VALUE"""),-0.0026)</f>
        <v>-0.0026</v>
      </c>
    </row>
    <row r="1192">
      <c r="A1192" s="131">
        <f>IFERROR(__xludf.DUMMYFUNCTION("""COMPUTED_VALUE"""),46187.348761574074)</f>
        <v>46187.34876</v>
      </c>
      <c r="B1192" s="126">
        <f>IFERROR(__xludf.DUMMYFUNCTION("""COMPUTED_VALUE"""),46187.0)</f>
        <v>46187</v>
      </c>
      <c r="C1192" s="122" t="str">
        <f>IFERROR(__xludf.DUMMYFUNCTION("""COMPUTED_VALUE"""),"EDUX")</f>
        <v>EDUX</v>
      </c>
      <c r="D1192" s="122" t="str">
        <f>IFERROR(__xludf.DUMMYFUNCTION("""COMPUTED_VALUE"""),"EduMax Learning")</f>
        <v>EduMax Learning</v>
      </c>
      <c r="E1192" s="122">
        <f>IFERROR(__xludf.DUMMYFUNCTION("""COMPUTED_VALUE"""),130.42)</f>
        <v>130.42</v>
      </c>
      <c r="F1192" s="122">
        <f>IFERROR(__xludf.DUMMYFUNCTION("""COMPUTED_VALUE"""),0.0032)</f>
        <v>0.0032</v>
      </c>
    </row>
    <row r="1193">
      <c r="A1193" s="131">
        <f>IFERROR(__xludf.DUMMYFUNCTION("""COMPUTED_VALUE"""),46187.348761574074)</f>
        <v>46187.34876</v>
      </c>
      <c r="B1193" s="126">
        <f>IFERROR(__xludf.DUMMYFUNCTION("""COMPUTED_VALUE"""),46187.0)</f>
        <v>46187</v>
      </c>
      <c r="C1193" s="122" t="str">
        <f>IFERROR(__xludf.DUMMYFUNCTION("""COMPUTED_VALUE"""),"BOOK")</f>
        <v>BOOK</v>
      </c>
      <c r="D1193" s="122" t="str">
        <f>IFERROR(__xludf.DUMMYFUNCTION("""COMPUTED_VALUE"""),"BookBridge")</f>
        <v>BookBridge</v>
      </c>
      <c r="E1193" s="122">
        <f>IFERROR(__xludf.DUMMYFUNCTION("""COMPUTED_VALUE"""),112.14)</f>
        <v>112.14</v>
      </c>
      <c r="F1193" s="122">
        <f>IFERROR(__xludf.DUMMYFUNCTION("""COMPUTED_VALUE"""),-0.0012)</f>
        <v>-0.0012</v>
      </c>
    </row>
    <row r="1194">
      <c r="A1194" s="131">
        <f>IFERROR(__xludf.DUMMYFUNCTION("""COMPUTED_VALUE"""),46187.348761574074)</f>
        <v>46187.34876</v>
      </c>
      <c r="B1194" s="126">
        <f>IFERROR(__xludf.DUMMYFUNCTION("""COMPUTED_VALUE"""),46187.0)</f>
        <v>46187</v>
      </c>
      <c r="C1194" s="122" t="str">
        <f>IFERROR(__xludf.DUMMYFUNCTION("""COMPUTED_VALUE"""),"TUTR")</f>
        <v>TUTR</v>
      </c>
      <c r="D1194" s="122" t="str">
        <f>IFERROR(__xludf.DUMMYFUNCTION("""COMPUTED_VALUE"""),"TutorTown")</f>
        <v>TutorTown</v>
      </c>
      <c r="E1194" s="122">
        <f>IFERROR(__xludf.DUMMYFUNCTION("""COMPUTED_VALUE"""),90.27)</f>
        <v>90.27</v>
      </c>
      <c r="F1194" s="122">
        <f>IFERROR(__xludf.DUMMYFUNCTION("""COMPUTED_VALUE"""),0.0053)</f>
        <v>0.0053</v>
      </c>
    </row>
    <row r="1195">
      <c r="A1195" s="131">
        <f>IFERROR(__xludf.DUMMYFUNCTION("""COMPUTED_VALUE"""),46187.348761574074)</f>
        <v>46187.34876</v>
      </c>
      <c r="B1195" s="126">
        <f>IFERROR(__xludf.DUMMYFUNCTION("""COMPUTED_VALUE"""),46187.0)</f>
        <v>46187</v>
      </c>
      <c r="C1195" s="122" t="str">
        <f>IFERROR(__xludf.DUMMYFUNCTION("""COMPUTED_VALUE"""),"LANG")</f>
        <v>LANG</v>
      </c>
      <c r="D1195" s="122" t="str">
        <f>IFERROR(__xludf.DUMMYFUNCTION("""COMPUTED_VALUE"""),"LinguaLab")</f>
        <v>LinguaLab</v>
      </c>
      <c r="E1195" s="122">
        <f>IFERROR(__xludf.DUMMYFUNCTION("""COMPUTED_VALUE"""),95.14)</f>
        <v>95.14</v>
      </c>
      <c r="F1195" s="122">
        <f>IFERROR(__xludf.DUMMYFUNCTION("""COMPUTED_VALUE"""),9.0E-4)</f>
        <v>0.0009</v>
      </c>
    </row>
    <row r="1196">
      <c r="A1196" s="131">
        <f>IFERROR(__xludf.DUMMYFUNCTION("""COMPUTED_VALUE"""),46187.348761574074)</f>
        <v>46187.34876</v>
      </c>
      <c r="B1196" s="126">
        <f>IFERROR(__xludf.DUMMYFUNCTION("""COMPUTED_VALUE"""),46187.0)</f>
        <v>46187</v>
      </c>
      <c r="C1196" s="122" t="str">
        <f>IFERROR(__xludf.DUMMYFUNCTION("""COMPUTED_VALUE"""),"TEST")</f>
        <v>TEST</v>
      </c>
      <c r="D1196" s="122" t="str">
        <f>IFERROR(__xludf.DUMMYFUNCTION("""COMPUTED_VALUE"""),"TestPrep Pro")</f>
        <v>TestPrep Pro</v>
      </c>
      <c r="E1196" s="122">
        <f>IFERROR(__xludf.DUMMYFUNCTION("""COMPUTED_VALUE"""),102.02)</f>
        <v>102.02</v>
      </c>
      <c r="F1196" s="122">
        <f>IFERROR(__xludf.DUMMYFUNCTION("""COMPUTED_VALUE"""),0.0021)</f>
        <v>0.0021</v>
      </c>
    </row>
    <row r="1197">
      <c r="A1197" s="131">
        <f>IFERROR(__xludf.DUMMYFUNCTION("""COMPUTED_VALUE"""),46187.348761574074)</f>
        <v>46187.34876</v>
      </c>
      <c r="B1197" s="126">
        <f>IFERROR(__xludf.DUMMYFUNCTION("""COMPUTED_VALUE"""),46187.0)</f>
        <v>46187</v>
      </c>
      <c r="C1197" s="122" t="str">
        <f>IFERROR(__xludf.DUMMYFUNCTION("""COMPUTED_VALUE"""),"MOVI")</f>
        <v>MOVI</v>
      </c>
      <c r="D1197" s="122" t="str">
        <f>IFERROR(__xludf.DUMMYFUNCTION("""COMPUTED_VALUE"""),"MovieBox")</f>
        <v>MovieBox</v>
      </c>
      <c r="E1197" s="122">
        <f>IFERROR(__xludf.DUMMYFUNCTION("""COMPUTED_VALUE"""),80.31)</f>
        <v>80.31</v>
      </c>
      <c r="F1197" s="122">
        <f>IFERROR(__xludf.DUMMYFUNCTION("""COMPUTED_VALUE"""),4.0E-4)</f>
        <v>0.0004</v>
      </c>
    </row>
    <row r="1198">
      <c r="A1198" s="131">
        <f>IFERROR(__xludf.DUMMYFUNCTION("""COMPUTED_VALUE"""),46187.348761574074)</f>
        <v>46187.34876</v>
      </c>
      <c r="B1198" s="126">
        <f>IFERROR(__xludf.DUMMYFUNCTION("""COMPUTED_VALUE"""),46187.0)</f>
        <v>46187</v>
      </c>
      <c r="C1198" s="122" t="str">
        <f>IFERROR(__xludf.DUMMYFUNCTION("""COMPUTED_VALUE"""),"MUSC")</f>
        <v>MUSC</v>
      </c>
      <c r="D1198" s="122" t="str">
        <f>IFERROR(__xludf.DUMMYFUNCTION("""COMPUTED_VALUE"""),"MusicWave")</f>
        <v>MusicWave</v>
      </c>
      <c r="E1198" s="122">
        <f>IFERROR(__xludf.DUMMYFUNCTION("""COMPUTED_VALUE"""),96.37)</f>
        <v>96.37</v>
      </c>
      <c r="F1198" s="122">
        <f>IFERROR(__xludf.DUMMYFUNCTION("""COMPUTED_VALUE"""),-3.0E-4)</f>
        <v>-0.0003</v>
      </c>
    </row>
    <row r="1199">
      <c r="A1199" s="131">
        <f>IFERROR(__xludf.DUMMYFUNCTION("""COMPUTED_VALUE"""),46187.348761574074)</f>
        <v>46187.34876</v>
      </c>
      <c r="B1199" s="126">
        <f>IFERROR(__xludf.DUMMYFUNCTION("""COMPUTED_VALUE"""),46187.0)</f>
        <v>46187</v>
      </c>
      <c r="C1199" s="122" t="str">
        <f>IFERROR(__xludf.DUMMYFUNCTION("""COMPUTED_VALUE"""),"IDOL")</f>
        <v>IDOL</v>
      </c>
      <c r="D1199" s="122" t="str">
        <f>IFERROR(__xludf.DUMMYFUNCTION("""COMPUTED_VALUE"""),"Idol Agency")</f>
        <v>Idol Agency</v>
      </c>
      <c r="E1199" s="122">
        <f>IFERROR(__xludf.DUMMYFUNCTION("""COMPUTED_VALUE"""),198.56)</f>
        <v>198.56</v>
      </c>
      <c r="F1199" s="122">
        <f>IFERROR(__xludf.DUMMYFUNCTION("""COMPUTED_VALUE"""),-0.0063)</f>
        <v>-0.0063</v>
      </c>
    </row>
    <row r="1200">
      <c r="A1200" s="131">
        <f>IFERROR(__xludf.DUMMYFUNCTION("""COMPUTED_VALUE"""),46187.348761574074)</f>
        <v>46187.34876</v>
      </c>
      <c r="B1200" s="126">
        <f>IFERROR(__xludf.DUMMYFUNCTION("""COMPUTED_VALUE"""),46187.0)</f>
        <v>46187</v>
      </c>
      <c r="C1200" s="122" t="str">
        <f>IFERROR(__xludf.DUMMYFUNCTION("""COMPUTED_VALUE"""),"MEME")</f>
        <v>MEME</v>
      </c>
      <c r="D1200" s="122" t="str">
        <f>IFERROR(__xludf.DUMMYFUNCTION("""COMPUTED_VALUE"""),"Meme Media")</f>
        <v>Meme Media</v>
      </c>
      <c r="E1200" s="122">
        <f>IFERROR(__xludf.DUMMYFUNCTION("""COMPUTED_VALUE"""),79.05)</f>
        <v>79.05</v>
      </c>
      <c r="F1200" s="122">
        <f>IFERROR(__xludf.DUMMYFUNCTION("""COMPUTED_VALUE"""),0.0113)</f>
        <v>0.0113</v>
      </c>
    </row>
    <row r="1201">
      <c r="A1201" s="131">
        <f>IFERROR(__xludf.DUMMYFUNCTION("""COMPUTED_VALUE"""),46187.348761574074)</f>
        <v>46187.34876</v>
      </c>
      <c r="B1201" s="126">
        <f>IFERROR(__xludf.DUMMYFUNCTION("""COMPUTED_VALUE"""),46187.0)</f>
        <v>46187</v>
      </c>
      <c r="C1201" s="122" t="str">
        <f>IFERROR(__xludf.DUMMYFUNCTION("""COMPUTED_VALUE"""),"STRM")</f>
        <v>STRM</v>
      </c>
      <c r="D1201" s="122" t="str">
        <f>IFERROR(__xludf.DUMMYFUNCTION("""COMPUTED_VALUE"""),"Streamly")</f>
        <v>Streamly</v>
      </c>
      <c r="E1201" s="122">
        <f>IFERROR(__xludf.DUMMYFUNCTION("""COMPUTED_VALUE"""),136.92)</f>
        <v>136.92</v>
      </c>
      <c r="F1201" s="122">
        <f>IFERROR(__xludf.DUMMYFUNCTION("""COMPUTED_VALUE"""),-0.0093)</f>
        <v>-0.0093</v>
      </c>
    </row>
    <row r="1202">
      <c r="A1202" s="131">
        <f>IFERROR(__xludf.DUMMYFUNCTION("""COMPUTED_VALUE"""),46187.348761574074)</f>
        <v>46187.34876</v>
      </c>
      <c r="B1202" s="126">
        <f>IFERROR(__xludf.DUMMYFUNCTION("""COMPUTED_VALUE"""),46187.0)</f>
        <v>46187</v>
      </c>
      <c r="C1202" s="122" t="str">
        <f>IFERROR(__xludf.DUMMYFUNCTION("""COMPUTED_VALUE"""),"FARM")</f>
        <v>FARM</v>
      </c>
      <c r="D1202" s="122" t="str">
        <f>IFERROR(__xludf.DUMMYFUNCTION("""COMPUTED_VALUE"""),"Future Farms")</f>
        <v>Future Farms</v>
      </c>
      <c r="E1202" s="122">
        <f>IFERROR(__xludf.DUMMYFUNCTION("""COMPUTED_VALUE"""),79.96)</f>
        <v>79.96</v>
      </c>
      <c r="F1202" s="122">
        <f>IFERROR(__xludf.DUMMYFUNCTION("""COMPUTED_VALUE"""),0.0045)</f>
        <v>0.0045</v>
      </c>
    </row>
    <row r="1203">
      <c r="A1203" s="131">
        <f>IFERROR(__xludf.DUMMYFUNCTION("""COMPUTED_VALUE"""),46187.348761574074)</f>
        <v>46187.34876</v>
      </c>
      <c r="B1203" s="126">
        <f>IFERROR(__xludf.DUMMYFUNCTION("""COMPUTED_VALUE"""),46187.0)</f>
        <v>46187</v>
      </c>
      <c r="C1203" s="122" t="str">
        <f>IFERROR(__xludf.DUMMYFUNCTION("""COMPUTED_VALUE"""),"MEAT")</f>
        <v>MEAT</v>
      </c>
      <c r="D1203" s="122" t="str">
        <f>IFERROR(__xludf.DUMMYFUNCTION("""COMPUTED_VALUE"""),"MeatWorks")</f>
        <v>MeatWorks</v>
      </c>
      <c r="E1203" s="122">
        <f>IFERROR(__xludf.DUMMYFUNCTION("""COMPUTED_VALUE"""),104.27)</f>
        <v>104.27</v>
      </c>
      <c r="F1203" s="122">
        <f>IFERROR(__xludf.DUMMYFUNCTION("""COMPUTED_VALUE"""),0.0031)</f>
        <v>0.0031</v>
      </c>
    </row>
    <row r="1204">
      <c r="A1204" s="131">
        <f>IFERROR(__xludf.DUMMYFUNCTION("""COMPUTED_VALUE"""),46187.348761574074)</f>
        <v>46187.34876</v>
      </c>
      <c r="B1204" s="126">
        <f>IFERROR(__xludf.DUMMYFUNCTION("""COMPUTED_VALUE"""),46187.0)</f>
        <v>46187</v>
      </c>
      <c r="C1204" s="122" t="str">
        <f>IFERROR(__xludf.DUMMYFUNCTION("""COMPUTED_VALUE"""),"VEGI")</f>
        <v>VEGI</v>
      </c>
      <c r="D1204" s="122" t="str">
        <f>IFERROR(__xludf.DUMMYFUNCTION("""COMPUTED_VALUE"""),"Green Basket")</f>
        <v>Green Basket</v>
      </c>
      <c r="E1204" s="122">
        <f>IFERROR(__xludf.DUMMYFUNCTION("""COMPUTED_VALUE"""),83.3)</f>
        <v>83.3</v>
      </c>
      <c r="F1204" s="122">
        <f>IFERROR(__xludf.DUMMYFUNCTION("""COMPUTED_VALUE"""),-0.0047)</f>
        <v>-0.0047</v>
      </c>
    </row>
    <row r="1205">
      <c r="A1205" s="131">
        <f>IFERROR(__xludf.DUMMYFUNCTION("""COMPUTED_VALUE"""),46187.348761574074)</f>
        <v>46187.34876</v>
      </c>
      <c r="B1205" s="126">
        <f>IFERROR(__xludf.DUMMYFUNCTION("""COMPUTED_VALUE"""),46187.0)</f>
        <v>46187</v>
      </c>
      <c r="C1205" s="122" t="str">
        <f>IFERROR(__xludf.DUMMYFUNCTION("""COMPUTED_VALUE"""),"CAFE")</f>
        <v>CAFE</v>
      </c>
      <c r="D1205" s="122" t="str">
        <f>IFERROR(__xludf.DUMMYFUNCTION("""COMPUTED_VALUE"""),"Cafe Cloud")</f>
        <v>Cafe Cloud</v>
      </c>
      <c r="E1205" s="122">
        <f>IFERROR(__xludf.DUMMYFUNCTION("""COMPUTED_VALUE"""),99.24)</f>
        <v>99.24</v>
      </c>
      <c r="F1205" s="122">
        <f>IFERROR(__xludf.DUMMYFUNCTION("""COMPUTED_VALUE"""),-0.0013)</f>
        <v>-0.0013</v>
      </c>
    </row>
    <row r="1206">
      <c r="A1206" s="131">
        <f>IFERROR(__xludf.DUMMYFUNCTION("""COMPUTED_VALUE"""),46187.348761574074)</f>
        <v>46187.34876</v>
      </c>
      <c r="B1206" s="126">
        <f>IFERROR(__xludf.DUMMYFUNCTION("""COMPUTED_VALUE"""),46187.0)</f>
        <v>46187</v>
      </c>
      <c r="C1206" s="122" t="str">
        <f>IFERROR(__xludf.DUMMYFUNCTION("""COMPUTED_VALUE"""),"BAKE")</f>
        <v>BAKE</v>
      </c>
      <c r="D1206" s="122" t="str">
        <f>IFERROR(__xludf.DUMMYFUNCTION("""COMPUTED_VALUE"""),"BakeHouse")</f>
        <v>BakeHouse</v>
      </c>
      <c r="E1206" s="122">
        <f>IFERROR(__xludf.DUMMYFUNCTION("""COMPUTED_VALUE"""),99.69)</f>
        <v>99.69</v>
      </c>
      <c r="F1206" s="122">
        <f>IFERROR(__xludf.DUMMYFUNCTION("""COMPUTED_VALUE"""),-0.0023)</f>
        <v>-0.0023</v>
      </c>
    </row>
    <row r="1207">
      <c r="A1207" s="131">
        <f>IFERROR(__xludf.DUMMYFUNCTION("""COMPUTED_VALUE"""),46187.348761574074)</f>
        <v>46187.34876</v>
      </c>
      <c r="B1207" s="126">
        <f>IFERROR(__xludf.DUMMYFUNCTION("""COMPUTED_VALUE"""),46187.0)</f>
        <v>46187</v>
      </c>
      <c r="C1207" s="122" t="str">
        <f>IFERROR(__xludf.DUMMYFUNCTION("""COMPUTED_VALUE"""),"OILX")</f>
        <v>OILX</v>
      </c>
      <c r="D1207" s="122" t="str">
        <f>IFERROR(__xludf.DUMMYFUNCTION("""COMPUTED_VALUE"""),"OilMax Energy")</f>
        <v>OilMax Energy</v>
      </c>
      <c r="E1207" s="122">
        <f>IFERROR(__xludf.DUMMYFUNCTION("""COMPUTED_VALUE"""),130.15)</f>
        <v>130.15</v>
      </c>
      <c r="F1207" s="122">
        <f>IFERROR(__xludf.DUMMYFUNCTION("""COMPUTED_VALUE"""),-0.0069)</f>
        <v>-0.0069</v>
      </c>
    </row>
    <row r="1208">
      <c r="A1208" s="131">
        <f>IFERROR(__xludf.DUMMYFUNCTION("""COMPUTED_VALUE"""),46187.348761574074)</f>
        <v>46187.34876</v>
      </c>
      <c r="B1208" s="126">
        <f>IFERROR(__xludf.DUMMYFUNCTION("""COMPUTED_VALUE"""),46187.0)</f>
        <v>46187</v>
      </c>
      <c r="C1208" s="122" t="str">
        <f>IFERROR(__xludf.DUMMYFUNCTION("""COMPUTED_VALUE"""),"SOLR")</f>
        <v>SOLR</v>
      </c>
      <c r="D1208" s="122" t="str">
        <f>IFERROR(__xludf.DUMMYFUNCTION("""COMPUTED_VALUE"""),"SolarSpark")</f>
        <v>SolarSpark</v>
      </c>
      <c r="E1208" s="122">
        <f>IFERROR(__xludf.DUMMYFUNCTION("""COMPUTED_VALUE"""),83.16)</f>
        <v>83.16</v>
      </c>
      <c r="F1208" s="122">
        <f>IFERROR(__xludf.DUMMYFUNCTION("""COMPUTED_VALUE"""),0.0065)</f>
        <v>0.0065</v>
      </c>
    </row>
    <row r="1209">
      <c r="A1209" s="131">
        <f>IFERROR(__xludf.DUMMYFUNCTION("""COMPUTED_VALUE"""),46187.348761574074)</f>
        <v>46187.34876</v>
      </c>
      <c r="B1209" s="126">
        <f>IFERROR(__xludf.DUMMYFUNCTION("""COMPUTED_VALUE"""),46187.0)</f>
        <v>46187</v>
      </c>
      <c r="C1209" s="122" t="str">
        <f>IFERROR(__xludf.DUMMYFUNCTION("""COMPUTED_VALUE"""),"BATT")</f>
        <v>BATT</v>
      </c>
      <c r="D1209" s="122" t="str">
        <f>IFERROR(__xludf.DUMMYFUNCTION("""COMPUTED_VALUE"""),"BatteryBox")</f>
        <v>BatteryBox</v>
      </c>
      <c r="E1209" s="122">
        <f>IFERROR(__xludf.DUMMYFUNCTION("""COMPUTED_VALUE"""),118.0)</f>
        <v>118</v>
      </c>
      <c r="F1209" s="122">
        <f>IFERROR(__xludf.DUMMYFUNCTION("""COMPUTED_VALUE"""),0.0014)</f>
        <v>0.0014</v>
      </c>
    </row>
    <row r="1210">
      <c r="A1210" s="131">
        <f>IFERROR(__xludf.DUMMYFUNCTION("""COMPUTED_VALUE"""),46187.348761574074)</f>
        <v>46187.34876</v>
      </c>
      <c r="B1210" s="126">
        <f>IFERROR(__xludf.DUMMYFUNCTION("""COMPUTED_VALUE"""),46187.0)</f>
        <v>46187</v>
      </c>
      <c r="C1210" s="122" t="str">
        <f>IFERROR(__xludf.DUMMYFUNCTION("""COMPUTED_VALUE"""),"WIND")</f>
        <v>WIND</v>
      </c>
      <c r="D1210" s="122" t="str">
        <f>IFERROR(__xludf.DUMMYFUNCTION("""COMPUTED_VALUE"""),"WindWorks")</f>
        <v>WindWorks</v>
      </c>
      <c r="E1210" s="122">
        <f>IFERROR(__xludf.DUMMYFUNCTION("""COMPUTED_VALUE"""),88.25)</f>
        <v>88.25</v>
      </c>
      <c r="F1210" s="122">
        <f>IFERROR(__xludf.DUMMYFUNCTION("""COMPUTED_VALUE"""),-0.0066)</f>
        <v>-0.0066</v>
      </c>
    </row>
    <row r="1211">
      <c r="A1211" s="131">
        <f>IFERROR(__xludf.DUMMYFUNCTION("""COMPUTED_VALUE"""),46187.348761574074)</f>
        <v>46187.34876</v>
      </c>
      <c r="B1211" s="126">
        <f>IFERROR(__xludf.DUMMYFUNCTION("""COMPUTED_VALUE"""),46187.0)</f>
        <v>46187</v>
      </c>
      <c r="C1211" s="122" t="str">
        <f>IFERROR(__xludf.DUMMYFUNCTION("""COMPUTED_VALUE"""),"GRID")</f>
        <v>GRID</v>
      </c>
      <c r="D1211" s="122" t="str">
        <f>IFERROR(__xludf.DUMMYFUNCTION("""COMPUTED_VALUE"""),"GridPower")</f>
        <v>GridPower</v>
      </c>
      <c r="E1211" s="122">
        <f>IFERROR(__xludf.DUMMYFUNCTION("""COMPUTED_VALUE"""),147.53)</f>
        <v>147.53</v>
      </c>
      <c r="F1211" s="122">
        <f>IFERROR(__xludf.DUMMYFUNCTION("""COMPUTED_VALUE"""),1.0E-4)</f>
        <v>0.0001</v>
      </c>
    </row>
    <row r="1212">
      <c r="A1212" s="131">
        <f>IFERROR(__xludf.DUMMYFUNCTION("""COMPUTED_VALUE"""),46187.348761574074)</f>
        <v>46187.34876</v>
      </c>
      <c r="B1212" s="126">
        <f>IFERROR(__xludf.DUMMYFUNCTION("""COMPUTED_VALUE"""),46187.0)</f>
        <v>46187</v>
      </c>
      <c r="C1212" s="122" t="str">
        <f>IFERROR(__xludf.DUMMYFUNCTION("""COMPUTED_VALUE"""),"HOME")</f>
        <v>HOME</v>
      </c>
      <c r="D1212" s="122" t="str">
        <f>IFERROR(__xludf.DUMMYFUNCTION("""COMPUTED_VALUE"""),"HomeHub")</f>
        <v>HomeHub</v>
      </c>
      <c r="E1212" s="122">
        <f>IFERROR(__xludf.DUMMYFUNCTION("""COMPUTED_VALUE"""),145.14)</f>
        <v>145.14</v>
      </c>
      <c r="F1212" s="122">
        <f>IFERROR(__xludf.DUMMYFUNCTION("""COMPUTED_VALUE"""),0.0013)</f>
        <v>0.0013</v>
      </c>
    </row>
    <row r="1213">
      <c r="A1213" s="131">
        <f>IFERROR(__xludf.DUMMYFUNCTION("""COMPUTED_VALUE"""),46187.348761574074)</f>
        <v>46187.34876</v>
      </c>
      <c r="B1213" s="126">
        <f>IFERROR(__xludf.DUMMYFUNCTION("""COMPUTED_VALUE"""),46187.0)</f>
        <v>46187</v>
      </c>
      <c r="C1213" s="122" t="str">
        <f>IFERROR(__xludf.DUMMYFUNCTION("""COMPUTED_VALUE"""),"RENT")</f>
        <v>RENT</v>
      </c>
      <c r="D1213" s="122" t="str">
        <f>IFERROR(__xludf.DUMMYFUNCTION("""COMPUTED_VALUE"""),"RentRight")</f>
        <v>RentRight</v>
      </c>
      <c r="E1213" s="122">
        <f>IFERROR(__xludf.DUMMYFUNCTION("""COMPUTED_VALUE"""),93.86)</f>
        <v>93.86</v>
      </c>
      <c r="F1213" s="122">
        <f>IFERROR(__xludf.DUMMYFUNCTION("""COMPUTED_VALUE"""),0.0039)</f>
        <v>0.0039</v>
      </c>
    </row>
    <row r="1214">
      <c r="A1214" s="131">
        <f>IFERROR(__xludf.DUMMYFUNCTION("""COMPUTED_VALUE"""),46187.348761574074)</f>
        <v>46187.34876</v>
      </c>
      <c r="B1214" s="126">
        <f>IFERROR(__xludf.DUMMYFUNCTION("""COMPUTED_VALUE"""),46187.0)</f>
        <v>46187</v>
      </c>
      <c r="C1214" s="122" t="str">
        <f>IFERROR(__xludf.DUMMYFUNCTION("""COMPUTED_VALUE"""),"MALL")</f>
        <v>MALL</v>
      </c>
      <c r="D1214" s="122" t="str">
        <f>IFERROR(__xludf.DUMMYFUNCTION("""COMPUTED_VALUE"""),"MegaMall")</f>
        <v>MegaMall</v>
      </c>
      <c r="E1214" s="122">
        <f>IFERROR(__xludf.DUMMYFUNCTION("""COMPUTED_VALUE"""),95.43)</f>
        <v>95.43</v>
      </c>
      <c r="F1214" s="122">
        <f>IFERROR(__xludf.DUMMYFUNCTION("""COMPUTED_VALUE"""),-0.0041)</f>
        <v>-0.0041</v>
      </c>
    </row>
    <row r="1215">
      <c r="A1215" s="131">
        <f>IFERROR(__xludf.DUMMYFUNCTION("""COMPUTED_VALUE"""),46187.348761574074)</f>
        <v>46187.34876</v>
      </c>
      <c r="B1215" s="126">
        <f>IFERROR(__xludf.DUMMYFUNCTION("""COMPUTED_VALUE"""),46187.0)</f>
        <v>46187</v>
      </c>
      <c r="C1215" s="122" t="str">
        <f>IFERROR(__xludf.DUMMYFUNCTION("""COMPUTED_VALUE"""),"HOTL")</f>
        <v>HOTL</v>
      </c>
      <c r="D1215" s="122" t="str">
        <f>IFERROR(__xludf.DUMMYFUNCTION("""COMPUTED_VALUE"""),"HotelHive")</f>
        <v>HotelHive</v>
      </c>
      <c r="E1215" s="122">
        <f>IFERROR(__xludf.DUMMYFUNCTION("""COMPUTED_VALUE"""),132.66)</f>
        <v>132.66</v>
      </c>
      <c r="F1215" s="122">
        <f>IFERROR(__xludf.DUMMYFUNCTION("""COMPUTED_VALUE"""),9.0E-4)</f>
        <v>0.0009</v>
      </c>
    </row>
    <row r="1216">
      <c r="A1216" s="131">
        <f>IFERROR(__xludf.DUMMYFUNCTION("""COMPUTED_VALUE"""),46187.348761574074)</f>
        <v>46187.34876</v>
      </c>
      <c r="B1216" s="126">
        <f>IFERROR(__xludf.DUMMYFUNCTION("""COMPUTED_VALUE"""),46187.0)</f>
        <v>46187</v>
      </c>
      <c r="C1216" s="122" t="str">
        <f>IFERROR(__xludf.DUMMYFUNCTION("""COMPUTED_VALUE"""),"LAND")</f>
        <v>LAND</v>
      </c>
      <c r="D1216" s="122" t="str">
        <f>IFERROR(__xludf.DUMMYFUNCTION("""COMPUTED_VALUE"""),"LandLink")</f>
        <v>LandLink</v>
      </c>
      <c r="E1216" s="122">
        <f>IFERROR(__xludf.DUMMYFUNCTION("""COMPUTED_VALUE"""),181.27)</f>
        <v>181.27</v>
      </c>
      <c r="F1216" s="122">
        <f>IFERROR(__xludf.DUMMYFUNCTION("""COMPUTED_VALUE"""),-5.0E-4)</f>
        <v>-0.0005</v>
      </c>
    </row>
    <row r="1217">
      <c r="A1217" s="131">
        <f>IFERROR(__xludf.DUMMYFUNCTION("""COMPUTED_VALUE"""),46187.348761574074)</f>
        <v>46187.34876</v>
      </c>
      <c r="B1217" s="126">
        <f>IFERROR(__xludf.DUMMYFUNCTION("""COMPUTED_VALUE"""),46187.0)</f>
        <v>46187</v>
      </c>
      <c r="C1217" s="122" t="str">
        <f>IFERROR(__xludf.DUMMYFUNCTION("""COMPUTED_VALUE"""),"CARS")</f>
        <v>CARS</v>
      </c>
      <c r="D1217" s="122" t="str">
        <f>IFERROR(__xludf.DUMMYFUNCTION("""COMPUTED_VALUE"""),"AutoArena")</f>
        <v>AutoArena</v>
      </c>
      <c r="E1217" s="122">
        <f>IFERROR(__xludf.DUMMYFUNCTION("""COMPUTED_VALUE"""),79.97)</f>
        <v>79.97</v>
      </c>
      <c r="F1217" s="122">
        <f>IFERROR(__xludf.DUMMYFUNCTION("""COMPUTED_VALUE"""),0.0095)</f>
        <v>0.0095</v>
      </c>
    </row>
    <row r="1218">
      <c r="A1218" s="131">
        <f>IFERROR(__xludf.DUMMYFUNCTION("""COMPUTED_VALUE"""),46187.348761574074)</f>
        <v>46187.34876</v>
      </c>
      <c r="B1218" s="126">
        <f>IFERROR(__xludf.DUMMYFUNCTION("""COMPUTED_VALUE"""),46187.0)</f>
        <v>46187</v>
      </c>
      <c r="C1218" s="122" t="str">
        <f>IFERROR(__xludf.DUMMYFUNCTION("""COMPUTED_VALUE"""),"EVGO")</f>
        <v>EVGO</v>
      </c>
      <c r="D1218" s="122" t="str">
        <f>IFERROR(__xludf.DUMMYFUNCTION("""COMPUTED_VALUE"""),"EVGo Motors")</f>
        <v>EVGo Motors</v>
      </c>
      <c r="E1218" s="122">
        <f>IFERROR(__xludf.DUMMYFUNCTION("""COMPUTED_VALUE"""),195.5)</f>
        <v>195.5</v>
      </c>
      <c r="F1218" s="122">
        <f>IFERROR(__xludf.DUMMYFUNCTION("""COMPUTED_VALUE"""),1.0E-4)</f>
        <v>0.0001</v>
      </c>
    </row>
    <row r="1219">
      <c r="A1219" s="131">
        <f>IFERROR(__xludf.DUMMYFUNCTION("""COMPUTED_VALUE"""),46187.348761574074)</f>
        <v>46187.34876</v>
      </c>
      <c r="B1219" s="126">
        <f>IFERROR(__xludf.DUMMYFUNCTION("""COMPUTED_VALUE"""),46187.0)</f>
        <v>46187</v>
      </c>
      <c r="C1219" s="122" t="str">
        <f>IFERROR(__xludf.DUMMYFUNCTION("""COMPUTED_VALUE"""),"TIRE")</f>
        <v>TIRE</v>
      </c>
      <c r="D1219" s="122" t="str">
        <f>IFERROR(__xludf.DUMMYFUNCTION("""COMPUTED_VALUE"""),"TireTown")</f>
        <v>TireTown</v>
      </c>
      <c r="E1219" s="122">
        <f>IFERROR(__xludf.DUMMYFUNCTION("""COMPUTED_VALUE"""),89.78)</f>
        <v>89.78</v>
      </c>
      <c r="F1219" s="122">
        <f>IFERROR(__xludf.DUMMYFUNCTION("""COMPUTED_VALUE"""),-9.0E-4)</f>
        <v>-0.0009</v>
      </c>
    </row>
    <row r="1220">
      <c r="A1220" s="131">
        <f>IFERROR(__xludf.DUMMYFUNCTION("""COMPUTED_VALUE"""),46187.348761574074)</f>
        <v>46187.34876</v>
      </c>
      <c r="B1220" s="126">
        <f>IFERROR(__xludf.DUMMYFUNCTION("""COMPUTED_VALUE"""),46187.0)</f>
        <v>46187</v>
      </c>
      <c r="C1220" s="122" t="str">
        <f>IFERROR(__xludf.DUMMYFUNCTION("""COMPUTED_VALUE"""),"BIKE")</f>
        <v>BIKE</v>
      </c>
      <c r="D1220" s="122" t="str">
        <f>IFERROR(__xludf.DUMMYFUNCTION("""COMPUTED_VALUE"""),"BikeBox")</f>
        <v>BikeBox</v>
      </c>
      <c r="E1220" s="122">
        <f>IFERROR(__xludf.DUMMYFUNCTION("""COMPUTED_VALUE"""),54.4)</f>
        <v>54.4</v>
      </c>
      <c r="F1220" s="122">
        <f>IFERROR(__xludf.DUMMYFUNCTION("""COMPUTED_VALUE"""),-0.0031)</f>
        <v>-0.0031</v>
      </c>
    </row>
    <row r="1221">
      <c r="A1221" s="131">
        <f>IFERROR(__xludf.DUMMYFUNCTION("""COMPUTED_VALUE"""),46187.348761574074)</f>
        <v>46187.34876</v>
      </c>
      <c r="B1221" s="126">
        <f>IFERROR(__xludf.DUMMYFUNCTION("""COMPUTED_VALUE"""),46187.0)</f>
        <v>46187</v>
      </c>
      <c r="C1221" s="122" t="str">
        <f>IFERROR(__xludf.DUMMYFUNCTION("""COMPUTED_VALUE"""),"WASH")</f>
        <v>WASH</v>
      </c>
      <c r="D1221" s="122" t="str">
        <f>IFERROR(__xludf.DUMMYFUNCTION("""COMPUTED_VALUE"""),"CarWash Co")</f>
        <v>CarWash Co</v>
      </c>
      <c r="E1221" s="122">
        <f>IFERROR(__xludf.DUMMYFUNCTION("""COMPUTED_VALUE"""),117.51)</f>
        <v>117.51</v>
      </c>
      <c r="F1221" s="122">
        <f>IFERROR(__xludf.DUMMYFUNCTION("""COMPUTED_VALUE"""),-7.0E-4)</f>
        <v>-0.0007</v>
      </c>
    </row>
    <row r="1222">
      <c r="A1222" s="131">
        <f>IFERROR(__xludf.DUMMYFUNCTION("""COMPUTED_VALUE"""),46187.348761574074)</f>
        <v>46187.34876</v>
      </c>
      <c r="B1222" s="126">
        <f>IFERROR(__xludf.DUMMYFUNCTION("""COMPUTED_VALUE"""),46187.0)</f>
        <v>46187</v>
      </c>
      <c r="C1222" s="122" t="str">
        <f>IFERROR(__xludf.DUMMYFUNCTION("""COMPUTED_VALUE"""),"GBND")</f>
        <v>GBND</v>
      </c>
      <c r="D1222" s="122" t="str">
        <f>IFERROR(__xludf.DUMMYFUNCTION("""COMPUTED_VALUE"""),"Classroom Government Bond")</f>
        <v>Classroom Government Bond</v>
      </c>
      <c r="E1222" s="122">
        <f>IFERROR(__xludf.DUMMYFUNCTION("""COMPUTED_VALUE"""),100.84)</f>
        <v>100.84</v>
      </c>
      <c r="F1222" s="122">
        <f>IFERROR(__xludf.DUMMYFUNCTION("""COMPUTED_VALUE"""),4.0E-4)</f>
        <v>0.0004</v>
      </c>
    </row>
    <row r="1223">
      <c r="A1223" s="131">
        <f>IFERROR(__xludf.DUMMYFUNCTION("""COMPUTED_VALUE"""),46187.348761574074)</f>
        <v>46187.34876</v>
      </c>
      <c r="B1223" s="126">
        <f>IFERROR(__xludf.DUMMYFUNCTION("""COMPUTED_VALUE"""),46187.0)</f>
        <v>46187</v>
      </c>
      <c r="C1223" s="122" t="str">
        <f>IFERROR(__xludf.DUMMYFUNCTION("""COMPUTED_VALUE"""),"SBND")</f>
        <v>SBND</v>
      </c>
      <c r="D1223" s="122" t="str">
        <f>IFERROR(__xludf.DUMMYFUNCTION("""COMPUTED_VALUE"""),"School Savings Bond")</f>
        <v>School Savings Bond</v>
      </c>
      <c r="E1223" s="122">
        <f>IFERROR(__xludf.DUMMYFUNCTION("""COMPUTED_VALUE"""),99.35)</f>
        <v>99.35</v>
      </c>
      <c r="F1223" s="122">
        <f>IFERROR(__xludf.DUMMYFUNCTION("""COMPUTED_VALUE"""),0.0)</f>
        <v>0</v>
      </c>
    </row>
    <row r="1224">
      <c r="A1224" s="131">
        <f>IFERROR(__xludf.DUMMYFUNCTION("""COMPUTED_VALUE"""),46187.348761574074)</f>
        <v>46187.34876</v>
      </c>
      <c r="B1224" s="126">
        <f>IFERROR(__xludf.DUMMYFUNCTION("""COMPUTED_VALUE"""),46187.0)</f>
        <v>46187</v>
      </c>
      <c r="C1224" s="122" t="str">
        <f>IFERROR(__xludf.DUMMYFUNCTION("""COMPUTED_VALUE"""),"CBND")</f>
        <v>CBND</v>
      </c>
      <c r="D1224" s="122" t="str">
        <f>IFERROR(__xludf.DUMMYFUNCTION("""COMPUTED_VALUE"""),"Corporate Classroom Bond")</f>
        <v>Corporate Classroom Bond</v>
      </c>
      <c r="E1224" s="122">
        <f>IFERROR(__xludf.DUMMYFUNCTION("""COMPUTED_VALUE"""),97.78)</f>
        <v>97.78</v>
      </c>
      <c r="F1224" s="122">
        <f>IFERROR(__xludf.DUMMYFUNCTION("""COMPUTED_VALUE"""),-2.0E-4)</f>
        <v>-0.0002</v>
      </c>
    </row>
    <row r="1225">
      <c r="A1225" s="131">
        <f>IFERROR(__xludf.DUMMYFUNCTION("""COMPUTED_VALUE"""),46187.348761574074)</f>
        <v>46187.34876</v>
      </c>
      <c r="B1225" s="126">
        <f>IFERROR(__xludf.DUMMYFUNCTION("""COMPUTED_VALUE"""),46187.0)</f>
        <v>46187</v>
      </c>
      <c r="C1225" s="122" t="str">
        <f>IFERROR(__xludf.DUMMYFUNCTION("""COMPUTED_VALUE"""),"TBIL")</f>
        <v>TBIL</v>
      </c>
      <c r="D1225" s="122" t="str">
        <f>IFERROR(__xludf.DUMMYFUNCTION("""COMPUTED_VALUE"""),"Treasury Bill")</f>
        <v>Treasury Bill</v>
      </c>
      <c r="E1225" s="122">
        <f>IFERROR(__xludf.DUMMYFUNCTION("""COMPUTED_VALUE"""),98.06)</f>
        <v>98.06</v>
      </c>
      <c r="F1225" s="122">
        <f>IFERROR(__xludf.DUMMYFUNCTION("""COMPUTED_VALUE"""),5.0E-4)</f>
        <v>0.0005</v>
      </c>
    </row>
    <row r="1226">
      <c r="A1226" s="131">
        <f>IFERROR(__xludf.DUMMYFUNCTION("""COMPUTED_VALUE"""),46187.348761574074)</f>
        <v>46187.34876</v>
      </c>
      <c r="B1226" s="126">
        <f>IFERROR(__xludf.DUMMYFUNCTION("""COMPUTED_VALUE"""),46187.0)</f>
        <v>46187</v>
      </c>
      <c r="C1226" s="122" t="str">
        <f>IFERROR(__xludf.DUMMYFUNCTION("""COMPUTED_VALUE"""),"IBND")</f>
        <v>IBND</v>
      </c>
      <c r="D1226" s="122" t="str">
        <f>IFERROR(__xludf.DUMMYFUNCTION("""COMPUTED_VALUE"""),"Inflation Protected Bond")</f>
        <v>Inflation Protected Bond</v>
      </c>
      <c r="E1226" s="122">
        <f>IFERROR(__xludf.DUMMYFUNCTION("""COMPUTED_VALUE"""),100.49)</f>
        <v>100.49</v>
      </c>
      <c r="F1226" s="122">
        <f>IFERROR(__xludf.DUMMYFUNCTION("""COMPUTED_VALUE"""),-1.0E-4)</f>
        <v>-0.0001</v>
      </c>
    </row>
    <row r="1227">
      <c r="A1227" s="131">
        <f>IFERROR(__xludf.DUMMYFUNCTION("""COMPUTED_VALUE"""),46187.352326388886)</f>
        <v>46187.35233</v>
      </c>
      <c r="B1227" s="126">
        <f>IFERROR(__xludf.DUMMYFUNCTION("""COMPUTED_VALUE"""),46187.0)</f>
        <v>46187</v>
      </c>
      <c r="C1227" s="122" t="str">
        <f>IFERROR(__xludf.DUMMYFUNCTION("""COMPUTED_VALUE"""),"SNAX")</f>
        <v>SNAX</v>
      </c>
      <c r="D1227" s="122" t="str">
        <f>IFERROR(__xludf.DUMMYFUNCTION("""COMPUTED_VALUE"""),"MICA Snacks")</f>
        <v>MICA Snacks</v>
      </c>
      <c r="E1227" s="122">
        <f>IFERROR(__xludf.DUMMYFUNCTION("""COMPUTED_VALUE"""),121.5)</f>
        <v>121.5</v>
      </c>
      <c r="F1227" s="122">
        <f>IFERROR(__xludf.DUMMYFUNCTION("""COMPUTED_VALUE"""),-0.0013)</f>
        <v>-0.0013</v>
      </c>
    </row>
    <row r="1228">
      <c r="A1228" s="131">
        <f>IFERROR(__xludf.DUMMYFUNCTION("""COMPUTED_VALUE"""),46187.352326388886)</f>
        <v>46187.35233</v>
      </c>
      <c r="B1228" s="126">
        <f>IFERROR(__xludf.DUMMYFUNCTION("""COMPUTED_VALUE"""),46187.0)</f>
        <v>46187</v>
      </c>
      <c r="C1228" s="122" t="str">
        <f>IFERROR(__xludf.DUMMYFUNCTION("""COMPUTED_VALUE"""),"RAMN")</f>
        <v>RAMN</v>
      </c>
      <c r="D1228" s="122" t="str">
        <f>IFERROR(__xludf.DUMMYFUNCTION("""COMPUTED_VALUE"""),"Ramen Republic")</f>
        <v>Ramen Republic</v>
      </c>
      <c r="E1228" s="122">
        <f>IFERROR(__xludf.DUMMYFUNCTION("""COMPUTED_VALUE"""),77.39)</f>
        <v>77.39</v>
      </c>
      <c r="F1228" s="122">
        <f>IFERROR(__xludf.DUMMYFUNCTION("""COMPUTED_VALUE"""),-0.0037)</f>
        <v>-0.0037</v>
      </c>
    </row>
    <row r="1229">
      <c r="A1229" s="131">
        <f>IFERROR(__xludf.DUMMYFUNCTION("""COMPUTED_VALUE"""),46187.352326388886)</f>
        <v>46187.35233</v>
      </c>
      <c r="B1229" s="126">
        <f>IFERROR(__xludf.DUMMYFUNCTION("""COMPUTED_VALUE"""),46187.0)</f>
        <v>46187</v>
      </c>
      <c r="C1229" s="122" t="str">
        <f>IFERROR(__xludf.DUMMYFUNCTION("""COMPUTED_VALUE"""),"COLA")</f>
        <v>COLA</v>
      </c>
      <c r="D1229" s="122" t="str">
        <f>IFERROR(__xludf.DUMMYFUNCTION("""COMPUTED_VALUE"""),"K-Pop Cola")</f>
        <v>K-Pop Cola</v>
      </c>
      <c r="E1229" s="122">
        <f>IFERROR(__xludf.DUMMYFUNCTION("""COMPUTED_VALUE"""),102.63)</f>
        <v>102.63</v>
      </c>
      <c r="F1229" s="122">
        <f>IFERROR(__xludf.DUMMYFUNCTION("""COMPUTED_VALUE"""),-0.004)</f>
        <v>-0.004</v>
      </c>
    </row>
    <row r="1230">
      <c r="A1230" s="131">
        <f>IFERROR(__xludf.DUMMYFUNCTION("""COMPUTED_VALUE"""),46187.352326388886)</f>
        <v>46187.35233</v>
      </c>
      <c r="B1230" s="126">
        <f>IFERROR(__xludf.DUMMYFUNCTION("""COMPUTED_VALUE"""),46187.0)</f>
        <v>46187</v>
      </c>
      <c r="C1230" s="122" t="str">
        <f>IFERROR(__xludf.DUMMYFUNCTION("""COMPUTED_VALUE"""),"CHIP")</f>
        <v>CHIP</v>
      </c>
      <c r="D1230" s="122" t="str">
        <f>IFERROR(__xludf.DUMMYFUNCTION("""COMPUTED_VALUE"""),"Chip Empire")</f>
        <v>Chip Empire</v>
      </c>
      <c r="E1230" s="122">
        <f>IFERROR(__xludf.DUMMYFUNCTION("""COMPUTED_VALUE"""),86.4)</f>
        <v>86.4</v>
      </c>
      <c r="F1230" s="122">
        <f>IFERROR(__xludf.DUMMYFUNCTION("""COMPUTED_VALUE"""),-0.0054)</f>
        <v>-0.0054</v>
      </c>
    </row>
    <row r="1231">
      <c r="A1231" s="131">
        <f>IFERROR(__xludf.DUMMYFUNCTION("""COMPUTED_VALUE"""),46187.352326388886)</f>
        <v>46187.35233</v>
      </c>
      <c r="B1231" s="126">
        <f>IFERROR(__xludf.DUMMYFUNCTION("""COMPUTED_VALUE"""),46187.0)</f>
        <v>46187</v>
      </c>
      <c r="C1231" s="122" t="str">
        <f>IFERROR(__xludf.DUMMYFUNCTION("""COMPUTED_VALUE"""),"CAND")</f>
        <v>CAND</v>
      </c>
      <c r="D1231" s="122" t="str">
        <f>IFERROR(__xludf.DUMMYFUNCTION("""COMPUTED_VALUE"""),"Candy Capital")</f>
        <v>Candy Capital</v>
      </c>
      <c r="E1231" s="122">
        <f>IFERROR(__xludf.DUMMYFUNCTION("""COMPUTED_VALUE"""),77.22)</f>
        <v>77.22</v>
      </c>
      <c r="F1231" s="122">
        <f>IFERROR(__xludf.DUMMYFUNCTION("""COMPUTED_VALUE"""),8.0E-4)</f>
        <v>0.0008</v>
      </c>
    </row>
    <row r="1232">
      <c r="A1232" s="131">
        <f>IFERROR(__xludf.DUMMYFUNCTION("""COMPUTED_VALUE"""),46187.352326388886)</f>
        <v>46187.35233</v>
      </c>
      <c r="B1232" s="126">
        <f>IFERROR(__xludf.DUMMYFUNCTION("""COMPUTED_VALUE"""),46187.0)</f>
        <v>46187</v>
      </c>
      <c r="C1232" s="122" t="str">
        <f>IFERROR(__xludf.DUMMYFUNCTION("""COMPUTED_VALUE"""),"TECH")</f>
        <v>TECH</v>
      </c>
      <c r="D1232" s="122" t="str">
        <f>IFERROR(__xludf.DUMMYFUNCTION("""COMPUTED_VALUE"""),"Dragon Tech")</f>
        <v>Dragon Tech</v>
      </c>
      <c r="E1232" s="122">
        <f>IFERROR(__xludf.DUMMYFUNCTION("""COMPUTED_VALUE"""),243.52)</f>
        <v>243.52</v>
      </c>
      <c r="F1232" s="122">
        <f>IFERROR(__xludf.DUMMYFUNCTION("""COMPUTED_VALUE"""),-0.0034)</f>
        <v>-0.0034</v>
      </c>
    </row>
    <row r="1233">
      <c r="A1233" s="131">
        <f>IFERROR(__xludf.DUMMYFUNCTION("""COMPUTED_VALUE"""),46187.352326388886)</f>
        <v>46187.35233</v>
      </c>
      <c r="B1233" s="126">
        <f>IFERROR(__xludf.DUMMYFUNCTION("""COMPUTED_VALUE"""),46187.0)</f>
        <v>46187</v>
      </c>
      <c r="C1233" s="122" t="str">
        <f>IFERROR(__xludf.DUMMYFUNCTION("""COMPUTED_VALUE"""),"AIBO")</f>
        <v>AIBO</v>
      </c>
      <c r="D1233" s="122" t="str">
        <f>IFERROR(__xludf.DUMMYFUNCTION("""COMPUTED_VALUE"""),"Homework AI")</f>
        <v>Homework AI</v>
      </c>
      <c r="E1233" s="122">
        <f>IFERROR(__xludf.DUMMYFUNCTION("""COMPUTED_VALUE"""),163.97)</f>
        <v>163.97</v>
      </c>
      <c r="F1233" s="122">
        <f>IFERROR(__xludf.DUMMYFUNCTION("""COMPUTED_VALUE"""),0.0116)</f>
        <v>0.0116</v>
      </c>
    </row>
    <row r="1234">
      <c r="A1234" s="131">
        <f>IFERROR(__xludf.DUMMYFUNCTION("""COMPUTED_VALUE"""),46187.352326388886)</f>
        <v>46187.35233</v>
      </c>
      <c r="B1234" s="126">
        <f>IFERROR(__xludf.DUMMYFUNCTION("""COMPUTED_VALUE"""),46187.0)</f>
        <v>46187</v>
      </c>
      <c r="C1234" s="122" t="str">
        <f>IFERROR(__xludf.DUMMYFUNCTION("""COMPUTED_VALUE"""),"GAME")</f>
        <v>GAME</v>
      </c>
      <c r="D1234" s="122" t="str">
        <f>IFERROR(__xludf.DUMMYFUNCTION("""COMPUTED_VALUE"""),"GameBox Media")</f>
        <v>GameBox Media</v>
      </c>
      <c r="E1234" s="122">
        <f>IFERROR(__xludf.DUMMYFUNCTION("""COMPUTED_VALUE"""),88.81)</f>
        <v>88.81</v>
      </c>
      <c r="F1234" s="122">
        <f>IFERROR(__xludf.DUMMYFUNCTION("""COMPUTED_VALUE"""),-0.0066)</f>
        <v>-0.0066</v>
      </c>
    </row>
    <row r="1235">
      <c r="A1235" s="131">
        <f>IFERROR(__xludf.DUMMYFUNCTION("""COMPUTED_VALUE"""),46187.352326388886)</f>
        <v>46187.35233</v>
      </c>
      <c r="B1235" s="126">
        <f>IFERROR(__xludf.DUMMYFUNCTION("""COMPUTED_VALUE"""),46187.0)</f>
        <v>46187</v>
      </c>
      <c r="C1235" s="122" t="str">
        <f>IFERROR(__xludf.DUMMYFUNCTION("""COMPUTED_VALUE"""),"VRSE")</f>
        <v>VRSE</v>
      </c>
      <c r="D1235" s="122" t="str">
        <f>IFERROR(__xludf.DUMMYFUNCTION("""COMPUTED_VALUE"""),"VerseVR")</f>
        <v>VerseVR</v>
      </c>
      <c r="E1235" s="122">
        <f>IFERROR(__xludf.DUMMYFUNCTION("""COMPUTED_VALUE"""),150.84)</f>
        <v>150.84</v>
      </c>
      <c r="F1235" s="122">
        <f>IFERROR(__xludf.DUMMYFUNCTION("""COMPUTED_VALUE"""),-0.0074)</f>
        <v>-0.0074</v>
      </c>
    </row>
    <row r="1236">
      <c r="A1236" s="131">
        <f>IFERROR(__xludf.DUMMYFUNCTION("""COMPUTED_VALUE"""),46187.352326388886)</f>
        <v>46187.35233</v>
      </c>
      <c r="B1236" s="126">
        <f>IFERROR(__xludf.DUMMYFUNCTION("""COMPUTED_VALUE"""),46187.0)</f>
        <v>46187</v>
      </c>
      <c r="C1236" s="122" t="str">
        <f>IFERROR(__xludf.DUMMYFUNCTION("""COMPUTED_VALUE"""),"BYTE")</f>
        <v>BYTE</v>
      </c>
      <c r="D1236" s="122" t="str">
        <f>IFERROR(__xludf.DUMMYFUNCTION("""COMPUTED_VALUE"""),"ByteWorks")</f>
        <v>ByteWorks</v>
      </c>
      <c r="E1236" s="122">
        <f>IFERROR(__xludf.DUMMYFUNCTION("""COMPUTED_VALUE"""),111.33)</f>
        <v>111.33</v>
      </c>
      <c r="F1236" s="122">
        <f>IFERROR(__xludf.DUMMYFUNCTION("""COMPUTED_VALUE"""),-0.0079)</f>
        <v>-0.0079</v>
      </c>
    </row>
    <row r="1237">
      <c r="A1237" s="131">
        <f>IFERROR(__xludf.DUMMYFUNCTION("""COMPUTED_VALUE"""),46187.352326388886)</f>
        <v>46187.35233</v>
      </c>
      <c r="B1237" s="126">
        <f>IFERROR(__xludf.DUMMYFUNCTION("""COMPUTED_VALUE"""),46187.0)</f>
        <v>46187</v>
      </c>
      <c r="C1237" s="122" t="str">
        <f>IFERROR(__xludf.DUMMYFUNCTION("""COMPUTED_VALUE"""),"BANK")</f>
        <v>BANK</v>
      </c>
      <c r="D1237" s="122" t="str">
        <f>IFERROR(__xludf.DUMMYFUNCTION("""COMPUTED_VALUE"""),"Tiger Bank")</f>
        <v>Tiger Bank</v>
      </c>
      <c r="E1237" s="122">
        <f>IFERROR(__xludf.DUMMYFUNCTION("""COMPUTED_VALUE"""),123.94)</f>
        <v>123.94</v>
      </c>
      <c r="F1237" s="122">
        <f>IFERROR(__xludf.DUMMYFUNCTION("""COMPUTED_VALUE"""),0.0019)</f>
        <v>0.0019</v>
      </c>
    </row>
    <row r="1238">
      <c r="A1238" s="131">
        <f>IFERROR(__xludf.DUMMYFUNCTION("""COMPUTED_VALUE"""),46187.352326388886)</f>
        <v>46187.35233</v>
      </c>
      <c r="B1238" s="126">
        <f>IFERROR(__xludf.DUMMYFUNCTION("""COMPUTED_VALUE"""),46187.0)</f>
        <v>46187</v>
      </c>
      <c r="C1238" s="122" t="str">
        <f>IFERROR(__xludf.DUMMYFUNCTION("""COMPUTED_VALUE"""),"CRED")</f>
        <v>CRED</v>
      </c>
      <c r="D1238" s="122" t="str">
        <f>IFERROR(__xludf.DUMMYFUNCTION("""COMPUTED_VALUE"""),"Credit Castle")</f>
        <v>Credit Castle</v>
      </c>
      <c r="E1238" s="122">
        <f>IFERROR(__xludf.DUMMYFUNCTION("""COMPUTED_VALUE"""),68.99)</f>
        <v>68.99</v>
      </c>
      <c r="F1238" s="122">
        <f>IFERROR(__xludf.DUMMYFUNCTION("""COMPUTED_VALUE"""),0.0042)</f>
        <v>0.0042</v>
      </c>
    </row>
    <row r="1239">
      <c r="A1239" s="131">
        <f>IFERROR(__xludf.DUMMYFUNCTION("""COMPUTED_VALUE"""),46187.352326388886)</f>
        <v>46187.35233</v>
      </c>
      <c r="B1239" s="126">
        <f>IFERROR(__xludf.DUMMYFUNCTION("""COMPUTED_VALUE"""),46187.0)</f>
        <v>46187</v>
      </c>
      <c r="C1239" s="122" t="str">
        <f>IFERROR(__xludf.DUMMYFUNCTION("""COMPUTED_VALUE"""),"BOND")</f>
        <v>BOND</v>
      </c>
      <c r="D1239" s="122" t="str">
        <f>IFERROR(__xludf.DUMMYFUNCTION("""COMPUTED_VALUE"""),"BondBridge")</f>
        <v>BondBridge</v>
      </c>
      <c r="E1239" s="122">
        <f>IFERROR(__xludf.DUMMYFUNCTION("""COMPUTED_VALUE"""),95.14)</f>
        <v>95.14</v>
      </c>
      <c r="F1239" s="122">
        <f>IFERROR(__xludf.DUMMYFUNCTION("""COMPUTED_VALUE"""),4.0E-4)</f>
        <v>0.0004</v>
      </c>
    </row>
    <row r="1240">
      <c r="A1240" s="131">
        <f>IFERROR(__xludf.DUMMYFUNCTION("""COMPUTED_VALUE"""),46187.352326388886)</f>
        <v>46187.35233</v>
      </c>
      <c r="B1240" s="126">
        <f>IFERROR(__xludf.DUMMYFUNCTION("""COMPUTED_VALUE"""),46187.0)</f>
        <v>46187</v>
      </c>
      <c r="C1240" s="122" t="str">
        <f>IFERROR(__xludf.DUMMYFUNCTION("""COMPUTED_VALUE"""),"INSR")</f>
        <v>INSR</v>
      </c>
      <c r="D1240" s="122" t="str">
        <f>IFERROR(__xludf.DUMMYFUNCTION("""COMPUTED_VALUE"""),"Shield Insurance")</f>
        <v>Shield Insurance</v>
      </c>
      <c r="E1240" s="122">
        <f>IFERROR(__xludf.DUMMYFUNCTION("""COMPUTED_VALUE"""),155.94)</f>
        <v>155.94</v>
      </c>
      <c r="F1240" s="122">
        <f>IFERROR(__xludf.DUMMYFUNCTION("""COMPUTED_VALUE"""),0.0022)</f>
        <v>0.0022</v>
      </c>
    </row>
    <row r="1241">
      <c r="A1241" s="131">
        <f>IFERROR(__xludf.DUMMYFUNCTION("""COMPUTED_VALUE"""),46187.352326388886)</f>
        <v>46187.35233</v>
      </c>
      <c r="B1241" s="126">
        <f>IFERROR(__xludf.DUMMYFUNCTION("""COMPUTED_VALUE"""),46187.0)</f>
        <v>46187</v>
      </c>
      <c r="C1241" s="122" t="str">
        <f>IFERROR(__xludf.DUMMYFUNCTION("""COMPUTED_VALUE"""),"LOAN")</f>
        <v>LOAN</v>
      </c>
      <c r="D1241" s="122" t="str">
        <f>IFERROR(__xludf.DUMMYFUNCTION("""COMPUTED_VALUE"""),"LoanLab")</f>
        <v>LoanLab</v>
      </c>
      <c r="E1241" s="122">
        <f>IFERROR(__xludf.DUMMYFUNCTION("""COMPUTED_VALUE"""),60.24)</f>
        <v>60.24</v>
      </c>
      <c r="F1241" s="122">
        <f>IFERROR(__xludf.DUMMYFUNCTION("""COMPUTED_VALUE"""),0.0047)</f>
        <v>0.0047</v>
      </c>
    </row>
    <row r="1242">
      <c r="A1242" s="131">
        <f>IFERROR(__xludf.DUMMYFUNCTION("""COMPUTED_VALUE"""),46187.352326388886)</f>
        <v>46187.35233</v>
      </c>
      <c r="B1242" s="126">
        <f>IFERROR(__xludf.DUMMYFUNCTION("""COMPUTED_VALUE"""),46187.0)</f>
        <v>46187</v>
      </c>
      <c r="C1242" s="122" t="str">
        <f>IFERROR(__xludf.DUMMYFUNCTION("""COMPUTED_VALUE"""),"LUXE")</f>
        <v>LUXE</v>
      </c>
      <c r="D1242" s="122" t="str">
        <f>IFERROR(__xludf.DUMMYFUNCTION("""COMPUTED_VALUE"""),"Luxury Locker")</f>
        <v>Luxury Locker</v>
      </c>
      <c r="E1242" s="122">
        <f>IFERROR(__xludf.DUMMYFUNCTION("""COMPUTED_VALUE"""),264.26)</f>
        <v>264.26</v>
      </c>
      <c r="F1242" s="122">
        <f>IFERROR(__xludf.DUMMYFUNCTION("""COMPUTED_VALUE"""),0.0012)</f>
        <v>0.0012</v>
      </c>
    </row>
    <row r="1243">
      <c r="A1243" s="131">
        <f>IFERROR(__xludf.DUMMYFUNCTION("""COMPUTED_VALUE"""),46187.352326388886)</f>
        <v>46187.35233</v>
      </c>
      <c r="B1243" s="126">
        <f>IFERROR(__xludf.DUMMYFUNCTION("""COMPUTED_VALUE"""),46187.0)</f>
        <v>46187</v>
      </c>
      <c r="C1243" s="122" t="str">
        <f>IFERROR(__xludf.DUMMYFUNCTION("""COMPUTED_VALUE"""),"DRIP")</f>
        <v>DRIP</v>
      </c>
      <c r="D1243" s="122" t="str">
        <f>IFERROR(__xludf.DUMMYFUNCTION("""COMPUTED_VALUE"""),"Drip Streetwear")</f>
        <v>Drip Streetwear</v>
      </c>
      <c r="E1243" s="122">
        <f>IFERROR(__xludf.DUMMYFUNCTION("""COMPUTED_VALUE"""),200.39)</f>
        <v>200.39</v>
      </c>
      <c r="F1243" s="122">
        <f>IFERROR(__xludf.DUMMYFUNCTION("""COMPUTED_VALUE"""),0.0095)</f>
        <v>0.0095</v>
      </c>
    </row>
    <row r="1244">
      <c r="A1244" s="131">
        <f>IFERROR(__xludf.DUMMYFUNCTION("""COMPUTED_VALUE"""),46187.352326388886)</f>
        <v>46187.35233</v>
      </c>
      <c r="B1244" s="126">
        <f>IFERROR(__xludf.DUMMYFUNCTION("""COMPUTED_VALUE"""),46187.0)</f>
        <v>46187</v>
      </c>
      <c r="C1244" s="122" t="str">
        <f>IFERROR(__xludf.DUMMYFUNCTION("""COMPUTED_VALUE"""),"KICK")</f>
        <v>KICK</v>
      </c>
      <c r="D1244" s="122" t="str">
        <f>IFERROR(__xludf.DUMMYFUNCTION("""COMPUTED_VALUE"""),"KickDrop Sneakers")</f>
        <v>KickDrop Sneakers</v>
      </c>
      <c r="E1244" s="122">
        <f>IFERROR(__xludf.DUMMYFUNCTION("""COMPUTED_VALUE"""),178.88)</f>
        <v>178.88</v>
      </c>
      <c r="F1244" s="122">
        <f>IFERROR(__xludf.DUMMYFUNCTION("""COMPUTED_VALUE"""),-1.0E-4)</f>
        <v>-0.0001</v>
      </c>
    </row>
    <row r="1245">
      <c r="A1245" s="131">
        <f>IFERROR(__xludf.DUMMYFUNCTION("""COMPUTED_VALUE"""),46187.352326388886)</f>
        <v>46187.35233</v>
      </c>
      <c r="B1245" s="126">
        <f>IFERROR(__xludf.DUMMYFUNCTION("""COMPUTED_VALUE"""),46187.0)</f>
        <v>46187</v>
      </c>
      <c r="C1245" s="122" t="str">
        <f>IFERROR(__xludf.DUMMYFUNCTION("""COMPUTED_VALUE"""),"GLAM")</f>
        <v>GLAM</v>
      </c>
      <c r="D1245" s="122" t="str">
        <f>IFERROR(__xludf.DUMMYFUNCTION("""COMPUTED_VALUE"""),"Glow Cosmetics")</f>
        <v>Glow Cosmetics</v>
      </c>
      <c r="E1245" s="122">
        <f>IFERROR(__xludf.DUMMYFUNCTION("""COMPUTED_VALUE"""),94.92)</f>
        <v>94.92</v>
      </c>
      <c r="F1245" s="122">
        <f>IFERROR(__xludf.DUMMYFUNCTION("""COMPUTED_VALUE"""),0.0048)</f>
        <v>0.0048</v>
      </c>
    </row>
    <row r="1246">
      <c r="A1246" s="131">
        <f>IFERROR(__xludf.DUMMYFUNCTION("""COMPUTED_VALUE"""),46187.352326388886)</f>
        <v>46187.35233</v>
      </c>
      <c r="B1246" s="126">
        <f>IFERROR(__xludf.DUMMYFUNCTION("""COMPUTED_VALUE"""),46187.0)</f>
        <v>46187</v>
      </c>
      <c r="C1246" s="122" t="str">
        <f>IFERROR(__xludf.DUMMYFUNCTION("""COMPUTED_VALUE"""),"BAGG")</f>
        <v>BAGG</v>
      </c>
      <c r="D1246" s="122" t="str">
        <f>IFERROR(__xludf.DUMMYFUNCTION("""COMPUTED_VALUE"""),"BagVault")</f>
        <v>BagVault</v>
      </c>
      <c r="E1246" s="122">
        <f>IFERROR(__xludf.DUMMYFUNCTION("""COMPUTED_VALUE"""),242.22)</f>
        <v>242.22</v>
      </c>
      <c r="F1246" s="122">
        <f>IFERROR(__xludf.DUMMYFUNCTION("""COMPUTED_VALUE"""),0.0059)</f>
        <v>0.0059</v>
      </c>
    </row>
    <row r="1247">
      <c r="A1247" s="131">
        <f>IFERROR(__xludf.DUMMYFUNCTION("""COMPUTED_VALUE"""),46187.352326388886)</f>
        <v>46187.35233</v>
      </c>
      <c r="B1247" s="126">
        <f>IFERROR(__xludf.DUMMYFUNCTION("""COMPUTED_VALUE"""),46187.0)</f>
        <v>46187</v>
      </c>
      <c r="C1247" s="122" t="str">
        <f>IFERROR(__xludf.DUMMYFUNCTION("""COMPUTED_VALUE"""),"FAST")</f>
        <v>FAST</v>
      </c>
      <c r="D1247" s="122" t="str">
        <f>IFERROR(__xludf.DUMMYFUNCTION("""COMPUTED_VALUE"""),"Flash Logistics")</f>
        <v>Flash Logistics</v>
      </c>
      <c r="E1247" s="122">
        <f>IFERROR(__xludf.DUMMYFUNCTION("""COMPUTED_VALUE"""),101.67)</f>
        <v>101.67</v>
      </c>
      <c r="F1247" s="122">
        <f>IFERROR(__xludf.DUMMYFUNCTION("""COMPUTED_VALUE"""),-0.0034)</f>
        <v>-0.0034</v>
      </c>
    </row>
    <row r="1248">
      <c r="A1248" s="131">
        <f>IFERROR(__xludf.DUMMYFUNCTION("""COMPUTED_VALUE"""),46187.352326388886)</f>
        <v>46187.35233</v>
      </c>
      <c r="B1248" s="126">
        <f>IFERROR(__xludf.DUMMYFUNCTION("""COMPUTED_VALUE"""),46187.0)</f>
        <v>46187</v>
      </c>
      <c r="C1248" s="122" t="str">
        <f>IFERROR(__xludf.DUMMYFUNCTION("""COMPUTED_VALUE"""),"SHIP")</f>
        <v>SHIP</v>
      </c>
      <c r="D1248" s="122" t="str">
        <f>IFERROR(__xludf.DUMMYFUNCTION("""COMPUTED_VALUE"""),"Seoul Shipping")</f>
        <v>Seoul Shipping</v>
      </c>
      <c r="E1248" s="122">
        <f>IFERROR(__xludf.DUMMYFUNCTION("""COMPUTED_VALUE"""),115.65)</f>
        <v>115.65</v>
      </c>
      <c r="F1248" s="122">
        <f>IFERROR(__xludf.DUMMYFUNCTION("""COMPUTED_VALUE"""),0.002)</f>
        <v>0.002</v>
      </c>
    </row>
    <row r="1249">
      <c r="A1249" s="131">
        <f>IFERROR(__xludf.DUMMYFUNCTION("""COMPUTED_VALUE"""),46187.352326388886)</f>
        <v>46187.35233</v>
      </c>
      <c r="B1249" s="126">
        <f>IFERROR(__xludf.DUMMYFUNCTION("""COMPUTED_VALUE"""),46187.0)</f>
        <v>46187</v>
      </c>
      <c r="C1249" s="122" t="str">
        <f>IFERROR(__xludf.DUMMYFUNCTION("""COMPUTED_VALUE"""),"DRON")</f>
        <v>DRON</v>
      </c>
      <c r="D1249" s="122" t="str">
        <f>IFERROR(__xludf.DUMMYFUNCTION("""COMPUTED_VALUE"""),"DroneDrop")</f>
        <v>DroneDrop</v>
      </c>
      <c r="E1249" s="122">
        <f>IFERROR(__xludf.DUMMYFUNCTION("""COMPUTED_VALUE"""),130.93)</f>
        <v>130.93</v>
      </c>
      <c r="F1249" s="122">
        <f>IFERROR(__xludf.DUMMYFUNCTION("""COMPUTED_VALUE"""),0.0041)</f>
        <v>0.0041</v>
      </c>
    </row>
    <row r="1250">
      <c r="A1250" s="131">
        <f>IFERROR(__xludf.DUMMYFUNCTION("""COMPUTED_VALUE"""),46187.352326388886)</f>
        <v>46187.35233</v>
      </c>
      <c r="B1250" s="126">
        <f>IFERROR(__xludf.DUMMYFUNCTION("""COMPUTED_VALUE"""),46187.0)</f>
        <v>46187</v>
      </c>
      <c r="C1250" s="122" t="str">
        <f>IFERROR(__xludf.DUMMYFUNCTION("""COMPUTED_VALUE"""),"RIDE")</f>
        <v>RIDE</v>
      </c>
      <c r="D1250" s="122" t="str">
        <f>IFERROR(__xludf.DUMMYFUNCTION("""COMPUTED_VALUE"""),"QuickRide")</f>
        <v>QuickRide</v>
      </c>
      <c r="E1250" s="122">
        <f>IFERROR(__xludf.DUMMYFUNCTION("""COMPUTED_VALUE"""),97.09)</f>
        <v>97.09</v>
      </c>
      <c r="F1250" s="122">
        <f>IFERROR(__xludf.DUMMYFUNCTION("""COMPUTED_VALUE"""),0.0072)</f>
        <v>0.0072</v>
      </c>
    </row>
    <row r="1251">
      <c r="A1251" s="131">
        <f>IFERROR(__xludf.DUMMYFUNCTION("""COMPUTED_VALUE"""),46187.352326388886)</f>
        <v>46187.35233</v>
      </c>
      <c r="B1251" s="126">
        <f>IFERROR(__xludf.DUMMYFUNCTION("""COMPUTED_VALUE"""),46187.0)</f>
        <v>46187</v>
      </c>
      <c r="C1251" s="122" t="str">
        <f>IFERROR(__xludf.DUMMYFUNCTION("""COMPUTED_VALUE"""),"RAIL")</f>
        <v>RAIL</v>
      </c>
      <c r="D1251" s="122" t="str">
        <f>IFERROR(__xludf.DUMMYFUNCTION("""COMPUTED_VALUE"""),"MetroRail Corp")</f>
        <v>MetroRail Corp</v>
      </c>
      <c r="E1251" s="122">
        <f>IFERROR(__xludf.DUMMYFUNCTION("""COMPUTED_VALUE"""),136.28)</f>
        <v>136.28</v>
      </c>
      <c r="F1251" s="122">
        <f>IFERROR(__xludf.DUMMYFUNCTION("""COMPUTED_VALUE"""),-0.0026)</f>
        <v>-0.0026</v>
      </c>
    </row>
    <row r="1252">
      <c r="A1252" s="131">
        <f>IFERROR(__xludf.DUMMYFUNCTION("""COMPUTED_VALUE"""),46187.352326388886)</f>
        <v>46187.35233</v>
      </c>
      <c r="B1252" s="126">
        <f>IFERROR(__xludf.DUMMYFUNCTION("""COMPUTED_VALUE"""),46187.0)</f>
        <v>46187</v>
      </c>
      <c r="C1252" s="122" t="str">
        <f>IFERROR(__xludf.DUMMYFUNCTION("""COMPUTED_VALUE"""),"MEDX")</f>
        <v>MEDX</v>
      </c>
      <c r="D1252" s="122" t="str">
        <f>IFERROR(__xludf.DUMMYFUNCTION("""COMPUTED_VALUE"""),"MediCore")</f>
        <v>MediCore</v>
      </c>
      <c r="E1252" s="122">
        <f>IFERROR(__xludf.DUMMYFUNCTION("""COMPUTED_VALUE"""),136.36)</f>
        <v>136.36</v>
      </c>
      <c r="F1252" s="122">
        <f>IFERROR(__xludf.DUMMYFUNCTION("""COMPUTED_VALUE"""),-0.0031)</f>
        <v>-0.0031</v>
      </c>
    </row>
    <row r="1253">
      <c r="A1253" s="131">
        <f>IFERROR(__xludf.DUMMYFUNCTION("""COMPUTED_VALUE"""),46187.352326388886)</f>
        <v>46187.35233</v>
      </c>
      <c r="B1253" s="126">
        <f>IFERROR(__xludf.DUMMYFUNCTION("""COMPUTED_VALUE"""),46187.0)</f>
        <v>46187</v>
      </c>
      <c r="C1253" s="122" t="str">
        <f>IFERROR(__xludf.DUMMYFUNCTION("""COMPUTED_VALUE"""),"GYMX")</f>
        <v>GYMX</v>
      </c>
      <c r="D1253" s="122" t="str">
        <f>IFERROR(__xludf.DUMMYFUNCTION("""COMPUTED_VALUE"""),"GymX Fitness")</f>
        <v>GymX Fitness</v>
      </c>
      <c r="E1253" s="122">
        <f>IFERROR(__xludf.DUMMYFUNCTION("""COMPUTED_VALUE"""),87.41)</f>
        <v>87.41</v>
      </c>
      <c r="F1253" s="122">
        <f>IFERROR(__xludf.DUMMYFUNCTION("""COMPUTED_VALUE"""),0.0023)</f>
        <v>0.0023</v>
      </c>
    </row>
    <row r="1254">
      <c r="A1254" s="131">
        <f>IFERROR(__xludf.DUMMYFUNCTION("""COMPUTED_VALUE"""),46187.352326388886)</f>
        <v>46187.35233</v>
      </c>
      <c r="B1254" s="126">
        <f>IFERROR(__xludf.DUMMYFUNCTION("""COMPUTED_VALUE"""),46187.0)</f>
        <v>46187</v>
      </c>
      <c r="C1254" s="122" t="str">
        <f>IFERROR(__xludf.DUMMYFUNCTION("""COMPUTED_VALUE"""),"VITA")</f>
        <v>VITA</v>
      </c>
      <c r="D1254" s="122" t="str">
        <f>IFERROR(__xludf.DUMMYFUNCTION("""COMPUTED_VALUE"""),"VitaPlus")</f>
        <v>VitaPlus</v>
      </c>
      <c r="E1254" s="122">
        <f>IFERROR(__xludf.DUMMYFUNCTION("""COMPUTED_VALUE"""),75.3)</f>
        <v>75.3</v>
      </c>
      <c r="F1254" s="122">
        <f>IFERROR(__xludf.DUMMYFUNCTION("""COMPUTED_VALUE"""),0.0037)</f>
        <v>0.0037</v>
      </c>
    </row>
    <row r="1255">
      <c r="A1255" s="131">
        <f>IFERROR(__xludf.DUMMYFUNCTION("""COMPUTED_VALUE"""),46187.352326388886)</f>
        <v>46187.35233</v>
      </c>
      <c r="B1255" s="126">
        <f>IFERROR(__xludf.DUMMYFUNCTION("""COMPUTED_VALUE"""),46187.0)</f>
        <v>46187</v>
      </c>
      <c r="C1255" s="122" t="str">
        <f>IFERROR(__xludf.DUMMYFUNCTION("""COMPUTED_VALUE"""),"CARE")</f>
        <v>CARE</v>
      </c>
      <c r="D1255" s="122" t="str">
        <f>IFERROR(__xludf.DUMMYFUNCTION("""COMPUTED_VALUE"""),"CareCloud")</f>
        <v>CareCloud</v>
      </c>
      <c r="E1255" s="122">
        <f>IFERROR(__xludf.DUMMYFUNCTION("""COMPUTED_VALUE"""),180.09)</f>
        <v>180.09</v>
      </c>
      <c r="F1255" s="122">
        <f>IFERROR(__xludf.DUMMYFUNCTION("""COMPUTED_VALUE"""),0.005)</f>
        <v>0.005</v>
      </c>
    </row>
    <row r="1256">
      <c r="A1256" s="131">
        <f>IFERROR(__xludf.DUMMYFUNCTION("""COMPUTED_VALUE"""),46187.352326388886)</f>
        <v>46187.35233</v>
      </c>
      <c r="B1256" s="126">
        <f>IFERROR(__xludf.DUMMYFUNCTION("""COMPUTED_VALUE"""),46187.0)</f>
        <v>46187</v>
      </c>
      <c r="C1256" s="122" t="str">
        <f>IFERROR(__xludf.DUMMYFUNCTION("""COMPUTED_VALUE"""),"DENT")</f>
        <v>DENT</v>
      </c>
      <c r="D1256" s="122" t="str">
        <f>IFERROR(__xludf.DUMMYFUNCTION("""COMPUTED_VALUE"""),"SmileWorks")</f>
        <v>SmileWorks</v>
      </c>
      <c r="E1256" s="122">
        <f>IFERROR(__xludf.DUMMYFUNCTION("""COMPUTED_VALUE"""),81.69)</f>
        <v>81.69</v>
      </c>
      <c r="F1256" s="122">
        <f>IFERROR(__xludf.DUMMYFUNCTION("""COMPUTED_VALUE"""),-6.0E-4)</f>
        <v>-0.0006</v>
      </c>
    </row>
    <row r="1257">
      <c r="A1257" s="131">
        <f>IFERROR(__xludf.DUMMYFUNCTION("""COMPUTED_VALUE"""),46187.352326388886)</f>
        <v>46187.35233</v>
      </c>
      <c r="B1257" s="126">
        <f>IFERROR(__xludf.DUMMYFUNCTION("""COMPUTED_VALUE"""),46187.0)</f>
        <v>46187</v>
      </c>
      <c r="C1257" s="122" t="str">
        <f>IFERROR(__xludf.DUMMYFUNCTION("""COMPUTED_VALUE"""),"EDUX")</f>
        <v>EDUX</v>
      </c>
      <c r="D1257" s="122" t="str">
        <f>IFERROR(__xludf.DUMMYFUNCTION("""COMPUTED_VALUE"""),"EduMax Learning")</f>
        <v>EduMax Learning</v>
      </c>
      <c r="E1257" s="122">
        <f>IFERROR(__xludf.DUMMYFUNCTION("""COMPUTED_VALUE"""),130.1)</f>
        <v>130.1</v>
      </c>
      <c r="F1257" s="122">
        <f>IFERROR(__xludf.DUMMYFUNCTION("""COMPUTED_VALUE"""),-0.0025)</f>
        <v>-0.0025</v>
      </c>
    </row>
    <row r="1258">
      <c r="A1258" s="131">
        <f>IFERROR(__xludf.DUMMYFUNCTION("""COMPUTED_VALUE"""),46187.352326388886)</f>
        <v>46187.35233</v>
      </c>
      <c r="B1258" s="126">
        <f>IFERROR(__xludf.DUMMYFUNCTION("""COMPUTED_VALUE"""),46187.0)</f>
        <v>46187</v>
      </c>
      <c r="C1258" s="122" t="str">
        <f>IFERROR(__xludf.DUMMYFUNCTION("""COMPUTED_VALUE"""),"BOOK")</f>
        <v>BOOK</v>
      </c>
      <c r="D1258" s="122" t="str">
        <f>IFERROR(__xludf.DUMMYFUNCTION("""COMPUTED_VALUE"""),"BookBridge")</f>
        <v>BookBridge</v>
      </c>
      <c r="E1258" s="122">
        <f>IFERROR(__xludf.DUMMYFUNCTION("""COMPUTED_VALUE"""),111.83)</f>
        <v>111.83</v>
      </c>
      <c r="F1258" s="122">
        <f>IFERROR(__xludf.DUMMYFUNCTION("""COMPUTED_VALUE"""),-0.0028)</f>
        <v>-0.0028</v>
      </c>
    </row>
    <row r="1259">
      <c r="A1259" s="131">
        <f>IFERROR(__xludf.DUMMYFUNCTION("""COMPUTED_VALUE"""),46187.352326388886)</f>
        <v>46187.35233</v>
      </c>
      <c r="B1259" s="126">
        <f>IFERROR(__xludf.DUMMYFUNCTION("""COMPUTED_VALUE"""),46187.0)</f>
        <v>46187</v>
      </c>
      <c r="C1259" s="122" t="str">
        <f>IFERROR(__xludf.DUMMYFUNCTION("""COMPUTED_VALUE"""),"TUTR")</f>
        <v>TUTR</v>
      </c>
      <c r="D1259" s="122" t="str">
        <f>IFERROR(__xludf.DUMMYFUNCTION("""COMPUTED_VALUE"""),"TutorTown")</f>
        <v>TutorTown</v>
      </c>
      <c r="E1259" s="122">
        <f>IFERROR(__xludf.DUMMYFUNCTION("""COMPUTED_VALUE"""),90.37)</f>
        <v>90.37</v>
      </c>
      <c r="F1259" s="122">
        <f>IFERROR(__xludf.DUMMYFUNCTION("""COMPUTED_VALUE"""),0.0011)</f>
        <v>0.0011</v>
      </c>
    </row>
    <row r="1260">
      <c r="A1260" s="131">
        <f>IFERROR(__xludf.DUMMYFUNCTION("""COMPUTED_VALUE"""),46187.352326388886)</f>
        <v>46187.35233</v>
      </c>
      <c r="B1260" s="126">
        <f>IFERROR(__xludf.DUMMYFUNCTION("""COMPUTED_VALUE"""),46187.0)</f>
        <v>46187</v>
      </c>
      <c r="C1260" s="122" t="str">
        <f>IFERROR(__xludf.DUMMYFUNCTION("""COMPUTED_VALUE"""),"LANG")</f>
        <v>LANG</v>
      </c>
      <c r="D1260" s="122" t="str">
        <f>IFERROR(__xludf.DUMMYFUNCTION("""COMPUTED_VALUE"""),"LinguaLab")</f>
        <v>LinguaLab</v>
      </c>
      <c r="E1260" s="122">
        <f>IFERROR(__xludf.DUMMYFUNCTION("""COMPUTED_VALUE"""),94.92)</f>
        <v>94.92</v>
      </c>
      <c r="F1260" s="122">
        <f>IFERROR(__xludf.DUMMYFUNCTION("""COMPUTED_VALUE"""),-0.0023)</f>
        <v>-0.0023</v>
      </c>
    </row>
    <row r="1261">
      <c r="A1261" s="131">
        <f>IFERROR(__xludf.DUMMYFUNCTION("""COMPUTED_VALUE"""),46187.352326388886)</f>
        <v>46187.35233</v>
      </c>
      <c r="B1261" s="126">
        <f>IFERROR(__xludf.DUMMYFUNCTION("""COMPUTED_VALUE"""),46187.0)</f>
        <v>46187</v>
      </c>
      <c r="C1261" s="122" t="str">
        <f>IFERROR(__xludf.DUMMYFUNCTION("""COMPUTED_VALUE"""),"TEST")</f>
        <v>TEST</v>
      </c>
      <c r="D1261" s="122" t="str">
        <f>IFERROR(__xludf.DUMMYFUNCTION("""COMPUTED_VALUE"""),"TestPrep Pro")</f>
        <v>TestPrep Pro</v>
      </c>
      <c r="E1261" s="122">
        <f>IFERROR(__xludf.DUMMYFUNCTION("""COMPUTED_VALUE"""),102.16)</f>
        <v>102.16</v>
      </c>
      <c r="F1261" s="122">
        <f>IFERROR(__xludf.DUMMYFUNCTION("""COMPUTED_VALUE"""),0.0014)</f>
        <v>0.0014</v>
      </c>
    </row>
    <row r="1262">
      <c r="A1262" s="131">
        <f>IFERROR(__xludf.DUMMYFUNCTION("""COMPUTED_VALUE"""),46187.352326388886)</f>
        <v>46187.35233</v>
      </c>
      <c r="B1262" s="126">
        <f>IFERROR(__xludf.DUMMYFUNCTION("""COMPUTED_VALUE"""),46187.0)</f>
        <v>46187</v>
      </c>
      <c r="C1262" s="122" t="str">
        <f>IFERROR(__xludf.DUMMYFUNCTION("""COMPUTED_VALUE"""),"MOVI")</f>
        <v>MOVI</v>
      </c>
      <c r="D1262" s="122" t="str">
        <f>IFERROR(__xludf.DUMMYFUNCTION("""COMPUTED_VALUE"""),"MovieBox")</f>
        <v>MovieBox</v>
      </c>
      <c r="E1262" s="122">
        <f>IFERROR(__xludf.DUMMYFUNCTION("""COMPUTED_VALUE"""),80.95)</f>
        <v>80.95</v>
      </c>
      <c r="F1262" s="122">
        <f>IFERROR(__xludf.DUMMYFUNCTION("""COMPUTED_VALUE"""),0.008)</f>
        <v>0.008</v>
      </c>
    </row>
    <row r="1263">
      <c r="A1263" s="131">
        <f>IFERROR(__xludf.DUMMYFUNCTION("""COMPUTED_VALUE"""),46187.352326388886)</f>
        <v>46187.35233</v>
      </c>
      <c r="B1263" s="126">
        <f>IFERROR(__xludf.DUMMYFUNCTION("""COMPUTED_VALUE"""),46187.0)</f>
        <v>46187</v>
      </c>
      <c r="C1263" s="122" t="str">
        <f>IFERROR(__xludf.DUMMYFUNCTION("""COMPUTED_VALUE"""),"MUSC")</f>
        <v>MUSC</v>
      </c>
      <c r="D1263" s="122" t="str">
        <f>IFERROR(__xludf.DUMMYFUNCTION("""COMPUTED_VALUE"""),"MusicWave")</f>
        <v>MusicWave</v>
      </c>
      <c r="E1263" s="122">
        <f>IFERROR(__xludf.DUMMYFUNCTION("""COMPUTED_VALUE"""),95.88)</f>
        <v>95.88</v>
      </c>
      <c r="F1263" s="122">
        <f>IFERROR(__xludf.DUMMYFUNCTION("""COMPUTED_VALUE"""),-0.0051)</f>
        <v>-0.0051</v>
      </c>
    </row>
    <row r="1264">
      <c r="A1264" s="131">
        <f>IFERROR(__xludf.DUMMYFUNCTION("""COMPUTED_VALUE"""),46187.352326388886)</f>
        <v>46187.35233</v>
      </c>
      <c r="B1264" s="126">
        <f>IFERROR(__xludf.DUMMYFUNCTION("""COMPUTED_VALUE"""),46187.0)</f>
        <v>46187</v>
      </c>
      <c r="C1264" s="122" t="str">
        <f>IFERROR(__xludf.DUMMYFUNCTION("""COMPUTED_VALUE"""),"IDOL")</f>
        <v>IDOL</v>
      </c>
      <c r="D1264" s="122" t="str">
        <f>IFERROR(__xludf.DUMMYFUNCTION("""COMPUTED_VALUE"""),"Idol Agency")</f>
        <v>Idol Agency</v>
      </c>
      <c r="E1264" s="122">
        <f>IFERROR(__xludf.DUMMYFUNCTION("""COMPUTED_VALUE"""),198.47)</f>
        <v>198.47</v>
      </c>
      <c r="F1264" s="122">
        <f>IFERROR(__xludf.DUMMYFUNCTION("""COMPUTED_VALUE"""),-5.0E-4)</f>
        <v>-0.0005</v>
      </c>
    </row>
    <row r="1265">
      <c r="A1265" s="131">
        <f>IFERROR(__xludf.DUMMYFUNCTION("""COMPUTED_VALUE"""),46187.352326388886)</f>
        <v>46187.35233</v>
      </c>
      <c r="B1265" s="126">
        <f>IFERROR(__xludf.DUMMYFUNCTION("""COMPUTED_VALUE"""),46187.0)</f>
        <v>46187</v>
      </c>
      <c r="C1265" s="122" t="str">
        <f>IFERROR(__xludf.DUMMYFUNCTION("""COMPUTED_VALUE"""),"MEME")</f>
        <v>MEME</v>
      </c>
      <c r="D1265" s="122" t="str">
        <f>IFERROR(__xludf.DUMMYFUNCTION("""COMPUTED_VALUE"""),"Meme Media")</f>
        <v>Meme Media</v>
      </c>
      <c r="E1265" s="122">
        <f>IFERROR(__xludf.DUMMYFUNCTION("""COMPUTED_VALUE"""),78.42)</f>
        <v>78.42</v>
      </c>
      <c r="F1265" s="122">
        <f>IFERROR(__xludf.DUMMYFUNCTION("""COMPUTED_VALUE"""),-0.008)</f>
        <v>-0.008</v>
      </c>
    </row>
    <row r="1266">
      <c r="A1266" s="131">
        <f>IFERROR(__xludf.DUMMYFUNCTION("""COMPUTED_VALUE"""),46187.352326388886)</f>
        <v>46187.35233</v>
      </c>
      <c r="B1266" s="126">
        <f>IFERROR(__xludf.DUMMYFUNCTION("""COMPUTED_VALUE"""),46187.0)</f>
        <v>46187</v>
      </c>
      <c r="C1266" s="122" t="str">
        <f>IFERROR(__xludf.DUMMYFUNCTION("""COMPUTED_VALUE"""),"STRM")</f>
        <v>STRM</v>
      </c>
      <c r="D1266" s="122" t="str">
        <f>IFERROR(__xludf.DUMMYFUNCTION("""COMPUTED_VALUE"""),"Streamly")</f>
        <v>Streamly</v>
      </c>
      <c r="E1266" s="122">
        <f>IFERROR(__xludf.DUMMYFUNCTION("""COMPUTED_VALUE"""),136.51)</f>
        <v>136.51</v>
      </c>
      <c r="F1266" s="122">
        <f>IFERROR(__xludf.DUMMYFUNCTION("""COMPUTED_VALUE"""),-0.003)</f>
        <v>-0.003</v>
      </c>
    </row>
    <row r="1267">
      <c r="A1267" s="131">
        <f>IFERROR(__xludf.DUMMYFUNCTION("""COMPUTED_VALUE"""),46187.352326388886)</f>
        <v>46187.35233</v>
      </c>
      <c r="B1267" s="126">
        <f>IFERROR(__xludf.DUMMYFUNCTION("""COMPUTED_VALUE"""),46187.0)</f>
        <v>46187</v>
      </c>
      <c r="C1267" s="122" t="str">
        <f>IFERROR(__xludf.DUMMYFUNCTION("""COMPUTED_VALUE"""),"FARM")</f>
        <v>FARM</v>
      </c>
      <c r="D1267" s="122" t="str">
        <f>IFERROR(__xludf.DUMMYFUNCTION("""COMPUTED_VALUE"""),"Future Farms")</f>
        <v>Future Farms</v>
      </c>
      <c r="E1267" s="122">
        <f>IFERROR(__xludf.DUMMYFUNCTION("""COMPUTED_VALUE"""),79.88)</f>
        <v>79.88</v>
      </c>
      <c r="F1267" s="122">
        <f>IFERROR(__xludf.DUMMYFUNCTION("""COMPUTED_VALUE"""),-0.001)</f>
        <v>-0.001</v>
      </c>
    </row>
    <row r="1268">
      <c r="A1268" s="131">
        <f>IFERROR(__xludf.DUMMYFUNCTION("""COMPUTED_VALUE"""),46187.352326388886)</f>
        <v>46187.35233</v>
      </c>
      <c r="B1268" s="126">
        <f>IFERROR(__xludf.DUMMYFUNCTION("""COMPUTED_VALUE"""),46187.0)</f>
        <v>46187</v>
      </c>
      <c r="C1268" s="122" t="str">
        <f>IFERROR(__xludf.DUMMYFUNCTION("""COMPUTED_VALUE"""),"MEAT")</f>
        <v>MEAT</v>
      </c>
      <c r="D1268" s="122" t="str">
        <f>IFERROR(__xludf.DUMMYFUNCTION("""COMPUTED_VALUE"""),"MeatWorks")</f>
        <v>MeatWorks</v>
      </c>
      <c r="E1268" s="122">
        <f>IFERROR(__xludf.DUMMYFUNCTION("""COMPUTED_VALUE"""),104.04)</f>
        <v>104.04</v>
      </c>
      <c r="F1268" s="122">
        <f>IFERROR(__xludf.DUMMYFUNCTION("""COMPUTED_VALUE"""),-0.0022)</f>
        <v>-0.0022</v>
      </c>
    </row>
    <row r="1269">
      <c r="A1269" s="131">
        <f>IFERROR(__xludf.DUMMYFUNCTION("""COMPUTED_VALUE"""),46187.352326388886)</f>
        <v>46187.35233</v>
      </c>
      <c r="B1269" s="126">
        <f>IFERROR(__xludf.DUMMYFUNCTION("""COMPUTED_VALUE"""),46187.0)</f>
        <v>46187</v>
      </c>
      <c r="C1269" s="122" t="str">
        <f>IFERROR(__xludf.DUMMYFUNCTION("""COMPUTED_VALUE"""),"VEGI")</f>
        <v>VEGI</v>
      </c>
      <c r="D1269" s="122" t="str">
        <f>IFERROR(__xludf.DUMMYFUNCTION("""COMPUTED_VALUE"""),"Green Basket")</f>
        <v>Green Basket</v>
      </c>
      <c r="E1269" s="122">
        <f>IFERROR(__xludf.DUMMYFUNCTION("""COMPUTED_VALUE"""),83.57)</f>
        <v>83.57</v>
      </c>
      <c r="F1269" s="122">
        <f>IFERROR(__xludf.DUMMYFUNCTION("""COMPUTED_VALUE"""),0.0032)</f>
        <v>0.0032</v>
      </c>
    </row>
    <row r="1270">
      <c r="A1270" s="131">
        <f>IFERROR(__xludf.DUMMYFUNCTION("""COMPUTED_VALUE"""),46187.352326388886)</f>
        <v>46187.35233</v>
      </c>
      <c r="B1270" s="126">
        <f>IFERROR(__xludf.DUMMYFUNCTION("""COMPUTED_VALUE"""),46187.0)</f>
        <v>46187</v>
      </c>
      <c r="C1270" s="122" t="str">
        <f>IFERROR(__xludf.DUMMYFUNCTION("""COMPUTED_VALUE"""),"CAFE")</f>
        <v>CAFE</v>
      </c>
      <c r="D1270" s="122" t="str">
        <f>IFERROR(__xludf.DUMMYFUNCTION("""COMPUTED_VALUE"""),"Cafe Cloud")</f>
        <v>Cafe Cloud</v>
      </c>
      <c r="E1270" s="122">
        <f>IFERROR(__xludf.DUMMYFUNCTION("""COMPUTED_VALUE"""),98.52)</f>
        <v>98.52</v>
      </c>
      <c r="F1270" s="122">
        <f>IFERROR(__xludf.DUMMYFUNCTION("""COMPUTED_VALUE"""),-0.0073)</f>
        <v>-0.0073</v>
      </c>
    </row>
    <row r="1271">
      <c r="A1271" s="131">
        <f>IFERROR(__xludf.DUMMYFUNCTION("""COMPUTED_VALUE"""),46187.352326388886)</f>
        <v>46187.35233</v>
      </c>
      <c r="B1271" s="126">
        <f>IFERROR(__xludf.DUMMYFUNCTION("""COMPUTED_VALUE"""),46187.0)</f>
        <v>46187</v>
      </c>
      <c r="C1271" s="122" t="str">
        <f>IFERROR(__xludf.DUMMYFUNCTION("""COMPUTED_VALUE"""),"BAKE")</f>
        <v>BAKE</v>
      </c>
      <c r="D1271" s="122" t="str">
        <f>IFERROR(__xludf.DUMMYFUNCTION("""COMPUTED_VALUE"""),"BakeHouse")</f>
        <v>BakeHouse</v>
      </c>
      <c r="E1271" s="122">
        <f>IFERROR(__xludf.DUMMYFUNCTION("""COMPUTED_VALUE"""),99.8)</f>
        <v>99.8</v>
      </c>
      <c r="F1271" s="122">
        <f>IFERROR(__xludf.DUMMYFUNCTION("""COMPUTED_VALUE"""),0.0011)</f>
        <v>0.0011</v>
      </c>
    </row>
    <row r="1272">
      <c r="A1272" s="131">
        <f>IFERROR(__xludf.DUMMYFUNCTION("""COMPUTED_VALUE"""),46187.352326388886)</f>
        <v>46187.35233</v>
      </c>
      <c r="B1272" s="126">
        <f>IFERROR(__xludf.DUMMYFUNCTION("""COMPUTED_VALUE"""),46187.0)</f>
        <v>46187</v>
      </c>
      <c r="C1272" s="122" t="str">
        <f>IFERROR(__xludf.DUMMYFUNCTION("""COMPUTED_VALUE"""),"OILX")</f>
        <v>OILX</v>
      </c>
      <c r="D1272" s="122" t="str">
        <f>IFERROR(__xludf.DUMMYFUNCTION("""COMPUTED_VALUE"""),"OilMax Energy")</f>
        <v>OilMax Energy</v>
      </c>
      <c r="E1272" s="122">
        <f>IFERROR(__xludf.DUMMYFUNCTION("""COMPUTED_VALUE"""),129.79)</f>
        <v>129.79</v>
      </c>
      <c r="F1272" s="122">
        <f>IFERROR(__xludf.DUMMYFUNCTION("""COMPUTED_VALUE"""),-0.0028)</f>
        <v>-0.0028</v>
      </c>
    </row>
    <row r="1273">
      <c r="A1273" s="131">
        <f>IFERROR(__xludf.DUMMYFUNCTION("""COMPUTED_VALUE"""),46187.352326388886)</f>
        <v>46187.35233</v>
      </c>
      <c r="B1273" s="126">
        <f>IFERROR(__xludf.DUMMYFUNCTION("""COMPUTED_VALUE"""),46187.0)</f>
        <v>46187</v>
      </c>
      <c r="C1273" s="122" t="str">
        <f>IFERROR(__xludf.DUMMYFUNCTION("""COMPUTED_VALUE"""),"SOLR")</f>
        <v>SOLR</v>
      </c>
      <c r="D1273" s="122" t="str">
        <f>IFERROR(__xludf.DUMMYFUNCTION("""COMPUTED_VALUE"""),"SolarSpark")</f>
        <v>SolarSpark</v>
      </c>
      <c r="E1273" s="122">
        <f>IFERROR(__xludf.DUMMYFUNCTION("""COMPUTED_VALUE"""),83.72)</f>
        <v>83.72</v>
      </c>
      <c r="F1273" s="122">
        <f>IFERROR(__xludf.DUMMYFUNCTION("""COMPUTED_VALUE"""),0.0067)</f>
        <v>0.0067</v>
      </c>
    </row>
    <row r="1274">
      <c r="A1274" s="131">
        <f>IFERROR(__xludf.DUMMYFUNCTION("""COMPUTED_VALUE"""),46187.352326388886)</f>
        <v>46187.35233</v>
      </c>
      <c r="B1274" s="126">
        <f>IFERROR(__xludf.DUMMYFUNCTION("""COMPUTED_VALUE"""),46187.0)</f>
        <v>46187</v>
      </c>
      <c r="C1274" s="122" t="str">
        <f>IFERROR(__xludf.DUMMYFUNCTION("""COMPUTED_VALUE"""),"BATT")</f>
        <v>BATT</v>
      </c>
      <c r="D1274" s="122" t="str">
        <f>IFERROR(__xludf.DUMMYFUNCTION("""COMPUTED_VALUE"""),"BatteryBox")</f>
        <v>BatteryBox</v>
      </c>
      <c r="E1274" s="122">
        <f>IFERROR(__xludf.DUMMYFUNCTION("""COMPUTED_VALUE"""),119.14)</f>
        <v>119.14</v>
      </c>
      <c r="F1274" s="122">
        <f>IFERROR(__xludf.DUMMYFUNCTION("""COMPUTED_VALUE"""),0.0097)</f>
        <v>0.0097</v>
      </c>
    </row>
    <row r="1275">
      <c r="A1275" s="131">
        <f>IFERROR(__xludf.DUMMYFUNCTION("""COMPUTED_VALUE"""),46187.352326388886)</f>
        <v>46187.35233</v>
      </c>
      <c r="B1275" s="126">
        <f>IFERROR(__xludf.DUMMYFUNCTION("""COMPUTED_VALUE"""),46187.0)</f>
        <v>46187</v>
      </c>
      <c r="C1275" s="122" t="str">
        <f>IFERROR(__xludf.DUMMYFUNCTION("""COMPUTED_VALUE"""),"WIND")</f>
        <v>WIND</v>
      </c>
      <c r="D1275" s="122" t="str">
        <f>IFERROR(__xludf.DUMMYFUNCTION("""COMPUTED_VALUE"""),"WindWorks")</f>
        <v>WindWorks</v>
      </c>
      <c r="E1275" s="122">
        <f>IFERROR(__xludf.DUMMYFUNCTION("""COMPUTED_VALUE"""),88.43)</f>
        <v>88.43</v>
      </c>
      <c r="F1275" s="122">
        <f>IFERROR(__xludf.DUMMYFUNCTION("""COMPUTED_VALUE"""),0.002)</f>
        <v>0.002</v>
      </c>
    </row>
    <row r="1276">
      <c r="A1276" s="131">
        <f>IFERROR(__xludf.DUMMYFUNCTION("""COMPUTED_VALUE"""),46187.352326388886)</f>
        <v>46187.35233</v>
      </c>
      <c r="B1276" s="126">
        <f>IFERROR(__xludf.DUMMYFUNCTION("""COMPUTED_VALUE"""),46187.0)</f>
        <v>46187</v>
      </c>
      <c r="C1276" s="122" t="str">
        <f>IFERROR(__xludf.DUMMYFUNCTION("""COMPUTED_VALUE"""),"GRID")</f>
        <v>GRID</v>
      </c>
      <c r="D1276" s="122" t="str">
        <f>IFERROR(__xludf.DUMMYFUNCTION("""COMPUTED_VALUE"""),"GridPower")</f>
        <v>GridPower</v>
      </c>
      <c r="E1276" s="122">
        <f>IFERROR(__xludf.DUMMYFUNCTION("""COMPUTED_VALUE"""),148.15)</f>
        <v>148.15</v>
      </c>
      <c r="F1276" s="122">
        <f>IFERROR(__xludf.DUMMYFUNCTION("""COMPUTED_VALUE"""),0.0042)</f>
        <v>0.0042</v>
      </c>
    </row>
    <row r="1277">
      <c r="A1277" s="131">
        <f>IFERROR(__xludf.DUMMYFUNCTION("""COMPUTED_VALUE"""),46187.352326388886)</f>
        <v>46187.35233</v>
      </c>
      <c r="B1277" s="126">
        <f>IFERROR(__xludf.DUMMYFUNCTION("""COMPUTED_VALUE"""),46187.0)</f>
        <v>46187</v>
      </c>
      <c r="C1277" s="122" t="str">
        <f>IFERROR(__xludf.DUMMYFUNCTION("""COMPUTED_VALUE"""),"HOME")</f>
        <v>HOME</v>
      </c>
      <c r="D1277" s="122" t="str">
        <f>IFERROR(__xludf.DUMMYFUNCTION("""COMPUTED_VALUE"""),"HomeHub")</f>
        <v>HomeHub</v>
      </c>
      <c r="E1277" s="122">
        <f>IFERROR(__xludf.DUMMYFUNCTION("""COMPUTED_VALUE"""),145.89)</f>
        <v>145.89</v>
      </c>
      <c r="F1277" s="122">
        <f>IFERROR(__xludf.DUMMYFUNCTION("""COMPUTED_VALUE"""),0.0052)</f>
        <v>0.0052</v>
      </c>
    </row>
    <row r="1278">
      <c r="A1278" s="131">
        <f>IFERROR(__xludf.DUMMYFUNCTION("""COMPUTED_VALUE"""),46187.352326388886)</f>
        <v>46187.35233</v>
      </c>
      <c r="B1278" s="126">
        <f>IFERROR(__xludf.DUMMYFUNCTION("""COMPUTED_VALUE"""),46187.0)</f>
        <v>46187</v>
      </c>
      <c r="C1278" s="122" t="str">
        <f>IFERROR(__xludf.DUMMYFUNCTION("""COMPUTED_VALUE"""),"RENT")</f>
        <v>RENT</v>
      </c>
      <c r="D1278" s="122" t="str">
        <f>IFERROR(__xludf.DUMMYFUNCTION("""COMPUTED_VALUE"""),"RentRight")</f>
        <v>RentRight</v>
      </c>
      <c r="E1278" s="122">
        <f>IFERROR(__xludf.DUMMYFUNCTION("""COMPUTED_VALUE"""),94.29)</f>
        <v>94.29</v>
      </c>
      <c r="F1278" s="122">
        <f>IFERROR(__xludf.DUMMYFUNCTION("""COMPUTED_VALUE"""),0.0046)</f>
        <v>0.0046</v>
      </c>
    </row>
    <row r="1279">
      <c r="A1279" s="131">
        <f>IFERROR(__xludf.DUMMYFUNCTION("""COMPUTED_VALUE"""),46187.352326388886)</f>
        <v>46187.35233</v>
      </c>
      <c r="B1279" s="126">
        <f>IFERROR(__xludf.DUMMYFUNCTION("""COMPUTED_VALUE"""),46187.0)</f>
        <v>46187</v>
      </c>
      <c r="C1279" s="122" t="str">
        <f>IFERROR(__xludf.DUMMYFUNCTION("""COMPUTED_VALUE"""),"MALL")</f>
        <v>MALL</v>
      </c>
      <c r="D1279" s="122" t="str">
        <f>IFERROR(__xludf.DUMMYFUNCTION("""COMPUTED_VALUE"""),"MegaMall")</f>
        <v>MegaMall</v>
      </c>
      <c r="E1279" s="122">
        <f>IFERROR(__xludf.DUMMYFUNCTION("""COMPUTED_VALUE"""),96.12)</f>
        <v>96.12</v>
      </c>
      <c r="F1279" s="122">
        <f>IFERROR(__xludf.DUMMYFUNCTION("""COMPUTED_VALUE"""),0.0072)</f>
        <v>0.0072</v>
      </c>
    </row>
    <row r="1280">
      <c r="A1280" s="131">
        <f>IFERROR(__xludf.DUMMYFUNCTION("""COMPUTED_VALUE"""),46187.352326388886)</f>
        <v>46187.35233</v>
      </c>
      <c r="B1280" s="126">
        <f>IFERROR(__xludf.DUMMYFUNCTION("""COMPUTED_VALUE"""),46187.0)</f>
        <v>46187</v>
      </c>
      <c r="C1280" s="122" t="str">
        <f>IFERROR(__xludf.DUMMYFUNCTION("""COMPUTED_VALUE"""),"HOTL")</f>
        <v>HOTL</v>
      </c>
      <c r="D1280" s="122" t="str">
        <f>IFERROR(__xludf.DUMMYFUNCTION("""COMPUTED_VALUE"""),"HotelHive")</f>
        <v>HotelHive</v>
      </c>
      <c r="E1280" s="122">
        <f>IFERROR(__xludf.DUMMYFUNCTION("""COMPUTED_VALUE"""),132.25)</f>
        <v>132.25</v>
      </c>
      <c r="F1280" s="122">
        <f>IFERROR(__xludf.DUMMYFUNCTION("""COMPUTED_VALUE"""),-0.0031)</f>
        <v>-0.0031</v>
      </c>
    </row>
    <row r="1281">
      <c r="A1281" s="131">
        <f>IFERROR(__xludf.DUMMYFUNCTION("""COMPUTED_VALUE"""),46187.352326388886)</f>
        <v>46187.35233</v>
      </c>
      <c r="B1281" s="126">
        <f>IFERROR(__xludf.DUMMYFUNCTION("""COMPUTED_VALUE"""),46187.0)</f>
        <v>46187</v>
      </c>
      <c r="C1281" s="122" t="str">
        <f>IFERROR(__xludf.DUMMYFUNCTION("""COMPUTED_VALUE"""),"LAND")</f>
        <v>LAND</v>
      </c>
      <c r="D1281" s="122" t="str">
        <f>IFERROR(__xludf.DUMMYFUNCTION("""COMPUTED_VALUE"""),"LandLink")</f>
        <v>LandLink</v>
      </c>
      <c r="E1281" s="122">
        <f>IFERROR(__xludf.DUMMYFUNCTION("""COMPUTED_VALUE"""),181.55)</f>
        <v>181.55</v>
      </c>
      <c r="F1281" s="122">
        <f>IFERROR(__xludf.DUMMYFUNCTION("""COMPUTED_VALUE"""),0.0015)</f>
        <v>0.0015</v>
      </c>
    </row>
    <row r="1282">
      <c r="A1282" s="131">
        <f>IFERROR(__xludf.DUMMYFUNCTION("""COMPUTED_VALUE"""),46187.352326388886)</f>
        <v>46187.35233</v>
      </c>
      <c r="B1282" s="126">
        <f>IFERROR(__xludf.DUMMYFUNCTION("""COMPUTED_VALUE"""),46187.0)</f>
        <v>46187</v>
      </c>
      <c r="C1282" s="122" t="str">
        <f>IFERROR(__xludf.DUMMYFUNCTION("""COMPUTED_VALUE"""),"CARS")</f>
        <v>CARS</v>
      </c>
      <c r="D1282" s="122" t="str">
        <f>IFERROR(__xludf.DUMMYFUNCTION("""COMPUTED_VALUE"""),"AutoArena")</f>
        <v>AutoArena</v>
      </c>
      <c r="E1282" s="122">
        <f>IFERROR(__xludf.DUMMYFUNCTION("""COMPUTED_VALUE"""),80.15)</f>
        <v>80.15</v>
      </c>
      <c r="F1282" s="122">
        <f>IFERROR(__xludf.DUMMYFUNCTION("""COMPUTED_VALUE"""),0.0023)</f>
        <v>0.0023</v>
      </c>
    </row>
    <row r="1283">
      <c r="A1283" s="131">
        <f>IFERROR(__xludf.DUMMYFUNCTION("""COMPUTED_VALUE"""),46187.352326388886)</f>
        <v>46187.35233</v>
      </c>
      <c r="B1283" s="126">
        <f>IFERROR(__xludf.DUMMYFUNCTION("""COMPUTED_VALUE"""),46187.0)</f>
        <v>46187</v>
      </c>
      <c r="C1283" s="122" t="str">
        <f>IFERROR(__xludf.DUMMYFUNCTION("""COMPUTED_VALUE"""),"EVGO")</f>
        <v>EVGO</v>
      </c>
      <c r="D1283" s="122" t="str">
        <f>IFERROR(__xludf.DUMMYFUNCTION("""COMPUTED_VALUE"""),"EVGo Motors")</f>
        <v>EVGo Motors</v>
      </c>
      <c r="E1283" s="122">
        <f>IFERROR(__xludf.DUMMYFUNCTION("""COMPUTED_VALUE"""),196.49)</f>
        <v>196.49</v>
      </c>
      <c r="F1283" s="122">
        <f>IFERROR(__xludf.DUMMYFUNCTION("""COMPUTED_VALUE"""),0.0051)</f>
        <v>0.0051</v>
      </c>
    </row>
    <row r="1284">
      <c r="A1284" s="131">
        <f>IFERROR(__xludf.DUMMYFUNCTION("""COMPUTED_VALUE"""),46187.352326388886)</f>
        <v>46187.35233</v>
      </c>
      <c r="B1284" s="126">
        <f>IFERROR(__xludf.DUMMYFUNCTION("""COMPUTED_VALUE"""),46187.0)</f>
        <v>46187</v>
      </c>
      <c r="C1284" s="122" t="str">
        <f>IFERROR(__xludf.DUMMYFUNCTION("""COMPUTED_VALUE"""),"TIRE")</f>
        <v>TIRE</v>
      </c>
      <c r="D1284" s="122" t="str">
        <f>IFERROR(__xludf.DUMMYFUNCTION("""COMPUTED_VALUE"""),"TireTown")</f>
        <v>TireTown</v>
      </c>
      <c r="E1284" s="122">
        <f>IFERROR(__xludf.DUMMYFUNCTION("""COMPUTED_VALUE"""),90.12)</f>
        <v>90.12</v>
      </c>
      <c r="F1284" s="122">
        <f>IFERROR(__xludf.DUMMYFUNCTION("""COMPUTED_VALUE"""),0.0038)</f>
        <v>0.0038</v>
      </c>
    </row>
    <row r="1285">
      <c r="A1285" s="131">
        <f>IFERROR(__xludf.DUMMYFUNCTION("""COMPUTED_VALUE"""),46187.352326388886)</f>
        <v>46187.35233</v>
      </c>
      <c r="B1285" s="126">
        <f>IFERROR(__xludf.DUMMYFUNCTION("""COMPUTED_VALUE"""),46187.0)</f>
        <v>46187</v>
      </c>
      <c r="C1285" s="122" t="str">
        <f>IFERROR(__xludf.DUMMYFUNCTION("""COMPUTED_VALUE"""),"BIKE")</f>
        <v>BIKE</v>
      </c>
      <c r="D1285" s="122" t="str">
        <f>IFERROR(__xludf.DUMMYFUNCTION("""COMPUTED_VALUE"""),"BikeBox")</f>
        <v>BikeBox</v>
      </c>
      <c r="E1285" s="122">
        <f>IFERROR(__xludf.DUMMYFUNCTION("""COMPUTED_VALUE"""),54.08)</f>
        <v>54.08</v>
      </c>
      <c r="F1285" s="122">
        <f>IFERROR(__xludf.DUMMYFUNCTION("""COMPUTED_VALUE"""),-0.0059)</f>
        <v>-0.0059</v>
      </c>
    </row>
    <row r="1286">
      <c r="A1286" s="131">
        <f>IFERROR(__xludf.DUMMYFUNCTION("""COMPUTED_VALUE"""),46187.352326388886)</f>
        <v>46187.35233</v>
      </c>
      <c r="B1286" s="126">
        <f>IFERROR(__xludf.DUMMYFUNCTION("""COMPUTED_VALUE"""),46187.0)</f>
        <v>46187</v>
      </c>
      <c r="C1286" s="122" t="str">
        <f>IFERROR(__xludf.DUMMYFUNCTION("""COMPUTED_VALUE"""),"WASH")</f>
        <v>WASH</v>
      </c>
      <c r="D1286" s="122" t="str">
        <f>IFERROR(__xludf.DUMMYFUNCTION("""COMPUTED_VALUE"""),"CarWash Co")</f>
        <v>CarWash Co</v>
      </c>
      <c r="E1286" s="122">
        <f>IFERROR(__xludf.DUMMYFUNCTION("""COMPUTED_VALUE"""),117.56)</f>
        <v>117.56</v>
      </c>
      <c r="F1286" s="122">
        <f>IFERROR(__xludf.DUMMYFUNCTION("""COMPUTED_VALUE"""),4.0E-4)</f>
        <v>0.0004</v>
      </c>
    </row>
    <row r="1287">
      <c r="A1287" s="131">
        <f>IFERROR(__xludf.DUMMYFUNCTION("""COMPUTED_VALUE"""),46187.352326388886)</f>
        <v>46187.35233</v>
      </c>
      <c r="B1287" s="126">
        <f>IFERROR(__xludf.DUMMYFUNCTION("""COMPUTED_VALUE"""),46187.0)</f>
        <v>46187</v>
      </c>
      <c r="C1287" s="122" t="str">
        <f>IFERROR(__xludf.DUMMYFUNCTION("""COMPUTED_VALUE"""),"GBND")</f>
        <v>GBND</v>
      </c>
      <c r="D1287" s="122" t="str">
        <f>IFERROR(__xludf.DUMMYFUNCTION("""COMPUTED_VALUE"""),"Classroom Government Bond")</f>
        <v>Classroom Government Bond</v>
      </c>
      <c r="E1287" s="122">
        <f>IFERROR(__xludf.DUMMYFUNCTION("""COMPUTED_VALUE"""),100.85)</f>
        <v>100.85</v>
      </c>
      <c r="F1287" s="122">
        <f>IFERROR(__xludf.DUMMYFUNCTION("""COMPUTED_VALUE"""),1.0E-4)</f>
        <v>0.0001</v>
      </c>
    </row>
    <row r="1288">
      <c r="A1288" s="131">
        <f>IFERROR(__xludf.DUMMYFUNCTION("""COMPUTED_VALUE"""),46187.352326388886)</f>
        <v>46187.35233</v>
      </c>
      <c r="B1288" s="126">
        <f>IFERROR(__xludf.DUMMYFUNCTION("""COMPUTED_VALUE"""),46187.0)</f>
        <v>46187</v>
      </c>
      <c r="C1288" s="122" t="str">
        <f>IFERROR(__xludf.DUMMYFUNCTION("""COMPUTED_VALUE"""),"SBND")</f>
        <v>SBND</v>
      </c>
      <c r="D1288" s="122" t="str">
        <f>IFERROR(__xludf.DUMMYFUNCTION("""COMPUTED_VALUE"""),"School Savings Bond")</f>
        <v>School Savings Bond</v>
      </c>
      <c r="E1288" s="122">
        <f>IFERROR(__xludf.DUMMYFUNCTION("""COMPUTED_VALUE"""),99.33)</f>
        <v>99.33</v>
      </c>
      <c r="F1288" s="122">
        <f>IFERROR(__xludf.DUMMYFUNCTION("""COMPUTED_VALUE"""),-2.0E-4)</f>
        <v>-0.0002</v>
      </c>
    </row>
    <row r="1289">
      <c r="A1289" s="131">
        <f>IFERROR(__xludf.DUMMYFUNCTION("""COMPUTED_VALUE"""),46187.352326388886)</f>
        <v>46187.35233</v>
      </c>
      <c r="B1289" s="126">
        <f>IFERROR(__xludf.DUMMYFUNCTION("""COMPUTED_VALUE"""),46187.0)</f>
        <v>46187</v>
      </c>
      <c r="C1289" s="122" t="str">
        <f>IFERROR(__xludf.DUMMYFUNCTION("""COMPUTED_VALUE"""),"CBND")</f>
        <v>CBND</v>
      </c>
      <c r="D1289" s="122" t="str">
        <f>IFERROR(__xludf.DUMMYFUNCTION("""COMPUTED_VALUE"""),"Corporate Classroom Bond")</f>
        <v>Corporate Classroom Bond</v>
      </c>
      <c r="E1289" s="122">
        <f>IFERROR(__xludf.DUMMYFUNCTION("""COMPUTED_VALUE"""),97.79)</f>
        <v>97.79</v>
      </c>
      <c r="F1289" s="122">
        <f>IFERROR(__xludf.DUMMYFUNCTION("""COMPUTED_VALUE"""),1.0E-4)</f>
        <v>0.0001</v>
      </c>
    </row>
    <row r="1290">
      <c r="A1290" s="131">
        <f>IFERROR(__xludf.DUMMYFUNCTION("""COMPUTED_VALUE"""),46187.352326388886)</f>
        <v>46187.35233</v>
      </c>
      <c r="B1290" s="126">
        <f>IFERROR(__xludf.DUMMYFUNCTION("""COMPUTED_VALUE"""),46187.0)</f>
        <v>46187</v>
      </c>
      <c r="C1290" s="122" t="str">
        <f>IFERROR(__xludf.DUMMYFUNCTION("""COMPUTED_VALUE"""),"TBIL")</f>
        <v>TBIL</v>
      </c>
      <c r="D1290" s="122" t="str">
        <f>IFERROR(__xludf.DUMMYFUNCTION("""COMPUTED_VALUE"""),"Treasury Bill")</f>
        <v>Treasury Bill</v>
      </c>
      <c r="E1290" s="122">
        <f>IFERROR(__xludf.DUMMYFUNCTION("""COMPUTED_VALUE"""),98.11)</f>
        <v>98.11</v>
      </c>
      <c r="F1290" s="122">
        <f>IFERROR(__xludf.DUMMYFUNCTION("""COMPUTED_VALUE"""),5.0E-4)</f>
        <v>0.0005</v>
      </c>
    </row>
    <row r="1291">
      <c r="A1291" s="131">
        <f>IFERROR(__xludf.DUMMYFUNCTION("""COMPUTED_VALUE"""),46187.352326388886)</f>
        <v>46187.35233</v>
      </c>
      <c r="B1291" s="126">
        <f>IFERROR(__xludf.DUMMYFUNCTION("""COMPUTED_VALUE"""),46187.0)</f>
        <v>46187</v>
      </c>
      <c r="C1291" s="122" t="str">
        <f>IFERROR(__xludf.DUMMYFUNCTION("""COMPUTED_VALUE"""),"IBND")</f>
        <v>IBND</v>
      </c>
      <c r="D1291" s="122" t="str">
        <f>IFERROR(__xludf.DUMMYFUNCTION("""COMPUTED_VALUE"""),"Inflation Protected Bond")</f>
        <v>Inflation Protected Bond</v>
      </c>
      <c r="E1291" s="122">
        <f>IFERROR(__xludf.DUMMYFUNCTION("""COMPUTED_VALUE"""),100.54)</f>
        <v>100.54</v>
      </c>
      <c r="F1291" s="122">
        <f>IFERROR(__xludf.DUMMYFUNCTION("""COMPUTED_VALUE"""),5.0E-4)</f>
        <v>0.0005</v>
      </c>
    </row>
    <row r="1292">
      <c r="A1292" s="131">
        <f>IFERROR(__xludf.DUMMYFUNCTION("""COMPUTED_VALUE"""),46187.35619212963)</f>
        <v>46187.35619</v>
      </c>
      <c r="B1292" s="126">
        <f>IFERROR(__xludf.DUMMYFUNCTION("""COMPUTED_VALUE"""),46187.0)</f>
        <v>46187</v>
      </c>
      <c r="C1292" s="122" t="str">
        <f>IFERROR(__xludf.DUMMYFUNCTION("""COMPUTED_VALUE"""),"SNAX")</f>
        <v>SNAX</v>
      </c>
      <c r="D1292" s="122" t="str">
        <f>IFERROR(__xludf.DUMMYFUNCTION("""COMPUTED_VALUE"""),"MICA Snacks")</f>
        <v>MICA Snacks</v>
      </c>
      <c r="E1292" s="122">
        <f>IFERROR(__xludf.DUMMYFUNCTION("""COMPUTED_VALUE"""),122.13)</f>
        <v>122.13</v>
      </c>
      <c r="F1292" s="122">
        <f>IFERROR(__xludf.DUMMYFUNCTION("""COMPUTED_VALUE"""),0.0052)</f>
        <v>0.0052</v>
      </c>
    </row>
    <row r="1293">
      <c r="A1293" s="131">
        <f>IFERROR(__xludf.DUMMYFUNCTION("""COMPUTED_VALUE"""),46187.35619212963)</f>
        <v>46187.35619</v>
      </c>
      <c r="B1293" s="126">
        <f>IFERROR(__xludf.DUMMYFUNCTION("""COMPUTED_VALUE"""),46187.0)</f>
        <v>46187</v>
      </c>
      <c r="C1293" s="122" t="str">
        <f>IFERROR(__xludf.DUMMYFUNCTION("""COMPUTED_VALUE"""),"RAMN")</f>
        <v>RAMN</v>
      </c>
      <c r="D1293" s="122" t="str">
        <f>IFERROR(__xludf.DUMMYFUNCTION("""COMPUTED_VALUE"""),"Ramen Republic")</f>
        <v>Ramen Republic</v>
      </c>
      <c r="E1293" s="122">
        <f>IFERROR(__xludf.DUMMYFUNCTION("""COMPUTED_VALUE"""),77.3)</f>
        <v>77.3</v>
      </c>
      <c r="F1293" s="122">
        <f>IFERROR(__xludf.DUMMYFUNCTION("""COMPUTED_VALUE"""),-0.0012)</f>
        <v>-0.0012</v>
      </c>
    </row>
    <row r="1294">
      <c r="A1294" s="131">
        <f>IFERROR(__xludf.DUMMYFUNCTION("""COMPUTED_VALUE"""),46187.35619212963)</f>
        <v>46187.35619</v>
      </c>
      <c r="B1294" s="126">
        <f>IFERROR(__xludf.DUMMYFUNCTION("""COMPUTED_VALUE"""),46187.0)</f>
        <v>46187</v>
      </c>
      <c r="C1294" s="122" t="str">
        <f>IFERROR(__xludf.DUMMYFUNCTION("""COMPUTED_VALUE"""),"COLA")</f>
        <v>COLA</v>
      </c>
      <c r="D1294" s="122" t="str">
        <f>IFERROR(__xludf.DUMMYFUNCTION("""COMPUTED_VALUE"""),"K-Pop Cola")</f>
        <v>K-Pop Cola</v>
      </c>
      <c r="E1294" s="122">
        <f>IFERROR(__xludf.DUMMYFUNCTION("""COMPUTED_VALUE"""),102.29)</f>
        <v>102.29</v>
      </c>
      <c r="F1294" s="122">
        <f>IFERROR(__xludf.DUMMYFUNCTION("""COMPUTED_VALUE"""),-0.0033)</f>
        <v>-0.0033</v>
      </c>
    </row>
    <row r="1295">
      <c r="A1295" s="131">
        <f>IFERROR(__xludf.DUMMYFUNCTION("""COMPUTED_VALUE"""),46187.35619212963)</f>
        <v>46187.35619</v>
      </c>
      <c r="B1295" s="126">
        <f>IFERROR(__xludf.DUMMYFUNCTION("""COMPUTED_VALUE"""),46187.0)</f>
        <v>46187</v>
      </c>
      <c r="C1295" s="122" t="str">
        <f>IFERROR(__xludf.DUMMYFUNCTION("""COMPUTED_VALUE"""),"CHIP")</f>
        <v>CHIP</v>
      </c>
      <c r="D1295" s="122" t="str">
        <f>IFERROR(__xludf.DUMMYFUNCTION("""COMPUTED_VALUE"""),"Chip Empire")</f>
        <v>Chip Empire</v>
      </c>
      <c r="E1295" s="122">
        <f>IFERROR(__xludf.DUMMYFUNCTION("""COMPUTED_VALUE"""),87.02)</f>
        <v>87.02</v>
      </c>
      <c r="F1295" s="122">
        <f>IFERROR(__xludf.DUMMYFUNCTION("""COMPUTED_VALUE"""),0.0072)</f>
        <v>0.0072</v>
      </c>
    </row>
    <row r="1296">
      <c r="A1296" s="131">
        <f>IFERROR(__xludf.DUMMYFUNCTION("""COMPUTED_VALUE"""),46187.35619212963)</f>
        <v>46187.35619</v>
      </c>
      <c r="B1296" s="126">
        <f>IFERROR(__xludf.DUMMYFUNCTION("""COMPUTED_VALUE"""),46187.0)</f>
        <v>46187</v>
      </c>
      <c r="C1296" s="122" t="str">
        <f>IFERROR(__xludf.DUMMYFUNCTION("""COMPUTED_VALUE"""),"CAND")</f>
        <v>CAND</v>
      </c>
      <c r="D1296" s="122" t="str">
        <f>IFERROR(__xludf.DUMMYFUNCTION("""COMPUTED_VALUE"""),"Candy Capital")</f>
        <v>Candy Capital</v>
      </c>
      <c r="E1296" s="122">
        <f>IFERROR(__xludf.DUMMYFUNCTION("""COMPUTED_VALUE"""),76.8)</f>
        <v>76.8</v>
      </c>
      <c r="F1296" s="122">
        <f>IFERROR(__xludf.DUMMYFUNCTION("""COMPUTED_VALUE"""),-0.0054)</f>
        <v>-0.0054</v>
      </c>
    </row>
    <row r="1297">
      <c r="A1297" s="131">
        <f>IFERROR(__xludf.DUMMYFUNCTION("""COMPUTED_VALUE"""),46187.35619212963)</f>
        <v>46187.35619</v>
      </c>
      <c r="B1297" s="126">
        <f>IFERROR(__xludf.DUMMYFUNCTION("""COMPUTED_VALUE"""),46187.0)</f>
        <v>46187</v>
      </c>
      <c r="C1297" s="122" t="str">
        <f>IFERROR(__xludf.DUMMYFUNCTION("""COMPUTED_VALUE"""),"TECH")</f>
        <v>TECH</v>
      </c>
      <c r="D1297" s="122" t="str">
        <f>IFERROR(__xludf.DUMMYFUNCTION("""COMPUTED_VALUE"""),"Dragon Tech")</f>
        <v>Dragon Tech</v>
      </c>
      <c r="E1297" s="122">
        <f>IFERROR(__xludf.DUMMYFUNCTION("""COMPUTED_VALUE"""),242.27)</f>
        <v>242.27</v>
      </c>
      <c r="F1297" s="122">
        <f>IFERROR(__xludf.DUMMYFUNCTION("""COMPUTED_VALUE"""),-0.0051)</f>
        <v>-0.0051</v>
      </c>
    </row>
    <row r="1298">
      <c r="A1298" s="131">
        <f>IFERROR(__xludf.DUMMYFUNCTION("""COMPUTED_VALUE"""),46187.35619212963)</f>
        <v>46187.35619</v>
      </c>
      <c r="B1298" s="126">
        <f>IFERROR(__xludf.DUMMYFUNCTION("""COMPUTED_VALUE"""),46187.0)</f>
        <v>46187</v>
      </c>
      <c r="C1298" s="122" t="str">
        <f>IFERROR(__xludf.DUMMYFUNCTION("""COMPUTED_VALUE"""),"AIBO")</f>
        <v>AIBO</v>
      </c>
      <c r="D1298" s="122" t="str">
        <f>IFERROR(__xludf.DUMMYFUNCTION("""COMPUTED_VALUE"""),"Homework AI")</f>
        <v>Homework AI</v>
      </c>
      <c r="E1298" s="122">
        <f>IFERROR(__xludf.DUMMYFUNCTION("""COMPUTED_VALUE"""),163.02)</f>
        <v>163.02</v>
      </c>
      <c r="F1298" s="122">
        <f>IFERROR(__xludf.DUMMYFUNCTION("""COMPUTED_VALUE"""),-0.0058)</f>
        <v>-0.0058</v>
      </c>
    </row>
    <row r="1299">
      <c r="A1299" s="131">
        <f>IFERROR(__xludf.DUMMYFUNCTION("""COMPUTED_VALUE"""),46187.35619212963)</f>
        <v>46187.35619</v>
      </c>
      <c r="B1299" s="126">
        <f>IFERROR(__xludf.DUMMYFUNCTION("""COMPUTED_VALUE"""),46187.0)</f>
        <v>46187</v>
      </c>
      <c r="C1299" s="122" t="str">
        <f>IFERROR(__xludf.DUMMYFUNCTION("""COMPUTED_VALUE"""),"GAME")</f>
        <v>GAME</v>
      </c>
      <c r="D1299" s="122" t="str">
        <f>IFERROR(__xludf.DUMMYFUNCTION("""COMPUTED_VALUE"""),"GameBox Media")</f>
        <v>GameBox Media</v>
      </c>
      <c r="E1299" s="122">
        <f>IFERROR(__xludf.DUMMYFUNCTION("""COMPUTED_VALUE"""),88.47)</f>
        <v>88.47</v>
      </c>
      <c r="F1299" s="122">
        <f>IFERROR(__xludf.DUMMYFUNCTION("""COMPUTED_VALUE"""),-0.0038)</f>
        <v>-0.0038</v>
      </c>
    </row>
    <row r="1300">
      <c r="A1300" s="131">
        <f>IFERROR(__xludf.DUMMYFUNCTION("""COMPUTED_VALUE"""),46187.35619212963)</f>
        <v>46187.35619</v>
      </c>
      <c r="B1300" s="126">
        <f>IFERROR(__xludf.DUMMYFUNCTION("""COMPUTED_VALUE"""),46187.0)</f>
        <v>46187</v>
      </c>
      <c r="C1300" s="122" t="str">
        <f>IFERROR(__xludf.DUMMYFUNCTION("""COMPUTED_VALUE"""),"VRSE")</f>
        <v>VRSE</v>
      </c>
      <c r="D1300" s="122" t="str">
        <f>IFERROR(__xludf.DUMMYFUNCTION("""COMPUTED_VALUE"""),"VerseVR")</f>
        <v>VerseVR</v>
      </c>
      <c r="E1300" s="122">
        <f>IFERROR(__xludf.DUMMYFUNCTION("""COMPUTED_VALUE"""),149.31)</f>
        <v>149.31</v>
      </c>
      <c r="F1300" s="122">
        <f>IFERROR(__xludf.DUMMYFUNCTION("""COMPUTED_VALUE"""),-0.0101)</f>
        <v>-0.0101</v>
      </c>
    </row>
    <row r="1301">
      <c r="A1301" s="131">
        <f>IFERROR(__xludf.DUMMYFUNCTION("""COMPUTED_VALUE"""),46187.35619212963)</f>
        <v>46187.35619</v>
      </c>
      <c r="B1301" s="126">
        <f>IFERROR(__xludf.DUMMYFUNCTION("""COMPUTED_VALUE"""),46187.0)</f>
        <v>46187</v>
      </c>
      <c r="C1301" s="122" t="str">
        <f>IFERROR(__xludf.DUMMYFUNCTION("""COMPUTED_VALUE"""),"BYTE")</f>
        <v>BYTE</v>
      </c>
      <c r="D1301" s="122" t="str">
        <f>IFERROR(__xludf.DUMMYFUNCTION("""COMPUTED_VALUE"""),"ByteWorks")</f>
        <v>ByteWorks</v>
      </c>
      <c r="E1301" s="122">
        <f>IFERROR(__xludf.DUMMYFUNCTION("""COMPUTED_VALUE"""),111.35)</f>
        <v>111.35</v>
      </c>
      <c r="F1301" s="122">
        <f>IFERROR(__xludf.DUMMYFUNCTION("""COMPUTED_VALUE"""),2.0E-4)</f>
        <v>0.0002</v>
      </c>
    </row>
    <row r="1302">
      <c r="A1302" s="131">
        <f>IFERROR(__xludf.DUMMYFUNCTION("""COMPUTED_VALUE"""),46187.35619212963)</f>
        <v>46187.35619</v>
      </c>
      <c r="B1302" s="126">
        <f>IFERROR(__xludf.DUMMYFUNCTION("""COMPUTED_VALUE"""),46187.0)</f>
        <v>46187</v>
      </c>
      <c r="C1302" s="122" t="str">
        <f>IFERROR(__xludf.DUMMYFUNCTION("""COMPUTED_VALUE"""),"BANK")</f>
        <v>BANK</v>
      </c>
      <c r="D1302" s="122" t="str">
        <f>IFERROR(__xludf.DUMMYFUNCTION("""COMPUTED_VALUE"""),"Tiger Bank")</f>
        <v>Tiger Bank</v>
      </c>
      <c r="E1302" s="122">
        <f>IFERROR(__xludf.DUMMYFUNCTION("""COMPUTED_VALUE"""),123.71)</f>
        <v>123.71</v>
      </c>
      <c r="F1302" s="122">
        <f>IFERROR(__xludf.DUMMYFUNCTION("""COMPUTED_VALUE"""),-0.0019)</f>
        <v>-0.0019</v>
      </c>
    </row>
    <row r="1303">
      <c r="A1303" s="131">
        <f>IFERROR(__xludf.DUMMYFUNCTION("""COMPUTED_VALUE"""),46187.35619212963)</f>
        <v>46187.35619</v>
      </c>
      <c r="B1303" s="126">
        <f>IFERROR(__xludf.DUMMYFUNCTION("""COMPUTED_VALUE"""),46187.0)</f>
        <v>46187</v>
      </c>
      <c r="C1303" s="122" t="str">
        <f>IFERROR(__xludf.DUMMYFUNCTION("""COMPUTED_VALUE"""),"CRED")</f>
        <v>CRED</v>
      </c>
      <c r="D1303" s="122" t="str">
        <f>IFERROR(__xludf.DUMMYFUNCTION("""COMPUTED_VALUE"""),"Credit Castle")</f>
        <v>Credit Castle</v>
      </c>
      <c r="E1303" s="122">
        <f>IFERROR(__xludf.DUMMYFUNCTION("""COMPUTED_VALUE"""),68.8)</f>
        <v>68.8</v>
      </c>
      <c r="F1303" s="122">
        <f>IFERROR(__xludf.DUMMYFUNCTION("""COMPUTED_VALUE"""),-0.0028)</f>
        <v>-0.0028</v>
      </c>
    </row>
    <row r="1304">
      <c r="A1304" s="131">
        <f>IFERROR(__xludf.DUMMYFUNCTION("""COMPUTED_VALUE"""),46187.35619212963)</f>
        <v>46187.35619</v>
      </c>
      <c r="B1304" s="126">
        <f>IFERROR(__xludf.DUMMYFUNCTION("""COMPUTED_VALUE"""),46187.0)</f>
        <v>46187</v>
      </c>
      <c r="C1304" s="122" t="str">
        <f>IFERROR(__xludf.DUMMYFUNCTION("""COMPUTED_VALUE"""),"BOND")</f>
        <v>BOND</v>
      </c>
      <c r="D1304" s="122" t="str">
        <f>IFERROR(__xludf.DUMMYFUNCTION("""COMPUTED_VALUE"""),"BondBridge")</f>
        <v>BondBridge</v>
      </c>
      <c r="E1304" s="122">
        <f>IFERROR(__xludf.DUMMYFUNCTION("""COMPUTED_VALUE"""),95.4)</f>
        <v>95.4</v>
      </c>
      <c r="F1304" s="122">
        <f>IFERROR(__xludf.DUMMYFUNCTION("""COMPUTED_VALUE"""),0.0027)</f>
        <v>0.0027</v>
      </c>
    </row>
    <row r="1305">
      <c r="A1305" s="131">
        <f>IFERROR(__xludf.DUMMYFUNCTION("""COMPUTED_VALUE"""),46187.35619212963)</f>
        <v>46187.35619</v>
      </c>
      <c r="B1305" s="126">
        <f>IFERROR(__xludf.DUMMYFUNCTION("""COMPUTED_VALUE"""),46187.0)</f>
        <v>46187</v>
      </c>
      <c r="C1305" s="122" t="str">
        <f>IFERROR(__xludf.DUMMYFUNCTION("""COMPUTED_VALUE"""),"INSR")</f>
        <v>INSR</v>
      </c>
      <c r="D1305" s="122" t="str">
        <f>IFERROR(__xludf.DUMMYFUNCTION("""COMPUTED_VALUE"""),"Shield Insurance")</f>
        <v>Shield Insurance</v>
      </c>
      <c r="E1305" s="122">
        <f>IFERROR(__xludf.DUMMYFUNCTION("""COMPUTED_VALUE"""),156.16)</f>
        <v>156.16</v>
      </c>
      <c r="F1305" s="122">
        <f>IFERROR(__xludf.DUMMYFUNCTION("""COMPUTED_VALUE"""),0.0014)</f>
        <v>0.0014</v>
      </c>
    </row>
    <row r="1306">
      <c r="A1306" s="131">
        <f>IFERROR(__xludf.DUMMYFUNCTION("""COMPUTED_VALUE"""),46187.35619212963)</f>
        <v>46187.35619</v>
      </c>
      <c r="B1306" s="126">
        <f>IFERROR(__xludf.DUMMYFUNCTION("""COMPUTED_VALUE"""),46187.0)</f>
        <v>46187</v>
      </c>
      <c r="C1306" s="122" t="str">
        <f>IFERROR(__xludf.DUMMYFUNCTION("""COMPUTED_VALUE"""),"LOAN")</f>
        <v>LOAN</v>
      </c>
      <c r="D1306" s="122" t="str">
        <f>IFERROR(__xludf.DUMMYFUNCTION("""COMPUTED_VALUE"""),"LoanLab")</f>
        <v>LoanLab</v>
      </c>
      <c r="E1306" s="122">
        <f>IFERROR(__xludf.DUMMYFUNCTION("""COMPUTED_VALUE"""),60.17)</f>
        <v>60.17</v>
      </c>
      <c r="F1306" s="122">
        <f>IFERROR(__xludf.DUMMYFUNCTION("""COMPUTED_VALUE"""),-0.0012)</f>
        <v>-0.0012</v>
      </c>
    </row>
    <row r="1307">
      <c r="A1307" s="131">
        <f>IFERROR(__xludf.DUMMYFUNCTION("""COMPUTED_VALUE"""),46187.35619212963)</f>
        <v>46187.35619</v>
      </c>
      <c r="B1307" s="126">
        <f>IFERROR(__xludf.DUMMYFUNCTION("""COMPUTED_VALUE"""),46187.0)</f>
        <v>46187</v>
      </c>
      <c r="C1307" s="122" t="str">
        <f>IFERROR(__xludf.DUMMYFUNCTION("""COMPUTED_VALUE"""),"LUXE")</f>
        <v>LUXE</v>
      </c>
      <c r="D1307" s="122" t="str">
        <f>IFERROR(__xludf.DUMMYFUNCTION("""COMPUTED_VALUE"""),"Luxury Locker")</f>
        <v>Luxury Locker</v>
      </c>
      <c r="E1307" s="122">
        <f>IFERROR(__xludf.DUMMYFUNCTION("""COMPUTED_VALUE"""),264.53)</f>
        <v>264.53</v>
      </c>
      <c r="F1307" s="122">
        <f>IFERROR(__xludf.DUMMYFUNCTION("""COMPUTED_VALUE"""),0.001)</f>
        <v>0.001</v>
      </c>
    </row>
    <row r="1308">
      <c r="A1308" s="131">
        <f>IFERROR(__xludf.DUMMYFUNCTION("""COMPUTED_VALUE"""),46187.35619212963)</f>
        <v>46187.35619</v>
      </c>
      <c r="B1308" s="126">
        <f>IFERROR(__xludf.DUMMYFUNCTION("""COMPUTED_VALUE"""),46187.0)</f>
        <v>46187</v>
      </c>
      <c r="C1308" s="122" t="str">
        <f>IFERROR(__xludf.DUMMYFUNCTION("""COMPUTED_VALUE"""),"DRIP")</f>
        <v>DRIP</v>
      </c>
      <c r="D1308" s="122" t="str">
        <f>IFERROR(__xludf.DUMMYFUNCTION("""COMPUTED_VALUE"""),"Drip Streetwear")</f>
        <v>Drip Streetwear</v>
      </c>
      <c r="E1308" s="122">
        <f>IFERROR(__xludf.DUMMYFUNCTION("""COMPUTED_VALUE"""),202.44)</f>
        <v>202.44</v>
      </c>
      <c r="F1308" s="122">
        <f>IFERROR(__xludf.DUMMYFUNCTION("""COMPUTED_VALUE"""),0.0102)</f>
        <v>0.0102</v>
      </c>
    </row>
    <row r="1309">
      <c r="A1309" s="131">
        <f>IFERROR(__xludf.DUMMYFUNCTION("""COMPUTED_VALUE"""),46187.35619212963)</f>
        <v>46187.35619</v>
      </c>
      <c r="B1309" s="126">
        <f>IFERROR(__xludf.DUMMYFUNCTION("""COMPUTED_VALUE"""),46187.0)</f>
        <v>46187</v>
      </c>
      <c r="C1309" s="122" t="str">
        <f>IFERROR(__xludf.DUMMYFUNCTION("""COMPUTED_VALUE"""),"KICK")</f>
        <v>KICK</v>
      </c>
      <c r="D1309" s="122" t="str">
        <f>IFERROR(__xludf.DUMMYFUNCTION("""COMPUTED_VALUE"""),"KickDrop Sneakers")</f>
        <v>KickDrop Sneakers</v>
      </c>
      <c r="E1309" s="122">
        <f>IFERROR(__xludf.DUMMYFUNCTION("""COMPUTED_VALUE"""),177.1)</f>
        <v>177.1</v>
      </c>
      <c r="F1309" s="122">
        <f>IFERROR(__xludf.DUMMYFUNCTION("""COMPUTED_VALUE"""),-0.01)</f>
        <v>-0.01</v>
      </c>
    </row>
    <row r="1310">
      <c r="A1310" s="131">
        <f>IFERROR(__xludf.DUMMYFUNCTION("""COMPUTED_VALUE"""),46187.35619212963)</f>
        <v>46187.35619</v>
      </c>
      <c r="B1310" s="126">
        <f>IFERROR(__xludf.DUMMYFUNCTION("""COMPUTED_VALUE"""),46187.0)</f>
        <v>46187</v>
      </c>
      <c r="C1310" s="122" t="str">
        <f>IFERROR(__xludf.DUMMYFUNCTION("""COMPUTED_VALUE"""),"GLAM")</f>
        <v>GLAM</v>
      </c>
      <c r="D1310" s="122" t="str">
        <f>IFERROR(__xludf.DUMMYFUNCTION("""COMPUTED_VALUE"""),"Glow Cosmetics")</f>
        <v>Glow Cosmetics</v>
      </c>
      <c r="E1310" s="122">
        <f>IFERROR(__xludf.DUMMYFUNCTION("""COMPUTED_VALUE"""),95.05)</f>
        <v>95.05</v>
      </c>
      <c r="F1310" s="122">
        <f>IFERROR(__xludf.DUMMYFUNCTION("""COMPUTED_VALUE"""),0.0014)</f>
        <v>0.0014</v>
      </c>
    </row>
    <row r="1311">
      <c r="A1311" s="131">
        <f>IFERROR(__xludf.DUMMYFUNCTION("""COMPUTED_VALUE"""),46187.35619212963)</f>
        <v>46187.35619</v>
      </c>
      <c r="B1311" s="126">
        <f>IFERROR(__xludf.DUMMYFUNCTION("""COMPUTED_VALUE"""),46187.0)</f>
        <v>46187</v>
      </c>
      <c r="C1311" s="122" t="str">
        <f>IFERROR(__xludf.DUMMYFUNCTION("""COMPUTED_VALUE"""),"BAGG")</f>
        <v>BAGG</v>
      </c>
      <c r="D1311" s="122" t="str">
        <f>IFERROR(__xludf.DUMMYFUNCTION("""COMPUTED_VALUE"""),"BagVault")</f>
        <v>BagVault</v>
      </c>
      <c r="E1311" s="122">
        <f>IFERROR(__xludf.DUMMYFUNCTION("""COMPUTED_VALUE"""),243.17)</f>
        <v>243.17</v>
      </c>
      <c r="F1311" s="122">
        <f>IFERROR(__xludf.DUMMYFUNCTION("""COMPUTED_VALUE"""),0.0039)</f>
        <v>0.0039</v>
      </c>
    </row>
    <row r="1312">
      <c r="A1312" s="131">
        <f>IFERROR(__xludf.DUMMYFUNCTION("""COMPUTED_VALUE"""),46187.35619212963)</f>
        <v>46187.35619</v>
      </c>
      <c r="B1312" s="126">
        <f>IFERROR(__xludf.DUMMYFUNCTION("""COMPUTED_VALUE"""),46187.0)</f>
        <v>46187</v>
      </c>
      <c r="C1312" s="122" t="str">
        <f>IFERROR(__xludf.DUMMYFUNCTION("""COMPUTED_VALUE"""),"FAST")</f>
        <v>FAST</v>
      </c>
      <c r="D1312" s="122" t="str">
        <f>IFERROR(__xludf.DUMMYFUNCTION("""COMPUTED_VALUE"""),"Flash Logistics")</f>
        <v>Flash Logistics</v>
      </c>
      <c r="E1312" s="122">
        <f>IFERROR(__xludf.DUMMYFUNCTION("""COMPUTED_VALUE"""),101.46)</f>
        <v>101.46</v>
      </c>
      <c r="F1312" s="122">
        <f>IFERROR(__xludf.DUMMYFUNCTION("""COMPUTED_VALUE"""),-0.0021)</f>
        <v>-0.0021</v>
      </c>
    </row>
    <row r="1313">
      <c r="A1313" s="131">
        <f>IFERROR(__xludf.DUMMYFUNCTION("""COMPUTED_VALUE"""),46187.35619212963)</f>
        <v>46187.35619</v>
      </c>
      <c r="B1313" s="126">
        <f>IFERROR(__xludf.DUMMYFUNCTION("""COMPUTED_VALUE"""),46187.0)</f>
        <v>46187</v>
      </c>
      <c r="C1313" s="122" t="str">
        <f>IFERROR(__xludf.DUMMYFUNCTION("""COMPUTED_VALUE"""),"SHIP")</f>
        <v>SHIP</v>
      </c>
      <c r="D1313" s="122" t="str">
        <f>IFERROR(__xludf.DUMMYFUNCTION("""COMPUTED_VALUE"""),"Seoul Shipping")</f>
        <v>Seoul Shipping</v>
      </c>
      <c r="E1313" s="122">
        <f>IFERROR(__xludf.DUMMYFUNCTION("""COMPUTED_VALUE"""),116.48)</f>
        <v>116.48</v>
      </c>
      <c r="F1313" s="122">
        <f>IFERROR(__xludf.DUMMYFUNCTION("""COMPUTED_VALUE"""),0.0072)</f>
        <v>0.0072</v>
      </c>
    </row>
    <row r="1314">
      <c r="A1314" s="131">
        <f>IFERROR(__xludf.DUMMYFUNCTION("""COMPUTED_VALUE"""),46187.35619212963)</f>
        <v>46187.35619</v>
      </c>
      <c r="B1314" s="126">
        <f>IFERROR(__xludf.DUMMYFUNCTION("""COMPUTED_VALUE"""),46187.0)</f>
        <v>46187</v>
      </c>
      <c r="C1314" s="122" t="str">
        <f>IFERROR(__xludf.DUMMYFUNCTION("""COMPUTED_VALUE"""),"DRON")</f>
        <v>DRON</v>
      </c>
      <c r="D1314" s="122" t="str">
        <f>IFERROR(__xludf.DUMMYFUNCTION("""COMPUTED_VALUE"""),"DroneDrop")</f>
        <v>DroneDrop</v>
      </c>
      <c r="E1314" s="122">
        <f>IFERROR(__xludf.DUMMYFUNCTION("""COMPUTED_VALUE"""),130.08)</f>
        <v>130.08</v>
      </c>
      <c r="F1314" s="122">
        <f>IFERROR(__xludf.DUMMYFUNCTION("""COMPUTED_VALUE"""),-0.0065)</f>
        <v>-0.0065</v>
      </c>
    </row>
    <row r="1315">
      <c r="A1315" s="131">
        <f>IFERROR(__xludf.DUMMYFUNCTION("""COMPUTED_VALUE"""),46187.35619212963)</f>
        <v>46187.35619</v>
      </c>
      <c r="B1315" s="126">
        <f>IFERROR(__xludf.DUMMYFUNCTION("""COMPUTED_VALUE"""),46187.0)</f>
        <v>46187</v>
      </c>
      <c r="C1315" s="122" t="str">
        <f>IFERROR(__xludf.DUMMYFUNCTION("""COMPUTED_VALUE"""),"RIDE")</f>
        <v>RIDE</v>
      </c>
      <c r="D1315" s="122" t="str">
        <f>IFERROR(__xludf.DUMMYFUNCTION("""COMPUTED_VALUE"""),"QuickRide")</f>
        <v>QuickRide</v>
      </c>
      <c r="E1315" s="122">
        <f>IFERROR(__xludf.DUMMYFUNCTION("""COMPUTED_VALUE"""),97.22)</f>
        <v>97.22</v>
      </c>
      <c r="F1315" s="122">
        <f>IFERROR(__xludf.DUMMYFUNCTION("""COMPUTED_VALUE"""),0.0013)</f>
        <v>0.0013</v>
      </c>
    </row>
    <row r="1316">
      <c r="A1316" s="131">
        <f>IFERROR(__xludf.DUMMYFUNCTION("""COMPUTED_VALUE"""),46187.35619212963)</f>
        <v>46187.35619</v>
      </c>
      <c r="B1316" s="126">
        <f>IFERROR(__xludf.DUMMYFUNCTION("""COMPUTED_VALUE"""),46187.0)</f>
        <v>46187</v>
      </c>
      <c r="C1316" s="122" t="str">
        <f>IFERROR(__xludf.DUMMYFUNCTION("""COMPUTED_VALUE"""),"RAIL")</f>
        <v>RAIL</v>
      </c>
      <c r="D1316" s="122" t="str">
        <f>IFERROR(__xludf.DUMMYFUNCTION("""COMPUTED_VALUE"""),"MetroRail Corp")</f>
        <v>MetroRail Corp</v>
      </c>
      <c r="E1316" s="122">
        <f>IFERROR(__xludf.DUMMYFUNCTION("""COMPUTED_VALUE"""),136.6)</f>
        <v>136.6</v>
      </c>
      <c r="F1316" s="122">
        <f>IFERROR(__xludf.DUMMYFUNCTION("""COMPUTED_VALUE"""),0.0023)</f>
        <v>0.0023</v>
      </c>
    </row>
    <row r="1317">
      <c r="A1317" s="131">
        <f>IFERROR(__xludf.DUMMYFUNCTION("""COMPUTED_VALUE"""),46187.35619212963)</f>
        <v>46187.35619</v>
      </c>
      <c r="B1317" s="126">
        <f>IFERROR(__xludf.DUMMYFUNCTION("""COMPUTED_VALUE"""),46187.0)</f>
        <v>46187</v>
      </c>
      <c r="C1317" s="122" t="str">
        <f>IFERROR(__xludf.DUMMYFUNCTION("""COMPUTED_VALUE"""),"MEDX")</f>
        <v>MEDX</v>
      </c>
      <c r="D1317" s="122" t="str">
        <f>IFERROR(__xludf.DUMMYFUNCTION("""COMPUTED_VALUE"""),"MediCore")</f>
        <v>MediCore</v>
      </c>
      <c r="E1317" s="122">
        <f>IFERROR(__xludf.DUMMYFUNCTION("""COMPUTED_VALUE"""),136.69)</f>
        <v>136.69</v>
      </c>
      <c r="F1317" s="122">
        <f>IFERROR(__xludf.DUMMYFUNCTION("""COMPUTED_VALUE"""),0.0024)</f>
        <v>0.0024</v>
      </c>
    </row>
    <row r="1318">
      <c r="A1318" s="131">
        <f>IFERROR(__xludf.DUMMYFUNCTION("""COMPUTED_VALUE"""),46187.35619212963)</f>
        <v>46187.35619</v>
      </c>
      <c r="B1318" s="126">
        <f>IFERROR(__xludf.DUMMYFUNCTION("""COMPUTED_VALUE"""),46187.0)</f>
        <v>46187</v>
      </c>
      <c r="C1318" s="122" t="str">
        <f>IFERROR(__xludf.DUMMYFUNCTION("""COMPUTED_VALUE"""),"GYMX")</f>
        <v>GYMX</v>
      </c>
      <c r="D1318" s="122" t="str">
        <f>IFERROR(__xludf.DUMMYFUNCTION("""COMPUTED_VALUE"""),"GymX Fitness")</f>
        <v>GymX Fitness</v>
      </c>
      <c r="E1318" s="122">
        <f>IFERROR(__xludf.DUMMYFUNCTION("""COMPUTED_VALUE"""),87.25)</f>
        <v>87.25</v>
      </c>
      <c r="F1318" s="122">
        <f>IFERROR(__xludf.DUMMYFUNCTION("""COMPUTED_VALUE"""),-0.0018)</f>
        <v>-0.0018</v>
      </c>
    </row>
    <row r="1319">
      <c r="A1319" s="131">
        <f>IFERROR(__xludf.DUMMYFUNCTION("""COMPUTED_VALUE"""),46187.35619212963)</f>
        <v>46187.35619</v>
      </c>
      <c r="B1319" s="126">
        <f>IFERROR(__xludf.DUMMYFUNCTION("""COMPUTED_VALUE"""),46187.0)</f>
        <v>46187</v>
      </c>
      <c r="C1319" s="122" t="str">
        <f>IFERROR(__xludf.DUMMYFUNCTION("""COMPUTED_VALUE"""),"VITA")</f>
        <v>VITA</v>
      </c>
      <c r="D1319" s="122" t="str">
        <f>IFERROR(__xludf.DUMMYFUNCTION("""COMPUTED_VALUE"""),"VitaPlus")</f>
        <v>VitaPlus</v>
      </c>
      <c r="E1319" s="122">
        <f>IFERROR(__xludf.DUMMYFUNCTION("""COMPUTED_VALUE"""),75.17)</f>
        <v>75.17</v>
      </c>
      <c r="F1319" s="122">
        <f>IFERROR(__xludf.DUMMYFUNCTION("""COMPUTED_VALUE"""),-0.0017)</f>
        <v>-0.0017</v>
      </c>
    </row>
    <row r="1320">
      <c r="A1320" s="131">
        <f>IFERROR(__xludf.DUMMYFUNCTION("""COMPUTED_VALUE"""),46187.35619212963)</f>
        <v>46187.35619</v>
      </c>
      <c r="B1320" s="126">
        <f>IFERROR(__xludf.DUMMYFUNCTION("""COMPUTED_VALUE"""),46187.0)</f>
        <v>46187</v>
      </c>
      <c r="C1320" s="122" t="str">
        <f>IFERROR(__xludf.DUMMYFUNCTION("""COMPUTED_VALUE"""),"CARE")</f>
        <v>CARE</v>
      </c>
      <c r="D1320" s="122" t="str">
        <f>IFERROR(__xludf.DUMMYFUNCTION("""COMPUTED_VALUE"""),"CareCloud")</f>
        <v>CareCloud</v>
      </c>
      <c r="E1320" s="122">
        <f>IFERROR(__xludf.DUMMYFUNCTION("""COMPUTED_VALUE"""),179.81)</f>
        <v>179.81</v>
      </c>
      <c r="F1320" s="122">
        <f>IFERROR(__xludf.DUMMYFUNCTION("""COMPUTED_VALUE"""),-0.0016)</f>
        <v>-0.0016</v>
      </c>
    </row>
    <row r="1321">
      <c r="A1321" s="131">
        <f>IFERROR(__xludf.DUMMYFUNCTION("""COMPUTED_VALUE"""),46187.35619212963)</f>
        <v>46187.35619</v>
      </c>
      <c r="B1321" s="126">
        <f>IFERROR(__xludf.DUMMYFUNCTION("""COMPUTED_VALUE"""),46187.0)</f>
        <v>46187</v>
      </c>
      <c r="C1321" s="122" t="str">
        <f>IFERROR(__xludf.DUMMYFUNCTION("""COMPUTED_VALUE"""),"DENT")</f>
        <v>DENT</v>
      </c>
      <c r="D1321" s="122" t="str">
        <f>IFERROR(__xludf.DUMMYFUNCTION("""COMPUTED_VALUE"""),"SmileWorks")</f>
        <v>SmileWorks</v>
      </c>
      <c r="E1321" s="122">
        <f>IFERROR(__xludf.DUMMYFUNCTION("""COMPUTED_VALUE"""),81.7)</f>
        <v>81.7</v>
      </c>
      <c r="F1321" s="122">
        <f>IFERROR(__xludf.DUMMYFUNCTION("""COMPUTED_VALUE"""),1.0E-4)</f>
        <v>0.0001</v>
      </c>
    </row>
    <row r="1322">
      <c r="A1322" s="131">
        <f>IFERROR(__xludf.DUMMYFUNCTION("""COMPUTED_VALUE"""),46187.35619212963)</f>
        <v>46187.35619</v>
      </c>
      <c r="B1322" s="126">
        <f>IFERROR(__xludf.DUMMYFUNCTION("""COMPUTED_VALUE"""),46187.0)</f>
        <v>46187</v>
      </c>
      <c r="C1322" s="122" t="str">
        <f>IFERROR(__xludf.DUMMYFUNCTION("""COMPUTED_VALUE"""),"EDUX")</f>
        <v>EDUX</v>
      </c>
      <c r="D1322" s="122" t="str">
        <f>IFERROR(__xludf.DUMMYFUNCTION("""COMPUTED_VALUE"""),"EduMax Learning")</f>
        <v>EduMax Learning</v>
      </c>
      <c r="E1322" s="122">
        <f>IFERROR(__xludf.DUMMYFUNCTION("""COMPUTED_VALUE"""),131.08)</f>
        <v>131.08</v>
      </c>
      <c r="F1322" s="122">
        <f>IFERROR(__xludf.DUMMYFUNCTION("""COMPUTED_VALUE"""),0.0075)</f>
        <v>0.0075</v>
      </c>
    </row>
    <row r="1323">
      <c r="A1323" s="131">
        <f>IFERROR(__xludf.DUMMYFUNCTION("""COMPUTED_VALUE"""),46187.35619212963)</f>
        <v>46187.35619</v>
      </c>
      <c r="B1323" s="126">
        <f>IFERROR(__xludf.DUMMYFUNCTION("""COMPUTED_VALUE"""),46187.0)</f>
        <v>46187</v>
      </c>
      <c r="C1323" s="122" t="str">
        <f>IFERROR(__xludf.DUMMYFUNCTION("""COMPUTED_VALUE"""),"BOOK")</f>
        <v>BOOK</v>
      </c>
      <c r="D1323" s="122" t="str">
        <f>IFERROR(__xludf.DUMMYFUNCTION("""COMPUTED_VALUE"""),"BookBridge")</f>
        <v>BookBridge</v>
      </c>
      <c r="E1323" s="122">
        <f>IFERROR(__xludf.DUMMYFUNCTION("""COMPUTED_VALUE"""),111.9)</f>
        <v>111.9</v>
      </c>
      <c r="F1323" s="122">
        <f>IFERROR(__xludf.DUMMYFUNCTION("""COMPUTED_VALUE"""),6.0E-4)</f>
        <v>0.0006</v>
      </c>
    </row>
    <row r="1324">
      <c r="A1324" s="131">
        <f>IFERROR(__xludf.DUMMYFUNCTION("""COMPUTED_VALUE"""),46187.35619212963)</f>
        <v>46187.35619</v>
      </c>
      <c r="B1324" s="126">
        <f>IFERROR(__xludf.DUMMYFUNCTION("""COMPUTED_VALUE"""),46187.0)</f>
        <v>46187</v>
      </c>
      <c r="C1324" s="122" t="str">
        <f>IFERROR(__xludf.DUMMYFUNCTION("""COMPUTED_VALUE"""),"TUTR")</f>
        <v>TUTR</v>
      </c>
      <c r="D1324" s="122" t="str">
        <f>IFERROR(__xludf.DUMMYFUNCTION("""COMPUTED_VALUE"""),"TutorTown")</f>
        <v>TutorTown</v>
      </c>
      <c r="E1324" s="122">
        <f>IFERROR(__xludf.DUMMYFUNCTION("""COMPUTED_VALUE"""),90.13)</f>
        <v>90.13</v>
      </c>
      <c r="F1324" s="122">
        <f>IFERROR(__xludf.DUMMYFUNCTION("""COMPUTED_VALUE"""),-0.0027)</f>
        <v>-0.0027</v>
      </c>
    </row>
    <row r="1325">
      <c r="A1325" s="131">
        <f>IFERROR(__xludf.DUMMYFUNCTION("""COMPUTED_VALUE"""),46187.35619212963)</f>
        <v>46187.35619</v>
      </c>
      <c r="B1325" s="126">
        <f>IFERROR(__xludf.DUMMYFUNCTION("""COMPUTED_VALUE"""),46187.0)</f>
        <v>46187</v>
      </c>
      <c r="C1325" s="122" t="str">
        <f>IFERROR(__xludf.DUMMYFUNCTION("""COMPUTED_VALUE"""),"LANG")</f>
        <v>LANG</v>
      </c>
      <c r="D1325" s="122" t="str">
        <f>IFERROR(__xludf.DUMMYFUNCTION("""COMPUTED_VALUE"""),"LinguaLab")</f>
        <v>LinguaLab</v>
      </c>
      <c r="E1325" s="122">
        <f>IFERROR(__xludf.DUMMYFUNCTION("""COMPUTED_VALUE"""),94.88)</f>
        <v>94.88</v>
      </c>
      <c r="F1325" s="122">
        <f>IFERROR(__xludf.DUMMYFUNCTION("""COMPUTED_VALUE"""),-4.0E-4)</f>
        <v>-0.0004</v>
      </c>
    </row>
    <row r="1326">
      <c r="A1326" s="131">
        <f>IFERROR(__xludf.DUMMYFUNCTION("""COMPUTED_VALUE"""),46187.35619212963)</f>
        <v>46187.35619</v>
      </c>
      <c r="B1326" s="126">
        <f>IFERROR(__xludf.DUMMYFUNCTION("""COMPUTED_VALUE"""),46187.0)</f>
        <v>46187</v>
      </c>
      <c r="C1326" s="122" t="str">
        <f>IFERROR(__xludf.DUMMYFUNCTION("""COMPUTED_VALUE"""),"TEST")</f>
        <v>TEST</v>
      </c>
      <c r="D1326" s="122" t="str">
        <f>IFERROR(__xludf.DUMMYFUNCTION("""COMPUTED_VALUE"""),"TestPrep Pro")</f>
        <v>TestPrep Pro</v>
      </c>
      <c r="E1326" s="122">
        <f>IFERROR(__xludf.DUMMYFUNCTION("""COMPUTED_VALUE"""),102.26)</f>
        <v>102.26</v>
      </c>
      <c r="F1326" s="122">
        <f>IFERROR(__xludf.DUMMYFUNCTION("""COMPUTED_VALUE"""),0.001)</f>
        <v>0.001</v>
      </c>
    </row>
    <row r="1327">
      <c r="A1327" s="131">
        <f>IFERROR(__xludf.DUMMYFUNCTION("""COMPUTED_VALUE"""),46187.35619212963)</f>
        <v>46187.35619</v>
      </c>
      <c r="B1327" s="126">
        <f>IFERROR(__xludf.DUMMYFUNCTION("""COMPUTED_VALUE"""),46187.0)</f>
        <v>46187</v>
      </c>
      <c r="C1327" s="122" t="str">
        <f>IFERROR(__xludf.DUMMYFUNCTION("""COMPUTED_VALUE"""),"MOVI")</f>
        <v>MOVI</v>
      </c>
      <c r="D1327" s="122" t="str">
        <f>IFERROR(__xludf.DUMMYFUNCTION("""COMPUTED_VALUE"""),"MovieBox")</f>
        <v>MovieBox</v>
      </c>
      <c r="E1327" s="122">
        <f>IFERROR(__xludf.DUMMYFUNCTION("""COMPUTED_VALUE"""),80.67)</f>
        <v>80.67</v>
      </c>
      <c r="F1327" s="122">
        <f>IFERROR(__xludf.DUMMYFUNCTION("""COMPUTED_VALUE"""),-0.0035)</f>
        <v>-0.0035</v>
      </c>
    </row>
    <row r="1328">
      <c r="A1328" s="131">
        <f>IFERROR(__xludf.DUMMYFUNCTION("""COMPUTED_VALUE"""),46187.35619212963)</f>
        <v>46187.35619</v>
      </c>
      <c r="B1328" s="126">
        <f>IFERROR(__xludf.DUMMYFUNCTION("""COMPUTED_VALUE"""),46187.0)</f>
        <v>46187</v>
      </c>
      <c r="C1328" s="122" t="str">
        <f>IFERROR(__xludf.DUMMYFUNCTION("""COMPUTED_VALUE"""),"MUSC")</f>
        <v>MUSC</v>
      </c>
      <c r="D1328" s="122" t="str">
        <f>IFERROR(__xludf.DUMMYFUNCTION("""COMPUTED_VALUE"""),"MusicWave")</f>
        <v>MusicWave</v>
      </c>
      <c r="E1328" s="122">
        <f>IFERROR(__xludf.DUMMYFUNCTION("""COMPUTED_VALUE"""),96.08)</f>
        <v>96.08</v>
      </c>
      <c r="F1328" s="122">
        <f>IFERROR(__xludf.DUMMYFUNCTION("""COMPUTED_VALUE"""),0.0021)</f>
        <v>0.0021</v>
      </c>
    </row>
    <row r="1329">
      <c r="A1329" s="131">
        <f>IFERROR(__xludf.DUMMYFUNCTION("""COMPUTED_VALUE"""),46187.35619212963)</f>
        <v>46187.35619</v>
      </c>
      <c r="B1329" s="126">
        <f>IFERROR(__xludf.DUMMYFUNCTION("""COMPUTED_VALUE"""),46187.0)</f>
        <v>46187</v>
      </c>
      <c r="C1329" s="122" t="str">
        <f>IFERROR(__xludf.DUMMYFUNCTION("""COMPUTED_VALUE"""),"IDOL")</f>
        <v>IDOL</v>
      </c>
      <c r="D1329" s="122" t="str">
        <f>IFERROR(__xludf.DUMMYFUNCTION("""COMPUTED_VALUE"""),"Idol Agency")</f>
        <v>Idol Agency</v>
      </c>
      <c r="E1329" s="122">
        <f>IFERROR(__xludf.DUMMYFUNCTION("""COMPUTED_VALUE"""),197.36)</f>
        <v>197.36</v>
      </c>
      <c r="F1329" s="122">
        <f>IFERROR(__xludf.DUMMYFUNCTION("""COMPUTED_VALUE"""),-0.0056)</f>
        <v>-0.0056</v>
      </c>
    </row>
    <row r="1330">
      <c r="A1330" s="131">
        <f>IFERROR(__xludf.DUMMYFUNCTION("""COMPUTED_VALUE"""),46187.35619212963)</f>
        <v>46187.35619</v>
      </c>
      <c r="B1330" s="126">
        <f>IFERROR(__xludf.DUMMYFUNCTION("""COMPUTED_VALUE"""),46187.0)</f>
        <v>46187</v>
      </c>
      <c r="C1330" s="122" t="str">
        <f>IFERROR(__xludf.DUMMYFUNCTION("""COMPUTED_VALUE"""),"MEME")</f>
        <v>MEME</v>
      </c>
      <c r="D1330" s="122" t="str">
        <f>IFERROR(__xludf.DUMMYFUNCTION("""COMPUTED_VALUE"""),"Meme Media")</f>
        <v>Meme Media</v>
      </c>
      <c r="E1330" s="122">
        <f>IFERROR(__xludf.DUMMYFUNCTION("""COMPUTED_VALUE"""),78.53)</f>
        <v>78.53</v>
      </c>
      <c r="F1330" s="122">
        <f>IFERROR(__xludf.DUMMYFUNCTION("""COMPUTED_VALUE"""),0.0014)</f>
        <v>0.0014</v>
      </c>
    </row>
    <row r="1331">
      <c r="A1331" s="131">
        <f>IFERROR(__xludf.DUMMYFUNCTION("""COMPUTED_VALUE"""),46187.35619212963)</f>
        <v>46187.35619</v>
      </c>
      <c r="B1331" s="126">
        <f>IFERROR(__xludf.DUMMYFUNCTION("""COMPUTED_VALUE"""),46187.0)</f>
        <v>46187</v>
      </c>
      <c r="C1331" s="122" t="str">
        <f>IFERROR(__xludf.DUMMYFUNCTION("""COMPUTED_VALUE"""),"STRM")</f>
        <v>STRM</v>
      </c>
      <c r="D1331" s="122" t="str">
        <f>IFERROR(__xludf.DUMMYFUNCTION("""COMPUTED_VALUE"""),"Streamly")</f>
        <v>Streamly</v>
      </c>
      <c r="E1331" s="122">
        <f>IFERROR(__xludf.DUMMYFUNCTION("""COMPUTED_VALUE"""),135.42)</f>
        <v>135.42</v>
      </c>
      <c r="F1331" s="122">
        <f>IFERROR(__xludf.DUMMYFUNCTION("""COMPUTED_VALUE"""),-0.008)</f>
        <v>-0.008</v>
      </c>
    </row>
    <row r="1332">
      <c r="A1332" s="131">
        <f>IFERROR(__xludf.DUMMYFUNCTION("""COMPUTED_VALUE"""),46187.35619212963)</f>
        <v>46187.35619</v>
      </c>
      <c r="B1332" s="126">
        <f>IFERROR(__xludf.DUMMYFUNCTION("""COMPUTED_VALUE"""),46187.0)</f>
        <v>46187</v>
      </c>
      <c r="C1332" s="122" t="str">
        <f>IFERROR(__xludf.DUMMYFUNCTION("""COMPUTED_VALUE"""),"FARM")</f>
        <v>FARM</v>
      </c>
      <c r="D1332" s="122" t="str">
        <f>IFERROR(__xludf.DUMMYFUNCTION("""COMPUTED_VALUE"""),"Future Farms")</f>
        <v>Future Farms</v>
      </c>
      <c r="E1332" s="122">
        <f>IFERROR(__xludf.DUMMYFUNCTION("""COMPUTED_VALUE"""),79.78)</f>
        <v>79.78</v>
      </c>
      <c r="F1332" s="122">
        <f>IFERROR(__xludf.DUMMYFUNCTION("""COMPUTED_VALUE"""),-0.0013)</f>
        <v>-0.0013</v>
      </c>
    </row>
    <row r="1333">
      <c r="A1333" s="131">
        <f>IFERROR(__xludf.DUMMYFUNCTION("""COMPUTED_VALUE"""),46187.35619212963)</f>
        <v>46187.35619</v>
      </c>
      <c r="B1333" s="126">
        <f>IFERROR(__xludf.DUMMYFUNCTION("""COMPUTED_VALUE"""),46187.0)</f>
        <v>46187</v>
      </c>
      <c r="C1333" s="122" t="str">
        <f>IFERROR(__xludf.DUMMYFUNCTION("""COMPUTED_VALUE"""),"MEAT")</f>
        <v>MEAT</v>
      </c>
      <c r="D1333" s="122" t="str">
        <f>IFERROR(__xludf.DUMMYFUNCTION("""COMPUTED_VALUE"""),"MeatWorks")</f>
        <v>MeatWorks</v>
      </c>
      <c r="E1333" s="122">
        <f>IFERROR(__xludf.DUMMYFUNCTION("""COMPUTED_VALUE"""),103.76)</f>
        <v>103.76</v>
      </c>
      <c r="F1333" s="122">
        <f>IFERROR(__xludf.DUMMYFUNCTION("""COMPUTED_VALUE"""),-0.0027)</f>
        <v>-0.0027</v>
      </c>
    </row>
    <row r="1334">
      <c r="A1334" s="131">
        <f>IFERROR(__xludf.DUMMYFUNCTION("""COMPUTED_VALUE"""),46187.35619212963)</f>
        <v>46187.35619</v>
      </c>
      <c r="B1334" s="126">
        <f>IFERROR(__xludf.DUMMYFUNCTION("""COMPUTED_VALUE"""),46187.0)</f>
        <v>46187</v>
      </c>
      <c r="C1334" s="122" t="str">
        <f>IFERROR(__xludf.DUMMYFUNCTION("""COMPUTED_VALUE"""),"VEGI")</f>
        <v>VEGI</v>
      </c>
      <c r="D1334" s="122" t="str">
        <f>IFERROR(__xludf.DUMMYFUNCTION("""COMPUTED_VALUE"""),"Green Basket")</f>
        <v>Green Basket</v>
      </c>
      <c r="E1334" s="122">
        <f>IFERROR(__xludf.DUMMYFUNCTION("""COMPUTED_VALUE"""),83.23)</f>
        <v>83.23</v>
      </c>
      <c r="F1334" s="122">
        <f>IFERROR(__xludf.DUMMYFUNCTION("""COMPUTED_VALUE"""),-0.0041)</f>
        <v>-0.0041</v>
      </c>
    </row>
    <row r="1335">
      <c r="A1335" s="131">
        <f>IFERROR(__xludf.DUMMYFUNCTION("""COMPUTED_VALUE"""),46187.35619212963)</f>
        <v>46187.35619</v>
      </c>
      <c r="B1335" s="126">
        <f>IFERROR(__xludf.DUMMYFUNCTION("""COMPUTED_VALUE"""),46187.0)</f>
        <v>46187</v>
      </c>
      <c r="C1335" s="122" t="str">
        <f>IFERROR(__xludf.DUMMYFUNCTION("""COMPUTED_VALUE"""),"CAFE")</f>
        <v>CAFE</v>
      </c>
      <c r="D1335" s="122" t="str">
        <f>IFERROR(__xludf.DUMMYFUNCTION("""COMPUTED_VALUE"""),"Cafe Cloud")</f>
        <v>Cafe Cloud</v>
      </c>
      <c r="E1335" s="122">
        <f>IFERROR(__xludf.DUMMYFUNCTION("""COMPUTED_VALUE"""),98.6)</f>
        <v>98.6</v>
      </c>
      <c r="F1335" s="122">
        <f>IFERROR(__xludf.DUMMYFUNCTION("""COMPUTED_VALUE"""),8.0E-4)</f>
        <v>0.0008</v>
      </c>
    </row>
    <row r="1336">
      <c r="A1336" s="131">
        <f>IFERROR(__xludf.DUMMYFUNCTION("""COMPUTED_VALUE"""),46187.35619212963)</f>
        <v>46187.35619</v>
      </c>
      <c r="B1336" s="126">
        <f>IFERROR(__xludf.DUMMYFUNCTION("""COMPUTED_VALUE"""),46187.0)</f>
        <v>46187</v>
      </c>
      <c r="C1336" s="122" t="str">
        <f>IFERROR(__xludf.DUMMYFUNCTION("""COMPUTED_VALUE"""),"BAKE")</f>
        <v>BAKE</v>
      </c>
      <c r="D1336" s="122" t="str">
        <f>IFERROR(__xludf.DUMMYFUNCTION("""COMPUTED_VALUE"""),"BakeHouse")</f>
        <v>BakeHouse</v>
      </c>
      <c r="E1336" s="122">
        <f>IFERROR(__xludf.DUMMYFUNCTION("""COMPUTED_VALUE"""),99.52)</f>
        <v>99.52</v>
      </c>
      <c r="F1336" s="122">
        <f>IFERROR(__xludf.DUMMYFUNCTION("""COMPUTED_VALUE"""),-0.0028)</f>
        <v>-0.0028</v>
      </c>
    </row>
    <row r="1337">
      <c r="A1337" s="131">
        <f>IFERROR(__xludf.DUMMYFUNCTION("""COMPUTED_VALUE"""),46187.35619212963)</f>
        <v>46187.35619</v>
      </c>
      <c r="B1337" s="126">
        <f>IFERROR(__xludf.DUMMYFUNCTION("""COMPUTED_VALUE"""),46187.0)</f>
        <v>46187</v>
      </c>
      <c r="C1337" s="122" t="str">
        <f>IFERROR(__xludf.DUMMYFUNCTION("""COMPUTED_VALUE"""),"OILX")</f>
        <v>OILX</v>
      </c>
      <c r="D1337" s="122" t="str">
        <f>IFERROR(__xludf.DUMMYFUNCTION("""COMPUTED_VALUE"""),"OilMax Energy")</f>
        <v>OilMax Energy</v>
      </c>
      <c r="E1337" s="122">
        <f>IFERROR(__xludf.DUMMYFUNCTION("""COMPUTED_VALUE"""),129.29)</f>
        <v>129.29</v>
      </c>
      <c r="F1337" s="122">
        <f>IFERROR(__xludf.DUMMYFUNCTION("""COMPUTED_VALUE"""),-0.0039)</f>
        <v>-0.0039</v>
      </c>
    </row>
    <row r="1338">
      <c r="A1338" s="131">
        <f>IFERROR(__xludf.DUMMYFUNCTION("""COMPUTED_VALUE"""),46187.35619212963)</f>
        <v>46187.35619</v>
      </c>
      <c r="B1338" s="126">
        <f>IFERROR(__xludf.DUMMYFUNCTION("""COMPUTED_VALUE"""),46187.0)</f>
        <v>46187</v>
      </c>
      <c r="C1338" s="122" t="str">
        <f>IFERROR(__xludf.DUMMYFUNCTION("""COMPUTED_VALUE"""),"SOLR")</f>
        <v>SOLR</v>
      </c>
      <c r="D1338" s="122" t="str">
        <f>IFERROR(__xludf.DUMMYFUNCTION("""COMPUTED_VALUE"""),"SolarSpark")</f>
        <v>SolarSpark</v>
      </c>
      <c r="E1338" s="122">
        <f>IFERROR(__xludf.DUMMYFUNCTION("""COMPUTED_VALUE"""),83.77)</f>
        <v>83.77</v>
      </c>
      <c r="F1338" s="122">
        <f>IFERROR(__xludf.DUMMYFUNCTION("""COMPUTED_VALUE"""),6.0E-4)</f>
        <v>0.0006</v>
      </c>
    </row>
    <row r="1339">
      <c r="A1339" s="131">
        <f>IFERROR(__xludf.DUMMYFUNCTION("""COMPUTED_VALUE"""),46187.35619212963)</f>
        <v>46187.35619</v>
      </c>
      <c r="B1339" s="126">
        <f>IFERROR(__xludf.DUMMYFUNCTION("""COMPUTED_VALUE"""),46187.0)</f>
        <v>46187</v>
      </c>
      <c r="C1339" s="122" t="str">
        <f>IFERROR(__xludf.DUMMYFUNCTION("""COMPUTED_VALUE"""),"BATT")</f>
        <v>BATT</v>
      </c>
      <c r="D1339" s="122" t="str">
        <f>IFERROR(__xludf.DUMMYFUNCTION("""COMPUTED_VALUE"""),"BatteryBox")</f>
        <v>BatteryBox</v>
      </c>
      <c r="E1339" s="122">
        <f>IFERROR(__xludf.DUMMYFUNCTION("""COMPUTED_VALUE"""),117.81)</f>
        <v>117.81</v>
      </c>
      <c r="F1339" s="122">
        <f>IFERROR(__xludf.DUMMYFUNCTION("""COMPUTED_VALUE"""),-0.0112)</f>
        <v>-0.0112</v>
      </c>
    </row>
    <row r="1340">
      <c r="A1340" s="131">
        <f>IFERROR(__xludf.DUMMYFUNCTION("""COMPUTED_VALUE"""),46187.35619212963)</f>
        <v>46187.35619</v>
      </c>
      <c r="B1340" s="126">
        <f>IFERROR(__xludf.DUMMYFUNCTION("""COMPUTED_VALUE"""),46187.0)</f>
        <v>46187</v>
      </c>
      <c r="C1340" s="122" t="str">
        <f>IFERROR(__xludf.DUMMYFUNCTION("""COMPUTED_VALUE"""),"WIND")</f>
        <v>WIND</v>
      </c>
      <c r="D1340" s="122" t="str">
        <f>IFERROR(__xludf.DUMMYFUNCTION("""COMPUTED_VALUE"""),"WindWorks")</f>
        <v>WindWorks</v>
      </c>
      <c r="E1340" s="122">
        <f>IFERROR(__xludf.DUMMYFUNCTION("""COMPUTED_VALUE"""),88.06)</f>
        <v>88.06</v>
      </c>
      <c r="F1340" s="122">
        <f>IFERROR(__xludf.DUMMYFUNCTION("""COMPUTED_VALUE"""),-0.0042)</f>
        <v>-0.0042</v>
      </c>
    </row>
    <row r="1341">
      <c r="A1341" s="131">
        <f>IFERROR(__xludf.DUMMYFUNCTION("""COMPUTED_VALUE"""),46187.35619212963)</f>
        <v>46187.35619</v>
      </c>
      <c r="B1341" s="126">
        <f>IFERROR(__xludf.DUMMYFUNCTION("""COMPUTED_VALUE"""),46187.0)</f>
        <v>46187</v>
      </c>
      <c r="C1341" s="122" t="str">
        <f>IFERROR(__xludf.DUMMYFUNCTION("""COMPUTED_VALUE"""),"GRID")</f>
        <v>GRID</v>
      </c>
      <c r="D1341" s="122" t="str">
        <f>IFERROR(__xludf.DUMMYFUNCTION("""COMPUTED_VALUE"""),"GridPower")</f>
        <v>GridPower</v>
      </c>
      <c r="E1341" s="122">
        <f>IFERROR(__xludf.DUMMYFUNCTION("""COMPUTED_VALUE"""),147.57)</f>
        <v>147.57</v>
      </c>
      <c r="F1341" s="122">
        <f>IFERROR(__xludf.DUMMYFUNCTION("""COMPUTED_VALUE"""),-0.0039)</f>
        <v>-0.0039</v>
      </c>
    </row>
    <row r="1342">
      <c r="A1342" s="131">
        <f>IFERROR(__xludf.DUMMYFUNCTION("""COMPUTED_VALUE"""),46187.35619212963)</f>
        <v>46187.35619</v>
      </c>
      <c r="B1342" s="126">
        <f>IFERROR(__xludf.DUMMYFUNCTION("""COMPUTED_VALUE"""),46187.0)</f>
        <v>46187</v>
      </c>
      <c r="C1342" s="122" t="str">
        <f>IFERROR(__xludf.DUMMYFUNCTION("""COMPUTED_VALUE"""),"HOME")</f>
        <v>HOME</v>
      </c>
      <c r="D1342" s="122" t="str">
        <f>IFERROR(__xludf.DUMMYFUNCTION("""COMPUTED_VALUE"""),"HomeHub")</f>
        <v>HomeHub</v>
      </c>
      <c r="E1342" s="122">
        <f>IFERROR(__xludf.DUMMYFUNCTION("""COMPUTED_VALUE"""),146.13)</f>
        <v>146.13</v>
      </c>
      <c r="F1342" s="122">
        <f>IFERROR(__xludf.DUMMYFUNCTION("""COMPUTED_VALUE"""),0.0016)</f>
        <v>0.0016</v>
      </c>
    </row>
    <row r="1343">
      <c r="A1343" s="131">
        <f>IFERROR(__xludf.DUMMYFUNCTION("""COMPUTED_VALUE"""),46187.35619212963)</f>
        <v>46187.35619</v>
      </c>
      <c r="B1343" s="126">
        <f>IFERROR(__xludf.DUMMYFUNCTION("""COMPUTED_VALUE"""),46187.0)</f>
        <v>46187</v>
      </c>
      <c r="C1343" s="122" t="str">
        <f>IFERROR(__xludf.DUMMYFUNCTION("""COMPUTED_VALUE"""),"RENT")</f>
        <v>RENT</v>
      </c>
      <c r="D1343" s="122" t="str">
        <f>IFERROR(__xludf.DUMMYFUNCTION("""COMPUTED_VALUE"""),"RentRight")</f>
        <v>RentRight</v>
      </c>
      <c r="E1343" s="122">
        <f>IFERROR(__xludf.DUMMYFUNCTION("""COMPUTED_VALUE"""),94.69)</f>
        <v>94.69</v>
      </c>
      <c r="F1343" s="122">
        <f>IFERROR(__xludf.DUMMYFUNCTION("""COMPUTED_VALUE"""),0.0042)</f>
        <v>0.0042</v>
      </c>
    </row>
    <row r="1344">
      <c r="A1344" s="131">
        <f>IFERROR(__xludf.DUMMYFUNCTION("""COMPUTED_VALUE"""),46187.35619212963)</f>
        <v>46187.35619</v>
      </c>
      <c r="B1344" s="126">
        <f>IFERROR(__xludf.DUMMYFUNCTION("""COMPUTED_VALUE"""),46187.0)</f>
        <v>46187</v>
      </c>
      <c r="C1344" s="122" t="str">
        <f>IFERROR(__xludf.DUMMYFUNCTION("""COMPUTED_VALUE"""),"MALL")</f>
        <v>MALL</v>
      </c>
      <c r="D1344" s="122" t="str">
        <f>IFERROR(__xludf.DUMMYFUNCTION("""COMPUTED_VALUE"""),"MegaMall")</f>
        <v>MegaMall</v>
      </c>
      <c r="E1344" s="122">
        <f>IFERROR(__xludf.DUMMYFUNCTION("""COMPUTED_VALUE"""),96.57)</f>
        <v>96.57</v>
      </c>
      <c r="F1344" s="122">
        <f>IFERROR(__xludf.DUMMYFUNCTION("""COMPUTED_VALUE"""),0.0047)</f>
        <v>0.0047</v>
      </c>
    </row>
    <row r="1345">
      <c r="A1345" s="131">
        <f>IFERROR(__xludf.DUMMYFUNCTION("""COMPUTED_VALUE"""),46187.35619212963)</f>
        <v>46187.35619</v>
      </c>
      <c r="B1345" s="126">
        <f>IFERROR(__xludf.DUMMYFUNCTION("""COMPUTED_VALUE"""),46187.0)</f>
        <v>46187</v>
      </c>
      <c r="C1345" s="122" t="str">
        <f>IFERROR(__xludf.DUMMYFUNCTION("""COMPUTED_VALUE"""),"HOTL")</f>
        <v>HOTL</v>
      </c>
      <c r="D1345" s="122" t="str">
        <f>IFERROR(__xludf.DUMMYFUNCTION("""COMPUTED_VALUE"""),"HotelHive")</f>
        <v>HotelHive</v>
      </c>
      <c r="E1345" s="122">
        <f>IFERROR(__xludf.DUMMYFUNCTION("""COMPUTED_VALUE"""),132.16)</f>
        <v>132.16</v>
      </c>
      <c r="F1345" s="122">
        <f>IFERROR(__xludf.DUMMYFUNCTION("""COMPUTED_VALUE"""),-7.0E-4)</f>
        <v>-0.0007</v>
      </c>
    </row>
    <row r="1346">
      <c r="A1346" s="131">
        <f>IFERROR(__xludf.DUMMYFUNCTION("""COMPUTED_VALUE"""),46187.35619212963)</f>
        <v>46187.35619</v>
      </c>
      <c r="B1346" s="126">
        <f>IFERROR(__xludf.DUMMYFUNCTION("""COMPUTED_VALUE"""),46187.0)</f>
        <v>46187</v>
      </c>
      <c r="C1346" s="122" t="str">
        <f>IFERROR(__xludf.DUMMYFUNCTION("""COMPUTED_VALUE"""),"LAND")</f>
        <v>LAND</v>
      </c>
      <c r="D1346" s="122" t="str">
        <f>IFERROR(__xludf.DUMMYFUNCTION("""COMPUTED_VALUE"""),"LandLink")</f>
        <v>LandLink</v>
      </c>
      <c r="E1346" s="122">
        <f>IFERROR(__xludf.DUMMYFUNCTION("""COMPUTED_VALUE"""),182.25)</f>
        <v>182.25</v>
      </c>
      <c r="F1346" s="122">
        <f>IFERROR(__xludf.DUMMYFUNCTION("""COMPUTED_VALUE"""),0.0039)</f>
        <v>0.0039</v>
      </c>
    </row>
    <row r="1347">
      <c r="A1347" s="131">
        <f>IFERROR(__xludf.DUMMYFUNCTION("""COMPUTED_VALUE"""),46187.35619212963)</f>
        <v>46187.35619</v>
      </c>
      <c r="B1347" s="126">
        <f>IFERROR(__xludf.DUMMYFUNCTION("""COMPUTED_VALUE"""),46187.0)</f>
        <v>46187</v>
      </c>
      <c r="C1347" s="122" t="str">
        <f>IFERROR(__xludf.DUMMYFUNCTION("""COMPUTED_VALUE"""),"CARS")</f>
        <v>CARS</v>
      </c>
      <c r="D1347" s="122" t="str">
        <f>IFERROR(__xludf.DUMMYFUNCTION("""COMPUTED_VALUE"""),"AutoArena")</f>
        <v>AutoArena</v>
      </c>
      <c r="E1347" s="122">
        <f>IFERROR(__xludf.DUMMYFUNCTION("""COMPUTED_VALUE"""),79.86)</f>
        <v>79.86</v>
      </c>
      <c r="F1347" s="122">
        <f>IFERROR(__xludf.DUMMYFUNCTION("""COMPUTED_VALUE"""),-0.0036)</f>
        <v>-0.0036</v>
      </c>
    </row>
    <row r="1348">
      <c r="A1348" s="131">
        <f>IFERROR(__xludf.DUMMYFUNCTION("""COMPUTED_VALUE"""),46187.35619212963)</f>
        <v>46187.35619</v>
      </c>
      <c r="B1348" s="126">
        <f>IFERROR(__xludf.DUMMYFUNCTION("""COMPUTED_VALUE"""),46187.0)</f>
        <v>46187</v>
      </c>
      <c r="C1348" s="122" t="str">
        <f>IFERROR(__xludf.DUMMYFUNCTION("""COMPUTED_VALUE"""),"EVGO")</f>
        <v>EVGO</v>
      </c>
      <c r="D1348" s="122" t="str">
        <f>IFERROR(__xludf.DUMMYFUNCTION("""COMPUTED_VALUE"""),"EVGo Motors")</f>
        <v>EVGo Motors</v>
      </c>
      <c r="E1348" s="122">
        <f>IFERROR(__xludf.DUMMYFUNCTION("""COMPUTED_VALUE"""),195.34)</f>
        <v>195.34</v>
      </c>
      <c r="F1348" s="122">
        <f>IFERROR(__xludf.DUMMYFUNCTION("""COMPUTED_VALUE"""),-0.0059)</f>
        <v>-0.0059</v>
      </c>
    </row>
    <row r="1349">
      <c r="A1349" s="131">
        <f>IFERROR(__xludf.DUMMYFUNCTION("""COMPUTED_VALUE"""),46187.35619212963)</f>
        <v>46187.35619</v>
      </c>
      <c r="B1349" s="126">
        <f>IFERROR(__xludf.DUMMYFUNCTION("""COMPUTED_VALUE"""),46187.0)</f>
        <v>46187</v>
      </c>
      <c r="C1349" s="122" t="str">
        <f>IFERROR(__xludf.DUMMYFUNCTION("""COMPUTED_VALUE"""),"TIRE")</f>
        <v>TIRE</v>
      </c>
      <c r="D1349" s="122" t="str">
        <f>IFERROR(__xludf.DUMMYFUNCTION("""COMPUTED_VALUE"""),"TireTown")</f>
        <v>TireTown</v>
      </c>
      <c r="E1349" s="122">
        <f>IFERROR(__xludf.DUMMYFUNCTION("""COMPUTED_VALUE"""),90.17)</f>
        <v>90.17</v>
      </c>
      <c r="F1349" s="122">
        <f>IFERROR(__xludf.DUMMYFUNCTION("""COMPUTED_VALUE"""),6.0E-4)</f>
        <v>0.0006</v>
      </c>
    </row>
    <row r="1350">
      <c r="A1350" s="131">
        <f>IFERROR(__xludf.DUMMYFUNCTION("""COMPUTED_VALUE"""),46187.35619212963)</f>
        <v>46187.35619</v>
      </c>
      <c r="B1350" s="126">
        <f>IFERROR(__xludf.DUMMYFUNCTION("""COMPUTED_VALUE"""),46187.0)</f>
        <v>46187</v>
      </c>
      <c r="C1350" s="122" t="str">
        <f>IFERROR(__xludf.DUMMYFUNCTION("""COMPUTED_VALUE"""),"BIKE")</f>
        <v>BIKE</v>
      </c>
      <c r="D1350" s="122" t="str">
        <f>IFERROR(__xludf.DUMMYFUNCTION("""COMPUTED_VALUE"""),"BikeBox")</f>
        <v>BikeBox</v>
      </c>
      <c r="E1350" s="122">
        <f>IFERROR(__xludf.DUMMYFUNCTION("""COMPUTED_VALUE"""),53.79)</f>
        <v>53.79</v>
      </c>
      <c r="F1350" s="122">
        <f>IFERROR(__xludf.DUMMYFUNCTION("""COMPUTED_VALUE"""),-0.0054)</f>
        <v>-0.0054</v>
      </c>
    </row>
    <row r="1351">
      <c r="A1351" s="131">
        <f>IFERROR(__xludf.DUMMYFUNCTION("""COMPUTED_VALUE"""),46187.35619212963)</f>
        <v>46187.35619</v>
      </c>
      <c r="B1351" s="126">
        <f>IFERROR(__xludf.DUMMYFUNCTION("""COMPUTED_VALUE"""),46187.0)</f>
        <v>46187</v>
      </c>
      <c r="C1351" s="122" t="str">
        <f>IFERROR(__xludf.DUMMYFUNCTION("""COMPUTED_VALUE"""),"WASH")</f>
        <v>WASH</v>
      </c>
      <c r="D1351" s="122" t="str">
        <f>IFERROR(__xludf.DUMMYFUNCTION("""COMPUTED_VALUE"""),"CarWash Co")</f>
        <v>CarWash Co</v>
      </c>
      <c r="E1351" s="122">
        <f>IFERROR(__xludf.DUMMYFUNCTION("""COMPUTED_VALUE"""),117.17)</f>
        <v>117.17</v>
      </c>
      <c r="F1351" s="122">
        <f>IFERROR(__xludf.DUMMYFUNCTION("""COMPUTED_VALUE"""),-0.0033)</f>
        <v>-0.0033</v>
      </c>
    </row>
    <row r="1352">
      <c r="A1352" s="131">
        <f>IFERROR(__xludf.DUMMYFUNCTION("""COMPUTED_VALUE"""),46187.35619212963)</f>
        <v>46187.35619</v>
      </c>
      <c r="B1352" s="126">
        <f>IFERROR(__xludf.DUMMYFUNCTION("""COMPUTED_VALUE"""),46187.0)</f>
        <v>46187</v>
      </c>
      <c r="C1352" s="122" t="str">
        <f>IFERROR(__xludf.DUMMYFUNCTION("""COMPUTED_VALUE"""),"GBND")</f>
        <v>GBND</v>
      </c>
      <c r="D1352" s="122" t="str">
        <f>IFERROR(__xludf.DUMMYFUNCTION("""COMPUTED_VALUE"""),"Classroom Government Bond")</f>
        <v>Classroom Government Bond</v>
      </c>
      <c r="E1352" s="122">
        <f>IFERROR(__xludf.DUMMYFUNCTION("""COMPUTED_VALUE"""),100.89)</f>
        <v>100.89</v>
      </c>
      <c r="F1352" s="122">
        <f>IFERROR(__xludf.DUMMYFUNCTION("""COMPUTED_VALUE"""),4.0E-4)</f>
        <v>0.0004</v>
      </c>
    </row>
    <row r="1353">
      <c r="A1353" s="131">
        <f>IFERROR(__xludf.DUMMYFUNCTION("""COMPUTED_VALUE"""),46187.35619212963)</f>
        <v>46187.35619</v>
      </c>
      <c r="B1353" s="126">
        <f>IFERROR(__xludf.DUMMYFUNCTION("""COMPUTED_VALUE"""),46187.0)</f>
        <v>46187</v>
      </c>
      <c r="C1353" s="122" t="str">
        <f>IFERROR(__xludf.DUMMYFUNCTION("""COMPUTED_VALUE"""),"SBND")</f>
        <v>SBND</v>
      </c>
      <c r="D1353" s="122" t="str">
        <f>IFERROR(__xludf.DUMMYFUNCTION("""COMPUTED_VALUE"""),"School Savings Bond")</f>
        <v>School Savings Bond</v>
      </c>
      <c r="E1353" s="122">
        <f>IFERROR(__xludf.DUMMYFUNCTION("""COMPUTED_VALUE"""),99.32)</f>
        <v>99.32</v>
      </c>
      <c r="F1353" s="122">
        <f>IFERROR(__xludf.DUMMYFUNCTION("""COMPUTED_VALUE"""),-1.0E-4)</f>
        <v>-0.0001</v>
      </c>
    </row>
    <row r="1354">
      <c r="A1354" s="131">
        <f>IFERROR(__xludf.DUMMYFUNCTION("""COMPUTED_VALUE"""),46187.35619212963)</f>
        <v>46187.35619</v>
      </c>
      <c r="B1354" s="126">
        <f>IFERROR(__xludf.DUMMYFUNCTION("""COMPUTED_VALUE"""),46187.0)</f>
        <v>46187</v>
      </c>
      <c r="C1354" s="122" t="str">
        <f>IFERROR(__xludf.DUMMYFUNCTION("""COMPUTED_VALUE"""),"CBND")</f>
        <v>CBND</v>
      </c>
      <c r="D1354" s="122" t="str">
        <f>IFERROR(__xludf.DUMMYFUNCTION("""COMPUTED_VALUE"""),"Corporate Classroom Bond")</f>
        <v>Corporate Classroom Bond</v>
      </c>
      <c r="E1354" s="122">
        <f>IFERROR(__xludf.DUMMYFUNCTION("""COMPUTED_VALUE"""),97.77)</f>
        <v>97.77</v>
      </c>
      <c r="F1354" s="122">
        <f>IFERROR(__xludf.DUMMYFUNCTION("""COMPUTED_VALUE"""),-2.0E-4)</f>
        <v>-0.0002</v>
      </c>
    </row>
    <row r="1355">
      <c r="A1355" s="131">
        <f>IFERROR(__xludf.DUMMYFUNCTION("""COMPUTED_VALUE"""),46187.35619212963)</f>
        <v>46187.35619</v>
      </c>
      <c r="B1355" s="126">
        <f>IFERROR(__xludf.DUMMYFUNCTION("""COMPUTED_VALUE"""),46187.0)</f>
        <v>46187</v>
      </c>
      <c r="C1355" s="122" t="str">
        <f>IFERROR(__xludf.DUMMYFUNCTION("""COMPUTED_VALUE"""),"TBIL")</f>
        <v>TBIL</v>
      </c>
      <c r="D1355" s="122" t="str">
        <f>IFERROR(__xludf.DUMMYFUNCTION("""COMPUTED_VALUE"""),"Treasury Bill")</f>
        <v>Treasury Bill</v>
      </c>
      <c r="E1355" s="122">
        <f>IFERROR(__xludf.DUMMYFUNCTION("""COMPUTED_VALUE"""),98.09)</f>
        <v>98.09</v>
      </c>
      <c r="F1355" s="122">
        <f>IFERROR(__xludf.DUMMYFUNCTION("""COMPUTED_VALUE"""),-2.0E-4)</f>
        <v>-0.0002</v>
      </c>
    </row>
    <row r="1356">
      <c r="A1356" s="131">
        <f>IFERROR(__xludf.DUMMYFUNCTION("""COMPUTED_VALUE"""),46187.35619212963)</f>
        <v>46187.35619</v>
      </c>
      <c r="B1356" s="126">
        <f>IFERROR(__xludf.DUMMYFUNCTION("""COMPUTED_VALUE"""),46187.0)</f>
        <v>46187</v>
      </c>
      <c r="C1356" s="122" t="str">
        <f>IFERROR(__xludf.DUMMYFUNCTION("""COMPUTED_VALUE"""),"IBND")</f>
        <v>IBND</v>
      </c>
      <c r="D1356" s="122" t="str">
        <f>IFERROR(__xludf.DUMMYFUNCTION("""COMPUTED_VALUE"""),"Inflation Protected Bond")</f>
        <v>Inflation Protected Bond</v>
      </c>
      <c r="E1356" s="122">
        <f>IFERROR(__xludf.DUMMYFUNCTION("""COMPUTED_VALUE"""),100.52)</f>
        <v>100.52</v>
      </c>
      <c r="F1356" s="122">
        <f>IFERROR(__xludf.DUMMYFUNCTION("""COMPUTED_VALUE"""),-2.0E-4)</f>
        <v>-0.0002</v>
      </c>
    </row>
    <row r="1357">
      <c r="A1357" s="131">
        <f>IFERROR(__xludf.DUMMYFUNCTION("""COMPUTED_VALUE"""),46187.357141203705)</f>
        <v>46187.35714</v>
      </c>
      <c r="B1357" s="126">
        <f>IFERROR(__xludf.DUMMYFUNCTION("""COMPUTED_VALUE"""),46187.0)</f>
        <v>46187</v>
      </c>
      <c r="C1357" s="130">
        <f>IFERROR(__xludf.DUMMYFUNCTION("""COMPUTED_VALUE"""),0.3571412037037037)</f>
        <v>0.3571412037</v>
      </c>
      <c r="D1357" s="122" t="str">
        <f>IFERROR(__xludf.DUMMYFUNCTION("""COMPUTED_VALUE"""),"SNAX")</f>
        <v>SNAX</v>
      </c>
      <c r="E1357" s="122" t="str">
        <f>IFERROR(__xludf.DUMMYFUNCTION("""COMPUTED_VALUE"""),"MICA Snacks")</f>
        <v>MICA Snacks</v>
      </c>
      <c r="F1357" s="122" t="str">
        <f>IFERROR(__xludf.DUMMYFUNCTION("""COMPUTED_VALUE"""),"Consumer Goods")</f>
        <v>Consumer Goods</v>
      </c>
    </row>
    <row r="1358">
      <c r="A1358" s="131">
        <f>IFERROR(__xludf.DUMMYFUNCTION("""COMPUTED_VALUE"""),46187.357141203705)</f>
        <v>46187.35714</v>
      </c>
      <c r="B1358" s="126">
        <f>IFERROR(__xludf.DUMMYFUNCTION("""COMPUTED_VALUE"""),46187.0)</f>
        <v>46187</v>
      </c>
      <c r="C1358" s="130">
        <f>IFERROR(__xludf.DUMMYFUNCTION("""COMPUTED_VALUE"""),0.3571412037037037)</f>
        <v>0.3571412037</v>
      </c>
      <c r="D1358" s="122" t="str">
        <f>IFERROR(__xludf.DUMMYFUNCTION("""COMPUTED_VALUE"""),"RAMN")</f>
        <v>RAMN</v>
      </c>
      <c r="E1358" s="122" t="str">
        <f>IFERROR(__xludf.DUMMYFUNCTION("""COMPUTED_VALUE"""),"Ramen Republic")</f>
        <v>Ramen Republic</v>
      </c>
      <c r="F1358" s="122" t="str">
        <f>IFERROR(__xludf.DUMMYFUNCTION("""COMPUTED_VALUE"""),"Food")</f>
        <v>Food</v>
      </c>
    </row>
    <row r="1359">
      <c r="A1359" s="131">
        <f>IFERROR(__xludf.DUMMYFUNCTION("""COMPUTED_VALUE"""),46187.357141203705)</f>
        <v>46187.35714</v>
      </c>
      <c r="B1359" s="126">
        <f>IFERROR(__xludf.DUMMYFUNCTION("""COMPUTED_VALUE"""),46187.0)</f>
        <v>46187</v>
      </c>
      <c r="C1359" s="130">
        <f>IFERROR(__xludf.DUMMYFUNCTION("""COMPUTED_VALUE"""),0.3571412037037037)</f>
        <v>0.3571412037</v>
      </c>
      <c r="D1359" s="122" t="str">
        <f>IFERROR(__xludf.DUMMYFUNCTION("""COMPUTED_VALUE"""),"COLA")</f>
        <v>COLA</v>
      </c>
      <c r="E1359" s="122" t="str">
        <f>IFERROR(__xludf.DUMMYFUNCTION("""COMPUTED_VALUE"""),"K-Pop Cola")</f>
        <v>K-Pop Cola</v>
      </c>
      <c r="F1359" s="122" t="str">
        <f>IFERROR(__xludf.DUMMYFUNCTION("""COMPUTED_VALUE"""),"Beverage")</f>
        <v>Beverage</v>
      </c>
    </row>
    <row r="1360">
      <c r="A1360" s="131">
        <f>IFERROR(__xludf.DUMMYFUNCTION("""COMPUTED_VALUE"""),46187.357141203705)</f>
        <v>46187.35714</v>
      </c>
      <c r="B1360" s="126">
        <f>IFERROR(__xludf.DUMMYFUNCTION("""COMPUTED_VALUE"""),46187.0)</f>
        <v>46187</v>
      </c>
      <c r="C1360" s="130">
        <f>IFERROR(__xludf.DUMMYFUNCTION("""COMPUTED_VALUE"""),0.3571412037037037)</f>
        <v>0.3571412037</v>
      </c>
      <c r="D1360" s="122" t="str">
        <f>IFERROR(__xludf.DUMMYFUNCTION("""COMPUTED_VALUE"""),"CHIP")</f>
        <v>CHIP</v>
      </c>
      <c r="E1360" s="122" t="str">
        <f>IFERROR(__xludf.DUMMYFUNCTION("""COMPUTED_VALUE"""),"Chip Empire")</f>
        <v>Chip Empire</v>
      </c>
      <c r="F1360" s="122" t="str">
        <f>IFERROR(__xludf.DUMMYFUNCTION("""COMPUTED_VALUE"""),"Consumer Goods")</f>
        <v>Consumer Goods</v>
      </c>
    </row>
    <row r="1361">
      <c r="A1361" s="131">
        <f>IFERROR(__xludf.DUMMYFUNCTION("""COMPUTED_VALUE"""),46187.357141203705)</f>
        <v>46187.35714</v>
      </c>
      <c r="B1361" s="126">
        <f>IFERROR(__xludf.DUMMYFUNCTION("""COMPUTED_VALUE"""),46187.0)</f>
        <v>46187</v>
      </c>
      <c r="C1361" s="130">
        <f>IFERROR(__xludf.DUMMYFUNCTION("""COMPUTED_VALUE"""),0.3571412037037037)</f>
        <v>0.3571412037</v>
      </c>
      <c r="D1361" s="122" t="str">
        <f>IFERROR(__xludf.DUMMYFUNCTION("""COMPUTED_VALUE"""),"CAND")</f>
        <v>CAND</v>
      </c>
      <c r="E1361" s="122" t="str">
        <f>IFERROR(__xludf.DUMMYFUNCTION("""COMPUTED_VALUE"""),"Candy Capital")</f>
        <v>Candy Capital</v>
      </c>
      <c r="F1361" s="122" t="str">
        <f>IFERROR(__xludf.DUMMYFUNCTION("""COMPUTED_VALUE"""),"Consumer Goods")</f>
        <v>Consumer Goods</v>
      </c>
    </row>
    <row r="1362">
      <c r="A1362" s="131">
        <f>IFERROR(__xludf.DUMMYFUNCTION("""COMPUTED_VALUE"""),46187.357141203705)</f>
        <v>46187.35714</v>
      </c>
      <c r="B1362" s="126">
        <f>IFERROR(__xludf.DUMMYFUNCTION("""COMPUTED_VALUE"""),46187.0)</f>
        <v>46187</v>
      </c>
      <c r="C1362" s="130">
        <f>IFERROR(__xludf.DUMMYFUNCTION("""COMPUTED_VALUE"""),0.3571412037037037)</f>
        <v>0.3571412037</v>
      </c>
      <c r="D1362" s="122" t="str">
        <f>IFERROR(__xludf.DUMMYFUNCTION("""COMPUTED_VALUE"""),"TECH")</f>
        <v>TECH</v>
      </c>
      <c r="E1362" s="122" t="str">
        <f>IFERROR(__xludf.DUMMYFUNCTION("""COMPUTED_VALUE"""),"Dragon Tech")</f>
        <v>Dragon Tech</v>
      </c>
      <c r="F1362" s="122" t="str">
        <f>IFERROR(__xludf.DUMMYFUNCTION("""COMPUTED_VALUE"""),"Technology")</f>
        <v>Technology</v>
      </c>
    </row>
    <row r="1363">
      <c r="A1363" s="131">
        <f>IFERROR(__xludf.DUMMYFUNCTION("""COMPUTED_VALUE"""),46187.357141203705)</f>
        <v>46187.35714</v>
      </c>
      <c r="B1363" s="126">
        <f>IFERROR(__xludf.DUMMYFUNCTION("""COMPUTED_VALUE"""),46187.0)</f>
        <v>46187</v>
      </c>
      <c r="C1363" s="130">
        <f>IFERROR(__xludf.DUMMYFUNCTION("""COMPUTED_VALUE"""),0.3571412037037037)</f>
        <v>0.3571412037</v>
      </c>
      <c r="D1363" s="122" t="str">
        <f>IFERROR(__xludf.DUMMYFUNCTION("""COMPUTED_VALUE"""),"AIBO")</f>
        <v>AIBO</v>
      </c>
      <c r="E1363" s="122" t="str">
        <f>IFERROR(__xludf.DUMMYFUNCTION("""COMPUTED_VALUE"""),"Homework AI")</f>
        <v>Homework AI</v>
      </c>
      <c r="F1363" s="122" t="str">
        <f>IFERROR(__xludf.DUMMYFUNCTION("""COMPUTED_VALUE"""),"Technology")</f>
        <v>Technology</v>
      </c>
    </row>
    <row r="1364">
      <c r="A1364" s="131">
        <f>IFERROR(__xludf.DUMMYFUNCTION("""COMPUTED_VALUE"""),46187.357141203705)</f>
        <v>46187.35714</v>
      </c>
      <c r="B1364" s="126">
        <f>IFERROR(__xludf.DUMMYFUNCTION("""COMPUTED_VALUE"""),46187.0)</f>
        <v>46187</v>
      </c>
      <c r="C1364" s="130">
        <f>IFERROR(__xludf.DUMMYFUNCTION("""COMPUTED_VALUE"""),0.3571412037037037)</f>
        <v>0.3571412037</v>
      </c>
      <c r="D1364" s="122" t="str">
        <f>IFERROR(__xludf.DUMMYFUNCTION("""COMPUTED_VALUE"""),"GAME")</f>
        <v>GAME</v>
      </c>
      <c r="E1364" s="122" t="str">
        <f>IFERROR(__xludf.DUMMYFUNCTION("""COMPUTED_VALUE"""),"GameBox Media")</f>
        <v>GameBox Media</v>
      </c>
      <c r="F1364" s="122" t="str">
        <f>IFERROR(__xludf.DUMMYFUNCTION("""COMPUTED_VALUE"""),"Entertainment")</f>
        <v>Entertainment</v>
      </c>
    </row>
    <row r="1365">
      <c r="A1365" s="131">
        <f>IFERROR(__xludf.DUMMYFUNCTION("""COMPUTED_VALUE"""),46187.357141203705)</f>
        <v>46187.35714</v>
      </c>
      <c r="B1365" s="126">
        <f>IFERROR(__xludf.DUMMYFUNCTION("""COMPUTED_VALUE"""),46187.0)</f>
        <v>46187</v>
      </c>
      <c r="C1365" s="130">
        <f>IFERROR(__xludf.DUMMYFUNCTION("""COMPUTED_VALUE"""),0.3571412037037037)</f>
        <v>0.3571412037</v>
      </c>
      <c r="D1365" s="122" t="str">
        <f>IFERROR(__xludf.DUMMYFUNCTION("""COMPUTED_VALUE"""),"VRSE")</f>
        <v>VRSE</v>
      </c>
      <c r="E1365" s="122" t="str">
        <f>IFERROR(__xludf.DUMMYFUNCTION("""COMPUTED_VALUE"""),"VerseVR")</f>
        <v>VerseVR</v>
      </c>
      <c r="F1365" s="122" t="str">
        <f>IFERROR(__xludf.DUMMYFUNCTION("""COMPUTED_VALUE"""),"Technology")</f>
        <v>Technology</v>
      </c>
    </row>
    <row r="1366">
      <c r="A1366" s="131">
        <f>IFERROR(__xludf.DUMMYFUNCTION("""COMPUTED_VALUE"""),46187.357141203705)</f>
        <v>46187.35714</v>
      </c>
      <c r="B1366" s="126">
        <f>IFERROR(__xludf.DUMMYFUNCTION("""COMPUTED_VALUE"""),46187.0)</f>
        <v>46187</v>
      </c>
      <c r="C1366" s="130">
        <f>IFERROR(__xludf.DUMMYFUNCTION("""COMPUTED_VALUE"""),0.3571412037037037)</f>
        <v>0.3571412037</v>
      </c>
      <c r="D1366" s="122" t="str">
        <f>IFERROR(__xludf.DUMMYFUNCTION("""COMPUTED_VALUE"""),"BYTE")</f>
        <v>BYTE</v>
      </c>
      <c r="E1366" s="122" t="str">
        <f>IFERROR(__xludf.DUMMYFUNCTION("""COMPUTED_VALUE"""),"ByteWorks")</f>
        <v>ByteWorks</v>
      </c>
      <c r="F1366" s="122" t="str">
        <f>IFERROR(__xludf.DUMMYFUNCTION("""COMPUTED_VALUE"""),"Technology")</f>
        <v>Technology</v>
      </c>
    </row>
    <row r="1367">
      <c r="A1367" s="131">
        <f>IFERROR(__xludf.DUMMYFUNCTION("""COMPUTED_VALUE"""),46187.357141203705)</f>
        <v>46187.35714</v>
      </c>
      <c r="B1367" s="126">
        <f>IFERROR(__xludf.DUMMYFUNCTION("""COMPUTED_VALUE"""),46187.0)</f>
        <v>46187</v>
      </c>
      <c r="C1367" s="130">
        <f>IFERROR(__xludf.DUMMYFUNCTION("""COMPUTED_VALUE"""),0.3571412037037037)</f>
        <v>0.3571412037</v>
      </c>
      <c r="D1367" s="122" t="str">
        <f>IFERROR(__xludf.DUMMYFUNCTION("""COMPUTED_VALUE"""),"BANK")</f>
        <v>BANK</v>
      </c>
      <c r="E1367" s="122" t="str">
        <f>IFERROR(__xludf.DUMMYFUNCTION("""COMPUTED_VALUE"""),"Tiger Bank")</f>
        <v>Tiger Bank</v>
      </c>
      <c r="F1367" s="122" t="str">
        <f>IFERROR(__xludf.DUMMYFUNCTION("""COMPUTED_VALUE"""),"Finance")</f>
        <v>Finance</v>
      </c>
    </row>
    <row r="1368">
      <c r="A1368" s="131">
        <f>IFERROR(__xludf.DUMMYFUNCTION("""COMPUTED_VALUE"""),46187.357141203705)</f>
        <v>46187.35714</v>
      </c>
      <c r="B1368" s="126">
        <f>IFERROR(__xludf.DUMMYFUNCTION("""COMPUTED_VALUE"""),46187.0)</f>
        <v>46187</v>
      </c>
      <c r="C1368" s="130">
        <f>IFERROR(__xludf.DUMMYFUNCTION("""COMPUTED_VALUE"""),0.3571412037037037)</f>
        <v>0.3571412037</v>
      </c>
      <c r="D1368" s="122" t="str">
        <f>IFERROR(__xludf.DUMMYFUNCTION("""COMPUTED_VALUE"""),"CRED")</f>
        <v>CRED</v>
      </c>
      <c r="E1368" s="122" t="str">
        <f>IFERROR(__xludf.DUMMYFUNCTION("""COMPUTED_VALUE"""),"Credit Castle")</f>
        <v>Credit Castle</v>
      </c>
      <c r="F1368" s="122" t="str">
        <f>IFERROR(__xludf.DUMMYFUNCTION("""COMPUTED_VALUE"""),"Finance")</f>
        <v>Finance</v>
      </c>
    </row>
    <row r="1369">
      <c r="A1369" s="131">
        <f>IFERROR(__xludf.DUMMYFUNCTION("""COMPUTED_VALUE"""),46187.357141203705)</f>
        <v>46187.35714</v>
      </c>
      <c r="B1369" s="126">
        <f>IFERROR(__xludf.DUMMYFUNCTION("""COMPUTED_VALUE"""),46187.0)</f>
        <v>46187</v>
      </c>
      <c r="C1369" s="130">
        <f>IFERROR(__xludf.DUMMYFUNCTION("""COMPUTED_VALUE"""),0.3571412037037037)</f>
        <v>0.3571412037</v>
      </c>
      <c r="D1369" s="122" t="str">
        <f>IFERROR(__xludf.DUMMYFUNCTION("""COMPUTED_VALUE"""),"BOND")</f>
        <v>BOND</v>
      </c>
      <c r="E1369" s="122" t="str">
        <f>IFERROR(__xludf.DUMMYFUNCTION("""COMPUTED_VALUE"""),"BondBridge")</f>
        <v>BondBridge</v>
      </c>
      <c r="F1369" s="122" t="str">
        <f>IFERROR(__xludf.DUMMYFUNCTION("""COMPUTED_VALUE"""),"Finance")</f>
        <v>Finance</v>
      </c>
    </row>
    <row r="1370">
      <c r="A1370" s="131">
        <f>IFERROR(__xludf.DUMMYFUNCTION("""COMPUTED_VALUE"""),46187.357141203705)</f>
        <v>46187.35714</v>
      </c>
      <c r="B1370" s="126">
        <f>IFERROR(__xludf.DUMMYFUNCTION("""COMPUTED_VALUE"""),46187.0)</f>
        <v>46187</v>
      </c>
      <c r="C1370" s="130">
        <f>IFERROR(__xludf.DUMMYFUNCTION("""COMPUTED_VALUE"""),0.3571412037037037)</f>
        <v>0.3571412037</v>
      </c>
      <c r="D1370" s="122" t="str">
        <f>IFERROR(__xludf.DUMMYFUNCTION("""COMPUTED_VALUE"""),"INSR")</f>
        <v>INSR</v>
      </c>
      <c r="E1370" s="122" t="str">
        <f>IFERROR(__xludf.DUMMYFUNCTION("""COMPUTED_VALUE"""),"Shield Insurance")</f>
        <v>Shield Insurance</v>
      </c>
      <c r="F1370" s="122" t="str">
        <f>IFERROR(__xludf.DUMMYFUNCTION("""COMPUTED_VALUE"""),"Finance")</f>
        <v>Finance</v>
      </c>
    </row>
    <row r="1371">
      <c r="A1371" s="131">
        <f>IFERROR(__xludf.DUMMYFUNCTION("""COMPUTED_VALUE"""),46187.357141203705)</f>
        <v>46187.35714</v>
      </c>
      <c r="B1371" s="126">
        <f>IFERROR(__xludf.DUMMYFUNCTION("""COMPUTED_VALUE"""),46187.0)</f>
        <v>46187</v>
      </c>
      <c r="C1371" s="130">
        <f>IFERROR(__xludf.DUMMYFUNCTION("""COMPUTED_VALUE"""),0.3571412037037037)</f>
        <v>0.3571412037</v>
      </c>
      <c r="D1371" s="122" t="str">
        <f>IFERROR(__xludf.DUMMYFUNCTION("""COMPUTED_VALUE"""),"LOAN")</f>
        <v>LOAN</v>
      </c>
      <c r="E1371" s="122" t="str">
        <f>IFERROR(__xludf.DUMMYFUNCTION("""COMPUTED_VALUE"""),"LoanLab")</f>
        <v>LoanLab</v>
      </c>
      <c r="F1371" s="122" t="str">
        <f>IFERROR(__xludf.DUMMYFUNCTION("""COMPUTED_VALUE"""),"Finance")</f>
        <v>Finance</v>
      </c>
    </row>
    <row r="1372">
      <c r="A1372" s="131">
        <f>IFERROR(__xludf.DUMMYFUNCTION("""COMPUTED_VALUE"""),46187.357141203705)</f>
        <v>46187.35714</v>
      </c>
      <c r="B1372" s="126">
        <f>IFERROR(__xludf.DUMMYFUNCTION("""COMPUTED_VALUE"""),46187.0)</f>
        <v>46187</v>
      </c>
      <c r="C1372" s="130">
        <f>IFERROR(__xludf.DUMMYFUNCTION("""COMPUTED_VALUE"""),0.3571412037037037)</f>
        <v>0.3571412037</v>
      </c>
      <c r="D1372" s="122" t="str">
        <f>IFERROR(__xludf.DUMMYFUNCTION("""COMPUTED_VALUE"""),"LUXE")</f>
        <v>LUXE</v>
      </c>
      <c r="E1372" s="122" t="str">
        <f>IFERROR(__xludf.DUMMYFUNCTION("""COMPUTED_VALUE"""),"Luxury Locker")</f>
        <v>Luxury Locker</v>
      </c>
      <c r="F1372" s="122" t="str">
        <f>IFERROR(__xludf.DUMMYFUNCTION("""COMPUTED_VALUE"""),"Luxury Goods")</f>
        <v>Luxury Goods</v>
      </c>
    </row>
    <row r="1373">
      <c r="A1373" s="131">
        <f>IFERROR(__xludf.DUMMYFUNCTION("""COMPUTED_VALUE"""),46187.357141203705)</f>
        <v>46187.35714</v>
      </c>
      <c r="B1373" s="126">
        <f>IFERROR(__xludf.DUMMYFUNCTION("""COMPUTED_VALUE"""),46187.0)</f>
        <v>46187</v>
      </c>
      <c r="C1373" s="130">
        <f>IFERROR(__xludf.DUMMYFUNCTION("""COMPUTED_VALUE"""),0.3571412037037037)</f>
        <v>0.3571412037</v>
      </c>
      <c r="D1373" s="122" t="str">
        <f>IFERROR(__xludf.DUMMYFUNCTION("""COMPUTED_VALUE"""),"DRIP")</f>
        <v>DRIP</v>
      </c>
      <c r="E1373" s="122" t="str">
        <f>IFERROR(__xludf.DUMMYFUNCTION("""COMPUTED_VALUE"""),"Drip Streetwear")</f>
        <v>Drip Streetwear</v>
      </c>
      <c r="F1373" s="122" t="str">
        <f>IFERROR(__xludf.DUMMYFUNCTION("""COMPUTED_VALUE"""),"Fashion")</f>
        <v>Fashion</v>
      </c>
    </row>
    <row r="1374">
      <c r="A1374" s="131">
        <f>IFERROR(__xludf.DUMMYFUNCTION("""COMPUTED_VALUE"""),46187.357141203705)</f>
        <v>46187.35714</v>
      </c>
      <c r="B1374" s="126">
        <f>IFERROR(__xludf.DUMMYFUNCTION("""COMPUTED_VALUE"""),46187.0)</f>
        <v>46187</v>
      </c>
      <c r="C1374" s="130">
        <f>IFERROR(__xludf.DUMMYFUNCTION("""COMPUTED_VALUE"""),0.3571412037037037)</f>
        <v>0.3571412037</v>
      </c>
      <c r="D1374" s="122" t="str">
        <f>IFERROR(__xludf.DUMMYFUNCTION("""COMPUTED_VALUE"""),"KICK")</f>
        <v>KICK</v>
      </c>
      <c r="E1374" s="122" t="str">
        <f>IFERROR(__xludf.DUMMYFUNCTION("""COMPUTED_VALUE"""),"KickDrop Sneakers")</f>
        <v>KickDrop Sneakers</v>
      </c>
      <c r="F1374" s="122" t="str">
        <f>IFERROR(__xludf.DUMMYFUNCTION("""COMPUTED_VALUE"""),"Fashion")</f>
        <v>Fashion</v>
      </c>
    </row>
    <row r="1375">
      <c r="A1375" s="131">
        <f>IFERROR(__xludf.DUMMYFUNCTION("""COMPUTED_VALUE"""),46187.357141203705)</f>
        <v>46187.35714</v>
      </c>
      <c r="B1375" s="126">
        <f>IFERROR(__xludf.DUMMYFUNCTION("""COMPUTED_VALUE"""),46187.0)</f>
        <v>46187</v>
      </c>
      <c r="C1375" s="130">
        <f>IFERROR(__xludf.DUMMYFUNCTION("""COMPUTED_VALUE"""),0.3571412037037037)</f>
        <v>0.3571412037</v>
      </c>
      <c r="D1375" s="122" t="str">
        <f>IFERROR(__xludf.DUMMYFUNCTION("""COMPUTED_VALUE"""),"GLAM")</f>
        <v>GLAM</v>
      </c>
      <c r="E1375" s="122" t="str">
        <f>IFERROR(__xludf.DUMMYFUNCTION("""COMPUTED_VALUE"""),"Glow Cosmetics")</f>
        <v>Glow Cosmetics</v>
      </c>
      <c r="F1375" s="122" t="str">
        <f>IFERROR(__xludf.DUMMYFUNCTION("""COMPUTED_VALUE"""),"Fashion")</f>
        <v>Fashion</v>
      </c>
    </row>
    <row r="1376">
      <c r="A1376" s="131">
        <f>IFERROR(__xludf.DUMMYFUNCTION("""COMPUTED_VALUE"""),46187.357141203705)</f>
        <v>46187.35714</v>
      </c>
      <c r="B1376" s="126">
        <f>IFERROR(__xludf.DUMMYFUNCTION("""COMPUTED_VALUE"""),46187.0)</f>
        <v>46187</v>
      </c>
      <c r="C1376" s="130">
        <f>IFERROR(__xludf.DUMMYFUNCTION("""COMPUTED_VALUE"""),0.3571412037037037)</f>
        <v>0.3571412037</v>
      </c>
      <c r="D1376" s="122" t="str">
        <f>IFERROR(__xludf.DUMMYFUNCTION("""COMPUTED_VALUE"""),"BAGG")</f>
        <v>BAGG</v>
      </c>
      <c r="E1376" s="122" t="str">
        <f>IFERROR(__xludf.DUMMYFUNCTION("""COMPUTED_VALUE"""),"BagVault")</f>
        <v>BagVault</v>
      </c>
      <c r="F1376" s="122" t="str">
        <f>IFERROR(__xludf.DUMMYFUNCTION("""COMPUTED_VALUE"""),"Fashion")</f>
        <v>Fashion</v>
      </c>
    </row>
    <row r="1377">
      <c r="A1377" s="131">
        <f>IFERROR(__xludf.DUMMYFUNCTION("""COMPUTED_VALUE"""),46187.357141203705)</f>
        <v>46187.35714</v>
      </c>
      <c r="B1377" s="126">
        <f>IFERROR(__xludf.DUMMYFUNCTION("""COMPUTED_VALUE"""),46187.0)</f>
        <v>46187</v>
      </c>
      <c r="C1377" s="130">
        <f>IFERROR(__xludf.DUMMYFUNCTION("""COMPUTED_VALUE"""),0.3571412037037037)</f>
        <v>0.3571412037</v>
      </c>
      <c r="D1377" s="122" t="str">
        <f>IFERROR(__xludf.DUMMYFUNCTION("""COMPUTED_VALUE"""),"FAST")</f>
        <v>FAST</v>
      </c>
      <c r="E1377" s="122" t="str">
        <f>IFERROR(__xludf.DUMMYFUNCTION("""COMPUTED_VALUE"""),"Flash Logistics")</f>
        <v>Flash Logistics</v>
      </c>
      <c r="F1377" s="122" t="str">
        <f>IFERROR(__xludf.DUMMYFUNCTION("""COMPUTED_VALUE"""),"Logistics")</f>
        <v>Logistics</v>
      </c>
    </row>
    <row r="1378">
      <c r="A1378" s="131">
        <f>IFERROR(__xludf.DUMMYFUNCTION("""COMPUTED_VALUE"""),46187.357141203705)</f>
        <v>46187.35714</v>
      </c>
      <c r="B1378" s="126">
        <f>IFERROR(__xludf.DUMMYFUNCTION("""COMPUTED_VALUE"""),46187.0)</f>
        <v>46187</v>
      </c>
      <c r="C1378" s="130">
        <f>IFERROR(__xludf.DUMMYFUNCTION("""COMPUTED_VALUE"""),0.3571412037037037)</f>
        <v>0.3571412037</v>
      </c>
      <c r="D1378" s="122" t="str">
        <f>IFERROR(__xludf.DUMMYFUNCTION("""COMPUTED_VALUE"""),"SHIP")</f>
        <v>SHIP</v>
      </c>
      <c r="E1378" s="122" t="str">
        <f>IFERROR(__xludf.DUMMYFUNCTION("""COMPUTED_VALUE"""),"Seoul Shipping")</f>
        <v>Seoul Shipping</v>
      </c>
      <c r="F1378" s="122" t="str">
        <f>IFERROR(__xludf.DUMMYFUNCTION("""COMPUTED_VALUE"""),"Logistics")</f>
        <v>Logistics</v>
      </c>
    </row>
    <row r="1379">
      <c r="A1379" s="131">
        <f>IFERROR(__xludf.DUMMYFUNCTION("""COMPUTED_VALUE"""),46187.357141203705)</f>
        <v>46187.35714</v>
      </c>
      <c r="B1379" s="126">
        <f>IFERROR(__xludf.DUMMYFUNCTION("""COMPUTED_VALUE"""),46187.0)</f>
        <v>46187</v>
      </c>
      <c r="C1379" s="130">
        <f>IFERROR(__xludf.DUMMYFUNCTION("""COMPUTED_VALUE"""),0.3571412037037037)</f>
        <v>0.3571412037</v>
      </c>
      <c r="D1379" s="122" t="str">
        <f>IFERROR(__xludf.DUMMYFUNCTION("""COMPUTED_VALUE"""),"DRON")</f>
        <v>DRON</v>
      </c>
      <c r="E1379" s="122" t="str">
        <f>IFERROR(__xludf.DUMMYFUNCTION("""COMPUTED_VALUE"""),"DroneDrop")</f>
        <v>DroneDrop</v>
      </c>
      <c r="F1379" s="122" t="str">
        <f>IFERROR(__xludf.DUMMYFUNCTION("""COMPUTED_VALUE"""),"Logistics")</f>
        <v>Logistics</v>
      </c>
    </row>
    <row r="1380">
      <c r="A1380" s="131">
        <f>IFERROR(__xludf.DUMMYFUNCTION("""COMPUTED_VALUE"""),46187.357141203705)</f>
        <v>46187.35714</v>
      </c>
      <c r="B1380" s="126">
        <f>IFERROR(__xludf.DUMMYFUNCTION("""COMPUTED_VALUE"""),46187.0)</f>
        <v>46187</v>
      </c>
      <c r="C1380" s="130">
        <f>IFERROR(__xludf.DUMMYFUNCTION("""COMPUTED_VALUE"""),0.3571412037037037)</f>
        <v>0.3571412037</v>
      </c>
      <c r="D1380" s="122" t="str">
        <f>IFERROR(__xludf.DUMMYFUNCTION("""COMPUTED_VALUE"""),"RIDE")</f>
        <v>RIDE</v>
      </c>
      <c r="E1380" s="122" t="str">
        <f>IFERROR(__xludf.DUMMYFUNCTION("""COMPUTED_VALUE"""),"QuickRide")</f>
        <v>QuickRide</v>
      </c>
      <c r="F1380" s="122" t="str">
        <f>IFERROR(__xludf.DUMMYFUNCTION("""COMPUTED_VALUE"""),"Transportation")</f>
        <v>Transportation</v>
      </c>
    </row>
    <row r="1381">
      <c r="A1381" s="131">
        <f>IFERROR(__xludf.DUMMYFUNCTION("""COMPUTED_VALUE"""),46187.357141203705)</f>
        <v>46187.35714</v>
      </c>
      <c r="B1381" s="126">
        <f>IFERROR(__xludf.DUMMYFUNCTION("""COMPUTED_VALUE"""),46187.0)</f>
        <v>46187</v>
      </c>
      <c r="C1381" s="130">
        <f>IFERROR(__xludf.DUMMYFUNCTION("""COMPUTED_VALUE"""),0.3571412037037037)</f>
        <v>0.3571412037</v>
      </c>
      <c r="D1381" s="122" t="str">
        <f>IFERROR(__xludf.DUMMYFUNCTION("""COMPUTED_VALUE"""),"RAIL")</f>
        <v>RAIL</v>
      </c>
      <c r="E1381" s="122" t="str">
        <f>IFERROR(__xludf.DUMMYFUNCTION("""COMPUTED_VALUE"""),"MetroRail Corp")</f>
        <v>MetroRail Corp</v>
      </c>
      <c r="F1381" s="122" t="str">
        <f>IFERROR(__xludf.DUMMYFUNCTION("""COMPUTED_VALUE"""),"Transportation")</f>
        <v>Transportation</v>
      </c>
    </row>
    <row r="1382">
      <c r="A1382" s="131">
        <f>IFERROR(__xludf.DUMMYFUNCTION("""COMPUTED_VALUE"""),46187.357141203705)</f>
        <v>46187.35714</v>
      </c>
      <c r="B1382" s="126">
        <f>IFERROR(__xludf.DUMMYFUNCTION("""COMPUTED_VALUE"""),46187.0)</f>
        <v>46187</v>
      </c>
      <c r="C1382" s="130">
        <f>IFERROR(__xludf.DUMMYFUNCTION("""COMPUTED_VALUE"""),0.3571412037037037)</f>
        <v>0.3571412037</v>
      </c>
      <c r="D1382" s="122" t="str">
        <f>IFERROR(__xludf.DUMMYFUNCTION("""COMPUTED_VALUE"""),"MEDX")</f>
        <v>MEDX</v>
      </c>
      <c r="E1382" s="122" t="str">
        <f>IFERROR(__xludf.DUMMYFUNCTION("""COMPUTED_VALUE"""),"MediCore")</f>
        <v>MediCore</v>
      </c>
      <c r="F1382" s="122" t="str">
        <f>IFERROR(__xludf.DUMMYFUNCTION("""COMPUTED_VALUE"""),"Healthcare")</f>
        <v>Healthcare</v>
      </c>
    </row>
    <row r="1383">
      <c r="A1383" s="131">
        <f>IFERROR(__xludf.DUMMYFUNCTION("""COMPUTED_VALUE"""),46187.357141203705)</f>
        <v>46187.35714</v>
      </c>
      <c r="B1383" s="126">
        <f>IFERROR(__xludf.DUMMYFUNCTION("""COMPUTED_VALUE"""),46187.0)</f>
        <v>46187</v>
      </c>
      <c r="C1383" s="130">
        <f>IFERROR(__xludf.DUMMYFUNCTION("""COMPUTED_VALUE"""),0.3571412037037037)</f>
        <v>0.3571412037</v>
      </c>
      <c r="D1383" s="122" t="str">
        <f>IFERROR(__xludf.DUMMYFUNCTION("""COMPUTED_VALUE"""),"GYMX")</f>
        <v>GYMX</v>
      </c>
      <c r="E1383" s="122" t="str">
        <f>IFERROR(__xludf.DUMMYFUNCTION("""COMPUTED_VALUE"""),"GymX Fitness")</f>
        <v>GymX Fitness</v>
      </c>
      <c r="F1383" s="122" t="str">
        <f>IFERROR(__xludf.DUMMYFUNCTION("""COMPUTED_VALUE"""),"Healthcare")</f>
        <v>Healthcare</v>
      </c>
    </row>
    <row r="1384">
      <c r="A1384" s="131">
        <f>IFERROR(__xludf.DUMMYFUNCTION("""COMPUTED_VALUE"""),46187.357141203705)</f>
        <v>46187.35714</v>
      </c>
      <c r="B1384" s="126">
        <f>IFERROR(__xludf.DUMMYFUNCTION("""COMPUTED_VALUE"""),46187.0)</f>
        <v>46187</v>
      </c>
      <c r="C1384" s="130">
        <f>IFERROR(__xludf.DUMMYFUNCTION("""COMPUTED_VALUE"""),0.3571412037037037)</f>
        <v>0.3571412037</v>
      </c>
      <c r="D1384" s="122" t="str">
        <f>IFERROR(__xludf.DUMMYFUNCTION("""COMPUTED_VALUE"""),"VITA")</f>
        <v>VITA</v>
      </c>
      <c r="E1384" s="122" t="str">
        <f>IFERROR(__xludf.DUMMYFUNCTION("""COMPUTED_VALUE"""),"VitaPlus")</f>
        <v>VitaPlus</v>
      </c>
      <c r="F1384" s="122" t="str">
        <f>IFERROR(__xludf.DUMMYFUNCTION("""COMPUTED_VALUE"""),"Healthcare")</f>
        <v>Healthcare</v>
      </c>
    </row>
    <row r="1385">
      <c r="A1385" s="131">
        <f>IFERROR(__xludf.DUMMYFUNCTION("""COMPUTED_VALUE"""),46187.357141203705)</f>
        <v>46187.35714</v>
      </c>
      <c r="B1385" s="126">
        <f>IFERROR(__xludf.DUMMYFUNCTION("""COMPUTED_VALUE"""),46187.0)</f>
        <v>46187</v>
      </c>
      <c r="C1385" s="130">
        <f>IFERROR(__xludf.DUMMYFUNCTION("""COMPUTED_VALUE"""),0.3571412037037037)</f>
        <v>0.3571412037</v>
      </c>
      <c r="D1385" s="122" t="str">
        <f>IFERROR(__xludf.DUMMYFUNCTION("""COMPUTED_VALUE"""),"CARE")</f>
        <v>CARE</v>
      </c>
      <c r="E1385" s="122" t="str">
        <f>IFERROR(__xludf.DUMMYFUNCTION("""COMPUTED_VALUE"""),"CareCloud")</f>
        <v>CareCloud</v>
      </c>
      <c r="F1385" s="122" t="str">
        <f>IFERROR(__xludf.DUMMYFUNCTION("""COMPUTED_VALUE"""),"Healthcare")</f>
        <v>Healthcare</v>
      </c>
    </row>
    <row r="1386">
      <c r="A1386" s="131">
        <f>IFERROR(__xludf.DUMMYFUNCTION("""COMPUTED_VALUE"""),46187.357141203705)</f>
        <v>46187.35714</v>
      </c>
      <c r="B1386" s="126">
        <f>IFERROR(__xludf.DUMMYFUNCTION("""COMPUTED_VALUE"""),46187.0)</f>
        <v>46187</v>
      </c>
      <c r="C1386" s="130">
        <f>IFERROR(__xludf.DUMMYFUNCTION("""COMPUTED_VALUE"""),0.3571412037037037)</f>
        <v>0.3571412037</v>
      </c>
      <c r="D1386" s="122" t="str">
        <f>IFERROR(__xludf.DUMMYFUNCTION("""COMPUTED_VALUE"""),"DENT")</f>
        <v>DENT</v>
      </c>
      <c r="E1386" s="122" t="str">
        <f>IFERROR(__xludf.DUMMYFUNCTION("""COMPUTED_VALUE"""),"SmileWorks")</f>
        <v>SmileWorks</v>
      </c>
      <c r="F1386" s="122" t="str">
        <f>IFERROR(__xludf.DUMMYFUNCTION("""COMPUTED_VALUE"""),"Healthcare")</f>
        <v>Healthcare</v>
      </c>
    </row>
    <row r="1387">
      <c r="A1387" s="131">
        <f>IFERROR(__xludf.DUMMYFUNCTION("""COMPUTED_VALUE"""),46187.357141203705)</f>
        <v>46187.35714</v>
      </c>
      <c r="B1387" s="126">
        <f>IFERROR(__xludf.DUMMYFUNCTION("""COMPUTED_VALUE"""),46187.0)</f>
        <v>46187</v>
      </c>
      <c r="C1387" s="130">
        <f>IFERROR(__xludf.DUMMYFUNCTION("""COMPUTED_VALUE"""),0.3571412037037037)</f>
        <v>0.3571412037</v>
      </c>
      <c r="D1387" s="122" t="str">
        <f>IFERROR(__xludf.DUMMYFUNCTION("""COMPUTED_VALUE"""),"EDUX")</f>
        <v>EDUX</v>
      </c>
      <c r="E1387" s="122" t="str">
        <f>IFERROR(__xludf.DUMMYFUNCTION("""COMPUTED_VALUE"""),"EduMax Learning")</f>
        <v>EduMax Learning</v>
      </c>
      <c r="F1387" s="122" t="str">
        <f>IFERROR(__xludf.DUMMYFUNCTION("""COMPUTED_VALUE"""),"Education")</f>
        <v>Education</v>
      </c>
    </row>
    <row r="1388">
      <c r="A1388" s="131">
        <f>IFERROR(__xludf.DUMMYFUNCTION("""COMPUTED_VALUE"""),46187.357141203705)</f>
        <v>46187.35714</v>
      </c>
      <c r="B1388" s="126">
        <f>IFERROR(__xludf.DUMMYFUNCTION("""COMPUTED_VALUE"""),46187.0)</f>
        <v>46187</v>
      </c>
      <c r="C1388" s="130">
        <f>IFERROR(__xludf.DUMMYFUNCTION("""COMPUTED_VALUE"""),0.3571412037037037)</f>
        <v>0.3571412037</v>
      </c>
      <c r="D1388" s="122" t="str">
        <f>IFERROR(__xludf.DUMMYFUNCTION("""COMPUTED_VALUE"""),"BOOK")</f>
        <v>BOOK</v>
      </c>
      <c r="E1388" s="122" t="str">
        <f>IFERROR(__xludf.DUMMYFUNCTION("""COMPUTED_VALUE"""),"BookBridge")</f>
        <v>BookBridge</v>
      </c>
      <c r="F1388" s="122" t="str">
        <f>IFERROR(__xludf.DUMMYFUNCTION("""COMPUTED_VALUE"""),"Education")</f>
        <v>Education</v>
      </c>
    </row>
    <row r="1389">
      <c r="A1389" s="131">
        <f>IFERROR(__xludf.DUMMYFUNCTION("""COMPUTED_VALUE"""),46187.357141203705)</f>
        <v>46187.35714</v>
      </c>
      <c r="B1389" s="126">
        <f>IFERROR(__xludf.DUMMYFUNCTION("""COMPUTED_VALUE"""),46187.0)</f>
        <v>46187</v>
      </c>
      <c r="C1389" s="130">
        <f>IFERROR(__xludf.DUMMYFUNCTION("""COMPUTED_VALUE"""),0.3571412037037037)</f>
        <v>0.3571412037</v>
      </c>
      <c r="D1389" s="122" t="str">
        <f>IFERROR(__xludf.DUMMYFUNCTION("""COMPUTED_VALUE"""),"TUTR")</f>
        <v>TUTR</v>
      </c>
      <c r="E1389" s="122" t="str">
        <f>IFERROR(__xludf.DUMMYFUNCTION("""COMPUTED_VALUE"""),"TutorTown")</f>
        <v>TutorTown</v>
      </c>
      <c r="F1389" s="122" t="str">
        <f>IFERROR(__xludf.DUMMYFUNCTION("""COMPUTED_VALUE"""),"Education")</f>
        <v>Education</v>
      </c>
    </row>
    <row r="1390">
      <c r="A1390" s="131">
        <f>IFERROR(__xludf.DUMMYFUNCTION("""COMPUTED_VALUE"""),46187.357141203705)</f>
        <v>46187.35714</v>
      </c>
      <c r="B1390" s="126">
        <f>IFERROR(__xludf.DUMMYFUNCTION("""COMPUTED_VALUE"""),46187.0)</f>
        <v>46187</v>
      </c>
      <c r="C1390" s="130">
        <f>IFERROR(__xludf.DUMMYFUNCTION("""COMPUTED_VALUE"""),0.3571412037037037)</f>
        <v>0.3571412037</v>
      </c>
      <c r="D1390" s="122" t="str">
        <f>IFERROR(__xludf.DUMMYFUNCTION("""COMPUTED_VALUE"""),"LANG")</f>
        <v>LANG</v>
      </c>
      <c r="E1390" s="122" t="str">
        <f>IFERROR(__xludf.DUMMYFUNCTION("""COMPUTED_VALUE"""),"LinguaLab")</f>
        <v>LinguaLab</v>
      </c>
      <c r="F1390" s="122" t="str">
        <f>IFERROR(__xludf.DUMMYFUNCTION("""COMPUTED_VALUE"""),"Education")</f>
        <v>Education</v>
      </c>
    </row>
    <row r="1391">
      <c r="A1391" s="131">
        <f>IFERROR(__xludf.DUMMYFUNCTION("""COMPUTED_VALUE"""),46187.357141203705)</f>
        <v>46187.35714</v>
      </c>
      <c r="B1391" s="126">
        <f>IFERROR(__xludf.DUMMYFUNCTION("""COMPUTED_VALUE"""),46187.0)</f>
        <v>46187</v>
      </c>
      <c r="C1391" s="130">
        <f>IFERROR(__xludf.DUMMYFUNCTION("""COMPUTED_VALUE"""),0.3571412037037037)</f>
        <v>0.3571412037</v>
      </c>
      <c r="D1391" s="122" t="str">
        <f>IFERROR(__xludf.DUMMYFUNCTION("""COMPUTED_VALUE"""),"TEST")</f>
        <v>TEST</v>
      </c>
      <c r="E1391" s="122" t="str">
        <f>IFERROR(__xludf.DUMMYFUNCTION("""COMPUTED_VALUE"""),"TestPrep Pro")</f>
        <v>TestPrep Pro</v>
      </c>
      <c r="F1391" s="122" t="str">
        <f>IFERROR(__xludf.DUMMYFUNCTION("""COMPUTED_VALUE"""),"Education")</f>
        <v>Education</v>
      </c>
    </row>
    <row r="1392">
      <c r="A1392" s="131">
        <f>IFERROR(__xludf.DUMMYFUNCTION("""COMPUTED_VALUE"""),46187.357141203705)</f>
        <v>46187.35714</v>
      </c>
      <c r="B1392" s="126">
        <f>IFERROR(__xludf.DUMMYFUNCTION("""COMPUTED_VALUE"""),46187.0)</f>
        <v>46187</v>
      </c>
      <c r="C1392" s="130">
        <f>IFERROR(__xludf.DUMMYFUNCTION("""COMPUTED_VALUE"""),0.3571412037037037)</f>
        <v>0.3571412037</v>
      </c>
      <c r="D1392" s="122" t="str">
        <f>IFERROR(__xludf.DUMMYFUNCTION("""COMPUTED_VALUE"""),"MOVI")</f>
        <v>MOVI</v>
      </c>
      <c r="E1392" s="122" t="str">
        <f>IFERROR(__xludf.DUMMYFUNCTION("""COMPUTED_VALUE"""),"MovieBox")</f>
        <v>MovieBox</v>
      </c>
      <c r="F1392" s="122" t="str">
        <f>IFERROR(__xludf.DUMMYFUNCTION("""COMPUTED_VALUE"""),"Entertainment")</f>
        <v>Entertainment</v>
      </c>
    </row>
    <row r="1393">
      <c r="A1393" s="131">
        <f>IFERROR(__xludf.DUMMYFUNCTION("""COMPUTED_VALUE"""),46187.357141203705)</f>
        <v>46187.35714</v>
      </c>
      <c r="B1393" s="126">
        <f>IFERROR(__xludf.DUMMYFUNCTION("""COMPUTED_VALUE"""),46187.0)</f>
        <v>46187</v>
      </c>
      <c r="C1393" s="130">
        <f>IFERROR(__xludf.DUMMYFUNCTION("""COMPUTED_VALUE"""),0.3571412037037037)</f>
        <v>0.3571412037</v>
      </c>
      <c r="D1393" s="122" t="str">
        <f>IFERROR(__xludf.DUMMYFUNCTION("""COMPUTED_VALUE"""),"MUSC")</f>
        <v>MUSC</v>
      </c>
      <c r="E1393" s="122" t="str">
        <f>IFERROR(__xludf.DUMMYFUNCTION("""COMPUTED_VALUE"""),"MusicWave")</f>
        <v>MusicWave</v>
      </c>
      <c r="F1393" s="122" t="str">
        <f>IFERROR(__xludf.DUMMYFUNCTION("""COMPUTED_VALUE"""),"Entertainment")</f>
        <v>Entertainment</v>
      </c>
    </row>
    <row r="1394">
      <c r="A1394" s="131">
        <f>IFERROR(__xludf.DUMMYFUNCTION("""COMPUTED_VALUE"""),46187.357141203705)</f>
        <v>46187.35714</v>
      </c>
      <c r="B1394" s="126">
        <f>IFERROR(__xludf.DUMMYFUNCTION("""COMPUTED_VALUE"""),46187.0)</f>
        <v>46187</v>
      </c>
      <c r="C1394" s="130">
        <f>IFERROR(__xludf.DUMMYFUNCTION("""COMPUTED_VALUE"""),0.3571412037037037)</f>
        <v>0.3571412037</v>
      </c>
      <c r="D1394" s="122" t="str">
        <f>IFERROR(__xludf.DUMMYFUNCTION("""COMPUTED_VALUE"""),"IDOL")</f>
        <v>IDOL</v>
      </c>
      <c r="E1394" s="122" t="str">
        <f>IFERROR(__xludf.DUMMYFUNCTION("""COMPUTED_VALUE"""),"Idol Agency")</f>
        <v>Idol Agency</v>
      </c>
      <c r="F1394" s="122" t="str">
        <f>IFERROR(__xludf.DUMMYFUNCTION("""COMPUTED_VALUE"""),"Entertainment")</f>
        <v>Entertainment</v>
      </c>
    </row>
    <row r="1395">
      <c r="A1395" s="131">
        <f>IFERROR(__xludf.DUMMYFUNCTION("""COMPUTED_VALUE"""),46187.357141203705)</f>
        <v>46187.35714</v>
      </c>
      <c r="B1395" s="126">
        <f>IFERROR(__xludf.DUMMYFUNCTION("""COMPUTED_VALUE"""),46187.0)</f>
        <v>46187</v>
      </c>
      <c r="C1395" s="130">
        <f>IFERROR(__xludf.DUMMYFUNCTION("""COMPUTED_VALUE"""),0.3571412037037037)</f>
        <v>0.3571412037</v>
      </c>
      <c r="D1395" s="122" t="str">
        <f>IFERROR(__xludf.DUMMYFUNCTION("""COMPUTED_VALUE"""),"MEME")</f>
        <v>MEME</v>
      </c>
      <c r="E1395" s="122" t="str">
        <f>IFERROR(__xludf.DUMMYFUNCTION("""COMPUTED_VALUE"""),"Meme Media")</f>
        <v>Meme Media</v>
      </c>
      <c r="F1395" s="122" t="str">
        <f>IFERROR(__xludf.DUMMYFUNCTION("""COMPUTED_VALUE"""),"Entertainment")</f>
        <v>Entertainment</v>
      </c>
    </row>
    <row r="1396">
      <c r="A1396" s="131">
        <f>IFERROR(__xludf.DUMMYFUNCTION("""COMPUTED_VALUE"""),46187.357141203705)</f>
        <v>46187.35714</v>
      </c>
      <c r="B1396" s="126">
        <f>IFERROR(__xludf.DUMMYFUNCTION("""COMPUTED_VALUE"""),46187.0)</f>
        <v>46187</v>
      </c>
      <c r="C1396" s="130">
        <f>IFERROR(__xludf.DUMMYFUNCTION("""COMPUTED_VALUE"""),0.3571412037037037)</f>
        <v>0.3571412037</v>
      </c>
      <c r="D1396" s="122" t="str">
        <f>IFERROR(__xludf.DUMMYFUNCTION("""COMPUTED_VALUE"""),"STRM")</f>
        <v>STRM</v>
      </c>
      <c r="E1396" s="122" t="str">
        <f>IFERROR(__xludf.DUMMYFUNCTION("""COMPUTED_VALUE"""),"Streamly")</f>
        <v>Streamly</v>
      </c>
      <c r="F1396" s="122" t="str">
        <f>IFERROR(__xludf.DUMMYFUNCTION("""COMPUTED_VALUE"""),"Entertainment")</f>
        <v>Entertainment</v>
      </c>
    </row>
    <row r="1397">
      <c r="A1397" s="131">
        <f>IFERROR(__xludf.DUMMYFUNCTION("""COMPUTED_VALUE"""),46187.357141203705)</f>
        <v>46187.35714</v>
      </c>
      <c r="B1397" s="126">
        <f>IFERROR(__xludf.DUMMYFUNCTION("""COMPUTED_VALUE"""),46187.0)</f>
        <v>46187</v>
      </c>
      <c r="C1397" s="130">
        <f>IFERROR(__xludf.DUMMYFUNCTION("""COMPUTED_VALUE"""),0.3571412037037037)</f>
        <v>0.3571412037</v>
      </c>
      <c r="D1397" s="122" t="str">
        <f>IFERROR(__xludf.DUMMYFUNCTION("""COMPUTED_VALUE"""),"FARM")</f>
        <v>FARM</v>
      </c>
      <c r="E1397" s="122" t="str">
        <f>IFERROR(__xludf.DUMMYFUNCTION("""COMPUTED_VALUE"""),"Future Farms")</f>
        <v>Future Farms</v>
      </c>
      <c r="F1397" s="122" t="str">
        <f>IFERROR(__xludf.DUMMYFUNCTION("""COMPUTED_VALUE"""),"Agriculture")</f>
        <v>Agriculture</v>
      </c>
    </row>
    <row r="1398">
      <c r="A1398" s="131">
        <f>IFERROR(__xludf.DUMMYFUNCTION("""COMPUTED_VALUE"""),46187.357141203705)</f>
        <v>46187.35714</v>
      </c>
      <c r="B1398" s="126">
        <f>IFERROR(__xludf.DUMMYFUNCTION("""COMPUTED_VALUE"""),46187.0)</f>
        <v>46187</v>
      </c>
      <c r="C1398" s="130">
        <f>IFERROR(__xludf.DUMMYFUNCTION("""COMPUTED_VALUE"""),0.3571412037037037)</f>
        <v>0.3571412037</v>
      </c>
      <c r="D1398" s="122" t="str">
        <f>IFERROR(__xludf.DUMMYFUNCTION("""COMPUTED_VALUE"""),"MEAT")</f>
        <v>MEAT</v>
      </c>
      <c r="E1398" s="122" t="str">
        <f>IFERROR(__xludf.DUMMYFUNCTION("""COMPUTED_VALUE"""),"MeatWorks")</f>
        <v>MeatWorks</v>
      </c>
      <c r="F1398" s="122" t="str">
        <f>IFERROR(__xludf.DUMMYFUNCTION("""COMPUTED_VALUE"""),"Food")</f>
        <v>Food</v>
      </c>
    </row>
    <row r="1399">
      <c r="A1399" s="131">
        <f>IFERROR(__xludf.DUMMYFUNCTION("""COMPUTED_VALUE"""),46187.357141203705)</f>
        <v>46187.35714</v>
      </c>
      <c r="B1399" s="126">
        <f>IFERROR(__xludf.DUMMYFUNCTION("""COMPUTED_VALUE"""),46187.0)</f>
        <v>46187</v>
      </c>
      <c r="C1399" s="130">
        <f>IFERROR(__xludf.DUMMYFUNCTION("""COMPUTED_VALUE"""),0.3571412037037037)</f>
        <v>0.3571412037</v>
      </c>
      <c r="D1399" s="122" t="str">
        <f>IFERROR(__xludf.DUMMYFUNCTION("""COMPUTED_VALUE"""),"VEGI")</f>
        <v>VEGI</v>
      </c>
      <c r="E1399" s="122" t="str">
        <f>IFERROR(__xludf.DUMMYFUNCTION("""COMPUTED_VALUE"""),"Green Basket")</f>
        <v>Green Basket</v>
      </c>
      <c r="F1399" s="122" t="str">
        <f>IFERROR(__xludf.DUMMYFUNCTION("""COMPUTED_VALUE"""),"Food")</f>
        <v>Food</v>
      </c>
    </row>
    <row r="1400">
      <c r="A1400" s="131">
        <f>IFERROR(__xludf.DUMMYFUNCTION("""COMPUTED_VALUE"""),46187.357141203705)</f>
        <v>46187.35714</v>
      </c>
      <c r="B1400" s="126">
        <f>IFERROR(__xludf.DUMMYFUNCTION("""COMPUTED_VALUE"""),46187.0)</f>
        <v>46187</v>
      </c>
      <c r="C1400" s="130">
        <f>IFERROR(__xludf.DUMMYFUNCTION("""COMPUTED_VALUE"""),0.3571412037037037)</f>
        <v>0.3571412037</v>
      </c>
      <c r="D1400" s="122" t="str">
        <f>IFERROR(__xludf.DUMMYFUNCTION("""COMPUTED_VALUE"""),"CAFE")</f>
        <v>CAFE</v>
      </c>
      <c r="E1400" s="122" t="str">
        <f>IFERROR(__xludf.DUMMYFUNCTION("""COMPUTED_VALUE"""),"Cafe Cloud")</f>
        <v>Cafe Cloud</v>
      </c>
      <c r="F1400" s="122" t="str">
        <f>IFERROR(__xludf.DUMMYFUNCTION("""COMPUTED_VALUE"""),"Food")</f>
        <v>Food</v>
      </c>
    </row>
    <row r="1401">
      <c r="A1401" s="131">
        <f>IFERROR(__xludf.DUMMYFUNCTION("""COMPUTED_VALUE"""),46187.357141203705)</f>
        <v>46187.35714</v>
      </c>
      <c r="B1401" s="126">
        <f>IFERROR(__xludf.DUMMYFUNCTION("""COMPUTED_VALUE"""),46187.0)</f>
        <v>46187</v>
      </c>
      <c r="C1401" s="130">
        <f>IFERROR(__xludf.DUMMYFUNCTION("""COMPUTED_VALUE"""),0.3571412037037037)</f>
        <v>0.3571412037</v>
      </c>
      <c r="D1401" s="122" t="str">
        <f>IFERROR(__xludf.DUMMYFUNCTION("""COMPUTED_VALUE"""),"BAKE")</f>
        <v>BAKE</v>
      </c>
      <c r="E1401" s="122" t="str">
        <f>IFERROR(__xludf.DUMMYFUNCTION("""COMPUTED_VALUE"""),"BakeHouse")</f>
        <v>BakeHouse</v>
      </c>
      <c r="F1401" s="122" t="str">
        <f>IFERROR(__xludf.DUMMYFUNCTION("""COMPUTED_VALUE"""),"Food")</f>
        <v>Food</v>
      </c>
    </row>
    <row r="1402">
      <c r="A1402" s="131">
        <f>IFERROR(__xludf.DUMMYFUNCTION("""COMPUTED_VALUE"""),46187.357141203705)</f>
        <v>46187.35714</v>
      </c>
      <c r="B1402" s="126">
        <f>IFERROR(__xludf.DUMMYFUNCTION("""COMPUTED_VALUE"""),46187.0)</f>
        <v>46187</v>
      </c>
      <c r="C1402" s="130">
        <f>IFERROR(__xludf.DUMMYFUNCTION("""COMPUTED_VALUE"""),0.3571412037037037)</f>
        <v>0.3571412037</v>
      </c>
      <c r="D1402" s="122" t="str">
        <f>IFERROR(__xludf.DUMMYFUNCTION("""COMPUTED_VALUE"""),"OILX")</f>
        <v>OILX</v>
      </c>
      <c r="E1402" s="122" t="str">
        <f>IFERROR(__xludf.DUMMYFUNCTION("""COMPUTED_VALUE"""),"OilMax Energy")</f>
        <v>OilMax Energy</v>
      </c>
      <c r="F1402" s="122" t="str">
        <f>IFERROR(__xludf.DUMMYFUNCTION("""COMPUTED_VALUE"""),"Energy")</f>
        <v>Energy</v>
      </c>
    </row>
    <row r="1403">
      <c r="A1403" s="131">
        <f>IFERROR(__xludf.DUMMYFUNCTION("""COMPUTED_VALUE"""),46187.357141203705)</f>
        <v>46187.35714</v>
      </c>
      <c r="B1403" s="126">
        <f>IFERROR(__xludf.DUMMYFUNCTION("""COMPUTED_VALUE"""),46187.0)</f>
        <v>46187</v>
      </c>
      <c r="C1403" s="130">
        <f>IFERROR(__xludf.DUMMYFUNCTION("""COMPUTED_VALUE"""),0.3571412037037037)</f>
        <v>0.3571412037</v>
      </c>
      <c r="D1403" s="122" t="str">
        <f>IFERROR(__xludf.DUMMYFUNCTION("""COMPUTED_VALUE"""),"SOLR")</f>
        <v>SOLR</v>
      </c>
      <c r="E1403" s="122" t="str">
        <f>IFERROR(__xludf.DUMMYFUNCTION("""COMPUTED_VALUE"""),"SolarSpark")</f>
        <v>SolarSpark</v>
      </c>
      <c r="F1403" s="122" t="str">
        <f>IFERROR(__xludf.DUMMYFUNCTION("""COMPUTED_VALUE"""),"Energy")</f>
        <v>Energy</v>
      </c>
    </row>
    <row r="1404">
      <c r="A1404" s="131">
        <f>IFERROR(__xludf.DUMMYFUNCTION("""COMPUTED_VALUE"""),46187.357141203705)</f>
        <v>46187.35714</v>
      </c>
      <c r="B1404" s="126">
        <f>IFERROR(__xludf.DUMMYFUNCTION("""COMPUTED_VALUE"""),46187.0)</f>
        <v>46187</v>
      </c>
      <c r="C1404" s="130">
        <f>IFERROR(__xludf.DUMMYFUNCTION("""COMPUTED_VALUE"""),0.3571412037037037)</f>
        <v>0.3571412037</v>
      </c>
      <c r="D1404" s="122" t="str">
        <f>IFERROR(__xludf.DUMMYFUNCTION("""COMPUTED_VALUE"""),"BATT")</f>
        <v>BATT</v>
      </c>
      <c r="E1404" s="122" t="str">
        <f>IFERROR(__xludf.DUMMYFUNCTION("""COMPUTED_VALUE"""),"BatteryBox")</f>
        <v>BatteryBox</v>
      </c>
      <c r="F1404" s="122" t="str">
        <f>IFERROR(__xludf.DUMMYFUNCTION("""COMPUTED_VALUE"""),"Energy")</f>
        <v>Energy</v>
      </c>
    </row>
    <row r="1405">
      <c r="A1405" s="131">
        <f>IFERROR(__xludf.DUMMYFUNCTION("""COMPUTED_VALUE"""),46187.357141203705)</f>
        <v>46187.35714</v>
      </c>
      <c r="B1405" s="126">
        <f>IFERROR(__xludf.DUMMYFUNCTION("""COMPUTED_VALUE"""),46187.0)</f>
        <v>46187</v>
      </c>
      <c r="C1405" s="130">
        <f>IFERROR(__xludf.DUMMYFUNCTION("""COMPUTED_VALUE"""),0.3571412037037037)</f>
        <v>0.3571412037</v>
      </c>
      <c r="D1405" s="122" t="str">
        <f>IFERROR(__xludf.DUMMYFUNCTION("""COMPUTED_VALUE"""),"WIND")</f>
        <v>WIND</v>
      </c>
      <c r="E1405" s="122" t="str">
        <f>IFERROR(__xludf.DUMMYFUNCTION("""COMPUTED_VALUE"""),"WindWorks")</f>
        <v>WindWorks</v>
      </c>
      <c r="F1405" s="122" t="str">
        <f>IFERROR(__xludf.DUMMYFUNCTION("""COMPUTED_VALUE"""),"Energy")</f>
        <v>Energy</v>
      </c>
    </row>
    <row r="1406">
      <c r="A1406" s="131">
        <f>IFERROR(__xludf.DUMMYFUNCTION("""COMPUTED_VALUE"""),46187.357141203705)</f>
        <v>46187.35714</v>
      </c>
      <c r="B1406" s="126">
        <f>IFERROR(__xludf.DUMMYFUNCTION("""COMPUTED_VALUE"""),46187.0)</f>
        <v>46187</v>
      </c>
      <c r="C1406" s="130">
        <f>IFERROR(__xludf.DUMMYFUNCTION("""COMPUTED_VALUE"""),0.3571412037037037)</f>
        <v>0.3571412037</v>
      </c>
      <c r="D1406" s="122" t="str">
        <f>IFERROR(__xludf.DUMMYFUNCTION("""COMPUTED_VALUE"""),"GRID")</f>
        <v>GRID</v>
      </c>
      <c r="E1406" s="122" t="str">
        <f>IFERROR(__xludf.DUMMYFUNCTION("""COMPUTED_VALUE"""),"GridPower")</f>
        <v>GridPower</v>
      </c>
      <c r="F1406" s="122" t="str">
        <f>IFERROR(__xludf.DUMMYFUNCTION("""COMPUTED_VALUE"""),"Energy")</f>
        <v>Energy</v>
      </c>
    </row>
    <row r="1407">
      <c r="A1407" s="131">
        <f>IFERROR(__xludf.DUMMYFUNCTION("""COMPUTED_VALUE"""),46187.357141203705)</f>
        <v>46187.35714</v>
      </c>
      <c r="B1407" s="126">
        <f>IFERROR(__xludf.DUMMYFUNCTION("""COMPUTED_VALUE"""),46187.0)</f>
        <v>46187</v>
      </c>
      <c r="C1407" s="130">
        <f>IFERROR(__xludf.DUMMYFUNCTION("""COMPUTED_VALUE"""),0.3571412037037037)</f>
        <v>0.3571412037</v>
      </c>
      <c r="D1407" s="122" t="str">
        <f>IFERROR(__xludf.DUMMYFUNCTION("""COMPUTED_VALUE"""),"HOME")</f>
        <v>HOME</v>
      </c>
      <c r="E1407" s="122" t="str">
        <f>IFERROR(__xludf.DUMMYFUNCTION("""COMPUTED_VALUE"""),"HomeHub")</f>
        <v>HomeHub</v>
      </c>
      <c r="F1407" s="122" t="str">
        <f>IFERROR(__xludf.DUMMYFUNCTION("""COMPUTED_VALUE"""),"Real Estate")</f>
        <v>Real Estate</v>
      </c>
    </row>
    <row r="1408">
      <c r="A1408" s="131">
        <f>IFERROR(__xludf.DUMMYFUNCTION("""COMPUTED_VALUE"""),46187.357141203705)</f>
        <v>46187.35714</v>
      </c>
      <c r="B1408" s="126">
        <f>IFERROR(__xludf.DUMMYFUNCTION("""COMPUTED_VALUE"""),46187.0)</f>
        <v>46187</v>
      </c>
      <c r="C1408" s="130">
        <f>IFERROR(__xludf.DUMMYFUNCTION("""COMPUTED_VALUE"""),0.3571412037037037)</f>
        <v>0.3571412037</v>
      </c>
      <c r="D1408" s="122" t="str">
        <f>IFERROR(__xludf.DUMMYFUNCTION("""COMPUTED_VALUE"""),"RENT")</f>
        <v>RENT</v>
      </c>
      <c r="E1408" s="122" t="str">
        <f>IFERROR(__xludf.DUMMYFUNCTION("""COMPUTED_VALUE"""),"RentRight")</f>
        <v>RentRight</v>
      </c>
      <c r="F1408" s="122" t="str">
        <f>IFERROR(__xludf.DUMMYFUNCTION("""COMPUTED_VALUE"""),"Real Estate")</f>
        <v>Real Estate</v>
      </c>
    </row>
    <row r="1409">
      <c r="A1409" s="131">
        <f>IFERROR(__xludf.DUMMYFUNCTION("""COMPUTED_VALUE"""),46187.357141203705)</f>
        <v>46187.35714</v>
      </c>
      <c r="B1409" s="126">
        <f>IFERROR(__xludf.DUMMYFUNCTION("""COMPUTED_VALUE"""),46187.0)</f>
        <v>46187</v>
      </c>
      <c r="C1409" s="130">
        <f>IFERROR(__xludf.DUMMYFUNCTION("""COMPUTED_VALUE"""),0.3571412037037037)</f>
        <v>0.3571412037</v>
      </c>
      <c r="D1409" s="122" t="str">
        <f>IFERROR(__xludf.DUMMYFUNCTION("""COMPUTED_VALUE"""),"MALL")</f>
        <v>MALL</v>
      </c>
      <c r="E1409" s="122" t="str">
        <f>IFERROR(__xludf.DUMMYFUNCTION("""COMPUTED_VALUE"""),"MegaMall")</f>
        <v>MegaMall</v>
      </c>
      <c r="F1409" s="122" t="str">
        <f>IFERROR(__xludf.DUMMYFUNCTION("""COMPUTED_VALUE"""),"Real Estate")</f>
        <v>Real Estate</v>
      </c>
    </row>
    <row r="1410">
      <c r="A1410" s="131">
        <f>IFERROR(__xludf.DUMMYFUNCTION("""COMPUTED_VALUE"""),46187.357141203705)</f>
        <v>46187.35714</v>
      </c>
      <c r="B1410" s="126">
        <f>IFERROR(__xludf.DUMMYFUNCTION("""COMPUTED_VALUE"""),46187.0)</f>
        <v>46187</v>
      </c>
      <c r="C1410" s="130">
        <f>IFERROR(__xludf.DUMMYFUNCTION("""COMPUTED_VALUE"""),0.3571412037037037)</f>
        <v>0.3571412037</v>
      </c>
      <c r="D1410" s="122" t="str">
        <f>IFERROR(__xludf.DUMMYFUNCTION("""COMPUTED_VALUE"""),"HOTL")</f>
        <v>HOTL</v>
      </c>
      <c r="E1410" s="122" t="str">
        <f>IFERROR(__xludf.DUMMYFUNCTION("""COMPUTED_VALUE"""),"HotelHive")</f>
        <v>HotelHive</v>
      </c>
      <c r="F1410" s="122" t="str">
        <f>IFERROR(__xludf.DUMMYFUNCTION("""COMPUTED_VALUE"""),"Real Estate")</f>
        <v>Real Estate</v>
      </c>
    </row>
    <row r="1411">
      <c r="A1411" s="131">
        <f>IFERROR(__xludf.DUMMYFUNCTION("""COMPUTED_VALUE"""),46187.357141203705)</f>
        <v>46187.35714</v>
      </c>
      <c r="B1411" s="126">
        <f>IFERROR(__xludf.DUMMYFUNCTION("""COMPUTED_VALUE"""),46187.0)</f>
        <v>46187</v>
      </c>
      <c r="C1411" s="130">
        <f>IFERROR(__xludf.DUMMYFUNCTION("""COMPUTED_VALUE"""),0.3571412037037037)</f>
        <v>0.3571412037</v>
      </c>
      <c r="D1411" s="122" t="str">
        <f>IFERROR(__xludf.DUMMYFUNCTION("""COMPUTED_VALUE"""),"LAND")</f>
        <v>LAND</v>
      </c>
      <c r="E1411" s="122" t="str">
        <f>IFERROR(__xludf.DUMMYFUNCTION("""COMPUTED_VALUE"""),"LandLink")</f>
        <v>LandLink</v>
      </c>
      <c r="F1411" s="122" t="str">
        <f>IFERROR(__xludf.DUMMYFUNCTION("""COMPUTED_VALUE"""),"Real Estate")</f>
        <v>Real Estate</v>
      </c>
    </row>
    <row r="1412">
      <c r="A1412" s="131">
        <f>IFERROR(__xludf.DUMMYFUNCTION("""COMPUTED_VALUE"""),46187.357141203705)</f>
        <v>46187.35714</v>
      </c>
      <c r="B1412" s="126">
        <f>IFERROR(__xludf.DUMMYFUNCTION("""COMPUTED_VALUE"""),46187.0)</f>
        <v>46187</v>
      </c>
      <c r="C1412" s="130">
        <f>IFERROR(__xludf.DUMMYFUNCTION("""COMPUTED_VALUE"""),0.3571412037037037)</f>
        <v>0.3571412037</v>
      </c>
      <c r="D1412" s="122" t="str">
        <f>IFERROR(__xludf.DUMMYFUNCTION("""COMPUTED_VALUE"""),"CARS")</f>
        <v>CARS</v>
      </c>
      <c r="E1412" s="122" t="str">
        <f>IFERROR(__xludf.DUMMYFUNCTION("""COMPUTED_VALUE"""),"AutoArena")</f>
        <v>AutoArena</v>
      </c>
      <c r="F1412" s="122" t="str">
        <f>IFERROR(__xludf.DUMMYFUNCTION("""COMPUTED_VALUE"""),"Automotive")</f>
        <v>Automotive</v>
      </c>
    </row>
    <row r="1413">
      <c r="A1413" s="131">
        <f>IFERROR(__xludf.DUMMYFUNCTION("""COMPUTED_VALUE"""),46187.357141203705)</f>
        <v>46187.35714</v>
      </c>
      <c r="B1413" s="126">
        <f>IFERROR(__xludf.DUMMYFUNCTION("""COMPUTED_VALUE"""),46187.0)</f>
        <v>46187</v>
      </c>
      <c r="C1413" s="130">
        <f>IFERROR(__xludf.DUMMYFUNCTION("""COMPUTED_VALUE"""),0.3571412037037037)</f>
        <v>0.3571412037</v>
      </c>
      <c r="D1413" s="122" t="str">
        <f>IFERROR(__xludf.DUMMYFUNCTION("""COMPUTED_VALUE"""),"EVGO")</f>
        <v>EVGO</v>
      </c>
      <c r="E1413" s="122" t="str">
        <f>IFERROR(__xludf.DUMMYFUNCTION("""COMPUTED_VALUE"""),"EVGo Motors")</f>
        <v>EVGo Motors</v>
      </c>
      <c r="F1413" s="122" t="str">
        <f>IFERROR(__xludf.DUMMYFUNCTION("""COMPUTED_VALUE"""),"Automotive")</f>
        <v>Automotive</v>
      </c>
    </row>
    <row r="1414">
      <c r="A1414" s="131">
        <f>IFERROR(__xludf.DUMMYFUNCTION("""COMPUTED_VALUE"""),46187.357141203705)</f>
        <v>46187.35714</v>
      </c>
      <c r="B1414" s="126">
        <f>IFERROR(__xludf.DUMMYFUNCTION("""COMPUTED_VALUE"""),46187.0)</f>
        <v>46187</v>
      </c>
      <c r="C1414" s="130">
        <f>IFERROR(__xludf.DUMMYFUNCTION("""COMPUTED_VALUE"""),0.3571412037037037)</f>
        <v>0.3571412037</v>
      </c>
      <c r="D1414" s="122" t="str">
        <f>IFERROR(__xludf.DUMMYFUNCTION("""COMPUTED_VALUE"""),"TIRE")</f>
        <v>TIRE</v>
      </c>
      <c r="E1414" s="122" t="str">
        <f>IFERROR(__xludf.DUMMYFUNCTION("""COMPUTED_VALUE"""),"TireTown")</f>
        <v>TireTown</v>
      </c>
      <c r="F1414" s="122" t="str">
        <f>IFERROR(__xludf.DUMMYFUNCTION("""COMPUTED_VALUE"""),"Automotive")</f>
        <v>Automotive</v>
      </c>
    </row>
    <row r="1415">
      <c r="A1415" s="131">
        <f>IFERROR(__xludf.DUMMYFUNCTION("""COMPUTED_VALUE"""),46187.357141203705)</f>
        <v>46187.35714</v>
      </c>
      <c r="B1415" s="126">
        <f>IFERROR(__xludf.DUMMYFUNCTION("""COMPUTED_VALUE"""),46187.0)</f>
        <v>46187</v>
      </c>
      <c r="C1415" s="130">
        <f>IFERROR(__xludf.DUMMYFUNCTION("""COMPUTED_VALUE"""),0.3571412037037037)</f>
        <v>0.3571412037</v>
      </c>
      <c r="D1415" s="122" t="str">
        <f>IFERROR(__xludf.DUMMYFUNCTION("""COMPUTED_VALUE"""),"BIKE")</f>
        <v>BIKE</v>
      </c>
      <c r="E1415" s="122" t="str">
        <f>IFERROR(__xludf.DUMMYFUNCTION("""COMPUTED_VALUE"""),"BikeBox")</f>
        <v>BikeBox</v>
      </c>
      <c r="F1415" s="122" t="str">
        <f>IFERROR(__xludf.DUMMYFUNCTION("""COMPUTED_VALUE"""),"Automotive")</f>
        <v>Automotive</v>
      </c>
    </row>
    <row r="1416">
      <c r="A1416" s="131">
        <f>IFERROR(__xludf.DUMMYFUNCTION("""COMPUTED_VALUE"""),46187.357141203705)</f>
        <v>46187.35714</v>
      </c>
      <c r="B1416" s="126">
        <f>IFERROR(__xludf.DUMMYFUNCTION("""COMPUTED_VALUE"""),46187.0)</f>
        <v>46187</v>
      </c>
      <c r="C1416" s="130">
        <f>IFERROR(__xludf.DUMMYFUNCTION("""COMPUTED_VALUE"""),0.3571412037037037)</f>
        <v>0.3571412037</v>
      </c>
      <c r="D1416" s="122" t="str">
        <f>IFERROR(__xludf.DUMMYFUNCTION("""COMPUTED_VALUE"""),"WASH")</f>
        <v>WASH</v>
      </c>
      <c r="E1416" s="122" t="str">
        <f>IFERROR(__xludf.DUMMYFUNCTION("""COMPUTED_VALUE"""),"CarWash Co")</f>
        <v>CarWash Co</v>
      </c>
      <c r="F1416" s="122" t="str">
        <f>IFERROR(__xludf.DUMMYFUNCTION("""COMPUTED_VALUE"""),"Automotive")</f>
        <v>Automotive</v>
      </c>
    </row>
    <row r="1417">
      <c r="A1417" s="131">
        <f>IFERROR(__xludf.DUMMYFUNCTION("""COMPUTED_VALUE"""),46187.357141203705)</f>
        <v>46187.35714</v>
      </c>
      <c r="B1417" s="126">
        <f>IFERROR(__xludf.DUMMYFUNCTION("""COMPUTED_VALUE"""),46187.0)</f>
        <v>46187</v>
      </c>
      <c r="C1417" s="130">
        <f>IFERROR(__xludf.DUMMYFUNCTION("""COMPUTED_VALUE"""),0.3571412037037037)</f>
        <v>0.3571412037</v>
      </c>
      <c r="D1417" s="122" t="str">
        <f>IFERROR(__xludf.DUMMYFUNCTION("""COMPUTED_VALUE"""),"GBND")</f>
        <v>GBND</v>
      </c>
      <c r="E1417" s="122" t="str">
        <f>IFERROR(__xludf.DUMMYFUNCTION("""COMPUTED_VALUE"""),"Classroom Government Bond")</f>
        <v>Classroom Government Bond</v>
      </c>
      <c r="F1417" s="122" t="str">
        <f>IFERROR(__xludf.DUMMYFUNCTION("""COMPUTED_VALUE"""),"Bond")</f>
        <v>Bond</v>
      </c>
    </row>
    <row r="1418">
      <c r="A1418" s="131">
        <f>IFERROR(__xludf.DUMMYFUNCTION("""COMPUTED_VALUE"""),46187.357141203705)</f>
        <v>46187.35714</v>
      </c>
      <c r="B1418" s="126">
        <f>IFERROR(__xludf.DUMMYFUNCTION("""COMPUTED_VALUE"""),46187.0)</f>
        <v>46187</v>
      </c>
      <c r="C1418" s="130">
        <f>IFERROR(__xludf.DUMMYFUNCTION("""COMPUTED_VALUE"""),0.3571412037037037)</f>
        <v>0.3571412037</v>
      </c>
      <c r="D1418" s="122" t="str">
        <f>IFERROR(__xludf.DUMMYFUNCTION("""COMPUTED_VALUE"""),"SBND")</f>
        <v>SBND</v>
      </c>
      <c r="E1418" s="122" t="str">
        <f>IFERROR(__xludf.DUMMYFUNCTION("""COMPUTED_VALUE"""),"School Savings Bond")</f>
        <v>School Savings Bond</v>
      </c>
      <c r="F1418" s="122" t="str">
        <f>IFERROR(__xludf.DUMMYFUNCTION("""COMPUTED_VALUE"""),"Bond")</f>
        <v>Bond</v>
      </c>
    </row>
    <row r="1419">
      <c r="A1419" s="131">
        <f>IFERROR(__xludf.DUMMYFUNCTION("""COMPUTED_VALUE"""),46187.357141203705)</f>
        <v>46187.35714</v>
      </c>
      <c r="B1419" s="126">
        <f>IFERROR(__xludf.DUMMYFUNCTION("""COMPUTED_VALUE"""),46187.0)</f>
        <v>46187</v>
      </c>
      <c r="C1419" s="130">
        <f>IFERROR(__xludf.DUMMYFUNCTION("""COMPUTED_VALUE"""),0.3571412037037037)</f>
        <v>0.3571412037</v>
      </c>
      <c r="D1419" s="122" t="str">
        <f>IFERROR(__xludf.DUMMYFUNCTION("""COMPUTED_VALUE"""),"CBND")</f>
        <v>CBND</v>
      </c>
      <c r="E1419" s="122" t="str">
        <f>IFERROR(__xludf.DUMMYFUNCTION("""COMPUTED_VALUE"""),"Corporate Classroom Bond")</f>
        <v>Corporate Classroom Bond</v>
      </c>
      <c r="F1419" s="122" t="str">
        <f>IFERROR(__xludf.DUMMYFUNCTION("""COMPUTED_VALUE"""),"Bond")</f>
        <v>Bond</v>
      </c>
    </row>
    <row r="1420">
      <c r="A1420" s="131">
        <f>IFERROR(__xludf.DUMMYFUNCTION("""COMPUTED_VALUE"""),46187.357141203705)</f>
        <v>46187.35714</v>
      </c>
      <c r="B1420" s="126">
        <f>IFERROR(__xludf.DUMMYFUNCTION("""COMPUTED_VALUE"""),46187.0)</f>
        <v>46187</v>
      </c>
      <c r="C1420" s="130">
        <f>IFERROR(__xludf.DUMMYFUNCTION("""COMPUTED_VALUE"""),0.3571412037037037)</f>
        <v>0.3571412037</v>
      </c>
      <c r="D1420" s="122" t="str">
        <f>IFERROR(__xludf.DUMMYFUNCTION("""COMPUTED_VALUE"""),"TBIL")</f>
        <v>TBIL</v>
      </c>
      <c r="E1420" s="122" t="str">
        <f>IFERROR(__xludf.DUMMYFUNCTION("""COMPUTED_VALUE"""),"Treasury Bill")</f>
        <v>Treasury Bill</v>
      </c>
      <c r="F1420" s="122" t="str">
        <f>IFERROR(__xludf.DUMMYFUNCTION("""COMPUTED_VALUE"""),"Bond")</f>
        <v>Bond</v>
      </c>
    </row>
    <row r="1421">
      <c r="A1421" s="131">
        <f>IFERROR(__xludf.DUMMYFUNCTION("""COMPUTED_VALUE"""),46187.357141203705)</f>
        <v>46187.35714</v>
      </c>
      <c r="B1421" s="126">
        <f>IFERROR(__xludf.DUMMYFUNCTION("""COMPUTED_VALUE"""),46187.0)</f>
        <v>46187</v>
      </c>
      <c r="C1421" s="130">
        <f>IFERROR(__xludf.DUMMYFUNCTION("""COMPUTED_VALUE"""),0.3571412037037037)</f>
        <v>0.3571412037</v>
      </c>
      <c r="D1421" s="122" t="str">
        <f>IFERROR(__xludf.DUMMYFUNCTION("""COMPUTED_VALUE"""),"IBND")</f>
        <v>IBND</v>
      </c>
      <c r="E1421" s="122" t="str">
        <f>IFERROR(__xludf.DUMMYFUNCTION("""COMPUTED_VALUE"""),"Inflation Protected Bond")</f>
        <v>Inflation Protected Bond</v>
      </c>
      <c r="F1421" s="122" t="str">
        <f>IFERROR(__xludf.DUMMYFUNCTION("""COMPUTED_VALUE"""),"Bond")</f>
        <v>Bond</v>
      </c>
    </row>
    <row r="1422">
      <c r="A1422" s="131">
        <f>IFERROR(__xludf.DUMMYFUNCTION("""COMPUTED_VALUE"""),46187.359247685185)</f>
        <v>46187.35925</v>
      </c>
      <c r="B1422" s="126">
        <f>IFERROR(__xludf.DUMMYFUNCTION("""COMPUTED_VALUE"""),46187.0)</f>
        <v>46187</v>
      </c>
      <c r="C1422" s="122" t="str">
        <f>IFERROR(__xludf.DUMMYFUNCTION("""COMPUTED_VALUE"""),"SNAX")</f>
        <v>SNAX</v>
      </c>
      <c r="D1422" s="122" t="str">
        <f>IFERROR(__xludf.DUMMYFUNCTION("""COMPUTED_VALUE"""),"MICA Snacks")</f>
        <v>MICA Snacks</v>
      </c>
      <c r="E1422" s="122">
        <f>IFERROR(__xludf.DUMMYFUNCTION("""COMPUTED_VALUE"""),122.71)</f>
        <v>122.71</v>
      </c>
      <c r="F1422" s="122">
        <f>IFERROR(__xludf.DUMMYFUNCTION("""COMPUTED_VALUE"""),0.0047)</f>
        <v>0.0047</v>
      </c>
    </row>
    <row r="1423">
      <c r="A1423" s="131">
        <f>IFERROR(__xludf.DUMMYFUNCTION("""COMPUTED_VALUE"""),46187.359247685185)</f>
        <v>46187.35925</v>
      </c>
      <c r="B1423" s="126">
        <f>IFERROR(__xludf.DUMMYFUNCTION("""COMPUTED_VALUE"""),46187.0)</f>
        <v>46187</v>
      </c>
      <c r="C1423" s="122" t="str">
        <f>IFERROR(__xludf.DUMMYFUNCTION("""COMPUTED_VALUE"""),"RAMN")</f>
        <v>RAMN</v>
      </c>
      <c r="D1423" s="122" t="str">
        <f>IFERROR(__xludf.DUMMYFUNCTION("""COMPUTED_VALUE"""),"Ramen Republic")</f>
        <v>Ramen Republic</v>
      </c>
      <c r="E1423" s="122">
        <f>IFERROR(__xludf.DUMMYFUNCTION("""COMPUTED_VALUE"""),77.24)</f>
        <v>77.24</v>
      </c>
      <c r="F1423" s="122">
        <f>IFERROR(__xludf.DUMMYFUNCTION("""COMPUTED_VALUE"""),-8.0E-4)</f>
        <v>-0.0008</v>
      </c>
    </row>
    <row r="1424">
      <c r="A1424" s="131">
        <f>IFERROR(__xludf.DUMMYFUNCTION("""COMPUTED_VALUE"""),46187.359247685185)</f>
        <v>46187.35925</v>
      </c>
      <c r="B1424" s="126">
        <f>IFERROR(__xludf.DUMMYFUNCTION("""COMPUTED_VALUE"""),46187.0)</f>
        <v>46187</v>
      </c>
      <c r="C1424" s="122" t="str">
        <f>IFERROR(__xludf.DUMMYFUNCTION("""COMPUTED_VALUE"""),"COLA")</f>
        <v>COLA</v>
      </c>
      <c r="D1424" s="122" t="str">
        <f>IFERROR(__xludf.DUMMYFUNCTION("""COMPUTED_VALUE"""),"K-Pop Cola")</f>
        <v>K-Pop Cola</v>
      </c>
      <c r="E1424" s="122">
        <f>IFERROR(__xludf.DUMMYFUNCTION("""COMPUTED_VALUE"""),103.11)</f>
        <v>103.11</v>
      </c>
      <c r="F1424" s="122">
        <f>IFERROR(__xludf.DUMMYFUNCTION("""COMPUTED_VALUE"""),0.008)</f>
        <v>0.008</v>
      </c>
    </row>
    <row r="1425">
      <c r="A1425" s="131">
        <f>IFERROR(__xludf.DUMMYFUNCTION("""COMPUTED_VALUE"""),46187.359247685185)</f>
        <v>46187.35925</v>
      </c>
      <c r="B1425" s="126">
        <f>IFERROR(__xludf.DUMMYFUNCTION("""COMPUTED_VALUE"""),46187.0)</f>
        <v>46187</v>
      </c>
      <c r="C1425" s="122" t="str">
        <f>IFERROR(__xludf.DUMMYFUNCTION("""COMPUTED_VALUE"""),"CHIP")</f>
        <v>CHIP</v>
      </c>
      <c r="D1425" s="122" t="str">
        <f>IFERROR(__xludf.DUMMYFUNCTION("""COMPUTED_VALUE"""),"Chip Empire")</f>
        <v>Chip Empire</v>
      </c>
      <c r="E1425" s="122">
        <f>IFERROR(__xludf.DUMMYFUNCTION("""COMPUTED_VALUE"""),86.59)</f>
        <v>86.59</v>
      </c>
      <c r="F1425" s="122">
        <f>IFERROR(__xludf.DUMMYFUNCTION("""COMPUTED_VALUE"""),-0.0049)</f>
        <v>-0.0049</v>
      </c>
    </row>
    <row r="1426">
      <c r="A1426" s="131">
        <f>IFERROR(__xludf.DUMMYFUNCTION("""COMPUTED_VALUE"""),46187.359247685185)</f>
        <v>46187.35925</v>
      </c>
      <c r="B1426" s="126">
        <f>IFERROR(__xludf.DUMMYFUNCTION("""COMPUTED_VALUE"""),46187.0)</f>
        <v>46187</v>
      </c>
      <c r="C1426" s="122" t="str">
        <f>IFERROR(__xludf.DUMMYFUNCTION("""COMPUTED_VALUE"""),"CAND")</f>
        <v>CAND</v>
      </c>
      <c r="D1426" s="122" t="str">
        <f>IFERROR(__xludf.DUMMYFUNCTION("""COMPUTED_VALUE"""),"Candy Capital")</f>
        <v>Candy Capital</v>
      </c>
      <c r="E1426" s="122">
        <f>IFERROR(__xludf.DUMMYFUNCTION("""COMPUTED_VALUE"""),76.19)</f>
        <v>76.19</v>
      </c>
      <c r="F1426" s="122">
        <f>IFERROR(__xludf.DUMMYFUNCTION("""COMPUTED_VALUE"""),-0.0079)</f>
        <v>-0.0079</v>
      </c>
    </row>
    <row r="1427">
      <c r="A1427" s="131">
        <f>IFERROR(__xludf.DUMMYFUNCTION("""COMPUTED_VALUE"""),46187.359247685185)</f>
        <v>46187.35925</v>
      </c>
      <c r="B1427" s="126">
        <f>IFERROR(__xludf.DUMMYFUNCTION("""COMPUTED_VALUE"""),46187.0)</f>
        <v>46187</v>
      </c>
      <c r="C1427" s="122" t="str">
        <f>IFERROR(__xludf.DUMMYFUNCTION("""COMPUTED_VALUE"""),"TECH")</f>
        <v>TECH</v>
      </c>
      <c r="D1427" s="122" t="str">
        <f>IFERROR(__xludf.DUMMYFUNCTION("""COMPUTED_VALUE"""),"Dragon Tech")</f>
        <v>Dragon Tech</v>
      </c>
      <c r="E1427" s="122">
        <f>IFERROR(__xludf.DUMMYFUNCTION("""COMPUTED_VALUE"""),241.13)</f>
        <v>241.13</v>
      </c>
      <c r="F1427" s="122">
        <f>IFERROR(__xludf.DUMMYFUNCTION("""COMPUTED_VALUE"""),-0.0047)</f>
        <v>-0.0047</v>
      </c>
    </row>
    <row r="1428">
      <c r="A1428" s="131">
        <f>IFERROR(__xludf.DUMMYFUNCTION("""COMPUTED_VALUE"""),46187.359247685185)</f>
        <v>46187.35925</v>
      </c>
      <c r="B1428" s="126">
        <f>IFERROR(__xludf.DUMMYFUNCTION("""COMPUTED_VALUE"""),46187.0)</f>
        <v>46187</v>
      </c>
      <c r="C1428" s="122" t="str">
        <f>IFERROR(__xludf.DUMMYFUNCTION("""COMPUTED_VALUE"""),"AIBO")</f>
        <v>AIBO</v>
      </c>
      <c r="D1428" s="122" t="str">
        <f>IFERROR(__xludf.DUMMYFUNCTION("""COMPUTED_VALUE"""),"Homework AI")</f>
        <v>Homework AI</v>
      </c>
      <c r="E1428" s="122">
        <f>IFERROR(__xludf.DUMMYFUNCTION("""COMPUTED_VALUE"""),164.52)</f>
        <v>164.52</v>
      </c>
      <c r="F1428" s="122">
        <f>IFERROR(__xludf.DUMMYFUNCTION("""COMPUTED_VALUE"""),0.0092)</f>
        <v>0.0092</v>
      </c>
    </row>
    <row r="1429">
      <c r="A1429" s="131">
        <f>IFERROR(__xludf.DUMMYFUNCTION("""COMPUTED_VALUE"""),46187.359247685185)</f>
        <v>46187.35925</v>
      </c>
      <c r="B1429" s="126">
        <f>IFERROR(__xludf.DUMMYFUNCTION("""COMPUTED_VALUE"""),46187.0)</f>
        <v>46187</v>
      </c>
      <c r="C1429" s="122" t="str">
        <f>IFERROR(__xludf.DUMMYFUNCTION("""COMPUTED_VALUE"""),"GAME")</f>
        <v>GAME</v>
      </c>
      <c r="D1429" s="122" t="str">
        <f>IFERROR(__xludf.DUMMYFUNCTION("""COMPUTED_VALUE"""),"GameBox Media")</f>
        <v>GameBox Media</v>
      </c>
      <c r="E1429" s="122">
        <f>IFERROR(__xludf.DUMMYFUNCTION("""COMPUTED_VALUE"""),88.99)</f>
        <v>88.99</v>
      </c>
      <c r="F1429" s="122">
        <f>IFERROR(__xludf.DUMMYFUNCTION("""COMPUTED_VALUE"""),0.0059)</f>
        <v>0.0059</v>
      </c>
    </row>
    <row r="1430">
      <c r="A1430" s="131">
        <f>IFERROR(__xludf.DUMMYFUNCTION("""COMPUTED_VALUE"""),46187.359247685185)</f>
        <v>46187.35925</v>
      </c>
      <c r="B1430" s="126">
        <f>IFERROR(__xludf.DUMMYFUNCTION("""COMPUTED_VALUE"""),46187.0)</f>
        <v>46187</v>
      </c>
      <c r="C1430" s="122" t="str">
        <f>IFERROR(__xludf.DUMMYFUNCTION("""COMPUTED_VALUE"""),"VRSE")</f>
        <v>VRSE</v>
      </c>
      <c r="D1430" s="122" t="str">
        <f>IFERROR(__xludf.DUMMYFUNCTION("""COMPUTED_VALUE"""),"VerseVR")</f>
        <v>VerseVR</v>
      </c>
      <c r="E1430" s="122">
        <f>IFERROR(__xludf.DUMMYFUNCTION("""COMPUTED_VALUE"""),148.53)</f>
        <v>148.53</v>
      </c>
      <c r="F1430" s="122">
        <f>IFERROR(__xludf.DUMMYFUNCTION("""COMPUTED_VALUE"""),-0.0052)</f>
        <v>-0.0052</v>
      </c>
    </row>
    <row r="1431">
      <c r="A1431" s="131">
        <f>IFERROR(__xludf.DUMMYFUNCTION("""COMPUTED_VALUE"""),46187.359247685185)</f>
        <v>46187.35925</v>
      </c>
      <c r="B1431" s="126">
        <f>IFERROR(__xludf.DUMMYFUNCTION("""COMPUTED_VALUE"""),46187.0)</f>
        <v>46187</v>
      </c>
      <c r="C1431" s="122" t="str">
        <f>IFERROR(__xludf.DUMMYFUNCTION("""COMPUTED_VALUE"""),"BYTE")</f>
        <v>BYTE</v>
      </c>
      <c r="D1431" s="122" t="str">
        <f>IFERROR(__xludf.DUMMYFUNCTION("""COMPUTED_VALUE"""),"ByteWorks")</f>
        <v>ByteWorks</v>
      </c>
      <c r="E1431" s="122">
        <f>IFERROR(__xludf.DUMMYFUNCTION("""COMPUTED_VALUE"""),110.55)</f>
        <v>110.55</v>
      </c>
      <c r="F1431" s="122">
        <f>IFERROR(__xludf.DUMMYFUNCTION("""COMPUTED_VALUE"""),-0.0072)</f>
        <v>-0.0072</v>
      </c>
    </row>
    <row r="1432">
      <c r="A1432" s="131">
        <f>IFERROR(__xludf.DUMMYFUNCTION("""COMPUTED_VALUE"""),46187.359247685185)</f>
        <v>46187.35925</v>
      </c>
      <c r="B1432" s="126">
        <f>IFERROR(__xludf.DUMMYFUNCTION("""COMPUTED_VALUE"""),46187.0)</f>
        <v>46187</v>
      </c>
      <c r="C1432" s="122" t="str">
        <f>IFERROR(__xludf.DUMMYFUNCTION("""COMPUTED_VALUE"""),"BANK")</f>
        <v>BANK</v>
      </c>
      <c r="D1432" s="122" t="str">
        <f>IFERROR(__xludf.DUMMYFUNCTION("""COMPUTED_VALUE"""),"Tiger Bank")</f>
        <v>Tiger Bank</v>
      </c>
      <c r="E1432" s="122">
        <f>IFERROR(__xludf.DUMMYFUNCTION("""COMPUTED_VALUE"""),124.12)</f>
        <v>124.12</v>
      </c>
      <c r="F1432" s="122">
        <f>IFERROR(__xludf.DUMMYFUNCTION("""COMPUTED_VALUE"""),0.0033)</f>
        <v>0.0033</v>
      </c>
    </row>
    <row r="1433">
      <c r="A1433" s="131">
        <f>IFERROR(__xludf.DUMMYFUNCTION("""COMPUTED_VALUE"""),46187.359247685185)</f>
        <v>46187.35925</v>
      </c>
      <c r="B1433" s="126">
        <f>IFERROR(__xludf.DUMMYFUNCTION("""COMPUTED_VALUE"""),46187.0)</f>
        <v>46187</v>
      </c>
      <c r="C1433" s="122" t="str">
        <f>IFERROR(__xludf.DUMMYFUNCTION("""COMPUTED_VALUE"""),"CRED")</f>
        <v>CRED</v>
      </c>
      <c r="D1433" s="122" t="str">
        <f>IFERROR(__xludf.DUMMYFUNCTION("""COMPUTED_VALUE"""),"Credit Castle")</f>
        <v>Credit Castle</v>
      </c>
      <c r="E1433" s="122">
        <f>IFERROR(__xludf.DUMMYFUNCTION("""COMPUTED_VALUE"""),68.47)</f>
        <v>68.47</v>
      </c>
      <c r="F1433" s="122">
        <f>IFERROR(__xludf.DUMMYFUNCTION("""COMPUTED_VALUE"""),-0.0048)</f>
        <v>-0.0048</v>
      </c>
    </row>
    <row r="1434">
      <c r="A1434" s="131">
        <f>IFERROR(__xludf.DUMMYFUNCTION("""COMPUTED_VALUE"""),46187.359247685185)</f>
        <v>46187.35925</v>
      </c>
      <c r="B1434" s="126">
        <f>IFERROR(__xludf.DUMMYFUNCTION("""COMPUTED_VALUE"""),46187.0)</f>
        <v>46187</v>
      </c>
      <c r="C1434" s="122" t="str">
        <f>IFERROR(__xludf.DUMMYFUNCTION("""COMPUTED_VALUE"""),"BOND")</f>
        <v>BOND</v>
      </c>
      <c r="D1434" s="122" t="str">
        <f>IFERROR(__xludf.DUMMYFUNCTION("""COMPUTED_VALUE"""),"BondBridge")</f>
        <v>BondBridge</v>
      </c>
      <c r="E1434" s="122">
        <f>IFERROR(__xludf.DUMMYFUNCTION("""COMPUTED_VALUE"""),95.47)</f>
        <v>95.47</v>
      </c>
      <c r="F1434" s="122">
        <f>IFERROR(__xludf.DUMMYFUNCTION("""COMPUTED_VALUE"""),7.0E-4)</f>
        <v>0.0007</v>
      </c>
    </row>
    <row r="1435">
      <c r="A1435" s="131">
        <f>IFERROR(__xludf.DUMMYFUNCTION("""COMPUTED_VALUE"""),46187.359247685185)</f>
        <v>46187.35925</v>
      </c>
      <c r="B1435" s="126">
        <f>IFERROR(__xludf.DUMMYFUNCTION("""COMPUTED_VALUE"""),46187.0)</f>
        <v>46187</v>
      </c>
      <c r="C1435" s="122" t="str">
        <f>IFERROR(__xludf.DUMMYFUNCTION("""COMPUTED_VALUE"""),"INSR")</f>
        <v>INSR</v>
      </c>
      <c r="D1435" s="122" t="str">
        <f>IFERROR(__xludf.DUMMYFUNCTION("""COMPUTED_VALUE"""),"Shield Insurance")</f>
        <v>Shield Insurance</v>
      </c>
      <c r="E1435" s="122">
        <f>IFERROR(__xludf.DUMMYFUNCTION("""COMPUTED_VALUE"""),156.57)</f>
        <v>156.57</v>
      </c>
      <c r="F1435" s="122">
        <f>IFERROR(__xludf.DUMMYFUNCTION("""COMPUTED_VALUE"""),0.0026)</f>
        <v>0.0026</v>
      </c>
    </row>
    <row r="1436">
      <c r="A1436" s="131">
        <f>IFERROR(__xludf.DUMMYFUNCTION("""COMPUTED_VALUE"""),46187.359247685185)</f>
        <v>46187.35925</v>
      </c>
      <c r="B1436" s="126">
        <f>IFERROR(__xludf.DUMMYFUNCTION("""COMPUTED_VALUE"""),46187.0)</f>
        <v>46187</v>
      </c>
      <c r="C1436" s="122" t="str">
        <f>IFERROR(__xludf.DUMMYFUNCTION("""COMPUTED_VALUE"""),"LOAN")</f>
        <v>LOAN</v>
      </c>
      <c r="D1436" s="122" t="str">
        <f>IFERROR(__xludf.DUMMYFUNCTION("""COMPUTED_VALUE"""),"LoanLab")</f>
        <v>LoanLab</v>
      </c>
      <c r="E1436" s="122">
        <f>IFERROR(__xludf.DUMMYFUNCTION("""COMPUTED_VALUE"""),60.66)</f>
        <v>60.66</v>
      </c>
      <c r="F1436" s="122">
        <f>IFERROR(__xludf.DUMMYFUNCTION("""COMPUTED_VALUE"""),0.0081)</f>
        <v>0.0081</v>
      </c>
    </row>
    <row r="1437">
      <c r="A1437" s="131">
        <f>IFERROR(__xludf.DUMMYFUNCTION("""COMPUTED_VALUE"""),46187.359247685185)</f>
        <v>46187.35925</v>
      </c>
      <c r="B1437" s="126">
        <f>IFERROR(__xludf.DUMMYFUNCTION("""COMPUTED_VALUE"""),46187.0)</f>
        <v>46187</v>
      </c>
      <c r="C1437" s="122" t="str">
        <f>IFERROR(__xludf.DUMMYFUNCTION("""COMPUTED_VALUE"""),"LUXE")</f>
        <v>LUXE</v>
      </c>
      <c r="D1437" s="122" t="str">
        <f>IFERROR(__xludf.DUMMYFUNCTION("""COMPUTED_VALUE"""),"Luxury Locker")</f>
        <v>Luxury Locker</v>
      </c>
      <c r="E1437" s="122">
        <f>IFERROR(__xludf.DUMMYFUNCTION("""COMPUTED_VALUE"""),265.99)</f>
        <v>265.99</v>
      </c>
      <c r="F1437" s="122">
        <f>IFERROR(__xludf.DUMMYFUNCTION("""COMPUTED_VALUE"""),0.0055)</f>
        <v>0.0055</v>
      </c>
    </row>
    <row r="1438">
      <c r="A1438" s="131">
        <f>IFERROR(__xludf.DUMMYFUNCTION("""COMPUTED_VALUE"""),46187.359247685185)</f>
        <v>46187.35925</v>
      </c>
      <c r="B1438" s="126">
        <f>IFERROR(__xludf.DUMMYFUNCTION("""COMPUTED_VALUE"""),46187.0)</f>
        <v>46187</v>
      </c>
      <c r="C1438" s="122" t="str">
        <f>IFERROR(__xludf.DUMMYFUNCTION("""COMPUTED_VALUE"""),"DRIP")</f>
        <v>DRIP</v>
      </c>
      <c r="D1438" s="122" t="str">
        <f>IFERROR(__xludf.DUMMYFUNCTION("""COMPUTED_VALUE"""),"Drip Streetwear")</f>
        <v>Drip Streetwear</v>
      </c>
      <c r="E1438" s="122">
        <f>IFERROR(__xludf.DUMMYFUNCTION("""COMPUTED_VALUE"""),204.31)</f>
        <v>204.31</v>
      </c>
      <c r="F1438" s="122">
        <f>IFERROR(__xludf.DUMMYFUNCTION("""COMPUTED_VALUE"""),0.0092)</f>
        <v>0.0092</v>
      </c>
    </row>
    <row r="1439">
      <c r="A1439" s="131">
        <f>IFERROR(__xludf.DUMMYFUNCTION("""COMPUTED_VALUE"""),46187.359247685185)</f>
        <v>46187.35925</v>
      </c>
      <c r="B1439" s="126">
        <f>IFERROR(__xludf.DUMMYFUNCTION("""COMPUTED_VALUE"""),46187.0)</f>
        <v>46187</v>
      </c>
      <c r="C1439" s="122" t="str">
        <f>IFERROR(__xludf.DUMMYFUNCTION("""COMPUTED_VALUE"""),"KICK")</f>
        <v>KICK</v>
      </c>
      <c r="D1439" s="122" t="str">
        <f>IFERROR(__xludf.DUMMYFUNCTION("""COMPUTED_VALUE"""),"KickDrop Sneakers")</f>
        <v>KickDrop Sneakers</v>
      </c>
      <c r="E1439" s="122">
        <f>IFERROR(__xludf.DUMMYFUNCTION("""COMPUTED_VALUE"""),178.68)</f>
        <v>178.68</v>
      </c>
      <c r="F1439" s="122">
        <f>IFERROR(__xludf.DUMMYFUNCTION("""COMPUTED_VALUE"""),0.0089)</f>
        <v>0.0089</v>
      </c>
    </row>
    <row r="1440">
      <c r="A1440" s="131">
        <f>IFERROR(__xludf.DUMMYFUNCTION("""COMPUTED_VALUE"""),46187.359247685185)</f>
        <v>46187.35925</v>
      </c>
      <c r="B1440" s="126">
        <f>IFERROR(__xludf.DUMMYFUNCTION("""COMPUTED_VALUE"""),46187.0)</f>
        <v>46187</v>
      </c>
      <c r="C1440" s="122" t="str">
        <f>IFERROR(__xludf.DUMMYFUNCTION("""COMPUTED_VALUE"""),"GLAM")</f>
        <v>GLAM</v>
      </c>
      <c r="D1440" s="122" t="str">
        <f>IFERROR(__xludf.DUMMYFUNCTION("""COMPUTED_VALUE"""),"Glow Cosmetics")</f>
        <v>Glow Cosmetics</v>
      </c>
      <c r="E1440" s="122">
        <f>IFERROR(__xludf.DUMMYFUNCTION("""COMPUTED_VALUE"""),95.11)</f>
        <v>95.11</v>
      </c>
      <c r="F1440" s="122">
        <f>IFERROR(__xludf.DUMMYFUNCTION("""COMPUTED_VALUE"""),6.0E-4)</f>
        <v>0.0006</v>
      </c>
    </row>
    <row r="1441">
      <c r="A1441" s="131">
        <f>IFERROR(__xludf.DUMMYFUNCTION("""COMPUTED_VALUE"""),46187.359247685185)</f>
        <v>46187.35925</v>
      </c>
      <c r="B1441" s="126">
        <f>IFERROR(__xludf.DUMMYFUNCTION("""COMPUTED_VALUE"""),46187.0)</f>
        <v>46187</v>
      </c>
      <c r="C1441" s="122" t="str">
        <f>IFERROR(__xludf.DUMMYFUNCTION("""COMPUTED_VALUE"""),"BAGG")</f>
        <v>BAGG</v>
      </c>
      <c r="D1441" s="122" t="str">
        <f>IFERROR(__xludf.DUMMYFUNCTION("""COMPUTED_VALUE"""),"BagVault")</f>
        <v>BagVault</v>
      </c>
      <c r="E1441" s="122">
        <f>IFERROR(__xludf.DUMMYFUNCTION("""COMPUTED_VALUE"""),242.14)</f>
        <v>242.14</v>
      </c>
      <c r="F1441" s="122">
        <f>IFERROR(__xludf.DUMMYFUNCTION("""COMPUTED_VALUE"""),-0.0042)</f>
        <v>-0.0042</v>
      </c>
    </row>
    <row r="1442">
      <c r="A1442" s="131">
        <f>IFERROR(__xludf.DUMMYFUNCTION("""COMPUTED_VALUE"""),46187.359247685185)</f>
        <v>46187.35925</v>
      </c>
      <c r="B1442" s="126">
        <f>IFERROR(__xludf.DUMMYFUNCTION("""COMPUTED_VALUE"""),46187.0)</f>
        <v>46187</v>
      </c>
      <c r="C1442" s="122" t="str">
        <f>IFERROR(__xludf.DUMMYFUNCTION("""COMPUTED_VALUE"""),"FAST")</f>
        <v>FAST</v>
      </c>
      <c r="D1442" s="122" t="str">
        <f>IFERROR(__xludf.DUMMYFUNCTION("""COMPUTED_VALUE"""),"Flash Logistics")</f>
        <v>Flash Logistics</v>
      </c>
      <c r="E1442" s="122">
        <f>IFERROR(__xludf.DUMMYFUNCTION("""COMPUTED_VALUE"""),101.84)</f>
        <v>101.84</v>
      </c>
      <c r="F1442" s="122">
        <f>IFERROR(__xludf.DUMMYFUNCTION("""COMPUTED_VALUE"""),0.0037)</f>
        <v>0.0037</v>
      </c>
    </row>
    <row r="1443">
      <c r="A1443" s="131">
        <f>IFERROR(__xludf.DUMMYFUNCTION("""COMPUTED_VALUE"""),46187.359247685185)</f>
        <v>46187.35925</v>
      </c>
      <c r="B1443" s="126">
        <f>IFERROR(__xludf.DUMMYFUNCTION("""COMPUTED_VALUE"""),46187.0)</f>
        <v>46187</v>
      </c>
      <c r="C1443" s="122" t="str">
        <f>IFERROR(__xludf.DUMMYFUNCTION("""COMPUTED_VALUE"""),"SHIP")</f>
        <v>SHIP</v>
      </c>
      <c r="D1443" s="122" t="str">
        <f>IFERROR(__xludf.DUMMYFUNCTION("""COMPUTED_VALUE"""),"Seoul Shipping")</f>
        <v>Seoul Shipping</v>
      </c>
      <c r="E1443" s="122">
        <f>IFERROR(__xludf.DUMMYFUNCTION("""COMPUTED_VALUE"""),116.6)</f>
        <v>116.6</v>
      </c>
      <c r="F1443" s="122">
        <f>IFERROR(__xludf.DUMMYFUNCTION("""COMPUTED_VALUE"""),0.001)</f>
        <v>0.001</v>
      </c>
    </row>
    <row r="1444">
      <c r="A1444" s="131">
        <f>IFERROR(__xludf.DUMMYFUNCTION("""COMPUTED_VALUE"""),46187.359247685185)</f>
        <v>46187.35925</v>
      </c>
      <c r="B1444" s="126">
        <f>IFERROR(__xludf.DUMMYFUNCTION("""COMPUTED_VALUE"""),46187.0)</f>
        <v>46187</v>
      </c>
      <c r="C1444" s="122" t="str">
        <f>IFERROR(__xludf.DUMMYFUNCTION("""COMPUTED_VALUE"""),"DRON")</f>
        <v>DRON</v>
      </c>
      <c r="D1444" s="122" t="str">
        <f>IFERROR(__xludf.DUMMYFUNCTION("""COMPUTED_VALUE"""),"DroneDrop")</f>
        <v>DroneDrop</v>
      </c>
      <c r="E1444" s="122">
        <f>IFERROR(__xludf.DUMMYFUNCTION("""COMPUTED_VALUE"""),129.47)</f>
        <v>129.47</v>
      </c>
      <c r="F1444" s="122">
        <f>IFERROR(__xludf.DUMMYFUNCTION("""COMPUTED_VALUE"""),-0.0047)</f>
        <v>-0.0047</v>
      </c>
    </row>
    <row r="1445">
      <c r="A1445" s="131">
        <f>IFERROR(__xludf.DUMMYFUNCTION("""COMPUTED_VALUE"""),46187.359247685185)</f>
        <v>46187.35925</v>
      </c>
      <c r="B1445" s="126">
        <f>IFERROR(__xludf.DUMMYFUNCTION("""COMPUTED_VALUE"""),46187.0)</f>
        <v>46187</v>
      </c>
      <c r="C1445" s="122" t="str">
        <f>IFERROR(__xludf.DUMMYFUNCTION("""COMPUTED_VALUE"""),"RIDE")</f>
        <v>RIDE</v>
      </c>
      <c r="D1445" s="122" t="str">
        <f>IFERROR(__xludf.DUMMYFUNCTION("""COMPUTED_VALUE"""),"QuickRide")</f>
        <v>QuickRide</v>
      </c>
      <c r="E1445" s="122">
        <f>IFERROR(__xludf.DUMMYFUNCTION("""COMPUTED_VALUE"""),96.31)</f>
        <v>96.31</v>
      </c>
      <c r="F1445" s="122">
        <f>IFERROR(__xludf.DUMMYFUNCTION("""COMPUTED_VALUE"""),-0.0094)</f>
        <v>-0.0094</v>
      </c>
    </row>
    <row r="1446">
      <c r="A1446" s="131">
        <f>IFERROR(__xludf.DUMMYFUNCTION("""COMPUTED_VALUE"""),46187.359247685185)</f>
        <v>46187.35925</v>
      </c>
      <c r="B1446" s="126">
        <f>IFERROR(__xludf.DUMMYFUNCTION("""COMPUTED_VALUE"""),46187.0)</f>
        <v>46187</v>
      </c>
      <c r="C1446" s="122" t="str">
        <f>IFERROR(__xludf.DUMMYFUNCTION("""COMPUTED_VALUE"""),"RAIL")</f>
        <v>RAIL</v>
      </c>
      <c r="D1446" s="122" t="str">
        <f>IFERROR(__xludf.DUMMYFUNCTION("""COMPUTED_VALUE"""),"MetroRail Corp")</f>
        <v>MetroRail Corp</v>
      </c>
      <c r="E1446" s="122">
        <f>IFERROR(__xludf.DUMMYFUNCTION("""COMPUTED_VALUE"""),136.88)</f>
        <v>136.88</v>
      </c>
      <c r="F1446" s="122">
        <f>IFERROR(__xludf.DUMMYFUNCTION("""COMPUTED_VALUE"""),0.002)</f>
        <v>0.002</v>
      </c>
    </row>
    <row r="1447">
      <c r="A1447" s="131">
        <f>IFERROR(__xludf.DUMMYFUNCTION("""COMPUTED_VALUE"""),46187.359247685185)</f>
        <v>46187.35925</v>
      </c>
      <c r="B1447" s="126">
        <f>IFERROR(__xludf.DUMMYFUNCTION("""COMPUTED_VALUE"""),46187.0)</f>
        <v>46187</v>
      </c>
      <c r="C1447" s="122" t="str">
        <f>IFERROR(__xludf.DUMMYFUNCTION("""COMPUTED_VALUE"""),"MEDX")</f>
        <v>MEDX</v>
      </c>
      <c r="D1447" s="122" t="str">
        <f>IFERROR(__xludf.DUMMYFUNCTION("""COMPUTED_VALUE"""),"MediCore")</f>
        <v>MediCore</v>
      </c>
      <c r="E1447" s="122">
        <f>IFERROR(__xludf.DUMMYFUNCTION("""COMPUTED_VALUE"""),136.52)</f>
        <v>136.52</v>
      </c>
      <c r="F1447" s="122">
        <f>IFERROR(__xludf.DUMMYFUNCTION("""COMPUTED_VALUE"""),-0.0012)</f>
        <v>-0.0012</v>
      </c>
    </row>
    <row r="1448">
      <c r="A1448" s="131">
        <f>IFERROR(__xludf.DUMMYFUNCTION("""COMPUTED_VALUE"""),46187.359247685185)</f>
        <v>46187.35925</v>
      </c>
      <c r="B1448" s="126">
        <f>IFERROR(__xludf.DUMMYFUNCTION("""COMPUTED_VALUE"""),46187.0)</f>
        <v>46187</v>
      </c>
      <c r="C1448" s="122" t="str">
        <f>IFERROR(__xludf.DUMMYFUNCTION("""COMPUTED_VALUE"""),"GYMX")</f>
        <v>GYMX</v>
      </c>
      <c r="D1448" s="122" t="str">
        <f>IFERROR(__xludf.DUMMYFUNCTION("""COMPUTED_VALUE"""),"GymX Fitness")</f>
        <v>GymX Fitness</v>
      </c>
      <c r="E1448" s="122">
        <f>IFERROR(__xludf.DUMMYFUNCTION("""COMPUTED_VALUE"""),87.09)</f>
        <v>87.09</v>
      </c>
      <c r="F1448" s="122">
        <f>IFERROR(__xludf.DUMMYFUNCTION("""COMPUTED_VALUE"""),-0.0018)</f>
        <v>-0.0018</v>
      </c>
    </row>
    <row r="1449">
      <c r="A1449" s="131">
        <f>IFERROR(__xludf.DUMMYFUNCTION("""COMPUTED_VALUE"""),46187.359247685185)</f>
        <v>46187.35925</v>
      </c>
      <c r="B1449" s="126">
        <f>IFERROR(__xludf.DUMMYFUNCTION("""COMPUTED_VALUE"""),46187.0)</f>
        <v>46187</v>
      </c>
      <c r="C1449" s="122" t="str">
        <f>IFERROR(__xludf.DUMMYFUNCTION("""COMPUTED_VALUE"""),"VITA")</f>
        <v>VITA</v>
      </c>
      <c r="D1449" s="122" t="str">
        <f>IFERROR(__xludf.DUMMYFUNCTION("""COMPUTED_VALUE"""),"VitaPlus")</f>
        <v>VitaPlus</v>
      </c>
      <c r="E1449" s="122">
        <f>IFERROR(__xludf.DUMMYFUNCTION("""COMPUTED_VALUE"""),74.78)</f>
        <v>74.78</v>
      </c>
      <c r="F1449" s="122">
        <f>IFERROR(__xludf.DUMMYFUNCTION("""COMPUTED_VALUE"""),-0.0052)</f>
        <v>-0.0052</v>
      </c>
    </row>
    <row r="1450">
      <c r="A1450" s="131">
        <f>IFERROR(__xludf.DUMMYFUNCTION("""COMPUTED_VALUE"""),46187.359247685185)</f>
        <v>46187.35925</v>
      </c>
      <c r="B1450" s="126">
        <f>IFERROR(__xludf.DUMMYFUNCTION("""COMPUTED_VALUE"""),46187.0)</f>
        <v>46187</v>
      </c>
      <c r="C1450" s="122" t="str">
        <f>IFERROR(__xludf.DUMMYFUNCTION("""COMPUTED_VALUE"""),"CARE")</f>
        <v>CARE</v>
      </c>
      <c r="D1450" s="122" t="str">
        <f>IFERROR(__xludf.DUMMYFUNCTION("""COMPUTED_VALUE"""),"CareCloud")</f>
        <v>CareCloud</v>
      </c>
      <c r="E1450" s="122">
        <f>IFERROR(__xludf.DUMMYFUNCTION("""COMPUTED_VALUE"""),179.78)</f>
        <v>179.78</v>
      </c>
      <c r="F1450" s="122">
        <f>IFERROR(__xludf.DUMMYFUNCTION("""COMPUTED_VALUE"""),-2.0E-4)</f>
        <v>-0.0002</v>
      </c>
    </row>
    <row r="1451">
      <c r="A1451" s="131">
        <f>IFERROR(__xludf.DUMMYFUNCTION("""COMPUTED_VALUE"""),46187.359247685185)</f>
        <v>46187.35925</v>
      </c>
      <c r="B1451" s="126">
        <f>IFERROR(__xludf.DUMMYFUNCTION("""COMPUTED_VALUE"""),46187.0)</f>
        <v>46187</v>
      </c>
      <c r="C1451" s="122" t="str">
        <f>IFERROR(__xludf.DUMMYFUNCTION("""COMPUTED_VALUE"""),"DENT")</f>
        <v>DENT</v>
      </c>
      <c r="D1451" s="122" t="str">
        <f>IFERROR(__xludf.DUMMYFUNCTION("""COMPUTED_VALUE"""),"SmileWorks")</f>
        <v>SmileWorks</v>
      </c>
      <c r="E1451" s="122">
        <f>IFERROR(__xludf.DUMMYFUNCTION("""COMPUTED_VALUE"""),81.68)</f>
        <v>81.68</v>
      </c>
      <c r="F1451" s="122">
        <f>IFERROR(__xludf.DUMMYFUNCTION("""COMPUTED_VALUE"""),-2.0E-4)</f>
        <v>-0.0002</v>
      </c>
    </row>
    <row r="1452">
      <c r="A1452" s="131">
        <f>IFERROR(__xludf.DUMMYFUNCTION("""COMPUTED_VALUE"""),46187.359247685185)</f>
        <v>46187.35925</v>
      </c>
      <c r="B1452" s="126">
        <f>IFERROR(__xludf.DUMMYFUNCTION("""COMPUTED_VALUE"""),46187.0)</f>
        <v>46187</v>
      </c>
      <c r="C1452" s="122" t="str">
        <f>IFERROR(__xludf.DUMMYFUNCTION("""COMPUTED_VALUE"""),"EDUX")</f>
        <v>EDUX</v>
      </c>
      <c r="D1452" s="122" t="str">
        <f>IFERROR(__xludf.DUMMYFUNCTION("""COMPUTED_VALUE"""),"EduMax Learning")</f>
        <v>EduMax Learning</v>
      </c>
      <c r="E1452" s="122">
        <f>IFERROR(__xludf.DUMMYFUNCTION("""COMPUTED_VALUE"""),131.48)</f>
        <v>131.48</v>
      </c>
      <c r="F1452" s="122">
        <f>IFERROR(__xludf.DUMMYFUNCTION("""COMPUTED_VALUE"""),0.0031)</f>
        <v>0.0031</v>
      </c>
    </row>
    <row r="1453">
      <c r="A1453" s="131">
        <f>IFERROR(__xludf.DUMMYFUNCTION("""COMPUTED_VALUE"""),46187.359247685185)</f>
        <v>46187.35925</v>
      </c>
      <c r="B1453" s="126">
        <f>IFERROR(__xludf.DUMMYFUNCTION("""COMPUTED_VALUE"""),46187.0)</f>
        <v>46187</v>
      </c>
      <c r="C1453" s="122" t="str">
        <f>IFERROR(__xludf.DUMMYFUNCTION("""COMPUTED_VALUE"""),"BOOK")</f>
        <v>BOOK</v>
      </c>
      <c r="D1453" s="122" t="str">
        <f>IFERROR(__xludf.DUMMYFUNCTION("""COMPUTED_VALUE"""),"BookBridge")</f>
        <v>BookBridge</v>
      </c>
      <c r="E1453" s="122">
        <f>IFERROR(__xludf.DUMMYFUNCTION("""COMPUTED_VALUE"""),112.57)</f>
        <v>112.57</v>
      </c>
      <c r="F1453" s="122">
        <f>IFERROR(__xludf.DUMMYFUNCTION("""COMPUTED_VALUE"""),0.006)</f>
        <v>0.006</v>
      </c>
    </row>
    <row r="1454">
      <c r="A1454" s="131">
        <f>IFERROR(__xludf.DUMMYFUNCTION("""COMPUTED_VALUE"""),46187.359247685185)</f>
        <v>46187.35925</v>
      </c>
      <c r="B1454" s="126">
        <f>IFERROR(__xludf.DUMMYFUNCTION("""COMPUTED_VALUE"""),46187.0)</f>
        <v>46187</v>
      </c>
      <c r="C1454" s="122" t="str">
        <f>IFERROR(__xludf.DUMMYFUNCTION("""COMPUTED_VALUE"""),"TUTR")</f>
        <v>TUTR</v>
      </c>
      <c r="D1454" s="122" t="str">
        <f>IFERROR(__xludf.DUMMYFUNCTION("""COMPUTED_VALUE"""),"TutorTown")</f>
        <v>TutorTown</v>
      </c>
      <c r="E1454" s="122">
        <f>IFERROR(__xludf.DUMMYFUNCTION("""COMPUTED_VALUE"""),90.15)</f>
        <v>90.15</v>
      </c>
      <c r="F1454" s="122">
        <f>IFERROR(__xludf.DUMMYFUNCTION("""COMPUTED_VALUE"""),2.0E-4)</f>
        <v>0.0002</v>
      </c>
    </row>
    <row r="1455">
      <c r="A1455" s="131">
        <f>IFERROR(__xludf.DUMMYFUNCTION("""COMPUTED_VALUE"""),46187.359247685185)</f>
        <v>46187.35925</v>
      </c>
      <c r="B1455" s="126">
        <f>IFERROR(__xludf.DUMMYFUNCTION("""COMPUTED_VALUE"""),46187.0)</f>
        <v>46187</v>
      </c>
      <c r="C1455" s="122" t="str">
        <f>IFERROR(__xludf.DUMMYFUNCTION("""COMPUTED_VALUE"""),"LANG")</f>
        <v>LANG</v>
      </c>
      <c r="D1455" s="122" t="str">
        <f>IFERROR(__xludf.DUMMYFUNCTION("""COMPUTED_VALUE"""),"LinguaLab")</f>
        <v>LinguaLab</v>
      </c>
      <c r="E1455" s="122">
        <f>IFERROR(__xludf.DUMMYFUNCTION("""COMPUTED_VALUE"""),94.68)</f>
        <v>94.68</v>
      </c>
      <c r="F1455" s="122">
        <f>IFERROR(__xludf.DUMMYFUNCTION("""COMPUTED_VALUE"""),-0.0021)</f>
        <v>-0.0021</v>
      </c>
    </row>
    <row r="1456">
      <c r="A1456" s="131">
        <f>IFERROR(__xludf.DUMMYFUNCTION("""COMPUTED_VALUE"""),46187.359247685185)</f>
        <v>46187.35925</v>
      </c>
      <c r="B1456" s="126">
        <f>IFERROR(__xludf.DUMMYFUNCTION("""COMPUTED_VALUE"""),46187.0)</f>
        <v>46187</v>
      </c>
      <c r="C1456" s="122" t="str">
        <f>IFERROR(__xludf.DUMMYFUNCTION("""COMPUTED_VALUE"""),"TEST")</f>
        <v>TEST</v>
      </c>
      <c r="D1456" s="122" t="str">
        <f>IFERROR(__xludf.DUMMYFUNCTION("""COMPUTED_VALUE"""),"TestPrep Pro")</f>
        <v>TestPrep Pro</v>
      </c>
      <c r="E1456" s="122">
        <f>IFERROR(__xludf.DUMMYFUNCTION("""COMPUTED_VALUE"""),101.86)</f>
        <v>101.86</v>
      </c>
      <c r="F1456" s="122">
        <f>IFERROR(__xludf.DUMMYFUNCTION("""COMPUTED_VALUE"""),-0.0039)</f>
        <v>-0.0039</v>
      </c>
    </row>
    <row r="1457">
      <c r="A1457" s="131">
        <f>IFERROR(__xludf.DUMMYFUNCTION("""COMPUTED_VALUE"""),46187.359247685185)</f>
        <v>46187.35925</v>
      </c>
      <c r="B1457" s="126">
        <f>IFERROR(__xludf.DUMMYFUNCTION("""COMPUTED_VALUE"""),46187.0)</f>
        <v>46187</v>
      </c>
      <c r="C1457" s="122" t="str">
        <f>IFERROR(__xludf.DUMMYFUNCTION("""COMPUTED_VALUE"""),"MOVI")</f>
        <v>MOVI</v>
      </c>
      <c r="D1457" s="122" t="str">
        <f>IFERROR(__xludf.DUMMYFUNCTION("""COMPUTED_VALUE"""),"MovieBox")</f>
        <v>MovieBox</v>
      </c>
      <c r="E1457" s="122">
        <f>IFERROR(__xludf.DUMMYFUNCTION("""COMPUTED_VALUE"""),81.14)</f>
        <v>81.14</v>
      </c>
      <c r="F1457" s="122">
        <f>IFERROR(__xludf.DUMMYFUNCTION("""COMPUTED_VALUE"""),0.0058)</f>
        <v>0.0058</v>
      </c>
    </row>
    <row r="1458">
      <c r="A1458" s="131">
        <f>IFERROR(__xludf.DUMMYFUNCTION("""COMPUTED_VALUE"""),46187.359247685185)</f>
        <v>46187.35925</v>
      </c>
      <c r="B1458" s="126">
        <f>IFERROR(__xludf.DUMMYFUNCTION("""COMPUTED_VALUE"""),46187.0)</f>
        <v>46187</v>
      </c>
      <c r="C1458" s="122" t="str">
        <f>IFERROR(__xludf.DUMMYFUNCTION("""COMPUTED_VALUE"""),"MUSC")</f>
        <v>MUSC</v>
      </c>
      <c r="D1458" s="122" t="str">
        <f>IFERROR(__xludf.DUMMYFUNCTION("""COMPUTED_VALUE"""),"MusicWave")</f>
        <v>MusicWave</v>
      </c>
      <c r="E1458" s="122">
        <f>IFERROR(__xludf.DUMMYFUNCTION("""COMPUTED_VALUE"""),96.85)</f>
        <v>96.85</v>
      </c>
      <c r="F1458" s="122">
        <f>IFERROR(__xludf.DUMMYFUNCTION("""COMPUTED_VALUE"""),0.008)</f>
        <v>0.008</v>
      </c>
    </row>
    <row r="1459">
      <c r="A1459" s="131">
        <f>IFERROR(__xludf.DUMMYFUNCTION("""COMPUTED_VALUE"""),46187.359247685185)</f>
        <v>46187.35925</v>
      </c>
      <c r="B1459" s="126">
        <f>IFERROR(__xludf.DUMMYFUNCTION("""COMPUTED_VALUE"""),46187.0)</f>
        <v>46187</v>
      </c>
      <c r="C1459" s="122" t="str">
        <f>IFERROR(__xludf.DUMMYFUNCTION("""COMPUTED_VALUE"""),"IDOL")</f>
        <v>IDOL</v>
      </c>
      <c r="D1459" s="122" t="str">
        <f>IFERROR(__xludf.DUMMYFUNCTION("""COMPUTED_VALUE"""),"Idol Agency")</f>
        <v>Idol Agency</v>
      </c>
      <c r="E1459" s="122">
        <f>IFERROR(__xludf.DUMMYFUNCTION("""COMPUTED_VALUE"""),198.73)</f>
        <v>198.73</v>
      </c>
      <c r="F1459" s="122">
        <f>IFERROR(__xludf.DUMMYFUNCTION("""COMPUTED_VALUE"""),0.0069)</f>
        <v>0.0069</v>
      </c>
    </row>
    <row r="1460">
      <c r="A1460" s="131">
        <f>IFERROR(__xludf.DUMMYFUNCTION("""COMPUTED_VALUE"""),46187.359247685185)</f>
        <v>46187.35925</v>
      </c>
      <c r="B1460" s="126">
        <f>IFERROR(__xludf.DUMMYFUNCTION("""COMPUTED_VALUE"""),46187.0)</f>
        <v>46187</v>
      </c>
      <c r="C1460" s="122" t="str">
        <f>IFERROR(__xludf.DUMMYFUNCTION("""COMPUTED_VALUE"""),"MEME")</f>
        <v>MEME</v>
      </c>
      <c r="D1460" s="122" t="str">
        <f>IFERROR(__xludf.DUMMYFUNCTION("""COMPUTED_VALUE"""),"Meme Media")</f>
        <v>Meme Media</v>
      </c>
      <c r="E1460" s="122">
        <f>IFERROR(__xludf.DUMMYFUNCTION("""COMPUTED_VALUE"""),78.0)</f>
        <v>78</v>
      </c>
      <c r="F1460" s="122">
        <f>IFERROR(__xludf.DUMMYFUNCTION("""COMPUTED_VALUE"""),-0.0067)</f>
        <v>-0.0067</v>
      </c>
    </row>
    <row r="1461">
      <c r="A1461" s="131">
        <f>IFERROR(__xludf.DUMMYFUNCTION("""COMPUTED_VALUE"""),46187.359247685185)</f>
        <v>46187.35925</v>
      </c>
      <c r="B1461" s="126">
        <f>IFERROR(__xludf.DUMMYFUNCTION("""COMPUTED_VALUE"""),46187.0)</f>
        <v>46187</v>
      </c>
      <c r="C1461" s="122" t="str">
        <f>IFERROR(__xludf.DUMMYFUNCTION("""COMPUTED_VALUE"""),"STRM")</f>
        <v>STRM</v>
      </c>
      <c r="D1461" s="122" t="str">
        <f>IFERROR(__xludf.DUMMYFUNCTION("""COMPUTED_VALUE"""),"Streamly")</f>
        <v>Streamly</v>
      </c>
      <c r="E1461" s="122">
        <f>IFERROR(__xludf.DUMMYFUNCTION("""COMPUTED_VALUE"""),134.3)</f>
        <v>134.3</v>
      </c>
      <c r="F1461" s="122">
        <f>IFERROR(__xludf.DUMMYFUNCTION("""COMPUTED_VALUE"""),-0.0083)</f>
        <v>-0.0083</v>
      </c>
    </row>
    <row r="1462">
      <c r="A1462" s="131">
        <f>IFERROR(__xludf.DUMMYFUNCTION("""COMPUTED_VALUE"""),46187.359247685185)</f>
        <v>46187.35925</v>
      </c>
      <c r="B1462" s="126">
        <f>IFERROR(__xludf.DUMMYFUNCTION("""COMPUTED_VALUE"""),46187.0)</f>
        <v>46187</v>
      </c>
      <c r="C1462" s="122" t="str">
        <f>IFERROR(__xludf.DUMMYFUNCTION("""COMPUTED_VALUE"""),"FARM")</f>
        <v>FARM</v>
      </c>
      <c r="D1462" s="122" t="str">
        <f>IFERROR(__xludf.DUMMYFUNCTION("""COMPUTED_VALUE"""),"Future Farms")</f>
        <v>Future Farms</v>
      </c>
      <c r="E1462" s="122">
        <f>IFERROR(__xludf.DUMMYFUNCTION("""COMPUTED_VALUE"""),79.79)</f>
        <v>79.79</v>
      </c>
      <c r="F1462" s="122">
        <f>IFERROR(__xludf.DUMMYFUNCTION("""COMPUTED_VALUE"""),1.0E-4)</f>
        <v>0.0001</v>
      </c>
    </row>
    <row r="1463">
      <c r="A1463" s="131">
        <f>IFERROR(__xludf.DUMMYFUNCTION("""COMPUTED_VALUE"""),46187.359247685185)</f>
        <v>46187.35925</v>
      </c>
      <c r="B1463" s="126">
        <f>IFERROR(__xludf.DUMMYFUNCTION("""COMPUTED_VALUE"""),46187.0)</f>
        <v>46187</v>
      </c>
      <c r="C1463" s="122" t="str">
        <f>IFERROR(__xludf.DUMMYFUNCTION("""COMPUTED_VALUE"""),"MEAT")</f>
        <v>MEAT</v>
      </c>
      <c r="D1463" s="122" t="str">
        <f>IFERROR(__xludf.DUMMYFUNCTION("""COMPUTED_VALUE"""),"MeatWorks")</f>
        <v>MeatWorks</v>
      </c>
      <c r="E1463" s="122">
        <f>IFERROR(__xludf.DUMMYFUNCTION("""COMPUTED_VALUE"""),103.78)</f>
        <v>103.78</v>
      </c>
      <c r="F1463" s="122">
        <f>IFERROR(__xludf.DUMMYFUNCTION("""COMPUTED_VALUE"""),2.0E-4)</f>
        <v>0.0002</v>
      </c>
    </row>
    <row r="1464">
      <c r="A1464" s="131">
        <f>IFERROR(__xludf.DUMMYFUNCTION("""COMPUTED_VALUE"""),46187.359247685185)</f>
        <v>46187.35925</v>
      </c>
      <c r="B1464" s="126">
        <f>IFERROR(__xludf.DUMMYFUNCTION("""COMPUTED_VALUE"""),46187.0)</f>
        <v>46187</v>
      </c>
      <c r="C1464" s="122" t="str">
        <f>IFERROR(__xludf.DUMMYFUNCTION("""COMPUTED_VALUE"""),"VEGI")</f>
        <v>VEGI</v>
      </c>
      <c r="D1464" s="122" t="str">
        <f>IFERROR(__xludf.DUMMYFUNCTION("""COMPUTED_VALUE"""),"Green Basket")</f>
        <v>Green Basket</v>
      </c>
      <c r="E1464" s="122">
        <f>IFERROR(__xludf.DUMMYFUNCTION("""COMPUTED_VALUE"""),83.37)</f>
        <v>83.37</v>
      </c>
      <c r="F1464" s="122">
        <f>IFERROR(__xludf.DUMMYFUNCTION("""COMPUTED_VALUE"""),0.0017)</f>
        <v>0.0017</v>
      </c>
    </row>
    <row r="1465">
      <c r="A1465" s="131">
        <f>IFERROR(__xludf.DUMMYFUNCTION("""COMPUTED_VALUE"""),46187.359247685185)</f>
        <v>46187.35925</v>
      </c>
      <c r="B1465" s="126">
        <f>IFERROR(__xludf.DUMMYFUNCTION("""COMPUTED_VALUE"""),46187.0)</f>
        <v>46187</v>
      </c>
      <c r="C1465" s="122" t="str">
        <f>IFERROR(__xludf.DUMMYFUNCTION("""COMPUTED_VALUE"""),"CAFE")</f>
        <v>CAFE</v>
      </c>
      <c r="D1465" s="122" t="str">
        <f>IFERROR(__xludf.DUMMYFUNCTION("""COMPUTED_VALUE"""),"Cafe Cloud")</f>
        <v>Cafe Cloud</v>
      </c>
      <c r="E1465" s="122">
        <f>IFERROR(__xludf.DUMMYFUNCTION("""COMPUTED_VALUE"""),99.38)</f>
        <v>99.38</v>
      </c>
      <c r="F1465" s="122">
        <f>IFERROR(__xludf.DUMMYFUNCTION("""COMPUTED_VALUE"""),0.0079)</f>
        <v>0.0079</v>
      </c>
    </row>
    <row r="1466">
      <c r="A1466" s="131">
        <f>IFERROR(__xludf.DUMMYFUNCTION("""COMPUTED_VALUE"""),46187.359247685185)</f>
        <v>46187.35925</v>
      </c>
      <c r="B1466" s="126">
        <f>IFERROR(__xludf.DUMMYFUNCTION("""COMPUTED_VALUE"""),46187.0)</f>
        <v>46187</v>
      </c>
      <c r="C1466" s="122" t="str">
        <f>IFERROR(__xludf.DUMMYFUNCTION("""COMPUTED_VALUE"""),"BAKE")</f>
        <v>BAKE</v>
      </c>
      <c r="D1466" s="122" t="str">
        <f>IFERROR(__xludf.DUMMYFUNCTION("""COMPUTED_VALUE"""),"BakeHouse")</f>
        <v>BakeHouse</v>
      </c>
      <c r="E1466" s="122">
        <f>IFERROR(__xludf.DUMMYFUNCTION("""COMPUTED_VALUE"""),100.0)</f>
        <v>100</v>
      </c>
      <c r="F1466" s="122">
        <f>IFERROR(__xludf.DUMMYFUNCTION("""COMPUTED_VALUE"""),0.0048)</f>
        <v>0.0048</v>
      </c>
    </row>
    <row r="1467">
      <c r="A1467" s="131">
        <f>IFERROR(__xludf.DUMMYFUNCTION("""COMPUTED_VALUE"""),46187.359247685185)</f>
        <v>46187.35925</v>
      </c>
      <c r="B1467" s="126">
        <f>IFERROR(__xludf.DUMMYFUNCTION("""COMPUTED_VALUE"""),46187.0)</f>
        <v>46187</v>
      </c>
      <c r="C1467" s="122" t="str">
        <f>IFERROR(__xludf.DUMMYFUNCTION("""COMPUTED_VALUE"""),"OILX")</f>
        <v>OILX</v>
      </c>
      <c r="D1467" s="122" t="str">
        <f>IFERROR(__xludf.DUMMYFUNCTION("""COMPUTED_VALUE"""),"OilMax Energy")</f>
        <v>OilMax Energy</v>
      </c>
      <c r="E1467" s="122">
        <f>IFERROR(__xludf.DUMMYFUNCTION("""COMPUTED_VALUE"""),128.28)</f>
        <v>128.28</v>
      </c>
      <c r="F1467" s="122">
        <f>IFERROR(__xludf.DUMMYFUNCTION("""COMPUTED_VALUE"""),-0.0078)</f>
        <v>-0.0078</v>
      </c>
    </row>
    <row r="1468">
      <c r="A1468" s="131">
        <f>IFERROR(__xludf.DUMMYFUNCTION("""COMPUTED_VALUE"""),46187.359247685185)</f>
        <v>46187.35925</v>
      </c>
      <c r="B1468" s="126">
        <f>IFERROR(__xludf.DUMMYFUNCTION("""COMPUTED_VALUE"""),46187.0)</f>
        <v>46187</v>
      </c>
      <c r="C1468" s="122" t="str">
        <f>IFERROR(__xludf.DUMMYFUNCTION("""COMPUTED_VALUE"""),"SOLR")</f>
        <v>SOLR</v>
      </c>
      <c r="D1468" s="122" t="str">
        <f>IFERROR(__xludf.DUMMYFUNCTION("""COMPUTED_VALUE"""),"SolarSpark")</f>
        <v>SolarSpark</v>
      </c>
      <c r="E1468" s="122">
        <f>IFERROR(__xludf.DUMMYFUNCTION("""COMPUTED_VALUE"""),84.38)</f>
        <v>84.38</v>
      </c>
      <c r="F1468" s="122">
        <f>IFERROR(__xludf.DUMMYFUNCTION("""COMPUTED_VALUE"""),0.0073)</f>
        <v>0.0073</v>
      </c>
    </row>
    <row r="1469">
      <c r="A1469" s="131">
        <f>IFERROR(__xludf.DUMMYFUNCTION("""COMPUTED_VALUE"""),46187.359247685185)</f>
        <v>46187.35925</v>
      </c>
      <c r="B1469" s="126">
        <f>IFERROR(__xludf.DUMMYFUNCTION("""COMPUTED_VALUE"""),46187.0)</f>
        <v>46187</v>
      </c>
      <c r="C1469" s="122" t="str">
        <f>IFERROR(__xludf.DUMMYFUNCTION("""COMPUTED_VALUE"""),"BATT")</f>
        <v>BATT</v>
      </c>
      <c r="D1469" s="122" t="str">
        <f>IFERROR(__xludf.DUMMYFUNCTION("""COMPUTED_VALUE"""),"BatteryBox")</f>
        <v>BatteryBox</v>
      </c>
      <c r="E1469" s="122">
        <f>IFERROR(__xludf.DUMMYFUNCTION("""COMPUTED_VALUE"""),118.39)</f>
        <v>118.39</v>
      </c>
      <c r="F1469" s="122">
        <f>IFERROR(__xludf.DUMMYFUNCTION("""COMPUTED_VALUE"""),0.0049)</f>
        <v>0.0049</v>
      </c>
    </row>
    <row r="1470">
      <c r="A1470" s="131">
        <f>IFERROR(__xludf.DUMMYFUNCTION("""COMPUTED_VALUE"""),46187.359247685185)</f>
        <v>46187.35925</v>
      </c>
      <c r="B1470" s="126">
        <f>IFERROR(__xludf.DUMMYFUNCTION("""COMPUTED_VALUE"""),46187.0)</f>
        <v>46187</v>
      </c>
      <c r="C1470" s="122" t="str">
        <f>IFERROR(__xludf.DUMMYFUNCTION("""COMPUTED_VALUE"""),"WIND")</f>
        <v>WIND</v>
      </c>
      <c r="D1470" s="122" t="str">
        <f>IFERROR(__xludf.DUMMYFUNCTION("""COMPUTED_VALUE"""),"WindWorks")</f>
        <v>WindWorks</v>
      </c>
      <c r="E1470" s="122">
        <f>IFERROR(__xludf.DUMMYFUNCTION("""COMPUTED_VALUE"""),87.56)</f>
        <v>87.56</v>
      </c>
      <c r="F1470" s="122">
        <f>IFERROR(__xludf.DUMMYFUNCTION("""COMPUTED_VALUE"""),-0.0057)</f>
        <v>-0.0057</v>
      </c>
    </row>
    <row r="1471">
      <c r="A1471" s="131">
        <f>IFERROR(__xludf.DUMMYFUNCTION("""COMPUTED_VALUE"""),46187.359247685185)</f>
        <v>46187.35925</v>
      </c>
      <c r="B1471" s="126">
        <f>IFERROR(__xludf.DUMMYFUNCTION("""COMPUTED_VALUE"""),46187.0)</f>
        <v>46187</v>
      </c>
      <c r="C1471" s="122" t="str">
        <f>IFERROR(__xludf.DUMMYFUNCTION("""COMPUTED_VALUE"""),"GRID")</f>
        <v>GRID</v>
      </c>
      <c r="D1471" s="122" t="str">
        <f>IFERROR(__xludf.DUMMYFUNCTION("""COMPUTED_VALUE"""),"GridPower")</f>
        <v>GridPower</v>
      </c>
      <c r="E1471" s="122">
        <f>IFERROR(__xludf.DUMMYFUNCTION("""COMPUTED_VALUE"""),147.85)</f>
        <v>147.85</v>
      </c>
      <c r="F1471" s="122">
        <f>IFERROR(__xludf.DUMMYFUNCTION("""COMPUTED_VALUE"""),0.0019)</f>
        <v>0.0019</v>
      </c>
    </row>
    <row r="1472">
      <c r="A1472" s="131">
        <f>IFERROR(__xludf.DUMMYFUNCTION("""COMPUTED_VALUE"""),46187.359247685185)</f>
        <v>46187.35925</v>
      </c>
      <c r="B1472" s="126">
        <f>IFERROR(__xludf.DUMMYFUNCTION("""COMPUTED_VALUE"""),46187.0)</f>
        <v>46187</v>
      </c>
      <c r="C1472" s="122" t="str">
        <f>IFERROR(__xludf.DUMMYFUNCTION("""COMPUTED_VALUE"""),"HOME")</f>
        <v>HOME</v>
      </c>
      <c r="D1472" s="122" t="str">
        <f>IFERROR(__xludf.DUMMYFUNCTION("""COMPUTED_VALUE"""),"HomeHub")</f>
        <v>HomeHub</v>
      </c>
      <c r="E1472" s="122">
        <f>IFERROR(__xludf.DUMMYFUNCTION("""COMPUTED_VALUE"""),146.1)</f>
        <v>146.1</v>
      </c>
      <c r="F1472" s="122">
        <f>IFERROR(__xludf.DUMMYFUNCTION("""COMPUTED_VALUE"""),-2.0E-4)</f>
        <v>-0.0002</v>
      </c>
    </row>
    <row r="1473">
      <c r="A1473" s="131">
        <f>IFERROR(__xludf.DUMMYFUNCTION("""COMPUTED_VALUE"""),46187.359247685185)</f>
        <v>46187.35925</v>
      </c>
      <c r="B1473" s="126">
        <f>IFERROR(__xludf.DUMMYFUNCTION("""COMPUTED_VALUE"""),46187.0)</f>
        <v>46187</v>
      </c>
      <c r="C1473" s="122" t="str">
        <f>IFERROR(__xludf.DUMMYFUNCTION("""COMPUTED_VALUE"""),"RENT")</f>
        <v>RENT</v>
      </c>
      <c r="D1473" s="122" t="str">
        <f>IFERROR(__xludf.DUMMYFUNCTION("""COMPUTED_VALUE"""),"RentRight")</f>
        <v>RentRight</v>
      </c>
      <c r="E1473" s="122">
        <f>IFERROR(__xludf.DUMMYFUNCTION("""COMPUTED_VALUE"""),94.33)</f>
        <v>94.33</v>
      </c>
      <c r="F1473" s="122">
        <f>IFERROR(__xludf.DUMMYFUNCTION("""COMPUTED_VALUE"""),-0.0038)</f>
        <v>-0.0038</v>
      </c>
    </row>
    <row r="1474">
      <c r="A1474" s="131">
        <f>IFERROR(__xludf.DUMMYFUNCTION("""COMPUTED_VALUE"""),46187.359247685185)</f>
        <v>46187.35925</v>
      </c>
      <c r="B1474" s="126">
        <f>IFERROR(__xludf.DUMMYFUNCTION("""COMPUTED_VALUE"""),46187.0)</f>
        <v>46187</v>
      </c>
      <c r="C1474" s="122" t="str">
        <f>IFERROR(__xludf.DUMMYFUNCTION("""COMPUTED_VALUE"""),"MALL")</f>
        <v>MALL</v>
      </c>
      <c r="D1474" s="122" t="str">
        <f>IFERROR(__xludf.DUMMYFUNCTION("""COMPUTED_VALUE"""),"MegaMall")</f>
        <v>MegaMall</v>
      </c>
      <c r="E1474" s="122">
        <f>IFERROR(__xludf.DUMMYFUNCTION("""COMPUTED_VALUE"""),97.2)</f>
        <v>97.2</v>
      </c>
      <c r="F1474" s="122">
        <f>IFERROR(__xludf.DUMMYFUNCTION("""COMPUTED_VALUE"""),0.0065)</f>
        <v>0.0065</v>
      </c>
    </row>
    <row r="1475">
      <c r="A1475" s="131">
        <f>IFERROR(__xludf.DUMMYFUNCTION("""COMPUTED_VALUE"""),46187.359247685185)</f>
        <v>46187.35925</v>
      </c>
      <c r="B1475" s="126">
        <f>IFERROR(__xludf.DUMMYFUNCTION("""COMPUTED_VALUE"""),46187.0)</f>
        <v>46187</v>
      </c>
      <c r="C1475" s="122" t="str">
        <f>IFERROR(__xludf.DUMMYFUNCTION("""COMPUTED_VALUE"""),"HOTL")</f>
        <v>HOTL</v>
      </c>
      <c r="D1475" s="122" t="str">
        <f>IFERROR(__xludf.DUMMYFUNCTION("""COMPUTED_VALUE"""),"HotelHive")</f>
        <v>HotelHive</v>
      </c>
      <c r="E1475" s="122">
        <f>IFERROR(__xludf.DUMMYFUNCTION("""COMPUTED_VALUE"""),133.12)</f>
        <v>133.12</v>
      </c>
      <c r="F1475" s="122">
        <f>IFERROR(__xludf.DUMMYFUNCTION("""COMPUTED_VALUE"""),0.0073)</f>
        <v>0.0073</v>
      </c>
    </row>
    <row r="1476">
      <c r="A1476" s="131">
        <f>IFERROR(__xludf.DUMMYFUNCTION("""COMPUTED_VALUE"""),46187.359247685185)</f>
        <v>46187.35925</v>
      </c>
      <c r="B1476" s="126">
        <f>IFERROR(__xludf.DUMMYFUNCTION("""COMPUTED_VALUE"""),46187.0)</f>
        <v>46187</v>
      </c>
      <c r="C1476" s="122" t="str">
        <f>IFERROR(__xludf.DUMMYFUNCTION("""COMPUTED_VALUE"""),"LAND")</f>
        <v>LAND</v>
      </c>
      <c r="D1476" s="122" t="str">
        <f>IFERROR(__xludf.DUMMYFUNCTION("""COMPUTED_VALUE"""),"LandLink")</f>
        <v>LandLink</v>
      </c>
      <c r="E1476" s="122">
        <f>IFERROR(__xludf.DUMMYFUNCTION("""COMPUTED_VALUE"""),182.52)</f>
        <v>182.52</v>
      </c>
      <c r="F1476" s="122">
        <f>IFERROR(__xludf.DUMMYFUNCTION("""COMPUTED_VALUE"""),0.0015)</f>
        <v>0.0015</v>
      </c>
    </row>
    <row r="1477">
      <c r="A1477" s="131">
        <f>IFERROR(__xludf.DUMMYFUNCTION("""COMPUTED_VALUE"""),46187.359247685185)</f>
        <v>46187.35925</v>
      </c>
      <c r="B1477" s="126">
        <f>IFERROR(__xludf.DUMMYFUNCTION("""COMPUTED_VALUE"""),46187.0)</f>
        <v>46187</v>
      </c>
      <c r="C1477" s="122" t="str">
        <f>IFERROR(__xludf.DUMMYFUNCTION("""COMPUTED_VALUE"""),"CARS")</f>
        <v>CARS</v>
      </c>
      <c r="D1477" s="122" t="str">
        <f>IFERROR(__xludf.DUMMYFUNCTION("""COMPUTED_VALUE"""),"AutoArena")</f>
        <v>AutoArena</v>
      </c>
      <c r="E1477" s="122">
        <f>IFERROR(__xludf.DUMMYFUNCTION("""COMPUTED_VALUE"""),80.04)</f>
        <v>80.04</v>
      </c>
      <c r="F1477" s="122">
        <f>IFERROR(__xludf.DUMMYFUNCTION("""COMPUTED_VALUE"""),0.0023)</f>
        <v>0.0023</v>
      </c>
    </row>
    <row r="1478">
      <c r="A1478" s="131">
        <f>IFERROR(__xludf.DUMMYFUNCTION("""COMPUTED_VALUE"""),46187.359247685185)</f>
        <v>46187.35925</v>
      </c>
      <c r="B1478" s="126">
        <f>IFERROR(__xludf.DUMMYFUNCTION("""COMPUTED_VALUE"""),46187.0)</f>
        <v>46187</v>
      </c>
      <c r="C1478" s="122" t="str">
        <f>IFERROR(__xludf.DUMMYFUNCTION("""COMPUTED_VALUE"""),"EVGO")</f>
        <v>EVGO</v>
      </c>
      <c r="D1478" s="122" t="str">
        <f>IFERROR(__xludf.DUMMYFUNCTION("""COMPUTED_VALUE"""),"EVGo Motors")</f>
        <v>EVGo Motors</v>
      </c>
      <c r="E1478" s="122">
        <f>IFERROR(__xludf.DUMMYFUNCTION("""COMPUTED_VALUE"""),194.53)</f>
        <v>194.53</v>
      </c>
      <c r="F1478" s="122">
        <f>IFERROR(__xludf.DUMMYFUNCTION("""COMPUTED_VALUE"""),-0.0041)</f>
        <v>-0.0041</v>
      </c>
    </row>
    <row r="1479">
      <c r="A1479" s="131">
        <f>IFERROR(__xludf.DUMMYFUNCTION("""COMPUTED_VALUE"""),46187.359247685185)</f>
        <v>46187.35925</v>
      </c>
      <c r="B1479" s="126">
        <f>IFERROR(__xludf.DUMMYFUNCTION("""COMPUTED_VALUE"""),46187.0)</f>
        <v>46187</v>
      </c>
      <c r="C1479" s="122" t="str">
        <f>IFERROR(__xludf.DUMMYFUNCTION("""COMPUTED_VALUE"""),"TIRE")</f>
        <v>TIRE</v>
      </c>
      <c r="D1479" s="122" t="str">
        <f>IFERROR(__xludf.DUMMYFUNCTION("""COMPUTED_VALUE"""),"TireTown")</f>
        <v>TireTown</v>
      </c>
      <c r="E1479" s="122">
        <f>IFERROR(__xludf.DUMMYFUNCTION("""COMPUTED_VALUE"""),90.67)</f>
        <v>90.67</v>
      </c>
      <c r="F1479" s="122">
        <f>IFERROR(__xludf.DUMMYFUNCTION("""COMPUTED_VALUE"""),0.0055)</f>
        <v>0.0055</v>
      </c>
    </row>
    <row r="1480">
      <c r="A1480" s="131">
        <f>IFERROR(__xludf.DUMMYFUNCTION("""COMPUTED_VALUE"""),46187.359247685185)</f>
        <v>46187.35925</v>
      </c>
      <c r="B1480" s="126">
        <f>IFERROR(__xludf.DUMMYFUNCTION("""COMPUTED_VALUE"""),46187.0)</f>
        <v>46187</v>
      </c>
      <c r="C1480" s="122" t="str">
        <f>IFERROR(__xludf.DUMMYFUNCTION("""COMPUTED_VALUE"""),"BIKE")</f>
        <v>BIKE</v>
      </c>
      <c r="D1480" s="122" t="str">
        <f>IFERROR(__xludf.DUMMYFUNCTION("""COMPUTED_VALUE"""),"BikeBox")</f>
        <v>BikeBox</v>
      </c>
      <c r="E1480" s="122">
        <f>IFERROR(__xludf.DUMMYFUNCTION("""COMPUTED_VALUE"""),53.54)</f>
        <v>53.54</v>
      </c>
      <c r="F1480" s="122">
        <f>IFERROR(__xludf.DUMMYFUNCTION("""COMPUTED_VALUE"""),-0.0046)</f>
        <v>-0.0046</v>
      </c>
    </row>
    <row r="1481">
      <c r="A1481" s="131">
        <f>IFERROR(__xludf.DUMMYFUNCTION("""COMPUTED_VALUE"""),46187.359247685185)</f>
        <v>46187.35925</v>
      </c>
      <c r="B1481" s="126">
        <f>IFERROR(__xludf.DUMMYFUNCTION("""COMPUTED_VALUE"""),46187.0)</f>
        <v>46187</v>
      </c>
      <c r="C1481" s="122" t="str">
        <f>IFERROR(__xludf.DUMMYFUNCTION("""COMPUTED_VALUE"""),"WASH")</f>
        <v>WASH</v>
      </c>
      <c r="D1481" s="122" t="str">
        <f>IFERROR(__xludf.DUMMYFUNCTION("""COMPUTED_VALUE"""),"CarWash Co")</f>
        <v>CarWash Co</v>
      </c>
      <c r="E1481" s="122">
        <f>IFERROR(__xludf.DUMMYFUNCTION("""COMPUTED_VALUE"""),117.4)</f>
        <v>117.4</v>
      </c>
      <c r="F1481" s="122">
        <f>IFERROR(__xludf.DUMMYFUNCTION("""COMPUTED_VALUE"""),0.002)</f>
        <v>0.002</v>
      </c>
    </row>
    <row r="1482">
      <c r="A1482" s="131">
        <f>IFERROR(__xludf.DUMMYFUNCTION("""COMPUTED_VALUE"""),46187.359247685185)</f>
        <v>46187.35925</v>
      </c>
      <c r="B1482" s="126">
        <f>IFERROR(__xludf.DUMMYFUNCTION("""COMPUTED_VALUE"""),46187.0)</f>
        <v>46187</v>
      </c>
      <c r="C1482" s="122" t="str">
        <f>IFERROR(__xludf.DUMMYFUNCTION("""COMPUTED_VALUE"""),"GBND")</f>
        <v>GBND</v>
      </c>
      <c r="D1482" s="122" t="str">
        <f>IFERROR(__xludf.DUMMYFUNCTION("""COMPUTED_VALUE"""),"Classroom Government Bond")</f>
        <v>Classroom Government Bond</v>
      </c>
      <c r="E1482" s="122">
        <f>IFERROR(__xludf.DUMMYFUNCTION("""COMPUTED_VALUE"""),100.89)</f>
        <v>100.89</v>
      </c>
      <c r="F1482" s="122">
        <f>IFERROR(__xludf.DUMMYFUNCTION("""COMPUTED_VALUE"""),0.0)</f>
        <v>0</v>
      </c>
    </row>
    <row r="1483">
      <c r="A1483" s="131">
        <f>IFERROR(__xludf.DUMMYFUNCTION("""COMPUTED_VALUE"""),46187.359247685185)</f>
        <v>46187.35925</v>
      </c>
      <c r="B1483" s="126">
        <f>IFERROR(__xludf.DUMMYFUNCTION("""COMPUTED_VALUE"""),46187.0)</f>
        <v>46187</v>
      </c>
      <c r="C1483" s="122" t="str">
        <f>IFERROR(__xludf.DUMMYFUNCTION("""COMPUTED_VALUE"""),"SBND")</f>
        <v>SBND</v>
      </c>
      <c r="D1483" s="122" t="str">
        <f>IFERROR(__xludf.DUMMYFUNCTION("""COMPUTED_VALUE"""),"School Savings Bond")</f>
        <v>School Savings Bond</v>
      </c>
      <c r="E1483" s="122">
        <f>IFERROR(__xludf.DUMMYFUNCTION("""COMPUTED_VALUE"""),99.33)</f>
        <v>99.33</v>
      </c>
      <c r="F1483" s="122">
        <f>IFERROR(__xludf.DUMMYFUNCTION("""COMPUTED_VALUE"""),1.0E-4)</f>
        <v>0.0001</v>
      </c>
    </row>
    <row r="1484">
      <c r="A1484" s="131">
        <f>IFERROR(__xludf.DUMMYFUNCTION("""COMPUTED_VALUE"""),46187.359247685185)</f>
        <v>46187.35925</v>
      </c>
      <c r="B1484" s="126">
        <f>IFERROR(__xludf.DUMMYFUNCTION("""COMPUTED_VALUE"""),46187.0)</f>
        <v>46187</v>
      </c>
      <c r="C1484" s="122" t="str">
        <f>IFERROR(__xludf.DUMMYFUNCTION("""COMPUTED_VALUE"""),"CBND")</f>
        <v>CBND</v>
      </c>
      <c r="D1484" s="122" t="str">
        <f>IFERROR(__xludf.DUMMYFUNCTION("""COMPUTED_VALUE"""),"Corporate Classroom Bond")</f>
        <v>Corporate Classroom Bond</v>
      </c>
      <c r="E1484" s="122">
        <f>IFERROR(__xludf.DUMMYFUNCTION("""COMPUTED_VALUE"""),97.74)</f>
        <v>97.74</v>
      </c>
      <c r="F1484" s="122">
        <f>IFERROR(__xludf.DUMMYFUNCTION("""COMPUTED_VALUE"""),-3.0E-4)</f>
        <v>-0.0003</v>
      </c>
    </row>
    <row r="1485">
      <c r="A1485" s="131">
        <f>IFERROR(__xludf.DUMMYFUNCTION("""COMPUTED_VALUE"""),46187.359247685185)</f>
        <v>46187.35925</v>
      </c>
      <c r="B1485" s="126">
        <f>IFERROR(__xludf.DUMMYFUNCTION("""COMPUTED_VALUE"""),46187.0)</f>
        <v>46187</v>
      </c>
      <c r="C1485" s="122" t="str">
        <f>IFERROR(__xludf.DUMMYFUNCTION("""COMPUTED_VALUE"""),"TBIL")</f>
        <v>TBIL</v>
      </c>
      <c r="D1485" s="122" t="str">
        <f>IFERROR(__xludf.DUMMYFUNCTION("""COMPUTED_VALUE"""),"Treasury Bill")</f>
        <v>Treasury Bill</v>
      </c>
      <c r="E1485" s="122">
        <f>IFERROR(__xludf.DUMMYFUNCTION("""COMPUTED_VALUE"""),98.04)</f>
        <v>98.04</v>
      </c>
      <c r="F1485" s="122">
        <f>IFERROR(__xludf.DUMMYFUNCTION("""COMPUTED_VALUE"""),-5.0E-4)</f>
        <v>-0.0005</v>
      </c>
    </row>
    <row r="1486">
      <c r="A1486" s="131">
        <f>IFERROR(__xludf.DUMMYFUNCTION("""COMPUTED_VALUE"""),46187.359247685185)</f>
        <v>46187.35925</v>
      </c>
      <c r="B1486" s="126">
        <f>IFERROR(__xludf.DUMMYFUNCTION("""COMPUTED_VALUE"""),46187.0)</f>
        <v>46187</v>
      </c>
      <c r="C1486" s="122" t="str">
        <f>IFERROR(__xludf.DUMMYFUNCTION("""COMPUTED_VALUE"""),"IBND")</f>
        <v>IBND</v>
      </c>
      <c r="D1486" s="122" t="str">
        <f>IFERROR(__xludf.DUMMYFUNCTION("""COMPUTED_VALUE"""),"Inflation Protected Bond")</f>
        <v>Inflation Protected Bond</v>
      </c>
      <c r="E1486" s="122">
        <f>IFERROR(__xludf.DUMMYFUNCTION("""COMPUTED_VALUE"""),100.53)</f>
        <v>100.53</v>
      </c>
      <c r="F1486" s="122">
        <f>IFERROR(__xludf.DUMMYFUNCTION("""COMPUTED_VALUE"""),1.0E-4)</f>
        <v>0.0001</v>
      </c>
    </row>
    <row r="1487">
      <c r="A1487" s="131">
        <f>IFERROR(__xludf.DUMMYFUNCTION("""COMPUTED_VALUE"""),46187.362592592595)</f>
        <v>46187.36259</v>
      </c>
      <c r="B1487" s="126">
        <f>IFERROR(__xludf.DUMMYFUNCTION("""COMPUTED_VALUE"""),46187.0)</f>
        <v>46187</v>
      </c>
      <c r="C1487" s="122" t="str">
        <f>IFERROR(__xludf.DUMMYFUNCTION("""COMPUTED_VALUE"""),"SNAX")</f>
        <v>SNAX</v>
      </c>
      <c r="D1487" s="122" t="str">
        <f>IFERROR(__xludf.DUMMYFUNCTION("""COMPUTED_VALUE"""),"MICA Snacks")</f>
        <v>MICA Snacks</v>
      </c>
      <c r="E1487" s="122">
        <f>IFERROR(__xludf.DUMMYFUNCTION("""COMPUTED_VALUE"""),122.14)</f>
        <v>122.14</v>
      </c>
      <c r="F1487" s="122">
        <f>IFERROR(__xludf.DUMMYFUNCTION("""COMPUTED_VALUE"""),-0.0046)</f>
        <v>-0.0046</v>
      </c>
    </row>
    <row r="1488">
      <c r="A1488" s="131">
        <f>IFERROR(__xludf.DUMMYFUNCTION("""COMPUTED_VALUE"""),46187.362592592595)</f>
        <v>46187.36259</v>
      </c>
      <c r="B1488" s="126">
        <f>IFERROR(__xludf.DUMMYFUNCTION("""COMPUTED_VALUE"""),46187.0)</f>
        <v>46187</v>
      </c>
      <c r="C1488" s="122" t="str">
        <f>IFERROR(__xludf.DUMMYFUNCTION("""COMPUTED_VALUE"""),"RAMN")</f>
        <v>RAMN</v>
      </c>
      <c r="D1488" s="122" t="str">
        <f>IFERROR(__xludf.DUMMYFUNCTION("""COMPUTED_VALUE"""),"Ramen Republic")</f>
        <v>Ramen Republic</v>
      </c>
      <c r="E1488" s="122">
        <f>IFERROR(__xludf.DUMMYFUNCTION("""COMPUTED_VALUE"""),76.91)</f>
        <v>76.91</v>
      </c>
      <c r="F1488" s="122">
        <f>IFERROR(__xludf.DUMMYFUNCTION("""COMPUTED_VALUE"""),-0.0043)</f>
        <v>-0.0043</v>
      </c>
    </row>
    <row r="1489">
      <c r="A1489" s="131">
        <f>IFERROR(__xludf.DUMMYFUNCTION("""COMPUTED_VALUE"""),46187.362592592595)</f>
        <v>46187.36259</v>
      </c>
      <c r="B1489" s="126">
        <f>IFERROR(__xludf.DUMMYFUNCTION("""COMPUTED_VALUE"""),46187.0)</f>
        <v>46187</v>
      </c>
      <c r="C1489" s="122" t="str">
        <f>IFERROR(__xludf.DUMMYFUNCTION("""COMPUTED_VALUE"""),"COLA")</f>
        <v>COLA</v>
      </c>
      <c r="D1489" s="122" t="str">
        <f>IFERROR(__xludf.DUMMYFUNCTION("""COMPUTED_VALUE"""),"K-Pop Cola")</f>
        <v>K-Pop Cola</v>
      </c>
      <c r="E1489" s="122">
        <f>IFERROR(__xludf.DUMMYFUNCTION("""COMPUTED_VALUE"""),103.89)</f>
        <v>103.89</v>
      </c>
      <c r="F1489" s="122">
        <f>IFERROR(__xludf.DUMMYFUNCTION("""COMPUTED_VALUE"""),0.0076)</f>
        <v>0.0076</v>
      </c>
    </row>
    <row r="1490">
      <c r="A1490" s="131">
        <f>IFERROR(__xludf.DUMMYFUNCTION("""COMPUTED_VALUE"""),46187.362592592595)</f>
        <v>46187.36259</v>
      </c>
      <c r="B1490" s="126">
        <f>IFERROR(__xludf.DUMMYFUNCTION("""COMPUTED_VALUE"""),46187.0)</f>
        <v>46187</v>
      </c>
      <c r="C1490" s="122" t="str">
        <f>IFERROR(__xludf.DUMMYFUNCTION("""COMPUTED_VALUE"""),"CHIP")</f>
        <v>CHIP</v>
      </c>
      <c r="D1490" s="122" t="str">
        <f>IFERROR(__xludf.DUMMYFUNCTION("""COMPUTED_VALUE"""),"Chip Empire")</f>
        <v>Chip Empire</v>
      </c>
      <c r="E1490" s="122">
        <f>IFERROR(__xludf.DUMMYFUNCTION("""COMPUTED_VALUE"""),86.63)</f>
        <v>86.63</v>
      </c>
      <c r="F1490" s="122">
        <f>IFERROR(__xludf.DUMMYFUNCTION("""COMPUTED_VALUE"""),5.0E-4)</f>
        <v>0.0005</v>
      </c>
    </row>
    <row r="1491">
      <c r="A1491" s="131">
        <f>IFERROR(__xludf.DUMMYFUNCTION("""COMPUTED_VALUE"""),46187.362592592595)</f>
        <v>46187.36259</v>
      </c>
      <c r="B1491" s="126">
        <f>IFERROR(__xludf.DUMMYFUNCTION("""COMPUTED_VALUE"""),46187.0)</f>
        <v>46187</v>
      </c>
      <c r="C1491" s="122" t="str">
        <f>IFERROR(__xludf.DUMMYFUNCTION("""COMPUTED_VALUE"""),"CAND")</f>
        <v>CAND</v>
      </c>
      <c r="D1491" s="122" t="str">
        <f>IFERROR(__xludf.DUMMYFUNCTION("""COMPUTED_VALUE"""),"Candy Capital")</f>
        <v>Candy Capital</v>
      </c>
      <c r="E1491" s="122">
        <f>IFERROR(__xludf.DUMMYFUNCTION("""COMPUTED_VALUE"""),76.58)</f>
        <v>76.58</v>
      </c>
      <c r="F1491" s="122">
        <f>IFERROR(__xludf.DUMMYFUNCTION("""COMPUTED_VALUE"""),0.0051)</f>
        <v>0.0051</v>
      </c>
    </row>
    <row r="1492">
      <c r="A1492" s="131">
        <f>IFERROR(__xludf.DUMMYFUNCTION("""COMPUTED_VALUE"""),46187.362592592595)</f>
        <v>46187.36259</v>
      </c>
      <c r="B1492" s="126">
        <f>IFERROR(__xludf.DUMMYFUNCTION("""COMPUTED_VALUE"""),46187.0)</f>
        <v>46187</v>
      </c>
      <c r="C1492" s="122" t="str">
        <f>IFERROR(__xludf.DUMMYFUNCTION("""COMPUTED_VALUE"""),"TECH")</f>
        <v>TECH</v>
      </c>
      <c r="D1492" s="122" t="str">
        <f>IFERROR(__xludf.DUMMYFUNCTION("""COMPUTED_VALUE"""),"Dragon Tech")</f>
        <v>Dragon Tech</v>
      </c>
      <c r="E1492" s="122">
        <f>IFERROR(__xludf.DUMMYFUNCTION("""COMPUTED_VALUE"""),242.66)</f>
        <v>242.66</v>
      </c>
      <c r="F1492" s="122">
        <f>IFERROR(__xludf.DUMMYFUNCTION("""COMPUTED_VALUE"""),0.0063)</f>
        <v>0.0063</v>
      </c>
    </row>
    <row r="1493">
      <c r="A1493" s="131">
        <f>IFERROR(__xludf.DUMMYFUNCTION("""COMPUTED_VALUE"""),46187.362592592595)</f>
        <v>46187.36259</v>
      </c>
      <c r="B1493" s="126">
        <f>IFERROR(__xludf.DUMMYFUNCTION("""COMPUTED_VALUE"""),46187.0)</f>
        <v>46187</v>
      </c>
      <c r="C1493" s="122" t="str">
        <f>IFERROR(__xludf.DUMMYFUNCTION("""COMPUTED_VALUE"""),"AIBO")</f>
        <v>AIBO</v>
      </c>
      <c r="D1493" s="122" t="str">
        <f>IFERROR(__xludf.DUMMYFUNCTION("""COMPUTED_VALUE"""),"Homework AI")</f>
        <v>Homework AI</v>
      </c>
      <c r="E1493" s="122">
        <f>IFERROR(__xludf.DUMMYFUNCTION("""COMPUTED_VALUE"""),163.97)</f>
        <v>163.97</v>
      </c>
      <c r="F1493" s="122">
        <f>IFERROR(__xludf.DUMMYFUNCTION("""COMPUTED_VALUE"""),-0.0033)</f>
        <v>-0.0033</v>
      </c>
    </row>
    <row r="1494">
      <c r="A1494" s="131">
        <f>IFERROR(__xludf.DUMMYFUNCTION("""COMPUTED_VALUE"""),46187.362592592595)</f>
        <v>46187.36259</v>
      </c>
      <c r="B1494" s="126">
        <f>IFERROR(__xludf.DUMMYFUNCTION("""COMPUTED_VALUE"""),46187.0)</f>
        <v>46187</v>
      </c>
      <c r="C1494" s="122" t="str">
        <f>IFERROR(__xludf.DUMMYFUNCTION("""COMPUTED_VALUE"""),"GAME")</f>
        <v>GAME</v>
      </c>
      <c r="D1494" s="122" t="str">
        <f>IFERROR(__xludf.DUMMYFUNCTION("""COMPUTED_VALUE"""),"GameBox Media")</f>
        <v>GameBox Media</v>
      </c>
      <c r="E1494" s="122">
        <f>IFERROR(__xludf.DUMMYFUNCTION("""COMPUTED_VALUE"""),89.9)</f>
        <v>89.9</v>
      </c>
      <c r="F1494" s="122">
        <f>IFERROR(__xludf.DUMMYFUNCTION("""COMPUTED_VALUE"""),0.0102)</f>
        <v>0.0102</v>
      </c>
    </row>
    <row r="1495">
      <c r="A1495" s="131">
        <f>IFERROR(__xludf.DUMMYFUNCTION("""COMPUTED_VALUE"""),46187.362592592595)</f>
        <v>46187.36259</v>
      </c>
      <c r="B1495" s="126">
        <f>IFERROR(__xludf.DUMMYFUNCTION("""COMPUTED_VALUE"""),46187.0)</f>
        <v>46187</v>
      </c>
      <c r="C1495" s="122" t="str">
        <f>IFERROR(__xludf.DUMMYFUNCTION("""COMPUTED_VALUE"""),"VRSE")</f>
        <v>VRSE</v>
      </c>
      <c r="D1495" s="122" t="str">
        <f>IFERROR(__xludf.DUMMYFUNCTION("""COMPUTED_VALUE"""),"VerseVR")</f>
        <v>VerseVR</v>
      </c>
      <c r="E1495" s="122">
        <f>IFERROR(__xludf.DUMMYFUNCTION("""COMPUTED_VALUE"""),148.05)</f>
        <v>148.05</v>
      </c>
      <c r="F1495" s="122">
        <f>IFERROR(__xludf.DUMMYFUNCTION("""COMPUTED_VALUE"""),-0.0032)</f>
        <v>-0.0032</v>
      </c>
    </row>
    <row r="1496">
      <c r="A1496" s="131">
        <f>IFERROR(__xludf.DUMMYFUNCTION("""COMPUTED_VALUE"""),46187.362592592595)</f>
        <v>46187.36259</v>
      </c>
      <c r="B1496" s="126">
        <f>IFERROR(__xludf.DUMMYFUNCTION("""COMPUTED_VALUE"""),46187.0)</f>
        <v>46187</v>
      </c>
      <c r="C1496" s="122" t="str">
        <f>IFERROR(__xludf.DUMMYFUNCTION("""COMPUTED_VALUE"""),"BYTE")</f>
        <v>BYTE</v>
      </c>
      <c r="D1496" s="122" t="str">
        <f>IFERROR(__xludf.DUMMYFUNCTION("""COMPUTED_VALUE"""),"ByteWorks")</f>
        <v>ByteWorks</v>
      </c>
      <c r="E1496" s="122">
        <f>IFERROR(__xludf.DUMMYFUNCTION("""COMPUTED_VALUE"""),109.9)</f>
        <v>109.9</v>
      </c>
      <c r="F1496" s="122">
        <f>IFERROR(__xludf.DUMMYFUNCTION("""COMPUTED_VALUE"""),-0.0059)</f>
        <v>-0.0059</v>
      </c>
    </row>
    <row r="1497">
      <c r="A1497" s="131">
        <f>IFERROR(__xludf.DUMMYFUNCTION("""COMPUTED_VALUE"""),46187.362592592595)</f>
        <v>46187.36259</v>
      </c>
      <c r="B1497" s="126">
        <f>IFERROR(__xludf.DUMMYFUNCTION("""COMPUTED_VALUE"""),46187.0)</f>
        <v>46187</v>
      </c>
      <c r="C1497" s="122" t="str">
        <f>IFERROR(__xludf.DUMMYFUNCTION("""COMPUTED_VALUE"""),"BANK")</f>
        <v>BANK</v>
      </c>
      <c r="D1497" s="122" t="str">
        <f>IFERROR(__xludf.DUMMYFUNCTION("""COMPUTED_VALUE"""),"Tiger Bank")</f>
        <v>Tiger Bank</v>
      </c>
      <c r="E1497" s="122">
        <f>IFERROR(__xludf.DUMMYFUNCTION("""COMPUTED_VALUE"""),124.04)</f>
        <v>124.04</v>
      </c>
      <c r="F1497" s="122">
        <f>IFERROR(__xludf.DUMMYFUNCTION("""COMPUTED_VALUE"""),-6.0E-4)</f>
        <v>-0.0006</v>
      </c>
    </row>
    <row r="1498">
      <c r="A1498" s="131">
        <f>IFERROR(__xludf.DUMMYFUNCTION("""COMPUTED_VALUE"""),46187.362592592595)</f>
        <v>46187.36259</v>
      </c>
      <c r="B1498" s="126">
        <f>IFERROR(__xludf.DUMMYFUNCTION("""COMPUTED_VALUE"""),46187.0)</f>
        <v>46187</v>
      </c>
      <c r="C1498" s="122" t="str">
        <f>IFERROR(__xludf.DUMMYFUNCTION("""COMPUTED_VALUE"""),"CRED")</f>
        <v>CRED</v>
      </c>
      <c r="D1498" s="122" t="str">
        <f>IFERROR(__xludf.DUMMYFUNCTION("""COMPUTED_VALUE"""),"Credit Castle")</f>
        <v>Credit Castle</v>
      </c>
      <c r="E1498" s="122">
        <f>IFERROR(__xludf.DUMMYFUNCTION("""COMPUTED_VALUE"""),68.83)</f>
        <v>68.83</v>
      </c>
      <c r="F1498" s="122">
        <f>IFERROR(__xludf.DUMMYFUNCTION("""COMPUTED_VALUE"""),0.0053)</f>
        <v>0.0053</v>
      </c>
    </row>
    <row r="1499">
      <c r="A1499" s="131">
        <f>IFERROR(__xludf.DUMMYFUNCTION("""COMPUTED_VALUE"""),46187.362592592595)</f>
        <v>46187.36259</v>
      </c>
      <c r="B1499" s="126">
        <f>IFERROR(__xludf.DUMMYFUNCTION("""COMPUTED_VALUE"""),46187.0)</f>
        <v>46187</v>
      </c>
      <c r="C1499" s="122" t="str">
        <f>IFERROR(__xludf.DUMMYFUNCTION("""COMPUTED_VALUE"""),"BOND")</f>
        <v>BOND</v>
      </c>
      <c r="D1499" s="122" t="str">
        <f>IFERROR(__xludf.DUMMYFUNCTION("""COMPUTED_VALUE"""),"BondBridge")</f>
        <v>BondBridge</v>
      </c>
      <c r="E1499" s="122">
        <f>IFERROR(__xludf.DUMMYFUNCTION("""COMPUTED_VALUE"""),95.76)</f>
        <v>95.76</v>
      </c>
      <c r="F1499" s="122">
        <f>IFERROR(__xludf.DUMMYFUNCTION("""COMPUTED_VALUE"""),0.003)</f>
        <v>0.003</v>
      </c>
    </row>
    <row r="1500">
      <c r="A1500" s="131">
        <f>IFERROR(__xludf.DUMMYFUNCTION("""COMPUTED_VALUE"""),46187.362592592595)</f>
        <v>46187.36259</v>
      </c>
      <c r="B1500" s="126">
        <f>IFERROR(__xludf.DUMMYFUNCTION("""COMPUTED_VALUE"""),46187.0)</f>
        <v>46187</v>
      </c>
      <c r="C1500" s="122" t="str">
        <f>IFERROR(__xludf.DUMMYFUNCTION("""COMPUTED_VALUE"""),"INSR")</f>
        <v>INSR</v>
      </c>
      <c r="D1500" s="122" t="str">
        <f>IFERROR(__xludf.DUMMYFUNCTION("""COMPUTED_VALUE"""),"Shield Insurance")</f>
        <v>Shield Insurance</v>
      </c>
      <c r="E1500" s="122">
        <f>IFERROR(__xludf.DUMMYFUNCTION("""COMPUTED_VALUE"""),157.15)</f>
        <v>157.15</v>
      </c>
      <c r="F1500" s="122">
        <f>IFERROR(__xludf.DUMMYFUNCTION("""COMPUTED_VALUE"""),0.0037)</f>
        <v>0.0037</v>
      </c>
    </row>
    <row r="1501">
      <c r="A1501" s="131">
        <f>IFERROR(__xludf.DUMMYFUNCTION("""COMPUTED_VALUE"""),46187.362592592595)</f>
        <v>46187.36259</v>
      </c>
      <c r="B1501" s="126">
        <f>IFERROR(__xludf.DUMMYFUNCTION("""COMPUTED_VALUE"""),46187.0)</f>
        <v>46187</v>
      </c>
      <c r="C1501" s="122" t="str">
        <f>IFERROR(__xludf.DUMMYFUNCTION("""COMPUTED_VALUE"""),"LOAN")</f>
        <v>LOAN</v>
      </c>
      <c r="D1501" s="122" t="str">
        <f>IFERROR(__xludf.DUMMYFUNCTION("""COMPUTED_VALUE"""),"LoanLab")</f>
        <v>LoanLab</v>
      </c>
      <c r="E1501" s="122">
        <f>IFERROR(__xludf.DUMMYFUNCTION("""COMPUTED_VALUE"""),60.63)</f>
        <v>60.63</v>
      </c>
      <c r="F1501" s="122">
        <f>IFERROR(__xludf.DUMMYFUNCTION("""COMPUTED_VALUE"""),-5.0E-4)</f>
        <v>-0.0005</v>
      </c>
    </row>
    <row r="1502">
      <c r="A1502" s="131">
        <f>IFERROR(__xludf.DUMMYFUNCTION("""COMPUTED_VALUE"""),46187.362592592595)</f>
        <v>46187.36259</v>
      </c>
      <c r="B1502" s="126">
        <f>IFERROR(__xludf.DUMMYFUNCTION("""COMPUTED_VALUE"""),46187.0)</f>
        <v>46187</v>
      </c>
      <c r="C1502" s="122" t="str">
        <f>IFERROR(__xludf.DUMMYFUNCTION("""COMPUTED_VALUE"""),"LUXE")</f>
        <v>LUXE</v>
      </c>
      <c r="D1502" s="122" t="str">
        <f>IFERROR(__xludf.DUMMYFUNCTION("""COMPUTED_VALUE"""),"Luxury Locker")</f>
        <v>Luxury Locker</v>
      </c>
      <c r="E1502" s="122">
        <f>IFERROR(__xludf.DUMMYFUNCTION("""COMPUTED_VALUE"""),265.75)</f>
        <v>265.75</v>
      </c>
      <c r="F1502" s="122">
        <f>IFERROR(__xludf.DUMMYFUNCTION("""COMPUTED_VALUE"""),-9.0E-4)</f>
        <v>-0.0009</v>
      </c>
    </row>
    <row r="1503">
      <c r="A1503" s="131">
        <f>IFERROR(__xludf.DUMMYFUNCTION("""COMPUTED_VALUE"""),46187.362592592595)</f>
        <v>46187.36259</v>
      </c>
      <c r="B1503" s="126">
        <f>IFERROR(__xludf.DUMMYFUNCTION("""COMPUTED_VALUE"""),46187.0)</f>
        <v>46187</v>
      </c>
      <c r="C1503" s="122" t="str">
        <f>IFERROR(__xludf.DUMMYFUNCTION("""COMPUTED_VALUE"""),"DRIP")</f>
        <v>DRIP</v>
      </c>
      <c r="D1503" s="122" t="str">
        <f>IFERROR(__xludf.DUMMYFUNCTION("""COMPUTED_VALUE"""),"Drip Streetwear")</f>
        <v>Drip Streetwear</v>
      </c>
      <c r="E1503" s="122">
        <f>IFERROR(__xludf.DUMMYFUNCTION("""COMPUTED_VALUE"""),202.84)</f>
        <v>202.84</v>
      </c>
      <c r="F1503" s="122">
        <f>IFERROR(__xludf.DUMMYFUNCTION("""COMPUTED_VALUE"""),-0.0072)</f>
        <v>-0.0072</v>
      </c>
    </row>
    <row r="1504">
      <c r="A1504" s="131">
        <f>IFERROR(__xludf.DUMMYFUNCTION("""COMPUTED_VALUE"""),46187.362592592595)</f>
        <v>46187.36259</v>
      </c>
      <c r="B1504" s="126">
        <f>IFERROR(__xludf.DUMMYFUNCTION("""COMPUTED_VALUE"""),46187.0)</f>
        <v>46187</v>
      </c>
      <c r="C1504" s="122" t="str">
        <f>IFERROR(__xludf.DUMMYFUNCTION("""COMPUTED_VALUE"""),"KICK")</f>
        <v>KICK</v>
      </c>
      <c r="D1504" s="122" t="str">
        <f>IFERROR(__xludf.DUMMYFUNCTION("""COMPUTED_VALUE"""),"KickDrop Sneakers")</f>
        <v>KickDrop Sneakers</v>
      </c>
      <c r="E1504" s="122">
        <f>IFERROR(__xludf.DUMMYFUNCTION("""COMPUTED_VALUE"""),177.03)</f>
        <v>177.03</v>
      </c>
      <c r="F1504" s="122">
        <f>IFERROR(__xludf.DUMMYFUNCTION("""COMPUTED_VALUE"""),-0.0092)</f>
        <v>-0.0092</v>
      </c>
    </row>
    <row r="1505">
      <c r="A1505" s="131">
        <f>IFERROR(__xludf.DUMMYFUNCTION("""COMPUTED_VALUE"""),46187.362592592595)</f>
        <v>46187.36259</v>
      </c>
      <c r="B1505" s="126">
        <f>IFERROR(__xludf.DUMMYFUNCTION("""COMPUTED_VALUE"""),46187.0)</f>
        <v>46187</v>
      </c>
      <c r="C1505" s="122" t="str">
        <f>IFERROR(__xludf.DUMMYFUNCTION("""COMPUTED_VALUE"""),"GLAM")</f>
        <v>GLAM</v>
      </c>
      <c r="D1505" s="122" t="str">
        <f>IFERROR(__xludf.DUMMYFUNCTION("""COMPUTED_VALUE"""),"Glow Cosmetics")</f>
        <v>Glow Cosmetics</v>
      </c>
      <c r="E1505" s="122">
        <f>IFERROR(__xludf.DUMMYFUNCTION("""COMPUTED_VALUE"""),95.35)</f>
        <v>95.35</v>
      </c>
      <c r="F1505" s="122">
        <f>IFERROR(__xludf.DUMMYFUNCTION("""COMPUTED_VALUE"""),0.0025)</f>
        <v>0.0025</v>
      </c>
    </row>
    <row r="1506">
      <c r="A1506" s="131">
        <f>IFERROR(__xludf.DUMMYFUNCTION("""COMPUTED_VALUE"""),46187.362592592595)</f>
        <v>46187.36259</v>
      </c>
      <c r="B1506" s="126">
        <f>IFERROR(__xludf.DUMMYFUNCTION("""COMPUTED_VALUE"""),46187.0)</f>
        <v>46187</v>
      </c>
      <c r="C1506" s="122" t="str">
        <f>IFERROR(__xludf.DUMMYFUNCTION("""COMPUTED_VALUE"""),"BAGG")</f>
        <v>BAGG</v>
      </c>
      <c r="D1506" s="122" t="str">
        <f>IFERROR(__xludf.DUMMYFUNCTION("""COMPUTED_VALUE"""),"BagVault")</f>
        <v>BagVault</v>
      </c>
      <c r="E1506" s="122">
        <f>IFERROR(__xludf.DUMMYFUNCTION("""COMPUTED_VALUE"""),241.57)</f>
        <v>241.57</v>
      </c>
      <c r="F1506" s="122">
        <f>IFERROR(__xludf.DUMMYFUNCTION("""COMPUTED_VALUE"""),-0.0024)</f>
        <v>-0.0024</v>
      </c>
    </row>
    <row r="1507">
      <c r="A1507" s="131">
        <f>IFERROR(__xludf.DUMMYFUNCTION("""COMPUTED_VALUE"""),46187.362592592595)</f>
        <v>46187.36259</v>
      </c>
      <c r="B1507" s="126">
        <f>IFERROR(__xludf.DUMMYFUNCTION("""COMPUTED_VALUE"""),46187.0)</f>
        <v>46187</v>
      </c>
      <c r="C1507" s="122" t="str">
        <f>IFERROR(__xludf.DUMMYFUNCTION("""COMPUTED_VALUE"""),"FAST")</f>
        <v>FAST</v>
      </c>
      <c r="D1507" s="122" t="str">
        <f>IFERROR(__xludf.DUMMYFUNCTION("""COMPUTED_VALUE"""),"Flash Logistics")</f>
        <v>Flash Logistics</v>
      </c>
      <c r="E1507" s="122">
        <f>IFERROR(__xludf.DUMMYFUNCTION("""COMPUTED_VALUE"""),101.59)</f>
        <v>101.59</v>
      </c>
      <c r="F1507" s="122">
        <f>IFERROR(__xludf.DUMMYFUNCTION("""COMPUTED_VALUE"""),-0.0025)</f>
        <v>-0.0025</v>
      </c>
    </row>
    <row r="1508">
      <c r="A1508" s="131">
        <f>IFERROR(__xludf.DUMMYFUNCTION("""COMPUTED_VALUE"""),46187.362592592595)</f>
        <v>46187.36259</v>
      </c>
      <c r="B1508" s="126">
        <f>IFERROR(__xludf.DUMMYFUNCTION("""COMPUTED_VALUE"""),46187.0)</f>
        <v>46187</v>
      </c>
      <c r="C1508" s="122" t="str">
        <f>IFERROR(__xludf.DUMMYFUNCTION("""COMPUTED_VALUE"""),"SHIP")</f>
        <v>SHIP</v>
      </c>
      <c r="D1508" s="122" t="str">
        <f>IFERROR(__xludf.DUMMYFUNCTION("""COMPUTED_VALUE"""),"Seoul Shipping")</f>
        <v>Seoul Shipping</v>
      </c>
      <c r="E1508" s="122">
        <f>IFERROR(__xludf.DUMMYFUNCTION("""COMPUTED_VALUE"""),116.9)</f>
        <v>116.9</v>
      </c>
      <c r="F1508" s="122">
        <f>IFERROR(__xludf.DUMMYFUNCTION("""COMPUTED_VALUE"""),0.0026)</f>
        <v>0.0026</v>
      </c>
    </row>
    <row r="1509">
      <c r="A1509" s="131">
        <f>IFERROR(__xludf.DUMMYFUNCTION("""COMPUTED_VALUE"""),46187.362592592595)</f>
        <v>46187.36259</v>
      </c>
      <c r="B1509" s="126">
        <f>IFERROR(__xludf.DUMMYFUNCTION("""COMPUTED_VALUE"""),46187.0)</f>
        <v>46187</v>
      </c>
      <c r="C1509" s="122" t="str">
        <f>IFERROR(__xludf.DUMMYFUNCTION("""COMPUTED_VALUE"""),"DRON")</f>
        <v>DRON</v>
      </c>
      <c r="D1509" s="122" t="str">
        <f>IFERROR(__xludf.DUMMYFUNCTION("""COMPUTED_VALUE"""),"DroneDrop")</f>
        <v>DroneDrop</v>
      </c>
      <c r="E1509" s="122">
        <f>IFERROR(__xludf.DUMMYFUNCTION("""COMPUTED_VALUE"""),129.16)</f>
        <v>129.16</v>
      </c>
      <c r="F1509" s="122">
        <f>IFERROR(__xludf.DUMMYFUNCTION("""COMPUTED_VALUE"""),-0.0024)</f>
        <v>-0.0024</v>
      </c>
    </row>
    <row r="1510">
      <c r="A1510" s="131">
        <f>IFERROR(__xludf.DUMMYFUNCTION("""COMPUTED_VALUE"""),46187.362592592595)</f>
        <v>46187.36259</v>
      </c>
      <c r="B1510" s="126">
        <f>IFERROR(__xludf.DUMMYFUNCTION("""COMPUTED_VALUE"""),46187.0)</f>
        <v>46187</v>
      </c>
      <c r="C1510" s="122" t="str">
        <f>IFERROR(__xludf.DUMMYFUNCTION("""COMPUTED_VALUE"""),"RIDE")</f>
        <v>RIDE</v>
      </c>
      <c r="D1510" s="122" t="str">
        <f>IFERROR(__xludf.DUMMYFUNCTION("""COMPUTED_VALUE"""),"QuickRide")</f>
        <v>QuickRide</v>
      </c>
      <c r="E1510" s="122">
        <f>IFERROR(__xludf.DUMMYFUNCTION("""COMPUTED_VALUE"""),95.7)</f>
        <v>95.7</v>
      </c>
      <c r="F1510" s="122">
        <f>IFERROR(__xludf.DUMMYFUNCTION("""COMPUTED_VALUE"""),-0.0063)</f>
        <v>-0.0063</v>
      </c>
    </row>
    <row r="1511">
      <c r="A1511" s="131">
        <f>IFERROR(__xludf.DUMMYFUNCTION("""COMPUTED_VALUE"""),46187.362592592595)</f>
        <v>46187.36259</v>
      </c>
      <c r="B1511" s="126">
        <f>IFERROR(__xludf.DUMMYFUNCTION("""COMPUTED_VALUE"""),46187.0)</f>
        <v>46187</v>
      </c>
      <c r="C1511" s="122" t="str">
        <f>IFERROR(__xludf.DUMMYFUNCTION("""COMPUTED_VALUE"""),"RAIL")</f>
        <v>RAIL</v>
      </c>
      <c r="D1511" s="122" t="str">
        <f>IFERROR(__xludf.DUMMYFUNCTION("""COMPUTED_VALUE"""),"MetroRail Corp")</f>
        <v>MetroRail Corp</v>
      </c>
      <c r="E1511" s="122">
        <f>IFERROR(__xludf.DUMMYFUNCTION("""COMPUTED_VALUE"""),136.96)</f>
        <v>136.96</v>
      </c>
      <c r="F1511" s="122">
        <f>IFERROR(__xludf.DUMMYFUNCTION("""COMPUTED_VALUE"""),6.0E-4)</f>
        <v>0.0006</v>
      </c>
    </row>
    <row r="1512">
      <c r="A1512" s="131">
        <f>IFERROR(__xludf.DUMMYFUNCTION("""COMPUTED_VALUE"""),46187.362592592595)</f>
        <v>46187.36259</v>
      </c>
      <c r="B1512" s="126">
        <f>IFERROR(__xludf.DUMMYFUNCTION("""COMPUTED_VALUE"""),46187.0)</f>
        <v>46187</v>
      </c>
      <c r="C1512" s="122" t="str">
        <f>IFERROR(__xludf.DUMMYFUNCTION("""COMPUTED_VALUE"""),"MEDX")</f>
        <v>MEDX</v>
      </c>
      <c r="D1512" s="122" t="str">
        <f>IFERROR(__xludf.DUMMYFUNCTION("""COMPUTED_VALUE"""),"MediCore")</f>
        <v>MediCore</v>
      </c>
      <c r="E1512" s="122">
        <f>IFERROR(__xludf.DUMMYFUNCTION("""COMPUTED_VALUE"""),136.84)</f>
        <v>136.84</v>
      </c>
      <c r="F1512" s="122">
        <f>IFERROR(__xludf.DUMMYFUNCTION("""COMPUTED_VALUE"""),0.0023)</f>
        <v>0.0023</v>
      </c>
    </row>
    <row r="1513">
      <c r="A1513" s="131">
        <f>IFERROR(__xludf.DUMMYFUNCTION("""COMPUTED_VALUE"""),46187.362592592595)</f>
        <v>46187.36259</v>
      </c>
      <c r="B1513" s="126">
        <f>IFERROR(__xludf.DUMMYFUNCTION("""COMPUTED_VALUE"""),46187.0)</f>
        <v>46187</v>
      </c>
      <c r="C1513" s="122" t="str">
        <f>IFERROR(__xludf.DUMMYFUNCTION("""COMPUTED_VALUE"""),"GYMX")</f>
        <v>GYMX</v>
      </c>
      <c r="D1513" s="122" t="str">
        <f>IFERROR(__xludf.DUMMYFUNCTION("""COMPUTED_VALUE"""),"GymX Fitness")</f>
        <v>GymX Fitness</v>
      </c>
      <c r="E1513" s="122">
        <f>IFERROR(__xludf.DUMMYFUNCTION("""COMPUTED_VALUE"""),86.79)</f>
        <v>86.79</v>
      </c>
      <c r="F1513" s="122">
        <f>IFERROR(__xludf.DUMMYFUNCTION("""COMPUTED_VALUE"""),-0.0034)</f>
        <v>-0.0034</v>
      </c>
    </row>
    <row r="1514">
      <c r="A1514" s="131">
        <f>IFERROR(__xludf.DUMMYFUNCTION("""COMPUTED_VALUE"""),46187.362592592595)</f>
        <v>46187.36259</v>
      </c>
      <c r="B1514" s="126">
        <f>IFERROR(__xludf.DUMMYFUNCTION("""COMPUTED_VALUE"""),46187.0)</f>
        <v>46187</v>
      </c>
      <c r="C1514" s="122" t="str">
        <f>IFERROR(__xludf.DUMMYFUNCTION("""COMPUTED_VALUE"""),"VITA")</f>
        <v>VITA</v>
      </c>
      <c r="D1514" s="122" t="str">
        <f>IFERROR(__xludf.DUMMYFUNCTION("""COMPUTED_VALUE"""),"VitaPlus")</f>
        <v>VitaPlus</v>
      </c>
      <c r="E1514" s="122">
        <f>IFERROR(__xludf.DUMMYFUNCTION("""COMPUTED_VALUE"""),75.15)</f>
        <v>75.15</v>
      </c>
      <c r="F1514" s="122">
        <f>IFERROR(__xludf.DUMMYFUNCTION("""COMPUTED_VALUE"""),0.0049)</f>
        <v>0.0049</v>
      </c>
    </row>
    <row r="1515">
      <c r="A1515" s="131">
        <f>IFERROR(__xludf.DUMMYFUNCTION("""COMPUTED_VALUE"""),46187.362592592595)</f>
        <v>46187.36259</v>
      </c>
      <c r="B1515" s="126">
        <f>IFERROR(__xludf.DUMMYFUNCTION("""COMPUTED_VALUE"""),46187.0)</f>
        <v>46187</v>
      </c>
      <c r="C1515" s="122" t="str">
        <f>IFERROR(__xludf.DUMMYFUNCTION("""COMPUTED_VALUE"""),"CARE")</f>
        <v>CARE</v>
      </c>
      <c r="D1515" s="122" t="str">
        <f>IFERROR(__xludf.DUMMYFUNCTION("""COMPUTED_VALUE"""),"CareCloud")</f>
        <v>CareCloud</v>
      </c>
      <c r="E1515" s="122">
        <f>IFERROR(__xludf.DUMMYFUNCTION("""COMPUTED_VALUE"""),180.93)</f>
        <v>180.93</v>
      </c>
      <c r="F1515" s="122">
        <f>IFERROR(__xludf.DUMMYFUNCTION("""COMPUTED_VALUE"""),0.0064)</f>
        <v>0.0064</v>
      </c>
    </row>
    <row r="1516">
      <c r="A1516" s="131">
        <f>IFERROR(__xludf.DUMMYFUNCTION("""COMPUTED_VALUE"""),46187.362592592595)</f>
        <v>46187.36259</v>
      </c>
      <c r="B1516" s="126">
        <f>IFERROR(__xludf.DUMMYFUNCTION("""COMPUTED_VALUE"""),46187.0)</f>
        <v>46187</v>
      </c>
      <c r="C1516" s="122" t="str">
        <f>IFERROR(__xludf.DUMMYFUNCTION("""COMPUTED_VALUE"""),"DENT")</f>
        <v>DENT</v>
      </c>
      <c r="D1516" s="122" t="str">
        <f>IFERROR(__xludf.DUMMYFUNCTION("""COMPUTED_VALUE"""),"SmileWorks")</f>
        <v>SmileWorks</v>
      </c>
      <c r="E1516" s="122">
        <f>IFERROR(__xludf.DUMMYFUNCTION("""COMPUTED_VALUE"""),81.76)</f>
        <v>81.76</v>
      </c>
      <c r="F1516" s="122">
        <f>IFERROR(__xludf.DUMMYFUNCTION("""COMPUTED_VALUE"""),0.001)</f>
        <v>0.001</v>
      </c>
    </row>
    <row r="1517">
      <c r="A1517" s="131">
        <f>IFERROR(__xludf.DUMMYFUNCTION("""COMPUTED_VALUE"""),46187.362592592595)</f>
        <v>46187.36259</v>
      </c>
      <c r="B1517" s="126">
        <f>IFERROR(__xludf.DUMMYFUNCTION("""COMPUTED_VALUE"""),46187.0)</f>
        <v>46187</v>
      </c>
      <c r="C1517" s="122" t="str">
        <f>IFERROR(__xludf.DUMMYFUNCTION("""COMPUTED_VALUE"""),"EDUX")</f>
        <v>EDUX</v>
      </c>
      <c r="D1517" s="122" t="str">
        <f>IFERROR(__xludf.DUMMYFUNCTION("""COMPUTED_VALUE"""),"EduMax Learning")</f>
        <v>EduMax Learning</v>
      </c>
      <c r="E1517" s="122">
        <f>IFERROR(__xludf.DUMMYFUNCTION("""COMPUTED_VALUE"""),131.65)</f>
        <v>131.65</v>
      </c>
      <c r="F1517" s="122">
        <f>IFERROR(__xludf.DUMMYFUNCTION("""COMPUTED_VALUE"""),0.0013)</f>
        <v>0.0013</v>
      </c>
    </row>
    <row r="1518">
      <c r="A1518" s="131">
        <f>IFERROR(__xludf.DUMMYFUNCTION("""COMPUTED_VALUE"""),46187.362592592595)</f>
        <v>46187.36259</v>
      </c>
      <c r="B1518" s="126">
        <f>IFERROR(__xludf.DUMMYFUNCTION("""COMPUTED_VALUE"""),46187.0)</f>
        <v>46187</v>
      </c>
      <c r="C1518" s="122" t="str">
        <f>IFERROR(__xludf.DUMMYFUNCTION("""COMPUTED_VALUE"""),"BOOK")</f>
        <v>BOOK</v>
      </c>
      <c r="D1518" s="122" t="str">
        <f>IFERROR(__xludf.DUMMYFUNCTION("""COMPUTED_VALUE"""),"BookBridge")</f>
        <v>BookBridge</v>
      </c>
      <c r="E1518" s="122">
        <f>IFERROR(__xludf.DUMMYFUNCTION("""COMPUTED_VALUE"""),112.96)</f>
        <v>112.96</v>
      </c>
      <c r="F1518" s="122">
        <f>IFERROR(__xludf.DUMMYFUNCTION("""COMPUTED_VALUE"""),0.0035)</f>
        <v>0.0035</v>
      </c>
    </row>
    <row r="1519">
      <c r="A1519" s="131">
        <f>IFERROR(__xludf.DUMMYFUNCTION("""COMPUTED_VALUE"""),46187.362592592595)</f>
        <v>46187.36259</v>
      </c>
      <c r="B1519" s="126">
        <f>IFERROR(__xludf.DUMMYFUNCTION("""COMPUTED_VALUE"""),46187.0)</f>
        <v>46187</v>
      </c>
      <c r="C1519" s="122" t="str">
        <f>IFERROR(__xludf.DUMMYFUNCTION("""COMPUTED_VALUE"""),"TUTR")</f>
        <v>TUTR</v>
      </c>
      <c r="D1519" s="122" t="str">
        <f>IFERROR(__xludf.DUMMYFUNCTION("""COMPUTED_VALUE"""),"TutorTown")</f>
        <v>TutorTown</v>
      </c>
      <c r="E1519" s="122">
        <f>IFERROR(__xludf.DUMMYFUNCTION("""COMPUTED_VALUE"""),89.93)</f>
        <v>89.93</v>
      </c>
      <c r="F1519" s="122">
        <f>IFERROR(__xludf.DUMMYFUNCTION("""COMPUTED_VALUE"""),-0.0024)</f>
        <v>-0.0024</v>
      </c>
    </row>
    <row r="1520">
      <c r="A1520" s="131">
        <f>IFERROR(__xludf.DUMMYFUNCTION("""COMPUTED_VALUE"""),46187.362592592595)</f>
        <v>46187.36259</v>
      </c>
      <c r="B1520" s="126">
        <f>IFERROR(__xludf.DUMMYFUNCTION("""COMPUTED_VALUE"""),46187.0)</f>
        <v>46187</v>
      </c>
      <c r="C1520" s="122" t="str">
        <f>IFERROR(__xludf.DUMMYFUNCTION("""COMPUTED_VALUE"""),"LANG")</f>
        <v>LANG</v>
      </c>
      <c r="D1520" s="122" t="str">
        <f>IFERROR(__xludf.DUMMYFUNCTION("""COMPUTED_VALUE"""),"LinguaLab")</f>
        <v>LinguaLab</v>
      </c>
      <c r="E1520" s="122">
        <f>IFERROR(__xludf.DUMMYFUNCTION("""COMPUTED_VALUE"""),95.14)</f>
        <v>95.14</v>
      </c>
      <c r="F1520" s="122">
        <f>IFERROR(__xludf.DUMMYFUNCTION("""COMPUTED_VALUE"""),0.0049)</f>
        <v>0.0049</v>
      </c>
    </row>
    <row r="1521">
      <c r="A1521" s="131">
        <f>IFERROR(__xludf.DUMMYFUNCTION("""COMPUTED_VALUE"""),46187.362592592595)</f>
        <v>46187.36259</v>
      </c>
      <c r="B1521" s="126">
        <f>IFERROR(__xludf.DUMMYFUNCTION("""COMPUTED_VALUE"""),46187.0)</f>
        <v>46187</v>
      </c>
      <c r="C1521" s="122" t="str">
        <f>IFERROR(__xludf.DUMMYFUNCTION("""COMPUTED_VALUE"""),"TEST")</f>
        <v>TEST</v>
      </c>
      <c r="D1521" s="122" t="str">
        <f>IFERROR(__xludf.DUMMYFUNCTION("""COMPUTED_VALUE"""),"TestPrep Pro")</f>
        <v>TestPrep Pro</v>
      </c>
      <c r="E1521" s="122">
        <f>IFERROR(__xludf.DUMMYFUNCTION("""COMPUTED_VALUE"""),101.38)</f>
        <v>101.38</v>
      </c>
      <c r="F1521" s="122">
        <f>IFERROR(__xludf.DUMMYFUNCTION("""COMPUTED_VALUE"""),-0.0047)</f>
        <v>-0.0047</v>
      </c>
    </row>
    <row r="1522">
      <c r="A1522" s="131">
        <f>IFERROR(__xludf.DUMMYFUNCTION("""COMPUTED_VALUE"""),46187.362592592595)</f>
        <v>46187.36259</v>
      </c>
      <c r="B1522" s="126">
        <f>IFERROR(__xludf.DUMMYFUNCTION("""COMPUTED_VALUE"""),46187.0)</f>
        <v>46187</v>
      </c>
      <c r="C1522" s="122" t="str">
        <f>IFERROR(__xludf.DUMMYFUNCTION("""COMPUTED_VALUE"""),"MOVI")</f>
        <v>MOVI</v>
      </c>
      <c r="D1522" s="122" t="str">
        <f>IFERROR(__xludf.DUMMYFUNCTION("""COMPUTED_VALUE"""),"MovieBox")</f>
        <v>MovieBox</v>
      </c>
      <c r="E1522" s="122">
        <f>IFERROR(__xludf.DUMMYFUNCTION("""COMPUTED_VALUE"""),81.71)</f>
        <v>81.71</v>
      </c>
      <c r="F1522" s="122">
        <f>IFERROR(__xludf.DUMMYFUNCTION("""COMPUTED_VALUE"""),0.007)</f>
        <v>0.007</v>
      </c>
    </row>
    <row r="1523">
      <c r="A1523" s="131">
        <f>IFERROR(__xludf.DUMMYFUNCTION("""COMPUTED_VALUE"""),46187.362592592595)</f>
        <v>46187.36259</v>
      </c>
      <c r="B1523" s="126">
        <f>IFERROR(__xludf.DUMMYFUNCTION("""COMPUTED_VALUE"""),46187.0)</f>
        <v>46187</v>
      </c>
      <c r="C1523" s="122" t="str">
        <f>IFERROR(__xludf.DUMMYFUNCTION("""COMPUTED_VALUE"""),"MUSC")</f>
        <v>MUSC</v>
      </c>
      <c r="D1523" s="122" t="str">
        <f>IFERROR(__xludf.DUMMYFUNCTION("""COMPUTED_VALUE"""),"MusicWave")</f>
        <v>MusicWave</v>
      </c>
      <c r="E1523" s="122">
        <f>IFERROR(__xludf.DUMMYFUNCTION("""COMPUTED_VALUE"""),96.5)</f>
        <v>96.5</v>
      </c>
      <c r="F1523" s="122">
        <f>IFERROR(__xludf.DUMMYFUNCTION("""COMPUTED_VALUE"""),-0.0036)</f>
        <v>-0.0036</v>
      </c>
    </row>
    <row r="1524">
      <c r="A1524" s="131">
        <f>IFERROR(__xludf.DUMMYFUNCTION("""COMPUTED_VALUE"""),46187.362592592595)</f>
        <v>46187.36259</v>
      </c>
      <c r="B1524" s="126">
        <f>IFERROR(__xludf.DUMMYFUNCTION("""COMPUTED_VALUE"""),46187.0)</f>
        <v>46187</v>
      </c>
      <c r="C1524" s="122" t="str">
        <f>IFERROR(__xludf.DUMMYFUNCTION("""COMPUTED_VALUE"""),"IDOL")</f>
        <v>IDOL</v>
      </c>
      <c r="D1524" s="122" t="str">
        <f>IFERROR(__xludf.DUMMYFUNCTION("""COMPUTED_VALUE"""),"Idol Agency")</f>
        <v>Idol Agency</v>
      </c>
      <c r="E1524" s="122">
        <f>IFERROR(__xludf.DUMMYFUNCTION("""COMPUTED_VALUE"""),197.73)</f>
        <v>197.73</v>
      </c>
      <c r="F1524" s="122">
        <f>IFERROR(__xludf.DUMMYFUNCTION("""COMPUTED_VALUE"""),-0.005)</f>
        <v>-0.005</v>
      </c>
    </row>
    <row r="1525">
      <c r="A1525" s="131">
        <f>IFERROR(__xludf.DUMMYFUNCTION("""COMPUTED_VALUE"""),46187.362592592595)</f>
        <v>46187.36259</v>
      </c>
      <c r="B1525" s="126">
        <f>IFERROR(__xludf.DUMMYFUNCTION("""COMPUTED_VALUE"""),46187.0)</f>
        <v>46187</v>
      </c>
      <c r="C1525" s="122" t="str">
        <f>IFERROR(__xludf.DUMMYFUNCTION("""COMPUTED_VALUE"""),"MEME")</f>
        <v>MEME</v>
      </c>
      <c r="D1525" s="122" t="str">
        <f>IFERROR(__xludf.DUMMYFUNCTION("""COMPUTED_VALUE"""),"Meme Media")</f>
        <v>Meme Media</v>
      </c>
      <c r="E1525" s="122">
        <f>IFERROR(__xludf.DUMMYFUNCTION("""COMPUTED_VALUE"""),77.91)</f>
        <v>77.91</v>
      </c>
      <c r="F1525" s="122">
        <f>IFERROR(__xludf.DUMMYFUNCTION("""COMPUTED_VALUE"""),-0.0012)</f>
        <v>-0.0012</v>
      </c>
    </row>
    <row r="1526">
      <c r="A1526" s="131">
        <f>IFERROR(__xludf.DUMMYFUNCTION("""COMPUTED_VALUE"""),46187.362592592595)</f>
        <v>46187.36259</v>
      </c>
      <c r="B1526" s="126">
        <f>IFERROR(__xludf.DUMMYFUNCTION("""COMPUTED_VALUE"""),46187.0)</f>
        <v>46187</v>
      </c>
      <c r="C1526" s="122" t="str">
        <f>IFERROR(__xludf.DUMMYFUNCTION("""COMPUTED_VALUE"""),"STRM")</f>
        <v>STRM</v>
      </c>
      <c r="D1526" s="122" t="str">
        <f>IFERROR(__xludf.DUMMYFUNCTION("""COMPUTED_VALUE"""),"Streamly")</f>
        <v>Streamly</v>
      </c>
      <c r="E1526" s="122">
        <f>IFERROR(__xludf.DUMMYFUNCTION("""COMPUTED_VALUE"""),133.74)</f>
        <v>133.74</v>
      </c>
      <c r="F1526" s="122">
        <f>IFERROR(__xludf.DUMMYFUNCTION("""COMPUTED_VALUE"""),-0.0042)</f>
        <v>-0.0042</v>
      </c>
    </row>
    <row r="1527">
      <c r="A1527" s="131">
        <f>IFERROR(__xludf.DUMMYFUNCTION("""COMPUTED_VALUE"""),46187.362592592595)</f>
        <v>46187.36259</v>
      </c>
      <c r="B1527" s="126">
        <f>IFERROR(__xludf.DUMMYFUNCTION("""COMPUTED_VALUE"""),46187.0)</f>
        <v>46187</v>
      </c>
      <c r="C1527" s="122" t="str">
        <f>IFERROR(__xludf.DUMMYFUNCTION("""COMPUTED_VALUE"""),"FARM")</f>
        <v>FARM</v>
      </c>
      <c r="D1527" s="122" t="str">
        <f>IFERROR(__xludf.DUMMYFUNCTION("""COMPUTED_VALUE"""),"Future Farms")</f>
        <v>Future Farms</v>
      </c>
      <c r="E1527" s="122">
        <f>IFERROR(__xludf.DUMMYFUNCTION("""COMPUTED_VALUE"""),79.93)</f>
        <v>79.93</v>
      </c>
      <c r="F1527" s="122">
        <f>IFERROR(__xludf.DUMMYFUNCTION("""COMPUTED_VALUE"""),0.0018)</f>
        <v>0.0018</v>
      </c>
    </row>
    <row r="1528">
      <c r="A1528" s="131">
        <f>IFERROR(__xludf.DUMMYFUNCTION("""COMPUTED_VALUE"""),46187.362592592595)</f>
        <v>46187.36259</v>
      </c>
      <c r="B1528" s="126">
        <f>IFERROR(__xludf.DUMMYFUNCTION("""COMPUTED_VALUE"""),46187.0)</f>
        <v>46187</v>
      </c>
      <c r="C1528" s="122" t="str">
        <f>IFERROR(__xludf.DUMMYFUNCTION("""COMPUTED_VALUE"""),"MEAT")</f>
        <v>MEAT</v>
      </c>
      <c r="D1528" s="122" t="str">
        <f>IFERROR(__xludf.DUMMYFUNCTION("""COMPUTED_VALUE"""),"MeatWorks")</f>
        <v>MeatWorks</v>
      </c>
      <c r="E1528" s="122">
        <f>IFERROR(__xludf.DUMMYFUNCTION("""COMPUTED_VALUE"""),103.42)</f>
        <v>103.42</v>
      </c>
      <c r="F1528" s="122">
        <f>IFERROR(__xludf.DUMMYFUNCTION("""COMPUTED_VALUE"""),-0.0035)</f>
        <v>-0.0035</v>
      </c>
    </row>
    <row r="1529">
      <c r="A1529" s="131">
        <f>IFERROR(__xludf.DUMMYFUNCTION("""COMPUTED_VALUE"""),46187.362592592595)</f>
        <v>46187.36259</v>
      </c>
      <c r="B1529" s="126">
        <f>IFERROR(__xludf.DUMMYFUNCTION("""COMPUTED_VALUE"""),46187.0)</f>
        <v>46187</v>
      </c>
      <c r="C1529" s="122" t="str">
        <f>IFERROR(__xludf.DUMMYFUNCTION("""COMPUTED_VALUE"""),"VEGI")</f>
        <v>VEGI</v>
      </c>
      <c r="D1529" s="122" t="str">
        <f>IFERROR(__xludf.DUMMYFUNCTION("""COMPUTED_VALUE"""),"Green Basket")</f>
        <v>Green Basket</v>
      </c>
      <c r="E1529" s="122">
        <f>IFERROR(__xludf.DUMMYFUNCTION("""COMPUTED_VALUE"""),83.32)</f>
        <v>83.32</v>
      </c>
      <c r="F1529" s="122">
        <f>IFERROR(__xludf.DUMMYFUNCTION("""COMPUTED_VALUE"""),-6.0E-4)</f>
        <v>-0.0006</v>
      </c>
    </row>
    <row r="1530">
      <c r="A1530" s="131">
        <f>IFERROR(__xludf.DUMMYFUNCTION("""COMPUTED_VALUE"""),46187.362592592595)</f>
        <v>46187.36259</v>
      </c>
      <c r="B1530" s="126">
        <f>IFERROR(__xludf.DUMMYFUNCTION("""COMPUTED_VALUE"""),46187.0)</f>
        <v>46187</v>
      </c>
      <c r="C1530" s="122" t="str">
        <f>IFERROR(__xludf.DUMMYFUNCTION("""COMPUTED_VALUE"""),"CAFE")</f>
        <v>CAFE</v>
      </c>
      <c r="D1530" s="122" t="str">
        <f>IFERROR(__xludf.DUMMYFUNCTION("""COMPUTED_VALUE"""),"Cafe Cloud")</f>
        <v>Cafe Cloud</v>
      </c>
      <c r="E1530" s="122">
        <f>IFERROR(__xludf.DUMMYFUNCTION("""COMPUTED_VALUE"""),100.29)</f>
        <v>100.29</v>
      </c>
      <c r="F1530" s="122">
        <f>IFERROR(__xludf.DUMMYFUNCTION("""COMPUTED_VALUE"""),0.0092)</f>
        <v>0.0092</v>
      </c>
    </row>
    <row r="1531">
      <c r="A1531" s="131">
        <f>IFERROR(__xludf.DUMMYFUNCTION("""COMPUTED_VALUE"""),46187.362592592595)</f>
        <v>46187.36259</v>
      </c>
      <c r="B1531" s="126">
        <f>IFERROR(__xludf.DUMMYFUNCTION("""COMPUTED_VALUE"""),46187.0)</f>
        <v>46187</v>
      </c>
      <c r="C1531" s="122" t="str">
        <f>IFERROR(__xludf.DUMMYFUNCTION("""COMPUTED_VALUE"""),"BAKE")</f>
        <v>BAKE</v>
      </c>
      <c r="D1531" s="122" t="str">
        <f>IFERROR(__xludf.DUMMYFUNCTION("""COMPUTED_VALUE"""),"BakeHouse")</f>
        <v>BakeHouse</v>
      </c>
      <c r="E1531" s="122">
        <f>IFERROR(__xludf.DUMMYFUNCTION("""COMPUTED_VALUE"""),100.47)</f>
        <v>100.47</v>
      </c>
      <c r="F1531" s="122">
        <f>IFERROR(__xludf.DUMMYFUNCTION("""COMPUTED_VALUE"""),0.0047)</f>
        <v>0.0047</v>
      </c>
    </row>
    <row r="1532">
      <c r="A1532" s="131">
        <f>IFERROR(__xludf.DUMMYFUNCTION("""COMPUTED_VALUE"""),46187.362592592595)</f>
        <v>46187.36259</v>
      </c>
      <c r="B1532" s="126">
        <f>IFERROR(__xludf.DUMMYFUNCTION("""COMPUTED_VALUE"""),46187.0)</f>
        <v>46187</v>
      </c>
      <c r="C1532" s="122" t="str">
        <f>IFERROR(__xludf.DUMMYFUNCTION("""COMPUTED_VALUE"""),"OILX")</f>
        <v>OILX</v>
      </c>
      <c r="D1532" s="122" t="str">
        <f>IFERROR(__xludf.DUMMYFUNCTION("""COMPUTED_VALUE"""),"OilMax Energy")</f>
        <v>OilMax Energy</v>
      </c>
      <c r="E1532" s="122">
        <f>IFERROR(__xludf.DUMMYFUNCTION("""COMPUTED_VALUE"""),127.64)</f>
        <v>127.64</v>
      </c>
      <c r="F1532" s="122">
        <f>IFERROR(__xludf.DUMMYFUNCTION("""COMPUTED_VALUE"""),-0.005)</f>
        <v>-0.005</v>
      </c>
    </row>
    <row r="1533">
      <c r="A1533" s="131">
        <f>IFERROR(__xludf.DUMMYFUNCTION("""COMPUTED_VALUE"""),46187.362592592595)</f>
        <v>46187.36259</v>
      </c>
      <c r="B1533" s="126">
        <f>IFERROR(__xludf.DUMMYFUNCTION("""COMPUTED_VALUE"""),46187.0)</f>
        <v>46187</v>
      </c>
      <c r="C1533" s="122" t="str">
        <f>IFERROR(__xludf.DUMMYFUNCTION("""COMPUTED_VALUE"""),"SOLR")</f>
        <v>SOLR</v>
      </c>
      <c r="D1533" s="122" t="str">
        <f>IFERROR(__xludf.DUMMYFUNCTION("""COMPUTED_VALUE"""),"SolarSpark")</f>
        <v>SolarSpark</v>
      </c>
      <c r="E1533" s="122">
        <f>IFERROR(__xludf.DUMMYFUNCTION("""COMPUTED_VALUE"""),85.0)</f>
        <v>85</v>
      </c>
      <c r="F1533" s="122">
        <f>IFERROR(__xludf.DUMMYFUNCTION("""COMPUTED_VALUE"""),0.0073)</f>
        <v>0.0073</v>
      </c>
    </row>
    <row r="1534">
      <c r="A1534" s="131">
        <f>IFERROR(__xludf.DUMMYFUNCTION("""COMPUTED_VALUE"""),46187.362592592595)</f>
        <v>46187.36259</v>
      </c>
      <c r="B1534" s="126">
        <f>IFERROR(__xludf.DUMMYFUNCTION("""COMPUTED_VALUE"""),46187.0)</f>
        <v>46187</v>
      </c>
      <c r="C1534" s="122" t="str">
        <f>IFERROR(__xludf.DUMMYFUNCTION("""COMPUTED_VALUE"""),"BATT")</f>
        <v>BATT</v>
      </c>
      <c r="D1534" s="122" t="str">
        <f>IFERROR(__xludf.DUMMYFUNCTION("""COMPUTED_VALUE"""),"BatteryBox")</f>
        <v>BatteryBox</v>
      </c>
      <c r="E1534" s="122">
        <f>IFERROR(__xludf.DUMMYFUNCTION("""COMPUTED_VALUE"""),118.91)</f>
        <v>118.91</v>
      </c>
      <c r="F1534" s="122">
        <f>IFERROR(__xludf.DUMMYFUNCTION("""COMPUTED_VALUE"""),0.0044)</f>
        <v>0.0044</v>
      </c>
    </row>
    <row r="1535">
      <c r="A1535" s="131">
        <f>IFERROR(__xludf.DUMMYFUNCTION("""COMPUTED_VALUE"""),46187.362592592595)</f>
        <v>46187.36259</v>
      </c>
      <c r="B1535" s="126">
        <f>IFERROR(__xludf.DUMMYFUNCTION("""COMPUTED_VALUE"""),46187.0)</f>
        <v>46187</v>
      </c>
      <c r="C1535" s="122" t="str">
        <f>IFERROR(__xludf.DUMMYFUNCTION("""COMPUTED_VALUE"""),"WIND")</f>
        <v>WIND</v>
      </c>
      <c r="D1535" s="122" t="str">
        <f>IFERROR(__xludf.DUMMYFUNCTION("""COMPUTED_VALUE"""),"WindWorks")</f>
        <v>WindWorks</v>
      </c>
      <c r="E1535" s="122">
        <f>IFERROR(__xludf.DUMMYFUNCTION("""COMPUTED_VALUE"""),88.16)</f>
        <v>88.16</v>
      </c>
      <c r="F1535" s="122">
        <f>IFERROR(__xludf.DUMMYFUNCTION("""COMPUTED_VALUE"""),0.0069)</f>
        <v>0.0069</v>
      </c>
    </row>
    <row r="1536">
      <c r="A1536" s="131">
        <f>IFERROR(__xludf.DUMMYFUNCTION("""COMPUTED_VALUE"""),46187.362592592595)</f>
        <v>46187.36259</v>
      </c>
      <c r="B1536" s="126">
        <f>IFERROR(__xludf.DUMMYFUNCTION("""COMPUTED_VALUE"""),46187.0)</f>
        <v>46187</v>
      </c>
      <c r="C1536" s="122" t="str">
        <f>IFERROR(__xludf.DUMMYFUNCTION("""COMPUTED_VALUE"""),"GRID")</f>
        <v>GRID</v>
      </c>
      <c r="D1536" s="122" t="str">
        <f>IFERROR(__xludf.DUMMYFUNCTION("""COMPUTED_VALUE"""),"GridPower")</f>
        <v>GridPower</v>
      </c>
      <c r="E1536" s="122">
        <f>IFERROR(__xludf.DUMMYFUNCTION("""COMPUTED_VALUE"""),147.28)</f>
        <v>147.28</v>
      </c>
      <c r="F1536" s="122">
        <f>IFERROR(__xludf.DUMMYFUNCTION("""COMPUTED_VALUE"""),-0.0039)</f>
        <v>-0.0039</v>
      </c>
    </row>
    <row r="1537">
      <c r="A1537" s="131">
        <f>IFERROR(__xludf.DUMMYFUNCTION("""COMPUTED_VALUE"""),46187.362592592595)</f>
        <v>46187.36259</v>
      </c>
      <c r="B1537" s="126">
        <f>IFERROR(__xludf.DUMMYFUNCTION("""COMPUTED_VALUE"""),46187.0)</f>
        <v>46187</v>
      </c>
      <c r="C1537" s="122" t="str">
        <f>IFERROR(__xludf.DUMMYFUNCTION("""COMPUTED_VALUE"""),"HOME")</f>
        <v>HOME</v>
      </c>
      <c r="D1537" s="122" t="str">
        <f>IFERROR(__xludf.DUMMYFUNCTION("""COMPUTED_VALUE"""),"HomeHub")</f>
        <v>HomeHub</v>
      </c>
      <c r="E1537" s="122">
        <f>IFERROR(__xludf.DUMMYFUNCTION("""COMPUTED_VALUE"""),145.99)</f>
        <v>145.99</v>
      </c>
      <c r="F1537" s="122">
        <f>IFERROR(__xludf.DUMMYFUNCTION("""COMPUTED_VALUE"""),-8.0E-4)</f>
        <v>-0.0008</v>
      </c>
    </row>
    <row r="1538">
      <c r="A1538" s="131">
        <f>IFERROR(__xludf.DUMMYFUNCTION("""COMPUTED_VALUE"""),46187.362592592595)</f>
        <v>46187.36259</v>
      </c>
      <c r="B1538" s="126">
        <f>IFERROR(__xludf.DUMMYFUNCTION("""COMPUTED_VALUE"""),46187.0)</f>
        <v>46187</v>
      </c>
      <c r="C1538" s="122" t="str">
        <f>IFERROR(__xludf.DUMMYFUNCTION("""COMPUTED_VALUE"""),"RENT")</f>
        <v>RENT</v>
      </c>
      <c r="D1538" s="122" t="str">
        <f>IFERROR(__xludf.DUMMYFUNCTION("""COMPUTED_VALUE"""),"RentRight")</f>
        <v>RentRight</v>
      </c>
      <c r="E1538" s="122">
        <f>IFERROR(__xludf.DUMMYFUNCTION("""COMPUTED_VALUE"""),93.72)</f>
        <v>93.72</v>
      </c>
      <c r="F1538" s="122">
        <f>IFERROR(__xludf.DUMMYFUNCTION("""COMPUTED_VALUE"""),-0.0065)</f>
        <v>-0.0065</v>
      </c>
    </row>
    <row r="1539">
      <c r="A1539" s="131">
        <f>IFERROR(__xludf.DUMMYFUNCTION("""COMPUTED_VALUE"""),46187.362592592595)</f>
        <v>46187.36259</v>
      </c>
      <c r="B1539" s="126">
        <f>IFERROR(__xludf.DUMMYFUNCTION("""COMPUTED_VALUE"""),46187.0)</f>
        <v>46187</v>
      </c>
      <c r="C1539" s="122" t="str">
        <f>IFERROR(__xludf.DUMMYFUNCTION("""COMPUTED_VALUE"""),"MALL")</f>
        <v>MALL</v>
      </c>
      <c r="D1539" s="122" t="str">
        <f>IFERROR(__xludf.DUMMYFUNCTION("""COMPUTED_VALUE"""),"MegaMall")</f>
        <v>MegaMall</v>
      </c>
      <c r="E1539" s="122">
        <f>IFERROR(__xludf.DUMMYFUNCTION("""COMPUTED_VALUE"""),97.72)</f>
        <v>97.72</v>
      </c>
      <c r="F1539" s="122">
        <f>IFERROR(__xludf.DUMMYFUNCTION("""COMPUTED_VALUE"""),0.0053)</f>
        <v>0.0053</v>
      </c>
    </row>
    <row r="1540">
      <c r="A1540" s="131">
        <f>IFERROR(__xludf.DUMMYFUNCTION("""COMPUTED_VALUE"""),46187.362592592595)</f>
        <v>46187.36259</v>
      </c>
      <c r="B1540" s="126">
        <f>IFERROR(__xludf.DUMMYFUNCTION("""COMPUTED_VALUE"""),46187.0)</f>
        <v>46187</v>
      </c>
      <c r="C1540" s="122" t="str">
        <f>IFERROR(__xludf.DUMMYFUNCTION("""COMPUTED_VALUE"""),"HOTL")</f>
        <v>HOTL</v>
      </c>
      <c r="D1540" s="122" t="str">
        <f>IFERROR(__xludf.DUMMYFUNCTION("""COMPUTED_VALUE"""),"HotelHive")</f>
        <v>HotelHive</v>
      </c>
      <c r="E1540" s="122">
        <f>IFERROR(__xludf.DUMMYFUNCTION("""COMPUTED_VALUE"""),134.17)</f>
        <v>134.17</v>
      </c>
      <c r="F1540" s="122">
        <f>IFERROR(__xludf.DUMMYFUNCTION("""COMPUTED_VALUE"""),0.0079)</f>
        <v>0.0079</v>
      </c>
    </row>
    <row r="1541">
      <c r="A1541" s="131">
        <f>IFERROR(__xludf.DUMMYFUNCTION("""COMPUTED_VALUE"""),46187.362592592595)</f>
        <v>46187.36259</v>
      </c>
      <c r="B1541" s="126">
        <f>IFERROR(__xludf.DUMMYFUNCTION("""COMPUTED_VALUE"""),46187.0)</f>
        <v>46187</v>
      </c>
      <c r="C1541" s="122" t="str">
        <f>IFERROR(__xludf.DUMMYFUNCTION("""COMPUTED_VALUE"""),"LAND")</f>
        <v>LAND</v>
      </c>
      <c r="D1541" s="122" t="str">
        <f>IFERROR(__xludf.DUMMYFUNCTION("""COMPUTED_VALUE"""),"LandLink")</f>
        <v>LandLink</v>
      </c>
      <c r="E1541" s="122">
        <f>IFERROR(__xludf.DUMMYFUNCTION("""COMPUTED_VALUE"""),181.99)</f>
        <v>181.99</v>
      </c>
      <c r="F1541" s="122">
        <f>IFERROR(__xludf.DUMMYFUNCTION("""COMPUTED_VALUE"""),-0.0029)</f>
        <v>-0.0029</v>
      </c>
    </row>
    <row r="1542">
      <c r="A1542" s="131">
        <f>IFERROR(__xludf.DUMMYFUNCTION("""COMPUTED_VALUE"""),46187.362592592595)</f>
        <v>46187.36259</v>
      </c>
      <c r="B1542" s="126">
        <f>IFERROR(__xludf.DUMMYFUNCTION("""COMPUTED_VALUE"""),46187.0)</f>
        <v>46187</v>
      </c>
      <c r="C1542" s="122" t="str">
        <f>IFERROR(__xludf.DUMMYFUNCTION("""COMPUTED_VALUE"""),"CARS")</f>
        <v>CARS</v>
      </c>
      <c r="D1542" s="122" t="str">
        <f>IFERROR(__xludf.DUMMYFUNCTION("""COMPUTED_VALUE"""),"AutoArena")</f>
        <v>AutoArena</v>
      </c>
      <c r="E1542" s="122">
        <f>IFERROR(__xludf.DUMMYFUNCTION("""COMPUTED_VALUE"""),79.49)</f>
        <v>79.49</v>
      </c>
      <c r="F1542" s="122">
        <f>IFERROR(__xludf.DUMMYFUNCTION("""COMPUTED_VALUE"""),-0.0069)</f>
        <v>-0.0069</v>
      </c>
    </row>
    <row r="1543">
      <c r="A1543" s="131">
        <f>IFERROR(__xludf.DUMMYFUNCTION("""COMPUTED_VALUE"""),46187.362592592595)</f>
        <v>46187.36259</v>
      </c>
      <c r="B1543" s="126">
        <f>IFERROR(__xludf.DUMMYFUNCTION("""COMPUTED_VALUE"""),46187.0)</f>
        <v>46187</v>
      </c>
      <c r="C1543" s="122" t="str">
        <f>IFERROR(__xludf.DUMMYFUNCTION("""COMPUTED_VALUE"""),"EVGO")</f>
        <v>EVGO</v>
      </c>
      <c r="D1543" s="122" t="str">
        <f>IFERROR(__xludf.DUMMYFUNCTION("""COMPUTED_VALUE"""),"EVGo Motors")</f>
        <v>EVGo Motors</v>
      </c>
      <c r="E1543" s="122">
        <f>IFERROR(__xludf.DUMMYFUNCTION("""COMPUTED_VALUE"""),195.19)</f>
        <v>195.19</v>
      </c>
      <c r="F1543" s="122">
        <f>IFERROR(__xludf.DUMMYFUNCTION("""COMPUTED_VALUE"""),0.0034)</f>
        <v>0.0034</v>
      </c>
    </row>
    <row r="1544">
      <c r="A1544" s="131">
        <f>IFERROR(__xludf.DUMMYFUNCTION("""COMPUTED_VALUE"""),46187.362592592595)</f>
        <v>46187.36259</v>
      </c>
      <c r="B1544" s="126">
        <f>IFERROR(__xludf.DUMMYFUNCTION("""COMPUTED_VALUE"""),46187.0)</f>
        <v>46187</v>
      </c>
      <c r="C1544" s="122" t="str">
        <f>IFERROR(__xludf.DUMMYFUNCTION("""COMPUTED_VALUE"""),"TIRE")</f>
        <v>TIRE</v>
      </c>
      <c r="D1544" s="122" t="str">
        <f>IFERROR(__xludf.DUMMYFUNCTION("""COMPUTED_VALUE"""),"TireTown")</f>
        <v>TireTown</v>
      </c>
      <c r="E1544" s="122">
        <f>IFERROR(__xludf.DUMMYFUNCTION("""COMPUTED_VALUE"""),91.17)</f>
        <v>91.17</v>
      </c>
      <c r="F1544" s="122">
        <f>IFERROR(__xludf.DUMMYFUNCTION("""COMPUTED_VALUE"""),0.0055)</f>
        <v>0.0055</v>
      </c>
    </row>
    <row r="1545">
      <c r="A1545" s="131">
        <f>IFERROR(__xludf.DUMMYFUNCTION("""COMPUTED_VALUE"""),46187.362592592595)</f>
        <v>46187.36259</v>
      </c>
      <c r="B1545" s="126">
        <f>IFERROR(__xludf.DUMMYFUNCTION("""COMPUTED_VALUE"""),46187.0)</f>
        <v>46187</v>
      </c>
      <c r="C1545" s="122" t="str">
        <f>IFERROR(__xludf.DUMMYFUNCTION("""COMPUTED_VALUE"""),"BIKE")</f>
        <v>BIKE</v>
      </c>
      <c r="D1545" s="122" t="str">
        <f>IFERROR(__xludf.DUMMYFUNCTION("""COMPUTED_VALUE"""),"BikeBox")</f>
        <v>BikeBox</v>
      </c>
      <c r="E1545" s="122">
        <f>IFERROR(__xludf.DUMMYFUNCTION("""COMPUTED_VALUE"""),53.16)</f>
        <v>53.16</v>
      </c>
      <c r="F1545" s="122">
        <f>IFERROR(__xludf.DUMMYFUNCTION("""COMPUTED_VALUE"""),-0.0071)</f>
        <v>-0.0071</v>
      </c>
    </row>
    <row r="1546">
      <c r="A1546" s="131">
        <f>IFERROR(__xludf.DUMMYFUNCTION("""COMPUTED_VALUE"""),46187.362592592595)</f>
        <v>46187.36259</v>
      </c>
      <c r="B1546" s="126">
        <f>IFERROR(__xludf.DUMMYFUNCTION("""COMPUTED_VALUE"""),46187.0)</f>
        <v>46187</v>
      </c>
      <c r="C1546" s="122" t="str">
        <f>IFERROR(__xludf.DUMMYFUNCTION("""COMPUTED_VALUE"""),"WASH")</f>
        <v>WASH</v>
      </c>
      <c r="D1546" s="122" t="str">
        <f>IFERROR(__xludf.DUMMYFUNCTION("""COMPUTED_VALUE"""),"CarWash Co")</f>
        <v>CarWash Co</v>
      </c>
      <c r="E1546" s="122">
        <f>IFERROR(__xludf.DUMMYFUNCTION("""COMPUTED_VALUE"""),117.73)</f>
        <v>117.73</v>
      </c>
      <c r="F1546" s="122">
        <f>IFERROR(__xludf.DUMMYFUNCTION("""COMPUTED_VALUE"""),0.0028)</f>
        <v>0.0028</v>
      </c>
    </row>
    <row r="1547">
      <c r="A1547" s="131">
        <f>IFERROR(__xludf.DUMMYFUNCTION("""COMPUTED_VALUE"""),46187.362592592595)</f>
        <v>46187.36259</v>
      </c>
      <c r="B1547" s="126">
        <f>IFERROR(__xludf.DUMMYFUNCTION("""COMPUTED_VALUE"""),46187.0)</f>
        <v>46187</v>
      </c>
      <c r="C1547" s="122" t="str">
        <f>IFERROR(__xludf.DUMMYFUNCTION("""COMPUTED_VALUE"""),"GBND")</f>
        <v>GBND</v>
      </c>
      <c r="D1547" s="122" t="str">
        <f>IFERROR(__xludf.DUMMYFUNCTION("""COMPUTED_VALUE"""),"Classroom Government Bond")</f>
        <v>Classroom Government Bond</v>
      </c>
      <c r="E1547" s="122">
        <f>IFERROR(__xludf.DUMMYFUNCTION("""COMPUTED_VALUE"""),100.84)</f>
        <v>100.84</v>
      </c>
      <c r="F1547" s="122">
        <f>IFERROR(__xludf.DUMMYFUNCTION("""COMPUTED_VALUE"""),-5.0E-4)</f>
        <v>-0.0005</v>
      </c>
    </row>
    <row r="1548">
      <c r="A1548" s="131">
        <f>IFERROR(__xludf.DUMMYFUNCTION("""COMPUTED_VALUE"""),46187.362592592595)</f>
        <v>46187.36259</v>
      </c>
      <c r="B1548" s="126">
        <f>IFERROR(__xludf.DUMMYFUNCTION("""COMPUTED_VALUE"""),46187.0)</f>
        <v>46187</v>
      </c>
      <c r="C1548" s="122" t="str">
        <f>IFERROR(__xludf.DUMMYFUNCTION("""COMPUTED_VALUE"""),"SBND")</f>
        <v>SBND</v>
      </c>
      <c r="D1548" s="122" t="str">
        <f>IFERROR(__xludf.DUMMYFUNCTION("""COMPUTED_VALUE"""),"School Savings Bond")</f>
        <v>School Savings Bond</v>
      </c>
      <c r="E1548" s="122">
        <f>IFERROR(__xludf.DUMMYFUNCTION("""COMPUTED_VALUE"""),99.31)</f>
        <v>99.31</v>
      </c>
      <c r="F1548" s="122">
        <f>IFERROR(__xludf.DUMMYFUNCTION("""COMPUTED_VALUE"""),-2.0E-4)</f>
        <v>-0.0002</v>
      </c>
    </row>
    <row r="1549">
      <c r="A1549" s="131">
        <f>IFERROR(__xludf.DUMMYFUNCTION("""COMPUTED_VALUE"""),46187.362592592595)</f>
        <v>46187.36259</v>
      </c>
      <c r="B1549" s="126">
        <f>IFERROR(__xludf.DUMMYFUNCTION("""COMPUTED_VALUE"""),46187.0)</f>
        <v>46187</v>
      </c>
      <c r="C1549" s="122" t="str">
        <f>IFERROR(__xludf.DUMMYFUNCTION("""COMPUTED_VALUE"""),"CBND")</f>
        <v>CBND</v>
      </c>
      <c r="D1549" s="122" t="str">
        <f>IFERROR(__xludf.DUMMYFUNCTION("""COMPUTED_VALUE"""),"Corporate Classroom Bond")</f>
        <v>Corporate Classroom Bond</v>
      </c>
      <c r="E1549" s="122">
        <f>IFERROR(__xludf.DUMMYFUNCTION("""COMPUTED_VALUE"""),97.71)</f>
        <v>97.71</v>
      </c>
      <c r="F1549" s="122">
        <f>IFERROR(__xludf.DUMMYFUNCTION("""COMPUTED_VALUE"""),-3.0E-4)</f>
        <v>-0.0003</v>
      </c>
    </row>
    <row r="1550">
      <c r="A1550" s="131">
        <f>IFERROR(__xludf.DUMMYFUNCTION("""COMPUTED_VALUE"""),46187.362592592595)</f>
        <v>46187.36259</v>
      </c>
      <c r="B1550" s="126">
        <f>IFERROR(__xludf.DUMMYFUNCTION("""COMPUTED_VALUE"""),46187.0)</f>
        <v>46187</v>
      </c>
      <c r="C1550" s="122" t="str">
        <f>IFERROR(__xludf.DUMMYFUNCTION("""COMPUTED_VALUE"""),"TBIL")</f>
        <v>TBIL</v>
      </c>
      <c r="D1550" s="122" t="str">
        <f>IFERROR(__xludf.DUMMYFUNCTION("""COMPUTED_VALUE"""),"Treasury Bill")</f>
        <v>Treasury Bill</v>
      </c>
      <c r="E1550" s="122">
        <f>IFERROR(__xludf.DUMMYFUNCTION("""COMPUTED_VALUE"""),98.0)</f>
        <v>98</v>
      </c>
      <c r="F1550" s="122">
        <f>IFERROR(__xludf.DUMMYFUNCTION("""COMPUTED_VALUE"""),-4.0E-4)</f>
        <v>-0.0004</v>
      </c>
    </row>
    <row r="1551">
      <c r="A1551" s="131">
        <f>IFERROR(__xludf.DUMMYFUNCTION("""COMPUTED_VALUE"""),46187.362592592595)</f>
        <v>46187.36259</v>
      </c>
      <c r="B1551" s="126">
        <f>IFERROR(__xludf.DUMMYFUNCTION("""COMPUTED_VALUE"""),46187.0)</f>
        <v>46187</v>
      </c>
      <c r="C1551" s="122" t="str">
        <f>IFERROR(__xludf.DUMMYFUNCTION("""COMPUTED_VALUE"""),"IBND")</f>
        <v>IBND</v>
      </c>
      <c r="D1551" s="122" t="str">
        <f>IFERROR(__xludf.DUMMYFUNCTION("""COMPUTED_VALUE"""),"Inflation Protected Bond")</f>
        <v>Inflation Protected Bond</v>
      </c>
      <c r="E1551" s="122">
        <f>IFERROR(__xludf.DUMMYFUNCTION("""COMPUTED_VALUE"""),100.55)</f>
        <v>100.55</v>
      </c>
      <c r="F1551" s="122">
        <f>IFERROR(__xludf.DUMMYFUNCTION("""COMPUTED_VALUE"""),2.0E-4)</f>
        <v>0.0002</v>
      </c>
    </row>
    <row r="1552">
      <c r="A1552" s="131">
        <f>IFERROR(__xludf.DUMMYFUNCTION("""COMPUTED_VALUE"""),46187.36670138889)</f>
        <v>46187.3667</v>
      </c>
      <c r="B1552" s="126">
        <f>IFERROR(__xludf.DUMMYFUNCTION("""COMPUTED_VALUE"""),46187.0)</f>
        <v>46187</v>
      </c>
      <c r="C1552" s="122" t="str">
        <f>IFERROR(__xludf.DUMMYFUNCTION("""COMPUTED_VALUE"""),"SNAX")</f>
        <v>SNAX</v>
      </c>
      <c r="D1552" s="122" t="str">
        <f>IFERROR(__xludf.DUMMYFUNCTION("""COMPUTED_VALUE"""),"MICA Snacks")</f>
        <v>MICA Snacks</v>
      </c>
      <c r="E1552" s="122">
        <f>IFERROR(__xludf.DUMMYFUNCTION("""COMPUTED_VALUE"""),122.28)</f>
        <v>122.28</v>
      </c>
      <c r="F1552" s="122">
        <f>IFERROR(__xludf.DUMMYFUNCTION("""COMPUTED_VALUE"""),0.0011)</f>
        <v>0.0011</v>
      </c>
    </row>
    <row r="1553">
      <c r="A1553" s="131">
        <f>IFERROR(__xludf.DUMMYFUNCTION("""COMPUTED_VALUE"""),46187.36670138889)</f>
        <v>46187.3667</v>
      </c>
      <c r="B1553" s="126">
        <f>IFERROR(__xludf.DUMMYFUNCTION("""COMPUTED_VALUE"""),46187.0)</f>
        <v>46187</v>
      </c>
      <c r="C1553" s="122" t="str">
        <f>IFERROR(__xludf.DUMMYFUNCTION("""COMPUTED_VALUE"""),"RAMN")</f>
        <v>RAMN</v>
      </c>
      <c r="D1553" s="122" t="str">
        <f>IFERROR(__xludf.DUMMYFUNCTION("""COMPUTED_VALUE"""),"Ramen Republic")</f>
        <v>Ramen Republic</v>
      </c>
      <c r="E1553" s="122">
        <f>IFERROR(__xludf.DUMMYFUNCTION("""COMPUTED_VALUE"""),76.75)</f>
        <v>76.75</v>
      </c>
      <c r="F1553" s="122">
        <f>IFERROR(__xludf.DUMMYFUNCTION("""COMPUTED_VALUE"""),-0.0021)</f>
        <v>-0.0021</v>
      </c>
    </row>
    <row r="1554">
      <c r="A1554" s="131">
        <f>IFERROR(__xludf.DUMMYFUNCTION("""COMPUTED_VALUE"""),46187.36670138889)</f>
        <v>46187.3667</v>
      </c>
      <c r="B1554" s="126">
        <f>IFERROR(__xludf.DUMMYFUNCTION("""COMPUTED_VALUE"""),46187.0)</f>
        <v>46187</v>
      </c>
      <c r="C1554" s="122" t="str">
        <f>IFERROR(__xludf.DUMMYFUNCTION("""COMPUTED_VALUE"""),"COLA")</f>
        <v>COLA</v>
      </c>
      <c r="D1554" s="122" t="str">
        <f>IFERROR(__xludf.DUMMYFUNCTION("""COMPUTED_VALUE"""),"K-Pop Cola")</f>
        <v>K-Pop Cola</v>
      </c>
      <c r="E1554" s="122">
        <f>IFERROR(__xludf.DUMMYFUNCTION("""COMPUTED_VALUE"""),103.78)</f>
        <v>103.78</v>
      </c>
      <c r="F1554" s="122">
        <f>IFERROR(__xludf.DUMMYFUNCTION("""COMPUTED_VALUE"""),-0.0011)</f>
        <v>-0.0011</v>
      </c>
    </row>
    <row r="1555">
      <c r="A1555" s="131">
        <f>IFERROR(__xludf.DUMMYFUNCTION("""COMPUTED_VALUE"""),46187.36670138889)</f>
        <v>46187.3667</v>
      </c>
      <c r="B1555" s="126">
        <f>IFERROR(__xludf.DUMMYFUNCTION("""COMPUTED_VALUE"""),46187.0)</f>
        <v>46187</v>
      </c>
      <c r="C1555" s="122" t="str">
        <f>IFERROR(__xludf.DUMMYFUNCTION("""COMPUTED_VALUE"""),"CHIP")</f>
        <v>CHIP</v>
      </c>
      <c r="D1555" s="122" t="str">
        <f>IFERROR(__xludf.DUMMYFUNCTION("""COMPUTED_VALUE"""),"Chip Empire")</f>
        <v>Chip Empire</v>
      </c>
      <c r="E1555" s="122">
        <f>IFERROR(__xludf.DUMMYFUNCTION("""COMPUTED_VALUE"""),87.01)</f>
        <v>87.01</v>
      </c>
      <c r="F1555" s="122">
        <f>IFERROR(__xludf.DUMMYFUNCTION("""COMPUTED_VALUE"""),0.0044)</f>
        <v>0.0044</v>
      </c>
    </row>
    <row r="1556">
      <c r="A1556" s="131">
        <f>IFERROR(__xludf.DUMMYFUNCTION("""COMPUTED_VALUE"""),46187.36670138889)</f>
        <v>46187.3667</v>
      </c>
      <c r="B1556" s="126">
        <f>IFERROR(__xludf.DUMMYFUNCTION("""COMPUTED_VALUE"""),46187.0)</f>
        <v>46187</v>
      </c>
      <c r="C1556" s="122" t="str">
        <f>IFERROR(__xludf.DUMMYFUNCTION("""COMPUTED_VALUE"""),"CAND")</f>
        <v>CAND</v>
      </c>
      <c r="D1556" s="122" t="str">
        <f>IFERROR(__xludf.DUMMYFUNCTION("""COMPUTED_VALUE"""),"Candy Capital")</f>
        <v>Candy Capital</v>
      </c>
      <c r="E1556" s="122">
        <f>IFERROR(__xludf.DUMMYFUNCTION("""COMPUTED_VALUE"""),76.51)</f>
        <v>76.51</v>
      </c>
      <c r="F1556" s="122">
        <f>IFERROR(__xludf.DUMMYFUNCTION("""COMPUTED_VALUE"""),-9.0E-4)</f>
        <v>-0.0009</v>
      </c>
    </row>
    <row r="1557">
      <c r="A1557" s="131">
        <f>IFERROR(__xludf.DUMMYFUNCTION("""COMPUTED_VALUE"""),46187.36670138889)</f>
        <v>46187.3667</v>
      </c>
      <c r="B1557" s="126">
        <f>IFERROR(__xludf.DUMMYFUNCTION("""COMPUTED_VALUE"""),46187.0)</f>
        <v>46187</v>
      </c>
      <c r="C1557" s="122" t="str">
        <f>IFERROR(__xludf.DUMMYFUNCTION("""COMPUTED_VALUE"""),"TECH")</f>
        <v>TECH</v>
      </c>
      <c r="D1557" s="122" t="str">
        <f>IFERROR(__xludf.DUMMYFUNCTION("""COMPUTED_VALUE"""),"Dragon Tech")</f>
        <v>Dragon Tech</v>
      </c>
      <c r="E1557" s="122">
        <f>IFERROR(__xludf.DUMMYFUNCTION("""COMPUTED_VALUE"""),242.1)</f>
        <v>242.1</v>
      </c>
      <c r="F1557" s="122">
        <f>IFERROR(__xludf.DUMMYFUNCTION("""COMPUTED_VALUE"""),-0.0023)</f>
        <v>-0.0023</v>
      </c>
    </row>
    <row r="1558">
      <c r="A1558" s="131">
        <f>IFERROR(__xludf.DUMMYFUNCTION("""COMPUTED_VALUE"""),46187.36670138889)</f>
        <v>46187.3667</v>
      </c>
      <c r="B1558" s="126">
        <f>IFERROR(__xludf.DUMMYFUNCTION("""COMPUTED_VALUE"""),46187.0)</f>
        <v>46187</v>
      </c>
      <c r="C1558" s="122" t="str">
        <f>IFERROR(__xludf.DUMMYFUNCTION("""COMPUTED_VALUE"""),"AIBO")</f>
        <v>AIBO</v>
      </c>
      <c r="D1558" s="122" t="str">
        <f>IFERROR(__xludf.DUMMYFUNCTION("""COMPUTED_VALUE"""),"Homework AI")</f>
        <v>Homework AI</v>
      </c>
      <c r="E1558" s="122">
        <f>IFERROR(__xludf.DUMMYFUNCTION("""COMPUTED_VALUE"""),163.2)</f>
        <v>163.2</v>
      </c>
      <c r="F1558" s="122">
        <f>IFERROR(__xludf.DUMMYFUNCTION("""COMPUTED_VALUE"""),-0.0047)</f>
        <v>-0.0047</v>
      </c>
    </row>
    <row r="1559">
      <c r="A1559" s="131">
        <f>IFERROR(__xludf.DUMMYFUNCTION("""COMPUTED_VALUE"""),46187.36670138889)</f>
        <v>46187.3667</v>
      </c>
      <c r="B1559" s="126">
        <f>IFERROR(__xludf.DUMMYFUNCTION("""COMPUTED_VALUE"""),46187.0)</f>
        <v>46187</v>
      </c>
      <c r="C1559" s="122" t="str">
        <f>IFERROR(__xludf.DUMMYFUNCTION("""COMPUTED_VALUE"""),"GAME")</f>
        <v>GAME</v>
      </c>
      <c r="D1559" s="122" t="str">
        <f>IFERROR(__xludf.DUMMYFUNCTION("""COMPUTED_VALUE"""),"GameBox Media")</f>
        <v>GameBox Media</v>
      </c>
      <c r="E1559" s="122">
        <f>IFERROR(__xludf.DUMMYFUNCTION("""COMPUTED_VALUE"""),90.34)</f>
        <v>90.34</v>
      </c>
      <c r="F1559" s="122">
        <f>IFERROR(__xludf.DUMMYFUNCTION("""COMPUTED_VALUE"""),0.0049)</f>
        <v>0.0049</v>
      </c>
    </row>
    <row r="1560">
      <c r="A1560" s="131">
        <f>IFERROR(__xludf.DUMMYFUNCTION("""COMPUTED_VALUE"""),46187.36670138889)</f>
        <v>46187.3667</v>
      </c>
      <c r="B1560" s="126">
        <f>IFERROR(__xludf.DUMMYFUNCTION("""COMPUTED_VALUE"""),46187.0)</f>
        <v>46187</v>
      </c>
      <c r="C1560" s="122" t="str">
        <f>IFERROR(__xludf.DUMMYFUNCTION("""COMPUTED_VALUE"""),"VRSE")</f>
        <v>VRSE</v>
      </c>
      <c r="D1560" s="122" t="str">
        <f>IFERROR(__xludf.DUMMYFUNCTION("""COMPUTED_VALUE"""),"VerseVR")</f>
        <v>VerseVR</v>
      </c>
      <c r="E1560" s="122">
        <f>IFERROR(__xludf.DUMMYFUNCTION("""COMPUTED_VALUE"""),146.84)</f>
        <v>146.84</v>
      </c>
      <c r="F1560" s="122">
        <f>IFERROR(__xludf.DUMMYFUNCTION("""COMPUTED_VALUE"""),-0.0082)</f>
        <v>-0.0082</v>
      </c>
    </row>
    <row r="1561">
      <c r="A1561" s="131">
        <f>IFERROR(__xludf.DUMMYFUNCTION("""COMPUTED_VALUE"""),46187.36670138889)</f>
        <v>46187.3667</v>
      </c>
      <c r="B1561" s="126">
        <f>IFERROR(__xludf.DUMMYFUNCTION("""COMPUTED_VALUE"""),46187.0)</f>
        <v>46187</v>
      </c>
      <c r="C1561" s="122" t="str">
        <f>IFERROR(__xludf.DUMMYFUNCTION("""COMPUTED_VALUE"""),"BYTE")</f>
        <v>BYTE</v>
      </c>
      <c r="D1561" s="122" t="str">
        <f>IFERROR(__xludf.DUMMYFUNCTION("""COMPUTED_VALUE"""),"ByteWorks")</f>
        <v>ByteWorks</v>
      </c>
      <c r="E1561" s="122">
        <f>IFERROR(__xludf.DUMMYFUNCTION("""COMPUTED_VALUE"""),109.88)</f>
        <v>109.88</v>
      </c>
      <c r="F1561" s="122">
        <f>IFERROR(__xludf.DUMMYFUNCTION("""COMPUTED_VALUE"""),-2.0E-4)</f>
        <v>-0.0002</v>
      </c>
    </row>
    <row r="1562">
      <c r="A1562" s="131">
        <f>IFERROR(__xludf.DUMMYFUNCTION("""COMPUTED_VALUE"""),46187.36670138889)</f>
        <v>46187.3667</v>
      </c>
      <c r="B1562" s="126">
        <f>IFERROR(__xludf.DUMMYFUNCTION("""COMPUTED_VALUE"""),46187.0)</f>
        <v>46187</v>
      </c>
      <c r="C1562" s="122" t="str">
        <f>IFERROR(__xludf.DUMMYFUNCTION("""COMPUTED_VALUE"""),"BANK")</f>
        <v>BANK</v>
      </c>
      <c r="D1562" s="122" t="str">
        <f>IFERROR(__xludf.DUMMYFUNCTION("""COMPUTED_VALUE"""),"Tiger Bank")</f>
        <v>Tiger Bank</v>
      </c>
      <c r="E1562" s="122">
        <f>IFERROR(__xludf.DUMMYFUNCTION("""COMPUTED_VALUE"""),124.19)</f>
        <v>124.19</v>
      </c>
      <c r="F1562" s="122">
        <f>IFERROR(__xludf.DUMMYFUNCTION("""COMPUTED_VALUE"""),0.0012)</f>
        <v>0.0012</v>
      </c>
    </row>
    <row r="1563">
      <c r="A1563" s="131">
        <f>IFERROR(__xludf.DUMMYFUNCTION("""COMPUTED_VALUE"""),46187.36670138889)</f>
        <v>46187.3667</v>
      </c>
      <c r="B1563" s="126">
        <f>IFERROR(__xludf.DUMMYFUNCTION("""COMPUTED_VALUE"""),46187.0)</f>
        <v>46187</v>
      </c>
      <c r="C1563" s="122" t="str">
        <f>IFERROR(__xludf.DUMMYFUNCTION("""COMPUTED_VALUE"""),"CRED")</f>
        <v>CRED</v>
      </c>
      <c r="D1563" s="122" t="str">
        <f>IFERROR(__xludf.DUMMYFUNCTION("""COMPUTED_VALUE"""),"Credit Castle")</f>
        <v>Credit Castle</v>
      </c>
      <c r="E1563" s="122">
        <f>IFERROR(__xludf.DUMMYFUNCTION("""COMPUTED_VALUE"""),68.98)</f>
        <v>68.98</v>
      </c>
      <c r="F1563" s="122">
        <f>IFERROR(__xludf.DUMMYFUNCTION("""COMPUTED_VALUE"""),0.0022)</f>
        <v>0.0022</v>
      </c>
    </row>
    <row r="1564">
      <c r="A1564" s="131">
        <f>IFERROR(__xludf.DUMMYFUNCTION("""COMPUTED_VALUE"""),46187.36670138889)</f>
        <v>46187.3667</v>
      </c>
      <c r="B1564" s="126">
        <f>IFERROR(__xludf.DUMMYFUNCTION("""COMPUTED_VALUE"""),46187.0)</f>
        <v>46187</v>
      </c>
      <c r="C1564" s="122" t="str">
        <f>IFERROR(__xludf.DUMMYFUNCTION("""COMPUTED_VALUE"""),"BOND")</f>
        <v>BOND</v>
      </c>
      <c r="D1564" s="122" t="str">
        <f>IFERROR(__xludf.DUMMYFUNCTION("""COMPUTED_VALUE"""),"BondBridge")</f>
        <v>BondBridge</v>
      </c>
      <c r="E1564" s="122">
        <f>IFERROR(__xludf.DUMMYFUNCTION("""COMPUTED_VALUE"""),96.05)</f>
        <v>96.05</v>
      </c>
      <c r="F1564" s="122">
        <f>IFERROR(__xludf.DUMMYFUNCTION("""COMPUTED_VALUE"""),0.003)</f>
        <v>0.003</v>
      </c>
    </row>
    <row r="1565">
      <c r="A1565" s="131">
        <f>IFERROR(__xludf.DUMMYFUNCTION("""COMPUTED_VALUE"""),46187.36670138889)</f>
        <v>46187.3667</v>
      </c>
      <c r="B1565" s="126">
        <f>IFERROR(__xludf.DUMMYFUNCTION("""COMPUTED_VALUE"""),46187.0)</f>
        <v>46187</v>
      </c>
      <c r="C1565" s="122" t="str">
        <f>IFERROR(__xludf.DUMMYFUNCTION("""COMPUTED_VALUE"""),"INSR")</f>
        <v>INSR</v>
      </c>
      <c r="D1565" s="122" t="str">
        <f>IFERROR(__xludf.DUMMYFUNCTION("""COMPUTED_VALUE"""),"Shield Insurance")</f>
        <v>Shield Insurance</v>
      </c>
      <c r="E1565" s="122">
        <f>IFERROR(__xludf.DUMMYFUNCTION("""COMPUTED_VALUE"""),157.37)</f>
        <v>157.37</v>
      </c>
      <c r="F1565" s="122">
        <f>IFERROR(__xludf.DUMMYFUNCTION("""COMPUTED_VALUE"""),0.0014)</f>
        <v>0.0014</v>
      </c>
    </row>
    <row r="1566">
      <c r="A1566" s="131">
        <f>IFERROR(__xludf.DUMMYFUNCTION("""COMPUTED_VALUE"""),46187.36670138889)</f>
        <v>46187.3667</v>
      </c>
      <c r="B1566" s="126">
        <f>IFERROR(__xludf.DUMMYFUNCTION("""COMPUTED_VALUE"""),46187.0)</f>
        <v>46187</v>
      </c>
      <c r="C1566" s="122" t="str">
        <f>IFERROR(__xludf.DUMMYFUNCTION("""COMPUTED_VALUE"""),"LOAN")</f>
        <v>LOAN</v>
      </c>
      <c r="D1566" s="122" t="str">
        <f>IFERROR(__xludf.DUMMYFUNCTION("""COMPUTED_VALUE"""),"LoanLab")</f>
        <v>LoanLab</v>
      </c>
      <c r="E1566" s="122">
        <f>IFERROR(__xludf.DUMMYFUNCTION("""COMPUTED_VALUE"""),60.68)</f>
        <v>60.68</v>
      </c>
      <c r="F1566" s="122">
        <f>IFERROR(__xludf.DUMMYFUNCTION("""COMPUTED_VALUE"""),8.0E-4)</f>
        <v>0.0008</v>
      </c>
    </row>
    <row r="1567">
      <c r="A1567" s="131">
        <f>IFERROR(__xludf.DUMMYFUNCTION("""COMPUTED_VALUE"""),46187.36670138889)</f>
        <v>46187.3667</v>
      </c>
      <c r="B1567" s="126">
        <f>IFERROR(__xludf.DUMMYFUNCTION("""COMPUTED_VALUE"""),46187.0)</f>
        <v>46187</v>
      </c>
      <c r="C1567" s="122" t="str">
        <f>IFERROR(__xludf.DUMMYFUNCTION("""COMPUTED_VALUE"""),"LUXE")</f>
        <v>LUXE</v>
      </c>
      <c r="D1567" s="122" t="str">
        <f>IFERROR(__xludf.DUMMYFUNCTION("""COMPUTED_VALUE"""),"Luxury Locker")</f>
        <v>Luxury Locker</v>
      </c>
      <c r="E1567" s="122">
        <f>IFERROR(__xludf.DUMMYFUNCTION("""COMPUTED_VALUE"""),264.88)</f>
        <v>264.88</v>
      </c>
      <c r="F1567" s="122">
        <f>IFERROR(__xludf.DUMMYFUNCTION("""COMPUTED_VALUE"""),-0.0033)</f>
        <v>-0.0033</v>
      </c>
    </row>
    <row r="1568">
      <c r="A1568" s="131">
        <f>IFERROR(__xludf.DUMMYFUNCTION("""COMPUTED_VALUE"""),46187.36670138889)</f>
        <v>46187.3667</v>
      </c>
      <c r="B1568" s="126">
        <f>IFERROR(__xludf.DUMMYFUNCTION("""COMPUTED_VALUE"""),46187.0)</f>
        <v>46187</v>
      </c>
      <c r="C1568" s="122" t="str">
        <f>IFERROR(__xludf.DUMMYFUNCTION("""COMPUTED_VALUE"""),"DRIP")</f>
        <v>DRIP</v>
      </c>
      <c r="D1568" s="122" t="str">
        <f>IFERROR(__xludf.DUMMYFUNCTION("""COMPUTED_VALUE"""),"Drip Streetwear")</f>
        <v>Drip Streetwear</v>
      </c>
      <c r="E1568" s="122">
        <f>IFERROR(__xludf.DUMMYFUNCTION("""COMPUTED_VALUE"""),203.14)</f>
        <v>203.14</v>
      </c>
      <c r="F1568" s="122">
        <f>IFERROR(__xludf.DUMMYFUNCTION("""COMPUTED_VALUE"""),0.0015)</f>
        <v>0.0015</v>
      </c>
    </row>
    <row r="1569">
      <c r="A1569" s="131">
        <f>IFERROR(__xludf.DUMMYFUNCTION("""COMPUTED_VALUE"""),46187.36670138889)</f>
        <v>46187.3667</v>
      </c>
      <c r="B1569" s="126">
        <f>IFERROR(__xludf.DUMMYFUNCTION("""COMPUTED_VALUE"""),46187.0)</f>
        <v>46187</v>
      </c>
      <c r="C1569" s="122" t="str">
        <f>IFERROR(__xludf.DUMMYFUNCTION("""COMPUTED_VALUE"""),"KICK")</f>
        <v>KICK</v>
      </c>
      <c r="D1569" s="122" t="str">
        <f>IFERROR(__xludf.DUMMYFUNCTION("""COMPUTED_VALUE"""),"KickDrop Sneakers")</f>
        <v>KickDrop Sneakers</v>
      </c>
      <c r="E1569" s="122">
        <f>IFERROR(__xludf.DUMMYFUNCTION("""COMPUTED_VALUE"""),177.93)</f>
        <v>177.93</v>
      </c>
      <c r="F1569" s="122">
        <f>IFERROR(__xludf.DUMMYFUNCTION("""COMPUTED_VALUE"""),0.0051)</f>
        <v>0.0051</v>
      </c>
    </row>
    <row r="1570">
      <c r="A1570" s="131">
        <f>IFERROR(__xludf.DUMMYFUNCTION("""COMPUTED_VALUE"""),46187.36670138889)</f>
        <v>46187.3667</v>
      </c>
      <c r="B1570" s="126">
        <f>IFERROR(__xludf.DUMMYFUNCTION("""COMPUTED_VALUE"""),46187.0)</f>
        <v>46187</v>
      </c>
      <c r="C1570" s="122" t="str">
        <f>IFERROR(__xludf.DUMMYFUNCTION("""COMPUTED_VALUE"""),"GLAM")</f>
        <v>GLAM</v>
      </c>
      <c r="D1570" s="122" t="str">
        <f>IFERROR(__xludf.DUMMYFUNCTION("""COMPUTED_VALUE"""),"Glow Cosmetics")</f>
        <v>Glow Cosmetics</v>
      </c>
      <c r="E1570" s="122">
        <f>IFERROR(__xludf.DUMMYFUNCTION("""COMPUTED_VALUE"""),95.79)</f>
        <v>95.79</v>
      </c>
      <c r="F1570" s="122">
        <f>IFERROR(__xludf.DUMMYFUNCTION("""COMPUTED_VALUE"""),0.0046)</f>
        <v>0.0046</v>
      </c>
    </row>
    <row r="1571">
      <c r="A1571" s="131">
        <f>IFERROR(__xludf.DUMMYFUNCTION("""COMPUTED_VALUE"""),46187.36670138889)</f>
        <v>46187.3667</v>
      </c>
      <c r="B1571" s="126">
        <f>IFERROR(__xludf.DUMMYFUNCTION("""COMPUTED_VALUE"""),46187.0)</f>
        <v>46187</v>
      </c>
      <c r="C1571" s="122" t="str">
        <f>IFERROR(__xludf.DUMMYFUNCTION("""COMPUTED_VALUE"""),"BAGG")</f>
        <v>BAGG</v>
      </c>
      <c r="D1571" s="122" t="str">
        <f>IFERROR(__xludf.DUMMYFUNCTION("""COMPUTED_VALUE"""),"BagVault")</f>
        <v>BagVault</v>
      </c>
      <c r="E1571" s="122">
        <f>IFERROR(__xludf.DUMMYFUNCTION("""COMPUTED_VALUE"""),243.72)</f>
        <v>243.72</v>
      </c>
      <c r="F1571" s="122">
        <f>IFERROR(__xludf.DUMMYFUNCTION("""COMPUTED_VALUE"""),0.0089)</f>
        <v>0.0089</v>
      </c>
    </row>
    <row r="1572">
      <c r="A1572" s="131">
        <f>IFERROR(__xludf.DUMMYFUNCTION("""COMPUTED_VALUE"""),46187.36670138889)</f>
        <v>46187.3667</v>
      </c>
      <c r="B1572" s="126">
        <f>IFERROR(__xludf.DUMMYFUNCTION("""COMPUTED_VALUE"""),46187.0)</f>
        <v>46187</v>
      </c>
      <c r="C1572" s="122" t="str">
        <f>IFERROR(__xludf.DUMMYFUNCTION("""COMPUTED_VALUE"""),"FAST")</f>
        <v>FAST</v>
      </c>
      <c r="D1572" s="122" t="str">
        <f>IFERROR(__xludf.DUMMYFUNCTION("""COMPUTED_VALUE"""),"Flash Logistics")</f>
        <v>Flash Logistics</v>
      </c>
      <c r="E1572" s="122">
        <f>IFERROR(__xludf.DUMMYFUNCTION("""COMPUTED_VALUE"""),101.47)</f>
        <v>101.47</v>
      </c>
      <c r="F1572" s="122">
        <f>IFERROR(__xludf.DUMMYFUNCTION("""COMPUTED_VALUE"""),-0.0012)</f>
        <v>-0.0012</v>
      </c>
    </row>
    <row r="1573">
      <c r="A1573" s="131">
        <f>IFERROR(__xludf.DUMMYFUNCTION("""COMPUTED_VALUE"""),46187.36670138889)</f>
        <v>46187.3667</v>
      </c>
      <c r="B1573" s="126">
        <f>IFERROR(__xludf.DUMMYFUNCTION("""COMPUTED_VALUE"""),46187.0)</f>
        <v>46187</v>
      </c>
      <c r="C1573" s="122" t="str">
        <f>IFERROR(__xludf.DUMMYFUNCTION("""COMPUTED_VALUE"""),"SHIP")</f>
        <v>SHIP</v>
      </c>
      <c r="D1573" s="122" t="str">
        <f>IFERROR(__xludf.DUMMYFUNCTION("""COMPUTED_VALUE"""),"Seoul Shipping")</f>
        <v>Seoul Shipping</v>
      </c>
      <c r="E1573" s="122">
        <f>IFERROR(__xludf.DUMMYFUNCTION("""COMPUTED_VALUE"""),117.5)</f>
        <v>117.5</v>
      </c>
      <c r="F1573" s="122">
        <f>IFERROR(__xludf.DUMMYFUNCTION("""COMPUTED_VALUE"""),0.0051)</f>
        <v>0.0051</v>
      </c>
    </row>
    <row r="1574">
      <c r="A1574" s="131">
        <f>IFERROR(__xludf.DUMMYFUNCTION("""COMPUTED_VALUE"""),46187.36670138889)</f>
        <v>46187.3667</v>
      </c>
      <c r="B1574" s="126">
        <f>IFERROR(__xludf.DUMMYFUNCTION("""COMPUTED_VALUE"""),46187.0)</f>
        <v>46187</v>
      </c>
      <c r="C1574" s="122" t="str">
        <f>IFERROR(__xludf.DUMMYFUNCTION("""COMPUTED_VALUE"""),"DRON")</f>
        <v>DRON</v>
      </c>
      <c r="D1574" s="122" t="str">
        <f>IFERROR(__xludf.DUMMYFUNCTION("""COMPUTED_VALUE"""),"DroneDrop")</f>
        <v>DroneDrop</v>
      </c>
      <c r="E1574" s="122">
        <f>IFERROR(__xludf.DUMMYFUNCTION("""COMPUTED_VALUE"""),130.71)</f>
        <v>130.71</v>
      </c>
      <c r="F1574" s="122">
        <f>IFERROR(__xludf.DUMMYFUNCTION("""COMPUTED_VALUE"""),0.012)</f>
        <v>0.012</v>
      </c>
    </row>
    <row r="1575">
      <c r="A1575" s="131">
        <f>IFERROR(__xludf.DUMMYFUNCTION("""COMPUTED_VALUE"""),46187.36670138889)</f>
        <v>46187.3667</v>
      </c>
      <c r="B1575" s="126">
        <f>IFERROR(__xludf.DUMMYFUNCTION("""COMPUTED_VALUE"""),46187.0)</f>
        <v>46187</v>
      </c>
      <c r="C1575" s="122" t="str">
        <f>IFERROR(__xludf.DUMMYFUNCTION("""COMPUTED_VALUE"""),"RIDE")</f>
        <v>RIDE</v>
      </c>
      <c r="D1575" s="122" t="str">
        <f>IFERROR(__xludf.DUMMYFUNCTION("""COMPUTED_VALUE"""),"QuickRide")</f>
        <v>QuickRide</v>
      </c>
      <c r="E1575" s="122">
        <f>IFERROR(__xludf.DUMMYFUNCTION("""COMPUTED_VALUE"""),96.79)</f>
        <v>96.79</v>
      </c>
      <c r="F1575" s="122">
        <f>IFERROR(__xludf.DUMMYFUNCTION("""COMPUTED_VALUE"""),0.0114)</f>
        <v>0.0114</v>
      </c>
    </row>
    <row r="1576">
      <c r="A1576" s="131">
        <f>IFERROR(__xludf.DUMMYFUNCTION("""COMPUTED_VALUE"""),46187.36670138889)</f>
        <v>46187.3667</v>
      </c>
      <c r="B1576" s="126">
        <f>IFERROR(__xludf.DUMMYFUNCTION("""COMPUTED_VALUE"""),46187.0)</f>
        <v>46187</v>
      </c>
      <c r="C1576" s="122" t="str">
        <f>IFERROR(__xludf.DUMMYFUNCTION("""COMPUTED_VALUE"""),"RAIL")</f>
        <v>RAIL</v>
      </c>
      <c r="D1576" s="122" t="str">
        <f>IFERROR(__xludf.DUMMYFUNCTION("""COMPUTED_VALUE"""),"MetroRail Corp")</f>
        <v>MetroRail Corp</v>
      </c>
      <c r="E1576" s="122">
        <f>IFERROR(__xludf.DUMMYFUNCTION("""COMPUTED_VALUE"""),137.14)</f>
        <v>137.14</v>
      </c>
      <c r="F1576" s="122">
        <f>IFERROR(__xludf.DUMMYFUNCTION("""COMPUTED_VALUE"""),0.0013)</f>
        <v>0.0013</v>
      </c>
    </row>
    <row r="1577">
      <c r="A1577" s="131">
        <f>IFERROR(__xludf.DUMMYFUNCTION("""COMPUTED_VALUE"""),46187.36670138889)</f>
        <v>46187.3667</v>
      </c>
      <c r="B1577" s="126">
        <f>IFERROR(__xludf.DUMMYFUNCTION("""COMPUTED_VALUE"""),46187.0)</f>
        <v>46187</v>
      </c>
      <c r="C1577" s="122" t="str">
        <f>IFERROR(__xludf.DUMMYFUNCTION("""COMPUTED_VALUE"""),"MEDX")</f>
        <v>MEDX</v>
      </c>
      <c r="D1577" s="122" t="str">
        <f>IFERROR(__xludf.DUMMYFUNCTION("""COMPUTED_VALUE"""),"MediCore")</f>
        <v>MediCore</v>
      </c>
      <c r="E1577" s="122">
        <f>IFERROR(__xludf.DUMMYFUNCTION("""COMPUTED_VALUE"""),136.97)</f>
        <v>136.97</v>
      </c>
      <c r="F1577" s="122">
        <f>IFERROR(__xludf.DUMMYFUNCTION("""COMPUTED_VALUE"""),0.001)</f>
        <v>0.001</v>
      </c>
    </row>
    <row r="1578">
      <c r="A1578" s="131">
        <f>IFERROR(__xludf.DUMMYFUNCTION("""COMPUTED_VALUE"""),46187.36670138889)</f>
        <v>46187.3667</v>
      </c>
      <c r="B1578" s="126">
        <f>IFERROR(__xludf.DUMMYFUNCTION("""COMPUTED_VALUE"""),46187.0)</f>
        <v>46187</v>
      </c>
      <c r="C1578" s="122" t="str">
        <f>IFERROR(__xludf.DUMMYFUNCTION("""COMPUTED_VALUE"""),"GYMX")</f>
        <v>GYMX</v>
      </c>
      <c r="D1578" s="122" t="str">
        <f>IFERROR(__xludf.DUMMYFUNCTION("""COMPUTED_VALUE"""),"GymX Fitness")</f>
        <v>GymX Fitness</v>
      </c>
      <c r="E1578" s="122">
        <f>IFERROR(__xludf.DUMMYFUNCTION("""COMPUTED_VALUE"""),87.06)</f>
        <v>87.06</v>
      </c>
      <c r="F1578" s="122">
        <f>IFERROR(__xludf.DUMMYFUNCTION("""COMPUTED_VALUE"""),0.0031)</f>
        <v>0.0031</v>
      </c>
    </row>
    <row r="1579">
      <c r="A1579" s="131">
        <f>IFERROR(__xludf.DUMMYFUNCTION("""COMPUTED_VALUE"""),46187.36670138889)</f>
        <v>46187.3667</v>
      </c>
      <c r="B1579" s="126">
        <f>IFERROR(__xludf.DUMMYFUNCTION("""COMPUTED_VALUE"""),46187.0)</f>
        <v>46187</v>
      </c>
      <c r="C1579" s="122" t="str">
        <f>IFERROR(__xludf.DUMMYFUNCTION("""COMPUTED_VALUE"""),"VITA")</f>
        <v>VITA</v>
      </c>
      <c r="D1579" s="122" t="str">
        <f>IFERROR(__xludf.DUMMYFUNCTION("""COMPUTED_VALUE"""),"VitaPlus")</f>
        <v>VitaPlus</v>
      </c>
      <c r="E1579" s="122">
        <f>IFERROR(__xludf.DUMMYFUNCTION("""COMPUTED_VALUE"""),75.25)</f>
        <v>75.25</v>
      </c>
      <c r="F1579" s="122">
        <f>IFERROR(__xludf.DUMMYFUNCTION("""COMPUTED_VALUE"""),0.0013)</f>
        <v>0.0013</v>
      </c>
    </row>
    <row r="1580">
      <c r="A1580" s="131">
        <f>IFERROR(__xludf.DUMMYFUNCTION("""COMPUTED_VALUE"""),46187.36670138889)</f>
        <v>46187.3667</v>
      </c>
      <c r="B1580" s="126">
        <f>IFERROR(__xludf.DUMMYFUNCTION("""COMPUTED_VALUE"""),46187.0)</f>
        <v>46187</v>
      </c>
      <c r="C1580" s="122" t="str">
        <f>IFERROR(__xludf.DUMMYFUNCTION("""COMPUTED_VALUE"""),"CARE")</f>
        <v>CARE</v>
      </c>
      <c r="D1580" s="122" t="str">
        <f>IFERROR(__xludf.DUMMYFUNCTION("""COMPUTED_VALUE"""),"CareCloud")</f>
        <v>CareCloud</v>
      </c>
      <c r="E1580" s="122">
        <f>IFERROR(__xludf.DUMMYFUNCTION("""COMPUTED_VALUE"""),181.0)</f>
        <v>181</v>
      </c>
      <c r="F1580" s="122">
        <f>IFERROR(__xludf.DUMMYFUNCTION("""COMPUTED_VALUE"""),4.0E-4)</f>
        <v>0.0004</v>
      </c>
    </row>
    <row r="1581">
      <c r="A1581" s="131">
        <f>IFERROR(__xludf.DUMMYFUNCTION("""COMPUTED_VALUE"""),46187.36670138889)</f>
        <v>46187.3667</v>
      </c>
      <c r="B1581" s="126">
        <f>IFERROR(__xludf.DUMMYFUNCTION("""COMPUTED_VALUE"""),46187.0)</f>
        <v>46187</v>
      </c>
      <c r="C1581" s="122" t="str">
        <f>IFERROR(__xludf.DUMMYFUNCTION("""COMPUTED_VALUE"""),"DENT")</f>
        <v>DENT</v>
      </c>
      <c r="D1581" s="122" t="str">
        <f>IFERROR(__xludf.DUMMYFUNCTION("""COMPUTED_VALUE"""),"SmileWorks")</f>
        <v>SmileWorks</v>
      </c>
      <c r="E1581" s="122">
        <f>IFERROR(__xludf.DUMMYFUNCTION("""COMPUTED_VALUE"""),81.55)</f>
        <v>81.55</v>
      </c>
      <c r="F1581" s="122">
        <f>IFERROR(__xludf.DUMMYFUNCTION("""COMPUTED_VALUE"""),-0.0026)</f>
        <v>-0.0026</v>
      </c>
    </row>
    <row r="1582">
      <c r="A1582" s="131">
        <f>IFERROR(__xludf.DUMMYFUNCTION("""COMPUTED_VALUE"""),46187.36670138889)</f>
        <v>46187.3667</v>
      </c>
      <c r="B1582" s="126">
        <f>IFERROR(__xludf.DUMMYFUNCTION("""COMPUTED_VALUE"""),46187.0)</f>
        <v>46187</v>
      </c>
      <c r="C1582" s="122" t="str">
        <f>IFERROR(__xludf.DUMMYFUNCTION("""COMPUTED_VALUE"""),"EDUX")</f>
        <v>EDUX</v>
      </c>
      <c r="D1582" s="122" t="str">
        <f>IFERROR(__xludf.DUMMYFUNCTION("""COMPUTED_VALUE"""),"EduMax Learning")</f>
        <v>EduMax Learning</v>
      </c>
      <c r="E1582" s="122">
        <f>IFERROR(__xludf.DUMMYFUNCTION("""COMPUTED_VALUE"""),131.23)</f>
        <v>131.23</v>
      </c>
      <c r="F1582" s="122">
        <f>IFERROR(__xludf.DUMMYFUNCTION("""COMPUTED_VALUE"""),-0.0032)</f>
        <v>-0.0032</v>
      </c>
    </row>
    <row r="1583">
      <c r="A1583" s="131">
        <f>IFERROR(__xludf.DUMMYFUNCTION("""COMPUTED_VALUE"""),46187.36670138889)</f>
        <v>46187.3667</v>
      </c>
      <c r="B1583" s="126">
        <f>IFERROR(__xludf.DUMMYFUNCTION("""COMPUTED_VALUE"""),46187.0)</f>
        <v>46187</v>
      </c>
      <c r="C1583" s="122" t="str">
        <f>IFERROR(__xludf.DUMMYFUNCTION("""COMPUTED_VALUE"""),"BOOK")</f>
        <v>BOOK</v>
      </c>
      <c r="D1583" s="122" t="str">
        <f>IFERROR(__xludf.DUMMYFUNCTION("""COMPUTED_VALUE"""),"BookBridge")</f>
        <v>BookBridge</v>
      </c>
      <c r="E1583" s="122">
        <f>IFERROR(__xludf.DUMMYFUNCTION("""COMPUTED_VALUE"""),113.6)</f>
        <v>113.6</v>
      </c>
      <c r="F1583" s="122">
        <f>IFERROR(__xludf.DUMMYFUNCTION("""COMPUTED_VALUE"""),0.0057)</f>
        <v>0.0057</v>
      </c>
    </row>
    <row r="1584">
      <c r="A1584" s="131">
        <f>IFERROR(__xludf.DUMMYFUNCTION("""COMPUTED_VALUE"""),46187.36670138889)</f>
        <v>46187.3667</v>
      </c>
      <c r="B1584" s="126">
        <f>IFERROR(__xludf.DUMMYFUNCTION("""COMPUTED_VALUE"""),46187.0)</f>
        <v>46187</v>
      </c>
      <c r="C1584" s="122" t="str">
        <f>IFERROR(__xludf.DUMMYFUNCTION("""COMPUTED_VALUE"""),"TUTR")</f>
        <v>TUTR</v>
      </c>
      <c r="D1584" s="122" t="str">
        <f>IFERROR(__xludf.DUMMYFUNCTION("""COMPUTED_VALUE"""),"TutorTown")</f>
        <v>TutorTown</v>
      </c>
      <c r="E1584" s="122">
        <f>IFERROR(__xludf.DUMMYFUNCTION("""COMPUTED_VALUE"""),89.97)</f>
        <v>89.97</v>
      </c>
      <c r="F1584" s="122">
        <f>IFERROR(__xludf.DUMMYFUNCTION("""COMPUTED_VALUE"""),4.0E-4)</f>
        <v>0.0004</v>
      </c>
    </row>
    <row r="1585">
      <c r="A1585" s="131">
        <f>IFERROR(__xludf.DUMMYFUNCTION("""COMPUTED_VALUE"""),46187.36670138889)</f>
        <v>46187.3667</v>
      </c>
      <c r="B1585" s="126">
        <f>IFERROR(__xludf.DUMMYFUNCTION("""COMPUTED_VALUE"""),46187.0)</f>
        <v>46187</v>
      </c>
      <c r="C1585" s="122" t="str">
        <f>IFERROR(__xludf.DUMMYFUNCTION("""COMPUTED_VALUE"""),"LANG")</f>
        <v>LANG</v>
      </c>
      <c r="D1585" s="122" t="str">
        <f>IFERROR(__xludf.DUMMYFUNCTION("""COMPUTED_VALUE"""),"LinguaLab")</f>
        <v>LinguaLab</v>
      </c>
      <c r="E1585" s="122">
        <f>IFERROR(__xludf.DUMMYFUNCTION("""COMPUTED_VALUE"""),95.01)</f>
        <v>95.01</v>
      </c>
      <c r="F1585" s="122">
        <f>IFERROR(__xludf.DUMMYFUNCTION("""COMPUTED_VALUE"""),-0.0014)</f>
        <v>-0.0014</v>
      </c>
    </row>
    <row r="1586">
      <c r="A1586" s="131">
        <f>IFERROR(__xludf.DUMMYFUNCTION("""COMPUTED_VALUE"""),46187.36670138889)</f>
        <v>46187.3667</v>
      </c>
      <c r="B1586" s="126">
        <f>IFERROR(__xludf.DUMMYFUNCTION("""COMPUTED_VALUE"""),46187.0)</f>
        <v>46187</v>
      </c>
      <c r="C1586" s="122" t="str">
        <f>IFERROR(__xludf.DUMMYFUNCTION("""COMPUTED_VALUE"""),"TEST")</f>
        <v>TEST</v>
      </c>
      <c r="D1586" s="122" t="str">
        <f>IFERROR(__xludf.DUMMYFUNCTION("""COMPUTED_VALUE"""),"TestPrep Pro")</f>
        <v>TestPrep Pro</v>
      </c>
      <c r="E1586" s="122">
        <f>IFERROR(__xludf.DUMMYFUNCTION("""COMPUTED_VALUE"""),101.95)</f>
        <v>101.95</v>
      </c>
      <c r="F1586" s="122">
        <f>IFERROR(__xludf.DUMMYFUNCTION("""COMPUTED_VALUE"""),0.0056)</f>
        <v>0.0056</v>
      </c>
    </row>
    <row r="1587">
      <c r="A1587" s="131">
        <f>IFERROR(__xludf.DUMMYFUNCTION("""COMPUTED_VALUE"""),46187.36670138889)</f>
        <v>46187.3667</v>
      </c>
      <c r="B1587" s="126">
        <f>IFERROR(__xludf.DUMMYFUNCTION("""COMPUTED_VALUE"""),46187.0)</f>
        <v>46187</v>
      </c>
      <c r="C1587" s="122" t="str">
        <f>IFERROR(__xludf.DUMMYFUNCTION("""COMPUTED_VALUE"""),"MOVI")</f>
        <v>MOVI</v>
      </c>
      <c r="D1587" s="122" t="str">
        <f>IFERROR(__xludf.DUMMYFUNCTION("""COMPUTED_VALUE"""),"MovieBox")</f>
        <v>MovieBox</v>
      </c>
      <c r="E1587" s="122">
        <f>IFERROR(__xludf.DUMMYFUNCTION("""COMPUTED_VALUE"""),81.39)</f>
        <v>81.39</v>
      </c>
      <c r="F1587" s="122">
        <f>IFERROR(__xludf.DUMMYFUNCTION("""COMPUTED_VALUE"""),-0.0039)</f>
        <v>-0.0039</v>
      </c>
    </row>
    <row r="1588">
      <c r="A1588" s="131">
        <f>IFERROR(__xludf.DUMMYFUNCTION("""COMPUTED_VALUE"""),46187.36670138889)</f>
        <v>46187.3667</v>
      </c>
      <c r="B1588" s="126">
        <f>IFERROR(__xludf.DUMMYFUNCTION("""COMPUTED_VALUE"""),46187.0)</f>
        <v>46187</v>
      </c>
      <c r="C1588" s="122" t="str">
        <f>IFERROR(__xludf.DUMMYFUNCTION("""COMPUTED_VALUE"""),"MUSC")</f>
        <v>MUSC</v>
      </c>
      <c r="D1588" s="122" t="str">
        <f>IFERROR(__xludf.DUMMYFUNCTION("""COMPUTED_VALUE"""),"MusicWave")</f>
        <v>MusicWave</v>
      </c>
      <c r="E1588" s="122">
        <f>IFERROR(__xludf.DUMMYFUNCTION("""COMPUTED_VALUE"""),96.6)</f>
        <v>96.6</v>
      </c>
      <c r="F1588" s="122">
        <f>IFERROR(__xludf.DUMMYFUNCTION("""COMPUTED_VALUE"""),0.001)</f>
        <v>0.001</v>
      </c>
    </row>
    <row r="1589">
      <c r="A1589" s="131">
        <f>IFERROR(__xludf.DUMMYFUNCTION("""COMPUTED_VALUE"""),46187.36670138889)</f>
        <v>46187.3667</v>
      </c>
      <c r="B1589" s="126">
        <f>IFERROR(__xludf.DUMMYFUNCTION("""COMPUTED_VALUE"""),46187.0)</f>
        <v>46187</v>
      </c>
      <c r="C1589" s="122" t="str">
        <f>IFERROR(__xludf.DUMMYFUNCTION("""COMPUTED_VALUE"""),"IDOL")</f>
        <v>IDOL</v>
      </c>
      <c r="D1589" s="122" t="str">
        <f>IFERROR(__xludf.DUMMYFUNCTION("""COMPUTED_VALUE"""),"Idol Agency")</f>
        <v>Idol Agency</v>
      </c>
      <c r="E1589" s="122">
        <f>IFERROR(__xludf.DUMMYFUNCTION("""COMPUTED_VALUE"""),195.86)</f>
        <v>195.86</v>
      </c>
      <c r="F1589" s="122">
        <f>IFERROR(__xludf.DUMMYFUNCTION("""COMPUTED_VALUE"""),-0.0095)</f>
        <v>-0.0095</v>
      </c>
    </row>
    <row r="1590">
      <c r="A1590" s="131">
        <f>IFERROR(__xludf.DUMMYFUNCTION("""COMPUTED_VALUE"""),46187.36670138889)</f>
        <v>46187.3667</v>
      </c>
      <c r="B1590" s="126">
        <f>IFERROR(__xludf.DUMMYFUNCTION("""COMPUTED_VALUE"""),46187.0)</f>
        <v>46187</v>
      </c>
      <c r="C1590" s="122" t="str">
        <f>IFERROR(__xludf.DUMMYFUNCTION("""COMPUTED_VALUE"""),"MEME")</f>
        <v>MEME</v>
      </c>
      <c r="D1590" s="122" t="str">
        <f>IFERROR(__xludf.DUMMYFUNCTION("""COMPUTED_VALUE"""),"Meme Media")</f>
        <v>Meme Media</v>
      </c>
      <c r="E1590" s="122">
        <f>IFERROR(__xludf.DUMMYFUNCTION("""COMPUTED_VALUE"""),77.09)</f>
        <v>77.09</v>
      </c>
      <c r="F1590" s="122">
        <f>IFERROR(__xludf.DUMMYFUNCTION("""COMPUTED_VALUE"""),-0.0105)</f>
        <v>-0.0105</v>
      </c>
    </row>
    <row r="1591">
      <c r="A1591" s="131">
        <f>IFERROR(__xludf.DUMMYFUNCTION("""COMPUTED_VALUE"""),46187.36670138889)</f>
        <v>46187.3667</v>
      </c>
      <c r="B1591" s="126">
        <f>IFERROR(__xludf.DUMMYFUNCTION("""COMPUTED_VALUE"""),46187.0)</f>
        <v>46187</v>
      </c>
      <c r="C1591" s="122" t="str">
        <f>IFERROR(__xludf.DUMMYFUNCTION("""COMPUTED_VALUE"""),"STRM")</f>
        <v>STRM</v>
      </c>
      <c r="D1591" s="122" t="str">
        <f>IFERROR(__xludf.DUMMYFUNCTION("""COMPUTED_VALUE"""),"Streamly")</f>
        <v>Streamly</v>
      </c>
      <c r="E1591" s="122">
        <f>IFERROR(__xludf.DUMMYFUNCTION("""COMPUTED_VALUE"""),134.38)</f>
        <v>134.38</v>
      </c>
      <c r="F1591" s="122">
        <f>IFERROR(__xludf.DUMMYFUNCTION("""COMPUTED_VALUE"""),0.0048)</f>
        <v>0.0048</v>
      </c>
    </row>
    <row r="1592">
      <c r="A1592" s="131">
        <f>IFERROR(__xludf.DUMMYFUNCTION("""COMPUTED_VALUE"""),46187.36670138889)</f>
        <v>46187.3667</v>
      </c>
      <c r="B1592" s="126">
        <f>IFERROR(__xludf.DUMMYFUNCTION("""COMPUTED_VALUE"""),46187.0)</f>
        <v>46187</v>
      </c>
      <c r="C1592" s="122" t="str">
        <f>IFERROR(__xludf.DUMMYFUNCTION("""COMPUTED_VALUE"""),"FARM")</f>
        <v>FARM</v>
      </c>
      <c r="D1592" s="122" t="str">
        <f>IFERROR(__xludf.DUMMYFUNCTION("""COMPUTED_VALUE"""),"Future Farms")</f>
        <v>Future Farms</v>
      </c>
      <c r="E1592" s="122">
        <f>IFERROR(__xludf.DUMMYFUNCTION("""COMPUTED_VALUE"""),79.92)</f>
        <v>79.92</v>
      </c>
      <c r="F1592" s="122">
        <f>IFERROR(__xludf.DUMMYFUNCTION("""COMPUTED_VALUE"""),-1.0E-4)</f>
        <v>-0.0001</v>
      </c>
    </row>
    <row r="1593">
      <c r="A1593" s="131">
        <f>IFERROR(__xludf.DUMMYFUNCTION("""COMPUTED_VALUE"""),46187.36670138889)</f>
        <v>46187.3667</v>
      </c>
      <c r="B1593" s="126">
        <f>IFERROR(__xludf.DUMMYFUNCTION("""COMPUTED_VALUE"""),46187.0)</f>
        <v>46187</v>
      </c>
      <c r="C1593" s="122" t="str">
        <f>IFERROR(__xludf.DUMMYFUNCTION("""COMPUTED_VALUE"""),"MEAT")</f>
        <v>MEAT</v>
      </c>
      <c r="D1593" s="122" t="str">
        <f>IFERROR(__xludf.DUMMYFUNCTION("""COMPUTED_VALUE"""),"MeatWorks")</f>
        <v>MeatWorks</v>
      </c>
      <c r="E1593" s="122">
        <f>IFERROR(__xludf.DUMMYFUNCTION("""COMPUTED_VALUE"""),102.95)</f>
        <v>102.95</v>
      </c>
      <c r="F1593" s="122">
        <f>IFERROR(__xludf.DUMMYFUNCTION("""COMPUTED_VALUE"""),-0.0045)</f>
        <v>-0.0045</v>
      </c>
    </row>
    <row r="1594">
      <c r="A1594" s="131">
        <f>IFERROR(__xludf.DUMMYFUNCTION("""COMPUTED_VALUE"""),46187.36670138889)</f>
        <v>46187.3667</v>
      </c>
      <c r="B1594" s="126">
        <f>IFERROR(__xludf.DUMMYFUNCTION("""COMPUTED_VALUE"""),46187.0)</f>
        <v>46187</v>
      </c>
      <c r="C1594" s="122" t="str">
        <f>IFERROR(__xludf.DUMMYFUNCTION("""COMPUTED_VALUE"""),"VEGI")</f>
        <v>VEGI</v>
      </c>
      <c r="D1594" s="122" t="str">
        <f>IFERROR(__xludf.DUMMYFUNCTION("""COMPUTED_VALUE"""),"Green Basket")</f>
        <v>Green Basket</v>
      </c>
      <c r="E1594" s="122">
        <f>IFERROR(__xludf.DUMMYFUNCTION("""COMPUTED_VALUE"""),82.94)</f>
        <v>82.94</v>
      </c>
      <c r="F1594" s="122">
        <f>IFERROR(__xludf.DUMMYFUNCTION("""COMPUTED_VALUE"""),-0.0046)</f>
        <v>-0.0046</v>
      </c>
    </row>
    <row r="1595">
      <c r="A1595" s="131">
        <f>IFERROR(__xludf.DUMMYFUNCTION("""COMPUTED_VALUE"""),46187.36670138889)</f>
        <v>46187.3667</v>
      </c>
      <c r="B1595" s="126">
        <f>IFERROR(__xludf.DUMMYFUNCTION("""COMPUTED_VALUE"""),46187.0)</f>
        <v>46187</v>
      </c>
      <c r="C1595" s="122" t="str">
        <f>IFERROR(__xludf.DUMMYFUNCTION("""COMPUTED_VALUE"""),"CAFE")</f>
        <v>CAFE</v>
      </c>
      <c r="D1595" s="122" t="str">
        <f>IFERROR(__xludf.DUMMYFUNCTION("""COMPUTED_VALUE"""),"Cafe Cloud")</f>
        <v>Cafe Cloud</v>
      </c>
      <c r="E1595" s="122">
        <f>IFERROR(__xludf.DUMMYFUNCTION("""COMPUTED_VALUE"""),100.64)</f>
        <v>100.64</v>
      </c>
      <c r="F1595" s="122">
        <f>IFERROR(__xludf.DUMMYFUNCTION("""COMPUTED_VALUE"""),0.0035)</f>
        <v>0.0035</v>
      </c>
    </row>
    <row r="1596">
      <c r="A1596" s="131">
        <f>IFERROR(__xludf.DUMMYFUNCTION("""COMPUTED_VALUE"""),46187.36670138889)</f>
        <v>46187.3667</v>
      </c>
      <c r="B1596" s="126">
        <f>IFERROR(__xludf.DUMMYFUNCTION("""COMPUTED_VALUE"""),46187.0)</f>
        <v>46187</v>
      </c>
      <c r="C1596" s="122" t="str">
        <f>IFERROR(__xludf.DUMMYFUNCTION("""COMPUTED_VALUE"""),"BAKE")</f>
        <v>BAKE</v>
      </c>
      <c r="D1596" s="122" t="str">
        <f>IFERROR(__xludf.DUMMYFUNCTION("""COMPUTED_VALUE"""),"BakeHouse")</f>
        <v>BakeHouse</v>
      </c>
      <c r="E1596" s="122">
        <f>IFERROR(__xludf.DUMMYFUNCTION("""COMPUTED_VALUE"""),100.13)</f>
        <v>100.13</v>
      </c>
      <c r="F1596" s="122">
        <f>IFERROR(__xludf.DUMMYFUNCTION("""COMPUTED_VALUE"""),-0.0034)</f>
        <v>-0.0034</v>
      </c>
    </row>
    <row r="1597">
      <c r="A1597" s="131">
        <f>IFERROR(__xludf.DUMMYFUNCTION("""COMPUTED_VALUE"""),46187.36670138889)</f>
        <v>46187.3667</v>
      </c>
      <c r="B1597" s="126">
        <f>IFERROR(__xludf.DUMMYFUNCTION("""COMPUTED_VALUE"""),46187.0)</f>
        <v>46187</v>
      </c>
      <c r="C1597" s="122" t="str">
        <f>IFERROR(__xludf.DUMMYFUNCTION("""COMPUTED_VALUE"""),"OILX")</f>
        <v>OILX</v>
      </c>
      <c r="D1597" s="122" t="str">
        <f>IFERROR(__xludf.DUMMYFUNCTION("""COMPUTED_VALUE"""),"OilMax Energy")</f>
        <v>OilMax Energy</v>
      </c>
      <c r="E1597" s="122">
        <f>IFERROR(__xludf.DUMMYFUNCTION("""COMPUTED_VALUE"""),126.45)</f>
        <v>126.45</v>
      </c>
      <c r="F1597" s="122">
        <f>IFERROR(__xludf.DUMMYFUNCTION("""COMPUTED_VALUE"""),-0.0093)</f>
        <v>-0.0093</v>
      </c>
    </row>
    <row r="1598">
      <c r="A1598" s="131">
        <f>IFERROR(__xludf.DUMMYFUNCTION("""COMPUTED_VALUE"""),46187.36670138889)</f>
        <v>46187.3667</v>
      </c>
      <c r="B1598" s="126">
        <f>IFERROR(__xludf.DUMMYFUNCTION("""COMPUTED_VALUE"""),46187.0)</f>
        <v>46187</v>
      </c>
      <c r="C1598" s="122" t="str">
        <f>IFERROR(__xludf.DUMMYFUNCTION("""COMPUTED_VALUE"""),"SOLR")</f>
        <v>SOLR</v>
      </c>
      <c r="D1598" s="122" t="str">
        <f>IFERROR(__xludf.DUMMYFUNCTION("""COMPUTED_VALUE"""),"SolarSpark")</f>
        <v>SolarSpark</v>
      </c>
      <c r="E1598" s="122">
        <f>IFERROR(__xludf.DUMMYFUNCTION("""COMPUTED_VALUE"""),85.02)</f>
        <v>85.02</v>
      </c>
      <c r="F1598" s="122">
        <f>IFERROR(__xludf.DUMMYFUNCTION("""COMPUTED_VALUE"""),2.0E-4)</f>
        <v>0.0002</v>
      </c>
    </row>
    <row r="1599">
      <c r="A1599" s="131">
        <f>IFERROR(__xludf.DUMMYFUNCTION("""COMPUTED_VALUE"""),46187.36670138889)</f>
        <v>46187.3667</v>
      </c>
      <c r="B1599" s="126">
        <f>IFERROR(__xludf.DUMMYFUNCTION("""COMPUTED_VALUE"""),46187.0)</f>
        <v>46187</v>
      </c>
      <c r="C1599" s="122" t="str">
        <f>IFERROR(__xludf.DUMMYFUNCTION("""COMPUTED_VALUE"""),"BATT")</f>
        <v>BATT</v>
      </c>
      <c r="D1599" s="122" t="str">
        <f>IFERROR(__xludf.DUMMYFUNCTION("""COMPUTED_VALUE"""),"BatteryBox")</f>
        <v>BatteryBox</v>
      </c>
      <c r="E1599" s="122">
        <f>IFERROR(__xludf.DUMMYFUNCTION("""COMPUTED_VALUE"""),119.56)</f>
        <v>119.56</v>
      </c>
      <c r="F1599" s="122">
        <f>IFERROR(__xludf.DUMMYFUNCTION("""COMPUTED_VALUE"""),0.0055)</f>
        <v>0.0055</v>
      </c>
    </row>
    <row r="1600">
      <c r="A1600" s="131">
        <f>IFERROR(__xludf.DUMMYFUNCTION("""COMPUTED_VALUE"""),46187.36670138889)</f>
        <v>46187.3667</v>
      </c>
      <c r="B1600" s="126">
        <f>IFERROR(__xludf.DUMMYFUNCTION("""COMPUTED_VALUE"""),46187.0)</f>
        <v>46187</v>
      </c>
      <c r="C1600" s="122" t="str">
        <f>IFERROR(__xludf.DUMMYFUNCTION("""COMPUTED_VALUE"""),"WIND")</f>
        <v>WIND</v>
      </c>
      <c r="D1600" s="122" t="str">
        <f>IFERROR(__xludf.DUMMYFUNCTION("""COMPUTED_VALUE"""),"WindWorks")</f>
        <v>WindWorks</v>
      </c>
      <c r="E1600" s="122">
        <f>IFERROR(__xludf.DUMMYFUNCTION("""COMPUTED_VALUE"""),88.0)</f>
        <v>88</v>
      </c>
      <c r="F1600" s="122">
        <f>IFERROR(__xludf.DUMMYFUNCTION("""COMPUTED_VALUE"""),-0.0018)</f>
        <v>-0.0018</v>
      </c>
    </row>
    <row r="1601">
      <c r="A1601" s="131">
        <f>IFERROR(__xludf.DUMMYFUNCTION("""COMPUTED_VALUE"""),46187.36670138889)</f>
        <v>46187.3667</v>
      </c>
      <c r="B1601" s="126">
        <f>IFERROR(__xludf.DUMMYFUNCTION("""COMPUTED_VALUE"""),46187.0)</f>
        <v>46187</v>
      </c>
      <c r="C1601" s="122" t="str">
        <f>IFERROR(__xludf.DUMMYFUNCTION("""COMPUTED_VALUE"""),"GRID")</f>
        <v>GRID</v>
      </c>
      <c r="D1601" s="122" t="str">
        <f>IFERROR(__xludf.DUMMYFUNCTION("""COMPUTED_VALUE"""),"GridPower")</f>
        <v>GridPower</v>
      </c>
      <c r="E1601" s="122">
        <f>IFERROR(__xludf.DUMMYFUNCTION("""COMPUTED_VALUE"""),146.45)</f>
        <v>146.45</v>
      </c>
      <c r="F1601" s="122">
        <f>IFERROR(__xludf.DUMMYFUNCTION("""COMPUTED_VALUE"""),-0.0056)</f>
        <v>-0.0056</v>
      </c>
    </row>
    <row r="1602">
      <c r="A1602" s="131">
        <f>IFERROR(__xludf.DUMMYFUNCTION("""COMPUTED_VALUE"""),46187.36670138889)</f>
        <v>46187.3667</v>
      </c>
      <c r="B1602" s="126">
        <f>IFERROR(__xludf.DUMMYFUNCTION("""COMPUTED_VALUE"""),46187.0)</f>
        <v>46187</v>
      </c>
      <c r="C1602" s="122" t="str">
        <f>IFERROR(__xludf.DUMMYFUNCTION("""COMPUTED_VALUE"""),"HOME")</f>
        <v>HOME</v>
      </c>
      <c r="D1602" s="122" t="str">
        <f>IFERROR(__xludf.DUMMYFUNCTION("""COMPUTED_VALUE"""),"HomeHub")</f>
        <v>HomeHub</v>
      </c>
      <c r="E1602" s="122">
        <f>IFERROR(__xludf.DUMMYFUNCTION("""COMPUTED_VALUE"""),146.12)</f>
        <v>146.12</v>
      </c>
      <c r="F1602" s="122">
        <f>IFERROR(__xludf.DUMMYFUNCTION("""COMPUTED_VALUE"""),9.0E-4)</f>
        <v>0.0009</v>
      </c>
    </row>
    <row r="1603">
      <c r="A1603" s="131">
        <f>IFERROR(__xludf.DUMMYFUNCTION("""COMPUTED_VALUE"""),46187.36670138889)</f>
        <v>46187.3667</v>
      </c>
      <c r="B1603" s="126">
        <f>IFERROR(__xludf.DUMMYFUNCTION("""COMPUTED_VALUE"""),46187.0)</f>
        <v>46187</v>
      </c>
      <c r="C1603" s="122" t="str">
        <f>IFERROR(__xludf.DUMMYFUNCTION("""COMPUTED_VALUE"""),"RENT")</f>
        <v>RENT</v>
      </c>
      <c r="D1603" s="122" t="str">
        <f>IFERROR(__xludf.DUMMYFUNCTION("""COMPUTED_VALUE"""),"RentRight")</f>
        <v>RentRight</v>
      </c>
      <c r="E1603" s="122">
        <f>IFERROR(__xludf.DUMMYFUNCTION("""COMPUTED_VALUE"""),93.2)</f>
        <v>93.2</v>
      </c>
      <c r="F1603" s="122">
        <f>IFERROR(__xludf.DUMMYFUNCTION("""COMPUTED_VALUE"""),-0.0055)</f>
        <v>-0.0055</v>
      </c>
    </row>
    <row r="1604">
      <c r="A1604" s="131">
        <f>IFERROR(__xludf.DUMMYFUNCTION("""COMPUTED_VALUE"""),46187.36670138889)</f>
        <v>46187.3667</v>
      </c>
      <c r="B1604" s="126">
        <f>IFERROR(__xludf.DUMMYFUNCTION("""COMPUTED_VALUE"""),46187.0)</f>
        <v>46187</v>
      </c>
      <c r="C1604" s="122" t="str">
        <f>IFERROR(__xludf.DUMMYFUNCTION("""COMPUTED_VALUE"""),"MALL")</f>
        <v>MALL</v>
      </c>
      <c r="D1604" s="122" t="str">
        <f>IFERROR(__xludf.DUMMYFUNCTION("""COMPUTED_VALUE"""),"MegaMall")</f>
        <v>MegaMall</v>
      </c>
      <c r="E1604" s="122">
        <f>IFERROR(__xludf.DUMMYFUNCTION("""COMPUTED_VALUE"""),97.25)</f>
        <v>97.25</v>
      </c>
      <c r="F1604" s="122">
        <f>IFERROR(__xludf.DUMMYFUNCTION("""COMPUTED_VALUE"""),-0.0048)</f>
        <v>-0.0048</v>
      </c>
    </row>
    <row r="1605">
      <c r="A1605" s="131">
        <f>IFERROR(__xludf.DUMMYFUNCTION("""COMPUTED_VALUE"""),46187.36670138889)</f>
        <v>46187.3667</v>
      </c>
      <c r="B1605" s="126">
        <f>IFERROR(__xludf.DUMMYFUNCTION("""COMPUTED_VALUE"""),46187.0)</f>
        <v>46187</v>
      </c>
      <c r="C1605" s="122" t="str">
        <f>IFERROR(__xludf.DUMMYFUNCTION("""COMPUTED_VALUE"""),"HOTL")</f>
        <v>HOTL</v>
      </c>
      <c r="D1605" s="122" t="str">
        <f>IFERROR(__xludf.DUMMYFUNCTION("""COMPUTED_VALUE"""),"HotelHive")</f>
        <v>HotelHive</v>
      </c>
      <c r="E1605" s="122">
        <f>IFERROR(__xludf.DUMMYFUNCTION("""COMPUTED_VALUE"""),134.72)</f>
        <v>134.72</v>
      </c>
      <c r="F1605" s="122">
        <f>IFERROR(__xludf.DUMMYFUNCTION("""COMPUTED_VALUE"""),0.0041)</f>
        <v>0.0041</v>
      </c>
    </row>
    <row r="1606">
      <c r="A1606" s="131">
        <f>IFERROR(__xludf.DUMMYFUNCTION("""COMPUTED_VALUE"""),46187.36670138889)</f>
        <v>46187.3667</v>
      </c>
      <c r="B1606" s="126">
        <f>IFERROR(__xludf.DUMMYFUNCTION("""COMPUTED_VALUE"""),46187.0)</f>
        <v>46187</v>
      </c>
      <c r="C1606" s="122" t="str">
        <f>IFERROR(__xludf.DUMMYFUNCTION("""COMPUTED_VALUE"""),"LAND")</f>
        <v>LAND</v>
      </c>
      <c r="D1606" s="122" t="str">
        <f>IFERROR(__xludf.DUMMYFUNCTION("""COMPUTED_VALUE"""),"LandLink")</f>
        <v>LandLink</v>
      </c>
      <c r="E1606" s="122">
        <f>IFERROR(__xludf.DUMMYFUNCTION("""COMPUTED_VALUE"""),181.98)</f>
        <v>181.98</v>
      </c>
      <c r="F1606" s="122">
        <f>IFERROR(__xludf.DUMMYFUNCTION("""COMPUTED_VALUE"""),-1.0E-4)</f>
        <v>-0.0001</v>
      </c>
    </row>
    <row r="1607">
      <c r="A1607" s="131">
        <f>IFERROR(__xludf.DUMMYFUNCTION("""COMPUTED_VALUE"""),46187.36670138889)</f>
        <v>46187.3667</v>
      </c>
      <c r="B1607" s="126">
        <f>IFERROR(__xludf.DUMMYFUNCTION("""COMPUTED_VALUE"""),46187.0)</f>
        <v>46187</v>
      </c>
      <c r="C1607" s="122" t="str">
        <f>IFERROR(__xludf.DUMMYFUNCTION("""COMPUTED_VALUE"""),"CARS")</f>
        <v>CARS</v>
      </c>
      <c r="D1607" s="122" t="str">
        <f>IFERROR(__xludf.DUMMYFUNCTION("""COMPUTED_VALUE"""),"AutoArena")</f>
        <v>AutoArena</v>
      </c>
      <c r="E1607" s="122">
        <f>IFERROR(__xludf.DUMMYFUNCTION("""COMPUTED_VALUE"""),79.0)</f>
        <v>79</v>
      </c>
      <c r="F1607" s="122">
        <f>IFERROR(__xludf.DUMMYFUNCTION("""COMPUTED_VALUE"""),-0.0062)</f>
        <v>-0.0062</v>
      </c>
    </row>
    <row r="1608">
      <c r="A1608" s="131">
        <f>IFERROR(__xludf.DUMMYFUNCTION("""COMPUTED_VALUE"""),46187.36670138889)</f>
        <v>46187.3667</v>
      </c>
      <c r="B1608" s="126">
        <f>IFERROR(__xludf.DUMMYFUNCTION("""COMPUTED_VALUE"""),46187.0)</f>
        <v>46187</v>
      </c>
      <c r="C1608" s="122" t="str">
        <f>IFERROR(__xludf.DUMMYFUNCTION("""COMPUTED_VALUE"""),"EVGO")</f>
        <v>EVGO</v>
      </c>
      <c r="D1608" s="122" t="str">
        <f>IFERROR(__xludf.DUMMYFUNCTION("""COMPUTED_VALUE"""),"EVGo Motors")</f>
        <v>EVGo Motors</v>
      </c>
      <c r="E1608" s="122">
        <f>IFERROR(__xludf.DUMMYFUNCTION("""COMPUTED_VALUE"""),195.61)</f>
        <v>195.61</v>
      </c>
      <c r="F1608" s="122">
        <f>IFERROR(__xludf.DUMMYFUNCTION("""COMPUTED_VALUE"""),0.0022)</f>
        <v>0.0022</v>
      </c>
    </row>
    <row r="1609">
      <c r="A1609" s="131">
        <f>IFERROR(__xludf.DUMMYFUNCTION("""COMPUTED_VALUE"""),46187.36670138889)</f>
        <v>46187.3667</v>
      </c>
      <c r="B1609" s="126">
        <f>IFERROR(__xludf.DUMMYFUNCTION("""COMPUTED_VALUE"""),46187.0)</f>
        <v>46187</v>
      </c>
      <c r="C1609" s="122" t="str">
        <f>IFERROR(__xludf.DUMMYFUNCTION("""COMPUTED_VALUE"""),"TIRE")</f>
        <v>TIRE</v>
      </c>
      <c r="D1609" s="122" t="str">
        <f>IFERROR(__xludf.DUMMYFUNCTION("""COMPUTED_VALUE"""),"TireTown")</f>
        <v>TireTown</v>
      </c>
      <c r="E1609" s="122">
        <f>IFERROR(__xludf.DUMMYFUNCTION("""COMPUTED_VALUE"""),90.85)</f>
        <v>90.85</v>
      </c>
      <c r="F1609" s="122">
        <f>IFERROR(__xludf.DUMMYFUNCTION("""COMPUTED_VALUE"""),-0.0035)</f>
        <v>-0.0035</v>
      </c>
    </row>
    <row r="1610">
      <c r="A1610" s="131">
        <f>IFERROR(__xludf.DUMMYFUNCTION("""COMPUTED_VALUE"""),46187.36670138889)</f>
        <v>46187.3667</v>
      </c>
      <c r="B1610" s="126">
        <f>IFERROR(__xludf.DUMMYFUNCTION("""COMPUTED_VALUE"""),46187.0)</f>
        <v>46187</v>
      </c>
      <c r="C1610" s="122" t="str">
        <f>IFERROR(__xludf.DUMMYFUNCTION("""COMPUTED_VALUE"""),"BIKE")</f>
        <v>BIKE</v>
      </c>
      <c r="D1610" s="122" t="str">
        <f>IFERROR(__xludf.DUMMYFUNCTION("""COMPUTED_VALUE"""),"BikeBox")</f>
        <v>BikeBox</v>
      </c>
      <c r="E1610" s="122">
        <f>IFERROR(__xludf.DUMMYFUNCTION("""COMPUTED_VALUE"""),53.23)</f>
        <v>53.23</v>
      </c>
      <c r="F1610" s="122">
        <f>IFERROR(__xludf.DUMMYFUNCTION("""COMPUTED_VALUE"""),0.0013)</f>
        <v>0.0013</v>
      </c>
    </row>
    <row r="1611">
      <c r="A1611" s="131">
        <f>IFERROR(__xludf.DUMMYFUNCTION("""COMPUTED_VALUE"""),46187.36670138889)</f>
        <v>46187.3667</v>
      </c>
      <c r="B1611" s="126">
        <f>IFERROR(__xludf.DUMMYFUNCTION("""COMPUTED_VALUE"""),46187.0)</f>
        <v>46187</v>
      </c>
      <c r="C1611" s="122" t="str">
        <f>IFERROR(__xludf.DUMMYFUNCTION("""COMPUTED_VALUE"""),"WASH")</f>
        <v>WASH</v>
      </c>
      <c r="D1611" s="122" t="str">
        <f>IFERROR(__xludf.DUMMYFUNCTION("""COMPUTED_VALUE"""),"CarWash Co")</f>
        <v>CarWash Co</v>
      </c>
      <c r="E1611" s="122">
        <f>IFERROR(__xludf.DUMMYFUNCTION("""COMPUTED_VALUE"""),118.3)</f>
        <v>118.3</v>
      </c>
      <c r="F1611" s="122">
        <f>IFERROR(__xludf.DUMMYFUNCTION("""COMPUTED_VALUE"""),0.0048)</f>
        <v>0.0048</v>
      </c>
    </row>
    <row r="1612">
      <c r="A1612" s="131">
        <f>IFERROR(__xludf.DUMMYFUNCTION("""COMPUTED_VALUE"""),46187.36670138889)</f>
        <v>46187.3667</v>
      </c>
      <c r="B1612" s="126">
        <f>IFERROR(__xludf.DUMMYFUNCTION("""COMPUTED_VALUE"""),46187.0)</f>
        <v>46187</v>
      </c>
      <c r="C1612" s="122" t="str">
        <f>IFERROR(__xludf.DUMMYFUNCTION("""COMPUTED_VALUE"""),"GBND")</f>
        <v>GBND</v>
      </c>
      <c r="D1612" s="122" t="str">
        <f>IFERROR(__xludf.DUMMYFUNCTION("""COMPUTED_VALUE"""),"Classroom Government Bond")</f>
        <v>Classroom Government Bond</v>
      </c>
      <c r="E1612" s="122">
        <f>IFERROR(__xludf.DUMMYFUNCTION("""COMPUTED_VALUE"""),100.86)</f>
        <v>100.86</v>
      </c>
      <c r="F1612" s="122">
        <f>IFERROR(__xludf.DUMMYFUNCTION("""COMPUTED_VALUE"""),2.0E-4)</f>
        <v>0.0002</v>
      </c>
    </row>
    <row r="1613">
      <c r="A1613" s="131">
        <f>IFERROR(__xludf.DUMMYFUNCTION("""COMPUTED_VALUE"""),46187.36670138889)</f>
        <v>46187.3667</v>
      </c>
      <c r="B1613" s="126">
        <f>IFERROR(__xludf.DUMMYFUNCTION("""COMPUTED_VALUE"""),46187.0)</f>
        <v>46187</v>
      </c>
      <c r="C1613" s="122" t="str">
        <f>IFERROR(__xludf.DUMMYFUNCTION("""COMPUTED_VALUE"""),"SBND")</f>
        <v>SBND</v>
      </c>
      <c r="D1613" s="122" t="str">
        <f>IFERROR(__xludf.DUMMYFUNCTION("""COMPUTED_VALUE"""),"School Savings Bond")</f>
        <v>School Savings Bond</v>
      </c>
      <c r="E1613" s="122">
        <f>IFERROR(__xludf.DUMMYFUNCTION("""COMPUTED_VALUE"""),99.33)</f>
        <v>99.33</v>
      </c>
      <c r="F1613" s="122">
        <f>IFERROR(__xludf.DUMMYFUNCTION("""COMPUTED_VALUE"""),2.0E-4)</f>
        <v>0.0002</v>
      </c>
    </row>
    <row r="1614">
      <c r="A1614" s="131">
        <f>IFERROR(__xludf.DUMMYFUNCTION("""COMPUTED_VALUE"""),46187.36670138889)</f>
        <v>46187.3667</v>
      </c>
      <c r="B1614" s="126">
        <f>IFERROR(__xludf.DUMMYFUNCTION("""COMPUTED_VALUE"""),46187.0)</f>
        <v>46187</v>
      </c>
      <c r="C1614" s="122" t="str">
        <f>IFERROR(__xludf.DUMMYFUNCTION("""COMPUTED_VALUE"""),"CBND")</f>
        <v>CBND</v>
      </c>
      <c r="D1614" s="122" t="str">
        <f>IFERROR(__xludf.DUMMYFUNCTION("""COMPUTED_VALUE"""),"Corporate Classroom Bond")</f>
        <v>Corporate Classroom Bond</v>
      </c>
      <c r="E1614" s="122">
        <f>IFERROR(__xludf.DUMMYFUNCTION("""COMPUTED_VALUE"""),97.69)</f>
        <v>97.69</v>
      </c>
      <c r="F1614" s="122">
        <f>IFERROR(__xludf.DUMMYFUNCTION("""COMPUTED_VALUE"""),-2.0E-4)</f>
        <v>-0.0002</v>
      </c>
    </row>
    <row r="1615">
      <c r="A1615" s="131">
        <f>IFERROR(__xludf.DUMMYFUNCTION("""COMPUTED_VALUE"""),46187.36670138889)</f>
        <v>46187.3667</v>
      </c>
      <c r="B1615" s="126">
        <f>IFERROR(__xludf.DUMMYFUNCTION("""COMPUTED_VALUE"""),46187.0)</f>
        <v>46187</v>
      </c>
      <c r="C1615" s="122" t="str">
        <f>IFERROR(__xludf.DUMMYFUNCTION("""COMPUTED_VALUE"""),"TBIL")</f>
        <v>TBIL</v>
      </c>
      <c r="D1615" s="122" t="str">
        <f>IFERROR(__xludf.DUMMYFUNCTION("""COMPUTED_VALUE"""),"Treasury Bill")</f>
        <v>Treasury Bill</v>
      </c>
      <c r="E1615" s="122">
        <f>IFERROR(__xludf.DUMMYFUNCTION("""COMPUTED_VALUE"""),98.05)</f>
        <v>98.05</v>
      </c>
      <c r="F1615" s="122">
        <f>IFERROR(__xludf.DUMMYFUNCTION("""COMPUTED_VALUE"""),5.0E-4)</f>
        <v>0.0005</v>
      </c>
    </row>
    <row r="1616">
      <c r="A1616" s="131">
        <f>IFERROR(__xludf.DUMMYFUNCTION("""COMPUTED_VALUE"""),46187.36670138889)</f>
        <v>46187.3667</v>
      </c>
      <c r="B1616" s="126">
        <f>IFERROR(__xludf.DUMMYFUNCTION("""COMPUTED_VALUE"""),46187.0)</f>
        <v>46187</v>
      </c>
      <c r="C1616" s="122" t="str">
        <f>IFERROR(__xludf.DUMMYFUNCTION("""COMPUTED_VALUE"""),"IBND")</f>
        <v>IBND</v>
      </c>
      <c r="D1616" s="122" t="str">
        <f>IFERROR(__xludf.DUMMYFUNCTION("""COMPUTED_VALUE"""),"Inflation Protected Bond")</f>
        <v>Inflation Protected Bond</v>
      </c>
      <c r="E1616" s="122">
        <f>IFERROR(__xludf.DUMMYFUNCTION("""COMPUTED_VALUE"""),100.51)</f>
        <v>100.51</v>
      </c>
      <c r="F1616" s="122">
        <f>IFERROR(__xludf.DUMMYFUNCTION("""COMPUTED_VALUE"""),-4.0E-4)</f>
        <v>-0.0004</v>
      </c>
    </row>
    <row r="1617">
      <c r="A1617" s="131">
        <f>IFERROR(__xludf.DUMMYFUNCTION("""COMPUTED_VALUE"""),46187.36756944445)</f>
        <v>46187.36757</v>
      </c>
      <c r="B1617" s="126">
        <f>IFERROR(__xludf.DUMMYFUNCTION("""COMPUTED_VALUE"""),46187.0)</f>
        <v>46187</v>
      </c>
      <c r="C1617" s="130">
        <f>IFERROR(__xludf.DUMMYFUNCTION("""COMPUTED_VALUE"""),0.36756944444444445)</f>
        <v>0.3675694444</v>
      </c>
      <c r="D1617" s="122" t="str">
        <f>IFERROR(__xludf.DUMMYFUNCTION("""COMPUTED_VALUE"""),"SNAX")</f>
        <v>SNAX</v>
      </c>
      <c r="E1617" s="122" t="str">
        <f>IFERROR(__xludf.DUMMYFUNCTION("""COMPUTED_VALUE"""),"MICA Snacks")</f>
        <v>MICA Snacks</v>
      </c>
      <c r="F1617" s="122" t="str">
        <f>IFERROR(__xludf.DUMMYFUNCTION("""COMPUTED_VALUE"""),"Consumer Goods")</f>
        <v>Consumer Goods</v>
      </c>
    </row>
    <row r="1618">
      <c r="A1618" s="131">
        <f>IFERROR(__xludf.DUMMYFUNCTION("""COMPUTED_VALUE"""),46187.36756944445)</f>
        <v>46187.36757</v>
      </c>
      <c r="B1618" s="126">
        <f>IFERROR(__xludf.DUMMYFUNCTION("""COMPUTED_VALUE"""),46187.0)</f>
        <v>46187</v>
      </c>
      <c r="C1618" s="130">
        <f>IFERROR(__xludf.DUMMYFUNCTION("""COMPUTED_VALUE"""),0.36756944444444445)</f>
        <v>0.3675694444</v>
      </c>
      <c r="D1618" s="122" t="str">
        <f>IFERROR(__xludf.DUMMYFUNCTION("""COMPUTED_VALUE"""),"RAMN")</f>
        <v>RAMN</v>
      </c>
      <c r="E1618" s="122" t="str">
        <f>IFERROR(__xludf.DUMMYFUNCTION("""COMPUTED_VALUE"""),"Ramen Republic")</f>
        <v>Ramen Republic</v>
      </c>
      <c r="F1618" s="122" t="str">
        <f>IFERROR(__xludf.DUMMYFUNCTION("""COMPUTED_VALUE"""),"Food")</f>
        <v>Food</v>
      </c>
    </row>
    <row r="1619">
      <c r="A1619" s="131">
        <f>IFERROR(__xludf.DUMMYFUNCTION("""COMPUTED_VALUE"""),46187.36756944445)</f>
        <v>46187.36757</v>
      </c>
      <c r="B1619" s="126">
        <f>IFERROR(__xludf.DUMMYFUNCTION("""COMPUTED_VALUE"""),46187.0)</f>
        <v>46187</v>
      </c>
      <c r="C1619" s="130">
        <f>IFERROR(__xludf.DUMMYFUNCTION("""COMPUTED_VALUE"""),0.36756944444444445)</f>
        <v>0.3675694444</v>
      </c>
      <c r="D1619" s="122" t="str">
        <f>IFERROR(__xludf.DUMMYFUNCTION("""COMPUTED_VALUE"""),"COLA")</f>
        <v>COLA</v>
      </c>
      <c r="E1619" s="122" t="str">
        <f>IFERROR(__xludf.DUMMYFUNCTION("""COMPUTED_VALUE"""),"K-Pop Cola")</f>
        <v>K-Pop Cola</v>
      </c>
      <c r="F1619" s="122" t="str">
        <f>IFERROR(__xludf.DUMMYFUNCTION("""COMPUTED_VALUE"""),"Beverage")</f>
        <v>Beverage</v>
      </c>
    </row>
    <row r="1620">
      <c r="A1620" s="131">
        <f>IFERROR(__xludf.DUMMYFUNCTION("""COMPUTED_VALUE"""),46187.36756944445)</f>
        <v>46187.36757</v>
      </c>
      <c r="B1620" s="126">
        <f>IFERROR(__xludf.DUMMYFUNCTION("""COMPUTED_VALUE"""),46187.0)</f>
        <v>46187</v>
      </c>
      <c r="C1620" s="130">
        <f>IFERROR(__xludf.DUMMYFUNCTION("""COMPUTED_VALUE"""),0.36756944444444445)</f>
        <v>0.3675694444</v>
      </c>
      <c r="D1620" s="122" t="str">
        <f>IFERROR(__xludf.DUMMYFUNCTION("""COMPUTED_VALUE"""),"CHIP")</f>
        <v>CHIP</v>
      </c>
      <c r="E1620" s="122" t="str">
        <f>IFERROR(__xludf.DUMMYFUNCTION("""COMPUTED_VALUE"""),"Chip Empire")</f>
        <v>Chip Empire</v>
      </c>
      <c r="F1620" s="122" t="str">
        <f>IFERROR(__xludf.DUMMYFUNCTION("""COMPUTED_VALUE"""),"Consumer Goods")</f>
        <v>Consumer Goods</v>
      </c>
    </row>
    <row r="1621">
      <c r="A1621" s="131">
        <f>IFERROR(__xludf.DUMMYFUNCTION("""COMPUTED_VALUE"""),46187.36756944445)</f>
        <v>46187.36757</v>
      </c>
      <c r="B1621" s="126">
        <f>IFERROR(__xludf.DUMMYFUNCTION("""COMPUTED_VALUE"""),46187.0)</f>
        <v>46187</v>
      </c>
      <c r="C1621" s="130">
        <f>IFERROR(__xludf.DUMMYFUNCTION("""COMPUTED_VALUE"""),0.36756944444444445)</f>
        <v>0.3675694444</v>
      </c>
      <c r="D1621" s="122" t="str">
        <f>IFERROR(__xludf.DUMMYFUNCTION("""COMPUTED_VALUE"""),"CAND")</f>
        <v>CAND</v>
      </c>
      <c r="E1621" s="122" t="str">
        <f>IFERROR(__xludf.DUMMYFUNCTION("""COMPUTED_VALUE"""),"Candy Capital")</f>
        <v>Candy Capital</v>
      </c>
      <c r="F1621" s="122" t="str">
        <f>IFERROR(__xludf.DUMMYFUNCTION("""COMPUTED_VALUE"""),"Consumer Goods")</f>
        <v>Consumer Goods</v>
      </c>
    </row>
    <row r="1622">
      <c r="A1622" s="131">
        <f>IFERROR(__xludf.DUMMYFUNCTION("""COMPUTED_VALUE"""),46187.36756944445)</f>
        <v>46187.36757</v>
      </c>
      <c r="B1622" s="126">
        <f>IFERROR(__xludf.DUMMYFUNCTION("""COMPUTED_VALUE"""),46187.0)</f>
        <v>46187</v>
      </c>
      <c r="C1622" s="130">
        <f>IFERROR(__xludf.DUMMYFUNCTION("""COMPUTED_VALUE"""),0.36756944444444445)</f>
        <v>0.3675694444</v>
      </c>
      <c r="D1622" s="122" t="str">
        <f>IFERROR(__xludf.DUMMYFUNCTION("""COMPUTED_VALUE"""),"TECH")</f>
        <v>TECH</v>
      </c>
      <c r="E1622" s="122" t="str">
        <f>IFERROR(__xludf.DUMMYFUNCTION("""COMPUTED_VALUE"""),"Dragon Tech")</f>
        <v>Dragon Tech</v>
      </c>
      <c r="F1622" s="122" t="str">
        <f>IFERROR(__xludf.DUMMYFUNCTION("""COMPUTED_VALUE"""),"Technology")</f>
        <v>Technology</v>
      </c>
    </row>
    <row r="1623">
      <c r="A1623" s="131">
        <f>IFERROR(__xludf.DUMMYFUNCTION("""COMPUTED_VALUE"""),46187.36756944445)</f>
        <v>46187.36757</v>
      </c>
      <c r="B1623" s="126">
        <f>IFERROR(__xludf.DUMMYFUNCTION("""COMPUTED_VALUE"""),46187.0)</f>
        <v>46187</v>
      </c>
      <c r="C1623" s="130">
        <f>IFERROR(__xludf.DUMMYFUNCTION("""COMPUTED_VALUE"""),0.36756944444444445)</f>
        <v>0.3675694444</v>
      </c>
      <c r="D1623" s="122" t="str">
        <f>IFERROR(__xludf.DUMMYFUNCTION("""COMPUTED_VALUE"""),"AIBO")</f>
        <v>AIBO</v>
      </c>
      <c r="E1623" s="122" t="str">
        <f>IFERROR(__xludf.DUMMYFUNCTION("""COMPUTED_VALUE"""),"Homework AI")</f>
        <v>Homework AI</v>
      </c>
      <c r="F1623" s="122" t="str">
        <f>IFERROR(__xludf.DUMMYFUNCTION("""COMPUTED_VALUE"""),"Technology")</f>
        <v>Technology</v>
      </c>
    </row>
    <row r="1624">
      <c r="A1624" s="131">
        <f>IFERROR(__xludf.DUMMYFUNCTION("""COMPUTED_VALUE"""),46187.36756944445)</f>
        <v>46187.36757</v>
      </c>
      <c r="B1624" s="126">
        <f>IFERROR(__xludf.DUMMYFUNCTION("""COMPUTED_VALUE"""),46187.0)</f>
        <v>46187</v>
      </c>
      <c r="C1624" s="130">
        <f>IFERROR(__xludf.DUMMYFUNCTION("""COMPUTED_VALUE"""),0.36756944444444445)</f>
        <v>0.3675694444</v>
      </c>
      <c r="D1624" s="122" t="str">
        <f>IFERROR(__xludf.DUMMYFUNCTION("""COMPUTED_VALUE"""),"GAME")</f>
        <v>GAME</v>
      </c>
      <c r="E1624" s="122" t="str">
        <f>IFERROR(__xludf.DUMMYFUNCTION("""COMPUTED_VALUE"""),"GameBox Media")</f>
        <v>GameBox Media</v>
      </c>
      <c r="F1624" s="122" t="str">
        <f>IFERROR(__xludf.DUMMYFUNCTION("""COMPUTED_VALUE"""),"Entertainment")</f>
        <v>Entertainment</v>
      </c>
    </row>
    <row r="1625">
      <c r="A1625" s="131">
        <f>IFERROR(__xludf.DUMMYFUNCTION("""COMPUTED_VALUE"""),46187.36756944445)</f>
        <v>46187.36757</v>
      </c>
      <c r="B1625" s="126">
        <f>IFERROR(__xludf.DUMMYFUNCTION("""COMPUTED_VALUE"""),46187.0)</f>
        <v>46187</v>
      </c>
      <c r="C1625" s="130">
        <f>IFERROR(__xludf.DUMMYFUNCTION("""COMPUTED_VALUE"""),0.36756944444444445)</f>
        <v>0.3675694444</v>
      </c>
      <c r="D1625" s="122" t="str">
        <f>IFERROR(__xludf.DUMMYFUNCTION("""COMPUTED_VALUE"""),"VRSE")</f>
        <v>VRSE</v>
      </c>
      <c r="E1625" s="122" t="str">
        <f>IFERROR(__xludf.DUMMYFUNCTION("""COMPUTED_VALUE"""),"VerseVR")</f>
        <v>VerseVR</v>
      </c>
      <c r="F1625" s="122" t="str">
        <f>IFERROR(__xludf.DUMMYFUNCTION("""COMPUTED_VALUE"""),"Technology")</f>
        <v>Technology</v>
      </c>
    </row>
    <row r="1626">
      <c r="A1626" s="131">
        <f>IFERROR(__xludf.DUMMYFUNCTION("""COMPUTED_VALUE"""),46187.36756944445)</f>
        <v>46187.36757</v>
      </c>
      <c r="B1626" s="126">
        <f>IFERROR(__xludf.DUMMYFUNCTION("""COMPUTED_VALUE"""),46187.0)</f>
        <v>46187</v>
      </c>
      <c r="C1626" s="130">
        <f>IFERROR(__xludf.DUMMYFUNCTION("""COMPUTED_VALUE"""),0.36756944444444445)</f>
        <v>0.3675694444</v>
      </c>
      <c r="D1626" s="122" t="str">
        <f>IFERROR(__xludf.DUMMYFUNCTION("""COMPUTED_VALUE"""),"BYTE")</f>
        <v>BYTE</v>
      </c>
      <c r="E1626" s="122" t="str">
        <f>IFERROR(__xludf.DUMMYFUNCTION("""COMPUTED_VALUE"""),"ByteWorks")</f>
        <v>ByteWorks</v>
      </c>
      <c r="F1626" s="122" t="str">
        <f>IFERROR(__xludf.DUMMYFUNCTION("""COMPUTED_VALUE"""),"Technology")</f>
        <v>Technology</v>
      </c>
    </row>
    <row r="1627">
      <c r="A1627" s="131">
        <f>IFERROR(__xludf.DUMMYFUNCTION("""COMPUTED_VALUE"""),46187.36756944445)</f>
        <v>46187.36757</v>
      </c>
      <c r="B1627" s="126">
        <f>IFERROR(__xludf.DUMMYFUNCTION("""COMPUTED_VALUE"""),46187.0)</f>
        <v>46187</v>
      </c>
      <c r="C1627" s="130">
        <f>IFERROR(__xludf.DUMMYFUNCTION("""COMPUTED_VALUE"""),0.36756944444444445)</f>
        <v>0.3675694444</v>
      </c>
      <c r="D1627" s="122" t="str">
        <f>IFERROR(__xludf.DUMMYFUNCTION("""COMPUTED_VALUE"""),"BANK")</f>
        <v>BANK</v>
      </c>
      <c r="E1627" s="122" t="str">
        <f>IFERROR(__xludf.DUMMYFUNCTION("""COMPUTED_VALUE"""),"Tiger Bank")</f>
        <v>Tiger Bank</v>
      </c>
      <c r="F1627" s="122" t="str">
        <f>IFERROR(__xludf.DUMMYFUNCTION("""COMPUTED_VALUE"""),"Finance")</f>
        <v>Finance</v>
      </c>
    </row>
    <row r="1628">
      <c r="A1628" s="131">
        <f>IFERROR(__xludf.DUMMYFUNCTION("""COMPUTED_VALUE"""),46187.36756944445)</f>
        <v>46187.36757</v>
      </c>
      <c r="B1628" s="126">
        <f>IFERROR(__xludf.DUMMYFUNCTION("""COMPUTED_VALUE"""),46187.0)</f>
        <v>46187</v>
      </c>
      <c r="C1628" s="130">
        <f>IFERROR(__xludf.DUMMYFUNCTION("""COMPUTED_VALUE"""),0.36756944444444445)</f>
        <v>0.3675694444</v>
      </c>
      <c r="D1628" s="122" t="str">
        <f>IFERROR(__xludf.DUMMYFUNCTION("""COMPUTED_VALUE"""),"CRED")</f>
        <v>CRED</v>
      </c>
      <c r="E1628" s="122" t="str">
        <f>IFERROR(__xludf.DUMMYFUNCTION("""COMPUTED_VALUE"""),"Credit Castle")</f>
        <v>Credit Castle</v>
      </c>
      <c r="F1628" s="122" t="str">
        <f>IFERROR(__xludf.DUMMYFUNCTION("""COMPUTED_VALUE"""),"Finance")</f>
        <v>Finance</v>
      </c>
    </row>
    <row r="1629">
      <c r="A1629" s="131">
        <f>IFERROR(__xludf.DUMMYFUNCTION("""COMPUTED_VALUE"""),46187.36756944445)</f>
        <v>46187.36757</v>
      </c>
      <c r="B1629" s="126">
        <f>IFERROR(__xludf.DUMMYFUNCTION("""COMPUTED_VALUE"""),46187.0)</f>
        <v>46187</v>
      </c>
      <c r="C1629" s="130">
        <f>IFERROR(__xludf.DUMMYFUNCTION("""COMPUTED_VALUE"""),0.36756944444444445)</f>
        <v>0.3675694444</v>
      </c>
      <c r="D1629" s="122" t="str">
        <f>IFERROR(__xludf.DUMMYFUNCTION("""COMPUTED_VALUE"""),"BOND")</f>
        <v>BOND</v>
      </c>
      <c r="E1629" s="122" t="str">
        <f>IFERROR(__xludf.DUMMYFUNCTION("""COMPUTED_VALUE"""),"BondBridge")</f>
        <v>BondBridge</v>
      </c>
      <c r="F1629" s="122" t="str">
        <f>IFERROR(__xludf.DUMMYFUNCTION("""COMPUTED_VALUE"""),"Finance")</f>
        <v>Finance</v>
      </c>
    </row>
    <row r="1630">
      <c r="A1630" s="131">
        <f>IFERROR(__xludf.DUMMYFUNCTION("""COMPUTED_VALUE"""),46187.36756944445)</f>
        <v>46187.36757</v>
      </c>
      <c r="B1630" s="126">
        <f>IFERROR(__xludf.DUMMYFUNCTION("""COMPUTED_VALUE"""),46187.0)</f>
        <v>46187</v>
      </c>
      <c r="C1630" s="130">
        <f>IFERROR(__xludf.DUMMYFUNCTION("""COMPUTED_VALUE"""),0.36756944444444445)</f>
        <v>0.3675694444</v>
      </c>
      <c r="D1630" s="122" t="str">
        <f>IFERROR(__xludf.DUMMYFUNCTION("""COMPUTED_VALUE"""),"INSR")</f>
        <v>INSR</v>
      </c>
      <c r="E1630" s="122" t="str">
        <f>IFERROR(__xludf.DUMMYFUNCTION("""COMPUTED_VALUE"""),"Shield Insurance")</f>
        <v>Shield Insurance</v>
      </c>
      <c r="F1630" s="122" t="str">
        <f>IFERROR(__xludf.DUMMYFUNCTION("""COMPUTED_VALUE"""),"Finance")</f>
        <v>Finance</v>
      </c>
    </row>
    <row r="1631">
      <c r="A1631" s="131">
        <f>IFERROR(__xludf.DUMMYFUNCTION("""COMPUTED_VALUE"""),46187.36756944445)</f>
        <v>46187.36757</v>
      </c>
      <c r="B1631" s="126">
        <f>IFERROR(__xludf.DUMMYFUNCTION("""COMPUTED_VALUE"""),46187.0)</f>
        <v>46187</v>
      </c>
      <c r="C1631" s="130">
        <f>IFERROR(__xludf.DUMMYFUNCTION("""COMPUTED_VALUE"""),0.36756944444444445)</f>
        <v>0.3675694444</v>
      </c>
      <c r="D1631" s="122" t="str">
        <f>IFERROR(__xludf.DUMMYFUNCTION("""COMPUTED_VALUE"""),"LOAN")</f>
        <v>LOAN</v>
      </c>
      <c r="E1631" s="122" t="str">
        <f>IFERROR(__xludf.DUMMYFUNCTION("""COMPUTED_VALUE"""),"LoanLab")</f>
        <v>LoanLab</v>
      </c>
      <c r="F1631" s="122" t="str">
        <f>IFERROR(__xludf.DUMMYFUNCTION("""COMPUTED_VALUE"""),"Finance")</f>
        <v>Finance</v>
      </c>
    </row>
    <row r="1632">
      <c r="A1632" s="131">
        <f>IFERROR(__xludf.DUMMYFUNCTION("""COMPUTED_VALUE"""),46187.36756944445)</f>
        <v>46187.36757</v>
      </c>
      <c r="B1632" s="126">
        <f>IFERROR(__xludf.DUMMYFUNCTION("""COMPUTED_VALUE"""),46187.0)</f>
        <v>46187</v>
      </c>
      <c r="C1632" s="130">
        <f>IFERROR(__xludf.DUMMYFUNCTION("""COMPUTED_VALUE"""),0.36756944444444445)</f>
        <v>0.3675694444</v>
      </c>
      <c r="D1632" s="122" t="str">
        <f>IFERROR(__xludf.DUMMYFUNCTION("""COMPUTED_VALUE"""),"LUXE")</f>
        <v>LUXE</v>
      </c>
      <c r="E1632" s="122" t="str">
        <f>IFERROR(__xludf.DUMMYFUNCTION("""COMPUTED_VALUE"""),"Luxury Locker")</f>
        <v>Luxury Locker</v>
      </c>
      <c r="F1632" s="122" t="str">
        <f>IFERROR(__xludf.DUMMYFUNCTION("""COMPUTED_VALUE"""),"Luxury Goods")</f>
        <v>Luxury Goods</v>
      </c>
    </row>
    <row r="1633">
      <c r="A1633" s="131">
        <f>IFERROR(__xludf.DUMMYFUNCTION("""COMPUTED_VALUE"""),46187.36756944445)</f>
        <v>46187.36757</v>
      </c>
      <c r="B1633" s="126">
        <f>IFERROR(__xludf.DUMMYFUNCTION("""COMPUTED_VALUE"""),46187.0)</f>
        <v>46187</v>
      </c>
      <c r="C1633" s="130">
        <f>IFERROR(__xludf.DUMMYFUNCTION("""COMPUTED_VALUE"""),0.36756944444444445)</f>
        <v>0.3675694444</v>
      </c>
      <c r="D1633" s="122" t="str">
        <f>IFERROR(__xludf.DUMMYFUNCTION("""COMPUTED_VALUE"""),"DRIP")</f>
        <v>DRIP</v>
      </c>
      <c r="E1633" s="122" t="str">
        <f>IFERROR(__xludf.DUMMYFUNCTION("""COMPUTED_VALUE"""),"Drip Streetwear")</f>
        <v>Drip Streetwear</v>
      </c>
      <c r="F1633" s="122" t="str">
        <f>IFERROR(__xludf.DUMMYFUNCTION("""COMPUTED_VALUE"""),"Fashion")</f>
        <v>Fashion</v>
      </c>
    </row>
    <row r="1634">
      <c r="A1634" s="131">
        <f>IFERROR(__xludf.DUMMYFUNCTION("""COMPUTED_VALUE"""),46187.36756944445)</f>
        <v>46187.36757</v>
      </c>
      <c r="B1634" s="126">
        <f>IFERROR(__xludf.DUMMYFUNCTION("""COMPUTED_VALUE"""),46187.0)</f>
        <v>46187</v>
      </c>
      <c r="C1634" s="130">
        <f>IFERROR(__xludf.DUMMYFUNCTION("""COMPUTED_VALUE"""),0.36756944444444445)</f>
        <v>0.3675694444</v>
      </c>
      <c r="D1634" s="122" t="str">
        <f>IFERROR(__xludf.DUMMYFUNCTION("""COMPUTED_VALUE"""),"KICK")</f>
        <v>KICK</v>
      </c>
      <c r="E1634" s="122" t="str">
        <f>IFERROR(__xludf.DUMMYFUNCTION("""COMPUTED_VALUE"""),"KickDrop Sneakers")</f>
        <v>KickDrop Sneakers</v>
      </c>
      <c r="F1634" s="122" t="str">
        <f>IFERROR(__xludf.DUMMYFUNCTION("""COMPUTED_VALUE"""),"Fashion")</f>
        <v>Fashion</v>
      </c>
    </row>
    <row r="1635">
      <c r="A1635" s="131">
        <f>IFERROR(__xludf.DUMMYFUNCTION("""COMPUTED_VALUE"""),46187.36756944445)</f>
        <v>46187.36757</v>
      </c>
      <c r="B1635" s="126">
        <f>IFERROR(__xludf.DUMMYFUNCTION("""COMPUTED_VALUE"""),46187.0)</f>
        <v>46187</v>
      </c>
      <c r="C1635" s="130">
        <f>IFERROR(__xludf.DUMMYFUNCTION("""COMPUTED_VALUE"""),0.36756944444444445)</f>
        <v>0.3675694444</v>
      </c>
      <c r="D1635" s="122" t="str">
        <f>IFERROR(__xludf.DUMMYFUNCTION("""COMPUTED_VALUE"""),"GLAM")</f>
        <v>GLAM</v>
      </c>
      <c r="E1635" s="122" t="str">
        <f>IFERROR(__xludf.DUMMYFUNCTION("""COMPUTED_VALUE"""),"Glow Cosmetics")</f>
        <v>Glow Cosmetics</v>
      </c>
      <c r="F1635" s="122" t="str">
        <f>IFERROR(__xludf.DUMMYFUNCTION("""COMPUTED_VALUE"""),"Fashion")</f>
        <v>Fashion</v>
      </c>
    </row>
    <row r="1636">
      <c r="A1636" s="131">
        <f>IFERROR(__xludf.DUMMYFUNCTION("""COMPUTED_VALUE"""),46187.36756944445)</f>
        <v>46187.36757</v>
      </c>
      <c r="B1636" s="126">
        <f>IFERROR(__xludf.DUMMYFUNCTION("""COMPUTED_VALUE"""),46187.0)</f>
        <v>46187</v>
      </c>
      <c r="C1636" s="130">
        <f>IFERROR(__xludf.DUMMYFUNCTION("""COMPUTED_VALUE"""),0.36756944444444445)</f>
        <v>0.3675694444</v>
      </c>
      <c r="D1636" s="122" t="str">
        <f>IFERROR(__xludf.DUMMYFUNCTION("""COMPUTED_VALUE"""),"BAGG")</f>
        <v>BAGG</v>
      </c>
      <c r="E1636" s="122" t="str">
        <f>IFERROR(__xludf.DUMMYFUNCTION("""COMPUTED_VALUE"""),"BagVault")</f>
        <v>BagVault</v>
      </c>
      <c r="F1636" s="122" t="str">
        <f>IFERROR(__xludf.DUMMYFUNCTION("""COMPUTED_VALUE"""),"Fashion")</f>
        <v>Fashion</v>
      </c>
    </row>
    <row r="1637">
      <c r="A1637" s="131">
        <f>IFERROR(__xludf.DUMMYFUNCTION("""COMPUTED_VALUE"""),46187.36756944445)</f>
        <v>46187.36757</v>
      </c>
      <c r="B1637" s="126">
        <f>IFERROR(__xludf.DUMMYFUNCTION("""COMPUTED_VALUE"""),46187.0)</f>
        <v>46187</v>
      </c>
      <c r="C1637" s="130">
        <f>IFERROR(__xludf.DUMMYFUNCTION("""COMPUTED_VALUE"""),0.36756944444444445)</f>
        <v>0.3675694444</v>
      </c>
      <c r="D1637" s="122" t="str">
        <f>IFERROR(__xludf.DUMMYFUNCTION("""COMPUTED_VALUE"""),"FAST")</f>
        <v>FAST</v>
      </c>
      <c r="E1637" s="122" t="str">
        <f>IFERROR(__xludf.DUMMYFUNCTION("""COMPUTED_VALUE"""),"Flash Logistics")</f>
        <v>Flash Logistics</v>
      </c>
      <c r="F1637" s="122" t="str">
        <f>IFERROR(__xludf.DUMMYFUNCTION("""COMPUTED_VALUE"""),"Logistics")</f>
        <v>Logistics</v>
      </c>
    </row>
    <row r="1638">
      <c r="A1638" s="131">
        <f>IFERROR(__xludf.DUMMYFUNCTION("""COMPUTED_VALUE"""),46187.36756944445)</f>
        <v>46187.36757</v>
      </c>
      <c r="B1638" s="126">
        <f>IFERROR(__xludf.DUMMYFUNCTION("""COMPUTED_VALUE"""),46187.0)</f>
        <v>46187</v>
      </c>
      <c r="C1638" s="130">
        <f>IFERROR(__xludf.DUMMYFUNCTION("""COMPUTED_VALUE"""),0.36756944444444445)</f>
        <v>0.3675694444</v>
      </c>
      <c r="D1638" s="122" t="str">
        <f>IFERROR(__xludf.DUMMYFUNCTION("""COMPUTED_VALUE"""),"SHIP")</f>
        <v>SHIP</v>
      </c>
      <c r="E1638" s="122" t="str">
        <f>IFERROR(__xludf.DUMMYFUNCTION("""COMPUTED_VALUE"""),"Seoul Shipping")</f>
        <v>Seoul Shipping</v>
      </c>
      <c r="F1638" s="122" t="str">
        <f>IFERROR(__xludf.DUMMYFUNCTION("""COMPUTED_VALUE"""),"Logistics")</f>
        <v>Logistics</v>
      </c>
    </row>
    <row r="1639">
      <c r="A1639" s="131">
        <f>IFERROR(__xludf.DUMMYFUNCTION("""COMPUTED_VALUE"""),46187.36756944445)</f>
        <v>46187.36757</v>
      </c>
      <c r="B1639" s="126">
        <f>IFERROR(__xludf.DUMMYFUNCTION("""COMPUTED_VALUE"""),46187.0)</f>
        <v>46187</v>
      </c>
      <c r="C1639" s="130">
        <f>IFERROR(__xludf.DUMMYFUNCTION("""COMPUTED_VALUE"""),0.36756944444444445)</f>
        <v>0.3675694444</v>
      </c>
      <c r="D1639" s="122" t="str">
        <f>IFERROR(__xludf.DUMMYFUNCTION("""COMPUTED_VALUE"""),"DRON")</f>
        <v>DRON</v>
      </c>
      <c r="E1639" s="122" t="str">
        <f>IFERROR(__xludf.DUMMYFUNCTION("""COMPUTED_VALUE"""),"DroneDrop")</f>
        <v>DroneDrop</v>
      </c>
      <c r="F1639" s="122" t="str">
        <f>IFERROR(__xludf.DUMMYFUNCTION("""COMPUTED_VALUE"""),"Logistics")</f>
        <v>Logistics</v>
      </c>
    </row>
    <row r="1640">
      <c r="A1640" s="131">
        <f>IFERROR(__xludf.DUMMYFUNCTION("""COMPUTED_VALUE"""),46187.36756944445)</f>
        <v>46187.36757</v>
      </c>
      <c r="B1640" s="126">
        <f>IFERROR(__xludf.DUMMYFUNCTION("""COMPUTED_VALUE"""),46187.0)</f>
        <v>46187</v>
      </c>
      <c r="C1640" s="130">
        <f>IFERROR(__xludf.DUMMYFUNCTION("""COMPUTED_VALUE"""),0.36756944444444445)</f>
        <v>0.3675694444</v>
      </c>
      <c r="D1640" s="122" t="str">
        <f>IFERROR(__xludf.DUMMYFUNCTION("""COMPUTED_VALUE"""),"RIDE")</f>
        <v>RIDE</v>
      </c>
      <c r="E1640" s="122" t="str">
        <f>IFERROR(__xludf.DUMMYFUNCTION("""COMPUTED_VALUE"""),"QuickRide")</f>
        <v>QuickRide</v>
      </c>
      <c r="F1640" s="122" t="str">
        <f>IFERROR(__xludf.DUMMYFUNCTION("""COMPUTED_VALUE"""),"Transportation")</f>
        <v>Transportation</v>
      </c>
    </row>
    <row r="1641">
      <c r="A1641" s="131">
        <f>IFERROR(__xludf.DUMMYFUNCTION("""COMPUTED_VALUE"""),46187.36756944445)</f>
        <v>46187.36757</v>
      </c>
      <c r="B1641" s="126">
        <f>IFERROR(__xludf.DUMMYFUNCTION("""COMPUTED_VALUE"""),46187.0)</f>
        <v>46187</v>
      </c>
      <c r="C1641" s="130">
        <f>IFERROR(__xludf.DUMMYFUNCTION("""COMPUTED_VALUE"""),0.36756944444444445)</f>
        <v>0.3675694444</v>
      </c>
      <c r="D1641" s="122" t="str">
        <f>IFERROR(__xludf.DUMMYFUNCTION("""COMPUTED_VALUE"""),"RAIL")</f>
        <v>RAIL</v>
      </c>
      <c r="E1641" s="122" t="str">
        <f>IFERROR(__xludf.DUMMYFUNCTION("""COMPUTED_VALUE"""),"MetroRail Corp")</f>
        <v>MetroRail Corp</v>
      </c>
      <c r="F1641" s="122" t="str">
        <f>IFERROR(__xludf.DUMMYFUNCTION("""COMPUTED_VALUE"""),"Transportation")</f>
        <v>Transportation</v>
      </c>
    </row>
    <row r="1642">
      <c r="A1642" s="131">
        <f>IFERROR(__xludf.DUMMYFUNCTION("""COMPUTED_VALUE"""),46187.36756944445)</f>
        <v>46187.36757</v>
      </c>
      <c r="B1642" s="126">
        <f>IFERROR(__xludf.DUMMYFUNCTION("""COMPUTED_VALUE"""),46187.0)</f>
        <v>46187</v>
      </c>
      <c r="C1642" s="130">
        <f>IFERROR(__xludf.DUMMYFUNCTION("""COMPUTED_VALUE"""),0.36756944444444445)</f>
        <v>0.3675694444</v>
      </c>
      <c r="D1642" s="122" t="str">
        <f>IFERROR(__xludf.DUMMYFUNCTION("""COMPUTED_VALUE"""),"MEDX")</f>
        <v>MEDX</v>
      </c>
      <c r="E1642" s="122" t="str">
        <f>IFERROR(__xludf.DUMMYFUNCTION("""COMPUTED_VALUE"""),"MediCore")</f>
        <v>MediCore</v>
      </c>
      <c r="F1642" s="122" t="str">
        <f>IFERROR(__xludf.DUMMYFUNCTION("""COMPUTED_VALUE"""),"Healthcare")</f>
        <v>Healthcare</v>
      </c>
    </row>
    <row r="1643">
      <c r="A1643" s="131">
        <f>IFERROR(__xludf.DUMMYFUNCTION("""COMPUTED_VALUE"""),46187.36756944445)</f>
        <v>46187.36757</v>
      </c>
      <c r="B1643" s="126">
        <f>IFERROR(__xludf.DUMMYFUNCTION("""COMPUTED_VALUE"""),46187.0)</f>
        <v>46187</v>
      </c>
      <c r="C1643" s="130">
        <f>IFERROR(__xludf.DUMMYFUNCTION("""COMPUTED_VALUE"""),0.36756944444444445)</f>
        <v>0.3675694444</v>
      </c>
      <c r="D1643" s="122" t="str">
        <f>IFERROR(__xludf.DUMMYFUNCTION("""COMPUTED_VALUE"""),"GYMX")</f>
        <v>GYMX</v>
      </c>
      <c r="E1643" s="122" t="str">
        <f>IFERROR(__xludf.DUMMYFUNCTION("""COMPUTED_VALUE"""),"GymX Fitness")</f>
        <v>GymX Fitness</v>
      </c>
      <c r="F1643" s="122" t="str">
        <f>IFERROR(__xludf.DUMMYFUNCTION("""COMPUTED_VALUE"""),"Healthcare")</f>
        <v>Healthcare</v>
      </c>
    </row>
    <row r="1644">
      <c r="A1644" s="131">
        <f>IFERROR(__xludf.DUMMYFUNCTION("""COMPUTED_VALUE"""),46187.36756944445)</f>
        <v>46187.36757</v>
      </c>
      <c r="B1644" s="126">
        <f>IFERROR(__xludf.DUMMYFUNCTION("""COMPUTED_VALUE"""),46187.0)</f>
        <v>46187</v>
      </c>
      <c r="C1644" s="130">
        <f>IFERROR(__xludf.DUMMYFUNCTION("""COMPUTED_VALUE"""),0.36756944444444445)</f>
        <v>0.3675694444</v>
      </c>
      <c r="D1644" s="122" t="str">
        <f>IFERROR(__xludf.DUMMYFUNCTION("""COMPUTED_VALUE"""),"VITA")</f>
        <v>VITA</v>
      </c>
      <c r="E1644" s="122" t="str">
        <f>IFERROR(__xludf.DUMMYFUNCTION("""COMPUTED_VALUE"""),"VitaPlus")</f>
        <v>VitaPlus</v>
      </c>
      <c r="F1644" s="122" t="str">
        <f>IFERROR(__xludf.DUMMYFUNCTION("""COMPUTED_VALUE"""),"Healthcare")</f>
        <v>Healthcare</v>
      </c>
    </row>
    <row r="1645">
      <c r="A1645" s="131">
        <f>IFERROR(__xludf.DUMMYFUNCTION("""COMPUTED_VALUE"""),46187.36756944445)</f>
        <v>46187.36757</v>
      </c>
      <c r="B1645" s="126">
        <f>IFERROR(__xludf.DUMMYFUNCTION("""COMPUTED_VALUE"""),46187.0)</f>
        <v>46187</v>
      </c>
      <c r="C1645" s="130">
        <f>IFERROR(__xludf.DUMMYFUNCTION("""COMPUTED_VALUE"""),0.36756944444444445)</f>
        <v>0.3675694444</v>
      </c>
      <c r="D1645" s="122" t="str">
        <f>IFERROR(__xludf.DUMMYFUNCTION("""COMPUTED_VALUE"""),"CARE")</f>
        <v>CARE</v>
      </c>
      <c r="E1645" s="122" t="str">
        <f>IFERROR(__xludf.DUMMYFUNCTION("""COMPUTED_VALUE"""),"CareCloud")</f>
        <v>CareCloud</v>
      </c>
      <c r="F1645" s="122" t="str">
        <f>IFERROR(__xludf.DUMMYFUNCTION("""COMPUTED_VALUE"""),"Healthcare")</f>
        <v>Healthcare</v>
      </c>
    </row>
    <row r="1646">
      <c r="A1646" s="131">
        <f>IFERROR(__xludf.DUMMYFUNCTION("""COMPUTED_VALUE"""),46187.36756944445)</f>
        <v>46187.36757</v>
      </c>
      <c r="B1646" s="126">
        <f>IFERROR(__xludf.DUMMYFUNCTION("""COMPUTED_VALUE"""),46187.0)</f>
        <v>46187</v>
      </c>
      <c r="C1646" s="130">
        <f>IFERROR(__xludf.DUMMYFUNCTION("""COMPUTED_VALUE"""),0.36756944444444445)</f>
        <v>0.3675694444</v>
      </c>
      <c r="D1646" s="122" t="str">
        <f>IFERROR(__xludf.DUMMYFUNCTION("""COMPUTED_VALUE"""),"DENT")</f>
        <v>DENT</v>
      </c>
      <c r="E1646" s="122" t="str">
        <f>IFERROR(__xludf.DUMMYFUNCTION("""COMPUTED_VALUE"""),"SmileWorks")</f>
        <v>SmileWorks</v>
      </c>
      <c r="F1646" s="122" t="str">
        <f>IFERROR(__xludf.DUMMYFUNCTION("""COMPUTED_VALUE"""),"Healthcare")</f>
        <v>Healthcare</v>
      </c>
    </row>
    <row r="1647">
      <c r="A1647" s="131">
        <f>IFERROR(__xludf.DUMMYFUNCTION("""COMPUTED_VALUE"""),46187.36756944445)</f>
        <v>46187.36757</v>
      </c>
      <c r="B1647" s="126">
        <f>IFERROR(__xludf.DUMMYFUNCTION("""COMPUTED_VALUE"""),46187.0)</f>
        <v>46187</v>
      </c>
      <c r="C1647" s="130">
        <f>IFERROR(__xludf.DUMMYFUNCTION("""COMPUTED_VALUE"""),0.36756944444444445)</f>
        <v>0.3675694444</v>
      </c>
      <c r="D1647" s="122" t="str">
        <f>IFERROR(__xludf.DUMMYFUNCTION("""COMPUTED_VALUE"""),"EDUX")</f>
        <v>EDUX</v>
      </c>
      <c r="E1647" s="122" t="str">
        <f>IFERROR(__xludf.DUMMYFUNCTION("""COMPUTED_VALUE"""),"EduMax Learning")</f>
        <v>EduMax Learning</v>
      </c>
      <c r="F1647" s="122" t="str">
        <f>IFERROR(__xludf.DUMMYFUNCTION("""COMPUTED_VALUE"""),"Education")</f>
        <v>Education</v>
      </c>
    </row>
    <row r="1648">
      <c r="A1648" s="131">
        <f>IFERROR(__xludf.DUMMYFUNCTION("""COMPUTED_VALUE"""),46187.36756944445)</f>
        <v>46187.36757</v>
      </c>
      <c r="B1648" s="126">
        <f>IFERROR(__xludf.DUMMYFUNCTION("""COMPUTED_VALUE"""),46187.0)</f>
        <v>46187</v>
      </c>
      <c r="C1648" s="130">
        <f>IFERROR(__xludf.DUMMYFUNCTION("""COMPUTED_VALUE"""),0.36756944444444445)</f>
        <v>0.3675694444</v>
      </c>
      <c r="D1648" s="122" t="str">
        <f>IFERROR(__xludf.DUMMYFUNCTION("""COMPUTED_VALUE"""),"BOOK")</f>
        <v>BOOK</v>
      </c>
      <c r="E1648" s="122" t="str">
        <f>IFERROR(__xludf.DUMMYFUNCTION("""COMPUTED_VALUE"""),"BookBridge")</f>
        <v>BookBridge</v>
      </c>
      <c r="F1648" s="122" t="str">
        <f>IFERROR(__xludf.DUMMYFUNCTION("""COMPUTED_VALUE"""),"Education")</f>
        <v>Education</v>
      </c>
    </row>
    <row r="1649">
      <c r="A1649" s="131">
        <f>IFERROR(__xludf.DUMMYFUNCTION("""COMPUTED_VALUE"""),46187.36756944445)</f>
        <v>46187.36757</v>
      </c>
      <c r="B1649" s="126">
        <f>IFERROR(__xludf.DUMMYFUNCTION("""COMPUTED_VALUE"""),46187.0)</f>
        <v>46187</v>
      </c>
      <c r="C1649" s="130">
        <f>IFERROR(__xludf.DUMMYFUNCTION("""COMPUTED_VALUE"""),0.36756944444444445)</f>
        <v>0.3675694444</v>
      </c>
      <c r="D1649" s="122" t="str">
        <f>IFERROR(__xludf.DUMMYFUNCTION("""COMPUTED_VALUE"""),"TUTR")</f>
        <v>TUTR</v>
      </c>
      <c r="E1649" s="122" t="str">
        <f>IFERROR(__xludf.DUMMYFUNCTION("""COMPUTED_VALUE"""),"TutorTown")</f>
        <v>TutorTown</v>
      </c>
      <c r="F1649" s="122" t="str">
        <f>IFERROR(__xludf.DUMMYFUNCTION("""COMPUTED_VALUE"""),"Education")</f>
        <v>Education</v>
      </c>
    </row>
    <row r="1650">
      <c r="A1650" s="131">
        <f>IFERROR(__xludf.DUMMYFUNCTION("""COMPUTED_VALUE"""),46187.36756944445)</f>
        <v>46187.36757</v>
      </c>
      <c r="B1650" s="126">
        <f>IFERROR(__xludf.DUMMYFUNCTION("""COMPUTED_VALUE"""),46187.0)</f>
        <v>46187</v>
      </c>
      <c r="C1650" s="130">
        <f>IFERROR(__xludf.DUMMYFUNCTION("""COMPUTED_VALUE"""),0.36756944444444445)</f>
        <v>0.3675694444</v>
      </c>
      <c r="D1650" s="122" t="str">
        <f>IFERROR(__xludf.DUMMYFUNCTION("""COMPUTED_VALUE"""),"LANG")</f>
        <v>LANG</v>
      </c>
      <c r="E1650" s="122" t="str">
        <f>IFERROR(__xludf.DUMMYFUNCTION("""COMPUTED_VALUE"""),"LinguaLab")</f>
        <v>LinguaLab</v>
      </c>
      <c r="F1650" s="122" t="str">
        <f>IFERROR(__xludf.DUMMYFUNCTION("""COMPUTED_VALUE"""),"Education")</f>
        <v>Education</v>
      </c>
    </row>
    <row r="1651">
      <c r="A1651" s="131">
        <f>IFERROR(__xludf.DUMMYFUNCTION("""COMPUTED_VALUE"""),46187.36756944445)</f>
        <v>46187.36757</v>
      </c>
      <c r="B1651" s="126">
        <f>IFERROR(__xludf.DUMMYFUNCTION("""COMPUTED_VALUE"""),46187.0)</f>
        <v>46187</v>
      </c>
      <c r="C1651" s="130">
        <f>IFERROR(__xludf.DUMMYFUNCTION("""COMPUTED_VALUE"""),0.36756944444444445)</f>
        <v>0.3675694444</v>
      </c>
      <c r="D1651" s="122" t="str">
        <f>IFERROR(__xludf.DUMMYFUNCTION("""COMPUTED_VALUE"""),"TEST")</f>
        <v>TEST</v>
      </c>
      <c r="E1651" s="122" t="str">
        <f>IFERROR(__xludf.DUMMYFUNCTION("""COMPUTED_VALUE"""),"TestPrep Pro")</f>
        <v>TestPrep Pro</v>
      </c>
      <c r="F1651" s="122" t="str">
        <f>IFERROR(__xludf.DUMMYFUNCTION("""COMPUTED_VALUE"""),"Education")</f>
        <v>Education</v>
      </c>
    </row>
    <row r="1652">
      <c r="A1652" s="131">
        <f>IFERROR(__xludf.DUMMYFUNCTION("""COMPUTED_VALUE"""),46187.36756944445)</f>
        <v>46187.36757</v>
      </c>
      <c r="B1652" s="126">
        <f>IFERROR(__xludf.DUMMYFUNCTION("""COMPUTED_VALUE"""),46187.0)</f>
        <v>46187</v>
      </c>
      <c r="C1652" s="130">
        <f>IFERROR(__xludf.DUMMYFUNCTION("""COMPUTED_VALUE"""),0.36756944444444445)</f>
        <v>0.3675694444</v>
      </c>
      <c r="D1652" s="122" t="str">
        <f>IFERROR(__xludf.DUMMYFUNCTION("""COMPUTED_VALUE"""),"MOVI")</f>
        <v>MOVI</v>
      </c>
      <c r="E1652" s="122" t="str">
        <f>IFERROR(__xludf.DUMMYFUNCTION("""COMPUTED_VALUE"""),"MovieBox")</f>
        <v>MovieBox</v>
      </c>
      <c r="F1652" s="122" t="str">
        <f>IFERROR(__xludf.DUMMYFUNCTION("""COMPUTED_VALUE"""),"Entertainment")</f>
        <v>Entertainment</v>
      </c>
    </row>
    <row r="1653">
      <c r="A1653" s="131">
        <f>IFERROR(__xludf.DUMMYFUNCTION("""COMPUTED_VALUE"""),46187.36756944445)</f>
        <v>46187.36757</v>
      </c>
      <c r="B1653" s="126">
        <f>IFERROR(__xludf.DUMMYFUNCTION("""COMPUTED_VALUE"""),46187.0)</f>
        <v>46187</v>
      </c>
      <c r="C1653" s="130">
        <f>IFERROR(__xludf.DUMMYFUNCTION("""COMPUTED_VALUE"""),0.36756944444444445)</f>
        <v>0.3675694444</v>
      </c>
      <c r="D1653" s="122" t="str">
        <f>IFERROR(__xludf.DUMMYFUNCTION("""COMPUTED_VALUE"""),"MUSC")</f>
        <v>MUSC</v>
      </c>
      <c r="E1653" s="122" t="str">
        <f>IFERROR(__xludf.DUMMYFUNCTION("""COMPUTED_VALUE"""),"MusicWave")</f>
        <v>MusicWave</v>
      </c>
      <c r="F1653" s="122" t="str">
        <f>IFERROR(__xludf.DUMMYFUNCTION("""COMPUTED_VALUE"""),"Entertainment")</f>
        <v>Entertainment</v>
      </c>
    </row>
    <row r="1654">
      <c r="A1654" s="131">
        <f>IFERROR(__xludf.DUMMYFUNCTION("""COMPUTED_VALUE"""),46187.36756944445)</f>
        <v>46187.36757</v>
      </c>
      <c r="B1654" s="126">
        <f>IFERROR(__xludf.DUMMYFUNCTION("""COMPUTED_VALUE"""),46187.0)</f>
        <v>46187</v>
      </c>
      <c r="C1654" s="130">
        <f>IFERROR(__xludf.DUMMYFUNCTION("""COMPUTED_VALUE"""),0.36756944444444445)</f>
        <v>0.3675694444</v>
      </c>
      <c r="D1654" s="122" t="str">
        <f>IFERROR(__xludf.DUMMYFUNCTION("""COMPUTED_VALUE"""),"IDOL")</f>
        <v>IDOL</v>
      </c>
      <c r="E1654" s="122" t="str">
        <f>IFERROR(__xludf.DUMMYFUNCTION("""COMPUTED_VALUE"""),"Idol Agency")</f>
        <v>Idol Agency</v>
      </c>
      <c r="F1654" s="122" t="str">
        <f>IFERROR(__xludf.DUMMYFUNCTION("""COMPUTED_VALUE"""),"Entertainment")</f>
        <v>Entertainment</v>
      </c>
    </row>
    <row r="1655">
      <c r="A1655" s="131">
        <f>IFERROR(__xludf.DUMMYFUNCTION("""COMPUTED_VALUE"""),46187.36756944445)</f>
        <v>46187.36757</v>
      </c>
      <c r="B1655" s="126">
        <f>IFERROR(__xludf.DUMMYFUNCTION("""COMPUTED_VALUE"""),46187.0)</f>
        <v>46187</v>
      </c>
      <c r="C1655" s="130">
        <f>IFERROR(__xludf.DUMMYFUNCTION("""COMPUTED_VALUE"""),0.36756944444444445)</f>
        <v>0.3675694444</v>
      </c>
      <c r="D1655" s="122" t="str">
        <f>IFERROR(__xludf.DUMMYFUNCTION("""COMPUTED_VALUE"""),"MEME")</f>
        <v>MEME</v>
      </c>
      <c r="E1655" s="122" t="str">
        <f>IFERROR(__xludf.DUMMYFUNCTION("""COMPUTED_VALUE"""),"Meme Media")</f>
        <v>Meme Media</v>
      </c>
      <c r="F1655" s="122" t="str">
        <f>IFERROR(__xludf.DUMMYFUNCTION("""COMPUTED_VALUE"""),"Entertainment")</f>
        <v>Entertainment</v>
      </c>
    </row>
    <row r="1656">
      <c r="A1656" s="131">
        <f>IFERROR(__xludf.DUMMYFUNCTION("""COMPUTED_VALUE"""),46187.36756944445)</f>
        <v>46187.36757</v>
      </c>
      <c r="B1656" s="126">
        <f>IFERROR(__xludf.DUMMYFUNCTION("""COMPUTED_VALUE"""),46187.0)</f>
        <v>46187</v>
      </c>
      <c r="C1656" s="130">
        <f>IFERROR(__xludf.DUMMYFUNCTION("""COMPUTED_VALUE"""),0.36756944444444445)</f>
        <v>0.3675694444</v>
      </c>
      <c r="D1656" s="122" t="str">
        <f>IFERROR(__xludf.DUMMYFUNCTION("""COMPUTED_VALUE"""),"STRM")</f>
        <v>STRM</v>
      </c>
      <c r="E1656" s="122" t="str">
        <f>IFERROR(__xludf.DUMMYFUNCTION("""COMPUTED_VALUE"""),"Streamly")</f>
        <v>Streamly</v>
      </c>
      <c r="F1656" s="122" t="str">
        <f>IFERROR(__xludf.DUMMYFUNCTION("""COMPUTED_VALUE"""),"Entertainment")</f>
        <v>Entertainment</v>
      </c>
    </row>
    <row r="1657">
      <c r="A1657" s="131">
        <f>IFERROR(__xludf.DUMMYFUNCTION("""COMPUTED_VALUE"""),46187.36756944445)</f>
        <v>46187.36757</v>
      </c>
      <c r="B1657" s="126">
        <f>IFERROR(__xludf.DUMMYFUNCTION("""COMPUTED_VALUE"""),46187.0)</f>
        <v>46187</v>
      </c>
      <c r="C1657" s="130">
        <f>IFERROR(__xludf.DUMMYFUNCTION("""COMPUTED_VALUE"""),0.36756944444444445)</f>
        <v>0.3675694444</v>
      </c>
      <c r="D1657" s="122" t="str">
        <f>IFERROR(__xludf.DUMMYFUNCTION("""COMPUTED_VALUE"""),"FARM")</f>
        <v>FARM</v>
      </c>
      <c r="E1657" s="122" t="str">
        <f>IFERROR(__xludf.DUMMYFUNCTION("""COMPUTED_VALUE"""),"Future Farms")</f>
        <v>Future Farms</v>
      </c>
      <c r="F1657" s="122" t="str">
        <f>IFERROR(__xludf.DUMMYFUNCTION("""COMPUTED_VALUE"""),"Agriculture")</f>
        <v>Agriculture</v>
      </c>
    </row>
    <row r="1658">
      <c r="A1658" s="131">
        <f>IFERROR(__xludf.DUMMYFUNCTION("""COMPUTED_VALUE"""),46187.36756944445)</f>
        <v>46187.36757</v>
      </c>
      <c r="B1658" s="126">
        <f>IFERROR(__xludf.DUMMYFUNCTION("""COMPUTED_VALUE"""),46187.0)</f>
        <v>46187</v>
      </c>
      <c r="C1658" s="130">
        <f>IFERROR(__xludf.DUMMYFUNCTION("""COMPUTED_VALUE"""),0.36756944444444445)</f>
        <v>0.3675694444</v>
      </c>
      <c r="D1658" s="122" t="str">
        <f>IFERROR(__xludf.DUMMYFUNCTION("""COMPUTED_VALUE"""),"MEAT")</f>
        <v>MEAT</v>
      </c>
      <c r="E1658" s="122" t="str">
        <f>IFERROR(__xludf.DUMMYFUNCTION("""COMPUTED_VALUE"""),"MeatWorks")</f>
        <v>MeatWorks</v>
      </c>
      <c r="F1658" s="122" t="str">
        <f>IFERROR(__xludf.DUMMYFUNCTION("""COMPUTED_VALUE"""),"Food")</f>
        <v>Food</v>
      </c>
    </row>
    <row r="1659">
      <c r="A1659" s="131">
        <f>IFERROR(__xludf.DUMMYFUNCTION("""COMPUTED_VALUE"""),46187.36756944445)</f>
        <v>46187.36757</v>
      </c>
      <c r="B1659" s="126">
        <f>IFERROR(__xludf.DUMMYFUNCTION("""COMPUTED_VALUE"""),46187.0)</f>
        <v>46187</v>
      </c>
      <c r="C1659" s="130">
        <f>IFERROR(__xludf.DUMMYFUNCTION("""COMPUTED_VALUE"""),0.36756944444444445)</f>
        <v>0.3675694444</v>
      </c>
      <c r="D1659" s="122" t="str">
        <f>IFERROR(__xludf.DUMMYFUNCTION("""COMPUTED_VALUE"""),"VEGI")</f>
        <v>VEGI</v>
      </c>
      <c r="E1659" s="122" t="str">
        <f>IFERROR(__xludf.DUMMYFUNCTION("""COMPUTED_VALUE"""),"Green Basket")</f>
        <v>Green Basket</v>
      </c>
      <c r="F1659" s="122" t="str">
        <f>IFERROR(__xludf.DUMMYFUNCTION("""COMPUTED_VALUE"""),"Food")</f>
        <v>Food</v>
      </c>
    </row>
    <row r="1660">
      <c r="A1660" s="131">
        <f>IFERROR(__xludf.DUMMYFUNCTION("""COMPUTED_VALUE"""),46187.36756944445)</f>
        <v>46187.36757</v>
      </c>
      <c r="B1660" s="126">
        <f>IFERROR(__xludf.DUMMYFUNCTION("""COMPUTED_VALUE"""),46187.0)</f>
        <v>46187</v>
      </c>
      <c r="C1660" s="130">
        <f>IFERROR(__xludf.DUMMYFUNCTION("""COMPUTED_VALUE"""),0.36756944444444445)</f>
        <v>0.3675694444</v>
      </c>
      <c r="D1660" s="122" t="str">
        <f>IFERROR(__xludf.DUMMYFUNCTION("""COMPUTED_VALUE"""),"CAFE")</f>
        <v>CAFE</v>
      </c>
      <c r="E1660" s="122" t="str">
        <f>IFERROR(__xludf.DUMMYFUNCTION("""COMPUTED_VALUE"""),"Cafe Cloud")</f>
        <v>Cafe Cloud</v>
      </c>
      <c r="F1660" s="122" t="str">
        <f>IFERROR(__xludf.DUMMYFUNCTION("""COMPUTED_VALUE"""),"Food")</f>
        <v>Food</v>
      </c>
    </row>
    <row r="1661">
      <c r="A1661" s="131">
        <f>IFERROR(__xludf.DUMMYFUNCTION("""COMPUTED_VALUE"""),46187.36756944445)</f>
        <v>46187.36757</v>
      </c>
      <c r="B1661" s="126">
        <f>IFERROR(__xludf.DUMMYFUNCTION("""COMPUTED_VALUE"""),46187.0)</f>
        <v>46187</v>
      </c>
      <c r="C1661" s="130">
        <f>IFERROR(__xludf.DUMMYFUNCTION("""COMPUTED_VALUE"""),0.36756944444444445)</f>
        <v>0.3675694444</v>
      </c>
      <c r="D1661" s="122" t="str">
        <f>IFERROR(__xludf.DUMMYFUNCTION("""COMPUTED_VALUE"""),"BAKE")</f>
        <v>BAKE</v>
      </c>
      <c r="E1661" s="122" t="str">
        <f>IFERROR(__xludf.DUMMYFUNCTION("""COMPUTED_VALUE"""),"BakeHouse")</f>
        <v>BakeHouse</v>
      </c>
      <c r="F1661" s="122" t="str">
        <f>IFERROR(__xludf.DUMMYFUNCTION("""COMPUTED_VALUE"""),"Food")</f>
        <v>Food</v>
      </c>
    </row>
    <row r="1662">
      <c r="A1662" s="131">
        <f>IFERROR(__xludf.DUMMYFUNCTION("""COMPUTED_VALUE"""),46187.36756944445)</f>
        <v>46187.36757</v>
      </c>
      <c r="B1662" s="126">
        <f>IFERROR(__xludf.DUMMYFUNCTION("""COMPUTED_VALUE"""),46187.0)</f>
        <v>46187</v>
      </c>
      <c r="C1662" s="130">
        <f>IFERROR(__xludf.DUMMYFUNCTION("""COMPUTED_VALUE"""),0.36756944444444445)</f>
        <v>0.3675694444</v>
      </c>
      <c r="D1662" s="122" t="str">
        <f>IFERROR(__xludf.DUMMYFUNCTION("""COMPUTED_VALUE"""),"OILX")</f>
        <v>OILX</v>
      </c>
      <c r="E1662" s="122" t="str">
        <f>IFERROR(__xludf.DUMMYFUNCTION("""COMPUTED_VALUE"""),"OilMax Energy")</f>
        <v>OilMax Energy</v>
      </c>
      <c r="F1662" s="122" t="str">
        <f>IFERROR(__xludf.DUMMYFUNCTION("""COMPUTED_VALUE"""),"Energy")</f>
        <v>Energy</v>
      </c>
    </row>
    <row r="1663">
      <c r="A1663" s="131">
        <f>IFERROR(__xludf.DUMMYFUNCTION("""COMPUTED_VALUE"""),46187.36756944445)</f>
        <v>46187.36757</v>
      </c>
      <c r="B1663" s="126">
        <f>IFERROR(__xludf.DUMMYFUNCTION("""COMPUTED_VALUE"""),46187.0)</f>
        <v>46187</v>
      </c>
      <c r="C1663" s="130">
        <f>IFERROR(__xludf.DUMMYFUNCTION("""COMPUTED_VALUE"""),0.36756944444444445)</f>
        <v>0.3675694444</v>
      </c>
      <c r="D1663" s="122" t="str">
        <f>IFERROR(__xludf.DUMMYFUNCTION("""COMPUTED_VALUE"""),"SOLR")</f>
        <v>SOLR</v>
      </c>
      <c r="E1663" s="122" t="str">
        <f>IFERROR(__xludf.DUMMYFUNCTION("""COMPUTED_VALUE"""),"SolarSpark")</f>
        <v>SolarSpark</v>
      </c>
      <c r="F1663" s="122" t="str">
        <f>IFERROR(__xludf.DUMMYFUNCTION("""COMPUTED_VALUE"""),"Energy")</f>
        <v>Energy</v>
      </c>
    </row>
    <row r="1664">
      <c r="A1664" s="131">
        <f>IFERROR(__xludf.DUMMYFUNCTION("""COMPUTED_VALUE"""),46187.36756944445)</f>
        <v>46187.36757</v>
      </c>
      <c r="B1664" s="126">
        <f>IFERROR(__xludf.DUMMYFUNCTION("""COMPUTED_VALUE"""),46187.0)</f>
        <v>46187</v>
      </c>
      <c r="C1664" s="130">
        <f>IFERROR(__xludf.DUMMYFUNCTION("""COMPUTED_VALUE"""),0.36756944444444445)</f>
        <v>0.3675694444</v>
      </c>
      <c r="D1664" s="122" t="str">
        <f>IFERROR(__xludf.DUMMYFUNCTION("""COMPUTED_VALUE"""),"BATT")</f>
        <v>BATT</v>
      </c>
      <c r="E1664" s="122" t="str">
        <f>IFERROR(__xludf.DUMMYFUNCTION("""COMPUTED_VALUE"""),"BatteryBox")</f>
        <v>BatteryBox</v>
      </c>
      <c r="F1664" s="122" t="str">
        <f>IFERROR(__xludf.DUMMYFUNCTION("""COMPUTED_VALUE"""),"Energy")</f>
        <v>Energy</v>
      </c>
    </row>
    <row r="1665">
      <c r="A1665" s="131">
        <f>IFERROR(__xludf.DUMMYFUNCTION("""COMPUTED_VALUE"""),46187.36756944445)</f>
        <v>46187.36757</v>
      </c>
      <c r="B1665" s="126">
        <f>IFERROR(__xludf.DUMMYFUNCTION("""COMPUTED_VALUE"""),46187.0)</f>
        <v>46187</v>
      </c>
      <c r="C1665" s="130">
        <f>IFERROR(__xludf.DUMMYFUNCTION("""COMPUTED_VALUE"""),0.36756944444444445)</f>
        <v>0.3675694444</v>
      </c>
      <c r="D1665" s="122" t="str">
        <f>IFERROR(__xludf.DUMMYFUNCTION("""COMPUTED_VALUE"""),"WIND")</f>
        <v>WIND</v>
      </c>
      <c r="E1665" s="122" t="str">
        <f>IFERROR(__xludf.DUMMYFUNCTION("""COMPUTED_VALUE"""),"WindWorks")</f>
        <v>WindWorks</v>
      </c>
      <c r="F1665" s="122" t="str">
        <f>IFERROR(__xludf.DUMMYFUNCTION("""COMPUTED_VALUE"""),"Energy")</f>
        <v>Energy</v>
      </c>
    </row>
    <row r="1666">
      <c r="A1666" s="131">
        <f>IFERROR(__xludf.DUMMYFUNCTION("""COMPUTED_VALUE"""),46187.36756944445)</f>
        <v>46187.36757</v>
      </c>
      <c r="B1666" s="126">
        <f>IFERROR(__xludf.DUMMYFUNCTION("""COMPUTED_VALUE"""),46187.0)</f>
        <v>46187</v>
      </c>
      <c r="C1666" s="130">
        <f>IFERROR(__xludf.DUMMYFUNCTION("""COMPUTED_VALUE"""),0.36756944444444445)</f>
        <v>0.3675694444</v>
      </c>
      <c r="D1666" s="122" t="str">
        <f>IFERROR(__xludf.DUMMYFUNCTION("""COMPUTED_VALUE"""),"GRID")</f>
        <v>GRID</v>
      </c>
      <c r="E1666" s="122" t="str">
        <f>IFERROR(__xludf.DUMMYFUNCTION("""COMPUTED_VALUE"""),"GridPower")</f>
        <v>GridPower</v>
      </c>
      <c r="F1666" s="122" t="str">
        <f>IFERROR(__xludf.DUMMYFUNCTION("""COMPUTED_VALUE"""),"Energy")</f>
        <v>Energy</v>
      </c>
    </row>
    <row r="1667">
      <c r="A1667" s="131">
        <f>IFERROR(__xludf.DUMMYFUNCTION("""COMPUTED_VALUE"""),46187.36756944445)</f>
        <v>46187.36757</v>
      </c>
      <c r="B1667" s="126">
        <f>IFERROR(__xludf.DUMMYFUNCTION("""COMPUTED_VALUE"""),46187.0)</f>
        <v>46187</v>
      </c>
      <c r="C1667" s="130">
        <f>IFERROR(__xludf.DUMMYFUNCTION("""COMPUTED_VALUE"""),0.36756944444444445)</f>
        <v>0.3675694444</v>
      </c>
      <c r="D1667" s="122" t="str">
        <f>IFERROR(__xludf.DUMMYFUNCTION("""COMPUTED_VALUE"""),"HOME")</f>
        <v>HOME</v>
      </c>
      <c r="E1667" s="122" t="str">
        <f>IFERROR(__xludf.DUMMYFUNCTION("""COMPUTED_VALUE"""),"HomeHub")</f>
        <v>HomeHub</v>
      </c>
      <c r="F1667" s="122" t="str">
        <f>IFERROR(__xludf.DUMMYFUNCTION("""COMPUTED_VALUE"""),"Real Estate")</f>
        <v>Real Estate</v>
      </c>
    </row>
    <row r="1668">
      <c r="A1668" s="131">
        <f>IFERROR(__xludf.DUMMYFUNCTION("""COMPUTED_VALUE"""),46187.36756944445)</f>
        <v>46187.36757</v>
      </c>
      <c r="B1668" s="126">
        <f>IFERROR(__xludf.DUMMYFUNCTION("""COMPUTED_VALUE"""),46187.0)</f>
        <v>46187</v>
      </c>
      <c r="C1668" s="130">
        <f>IFERROR(__xludf.DUMMYFUNCTION("""COMPUTED_VALUE"""),0.36756944444444445)</f>
        <v>0.3675694444</v>
      </c>
      <c r="D1668" s="122" t="str">
        <f>IFERROR(__xludf.DUMMYFUNCTION("""COMPUTED_VALUE"""),"RENT")</f>
        <v>RENT</v>
      </c>
      <c r="E1668" s="122" t="str">
        <f>IFERROR(__xludf.DUMMYFUNCTION("""COMPUTED_VALUE"""),"RentRight")</f>
        <v>RentRight</v>
      </c>
      <c r="F1668" s="122" t="str">
        <f>IFERROR(__xludf.DUMMYFUNCTION("""COMPUTED_VALUE"""),"Real Estate")</f>
        <v>Real Estate</v>
      </c>
    </row>
    <row r="1669">
      <c r="A1669" s="131">
        <f>IFERROR(__xludf.DUMMYFUNCTION("""COMPUTED_VALUE"""),46187.36756944445)</f>
        <v>46187.36757</v>
      </c>
      <c r="B1669" s="126">
        <f>IFERROR(__xludf.DUMMYFUNCTION("""COMPUTED_VALUE"""),46187.0)</f>
        <v>46187</v>
      </c>
      <c r="C1669" s="130">
        <f>IFERROR(__xludf.DUMMYFUNCTION("""COMPUTED_VALUE"""),0.36756944444444445)</f>
        <v>0.3675694444</v>
      </c>
      <c r="D1669" s="122" t="str">
        <f>IFERROR(__xludf.DUMMYFUNCTION("""COMPUTED_VALUE"""),"MALL")</f>
        <v>MALL</v>
      </c>
      <c r="E1669" s="122" t="str">
        <f>IFERROR(__xludf.DUMMYFUNCTION("""COMPUTED_VALUE"""),"MegaMall")</f>
        <v>MegaMall</v>
      </c>
      <c r="F1669" s="122" t="str">
        <f>IFERROR(__xludf.DUMMYFUNCTION("""COMPUTED_VALUE"""),"Real Estate")</f>
        <v>Real Estate</v>
      </c>
    </row>
    <row r="1670">
      <c r="A1670" s="131">
        <f>IFERROR(__xludf.DUMMYFUNCTION("""COMPUTED_VALUE"""),46187.36756944445)</f>
        <v>46187.36757</v>
      </c>
      <c r="B1670" s="126">
        <f>IFERROR(__xludf.DUMMYFUNCTION("""COMPUTED_VALUE"""),46187.0)</f>
        <v>46187</v>
      </c>
      <c r="C1670" s="130">
        <f>IFERROR(__xludf.DUMMYFUNCTION("""COMPUTED_VALUE"""),0.36756944444444445)</f>
        <v>0.3675694444</v>
      </c>
      <c r="D1670" s="122" t="str">
        <f>IFERROR(__xludf.DUMMYFUNCTION("""COMPUTED_VALUE"""),"HOTL")</f>
        <v>HOTL</v>
      </c>
      <c r="E1670" s="122" t="str">
        <f>IFERROR(__xludf.DUMMYFUNCTION("""COMPUTED_VALUE"""),"HotelHive")</f>
        <v>HotelHive</v>
      </c>
      <c r="F1670" s="122" t="str">
        <f>IFERROR(__xludf.DUMMYFUNCTION("""COMPUTED_VALUE"""),"Real Estate")</f>
        <v>Real Estate</v>
      </c>
    </row>
    <row r="1671">
      <c r="A1671" s="131">
        <f>IFERROR(__xludf.DUMMYFUNCTION("""COMPUTED_VALUE"""),46187.36756944445)</f>
        <v>46187.36757</v>
      </c>
      <c r="B1671" s="126">
        <f>IFERROR(__xludf.DUMMYFUNCTION("""COMPUTED_VALUE"""),46187.0)</f>
        <v>46187</v>
      </c>
      <c r="C1671" s="130">
        <f>IFERROR(__xludf.DUMMYFUNCTION("""COMPUTED_VALUE"""),0.36756944444444445)</f>
        <v>0.3675694444</v>
      </c>
      <c r="D1671" s="122" t="str">
        <f>IFERROR(__xludf.DUMMYFUNCTION("""COMPUTED_VALUE"""),"LAND")</f>
        <v>LAND</v>
      </c>
      <c r="E1671" s="122" t="str">
        <f>IFERROR(__xludf.DUMMYFUNCTION("""COMPUTED_VALUE"""),"LandLink")</f>
        <v>LandLink</v>
      </c>
      <c r="F1671" s="122" t="str">
        <f>IFERROR(__xludf.DUMMYFUNCTION("""COMPUTED_VALUE"""),"Real Estate")</f>
        <v>Real Estate</v>
      </c>
    </row>
    <row r="1672">
      <c r="A1672" s="131">
        <f>IFERROR(__xludf.DUMMYFUNCTION("""COMPUTED_VALUE"""),46187.36756944445)</f>
        <v>46187.36757</v>
      </c>
      <c r="B1672" s="126">
        <f>IFERROR(__xludf.DUMMYFUNCTION("""COMPUTED_VALUE"""),46187.0)</f>
        <v>46187</v>
      </c>
      <c r="C1672" s="130">
        <f>IFERROR(__xludf.DUMMYFUNCTION("""COMPUTED_VALUE"""),0.36756944444444445)</f>
        <v>0.3675694444</v>
      </c>
      <c r="D1672" s="122" t="str">
        <f>IFERROR(__xludf.DUMMYFUNCTION("""COMPUTED_VALUE"""),"CARS")</f>
        <v>CARS</v>
      </c>
      <c r="E1672" s="122" t="str">
        <f>IFERROR(__xludf.DUMMYFUNCTION("""COMPUTED_VALUE"""),"AutoArena")</f>
        <v>AutoArena</v>
      </c>
      <c r="F1672" s="122" t="str">
        <f>IFERROR(__xludf.DUMMYFUNCTION("""COMPUTED_VALUE"""),"Automotive")</f>
        <v>Automotive</v>
      </c>
    </row>
    <row r="1673">
      <c r="A1673" s="131">
        <f>IFERROR(__xludf.DUMMYFUNCTION("""COMPUTED_VALUE"""),46187.36756944445)</f>
        <v>46187.36757</v>
      </c>
      <c r="B1673" s="126">
        <f>IFERROR(__xludf.DUMMYFUNCTION("""COMPUTED_VALUE"""),46187.0)</f>
        <v>46187</v>
      </c>
      <c r="C1673" s="130">
        <f>IFERROR(__xludf.DUMMYFUNCTION("""COMPUTED_VALUE"""),0.36756944444444445)</f>
        <v>0.3675694444</v>
      </c>
      <c r="D1673" s="122" t="str">
        <f>IFERROR(__xludf.DUMMYFUNCTION("""COMPUTED_VALUE"""),"EVGO")</f>
        <v>EVGO</v>
      </c>
      <c r="E1673" s="122" t="str">
        <f>IFERROR(__xludf.DUMMYFUNCTION("""COMPUTED_VALUE"""),"EVGo Motors")</f>
        <v>EVGo Motors</v>
      </c>
      <c r="F1673" s="122" t="str">
        <f>IFERROR(__xludf.DUMMYFUNCTION("""COMPUTED_VALUE"""),"Automotive")</f>
        <v>Automotive</v>
      </c>
    </row>
    <row r="1674">
      <c r="A1674" s="131">
        <f>IFERROR(__xludf.DUMMYFUNCTION("""COMPUTED_VALUE"""),46187.36756944445)</f>
        <v>46187.36757</v>
      </c>
      <c r="B1674" s="126">
        <f>IFERROR(__xludf.DUMMYFUNCTION("""COMPUTED_VALUE"""),46187.0)</f>
        <v>46187</v>
      </c>
      <c r="C1674" s="130">
        <f>IFERROR(__xludf.DUMMYFUNCTION("""COMPUTED_VALUE"""),0.36756944444444445)</f>
        <v>0.3675694444</v>
      </c>
      <c r="D1674" s="122" t="str">
        <f>IFERROR(__xludf.DUMMYFUNCTION("""COMPUTED_VALUE"""),"TIRE")</f>
        <v>TIRE</v>
      </c>
      <c r="E1674" s="122" t="str">
        <f>IFERROR(__xludf.DUMMYFUNCTION("""COMPUTED_VALUE"""),"TireTown")</f>
        <v>TireTown</v>
      </c>
      <c r="F1674" s="122" t="str">
        <f>IFERROR(__xludf.DUMMYFUNCTION("""COMPUTED_VALUE"""),"Automotive")</f>
        <v>Automotive</v>
      </c>
    </row>
    <row r="1675">
      <c r="A1675" s="131">
        <f>IFERROR(__xludf.DUMMYFUNCTION("""COMPUTED_VALUE"""),46187.36756944445)</f>
        <v>46187.36757</v>
      </c>
      <c r="B1675" s="126">
        <f>IFERROR(__xludf.DUMMYFUNCTION("""COMPUTED_VALUE"""),46187.0)</f>
        <v>46187</v>
      </c>
      <c r="C1675" s="130">
        <f>IFERROR(__xludf.DUMMYFUNCTION("""COMPUTED_VALUE"""),0.36756944444444445)</f>
        <v>0.3675694444</v>
      </c>
      <c r="D1675" s="122" t="str">
        <f>IFERROR(__xludf.DUMMYFUNCTION("""COMPUTED_VALUE"""),"BIKE")</f>
        <v>BIKE</v>
      </c>
      <c r="E1675" s="122" t="str">
        <f>IFERROR(__xludf.DUMMYFUNCTION("""COMPUTED_VALUE"""),"BikeBox")</f>
        <v>BikeBox</v>
      </c>
      <c r="F1675" s="122" t="str">
        <f>IFERROR(__xludf.DUMMYFUNCTION("""COMPUTED_VALUE"""),"Automotive")</f>
        <v>Automotive</v>
      </c>
    </row>
    <row r="1676">
      <c r="A1676" s="131">
        <f>IFERROR(__xludf.DUMMYFUNCTION("""COMPUTED_VALUE"""),46187.36756944445)</f>
        <v>46187.36757</v>
      </c>
      <c r="B1676" s="126">
        <f>IFERROR(__xludf.DUMMYFUNCTION("""COMPUTED_VALUE"""),46187.0)</f>
        <v>46187</v>
      </c>
      <c r="C1676" s="130">
        <f>IFERROR(__xludf.DUMMYFUNCTION("""COMPUTED_VALUE"""),0.36756944444444445)</f>
        <v>0.3675694444</v>
      </c>
      <c r="D1676" s="122" t="str">
        <f>IFERROR(__xludf.DUMMYFUNCTION("""COMPUTED_VALUE"""),"WASH")</f>
        <v>WASH</v>
      </c>
      <c r="E1676" s="122" t="str">
        <f>IFERROR(__xludf.DUMMYFUNCTION("""COMPUTED_VALUE"""),"CarWash Co")</f>
        <v>CarWash Co</v>
      </c>
      <c r="F1676" s="122" t="str">
        <f>IFERROR(__xludf.DUMMYFUNCTION("""COMPUTED_VALUE"""),"Automotive")</f>
        <v>Automotive</v>
      </c>
    </row>
    <row r="1677">
      <c r="A1677" s="131">
        <f>IFERROR(__xludf.DUMMYFUNCTION("""COMPUTED_VALUE"""),46187.36756944445)</f>
        <v>46187.36757</v>
      </c>
      <c r="B1677" s="126">
        <f>IFERROR(__xludf.DUMMYFUNCTION("""COMPUTED_VALUE"""),46187.0)</f>
        <v>46187</v>
      </c>
      <c r="C1677" s="130">
        <f>IFERROR(__xludf.DUMMYFUNCTION("""COMPUTED_VALUE"""),0.36756944444444445)</f>
        <v>0.3675694444</v>
      </c>
      <c r="D1677" s="122" t="str">
        <f>IFERROR(__xludf.DUMMYFUNCTION("""COMPUTED_VALUE"""),"GBND")</f>
        <v>GBND</v>
      </c>
      <c r="E1677" s="122" t="str">
        <f>IFERROR(__xludf.DUMMYFUNCTION("""COMPUTED_VALUE"""),"Classroom Government Bond")</f>
        <v>Classroom Government Bond</v>
      </c>
      <c r="F1677" s="122" t="str">
        <f>IFERROR(__xludf.DUMMYFUNCTION("""COMPUTED_VALUE"""),"Bond")</f>
        <v>Bond</v>
      </c>
    </row>
    <row r="1678">
      <c r="A1678" s="131">
        <f>IFERROR(__xludf.DUMMYFUNCTION("""COMPUTED_VALUE"""),46187.36756944445)</f>
        <v>46187.36757</v>
      </c>
      <c r="B1678" s="126">
        <f>IFERROR(__xludf.DUMMYFUNCTION("""COMPUTED_VALUE"""),46187.0)</f>
        <v>46187</v>
      </c>
      <c r="C1678" s="130">
        <f>IFERROR(__xludf.DUMMYFUNCTION("""COMPUTED_VALUE"""),0.36756944444444445)</f>
        <v>0.3675694444</v>
      </c>
      <c r="D1678" s="122" t="str">
        <f>IFERROR(__xludf.DUMMYFUNCTION("""COMPUTED_VALUE"""),"SBND")</f>
        <v>SBND</v>
      </c>
      <c r="E1678" s="122" t="str">
        <f>IFERROR(__xludf.DUMMYFUNCTION("""COMPUTED_VALUE"""),"School Savings Bond")</f>
        <v>School Savings Bond</v>
      </c>
      <c r="F1678" s="122" t="str">
        <f>IFERROR(__xludf.DUMMYFUNCTION("""COMPUTED_VALUE"""),"Bond")</f>
        <v>Bond</v>
      </c>
    </row>
    <row r="1679">
      <c r="A1679" s="131">
        <f>IFERROR(__xludf.DUMMYFUNCTION("""COMPUTED_VALUE"""),46187.36756944445)</f>
        <v>46187.36757</v>
      </c>
      <c r="B1679" s="126">
        <f>IFERROR(__xludf.DUMMYFUNCTION("""COMPUTED_VALUE"""),46187.0)</f>
        <v>46187</v>
      </c>
      <c r="C1679" s="130">
        <f>IFERROR(__xludf.DUMMYFUNCTION("""COMPUTED_VALUE"""),0.36756944444444445)</f>
        <v>0.3675694444</v>
      </c>
      <c r="D1679" s="122" t="str">
        <f>IFERROR(__xludf.DUMMYFUNCTION("""COMPUTED_VALUE"""),"CBND")</f>
        <v>CBND</v>
      </c>
      <c r="E1679" s="122" t="str">
        <f>IFERROR(__xludf.DUMMYFUNCTION("""COMPUTED_VALUE"""),"Corporate Classroom Bond")</f>
        <v>Corporate Classroom Bond</v>
      </c>
      <c r="F1679" s="122" t="str">
        <f>IFERROR(__xludf.DUMMYFUNCTION("""COMPUTED_VALUE"""),"Bond")</f>
        <v>Bond</v>
      </c>
    </row>
    <row r="1680">
      <c r="A1680" s="131">
        <f>IFERROR(__xludf.DUMMYFUNCTION("""COMPUTED_VALUE"""),46187.36756944445)</f>
        <v>46187.36757</v>
      </c>
      <c r="B1680" s="126">
        <f>IFERROR(__xludf.DUMMYFUNCTION("""COMPUTED_VALUE"""),46187.0)</f>
        <v>46187</v>
      </c>
      <c r="C1680" s="130">
        <f>IFERROR(__xludf.DUMMYFUNCTION("""COMPUTED_VALUE"""),0.36756944444444445)</f>
        <v>0.3675694444</v>
      </c>
      <c r="D1680" s="122" t="str">
        <f>IFERROR(__xludf.DUMMYFUNCTION("""COMPUTED_VALUE"""),"TBIL")</f>
        <v>TBIL</v>
      </c>
      <c r="E1680" s="122" t="str">
        <f>IFERROR(__xludf.DUMMYFUNCTION("""COMPUTED_VALUE"""),"Treasury Bill")</f>
        <v>Treasury Bill</v>
      </c>
      <c r="F1680" s="122" t="str">
        <f>IFERROR(__xludf.DUMMYFUNCTION("""COMPUTED_VALUE"""),"Bond")</f>
        <v>Bond</v>
      </c>
    </row>
    <row r="1681">
      <c r="A1681" s="131">
        <f>IFERROR(__xludf.DUMMYFUNCTION("""COMPUTED_VALUE"""),46187.36756944445)</f>
        <v>46187.36757</v>
      </c>
      <c r="B1681" s="126">
        <f>IFERROR(__xludf.DUMMYFUNCTION("""COMPUTED_VALUE"""),46187.0)</f>
        <v>46187</v>
      </c>
      <c r="C1681" s="130">
        <f>IFERROR(__xludf.DUMMYFUNCTION("""COMPUTED_VALUE"""),0.36756944444444445)</f>
        <v>0.3675694444</v>
      </c>
      <c r="D1681" s="122" t="str">
        <f>IFERROR(__xludf.DUMMYFUNCTION("""COMPUTED_VALUE"""),"IBND")</f>
        <v>IBND</v>
      </c>
      <c r="E1681" s="122" t="str">
        <f>IFERROR(__xludf.DUMMYFUNCTION("""COMPUTED_VALUE"""),"Inflation Protected Bond")</f>
        <v>Inflation Protected Bond</v>
      </c>
      <c r="F1681" s="122" t="str">
        <f>IFERROR(__xludf.DUMMYFUNCTION("""COMPUTED_VALUE"""),"Bond")</f>
        <v>Bond</v>
      </c>
    </row>
    <row r="1682">
      <c r="A1682" s="131">
        <f>IFERROR(__xludf.DUMMYFUNCTION("""COMPUTED_VALUE"""),46187.37106481481)</f>
        <v>46187.37106</v>
      </c>
      <c r="B1682" s="126">
        <f>IFERROR(__xludf.DUMMYFUNCTION("""COMPUTED_VALUE"""),46187.0)</f>
        <v>46187</v>
      </c>
      <c r="C1682" s="122" t="str">
        <f>IFERROR(__xludf.DUMMYFUNCTION("""COMPUTED_VALUE"""),"SNAX")</f>
        <v>SNAX</v>
      </c>
      <c r="D1682" s="122" t="str">
        <f>IFERROR(__xludf.DUMMYFUNCTION("""COMPUTED_VALUE"""),"MICA Snacks")</f>
        <v>MICA Snacks</v>
      </c>
      <c r="E1682" s="122">
        <f>IFERROR(__xludf.DUMMYFUNCTION("""COMPUTED_VALUE"""),122.36)</f>
        <v>122.36</v>
      </c>
      <c r="F1682" s="122">
        <f>IFERROR(__xludf.DUMMYFUNCTION("""COMPUTED_VALUE"""),7.0E-4)</f>
        <v>0.0007</v>
      </c>
    </row>
    <row r="1683">
      <c r="A1683" s="131">
        <f>IFERROR(__xludf.DUMMYFUNCTION("""COMPUTED_VALUE"""),46187.37106481481)</f>
        <v>46187.37106</v>
      </c>
      <c r="B1683" s="126">
        <f>IFERROR(__xludf.DUMMYFUNCTION("""COMPUTED_VALUE"""),46187.0)</f>
        <v>46187</v>
      </c>
      <c r="C1683" s="122" t="str">
        <f>IFERROR(__xludf.DUMMYFUNCTION("""COMPUTED_VALUE"""),"RAMN")</f>
        <v>RAMN</v>
      </c>
      <c r="D1683" s="122" t="str">
        <f>IFERROR(__xludf.DUMMYFUNCTION("""COMPUTED_VALUE"""),"Ramen Republic")</f>
        <v>Ramen Republic</v>
      </c>
      <c r="E1683" s="122">
        <f>IFERROR(__xludf.DUMMYFUNCTION("""COMPUTED_VALUE"""),76.83)</f>
        <v>76.83</v>
      </c>
      <c r="F1683" s="122">
        <f>IFERROR(__xludf.DUMMYFUNCTION("""COMPUTED_VALUE"""),0.001)</f>
        <v>0.001</v>
      </c>
    </row>
    <row r="1684">
      <c r="A1684" s="131">
        <f>IFERROR(__xludf.DUMMYFUNCTION("""COMPUTED_VALUE"""),46187.37106481481)</f>
        <v>46187.37106</v>
      </c>
      <c r="B1684" s="126">
        <f>IFERROR(__xludf.DUMMYFUNCTION("""COMPUTED_VALUE"""),46187.0)</f>
        <v>46187</v>
      </c>
      <c r="C1684" s="122" t="str">
        <f>IFERROR(__xludf.DUMMYFUNCTION("""COMPUTED_VALUE"""),"COLA")</f>
        <v>COLA</v>
      </c>
      <c r="D1684" s="122" t="str">
        <f>IFERROR(__xludf.DUMMYFUNCTION("""COMPUTED_VALUE"""),"K-Pop Cola")</f>
        <v>K-Pop Cola</v>
      </c>
      <c r="E1684" s="122">
        <f>IFERROR(__xludf.DUMMYFUNCTION("""COMPUTED_VALUE"""),104.13)</f>
        <v>104.13</v>
      </c>
      <c r="F1684" s="122">
        <f>IFERROR(__xludf.DUMMYFUNCTION("""COMPUTED_VALUE"""),0.0034)</f>
        <v>0.0034</v>
      </c>
    </row>
    <row r="1685">
      <c r="A1685" s="131">
        <f>IFERROR(__xludf.DUMMYFUNCTION("""COMPUTED_VALUE"""),46187.37106481481)</f>
        <v>46187.37106</v>
      </c>
      <c r="B1685" s="126">
        <f>IFERROR(__xludf.DUMMYFUNCTION("""COMPUTED_VALUE"""),46187.0)</f>
        <v>46187</v>
      </c>
      <c r="C1685" s="122" t="str">
        <f>IFERROR(__xludf.DUMMYFUNCTION("""COMPUTED_VALUE"""),"CHIP")</f>
        <v>CHIP</v>
      </c>
      <c r="D1685" s="122" t="str">
        <f>IFERROR(__xludf.DUMMYFUNCTION("""COMPUTED_VALUE"""),"Chip Empire")</f>
        <v>Chip Empire</v>
      </c>
      <c r="E1685" s="122">
        <f>IFERROR(__xludf.DUMMYFUNCTION("""COMPUTED_VALUE"""),87.39)</f>
        <v>87.39</v>
      </c>
      <c r="F1685" s="122">
        <f>IFERROR(__xludf.DUMMYFUNCTION("""COMPUTED_VALUE"""),0.0044)</f>
        <v>0.0044</v>
      </c>
    </row>
    <row r="1686">
      <c r="A1686" s="131">
        <f>IFERROR(__xludf.DUMMYFUNCTION("""COMPUTED_VALUE"""),46187.37106481481)</f>
        <v>46187.37106</v>
      </c>
      <c r="B1686" s="126">
        <f>IFERROR(__xludf.DUMMYFUNCTION("""COMPUTED_VALUE"""),46187.0)</f>
        <v>46187</v>
      </c>
      <c r="C1686" s="122" t="str">
        <f>IFERROR(__xludf.DUMMYFUNCTION("""COMPUTED_VALUE"""),"CAND")</f>
        <v>CAND</v>
      </c>
      <c r="D1686" s="122" t="str">
        <f>IFERROR(__xludf.DUMMYFUNCTION("""COMPUTED_VALUE"""),"Candy Capital")</f>
        <v>Candy Capital</v>
      </c>
      <c r="E1686" s="122">
        <f>IFERROR(__xludf.DUMMYFUNCTION("""COMPUTED_VALUE"""),76.34)</f>
        <v>76.34</v>
      </c>
      <c r="F1686" s="122">
        <f>IFERROR(__xludf.DUMMYFUNCTION("""COMPUTED_VALUE"""),-0.0022)</f>
        <v>-0.0022</v>
      </c>
    </row>
    <row r="1687">
      <c r="A1687" s="131">
        <f>IFERROR(__xludf.DUMMYFUNCTION("""COMPUTED_VALUE"""),46187.37106481481)</f>
        <v>46187.37106</v>
      </c>
      <c r="B1687" s="126">
        <f>IFERROR(__xludf.DUMMYFUNCTION("""COMPUTED_VALUE"""),46187.0)</f>
        <v>46187</v>
      </c>
      <c r="C1687" s="122" t="str">
        <f>IFERROR(__xludf.DUMMYFUNCTION("""COMPUTED_VALUE"""),"TECH")</f>
        <v>TECH</v>
      </c>
      <c r="D1687" s="122" t="str">
        <f>IFERROR(__xludf.DUMMYFUNCTION("""COMPUTED_VALUE"""),"Dragon Tech")</f>
        <v>Dragon Tech</v>
      </c>
      <c r="E1687" s="122">
        <f>IFERROR(__xludf.DUMMYFUNCTION("""COMPUTED_VALUE"""),240.74)</f>
        <v>240.74</v>
      </c>
      <c r="F1687" s="122">
        <f>IFERROR(__xludf.DUMMYFUNCTION("""COMPUTED_VALUE"""),-0.0056)</f>
        <v>-0.0056</v>
      </c>
    </row>
    <row r="1688">
      <c r="A1688" s="131">
        <f>IFERROR(__xludf.DUMMYFUNCTION("""COMPUTED_VALUE"""),46187.37106481481)</f>
        <v>46187.37106</v>
      </c>
      <c r="B1688" s="126">
        <f>IFERROR(__xludf.DUMMYFUNCTION("""COMPUTED_VALUE"""),46187.0)</f>
        <v>46187</v>
      </c>
      <c r="C1688" s="122" t="str">
        <f>IFERROR(__xludf.DUMMYFUNCTION("""COMPUTED_VALUE"""),"AIBO")</f>
        <v>AIBO</v>
      </c>
      <c r="D1688" s="122" t="str">
        <f>IFERROR(__xludf.DUMMYFUNCTION("""COMPUTED_VALUE"""),"Homework AI")</f>
        <v>Homework AI</v>
      </c>
      <c r="E1688" s="122">
        <f>IFERROR(__xludf.DUMMYFUNCTION("""COMPUTED_VALUE"""),161.97)</f>
        <v>161.97</v>
      </c>
      <c r="F1688" s="122">
        <f>IFERROR(__xludf.DUMMYFUNCTION("""COMPUTED_VALUE"""),-0.0075)</f>
        <v>-0.0075</v>
      </c>
    </row>
    <row r="1689">
      <c r="A1689" s="131">
        <f>IFERROR(__xludf.DUMMYFUNCTION("""COMPUTED_VALUE"""),46187.37106481481)</f>
        <v>46187.37106</v>
      </c>
      <c r="B1689" s="126">
        <f>IFERROR(__xludf.DUMMYFUNCTION("""COMPUTED_VALUE"""),46187.0)</f>
        <v>46187</v>
      </c>
      <c r="C1689" s="122" t="str">
        <f>IFERROR(__xludf.DUMMYFUNCTION("""COMPUTED_VALUE"""),"GAME")</f>
        <v>GAME</v>
      </c>
      <c r="D1689" s="122" t="str">
        <f>IFERROR(__xludf.DUMMYFUNCTION("""COMPUTED_VALUE"""),"GameBox Media")</f>
        <v>GameBox Media</v>
      </c>
      <c r="E1689" s="122">
        <f>IFERROR(__xludf.DUMMYFUNCTION("""COMPUTED_VALUE"""),91.11)</f>
        <v>91.11</v>
      </c>
      <c r="F1689" s="122">
        <f>IFERROR(__xludf.DUMMYFUNCTION("""COMPUTED_VALUE"""),0.0085)</f>
        <v>0.0085</v>
      </c>
    </row>
    <row r="1690">
      <c r="A1690" s="131">
        <f>IFERROR(__xludf.DUMMYFUNCTION("""COMPUTED_VALUE"""),46187.37106481481)</f>
        <v>46187.37106</v>
      </c>
      <c r="B1690" s="126">
        <f>IFERROR(__xludf.DUMMYFUNCTION("""COMPUTED_VALUE"""),46187.0)</f>
        <v>46187</v>
      </c>
      <c r="C1690" s="122" t="str">
        <f>IFERROR(__xludf.DUMMYFUNCTION("""COMPUTED_VALUE"""),"VRSE")</f>
        <v>VRSE</v>
      </c>
      <c r="D1690" s="122" t="str">
        <f>IFERROR(__xludf.DUMMYFUNCTION("""COMPUTED_VALUE"""),"VerseVR")</f>
        <v>VerseVR</v>
      </c>
      <c r="E1690" s="122">
        <f>IFERROR(__xludf.DUMMYFUNCTION("""COMPUTED_VALUE"""),146.36)</f>
        <v>146.36</v>
      </c>
      <c r="F1690" s="122">
        <f>IFERROR(__xludf.DUMMYFUNCTION("""COMPUTED_VALUE"""),-0.0033)</f>
        <v>-0.0033</v>
      </c>
    </row>
    <row r="1691">
      <c r="A1691" s="131">
        <f>IFERROR(__xludf.DUMMYFUNCTION("""COMPUTED_VALUE"""),46187.37106481481)</f>
        <v>46187.37106</v>
      </c>
      <c r="B1691" s="126">
        <f>IFERROR(__xludf.DUMMYFUNCTION("""COMPUTED_VALUE"""),46187.0)</f>
        <v>46187</v>
      </c>
      <c r="C1691" s="122" t="str">
        <f>IFERROR(__xludf.DUMMYFUNCTION("""COMPUTED_VALUE"""),"BYTE")</f>
        <v>BYTE</v>
      </c>
      <c r="D1691" s="122" t="str">
        <f>IFERROR(__xludf.DUMMYFUNCTION("""COMPUTED_VALUE"""),"ByteWorks")</f>
        <v>ByteWorks</v>
      </c>
      <c r="E1691" s="122">
        <f>IFERROR(__xludf.DUMMYFUNCTION("""COMPUTED_VALUE"""),110.65)</f>
        <v>110.65</v>
      </c>
      <c r="F1691" s="122">
        <f>IFERROR(__xludf.DUMMYFUNCTION("""COMPUTED_VALUE"""),0.007)</f>
        <v>0.007</v>
      </c>
    </row>
    <row r="1692">
      <c r="A1692" s="131">
        <f>IFERROR(__xludf.DUMMYFUNCTION("""COMPUTED_VALUE"""),46187.37106481481)</f>
        <v>46187.37106</v>
      </c>
      <c r="B1692" s="126">
        <f>IFERROR(__xludf.DUMMYFUNCTION("""COMPUTED_VALUE"""),46187.0)</f>
        <v>46187</v>
      </c>
      <c r="C1692" s="122" t="str">
        <f>IFERROR(__xludf.DUMMYFUNCTION("""COMPUTED_VALUE"""),"BANK")</f>
        <v>BANK</v>
      </c>
      <c r="D1692" s="122" t="str">
        <f>IFERROR(__xludf.DUMMYFUNCTION("""COMPUTED_VALUE"""),"Tiger Bank")</f>
        <v>Tiger Bank</v>
      </c>
      <c r="E1692" s="122">
        <f>IFERROR(__xludf.DUMMYFUNCTION("""COMPUTED_VALUE"""),124.18)</f>
        <v>124.18</v>
      </c>
      <c r="F1692" s="122">
        <f>IFERROR(__xludf.DUMMYFUNCTION("""COMPUTED_VALUE"""),-1.0E-4)</f>
        <v>-0.0001</v>
      </c>
    </row>
    <row r="1693">
      <c r="A1693" s="131">
        <f>IFERROR(__xludf.DUMMYFUNCTION("""COMPUTED_VALUE"""),46187.37106481481)</f>
        <v>46187.37106</v>
      </c>
      <c r="B1693" s="126">
        <f>IFERROR(__xludf.DUMMYFUNCTION("""COMPUTED_VALUE"""),46187.0)</f>
        <v>46187</v>
      </c>
      <c r="C1693" s="122" t="str">
        <f>IFERROR(__xludf.DUMMYFUNCTION("""COMPUTED_VALUE"""),"CRED")</f>
        <v>CRED</v>
      </c>
      <c r="D1693" s="122" t="str">
        <f>IFERROR(__xludf.DUMMYFUNCTION("""COMPUTED_VALUE"""),"Credit Castle")</f>
        <v>Credit Castle</v>
      </c>
      <c r="E1693" s="122">
        <f>IFERROR(__xludf.DUMMYFUNCTION("""COMPUTED_VALUE"""),68.78)</f>
        <v>68.78</v>
      </c>
      <c r="F1693" s="122">
        <f>IFERROR(__xludf.DUMMYFUNCTION("""COMPUTED_VALUE"""),-0.0029)</f>
        <v>-0.0029</v>
      </c>
    </row>
    <row r="1694">
      <c r="A1694" s="131">
        <f>IFERROR(__xludf.DUMMYFUNCTION("""COMPUTED_VALUE"""),46187.37106481481)</f>
        <v>46187.37106</v>
      </c>
      <c r="B1694" s="126">
        <f>IFERROR(__xludf.DUMMYFUNCTION("""COMPUTED_VALUE"""),46187.0)</f>
        <v>46187</v>
      </c>
      <c r="C1694" s="122" t="str">
        <f>IFERROR(__xludf.DUMMYFUNCTION("""COMPUTED_VALUE"""),"BOND")</f>
        <v>BOND</v>
      </c>
      <c r="D1694" s="122" t="str">
        <f>IFERROR(__xludf.DUMMYFUNCTION("""COMPUTED_VALUE"""),"BondBridge")</f>
        <v>BondBridge</v>
      </c>
      <c r="E1694" s="122">
        <f>IFERROR(__xludf.DUMMYFUNCTION("""COMPUTED_VALUE"""),96.06)</f>
        <v>96.06</v>
      </c>
      <c r="F1694" s="122">
        <f>IFERROR(__xludf.DUMMYFUNCTION("""COMPUTED_VALUE"""),1.0E-4)</f>
        <v>0.0001</v>
      </c>
    </row>
    <row r="1695">
      <c r="A1695" s="131">
        <f>IFERROR(__xludf.DUMMYFUNCTION("""COMPUTED_VALUE"""),46187.37106481481)</f>
        <v>46187.37106</v>
      </c>
      <c r="B1695" s="126">
        <f>IFERROR(__xludf.DUMMYFUNCTION("""COMPUTED_VALUE"""),46187.0)</f>
        <v>46187</v>
      </c>
      <c r="C1695" s="122" t="str">
        <f>IFERROR(__xludf.DUMMYFUNCTION("""COMPUTED_VALUE"""),"INSR")</f>
        <v>INSR</v>
      </c>
      <c r="D1695" s="122" t="str">
        <f>IFERROR(__xludf.DUMMYFUNCTION("""COMPUTED_VALUE"""),"Shield Insurance")</f>
        <v>Shield Insurance</v>
      </c>
      <c r="E1695" s="122">
        <f>IFERROR(__xludf.DUMMYFUNCTION("""COMPUTED_VALUE"""),157.77)</f>
        <v>157.77</v>
      </c>
      <c r="F1695" s="122">
        <f>IFERROR(__xludf.DUMMYFUNCTION("""COMPUTED_VALUE"""),0.0025)</f>
        <v>0.0025</v>
      </c>
    </row>
    <row r="1696">
      <c r="A1696" s="131">
        <f>IFERROR(__xludf.DUMMYFUNCTION("""COMPUTED_VALUE"""),46187.37106481481)</f>
        <v>46187.37106</v>
      </c>
      <c r="B1696" s="126">
        <f>IFERROR(__xludf.DUMMYFUNCTION("""COMPUTED_VALUE"""),46187.0)</f>
        <v>46187</v>
      </c>
      <c r="C1696" s="122" t="str">
        <f>IFERROR(__xludf.DUMMYFUNCTION("""COMPUTED_VALUE"""),"LOAN")</f>
        <v>LOAN</v>
      </c>
      <c r="D1696" s="122" t="str">
        <f>IFERROR(__xludf.DUMMYFUNCTION("""COMPUTED_VALUE"""),"LoanLab")</f>
        <v>LoanLab</v>
      </c>
      <c r="E1696" s="122">
        <f>IFERROR(__xludf.DUMMYFUNCTION("""COMPUTED_VALUE"""),60.73)</f>
        <v>60.73</v>
      </c>
      <c r="F1696" s="122">
        <f>IFERROR(__xludf.DUMMYFUNCTION("""COMPUTED_VALUE"""),8.0E-4)</f>
        <v>0.0008</v>
      </c>
    </row>
    <row r="1697">
      <c r="A1697" s="131">
        <f>IFERROR(__xludf.DUMMYFUNCTION("""COMPUTED_VALUE"""),46187.37106481481)</f>
        <v>46187.37106</v>
      </c>
      <c r="B1697" s="126">
        <f>IFERROR(__xludf.DUMMYFUNCTION("""COMPUTED_VALUE"""),46187.0)</f>
        <v>46187</v>
      </c>
      <c r="C1697" s="122" t="str">
        <f>IFERROR(__xludf.DUMMYFUNCTION("""COMPUTED_VALUE"""),"LUXE")</f>
        <v>LUXE</v>
      </c>
      <c r="D1697" s="122" t="str">
        <f>IFERROR(__xludf.DUMMYFUNCTION("""COMPUTED_VALUE"""),"Luxury Locker")</f>
        <v>Luxury Locker</v>
      </c>
      <c r="E1697" s="122">
        <f>IFERROR(__xludf.DUMMYFUNCTION("""COMPUTED_VALUE"""),265.33)</f>
        <v>265.33</v>
      </c>
      <c r="F1697" s="122">
        <f>IFERROR(__xludf.DUMMYFUNCTION("""COMPUTED_VALUE"""),0.0017)</f>
        <v>0.0017</v>
      </c>
    </row>
    <row r="1698">
      <c r="A1698" s="131">
        <f>IFERROR(__xludf.DUMMYFUNCTION("""COMPUTED_VALUE"""),46187.37106481481)</f>
        <v>46187.37106</v>
      </c>
      <c r="B1698" s="126">
        <f>IFERROR(__xludf.DUMMYFUNCTION("""COMPUTED_VALUE"""),46187.0)</f>
        <v>46187</v>
      </c>
      <c r="C1698" s="122" t="str">
        <f>IFERROR(__xludf.DUMMYFUNCTION("""COMPUTED_VALUE"""),"DRIP")</f>
        <v>DRIP</v>
      </c>
      <c r="D1698" s="122" t="str">
        <f>IFERROR(__xludf.DUMMYFUNCTION("""COMPUTED_VALUE"""),"Drip Streetwear")</f>
        <v>Drip Streetwear</v>
      </c>
      <c r="E1698" s="122">
        <f>IFERROR(__xludf.DUMMYFUNCTION("""COMPUTED_VALUE"""),204.64)</f>
        <v>204.64</v>
      </c>
      <c r="F1698" s="122">
        <f>IFERROR(__xludf.DUMMYFUNCTION("""COMPUTED_VALUE"""),0.0074)</f>
        <v>0.0074</v>
      </c>
    </row>
    <row r="1699">
      <c r="A1699" s="131">
        <f>IFERROR(__xludf.DUMMYFUNCTION("""COMPUTED_VALUE"""),46187.37106481481)</f>
        <v>46187.37106</v>
      </c>
      <c r="B1699" s="126">
        <f>IFERROR(__xludf.DUMMYFUNCTION("""COMPUTED_VALUE"""),46187.0)</f>
        <v>46187</v>
      </c>
      <c r="C1699" s="122" t="str">
        <f>IFERROR(__xludf.DUMMYFUNCTION("""COMPUTED_VALUE"""),"KICK")</f>
        <v>KICK</v>
      </c>
      <c r="D1699" s="122" t="str">
        <f>IFERROR(__xludf.DUMMYFUNCTION("""COMPUTED_VALUE"""),"KickDrop Sneakers")</f>
        <v>KickDrop Sneakers</v>
      </c>
      <c r="E1699" s="122">
        <f>IFERROR(__xludf.DUMMYFUNCTION("""COMPUTED_VALUE"""),177.65)</f>
        <v>177.65</v>
      </c>
      <c r="F1699" s="122">
        <f>IFERROR(__xludf.DUMMYFUNCTION("""COMPUTED_VALUE"""),-0.0016)</f>
        <v>-0.0016</v>
      </c>
    </row>
    <row r="1700">
      <c r="A1700" s="131">
        <f>IFERROR(__xludf.DUMMYFUNCTION("""COMPUTED_VALUE"""),46187.37106481481)</f>
        <v>46187.37106</v>
      </c>
      <c r="B1700" s="126">
        <f>IFERROR(__xludf.DUMMYFUNCTION("""COMPUTED_VALUE"""),46187.0)</f>
        <v>46187</v>
      </c>
      <c r="C1700" s="122" t="str">
        <f>IFERROR(__xludf.DUMMYFUNCTION("""COMPUTED_VALUE"""),"GLAM")</f>
        <v>GLAM</v>
      </c>
      <c r="D1700" s="122" t="str">
        <f>IFERROR(__xludf.DUMMYFUNCTION("""COMPUTED_VALUE"""),"Glow Cosmetics")</f>
        <v>Glow Cosmetics</v>
      </c>
      <c r="E1700" s="122">
        <f>IFERROR(__xludf.DUMMYFUNCTION("""COMPUTED_VALUE"""),95.41)</f>
        <v>95.41</v>
      </c>
      <c r="F1700" s="122">
        <f>IFERROR(__xludf.DUMMYFUNCTION("""COMPUTED_VALUE"""),-0.004)</f>
        <v>-0.004</v>
      </c>
    </row>
    <row r="1701">
      <c r="A1701" s="131">
        <f>IFERROR(__xludf.DUMMYFUNCTION("""COMPUTED_VALUE"""),46187.37106481481)</f>
        <v>46187.37106</v>
      </c>
      <c r="B1701" s="126">
        <f>IFERROR(__xludf.DUMMYFUNCTION("""COMPUTED_VALUE"""),46187.0)</f>
        <v>46187</v>
      </c>
      <c r="C1701" s="122" t="str">
        <f>IFERROR(__xludf.DUMMYFUNCTION("""COMPUTED_VALUE"""),"BAGG")</f>
        <v>BAGG</v>
      </c>
      <c r="D1701" s="122" t="str">
        <f>IFERROR(__xludf.DUMMYFUNCTION("""COMPUTED_VALUE"""),"BagVault")</f>
        <v>BagVault</v>
      </c>
      <c r="E1701" s="122">
        <f>IFERROR(__xludf.DUMMYFUNCTION("""COMPUTED_VALUE"""),245.51)</f>
        <v>245.51</v>
      </c>
      <c r="F1701" s="122">
        <f>IFERROR(__xludf.DUMMYFUNCTION("""COMPUTED_VALUE"""),0.0073)</f>
        <v>0.0073</v>
      </c>
    </row>
    <row r="1702">
      <c r="A1702" s="131">
        <f>IFERROR(__xludf.DUMMYFUNCTION("""COMPUTED_VALUE"""),46187.37106481481)</f>
        <v>46187.37106</v>
      </c>
      <c r="B1702" s="126">
        <f>IFERROR(__xludf.DUMMYFUNCTION("""COMPUTED_VALUE"""),46187.0)</f>
        <v>46187</v>
      </c>
      <c r="C1702" s="122" t="str">
        <f>IFERROR(__xludf.DUMMYFUNCTION("""COMPUTED_VALUE"""),"FAST")</f>
        <v>FAST</v>
      </c>
      <c r="D1702" s="122" t="str">
        <f>IFERROR(__xludf.DUMMYFUNCTION("""COMPUTED_VALUE"""),"Flash Logistics")</f>
        <v>Flash Logistics</v>
      </c>
      <c r="E1702" s="122">
        <f>IFERROR(__xludf.DUMMYFUNCTION("""COMPUTED_VALUE"""),101.75)</f>
        <v>101.75</v>
      </c>
      <c r="F1702" s="122">
        <f>IFERROR(__xludf.DUMMYFUNCTION("""COMPUTED_VALUE"""),0.0028)</f>
        <v>0.0028</v>
      </c>
    </row>
    <row r="1703">
      <c r="A1703" s="131">
        <f>IFERROR(__xludf.DUMMYFUNCTION("""COMPUTED_VALUE"""),46187.37106481481)</f>
        <v>46187.37106</v>
      </c>
      <c r="B1703" s="126">
        <f>IFERROR(__xludf.DUMMYFUNCTION("""COMPUTED_VALUE"""),46187.0)</f>
        <v>46187</v>
      </c>
      <c r="C1703" s="122" t="str">
        <f>IFERROR(__xludf.DUMMYFUNCTION("""COMPUTED_VALUE"""),"SHIP")</f>
        <v>SHIP</v>
      </c>
      <c r="D1703" s="122" t="str">
        <f>IFERROR(__xludf.DUMMYFUNCTION("""COMPUTED_VALUE"""),"Seoul Shipping")</f>
        <v>Seoul Shipping</v>
      </c>
      <c r="E1703" s="122">
        <f>IFERROR(__xludf.DUMMYFUNCTION("""COMPUTED_VALUE"""),117.62)</f>
        <v>117.62</v>
      </c>
      <c r="F1703" s="122">
        <f>IFERROR(__xludf.DUMMYFUNCTION("""COMPUTED_VALUE"""),0.001)</f>
        <v>0.001</v>
      </c>
    </row>
    <row r="1704">
      <c r="A1704" s="131">
        <f>IFERROR(__xludf.DUMMYFUNCTION("""COMPUTED_VALUE"""),46187.37106481481)</f>
        <v>46187.37106</v>
      </c>
      <c r="B1704" s="126">
        <f>IFERROR(__xludf.DUMMYFUNCTION("""COMPUTED_VALUE"""),46187.0)</f>
        <v>46187</v>
      </c>
      <c r="C1704" s="122" t="str">
        <f>IFERROR(__xludf.DUMMYFUNCTION("""COMPUTED_VALUE"""),"DRON")</f>
        <v>DRON</v>
      </c>
      <c r="D1704" s="122" t="str">
        <f>IFERROR(__xludf.DUMMYFUNCTION("""COMPUTED_VALUE"""),"DroneDrop")</f>
        <v>DroneDrop</v>
      </c>
      <c r="E1704" s="122">
        <f>IFERROR(__xludf.DUMMYFUNCTION("""COMPUTED_VALUE"""),130.26)</f>
        <v>130.26</v>
      </c>
      <c r="F1704" s="122">
        <f>IFERROR(__xludf.DUMMYFUNCTION("""COMPUTED_VALUE"""),-0.0034)</f>
        <v>-0.0034</v>
      </c>
    </row>
    <row r="1705">
      <c r="A1705" s="131">
        <f>IFERROR(__xludf.DUMMYFUNCTION("""COMPUTED_VALUE"""),46187.37106481481)</f>
        <v>46187.37106</v>
      </c>
      <c r="B1705" s="126">
        <f>IFERROR(__xludf.DUMMYFUNCTION("""COMPUTED_VALUE"""),46187.0)</f>
        <v>46187</v>
      </c>
      <c r="C1705" s="122" t="str">
        <f>IFERROR(__xludf.DUMMYFUNCTION("""COMPUTED_VALUE"""),"RIDE")</f>
        <v>RIDE</v>
      </c>
      <c r="D1705" s="122" t="str">
        <f>IFERROR(__xludf.DUMMYFUNCTION("""COMPUTED_VALUE"""),"QuickRide")</f>
        <v>QuickRide</v>
      </c>
      <c r="E1705" s="122">
        <f>IFERROR(__xludf.DUMMYFUNCTION("""COMPUTED_VALUE"""),95.8)</f>
        <v>95.8</v>
      </c>
      <c r="F1705" s="122">
        <f>IFERROR(__xludf.DUMMYFUNCTION("""COMPUTED_VALUE"""),-0.0102)</f>
        <v>-0.0102</v>
      </c>
    </row>
    <row r="1706">
      <c r="A1706" s="131">
        <f>IFERROR(__xludf.DUMMYFUNCTION("""COMPUTED_VALUE"""),46187.37106481481)</f>
        <v>46187.37106</v>
      </c>
      <c r="B1706" s="126">
        <f>IFERROR(__xludf.DUMMYFUNCTION("""COMPUTED_VALUE"""),46187.0)</f>
        <v>46187</v>
      </c>
      <c r="C1706" s="122" t="str">
        <f>IFERROR(__xludf.DUMMYFUNCTION("""COMPUTED_VALUE"""),"RAIL")</f>
        <v>RAIL</v>
      </c>
      <c r="D1706" s="122" t="str">
        <f>IFERROR(__xludf.DUMMYFUNCTION("""COMPUTED_VALUE"""),"MetroRail Corp")</f>
        <v>MetroRail Corp</v>
      </c>
      <c r="E1706" s="122">
        <f>IFERROR(__xludf.DUMMYFUNCTION("""COMPUTED_VALUE"""),137.52)</f>
        <v>137.52</v>
      </c>
      <c r="F1706" s="122">
        <f>IFERROR(__xludf.DUMMYFUNCTION("""COMPUTED_VALUE"""),0.0028)</f>
        <v>0.0028</v>
      </c>
    </row>
    <row r="1707">
      <c r="A1707" s="131">
        <f>IFERROR(__xludf.DUMMYFUNCTION("""COMPUTED_VALUE"""),46187.37106481481)</f>
        <v>46187.37106</v>
      </c>
      <c r="B1707" s="126">
        <f>IFERROR(__xludf.DUMMYFUNCTION("""COMPUTED_VALUE"""),46187.0)</f>
        <v>46187</v>
      </c>
      <c r="C1707" s="122" t="str">
        <f>IFERROR(__xludf.DUMMYFUNCTION("""COMPUTED_VALUE"""),"MEDX")</f>
        <v>MEDX</v>
      </c>
      <c r="D1707" s="122" t="str">
        <f>IFERROR(__xludf.DUMMYFUNCTION("""COMPUTED_VALUE"""),"MediCore")</f>
        <v>MediCore</v>
      </c>
      <c r="E1707" s="122">
        <f>IFERROR(__xludf.DUMMYFUNCTION("""COMPUTED_VALUE"""),137.18)</f>
        <v>137.18</v>
      </c>
      <c r="F1707" s="122">
        <f>IFERROR(__xludf.DUMMYFUNCTION("""COMPUTED_VALUE"""),0.0015)</f>
        <v>0.0015</v>
      </c>
    </row>
    <row r="1708">
      <c r="A1708" s="131">
        <f>IFERROR(__xludf.DUMMYFUNCTION("""COMPUTED_VALUE"""),46187.37106481481)</f>
        <v>46187.37106</v>
      </c>
      <c r="B1708" s="126">
        <f>IFERROR(__xludf.DUMMYFUNCTION("""COMPUTED_VALUE"""),46187.0)</f>
        <v>46187</v>
      </c>
      <c r="C1708" s="122" t="str">
        <f>IFERROR(__xludf.DUMMYFUNCTION("""COMPUTED_VALUE"""),"GYMX")</f>
        <v>GYMX</v>
      </c>
      <c r="D1708" s="122" t="str">
        <f>IFERROR(__xludf.DUMMYFUNCTION("""COMPUTED_VALUE"""),"GymX Fitness")</f>
        <v>GymX Fitness</v>
      </c>
      <c r="E1708" s="122">
        <f>IFERROR(__xludf.DUMMYFUNCTION("""COMPUTED_VALUE"""),87.22)</f>
        <v>87.22</v>
      </c>
      <c r="F1708" s="122">
        <f>IFERROR(__xludf.DUMMYFUNCTION("""COMPUTED_VALUE"""),0.0018)</f>
        <v>0.0018</v>
      </c>
    </row>
    <row r="1709">
      <c r="A1709" s="131">
        <f>IFERROR(__xludf.DUMMYFUNCTION("""COMPUTED_VALUE"""),46187.37106481481)</f>
        <v>46187.37106</v>
      </c>
      <c r="B1709" s="126">
        <f>IFERROR(__xludf.DUMMYFUNCTION("""COMPUTED_VALUE"""),46187.0)</f>
        <v>46187</v>
      </c>
      <c r="C1709" s="122" t="str">
        <f>IFERROR(__xludf.DUMMYFUNCTION("""COMPUTED_VALUE"""),"VITA")</f>
        <v>VITA</v>
      </c>
      <c r="D1709" s="122" t="str">
        <f>IFERROR(__xludf.DUMMYFUNCTION("""COMPUTED_VALUE"""),"VitaPlus")</f>
        <v>VitaPlus</v>
      </c>
      <c r="E1709" s="122">
        <f>IFERROR(__xludf.DUMMYFUNCTION("""COMPUTED_VALUE"""),75.68)</f>
        <v>75.68</v>
      </c>
      <c r="F1709" s="122">
        <f>IFERROR(__xludf.DUMMYFUNCTION("""COMPUTED_VALUE"""),0.0057)</f>
        <v>0.0057</v>
      </c>
    </row>
    <row r="1710">
      <c r="A1710" s="131">
        <f>IFERROR(__xludf.DUMMYFUNCTION("""COMPUTED_VALUE"""),46187.37106481481)</f>
        <v>46187.37106</v>
      </c>
      <c r="B1710" s="126">
        <f>IFERROR(__xludf.DUMMYFUNCTION("""COMPUTED_VALUE"""),46187.0)</f>
        <v>46187</v>
      </c>
      <c r="C1710" s="122" t="str">
        <f>IFERROR(__xludf.DUMMYFUNCTION("""COMPUTED_VALUE"""),"CARE")</f>
        <v>CARE</v>
      </c>
      <c r="D1710" s="122" t="str">
        <f>IFERROR(__xludf.DUMMYFUNCTION("""COMPUTED_VALUE"""),"CareCloud")</f>
        <v>CareCloud</v>
      </c>
      <c r="E1710" s="122">
        <f>IFERROR(__xludf.DUMMYFUNCTION("""COMPUTED_VALUE"""),180.8)</f>
        <v>180.8</v>
      </c>
      <c r="F1710" s="122">
        <f>IFERROR(__xludf.DUMMYFUNCTION("""COMPUTED_VALUE"""),-0.0011)</f>
        <v>-0.0011</v>
      </c>
    </row>
    <row r="1711">
      <c r="A1711" s="131">
        <f>IFERROR(__xludf.DUMMYFUNCTION("""COMPUTED_VALUE"""),46187.37106481481)</f>
        <v>46187.37106</v>
      </c>
      <c r="B1711" s="126">
        <f>IFERROR(__xludf.DUMMYFUNCTION("""COMPUTED_VALUE"""),46187.0)</f>
        <v>46187</v>
      </c>
      <c r="C1711" s="122" t="str">
        <f>IFERROR(__xludf.DUMMYFUNCTION("""COMPUTED_VALUE"""),"DENT")</f>
        <v>DENT</v>
      </c>
      <c r="D1711" s="122" t="str">
        <f>IFERROR(__xludf.DUMMYFUNCTION("""COMPUTED_VALUE"""),"SmileWorks")</f>
        <v>SmileWorks</v>
      </c>
      <c r="E1711" s="122">
        <f>IFERROR(__xludf.DUMMYFUNCTION("""COMPUTED_VALUE"""),81.51)</f>
        <v>81.51</v>
      </c>
      <c r="F1711" s="122">
        <f>IFERROR(__xludf.DUMMYFUNCTION("""COMPUTED_VALUE"""),-5.0E-4)</f>
        <v>-0.0005</v>
      </c>
    </row>
    <row r="1712">
      <c r="A1712" s="131">
        <f>IFERROR(__xludf.DUMMYFUNCTION("""COMPUTED_VALUE"""),46187.37106481481)</f>
        <v>46187.37106</v>
      </c>
      <c r="B1712" s="126">
        <f>IFERROR(__xludf.DUMMYFUNCTION("""COMPUTED_VALUE"""),46187.0)</f>
        <v>46187</v>
      </c>
      <c r="C1712" s="122" t="str">
        <f>IFERROR(__xludf.DUMMYFUNCTION("""COMPUTED_VALUE"""),"EDUX")</f>
        <v>EDUX</v>
      </c>
      <c r="D1712" s="122" t="str">
        <f>IFERROR(__xludf.DUMMYFUNCTION("""COMPUTED_VALUE"""),"EduMax Learning")</f>
        <v>EduMax Learning</v>
      </c>
      <c r="E1712" s="122">
        <f>IFERROR(__xludf.DUMMYFUNCTION("""COMPUTED_VALUE"""),131.18)</f>
        <v>131.18</v>
      </c>
      <c r="F1712" s="122">
        <f>IFERROR(__xludf.DUMMYFUNCTION("""COMPUTED_VALUE"""),-4.0E-4)</f>
        <v>-0.0004</v>
      </c>
    </row>
    <row r="1713">
      <c r="A1713" s="131">
        <f>IFERROR(__xludf.DUMMYFUNCTION("""COMPUTED_VALUE"""),46187.37106481481)</f>
        <v>46187.37106</v>
      </c>
      <c r="B1713" s="126">
        <f>IFERROR(__xludf.DUMMYFUNCTION("""COMPUTED_VALUE"""),46187.0)</f>
        <v>46187</v>
      </c>
      <c r="C1713" s="122" t="str">
        <f>IFERROR(__xludf.DUMMYFUNCTION("""COMPUTED_VALUE"""),"BOOK")</f>
        <v>BOOK</v>
      </c>
      <c r="D1713" s="122" t="str">
        <f>IFERROR(__xludf.DUMMYFUNCTION("""COMPUTED_VALUE"""),"BookBridge")</f>
        <v>BookBridge</v>
      </c>
      <c r="E1713" s="122">
        <f>IFERROR(__xludf.DUMMYFUNCTION("""COMPUTED_VALUE"""),113.9)</f>
        <v>113.9</v>
      </c>
      <c r="F1713" s="122">
        <f>IFERROR(__xludf.DUMMYFUNCTION("""COMPUTED_VALUE"""),0.0026)</f>
        <v>0.0026</v>
      </c>
    </row>
    <row r="1714">
      <c r="A1714" s="131">
        <f>IFERROR(__xludf.DUMMYFUNCTION("""COMPUTED_VALUE"""),46187.37106481481)</f>
        <v>46187.37106</v>
      </c>
      <c r="B1714" s="126">
        <f>IFERROR(__xludf.DUMMYFUNCTION("""COMPUTED_VALUE"""),46187.0)</f>
        <v>46187</v>
      </c>
      <c r="C1714" s="122" t="str">
        <f>IFERROR(__xludf.DUMMYFUNCTION("""COMPUTED_VALUE"""),"TUTR")</f>
        <v>TUTR</v>
      </c>
      <c r="D1714" s="122" t="str">
        <f>IFERROR(__xludf.DUMMYFUNCTION("""COMPUTED_VALUE"""),"TutorTown")</f>
        <v>TutorTown</v>
      </c>
      <c r="E1714" s="122">
        <f>IFERROR(__xludf.DUMMYFUNCTION("""COMPUTED_VALUE"""),89.4)</f>
        <v>89.4</v>
      </c>
      <c r="F1714" s="122">
        <f>IFERROR(__xludf.DUMMYFUNCTION("""COMPUTED_VALUE"""),-0.0063)</f>
        <v>-0.0063</v>
      </c>
    </row>
    <row r="1715">
      <c r="A1715" s="131">
        <f>IFERROR(__xludf.DUMMYFUNCTION("""COMPUTED_VALUE"""),46187.37106481481)</f>
        <v>46187.37106</v>
      </c>
      <c r="B1715" s="126">
        <f>IFERROR(__xludf.DUMMYFUNCTION("""COMPUTED_VALUE"""),46187.0)</f>
        <v>46187</v>
      </c>
      <c r="C1715" s="122" t="str">
        <f>IFERROR(__xludf.DUMMYFUNCTION("""COMPUTED_VALUE"""),"LANG")</f>
        <v>LANG</v>
      </c>
      <c r="D1715" s="122" t="str">
        <f>IFERROR(__xludf.DUMMYFUNCTION("""COMPUTED_VALUE"""),"LinguaLab")</f>
        <v>LinguaLab</v>
      </c>
      <c r="E1715" s="122">
        <f>IFERROR(__xludf.DUMMYFUNCTION("""COMPUTED_VALUE"""),95.3)</f>
        <v>95.3</v>
      </c>
      <c r="F1715" s="122">
        <f>IFERROR(__xludf.DUMMYFUNCTION("""COMPUTED_VALUE"""),0.0031)</f>
        <v>0.0031</v>
      </c>
    </row>
    <row r="1716">
      <c r="A1716" s="131">
        <f>IFERROR(__xludf.DUMMYFUNCTION("""COMPUTED_VALUE"""),46187.37106481481)</f>
        <v>46187.37106</v>
      </c>
      <c r="B1716" s="126">
        <f>IFERROR(__xludf.DUMMYFUNCTION("""COMPUTED_VALUE"""),46187.0)</f>
        <v>46187</v>
      </c>
      <c r="C1716" s="122" t="str">
        <f>IFERROR(__xludf.DUMMYFUNCTION("""COMPUTED_VALUE"""),"TEST")</f>
        <v>TEST</v>
      </c>
      <c r="D1716" s="122" t="str">
        <f>IFERROR(__xludf.DUMMYFUNCTION("""COMPUTED_VALUE"""),"TestPrep Pro")</f>
        <v>TestPrep Pro</v>
      </c>
      <c r="E1716" s="122">
        <f>IFERROR(__xludf.DUMMYFUNCTION("""COMPUTED_VALUE"""),102.57)</f>
        <v>102.57</v>
      </c>
      <c r="F1716" s="122">
        <f>IFERROR(__xludf.DUMMYFUNCTION("""COMPUTED_VALUE"""),0.0061)</f>
        <v>0.0061</v>
      </c>
    </row>
    <row r="1717">
      <c r="A1717" s="131">
        <f>IFERROR(__xludf.DUMMYFUNCTION("""COMPUTED_VALUE"""),46187.37106481481)</f>
        <v>46187.37106</v>
      </c>
      <c r="B1717" s="126">
        <f>IFERROR(__xludf.DUMMYFUNCTION("""COMPUTED_VALUE"""),46187.0)</f>
        <v>46187</v>
      </c>
      <c r="C1717" s="122" t="str">
        <f>IFERROR(__xludf.DUMMYFUNCTION("""COMPUTED_VALUE"""),"MOVI")</f>
        <v>MOVI</v>
      </c>
      <c r="D1717" s="122" t="str">
        <f>IFERROR(__xludf.DUMMYFUNCTION("""COMPUTED_VALUE"""),"MovieBox")</f>
        <v>MovieBox</v>
      </c>
      <c r="E1717" s="122">
        <f>IFERROR(__xludf.DUMMYFUNCTION("""COMPUTED_VALUE"""),81.96)</f>
        <v>81.96</v>
      </c>
      <c r="F1717" s="122">
        <f>IFERROR(__xludf.DUMMYFUNCTION("""COMPUTED_VALUE"""),0.007)</f>
        <v>0.007</v>
      </c>
    </row>
    <row r="1718">
      <c r="A1718" s="131">
        <f>IFERROR(__xludf.DUMMYFUNCTION("""COMPUTED_VALUE"""),46187.37106481481)</f>
        <v>46187.37106</v>
      </c>
      <c r="B1718" s="126">
        <f>IFERROR(__xludf.DUMMYFUNCTION("""COMPUTED_VALUE"""),46187.0)</f>
        <v>46187</v>
      </c>
      <c r="C1718" s="122" t="str">
        <f>IFERROR(__xludf.DUMMYFUNCTION("""COMPUTED_VALUE"""),"MUSC")</f>
        <v>MUSC</v>
      </c>
      <c r="D1718" s="122" t="str">
        <f>IFERROR(__xludf.DUMMYFUNCTION("""COMPUTED_VALUE"""),"MusicWave")</f>
        <v>MusicWave</v>
      </c>
      <c r="E1718" s="122">
        <f>IFERROR(__xludf.DUMMYFUNCTION("""COMPUTED_VALUE"""),95.94)</f>
        <v>95.94</v>
      </c>
      <c r="F1718" s="122">
        <f>IFERROR(__xludf.DUMMYFUNCTION("""COMPUTED_VALUE"""),-0.0068)</f>
        <v>-0.0068</v>
      </c>
    </row>
    <row r="1719">
      <c r="A1719" s="131">
        <f>IFERROR(__xludf.DUMMYFUNCTION("""COMPUTED_VALUE"""),46187.37106481481)</f>
        <v>46187.37106</v>
      </c>
      <c r="B1719" s="126">
        <f>IFERROR(__xludf.DUMMYFUNCTION("""COMPUTED_VALUE"""),46187.0)</f>
        <v>46187</v>
      </c>
      <c r="C1719" s="122" t="str">
        <f>IFERROR(__xludf.DUMMYFUNCTION("""COMPUTED_VALUE"""),"IDOL")</f>
        <v>IDOL</v>
      </c>
      <c r="D1719" s="122" t="str">
        <f>IFERROR(__xludf.DUMMYFUNCTION("""COMPUTED_VALUE"""),"Idol Agency")</f>
        <v>Idol Agency</v>
      </c>
      <c r="E1719" s="122">
        <f>IFERROR(__xludf.DUMMYFUNCTION("""COMPUTED_VALUE"""),196.39)</f>
        <v>196.39</v>
      </c>
      <c r="F1719" s="122">
        <f>IFERROR(__xludf.DUMMYFUNCTION("""COMPUTED_VALUE"""),0.0027)</f>
        <v>0.0027</v>
      </c>
    </row>
    <row r="1720">
      <c r="A1720" s="131">
        <f>IFERROR(__xludf.DUMMYFUNCTION("""COMPUTED_VALUE"""),46187.37106481481)</f>
        <v>46187.37106</v>
      </c>
      <c r="B1720" s="126">
        <f>IFERROR(__xludf.DUMMYFUNCTION("""COMPUTED_VALUE"""),46187.0)</f>
        <v>46187</v>
      </c>
      <c r="C1720" s="122" t="str">
        <f>IFERROR(__xludf.DUMMYFUNCTION("""COMPUTED_VALUE"""),"MEME")</f>
        <v>MEME</v>
      </c>
      <c r="D1720" s="122" t="str">
        <f>IFERROR(__xludf.DUMMYFUNCTION("""COMPUTED_VALUE"""),"Meme Media")</f>
        <v>Meme Media</v>
      </c>
      <c r="E1720" s="122">
        <f>IFERROR(__xludf.DUMMYFUNCTION("""COMPUTED_VALUE"""),76.46)</f>
        <v>76.46</v>
      </c>
      <c r="F1720" s="122">
        <f>IFERROR(__xludf.DUMMYFUNCTION("""COMPUTED_VALUE"""),-0.0082)</f>
        <v>-0.0082</v>
      </c>
    </row>
    <row r="1721">
      <c r="A1721" s="131">
        <f>IFERROR(__xludf.DUMMYFUNCTION("""COMPUTED_VALUE"""),46187.37106481481)</f>
        <v>46187.37106</v>
      </c>
      <c r="B1721" s="126">
        <f>IFERROR(__xludf.DUMMYFUNCTION("""COMPUTED_VALUE"""),46187.0)</f>
        <v>46187</v>
      </c>
      <c r="C1721" s="122" t="str">
        <f>IFERROR(__xludf.DUMMYFUNCTION("""COMPUTED_VALUE"""),"STRM")</f>
        <v>STRM</v>
      </c>
      <c r="D1721" s="122" t="str">
        <f>IFERROR(__xludf.DUMMYFUNCTION("""COMPUTED_VALUE"""),"Streamly")</f>
        <v>Streamly</v>
      </c>
      <c r="E1721" s="122">
        <f>IFERROR(__xludf.DUMMYFUNCTION("""COMPUTED_VALUE"""),133.98)</f>
        <v>133.98</v>
      </c>
      <c r="F1721" s="122">
        <f>IFERROR(__xludf.DUMMYFUNCTION("""COMPUTED_VALUE"""),-0.003)</f>
        <v>-0.003</v>
      </c>
    </row>
    <row r="1722">
      <c r="A1722" s="131">
        <f>IFERROR(__xludf.DUMMYFUNCTION("""COMPUTED_VALUE"""),46187.37106481481)</f>
        <v>46187.37106</v>
      </c>
      <c r="B1722" s="126">
        <f>IFERROR(__xludf.DUMMYFUNCTION("""COMPUTED_VALUE"""),46187.0)</f>
        <v>46187</v>
      </c>
      <c r="C1722" s="122" t="str">
        <f>IFERROR(__xludf.DUMMYFUNCTION("""COMPUTED_VALUE"""),"FARM")</f>
        <v>FARM</v>
      </c>
      <c r="D1722" s="122" t="str">
        <f>IFERROR(__xludf.DUMMYFUNCTION("""COMPUTED_VALUE"""),"Future Farms")</f>
        <v>Future Farms</v>
      </c>
      <c r="E1722" s="122">
        <f>IFERROR(__xludf.DUMMYFUNCTION("""COMPUTED_VALUE"""),80.24)</f>
        <v>80.24</v>
      </c>
      <c r="F1722" s="122">
        <f>IFERROR(__xludf.DUMMYFUNCTION("""COMPUTED_VALUE"""),0.004)</f>
        <v>0.004</v>
      </c>
    </row>
    <row r="1723">
      <c r="A1723" s="131">
        <f>IFERROR(__xludf.DUMMYFUNCTION("""COMPUTED_VALUE"""),46187.37106481481)</f>
        <v>46187.37106</v>
      </c>
      <c r="B1723" s="126">
        <f>IFERROR(__xludf.DUMMYFUNCTION("""COMPUTED_VALUE"""),46187.0)</f>
        <v>46187</v>
      </c>
      <c r="C1723" s="122" t="str">
        <f>IFERROR(__xludf.DUMMYFUNCTION("""COMPUTED_VALUE"""),"MEAT")</f>
        <v>MEAT</v>
      </c>
      <c r="D1723" s="122" t="str">
        <f>IFERROR(__xludf.DUMMYFUNCTION("""COMPUTED_VALUE"""),"MeatWorks")</f>
        <v>MeatWorks</v>
      </c>
      <c r="E1723" s="122">
        <f>IFERROR(__xludf.DUMMYFUNCTION("""COMPUTED_VALUE"""),102.86)</f>
        <v>102.86</v>
      </c>
      <c r="F1723" s="122">
        <f>IFERROR(__xludf.DUMMYFUNCTION("""COMPUTED_VALUE"""),-9.0E-4)</f>
        <v>-0.0009</v>
      </c>
    </row>
    <row r="1724">
      <c r="A1724" s="131">
        <f>IFERROR(__xludf.DUMMYFUNCTION("""COMPUTED_VALUE"""),46187.37106481481)</f>
        <v>46187.37106</v>
      </c>
      <c r="B1724" s="126">
        <f>IFERROR(__xludf.DUMMYFUNCTION("""COMPUTED_VALUE"""),46187.0)</f>
        <v>46187</v>
      </c>
      <c r="C1724" s="122" t="str">
        <f>IFERROR(__xludf.DUMMYFUNCTION("""COMPUTED_VALUE"""),"VEGI")</f>
        <v>VEGI</v>
      </c>
      <c r="D1724" s="122" t="str">
        <f>IFERROR(__xludf.DUMMYFUNCTION("""COMPUTED_VALUE"""),"Green Basket")</f>
        <v>Green Basket</v>
      </c>
      <c r="E1724" s="122">
        <f>IFERROR(__xludf.DUMMYFUNCTION("""COMPUTED_VALUE"""),82.76)</f>
        <v>82.76</v>
      </c>
      <c r="F1724" s="122">
        <f>IFERROR(__xludf.DUMMYFUNCTION("""COMPUTED_VALUE"""),-0.0022)</f>
        <v>-0.0022</v>
      </c>
    </row>
    <row r="1725">
      <c r="A1725" s="131">
        <f>IFERROR(__xludf.DUMMYFUNCTION("""COMPUTED_VALUE"""),46187.37106481481)</f>
        <v>46187.37106</v>
      </c>
      <c r="B1725" s="126">
        <f>IFERROR(__xludf.DUMMYFUNCTION("""COMPUTED_VALUE"""),46187.0)</f>
        <v>46187</v>
      </c>
      <c r="C1725" s="122" t="str">
        <f>IFERROR(__xludf.DUMMYFUNCTION("""COMPUTED_VALUE"""),"CAFE")</f>
        <v>CAFE</v>
      </c>
      <c r="D1725" s="122" t="str">
        <f>IFERROR(__xludf.DUMMYFUNCTION("""COMPUTED_VALUE"""),"Cafe Cloud")</f>
        <v>Cafe Cloud</v>
      </c>
      <c r="E1725" s="122">
        <f>IFERROR(__xludf.DUMMYFUNCTION("""COMPUTED_VALUE"""),100.18)</f>
        <v>100.18</v>
      </c>
      <c r="F1725" s="122">
        <f>IFERROR(__xludf.DUMMYFUNCTION("""COMPUTED_VALUE"""),-0.0046)</f>
        <v>-0.0046</v>
      </c>
    </row>
    <row r="1726">
      <c r="A1726" s="131">
        <f>IFERROR(__xludf.DUMMYFUNCTION("""COMPUTED_VALUE"""),46187.37106481481)</f>
        <v>46187.37106</v>
      </c>
      <c r="B1726" s="126">
        <f>IFERROR(__xludf.DUMMYFUNCTION("""COMPUTED_VALUE"""),46187.0)</f>
        <v>46187</v>
      </c>
      <c r="C1726" s="122" t="str">
        <f>IFERROR(__xludf.DUMMYFUNCTION("""COMPUTED_VALUE"""),"BAKE")</f>
        <v>BAKE</v>
      </c>
      <c r="D1726" s="122" t="str">
        <f>IFERROR(__xludf.DUMMYFUNCTION("""COMPUTED_VALUE"""),"BakeHouse")</f>
        <v>BakeHouse</v>
      </c>
      <c r="E1726" s="122">
        <f>IFERROR(__xludf.DUMMYFUNCTION("""COMPUTED_VALUE"""),99.72)</f>
        <v>99.72</v>
      </c>
      <c r="F1726" s="122">
        <f>IFERROR(__xludf.DUMMYFUNCTION("""COMPUTED_VALUE"""),-0.0041)</f>
        <v>-0.0041</v>
      </c>
    </row>
    <row r="1727">
      <c r="A1727" s="131">
        <f>IFERROR(__xludf.DUMMYFUNCTION("""COMPUTED_VALUE"""),46187.37106481481)</f>
        <v>46187.37106</v>
      </c>
      <c r="B1727" s="126">
        <f>IFERROR(__xludf.DUMMYFUNCTION("""COMPUTED_VALUE"""),46187.0)</f>
        <v>46187</v>
      </c>
      <c r="C1727" s="122" t="str">
        <f>IFERROR(__xludf.DUMMYFUNCTION("""COMPUTED_VALUE"""),"OILX")</f>
        <v>OILX</v>
      </c>
      <c r="D1727" s="122" t="str">
        <f>IFERROR(__xludf.DUMMYFUNCTION("""COMPUTED_VALUE"""),"OilMax Energy")</f>
        <v>OilMax Energy</v>
      </c>
      <c r="E1727" s="122">
        <f>IFERROR(__xludf.DUMMYFUNCTION("""COMPUTED_VALUE"""),126.54)</f>
        <v>126.54</v>
      </c>
      <c r="F1727" s="122">
        <f>IFERROR(__xludf.DUMMYFUNCTION("""COMPUTED_VALUE"""),7.0E-4)</f>
        <v>0.0007</v>
      </c>
    </row>
    <row r="1728">
      <c r="A1728" s="131">
        <f>IFERROR(__xludf.DUMMYFUNCTION("""COMPUTED_VALUE"""),46187.37106481481)</f>
        <v>46187.37106</v>
      </c>
      <c r="B1728" s="126">
        <f>IFERROR(__xludf.DUMMYFUNCTION("""COMPUTED_VALUE"""),46187.0)</f>
        <v>46187</v>
      </c>
      <c r="C1728" s="122" t="str">
        <f>IFERROR(__xludf.DUMMYFUNCTION("""COMPUTED_VALUE"""),"SOLR")</f>
        <v>SOLR</v>
      </c>
      <c r="D1728" s="122" t="str">
        <f>IFERROR(__xludf.DUMMYFUNCTION("""COMPUTED_VALUE"""),"SolarSpark")</f>
        <v>SolarSpark</v>
      </c>
      <c r="E1728" s="122">
        <f>IFERROR(__xludf.DUMMYFUNCTION("""COMPUTED_VALUE"""),85.4)</f>
        <v>85.4</v>
      </c>
      <c r="F1728" s="122">
        <f>IFERROR(__xludf.DUMMYFUNCTION("""COMPUTED_VALUE"""),0.0045)</f>
        <v>0.0045</v>
      </c>
    </row>
    <row r="1729">
      <c r="A1729" s="131">
        <f>IFERROR(__xludf.DUMMYFUNCTION("""COMPUTED_VALUE"""),46187.37106481481)</f>
        <v>46187.37106</v>
      </c>
      <c r="B1729" s="126">
        <f>IFERROR(__xludf.DUMMYFUNCTION("""COMPUTED_VALUE"""),46187.0)</f>
        <v>46187</v>
      </c>
      <c r="C1729" s="122" t="str">
        <f>IFERROR(__xludf.DUMMYFUNCTION("""COMPUTED_VALUE"""),"BATT")</f>
        <v>BATT</v>
      </c>
      <c r="D1729" s="122" t="str">
        <f>IFERROR(__xludf.DUMMYFUNCTION("""COMPUTED_VALUE"""),"BatteryBox")</f>
        <v>BatteryBox</v>
      </c>
      <c r="E1729" s="122">
        <f>IFERROR(__xludf.DUMMYFUNCTION("""COMPUTED_VALUE"""),120.25)</f>
        <v>120.25</v>
      </c>
      <c r="F1729" s="122">
        <f>IFERROR(__xludf.DUMMYFUNCTION("""COMPUTED_VALUE"""),0.0058)</f>
        <v>0.0058</v>
      </c>
    </row>
    <row r="1730">
      <c r="A1730" s="131">
        <f>IFERROR(__xludf.DUMMYFUNCTION("""COMPUTED_VALUE"""),46187.37106481481)</f>
        <v>46187.37106</v>
      </c>
      <c r="B1730" s="126">
        <f>IFERROR(__xludf.DUMMYFUNCTION("""COMPUTED_VALUE"""),46187.0)</f>
        <v>46187</v>
      </c>
      <c r="C1730" s="122" t="str">
        <f>IFERROR(__xludf.DUMMYFUNCTION("""COMPUTED_VALUE"""),"WIND")</f>
        <v>WIND</v>
      </c>
      <c r="D1730" s="122" t="str">
        <f>IFERROR(__xludf.DUMMYFUNCTION("""COMPUTED_VALUE"""),"WindWorks")</f>
        <v>WindWorks</v>
      </c>
      <c r="E1730" s="122">
        <f>IFERROR(__xludf.DUMMYFUNCTION("""COMPUTED_VALUE"""),87.75)</f>
        <v>87.75</v>
      </c>
      <c r="F1730" s="122">
        <f>IFERROR(__xludf.DUMMYFUNCTION("""COMPUTED_VALUE"""),-0.0028)</f>
        <v>-0.0028</v>
      </c>
    </row>
    <row r="1731">
      <c r="A1731" s="131">
        <f>IFERROR(__xludf.DUMMYFUNCTION("""COMPUTED_VALUE"""),46187.37106481481)</f>
        <v>46187.37106</v>
      </c>
      <c r="B1731" s="126">
        <f>IFERROR(__xludf.DUMMYFUNCTION("""COMPUTED_VALUE"""),46187.0)</f>
        <v>46187</v>
      </c>
      <c r="C1731" s="122" t="str">
        <f>IFERROR(__xludf.DUMMYFUNCTION("""COMPUTED_VALUE"""),"GRID")</f>
        <v>GRID</v>
      </c>
      <c r="D1731" s="122" t="str">
        <f>IFERROR(__xludf.DUMMYFUNCTION("""COMPUTED_VALUE"""),"GridPower")</f>
        <v>GridPower</v>
      </c>
      <c r="E1731" s="122">
        <f>IFERROR(__xludf.DUMMYFUNCTION("""COMPUTED_VALUE"""),145.54)</f>
        <v>145.54</v>
      </c>
      <c r="F1731" s="122">
        <f>IFERROR(__xludf.DUMMYFUNCTION("""COMPUTED_VALUE"""),-0.0062)</f>
        <v>-0.0062</v>
      </c>
    </row>
    <row r="1732">
      <c r="A1732" s="131">
        <f>IFERROR(__xludf.DUMMYFUNCTION("""COMPUTED_VALUE"""),46187.37106481481)</f>
        <v>46187.37106</v>
      </c>
      <c r="B1732" s="126">
        <f>IFERROR(__xludf.DUMMYFUNCTION("""COMPUTED_VALUE"""),46187.0)</f>
        <v>46187</v>
      </c>
      <c r="C1732" s="122" t="str">
        <f>IFERROR(__xludf.DUMMYFUNCTION("""COMPUTED_VALUE"""),"HOME")</f>
        <v>HOME</v>
      </c>
      <c r="D1732" s="122" t="str">
        <f>IFERROR(__xludf.DUMMYFUNCTION("""COMPUTED_VALUE"""),"HomeHub")</f>
        <v>HomeHub</v>
      </c>
      <c r="E1732" s="122">
        <f>IFERROR(__xludf.DUMMYFUNCTION("""COMPUTED_VALUE"""),146.63)</f>
        <v>146.63</v>
      </c>
      <c r="F1732" s="122">
        <f>IFERROR(__xludf.DUMMYFUNCTION("""COMPUTED_VALUE"""),0.0035)</f>
        <v>0.0035</v>
      </c>
    </row>
    <row r="1733">
      <c r="A1733" s="131">
        <f>IFERROR(__xludf.DUMMYFUNCTION("""COMPUTED_VALUE"""),46187.37106481481)</f>
        <v>46187.37106</v>
      </c>
      <c r="B1733" s="126">
        <f>IFERROR(__xludf.DUMMYFUNCTION("""COMPUTED_VALUE"""),46187.0)</f>
        <v>46187</v>
      </c>
      <c r="C1733" s="122" t="str">
        <f>IFERROR(__xludf.DUMMYFUNCTION("""COMPUTED_VALUE"""),"RENT")</f>
        <v>RENT</v>
      </c>
      <c r="D1733" s="122" t="str">
        <f>IFERROR(__xludf.DUMMYFUNCTION("""COMPUTED_VALUE"""),"RentRight")</f>
        <v>RentRight</v>
      </c>
      <c r="E1733" s="122">
        <f>IFERROR(__xludf.DUMMYFUNCTION("""COMPUTED_VALUE"""),93.14)</f>
        <v>93.14</v>
      </c>
      <c r="F1733" s="122">
        <f>IFERROR(__xludf.DUMMYFUNCTION("""COMPUTED_VALUE"""),-6.0E-4)</f>
        <v>-0.0006</v>
      </c>
    </row>
    <row r="1734">
      <c r="A1734" s="131">
        <f>IFERROR(__xludf.DUMMYFUNCTION("""COMPUTED_VALUE"""),46187.37106481481)</f>
        <v>46187.37106</v>
      </c>
      <c r="B1734" s="126">
        <f>IFERROR(__xludf.DUMMYFUNCTION("""COMPUTED_VALUE"""),46187.0)</f>
        <v>46187</v>
      </c>
      <c r="C1734" s="122" t="str">
        <f>IFERROR(__xludf.DUMMYFUNCTION("""COMPUTED_VALUE"""),"MALL")</f>
        <v>MALL</v>
      </c>
      <c r="D1734" s="122" t="str">
        <f>IFERROR(__xludf.DUMMYFUNCTION("""COMPUTED_VALUE"""),"MegaMall")</f>
        <v>MegaMall</v>
      </c>
      <c r="E1734" s="122">
        <f>IFERROR(__xludf.DUMMYFUNCTION("""COMPUTED_VALUE"""),97.75)</f>
        <v>97.75</v>
      </c>
      <c r="F1734" s="122">
        <f>IFERROR(__xludf.DUMMYFUNCTION("""COMPUTED_VALUE"""),0.0051)</f>
        <v>0.0051</v>
      </c>
    </row>
    <row r="1735">
      <c r="A1735" s="131">
        <f>IFERROR(__xludf.DUMMYFUNCTION("""COMPUTED_VALUE"""),46187.37106481481)</f>
        <v>46187.37106</v>
      </c>
      <c r="B1735" s="126">
        <f>IFERROR(__xludf.DUMMYFUNCTION("""COMPUTED_VALUE"""),46187.0)</f>
        <v>46187</v>
      </c>
      <c r="C1735" s="122" t="str">
        <f>IFERROR(__xludf.DUMMYFUNCTION("""COMPUTED_VALUE"""),"HOTL")</f>
        <v>HOTL</v>
      </c>
      <c r="D1735" s="122" t="str">
        <f>IFERROR(__xludf.DUMMYFUNCTION("""COMPUTED_VALUE"""),"HotelHive")</f>
        <v>HotelHive</v>
      </c>
      <c r="E1735" s="122">
        <f>IFERROR(__xludf.DUMMYFUNCTION("""COMPUTED_VALUE"""),133.71)</f>
        <v>133.71</v>
      </c>
      <c r="F1735" s="122">
        <f>IFERROR(__xludf.DUMMYFUNCTION("""COMPUTED_VALUE"""),-0.0075)</f>
        <v>-0.0075</v>
      </c>
    </row>
    <row r="1736">
      <c r="A1736" s="131">
        <f>IFERROR(__xludf.DUMMYFUNCTION("""COMPUTED_VALUE"""),46187.37106481481)</f>
        <v>46187.37106</v>
      </c>
      <c r="B1736" s="126">
        <f>IFERROR(__xludf.DUMMYFUNCTION("""COMPUTED_VALUE"""),46187.0)</f>
        <v>46187</v>
      </c>
      <c r="C1736" s="122" t="str">
        <f>IFERROR(__xludf.DUMMYFUNCTION("""COMPUTED_VALUE"""),"LAND")</f>
        <v>LAND</v>
      </c>
      <c r="D1736" s="122" t="str">
        <f>IFERROR(__xludf.DUMMYFUNCTION("""COMPUTED_VALUE"""),"LandLink")</f>
        <v>LandLink</v>
      </c>
      <c r="E1736" s="122">
        <f>IFERROR(__xludf.DUMMYFUNCTION("""COMPUTED_VALUE"""),181.97)</f>
        <v>181.97</v>
      </c>
      <c r="F1736" s="122">
        <f>IFERROR(__xludf.DUMMYFUNCTION("""COMPUTED_VALUE"""),-1.0E-4)</f>
        <v>-0.0001</v>
      </c>
    </row>
    <row r="1737">
      <c r="A1737" s="131">
        <f>IFERROR(__xludf.DUMMYFUNCTION("""COMPUTED_VALUE"""),46187.37106481481)</f>
        <v>46187.37106</v>
      </c>
      <c r="B1737" s="126">
        <f>IFERROR(__xludf.DUMMYFUNCTION("""COMPUTED_VALUE"""),46187.0)</f>
        <v>46187</v>
      </c>
      <c r="C1737" s="122" t="str">
        <f>IFERROR(__xludf.DUMMYFUNCTION("""COMPUTED_VALUE"""),"CARS")</f>
        <v>CARS</v>
      </c>
      <c r="D1737" s="122" t="str">
        <f>IFERROR(__xludf.DUMMYFUNCTION("""COMPUTED_VALUE"""),"AutoArena")</f>
        <v>AutoArena</v>
      </c>
      <c r="E1737" s="122">
        <f>IFERROR(__xludf.DUMMYFUNCTION("""COMPUTED_VALUE"""),79.41)</f>
        <v>79.41</v>
      </c>
      <c r="F1737" s="122">
        <f>IFERROR(__xludf.DUMMYFUNCTION("""COMPUTED_VALUE"""),0.0052)</f>
        <v>0.0052</v>
      </c>
    </row>
    <row r="1738">
      <c r="A1738" s="131">
        <f>IFERROR(__xludf.DUMMYFUNCTION("""COMPUTED_VALUE"""),46187.37106481481)</f>
        <v>46187.37106</v>
      </c>
      <c r="B1738" s="126">
        <f>IFERROR(__xludf.DUMMYFUNCTION("""COMPUTED_VALUE"""),46187.0)</f>
        <v>46187</v>
      </c>
      <c r="C1738" s="122" t="str">
        <f>IFERROR(__xludf.DUMMYFUNCTION("""COMPUTED_VALUE"""),"EVGO")</f>
        <v>EVGO</v>
      </c>
      <c r="D1738" s="122" t="str">
        <f>IFERROR(__xludf.DUMMYFUNCTION("""COMPUTED_VALUE"""),"EVGo Motors")</f>
        <v>EVGo Motors</v>
      </c>
      <c r="E1738" s="122">
        <f>IFERROR(__xludf.DUMMYFUNCTION("""COMPUTED_VALUE"""),195.14)</f>
        <v>195.14</v>
      </c>
      <c r="F1738" s="122">
        <f>IFERROR(__xludf.DUMMYFUNCTION("""COMPUTED_VALUE"""),-0.0024)</f>
        <v>-0.0024</v>
      </c>
    </row>
    <row r="1739">
      <c r="A1739" s="131">
        <f>IFERROR(__xludf.DUMMYFUNCTION("""COMPUTED_VALUE"""),46187.37106481481)</f>
        <v>46187.37106</v>
      </c>
      <c r="B1739" s="126">
        <f>IFERROR(__xludf.DUMMYFUNCTION("""COMPUTED_VALUE"""),46187.0)</f>
        <v>46187</v>
      </c>
      <c r="C1739" s="122" t="str">
        <f>IFERROR(__xludf.DUMMYFUNCTION("""COMPUTED_VALUE"""),"TIRE")</f>
        <v>TIRE</v>
      </c>
      <c r="D1739" s="122" t="str">
        <f>IFERROR(__xludf.DUMMYFUNCTION("""COMPUTED_VALUE"""),"TireTown")</f>
        <v>TireTown</v>
      </c>
      <c r="E1739" s="122">
        <f>IFERROR(__xludf.DUMMYFUNCTION("""COMPUTED_VALUE"""),90.55)</f>
        <v>90.55</v>
      </c>
      <c r="F1739" s="122">
        <f>IFERROR(__xludf.DUMMYFUNCTION("""COMPUTED_VALUE"""),-0.0033)</f>
        <v>-0.0033</v>
      </c>
    </row>
    <row r="1740">
      <c r="A1740" s="131">
        <f>IFERROR(__xludf.DUMMYFUNCTION("""COMPUTED_VALUE"""),46187.37106481481)</f>
        <v>46187.37106</v>
      </c>
      <c r="B1740" s="126">
        <f>IFERROR(__xludf.DUMMYFUNCTION("""COMPUTED_VALUE"""),46187.0)</f>
        <v>46187</v>
      </c>
      <c r="C1740" s="122" t="str">
        <f>IFERROR(__xludf.DUMMYFUNCTION("""COMPUTED_VALUE"""),"BIKE")</f>
        <v>BIKE</v>
      </c>
      <c r="D1740" s="122" t="str">
        <f>IFERROR(__xludf.DUMMYFUNCTION("""COMPUTED_VALUE"""),"BikeBox")</f>
        <v>BikeBox</v>
      </c>
      <c r="E1740" s="122">
        <f>IFERROR(__xludf.DUMMYFUNCTION("""COMPUTED_VALUE"""),53.27)</f>
        <v>53.27</v>
      </c>
      <c r="F1740" s="122">
        <f>IFERROR(__xludf.DUMMYFUNCTION("""COMPUTED_VALUE"""),8.0E-4)</f>
        <v>0.0008</v>
      </c>
    </row>
    <row r="1741">
      <c r="A1741" s="131">
        <f>IFERROR(__xludf.DUMMYFUNCTION("""COMPUTED_VALUE"""),46187.37106481481)</f>
        <v>46187.37106</v>
      </c>
      <c r="B1741" s="126">
        <f>IFERROR(__xludf.DUMMYFUNCTION("""COMPUTED_VALUE"""),46187.0)</f>
        <v>46187</v>
      </c>
      <c r="C1741" s="122" t="str">
        <f>IFERROR(__xludf.DUMMYFUNCTION("""COMPUTED_VALUE"""),"WASH")</f>
        <v>WASH</v>
      </c>
      <c r="D1741" s="122" t="str">
        <f>IFERROR(__xludf.DUMMYFUNCTION("""COMPUTED_VALUE"""),"CarWash Co")</f>
        <v>CarWash Co</v>
      </c>
      <c r="E1741" s="122">
        <f>IFERROR(__xludf.DUMMYFUNCTION("""COMPUTED_VALUE"""),118.87)</f>
        <v>118.87</v>
      </c>
      <c r="F1741" s="122">
        <f>IFERROR(__xludf.DUMMYFUNCTION("""COMPUTED_VALUE"""),0.0048)</f>
        <v>0.0048</v>
      </c>
    </row>
    <row r="1742">
      <c r="A1742" s="131">
        <f>IFERROR(__xludf.DUMMYFUNCTION("""COMPUTED_VALUE"""),46187.37106481481)</f>
        <v>46187.37106</v>
      </c>
      <c r="B1742" s="126">
        <f>IFERROR(__xludf.DUMMYFUNCTION("""COMPUTED_VALUE"""),46187.0)</f>
        <v>46187</v>
      </c>
      <c r="C1742" s="122" t="str">
        <f>IFERROR(__xludf.DUMMYFUNCTION("""COMPUTED_VALUE"""),"GBND")</f>
        <v>GBND</v>
      </c>
      <c r="D1742" s="122" t="str">
        <f>IFERROR(__xludf.DUMMYFUNCTION("""COMPUTED_VALUE"""),"Classroom Government Bond")</f>
        <v>Classroom Government Bond</v>
      </c>
      <c r="E1742" s="122">
        <f>IFERROR(__xludf.DUMMYFUNCTION("""COMPUTED_VALUE"""),100.88)</f>
        <v>100.88</v>
      </c>
      <c r="F1742" s="122">
        <f>IFERROR(__xludf.DUMMYFUNCTION("""COMPUTED_VALUE"""),2.0E-4)</f>
        <v>0.0002</v>
      </c>
    </row>
    <row r="1743">
      <c r="A1743" s="131">
        <f>IFERROR(__xludf.DUMMYFUNCTION("""COMPUTED_VALUE"""),46187.37106481481)</f>
        <v>46187.37106</v>
      </c>
      <c r="B1743" s="126">
        <f>IFERROR(__xludf.DUMMYFUNCTION("""COMPUTED_VALUE"""),46187.0)</f>
        <v>46187</v>
      </c>
      <c r="C1743" s="122" t="str">
        <f>IFERROR(__xludf.DUMMYFUNCTION("""COMPUTED_VALUE"""),"SBND")</f>
        <v>SBND</v>
      </c>
      <c r="D1743" s="122" t="str">
        <f>IFERROR(__xludf.DUMMYFUNCTION("""COMPUTED_VALUE"""),"School Savings Bond")</f>
        <v>School Savings Bond</v>
      </c>
      <c r="E1743" s="122">
        <f>IFERROR(__xludf.DUMMYFUNCTION("""COMPUTED_VALUE"""),99.36)</f>
        <v>99.36</v>
      </c>
      <c r="F1743" s="122">
        <f>IFERROR(__xludf.DUMMYFUNCTION("""COMPUTED_VALUE"""),3.0E-4)</f>
        <v>0.0003</v>
      </c>
    </row>
    <row r="1744">
      <c r="A1744" s="131">
        <f>IFERROR(__xludf.DUMMYFUNCTION("""COMPUTED_VALUE"""),46187.37106481481)</f>
        <v>46187.37106</v>
      </c>
      <c r="B1744" s="126">
        <f>IFERROR(__xludf.DUMMYFUNCTION("""COMPUTED_VALUE"""),46187.0)</f>
        <v>46187</v>
      </c>
      <c r="C1744" s="122" t="str">
        <f>IFERROR(__xludf.DUMMYFUNCTION("""COMPUTED_VALUE"""),"CBND")</f>
        <v>CBND</v>
      </c>
      <c r="D1744" s="122" t="str">
        <f>IFERROR(__xludf.DUMMYFUNCTION("""COMPUTED_VALUE"""),"Corporate Classroom Bond")</f>
        <v>Corporate Classroom Bond</v>
      </c>
      <c r="E1744" s="122">
        <f>IFERROR(__xludf.DUMMYFUNCTION("""COMPUTED_VALUE"""),97.68)</f>
        <v>97.68</v>
      </c>
      <c r="F1744" s="122">
        <f>IFERROR(__xludf.DUMMYFUNCTION("""COMPUTED_VALUE"""),-1.0E-4)</f>
        <v>-0.0001</v>
      </c>
    </row>
    <row r="1745">
      <c r="A1745" s="131">
        <f>IFERROR(__xludf.DUMMYFUNCTION("""COMPUTED_VALUE"""),46187.37106481481)</f>
        <v>46187.37106</v>
      </c>
      <c r="B1745" s="126">
        <f>IFERROR(__xludf.DUMMYFUNCTION("""COMPUTED_VALUE"""),46187.0)</f>
        <v>46187</v>
      </c>
      <c r="C1745" s="122" t="str">
        <f>IFERROR(__xludf.DUMMYFUNCTION("""COMPUTED_VALUE"""),"TBIL")</f>
        <v>TBIL</v>
      </c>
      <c r="D1745" s="122" t="str">
        <f>IFERROR(__xludf.DUMMYFUNCTION("""COMPUTED_VALUE"""),"Treasury Bill")</f>
        <v>Treasury Bill</v>
      </c>
      <c r="E1745" s="122">
        <f>IFERROR(__xludf.DUMMYFUNCTION("""COMPUTED_VALUE"""),98.04)</f>
        <v>98.04</v>
      </c>
      <c r="F1745" s="122">
        <f>IFERROR(__xludf.DUMMYFUNCTION("""COMPUTED_VALUE"""),-1.0E-4)</f>
        <v>-0.0001</v>
      </c>
    </row>
    <row r="1746">
      <c r="A1746" s="131">
        <f>IFERROR(__xludf.DUMMYFUNCTION("""COMPUTED_VALUE"""),46187.37106481481)</f>
        <v>46187.37106</v>
      </c>
      <c r="B1746" s="126">
        <f>IFERROR(__xludf.DUMMYFUNCTION("""COMPUTED_VALUE"""),46187.0)</f>
        <v>46187</v>
      </c>
      <c r="C1746" s="122" t="str">
        <f>IFERROR(__xludf.DUMMYFUNCTION("""COMPUTED_VALUE"""),"IBND")</f>
        <v>IBND</v>
      </c>
      <c r="D1746" s="122" t="str">
        <f>IFERROR(__xludf.DUMMYFUNCTION("""COMPUTED_VALUE"""),"Inflation Protected Bond")</f>
        <v>Inflation Protected Bond</v>
      </c>
      <c r="E1746" s="122">
        <f>IFERROR(__xludf.DUMMYFUNCTION("""COMPUTED_VALUE"""),100.54)</f>
        <v>100.54</v>
      </c>
      <c r="F1746" s="122">
        <f>IFERROR(__xludf.DUMMYFUNCTION("""COMPUTED_VALUE"""),3.0E-4)</f>
        <v>0.0003</v>
      </c>
    </row>
    <row r="1747">
      <c r="A1747" s="131">
        <f>IFERROR(__xludf.DUMMYFUNCTION("""COMPUTED_VALUE"""),46187.37306712963)</f>
        <v>46187.37307</v>
      </c>
      <c r="B1747" s="126">
        <f>IFERROR(__xludf.DUMMYFUNCTION("""COMPUTED_VALUE"""),46187.0)</f>
        <v>46187</v>
      </c>
      <c r="C1747" s="122" t="str">
        <f>IFERROR(__xludf.DUMMYFUNCTION("""COMPUTED_VALUE"""),"SNAX")</f>
        <v>SNAX</v>
      </c>
      <c r="D1747" s="122" t="str">
        <f>IFERROR(__xludf.DUMMYFUNCTION("""COMPUTED_VALUE"""),"MICA Snacks")</f>
        <v>MICA Snacks</v>
      </c>
      <c r="E1747" s="122">
        <f>IFERROR(__xludf.DUMMYFUNCTION("""COMPUTED_VALUE"""),121.8)</f>
        <v>121.8</v>
      </c>
      <c r="F1747" s="122">
        <f>IFERROR(__xludf.DUMMYFUNCTION("""COMPUTED_VALUE"""),-0.0046)</f>
        <v>-0.0046</v>
      </c>
    </row>
    <row r="1748">
      <c r="A1748" s="131">
        <f>IFERROR(__xludf.DUMMYFUNCTION("""COMPUTED_VALUE"""),46187.37306712963)</f>
        <v>46187.37307</v>
      </c>
      <c r="B1748" s="126">
        <f>IFERROR(__xludf.DUMMYFUNCTION("""COMPUTED_VALUE"""),46187.0)</f>
        <v>46187</v>
      </c>
      <c r="C1748" s="122" t="str">
        <f>IFERROR(__xludf.DUMMYFUNCTION("""COMPUTED_VALUE"""),"RAMN")</f>
        <v>RAMN</v>
      </c>
      <c r="D1748" s="122" t="str">
        <f>IFERROR(__xludf.DUMMYFUNCTION("""COMPUTED_VALUE"""),"Ramen Republic")</f>
        <v>Ramen Republic</v>
      </c>
      <c r="E1748" s="122">
        <f>IFERROR(__xludf.DUMMYFUNCTION("""COMPUTED_VALUE"""),76.5)</f>
        <v>76.5</v>
      </c>
      <c r="F1748" s="122">
        <f>IFERROR(__xludf.DUMMYFUNCTION("""COMPUTED_VALUE"""),-0.0043)</f>
        <v>-0.0043</v>
      </c>
    </row>
    <row r="1749">
      <c r="A1749" s="131">
        <f>IFERROR(__xludf.DUMMYFUNCTION("""COMPUTED_VALUE"""),46187.37306712963)</f>
        <v>46187.37307</v>
      </c>
      <c r="B1749" s="126">
        <f>IFERROR(__xludf.DUMMYFUNCTION("""COMPUTED_VALUE"""),46187.0)</f>
        <v>46187</v>
      </c>
      <c r="C1749" s="122" t="str">
        <f>IFERROR(__xludf.DUMMYFUNCTION("""COMPUTED_VALUE"""),"COLA")</f>
        <v>COLA</v>
      </c>
      <c r="D1749" s="122" t="str">
        <f>IFERROR(__xludf.DUMMYFUNCTION("""COMPUTED_VALUE"""),"K-Pop Cola")</f>
        <v>K-Pop Cola</v>
      </c>
      <c r="E1749" s="122">
        <f>IFERROR(__xludf.DUMMYFUNCTION("""COMPUTED_VALUE"""),104.49)</f>
        <v>104.49</v>
      </c>
      <c r="F1749" s="122">
        <f>IFERROR(__xludf.DUMMYFUNCTION("""COMPUTED_VALUE"""),0.0035)</f>
        <v>0.0035</v>
      </c>
    </row>
    <row r="1750">
      <c r="A1750" s="131">
        <f>IFERROR(__xludf.DUMMYFUNCTION("""COMPUTED_VALUE"""),46187.37306712963)</f>
        <v>46187.37307</v>
      </c>
      <c r="B1750" s="126">
        <f>IFERROR(__xludf.DUMMYFUNCTION("""COMPUTED_VALUE"""),46187.0)</f>
        <v>46187</v>
      </c>
      <c r="C1750" s="122" t="str">
        <f>IFERROR(__xludf.DUMMYFUNCTION("""COMPUTED_VALUE"""),"CHIP")</f>
        <v>CHIP</v>
      </c>
      <c r="D1750" s="122" t="str">
        <f>IFERROR(__xludf.DUMMYFUNCTION("""COMPUTED_VALUE"""),"Chip Empire")</f>
        <v>Chip Empire</v>
      </c>
      <c r="E1750" s="122">
        <f>IFERROR(__xludf.DUMMYFUNCTION("""COMPUTED_VALUE"""),88.21)</f>
        <v>88.21</v>
      </c>
      <c r="F1750" s="122">
        <f>IFERROR(__xludf.DUMMYFUNCTION("""COMPUTED_VALUE"""),0.0094)</f>
        <v>0.0094</v>
      </c>
    </row>
    <row r="1751">
      <c r="A1751" s="131">
        <f>IFERROR(__xludf.DUMMYFUNCTION("""COMPUTED_VALUE"""),46187.37306712963)</f>
        <v>46187.37307</v>
      </c>
      <c r="B1751" s="126">
        <f>IFERROR(__xludf.DUMMYFUNCTION("""COMPUTED_VALUE"""),46187.0)</f>
        <v>46187</v>
      </c>
      <c r="C1751" s="122" t="str">
        <f>IFERROR(__xludf.DUMMYFUNCTION("""COMPUTED_VALUE"""),"CAND")</f>
        <v>CAND</v>
      </c>
      <c r="D1751" s="122" t="str">
        <f>IFERROR(__xludf.DUMMYFUNCTION("""COMPUTED_VALUE"""),"Candy Capital")</f>
        <v>Candy Capital</v>
      </c>
      <c r="E1751" s="122">
        <f>IFERROR(__xludf.DUMMYFUNCTION("""COMPUTED_VALUE"""),75.8)</f>
        <v>75.8</v>
      </c>
      <c r="F1751" s="122">
        <f>IFERROR(__xludf.DUMMYFUNCTION("""COMPUTED_VALUE"""),-0.0071)</f>
        <v>-0.0071</v>
      </c>
    </row>
    <row r="1752">
      <c r="A1752" s="131">
        <f>IFERROR(__xludf.DUMMYFUNCTION("""COMPUTED_VALUE"""),46187.37306712963)</f>
        <v>46187.37307</v>
      </c>
      <c r="B1752" s="126">
        <f>IFERROR(__xludf.DUMMYFUNCTION("""COMPUTED_VALUE"""),46187.0)</f>
        <v>46187</v>
      </c>
      <c r="C1752" s="122" t="str">
        <f>IFERROR(__xludf.DUMMYFUNCTION("""COMPUTED_VALUE"""),"TECH")</f>
        <v>TECH</v>
      </c>
      <c r="D1752" s="122" t="str">
        <f>IFERROR(__xludf.DUMMYFUNCTION("""COMPUTED_VALUE"""),"Dragon Tech")</f>
        <v>Dragon Tech</v>
      </c>
      <c r="E1752" s="122">
        <f>IFERROR(__xludf.DUMMYFUNCTION("""COMPUTED_VALUE"""),240.69)</f>
        <v>240.69</v>
      </c>
      <c r="F1752" s="122">
        <f>IFERROR(__xludf.DUMMYFUNCTION("""COMPUTED_VALUE"""),-2.0E-4)</f>
        <v>-0.0002</v>
      </c>
    </row>
    <row r="1753">
      <c r="A1753" s="131">
        <f>IFERROR(__xludf.DUMMYFUNCTION("""COMPUTED_VALUE"""),46187.37306712963)</f>
        <v>46187.37307</v>
      </c>
      <c r="B1753" s="126">
        <f>IFERROR(__xludf.DUMMYFUNCTION("""COMPUTED_VALUE"""),46187.0)</f>
        <v>46187</v>
      </c>
      <c r="C1753" s="122" t="str">
        <f>IFERROR(__xludf.DUMMYFUNCTION("""COMPUTED_VALUE"""),"AIBO")</f>
        <v>AIBO</v>
      </c>
      <c r="D1753" s="122" t="str">
        <f>IFERROR(__xludf.DUMMYFUNCTION("""COMPUTED_VALUE"""),"Homework AI")</f>
        <v>Homework AI</v>
      </c>
      <c r="E1753" s="122">
        <f>IFERROR(__xludf.DUMMYFUNCTION("""COMPUTED_VALUE"""),163.83)</f>
        <v>163.83</v>
      </c>
      <c r="F1753" s="122">
        <f>IFERROR(__xludf.DUMMYFUNCTION("""COMPUTED_VALUE"""),0.0115)</f>
        <v>0.0115</v>
      </c>
    </row>
    <row r="1754">
      <c r="A1754" s="131">
        <f>IFERROR(__xludf.DUMMYFUNCTION("""COMPUTED_VALUE"""),46187.37306712963)</f>
        <v>46187.37307</v>
      </c>
      <c r="B1754" s="126">
        <f>IFERROR(__xludf.DUMMYFUNCTION("""COMPUTED_VALUE"""),46187.0)</f>
        <v>46187</v>
      </c>
      <c r="C1754" s="122" t="str">
        <f>IFERROR(__xludf.DUMMYFUNCTION("""COMPUTED_VALUE"""),"GAME")</f>
        <v>GAME</v>
      </c>
      <c r="D1754" s="122" t="str">
        <f>IFERROR(__xludf.DUMMYFUNCTION("""COMPUTED_VALUE"""),"GameBox Media")</f>
        <v>GameBox Media</v>
      </c>
      <c r="E1754" s="122">
        <f>IFERROR(__xludf.DUMMYFUNCTION("""COMPUTED_VALUE"""),91.96)</f>
        <v>91.96</v>
      </c>
      <c r="F1754" s="122">
        <f>IFERROR(__xludf.DUMMYFUNCTION("""COMPUTED_VALUE"""),0.0093)</f>
        <v>0.0093</v>
      </c>
    </row>
    <row r="1755">
      <c r="A1755" s="131">
        <f>IFERROR(__xludf.DUMMYFUNCTION("""COMPUTED_VALUE"""),46187.37306712963)</f>
        <v>46187.37307</v>
      </c>
      <c r="B1755" s="126">
        <f>IFERROR(__xludf.DUMMYFUNCTION("""COMPUTED_VALUE"""),46187.0)</f>
        <v>46187</v>
      </c>
      <c r="C1755" s="122" t="str">
        <f>IFERROR(__xludf.DUMMYFUNCTION("""COMPUTED_VALUE"""),"VRSE")</f>
        <v>VRSE</v>
      </c>
      <c r="D1755" s="122" t="str">
        <f>IFERROR(__xludf.DUMMYFUNCTION("""COMPUTED_VALUE"""),"VerseVR")</f>
        <v>VerseVR</v>
      </c>
      <c r="E1755" s="122">
        <f>IFERROR(__xludf.DUMMYFUNCTION("""COMPUTED_VALUE"""),147.82)</f>
        <v>147.82</v>
      </c>
      <c r="F1755" s="122">
        <f>IFERROR(__xludf.DUMMYFUNCTION("""COMPUTED_VALUE"""),0.01)</f>
        <v>0.01</v>
      </c>
    </row>
    <row r="1756">
      <c r="A1756" s="131">
        <f>IFERROR(__xludf.DUMMYFUNCTION("""COMPUTED_VALUE"""),46187.37306712963)</f>
        <v>46187.37307</v>
      </c>
      <c r="B1756" s="126">
        <f>IFERROR(__xludf.DUMMYFUNCTION("""COMPUTED_VALUE"""),46187.0)</f>
        <v>46187</v>
      </c>
      <c r="C1756" s="122" t="str">
        <f>IFERROR(__xludf.DUMMYFUNCTION("""COMPUTED_VALUE"""),"BYTE")</f>
        <v>BYTE</v>
      </c>
      <c r="D1756" s="122" t="str">
        <f>IFERROR(__xludf.DUMMYFUNCTION("""COMPUTED_VALUE"""),"ByteWorks")</f>
        <v>ByteWorks</v>
      </c>
      <c r="E1756" s="122">
        <f>IFERROR(__xludf.DUMMYFUNCTION("""COMPUTED_VALUE"""),110.91)</f>
        <v>110.91</v>
      </c>
      <c r="F1756" s="122">
        <f>IFERROR(__xludf.DUMMYFUNCTION("""COMPUTED_VALUE"""),0.0023)</f>
        <v>0.0023</v>
      </c>
    </row>
    <row r="1757">
      <c r="A1757" s="131">
        <f>IFERROR(__xludf.DUMMYFUNCTION("""COMPUTED_VALUE"""),46187.37306712963)</f>
        <v>46187.37307</v>
      </c>
      <c r="B1757" s="126">
        <f>IFERROR(__xludf.DUMMYFUNCTION("""COMPUTED_VALUE"""),46187.0)</f>
        <v>46187</v>
      </c>
      <c r="C1757" s="122" t="str">
        <f>IFERROR(__xludf.DUMMYFUNCTION("""COMPUTED_VALUE"""),"BANK")</f>
        <v>BANK</v>
      </c>
      <c r="D1757" s="122" t="str">
        <f>IFERROR(__xludf.DUMMYFUNCTION("""COMPUTED_VALUE"""),"Tiger Bank")</f>
        <v>Tiger Bank</v>
      </c>
      <c r="E1757" s="122">
        <f>IFERROR(__xludf.DUMMYFUNCTION("""COMPUTED_VALUE"""),124.55)</f>
        <v>124.55</v>
      </c>
      <c r="F1757" s="122">
        <f>IFERROR(__xludf.DUMMYFUNCTION("""COMPUTED_VALUE"""),0.003)</f>
        <v>0.003</v>
      </c>
    </row>
    <row r="1758">
      <c r="A1758" s="131">
        <f>IFERROR(__xludf.DUMMYFUNCTION("""COMPUTED_VALUE"""),46187.37306712963)</f>
        <v>46187.37307</v>
      </c>
      <c r="B1758" s="126">
        <f>IFERROR(__xludf.DUMMYFUNCTION("""COMPUTED_VALUE"""),46187.0)</f>
        <v>46187</v>
      </c>
      <c r="C1758" s="122" t="str">
        <f>IFERROR(__xludf.DUMMYFUNCTION("""COMPUTED_VALUE"""),"CRED")</f>
        <v>CRED</v>
      </c>
      <c r="D1758" s="122" t="str">
        <f>IFERROR(__xludf.DUMMYFUNCTION("""COMPUTED_VALUE"""),"Credit Castle")</f>
        <v>Credit Castle</v>
      </c>
      <c r="E1758" s="122">
        <f>IFERROR(__xludf.DUMMYFUNCTION("""COMPUTED_VALUE"""),68.99)</f>
        <v>68.99</v>
      </c>
      <c r="F1758" s="122">
        <f>IFERROR(__xludf.DUMMYFUNCTION("""COMPUTED_VALUE"""),0.0031)</f>
        <v>0.0031</v>
      </c>
    </row>
    <row r="1759">
      <c r="A1759" s="131">
        <f>IFERROR(__xludf.DUMMYFUNCTION("""COMPUTED_VALUE"""),46187.37306712963)</f>
        <v>46187.37307</v>
      </c>
      <c r="B1759" s="126">
        <f>IFERROR(__xludf.DUMMYFUNCTION("""COMPUTED_VALUE"""),46187.0)</f>
        <v>46187</v>
      </c>
      <c r="C1759" s="122" t="str">
        <f>IFERROR(__xludf.DUMMYFUNCTION("""COMPUTED_VALUE"""),"BOND")</f>
        <v>BOND</v>
      </c>
      <c r="D1759" s="122" t="str">
        <f>IFERROR(__xludf.DUMMYFUNCTION("""COMPUTED_VALUE"""),"BondBridge")</f>
        <v>BondBridge</v>
      </c>
      <c r="E1759" s="122">
        <f>IFERROR(__xludf.DUMMYFUNCTION("""COMPUTED_VALUE"""),96.11)</f>
        <v>96.11</v>
      </c>
      <c r="F1759" s="122">
        <f>IFERROR(__xludf.DUMMYFUNCTION("""COMPUTED_VALUE"""),5.0E-4)</f>
        <v>0.0005</v>
      </c>
    </row>
    <row r="1760">
      <c r="A1760" s="131">
        <f>IFERROR(__xludf.DUMMYFUNCTION("""COMPUTED_VALUE"""),46187.37306712963)</f>
        <v>46187.37307</v>
      </c>
      <c r="B1760" s="126">
        <f>IFERROR(__xludf.DUMMYFUNCTION("""COMPUTED_VALUE"""),46187.0)</f>
        <v>46187</v>
      </c>
      <c r="C1760" s="122" t="str">
        <f>IFERROR(__xludf.DUMMYFUNCTION("""COMPUTED_VALUE"""),"INSR")</f>
        <v>INSR</v>
      </c>
      <c r="D1760" s="122" t="str">
        <f>IFERROR(__xludf.DUMMYFUNCTION("""COMPUTED_VALUE"""),"Shield Insurance")</f>
        <v>Shield Insurance</v>
      </c>
      <c r="E1760" s="122">
        <f>IFERROR(__xludf.DUMMYFUNCTION("""COMPUTED_VALUE"""),158.25)</f>
        <v>158.25</v>
      </c>
      <c r="F1760" s="122">
        <f>IFERROR(__xludf.DUMMYFUNCTION("""COMPUTED_VALUE"""),0.003)</f>
        <v>0.003</v>
      </c>
    </row>
    <row r="1761">
      <c r="A1761" s="131">
        <f>IFERROR(__xludf.DUMMYFUNCTION("""COMPUTED_VALUE"""),46187.37306712963)</f>
        <v>46187.37307</v>
      </c>
      <c r="B1761" s="126">
        <f>IFERROR(__xludf.DUMMYFUNCTION("""COMPUTED_VALUE"""),46187.0)</f>
        <v>46187</v>
      </c>
      <c r="C1761" s="122" t="str">
        <f>IFERROR(__xludf.DUMMYFUNCTION("""COMPUTED_VALUE"""),"LOAN")</f>
        <v>LOAN</v>
      </c>
      <c r="D1761" s="122" t="str">
        <f>IFERROR(__xludf.DUMMYFUNCTION("""COMPUTED_VALUE"""),"LoanLab")</f>
        <v>LoanLab</v>
      </c>
      <c r="E1761" s="122">
        <f>IFERROR(__xludf.DUMMYFUNCTION("""COMPUTED_VALUE"""),61.19)</f>
        <v>61.19</v>
      </c>
      <c r="F1761" s="122">
        <f>IFERROR(__xludf.DUMMYFUNCTION("""COMPUTED_VALUE"""),0.0076)</f>
        <v>0.0076</v>
      </c>
    </row>
    <row r="1762">
      <c r="A1762" s="131">
        <f>IFERROR(__xludf.DUMMYFUNCTION("""COMPUTED_VALUE"""),46187.37306712963)</f>
        <v>46187.37307</v>
      </c>
      <c r="B1762" s="126">
        <f>IFERROR(__xludf.DUMMYFUNCTION("""COMPUTED_VALUE"""),46187.0)</f>
        <v>46187</v>
      </c>
      <c r="C1762" s="122" t="str">
        <f>IFERROR(__xludf.DUMMYFUNCTION("""COMPUTED_VALUE"""),"LUXE")</f>
        <v>LUXE</v>
      </c>
      <c r="D1762" s="122" t="str">
        <f>IFERROR(__xludf.DUMMYFUNCTION("""COMPUTED_VALUE"""),"Luxury Locker")</f>
        <v>Luxury Locker</v>
      </c>
      <c r="E1762" s="122">
        <f>IFERROR(__xludf.DUMMYFUNCTION("""COMPUTED_VALUE"""),263.98)</f>
        <v>263.98</v>
      </c>
      <c r="F1762" s="122">
        <f>IFERROR(__xludf.DUMMYFUNCTION("""COMPUTED_VALUE"""),-0.0051)</f>
        <v>-0.0051</v>
      </c>
    </row>
    <row r="1763">
      <c r="A1763" s="131">
        <f>IFERROR(__xludf.DUMMYFUNCTION("""COMPUTED_VALUE"""),46187.37306712963)</f>
        <v>46187.37307</v>
      </c>
      <c r="B1763" s="126">
        <f>IFERROR(__xludf.DUMMYFUNCTION("""COMPUTED_VALUE"""),46187.0)</f>
        <v>46187</v>
      </c>
      <c r="C1763" s="122" t="str">
        <f>IFERROR(__xludf.DUMMYFUNCTION("""COMPUTED_VALUE"""),"DRIP")</f>
        <v>DRIP</v>
      </c>
      <c r="D1763" s="122" t="str">
        <f>IFERROR(__xludf.DUMMYFUNCTION("""COMPUTED_VALUE"""),"Drip Streetwear")</f>
        <v>Drip Streetwear</v>
      </c>
      <c r="E1763" s="122">
        <f>IFERROR(__xludf.DUMMYFUNCTION("""COMPUTED_VALUE"""),202.29)</f>
        <v>202.29</v>
      </c>
      <c r="F1763" s="122">
        <f>IFERROR(__xludf.DUMMYFUNCTION("""COMPUTED_VALUE"""),-0.0115)</f>
        <v>-0.0115</v>
      </c>
    </row>
    <row r="1764">
      <c r="A1764" s="131">
        <f>IFERROR(__xludf.DUMMYFUNCTION("""COMPUTED_VALUE"""),46187.37306712963)</f>
        <v>46187.37307</v>
      </c>
      <c r="B1764" s="126">
        <f>IFERROR(__xludf.DUMMYFUNCTION("""COMPUTED_VALUE"""),46187.0)</f>
        <v>46187</v>
      </c>
      <c r="C1764" s="122" t="str">
        <f>IFERROR(__xludf.DUMMYFUNCTION("""COMPUTED_VALUE"""),"KICK")</f>
        <v>KICK</v>
      </c>
      <c r="D1764" s="122" t="str">
        <f>IFERROR(__xludf.DUMMYFUNCTION("""COMPUTED_VALUE"""),"KickDrop Sneakers")</f>
        <v>KickDrop Sneakers</v>
      </c>
      <c r="E1764" s="122">
        <f>IFERROR(__xludf.DUMMYFUNCTION("""COMPUTED_VALUE"""),176.3)</f>
        <v>176.3</v>
      </c>
      <c r="F1764" s="122">
        <f>IFERROR(__xludf.DUMMYFUNCTION("""COMPUTED_VALUE"""),-0.0076)</f>
        <v>-0.0076</v>
      </c>
    </row>
    <row r="1765">
      <c r="A1765" s="131">
        <f>IFERROR(__xludf.DUMMYFUNCTION("""COMPUTED_VALUE"""),46187.37306712963)</f>
        <v>46187.37307</v>
      </c>
      <c r="B1765" s="126">
        <f>IFERROR(__xludf.DUMMYFUNCTION("""COMPUTED_VALUE"""),46187.0)</f>
        <v>46187</v>
      </c>
      <c r="C1765" s="122" t="str">
        <f>IFERROR(__xludf.DUMMYFUNCTION("""COMPUTED_VALUE"""),"GLAM")</f>
        <v>GLAM</v>
      </c>
      <c r="D1765" s="122" t="str">
        <f>IFERROR(__xludf.DUMMYFUNCTION("""COMPUTED_VALUE"""),"Glow Cosmetics")</f>
        <v>Glow Cosmetics</v>
      </c>
      <c r="E1765" s="122">
        <f>IFERROR(__xludf.DUMMYFUNCTION("""COMPUTED_VALUE"""),95.38)</f>
        <v>95.38</v>
      </c>
      <c r="F1765" s="122">
        <f>IFERROR(__xludf.DUMMYFUNCTION("""COMPUTED_VALUE"""),-3.0E-4)</f>
        <v>-0.0003</v>
      </c>
    </row>
    <row r="1766">
      <c r="A1766" s="131">
        <f>IFERROR(__xludf.DUMMYFUNCTION("""COMPUTED_VALUE"""),46187.37306712963)</f>
        <v>46187.37307</v>
      </c>
      <c r="B1766" s="126">
        <f>IFERROR(__xludf.DUMMYFUNCTION("""COMPUTED_VALUE"""),46187.0)</f>
        <v>46187</v>
      </c>
      <c r="C1766" s="122" t="str">
        <f>IFERROR(__xludf.DUMMYFUNCTION("""COMPUTED_VALUE"""),"BAGG")</f>
        <v>BAGG</v>
      </c>
      <c r="D1766" s="122" t="str">
        <f>IFERROR(__xludf.DUMMYFUNCTION("""COMPUTED_VALUE"""),"BagVault")</f>
        <v>BagVault</v>
      </c>
      <c r="E1766" s="122">
        <f>IFERROR(__xludf.DUMMYFUNCTION("""COMPUTED_VALUE"""),246.01)</f>
        <v>246.01</v>
      </c>
      <c r="F1766" s="122">
        <f>IFERROR(__xludf.DUMMYFUNCTION("""COMPUTED_VALUE"""),0.002)</f>
        <v>0.002</v>
      </c>
    </row>
    <row r="1767">
      <c r="A1767" s="131">
        <f>IFERROR(__xludf.DUMMYFUNCTION("""COMPUTED_VALUE"""),46187.37306712963)</f>
        <v>46187.37307</v>
      </c>
      <c r="B1767" s="126">
        <f>IFERROR(__xludf.DUMMYFUNCTION("""COMPUTED_VALUE"""),46187.0)</f>
        <v>46187</v>
      </c>
      <c r="C1767" s="122" t="str">
        <f>IFERROR(__xludf.DUMMYFUNCTION("""COMPUTED_VALUE"""),"FAST")</f>
        <v>FAST</v>
      </c>
      <c r="D1767" s="122" t="str">
        <f>IFERROR(__xludf.DUMMYFUNCTION("""COMPUTED_VALUE"""),"Flash Logistics")</f>
        <v>Flash Logistics</v>
      </c>
      <c r="E1767" s="122">
        <f>IFERROR(__xludf.DUMMYFUNCTION("""COMPUTED_VALUE"""),101.92)</f>
        <v>101.92</v>
      </c>
      <c r="F1767" s="122">
        <f>IFERROR(__xludf.DUMMYFUNCTION("""COMPUTED_VALUE"""),0.0017)</f>
        <v>0.0017</v>
      </c>
    </row>
    <row r="1768">
      <c r="A1768" s="131">
        <f>IFERROR(__xludf.DUMMYFUNCTION("""COMPUTED_VALUE"""),46187.37306712963)</f>
        <v>46187.37307</v>
      </c>
      <c r="B1768" s="126">
        <f>IFERROR(__xludf.DUMMYFUNCTION("""COMPUTED_VALUE"""),46187.0)</f>
        <v>46187</v>
      </c>
      <c r="C1768" s="122" t="str">
        <f>IFERROR(__xludf.DUMMYFUNCTION("""COMPUTED_VALUE"""),"SHIP")</f>
        <v>SHIP</v>
      </c>
      <c r="D1768" s="122" t="str">
        <f>IFERROR(__xludf.DUMMYFUNCTION("""COMPUTED_VALUE"""),"Seoul Shipping")</f>
        <v>Seoul Shipping</v>
      </c>
      <c r="E1768" s="122">
        <f>IFERROR(__xludf.DUMMYFUNCTION("""COMPUTED_VALUE"""),117.35)</f>
        <v>117.35</v>
      </c>
      <c r="F1768" s="122">
        <f>IFERROR(__xludf.DUMMYFUNCTION("""COMPUTED_VALUE"""),-0.0023)</f>
        <v>-0.0023</v>
      </c>
    </row>
    <row r="1769">
      <c r="A1769" s="131">
        <f>IFERROR(__xludf.DUMMYFUNCTION("""COMPUTED_VALUE"""),46187.37306712963)</f>
        <v>46187.37307</v>
      </c>
      <c r="B1769" s="126">
        <f>IFERROR(__xludf.DUMMYFUNCTION("""COMPUTED_VALUE"""),46187.0)</f>
        <v>46187</v>
      </c>
      <c r="C1769" s="122" t="str">
        <f>IFERROR(__xludf.DUMMYFUNCTION("""COMPUTED_VALUE"""),"DRON")</f>
        <v>DRON</v>
      </c>
      <c r="D1769" s="122" t="str">
        <f>IFERROR(__xludf.DUMMYFUNCTION("""COMPUTED_VALUE"""),"DroneDrop")</f>
        <v>DroneDrop</v>
      </c>
      <c r="E1769" s="122">
        <f>IFERROR(__xludf.DUMMYFUNCTION("""COMPUTED_VALUE"""),130.53)</f>
        <v>130.53</v>
      </c>
      <c r="F1769" s="122">
        <f>IFERROR(__xludf.DUMMYFUNCTION("""COMPUTED_VALUE"""),0.0021)</f>
        <v>0.0021</v>
      </c>
    </row>
    <row r="1770">
      <c r="A1770" s="131">
        <f>IFERROR(__xludf.DUMMYFUNCTION("""COMPUTED_VALUE"""),46187.37306712963)</f>
        <v>46187.37307</v>
      </c>
      <c r="B1770" s="126">
        <f>IFERROR(__xludf.DUMMYFUNCTION("""COMPUTED_VALUE"""),46187.0)</f>
        <v>46187</v>
      </c>
      <c r="C1770" s="122" t="str">
        <f>IFERROR(__xludf.DUMMYFUNCTION("""COMPUTED_VALUE"""),"RIDE")</f>
        <v>RIDE</v>
      </c>
      <c r="D1770" s="122" t="str">
        <f>IFERROR(__xludf.DUMMYFUNCTION("""COMPUTED_VALUE"""),"QuickRide")</f>
        <v>QuickRide</v>
      </c>
      <c r="E1770" s="122">
        <f>IFERROR(__xludf.DUMMYFUNCTION("""COMPUTED_VALUE"""),96.73)</f>
        <v>96.73</v>
      </c>
      <c r="F1770" s="122">
        <f>IFERROR(__xludf.DUMMYFUNCTION("""COMPUTED_VALUE"""),0.0097)</f>
        <v>0.0097</v>
      </c>
    </row>
    <row r="1771">
      <c r="A1771" s="131">
        <f>IFERROR(__xludf.DUMMYFUNCTION("""COMPUTED_VALUE"""),46187.37306712963)</f>
        <v>46187.37307</v>
      </c>
      <c r="B1771" s="126">
        <f>IFERROR(__xludf.DUMMYFUNCTION("""COMPUTED_VALUE"""),46187.0)</f>
        <v>46187</v>
      </c>
      <c r="C1771" s="122" t="str">
        <f>IFERROR(__xludf.DUMMYFUNCTION("""COMPUTED_VALUE"""),"RAIL")</f>
        <v>RAIL</v>
      </c>
      <c r="D1771" s="122" t="str">
        <f>IFERROR(__xludf.DUMMYFUNCTION("""COMPUTED_VALUE"""),"MetroRail Corp")</f>
        <v>MetroRail Corp</v>
      </c>
      <c r="E1771" s="122">
        <f>IFERROR(__xludf.DUMMYFUNCTION("""COMPUTED_VALUE"""),136.97)</f>
        <v>136.97</v>
      </c>
      <c r="F1771" s="122">
        <f>IFERROR(__xludf.DUMMYFUNCTION("""COMPUTED_VALUE"""),-0.004)</f>
        <v>-0.004</v>
      </c>
    </row>
    <row r="1772">
      <c r="A1772" s="131">
        <f>IFERROR(__xludf.DUMMYFUNCTION("""COMPUTED_VALUE"""),46187.37306712963)</f>
        <v>46187.37307</v>
      </c>
      <c r="B1772" s="126">
        <f>IFERROR(__xludf.DUMMYFUNCTION("""COMPUTED_VALUE"""),46187.0)</f>
        <v>46187</v>
      </c>
      <c r="C1772" s="122" t="str">
        <f>IFERROR(__xludf.DUMMYFUNCTION("""COMPUTED_VALUE"""),"MEDX")</f>
        <v>MEDX</v>
      </c>
      <c r="D1772" s="122" t="str">
        <f>IFERROR(__xludf.DUMMYFUNCTION("""COMPUTED_VALUE"""),"MediCore")</f>
        <v>MediCore</v>
      </c>
      <c r="E1772" s="122">
        <f>IFERROR(__xludf.DUMMYFUNCTION("""COMPUTED_VALUE"""),137.33)</f>
        <v>137.33</v>
      </c>
      <c r="F1772" s="122">
        <f>IFERROR(__xludf.DUMMYFUNCTION("""COMPUTED_VALUE"""),0.0011)</f>
        <v>0.0011</v>
      </c>
    </row>
    <row r="1773">
      <c r="A1773" s="131">
        <f>IFERROR(__xludf.DUMMYFUNCTION("""COMPUTED_VALUE"""),46187.37306712963)</f>
        <v>46187.37307</v>
      </c>
      <c r="B1773" s="126">
        <f>IFERROR(__xludf.DUMMYFUNCTION("""COMPUTED_VALUE"""),46187.0)</f>
        <v>46187</v>
      </c>
      <c r="C1773" s="122" t="str">
        <f>IFERROR(__xludf.DUMMYFUNCTION("""COMPUTED_VALUE"""),"GYMX")</f>
        <v>GYMX</v>
      </c>
      <c r="D1773" s="122" t="str">
        <f>IFERROR(__xludf.DUMMYFUNCTION("""COMPUTED_VALUE"""),"GymX Fitness")</f>
        <v>GymX Fitness</v>
      </c>
      <c r="E1773" s="122">
        <f>IFERROR(__xludf.DUMMYFUNCTION("""COMPUTED_VALUE"""),87.3)</f>
        <v>87.3</v>
      </c>
      <c r="F1773" s="122">
        <f>IFERROR(__xludf.DUMMYFUNCTION("""COMPUTED_VALUE"""),9.0E-4)</f>
        <v>0.0009</v>
      </c>
    </row>
    <row r="1774">
      <c r="A1774" s="131">
        <f>IFERROR(__xludf.DUMMYFUNCTION("""COMPUTED_VALUE"""),46187.37306712963)</f>
        <v>46187.37307</v>
      </c>
      <c r="B1774" s="126">
        <f>IFERROR(__xludf.DUMMYFUNCTION("""COMPUTED_VALUE"""),46187.0)</f>
        <v>46187</v>
      </c>
      <c r="C1774" s="122" t="str">
        <f>IFERROR(__xludf.DUMMYFUNCTION("""COMPUTED_VALUE"""),"VITA")</f>
        <v>VITA</v>
      </c>
      <c r="D1774" s="122" t="str">
        <f>IFERROR(__xludf.DUMMYFUNCTION("""COMPUTED_VALUE"""),"VitaPlus")</f>
        <v>VitaPlus</v>
      </c>
      <c r="E1774" s="122">
        <f>IFERROR(__xludf.DUMMYFUNCTION("""COMPUTED_VALUE"""),75.57)</f>
        <v>75.57</v>
      </c>
      <c r="F1774" s="122">
        <f>IFERROR(__xludf.DUMMYFUNCTION("""COMPUTED_VALUE"""),-0.0015)</f>
        <v>-0.0015</v>
      </c>
    </row>
    <row r="1775">
      <c r="A1775" s="131">
        <f>IFERROR(__xludf.DUMMYFUNCTION("""COMPUTED_VALUE"""),46187.37306712963)</f>
        <v>46187.37307</v>
      </c>
      <c r="B1775" s="126">
        <f>IFERROR(__xludf.DUMMYFUNCTION("""COMPUTED_VALUE"""),46187.0)</f>
        <v>46187</v>
      </c>
      <c r="C1775" s="122" t="str">
        <f>IFERROR(__xludf.DUMMYFUNCTION("""COMPUTED_VALUE"""),"CARE")</f>
        <v>CARE</v>
      </c>
      <c r="D1775" s="122" t="str">
        <f>IFERROR(__xludf.DUMMYFUNCTION("""COMPUTED_VALUE"""),"CareCloud")</f>
        <v>CareCloud</v>
      </c>
      <c r="E1775" s="122">
        <f>IFERROR(__xludf.DUMMYFUNCTION("""COMPUTED_VALUE"""),181.08)</f>
        <v>181.08</v>
      </c>
      <c r="F1775" s="122">
        <f>IFERROR(__xludf.DUMMYFUNCTION("""COMPUTED_VALUE"""),0.0015)</f>
        <v>0.0015</v>
      </c>
    </row>
    <row r="1776">
      <c r="A1776" s="131">
        <f>IFERROR(__xludf.DUMMYFUNCTION("""COMPUTED_VALUE"""),46187.37306712963)</f>
        <v>46187.37307</v>
      </c>
      <c r="B1776" s="126">
        <f>IFERROR(__xludf.DUMMYFUNCTION("""COMPUTED_VALUE"""),46187.0)</f>
        <v>46187</v>
      </c>
      <c r="C1776" s="122" t="str">
        <f>IFERROR(__xludf.DUMMYFUNCTION("""COMPUTED_VALUE"""),"DENT")</f>
        <v>DENT</v>
      </c>
      <c r="D1776" s="122" t="str">
        <f>IFERROR(__xludf.DUMMYFUNCTION("""COMPUTED_VALUE"""),"SmileWorks")</f>
        <v>SmileWorks</v>
      </c>
      <c r="E1776" s="122">
        <f>IFERROR(__xludf.DUMMYFUNCTION("""COMPUTED_VALUE"""),82.05)</f>
        <v>82.05</v>
      </c>
      <c r="F1776" s="122">
        <f>IFERROR(__xludf.DUMMYFUNCTION("""COMPUTED_VALUE"""),0.0066)</f>
        <v>0.0066</v>
      </c>
    </row>
    <row r="1777">
      <c r="A1777" s="131">
        <f>IFERROR(__xludf.DUMMYFUNCTION("""COMPUTED_VALUE"""),46187.37306712963)</f>
        <v>46187.37307</v>
      </c>
      <c r="B1777" s="126">
        <f>IFERROR(__xludf.DUMMYFUNCTION("""COMPUTED_VALUE"""),46187.0)</f>
        <v>46187</v>
      </c>
      <c r="C1777" s="122" t="str">
        <f>IFERROR(__xludf.DUMMYFUNCTION("""COMPUTED_VALUE"""),"EDUX")</f>
        <v>EDUX</v>
      </c>
      <c r="D1777" s="122" t="str">
        <f>IFERROR(__xludf.DUMMYFUNCTION("""COMPUTED_VALUE"""),"EduMax Learning")</f>
        <v>EduMax Learning</v>
      </c>
      <c r="E1777" s="122">
        <f>IFERROR(__xludf.DUMMYFUNCTION("""COMPUTED_VALUE"""),131.84)</f>
        <v>131.84</v>
      </c>
      <c r="F1777" s="122">
        <f>IFERROR(__xludf.DUMMYFUNCTION("""COMPUTED_VALUE"""),0.005)</f>
        <v>0.005</v>
      </c>
    </row>
    <row r="1778">
      <c r="A1778" s="131">
        <f>IFERROR(__xludf.DUMMYFUNCTION("""COMPUTED_VALUE"""),46187.37306712963)</f>
        <v>46187.37307</v>
      </c>
      <c r="B1778" s="126">
        <f>IFERROR(__xludf.DUMMYFUNCTION("""COMPUTED_VALUE"""),46187.0)</f>
        <v>46187</v>
      </c>
      <c r="C1778" s="122" t="str">
        <f>IFERROR(__xludf.DUMMYFUNCTION("""COMPUTED_VALUE"""),"BOOK")</f>
        <v>BOOK</v>
      </c>
      <c r="D1778" s="122" t="str">
        <f>IFERROR(__xludf.DUMMYFUNCTION("""COMPUTED_VALUE"""),"BookBridge")</f>
        <v>BookBridge</v>
      </c>
      <c r="E1778" s="122">
        <f>IFERROR(__xludf.DUMMYFUNCTION("""COMPUTED_VALUE"""),113.77)</f>
        <v>113.77</v>
      </c>
      <c r="F1778" s="122">
        <f>IFERROR(__xludf.DUMMYFUNCTION("""COMPUTED_VALUE"""),-0.0011)</f>
        <v>-0.0011</v>
      </c>
    </row>
    <row r="1779">
      <c r="A1779" s="131">
        <f>IFERROR(__xludf.DUMMYFUNCTION("""COMPUTED_VALUE"""),46187.37306712963)</f>
        <v>46187.37307</v>
      </c>
      <c r="B1779" s="126">
        <f>IFERROR(__xludf.DUMMYFUNCTION("""COMPUTED_VALUE"""),46187.0)</f>
        <v>46187</v>
      </c>
      <c r="C1779" s="122" t="str">
        <f>IFERROR(__xludf.DUMMYFUNCTION("""COMPUTED_VALUE"""),"TUTR")</f>
        <v>TUTR</v>
      </c>
      <c r="D1779" s="122" t="str">
        <f>IFERROR(__xludf.DUMMYFUNCTION("""COMPUTED_VALUE"""),"TutorTown")</f>
        <v>TutorTown</v>
      </c>
      <c r="E1779" s="122">
        <f>IFERROR(__xludf.DUMMYFUNCTION("""COMPUTED_VALUE"""),89.85)</f>
        <v>89.85</v>
      </c>
      <c r="F1779" s="122">
        <f>IFERROR(__xludf.DUMMYFUNCTION("""COMPUTED_VALUE"""),0.005)</f>
        <v>0.005</v>
      </c>
    </row>
    <row r="1780">
      <c r="A1780" s="131">
        <f>IFERROR(__xludf.DUMMYFUNCTION("""COMPUTED_VALUE"""),46187.37306712963)</f>
        <v>46187.37307</v>
      </c>
      <c r="B1780" s="126">
        <f>IFERROR(__xludf.DUMMYFUNCTION("""COMPUTED_VALUE"""),46187.0)</f>
        <v>46187</v>
      </c>
      <c r="C1780" s="122" t="str">
        <f>IFERROR(__xludf.DUMMYFUNCTION("""COMPUTED_VALUE"""),"LANG")</f>
        <v>LANG</v>
      </c>
      <c r="D1780" s="122" t="str">
        <f>IFERROR(__xludf.DUMMYFUNCTION("""COMPUTED_VALUE"""),"LinguaLab")</f>
        <v>LinguaLab</v>
      </c>
      <c r="E1780" s="122">
        <f>IFERROR(__xludf.DUMMYFUNCTION("""COMPUTED_VALUE"""),95.6)</f>
        <v>95.6</v>
      </c>
      <c r="F1780" s="122">
        <f>IFERROR(__xludf.DUMMYFUNCTION("""COMPUTED_VALUE"""),0.0031)</f>
        <v>0.0031</v>
      </c>
    </row>
    <row r="1781">
      <c r="A1781" s="131">
        <f>IFERROR(__xludf.DUMMYFUNCTION("""COMPUTED_VALUE"""),46187.37306712963)</f>
        <v>46187.37307</v>
      </c>
      <c r="B1781" s="126">
        <f>IFERROR(__xludf.DUMMYFUNCTION("""COMPUTED_VALUE"""),46187.0)</f>
        <v>46187</v>
      </c>
      <c r="C1781" s="122" t="str">
        <f>IFERROR(__xludf.DUMMYFUNCTION("""COMPUTED_VALUE"""),"TEST")</f>
        <v>TEST</v>
      </c>
      <c r="D1781" s="122" t="str">
        <f>IFERROR(__xludf.DUMMYFUNCTION("""COMPUTED_VALUE"""),"TestPrep Pro")</f>
        <v>TestPrep Pro</v>
      </c>
      <c r="E1781" s="122">
        <f>IFERROR(__xludf.DUMMYFUNCTION("""COMPUTED_VALUE"""),102.63)</f>
        <v>102.63</v>
      </c>
      <c r="F1781" s="122">
        <f>IFERROR(__xludf.DUMMYFUNCTION("""COMPUTED_VALUE"""),6.0E-4)</f>
        <v>0.0006</v>
      </c>
    </row>
    <row r="1782">
      <c r="A1782" s="131">
        <f>IFERROR(__xludf.DUMMYFUNCTION("""COMPUTED_VALUE"""),46187.37306712963)</f>
        <v>46187.37307</v>
      </c>
      <c r="B1782" s="126">
        <f>IFERROR(__xludf.DUMMYFUNCTION("""COMPUTED_VALUE"""),46187.0)</f>
        <v>46187</v>
      </c>
      <c r="C1782" s="122" t="str">
        <f>IFERROR(__xludf.DUMMYFUNCTION("""COMPUTED_VALUE"""),"MOVI")</f>
        <v>MOVI</v>
      </c>
      <c r="D1782" s="122" t="str">
        <f>IFERROR(__xludf.DUMMYFUNCTION("""COMPUTED_VALUE"""),"MovieBox")</f>
        <v>MovieBox</v>
      </c>
      <c r="E1782" s="122">
        <f>IFERROR(__xludf.DUMMYFUNCTION("""COMPUTED_VALUE"""),82.21)</f>
        <v>82.21</v>
      </c>
      <c r="F1782" s="122">
        <f>IFERROR(__xludf.DUMMYFUNCTION("""COMPUTED_VALUE"""),0.0031)</f>
        <v>0.0031</v>
      </c>
    </row>
    <row r="1783">
      <c r="A1783" s="131">
        <f>IFERROR(__xludf.DUMMYFUNCTION("""COMPUTED_VALUE"""),46187.37306712963)</f>
        <v>46187.37307</v>
      </c>
      <c r="B1783" s="126">
        <f>IFERROR(__xludf.DUMMYFUNCTION("""COMPUTED_VALUE"""),46187.0)</f>
        <v>46187</v>
      </c>
      <c r="C1783" s="122" t="str">
        <f>IFERROR(__xludf.DUMMYFUNCTION("""COMPUTED_VALUE"""),"MUSC")</f>
        <v>MUSC</v>
      </c>
      <c r="D1783" s="122" t="str">
        <f>IFERROR(__xludf.DUMMYFUNCTION("""COMPUTED_VALUE"""),"MusicWave")</f>
        <v>MusicWave</v>
      </c>
      <c r="E1783" s="122">
        <f>IFERROR(__xludf.DUMMYFUNCTION("""COMPUTED_VALUE"""),96.37)</f>
        <v>96.37</v>
      </c>
      <c r="F1783" s="122">
        <f>IFERROR(__xludf.DUMMYFUNCTION("""COMPUTED_VALUE"""),0.0045)</f>
        <v>0.0045</v>
      </c>
    </row>
    <row r="1784">
      <c r="A1784" s="131">
        <f>IFERROR(__xludf.DUMMYFUNCTION("""COMPUTED_VALUE"""),46187.37306712963)</f>
        <v>46187.37307</v>
      </c>
      <c r="B1784" s="126">
        <f>IFERROR(__xludf.DUMMYFUNCTION("""COMPUTED_VALUE"""),46187.0)</f>
        <v>46187</v>
      </c>
      <c r="C1784" s="122" t="str">
        <f>IFERROR(__xludf.DUMMYFUNCTION("""COMPUTED_VALUE"""),"IDOL")</f>
        <v>IDOL</v>
      </c>
      <c r="D1784" s="122" t="str">
        <f>IFERROR(__xludf.DUMMYFUNCTION("""COMPUTED_VALUE"""),"Idol Agency")</f>
        <v>Idol Agency</v>
      </c>
      <c r="E1784" s="122">
        <f>IFERROR(__xludf.DUMMYFUNCTION("""COMPUTED_VALUE"""),195.38)</f>
        <v>195.38</v>
      </c>
      <c r="F1784" s="122">
        <f>IFERROR(__xludf.DUMMYFUNCTION("""COMPUTED_VALUE"""),-0.0051)</f>
        <v>-0.0051</v>
      </c>
    </row>
    <row r="1785">
      <c r="A1785" s="131">
        <f>IFERROR(__xludf.DUMMYFUNCTION("""COMPUTED_VALUE"""),46187.37306712963)</f>
        <v>46187.37307</v>
      </c>
      <c r="B1785" s="126">
        <f>IFERROR(__xludf.DUMMYFUNCTION("""COMPUTED_VALUE"""),46187.0)</f>
        <v>46187</v>
      </c>
      <c r="C1785" s="122" t="str">
        <f>IFERROR(__xludf.DUMMYFUNCTION("""COMPUTED_VALUE"""),"MEME")</f>
        <v>MEME</v>
      </c>
      <c r="D1785" s="122" t="str">
        <f>IFERROR(__xludf.DUMMYFUNCTION("""COMPUTED_VALUE"""),"Meme Media")</f>
        <v>Meme Media</v>
      </c>
      <c r="E1785" s="122">
        <f>IFERROR(__xludf.DUMMYFUNCTION("""COMPUTED_VALUE"""),77.01)</f>
        <v>77.01</v>
      </c>
      <c r="F1785" s="122">
        <f>IFERROR(__xludf.DUMMYFUNCTION("""COMPUTED_VALUE"""),0.0072)</f>
        <v>0.0072</v>
      </c>
    </row>
    <row r="1786">
      <c r="A1786" s="131">
        <f>IFERROR(__xludf.DUMMYFUNCTION("""COMPUTED_VALUE"""),46187.37306712963)</f>
        <v>46187.37307</v>
      </c>
      <c r="B1786" s="126">
        <f>IFERROR(__xludf.DUMMYFUNCTION("""COMPUTED_VALUE"""),46187.0)</f>
        <v>46187</v>
      </c>
      <c r="C1786" s="122" t="str">
        <f>IFERROR(__xludf.DUMMYFUNCTION("""COMPUTED_VALUE"""),"STRM")</f>
        <v>STRM</v>
      </c>
      <c r="D1786" s="122" t="str">
        <f>IFERROR(__xludf.DUMMYFUNCTION("""COMPUTED_VALUE"""),"Streamly")</f>
        <v>Streamly</v>
      </c>
      <c r="E1786" s="122">
        <f>IFERROR(__xludf.DUMMYFUNCTION("""COMPUTED_VALUE"""),133.59)</f>
        <v>133.59</v>
      </c>
      <c r="F1786" s="122">
        <f>IFERROR(__xludf.DUMMYFUNCTION("""COMPUTED_VALUE"""),-0.0029)</f>
        <v>-0.0029</v>
      </c>
    </row>
    <row r="1787">
      <c r="A1787" s="131">
        <f>IFERROR(__xludf.DUMMYFUNCTION("""COMPUTED_VALUE"""),46187.37306712963)</f>
        <v>46187.37307</v>
      </c>
      <c r="B1787" s="126">
        <f>IFERROR(__xludf.DUMMYFUNCTION("""COMPUTED_VALUE"""),46187.0)</f>
        <v>46187</v>
      </c>
      <c r="C1787" s="122" t="str">
        <f>IFERROR(__xludf.DUMMYFUNCTION("""COMPUTED_VALUE"""),"FARM")</f>
        <v>FARM</v>
      </c>
      <c r="D1787" s="122" t="str">
        <f>IFERROR(__xludf.DUMMYFUNCTION("""COMPUTED_VALUE"""),"Future Farms")</f>
        <v>Future Farms</v>
      </c>
      <c r="E1787" s="122">
        <f>IFERROR(__xludf.DUMMYFUNCTION("""COMPUTED_VALUE"""),80.28)</f>
        <v>80.28</v>
      </c>
      <c r="F1787" s="122">
        <f>IFERROR(__xludf.DUMMYFUNCTION("""COMPUTED_VALUE"""),5.0E-4)</f>
        <v>0.0005</v>
      </c>
    </row>
    <row r="1788">
      <c r="A1788" s="131">
        <f>IFERROR(__xludf.DUMMYFUNCTION("""COMPUTED_VALUE"""),46187.37306712963)</f>
        <v>46187.37307</v>
      </c>
      <c r="B1788" s="126">
        <f>IFERROR(__xludf.DUMMYFUNCTION("""COMPUTED_VALUE"""),46187.0)</f>
        <v>46187</v>
      </c>
      <c r="C1788" s="122" t="str">
        <f>IFERROR(__xludf.DUMMYFUNCTION("""COMPUTED_VALUE"""),"MEAT")</f>
        <v>MEAT</v>
      </c>
      <c r="D1788" s="122" t="str">
        <f>IFERROR(__xludf.DUMMYFUNCTION("""COMPUTED_VALUE"""),"MeatWorks")</f>
        <v>MeatWorks</v>
      </c>
      <c r="E1788" s="122">
        <f>IFERROR(__xludf.DUMMYFUNCTION("""COMPUTED_VALUE"""),102.57)</f>
        <v>102.57</v>
      </c>
      <c r="F1788" s="122">
        <f>IFERROR(__xludf.DUMMYFUNCTION("""COMPUTED_VALUE"""),-0.0028)</f>
        <v>-0.0028</v>
      </c>
    </row>
    <row r="1789">
      <c r="A1789" s="131">
        <f>IFERROR(__xludf.DUMMYFUNCTION("""COMPUTED_VALUE"""),46187.37306712963)</f>
        <v>46187.37307</v>
      </c>
      <c r="B1789" s="126">
        <f>IFERROR(__xludf.DUMMYFUNCTION("""COMPUTED_VALUE"""),46187.0)</f>
        <v>46187</v>
      </c>
      <c r="C1789" s="122" t="str">
        <f>IFERROR(__xludf.DUMMYFUNCTION("""COMPUTED_VALUE"""),"VEGI")</f>
        <v>VEGI</v>
      </c>
      <c r="D1789" s="122" t="str">
        <f>IFERROR(__xludf.DUMMYFUNCTION("""COMPUTED_VALUE"""),"Green Basket")</f>
        <v>Green Basket</v>
      </c>
      <c r="E1789" s="122">
        <f>IFERROR(__xludf.DUMMYFUNCTION("""COMPUTED_VALUE"""),82.37)</f>
        <v>82.37</v>
      </c>
      <c r="F1789" s="122">
        <f>IFERROR(__xludf.DUMMYFUNCTION("""COMPUTED_VALUE"""),-0.0047)</f>
        <v>-0.0047</v>
      </c>
    </row>
    <row r="1790">
      <c r="A1790" s="131">
        <f>IFERROR(__xludf.DUMMYFUNCTION("""COMPUTED_VALUE"""),46187.37306712963)</f>
        <v>46187.37307</v>
      </c>
      <c r="B1790" s="126">
        <f>IFERROR(__xludf.DUMMYFUNCTION("""COMPUTED_VALUE"""),46187.0)</f>
        <v>46187</v>
      </c>
      <c r="C1790" s="122" t="str">
        <f>IFERROR(__xludf.DUMMYFUNCTION("""COMPUTED_VALUE"""),"CAFE")</f>
        <v>CAFE</v>
      </c>
      <c r="D1790" s="122" t="str">
        <f>IFERROR(__xludf.DUMMYFUNCTION("""COMPUTED_VALUE"""),"Cafe Cloud")</f>
        <v>Cafe Cloud</v>
      </c>
      <c r="E1790" s="122">
        <f>IFERROR(__xludf.DUMMYFUNCTION("""COMPUTED_VALUE"""),99.53)</f>
        <v>99.53</v>
      </c>
      <c r="F1790" s="122">
        <f>IFERROR(__xludf.DUMMYFUNCTION("""COMPUTED_VALUE"""),-0.0065)</f>
        <v>-0.0065</v>
      </c>
    </row>
    <row r="1791">
      <c r="A1791" s="131">
        <f>IFERROR(__xludf.DUMMYFUNCTION("""COMPUTED_VALUE"""),46187.37306712963)</f>
        <v>46187.37307</v>
      </c>
      <c r="B1791" s="126">
        <f>IFERROR(__xludf.DUMMYFUNCTION("""COMPUTED_VALUE"""),46187.0)</f>
        <v>46187</v>
      </c>
      <c r="C1791" s="122" t="str">
        <f>IFERROR(__xludf.DUMMYFUNCTION("""COMPUTED_VALUE"""),"BAKE")</f>
        <v>BAKE</v>
      </c>
      <c r="D1791" s="122" t="str">
        <f>IFERROR(__xludf.DUMMYFUNCTION("""COMPUTED_VALUE"""),"BakeHouse")</f>
        <v>BakeHouse</v>
      </c>
      <c r="E1791" s="122">
        <f>IFERROR(__xludf.DUMMYFUNCTION("""COMPUTED_VALUE"""),99.45)</f>
        <v>99.45</v>
      </c>
      <c r="F1791" s="122">
        <f>IFERROR(__xludf.DUMMYFUNCTION("""COMPUTED_VALUE"""),-0.0027)</f>
        <v>-0.0027</v>
      </c>
    </row>
    <row r="1792">
      <c r="A1792" s="131">
        <f>IFERROR(__xludf.DUMMYFUNCTION("""COMPUTED_VALUE"""),46187.37306712963)</f>
        <v>46187.37307</v>
      </c>
      <c r="B1792" s="126">
        <f>IFERROR(__xludf.DUMMYFUNCTION("""COMPUTED_VALUE"""),46187.0)</f>
        <v>46187</v>
      </c>
      <c r="C1792" s="122" t="str">
        <f>IFERROR(__xludf.DUMMYFUNCTION("""COMPUTED_VALUE"""),"OILX")</f>
        <v>OILX</v>
      </c>
      <c r="D1792" s="122" t="str">
        <f>IFERROR(__xludf.DUMMYFUNCTION("""COMPUTED_VALUE"""),"OilMax Energy")</f>
        <v>OilMax Energy</v>
      </c>
      <c r="E1792" s="122">
        <f>IFERROR(__xludf.DUMMYFUNCTION("""COMPUTED_VALUE"""),127.76)</f>
        <v>127.76</v>
      </c>
      <c r="F1792" s="122">
        <f>IFERROR(__xludf.DUMMYFUNCTION("""COMPUTED_VALUE"""),0.0096)</f>
        <v>0.0096</v>
      </c>
    </row>
    <row r="1793">
      <c r="A1793" s="131">
        <f>IFERROR(__xludf.DUMMYFUNCTION("""COMPUTED_VALUE"""),46187.37306712963)</f>
        <v>46187.37307</v>
      </c>
      <c r="B1793" s="126">
        <f>IFERROR(__xludf.DUMMYFUNCTION("""COMPUTED_VALUE"""),46187.0)</f>
        <v>46187</v>
      </c>
      <c r="C1793" s="122" t="str">
        <f>IFERROR(__xludf.DUMMYFUNCTION("""COMPUTED_VALUE"""),"SOLR")</f>
        <v>SOLR</v>
      </c>
      <c r="D1793" s="122" t="str">
        <f>IFERROR(__xludf.DUMMYFUNCTION("""COMPUTED_VALUE"""),"SolarSpark")</f>
        <v>SolarSpark</v>
      </c>
      <c r="E1793" s="122">
        <f>IFERROR(__xludf.DUMMYFUNCTION("""COMPUTED_VALUE"""),85.88)</f>
        <v>85.88</v>
      </c>
      <c r="F1793" s="122">
        <f>IFERROR(__xludf.DUMMYFUNCTION("""COMPUTED_VALUE"""),0.0056)</f>
        <v>0.0056</v>
      </c>
    </row>
    <row r="1794">
      <c r="A1794" s="131">
        <f>IFERROR(__xludf.DUMMYFUNCTION("""COMPUTED_VALUE"""),46187.37306712963)</f>
        <v>46187.37307</v>
      </c>
      <c r="B1794" s="126">
        <f>IFERROR(__xludf.DUMMYFUNCTION("""COMPUTED_VALUE"""),46187.0)</f>
        <v>46187</v>
      </c>
      <c r="C1794" s="122" t="str">
        <f>IFERROR(__xludf.DUMMYFUNCTION("""COMPUTED_VALUE"""),"BATT")</f>
        <v>BATT</v>
      </c>
      <c r="D1794" s="122" t="str">
        <f>IFERROR(__xludf.DUMMYFUNCTION("""COMPUTED_VALUE"""),"BatteryBox")</f>
        <v>BatteryBox</v>
      </c>
      <c r="E1794" s="122">
        <f>IFERROR(__xludf.DUMMYFUNCTION("""COMPUTED_VALUE"""),119.68)</f>
        <v>119.68</v>
      </c>
      <c r="F1794" s="122">
        <f>IFERROR(__xludf.DUMMYFUNCTION("""COMPUTED_VALUE"""),-0.0047)</f>
        <v>-0.0047</v>
      </c>
    </row>
    <row r="1795">
      <c r="A1795" s="131">
        <f>IFERROR(__xludf.DUMMYFUNCTION("""COMPUTED_VALUE"""),46187.37306712963)</f>
        <v>46187.37307</v>
      </c>
      <c r="B1795" s="126">
        <f>IFERROR(__xludf.DUMMYFUNCTION("""COMPUTED_VALUE"""),46187.0)</f>
        <v>46187</v>
      </c>
      <c r="C1795" s="122" t="str">
        <f>IFERROR(__xludf.DUMMYFUNCTION("""COMPUTED_VALUE"""),"WIND")</f>
        <v>WIND</v>
      </c>
      <c r="D1795" s="122" t="str">
        <f>IFERROR(__xludf.DUMMYFUNCTION("""COMPUTED_VALUE"""),"WindWorks")</f>
        <v>WindWorks</v>
      </c>
      <c r="E1795" s="122">
        <f>IFERROR(__xludf.DUMMYFUNCTION("""COMPUTED_VALUE"""),87.21)</f>
        <v>87.21</v>
      </c>
      <c r="F1795" s="122">
        <f>IFERROR(__xludf.DUMMYFUNCTION("""COMPUTED_VALUE"""),-0.0062)</f>
        <v>-0.0062</v>
      </c>
    </row>
    <row r="1796">
      <c r="A1796" s="131">
        <f>IFERROR(__xludf.DUMMYFUNCTION("""COMPUTED_VALUE"""),46187.37306712963)</f>
        <v>46187.37307</v>
      </c>
      <c r="B1796" s="126">
        <f>IFERROR(__xludf.DUMMYFUNCTION("""COMPUTED_VALUE"""),46187.0)</f>
        <v>46187</v>
      </c>
      <c r="C1796" s="122" t="str">
        <f>IFERROR(__xludf.DUMMYFUNCTION("""COMPUTED_VALUE"""),"GRID")</f>
        <v>GRID</v>
      </c>
      <c r="D1796" s="122" t="str">
        <f>IFERROR(__xludf.DUMMYFUNCTION("""COMPUTED_VALUE"""),"GridPower")</f>
        <v>GridPower</v>
      </c>
      <c r="E1796" s="122">
        <f>IFERROR(__xludf.DUMMYFUNCTION("""COMPUTED_VALUE"""),145.55)</f>
        <v>145.55</v>
      </c>
      <c r="F1796" s="122">
        <f>IFERROR(__xludf.DUMMYFUNCTION("""COMPUTED_VALUE"""),1.0E-4)</f>
        <v>0.0001</v>
      </c>
    </row>
    <row r="1797">
      <c r="A1797" s="131">
        <f>IFERROR(__xludf.DUMMYFUNCTION("""COMPUTED_VALUE"""),46187.37306712963)</f>
        <v>46187.37307</v>
      </c>
      <c r="B1797" s="126">
        <f>IFERROR(__xludf.DUMMYFUNCTION("""COMPUTED_VALUE"""),46187.0)</f>
        <v>46187</v>
      </c>
      <c r="C1797" s="122" t="str">
        <f>IFERROR(__xludf.DUMMYFUNCTION("""COMPUTED_VALUE"""),"HOME")</f>
        <v>HOME</v>
      </c>
      <c r="D1797" s="122" t="str">
        <f>IFERROR(__xludf.DUMMYFUNCTION("""COMPUTED_VALUE"""),"HomeHub")</f>
        <v>HomeHub</v>
      </c>
      <c r="E1797" s="122">
        <f>IFERROR(__xludf.DUMMYFUNCTION("""COMPUTED_VALUE"""),146.93)</f>
        <v>146.93</v>
      </c>
      <c r="F1797" s="122">
        <f>IFERROR(__xludf.DUMMYFUNCTION("""COMPUTED_VALUE"""),0.002)</f>
        <v>0.002</v>
      </c>
    </row>
    <row r="1798">
      <c r="A1798" s="131">
        <f>IFERROR(__xludf.DUMMYFUNCTION("""COMPUTED_VALUE"""),46187.37306712963)</f>
        <v>46187.37307</v>
      </c>
      <c r="B1798" s="126">
        <f>IFERROR(__xludf.DUMMYFUNCTION("""COMPUTED_VALUE"""),46187.0)</f>
        <v>46187</v>
      </c>
      <c r="C1798" s="122" t="str">
        <f>IFERROR(__xludf.DUMMYFUNCTION("""COMPUTED_VALUE"""),"RENT")</f>
        <v>RENT</v>
      </c>
      <c r="D1798" s="122" t="str">
        <f>IFERROR(__xludf.DUMMYFUNCTION("""COMPUTED_VALUE"""),"RentRight")</f>
        <v>RentRight</v>
      </c>
      <c r="E1798" s="122">
        <f>IFERROR(__xludf.DUMMYFUNCTION("""COMPUTED_VALUE"""),92.61)</f>
        <v>92.61</v>
      </c>
      <c r="F1798" s="122">
        <f>IFERROR(__xludf.DUMMYFUNCTION("""COMPUTED_VALUE"""),-0.0057)</f>
        <v>-0.0057</v>
      </c>
    </row>
    <row r="1799">
      <c r="A1799" s="131">
        <f>IFERROR(__xludf.DUMMYFUNCTION("""COMPUTED_VALUE"""),46187.37306712963)</f>
        <v>46187.37307</v>
      </c>
      <c r="B1799" s="126">
        <f>IFERROR(__xludf.DUMMYFUNCTION("""COMPUTED_VALUE"""),46187.0)</f>
        <v>46187</v>
      </c>
      <c r="C1799" s="122" t="str">
        <f>IFERROR(__xludf.DUMMYFUNCTION("""COMPUTED_VALUE"""),"MALL")</f>
        <v>MALL</v>
      </c>
      <c r="D1799" s="122" t="str">
        <f>IFERROR(__xludf.DUMMYFUNCTION("""COMPUTED_VALUE"""),"MegaMall")</f>
        <v>MegaMall</v>
      </c>
      <c r="E1799" s="122">
        <f>IFERROR(__xludf.DUMMYFUNCTION("""COMPUTED_VALUE"""),97.93)</f>
        <v>97.93</v>
      </c>
      <c r="F1799" s="122">
        <f>IFERROR(__xludf.DUMMYFUNCTION("""COMPUTED_VALUE"""),0.0018)</f>
        <v>0.0018</v>
      </c>
    </row>
    <row r="1800">
      <c r="A1800" s="131">
        <f>IFERROR(__xludf.DUMMYFUNCTION("""COMPUTED_VALUE"""),46187.37306712963)</f>
        <v>46187.37307</v>
      </c>
      <c r="B1800" s="126">
        <f>IFERROR(__xludf.DUMMYFUNCTION("""COMPUTED_VALUE"""),46187.0)</f>
        <v>46187</v>
      </c>
      <c r="C1800" s="122" t="str">
        <f>IFERROR(__xludf.DUMMYFUNCTION("""COMPUTED_VALUE"""),"HOTL")</f>
        <v>HOTL</v>
      </c>
      <c r="D1800" s="122" t="str">
        <f>IFERROR(__xludf.DUMMYFUNCTION("""COMPUTED_VALUE"""),"HotelHive")</f>
        <v>HotelHive</v>
      </c>
      <c r="E1800" s="122">
        <f>IFERROR(__xludf.DUMMYFUNCTION("""COMPUTED_VALUE"""),132.54)</f>
        <v>132.54</v>
      </c>
      <c r="F1800" s="122">
        <f>IFERROR(__xludf.DUMMYFUNCTION("""COMPUTED_VALUE"""),-0.0088)</f>
        <v>-0.0088</v>
      </c>
    </row>
    <row r="1801">
      <c r="A1801" s="131">
        <f>IFERROR(__xludf.DUMMYFUNCTION("""COMPUTED_VALUE"""),46187.37306712963)</f>
        <v>46187.37307</v>
      </c>
      <c r="B1801" s="126">
        <f>IFERROR(__xludf.DUMMYFUNCTION("""COMPUTED_VALUE"""),46187.0)</f>
        <v>46187</v>
      </c>
      <c r="C1801" s="122" t="str">
        <f>IFERROR(__xludf.DUMMYFUNCTION("""COMPUTED_VALUE"""),"LAND")</f>
        <v>LAND</v>
      </c>
      <c r="D1801" s="122" t="str">
        <f>IFERROR(__xludf.DUMMYFUNCTION("""COMPUTED_VALUE"""),"LandLink")</f>
        <v>LandLink</v>
      </c>
      <c r="E1801" s="122">
        <f>IFERROR(__xludf.DUMMYFUNCTION("""COMPUTED_VALUE"""),181.95)</f>
        <v>181.95</v>
      </c>
      <c r="F1801" s="122">
        <f>IFERROR(__xludf.DUMMYFUNCTION("""COMPUTED_VALUE"""),-1.0E-4)</f>
        <v>-0.0001</v>
      </c>
    </row>
    <row r="1802">
      <c r="A1802" s="131">
        <f>IFERROR(__xludf.DUMMYFUNCTION("""COMPUTED_VALUE"""),46187.37306712963)</f>
        <v>46187.37307</v>
      </c>
      <c r="B1802" s="126">
        <f>IFERROR(__xludf.DUMMYFUNCTION("""COMPUTED_VALUE"""),46187.0)</f>
        <v>46187</v>
      </c>
      <c r="C1802" s="122" t="str">
        <f>IFERROR(__xludf.DUMMYFUNCTION("""COMPUTED_VALUE"""),"CARS")</f>
        <v>CARS</v>
      </c>
      <c r="D1802" s="122" t="str">
        <f>IFERROR(__xludf.DUMMYFUNCTION("""COMPUTED_VALUE"""),"AutoArena")</f>
        <v>AutoArena</v>
      </c>
      <c r="E1802" s="122">
        <f>IFERROR(__xludf.DUMMYFUNCTION("""COMPUTED_VALUE"""),78.81)</f>
        <v>78.81</v>
      </c>
      <c r="F1802" s="122">
        <f>IFERROR(__xludf.DUMMYFUNCTION("""COMPUTED_VALUE"""),-0.0076)</f>
        <v>-0.0076</v>
      </c>
    </row>
    <row r="1803">
      <c r="A1803" s="131">
        <f>IFERROR(__xludf.DUMMYFUNCTION("""COMPUTED_VALUE"""),46187.37306712963)</f>
        <v>46187.37307</v>
      </c>
      <c r="B1803" s="126">
        <f>IFERROR(__xludf.DUMMYFUNCTION("""COMPUTED_VALUE"""),46187.0)</f>
        <v>46187</v>
      </c>
      <c r="C1803" s="122" t="str">
        <f>IFERROR(__xludf.DUMMYFUNCTION("""COMPUTED_VALUE"""),"EVGO")</f>
        <v>EVGO</v>
      </c>
      <c r="D1803" s="122" t="str">
        <f>IFERROR(__xludf.DUMMYFUNCTION("""COMPUTED_VALUE"""),"EVGo Motors")</f>
        <v>EVGo Motors</v>
      </c>
      <c r="E1803" s="122">
        <f>IFERROR(__xludf.DUMMYFUNCTION("""COMPUTED_VALUE"""),192.92)</f>
        <v>192.92</v>
      </c>
      <c r="F1803" s="122">
        <f>IFERROR(__xludf.DUMMYFUNCTION("""COMPUTED_VALUE"""),-0.0114)</f>
        <v>-0.0114</v>
      </c>
    </row>
    <row r="1804">
      <c r="A1804" s="131">
        <f>IFERROR(__xludf.DUMMYFUNCTION("""COMPUTED_VALUE"""),46187.37306712963)</f>
        <v>46187.37307</v>
      </c>
      <c r="B1804" s="126">
        <f>IFERROR(__xludf.DUMMYFUNCTION("""COMPUTED_VALUE"""),46187.0)</f>
        <v>46187</v>
      </c>
      <c r="C1804" s="122" t="str">
        <f>IFERROR(__xludf.DUMMYFUNCTION("""COMPUTED_VALUE"""),"TIRE")</f>
        <v>TIRE</v>
      </c>
      <c r="D1804" s="122" t="str">
        <f>IFERROR(__xludf.DUMMYFUNCTION("""COMPUTED_VALUE"""),"TireTown")</f>
        <v>TireTown</v>
      </c>
      <c r="E1804" s="122">
        <f>IFERROR(__xludf.DUMMYFUNCTION("""COMPUTED_VALUE"""),90.85)</f>
        <v>90.85</v>
      </c>
      <c r="F1804" s="122">
        <f>IFERROR(__xludf.DUMMYFUNCTION("""COMPUTED_VALUE"""),0.0033)</f>
        <v>0.0033</v>
      </c>
    </row>
    <row r="1805">
      <c r="A1805" s="131">
        <f>IFERROR(__xludf.DUMMYFUNCTION("""COMPUTED_VALUE"""),46187.37306712963)</f>
        <v>46187.37307</v>
      </c>
      <c r="B1805" s="126">
        <f>IFERROR(__xludf.DUMMYFUNCTION("""COMPUTED_VALUE"""),46187.0)</f>
        <v>46187</v>
      </c>
      <c r="C1805" s="122" t="str">
        <f>IFERROR(__xludf.DUMMYFUNCTION("""COMPUTED_VALUE"""),"BIKE")</f>
        <v>BIKE</v>
      </c>
      <c r="D1805" s="122" t="str">
        <f>IFERROR(__xludf.DUMMYFUNCTION("""COMPUTED_VALUE"""),"BikeBox")</f>
        <v>BikeBox</v>
      </c>
      <c r="E1805" s="122">
        <f>IFERROR(__xludf.DUMMYFUNCTION("""COMPUTED_VALUE"""),53.48)</f>
        <v>53.48</v>
      </c>
      <c r="F1805" s="122">
        <f>IFERROR(__xludf.DUMMYFUNCTION("""COMPUTED_VALUE"""),0.0039)</f>
        <v>0.0039</v>
      </c>
    </row>
    <row r="1806">
      <c r="A1806" s="131">
        <f>IFERROR(__xludf.DUMMYFUNCTION("""COMPUTED_VALUE"""),46187.37306712963)</f>
        <v>46187.37307</v>
      </c>
      <c r="B1806" s="126">
        <f>IFERROR(__xludf.DUMMYFUNCTION("""COMPUTED_VALUE"""),46187.0)</f>
        <v>46187</v>
      </c>
      <c r="C1806" s="122" t="str">
        <f>IFERROR(__xludf.DUMMYFUNCTION("""COMPUTED_VALUE"""),"WASH")</f>
        <v>WASH</v>
      </c>
      <c r="D1806" s="122" t="str">
        <f>IFERROR(__xludf.DUMMYFUNCTION("""COMPUTED_VALUE"""),"CarWash Co")</f>
        <v>CarWash Co</v>
      </c>
      <c r="E1806" s="122">
        <f>IFERROR(__xludf.DUMMYFUNCTION("""COMPUTED_VALUE"""),119.33)</f>
        <v>119.33</v>
      </c>
      <c r="F1806" s="122">
        <f>IFERROR(__xludf.DUMMYFUNCTION("""COMPUTED_VALUE"""),0.0039)</f>
        <v>0.0039</v>
      </c>
    </row>
    <row r="1807">
      <c r="A1807" s="131">
        <f>IFERROR(__xludf.DUMMYFUNCTION("""COMPUTED_VALUE"""),46187.37306712963)</f>
        <v>46187.37307</v>
      </c>
      <c r="B1807" s="126">
        <f>IFERROR(__xludf.DUMMYFUNCTION("""COMPUTED_VALUE"""),46187.0)</f>
        <v>46187</v>
      </c>
      <c r="C1807" s="122" t="str">
        <f>IFERROR(__xludf.DUMMYFUNCTION("""COMPUTED_VALUE"""),"GBND")</f>
        <v>GBND</v>
      </c>
      <c r="D1807" s="122" t="str">
        <f>IFERROR(__xludf.DUMMYFUNCTION("""COMPUTED_VALUE"""),"Classroom Government Bond")</f>
        <v>Classroom Government Bond</v>
      </c>
      <c r="E1807" s="122">
        <f>IFERROR(__xludf.DUMMYFUNCTION("""COMPUTED_VALUE"""),100.91)</f>
        <v>100.91</v>
      </c>
      <c r="F1807" s="122">
        <f>IFERROR(__xludf.DUMMYFUNCTION("""COMPUTED_VALUE"""),3.0E-4)</f>
        <v>0.0003</v>
      </c>
    </row>
    <row r="1808">
      <c r="A1808" s="131">
        <f>IFERROR(__xludf.DUMMYFUNCTION("""COMPUTED_VALUE"""),46187.37306712963)</f>
        <v>46187.37307</v>
      </c>
      <c r="B1808" s="126">
        <f>IFERROR(__xludf.DUMMYFUNCTION("""COMPUTED_VALUE"""),46187.0)</f>
        <v>46187</v>
      </c>
      <c r="C1808" s="122" t="str">
        <f>IFERROR(__xludf.DUMMYFUNCTION("""COMPUTED_VALUE"""),"SBND")</f>
        <v>SBND</v>
      </c>
      <c r="D1808" s="122" t="str">
        <f>IFERROR(__xludf.DUMMYFUNCTION("""COMPUTED_VALUE"""),"School Savings Bond")</f>
        <v>School Savings Bond</v>
      </c>
      <c r="E1808" s="122">
        <f>IFERROR(__xludf.DUMMYFUNCTION("""COMPUTED_VALUE"""),99.41)</f>
        <v>99.41</v>
      </c>
      <c r="F1808" s="122">
        <f>IFERROR(__xludf.DUMMYFUNCTION("""COMPUTED_VALUE"""),5.0E-4)</f>
        <v>0.0005</v>
      </c>
    </row>
    <row r="1809">
      <c r="A1809" s="131">
        <f>IFERROR(__xludf.DUMMYFUNCTION("""COMPUTED_VALUE"""),46187.37306712963)</f>
        <v>46187.37307</v>
      </c>
      <c r="B1809" s="126">
        <f>IFERROR(__xludf.DUMMYFUNCTION("""COMPUTED_VALUE"""),46187.0)</f>
        <v>46187</v>
      </c>
      <c r="C1809" s="122" t="str">
        <f>IFERROR(__xludf.DUMMYFUNCTION("""COMPUTED_VALUE"""),"CBND")</f>
        <v>CBND</v>
      </c>
      <c r="D1809" s="122" t="str">
        <f>IFERROR(__xludf.DUMMYFUNCTION("""COMPUTED_VALUE"""),"Corporate Classroom Bond")</f>
        <v>Corporate Classroom Bond</v>
      </c>
      <c r="E1809" s="122">
        <f>IFERROR(__xludf.DUMMYFUNCTION("""COMPUTED_VALUE"""),97.67)</f>
        <v>97.67</v>
      </c>
      <c r="F1809" s="122">
        <f>IFERROR(__xludf.DUMMYFUNCTION("""COMPUTED_VALUE"""),-1.0E-4)</f>
        <v>-0.0001</v>
      </c>
    </row>
    <row r="1810">
      <c r="A1810" s="131">
        <f>IFERROR(__xludf.DUMMYFUNCTION("""COMPUTED_VALUE"""),46187.37306712963)</f>
        <v>46187.37307</v>
      </c>
      <c r="B1810" s="126">
        <f>IFERROR(__xludf.DUMMYFUNCTION("""COMPUTED_VALUE"""),46187.0)</f>
        <v>46187</v>
      </c>
      <c r="C1810" s="122" t="str">
        <f>IFERROR(__xludf.DUMMYFUNCTION("""COMPUTED_VALUE"""),"TBIL")</f>
        <v>TBIL</v>
      </c>
      <c r="D1810" s="122" t="str">
        <f>IFERROR(__xludf.DUMMYFUNCTION("""COMPUTED_VALUE"""),"Treasury Bill")</f>
        <v>Treasury Bill</v>
      </c>
      <c r="E1810" s="122">
        <f>IFERROR(__xludf.DUMMYFUNCTION("""COMPUTED_VALUE"""),97.99)</f>
        <v>97.99</v>
      </c>
      <c r="F1810" s="122">
        <f>IFERROR(__xludf.DUMMYFUNCTION("""COMPUTED_VALUE"""),-5.0E-4)</f>
        <v>-0.0005</v>
      </c>
    </row>
    <row r="1811">
      <c r="A1811" s="131">
        <f>IFERROR(__xludf.DUMMYFUNCTION("""COMPUTED_VALUE"""),46187.37306712963)</f>
        <v>46187.37307</v>
      </c>
      <c r="B1811" s="126">
        <f>IFERROR(__xludf.DUMMYFUNCTION("""COMPUTED_VALUE"""),46187.0)</f>
        <v>46187</v>
      </c>
      <c r="C1811" s="122" t="str">
        <f>IFERROR(__xludf.DUMMYFUNCTION("""COMPUTED_VALUE"""),"IBND")</f>
        <v>IBND</v>
      </c>
      <c r="D1811" s="122" t="str">
        <f>IFERROR(__xludf.DUMMYFUNCTION("""COMPUTED_VALUE"""),"Inflation Protected Bond")</f>
        <v>Inflation Protected Bond</v>
      </c>
      <c r="E1811" s="122">
        <f>IFERROR(__xludf.DUMMYFUNCTION("""COMPUTED_VALUE"""),100.58)</f>
        <v>100.58</v>
      </c>
      <c r="F1811" s="122">
        <f>IFERROR(__xludf.DUMMYFUNCTION("""COMPUTED_VALUE"""),4.0E-4)</f>
        <v>0.0004</v>
      </c>
    </row>
    <row r="1812">
      <c r="A1812" s="131">
        <f>IFERROR(__xludf.DUMMYFUNCTION("""COMPUTED_VALUE"""),46187.37648148148)</f>
        <v>46187.37648</v>
      </c>
      <c r="B1812" s="126">
        <f>IFERROR(__xludf.DUMMYFUNCTION("""COMPUTED_VALUE"""),46187.0)</f>
        <v>46187</v>
      </c>
      <c r="C1812" s="122" t="str">
        <f>IFERROR(__xludf.DUMMYFUNCTION("""COMPUTED_VALUE"""),"SNAX")</f>
        <v>SNAX</v>
      </c>
      <c r="D1812" s="122" t="str">
        <f>IFERROR(__xludf.DUMMYFUNCTION("""COMPUTED_VALUE"""),"MICA Snacks")</f>
        <v>MICA Snacks</v>
      </c>
      <c r="E1812" s="122">
        <f>IFERROR(__xludf.DUMMYFUNCTION("""COMPUTED_VALUE"""),121.61)</f>
        <v>121.61</v>
      </c>
      <c r="F1812" s="122">
        <f>IFERROR(__xludf.DUMMYFUNCTION("""COMPUTED_VALUE"""),-0.0016)</f>
        <v>-0.0016</v>
      </c>
    </row>
    <row r="1813">
      <c r="A1813" s="131">
        <f>IFERROR(__xludf.DUMMYFUNCTION("""COMPUTED_VALUE"""),46187.37648148148)</f>
        <v>46187.37648</v>
      </c>
      <c r="B1813" s="126">
        <f>IFERROR(__xludf.DUMMYFUNCTION("""COMPUTED_VALUE"""),46187.0)</f>
        <v>46187</v>
      </c>
      <c r="C1813" s="122" t="str">
        <f>IFERROR(__xludf.DUMMYFUNCTION("""COMPUTED_VALUE"""),"RAMN")</f>
        <v>RAMN</v>
      </c>
      <c r="D1813" s="122" t="str">
        <f>IFERROR(__xludf.DUMMYFUNCTION("""COMPUTED_VALUE"""),"Ramen Republic")</f>
        <v>Ramen Republic</v>
      </c>
      <c r="E1813" s="122">
        <f>IFERROR(__xludf.DUMMYFUNCTION("""COMPUTED_VALUE"""),76.01)</f>
        <v>76.01</v>
      </c>
      <c r="F1813" s="122">
        <f>IFERROR(__xludf.DUMMYFUNCTION("""COMPUTED_VALUE"""),-0.0064)</f>
        <v>-0.0064</v>
      </c>
    </row>
    <row r="1814">
      <c r="A1814" s="131">
        <f>IFERROR(__xludf.DUMMYFUNCTION("""COMPUTED_VALUE"""),46187.37648148148)</f>
        <v>46187.37648</v>
      </c>
      <c r="B1814" s="126">
        <f>IFERROR(__xludf.DUMMYFUNCTION("""COMPUTED_VALUE"""),46187.0)</f>
        <v>46187</v>
      </c>
      <c r="C1814" s="122" t="str">
        <f>IFERROR(__xludf.DUMMYFUNCTION("""COMPUTED_VALUE"""),"COLA")</f>
        <v>COLA</v>
      </c>
      <c r="D1814" s="122" t="str">
        <f>IFERROR(__xludf.DUMMYFUNCTION("""COMPUTED_VALUE"""),"K-Pop Cola")</f>
        <v>K-Pop Cola</v>
      </c>
      <c r="E1814" s="122">
        <f>IFERROR(__xludf.DUMMYFUNCTION("""COMPUTED_VALUE"""),104.8)</f>
        <v>104.8</v>
      </c>
      <c r="F1814" s="122">
        <f>IFERROR(__xludf.DUMMYFUNCTION("""COMPUTED_VALUE"""),0.003)</f>
        <v>0.003</v>
      </c>
    </row>
    <row r="1815">
      <c r="A1815" s="131">
        <f>IFERROR(__xludf.DUMMYFUNCTION("""COMPUTED_VALUE"""),46187.37648148148)</f>
        <v>46187.37648</v>
      </c>
      <c r="B1815" s="126">
        <f>IFERROR(__xludf.DUMMYFUNCTION("""COMPUTED_VALUE"""),46187.0)</f>
        <v>46187</v>
      </c>
      <c r="C1815" s="122" t="str">
        <f>IFERROR(__xludf.DUMMYFUNCTION("""COMPUTED_VALUE"""),"CHIP")</f>
        <v>CHIP</v>
      </c>
      <c r="D1815" s="122" t="str">
        <f>IFERROR(__xludf.DUMMYFUNCTION("""COMPUTED_VALUE"""),"Chip Empire")</f>
        <v>Chip Empire</v>
      </c>
      <c r="E1815" s="122">
        <f>IFERROR(__xludf.DUMMYFUNCTION("""COMPUTED_VALUE"""),87.58)</f>
        <v>87.58</v>
      </c>
      <c r="F1815" s="122">
        <f>IFERROR(__xludf.DUMMYFUNCTION("""COMPUTED_VALUE"""),-0.0071)</f>
        <v>-0.0071</v>
      </c>
    </row>
    <row r="1816">
      <c r="A1816" s="131">
        <f>IFERROR(__xludf.DUMMYFUNCTION("""COMPUTED_VALUE"""),46187.37648148148)</f>
        <v>46187.37648</v>
      </c>
      <c r="B1816" s="126">
        <f>IFERROR(__xludf.DUMMYFUNCTION("""COMPUTED_VALUE"""),46187.0)</f>
        <v>46187</v>
      </c>
      <c r="C1816" s="122" t="str">
        <f>IFERROR(__xludf.DUMMYFUNCTION("""COMPUTED_VALUE"""),"CAND")</f>
        <v>CAND</v>
      </c>
      <c r="D1816" s="122" t="str">
        <f>IFERROR(__xludf.DUMMYFUNCTION("""COMPUTED_VALUE"""),"Candy Capital")</f>
        <v>Candy Capital</v>
      </c>
      <c r="E1816" s="122">
        <f>IFERROR(__xludf.DUMMYFUNCTION("""COMPUTED_VALUE"""),75.68)</f>
        <v>75.68</v>
      </c>
      <c r="F1816" s="122">
        <f>IFERROR(__xludf.DUMMYFUNCTION("""COMPUTED_VALUE"""),-0.0016)</f>
        <v>-0.0016</v>
      </c>
    </row>
    <row r="1817">
      <c r="A1817" s="131">
        <f>IFERROR(__xludf.DUMMYFUNCTION("""COMPUTED_VALUE"""),46187.37648148148)</f>
        <v>46187.37648</v>
      </c>
      <c r="B1817" s="126">
        <f>IFERROR(__xludf.DUMMYFUNCTION("""COMPUTED_VALUE"""),46187.0)</f>
        <v>46187</v>
      </c>
      <c r="C1817" s="122" t="str">
        <f>IFERROR(__xludf.DUMMYFUNCTION("""COMPUTED_VALUE"""),"TECH")</f>
        <v>TECH</v>
      </c>
      <c r="D1817" s="122" t="str">
        <f>IFERROR(__xludf.DUMMYFUNCTION("""COMPUTED_VALUE"""),"Dragon Tech")</f>
        <v>Dragon Tech</v>
      </c>
      <c r="E1817" s="122">
        <f>IFERROR(__xludf.DUMMYFUNCTION("""COMPUTED_VALUE"""),241.25)</f>
        <v>241.25</v>
      </c>
      <c r="F1817" s="122">
        <f>IFERROR(__xludf.DUMMYFUNCTION("""COMPUTED_VALUE"""),0.0023)</f>
        <v>0.0023</v>
      </c>
    </row>
    <row r="1818">
      <c r="A1818" s="131">
        <f>IFERROR(__xludf.DUMMYFUNCTION("""COMPUTED_VALUE"""),46187.37648148148)</f>
        <v>46187.37648</v>
      </c>
      <c r="B1818" s="126">
        <f>IFERROR(__xludf.DUMMYFUNCTION("""COMPUTED_VALUE"""),46187.0)</f>
        <v>46187</v>
      </c>
      <c r="C1818" s="122" t="str">
        <f>IFERROR(__xludf.DUMMYFUNCTION("""COMPUTED_VALUE"""),"AIBO")</f>
        <v>AIBO</v>
      </c>
      <c r="D1818" s="122" t="str">
        <f>IFERROR(__xludf.DUMMYFUNCTION("""COMPUTED_VALUE"""),"Homework AI")</f>
        <v>Homework AI</v>
      </c>
      <c r="E1818" s="122">
        <f>IFERROR(__xludf.DUMMYFUNCTION("""COMPUTED_VALUE"""),166.17)</f>
        <v>166.17</v>
      </c>
      <c r="F1818" s="122">
        <f>IFERROR(__xludf.DUMMYFUNCTION("""COMPUTED_VALUE"""),0.0143)</f>
        <v>0.0143</v>
      </c>
    </row>
    <row r="1819">
      <c r="A1819" s="131">
        <f>IFERROR(__xludf.DUMMYFUNCTION("""COMPUTED_VALUE"""),46187.37648148148)</f>
        <v>46187.37648</v>
      </c>
      <c r="B1819" s="126">
        <f>IFERROR(__xludf.DUMMYFUNCTION("""COMPUTED_VALUE"""),46187.0)</f>
        <v>46187</v>
      </c>
      <c r="C1819" s="122" t="str">
        <f>IFERROR(__xludf.DUMMYFUNCTION("""COMPUTED_VALUE"""),"GAME")</f>
        <v>GAME</v>
      </c>
      <c r="D1819" s="122" t="str">
        <f>IFERROR(__xludf.DUMMYFUNCTION("""COMPUTED_VALUE"""),"GameBox Media")</f>
        <v>GameBox Media</v>
      </c>
      <c r="E1819" s="122">
        <f>IFERROR(__xludf.DUMMYFUNCTION("""COMPUTED_VALUE"""),92.8)</f>
        <v>92.8</v>
      </c>
      <c r="F1819" s="122">
        <f>IFERROR(__xludf.DUMMYFUNCTION("""COMPUTED_VALUE"""),0.0091)</f>
        <v>0.0091</v>
      </c>
    </row>
    <row r="1820">
      <c r="A1820" s="131">
        <f>IFERROR(__xludf.DUMMYFUNCTION("""COMPUTED_VALUE"""),46187.37648148148)</f>
        <v>46187.37648</v>
      </c>
      <c r="B1820" s="126">
        <f>IFERROR(__xludf.DUMMYFUNCTION("""COMPUTED_VALUE"""),46187.0)</f>
        <v>46187</v>
      </c>
      <c r="C1820" s="122" t="str">
        <f>IFERROR(__xludf.DUMMYFUNCTION("""COMPUTED_VALUE"""),"VRSE")</f>
        <v>VRSE</v>
      </c>
      <c r="D1820" s="122" t="str">
        <f>IFERROR(__xludf.DUMMYFUNCTION("""COMPUTED_VALUE"""),"VerseVR")</f>
        <v>VerseVR</v>
      </c>
      <c r="E1820" s="122">
        <f>IFERROR(__xludf.DUMMYFUNCTION("""COMPUTED_VALUE"""),147.79)</f>
        <v>147.79</v>
      </c>
      <c r="F1820" s="122">
        <f>IFERROR(__xludf.DUMMYFUNCTION("""COMPUTED_VALUE"""),-2.0E-4)</f>
        <v>-0.0002</v>
      </c>
    </row>
    <row r="1821">
      <c r="A1821" s="131">
        <f>IFERROR(__xludf.DUMMYFUNCTION("""COMPUTED_VALUE"""),46187.37648148148)</f>
        <v>46187.37648</v>
      </c>
      <c r="B1821" s="126">
        <f>IFERROR(__xludf.DUMMYFUNCTION("""COMPUTED_VALUE"""),46187.0)</f>
        <v>46187</v>
      </c>
      <c r="C1821" s="122" t="str">
        <f>IFERROR(__xludf.DUMMYFUNCTION("""COMPUTED_VALUE"""),"BYTE")</f>
        <v>BYTE</v>
      </c>
      <c r="D1821" s="122" t="str">
        <f>IFERROR(__xludf.DUMMYFUNCTION("""COMPUTED_VALUE"""),"ByteWorks")</f>
        <v>ByteWorks</v>
      </c>
      <c r="E1821" s="122">
        <f>IFERROR(__xludf.DUMMYFUNCTION("""COMPUTED_VALUE"""),110.64)</f>
        <v>110.64</v>
      </c>
      <c r="F1821" s="122">
        <f>IFERROR(__xludf.DUMMYFUNCTION("""COMPUTED_VALUE"""),-0.0024)</f>
        <v>-0.0024</v>
      </c>
    </row>
    <row r="1822">
      <c r="A1822" s="131">
        <f>IFERROR(__xludf.DUMMYFUNCTION("""COMPUTED_VALUE"""),46187.37648148148)</f>
        <v>46187.37648</v>
      </c>
      <c r="B1822" s="126">
        <f>IFERROR(__xludf.DUMMYFUNCTION("""COMPUTED_VALUE"""),46187.0)</f>
        <v>46187</v>
      </c>
      <c r="C1822" s="122" t="str">
        <f>IFERROR(__xludf.DUMMYFUNCTION("""COMPUTED_VALUE"""),"BANK")</f>
        <v>BANK</v>
      </c>
      <c r="D1822" s="122" t="str">
        <f>IFERROR(__xludf.DUMMYFUNCTION("""COMPUTED_VALUE"""),"Tiger Bank")</f>
        <v>Tiger Bank</v>
      </c>
      <c r="E1822" s="122">
        <f>IFERROR(__xludf.DUMMYFUNCTION("""COMPUTED_VALUE"""),124.84)</f>
        <v>124.84</v>
      </c>
      <c r="F1822" s="122">
        <f>IFERROR(__xludf.DUMMYFUNCTION("""COMPUTED_VALUE"""),0.0023)</f>
        <v>0.0023</v>
      </c>
    </row>
    <row r="1823">
      <c r="A1823" s="131">
        <f>IFERROR(__xludf.DUMMYFUNCTION("""COMPUTED_VALUE"""),46187.37648148148)</f>
        <v>46187.37648</v>
      </c>
      <c r="B1823" s="126">
        <f>IFERROR(__xludf.DUMMYFUNCTION("""COMPUTED_VALUE"""),46187.0)</f>
        <v>46187</v>
      </c>
      <c r="C1823" s="122" t="str">
        <f>IFERROR(__xludf.DUMMYFUNCTION("""COMPUTED_VALUE"""),"CRED")</f>
        <v>CRED</v>
      </c>
      <c r="D1823" s="122" t="str">
        <f>IFERROR(__xludf.DUMMYFUNCTION("""COMPUTED_VALUE"""),"Credit Castle")</f>
        <v>Credit Castle</v>
      </c>
      <c r="E1823" s="122">
        <f>IFERROR(__xludf.DUMMYFUNCTION("""COMPUTED_VALUE"""),68.95)</f>
        <v>68.95</v>
      </c>
      <c r="F1823" s="122">
        <f>IFERROR(__xludf.DUMMYFUNCTION("""COMPUTED_VALUE"""),-6.0E-4)</f>
        <v>-0.0006</v>
      </c>
    </row>
    <row r="1824">
      <c r="A1824" s="131">
        <f>IFERROR(__xludf.DUMMYFUNCTION("""COMPUTED_VALUE"""),46187.37648148148)</f>
        <v>46187.37648</v>
      </c>
      <c r="B1824" s="126">
        <f>IFERROR(__xludf.DUMMYFUNCTION("""COMPUTED_VALUE"""),46187.0)</f>
        <v>46187</v>
      </c>
      <c r="C1824" s="122" t="str">
        <f>IFERROR(__xludf.DUMMYFUNCTION("""COMPUTED_VALUE"""),"BOND")</f>
        <v>BOND</v>
      </c>
      <c r="D1824" s="122" t="str">
        <f>IFERROR(__xludf.DUMMYFUNCTION("""COMPUTED_VALUE"""),"BondBridge")</f>
        <v>BondBridge</v>
      </c>
      <c r="E1824" s="122">
        <f>IFERROR(__xludf.DUMMYFUNCTION("""COMPUTED_VALUE"""),96.36)</f>
        <v>96.36</v>
      </c>
      <c r="F1824" s="122">
        <f>IFERROR(__xludf.DUMMYFUNCTION("""COMPUTED_VALUE"""),0.0026)</f>
        <v>0.0026</v>
      </c>
    </row>
    <row r="1825">
      <c r="A1825" s="131">
        <f>IFERROR(__xludf.DUMMYFUNCTION("""COMPUTED_VALUE"""),46187.37648148148)</f>
        <v>46187.37648</v>
      </c>
      <c r="B1825" s="126">
        <f>IFERROR(__xludf.DUMMYFUNCTION("""COMPUTED_VALUE"""),46187.0)</f>
        <v>46187</v>
      </c>
      <c r="C1825" s="122" t="str">
        <f>IFERROR(__xludf.DUMMYFUNCTION("""COMPUTED_VALUE"""),"INSR")</f>
        <v>INSR</v>
      </c>
      <c r="D1825" s="122" t="str">
        <f>IFERROR(__xludf.DUMMYFUNCTION("""COMPUTED_VALUE"""),"Shield Insurance")</f>
        <v>Shield Insurance</v>
      </c>
      <c r="E1825" s="122">
        <f>IFERROR(__xludf.DUMMYFUNCTION("""COMPUTED_VALUE"""),158.05)</f>
        <v>158.05</v>
      </c>
      <c r="F1825" s="122">
        <f>IFERROR(__xludf.DUMMYFUNCTION("""COMPUTED_VALUE"""),-0.0013)</f>
        <v>-0.0013</v>
      </c>
    </row>
    <row r="1826">
      <c r="A1826" s="131">
        <f>IFERROR(__xludf.DUMMYFUNCTION("""COMPUTED_VALUE"""),46187.37648148148)</f>
        <v>46187.37648</v>
      </c>
      <c r="B1826" s="126">
        <f>IFERROR(__xludf.DUMMYFUNCTION("""COMPUTED_VALUE"""),46187.0)</f>
        <v>46187</v>
      </c>
      <c r="C1826" s="122" t="str">
        <f>IFERROR(__xludf.DUMMYFUNCTION("""COMPUTED_VALUE"""),"LOAN")</f>
        <v>LOAN</v>
      </c>
      <c r="D1826" s="122" t="str">
        <f>IFERROR(__xludf.DUMMYFUNCTION("""COMPUTED_VALUE"""),"LoanLab")</f>
        <v>LoanLab</v>
      </c>
      <c r="E1826" s="122">
        <f>IFERROR(__xludf.DUMMYFUNCTION("""COMPUTED_VALUE"""),61.4)</f>
        <v>61.4</v>
      </c>
      <c r="F1826" s="122">
        <f>IFERROR(__xludf.DUMMYFUNCTION("""COMPUTED_VALUE"""),0.0034)</f>
        <v>0.0034</v>
      </c>
    </row>
    <row r="1827">
      <c r="A1827" s="131">
        <f>IFERROR(__xludf.DUMMYFUNCTION("""COMPUTED_VALUE"""),46187.37648148148)</f>
        <v>46187.37648</v>
      </c>
      <c r="B1827" s="126">
        <f>IFERROR(__xludf.DUMMYFUNCTION("""COMPUTED_VALUE"""),46187.0)</f>
        <v>46187</v>
      </c>
      <c r="C1827" s="122" t="str">
        <f>IFERROR(__xludf.DUMMYFUNCTION("""COMPUTED_VALUE"""),"LUXE")</f>
        <v>LUXE</v>
      </c>
      <c r="D1827" s="122" t="str">
        <f>IFERROR(__xludf.DUMMYFUNCTION("""COMPUTED_VALUE"""),"Luxury Locker")</f>
        <v>Luxury Locker</v>
      </c>
      <c r="E1827" s="122">
        <f>IFERROR(__xludf.DUMMYFUNCTION("""COMPUTED_VALUE"""),263.65)</f>
        <v>263.65</v>
      </c>
      <c r="F1827" s="122">
        <f>IFERROR(__xludf.DUMMYFUNCTION("""COMPUTED_VALUE"""),-0.0013)</f>
        <v>-0.0013</v>
      </c>
    </row>
    <row r="1828">
      <c r="A1828" s="131">
        <f>IFERROR(__xludf.DUMMYFUNCTION("""COMPUTED_VALUE"""),46187.37648148148)</f>
        <v>46187.37648</v>
      </c>
      <c r="B1828" s="126">
        <f>IFERROR(__xludf.DUMMYFUNCTION("""COMPUTED_VALUE"""),46187.0)</f>
        <v>46187</v>
      </c>
      <c r="C1828" s="122" t="str">
        <f>IFERROR(__xludf.DUMMYFUNCTION("""COMPUTED_VALUE"""),"DRIP")</f>
        <v>DRIP</v>
      </c>
      <c r="D1828" s="122" t="str">
        <f>IFERROR(__xludf.DUMMYFUNCTION("""COMPUTED_VALUE"""),"Drip Streetwear")</f>
        <v>Drip Streetwear</v>
      </c>
      <c r="E1828" s="122">
        <f>IFERROR(__xludf.DUMMYFUNCTION("""COMPUTED_VALUE"""),201.21)</f>
        <v>201.21</v>
      </c>
      <c r="F1828" s="122">
        <f>IFERROR(__xludf.DUMMYFUNCTION("""COMPUTED_VALUE"""),-0.0053)</f>
        <v>-0.0053</v>
      </c>
    </row>
    <row r="1829">
      <c r="A1829" s="131">
        <f>IFERROR(__xludf.DUMMYFUNCTION("""COMPUTED_VALUE"""),46187.37648148148)</f>
        <v>46187.37648</v>
      </c>
      <c r="B1829" s="126">
        <f>IFERROR(__xludf.DUMMYFUNCTION("""COMPUTED_VALUE"""),46187.0)</f>
        <v>46187</v>
      </c>
      <c r="C1829" s="122" t="str">
        <f>IFERROR(__xludf.DUMMYFUNCTION("""COMPUTED_VALUE"""),"KICK")</f>
        <v>KICK</v>
      </c>
      <c r="D1829" s="122" t="str">
        <f>IFERROR(__xludf.DUMMYFUNCTION("""COMPUTED_VALUE"""),"KickDrop Sneakers")</f>
        <v>KickDrop Sneakers</v>
      </c>
      <c r="E1829" s="122">
        <f>IFERROR(__xludf.DUMMYFUNCTION("""COMPUTED_VALUE"""),175.64)</f>
        <v>175.64</v>
      </c>
      <c r="F1829" s="122">
        <f>IFERROR(__xludf.DUMMYFUNCTION("""COMPUTED_VALUE"""),-0.0037)</f>
        <v>-0.0037</v>
      </c>
    </row>
    <row r="1830">
      <c r="A1830" s="131">
        <f>IFERROR(__xludf.DUMMYFUNCTION("""COMPUTED_VALUE"""),46187.37648148148)</f>
        <v>46187.37648</v>
      </c>
      <c r="B1830" s="126">
        <f>IFERROR(__xludf.DUMMYFUNCTION("""COMPUTED_VALUE"""),46187.0)</f>
        <v>46187</v>
      </c>
      <c r="C1830" s="122" t="str">
        <f>IFERROR(__xludf.DUMMYFUNCTION("""COMPUTED_VALUE"""),"GLAM")</f>
        <v>GLAM</v>
      </c>
      <c r="D1830" s="122" t="str">
        <f>IFERROR(__xludf.DUMMYFUNCTION("""COMPUTED_VALUE"""),"Glow Cosmetics")</f>
        <v>Glow Cosmetics</v>
      </c>
      <c r="E1830" s="122">
        <f>IFERROR(__xludf.DUMMYFUNCTION("""COMPUTED_VALUE"""),95.44)</f>
        <v>95.44</v>
      </c>
      <c r="F1830" s="122">
        <f>IFERROR(__xludf.DUMMYFUNCTION("""COMPUTED_VALUE"""),6.0E-4)</f>
        <v>0.0006</v>
      </c>
    </row>
    <row r="1831">
      <c r="A1831" s="131">
        <f>IFERROR(__xludf.DUMMYFUNCTION("""COMPUTED_VALUE"""),46187.37648148148)</f>
        <v>46187.37648</v>
      </c>
      <c r="B1831" s="126">
        <f>IFERROR(__xludf.DUMMYFUNCTION("""COMPUTED_VALUE"""),46187.0)</f>
        <v>46187</v>
      </c>
      <c r="C1831" s="122" t="str">
        <f>IFERROR(__xludf.DUMMYFUNCTION("""COMPUTED_VALUE"""),"BAGG")</f>
        <v>BAGG</v>
      </c>
      <c r="D1831" s="122" t="str">
        <f>IFERROR(__xludf.DUMMYFUNCTION("""COMPUTED_VALUE"""),"BagVault")</f>
        <v>BagVault</v>
      </c>
      <c r="E1831" s="122">
        <f>IFERROR(__xludf.DUMMYFUNCTION("""COMPUTED_VALUE"""),247.43)</f>
        <v>247.43</v>
      </c>
      <c r="F1831" s="122">
        <f>IFERROR(__xludf.DUMMYFUNCTION("""COMPUTED_VALUE"""),0.0058)</f>
        <v>0.0058</v>
      </c>
    </row>
    <row r="1832">
      <c r="A1832" s="131">
        <f>IFERROR(__xludf.DUMMYFUNCTION("""COMPUTED_VALUE"""),46187.37648148148)</f>
        <v>46187.37648</v>
      </c>
      <c r="B1832" s="126">
        <f>IFERROR(__xludf.DUMMYFUNCTION("""COMPUTED_VALUE"""),46187.0)</f>
        <v>46187</v>
      </c>
      <c r="C1832" s="122" t="str">
        <f>IFERROR(__xludf.DUMMYFUNCTION("""COMPUTED_VALUE"""),"FAST")</f>
        <v>FAST</v>
      </c>
      <c r="D1832" s="122" t="str">
        <f>IFERROR(__xludf.DUMMYFUNCTION("""COMPUTED_VALUE"""),"Flash Logistics")</f>
        <v>Flash Logistics</v>
      </c>
      <c r="E1832" s="122">
        <f>IFERROR(__xludf.DUMMYFUNCTION("""COMPUTED_VALUE"""),101.99)</f>
        <v>101.99</v>
      </c>
      <c r="F1832" s="122">
        <f>IFERROR(__xludf.DUMMYFUNCTION("""COMPUTED_VALUE"""),7.0E-4)</f>
        <v>0.0007</v>
      </c>
    </row>
    <row r="1833">
      <c r="A1833" s="131">
        <f>IFERROR(__xludf.DUMMYFUNCTION("""COMPUTED_VALUE"""),46187.37648148148)</f>
        <v>46187.37648</v>
      </c>
      <c r="B1833" s="126">
        <f>IFERROR(__xludf.DUMMYFUNCTION("""COMPUTED_VALUE"""),46187.0)</f>
        <v>46187</v>
      </c>
      <c r="C1833" s="122" t="str">
        <f>IFERROR(__xludf.DUMMYFUNCTION("""COMPUTED_VALUE"""),"SHIP")</f>
        <v>SHIP</v>
      </c>
      <c r="D1833" s="122" t="str">
        <f>IFERROR(__xludf.DUMMYFUNCTION("""COMPUTED_VALUE"""),"Seoul Shipping")</f>
        <v>Seoul Shipping</v>
      </c>
      <c r="E1833" s="122">
        <f>IFERROR(__xludf.DUMMYFUNCTION("""COMPUTED_VALUE"""),116.75)</f>
        <v>116.75</v>
      </c>
      <c r="F1833" s="122">
        <f>IFERROR(__xludf.DUMMYFUNCTION("""COMPUTED_VALUE"""),-0.0051)</f>
        <v>-0.0051</v>
      </c>
    </row>
    <row r="1834">
      <c r="A1834" s="131">
        <f>IFERROR(__xludf.DUMMYFUNCTION("""COMPUTED_VALUE"""),46187.37648148148)</f>
        <v>46187.37648</v>
      </c>
      <c r="B1834" s="126">
        <f>IFERROR(__xludf.DUMMYFUNCTION("""COMPUTED_VALUE"""),46187.0)</f>
        <v>46187</v>
      </c>
      <c r="C1834" s="122" t="str">
        <f>IFERROR(__xludf.DUMMYFUNCTION("""COMPUTED_VALUE"""),"DRON")</f>
        <v>DRON</v>
      </c>
      <c r="D1834" s="122" t="str">
        <f>IFERROR(__xludf.DUMMYFUNCTION("""COMPUTED_VALUE"""),"DroneDrop")</f>
        <v>DroneDrop</v>
      </c>
      <c r="E1834" s="122">
        <f>IFERROR(__xludf.DUMMYFUNCTION("""COMPUTED_VALUE"""),131.22)</f>
        <v>131.22</v>
      </c>
      <c r="F1834" s="122">
        <f>IFERROR(__xludf.DUMMYFUNCTION("""COMPUTED_VALUE"""),0.0053)</f>
        <v>0.0053</v>
      </c>
    </row>
    <row r="1835">
      <c r="A1835" s="131">
        <f>IFERROR(__xludf.DUMMYFUNCTION("""COMPUTED_VALUE"""),46187.37648148148)</f>
        <v>46187.37648</v>
      </c>
      <c r="B1835" s="126">
        <f>IFERROR(__xludf.DUMMYFUNCTION("""COMPUTED_VALUE"""),46187.0)</f>
        <v>46187</v>
      </c>
      <c r="C1835" s="122" t="str">
        <f>IFERROR(__xludf.DUMMYFUNCTION("""COMPUTED_VALUE"""),"RIDE")</f>
        <v>RIDE</v>
      </c>
      <c r="D1835" s="122" t="str">
        <f>IFERROR(__xludf.DUMMYFUNCTION("""COMPUTED_VALUE"""),"QuickRide")</f>
        <v>QuickRide</v>
      </c>
      <c r="E1835" s="122">
        <f>IFERROR(__xludf.DUMMYFUNCTION("""COMPUTED_VALUE"""),96.64)</f>
        <v>96.64</v>
      </c>
      <c r="F1835" s="122">
        <f>IFERROR(__xludf.DUMMYFUNCTION("""COMPUTED_VALUE"""),-9.0E-4)</f>
        <v>-0.0009</v>
      </c>
    </row>
    <row r="1836">
      <c r="A1836" s="131">
        <f>IFERROR(__xludf.DUMMYFUNCTION("""COMPUTED_VALUE"""),46187.37648148148)</f>
        <v>46187.37648</v>
      </c>
      <c r="B1836" s="126">
        <f>IFERROR(__xludf.DUMMYFUNCTION("""COMPUTED_VALUE"""),46187.0)</f>
        <v>46187</v>
      </c>
      <c r="C1836" s="122" t="str">
        <f>IFERROR(__xludf.DUMMYFUNCTION("""COMPUTED_VALUE"""),"RAIL")</f>
        <v>RAIL</v>
      </c>
      <c r="D1836" s="122" t="str">
        <f>IFERROR(__xludf.DUMMYFUNCTION("""COMPUTED_VALUE"""),"MetroRail Corp")</f>
        <v>MetroRail Corp</v>
      </c>
      <c r="E1836" s="122">
        <f>IFERROR(__xludf.DUMMYFUNCTION("""COMPUTED_VALUE"""),136.95)</f>
        <v>136.95</v>
      </c>
      <c r="F1836" s="122">
        <f>IFERROR(__xludf.DUMMYFUNCTION("""COMPUTED_VALUE"""),-1.0E-4)</f>
        <v>-0.0001</v>
      </c>
    </row>
    <row r="1837">
      <c r="A1837" s="131">
        <f>IFERROR(__xludf.DUMMYFUNCTION("""COMPUTED_VALUE"""),46187.37648148148)</f>
        <v>46187.37648</v>
      </c>
      <c r="B1837" s="126">
        <f>IFERROR(__xludf.DUMMYFUNCTION("""COMPUTED_VALUE"""),46187.0)</f>
        <v>46187</v>
      </c>
      <c r="C1837" s="122" t="str">
        <f>IFERROR(__xludf.DUMMYFUNCTION("""COMPUTED_VALUE"""),"MEDX")</f>
        <v>MEDX</v>
      </c>
      <c r="D1837" s="122" t="str">
        <f>IFERROR(__xludf.DUMMYFUNCTION("""COMPUTED_VALUE"""),"MediCore")</f>
        <v>MediCore</v>
      </c>
      <c r="E1837" s="122">
        <f>IFERROR(__xludf.DUMMYFUNCTION("""COMPUTED_VALUE"""),136.86)</f>
        <v>136.86</v>
      </c>
      <c r="F1837" s="122">
        <f>IFERROR(__xludf.DUMMYFUNCTION("""COMPUTED_VALUE"""),-0.0034)</f>
        <v>-0.0034</v>
      </c>
    </row>
    <row r="1838">
      <c r="A1838" s="131">
        <f>IFERROR(__xludf.DUMMYFUNCTION("""COMPUTED_VALUE"""),46187.37648148148)</f>
        <v>46187.37648</v>
      </c>
      <c r="B1838" s="126">
        <f>IFERROR(__xludf.DUMMYFUNCTION("""COMPUTED_VALUE"""),46187.0)</f>
        <v>46187</v>
      </c>
      <c r="C1838" s="122" t="str">
        <f>IFERROR(__xludf.DUMMYFUNCTION("""COMPUTED_VALUE"""),"GYMX")</f>
        <v>GYMX</v>
      </c>
      <c r="D1838" s="122" t="str">
        <f>IFERROR(__xludf.DUMMYFUNCTION("""COMPUTED_VALUE"""),"GymX Fitness")</f>
        <v>GymX Fitness</v>
      </c>
      <c r="E1838" s="122">
        <f>IFERROR(__xludf.DUMMYFUNCTION("""COMPUTED_VALUE"""),87.68)</f>
        <v>87.68</v>
      </c>
      <c r="F1838" s="122">
        <f>IFERROR(__xludf.DUMMYFUNCTION("""COMPUTED_VALUE"""),0.0044)</f>
        <v>0.0044</v>
      </c>
    </row>
    <row r="1839">
      <c r="A1839" s="131">
        <f>IFERROR(__xludf.DUMMYFUNCTION("""COMPUTED_VALUE"""),46187.37648148148)</f>
        <v>46187.37648</v>
      </c>
      <c r="B1839" s="126">
        <f>IFERROR(__xludf.DUMMYFUNCTION("""COMPUTED_VALUE"""),46187.0)</f>
        <v>46187</v>
      </c>
      <c r="C1839" s="122" t="str">
        <f>IFERROR(__xludf.DUMMYFUNCTION("""COMPUTED_VALUE"""),"VITA")</f>
        <v>VITA</v>
      </c>
      <c r="D1839" s="122" t="str">
        <f>IFERROR(__xludf.DUMMYFUNCTION("""COMPUTED_VALUE"""),"VitaPlus")</f>
        <v>VitaPlus</v>
      </c>
      <c r="E1839" s="122">
        <f>IFERROR(__xludf.DUMMYFUNCTION("""COMPUTED_VALUE"""),76.02)</f>
        <v>76.02</v>
      </c>
      <c r="F1839" s="122">
        <f>IFERROR(__xludf.DUMMYFUNCTION("""COMPUTED_VALUE"""),0.006)</f>
        <v>0.006</v>
      </c>
    </row>
    <row r="1840">
      <c r="A1840" s="131">
        <f>IFERROR(__xludf.DUMMYFUNCTION("""COMPUTED_VALUE"""),46187.37648148148)</f>
        <v>46187.37648</v>
      </c>
      <c r="B1840" s="126">
        <f>IFERROR(__xludf.DUMMYFUNCTION("""COMPUTED_VALUE"""),46187.0)</f>
        <v>46187</v>
      </c>
      <c r="C1840" s="122" t="str">
        <f>IFERROR(__xludf.DUMMYFUNCTION("""COMPUTED_VALUE"""),"CARE")</f>
        <v>CARE</v>
      </c>
      <c r="D1840" s="122" t="str">
        <f>IFERROR(__xludf.DUMMYFUNCTION("""COMPUTED_VALUE"""),"CareCloud")</f>
        <v>CareCloud</v>
      </c>
      <c r="E1840" s="122">
        <f>IFERROR(__xludf.DUMMYFUNCTION("""COMPUTED_VALUE"""),181.85)</f>
        <v>181.85</v>
      </c>
      <c r="F1840" s="122">
        <f>IFERROR(__xludf.DUMMYFUNCTION("""COMPUTED_VALUE"""),0.0043)</f>
        <v>0.0043</v>
      </c>
    </row>
    <row r="1841">
      <c r="A1841" s="131">
        <f>IFERROR(__xludf.DUMMYFUNCTION("""COMPUTED_VALUE"""),46187.37648148148)</f>
        <v>46187.37648</v>
      </c>
      <c r="B1841" s="126">
        <f>IFERROR(__xludf.DUMMYFUNCTION("""COMPUTED_VALUE"""),46187.0)</f>
        <v>46187</v>
      </c>
      <c r="C1841" s="122" t="str">
        <f>IFERROR(__xludf.DUMMYFUNCTION("""COMPUTED_VALUE"""),"DENT")</f>
        <v>DENT</v>
      </c>
      <c r="D1841" s="122" t="str">
        <f>IFERROR(__xludf.DUMMYFUNCTION("""COMPUTED_VALUE"""),"SmileWorks")</f>
        <v>SmileWorks</v>
      </c>
      <c r="E1841" s="122">
        <f>IFERROR(__xludf.DUMMYFUNCTION("""COMPUTED_VALUE"""),82.11)</f>
        <v>82.11</v>
      </c>
      <c r="F1841" s="122">
        <f>IFERROR(__xludf.DUMMYFUNCTION("""COMPUTED_VALUE"""),7.0E-4)</f>
        <v>0.0007</v>
      </c>
    </row>
    <row r="1842">
      <c r="A1842" s="131">
        <f>IFERROR(__xludf.DUMMYFUNCTION("""COMPUTED_VALUE"""),46187.37648148148)</f>
        <v>46187.37648</v>
      </c>
      <c r="B1842" s="126">
        <f>IFERROR(__xludf.DUMMYFUNCTION("""COMPUTED_VALUE"""),46187.0)</f>
        <v>46187</v>
      </c>
      <c r="C1842" s="122" t="str">
        <f>IFERROR(__xludf.DUMMYFUNCTION("""COMPUTED_VALUE"""),"EDUX")</f>
        <v>EDUX</v>
      </c>
      <c r="D1842" s="122" t="str">
        <f>IFERROR(__xludf.DUMMYFUNCTION("""COMPUTED_VALUE"""),"EduMax Learning")</f>
        <v>EduMax Learning</v>
      </c>
      <c r="E1842" s="122">
        <f>IFERROR(__xludf.DUMMYFUNCTION("""COMPUTED_VALUE"""),131.18)</f>
        <v>131.18</v>
      </c>
      <c r="F1842" s="122">
        <f>IFERROR(__xludf.DUMMYFUNCTION("""COMPUTED_VALUE"""),-0.005)</f>
        <v>-0.005</v>
      </c>
    </row>
    <row r="1843">
      <c r="A1843" s="131">
        <f>IFERROR(__xludf.DUMMYFUNCTION("""COMPUTED_VALUE"""),46187.37648148148)</f>
        <v>46187.37648</v>
      </c>
      <c r="B1843" s="126">
        <f>IFERROR(__xludf.DUMMYFUNCTION("""COMPUTED_VALUE"""),46187.0)</f>
        <v>46187</v>
      </c>
      <c r="C1843" s="122" t="str">
        <f>IFERROR(__xludf.DUMMYFUNCTION("""COMPUTED_VALUE"""),"BOOK")</f>
        <v>BOOK</v>
      </c>
      <c r="D1843" s="122" t="str">
        <f>IFERROR(__xludf.DUMMYFUNCTION("""COMPUTED_VALUE"""),"BookBridge")</f>
        <v>BookBridge</v>
      </c>
      <c r="E1843" s="122">
        <f>IFERROR(__xludf.DUMMYFUNCTION("""COMPUTED_VALUE"""),113.7)</f>
        <v>113.7</v>
      </c>
      <c r="F1843" s="122">
        <f>IFERROR(__xludf.DUMMYFUNCTION("""COMPUTED_VALUE"""),-6.0E-4)</f>
        <v>-0.0006</v>
      </c>
    </row>
    <row r="1844">
      <c r="A1844" s="131">
        <f>IFERROR(__xludf.DUMMYFUNCTION("""COMPUTED_VALUE"""),46187.37648148148)</f>
        <v>46187.37648</v>
      </c>
      <c r="B1844" s="126">
        <f>IFERROR(__xludf.DUMMYFUNCTION("""COMPUTED_VALUE"""),46187.0)</f>
        <v>46187</v>
      </c>
      <c r="C1844" s="122" t="str">
        <f>IFERROR(__xludf.DUMMYFUNCTION("""COMPUTED_VALUE"""),"TUTR")</f>
        <v>TUTR</v>
      </c>
      <c r="D1844" s="122" t="str">
        <f>IFERROR(__xludf.DUMMYFUNCTION("""COMPUTED_VALUE"""),"TutorTown")</f>
        <v>TutorTown</v>
      </c>
      <c r="E1844" s="122">
        <f>IFERROR(__xludf.DUMMYFUNCTION("""COMPUTED_VALUE"""),89.28)</f>
        <v>89.28</v>
      </c>
      <c r="F1844" s="122">
        <f>IFERROR(__xludf.DUMMYFUNCTION("""COMPUTED_VALUE"""),-0.0063)</f>
        <v>-0.0063</v>
      </c>
    </row>
    <row r="1845">
      <c r="A1845" s="131">
        <f>IFERROR(__xludf.DUMMYFUNCTION("""COMPUTED_VALUE"""),46187.37648148148)</f>
        <v>46187.37648</v>
      </c>
      <c r="B1845" s="126">
        <f>IFERROR(__xludf.DUMMYFUNCTION("""COMPUTED_VALUE"""),46187.0)</f>
        <v>46187</v>
      </c>
      <c r="C1845" s="122" t="str">
        <f>IFERROR(__xludf.DUMMYFUNCTION("""COMPUTED_VALUE"""),"LANG")</f>
        <v>LANG</v>
      </c>
      <c r="D1845" s="122" t="str">
        <f>IFERROR(__xludf.DUMMYFUNCTION("""COMPUTED_VALUE"""),"LinguaLab")</f>
        <v>LinguaLab</v>
      </c>
      <c r="E1845" s="122">
        <f>IFERROR(__xludf.DUMMYFUNCTION("""COMPUTED_VALUE"""),96.07)</f>
        <v>96.07</v>
      </c>
      <c r="F1845" s="122">
        <f>IFERROR(__xludf.DUMMYFUNCTION("""COMPUTED_VALUE"""),0.0049)</f>
        <v>0.0049</v>
      </c>
    </row>
    <row r="1846">
      <c r="A1846" s="131">
        <f>IFERROR(__xludf.DUMMYFUNCTION("""COMPUTED_VALUE"""),46187.37648148148)</f>
        <v>46187.37648</v>
      </c>
      <c r="B1846" s="126">
        <f>IFERROR(__xludf.DUMMYFUNCTION("""COMPUTED_VALUE"""),46187.0)</f>
        <v>46187</v>
      </c>
      <c r="C1846" s="122" t="str">
        <f>IFERROR(__xludf.DUMMYFUNCTION("""COMPUTED_VALUE"""),"TEST")</f>
        <v>TEST</v>
      </c>
      <c r="D1846" s="122" t="str">
        <f>IFERROR(__xludf.DUMMYFUNCTION("""COMPUTED_VALUE"""),"TestPrep Pro")</f>
        <v>TestPrep Pro</v>
      </c>
      <c r="E1846" s="122">
        <f>IFERROR(__xludf.DUMMYFUNCTION("""COMPUTED_VALUE"""),103.09)</f>
        <v>103.09</v>
      </c>
      <c r="F1846" s="122">
        <f>IFERROR(__xludf.DUMMYFUNCTION("""COMPUTED_VALUE"""),0.0045)</f>
        <v>0.0045</v>
      </c>
    </row>
    <row r="1847">
      <c r="A1847" s="131">
        <f>IFERROR(__xludf.DUMMYFUNCTION("""COMPUTED_VALUE"""),46187.37648148148)</f>
        <v>46187.37648</v>
      </c>
      <c r="B1847" s="126">
        <f>IFERROR(__xludf.DUMMYFUNCTION("""COMPUTED_VALUE"""),46187.0)</f>
        <v>46187</v>
      </c>
      <c r="C1847" s="122" t="str">
        <f>IFERROR(__xludf.DUMMYFUNCTION("""COMPUTED_VALUE"""),"MOVI")</f>
        <v>MOVI</v>
      </c>
      <c r="D1847" s="122" t="str">
        <f>IFERROR(__xludf.DUMMYFUNCTION("""COMPUTED_VALUE"""),"MovieBox")</f>
        <v>MovieBox</v>
      </c>
      <c r="E1847" s="122">
        <f>IFERROR(__xludf.DUMMYFUNCTION("""COMPUTED_VALUE"""),81.73)</f>
        <v>81.73</v>
      </c>
      <c r="F1847" s="122">
        <f>IFERROR(__xludf.DUMMYFUNCTION("""COMPUTED_VALUE"""),-0.0058)</f>
        <v>-0.0058</v>
      </c>
    </row>
    <row r="1848">
      <c r="A1848" s="131">
        <f>IFERROR(__xludf.DUMMYFUNCTION("""COMPUTED_VALUE"""),46187.37648148148)</f>
        <v>46187.37648</v>
      </c>
      <c r="B1848" s="126">
        <f>IFERROR(__xludf.DUMMYFUNCTION("""COMPUTED_VALUE"""),46187.0)</f>
        <v>46187</v>
      </c>
      <c r="C1848" s="122" t="str">
        <f>IFERROR(__xludf.DUMMYFUNCTION("""COMPUTED_VALUE"""),"MUSC")</f>
        <v>MUSC</v>
      </c>
      <c r="D1848" s="122" t="str">
        <f>IFERROR(__xludf.DUMMYFUNCTION("""COMPUTED_VALUE"""),"MusicWave")</f>
        <v>MusicWave</v>
      </c>
      <c r="E1848" s="122">
        <f>IFERROR(__xludf.DUMMYFUNCTION("""COMPUTED_VALUE"""),95.8)</f>
        <v>95.8</v>
      </c>
      <c r="F1848" s="122">
        <f>IFERROR(__xludf.DUMMYFUNCTION("""COMPUTED_VALUE"""),-0.0059)</f>
        <v>-0.0059</v>
      </c>
    </row>
    <row r="1849">
      <c r="A1849" s="131">
        <f>IFERROR(__xludf.DUMMYFUNCTION("""COMPUTED_VALUE"""),46187.37648148148)</f>
        <v>46187.37648</v>
      </c>
      <c r="B1849" s="126">
        <f>IFERROR(__xludf.DUMMYFUNCTION("""COMPUTED_VALUE"""),46187.0)</f>
        <v>46187</v>
      </c>
      <c r="C1849" s="122" t="str">
        <f>IFERROR(__xludf.DUMMYFUNCTION("""COMPUTED_VALUE"""),"IDOL")</f>
        <v>IDOL</v>
      </c>
      <c r="D1849" s="122" t="str">
        <f>IFERROR(__xludf.DUMMYFUNCTION("""COMPUTED_VALUE"""),"Idol Agency")</f>
        <v>Idol Agency</v>
      </c>
      <c r="E1849" s="122">
        <f>IFERROR(__xludf.DUMMYFUNCTION("""COMPUTED_VALUE"""),196.13)</f>
        <v>196.13</v>
      </c>
      <c r="F1849" s="122">
        <f>IFERROR(__xludf.DUMMYFUNCTION("""COMPUTED_VALUE"""),0.0038)</f>
        <v>0.0038</v>
      </c>
    </row>
    <row r="1850">
      <c r="A1850" s="131">
        <f>IFERROR(__xludf.DUMMYFUNCTION("""COMPUTED_VALUE"""),46187.37648148148)</f>
        <v>46187.37648</v>
      </c>
      <c r="B1850" s="126">
        <f>IFERROR(__xludf.DUMMYFUNCTION("""COMPUTED_VALUE"""),46187.0)</f>
        <v>46187</v>
      </c>
      <c r="C1850" s="122" t="str">
        <f>IFERROR(__xludf.DUMMYFUNCTION("""COMPUTED_VALUE"""),"MEME")</f>
        <v>MEME</v>
      </c>
      <c r="D1850" s="122" t="str">
        <f>IFERROR(__xludf.DUMMYFUNCTION("""COMPUTED_VALUE"""),"Meme Media")</f>
        <v>Meme Media</v>
      </c>
      <c r="E1850" s="122">
        <f>IFERROR(__xludf.DUMMYFUNCTION("""COMPUTED_VALUE"""),77.9)</f>
        <v>77.9</v>
      </c>
      <c r="F1850" s="122">
        <f>IFERROR(__xludf.DUMMYFUNCTION("""COMPUTED_VALUE"""),0.0116)</f>
        <v>0.0116</v>
      </c>
    </row>
    <row r="1851">
      <c r="A1851" s="131">
        <f>IFERROR(__xludf.DUMMYFUNCTION("""COMPUTED_VALUE"""),46187.37648148148)</f>
        <v>46187.37648</v>
      </c>
      <c r="B1851" s="126">
        <f>IFERROR(__xludf.DUMMYFUNCTION("""COMPUTED_VALUE"""),46187.0)</f>
        <v>46187</v>
      </c>
      <c r="C1851" s="122" t="str">
        <f>IFERROR(__xludf.DUMMYFUNCTION("""COMPUTED_VALUE"""),"STRM")</f>
        <v>STRM</v>
      </c>
      <c r="D1851" s="122" t="str">
        <f>IFERROR(__xludf.DUMMYFUNCTION("""COMPUTED_VALUE"""),"Streamly")</f>
        <v>Streamly</v>
      </c>
      <c r="E1851" s="122">
        <f>IFERROR(__xludf.DUMMYFUNCTION("""COMPUTED_VALUE"""),134.01)</f>
        <v>134.01</v>
      </c>
      <c r="F1851" s="122">
        <f>IFERROR(__xludf.DUMMYFUNCTION("""COMPUTED_VALUE"""),0.0031)</f>
        <v>0.0031</v>
      </c>
    </row>
    <row r="1852">
      <c r="A1852" s="131">
        <f>IFERROR(__xludf.DUMMYFUNCTION("""COMPUTED_VALUE"""),46187.37648148148)</f>
        <v>46187.37648</v>
      </c>
      <c r="B1852" s="126">
        <f>IFERROR(__xludf.DUMMYFUNCTION("""COMPUTED_VALUE"""),46187.0)</f>
        <v>46187</v>
      </c>
      <c r="C1852" s="122" t="str">
        <f>IFERROR(__xludf.DUMMYFUNCTION("""COMPUTED_VALUE"""),"FARM")</f>
        <v>FARM</v>
      </c>
      <c r="D1852" s="122" t="str">
        <f>IFERROR(__xludf.DUMMYFUNCTION("""COMPUTED_VALUE"""),"Future Farms")</f>
        <v>Future Farms</v>
      </c>
      <c r="E1852" s="122">
        <f>IFERROR(__xludf.DUMMYFUNCTION("""COMPUTED_VALUE"""),80.71)</f>
        <v>80.71</v>
      </c>
      <c r="F1852" s="122">
        <f>IFERROR(__xludf.DUMMYFUNCTION("""COMPUTED_VALUE"""),0.0054)</f>
        <v>0.0054</v>
      </c>
    </row>
    <row r="1853">
      <c r="A1853" s="131">
        <f>IFERROR(__xludf.DUMMYFUNCTION("""COMPUTED_VALUE"""),46187.37648148148)</f>
        <v>46187.37648</v>
      </c>
      <c r="B1853" s="126">
        <f>IFERROR(__xludf.DUMMYFUNCTION("""COMPUTED_VALUE"""),46187.0)</f>
        <v>46187</v>
      </c>
      <c r="C1853" s="122" t="str">
        <f>IFERROR(__xludf.DUMMYFUNCTION("""COMPUTED_VALUE"""),"MEAT")</f>
        <v>MEAT</v>
      </c>
      <c r="D1853" s="122" t="str">
        <f>IFERROR(__xludf.DUMMYFUNCTION("""COMPUTED_VALUE"""),"MeatWorks")</f>
        <v>MeatWorks</v>
      </c>
      <c r="E1853" s="122">
        <f>IFERROR(__xludf.DUMMYFUNCTION("""COMPUTED_VALUE"""),102.36)</f>
        <v>102.36</v>
      </c>
      <c r="F1853" s="122">
        <f>IFERROR(__xludf.DUMMYFUNCTION("""COMPUTED_VALUE"""),-0.002)</f>
        <v>-0.002</v>
      </c>
    </row>
    <row r="1854">
      <c r="A1854" s="131">
        <f>IFERROR(__xludf.DUMMYFUNCTION("""COMPUTED_VALUE"""),46187.37648148148)</f>
        <v>46187.37648</v>
      </c>
      <c r="B1854" s="126">
        <f>IFERROR(__xludf.DUMMYFUNCTION("""COMPUTED_VALUE"""),46187.0)</f>
        <v>46187</v>
      </c>
      <c r="C1854" s="122" t="str">
        <f>IFERROR(__xludf.DUMMYFUNCTION("""COMPUTED_VALUE"""),"VEGI")</f>
        <v>VEGI</v>
      </c>
      <c r="D1854" s="122" t="str">
        <f>IFERROR(__xludf.DUMMYFUNCTION("""COMPUTED_VALUE"""),"Green Basket")</f>
        <v>Green Basket</v>
      </c>
      <c r="E1854" s="122">
        <f>IFERROR(__xludf.DUMMYFUNCTION("""COMPUTED_VALUE"""),82.01)</f>
        <v>82.01</v>
      </c>
      <c r="F1854" s="122">
        <f>IFERROR(__xludf.DUMMYFUNCTION("""COMPUTED_VALUE"""),-0.0044)</f>
        <v>-0.0044</v>
      </c>
    </row>
    <row r="1855">
      <c r="A1855" s="131">
        <f>IFERROR(__xludf.DUMMYFUNCTION("""COMPUTED_VALUE"""),46187.37648148148)</f>
        <v>46187.37648</v>
      </c>
      <c r="B1855" s="126">
        <f>IFERROR(__xludf.DUMMYFUNCTION("""COMPUTED_VALUE"""),46187.0)</f>
        <v>46187</v>
      </c>
      <c r="C1855" s="122" t="str">
        <f>IFERROR(__xludf.DUMMYFUNCTION("""COMPUTED_VALUE"""),"CAFE")</f>
        <v>CAFE</v>
      </c>
      <c r="D1855" s="122" t="str">
        <f>IFERROR(__xludf.DUMMYFUNCTION("""COMPUTED_VALUE"""),"Cafe Cloud")</f>
        <v>Cafe Cloud</v>
      </c>
      <c r="E1855" s="122">
        <f>IFERROR(__xludf.DUMMYFUNCTION("""COMPUTED_VALUE"""),100.04)</f>
        <v>100.04</v>
      </c>
      <c r="F1855" s="122">
        <f>IFERROR(__xludf.DUMMYFUNCTION("""COMPUTED_VALUE"""),0.0051)</f>
        <v>0.0051</v>
      </c>
    </row>
    <row r="1856">
      <c r="A1856" s="131">
        <f>IFERROR(__xludf.DUMMYFUNCTION("""COMPUTED_VALUE"""),46187.37648148148)</f>
        <v>46187.37648</v>
      </c>
      <c r="B1856" s="126">
        <f>IFERROR(__xludf.DUMMYFUNCTION("""COMPUTED_VALUE"""),46187.0)</f>
        <v>46187</v>
      </c>
      <c r="C1856" s="122" t="str">
        <f>IFERROR(__xludf.DUMMYFUNCTION("""COMPUTED_VALUE"""),"BAKE")</f>
        <v>BAKE</v>
      </c>
      <c r="D1856" s="122" t="str">
        <f>IFERROR(__xludf.DUMMYFUNCTION("""COMPUTED_VALUE"""),"BakeHouse")</f>
        <v>BakeHouse</v>
      </c>
      <c r="E1856" s="122">
        <f>IFERROR(__xludf.DUMMYFUNCTION("""COMPUTED_VALUE"""),99.1)</f>
        <v>99.1</v>
      </c>
      <c r="F1856" s="122">
        <f>IFERROR(__xludf.DUMMYFUNCTION("""COMPUTED_VALUE"""),-0.0035)</f>
        <v>-0.0035</v>
      </c>
    </row>
    <row r="1857">
      <c r="A1857" s="131">
        <f>IFERROR(__xludf.DUMMYFUNCTION("""COMPUTED_VALUE"""),46187.37648148148)</f>
        <v>46187.37648</v>
      </c>
      <c r="B1857" s="126">
        <f>IFERROR(__xludf.DUMMYFUNCTION("""COMPUTED_VALUE"""),46187.0)</f>
        <v>46187</v>
      </c>
      <c r="C1857" s="122" t="str">
        <f>IFERROR(__xludf.DUMMYFUNCTION("""COMPUTED_VALUE"""),"OILX")</f>
        <v>OILX</v>
      </c>
      <c r="D1857" s="122" t="str">
        <f>IFERROR(__xludf.DUMMYFUNCTION("""COMPUTED_VALUE"""),"OilMax Energy")</f>
        <v>OilMax Energy</v>
      </c>
      <c r="E1857" s="122">
        <f>IFERROR(__xludf.DUMMYFUNCTION("""COMPUTED_VALUE"""),128.31)</f>
        <v>128.31</v>
      </c>
      <c r="F1857" s="122">
        <f>IFERROR(__xludf.DUMMYFUNCTION("""COMPUTED_VALUE"""),0.0043)</f>
        <v>0.0043</v>
      </c>
    </row>
    <row r="1858">
      <c r="A1858" s="131">
        <f>IFERROR(__xludf.DUMMYFUNCTION("""COMPUTED_VALUE"""),46187.37648148148)</f>
        <v>46187.37648</v>
      </c>
      <c r="B1858" s="126">
        <f>IFERROR(__xludf.DUMMYFUNCTION("""COMPUTED_VALUE"""),46187.0)</f>
        <v>46187</v>
      </c>
      <c r="C1858" s="122" t="str">
        <f>IFERROR(__xludf.DUMMYFUNCTION("""COMPUTED_VALUE"""),"SOLR")</f>
        <v>SOLR</v>
      </c>
      <c r="D1858" s="122" t="str">
        <f>IFERROR(__xludf.DUMMYFUNCTION("""COMPUTED_VALUE"""),"SolarSpark")</f>
        <v>SolarSpark</v>
      </c>
      <c r="E1858" s="122">
        <f>IFERROR(__xludf.DUMMYFUNCTION("""COMPUTED_VALUE"""),85.86)</f>
        <v>85.86</v>
      </c>
      <c r="F1858" s="122">
        <f>IFERROR(__xludf.DUMMYFUNCTION("""COMPUTED_VALUE"""),-2.0E-4)</f>
        <v>-0.0002</v>
      </c>
    </row>
    <row r="1859">
      <c r="A1859" s="131">
        <f>IFERROR(__xludf.DUMMYFUNCTION("""COMPUTED_VALUE"""),46187.37648148148)</f>
        <v>46187.37648</v>
      </c>
      <c r="B1859" s="126">
        <f>IFERROR(__xludf.DUMMYFUNCTION("""COMPUTED_VALUE"""),46187.0)</f>
        <v>46187</v>
      </c>
      <c r="C1859" s="122" t="str">
        <f>IFERROR(__xludf.DUMMYFUNCTION("""COMPUTED_VALUE"""),"BATT")</f>
        <v>BATT</v>
      </c>
      <c r="D1859" s="122" t="str">
        <f>IFERROR(__xludf.DUMMYFUNCTION("""COMPUTED_VALUE"""),"BatteryBox")</f>
        <v>BatteryBox</v>
      </c>
      <c r="E1859" s="122">
        <f>IFERROR(__xludf.DUMMYFUNCTION("""COMPUTED_VALUE"""),120.0)</f>
        <v>120</v>
      </c>
      <c r="F1859" s="122">
        <f>IFERROR(__xludf.DUMMYFUNCTION("""COMPUTED_VALUE"""),0.0027)</f>
        <v>0.0027</v>
      </c>
    </row>
    <row r="1860">
      <c r="A1860" s="131">
        <f>IFERROR(__xludf.DUMMYFUNCTION("""COMPUTED_VALUE"""),46187.37648148148)</f>
        <v>46187.37648</v>
      </c>
      <c r="B1860" s="126">
        <f>IFERROR(__xludf.DUMMYFUNCTION("""COMPUTED_VALUE"""),46187.0)</f>
        <v>46187</v>
      </c>
      <c r="C1860" s="122" t="str">
        <f>IFERROR(__xludf.DUMMYFUNCTION("""COMPUTED_VALUE"""),"WIND")</f>
        <v>WIND</v>
      </c>
      <c r="D1860" s="122" t="str">
        <f>IFERROR(__xludf.DUMMYFUNCTION("""COMPUTED_VALUE"""),"WindWorks")</f>
        <v>WindWorks</v>
      </c>
      <c r="E1860" s="122">
        <f>IFERROR(__xludf.DUMMYFUNCTION("""COMPUTED_VALUE"""),87.8)</f>
        <v>87.8</v>
      </c>
      <c r="F1860" s="122">
        <f>IFERROR(__xludf.DUMMYFUNCTION("""COMPUTED_VALUE"""),0.0068)</f>
        <v>0.0068</v>
      </c>
    </row>
    <row r="1861">
      <c r="A1861" s="131">
        <f>IFERROR(__xludf.DUMMYFUNCTION("""COMPUTED_VALUE"""),46187.37648148148)</f>
        <v>46187.37648</v>
      </c>
      <c r="B1861" s="126">
        <f>IFERROR(__xludf.DUMMYFUNCTION("""COMPUTED_VALUE"""),46187.0)</f>
        <v>46187</v>
      </c>
      <c r="C1861" s="122" t="str">
        <f>IFERROR(__xludf.DUMMYFUNCTION("""COMPUTED_VALUE"""),"GRID")</f>
        <v>GRID</v>
      </c>
      <c r="D1861" s="122" t="str">
        <f>IFERROR(__xludf.DUMMYFUNCTION("""COMPUTED_VALUE"""),"GridPower")</f>
        <v>GridPower</v>
      </c>
      <c r="E1861" s="122">
        <f>IFERROR(__xludf.DUMMYFUNCTION("""COMPUTED_VALUE"""),145.77)</f>
        <v>145.77</v>
      </c>
      <c r="F1861" s="122">
        <f>IFERROR(__xludf.DUMMYFUNCTION("""COMPUTED_VALUE"""),0.0015)</f>
        <v>0.0015</v>
      </c>
    </row>
    <row r="1862">
      <c r="A1862" s="131">
        <f>IFERROR(__xludf.DUMMYFUNCTION("""COMPUTED_VALUE"""),46187.37648148148)</f>
        <v>46187.37648</v>
      </c>
      <c r="B1862" s="126">
        <f>IFERROR(__xludf.DUMMYFUNCTION("""COMPUTED_VALUE"""),46187.0)</f>
        <v>46187</v>
      </c>
      <c r="C1862" s="122" t="str">
        <f>IFERROR(__xludf.DUMMYFUNCTION("""COMPUTED_VALUE"""),"HOME")</f>
        <v>HOME</v>
      </c>
      <c r="D1862" s="122" t="str">
        <f>IFERROR(__xludf.DUMMYFUNCTION("""COMPUTED_VALUE"""),"HomeHub")</f>
        <v>HomeHub</v>
      </c>
      <c r="E1862" s="122">
        <f>IFERROR(__xludf.DUMMYFUNCTION("""COMPUTED_VALUE"""),147.03)</f>
        <v>147.03</v>
      </c>
      <c r="F1862" s="122">
        <f>IFERROR(__xludf.DUMMYFUNCTION("""COMPUTED_VALUE"""),7.0E-4)</f>
        <v>0.0007</v>
      </c>
    </row>
    <row r="1863">
      <c r="A1863" s="131">
        <f>IFERROR(__xludf.DUMMYFUNCTION("""COMPUTED_VALUE"""),46187.37648148148)</f>
        <v>46187.37648</v>
      </c>
      <c r="B1863" s="126">
        <f>IFERROR(__xludf.DUMMYFUNCTION("""COMPUTED_VALUE"""),46187.0)</f>
        <v>46187</v>
      </c>
      <c r="C1863" s="122" t="str">
        <f>IFERROR(__xludf.DUMMYFUNCTION("""COMPUTED_VALUE"""),"RENT")</f>
        <v>RENT</v>
      </c>
      <c r="D1863" s="122" t="str">
        <f>IFERROR(__xludf.DUMMYFUNCTION("""COMPUTED_VALUE"""),"RentRight")</f>
        <v>RentRight</v>
      </c>
      <c r="E1863" s="122">
        <f>IFERROR(__xludf.DUMMYFUNCTION("""COMPUTED_VALUE"""),92.13)</f>
        <v>92.13</v>
      </c>
      <c r="F1863" s="122">
        <f>IFERROR(__xludf.DUMMYFUNCTION("""COMPUTED_VALUE"""),-0.0052)</f>
        <v>-0.0052</v>
      </c>
    </row>
    <row r="1864">
      <c r="A1864" s="131">
        <f>IFERROR(__xludf.DUMMYFUNCTION("""COMPUTED_VALUE"""),46187.37648148148)</f>
        <v>46187.37648</v>
      </c>
      <c r="B1864" s="126">
        <f>IFERROR(__xludf.DUMMYFUNCTION("""COMPUTED_VALUE"""),46187.0)</f>
        <v>46187</v>
      </c>
      <c r="C1864" s="122" t="str">
        <f>IFERROR(__xludf.DUMMYFUNCTION("""COMPUTED_VALUE"""),"MALL")</f>
        <v>MALL</v>
      </c>
      <c r="D1864" s="122" t="str">
        <f>IFERROR(__xludf.DUMMYFUNCTION("""COMPUTED_VALUE"""),"MegaMall")</f>
        <v>MegaMall</v>
      </c>
      <c r="E1864" s="122">
        <f>IFERROR(__xludf.DUMMYFUNCTION("""COMPUTED_VALUE"""),98.43)</f>
        <v>98.43</v>
      </c>
      <c r="F1864" s="122">
        <f>IFERROR(__xludf.DUMMYFUNCTION("""COMPUTED_VALUE"""),0.0051)</f>
        <v>0.0051</v>
      </c>
    </row>
    <row r="1865">
      <c r="A1865" s="131">
        <f>IFERROR(__xludf.DUMMYFUNCTION("""COMPUTED_VALUE"""),46187.37648148148)</f>
        <v>46187.37648</v>
      </c>
      <c r="B1865" s="126">
        <f>IFERROR(__xludf.DUMMYFUNCTION("""COMPUTED_VALUE"""),46187.0)</f>
        <v>46187</v>
      </c>
      <c r="C1865" s="122" t="str">
        <f>IFERROR(__xludf.DUMMYFUNCTION("""COMPUTED_VALUE"""),"HOTL")</f>
        <v>HOTL</v>
      </c>
      <c r="D1865" s="122" t="str">
        <f>IFERROR(__xludf.DUMMYFUNCTION("""COMPUTED_VALUE"""),"HotelHive")</f>
        <v>HotelHive</v>
      </c>
      <c r="E1865" s="122">
        <f>IFERROR(__xludf.DUMMYFUNCTION("""COMPUTED_VALUE"""),131.45)</f>
        <v>131.45</v>
      </c>
      <c r="F1865" s="122">
        <f>IFERROR(__xludf.DUMMYFUNCTION("""COMPUTED_VALUE"""),-0.0082)</f>
        <v>-0.0082</v>
      </c>
    </row>
    <row r="1866">
      <c r="A1866" s="131">
        <f>IFERROR(__xludf.DUMMYFUNCTION("""COMPUTED_VALUE"""),46187.37648148148)</f>
        <v>46187.37648</v>
      </c>
      <c r="B1866" s="126">
        <f>IFERROR(__xludf.DUMMYFUNCTION("""COMPUTED_VALUE"""),46187.0)</f>
        <v>46187</v>
      </c>
      <c r="C1866" s="122" t="str">
        <f>IFERROR(__xludf.DUMMYFUNCTION("""COMPUTED_VALUE"""),"LAND")</f>
        <v>LAND</v>
      </c>
      <c r="D1866" s="122" t="str">
        <f>IFERROR(__xludf.DUMMYFUNCTION("""COMPUTED_VALUE"""),"LandLink")</f>
        <v>LandLink</v>
      </c>
      <c r="E1866" s="122">
        <f>IFERROR(__xludf.DUMMYFUNCTION("""COMPUTED_VALUE"""),182.92)</f>
        <v>182.92</v>
      </c>
      <c r="F1866" s="122">
        <f>IFERROR(__xludf.DUMMYFUNCTION("""COMPUTED_VALUE"""),0.0053)</f>
        <v>0.0053</v>
      </c>
    </row>
    <row r="1867">
      <c r="A1867" s="131">
        <f>IFERROR(__xludf.DUMMYFUNCTION("""COMPUTED_VALUE"""),46187.37648148148)</f>
        <v>46187.37648</v>
      </c>
      <c r="B1867" s="126">
        <f>IFERROR(__xludf.DUMMYFUNCTION("""COMPUTED_VALUE"""),46187.0)</f>
        <v>46187</v>
      </c>
      <c r="C1867" s="122" t="str">
        <f>IFERROR(__xludf.DUMMYFUNCTION("""COMPUTED_VALUE"""),"CARS")</f>
        <v>CARS</v>
      </c>
      <c r="D1867" s="122" t="str">
        <f>IFERROR(__xludf.DUMMYFUNCTION("""COMPUTED_VALUE"""),"AutoArena")</f>
        <v>AutoArena</v>
      </c>
      <c r="E1867" s="122">
        <f>IFERROR(__xludf.DUMMYFUNCTION("""COMPUTED_VALUE"""),78.74)</f>
        <v>78.74</v>
      </c>
      <c r="F1867" s="122">
        <f>IFERROR(__xludf.DUMMYFUNCTION("""COMPUTED_VALUE"""),-9.0E-4)</f>
        <v>-0.0009</v>
      </c>
    </row>
    <row r="1868">
      <c r="A1868" s="131">
        <f>IFERROR(__xludf.DUMMYFUNCTION("""COMPUTED_VALUE"""),46187.37648148148)</f>
        <v>46187.37648</v>
      </c>
      <c r="B1868" s="126">
        <f>IFERROR(__xludf.DUMMYFUNCTION("""COMPUTED_VALUE"""),46187.0)</f>
        <v>46187</v>
      </c>
      <c r="C1868" s="122" t="str">
        <f>IFERROR(__xludf.DUMMYFUNCTION("""COMPUTED_VALUE"""),"EVGO")</f>
        <v>EVGO</v>
      </c>
      <c r="D1868" s="122" t="str">
        <f>IFERROR(__xludf.DUMMYFUNCTION("""COMPUTED_VALUE"""),"EVGo Motors")</f>
        <v>EVGo Motors</v>
      </c>
      <c r="E1868" s="122">
        <f>IFERROR(__xludf.DUMMYFUNCTION("""COMPUTED_VALUE"""),193.99)</f>
        <v>193.99</v>
      </c>
      <c r="F1868" s="122">
        <f>IFERROR(__xludf.DUMMYFUNCTION("""COMPUTED_VALUE"""),0.0055)</f>
        <v>0.0055</v>
      </c>
    </row>
    <row r="1869">
      <c r="A1869" s="131">
        <f>IFERROR(__xludf.DUMMYFUNCTION("""COMPUTED_VALUE"""),46187.37648148148)</f>
        <v>46187.37648</v>
      </c>
      <c r="B1869" s="126">
        <f>IFERROR(__xludf.DUMMYFUNCTION("""COMPUTED_VALUE"""),46187.0)</f>
        <v>46187</v>
      </c>
      <c r="C1869" s="122" t="str">
        <f>IFERROR(__xludf.DUMMYFUNCTION("""COMPUTED_VALUE"""),"TIRE")</f>
        <v>TIRE</v>
      </c>
      <c r="D1869" s="122" t="str">
        <f>IFERROR(__xludf.DUMMYFUNCTION("""COMPUTED_VALUE"""),"TireTown")</f>
        <v>TireTown</v>
      </c>
      <c r="E1869" s="122">
        <f>IFERROR(__xludf.DUMMYFUNCTION("""COMPUTED_VALUE"""),90.93)</f>
        <v>90.93</v>
      </c>
      <c r="F1869" s="122">
        <f>IFERROR(__xludf.DUMMYFUNCTION("""COMPUTED_VALUE"""),9.0E-4)</f>
        <v>0.0009</v>
      </c>
    </row>
    <row r="1870">
      <c r="A1870" s="131">
        <f>IFERROR(__xludf.DUMMYFUNCTION("""COMPUTED_VALUE"""),46187.37648148148)</f>
        <v>46187.37648</v>
      </c>
      <c r="B1870" s="126">
        <f>IFERROR(__xludf.DUMMYFUNCTION("""COMPUTED_VALUE"""),46187.0)</f>
        <v>46187</v>
      </c>
      <c r="C1870" s="122" t="str">
        <f>IFERROR(__xludf.DUMMYFUNCTION("""COMPUTED_VALUE"""),"BIKE")</f>
        <v>BIKE</v>
      </c>
      <c r="D1870" s="122" t="str">
        <f>IFERROR(__xludf.DUMMYFUNCTION("""COMPUTED_VALUE"""),"BikeBox")</f>
        <v>BikeBox</v>
      </c>
      <c r="E1870" s="122">
        <f>IFERROR(__xludf.DUMMYFUNCTION("""COMPUTED_VALUE"""),53.61)</f>
        <v>53.61</v>
      </c>
      <c r="F1870" s="122">
        <f>IFERROR(__xludf.DUMMYFUNCTION("""COMPUTED_VALUE"""),0.0024)</f>
        <v>0.0024</v>
      </c>
    </row>
    <row r="1871">
      <c r="A1871" s="131">
        <f>IFERROR(__xludf.DUMMYFUNCTION("""COMPUTED_VALUE"""),46187.37648148148)</f>
        <v>46187.37648</v>
      </c>
      <c r="B1871" s="126">
        <f>IFERROR(__xludf.DUMMYFUNCTION("""COMPUTED_VALUE"""),46187.0)</f>
        <v>46187</v>
      </c>
      <c r="C1871" s="122" t="str">
        <f>IFERROR(__xludf.DUMMYFUNCTION("""COMPUTED_VALUE"""),"WASH")</f>
        <v>WASH</v>
      </c>
      <c r="D1871" s="122" t="str">
        <f>IFERROR(__xludf.DUMMYFUNCTION("""COMPUTED_VALUE"""),"CarWash Co")</f>
        <v>CarWash Co</v>
      </c>
      <c r="E1871" s="122">
        <f>IFERROR(__xludf.DUMMYFUNCTION("""COMPUTED_VALUE"""),119.56)</f>
        <v>119.56</v>
      </c>
      <c r="F1871" s="122">
        <f>IFERROR(__xludf.DUMMYFUNCTION("""COMPUTED_VALUE"""),0.0019)</f>
        <v>0.0019</v>
      </c>
    </row>
    <row r="1872">
      <c r="A1872" s="131">
        <f>IFERROR(__xludf.DUMMYFUNCTION("""COMPUTED_VALUE"""),46187.37648148148)</f>
        <v>46187.37648</v>
      </c>
      <c r="B1872" s="126">
        <f>IFERROR(__xludf.DUMMYFUNCTION("""COMPUTED_VALUE"""),46187.0)</f>
        <v>46187</v>
      </c>
      <c r="C1872" s="122" t="str">
        <f>IFERROR(__xludf.DUMMYFUNCTION("""COMPUTED_VALUE"""),"GBND")</f>
        <v>GBND</v>
      </c>
      <c r="D1872" s="122" t="str">
        <f>IFERROR(__xludf.DUMMYFUNCTION("""COMPUTED_VALUE"""),"Classroom Government Bond")</f>
        <v>Classroom Government Bond</v>
      </c>
      <c r="E1872" s="122">
        <f>IFERROR(__xludf.DUMMYFUNCTION("""COMPUTED_VALUE"""),100.95)</f>
        <v>100.95</v>
      </c>
      <c r="F1872" s="122">
        <f>IFERROR(__xludf.DUMMYFUNCTION("""COMPUTED_VALUE"""),4.0E-4)</f>
        <v>0.0004</v>
      </c>
    </row>
    <row r="1873">
      <c r="A1873" s="131">
        <f>IFERROR(__xludf.DUMMYFUNCTION("""COMPUTED_VALUE"""),46187.37648148148)</f>
        <v>46187.37648</v>
      </c>
      <c r="B1873" s="126">
        <f>IFERROR(__xludf.DUMMYFUNCTION("""COMPUTED_VALUE"""),46187.0)</f>
        <v>46187</v>
      </c>
      <c r="C1873" s="122" t="str">
        <f>IFERROR(__xludf.DUMMYFUNCTION("""COMPUTED_VALUE"""),"SBND")</f>
        <v>SBND</v>
      </c>
      <c r="D1873" s="122" t="str">
        <f>IFERROR(__xludf.DUMMYFUNCTION("""COMPUTED_VALUE"""),"School Savings Bond")</f>
        <v>School Savings Bond</v>
      </c>
      <c r="E1873" s="122">
        <f>IFERROR(__xludf.DUMMYFUNCTION("""COMPUTED_VALUE"""),99.46)</f>
        <v>99.46</v>
      </c>
      <c r="F1873" s="122">
        <f>IFERROR(__xludf.DUMMYFUNCTION("""COMPUTED_VALUE"""),5.0E-4)</f>
        <v>0.0005</v>
      </c>
    </row>
    <row r="1874">
      <c r="A1874" s="131">
        <f>IFERROR(__xludf.DUMMYFUNCTION("""COMPUTED_VALUE"""),46187.37648148148)</f>
        <v>46187.37648</v>
      </c>
      <c r="B1874" s="126">
        <f>IFERROR(__xludf.DUMMYFUNCTION("""COMPUTED_VALUE"""),46187.0)</f>
        <v>46187</v>
      </c>
      <c r="C1874" s="122" t="str">
        <f>IFERROR(__xludf.DUMMYFUNCTION("""COMPUTED_VALUE"""),"CBND")</f>
        <v>CBND</v>
      </c>
      <c r="D1874" s="122" t="str">
        <f>IFERROR(__xludf.DUMMYFUNCTION("""COMPUTED_VALUE"""),"Corporate Classroom Bond")</f>
        <v>Corporate Classroom Bond</v>
      </c>
      <c r="E1874" s="122">
        <f>IFERROR(__xludf.DUMMYFUNCTION("""COMPUTED_VALUE"""),97.62)</f>
        <v>97.62</v>
      </c>
      <c r="F1874" s="122">
        <f>IFERROR(__xludf.DUMMYFUNCTION("""COMPUTED_VALUE"""),-5.0E-4)</f>
        <v>-0.0005</v>
      </c>
    </row>
    <row r="1875">
      <c r="A1875" s="131">
        <f>IFERROR(__xludf.DUMMYFUNCTION("""COMPUTED_VALUE"""),46187.37648148148)</f>
        <v>46187.37648</v>
      </c>
      <c r="B1875" s="126">
        <f>IFERROR(__xludf.DUMMYFUNCTION("""COMPUTED_VALUE"""),46187.0)</f>
        <v>46187</v>
      </c>
      <c r="C1875" s="122" t="str">
        <f>IFERROR(__xludf.DUMMYFUNCTION("""COMPUTED_VALUE"""),"TBIL")</f>
        <v>TBIL</v>
      </c>
      <c r="D1875" s="122" t="str">
        <f>IFERROR(__xludf.DUMMYFUNCTION("""COMPUTED_VALUE"""),"Treasury Bill")</f>
        <v>Treasury Bill</v>
      </c>
      <c r="E1875" s="122">
        <f>IFERROR(__xludf.DUMMYFUNCTION("""COMPUTED_VALUE"""),98.03)</f>
        <v>98.03</v>
      </c>
      <c r="F1875" s="122">
        <f>IFERROR(__xludf.DUMMYFUNCTION("""COMPUTED_VALUE"""),4.0E-4)</f>
        <v>0.0004</v>
      </c>
    </row>
    <row r="1876">
      <c r="A1876" s="131">
        <f>IFERROR(__xludf.DUMMYFUNCTION("""COMPUTED_VALUE"""),46187.37648148148)</f>
        <v>46187.37648</v>
      </c>
      <c r="B1876" s="126">
        <f>IFERROR(__xludf.DUMMYFUNCTION("""COMPUTED_VALUE"""),46187.0)</f>
        <v>46187</v>
      </c>
      <c r="C1876" s="122" t="str">
        <f>IFERROR(__xludf.DUMMYFUNCTION("""COMPUTED_VALUE"""),"IBND")</f>
        <v>IBND</v>
      </c>
      <c r="D1876" s="122" t="str">
        <f>IFERROR(__xludf.DUMMYFUNCTION("""COMPUTED_VALUE"""),"Inflation Protected Bond")</f>
        <v>Inflation Protected Bond</v>
      </c>
      <c r="E1876" s="122">
        <f>IFERROR(__xludf.DUMMYFUNCTION("""COMPUTED_VALUE"""),100.61)</f>
        <v>100.61</v>
      </c>
      <c r="F1876" s="122">
        <f>IFERROR(__xludf.DUMMYFUNCTION("""COMPUTED_VALUE"""),3.0E-4)</f>
        <v>0.0003</v>
      </c>
    </row>
    <row r="1877">
      <c r="A1877" s="131">
        <f>IFERROR(__xludf.DUMMYFUNCTION("""COMPUTED_VALUE"""),46187.377974537034)</f>
        <v>46187.37797</v>
      </c>
      <c r="B1877" s="126">
        <f>IFERROR(__xludf.DUMMYFUNCTION("""COMPUTED_VALUE"""),46187.0)</f>
        <v>46187</v>
      </c>
      <c r="C1877" s="130">
        <f>IFERROR(__xludf.DUMMYFUNCTION("""COMPUTED_VALUE"""),0.37797453703703704)</f>
        <v>0.377974537</v>
      </c>
      <c r="D1877" s="122" t="str">
        <f>IFERROR(__xludf.DUMMYFUNCTION("""COMPUTED_VALUE"""),"SNAX")</f>
        <v>SNAX</v>
      </c>
      <c r="E1877" s="122" t="str">
        <f>IFERROR(__xludf.DUMMYFUNCTION("""COMPUTED_VALUE"""),"MICA Snacks")</f>
        <v>MICA Snacks</v>
      </c>
      <c r="F1877" s="122" t="str">
        <f>IFERROR(__xludf.DUMMYFUNCTION("""COMPUTED_VALUE"""),"Consumer Goods")</f>
        <v>Consumer Goods</v>
      </c>
    </row>
    <row r="1878">
      <c r="A1878" s="131">
        <f>IFERROR(__xludf.DUMMYFUNCTION("""COMPUTED_VALUE"""),46187.377974537034)</f>
        <v>46187.37797</v>
      </c>
      <c r="B1878" s="126">
        <f>IFERROR(__xludf.DUMMYFUNCTION("""COMPUTED_VALUE"""),46187.0)</f>
        <v>46187</v>
      </c>
      <c r="C1878" s="130">
        <f>IFERROR(__xludf.DUMMYFUNCTION("""COMPUTED_VALUE"""),0.37797453703703704)</f>
        <v>0.377974537</v>
      </c>
      <c r="D1878" s="122" t="str">
        <f>IFERROR(__xludf.DUMMYFUNCTION("""COMPUTED_VALUE"""),"RAMN")</f>
        <v>RAMN</v>
      </c>
      <c r="E1878" s="122" t="str">
        <f>IFERROR(__xludf.DUMMYFUNCTION("""COMPUTED_VALUE"""),"Ramen Republic")</f>
        <v>Ramen Republic</v>
      </c>
      <c r="F1878" s="122" t="str">
        <f>IFERROR(__xludf.DUMMYFUNCTION("""COMPUTED_VALUE"""),"Food")</f>
        <v>Food</v>
      </c>
    </row>
    <row r="1879">
      <c r="A1879" s="131">
        <f>IFERROR(__xludf.DUMMYFUNCTION("""COMPUTED_VALUE"""),46187.377974537034)</f>
        <v>46187.37797</v>
      </c>
      <c r="B1879" s="126">
        <f>IFERROR(__xludf.DUMMYFUNCTION("""COMPUTED_VALUE"""),46187.0)</f>
        <v>46187</v>
      </c>
      <c r="C1879" s="130">
        <f>IFERROR(__xludf.DUMMYFUNCTION("""COMPUTED_VALUE"""),0.37797453703703704)</f>
        <v>0.377974537</v>
      </c>
      <c r="D1879" s="122" t="str">
        <f>IFERROR(__xludf.DUMMYFUNCTION("""COMPUTED_VALUE"""),"COLA")</f>
        <v>COLA</v>
      </c>
      <c r="E1879" s="122" t="str">
        <f>IFERROR(__xludf.DUMMYFUNCTION("""COMPUTED_VALUE"""),"K-Pop Cola")</f>
        <v>K-Pop Cola</v>
      </c>
      <c r="F1879" s="122" t="str">
        <f>IFERROR(__xludf.DUMMYFUNCTION("""COMPUTED_VALUE"""),"Beverage")</f>
        <v>Beverage</v>
      </c>
    </row>
    <row r="1880">
      <c r="A1880" s="131">
        <f>IFERROR(__xludf.DUMMYFUNCTION("""COMPUTED_VALUE"""),46187.377974537034)</f>
        <v>46187.37797</v>
      </c>
      <c r="B1880" s="126">
        <f>IFERROR(__xludf.DUMMYFUNCTION("""COMPUTED_VALUE"""),46187.0)</f>
        <v>46187</v>
      </c>
      <c r="C1880" s="130">
        <f>IFERROR(__xludf.DUMMYFUNCTION("""COMPUTED_VALUE"""),0.37797453703703704)</f>
        <v>0.377974537</v>
      </c>
      <c r="D1880" s="122" t="str">
        <f>IFERROR(__xludf.DUMMYFUNCTION("""COMPUTED_VALUE"""),"CHIP")</f>
        <v>CHIP</v>
      </c>
      <c r="E1880" s="122" t="str">
        <f>IFERROR(__xludf.DUMMYFUNCTION("""COMPUTED_VALUE"""),"Chip Empire")</f>
        <v>Chip Empire</v>
      </c>
      <c r="F1880" s="122" t="str">
        <f>IFERROR(__xludf.DUMMYFUNCTION("""COMPUTED_VALUE"""),"Consumer Goods")</f>
        <v>Consumer Goods</v>
      </c>
    </row>
    <row r="1881">
      <c r="A1881" s="131">
        <f>IFERROR(__xludf.DUMMYFUNCTION("""COMPUTED_VALUE"""),46187.377974537034)</f>
        <v>46187.37797</v>
      </c>
      <c r="B1881" s="126">
        <f>IFERROR(__xludf.DUMMYFUNCTION("""COMPUTED_VALUE"""),46187.0)</f>
        <v>46187</v>
      </c>
      <c r="C1881" s="130">
        <f>IFERROR(__xludf.DUMMYFUNCTION("""COMPUTED_VALUE"""),0.37797453703703704)</f>
        <v>0.377974537</v>
      </c>
      <c r="D1881" s="122" t="str">
        <f>IFERROR(__xludf.DUMMYFUNCTION("""COMPUTED_VALUE"""),"CAND")</f>
        <v>CAND</v>
      </c>
      <c r="E1881" s="122" t="str">
        <f>IFERROR(__xludf.DUMMYFUNCTION("""COMPUTED_VALUE"""),"Candy Capital")</f>
        <v>Candy Capital</v>
      </c>
      <c r="F1881" s="122" t="str">
        <f>IFERROR(__xludf.DUMMYFUNCTION("""COMPUTED_VALUE"""),"Consumer Goods")</f>
        <v>Consumer Goods</v>
      </c>
    </row>
    <row r="1882">
      <c r="A1882" s="131">
        <f>IFERROR(__xludf.DUMMYFUNCTION("""COMPUTED_VALUE"""),46187.377974537034)</f>
        <v>46187.37797</v>
      </c>
      <c r="B1882" s="126">
        <f>IFERROR(__xludf.DUMMYFUNCTION("""COMPUTED_VALUE"""),46187.0)</f>
        <v>46187</v>
      </c>
      <c r="C1882" s="130">
        <f>IFERROR(__xludf.DUMMYFUNCTION("""COMPUTED_VALUE"""),0.37797453703703704)</f>
        <v>0.377974537</v>
      </c>
      <c r="D1882" s="122" t="str">
        <f>IFERROR(__xludf.DUMMYFUNCTION("""COMPUTED_VALUE"""),"TECH")</f>
        <v>TECH</v>
      </c>
      <c r="E1882" s="122" t="str">
        <f>IFERROR(__xludf.DUMMYFUNCTION("""COMPUTED_VALUE"""),"Dragon Tech")</f>
        <v>Dragon Tech</v>
      </c>
      <c r="F1882" s="122" t="str">
        <f>IFERROR(__xludf.DUMMYFUNCTION("""COMPUTED_VALUE"""),"Technology")</f>
        <v>Technology</v>
      </c>
    </row>
    <row r="1883">
      <c r="A1883" s="131">
        <f>IFERROR(__xludf.DUMMYFUNCTION("""COMPUTED_VALUE"""),46187.377974537034)</f>
        <v>46187.37797</v>
      </c>
      <c r="B1883" s="126">
        <f>IFERROR(__xludf.DUMMYFUNCTION("""COMPUTED_VALUE"""),46187.0)</f>
        <v>46187</v>
      </c>
      <c r="C1883" s="130">
        <f>IFERROR(__xludf.DUMMYFUNCTION("""COMPUTED_VALUE"""),0.37797453703703704)</f>
        <v>0.377974537</v>
      </c>
      <c r="D1883" s="122" t="str">
        <f>IFERROR(__xludf.DUMMYFUNCTION("""COMPUTED_VALUE"""),"AIBO")</f>
        <v>AIBO</v>
      </c>
      <c r="E1883" s="122" t="str">
        <f>IFERROR(__xludf.DUMMYFUNCTION("""COMPUTED_VALUE"""),"Homework AI")</f>
        <v>Homework AI</v>
      </c>
      <c r="F1883" s="122" t="str">
        <f>IFERROR(__xludf.DUMMYFUNCTION("""COMPUTED_VALUE"""),"Technology")</f>
        <v>Technology</v>
      </c>
    </row>
    <row r="1884">
      <c r="A1884" s="131">
        <f>IFERROR(__xludf.DUMMYFUNCTION("""COMPUTED_VALUE"""),46187.377974537034)</f>
        <v>46187.37797</v>
      </c>
      <c r="B1884" s="126">
        <f>IFERROR(__xludf.DUMMYFUNCTION("""COMPUTED_VALUE"""),46187.0)</f>
        <v>46187</v>
      </c>
      <c r="C1884" s="130">
        <f>IFERROR(__xludf.DUMMYFUNCTION("""COMPUTED_VALUE"""),0.37797453703703704)</f>
        <v>0.377974537</v>
      </c>
      <c r="D1884" s="122" t="str">
        <f>IFERROR(__xludf.DUMMYFUNCTION("""COMPUTED_VALUE"""),"GAME")</f>
        <v>GAME</v>
      </c>
      <c r="E1884" s="122" t="str">
        <f>IFERROR(__xludf.DUMMYFUNCTION("""COMPUTED_VALUE"""),"GameBox Media")</f>
        <v>GameBox Media</v>
      </c>
      <c r="F1884" s="122" t="str">
        <f>IFERROR(__xludf.DUMMYFUNCTION("""COMPUTED_VALUE"""),"Entertainment")</f>
        <v>Entertainment</v>
      </c>
    </row>
    <row r="1885">
      <c r="A1885" s="131">
        <f>IFERROR(__xludf.DUMMYFUNCTION("""COMPUTED_VALUE"""),46187.377974537034)</f>
        <v>46187.37797</v>
      </c>
      <c r="B1885" s="126">
        <f>IFERROR(__xludf.DUMMYFUNCTION("""COMPUTED_VALUE"""),46187.0)</f>
        <v>46187</v>
      </c>
      <c r="C1885" s="130">
        <f>IFERROR(__xludf.DUMMYFUNCTION("""COMPUTED_VALUE"""),0.37797453703703704)</f>
        <v>0.377974537</v>
      </c>
      <c r="D1885" s="122" t="str">
        <f>IFERROR(__xludf.DUMMYFUNCTION("""COMPUTED_VALUE"""),"VRSE")</f>
        <v>VRSE</v>
      </c>
      <c r="E1885" s="122" t="str">
        <f>IFERROR(__xludf.DUMMYFUNCTION("""COMPUTED_VALUE"""),"VerseVR")</f>
        <v>VerseVR</v>
      </c>
      <c r="F1885" s="122" t="str">
        <f>IFERROR(__xludf.DUMMYFUNCTION("""COMPUTED_VALUE"""),"Technology")</f>
        <v>Technology</v>
      </c>
    </row>
    <row r="1886">
      <c r="A1886" s="131">
        <f>IFERROR(__xludf.DUMMYFUNCTION("""COMPUTED_VALUE"""),46187.377974537034)</f>
        <v>46187.37797</v>
      </c>
      <c r="B1886" s="126">
        <f>IFERROR(__xludf.DUMMYFUNCTION("""COMPUTED_VALUE"""),46187.0)</f>
        <v>46187</v>
      </c>
      <c r="C1886" s="130">
        <f>IFERROR(__xludf.DUMMYFUNCTION("""COMPUTED_VALUE"""),0.37797453703703704)</f>
        <v>0.377974537</v>
      </c>
      <c r="D1886" s="122" t="str">
        <f>IFERROR(__xludf.DUMMYFUNCTION("""COMPUTED_VALUE"""),"BYTE")</f>
        <v>BYTE</v>
      </c>
      <c r="E1886" s="122" t="str">
        <f>IFERROR(__xludf.DUMMYFUNCTION("""COMPUTED_VALUE"""),"ByteWorks")</f>
        <v>ByteWorks</v>
      </c>
      <c r="F1886" s="122" t="str">
        <f>IFERROR(__xludf.DUMMYFUNCTION("""COMPUTED_VALUE"""),"Technology")</f>
        <v>Technology</v>
      </c>
    </row>
    <row r="1887">
      <c r="A1887" s="131">
        <f>IFERROR(__xludf.DUMMYFUNCTION("""COMPUTED_VALUE"""),46187.377974537034)</f>
        <v>46187.37797</v>
      </c>
      <c r="B1887" s="126">
        <f>IFERROR(__xludf.DUMMYFUNCTION("""COMPUTED_VALUE"""),46187.0)</f>
        <v>46187</v>
      </c>
      <c r="C1887" s="130">
        <f>IFERROR(__xludf.DUMMYFUNCTION("""COMPUTED_VALUE"""),0.37797453703703704)</f>
        <v>0.377974537</v>
      </c>
      <c r="D1887" s="122" t="str">
        <f>IFERROR(__xludf.DUMMYFUNCTION("""COMPUTED_VALUE"""),"BANK")</f>
        <v>BANK</v>
      </c>
      <c r="E1887" s="122" t="str">
        <f>IFERROR(__xludf.DUMMYFUNCTION("""COMPUTED_VALUE"""),"Tiger Bank")</f>
        <v>Tiger Bank</v>
      </c>
      <c r="F1887" s="122" t="str">
        <f>IFERROR(__xludf.DUMMYFUNCTION("""COMPUTED_VALUE"""),"Finance")</f>
        <v>Finance</v>
      </c>
    </row>
    <row r="1888">
      <c r="A1888" s="131">
        <f>IFERROR(__xludf.DUMMYFUNCTION("""COMPUTED_VALUE"""),46187.377974537034)</f>
        <v>46187.37797</v>
      </c>
      <c r="B1888" s="126">
        <f>IFERROR(__xludf.DUMMYFUNCTION("""COMPUTED_VALUE"""),46187.0)</f>
        <v>46187</v>
      </c>
      <c r="C1888" s="130">
        <f>IFERROR(__xludf.DUMMYFUNCTION("""COMPUTED_VALUE"""),0.37797453703703704)</f>
        <v>0.377974537</v>
      </c>
      <c r="D1888" s="122" t="str">
        <f>IFERROR(__xludf.DUMMYFUNCTION("""COMPUTED_VALUE"""),"CRED")</f>
        <v>CRED</v>
      </c>
      <c r="E1888" s="122" t="str">
        <f>IFERROR(__xludf.DUMMYFUNCTION("""COMPUTED_VALUE"""),"Credit Castle")</f>
        <v>Credit Castle</v>
      </c>
      <c r="F1888" s="122" t="str">
        <f>IFERROR(__xludf.DUMMYFUNCTION("""COMPUTED_VALUE"""),"Finance")</f>
        <v>Finance</v>
      </c>
    </row>
    <row r="1889">
      <c r="A1889" s="131">
        <f>IFERROR(__xludf.DUMMYFUNCTION("""COMPUTED_VALUE"""),46187.377974537034)</f>
        <v>46187.37797</v>
      </c>
      <c r="B1889" s="126">
        <f>IFERROR(__xludf.DUMMYFUNCTION("""COMPUTED_VALUE"""),46187.0)</f>
        <v>46187</v>
      </c>
      <c r="C1889" s="130">
        <f>IFERROR(__xludf.DUMMYFUNCTION("""COMPUTED_VALUE"""),0.37797453703703704)</f>
        <v>0.377974537</v>
      </c>
      <c r="D1889" s="122" t="str">
        <f>IFERROR(__xludf.DUMMYFUNCTION("""COMPUTED_VALUE"""),"BOND")</f>
        <v>BOND</v>
      </c>
      <c r="E1889" s="122" t="str">
        <f>IFERROR(__xludf.DUMMYFUNCTION("""COMPUTED_VALUE"""),"BondBridge")</f>
        <v>BondBridge</v>
      </c>
      <c r="F1889" s="122" t="str">
        <f>IFERROR(__xludf.DUMMYFUNCTION("""COMPUTED_VALUE"""),"Finance")</f>
        <v>Finance</v>
      </c>
    </row>
    <row r="1890">
      <c r="A1890" s="131">
        <f>IFERROR(__xludf.DUMMYFUNCTION("""COMPUTED_VALUE"""),46187.377974537034)</f>
        <v>46187.37797</v>
      </c>
      <c r="B1890" s="126">
        <f>IFERROR(__xludf.DUMMYFUNCTION("""COMPUTED_VALUE"""),46187.0)</f>
        <v>46187</v>
      </c>
      <c r="C1890" s="130">
        <f>IFERROR(__xludf.DUMMYFUNCTION("""COMPUTED_VALUE"""),0.37797453703703704)</f>
        <v>0.377974537</v>
      </c>
      <c r="D1890" s="122" t="str">
        <f>IFERROR(__xludf.DUMMYFUNCTION("""COMPUTED_VALUE"""),"INSR")</f>
        <v>INSR</v>
      </c>
      <c r="E1890" s="122" t="str">
        <f>IFERROR(__xludf.DUMMYFUNCTION("""COMPUTED_VALUE"""),"Shield Insurance")</f>
        <v>Shield Insurance</v>
      </c>
      <c r="F1890" s="122" t="str">
        <f>IFERROR(__xludf.DUMMYFUNCTION("""COMPUTED_VALUE"""),"Finance")</f>
        <v>Finance</v>
      </c>
    </row>
    <row r="1891">
      <c r="A1891" s="131">
        <f>IFERROR(__xludf.DUMMYFUNCTION("""COMPUTED_VALUE"""),46187.377974537034)</f>
        <v>46187.37797</v>
      </c>
      <c r="B1891" s="126">
        <f>IFERROR(__xludf.DUMMYFUNCTION("""COMPUTED_VALUE"""),46187.0)</f>
        <v>46187</v>
      </c>
      <c r="C1891" s="130">
        <f>IFERROR(__xludf.DUMMYFUNCTION("""COMPUTED_VALUE"""),0.37797453703703704)</f>
        <v>0.377974537</v>
      </c>
      <c r="D1891" s="122" t="str">
        <f>IFERROR(__xludf.DUMMYFUNCTION("""COMPUTED_VALUE"""),"LOAN")</f>
        <v>LOAN</v>
      </c>
      <c r="E1891" s="122" t="str">
        <f>IFERROR(__xludf.DUMMYFUNCTION("""COMPUTED_VALUE"""),"LoanLab")</f>
        <v>LoanLab</v>
      </c>
      <c r="F1891" s="122" t="str">
        <f>IFERROR(__xludf.DUMMYFUNCTION("""COMPUTED_VALUE"""),"Finance")</f>
        <v>Finance</v>
      </c>
    </row>
    <row r="1892">
      <c r="A1892" s="131">
        <f>IFERROR(__xludf.DUMMYFUNCTION("""COMPUTED_VALUE"""),46187.377974537034)</f>
        <v>46187.37797</v>
      </c>
      <c r="B1892" s="126">
        <f>IFERROR(__xludf.DUMMYFUNCTION("""COMPUTED_VALUE"""),46187.0)</f>
        <v>46187</v>
      </c>
      <c r="C1892" s="130">
        <f>IFERROR(__xludf.DUMMYFUNCTION("""COMPUTED_VALUE"""),0.37797453703703704)</f>
        <v>0.377974537</v>
      </c>
      <c r="D1892" s="122" t="str">
        <f>IFERROR(__xludf.DUMMYFUNCTION("""COMPUTED_VALUE"""),"LUXE")</f>
        <v>LUXE</v>
      </c>
      <c r="E1892" s="122" t="str">
        <f>IFERROR(__xludf.DUMMYFUNCTION("""COMPUTED_VALUE"""),"Luxury Locker")</f>
        <v>Luxury Locker</v>
      </c>
      <c r="F1892" s="122" t="str">
        <f>IFERROR(__xludf.DUMMYFUNCTION("""COMPUTED_VALUE"""),"Luxury Goods")</f>
        <v>Luxury Goods</v>
      </c>
    </row>
    <row r="1893">
      <c r="A1893" s="131">
        <f>IFERROR(__xludf.DUMMYFUNCTION("""COMPUTED_VALUE"""),46187.377974537034)</f>
        <v>46187.37797</v>
      </c>
      <c r="B1893" s="126">
        <f>IFERROR(__xludf.DUMMYFUNCTION("""COMPUTED_VALUE"""),46187.0)</f>
        <v>46187</v>
      </c>
      <c r="C1893" s="130">
        <f>IFERROR(__xludf.DUMMYFUNCTION("""COMPUTED_VALUE"""),0.37797453703703704)</f>
        <v>0.377974537</v>
      </c>
      <c r="D1893" s="122" t="str">
        <f>IFERROR(__xludf.DUMMYFUNCTION("""COMPUTED_VALUE"""),"DRIP")</f>
        <v>DRIP</v>
      </c>
      <c r="E1893" s="122" t="str">
        <f>IFERROR(__xludf.DUMMYFUNCTION("""COMPUTED_VALUE"""),"Drip Streetwear")</f>
        <v>Drip Streetwear</v>
      </c>
      <c r="F1893" s="122" t="str">
        <f>IFERROR(__xludf.DUMMYFUNCTION("""COMPUTED_VALUE"""),"Fashion")</f>
        <v>Fashion</v>
      </c>
    </row>
    <row r="1894">
      <c r="A1894" s="131">
        <f>IFERROR(__xludf.DUMMYFUNCTION("""COMPUTED_VALUE"""),46187.377974537034)</f>
        <v>46187.37797</v>
      </c>
      <c r="B1894" s="126">
        <f>IFERROR(__xludf.DUMMYFUNCTION("""COMPUTED_VALUE"""),46187.0)</f>
        <v>46187</v>
      </c>
      <c r="C1894" s="130">
        <f>IFERROR(__xludf.DUMMYFUNCTION("""COMPUTED_VALUE"""),0.37797453703703704)</f>
        <v>0.377974537</v>
      </c>
      <c r="D1894" s="122" t="str">
        <f>IFERROR(__xludf.DUMMYFUNCTION("""COMPUTED_VALUE"""),"KICK")</f>
        <v>KICK</v>
      </c>
      <c r="E1894" s="122" t="str">
        <f>IFERROR(__xludf.DUMMYFUNCTION("""COMPUTED_VALUE"""),"KickDrop Sneakers")</f>
        <v>KickDrop Sneakers</v>
      </c>
      <c r="F1894" s="122" t="str">
        <f>IFERROR(__xludf.DUMMYFUNCTION("""COMPUTED_VALUE"""),"Fashion")</f>
        <v>Fashion</v>
      </c>
    </row>
    <row r="1895">
      <c r="A1895" s="131">
        <f>IFERROR(__xludf.DUMMYFUNCTION("""COMPUTED_VALUE"""),46187.377974537034)</f>
        <v>46187.37797</v>
      </c>
      <c r="B1895" s="126">
        <f>IFERROR(__xludf.DUMMYFUNCTION("""COMPUTED_VALUE"""),46187.0)</f>
        <v>46187</v>
      </c>
      <c r="C1895" s="130">
        <f>IFERROR(__xludf.DUMMYFUNCTION("""COMPUTED_VALUE"""),0.37797453703703704)</f>
        <v>0.377974537</v>
      </c>
      <c r="D1895" s="122" t="str">
        <f>IFERROR(__xludf.DUMMYFUNCTION("""COMPUTED_VALUE"""),"GLAM")</f>
        <v>GLAM</v>
      </c>
      <c r="E1895" s="122" t="str">
        <f>IFERROR(__xludf.DUMMYFUNCTION("""COMPUTED_VALUE"""),"Glow Cosmetics")</f>
        <v>Glow Cosmetics</v>
      </c>
      <c r="F1895" s="122" t="str">
        <f>IFERROR(__xludf.DUMMYFUNCTION("""COMPUTED_VALUE"""),"Fashion")</f>
        <v>Fashion</v>
      </c>
    </row>
    <row r="1896">
      <c r="A1896" s="131">
        <f>IFERROR(__xludf.DUMMYFUNCTION("""COMPUTED_VALUE"""),46187.377974537034)</f>
        <v>46187.37797</v>
      </c>
      <c r="B1896" s="126">
        <f>IFERROR(__xludf.DUMMYFUNCTION("""COMPUTED_VALUE"""),46187.0)</f>
        <v>46187</v>
      </c>
      <c r="C1896" s="130">
        <f>IFERROR(__xludf.DUMMYFUNCTION("""COMPUTED_VALUE"""),0.37797453703703704)</f>
        <v>0.377974537</v>
      </c>
      <c r="D1896" s="122" t="str">
        <f>IFERROR(__xludf.DUMMYFUNCTION("""COMPUTED_VALUE"""),"BAGG")</f>
        <v>BAGG</v>
      </c>
      <c r="E1896" s="122" t="str">
        <f>IFERROR(__xludf.DUMMYFUNCTION("""COMPUTED_VALUE"""),"BagVault")</f>
        <v>BagVault</v>
      </c>
      <c r="F1896" s="122" t="str">
        <f>IFERROR(__xludf.DUMMYFUNCTION("""COMPUTED_VALUE"""),"Fashion")</f>
        <v>Fashion</v>
      </c>
    </row>
    <row r="1897">
      <c r="A1897" s="131">
        <f>IFERROR(__xludf.DUMMYFUNCTION("""COMPUTED_VALUE"""),46187.377974537034)</f>
        <v>46187.37797</v>
      </c>
      <c r="B1897" s="126">
        <f>IFERROR(__xludf.DUMMYFUNCTION("""COMPUTED_VALUE"""),46187.0)</f>
        <v>46187</v>
      </c>
      <c r="C1897" s="130">
        <f>IFERROR(__xludf.DUMMYFUNCTION("""COMPUTED_VALUE"""),0.37797453703703704)</f>
        <v>0.377974537</v>
      </c>
      <c r="D1897" s="122" t="str">
        <f>IFERROR(__xludf.DUMMYFUNCTION("""COMPUTED_VALUE"""),"FAST")</f>
        <v>FAST</v>
      </c>
      <c r="E1897" s="122" t="str">
        <f>IFERROR(__xludf.DUMMYFUNCTION("""COMPUTED_VALUE"""),"Flash Logistics")</f>
        <v>Flash Logistics</v>
      </c>
      <c r="F1897" s="122" t="str">
        <f>IFERROR(__xludf.DUMMYFUNCTION("""COMPUTED_VALUE"""),"Logistics")</f>
        <v>Logistics</v>
      </c>
    </row>
    <row r="1898">
      <c r="A1898" s="131">
        <f>IFERROR(__xludf.DUMMYFUNCTION("""COMPUTED_VALUE"""),46187.377974537034)</f>
        <v>46187.37797</v>
      </c>
      <c r="B1898" s="126">
        <f>IFERROR(__xludf.DUMMYFUNCTION("""COMPUTED_VALUE"""),46187.0)</f>
        <v>46187</v>
      </c>
      <c r="C1898" s="130">
        <f>IFERROR(__xludf.DUMMYFUNCTION("""COMPUTED_VALUE"""),0.37797453703703704)</f>
        <v>0.377974537</v>
      </c>
      <c r="D1898" s="122" t="str">
        <f>IFERROR(__xludf.DUMMYFUNCTION("""COMPUTED_VALUE"""),"SHIP")</f>
        <v>SHIP</v>
      </c>
      <c r="E1898" s="122" t="str">
        <f>IFERROR(__xludf.DUMMYFUNCTION("""COMPUTED_VALUE"""),"Seoul Shipping")</f>
        <v>Seoul Shipping</v>
      </c>
      <c r="F1898" s="122" t="str">
        <f>IFERROR(__xludf.DUMMYFUNCTION("""COMPUTED_VALUE"""),"Logistics")</f>
        <v>Logistics</v>
      </c>
    </row>
    <row r="1899">
      <c r="A1899" s="131">
        <f>IFERROR(__xludf.DUMMYFUNCTION("""COMPUTED_VALUE"""),46187.377974537034)</f>
        <v>46187.37797</v>
      </c>
      <c r="B1899" s="126">
        <f>IFERROR(__xludf.DUMMYFUNCTION("""COMPUTED_VALUE"""),46187.0)</f>
        <v>46187</v>
      </c>
      <c r="C1899" s="130">
        <f>IFERROR(__xludf.DUMMYFUNCTION("""COMPUTED_VALUE"""),0.37797453703703704)</f>
        <v>0.377974537</v>
      </c>
      <c r="D1899" s="122" t="str">
        <f>IFERROR(__xludf.DUMMYFUNCTION("""COMPUTED_VALUE"""),"DRON")</f>
        <v>DRON</v>
      </c>
      <c r="E1899" s="122" t="str">
        <f>IFERROR(__xludf.DUMMYFUNCTION("""COMPUTED_VALUE"""),"DroneDrop")</f>
        <v>DroneDrop</v>
      </c>
      <c r="F1899" s="122" t="str">
        <f>IFERROR(__xludf.DUMMYFUNCTION("""COMPUTED_VALUE"""),"Logistics")</f>
        <v>Logistics</v>
      </c>
    </row>
    <row r="1900">
      <c r="A1900" s="131">
        <f>IFERROR(__xludf.DUMMYFUNCTION("""COMPUTED_VALUE"""),46187.377974537034)</f>
        <v>46187.37797</v>
      </c>
      <c r="B1900" s="126">
        <f>IFERROR(__xludf.DUMMYFUNCTION("""COMPUTED_VALUE"""),46187.0)</f>
        <v>46187</v>
      </c>
      <c r="C1900" s="130">
        <f>IFERROR(__xludf.DUMMYFUNCTION("""COMPUTED_VALUE"""),0.37797453703703704)</f>
        <v>0.377974537</v>
      </c>
      <c r="D1900" s="122" t="str">
        <f>IFERROR(__xludf.DUMMYFUNCTION("""COMPUTED_VALUE"""),"RIDE")</f>
        <v>RIDE</v>
      </c>
      <c r="E1900" s="122" t="str">
        <f>IFERROR(__xludf.DUMMYFUNCTION("""COMPUTED_VALUE"""),"QuickRide")</f>
        <v>QuickRide</v>
      </c>
      <c r="F1900" s="122" t="str">
        <f>IFERROR(__xludf.DUMMYFUNCTION("""COMPUTED_VALUE"""),"Transportation")</f>
        <v>Transportation</v>
      </c>
    </row>
    <row r="1901">
      <c r="A1901" s="131">
        <f>IFERROR(__xludf.DUMMYFUNCTION("""COMPUTED_VALUE"""),46187.377974537034)</f>
        <v>46187.37797</v>
      </c>
      <c r="B1901" s="126">
        <f>IFERROR(__xludf.DUMMYFUNCTION("""COMPUTED_VALUE"""),46187.0)</f>
        <v>46187</v>
      </c>
      <c r="C1901" s="130">
        <f>IFERROR(__xludf.DUMMYFUNCTION("""COMPUTED_VALUE"""),0.37797453703703704)</f>
        <v>0.377974537</v>
      </c>
      <c r="D1901" s="122" t="str">
        <f>IFERROR(__xludf.DUMMYFUNCTION("""COMPUTED_VALUE"""),"RAIL")</f>
        <v>RAIL</v>
      </c>
      <c r="E1901" s="122" t="str">
        <f>IFERROR(__xludf.DUMMYFUNCTION("""COMPUTED_VALUE"""),"MetroRail Corp")</f>
        <v>MetroRail Corp</v>
      </c>
      <c r="F1901" s="122" t="str">
        <f>IFERROR(__xludf.DUMMYFUNCTION("""COMPUTED_VALUE"""),"Transportation")</f>
        <v>Transportation</v>
      </c>
    </row>
    <row r="1902">
      <c r="A1902" s="131">
        <f>IFERROR(__xludf.DUMMYFUNCTION("""COMPUTED_VALUE"""),46187.377974537034)</f>
        <v>46187.37797</v>
      </c>
      <c r="B1902" s="126">
        <f>IFERROR(__xludf.DUMMYFUNCTION("""COMPUTED_VALUE"""),46187.0)</f>
        <v>46187</v>
      </c>
      <c r="C1902" s="130">
        <f>IFERROR(__xludf.DUMMYFUNCTION("""COMPUTED_VALUE"""),0.37797453703703704)</f>
        <v>0.377974537</v>
      </c>
      <c r="D1902" s="122" t="str">
        <f>IFERROR(__xludf.DUMMYFUNCTION("""COMPUTED_VALUE"""),"MEDX")</f>
        <v>MEDX</v>
      </c>
      <c r="E1902" s="122" t="str">
        <f>IFERROR(__xludf.DUMMYFUNCTION("""COMPUTED_VALUE"""),"MediCore")</f>
        <v>MediCore</v>
      </c>
      <c r="F1902" s="122" t="str">
        <f>IFERROR(__xludf.DUMMYFUNCTION("""COMPUTED_VALUE"""),"Healthcare")</f>
        <v>Healthcare</v>
      </c>
    </row>
    <row r="1903">
      <c r="A1903" s="131">
        <f>IFERROR(__xludf.DUMMYFUNCTION("""COMPUTED_VALUE"""),46187.377974537034)</f>
        <v>46187.37797</v>
      </c>
      <c r="B1903" s="126">
        <f>IFERROR(__xludf.DUMMYFUNCTION("""COMPUTED_VALUE"""),46187.0)</f>
        <v>46187</v>
      </c>
      <c r="C1903" s="130">
        <f>IFERROR(__xludf.DUMMYFUNCTION("""COMPUTED_VALUE"""),0.37797453703703704)</f>
        <v>0.377974537</v>
      </c>
      <c r="D1903" s="122" t="str">
        <f>IFERROR(__xludf.DUMMYFUNCTION("""COMPUTED_VALUE"""),"GYMX")</f>
        <v>GYMX</v>
      </c>
      <c r="E1903" s="122" t="str">
        <f>IFERROR(__xludf.DUMMYFUNCTION("""COMPUTED_VALUE"""),"GymX Fitness")</f>
        <v>GymX Fitness</v>
      </c>
      <c r="F1903" s="122" t="str">
        <f>IFERROR(__xludf.DUMMYFUNCTION("""COMPUTED_VALUE"""),"Healthcare")</f>
        <v>Healthcare</v>
      </c>
    </row>
    <row r="1904">
      <c r="A1904" s="131">
        <f>IFERROR(__xludf.DUMMYFUNCTION("""COMPUTED_VALUE"""),46187.377974537034)</f>
        <v>46187.37797</v>
      </c>
      <c r="B1904" s="126">
        <f>IFERROR(__xludf.DUMMYFUNCTION("""COMPUTED_VALUE"""),46187.0)</f>
        <v>46187</v>
      </c>
      <c r="C1904" s="130">
        <f>IFERROR(__xludf.DUMMYFUNCTION("""COMPUTED_VALUE"""),0.37797453703703704)</f>
        <v>0.377974537</v>
      </c>
      <c r="D1904" s="122" t="str">
        <f>IFERROR(__xludf.DUMMYFUNCTION("""COMPUTED_VALUE"""),"VITA")</f>
        <v>VITA</v>
      </c>
      <c r="E1904" s="122" t="str">
        <f>IFERROR(__xludf.DUMMYFUNCTION("""COMPUTED_VALUE"""),"VitaPlus")</f>
        <v>VitaPlus</v>
      </c>
      <c r="F1904" s="122" t="str">
        <f>IFERROR(__xludf.DUMMYFUNCTION("""COMPUTED_VALUE"""),"Healthcare")</f>
        <v>Healthcare</v>
      </c>
    </row>
    <row r="1905">
      <c r="A1905" s="131">
        <f>IFERROR(__xludf.DUMMYFUNCTION("""COMPUTED_VALUE"""),46187.377974537034)</f>
        <v>46187.37797</v>
      </c>
      <c r="B1905" s="126">
        <f>IFERROR(__xludf.DUMMYFUNCTION("""COMPUTED_VALUE"""),46187.0)</f>
        <v>46187</v>
      </c>
      <c r="C1905" s="130">
        <f>IFERROR(__xludf.DUMMYFUNCTION("""COMPUTED_VALUE"""),0.37797453703703704)</f>
        <v>0.377974537</v>
      </c>
      <c r="D1905" s="122" t="str">
        <f>IFERROR(__xludf.DUMMYFUNCTION("""COMPUTED_VALUE"""),"CARE")</f>
        <v>CARE</v>
      </c>
      <c r="E1905" s="122" t="str">
        <f>IFERROR(__xludf.DUMMYFUNCTION("""COMPUTED_VALUE"""),"CareCloud")</f>
        <v>CareCloud</v>
      </c>
      <c r="F1905" s="122" t="str">
        <f>IFERROR(__xludf.DUMMYFUNCTION("""COMPUTED_VALUE"""),"Healthcare")</f>
        <v>Healthcare</v>
      </c>
    </row>
    <row r="1906">
      <c r="A1906" s="131">
        <f>IFERROR(__xludf.DUMMYFUNCTION("""COMPUTED_VALUE"""),46187.377974537034)</f>
        <v>46187.37797</v>
      </c>
      <c r="B1906" s="126">
        <f>IFERROR(__xludf.DUMMYFUNCTION("""COMPUTED_VALUE"""),46187.0)</f>
        <v>46187</v>
      </c>
      <c r="C1906" s="130">
        <f>IFERROR(__xludf.DUMMYFUNCTION("""COMPUTED_VALUE"""),0.37797453703703704)</f>
        <v>0.377974537</v>
      </c>
      <c r="D1906" s="122" t="str">
        <f>IFERROR(__xludf.DUMMYFUNCTION("""COMPUTED_VALUE"""),"DENT")</f>
        <v>DENT</v>
      </c>
      <c r="E1906" s="122" t="str">
        <f>IFERROR(__xludf.DUMMYFUNCTION("""COMPUTED_VALUE"""),"SmileWorks")</f>
        <v>SmileWorks</v>
      </c>
      <c r="F1906" s="122" t="str">
        <f>IFERROR(__xludf.DUMMYFUNCTION("""COMPUTED_VALUE"""),"Healthcare")</f>
        <v>Healthcare</v>
      </c>
    </row>
    <row r="1907">
      <c r="A1907" s="131">
        <f>IFERROR(__xludf.DUMMYFUNCTION("""COMPUTED_VALUE"""),46187.377974537034)</f>
        <v>46187.37797</v>
      </c>
      <c r="B1907" s="126">
        <f>IFERROR(__xludf.DUMMYFUNCTION("""COMPUTED_VALUE"""),46187.0)</f>
        <v>46187</v>
      </c>
      <c r="C1907" s="130">
        <f>IFERROR(__xludf.DUMMYFUNCTION("""COMPUTED_VALUE"""),0.37797453703703704)</f>
        <v>0.377974537</v>
      </c>
      <c r="D1907" s="122" t="str">
        <f>IFERROR(__xludf.DUMMYFUNCTION("""COMPUTED_VALUE"""),"EDUX")</f>
        <v>EDUX</v>
      </c>
      <c r="E1907" s="122" t="str">
        <f>IFERROR(__xludf.DUMMYFUNCTION("""COMPUTED_VALUE"""),"EduMax Learning")</f>
        <v>EduMax Learning</v>
      </c>
      <c r="F1907" s="122" t="str">
        <f>IFERROR(__xludf.DUMMYFUNCTION("""COMPUTED_VALUE"""),"Education")</f>
        <v>Education</v>
      </c>
    </row>
    <row r="1908">
      <c r="A1908" s="131">
        <f>IFERROR(__xludf.DUMMYFUNCTION("""COMPUTED_VALUE"""),46187.377974537034)</f>
        <v>46187.37797</v>
      </c>
      <c r="B1908" s="126">
        <f>IFERROR(__xludf.DUMMYFUNCTION("""COMPUTED_VALUE"""),46187.0)</f>
        <v>46187</v>
      </c>
      <c r="C1908" s="130">
        <f>IFERROR(__xludf.DUMMYFUNCTION("""COMPUTED_VALUE"""),0.37797453703703704)</f>
        <v>0.377974537</v>
      </c>
      <c r="D1908" s="122" t="str">
        <f>IFERROR(__xludf.DUMMYFUNCTION("""COMPUTED_VALUE"""),"BOOK")</f>
        <v>BOOK</v>
      </c>
      <c r="E1908" s="122" t="str">
        <f>IFERROR(__xludf.DUMMYFUNCTION("""COMPUTED_VALUE"""),"BookBridge")</f>
        <v>BookBridge</v>
      </c>
      <c r="F1908" s="122" t="str">
        <f>IFERROR(__xludf.DUMMYFUNCTION("""COMPUTED_VALUE"""),"Education")</f>
        <v>Education</v>
      </c>
    </row>
    <row r="1909">
      <c r="A1909" s="131">
        <f>IFERROR(__xludf.DUMMYFUNCTION("""COMPUTED_VALUE"""),46187.377974537034)</f>
        <v>46187.37797</v>
      </c>
      <c r="B1909" s="126">
        <f>IFERROR(__xludf.DUMMYFUNCTION("""COMPUTED_VALUE"""),46187.0)</f>
        <v>46187</v>
      </c>
      <c r="C1909" s="130">
        <f>IFERROR(__xludf.DUMMYFUNCTION("""COMPUTED_VALUE"""),0.37797453703703704)</f>
        <v>0.377974537</v>
      </c>
      <c r="D1909" s="122" t="str">
        <f>IFERROR(__xludf.DUMMYFUNCTION("""COMPUTED_VALUE"""),"TUTR")</f>
        <v>TUTR</v>
      </c>
      <c r="E1909" s="122" t="str">
        <f>IFERROR(__xludf.DUMMYFUNCTION("""COMPUTED_VALUE"""),"TutorTown")</f>
        <v>TutorTown</v>
      </c>
      <c r="F1909" s="122" t="str">
        <f>IFERROR(__xludf.DUMMYFUNCTION("""COMPUTED_VALUE"""),"Education")</f>
        <v>Education</v>
      </c>
    </row>
    <row r="1910">
      <c r="A1910" s="131">
        <f>IFERROR(__xludf.DUMMYFUNCTION("""COMPUTED_VALUE"""),46187.377974537034)</f>
        <v>46187.37797</v>
      </c>
      <c r="B1910" s="126">
        <f>IFERROR(__xludf.DUMMYFUNCTION("""COMPUTED_VALUE"""),46187.0)</f>
        <v>46187</v>
      </c>
      <c r="C1910" s="130">
        <f>IFERROR(__xludf.DUMMYFUNCTION("""COMPUTED_VALUE"""),0.37797453703703704)</f>
        <v>0.377974537</v>
      </c>
      <c r="D1910" s="122" t="str">
        <f>IFERROR(__xludf.DUMMYFUNCTION("""COMPUTED_VALUE"""),"LANG")</f>
        <v>LANG</v>
      </c>
      <c r="E1910" s="122" t="str">
        <f>IFERROR(__xludf.DUMMYFUNCTION("""COMPUTED_VALUE"""),"LinguaLab")</f>
        <v>LinguaLab</v>
      </c>
      <c r="F1910" s="122" t="str">
        <f>IFERROR(__xludf.DUMMYFUNCTION("""COMPUTED_VALUE"""),"Education")</f>
        <v>Education</v>
      </c>
    </row>
    <row r="1911">
      <c r="A1911" s="131">
        <f>IFERROR(__xludf.DUMMYFUNCTION("""COMPUTED_VALUE"""),46187.377974537034)</f>
        <v>46187.37797</v>
      </c>
      <c r="B1911" s="126">
        <f>IFERROR(__xludf.DUMMYFUNCTION("""COMPUTED_VALUE"""),46187.0)</f>
        <v>46187</v>
      </c>
      <c r="C1911" s="130">
        <f>IFERROR(__xludf.DUMMYFUNCTION("""COMPUTED_VALUE"""),0.37797453703703704)</f>
        <v>0.377974537</v>
      </c>
      <c r="D1911" s="122" t="str">
        <f>IFERROR(__xludf.DUMMYFUNCTION("""COMPUTED_VALUE"""),"TEST")</f>
        <v>TEST</v>
      </c>
      <c r="E1911" s="122" t="str">
        <f>IFERROR(__xludf.DUMMYFUNCTION("""COMPUTED_VALUE"""),"TestPrep Pro")</f>
        <v>TestPrep Pro</v>
      </c>
      <c r="F1911" s="122" t="str">
        <f>IFERROR(__xludf.DUMMYFUNCTION("""COMPUTED_VALUE"""),"Education")</f>
        <v>Education</v>
      </c>
    </row>
    <row r="1912">
      <c r="A1912" s="131">
        <f>IFERROR(__xludf.DUMMYFUNCTION("""COMPUTED_VALUE"""),46187.377974537034)</f>
        <v>46187.37797</v>
      </c>
      <c r="B1912" s="126">
        <f>IFERROR(__xludf.DUMMYFUNCTION("""COMPUTED_VALUE"""),46187.0)</f>
        <v>46187</v>
      </c>
      <c r="C1912" s="130">
        <f>IFERROR(__xludf.DUMMYFUNCTION("""COMPUTED_VALUE"""),0.37797453703703704)</f>
        <v>0.377974537</v>
      </c>
      <c r="D1912" s="122" t="str">
        <f>IFERROR(__xludf.DUMMYFUNCTION("""COMPUTED_VALUE"""),"MOVI")</f>
        <v>MOVI</v>
      </c>
      <c r="E1912" s="122" t="str">
        <f>IFERROR(__xludf.DUMMYFUNCTION("""COMPUTED_VALUE"""),"MovieBox")</f>
        <v>MovieBox</v>
      </c>
      <c r="F1912" s="122" t="str">
        <f>IFERROR(__xludf.DUMMYFUNCTION("""COMPUTED_VALUE"""),"Entertainment")</f>
        <v>Entertainment</v>
      </c>
    </row>
    <row r="1913">
      <c r="A1913" s="131">
        <f>IFERROR(__xludf.DUMMYFUNCTION("""COMPUTED_VALUE"""),46187.377974537034)</f>
        <v>46187.37797</v>
      </c>
      <c r="B1913" s="126">
        <f>IFERROR(__xludf.DUMMYFUNCTION("""COMPUTED_VALUE"""),46187.0)</f>
        <v>46187</v>
      </c>
      <c r="C1913" s="130">
        <f>IFERROR(__xludf.DUMMYFUNCTION("""COMPUTED_VALUE"""),0.37797453703703704)</f>
        <v>0.377974537</v>
      </c>
      <c r="D1913" s="122" t="str">
        <f>IFERROR(__xludf.DUMMYFUNCTION("""COMPUTED_VALUE"""),"MUSC")</f>
        <v>MUSC</v>
      </c>
      <c r="E1913" s="122" t="str">
        <f>IFERROR(__xludf.DUMMYFUNCTION("""COMPUTED_VALUE"""),"MusicWave")</f>
        <v>MusicWave</v>
      </c>
      <c r="F1913" s="122" t="str">
        <f>IFERROR(__xludf.DUMMYFUNCTION("""COMPUTED_VALUE"""),"Entertainment")</f>
        <v>Entertainment</v>
      </c>
    </row>
    <row r="1914">
      <c r="A1914" s="131">
        <f>IFERROR(__xludf.DUMMYFUNCTION("""COMPUTED_VALUE"""),46187.377974537034)</f>
        <v>46187.37797</v>
      </c>
      <c r="B1914" s="126">
        <f>IFERROR(__xludf.DUMMYFUNCTION("""COMPUTED_VALUE"""),46187.0)</f>
        <v>46187</v>
      </c>
      <c r="C1914" s="130">
        <f>IFERROR(__xludf.DUMMYFUNCTION("""COMPUTED_VALUE"""),0.37797453703703704)</f>
        <v>0.377974537</v>
      </c>
      <c r="D1914" s="122" t="str">
        <f>IFERROR(__xludf.DUMMYFUNCTION("""COMPUTED_VALUE"""),"IDOL")</f>
        <v>IDOL</v>
      </c>
      <c r="E1914" s="122" t="str">
        <f>IFERROR(__xludf.DUMMYFUNCTION("""COMPUTED_VALUE"""),"Idol Agency")</f>
        <v>Idol Agency</v>
      </c>
      <c r="F1914" s="122" t="str">
        <f>IFERROR(__xludf.DUMMYFUNCTION("""COMPUTED_VALUE"""),"Entertainment")</f>
        <v>Entertainment</v>
      </c>
    </row>
    <row r="1915">
      <c r="A1915" s="131">
        <f>IFERROR(__xludf.DUMMYFUNCTION("""COMPUTED_VALUE"""),46187.377974537034)</f>
        <v>46187.37797</v>
      </c>
      <c r="B1915" s="126">
        <f>IFERROR(__xludf.DUMMYFUNCTION("""COMPUTED_VALUE"""),46187.0)</f>
        <v>46187</v>
      </c>
      <c r="C1915" s="130">
        <f>IFERROR(__xludf.DUMMYFUNCTION("""COMPUTED_VALUE"""),0.37797453703703704)</f>
        <v>0.377974537</v>
      </c>
      <c r="D1915" s="122" t="str">
        <f>IFERROR(__xludf.DUMMYFUNCTION("""COMPUTED_VALUE"""),"MEME")</f>
        <v>MEME</v>
      </c>
      <c r="E1915" s="122" t="str">
        <f>IFERROR(__xludf.DUMMYFUNCTION("""COMPUTED_VALUE"""),"Meme Media")</f>
        <v>Meme Media</v>
      </c>
      <c r="F1915" s="122" t="str">
        <f>IFERROR(__xludf.DUMMYFUNCTION("""COMPUTED_VALUE"""),"Entertainment")</f>
        <v>Entertainment</v>
      </c>
    </row>
    <row r="1916">
      <c r="A1916" s="131">
        <f>IFERROR(__xludf.DUMMYFUNCTION("""COMPUTED_VALUE"""),46187.377974537034)</f>
        <v>46187.37797</v>
      </c>
      <c r="B1916" s="126">
        <f>IFERROR(__xludf.DUMMYFUNCTION("""COMPUTED_VALUE"""),46187.0)</f>
        <v>46187</v>
      </c>
      <c r="C1916" s="130">
        <f>IFERROR(__xludf.DUMMYFUNCTION("""COMPUTED_VALUE"""),0.37797453703703704)</f>
        <v>0.377974537</v>
      </c>
      <c r="D1916" s="122" t="str">
        <f>IFERROR(__xludf.DUMMYFUNCTION("""COMPUTED_VALUE"""),"STRM")</f>
        <v>STRM</v>
      </c>
      <c r="E1916" s="122" t="str">
        <f>IFERROR(__xludf.DUMMYFUNCTION("""COMPUTED_VALUE"""),"Streamly")</f>
        <v>Streamly</v>
      </c>
      <c r="F1916" s="122" t="str">
        <f>IFERROR(__xludf.DUMMYFUNCTION("""COMPUTED_VALUE"""),"Entertainment")</f>
        <v>Entertainment</v>
      </c>
    </row>
    <row r="1917">
      <c r="A1917" s="131">
        <f>IFERROR(__xludf.DUMMYFUNCTION("""COMPUTED_VALUE"""),46187.377974537034)</f>
        <v>46187.37797</v>
      </c>
      <c r="B1917" s="126">
        <f>IFERROR(__xludf.DUMMYFUNCTION("""COMPUTED_VALUE"""),46187.0)</f>
        <v>46187</v>
      </c>
      <c r="C1917" s="130">
        <f>IFERROR(__xludf.DUMMYFUNCTION("""COMPUTED_VALUE"""),0.37797453703703704)</f>
        <v>0.377974537</v>
      </c>
      <c r="D1917" s="122" t="str">
        <f>IFERROR(__xludf.DUMMYFUNCTION("""COMPUTED_VALUE"""),"FARM")</f>
        <v>FARM</v>
      </c>
      <c r="E1917" s="122" t="str">
        <f>IFERROR(__xludf.DUMMYFUNCTION("""COMPUTED_VALUE"""),"Future Farms")</f>
        <v>Future Farms</v>
      </c>
      <c r="F1917" s="122" t="str">
        <f>IFERROR(__xludf.DUMMYFUNCTION("""COMPUTED_VALUE"""),"Agriculture")</f>
        <v>Agriculture</v>
      </c>
    </row>
    <row r="1918">
      <c r="A1918" s="131">
        <f>IFERROR(__xludf.DUMMYFUNCTION("""COMPUTED_VALUE"""),46187.377974537034)</f>
        <v>46187.37797</v>
      </c>
      <c r="B1918" s="126">
        <f>IFERROR(__xludf.DUMMYFUNCTION("""COMPUTED_VALUE"""),46187.0)</f>
        <v>46187</v>
      </c>
      <c r="C1918" s="130">
        <f>IFERROR(__xludf.DUMMYFUNCTION("""COMPUTED_VALUE"""),0.37797453703703704)</f>
        <v>0.377974537</v>
      </c>
      <c r="D1918" s="122" t="str">
        <f>IFERROR(__xludf.DUMMYFUNCTION("""COMPUTED_VALUE"""),"MEAT")</f>
        <v>MEAT</v>
      </c>
      <c r="E1918" s="122" t="str">
        <f>IFERROR(__xludf.DUMMYFUNCTION("""COMPUTED_VALUE"""),"MeatWorks")</f>
        <v>MeatWorks</v>
      </c>
      <c r="F1918" s="122" t="str">
        <f>IFERROR(__xludf.DUMMYFUNCTION("""COMPUTED_VALUE"""),"Food")</f>
        <v>Food</v>
      </c>
    </row>
    <row r="1919">
      <c r="A1919" s="131">
        <f>IFERROR(__xludf.DUMMYFUNCTION("""COMPUTED_VALUE"""),46187.377974537034)</f>
        <v>46187.37797</v>
      </c>
      <c r="B1919" s="126">
        <f>IFERROR(__xludf.DUMMYFUNCTION("""COMPUTED_VALUE"""),46187.0)</f>
        <v>46187</v>
      </c>
      <c r="C1919" s="130">
        <f>IFERROR(__xludf.DUMMYFUNCTION("""COMPUTED_VALUE"""),0.37797453703703704)</f>
        <v>0.377974537</v>
      </c>
      <c r="D1919" s="122" t="str">
        <f>IFERROR(__xludf.DUMMYFUNCTION("""COMPUTED_VALUE"""),"VEGI")</f>
        <v>VEGI</v>
      </c>
      <c r="E1919" s="122" t="str">
        <f>IFERROR(__xludf.DUMMYFUNCTION("""COMPUTED_VALUE"""),"Green Basket")</f>
        <v>Green Basket</v>
      </c>
      <c r="F1919" s="122" t="str">
        <f>IFERROR(__xludf.DUMMYFUNCTION("""COMPUTED_VALUE"""),"Food")</f>
        <v>Food</v>
      </c>
    </row>
    <row r="1920">
      <c r="A1920" s="131">
        <f>IFERROR(__xludf.DUMMYFUNCTION("""COMPUTED_VALUE"""),46187.377974537034)</f>
        <v>46187.37797</v>
      </c>
      <c r="B1920" s="126">
        <f>IFERROR(__xludf.DUMMYFUNCTION("""COMPUTED_VALUE"""),46187.0)</f>
        <v>46187</v>
      </c>
      <c r="C1920" s="130">
        <f>IFERROR(__xludf.DUMMYFUNCTION("""COMPUTED_VALUE"""),0.37797453703703704)</f>
        <v>0.377974537</v>
      </c>
      <c r="D1920" s="122" t="str">
        <f>IFERROR(__xludf.DUMMYFUNCTION("""COMPUTED_VALUE"""),"CAFE")</f>
        <v>CAFE</v>
      </c>
      <c r="E1920" s="122" t="str">
        <f>IFERROR(__xludf.DUMMYFUNCTION("""COMPUTED_VALUE"""),"Cafe Cloud")</f>
        <v>Cafe Cloud</v>
      </c>
      <c r="F1920" s="122" t="str">
        <f>IFERROR(__xludf.DUMMYFUNCTION("""COMPUTED_VALUE"""),"Food")</f>
        <v>Food</v>
      </c>
    </row>
    <row r="1921">
      <c r="A1921" s="131">
        <f>IFERROR(__xludf.DUMMYFUNCTION("""COMPUTED_VALUE"""),46187.377974537034)</f>
        <v>46187.37797</v>
      </c>
      <c r="B1921" s="126">
        <f>IFERROR(__xludf.DUMMYFUNCTION("""COMPUTED_VALUE"""),46187.0)</f>
        <v>46187</v>
      </c>
      <c r="C1921" s="130">
        <f>IFERROR(__xludf.DUMMYFUNCTION("""COMPUTED_VALUE"""),0.37797453703703704)</f>
        <v>0.377974537</v>
      </c>
      <c r="D1921" s="122" t="str">
        <f>IFERROR(__xludf.DUMMYFUNCTION("""COMPUTED_VALUE"""),"BAKE")</f>
        <v>BAKE</v>
      </c>
      <c r="E1921" s="122" t="str">
        <f>IFERROR(__xludf.DUMMYFUNCTION("""COMPUTED_VALUE"""),"BakeHouse")</f>
        <v>BakeHouse</v>
      </c>
      <c r="F1921" s="122" t="str">
        <f>IFERROR(__xludf.DUMMYFUNCTION("""COMPUTED_VALUE"""),"Food")</f>
        <v>Food</v>
      </c>
    </row>
    <row r="1922">
      <c r="A1922" s="131">
        <f>IFERROR(__xludf.DUMMYFUNCTION("""COMPUTED_VALUE"""),46187.377974537034)</f>
        <v>46187.37797</v>
      </c>
      <c r="B1922" s="126">
        <f>IFERROR(__xludf.DUMMYFUNCTION("""COMPUTED_VALUE"""),46187.0)</f>
        <v>46187</v>
      </c>
      <c r="C1922" s="130">
        <f>IFERROR(__xludf.DUMMYFUNCTION("""COMPUTED_VALUE"""),0.37797453703703704)</f>
        <v>0.377974537</v>
      </c>
      <c r="D1922" s="122" t="str">
        <f>IFERROR(__xludf.DUMMYFUNCTION("""COMPUTED_VALUE"""),"OILX")</f>
        <v>OILX</v>
      </c>
      <c r="E1922" s="122" t="str">
        <f>IFERROR(__xludf.DUMMYFUNCTION("""COMPUTED_VALUE"""),"OilMax Energy")</f>
        <v>OilMax Energy</v>
      </c>
      <c r="F1922" s="122" t="str">
        <f>IFERROR(__xludf.DUMMYFUNCTION("""COMPUTED_VALUE"""),"Energy")</f>
        <v>Energy</v>
      </c>
    </row>
    <row r="1923">
      <c r="A1923" s="131">
        <f>IFERROR(__xludf.DUMMYFUNCTION("""COMPUTED_VALUE"""),46187.377974537034)</f>
        <v>46187.37797</v>
      </c>
      <c r="B1923" s="126">
        <f>IFERROR(__xludf.DUMMYFUNCTION("""COMPUTED_VALUE"""),46187.0)</f>
        <v>46187</v>
      </c>
      <c r="C1923" s="130">
        <f>IFERROR(__xludf.DUMMYFUNCTION("""COMPUTED_VALUE"""),0.37797453703703704)</f>
        <v>0.377974537</v>
      </c>
      <c r="D1923" s="122" t="str">
        <f>IFERROR(__xludf.DUMMYFUNCTION("""COMPUTED_VALUE"""),"SOLR")</f>
        <v>SOLR</v>
      </c>
      <c r="E1923" s="122" t="str">
        <f>IFERROR(__xludf.DUMMYFUNCTION("""COMPUTED_VALUE"""),"SolarSpark")</f>
        <v>SolarSpark</v>
      </c>
      <c r="F1923" s="122" t="str">
        <f>IFERROR(__xludf.DUMMYFUNCTION("""COMPUTED_VALUE"""),"Energy")</f>
        <v>Energy</v>
      </c>
    </row>
    <row r="1924">
      <c r="A1924" s="131">
        <f>IFERROR(__xludf.DUMMYFUNCTION("""COMPUTED_VALUE"""),46187.377974537034)</f>
        <v>46187.37797</v>
      </c>
      <c r="B1924" s="126">
        <f>IFERROR(__xludf.DUMMYFUNCTION("""COMPUTED_VALUE"""),46187.0)</f>
        <v>46187</v>
      </c>
      <c r="C1924" s="130">
        <f>IFERROR(__xludf.DUMMYFUNCTION("""COMPUTED_VALUE"""),0.37797453703703704)</f>
        <v>0.377974537</v>
      </c>
      <c r="D1924" s="122" t="str">
        <f>IFERROR(__xludf.DUMMYFUNCTION("""COMPUTED_VALUE"""),"BATT")</f>
        <v>BATT</v>
      </c>
      <c r="E1924" s="122" t="str">
        <f>IFERROR(__xludf.DUMMYFUNCTION("""COMPUTED_VALUE"""),"BatteryBox")</f>
        <v>BatteryBox</v>
      </c>
      <c r="F1924" s="122" t="str">
        <f>IFERROR(__xludf.DUMMYFUNCTION("""COMPUTED_VALUE"""),"Energy")</f>
        <v>Energy</v>
      </c>
    </row>
    <row r="1925">
      <c r="A1925" s="131">
        <f>IFERROR(__xludf.DUMMYFUNCTION("""COMPUTED_VALUE"""),46187.377974537034)</f>
        <v>46187.37797</v>
      </c>
      <c r="B1925" s="126">
        <f>IFERROR(__xludf.DUMMYFUNCTION("""COMPUTED_VALUE"""),46187.0)</f>
        <v>46187</v>
      </c>
      <c r="C1925" s="130">
        <f>IFERROR(__xludf.DUMMYFUNCTION("""COMPUTED_VALUE"""),0.37797453703703704)</f>
        <v>0.377974537</v>
      </c>
      <c r="D1925" s="122" t="str">
        <f>IFERROR(__xludf.DUMMYFUNCTION("""COMPUTED_VALUE"""),"WIND")</f>
        <v>WIND</v>
      </c>
      <c r="E1925" s="122" t="str">
        <f>IFERROR(__xludf.DUMMYFUNCTION("""COMPUTED_VALUE"""),"WindWorks")</f>
        <v>WindWorks</v>
      </c>
      <c r="F1925" s="122" t="str">
        <f>IFERROR(__xludf.DUMMYFUNCTION("""COMPUTED_VALUE"""),"Energy")</f>
        <v>Energy</v>
      </c>
    </row>
    <row r="1926">
      <c r="A1926" s="131">
        <f>IFERROR(__xludf.DUMMYFUNCTION("""COMPUTED_VALUE"""),46187.377974537034)</f>
        <v>46187.37797</v>
      </c>
      <c r="B1926" s="126">
        <f>IFERROR(__xludf.DUMMYFUNCTION("""COMPUTED_VALUE"""),46187.0)</f>
        <v>46187</v>
      </c>
      <c r="C1926" s="130">
        <f>IFERROR(__xludf.DUMMYFUNCTION("""COMPUTED_VALUE"""),0.37797453703703704)</f>
        <v>0.377974537</v>
      </c>
      <c r="D1926" s="122" t="str">
        <f>IFERROR(__xludf.DUMMYFUNCTION("""COMPUTED_VALUE"""),"GRID")</f>
        <v>GRID</v>
      </c>
      <c r="E1926" s="122" t="str">
        <f>IFERROR(__xludf.DUMMYFUNCTION("""COMPUTED_VALUE"""),"GridPower")</f>
        <v>GridPower</v>
      </c>
      <c r="F1926" s="122" t="str">
        <f>IFERROR(__xludf.DUMMYFUNCTION("""COMPUTED_VALUE"""),"Energy")</f>
        <v>Energy</v>
      </c>
    </row>
    <row r="1927">
      <c r="A1927" s="131">
        <f>IFERROR(__xludf.DUMMYFUNCTION("""COMPUTED_VALUE"""),46187.377974537034)</f>
        <v>46187.37797</v>
      </c>
      <c r="B1927" s="126">
        <f>IFERROR(__xludf.DUMMYFUNCTION("""COMPUTED_VALUE"""),46187.0)</f>
        <v>46187</v>
      </c>
      <c r="C1927" s="130">
        <f>IFERROR(__xludf.DUMMYFUNCTION("""COMPUTED_VALUE"""),0.37797453703703704)</f>
        <v>0.377974537</v>
      </c>
      <c r="D1927" s="122" t="str">
        <f>IFERROR(__xludf.DUMMYFUNCTION("""COMPUTED_VALUE"""),"HOME")</f>
        <v>HOME</v>
      </c>
      <c r="E1927" s="122" t="str">
        <f>IFERROR(__xludf.DUMMYFUNCTION("""COMPUTED_VALUE"""),"HomeHub")</f>
        <v>HomeHub</v>
      </c>
      <c r="F1927" s="122" t="str">
        <f>IFERROR(__xludf.DUMMYFUNCTION("""COMPUTED_VALUE"""),"Real Estate")</f>
        <v>Real Estate</v>
      </c>
    </row>
    <row r="1928">
      <c r="A1928" s="131">
        <f>IFERROR(__xludf.DUMMYFUNCTION("""COMPUTED_VALUE"""),46187.377974537034)</f>
        <v>46187.37797</v>
      </c>
      <c r="B1928" s="126">
        <f>IFERROR(__xludf.DUMMYFUNCTION("""COMPUTED_VALUE"""),46187.0)</f>
        <v>46187</v>
      </c>
      <c r="C1928" s="130">
        <f>IFERROR(__xludf.DUMMYFUNCTION("""COMPUTED_VALUE"""),0.37797453703703704)</f>
        <v>0.377974537</v>
      </c>
      <c r="D1928" s="122" t="str">
        <f>IFERROR(__xludf.DUMMYFUNCTION("""COMPUTED_VALUE"""),"RENT")</f>
        <v>RENT</v>
      </c>
      <c r="E1928" s="122" t="str">
        <f>IFERROR(__xludf.DUMMYFUNCTION("""COMPUTED_VALUE"""),"RentRight")</f>
        <v>RentRight</v>
      </c>
      <c r="F1928" s="122" t="str">
        <f>IFERROR(__xludf.DUMMYFUNCTION("""COMPUTED_VALUE"""),"Real Estate")</f>
        <v>Real Estate</v>
      </c>
    </row>
    <row r="1929">
      <c r="A1929" s="131">
        <f>IFERROR(__xludf.DUMMYFUNCTION("""COMPUTED_VALUE"""),46187.377974537034)</f>
        <v>46187.37797</v>
      </c>
      <c r="B1929" s="126">
        <f>IFERROR(__xludf.DUMMYFUNCTION("""COMPUTED_VALUE"""),46187.0)</f>
        <v>46187</v>
      </c>
      <c r="C1929" s="130">
        <f>IFERROR(__xludf.DUMMYFUNCTION("""COMPUTED_VALUE"""),0.37797453703703704)</f>
        <v>0.377974537</v>
      </c>
      <c r="D1929" s="122" t="str">
        <f>IFERROR(__xludf.DUMMYFUNCTION("""COMPUTED_VALUE"""),"MALL")</f>
        <v>MALL</v>
      </c>
      <c r="E1929" s="122" t="str">
        <f>IFERROR(__xludf.DUMMYFUNCTION("""COMPUTED_VALUE"""),"MegaMall")</f>
        <v>MegaMall</v>
      </c>
      <c r="F1929" s="122" t="str">
        <f>IFERROR(__xludf.DUMMYFUNCTION("""COMPUTED_VALUE"""),"Real Estate")</f>
        <v>Real Estate</v>
      </c>
    </row>
    <row r="1930">
      <c r="A1930" s="131">
        <f>IFERROR(__xludf.DUMMYFUNCTION("""COMPUTED_VALUE"""),46187.377974537034)</f>
        <v>46187.37797</v>
      </c>
      <c r="B1930" s="126">
        <f>IFERROR(__xludf.DUMMYFUNCTION("""COMPUTED_VALUE"""),46187.0)</f>
        <v>46187</v>
      </c>
      <c r="C1930" s="130">
        <f>IFERROR(__xludf.DUMMYFUNCTION("""COMPUTED_VALUE"""),0.37797453703703704)</f>
        <v>0.377974537</v>
      </c>
      <c r="D1930" s="122" t="str">
        <f>IFERROR(__xludf.DUMMYFUNCTION("""COMPUTED_VALUE"""),"HOTL")</f>
        <v>HOTL</v>
      </c>
      <c r="E1930" s="122" t="str">
        <f>IFERROR(__xludf.DUMMYFUNCTION("""COMPUTED_VALUE"""),"HotelHive")</f>
        <v>HotelHive</v>
      </c>
      <c r="F1930" s="122" t="str">
        <f>IFERROR(__xludf.DUMMYFUNCTION("""COMPUTED_VALUE"""),"Real Estate")</f>
        <v>Real Estate</v>
      </c>
    </row>
    <row r="1931">
      <c r="A1931" s="131">
        <f>IFERROR(__xludf.DUMMYFUNCTION("""COMPUTED_VALUE"""),46187.377974537034)</f>
        <v>46187.37797</v>
      </c>
      <c r="B1931" s="126">
        <f>IFERROR(__xludf.DUMMYFUNCTION("""COMPUTED_VALUE"""),46187.0)</f>
        <v>46187</v>
      </c>
      <c r="C1931" s="130">
        <f>IFERROR(__xludf.DUMMYFUNCTION("""COMPUTED_VALUE"""),0.37797453703703704)</f>
        <v>0.377974537</v>
      </c>
      <c r="D1931" s="122" t="str">
        <f>IFERROR(__xludf.DUMMYFUNCTION("""COMPUTED_VALUE"""),"LAND")</f>
        <v>LAND</v>
      </c>
      <c r="E1931" s="122" t="str">
        <f>IFERROR(__xludf.DUMMYFUNCTION("""COMPUTED_VALUE"""),"LandLink")</f>
        <v>LandLink</v>
      </c>
      <c r="F1931" s="122" t="str">
        <f>IFERROR(__xludf.DUMMYFUNCTION("""COMPUTED_VALUE"""),"Real Estate")</f>
        <v>Real Estate</v>
      </c>
    </row>
    <row r="1932">
      <c r="A1932" s="131">
        <f>IFERROR(__xludf.DUMMYFUNCTION("""COMPUTED_VALUE"""),46187.377974537034)</f>
        <v>46187.37797</v>
      </c>
      <c r="B1932" s="126">
        <f>IFERROR(__xludf.DUMMYFUNCTION("""COMPUTED_VALUE"""),46187.0)</f>
        <v>46187</v>
      </c>
      <c r="C1932" s="130">
        <f>IFERROR(__xludf.DUMMYFUNCTION("""COMPUTED_VALUE"""),0.37797453703703704)</f>
        <v>0.377974537</v>
      </c>
      <c r="D1932" s="122" t="str">
        <f>IFERROR(__xludf.DUMMYFUNCTION("""COMPUTED_VALUE"""),"CARS")</f>
        <v>CARS</v>
      </c>
      <c r="E1932" s="122" t="str">
        <f>IFERROR(__xludf.DUMMYFUNCTION("""COMPUTED_VALUE"""),"AutoArena")</f>
        <v>AutoArena</v>
      </c>
      <c r="F1932" s="122" t="str">
        <f>IFERROR(__xludf.DUMMYFUNCTION("""COMPUTED_VALUE"""),"Automotive")</f>
        <v>Automotive</v>
      </c>
    </row>
    <row r="1933">
      <c r="A1933" s="131">
        <f>IFERROR(__xludf.DUMMYFUNCTION("""COMPUTED_VALUE"""),46187.377974537034)</f>
        <v>46187.37797</v>
      </c>
      <c r="B1933" s="126">
        <f>IFERROR(__xludf.DUMMYFUNCTION("""COMPUTED_VALUE"""),46187.0)</f>
        <v>46187</v>
      </c>
      <c r="C1933" s="130">
        <f>IFERROR(__xludf.DUMMYFUNCTION("""COMPUTED_VALUE"""),0.37797453703703704)</f>
        <v>0.377974537</v>
      </c>
      <c r="D1933" s="122" t="str">
        <f>IFERROR(__xludf.DUMMYFUNCTION("""COMPUTED_VALUE"""),"EVGO")</f>
        <v>EVGO</v>
      </c>
      <c r="E1933" s="122" t="str">
        <f>IFERROR(__xludf.DUMMYFUNCTION("""COMPUTED_VALUE"""),"EVGo Motors")</f>
        <v>EVGo Motors</v>
      </c>
      <c r="F1933" s="122" t="str">
        <f>IFERROR(__xludf.DUMMYFUNCTION("""COMPUTED_VALUE"""),"Automotive")</f>
        <v>Automotive</v>
      </c>
    </row>
    <row r="1934">
      <c r="A1934" s="131">
        <f>IFERROR(__xludf.DUMMYFUNCTION("""COMPUTED_VALUE"""),46187.377974537034)</f>
        <v>46187.37797</v>
      </c>
      <c r="B1934" s="126">
        <f>IFERROR(__xludf.DUMMYFUNCTION("""COMPUTED_VALUE"""),46187.0)</f>
        <v>46187</v>
      </c>
      <c r="C1934" s="130">
        <f>IFERROR(__xludf.DUMMYFUNCTION("""COMPUTED_VALUE"""),0.37797453703703704)</f>
        <v>0.377974537</v>
      </c>
      <c r="D1934" s="122" t="str">
        <f>IFERROR(__xludf.DUMMYFUNCTION("""COMPUTED_VALUE"""),"TIRE")</f>
        <v>TIRE</v>
      </c>
      <c r="E1934" s="122" t="str">
        <f>IFERROR(__xludf.DUMMYFUNCTION("""COMPUTED_VALUE"""),"TireTown")</f>
        <v>TireTown</v>
      </c>
      <c r="F1934" s="122" t="str">
        <f>IFERROR(__xludf.DUMMYFUNCTION("""COMPUTED_VALUE"""),"Automotive")</f>
        <v>Automotive</v>
      </c>
    </row>
    <row r="1935">
      <c r="A1935" s="131">
        <f>IFERROR(__xludf.DUMMYFUNCTION("""COMPUTED_VALUE"""),46187.377974537034)</f>
        <v>46187.37797</v>
      </c>
      <c r="B1935" s="126">
        <f>IFERROR(__xludf.DUMMYFUNCTION("""COMPUTED_VALUE"""),46187.0)</f>
        <v>46187</v>
      </c>
      <c r="C1935" s="130">
        <f>IFERROR(__xludf.DUMMYFUNCTION("""COMPUTED_VALUE"""),0.37797453703703704)</f>
        <v>0.377974537</v>
      </c>
      <c r="D1935" s="122" t="str">
        <f>IFERROR(__xludf.DUMMYFUNCTION("""COMPUTED_VALUE"""),"BIKE")</f>
        <v>BIKE</v>
      </c>
      <c r="E1935" s="122" t="str">
        <f>IFERROR(__xludf.DUMMYFUNCTION("""COMPUTED_VALUE"""),"BikeBox")</f>
        <v>BikeBox</v>
      </c>
      <c r="F1935" s="122" t="str">
        <f>IFERROR(__xludf.DUMMYFUNCTION("""COMPUTED_VALUE"""),"Automotive")</f>
        <v>Automotive</v>
      </c>
    </row>
    <row r="1936">
      <c r="A1936" s="131">
        <f>IFERROR(__xludf.DUMMYFUNCTION("""COMPUTED_VALUE"""),46187.377974537034)</f>
        <v>46187.37797</v>
      </c>
      <c r="B1936" s="126">
        <f>IFERROR(__xludf.DUMMYFUNCTION("""COMPUTED_VALUE"""),46187.0)</f>
        <v>46187</v>
      </c>
      <c r="C1936" s="130">
        <f>IFERROR(__xludf.DUMMYFUNCTION("""COMPUTED_VALUE"""),0.37797453703703704)</f>
        <v>0.377974537</v>
      </c>
      <c r="D1936" s="122" t="str">
        <f>IFERROR(__xludf.DUMMYFUNCTION("""COMPUTED_VALUE"""),"WASH")</f>
        <v>WASH</v>
      </c>
      <c r="E1936" s="122" t="str">
        <f>IFERROR(__xludf.DUMMYFUNCTION("""COMPUTED_VALUE"""),"CarWash Co")</f>
        <v>CarWash Co</v>
      </c>
      <c r="F1936" s="122" t="str">
        <f>IFERROR(__xludf.DUMMYFUNCTION("""COMPUTED_VALUE"""),"Automotive")</f>
        <v>Automotive</v>
      </c>
    </row>
    <row r="1937">
      <c r="A1937" s="131">
        <f>IFERROR(__xludf.DUMMYFUNCTION("""COMPUTED_VALUE"""),46187.377974537034)</f>
        <v>46187.37797</v>
      </c>
      <c r="B1937" s="126">
        <f>IFERROR(__xludf.DUMMYFUNCTION("""COMPUTED_VALUE"""),46187.0)</f>
        <v>46187</v>
      </c>
      <c r="C1937" s="130">
        <f>IFERROR(__xludf.DUMMYFUNCTION("""COMPUTED_VALUE"""),0.37797453703703704)</f>
        <v>0.377974537</v>
      </c>
      <c r="D1937" s="122" t="str">
        <f>IFERROR(__xludf.DUMMYFUNCTION("""COMPUTED_VALUE"""),"GBND")</f>
        <v>GBND</v>
      </c>
      <c r="E1937" s="122" t="str">
        <f>IFERROR(__xludf.DUMMYFUNCTION("""COMPUTED_VALUE"""),"Classroom Government Bond")</f>
        <v>Classroom Government Bond</v>
      </c>
      <c r="F1937" s="122" t="str">
        <f>IFERROR(__xludf.DUMMYFUNCTION("""COMPUTED_VALUE"""),"Bond")</f>
        <v>Bond</v>
      </c>
    </row>
    <row r="1938">
      <c r="A1938" s="131">
        <f>IFERROR(__xludf.DUMMYFUNCTION("""COMPUTED_VALUE"""),46187.377974537034)</f>
        <v>46187.37797</v>
      </c>
      <c r="B1938" s="126">
        <f>IFERROR(__xludf.DUMMYFUNCTION("""COMPUTED_VALUE"""),46187.0)</f>
        <v>46187</v>
      </c>
      <c r="C1938" s="130">
        <f>IFERROR(__xludf.DUMMYFUNCTION("""COMPUTED_VALUE"""),0.37797453703703704)</f>
        <v>0.377974537</v>
      </c>
      <c r="D1938" s="122" t="str">
        <f>IFERROR(__xludf.DUMMYFUNCTION("""COMPUTED_VALUE"""),"SBND")</f>
        <v>SBND</v>
      </c>
      <c r="E1938" s="122" t="str">
        <f>IFERROR(__xludf.DUMMYFUNCTION("""COMPUTED_VALUE"""),"School Savings Bond")</f>
        <v>School Savings Bond</v>
      </c>
      <c r="F1938" s="122" t="str">
        <f>IFERROR(__xludf.DUMMYFUNCTION("""COMPUTED_VALUE"""),"Bond")</f>
        <v>Bond</v>
      </c>
    </row>
    <row r="1939">
      <c r="A1939" s="131">
        <f>IFERROR(__xludf.DUMMYFUNCTION("""COMPUTED_VALUE"""),46187.377974537034)</f>
        <v>46187.37797</v>
      </c>
      <c r="B1939" s="126">
        <f>IFERROR(__xludf.DUMMYFUNCTION("""COMPUTED_VALUE"""),46187.0)</f>
        <v>46187</v>
      </c>
      <c r="C1939" s="130">
        <f>IFERROR(__xludf.DUMMYFUNCTION("""COMPUTED_VALUE"""),0.37797453703703704)</f>
        <v>0.377974537</v>
      </c>
      <c r="D1939" s="122" t="str">
        <f>IFERROR(__xludf.DUMMYFUNCTION("""COMPUTED_VALUE"""),"CBND")</f>
        <v>CBND</v>
      </c>
      <c r="E1939" s="122" t="str">
        <f>IFERROR(__xludf.DUMMYFUNCTION("""COMPUTED_VALUE"""),"Corporate Classroom Bond")</f>
        <v>Corporate Classroom Bond</v>
      </c>
      <c r="F1939" s="122" t="str">
        <f>IFERROR(__xludf.DUMMYFUNCTION("""COMPUTED_VALUE"""),"Bond")</f>
        <v>Bond</v>
      </c>
    </row>
    <row r="1940">
      <c r="A1940" s="131">
        <f>IFERROR(__xludf.DUMMYFUNCTION("""COMPUTED_VALUE"""),46187.377974537034)</f>
        <v>46187.37797</v>
      </c>
      <c r="B1940" s="126">
        <f>IFERROR(__xludf.DUMMYFUNCTION("""COMPUTED_VALUE"""),46187.0)</f>
        <v>46187</v>
      </c>
      <c r="C1940" s="130">
        <f>IFERROR(__xludf.DUMMYFUNCTION("""COMPUTED_VALUE"""),0.37797453703703704)</f>
        <v>0.377974537</v>
      </c>
      <c r="D1940" s="122" t="str">
        <f>IFERROR(__xludf.DUMMYFUNCTION("""COMPUTED_VALUE"""),"TBIL")</f>
        <v>TBIL</v>
      </c>
      <c r="E1940" s="122" t="str">
        <f>IFERROR(__xludf.DUMMYFUNCTION("""COMPUTED_VALUE"""),"Treasury Bill")</f>
        <v>Treasury Bill</v>
      </c>
      <c r="F1940" s="122" t="str">
        <f>IFERROR(__xludf.DUMMYFUNCTION("""COMPUTED_VALUE"""),"Bond")</f>
        <v>Bond</v>
      </c>
    </row>
    <row r="1941">
      <c r="A1941" s="131">
        <f>IFERROR(__xludf.DUMMYFUNCTION("""COMPUTED_VALUE"""),46187.377974537034)</f>
        <v>46187.37797</v>
      </c>
      <c r="B1941" s="126">
        <f>IFERROR(__xludf.DUMMYFUNCTION("""COMPUTED_VALUE"""),46187.0)</f>
        <v>46187</v>
      </c>
      <c r="C1941" s="130">
        <f>IFERROR(__xludf.DUMMYFUNCTION("""COMPUTED_VALUE"""),0.37797453703703704)</f>
        <v>0.377974537</v>
      </c>
      <c r="D1941" s="122" t="str">
        <f>IFERROR(__xludf.DUMMYFUNCTION("""COMPUTED_VALUE"""),"IBND")</f>
        <v>IBND</v>
      </c>
      <c r="E1941" s="122" t="str">
        <f>IFERROR(__xludf.DUMMYFUNCTION("""COMPUTED_VALUE"""),"Inflation Protected Bond")</f>
        <v>Inflation Protected Bond</v>
      </c>
      <c r="F1941" s="122" t="str">
        <f>IFERROR(__xludf.DUMMYFUNCTION("""COMPUTED_VALUE"""),"Bond")</f>
        <v>Bond</v>
      </c>
    </row>
    <row r="1942">
      <c r="A1942" s="131">
        <f>IFERROR(__xludf.DUMMYFUNCTION("""COMPUTED_VALUE"""),46187.37998842593)</f>
        <v>46187.37999</v>
      </c>
      <c r="B1942" s="126">
        <f>IFERROR(__xludf.DUMMYFUNCTION("""COMPUTED_VALUE"""),46187.0)</f>
        <v>46187</v>
      </c>
      <c r="C1942" s="122" t="str">
        <f>IFERROR(__xludf.DUMMYFUNCTION("""COMPUTED_VALUE"""),"SNAX")</f>
        <v>SNAX</v>
      </c>
      <c r="D1942" s="122" t="str">
        <f>IFERROR(__xludf.DUMMYFUNCTION("""COMPUTED_VALUE"""),"MICA Snacks")</f>
        <v>MICA Snacks</v>
      </c>
      <c r="E1942" s="122">
        <f>IFERROR(__xludf.DUMMYFUNCTION("""COMPUTED_VALUE"""),122.41)</f>
        <v>122.41</v>
      </c>
      <c r="F1942" s="122">
        <f>IFERROR(__xludf.DUMMYFUNCTION("""COMPUTED_VALUE"""),0.0066)</f>
        <v>0.0066</v>
      </c>
    </row>
    <row r="1943">
      <c r="A1943" s="131">
        <f>IFERROR(__xludf.DUMMYFUNCTION("""COMPUTED_VALUE"""),46187.37998842593)</f>
        <v>46187.37999</v>
      </c>
      <c r="B1943" s="126">
        <f>IFERROR(__xludf.DUMMYFUNCTION("""COMPUTED_VALUE"""),46187.0)</f>
        <v>46187</v>
      </c>
      <c r="C1943" s="122" t="str">
        <f>IFERROR(__xludf.DUMMYFUNCTION("""COMPUTED_VALUE"""),"RAMN")</f>
        <v>RAMN</v>
      </c>
      <c r="D1943" s="122" t="str">
        <f>IFERROR(__xludf.DUMMYFUNCTION("""COMPUTED_VALUE"""),"Ramen Republic")</f>
        <v>Ramen Republic</v>
      </c>
      <c r="E1943" s="122">
        <f>IFERROR(__xludf.DUMMYFUNCTION("""COMPUTED_VALUE"""),75.78)</f>
        <v>75.78</v>
      </c>
      <c r="F1943" s="122">
        <f>IFERROR(__xludf.DUMMYFUNCTION("""COMPUTED_VALUE"""),-0.003)</f>
        <v>-0.003</v>
      </c>
    </row>
    <row r="1944">
      <c r="A1944" s="131">
        <f>IFERROR(__xludf.DUMMYFUNCTION("""COMPUTED_VALUE"""),46187.37998842593)</f>
        <v>46187.37999</v>
      </c>
      <c r="B1944" s="126">
        <f>IFERROR(__xludf.DUMMYFUNCTION("""COMPUTED_VALUE"""),46187.0)</f>
        <v>46187</v>
      </c>
      <c r="C1944" s="122" t="str">
        <f>IFERROR(__xludf.DUMMYFUNCTION("""COMPUTED_VALUE"""),"COLA")</f>
        <v>COLA</v>
      </c>
      <c r="D1944" s="122" t="str">
        <f>IFERROR(__xludf.DUMMYFUNCTION("""COMPUTED_VALUE"""),"K-Pop Cola")</f>
        <v>K-Pop Cola</v>
      </c>
      <c r="E1944" s="122">
        <f>IFERROR(__xludf.DUMMYFUNCTION("""COMPUTED_VALUE"""),104.58)</f>
        <v>104.58</v>
      </c>
      <c r="F1944" s="122">
        <f>IFERROR(__xludf.DUMMYFUNCTION("""COMPUTED_VALUE"""),-0.0021)</f>
        <v>-0.0021</v>
      </c>
    </row>
    <row r="1945">
      <c r="A1945" s="131">
        <f>IFERROR(__xludf.DUMMYFUNCTION("""COMPUTED_VALUE"""),46187.37998842593)</f>
        <v>46187.37999</v>
      </c>
      <c r="B1945" s="126">
        <f>IFERROR(__xludf.DUMMYFUNCTION("""COMPUTED_VALUE"""),46187.0)</f>
        <v>46187</v>
      </c>
      <c r="C1945" s="122" t="str">
        <f>IFERROR(__xludf.DUMMYFUNCTION("""COMPUTED_VALUE"""),"CHIP")</f>
        <v>CHIP</v>
      </c>
      <c r="D1945" s="122" t="str">
        <f>IFERROR(__xludf.DUMMYFUNCTION("""COMPUTED_VALUE"""),"Chip Empire")</f>
        <v>Chip Empire</v>
      </c>
      <c r="E1945" s="122">
        <f>IFERROR(__xludf.DUMMYFUNCTION("""COMPUTED_VALUE"""),88.23)</f>
        <v>88.23</v>
      </c>
      <c r="F1945" s="122">
        <f>IFERROR(__xludf.DUMMYFUNCTION("""COMPUTED_VALUE"""),0.0074)</f>
        <v>0.0074</v>
      </c>
    </row>
    <row r="1946">
      <c r="A1946" s="131">
        <f>IFERROR(__xludf.DUMMYFUNCTION("""COMPUTED_VALUE"""),46187.37998842593)</f>
        <v>46187.37999</v>
      </c>
      <c r="B1946" s="126">
        <f>IFERROR(__xludf.DUMMYFUNCTION("""COMPUTED_VALUE"""),46187.0)</f>
        <v>46187</v>
      </c>
      <c r="C1946" s="122" t="str">
        <f>IFERROR(__xludf.DUMMYFUNCTION("""COMPUTED_VALUE"""),"CAND")</f>
        <v>CAND</v>
      </c>
      <c r="D1946" s="122" t="str">
        <f>IFERROR(__xludf.DUMMYFUNCTION("""COMPUTED_VALUE"""),"Candy Capital")</f>
        <v>Candy Capital</v>
      </c>
      <c r="E1946" s="122">
        <f>IFERROR(__xludf.DUMMYFUNCTION("""COMPUTED_VALUE"""),75.18)</f>
        <v>75.18</v>
      </c>
      <c r="F1946" s="122">
        <f>IFERROR(__xludf.DUMMYFUNCTION("""COMPUTED_VALUE"""),-0.0066)</f>
        <v>-0.0066</v>
      </c>
    </row>
    <row r="1947">
      <c r="A1947" s="131">
        <f>IFERROR(__xludf.DUMMYFUNCTION("""COMPUTED_VALUE"""),46187.37998842593)</f>
        <v>46187.37999</v>
      </c>
      <c r="B1947" s="126">
        <f>IFERROR(__xludf.DUMMYFUNCTION("""COMPUTED_VALUE"""),46187.0)</f>
        <v>46187</v>
      </c>
      <c r="C1947" s="122" t="str">
        <f>IFERROR(__xludf.DUMMYFUNCTION("""COMPUTED_VALUE"""),"TECH")</f>
        <v>TECH</v>
      </c>
      <c r="D1947" s="122" t="str">
        <f>IFERROR(__xludf.DUMMYFUNCTION("""COMPUTED_VALUE"""),"Dragon Tech")</f>
        <v>Dragon Tech</v>
      </c>
      <c r="E1947" s="122">
        <f>IFERROR(__xludf.DUMMYFUNCTION("""COMPUTED_VALUE"""),239.33)</f>
        <v>239.33</v>
      </c>
      <c r="F1947" s="122">
        <f>IFERROR(__xludf.DUMMYFUNCTION("""COMPUTED_VALUE"""),-0.008)</f>
        <v>-0.008</v>
      </c>
    </row>
    <row r="1948">
      <c r="A1948" s="131">
        <f>IFERROR(__xludf.DUMMYFUNCTION("""COMPUTED_VALUE"""),46187.37998842593)</f>
        <v>46187.37999</v>
      </c>
      <c r="B1948" s="126">
        <f>IFERROR(__xludf.DUMMYFUNCTION("""COMPUTED_VALUE"""),46187.0)</f>
        <v>46187</v>
      </c>
      <c r="C1948" s="122" t="str">
        <f>IFERROR(__xludf.DUMMYFUNCTION("""COMPUTED_VALUE"""),"AIBO")</f>
        <v>AIBO</v>
      </c>
      <c r="D1948" s="122" t="str">
        <f>IFERROR(__xludf.DUMMYFUNCTION("""COMPUTED_VALUE"""),"Homework AI")</f>
        <v>Homework AI</v>
      </c>
      <c r="E1948" s="122">
        <f>IFERROR(__xludf.DUMMYFUNCTION("""COMPUTED_VALUE"""),165.53)</f>
        <v>165.53</v>
      </c>
      <c r="F1948" s="122">
        <f>IFERROR(__xludf.DUMMYFUNCTION("""COMPUTED_VALUE"""),-0.0039)</f>
        <v>-0.0039</v>
      </c>
    </row>
    <row r="1949">
      <c r="A1949" s="131">
        <f>IFERROR(__xludf.DUMMYFUNCTION("""COMPUTED_VALUE"""),46187.37998842593)</f>
        <v>46187.37999</v>
      </c>
      <c r="B1949" s="126">
        <f>IFERROR(__xludf.DUMMYFUNCTION("""COMPUTED_VALUE"""),46187.0)</f>
        <v>46187</v>
      </c>
      <c r="C1949" s="122" t="str">
        <f>IFERROR(__xludf.DUMMYFUNCTION("""COMPUTED_VALUE"""),"GAME")</f>
        <v>GAME</v>
      </c>
      <c r="D1949" s="122" t="str">
        <f>IFERROR(__xludf.DUMMYFUNCTION("""COMPUTED_VALUE"""),"GameBox Media")</f>
        <v>GameBox Media</v>
      </c>
      <c r="E1949" s="122">
        <f>IFERROR(__xludf.DUMMYFUNCTION("""COMPUTED_VALUE"""),91.8)</f>
        <v>91.8</v>
      </c>
      <c r="F1949" s="122">
        <f>IFERROR(__xludf.DUMMYFUNCTION("""COMPUTED_VALUE"""),-0.0108)</f>
        <v>-0.0108</v>
      </c>
    </row>
    <row r="1950">
      <c r="A1950" s="131">
        <f>IFERROR(__xludf.DUMMYFUNCTION("""COMPUTED_VALUE"""),46187.37998842593)</f>
        <v>46187.37999</v>
      </c>
      <c r="B1950" s="126">
        <f>IFERROR(__xludf.DUMMYFUNCTION("""COMPUTED_VALUE"""),46187.0)</f>
        <v>46187</v>
      </c>
      <c r="C1950" s="122" t="str">
        <f>IFERROR(__xludf.DUMMYFUNCTION("""COMPUTED_VALUE"""),"VRSE")</f>
        <v>VRSE</v>
      </c>
      <c r="D1950" s="122" t="str">
        <f>IFERROR(__xludf.DUMMYFUNCTION("""COMPUTED_VALUE"""),"VerseVR")</f>
        <v>VerseVR</v>
      </c>
      <c r="E1950" s="122">
        <f>IFERROR(__xludf.DUMMYFUNCTION("""COMPUTED_VALUE"""),147.64)</f>
        <v>147.64</v>
      </c>
      <c r="F1950" s="122">
        <f>IFERROR(__xludf.DUMMYFUNCTION("""COMPUTED_VALUE"""),-0.001)</f>
        <v>-0.001</v>
      </c>
    </row>
    <row r="1951">
      <c r="A1951" s="131">
        <f>IFERROR(__xludf.DUMMYFUNCTION("""COMPUTED_VALUE"""),46187.37998842593)</f>
        <v>46187.37999</v>
      </c>
      <c r="B1951" s="126">
        <f>IFERROR(__xludf.DUMMYFUNCTION("""COMPUTED_VALUE"""),46187.0)</f>
        <v>46187</v>
      </c>
      <c r="C1951" s="122" t="str">
        <f>IFERROR(__xludf.DUMMYFUNCTION("""COMPUTED_VALUE"""),"BYTE")</f>
        <v>BYTE</v>
      </c>
      <c r="D1951" s="122" t="str">
        <f>IFERROR(__xludf.DUMMYFUNCTION("""COMPUTED_VALUE"""),"ByteWorks")</f>
        <v>ByteWorks</v>
      </c>
      <c r="E1951" s="122">
        <f>IFERROR(__xludf.DUMMYFUNCTION("""COMPUTED_VALUE"""),110.11)</f>
        <v>110.11</v>
      </c>
      <c r="F1951" s="122">
        <f>IFERROR(__xludf.DUMMYFUNCTION("""COMPUTED_VALUE"""),-0.0048)</f>
        <v>-0.0048</v>
      </c>
    </row>
    <row r="1952">
      <c r="A1952" s="131">
        <f>IFERROR(__xludf.DUMMYFUNCTION("""COMPUTED_VALUE"""),46187.37998842593)</f>
        <v>46187.37999</v>
      </c>
      <c r="B1952" s="126">
        <f>IFERROR(__xludf.DUMMYFUNCTION("""COMPUTED_VALUE"""),46187.0)</f>
        <v>46187</v>
      </c>
      <c r="C1952" s="122" t="str">
        <f>IFERROR(__xludf.DUMMYFUNCTION("""COMPUTED_VALUE"""),"BANK")</f>
        <v>BANK</v>
      </c>
      <c r="D1952" s="122" t="str">
        <f>IFERROR(__xludf.DUMMYFUNCTION("""COMPUTED_VALUE"""),"Tiger Bank")</f>
        <v>Tiger Bank</v>
      </c>
      <c r="E1952" s="122">
        <f>IFERROR(__xludf.DUMMYFUNCTION("""COMPUTED_VALUE"""),124.5)</f>
        <v>124.5</v>
      </c>
      <c r="F1952" s="122">
        <f>IFERROR(__xludf.DUMMYFUNCTION("""COMPUTED_VALUE"""),-0.0027)</f>
        <v>-0.0027</v>
      </c>
    </row>
    <row r="1953">
      <c r="A1953" s="131">
        <f>IFERROR(__xludf.DUMMYFUNCTION("""COMPUTED_VALUE"""),46187.37998842593)</f>
        <v>46187.37999</v>
      </c>
      <c r="B1953" s="126">
        <f>IFERROR(__xludf.DUMMYFUNCTION("""COMPUTED_VALUE"""),46187.0)</f>
        <v>46187</v>
      </c>
      <c r="C1953" s="122" t="str">
        <f>IFERROR(__xludf.DUMMYFUNCTION("""COMPUTED_VALUE"""),"CRED")</f>
        <v>CRED</v>
      </c>
      <c r="D1953" s="122" t="str">
        <f>IFERROR(__xludf.DUMMYFUNCTION("""COMPUTED_VALUE"""),"Credit Castle")</f>
        <v>Credit Castle</v>
      </c>
      <c r="E1953" s="122">
        <f>IFERROR(__xludf.DUMMYFUNCTION("""COMPUTED_VALUE"""),69.28)</f>
        <v>69.28</v>
      </c>
      <c r="F1953" s="122">
        <f>IFERROR(__xludf.DUMMYFUNCTION("""COMPUTED_VALUE"""),0.0048)</f>
        <v>0.0048</v>
      </c>
    </row>
    <row r="1954">
      <c r="A1954" s="131">
        <f>IFERROR(__xludf.DUMMYFUNCTION("""COMPUTED_VALUE"""),46187.37998842593)</f>
        <v>46187.37999</v>
      </c>
      <c r="B1954" s="126">
        <f>IFERROR(__xludf.DUMMYFUNCTION("""COMPUTED_VALUE"""),46187.0)</f>
        <v>46187</v>
      </c>
      <c r="C1954" s="122" t="str">
        <f>IFERROR(__xludf.DUMMYFUNCTION("""COMPUTED_VALUE"""),"BOND")</f>
        <v>BOND</v>
      </c>
      <c r="D1954" s="122" t="str">
        <f>IFERROR(__xludf.DUMMYFUNCTION("""COMPUTED_VALUE"""),"BondBridge")</f>
        <v>BondBridge</v>
      </c>
      <c r="E1954" s="122">
        <f>IFERROR(__xludf.DUMMYFUNCTION("""COMPUTED_VALUE"""),96.47)</f>
        <v>96.47</v>
      </c>
      <c r="F1954" s="122">
        <f>IFERROR(__xludf.DUMMYFUNCTION("""COMPUTED_VALUE"""),0.0011)</f>
        <v>0.0011</v>
      </c>
    </row>
    <row r="1955">
      <c r="A1955" s="131">
        <f>IFERROR(__xludf.DUMMYFUNCTION("""COMPUTED_VALUE"""),46187.37998842593)</f>
        <v>46187.37999</v>
      </c>
      <c r="B1955" s="126">
        <f>IFERROR(__xludf.DUMMYFUNCTION("""COMPUTED_VALUE"""),46187.0)</f>
        <v>46187</v>
      </c>
      <c r="C1955" s="122" t="str">
        <f>IFERROR(__xludf.DUMMYFUNCTION("""COMPUTED_VALUE"""),"INSR")</f>
        <v>INSR</v>
      </c>
      <c r="D1955" s="122" t="str">
        <f>IFERROR(__xludf.DUMMYFUNCTION("""COMPUTED_VALUE"""),"Shield Insurance")</f>
        <v>Shield Insurance</v>
      </c>
      <c r="E1955" s="122">
        <f>IFERROR(__xludf.DUMMYFUNCTION("""COMPUTED_VALUE"""),157.65)</f>
        <v>157.65</v>
      </c>
      <c r="F1955" s="122">
        <f>IFERROR(__xludf.DUMMYFUNCTION("""COMPUTED_VALUE"""),-0.0025)</f>
        <v>-0.0025</v>
      </c>
    </row>
    <row r="1956">
      <c r="A1956" s="131">
        <f>IFERROR(__xludf.DUMMYFUNCTION("""COMPUTED_VALUE"""),46187.37998842593)</f>
        <v>46187.37999</v>
      </c>
      <c r="B1956" s="126">
        <f>IFERROR(__xludf.DUMMYFUNCTION("""COMPUTED_VALUE"""),46187.0)</f>
        <v>46187</v>
      </c>
      <c r="C1956" s="122" t="str">
        <f>IFERROR(__xludf.DUMMYFUNCTION("""COMPUTED_VALUE"""),"LOAN")</f>
        <v>LOAN</v>
      </c>
      <c r="D1956" s="122" t="str">
        <f>IFERROR(__xludf.DUMMYFUNCTION("""COMPUTED_VALUE"""),"LoanLab")</f>
        <v>LoanLab</v>
      </c>
      <c r="E1956" s="122">
        <f>IFERROR(__xludf.DUMMYFUNCTION("""COMPUTED_VALUE"""),61.33)</f>
        <v>61.33</v>
      </c>
      <c r="F1956" s="122">
        <f>IFERROR(__xludf.DUMMYFUNCTION("""COMPUTED_VALUE"""),-0.0011)</f>
        <v>-0.0011</v>
      </c>
    </row>
    <row r="1957">
      <c r="A1957" s="131">
        <f>IFERROR(__xludf.DUMMYFUNCTION("""COMPUTED_VALUE"""),46187.37998842593)</f>
        <v>46187.37999</v>
      </c>
      <c r="B1957" s="126">
        <f>IFERROR(__xludf.DUMMYFUNCTION("""COMPUTED_VALUE"""),46187.0)</f>
        <v>46187</v>
      </c>
      <c r="C1957" s="122" t="str">
        <f>IFERROR(__xludf.DUMMYFUNCTION("""COMPUTED_VALUE"""),"LUXE")</f>
        <v>LUXE</v>
      </c>
      <c r="D1957" s="122" t="str">
        <f>IFERROR(__xludf.DUMMYFUNCTION("""COMPUTED_VALUE"""),"Luxury Locker")</f>
        <v>Luxury Locker</v>
      </c>
      <c r="E1957" s="122">
        <f>IFERROR(__xludf.DUMMYFUNCTION("""COMPUTED_VALUE"""),262.88)</f>
        <v>262.88</v>
      </c>
      <c r="F1957" s="122">
        <f>IFERROR(__xludf.DUMMYFUNCTION("""COMPUTED_VALUE"""),-0.0029)</f>
        <v>-0.0029</v>
      </c>
    </row>
    <row r="1958">
      <c r="A1958" s="131">
        <f>IFERROR(__xludf.DUMMYFUNCTION("""COMPUTED_VALUE"""),46187.37998842593)</f>
        <v>46187.37999</v>
      </c>
      <c r="B1958" s="126">
        <f>IFERROR(__xludf.DUMMYFUNCTION("""COMPUTED_VALUE"""),46187.0)</f>
        <v>46187</v>
      </c>
      <c r="C1958" s="122" t="str">
        <f>IFERROR(__xludf.DUMMYFUNCTION("""COMPUTED_VALUE"""),"DRIP")</f>
        <v>DRIP</v>
      </c>
      <c r="D1958" s="122" t="str">
        <f>IFERROR(__xludf.DUMMYFUNCTION("""COMPUTED_VALUE"""),"Drip Streetwear")</f>
        <v>Drip Streetwear</v>
      </c>
      <c r="E1958" s="122">
        <f>IFERROR(__xludf.DUMMYFUNCTION("""COMPUTED_VALUE"""),200.59)</f>
        <v>200.59</v>
      </c>
      <c r="F1958" s="122">
        <f>IFERROR(__xludf.DUMMYFUNCTION("""COMPUTED_VALUE"""),-0.0031)</f>
        <v>-0.0031</v>
      </c>
    </row>
    <row r="1959">
      <c r="A1959" s="131">
        <f>IFERROR(__xludf.DUMMYFUNCTION("""COMPUTED_VALUE"""),46187.37998842593)</f>
        <v>46187.37999</v>
      </c>
      <c r="B1959" s="126">
        <f>IFERROR(__xludf.DUMMYFUNCTION("""COMPUTED_VALUE"""),46187.0)</f>
        <v>46187</v>
      </c>
      <c r="C1959" s="122" t="str">
        <f>IFERROR(__xludf.DUMMYFUNCTION("""COMPUTED_VALUE"""),"KICK")</f>
        <v>KICK</v>
      </c>
      <c r="D1959" s="122" t="str">
        <f>IFERROR(__xludf.DUMMYFUNCTION("""COMPUTED_VALUE"""),"KickDrop Sneakers")</f>
        <v>KickDrop Sneakers</v>
      </c>
      <c r="E1959" s="122">
        <f>IFERROR(__xludf.DUMMYFUNCTION("""COMPUTED_VALUE"""),175.19)</f>
        <v>175.19</v>
      </c>
      <c r="F1959" s="122">
        <f>IFERROR(__xludf.DUMMYFUNCTION("""COMPUTED_VALUE"""),-0.0026)</f>
        <v>-0.0026</v>
      </c>
    </row>
    <row r="1960">
      <c r="A1960" s="131">
        <f>IFERROR(__xludf.DUMMYFUNCTION("""COMPUTED_VALUE"""),46187.37998842593)</f>
        <v>46187.37999</v>
      </c>
      <c r="B1960" s="126">
        <f>IFERROR(__xludf.DUMMYFUNCTION("""COMPUTED_VALUE"""),46187.0)</f>
        <v>46187</v>
      </c>
      <c r="C1960" s="122" t="str">
        <f>IFERROR(__xludf.DUMMYFUNCTION("""COMPUTED_VALUE"""),"GLAM")</f>
        <v>GLAM</v>
      </c>
      <c r="D1960" s="122" t="str">
        <f>IFERROR(__xludf.DUMMYFUNCTION("""COMPUTED_VALUE"""),"Glow Cosmetics")</f>
        <v>Glow Cosmetics</v>
      </c>
      <c r="E1960" s="122">
        <f>IFERROR(__xludf.DUMMYFUNCTION("""COMPUTED_VALUE"""),95.77)</f>
        <v>95.77</v>
      </c>
      <c r="F1960" s="122">
        <f>IFERROR(__xludf.DUMMYFUNCTION("""COMPUTED_VALUE"""),0.0035)</f>
        <v>0.0035</v>
      </c>
    </row>
    <row r="1961">
      <c r="A1961" s="131">
        <f>IFERROR(__xludf.DUMMYFUNCTION("""COMPUTED_VALUE"""),46187.37998842593)</f>
        <v>46187.37999</v>
      </c>
      <c r="B1961" s="126">
        <f>IFERROR(__xludf.DUMMYFUNCTION("""COMPUTED_VALUE"""),46187.0)</f>
        <v>46187</v>
      </c>
      <c r="C1961" s="122" t="str">
        <f>IFERROR(__xludf.DUMMYFUNCTION("""COMPUTED_VALUE"""),"BAGG")</f>
        <v>BAGG</v>
      </c>
      <c r="D1961" s="122" t="str">
        <f>IFERROR(__xludf.DUMMYFUNCTION("""COMPUTED_VALUE"""),"BagVault")</f>
        <v>BagVault</v>
      </c>
      <c r="E1961" s="122">
        <f>IFERROR(__xludf.DUMMYFUNCTION("""COMPUTED_VALUE"""),247.42)</f>
        <v>247.42</v>
      </c>
      <c r="F1961" s="122">
        <f>IFERROR(__xludf.DUMMYFUNCTION("""COMPUTED_VALUE"""),0.0)</f>
        <v>0</v>
      </c>
    </row>
    <row r="1962">
      <c r="A1962" s="131">
        <f>IFERROR(__xludf.DUMMYFUNCTION("""COMPUTED_VALUE"""),46187.37998842593)</f>
        <v>46187.37999</v>
      </c>
      <c r="B1962" s="126">
        <f>IFERROR(__xludf.DUMMYFUNCTION("""COMPUTED_VALUE"""),46187.0)</f>
        <v>46187</v>
      </c>
      <c r="C1962" s="122" t="str">
        <f>IFERROR(__xludf.DUMMYFUNCTION("""COMPUTED_VALUE"""),"FAST")</f>
        <v>FAST</v>
      </c>
      <c r="D1962" s="122" t="str">
        <f>IFERROR(__xludf.DUMMYFUNCTION("""COMPUTED_VALUE"""),"Flash Logistics")</f>
        <v>Flash Logistics</v>
      </c>
      <c r="E1962" s="122">
        <f>IFERROR(__xludf.DUMMYFUNCTION("""COMPUTED_VALUE"""),101.7)</f>
        <v>101.7</v>
      </c>
      <c r="F1962" s="122">
        <f>IFERROR(__xludf.DUMMYFUNCTION("""COMPUTED_VALUE"""),-0.0028)</f>
        <v>-0.0028</v>
      </c>
    </row>
    <row r="1963">
      <c r="A1963" s="131">
        <f>IFERROR(__xludf.DUMMYFUNCTION("""COMPUTED_VALUE"""),46187.37998842593)</f>
        <v>46187.37999</v>
      </c>
      <c r="B1963" s="126">
        <f>IFERROR(__xludf.DUMMYFUNCTION("""COMPUTED_VALUE"""),46187.0)</f>
        <v>46187</v>
      </c>
      <c r="C1963" s="122" t="str">
        <f>IFERROR(__xludf.DUMMYFUNCTION("""COMPUTED_VALUE"""),"SHIP")</f>
        <v>SHIP</v>
      </c>
      <c r="D1963" s="122" t="str">
        <f>IFERROR(__xludf.DUMMYFUNCTION("""COMPUTED_VALUE"""),"Seoul Shipping")</f>
        <v>Seoul Shipping</v>
      </c>
      <c r="E1963" s="122">
        <f>IFERROR(__xludf.DUMMYFUNCTION("""COMPUTED_VALUE"""),116.97)</f>
        <v>116.97</v>
      </c>
      <c r="F1963" s="122">
        <f>IFERROR(__xludf.DUMMYFUNCTION("""COMPUTED_VALUE"""),0.0019)</f>
        <v>0.0019</v>
      </c>
    </row>
    <row r="1964">
      <c r="A1964" s="131">
        <f>IFERROR(__xludf.DUMMYFUNCTION("""COMPUTED_VALUE"""),46187.37998842593)</f>
        <v>46187.37999</v>
      </c>
      <c r="B1964" s="126">
        <f>IFERROR(__xludf.DUMMYFUNCTION("""COMPUTED_VALUE"""),46187.0)</f>
        <v>46187</v>
      </c>
      <c r="C1964" s="122" t="str">
        <f>IFERROR(__xludf.DUMMYFUNCTION("""COMPUTED_VALUE"""),"DRON")</f>
        <v>DRON</v>
      </c>
      <c r="D1964" s="122" t="str">
        <f>IFERROR(__xludf.DUMMYFUNCTION("""COMPUTED_VALUE"""),"DroneDrop")</f>
        <v>DroneDrop</v>
      </c>
      <c r="E1964" s="122">
        <f>IFERROR(__xludf.DUMMYFUNCTION("""COMPUTED_VALUE"""),132.33)</f>
        <v>132.33</v>
      </c>
      <c r="F1964" s="122">
        <f>IFERROR(__xludf.DUMMYFUNCTION("""COMPUTED_VALUE"""),0.0085)</f>
        <v>0.0085</v>
      </c>
    </row>
    <row r="1965">
      <c r="A1965" s="131">
        <f>IFERROR(__xludf.DUMMYFUNCTION("""COMPUTED_VALUE"""),46187.37998842593)</f>
        <v>46187.37999</v>
      </c>
      <c r="B1965" s="126">
        <f>IFERROR(__xludf.DUMMYFUNCTION("""COMPUTED_VALUE"""),46187.0)</f>
        <v>46187</v>
      </c>
      <c r="C1965" s="122" t="str">
        <f>IFERROR(__xludf.DUMMYFUNCTION("""COMPUTED_VALUE"""),"RIDE")</f>
        <v>RIDE</v>
      </c>
      <c r="D1965" s="122" t="str">
        <f>IFERROR(__xludf.DUMMYFUNCTION("""COMPUTED_VALUE"""),"QuickRide")</f>
        <v>QuickRide</v>
      </c>
      <c r="E1965" s="122">
        <f>IFERROR(__xludf.DUMMYFUNCTION("""COMPUTED_VALUE"""),97.76)</f>
        <v>97.76</v>
      </c>
      <c r="F1965" s="122">
        <f>IFERROR(__xludf.DUMMYFUNCTION("""COMPUTED_VALUE"""),0.0116)</f>
        <v>0.0116</v>
      </c>
    </row>
    <row r="1966">
      <c r="A1966" s="131">
        <f>IFERROR(__xludf.DUMMYFUNCTION("""COMPUTED_VALUE"""),46187.37998842593)</f>
        <v>46187.37999</v>
      </c>
      <c r="B1966" s="126">
        <f>IFERROR(__xludf.DUMMYFUNCTION("""COMPUTED_VALUE"""),46187.0)</f>
        <v>46187</v>
      </c>
      <c r="C1966" s="122" t="str">
        <f>IFERROR(__xludf.DUMMYFUNCTION("""COMPUTED_VALUE"""),"RAIL")</f>
        <v>RAIL</v>
      </c>
      <c r="D1966" s="122" t="str">
        <f>IFERROR(__xludf.DUMMYFUNCTION("""COMPUTED_VALUE"""),"MetroRail Corp")</f>
        <v>MetroRail Corp</v>
      </c>
      <c r="E1966" s="122">
        <f>IFERROR(__xludf.DUMMYFUNCTION("""COMPUTED_VALUE"""),136.9)</f>
        <v>136.9</v>
      </c>
      <c r="F1966" s="122">
        <f>IFERROR(__xludf.DUMMYFUNCTION("""COMPUTED_VALUE"""),-4.0E-4)</f>
        <v>-0.0004</v>
      </c>
    </row>
    <row r="1967">
      <c r="A1967" s="131">
        <f>IFERROR(__xludf.DUMMYFUNCTION("""COMPUTED_VALUE"""),46187.37998842593)</f>
        <v>46187.37999</v>
      </c>
      <c r="B1967" s="126">
        <f>IFERROR(__xludf.DUMMYFUNCTION("""COMPUTED_VALUE"""),46187.0)</f>
        <v>46187</v>
      </c>
      <c r="C1967" s="122" t="str">
        <f>IFERROR(__xludf.DUMMYFUNCTION("""COMPUTED_VALUE"""),"MEDX")</f>
        <v>MEDX</v>
      </c>
      <c r="D1967" s="122" t="str">
        <f>IFERROR(__xludf.DUMMYFUNCTION("""COMPUTED_VALUE"""),"MediCore")</f>
        <v>MediCore</v>
      </c>
      <c r="E1967" s="122">
        <f>IFERROR(__xludf.DUMMYFUNCTION("""COMPUTED_VALUE"""),137.02)</f>
        <v>137.02</v>
      </c>
      <c r="F1967" s="122">
        <f>IFERROR(__xludf.DUMMYFUNCTION("""COMPUTED_VALUE"""),0.0012)</f>
        <v>0.0012</v>
      </c>
    </row>
    <row r="1968">
      <c r="A1968" s="131">
        <f>IFERROR(__xludf.DUMMYFUNCTION("""COMPUTED_VALUE"""),46187.37998842593)</f>
        <v>46187.37999</v>
      </c>
      <c r="B1968" s="126">
        <f>IFERROR(__xludf.DUMMYFUNCTION("""COMPUTED_VALUE"""),46187.0)</f>
        <v>46187</v>
      </c>
      <c r="C1968" s="122" t="str">
        <f>IFERROR(__xludf.DUMMYFUNCTION("""COMPUTED_VALUE"""),"GYMX")</f>
        <v>GYMX</v>
      </c>
      <c r="D1968" s="122" t="str">
        <f>IFERROR(__xludf.DUMMYFUNCTION("""COMPUTED_VALUE"""),"GymX Fitness")</f>
        <v>GymX Fitness</v>
      </c>
      <c r="E1968" s="122">
        <f>IFERROR(__xludf.DUMMYFUNCTION("""COMPUTED_VALUE"""),87.49)</f>
        <v>87.49</v>
      </c>
      <c r="F1968" s="122">
        <f>IFERROR(__xludf.DUMMYFUNCTION("""COMPUTED_VALUE"""),-0.0022)</f>
        <v>-0.0022</v>
      </c>
    </row>
    <row r="1969">
      <c r="A1969" s="131">
        <f>IFERROR(__xludf.DUMMYFUNCTION("""COMPUTED_VALUE"""),46187.37998842593)</f>
        <v>46187.37999</v>
      </c>
      <c r="B1969" s="126">
        <f>IFERROR(__xludf.DUMMYFUNCTION("""COMPUTED_VALUE"""),46187.0)</f>
        <v>46187</v>
      </c>
      <c r="C1969" s="122" t="str">
        <f>IFERROR(__xludf.DUMMYFUNCTION("""COMPUTED_VALUE"""),"VITA")</f>
        <v>VITA</v>
      </c>
      <c r="D1969" s="122" t="str">
        <f>IFERROR(__xludf.DUMMYFUNCTION("""COMPUTED_VALUE"""),"VitaPlus")</f>
        <v>VitaPlus</v>
      </c>
      <c r="E1969" s="122">
        <f>IFERROR(__xludf.DUMMYFUNCTION("""COMPUTED_VALUE"""),75.88)</f>
        <v>75.88</v>
      </c>
      <c r="F1969" s="122">
        <f>IFERROR(__xludf.DUMMYFUNCTION("""COMPUTED_VALUE"""),-0.0018)</f>
        <v>-0.0018</v>
      </c>
    </row>
    <row r="1970">
      <c r="A1970" s="131">
        <f>IFERROR(__xludf.DUMMYFUNCTION("""COMPUTED_VALUE"""),46187.37998842593)</f>
        <v>46187.37999</v>
      </c>
      <c r="B1970" s="126">
        <f>IFERROR(__xludf.DUMMYFUNCTION("""COMPUTED_VALUE"""),46187.0)</f>
        <v>46187</v>
      </c>
      <c r="C1970" s="122" t="str">
        <f>IFERROR(__xludf.DUMMYFUNCTION("""COMPUTED_VALUE"""),"CARE")</f>
        <v>CARE</v>
      </c>
      <c r="D1970" s="122" t="str">
        <f>IFERROR(__xludf.DUMMYFUNCTION("""COMPUTED_VALUE"""),"CareCloud")</f>
        <v>CareCloud</v>
      </c>
      <c r="E1970" s="122">
        <f>IFERROR(__xludf.DUMMYFUNCTION("""COMPUTED_VALUE"""),182.28)</f>
        <v>182.28</v>
      </c>
      <c r="F1970" s="122">
        <f>IFERROR(__xludf.DUMMYFUNCTION("""COMPUTED_VALUE"""),0.0024)</f>
        <v>0.0024</v>
      </c>
    </row>
    <row r="1971">
      <c r="A1971" s="131">
        <f>IFERROR(__xludf.DUMMYFUNCTION("""COMPUTED_VALUE"""),46187.37998842593)</f>
        <v>46187.37999</v>
      </c>
      <c r="B1971" s="126">
        <f>IFERROR(__xludf.DUMMYFUNCTION("""COMPUTED_VALUE"""),46187.0)</f>
        <v>46187</v>
      </c>
      <c r="C1971" s="122" t="str">
        <f>IFERROR(__xludf.DUMMYFUNCTION("""COMPUTED_VALUE"""),"DENT")</f>
        <v>DENT</v>
      </c>
      <c r="D1971" s="122" t="str">
        <f>IFERROR(__xludf.DUMMYFUNCTION("""COMPUTED_VALUE"""),"SmileWorks")</f>
        <v>SmileWorks</v>
      </c>
      <c r="E1971" s="122">
        <f>IFERROR(__xludf.DUMMYFUNCTION("""COMPUTED_VALUE"""),82.26)</f>
        <v>82.26</v>
      </c>
      <c r="F1971" s="122">
        <f>IFERROR(__xludf.DUMMYFUNCTION("""COMPUTED_VALUE"""),0.0018)</f>
        <v>0.0018</v>
      </c>
    </row>
    <row r="1972">
      <c r="A1972" s="131">
        <f>IFERROR(__xludf.DUMMYFUNCTION("""COMPUTED_VALUE"""),46187.37998842593)</f>
        <v>46187.37999</v>
      </c>
      <c r="B1972" s="126">
        <f>IFERROR(__xludf.DUMMYFUNCTION("""COMPUTED_VALUE"""),46187.0)</f>
        <v>46187</v>
      </c>
      <c r="C1972" s="122" t="str">
        <f>IFERROR(__xludf.DUMMYFUNCTION("""COMPUTED_VALUE"""),"EDUX")</f>
        <v>EDUX</v>
      </c>
      <c r="D1972" s="122" t="str">
        <f>IFERROR(__xludf.DUMMYFUNCTION("""COMPUTED_VALUE"""),"EduMax Learning")</f>
        <v>EduMax Learning</v>
      </c>
      <c r="E1972" s="122">
        <f>IFERROR(__xludf.DUMMYFUNCTION("""COMPUTED_VALUE"""),130.82)</f>
        <v>130.82</v>
      </c>
      <c r="F1972" s="122">
        <f>IFERROR(__xludf.DUMMYFUNCTION("""COMPUTED_VALUE"""),-0.0027)</f>
        <v>-0.0027</v>
      </c>
    </row>
    <row r="1973">
      <c r="A1973" s="131">
        <f>IFERROR(__xludf.DUMMYFUNCTION("""COMPUTED_VALUE"""),46187.37998842593)</f>
        <v>46187.37999</v>
      </c>
      <c r="B1973" s="126">
        <f>IFERROR(__xludf.DUMMYFUNCTION("""COMPUTED_VALUE"""),46187.0)</f>
        <v>46187</v>
      </c>
      <c r="C1973" s="122" t="str">
        <f>IFERROR(__xludf.DUMMYFUNCTION("""COMPUTED_VALUE"""),"BOOK")</f>
        <v>BOOK</v>
      </c>
      <c r="D1973" s="122" t="str">
        <f>IFERROR(__xludf.DUMMYFUNCTION("""COMPUTED_VALUE"""),"BookBridge")</f>
        <v>BookBridge</v>
      </c>
      <c r="E1973" s="122">
        <f>IFERROR(__xludf.DUMMYFUNCTION("""COMPUTED_VALUE"""),113.35)</f>
        <v>113.35</v>
      </c>
      <c r="F1973" s="122">
        <f>IFERROR(__xludf.DUMMYFUNCTION("""COMPUTED_VALUE"""),-0.0031)</f>
        <v>-0.0031</v>
      </c>
    </row>
    <row r="1974">
      <c r="A1974" s="131">
        <f>IFERROR(__xludf.DUMMYFUNCTION("""COMPUTED_VALUE"""),46187.37998842593)</f>
        <v>46187.37999</v>
      </c>
      <c r="B1974" s="126">
        <f>IFERROR(__xludf.DUMMYFUNCTION("""COMPUTED_VALUE"""),46187.0)</f>
        <v>46187</v>
      </c>
      <c r="C1974" s="122" t="str">
        <f>IFERROR(__xludf.DUMMYFUNCTION("""COMPUTED_VALUE"""),"TUTR")</f>
        <v>TUTR</v>
      </c>
      <c r="D1974" s="122" t="str">
        <f>IFERROR(__xludf.DUMMYFUNCTION("""COMPUTED_VALUE"""),"TutorTown")</f>
        <v>TutorTown</v>
      </c>
      <c r="E1974" s="122">
        <f>IFERROR(__xludf.DUMMYFUNCTION("""COMPUTED_VALUE"""),89.15)</f>
        <v>89.15</v>
      </c>
      <c r="F1974" s="122">
        <f>IFERROR(__xludf.DUMMYFUNCTION("""COMPUTED_VALUE"""),-0.0015)</f>
        <v>-0.0015</v>
      </c>
    </row>
    <row r="1975">
      <c r="A1975" s="131">
        <f>IFERROR(__xludf.DUMMYFUNCTION("""COMPUTED_VALUE"""),46187.37998842593)</f>
        <v>46187.37999</v>
      </c>
      <c r="B1975" s="126">
        <f>IFERROR(__xludf.DUMMYFUNCTION("""COMPUTED_VALUE"""),46187.0)</f>
        <v>46187</v>
      </c>
      <c r="C1975" s="122" t="str">
        <f>IFERROR(__xludf.DUMMYFUNCTION("""COMPUTED_VALUE"""),"LANG")</f>
        <v>LANG</v>
      </c>
      <c r="D1975" s="122" t="str">
        <f>IFERROR(__xludf.DUMMYFUNCTION("""COMPUTED_VALUE"""),"LinguaLab")</f>
        <v>LinguaLab</v>
      </c>
      <c r="E1975" s="122">
        <f>IFERROR(__xludf.DUMMYFUNCTION("""COMPUTED_VALUE"""),96.35)</f>
        <v>96.35</v>
      </c>
      <c r="F1975" s="122">
        <f>IFERROR(__xludf.DUMMYFUNCTION("""COMPUTED_VALUE"""),0.0029)</f>
        <v>0.0029</v>
      </c>
    </row>
    <row r="1976">
      <c r="A1976" s="131">
        <f>IFERROR(__xludf.DUMMYFUNCTION("""COMPUTED_VALUE"""),46187.37998842593)</f>
        <v>46187.37999</v>
      </c>
      <c r="B1976" s="126">
        <f>IFERROR(__xludf.DUMMYFUNCTION("""COMPUTED_VALUE"""),46187.0)</f>
        <v>46187</v>
      </c>
      <c r="C1976" s="122" t="str">
        <f>IFERROR(__xludf.DUMMYFUNCTION("""COMPUTED_VALUE"""),"TEST")</f>
        <v>TEST</v>
      </c>
      <c r="D1976" s="122" t="str">
        <f>IFERROR(__xludf.DUMMYFUNCTION("""COMPUTED_VALUE"""),"TestPrep Pro")</f>
        <v>TestPrep Pro</v>
      </c>
      <c r="E1976" s="122">
        <f>IFERROR(__xludf.DUMMYFUNCTION("""COMPUTED_VALUE"""),103.18)</f>
        <v>103.18</v>
      </c>
      <c r="F1976" s="122">
        <f>IFERROR(__xludf.DUMMYFUNCTION("""COMPUTED_VALUE"""),9.0E-4)</f>
        <v>0.0009</v>
      </c>
    </row>
    <row r="1977">
      <c r="A1977" s="131">
        <f>IFERROR(__xludf.DUMMYFUNCTION("""COMPUTED_VALUE"""),46187.37998842593)</f>
        <v>46187.37999</v>
      </c>
      <c r="B1977" s="126">
        <f>IFERROR(__xludf.DUMMYFUNCTION("""COMPUTED_VALUE"""),46187.0)</f>
        <v>46187</v>
      </c>
      <c r="C1977" s="122" t="str">
        <f>IFERROR(__xludf.DUMMYFUNCTION("""COMPUTED_VALUE"""),"MOVI")</f>
        <v>MOVI</v>
      </c>
      <c r="D1977" s="122" t="str">
        <f>IFERROR(__xludf.DUMMYFUNCTION("""COMPUTED_VALUE"""),"MovieBox")</f>
        <v>MovieBox</v>
      </c>
      <c r="E1977" s="122">
        <f>IFERROR(__xludf.DUMMYFUNCTION("""COMPUTED_VALUE"""),81.48)</f>
        <v>81.48</v>
      </c>
      <c r="F1977" s="122">
        <f>IFERROR(__xludf.DUMMYFUNCTION("""COMPUTED_VALUE"""),-0.0031)</f>
        <v>-0.0031</v>
      </c>
    </row>
    <row r="1978">
      <c r="A1978" s="131">
        <f>IFERROR(__xludf.DUMMYFUNCTION("""COMPUTED_VALUE"""),46187.37998842593)</f>
        <v>46187.37999</v>
      </c>
      <c r="B1978" s="126">
        <f>IFERROR(__xludf.DUMMYFUNCTION("""COMPUTED_VALUE"""),46187.0)</f>
        <v>46187</v>
      </c>
      <c r="C1978" s="122" t="str">
        <f>IFERROR(__xludf.DUMMYFUNCTION("""COMPUTED_VALUE"""),"MUSC")</f>
        <v>MUSC</v>
      </c>
      <c r="D1978" s="122" t="str">
        <f>IFERROR(__xludf.DUMMYFUNCTION("""COMPUTED_VALUE"""),"MusicWave")</f>
        <v>MusicWave</v>
      </c>
      <c r="E1978" s="122">
        <f>IFERROR(__xludf.DUMMYFUNCTION("""COMPUTED_VALUE"""),96.65)</f>
        <v>96.65</v>
      </c>
      <c r="F1978" s="122">
        <f>IFERROR(__xludf.DUMMYFUNCTION("""COMPUTED_VALUE"""),0.0089)</f>
        <v>0.0089</v>
      </c>
    </row>
    <row r="1979">
      <c r="A1979" s="131">
        <f>IFERROR(__xludf.DUMMYFUNCTION("""COMPUTED_VALUE"""),46187.37998842593)</f>
        <v>46187.37999</v>
      </c>
      <c r="B1979" s="126">
        <f>IFERROR(__xludf.DUMMYFUNCTION("""COMPUTED_VALUE"""),46187.0)</f>
        <v>46187</v>
      </c>
      <c r="C1979" s="122" t="str">
        <f>IFERROR(__xludf.DUMMYFUNCTION("""COMPUTED_VALUE"""),"IDOL")</f>
        <v>IDOL</v>
      </c>
      <c r="D1979" s="122" t="str">
        <f>IFERROR(__xludf.DUMMYFUNCTION("""COMPUTED_VALUE"""),"Idol Agency")</f>
        <v>Idol Agency</v>
      </c>
      <c r="E1979" s="122">
        <f>IFERROR(__xludf.DUMMYFUNCTION("""COMPUTED_VALUE"""),198.21)</f>
        <v>198.21</v>
      </c>
      <c r="F1979" s="122">
        <f>IFERROR(__xludf.DUMMYFUNCTION("""COMPUTED_VALUE"""),0.0106)</f>
        <v>0.0106</v>
      </c>
    </row>
    <row r="1980">
      <c r="A1980" s="131">
        <f>IFERROR(__xludf.DUMMYFUNCTION("""COMPUTED_VALUE"""),46187.37998842593)</f>
        <v>46187.37999</v>
      </c>
      <c r="B1980" s="126">
        <f>IFERROR(__xludf.DUMMYFUNCTION("""COMPUTED_VALUE"""),46187.0)</f>
        <v>46187</v>
      </c>
      <c r="C1980" s="122" t="str">
        <f>IFERROR(__xludf.DUMMYFUNCTION("""COMPUTED_VALUE"""),"MEME")</f>
        <v>MEME</v>
      </c>
      <c r="D1980" s="122" t="str">
        <f>IFERROR(__xludf.DUMMYFUNCTION("""COMPUTED_VALUE"""),"Meme Media")</f>
        <v>Meme Media</v>
      </c>
      <c r="E1980" s="122">
        <f>IFERROR(__xludf.DUMMYFUNCTION("""COMPUTED_VALUE"""),78.8)</f>
        <v>78.8</v>
      </c>
      <c r="F1980" s="122">
        <f>IFERROR(__xludf.DUMMYFUNCTION("""COMPUTED_VALUE"""),0.0116)</f>
        <v>0.0116</v>
      </c>
    </row>
    <row r="1981">
      <c r="A1981" s="131">
        <f>IFERROR(__xludf.DUMMYFUNCTION("""COMPUTED_VALUE"""),46187.37998842593)</f>
        <v>46187.37999</v>
      </c>
      <c r="B1981" s="126">
        <f>IFERROR(__xludf.DUMMYFUNCTION("""COMPUTED_VALUE"""),46187.0)</f>
        <v>46187</v>
      </c>
      <c r="C1981" s="122" t="str">
        <f>IFERROR(__xludf.DUMMYFUNCTION("""COMPUTED_VALUE"""),"STRM")</f>
        <v>STRM</v>
      </c>
      <c r="D1981" s="122" t="str">
        <f>IFERROR(__xludf.DUMMYFUNCTION("""COMPUTED_VALUE"""),"Streamly")</f>
        <v>Streamly</v>
      </c>
      <c r="E1981" s="122">
        <f>IFERROR(__xludf.DUMMYFUNCTION("""COMPUTED_VALUE"""),133.01)</f>
        <v>133.01</v>
      </c>
      <c r="F1981" s="122">
        <f>IFERROR(__xludf.DUMMYFUNCTION("""COMPUTED_VALUE"""),-0.0075)</f>
        <v>-0.0075</v>
      </c>
    </row>
    <row r="1982">
      <c r="A1982" s="131">
        <f>IFERROR(__xludf.DUMMYFUNCTION("""COMPUTED_VALUE"""),46187.37998842593)</f>
        <v>46187.37999</v>
      </c>
      <c r="B1982" s="126">
        <f>IFERROR(__xludf.DUMMYFUNCTION("""COMPUTED_VALUE"""),46187.0)</f>
        <v>46187</v>
      </c>
      <c r="C1982" s="122" t="str">
        <f>IFERROR(__xludf.DUMMYFUNCTION("""COMPUTED_VALUE"""),"FARM")</f>
        <v>FARM</v>
      </c>
      <c r="D1982" s="122" t="str">
        <f>IFERROR(__xludf.DUMMYFUNCTION("""COMPUTED_VALUE"""),"Future Farms")</f>
        <v>Future Farms</v>
      </c>
      <c r="E1982" s="122">
        <f>IFERROR(__xludf.DUMMYFUNCTION("""COMPUTED_VALUE"""),80.87)</f>
        <v>80.87</v>
      </c>
      <c r="F1982" s="122">
        <f>IFERROR(__xludf.DUMMYFUNCTION("""COMPUTED_VALUE"""),0.002)</f>
        <v>0.002</v>
      </c>
    </row>
    <row r="1983">
      <c r="A1983" s="131">
        <f>IFERROR(__xludf.DUMMYFUNCTION("""COMPUTED_VALUE"""),46187.37998842593)</f>
        <v>46187.37999</v>
      </c>
      <c r="B1983" s="126">
        <f>IFERROR(__xludf.DUMMYFUNCTION("""COMPUTED_VALUE"""),46187.0)</f>
        <v>46187</v>
      </c>
      <c r="C1983" s="122" t="str">
        <f>IFERROR(__xludf.DUMMYFUNCTION("""COMPUTED_VALUE"""),"MEAT")</f>
        <v>MEAT</v>
      </c>
      <c r="D1983" s="122" t="str">
        <f>IFERROR(__xludf.DUMMYFUNCTION("""COMPUTED_VALUE"""),"MeatWorks")</f>
        <v>MeatWorks</v>
      </c>
      <c r="E1983" s="122">
        <f>IFERROR(__xludf.DUMMYFUNCTION("""COMPUTED_VALUE"""),102.27)</f>
        <v>102.27</v>
      </c>
      <c r="F1983" s="122">
        <f>IFERROR(__xludf.DUMMYFUNCTION("""COMPUTED_VALUE"""),-9.0E-4)</f>
        <v>-0.0009</v>
      </c>
    </row>
    <row r="1984">
      <c r="A1984" s="131">
        <f>IFERROR(__xludf.DUMMYFUNCTION("""COMPUTED_VALUE"""),46187.37998842593)</f>
        <v>46187.37999</v>
      </c>
      <c r="B1984" s="126">
        <f>IFERROR(__xludf.DUMMYFUNCTION("""COMPUTED_VALUE"""),46187.0)</f>
        <v>46187</v>
      </c>
      <c r="C1984" s="122" t="str">
        <f>IFERROR(__xludf.DUMMYFUNCTION("""COMPUTED_VALUE"""),"VEGI")</f>
        <v>VEGI</v>
      </c>
      <c r="D1984" s="122" t="str">
        <f>IFERROR(__xludf.DUMMYFUNCTION("""COMPUTED_VALUE"""),"Green Basket")</f>
        <v>Green Basket</v>
      </c>
      <c r="E1984" s="122">
        <f>IFERROR(__xludf.DUMMYFUNCTION("""COMPUTED_VALUE"""),82.17)</f>
        <v>82.17</v>
      </c>
      <c r="F1984" s="122">
        <f>IFERROR(__xludf.DUMMYFUNCTION("""COMPUTED_VALUE"""),0.002)</f>
        <v>0.002</v>
      </c>
    </row>
    <row r="1985">
      <c r="A1985" s="131">
        <f>IFERROR(__xludf.DUMMYFUNCTION("""COMPUTED_VALUE"""),46187.37998842593)</f>
        <v>46187.37999</v>
      </c>
      <c r="B1985" s="126">
        <f>IFERROR(__xludf.DUMMYFUNCTION("""COMPUTED_VALUE"""),46187.0)</f>
        <v>46187</v>
      </c>
      <c r="C1985" s="122" t="str">
        <f>IFERROR(__xludf.DUMMYFUNCTION("""COMPUTED_VALUE"""),"CAFE")</f>
        <v>CAFE</v>
      </c>
      <c r="D1985" s="122" t="str">
        <f>IFERROR(__xludf.DUMMYFUNCTION("""COMPUTED_VALUE"""),"Cafe Cloud")</f>
        <v>Cafe Cloud</v>
      </c>
      <c r="E1985" s="122">
        <f>IFERROR(__xludf.DUMMYFUNCTION("""COMPUTED_VALUE"""),99.68)</f>
        <v>99.68</v>
      </c>
      <c r="F1985" s="122">
        <f>IFERROR(__xludf.DUMMYFUNCTION("""COMPUTED_VALUE"""),-0.0036)</f>
        <v>-0.0036</v>
      </c>
    </row>
    <row r="1986">
      <c r="A1986" s="131">
        <f>IFERROR(__xludf.DUMMYFUNCTION("""COMPUTED_VALUE"""),46187.37998842593)</f>
        <v>46187.37999</v>
      </c>
      <c r="B1986" s="126">
        <f>IFERROR(__xludf.DUMMYFUNCTION("""COMPUTED_VALUE"""),46187.0)</f>
        <v>46187</v>
      </c>
      <c r="C1986" s="122" t="str">
        <f>IFERROR(__xludf.DUMMYFUNCTION("""COMPUTED_VALUE"""),"BAKE")</f>
        <v>BAKE</v>
      </c>
      <c r="D1986" s="122" t="str">
        <f>IFERROR(__xludf.DUMMYFUNCTION("""COMPUTED_VALUE"""),"BakeHouse")</f>
        <v>BakeHouse</v>
      </c>
      <c r="E1986" s="122">
        <f>IFERROR(__xludf.DUMMYFUNCTION("""COMPUTED_VALUE"""),99.15)</f>
        <v>99.15</v>
      </c>
      <c r="F1986" s="122">
        <f>IFERROR(__xludf.DUMMYFUNCTION("""COMPUTED_VALUE"""),5.0E-4)</f>
        <v>0.0005</v>
      </c>
    </row>
    <row r="1987">
      <c r="A1987" s="131">
        <f>IFERROR(__xludf.DUMMYFUNCTION("""COMPUTED_VALUE"""),46187.37998842593)</f>
        <v>46187.37999</v>
      </c>
      <c r="B1987" s="126">
        <f>IFERROR(__xludf.DUMMYFUNCTION("""COMPUTED_VALUE"""),46187.0)</f>
        <v>46187</v>
      </c>
      <c r="C1987" s="122" t="str">
        <f>IFERROR(__xludf.DUMMYFUNCTION("""COMPUTED_VALUE"""),"OILX")</f>
        <v>OILX</v>
      </c>
      <c r="D1987" s="122" t="str">
        <f>IFERROR(__xludf.DUMMYFUNCTION("""COMPUTED_VALUE"""),"OilMax Energy")</f>
        <v>OilMax Energy</v>
      </c>
      <c r="E1987" s="122">
        <f>IFERROR(__xludf.DUMMYFUNCTION("""COMPUTED_VALUE"""),127.87)</f>
        <v>127.87</v>
      </c>
      <c r="F1987" s="122">
        <f>IFERROR(__xludf.DUMMYFUNCTION("""COMPUTED_VALUE"""),-0.0034)</f>
        <v>-0.0034</v>
      </c>
    </row>
    <row r="1988">
      <c r="A1988" s="131">
        <f>IFERROR(__xludf.DUMMYFUNCTION("""COMPUTED_VALUE"""),46187.37998842593)</f>
        <v>46187.37999</v>
      </c>
      <c r="B1988" s="126">
        <f>IFERROR(__xludf.DUMMYFUNCTION("""COMPUTED_VALUE"""),46187.0)</f>
        <v>46187</v>
      </c>
      <c r="C1988" s="122" t="str">
        <f>IFERROR(__xludf.DUMMYFUNCTION("""COMPUTED_VALUE"""),"SOLR")</f>
        <v>SOLR</v>
      </c>
      <c r="D1988" s="122" t="str">
        <f>IFERROR(__xludf.DUMMYFUNCTION("""COMPUTED_VALUE"""),"SolarSpark")</f>
        <v>SolarSpark</v>
      </c>
      <c r="E1988" s="122">
        <f>IFERROR(__xludf.DUMMYFUNCTION("""COMPUTED_VALUE"""),86.71)</f>
        <v>86.71</v>
      </c>
      <c r="F1988" s="122">
        <f>IFERROR(__xludf.DUMMYFUNCTION("""COMPUTED_VALUE"""),0.0099)</f>
        <v>0.0099</v>
      </c>
    </row>
    <row r="1989">
      <c r="A1989" s="131">
        <f>IFERROR(__xludf.DUMMYFUNCTION("""COMPUTED_VALUE"""),46187.37998842593)</f>
        <v>46187.37999</v>
      </c>
      <c r="B1989" s="126">
        <f>IFERROR(__xludf.DUMMYFUNCTION("""COMPUTED_VALUE"""),46187.0)</f>
        <v>46187</v>
      </c>
      <c r="C1989" s="122" t="str">
        <f>IFERROR(__xludf.DUMMYFUNCTION("""COMPUTED_VALUE"""),"BATT")</f>
        <v>BATT</v>
      </c>
      <c r="D1989" s="122" t="str">
        <f>IFERROR(__xludf.DUMMYFUNCTION("""COMPUTED_VALUE"""),"BatteryBox")</f>
        <v>BatteryBox</v>
      </c>
      <c r="E1989" s="122">
        <f>IFERROR(__xludf.DUMMYFUNCTION("""COMPUTED_VALUE"""),119.14)</f>
        <v>119.14</v>
      </c>
      <c r="F1989" s="122">
        <f>IFERROR(__xludf.DUMMYFUNCTION("""COMPUTED_VALUE"""),-0.0072)</f>
        <v>-0.0072</v>
      </c>
    </row>
    <row r="1990">
      <c r="A1990" s="131">
        <f>IFERROR(__xludf.DUMMYFUNCTION("""COMPUTED_VALUE"""),46187.37998842593)</f>
        <v>46187.37999</v>
      </c>
      <c r="B1990" s="126">
        <f>IFERROR(__xludf.DUMMYFUNCTION("""COMPUTED_VALUE"""),46187.0)</f>
        <v>46187</v>
      </c>
      <c r="C1990" s="122" t="str">
        <f>IFERROR(__xludf.DUMMYFUNCTION("""COMPUTED_VALUE"""),"WIND")</f>
        <v>WIND</v>
      </c>
      <c r="D1990" s="122" t="str">
        <f>IFERROR(__xludf.DUMMYFUNCTION("""COMPUTED_VALUE"""),"WindWorks")</f>
        <v>WindWorks</v>
      </c>
      <c r="E1990" s="122">
        <f>IFERROR(__xludf.DUMMYFUNCTION("""COMPUTED_VALUE"""),88.34)</f>
        <v>88.34</v>
      </c>
      <c r="F1990" s="122">
        <f>IFERROR(__xludf.DUMMYFUNCTION("""COMPUTED_VALUE"""),0.0062)</f>
        <v>0.0062</v>
      </c>
    </row>
    <row r="1991">
      <c r="A1991" s="131">
        <f>IFERROR(__xludf.DUMMYFUNCTION("""COMPUTED_VALUE"""),46187.37998842593)</f>
        <v>46187.37999</v>
      </c>
      <c r="B1991" s="126">
        <f>IFERROR(__xludf.DUMMYFUNCTION("""COMPUTED_VALUE"""),46187.0)</f>
        <v>46187</v>
      </c>
      <c r="C1991" s="122" t="str">
        <f>IFERROR(__xludf.DUMMYFUNCTION("""COMPUTED_VALUE"""),"GRID")</f>
        <v>GRID</v>
      </c>
      <c r="D1991" s="122" t="str">
        <f>IFERROR(__xludf.DUMMYFUNCTION("""COMPUTED_VALUE"""),"GridPower")</f>
        <v>GridPower</v>
      </c>
      <c r="E1991" s="122">
        <f>IFERROR(__xludf.DUMMYFUNCTION("""COMPUTED_VALUE"""),145.45)</f>
        <v>145.45</v>
      </c>
      <c r="F1991" s="122">
        <f>IFERROR(__xludf.DUMMYFUNCTION("""COMPUTED_VALUE"""),-0.0022)</f>
        <v>-0.0022</v>
      </c>
    </row>
    <row r="1992">
      <c r="A1992" s="131">
        <f>IFERROR(__xludf.DUMMYFUNCTION("""COMPUTED_VALUE"""),46187.37998842593)</f>
        <v>46187.37999</v>
      </c>
      <c r="B1992" s="126">
        <f>IFERROR(__xludf.DUMMYFUNCTION("""COMPUTED_VALUE"""),46187.0)</f>
        <v>46187</v>
      </c>
      <c r="C1992" s="122" t="str">
        <f>IFERROR(__xludf.DUMMYFUNCTION("""COMPUTED_VALUE"""),"HOME")</f>
        <v>HOME</v>
      </c>
      <c r="D1992" s="122" t="str">
        <f>IFERROR(__xludf.DUMMYFUNCTION("""COMPUTED_VALUE"""),"HomeHub")</f>
        <v>HomeHub</v>
      </c>
      <c r="E1992" s="122">
        <f>IFERROR(__xludf.DUMMYFUNCTION("""COMPUTED_VALUE"""),147.43)</f>
        <v>147.43</v>
      </c>
      <c r="F1992" s="122">
        <f>IFERROR(__xludf.DUMMYFUNCTION("""COMPUTED_VALUE"""),0.0027)</f>
        <v>0.0027</v>
      </c>
    </row>
    <row r="1993">
      <c r="A1993" s="131">
        <f>IFERROR(__xludf.DUMMYFUNCTION("""COMPUTED_VALUE"""),46187.37998842593)</f>
        <v>46187.37999</v>
      </c>
      <c r="B1993" s="126">
        <f>IFERROR(__xludf.DUMMYFUNCTION("""COMPUTED_VALUE"""),46187.0)</f>
        <v>46187</v>
      </c>
      <c r="C1993" s="122" t="str">
        <f>IFERROR(__xludf.DUMMYFUNCTION("""COMPUTED_VALUE"""),"RENT")</f>
        <v>RENT</v>
      </c>
      <c r="D1993" s="122" t="str">
        <f>IFERROR(__xludf.DUMMYFUNCTION("""COMPUTED_VALUE"""),"RentRight")</f>
        <v>RentRight</v>
      </c>
      <c r="E1993" s="122">
        <f>IFERROR(__xludf.DUMMYFUNCTION("""COMPUTED_VALUE"""),91.98)</f>
        <v>91.98</v>
      </c>
      <c r="F1993" s="122">
        <f>IFERROR(__xludf.DUMMYFUNCTION("""COMPUTED_VALUE"""),-0.0016)</f>
        <v>-0.0016</v>
      </c>
    </row>
    <row r="1994">
      <c r="A1994" s="131">
        <f>IFERROR(__xludf.DUMMYFUNCTION("""COMPUTED_VALUE"""),46187.37998842593)</f>
        <v>46187.37999</v>
      </c>
      <c r="B1994" s="126">
        <f>IFERROR(__xludf.DUMMYFUNCTION("""COMPUTED_VALUE"""),46187.0)</f>
        <v>46187</v>
      </c>
      <c r="C1994" s="122" t="str">
        <f>IFERROR(__xludf.DUMMYFUNCTION("""COMPUTED_VALUE"""),"MALL")</f>
        <v>MALL</v>
      </c>
      <c r="D1994" s="122" t="str">
        <f>IFERROR(__xludf.DUMMYFUNCTION("""COMPUTED_VALUE"""),"MegaMall")</f>
        <v>MegaMall</v>
      </c>
      <c r="E1994" s="122">
        <f>IFERROR(__xludf.DUMMYFUNCTION("""COMPUTED_VALUE"""),98.24)</f>
        <v>98.24</v>
      </c>
      <c r="F1994" s="122">
        <f>IFERROR(__xludf.DUMMYFUNCTION("""COMPUTED_VALUE"""),-0.0019)</f>
        <v>-0.0019</v>
      </c>
    </row>
    <row r="1995">
      <c r="A1995" s="131">
        <f>IFERROR(__xludf.DUMMYFUNCTION("""COMPUTED_VALUE"""),46187.37998842593)</f>
        <v>46187.37999</v>
      </c>
      <c r="B1995" s="126">
        <f>IFERROR(__xludf.DUMMYFUNCTION("""COMPUTED_VALUE"""),46187.0)</f>
        <v>46187</v>
      </c>
      <c r="C1995" s="122" t="str">
        <f>IFERROR(__xludf.DUMMYFUNCTION("""COMPUTED_VALUE"""),"HOTL")</f>
        <v>HOTL</v>
      </c>
      <c r="D1995" s="122" t="str">
        <f>IFERROR(__xludf.DUMMYFUNCTION("""COMPUTED_VALUE"""),"HotelHive")</f>
        <v>HotelHive</v>
      </c>
      <c r="E1995" s="122">
        <f>IFERROR(__xludf.DUMMYFUNCTION("""COMPUTED_VALUE"""),132.13)</f>
        <v>132.13</v>
      </c>
      <c r="F1995" s="122">
        <f>IFERROR(__xludf.DUMMYFUNCTION("""COMPUTED_VALUE"""),0.0052)</f>
        <v>0.0052</v>
      </c>
    </row>
    <row r="1996">
      <c r="A1996" s="131">
        <f>IFERROR(__xludf.DUMMYFUNCTION("""COMPUTED_VALUE"""),46187.37998842593)</f>
        <v>46187.37999</v>
      </c>
      <c r="B1996" s="126">
        <f>IFERROR(__xludf.DUMMYFUNCTION("""COMPUTED_VALUE"""),46187.0)</f>
        <v>46187</v>
      </c>
      <c r="C1996" s="122" t="str">
        <f>IFERROR(__xludf.DUMMYFUNCTION("""COMPUTED_VALUE"""),"LAND")</f>
        <v>LAND</v>
      </c>
      <c r="D1996" s="122" t="str">
        <f>IFERROR(__xludf.DUMMYFUNCTION("""COMPUTED_VALUE"""),"LandLink")</f>
        <v>LandLink</v>
      </c>
      <c r="E1996" s="122">
        <f>IFERROR(__xludf.DUMMYFUNCTION("""COMPUTED_VALUE"""),182.61)</f>
        <v>182.61</v>
      </c>
      <c r="F1996" s="122">
        <f>IFERROR(__xludf.DUMMYFUNCTION("""COMPUTED_VALUE"""),-0.0017)</f>
        <v>-0.0017</v>
      </c>
    </row>
    <row r="1997">
      <c r="A1997" s="131">
        <f>IFERROR(__xludf.DUMMYFUNCTION("""COMPUTED_VALUE"""),46187.37998842593)</f>
        <v>46187.37999</v>
      </c>
      <c r="B1997" s="126">
        <f>IFERROR(__xludf.DUMMYFUNCTION("""COMPUTED_VALUE"""),46187.0)</f>
        <v>46187</v>
      </c>
      <c r="C1997" s="122" t="str">
        <f>IFERROR(__xludf.DUMMYFUNCTION("""COMPUTED_VALUE"""),"CARS")</f>
        <v>CARS</v>
      </c>
      <c r="D1997" s="122" t="str">
        <f>IFERROR(__xludf.DUMMYFUNCTION("""COMPUTED_VALUE"""),"AutoArena")</f>
        <v>AutoArena</v>
      </c>
      <c r="E1997" s="122">
        <f>IFERROR(__xludf.DUMMYFUNCTION("""COMPUTED_VALUE"""),79.51)</f>
        <v>79.51</v>
      </c>
      <c r="F1997" s="122">
        <f>IFERROR(__xludf.DUMMYFUNCTION("""COMPUTED_VALUE"""),0.0098)</f>
        <v>0.0098</v>
      </c>
    </row>
    <row r="1998">
      <c r="A1998" s="131">
        <f>IFERROR(__xludf.DUMMYFUNCTION("""COMPUTED_VALUE"""),46187.37998842593)</f>
        <v>46187.37999</v>
      </c>
      <c r="B1998" s="126">
        <f>IFERROR(__xludf.DUMMYFUNCTION("""COMPUTED_VALUE"""),46187.0)</f>
        <v>46187</v>
      </c>
      <c r="C1998" s="122" t="str">
        <f>IFERROR(__xludf.DUMMYFUNCTION("""COMPUTED_VALUE"""),"EVGO")</f>
        <v>EVGO</v>
      </c>
      <c r="D1998" s="122" t="str">
        <f>IFERROR(__xludf.DUMMYFUNCTION("""COMPUTED_VALUE"""),"EVGo Motors")</f>
        <v>EVGo Motors</v>
      </c>
      <c r="E1998" s="122">
        <f>IFERROR(__xludf.DUMMYFUNCTION("""COMPUTED_VALUE"""),193.11)</f>
        <v>193.11</v>
      </c>
      <c r="F1998" s="122">
        <f>IFERROR(__xludf.DUMMYFUNCTION("""COMPUTED_VALUE"""),-0.0045)</f>
        <v>-0.0045</v>
      </c>
    </row>
    <row r="1999">
      <c r="A1999" s="131">
        <f>IFERROR(__xludf.DUMMYFUNCTION("""COMPUTED_VALUE"""),46187.37998842593)</f>
        <v>46187.37999</v>
      </c>
      <c r="B1999" s="126">
        <f>IFERROR(__xludf.DUMMYFUNCTION("""COMPUTED_VALUE"""),46187.0)</f>
        <v>46187</v>
      </c>
      <c r="C1999" s="122" t="str">
        <f>IFERROR(__xludf.DUMMYFUNCTION("""COMPUTED_VALUE"""),"TIRE")</f>
        <v>TIRE</v>
      </c>
      <c r="D1999" s="122" t="str">
        <f>IFERROR(__xludf.DUMMYFUNCTION("""COMPUTED_VALUE"""),"TireTown")</f>
        <v>TireTown</v>
      </c>
      <c r="E1999" s="122">
        <f>IFERROR(__xludf.DUMMYFUNCTION("""COMPUTED_VALUE"""),91.3)</f>
        <v>91.3</v>
      </c>
      <c r="F1999" s="122">
        <f>IFERROR(__xludf.DUMMYFUNCTION("""COMPUTED_VALUE"""),0.0041)</f>
        <v>0.0041</v>
      </c>
    </row>
    <row r="2000">
      <c r="A2000" s="131">
        <f>IFERROR(__xludf.DUMMYFUNCTION("""COMPUTED_VALUE"""),46187.37998842593)</f>
        <v>46187.37999</v>
      </c>
      <c r="B2000" s="126">
        <f>IFERROR(__xludf.DUMMYFUNCTION("""COMPUTED_VALUE"""),46187.0)</f>
        <v>46187</v>
      </c>
      <c r="C2000" s="122" t="str">
        <f>IFERROR(__xludf.DUMMYFUNCTION("""COMPUTED_VALUE"""),"BIKE")</f>
        <v>BIKE</v>
      </c>
      <c r="D2000" s="122" t="str">
        <f>IFERROR(__xludf.DUMMYFUNCTION("""COMPUTED_VALUE"""),"BikeBox")</f>
        <v>BikeBox</v>
      </c>
      <c r="E2000" s="122">
        <f>IFERROR(__xludf.DUMMYFUNCTION("""COMPUTED_VALUE"""),53.75)</f>
        <v>53.75</v>
      </c>
      <c r="F2000" s="122">
        <f>IFERROR(__xludf.DUMMYFUNCTION("""COMPUTED_VALUE"""),0.0026)</f>
        <v>0.0026</v>
      </c>
    </row>
    <row r="2001">
      <c r="A2001" s="131">
        <f>IFERROR(__xludf.DUMMYFUNCTION("""COMPUTED_VALUE"""),46187.37998842593)</f>
        <v>46187.37999</v>
      </c>
      <c r="B2001" s="126">
        <f>IFERROR(__xludf.DUMMYFUNCTION("""COMPUTED_VALUE"""),46187.0)</f>
        <v>46187</v>
      </c>
      <c r="C2001" s="122" t="str">
        <f>IFERROR(__xludf.DUMMYFUNCTION("""COMPUTED_VALUE"""),"WASH")</f>
        <v>WASH</v>
      </c>
      <c r="D2001" s="122" t="str">
        <f>IFERROR(__xludf.DUMMYFUNCTION("""COMPUTED_VALUE"""),"CarWash Co")</f>
        <v>CarWash Co</v>
      </c>
      <c r="E2001" s="122">
        <f>IFERROR(__xludf.DUMMYFUNCTION("""COMPUTED_VALUE"""),119.95)</f>
        <v>119.95</v>
      </c>
      <c r="F2001" s="122">
        <f>IFERROR(__xludf.DUMMYFUNCTION("""COMPUTED_VALUE"""),0.0033)</f>
        <v>0.0033</v>
      </c>
    </row>
    <row r="2002">
      <c r="A2002" s="131">
        <f>IFERROR(__xludf.DUMMYFUNCTION("""COMPUTED_VALUE"""),46187.37998842593)</f>
        <v>46187.37999</v>
      </c>
      <c r="B2002" s="126">
        <f>IFERROR(__xludf.DUMMYFUNCTION("""COMPUTED_VALUE"""),46187.0)</f>
        <v>46187</v>
      </c>
      <c r="C2002" s="122" t="str">
        <f>IFERROR(__xludf.DUMMYFUNCTION("""COMPUTED_VALUE"""),"GBND")</f>
        <v>GBND</v>
      </c>
      <c r="D2002" s="122" t="str">
        <f>IFERROR(__xludf.DUMMYFUNCTION("""COMPUTED_VALUE"""),"Classroom Government Bond")</f>
        <v>Classroom Government Bond</v>
      </c>
      <c r="E2002" s="122">
        <f>IFERROR(__xludf.DUMMYFUNCTION("""COMPUTED_VALUE"""),100.91)</f>
        <v>100.91</v>
      </c>
      <c r="F2002" s="122">
        <f>IFERROR(__xludf.DUMMYFUNCTION("""COMPUTED_VALUE"""),-4.0E-4)</f>
        <v>-0.0004</v>
      </c>
    </row>
    <row r="2003">
      <c r="A2003" s="131">
        <f>IFERROR(__xludf.DUMMYFUNCTION("""COMPUTED_VALUE"""),46187.37998842593)</f>
        <v>46187.37999</v>
      </c>
      <c r="B2003" s="126">
        <f>IFERROR(__xludf.DUMMYFUNCTION("""COMPUTED_VALUE"""),46187.0)</f>
        <v>46187</v>
      </c>
      <c r="C2003" s="122" t="str">
        <f>IFERROR(__xludf.DUMMYFUNCTION("""COMPUTED_VALUE"""),"SBND")</f>
        <v>SBND</v>
      </c>
      <c r="D2003" s="122" t="str">
        <f>IFERROR(__xludf.DUMMYFUNCTION("""COMPUTED_VALUE"""),"School Savings Bond")</f>
        <v>School Savings Bond</v>
      </c>
      <c r="E2003" s="122">
        <f>IFERROR(__xludf.DUMMYFUNCTION("""COMPUTED_VALUE"""),99.46)</f>
        <v>99.46</v>
      </c>
      <c r="F2003" s="122">
        <f>IFERROR(__xludf.DUMMYFUNCTION("""COMPUTED_VALUE"""),0.0)</f>
        <v>0</v>
      </c>
    </row>
    <row r="2004">
      <c r="A2004" s="131">
        <f>IFERROR(__xludf.DUMMYFUNCTION("""COMPUTED_VALUE"""),46187.37998842593)</f>
        <v>46187.37999</v>
      </c>
      <c r="B2004" s="126">
        <f>IFERROR(__xludf.DUMMYFUNCTION("""COMPUTED_VALUE"""),46187.0)</f>
        <v>46187</v>
      </c>
      <c r="C2004" s="122" t="str">
        <f>IFERROR(__xludf.DUMMYFUNCTION("""COMPUTED_VALUE"""),"CBND")</f>
        <v>CBND</v>
      </c>
      <c r="D2004" s="122" t="str">
        <f>IFERROR(__xludf.DUMMYFUNCTION("""COMPUTED_VALUE"""),"Corporate Classroom Bond")</f>
        <v>Corporate Classroom Bond</v>
      </c>
      <c r="E2004" s="122">
        <f>IFERROR(__xludf.DUMMYFUNCTION("""COMPUTED_VALUE"""),97.63)</f>
        <v>97.63</v>
      </c>
      <c r="F2004" s="122">
        <f>IFERROR(__xludf.DUMMYFUNCTION("""COMPUTED_VALUE"""),1.0E-4)</f>
        <v>0.0001</v>
      </c>
    </row>
    <row r="2005">
      <c r="A2005" s="131">
        <f>IFERROR(__xludf.DUMMYFUNCTION("""COMPUTED_VALUE"""),46187.37998842593)</f>
        <v>46187.37999</v>
      </c>
      <c r="B2005" s="126">
        <f>IFERROR(__xludf.DUMMYFUNCTION("""COMPUTED_VALUE"""),46187.0)</f>
        <v>46187</v>
      </c>
      <c r="C2005" s="122" t="str">
        <f>IFERROR(__xludf.DUMMYFUNCTION("""COMPUTED_VALUE"""),"TBIL")</f>
        <v>TBIL</v>
      </c>
      <c r="D2005" s="122" t="str">
        <f>IFERROR(__xludf.DUMMYFUNCTION("""COMPUTED_VALUE"""),"Treasury Bill")</f>
        <v>Treasury Bill</v>
      </c>
      <c r="E2005" s="122">
        <f>IFERROR(__xludf.DUMMYFUNCTION("""COMPUTED_VALUE"""),98.03)</f>
        <v>98.03</v>
      </c>
      <c r="F2005" s="122">
        <f>IFERROR(__xludf.DUMMYFUNCTION("""COMPUTED_VALUE"""),0.0)</f>
        <v>0</v>
      </c>
    </row>
    <row r="2006">
      <c r="A2006" s="131">
        <f>IFERROR(__xludf.DUMMYFUNCTION("""COMPUTED_VALUE"""),46187.37998842593)</f>
        <v>46187.37999</v>
      </c>
      <c r="B2006" s="126">
        <f>IFERROR(__xludf.DUMMYFUNCTION("""COMPUTED_VALUE"""),46187.0)</f>
        <v>46187</v>
      </c>
      <c r="C2006" s="122" t="str">
        <f>IFERROR(__xludf.DUMMYFUNCTION("""COMPUTED_VALUE"""),"IBND")</f>
        <v>IBND</v>
      </c>
      <c r="D2006" s="122" t="str">
        <f>IFERROR(__xludf.DUMMYFUNCTION("""COMPUTED_VALUE"""),"Inflation Protected Bond")</f>
        <v>Inflation Protected Bond</v>
      </c>
      <c r="E2006" s="122">
        <f>IFERROR(__xludf.DUMMYFUNCTION("""COMPUTED_VALUE"""),100.65)</f>
        <v>100.65</v>
      </c>
      <c r="F2006" s="122">
        <f>IFERROR(__xludf.DUMMYFUNCTION("""COMPUTED_VALUE"""),4.0E-4)</f>
        <v>0.0004</v>
      </c>
    </row>
    <row r="2007">
      <c r="A2007" s="131">
        <f>IFERROR(__xludf.DUMMYFUNCTION("""COMPUTED_VALUE"""),46187.383414351854)</f>
        <v>46187.38341</v>
      </c>
      <c r="B2007" s="126">
        <f>IFERROR(__xludf.DUMMYFUNCTION("""COMPUTED_VALUE"""),46187.0)</f>
        <v>46187</v>
      </c>
      <c r="C2007" s="122" t="str">
        <f>IFERROR(__xludf.DUMMYFUNCTION("""COMPUTED_VALUE"""),"SNAX")</f>
        <v>SNAX</v>
      </c>
      <c r="D2007" s="122" t="str">
        <f>IFERROR(__xludf.DUMMYFUNCTION("""COMPUTED_VALUE"""),"MICA Snacks")</f>
        <v>MICA Snacks</v>
      </c>
      <c r="E2007" s="122">
        <f>IFERROR(__xludf.DUMMYFUNCTION("""COMPUTED_VALUE"""),122.39)</f>
        <v>122.39</v>
      </c>
      <c r="F2007" s="122">
        <f>IFERROR(__xludf.DUMMYFUNCTION("""COMPUTED_VALUE"""),-2.0E-4)</f>
        <v>-0.0002</v>
      </c>
    </row>
    <row r="2008">
      <c r="A2008" s="131">
        <f>IFERROR(__xludf.DUMMYFUNCTION("""COMPUTED_VALUE"""),46187.383414351854)</f>
        <v>46187.38341</v>
      </c>
      <c r="B2008" s="126">
        <f>IFERROR(__xludf.DUMMYFUNCTION("""COMPUTED_VALUE"""),46187.0)</f>
        <v>46187</v>
      </c>
      <c r="C2008" s="122" t="str">
        <f>IFERROR(__xludf.DUMMYFUNCTION("""COMPUTED_VALUE"""),"RAMN")</f>
        <v>RAMN</v>
      </c>
      <c r="D2008" s="122" t="str">
        <f>IFERROR(__xludf.DUMMYFUNCTION("""COMPUTED_VALUE"""),"Ramen Republic")</f>
        <v>Ramen Republic</v>
      </c>
      <c r="E2008" s="122">
        <f>IFERROR(__xludf.DUMMYFUNCTION("""COMPUTED_VALUE"""),75.98)</f>
        <v>75.98</v>
      </c>
      <c r="F2008" s="122">
        <f>IFERROR(__xludf.DUMMYFUNCTION("""COMPUTED_VALUE"""),0.0026)</f>
        <v>0.0026</v>
      </c>
    </row>
    <row r="2009">
      <c r="A2009" s="131">
        <f>IFERROR(__xludf.DUMMYFUNCTION("""COMPUTED_VALUE"""),46187.383414351854)</f>
        <v>46187.38341</v>
      </c>
      <c r="B2009" s="126">
        <f>IFERROR(__xludf.DUMMYFUNCTION("""COMPUTED_VALUE"""),46187.0)</f>
        <v>46187</v>
      </c>
      <c r="C2009" s="122" t="str">
        <f>IFERROR(__xludf.DUMMYFUNCTION("""COMPUTED_VALUE"""),"COLA")</f>
        <v>COLA</v>
      </c>
      <c r="D2009" s="122" t="str">
        <f>IFERROR(__xludf.DUMMYFUNCTION("""COMPUTED_VALUE"""),"K-Pop Cola")</f>
        <v>K-Pop Cola</v>
      </c>
      <c r="E2009" s="122">
        <f>IFERROR(__xludf.DUMMYFUNCTION("""COMPUTED_VALUE"""),105.1)</f>
        <v>105.1</v>
      </c>
      <c r="F2009" s="122">
        <f>IFERROR(__xludf.DUMMYFUNCTION("""COMPUTED_VALUE"""),0.005)</f>
        <v>0.005</v>
      </c>
    </row>
    <row r="2010">
      <c r="A2010" s="131">
        <f>IFERROR(__xludf.DUMMYFUNCTION("""COMPUTED_VALUE"""),46187.383414351854)</f>
        <v>46187.38341</v>
      </c>
      <c r="B2010" s="126">
        <f>IFERROR(__xludf.DUMMYFUNCTION("""COMPUTED_VALUE"""),46187.0)</f>
        <v>46187</v>
      </c>
      <c r="C2010" s="122" t="str">
        <f>IFERROR(__xludf.DUMMYFUNCTION("""COMPUTED_VALUE"""),"CHIP")</f>
        <v>CHIP</v>
      </c>
      <c r="D2010" s="122" t="str">
        <f>IFERROR(__xludf.DUMMYFUNCTION("""COMPUTED_VALUE"""),"Chip Empire")</f>
        <v>Chip Empire</v>
      </c>
      <c r="E2010" s="122">
        <f>IFERROR(__xludf.DUMMYFUNCTION("""COMPUTED_VALUE"""),88.87)</f>
        <v>88.87</v>
      </c>
      <c r="F2010" s="122">
        <f>IFERROR(__xludf.DUMMYFUNCTION("""COMPUTED_VALUE"""),0.0073)</f>
        <v>0.0073</v>
      </c>
    </row>
    <row r="2011">
      <c r="A2011" s="131">
        <f>IFERROR(__xludf.DUMMYFUNCTION("""COMPUTED_VALUE"""),46187.383414351854)</f>
        <v>46187.38341</v>
      </c>
      <c r="B2011" s="126">
        <f>IFERROR(__xludf.DUMMYFUNCTION("""COMPUTED_VALUE"""),46187.0)</f>
        <v>46187</v>
      </c>
      <c r="C2011" s="122" t="str">
        <f>IFERROR(__xludf.DUMMYFUNCTION("""COMPUTED_VALUE"""),"CAND")</f>
        <v>CAND</v>
      </c>
      <c r="D2011" s="122" t="str">
        <f>IFERROR(__xludf.DUMMYFUNCTION("""COMPUTED_VALUE"""),"Candy Capital")</f>
        <v>Candy Capital</v>
      </c>
      <c r="E2011" s="122">
        <f>IFERROR(__xludf.DUMMYFUNCTION("""COMPUTED_VALUE"""),74.79)</f>
        <v>74.79</v>
      </c>
      <c r="F2011" s="122">
        <f>IFERROR(__xludf.DUMMYFUNCTION("""COMPUTED_VALUE"""),-0.0052)</f>
        <v>-0.0052</v>
      </c>
    </row>
    <row r="2012">
      <c r="A2012" s="131">
        <f>IFERROR(__xludf.DUMMYFUNCTION("""COMPUTED_VALUE"""),46187.383414351854)</f>
        <v>46187.38341</v>
      </c>
      <c r="B2012" s="126">
        <f>IFERROR(__xludf.DUMMYFUNCTION("""COMPUTED_VALUE"""),46187.0)</f>
        <v>46187</v>
      </c>
      <c r="C2012" s="122" t="str">
        <f>IFERROR(__xludf.DUMMYFUNCTION("""COMPUTED_VALUE"""),"TECH")</f>
        <v>TECH</v>
      </c>
      <c r="D2012" s="122" t="str">
        <f>IFERROR(__xludf.DUMMYFUNCTION("""COMPUTED_VALUE"""),"Dragon Tech")</f>
        <v>Dragon Tech</v>
      </c>
      <c r="E2012" s="122">
        <f>IFERROR(__xludf.DUMMYFUNCTION("""COMPUTED_VALUE"""),238.34)</f>
        <v>238.34</v>
      </c>
      <c r="F2012" s="122">
        <f>IFERROR(__xludf.DUMMYFUNCTION("""COMPUTED_VALUE"""),-0.0041)</f>
        <v>-0.0041</v>
      </c>
    </row>
    <row r="2013">
      <c r="A2013" s="131">
        <f>IFERROR(__xludf.DUMMYFUNCTION("""COMPUTED_VALUE"""),46187.383414351854)</f>
        <v>46187.38341</v>
      </c>
      <c r="B2013" s="126">
        <f>IFERROR(__xludf.DUMMYFUNCTION("""COMPUTED_VALUE"""),46187.0)</f>
        <v>46187</v>
      </c>
      <c r="C2013" s="122" t="str">
        <f>IFERROR(__xludf.DUMMYFUNCTION("""COMPUTED_VALUE"""),"AIBO")</f>
        <v>AIBO</v>
      </c>
      <c r="D2013" s="122" t="str">
        <f>IFERROR(__xludf.DUMMYFUNCTION("""COMPUTED_VALUE"""),"Homework AI")</f>
        <v>Homework AI</v>
      </c>
      <c r="E2013" s="122">
        <f>IFERROR(__xludf.DUMMYFUNCTION("""COMPUTED_VALUE"""),166.37)</f>
        <v>166.37</v>
      </c>
      <c r="F2013" s="122">
        <f>IFERROR(__xludf.DUMMYFUNCTION("""COMPUTED_VALUE"""),0.0051)</f>
        <v>0.0051</v>
      </c>
    </row>
    <row r="2014">
      <c r="A2014" s="131">
        <f>IFERROR(__xludf.DUMMYFUNCTION("""COMPUTED_VALUE"""),46187.383414351854)</f>
        <v>46187.38341</v>
      </c>
      <c r="B2014" s="126">
        <f>IFERROR(__xludf.DUMMYFUNCTION("""COMPUTED_VALUE"""),46187.0)</f>
        <v>46187</v>
      </c>
      <c r="C2014" s="122" t="str">
        <f>IFERROR(__xludf.DUMMYFUNCTION("""COMPUTED_VALUE"""),"GAME")</f>
        <v>GAME</v>
      </c>
      <c r="D2014" s="122" t="str">
        <f>IFERROR(__xludf.DUMMYFUNCTION("""COMPUTED_VALUE"""),"GameBox Media")</f>
        <v>GameBox Media</v>
      </c>
      <c r="E2014" s="122">
        <f>IFERROR(__xludf.DUMMYFUNCTION("""COMPUTED_VALUE"""),92.86)</f>
        <v>92.86</v>
      </c>
      <c r="F2014" s="122">
        <f>IFERROR(__xludf.DUMMYFUNCTION("""COMPUTED_VALUE"""),0.0115)</f>
        <v>0.0115</v>
      </c>
    </row>
    <row r="2015">
      <c r="A2015" s="131">
        <f>IFERROR(__xludf.DUMMYFUNCTION("""COMPUTED_VALUE"""),46187.383414351854)</f>
        <v>46187.38341</v>
      </c>
      <c r="B2015" s="126">
        <f>IFERROR(__xludf.DUMMYFUNCTION("""COMPUTED_VALUE"""),46187.0)</f>
        <v>46187</v>
      </c>
      <c r="C2015" s="122" t="str">
        <f>IFERROR(__xludf.DUMMYFUNCTION("""COMPUTED_VALUE"""),"VRSE")</f>
        <v>VRSE</v>
      </c>
      <c r="D2015" s="122" t="str">
        <f>IFERROR(__xludf.DUMMYFUNCTION("""COMPUTED_VALUE"""),"VerseVR")</f>
        <v>VerseVR</v>
      </c>
      <c r="E2015" s="122">
        <f>IFERROR(__xludf.DUMMYFUNCTION("""COMPUTED_VALUE"""),147.2)</f>
        <v>147.2</v>
      </c>
      <c r="F2015" s="122">
        <f>IFERROR(__xludf.DUMMYFUNCTION("""COMPUTED_VALUE"""),-0.003)</f>
        <v>-0.003</v>
      </c>
    </row>
    <row r="2016">
      <c r="A2016" s="131">
        <f>IFERROR(__xludf.DUMMYFUNCTION("""COMPUTED_VALUE"""),46187.383414351854)</f>
        <v>46187.38341</v>
      </c>
      <c r="B2016" s="126">
        <f>IFERROR(__xludf.DUMMYFUNCTION("""COMPUTED_VALUE"""),46187.0)</f>
        <v>46187</v>
      </c>
      <c r="C2016" s="122" t="str">
        <f>IFERROR(__xludf.DUMMYFUNCTION("""COMPUTED_VALUE"""),"BYTE")</f>
        <v>BYTE</v>
      </c>
      <c r="D2016" s="122" t="str">
        <f>IFERROR(__xludf.DUMMYFUNCTION("""COMPUTED_VALUE"""),"ByteWorks")</f>
        <v>ByteWorks</v>
      </c>
      <c r="E2016" s="122">
        <f>IFERROR(__xludf.DUMMYFUNCTION("""COMPUTED_VALUE"""),109.45)</f>
        <v>109.45</v>
      </c>
      <c r="F2016" s="122">
        <f>IFERROR(__xludf.DUMMYFUNCTION("""COMPUTED_VALUE"""),-0.006)</f>
        <v>-0.006</v>
      </c>
    </row>
    <row r="2017">
      <c r="A2017" s="131">
        <f>IFERROR(__xludf.DUMMYFUNCTION("""COMPUTED_VALUE"""),46187.383414351854)</f>
        <v>46187.38341</v>
      </c>
      <c r="B2017" s="126">
        <f>IFERROR(__xludf.DUMMYFUNCTION("""COMPUTED_VALUE"""),46187.0)</f>
        <v>46187</v>
      </c>
      <c r="C2017" s="122" t="str">
        <f>IFERROR(__xludf.DUMMYFUNCTION("""COMPUTED_VALUE"""),"BANK")</f>
        <v>BANK</v>
      </c>
      <c r="D2017" s="122" t="str">
        <f>IFERROR(__xludf.DUMMYFUNCTION("""COMPUTED_VALUE"""),"Tiger Bank")</f>
        <v>Tiger Bank</v>
      </c>
      <c r="E2017" s="122">
        <f>IFERROR(__xludf.DUMMYFUNCTION("""COMPUTED_VALUE"""),124.4)</f>
        <v>124.4</v>
      </c>
      <c r="F2017" s="122">
        <f>IFERROR(__xludf.DUMMYFUNCTION("""COMPUTED_VALUE"""),-8.0E-4)</f>
        <v>-0.0008</v>
      </c>
    </row>
    <row r="2018">
      <c r="A2018" s="131">
        <f>IFERROR(__xludf.DUMMYFUNCTION("""COMPUTED_VALUE"""),46187.383414351854)</f>
        <v>46187.38341</v>
      </c>
      <c r="B2018" s="126">
        <f>IFERROR(__xludf.DUMMYFUNCTION("""COMPUTED_VALUE"""),46187.0)</f>
        <v>46187</v>
      </c>
      <c r="C2018" s="122" t="str">
        <f>IFERROR(__xludf.DUMMYFUNCTION("""COMPUTED_VALUE"""),"CRED")</f>
        <v>CRED</v>
      </c>
      <c r="D2018" s="122" t="str">
        <f>IFERROR(__xludf.DUMMYFUNCTION("""COMPUTED_VALUE"""),"Credit Castle")</f>
        <v>Credit Castle</v>
      </c>
      <c r="E2018" s="122">
        <f>IFERROR(__xludf.DUMMYFUNCTION("""COMPUTED_VALUE"""),69.22)</f>
        <v>69.22</v>
      </c>
      <c r="F2018" s="122">
        <f>IFERROR(__xludf.DUMMYFUNCTION("""COMPUTED_VALUE"""),-9.0E-4)</f>
        <v>-0.0009</v>
      </c>
    </row>
    <row r="2019">
      <c r="A2019" s="131">
        <f>IFERROR(__xludf.DUMMYFUNCTION("""COMPUTED_VALUE"""),46187.383414351854)</f>
        <v>46187.38341</v>
      </c>
      <c r="B2019" s="126">
        <f>IFERROR(__xludf.DUMMYFUNCTION("""COMPUTED_VALUE"""),46187.0)</f>
        <v>46187</v>
      </c>
      <c r="C2019" s="122" t="str">
        <f>IFERROR(__xludf.DUMMYFUNCTION("""COMPUTED_VALUE"""),"BOND")</f>
        <v>BOND</v>
      </c>
      <c r="D2019" s="122" t="str">
        <f>IFERROR(__xludf.DUMMYFUNCTION("""COMPUTED_VALUE"""),"BondBridge")</f>
        <v>BondBridge</v>
      </c>
      <c r="E2019" s="122">
        <f>IFERROR(__xludf.DUMMYFUNCTION("""COMPUTED_VALUE"""),96.51)</f>
        <v>96.51</v>
      </c>
      <c r="F2019" s="122">
        <f>IFERROR(__xludf.DUMMYFUNCTION("""COMPUTED_VALUE"""),4.0E-4)</f>
        <v>0.0004</v>
      </c>
    </row>
    <row r="2020">
      <c r="A2020" s="131">
        <f>IFERROR(__xludf.DUMMYFUNCTION("""COMPUTED_VALUE"""),46187.383414351854)</f>
        <v>46187.38341</v>
      </c>
      <c r="B2020" s="126">
        <f>IFERROR(__xludf.DUMMYFUNCTION("""COMPUTED_VALUE"""),46187.0)</f>
        <v>46187</v>
      </c>
      <c r="C2020" s="122" t="str">
        <f>IFERROR(__xludf.DUMMYFUNCTION("""COMPUTED_VALUE"""),"INSR")</f>
        <v>INSR</v>
      </c>
      <c r="D2020" s="122" t="str">
        <f>IFERROR(__xludf.DUMMYFUNCTION("""COMPUTED_VALUE"""),"Shield Insurance")</f>
        <v>Shield Insurance</v>
      </c>
      <c r="E2020" s="122">
        <f>IFERROR(__xludf.DUMMYFUNCTION("""COMPUTED_VALUE"""),157.83)</f>
        <v>157.83</v>
      </c>
      <c r="F2020" s="122">
        <f>IFERROR(__xludf.DUMMYFUNCTION("""COMPUTED_VALUE"""),0.0011)</f>
        <v>0.0011</v>
      </c>
    </row>
    <row r="2021">
      <c r="A2021" s="131">
        <f>IFERROR(__xludf.DUMMYFUNCTION("""COMPUTED_VALUE"""),46187.383414351854)</f>
        <v>46187.38341</v>
      </c>
      <c r="B2021" s="126">
        <f>IFERROR(__xludf.DUMMYFUNCTION("""COMPUTED_VALUE"""),46187.0)</f>
        <v>46187</v>
      </c>
      <c r="C2021" s="122" t="str">
        <f>IFERROR(__xludf.DUMMYFUNCTION("""COMPUTED_VALUE"""),"LOAN")</f>
        <v>LOAN</v>
      </c>
      <c r="D2021" s="122" t="str">
        <f>IFERROR(__xludf.DUMMYFUNCTION("""COMPUTED_VALUE"""),"LoanLab")</f>
        <v>LoanLab</v>
      </c>
      <c r="E2021" s="122">
        <f>IFERROR(__xludf.DUMMYFUNCTION("""COMPUTED_VALUE"""),61.09)</f>
        <v>61.09</v>
      </c>
      <c r="F2021" s="122">
        <f>IFERROR(__xludf.DUMMYFUNCTION("""COMPUTED_VALUE"""),-0.0039)</f>
        <v>-0.0039</v>
      </c>
    </row>
    <row r="2022">
      <c r="A2022" s="131">
        <f>IFERROR(__xludf.DUMMYFUNCTION("""COMPUTED_VALUE"""),46187.383414351854)</f>
        <v>46187.38341</v>
      </c>
      <c r="B2022" s="126">
        <f>IFERROR(__xludf.DUMMYFUNCTION("""COMPUTED_VALUE"""),46187.0)</f>
        <v>46187</v>
      </c>
      <c r="C2022" s="122" t="str">
        <f>IFERROR(__xludf.DUMMYFUNCTION("""COMPUTED_VALUE"""),"LUXE")</f>
        <v>LUXE</v>
      </c>
      <c r="D2022" s="122" t="str">
        <f>IFERROR(__xludf.DUMMYFUNCTION("""COMPUTED_VALUE"""),"Luxury Locker")</f>
        <v>Luxury Locker</v>
      </c>
      <c r="E2022" s="122">
        <f>IFERROR(__xludf.DUMMYFUNCTION("""COMPUTED_VALUE"""),262.75)</f>
        <v>262.75</v>
      </c>
      <c r="F2022" s="122">
        <f>IFERROR(__xludf.DUMMYFUNCTION("""COMPUTED_VALUE"""),-5.0E-4)</f>
        <v>-0.0005</v>
      </c>
    </row>
    <row r="2023">
      <c r="A2023" s="131">
        <f>IFERROR(__xludf.DUMMYFUNCTION("""COMPUTED_VALUE"""),46187.383414351854)</f>
        <v>46187.38341</v>
      </c>
      <c r="B2023" s="126">
        <f>IFERROR(__xludf.DUMMYFUNCTION("""COMPUTED_VALUE"""),46187.0)</f>
        <v>46187</v>
      </c>
      <c r="C2023" s="122" t="str">
        <f>IFERROR(__xludf.DUMMYFUNCTION("""COMPUTED_VALUE"""),"DRIP")</f>
        <v>DRIP</v>
      </c>
      <c r="D2023" s="122" t="str">
        <f>IFERROR(__xludf.DUMMYFUNCTION("""COMPUTED_VALUE"""),"Drip Streetwear")</f>
        <v>Drip Streetwear</v>
      </c>
      <c r="E2023" s="122">
        <f>IFERROR(__xludf.DUMMYFUNCTION("""COMPUTED_VALUE"""),199.7)</f>
        <v>199.7</v>
      </c>
      <c r="F2023" s="122">
        <f>IFERROR(__xludf.DUMMYFUNCTION("""COMPUTED_VALUE"""),-0.0044)</f>
        <v>-0.0044</v>
      </c>
    </row>
    <row r="2024">
      <c r="A2024" s="131">
        <f>IFERROR(__xludf.DUMMYFUNCTION("""COMPUTED_VALUE"""),46187.383414351854)</f>
        <v>46187.38341</v>
      </c>
      <c r="B2024" s="126">
        <f>IFERROR(__xludf.DUMMYFUNCTION("""COMPUTED_VALUE"""),46187.0)</f>
        <v>46187</v>
      </c>
      <c r="C2024" s="122" t="str">
        <f>IFERROR(__xludf.DUMMYFUNCTION("""COMPUTED_VALUE"""),"KICK")</f>
        <v>KICK</v>
      </c>
      <c r="D2024" s="122" t="str">
        <f>IFERROR(__xludf.DUMMYFUNCTION("""COMPUTED_VALUE"""),"KickDrop Sneakers")</f>
        <v>KickDrop Sneakers</v>
      </c>
      <c r="E2024" s="122">
        <f>IFERROR(__xludf.DUMMYFUNCTION("""COMPUTED_VALUE"""),173.65)</f>
        <v>173.65</v>
      </c>
      <c r="F2024" s="122">
        <f>IFERROR(__xludf.DUMMYFUNCTION("""COMPUTED_VALUE"""),-0.0088)</f>
        <v>-0.0088</v>
      </c>
    </row>
    <row r="2025">
      <c r="A2025" s="131">
        <f>IFERROR(__xludf.DUMMYFUNCTION("""COMPUTED_VALUE"""),46187.383414351854)</f>
        <v>46187.38341</v>
      </c>
      <c r="B2025" s="126">
        <f>IFERROR(__xludf.DUMMYFUNCTION("""COMPUTED_VALUE"""),46187.0)</f>
        <v>46187</v>
      </c>
      <c r="C2025" s="122" t="str">
        <f>IFERROR(__xludf.DUMMYFUNCTION("""COMPUTED_VALUE"""),"GLAM")</f>
        <v>GLAM</v>
      </c>
      <c r="D2025" s="122" t="str">
        <f>IFERROR(__xludf.DUMMYFUNCTION("""COMPUTED_VALUE"""),"Glow Cosmetics")</f>
        <v>Glow Cosmetics</v>
      </c>
      <c r="E2025" s="122">
        <f>IFERROR(__xludf.DUMMYFUNCTION("""COMPUTED_VALUE"""),95.47)</f>
        <v>95.47</v>
      </c>
      <c r="F2025" s="122">
        <f>IFERROR(__xludf.DUMMYFUNCTION("""COMPUTED_VALUE"""),-0.0031)</f>
        <v>-0.0031</v>
      </c>
    </row>
    <row r="2026">
      <c r="A2026" s="131">
        <f>IFERROR(__xludf.DUMMYFUNCTION("""COMPUTED_VALUE"""),46187.383414351854)</f>
        <v>46187.38341</v>
      </c>
      <c r="B2026" s="126">
        <f>IFERROR(__xludf.DUMMYFUNCTION("""COMPUTED_VALUE"""),46187.0)</f>
        <v>46187</v>
      </c>
      <c r="C2026" s="122" t="str">
        <f>IFERROR(__xludf.DUMMYFUNCTION("""COMPUTED_VALUE"""),"BAGG")</f>
        <v>BAGG</v>
      </c>
      <c r="D2026" s="122" t="str">
        <f>IFERROR(__xludf.DUMMYFUNCTION("""COMPUTED_VALUE"""),"BagVault")</f>
        <v>BagVault</v>
      </c>
      <c r="E2026" s="122">
        <f>IFERROR(__xludf.DUMMYFUNCTION("""COMPUTED_VALUE"""),246.72)</f>
        <v>246.72</v>
      </c>
      <c r="F2026" s="122">
        <f>IFERROR(__xludf.DUMMYFUNCTION("""COMPUTED_VALUE"""),-0.0028)</f>
        <v>-0.0028</v>
      </c>
    </row>
    <row r="2027">
      <c r="A2027" s="131">
        <f>IFERROR(__xludf.DUMMYFUNCTION("""COMPUTED_VALUE"""),46187.383414351854)</f>
        <v>46187.38341</v>
      </c>
      <c r="B2027" s="126">
        <f>IFERROR(__xludf.DUMMYFUNCTION("""COMPUTED_VALUE"""),46187.0)</f>
        <v>46187</v>
      </c>
      <c r="C2027" s="122" t="str">
        <f>IFERROR(__xludf.DUMMYFUNCTION("""COMPUTED_VALUE"""),"FAST")</f>
        <v>FAST</v>
      </c>
      <c r="D2027" s="122" t="str">
        <f>IFERROR(__xludf.DUMMYFUNCTION("""COMPUTED_VALUE"""),"Flash Logistics")</f>
        <v>Flash Logistics</v>
      </c>
      <c r="E2027" s="122">
        <f>IFERROR(__xludf.DUMMYFUNCTION("""COMPUTED_VALUE"""),101.47)</f>
        <v>101.47</v>
      </c>
      <c r="F2027" s="122">
        <f>IFERROR(__xludf.DUMMYFUNCTION("""COMPUTED_VALUE"""),-0.0023)</f>
        <v>-0.0023</v>
      </c>
    </row>
    <row r="2028">
      <c r="A2028" s="131">
        <f>IFERROR(__xludf.DUMMYFUNCTION("""COMPUTED_VALUE"""),46187.383414351854)</f>
        <v>46187.38341</v>
      </c>
      <c r="B2028" s="126">
        <f>IFERROR(__xludf.DUMMYFUNCTION("""COMPUTED_VALUE"""),46187.0)</f>
        <v>46187</v>
      </c>
      <c r="C2028" s="122" t="str">
        <f>IFERROR(__xludf.DUMMYFUNCTION("""COMPUTED_VALUE"""),"SHIP")</f>
        <v>SHIP</v>
      </c>
      <c r="D2028" s="122" t="str">
        <f>IFERROR(__xludf.DUMMYFUNCTION("""COMPUTED_VALUE"""),"Seoul Shipping")</f>
        <v>Seoul Shipping</v>
      </c>
      <c r="E2028" s="122">
        <f>IFERROR(__xludf.DUMMYFUNCTION("""COMPUTED_VALUE"""),117.08)</f>
        <v>117.08</v>
      </c>
      <c r="F2028" s="122">
        <f>IFERROR(__xludf.DUMMYFUNCTION("""COMPUTED_VALUE"""),9.0E-4)</f>
        <v>0.0009</v>
      </c>
    </row>
    <row r="2029">
      <c r="A2029" s="131">
        <f>IFERROR(__xludf.DUMMYFUNCTION("""COMPUTED_VALUE"""),46187.383414351854)</f>
        <v>46187.38341</v>
      </c>
      <c r="B2029" s="126">
        <f>IFERROR(__xludf.DUMMYFUNCTION("""COMPUTED_VALUE"""),46187.0)</f>
        <v>46187</v>
      </c>
      <c r="C2029" s="122" t="str">
        <f>IFERROR(__xludf.DUMMYFUNCTION("""COMPUTED_VALUE"""),"DRON")</f>
        <v>DRON</v>
      </c>
      <c r="D2029" s="122" t="str">
        <f>IFERROR(__xludf.DUMMYFUNCTION("""COMPUTED_VALUE"""),"DroneDrop")</f>
        <v>DroneDrop</v>
      </c>
      <c r="E2029" s="122">
        <f>IFERROR(__xludf.DUMMYFUNCTION("""COMPUTED_VALUE"""),131.72)</f>
        <v>131.72</v>
      </c>
      <c r="F2029" s="122">
        <f>IFERROR(__xludf.DUMMYFUNCTION("""COMPUTED_VALUE"""),-0.0046)</f>
        <v>-0.0046</v>
      </c>
    </row>
    <row r="2030">
      <c r="A2030" s="131">
        <f>IFERROR(__xludf.DUMMYFUNCTION("""COMPUTED_VALUE"""),46187.383414351854)</f>
        <v>46187.38341</v>
      </c>
      <c r="B2030" s="126">
        <f>IFERROR(__xludf.DUMMYFUNCTION("""COMPUTED_VALUE"""),46187.0)</f>
        <v>46187</v>
      </c>
      <c r="C2030" s="122" t="str">
        <f>IFERROR(__xludf.DUMMYFUNCTION("""COMPUTED_VALUE"""),"RIDE")</f>
        <v>RIDE</v>
      </c>
      <c r="D2030" s="122" t="str">
        <f>IFERROR(__xludf.DUMMYFUNCTION("""COMPUTED_VALUE"""),"QuickRide")</f>
        <v>QuickRide</v>
      </c>
      <c r="E2030" s="122">
        <f>IFERROR(__xludf.DUMMYFUNCTION("""COMPUTED_VALUE"""),97.79)</f>
        <v>97.79</v>
      </c>
      <c r="F2030" s="122">
        <f>IFERROR(__xludf.DUMMYFUNCTION("""COMPUTED_VALUE"""),3.0E-4)</f>
        <v>0.0003</v>
      </c>
    </row>
    <row r="2031">
      <c r="A2031" s="131">
        <f>IFERROR(__xludf.DUMMYFUNCTION("""COMPUTED_VALUE"""),46187.383414351854)</f>
        <v>46187.38341</v>
      </c>
      <c r="B2031" s="126">
        <f>IFERROR(__xludf.DUMMYFUNCTION("""COMPUTED_VALUE"""),46187.0)</f>
        <v>46187</v>
      </c>
      <c r="C2031" s="122" t="str">
        <f>IFERROR(__xludf.DUMMYFUNCTION("""COMPUTED_VALUE"""),"RAIL")</f>
        <v>RAIL</v>
      </c>
      <c r="D2031" s="122" t="str">
        <f>IFERROR(__xludf.DUMMYFUNCTION("""COMPUTED_VALUE"""),"MetroRail Corp")</f>
        <v>MetroRail Corp</v>
      </c>
      <c r="E2031" s="122">
        <f>IFERROR(__xludf.DUMMYFUNCTION("""COMPUTED_VALUE"""),136.45)</f>
        <v>136.45</v>
      </c>
      <c r="F2031" s="122">
        <f>IFERROR(__xludf.DUMMYFUNCTION("""COMPUTED_VALUE"""),-0.0033)</f>
        <v>-0.0033</v>
      </c>
    </row>
    <row r="2032">
      <c r="A2032" s="131">
        <f>IFERROR(__xludf.DUMMYFUNCTION("""COMPUTED_VALUE"""),46187.383414351854)</f>
        <v>46187.38341</v>
      </c>
      <c r="B2032" s="126">
        <f>IFERROR(__xludf.DUMMYFUNCTION("""COMPUTED_VALUE"""),46187.0)</f>
        <v>46187</v>
      </c>
      <c r="C2032" s="122" t="str">
        <f>IFERROR(__xludf.DUMMYFUNCTION("""COMPUTED_VALUE"""),"MEDX")</f>
        <v>MEDX</v>
      </c>
      <c r="D2032" s="122" t="str">
        <f>IFERROR(__xludf.DUMMYFUNCTION("""COMPUTED_VALUE"""),"MediCore")</f>
        <v>MediCore</v>
      </c>
      <c r="E2032" s="122">
        <f>IFERROR(__xludf.DUMMYFUNCTION("""COMPUTED_VALUE"""),137.08)</f>
        <v>137.08</v>
      </c>
      <c r="F2032" s="122">
        <f>IFERROR(__xludf.DUMMYFUNCTION("""COMPUTED_VALUE"""),4.0E-4)</f>
        <v>0.0004</v>
      </c>
    </row>
    <row r="2033">
      <c r="A2033" s="131">
        <f>IFERROR(__xludf.DUMMYFUNCTION("""COMPUTED_VALUE"""),46187.383414351854)</f>
        <v>46187.38341</v>
      </c>
      <c r="B2033" s="126">
        <f>IFERROR(__xludf.DUMMYFUNCTION("""COMPUTED_VALUE"""),46187.0)</f>
        <v>46187</v>
      </c>
      <c r="C2033" s="122" t="str">
        <f>IFERROR(__xludf.DUMMYFUNCTION("""COMPUTED_VALUE"""),"GYMX")</f>
        <v>GYMX</v>
      </c>
      <c r="D2033" s="122" t="str">
        <f>IFERROR(__xludf.DUMMYFUNCTION("""COMPUTED_VALUE"""),"GymX Fitness")</f>
        <v>GymX Fitness</v>
      </c>
      <c r="E2033" s="122">
        <f>IFERROR(__xludf.DUMMYFUNCTION("""COMPUTED_VALUE"""),87.01)</f>
        <v>87.01</v>
      </c>
      <c r="F2033" s="122">
        <f>IFERROR(__xludf.DUMMYFUNCTION("""COMPUTED_VALUE"""),-0.0055)</f>
        <v>-0.0055</v>
      </c>
    </row>
    <row r="2034">
      <c r="A2034" s="131">
        <f>IFERROR(__xludf.DUMMYFUNCTION("""COMPUTED_VALUE"""),46187.383414351854)</f>
        <v>46187.38341</v>
      </c>
      <c r="B2034" s="126">
        <f>IFERROR(__xludf.DUMMYFUNCTION("""COMPUTED_VALUE"""),46187.0)</f>
        <v>46187</v>
      </c>
      <c r="C2034" s="122" t="str">
        <f>IFERROR(__xludf.DUMMYFUNCTION("""COMPUTED_VALUE"""),"VITA")</f>
        <v>VITA</v>
      </c>
      <c r="D2034" s="122" t="str">
        <f>IFERROR(__xludf.DUMMYFUNCTION("""COMPUTED_VALUE"""),"VitaPlus")</f>
        <v>VitaPlus</v>
      </c>
      <c r="E2034" s="122">
        <f>IFERROR(__xludf.DUMMYFUNCTION("""COMPUTED_VALUE"""),75.56)</f>
        <v>75.56</v>
      </c>
      <c r="F2034" s="122">
        <f>IFERROR(__xludf.DUMMYFUNCTION("""COMPUTED_VALUE"""),-0.0042)</f>
        <v>-0.0042</v>
      </c>
    </row>
    <row r="2035">
      <c r="A2035" s="131">
        <f>IFERROR(__xludf.DUMMYFUNCTION("""COMPUTED_VALUE"""),46187.383414351854)</f>
        <v>46187.38341</v>
      </c>
      <c r="B2035" s="126">
        <f>IFERROR(__xludf.DUMMYFUNCTION("""COMPUTED_VALUE"""),46187.0)</f>
        <v>46187</v>
      </c>
      <c r="C2035" s="122" t="str">
        <f>IFERROR(__xludf.DUMMYFUNCTION("""COMPUTED_VALUE"""),"CARE")</f>
        <v>CARE</v>
      </c>
      <c r="D2035" s="122" t="str">
        <f>IFERROR(__xludf.DUMMYFUNCTION("""COMPUTED_VALUE"""),"CareCloud")</f>
        <v>CareCloud</v>
      </c>
      <c r="E2035" s="122">
        <f>IFERROR(__xludf.DUMMYFUNCTION("""COMPUTED_VALUE"""),181.18)</f>
        <v>181.18</v>
      </c>
      <c r="F2035" s="122">
        <f>IFERROR(__xludf.DUMMYFUNCTION("""COMPUTED_VALUE"""),-0.006)</f>
        <v>-0.006</v>
      </c>
    </row>
    <row r="2036">
      <c r="A2036" s="131">
        <f>IFERROR(__xludf.DUMMYFUNCTION("""COMPUTED_VALUE"""),46187.383414351854)</f>
        <v>46187.38341</v>
      </c>
      <c r="B2036" s="126">
        <f>IFERROR(__xludf.DUMMYFUNCTION("""COMPUTED_VALUE"""),46187.0)</f>
        <v>46187</v>
      </c>
      <c r="C2036" s="122" t="str">
        <f>IFERROR(__xludf.DUMMYFUNCTION("""COMPUTED_VALUE"""),"DENT")</f>
        <v>DENT</v>
      </c>
      <c r="D2036" s="122" t="str">
        <f>IFERROR(__xludf.DUMMYFUNCTION("""COMPUTED_VALUE"""),"SmileWorks")</f>
        <v>SmileWorks</v>
      </c>
      <c r="E2036" s="122">
        <f>IFERROR(__xludf.DUMMYFUNCTION("""COMPUTED_VALUE"""),82.59)</f>
        <v>82.59</v>
      </c>
      <c r="F2036" s="122">
        <f>IFERROR(__xludf.DUMMYFUNCTION("""COMPUTED_VALUE"""),0.004)</f>
        <v>0.004</v>
      </c>
    </row>
    <row r="2037">
      <c r="A2037" s="131">
        <f>IFERROR(__xludf.DUMMYFUNCTION("""COMPUTED_VALUE"""),46187.383414351854)</f>
        <v>46187.38341</v>
      </c>
      <c r="B2037" s="126">
        <f>IFERROR(__xludf.DUMMYFUNCTION("""COMPUTED_VALUE"""),46187.0)</f>
        <v>46187</v>
      </c>
      <c r="C2037" s="122" t="str">
        <f>IFERROR(__xludf.DUMMYFUNCTION("""COMPUTED_VALUE"""),"EDUX")</f>
        <v>EDUX</v>
      </c>
      <c r="D2037" s="122" t="str">
        <f>IFERROR(__xludf.DUMMYFUNCTION("""COMPUTED_VALUE"""),"EduMax Learning")</f>
        <v>EduMax Learning</v>
      </c>
      <c r="E2037" s="122">
        <f>IFERROR(__xludf.DUMMYFUNCTION("""COMPUTED_VALUE"""),131.79)</f>
        <v>131.79</v>
      </c>
      <c r="F2037" s="122">
        <f>IFERROR(__xludf.DUMMYFUNCTION("""COMPUTED_VALUE"""),0.0074)</f>
        <v>0.0074</v>
      </c>
    </row>
    <row r="2038">
      <c r="A2038" s="131">
        <f>IFERROR(__xludf.DUMMYFUNCTION("""COMPUTED_VALUE"""),46187.383414351854)</f>
        <v>46187.38341</v>
      </c>
      <c r="B2038" s="126">
        <f>IFERROR(__xludf.DUMMYFUNCTION("""COMPUTED_VALUE"""),46187.0)</f>
        <v>46187</v>
      </c>
      <c r="C2038" s="122" t="str">
        <f>IFERROR(__xludf.DUMMYFUNCTION("""COMPUTED_VALUE"""),"BOOK")</f>
        <v>BOOK</v>
      </c>
      <c r="D2038" s="122" t="str">
        <f>IFERROR(__xludf.DUMMYFUNCTION("""COMPUTED_VALUE"""),"BookBridge")</f>
        <v>BookBridge</v>
      </c>
      <c r="E2038" s="122">
        <f>IFERROR(__xludf.DUMMYFUNCTION("""COMPUTED_VALUE"""),113.33)</f>
        <v>113.33</v>
      </c>
      <c r="F2038" s="122">
        <f>IFERROR(__xludf.DUMMYFUNCTION("""COMPUTED_VALUE"""),-2.0E-4)</f>
        <v>-0.0002</v>
      </c>
    </row>
    <row r="2039">
      <c r="A2039" s="131">
        <f>IFERROR(__xludf.DUMMYFUNCTION("""COMPUTED_VALUE"""),46187.383414351854)</f>
        <v>46187.38341</v>
      </c>
      <c r="B2039" s="126">
        <f>IFERROR(__xludf.DUMMYFUNCTION("""COMPUTED_VALUE"""),46187.0)</f>
        <v>46187</v>
      </c>
      <c r="C2039" s="122" t="str">
        <f>IFERROR(__xludf.DUMMYFUNCTION("""COMPUTED_VALUE"""),"TUTR")</f>
        <v>TUTR</v>
      </c>
      <c r="D2039" s="122" t="str">
        <f>IFERROR(__xludf.DUMMYFUNCTION("""COMPUTED_VALUE"""),"TutorTown")</f>
        <v>TutorTown</v>
      </c>
      <c r="E2039" s="122">
        <f>IFERROR(__xludf.DUMMYFUNCTION("""COMPUTED_VALUE"""),89.12)</f>
        <v>89.12</v>
      </c>
      <c r="F2039" s="122">
        <f>IFERROR(__xludf.DUMMYFUNCTION("""COMPUTED_VALUE"""),-3.0E-4)</f>
        <v>-0.0003</v>
      </c>
    </row>
    <row r="2040">
      <c r="A2040" s="131">
        <f>IFERROR(__xludf.DUMMYFUNCTION("""COMPUTED_VALUE"""),46187.383414351854)</f>
        <v>46187.38341</v>
      </c>
      <c r="B2040" s="126">
        <f>IFERROR(__xludf.DUMMYFUNCTION("""COMPUTED_VALUE"""),46187.0)</f>
        <v>46187</v>
      </c>
      <c r="C2040" s="122" t="str">
        <f>IFERROR(__xludf.DUMMYFUNCTION("""COMPUTED_VALUE"""),"LANG")</f>
        <v>LANG</v>
      </c>
      <c r="D2040" s="122" t="str">
        <f>IFERROR(__xludf.DUMMYFUNCTION("""COMPUTED_VALUE"""),"LinguaLab")</f>
        <v>LinguaLab</v>
      </c>
      <c r="E2040" s="122">
        <f>IFERROR(__xludf.DUMMYFUNCTION("""COMPUTED_VALUE"""),96.29)</f>
        <v>96.29</v>
      </c>
      <c r="F2040" s="122">
        <f>IFERROR(__xludf.DUMMYFUNCTION("""COMPUTED_VALUE"""),-6.0E-4)</f>
        <v>-0.0006</v>
      </c>
    </row>
    <row r="2041">
      <c r="A2041" s="131">
        <f>IFERROR(__xludf.DUMMYFUNCTION("""COMPUTED_VALUE"""),46187.383414351854)</f>
        <v>46187.38341</v>
      </c>
      <c r="B2041" s="126">
        <f>IFERROR(__xludf.DUMMYFUNCTION("""COMPUTED_VALUE"""),46187.0)</f>
        <v>46187</v>
      </c>
      <c r="C2041" s="122" t="str">
        <f>IFERROR(__xludf.DUMMYFUNCTION("""COMPUTED_VALUE"""),"TEST")</f>
        <v>TEST</v>
      </c>
      <c r="D2041" s="122" t="str">
        <f>IFERROR(__xludf.DUMMYFUNCTION("""COMPUTED_VALUE"""),"TestPrep Pro")</f>
        <v>TestPrep Pro</v>
      </c>
      <c r="E2041" s="122">
        <f>IFERROR(__xludf.DUMMYFUNCTION("""COMPUTED_VALUE"""),102.36)</f>
        <v>102.36</v>
      </c>
      <c r="F2041" s="122">
        <f>IFERROR(__xludf.DUMMYFUNCTION("""COMPUTED_VALUE"""),-0.0079)</f>
        <v>-0.0079</v>
      </c>
    </row>
    <row r="2042">
      <c r="A2042" s="131">
        <f>IFERROR(__xludf.DUMMYFUNCTION("""COMPUTED_VALUE"""),46187.383414351854)</f>
        <v>46187.38341</v>
      </c>
      <c r="B2042" s="126">
        <f>IFERROR(__xludf.DUMMYFUNCTION("""COMPUTED_VALUE"""),46187.0)</f>
        <v>46187</v>
      </c>
      <c r="C2042" s="122" t="str">
        <f>IFERROR(__xludf.DUMMYFUNCTION("""COMPUTED_VALUE"""),"MOVI")</f>
        <v>MOVI</v>
      </c>
      <c r="D2042" s="122" t="str">
        <f>IFERROR(__xludf.DUMMYFUNCTION("""COMPUTED_VALUE"""),"MovieBox")</f>
        <v>MovieBox</v>
      </c>
      <c r="E2042" s="122">
        <f>IFERROR(__xludf.DUMMYFUNCTION("""COMPUTED_VALUE"""),81.89)</f>
        <v>81.89</v>
      </c>
      <c r="F2042" s="122">
        <f>IFERROR(__xludf.DUMMYFUNCTION("""COMPUTED_VALUE"""),0.005)</f>
        <v>0.005</v>
      </c>
    </row>
    <row r="2043">
      <c r="A2043" s="131">
        <f>IFERROR(__xludf.DUMMYFUNCTION("""COMPUTED_VALUE"""),46187.383414351854)</f>
        <v>46187.38341</v>
      </c>
      <c r="B2043" s="126">
        <f>IFERROR(__xludf.DUMMYFUNCTION("""COMPUTED_VALUE"""),46187.0)</f>
        <v>46187</v>
      </c>
      <c r="C2043" s="122" t="str">
        <f>IFERROR(__xludf.DUMMYFUNCTION("""COMPUTED_VALUE"""),"MUSC")</f>
        <v>MUSC</v>
      </c>
      <c r="D2043" s="122" t="str">
        <f>IFERROR(__xludf.DUMMYFUNCTION("""COMPUTED_VALUE"""),"MusicWave")</f>
        <v>MusicWave</v>
      </c>
      <c r="E2043" s="122">
        <f>IFERROR(__xludf.DUMMYFUNCTION("""COMPUTED_VALUE"""),96.9)</f>
        <v>96.9</v>
      </c>
      <c r="F2043" s="122">
        <f>IFERROR(__xludf.DUMMYFUNCTION("""COMPUTED_VALUE"""),0.0026)</f>
        <v>0.0026</v>
      </c>
    </row>
    <row r="2044">
      <c r="A2044" s="131">
        <f>IFERROR(__xludf.DUMMYFUNCTION("""COMPUTED_VALUE"""),46187.383414351854)</f>
        <v>46187.38341</v>
      </c>
      <c r="B2044" s="126">
        <f>IFERROR(__xludf.DUMMYFUNCTION("""COMPUTED_VALUE"""),46187.0)</f>
        <v>46187</v>
      </c>
      <c r="C2044" s="122" t="str">
        <f>IFERROR(__xludf.DUMMYFUNCTION("""COMPUTED_VALUE"""),"IDOL")</f>
        <v>IDOL</v>
      </c>
      <c r="D2044" s="122" t="str">
        <f>IFERROR(__xludf.DUMMYFUNCTION("""COMPUTED_VALUE"""),"Idol Agency")</f>
        <v>Idol Agency</v>
      </c>
      <c r="E2044" s="122">
        <f>IFERROR(__xludf.DUMMYFUNCTION("""COMPUTED_VALUE"""),197.74)</f>
        <v>197.74</v>
      </c>
      <c r="F2044" s="122">
        <f>IFERROR(__xludf.DUMMYFUNCTION("""COMPUTED_VALUE"""),-0.0024)</f>
        <v>-0.0024</v>
      </c>
    </row>
    <row r="2045">
      <c r="A2045" s="131">
        <f>IFERROR(__xludf.DUMMYFUNCTION("""COMPUTED_VALUE"""),46187.383414351854)</f>
        <v>46187.38341</v>
      </c>
      <c r="B2045" s="126">
        <f>IFERROR(__xludf.DUMMYFUNCTION("""COMPUTED_VALUE"""),46187.0)</f>
        <v>46187</v>
      </c>
      <c r="C2045" s="122" t="str">
        <f>IFERROR(__xludf.DUMMYFUNCTION("""COMPUTED_VALUE"""),"MEME")</f>
        <v>MEME</v>
      </c>
      <c r="D2045" s="122" t="str">
        <f>IFERROR(__xludf.DUMMYFUNCTION("""COMPUTED_VALUE"""),"Meme Media")</f>
        <v>Meme Media</v>
      </c>
      <c r="E2045" s="122">
        <f>IFERROR(__xludf.DUMMYFUNCTION("""COMPUTED_VALUE"""),78.19)</f>
        <v>78.19</v>
      </c>
      <c r="F2045" s="122">
        <f>IFERROR(__xludf.DUMMYFUNCTION("""COMPUTED_VALUE"""),-0.0077)</f>
        <v>-0.0077</v>
      </c>
    </row>
    <row r="2046">
      <c r="A2046" s="131">
        <f>IFERROR(__xludf.DUMMYFUNCTION("""COMPUTED_VALUE"""),46187.383414351854)</f>
        <v>46187.38341</v>
      </c>
      <c r="B2046" s="126">
        <f>IFERROR(__xludf.DUMMYFUNCTION("""COMPUTED_VALUE"""),46187.0)</f>
        <v>46187</v>
      </c>
      <c r="C2046" s="122" t="str">
        <f>IFERROR(__xludf.DUMMYFUNCTION("""COMPUTED_VALUE"""),"STRM")</f>
        <v>STRM</v>
      </c>
      <c r="D2046" s="122" t="str">
        <f>IFERROR(__xludf.DUMMYFUNCTION("""COMPUTED_VALUE"""),"Streamly")</f>
        <v>Streamly</v>
      </c>
      <c r="E2046" s="122">
        <f>IFERROR(__xludf.DUMMYFUNCTION("""COMPUTED_VALUE"""),133.1)</f>
        <v>133.1</v>
      </c>
      <c r="F2046" s="122">
        <f>IFERROR(__xludf.DUMMYFUNCTION("""COMPUTED_VALUE"""),7.0E-4)</f>
        <v>0.0007</v>
      </c>
    </row>
    <row r="2047">
      <c r="A2047" s="131">
        <f>IFERROR(__xludf.DUMMYFUNCTION("""COMPUTED_VALUE"""),46187.383414351854)</f>
        <v>46187.38341</v>
      </c>
      <c r="B2047" s="126">
        <f>IFERROR(__xludf.DUMMYFUNCTION("""COMPUTED_VALUE"""),46187.0)</f>
        <v>46187</v>
      </c>
      <c r="C2047" s="122" t="str">
        <f>IFERROR(__xludf.DUMMYFUNCTION("""COMPUTED_VALUE"""),"FARM")</f>
        <v>FARM</v>
      </c>
      <c r="D2047" s="122" t="str">
        <f>IFERROR(__xludf.DUMMYFUNCTION("""COMPUTED_VALUE"""),"Future Farms")</f>
        <v>Future Farms</v>
      </c>
      <c r="E2047" s="122">
        <f>IFERROR(__xludf.DUMMYFUNCTION("""COMPUTED_VALUE"""),81.08)</f>
        <v>81.08</v>
      </c>
      <c r="F2047" s="122">
        <f>IFERROR(__xludf.DUMMYFUNCTION("""COMPUTED_VALUE"""),0.0026)</f>
        <v>0.0026</v>
      </c>
    </row>
    <row r="2048">
      <c r="A2048" s="131">
        <f>IFERROR(__xludf.DUMMYFUNCTION("""COMPUTED_VALUE"""),46187.383414351854)</f>
        <v>46187.38341</v>
      </c>
      <c r="B2048" s="126">
        <f>IFERROR(__xludf.DUMMYFUNCTION("""COMPUTED_VALUE"""),46187.0)</f>
        <v>46187</v>
      </c>
      <c r="C2048" s="122" t="str">
        <f>IFERROR(__xludf.DUMMYFUNCTION("""COMPUTED_VALUE"""),"MEAT")</f>
        <v>MEAT</v>
      </c>
      <c r="D2048" s="122" t="str">
        <f>IFERROR(__xludf.DUMMYFUNCTION("""COMPUTED_VALUE"""),"MeatWorks")</f>
        <v>MeatWorks</v>
      </c>
      <c r="E2048" s="122">
        <f>IFERROR(__xludf.DUMMYFUNCTION("""COMPUTED_VALUE"""),102.66)</f>
        <v>102.66</v>
      </c>
      <c r="F2048" s="122">
        <f>IFERROR(__xludf.DUMMYFUNCTION("""COMPUTED_VALUE"""),0.0038)</f>
        <v>0.0038</v>
      </c>
    </row>
    <row r="2049">
      <c r="A2049" s="131">
        <f>IFERROR(__xludf.DUMMYFUNCTION("""COMPUTED_VALUE"""),46187.383414351854)</f>
        <v>46187.38341</v>
      </c>
      <c r="B2049" s="126">
        <f>IFERROR(__xludf.DUMMYFUNCTION("""COMPUTED_VALUE"""),46187.0)</f>
        <v>46187</v>
      </c>
      <c r="C2049" s="122" t="str">
        <f>IFERROR(__xludf.DUMMYFUNCTION("""COMPUTED_VALUE"""),"VEGI")</f>
        <v>VEGI</v>
      </c>
      <c r="D2049" s="122" t="str">
        <f>IFERROR(__xludf.DUMMYFUNCTION("""COMPUTED_VALUE"""),"Green Basket")</f>
        <v>Green Basket</v>
      </c>
      <c r="E2049" s="122">
        <f>IFERROR(__xludf.DUMMYFUNCTION("""COMPUTED_VALUE"""),82.21)</f>
        <v>82.21</v>
      </c>
      <c r="F2049" s="122">
        <f>IFERROR(__xludf.DUMMYFUNCTION("""COMPUTED_VALUE"""),5.0E-4)</f>
        <v>0.0005</v>
      </c>
    </row>
    <row r="2050">
      <c r="A2050" s="131">
        <f>IFERROR(__xludf.DUMMYFUNCTION("""COMPUTED_VALUE"""),46187.383414351854)</f>
        <v>46187.38341</v>
      </c>
      <c r="B2050" s="126">
        <f>IFERROR(__xludf.DUMMYFUNCTION("""COMPUTED_VALUE"""),46187.0)</f>
        <v>46187</v>
      </c>
      <c r="C2050" s="122" t="str">
        <f>IFERROR(__xludf.DUMMYFUNCTION("""COMPUTED_VALUE"""),"CAFE")</f>
        <v>CAFE</v>
      </c>
      <c r="D2050" s="122" t="str">
        <f>IFERROR(__xludf.DUMMYFUNCTION("""COMPUTED_VALUE"""),"Cafe Cloud")</f>
        <v>Cafe Cloud</v>
      </c>
      <c r="E2050" s="122">
        <f>IFERROR(__xludf.DUMMYFUNCTION("""COMPUTED_VALUE"""),99.48)</f>
        <v>99.48</v>
      </c>
      <c r="F2050" s="122">
        <f>IFERROR(__xludf.DUMMYFUNCTION("""COMPUTED_VALUE"""),-0.002)</f>
        <v>-0.002</v>
      </c>
    </row>
    <row r="2051">
      <c r="A2051" s="131">
        <f>IFERROR(__xludf.DUMMYFUNCTION("""COMPUTED_VALUE"""),46187.383414351854)</f>
        <v>46187.38341</v>
      </c>
      <c r="B2051" s="126">
        <f>IFERROR(__xludf.DUMMYFUNCTION("""COMPUTED_VALUE"""),46187.0)</f>
        <v>46187</v>
      </c>
      <c r="C2051" s="122" t="str">
        <f>IFERROR(__xludf.DUMMYFUNCTION("""COMPUTED_VALUE"""),"BAKE")</f>
        <v>BAKE</v>
      </c>
      <c r="D2051" s="122" t="str">
        <f>IFERROR(__xludf.DUMMYFUNCTION("""COMPUTED_VALUE"""),"BakeHouse")</f>
        <v>BakeHouse</v>
      </c>
      <c r="E2051" s="122">
        <f>IFERROR(__xludf.DUMMYFUNCTION("""COMPUTED_VALUE"""),99.51)</f>
        <v>99.51</v>
      </c>
      <c r="F2051" s="122">
        <f>IFERROR(__xludf.DUMMYFUNCTION("""COMPUTED_VALUE"""),0.0036)</f>
        <v>0.0036</v>
      </c>
    </row>
    <row r="2052">
      <c r="A2052" s="131">
        <f>IFERROR(__xludf.DUMMYFUNCTION("""COMPUTED_VALUE"""),46187.383414351854)</f>
        <v>46187.38341</v>
      </c>
      <c r="B2052" s="126">
        <f>IFERROR(__xludf.DUMMYFUNCTION("""COMPUTED_VALUE"""),46187.0)</f>
        <v>46187</v>
      </c>
      <c r="C2052" s="122" t="str">
        <f>IFERROR(__xludf.DUMMYFUNCTION("""COMPUTED_VALUE"""),"OILX")</f>
        <v>OILX</v>
      </c>
      <c r="D2052" s="122" t="str">
        <f>IFERROR(__xludf.DUMMYFUNCTION("""COMPUTED_VALUE"""),"OilMax Energy")</f>
        <v>OilMax Energy</v>
      </c>
      <c r="E2052" s="122">
        <f>IFERROR(__xludf.DUMMYFUNCTION("""COMPUTED_VALUE"""),127.6)</f>
        <v>127.6</v>
      </c>
      <c r="F2052" s="122">
        <f>IFERROR(__xludf.DUMMYFUNCTION("""COMPUTED_VALUE"""),-0.0021)</f>
        <v>-0.0021</v>
      </c>
    </row>
    <row r="2053">
      <c r="A2053" s="131">
        <f>IFERROR(__xludf.DUMMYFUNCTION("""COMPUTED_VALUE"""),46187.383414351854)</f>
        <v>46187.38341</v>
      </c>
      <c r="B2053" s="126">
        <f>IFERROR(__xludf.DUMMYFUNCTION("""COMPUTED_VALUE"""),46187.0)</f>
        <v>46187</v>
      </c>
      <c r="C2053" s="122" t="str">
        <f>IFERROR(__xludf.DUMMYFUNCTION("""COMPUTED_VALUE"""),"SOLR")</f>
        <v>SOLR</v>
      </c>
      <c r="D2053" s="122" t="str">
        <f>IFERROR(__xludf.DUMMYFUNCTION("""COMPUTED_VALUE"""),"SolarSpark")</f>
        <v>SolarSpark</v>
      </c>
      <c r="E2053" s="122">
        <f>IFERROR(__xludf.DUMMYFUNCTION("""COMPUTED_VALUE"""),86.48)</f>
        <v>86.48</v>
      </c>
      <c r="F2053" s="122">
        <f>IFERROR(__xludf.DUMMYFUNCTION("""COMPUTED_VALUE"""),-0.0027)</f>
        <v>-0.0027</v>
      </c>
    </row>
    <row r="2054">
      <c r="A2054" s="131">
        <f>IFERROR(__xludf.DUMMYFUNCTION("""COMPUTED_VALUE"""),46187.383414351854)</f>
        <v>46187.38341</v>
      </c>
      <c r="B2054" s="126">
        <f>IFERROR(__xludf.DUMMYFUNCTION("""COMPUTED_VALUE"""),46187.0)</f>
        <v>46187</v>
      </c>
      <c r="C2054" s="122" t="str">
        <f>IFERROR(__xludf.DUMMYFUNCTION("""COMPUTED_VALUE"""),"BATT")</f>
        <v>BATT</v>
      </c>
      <c r="D2054" s="122" t="str">
        <f>IFERROR(__xludf.DUMMYFUNCTION("""COMPUTED_VALUE"""),"BatteryBox")</f>
        <v>BatteryBox</v>
      </c>
      <c r="E2054" s="122">
        <f>IFERROR(__xludf.DUMMYFUNCTION("""COMPUTED_VALUE"""),119.5)</f>
        <v>119.5</v>
      </c>
      <c r="F2054" s="122">
        <f>IFERROR(__xludf.DUMMYFUNCTION("""COMPUTED_VALUE"""),0.003)</f>
        <v>0.003</v>
      </c>
    </row>
    <row r="2055">
      <c r="A2055" s="131">
        <f>IFERROR(__xludf.DUMMYFUNCTION("""COMPUTED_VALUE"""),46187.383414351854)</f>
        <v>46187.38341</v>
      </c>
      <c r="B2055" s="126">
        <f>IFERROR(__xludf.DUMMYFUNCTION("""COMPUTED_VALUE"""),46187.0)</f>
        <v>46187</v>
      </c>
      <c r="C2055" s="122" t="str">
        <f>IFERROR(__xludf.DUMMYFUNCTION("""COMPUTED_VALUE"""),"WIND")</f>
        <v>WIND</v>
      </c>
      <c r="D2055" s="122" t="str">
        <f>IFERROR(__xludf.DUMMYFUNCTION("""COMPUTED_VALUE"""),"WindWorks")</f>
        <v>WindWorks</v>
      </c>
      <c r="E2055" s="122">
        <f>IFERROR(__xludf.DUMMYFUNCTION("""COMPUTED_VALUE"""),88.04)</f>
        <v>88.04</v>
      </c>
      <c r="F2055" s="122">
        <f>IFERROR(__xludf.DUMMYFUNCTION("""COMPUTED_VALUE"""),-0.0034)</f>
        <v>-0.0034</v>
      </c>
    </row>
    <row r="2056">
      <c r="A2056" s="131">
        <f>IFERROR(__xludf.DUMMYFUNCTION("""COMPUTED_VALUE"""),46187.383414351854)</f>
        <v>46187.38341</v>
      </c>
      <c r="B2056" s="126">
        <f>IFERROR(__xludf.DUMMYFUNCTION("""COMPUTED_VALUE"""),46187.0)</f>
        <v>46187</v>
      </c>
      <c r="C2056" s="122" t="str">
        <f>IFERROR(__xludf.DUMMYFUNCTION("""COMPUTED_VALUE"""),"GRID")</f>
        <v>GRID</v>
      </c>
      <c r="D2056" s="122" t="str">
        <f>IFERROR(__xludf.DUMMYFUNCTION("""COMPUTED_VALUE"""),"GridPower")</f>
        <v>GridPower</v>
      </c>
      <c r="E2056" s="122">
        <f>IFERROR(__xludf.DUMMYFUNCTION("""COMPUTED_VALUE"""),144.83)</f>
        <v>144.83</v>
      </c>
      <c r="F2056" s="122">
        <f>IFERROR(__xludf.DUMMYFUNCTION("""COMPUTED_VALUE"""),-0.0043)</f>
        <v>-0.0043</v>
      </c>
    </row>
    <row r="2057">
      <c r="A2057" s="131">
        <f>IFERROR(__xludf.DUMMYFUNCTION("""COMPUTED_VALUE"""),46187.383414351854)</f>
        <v>46187.38341</v>
      </c>
      <c r="B2057" s="126">
        <f>IFERROR(__xludf.DUMMYFUNCTION("""COMPUTED_VALUE"""),46187.0)</f>
        <v>46187</v>
      </c>
      <c r="C2057" s="122" t="str">
        <f>IFERROR(__xludf.DUMMYFUNCTION("""COMPUTED_VALUE"""),"HOME")</f>
        <v>HOME</v>
      </c>
      <c r="D2057" s="122" t="str">
        <f>IFERROR(__xludf.DUMMYFUNCTION("""COMPUTED_VALUE"""),"HomeHub")</f>
        <v>HomeHub</v>
      </c>
      <c r="E2057" s="122">
        <f>IFERROR(__xludf.DUMMYFUNCTION("""COMPUTED_VALUE"""),147.5)</f>
        <v>147.5</v>
      </c>
      <c r="F2057" s="122">
        <f>IFERROR(__xludf.DUMMYFUNCTION("""COMPUTED_VALUE"""),5.0E-4)</f>
        <v>0.0005</v>
      </c>
    </row>
    <row r="2058">
      <c r="A2058" s="131">
        <f>IFERROR(__xludf.DUMMYFUNCTION("""COMPUTED_VALUE"""),46187.383414351854)</f>
        <v>46187.38341</v>
      </c>
      <c r="B2058" s="126">
        <f>IFERROR(__xludf.DUMMYFUNCTION("""COMPUTED_VALUE"""),46187.0)</f>
        <v>46187</v>
      </c>
      <c r="C2058" s="122" t="str">
        <f>IFERROR(__xludf.DUMMYFUNCTION("""COMPUTED_VALUE"""),"RENT")</f>
        <v>RENT</v>
      </c>
      <c r="D2058" s="122" t="str">
        <f>IFERROR(__xludf.DUMMYFUNCTION("""COMPUTED_VALUE"""),"RentRight")</f>
        <v>RentRight</v>
      </c>
      <c r="E2058" s="122">
        <f>IFERROR(__xludf.DUMMYFUNCTION("""COMPUTED_VALUE"""),91.49)</f>
        <v>91.49</v>
      </c>
      <c r="F2058" s="122">
        <f>IFERROR(__xludf.DUMMYFUNCTION("""COMPUTED_VALUE"""),-0.0053)</f>
        <v>-0.0053</v>
      </c>
    </row>
    <row r="2059">
      <c r="A2059" s="131">
        <f>IFERROR(__xludf.DUMMYFUNCTION("""COMPUTED_VALUE"""),46187.383414351854)</f>
        <v>46187.38341</v>
      </c>
      <c r="B2059" s="126">
        <f>IFERROR(__xludf.DUMMYFUNCTION("""COMPUTED_VALUE"""),46187.0)</f>
        <v>46187</v>
      </c>
      <c r="C2059" s="122" t="str">
        <f>IFERROR(__xludf.DUMMYFUNCTION("""COMPUTED_VALUE"""),"MALL")</f>
        <v>MALL</v>
      </c>
      <c r="D2059" s="122" t="str">
        <f>IFERROR(__xludf.DUMMYFUNCTION("""COMPUTED_VALUE"""),"MegaMall")</f>
        <v>MegaMall</v>
      </c>
      <c r="E2059" s="122">
        <f>IFERROR(__xludf.DUMMYFUNCTION("""COMPUTED_VALUE"""),98.49)</f>
        <v>98.49</v>
      </c>
      <c r="F2059" s="122">
        <f>IFERROR(__xludf.DUMMYFUNCTION("""COMPUTED_VALUE"""),0.0025)</f>
        <v>0.0025</v>
      </c>
    </row>
    <row r="2060">
      <c r="A2060" s="131">
        <f>IFERROR(__xludf.DUMMYFUNCTION("""COMPUTED_VALUE"""),46187.383414351854)</f>
        <v>46187.38341</v>
      </c>
      <c r="B2060" s="126">
        <f>IFERROR(__xludf.DUMMYFUNCTION("""COMPUTED_VALUE"""),46187.0)</f>
        <v>46187</v>
      </c>
      <c r="C2060" s="122" t="str">
        <f>IFERROR(__xludf.DUMMYFUNCTION("""COMPUTED_VALUE"""),"HOTL")</f>
        <v>HOTL</v>
      </c>
      <c r="D2060" s="122" t="str">
        <f>IFERROR(__xludf.DUMMYFUNCTION("""COMPUTED_VALUE"""),"HotelHive")</f>
        <v>HotelHive</v>
      </c>
      <c r="E2060" s="122">
        <f>IFERROR(__xludf.DUMMYFUNCTION("""COMPUTED_VALUE"""),132.66)</f>
        <v>132.66</v>
      </c>
      <c r="F2060" s="122">
        <f>IFERROR(__xludf.DUMMYFUNCTION("""COMPUTED_VALUE"""),0.004)</f>
        <v>0.004</v>
      </c>
    </row>
    <row r="2061">
      <c r="A2061" s="131">
        <f>IFERROR(__xludf.DUMMYFUNCTION("""COMPUTED_VALUE"""),46187.383414351854)</f>
        <v>46187.38341</v>
      </c>
      <c r="B2061" s="126">
        <f>IFERROR(__xludf.DUMMYFUNCTION("""COMPUTED_VALUE"""),46187.0)</f>
        <v>46187</v>
      </c>
      <c r="C2061" s="122" t="str">
        <f>IFERROR(__xludf.DUMMYFUNCTION("""COMPUTED_VALUE"""),"LAND")</f>
        <v>LAND</v>
      </c>
      <c r="D2061" s="122" t="str">
        <f>IFERROR(__xludf.DUMMYFUNCTION("""COMPUTED_VALUE"""),"LandLink")</f>
        <v>LandLink</v>
      </c>
      <c r="E2061" s="122">
        <f>IFERROR(__xludf.DUMMYFUNCTION("""COMPUTED_VALUE"""),182.88)</f>
        <v>182.88</v>
      </c>
      <c r="F2061" s="122">
        <f>IFERROR(__xludf.DUMMYFUNCTION("""COMPUTED_VALUE"""),0.0015)</f>
        <v>0.0015</v>
      </c>
    </row>
    <row r="2062">
      <c r="A2062" s="131">
        <f>IFERROR(__xludf.DUMMYFUNCTION("""COMPUTED_VALUE"""),46187.383414351854)</f>
        <v>46187.38341</v>
      </c>
      <c r="B2062" s="126">
        <f>IFERROR(__xludf.DUMMYFUNCTION("""COMPUTED_VALUE"""),46187.0)</f>
        <v>46187</v>
      </c>
      <c r="C2062" s="122" t="str">
        <f>IFERROR(__xludf.DUMMYFUNCTION("""COMPUTED_VALUE"""),"CARS")</f>
        <v>CARS</v>
      </c>
      <c r="D2062" s="122" t="str">
        <f>IFERROR(__xludf.DUMMYFUNCTION("""COMPUTED_VALUE"""),"AutoArena")</f>
        <v>AutoArena</v>
      </c>
      <c r="E2062" s="122">
        <f>IFERROR(__xludf.DUMMYFUNCTION("""COMPUTED_VALUE"""),79.37)</f>
        <v>79.37</v>
      </c>
      <c r="F2062" s="122">
        <f>IFERROR(__xludf.DUMMYFUNCTION("""COMPUTED_VALUE"""),-0.0018)</f>
        <v>-0.0018</v>
      </c>
    </row>
    <row r="2063">
      <c r="A2063" s="131">
        <f>IFERROR(__xludf.DUMMYFUNCTION("""COMPUTED_VALUE"""),46187.383414351854)</f>
        <v>46187.38341</v>
      </c>
      <c r="B2063" s="126">
        <f>IFERROR(__xludf.DUMMYFUNCTION("""COMPUTED_VALUE"""),46187.0)</f>
        <v>46187</v>
      </c>
      <c r="C2063" s="122" t="str">
        <f>IFERROR(__xludf.DUMMYFUNCTION("""COMPUTED_VALUE"""),"EVGO")</f>
        <v>EVGO</v>
      </c>
      <c r="D2063" s="122" t="str">
        <f>IFERROR(__xludf.DUMMYFUNCTION("""COMPUTED_VALUE"""),"EVGo Motors")</f>
        <v>EVGo Motors</v>
      </c>
      <c r="E2063" s="122">
        <f>IFERROR(__xludf.DUMMYFUNCTION("""COMPUTED_VALUE"""),194.46)</f>
        <v>194.46</v>
      </c>
      <c r="F2063" s="122">
        <f>IFERROR(__xludf.DUMMYFUNCTION("""COMPUTED_VALUE"""),0.007)</f>
        <v>0.007</v>
      </c>
    </row>
    <row r="2064">
      <c r="A2064" s="131">
        <f>IFERROR(__xludf.DUMMYFUNCTION("""COMPUTED_VALUE"""),46187.383414351854)</f>
        <v>46187.38341</v>
      </c>
      <c r="B2064" s="126">
        <f>IFERROR(__xludf.DUMMYFUNCTION("""COMPUTED_VALUE"""),46187.0)</f>
        <v>46187</v>
      </c>
      <c r="C2064" s="122" t="str">
        <f>IFERROR(__xludf.DUMMYFUNCTION("""COMPUTED_VALUE"""),"TIRE")</f>
        <v>TIRE</v>
      </c>
      <c r="D2064" s="122" t="str">
        <f>IFERROR(__xludf.DUMMYFUNCTION("""COMPUTED_VALUE"""),"TireTown")</f>
        <v>TireTown</v>
      </c>
      <c r="E2064" s="122">
        <f>IFERROR(__xludf.DUMMYFUNCTION("""COMPUTED_VALUE"""),91.39)</f>
        <v>91.39</v>
      </c>
      <c r="F2064" s="122">
        <f>IFERROR(__xludf.DUMMYFUNCTION("""COMPUTED_VALUE"""),0.001)</f>
        <v>0.001</v>
      </c>
    </row>
    <row r="2065">
      <c r="A2065" s="131">
        <f>IFERROR(__xludf.DUMMYFUNCTION("""COMPUTED_VALUE"""),46187.383414351854)</f>
        <v>46187.38341</v>
      </c>
      <c r="B2065" s="126">
        <f>IFERROR(__xludf.DUMMYFUNCTION("""COMPUTED_VALUE"""),46187.0)</f>
        <v>46187</v>
      </c>
      <c r="C2065" s="122" t="str">
        <f>IFERROR(__xludf.DUMMYFUNCTION("""COMPUTED_VALUE"""),"BIKE")</f>
        <v>BIKE</v>
      </c>
      <c r="D2065" s="122" t="str">
        <f>IFERROR(__xludf.DUMMYFUNCTION("""COMPUTED_VALUE"""),"BikeBox")</f>
        <v>BikeBox</v>
      </c>
      <c r="E2065" s="122">
        <f>IFERROR(__xludf.DUMMYFUNCTION("""COMPUTED_VALUE"""),53.35)</f>
        <v>53.35</v>
      </c>
      <c r="F2065" s="122">
        <f>IFERROR(__xludf.DUMMYFUNCTION("""COMPUTED_VALUE"""),-0.0074)</f>
        <v>-0.0074</v>
      </c>
    </row>
    <row r="2066">
      <c r="A2066" s="131">
        <f>IFERROR(__xludf.DUMMYFUNCTION("""COMPUTED_VALUE"""),46187.383414351854)</f>
        <v>46187.38341</v>
      </c>
      <c r="B2066" s="126">
        <f>IFERROR(__xludf.DUMMYFUNCTION("""COMPUTED_VALUE"""),46187.0)</f>
        <v>46187</v>
      </c>
      <c r="C2066" s="122" t="str">
        <f>IFERROR(__xludf.DUMMYFUNCTION("""COMPUTED_VALUE"""),"WASH")</f>
        <v>WASH</v>
      </c>
      <c r="D2066" s="122" t="str">
        <f>IFERROR(__xludf.DUMMYFUNCTION("""COMPUTED_VALUE"""),"CarWash Co")</f>
        <v>CarWash Co</v>
      </c>
      <c r="E2066" s="122">
        <f>IFERROR(__xludf.DUMMYFUNCTION("""COMPUTED_VALUE"""),119.92)</f>
        <v>119.92</v>
      </c>
      <c r="F2066" s="122">
        <f>IFERROR(__xludf.DUMMYFUNCTION("""COMPUTED_VALUE"""),-3.0E-4)</f>
        <v>-0.0003</v>
      </c>
    </row>
    <row r="2067">
      <c r="A2067" s="131">
        <f>IFERROR(__xludf.DUMMYFUNCTION("""COMPUTED_VALUE"""),46187.383414351854)</f>
        <v>46187.38341</v>
      </c>
      <c r="B2067" s="126">
        <f>IFERROR(__xludf.DUMMYFUNCTION("""COMPUTED_VALUE"""),46187.0)</f>
        <v>46187</v>
      </c>
      <c r="C2067" s="122" t="str">
        <f>IFERROR(__xludf.DUMMYFUNCTION("""COMPUTED_VALUE"""),"GBND")</f>
        <v>GBND</v>
      </c>
      <c r="D2067" s="122" t="str">
        <f>IFERROR(__xludf.DUMMYFUNCTION("""COMPUTED_VALUE"""),"Classroom Government Bond")</f>
        <v>Classroom Government Bond</v>
      </c>
      <c r="E2067" s="122">
        <f>IFERROR(__xludf.DUMMYFUNCTION("""COMPUTED_VALUE"""),100.95)</f>
        <v>100.95</v>
      </c>
      <c r="F2067" s="122">
        <f>IFERROR(__xludf.DUMMYFUNCTION("""COMPUTED_VALUE"""),4.0E-4)</f>
        <v>0.0004</v>
      </c>
    </row>
    <row r="2068">
      <c r="A2068" s="131">
        <f>IFERROR(__xludf.DUMMYFUNCTION("""COMPUTED_VALUE"""),46187.383414351854)</f>
        <v>46187.38341</v>
      </c>
      <c r="B2068" s="126">
        <f>IFERROR(__xludf.DUMMYFUNCTION("""COMPUTED_VALUE"""),46187.0)</f>
        <v>46187</v>
      </c>
      <c r="C2068" s="122" t="str">
        <f>IFERROR(__xludf.DUMMYFUNCTION("""COMPUTED_VALUE"""),"SBND")</f>
        <v>SBND</v>
      </c>
      <c r="D2068" s="122" t="str">
        <f>IFERROR(__xludf.DUMMYFUNCTION("""COMPUTED_VALUE"""),"School Savings Bond")</f>
        <v>School Savings Bond</v>
      </c>
      <c r="E2068" s="122">
        <f>IFERROR(__xludf.DUMMYFUNCTION("""COMPUTED_VALUE"""),99.42)</f>
        <v>99.42</v>
      </c>
      <c r="F2068" s="122">
        <f>IFERROR(__xludf.DUMMYFUNCTION("""COMPUTED_VALUE"""),-4.0E-4)</f>
        <v>-0.0004</v>
      </c>
    </row>
    <row r="2069">
      <c r="A2069" s="131">
        <f>IFERROR(__xludf.DUMMYFUNCTION("""COMPUTED_VALUE"""),46187.383414351854)</f>
        <v>46187.38341</v>
      </c>
      <c r="B2069" s="126">
        <f>IFERROR(__xludf.DUMMYFUNCTION("""COMPUTED_VALUE"""),46187.0)</f>
        <v>46187</v>
      </c>
      <c r="C2069" s="122" t="str">
        <f>IFERROR(__xludf.DUMMYFUNCTION("""COMPUTED_VALUE"""),"CBND")</f>
        <v>CBND</v>
      </c>
      <c r="D2069" s="122" t="str">
        <f>IFERROR(__xludf.DUMMYFUNCTION("""COMPUTED_VALUE"""),"Corporate Classroom Bond")</f>
        <v>Corporate Classroom Bond</v>
      </c>
      <c r="E2069" s="122">
        <f>IFERROR(__xludf.DUMMYFUNCTION("""COMPUTED_VALUE"""),97.59)</f>
        <v>97.59</v>
      </c>
      <c r="F2069" s="122">
        <f>IFERROR(__xludf.DUMMYFUNCTION("""COMPUTED_VALUE"""),-4.0E-4)</f>
        <v>-0.0004</v>
      </c>
    </row>
    <row r="2070">
      <c r="A2070" s="131">
        <f>IFERROR(__xludf.DUMMYFUNCTION("""COMPUTED_VALUE"""),46187.383414351854)</f>
        <v>46187.38341</v>
      </c>
      <c r="B2070" s="126">
        <f>IFERROR(__xludf.DUMMYFUNCTION("""COMPUTED_VALUE"""),46187.0)</f>
        <v>46187</v>
      </c>
      <c r="C2070" s="122" t="str">
        <f>IFERROR(__xludf.DUMMYFUNCTION("""COMPUTED_VALUE"""),"TBIL")</f>
        <v>TBIL</v>
      </c>
      <c r="D2070" s="122" t="str">
        <f>IFERROR(__xludf.DUMMYFUNCTION("""COMPUTED_VALUE"""),"Treasury Bill")</f>
        <v>Treasury Bill</v>
      </c>
      <c r="E2070" s="122">
        <f>IFERROR(__xludf.DUMMYFUNCTION("""COMPUTED_VALUE"""),98.07)</f>
        <v>98.07</v>
      </c>
      <c r="F2070" s="122">
        <f>IFERROR(__xludf.DUMMYFUNCTION("""COMPUTED_VALUE"""),4.0E-4)</f>
        <v>0.0004</v>
      </c>
    </row>
    <row r="2071">
      <c r="A2071" s="131">
        <f>IFERROR(__xludf.DUMMYFUNCTION("""COMPUTED_VALUE"""),46187.383414351854)</f>
        <v>46187.38341</v>
      </c>
      <c r="B2071" s="126">
        <f>IFERROR(__xludf.DUMMYFUNCTION("""COMPUTED_VALUE"""),46187.0)</f>
        <v>46187</v>
      </c>
      <c r="C2071" s="122" t="str">
        <f>IFERROR(__xludf.DUMMYFUNCTION("""COMPUTED_VALUE"""),"IBND")</f>
        <v>IBND</v>
      </c>
      <c r="D2071" s="122" t="str">
        <f>IFERROR(__xludf.DUMMYFUNCTION("""COMPUTED_VALUE"""),"Inflation Protected Bond")</f>
        <v>Inflation Protected Bond</v>
      </c>
      <c r="E2071" s="122">
        <f>IFERROR(__xludf.DUMMYFUNCTION("""COMPUTED_VALUE"""),100.62)</f>
        <v>100.62</v>
      </c>
      <c r="F2071" s="122">
        <f>IFERROR(__xludf.DUMMYFUNCTION("""COMPUTED_VALUE"""),-3.0E-4)</f>
        <v>-0.0003</v>
      </c>
    </row>
    <row r="2072">
      <c r="A2072" s="131">
        <f>IFERROR(__xludf.DUMMYFUNCTION("""COMPUTED_VALUE"""),46187.38724537037)</f>
        <v>46187.38725</v>
      </c>
      <c r="B2072" s="126">
        <f>IFERROR(__xludf.DUMMYFUNCTION("""COMPUTED_VALUE"""),46187.0)</f>
        <v>46187</v>
      </c>
      <c r="C2072" s="122" t="str">
        <f>IFERROR(__xludf.DUMMYFUNCTION("""COMPUTED_VALUE"""),"SNAX")</f>
        <v>SNAX</v>
      </c>
      <c r="D2072" s="122" t="str">
        <f>IFERROR(__xludf.DUMMYFUNCTION("""COMPUTED_VALUE"""),"MICA Snacks")</f>
        <v>MICA Snacks</v>
      </c>
      <c r="E2072" s="122">
        <f>IFERROR(__xludf.DUMMYFUNCTION("""COMPUTED_VALUE"""),121.76)</f>
        <v>121.76</v>
      </c>
      <c r="F2072" s="122">
        <f>IFERROR(__xludf.DUMMYFUNCTION("""COMPUTED_VALUE"""),-0.0051)</f>
        <v>-0.0051</v>
      </c>
    </row>
    <row r="2073">
      <c r="A2073" s="131">
        <f>IFERROR(__xludf.DUMMYFUNCTION("""COMPUTED_VALUE"""),46187.38724537037)</f>
        <v>46187.38725</v>
      </c>
      <c r="B2073" s="126">
        <f>IFERROR(__xludf.DUMMYFUNCTION("""COMPUTED_VALUE"""),46187.0)</f>
        <v>46187</v>
      </c>
      <c r="C2073" s="122" t="str">
        <f>IFERROR(__xludf.DUMMYFUNCTION("""COMPUTED_VALUE"""),"RAMN")</f>
        <v>RAMN</v>
      </c>
      <c r="D2073" s="122" t="str">
        <f>IFERROR(__xludf.DUMMYFUNCTION("""COMPUTED_VALUE"""),"Ramen Republic")</f>
        <v>Ramen Republic</v>
      </c>
      <c r="E2073" s="122">
        <f>IFERROR(__xludf.DUMMYFUNCTION("""COMPUTED_VALUE"""),75.69)</f>
        <v>75.69</v>
      </c>
      <c r="F2073" s="122">
        <f>IFERROR(__xludf.DUMMYFUNCTION("""COMPUTED_VALUE"""),-0.0038)</f>
        <v>-0.0038</v>
      </c>
    </row>
    <row r="2074">
      <c r="A2074" s="131">
        <f>IFERROR(__xludf.DUMMYFUNCTION("""COMPUTED_VALUE"""),46187.38724537037)</f>
        <v>46187.38725</v>
      </c>
      <c r="B2074" s="126">
        <f>IFERROR(__xludf.DUMMYFUNCTION("""COMPUTED_VALUE"""),46187.0)</f>
        <v>46187</v>
      </c>
      <c r="C2074" s="122" t="str">
        <f>IFERROR(__xludf.DUMMYFUNCTION("""COMPUTED_VALUE"""),"COLA")</f>
        <v>COLA</v>
      </c>
      <c r="D2074" s="122" t="str">
        <f>IFERROR(__xludf.DUMMYFUNCTION("""COMPUTED_VALUE"""),"K-Pop Cola")</f>
        <v>K-Pop Cola</v>
      </c>
      <c r="E2074" s="122">
        <f>IFERROR(__xludf.DUMMYFUNCTION("""COMPUTED_VALUE"""),105.42)</f>
        <v>105.42</v>
      </c>
      <c r="F2074" s="122">
        <f>IFERROR(__xludf.DUMMYFUNCTION("""COMPUTED_VALUE"""),0.003)</f>
        <v>0.003</v>
      </c>
    </row>
    <row r="2075">
      <c r="A2075" s="131">
        <f>IFERROR(__xludf.DUMMYFUNCTION("""COMPUTED_VALUE"""),46187.38724537037)</f>
        <v>46187.38725</v>
      </c>
      <c r="B2075" s="126">
        <f>IFERROR(__xludf.DUMMYFUNCTION("""COMPUTED_VALUE"""),46187.0)</f>
        <v>46187</v>
      </c>
      <c r="C2075" s="122" t="str">
        <f>IFERROR(__xludf.DUMMYFUNCTION("""COMPUTED_VALUE"""),"CHIP")</f>
        <v>CHIP</v>
      </c>
      <c r="D2075" s="122" t="str">
        <f>IFERROR(__xludf.DUMMYFUNCTION("""COMPUTED_VALUE"""),"Chip Empire")</f>
        <v>Chip Empire</v>
      </c>
      <c r="E2075" s="122">
        <f>IFERROR(__xludf.DUMMYFUNCTION("""COMPUTED_VALUE"""),89.05)</f>
        <v>89.05</v>
      </c>
      <c r="F2075" s="122">
        <f>IFERROR(__xludf.DUMMYFUNCTION("""COMPUTED_VALUE"""),0.002)</f>
        <v>0.002</v>
      </c>
    </row>
    <row r="2076">
      <c r="A2076" s="131">
        <f>IFERROR(__xludf.DUMMYFUNCTION("""COMPUTED_VALUE"""),46187.38724537037)</f>
        <v>46187.38725</v>
      </c>
      <c r="B2076" s="126">
        <f>IFERROR(__xludf.DUMMYFUNCTION("""COMPUTED_VALUE"""),46187.0)</f>
        <v>46187</v>
      </c>
      <c r="C2076" s="122" t="str">
        <f>IFERROR(__xludf.DUMMYFUNCTION("""COMPUTED_VALUE"""),"CAND")</f>
        <v>CAND</v>
      </c>
      <c r="D2076" s="122" t="str">
        <f>IFERROR(__xludf.DUMMYFUNCTION("""COMPUTED_VALUE"""),"Candy Capital")</f>
        <v>Candy Capital</v>
      </c>
      <c r="E2076" s="122">
        <f>IFERROR(__xludf.DUMMYFUNCTION("""COMPUTED_VALUE"""),75.48)</f>
        <v>75.48</v>
      </c>
      <c r="F2076" s="122">
        <f>IFERROR(__xludf.DUMMYFUNCTION("""COMPUTED_VALUE"""),0.0092)</f>
        <v>0.0092</v>
      </c>
    </row>
    <row r="2077">
      <c r="A2077" s="131">
        <f>IFERROR(__xludf.DUMMYFUNCTION("""COMPUTED_VALUE"""),46187.38724537037)</f>
        <v>46187.38725</v>
      </c>
      <c r="B2077" s="126">
        <f>IFERROR(__xludf.DUMMYFUNCTION("""COMPUTED_VALUE"""),46187.0)</f>
        <v>46187</v>
      </c>
      <c r="C2077" s="122" t="str">
        <f>IFERROR(__xludf.DUMMYFUNCTION("""COMPUTED_VALUE"""),"TECH")</f>
        <v>TECH</v>
      </c>
      <c r="D2077" s="122" t="str">
        <f>IFERROR(__xludf.DUMMYFUNCTION("""COMPUTED_VALUE"""),"Dragon Tech")</f>
        <v>Dragon Tech</v>
      </c>
      <c r="E2077" s="122">
        <f>IFERROR(__xludf.DUMMYFUNCTION("""COMPUTED_VALUE"""),237.36)</f>
        <v>237.36</v>
      </c>
      <c r="F2077" s="122">
        <f>IFERROR(__xludf.DUMMYFUNCTION("""COMPUTED_VALUE"""),-0.0041)</f>
        <v>-0.0041</v>
      </c>
    </row>
    <row r="2078">
      <c r="A2078" s="131">
        <f>IFERROR(__xludf.DUMMYFUNCTION("""COMPUTED_VALUE"""),46187.38724537037)</f>
        <v>46187.38725</v>
      </c>
      <c r="B2078" s="126">
        <f>IFERROR(__xludf.DUMMYFUNCTION("""COMPUTED_VALUE"""),46187.0)</f>
        <v>46187</v>
      </c>
      <c r="C2078" s="122" t="str">
        <f>IFERROR(__xludf.DUMMYFUNCTION("""COMPUTED_VALUE"""),"AIBO")</f>
        <v>AIBO</v>
      </c>
      <c r="D2078" s="122" t="str">
        <f>IFERROR(__xludf.DUMMYFUNCTION("""COMPUTED_VALUE"""),"Homework AI")</f>
        <v>Homework AI</v>
      </c>
      <c r="E2078" s="122">
        <f>IFERROR(__xludf.DUMMYFUNCTION("""COMPUTED_VALUE"""),165.39)</f>
        <v>165.39</v>
      </c>
      <c r="F2078" s="122">
        <f>IFERROR(__xludf.DUMMYFUNCTION("""COMPUTED_VALUE"""),-0.0059)</f>
        <v>-0.0059</v>
      </c>
    </row>
    <row r="2079">
      <c r="A2079" s="131">
        <f>IFERROR(__xludf.DUMMYFUNCTION("""COMPUTED_VALUE"""),46187.38724537037)</f>
        <v>46187.38725</v>
      </c>
      <c r="B2079" s="126">
        <f>IFERROR(__xludf.DUMMYFUNCTION("""COMPUTED_VALUE"""),46187.0)</f>
        <v>46187</v>
      </c>
      <c r="C2079" s="122" t="str">
        <f>IFERROR(__xludf.DUMMYFUNCTION("""COMPUTED_VALUE"""),"GAME")</f>
        <v>GAME</v>
      </c>
      <c r="D2079" s="122" t="str">
        <f>IFERROR(__xludf.DUMMYFUNCTION("""COMPUTED_VALUE"""),"GameBox Media")</f>
        <v>GameBox Media</v>
      </c>
      <c r="E2079" s="122">
        <f>IFERROR(__xludf.DUMMYFUNCTION("""COMPUTED_VALUE"""),92.74)</f>
        <v>92.74</v>
      </c>
      <c r="F2079" s="122">
        <f>IFERROR(__xludf.DUMMYFUNCTION("""COMPUTED_VALUE"""),-0.0013)</f>
        <v>-0.0013</v>
      </c>
    </row>
    <row r="2080">
      <c r="A2080" s="131">
        <f>IFERROR(__xludf.DUMMYFUNCTION("""COMPUTED_VALUE"""),46187.38724537037)</f>
        <v>46187.38725</v>
      </c>
      <c r="B2080" s="126">
        <f>IFERROR(__xludf.DUMMYFUNCTION("""COMPUTED_VALUE"""),46187.0)</f>
        <v>46187</v>
      </c>
      <c r="C2080" s="122" t="str">
        <f>IFERROR(__xludf.DUMMYFUNCTION("""COMPUTED_VALUE"""),"VRSE")</f>
        <v>VRSE</v>
      </c>
      <c r="D2080" s="122" t="str">
        <f>IFERROR(__xludf.DUMMYFUNCTION("""COMPUTED_VALUE"""),"VerseVR")</f>
        <v>VerseVR</v>
      </c>
      <c r="E2080" s="122">
        <f>IFERROR(__xludf.DUMMYFUNCTION("""COMPUTED_VALUE"""),145.74)</f>
        <v>145.74</v>
      </c>
      <c r="F2080" s="122">
        <f>IFERROR(__xludf.DUMMYFUNCTION("""COMPUTED_VALUE"""),-0.0099)</f>
        <v>-0.0099</v>
      </c>
    </row>
    <row r="2081">
      <c r="A2081" s="131">
        <f>IFERROR(__xludf.DUMMYFUNCTION("""COMPUTED_VALUE"""),46187.38724537037)</f>
        <v>46187.38725</v>
      </c>
      <c r="B2081" s="126">
        <f>IFERROR(__xludf.DUMMYFUNCTION("""COMPUTED_VALUE"""),46187.0)</f>
        <v>46187</v>
      </c>
      <c r="C2081" s="122" t="str">
        <f>IFERROR(__xludf.DUMMYFUNCTION("""COMPUTED_VALUE"""),"BYTE")</f>
        <v>BYTE</v>
      </c>
      <c r="D2081" s="122" t="str">
        <f>IFERROR(__xludf.DUMMYFUNCTION("""COMPUTED_VALUE"""),"ByteWorks")</f>
        <v>ByteWorks</v>
      </c>
      <c r="E2081" s="122">
        <f>IFERROR(__xludf.DUMMYFUNCTION("""COMPUTED_VALUE"""),108.77)</f>
        <v>108.77</v>
      </c>
      <c r="F2081" s="122">
        <f>IFERROR(__xludf.DUMMYFUNCTION("""COMPUTED_VALUE"""),-0.0062)</f>
        <v>-0.0062</v>
      </c>
    </row>
    <row r="2082">
      <c r="A2082" s="131">
        <f>IFERROR(__xludf.DUMMYFUNCTION("""COMPUTED_VALUE"""),46187.38724537037)</f>
        <v>46187.38725</v>
      </c>
      <c r="B2082" s="126">
        <f>IFERROR(__xludf.DUMMYFUNCTION("""COMPUTED_VALUE"""),46187.0)</f>
        <v>46187</v>
      </c>
      <c r="C2082" s="122" t="str">
        <f>IFERROR(__xludf.DUMMYFUNCTION("""COMPUTED_VALUE"""),"BANK")</f>
        <v>BANK</v>
      </c>
      <c r="D2082" s="122" t="str">
        <f>IFERROR(__xludf.DUMMYFUNCTION("""COMPUTED_VALUE"""),"Tiger Bank")</f>
        <v>Tiger Bank</v>
      </c>
      <c r="E2082" s="122">
        <f>IFERROR(__xludf.DUMMYFUNCTION("""COMPUTED_VALUE"""),124.36)</f>
        <v>124.36</v>
      </c>
      <c r="F2082" s="122">
        <f>IFERROR(__xludf.DUMMYFUNCTION("""COMPUTED_VALUE"""),-3.0E-4)</f>
        <v>-0.0003</v>
      </c>
    </row>
    <row r="2083">
      <c r="A2083" s="131">
        <f>IFERROR(__xludf.DUMMYFUNCTION("""COMPUTED_VALUE"""),46187.38724537037)</f>
        <v>46187.38725</v>
      </c>
      <c r="B2083" s="126">
        <f>IFERROR(__xludf.DUMMYFUNCTION("""COMPUTED_VALUE"""),46187.0)</f>
        <v>46187</v>
      </c>
      <c r="C2083" s="122" t="str">
        <f>IFERROR(__xludf.DUMMYFUNCTION("""COMPUTED_VALUE"""),"CRED")</f>
        <v>CRED</v>
      </c>
      <c r="D2083" s="122" t="str">
        <f>IFERROR(__xludf.DUMMYFUNCTION("""COMPUTED_VALUE"""),"Credit Castle")</f>
        <v>Credit Castle</v>
      </c>
      <c r="E2083" s="122">
        <f>IFERROR(__xludf.DUMMYFUNCTION("""COMPUTED_VALUE"""),69.18)</f>
        <v>69.18</v>
      </c>
      <c r="F2083" s="122">
        <f>IFERROR(__xludf.DUMMYFUNCTION("""COMPUTED_VALUE"""),-6.0E-4)</f>
        <v>-0.0006</v>
      </c>
    </row>
    <row r="2084">
      <c r="A2084" s="131">
        <f>IFERROR(__xludf.DUMMYFUNCTION("""COMPUTED_VALUE"""),46187.38724537037)</f>
        <v>46187.38725</v>
      </c>
      <c r="B2084" s="126">
        <f>IFERROR(__xludf.DUMMYFUNCTION("""COMPUTED_VALUE"""),46187.0)</f>
        <v>46187</v>
      </c>
      <c r="C2084" s="122" t="str">
        <f>IFERROR(__xludf.DUMMYFUNCTION("""COMPUTED_VALUE"""),"BOND")</f>
        <v>BOND</v>
      </c>
      <c r="D2084" s="122" t="str">
        <f>IFERROR(__xludf.DUMMYFUNCTION("""COMPUTED_VALUE"""),"BondBridge")</f>
        <v>BondBridge</v>
      </c>
      <c r="E2084" s="122">
        <f>IFERROR(__xludf.DUMMYFUNCTION("""COMPUTED_VALUE"""),96.54)</f>
        <v>96.54</v>
      </c>
      <c r="F2084" s="122">
        <f>IFERROR(__xludf.DUMMYFUNCTION("""COMPUTED_VALUE"""),3.0E-4)</f>
        <v>0.0003</v>
      </c>
    </row>
    <row r="2085">
      <c r="A2085" s="131">
        <f>IFERROR(__xludf.DUMMYFUNCTION("""COMPUTED_VALUE"""),46187.38724537037)</f>
        <v>46187.38725</v>
      </c>
      <c r="B2085" s="126">
        <f>IFERROR(__xludf.DUMMYFUNCTION("""COMPUTED_VALUE"""),46187.0)</f>
        <v>46187</v>
      </c>
      <c r="C2085" s="122" t="str">
        <f>IFERROR(__xludf.DUMMYFUNCTION("""COMPUTED_VALUE"""),"INSR")</f>
        <v>INSR</v>
      </c>
      <c r="D2085" s="122" t="str">
        <f>IFERROR(__xludf.DUMMYFUNCTION("""COMPUTED_VALUE"""),"Shield Insurance")</f>
        <v>Shield Insurance</v>
      </c>
      <c r="E2085" s="122">
        <f>IFERROR(__xludf.DUMMYFUNCTION("""COMPUTED_VALUE"""),157.27)</f>
        <v>157.27</v>
      </c>
      <c r="F2085" s="122">
        <f>IFERROR(__xludf.DUMMYFUNCTION("""COMPUTED_VALUE"""),-0.0035)</f>
        <v>-0.0035</v>
      </c>
    </row>
    <row r="2086">
      <c r="A2086" s="131">
        <f>IFERROR(__xludf.DUMMYFUNCTION("""COMPUTED_VALUE"""),46187.38724537037)</f>
        <v>46187.38725</v>
      </c>
      <c r="B2086" s="126">
        <f>IFERROR(__xludf.DUMMYFUNCTION("""COMPUTED_VALUE"""),46187.0)</f>
        <v>46187</v>
      </c>
      <c r="C2086" s="122" t="str">
        <f>IFERROR(__xludf.DUMMYFUNCTION("""COMPUTED_VALUE"""),"LOAN")</f>
        <v>LOAN</v>
      </c>
      <c r="D2086" s="122" t="str">
        <f>IFERROR(__xludf.DUMMYFUNCTION("""COMPUTED_VALUE"""),"LoanLab")</f>
        <v>LoanLab</v>
      </c>
      <c r="E2086" s="122">
        <f>IFERROR(__xludf.DUMMYFUNCTION("""COMPUTED_VALUE"""),61.42)</f>
        <v>61.42</v>
      </c>
      <c r="F2086" s="122">
        <f>IFERROR(__xludf.DUMMYFUNCTION("""COMPUTED_VALUE"""),0.0054)</f>
        <v>0.0054</v>
      </c>
    </row>
    <row r="2087">
      <c r="A2087" s="131">
        <f>IFERROR(__xludf.DUMMYFUNCTION("""COMPUTED_VALUE"""),46187.38724537037)</f>
        <v>46187.38725</v>
      </c>
      <c r="B2087" s="126">
        <f>IFERROR(__xludf.DUMMYFUNCTION("""COMPUTED_VALUE"""),46187.0)</f>
        <v>46187</v>
      </c>
      <c r="C2087" s="122" t="str">
        <f>IFERROR(__xludf.DUMMYFUNCTION("""COMPUTED_VALUE"""),"LUXE")</f>
        <v>LUXE</v>
      </c>
      <c r="D2087" s="122" t="str">
        <f>IFERROR(__xludf.DUMMYFUNCTION("""COMPUTED_VALUE"""),"Luxury Locker")</f>
        <v>Luxury Locker</v>
      </c>
      <c r="E2087" s="122">
        <f>IFERROR(__xludf.DUMMYFUNCTION("""COMPUTED_VALUE"""),262.61)</f>
        <v>262.61</v>
      </c>
      <c r="F2087" s="122">
        <f>IFERROR(__xludf.DUMMYFUNCTION("""COMPUTED_VALUE"""),-5.0E-4)</f>
        <v>-0.0005</v>
      </c>
    </row>
    <row r="2088">
      <c r="A2088" s="131">
        <f>IFERROR(__xludf.DUMMYFUNCTION("""COMPUTED_VALUE"""),46187.38724537037)</f>
        <v>46187.38725</v>
      </c>
      <c r="B2088" s="126">
        <f>IFERROR(__xludf.DUMMYFUNCTION("""COMPUTED_VALUE"""),46187.0)</f>
        <v>46187</v>
      </c>
      <c r="C2088" s="122" t="str">
        <f>IFERROR(__xludf.DUMMYFUNCTION("""COMPUTED_VALUE"""),"DRIP")</f>
        <v>DRIP</v>
      </c>
      <c r="D2088" s="122" t="str">
        <f>IFERROR(__xludf.DUMMYFUNCTION("""COMPUTED_VALUE"""),"Drip Streetwear")</f>
        <v>Drip Streetwear</v>
      </c>
      <c r="E2088" s="122">
        <f>IFERROR(__xludf.DUMMYFUNCTION("""COMPUTED_VALUE"""),201.51)</f>
        <v>201.51</v>
      </c>
      <c r="F2088" s="122">
        <f>IFERROR(__xludf.DUMMYFUNCTION("""COMPUTED_VALUE"""),0.0091)</f>
        <v>0.0091</v>
      </c>
    </row>
    <row r="2089">
      <c r="A2089" s="131">
        <f>IFERROR(__xludf.DUMMYFUNCTION("""COMPUTED_VALUE"""),46187.38724537037)</f>
        <v>46187.38725</v>
      </c>
      <c r="B2089" s="126">
        <f>IFERROR(__xludf.DUMMYFUNCTION("""COMPUTED_VALUE"""),46187.0)</f>
        <v>46187</v>
      </c>
      <c r="C2089" s="122" t="str">
        <f>IFERROR(__xludf.DUMMYFUNCTION("""COMPUTED_VALUE"""),"KICK")</f>
        <v>KICK</v>
      </c>
      <c r="D2089" s="122" t="str">
        <f>IFERROR(__xludf.DUMMYFUNCTION("""COMPUTED_VALUE"""),"KickDrop Sneakers")</f>
        <v>KickDrop Sneakers</v>
      </c>
      <c r="E2089" s="122">
        <f>IFERROR(__xludf.DUMMYFUNCTION("""COMPUTED_VALUE"""),172.34)</f>
        <v>172.34</v>
      </c>
      <c r="F2089" s="122">
        <f>IFERROR(__xludf.DUMMYFUNCTION("""COMPUTED_VALUE"""),-0.0075)</f>
        <v>-0.0075</v>
      </c>
    </row>
    <row r="2090">
      <c r="A2090" s="131">
        <f>IFERROR(__xludf.DUMMYFUNCTION("""COMPUTED_VALUE"""),46187.38724537037)</f>
        <v>46187.38725</v>
      </c>
      <c r="B2090" s="126">
        <f>IFERROR(__xludf.DUMMYFUNCTION("""COMPUTED_VALUE"""),46187.0)</f>
        <v>46187</v>
      </c>
      <c r="C2090" s="122" t="str">
        <f>IFERROR(__xludf.DUMMYFUNCTION("""COMPUTED_VALUE"""),"GLAM")</f>
        <v>GLAM</v>
      </c>
      <c r="D2090" s="122" t="str">
        <f>IFERROR(__xludf.DUMMYFUNCTION("""COMPUTED_VALUE"""),"Glow Cosmetics")</f>
        <v>Glow Cosmetics</v>
      </c>
      <c r="E2090" s="122">
        <f>IFERROR(__xludf.DUMMYFUNCTION("""COMPUTED_VALUE"""),94.95)</f>
        <v>94.95</v>
      </c>
      <c r="F2090" s="122">
        <f>IFERROR(__xludf.DUMMYFUNCTION("""COMPUTED_VALUE"""),-0.0054)</f>
        <v>-0.0054</v>
      </c>
    </row>
    <row r="2091">
      <c r="A2091" s="131">
        <f>IFERROR(__xludf.DUMMYFUNCTION("""COMPUTED_VALUE"""),46187.38724537037)</f>
        <v>46187.38725</v>
      </c>
      <c r="B2091" s="126">
        <f>IFERROR(__xludf.DUMMYFUNCTION("""COMPUTED_VALUE"""),46187.0)</f>
        <v>46187</v>
      </c>
      <c r="C2091" s="122" t="str">
        <f>IFERROR(__xludf.DUMMYFUNCTION("""COMPUTED_VALUE"""),"BAGG")</f>
        <v>BAGG</v>
      </c>
      <c r="D2091" s="122" t="str">
        <f>IFERROR(__xludf.DUMMYFUNCTION("""COMPUTED_VALUE"""),"BagVault")</f>
        <v>BagVault</v>
      </c>
      <c r="E2091" s="122">
        <f>IFERROR(__xludf.DUMMYFUNCTION("""COMPUTED_VALUE"""),244.82)</f>
        <v>244.82</v>
      </c>
      <c r="F2091" s="122">
        <f>IFERROR(__xludf.DUMMYFUNCTION("""COMPUTED_VALUE"""),-0.0077)</f>
        <v>-0.0077</v>
      </c>
    </row>
    <row r="2092">
      <c r="A2092" s="131">
        <f>IFERROR(__xludf.DUMMYFUNCTION("""COMPUTED_VALUE"""),46187.38724537037)</f>
        <v>46187.38725</v>
      </c>
      <c r="B2092" s="126">
        <f>IFERROR(__xludf.DUMMYFUNCTION("""COMPUTED_VALUE"""),46187.0)</f>
        <v>46187</v>
      </c>
      <c r="C2092" s="122" t="str">
        <f>IFERROR(__xludf.DUMMYFUNCTION("""COMPUTED_VALUE"""),"FAST")</f>
        <v>FAST</v>
      </c>
      <c r="D2092" s="122" t="str">
        <f>IFERROR(__xludf.DUMMYFUNCTION("""COMPUTED_VALUE"""),"Flash Logistics")</f>
        <v>Flash Logistics</v>
      </c>
      <c r="E2092" s="122">
        <f>IFERROR(__xludf.DUMMYFUNCTION("""COMPUTED_VALUE"""),102.02)</f>
        <v>102.02</v>
      </c>
      <c r="F2092" s="122">
        <f>IFERROR(__xludf.DUMMYFUNCTION("""COMPUTED_VALUE"""),0.0054)</f>
        <v>0.0054</v>
      </c>
    </row>
    <row r="2093">
      <c r="A2093" s="131">
        <f>IFERROR(__xludf.DUMMYFUNCTION("""COMPUTED_VALUE"""),46187.38724537037)</f>
        <v>46187.38725</v>
      </c>
      <c r="B2093" s="126">
        <f>IFERROR(__xludf.DUMMYFUNCTION("""COMPUTED_VALUE"""),46187.0)</f>
        <v>46187</v>
      </c>
      <c r="C2093" s="122" t="str">
        <f>IFERROR(__xludf.DUMMYFUNCTION("""COMPUTED_VALUE"""),"SHIP")</f>
        <v>SHIP</v>
      </c>
      <c r="D2093" s="122" t="str">
        <f>IFERROR(__xludf.DUMMYFUNCTION("""COMPUTED_VALUE"""),"Seoul Shipping")</f>
        <v>Seoul Shipping</v>
      </c>
      <c r="E2093" s="122">
        <f>IFERROR(__xludf.DUMMYFUNCTION("""COMPUTED_VALUE"""),117.54)</f>
        <v>117.54</v>
      </c>
      <c r="F2093" s="122">
        <f>IFERROR(__xludf.DUMMYFUNCTION("""COMPUTED_VALUE"""),0.0039)</f>
        <v>0.0039</v>
      </c>
    </row>
    <row r="2094">
      <c r="A2094" s="131">
        <f>IFERROR(__xludf.DUMMYFUNCTION("""COMPUTED_VALUE"""),46187.38724537037)</f>
        <v>46187.38725</v>
      </c>
      <c r="B2094" s="126">
        <f>IFERROR(__xludf.DUMMYFUNCTION("""COMPUTED_VALUE"""),46187.0)</f>
        <v>46187</v>
      </c>
      <c r="C2094" s="122" t="str">
        <f>IFERROR(__xludf.DUMMYFUNCTION("""COMPUTED_VALUE"""),"DRON")</f>
        <v>DRON</v>
      </c>
      <c r="D2094" s="122" t="str">
        <f>IFERROR(__xludf.DUMMYFUNCTION("""COMPUTED_VALUE"""),"DroneDrop")</f>
        <v>DroneDrop</v>
      </c>
      <c r="E2094" s="122">
        <f>IFERROR(__xludf.DUMMYFUNCTION("""COMPUTED_VALUE"""),130.34)</f>
        <v>130.34</v>
      </c>
      <c r="F2094" s="122">
        <f>IFERROR(__xludf.DUMMYFUNCTION("""COMPUTED_VALUE"""),-0.0105)</f>
        <v>-0.0105</v>
      </c>
    </row>
    <row r="2095">
      <c r="A2095" s="131">
        <f>IFERROR(__xludf.DUMMYFUNCTION("""COMPUTED_VALUE"""),46187.38724537037)</f>
        <v>46187.38725</v>
      </c>
      <c r="B2095" s="126">
        <f>IFERROR(__xludf.DUMMYFUNCTION("""COMPUTED_VALUE"""),46187.0)</f>
        <v>46187</v>
      </c>
      <c r="C2095" s="122" t="str">
        <f>IFERROR(__xludf.DUMMYFUNCTION("""COMPUTED_VALUE"""),"RIDE")</f>
        <v>RIDE</v>
      </c>
      <c r="D2095" s="122" t="str">
        <f>IFERROR(__xludf.DUMMYFUNCTION("""COMPUTED_VALUE"""),"QuickRide")</f>
        <v>QuickRide</v>
      </c>
      <c r="E2095" s="122">
        <f>IFERROR(__xludf.DUMMYFUNCTION("""COMPUTED_VALUE"""),97.05)</f>
        <v>97.05</v>
      </c>
      <c r="F2095" s="122">
        <f>IFERROR(__xludf.DUMMYFUNCTION("""COMPUTED_VALUE"""),-0.0076)</f>
        <v>-0.0076</v>
      </c>
    </row>
    <row r="2096">
      <c r="A2096" s="131">
        <f>IFERROR(__xludf.DUMMYFUNCTION("""COMPUTED_VALUE"""),46187.38724537037)</f>
        <v>46187.38725</v>
      </c>
      <c r="B2096" s="126">
        <f>IFERROR(__xludf.DUMMYFUNCTION("""COMPUTED_VALUE"""),46187.0)</f>
        <v>46187</v>
      </c>
      <c r="C2096" s="122" t="str">
        <f>IFERROR(__xludf.DUMMYFUNCTION("""COMPUTED_VALUE"""),"RAIL")</f>
        <v>RAIL</v>
      </c>
      <c r="D2096" s="122" t="str">
        <f>IFERROR(__xludf.DUMMYFUNCTION("""COMPUTED_VALUE"""),"MetroRail Corp")</f>
        <v>MetroRail Corp</v>
      </c>
      <c r="E2096" s="122">
        <f>IFERROR(__xludf.DUMMYFUNCTION("""COMPUTED_VALUE"""),136.09)</f>
        <v>136.09</v>
      </c>
      <c r="F2096" s="122">
        <f>IFERROR(__xludf.DUMMYFUNCTION("""COMPUTED_VALUE"""),-0.0026)</f>
        <v>-0.0026</v>
      </c>
    </row>
    <row r="2097">
      <c r="A2097" s="131">
        <f>IFERROR(__xludf.DUMMYFUNCTION("""COMPUTED_VALUE"""),46187.38724537037)</f>
        <v>46187.38725</v>
      </c>
      <c r="B2097" s="126">
        <f>IFERROR(__xludf.DUMMYFUNCTION("""COMPUTED_VALUE"""),46187.0)</f>
        <v>46187</v>
      </c>
      <c r="C2097" s="122" t="str">
        <f>IFERROR(__xludf.DUMMYFUNCTION("""COMPUTED_VALUE"""),"MEDX")</f>
        <v>MEDX</v>
      </c>
      <c r="D2097" s="122" t="str">
        <f>IFERROR(__xludf.DUMMYFUNCTION("""COMPUTED_VALUE"""),"MediCore")</f>
        <v>MediCore</v>
      </c>
      <c r="E2097" s="122">
        <f>IFERROR(__xludf.DUMMYFUNCTION("""COMPUTED_VALUE"""),137.34)</f>
        <v>137.34</v>
      </c>
      <c r="F2097" s="122">
        <f>IFERROR(__xludf.DUMMYFUNCTION("""COMPUTED_VALUE"""),0.0019)</f>
        <v>0.0019</v>
      </c>
    </row>
    <row r="2098">
      <c r="A2098" s="131">
        <f>IFERROR(__xludf.DUMMYFUNCTION("""COMPUTED_VALUE"""),46187.38724537037)</f>
        <v>46187.38725</v>
      </c>
      <c r="B2098" s="126">
        <f>IFERROR(__xludf.DUMMYFUNCTION("""COMPUTED_VALUE"""),46187.0)</f>
        <v>46187</v>
      </c>
      <c r="C2098" s="122" t="str">
        <f>IFERROR(__xludf.DUMMYFUNCTION("""COMPUTED_VALUE"""),"GYMX")</f>
        <v>GYMX</v>
      </c>
      <c r="D2098" s="122" t="str">
        <f>IFERROR(__xludf.DUMMYFUNCTION("""COMPUTED_VALUE"""),"GymX Fitness")</f>
        <v>GymX Fitness</v>
      </c>
      <c r="E2098" s="122">
        <f>IFERROR(__xludf.DUMMYFUNCTION("""COMPUTED_VALUE"""),86.84)</f>
        <v>86.84</v>
      </c>
      <c r="F2098" s="122">
        <f>IFERROR(__xludf.DUMMYFUNCTION("""COMPUTED_VALUE"""),-0.002)</f>
        <v>-0.002</v>
      </c>
    </row>
    <row r="2099">
      <c r="A2099" s="131">
        <f>IFERROR(__xludf.DUMMYFUNCTION("""COMPUTED_VALUE"""),46187.38724537037)</f>
        <v>46187.38725</v>
      </c>
      <c r="B2099" s="126">
        <f>IFERROR(__xludf.DUMMYFUNCTION("""COMPUTED_VALUE"""),46187.0)</f>
        <v>46187</v>
      </c>
      <c r="C2099" s="122" t="str">
        <f>IFERROR(__xludf.DUMMYFUNCTION("""COMPUTED_VALUE"""),"VITA")</f>
        <v>VITA</v>
      </c>
      <c r="D2099" s="122" t="str">
        <f>IFERROR(__xludf.DUMMYFUNCTION("""COMPUTED_VALUE"""),"VitaPlus")</f>
        <v>VitaPlus</v>
      </c>
      <c r="E2099" s="122">
        <f>IFERROR(__xludf.DUMMYFUNCTION("""COMPUTED_VALUE"""),75.15)</f>
        <v>75.15</v>
      </c>
      <c r="F2099" s="122">
        <f>IFERROR(__xludf.DUMMYFUNCTION("""COMPUTED_VALUE"""),-0.0054)</f>
        <v>-0.0054</v>
      </c>
    </row>
    <row r="2100">
      <c r="A2100" s="131">
        <f>IFERROR(__xludf.DUMMYFUNCTION("""COMPUTED_VALUE"""),46187.38724537037)</f>
        <v>46187.38725</v>
      </c>
      <c r="B2100" s="126">
        <f>IFERROR(__xludf.DUMMYFUNCTION("""COMPUTED_VALUE"""),46187.0)</f>
        <v>46187</v>
      </c>
      <c r="C2100" s="122" t="str">
        <f>IFERROR(__xludf.DUMMYFUNCTION("""COMPUTED_VALUE"""),"CARE")</f>
        <v>CARE</v>
      </c>
      <c r="D2100" s="122" t="str">
        <f>IFERROR(__xludf.DUMMYFUNCTION("""COMPUTED_VALUE"""),"CareCloud")</f>
        <v>CareCloud</v>
      </c>
      <c r="E2100" s="122">
        <f>IFERROR(__xludf.DUMMYFUNCTION("""COMPUTED_VALUE"""),180.45)</f>
        <v>180.45</v>
      </c>
      <c r="F2100" s="122">
        <f>IFERROR(__xludf.DUMMYFUNCTION("""COMPUTED_VALUE"""),-0.004)</f>
        <v>-0.004</v>
      </c>
    </row>
    <row r="2101">
      <c r="A2101" s="131">
        <f>IFERROR(__xludf.DUMMYFUNCTION("""COMPUTED_VALUE"""),46187.38724537037)</f>
        <v>46187.38725</v>
      </c>
      <c r="B2101" s="126">
        <f>IFERROR(__xludf.DUMMYFUNCTION("""COMPUTED_VALUE"""),46187.0)</f>
        <v>46187</v>
      </c>
      <c r="C2101" s="122" t="str">
        <f>IFERROR(__xludf.DUMMYFUNCTION("""COMPUTED_VALUE"""),"DENT")</f>
        <v>DENT</v>
      </c>
      <c r="D2101" s="122" t="str">
        <f>IFERROR(__xludf.DUMMYFUNCTION("""COMPUTED_VALUE"""),"SmileWorks")</f>
        <v>SmileWorks</v>
      </c>
      <c r="E2101" s="122">
        <f>IFERROR(__xludf.DUMMYFUNCTION("""COMPUTED_VALUE"""),82.38)</f>
        <v>82.38</v>
      </c>
      <c r="F2101" s="122">
        <f>IFERROR(__xludf.DUMMYFUNCTION("""COMPUTED_VALUE"""),-0.0025)</f>
        <v>-0.0025</v>
      </c>
    </row>
    <row r="2102">
      <c r="A2102" s="131">
        <f>IFERROR(__xludf.DUMMYFUNCTION("""COMPUTED_VALUE"""),46187.38724537037)</f>
        <v>46187.38725</v>
      </c>
      <c r="B2102" s="126">
        <f>IFERROR(__xludf.DUMMYFUNCTION("""COMPUTED_VALUE"""),46187.0)</f>
        <v>46187</v>
      </c>
      <c r="C2102" s="122" t="str">
        <f>IFERROR(__xludf.DUMMYFUNCTION("""COMPUTED_VALUE"""),"EDUX")</f>
        <v>EDUX</v>
      </c>
      <c r="D2102" s="122" t="str">
        <f>IFERROR(__xludf.DUMMYFUNCTION("""COMPUTED_VALUE"""),"EduMax Learning")</f>
        <v>EduMax Learning</v>
      </c>
      <c r="E2102" s="122">
        <f>IFERROR(__xludf.DUMMYFUNCTION("""COMPUTED_VALUE"""),131.21)</f>
        <v>131.21</v>
      </c>
      <c r="F2102" s="122">
        <f>IFERROR(__xludf.DUMMYFUNCTION("""COMPUTED_VALUE"""),-0.0044)</f>
        <v>-0.0044</v>
      </c>
    </row>
    <row r="2103">
      <c r="A2103" s="131">
        <f>IFERROR(__xludf.DUMMYFUNCTION("""COMPUTED_VALUE"""),46187.38724537037)</f>
        <v>46187.38725</v>
      </c>
      <c r="B2103" s="126">
        <f>IFERROR(__xludf.DUMMYFUNCTION("""COMPUTED_VALUE"""),46187.0)</f>
        <v>46187</v>
      </c>
      <c r="C2103" s="122" t="str">
        <f>IFERROR(__xludf.DUMMYFUNCTION("""COMPUTED_VALUE"""),"BOOK")</f>
        <v>BOOK</v>
      </c>
      <c r="D2103" s="122" t="str">
        <f>IFERROR(__xludf.DUMMYFUNCTION("""COMPUTED_VALUE"""),"BookBridge")</f>
        <v>BookBridge</v>
      </c>
      <c r="E2103" s="122">
        <f>IFERROR(__xludf.DUMMYFUNCTION("""COMPUTED_VALUE"""),113.67)</f>
        <v>113.67</v>
      </c>
      <c r="F2103" s="122">
        <f>IFERROR(__xludf.DUMMYFUNCTION("""COMPUTED_VALUE"""),0.003)</f>
        <v>0.003</v>
      </c>
    </row>
    <row r="2104">
      <c r="A2104" s="131">
        <f>IFERROR(__xludf.DUMMYFUNCTION("""COMPUTED_VALUE"""),46187.38724537037)</f>
        <v>46187.38725</v>
      </c>
      <c r="B2104" s="126">
        <f>IFERROR(__xludf.DUMMYFUNCTION("""COMPUTED_VALUE"""),46187.0)</f>
        <v>46187</v>
      </c>
      <c r="C2104" s="122" t="str">
        <f>IFERROR(__xludf.DUMMYFUNCTION("""COMPUTED_VALUE"""),"TUTR")</f>
        <v>TUTR</v>
      </c>
      <c r="D2104" s="122" t="str">
        <f>IFERROR(__xludf.DUMMYFUNCTION("""COMPUTED_VALUE"""),"TutorTown")</f>
        <v>TutorTown</v>
      </c>
      <c r="E2104" s="122">
        <f>IFERROR(__xludf.DUMMYFUNCTION("""COMPUTED_VALUE"""),89.39)</f>
        <v>89.39</v>
      </c>
      <c r="F2104" s="122">
        <f>IFERROR(__xludf.DUMMYFUNCTION("""COMPUTED_VALUE"""),0.003)</f>
        <v>0.003</v>
      </c>
    </row>
    <row r="2105">
      <c r="A2105" s="131">
        <f>IFERROR(__xludf.DUMMYFUNCTION("""COMPUTED_VALUE"""),46187.38724537037)</f>
        <v>46187.38725</v>
      </c>
      <c r="B2105" s="126">
        <f>IFERROR(__xludf.DUMMYFUNCTION("""COMPUTED_VALUE"""),46187.0)</f>
        <v>46187</v>
      </c>
      <c r="C2105" s="122" t="str">
        <f>IFERROR(__xludf.DUMMYFUNCTION("""COMPUTED_VALUE"""),"LANG")</f>
        <v>LANG</v>
      </c>
      <c r="D2105" s="122" t="str">
        <f>IFERROR(__xludf.DUMMYFUNCTION("""COMPUTED_VALUE"""),"LinguaLab")</f>
        <v>LinguaLab</v>
      </c>
      <c r="E2105" s="122">
        <f>IFERROR(__xludf.DUMMYFUNCTION("""COMPUTED_VALUE"""),95.97)</f>
        <v>95.97</v>
      </c>
      <c r="F2105" s="122">
        <f>IFERROR(__xludf.DUMMYFUNCTION("""COMPUTED_VALUE"""),-0.0033)</f>
        <v>-0.0033</v>
      </c>
    </row>
    <row r="2106">
      <c r="A2106" s="131">
        <f>IFERROR(__xludf.DUMMYFUNCTION("""COMPUTED_VALUE"""),46187.38724537037)</f>
        <v>46187.38725</v>
      </c>
      <c r="B2106" s="126">
        <f>IFERROR(__xludf.DUMMYFUNCTION("""COMPUTED_VALUE"""),46187.0)</f>
        <v>46187</v>
      </c>
      <c r="C2106" s="122" t="str">
        <f>IFERROR(__xludf.DUMMYFUNCTION("""COMPUTED_VALUE"""),"TEST")</f>
        <v>TEST</v>
      </c>
      <c r="D2106" s="122" t="str">
        <f>IFERROR(__xludf.DUMMYFUNCTION("""COMPUTED_VALUE"""),"TestPrep Pro")</f>
        <v>TestPrep Pro</v>
      </c>
      <c r="E2106" s="122">
        <f>IFERROR(__xludf.DUMMYFUNCTION("""COMPUTED_VALUE"""),101.6)</f>
        <v>101.6</v>
      </c>
      <c r="F2106" s="122">
        <f>IFERROR(__xludf.DUMMYFUNCTION("""COMPUTED_VALUE"""),-0.0074)</f>
        <v>-0.0074</v>
      </c>
    </row>
    <row r="2107">
      <c r="A2107" s="131">
        <f>IFERROR(__xludf.DUMMYFUNCTION("""COMPUTED_VALUE"""),46187.38724537037)</f>
        <v>46187.38725</v>
      </c>
      <c r="B2107" s="126">
        <f>IFERROR(__xludf.DUMMYFUNCTION("""COMPUTED_VALUE"""),46187.0)</f>
        <v>46187</v>
      </c>
      <c r="C2107" s="122" t="str">
        <f>IFERROR(__xludf.DUMMYFUNCTION("""COMPUTED_VALUE"""),"MOVI")</f>
        <v>MOVI</v>
      </c>
      <c r="D2107" s="122" t="str">
        <f>IFERROR(__xludf.DUMMYFUNCTION("""COMPUTED_VALUE"""),"MovieBox")</f>
        <v>MovieBox</v>
      </c>
      <c r="E2107" s="122">
        <f>IFERROR(__xludf.DUMMYFUNCTION("""COMPUTED_VALUE"""),81.37)</f>
        <v>81.37</v>
      </c>
      <c r="F2107" s="122">
        <f>IFERROR(__xludf.DUMMYFUNCTION("""COMPUTED_VALUE"""),-0.0063)</f>
        <v>-0.0063</v>
      </c>
    </row>
    <row r="2108">
      <c r="A2108" s="131">
        <f>IFERROR(__xludf.DUMMYFUNCTION("""COMPUTED_VALUE"""),46187.38724537037)</f>
        <v>46187.38725</v>
      </c>
      <c r="B2108" s="126">
        <f>IFERROR(__xludf.DUMMYFUNCTION("""COMPUTED_VALUE"""),46187.0)</f>
        <v>46187</v>
      </c>
      <c r="C2108" s="122" t="str">
        <f>IFERROR(__xludf.DUMMYFUNCTION("""COMPUTED_VALUE"""),"MUSC")</f>
        <v>MUSC</v>
      </c>
      <c r="D2108" s="122" t="str">
        <f>IFERROR(__xludf.DUMMYFUNCTION("""COMPUTED_VALUE"""),"MusicWave")</f>
        <v>MusicWave</v>
      </c>
      <c r="E2108" s="122">
        <f>IFERROR(__xludf.DUMMYFUNCTION("""COMPUTED_VALUE"""),96.21)</f>
        <v>96.21</v>
      </c>
      <c r="F2108" s="122">
        <f>IFERROR(__xludf.DUMMYFUNCTION("""COMPUTED_VALUE"""),-0.0071)</f>
        <v>-0.0071</v>
      </c>
    </row>
    <row r="2109">
      <c r="A2109" s="131">
        <f>IFERROR(__xludf.DUMMYFUNCTION("""COMPUTED_VALUE"""),46187.38724537037)</f>
        <v>46187.38725</v>
      </c>
      <c r="B2109" s="126">
        <f>IFERROR(__xludf.DUMMYFUNCTION("""COMPUTED_VALUE"""),46187.0)</f>
        <v>46187</v>
      </c>
      <c r="C2109" s="122" t="str">
        <f>IFERROR(__xludf.DUMMYFUNCTION("""COMPUTED_VALUE"""),"IDOL")</f>
        <v>IDOL</v>
      </c>
      <c r="D2109" s="122" t="str">
        <f>IFERROR(__xludf.DUMMYFUNCTION("""COMPUTED_VALUE"""),"Idol Agency")</f>
        <v>Idol Agency</v>
      </c>
      <c r="E2109" s="122">
        <f>IFERROR(__xludf.DUMMYFUNCTION("""COMPUTED_VALUE"""),198.76)</f>
        <v>198.76</v>
      </c>
      <c r="F2109" s="122">
        <f>IFERROR(__xludf.DUMMYFUNCTION("""COMPUTED_VALUE"""),0.0052)</f>
        <v>0.0052</v>
      </c>
    </row>
    <row r="2110">
      <c r="A2110" s="131">
        <f>IFERROR(__xludf.DUMMYFUNCTION("""COMPUTED_VALUE"""),46187.38724537037)</f>
        <v>46187.38725</v>
      </c>
      <c r="B2110" s="126">
        <f>IFERROR(__xludf.DUMMYFUNCTION("""COMPUTED_VALUE"""),46187.0)</f>
        <v>46187</v>
      </c>
      <c r="C2110" s="122" t="str">
        <f>IFERROR(__xludf.DUMMYFUNCTION("""COMPUTED_VALUE"""),"MEME")</f>
        <v>MEME</v>
      </c>
      <c r="D2110" s="122" t="str">
        <f>IFERROR(__xludf.DUMMYFUNCTION("""COMPUTED_VALUE"""),"Meme Media")</f>
        <v>Meme Media</v>
      </c>
      <c r="E2110" s="122">
        <f>IFERROR(__xludf.DUMMYFUNCTION("""COMPUTED_VALUE"""),79.28)</f>
        <v>79.28</v>
      </c>
      <c r="F2110" s="122">
        <f>IFERROR(__xludf.DUMMYFUNCTION("""COMPUTED_VALUE"""),0.0139)</f>
        <v>0.0139</v>
      </c>
    </row>
    <row r="2111">
      <c r="A2111" s="131">
        <f>IFERROR(__xludf.DUMMYFUNCTION("""COMPUTED_VALUE"""),46187.38724537037)</f>
        <v>46187.38725</v>
      </c>
      <c r="B2111" s="126">
        <f>IFERROR(__xludf.DUMMYFUNCTION("""COMPUTED_VALUE"""),46187.0)</f>
        <v>46187</v>
      </c>
      <c r="C2111" s="122" t="str">
        <f>IFERROR(__xludf.DUMMYFUNCTION("""COMPUTED_VALUE"""),"STRM")</f>
        <v>STRM</v>
      </c>
      <c r="D2111" s="122" t="str">
        <f>IFERROR(__xludf.DUMMYFUNCTION("""COMPUTED_VALUE"""),"Streamly")</f>
        <v>Streamly</v>
      </c>
      <c r="E2111" s="122">
        <f>IFERROR(__xludf.DUMMYFUNCTION("""COMPUTED_VALUE"""),133.55)</f>
        <v>133.55</v>
      </c>
      <c r="F2111" s="122">
        <f>IFERROR(__xludf.DUMMYFUNCTION("""COMPUTED_VALUE"""),0.0034)</f>
        <v>0.0034</v>
      </c>
    </row>
    <row r="2112">
      <c r="A2112" s="131">
        <f>IFERROR(__xludf.DUMMYFUNCTION("""COMPUTED_VALUE"""),46187.38724537037)</f>
        <v>46187.38725</v>
      </c>
      <c r="B2112" s="126">
        <f>IFERROR(__xludf.DUMMYFUNCTION("""COMPUTED_VALUE"""),46187.0)</f>
        <v>46187</v>
      </c>
      <c r="C2112" s="122" t="str">
        <f>IFERROR(__xludf.DUMMYFUNCTION("""COMPUTED_VALUE"""),"FARM")</f>
        <v>FARM</v>
      </c>
      <c r="D2112" s="122" t="str">
        <f>IFERROR(__xludf.DUMMYFUNCTION("""COMPUTED_VALUE"""),"Future Farms")</f>
        <v>Future Farms</v>
      </c>
      <c r="E2112" s="122">
        <f>IFERROR(__xludf.DUMMYFUNCTION("""COMPUTED_VALUE"""),81.2)</f>
        <v>81.2</v>
      </c>
      <c r="F2112" s="122">
        <f>IFERROR(__xludf.DUMMYFUNCTION("""COMPUTED_VALUE"""),0.0015)</f>
        <v>0.0015</v>
      </c>
    </row>
    <row r="2113">
      <c r="A2113" s="131">
        <f>IFERROR(__xludf.DUMMYFUNCTION("""COMPUTED_VALUE"""),46187.38724537037)</f>
        <v>46187.38725</v>
      </c>
      <c r="B2113" s="126">
        <f>IFERROR(__xludf.DUMMYFUNCTION("""COMPUTED_VALUE"""),46187.0)</f>
        <v>46187</v>
      </c>
      <c r="C2113" s="122" t="str">
        <f>IFERROR(__xludf.DUMMYFUNCTION("""COMPUTED_VALUE"""),"MEAT")</f>
        <v>MEAT</v>
      </c>
      <c r="D2113" s="122" t="str">
        <f>IFERROR(__xludf.DUMMYFUNCTION("""COMPUTED_VALUE"""),"MeatWorks")</f>
        <v>MeatWorks</v>
      </c>
      <c r="E2113" s="122">
        <f>IFERROR(__xludf.DUMMYFUNCTION("""COMPUTED_VALUE"""),102.78)</f>
        <v>102.78</v>
      </c>
      <c r="F2113" s="122">
        <f>IFERROR(__xludf.DUMMYFUNCTION("""COMPUTED_VALUE"""),0.0012)</f>
        <v>0.0012</v>
      </c>
    </row>
    <row r="2114">
      <c r="A2114" s="131">
        <f>IFERROR(__xludf.DUMMYFUNCTION("""COMPUTED_VALUE"""),46187.38724537037)</f>
        <v>46187.38725</v>
      </c>
      <c r="B2114" s="126">
        <f>IFERROR(__xludf.DUMMYFUNCTION("""COMPUTED_VALUE"""),46187.0)</f>
        <v>46187</v>
      </c>
      <c r="C2114" s="122" t="str">
        <f>IFERROR(__xludf.DUMMYFUNCTION("""COMPUTED_VALUE"""),"VEGI")</f>
        <v>VEGI</v>
      </c>
      <c r="D2114" s="122" t="str">
        <f>IFERROR(__xludf.DUMMYFUNCTION("""COMPUTED_VALUE"""),"Green Basket")</f>
        <v>Green Basket</v>
      </c>
      <c r="E2114" s="122">
        <f>IFERROR(__xludf.DUMMYFUNCTION("""COMPUTED_VALUE"""),82.4)</f>
        <v>82.4</v>
      </c>
      <c r="F2114" s="122">
        <f>IFERROR(__xludf.DUMMYFUNCTION("""COMPUTED_VALUE"""),0.0023)</f>
        <v>0.0023</v>
      </c>
    </row>
    <row r="2115">
      <c r="A2115" s="131">
        <f>IFERROR(__xludf.DUMMYFUNCTION("""COMPUTED_VALUE"""),46187.38724537037)</f>
        <v>46187.38725</v>
      </c>
      <c r="B2115" s="126">
        <f>IFERROR(__xludf.DUMMYFUNCTION("""COMPUTED_VALUE"""),46187.0)</f>
        <v>46187</v>
      </c>
      <c r="C2115" s="122" t="str">
        <f>IFERROR(__xludf.DUMMYFUNCTION("""COMPUTED_VALUE"""),"CAFE")</f>
        <v>CAFE</v>
      </c>
      <c r="D2115" s="122" t="str">
        <f>IFERROR(__xludf.DUMMYFUNCTION("""COMPUTED_VALUE"""),"Cafe Cloud")</f>
        <v>Cafe Cloud</v>
      </c>
      <c r="E2115" s="122">
        <f>IFERROR(__xludf.DUMMYFUNCTION("""COMPUTED_VALUE"""),99.24)</f>
        <v>99.24</v>
      </c>
      <c r="F2115" s="122">
        <f>IFERROR(__xludf.DUMMYFUNCTION("""COMPUTED_VALUE"""),-0.0024)</f>
        <v>-0.0024</v>
      </c>
    </row>
    <row r="2116">
      <c r="A2116" s="131">
        <f>IFERROR(__xludf.DUMMYFUNCTION("""COMPUTED_VALUE"""),46187.38724537037)</f>
        <v>46187.38725</v>
      </c>
      <c r="B2116" s="126">
        <f>IFERROR(__xludf.DUMMYFUNCTION("""COMPUTED_VALUE"""),46187.0)</f>
        <v>46187</v>
      </c>
      <c r="C2116" s="122" t="str">
        <f>IFERROR(__xludf.DUMMYFUNCTION("""COMPUTED_VALUE"""),"BAKE")</f>
        <v>BAKE</v>
      </c>
      <c r="D2116" s="122" t="str">
        <f>IFERROR(__xludf.DUMMYFUNCTION("""COMPUTED_VALUE"""),"BakeHouse")</f>
        <v>BakeHouse</v>
      </c>
      <c r="E2116" s="122">
        <f>IFERROR(__xludf.DUMMYFUNCTION("""COMPUTED_VALUE"""),99.73)</f>
        <v>99.73</v>
      </c>
      <c r="F2116" s="122">
        <f>IFERROR(__xludf.DUMMYFUNCTION("""COMPUTED_VALUE"""),0.0022)</f>
        <v>0.0022</v>
      </c>
    </row>
    <row r="2117">
      <c r="A2117" s="131">
        <f>IFERROR(__xludf.DUMMYFUNCTION("""COMPUTED_VALUE"""),46187.38724537037)</f>
        <v>46187.38725</v>
      </c>
      <c r="B2117" s="126">
        <f>IFERROR(__xludf.DUMMYFUNCTION("""COMPUTED_VALUE"""),46187.0)</f>
        <v>46187</v>
      </c>
      <c r="C2117" s="122" t="str">
        <f>IFERROR(__xludf.DUMMYFUNCTION("""COMPUTED_VALUE"""),"OILX")</f>
        <v>OILX</v>
      </c>
      <c r="D2117" s="122" t="str">
        <f>IFERROR(__xludf.DUMMYFUNCTION("""COMPUTED_VALUE"""),"OilMax Energy")</f>
        <v>OilMax Energy</v>
      </c>
      <c r="E2117" s="122">
        <f>IFERROR(__xludf.DUMMYFUNCTION("""COMPUTED_VALUE"""),128.49)</f>
        <v>128.49</v>
      </c>
      <c r="F2117" s="122">
        <f>IFERROR(__xludf.DUMMYFUNCTION("""COMPUTED_VALUE"""),0.007)</f>
        <v>0.007</v>
      </c>
    </row>
    <row r="2118">
      <c r="A2118" s="131">
        <f>IFERROR(__xludf.DUMMYFUNCTION("""COMPUTED_VALUE"""),46187.38724537037)</f>
        <v>46187.38725</v>
      </c>
      <c r="B2118" s="126">
        <f>IFERROR(__xludf.DUMMYFUNCTION("""COMPUTED_VALUE"""),46187.0)</f>
        <v>46187</v>
      </c>
      <c r="C2118" s="122" t="str">
        <f>IFERROR(__xludf.DUMMYFUNCTION("""COMPUTED_VALUE"""),"SOLR")</f>
        <v>SOLR</v>
      </c>
      <c r="D2118" s="122" t="str">
        <f>IFERROR(__xludf.DUMMYFUNCTION("""COMPUTED_VALUE"""),"SolarSpark")</f>
        <v>SolarSpark</v>
      </c>
      <c r="E2118" s="122">
        <f>IFERROR(__xludf.DUMMYFUNCTION("""COMPUTED_VALUE"""),86.88)</f>
        <v>86.88</v>
      </c>
      <c r="F2118" s="122">
        <f>IFERROR(__xludf.DUMMYFUNCTION("""COMPUTED_VALUE"""),0.0046)</f>
        <v>0.0046</v>
      </c>
    </row>
    <row r="2119">
      <c r="A2119" s="131">
        <f>IFERROR(__xludf.DUMMYFUNCTION("""COMPUTED_VALUE"""),46187.38724537037)</f>
        <v>46187.38725</v>
      </c>
      <c r="B2119" s="126">
        <f>IFERROR(__xludf.DUMMYFUNCTION("""COMPUTED_VALUE"""),46187.0)</f>
        <v>46187</v>
      </c>
      <c r="C2119" s="122" t="str">
        <f>IFERROR(__xludf.DUMMYFUNCTION("""COMPUTED_VALUE"""),"BATT")</f>
        <v>BATT</v>
      </c>
      <c r="D2119" s="122" t="str">
        <f>IFERROR(__xludf.DUMMYFUNCTION("""COMPUTED_VALUE"""),"BatteryBox")</f>
        <v>BatteryBox</v>
      </c>
      <c r="E2119" s="122">
        <f>IFERROR(__xludf.DUMMYFUNCTION("""COMPUTED_VALUE"""),120.14)</f>
        <v>120.14</v>
      </c>
      <c r="F2119" s="122">
        <f>IFERROR(__xludf.DUMMYFUNCTION("""COMPUTED_VALUE"""),0.0054)</f>
        <v>0.0054</v>
      </c>
    </row>
    <row r="2120">
      <c r="A2120" s="131">
        <f>IFERROR(__xludf.DUMMYFUNCTION("""COMPUTED_VALUE"""),46187.38724537037)</f>
        <v>46187.38725</v>
      </c>
      <c r="B2120" s="126">
        <f>IFERROR(__xludf.DUMMYFUNCTION("""COMPUTED_VALUE"""),46187.0)</f>
        <v>46187</v>
      </c>
      <c r="C2120" s="122" t="str">
        <f>IFERROR(__xludf.DUMMYFUNCTION("""COMPUTED_VALUE"""),"WIND")</f>
        <v>WIND</v>
      </c>
      <c r="D2120" s="122" t="str">
        <f>IFERROR(__xludf.DUMMYFUNCTION("""COMPUTED_VALUE"""),"WindWorks")</f>
        <v>WindWorks</v>
      </c>
      <c r="E2120" s="122">
        <f>IFERROR(__xludf.DUMMYFUNCTION("""COMPUTED_VALUE"""),87.63)</f>
        <v>87.63</v>
      </c>
      <c r="F2120" s="122">
        <f>IFERROR(__xludf.DUMMYFUNCTION("""COMPUTED_VALUE"""),-0.0047)</f>
        <v>-0.0047</v>
      </c>
    </row>
    <row r="2121">
      <c r="A2121" s="131">
        <f>IFERROR(__xludf.DUMMYFUNCTION("""COMPUTED_VALUE"""),46187.38724537037)</f>
        <v>46187.38725</v>
      </c>
      <c r="B2121" s="126">
        <f>IFERROR(__xludf.DUMMYFUNCTION("""COMPUTED_VALUE"""),46187.0)</f>
        <v>46187</v>
      </c>
      <c r="C2121" s="122" t="str">
        <f>IFERROR(__xludf.DUMMYFUNCTION("""COMPUTED_VALUE"""),"GRID")</f>
        <v>GRID</v>
      </c>
      <c r="D2121" s="122" t="str">
        <f>IFERROR(__xludf.DUMMYFUNCTION("""COMPUTED_VALUE"""),"GridPower")</f>
        <v>GridPower</v>
      </c>
      <c r="E2121" s="122">
        <f>IFERROR(__xludf.DUMMYFUNCTION("""COMPUTED_VALUE"""),145.04)</f>
        <v>145.04</v>
      </c>
      <c r="F2121" s="122">
        <f>IFERROR(__xludf.DUMMYFUNCTION("""COMPUTED_VALUE"""),0.0014)</f>
        <v>0.0014</v>
      </c>
    </row>
    <row r="2122">
      <c r="A2122" s="131">
        <f>IFERROR(__xludf.DUMMYFUNCTION("""COMPUTED_VALUE"""),46187.38724537037)</f>
        <v>46187.38725</v>
      </c>
      <c r="B2122" s="126">
        <f>IFERROR(__xludf.DUMMYFUNCTION("""COMPUTED_VALUE"""),46187.0)</f>
        <v>46187</v>
      </c>
      <c r="C2122" s="122" t="str">
        <f>IFERROR(__xludf.DUMMYFUNCTION("""COMPUTED_VALUE"""),"HOME")</f>
        <v>HOME</v>
      </c>
      <c r="D2122" s="122" t="str">
        <f>IFERROR(__xludf.DUMMYFUNCTION("""COMPUTED_VALUE"""),"HomeHub")</f>
        <v>HomeHub</v>
      </c>
      <c r="E2122" s="122">
        <f>IFERROR(__xludf.DUMMYFUNCTION("""COMPUTED_VALUE"""),148.08)</f>
        <v>148.08</v>
      </c>
      <c r="F2122" s="122">
        <f>IFERROR(__xludf.DUMMYFUNCTION("""COMPUTED_VALUE"""),0.0039)</f>
        <v>0.0039</v>
      </c>
    </row>
    <row r="2123">
      <c r="A2123" s="131">
        <f>IFERROR(__xludf.DUMMYFUNCTION("""COMPUTED_VALUE"""),46187.38724537037)</f>
        <v>46187.38725</v>
      </c>
      <c r="B2123" s="126">
        <f>IFERROR(__xludf.DUMMYFUNCTION("""COMPUTED_VALUE"""),46187.0)</f>
        <v>46187</v>
      </c>
      <c r="C2123" s="122" t="str">
        <f>IFERROR(__xludf.DUMMYFUNCTION("""COMPUTED_VALUE"""),"RENT")</f>
        <v>RENT</v>
      </c>
      <c r="D2123" s="122" t="str">
        <f>IFERROR(__xludf.DUMMYFUNCTION("""COMPUTED_VALUE"""),"RentRight")</f>
        <v>RentRight</v>
      </c>
      <c r="E2123" s="122">
        <f>IFERROR(__xludf.DUMMYFUNCTION("""COMPUTED_VALUE"""),91.06)</f>
        <v>91.06</v>
      </c>
      <c r="F2123" s="122">
        <f>IFERROR(__xludf.DUMMYFUNCTION("""COMPUTED_VALUE"""),-0.0047)</f>
        <v>-0.0047</v>
      </c>
    </row>
    <row r="2124">
      <c r="A2124" s="131">
        <f>IFERROR(__xludf.DUMMYFUNCTION("""COMPUTED_VALUE"""),46187.38724537037)</f>
        <v>46187.38725</v>
      </c>
      <c r="B2124" s="126">
        <f>IFERROR(__xludf.DUMMYFUNCTION("""COMPUTED_VALUE"""),46187.0)</f>
        <v>46187</v>
      </c>
      <c r="C2124" s="122" t="str">
        <f>IFERROR(__xludf.DUMMYFUNCTION("""COMPUTED_VALUE"""),"MALL")</f>
        <v>MALL</v>
      </c>
      <c r="D2124" s="122" t="str">
        <f>IFERROR(__xludf.DUMMYFUNCTION("""COMPUTED_VALUE"""),"MegaMall")</f>
        <v>MegaMall</v>
      </c>
      <c r="E2124" s="122">
        <f>IFERROR(__xludf.DUMMYFUNCTION("""COMPUTED_VALUE"""),98.84)</f>
        <v>98.84</v>
      </c>
      <c r="F2124" s="122">
        <f>IFERROR(__xludf.DUMMYFUNCTION("""COMPUTED_VALUE"""),0.0036)</f>
        <v>0.0036</v>
      </c>
    </row>
    <row r="2125">
      <c r="A2125" s="131">
        <f>IFERROR(__xludf.DUMMYFUNCTION("""COMPUTED_VALUE"""),46187.38724537037)</f>
        <v>46187.38725</v>
      </c>
      <c r="B2125" s="126">
        <f>IFERROR(__xludf.DUMMYFUNCTION("""COMPUTED_VALUE"""),46187.0)</f>
        <v>46187</v>
      </c>
      <c r="C2125" s="122" t="str">
        <f>IFERROR(__xludf.DUMMYFUNCTION("""COMPUTED_VALUE"""),"HOTL")</f>
        <v>HOTL</v>
      </c>
      <c r="D2125" s="122" t="str">
        <f>IFERROR(__xludf.DUMMYFUNCTION("""COMPUTED_VALUE"""),"HotelHive")</f>
        <v>HotelHive</v>
      </c>
      <c r="E2125" s="122">
        <f>IFERROR(__xludf.DUMMYFUNCTION("""COMPUTED_VALUE"""),133.15)</f>
        <v>133.15</v>
      </c>
      <c r="F2125" s="122">
        <f>IFERROR(__xludf.DUMMYFUNCTION("""COMPUTED_VALUE"""),0.0037)</f>
        <v>0.0037</v>
      </c>
    </row>
    <row r="2126">
      <c r="A2126" s="131">
        <f>IFERROR(__xludf.DUMMYFUNCTION("""COMPUTED_VALUE"""),46187.38724537037)</f>
        <v>46187.38725</v>
      </c>
      <c r="B2126" s="126">
        <f>IFERROR(__xludf.DUMMYFUNCTION("""COMPUTED_VALUE"""),46187.0)</f>
        <v>46187</v>
      </c>
      <c r="C2126" s="122" t="str">
        <f>IFERROR(__xludf.DUMMYFUNCTION("""COMPUTED_VALUE"""),"LAND")</f>
        <v>LAND</v>
      </c>
      <c r="D2126" s="122" t="str">
        <f>IFERROR(__xludf.DUMMYFUNCTION("""COMPUTED_VALUE"""),"LandLink")</f>
        <v>LandLink</v>
      </c>
      <c r="E2126" s="122">
        <f>IFERROR(__xludf.DUMMYFUNCTION("""COMPUTED_VALUE"""),183.34)</f>
        <v>183.34</v>
      </c>
      <c r="F2126" s="122">
        <f>IFERROR(__xludf.DUMMYFUNCTION("""COMPUTED_VALUE"""),0.0025)</f>
        <v>0.0025</v>
      </c>
    </row>
    <row r="2127">
      <c r="A2127" s="131">
        <f>IFERROR(__xludf.DUMMYFUNCTION("""COMPUTED_VALUE"""),46187.38724537037)</f>
        <v>46187.38725</v>
      </c>
      <c r="B2127" s="126">
        <f>IFERROR(__xludf.DUMMYFUNCTION("""COMPUTED_VALUE"""),46187.0)</f>
        <v>46187</v>
      </c>
      <c r="C2127" s="122" t="str">
        <f>IFERROR(__xludf.DUMMYFUNCTION("""COMPUTED_VALUE"""),"CARS")</f>
        <v>CARS</v>
      </c>
      <c r="D2127" s="122" t="str">
        <f>IFERROR(__xludf.DUMMYFUNCTION("""COMPUTED_VALUE"""),"AutoArena")</f>
        <v>AutoArena</v>
      </c>
      <c r="E2127" s="122">
        <f>IFERROR(__xludf.DUMMYFUNCTION("""COMPUTED_VALUE"""),79.43)</f>
        <v>79.43</v>
      </c>
      <c r="F2127" s="122">
        <f>IFERROR(__xludf.DUMMYFUNCTION("""COMPUTED_VALUE"""),8.0E-4)</f>
        <v>0.0008</v>
      </c>
    </row>
    <row r="2128">
      <c r="A2128" s="131">
        <f>IFERROR(__xludf.DUMMYFUNCTION("""COMPUTED_VALUE"""),46187.38724537037)</f>
        <v>46187.38725</v>
      </c>
      <c r="B2128" s="126">
        <f>IFERROR(__xludf.DUMMYFUNCTION("""COMPUTED_VALUE"""),46187.0)</f>
        <v>46187</v>
      </c>
      <c r="C2128" s="122" t="str">
        <f>IFERROR(__xludf.DUMMYFUNCTION("""COMPUTED_VALUE"""),"EVGO")</f>
        <v>EVGO</v>
      </c>
      <c r="D2128" s="122" t="str">
        <f>IFERROR(__xludf.DUMMYFUNCTION("""COMPUTED_VALUE"""),"EVGo Motors")</f>
        <v>EVGo Motors</v>
      </c>
      <c r="E2128" s="122">
        <f>IFERROR(__xludf.DUMMYFUNCTION("""COMPUTED_VALUE"""),196.32)</f>
        <v>196.32</v>
      </c>
      <c r="F2128" s="122">
        <f>IFERROR(__xludf.DUMMYFUNCTION("""COMPUTED_VALUE"""),0.0096)</f>
        <v>0.0096</v>
      </c>
    </row>
    <row r="2129">
      <c r="A2129" s="131">
        <f>IFERROR(__xludf.DUMMYFUNCTION("""COMPUTED_VALUE"""),46187.38724537037)</f>
        <v>46187.38725</v>
      </c>
      <c r="B2129" s="126">
        <f>IFERROR(__xludf.DUMMYFUNCTION("""COMPUTED_VALUE"""),46187.0)</f>
        <v>46187</v>
      </c>
      <c r="C2129" s="122" t="str">
        <f>IFERROR(__xludf.DUMMYFUNCTION("""COMPUTED_VALUE"""),"TIRE")</f>
        <v>TIRE</v>
      </c>
      <c r="D2129" s="122" t="str">
        <f>IFERROR(__xludf.DUMMYFUNCTION("""COMPUTED_VALUE"""),"TireTown")</f>
        <v>TireTown</v>
      </c>
      <c r="E2129" s="122">
        <f>IFERROR(__xludf.DUMMYFUNCTION("""COMPUTED_VALUE"""),91.95)</f>
        <v>91.95</v>
      </c>
      <c r="F2129" s="122">
        <f>IFERROR(__xludf.DUMMYFUNCTION("""COMPUTED_VALUE"""),0.0061)</f>
        <v>0.0061</v>
      </c>
    </row>
    <row r="2130">
      <c r="A2130" s="131">
        <f>IFERROR(__xludf.DUMMYFUNCTION("""COMPUTED_VALUE"""),46187.38724537037)</f>
        <v>46187.38725</v>
      </c>
      <c r="B2130" s="126">
        <f>IFERROR(__xludf.DUMMYFUNCTION("""COMPUTED_VALUE"""),46187.0)</f>
        <v>46187</v>
      </c>
      <c r="C2130" s="122" t="str">
        <f>IFERROR(__xludf.DUMMYFUNCTION("""COMPUTED_VALUE"""),"BIKE")</f>
        <v>BIKE</v>
      </c>
      <c r="D2130" s="122" t="str">
        <f>IFERROR(__xludf.DUMMYFUNCTION("""COMPUTED_VALUE"""),"BikeBox")</f>
        <v>BikeBox</v>
      </c>
      <c r="E2130" s="122">
        <f>IFERROR(__xludf.DUMMYFUNCTION("""COMPUTED_VALUE"""),53.52)</f>
        <v>53.52</v>
      </c>
      <c r="F2130" s="122">
        <f>IFERROR(__xludf.DUMMYFUNCTION("""COMPUTED_VALUE"""),0.0032)</f>
        <v>0.0032</v>
      </c>
    </row>
    <row r="2131">
      <c r="A2131" s="131">
        <f>IFERROR(__xludf.DUMMYFUNCTION("""COMPUTED_VALUE"""),46187.38724537037)</f>
        <v>46187.38725</v>
      </c>
      <c r="B2131" s="126">
        <f>IFERROR(__xludf.DUMMYFUNCTION("""COMPUTED_VALUE"""),46187.0)</f>
        <v>46187</v>
      </c>
      <c r="C2131" s="122" t="str">
        <f>IFERROR(__xludf.DUMMYFUNCTION("""COMPUTED_VALUE"""),"WASH")</f>
        <v>WASH</v>
      </c>
      <c r="D2131" s="122" t="str">
        <f>IFERROR(__xludf.DUMMYFUNCTION("""COMPUTED_VALUE"""),"CarWash Co")</f>
        <v>CarWash Co</v>
      </c>
      <c r="E2131" s="122">
        <f>IFERROR(__xludf.DUMMYFUNCTION("""COMPUTED_VALUE"""),120.32)</f>
        <v>120.32</v>
      </c>
      <c r="F2131" s="122">
        <f>IFERROR(__xludf.DUMMYFUNCTION("""COMPUTED_VALUE"""),0.0033)</f>
        <v>0.0033</v>
      </c>
    </row>
    <row r="2132">
      <c r="A2132" s="131">
        <f>IFERROR(__xludf.DUMMYFUNCTION("""COMPUTED_VALUE"""),46187.38724537037)</f>
        <v>46187.38725</v>
      </c>
      <c r="B2132" s="126">
        <f>IFERROR(__xludf.DUMMYFUNCTION("""COMPUTED_VALUE"""),46187.0)</f>
        <v>46187</v>
      </c>
      <c r="C2132" s="122" t="str">
        <f>IFERROR(__xludf.DUMMYFUNCTION("""COMPUTED_VALUE"""),"GBND")</f>
        <v>GBND</v>
      </c>
      <c r="D2132" s="122" t="str">
        <f>IFERROR(__xludf.DUMMYFUNCTION("""COMPUTED_VALUE"""),"Classroom Government Bond")</f>
        <v>Classroom Government Bond</v>
      </c>
      <c r="E2132" s="122">
        <f>IFERROR(__xludf.DUMMYFUNCTION("""COMPUTED_VALUE"""),100.95)</f>
        <v>100.95</v>
      </c>
      <c r="F2132" s="122">
        <f>IFERROR(__xludf.DUMMYFUNCTION("""COMPUTED_VALUE"""),0.0)</f>
        <v>0</v>
      </c>
    </row>
    <row r="2133">
      <c r="A2133" s="131">
        <f>IFERROR(__xludf.DUMMYFUNCTION("""COMPUTED_VALUE"""),46187.38724537037)</f>
        <v>46187.38725</v>
      </c>
      <c r="B2133" s="126">
        <f>IFERROR(__xludf.DUMMYFUNCTION("""COMPUTED_VALUE"""),46187.0)</f>
        <v>46187</v>
      </c>
      <c r="C2133" s="122" t="str">
        <f>IFERROR(__xludf.DUMMYFUNCTION("""COMPUTED_VALUE"""),"SBND")</f>
        <v>SBND</v>
      </c>
      <c r="D2133" s="122" t="str">
        <f>IFERROR(__xludf.DUMMYFUNCTION("""COMPUTED_VALUE"""),"School Savings Bond")</f>
        <v>School Savings Bond</v>
      </c>
      <c r="E2133" s="122">
        <f>IFERROR(__xludf.DUMMYFUNCTION("""COMPUTED_VALUE"""),99.46)</f>
        <v>99.46</v>
      </c>
      <c r="F2133" s="122">
        <f>IFERROR(__xludf.DUMMYFUNCTION("""COMPUTED_VALUE"""),4.0E-4)</f>
        <v>0.0004</v>
      </c>
    </row>
    <row r="2134">
      <c r="A2134" s="131">
        <f>IFERROR(__xludf.DUMMYFUNCTION("""COMPUTED_VALUE"""),46187.38724537037)</f>
        <v>46187.38725</v>
      </c>
      <c r="B2134" s="126">
        <f>IFERROR(__xludf.DUMMYFUNCTION("""COMPUTED_VALUE"""),46187.0)</f>
        <v>46187</v>
      </c>
      <c r="C2134" s="122" t="str">
        <f>IFERROR(__xludf.DUMMYFUNCTION("""COMPUTED_VALUE"""),"CBND")</f>
        <v>CBND</v>
      </c>
      <c r="D2134" s="122" t="str">
        <f>IFERROR(__xludf.DUMMYFUNCTION("""COMPUTED_VALUE"""),"Corporate Classroom Bond")</f>
        <v>Corporate Classroom Bond</v>
      </c>
      <c r="E2134" s="122">
        <f>IFERROR(__xludf.DUMMYFUNCTION("""COMPUTED_VALUE"""),97.58)</f>
        <v>97.58</v>
      </c>
      <c r="F2134" s="122">
        <f>IFERROR(__xludf.DUMMYFUNCTION("""COMPUTED_VALUE"""),-1.0E-4)</f>
        <v>-0.0001</v>
      </c>
    </row>
    <row r="2135">
      <c r="A2135" s="131">
        <f>IFERROR(__xludf.DUMMYFUNCTION("""COMPUTED_VALUE"""),46187.38724537037)</f>
        <v>46187.38725</v>
      </c>
      <c r="B2135" s="126">
        <f>IFERROR(__xludf.DUMMYFUNCTION("""COMPUTED_VALUE"""),46187.0)</f>
        <v>46187</v>
      </c>
      <c r="C2135" s="122" t="str">
        <f>IFERROR(__xludf.DUMMYFUNCTION("""COMPUTED_VALUE"""),"TBIL")</f>
        <v>TBIL</v>
      </c>
      <c r="D2135" s="122" t="str">
        <f>IFERROR(__xludf.DUMMYFUNCTION("""COMPUTED_VALUE"""),"Treasury Bill")</f>
        <v>Treasury Bill</v>
      </c>
      <c r="E2135" s="122">
        <f>IFERROR(__xludf.DUMMYFUNCTION("""COMPUTED_VALUE"""),98.07)</f>
        <v>98.07</v>
      </c>
      <c r="F2135" s="122">
        <f>IFERROR(__xludf.DUMMYFUNCTION("""COMPUTED_VALUE"""),0.0)</f>
        <v>0</v>
      </c>
    </row>
    <row r="2136">
      <c r="A2136" s="131">
        <f>IFERROR(__xludf.DUMMYFUNCTION("""COMPUTED_VALUE"""),46187.38724537037)</f>
        <v>46187.38725</v>
      </c>
      <c r="B2136" s="126">
        <f>IFERROR(__xludf.DUMMYFUNCTION("""COMPUTED_VALUE"""),46187.0)</f>
        <v>46187</v>
      </c>
      <c r="C2136" s="122" t="str">
        <f>IFERROR(__xludf.DUMMYFUNCTION("""COMPUTED_VALUE"""),"IBND")</f>
        <v>IBND</v>
      </c>
      <c r="D2136" s="122" t="str">
        <f>IFERROR(__xludf.DUMMYFUNCTION("""COMPUTED_VALUE"""),"Inflation Protected Bond")</f>
        <v>Inflation Protected Bond</v>
      </c>
      <c r="E2136" s="122">
        <f>IFERROR(__xludf.DUMMYFUNCTION("""COMPUTED_VALUE"""),100.6)</f>
        <v>100.6</v>
      </c>
      <c r="F2136" s="122">
        <f>IFERROR(__xludf.DUMMYFUNCTION("""COMPUTED_VALUE"""),-2.0E-4)</f>
        <v>-0.0002</v>
      </c>
    </row>
    <row r="2137">
      <c r="A2137" s="131">
        <f>IFERROR(__xludf.DUMMYFUNCTION("""COMPUTED_VALUE"""),46187.388402777775)</f>
        <v>46187.3884</v>
      </c>
      <c r="B2137" s="126">
        <f>IFERROR(__xludf.DUMMYFUNCTION("""COMPUTED_VALUE"""),46187.0)</f>
        <v>46187</v>
      </c>
      <c r="C2137" s="130">
        <f>IFERROR(__xludf.DUMMYFUNCTION("""COMPUTED_VALUE"""),0.38840277777777776)</f>
        <v>0.3884027778</v>
      </c>
      <c r="D2137" s="122" t="str">
        <f>IFERROR(__xludf.DUMMYFUNCTION("""COMPUTED_VALUE"""),"SNAX")</f>
        <v>SNAX</v>
      </c>
      <c r="E2137" s="122" t="str">
        <f>IFERROR(__xludf.DUMMYFUNCTION("""COMPUTED_VALUE"""),"MICA Snacks")</f>
        <v>MICA Snacks</v>
      </c>
      <c r="F2137" s="122" t="str">
        <f>IFERROR(__xludf.DUMMYFUNCTION("""COMPUTED_VALUE"""),"Consumer Goods")</f>
        <v>Consumer Goods</v>
      </c>
    </row>
    <row r="2138">
      <c r="A2138" s="131">
        <f>IFERROR(__xludf.DUMMYFUNCTION("""COMPUTED_VALUE"""),46187.388402777775)</f>
        <v>46187.3884</v>
      </c>
      <c r="B2138" s="126">
        <f>IFERROR(__xludf.DUMMYFUNCTION("""COMPUTED_VALUE"""),46187.0)</f>
        <v>46187</v>
      </c>
      <c r="C2138" s="130">
        <f>IFERROR(__xludf.DUMMYFUNCTION("""COMPUTED_VALUE"""),0.38840277777777776)</f>
        <v>0.3884027778</v>
      </c>
      <c r="D2138" s="122" t="str">
        <f>IFERROR(__xludf.DUMMYFUNCTION("""COMPUTED_VALUE"""),"RAMN")</f>
        <v>RAMN</v>
      </c>
      <c r="E2138" s="122" t="str">
        <f>IFERROR(__xludf.DUMMYFUNCTION("""COMPUTED_VALUE"""),"Ramen Republic")</f>
        <v>Ramen Republic</v>
      </c>
      <c r="F2138" s="122" t="str">
        <f>IFERROR(__xludf.DUMMYFUNCTION("""COMPUTED_VALUE"""),"Food")</f>
        <v>Food</v>
      </c>
    </row>
    <row r="2139">
      <c r="A2139" s="131">
        <f>IFERROR(__xludf.DUMMYFUNCTION("""COMPUTED_VALUE"""),46187.388402777775)</f>
        <v>46187.3884</v>
      </c>
      <c r="B2139" s="126">
        <f>IFERROR(__xludf.DUMMYFUNCTION("""COMPUTED_VALUE"""),46187.0)</f>
        <v>46187</v>
      </c>
      <c r="C2139" s="130">
        <f>IFERROR(__xludf.DUMMYFUNCTION("""COMPUTED_VALUE"""),0.38840277777777776)</f>
        <v>0.3884027778</v>
      </c>
      <c r="D2139" s="122" t="str">
        <f>IFERROR(__xludf.DUMMYFUNCTION("""COMPUTED_VALUE"""),"COLA")</f>
        <v>COLA</v>
      </c>
      <c r="E2139" s="122" t="str">
        <f>IFERROR(__xludf.DUMMYFUNCTION("""COMPUTED_VALUE"""),"K-Pop Cola")</f>
        <v>K-Pop Cola</v>
      </c>
      <c r="F2139" s="122" t="str">
        <f>IFERROR(__xludf.DUMMYFUNCTION("""COMPUTED_VALUE"""),"Beverage")</f>
        <v>Beverage</v>
      </c>
    </row>
    <row r="2140">
      <c r="A2140" s="131">
        <f>IFERROR(__xludf.DUMMYFUNCTION("""COMPUTED_VALUE"""),46187.388402777775)</f>
        <v>46187.3884</v>
      </c>
      <c r="B2140" s="126">
        <f>IFERROR(__xludf.DUMMYFUNCTION("""COMPUTED_VALUE"""),46187.0)</f>
        <v>46187</v>
      </c>
      <c r="C2140" s="130">
        <f>IFERROR(__xludf.DUMMYFUNCTION("""COMPUTED_VALUE"""),0.38840277777777776)</f>
        <v>0.3884027778</v>
      </c>
      <c r="D2140" s="122" t="str">
        <f>IFERROR(__xludf.DUMMYFUNCTION("""COMPUTED_VALUE"""),"CHIP")</f>
        <v>CHIP</v>
      </c>
      <c r="E2140" s="122" t="str">
        <f>IFERROR(__xludf.DUMMYFUNCTION("""COMPUTED_VALUE"""),"Chip Empire")</f>
        <v>Chip Empire</v>
      </c>
      <c r="F2140" s="122" t="str">
        <f>IFERROR(__xludf.DUMMYFUNCTION("""COMPUTED_VALUE"""),"Consumer Goods")</f>
        <v>Consumer Goods</v>
      </c>
    </row>
    <row r="2141">
      <c r="A2141" s="131">
        <f>IFERROR(__xludf.DUMMYFUNCTION("""COMPUTED_VALUE"""),46187.388402777775)</f>
        <v>46187.3884</v>
      </c>
      <c r="B2141" s="126">
        <f>IFERROR(__xludf.DUMMYFUNCTION("""COMPUTED_VALUE"""),46187.0)</f>
        <v>46187</v>
      </c>
      <c r="C2141" s="130">
        <f>IFERROR(__xludf.DUMMYFUNCTION("""COMPUTED_VALUE"""),0.38840277777777776)</f>
        <v>0.3884027778</v>
      </c>
      <c r="D2141" s="122" t="str">
        <f>IFERROR(__xludf.DUMMYFUNCTION("""COMPUTED_VALUE"""),"CAND")</f>
        <v>CAND</v>
      </c>
      <c r="E2141" s="122" t="str">
        <f>IFERROR(__xludf.DUMMYFUNCTION("""COMPUTED_VALUE"""),"Candy Capital")</f>
        <v>Candy Capital</v>
      </c>
      <c r="F2141" s="122" t="str">
        <f>IFERROR(__xludf.DUMMYFUNCTION("""COMPUTED_VALUE"""),"Consumer Goods")</f>
        <v>Consumer Goods</v>
      </c>
    </row>
    <row r="2142">
      <c r="A2142" s="131">
        <f>IFERROR(__xludf.DUMMYFUNCTION("""COMPUTED_VALUE"""),46187.388402777775)</f>
        <v>46187.3884</v>
      </c>
      <c r="B2142" s="126">
        <f>IFERROR(__xludf.DUMMYFUNCTION("""COMPUTED_VALUE"""),46187.0)</f>
        <v>46187</v>
      </c>
      <c r="C2142" s="130">
        <f>IFERROR(__xludf.DUMMYFUNCTION("""COMPUTED_VALUE"""),0.38840277777777776)</f>
        <v>0.3884027778</v>
      </c>
      <c r="D2142" s="122" t="str">
        <f>IFERROR(__xludf.DUMMYFUNCTION("""COMPUTED_VALUE"""),"TECH")</f>
        <v>TECH</v>
      </c>
      <c r="E2142" s="122" t="str">
        <f>IFERROR(__xludf.DUMMYFUNCTION("""COMPUTED_VALUE"""),"Dragon Tech")</f>
        <v>Dragon Tech</v>
      </c>
      <c r="F2142" s="122" t="str">
        <f>IFERROR(__xludf.DUMMYFUNCTION("""COMPUTED_VALUE"""),"Technology")</f>
        <v>Technology</v>
      </c>
    </row>
    <row r="2143">
      <c r="A2143" s="131">
        <f>IFERROR(__xludf.DUMMYFUNCTION("""COMPUTED_VALUE"""),46187.388402777775)</f>
        <v>46187.3884</v>
      </c>
      <c r="B2143" s="126">
        <f>IFERROR(__xludf.DUMMYFUNCTION("""COMPUTED_VALUE"""),46187.0)</f>
        <v>46187</v>
      </c>
      <c r="C2143" s="130">
        <f>IFERROR(__xludf.DUMMYFUNCTION("""COMPUTED_VALUE"""),0.38840277777777776)</f>
        <v>0.3884027778</v>
      </c>
      <c r="D2143" s="122" t="str">
        <f>IFERROR(__xludf.DUMMYFUNCTION("""COMPUTED_VALUE"""),"AIBO")</f>
        <v>AIBO</v>
      </c>
      <c r="E2143" s="122" t="str">
        <f>IFERROR(__xludf.DUMMYFUNCTION("""COMPUTED_VALUE"""),"Homework AI")</f>
        <v>Homework AI</v>
      </c>
      <c r="F2143" s="122" t="str">
        <f>IFERROR(__xludf.DUMMYFUNCTION("""COMPUTED_VALUE"""),"Technology")</f>
        <v>Technology</v>
      </c>
    </row>
    <row r="2144">
      <c r="A2144" s="131">
        <f>IFERROR(__xludf.DUMMYFUNCTION("""COMPUTED_VALUE"""),46187.388402777775)</f>
        <v>46187.3884</v>
      </c>
      <c r="B2144" s="126">
        <f>IFERROR(__xludf.DUMMYFUNCTION("""COMPUTED_VALUE"""),46187.0)</f>
        <v>46187</v>
      </c>
      <c r="C2144" s="130">
        <f>IFERROR(__xludf.DUMMYFUNCTION("""COMPUTED_VALUE"""),0.38840277777777776)</f>
        <v>0.3884027778</v>
      </c>
      <c r="D2144" s="122" t="str">
        <f>IFERROR(__xludf.DUMMYFUNCTION("""COMPUTED_VALUE"""),"GAME")</f>
        <v>GAME</v>
      </c>
      <c r="E2144" s="122" t="str">
        <f>IFERROR(__xludf.DUMMYFUNCTION("""COMPUTED_VALUE"""),"GameBox Media")</f>
        <v>GameBox Media</v>
      </c>
      <c r="F2144" s="122" t="str">
        <f>IFERROR(__xludf.DUMMYFUNCTION("""COMPUTED_VALUE"""),"Entertainment")</f>
        <v>Entertainment</v>
      </c>
    </row>
    <row r="2145">
      <c r="A2145" s="131">
        <f>IFERROR(__xludf.DUMMYFUNCTION("""COMPUTED_VALUE"""),46187.388402777775)</f>
        <v>46187.3884</v>
      </c>
      <c r="B2145" s="126">
        <f>IFERROR(__xludf.DUMMYFUNCTION("""COMPUTED_VALUE"""),46187.0)</f>
        <v>46187</v>
      </c>
      <c r="C2145" s="130">
        <f>IFERROR(__xludf.DUMMYFUNCTION("""COMPUTED_VALUE"""),0.38840277777777776)</f>
        <v>0.3884027778</v>
      </c>
      <c r="D2145" s="122" t="str">
        <f>IFERROR(__xludf.DUMMYFUNCTION("""COMPUTED_VALUE"""),"VRSE")</f>
        <v>VRSE</v>
      </c>
      <c r="E2145" s="122" t="str">
        <f>IFERROR(__xludf.DUMMYFUNCTION("""COMPUTED_VALUE"""),"VerseVR")</f>
        <v>VerseVR</v>
      </c>
      <c r="F2145" s="122" t="str">
        <f>IFERROR(__xludf.DUMMYFUNCTION("""COMPUTED_VALUE"""),"Technology")</f>
        <v>Technology</v>
      </c>
    </row>
    <row r="2146">
      <c r="A2146" s="131">
        <f>IFERROR(__xludf.DUMMYFUNCTION("""COMPUTED_VALUE"""),46187.388402777775)</f>
        <v>46187.3884</v>
      </c>
      <c r="B2146" s="126">
        <f>IFERROR(__xludf.DUMMYFUNCTION("""COMPUTED_VALUE"""),46187.0)</f>
        <v>46187</v>
      </c>
      <c r="C2146" s="130">
        <f>IFERROR(__xludf.DUMMYFUNCTION("""COMPUTED_VALUE"""),0.38840277777777776)</f>
        <v>0.3884027778</v>
      </c>
      <c r="D2146" s="122" t="str">
        <f>IFERROR(__xludf.DUMMYFUNCTION("""COMPUTED_VALUE"""),"BYTE")</f>
        <v>BYTE</v>
      </c>
      <c r="E2146" s="122" t="str">
        <f>IFERROR(__xludf.DUMMYFUNCTION("""COMPUTED_VALUE"""),"ByteWorks")</f>
        <v>ByteWorks</v>
      </c>
      <c r="F2146" s="122" t="str">
        <f>IFERROR(__xludf.DUMMYFUNCTION("""COMPUTED_VALUE"""),"Technology")</f>
        <v>Technology</v>
      </c>
    </row>
    <row r="2147">
      <c r="A2147" s="131">
        <f>IFERROR(__xludf.DUMMYFUNCTION("""COMPUTED_VALUE"""),46187.388402777775)</f>
        <v>46187.3884</v>
      </c>
      <c r="B2147" s="126">
        <f>IFERROR(__xludf.DUMMYFUNCTION("""COMPUTED_VALUE"""),46187.0)</f>
        <v>46187</v>
      </c>
      <c r="C2147" s="130">
        <f>IFERROR(__xludf.DUMMYFUNCTION("""COMPUTED_VALUE"""),0.38840277777777776)</f>
        <v>0.3884027778</v>
      </c>
      <c r="D2147" s="122" t="str">
        <f>IFERROR(__xludf.DUMMYFUNCTION("""COMPUTED_VALUE"""),"BANK")</f>
        <v>BANK</v>
      </c>
      <c r="E2147" s="122" t="str">
        <f>IFERROR(__xludf.DUMMYFUNCTION("""COMPUTED_VALUE"""),"Tiger Bank")</f>
        <v>Tiger Bank</v>
      </c>
      <c r="F2147" s="122" t="str">
        <f>IFERROR(__xludf.DUMMYFUNCTION("""COMPUTED_VALUE"""),"Finance")</f>
        <v>Finance</v>
      </c>
    </row>
    <row r="2148">
      <c r="A2148" s="131">
        <f>IFERROR(__xludf.DUMMYFUNCTION("""COMPUTED_VALUE"""),46187.388402777775)</f>
        <v>46187.3884</v>
      </c>
      <c r="B2148" s="126">
        <f>IFERROR(__xludf.DUMMYFUNCTION("""COMPUTED_VALUE"""),46187.0)</f>
        <v>46187</v>
      </c>
      <c r="C2148" s="130">
        <f>IFERROR(__xludf.DUMMYFUNCTION("""COMPUTED_VALUE"""),0.38840277777777776)</f>
        <v>0.3884027778</v>
      </c>
      <c r="D2148" s="122" t="str">
        <f>IFERROR(__xludf.DUMMYFUNCTION("""COMPUTED_VALUE"""),"CRED")</f>
        <v>CRED</v>
      </c>
      <c r="E2148" s="122" t="str">
        <f>IFERROR(__xludf.DUMMYFUNCTION("""COMPUTED_VALUE"""),"Credit Castle")</f>
        <v>Credit Castle</v>
      </c>
      <c r="F2148" s="122" t="str">
        <f>IFERROR(__xludf.DUMMYFUNCTION("""COMPUTED_VALUE"""),"Finance")</f>
        <v>Finance</v>
      </c>
    </row>
    <row r="2149">
      <c r="A2149" s="131">
        <f>IFERROR(__xludf.DUMMYFUNCTION("""COMPUTED_VALUE"""),46187.388402777775)</f>
        <v>46187.3884</v>
      </c>
      <c r="B2149" s="126">
        <f>IFERROR(__xludf.DUMMYFUNCTION("""COMPUTED_VALUE"""),46187.0)</f>
        <v>46187</v>
      </c>
      <c r="C2149" s="130">
        <f>IFERROR(__xludf.DUMMYFUNCTION("""COMPUTED_VALUE"""),0.38840277777777776)</f>
        <v>0.3884027778</v>
      </c>
      <c r="D2149" s="122" t="str">
        <f>IFERROR(__xludf.DUMMYFUNCTION("""COMPUTED_VALUE"""),"BOND")</f>
        <v>BOND</v>
      </c>
      <c r="E2149" s="122" t="str">
        <f>IFERROR(__xludf.DUMMYFUNCTION("""COMPUTED_VALUE"""),"BondBridge")</f>
        <v>BondBridge</v>
      </c>
      <c r="F2149" s="122" t="str">
        <f>IFERROR(__xludf.DUMMYFUNCTION("""COMPUTED_VALUE"""),"Finance")</f>
        <v>Finance</v>
      </c>
    </row>
    <row r="2150">
      <c r="A2150" s="131">
        <f>IFERROR(__xludf.DUMMYFUNCTION("""COMPUTED_VALUE"""),46187.388402777775)</f>
        <v>46187.3884</v>
      </c>
      <c r="B2150" s="126">
        <f>IFERROR(__xludf.DUMMYFUNCTION("""COMPUTED_VALUE"""),46187.0)</f>
        <v>46187</v>
      </c>
      <c r="C2150" s="130">
        <f>IFERROR(__xludf.DUMMYFUNCTION("""COMPUTED_VALUE"""),0.38840277777777776)</f>
        <v>0.3884027778</v>
      </c>
      <c r="D2150" s="122" t="str">
        <f>IFERROR(__xludf.DUMMYFUNCTION("""COMPUTED_VALUE"""),"INSR")</f>
        <v>INSR</v>
      </c>
      <c r="E2150" s="122" t="str">
        <f>IFERROR(__xludf.DUMMYFUNCTION("""COMPUTED_VALUE"""),"Shield Insurance")</f>
        <v>Shield Insurance</v>
      </c>
      <c r="F2150" s="122" t="str">
        <f>IFERROR(__xludf.DUMMYFUNCTION("""COMPUTED_VALUE"""),"Finance")</f>
        <v>Finance</v>
      </c>
    </row>
    <row r="2151">
      <c r="A2151" s="131">
        <f>IFERROR(__xludf.DUMMYFUNCTION("""COMPUTED_VALUE"""),46187.388402777775)</f>
        <v>46187.3884</v>
      </c>
      <c r="B2151" s="126">
        <f>IFERROR(__xludf.DUMMYFUNCTION("""COMPUTED_VALUE"""),46187.0)</f>
        <v>46187</v>
      </c>
      <c r="C2151" s="130">
        <f>IFERROR(__xludf.DUMMYFUNCTION("""COMPUTED_VALUE"""),0.38840277777777776)</f>
        <v>0.3884027778</v>
      </c>
      <c r="D2151" s="122" t="str">
        <f>IFERROR(__xludf.DUMMYFUNCTION("""COMPUTED_VALUE"""),"LOAN")</f>
        <v>LOAN</v>
      </c>
      <c r="E2151" s="122" t="str">
        <f>IFERROR(__xludf.DUMMYFUNCTION("""COMPUTED_VALUE"""),"LoanLab")</f>
        <v>LoanLab</v>
      </c>
      <c r="F2151" s="122" t="str">
        <f>IFERROR(__xludf.DUMMYFUNCTION("""COMPUTED_VALUE"""),"Finance")</f>
        <v>Finance</v>
      </c>
    </row>
    <row r="2152">
      <c r="A2152" s="131">
        <f>IFERROR(__xludf.DUMMYFUNCTION("""COMPUTED_VALUE"""),46187.388402777775)</f>
        <v>46187.3884</v>
      </c>
      <c r="B2152" s="126">
        <f>IFERROR(__xludf.DUMMYFUNCTION("""COMPUTED_VALUE"""),46187.0)</f>
        <v>46187</v>
      </c>
      <c r="C2152" s="130">
        <f>IFERROR(__xludf.DUMMYFUNCTION("""COMPUTED_VALUE"""),0.38840277777777776)</f>
        <v>0.3884027778</v>
      </c>
      <c r="D2152" s="122" t="str">
        <f>IFERROR(__xludf.DUMMYFUNCTION("""COMPUTED_VALUE"""),"LUXE")</f>
        <v>LUXE</v>
      </c>
      <c r="E2152" s="122" t="str">
        <f>IFERROR(__xludf.DUMMYFUNCTION("""COMPUTED_VALUE"""),"Luxury Locker")</f>
        <v>Luxury Locker</v>
      </c>
      <c r="F2152" s="122" t="str">
        <f>IFERROR(__xludf.DUMMYFUNCTION("""COMPUTED_VALUE"""),"Luxury Goods")</f>
        <v>Luxury Goods</v>
      </c>
    </row>
    <row r="2153">
      <c r="A2153" s="131">
        <f>IFERROR(__xludf.DUMMYFUNCTION("""COMPUTED_VALUE"""),46187.388402777775)</f>
        <v>46187.3884</v>
      </c>
      <c r="B2153" s="126">
        <f>IFERROR(__xludf.DUMMYFUNCTION("""COMPUTED_VALUE"""),46187.0)</f>
        <v>46187</v>
      </c>
      <c r="C2153" s="130">
        <f>IFERROR(__xludf.DUMMYFUNCTION("""COMPUTED_VALUE"""),0.38840277777777776)</f>
        <v>0.3884027778</v>
      </c>
      <c r="D2153" s="122" t="str">
        <f>IFERROR(__xludf.DUMMYFUNCTION("""COMPUTED_VALUE"""),"DRIP")</f>
        <v>DRIP</v>
      </c>
      <c r="E2153" s="122" t="str">
        <f>IFERROR(__xludf.DUMMYFUNCTION("""COMPUTED_VALUE"""),"Drip Streetwear")</f>
        <v>Drip Streetwear</v>
      </c>
      <c r="F2153" s="122" t="str">
        <f>IFERROR(__xludf.DUMMYFUNCTION("""COMPUTED_VALUE"""),"Fashion")</f>
        <v>Fashion</v>
      </c>
    </row>
    <row r="2154">
      <c r="A2154" s="131">
        <f>IFERROR(__xludf.DUMMYFUNCTION("""COMPUTED_VALUE"""),46187.388402777775)</f>
        <v>46187.3884</v>
      </c>
      <c r="B2154" s="126">
        <f>IFERROR(__xludf.DUMMYFUNCTION("""COMPUTED_VALUE"""),46187.0)</f>
        <v>46187</v>
      </c>
      <c r="C2154" s="130">
        <f>IFERROR(__xludf.DUMMYFUNCTION("""COMPUTED_VALUE"""),0.38840277777777776)</f>
        <v>0.3884027778</v>
      </c>
      <c r="D2154" s="122" t="str">
        <f>IFERROR(__xludf.DUMMYFUNCTION("""COMPUTED_VALUE"""),"KICK")</f>
        <v>KICK</v>
      </c>
      <c r="E2154" s="122" t="str">
        <f>IFERROR(__xludf.DUMMYFUNCTION("""COMPUTED_VALUE"""),"KickDrop Sneakers")</f>
        <v>KickDrop Sneakers</v>
      </c>
      <c r="F2154" s="122" t="str">
        <f>IFERROR(__xludf.DUMMYFUNCTION("""COMPUTED_VALUE"""),"Fashion")</f>
        <v>Fashion</v>
      </c>
    </row>
    <row r="2155">
      <c r="A2155" s="131">
        <f>IFERROR(__xludf.DUMMYFUNCTION("""COMPUTED_VALUE"""),46187.388402777775)</f>
        <v>46187.3884</v>
      </c>
      <c r="B2155" s="126">
        <f>IFERROR(__xludf.DUMMYFUNCTION("""COMPUTED_VALUE"""),46187.0)</f>
        <v>46187</v>
      </c>
      <c r="C2155" s="130">
        <f>IFERROR(__xludf.DUMMYFUNCTION("""COMPUTED_VALUE"""),0.38840277777777776)</f>
        <v>0.3884027778</v>
      </c>
      <c r="D2155" s="122" t="str">
        <f>IFERROR(__xludf.DUMMYFUNCTION("""COMPUTED_VALUE"""),"GLAM")</f>
        <v>GLAM</v>
      </c>
      <c r="E2155" s="122" t="str">
        <f>IFERROR(__xludf.DUMMYFUNCTION("""COMPUTED_VALUE"""),"Glow Cosmetics")</f>
        <v>Glow Cosmetics</v>
      </c>
      <c r="F2155" s="122" t="str">
        <f>IFERROR(__xludf.DUMMYFUNCTION("""COMPUTED_VALUE"""),"Fashion")</f>
        <v>Fashion</v>
      </c>
    </row>
    <row r="2156">
      <c r="A2156" s="131">
        <f>IFERROR(__xludf.DUMMYFUNCTION("""COMPUTED_VALUE"""),46187.388402777775)</f>
        <v>46187.3884</v>
      </c>
      <c r="B2156" s="126">
        <f>IFERROR(__xludf.DUMMYFUNCTION("""COMPUTED_VALUE"""),46187.0)</f>
        <v>46187</v>
      </c>
      <c r="C2156" s="130">
        <f>IFERROR(__xludf.DUMMYFUNCTION("""COMPUTED_VALUE"""),0.38840277777777776)</f>
        <v>0.3884027778</v>
      </c>
      <c r="D2156" s="122" t="str">
        <f>IFERROR(__xludf.DUMMYFUNCTION("""COMPUTED_VALUE"""),"BAGG")</f>
        <v>BAGG</v>
      </c>
      <c r="E2156" s="122" t="str">
        <f>IFERROR(__xludf.DUMMYFUNCTION("""COMPUTED_VALUE"""),"BagVault")</f>
        <v>BagVault</v>
      </c>
      <c r="F2156" s="122" t="str">
        <f>IFERROR(__xludf.DUMMYFUNCTION("""COMPUTED_VALUE"""),"Fashion")</f>
        <v>Fashion</v>
      </c>
    </row>
    <row r="2157">
      <c r="A2157" s="131">
        <f>IFERROR(__xludf.DUMMYFUNCTION("""COMPUTED_VALUE"""),46187.388402777775)</f>
        <v>46187.3884</v>
      </c>
      <c r="B2157" s="126">
        <f>IFERROR(__xludf.DUMMYFUNCTION("""COMPUTED_VALUE"""),46187.0)</f>
        <v>46187</v>
      </c>
      <c r="C2157" s="130">
        <f>IFERROR(__xludf.DUMMYFUNCTION("""COMPUTED_VALUE"""),0.38840277777777776)</f>
        <v>0.3884027778</v>
      </c>
      <c r="D2157" s="122" t="str">
        <f>IFERROR(__xludf.DUMMYFUNCTION("""COMPUTED_VALUE"""),"FAST")</f>
        <v>FAST</v>
      </c>
      <c r="E2157" s="122" t="str">
        <f>IFERROR(__xludf.DUMMYFUNCTION("""COMPUTED_VALUE"""),"Flash Logistics")</f>
        <v>Flash Logistics</v>
      </c>
      <c r="F2157" s="122" t="str">
        <f>IFERROR(__xludf.DUMMYFUNCTION("""COMPUTED_VALUE"""),"Logistics")</f>
        <v>Logistics</v>
      </c>
    </row>
    <row r="2158">
      <c r="A2158" s="131">
        <f>IFERROR(__xludf.DUMMYFUNCTION("""COMPUTED_VALUE"""),46187.388402777775)</f>
        <v>46187.3884</v>
      </c>
      <c r="B2158" s="126">
        <f>IFERROR(__xludf.DUMMYFUNCTION("""COMPUTED_VALUE"""),46187.0)</f>
        <v>46187</v>
      </c>
      <c r="C2158" s="130">
        <f>IFERROR(__xludf.DUMMYFUNCTION("""COMPUTED_VALUE"""),0.38840277777777776)</f>
        <v>0.3884027778</v>
      </c>
      <c r="D2158" s="122" t="str">
        <f>IFERROR(__xludf.DUMMYFUNCTION("""COMPUTED_VALUE"""),"SHIP")</f>
        <v>SHIP</v>
      </c>
      <c r="E2158" s="122" t="str">
        <f>IFERROR(__xludf.DUMMYFUNCTION("""COMPUTED_VALUE"""),"Seoul Shipping")</f>
        <v>Seoul Shipping</v>
      </c>
      <c r="F2158" s="122" t="str">
        <f>IFERROR(__xludf.DUMMYFUNCTION("""COMPUTED_VALUE"""),"Logistics")</f>
        <v>Logistics</v>
      </c>
    </row>
    <row r="2159">
      <c r="A2159" s="131">
        <f>IFERROR(__xludf.DUMMYFUNCTION("""COMPUTED_VALUE"""),46187.388402777775)</f>
        <v>46187.3884</v>
      </c>
      <c r="B2159" s="126">
        <f>IFERROR(__xludf.DUMMYFUNCTION("""COMPUTED_VALUE"""),46187.0)</f>
        <v>46187</v>
      </c>
      <c r="C2159" s="130">
        <f>IFERROR(__xludf.DUMMYFUNCTION("""COMPUTED_VALUE"""),0.38840277777777776)</f>
        <v>0.3884027778</v>
      </c>
      <c r="D2159" s="122" t="str">
        <f>IFERROR(__xludf.DUMMYFUNCTION("""COMPUTED_VALUE"""),"DRON")</f>
        <v>DRON</v>
      </c>
      <c r="E2159" s="122" t="str">
        <f>IFERROR(__xludf.DUMMYFUNCTION("""COMPUTED_VALUE"""),"DroneDrop")</f>
        <v>DroneDrop</v>
      </c>
      <c r="F2159" s="122" t="str">
        <f>IFERROR(__xludf.DUMMYFUNCTION("""COMPUTED_VALUE"""),"Logistics")</f>
        <v>Logistics</v>
      </c>
    </row>
    <row r="2160">
      <c r="A2160" s="131">
        <f>IFERROR(__xludf.DUMMYFUNCTION("""COMPUTED_VALUE"""),46187.388402777775)</f>
        <v>46187.3884</v>
      </c>
      <c r="B2160" s="126">
        <f>IFERROR(__xludf.DUMMYFUNCTION("""COMPUTED_VALUE"""),46187.0)</f>
        <v>46187</v>
      </c>
      <c r="C2160" s="130">
        <f>IFERROR(__xludf.DUMMYFUNCTION("""COMPUTED_VALUE"""),0.38840277777777776)</f>
        <v>0.3884027778</v>
      </c>
      <c r="D2160" s="122" t="str">
        <f>IFERROR(__xludf.DUMMYFUNCTION("""COMPUTED_VALUE"""),"RIDE")</f>
        <v>RIDE</v>
      </c>
      <c r="E2160" s="122" t="str">
        <f>IFERROR(__xludf.DUMMYFUNCTION("""COMPUTED_VALUE"""),"QuickRide")</f>
        <v>QuickRide</v>
      </c>
      <c r="F2160" s="122" t="str">
        <f>IFERROR(__xludf.DUMMYFUNCTION("""COMPUTED_VALUE"""),"Transportation")</f>
        <v>Transportation</v>
      </c>
    </row>
    <row r="2161">
      <c r="A2161" s="131">
        <f>IFERROR(__xludf.DUMMYFUNCTION("""COMPUTED_VALUE"""),46187.388402777775)</f>
        <v>46187.3884</v>
      </c>
      <c r="B2161" s="126">
        <f>IFERROR(__xludf.DUMMYFUNCTION("""COMPUTED_VALUE"""),46187.0)</f>
        <v>46187</v>
      </c>
      <c r="C2161" s="130">
        <f>IFERROR(__xludf.DUMMYFUNCTION("""COMPUTED_VALUE"""),0.38840277777777776)</f>
        <v>0.3884027778</v>
      </c>
      <c r="D2161" s="122" t="str">
        <f>IFERROR(__xludf.DUMMYFUNCTION("""COMPUTED_VALUE"""),"RAIL")</f>
        <v>RAIL</v>
      </c>
      <c r="E2161" s="122" t="str">
        <f>IFERROR(__xludf.DUMMYFUNCTION("""COMPUTED_VALUE"""),"MetroRail Corp")</f>
        <v>MetroRail Corp</v>
      </c>
      <c r="F2161" s="122" t="str">
        <f>IFERROR(__xludf.DUMMYFUNCTION("""COMPUTED_VALUE"""),"Transportation")</f>
        <v>Transportation</v>
      </c>
    </row>
    <row r="2162">
      <c r="A2162" s="131">
        <f>IFERROR(__xludf.DUMMYFUNCTION("""COMPUTED_VALUE"""),46187.388402777775)</f>
        <v>46187.3884</v>
      </c>
      <c r="B2162" s="126">
        <f>IFERROR(__xludf.DUMMYFUNCTION("""COMPUTED_VALUE"""),46187.0)</f>
        <v>46187</v>
      </c>
      <c r="C2162" s="130">
        <f>IFERROR(__xludf.DUMMYFUNCTION("""COMPUTED_VALUE"""),0.38840277777777776)</f>
        <v>0.3884027778</v>
      </c>
      <c r="D2162" s="122" t="str">
        <f>IFERROR(__xludf.DUMMYFUNCTION("""COMPUTED_VALUE"""),"MEDX")</f>
        <v>MEDX</v>
      </c>
      <c r="E2162" s="122" t="str">
        <f>IFERROR(__xludf.DUMMYFUNCTION("""COMPUTED_VALUE"""),"MediCore")</f>
        <v>MediCore</v>
      </c>
      <c r="F2162" s="122" t="str">
        <f>IFERROR(__xludf.DUMMYFUNCTION("""COMPUTED_VALUE"""),"Healthcare")</f>
        <v>Healthcare</v>
      </c>
    </row>
    <row r="2163">
      <c r="A2163" s="131">
        <f>IFERROR(__xludf.DUMMYFUNCTION("""COMPUTED_VALUE"""),46187.388402777775)</f>
        <v>46187.3884</v>
      </c>
      <c r="B2163" s="126">
        <f>IFERROR(__xludf.DUMMYFUNCTION("""COMPUTED_VALUE"""),46187.0)</f>
        <v>46187</v>
      </c>
      <c r="C2163" s="130">
        <f>IFERROR(__xludf.DUMMYFUNCTION("""COMPUTED_VALUE"""),0.38840277777777776)</f>
        <v>0.3884027778</v>
      </c>
      <c r="D2163" s="122" t="str">
        <f>IFERROR(__xludf.DUMMYFUNCTION("""COMPUTED_VALUE"""),"GYMX")</f>
        <v>GYMX</v>
      </c>
      <c r="E2163" s="122" t="str">
        <f>IFERROR(__xludf.DUMMYFUNCTION("""COMPUTED_VALUE"""),"GymX Fitness")</f>
        <v>GymX Fitness</v>
      </c>
      <c r="F2163" s="122" t="str">
        <f>IFERROR(__xludf.DUMMYFUNCTION("""COMPUTED_VALUE"""),"Healthcare")</f>
        <v>Healthcare</v>
      </c>
    </row>
    <row r="2164">
      <c r="A2164" s="131">
        <f>IFERROR(__xludf.DUMMYFUNCTION("""COMPUTED_VALUE"""),46187.388402777775)</f>
        <v>46187.3884</v>
      </c>
      <c r="B2164" s="126">
        <f>IFERROR(__xludf.DUMMYFUNCTION("""COMPUTED_VALUE"""),46187.0)</f>
        <v>46187</v>
      </c>
      <c r="C2164" s="130">
        <f>IFERROR(__xludf.DUMMYFUNCTION("""COMPUTED_VALUE"""),0.38840277777777776)</f>
        <v>0.3884027778</v>
      </c>
      <c r="D2164" s="122" t="str">
        <f>IFERROR(__xludf.DUMMYFUNCTION("""COMPUTED_VALUE"""),"VITA")</f>
        <v>VITA</v>
      </c>
      <c r="E2164" s="122" t="str">
        <f>IFERROR(__xludf.DUMMYFUNCTION("""COMPUTED_VALUE"""),"VitaPlus")</f>
        <v>VitaPlus</v>
      </c>
      <c r="F2164" s="122" t="str">
        <f>IFERROR(__xludf.DUMMYFUNCTION("""COMPUTED_VALUE"""),"Healthcare")</f>
        <v>Healthcare</v>
      </c>
    </row>
    <row r="2165">
      <c r="A2165" s="131">
        <f>IFERROR(__xludf.DUMMYFUNCTION("""COMPUTED_VALUE"""),46187.388402777775)</f>
        <v>46187.3884</v>
      </c>
      <c r="B2165" s="126">
        <f>IFERROR(__xludf.DUMMYFUNCTION("""COMPUTED_VALUE"""),46187.0)</f>
        <v>46187</v>
      </c>
      <c r="C2165" s="130">
        <f>IFERROR(__xludf.DUMMYFUNCTION("""COMPUTED_VALUE"""),0.38840277777777776)</f>
        <v>0.3884027778</v>
      </c>
      <c r="D2165" s="122" t="str">
        <f>IFERROR(__xludf.DUMMYFUNCTION("""COMPUTED_VALUE"""),"CARE")</f>
        <v>CARE</v>
      </c>
      <c r="E2165" s="122" t="str">
        <f>IFERROR(__xludf.DUMMYFUNCTION("""COMPUTED_VALUE"""),"CareCloud")</f>
        <v>CareCloud</v>
      </c>
      <c r="F2165" s="122" t="str">
        <f>IFERROR(__xludf.DUMMYFUNCTION("""COMPUTED_VALUE"""),"Healthcare")</f>
        <v>Healthcare</v>
      </c>
    </row>
    <row r="2166">
      <c r="A2166" s="131">
        <f>IFERROR(__xludf.DUMMYFUNCTION("""COMPUTED_VALUE"""),46187.388402777775)</f>
        <v>46187.3884</v>
      </c>
      <c r="B2166" s="126">
        <f>IFERROR(__xludf.DUMMYFUNCTION("""COMPUTED_VALUE"""),46187.0)</f>
        <v>46187</v>
      </c>
      <c r="C2166" s="130">
        <f>IFERROR(__xludf.DUMMYFUNCTION("""COMPUTED_VALUE"""),0.38840277777777776)</f>
        <v>0.3884027778</v>
      </c>
      <c r="D2166" s="122" t="str">
        <f>IFERROR(__xludf.DUMMYFUNCTION("""COMPUTED_VALUE"""),"DENT")</f>
        <v>DENT</v>
      </c>
      <c r="E2166" s="122" t="str">
        <f>IFERROR(__xludf.DUMMYFUNCTION("""COMPUTED_VALUE"""),"SmileWorks")</f>
        <v>SmileWorks</v>
      </c>
      <c r="F2166" s="122" t="str">
        <f>IFERROR(__xludf.DUMMYFUNCTION("""COMPUTED_VALUE"""),"Healthcare")</f>
        <v>Healthcare</v>
      </c>
    </row>
    <row r="2167">
      <c r="A2167" s="131">
        <f>IFERROR(__xludf.DUMMYFUNCTION("""COMPUTED_VALUE"""),46187.388402777775)</f>
        <v>46187.3884</v>
      </c>
      <c r="B2167" s="126">
        <f>IFERROR(__xludf.DUMMYFUNCTION("""COMPUTED_VALUE"""),46187.0)</f>
        <v>46187</v>
      </c>
      <c r="C2167" s="130">
        <f>IFERROR(__xludf.DUMMYFUNCTION("""COMPUTED_VALUE"""),0.38840277777777776)</f>
        <v>0.3884027778</v>
      </c>
      <c r="D2167" s="122" t="str">
        <f>IFERROR(__xludf.DUMMYFUNCTION("""COMPUTED_VALUE"""),"EDUX")</f>
        <v>EDUX</v>
      </c>
      <c r="E2167" s="122" t="str">
        <f>IFERROR(__xludf.DUMMYFUNCTION("""COMPUTED_VALUE"""),"EduMax Learning")</f>
        <v>EduMax Learning</v>
      </c>
      <c r="F2167" s="122" t="str">
        <f>IFERROR(__xludf.DUMMYFUNCTION("""COMPUTED_VALUE"""),"Education")</f>
        <v>Education</v>
      </c>
    </row>
    <row r="2168">
      <c r="A2168" s="131">
        <f>IFERROR(__xludf.DUMMYFUNCTION("""COMPUTED_VALUE"""),46187.388402777775)</f>
        <v>46187.3884</v>
      </c>
      <c r="B2168" s="126">
        <f>IFERROR(__xludf.DUMMYFUNCTION("""COMPUTED_VALUE"""),46187.0)</f>
        <v>46187</v>
      </c>
      <c r="C2168" s="130">
        <f>IFERROR(__xludf.DUMMYFUNCTION("""COMPUTED_VALUE"""),0.38840277777777776)</f>
        <v>0.3884027778</v>
      </c>
      <c r="D2168" s="122" t="str">
        <f>IFERROR(__xludf.DUMMYFUNCTION("""COMPUTED_VALUE"""),"BOOK")</f>
        <v>BOOK</v>
      </c>
      <c r="E2168" s="122" t="str">
        <f>IFERROR(__xludf.DUMMYFUNCTION("""COMPUTED_VALUE"""),"BookBridge")</f>
        <v>BookBridge</v>
      </c>
      <c r="F2168" s="122" t="str">
        <f>IFERROR(__xludf.DUMMYFUNCTION("""COMPUTED_VALUE"""),"Education")</f>
        <v>Education</v>
      </c>
    </row>
    <row r="2169">
      <c r="A2169" s="131">
        <f>IFERROR(__xludf.DUMMYFUNCTION("""COMPUTED_VALUE"""),46187.388402777775)</f>
        <v>46187.3884</v>
      </c>
      <c r="B2169" s="126">
        <f>IFERROR(__xludf.DUMMYFUNCTION("""COMPUTED_VALUE"""),46187.0)</f>
        <v>46187</v>
      </c>
      <c r="C2169" s="130">
        <f>IFERROR(__xludf.DUMMYFUNCTION("""COMPUTED_VALUE"""),0.38840277777777776)</f>
        <v>0.3884027778</v>
      </c>
      <c r="D2169" s="122" t="str">
        <f>IFERROR(__xludf.DUMMYFUNCTION("""COMPUTED_VALUE"""),"TUTR")</f>
        <v>TUTR</v>
      </c>
      <c r="E2169" s="122" t="str">
        <f>IFERROR(__xludf.DUMMYFUNCTION("""COMPUTED_VALUE"""),"TutorTown")</f>
        <v>TutorTown</v>
      </c>
      <c r="F2169" s="122" t="str">
        <f>IFERROR(__xludf.DUMMYFUNCTION("""COMPUTED_VALUE"""),"Education")</f>
        <v>Education</v>
      </c>
    </row>
    <row r="2170">
      <c r="A2170" s="131">
        <f>IFERROR(__xludf.DUMMYFUNCTION("""COMPUTED_VALUE"""),46187.388402777775)</f>
        <v>46187.3884</v>
      </c>
      <c r="B2170" s="126">
        <f>IFERROR(__xludf.DUMMYFUNCTION("""COMPUTED_VALUE"""),46187.0)</f>
        <v>46187</v>
      </c>
      <c r="C2170" s="130">
        <f>IFERROR(__xludf.DUMMYFUNCTION("""COMPUTED_VALUE"""),0.38840277777777776)</f>
        <v>0.3884027778</v>
      </c>
      <c r="D2170" s="122" t="str">
        <f>IFERROR(__xludf.DUMMYFUNCTION("""COMPUTED_VALUE"""),"LANG")</f>
        <v>LANG</v>
      </c>
      <c r="E2170" s="122" t="str">
        <f>IFERROR(__xludf.DUMMYFUNCTION("""COMPUTED_VALUE"""),"LinguaLab")</f>
        <v>LinguaLab</v>
      </c>
      <c r="F2170" s="122" t="str">
        <f>IFERROR(__xludf.DUMMYFUNCTION("""COMPUTED_VALUE"""),"Education")</f>
        <v>Education</v>
      </c>
    </row>
    <row r="2171">
      <c r="A2171" s="131">
        <f>IFERROR(__xludf.DUMMYFUNCTION("""COMPUTED_VALUE"""),46187.388402777775)</f>
        <v>46187.3884</v>
      </c>
      <c r="B2171" s="126">
        <f>IFERROR(__xludf.DUMMYFUNCTION("""COMPUTED_VALUE"""),46187.0)</f>
        <v>46187</v>
      </c>
      <c r="C2171" s="130">
        <f>IFERROR(__xludf.DUMMYFUNCTION("""COMPUTED_VALUE"""),0.38840277777777776)</f>
        <v>0.3884027778</v>
      </c>
      <c r="D2171" s="122" t="str">
        <f>IFERROR(__xludf.DUMMYFUNCTION("""COMPUTED_VALUE"""),"TEST")</f>
        <v>TEST</v>
      </c>
      <c r="E2171" s="122" t="str">
        <f>IFERROR(__xludf.DUMMYFUNCTION("""COMPUTED_VALUE"""),"TestPrep Pro")</f>
        <v>TestPrep Pro</v>
      </c>
      <c r="F2171" s="122" t="str">
        <f>IFERROR(__xludf.DUMMYFUNCTION("""COMPUTED_VALUE"""),"Education")</f>
        <v>Education</v>
      </c>
    </row>
    <row r="2172">
      <c r="A2172" s="131">
        <f>IFERROR(__xludf.DUMMYFUNCTION("""COMPUTED_VALUE"""),46187.388402777775)</f>
        <v>46187.3884</v>
      </c>
      <c r="B2172" s="126">
        <f>IFERROR(__xludf.DUMMYFUNCTION("""COMPUTED_VALUE"""),46187.0)</f>
        <v>46187</v>
      </c>
      <c r="C2172" s="130">
        <f>IFERROR(__xludf.DUMMYFUNCTION("""COMPUTED_VALUE"""),0.38840277777777776)</f>
        <v>0.3884027778</v>
      </c>
      <c r="D2172" s="122" t="str">
        <f>IFERROR(__xludf.DUMMYFUNCTION("""COMPUTED_VALUE"""),"MOVI")</f>
        <v>MOVI</v>
      </c>
      <c r="E2172" s="122" t="str">
        <f>IFERROR(__xludf.DUMMYFUNCTION("""COMPUTED_VALUE"""),"MovieBox")</f>
        <v>MovieBox</v>
      </c>
      <c r="F2172" s="122" t="str">
        <f>IFERROR(__xludf.DUMMYFUNCTION("""COMPUTED_VALUE"""),"Entertainment")</f>
        <v>Entertainment</v>
      </c>
    </row>
    <row r="2173">
      <c r="A2173" s="131">
        <f>IFERROR(__xludf.DUMMYFUNCTION("""COMPUTED_VALUE"""),46187.388402777775)</f>
        <v>46187.3884</v>
      </c>
      <c r="B2173" s="126">
        <f>IFERROR(__xludf.DUMMYFUNCTION("""COMPUTED_VALUE"""),46187.0)</f>
        <v>46187</v>
      </c>
      <c r="C2173" s="130">
        <f>IFERROR(__xludf.DUMMYFUNCTION("""COMPUTED_VALUE"""),0.38840277777777776)</f>
        <v>0.3884027778</v>
      </c>
      <c r="D2173" s="122" t="str">
        <f>IFERROR(__xludf.DUMMYFUNCTION("""COMPUTED_VALUE"""),"MUSC")</f>
        <v>MUSC</v>
      </c>
      <c r="E2173" s="122" t="str">
        <f>IFERROR(__xludf.DUMMYFUNCTION("""COMPUTED_VALUE"""),"MusicWave")</f>
        <v>MusicWave</v>
      </c>
      <c r="F2173" s="122" t="str">
        <f>IFERROR(__xludf.DUMMYFUNCTION("""COMPUTED_VALUE"""),"Entertainment")</f>
        <v>Entertainment</v>
      </c>
    </row>
    <row r="2174">
      <c r="A2174" s="131">
        <f>IFERROR(__xludf.DUMMYFUNCTION("""COMPUTED_VALUE"""),46187.388402777775)</f>
        <v>46187.3884</v>
      </c>
      <c r="B2174" s="126">
        <f>IFERROR(__xludf.DUMMYFUNCTION("""COMPUTED_VALUE"""),46187.0)</f>
        <v>46187</v>
      </c>
      <c r="C2174" s="130">
        <f>IFERROR(__xludf.DUMMYFUNCTION("""COMPUTED_VALUE"""),0.38840277777777776)</f>
        <v>0.3884027778</v>
      </c>
      <c r="D2174" s="122" t="str">
        <f>IFERROR(__xludf.DUMMYFUNCTION("""COMPUTED_VALUE"""),"IDOL")</f>
        <v>IDOL</v>
      </c>
      <c r="E2174" s="122" t="str">
        <f>IFERROR(__xludf.DUMMYFUNCTION("""COMPUTED_VALUE"""),"Idol Agency")</f>
        <v>Idol Agency</v>
      </c>
      <c r="F2174" s="122" t="str">
        <f>IFERROR(__xludf.DUMMYFUNCTION("""COMPUTED_VALUE"""),"Entertainment")</f>
        <v>Entertainment</v>
      </c>
    </row>
    <row r="2175">
      <c r="A2175" s="131">
        <f>IFERROR(__xludf.DUMMYFUNCTION("""COMPUTED_VALUE"""),46187.388402777775)</f>
        <v>46187.3884</v>
      </c>
      <c r="B2175" s="126">
        <f>IFERROR(__xludf.DUMMYFUNCTION("""COMPUTED_VALUE"""),46187.0)</f>
        <v>46187</v>
      </c>
      <c r="C2175" s="130">
        <f>IFERROR(__xludf.DUMMYFUNCTION("""COMPUTED_VALUE"""),0.38840277777777776)</f>
        <v>0.3884027778</v>
      </c>
      <c r="D2175" s="122" t="str">
        <f>IFERROR(__xludf.DUMMYFUNCTION("""COMPUTED_VALUE"""),"MEME")</f>
        <v>MEME</v>
      </c>
      <c r="E2175" s="122" t="str">
        <f>IFERROR(__xludf.DUMMYFUNCTION("""COMPUTED_VALUE"""),"Meme Media")</f>
        <v>Meme Media</v>
      </c>
      <c r="F2175" s="122" t="str">
        <f>IFERROR(__xludf.DUMMYFUNCTION("""COMPUTED_VALUE"""),"Entertainment")</f>
        <v>Entertainment</v>
      </c>
    </row>
    <row r="2176">
      <c r="A2176" s="131">
        <f>IFERROR(__xludf.DUMMYFUNCTION("""COMPUTED_VALUE"""),46187.388402777775)</f>
        <v>46187.3884</v>
      </c>
      <c r="B2176" s="126">
        <f>IFERROR(__xludf.DUMMYFUNCTION("""COMPUTED_VALUE"""),46187.0)</f>
        <v>46187</v>
      </c>
      <c r="C2176" s="130">
        <f>IFERROR(__xludf.DUMMYFUNCTION("""COMPUTED_VALUE"""),0.38840277777777776)</f>
        <v>0.3884027778</v>
      </c>
      <c r="D2176" s="122" t="str">
        <f>IFERROR(__xludf.DUMMYFUNCTION("""COMPUTED_VALUE"""),"STRM")</f>
        <v>STRM</v>
      </c>
      <c r="E2176" s="122" t="str">
        <f>IFERROR(__xludf.DUMMYFUNCTION("""COMPUTED_VALUE"""),"Streamly")</f>
        <v>Streamly</v>
      </c>
      <c r="F2176" s="122" t="str">
        <f>IFERROR(__xludf.DUMMYFUNCTION("""COMPUTED_VALUE"""),"Entertainment")</f>
        <v>Entertainment</v>
      </c>
    </row>
    <row r="2177">
      <c r="A2177" s="131">
        <f>IFERROR(__xludf.DUMMYFUNCTION("""COMPUTED_VALUE"""),46187.388402777775)</f>
        <v>46187.3884</v>
      </c>
      <c r="B2177" s="126">
        <f>IFERROR(__xludf.DUMMYFUNCTION("""COMPUTED_VALUE"""),46187.0)</f>
        <v>46187</v>
      </c>
      <c r="C2177" s="130">
        <f>IFERROR(__xludf.DUMMYFUNCTION("""COMPUTED_VALUE"""),0.38840277777777776)</f>
        <v>0.3884027778</v>
      </c>
      <c r="D2177" s="122" t="str">
        <f>IFERROR(__xludf.DUMMYFUNCTION("""COMPUTED_VALUE"""),"FARM")</f>
        <v>FARM</v>
      </c>
      <c r="E2177" s="122" t="str">
        <f>IFERROR(__xludf.DUMMYFUNCTION("""COMPUTED_VALUE"""),"Future Farms")</f>
        <v>Future Farms</v>
      </c>
      <c r="F2177" s="122" t="str">
        <f>IFERROR(__xludf.DUMMYFUNCTION("""COMPUTED_VALUE"""),"Agriculture")</f>
        <v>Agriculture</v>
      </c>
    </row>
    <row r="2178">
      <c r="A2178" s="131">
        <f>IFERROR(__xludf.DUMMYFUNCTION("""COMPUTED_VALUE"""),46187.388402777775)</f>
        <v>46187.3884</v>
      </c>
      <c r="B2178" s="126">
        <f>IFERROR(__xludf.DUMMYFUNCTION("""COMPUTED_VALUE"""),46187.0)</f>
        <v>46187</v>
      </c>
      <c r="C2178" s="130">
        <f>IFERROR(__xludf.DUMMYFUNCTION("""COMPUTED_VALUE"""),0.38840277777777776)</f>
        <v>0.3884027778</v>
      </c>
      <c r="D2178" s="122" t="str">
        <f>IFERROR(__xludf.DUMMYFUNCTION("""COMPUTED_VALUE"""),"MEAT")</f>
        <v>MEAT</v>
      </c>
      <c r="E2178" s="122" t="str">
        <f>IFERROR(__xludf.DUMMYFUNCTION("""COMPUTED_VALUE"""),"MeatWorks")</f>
        <v>MeatWorks</v>
      </c>
      <c r="F2178" s="122" t="str">
        <f>IFERROR(__xludf.DUMMYFUNCTION("""COMPUTED_VALUE"""),"Food")</f>
        <v>Food</v>
      </c>
    </row>
    <row r="2179">
      <c r="A2179" s="131">
        <f>IFERROR(__xludf.DUMMYFUNCTION("""COMPUTED_VALUE"""),46187.388402777775)</f>
        <v>46187.3884</v>
      </c>
      <c r="B2179" s="126">
        <f>IFERROR(__xludf.DUMMYFUNCTION("""COMPUTED_VALUE"""),46187.0)</f>
        <v>46187</v>
      </c>
      <c r="C2179" s="130">
        <f>IFERROR(__xludf.DUMMYFUNCTION("""COMPUTED_VALUE"""),0.38840277777777776)</f>
        <v>0.3884027778</v>
      </c>
      <c r="D2179" s="122" t="str">
        <f>IFERROR(__xludf.DUMMYFUNCTION("""COMPUTED_VALUE"""),"VEGI")</f>
        <v>VEGI</v>
      </c>
      <c r="E2179" s="122" t="str">
        <f>IFERROR(__xludf.DUMMYFUNCTION("""COMPUTED_VALUE"""),"Green Basket")</f>
        <v>Green Basket</v>
      </c>
      <c r="F2179" s="122" t="str">
        <f>IFERROR(__xludf.DUMMYFUNCTION("""COMPUTED_VALUE"""),"Food")</f>
        <v>Food</v>
      </c>
    </row>
    <row r="2180">
      <c r="A2180" s="131">
        <f>IFERROR(__xludf.DUMMYFUNCTION("""COMPUTED_VALUE"""),46187.388402777775)</f>
        <v>46187.3884</v>
      </c>
      <c r="B2180" s="126">
        <f>IFERROR(__xludf.DUMMYFUNCTION("""COMPUTED_VALUE"""),46187.0)</f>
        <v>46187</v>
      </c>
      <c r="C2180" s="130">
        <f>IFERROR(__xludf.DUMMYFUNCTION("""COMPUTED_VALUE"""),0.38840277777777776)</f>
        <v>0.3884027778</v>
      </c>
      <c r="D2180" s="122" t="str">
        <f>IFERROR(__xludf.DUMMYFUNCTION("""COMPUTED_VALUE"""),"CAFE")</f>
        <v>CAFE</v>
      </c>
      <c r="E2180" s="122" t="str">
        <f>IFERROR(__xludf.DUMMYFUNCTION("""COMPUTED_VALUE"""),"Cafe Cloud")</f>
        <v>Cafe Cloud</v>
      </c>
      <c r="F2180" s="122" t="str">
        <f>IFERROR(__xludf.DUMMYFUNCTION("""COMPUTED_VALUE"""),"Food")</f>
        <v>Food</v>
      </c>
    </row>
    <row r="2181">
      <c r="A2181" s="131">
        <f>IFERROR(__xludf.DUMMYFUNCTION("""COMPUTED_VALUE"""),46187.388402777775)</f>
        <v>46187.3884</v>
      </c>
      <c r="B2181" s="126">
        <f>IFERROR(__xludf.DUMMYFUNCTION("""COMPUTED_VALUE"""),46187.0)</f>
        <v>46187</v>
      </c>
      <c r="C2181" s="130">
        <f>IFERROR(__xludf.DUMMYFUNCTION("""COMPUTED_VALUE"""),0.38840277777777776)</f>
        <v>0.3884027778</v>
      </c>
      <c r="D2181" s="122" t="str">
        <f>IFERROR(__xludf.DUMMYFUNCTION("""COMPUTED_VALUE"""),"BAKE")</f>
        <v>BAKE</v>
      </c>
      <c r="E2181" s="122" t="str">
        <f>IFERROR(__xludf.DUMMYFUNCTION("""COMPUTED_VALUE"""),"BakeHouse")</f>
        <v>BakeHouse</v>
      </c>
      <c r="F2181" s="122" t="str">
        <f>IFERROR(__xludf.DUMMYFUNCTION("""COMPUTED_VALUE"""),"Food")</f>
        <v>Food</v>
      </c>
    </row>
    <row r="2182">
      <c r="A2182" s="131">
        <f>IFERROR(__xludf.DUMMYFUNCTION("""COMPUTED_VALUE"""),46187.388402777775)</f>
        <v>46187.3884</v>
      </c>
      <c r="B2182" s="126">
        <f>IFERROR(__xludf.DUMMYFUNCTION("""COMPUTED_VALUE"""),46187.0)</f>
        <v>46187</v>
      </c>
      <c r="C2182" s="130">
        <f>IFERROR(__xludf.DUMMYFUNCTION("""COMPUTED_VALUE"""),0.38840277777777776)</f>
        <v>0.3884027778</v>
      </c>
      <c r="D2182" s="122" t="str">
        <f>IFERROR(__xludf.DUMMYFUNCTION("""COMPUTED_VALUE"""),"OILX")</f>
        <v>OILX</v>
      </c>
      <c r="E2182" s="122" t="str">
        <f>IFERROR(__xludf.DUMMYFUNCTION("""COMPUTED_VALUE"""),"OilMax Energy")</f>
        <v>OilMax Energy</v>
      </c>
      <c r="F2182" s="122" t="str">
        <f>IFERROR(__xludf.DUMMYFUNCTION("""COMPUTED_VALUE"""),"Energy")</f>
        <v>Energy</v>
      </c>
    </row>
    <row r="2183">
      <c r="A2183" s="131">
        <f>IFERROR(__xludf.DUMMYFUNCTION("""COMPUTED_VALUE"""),46187.388402777775)</f>
        <v>46187.3884</v>
      </c>
      <c r="B2183" s="126">
        <f>IFERROR(__xludf.DUMMYFUNCTION("""COMPUTED_VALUE"""),46187.0)</f>
        <v>46187</v>
      </c>
      <c r="C2183" s="130">
        <f>IFERROR(__xludf.DUMMYFUNCTION("""COMPUTED_VALUE"""),0.38840277777777776)</f>
        <v>0.3884027778</v>
      </c>
      <c r="D2183" s="122" t="str">
        <f>IFERROR(__xludf.DUMMYFUNCTION("""COMPUTED_VALUE"""),"SOLR")</f>
        <v>SOLR</v>
      </c>
      <c r="E2183" s="122" t="str">
        <f>IFERROR(__xludf.DUMMYFUNCTION("""COMPUTED_VALUE"""),"SolarSpark")</f>
        <v>SolarSpark</v>
      </c>
      <c r="F2183" s="122" t="str">
        <f>IFERROR(__xludf.DUMMYFUNCTION("""COMPUTED_VALUE"""),"Energy")</f>
        <v>Energy</v>
      </c>
    </row>
    <row r="2184">
      <c r="A2184" s="131">
        <f>IFERROR(__xludf.DUMMYFUNCTION("""COMPUTED_VALUE"""),46187.388402777775)</f>
        <v>46187.3884</v>
      </c>
      <c r="B2184" s="126">
        <f>IFERROR(__xludf.DUMMYFUNCTION("""COMPUTED_VALUE"""),46187.0)</f>
        <v>46187</v>
      </c>
      <c r="C2184" s="130">
        <f>IFERROR(__xludf.DUMMYFUNCTION("""COMPUTED_VALUE"""),0.38840277777777776)</f>
        <v>0.3884027778</v>
      </c>
      <c r="D2184" s="122" t="str">
        <f>IFERROR(__xludf.DUMMYFUNCTION("""COMPUTED_VALUE"""),"BATT")</f>
        <v>BATT</v>
      </c>
      <c r="E2184" s="122" t="str">
        <f>IFERROR(__xludf.DUMMYFUNCTION("""COMPUTED_VALUE"""),"BatteryBox")</f>
        <v>BatteryBox</v>
      </c>
      <c r="F2184" s="122" t="str">
        <f>IFERROR(__xludf.DUMMYFUNCTION("""COMPUTED_VALUE"""),"Energy")</f>
        <v>Energy</v>
      </c>
    </row>
    <row r="2185">
      <c r="A2185" s="131">
        <f>IFERROR(__xludf.DUMMYFUNCTION("""COMPUTED_VALUE"""),46187.388402777775)</f>
        <v>46187.3884</v>
      </c>
      <c r="B2185" s="126">
        <f>IFERROR(__xludf.DUMMYFUNCTION("""COMPUTED_VALUE"""),46187.0)</f>
        <v>46187</v>
      </c>
      <c r="C2185" s="130">
        <f>IFERROR(__xludf.DUMMYFUNCTION("""COMPUTED_VALUE"""),0.38840277777777776)</f>
        <v>0.3884027778</v>
      </c>
      <c r="D2185" s="122" t="str">
        <f>IFERROR(__xludf.DUMMYFUNCTION("""COMPUTED_VALUE"""),"WIND")</f>
        <v>WIND</v>
      </c>
      <c r="E2185" s="122" t="str">
        <f>IFERROR(__xludf.DUMMYFUNCTION("""COMPUTED_VALUE"""),"WindWorks")</f>
        <v>WindWorks</v>
      </c>
      <c r="F2185" s="122" t="str">
        <f>IFERROR(__xludf.DUMMYFUNCTION("""COMPUTED_VALUE"""),"Energy")</f>
        <v>Energy</v>
      </c>
    </row>
    <row r="2186">
      <c r="A2186" s="131">
        <f>IFERROR(__xludf.DUMMYFUNCTION("""COMPUTED_VALUE"""),46187.388402777775)</f>
        <v>46187.3884</v>
      </c>
      <c r="B2186" s="126">
        <f>IFERROR(__xludf.DUMMYFUNCTION("""COMPUTED_VALUE"""),46187.0)</f>
        <v>46187</v>
      </c>
      <c r="C2186" s="130">
        <f>IFERROR(__xludf.DUMMYFUNCTION("""COMPUTED_VALUE"""),0.38840277777777776)</f>
        <v>0.3884027778</v>
      </c>
      <c r="D2186" s="122" t="str">
        <f>IFERROR(__xludf.DUMMYFUNCTION("""COMPUTED_VALUE"""),"GRID")</f>
        <v>GRID</v>
      </c>
      <c r="E2186" s="122" t="str">
        <f>IFERROR(__xludf.DUMMYFUNCTION("""COMPUTED_VALUE"""),"GridPower")</f>
        <v>GridPower</v>
      </c>
      <c r="F2186" s="122" t="str">
        <f>IFERROR(__xludf.DUMMYFUNCTION("""COMPUTED_VALUE"""),"Energy")</f>
        <v>Energy</v>
      </c>
    </row>
    <row r="2187">
      <c r="A2187" s="131">
        <f>IFERROR(__xludf.DUMMYFUNCTION("""COMPUTED_VALUE"""),46187.388402777775)</f>
        <v>46187.3884</v>
      </c>
      <c r="B2187" s="126">
        <f>IFERROR(__xludf.DUMMYFUNCTION("""COMPUTED_VALUE"""),46187.0)</f>
        <v>46187</v>
      </c>
      <c r="C2187" s="130">
        <f>IFERROR(__xludf.DUMMYFUNCTION("""COMPUTED_VALUE"""),0.38840277777777776)</f>
        <v>0.3884027778</v>
      </c>
      <c r="D2187" s="122" t="str">
        <f>IFERROR(__xludf.DUMMYFUNCTION("""COMPUTED_VALUE"""),"HOME")</f>
        <v>HOME</v>
      </c>
      <c r="E2187" s="122" t="str">
        <f>IFERROR(__xludf.DUMMYFUNCTION("""COMPUTED_VALUE"""),"HomeHub")</f>
        <v>HomeHub</v>
      </c>
      <c r="F2187" s="122" t="str">
        <f>IFERROR(__xludf.DUMMYFUNCTION("""COMPUTED_VALUE"""),"Real Estate")</f>
        <v>Real Estate</v>
      </c>
    </row>
    <row r="2188">
      <c r="A2188" s="131">
        <f>IFERROR(__xludf.DUMMYFUNCTION("""COMPUTED_VALUE"""),46187.388402777775)</f>
        <v>46187.3884</v>
      </c>
      <c r="B2188" s="126">
        <f>IFERROR(__xludf.DUMMYFUNCTION("""COMPUTED_VALUE"""),46187.0)</f>
        <v>46187</v>
      </c>
      <c r="C2188" s="130">
        <f>IFERROR(__xludf.DUMMYFUNCTION("""COMPUTED_VALUE"""),0.38840277777777776)</f>
        <v>0.3884027778</v>
      </c>
      <c r="D2188" s="122" t="str">
        <f>IFERROR(__xludf.DUMMYFUNCTION("""COMPUTED_VALUE"""),"RENT")</f>
        <v>RENT</v>
      </c>
      <c r="E2188" s="122" t="str">
        <f>IFERROR(__xludf.DUMMYFUNCTION("""COMPUTED_VALUE"""),"RentRight")</f>
        <v>RentRight</v>
      </c>
      <c r="F2188" s="122" t="str">
        <f>IFERROR(__xludf.DUMMYFUNCTION("""COMPUTED_VALUE"""),"Real Estate")</f>
        <v>Real Estate</v>
      </c>
    </row>
    <row r="2189">
      <c r="A2189" s="131">
        <f>IFERROR(__xludf.DUMMYFUNCTION("""COMPUTED_VALUE"""),46187.388402777775)</f>
        <v>46187.3884</v>
      </c>
      <c r="B2189" s="126">
        <f>IFERROR(__xludf.DUMMYFUNCTION("""COMPUTED_VALUE"""),46187.0)</f>
        <v>46187</v>
      </c>
      <c r="C2189" s="130">
        <f>IFERROR(__xludf.DUMMYFUNCTION("""COMPUTED_VALUE"""),0.38840277777777776)</f>
        <v>0.3884027778</v>
      </c>
      <c r="D2189" s="122" t="str">
        <f>IFERROR(__xludf.DUMMYFUNCTION("""COMPUTED_VALUE"""),"MALL")</f>
        <v>MALL</v>
      </c>
      <c r="E2189" s="122" t="str">
        <f>IFERROR(__xludf.DUMMYFUNCTION("""COMPUTED_VALUE"""),"MegaMall")</f>
        <v>MegaMall</v>
      </c>
      <c r="F2189" s="122" t="str">
        <f>IFERROR(__xludf.DUMMYFUNCTION("""COMPUTED_VALUE"""),"Real Estate")</f>
        <v>Real Estate</v>
      </c>
    </row>
    <row r="2190">
      <c r="A2190" s="131">
        <f>IFERROR(__xludf.DUMMYFUNCTION("""COMPUTED_VALUE"""),46187.388402777775)</f>
        <v>46187.3884</v>
      </c>
      <c r="B2190" s="126">
        <f>IFERROR(__xludf.DUMMYFUNCTION("""COMPUTED_VALUE"""),46187.0)</f>
        <v>46187</v>
      </c>
      <c r="C2190" s="130">
        <f>IFERROR(__xludf.DUMMYFUNCTION("""COMPUTED_VALUE"""),0.38840277777777776)</f>
        <v>0.3884027778</v>
      </c>
      <c r="D2190" s="122" t="str">
        <f>IFERROR(__xludf.DUMMYFUNCTION("""COMPUTED_VALUE"""),"HOTL")</f>
        <v>HOTL</v>
      </c>
      <c r="E2190" s="122" t="str">
        <f>IFERROR(__xludf.DUMMYFUNCTION("""COMPUTED_VALUE"""),"HotelHive")</f>
        <v>HotelHive</v>
      </c>
      <c r="F2190" s="122" t="str">
        <f>IFERROR(__xludf.DUMMYFUNCTION("""COMPUTED_VALUE"""),"Real Estate")</f>
        <v>Real Estate</v>
      </c>
    </row>
    <row r="2191">
      <c r="A2191" s="131">
        <f>IFERROR(__xludf.DUMMYFUNCTION("""COMPUTED_VALUE"""),46187.388402777775)</f>
        <v>46187.3884</v>
      </c>
      <c r="B2191" s="126">
        <f>IFERROR(__xludf.DUMMYFUNCTION("""COMPUTED_VALUE"""),46187.0)</f>
        <v>46187</v>
      </c>
      <c r="C2191" s="130">
        <f>IFERROR(__xludf.DUMMYFUNCTION("""COMPUTED_VALUE"""),0.38840277777777776)</f>
        <v>0.3884027778</v>
      </c>
      <c r="D2191" s="122" t="str">
        <f>IFERROR(__xludf.DUMMYFUNCTION("""COMPUTED_VALUE"""),"LAND")</f>
        <v>LAND</v>
      </c>
      <c r="E2191" s="122" t="str">
        <f>IFERROR(__xludf.DUMMYFUNCTION("""COMPUTED_VALUE"""),"LandLink")</f>
        <v>LandLink</v>
      </c>
      <c r="F2191" s="122" t="str">
        <f>IFERROR(__xludf.DUMMYFUNCTION("""COMPUTED_VALUE"""),"Real Estate")</f>
        <v>Real Estate</v>
      </c>
    </row>
    <row r="2192">
      <c r="A2192" s="131">
        <f>IFERROR(__xludf.DUMMYFUNCTION("""COMPUTED_VALUE"""),46187.388402777775)</f>
        <v>46187.3884</v>
      </c>
      <c r="B2192" s="126">
        <f>IFERROR(__xludf.DUMMYFUNCTION("""COMPUTED_VALUE"""),46187.0)</f>
        <v>46187</v>
      </c>
      <c r="C2192" s="130">
        <f>IFERROR(__xludf.DUMMYFUNCTION("""COMPUTED_VALUE"""),0.38840277777777776)</f>
        <v>0.3884027778</v>
      </c>
      <c r="D2192" s="122" t="str">
        <f>IFERROR(__xludf.DUMMYFUNCTION("""COMPUTED_VALUE"""),"CARS")</f>
        <v>CARS</v>
      </c>
      <c r="E2192" s="122" t="str">
        <f>IFERROR(__xludf.DUMMYFUNCTION("""COMPUTED_VALUE"""),"AutoArena")</f>
        <v>AutoArena</v>
      </c>
      <c r="F2192" s="122" t="str">
        <f>IFERROR(__xludf.DUMMYFUNCTION("""COMPUTED_VALUE"""),"Automotive")</f>
        <v>Automotive</v>
      </c>
    </row>
    <row r="2193">
      <c r="A2193" s="131">
        <f>IFERROR(__xludf.DUMMYFUNCTION("""COMPUTED_VALUE"""),46187.388402777775)</f>
        <v>46187.3884</v>
      </c>
      <c r="B2193" s="126">
        <f>IFERROR(__xludf.DUMMYFUNCTION("""COMPUTED_VALUE"""),46187.0)</f>
        <v>46187</v>
      </c>
      <c r="C2193" s="130">
        <f>IFERROR(__xludf.DUMMYFUNCTION("""COMPUTED_VALUE"""),0.38840277777777776)</f>
        <v>0.3884027778</v>
      </c>
      <c r="D2193" s="122" t="str">
        <f>IFERROR(__xludf.DUMMYFUNCTION("""COMPUTED_VALUE"""),"EVGO")</f>
        <v>EVGO</v>
      </c>
      <c r="E2193" s="122" t="str">
        <f>IFERROR(__xludf.DUMMYFUNCTION("""COMPUTED_VALUE"""),"EVGo Motors")</f>
        <v>EVGo Motors</v>
      </c>
      <c r="F2193" s="122" t="str">
        <f>IFERROR(__xludf.DUMMYFUNCTION("""COMPUTED_VALUE"""),"Automotive")</f>
        <v>Automotive</v>
      </c>
    </row>
    <row r="2194">
      <c r="A2194" s="131">
        <f>IFERROR(__xludf.DUMMYFUNCTION("""COMPUTED_VALUE"""),46187.388402777775)</f>
        <v>46187.3884</v>
      </c>
      <c r="B2194" s="126">
        <f>IFERROR(__xludf.DUMMYFUNCTION("""COMPUTED_VALUE"""),46187.0)</f>
        <v>46187</v>
      </c>
      <c r="C2194" s="130">
        <f>IFERROR(__xludf.DUMMYFUNCTION("""COMPUTED_VALUE"""),0.38840277777777776)</f>
        <v>0.3884027778</v>
      </c>
      <c r="D2194" s="122" t="str">
        <f>IFERROR(__xludf.DUMMYFUNCTION("""COMPUTED_VALUE"""),"TIRE")</f>
        <v>TIRE</v>
      </c>
      <c r="E2194" s="122" t="str">
        <f>IFERROR(__xludf.DUMMYFUNCTION("""COMPUTED_VALUE"""),"TireTown")</f>
        <v>TireTown</v>
      </c>
      <c r="F2194" s="122" t="str">
        <f>IFERROR(__xludf.DUMMYFUNCTION("""COMPUTED_VALUE"""),"Automotive")</f>
        <v>Automotive</v>
      </c>
    </row>
    <row r="2195">
      <c r="A2195" s="131">
        <f>IFERROR(__xludf.DUMMYFUNCTION("""COMPUTED_VALUE"""),46187.388402777775)</f>
        <v>46187.3884</v>
      </c>
      <c r="B2195" s="126">
        <f>IFERROR(__xludf.DUMMYFUNCTION("""COMPUTED_VALUE"""),46187.0)</f>
        <v>46187</v>
      </c>
      <c r="C2195" s="130">
        <f>IFERROR(__xludf.DUMMYFUNCTION("""COMPUTED_VALUE"""),0.38840277777777776)</f>
        <v>0.3884027778</v>
      </c>
      <c r="D2195" s="122" t="str">
        <f>IFERROR(__xludf.DUMMYFUNCTION("""COMPUTED_VALUE"""),"BIKE")</f>
        <v>BIKE</v>
      </c>
      <c r="E2195" s="122" t="str">
        <f>IFERROR(__xludf.DUMMYFUNCTION("""COMPUTED_VALUE"""),"BikeBox")</f>
        <v>BikeBox</v>
      </c>
      <c r="F2195" s="122" t="str">
        <f>IFERROR(__xludf.DUMMYFUNCTION("""COMPUTED_VALUE"""),"Automotive")</f>
        <v>Automotive</v>
      </c>
    </row>
    <row r="2196">
      <c r="A2196" s="131">
        <f>IFERROR(__xludf.DUMMYFUNCTION("""COMPUTED_VALUE"""),46187.388402777775)</f>
        <v>46187.3884</v>
      </c>
      <c r="B2196" s="126">
        <f>IFERROR(__xludf.DUMMYFUNCTION("""COMPUTED_VALUE"""),46187.0)</f>
        <v>46187</v>
      </c>
      <c r="C2196" s="130">
        <f>IFERROR(__xludf.DUMMYFUNCTION("""COMPUTED_VALUE"""),0.38840277777777776)</f>
        <v>0.3884027778</v>
      </c>
      <c r="D2196" s="122" t="str">
        <f>IFERROR(__xludf.DUMMYFUNCTION("""COMPUTED_VALUE"""),"WASH")</f>
        <v>WASH</v>
      </c>
      <c r="E2196" s="122" t="str">
        <f>IFERROR(__xludf.DUMMYFUNCTION("""COMPUTED_VALUE"""),"CarWash Co")</f>
        <v>CarWash Co</v>
      </c>
      <c r="F2196" s="122" t="str">
        <f>IFERROR(__xludf.DUMMYFUNCTION("""COMPUTED_VALUE"""),"Automotive")</f>
        <v>Automotive</v>
      </c>
    </row>
    <row r="2197">
      <c r="A2197" s="131">
        <f>IFERROR(__xludf.DUMMYFUNCTION("""COMPUTED_VALUE"""),46187.388402777775)</f>
        <v>46187.3884</v>
      </c>
      <c r="B2197" s="126">
        <f>IFERROR(__xludf.DUMMYFUNCTION("""COMPUTED_VALUE"""),46187.0)</f>
        <v>46187</v>
      </c>
      <c r="C2197" s="130">
        <f>IFERROR(__xludf.DUMMYFUNCTION("""COMPUTED_VALUE"""),0.38840277777777776)</f>
        <v>0.3884027778</v>
      </c>
      <c r="D2197" s="122" t="str">
        <f>IFERROR(__xludf.DUMMYFUNCTION("""COMPUTED_VALUE"""),"GBND")</f>
        <v>GBND</v>
      </c>
      <c r="E2197" s="122" t="str">
        <f>IFERROR(__xludf.DUMMYFUNCTION("""COMPUTED_VALUE"""),"Classroom Government Bond")</f>
        <v>Classroom Government Bond</v>
      </c>
      <c r="F2197" s="122" t="str">
        <f>IFERROR(__xludf.DUMMYFUNCTION("""COMPUTED_VALUE"""),"Bond")</f>
        <v>Bond</v>
      </c>
    </row>
    <row r="2198">
      <c r="A2198" s="131">
        <f>IFERROR(__xludf.DUMMYFUNCTION("""COMPUTED_VALUE"""),46187.388402777775)</f>
        <v>46187.3884</v>
      </c>
      <c r="B2198" s="126">
        <f>IFERROR(__xludf.DUMMYFUNCTION("""COMPUTED_VALUE"""),46187.0)</f>
        <v>46187</v>
      </c>
      <c r="C2198" s="130">
        <f>IFERROR(__xludf.DUMMYFUNCTION("""COMPUTED_VALUE"""),0.38840277777777776)</f>
        <v>0.3884027778</v>
      </c>
      <c r="D2198" s="122" t="str">
        <f>IFERROR(__xludf.DUMMYFUNCTION("""COMPUTED_VALUE"""),"SBND")</f>
        <v>SBND</v>
      </c>
      <c r="E2198" s="122" t="str">
        <f>IFERROR(__xludf.DUMMYFUNCTION("""COMPUTED_VALUE"""),"School Savings Bond")</f>
        <v>School Savings Bond</v>
      </c>
      <c r="F2198" s="122" t="str">
        <f>IFERROR(__xludf.DUMMYFUNCTION("""COMPUTED_VALUE"""),"Bond")</f>
        <v>Bond</v>
      </c>
    </row>
    <row r="2199">
      <c r="A2199" s="131">
        <f>IFERROR(__xludf.DUMMYFUNCTION("""COMPUTED_VALUE"""),46187.388402777775)</f>
        <v>46187.3884</v>
      </c>
      <c r="B2199" s="126">
        <f>IFERROR(__xludf.DUMMYFUNCTION("""COMPUTED_VALUE"""),46187.0)</f>
        <v>46187</v>
      </c>
      <c r="C2199" s="130">
        <f>IFERROR(__xludf.DUMMYFUNCTION("""COMPUTED_VALUE"""),0.38840277777777776)</f>
        <v>0.3884027778</v>
      </c>
      <c r="D2199" s="122" t="str">
        <f>IFERROR(__xludf.DUMMYFUNCTION("""COMPUTED_VALUE"""),"CBND")</f>
        <v>CBND</v>
      </c>
      <c r="E2199" s="122" t="str">
        <f>IFERROR(__xludf.DUMMYFUNCTION("""COMPUTED_VALUE"""),"Corporate Classroom Bond")</f>
        <v>Corporate Classroom Bond</v>
      </c>
      <c r="F2199" s="122" t="str">
        <f>IFERROR(__xludf.DUMMYFUNCTION("""COMPUTED_VALUE"""),"Bond")</f>
        <v>Bond</v>
      </c>
    </row>
    <row r="2200">
      <c r="A2200" s="131">
        <f>IFERROR(__xludf.DUMMYFUNCTION("""COMPUTED_VALUE"""),46187.388402777775)</f>
        <v>46187.3884</v>
      </c>
      <c r="B2200" s="126">
        <f>IFERROR(__xludf.DUMMYFUNCTION("""COMPUTED_VALUE"""),46187.0)</f>
        <v>46187</v>
      </c>
      <c r="C2200" s="130">
        <f>IFERROR(__xludf.DUMMYFUNCTION("""COMPUTED_VALUE"""),0.38840277777777776)</f>
        <v>0.3884027778</v>
      </c>
      <c r="D2200" s="122" t="str">
        <f>IFERROR(__xludf.DUMMYFUNCTION("""COMPUTED_VALUE"""),"TBIL")</f>
        <v>TBIL</v>
      </c>
      <c r="E2200" s="122" t="str">
        <f>IFERROR(__xludf.DUMMYFUNCTION("""COMPUTED_VALUE"""),"Treasury Bill")</f>
        <v>Treasury Bill</v>
      </c>
      <c r="F2200" s="122" t="str">
        <f>IFERROR(__xludf.DUMMYFUNCTION("""COMPUTED_VALUE"""),"Bond")</f>
        <v>Bond</v>
      </c>
    </row>
    <row r="2201">
      <c r="A2201" s="131">
        <f>IFERROR(__xludf.DUMMYFUNCTION("""COMPUTED_VALUE"""),46187.388402777775)</f>
        <v>46187.3884</v>
      </c>
      <c r="B2201" s="126">
        <f>IFERROR(__xludf.DUMMYFUNCTION("""COMPUTED_VALUE"""),46187.0)</f>
        <v>46187</v>
      </c>
      <c r="C2201" s="130">
        <f>IFERROR(__xludf.DUMMYFUNCTION("""COMPUTED_VALUE"""),0.38840277777777776)</f>
        <v>0.3884027778</v>
      </c>
      <c r="D2201" s="122" t="str">
        <f>IFERROR(__xludf.DUMMYFUNCTION("""COMPUTED_VALUE"""),"IBND")</f>
        <v>IBND</v>
      </c>
      <c r="E2201" s="122" t="str">
        <f>IFERROR(__xludf.DUMMYFUNCTION("""COMPUTED_VALUE"""),"Inflation Protected Bond")</f>
        <v>Inflation Protected Bond</v>
      </c>
      <c r="F2201" s="122" t="str">
        <f>IFERROR(__xludf.DUMMYFUNCTION("""COMPUTED_VALUE"""),"Bond")</f>
        <v>Bond</v>
      </c>
    </row>
    <row r="2202">
      <c r="A2202" s="131">
        <f>IFERROR(__xludf.DUMMYFUNCTION("""COMPUTED_VALUE"""),46187.390393518515)</f>
        <v>46187.39039</v>
      </c>
      <c r="B2202" s="126">
        <f>IFERROR(__xludf.DUMMYFUNCTION("""COMPUTED_VALUE"""),46187.0)</f>
        <v>46187</v>
      </c>
      <c r="C2202" s="122" t="str">
        <f>IFERROR(__xludf.DUMMYFUNCTION("""COMPUTED_VALUE"""),"SNAX")</f>
        <v>SNAX</v>
      </c>
      <c r="D2202" s="122" t="str">
        <f>IFERROR(__xludf.DUMMYFUNCTION("""COMPUTED_VALUE"""),"MICA Snacks")</f>
        <v>MICA Snacks</v>
      </c>
      <c r="E2202" s="122">
        <f>IFERROR(__xludf.DUMMYFUNCTION("""COMPUTED_VALUE"""),120.96)</f>
        <v>120.96</v>
      </c>
      <c r="F2202" s="122">
        <f>IFERROR(__xludf.DUMMYFUNCTION("""COMPUTED_VALUE"""),-0.0066)</f>
        <v>-0.0066</v>
      </c>
    </row>
    <row r="2203">
      <c r="A2203" s="131">
        <f>IFERROR(__xludf.DUMMYFUNCTION("""COMPUTED_VALUE"""),46187.390393518515)</f>
        <v>46187.39039</v>
      </c>
      <c r="B2203" s="126">
        <f>IFERROR(__xludf.DUMMYFUNCTION("""COMPUTED_VALUE"""),46187.0)</f>
        <v>46187</v>
      </c>
      <c r="C2203" s="122" t="str">
        <f>IFERROR(__xludf.DUMMYFUNCTION("""COMPUTED_VALUE"""),"RAMN")</f>
        <v>RAMN</v>
      </c>
      <c r="D2203" s="122" t="str">
        <f>IFERROR(__xludf.DUMMYFUNCTION("""COMPUTED_VALUE"""),"Ramen Republic")</f>
        <v>Ramen Republic</v>
      </c>
      <c r="E2203" s="122">
        <f>IFERROR(__xludf.DUMMYFUNCTION("""COMPUTED_VALUE"""),75.32)</f>
        <v>75.32</v>
      </c>
      <c r="F2203" s="122">
        <f>IFERROR(__xludf.DUMMYFUNCTION("""COMPUTED_VALUE"""),-0.0049)</f>
        <v>-0.0049</v>
      </c>
    </row>
    <row r="2204">
      <c r="A2204" s="131">
        <f>IFERROR(__xludf.DUMMYFUNCTION("""COMPUTED_VALUE"""),46187.390393518515)</f>
        <v>46187.39039</v>
      </c>
      <c r="B2204" s="126">
        <f>IFERROR(__xludf.DUMMYFUNCTION("""COMPUTED_VALUE"""),46187.0)</f>
        <v>46187</v>
      </c>
      <c r="C2204" s="122" t="str">
        <f>IFERROR(__xludf.DUMMYFUNCTION("""COMPUTED_VALUE"""),"COLA")</f>
        <v>COLA</v>
      </c>
      <c r="D2204" s="122" t="str">
        <f>IFERROR(__xludf.DUMMYFUNCTION("""COMPUTED_VALUE"""),"K-Pop Cola")</f>
        <v>K-Pop Cola</v>
      </c>
      <c r="E2204" s="122">
        <f>IFERROR(__xludf.DUMMYFUNCTION("""COMPUTED_VALUE"""),106.12)</f>
        <v>106.12</v>
      </c>
      <c r="F2204" s="122">
        <f>IFERROR(__xludf.DUMMYFUNCTION("""COMPUTED_VALUE"""),0.0066)</f>
        <v>0.0066</v>
      </c>
    </row>
    <row r="2205">
      <c r="A2205" s="131">
        <f>IFERROR(__xludf.DUMMYFUNCTION("""COMPUTED_VALUE"""),46187.390393518515)</f>
        <v>46187.39039</v>
      </c>
      <c r="B2205" s="126">
        <f>IFERROR(__xludf.DUMMYFUNCTION("""COMPUTED_VALUE"""),46187.0)</f>
        <v>46187</v>
      </c>
      <c r="C2205" s="122" t="str">
        <f>IFERROR(__xludf.DUMMYFUNCTION("""COMPUTED_VALUE"""),"CHIP")</f>
        <v>CHIP</v>
      </c>
      <c r="D2205" s="122" t="str">
        <f>IFERROR(__xludf.DUMMYFUNCTION("""COMPUTED_VALUE"""),"Chip Empire")</f>
        <v>Chip Empire</v>
      </c>
      <c r="E2205" s="122">
        <f>IFERROR(__xludf.DUMMYFUNCTION("""COMPUTED_VALUE"""),88.33)</f>
        <v>88.33</v>
      </c>
      <c r="F2205" s="122">
        <f>IFERROR(__xludf.DUMMYFUNCTION("""COMPUTED_VALUE"""),-0.0081)</f>
        <v>-0.0081</v>
      </c>
    </row>
    <row r="2206">
      <c r="A2206" s="131">
        <f>IFERROR(__xludf.DUMMYFUNCTION("""COMPUTED_VALUE"""),46187.390393518515)</f>
        <v>46187.39039</v>
      </c>
      <c r="B2206" s="126">
        <f>IFERROR(__xludf.DUMMYFUNCTION("""COMPUTED_VALUE"""),46187.0)</f>
        <v>46187</v>
      </c>
      <c r="C2206" s="122" t="str">
        <f>IFERROR(__xludf.DUMMYFUNCTION("""COMPUTED_VALUE"""),"CAND")</f>
        <v>CAND</v>
      </c>
      <c r="D2206" s="122" t="str">
        <f>IFERROR(__xludf.DUMMYFUNCTION("""COMPUTED_VALUE"""),"Candy Capital")</f>
        <v>Candy Capital</v>
      </c>
      <c r="E2206" s="122">
        <f>IFERROR(__xludf.DUMMYFUNCTION("""COMPUTED_VALUE"""),75.24)</f>
        <v>75.24</v>
      </c>
      <c r="F2206" s="122">
        <f>IFERROR(__xludf.DUMMYFUNCTION("""COMPUTED_VALUE"""),-0.0032)</f>
        <v>-0.0032</v>
      </c>
    </row>
    <row r="2207">
      <c r="A2207" s="131">
        <f>IFERROR(__xludf.DUMMYFUNCTION("""COMPUTED_VALUE"""),46187.390393518515)</f>
        <v>46187.39039</v>
      </c>
      <c r="B2207" s="126">
        <f>IFERROR(__xludf.DUMMYFUNCTION("""COMPUTED_VALUE"""),46187.0)</f>
        <v>46187</v>
      </c>
      <c r="C2207" s="122" t="str">
        <f>IFERROR(__xludf.DUMMYFUNCTION("""COMPUTED_VALUE"""),"TECH")</f>
        <v>TECH</v>
      </c>
      <c r="D2207" s="122" t="str">
        <f>IFERROR(__xludf.DUMMYFUNCTION("""COMPUTED_VALUE"""),"Dragon Tech")</f>
        <v>Dragon Tech</v>
      </c>
      <c r="E2207" s="122">
        <f>IFERROR(__xludf.DUMMYFUNCTION("""COMPUTED_VALUE"""),235.84)</f>
        <v>235.84</v>
      </c>
      <c r="F2207" s="122">
        <f>IFERROR(__xludf.DUMMYFUNCTION("""COMPUTED_VALUE"""),-0.0064)</f>
        <v>-0.0064</v>
      </c>
    </row>
    <row r="2208">
      <c r="A2208" s="131">
        <f>IFERROR(__xludf.DUMMYFUNCTION("""COMPUTED_VALUE"""),46187.390393518515)</f>
        <v>46187.39039</v>
      </c>
      <c r="B2208" s="126">
        <f>IFERROR(__xludf.DUMMYFUNCTION("""COMPUTED_VALUE"""),46187.0)</f>
        <v>46187</v>
      </c>
      <c r="C2208" s="122" t="str">
        <f>IFERROR(__xludf.DUMMYFUNCTION("""COMPUTED_VALUE"""),"AIBO")</f>
        <v>AIBO</v>
      </c>
      <c r="D2208" s="122" t="str">
        <f>IFERROR(__xludf.DUMMYFUNCTION("""COMPUTED_VALUE"""),"Homework AI")</f>
        <v>Homework AI</v>
      </c>
      <c r="E2208" s="122">
        <f>IFERROR(__xludf.DUMMYFUNCTION("""COMPUTED_VALUE"""),164.53)</f>
        <v>164.53</v>
      </c>
      <c r="F2208" s="122">
        <f>IFERROR(__xludf.DUMMYFUNCTION("""COMPUTED_VALUE"""),-0.0052)</f>
        <v>-0.0052</v>
      </c>
    </row>
    <row r="2209">
      <c r="A2209" s="131">
        <f>IFERROR(__xludf.DUMMYFUNCTION("""COMPUTED_VALUE"""),46187.390393518515)</f>
        <v>46187.39039</v>
      </c>
      <c r="B2209" s="126">
        <f>IFERROR(__xludf.DUMMYFUNCTION("""COMPUTED_VALUE"""),46187.0)</f>
        <v>46187</v>
      </c>
      <c r="C2209" s="122" t="str">
        <f>IFERROR(__xludf.DUMMYFUNCTION("""COMPUTED_VALUE"""),"GAME")</f>
        <v>GAME</v>
      </c>
      <c r="D2209" s="122" t="str">
        <f>IFERROR(__xludf.DUMMYFUNCTION("""COMPUTED_VALUE"""),"GameBox Media")</f>
        <v>GameBox Media</v>
      </c>
      <c r="E2209" s="122">
        <f>IFERROR(__xludf.DUMMYFUNCTION("""COMPUTED_VALUE"""),93.68)</f>
        <v>93.68</v>
      </c>
      <c r="F2209" s="122">
        <f>IFERROR(__xludf.DUMMYFUNCTION("""COMPUTED_VALUE"""),0.0101)</f>
        <v>0.0101</v>
      </c>
    </row>
    <row r="2210">
      <c r="A2210" s="131">
        <f>IFERROR(__xludf.DUMMYFUNCTION("""COMPUTED_VALUE"""),46187.390393518515)</f>
        <v>46187.39039</v>
      </c>
      <c r="B2210" s="126">
        <f>IFERROR(__xludf.DUMMYFUNCTION("""COMPUTED_VALUE"""),46187.0)</f>
        <v>46187</v>
      </c>
      <c r="C2210" s="122" t="str">
        <f>IFERROR(__xludf.DUMMYFUNCTION("""COMPUTED_VALUE"""),"VRSE")</f>
        <v>VRSE</v>
      </c>
      <c r="D2210" s="122" t="str">
        <f>IFERROR(__xludf.DUMMYFUNCTION("""COMPUTED_VALUE"""),"VerseVR")</f>
        <v>VerseVR</v>
      </c>
      <c r="E2210" s="122">
        <f>IFERROR(__xludf.DUMMYFUNCTION("""COMPUTED_VALUE"""),144.24)</f>
        <v>144.24</v>
      </c>
      <c r="F2210" s="122">
        <f>IFERROR(__xludf.DUMMYFUNCTION("""COMPUTED_VALUE"""),-0.0103)</f>
        <v>-0.0103</v>
      </c>
    </row>
    <row r="2211">
      <c r="A2211" s="131">
        <f>IFERROR(__xludf.DUMMYFUNCTION("""COMPUTED_VALUE"""),46187.390393518515)</f>
        <v>46187.39039</v>
      </c>
      <c r="B2211" s="126">
        <f>IFERROR(__xludf.DUMMYFUNCTION("""COMPUTED_VALUE"""),46187.0)</f>
        <v>46187</v>
      </c>
      <c r="C2211" s="122" t="str">
        <f>IFERROR(__xludf.DUMMYFUNCTION("""COMPUTED_VALUE"""),"BYTE")</f>
        <v>BYTE</v>
      </c>
      <c r="D2211" s="122" t="str">
        <f>IFERROR(__xludf.DUMMYFUNCTION("""COMPUTED_VALUE"""),"ByteWorks")</f>
        <v>ByteWorks</v>
      </c>
      <c r="E2211" s="122">
        <f>IFERROR(__xludf.DUMMYFUNCTION("""COMPUTED_VALUE"""),109.81)</f>
        <v>109.81</v>
      </c>
      <c r="F2211" s="122">
        <f>IFERROR(__xludf.DUMMYFUNCTION("""COMPUTED_VALUE"""),0.0096)</f>
        <v>0.0096</v>
      </c>
    </row>
    <row r="2212">
      <c r="A2212" s="131">
        <f>IFERROR(__xludf.DUMMYFUNCTION("""COMPUTED_VALUE"""),46187.390393518515)</f>
        <v>46187.39039</v>
      </c>
      <c r="B2212" s="126">
        <f>IFERROR(__xludf.DUMMYFUNCTION("""COMPUTED_VALUE"""),46187.0)</f>
        <v>46187</v>
      </c>
      <c r="C2212" s="122" t="str">
        <f>IFERROR(__xludf.DUMMYFUNCTION("""COMPUTED_VALUE"""),"BANK")</f>
        <v>BANK</v>
      </c>
      <c r="D2212" s="122" t="str">
        <f>IFERROR(__xludf.DUMMYFUNCTION("""COMPUTED_VALUE"""),"Tiger Bank")</f>
        <v>Tiger Bank</v>
      </c>
      <c r="E2212" s="122">
        <f>IFERROR(__xludf.DUMMYFUNCTION("""COMPUTED_VALUE"""),124.81)</f>
        <v>124.81</v>
      </c>
      <c r="F2212" s="122">
        <f>IFERROR(__xludf.DUMMYFUNCTION("""COMPUTED_VALUE"""),0.0036)</f>
        <v>0.0036</v>
      </c>
    </row>
    <row r="2213">
      <c r="A2213" s="131">
        <f>IFERROR(__xludf.DUMMYFUNCTION("""COMPUTED_VALUE"""),46187.390393518515)</f>
        <v>46187.39039</v>
      </c>
      <c r="B2213" s="126">
        <f>IFERROR(__xludf.DUMMYFUNCTION("""COMPUTED_VALUE"""),46187.0)</f>
        <v>46187</v>
      </c>
      <c r="C2213" s="122" t="str">
        <f>IFERROR(__xludf.DUMMYFUNCTION("""COMPUTED_VALUE"""),"CRED")</f>
        <v>CRED</v>
      </c>
      <c r="D2213" s="122" t="str">
        <f>IFERROR(__xludf.DUMMYFUNCTION("""COMPUTED_VALUE"""),"Credit Castle")</f>
        <v>Credit Castle</v>
      </c>
      <c r="E2213" s="122">
        <f>IFERROR(__xludf.DUMMYFUNCTION("""COMPUTED_VALUE"""),68.79)</f>
        <v>68.79</v>
      </c>
      <c r="F2213" s="122">
        <f>IFERROR(__xludf.DUMMYFUNCTION("""COMPUTED_VALUE"""),-0.0056)</f>
        <v>-0.0056</v>
      </c>
    </row>
    <row r="2214">
      <c r="A2214" s="131">
        <f>IFERROR(__xludf.DUMMYFUNCTION("""COMPUTED_VALUE"""),46187.390393518515)</f>
        <v>46187.39039</v>
      </c>
      <c r="B2214" s="126">
        <f>IFERROR(__xludf.DUMMYFUNCTION("""COMPUTED_VALUE"""),46187.0)</f>
        <v>46187</v>
      </c>
      <c r="C2214" s="122" t="str">
        <f>IFERROR(__xludf.DUMMYFUNCTION("""COMPUTED_VALUE"""),"BOND")</f>
        <v>BOND</v>
      </c>
      <c r="D2214" s="122" t="str">
        <f>IFERROR(__xludf.DUMMYFUNCTION("""COMPUTED_VALUE"""),"BondBridge")</f>
        <v>BondBridge</v>
      </c>
      <c r="E2214" s="122">
        <f>IFERROR(__xludf.DUMMYFUNCTION("""COMPUTED_VALUE"""),96.7)</f>
        <v>96.7</v>
      </c>
      <c r="F2214" s="122">
        <f>IFERROR(__xludf.DUMMYFUNCTION("""COMPUTED_VALUE"""),0.0017)</f>
        <v>0.0017</v>
      </c>
    </row>
    <row r="2215">
      <c r="A2215" s="131">
        <f>IFERROR(__xludf.DUMMYFUNCTION("""COMPUTED_VALUE"""),46187.390393518515)</f>
        <v>46187.39039</v>
      </c>
      <c r="B2215" s="126">
        <f>IFERROR(__xludf.DUMMYFUNCTION("""COMPUTED_VALUE"""),46187.0)</f>
        <v>46187</v>
      </c>
      <c r="C2215" s="122" t="str">
        <f>IFERROR(__xludf.DUMMYFUNCTION("""COMPUTED_VALUE"""),"INSR")</f>
        <v>INSR</v>
      </c>
      <c r="D2215" s="122" t="str">
        <f>IFERROR(__xludf.DUMMYFUNCTION("""COMPUTED_VALUE"""),"Shield Insurance")</f>
        <v>Shield Insurance</v>
      </c>
      <c r="E2215" s="122">
        <f>IFERROR(__xludf.DUMMYFUNCTION("""COMPUTED_VALUE"""),157.74)</f>
        <v>157.74</v>
      </c>
      <c r="F2215" s="122">
        <f>IFERROR(__xludf.DUMMYFUNCTION("""COMPUTED_VALUE"""),0.003)</f>
        <v>0.003</v>
      </c>
    </row>
    <row r="2216">
      <c r="A2216" s="131">
        <f>IFERROR(__xludf.DUMMYFUNCTION("""COMPUTED_VALUE"""),46187.390393518515)</f>
        <v>46187.39039</v>
      </c>
      <c r="B2216" s="126">
        <f>IFERROR(__xludf.DUMMYFUNCTION("""COMPUTED_VALUE"""),46187.0)</f>
        <v>46187</v>
      </c>
      <c r="C2216" s="122" t="str">
        <f>IFERROR(__xludf.DUMMYFUNCTION("""COMPUTED_VALUE"""),"LOAN")</f>
        <v>LOAN</v>
      </c>
      <c r="D2216" s="122" t="str">
        <f>IFERROR(__xludf.DUMMYFUNCTION("""COMPUTED_VALUE"""),"LoanLab")</f>
        <v>LoanLab</v>
      </c>
      <c r="E2216" s="122">
        <f>IFERROR(__xludf.DUMMYFUNCTION("""COMPUTED_VALUE"""),61.65)</f>
        <v>61.65</v>
      </c>
      <c r="F2216" s="122">
        <f>IFERROR(__xludf.DUMMYFUNCTION("""COMPUTED_VALUE"""),0.0037)</f>
        <v>0.0037</v>
      </c>
    </row>
    <row r="2217">
      <c r="A2217" s="131">
        <f>IFERROR(__xludf.DUMMYFUNCTION("""COMPUTED_VALUE"""),46187.390393518515)</f>
        <v>46187.39039</v>
      </c>
      <c r="B2217" s="126">
        <f>IFERROR(__xludf.DUMMYFUNCTION("""COMPUTED_VALUE"""),46187.0)</f>
        <v>46187</v>
      </c>
      <c r="C2217" s="122" t="str">
        <f>IFERROR(__xludf.DUMMYFUNCTION("""COMPUTED_VALUE"""),"LUXE")</f>
        <v>LUXE</v>
      </c>
      <c r="D2217" s="122" t="str">
        <f>IFERROR(__xludf.DUMMYFUNCTION("""COMPUTED_VALUE"""),"Luxury Locker")</f>
        <v>Luxury Locker</v>
      </c>
      <c r="E2217" s="122">
        <f>IFERROR(__xludf.DUMMYFUNCTION("""COMPUTED_VALUE"""),262.49)</f>
        <v>262.49</v>
      </c>
      <c r="F2217" s="122">
        <f>IFERROR(__xludf.DUMMYFUNCTION("""COMPUTED_VALUE"""),-5.0E-4)</f>
        <v>-0.0005</v>
      </c>
    </row>
    <row r="2218">
      <c r="A2218" s="131">
        <f>IFERROR(__xludf.DUMMYFUNCTION("""COMPUTED_VALUE"""),46187.390393518515)</f>
        <v>46187.39039</v>
      </c>
      <c r="B2218" s="126">
        <f>IFERROR(__xludf.DUMMYFUNCTION("""COMPUTED_VALUE"""),46187.0)</f>
        <v>46187</v>
      </c>
      <c r="C2218" s="122" t="str">
        <f>IFERROR(__xludf.DUMMYFUNCTION("""COMPUTED_VALUE"""),"DRIP")</f>
        <v>DRIP</v>
      </c>
      <c r="D2218" s="122" t="str">
        <f>IFERROR(__xludf.DUMMYFUNCTION("""COMPUTED_VALUE"""),"Drip Streetwear")</f>
        <v>Drip Streetwear</v>
      </c>
      <c r="E2218" s="122">
        <f>IFERROR(__xludf.DUMMYFUNCTION("""COMPUTED_VALUE"""),199.95)</f>
        <v>199.95</v>
      </c>
      <c r="F2218" s="122">
        <f>IFERROR(__xludf.DUMMYFUNCTION("""COMPUTED_VALUE"""),-0.0077)</f>
        <v>-0.0077</v>
      </c>
    </row>
    <row r="2219">
      <c r="A2219" s="131">
        <f>IFERROR(__xludf.DUMMYFUNCTION("""COMPUTED_VALUE"""),46187.390393518515)</f>
        <v>46187.39039</v>
      </c>
      <c r="B2219" s="126">
        <f>IFERROR(__xludf.DUMMYFUNCTION("""COMPUTED_VALUE"""),46187.0)</f>
        <v>46187</v>
      </c>
      <c r="C2219" s="122" t="str">
        <f>IFERROR(__xludf.DUMMYFUNCTION("""COMPUTED_VALUE"""),"KICK")</f>
        <v>KICK</v>
      </c>
      <c r="D2219" s="122" t="str">
        <f>IFERROR(__xludf.DUMMYFUNCTION("""COMPUTED_VALUE"""),"KickDrop Sneakers")</f>
        <v>KickDrop Sneakers</v>
      </c>
      <c r="E2219" s="122">
        <f>IFERROR(__xludf.DUMMYFUNCTION("""COMPUTED_VALUE"""),173.57)</f>
        <v>173.57</v>
      </c>
      <c r="F2219" s="122">
        <f>IFERROR(__xludf.DUMMYFUNCTION("""COMPUTED_VALUE"""),0.0071)</f>
        <v>0.0071</v>
      </c>
    </row>
    <row r="2220">
      <c r="A2220" s="131">
        <f>IFERROR(__xludf.DUMMYFUNCTION("""COMPUTED_VALUE"""),46187.390393518515)</f>
        <v>46187.39039</v>
      </c>
      <c r="B2220" s="126">
        <f>IFERROR(__xludf.DUMMYFUNCTION("""COMPUTED_VALUE"""),46187.0)</f>
        <v>46187</v>
      </c>
      <c r="C2220" s="122" t="str">
        <f>IFERROR(__xludf.DUMMYFUNCTION("""COMPUTED_VALUE"""),"GLAM")</f>
        <v>GLAM</v>
      </c>
      <c r="D2220" s="122" t="str">
        <f>IFERROR(__xludf.DUMMYFUNCTION("""COMPUTED_VALUE"""),"Glow Cosmetics")</f>
        <v>Glow Cosmetics</v>
      </c>
      <c r="E2220" s="122">
        <f>IFERROR(__xludf.DUMMYFUNCTION("""COMPUTED_VALUE"""),95.67)</f>
        <v>95.67</v>
      </c>
      <c r="F2220" s="122">
        <f>IFERROR(__xludf.DUMMYFUNCTION("""COMPUTED_VALUE"""),0.0076)</f>
        <v>0.0076</v>
      </c>
    </row>
    <row r="2221">
      <c r="A2221" s="131">
        <f>IFERROR(__xludf.DUMMYFUNCTION("""COMPUTED_VALUE"""),46187.390393518515)</f>
        <v>46187.39039</v>
      </c>
      <c r="B2221" s="126">
        <f>IFERROR(__xludf.DUMMYFUNCTION("""COMPUTED_VALUE"""),46187.0)</f>
        <v>46187</v>
      </c>
      <c r="C2221" s="122" t="str">
        <f>IFERROR(__xludf.DUMMYFUNCTION("""COMPUTED_VALUE"""),"BAGG")</f>
        <v>BAGG</v>
      </c>
      <c r="D2221" s="122" t="str">
        <f>IFERROR(__xludf.DUMMYFUNCTION("""COMPUTED_VALUE"""),"BagVault")</f>
        <v>BagVault</v>
      </c>
      <c r="E2221" s="122">
        <f>IFERROR(__xludf.DUMMYFUNCTION("""COMPUTED_VALUE"""),247.15)</f>
        <v>247.15</v>
      </c>
      <c r="F2221" s="122">
        <f>IFERROR(__xludf.DUMMYFUNCTION("""COMPUTED_VALUE"""),0.0095)</f>
        <v>0.0095</v>
      </c>
    </row>
    <row r="2222">
      <c r="A2222" s="131">
        <f>IFERROR(__xludf.DUMMYFUNCTION("""COMPUTED_VALUE"""),46187.390393518515)</f>
        <v>46187.39039</v>
      </c>
      <c r="B2222" s="126">
        <f>IFERROR(__xludf.DUMMYFUNCTION("""COMPUTED_VALUE"""),46187.0)</f>
        <v>46187</v>
      </c>
      <c r="C2222" s="122" t="str">
        <f>IFERROR(__xludf.DUMMYFUNCTION("""COMPUTED_VALUE"""),"FAST")</f>
        <v>FAST</v>
      </c>
      <c r="D2222" s="122" t="str">
        <f>IFERROR(__xludf.DUMMYFUNCTION("""COMPUTED_VALUE"""),"Flash Logistics")</f>
        <v>Flash Logistics</v>
      </c>
      <c r="E2222" s="122">
        <f>IFERROR(__xludf.DUMMYFUNCTION("""COMPUTED_VALUE"""),102.4)</f>
        <v>102.4</v>
      </c>
      <c r="F2222" s="122">
        <f>IFERROR(__xludf.DUMMYFUNCTION("""COMPUTED_VALUE"""),0.0037)</f>
        <v>0.0037</v>
      </c>
    </row>
    <row r="2223">
      <c r="A2223" s="131">
        <f>IFERROR(__xludf.DUMMYFUNCTION("""COMPUTED_VALUE"""),46187.390393518515)</f>
        <v>46187.39039</v>
      </c>
      <c r="B2223" s="126">
        <f>IFERROR(__xludf.DUMMYFUNCTION("""COMPUTED_VALUE"""),46187.0)</f>
        <v>46187</v>
      </c>
      <c r="C2223" s="122" t="str">
        <f>IFERROR(__xludf.DUMMYFUNCTION("""COMPUTED_VALUE"""),"SHIP")</f>
        <v>SHIP</v>
      </c>
      <c r="D2223" s="122" t="str">
        <f>IFERROR(__xludf.DUMMYFUNCTION("""COMPUTED_VALUE"""),"Seoul Shipping")</f>
        <v>Seoul Shipping</v>
      </c>
      <c r="E2223" s="122">
        <f>IFERROR(__xludf.DUMMYFUNCTION("""COMPUTED_VALUE"""),116.83)</f>
        <v>116.83</v>
      </c>
      <c r="F2223" s="122">
        <f>IFERROR(__xludf.DUMMYFUNCTION("""COMPUTED_VALUE"""),-0.006)</f>
        <v>-0.006</v>
      </c>
    </row>
    <row r="2224">
      <c r="A2224" s="131">
        <f>IFERROR(__xludf.DUMMYFUNCTION("""COMPUTED_VALUE"""),46187.390393518515)</f>
        <v>46187.39039</v>
      </c>
      <c r="B2224" s="126">
        <f>IFERROR(__xludf.DUMMYFUNCTION("""COMPUTED_VALUE"""),46187.0)</f>
        <v>46187</v>
      </c>
      <c r="C2224" s="122" t="str">
        <f>IFERROR(__xludf.DUMMYFUNCTION("""COMPUTED_VALUE"""),"DRON")</f>
        <v>DRON</v>
      </c>
      <c r="D2224" s="122" t="str">
        <f>IFERROR(__xludf.DUMMYFUNCTION("""COMPUTED_VALUE"""),"DroneDrop")</f>
        <v>DroneDrop</v>
      </c>
      <c r="E2224" s="122">
        <f>IFERROR(__xludf.DUMMYFUNCTION("""COMPUTED_VALUE"""),129.09)</f>
        <v>129.09</v>
      </c>
      <c r="F2224" s="122">
        <f>IFERROR(__xludf.DUMMYFUNCTION("""COMPUTED_VALUE"""),-0.0096)</f>
        <v>-0.0096</v>
      </c>
    </row>
    <row r="2225">
      <c r="A2225" s="131">
        <f>IFERROR(__xludf.DUMMYFUNCTION("""COMPUTED_VALUE"""),46187.390393518515)</f>
        <v>46187.39039</v>
      </c>
      <c r="B2225" s="126">
        <f>IFERROR(__xludf.DUMMYFUNCTION("""COMPUTED_VALUE"""),46187.0)</f>
        <v>46187</v>
      </c>
      <c r="C2225" s="122" t="str">
        <f>IFERROR(__xludf.DUMMYFUNCTION("""COMPUTED_VALUE"""),"RIDE")</f>
        <v>RIDE</v>
      </c>
      <c r="D2225" s="122" t="str">
        <f>IFERROR(__xludf.DUMMYFUNCTION("""COMPUTED_VALUE"""),"QuickRide")</f>
        <v>QuickRide</v>
      </c>
      <c r="E2225" s="122">
        <f>IFERROR(__xludf.DUMMYFUNCTION("""COMPUTED_VALUE"""),97.08)</f>
        <v>97.08</v>
      </c>
      <c r="F2225" s="122">
        <f>IFERROR(__xludf.DUMMYFUNCTION("""COMPUTED_VALUE"""),3.0E-4)</f>
        <v>0.0003</v>
      </c>
    </row>
    <row r="2226">
      <c r="A2226" s="131">
        <f>IFERROR(__xludf.DUMMYFUNCTION("""COMPUTED_VALUE"""),46187.390393518515)</f>
        <v>46187.39039</v>
      </c>
      <c r="B2226" s="126">
        <f>IFERROR(__xludf.DUMMYFUNCTION("""COMPUTED_VALUE"""),46187.0)</f>
        <v>46187</v>
      </c>
      <c r="C2226" s="122" t="str">
        <f>IFERROR(__xludf.DUMMYFUNCTION("""COMPUTED_VALUE"""),"RAIL")</f>
        <v>RAIL</v>
      </c>
      <c r="D2226" s="122" t="str">
        <f>IFERROR(__xludf.DUMMYFUNCTION("""COMPUTED_VALUE"""),"MetroRail Corp")</f>
        <v>MetroRail Corp</v>
      </c>
      <c r="E2226" s="122">
        <f>IFERROR(__xludf.DUMMYFUNCTION("""COMPUTED_VALUE"""),136.1)</f>
        <v>136.1</v>
      </c>
      <c r="F2226" s="122">
        <f>IFERROR(__xludf.DUMMYFUNCTION("""COMPUTED_VALUE"""),1.0E-4)</f>
        <v>0.0001</v>
      </c>
    </row>
    <row r="2227">
      <c r="A2227" s="131">
        <f>IFERROR(__xludf.DUMMYFUNCTION("""COMPUTED_VALUE"""),46187.390393518515)</f>
        <v>46187.39039</v>
      </c>
      <c r="B2227" s="126">
        <f>IFERROR(__xludf.DUMMYFUNCTION("""COMPUTED_VALUE"""),46187.0)</f>
        <v>46187</v>
      </c>
      <c r="C2227" s="122" t="str">
        <f>IFERROR(__xludf.DUMMYFUNCTION("""COMPUTED_VALUE"""),"MEDX")</f>
        <v>MEDX</v>
      </c>
      <c r="D2227" s="122" t="str">
        <f>IFERROR(__xludf.DUMMYFUNCTION("""COMPUTED_VALUE"""),"MediCore")</f>
        <v>MediCore</v>
      </c>
      <c r="E2227" s="122">
        <f>IFERROR(__xludf.DUMMYFUNCTION("""COMPUTED_VALUE"""),137.73)</f>
        <v>137.73</v>
      </c>
      <c r="F2227" s="122">
        <f>IFERROR(__xludf.DUMMYFUNCTION("""COMPUTED_VALUE"""),0.0028)</f>
        <v>0.0028</v>
      </c>
    </row>
    <row r="2228">
      <c r="A2228" s="131">
        <f>IFERROR(__xludf.DUMMYFUNCTION("""COMPUTED_VALUE"""),46187.390393518515)</f>
        <v>46187.39039</v>
      </c>
      <c r="B2228" s="126">
        <f>IFERROR(__xludf.DUMMYFUNCTION("""COMPUTED_VALUE"""),46187.0)</f>
        <v>46187</v>
      </c>
      <c r="C2228" s="122" t="str">
        <f>IFERROR(__xludf.DUMMYFUNCTION("""COMPUTED_VALUE"""),"GYMX")</f>
        <v>GYMX</v>
      </c>
      <c r="D2228" s="122" t="str">
        <f>IFERROR(__xludf.DUMMYFUNCTION("""COMPUTED_VALUE"""),"GymX Fitness")</f>
        <v>GymX Fitness</v>
      </c>
      <c r="E2228" s="122">
        <f>IFERROR(__xludf.DUMMYFUNCTION("""COMPUTED_VALUE"""),86.4)</f>
        <v>86.4</v>
      </c>
      <c r="F2228" s="122">
        <f>IFERROR(__xludf.DUMMYFUNCTION("""COMPUTED_VALUE"""),-0.0051)</f>
        <v>-0.0051</v>
      </c>
    </row>
    <row r="2229">
      <c r="A2229" s="131">
        <f>IFERROR(__xludf.DUMMYFUNCTION("""COMPUTED_VALUE"""),46187.390393518515)</f>
        <v>46187.39039</v>
      </c>
      <c r="B2229" s="126">
        <f>IFERROR(__xludf.DUMMYFUNCTION("""COMPUTED_VALUE"""),46187.0)</f>
        <v>46187</v>
      </c>
      <c r="C2229" s="122" t="str">
        <f>IFERROR(__xludf.DUMMYFUNCTION("""COMPUTED_VALUE"""),"VITA")</f>
        <v>VITA</v>
      </c>
      <c r="D2229" s="122" t="str">
        <f>IFERROR(__xludf.DUMMYFUNCTION("""COMPUTED_VALUE"""),"VitaPlus")</f>
        <v>VitaPlus</v>
      </c>
      <c r="E2229" s="122">
        <f>IFERROR(__xludf.DUMMYFUNCTION("""COMPUTED_VALUE"""),74.75)</f>
        <v>74.75</v>
      </c>
      <c r="F2229" s="122">
        <f>IFERROR(__xludf.DUMMYFUNCTION("""COMPUTED_VALUE"""),-0.0053)</f>
        <v>-0.0053</v>
      </c>
    </row>
    <row r="2230">
      <c r="A2230" s="131">
        <f>IFERROR(__xludf.DUMMYFUNCTION("""COMPUTED_VALUE"""),46187.390393518515)</f>
        <v>46187.39039</v>
      </c>
      <c r="B2230" s="126">
        <f>IFERROR(__xludf.DUMMYFUNCTION("""COMPUTED_VALUE"""),46187.0)</f>
        <v>46187</v>
      </c>
      <c r="C2230" s="122" t="str">
        <f>IFERROR(__xludf.DUMMYFUNCTION("""COMPUTED_VALUE"""),"CARE")</f>
        <v>CARE</v>
      </c>
      <c r="D2230" s="122" t="str">
        <f>IFERROR(__xludf.DUMMYFUNCTION("""COMPUTED_VALUE"""),"CareCloud")</f>
        <v>CareCloud</v>
      </c>
      <c r="E2230" s="122">
        <f>IFERROR(__xludf.DUMMYFUNCTION("""COMPUTED_VALUE"""),180.14)</f>
        <v>180.14</v>
      </c>
      <c r="F2230" s="122">
        <f>IFERROR(__xludf.DUMMYFUNCTION("""COMPUTED_VALUE"""),-0.0017)</f>
        <v>-0.0017</v>
      </c>
    </row>
    <row r="2231">
      <c r="A2231" s="131">
        <f>IFERROR(__xludf.DUMMYFUNCTION("""COMPUTED_VALUE"""),46187.390393518515)</f>
        <v>46187.39039</v>
      </c>
      <c r="B2231" s="126">
        <f>IFERROR(__xludf.DUMMYFUNCTION("""COMPUTED_VALUE"""),46187.0)</f>
        <v>46187</v>
      </c>
      <c r="C2231" s="122" t="str">
        <f>IFERROR(__xludf.DUMMYFUNCTION("""COMPUTED_VALUE"""),"DENT")</f>
        <v>DENT</v>
      </c>
      <c r="D2231" s="122" t="str">
        <f>IFERROR(__xludf.DUMMYFUNCTION("""COMPUTED_VALUE"""),"SmileWorks")</f>
        <v>SmileWorks</v>
      </c>
      <c r="E2231" s="122">
        <f>IFERROR(__xludf.DUMMYFUNCTION("""COMPUTED_VALUE"""),82.4)</f>
        <v>82.4</v>
      </c>
      <c r="F2231" s="122">
        <f>IFERROR(__xludf.DUMMYFUNCTION("""COMPUTED_VALUE"""),2.0E-4)</f>
        <v>0.0002</v>
      </c>
    </row>
    <row r="2232">
      <c r="A2232" s="131">
        <f>IFERROR(__xludf.DUMMYFUNCTION("""COMPUTED_VALUE"""),46187.390393518515)</f>
        <v>46187.39039</v>
      </c>
      <c r="B2232" s="126">
        <f>IFERROR(__xludf.DUMMYFUNCTION("""COMPUTED_VALUE"""),46187.0)</f>
        <v>46187</v>
      </c>
      <c r="C2232" s="122" t="str">
        <f>IFERROR(__xludf.DUMMYFUNCTION("""COMPUTED_VALUE"""),"EDUX")</f>
        <v>EDUX</v>
      </c>
      <c r="D2232" s="122" t="str">
        <f>IFERROR(__xludf.DUMMYFUNCTION("""COMPUTED_VALUE"""),"EduMax Learning")</f>
        <v>EduMax Learning</v>
      </c>
      <c r="E2232" s="122">
        <f>IFERROR(__xludf.DUMMYFUNCTION("""COMPUTED_VALUE"""),132.07)</f>
        <v>132.07</v>
      </c>
      <c r="F2232" s="122">
        <f>IFERROR(__xludf.DUMMYFUNCTION("""COMPUTED_VALUE"""),0.0066)</f>
        <v>0.0066</v>
      </c>
    </row>
    <row r="2233">
      <c r="A2233" s="131">
        <f>IFERROR(__xludf.DUMMYFUNCTION("""COMPUTED_VALUE"""),46187.390393518515)</f>
        <v>46187.39039</v>
      </c>
      <c r="B2233" s="126">
        <f>IFERROR(__xludf.DUMMYFUNCTION("""COMPUTED_VALUE"""),46187.0)</f>
        <v>46187</v>
      </c>
      <c r="C2233" s="122" t="str">
        <f>IFERROR(__xludf.DUMMYFUNCTION("""COMPUTED_VALUE"""),"BOOK")</f>
        <v>BOOK</v>
      </c>
      <c r="D2233" s="122" t="str">
        <f>IFERROR(__xludf.DUMMYFUNCTION("""COMPUTED_VALUE"""),"BookBridge")</f>
        <v>BookBridge</v>
      </c>
      <c r="E2233" s="122">
        <f>IFERROR(__xludf.DUMMYFUNCTION("""COMPUTED_VALUE"""),114.16)</f>
        <v>114.16</v>
      </c>
      <c r="F2233" s="122">
        <f>IFERROR(__xludf.DUMMYFUNCTION("""COMPUTED_VALUE"""),0.0043)</f>
        <v>0.0043</v>
      </c>
    </row>
    <row r="2234">
      <c r="A2234" s="131">
        <f>IFERROR(__xludf.DUMMYFUNCTION("""COMPUTED_VALUE"""),46187.390393518515)</f>
        <v>46187.39039</v>
      </c>
      <c r="B2234" s="126">
        <f>IFERROR(__xludf.DUMMYFUNCTION("""COMPUTED_VALUE"""),46187.0)</f>
        <v>46187</v>
      </c>
      <c r="C2234" s="122" t="str">
        <f>IFERROR(__xludf.DUMMYFUNCTION("""COMPUTED_VALUE"""),"TUTR")</f>
        <v>TUTR</v>
      </c>
      <c r="D2234" s="122" t="str">
        <f>IFERROR(__xludf.DUMMYFUNCTION("""COMPUTED_VALUE"""),"TutorTown")</f>
        <v>TutorTown</v>
      </c>
      <c r="E2234" s="122">
        <f>IFERROR(__xludf.DUMMYFUNCTION("""COMPUTED_VALUE"""),89.39)</f>
        <v>89.39</v>
      </c>
      <c r="F2234" s="122">
        <f>IFERROR(__xludf.DUMMYFUNCTION("""COMPUTED_VALUE"""),0.0)</f>
        <v>0</v>
      </c>
    </row>
    <row r="2235">
      <c r="A2235" s="131">
        <f>IFERROR(__xludf.DUMMYFUNCTION("""COMPUTED_VALUE"""),46187.390393518515)</f>
        <v>46187.39039</v>
      </c>
      <c r="B2235" s="126">
        <f>IFERROR(__xludf.DUMMYFUNCTION("""COMPUTED_VALUE"""),46187.0)</f>
        <v>46187</v>
      </c>
      <c r="C2235" s="122" t="str">
        <f>IFERROR(__xludf.DUMMYFUNCTION("""COMPUTED_VALUE"""),"LANG")</f>
        <v>LANG</v>
      </c>
      <c r="D2235" s="122" t="str">
        <f>IFERROR(__xludf.DUMMYFUNCTION("""COMPUTED_VALUE"""),"LinguaLab")</f>
        <v>LinguaLab</v>
      </c>
      <c r="E2235" s="122">
        <f>IFERROR(__xludf.DUMMYFUNCTION("""COMPUTED_VALUE"""),96.16)</f>
        <v>96.16</v>
      </c>
      <c r="F2235" s="122">
        <f>IFERROR(__xludf.DUMMYFUNCTION("""COMPUTED_VALUE"""),0.002)</f>
        <v>0.002</v>
      </c>
    </row>
    <row r="2236">
      <c r="A2236" s="131">
        <f>IFERROR(__xludf.DUMMYFUNCTION("""COMPUTED_VALUE"""),46187.390393518515)</f>
        <v>46187.39039</v>
      </c>
      <c r="B2236" s="126">
        <f>IFERROR(__xludf.DUMMYFUNCTION("""COMPUTED_VALUE"""),46187.0)</f>
        <v>46187</v>
      </c>
      <c r="C2236" s="122" t="str">
        <f>IFERROR(__xludf.DUMMYFUNCTION("""COMPUTED_VALUE"""),"TEST")</f>
        <v>TEST</v>
      </c>
      <c r="D2236" s="122" t="str">
        <f>IFERROR(__xludf.DUMMYFUNCTION("""COMPUTED_VALUE"""),"TestPrep Pro")</f>
        <v>TestPrep Pro</v>
      </c>
      <c r="E2236" s="122">
        <f>IFERROR(__xludf.DUMMYFUNCTION("""COMPUTED_VALUE"""),101.53)</f>
        <v>101.53</v>
      </c>
      <c r="F2236" s="122">
        <f>IFERROR(__xludf.DUMMYFUNCTION("""COMPUTED_VALUE"""),-7.0E-4)</f>
        <v>-0.0007</v>
      </c>
    </row>
    <row r="2237">
      <c r="A2237" s="131">
        <f>IFERROR(__xludf.DUMMYFUNCTION("""COMPUTED_VALUE"""),46187.390393518515)</f>
        <v>46187.39039</v>
      </c>
      <c r="B2237" s="126">
        <f>IFERROR(__xludf.DUMMYFUNCTION("""COMPUTED_VALUE"""),46187.0)</f>
        <v>46187</v>
      </c>
      <c r="C2237" s="122" t="str">
        <f>IFERROR(__xludf.DUMMYFUNCTION("""COMPUTED_VALUE"""),"MOVI")</f>
        <v>MOVI</v>
      </c>
      <c r="D2237" s="122" t="str">
        <f>IFERROR(__xludf.DUMMYFUNCTION("""COMPUTED_VALUE"""),"MovieBox")</f>
        <v>MovieBox</v>
      </c>
      <c r="E2237" s="122">
        <f>IFERROR(__xludf.DUMMYFUNCTION("""COMPUTED_VALUE"""),81.06)</f>
        <v>81.06</v>
      </c>
      <c r="F2237" s="122">
        <f>IFERROR(__xludf.DUMMYFUNCTION("""COMPUTED_VALUE"""),-0.0038)</f>
        <v>-0.0038</v>
      </c>
    </row>
    <row r="2238">
      <c r="A2238" s="131">
        <f>IFERROR(__xludf.DUMMYFUNCTION("""COMPUTED_VALUE"""),46187.390393518515)</f>
        <v>46187.39039</v>
      </c>
      <c r="B2238" s="126">
        <f>IFERROR(__xludf.DUMMYFUNCTION("""COMPUTED_VALUE"""),46187.0)</f>
        <v>46187</v>
      </c>
      <c r="C2238" s="122" t="str">
        <f>IFERROR(__xludf.DUMMYFUNCTION("""COMPUTED_VALUE"""),"MUSC")</f>
        <v>MUSC</v>
      </c>
      <c r="D2238" s="122" t="str">
        <f>IFERROR(__xludf.DUMMYFUNCTION("""COMPUTED_VALUE"""),"MusicWave")</f>
        <v>MusicWave</v>
      </c>
      <c r="E2238" s="122">
        <f>IFERROR(__xludf.DUMMYFUNCTION("""COMPUTED_VALUE"""),96.62)</f>
        <v>96.62</v>
      </c>
      <c r="F2238" s="122">
        <f>IFERROR(__xludf.DUMMYFUNCTION("""COMPUTED_VALUE"""),0.0043)</f>
        <v>0.0043</v>
      </c>
    </row>
    <row r="2239">
      <c r="A2239" s="131">
        <f>IFERROR(__xludf.DUMMYFUNCTION("""COMPUTED_VALUE"""),46187.390393518515)</f>
        <v>46187.39039</v>
      </c>
      <c r="B2239" s="126">
        <f>IFERROR(__xludf.DUMMYFUNCTION("""COMPUTED_VALUE"""),46187.0)</f>
        <v>46187</v>
      </c>
      <c r="C2239" s="122" t="str">
        <f>IFERROR(__xludf.DUMMYFUNCTION("""COMPUTED_VALUE"""),"IDOL")</f>
        <v>IDOL</v>
      </c>
      <c r="D2239" s="122" t="str">
        <f>IFERROR(__xludf.DUMMYFUNCTION("""COMPUTED_VALUE"""),"Idol Agency")</f>
        <v>Idol Agency</v>
      </c>
      <c r="E2239" s="122">
        <f>IFERROR(__xludf.DUMMYFUNCTION("""COMPUTED_VALUE"""),196.96)</f>
        <v>196.96</v>
      </c>
      <c r="F2239" s="122">
        <f>IFERROR(__xludf.DUMMYFUNCTION("""COMPUTED_VALUE"""),-0.0091)</f>
        <v>-0.0091</v>
      </c>
    </row>
    <row r="2240">
      <c r="A2240" s="131">
        <f>IFERROR(__xludf.DUMMYFUNCTION("""COMPUTED_VALUE"""),46187.390393518515)</f>
        <v>46187.39039</v>
      </c>
      <c r="B2240" s="126">
        <f>IFERROR(__xludf.DUMMYFUNCTION("""COMPUTED_VALUE"""),46187.0)</f>
        <v>46187</v>
      </c>
      <c r="C2240" s="122" t="str">
        <f>IFERROR(__xludf.DUMMYFUNCTION("""COMPUTED_VALUE"""),"MEME")</f>
        <v>MEME</v>
      </c>
      <c r="D2240" s="122" t="str">
        <f>IFERROR(__xludf.DUMMYFUNCTION("""COMPUTED_VALUE"""),"Meme Media")</f>
        <v>Meme Media</v>
      </c>
      <c r="E2240" s="122">
        <f>IFERROR(__xludf.DUMMYFUNCTION("""COMPUTED_VALUE"""),78.94)</f>
        <v>78.94</v>
      </c>
      <c r="F2240" s="122">
        <f>IFERROR(__xludf.DUMMYFUNCTION("""COMPUTED_VALUE"""),-0.0043)</f>
        <v>-0.0043</v>
      </c>
    </row>
    <row r="2241">
      <c r="A2241" s="131">
        <f>IFERROR(__xludf.DUMMYFUNCTION("""COMPUTED_VALUE"""),46187.390393518515)</f>
        <v>46187.39039</v>
      </c>
      <c r="B2241" s="126">
        <f>IFERROR(__xludf.DUMMYFUNCTION("""COMPUTED_VALUE"""),46187.0)</f>
        <v>46187</v>
      </c>
      <c r="C2241" s="122" t="str">
        <f>IFERROR(__xludf.DUMMYFUNCTION("""COMPUTED_VALUE"""),"STRM")</f>
        <v>STRM</v>
      </c>
      <c r="D2241" s="122" t="str">
        <f>IFERROR(__xludf.DUMMYFUNCTION("""COMPUTED_VALUE"""),"Streamly")</f>
        <v>Streamly</v>
      </c>
      <c r="E2241" s="122">
        <f>IFERROR(__xludf.DUMMYFUNCTION("""COMPUTED_VALUE"""),134.46)</f>
        <v>134.46</v>
      </c>
      <c r="F2241" s="122">
        <f>IFERROR(__xludf.DUMMYFUNCTION("""COMPUTED_VALUE"""),0.0068)</f>
        <v>0.0068</v>
      </c>
    </row>
    <row r="2242">
      <c r="A2242" s="131">
        <f>IFERROR(__xludf.DUMMYFUNCTION("""COMPUTED_VALUE"""),46187.390393518515)</f>
        <v>46187.39039</v>
      </c>
      <c r="B2242" s="126">
        <f>IFERROR(__xludf.DUMMYFUNCTION("""COMPUTED_VALUE"""),46187.0)</f>
        <v>46187</v>
      </c>
      <c r="C2242" s="122" t="str">
        <f>IFERROR(__xludf.DUMMYFUNCTION("""COMPUTED_VALUE"""),"FARM")</f>
        <v>FARM</v>
      </c>
      <c r="D2242" s="122" t="str">
        <f>IFERROR(__xludf.DUMMYFUNCTION("""COMPUTED_VALUE"""),"Future Farms")</f>
        <v>Future Farms</v>
      </c>
      <c r="E2242" s="122">
        <f>IFERROR(__xludf.DUMMYFUNCTION("""COMPUTED_VALUE"""),81.57)</f>
        <v>81.57</v>
      </c>
      <c r="F2242" s="122">
        <f>IFERROR(__xludf.DUMMYFUNCTION("""COMPUTED_VALUE"""),0.0046)</f>
        <v>0.0046</v>
      </c>
    </row>
    <row r="2243">
      <c r="A2243" s="131">
        <f>IFERROR(__xludf.DUMMYFUNCTION("""COMPUTED_VALUE"""),46187.390393518515)</f>
        <v>46187.39039</v>
      </c>
      <c r="B2243" s="126">
        <f>IFERROR(__xludf.DUMMYFUNCTION("""COMPUTED_VALUE"""),46187.0)</f>
        <v>46187</v>
      </c>
      <c r="C2243" s="122" t="str">
        <f>IFERROR(__xludf.DUMMYFUNCTION("""COMPUTED_VALUE"""),"MEAT")</f>
        <v>MEAT</v>
      </c>
      <c r="D2243" s="122" t="str">
        <f>IFERROR(__xludf.DUMMYFUNCTION("""COMPUTED_VALUE"""),"MeatWorks")</f>
        <v>MeatWorks</v>
      </c>
      <c r="E2243" s="122">
        <f>IFERROR(__xludf.DUMMYFUNCTION("""COMPUTED_VALUE"""),103.38)</f>
        <v>103.38</v>
      </c>
      <c r="F2243" s="122">
        <f>IFERROR(__xludf.DUMMYFUNCTION("""COMPUTED_VALUE"""),0.0058)</f>
        <v>0.0058</v>
      </c>
    </row>
    <row r="2244">
      <c r="A2244" s="131">
        <f>IFERROR(__xludf.DUMMYFUNCTION("""COMPUTED_VALUE"""),46187.390393518515)</f>
        <v>46187.39039</v>
      </c>
      <c r="B2244" s="126">
        <f>IFERROR(__xludf.DUMMYFUNCTION("""COMPUTED_VALUE"""),46187.0)</f>
        <v>46187</v>
      </c>
      <c r="C2244" s="122" t="str">
        <f>IFERROR(__xludf.DUMMYFUNCTION("""COMPUTED_VALUE"""),"VEGI")</f>
        <v>VEGI</v>
      </c>
      <c r="D2244" s="122" t="str">
        <f>IFERROR(__xludf.DUMMYFUNCTION("""COMPUTED_VALUE"""),"Green Basket")</f>
        <v>Green Basket</v>
      </c>
      <c r="E2244" s="122">
        <f>IFERROR(__xludf.DUMMYFUNCTION("""COMPUTED_VALUE"""),82.07)</f>
        <v>82.07</v>
      </c>
      <c r="F2244" s="122">
        <f>IFERROR(__xludf.DUMMYFUNCTION("""COMPUTED_VALUE"""),-0.004)</f>
        <v>-0.004</v>
      </c>
    </row>
    <row r="2245">
      <c r="A2245" s="131">
        <f>IFERROR(__xludf.DUMMYFUNCTION("""COMPUTED_VALUE"""),46187.390393518515)</f>
        <v>46187.39039</v>
      </c>
      <c r="B2245" s="126">
        <f>IFERROR(__xludf.DUMMYFUNCTION("""COMPUTED_VALUE"""),46187.0)</f>
        <v>46187</v>
      </c>
      <c r="C2245" s="122" t="str">
        <f>IFERROR(__xludf.DUMMYFUNCTION("""COMPUTED_VALUE"""),"CAFE")</f>
        <v>CAFE</v>
      </c>
      <c r="D2245" s="122" t="str">
        <f>IFERROR(__xludf.DUMMYFUNCTION("""COMPUTED_VALUE"""),"Cafe Cloud")</f>
        <v>Cafe Cloud</v>
      </c>
      <c r="E2245" s="122">
        <f>IFERROR(__xludf.DUMMYFUNCTION("""COMPUTED_VALUE"""),99.58)</f>
        <v>99.58</v>
      </c>
      <c r="F2245" s="122">
        <f>IFERROR(__xludf.DUMMYFUNCTION("""COMPUTED_VALUE"""),0.0034)</f>
        <v>0.0034</v>
      </c>
    </row>
    <row r="2246">
      <c r="A2246" s="131">
        <f>IFERROR(__xludf.DUMMYFUNCTION("""COMPUTED_VALUE"""),46187.390393518515)</f>
        <v>46187.39039</v>
      </c>
      <c r="B2246" s="126">
        <f>IFERROR(__xludf.DUMMYFUNCTION("""COMPUTED_VALUE"""),46187.0)</f>
        <v>46187</v>
      </c>
      <c r="C2246" s="122" t="str">
        <f>IFERROR(__xludf.DUMMYFUNCTION("""COMPUTED_VALUE"""),"BAKE")</f>
        <v>BAKE</v>
      </c>
      <c r="D2246" s="122" t="str">
        <f>IFERROR(__xludf.DUMMYFUNCTION("""COMPUTED_VALUE"""),"BakeHouse")</f>
        <v>BakeHouse</v>
      </c>
      <c r="E2246" s="122">
        <f>IFERROR(__xludf.DUMMYFUNCTION("""COMPUTED_VALUE"""),99.99)</f>
        <v>99.99</v>
      </c>
      <c r="F2246" s="122">
        <f>IFERROR(__xludf.DUMMYFUNCTION("""COMPUTED_VALUE"""),0.0026)</f>
        <v>0.0026</v>
      </c>
    </row>
    <row r="2247">
      <c r="A2247" s="131">
        <f>IFERROR(__xludf.DUMMYFUNCTION("""COMPUTED_VALUE"""),46187.390393518515)</f>
        <v>46187.39039</v>
      </c>
      <c r="B2247" s="126">
        <f>IFERROR(__xludf.DUMMYFUNCTION("""COMPUTED_VALUE"""),46187.0)</f>
        <v>46187</v>
      </c>
      <c r="C2247" s="122" t="str">
        <f>IFERROR(__xludf.DUMMYFUNCTION("""COMPUTED_VALUE"""),"OILX")</f>
        <v>OILX</v>
      </c>
      <c r="D2247" s="122" t="str">
        <f>IFERROR(__xludf.DUMMYFUNCTION("""COMPUTED_VALUE"""),"OilMax Energy")</f>
        <v>OilMax Energy</v>
      </c>
      <c r="E2247" s="122">
        <f>IFERROR(__xludf.DUMMYFUNCTION("""COMPUTED_VALUE"""),129.68)</f>
        <v>129.68</v>
      </c>
      <c r="F2247" s="122">
        <f>IFERROR(__xludf.DUMMYFUNCTION("""COMPUTED_VALUE"""),0.0093)</f>
        <v>0.0093</v>
      </c>
    </row>
    <row r="2248">
      <c r="A2248" s="131">
        <f>IFERROR(__xludf.DUMMYFUNCTION("""COMPUTED_VALUE"""),46187.390393518515)</f>
        <v>46187.39039</v>
      </c>
      <c r="B2248" s="126">
        <f>IFERROR(__xludf.DUMMYFUNCTION("""COMPUTED_VALUE"""),46187.0)</f>
        <v>46187</v>
      </c>
      <c r="C2248" s="122" t="str">
        <f>IFERROR(__xludf.DUMMYFUNCTION("""COMPUTED_VALUE"""),"SOLR")</f>
        <v>SOLR</v>
      </c>
      <c r="D2248" s="122" t="str">
        <f>IFERROR(__xludf.DUMMYFUNCTION("""COMPUTED_VALUE"""),"SolarSpark")</f>
        <v>SolarSpark</v>
      </c>
      <c r="E2248" s="122">
        <f>IFERROR(__xludf.DUMMYFUNCTION("""COMPUTED_VALUE"""),87.58)</f>
        <v>87.58</v>
      </c>
      <c r="F2248" s="122">
        <f>IFERROR(__xludf.DUMMYFUNCTION("""COMPUTED_VALUE"""),0.0081)</f>
        <v>0.0081</v>
      </c>
    </row>
    <row r="2249">
      <c r="A2249" s="131">
        <f>IFERROR(__xludf.DUMMYFUNCTION("""COMPUTED_VALUE"""),46187.390393518515)</f>
        <v>46187.39039</v>
      </c>
      <c r="B2249" s="126">
        <f>IFERROR(__xludf.DUMMYFUNCTION("""COMPUTED_VALUE"""),46187.0)</f>
        <v>46187</v>
      </c>
      <c r="C2249" s="122" t="str">
        <f>IFERROR(__xludf.DUMMYFUNCTION("""COMPUTED_VALUE"""),"BATT")</f>
        <v>BATT</v>
      </c>
      <c r="D2249" s="122" t="str">
        <f>IFERROR(__xludf.DUMMYFUNCTION("""COMPUTED_VALUE"""),"BatteryBox")</f>
        <v>BatteryBox</v>
      </c>
      <c r="E2249" s="122">
        <f>IFERROR(__xludf.DUMMYFUNCTION("""COMPUTED_VALUE"""),120.08)</f>
        <v>120.08</v>
      </c>
      <c r="F2249" s="122">
        <f>IFERROR(__xludf.DUMMYFUNCTION("""COMPUTED_VALUE"""),-5.0E-4)</f>
        <v>-0.0005</v>
      </c>
    </row>
    <row r="2250">
      <c r="A2250" s="131">
        <f>IFERROR(__xludf.DUMMYFUNCTION("""COMPUTED_VALUE"""),46187.390393518515)</f>
        <v>46187.39039</v>
      </c>
      <c r="B2250" s="126">
        <f>IFERROR(__xludf.DUMMYFUNCTION("""COMPUTED_VALUE"""),46187.0)</f>
        <v>46187</v>
      </c>
      <c r="C2250" s="122" t="str">
        <f>IFERROR(__xludf.DUMMYFUNCTION("""COMPUTED_VALUE"""),"WIND")</f>
        <v>WIND</v>
      </c>
      <c r="D2250" s="122" t="str">
        <f>IFERROR(__xludf.DUMMYFUNCTION("""COMPUTED_VALUE"""),"WindWorks")</f>
        <v>WindWorks</v>
      </c>
      <c r="E2250" s="122">
        <f>IFERROR(__xludf.DUMMYFUNCTION("""COMPUTED_VALUE"""),87.19)</f>
        <v>87.19</v>
      </c>
      <c r="F2250" s="122">
        <f>IFERROR(__xludf.DUMMYFUNCTION("""COMPUTED_VALUE"""),-0.005)</f>
        <v>-0.005</v>
      </c>
    </row>
    <row r="2251">
      <c r="A2251" s="131">
        <f>IFERROR(__xludf.DUMMYFUNCTION("""COMPUTED_VALUE"""),46187.390393518515)</f>
        <v>46187.39039</v>
      </c>
      <c r="B2251" s="126">
        <f>IFERROR(__xludf.DUMMYFUNCTION("""COMPUTED_VALUE"""),46187.0)</f>
        <v>46187</v>
      </c>
      <c r="C2251" s="122" t="str">
        <f>IFERROR(__xludf.DUMMYFUNCTION("""COMPUTED_VALUE"""),"GRID")</f>
        <v>GRID</v>
      </c>
      <c r="D2251" s="122" t="str">
        <f>IFERROR(__xludf.DUMMYFUNCTION("""COMPUTED_VALUE"""),"GridPower")</f>
        <v>GridPower</v>
      </c>
      <c r="E2251" s="122">
        <f>IFERROR(__xludf.DUMMYFUNCTION("""COMPUTED_VALUE"""),144.87)</f>
        <v>144.87</v>
      </c>
      <c r="F2251" s="122">
        <f>IFERROR(__xludf.DUMMYFUNCTION("""COMPUTED_VALUE"""),-0.0012)</f>
        <v>-0.0012</v>
      </c>
    </row>
    <row r="2252">
      <c r="A2252" s="131">
        <f>IFERROR(__xludf.DUMMYFUNCTION("""COMPUTED_VALUE"""),46187.390393518515)</f>
        <v>46187.39039</v>
      </c>
      <c r="B2252" s="126">
        <f>IFERROR(__xludf.DUMMYFUNCTION("""COMPUTED_VALUE"""),46187.0)</f>
        <v>46187</v>
      </c>
      <c r="C2252" s="122" t="str">
        <f>IFERROR(__xludf.DUMMYFUNCTION("""COMPUTED_VALUE"""),"HOME")</f>
        <v>HOME</v>
      </c>
      <c r="D2252" s="122" t="str">
        <f>IFERROR(__xludf.DUMMYFUNCTION("""COMPUTED_VALUE"""),"HomeHub")</f>
        <v>HomeHub</v>
      </c>
      <c r="E2252" s="122">
        <f>IFERROR(__xludf.DUMMYFUNCTION("""COMPUTED_VALUE"""),147.89)</f>
        <v>147.89</v>
      </c>
      <c r="F2252" s="122">
        <f>IFERROR(__xludf.DUMMYFUNCTION("""COMPUTED_VALUE"""),-0.0013)</f>
        <v>-0.0013</v>
      </c>
    </row>
    <row r="2253">
      <c r="A2253" s="131">
        <f>IFERROR(__xludf.DUMMYFUNCTION("""COMPUTED_VALUE"""),46187.390393518515)</f>
        <v>46187.39039</v>
      </c>
      <c r="B2253" s="126">
        <f>IFERROR(__xludf.DUMMYFUNCTION("""COMPUTED_VALUE"""),46187.0)</f>
        <v>46187</v>
      </c>
      <c r="C2253" s="122" t="str">
        <f>IFERROR(__xludf.DUMMYFUNCTION("""COMPUTED_VALUE"""),"RENT")</f>
        <v>RENT</v>
      </c>
      <c r="D2253" s="122" t="str">
        <f>IFERROR(__xludf.DUMMYFUNCTION("""COMPUTED_VALUE"""),"RentRight")</f>
        <v>RentRight</v>
      </c>
      <c r="E2253" s="122">
        <f>IFERROR(__xludf.DUMMYFUNCTION("""COMPUTED_VALUE"""),91.47)</f>
        <v>91.47</v>
      </c>
      <c r="F2253" s="122">
        <f>IFERROR(__xludf.DUMMYFUNCTION("""COMPUTED_VALUE"""),0.0045)</f>
        <v>0.0045</v>
      </c>
    </row>
    <row r="2254">
      <c r="A2254" s="131">
        <f>IFERROR(__xludf.DUMMYFUNCTION("""COMPUTED_VALUE"""),46187.390393518515)</f>
        <v>46187.39039</v>
      </c>
      <c r="B2254" s="126">
        <f>IFERROR(__xludf.DUMMYFUNCTION("""COMPUTED_VALUE"""),46187.0)</f>
        <v>46187</v>
      </c>
      <c r="C2254" s="122" t="str">
        <f>IFERROR(__xludf.DUMMYFUNCTION("""COMPUTED_VALUE"""),"MALL")</f>
        <v>MALL</v>
      </c>
      <c r="D2254" s="122" t="str">
        <f>IFERROR(__xludf.DUMMYFUNCTION("""COMPUTED_VALUE"""),"MegaMall")</f>
        <v>MegaMall</v>
      </c>
      <c r="E2254" s="122">
        <f>IFERROR(__xludf.DUMMYFUNCTION("""COMPUTED_VALUE"""),98.8)</f>
        <v>98.8</v>
      </c>
      <c r="F2254" s="122">
        <f>IFERROR(__xludf.DUMMYFUNCTION("""COMPUTED_VALUE"""),-4.0E-4)</f>
        <v>-0.0004</v>
      </c>
    </row>
    <row r="2255">
      <c r="A2255" s="131">
        <f>IFERROR(__xludf.DUMMYFUNCTION("""COMPUTED_VALUE"""),46187.390393518515)</f>
        <v>46187.39039</v>
      </c>
      <c r="B2255" s="126">
        <f>IFERROR(__xludf.DUMMYFUNCTION("""COMPUTED_VALUE"""),46187.0)</f>
        <v>46187</v>
      </c>
      <c r="C2255" s="122" t="str">
        <f>IFERROR(__xludf.DUMMYFUNCTION("""COMPUTED_VALUE"""),"HOTL")</f>
        <v>HOTL</v>
      </c>
      <c r="D2255" s="122" t="str">
        <f>IFERROR(__xludf.DUMMYFUNCTION("""COMPUTED_VALUE"""),"HotelHive")</f>
        <v>HotelHive</v>
      </c>
      <c r="E2255" s="122">
        <f>IFERROR(__xludf.DUMMYFUNCTION("""COMPUTED_VALUE"""),132.68)</f>
        <v>132.68</v>
      </c>
      <c r="F2255" s="122">
        <f>IFERROR(__xludf.DUMMYFUNCTION("""COMPUTED_VALUE"""),-0.0035)</f>
        <v>-0.0035</v>
      </c>
    </row>
    <row r="2256">
      <c r="A2256" s="131">
        <f>IFERROR(__xludf.DUMMYFUNCTION("""COMPUTED_VALUE"""),46187.390393518515)</f>
        <v>46187.39039</v>
      </c>
      <c r="B2256" s="126">
        <f>IFERROR(__xludf.DUMMYFUNCTION("""COMPUTED_VALUE"""),46187.0)</f>
        <v>46187</v>
      </c>
      <c r="C2256" s="122" t="str">
        <f>IFERROR(__xludf.DUMMYFUNCTION("""COMPUTED_VALUE"""),"LAND")</f>
        <v>LAND</v>
      </c>
      <c r="D2256" s="122" t="str">
        <f>IFERROR(__xludf.DUMMYFUNCTION("""COMPUTED_VALUE"""),"LandLink")</f>
        <v>LandLink</v>
      </c>
      <c r="E2256" s="122">
        <f>IFERROR(__xludf.DUMMYFUNCTION("""COMPUTED_VALUE"""),183.22)</f>
        <v>183.22</v>
      </c>
      <c r="F2256" s="122">
        <f>IFERROR(__xludf.DUMMYFUNCTION("""COMPUTED_VALUE"""),-7.0E-4)</f>
        <v>-0.0007</v>
      </c>
    </row>
    <row r="2257">
      <c r="A2257" s="131">
        <f>IFERROR(__xludf.DUMMYFUNCTION("""COMPUTED_VALUE"""),46187.390393518515)</f>
        <v>46187.39039</v>
      </c>
      <c r="B2257" s="126">
        <f>IFERROR(__xludf.DUMMYFUNCTION("""COMPUTED_VALUE"""),46187.0)</f>
        <v>46187</v>
      </c>
      <c r="C2257" s="122" t="str">
        <f>IFERROR(__xludf.DUMMYFUNCTION("""COMPUTED_VALUE"""),"CARS")</f>
        <v>CARS</v>
      </c>
      <c r="D2257" s="122" t="str">
        <f>IFERROR(__xludf.DUMMYFUNCTION("""COMPUTED_VALUE"""),"AutoArena")</f>
        <v>AutoArena</v>
      </c>
      <c r="E2257" s="122">
        <f>IFERROR(__xludf.DUMMYFUNCTION("""COMPUTED_VALUE"""),78.67)</f>
        <v>78.67</v>
      </c>
      <c r="F2257" s="122">
        <f>IFERROR(__xludf.DUMMYFUNCTION("""COMPUTED_VALUE"""),-0.0096)</f>
        <v>-0.0096</v>
      </c>
    </row>
    <row r="2258">
      <c r="A2258" s="131">
        <f>IFERROR(__xludf.DUMMYFUNCTION("""COMPUTED_VALUE"""),46187.390393518515)</f>
        <v>46187.39039</v>
      </c>
      <c r="B2258" s="126">
        <f>IFERROR(__xludf.DUMMYFUNCTION("""COMPUTED_VALUE"""),46187.0)</f>
        <v>46187</v>
      </c>
      <c r="C2258" s="122" t="str">
        <f>IFERROR(__xludf.DUMMYFUNCTION("""COMPUTED_VALUE"""),"EVGO")</f>
        <v>EVGO</v>
      </c>
      <c r="D2258" s="122" t="str">
        <f>IFERROR(__xludf.DUMMYFUNCTION("""COMPUTED_VALUE"""),"EVGo Motors")</f>
        <v>EVGo Motors</v>
      </c>
      <c r="E2258" s="122">
        <f>IFERROR(__xludf.DUMMYFUNCTION("""COMPUTED_VALUE"""),197.3)</f>
        <v>197.3</v>
      </c>
      <c r="F2258" s="122">
        <f>IFERROR(__xludf.DUMMYFUNCTION("""COMPUTED_VALUE"""),0.005)</f>
        <v>0.005</v>
      </c>
    </row>
    <row r="2259">
      <c r="A2259" s="131">
        <f>IFERROR(__xludf.DUMMYFUNCTION("""COMPUTED_VALUE"""),46187.390393518515)</f>
        <v>46187.39039</v>
      </c>
      <c r="B2259" s="126">
        <f>IFERROR(__xludf.DUMMYFUNCTION("""COMPUTED_VALUE"""),46187.0)</f>
        <v>46187</v>
      </c>
      <c r="C2259" s="122" t="str">
        <f>IFERROR(__xludf.DUMMYFUNCTION("""COMPUTED_VALUE"""),"TIRE")</f>
        <v>TIRE</v>
      </c>
      <c r="D2259" s="122" t="str">
        <f>IFERROR(__xludf.DUMMYFUNCTION("""COMPUTED_VALUE"""),"TireTown")</f>
        <v>TireTown</v>
      </c>
      <c r="E2259" s="122">
        <f>IFERROR(__xludf.DUMMYFUNCTION("""COMPUTED_VALUE"""),91.75)</f>
        <v>91.75</v>
      </c>
      <c r="F2259" s="122">
        <f>IFERROR(__xludf.DUMMYFUNCTION("""COMPUTED_VALUE"""),-0.0022)</f>
        <v>-0.0022</v>
      </c>
    </row>
    <row r="2260">
      <c r="A2260" s="131">
        <f>IFERROR(__xludf.DUMMYFUNCTION("""COMPUTED_VALUE"""),46187.390393518515)</f>
        <v>46187.39039</v>
      </c>
      <c r="B2260" s="126">
        <f>IFERROR(__xludf.DUMMYFUNCTION("""COMPUTED_VALUE"""),46187.0)</f>
        <v>46187</v>
      </c>
      <c r="C2260" s="122" t="str">
        <f>IFERROR(__xludf.DUMMYFUNCTION("""COMPUTED_VALUE"""),"BIKE")</f>
        <v>BIKE</v>
      </c>
      <c r="D2260" s="122" t="str">
        <f>IFERROR(__xludf.DUMMYFUNCTION("""COMPUTED_VALUE"""),"BikeBox")</f>
        <v>BikeBox</v>
      </c>
      <c r="E2260" s="122">
        <f>IFERROR(__xludf.DUMMYFUNCTION("""COMPUTED_VALUE"""),53.79)</f>
        <v>53.79</v>
      </c>
      <c r="F2260" s="122">
        <f>IFERROR(__xludf.DUMMYFUNCTION("""COMPUTED_VALUE"""),0.005)</f>
        <v>0.005</v>
      </c>
    </row>
    <row r="2261">
      <c r="A2261" s="131">
        <f>IFERROR(__xludf.DUMMYFUNCTION("""COMPUTED_VALUE"""),46187.390393518515)</f>
        <v>46187.39039</v>
      </c>
      <c r="B2261" s="126">
        <f>IFERROR(__xludf.DUMMYFUNCTION("""COMPUTED_VALUE"""),46187.0)</f>
        <v>46187</v>
      </c>
      <c r="C2261" s="122" t="str">
        <f>IFERROR(__xludf.DUMMYFUNCTION("""COMPUTED_VALUE"""),"WASH")</f>
        <v>WASH</v>
      </c>
      <c r="D2261" s="122" t="str">
        <f>IFERROR(__xludf.DUMMYFUNCTION("""COMPUTED_VALUE"""),"CarWash Co")</f>
        <v>CarWash Co</v>
      </c>
      <c r="E2261" s="122">
        <f>IFERROR(__xludf.DUMMYFUNCTION("""COMPUTED_VALUE"""),120.56)</f>
        <v>120.56</v>
      </c>
      <c r="F2261" s="122">
        <f>IFERROR(__xludf.DUMMYFUNCTION("""COMPUTED_VALUE"""),0.002)</f>
        <v>0.002</v>
      </c>
    </row>
    <row r="2262">
      <c r="A2262" s="131">
        <f>IFERROR(__xludf.DUMMYFUNCTION("""COMPUTED_VALUE"""),46187.390393518515)</f>
        <v>46187.39039</v>
      </c>
      <c r="B2262" s="126">
        <f>IFERROR(__xludf.DUMMYFUNCTION("""COMPUTED_VALUE"""),46187.0)</f>
        <v>46187</v>
      </c>
      <c r="C2262" s="122" t="str">
        <f>IFERROR(__xludf.DUMMYFUNCTION("""COMPUTED_VALUE"""),"GBND")</f>
        <v>GBND</v>
      </c>
      <c r="D2262" s="122" t="str">
        <f>IFERROR(__xludf.DUMMYFUNCTION("""COMPUTED_VALUE"""),"Classroom Government Bond")</f>
        <v>Classroom Government Bond</v>
      </c>
      <c r="E2262" s="122">
        <f>IFERROR(__xludf.DUMMYFUNCTION("""COMPUTED_VALUE"""),100.92)</f>
        <v>100.92</v>
      </c>
      <c r="F2262" s="122">
        <f>IFERROR(__xludf.DUMMYFUNCTION("""COMPUTED_VALUE"""),-3.0E-4)</f>
        <v>-0.0003</v>
      </c>
    </row>
    <row r="2263">
      <c r="A2263" s="131">
        <f>IFERROR(__xludf.DUMMYFUNCTION("""COMPUTED_VALUE"""),46187.390393518515)</f>
        <v>46187.39039</v>
      </c>
      <c r="B2263" s="126">
        <f>IFERROR(__xludf.DUMMYFUNCTION("""COMPUTED_VALUE"""),46187.0)</f>
        <v>46187</v>
      </c>
      <c r="C2263" s="122" t="str">
        <f>IFERROR(__xludf.DUMMYFUNCTION("""COMPUTED_VALUE"""),"SBND")</f>
        <v>SBND</v>
      </c>
      <c r="D2263" s="122" t="str">
        <f>IFERROR(__xludf.DUMMYFUNCTION("""COMPUTED_VALUE"""),"School Savings Bond")</f>
        <v>School Savings Bond</v>
      </c>
      <c r="E2263" s="122">
        <f>IFERROR(__xludf.DUMMYFUNCTION("""COMPUTED_VALUE"""),99.45)</f>
        <v>99.45</v>
      </c>
      <c r="F2263" s="122">
        <f>IFERROR(__xludf.DUMMYFUNCTION("""COMPUTED_VALUE"""),-1.0E-4)</f>
        <v>-0.0001</v>
      </c>
    </row>
    <row r="2264">
      <c r="A2264" s="131">
        <f>IFERROR(__xludf.DUMMYFUNCTION("""COMPUTED_VALUE"""),46187.390393518515)</f>
        <v>46187.39039</v>
      </c>
      <c r="B2264" s="126">
        <f>IFERROR(__xludf.DUMMYFUNCTION("""COMPUTED_VALUE"""),46187.0)</f>
        <v>46187</v>
      </c>
      <c r="C2264" s="122" t="str">
        <f>IFERROR(__xludf.DUMMYFUNCTION("""COMPUTED_VALUE"""),"CBND")</f>
        <v>CBND</v>
      </c>
      <c r="D2264" s="122" t="str">
        <f>IFERROR(__xludf.DUMMYFUNCTION("""COMPUTED_VALUE"""),"Corporate Classroom Bond")</f>
        <v>Corporate Classroom Bond</v>
      </c>
      <c r="E2264" s="122">
        <f>IFERROR(__xludf.DUMMYFUNCTION("""COMPUTED_VALUE"""),97.62)</f>
        <v>97.62</v>
      </c>
      <c r="F2264" s="122">
        <f>IFERROR(__xludf.DUMMYFUNCTION("""COMPUTED_VALUE"""),4.0E-4)</f>
        <v>0.0004</v>
      </c>
    </row>
    <row r="2265">
      <c r="A2265" s="131">
        <f>IFERROR(__xludf.DUMMYFUNCTION("""COMPUTED_VALUE"""),46187.390393518515)</f>
        <v>46187.39039</v>
      </c>
      <c r="B2265" s="126">
        <f>IFERROR(__xludf.DUMMYFUNCTION("""COMPUTED_VALUE"""),46187.0)</f>
        <v>46187</v>
      </c>
      <c r="C2265" s="122" t="str">
        <f>IFERROR(__xludf.DUMMYFUNCTION("""COMPUTED_VALUE"""),"TBIL")</f>
        <v>TBIL</v>
      </c>
      <c r="D2265" s="122" t="str">
        <f>IFERROR(__xludf.DUMMYFUNCTION("""COMPUTED_VALUE"""),"Treasury Bill")</f>
        <v>Treasury Bill</v>
      </c>
      <c r="E2265" s="122">
        <f>IFERROR(__xludf.DUMMYFUNCTION("""COMPUTED_VALUE"""),98.07)</f>
        <v>98.07</v>
      </c>
      <c r="F2265" s="122">
        <f>IFERROR(__xludf.DUMMYFUNCTION("""COMPUTED_VALUE"""),0.0)</f>
        <v>0</v>
      </c>
    </row>
    <row r="2266">
      <c r="A2266" s="131">
        <f>IFERROR(__xludf.DUMMYFUNCTION("""COMPUTED_VALUE"""),46187.390393518515)</f>
        <v>46187.39039</v>
      </c>
      <c r="B2266" s="126">
        <f>IFERROR(__xludf.DUMMYFUNCTION("""COMPUTED_VALUE"""),46187.0)</f>
        <v>46187</v>
      </c>
      <c r="C2266" s="122" t="str">
        <f>IFERROR(__xludf.DUMMYFUNCTION("""COMPUTED_VALUE"""),"IBND")</f>
        <v>IBND</v>
      </c>
      <c r="D2266" s="122" t="str">
        <f>IFERROR(__xludf.DUMMYFUNCTION("""COMPUTED_VALUE"""),"Inflation Protected Bond")</f>
        <v>Inflation Protected Bond</v>
      </c>
      <c r="E2266" s="122">
        <f>IFERROR(__xludf.DUMMYFUNCTION("""COMPUTED_VALUE"""),100.65)</f>
        <v>100.65</v>
      </c>
      <c r="F2266" s="122">
        <f>IFERROR(__xludf.DUMMYFUNCTION("""COMPUTED_VALUE"""),5.0E-4)</f>
        <v>0.0005</v>
      </c>
    </row>
    <row r="2267">
      <c r="A2267" s="131">
        <f>IFERROR(__xludf.DUMMYFUNCTION("""COMPUTED_VALUE"""),46187.393842592595)</f>
        <v>46187.39384</v>
      </c>
      <c r="B2267" s="126">
        <f>IFERROR(__xludf.DUMMYFUNCTION("""COMPUTED_VALUE"""),46187.0)</f>
        <v>46187</v>
      </c>
      <c r="C2267" s="122" t="str">
        <f>IFERROR(__xludf.DUMMYFUNCTION("""COMPUTED_VALUE"""),"SNAX")</f>
        <v>SNAX</v>
      </c>
      <c r="D2267" s="122" t="str">
        <f>IFERROR(__xludf.DUMMYFUNCTION("""COMPUTED_VALUE"""),"MICA Snacks")</f>
        <v>MICA Snacks</v>
      </c>
      <c r="E2267" s="122">
        <f>IFERROR(__xludf.DUMMYFUNCTION("""COMPUTED_VALUE"""),120.14)</f>
        <v>120.14</v>
      </c>
      <c r="F2267" s="122">
        <f>IFERROR(__xludf.DUMMYFUNCTION("""COMPUTED_VALUE"""),-0.0068)</f>
        <v>-0.0068</v>
      </c>
    </row>
    <row r="2268">
      <c r="A2268" s="131">
        <f>IFERROR(__xludf.DUMMYFUNCTION("""COMPUTED_VALUE"""),46187.393842592595)</f>
        <v>46187.39384</v>
      </c>
      <c r="B2268" s="126">
        <f>IFERROR(__xludf.DUMMYFUNCTION("""COMPUTED_VALUE"""),46187.0)</f>
        <v>46187</v>
      </c>
      <c r="C2268" s="122" t="str">
        <f>IFERROR(__xludf.DUMMYFUNCTION("""COMPUTED_VALUE"""),"RAMN")</f>
        <v>RAMN</v>
      </c>
      <c r="D2268" s="122" t="str">
        <f>IFERROR(__xludf.DUMMYFUNCTION("""COMPUTED_VALUE"""),"Ramen Republic")</f>
        <v>Ramen Republic</v>
      </c>
      <c r="E2268" s="122">
        <f>IFERROR(__xludf.DUMMYFUNCTION("""COMPUTED_VALUE"""),74.96)</f>
        <v>74.96</v>
      </c>
      <c r="F2268" s="122">
        <f>IFERROR(__xludf.DUMMYFUNCTION("""COMPUTED_VALUE"""),-0.0048)</f>
        <v>-0.0048</v>
      </c>
    </row>
    <row r="2269">
      <c r="A2269" s="131">
        <f>IFERROR(__xludf.DUMMYFUNCTION("""COMPUTED_VALUE"""),46187.393842592595)</f>
        <v>46187.39384</v>
      </c>
      <c r="B2269" s="126">
        <f>IFERROR(__xludf.DUMMYFUNCTION("""COMPUTED_VALUE"""),46187.0)</f>
        <v>46187</v>
      </c>
      <c r="C2269" s="122" t="str">
        <f>IFERROR(__xludf.DUMMYFUNCTION("""COMPUTED_VALUE"""),"COLA")</f>
        <v>COLA</v>
      </c>
      <c r="D2269" s="122" t="str">
        <f>IFERROR(__xludf.DUMMYFUNCTION("""COMPUTED_VALUE"""),"K-Pop Cola")</f>
        <v>K-Pop Cola</v>
      </c>
      <c r="E2269" s="122">
        <f>IFERROR(__xludf.DUMMYFUNCTION("""COMPUTED_VALUE"""),106.23)</f>
        <v>106.23</v>
      </c>
      <c r="F2269" s="122">
        <f>IFERROR(__xludf.DUMMYFUNCTION("""COMPUTED_VALUE"""),0.001)</f>
        <v>0.001</v>
      </c>
    </row>
    <row r="2270">
      <c r="A2270" s="131">
        <f>IFERROR(__xludf.DUMMYFUNCTION("""COMPUTED_VALUE"""),46187.393842592595)</f>
        <v>46187.39384</v>
      </c>
      <c r="B2270" s="126">
        <f>IFERROR(__xludf.DUMMYFUNCTION("""COMPUTED_VALUE"""),46187.0)</f>
        <v>46187</v>
      </c>
      <c r="C2270" s="122" t="str">
        <f>IFERROR(__xludf.DUMMYFUNCTION("""COMPUTED_VALUE"""),"CHIP")</f>
        <v>CHIP</v>
      </c>
      <c r="D2270" s="122" t="str">
        <f>IFERROR(__xludf.DUMMYFUNCTION("""COMPUTED_VALUE"""),"Chip Empire")</f>
        <v>Chip Empire</v>
      </c>
      <c r="E2270" s="122">
        <f>IFERROR(__xludf.DUMMYFUNCTION("""COMPUTED_VALUE"""),87.79)</f>
        <v>87.79</v>
      </c>
      <c r="F2270" s="122">
        <f>IFERROR(__xludf.DUMMYFUNCTION("""COMPUTED_VALUE"""),-0.0061)</f>
        <v>-0.0061</v>
      </c>
    </row>
    <row r="2271">
      <c r="A2271" s="131">
        <f>IFERROR(__xludf.DUMMYFUNCTION("""COMPUTED_VALUE"""),46187.393842592595)</f>
        <v>46187.39384</v>
      </c>
      <c r="B2271" s="126">
        <f>IFERROR(__xludf.DUMMYFUNCTION("""COMPUTED_VALUE"""),46187.0)</f>
        <v>46187</v>
      </c>
      <c r="C2271" s="122" t="str">
        <f>IFERROR(__xludf.DUMMYFUNCTION("""COMPUTED_VALUE"""),"CAND")</f>
        <v>CAND</v>
      </c>
      <c r="D2271" s="122" t="str">
        <f>IFERROR(__xludf.DUMMYFUNCTION("""COMPUTED_VALUE"""),"Candy Capital")</f>
        <v>Candy Capital</v>
      </c>
      <c r="E2271" s="122">
        <f>IFERROR(__xludf.DUMMYFUNCTION("""COMPUTED_VALUE"""),75.47)</f>
        <v>75.47</v>
      </c>
      <c r="F2271" s="122">
        <f>IFERROR(__xludf.DUMMYFUNCTION("""COMPUTED_VALUE"""),0.0031)</f>
        <v>0.0031</v>
      </c>
    </row>
    <row r="2272">
      <c r="A2272" s="131">
        <f>IFERROR(__xludf.DUMMYFUNCTION("""COMPUTED_VALUE"""),46187.393842592595)</f>
        <v>46187.39384</v>
      </c>
      <c r="B2272" s="126">
        <f>IFERROR(__xludf.DUMMYFUNCTION("""COMPUTED_VALUE"""),46187.0)</f>
        <v>46187</v>
      </c>
      <c r="C2272" s="122" t="str">
        <f>IFERROR(__xludf.DUMMYFUNCTION("""COMPUTED_VALUE"""),"TECH")</f>
        <v>TECH</v>
      </c>
      <c r="D2272" s="122" t="str">
        <f>IFERROR(__xludf.DUMMYFUNCTION("""COMPUTED_VALUE"""),"Dragon Tech")</f>
        <v>Dragon Tech</v>
      </c>
      <c r="E2272" s="122">
        <f>IFERROR(__xludf.DUMMYFUNCTION("""COMPUTED_VALUE"""),236.76)</f>
        <v>236.76</v>
      </c>
      <c r="F2272" s="122">
        <f>IFERROR(__xludf.DUMMYFUNCTION("""COMPUTED_VALUE"""),0.0039)</f>
        <v>0.0039</v>
      </c>
    </row>
    <row r="2273">
      <c r="A2273" s="131">
        <f>IFERROR(__xludf.DUMMYFUNCTION("""COMPUTED_VALUE"""),46187.393842592595)</f>
        <v>46187.39384</v>
      </c>
      <c r="B2273" s="126">
        <f>IFERROR(__xludf.DUMMYFUNCTION("""COMPUTED_VALUE"""),46187.0)</f>
        <v>46187</v>
      </c>
      <c r="C2273" s="122" t="str">
        <f>IFERROR(__xludf.DUMMYFUNCTION("""COMPUTED_VALUE"""),"AIBO")</f>
        <v>AIBO</v>
      </c>
      <c r="D2273" s="122" t="str">
        <f>IFERROR(__xludf.DUMMYFUNCTION("""COMPUTED_VALUE"""),"Homework AI")</f>
        <v>Homework AI</v>
      </c>
      <c r="E2273" s="122">
        <f>IFERROR(__xludf.DUMMYFUNCTION("""COMPUTED_VALUE"""),166.94)</f>
        <v>166.94</v>
      </c>
      <c r="F2273" s="122">
        <f>IFERROR(__xludf.DUMMYFUNCTION("""COMPUTED_VALUE"""),0.0146)</f>
        <v>0.0146</v>
      </c>
    </row>
    <row r="2274">
      <c r="A2274" s="131">
        <f>IFERROR(__xludf.DUMMYFUNCTION("""COMPUTED_VALUE"""),46187.393842592595)</f>
        <v>46187.39384</v>
      </c>
      <c r="B2274" s="126">
        <f>IFERROR(__xludf.DUMMYFUNCTION("""COMPUTED_VALUE"""),46187.0)</f>
        <v>46187</v>
      </c>
      <c r="C2274" s="122" t="str">
        <f>IFERROR(__xludf.DUMMYFUNCTION("""COMPUTED_VALUE"""),"GAME")</f>
        <v>GAME</v>
      </c>
      <c r="D2274" s="122" t="str">
        <f>IFERROR(__xludf.DUMMYFUNCTION("""COMPUTED_VALUE"""),"GameBox Media")</f>
        <v>GameBox Media</v>
      </c>
      <c r="E2274" s="122">
        <f>IFERROR(__xludf.DUMMYFUNCTION("""COMPUTED_VALUE"""),94.02)</f>
        <v>94.02</v>
      </c>
      <c r="F2274" s="122">
        <f>IFERROR(__xludf.DUMMYFUNCTION("""COMPUTED_VALUE"""),0.0036)</f>
        <v>0.0036</v>
      </c>
    </row>
    <row r="2275">
      <c r="A2275" s="131">
        <f>IFERROR(__xludf.DUMMYFUNCTION("""COMPUTED_VALUE"""),46187.393842592595)</f>
        <v>46187.39384</v>
      </c>
      <c r="B2275" s="126">
        <f>IFERROR(__xludf.DUMMYFUNCTION("""COMPUTED_VALUE"""),46187.0)</f>
        <v>46187</v>
      </c>
      <c r="C2275" s="122" t="str">
        <f>IFERROR(__xludf.DUMMYFUNCTION("""COMPUTED_VALUE"""),"VRSE")</f>
        <v>VRSE</v>
      </c>
      <c r="D2275" s="122" t="str">
        <f>IFERROR(__xludf.DUMMYFUNCTION("""COMPUTED_VALUE"""),"VerseVR")</f>
        <v>VerseVR</v>
      </c>
      <c r="E2275" s="122">
        <f>IFERROR(__xludf.DUMMYFUNCTION("""COMPUTED_VALUE"""),145.86)</f>
        <v>145.86</v>
      </c>
      <c r="F2275" s="122">
        <f>IFERROR(__xludf.DUMMYFUNCTION("""COMPUTED_VALUE"""),0.0112)</f>
        <v>0.0112</v>
      </c>
    </row>
    <row r="2276">
      <c r="A2276" s="131">
        <f>IFERROR(__xludf.DUMMYFUNCTION("""COMPUTED_VALUE"""),46187.393842592595)</f>
        <v>46187.39384</v>
      </c>
      <c r="B2276" s="126">
        <f>IFERROR(__xludf.DUMMYFUNCTION("""COMPUTED_VALUE"""),46187.0)</f>
        <v>46187</v>
      </c>
      <c r="C2276" s="122" t="str">
        <f>IFERROR(__xludf.DUMMYFUNCTION("""COMPUTED_VALUE"""),"BYTE")</f>
        <v>BYTE</v>
      </c>
      <c r="D2276" s="122" t="str">
        <f>IFERROR(__xludf.DUMMYFUNCTION("""COMPUTED_VALUE"""),"ByteWorks")</f>
        <v>ByteWorks</v>
      </c>
      <c r="E2276" s="122">
        <f>IFERROR(__xludf.DUMMYFUNCTION("""COMPUTED_VALUE"""),109.29)</f>
        <v>109.29</v>
      </c>
      <c r="F2276" s="122">
        <f>IFERROR(__xludf.DUMMYFUNCTION("""COMPUTED_VALUE"""),-0.0047)</f>
        <v>-0.0047</v>
      </c>
    </row>
    <row r="2277">
      <c r="A2277" s="131">
        <f>IFERROR(__xludf.DUMMYFUNCTION("""COMPUTED_VALUE"""),46187.393842592595)</f>
        <v>46187.39384</v>
      </c>
      <c r="B2277" s="126">
        <f>IFERROR(__xludf.DUMMYFUNCTION("""COMPUTED_VALUE"""),46187.0)</f>
        <v>46187</v>
      </c>
      <c r="C2277" s="122" t="str">
        <f>IFERROR(__xludf.DUMMYFUNCTION("""COMPUTED_VALUE"""),"BANK")</f>
        <v>BANK</v>
      </c>
      <c r="D2277" s="122" t="str">
        <f>IFERROR(__xludf.DUMMYFUNCTION("""COMPUTED_VALUE"""),"Tiger Bank")</f>
        <v>Tiger Bank</v>
      </c>
      <c r="E2277" s="122">
        <f>IFERROR(__xludf.DUMMYFUNCTION("""COMPUTED_VALUE"""),124.89)</f>
        <v>124.89</v>
      </c>
      <c r="F2277" s="122">
        <f>IFERROR(__xludf.DUMMYFUNCTION("""COMPUTED_VALUE"""),6.0E-4)</f>
        <v>0.0006</v>
      </c>
    </row>
    <row r="2278">
      <c r="A2278" s="131">
        <f>IFERROR(__xludf.DUMMYFUNCTION("""COMPUTED_VALUE"""),46187.393842592595)</f>
        <v>46187.39384</v>
      </c>
      <c r="B2278" s="126">
        <f>IFERROR(__xludf.DUMMYFUNCTION("""COMPUTED_VALUE"""),46187.0)</f>
        <v>46187</v>
      </c>
      <c r="C2278" s="122" t="str">
        <f>IFERROR(__xludf.DUMMYFUNCTION("""COMPUTED_VALUE"""),"CRED")</f>
        <v>CRED</v>
      </c>
      <c r="D2278" s="122" t="str">
        <f>IFERROR(__xludf.DUMMYFUNCTION("""COMPUTED_VALUE"""),"Credit Castle")</f>
        <v>Credit Castle</v>
      </c>
      <c r="E2278" s="122">
        <f>IFERROR(__xludf.DUMMYFUNCTION("""COMPUTED_VALUE"""),68.54)</f>
        <v>68.54</v>
      </c>
      <c r="F2278" s="122">
        <f>IFERROR(__xludf.DUMMYFUNCTION("""COMPUTED_VALUE"""),-0.0036)</f>
        <v>-0.0036</v>
      </c>
    </row>
    <row r="2279">
      <c r="A2279" s="131">
        <f>IFERROR(__xludf.DUMMYFUNCTION("""COMPUTED_VALUE"""),46187.393842592595)</f>
        <v>46187.39384</v>
      </c>
      <c r="B2279" s="126">
        <f>IFERROR(__xludf.DUMMYFUNCTION("""COMPUTED_VALUE"""),46187.0)</f>
        <v>46187</v>
      </c>
      <c r="C2279" s="122" t="str">
        <f>IFERROR(__xludf.DUMMYFUNCTION("""COMPUTED_VALUE"""),"BOND")</f>
        <v>BOND</v>
      </c>
      <c r="D2279" s="122" t="str">
        <f>IFERROR(__xludf.DUMMYFUNCTION("""COMPUTED_VALUE"""),"BondBridge")</f>
        <v>BondBridge</v>
      </c>
      <c r="E2279" s="122">
        <f>IFERROR(__xludf.DUMMYFUNCTION("""COMPUTED_VALUE"""),96.71)</f>
        <v>96.71</v>
      </c>
      <c r="F2279" s="122">
        <f>IFERROR(__xludf.DUMMYFUNCTION("""COMPUTED_VALUE"""),1.0E-4)</f>
        <v>0.0001</v>
      </c>
    </row>
    <row r="2280">
      <c r="A2280" s="131">
        <f>IFERROR(__xludf.DUMMYFUNCTION("""COMPUTED_VALUE"""),46187.393842592595)</f>
        <v>46187.39384</v>
      </c>
      <c r="B2280" s="126">
        <f>IFERROR(__xludf.DUMMYFUNCTION("""COMPUTED_VALUE"""),46187.0)</f>
        <v>46187</v>
      </c>
      <c r="C2280" s="122" t="str">
        <f>IFERROR(__xludf.DUMMYFUNCTION("""COMPUTED_VALUE"""),"INSR")</f>
        <v>INSR</v>
      </c>
      <c r="D2280" s="122" t="str">
        <f>IFERROR(__xludf.DUMMYFUNCTION("""COMPUTED_VALUE"""),"Shield Insurance")</f>
        <v>Shield Insurance</v>
      </c>
      <c r="E2280" s="122">
        <f>IFERROR(__xludf.DUMMYFUNCTION("""COMPUTED_VALUE"""),157.9)</f>
        <v>157.9</v>
      </c>
      <c r="F2280" s="122">
        <f>IFERROR(__xludf.DUMMYFUNCTION("""COMPUTED_VALUE"""),0.001)</f>
        <v>0.001</v>
      </c>
    </row>
    <row r="2281">
      <c r="A2281" s="131">
        <f>IFERROR(__xludf.DUMMYFUNCTION("""COMPUTED_VALUE"""),46187.393842592595)</f>
        <v>46187.39384</v>
      </c>
      <c r="B2281" s="126">
        <f>IFERROR(__xludf.DUMMYFUNCTION("""COMPUTED_VALUE"""),46187.0)</f>
        <v>46187</v>
      </c>
      <c r="C2281" s="122" t="str">
        <f>IFERROR(__xludf.DUMMYFUNCTION("""COMPUTED_VALUE"""),"LOAN")</f>
        <v>LOAN</v>
      </c>
      <c r="D2281" s="122" t="str">
        <f>IFERROR(__xludf.DUMMYFUNCTION("""COMPUTED_VALUE"""),"LoanLab")</f>
        <v>LoanLab</v>
      </c>
      <c r="E2281" s="122">
        <f>IFERROR(__xludf.DUMMYFUNCTION("""COMPUTED_VALUE"""),62.07)</f>
        <v>62.07</v>
      </c>
      <c r="F2281" s="122">
        <f>IFERROR(__xludf.DUMMYFUNCTION("""COMPUTED_VALUE"""),0.0068)</f>
        <v>0.0068</v>
      </c>
    </row>
    <row r="2282">
      <c r="A2282" s="131">
        <f>IFERROR(__xludf.DUMMYFUNCTION("""COMPUTED_VALUE"""),46187.393842592595)</f>
        <v>46187.39384</v>
      </c>
      <c r="B2282" s="126">
        <f>IFERROR(__xludf.DUMMYFUNCTION("""COMPUTED_VALUE"""),46187.0)</f>
        <v>46187</v>
      </c>
      <c r="C2282" s="122" t="str">
        <f>IFERROR(__xludf.DUMMYFUNCTION("""COMPUTED_VALUE"""),"LUXE")</f>
        <v>LUXE</v>
      </c>
      <c r="D2282" s="122" t="str">
        <f>IFERROR(__xludf.DUMMYFUNCTION("""COMPUTED_VALUE"""),"Luxury Locker")</f>
        <v>Luxury Locker</v>
      </c>
      <c r="E2282" s="122">
        <f>IFERROR(__xludf.DUMMYFUNCTION("""COMPUTED_VALUE"""),261.01)</f>
        <v>261.01</v>
      </c>
      <c r="F2282" s="122">
        <f>IFERROR(__xludf.DUMMYFUNCTION("""COMPUTED_VALUE"""),-0.0056)</f>
        <v>-0.0056</v>
      </c>
    </row>
    <row r="2283">
      <c r="A2283" s="131">
        <f>IFERROR(__xludf.DUMMYFUNCTION("""COMPUTED_VALUE"""),46187.393842592595)</f>
        <v>46187.39384</v>
      </c>
      <c r="B2283" s="126">
        <f>IFERROR(__xludf.DUMMYFUNCTION("""COMPUTED_VALUE"""),46187.0)</f>
        <v>46187</v>
      </c>
      <c r="C2283" s="122" t="str">
        <f>IFERROR(__xludf.DUMMYFUNCTION("""COMPUTED_VALUE"""),"DRIP")</f>
        <v>DRIP</v>
      </c>
      <c r="D2283" s="122" t="str">
        <f>IFERROR(__xludf.DUMMYFUNCTION("""COMPUTED_VALUE"""),"Drip Streetwear")</f>
        <v>Drip Streetwear</v>
      </c>
      <c r="E2283" s="122">
        <f>IFERROR(__xludf.DUMMYFUNCTION("""COMPUTED_VALUE"""),200.6)</f>
        <v>200.6</v>
      </c>
      <c r="F2283" s="122">
        <f>IFERROR(__xludf.DUMMYFUNCTION("""COMPUTED_VALUE"""),0.0033)</f>
        <v>0.0033</v>
      </c>
    </row>
    <row r="2284">
      <c r="A2284" s="131">
        <f>IFERROR(__xludf.DUMMYFUNCTION("""COMPUTED_VALUE"""),46187.393842592595)</f>
        <v>46187.39384</v>
      </c>
      <c r="B2284" s="126">
        <f>IFERROR(__xludf.DUMMYFUNCTION("""COMPUTED_VALUE"""),46187.0)</f>
        <v>46187</v>
      </c>
      <c r="C2284" s="122" t="str">
        <f>IFERROR(__xludf.DUMMYFUNCTION("""COMPUTED_VALUE"""),"KICK")</f>
        <v>KICK</v>
      </c>
      <c r="D2284" s="122" t="str">
        <f>IFERROR(__xludf.DUMMYFUNCTION("""COMPUTED_VALUE"""),"KickDrop Sneakers")</f>
        <v>KickDrop Sneakers</v>
      </c>
      <c r="E2284" s="122">
        <f>IFERROR(__xludf.DUMMYFUNCTION("""COMPUTED_VALUE"""),172.35)</f>
        <v>172.35</v>
      </c>
      <c r="F2284" s="122">
        <f>IFERROR(__xludf.DUMMYFUNCTION("""COMPUTED_VALUE"""),-0.007)</f>
        <v>-0.007</v>
      </c>
    </row>
    <row r="2285">
      <c r="A2285" s="131">
        <f>IFERROR(__xludf.DUMMYFUNCTION("""COMPUTED_VALUE"""),46187.393842592595)</f>
        <v>46187.39384</v>
      </c>
      <c r="B2285" s="126">
        <f>IFERROR(__xludf.DUMMYFUNCTION("""COMPUTED_VALUE"""),46187.0)</f>
        <v>46187</v>
      </c>
      <c r="C2285" s="122" t="str">
        <f>IFERROR(__xludf.DUMMYFUNCTION("""COMPUTED_VALUE"""),"GLAM")</f>
        <v>GLAM</v>
      </c>
      <c r="D2285" s="122" t="str">
        <f>IFERROR(__xludf.DUMMYFUNCTION("""COMPUTED_VALUE"""),"Glow Cosmetics")</f>
        <v>Glow Cosmetics</v>
      </c>
      <c r="E2285" s="122">
        <f>IFERROR(__xludf.DUMMYFUNCTION("""COMPUTED_VALUE"""),96.16)</f>
        <v>96.16</v>
      </c>
      <c r="F2285" s="122">
        <f>IFERROR(__xludf.DUMMYFUNCTION("""COMPUTED_VALUE"""),0.0051)</f>
        <v>0.0051</v>
      </c>
    </row>
    <row r="2286">
      <c r="A2286" s="131">
        <f>IFERROR(__xludf.DUMMYFUNCTION("""COMPUTED_VALUE"""),46187.393842592595)</f>
        <v>46187.39384</v>
      </c>
      <c r="B2286" s="126">
        <f>IFERROR(__xludf.DUMMYFUNCTION("""COMPUTED_VALUE"""),46187.0)</f>
        <v>46187</v>
      </c>
      <c r="C2286" s="122" t="str">
        <f>IFERROR(__xludf.DUMMYFUNCTION("""COMPUTED_VALUE"""),"BAGG")</f>
        <v>BAGG</v>
      </c>
      <c r="D2286" s="122" t="str">
        <f>IFERROR(__xludf.DUMMYFUNCTION("""COMPUTED_VALUE"""),"BagVault")</f>
        <v>BagVault</v>
      </c>
      <c r="E2286" s="122">
        <f>IFERROR(__xludf.DUMMYFUNCTION("""COMPUTED_VALUE"""),246.65)</f>
        <v>246.65</v>
      </c>
      <c r="F2286" s="122">
        <f>IFERROR(__xludf.DUMMYFUNCTION("""COMPUTED_VALUE"""),-0.002)</f>
        <v>-0.002</v>
      </c>
    </row>
    <row r="2287">
      <c r="A2287" s="131">
        <f>IFERROR(__xludf.DUMMYFUNCTION("""COMPUTED_VALUE"""),46187.393842592595)</f>
        <v>46187.39384</v>
      </c>
      <c r="B2287" s="126">
        <f>IFERROR(__xludf.DUMMYFUNCTION("""COMPUTED_VALUE"""),46187.0)</f>
        <v>46187</v>
      </c>
      <c r="C2287" s="122" t="str">
        <f>IFERROR(__xludf.DUMMYFUNCTION("""COMPUTED_VALUE"""),"FAST")</f>
        <v>FAST</v>
      </c>
      <c r="D2287" s="122" t="str">
        <f>IFERROR(__xludf.DUMMYFUNCTION("""COMPUTED_VALUE"""),"Flash Logistics")</f>
        <v>Flash Logistics</v>
      </c>
      <c r="E2287" s="122">
        <f>IFERROR(__xludf.DUMMYFUNCTION("""COMPUTED_VALUE"""),102.2)</f>
        <v>102.2</v>
      </c>
      <c r="F2287" s="122">
        <f>IFERROR(__xludf.DUMMYFUNCTION("""COMPUTED_VALUE"""),-0.002)</f>
        <v>-0.002</v>
      </c>
    </row>
    <row r="2288">
      <c r="A2288" s="131">
        <f>IFERROR(__xludf.DUMMYFUNCTION("""COMPUTED_VALUE"""),46187.393842592595)</f>
        <v>46187.39384</v>
      </c>
      <c r="B2288" s="126">
        <f>IFERROR(__xludf.DUMMYFUNCTION("""COMPUTED_VALUE"""),46187.0)</f>
        <v>46187</v>
      </c>
      <c r="C2288" s="122" t="str">
        <f>IFERROR(__xludf.DUMMYFUNCTION("""COMPUTED_VALUE"""),"SHIP")</f>
        <v>SHIP</v>
      </c>
      <c r="D2288" s="122" t="str">
        <f>IFERROR(__xludf.DUMMYFUNCTION("""COMPUTED_VALUE"""),"Seoul Shipping")</f>
        <v>Seoul Shipping</v>
      </c>
      <c r="E2288" s="122">
        <f>IFERROR(__xludf.DUMMYFUNCTION("""COMPUTED_VALUE"""),116.7)</f>
        <v>116.7</v>
      </c>
      <c r="F2288" s="122">
        <f>IFERROR(__xludf.DUMMYFUNCTION("""COMPUTED_VALUE"""),-0.0011)</f>
        <v>-0.0011</v>
      </c>
    </row>
    <row r="2289">
      <c r="A2289" s="131">
        <f>IFERROR(__xludf.DUMMYFUNCTION("""COMPUTED_VALUE"""),46187.393842592595)</f>
        <v>46187.39384</v>
      </c>
      <c r="B2289" s="126">
        <f>IFERROR(__xludf.DUMMYFUNCTION("""COMPUTED_VALUE"""),46187.0)</f>
        <v>46187</v>
      </c>
      <c r="C2289" s="122" t="str">
        <f>IFERROR(__xludf.DUMMYFUNCTION("""COMPUTED_VALUE"""),"DRON")</f>
        <v>DRON</v>
      </c>
      <c r="D2289" s="122" t="str">
        <f>IFERROR(__xludf.DUMMYFUNCTION("""COMPUTED_VALUE"""),"DroneDrop")</f>
        <v>DroneDrop</v>
      </c>
      <c r="E2289" s="122">
        <f>IFERROR(__xludf.DUMMYFUNCTION("""COMPUTED_VALUE"""),129.18)</f>
        <v>129.18</v>
      </c>
      <c r="F2289" s="122">
        <f>IFERROR(__xludf.DUMMYFUNCTION("""COMPUTED_VALUE"""),7.0E-4)</f>
        <v>0.0007</v>
      </c>
    </row>
    <row r="2290">
      <c r="A2290" s="131">
        <f>IFERROR(__xludf.DUMMYFUNCTION("""COMPUTED_VALUE"""),46187.393842592595)</f>
        <v>46187.39384</v>
      </c>
      <c r="B2290" s="126">
        <f>IFERROR(__xludf.DUMMYFUNCTION("""COMPUTED_VALUE"""),46187.0)</f>
        <v>46187</v>
      </c>
      <c r="C2290" s="122" t="str">
        <f>IFERROR(__xludf.DUMMYFUNCTION("""COMPUTED_VALUE"""),"RIDE")</f>
        <v>RIDE</v>
      </c>
      <c r="D2290" s="122" t="str">
        <f>IFERROR(__xludf.DUMMYFUNCTION("""COMPUTED_VALUE"""),"QuickRide")</f>
        <v>QuickRide</v>
      </c>
      <c r="E2290" s="122">
        <f>IFERROR(__xludf.DUMMYFUNCTION("""COMPUTED_VALUE"""),97.27)</f>
        <v>97.27</v>
      </c>
      <c r="F2290" s="122">
        <f>IFERROR(__xludf.DUMMYFUNCTION("""COMPUTED_VALUE"""),0.002)</f>
        <v>0.002</v>
      </c>
    </row>
    <row r="2291">
      <c r="A2291" s="131">
        <f>IFERROR(__xludf.DUMMYFUNCTION("""COMPUTED_VALUE"""),46187.393842592595)</f>
        <v>46187.39384</v>
      </c>
      <c r="B2291" s="126">
        <f>IFERROR(__xludf.DUMMYFUNCTION("""COMPUTED_VALUE"""),46187.0)</f>
        <v>46187</v>
      </c>
      <c r="C2291" s="122" t="str">
        <f>IFERROR(__xludf.DUMMYFUNCTION("""COMPUTED_VALUE"""),"RAIL")</f>
        <v>RAIL</v>
      </c>
      <c r="D2291" s="122" t="str">
        <f>IFERROR(__xludf.DUMMYFUNCTION("""COMPUTED_VALUE"""),"MetroRail Corp")</f>
        <v>MetroRail Corp</v>
      </c>
      <c r="E2291" s="122">
        <f>IFERROR(__xludf.DUMMYFUNCTION("""COMPUTED_VALUE"""),136.34)</f>
        <v>136.34</v>
      </c>
      <c r="F2291" s="122">
        <f>IFERROR(__xludf.DUMMYFUNCTION("""COMPUTED_VALUE"""),0.0018)</f>
        <v>0.0018</v>
      </c>
    </row>
    <row r="2292">
      <c r="A2292" s="131">
        <f>IFERROR(__xludf.DUMMYFUNCTION("""COMPUTED_VALUE"""),46187.393842592595)</f>
        <v>46187.39384</v>
      </c>
      <c r="B2292" s="126">
        <f>IFERROR(__xludf.DUMMYFUNCTION("""COMPUTED_VALUE"""),46187.0)</f>
        <v>46187</v>
      </c>
      <c r="C2292" s="122" t="str">
        <f>IFERROR(__xludf.DUMMYFUNCTION("""COMPUTED_VALUE"""),"MEDX")</f>
        <v>MEDX</v>
      </c>
      <c r="D2292" s="122" t="str">
        <f>IFERROR(__xludf.DUMMYFUNCTION("""COMPUTED_VALUE"""),"MediCore")</f>
        <v>MediCore</v>
      </c>
      <c r="E2292" s="122">
        <f>IFERROR(__xludf.DUMMYFUNCTION("""COMPUTED_VALUE"""),137.31)</f>
        <v>137.31</v>
      </c>
      <c r="F2292" s="122">
        <f>IFERROR(__xludf.DUMMYFUNCTION("""COMPUTED_VALUE"""),-0.003)</f>
        <v>-0.003</v>
      </c>
    </row>
    <row r="2293">
      <c r="A2293" s="131">
        <f>IFERROR(__xludf.DUMMYFUNCTION("""COMPUTED_VALUE"""),46187.393842592595)</f>
        <v>46187.39384</v>
      </c>
      <c r="B2293" s="126">
        <f>IFERROR(__xludf.DUMMYFUNCTION("""COMPUTED_VALUE"""),46187.0)</f>
        <v>46187</v>
      </c>
      <c r="C2293" s="122" t="str">
        <f>IFERROR(__xludf.DUMMYFUNCTION("""COMPUTED_VALUE"""),"GYMX")</f>
        <v>GYMX</v>
      </c>
      <c r="D2293" s="122" t="str">
        <f>IFERROR(__xludf.DUMMYFUNCTION("""COMPUTED_VALUE"""),"GymX Fitness")</f>
        <v>GymX Fitness</v>
      </c>
      <c r="E2293" s="122">
        <f>IFERROR(__xludf.DUMMYFUNCTION("""COMPUTED_VALUE"""),86.0)</f>
        <v>86</v>
      </c>
      <c r="F2293" s="122">
        <f>IFERROR(__xludf.DUMMYFUNCTION("""COMPUTED_VALUE"""),-0.0046)</f>
        <v>-0.0046</v>
      </c>
    </row>
    <row r="2294">
      <c r="A2294" s="131">
        <f>IFERROR(__xludf.DUMMYFUNCTION("""COMPUTED_VALUE"""),46187.393842592595)</f>
        <v>46187.39384</v>
      </c>
      <c r="B2294" s="126">
        <f>IFERROR(__xludf.DUMMYFUNCTION("""COMPUTED_VALUE"""),46187.0)</f>
        <v>46187</v>
      </c>
      <c r="C2294" s="122" t="str">
        <f>IFERROR(__xludf.DUMMYFUNCTION("""COMPUTED_VALUE"""),"VITA")</f>
        <v>VITA</v>
      </c>
      <c r="D2294" s="122" t="str">
        <f>IFERROR(__xludf.DUMMYFUNCTION("""COMPUTED_VALUE"""),"VitaPlus")</f>
        <v>VitaPlus</v>
      </c>
      <c r="E2294" s="122">
        <f>IFERROR(__xludf.DUMMYFUNCTION("""COMPUTED_VALUE"""),74.91)</f>
        <v>74.91</v>
      </c>
      <c r="F2294" s="122">
        <f>IFERROR(__xludf.DUMMYFUNCTION("""COMPUTED_VALUE"""),0.0021)</f>
        <v>0.0021</v>
      </c>
    </row>
    <row r="2295">
      <c r="A2295" s="131">
        <f>IFERROR(__xludf.DUMMYFUNCTION("""COMPUTED_VALUE"""),46187.393842592595)</f>
        <v>46187.39384</v>
      </c>
      <c r="B2295" s="126">
        <f>IFERROR(__xludf.DUMMYFUNCTION("""COMPUTED_VALUE"""),46187.0)</f>
        <v>46187</v>
      </c>
      <c r="C2295" s="122" t="str">
        <f>IFERROR(__xludf.DUMMYFUNCTION("""COMPUTED_VALUE"""),"CARE")</f>
        <v>CARE</v>
      </c>
      <c r="D2295" s="122" t="str">
        <f>IFERROR(__xludf.DUMMYFUNCTION("""COMPUTED_VALUE"""),"CareCloud")</f>
        <v>CareCloud</v>
      </c>
      <c r="E2295" s="122">
        <f>IFERROR(__xludf.DUMMYFUNCTION("""COMPUTED_VALUE"""),179.45)</f>
        <v>179.45</v>
      </c>
      <c r="F2295" s="122">
        <f>IFERROR(__xludf.DUMMYFUNCTION("""COMPUTED_VALUE"""),-0.0038)</f>
        <v>-0.0038</v>
      </c>
    </row>
    <row r="2296">
      <c r="A2296" s="131">
        <f>IFERROR(__xludf.DUMMYFUNCTION("""COMPUTED_VALUE"""),46187.393842592595)</f>
        <v>46187.39384</v>
      </c>
      <c r="B2296" s="126">
        <f>IFERROR(__xludf.DUMMYFUNCTION("""COMPUTED_VALUE"""),46187.0)</f>
        <v>46187</v>
      </c>
      <c r="C2296" s="122" t="str">
        <f>IFERROR(__xludf.DUMMYFUNCTION("""COMPUTED_VALUE"""),"DENT")</f>
        <v>DENT</v>
      </c>
      <c r="D2296" s="122" t="str">
        <f>IFERROR(__xludf.DUMMYFUNCTION("""COMPUTED_VALUE"""),"SmileWorks")</f>
        <v>SmileWorks</v>
      </c>
      <c r="E2296" s="122">
        <f>IFERROR(__xludf.DUMMYFUNCTION("""COMPUTED_VALUE"""),82.36)</f>
        <v>82.36</v>
      </c>
      <c r="F2296" s="122">
        <f>IFERROR(__xludf.DUMMYFUNCTION("""COMPUTED_VALUE"""),-5.0E-4)</f>
        <v>-0.0005</v>
      </c>
    </row>
    <row r="2297">
      <c r="A2297" s="131">
        <f>IFERROR(__xludf.DUMMYFUNCTION("""COMPUTED_VALUE"""),46187.393842592595)</f>
        <v>46187.39384</v>
      </c>
      <c r="B2297" s="126">
        <f>IFERROR(__xludf.DUMMYFUNCTION("""COMPUTED_VALUE"""),46187.0)</f>
        <v>46187</v>
      </c>
      <c r="C2297" s="122" t="str">
        <f>IFERROR(__xludf.DUMMYFUNCTION("""COMPUTED_VALUE"""),"EDUX")</f>
        <v>EDUX</v>
      </c>
      <c r="D2297" s="122" t="str">
        <f>IFERROR(__xludf.DUMMYFUNCTION("""COMPUTED_VALUE"""),"EduMax Learning")</f>
        <v>EduMax Learning</v>
      </c>
      <c r="E2297" s="122">
        <f>IFERROR(__xludf.DUMMYFUNCTION("""COMPUTED_VALUE"""),132.95)</f>
        <v>132.95</v>
      </c>
      <c r="F2297" s="122">
        <f>IFERROR(__xludf.DUMMYFUNCTION("""COMPUTED_VALUE"""),0.0067)</f>
        <v>0.0067</v>
      </c>
    </row>
    <row r="2298">
      <c r="A2298" s="131">
        <f>IFERROR(__xludf.DUMMYFUNCTION("""COMPUTED_VALUE"""),46187.393842592595)</f>
        <v>46187.39384</v>
      </c>
      <c r="B2298" s="126">
        <f>IFERROR(__xludf.DUMMYFUNCTION("""COMPUTED_VALUE"""),46187.0)</f>
        <v>46187</v>
      </c>
      <c r="C2298" s="122" t="str">
        <f>IFERROR(__xludf.DUMMYFUNCTION("""COMPUTED_VALUE"""),"BOOK")</f>
        <v>BOOK</v>
      </c>
      <c r="D2298" s="122" t="str">
        <f>IFERROR(__xludf.DUMMYFUNCTION("""COMPUTED_VALUE"""),"BookBridge")</f>
        <v>BookBridge</v>
      </c>
      <c r="E2298" s="122">
        <f>IFERROR(__xludf.DUMMYFUNCTION("""COMPUTED_VALUE"""),114.41)</f>
        <v>114.41</v>
      </c>
      <c r="F2298" s="122">
        <f>IFERROR(__xludf.DUMMYFUNCTION("""COMPUTED_VALUE"""),0.0022)</f>
        <v>0.0022</v>
      </c>
    </row>
    <row r="2299">
      <c r="A2299" s="131">
        <f>IFERROR(__xludf.DUMMYFUNCTION("""COMPUTED_VALUE"""),46187.393842592595)</f>
        <v>46187.39384</v>
      </c>
      <c r="B2299" s="126">
        <f>IFERROR(__xludf.DUMMYFUNCTION("""COMPUTED_VALUE"""),46187.0)</f>
        <v>46187</v>
      </c>
      <c r="C2299" s="122" t="str">
        <f>IFERROR(__xludf.DUMMYFUNCTION("""COMPUTED_VALUE"""),"TUTR")</f>
        <v>TUTR</v>
      </c>
      <c r="D2299" s="122" t="str">
        <f>IFERROR(__xludf.DUMMYFUNCTION("""COMPUTED_VALUE"""),"TutorTown")</f>
        <v>TutorTown</v>
      </c>
      <c r="E2299" s="122">
        <f>IFERROR(__xludf.DUMMYFUNCTION("""COMPUTED_VALUE"""),89.92)</f>
        <v>89.92</v>
      </c>
      <c r="F2299" s="122">
        <f>IFERROR(__xludf.DUMMYFUNCTION("""COMPUTED_VALUE"""),0.0059)</f>
        <v>0.0059</v>
      </c>
    </row>
    <row r="2300">
      <c r="A2300" s="131">
        <f>IFERROR(__xludf.DUMMYFUNCTION("""COMPUTED_VALUE"""),46187.393842592595)</f>
        <v>46187.39384</v>
      </c>
      <c r="B2300" s="126">
        <f>IFERROR(__xludf.DUMMYFUNCTION("""COMPUTED_VALUE"""),46187.0)</f>
        <v>46187</v>
      </c>
      <c r="C2300" s="122" t="str">
        <f>IFERROR(__xludf.DUMMYFUNCTION("""COMPUTED_VALUE"""),"LANG")</f>
        <v>LANG</v>
      </c>
      <c r="D2300" s="122" t="str">
        <f>IFERROR(__xludf.DUMMYFUNCTION("""COMPUTED_VALUE"""),"LinguaLab")</f>
        <v>LinguaLab</v>
      </c>
      <c r="E2300" s="122">
        <f>IFERROR(__xludf.DUMMYFUNCTION("""COMPUTED_VALUE"""),96.55)</f>
        <v>96.55</v>
      </c>
      <c r="F2300" s="122">
        <f>IFERROR(__xludf.DUMMYFUNCTION("""COMPUTED_VALUE"""),0.0041)</f>
        <v>0.0041</v>
      </c>
    </row>
    <row r="2301">
      <c r="A2301" s="131">
        <f>IFERROR(__xludf.DUMMYFUNCTION("""COMPUTED_VALUE"""),46187.393842592595)</f>
        <v>46187.39384</v>
      </c>
      <c r="B2301" s="126">
        <f>IFERROR(__xludf.DUMMYFUNCTION("""COMPUTED_VALUE"""),46187.0)</f>
        <v>46187</v>
      </c>
      <c r="C2301" s="122" t="str">
        <f>IFERROR(__xludf.DUMMYFUNCTION("""COMPUTED_VALUE"""),"TEST")</f>
        <v>TEST</v>
      </c>
      <c r="D2301" s="122" t="str">
        <f>IFERROR(__xludf.DUMMYFUNCTION("""COMPUTED_VALUE"""),"TestPrep Pro")</f>
        <v>TestPrep Pro</v>
      </c>
      <c r="E2301" s="122">
        <f>IFERROR(__xludf.DUMMYFUNCTION("""COMPUTED_VALUE"""),102.23)</f>
        <v>102.23</v>
      </c>
      <c r="F2301" s="122">
        <f>IFERROR(__xludf.DUMMYFUNCTION("""COMPUTED_VALUE"""),0.0069)</f>
        <v>0.0069</v>
      </c>
    </row>
    <row r="2302">
      <c r="A2302" s="131">
        <f>IFERROR(__xludf.DUMMYFUNCTION("""COMPUTED_VALUE"""),46187.393842592595)</f>
        <v>46187.39384</v>
      </c>
      <c r="B2302" s="126">
        <f>IFERROR(__xludf.DUMMYFUNCTION("""COMPUTED_VALUE"""),46187.0)</f>
        <v>46187</v>
      </c>
      <c r="C2302" s="122" t="str">
        <f>IFERROR(__xludf.DUMMYFUNCTION("""COMPUTED_VALUE"""),"MOVI")</f>
        <v>MOVI</v>
      </c>
      <c r="D2302" s="122" t="str">
        <f>IFERROR(__xludf.DUMMYFUNCTION("""COMPUTED_VALUE"""),"MovieBox")</f>
        <v>MovieBox</v>
      </c>
      <c r="E2302" s="122">
        <f>IFERROR(__xludf.DUMMYFUNCTION("""COMPUTED_VALUE"""),80.4)</f>
        <v>80.4</v>
      </c>
      <c r="F2302" s="122">
        <f>IFERROR(__xludf.DUMMYFUNCTION("""COMPUTED_VALUE"""),-0.0081)</f>
        <v>-0.0081</v>
      </c>
    </row>
    <row r="2303">
      <c r="A2303" s="131">
        <f>IFERROR(__xludf.DUMMYFUNCTION("""COMPUTED_VALUE"""),46187.393842592595)</f>
        <v>46187.39384</v>
      </c>
      <c r="B2303" s="126">
        <f>IFERROR(__xludf.DUMMYFUNCTION("""COMPUTED_VALUE"""),46187.0)</f>
        <v>46187</v>
      </c>
      <c r="C2303" s="122" t="str">
        <f>IFERROR(__xludf.DUMMYFUNCTION("""COMPUTED_VALUE"""),"MUSC")</f>
        <v>MUSC</v>
      </c>
      <c r="D2303" s="122" t="str">
        <f>IFERROR(__xludf.DUMMYFUNCTION("""COMPUTED_VALUE"""),"MusicWave")</f>
        <v>MusicWave</v>
      </c>
      <c r="E2303" s="122">
        <f>IFERROR(__xludf.DUMMYFUNCTION("""COMPUTED_VALUE"""),96.75)</f>
        <v>96.75</v>
      </c>
      <c r="F2303" s="122">
        <f>IFERROR(__xludf.DUMMYFUNCTION("""COMPUTED_VALUE"""),0.0013)</f>
        <v>0.0013</v>
      </c>
    </row>
    <row r="2304">
      <c r="A2304" s="131">
        <f>IFERROR(__xludf.DUMMYFUNCTION("""COMPUTED_VALUE"""),46187.393842592595)</f>
        <v>46187.39384</v>
      </c>
      <c r="B2304" s="126">
        <f>IFERROR(__xludf.DUMMYFUNCTION("""COMPUTED_VALUE"""),46187.0)</f>
        <v>46187</v>
      </c>
      <c r="C2304" s="122" t="str">
        <f>IFERROR(__xludf.DUMMYFUNCTION("""COMPUTED_VALUE"""),"IDOL")</f>
        <v>IDOL</v>
      </c>
      <c r="D2304" s="122" t="str">
        <f>IFERROR(__xludf.DUMMYFUNCTION("""COMPUTED_VALUE"""),"Idol Agency")</f>
        <v>Idol Agency</v>
      </c>
      <c r="E2304" s="122">
        <f>IFERROR(__xludf.DUMMYFUNCTION("""COMPUTED_VALUE"""),197.58)</f>
        <v>197.58</v>
      </c>
      <c r="F2304" s="122">
        <f>IFERROR(__xludf.DUMMYFUNCTION("""COMPUTED_VALUE"""),0.0031)</f>
        <v>0.0031</v>
      </c>
    </row>
    <row r="2305">
      <c r="A2305" s="131">
        <f>IFERROR(__xludf.DUMMYFUNCTION("""COMPUTED_VALUE"""),46187.393842592595)</f>
        <v>46187.39384</v>
      </c>
      <c r="B2305" s="126">
        <f>IFERROR(__xludf.DUMMYFUNCTION("""COMPUTED_VALUE"""),46187.0)</f>
        <v>46187</v>
      </c>
      <c r="C2305" s="122" t="str">
        <f>IFERROR(__xludf.DUMMYFUNCTION("""COMPUTED_VALUE"""),"MEME")</f>
        <v>MEME</v>
      </c>
      <c r="D2305" s="122" t="str">
        <f>IFERROR(__xludf.DUMMYFUNCTION("""COMPUTED_VALUE"""),"Meme Media")</f>
        <v>Meme Media</v>
      </c>
      <c r="E2305" s="122">
        <f>IFERROR(__xludf.DUMMYFUNCTION("""COMPUTED_VALUE"""),78.37)</f>
        <v>78.37</v>
      </c>
      <c r="F2305" s="122">
        <f>IFERROR(__xludf.DUMMYFUNCTION("""COMPUTED_VALUE"""),-0.0072)</f>
        <v>-0.0072</v>
      </c>
    </row>
    <row r="2306">
      <c r="A2306" s="131">
        <f>IFERROR(__xludf.DUMMYFUNCTION("""COMPUTED_VALUE"""),46187.393842592595)</f>
        <v>46187.39384</v>
      </c>
      <c r="B2306" s="126">
        <f>IFERROR(__xludf.DUMMYFUNCTION("""COMPUTED_VALUE"""),46187.0)</f>
        <v>46187</v>
      </c>
      <c r="C2306" s="122" t="str">
        <f>IFERROR(__xludf.DUMMYFUNCTION("""COMPUTED_VALUE"""),"STRM")</f>
        <v>STRM</v>
      </c>
      <c r="D2306" s="122" t="str">
        <f>IFERROR(__xludf.DUMMYFUNCTION("""COMPUTED_VALUE"""),"Streamly")</f>
        <v>Streamly</v>
      </c>
      <c r="E2306" s="122">
        <f>IFERROR(__xludf.DUMMYFUNCTION("""COMPUTED_VALUE"""),135.6)</f>
        <v>135.6</v>
      </c>
      <c r="F2306" s="122">
        <f>IFERROR(__xludf.DUMMYFUNCTION("""COMPUTED_VALUE"""),0.0085)</f>
        <v>0.0085</v>
      </c>
    </row>
    <row r="2307">
      <c r="A2307" s="131">
        <f>IFERROR(__xludf.DUMMYFUNCTION("""COMPUTED_VALUE"""),46187.393842592595)</f>
        <v>46187.39384</v>
      </c>
      <c r="B2307" s="126">
        <f>IFERROR(__xludf.DUMMYFUNCTION("""COMPUTED_VALUE"""),46187.0)</f>
        <v>46187</v>
      </c>
      <c r="C2307" s="122" t="str">
        <f>IFERROR(__xludf.DUMMYFUNCTION("""COMPUTED_VALUE"""),"FARM")</f>
        <v>FARM</v>
      </c>
      <c r="D2307" s="122" t="str">
        <f>IFERROR(__xludf.DUMMYFUNCTION("""COMPUTED_VALUE"""),"Future Farms")</f>
        <v>Future Farms</v>
      </c>
      <c r="E2307" s="122">
        <f>IFERROR(__xludf.DUMMYFUNCTION("""COMPUTED_VALUE"""),81.97)</f>
        <v>81.97</v>
      </c>
      <c r="F2307" s="122">
        <f>IFERROR(__xludf.DUMMYFUNCTION("""COMPUTED_VALUE"""),0.0049)</f>
        <v>0.0049</v>
      </c>
    </row>
    <row r="2308">
      <c r="A2308" s="131">
        <f>IFERROR(__xludf.DUMMYFUNCTION("""COMPUTED_VALUE"""),46187.393842592595)</f>
        <v>46187.39384</v>
      </c>
      <c r="B2308" s="126">
        <f>IFERROR(__xludf.DUMMYFUNCTION("""COMPUTED_VALUE"""),46187.0)</f>
        <v>46187</v>
      </c>
      <c r="C2308" s="122" t="str">
        <f>IFERROR(__xludf.DUMMYFUNCTION("""COMPUTED_VALUE"""),"MEAT")</f>
        <v>MEAT</v>
      </c>
      <c r="D2308" s="122" t="str">
        <f>IFERROR(__xludf.DUMMYFUNCTION("""COMPUTED_VALUE"""),"MeatWorks")</f>
        <v>MeatWorks</v>
      </c>
      <c r="E2308" s="122">
        <f>IFERROR(__xludf.DUMMYFUNCTION("""COMPUTED_VALUE"""),102.84)</f>
        <v>102.84</v>
      </c>
      <c r="F2308" s="122">
        <f>IFERROR(__xludf.DUMMYFUNCTION("""COMPUTED_VALUE"""),-0.0052)</f>
        <v>-0.0052</v>
      </c>
    </row>
    <row r="2309">
      <c r="A2309" s="131">
        <f>IFERROR(__xludf.DUMMYFUNCTION("""COMPUTED_VALUE"""),46187.393842592595)</f>
        <v>46187.39384</v>
      </c>
      <c r="B2309" s="126">
        <f>IFERROR(__xludf.DUMMYFUNCTION("""COMPUTED_VALUE"""),46187.0)</f>
        <v>46187</v>
      </c>
      <c r="C2309" s="122" t="str">
        <f>IFERROR(__xludf.DUMMYFUNCTION("""COMPUTED_VALUE"""),"VEGI")</f>
        <v>VEGI</v>
      </c>
      <c r="D2309" s="122" t="str">
        <f>IFERROR(__xludf.DUMMYFUNCTION("""COMPUTED_VALUE"""),"Green Basket")</f>
        <v>Green Basket</v>
      </c>
      <c r="E2309" s="122">
        <f>IFERROR(__xludf.DUMMYFUNCTION("""COMPUTED_VALUE"""),82.12)</f>
        <v>82.12</v>
      </c>
      <c r="F2309" s="122">
        <f>IFERROR(__xludf.DUMMYFUNCTION("""COMPUTED_VALUE"""),6.0E-4)</f>
        <v>0.0006</v>
      </c>
    </row>
    <row r="2310">
      <c r="A2310" s="131">
        <f>IFERROR(__xludf.DUMMYFUNCTION("""COMPUTED_VALUE"""),46187.393842592595)</f>
        <v>46187.39384</v>
      </c>
      <c r="B2310" s="126">
        <f>IFERROR(__xludf.DUMMYFUNCTION("""COMPUTED_VALUE"""),46187.0)</f>
        <v>46187</v>
      </c>
      <c r="C2310" s="122" t="str">
        <f>IFERROR(__xludf.DUMMYFUNCTION("""COMPUTED_VALUE"""),"CAFE")</f>
        <v>CAFE</v>
      </c>
      <c r="D2310" s="122" t="str">
        <f>IFERROR(__xludf.DUMMYFUNCTION("""COMPUTED_VALUE"""),"Cafe Cloud")</f>
        <v>Cafe Cloud</v>
      </c>
      <c r="E2310" s="122">
        <f>IFERROR(__xludf.DUMMYFUNCTION("""COMPUTED_VALUE"""),99.99)</f>
        <v>99.99</v>
      </c>
      <c r="F2310" s="122">
        <f>IFERROR(__xludf.DUMMYFUNCTION("""COMPUTED_VALUE"""),0.0041)</f>
        <v>0.0041</v>
      </c>
    </row>
    <row r="2311">
      <c r="A2311" s="131">
        <f>IFERROR(__xludf.DUMMYFUNCTION("""COMPUTED_VALUE"""),46187.393842592595)</f>
        <v>46187.39384</v>
      </c>
      <c r="B2311" s="126">
        <f>IFERROR(__xludf.DUMMYFUNCTION("""COMPUTED_VALUE"""),46187.0)</f>
        <v>46187</v>
      </c>
      <c r="C2311" s="122" t="str">
        <f>IFERROR(__xludf.DUMMYFUNCTION("""COMPUTED_VALUE"""),"BAKE")</f>
        <v>BAKE</v>
      </c>
      <c r="D2311" s="122" t="str">
        <f>IFERROR(__xludf.DUMMYFUNCTION("""COMPUTED_VALUE"""),"BakeHouse")</f>
        <v>BakeHouse</v>
      </c>
      <c r="E2311" s="122">
        <f>IFERROR(__xludf.DUMMYFUNCTION("""COMPUTED_VALUE"""),99.89)</f>
        <v>99.89</v>
      </c>
      <c r="F2311" s="122">
        <f>IFERROR(__xludf.DUMMYFUNCTION("""COMPUTED_VALUE"""),-0.001)</f>
        <v>-0.001</v>
      </c>
    </row>
    <row r="2312">
      <c r="A2312" s="131">
        <f>IFERROR(__xludf.DUMMYFUNCTION("""COMPUTED_VALUE"""),46187.393842592595)</f>
        <v>46187.39384</v>
      </c>
      <c r="B2312" s="126">
        <f>IFERROR(__xludf.DUMMYFUNCTION("""COMPUTED_VALUE"""),46187.0)</f>
        <v>46187</v>
      </c>
      <c r="C2312" s="122" t="str">
        <f>IFERROR(__xludf.DUMMYFUNCTION("""COMPUTED_VALUE"""),"OILX")</f>
        <v>OILX</v>
      </c>
      <c r="D2312" s="122" t="str">
        <f>IFERROR(__xludf.DUMMYFUNCTION("""COMPUTED_VALUE"""),"OilMax Energy")</f>
        <v>OilMax Energy</v>
      </c>
      <c r="E2312" s="122">
        <f>IFERROR(__xludf.DUMMYFUNCTION("""COMPUTED_VALUE"""),128.6)</f>
        <v>128.6</v>
      </c>
      <c r="F2312" s="122">
        <f>IFERROR(__xludf.DUMMYFUNCTION("""COMPUTED_VALUE"""),-0.0083)</f>
        <v>-0.0083</v>
      </c>
    </row>
    <row r="2313">
      <c r="A2313" s="131">
        <f>IFERROR(__xludf.DUMMYFUNCTION("""COMPUTED_VALUE"""),46187.393842592595)</f>
        <v>46187.39384</v>
      </c>
      <c r="B2313" s="126">
        <f>IFERROR(__xludf.DUMMYFUNCTION("""COMPUTED_VALUE"""),46187.0)</f>
        <v>46187</v>
      </c>
      <c r="C2313" s="122" t="str">
        <f>IFERROR(__xludf.DUMMYFUNCTION("""COMPUTED_VALUE"""),"SOLR")</f>
        <v>SOLR</v>
      </c>
      <c r="D2313" s="122" t="str">
        <f>IFERROR(__xludf.DUMMYFUNCTION("""COMPUTED_VALUE"""),"SolarSpark")</f>
        <v>SolarSpark</v>
      </c>
      <c r="E2313" s="122">
        <f>IFERROR(__xludf.DUMMYFUNCTION("""COMPUTED_VALUE"""),87.78)</f>
        <v>87.78</v>
      </c>
      <c r="F2313" s="122">
        <f>IFERROR(__xludf.DUMMYFUNCTION("""COMPUTED_VALUE"""),0.0023)</f>
        <v>0.0023</v>
      </c>
    </row>
    <row r="2314">
      <c r="A2314" s="131">
        <f>IFERROR(__xludf.DUMMYFUNCTION("""COMPUTED_VALUE"""),46187.393842592595)</f>
        <v>46187.39384</v>
      </c>
      <c r="B2314" s="126">
        <f>IFERROR(__xludf.DUMMYFUNCTION("""COMPUTED_VALUE"""),46187.0)</f>
        <v>46187</v>
      </c>
      <c r="C2314" s="122" t="str">
        <f>IFERROR(__xludf.DUMMYFUNCTION("""COMPUTED_VALUE"""),"BATT")</f>
        <v>BATT</v>
      </c>
      <c r="D2314" s="122" t="str">
        <f>IFERROR(__xludf.DUMMYFUNCTION("""COMPUTED_VALUE"""),"BatteryBox")</f>
        <v>BatteryBox</v>
      </c>
      <c r="E2314" s="122">
        <f>IFERROR(__xludf.DUMMYFUNCTION("""COMPUTED_VALUE"""),121.06)</f>
        <v>121.06</v>
      </c>
      <c r="F2314" s="122">
        <f>IFERROR(__xludf.DUMMYFUNCTION("""COMPUTED_VALUE"""),0.0082)</f>
        <v>0.0082</v>
      </c>
    </row>
    <row r="2315">
      <c r="A2315" s="131">
        <f>IFERROR(__xludf.DUMMYFUNCTION("""COMPUTED_VALUE"""),46187.393842592595)</f>
        <v>46187.39384</v>
      </c>
      <c r="B2315" s="126">
        <f>IFERROR(__xludf.DUMMYFUNCTION("""COMPUTED_VALUE"""),46187.0)</f>
        <v>46187</v>
      </c>
      <c r="C2315" s="122" t="str">
        <f>IFERROR(__xludf.DUMMYFUNCTION("""COMPUTED_VALUE"""),"WIND")</f>
        <v>WIND</v>
      </c>
      <c r="D2315" s="122" t="str">
        <f>IFERROR(__xludf.DUMMYFUNCTION("""COMPUTED_VALUE"""),"WindWorks")</f>
        <v>WindWorks</v>
      </c>
      <c r="E2315" s="122">
        <f>IFERROR(__xludf.DUMMYFUNCTION("""COMPUTED_VALUE"""),86.82)</f>
        <v>86.82</v>
      </c>
      <c r="F2315" s="122">
        <f>IFERROR(__xludf.DUMMYFUNCTION("""COMPUTED_VALUE"""),-0.0042)</f>
        <v>-0.0042</v>
      </c>
    </row>
    <row r="2316">
      <c r="A2316" s="131">
        <f>IFERROR(__xludf.DUMMYFUNCTION("""COMPUTED_VALUE"""),46187.393842592595)</f>
        <v>46187.39384</v>
      </c>
      <c r="B2316" s="126">
        <f>IFERROR(__xludf.DUMMYFUNCTION("""COMPUTED_VALUE"""),46187.0)</f>
        <v>46187</v>
      </c>
      <c r="C2316" s="122" t="str">
        <f>IFERROR(__xludf.DUMMYFUNCTION("""COMPUTED_VALUE"""),"GRID")</f>
        <v>GRID</v>
      </c>
      <c r="D2316" s="122" t="str">
        <f>IFERROR(__xludf.DUMMYFUNCTION("""COMPUTED_VALUE"""),"GridPower")</f>
        <v>GridPower</v>
      </c>
      <c r="E2316" s="122">
        <f>IFERROR(__xludf.DUMMYFUNCTION("""COMPUTED_VALUE"""),144.2)</f>
        <v>144.2</v>
      </c>
      <c r="F2316" s="122">
        <f>IFERROR(__xludf.DUMMYFUNCTION("""COMPUTED_VALUE"""),-0.0046)</f>
        <v>-0.0046</v>
      </c>
    </row>
    <row r="2317">
      <c r="A2317" s="131">
        <f>IFERROR(__xludf.DUMMYFUNCTION("""COMPUTED_VALUE"""),46187.393842592595)</f>
        <v>46187.39384</v>
      </c>
      <c r="B2317" s="126">
        <f>IFERROR(__xludf.DUMMYFUNCTION("""COMPUTED_VALUE"""),46187.0)</f>
        <v>46187</v>
      </c>
      <c r="C2317" s="122" t="str">
        <f>IFERROR(__xludf.DUMMYFUNCTION("""COMPUTED_VALUE"""),"HOME")</f>
        <v>HOME</v>
      </c>
      <c r="D2317" s="122" t="str">
        <f>IFERROR(__xludf.DUMMYFUNCTION("""COMPUTED_VALUE"""),"HomeHub")</f>
        <v>HomeHub</v>
      </c>
      <c r="E2317" s="122">
        <f>IFERROR(__xludf.DUMMYFUNCTION("""COMPUTED_VALUE"""),147.88)</f>
        <v>147.88</v>
      </c>
      <c r="F2317" s="122">
        <f>IFERROR(__xludf.DUMMYFUNCTION("""COMPUTED_VALUE"""),-1.0E-4)</f>
        <v>-0.0001</v>
      </c>
    </row>
    <row r="2318">
      <c r="A2318" s="131">
        <f>IFERROR(__xludf.DUMMYFUNCTION("""COMPUTED_VALUE"""),46187.393842592595)</f>
        <v>46187.39384</v>
      </c>
      <c r="B2318" s="126">
        <f>IFERROR(__xludf.DUMMYFUNCTION("""COMPUTED_VALUE"""),46187.0)</f>
        <v>46187</v>
      </c>
      <c r="C2318" s="122" t="str">
        <f>IFERROR(__xludf.DUMMYFUNCTION("""COMPUTED_VALUE"""),"RENT")</f>
        <v>RENT</v>
      </c>
      <c r="D2318" s="122" t="str">
        <f>IFERROR(__xludf.DUMMYFUNCTION("""COMPUTED_VALUE"""),"RentRight")</f>
        <v>RentRight</v>
      </c>
      <c r="E2318" s="122">
        <f>IFERROR(__xludf.DUMMYFUNCTION("""COMPUTED_VALUE"""),91.6)</f>
        <v>91.6</v>
      </c>
      <c r="F2318" s="122">
        <f>IFERROR(__xludf.DUMMYFUNCTION("""COMPUTED_VALUE"""),0.0014)</f>
        <v>0.0014</v>
      </c>
    </row>
    <row r="2319">
      <c r="A2319" s="131">
        <f>IFERROR(__xludf.DUMMYFUNCTION("""COMPUTED_VALUE"""),46187.393842592595)</f>
        <v>46187.39384</v>
      </c>
      <c r="B2319" s="126">
        <f>IFERROR(__xludf.DUMMYFUNCTION("""COMPUTED_VALUE"""),46187.0)</f>
        <v>46187</v>
      </c>
      <c r="C2319" s="122" t="str">
        <f>IFERROR(__xludf.DUMMYFUNCTION("""COMPUTED_VALUE"""),"MALL")</f>
        <v>MALL</v>
      </c>
      <c r="D2319" s="122" t="str">
        <f>IFERROR(__xludf.DUMMYFUNCTION("""COMPUTED_VALUE"""),"MegaMall")</f>
        <v>MegaMall</v>
      </c>
      <c r="E2319" s="122">
        <f>IFERROR(__xludf.DUMMYFUNCTION("""COMPUTED_VALUE"""),99.19)</f>
        <v>99.19</v>
      </c>
      <c r="F2319" s="122">
        <f>IFERROR(__xludf.DUMMYFUNCTION("""COMPUTED_VALUE"""),0.0039)</f>
        <v>0.0039</v>
      </c>
    </row>
    <row r="2320">
      <c r="A2320" s="131">
        <f>IFERROR(__xludf.DUMMYFUNCTION("""COMPUTED_VALUE"""),46187.393842592595)</f>
        <v>46187.39384</v>
      </c>
      <c r="B2320" s="126">
        <f>IFERROR(__xludf.DUMMYFUNCTION("""COMPUTED_VALUE"""),46187.0)</f>
        <v>46187</v>
      </c>
      <c r="C2320" s="122" t="str">
        <f>IFERROR(__xludf.DUMMYFUNCTION("""COMPUTED_VALUE"""),"HOTL")</f>
        <v>HOTL</v>
      </c>
      <c r="D2320" s="122" t="str">
        <f>IFERROR(__xludf.DUMMYFUNCTION("""COMPUTED_VALUE"""),"HotelHive")</f>
        <v>HotelHive</v>
      </c>
      <c r="E2320" s="122">
        <f>IFERROR(__xludf.DUMMYFUNCTION("""COMPUTED_VALUE"""),132.68)</f>
        <v>132.68</v>
      </c>
      <c r="F2320" s="122">
        <f>IFERROR(__xludf.DUMMYFUNCTION("""COMPUTED_VALUE"""),0.0)</f>
        <v>0</v>
      </c>
    </row>
    <row r="2321">
      <c r="A2321" s="131">
        <f>IFERROR(__xludf.DUMMYFUNCTION("""COMPUTED_VALUE"""),46187.393842592595)</f>
        <v>46187.39384</v>
      </c>
      <c r="B2321" s="126">
        <f>IFERROR(__xludf.DUMMYFUNCTION("""COMPUTED_VALUE"""),46187.0)</f>
        <v>46187</v>
      </c>
      <c r="C2321" s="122" t="str">
        <f>IFERROR(__xludf.DUMMYFUNCTION("""COMPUTED_VALUE"""),"LAND")</f>
        <v>LAND</v>
      </c>
      <c r="D2321" s="122" t="str">
        <f>IFERROR(__xludf.DUMMYFUNCTION("""COMPUTED_VALUE"""),"LandLink")</f>
        <v>LandLink</v>
      </c>
      <c r="E2321" s="122">
        <f>IFERROR(__xludf.DUMMYFUNCTION("""COMPUTED_VALUE"""),182.39)</f>
        <v>182.39</v>
      </c>
      <c r="F2321" s="122">
        <f>IFERROR(__xludf.DUMMYFUNCTION("""COMPUTED_VALUE"""),-0.0045)</f>
        <v>-0.0045</v>
      </c>
    </row>
    <row r="2322">
      <c r="A2322" s="131">
        <f>IFERROR(__xludf.DUMMYFUNCTION("""COMPUTED_VALUE"""),46187.393842592595)</f>
        <v>46187.39384</v>
      </c>
      <c r="B2322" s="126">
        <f>IFERROR(__xludf.DUMMYFUNCTION("""COMPUTED_VALUE"""),46187.0)</f>
        <v>46187</v>
      </c>
      <c r="C2322" s="122" t="str">
        <f>IFERROR(__xludf.DUMMYFUNCTION("""COMPUTED_VALUE"""),"CARS")</f>
        <v>CARS</v>
      </c>
      <c r="D2322" s="122" t="str">
        <f>IFERROR(__xludf.DUMMYFUNCTION("""COMPUTED_VALUE"""),"AutoArena")</f>
        <v>AutoArena</v>
      </c>
      <c r="E2322" s="122">
        <f>IFERROR(__xludf.DUMMYFUNCTION("""COMPUTED_VALUE"""),79.23)</f>
        <v>79.23</v>
      </c>
      <c r="F2322" s="122">
        <f>IFERROR(__xludf.DUMMYFUNCTION("""COMPUTED_VALUE"""),0.0071)</f>
        <v>0.0071</v>
      </c>
    </row>
    <row r="2323">
      <c r="A2323" s="131">
        <f>IFERROR(__xludf.DUMMYFUNCTION("""COMPUTED_VALUE"""),46187.393842592595)</f>
        <v>46187.39384</v>
      </c>
      <c r="B2323" s="126">
        <f>IFERROR(__xludf.DUMMYFUNCTION("""COMPUTED_VALUE"""),46187.0)</f>
        <v>46187</v>
      </c>
      <c r="C2323" s="122" t="str">
        <f>IFERROR(__xludf.DUMMYFUNCTION("""COMPUTED_VALUE"""),"EVGO")</f>
        <v>EVGO</v>
      </c>
      <c r="D2323" s="122" t="str">
        <f>IFERROR(__xludf.DUMMYFUNCTION("""COMPUTED_VALUE"""),"EVGo Motors")</f>
        <v>EVGo Motors</v>
      </c>
      <c r="E2323" s="122">
        <f>IFERROR(__xludf.DUMMYFUNCTION("""COMPUTED_VALUE"""),197.76)</f>
        <v>197.76</v>
      </c>
      <c r="F2323" s="122">
        <f>IFERROR(__xludf.DUMMYFUNCTION("""COMPUTED_VALUE"""),0.0023)</f>
        <v>0.0023</v>
      </c>
    </row>
    <row r="2324">
      <c r="A2324" s="131">
        <f>IFERROR(__xludf.DUMMYFUNCTION("""COMPUTED_VALUE"""),46187.393842592595)</f>
        <v>46187.39384</v>
      </c>
      <c r="B2324" s="126">
        <f>IFERROR(__xludf.DUMMYFUNCTION("""COMPUTED_VALUE"""),46187.0)</f>
        <v>46187</v>
      </c>
      <c r="C2324" s="122" t="str">
        <f>IFERROR(__xludf.DUMMYFUNCTION("""COMPUTED_VALUE"""),"TIRE")</f>
        <v>TIRE</v>
      </c>
      <c r="D2324" s="122" t="str">
        <f>IFERROR(__xludf.DUMMYFUNCTION("""COMPUTED_VALUE"""),"TireTown")</f>
        <v>TireTown</v>
      </c>
      <c r="E2324" s="122">
        <f>IFERROR(__xludf.DUMMYFUNCTION("""COMPUTED_VALUE"""),91.99)</f>
        <v>91.99</v>
      </c>
      <c r="F2324" s="122">
        <f>IFERROR(__xludf.DUMMYFUNCTION("""COMPUTED_VALUE"""),0.0026)</f>
        <v>0.0026</v>
      </c>
    </row>
    <row r="2325">
      <c r="A2325" s="131">
        <f>IFERROR(__xludf.DUMMYFUNCTION("""COMPUTED_VALUE"""),46187.393842592595)</f>
        <v>46187.39384</v>
      </c>
      <c r="B2325" s="126">
        <f>IFERROR(__xludf.DUMMYFUNCTION("""COMPUTED_VALUE"""),46187.0)</f>
        <v>46187</v>
      </c>
      <c r="C2325" s="122" t="str">
        <f>IFERROR(__xludf.DUMMYFUNCTION("""COMPUTED_VALUE"""),"BIKE")</f>
        <v>BIKE</v>
      </c>
      <c r="D2325" s="122" t="str">
        <f>IFERROR(__xludf.DUMMYFUNCTION("""COMPUTED_VALUE"""),"BikeBox")</f>
        <v>BikeBox</v>
      </c>
      <c r="E2325" s="122">
        <f>IFERROR(__xludf.DUMMYFUNCTION("""COMPUTED_VALUE"""),53.73)</f>
        <v>53.73</v>
      </c>
      <c r="F2325" s="122">
        <f>IFERROR(__xludf.DUMMYFUNCTION("""COMPUTED_VALUE"""),-0.0011)</f>
        <v>-0.0011</v>
      </c>
    </row>
    <row r="2326">
      <c r="A2326" s="131">
        <f>IFERROR(__xludf.DUMMYFUNCTION("""COMPUTED_VALUE"""),46187.393842592595)</f>
        <v>46187.39384</v>
      </c>
      <c r="B2326" s="126">
        <f>IFERROR(__xludf.DUMMYFUNCTION("""COMPUTED_VALUE"""),46187.0)</f>
        <v>46187</v>
      </c>
      <c r="C2326" s="122" t="str">
        <f>IFERROR(__xludf.DUMMYFUNCTION("""COMPUTED_VALUE"""),"WASH")</f>
        <v>WASH</v>
      </c>
      <c r="D2326" s="122" t="str">
        <f>IFERROR(__xludf.DUMMYFUNCTION("""COMPUTED_VALUE"""),"CarWash Co")</f>
        <v>CarWash Co</v>
      </c>
      <c r="E2326" s="122">
        <f>IFERROR(__xludf.DUMMYFUNCTION("""COMPUTED_VALUE"""),120.33)</f>
        <v>120.33</v>
      </c>
      <c r="F2326" s="122">
        <f>IFERROR(__xludf.DUMMYFUNCTION("""COMPUTED_VALUE"""),-0.0019)</f>
        <v>-0.0019</v>
      </c>
    </row>
    <row r="2327">
      <c r="A2327" s="131">
        <f>IFERROR(__xludf.DUMMYFUNCTION("""COMPUTED_VALUE"""),46187.393842592595)</f>
        <v>46187.39384</v>
      </c>
      <c r="B2327" s="126">
        <f>IFERROR(__xludf.DUMMYFUNCTION("""COMPUTED_VALUE"""),46187.0)</f>
        <v>46187</v>
      </c>
      <c r="C2327" s="122" t="str">
        <f>IFERROR(__xludf.DUMMYFUNCTION("""COMPUTED_VALUE"""),"GBND")</f>
        <v>GBND</v>
      </c>
      <c r="D2327" s="122" t="str">
        <f>IFERROR(__xludf.DUMMYFUNCTION("""COMPUTED_VALUE"""),"Classroom Government Bond")</f>
        <v>Classroom Government Bond</v>
      </c>
      <c r="E2327" s="122">
        <f>IFERROR(__xludf.DUMMYFUNCTION("""COMPUTED_VALUE"""),100.94)</f>
        <v>100.94</v>
      </c>
      <c r="F2327" s="122">
        <f>IFERROR(__xludf.DUMMYFUNCTION("""COMPUTED_VALUE"""),2.0E-4)</f>
        <v>0.0002</v>
      </c>
    </row>
    <row r="2328">
      <c r="A2328" s="131">
        <f>IFERROR(__xludf.DUMMYFUNCTION("""COMPUTED_VALUE"""),46187.393842592595)</f>
        <v>46187.39384</v>
      </c>
      <c r="B2328" s="126">
        <f>IFERROR(__xludf.DUMMYFUNCTION("""COMPUTED_VALUE"""),46187.0)</f>
        <v>46187</v>
      </c>
      <c r="C2328" s="122" t="str">
        <f>IFERROR(__xludf.DUMMYFUNCTION("""COMPUTED_VALUE"""),"SBND")</f>
        <v>SBND</v>
      </c>
      <c r="D2328" s="122" t="str">
        <f>IFERROR(__xludf.DUMMYFUNCTION("""COMPUTED_VALUE"""),"School Savings Bond")</f>
        <v>School Savings Bond</v>
      </c>
      <c r="E2328" s="122">
        <f>IFERROR(__xludf.DUMMYFUNCTION("""COMPUTED_VALUE"""),99.48)</f>
        <v>99.48</v>
      </c>
      <c r="F2328" s="122">
        <f>IFERROR(__xludf.DUMMYFUNCTION("""COMPUTED_VALUE"""),3.0E-4)</f>
        <v>0.0003</v>
      </c>
    </row>
    <row r="2329">
      <c r="A2329" s="131">
        <f>IFERROR(__xludf.DUMMYFUNCTION("""COMPUTED_VALUE"""),46187.393842592595)</f>
        <v>46187.39384</v>
      </c>
      <c r="B2329" s="126">
        <f>IFERROR(__xludf.DUMMYFUNCTION("""COMPUTED_VALUE"""),46187.0)</f>
        <v>46187</v>
      </c>
      <c r="C2329" s="122" t="str">
        <f>IFERROR(__xludf.DUMMYFUNCTION("""COMPUTED_VALUE"""),"CBND")</f>
        <v>CBND</v>
      </c>
      <c r="D2329" s="122" t="str">
        <f>IFERROR(__xludf.DUMMYFUNCTION("""COMPUTED_VALUE"""),"Corporate Classroom Bond")</f>
        <v>Corporate Classroom Bond</v>
      </c>
      <c r="E2329" s="122">
        <f>IFERROR(__xludf.DUMMYFUNCTION("""COMPUTED_VALUE"""),97.63)</f>
        <v>97.63</v>
      </c>
      <c r="F2329" s="122">
        <f>IFERROR(__xludf.DUMMYFUNCTION("""COMPUTED_VALUE"""),1.0E-4)</f>
        <v>0.0001</v>
      </c>
    </row>
    <row r="2330">
      <c r="A2330" s="131">
        <f>IFERROR(__xludf.DUMMYFUNCTION("""COMPUTED_VALUE"""),46187.393842592595)</f>
        <v>46187.39384</v>
      </c>
      <c r="B2330" s="126">
        <f>IFERROR(__xludf.DUMMYFUNCTION("""COMPUTED_VALUE"""),46187.0)</f>
        <v>46187</v>
      </c>
      <c r="C2330" s="122" t="str">
        <f>IFERROR(__xludf.DUMMYFUNCTION("""COMPUTED_VALUE"""),"TBIL")</f>
        <v>TBIL</v>
      </c>
      <c r="D2330" s="122" t="str">
        <f>IFERROR(__xludf.DUMMYFUNCTION("""COMPUTED_VALUE"""),"Treasury Bill")</f>
        <v>Treasury Bill</v>
      </c>
      <c r="E2330" s="122">
        <f>IFERROR(__xludf.DUMMYFUNCTION("""COMPUTED_VALUE"""),98.07)</f>
        <v>98.07</v>
      </c>
      <c r="F2330" s="122">
        <f>IFERROR(__xludf.DUMMYFUNCTION("""COMPUTED_VALUE"""),0.0)</f>
        <v>0</v>
      </c>
    </row>
    <row r="2331">
      <c r="A2331" s="131">
        <f>IFERROR(__xludf.DUMMYFUNCTION("""COMPUTED_VALUE"""),46187.393842592595)</f>
        <v>46187.39384</v>
      </c>
      <c r="B2331" s="126">
        <f>IFERROR(__xludf.DUMMYFUNCTION("""COMPUTED_VALUE"""),46187.0)</f>
        <v>46187</v>
      </c>
      <c r="C2331" s="122" t="str">
        <f>IFERROR(__xludf.DUMMYFUNCTION("""COMPUTED_VALUE"""),"IBND")</f>
        <v>IBND</v>
      </c>
      <c r="D2331" s="122" t="str">
        <f>IFERROR(__xludf.DUMMYFUNCTION("""COMPUTED_VALUE"""),"Inflation Protected Bond")</f>
        <v>Inflation Protected Bond</v>
      </c>
      <c r="E2331" s="122">
        <f>IFERROR(__xludf.DUMMYFUNCTION("""COMPUTED_VALUE"""),100.64)</f>
        <v>100.64</v>
      </c>
      <c r="F2331" s="122">
        <f>IFERROR(__xludf.DUMMYFUNCTION("""COMPUTED_VALUE"""),-1.0E-4)</f>
        <v>-0.0001</v>
      </c>
    </row>
    <row r="2332">
      <c r="A2332" s="131">
        <f>IFERROR(__xludf.DUMMYFUNCTION("""COMPUTED_VALUE"""),46187.39730324074)</f>
        <v>46187.3973</v>
      </c>
      <c r="B2332" s="126">
        <f>IFERROR(__xludf.DUMMYFUNCTION("""COMPUTED_VALUE"""),46187.0)</f>
        <v>46187</v>
      </c>
      <c r="C2332" s="122" t="str">
        <f>IFERROR(__xludf.DUMMYFUNCTION("""COMPUTED_VALUE"""),"SNAX")</f>
        <v>SNAX</v>
      </c>
      <c r="D2332" s="122" t="str">
        <f>IFERROR(__xludf.DUMMYFUNCTION("""COMPUTED_VALUE"""),"MICA Snacks")</f>
        <v>MICA Snacks</v>
      </c>
      <c r="E2332" s="122">
        <f>IFERROR(__xludf.DUMMYFUNCTION("""COMPUTED_VALUE"""),119.69)</f>
        <v>119.69</v>
      </c>
      <c r="F2332" s="122">
        <f>IFERROR(__xludf.DUMMYFUNCTION("""COMPUTED_VALUE"""),-0.0037)</f>
        <v>-0.0037</v>
      </c>
    </row>
    <row r="2333">
      <c r="A2333" s="131">
        <f>IFERROR(__xludf.DUMMYFUNCTION("""COMPUTED_VALUE"""),46187.39730324074)</f>
        <v>46187.3973</v>
      </c>
      <c r="B2333" s="126">
        <f>IFERROR(__xludf.DUMMYFUNCTION("""COMPUTED_VALUE"""),46187.0)</f>
        <v>46187</v>
      </c>
      <c r="C2333" s="122" t="str">
        <f>IFERROR(__xludf.DUMMYFUNCTION("""COMPUTED_VALUE"""),"RAMN")</f>
        <v>RAMN</v>
      </c>
      <c r="D2333" s="122" t="str">
        <f>IFERROR(__xludf.DUMMYFUNCTION("""COMPUTED_VALUE"""),"Ramen Republic")</f>
        <v>Ramen Republic</v>
      </c>
      <c r="E2333" s="122">
        <f>IFERROR(__xludf.DUMMYFUNCTION("""COMPUTED_VALUE"""),74.65)</f>
        <v>74.65</v>
      </c>
      <c r="F2333" s="122">
        <f>IFERROR(__xludf.DUMMYFUNCTION("""COMPUTED_VALUE"""),-0.0041)</f>
        <v>-0.0041</v>
      </c>
    </row>
    <row r="2334">
      <c r="A2334" s="131">
        <f>IFERROR(__xludf.DUMMYFUNCTION("""COMPUTED_VALUE"""),46187.39730324074)</f>
        <v>46187.3973</v>
      </c>
      <c r="B2334" s="126">
        <f>IFERROR(__xludf.DUMMYFUNCTION("""COMPUTED_VALUE"""),46187.0)</f>
        <v>46187</v>
      </c>
      <c r="C2334" s="122" t="str">
        <f>IFERROR(__xludf.DUMMYFUNCTION("""COMPUTED_VALUE"""),"COLA")</f>
        <v>COLA</v>
      </c>
      <c r="D2334" s="122" t="str">
        <f>IFERROR(__xludf.DUMMYFUNCTION("""COMPUTED_VALUE"""),"K-Pop Cola")</f>
        <v>K-Pop Cola</v>
      </c>
      <c r="E2334" s="122">
        <f>IFERROR(__xludf.DUMMYFUNCTION("""COMPUTED_VALUE"""),105.9)</f>
        <v>105.9</v>
      </c>
      <c r="F2334" s="122">
        <f>IFERROR(__xludf.DUMMYFUNCTION("""COMPUTED_VALUE"""),-0.0031)</f>
        <v>-0.0031</v>
      </c>
    </row>
    <row r="2335">
      <c r="A2335" s="131">
        <f>IFERROR(__xludf.DUMMYFUNCTION("""COMPUTED_VALUE"""),46187.39730324074)</f>
        <v>46187.3973</v>
      </c>
      <c r="B2335" s="126">
        <f>IFERROR(__xludf.DUMMYFUNCTION("""COMPUTED_VALUE"""),46187.0)</f>
        <v>46187</v>
      </c>
      <c r="C2335" s="122" t="str">
        <f>IFERROR(__xludf.DUMMYFUNCTION("""COMPUTED_VALUE"""),"CHIP")</f>
        <v>CHIP</v>
      </c>
      <c r="D2335" s="122" t="str">
        <f>IFERROR(__xludf.DUMMYFUNCTION("""COMPUTED_VALUE"""),"Chip Empire")</f>
        <v>Chip Empire</v>
      </c>
      <c r="E2335" s="122">
        <f>IFERROR(__xludf.DUMMYFUNCTION("""COMPUTED_VALUE"""),87.67)</f>
        <v>87.67</v>
      </c>
      <c r="F2335" s="122">
        <f>IFERROR(__xludf.DUMMYFUNCTION("""COMPUTED_VALUE"""),-0.0014)</f>
        <v>-0.0014</v>
      </c>
    </row>
    <row r="2336">
      <c r="A2336" s="131">
        <f>IFERROR(__xludf.DUMMYFUNCTION("""COMPUTED_VALUE"""),46187.39730324074)</f>
        <v>46187.3973</v>
      </c>
      <c r="B2336" s="126">
        <f>IFERROR(__xludf.DUMMYFUNCTION("""COMPUTED_VALUE"""),46187.0)</f>
        <v>46187</v>
      </c>
      <c r="C2336" s="122" t="str">
        <f>IFERROR(__xludf.DUMMYFUNCTION("""COMPUTED_VALUE"""),"CAND")</f>
        <v>CAND</v>
      </c>
      <c r="D2336" s="122" t="str">
        <f>IFERROR(__xludf.DUMMYFUNCTION("""COMPUTED_VALUE"""),"Candy Capital")</f>
        <v>Candy Capital</v>
      </c>
      <c r="E2336" s="122">
        <f>IFERROR(__xludf.DUMMYFUNCTION("""COMPUTED_VALUE"""),75.0)</f>
        <v>75</v>
      </c>
      <c r="F2336" s="122">
        <f>IFERROR(__xludf.DUMMYFUNCTION("""COMPUTED_VALUE"""),-0.0062)</f>
        <v>-0.0062</v>
      </c>
    </row>
    <row r="2337">
      <c r="A2337" s="131">
        <f>IFERROR(__xludf.DUMMYFUNCTION("""COMPUTED_VALUE"""),46187.39730324074)</f>
        <v>46187.3973</v>
      </c>
      <c r="B2337" s="126">
        <f>IFERROR(__xludf.DUMMYFUNCTION("""COMPUTED_VALUE"""),46187.0)</f>
        <v>46187</v>
      </c>
      <c r="C2337" s="122" t="str">
        <f>IFERROR(__xludf.DUMMYFUNCTION("""COMPUTED_VALUE"""),"TECH")</f>
        <v>TECH</v>
      </c>
      <c r="D2337" s="122" t="str">
        <f>IFERROR(__xludf.DUMMYFUNCTION("""COMPUTED_VALUE"""),"Dragon Tech")</f>
        <v>Dragon Tech</v>
      </c>
      <c r="E2337" s="122">
        <f>IFERROR(__xludf.DUMMYFUNCTION("""COMPUTED_VALUE"""),234.3)</f>
        <v>234.3</v>
      </c>
      <c r="F2337" s="122">
        <f>IFERROR(__xludf.DUMMYFUNCTION("""COMPUTED_VALUE"""),-0.0104)</f>
        <v>-0.0104</v>
      </c>
    </row>
    <row r="2338">
      <c r="A2338" s="131">
        <f>IFERROR(__xludf.DUMMYFUNCTION("""COMPUTED_VALUE"""),46187.39730324074)</f>
        <v>46187.3973</v>
      </c>
      <c r="B2338" s="126">
        <f>IFERROR(__xludf.DUMMYFUNCTION("""COMPUTED_VALUE"""),46187.0)</f>
        <v>46187</v>
      </c>
      <c r="C2338" s="122" t="str">
        <f>IFERROR(__xludf.DUMMYFUNCTION("""COMPUTED_VALUE"""),"AIBO")</f>
        <v>AIBO</v>
      </c>
      <c r="D2338" s="122" t="str">
        <f>IFERROR(__xludf.DUMMYFUNCTION("""COMPUTED_VALUE"""),"Homework AI")</f>
        <v>Homework AI</v>
      </c>
      <c r="E2338" s="122">
        <f>IFERROR(__xludf.DUMMYFUNCTION("""COMPUTED_VALUE"""),168.16)</f>
        <v>168.16</v>
      </c>
      <c r="F2338" s="122">
        <f>IFERROR(__xludf.DUMMYFUNCTION("""COMPUTED_VALUE"""),0.0073)</f>
        <v>0.0073</v>
      </c>
    </row>
    <row r="2339">
      <c r="A2339" s="131">
        <f>IFERROR(__xludf.DUMMYFUNCTION("""COMPUTED_VALUE"""),46187.39730324074)</f>
        <v>46187.3973</v>
      </c>
      <c r="B2339" s="126">
        <f>IFERROR(__xludf.DUMMYFUNCTION("""COMPUTED_VALUE"""),46187.0)</f>
        <v>46187</v>
      </c>
      <c r="C2339" s="122" t="str">
        <f>IFERROR(__xludf.DUMMYFUNCTION("""COMPUTED_VALUE"""),"GAME")</f>
        <v>GAME</v>
      </c>
      <c r="D2339" s="122" t="str">
        <f>IFERROR(__xludf.DUMMYFUNCTION("""COMPUTED_VALUE"""),"GameBox Media")</f>
        <v>GameBox Media</v>
      </c>
      <c r="E2339" s="122">
        <f>IFERROR(__xludf.DUMMYFUNCTION("""COMPUTED_VALUE"""),93.47)</f>
        <v>93.47</v>
      </c>
      <c r="F2339" s="122">
        <f>IFERROR(__xludf.DUMMYFUNCTION("""COMPUTED_VALUE"""),-0.0058)</f>
        <v>-0.0058</v>
      </c>
    </row>
    <row r="2340">
      <c r="A2340" s="131">
        <f>IFERROR(__xludf.DUMMYFUNCTION("""COMPUTED_VALUE"""),46187.39730324074)</f>
        <v>46187.3973</v>
      </c>
      <c r="B2340" s="126">
        <f>IFERROR(__xludf.DUMMYFUNCTION("""COMPUTED_VALUE"""),46187.0)</f>
        <v>46187</v>
      </c>
      <c r="C2340" s="122" t="str">
        <f>IFERROR(__xludf.DUMMYFUNCTION("""COMPUTED_VALUE"""),"VRSE")</f>
        <v>VRSE</v>
      </c>
      <c r="D2340" s="122" t="str">
        <f>IFERROR(__xludf.DUMMYFUNCTION("""COMPUTED_VALUE"""),"VerseVR")</f>
        <v>VerseVR</v>
      </c>
      <c r="E2340" s="122">
        <f>IFERROR(__xludf.DUMMYFUNCTION("""COMPUTED_VALUE"""),144.82)</f>
        <v>144.82</v>
      </c>
      <c r="F2340" s="122">
        <f>IFERROR(__xludf.DUMMYFUNCTION("""COMPUTED_VALUE"""),-0.0071)</f>
        <v>-0.0071</v>
      </c>
    </row>
    <row r="2341">
      <c r="A2341" s="131">
        <f>IFERROR(__xludf.DUMMYFUNCTION("""COMPUTED_VALUE"""),46187.39730324074)</f>
        <v>46187.3973</v>
      </c>
      <c r="B2341" s="126">
        <f>IFERROR(__xludf.DUMMYFUNCTION("""COMPUTED_VALUE"""),46187.0)</f>
        <v>46187</v>
      </c>
      <c r="C2341" s="122" t="str">
        <f>IFERROR(__xludf.DUMMYFUNCTION("""COMPUTED_VALUE"""),"BYTE")</f>
        <v>BYTE</v>
      </c>
      <c r="D2341" s="122" t="str">
        <f>IFERROR(__xludf.DUMMYFUNCTION("""COMPUTED_VALUE"""),"ByteWorks")</f>
        <v>ByteWorks</v>
      </c>
      <c r="E2341" s="122">
        <f>IFERROR(__xludf.DUMMYFUNCTION("""COMPUTED_VALUE"""),109.31)</f>
        <v>109.31</v>
      </c>
      <c r="F2341" s="122">
        <f>IFERROR(__xludf.DUMMYFUNCTION("""COMPUTED_VALUE"""),2.0E-4)</f>
        <v>0.0002</v>
      </c>
    </row>
    <row r="2342">
      <c r="A2342" s="131">
        <f>IFERROR(__xludf.DUMMYFUNCTION("""COMPUTED_VALUE"""),46187.39730324074)</f>
        <v>46187.3973</v>
      </c>
      <c r="B2342" s="126">
        <f>IFERROR(__xludf.DUMMYFUNCTION("""COMPUTED_VALUE"""),46187.0)</f>
        <v>46187</v>
      </c>
      <c r="C2342" s="122" t="str">
        <f>IFERROR(__xludf.DUMMYFUNCTION("""COMPUTED_VALUE"""),"BANK")</f>
        <v>BANK</v>
      </c>
      <c r="D2342" s="122" t="str">
        <f>IFERROR(__xludf.DUMMYFUNCTION("""COMPUTED_VALUE"""),"Tiger Bank")</f>
        <v>Tiger Bank</v>
      </c>
      <c r="E2342" s="122">
        <f>IFERROR(__xludf.DUMMYFUNCTION("""COMPUTED_VALUE"""),124.53)</f>
        <v>124.53</v>
      </c>
      <c r="F2342" s="122">
        <f>IFERROR(__xludf.DUMMYFUNCTION("""COMPUTED_VALUE"""),-0.0029)</f>
        <v>-0.0029</v>
      </c>
    </row>
    <row r="2343">
      <c r="A2343" s="131">
        <f>IFERROR(__xludf.DUMMYFUNCTION("""COMPUTED_VALUE"""),46187.39730324074)</f>
        <v>46187.3973</v>
      </c>
      <c r="B2343" s="126">
        <f>IFERROR(__xludf.DUMMYFUNCTION("""COMPUTED_VALUE"""),46187.0)</f>
        <v>46187</v>
      </c>
      <c r="C2343" s="122" t="str">
        <f>IFERROR(__xludf.DUMMYFUNCTION("""COMPUTED_VALUE"""),"CRED")</f>
        <v>CRED</v>
      </c>
      <c r="D2343" s="122" t="str">
        <f>IFERROR(__xludf.DUMMYFUNCTION("""COMPUTED_VALUE"""),"Credit Castle")</f>
        <v>Credit Castle</v>
      </c>
      <c r="E2343" s="122">
        <f>IFERROR(__xludf.DUMMYFUNCTION("""COMPUTED_VALUE"""),68.44)</f>
        <v>68.44</v>
      </c>
      <c r="F2343" s="122">
        <f>IFERROR(__xludf.DUMMYFUNCTION("""COMPUTED_VALUE"""),-0.0015)</f>
        <v>-0.0015</v>
      </c>
    </row>
    <row r="2344">
      <c r="A2344" s="131">
        <f>IFERROR(__xludf.DUMMYFUNCTION("""COMPUTED_VALUE"""),46187.39730324074)</f>
        <v>46187.3973</v>
      </c>
      <c r="B2344" s="126">
        <f>IFERROR(__xludf.DUMMYFUNCTION("""COMPUTED_VALUE"""),46187.0)</f>
        <v>46187</v>
      </c>
      <c r="C2344" s="122" t="str">
        <f>IFERROR(__xludf.DUMMYFUNCTION("""COMPUTED_VALUE"""),"BOND")</f>
        <v>BOND</v>
      </c>
      <c r="D2344" s="122" t="str">
        <f>IFERROR(__xludf.DUMMYFUNCTION("""COMPUTED_VALUE"""),"BondBridge")</f>
        <v>BondBridge</v>
      </c>
      <c r="E2344" s="122">
        <f>IFERROR(__xludf.DUMMYFUNCTION("""COMPUTED_VALUE"""),96.89)</f>
        <v>96.89</v>
      </c>
      <c r="F2344" s="122">
        <f>IFERROR(__xludf.DUMMYFUNCTION("""COMPUTED_VALUE"""),0.0019)</f>
        <v>0.0019</v>
      </c>
    </row>
    <row r="2345">
      <c r="A2345" s="131">
        <f>IFERROR(__xludf.DUMMYFUNCTION("""COMPUTED_VALUE"""),46187.39730324074)</f>
        <v>46187.3973</v>
      </c>
      <c r="B2345" s="126">
        <f>IFERROR(__xludf.DUMMYFUNCTION("""COMPUTED_VALUE"""),46187.0)</f>
        <v>46187</v>
      </c>
      <c r="C2345" s="122" t="str">
        <f>IFERROR(__xludf.DUMMYFUNCTION("""COMPUTED_VALUE"""),"INSR")</f>
        <v>INSR</v>
      </c>
      <c r="D2345" s="122" t="str">
        <f>IFERROR(__xludf.DUMMYFUNCTION("""COMPUTED_VALUE"""),"Shield Insurance")</f>
        <v>Shield Insurance</v>
      </c>
      <c r="E2345" s="122">
        <f>IFERROR(__xludf.DUMMYFUNCTION("""COMPUTED_VALUE"""),157.63)</f>
        <v>157.63</v>
      </c>
      <c r="F2345" s="122">
        <f>IFERROR(__xludf.DUMMYFUNCTION("""COMPUTED_VALUE"""),-0.0017)</f>
        <v>-0.0017</v>
      </c>
    </row>
    <row r="2346">
      <c r="A2346" s="131">
        <f>IFERROR(__xludf.DUMMYFUNCTION("""COMPUTED_VALUE"""),46187.39730324074)</f>
        <v>46187.3973</v>
      </c>
      <c r="B2346" s="126">
        <f>IFERROR(__xludf.DUMMYFUNCTION("""COMPUTED_VALUE"""),46187.0)</f>
        <v>46187</v>
      </c>
      <c r="C2346" s="122" t="str">
        <f>IFERROR(__xludf.DUMMYFUNCTION("""COMPUTED_VALUE"""),"LOAN")</f>
        <v>LOAN</v>
      </c>
      <c r="D2346" s="122" t="str">
        <f>IFERROR(__xludf.DUMMYFUNCTION("""COMPUTED_VALUE"""),"LoanLab")</f>
        <v>LoanLab</v>
      </c>
      <c r="E2346" s="122">
        <f>IFERROR(__xludf.DUMMYFUNCTION("""COMPUTED_VALUE"""),61.84)</f>
        <v>61.84</v>
      </c>
      <c r="F2346" s="122">
        <f>IFERROR(__xludf.DUMMYFUNCTION("""COMPUTED_VALUE"""),-0.0037)</f>
        <v>-0.0037</v>
      </c>
    </row>
    <row r="2347">
      <c r="A2347" s="131">
        <f>IFERROR(__xludf.DUMMYFUNCTION("""COMPUTED_VALUE"""),46187.39730324074)</f>
        <v>46187.3973</v>
      </c>
      <c r="B2347" s="126">
        <f>IFERROR(__xludf.DUMMYFUNCTION("""COMPUTED_VALUE"""),46187.0)</f>
        <v>46187</v>
      </c>
      <c r="C2347" s="122" t="str">
        <f>IFERROR(__xludf.DUMMYFUNCTION("""COMPUTED_VALUE"""),"LUXE")</f>
        <v>LUXE</v>
      </c>
      <c r="D2347" s="122" t="str">
        <f>IFERROR(__xludf.DUMMYFUNCTION("""COMPUTED_VALUE"""),"Luxury Locker")</f>
        <v>Luxury Locker</v>
      </c>
      <c r="E2347" s="122">
        <f>IFERROR(__xludf.DUMMYFUNCTION("""COMPUTED_VALUE"""),260.66)</f>
        <v>260.66</v>
      </c>
      <c r="F2347" s="122">
        <f>IFERROR(__xludf.DUMMYFUNCTION("""COMPUTED_VALUE"""),-0.0013)</f>
        <v>-0.0013</v>
      </c>
    </row>
    <row r="2348">
      <c r="A2348" s="131">
        <f>IFERROR(__xludf.DUMMYFUNCTION("""COMPUTED_VALUE"""),46187.39730324074)</f>
        <v>46187.3973</v>
      </c>
      <c r="B2348" s="126">
        <f>IFERROR(__xludf.DUMMYFUNCTION("""COMPUTED_VALUE"""),46187.0)</f>
        <v>46187</v>
      </c>
      <c r="C2348" s="122" t="str">
        <f>IFERROR(__xludf.DUMMYFUNCTION("""COMPUTED_VALUE"""),"DRIP")</f>
        <v>DRIP</v>
      </c>
      <c r="D2348" s="122" t="str">
        <f>IFERROR(__xludf.DUMMYFUNCTION("""COMPUTED_VALUE"""),"Drip Streetwear")</f>
        <v>Drip Streetwear</v>
      </c>
      <c r="E2348" s="122">
        <f>IFERROR(__xludf.DUMMYFUNCTION("""COMPUTED_VALUE"""),200.37)</f>
        <v>200.37</v>
      </c>
      <c r="F2348" s="122">
        <f>IFERROR(__xludf.DUMMYFUNCTION("""COMPUTED_VALUE"""),-0.0011)</f>
        <v>-0.0011</v>
      </c>
    </row>
    <row r="2349">
      <c r="A2349" s="131">
        <f>IFERROR(__xludf.DUMMYFUNCTION("""COMPUTED_VALUE"""),46187.39730324074)</f>
        <v>46187.3973</v>
      </c>
      <c r="B2349" s="126">
        <f>IFERROR(__xludf.DUMMYFUNCTION("""COMPUTED_VALUE"""),46187.0)</f>
        <v>46187</v>
      </c>
      <c r="C2349" s="122" t="str">
        <f>IFERROR(__xludf.DUMMYFUNCTION("""COMPUTED_VALUE"""),"KICK")</f>
        <v>KICK</v>
      </c>
      <c r="D2349" s="122" t="str">
        <f>IFERROR(__xludf.DUMMYFUNCTION("""COMPUTED_VALUE"""),"KickDrop Sneakers")</f>
        <v>KickDrop Sneakers</v>
      </c>
      <c r="E2349" s="122">
        <f>IFERROR(__xludf.DUMMYFUNCTION("""COMPUTED_VALUE"""),173.62)</f>
        <v>173.62</v>
      </c>
      <c r="F2349" s="122">
        <f>IFERROR(__xludf.DUMMYFUNCTION("""COMPUTED_VALUE"""),0.0074)</f>
        <v>0.0074</v>
      </c>
    </row>
    <row r="2350">
      <c r="A2350" s="131">
        <f>IFERROR(__xludf.DUMMYFUNCTION("""COMPUTED_VALUE"""),46187.39730324074)</f>
        <v>46187.3973</v>
      </c>
      <c r="B2350" s="126">
        <f>IFERROR(__xludf.DUMMYFUNCTION("""COMPUTED_VALUE"""),46187.0)</f>
        <v>46187</v>
      </c>
      <c r="C2350" s="122" t="str">
        <f>IFERROR(__xludf.DUMMYFUNCTION("""COMPUTED_VALUE"""),"GLAM")</f>
        <v>GLAM</v>
      </c>
      <c r="D2350" s="122" t="str">
        <f>IFERROR(__xludf.DUMMYFUNCTION("""COMPUTED_VALUE"""),"Glow Cosmetics")</f>
        <v>Glow Cosmetics</v>
      </c>
      <c r="E2350" s="122">
        <f>IFERROR(__xludf.DUMMYFUNCTION("""COMPUTED_VALUE"""),96.68)</f>
        <v>96.68</v>
      </c>
      <c r="F2350" s="122">
        <f>IFERROR(__xludf.DUMMYFUNCTION("""COMPUTED_VALUE"""),0.0054)</f>
        <v>0.0054</v>
      </c>
    </row>
    <row r="2351">
      <c r="A2351" s="131">
        <f>IFERROR(__xludf.DUMMYFUNCTION("""COMPUTED_VALUE"""),46187.39730324074)</f>
        <v>46187.3973</v>
      </c>
      <c r="B2351" s="126">
        <f>IFERROR(__xludf.DUMMYFUNCTION("""COMPUTED_VALUE"""),46187.0)</f>
        <v>46187</v>
      </c>
      <c r="C2351" s="122" t="str">
        <f>IFERROR(__xludf.DUMMYFUNCTION("""COMPUTED_VALUE"""),"BAGG")</f>
        <v>BAGG</v>
      </c>
      <c r="D2351" s="122" t="str">
        <f>IFERROR(__xludf.DUMMYFUNCTION("""COMPUTED_VALUE"""),"BagVault")</f>
        <v>BagVault</v>
      </c>
      <c r="E2351" s="122">
        <f>IFERROR(__xludf.DUMMYFUNCTION("""COMPUTED_VALUE"""),247.69)</f>
        <v>247.69</v>
      </c>
      <c r="F2351" s="122">
        <f>IFERROR(__xludf.DUMMYFUNCTION("""COMPUTED_VALUE"""),0.0042)</f>
        <v>0.0042</v>
      </c>
    </row>
    <row r="2352">
      <c r="A2352" s="131">
        <f>IFERROR(__xludf.DUMMYFUNCTION("""COMPUTED_VALUE"""),46187.39730324074)</f>
        <v>46187.3973</v>
      </c>
      <c r="B2352" s="126">
        <f>IFERROR(__xludf.DUMMYFUNCTION("""COMPUTED_VALUE"""),46187.0)</f>
        <v>46187</v>
      </c>
      <c r="C2352" s="122" t="str">
        <f>IFERROR(__xludf.DUMMYFUNCTION("""COMPUTED_VALUE"""),"FAST")</f>
        <v>FAST</v>
      </c>
      <c r="D2352" s="122" t="str">
        <f>IFERROR(__xludf.DUMMYFUNCTION("""COMPUTED_VALUE"""),"Flash Logistics")</f>
        <v>Flash Logistics</v>
      </c>
      <c r="E2352" s="122">
        <f>IFERROR(__xludf.DUMMYFUNCTION("""COMPUTED_VALUE"""),102.03)</f>
        <v>102.03</v>
      </c>
      <c r="F2352" s="122">
        <f>IFERROR(__xludf.DUMMYFUNCTION("""COMPUTED_VALUE"""),-0.0017)</f>
        <v>-0.0017</v>
      </c>
    </row>
    <row r="2353">
      <c r="A2353" s="131">
        <f>IFERROR(__xludf.DUMMYFUNCTION("""COMPUTED_VALUE"""),46187.39730324074)</f>
        <v>46187.3973</v>
      </c>
      <c r="B2353" s="126">
        <f>IFERROR(__xludf.DUMMYFUNCTION("""COMPUTED_VALUE"""),46187.0)</f>
        <v>46187</v>
      </c>
      <c r="C2353" s="122" t="str">
        <f>IFERROR(__xludf.DUMMYFUNCTION("""COMPUTED_VALUE"""),"SHIP")</f>
        <v>SHIP</v>
      </c>
      <c r="D2353" s="122" t="str">
        <f>IFERROR(__xludf.DUMMYFUNCTION("""COMPUTED_VALUE"""),"Seoul Shipping")</f>
        <v>Seoul Shipping</v>
      </c>
      <c r="E2353" s="122">
        <f>IFERROR(__xludf.DUMMYFUNCTION("""COMPUTED_VALUE"""),116.93)</f>
        <v>116.93</v>
      </c>
      <c r="F2353" s="122">
        <f>IFERROR(__xludf.DUMMYFUNCTION("""COMPUTED_VALUE"""),0.002)</f>
        <v>0.002</v>
      </c>
    </row>
    <row r="2354">
      <c r="A2354" s="131">
        <f>IFERROR(__xludf.DUMMYFUNCTION("""COMPUTED_VALUE"""),46187.39730324074)</f>
        <v>46187.3973</v>
      </c>
      <c r="B2354" s="126">
        <f>IFERROR(__xludf.DUMMYFUNCTION("""COMPUTED_VALUE"""),46187.0)</f>
        <v>46187</v>
      </c>
      <c r="C2354" s="122" t="str">
        <f>IFERROR(__xludf.DUMMYFUNCTION("""COMPUTED_VALUE"""),"DRON")</f>
        <v>DRON</v>
      </c>
      <c r="D2354" s="122" t="str">
        <f>IFERROR(__xludf.DUMMYFUNCTION("""COMPUTED_VALUE"""),"DroneDrop")</f>
        <v>DroneDrop</v>
      </c>
      <c r="E2354" s="122">
        <f>IFERROR(__xludf.DUMMYFUNCTION("""COMPUTED_VALUE"""),130.23)</f>
        <v>130.23</v>
      </c>
      <c r="F2354" s="122">
        <f>IFERROR(__xludf.DUMMYFUNCTION("""COMPUTED_VALUE"""),0.0081)</f>
        <v>0.0081</v>
      </c>
    </row>
    <row r="2355">
      <c r="A2355" s="131">
        <f>IFERROR(__xludf.DUMMYFUNCTION("""COMPUTED_VALUE"""),46187.39730324074)</f>
        <v>46187.3973</v>
      </c>
      <c r="B2355" s="126">
        <f>IFERROR(__xludf.DUMMYFUNCTION("""COMPUTED_VALUE"""),46187.0)</f>
        <v>46187</v>
      </c>
      <c r="C2355" s="122" t="str">
        <f>IFERROR(__xludf.DUMMYFUNCTION("""COMPUTED_VALUE"""),"RIDE")</f>
        <v>RIDE</v>
      </c>
      <c r="D2355" s="122" t="str">
        <f>IFERROR(__xludf.DUMMYFUNCTION("""COMPUTED_VALUE"""),"QuickRide")</f>
        <v>QuickRide</v>
      </c>
      <c r="E2355" s="122">
        <f>IFERROR(__xludf.DUMMYFUNCTION("""COMPUTED_VALUE"""),97.36)</f>
        <v>97.36</v>
      </c>
      <c r="F2355" s="122">
        <f>IFERROR(__xludf.DUMMYFUNCTION("""COMPUTED_VALUE"""),9.0E-4)</f>
        <v>0.0009</v>
      </c>
    </row>
    <row r="2356">
      <c r="A2356" s="131">
        <f>IFERROR(__xludf.DUMMYFUNCTION("""COMPUTED_VALUE"""),46187.39730324074)</f>
        <v>46187.3973</v>
      </c>
      <c r="B2356" s="126">
        <f>IFERROR(__xludf.DUMMYFUNCTION("""COMPUTED_VALUE"""),46187.0)</f>
        <v>46187</v>
      </c>
      <c r="C2356" s="122" t="str">
        <f>IFERROR(__xludf.DUMMYFUNCTION("""COMPUTED_VALUE"""),"RAIL")</f>
        <v>RAIL</v>
      </c>
      <c r="D2356" s="122" t="str">
        <f>IFERROR(__xludf.DUMMYFUNCTION("""COMPUTED_VALUE"""),"MetroRail Corp")</f>
        <v>MetroRail Corp</v>
      </c>
      <c r="E2356" s="122">
        <f>IFERROR(__xludf.DUMMYFUNCTION("""COMPUTED_VALUE"""),136.22)</f>
        <v>136.22</v>
      </c>
      <c r="F2356" s="122">
        <f>IFERROR(__xludf.DUMMYFUNCTION("""COMPUTED_VALUE"""),-9.0E-4)</f>
        <v>-0.0009</v>
      </c>
    </row>
    <row r="2357">
      <c r="A2357" s="131">
        <f>IFERROR(__xludf.DUMMYFUNCTION("""COMPUTED_VALUE"""),46187.39730324074)</f>
        <v>46187.3973</v>
      </c>
      <c r="B2357" s="126">
        <f>IFERROR(__xludf.DUMMYFUNCTION("""COMPUTED_VALUE"""),46187.0)</f>
        <v>46187</v>
      </c>
      <c r="C2357" s="122" t="str">
        <f>IFERROR(__xludf.DUMMYFUNCTION("""COMPUTED_VALUE"""),"MEDX")</f>
        <v>MEDX</v>
      </c>
      <c r="D2357" s="122" t="str">
        <f>IFERROR(__xludf.DUMMYFUNCTION("""COMPUTED_VALUE"""),"MediCore")</f>
        <v>MediCore</v>
      </c>
      <c r="E2357" s="122">
        <f>IFERROR(__xludf.DUMMYFUNCTION("""COMPUTED_VALUE"""),137.34)</f>
        <v>137.34</v>
      </c>
      <c r="F2357" s="122">
        <f>IFERROR(__xludf.DUMMYFUNCTION("""COMPUTED_VALUE"""),2.0E-4)</f>
        <v>0.0002</v>
      </c>
    </row>
    <row r="2358">
      <c r="A2358" s="131">
        <f>IFERROR(__xludf.DUMMYFUNCTION("""COMPUTED_VALUE"""),46187.39730324074)</f>
        <v>46187.3973</v>
      </c>
      <c r="B2358" s="126">
        <f>IFERROR(__xludf.DUMMYFUNCTION("""COMPUTED_VALUE"""),46187.0)</f>
        <v>46187</v>
      </c>
      <c r="C2358" s="122" t="str">
        <f>IFERROR(__xludf.DUMMYFUNCTION("""COMPUTED_VALUE"""),"GYMX")</f>
        <v>GYMX</v>
      </c>
      <c r="D2358" s="122" t="str">
        <f>IFERROR(__xludf.DUMMYFUNCTION("""COMPUTED_VALUE"""),"GymX Fitness")</f>
        <v>GymX Fitness</v>
      </c>
      <c r="E2358" s="122">
        <f>IFERROR(__xludf.DUMMYFUNCTION("""COMPUTED_VALUE"""),85.77)</f>
        <v>85.77</v>
      </c>
      <c r="F2358" s="122">
        <f>IFERROR(__xludf.DUMMYFUNCTION("""COMPUTED_VALUE"""),-0.0027)</f>
        <v>-0.0027</v>
      </c>
    </row>
    <row r="2359">
      <c r="A2359" s="131">
        <f>IFERROR(__xludf.DUMMYFUNCTION("""COMPUTED_VALUE"""),46187.39730324074)</f>
        <v>46187.3973</v>
      </c>
      <c r="B2359" s="126">
        <f>IFERROR(__xludf.DUMMYFUNCTION("""COMPUTED_VALUE"""),46187.0)</f>
        <v>46187</v>
      </c>
      <c r="C2359" s="122" t="str">
        <f>IFERROR(__xludf.DUMMYFUNCTION("""COMPUTED_VALUE"""),"VITA")</f>
        <v>VITA</v>
      </c>
      <c r="D2359" s="122" t="str">
        <f>IFERROR(__xludf.DUMMYFUNCTION("""COMPUTED_VALUE"""),"VitaPlus")</f>
        <v>VitaPlus</v>
      </c>
      <c r="E2359" s="122">
        <f>IFERROR(__xludf.DUMMYFUNCTION("""COMPUTED_VALUE"""),75.33)</f>
        <v>75.33</v>
      </c>
      <c r="F2359" s="122">
        <f>IFERROR(__xludf.DUMMYFUNCTION("""COMPUTED_VALUE"""),0.0056)</f>
        <v>0.0056</v>
      </c>
    </row>
    <row r="2360">
      <c r="A2360" s="131">
        <f>IFERROR(__xludf.DUMMYFUNCTION("""COMPUTED_VALUE"""),46187.39730324074)</f>
        <v>46187.3973</v>
      </c>
      <c r="B2360" s="126">
        <f>IFERROR(__xludf.DUMMYFUNCTION("""COMPUTED_VALUE"""),46187.0)</f>
        <v>46187</v>
      </c>
      <c r="C2360" s="122" t="str">
        <f>IFERROR(__xludf.DUMMYFUNCTION("""COMPUTED_VALUE"""),"CARE")</f>
        <v>CARE</v>
      </c>
      <c r="D2360" s="122" t="str">
        <f>IFERROR(__xludf.DUMMYFUNCTION("""COMPUTED_VALUE"""),"CareCloud")</f>
        <v>CareCloud</v>
      </c>
      <c r="E2360" s="122">
        <f>IFERROR(__xludf.DUMMYFUNCTION("""COMPUTED_VALUE"""),179.69)</f>
        <v>179.69</v>
      </c>
      <c r="F2360" s="122">
        <f>IFERROR(__xludf.DUMMYFUNCTION("""COMPUTED_VALUE"""),0.0013)</f>
        <v>0.0013</v>
      </c>
    </row>
    <row r="2361">
      <c r="A2361" s="131">
        <f>IFERROR(__xludf.DUMMYFUNCTION("""COMPUTED_VALUE"""),46187.39730324074)</f>
        <v>46187.3973</v>
      </c>
      <c r="B2361" s="126">
        <f>IFERROR(__xludf.DUMMYFUNCTION("""COMPUTED_VALUE"""),46187.0)</f>
        <v>46187</v>
      </c>
      <c r="C2361" s="122" t="str">
        <f>IFERROR(__xludf.DUMMYFUNCTION("""COMPUTED_VALUE"""),"DENT")</f>
        <v>DENT</v>
      </c>
      <c r="D2361" s="122" t="str">
        <f>IFERROR(__xludf.DUMMYFUNCTION("""COMPUTED_VALUE"""),"SmileWorks")</f>
        <v>SmileWorks</v>
      </c>
      <c r="E2361" s="122">
        <f>IFERROR(__xludf.DUMMYFUNCTION("""COMPUTED_VALUE"""),82.26)</f>
        <v>82.26</v>
      </c>
      <c r="F2361" s="122">
        <f>IFERROR(__xludf.DUMMYFUNCTION("""COMPUTED_VALUE"""),-0.0012)</f>
        <v>-0.0012</v>
      </c>
    </row>
    <row r="2362">
      <c r="A2362" s="131">
        <f>IFERROR(__xludf.DUMMYFUNCTION("""COMPUTED_VALUE"""),46187.39730324074)</f>
        <v>46187.3973</v>
      </c>
      <c r="B2362" s="126">
        <f>IFERROR(__xludf.DUMMYFUNCTION("""COMPUTED_VALUE"""),46187.0)</f>
        <v>46187</v>
      </c>
      <c r="C2362" s="122" t="str">
        <f>IFERROR(__xludf.DUMMYFUNCTION("""COMPUTED_VALUE"""),"EDUX")</f>
        <v>EDUX</v>
      </c>
      <c r="D2362" s="122" t="str">
        <f>IFERROR(__xludf.DUMMYFUNCTION("""COMPUTED_VALUE"""),"EduMax Learning")</f>
        <v>EduMax Learning</v>
      </c>
      <c r="E2362" s="122">
        <f>IFERROR(__xludf.DUMMYFUNCTION("""COMPUTED_VALUE"""),133.43)</f>
        <v>133.43</v>
      </c>
      <c r="F2362" s="122">
        <f>IFERROR(__xludf.DUMMYFUNCTION("""COMPUTED_VALUE"""),0.0036)</f>
        <v>0.0036</v>
      </c>
    </row>
    <row r="2363">
      <c r="A2363" s="131">
        <f>IFERROR(__xludf.DUMMYFUNCTION("""COMPUTED_VALUE"""),46187.39730324074)</f>
        <v>46187.3973</v>
      </c>
      <c r="B2363" s="126">
        <f>IFERROR(__xludf.DUMMYFUNCTION("""COMPUTED_VALUE"""),46187.0)</f>
        <v>46187</v>
      </c>
      <c r="C2363" s="122" t="str">
        <f>IFERROR(__xludf.DUMMYFUNCTION("""COMPUTED_VALUE"""),"BOOK")</f>
        <v>BOOK</v>
      </c>
      <c r="D2363" s="122" t="str">
        <f>IFERROR(__xludf.DUMMYFUNCTION("""COMPUTED_VALUE"""),"BookBridge")</f>
        <v>BookBridge</v>
      </c>
      <c r="E2363" s="122">
        <f>IFERROR(__xludf.DUMMYFUNCTION("""COMPUTED_VALUE"""),114.86)</f>
        <v>114.86</v>
      </c>
      <c r="F2363" s="122">
        <f>IFERROR(__xludf.DUMMYFUNCTION("""COMPUTED_VALUE"""),0.0039)</f>
        <v>0.0039</v>
      </c>
    </row>
    <row r="2364">
      <c r="A2364" s="131">
        <f>IFERROR(__xludf.DUMMYFUNCTION("""COMPUTED_VALUE"""),46187.39730324074)</f>
        <v>46187.3973</v>
      </c>
      <c r="B2364" s="126">
        <f>IFERROR(__xludf.DUMMYFUNCTION("""COMPUTED_VALUE"""),46187.0)</f>
        <v>46187</v>
      </c>
      <c r="C2364" s="122" t="str">
        <f>IFERROR(__xludf.DUMMYFUNCTION("""COMPUTED_VALUE"""),"TUTR")</f>
        <v>TUTR</v>
      </c>
      <c r="D2364" s="122" t="str">
        <f>IFERROR(__xludf.DUMMYFUNCTION("""COMPUTED_VALUE"""),"TutorTown")</f>
        <v>TutorTown</v>
      </c>
      <c r="E2364" s="122">
        <f>IFERROR(__xludf.DUMMYFUNCTION("""COMPUTED_VALUE"""),89.49)</f>
        <v>89.49</v>
      </c>
      <c r="F2364" s="122">
        <f>IFERROR(__xludf.DUMMYFUNCTION("""COMPUTED_VALUE"""),-0.0048)</f>
        <v>-0.0048</v>
      </c>
    </row>
    <row r="2365">
      <c r="A2365" s="131">
        <f>IFERROR(__xludf.DUMMYFUNCTION("""COMPUTED_VALUE"""),46187.39730324074)</f>
        <v>46187.3973</v>
      </c>
      <c r="B2365" s="126">
        <f>IFERROR(__xludf.DUMMYFUNCTION("""COMPUTED_VALUE"""),46187.0)</f>
        <v>46187</v>
      </c>
      <c r="C2365" s="122" t="str">
        <f>IFERROR(__xludf.DUMMYFUNCTION("""COMPUTED_VALUE"""),"LANG")</f>
        <v>LANG</v>
      </c>
      <c r="D2365" s="122" t="str">
        <f>IFERROR(__xludf.DUMMYFUNCTION("""COMPUTED_VALUE"""),"LinguaLab")</f>
        <v>LinguaLab</v>
      </c>
      <c r="E2365" s="122">
        <f>IFERROR(__xludf.DUMMYFUNCTION("""COMPUTED_VALUE"""),96.45)</f>
        <v>96.45</v>
      </c>
      <c r="F2365" s="122">
        <f>IFERROR(__xludf.DUMMYFUNCTION("""COMPUTED_VALUE"""),-0.001)</f>
        <v>-0.001</v>
      </c>
    </row>
    <row r="2366">
      <c r="A2366" s="131">
        <f>IFERROR(__xludf.DUMMYFUNCTION("""COMPUTED_VALUE"""),46187.39730324074)</f>
        <v>46187.3973</v>
      </c>
      <c r="B2366" s="126">
        <f>IFERROR(__xludf.DUMMYFUNCTION("""COMPUTED_VALUE"""),46187.0)</f>
        <v>46187</v>
      </c>
      <c r="C2366" s="122" t="str">
        <f>IFERROR(__xludf.DUMMYFUNCTION("""COMPUTED_VALUE"""),"TEST")</f>
        <v>TEST</v>
      </c>
      <c r="D2366" s="122" t="str">
        <f>IFERROR(__xludf.DUMMYFUNCTION("""COMPUTED_VALUE"""),"TestPrep Pro")</f>
        <v>TestPrep Pro</v>
      </c>
      <c r="E2366" s="122">
        <f>IFERROR(__xludf.DUMMYFUNCTION("""COMPUTED_VALUE"""),101.73)</f>
        <v>101.73</v>
      </c>
      <c r="F2366" s="122">
        <f>IFERROR(__xludf.DUMMYFUNCTION("""COMPUTED_VALUE"""),-0.0049)</f>
        <v>-0.0049</v>
      </c>
    </row>
    <row r="2367">
      <c r="A2367" s="131">
        <f>IFERROR(__xludf.DUMMYFUNCTION("""COMPUTED_VALUE"""),46187.39730324074)</f>
        <v>46187.3973</v>
      </c>
      <c r="B2367" s="126">
        <f>IFERROR(__xludf.DUMMYFUNCTION("""COMPUTED_VALUE"""),46187.0)</f>
        <v>46187</v>
      </c>
      <c r="C2367" s="122" t="str">
        <f>IFERROR(__xludf.DUMMYFUNCTION("""COMPUTED_VALUE"""),"MOVI")</f>
        <v>MOVI</v>
      </c>
      <c r="D2367" s="122" t="str">
        <f>IFERROR(__xludf.DUMMYFUNCTION("""COMPUTED_VALUE"""),"MovieBox")</f>
        <v>MovieBox</v>
      </c>
      <c r="E2367" s="122">
        <f>IFERROR(__xludf.DUMMYFUNCTION("""COMPUTED_VALUE"""),79.86)</f>
        <v>79.86</v>
      </c>
      <c r="F2367" s="122">
        <f>IFERROR(__xludf.DUMMYFUNCTION("""COMPUTED_VALUE"""),-0.0067)</f>
        <v>-0.0067</v>
      </c>
    </row>
    <row r="2368">
      <c r="A2368" s="131">
        <f>IFERROR(__xludf.DUMMYFUNCTION("""COMPUTED_VALUE"""),46187.39730324074)</f>
        <v>46187.3973</v>
      </c>
      <c r="B2368" s="126">
        <f>IFERROR(__xludf.DUMMYFUNCTION("""COMPUTED_VALUE"""),46187.0)</f>
        <v>46187</v>
      </c>
      <c r="C2368" s="122" t="str">
        <f>IFERROR(__xludf.DUMMYFUNCTION("""COMPUTED_VALUE"""),"MUSC")</f>
        <v>MUSC</v>
      </c>
      <c r="D2368" s="122" t="str">
        <f>IFERROR(__xludf.DUMMYFUNCTION("""COMPUTED_VALUE"""),"MusicWave")</f>
        <v>MusicWave</v>
      </c>
      <c r="E2368" s="122">
        <f>IFERROR(__xludf.DUMMYFUNCTION("""COMPUTED_VALUE"""),96.15)</f>
        <v>96.15</v>
      </c>
      <c r="F2368" s="122">
        <f>IFERROR(__xludf.DUMMYFUNCTION("""COMPUTED_VALUE"""),-0.0062)</f>
        <v>-0.0062</v>
      </c>
    </row>
    <row r="2369">
      <c r="A2369" s="131">
        <f>IFERROR(__xludf.DUMMYFUNCTION("""COMPUTED_VALUE"""),46187.39730324074)</f>
        <v>46187.3973</v>
      </c>
      <c r="B2369" s="126">
        <f>IFERROR(__xludf.DUMMYFUNCTION("""COMPUTED_VALUE"""),46187.0)</f>
        <v>46187</v>
      </c>
      <c r="C2369" s="122" t="str">
        <f>IFERROR(__xludf.DUMMYFUNCTION("""COMPUTED_VALUE"""),"IDOL")</f>
        <v>IDOL</v>
      </c>
      <c r="D2369" s="122" t="str">
        <f>IFERROR(__xludf.DUMMYFUNCTION("""COMPUTED_VALUE"""),"Idol Agency")</f>
        <v>Idol Agency</v>
      </c>
      <c r="E2369" s="122">
        <f>IFERROR(__xludf.DUMMYFUNCTION("""COMPUTED_VALUE"""),197.53)</f>
        <v>197.53</v>
      </c>
      <c r="F2369" s="122">
        <f>IFERROR(__xludf.DUMMYFUNCTION("""COMPUTED_VALUE"""),-3.0E-4)</f>
        <v>-0.0003</v>
      </c>
    </row>
    <row r="2370">
      <c r="A2370" s="131">
        <f>IFERROR(__xludf.DUMMYFUNCTION("""COMPUTED_VALUE"""),46187.39730324074)</f>
        <v>46187.3973</v>
      </c>
      <c r="B2370" s="126">
        <f>IFERROR(__xludf.DUMMYFUNCTION("""COMPUTED_VALUE"""),46187.0)</f>
        <v>46187</v>
      </c>
      <c r="C2370" s="122" t="str">
        <f>IFERROR(__xludf.DUMMYFUNCTION("""COMPUTED_VALUE"""),"MEME")</f>
        <v>MEME</v>
      </c>
      <c r="D2370" s="122" t="str">
        <f>IFERROR(__xludf.DUMMYFUNCTION("""COMPUTED_VALUE"""),"Meme Media")</f>
        <v>Meme Media</v>
      </c>
      <c r="E2370" s="122">
        <f>IFERROR(__xludf.DUMMYFUNCTION("""COMPUTED_VALUE"""),77.9)</f>
        <v>77.9</v>
      </c>
      <c r="F2370" s="122">
        <f>IFERROR(__xludf.DUMMYFUNCTION("""COMPUTED_VALUE"""),-0.006)</f>
        <v>-0.006</v>
      </c>
    </row>
    <row r="2371">
      <c r="A2371" s="131">
        <f>IFERROR(__xludf.DUMMYFUNCTION("""COMPUTED_VALUE"""),46187.39730324074)</f>
        <v>46187.3973</v>
      </c>
      <c r="B2371" s="126">
        <f>IFERROR(__xludf.DUMMYFUNCTION("""COMPUTED_VALUE"""),46187.0)</f>
        <v>46187</v>
      </c>
      <c r="C2371" s="122" t="str">
        <f>IFERROR(__xludf.DUMMYFUNCTION("""COMPUTED_VALUE"""),"STRM")</f>
        <v>STRM</v>
      </c>
      <c r="D2371" s="122" t="str">
        <f>IFERROR(__xludf.DUMMYFUNCTION("""COMPUTED_VALUE"""),"Streamly")</f>
        <v>Streamly</v>
      </c>
      <c r="E2371" s="122">
        <f>IFERROR(__xludf.DUMMYFUNCTION("""COMPUTED_VALUE"""),135.88)</f>
        <v>135.88</v>
      </c>
      <c r="F2371" s="122">
        <f>IFERROR(__xludf.DUMMYFUNCTION("""COMPUTED_VALUE"""),0.0021)</f>
        <v>0.0021</v>
      </c>
    </row>
    <row r="2372">
      <c r="A2372" s="131">
        <f>IFERROR(__xludf.DUMMYFUNCTION("""COMPUTED_VALUE"""),46187.39730324074)</f>
        <v>46187.3973</v>
      </c>
      <c r="B2372" s="126">
        <f>IFERROR(__xludf.DUMMYFUNCTION("""COMPUTED_VALUE"""),46187.0)</f>
        <v>46187</v>
      </c>
      <c r="C2372" s="122" t="str">
        <f>IFERROR(__xludf.DUMMYFUNCTION("""COMPUTED_VALUE"""),"FARM")</f>
        <v>FARM</v>
      </c>
      <c r="D2372" s="122" t="str">
        <f>IFERROR(__xludf.DUMMYFUNCTION("""COMPUTED_VALUE"""),"Future Farms")</f>
        <v>Future Farms</v>
      </c>
      <c r="E2372" s="122">
        <f>IFERROR(__xludf.DUMMYFUNCTION("""COMPUTED_VALUE"""),82.06)</f>
        <v>82.06</v>
      </c>
      <c r="F2372" s="122">
        <f>IFERROR(__xludf.DUMMYFUNCTION("""COMPUTED_VALUE"""),0.0011)</f>
        <v>0.0011</v>
      </c>
    </row>
    <row r="2373">
      <c r="A2373" s="131">
        <f>IFERROR(__xludf.DUMMYFUNCTION("""COMPUTED_VALUE"""),46187.39730324074)</f>
        <v>46187.3973</v>
      </c>
      <c r="B2373" s="126">
        <f>IFERROR(__xludf.DUMMYFUNCTION("""COMPUTED_VALUE"""),46187.0)</f>
        <v>46187</v>
      </c>
      <c r="C2373" s="122" t="str">
        <f>IFERROR(__xludf.DUMMYFUNCTION("""COMPUTED_VALUE"""),"MEAT")</f>
        <v>MEAT</v>
      </c>
      <c r="D2373" s="122" t="str">
        <f>IFERROR(__xludf.DUMMYFUNCTION("""COMPUTED_VALUE"""),"MeatWorks")</f>
        <v>MeatWorks</v>
      </c>
      <c r="E2373" s="122">
        <f>IFERROR(__xludf.DUMMYFUNCTION("""COMPUTED_VALUE"""),102.31)</f>
        <v>102.31</v>
      </c>
      <c r="F2373" s="122">
        <f>IFERROR(__xludf.DUMMYFUNCTION("""COMPUTED_VALUE"""),-0.0052)</f>
        <v>-0.0052</v>
      </c>
    </row>
    <row r="2374">
      <c r="A2374" s="131">
        <f>IFERROR(__xludf.DUMMYFUNCTION("""COMPUTED_VALUE"""),46187.39730324074)</f>
        <v>46187.3973</v>
      </c>
      <c r="B2374" s="126">
        <f>IFERROR(__xludf.DUMMYFUNCTION("""COMPUTED_VALUE"""),46187.0)</f>
        <v>46187</v>
      </c>
      <c r="C2374" s="122" t="str">
        <f>IFERROR(__xludf.DUMMYFUNCTION("""COMPUTED_VALUE"""),"VEGI")</f>
        <v>VEGI</v>
      </c>
      <c r="D2374" s="122" t="str">
        <f>IFERROR(__xludf.DUMMYFUNCTION("""COMPUTED_VALUE"""),"Green Basket")</f>
        <v>Green Basket</v>
      </c>
      <c r="E2374" s="122">
        <f>IFERROR(__xludf.DUMMYFUNCTION("""COMPUTED_VALUE"""),82.18)</f>
        <v>82.18</v>
      </c>
      <c r="F2374" s="122">
        <f>IFERROR(__xludf.DUMMYFUNCTION("""COMPUTED_VALUE"""),7.0E-4)</f>
        <v>0.0007</v>
      </c>
    </row>
    <row r="2375">
      <c r="A2375" s="131">
        <f>IFERROR(__xludf.DUMMYFUNCTION("""COMPUTED_VALUE"""),46187.39730324074)</f>
        <v>46187.3973</v>
      </c>
      <c r="B2375" s="126">
        <f>IFERROR(__xludf.DUMMYFUNCTION("""COMPUTED_VALUE"""),46187.0)</f>
        <v>46187</v>
      </c>
      <c r="C2375" s="122" t="str">
        <f>IFERROR(__xludf.DUMMYFUNCTION("""COMPUTED_VALUE"""),"CAFE")</f>
        <v>CAFE</v>
      </c>
      <c r="D2375" s="122" t="str">
        <f>IFERROR(__xludf.DUMMYFUNCTION("""COMPUTED_VALUE"""),"Cafe Cloud")</f>
        <v>Cafe Cloud</v>
      </c>
      <c r="E2375" s="122">
        <f>IFERROR(__xludf.DUMMYFUNCTION("""COMPUTED_VALUE"""),99.71)</f>
        <v>99.71</v>
      </c>
      <c r="F2375" s="122">
        <f>IFERROR(__xludf.DUMMYFUNCTION("""COMPUTED_VALUE"""),-0.0028)</f>
        <v>-0.0028</v>
      </c>
    </row>
    <row r="2376">
      <c r="A2376" s="131">
        <f>IFERROR(__xludf.DUMMYFUNCTION("""COMPUTED_VALUE"""),46187.39730324074)</f>
        <v>46187.3973</v>
      </c>
      <c r="B2376" s="126">
        <f>IFERROR(__xludf.DUMMYFUNCTION("""COMPUTED_VALUE"""),46187.0)</f>
        <v>46187</v>
      </c>
      <c r="C2376" s="122" t="str">
        <f>IFERROR(__xludf.DUMMYFUNCTION("""COMPUTED_VALUE"""),"BAKE")</f>
        <v>BAKE</v>
      </c>
      <c r="D2376" s="122" t="str">
        <f>IFERROR(__xludf.DUMMYFUNCTION("""COMPUTED_VALUE"""),"BakeHouse")</f>
        <v>BakeHouse</v>
      </c>
      <c r="E2376" s="122">
        <f>IFERROR(__xludf.DUMMYFUNCTION("""COMPUTED_VALUE"""),99.91)</f>
        <v>99.91</v>
      </c>
      <c r="F2376" s="122">
        <f>IFERROR(__xludf.DUMMYFUNCTION("""COMPUTED_VALUE"""),2.0E-4)</f>
        <v>0.0002</v>
      </c>
    </row>
    <row r="2377">
      <c r="A2377" s="131">
        <f>IFERROR(__xludf.DUMMYFUNCTION("""COMPUTED_VALUE"""),46187.39730324074)</f>
        <v>46187.3973</v>
      </c>
      <c r="B2377" s="126">
        <f>IFERROR(__xludf.DUMMYFUNCTION("""COMPUTED_VALUE"""),46187.0)</f>
        <v>46187</v>
      </c>
      <c r="C2377" s="122" t="str">
        <f>IFERROR(__xludf.DUMMYFUNCTION("""COMPUTED_VALUE"""),"OILX")</f>
        <v>OILX</v>
      </c>
      <c r="D2377" s="122" t="str">
        <f>IFERROR(__xludf.DUMMYFUNCTION("""COMPUTED_VALUE"""),"OilMax Energy")</f>
        <v>OilMax Energy</v>
      </c>
      <c r="E2377" s="122">
        <f>IFERROR(__xludf.DUMMYFUNCTION("""COMPUTED_VALUE"""),129.16)</f>
        <v>129.16</v>
      </c>
      <c r="F2377" s="122">
        <f>IFERROR(__xludf.DUMMYFUNCTION("""COMPUTED_VALUE"""),0.0044)</f>
        <v>0.0044</v>
      </c>
    </row>
    <row r="2378">
      <c r="A2378" s="131">
        <f>IFERROR(__xludf.DUMMYFUNCTION("""COMPUTED_VALUE"""),46187.39730324074)</f>
        <v>46187.3973</v>
      </c>
      <c r="B2378" s="126">
        <f>IFERROR(__xludf.DUMMYFUNCTION("""COMPUTED_VALUE"""),46187.0)</f>
        <v>46187</v>
      </c>
      <c r="C2378" s="122" t="str">
        <f>IFERROR(__xludf.DUMMYFUNCTION("""COMPUTED_VALUE"""),"SOLR")</f>
        <v>SOLR</v>
      </c>
      <c r="D2378" s="122" t="str">
        <f>IFERROR(__xludf.DUMMYFUNCTION("""COMPUTED_VALUE"""),"SolarSpark")</f>
        <v>SolarSpark</v>
      </c>
      <c r="E2378" s="122">
        <f>IFERROR(__xludf.DUMMYFUNCTION("""COMPUTED_VALUE"""),88.41)</f>
        <v>88.41</v>
      </c>
      <c r="F2378" s="122">
        <f>IFERROR(__xludf.DUMMYFUNCTION("""COMPUTED_VALUE"""),0.0072)</f>
        <v>0.0072</v>
      </c>
    </row>
    <row r="2379">
      <c r="A2379" s="131">
        <f>IFERROR(__xludf.DUMMYFUNCTION("""COMPUTED_VALUE"""),46187.39730324074)</f>
        <v>46187.3973</v>
      </c>
      <c r="B2379" s="126">
        <f>IFERROR(__xludf.DUMMYFUNCTION("""COMPUTED_VALUE"""),46187.0)</f>
        <v>46187</v>
      </c>
      <c r="C2379" s="122" t="str">
        <f>IFERROR(__xludf.DUMMYFUNCTION("""COMPUTED_VALUE"""),"BATT")</f>
        <v>BATT</v>
      </c>
      <c r="D2379" s="122" t="str">
        <f>IFERROR(__xludf.DUMMYFUNCTION("""COMPUTED_VALUE"""),"BatteryBox")</f>
        <v>BatteryBox</v>
      </c>
      <c r="E2379" s="122">
        <f>IFERROR(__xludf.DUMMYFUNCTION("""COMPUTED_VALUE"""),121.38)</f>
        <v>121.38</v>
      </c>
      <c r="F2379" s="122">
        <f>IFERROR(__xludf.DUMMYFUNCTION("""COMPUTED_VALUE"""),0.0026)</f>
        <v>0.0026</v>
      </c>
    </row>
    <row r="2380">
      <c r="A2380" s="131">
        <f>IFERROR(__xludf.DUMMYFUNCTION("""COMPUTED_VALUE"""),46187.39730324074)</f>
        <v>46187.3973</v>
      </c>
      <c r="B2380" s="126">
        <f>IFERROR(__xludf.DUMMYFUNCTION("""COMPUTED_VALUE"""),46187.0)</f>
        <v>46187</v>
      </c>
      <c r="C2380" s="122" t="str">
        <f>IFERROR(__xludf.DUMMYFUNCTION("""COMPUTED_VALUE"""),"WIND")</f>
        <v>WIND</v>
      </c>
      <c r="D2380" s="122" t="str">
        <f>IFERROR(__xludf.DUMMYFUNCTION("""COMPUTED_VALUE"""),"WindWorks")</f>
        <v>WindWorks</v>
      </c>
      <c r="E2380" s="122">
        <f>IFERROR(__xludf.DUMMYFUNCTION("""COMPUTED_VALUE"""),87.37)</f>
        <v>87.37</v>
      </c>
      <c r="F2380" s="122">
        <f>IFERROR(__xludf.DUMMYFUNCTION("""COMPUTED_VALUE"""),0.0063)</f>
        <v>0.0063</v>
      </c>
    </row>
    <row r="2381">
      <c r="A2381" s="131">
        <f>IFERROR(__xludf.DUMMYFUNCTION("""COMPUTED_VALUE"""),46187.39730324074)</f>
        <v>46187.3973</v>
      </c>
      <c r="B2381" s="126">
        <f>IFERROR(__xludf.DUMMYFUNCTION("""COMPUTED_VALUE"""),46187.0)</f>
        <v>46187</v>
      </c>
      <c r="C2381" s="122" t="str">
        <f>IFERROR(__xludf.DUMMYFUNCTION("""COMPUTED_VALUE"""),"GRID")</f>
        <v>GRID</v>
      </c>
      <c r="D2381" s="122" t="str">
        <f>IFERROR(__xludf.DUMMYFUNCTION("""COMPUTED_VALUE"""),"GridPower")</f>
        <v>GridPower</v>
      </c>
      <c r="E2381" s="122">
        <f>IFERROR(__xludf.DUMMYFUNCTION("""COMPUTED_VALUE"""),144.33)</f>
        <v>144.33</v>
      </c>
      <c r="F2381" s="122">
        <f>IFERROR(__xludf.DUMMYFUNCTION("""COMPUTED_VALUE"""),9.0E-4)</f>
        <v>0.0009</v>
      </c>
    </row>
    <row r="2382">
      <c r="A2382" s="131">
        <f>IFERROR(__xludf.DUMMYFUNCTION("""COMPUTED_VALUE"""),46187.39730324074)</f>
        <v>46187.3973</v>
      </c>
      <c r="B2382" s="126">
        <f>IFERROR(__xludf.DUMMYFUNCTION("""COMPUTED_VALUE"""),46187.0)</f>
        <v>46187</v>
      </c>
      <c r="C2382" s="122" t="str">
        <f>IFERROR(__xludf.DUMMYFUNCTION("""COMPUTED_VALUE"""),"HOME")</f>
        <v>HOME</v>
      </c>
      <c r="D2382" s="122" t="str">
        <f>IFERROR(__xludf.DUMMYFUNCTION("""COMPUTED_VALUE"""),"HomeHub")</f>
        <v>HomeHub</v>
      </c>
      <c r="E2382" s="122">
        <f>IFERROR(__xludf.DUMMYFUNCTION("""COMPUTED_VALUE"""),148.08)</f>
        <v>148.08</v>
      </c>
      <c r="F2382" s="122">
        <f>IFERROR(__xludf.DUMMYFUNCTION("""COMPUTED_VALUE"""),0.0014)</f>
        <v>0.0014</v>
      </c>
    </row>
    <row r="2383">
      <c r="A2383" s="131">
        <f>IFERROR(__xludf.DUMMYFUNCTION("""COMPUTED_VALUE"""),46187.39730324074)</f>
        <v>46187.3973</v>
      </c>
      <c r="B2383" s="126">
        <f>IFERROR(__xludf.DUMMYFUNCTION("""COMPUTED_VALUE"""),46187.0)</f>
        <v>46187</v>
      </c>
      <c r="C2383" s="122" t="str">
        <f>IFERROR(__xludf.DUMMYFUNCTION("""COMPUTED_VALUE"""),"RENT")</f>
        <v>RENT</v>
      </c>
      <c r="D2383" s="122" t="str">
        <f>IFERROR(__xludf.DUMMYFUNCTION("""COMPUTED_VALUE"""),"RentRight")</f>
        <v>RentRight</v>
      </c>
      <c r="E2383" s="122">
        <f>IFERROR(__xludf.DUMMYFUNCTION("""COMPUTED_VALUE"""),91.84)</f>
        <v>91.84</v>
      </c>
      <c r="F2383" s="122">
        <f>IFERROR(__xludf.DUMMYFUNCTION("""COMPUTED_VALUE"""),0.0026)</f>
        <v>0.0026</v>
      </c>
    </row>
    <row r="2384">
      <c r="A2384" s="131">
        <f>IFERROR(__xludf.DUMMYFUNCTION("""COMPUTED_VALUE"""),46187.39730324074)</f>
        <v>46187.3973</v>
      </c>
      <c r="B2384" s="126">
        <f>IFERROR(__xludf.DUMMYFUNCTION("""COMPUTED_VALUE"""),46187.0)</f>
        <v>46187</v>
      </c>
      <c r="C2384" s="122" t="str">
        <f>IFERROR(__xludf.DUMMYFUNCTION("""COMPUTED_VALUE"""),"MALL")</f>
        <v>MALL</v>
      </c>
      <c r="D2384" s="122" t="str">
        <f>IFERROR(__xludf.DUMMYFUNCTION("""COMPUTED_VALUE"""),"MegaMall")</f>
        <v>MegaMall</v>
      </c>
      <c r="E2384" s="122">
        <f>IFERROR(__xludf.DUMMYFUNCTION("""COMPUTED_VALUE"""),98.93)</f>
        <v>98.93</v>
      </c>
      <c r="F2384" s="122">
        <f>IFERROR(__xludf.DUMMYFUNCTION("""COMPUTED_VALUE"""),-0.0026)</f>
        <v>-0.0026</v>
      </c>
    </row>
    <row r="2385">
      <c r="A2385" s="131">
        <f>IFERROR(__xludf.DUMMYFUNCTION("""COMPUTED_VALUE"""),46187.39730324074)</f>
        <v>46187.3973</v>
      </c>
      <c r="B2385" s="126">
        <f>IFERROR(__xludf.DUMMYFUNCTION("""COMPUTED_VALUE"""),46187.0)</f>
        <v>46187</v>
      </c>
      <c r="C2385" s="122" t="str">
        <f>IFERROR(__xludf.DUMMYFUNCTION("""COMPUTED_VALUE"""),"HOTL")</f>
        <v>HOTL</v>
      </c>
      <c r="D2385" s="122" t="str">
        <f>IFERROR(__xludf.DUMMYFUNCTION("""COMPUTED_VALUE"""),"HotelHive")</f>
        <v>HotelHive</v>
      </c>
      <c r="E2385" s="122">
        <f>IFERROR(__xludf.DUMMYFUNCTION("""COMPUTED_VALUE"""),131.41)</f>
        <v>131.41</v>
      </c>
      <c r="F2385" s="122">
        <f>IFERROR(__xludf.DUMMYFUNCTION("""COMPUTED_VALUE"""),-0.0096)</f>
        <v>-0.0096</v>
      </c>
    </row>
    <row r="2386">
      <c r="A2386" s="131">
        <f>IFERROR(__xludf.DUMMYFUNCTION("""COMPUTED_VALUE"""),46187.39730324074)</f>
        <v>46187.3973</v>
      </c>
      <c r="B2386" s="126">
        <f>IFERROR(__xludf.DUMMYFUNCTION("""COMPUTED_VALUE"""),46187.0)</f>
        <v>46187</v>
      </c>
      <c r="C2386" s="122" t="str">
        <f>IFERROR(__xludf.DUMMYFUNCTION("""COMPUTED_VALUE"""),"LAND")</f>
        <v>LAND</v>
      </c>
      <c r="D2386" s="122" t="str">
        <f>IFERROR(__xludf.DUMMYFUNCTION("""COMPUTED_VALUE"""),"LandLink")</f>
        <v>LandLink</v>
      </c>
      <c r="E2386" s="122">
        <f>IFERROR(__xludf.DUMMYFUNCTION("""COMPUTED_VALUE"""),181.62)</f>
        <v>181.62</v>
      </c>
      <c r="F2386" s="122">
        <f>IFERROR(__xludf.DUMMYFUNCTION("""COMPUTED_VALUE"""),-0.0042)</f>
        <v>-0.0042</v>
      </c>
    </row>
    <row r="2387">
      <c r="A2387" s="131">
        <f>IFERROR(__xludf.DUMMYFUNCTION("""COMPUTED_VALUE"""),46187.39730324074)</f>
        <v>46187.3973</v>
      </c>
      <c r="B2387" s="126">
        <f>IFERROR(__xludf.DUMMYFUNCTION("""COMPUTED_VALUE"""),46187.0)</f>
        <v>46187</v>
      </c>
      <c r="C2387" s="122" t="str">
        <f>IFERROR(__xludf.DUMMYFUNCTION("""COMPUTED_VALUE"""),"CARS")</f>
        <v>CARS</v>
      </c>
      <c r="D2387" s="122" t="str">
        <f>IFERROR(__xludf.DUMMYFUNCTION("""COMPUTED_VALUE"""),"AutoArena")</f>
        <v>AutoArena</v>
      </c>
      <c r="E2387" s="122">
        <f>IFERROR(__xludf.DUMMYFUNCTION("""COMPUTED_VALUE"""),78.61)</f>
        <v>78.61</v>
      </c>
      <c r="F2387" s="122">
        <f>IFERROR(__xludf.DUMMYFUNCTION("""COMPUTED_VALUE"""),-0.0078)</f>
        <v>-0.0078</v>
      </c>
    </row>
    <row r="2388">
      <c r="A2388" s="131">
        <f>IFERROR(__xludf.DUMMYFUNCTION("""COMPUTED_VALUE"""),46187.39730324074)</f>
        <v>46187.3973</v>
      </c>
      <c r="B2388" s="126">
        <f>IFERROR(__xludf.DUMMYFUNCTION("""COMPUTED_VALUE"""),46187.0)</f>
        <v>46187</v>
      </c>
      <c r="C2388" s="122" t="str">
        <f>IFERROR(__xludf.DUMMYFUNCTION("""COMPUTED_VALUE"""),"EVGO")</f>
        <v>EVGO</v>
      </c>
      <c r="D2388" s="122" t="str">
        <f>IFERROR(__xludf.DUMMYFUNCTION("""COMPUTED_VALUE"""),"EVGo Motors")</f>
        <v>EVGo Motors</v>
      </c>
      <c r="E2388" s="122">
        <f>IFERROR(__xludf.DUMMYFUNCTION("""COMPUTED_VALUE"""),197.27)</f>
        <v>197.27</v>
      </c>
      <c r="F2388" s="122">
        <f>IFERROR(__xludf.DUMMYFUNCTION("""COMPUTED_VALUE"""),-0.0025)</f>
        <v>-0.0025</v>
      </c>
    </row>
    <row r="2389">
      <c r="A2389" s="131">
        <f>IFERROR(__xludf.DUMMYFUNCTION("""COMPUTED_VALUE"""),46187.39730324074)</f>
        <v>46187.3973</v>
      </c>
      <c r="B2389" s="126">
        <f>IFERROR(__xludf.DUMMYFUNCTION("""COMPUTED_VALUE"""),46187.0)</f>
        <v>46187</v>
      </c>
      <c r="C2389" s="122" t="str">
        <f>IFERROR(__xludf.DUMMYFUNCTION("""COMPUTED_VALUE"""),"TIRE")</f>
        <v>TIRE</v>
      </c>
      <c r="D2389" s="122" t="str">
        <f>IFERROR(__xludf.DUMMYFUNCTION("""COMPUTED_VALUE"""),"TireTown")</f>
        <v>TireTown</v>
      </c>
      <c r="E2389" s="122">
        <f>IFERROR(__xludf.DUMMYFUNCTION("""COMPUTED_VALUE"""),91.81)</f>
        <v>91.81</v>
      </c>
      <c r="F2389" s="122">
        <f>IFERROR(__xludf.DUMMYFUNCTION("""COMPUTED_VALUE"""),-0.002)</f>
        <v>-0.002</v>
      </c>
    </row>
    <row r="2390">
      <c r="A2390" s="131">
        <f>IFERROR(__xludf.DUMMYFUNCTION("""COMPUTED_VALUE"""),46187.39730324074)</f>
        <v>46187.3973</v>
      </c>
      <c r="B2390" s="126">
        <f>IFERROR(__xludf.DUMMYFUNCTION("""COMPUTED_VALUE"""),46187.0)</f>
        <v>46187</v>
      </c>
      <c r="C2390" s="122" t="str">
        <f>IFERROR(__xludf.DUMMYFUNCTION("""COMPUTED_VALUE"""),"BIKE")</f>
        <v>BIKE</v>
      </c>
      <c r="D2390" s="122" t="str">
        <f>IFERROR(__xludf.DUMMYFUNCTION("""COMPUTED_VALUE"""),"BikeBox")</f>
        <v>BikeBox</v>
      </c>
      <c r="E2390" s="122">
        <f>IFERROR(__xludf.DUMMYFUNCTION("""COMPUTED_VALUE"""),53.73)</f>
        <v>53.73</v>
      </c>
      <c r="F2390" s="122">
        <f>IFERROR(__xludf.DUMMYFUNCTION("""COMPUTED_VALUE"""),0.0)</f>
        <v>0</v>
      </c>
    </row>
    <row r="2391">
      <c r="A2391" s="131">
        <f>IFERROR(__xludf.DUMMYFUNCTION("""COMPUTED_VALUE"""),46187.39730324074)</f>
        <v>46187.3973</v>
      </c>
      <c r="B2391" s="126">
        <f>IFERROR(__xludf.DUMMYFUNCTION("""COMPUTED_VALUE"""),46187.0)</f>
        <v>46187</v>
      </c>
      <c r="C2391" s="122" t="str">
        <f>IFERROR(__xludf.DUMMYFUNCTION("""COMPUTED_VALUE"""),"WASH")</f>
        <v>WASH</v>
      </c>
      <c r="D2391" s="122" t="str">
        <f>IFERROR(__xludf.DUMMYFUNCTION("""COMPUTED_VALUE"""),"CarWash Co")</f>
        <v>CarWash Co</v>
      </c>
      <c r="E2391" s="122">
        <f>IFERROR(__xludf.DUMMYFUNCTION("""COMPUTED_VALUE"""),120.31)</f>
        <v>120.31</v>
      </c>
      <c r="F2391" s="122">
        <f>IFERROR(__xludf.DUMMYFUNCTION("""COMPUTED_VALUE"""),-2.0E-4)</f>
        <v>-0.0002</v>
      </c>
    </row>
    <row r="2392">
      <c r="A2392" s="131">
        <f>IFERROR(__xludf.DUMMYFUNCTION("""COMPUTED_VALUE"""),46187.39730324074)</f>
        <v>46187.3973</v>
      </c>
      <c r="B2392" s="126">
        <f>IFERROR(__xludf.DUMMYFUNCTION("""COMPUTED_VALUE"""),46187.0)</f>
        <v>46187</v>
      </c>
      <c r="C2392" s="122" t="str">
        <f>IFERROR(__xludf.DUMMYFUNCTION("""COMPUTED_VALUE"""),"GBND")</f>
        <v>GBND</v>
      </c>
      <c r="D2392" s="122" t="str">
        <f>IFERROR(__xludf.DUMMYFUNCTION("""COMPUTED_VALUE"""),"Classroom Government Bond")</f>
        <v>Classroom Government Bond</v>
      </c>
      <c r="E2392" s="122">
        <f>IFERROR(__xludf.DUMMYFUNCTION("""COMPUTED_VALUE"""),100.97)</f>
        <v>100.97</v>
      </c>
      <c r="F2392" s="122">
        <f>IFERROR(__xludf.DUMMYFUNCTION("""COMPUTED_VALUE"""),3.0E-4)</f>
        <v>0.0003</v>
      </c>
    </row>
    <row r="2393">
      <c r="A2393" s="131">
        <f>IFERROR(__xludf.DUMMYFUNCTION("""COMPUTED_VALUE"""),46187.39730324074)</f>
        <v>46187.3973</v>
      </c>
      <c r="B2393" s="126">
        <f>IFERROR(__xludf.DUMMYFUNCTION("""COMPUTED_VALUE"""),46187.0)</f>
        <v>46187</v>
      </c>
      <c r="C2393" s="122" t="str">
        <f>IFERROR(__xludf.DUMMYFUNCTION("""COMPUTED_VALUE"""),"SBND")</f>
        <v>SBND</v>
      </c>
      <c r="D2393" s="122" t="str">
        <f>IFERROR(__xludf.DUMMYFUNCTION("""COMPUTED_VALUE"""),"School Savings Bond")</f>
        <v>School Savings Bond</v>
      </c>
      <c r="E2393" s="122">
        <f>IFERROR(__xludf.DUMMYFUNCTION("""COMPUTED_VALUE"""),99.52)</f>
        <v>99.52</v>
      </c>
      <c r="F2393" s="122">
        <f>IFERROR(__xludf.DUMMYFUNCTION("""COMPUTED_VALUE"""),4.0E-4)</f>
        <v>0.0004</v>
      </c>
    </row>
    <row r="2394">
      <c r="A2394" s="131">
        <f>IFERROR(__xludf.DUMMYFUNCTION("""COMPUTED_VALUE"""),46187.39730324074)</f>
        <v>46187.3973</v>
      </c>
      <c r="B2394" s="126">
        <f>IFERROR(__xludf.DUMMYFUNCTION("""COMPUTED_VALUE"""),46187.0)</f>
        <v>46187</v>
      </c>
      <c r="C2394" s="122" t="str">
        <f>IFERROR(__xludf.DUMMYFUNCTION("""COMPUTED_VALUE"""),"CBND")</f>
        <v>CBND</v>
      </c>
      <c r="D2394" s="122" t="str">
        <f>IFERROR(__xludf.DUMMYFUNCTION("""COMPUTED_VALUE"""),"Corporate Classroom Bond")</f>
        <v>Corporate Classroom Bond</v>
      </c>
      <c r="E2394" s="122">
        <f>IFERROR(__xludf.DUMMYFUNCTION("""COMPUTED_VALUE"""),97.66)</f>
        <v>97.66</v>
      </c>
      <c r="F2394" s="122">
        <f>IFERROR(__xludf.DUMMYFUNCTION("""COMPUTED_VALUE"""),3.0E-4)</f>
        <v>0.0003</v>
      </c>
    </row>
    <row r="2395">
      <c r="A2395" s="131">
        <f>IFERROR(__xludf.DUMMYFUNCTION("""COMPUTED_VALUE"""),46187.39730324074)</f>
        <v>46187.3973</v>
      </c>
      <c r="B2395" s="126">
        <f>IFERROR(__xludf.DUMMYFUNCTION("""COMPUTED_VALUE"""),46187.0)</f>
        <v>46187</v>
      </c>
      <c r="C2395" s="122" t="str">
        <f>IFERROR(__xludf.DUMMYFUNCTION("""COMPUTED_VALUE"""),"TBIL")</f>
        <v>TBIL</v>
      </c>
      <c r="D2395" s="122" t="str">
        <f>IFERROR(__xludf.DUMMYFUNCTION("""COMPUTED_VALUE"""),"Treasury Bill")</f>
        <v>Treasury Bill</v>
      </c>
      <c r="E2395" s="122">
        <f>IFERROR(__xludf.DUMMYFUNCTION("""COMPUTED_VALUE"""),98.05)</f>
        <v>98.05</v>
      </c>
      <c r="F2395" s="122">
        <f>IFERROR(__xludf.DUMMYFUNCTION("""COMPUTED_VALUE"""),-2.0E-4)</f>
        <v>-0.0002</v>
      </c>
    </row>
    <row r="2396">
      <c r="A2396" s="131">
        <f>IFERROR(__xludf.DUMMYFUNCTION("""COMPUTED_VALUE"""),46187.39730324074)</f>
        <v>46187.3973</v>
      </c>
      <c r="B2396" s="126">
        <f>IFERROR(__xludf.DUMMYFUNCTION("""COMPUTED_VALUE"""),46187.0)</f>
        <v>46187</v>
      </c>
      <c r="C2396" s="122" t="str">
        <f>IFERROR(__xludf.DUMMYFUNCTION("""COMPUTED_VALUE"""),"IBND")</f>
        <v>IBND</v>
      </c>
      <c r="D2396" s="122" t="str">
        <f>IFERROR(__xludf.DUMMYFUNCTION("""COMPUTED_VALUE"""),"Inflation Protected Bond")</f>
        <v>Inflation Protected Bond</v>
      </c>
      <c r="E2396" s="122">
        <f>IFERROR(__xludf.DUMMYFUNCTION("""COMPUTED_VALUE"""),100.63)</f>
        <v>100.63</v>
      </c>
      <c r="F2396" s="122">
        <f>IFERROR(__xludf.DUMMYFUNCTION("""COMPUTED_VALUE"""),-1.0E-4)</f>
        <v>-0.0001</v>
      </c>
    </row>
    <row r="2397">
      <c r="A2397" s="131">
        <f>IFERROR(__xludf.DUMMYFUNCTION("""COMPUTED_VALUE"""),46187.39880787037)</f>
        <v>46187.39881</v>
      </c>
      <c r="B2397" s="126">
        <f>IFERROR(__xludf.DUMMYFUNCTION("""COMPUTED_VALUE"""),46187.0)</f>
        <v>46187</v>
      </c>
      <c r="C2397" s="130">
        <f>IFERROR(__xludf.DUMMYFUNCTION("""COMPUTED_VALUE"""),0.39880787037037035)</f>
        <v>0.3988078704</v>
      </c>
      <c r="D2397" s="122" t="str">
        <f>IFERROR(__xludf.DUMMYFUNCTION("""COMPUTED_VALUE"""),"SNAX")</f>
        <v>SNAX</v>
      </c>
      <c r="E2397" s="122" t="str">
        <f>IFERROR(__xludf.DUMMYFUNCTION("""COMPUTED_VALUE"""),"MICA Snacks")</f>
        <v>MICA Snacks</v>
      </c>
      <c r="F2397" s="122" t="str">
        <f>IFERROR(__xludf.DUMMYFUNCTION("""COMPUTED_VALUE"""),"Consumer Goods")</f>
        <v>Consumer Goods</v>
      </c>
    </row>
    <row r="2398">
      <c r="A2398" s="131">
        <f>IFERROR(__xludf.DUMMYFUNCTION("""COMPUTED_VALUE"""),46187.39880787037)</f>
        <v>46187.39881</v>
      </c>
      <c r="B2398" s="126">
        <f>IFERROR(__xludf.DUMMYFUNCTION("""COMPUTED_VALUE"""),46187.0)</f>
        <v>46187</v>
      </c>
      <c r="C2398" s="130">
        <f>IFERROR(__xludf.DUMMYFUNCTION("""COMPUTED_VALUE"""),0.39880787037037035)</f>
        <v>0.3988078704</v>
      </c>
      <c r="D2398" s="122" t="str">
        <f>IFERROR(__xludf.DUMMYFUNCTION("""COMPUTED_VALUE"""),"RAMN")</f>
        <v>RAMN</v>
      </c>
      <c r="E2398" s="122" t="str">
        <f>IFERROR(__xludf.DUMMYFUNCTION("""COMPUTED_VALUE"""),"Ramen Republic")</f>
        <v>Ramen Republic</v>
      </c>
      <c r="F2398" s="122" t="str">
        <f>IFERROR(__xludf.DUMMYFUNCTION("""COMPUTED_VALUE"""),"Food")</f>
        <v>Food</v>
      </c>
    </row>
    <row r="2399">
      <c r="A2399" s="131">
        <f>IFERROR(__xludf.DUMMYFUNCTION("""COMPUTED_VALUE"""),46187.39880787037)</f>
        <v>46187.39881</v>
      </c>
      <c r="B2399" s="126">
        <f>IFERROR(__xludf.DUMMYFUNCTION("""COMPUTED_VALUE"""),46187.0)</f>
        <v>46187</v>
      </c>
      <c r="C2399" s="130">
        <f>IFERROR(__xludf.DUMMYFUNCTION("""COMPUTED_VALUE"""),0.39880787037037035)</f>
        <v>0.3988078704</v>
      </c>
      <c r="D2399" s="122" t="str">
        <f>IFERROR(__xludf.DUMMYFUNCTION("""COMPUTED_VALUE"""),"COLA")</f>
        <v>COLA</v>
      </c>
      <c r="E2399" s="122" t="str">
        <f>IFERROR(__xludf.DUMMYFUNCTION("""COMPUTED_VALUE"""),"K-Pop Cola")</f>
        <v>K-Pop Cola</v>
      </c>
      <c r="F2399" s="122" t="str">
        <f>IFERROR(__xludf.DUMMYFUNCTION("""COMPUTED_VALUE"""),"Beverage")</f>
        <v>Beverage</v>
      </c>
    </row>
    <row r="2400">
      <c r="A2400" s="131">
        <f>IFERROR(__xludf.DUMMYFUNCTION("""COMPUTED_VALUE"""),46187.39880787037)</f>
        <v>46187.39881</v>
      </c>
      <c r="B2400" s="126">
        <f>IFERROR(__xludf.DUMMYFUNCTION("""COMPUTED_VALUE"""),46187.0)</f>
        <v>46187</v>
      </c>
      <c r="C2400" s="130">
        <f>IFERROR(__xludf.DUMMYFUNCTION("""COMPUTED_VALUE"""),0.39880787037037035)</f>
        <v>0.3988078704</v>
      </c>
      <c r="D2400" s="122" t="str">
        <f>IFERROR(__xludf.DUMMYFUNCTION("""COMPUTED_VALUE"""),"CHIP")</f>
        <v>CHIP</v>
      </c>
      <c r="E2400" s="122" t="str">
        <f>IFERROR(__xludf.DUMMYFUNCTION("""COMPUTED_VALUE"""),"Chip Empire")</f>
        <v>Chip Empire</v>
      </c>
      <c r="F2400" s="122" t="str">
        <f>IFERROR(__xludf.DUMMYFUNCTION("""COMPUTED_VALUE"""),"Consumer Goods")</f>
        <v>Consumer Goods</v>
      </c>
    </row>
    <row r="2401">
      <c r="A2401" s="131">
        <f>IFERROR(__xludf.DUMMYFUNCTION("""COMPUTED_VALUE"""),46187.39880787037)</f>
        <v>46187.39881</v>
      </c>
      <c r="B2401" s="126">
        <f>IFERROR(__xludf.DUMMYFUNCTION("""COMPUTED_VALUE"""),46187.0)</f>
        <v>46187</v>
      </c>
      <c r="C2401" s="130">
        <f>IFERROR(__xludf.DUMMYFUNCTION("""COMPUTED_VALUE"""),0.39880787037037035)</f>
        <v>0.3988078704</v>
      </c>
      <c r="D2401" s="122" t="str">
        <f>IFERROR(__xludf.DUMMYFUNCTION("""COMPUTED_VALUE"""),"CAND")</f>
        <v>CAND</v>
      </c>
      <c r="E2401" s="122" t="str">
        <f>IFERROR(__xludf.DUMMYFUNCTION("""COMPUTED_VALUE"""),"Candy Capital")</f>
        <v>Candy Capital</v>
      </c>
      <c r="F2401" s="122" t="str">
        <f>IFERROR(__xludf.DUMMYFUNCTION("""COMPUTED_VALUE"""),"Consumer Goods")</f>
        <v>Consumer Goods</v>
      </c>
    </row>
    <row r="2402">
      <c r="A2402" s="131">
        <f>IFERROR(__xludf.DUMMYFUNCTION("""COMPUTED_VALUE"""),46187.39880787037)</f>
        <v>46187.39881</v>
      </c>
      <c r="B2402" s="126">
        <f>IFERROR(__xludf.DUMMYFUNCTION("""COMPUTED_VALUE"""),46187.0)</f>
        <v>46187</v>
      </c>
      <c r="C2402" s="130">
        <f>IFERROR(__xludf.DUMMYFUNCTION("""COMPUTED_VALUE"""),0.39880787037037035)</f>
        <v>0.3988078704</v>
      </c>
      <c r="D2402" s="122" t="str">
        <f>IFERROR(__xludf.DUMMYFUNCTION("""COMPUTED_VALUE"""),"TECH")</f>
        <v>TECH</v>
      </c>
      <c r="E2402" s="122" t="str">
        <f>IFERROR(__xludf.DUMMYFUNCTION("""COMPUTED_VALUE"""),"Dragon Tech")</f>
        <v>Dragon Tech</v>
      </c>
      <c r="F2402" s="122" t="str">
        <f>IFERROR(__xludf.DUMMYFUNCTION("""COMPUTED_VALUE"""),"Technology")</f>
        <v>Technology</v>
      </c>
    </row>
    <row r="2403">
      <c r="A2403" s="131">
        <f>IFERROR(__xludf.DUMMYFUNCTION("""COMPUTED_VALUE"""),46187.39880787037)</f>
        <v>46187.39881</v>
      </c>
      <c r="B2403" s="126">
        <f>IFERROR(__xludf.DUMMYFUNCTION("""COMPUTED_VALUE"""),46187.0)</f>
        <v>46187</v>
      </c>
      <c r="C2403" s="130">
        <f>IFERROR(__xludf.DUMMYFUNCTION("""COMPUTED_VALUE"""),0.39880787037037035)</f>
        <v>0.3988078704</v>
      </c>
      <c r="D2403" s="122" t="str">
        <f>IFERROR(__xludf.DUMMYFUNCTION("""COMPUTED_VALUE"""),"AIBO")</f>
        <v>AIBO</v>
      </c>
      <c r="E2403" s="122" t="str">
        <f>IFERROR(__xludf.DUMMYFUNCTION("""COMPUTED_VALUE"""),"Homework AI")</f>
        <v>Homework AI</v>
      </c>
      <c r="F2403" s="122" t="str">
        <f>IFERROR(__xludf.DUMMYFUNCTION("""COMPUTED_VALUE"""),"Technology")</f>
        <v>Technology</v>
      </c>
    </row>
    <row r="2404">
      <c r="A2404" s="131">
        <f>IFERROR(__xludf.DUMMYFUNCTION("""COMPUTED_VALUE"""),46187.39880787037)</f>
        <v>46187.39881</v>
      </c>
      <c r="B2404" s="126">
        <f>IFERROR(__xludf.DUMMYFUNCTION("""COMPUTED_VALUE"""),46187.0)</f>
        <v>46187</v>
      </c>
      <c r="C2404" s="130">
        <f>IFERROR(__xludf.DUMMYFUNCTION("""COMPUTED_VALUE"""),0.39880787037037035)</f>
        <v>0.3988078704</v>
      </c>
      <c r="D2404" s="122" t="str">
        <f>IFERROR(__xludf.DUMMYFUNCTION("""COMPUTED_VALUE"""),"GAME")</f>
        <v>GAME</v>
      </c>
      <c r="E2404" s="122" t="str">
        <f>IFERROR(__xludf.DUMMYFUNCTION("""COMPUTED_VALUE"""),"GameBox Media")</f>
        <v>GameBox Media</v>
      </c>
      <c r="F2404" s="122" t="str">
        <f>IFERROR(__xludf.DUMMYFUNCTION("""COMPUTED_VALUE"""),"Entertainment")</f>
        <v>Entertainment</v>
      </c>
    </row>
    <row r="2405">
      <c r="A2405" s="131">
        <f>IFERROR(__xludf.DUMMYFUNCTION("""COMPUTED_VALUE"""),46187.39880787037)</f>
        <v>46187.39881</v>
      </c>
      <c r="B2405" s="126">
        <f>IFERROR(__xludf.DUMMYFUNCTION("""COMPUTED_VALUE"""),46187.0)</f>
        <v>46187</v>
      </c>
      <c r="C2405" s="130">
        <f>IFERROR(__xludf.DUMMYFUNCTION("""COMPUTED_VALUE"""),0.39880787037037035)</f>
        <v>0.3988078704</v>
      </c>
      <c r="D2405" s="122" t="str">
        <f>IFERROR(__xludf.DUMMYFUNCTION("""COMPUTED_VALUE"""),"VRSE")</f>
        <v>VRSE</v>
      </c>
      <c r="E2405" s="122" t="str">
        <f>IFERROR(__xludf.DUMMYFUNCTION("""COMPUTED_VALUE"""),"VerseVR")</f>
        <v>VerseVR</v>
      </c>
      <c r="F2405" s="122" t="str">
        <f>IFERROR(__xludf.DUMMYFUNCTION("""COMPUTED_VALUE"""),"Technology")</f>
        <v>Technology</v>
      </c>
    </row>
    <row r="2406">
      <c r="A2406" s="131">
        <f>IFERROR(__xludf.DUMMYFUNCTION("""COMPUTED_VALUE"""),46187.39880787037)</f>
        <v>46187.39881</v>
      </c>
      <c r="B2406" s="126">
        <f>IFERROR(__xludf.DUMMYFUNCTION("""COMPUTED_VALUE"""),46187.0)</f>
        <v>46187</v>
      </c>
      <c r="C2406" s="130">
        <f>IFERROR(__xludf.DUMMYFUNCTION("""COMPUTED_VALUE"""),0.39880787037037035)</f>
        <v>0.3988078704</v>
      </c>
      <c r="D2406" s="122" t="str">
        <f>IFERROR(__xludf.DUMMYFUNCTION("""COMPUTED_VALUE"""),"BYTE")</f>
        <v>BYTE</v>
      </c>
      <c r="E2406" s="122" t="str">
        <f>IFERROR(__xludf.DUMMYFUNCTION("""COMPUTED_VALUE"""),"ByteWorks")</f>
        <v>ByteWorks</v>
      </c>
      <c r="F2406" s="122" t="str">
        <f>IFERROR(__xludf.DUMMYFUNCTION("""COMPUTED_VALUE"""),"Technology")</f>
        <v>Technology</v>
      </c>
    </row>
    <row r="2407">
      <c r="A2407" s="131">
        <f>IFERROR(__xludf.DUMMYFUNCTION("""COMPUTED_VALUE"""),46187.39880787037)</f>
        <v>46187.39881</v>
      </c>
      <c r="B2407" s="126">
        <f>IFERROR(__xludf.DUMMYFUNCTION("""COMPUTED_VALUE"""),46187.0)</f>
        <v>46187</v>
      </c>
      <c r="C2407" s="130">
        <f>IFERROR(__xludf.DUMMYFUNCTION("""COMPUTED_VALUE"""),0.39880787037037035)</f>
        <v>0.3988078704</v>
      </c>
      <c r="D2407" s="122" t="str">
        <f>IFERROR(__xludf.DUMMYFUNCTION("""COMPUTED_VALUE"""),"BANK")</f>
        <v>BANK</v>
      </c>
      <c r="E2407" s="122" t="str">
        <f>IFERROR(__xludf.DUMMYFUNCTION("""COMPUTED_VALUE"""),"Tiger Bank")</f>
        <v>Tiger Bank</v>
      </c>
      <c r="F2407" s="122" t="str">
        <f>IFERROR(__xludf.DUMMYFUNCTION("""COMPUTED_VALUE"""),"Finance")</f>
        <v>Finance</v>
      </c>
    </row>
    <row r="2408">
      <c r="A2408" s="131">
        <f>IFERROR(__xludf.DUMMYFUNCTION("""COMPUTED_VALUE"""),46187.39880787037)</f>
        <v>46187.39881</v>
      </c>
      <c r="B2408" s="126">
        <f>IFERROR(__xludf.DUMMYFUNCTION("""COMPUTED_VALUE"""),46187.0)</f>
        <v>46187</v>
      </c>
      <c r="C2408" s="130">
        <f>IFERROR(__xludf.DUMMYFUNCTION("""COMPUTED_VALUE"""),0.39880787037037035)</f>
        <v>0.3988078704</v>
      </c>
      <c r="D2408" s="122" t="str">
        <f>IFERROR(__xludf.DUMMYFUNCTION("""COMPUTED_VALUE"""),"CRED")</f>
        <v>CRED</v>
      </c>
      <c r="E2408" s="122" t="str">
        <f>IFERROR(__xludf.DUMMYFUNCTION("""COMPUTED_VALUE"""),"Credit Castle")</f>
        <v>Credit Castle</v>
      </c>
      <c r="F2408" s="122" t="str">
        <f>IFERROR(__xludf.DUMMYFUNCTION("""COMPUTED_VALUE"""),"Finance")</f>
        <v>Finance</v>
      </c>
    </row>
    <row r="2409">
      <c r="A2409" s="131">
        <f>IFERROR(__xludf.DUMMYFUNCTION("""COMPUTED_VALUE"""),46187.39880787037)</f>
        <v>46187.39881</v>
      </c>
      <c r="B2409" s="126">
        <f>IFERROR(__xludf.DUMMYFUNCTION("""COMPUTED_VALUE"""),46187.0)</f>
        <v>46187</v>
      </c>
      <c r="C2409" s="130">
        <f>IFERROR(__xludf.DUMMYFUNCTION("""COMPUTED_VALUE"""),0.39880787037037035)</f>
        <v>0.3988078704</v>
      </c>
      <c r="D2409" s="122" t="str">
        <f>IFERROR(__xludf.DUMMYFUNCTION("""COMPUTED_VALUE"""),"BOND")</f>
        <v>BOND</v>
      </c>
      <c r="E2409" s="122" t="str">
        <f>IFERROR(__xludf.DUMMYFUNCTION("""COMPUTED_VALUE"""),"BondBridge")</f>
        <v>BondBridge</v>
      </c>
      <c r="F2409" s="122" t="str">
        <f>IFERROR(__xludf.DUMMYFUNCTION("""COMPUTED_VALUE"""),"Finance")</f>
        <v>Finance</v>
      </c>
    </row>
    <row r="2410">
      <c r="A2410" s="131">
        <f>IFERROR(__xludf.DUMMYFUNCTION("""COMPUTED_VALUE"""),46187.39880787037)</f>
        <v>46187.39881</v>
      </c>
      <c r="B2410" s="126">
        <f>IFERROR(__xludf.DUMMYFUNCTION("""COMPUTED_VALUE"""),46187.0)</f>
        <v>46187</v>
      </c>
      <c r="C2410" s="130">
        <f>IFERROR(__xludf.DUMMYFUNCTION("""COMPUTED_VALUE"""),0.39880787037037035)</f>
        <v>0.3988078704</v>
      </c>
      <c r="D2410" s="122" t="str">
        <f>IFERROR(__xludf.DUMMYFUNCTION("""COMPUTED_VALUE"""),"INSR")</f>
        <v>INSR</v>
      </c>
      <c r="E2410" s="122" t="str">
        <f>IFERROR(__xludf.DUMMYFUNCTION("""COMPUTED_VALUE"""),"Shield Insurance")</f>
        <v>Shield Insurance</v>
      </c>
      <c r="F2410" s="122" t="str">
        <f>IFERROR(__xludf.DUMMYFUNCTION("""COMPUTED_VALUE"""),"Finance")</f>
        <v>Finance</v>
      </c>
    </row>
    <row r="2411">
      <c r="A2411" s="131">
        <f>IFERROR(__xludf.DUMMYFUNCTION("""COMPUTED_VALUE"""),46187.39880787037)</f>
        <v>46187.39881</v>
      </c>
      <c r="B2411" s="126">
        <f>IFERROR(__xludf.DUMMYFUNCTION("""COMPUTED_VALUE"""),46187.0)</f>
        <v>46187</v>
      </c>
      <c r="C2411" s="130">
        <f>IFERROR(__xludf.DUMMYFUNCTION("""COMPUTED_VALUE"""),0.39880787037037035)</f>
        <v>0.3988078704</v>
      </c>
      <c r="D2411" s="122" t="str">
        <f>IFERROR(__xludf.DUMMYFUNCTION("""COMPUTED_VALUE"""),"LOAN")</f>
        <v>LOAN</v>
      </c>
      <c r="E2411" s="122" t="str">
        <f>IFERROR(__xludf.DUMMYFUNCTION("""COMPUTED_VALUE"""),"LoanLab")</f>
        <v>LoanLab</v>
      </c>
      <c r="F2411" s="122" t="str">
        <f>IFERROR(__xludf.DUMMYFUNCTION("""COMPUTED_VALUE"""),"Finance")</f>
        <v>Finance</v>
      </c>
    </row>
    <row r="2412">
      <c r="A2412" s="131">
        <f>IFERROR(__xludf.DUMMYFUNCTION("""COMPUTED_VALUE"""),46187.39880787037)</f>
        <v>46187.39881</v>
      </c>
      <c r="B2412" s="126">
        <f>IFERROR(__xludf.DUMMYFUNCTION("""COMPUTED_VALUE"""),46187.0)</f>
        <v>46187</v>
      </c>
      <c r="C2412" s="130">
        <f>IFERROR(__xludf.DUMMYFUNCTION("""COMPUTED_VALUE"""),0.39880787037037035)</f>
        <v>0.3988078704</v>
      </c>
      <c r="D2412" s="122" t="str">
        <f>IFERROR(__xludf.DUMMYFUNCTION("""COMPUTED_VALUE"""),"LUXE")</f>
        <v>LUXE</v>
      </c>
      <c r="E2412" s="122" t="str">
        <f>IFERROR(__xludf.DUMMYFUNCTION("""COMPUTED_VALUE"""),"Luxury Locker")</f>
        <v>Luxury Locker</v>
      </c>
      <c r="F2412" s="122" t="str">
        <f>IFERROR(__xludf.DUMMYFUNCTION("""COMPUTED_VALUE"""),"Luxury Goods")</f>
        <v>Luxury Goods</v>
      </c>
    </row>
    <row r="2413">
      <c r="A2413" s="131">
        <f>IFERROR(__xludf.DUMMYFUNCTION("""COMPUTED_VALUE"""),46187.39880787037)</f>
        <v>46187.39881</v>
      </c>
      <c r="B2413" s="126">
        <f>IFERROR(__xludf.DUMMYFUNCTION("""COMPUTED_VALUE"""),46187.0)</f>
        <v>46187</v>
      </c>
      <c r="C2413" s="130">
        <f>IFERROR(__xludf.DUMMYFUNCTION("""COMPUTED_VALUE"""),0.39880787037037035)</f>
        <v>0.3988078704</v>
      </c>
      <c r="D2413" s="122" t="str">
        <f>IFERROR(__xludf.DUMMYFUNCTION("""COMPUTED_VALUE"""),"DRIP")</f>
        <v>DRIP</v>
      </c>
      <c r="E2413" s="122" t="str">
        <f>IFERROR(__xludf.DUMMYFUNCTION("""COMPUTED_VALUE"""),"Drip Streetwear")</f>
        <v>Drip Streetwear</v>
      </c>
      <c r="F2413" s="122" t="str">
        <f>IFERROR(__xludf.DUMMYFUNCTION("""COMPUTED_VALUE"""),"Fashion")</f>
        <v>Fashion</v>
      </c>
    </row>
    <row r="2414">
      <c r="A2414" s="131">
        <f>IFERROR(__xludf.DUMMYFUNCTION("""COMPUTED_VALUE"""),46187.39880787037)</f>
        <v>46187.39881</v>
      </c>
      <c r="B2414" s="126">
        <f>IFERROR(__xludf.DUMMYFUNCTION("""COMPUTED_VALUE"""),46187.0)</f>
        <v>46187</v>
      </c>
      <c r="C2414" s="130">
        <f>IFERROR(__xludf.DUMMYFUNCTION("""COMPUTED_VALUE"""),0.39880787037037035)</f>
        <v>0.3988078704</v>
      </c>
      <c r="D2414" s="122" t="str">
        <f>IFERROR(__xludf.DUMMYFUNCTION("""COMPUTED_VALUE"""),"KICK")</f>
        <v>KICK</v>
      </c>
      <c r="E2414" s="122" t="str">
        <f>IFERROR(__xludf.DUMMYFUNCTION("""COMPUTED_VALUE"""),"KickDrop Sneakers")</f>
        <v>KickDrop Sneakers</v>
      </c>
      <c r="F2414" s="122" t="str">
        <f>IFERROR(__xludf.DUMMYFUNCTION("""COMPUTED_VALUE"""),"Fashion")</f>
        <v>Fashion</v>
      </c>
    </row>
    <row r="2415">
      <c r="A2415" s="131">
        <f>IFERROR(__xludf.DUMMYFUNCTION("""COMPUTED_VALUE"""),46187.39880787037)</f>
        <v>46187.39881</v>
      </c>
      <c r="B2415" s="126">
        <f>IFERROR(__xludf.DUMMYFUNCTION("""COMPUTED_VALUE"""),46187.0)</f>
        <v>46187</v>
      </c>
      <c r="C2415" s="130">
        <f>IFERROR(__xludf.DUMMYFUNCTION("""COMPUTED_VALUE"""),0.39880787037037035)</f>
        <v>0.3988078704</v>
      </c>
      <c r="D2415" s="122" t="str">
        <f>IFERROR(__xludf.DUMMYFUNCTION("""COMPUTED_VALUE"""),"GLAM")</f>
        <v>GLAM</v>
      </c>
      <c r="E2415" s="122" t="str">
        <f>IFERROR(__xludf.DUMMYFUNCTION("""COMPUTED_VALUE"""),"Glow Cosmetics")</f>
        <v>Glow Cosmetics</v>
      </c>
      <c r="F2415" s="122" t="str">
        <f>IFERROR(__xludf.DUMMYFUNCTION("""COMPUTED_VALUE"""),"Fashion")</f>
        <v>Fashion</v>
      </c>
    </row>
    <row r="2416">
      <c r="A2416" s="131">
        <f>IFERROR(__xludf.DUMMYFUNCTION("""COMPUTED_VALUE"""),46187.39880787037)</f>
        <v>46187.39881</v>
      </c>
      <c r="B2416" s="126">
        <f>IFERROR(__xludf.DUMMYFUNCTION("""COMPUTED_VALUE"""),46187.0)</f>
        <v>46187</v>
      </c>
      <c r="C2416" s="130">
        <f>IFERROR(__xludf.DUMMYFUNCTION("""COMPUTED_VALUE"""),0.39880787037037035)</f>
        <v>0.3988078704</v>
      </c>
      <c r="D2416" s="122" t="str">
        <f>IFERROR(__xludf.DUMMYFUNCTION("""COMPUTED_VALUE"""),"BAGG")</f>
        <v>BAGG</v>
      </c>
      <c r="E2416" s="122" t="str">
        <f>IFERROR(__xludf.DUMMYFUNCTION("""COMPUTED_VALUE"""),"BagVault")</f>
        <v>BagVault</v>
      </c>
      <c r="F2416" s="122" t="str">
        <f>IFERROR(__xludf.DUMMYFUNCTION("""COMPUTED_VALUE"""),"Fashion")</f>
        <v>Fashion</v>
      </c>
    </row>
    <row r="2417">
      <c r="A2417" s="131">
        <f>IFERROR(__xludf.DUMMYFUNCTION("""COMPUTED_VALUE"""),46187.39880787037)</f>
        <v>46187.39881</v>
      </c>
      <c r="B2417" s="126">
        <f>IFERROR(__xludf.DUMMYFUNCTION("""COMPUTED_VALUE"""),46187.0)</f>
        <v>46187</v>
      </c>
      <c r="C2417" s="130">
        <f>IFERROR(__xludf.DUMMYFUNCTION("""COMPUTED_VALUE"""),0.39880787037037035)</f>
        <v>0.3988078704</v>
      </c>
      <c r="D2417" s="122" t="str">
        <f>IFERROR(__xludf.DUMMYFUNCTION("""COMPUTED_VALUE"""),"FAST")</f>
        <v>FAST</v>
      </c>
      <c r="E2417" s="122" t="str">
        <f>IFERROR(__xludf.DUMMYFUNCTION("""COMPUTED_VALUE"""),"Flash Logistics")</f>
        <v>Flash Logistics</v>
      </c>
      <c r="F2417" s="122" t="str">
        <f>IFERROR(__xludf.DUMMYFUNCTION("""COMPUTED_VALUE"""),"Logistics")</f>
        <v>Logistics</v>
      </c>
    </row>
    <row r="2418">
      <c r="A2418" s="131">
        <f>IFERROR(__xludf.DUMMYFUNCTION("""COMPUTED_VALUE"""),46187.39880787037)</f>
        <v>46187.39881</v>
      </c>
      <c r="B2418" s="126">
        <f>IFERROR(__xludf.DUMMYFUNCTION("""COMPUTED_VALUE"""),46187.0)</f>
        <v>46187</v>
      </c>
      <c r="C2418" s="130">
        <f>IFERROR(__xludf.DUMMYFUNCTION("""COMPUTED_VALUE"""),0.39880787037037035)</f>
        <v>0.3988078704</v>
      </c>
      <c r="D2418" s="122" t="str">
        <f>IFERROR(__xludf.DUMMYFUNCTION("""COMPUTED_VALUE"""),"SHIP")</f>
        <v>SHIP</v>
      </c>
      <c r="E2418" s="122" t="str">
        <f>IFERROR(__xludf.DUMMYFUNCTION("""COMPUTED_VALUE"""),"Seoul Shipping")</f>
        <v>Seoul Shipping</v>
      </c>
      <c r="F2418" s="122" t="str">
        <f>IFERROR(__xludf.DUMMYFUNCTION("""COMPUTED_VALUE"""),"Logistics")</f>
        <v>Logistics</v>
      </c>
    </row>
    <row r="2419">
      <c r="A2419" s="131">
        <f>IFERROR(__xludf.DUMMYFUNCTION("""COMPUTED_VALUE"""),46187.39880787037)</f>
        <v>46187.39881</v>
      </c>
      <c r="B2419" s="126">
        <f>IFERROR(__xludf.DUMMYFUNCTION("""COMPUTED_VALUE"""),46187.0)</f>
        <v>46187</v>
      </c>
      <c r="C2419" s="130">
        <f>IFERROR(__xludf.DUMMYFUNCTION("""COMPUTED_VALUE"""),0.39880787037037035)</f>
        <v>0.3988078704</v>
      </c>
      <c r="D2419" s="122" t="str">
        <f>IFERROR(__xludf.DUMMYFUNCTION("""COMPUTED_VALUE"""),"DRON")</f>
        <v>DRON</v>
      </c>
      <c r="E2419" s="122" t="str">
        <f>IFERROR(__xludf.DUMMYFUNCTION("""COMPUTED_VALUE"""),"DroneDrop")</f>
        <v>DroneDrop</v>
      </c>
      <c r="F2419" s="122" t="str">
        <f>IFERROR(__xludf.DUMMYFUNCTION("""COMPUTED_VALUE"""),"Logistics")</f>
        <v>Logistics</v>
      </c>
    </row>
    <row r="2420">
      <c r="A2420" s="131">
        <f>IFERROR(__xludf.DUMMYFUNCTION("""COMPUTED_VALUE"""),46187.39880787037)</f>
        <v>46187.39881</v>
      </c>
      <c r="B2420" s="126">
        <f>IFERROR(__xludf.DUMMYFUNCTION("""COMPUTED_VALUE"""),46187.0)</f>
        <v>46187</v>
      </c>
      <c r="C2420" s="130">
        <f>IFERROR(__xludf.DUMMYFUNCTION("""COMPUTED_VALUE"""),0.39880787037037035)</f>
        <v>0.3988078704</v>
      </c>
      <c r="D2420" s="122" t="str">
        <f>IFERROR(__xludf.DUMMYFUNCTION("""COMPUTED_VALUE"""),"RIDE")</f>
        <v>RIDE</v>
      </c>
      <c r="E2420" s="122" t="str">
        <f>IFERROR(__xludf.DUMMYFUNCTION("""COMPUTED_VALUE"""),"QuickRide")</f>
        <v>QuickRide</v>
      </c>
      <c r="F2420" s="122" t="str">
        <f>IFERROR(__xludf.DUMMYFUNCTION("""COMPUTED_VALUE"""),"Transportation")</f>
        <v>Transportation</v>
      </c>
    </row>
    <row r="2421">
      <c r="A2421" s="131">
        <f>IFERROR(__xludf.DUMMYFUNCTION("""COMPUTED_VALUE"""),46187.39880787037)</f>
        <v>46187.39881</v>
      </c>
      <c r="B2421" s="126">
        <f>IFERROR(__xludf.DUMMYFUNCTION("""COMPUTED_VALUE"""),46187.0)</f>
        <v>46187</v>
      </c>
      <c r="C2421" s="130">
        <f>IFERROR(__xludf.DUMMYFUNCTION("""COMPUTED_VALUE"""),0.39880787037037035)</f>
        <v>0.3988078704</v>
      </c>
      <c r="D2421" s="122" t="str">
        <f>IFERROR(__xludf.DUMMYFUNCTION("""COMPUTED_VALUE"""),"RAIL")</f>
        <v>RAIL</v>
      </c>
      <c r="E2421" s="122" t="str">
        <f>IFERROR(__xludf.DUMMYFUNCTION("""COMPUTED_VALUE"""),"MetroRail Corp")</f>
        <v>MetroRail Corp</v>
      </c>
      <c r="F2421" s="122" t="str">
        <f>IFERROR(__xludf.DUMMYFUNCTION("""COMPUTED_VALUE"""),"Transportation")</f>
        <v>Transportation</v>
      </c>
    </row>
    <row r="2422">
      <c r="A2422" s="131">
        <f>IFERROR(__xludf.DUMMYFUNCTION("""COMPUTED_VALUE"""),46187.39880787037)</f>
        <v>46187.39881</v>
      </c>
      <c r="B2422" s="126">
        <f>IFERROR(__xludf.DUMMYFUNCTION("""COMPUTED_VALUE"""),46187.0)</f>
        <v>46187</v>
      </c>
      <c r="C2422" s="130">
        <f>IFERROR(__xludf.DUMMYFUNCTION("""COMPUTED_VALUE"""),0.39880787037037035)</f>
        <v>0.3988078704</v>
      </c>
      <c r="D2422" s="122" t="str">
        <f>IFERROR(__xludf.DUMMYFUNCTION("""COMPUTED_VALUE"""),"MEDX")</f>
        <v>MEDX</v>
      </c>
      <c r="E2422" s="122" t="str">
        <f>IFERROR(__xludf.DUMMYFUNCTION("""COMPUTED_VALUE"""),"MediCore")</f>
        <v>MediCore</v>
      </c>
      <c r="F2422" s="122" t="str">
        <f>IFERROR(__xludf.DUMMYFUNCTION("""COMPUTED_VALUE"""),"Healthcare")</f>
        <v>Healthcare</v>
      </c>
    </row>
    <row r="2423">
      <c r="A2423" s="131">
        <f>IFERROR(__xludf.DUMMYFUNCTION("""COMPUTED_VALUE"""),46187.39880787037)</f>
        <v>46187.39881</v>
      </c>
      <c r="B2423" s="126">
        <f>IFERROR(__xludf.DUMMYFUNCTION("""COMPUTED_VALUE"""),46187.0)</f>
        <v>46187</v>
      </c>
      <c r="C2423" s="130">
        <f>IFERROR(__xludf.DUMMYFUNCTION("""COMPUTED_VALUE"""),0.39880787037037035)</f>
        <v>0.3988078704</v>
      </c>
      <c r="D2423" s="122" t="str">
        <f>IFERROR(__xludf.DUMMYFUNCTION("""COMPUTED_VALUE"""),"GYMX")</f>
        <v>GYMX</v>
      </c>
      <c r="E2423" s="122" t="str">
        <f>IFERROR(__xludf.DUMMYFUNCTION("""COMPUTED_VALUE"""),"GymX Fitness")</f>
        <v>GymX Fitness</v>
      </c>
      <c r="F2423" s="122" t="str">
        <f>IFERROR(__xludf.DUMMYFUNCTION("""COMPUTED_VALUE"""),"Healthcare")</f>
        <v>Healthcare</v>
      </c>
    </row>
    <row r="2424">
      <c r="A2424" s="131">
        <f>IFERROR(__xludf.DUMMYFUNCTION("""COMPUTED_VALUE"""),46187.39880787037)</f>
        <v>46187.39881</v>
      </c>
      <c r="B2424" s="126">
        <f>IFERROR(__xludf.DUMMYFUNCTION("""COMPUTED_VALUE"""),46187.0)</f>
        <v>46187</v>
      </c>
      <c r="C2424" s="130">
        <f>IFERROR(__xludf.DUMMYFUNCTION("""COMPUTED_VALUE"""),0.39880787037037035)</f>
        <v>0.3988078704</v>
      </c>
      <c r="D2424" s="122" t="str">
        <f>IFERROR(__xludf.DUMMYFUNCTION("""COMPUTED_VALUE"""),"VITA")</f>
        <v>VITA</v>
      </c>
      <c r="E2424" s="122" t="str">
        <f>IFERROR(__xludf.DUMMYFUNCTION("""COMPUTED_VALUE"""),"VitaPlus")</f>
        <v>VitaPlus</v>
      </c>
      <c r="F2424" s="122" t="str">
        <f>IFERROR(__xludf.DUMMYFUNCTION("""COMPUTED_VALUE"""),"Healthcare")</f>
        <v>Healthcare</v>
      </c>
    </row>
    <row r="2425">
      <c r="A2425" s="131">
        <f>IFERROR(__xludf.DUMMYFUNCTION("""COMPUTED_VALUE"""),46187.39880787037)</f>
        <v>46187.39881</v>
      </c>
      <c r="B2425" s="126">
        <f>IFERROR(__xludf.DUMMYFUNCTION("""COMPUTED_VALUE"""),46187.0)</f>
        <v>46187</v>
      </c>
      <c r="C2425" s="130">
        <f>IFERROR(__xludf.DUMMYFUNCTION("""COMPUTED_VALUE"""),0.39880787037037035)</f>
        <v>0.3988078704</v>
      </c>
      <c r="D2425" s="122" t="str">
        <f>IFERROR(__xludf.DUMMYFUNCTION("""COMPUTED_VALUE"""),"CARE")</f>
        <v>CARE</v>
      </c>
      <c r="E2425" s="122" t="str">
        <f>IFERROR(__xludf.DUMMYFUNCTION("""COMPUTED_VALUE"""),"CareCloud")</f>
        <v>CareCloud</v>
      </c>
      <c r="F2425" s="122" t="str">
        <f>IFERROR(__xludf.DUMMYFUNCTION("""COMPUTED_VALUE"""),"Healthcare")</f>
        <v>Healthcare</v>
      </c>
    </row>
    <row r="2426">
      <c r="A2426" s="131">
        <f>IFERROR(__xludf.DUMMYFUNCTION("""COMPUTED_VALUE"""),46187.39880787037)</f>
        <v>46187.39881</v>
      </c>
      <c r="B2426" s="126">
        <f>IFERROR(__xludf.DUMMYFUNCTION("""COMPUTED_VALUE"""),46187.0)</f>
        <v>46187</v>
      </c>
      <c r="C2426" s="130">
        <f>IFERROR(__xludf.DUMMYFUNCTION("""COMPUTED_VALUE"""),0.39880787037037035)</f>
        <v>0.3988078704</v>
      </c>
      <c r="D2426" s="122" t="str">
        <f>IFERROR(__xludf.DUMMYFUNCTION("""COMPUTED_VALUE"""),"DENT")</f>
        <v>DENT</v>
      </c>
      <c r="E2426" s="122" t="str">
        <f>IFERROR(__xludf.DUMMYFUNCTION("""COMPUTED_VALUE"""),"SmileWorks")</f>
        <v>SmileWorks</v>
      </c>
      <c r="F2426" s="122" t="str">
        <f>IFERROR(__xludf.DUMMYFUNCTION("""COMPUTED_VALUE"""),"Healthcare")</f>
        <v>Healthcare</v>
      </c>
    </row>
    <row r="2427">
      <c r="A2427" s="131">
        <f>IFERROR(__xludf.DUMMYFUNCTION("""COMPUTED_VALUE"""),46187.39880787037)</f>
        <v>46187.39881</v>
      </c>
      <c r="B2427" s="126">
        <f>IFERROR(__xludf.DUMMYFUNCTION("""COMPUTED_VALUE"""),46187.0)</f>
        <v>46187</v>
      </c>
      <c r="C2427" s="130">
        <f>IFERROR(__xludf.DUMMYFUNCTION("""COMPUTED_VALUE"""),0.39880787037037035)</f>
        <v>0.3988078704</v>
      </c>
      <c r="D2427" s="122" t="str">
        <f>IFERROR(__xludf.DUMMYFUNCTION("""COMPUTED_VALUE"""),"EDUX")</f>
        <v>EDUX</v>
      </c>
      <c r="E2427" s="122" t="str">
        <f>IFERROR(__xludf.DUMMYFUNCTION("""COMPUTED_VALUE"""),"EduMax Learning")</f>
        <v>EduMax Learning</v>
      </c>
      <c r="F2427" s="122" t="str">
        <f>IFERROR(__xludf.DUMMYFUNCTION("""COMPUTED_VALUE"""),"Education")</f>
        <v>Education</v>
      </c>
    </row>
    <row r="2428">
      <c r="A2428" s="131">
        <f>IFERROR(__xludf.DUMMYFUNCTION("""COMPUTED_VALUE"""),46187.39880787037)</f>
        <v>46187.39881</v>
      </c>
      <c r="B2428" s="126">
        <f>IFERROR(__xludf.DUMMYFUNCTION("""COMPUTED_VALUE"""),46187.0)</f>
        <v>46187</v>
      </c>
      <c r="C2428" s="130">
        <f>IFERROR(__xludf.DUMMYFUNCTION("""COMPUTED_VALUE"""),0.39880787037037035)</f>
        <v>0.3988078704</v>
      </c>
      <c r="D2428" s="122" t="str">
        <f>IFERROR(__xludf.DUMMYFUNCTION("""COMPUTED_VALUE"""),"BOOK")</f>
        <v>BOOK</v>
      </c>
      <c r="E2428" s="122" t="str">
        <f>IFERROR(__xludf.DUMMYFUNCTION("""COMPUTED_VALUE"""),"BookBridge")</f>
        <v>BookBridge</v>
      </c>
      <c r="F2428" s="122" t="str">
        <f>IFERROR(__xludf.DUMMYFUNCTION("""COMPUTED_VALUE"""),"Education")</f>
        <v>Education</v>
      </c>
    </row>
    <row r="2429">
      <c r="A2429" s="131">
        <f>IFERROR(__xludf.DUMMYFUNCTION("""COMPUTED_VALUE"""),46187.39880787037)</f>
        <v>46187.39881</v>
      </c>
      <c r="B2429" s="126">
        <f>IFERROR(__xludf.DUMMYFUNCTION("""COMPUTED_VALUE"""),46187.0)</f>
        <v>46187</v>
      </c>
      <c r="C2429" s="130">
        <f>IFERROR(__xludf.DUMMYFUNCTION("""COMPUTED_VALUE"""),0.39880787037037035)</f>
        <v>0.3988078704</v>
      </c>
      <c r="D2429" s="122" t="str">
        <f>IFERROR(__xludf.DUMMYFUNCTION("""COMPUTED_VALUE"""),"TUTR")</f>
        <v>TUTR</v>
      </c>
      <c r="E2429" s="122" t="str">
        <f>IFERROR(__xludf.DUMMYFUNCTION("""COMPUTED_VALUE"""),"TutorTown")</f>
        <v>TutorTown</v>
      </c>
      <c r="F2429" s="122" t="str">
        <f>IFERROR(__xludf.DUMMYFUNCTION("""COMPUTED_VALUE"""),"Education")</f>
        <v>Education</v>
      </c>
    </row>
    <row r="2430">
      <c r="A2430" s="131">
        <f>IFERROR(__xludf.DUMMYFUNCTION("""COMPUTED_VALUE"""),46187.39880787037)</f>
        <v>46187.39881</v>
      </c>
      <c r="B2430" s="126">
        <f>IFERROR(__xludf.DUMMYFUNCTION("""COMPUTED_VALUE"""),46187.0)</f>
        <v>46187</v>
      </c>
      <c r="C2430" s="130">
        <f>IFERROR(__xludf.DUMMYFUNCTION("""COMPUTED_VALUE"""),0.39880787037037035)</f>
        <v>0.3988078704</v>
      </c>
      <c r="D2430" s="122" t="str">
        <f>IFERROR(__xludf.DUMMYFUNCTION("""COMPUTED_VALUE"""),"LANG")</f>
        <v>LANG</v>
      </c>
      <c r="E2430" s="122" t="str">
        <f>IFERROR(__xludf.DUMMYFUNCTION("""COMPUTED_VALUE"""),"LinguaLab")</f>
        <v>LinguaLab</v>
      </c>
      <c r="F2430" s="122" t="str">
        <f>IFERROR(__xludf.DUMMYFUNCTION("""COMPUTED_VALUE"""),"Education")</f>
        <v>Education</v>
      </c>
    </row>
    <row r="2431">
      <c r="A2431" s="131">
        <f>IFERROR(__xludf.DUMMYFUNCTION("""COMPUTED_VALUE"""),46187.39880787037)</f>
        <v>46187.39881</v>
      </c>
      <c r="B2431" s="126">
        <f>IFERROR(__xludf.DUMMYFUNCTION("""COMPUTED_VALUE"""),46187.0)</f>
        <v>46187</v>
      </c>
      <c r="C2431" s="130">
        <f>IFERROR(__xludf.DUMMYFUNCTION("""COMPUTED_VALUE"""),0.39880787037037035)</f>
        <v>0.3988078704</v>
      </c>
      <c r="D2431" s="122" t="str">
        <f>IFERROR(__xludf.DUMMYFUNCTION("""COMPUTED_VALUE"""),"TEST")</f>
        <v>TEST</v>
      </c>
      <c r="E2431" s="122" t="str">
        <f>IFERROR(__xludf.DUMMYFUNCTION("""COMPUTED_VALUE"""),"TestPrep Pro")</f>
        <v>TestPrep Pro</v>
      </c>
      <c r="F2431" s="122" t="str">
        <f>IFERROR(__xludf.DUMMYFUNCTION("""COMPUTED_VALUE"""),"Education")</f>
        <v>Education</v>
      </c>
    </row>
    <row r="2432">
      <c r="A2432" s="131">
        <f>IFERROR(__xludf.DUMMYFUNCTION("""COMPUTED_VALUE"""),46187.39880787037)</f>
        <v>46187.39881</v>
      </c>
      <c r="B2432" s="126">
        <f>IFERROR(__xludf.DUMMYFUNCTION("""COMPUTED_VALUE"""),46187.0)</f>
        <v>46187</v>
      </c>
      <c r="C2432" s="130">
        <f>IFERROR(__xludf.DUMMYFUNCTION("""COMPUTED_VALUE"""),0.39880787037037035)</f>
        <v>0.3988078704</v>
      </c>
      <c r="D2432" s="122" t="str">
        <f>IFERROR(__xludf.DUMMYFUNCTION("""COMPUTED_VALUE"""),"MOVI")</f>
        <v>MOVI</v>
      </c>
      <c r="E2432" s="122" t="str">
        <f>IFERROR(__xludf.DUMMYFUNCTION("""COMPUTED_VALUE"""),"MovieBox")</f>
        <v>MovieBox</v>
      </c>
      <c r="F2432" s="122" t="str">
        <f>IFERROR(__xludf.DUMMYFUNCTION("""COMPUTED_VALUE"""),"Entertainment")</f>
        <v>Entertainment</v>
      </c>
    </row>
    <row r="2433">
      <c r="A2433" s="131">
        <f>IFERROR(__xludf.DUMMYFUNCTION("""COMPUTED_VALUE"""),46187.39880787037)</f>
        <v>46187.39881</v>
      </c>
      <c r="B2433" s="126">
        <f>IFERROR(__xludf.DUMMYFUNCTION("""COMPUTED_VALUE"""),46187.0)</f>
        <v>46187</v>
      </c>
      <c r="C2433" s="130">
        <f>IFERROR(__xludf.DUMMYFUNCTION("""COMPUTED_VALUE"""),0.39880787037037035)</f>
        <v>0.3988078704</v>
      </c>
      <c r="D2433" s="122" t="str">
        <f>IFERROR(__xludf.DUMMYFUNCTION("""COMPUTED_VALUE"""),"MUSC")</f>
        <v>MUSC</v>
      </c>
      <c r="E2433" s="122" t="str">
        <f>IFERROR(__xludf.DUMMYFUNCTION("""COMPUTED_VALUE"""),"MusicWave")</f>
        <v>MusicWave</v>
      </c>
      <c r="F2433" s="122" t="str">
        <f>IFERROR(__xludf.DUMMYFUNCTION("""COMPUTED_VALUE"""),"Entertainment")</f>
        <v>Entertainment</v>
      </c>
    </row>
    <row r="2434">
      <c r="A2434" s="131">
        <f>IFERROR(__xludf.DUMMYFUNCTION("""COMPUTED_VALUE"""),46187.39880787037)</f>
        <v>46187.39881</v>
      </c>
      <c r="B2434" s="126">
        <f>IFERROR(__xludf.DUMMYFUNCTION("""COMPUTED_VALUE"""),46187.0)</f>
        <v>46187</v>
      </c>
      <c r="C2434" s="130">
        <f>IFERROR(__xludf.DUMMYFUNCTION("""COMPUTED_VALUE"""),0.39880787037037035)</f>
        <v>0.3988078704</v>
      </c>
      <c r="D2434" s="122" t="str">
        <f>IFERROR(__xludf.DUMMYFUNCTION("""COMPUTED_VALUE"""),"IDOL")</f>
        <v>IDOL</v>
      </c>
      <c r="E2434" s="122" t="str">
        <f>IFERROR(__xludf.DUMMYFUNCTION("""COMPUTED_VALUE"""),"Idol Agency")</f>
        <v>Idol Agency</v>
      </c>
      <c r="F2434" s="122" t="str">
        <f>IFERROR(__xludf.DUMMYFUNCTION("""COMPUTED_VALUE"""),"Entertainment")</f>
        <v>Entertainment</v>
      </c>
    </row>
    <row r="2435">
      <c r="A2435" s="131">
        <f>IFERROR(__xludf.DUMMYFUNCTION("""COMPUTED_VALUE"""),46187.39880787037)</f>
        <v>46187.39881</v>
      </c>
      <c r="B2435" s="126">
        <f>IFERROR(__xludf.DUMMYFUNCTION("""COMPUTED_VALUE"""),46187.0)</f>
        <v>46187</v>
      </c>
      <c r="C2435" s="130">
        <f>IFERROR(__xludf.DUMMYFUNCTION("""COMPUTED_VALUE"""),0.39880787037037035)</f>
        <v>0.3988078704</v>
      </c>
      <c r="D2435" s="122" t="str">
        <f>IFERROR(__xludf.DUMMYFUNCTION("""COMPUTED_VALUE"""),"MEME")</f>
        <v>MEME</v>
      </c>
      <c r="E2435" s="122" t="str">
        <f>IFERROR(__xludf.DUMMYFUNCTION("""COMPUTED_VALUE"""),"Meme Media")</f>
        <v>Meme Media</v>
      </c>
      <c r="F2435" s="122" t="str">
        <f>IFERROR(__xludf.DUMMYFUNCTION("""COMPUTED_VALUE"""),"Entertainment")</f>
        <v>Entertainment</v>
      </c>
    </row>
    <row r="2436">
      <c r="A2436" s="131">
        <f>IFERROR(__xludf.DUMMYFUNCTION("""COMPUTED_VALUE"""),46187.39880787037)</f>
        <v>46187.39881</v>
      </c>
      <c r="B2436" s="126">
        <f>IFERROR(__xludf.DUMMYFUNCTION("""COMPUTED_VALUE"""),46187.0)</f>
        <v>46187</v>
      </c>
      <c r="C2436" s="130">
        <f>IFERROR(__xludf.DUMMYFUNCTION("""COMPUTED_VALUE"""),0.39880787037037035)</f>
        <v>0.3988078704</v>
      </c>
      <c r="D2436" s="122" t="str">
        <f>IFERROR(__xludf.DUMMYFUNCTION("""COMPUTED_VALUE"""),"STRM")</f>
        <v>STRM</v>
      </c>
      <c r="E2436" s="122" t="str">
        <f>IFERROR(__xludf.DUMMYFUNCTION("""COMPUTED_VALUE"""),"Streamly")</f>
        <v>Streamly</v>
      </c>
      <c r="F2436" s="122" t="str">
        <f>IFERROR(__xludf.DUMMYFUNCTION("""COMPUTED_VALUE"""),"Entertainment")</f>
        <v>Entertainment</v>
      </c>
    </row>
    <row r="2437">
      <c r="A2437" s="131">
        <f>IFERROR(__xludf.DUMMYFUNCTION("""COMPUTED_VALUE"""),46187.39880787037)</f>
        <v>46187.39881</v>
      </c>
      <c r="B2437" s="126">
        <f>IFERROR(__xludf.DUMMYFUNCTION("""COMPUTED_VALUE"""),46187.0)</f>
        <v>46187</v>
      </c>
      <c r="C2437" s="130">
        <f>IFERROR(__xludf.DUMMYFUNCTION("""COMPUTED_VALUE"""),0.39880787037037035)</f>
        <v>0.3988078704</v>
      </c>
      <c r="D2437" s="122" t="str">
        <f>IFERROR(__xludf.DUMMYFUNCTION("""COMPUTED_VALUE"""),"FARM")</f>
        <v>FARM</v>
      </c>
      <c r="E2437" s="122" t="str">
        <f>IFERROR(__xludf.DUMMYFUNCTION("""COMPUTED_VALUE"""),"Future Farms")</f>
        <v>Future Farms</v>
      </c>
      <c r="F2437" s="122" t="str">
        <f>IFERROR(__xludf.DUMMYFUNCTION("""COMPUTED_VALUE"""),"Agriculture")</f>
        <v>Agriculture</v>
      </c>
    </row>
    <row r="2438">
      <c r="A2438" s="131">
        <f>IFERROR(__xludf.DUMMYFUNCTION("""COMPUTED_VALUE"""),46187.39880787037)</f>
        <v>46187.39881</v>
      </c>
      <c r="B2438" s="126">
        <f>IFERROR(__xludf.DUMMYFUNCTION("""COMPUTED_VALUE"""),46187.0)</f>
        <v>46187</v>
      </c>
      <c r="C2438" s="130">
        <f>IFERROR(__xludf.DUMMYFUNCTION("""COMPUTED_VALUE"""),0.39880787037037035)</f>
        <v>0.3988078704</v>
      </c>
      <c r="D2438" s="122" t="str">
        <f>IFERROR(__xludf.DUMMYFUNCTION("""COMPUTED_VALUE"""),"MEAT")</f>
        <v>MEAT</v>
      </c>
      <c r="E2438" s="122" t="str">
        <f>IFERROR(__xludf.DUMMYFUNCTION("""COMPUTED_VALUE"""),"MeatWorks")</f>
        <v>MeatWorks</v>
      </c>
      <c r="F2438" s="122" t="str">
        <f>IFERROR(__xludf.DUMMYFUNCTION("""COMPUTED_VALUE"""),"Food")</f>
        <v>Food</v>
      </c>
    </row>
    <row r="2439">
      <c r="A2439" s="131">
        <f>IFERROR(__xludf.DUMMYFUNCTION("""COMPUTED_VALUE"""),46187.39880787037)</f>
        <v>46187.39881</v>
      </c>
      <c r="B2439" s="126">
        <f>IFERROR(__xludf.DUMMYFUNCTION("""COMPUTED_VALUE"""),46187.0)</f>
        <v>46187</v>
      </c>
      <c r="C2439" s="130">
        <f>IFERROR(__xludf.DUMMYFUNCTION("""COMPUTED_VALUE"""),0.39880787037037035)</f>
        <v>0.3988078704</v>
      </c>
      <c r="D2439" s="122" t="str">
        <f>IFERROR(__xludf.DUMMYFUNCTION("""COMPUTED_VALUE"""),"VEGI")</f>
        <v>VEGI</v>
      </c>
      <c r="E2439" s="122" t="str">
        <f>IFERROR(__xludf.DUMMYFUNCTION("""COMPUTED_VALUE"""),"Green Basket")</f>
        <v>Green Basket</v>
      </c>
      <c r="F2439" s="122" t="str">
        <f>IFERROR(__xludf.DUMMYFUNCTION("""COMPUTED_VALUE"""),"Food")</f>
        <v>Food</v>
      </c>
    </row>
    <row r="2440">
      <c r="A2440" s="131">
        <f>IFERROR(__xludf.DUMMYFUNCTION("""COMPUTED_VALUE"""),46187.39880787037)</f>
        <v>46187.39881</v>
      </c>
      <c r="B2440" s="126">
        <f>IFERROR(__xludf.DUMMYFUNCTION("""COMPUTED_VALUE"""),46187.0)</f>
        <v>46187</v>
      </c>
      <c r="C2440" s="130">
        <f>IFERROR(__xludf.DUMMYFUNCTION("""COMPUTED_VALUE"""),0.39880787037037035)</f>
        <v>0.3988078704</v>
      </c>
      <c r="D2440" s="122" t="str">
        <f>IFERROR(__xludf.DUMMYFUNCTION("""COMPUTED_VALUE"""),"CAFE")</f>
        <v>CAFE</v>
      </c>
      <c r="E2440" s="122" t="str">
        <f>IFERROR(__xludf.DUMMYFUNCTION("""COMPUTED_VALUE"""),"Cafe Cloud")</f>
        <v>Cafe Cloud</v>
      </c>
      <c r="F2440" s="122" t="str">
        <f>IFERROR(__xludf.DUMMYFUNCTION("""COMPUTED_VALUE"""),"Food")</f>
        <v>Food</v>
      </c>
    </row>
    <row r="2441">
      <c r="A2441" s="131">
        <f>IFERROR(__xludf.DUMMYFUNCTION("""COMPUTED_VALUE"""),46187.39880787037)</f>
        <v>46187.39881</v>
      </c>
      <c r="B2441" s="126">
        <f>IFERROR(__xludf.DUMMYFUNCTION("""COMPUTED_VALUE"""),46187.0)</f>
        <v>46187</v>
      </c>
      <c r="C2441" s="130">
        <f>IFERROR(__xludf.DUMMYFUNCTION("""COMPUTED_VALUE"""),0.39880787037037035)</f>
        <v>0.3988078704</v>
      </c>
      <c r="D2441" s="122" t="str">
        <f>IFERROR(__xludf.DUMMYFUNCTION("""COMPUTED_VALUE"""),"BAKE")</f>
        <v>BAKE</v>
      </c>
      <c r="E2441" s="122" t="str">
        <f>IFERROR(__xludf.DUMMYFUNCTION("""COMPUTED_VALUE"""),"BakeHouse")</f>
        <v>BakeHouse</v>
      </c>
      <c r="F2441" s="122" t="str">
        <f>IFERROR(__xludf.DUMMYFUNCTION("""COMPUTED_VALUE"""),"Food")</f>
        <v>Food</v>
      </c>
    </row>
    <row r="2442">
      <c r="A2442" s="131">
        <f>IFERROR(__xludf.DUMMYFUNCTION("""COMPUTED_VALUE"""),46187.39880787037)</f>
        <v>46187.39881</v>
      </c>
      <c r="B2442" s="126">
        <f>IFERROR(__xludf.DUMMYFUNCTION("""COMPUTED_VALUE"""),46187.0)</f>
        <v>46187</v>
      </c>
      <c r="C2442" s="130">
        <f>IFERROR(__xludf.DUMMYFUNCTION("""COMPUTED_VALUE"""),0.39880787037037035)</f>
        <v>0.3988078704</v>
      </c>
      <c r="D2442" s="122" t="str">
        <f>IFERROR(__xludf.DUMMYFUNCTION("""COMPUTED_VALUE"""),"OILX")</f>
        <v>OILX</v>
      </c>
      <c r="E2442" s="122" t="str">
        <f>IFERROR(__xludf.DUMMYFUNCTION("""COMPUTED_VALUE"""),"OilMax Energy")</f>
        <v>OilMax Energy</v>
      </c>
      <c r="F2442" s="122" t="str">
        <f>IFERROR(__xludf.DUMMYFUNCTION("""COMPUTED_VALUE"""),"Energy")</f>
        <v>Energy</v>
      </c>
    </row>
    <row r="2443">
      <c r="A2443" s="131">
        <f>IFERROR(__xludf.DUMMYFUNCTION("""COMPUTED_VALUE"""),46187.39880787037)</f>
        <v>46187.39881</v>
      </c>
      <c r="B2443" s="126">
        <f>IFERROR(__xludf.DUMMYFUNCTION("""COMPUTED_VALUE"""),46187.0)</f>
        <v>46187</v>
      </c>
      <c r="C2443" s="130">
        <f>IFERROR(__xludf.DUMMYFUNCTION("""COMPUTED_VALUE"""),0.39880787037037035)</f>
        <v>0.3988078704</v>
      </c>
      <c r="D2443" s="122" t="str">
        <f>IFERROR(__xludf.DUMMYFUNCTION("""COMPUTED_VALUE"""),"SOLR")</f>
        <v>SOLR</v>
      </c>
      <c r="E2443" s="122" t="str">
        <f>IFERROR(__xludf.DUMMYFUNCTION("""COMPUTED_VALUE"""),"SolarSpark")</f>
        <v>SolarSpark</v>
      </c>
      <c r="F2443" s="122" t="str">
        <f>IFERROR(__xludf.DUMMYFUNCTION("""COMPUTED_VALUE"""),"Energy")</f>
        <v>Energy</v>
      </c>
    </row>
    <row r="2444">
      <c r="A2444" s="131">
        <f>IFERROR(__xludf.DUMMYFUNCTION("""COMPUTED_VALUE"""),46187.39880787037)</f>
        <v>46187.39881</v>
      </c>
      <c r="B2444" s="126">
        <f>IFERROR(__xludf.DUMMYFUNCTION("""COMPUTED_VALUE"""),46187.0)</f>
        <v>46187</v>
      </c>
      <c r="C2444" s="130">
        <f>IFERROR(__xludf.DUMMYFUNCTION("""COMPUTED_VALUE"""),0.39880787037037035)</f>
        <v>0.3988078704</v>
      </c>
      <c r="D2444" s="122" t="str">
        <f>IFERROR(__xludf.DUMMYFUNCTION("""COMPUTED_VALUE"""),"BATT")</f>
        <v>BATT</v>
      </c>
      <c r="E2444" s="122" t="str">
        <f>IFERROR(__xludf.DUMMYFUNCTION("""COMPUTED_VALUE"""),"BatteryBox")</f>
        <v>BatteryBox</v>
      </c>
      <c r="F2444" s="122" t="str">
        <f>IFERROR(__xludf.DUMMYFUNCTION("""COMPUTED_VALUE"""),"Energy")</f>
        <v>Energy</v>
      </c>
    </row>
    <row r="2445">
      <c r="A2445" s="131">
        <f>IFERROR(__xludf.DUMMYFUNCTION("""COMPUTED_VALUE"""),46187.39880787037)</f>
        <v>46187.39881</v>
      </c>
      <c r="B2445" s="126">
        <f>IFERROR(__xludf.DUMMYFUNCTION("""COMPUTED_VALUE"""),46187.0)</f>
        <v>46187</v>
      </c>
      <c r="C2445" s="130">
        <f>IFERROR(__xludf.DUMMYFUNCTION("""COMPUTED_VALUE"""),0.39880787037037035)</f>
        <v>0.3988078704</v>
      </c>
      <c r="D2445" s="122" t="str">
        <f>IFERROR(__xludf.DUMMYFUNCTION("""COMPUTED_VALUE"""),"WIND")</f>
        <v>WIND</v>
      </c>
      <c r="E2445" s="122" t="str">
        <f>IFERROR(__xludf.DUMMYFUNCTION("""COMPUTED_VALUE"""),"WindWorks")</f>
        <v>WindWorks</v>
      </c>
      <c r="F2445" s="122" t="str">
        <f>IFERROR(__xludf.DUMMYFUNCTION("""COMPUTED_VALUE"""),"Energy")</f>
        <v>Energy</v>
      </c>
    </row>
    <row r="2446">
      <c r="A2446" s="131">
        <f>IFERROR(__xludf.DUMMYFUNCTION("""COMPUTED_VALUE"""),46187.39880787037)</f>
        <v>46187.39881</v>
      </c>
      <c r="B2446" s="126">
        <f>IFERROR(__xludf.DUMMYFUNCTION("""COMPUTED_VALUE"""),46187.0)</f>
        <v>46187</v>
      </c>
      <c r="C2446" s="130">
        <f>IFERROR(__xludf.DUMMYFUNCTION("""COMPUTED_VALUE"""),0.39880787037037035)</f>
        <v>0.3988078704</v>
      </c>
      <c r="D2446" s="122" t="str">
        <f>IFERROR(__xludf.DUMMYFUNCTION("""COMPUTED_VALUE"""),"GRID")</f>
        <v>GRID</v>
      </c>
      <c r="E2446" s="122" t="str">
        <f>IFERROR(__xludf.DUMMYFUNCTION("""COMPUTED_VALUE"""),"GridPower")</f>
        <v>GridPower</v>
      </c>
      <c r="F2446" s="122" t="str">
        <f>IFERROR(__xludf.DUMMYFUNCTION("""COMPUTED_VALUE"""),"Energy")</f>
        <v>Energy</v>
      </c>
    </row>
    <row r="2447">
      <c r="A2447" s="131">
        <f>IFERROR(__xludf.DUMMYFUNCTION("""COMPUTED_VALUE"""),46187.39880787037)</f>
        <v>46187.39881</v>
      </c>
      <c r="B2447" s="126">
        <f>IFERROR(__xludf.DUMMYFUNCTION("""COMPUTED_VALUE"""),46187.0)</f>
        <v>46187</v>
      </c>
      <c r="C2447" s="130">
        <f>IFERROR(__xludf.DUMMYFUNCTION("""COMPUTED_VALUE"""),0.39880787037037035)</f>
        <v>0.3988078704</v>
      </c>
      <c r="D2447" s="122" t="str">
        <f>IFERROR(__xludf.DUMMYFUNCTION("""COMPUTED_VALUE"""),"HOME")</f>
        <v>HOME</v>
      </c>
      <c r="E2447" s="122" t="str">
        <f>IFERROR(__xludf.DUMMYFUNCTION("""COMPUTED_VALUE"""),"HomeHub")</f>
        <v>HomeHub</v>
      </c>
      <c r="F2447" s="122" t="str">
        <f>IFERROR(__xludf.DUMMYFUNCTION("""COMPUTED_VALUE"""),"Real Estate")</f>
        <v>Real Estate</v>
      </c>
    </row>
    <row r="2448">
      <c r="A2448" s="131">
        <f>IFERROR(__xludf.DUMMYFUNCTION("""COMPUTED_VALUE"""),46187.39880787037)</f>
        <v>46187.39881</v>
      </c>
      <c r="B2448" s="126">
        <f>IFERROR(__xludf.DUMMYFUNCTION("""COMPUTED_VALUE"""),46187.0)</f>
        <v>46187</v>
      </c>
      <c r="C2448" s="130">
        <f>IFERROR(__xludf.DUMMYFUNCTION("""COMPUTED_VALUE"""),0.39880787037037035)</f>
        <v>0.3988078704</v>
      </c>
      <c r="D2448" s="122" t="str">
        <f>IFERROR(__xludf.DUMMYFUNCTION("""COMPUTED_VALUE"""),"RENT")</f>
        <v>RENT</v>
      </c>
      <c r="E2448" s="122" t="str">
        <f>IFERROR(__xludf.DUMMYFUNCTION("""COMPUTED_VALUE"""),"RentRight")</f>
        <v>RentRight</v>
      </c>
      <c r="F2448" s="122" t="str">
        <f>IFERROR(__xludf.DUMMYFUNCTION("""COMPUTED_VALUE"""),"Real Estate")</f>
        <v>Real Estate</v>
      </c>
    </row>
    <row r="2449">
      <c r="A2449" s="131">
        <f>IFERROR(__xludf.DUMMYFUNCTION("""COMPUTED_VALUE"""),46187.39880787037)</f>
        <v>46187.39881</v>
      </c>
      <c r="B2449" s="126">
        <f>IFERROR(__xludf.DUMMYFUNCTION("""COMPUTED_VALUE"""),46187.0)</f>
        <v>46187</v>
      </c>
      <c r="C2449" s="130">
        <f>IFERROR(__xludf.DUMMYFUNCTION("""COMPUTED_VALUE"""),0.39880787037037035)</f>
        <v>0.3988078704</v>
      </c>
      <c r="D2449" s="122" t="str">
        <f>IFERROR(__xludf.DUMMYFUNCTION("""COMPUTED_VALUE"""),"MALL")</f>
        <v>MALL</v>
      </c>
      <c r="E2449" s="122" t="str">
        <f>IFERROR(__xludf.DUMMYFUNCTION("""COMPUTED_VALUE"""),"MegaMall")</f>
        <v>MegaMall</v>
      </c>
      <c r="F2449" s="122" t="str">
        <f>IFERROR(__xludf.DUMMYFUNCTION("""COMPUTED_VALUE"""),"Real Estate")</f>
        <v>Real Estate</v>
      </c>
    </row>
    <row r="2450">
      <c r="A2450" s="131">
        <f>IFERROR(__xludf.DUMMYFUNCTION("""COMPUTED_VALUE"""),46187.39880787037)</f>
        <v>46187.39881</v>
      </c>
      <c r="B2450" s="126">
        <f>IFERROR(__xludf.DUMMYFUNCTION("""COMPUTED_VALUE"""),46187.0)</f>
        <v>46187</v>
      </c>
      <c r="C2450" s="130">
        <f>IFERROR(__xludf.DUMMYFUNCTION("""COMPUTED_VALUE"""),0.39880787037037035)</f>
        <v>0.3988078704</v>
      </c>
      <c r="D2450" s="122" t="str">
        <f>IFERROR(__xludf.DUMMYFUNCTION("""COMPUTED_VALUE"""),"HOTL")</f>
        <v>HOTL</v>
      </c>
      <c r="E2450" s="122" t="str">
        <f>IFERROR(__xludf.DUMMYFUNCTION("""COMPUTED_VALUE"""),"HotelHive")</f>
        <v>HotelHive</v>
      </c>
      <c r="F2450" s="122" t="str">
        <f>IFERROR(__xludf.DUMMYFUNCTION("""COMPUTED_VALUE"""),"Real Estate")</f>
        <v>Real Estate</v>
      </c>
    </row>
    <row r="2451">
      <c r="A2451" s="131">
        <f>IFERROR(__xludf.DUMMYFUNCTION("""COMPUTED_VALUE"""),46187.39880787037)</f>
        <v>46187.39881</v>
      </c>
      <c r="B2451" s="126">
        <f>IFERROR(__xludf.DUMMYFUNCTION("""COMPUTED_VALUE"""),46187.0)</f>
        <v>46187</v>
      </c>
      <c r="C2451" s="130">
        <f>IFERROR(__xludf.DUMMYFUNCTION("""COMPUTED_VALUE"""),0.39880787037037035)</f>
        <v>0.3988078704</v>
      </c>
      <c r="D2451" s="122" t="str">
        <f>IFERROR(__xludf.DUMMYFUNCTION("""COMPUTED_VALUE"""),"LAND")</f>
        <v>LAND</v>
      </c>
      <c r="E2451" s="122" t="str">
        <f>IFERROR(__xludf.DUMMYFUNCTION("""COMPUTED_VALUE"""),"LandLink")</f>
        <v>LandLink</v>
      </c>
      <c r="F2451" s="122" t="str">
        <f>IFERROR(__xludf.DUMMYFUNCTION("""COMPUTED_VALUE"""),"Real Estate")</f>
        <v>Real Estate</v>
      </c>
    </row>
    <row r="2452">
      <c r="A2452" s="131">
        <f>IFERROR(__xludf.DUMMYFUNCTION("""COMPUTED_VALUE"""),46187.39880787037)</f>
        <v>46187.39881</v>
      </c>
      <c r="B2452" s="126">
        <f>IFERROR(__xludf.DUMMYFUNCTION("""COMPUTED_VALUE"""),46187.0)</f>
        <v>46187</v>
      </c>
      <c r="C2452" s="130">
        <f>IFERROR(__xludf.DUMMYFUNCTION("""COMPUTED_VALUE"""),0.39880787037037035)</f>
        <v>0.3988078704</v>
      </c>
      <c r="D2452" s="122" t="str">
        <f>IFERROR(__xludf.DUMMYFUNCTION("""COMPUTED_VALUE"""),"CARS")</f>
        <v>CARS</v>
      </c>
      <c r="E2452" s="122" t="str">
        <f>IFERROR(__xludf.DUMMYFUNCTION("""COMPUTED_VALUE"""),"AutoArena")</f>
        <v>AutoArena</v>
      </c>
      <c r="F2452" s="122" t="str">
        <f>IFERROR(__xludf.DUMMYFUNCTION("""COMPUTED_VALUE"""),"Automotive")</f>
        <v>Automotive</v>
      </c>
    </row>
    <row r="2453">
      <c r="A2453" s="131">
        <f>IFERROR(__xludf.DUMMYFUNCTION("""COMPUTED_VALUE"""),46187.39880787037)</f>
        <v>46187.39881</v>
      </c>
      <c r="B2453" s="126">
        <f>IFERROR(__xludf.DUMMYFUNCTION("""COMPUTED_VALUE"""),46187.0)</f>
        <v>46187</v>
      </c>
      <c r="C2453" s="130">
        <f>IFERROR(__xludf.DUMMYFUNCTION("""COMPUTED_VALUE"""),0.39880787037037035)</f>
        <v>0.3988078704</v>
      </c>
      <c r="D2453" s="122" t="str">
        <f>IFERROR(__xludf.DUMMYFUNCTION("""COMPUTED_VALUE"""),"EVGO")</f>
        <v>EVGO</v>
      </c>
      <c r="E2453" s="122" t="str">
        <f>IFERROR(__xludf.DUMMYFUNCTION("""COMPUTED_VALUE"""),"EVGo Motors")</f>
        <v>EVGo Motors</v>
      </c>
      <c r="F2453" s="122" t="str">
        <f>IFERROR(__xludf.DUMMYFUNCTION("""COMPUTED_VALUE"""),"Automotive")</f>
        <v>Automotive</v>
      </c>
    </row>
    <row r="2454">
      <c r="A2454" s="131">
        <f>IFERROR(__xludf.DUMMYFUNCTION("""COMPUTED_VALUE"""),46187.39880787037)</f>
        <v>46187.39881</v>
      </c>
      <c r="B2454" s="126">
        <f>IFERROR(__xludf.DUMMYFUNCTION("""COMPUTED_VALUE"""),46187.0)</f>
        <v>46187</v>
      </c>
      <c r="C2454" s="130">
        <f>IFERROR(__xludf.DUMMYFUNCTION("""COMPUTED_VALUE"""),0.39880787037037035)</f>
        <v>0.3988078704</v>
      </c>
      <c r="D2454" s="122" t="str">
        <f>IFERROR(__xludf.DUMMYFUNCTION("""COMPUTED_VALUE"""),"TIRE")</f>
        <v>TIRE</v>
      </c>
      <c r="E2454" s="122" t="str">
        <f>IFERROR(__xludf.DUMMYFUNCTION("""COMPUTED_VALUE"""),"TireTown")</f>
        <v>TireTown</v>
      </c>
      <c r="F2454" s="122" t="str">
        <f>IFERROR(__xludf.DUMMYFUNCTION("""COMPUTED_VALUE"""),"Automotive")</f>
        <v>Automotive</v>
      </c>
    </row>
    <row r="2455">
      <c r="A2455" s="131">
        <f>IFERROR(__xludf.DUMMYFUNCTION("""COMPUTED_VALUE"""),46187.39880787037)</f>
        <v>46187.39881</v>
      </c>
      <c r="B2455" s="126">
        <f>IFERROR(__xludf.DUMMYFUNCTION("""COMPUTED_VALUE"""),46187.0)</f>
        <v>46187</v>
      </c>
      <c r="C2455" s="130">
        <f>IFERROR(__xludf.DUMMYFUNCTION("""COMPUTED_VALUE"""),0.39880787037037035)</f>
        <v>0.3988078704</v>
      </c>
      <c r="D2455" s="122" t="str">
        <f>IFERROR(__xludf.DUMMYFUNCTION("""COMPUTED_VALUE"""),"BIKE")</f>
        <v>BIKE</v>
      </c>
      <c r="E2455" s="122" t="str">
        <f>IFERROR(__xludf.DUMMYFUNCTION("""COMPUTED_VALUE"""),"BikeBox")</f>
        <v>BikeBox</v>
      </c>
      <c r="F2455" s="122" t="str">
        <f>IFERROR(__xludf.DUMMYFUNCTION("""COMPUTED_VALUE"""),"Automotive")</f>
        <v>Automotive</v>
      </c>
    </row>
    <row r="2456">
      <c r="A2456" s="131">
        <f>IFERROR(__xludf.DUMMYFUNCTION("""COMPUTED_VALUE"""),46187.39880787037)</f>
        <v>46187.39881</v>
      </c>
      <c r="B2456" s="126">
        <f>IFERROR(__xludf.DUMMYFUNCTION("""COMPUTED_VALUE"""),46187.0)</f>
        <v>46187</v>
      </c>
      <c r="C2456" s="130">
        <f>IFERROR(__xludf.DUMMYFUNCTION("""COMPUTED_VALUE"""),0.39880787037037035)</f>
        <v>0.3988078704</v>
      </c>
      <c r="D2456" s="122" t="str">
        <f>IFERROR(__xludf.DUMMYFUNCTION("""COMPUTED_VALUE"""),"WASH")</f>
        <v>WASH</v>
      </c>
      <c r="E2456" s="122" t="str">
        <f>IFERROR(__xludf.DUMMYFUNCTION("""COMPUTED_VALUE"""),"CarWash Co")</f>
        <v>CarWash Co</v>
      </c>
      <c r="F2456" s="122" t="str">
        <f>IFERROR(__xludf.DUMMYFUNCTION("""COMPUTED_VALUE"""),"Automotive")</f>
        <v>Automotive</v>
      </c>
    </row>
    <row r="2457">
      <c r="A2457" s="131">
        <f>IFERROR(__xludf.DUMMYFUNCTION("""COMPUTED_VALUE"""),46187.39880787037)</f>
        <v>46187.39881</v>
      </c>
      <c r="B2457" s="126">
        <f>IFERROR(__xludf.DUMMYFUNCTION("""COMPUTED_VALUE"""),46187.0)</f>
        <v>46187</v>
      </c>
      <c r="C2457" s="130">
        <f>IFERROR(__xludf.DUMMYFUNCTION("""COMPUTED_VALUE"""),0.39880787037037035)</f>
        <v>0.3988078704</v>
      </c>
      <c r="D2457" s="122" t="str">
        <f>IFERROR(__xludf.DUMMYFUNCTION("""COMPUTED_VALUE"""),"GBND")</f>
        <v>GBND</v>
      </c>
      <c r="E2457" s="122" t="str">
        <f>IFERROR(__xludf.DUMMYFUNCTION("""COMPUTED_VALUE"""),"Classroom Government Bond")</f>
        <v>Classroom Government Bond</v>
      </c>
      <c r="F2457" s="122" t="str">
        <f>IFERROR(__xludf.DUMMYFUNCTION("""COMPUTED_VALUE"""),"Bond")</f>
        <v>Bond</v>
      </c>
    </row>
    <row r="2458">
      <c r="A2458" s="131">
        <f>IFERROR(__xludf.DUMMYFUNCTION("""COMPUTED_VALUE"""),46187.39880787037)</f>
        <v>46187.39881</v>
      </c>
      <c r="B2458" s="126">
        <f>IFERROR(__xludf.DUMMYFUNCTION("""COMPUTED_VALUE"""),46187.0)</f>
        <v>46187</v>
      </c>
      <c r="C2458" s="130">
        <f>IFERROR(__xludf.DUMMYFUNCTION("""COMPUTED_VALUE"""),0.39880787037037035)</f>
        <v>0.3988078704</v>
      </c>
      <c r="D2458" s="122" t="str">
        <f>IFERROR(__xludf.DUMMYFUNCTION("""COMPUTED_VALUE"""),"SBND")</f>
        <v>SBND</v>
      </c>
      <c r="E2458" s="122" t="str">
        <f>IFERROR(__xludf.DUMMYFUNCTION("""COMPUTED_VALUE"""),"School Savings Bond")</f>
        <v>School Savings Bond</v>
      </c>
      <c r="F2458" s="122" t="str">
        <f>IFERROR(__xludf.DUMMYFUNCTION("""COMPUTED_VALUE"""),"Bond")</f>
        <v>Bond</v>
      </c>
    </row>
    <row r="2459">
      <c r="A2459" s="131">
        <f>IFERROR(__xludf.DUMMYFUNCTION("""COMPUTED_VALUE"""),46187.39880787037)</f>
        <v>46187.39881</v>
      </c>
      <c r="B2459" s="126">
        <f>IFERROR(__xludf.DUMMYFUNCTION("""COMPUTED_VALUE"""),46187.0)</f>
        <v>46187</v>
      </c>
      <c r="C2459" s="130">
        <f>IFERROR(__xludf.DUMMYFUNCTION("""COMPUTED_VALUE"""),0.39880787037037035)</f>
        <v>0.3988078704</v>
      </c>
      <c r="D2459" s="122" t="str">
        <f>IFERROR(__xludf.DUMMYFUNCTION("""COMPUTED_VALUE"""),"CBND")</f>
        <v>CBND</v>
      </c>
      <c r="E2459" s="122" t="str">
        <f>IFERROR(__xludf.DUMMYFUNCTION("""COMPUTED_VALUE"""),"Corporate Classroom Bond")</f>
        <v>Corporate Classroom Bond</v>
      </c>
      <c r="F2459" s="122" t="str">
        <f>IFERROR(__xludf.DUMMYFUNCTION("""COMPUTED_VALUE"""),"Bond")</f>
        <v>Bond</v>
      </c>
    </row>
    <row r="2460">
      <c r="A2460" s="131">
        <f>IFERROR(__xludf.DUMMYFUNCTION("""COMPUTED_VALUE"""),46187.39880787037)</f>
        <v>46187.39881</v>
      </c>
      <c r="B2460" s="126">
        <f>IFERROR(__xludf.DUMMYFUNCTION("""COMPUTED_VALUE"""),46187.0)</f>
        <v>46187</v>
      </c>
      <c r="C2460" s="130">
        <f>IFERROR(__xludf.DUMMYFUNCTION("""COMPUTED_VALUE"""),0.39880787037037035)</f>
        <v>0.3988078704</v>
      </c>
      <c r="D2460" s="122" t="str">
        <f>IFERROR(__xludf.DUMMYFUNCTION("""COMPUTED_VALUE"""),"TBIL")</f>
        <v>TBIL</v>
      </c>
      <c r="E2460" s="122" t="str">
        <f>IFERROR(__xludf.DUMMYFUNCTION("""COMPUTED_VALUE"""),"Treasury Bill")</f>
        <v>Treasury Bill</v>
      </c>
      <c r="F2460" s="122" t="str">
        <f>IFERROR(__xludf.DUMMYFUNCTION("""COMPUTED_VALUE"""),"Bond")</f>
        <v>Bond</v>
      </c>
    </row>
    <row r="2461">
      <c r="A2461" s="131">
        <f>IFERROR(__xludf.DUMMYFUNCTION("""COMPUTED_VALUE"""),46187.39880787037)</f>
        <v>46187.39881</v>
      </c>
      <c r="B2461" s="126">
        <f>IFERROR(__xludf.DUMMYFUNCTION("""COMPUTED_VALUE"""),46187.0)</f>
        <v>46187</v>
      </c>
      <c r="C2461" s="130">
        <f>IFERROR(__xludf.DUMMYFUNCTION("""COMPUTED_VALUE"""),0.39880787037037035)</f>
        <v>0.3988078704</v>
      </c>
      <c r="D2461" s="122" t="str">
        <f>IFERROR(__xludf.DUMMYFUNCTION("""COMPUTED_VALUE"""),"IBND")</f>
        <v>IBND</v>
      </c>
      <c r="E2461" s="122" t="str">
        <f>IFERROR(__xludf.DUMMYFUNCTION("""COMPUTED_VALUE"""),"Inflation Protected Bond")</f>
        <v>Inflation Protected Bond</v>
      </c>
      <c r="F2461" s="122" t="str">
        <f>IFERROR(__xludf.DUMMYFUNCTION("""COMPUTED_VALUE"""),"Bond")</f>
        <v>Bond</v>
      </c>
    </row>
    <row r="2462">
      <c r="A2462" s="131">
        <f>IFERROR(__xludf.DUMMYFUNCTION("""COMPUTED_VALUE"""),46187.40081018519)</f>
        <v>46187.40081</v>
      </c>
      <c r="B2462" s="126">
        <f>IFERROR(__xludf.DUMMYFUNCTION("""COMPUTED_VALUE"""),46187.0)</f>
        <v>46187</v>
      </c>
      <c r="C2462" s="122" t="str">
        <f>IFERROR(__xludf.DUMMYFUNCTION("""COMPUTED_VALUE"""),"SNAX")</f>
        <v>SNAX</v>
      </c>
      <c r="D2462" s="122" t="str">
        <f>IFERROR(__xludf.DUMMYFUNCTION("""COMPUTED_VALUE"""),"MICA Snacks")</f>
        <v>MICA Snacks</v>
      </c>
      <c r="E2462" s="122">
        <f>IFERROR(__xludf.DUMMYFUNCTION("""COMPUTED_VALUE"""),119.23)</f>
        <v>119.23</v>
      </c>
      <c r="F2462" s="122">
        <f>IFERROR(__xludf.DUMMYFUNCTION("""COMPUTED_VALUE"""),-0.0038)</f>
        <v>-0.0038</v>
      </c>
    </row>
    <row r="2463">
      <c r="A2463" s="131">
        <f>IFERROR(__xludf.DUMMYFUNCTION("""COMPUTED_VALUE"""),46187.40081018519)</f>
        <v>46187.40081</v>
      </c>
      <c r="B2463" s="126">
        <f>IFERROR(__xludf.DUMMYFUNCTION("""COMPUTED_VALUE"""),46187.0)</f>
        <v>46187</v>
      </c>
      <c r="C2463" s="122" t="str">
        <f>IFERROR(__xludf.DUMMYFUNCTION("""COMPUTED_VALUE"""),"RAMN")</f>
        <v>RAMN</v>
      </c>
      <c r="D2463" s="122" t="str">
        <f>IFERROR(__xludf.DUMMYFUNCTION("""COMPUTED_VALUE"""),"Ramen Republic")</f>
        <v>Ramen Republic</v>
      </c>
      <c r="E2463" s="122">
        <f>IFERROR(__xludf.DUMMYFUNCTION("""COMPUTED_VALUE"""),74.45)</f>
        <v>74.45</v>
      </c>
      <c r="F2463" s="122">
        <f>IFERROR(__xludf.DUMMYFUNCTION("""COMPUTED_VALUE"""),-0.0027)</f>
        <v>-0.0027</v>
      </c>
    </row>
    <row r="2464">
      <c r="A2464" s="131">
        <f>IFERROR(__xludf.DUMMYFUNCTION("""COMPUTED_VALUE"""),46187.40081018519)</f>
        <v>46187.40081</v>
      </c>
      <c r="B2464" s="126">
        <f>IFERROR(__xludf.DUMMYFUNCTION("""COMPUTED_VALUE"""),46187.0)</f>
        <v>46187</v>
      </c>
      <c r="C2464" s="122" t="str">
        <f>IFERROR(__xludf.DUMMYFUNCTION("""COMPUTED_VALUE"""),"COLA")</f>
        <v>COLA</v>
      </c>
      <c r="D2464" s="122" t="str">
        <f>IFERROR(__xludf.DUMMYFUNCTION("""COMPUTED_VALUE"""),"K-Pop Cola")</f>
        <v>K-Pop Cola</v>
      </c>
      <c r="E2464" s="122">
        <f>IFERROR(__xludf.DUMMYFUNCTION("""COMPUTED_VALUE"""),106.4)</f>
        <v>106.4</v>
      </c>
      <c r="F2464" s="122">
        <f>IFERROR(__xludf.DUMMYFUNCTION("""COMPUTED_VALUE"""),0.0047)</f>
        <v>0.0047</v>
      </c>
    </row>
    <row r="2465">
      <c r="A2465" s="131">
        <f>IFERROR(__xludf.DUMMYFUNCTION("""COMPUTED_VALUE"""),46187.40081018519)</f>
        <v>46187.40081</v>
      </c>
      <c r="B2465" s="126">
        <f>IFERROR(__xludf.DUMMYFUNCTION("""COMPUTED_VALUE"""),46187.0)</f>
        <v>46187</v>
      </c>
      <c r="C2465" s="122" t="str">
        <f>IFERROR(__xludf.DUMMYFUNCTION("""COMPUTED_VALUE"""),"CHIP")</f>
        <v>CHIP</v>
      </c>
      <c r="D2465" s="122" t="str">
        <f>IFERROR(__xludf.DUMMYFUNCTION("""COMPUTED_VALUE"""),"Chip Empire")</f>
        <v>Chip Empire</v>
      </c>
      <c r="E2465" s="122">
        <f>IFERROR(__xludf.DUMMYFUNCTION("""COMPUTED_VALUE"""),87.56)</f>
        <v>87.56</v>
      </c>
      <c r="F2465" s="122">
        <f>IFERROR(__xludf.DUMMYFUNCTION("""COMPUTED_VALUE"""),-0.0013)</f>
        <v>-0.0013</v>
      </c>
    </row>
    <row r="2466">
      <c r="A2466" s="131">
        <f>IFERROR(__xludf.DUMMYFUNCTION("""COMPUTED_VALUE"""),46187.40081018519)</f>
        <v>46187.40081</v>
      </c>
      <c r="B2466" s="126">
        <f>IFERROR(__xludf.DUMMYFUNCTION("""COMPUTED_VALUE"""),46187.0)</f>
        <v>46187</v>
      </c>
      <c r="C2466" s="122" t="str">
        <f>IFERROR(__xludf.DUMMYFUNCTION("""COMPUTED_VALUE"""),"CAND")</f>
        <v>CAND</v>
      </c>
      <c r="D2466" s="122" t="str">
        <f>IFERROR(__xludf.DUMMYFUNCTION("""COMPUTED_VALUE"""),"Candy Capital")</f>
        <v>Candy Capital</v>
      </c>
      <c r="E2466" s="122">
        <f>IFERROR(__xludf.DUMMYFUNCTION("""COMPUTED_VALUE"""),75.63)</f>
        <v>75.63</v>
      </c>
      <c r="F2466" s="122">
        <f>IFERROR(__xludf.DUMMYFUNCTION("""COMPUTED_VALUE"""),0.0084)</f>
        <v>0.0084</v>
      </c>
    </row>
    <row r="2467">
      <c r="A2467" s="131">
        <f>IFERROR(__xludf.DUMMYFUNCTION("""COMPUTED_VALUE"""),46187.40081018519)</f>
        <v>46187.40081</v>
      </c>
      <c r="B2467" s="126">
        <f>IFERROR(__xludf.DUMMYFUNCTION("""COMPUTED_VALUE"""),46187.0)</f>
        <v>46187</v>
      </c>
      <c r="C2467" s="122" t="str">
        <f>IFERROR(__xludf.DUMMYFUNCTION("""COMPUTED_VALUE"""),"TECH")</f>
        <v>TECH</v>
      </c>
      <c r="D2467" s="122" t="str">
        <f>IFERROR(__xludf.DUMMYFUNCTION("""COMPUTED_VALUE"""),"Dragon Tech")</f>
        <v>Dragon Tech</v>
      </c>
      <c r="E2467" s="122">
        <f>IFERROR(__xludf.DUMMYFUNCTION("""COMPUTED_VALUE"""),235.99)</f>
        <v>235.99</v>
      </c>
      <c r="F2467" s="122">
        <f>IFERROR(__xludf.DUMMYFUNCTION("""COMPUTED_VALUE"""),0.0072)</f>
        <v>0.0072</v>
      </c>
    </row>
    <row r="2468">
      <c r="A2468" s="131">
        <f>IFERROR(__xludf.DUMMYFUNCTION("""COMPUTED_VALUE"""),46187.40081018519)</f>
        <v>46187.40081</v>
      </c>
      <c r="B2468" s="126">
        <f>IFERROR(__xludf.DUMMYFUNCTION("""COMPUTED_VALUE"""),46187.0)</f>
        <v>46187</v>
      </c>
      <c r="C2468" s="122" t="str">
        <f>IFERROR(__xludf.DUMMYFUNCTION("""COMPUTED_VALUE"""),"AIBO")</f>
        <v>AIBO</v>
      </c>
      <c r="D2468" s="122" t="str">
        <f>IFERROR(__xludf.DUMMYFUNCTION("""COMPUTED_VALUE"""),"Homework AI")</f>
        <v>Homework AI</v>
      </c>
      <c r="E2468" s="122">
        <f>IFERROR(__xludf.DUMMYFUNCTION("""COMPUTED_VALUE"""),168.59)</f>
        <v>168.59</v>
      </c>
      <c r="F2468" s="122">
        <f>IFERROR(__xludf.DUMMYFUNCTION("""COMPUTED_VALUE"""),0.0026)</f>
        <v>0.0026</v>
      </c>
    </row>
    <row r="2469">
      <c r="A2469" s="131">
        <f>IFERROR(__xludf.DUMMYFUNCTION("""COMPUTED_VALUE"""),46187.40081018519)</f>
        <v>46187.40081</v>
      </c>
      <c r="B2469" s="126">
        <f>IFERROR(__xludf.DUMMYFUNCTION("""COMPUTED_VALUE"""),46187.0)</f>
        <v>46187</v>
      </c>
      <c r="C2469" s="122" t="str">
        <f>IFERROR(__xludf.DUMMYFUNCTION("""COMPUTED_VALUE"""),"GAME")</f>
        <v>GAME</v>
      </c>
      <c r="D2469" s="122" t="str">
        <f>IFERROR(__xludf.DUMMYFUNCTION("""COMPUTED_VALUE"""),"GameBox Media")</f>
        <v>GameBox Media</v>
      </c>
      <c r="E2469" s="122">
        <f>IFERROR(__xludf.DUMMYFUNCTION("""COMPUTED_VALUE"""),93.7)</f>
        <v>93.7</v>
      </c>
      <c r="F2469" s="122">
        <f>IFERROR(__xludf.DUMMYFUNCTION("""COMPUTED_VALUE"""),0.0025)</f>
        <v>0.0025</v>
      </c>
    </row>
    <row r="2470">
      <c r="A2470" s="131">
        <f>IFERROR(__xludf.DUMMYFUNCTION("""COMPUTED_VALUE"""),46187.40081018519)</f>
        <v>46187.40081</v>
      </c>
      <c r="B2470" s="126">
        <f>IFERROR(__xludf.DUMMYFUNCTION("""COMPUTED_VALUE"""),46187.0)</f>
        <v>46187</v>
      </c>
      <c r="C2470" s="122" t="str">
        <f>IFERROR(__xludf.DUMMYFUNCTION("""COMPUTED_VALUE"""),"VRSE")</f>
        <v>VRSE</v>
      </c>
      <c r="D2470" s="122" t="str">
        <f>IFERROR(__xludf.DUMMYFUNCTION("""COMPUTED_VALUE"""),"VerseVR")</f>
        <v>VerseVR</v>
      </c>
      <c r="E2470" s="122">
        <f>IFERROR(__xludf.DUMMYFUNCTION("""COMPUTED_VALUE"""),145.96)</f>
        <v>145.96</v>
      </c>
      <c r="F2470" s="122">
        <f>IFERROR(__xludf.DUMMYFUNCTION("""COMPUTED_VALUE"""),0.0079)</f>
        <v>0.0079</v>
      </c>
    </row>
    <row r="2471">
      <c r="A2471" s="131">
        <f>IFERROR(__xludf.DUMMYFUNCTION("""COMPUTED_VALUE"""),46187.40081018519)</f>
        <v>46187.40081</v>
      </c>
      <c r="B2471" s="126">
        <f>IFERROR(__xludf.DUMMYFUNCTION("""COMPUTED_VALUE"""),46187.0)</f>
        <v>46187</v>
      </c>
      <c r="C2471" s="122" t="str">
        <f>IFERROR(__xludf.DUMMYFUNCTION("""COMPUTED_VALUE"""),"BYTE")</f>
        <v>BYTE</v>
      </c>
      <c r="D2471" s="122" t="str">
        <f>IFERROR(__xludf.DUMMYFUNCTION("""COMPUTED_VALUE"""),"ByteWorks")</f>
        <v>ByteWorks</v>
      </c>
      <c r="E2471" s="122">
        <f>IFERROR(__xludf.DUMMYFUNCTION("""COMPUTED_VALUE"""),110.3)</f>
        <v>110.3</v>
      </c>
      <c r="F2471" s="122">
        <f>IFERROR(__xludf.DUMMYFUNCTION("""COMPUTED_VALUE"""),0.0091)</f>
        <v>0.0091</v>
      </c>
    </row>
    <row r="2472">
      <c r="A2472" s="131">
        <f>IFERROR(__xludf.DUMMYFUNCTION("""COMPUTED_VALUE"""),46187.40081018519)</f>
        <v>46187.40081</v>
      </c>
      <c r="B2472" s="126">
        <f>IFERROR(__xludf.DUMMYFUNCTION("""COMPUTED_VALUE"""),46187.0)</f>
        <v>46187</v>
      </c>
      <c r="C2472" s="122" t="str">
        <f>IFERROR(__xludf.DUMMYFUNCTION("""COMPUTED_VALUE"""),"BANK")</f>
        <v>BANK</v>
      </c>
      <c r="D2472" s="122" t="str">
        <f>IFERROR(__xludf.DUMMYFUNCTION("""COMPUTED_VALUE"""),"Tiger Bank")</f>
        <v>Tiger Bank</v>
      </c>
      <c r="E2472" s="122">
        <f>IFERROR(__xludf.DUMMYFUNCTION("""COMPUTED_VALUE"""),124.68)</f>
        <v>124.68</v>
      </c>
      <c r="F2472" s="122">
        <f>IFERROR(__xludf.DUMMYFUNCTION("""COMPUTED_VALUE"""),0.0012)</f>
        <v>0.0012</v>
      </c>
    </row>
    <row r="2473">
      <c r="A2473" s="131">
        <f>IFERROR(__xludf.DUMMYFUNCTION("""COMPUTED_VALUE"""),46187.40081018519)</f>
        <v>46187.40081</v>
      </c>
      <c r="B2473" s="126">
        <f>IFERROR(__xludf.DUMMYFUNCTION("""COMPUTED_VALUE"""),46187.0)</f>
        <v>46187</v>
      </c>
      <c r="C2473" s="122" t="str">
        <f>IFERROR(__xludf.DUMMYFUNCTION("""COMPUTED_VALUE"""),"CRED")</f>
        <v>CRED</v>
      </c>
      <c r="D2473" s="122" t="str">
        <f>IFERROR(__xludf.DUMMYFUNCTION("""COMPUTED_VALUE"""),"Credit Castle")</f>
        <v>Credit Castle</v>
      </c>
      <c r="E2473" s="122">
        <f>IFERROR(__xludf.DUMMYFUNCTION("""COMPUTED_VALUE"""),68.71)</f>
        <v>68.71</v>
      </c>
      <c r="F2473" s="122">
        <f>IFERROR(__xludf.DUMMYFUNCTION("""COMPUTED_VALUE"""),0.0039)</f>
        <v>0.0039</v>
      </c>
    </row>
    <row r="2474">
      <c r="A2474" s="131">
        <f>IFERROR(__xludf.DUMMYFUNCTION("""COMPUTED_VALUE"""),46187.40081018519)</f>
        <v>46187.40081</v>
      </c>
      <c r="B2474" s="126">
        <f>IFERROR(__xludf.DUMMYFUNCTION("""COMPUTED_VALUE"""),46187.0)</f>
        <v>46187</v>
      </c>
      <c r="C2474" s="122" t="str">
        <f>IFERROR(__xludf.DUMMYFUNCTION("""COMPUTED_VALUE"""),"BOND")</f>
        <v>BOND</v>
      </c>
      <c r="D2474" s="122" t="str">
        <f>IFERROR(__xludf.DUMMYFUNCTION("""COMPUTED_VALUE"""),"BondBridge")</f>
        <v>BondBridge</v>
      </c>
      <c r="E2474" s="122">
        <f>IFERROR(__xludf.DUMMYFUNCTION("""COMPUTED_VALUE"""),97.03)</f>
        <v>97.03</v>
      </c>
      <c r="F2474" s="122">
        <f>IFERROR(__xludf.DUMMYFUNCTION("""COMPUTED_VALUE"""),0.0014)</f>
        <v>0.0014</v>
      </c>
    </row>
    <row r="2475">
      <c r="A2475" s="131">
        <f>IFERROR(__xludf.DUMMYFUNCTION("""COMPUTED_VALUE"""),46187.40081018519)</f>
        <v>46187.40081</v>
      </c>
      <c r="B2475" s="126">
        <f>IFERROR(__xludf.DUMMYFUNCTION("""COMPUTED_VALUE"""),46187.0)</f>
        <v>46187</v>
      </c>
      <c r="C2475" s="122" t="str">
        <f>IFERROR(__xludf.DUMMYFUNCTION("""COMPUTED_VALUE"""),"INSR")</f>
        <v>INSR</v>
      </c>
      <c r="D2475" s="122" t="str">
        <f>IFERROR(__xludf.DUMMYFUNCTION("""COMPUTED_VALUE"""),"Shield Insurance")</f>
        <v>Shield Insurance</v>
      </c>
      <c r="E2475" s="122">
        <f>IFERROR(__xludf.DUMMYFUNCTION("""COMPUTED_VALUE"""),158.22)</f>
        <v>158.22</v>
      </c>
      <c r="F2475" s="122">
        <f>IFERROR(__xludf.DUMMYFUNCTION("""COMPUTED_VALUE"""),0.0037)</f>
        <v>0.0037</v>
      </c>
    </row>
    <row r="2476">
      <c r="A2476" s="131">
        <f>IFERROR(__xludf.DUMMYFUNCTION("""COMPUTED_VALUE"""),46187.40081018519)</f>
        <v>46187.40081</v>
      </c>
      <c r="B2476" s="126">
        <f>IFERROR(__xludf.DUMMYFUNCTION("""COMPUTED_VALUE"""),46187.0)</f>
        <v>46187</v>
      </c>
      <c r="C2476" s="122" t="str">
        <f>IFERROR(__xludf.DUMMYFUNCTION("""COMPUTED_VALUE"""),"LOAN")</f>
        <v>LOAN</v>
      </c>
      <c r="D2476" s="122" t="str">
        <f>IFERROR(__xludf.DUMMYFUNCTION("""COMPUTED_VALUE"""),"LoanLab")</f>
        <v>LoanLab</v>
      </c>
      <c r="E2476" s="122">
        <f>IFERROR(__xludf.DUMMYFUNCTION("""COMPUTED_VALUE"""),62.21)</f>
        <v>62.21</v>
      </c>
      <c r="F2476" s="122">
        <f>IFERROR(__xludf.DUMMYFUNCTION("""COMPUTED_VALUE"""),0.006)</f>
        <v>0.006</v>
      </c>
    </row>
    <row r="2477">
      <c r="A2477" s="131">
        <f>IFERROR(__xludf.DUMMYFUNCTION("""COMPUTED_VALUE"""),46187.40081018519)</f>
        <v>46187.40081</v>
      </c>
      <c r="B2477" s="126">
        <f>IFERROR(__xludf.DUMMYFUNCTION("""COMPUTED_VALUE"""),46187.0)</f>
        <v>46187</v>
      </c>
      <c r="C2477" s="122" t="str">
        <f>IFERROR(__xludf.DUMMYFUNCTION("""COMPUTED_VALUE"""),"LUXE")</f>
        <v>LUXE</v>
      </c>
      <c r="D2477" s="122" t="str">
        <f>IFERROR(__xludf.DUMMYFUNCTION("""COMPUTED_VALUE"""),"Luxury Locker")</f>
        <v>Luxury Locker</v>
      </c>
      <c r="E2477" s="122">
        <f>IFERROR(__xludf.DUMMYFUNCTION("""COMPUTED_VALUE"""),259.44)</f>
        <v>259.44</v>
      </c>
      <c r="F2477" s="122">
        <f>IFERROR(__xludf.DUMMYFUNCTION("""COMPUTED_VALUE"""),-0.0047)</f>
        <v>-0.0047</v>
      </c>
    </row>
    <row r="2478">
      <c r="A2478" s="131">
        <f>IFERROR(__xludf.DUMMYFUNCTION("""COMPUTED_VALUE"""),46187.40081018519)</f>
        <v>46187.40081</v>
      </c>
      <c r="B2478" s="126">
        <f>IFERROR(__xludf.DUMMYFUNCTION("""COMPUTED_VALUE"""),46187.0)</f>
        <v>46187</v>
      </c>
      <c r="C2478" s="122" t="str">
        <f>IFERROR(__xludf.DUMMYFUNCTION("""COMPUTED_VALUE"""),"DRIP")</f>
        <v>DRIP</v>
      </c>
      <c r="D2478" s="122" t="str">
        <f>IFERROR(__xludf.DUMMYFUNCTION("""COMPUTED_VALUE"""),"Drip Streetwear")</f>
        <v>Drip Streetwear</v>
      </c>
      <c r="E2478" s="122">
        <f>IFERROR(__xludf.DUMMYFUNCTION("""COMPUTED_VALUE"""),202.22)</f>
        <v>202.22</v>
      </c>
      <c r="F2478" s="122">
        <f>IFERROR(__xludf.DUMMYFUNCTION("""COMPUTED_VALUE"""),0.0092)</f>
        <v>0.0092</v>
      </c>
    </row>
    <row r="2479">
      <c r="A2479" s="131">
        <f>IFERROR(__xludf.DUMMYFUNCTION("""COMPUTED_VALUE"""),46187.40081018519)</f>
        <v>46187.40081</v>
      </c>
      <c r="B2479" s="126">
        <f>IFERROR(__xludf.DUMMYFUNCTION("""COMPUTED_VALUE"""),46187.0)</f>
        <v>46187</v>
      </c>
      <c r="C2479" s="122" t="str">
        <f>IFERROR(__xludf.DUMMYFUNCTION("""COMPUTED_VALUE"""),"KICK")</f>
        <v>KICK</v>
      </c>
      <c r="D2479" s="122" t="str">
        <f>IFERROR(__xludf.DUMMYFUNCTION("""COMPUTED_VALUE"""),"KickDrop Sneakers")</f>
        <v>KickDrop Sneakers</v>
      </c>
      <c r="E2479" s="122">
        <f>IFERROR(__xludf.DUMMYFUNCTION("""COMPUTED_VALUE"""),173.15)</f>
        <v>173.15</v>
      </c>
      <c r="F2479" s="122">
        <f>IFERROR(__xludf.DUMMYFUNCTION("""COMPUTED_VALUE"""),-0.0027)</f>
        <v>-0.0027</v>
      </c>
    </row>
    <row r="2480">
      <c r="A2480" s="131">
        <f>IFERROR(__xludf.DUMMYFUNCTION("""COMPUTED_VALUE"""),46187.40081018519)</f>
        <v>46187.40081</v>
      </c>
      <c r="B2480" s="126">
        <f>IFERROR(__xludf.DUMMYFUNCTION("""COMPUTED_VALUE"""),46187.0)</f>
        <v>46187</v>
      </c>
      <c r="C2480" s="122" t="str">
        <f>IFERROR(__xludf.DUMMYFUNCTION("""COMPUTED_VALUE"""),"GLAM")</f>
        <v>GLAM</v>
      </c>
      <c r="D2480" s="122" t="str">
        <f>IFERROR(__xludf.DUMMYFUNCTION("""COMPUTED_VALUE"""),"Glow Cosmetics")</f>
        <v>Glow Cosmetics</v>
      </c>
      <c r="E2480" s="122">
        <f>IFERROR(__xludf.DUMMYFUNCTION("""COMPUTED_VALUE"""),96.74)</f>
        <v>96.74</v>
      </c>
      <c r="F2480" s="122">
        <f>IFERROR(__xludf.DUMMYFUNCTION("""COMPUTED_VALUE"""),6.0E-4)</f>
        <v>0.0006</v>
      </c>
    </row>
    <row r="2481">
      <c r="A2481" s="131">
        <f>IFERROR(__xludf.DUMMYFUNCTION("""COMPUTED_VALUE"""),46187.40081018519)</f>
        <v>46187.40081</v>
      </c>
      <c r="B2481" s="126">
        <f>IFERROR(__xludf.DUMMYFUNCTION("""COMPUTED_VALUE"""),46187.0)</f>
        <v>46187</v>
      </c>
      <c r="C2481" s="122" t="str">
        <f>IFERROR(__xludf.DUMMYFUNCTION("""COMPUTED_VALUE"""),"BAGG")</f>
        <v>BAGG</v>
      </c>
      <c r="D2481" s="122" t="str">
        <f>IFERROR(__xludf.DUMMYFUNCTION("""COMPUTED_VALUE"""),"BagVault")</f>
        <v>BagVault</v>
      </c>
      <c r="E2481" s="122">
        <f>IFERROR(__xludf.DUMMYFUNCTION("""COMPUTED_VALUE"""),248.2)</f>
        <v>248.2</v>
      </c>
      <c r="F2481" s="122">
        <f>IFERROR(__xludf.DUMMYFUNCTION("""COMPUTED_VALUE"""),0.0021)</f>
        <v>0.0021</v>
      </c>
    </row>
    <row r="2482">
      <c r="A2482" s="131">
        <f>IFERROR(__xludf.DUMMYFUNCTION("""COMPUTED_VALUE"""),46187.40081018519)</f>
        <v>46187.40081</v>
      </c>
      <c r="B2482" s="126">
        <f>IFERROR(__xludf.DUMMYFUNCTION("""COMPUTED_VALUE"""),46187.0)</f>
        <v>46187</v>
      </c>
      <c r="C2482" s="122" t="str">
        <f>IFERROR(__xludf.DUMMYFUNCTION("""COMPUTED_VALUE"""),"FAST")</f>
        <v>FAST</v>
      </c>
      <c r="D2482" s="122" t="str">
        <f>IFERROR(__xludf.DUMMYFUNCTION("""COMPUTED_VALUE"""),"Flash Logistics")</f>
        <v>Flash Logistics</v>
      </c>
      <c r="E2482" s="122">
        <f>IFERROR(__xludf.DUMMYFUNCTION("""COMPUTED_VALUE"""),102.2)</f>
        <v>102.2</v>
      </c>
      <c r="F2482" s="122">
        <f>IFERROR(__xludf.DUMMYFUNCTION("""COMPUTED_VALUE"""),0.0017)</f>
        <v>0.0017</v>
      </c>
    </row>
    <row r="2483">
      <c r="A2483" s="131">
        <f>IFERROR(__xludf.DUMMYFUNCTION("""COMPUTED_VALUE"""),46187.40081018519)</f>
        <v>46187.40081</v>
      </c>
      <c r="B2483" s="126">
        <f>IFERROR(__xludf.DUMMYFUNCTION("""COMPUTED_VALUE"""),46187.0)</f>
        <v>46187</v>
      </c>
      <c r="C2483" s="122" t="str">
        <f>IFERROR(__xludf.DUMMYFUNCTION("""COMPUTED_VALUE"""),"SHIP")</f>
        <v>SHIP</v>
      </c>
      <c r="D2483" s="122" t="str">
        <f>IFERROR(__xludf.DUMMYFUNCTION("""COMPUTED_VALUE"""),"Seoul Shipping")</f>
        <v>Seoul Shipping</v>
      </c>
      <c r="E2483" s="122">
        <f>IFERROR(__xludf.DUMMYFUNCTION("""COMPUTED_VALUE"""),117.01)</f>
        <v>117.01</v>
      </c>
      <c r="F2483" s="122">
        <f>IFERROR(__xludf.DUMMYFUNCTION("""COMPUTED_VALUE"""),7.0E-4)</f>
        <v>0.0007</v>
      </c>
    </row>
    <row r="2484">
      <c r="A2484" s="131">
        <f>IFERROR(__xludf.DUMMYFUNCTION("""COMPUTED_VALUE"""),46187.40081018519)</f>
        <v>46187.40081</v>
      </c>
      <c r="B2484" s="126">
        <f>IFERROR(__xludf.DUMMYFUNCTION("""COMPUTED_VALUE"""),46187.0)</f>
        <v>46187</v>
      </c>
      <c r="C2484" s="122" t="str">
        <f>IFERROR(__xludf.DUMMYFUNCTION("""COMPUTED_VALUE"""),"DRON")</f>
        <v>DRON</v>
      </c>
      <c r="D2484" s="122" t="str">
        <f>IFERROR(__xludf.DUMMYFUNCTION("""COMPUTED_VALUE"""),"DroneDrop")</f>
        <v>DroneDrop</v>
      </c>
      <c r="E2484" s="122">
        <f>IFERROR(__xludf.DUMMYFUNCTION("""COMPUTED_VALUE"""),131.58)</f>
        <v>131.58</v>
      </c>
      <c r="F2484" s="122">
        <f>IFERROR(__xludf.DUMMYFUNCTION("""COMPUTED_VALUE"""),0.0104)</f>
        <v>0.0104</v>
      </c>
    </row>
    <row r="2485">
      <c r="A2485" s="131">
        <f>IFERROR(__xludf.DUMMYFUNCTION("""COMPUTED_VALUE"""),46187.40081018519)</f>
        <v>46187.40081</v>
      </c>
      <c r="B2485" s="126">
        <f>IFERROR(__xludf.DUMMYFUNCTION("""COMPUTED_VALUE"""),46187.0)</f>
        <v>46187</v>
      </c>
      <c r="C2485" s="122" t="str">
        <f>IFERROR(__xludf.DUMMYFUNCTION("""COMPUTED_VALUE"""),"RIDE")</f>
        <v>RIDE</v>
      </c>
      <c r="D2485" s="122" t="str">
        <f>IFERROR(__xludf.DUMMYFUNCTION("""COMPUTED_VALUE"""),"QuickRide")</f>
        <v>QuickRide</v>
      </c>
      <c r="E2485" s="122">
        <f>IFERROR(__xludf.DUMMYFUNCTION("""COMPUTED_VALUE"""),97.27)</f>
        <v>97.27</v>
      </c>
      <c r="F2485" s="122">
        <f>IFERROR(__xludf.DUMMYFUNCTION("""COMPUTED_VALUE"""),-9.0E-4)</f>
        <v>-0.0009</v>
      </c>
    </row>
    <row r="2486">
      <c r="A2486" s="131">
        <f>IFERROR(__xludf.DUMMYFUNCTION("""COMPUTED_VALUE"""),46187.40081018519)</f>
        <v>46187.40081</v>
      </c>
      <c r="B2486" s="126">
        <f>IFERROR(__xludf.DUMMYFUNCTION("""COMPUTED_VALUE"""),46187.0)</f>
        <v>46187</v>
      </c>
      <c r="C2486" s="122" t="str">
        <f>IFERROR(__xludf.DUMMYFUNCTION("""COMPUTED_VALUE"""),"RAIL")</f>
        <v>RAIL</v>
      </c>
      <c r="D2486" s="122" t="str">
        <f>IFERROR(__xludf.DUMMYFUNCTION("""COMPUTED_VALUE"""),"MetroRail Corp")</f>
        <v>MetroRail Corp</v>
      </c>
      <c r="E2486" s="122">
        <f>IFERROR(__xludf.DUMMYFUNCTION("""COMPUTED_VALUE"""),135.66)</f>
        <v>135.66</v>
      </c>
      <c r="F2486" s="122">
        <f>IFERROR(__xludf.DUMMYFUNCTION("""COMPUTED_VALUE"""),-0.0041)</f>
        <v>-0.0041</v>
      </c>
    </row>
    <row r="2487">
      <c r="A2487" s="131">
        <f>IFERROR(__xludf.DUMMYFUNCTION("""COMPUTED_VALUE"""),46187.40081018519)</f>
        <v>46187.40081</v>
      </c>
      <c r="B2487" s="126">
        <f>IFERROR(__xludf.DUMMYFUNCTION("""COMPUTED_VALUE"""),46187.0)</f>
        <v>46187</v>
      </c>
      <c r="C2487" s="122" t="str">
        <f>IFERROR(__xludf.DUMMYFUNCTION("""COMPUTED_VALUE"""),"MEDX")</f>
        <v>MEDX</v>
      </c>
      <c r="D2487" s="122" t="str">
        <f>IFERROR(__xludf.DUMMYFUNCTION("""COMPUTED_VALUE"""),"MediCore")</f>
        <v>MediCore</v>
      </c>
      <c r="E2487" s="122">
        <f>IFERROR(__xludf.DUMMYFUNCTION("""COMPUTED_VALUE"""),137.71)</f>
        <v>137.71</v>
      </c>
      <c r="F2487" s="122">
        <f>IFERROR(__xludf.DUMMYFUNCTION("""COMPUTED_VALUE"""),0.0027)</f>
        <v>0.0027</v>
      </c>
    </row>
    <row r="2488">
      <c r="A2488" s="131">
        <f>IFERROR(__xludf.DUMMYFUNCTION("""COMPUTED_VALUE"""),46187.40081018519)</f>
        <v>46187.40081</v>
      </c>
      <c r="B2488" s="126">
        <f>IFERROR(__xludf.DUMMYFUNCTION("""COMPUTED_VALUE"""),46187.0)</f>
        <v>46187</v>
      </c>
      <c r="C2488" s="122" t="str">
        <f>IFERROR(__xludf.DUMMYFUNCTION("""COMPUTED_VALUE"""),"GYMX")</f>
        <v>GYMX</v>
      </c>
      <c r="D2488" s="122" t="str">
        <f>IFERROR(__xludf.DUMMYFUNCTION("""COMPUTED_VALUE"""),"GymX Fitness")</f>
        <v>GymX Fitness</v>
      </c>
      <c r="E2488" s="122">
        <f>IFERROR(__xludf.DUMMYFUNCTION("""COMPUTED_VALUE"""),85.4)</f>
        <v>85.4</v>
      </c>
      <c r="F2488" s="122">
        <f>IFERROR(__xludf.DUMMYFUNCTION("""COMPUTED_VALUE"""),-0.0043)</f>
        <v>-0.0043</v>
      </c>
    </row>
    <row r="2489">
      <c r="A2489" s="131">
        <f>IFERROR(__xludf.DUMMYFUNCTION("""COMPUTED_VALUE"""),46187.40081018519)</f>
        <v>46187.40081</v>
      </c>
      <c r="B2489" s="126">
        <f>IFERROR(__xludf.DUMMYFUNCTION("""COMPUTED_VALUE"""),46187.0)</f>
        <v>46187</v>
      </c>
      <c r="C2489" s="122" t="str">
        <f>IFERROR(__xludf.DUMMYFUNCTION("""COMPUTED_VALUE"""),"VITA")</f>
        <v>VITA</v>
      </c>
      <c r="D2489" s="122" t="str">
        <f>IFERROR(__xludf.DUMMYFUNCTION("""COMPUTED_VALUE"""),"VitaPlus")</f>
        <v>VitaPlus</v>
      </c>
      <c r="E2489" s="122">
        <f>IFERROR(__xludf.DUMMYFUNCTION("""COMPUTED_VALUE"""),75.08)</f>
        <v>75.08</v>
      </c>
      <c r="F2489" s="122">
        <f>IFERROR(__xludf.DUMMYFUNCTION("""COMPUTED_VALUE"""),-0.0033)</f>
        <v>-0.0033</v>
      </c>
    </row>
    <row r="2490">
      <c r="A2490" s="131">
        <f>IFERROR(__xludf.DUMMYFUNCTION("""COMPUTED_VALUE"""),46187.40081018519)</f>
        <v>46187.40081</v>
      </c>
      <c r="B2490" s="126">
        <f>IFERROR(__xludf.DUMMYFUNCTION("""COMPUTED_VALUE"""),46187.0)</f>
        <v>46187</v>
      </c>
      <c r="C2490" s="122" t="str">
        <f>IFERROR(__xludf.DUMMYFUNCTION("""COMPUTED_VALUE"""),"CARE")</f>
        <v>CARE</v>
      </c>
      <c r="D2490" s="122" t="str">
        <f>IFERROR(__xludf.DUMMYFUNCTION("""COMPUTED_VALUE"""),"CareCloud")</f>
        <v>CareCloud</v>
      </c>
      <c r="E2490" s="122">
        <f>IFERROR(__xludf.DUMMYFUNCTION("""COMPUTED_VALUE"""),180.72)</f>
        <v>180.72</v>
      </c>
      <c r="F2490" s="122">
        <f>IFERROR(__xludf.DUMMYFUNCTION("""COMPUTED_VALUE"""),0.0057)</f>
        <v>0.0057</v>
      </c>
    </row>
    <row r="2491">
      <c r="A2491" s="131">
        <f>IFERROR(__xludf.DUMMYFUNCTION("""COMPUTED_VALUE"""),46187.40081018519)</f>
        <v>46187.40081</v>
      </c>
      <c r="B2491" s="126">
        <f>IFERROR(__xludf.DUMMYFUNCTION("""COMPUTED_VALUE"""),46187.0)</f>
        <v>46187</v>
      </c>
      <c r="C2491" s="122" t="str">
        <f>IFERROR(__xludf.DUMMYFUNCTION("""COMPUTED_VALUE"""),"DENT")</f>
        <v>DENT</v>
      </c>
      <c r="D2491" s="122" t="str">
        <f>IFERROR(__xludf.DUMMYFUNCTION("""COMPUTED_VALUE"""),"SmileWorks")</f>
        <v>SmileWorks</v>
      </c>
      <c r="E2491" s="122">
        <f>IFERROR(__xludf.DUMMYFUNCTION("""COMPUTED_VALUE"""),82.17)</f>
        <v>82.17</v>
      </c>
      <c r="F2491" s="122">
        <f>IFERROR(__xludf.DUMMYFUNCTION("""COMPUTED_VALUE"""),-0.0011)</f>
        <v>-0.0011</v>
      </c>
    </row>
    <row r="2492">
      <c r="A2492" s="131">
        <f>IFERROR(__xludf.DUMMYFUNCTION("""COMPUTED_VALUE"""),46187.40081018519)</f>
        <v>46187.40081</v>
      </c>
      <c r="B2492" s="126">
        <f>IFERROR(__xludf.DUMMYFUNCTION("""COMPUTED_VALUE"""),46187.0)</f>
        <v>46187</v>
      </c>
      <c r="C2492" s="122" t="str">
        <f>IFERROR(__xludf.DUMMYFUNCTION("""COMPUTED_VALUE"""),"EDUX")</f>
        <v>EDUX</v>
      </c>
      <c r="D2492" s="122" t="str">
        <f>IFERROR(__xludf.DUMMYFUNCTION("""COMPUTED_VALUE"""),"EduMax Learning")</f>
        <v>EduMax Learning</v>
      </c>
      <c r="E2492" s="122">
        <f>IFERROR(__xludf.DUMMYFUNCTION("""COMPUTED_VALUE"""),133.48)</f>
        <v>133.48</v>
      </c>
      <c r="F2492" s="122">
        <f>IFERROR(__xludf.DUMMYFUNCTION("""COMPUTED_VALUE"""),4.0E-4)</f>
        <v>0.0004</v>
      </c>
    </row>
    <row r="2493">
      <c r="A2493" s="131">
        <f>IFERROR(__xludf.DUMMYFUNCTION("""COMPUTED_VALUE"""),46187.40081018519)</f>
        <v>46187.40081</v>
      </c>
      <c r="B2493" s="126">
        <f>IFERROR(__xludf.DUMMYFUNCTION("""COMPUTED_VALUE"""),46187.0)</f>
        <v>46187</v>
      </c>
      <c r="C2493" s="122" t="str">
        <f>IFERROR(__xludf.DUMMYFUNCTION("""COMPUTED_VALUE"""),"BOOK")</f>
        <v>BOOK</v>
      </c>
      <c r="D2493" s="122" t="str">
        <f>IFERROR(__xludf.DUMMYFUNCTION("""COMPUTED_VALUE"""),"BookBridge")</f>
        <v>BookBridge</v>
      </c>
      <c r="E2493" s="122">
        <f>IFERROR(__xludf.DUMMYFUNCTION("""COMPUTED_VALUE"""),115.0)</f>
        <v>115</v>
      </c>
      <c r="F2493" s="122">
        <f>IFERROR(__xludf.DUMMYFUNCTION("""COMPUTED_VALUE"""),0.0012)</f>
        <v>0.0012</v>
      </c>
    </row>
    <row r="2494">
      <c r="A2494" s="131">
        <f>IFERROR(__xludf.DUMMYFUNCTION("""COMPUTED_VALUE"""),46187.40081018519)</f>
        <v>46187.40081</v>
      </c>
      <c r="B2494" s="126">
        <f>IFERROR(__xludf.DUMMYFUNCTION("""COMPUTED_VALUE"""),46187.0)</f>
        <v>46187</v>
      </c>
      <c r="C2494" s="122" t="str">
        <f>IFERROR(__xludf.DUMMYFUNCTION("""COMPUTED_VALUE"""),"TUTR")</f>
        <v>TUTR</v>
      </c>
      <c r="D2494" s="122" t="str">
        <f>IFERROR(__xludf.DUMMYFUNCTION("""COMPUTED_VALUE"""),"TutorTown")</f>
        <v>TutorTown</v>
      </c>
      <c r="E2494" s="122">
        <f>IFERROR(__xludf.DUMMYFUNCTION("""COMPUTED_VALUE"""),90.06)</f>
        <v>90.06</v>
      </c>
      <c r="F2494" s="122">
        <f>IFERROR(__xludf.DUMMYFUNCTION("""COMPUTED_VALUE"""),0.0064)</f>
        <v>0.0064</v>
      </c>
    </row>
    <row r="2495">
      <c r="A2495" s="131">
        <f>IFERROR(__xludf.DUMMYFUNCTION("""COMPUTED_VALUE"""),46187.40081018519)</f>
        <v>46187.40081</v>
      </c>
      <c r="B2495" s="126">
        <f>IFERROR(__xludf.DUMMYFUNCTION("""COMPUTED_VALUE"""),46187.0)</f>
        <v>46187</v>
      </c>
      <c r="C2495" s="122" t="str">
        <f>IFERROR(__xludf.DUMMYFUNCTION("""COMPUTED_VALUE"""),"LANG")</f>
        <v>LANG</v>
      </c>
      <c r="D2495" s="122" t="str">
        <f>IFERROR(__xludf.DUMMYFUNCTION("""COMPUTED_VALUE"""),"LinguaLab")</f>
        <v>LinguaLab</v>
      </c>
      <c r="E2495" s="122">
        <f>IFERROR(__xludf.DUMMYFUNCTION("""COMPUTED_VALUE"""),96.79)</f>
        <v>96.79</v>
      </c>
      <c r="F2495" s="122">
        <f>IFERROR(__xludf.DUMMYFUNCTION("""COMPUTED_VALUE"""),0.0035)</f>
        <v>0.0035</v>
      </c>
    </row>
    <row r="2496">
      <c r="A2496" s="131">
        <f>IFERROR(__xludf.DUMMYFUNCTION("""COMPUTED_VALUE"""),46187.40081018519)</f>
        <v>46187.40081</v>
      </c>
      <c r="B2496" s="126">
        <f>IFERROR(__xludf.DUMMYFUNCTION("""COMPUTED_VALUE"""),46187.0)</f>
        <v>46187</v>
      </c>
      <c r="C2496" s="122" t="str">
        <f>IFERROR(__xludf.DUMMYFUNCTION("""COMPUTED_VALUE"""),"TEST")</f>
        <v>TEST</v>
      </c>
      <c r="D2496" s="122" t="str">
        <f>IFERROR(__xludf.DUMMYFUNCTION("""COMPUTED_VALUE"""),"TestPrep Pro")</f>
        <v>TestPrep Pro</v>
      </c>
      <c r="E2496" s="122">
        <f>IFERROR(__xludf.DUMMYFUNCTION("""COMPUTED_VALUE"""),101.72)</f>
        <v>101.72</v>
      </c>
      <c r="F2496" s="122">
        <f>IFERROR(__xludf.DUMMYFUNCTION("""COMPUTED_VALUE"""),-1.0E-4)</f>
        <v>-0.0001</v>
      </c>
    </row>
    <row r="2497">
      <c r="A2497" s="131">
        <f>IFERROR(__xludf.DUMMYFUNCTION("""COMPUTED_VALUE"""),46187.40081018519)</f>
        <v>46187.40081</v>
      </c>
      <c r="B2497" s="126">
        <f>IFERROR(__xludf.DUMMYFUNCTION("""COMPUTED_VALUE"""),46187.0)</f>
        <v>46187</v>
      </c>
      <c r="C2497" s="122" t="str">
        <f>IFERROR(__xludf.DUMMYFUNCTION("""COMPUTED_VALUE"""),"MOVI")</f>
        <v>MOVI</v>
      </c>
      <c r="D2497" s="122" t="str">
        <f>IFERROR(__xludf.DUMMYFUNCTION("""COMPUTED_VALUE"""),"MovieBox")</f>
        <v>MovieBox</v>
      </c>
      <c r="E2497" s="122">
        <f>IFERROR(__xludf.DUMMYFUNCTION("""COMPUTED_VALUE"""),80.38)</f>
        <v>80.38</v>
      </c>
      <c r="F2497" s="122">
        <f>IFERROR(__xludf.DUMMYFUNCTION("""COMPUTED_VALUE"""),0.0065)</f>
        <v>0.0065</v>
      </c>
    </row>
    <row r="2498">
      <c r="A2498" s="131">
        <f>IFERROR(__xludf.DUMMYFUNCTION("""COMPUTED_VALUE"""),46187.40081018519)</f>
        <v>46187.40081</v>
      </c>
      <c r="B2498" s="126">
        <f>IFERROR(__xludf.DUMMYFUNCTION("""COMPUTED_VALUE"""),46187.0)</f>
        <v>46187</v>
      </c>
      <c r="C2498" s="122" t="str">
        <f>IFERROR(__xludf.DUMMYFUNCTION("""COMPUTED_VALUE"""),"MUSC")</f>
        <v>MUSC</v>
      </c>
      <c r="D2498" s="122" t="str">
        <f>IFERROR(__xludf.DUMMYFUNCTION("""COMPUTED_VALUE"""),"MusicWave")</f>
        <v>MusicWave</v>
      </c>
      <c r="E2498" s="122">
        <f>IFERROR(__xludf.DUMMYFUNCTION("""COMPUTED_VALUE"""),96.15)</f>
        <v>96.15</v>
      </c>
      <c r="F2498" s="122">
        <f>IFERROR(__xludf.DUMMYFUNCTION("""COMPUTED_VALUE"""),0.0)</f>
        <v>0</v>
      </c>
    </row>
    <row r="2499">
      <c r="A2499" s="131">
        <f>IFERROR(__xludf.DUMMYFUNCTION("""COMPUTED_VALUE"""),46187.40081018519)</f>
        <v>46187.40081</v>
      </c>
      <c r="B2499" s="126">
        <f>IFERROR(__xludf.DUMMYFUNCTION("""COMPUTED_VALUE"""),46187.0)</f>
        <v>46187</v>
      </c>
      <c r="C2499" s="122" t="str">
        <f>IFERROR(__xludf.DUMMYFUNCTION("""COMPUTED_VALUE"""),"IDOL")</f>
        <v>IDOL</v>
      </c>
      <c r="D2499" s="122" t="str">
        <f>IFERROR(__xludf.DUMMYFUNCTION("""COMPUTED_VALUE"""),"Idol Agency")</f>
        <v>Idol Agency</v>
      </c>
      <c r="E2499" s="122">
        <f>IFERROR(__xludf.DUMMYFUNCTION("""COMPUTED_VALUE"""),198.65)</f>
        <v>198.65</v>
      </c>
      <c r="F2499" s="122">
        <f>IFERROR(__xludf.DUMMYFUNCTION("""COMPUTED_VALUE"""),0.0057)</f>
        <v>0.0057</v>
      </c>
    </row>
    <row r="2500">
      <c r="A2500" s="131">
        <f>IFERROR(__xludf.DUMMYFUNCTION("""COMPUTED_VALUE"""),46187.40081018519)</f>
        <v>46187.40081</v>
      </c>
      <c r="B2500" s="126">
        <f>IFERROR(__xludf.DUMMYFUNCTION("""COMPUTED_VALUE"""),46187.0)</f>
        <v>46187</v>
      </c>
      <c r="C2500" s="122" t="str">
        <f>IFERROR(__xludf.DUMMYFUNCTION("""COMPUTED_VALUE"""),"MEME")</f>
        <v>MEME</v>
      </c>
      <c r="D2500" s="122" t="str">
        <f>IFERROR(__xludf.DUMMYFUNCTION("""COMPUTED_VALUE"""),"Meme Media")</f>
        <v>Meme Media</v>
      </c>
      <c r="E2500" s="122">
        <f>IFERROR(__xludf.DUMMYFUNCTION("""COMPUTED_VALUE"""),78.16)</f>
        <v>78.16</v>
      </c>
      <c r="F2500" s="122">
        <f>IFERROR(__xludf.DUMMYFUNCTION("""COMPUTED_VALUE"""),0.0033)</f>
        <v>0.0033</v>
      </c>
    </row>
    <row r="2501">
      <c r="A2501" s="131">
        <f>IFERROR(__xludf.DUMMYFUNCTION("""COMPUTED_VALUE"""),46187.40081018519)</f>
        <v>46187.40081</v>
      </c>
      <c r="B2501" s="126">
        <f>IFERROR(__xludf.DUMMYFUNCTION("""COMPUTED_VALUE"""),46187.0)</f>
        <v>46187</v>
      </c>
      <c r="C2501" s="122" t="str">
        <f>IFERROR(__xludf.DUMMYFUNCTION("""COMPUTED_VALUE"""),"STRM")</f>
        <v>STRM</v>
      </c>
      <c r="D2501" s="122" t="str">
        <f>IFERROR(__xludf.DUMMYFUNCTION("""COMPUTED_VALUE"""),"Streamly")</f>
        <v>Streamly</v>
      </c>
      <c r="E2501" s="122">
        <f>IFERROR(__xludf.DUMMYFUNCTION("""COMPUTED_VALUE"""),136.27)</f>
        <v>136.27</v>
      </c>
      <c r="F2501" s="122">
        <f>IFERROR(__xludf.DUMMYFUNCTION("""COMPUTED_VALUE"""),0.0029)</f>
        <v>0.0029</v>
      </c>
    </row>
    <row r="2502">
      <c r="A2502" s="131">
        <f>IFERROR(__xludf.DUMMYFUNCTION("""COMPUTED_VALUE"""),46187.40081018519)</f>
        <v>46187.40081</v>
      </c>
      <c r="B2502" s="126">
        <f>IFERROR(__xludf.DUMMYFUNCTION("""COMPUTED_VALUE"""),46187.0)</f>
        <v>46187</v>
      </c>
      <c r="C2502" s="122" t="str">
        <f>IFERROR(__xludf.DUMMYFUNCTION("""COMPUTED_VALUE"""),"FARM")</f>
        <v>FARM</v>
      </c>
      <c r="D2502" s="122" t="str">
        <f>IFERROR(__xludf.DUMMYFUNCTION("""COMPUTED_VALUE"""),"Future Farms")</f>
        <v>Future Farms</v>
      </c>
      <c r="E2502" s="122">
        <f>IFERROR(__xludf.DUMMYFUNCTION("""COMPUTED_VALUE"""),82.39)</f>
        <v>82.39</v>
      </c>
      <c r="F2502" s="122">
        <f>IFERROR(__xludf.DUMMYFUNCTION("""COMPUTED_VALUE"""),0.004)</f>
        <v>0.004</v>
      </c>
    </row>
    <row r="2503">
      <c r="A2503" s="131">
        <f>IFERROR(__xludf.DUMMYFUNCTION("""COMPUTED_VALUE"""),46187.40081018519)</f>
        <v>46187.40081</v>
      </c>
      <c r="B2503" s="126">
        <f>IFERROR(__xludf.DUMMYFUNCTION("""COMPUTED_VALUE"""),46187.0)</f>
        <v>46187</v>
      </c>
      <c r="C2503" s="122" t="str">
        <f>IFERROR(__xludf.DUMMYFUNCTION("""COMPUTED_VALUE"""),"MEAT")</f>
        <v>MEAT</v>
      </c>
      <c r="D2503" s="122" t="str">
        <f>IFERROR(__xludf.DUMMYFUNCTION("""COMPUTED_VALUE"""),"MeatWorks")</f>
        <v>MeatWorks</v>
      </c>
      <c r="E2503" s="122">
        <f>IFERROR(__xludf.DUMMYFUNCTION("""COMPUTED_VALUE"""),102.01)</f>
        <v>102.01</v>
      </c>
      <c r="F2503" s="122">
        <f>IFERROR(__xludf.DUMMYFUNCTION("""COMPUTED_VALUE"""),-0.0029)</f>
        <v>-0.0029</v>
      </c>
    </row>
    <row r="2504">
      <c r="A2504" s="131">
        <f>IFERROR(__xludf.DUMMYFUNCTION("""COMPUTED_VALUE"""),46187.40081018519)</f>
        <v>46187.40081</v>
      </c>
      <c r="B2504" s="126">
        <f>IFERROR(__xludf.DUMMYFUNCTION("""COMPUTED_VALUE"""),46187.0)</f>
        <v>46187</v>
      </c>
      <c r="C2504" s="122" t="str">
        <f>IFERROR(__xludf.DUMMYFUNCTION("""COMPUTED_VALUE"""),"VEGI")</f>
        <v>VEGI</v>
      </c>
      <c r="D2504" s="122" t="str">
        <f>IFERROR(__xludf.DUMMYFUNCTION("""COMPUTED_VALUE"""),"Green Basket")</f>
        <v>Green Basket</v>
      </c>
      <c r="E2504" s="122">
        <f>IFERROR(__xludf.DUMMYFUNCTION("""COMPUTED_VALUE"""),82.38)</f>
        <v>82.38</v>
      </c>
      <c r="F2504" s="122">
        <f>IFERROR(__xludf.DUMMYFUNCTION("""COMPUTED_VALUE"""),0.0024)</f>
        <v>0.0024</v>
      </c>
    </row>
    <row r="2505">
      <c r="A2505" s="131">
        <f>IFERROR(__xludf.DUMMYFUNCTION("""COMPUTED_VALUE"""),46187.40081018519)</f>
        <v>46187.40081</v>
      </c>
      <c r="B2505" s="126">
        <f>IFERROR(__xludf.DUMMYFUNCTION("""COMPUTED_VALUE"""),46187.0)</f>
        <v>46187</v>
      </c>
      <c r="C2505" s="122" t="str">
        <f>IFERROR(__xludf.DUMMYFUNCTION("""COMPUTED_VALUE"""),"CAFE")</f>
        <v>CAFE</v>
      </c>
      <c r="D2505" s="122" t="str">
        <f>IFERROR(__xludf.DUMMYFUNCTION("""COMPUTED_VALUE"""),"Cafe Cloud")</f>
        <v>Cafe Cloud</v>
      </c>
      <c r="E2505" s="122">
        <f>IFERROR(__xludf.DUMMYFUNCTION("""COMPUTED_VALUE"""),100.63)</f>
        <v>100.63</v>
      </c>
      <c r="F2505" s="122">
        <f>IFERROR(__xludf.DUMMYFUNCTION("""COMPUTED_VALUE"""),0.0092)</f>
        <v>0.0092</v>
      </c>
    </row>
    <row r="2506">
      <c r="A2506" s="131">
        <f>IFERROR(__xludf.DUMMYFUNCTION("""COMPUTED_VALUE"""),46187.40081018519)</f>
        <v>46187.40081</v>
      </c>
      <c r="B2506" s="126">
        <f>IFERROR(__xludf.DUMMYFUNCTION("""COMPUTED_VALUE"""),46187.0)</f>
        <v>46187</v>
      </c>
      <c r="C2506" s="122" t="str">
        <f>IFERROR(__xludf.DUMMYFUNCTION("""COMPUTED_VALUE"""),"BAKE")</f>
        <v>BAKE</v>
      </c>
      <c r="D2506" s="122" t="str">
        <f>IFERROR(__xludf.DUMMYFUNCTION("""COMPUTED_VALUE"""),"BakeHouse")</f>
        <v>BakeHouse</v>
      </c>
      <c r="E2506" s="122">
        <f>IFERROR(__xludf.DUMMYFUNCTION("""COMPUTED_VALUE"""),99.64)</f>
        <v>99.64</v>
      </c>
      <c r="F2506" s="122">
        <f>IFERROR(__xludf.DUMMYFUNCTION("""COMPUTED_VALUE"""),-0.0027)</f>
        <v>-0.0027</v>
      </c>
    </row>
    <row r="2507">
      <c r="A2507" s="131">
        <f>IFERROR(__xludf.DUMMYFUNCTION("""COMPUTED_VALUE"""),46187.40081018519)</f>
        <v>46187.40081</v>
      </c>
      <c r="B2507" s="126">
        <f>IFERROR(__xludf.DUMMYFUNCTION("""COMPUTED_VALUE"""),46187.0)</f>
        <v>46187</v>
      </c>
      <c r="C2507" s="122" t="str">
        <f>IFERROR(__xludf.DUMMYFUNCTION("""COMPUTED_VALUE"""),"OILX")</f>
        <v>OILX</v>
      </c>
      <c r="D2507" s="122" t="str">
        <f>IFERROR(__xludf.DUMMYFUNCTION("""COMPUTED_VALUE"""),"OilMax Energy")</f>
        <v>OilMax Energy</v>
      </c>
      <c r="E2507" s="122">
        <f>IFERROR(__xludf.DUMMYFUNCTION("""COMPUTED_VALUE"""),129.54)</f>
        <v>129.54</v>
      </c>
      <c r="F2507" s="122">
        <f>IFERROR(__xludf.DUMMYFUNCTION("""COMPUTED_VALUE"""),0.0029)</f>
        <v>0.0029</v>
      </c>
    </row>
    <row r="2508">
      <c r="A2508" s="131">
        <f>IFERROR(__xludf.DUMMYFUNCTION("""COMPUTED_VALUE"""),46187.40081018519)</f>
        <v>46187.40081</v>
      </c>
      <c r="B2508" s="126">
        <f>IFERROR(__xludf.DUMMYFUNCTION("""COMPUTED_VALUE"""),46187.0)</f>
        <v>46187</v>
      </c>
      <c r="C2508" s="122" t="str">
        <f>IFERROR(__xludf.DUMMYFUNCTION("""COMPUTED_VALUE"""),"SOLR")</f>
        <v>SOLR</v>
      </c>
      <c r="D2508" s="122" t="str">
        <f>IFERROR(__xludf.DUMMYFUNCTION("""COMPUTED_VALUE"""),"SolarSpark")</f>
        <v>SolarSpark</v>
      </c>
      <c r="E2508" s="122">
        <f>IFERROR(__xludf.DUMMYFUNCTION("""COMPUTED_VALUE"""),88.18)</f>
        <v>88.18</v>
      </c>
      <c r="F2508" s="122">
        <f>IFERROR(__xludf.DUMMYFUNCTION("""COMPUTED_VALUE"""),-0.0026)</f>
        <v>-0.0026</v>
      </c>
    </row>
    <row r="2509">
      <c r="A2509" s="131">
        <f>IFERROR(__xludf.DUMMYFUNCTION("""COMPUTED_VALUE"""),46187.40081018519)</f>
        <v>46187.40081</v>
      </c>
      <c r="B2509" s="126">
        <f>IFERROR(__xludf.DUMMYFUNCTION("""COMPUTED_VALUE"""),46187.0)</f>
        <v>46187</v>
      </c>
      <c r="C2509" s="122" t="str">
        <f>IFERROR(__xludf.DUMMYFUNCTION("""COMPUTED_VALUE"""),"BATT")</f>
        <v>BATT</v>
      </c>
      <c r="D2509" s="122" t="str">
        <f>IFERROR(__xludf.DUMMYFUNCTION("""COMPUTED_VALUE"""),"BatteryBox")</f>
        <v>BatteryBox</v>
      </c>
      <c r="E2509" s="122">
        <f>IFERROR(__xludf.DUMMYFUNCTION("""COMPUTED_VALUE"""),121.21)</f>
        <v>121.21</v>
      </c>
      <c r="F2509" s="122">
        <f>IFERROR(__xludf.DUMMYFUNCTION("""COMPUTED_VALUE"""),-0.0014)</f>
        <v>-0.0014</v>
      </c>
    </row>
    <row r="2510">
      <c r="A2510" s="131">
        <f>IFERROR(__xludf.DUMMYFUNCTION("""COMPUTED_VALUE"""),46187.40081018519)</f>
        <v>46187.40081</v>
      </c>
      <c r="B2510" s="126">
        <f>IFERROR(__xludf.DUMMYFUNCTION("""COMPUTED_VALUE"""),46187.0)</f>
        <v>46187</v>
      </c>
      <c r="C2510" s="122" t="str">
        <f>IFERROR(__xludf.DUMMYFUNCTION("""COMPUTED_VALUE"""),"WIND")</f>
        <v>WIND</v>
      </c>
      <c r="D2510" s="122" t="str">
        <f>IFERROR(__xludf.DUMMYFUNCTION("""COMPUTED_VALUE"""),"WindWorks")</f>
        <v>WindWorks</v>
      </c>
      <c r="E2510" s="122">
        <f>IFERROR(__xludf.DUMMYFUNCTION("""COMPUTED_VALUE"""),86.98)</f>
        <v>86.98</v>
      </c>
      <c r="F2510" s="122">
        <f>IFERROR(__xludf.DUMMYFUNCTION("""COMPUTED_VALUE"""),-0.0045)</f>
        <v>-0.0045</v>
      </c>
    </row>
    <row r="2511">
      <c r="A2511" s="131">
        <f>IFERROR(__xludf.DUMMYFUNCTION("""COMPUTED_VALUE"""),46187.40081018519)</f>
        <v>46187.40081</v>
      </c>
      <c r="B2511" s="126">
        <f>IFERROR(__xludf.DUMMYFUNCTION("""COMPUTED_VALUE"""),46187.0)</f>
        <v>46187</v>
      </c>
      <c r="C2511" s="122" t="str">
        <f>IFERROR(__xludf.DUMMYFUNCTION("""COMPUTED_VALUE"""),"GRID")</f>
        <v>GRID</v>
      </c>
      <c r="D2511" s="122" t="str">
        <f>IFERROR(__xludf.DUMMYFUNCTION("""COMPUTED_VALUE"""),"GridPower")</f>
        <v>GridPower</v>
      </c>
      <c r="E2511" s="122">
        <f>IFERROR(__xludf.DUMMYFUNCTION("""COMPUTED_VALUE"""),143.46)</f>
        <v>143.46</v>
      </c>
      <c r="F2511" s="122">
        <f>IFERROR(__xludf.DUMMYFUNCTION("""COMPUTED_VALUE"""),-0.006)</f>
        <v>-0.006</v>
      </c>
    </row>
    <row r="2512">
      <c r="A2512" s="131">
        <f>IFERROR(__xludf.DUMMYFUNCTION("""COMPUTED_VALUE"""),46187.40081018519)</f>
        <v>46187.40081</v>
      </c>
      <c r="B2512" s="126">
        <f>IFERROR(__xludf.DUMMYFUNCTION("""COMPUTED_VALUE"""),46187.0)</f>
        <v>46187</v>
      </c>
      <c r="C2512" s="122" t="str">
        <f>IFERROR(__xludf.DUMMYFUNCTION("""COMPUTED_VALUE"""),"HOME")</f>
        <v>HOME</v>
      </c>
      <c r="D2512" s="122" t="str">
        <f>IFERROR(__xludf.DUMMYFUNCTION("""COMPUTED_VALUE"""),"HomeHub")</f>
        <v>HomeHub</v>
      </c>
      <c r="E2512" s="122">
        <f>IFERROR(__xludf.DUMMYFUNCTION("""COMPUTED_VALUE"""),148.37)</f>
        <v>148.37</v>
      </c>
      <c r="F2512" s="122">
        <f>IFERROR(__xludf.DUMMYFUNCTION("""COMPUTED_VALUE"""),0.002)</f>
        <v>0.002</v>
      </c>
    </row>
    <row r="2513">
      <c r="A2513" s="131">
        <f>IFERROR(__xludf.DUMMYFUNCTION("""COMPUTED_VALUE"""),46187.40081018519)</f>
        <v>46187.40081</v>
      </c>
      <c r="B2513" s="126">
        <f>IFERROR(__xludf.DUMMYFUNCTION("""COMPUTED_VALUE"""),46187.0)</f>
        <v>46187</v>
      </c>
      <c r="C2513" s="122" t="str">
        <f>IFERROR(__xludf.DUMMYFUNCTION("""COMPUTED_VALUE"""),"RENT")</f>
        <v>RENT</v>
      </c>
      <c r="D2513" s="122" t="str">
        <f>IFERROR(__xludf.DUMMYFUNCTION("""COMPUTED_VALUE"""),"RentRight")</f>
        <v>RentRight</v>
      </c>
      <c r="E2513" s="122">
        <f>IFERROR(__xludf.DUMMYFUNCTION("""COMPUTED_VALUE"""),92.05)</f>
        <v>92.05</v>
      </c>
      <c r="F2513" s="122">
        <f>IFERROR(__xludf.DUMMYFUNCTION("""COMPUTED_VALUE"""),0.0023)</f>
        <v>0.0023</v>
      </c>
    </row>
    <row r="2514">
      <c r="A2514" s="131">
        <f>IFERROR(__xludf.DUMMYFUNCTION("""COMPUTED_VALUE"""),46187.40081018519)</f>
        <v>46187.40081</v>
      </c>
      <c r="B2514" s="126">
        <f>IFERROR(__xludf.DUMMYFUNCTION("""COMPUTED_VALUE"""),46187.0)</f>
        <v>46187</v>
      </c>
      <c r="C2514" s="122" t="str">
        <f>IFERROR(__xludf.DUMMYFUNCTION("""COMPUTED_VALUE"""),"MALL")</f>
        <v>MALL</v>
      </c>
      <c r="D2514" s="122" t="str">
        <f>IFERROR(__xludf.DUMMYFUNCTION("""COMPUTED_VALUE"""),"MegaMall")</f>
        <v>MegaMall</v>
      </c>
      <c r="E2514" s="122">
        <f>IFERROR(__xludf.DUMMYFUNCTION("""COMPUTED_VALUE"""),99.33)</f>
        <v>99.33</v>
      </c>
      <c r="F2514" s="122">
        <f>IFERROR(__xludf.DUMMYFUNCTION("""COMPUTED_VALUE"""),0.004)</f>
        <v>0.004</v>
      </c>
    </row>
    <row r="2515">
      <c r="A2515" s="131">
        <f>IFERROR(__xludf.DUMMYFUNCTION("""COMPUTED_VALUE"""),46187.40081018519)</f>
        <v>46187.40081</v>
      </c>
      <c r="B2515" s="126">
        <f>IFERROR(__xludf.DUMMYFUNCTION("""COMPUTED_VALUE"""),46187.0)</f>
        <v>46187</v>
      </c>
      <c r="C2515" s="122" t="str">
        <f>IFERROR(__xludf.DUMMYFUNCTION("""COMPUTED_VALUE"""),"HOTL")</f>
        <v>HOTL</v>
      </c>
      <c r="D2515" s="122" t="str">
        <f>IFERROR(__xludf.DUMMYFUNCTION("""COMPUTED_VALUE"""),"HotelHive")</f>
        <v>HotelHive</v>
      </c>
      <c r="E2515" s="122">
        <f>IFERROR(__xludf.DUMMYFUNCTION("""COMPUTED_VALUE"""),131.94)</f>
        <v>131.94</v>
      </c>
      <c r="F2515" s="122">
        <f>IFERROR(__xludf.DUMMYFUNCTION("""COMPUTED_VALUE"""),0.004)</f>
        <v>0.004</v>
      </c>
    </row>
    <row r="2516">
      <c r="A2516" s="131">
        <f>IFERROR(__xludf.DUMMYFUNCTION("""COMPUTED_VALUE"""),46187.40081018519)</f>
        <v>46187.40081</v>
      </c>
      <c r="B2516" s="126">
        <f>IFERROR(__xludf.DUMMYFUNCTION("""COMPUTED_VALUE"""),46187.0)</f>
        <v>46187</v>
      </c>
      <c r="C2516" s="122" t="str">
        <f>IFERROR(__xludf.DUMMYFUNCTION("""COMPUTED_VALUE"""),"LAND")</f>
        <v>LAND</v>
      </c>
      <c r="D2516" s="122" t="str">
        <f>IFERROR(__xludf.DUMMYFUNCTION("""COMPUTED_VALUE"""),"LandLink")</f>
        <v>LandLink</v>
      </c>
      <c r="E2516" s="122">
        <f>IFERROR(__xludf.DUMMYFUNCTION("""COMPUTED_VALUE"""),181.68)</f>
        <v>181.68</v>
      </c>
      <c r="F2516" s="122">
        <f>IFERROR(__xludf.DUMMYFUNCTION("""COMPUTED_VALUE"""),3.0E-4)</f>
        <v>0.0003</v>
      </c>
    </row>
    <row r="2517">
      <c r="A2517" s="131">
        <f>IFERROR(__xludf.DUMMYFUNCTION("""COMPUTED_VALUE"""),46187.40081018519)</f>
        <v>46187.40081</v>
      </c>
      <c r="B2517" s="126">
        <f>IFERROR(__xludf.DUMMYFUNCTION("""COMPUTED_VALUE"""),46187.0)</f>
        <v>46187</v>
      </c>
      <c r="C2517" s="122" t="str">
        <f>IFERROR(__xludf.DUMMYFUNCTION("""COMPUTED_VALUE"""),"CARS")</f>
        <v>CARS</v>
      </c>
      <c r="D2517" s="122" t="str">
        <f>IFERROR(__xludf.DUMMYFUNCTION("""COMPUTED_VALUE"""),"AutoArena")</f>
        <v>AutoArena</v>
      </c>
      <c r="E2517" s="122">
        <f>IFERROR(__xludf.DUMMYFUNCTION("""COMPUTED_VALUE"""),78.38)</f>
        <v>78.38</v>
      </c>
      <c r="F2517" s="122">
        <f>IFERROR(__xludf.DUMMYFUNCTION("""COMPUTED_VALUE"""),-0.0029)</f>
        <v>-0.0029</v>
      </c>
    </row>
    <row r="2518">
      <c r="A2518" s="131">
        <f>IFERROR(__xludf.DUMMYFUNCTION("""COMPUTED_VALUE"""),46187.40081018519)</f>
        <v>46187.40081</v>
      </c>
      <c r="B2518" s="126">
        <f>IFERROR(__xludf.DUMMYFUNCTION("""COMPUTED_VALUE"""),46187.0)</f>
        <v>46187</v>
      </c>
      <c r="C2518" s="122" t="str">
        <f>IFERROR(__xludf.DUMMYFUNCTION("""COMPUTED_VALUE"""),"EVGO")</f>
        <v>EVGO</v>
      </c>
      <c r="D2518" s="122" t="str">
        <f>IFERROR(__xludf.DUMMYFUNCTION("""COMPUTED_VALUE"""),"EVGo Motors")</f>
        <v>EVGo Motors</v>
      </c>
      <c r="E2518" s="122">
        <f>IFERROR(__xludf.DUMMYFUNCTION("""COMPUTED_VALUE"""),195.09)</f>
        <v>195.09</v>
      </c>
      <c r="F2518" s="122">
        <f>IFERROR(__xludf.DUMMYFUNCTION("""COMPUTED_VALUE"""),-0.0111)</f>
        <v>-0.0111</v>
      </c>
    </row>
    <row r="2519">
      <c r="A2519" s="131">
        <f>IFERROR(__xludf.DUMMYFUNCTION("""COMPUTED_VALUE"""),46187.40081018519)</f>
        <v>46187.40081</v>
      </c>
      <c r="B2519" s="126">
        <f>IFERROR(__xludf.DUMMYFUNCTION("""COMPUTED_VALUE"""),46187.0)</f>
        <v>46187</v>
      </c>
      <c r="C2519" s="122" t="str">
        <f>IFERROR(__xludf.DUMMYFUNCTION("""COMPUTED_VALUE"""),"TIRE")</f>
        <v>TIRE</v>
      </c>
      <c r="D2519" s="122" t="str">
        <f>IFERROR(__xludf.DUMMYFUNCTION("""COMPUTED_VALUE"""),"TireTown")</f>
        <v>TireTown</v>
      </c>
      <c r="E2519" s="122">
        <f>IFERROR(__xludf.DUMMYFUNCTION("""COMPUTED_VALUE"""),92.29)</f>
        <v>92.29</v>
      </c>
      <c r="F2519" s="122">
        <f>IFERROR(__xludf.DUMMYFUNCTION("""COMPUTED_VALUE"""),0.0052)</f>
        <v>0.0052</v>
      </c>
    </row>
    <row r="2520">
      <c r="A2520" s="131">
        <f>IFERROR(__xludf.DUMMYFUNCTION("""COMPUTED_VALUE"""),46187.40081018519)</f>
        <v>46187.40081</v>
      </c>
      <c r="B2520" s="126">
        <f>IFERROR(__xludf.DUMMYFUNCTION("""COMPUTED_VALUE"""),46187.0)</f>
        <v>46187</v>
      </c>
      <c r="C2520" s="122" t="str">
        <f>IFERROR(__xludf.DUMMYFUNCTION("""COMPUTED_VALUE"""),"BIKE")</f>
        <v>BIKE</v>
      </c>
      <c r="D2520" s="122" t="str">
        <f>IFERROR(__xludf.DUMMYFUNCTION("""COMPUTED_VALUE"""),"BikeBox")</f>
        <v>BikeBox</v>
      </c>
      <c r="E2520" s="122">
        <f>IFERROR(__xludf.DUMMYFUNCTION("""COMPUTED_VALUE"""),53.56)</f>
        <v>53.56</v>
      </c>
      <c r="F2520" s="122">
        <f>IFERROR(__xludf.DUMMYFUNCTION("""COMPUTED_VALUE"""),-0.0032)</f>
        <v>-0.0032</v>
      </c>
    </row>
    <row r="2521">
      <c r="A2521" s="131">
        <f>IFERROR(__xludf.DUMMYFUNCTION("""COMPUTED_VALUE"""),46187.40081018519)</f>
        <v>46187.40081</v>
      </c>
      <c r="B2521" s="126">
        <f>IFERROR(__xludf.DUMMYFUNCTION("""COMPUTED_VALUE"""),46187.0)</f>
        <v>46187</v>
      </c>
      <c r="C2521" s="122" t="str">
        <f>IFERROR(__xludf.DUMMYFUNCTION("""COMPUTED_VALUE"""),"WASH")</f>
        <v>WASH</v>
      </c>
      <c r="D2521" s="122" t="str">
        <f>IFERROR(__xludf.DUMMYFUNCTION("""COMPUTED_VALUE"""),"CarWash Co")</f>
        <v>CarWash Co</v>
      </c>
      <c r="E2521" s="122">
        <f>IFERROR(__xludf.DUMMYFUNCTION("""COMPUTED_VALUE"""),120.39)</f>
        <v>120.39</v>
      </c>
      <c r="F2521" s="122">
        <f>IFERROR(__xludf.DUMMYFUNCTION("""COMPUTED_VALUE"""),7.0E-4)</f>
        <v>0.0007</v>
      </c>
    </row>
    <row r="2522">
      <c r="A2522" s="131">
        <f>IFERROR(__xludf.DUMMYFUNCTION("""COMPUTED_VALUE"""),46187.40081018519)</f>
        <v>46187.40081</v>
      </c>
      <c r="B2522" s="126">
        <f>IFERROR(__xludf.DUMMYFUNCTION("""COMPUTED_VALUE"""),46187.0)</f>
        <v>46187</v>
      </c>
      <c r="C2522" s="122" t="str">
        <f>IFERROR(__xludf.DUMMYFUNCTION("""COMPUTED_VALUE"""),"GBND")</f>
        <v>GBND</v>
      </c>
      <c r="D2522" s="122" t="str">
        <f>IFERROR(__xludf.DUMMYFUNCTION("""COMPUTED_VALUE"""),"Classroom Government Bond")</f>
        <v>Classroom Government Bond</v>
      </c>
      <c r="E2522" s="122">
        <f>IFERROR(__xludf.DUMMYFUNCTION("""COMPUTED_VALUE"""),100.95)</f>
        <v>100.95</v>
      </c>
      <c r="F2522" s="122">
        <f>IFERROR(__xludf.DUMMYFUNCTION("""COMPUTED_VALUE"""),-2.0E-4)</f>
        <v>-0.0002</v>
      </c>
    </row>
    <row r="2523">
      <c r="A2523" s="131">
        <f>IFERROR(__xludf.DUMMYFUNCTION("""COMPUTED_VALUE"""),46187.40081018519)</f>
        <v>46187.40081</v>
      </c>
      <c r="B2523" s="126">
        <f>IFERROR(__xludf.DUMMYFUNCTION("""COMPUTED_VALUE"""),46187.0)</f>
        <v>46187</v>
      </c>
      <c r="C2523" s="122" t="str">
        <f>IFERROR(__xludf.DUMMYFUNCTION("""COMPUTED_VALUE"""),"SBND")</f>
        <v>SBND</v>
      </c>
      <c r="D2523" s="122" t="str">
        <f>IFERROR(__xludf.DUMMYFUNCTION("""COMPUTED_VALUE"""),"School Savings Bond")</f>
        <v>School Savings Bond</v>
      </c>
      <c r="E2523" s="122">
        <f>IFERROR(__xludf.DUMMYFUNCTION("""COMPUTED_VALUE"""),99.55)</f>
        <v>99.55</v>
      </c>
      <c r="F2523" s="122">
        <f>IFERROR(__xludf.DUMMYFUNCTION("""COMPUTED_VALUE"""),3.0E-4)</f>
        <v>0.0003</v>
      </c>
    </row>
    <row r="2524">
      <c r="A2524" s="131">
        <f>IFERROR(__xludf.DUMMYFUNCTION("""COMPUTED_VALUE"""),46187.40081018519)</f>
        <v>46187.40081</v>
      </c>
      <c r="B2524" s="126">
        <f>IFERROR(__xludf.DUMMYFUNCTION("""COMPUTED_VALUE"""),46187.0)</f>
        <v>46187</v>
      </c>
      <c r="C2524" s="122" t="str">
        <f>IFERROR(__xludf.DUMMYFUNCTION("""COMPUTED_VALUE"""),"CBND")</f>
        <v>CBND</v>
      </c>
      <c r="D2524" s="122" t="str">
        <f>IFERROR(__xludf.DUMMYFUNCTION("""COMPUTED_VALUE"""),"Corporate Classroom Bond")</f>
        <v>Corporate Classroom Bond</v>
      </c>
      <c r="E2524" s="122">
        <f>IFERROR(__xludf.DUMMYFUNCTION("""COMPUTED_VALUE"""),97.62)</f>
        <v>97.62</v>
      </c>
      <c r="F2524" s="122">
        <f>IFERROR(__xludf.DUMMYFUNCTION("""COMPUTED_VALUE"""),-4.0E-4)</f>
        <v>-0.0004</v>
      </c>
    </row>
    <row r="2525">
      <c r="A2525" s="131">
        <f>IFERROR(__xludf.DUMMYFUNCTION("""COMPUTED_VALUE"""),46187.40081018519)</f>
        <v>46187.40081</v>
      </c>
      <c r="B2525" s="126">
        <f>IFERROR(__xludf.DUMMYFUNCTION("""COMPUTED_VALUE"""),46187.0)</f>
        <v>46187</v>
      </c>
      <c r="C2525" s="122" t="str">
        <f>IFERROR(__xludf.DUMMYFUNCTION("""COMPUTED_VALUE"""),"TBIL")</f>
        <v>TBIL</v>
      </c>
      <c r="D2525" s="122" t="str">
        <f>IFERROR(__xludf.DUMMYFUNCTION("""COMPUTED_VALUE"""),"Treasury Bill")</f>
        <v>Treasury Bill</v>
      </c>
      <c r="E2525" s="122">
        <f>IFERROR(__xludf.DUMMYFUNCTION("""COMPUTED_VALUE"""),98.04)</f>
        <v>98.04</v>
      </c>
      <c r="F2525" s="122">
        <f>IFERROR(__xludf.DUMMYFUNCTION("""COMPUTED_VALUE"""),-1.0E-4)</f>
        <v>-0.0001</v>
      </c>
    </row>
    <row r="2526">
      <c r="A2526" s="131">
        <f>IFERROR(__xludf.DUMMYFUNCTION("""COMPUTED_VALUE"""),46187.40081018519)</f>
        <v>46187.40081</v>
      </c>
      <c r="B2526" s="126">
        <f>IFERROR(__xludf.DUMMYFUNCTION("""COMPUTED_VALUE"""),46187.0)</f>
        <v>46187</v>
      </c>
      <c r="C2526" s="122" t="str">
        <f>IFERROR(__xludf.DUMMYFUNCTION("""COMPUTED_VALUE"""),"IBND")</f>
        <v>IBND</v>
      </c>
      <c r="D2526" s="122" t="str">
        <f>IFERROR(__xludf.DUMMYFUNCTION("""COMPUTED_VALUE"""),"Inflation Protected Bond")</f>
        <v>Inflation Protected Bond</v>
      </c>
      <c r="E2526" s="122">
        <f>IFERROR(__xludf.DUMMYFUNCTION("""COMPUTED_VALUE"""),100.62)</f>
        <v>100.62</v>
      </c>
      <c r="F2526" s="122">
        <f>IFERROR(__xludf.DUMMYFUNCTION("""COMPUTED_VALUE"""),-1.0E-4)</f>
        <v>-0.0001</v>
      </c>
    </row>
    <row r="2527">
      <c r="A2527" s="131">
        <f>IFERROR(__xludf.DUMMYFUNCTION("""COMPUTED_VALUE"""),46187.40497685185)</f>
        <v>46187.40498</v>
      </c>
      <c r="B2527" s="126">
        <f>IFERROR(__xludf.DUMMYFUNCTION("""COMPUTED_VALUE"""),46187.0)</f>
        <v>46187</v>
      </c>
      <c r="C2527" s="122" t="str">
        <f>IFERROR(__xludf.DUMMYFUNCTION("""COMPUTED_VALUE"""),"SNAX")</f>
        <v>SNAX</v>
      </c>
      <c r="D2527" s="122" t="str">
        <f>IFERROR(__xludf.DUMMYFUNCTION("""COMPUTED_VALUE"""),"MICA Snacks")</f>
        <v>MICA Snacks</v>
      </c>
      <c r="E2527" s="122">
        <f>IFERROR(__xludf.DUMMYFUNCTION("""COMPUTED_VALUE"""),118.92)</f>
        <v>118.92</v>
      </c>
      <c r="F2527" s="122">
        <f>IFERROR(__xludf.DUMMYFUNCTION("""COMPUTED_VALUE"""),-0.0026)</f>
        <v>-0.0026</v>
      </c>
    </row>
    <row r="2528">
      <c r="A2528" s="131">
        <f>IFERROR(__xludf.DUMMYFUNCTION("""COMPUTED_VALUE"""),46187.40497685185)</f>
        <v>46187.40498</v>
      </c>
      <c r="B2528" s="126">
        <f>IFERROR(__xludf.DUMMYFUNCTION("""COMPUTED_VALUE"""),46187.0)</f>
        <v>46187</v>
      </c>
      <c r="C2528" s="122" t="str">
        <f>IFERROR(__xludf.DUMMYFUNCTION("""COMPUTED_VALUE"""),"RAMN")</f>
        <v>RAMN</v>
      </c>
      <c r="D2528" s="122" t="str">
        <f>IFERROR(__xludf.DUMMYFUNCTION("""COMPUTED_VALUE"""),"Ramen Republic")</f>
        <v>Ramen Republic</v>
      </c>
      <c r="E2528" s="122">
        <f>IFERROR(__xludf.DUMMYFUNCTION("""COMPUTED_VALUE"""),74.14)</f>
        <v>74.14</v>
      </c>
      <c r="F2528" s="122">
        <f>IFERROR(__xludf.DUMMYFUNCTION("""COMPUTED_VALUE"""),-0.0042)</f>
        <v>-0.0042</v>
      </c>
    </row>
    <row r="2529">
      <c r="A2529" s="131">
        <f>IFERROR(__xludf.DUMMYFUNCTION("""COMPUTED_VALUE"""),46187.40497685185)</f>
        <v>46187.40498</v>
      </c>
      <c r="B2529" s="126">
        <f>IFERROR(__xludf.DUMMYFUNCTION("""COMPUTED_VALUE"""),46187.0)</f>
        <v>46187</v>
      </c>
      <c r="C2529" s="122" t="str">
        <f>IFERROR(__xludf.DUMMYFUNCTION("""COMPUTED_VALUE"""),"COLA")</f>
        <v>COLA</v>
      </c>
      <c r="D2529" s="122" t="str">
        <f>IFERROR(__xludf.DUMMYFUNCTION("""COMPUTED_VALUE"""),"K-Pop Cola")</f>
        <v>K-Pop Cola</v>
      </c>
      <c r="E2529" s="122">
        <f>IFERROR(__xludf.DUMMYFUNCTION("""COMPUTED_VALUE"""),106.69)</f>
        <v>106.69</v>
      </c>
      <c r="F2529" s="122">
        <f>IFERROR(__xludf.DUMMYFUNCTION("""COMPUTED_VALUE"""),0.0027)</f>
        <v>0.0027</v>
      </c>
    </row>
    <row r="2530">
      <c r="A2530" s="131">
        <f>IFERROR(__xludf.DUMMYFUNCTION("""COMPUTED_VALUE"""),46187.40497685185)</f>
        <v>46187.40498</v>
      </c>
      <c r="B2530" s="126">
        <f>IFERROR(__xludf.DUMMYFUNCTION("""COMPUTED_VALUE"""),46187.0)</f>
        <v>46187</v>
      </c>
      <c r="C2530" s="122" t="str">
        <f>IFERROR(__xludf.DUMMYFUNCTION("""COMPUTED_VALUE"""),"CHIP")</f>
        <v>CHIP</v>
      </c>
      <c r="D2530" s="122" t="str">
        <f>IFERROR(__xludf.DUMMYFUNCTION("""COMPUTED_VALUE"""),"Chip Empire")</f>
        <v>Chip Empire</v>
      </c>
      <c r="E2530" s="122">
        <f>IFERROR(__xludf.DUMMYFUNCTION("""COMPUTED_VALUE"""),86.97)</f>
        <v>86.97</v>
      </c>
      <c r="F2530" s="122">
        <f>IFERROR(__xludf.DUMMYFUNCTION("""COMPUTED_VALUE"""),-0.0067)</f>
        <v>-0.0067</v>
      </c>
    </row>
    <row r="2531">
      <c r="A2531" s="131">
        <f>IFERROR(__xludf.DUMMYFUNCTION("""COMPUTED_VALUE"""),46187.40497685185)</f>
        <v>46187.40498</v>
      </c>
      <c r="B2531" s="126">
        <f>IFERROR(__xludf.DUMMYFUNCTION("""COMPUTED_VALUE"""),46187.0)</f>
        <v>46187</v>
      </c>
      <c r="C2531" s="122" t="str">
        <f>IFERROR(__xludf.DUMMYFUNCTION("""COMPUTED_VALUE"""),"CAND")</f>
        <v>CAND</v>
      </c>
      <c r="D2531" s="122" t="str">
        <f>IFERROR(__xludf.DUMMYFUNCTION("""COMPUTED_VALUE"""),"Candy Capital")</f>
        <v>Candy Capital</v>
      </c>
      <c r="E2531" s="122">
        <f>IFERROR(__xludf.DUMMYFUNCTION("""COMPUTED_VALUE"""),76.12)</f>
        <v>76.12</v>
      </c>
      <c r="F2531" s="122">
        <f>IFERROR(__xludf.DUMMYFUNCTION("""COMPUTED_VALUE"""),0.0065)</f>
        <v>0.0065</v>
      </c>
    </row>
    <row r="2532">
      <c r="A2532" s="131">
        <f>IFERROR(__xludf.DUMMYFUNCTION("""COMPUTED_VALUE"""),46187.40497685185)</f>
        <v>46187.40498</v>
      </c>
      <c r="B2532" s="126">
        <f>IFERROR(__xludf.DUMMYFUNCTION("""COMPUTED_VALUE"""),46187.0)</f>
        <v>46187</v>
      </c>
      <c r="C2532" s="122" t="str">
        <f>IFERROR(__xludf.DUMMYFUNCTION("""COMPUTED_VALUE"""),"TECH")</f>
        <v>TECH</v>
      </c>
      <c r="D2532" s="122" t="str">
        <f>IFERROR(__xludf.DUMMYFUNCTION("""COMPUTED_VALUE"""),"Dragon Tech")</f>
        <v>Dragon Tech</v>
      </c>
      <c r="E2532" s="122">
        <f>IFERROR(__xludf.DUMMYFUNCTION("""COMPUTED_VALUE"""),235.5)</f>
        <v>235.5</v>
      </c>
      <c r="F2532" s="122">
        <f>IFERROR(__xludf.DUMMYFUNCTION("""COMPUTED_VALUE"""),-0.0021)</f>
        <v>-0.0021</v>
      </c>
    </row>
    <row r="2533">
      <c r="A2533" s="131">
        <f>IFERROR(__xludf.DUMMYFUNCTION("""COMPUTED_VALUE"""),46187.40497685185)</f>
        <v>46187.40498</v>
      </c>
      <c r="B2533" s="126">
        <f>IFERROR(__xludf.DUMMYFUNCTION("""COMPUTED_VALUE"""),46187.0)</f>
        <v>46187</v>
      </c>
      <c r="C2533" s="122" t="str">
        <f>IFERROR(__xludf.DUMMYFUNCTION("""COMPUTED_VALUE"""),"AIBO")</f>
        <v>AIBO</v>
      </c>
      <c r="D2533" s="122" t="str">
        <f>IFERROR(__xludf.DUMMYFUNCTION("""COMPUTED_VALUE"""),"Homework AI")</f>
        <v>Homework AI</v>
      </c>
      <c r="E2533" s="122">
        <f>IFERROR(__xludf.DUMMYFUNCTION("""COMPUTED_VALUE"""),170.6)</f>
        <v>170.6</v>
      </c>
      <c r="F2533" s="122">
        <f>IFERROR(__xludf.DUMMYFUNCTION("""COMPUTED_VALUE"""),0.0119)</f>
        <v>0.0119</v>
      </c>
    </row>
    <row r="2534">
      <c r="A2534" s="131">
        <f>IFERROR(__xludf.DUMMYFUNCTION("""COMPUTED_VALUE"""),46187.40497685185)</f>
        <v>46187.40498</v>
      </c>
      <c r="B2534" s="126">
        <f>IFERROR(__xludf.DUMMYFUNCTION("""COMPUTED_VALUE"""),46187.0)</f>
        <v>46187</v>
      </c>
      <c r="C2534" s="122" t="str">
        <f>IFERROR(__xludf.DUMMYFUNCTION("""COMPUTED_VALUE"""),"GAME")</f>
        <v>GAME</v>
      </c>
      <c r="D2534" s="122" t="str">
        <f>IFERROR(__xludf.DUMMYFUNCTION("""COMPUTED_VALUE"""),"GameBox Media")</f>
        <v>GameBox Media</v>
      </c>
      <c r="E2534" s="122">
        <f>IFERROR(__xludf.DUMMYFUNCTION("""COMPUTED_VALUE"""),92.73)</f>
        <v>92.73</v>
      </c>
      <c r="F2534" s="122">
        <f>IFERROR(__xludf.DUMMYFUNCTION("""COMPUTED_VALUE"""),-0.0104)</f>
        <v>-0.0104</v>
      </c>
    </row>
    <row r="2535">
      <c r="A2535" s="131">
        <f>IFERROR(__xludf.DUMMYFUNCTION("""COMPUTED_VALUE"""),46187.40497685185)</f>
        <v>46187.40498</v>
      </c>
      <c r="B2535" s="126">
        <f>IFERROR(__xludf.DUMMYFUNCTION("""COMPUTED_VALUE"""),46187.0)</f>
        <v>46187</v>
      </c>
      <c r="C2535" s="122" t="str">
        <f>IFERROR(__xludf.DUMMYFUNCTION("""COMPUTED_VALUE"""),"VRSE")</f>
        <v>VRSE</v>
      </c>
      <c r="D2535" s="122" t="str">
        <f>IFERROR(__xludf.DUMMYFUNCTION("""COMPUTED_VALUE"""),"VerseVR")</f>
        <v>VerseVR</v>
      </c>
      <c r="E2535" s="122">
        <f>IFERROR(__xludf.DUMMYFUNCTION("""COMPUTED_VALUE"""),147.34)</f>
        <v>147.34</v>
      </c>
      <c r="F2535" s="122">
        <f>IFERROR(__xludf.DUMMYFUNCTION("""COMPUTED_VALUE"""),0.0095)</f>
        <v>0.0095</v>
      </c>
    </row>
    <row r="2536">
      <c r="A2536" s="131">
        <f>IFERROR(__xludf.DUMMYFUNCTION("""COMPUTED_VALUE"""),46187.40497685185)</f>
        <v>46187.40498</v>
      </c>
      <c r="B2536" s="126">
        <f>IFERROR(__xludf.DUMMYFUNCTION("""COMPUTED_VALUE"""),46187.0)</f>
        <v>46187</v>
      </c>
      <c r="C2536" s="122" t="str">
        <f>IFERROR(__xludf.DUMMYFUNCTION("""COMPUTED_VALUE"""),"BYTE")</f>
        <v>BYTE</v>
      </c>
      <c r="D2536" s="122" t="str">
        <f>IFERROR(__xludf.DUMMYFUNCTION("""COMPUTED_VALUE"""),"ByteWorks")</f>
        <v>ByteWorks</v>
      </c>
      <c r="E2536" s="122">
        <f>IFERROR(__xludf.DUMMYFUNCTION("""COMPUTED_VALUE"""),110.32)</f>
        <v>110.32</v>
      </c>
      <c r="F2536" s="122">
        <f>IFERROR(__xludf.DUMMYFUNCTION("""COMPUTED_VALUE"""),2.0E-4)</f>
        <v>0.0002</v>
      </c>
    </row>
    <row r="2537">
      <c r="A2537" s="131">
        <f>IFERROR(__xludf.DUMMYFUNCTION("""COMPUTED_VALUE"""),46187.40497685185)</f>
        <v>46187.40498</v>
      </c>
      <c r="B2537" s="126">
        <f>IFERROR(__xludf.DUMMYFUNCTION("""COMPUTED_VALUE"""),46187.0)</f>
        <v>46187</v>
      </c>
      <c r="C2537" s="122" t="str">
        <f>IFERROR(__xludf.DUMMYFUNCTION("""COMPUTED_VALUE"""),"BANK")</f>
        <v>BANK</v>
      </c>
      <c r="D2537" s="122" t="str">
        <f>IFERROR(__xludf.DUMMYFUNCTION("""COMPUTED_VALUE"""),"Tiger Bank")</f>
        <v>Tiger Bank</v>
      </c>
      <c r="E2537" s="122">
        <f>IFERROR(__xludf.DUMMYFUNCTION("""COMPUTED_VALUE"""),124.85)</f>
        <v>124.85</v>
      </c>
      <c r="F2537" s="122">
        <f>IFERROR(__xludf.DUMMYFUNCTION("""COMPUTED_VALUE"""),0.0014)</f>
        <v>0.0014</v>
      </c>
    </row>
    <row r="2538">
      <c r="A2538" s="131">
        <f>IFERROR(__xludf.DUMMYFUNCTION("""COMPUTED_VALUE"""),46187.40497685185)</f>
        <v>46187.40498</v>
      </c>
      <c r="B2538" s="126">
        <f>IFERROR(__xludf.DUMMYFUNCTION("""COMPUTED_VALUE"""),46187.0)</f>
        <v>46187</v>
      </c>
      <c r="C2538" s="122" t="str">
        <f>IFERROR(__xludf.DUMMYFUNCTION("""COMPUTED_VALUE"""),"CRED")</f>
        <v>CRED</v>
      </c>
      <c r="D2538" s="122" t="str">
        <f>IFERROR(__xludf.DUMMYFUNCTION("""COMPUTED_VALUE"""),"Credit Castle")</f>
        <v>Credit Castle</v>
      </c>
      <c r="E2538" s="122">
        <f>IFERROR(__xludf.DUMMYFUNCTION("""COMPUTED_VALUE"""),68.95)</f>
        <v>68.95</v>
      </c>
      <c r="F2538" s="122">
        <f>IFERROR(__xludf.DUMMYFUNCTION("""COMPUTED_VALUE"""),0.0035)</f>
        <v>0.0035</v>
      </c>
    </row>
    <row r="2539">
      <c r="A2539" s="131">
        <f>IFERROR(__xludf.DUMMYFUNCTION("""COMPUTED_VALUE"""),46187.40497685185)</f>
        <v>46187.40498</v>
      </c>
      <c r="B2539" s="126">
        <f>IFERROR(__xludf.DUMMYFUNCTION("""COMPUTED_VALUE"""),46187.0)</f>
        <v>46187</v>
      </c>
      <c r="C2539" s="122" t="str">
        <f>IFERROR(__xludf.DUMMYFUNCTION("""COMPUTED_VALUE"""),"BOND")</f>
        <v>BOND</v>
      </c>
      <c r="D2539" s="122" t="str">
        <f>IFERROR(__xludf.DUMMYFUNCTION("""COMPUTED_VALUE"""),"BondBridge")</f>
        <v>BondBridge</v>
      </c>
      <c r="E2539" s="122">
        <f>IFERROR(__xludf.DUMMYFUNCTION("""COMPUTED_VALUE"""),97.21)</f>
        <v>97.21</v>
      </c>
      <c r="F2539" s="122">
        <f>IFERROR(__xludf.DUMMYFUNCTION("""COMPUTED_VALUE"""),0.0019)</f>
        <v>0.0019</v>
      </c>
    </row>
    <row r="2540">
      <c r="A2540" s="131">
        <f>IFERROR(__xludf.DUMMYFUNCTION("""COMPUTED_VALUE"""),46187.40497685185)</f>
        <v>46187.40498</v>
      </c>
      <c r="B2540" s="126">
        <f>IFERROR(__xludf.DUMMYFUNCTION("""COMPUTED_VALUE"""),46187.0)</f>
        <v>46187</v>
      </c>
      <c r="C2540" s="122" t="str">
        <f>IFERROR(__xludf.DUMMYFUNCTION("""COMPUTED_VALUE"""),"INSR")</f>
        <v>INSR</v>
      </c>
      <c r="D2540" s="122" t="str">
        <f>IFERROR(__xludf.DUMMYFUNCTION("""COMPUTED_VALUE"""),"Shield Insurance")</f>
        <v>Shield Insurance</v>
      </c>
      <c r="E2540" s="122">
        <f>IFERROR(__xludf.DUMMYFUNCTION("""COMPUTED_VALUE"""),157.76)</f>
        <v>157.76</v>
      </c>
      <c r="F2540" s="122">
        <f>IFERROR(__xludf.DUMMYFUNCTION("""COMPUTED_VALUE"""),-0.0029)</f>
        <v>-0.0029</v>
      </c>
    </row>
    <row r="2541">
      <c r="A2541" s="131">
        <f>IFERROR(__xludf.DUMMYFUNCTION("""COMPUTED_VALUE"""),46187.40497685185)</f>
        <v>46187.40498</v>
      </c>
      <c r="B2541" s="126">
        <f>IFERROR(__xludf.DUMMYFUNCTION("""COMPUTED_VALUE"""),46187.0)</f>
        <v>46187</v>
      </c>
      <c r="C2541" s="122" t="str">
        <f>IFERROR(__xludf.DUMMYFUNCTION("""COMPUTED_VALUE"""),"LOAN")</f>
        <v>LOAN</v>
      </c>
      <c r="D2541" s="122" t="str">
        <f>IFERROR(__xludf.DUMMYFUNCTION("""COMPUTED_VALUE"""),"LoanLab")</f>
        <v>LoanLab</v>
      </c>
      <c r="E2541" s="122">
        <f>IFERROR(__xludf.DUMMYFUNCTION("""COMPUTED_VALUE"""),62.03)</f>
        <v>62.03</v>
      </c>
      <c r="F2541" s="122">
        <f>IFERROR(__xludf.DUMMYFUNCTION("""COMPUTED_VALUE"""),-0.0029)</f>
        <v>-0.0029</v>
      </c>
    </row>
    <row r="2542">
      <c r="A2542" s="131">
        <f>IFERROR(__xludf.DUMMYFUNCTION("""COMPUTED_VALUE"""),46187.40497685185)</f>
        <v>46187.40498</v>
      </c>
      <c r="B2542" s="126">
        <f>IFERROR(__xludf.DUMMYFUNCTION("""COMPUTED_VALUE"""),46187.0)</f>
        <v>46187</v>
      </c>
      <c r="C2542" s="122" t="str">
        <f>IFERROR(__xludf.DUMMYFUNCTION("""COMPUTED_VALUE"""),"LUXE")</f>
        <v>LUXE</v>
      </c>
      <c r="D2542" s="122" t="str">
        <f>IFERROR(__xludf.DUMMYFUNCTION("""COMPUTED_VALUE"""),"Luxury Locker")</f>
        <v>Luxury Locker</v>
      </c>
      <c r="E2542" s="122">
        <f>IFERROR(__xludf.DUMMYFUNCTION("""COMPUTED_VALUE"""),258.31)</f>
        <v>258.31</v>
      </c>
      <c r="F2542" s="122">
        <f>IFERROR(__xludf.DUMMYFUNCTION("""COMPUTED_VALUE"""),-0.0044)</f>
        <v>-0.0044</v>
      </c>
    </row>
    <row r="2543">
      <c r="A2543" s="131">
        <f>IFERROR(__xludf.DUMMYFUNCTION("""COMPUTED_VALUE"""),46187.40497685185)</f>
        <v>46187.40498</v>
      </c>
      <c r="B2543" s="126">
        <f>IFERROR(__xludf.DUMMYFUNCTION("""COMPUTED_VALUE"""),46187.0)</f>
        <v>46187</v>
      </c>
      <c r="C2543" s="122" t="str">
        <f>IFERROR(__xludf.DUMMYFUNCTION("""COMPUTED_VALUE"""),"DRIP")</f>
        <v>DRIP</v>
      </c>
      <c r="D2543" s="122" t="str">
        <f>IFERROR(__xludf.DUMMYFUNCTION("""COMPUTED_VALUE"""),"Drip Streetwear")</f>
        <v>Drip Streetwear</v>
      </c>
      <c r="E2543" s="122">
        <f>IFERROR(__xludf.DUMMYFUNCTION("""COMPUTED_VALUE"""),204.09)</f>
        <v>204.09</v>
      </c>
      <c r="F2543" s="122">
        <f>IFERROR(__xludf.DUMMYFUNCTION("""COMPUTED_VALUE"""),0.0092)</f>
        <v>0.0092</v>
      </c>
    </row>
    <row r="2544">
      <c r="A2544" s="131">
        <f>IFERROR(__xludf.DUMMYFUNCTION("""COMPUTED_VALUE"""),46187.40497685185)</f>
        <v>46187.40498</v>
      </c>
      <c r="B2544" s="126">
        <f>IFERROR(__xludf.DUMMYFUNCTION("""COMPUTED_VALUE"""),46187.0)</f>
        <v>46187</v>
      </c>
      <c r="C2544" s="122" t="str">
        <f>IFERROR(__xludf.DUMMYFUNCTION("""COMPUTED_VALUE"""),"KICK")</f>
        <v>KICK</v>
      </c>
      <c r="D2544" s="122" t="str">
        <f>IFERROR(__xludf.DUMMYFUNCTION("""COMPUTED_VALUE"""),"KickDrop Sneakers")</f>
        <v>KickDrop Sneakers</v>
      </c>
      <c r="E2544" s="122">
        <f>IFERROR(__xludf.DUMMYFUNCTION("""COMPUTED_VALUE"""),173.13)</f>
        <v>173.13</v>
      </c>
      <c r="F2544" s="122">
        <f>IFERROR(__xludf.DUMMYFUNCTION("""COMPUTED_VALUE"""),-1.0E-4)</f>
        <v>-0.0001</v>
      </c>
    </row>
    <row r="2545">
      <c r="A2545" s="131">
        <f>IFERROR(__xludf.DUMMYFUNCTION("""COMPUTED_VALUE"""),46187.40497685185)</f>
        <v>46187.40498</v>
      </c>
      <c r="B2545" s="126">
        <f>IFERROR(__xludf.DUMMYFUNCTION("""COMPUTED_VALUE"""),46187.0)</f>
        <v>46187</v>
      </c>
      <c r="C2545" s="122" t="str">
        <f>IFERROR(__xludf.DUMMYFUNCTION("""COMPUTED_VALUE"""),"GLAM")</f>
        <v>GLAM</v>
      </c>
      <c r="D2545" s="122" t="str">
        <f>IFERROR(__xludf.DUMMYFUNCTION("""COMPUTED_VALUE"""),"Glow Cosmetics")</f>
        <v>Glow Cosmetics</v>
      </c>
      <c r="E2545" s="122">
        <f>IFERROR(__xludf.DUMMYFUNCTION("""COMPUTED_VALUE"""),97.49)</f>
        <v>97.49</v>
      </c>
      <c r="F2545" s="122">
        <f>IFERROR(__xludf.DUMMYFUNCTION("""COMPUTED_VALUE"""),0.0078)</f>
        <v>0.0078</v>
      </c>
    </row>
    <row r="2546">
      <c r="A2546" s="131">
        <f>IFERROR(__xludf.DUMMYFUNCTION("""COMPUTED_VALUE"""),46187.40497685185)</f>
        <v>46187.40498</v>
      </c>
      <c r="B2546" s="126">
        <f>IFERROR(__xludf.DUMMYFUNCTION("""COMPUTED_VALUE"""),46187.0)</f>
        <v>46187</v>
      </c>
      <c r="C2546" s="122" t="str">
        <f>IFERROR(__xludf.DUMMYFUNCTION("""COMPUTED_VALUE"""),"BAGG")</f>
        <v>BAGG</v>
      </c>
      <c r="D2546" s="122" t="str">
        <f>IFERROR(__xludf.DUMMYFUNCTION("""COMPUTED_VALUE"""),"BagVault")</f>
        <v>BagVault</v>
      </c>
      <c r="E2546" s="122">
        <f>IFERROR(__xludf.DUMMYFUNCTION("""COMPUTED_VALUE"""),247.59)</f>
        <v>247.59</v>
      </c>
      <c r="F2546" s="122">
        <f>IFERROR(__xludf.DUMMYFUNCTION("""COMPUTED_VALUE"""),-0.0025)</f>
        <v>-0.0025</v>
      </c>
    </row>
    <row r="2547">
      <c r="A2547" s="131">
        <f>IFERROR(__xludf.DUMMYFUNCTION("""COMPUTED_VALUE"""),46187.40497685185)</f>
        <v>46187.40498</v>
      </c>
      <c r="B2547" s="126">
        <f>IFERROR(__xludf.DUMMYFUNCTION("""COMPUTED_VALUE"""),46187.0)</f>
        <v>46187</v>
      </c>
      <c r="C2547" s="122" t="str">
        <f>IFERROR(__xludf.DUMMYFUNCTION("""COMPUTED_VALUE"""),"FAST")</f>
        <v>FAST</v>
      </c>
      <c r="D2547" s="122" t="str">
        <f>IFERROR(__xludf.DUMMYFUNCTION("""COMPUTED_VALUE"""),"Flash Logistics")</f>
        <v>Flash Logistics</v>
      </c>
      <c r="E2547" s="122">
        <f>IFERROR(__xludf.DUMMYFUNCTION("""COMPUTED_VALUE"""),102.56)</f>
        <v>102.56</v>
      </c>
      <c r="F2547" s="122">
        <f>IFERROR(__xludf.DUMMYFUNCTION("""COMPUTED_VALUE"""),0.0035)</f>
        <v>0.0035</v>
      </c>
    </row>
    <row r="2548">
      <c r="A2548" s="131">
        <f>IFERROR(__xludf.DUMMYFUNCTION("""COMPUTED_VALUE"""),46187.40497685185)</f>
        <v>46187.40498</v>
      </c>
      <c r="B2548" s="126">
        <f>IFERROR(__xludf.DUMMYFUNCTION("""COMPUTED_VALUE"""),46187.0)</f>
        <v>46187</v>
      </c>
      <c r="C2548" s="122" t="str">
        <f>IFERROR(__xludf.DUMMYFUNCTION("""COMPUTED_VALUE"""),"SHIP")</f>
        <v>SHIP</v>
      </c>
      <c r="D2548" s="122" t="str">
        <f>IFERROR(__xludf.DUMMYFUNCTION("""COMPUTED_VALUE"""),"Seoul Shipping")</f>
        <v>Seoul Shipping</v>
      </c>
      <c r="E2548" s="122">
        <f>IFERROR(__xludf.DUMMYFUNCTION("""COMPUTED_VALUE"""),116.57)</f>
        <v>116.57</v>
      </c>
      <c r="F2548" s="122">
        <f>IFERROR(__xludf.DUMMYFUNCTION("""COMPUTED_VALUE"""),-0.0038)</f>
        <v>-0.0038</v>
      </c>
    </row>
    <row r="2549">
      <c r="A2549" s="131">
        <f>IFERROR(__xludf.DUMMYFUNCTION("""COMPUTED_VALUE"""),46187.40497685185)</f>
        <v>46187.40498</v>
      </c>
      <c r="B2549" s="126">
        <f>IFERROR(__xludf.DUMMYFUNCTION("""COMPUTED_VALUE"""),46187.0)</f>
        <v>46187</v>
      </c>
      <c r="C2549" s="122" t="str">
        <f>IFERROR(__xludf.DUMMYFUNCTION("""COMPUTED_VALUE"""),"DRON")</f>
        <v>DRON</v>
      </c>
      <c r="D2549" s="122" t="str">
        <f>IFERROR(__xludf.DUMMYFUNCTION("""COMPUTED_VALUE"""),"DroneDrop")</f>
        <v>DroneDrop</v>
      </c>
      <c r="E2549" s="122">
        <f>IFERROR(__xludf.DUMMYFUNCTION("""COMPUTED_VALUE"""),133.16)</f>
        <v>133.16</v>
      </c>
      <c r="F2549" s="122">
        <f>IFERROR(__xludf.DUMMYFUNCTION("""COMPUTED_VALUE"""),0.012)</f>
        <v>0.012</v>
      </c>
    </row>
    <row r="2550">
      <c r="A2550" s="131">
        <f>IFERROR(__xludf.DUMMYFUNCTION("""COMPUTED_VALUE"""),46187.40497685185)</f>
        <v>46187.40498</v>
      </c>
      <c r="B2550" s="126">
        <f>IFERROR(__xludf.DUMMYFUNCTION("""COMPUTED_VALUE"""),46187.0)</f>
        <v>46187</v>
      </c>
      <c r="C2550" s="122" t="str">
        <f>IFERROR(__xludf.DUMMYFUNCTION("""COMPUTED_VALUE"""),"RIDE")</f>
        <v>RIDE</v>
      </c>
      <c r="D2550" s="122" t="str">
        <f>IFERROR(__xludf.DUMMYFUNCTION("""COMPUTED_VALUE"""),"QuickRide")</f>
        <v>QuickRide</v>
      </c>
      <c r="E2550" s="122">
        <f>IFERROR(__xludf.DUMMYFUNCTION("""COMPUTED_VALUE"""),97.42)</f>
        <v>97.42</v>
      </c>
      <c r="F2550" s="122">
        <f>IFERROR(__xludf.DUMMYFUNCTION("""COMPUTED_VALUE"""),0.0015)</f>
        <v>0.0015</v>
      </c>
    </row>
    <row r="2551">
      <c r="A2551" s="131">
        <f>IFERROR(__xludf.DUMMYFUNCTION("""COMPUTED_VALUE"""),46187.40497685185)</f>
        <v>46187.40498</v>
      </c>
      <c r="B2551" s="126">
        <f>IFERROR(__xludf.DUMMYFUNCTION("""COMPUTED_VALUE"""),46187.0)</f>
        <v>46187</v>
      </c>
      <c r="C2551" s="122" t="str">
        <f>IFERROR(__xludf.DUMMYFUNCTION("""COMPUTED_VALUE"""),"RAIL")</f>
        <v>RAIL</v>
      </c>
      <c r="D2551" s="122" t="str">
        <f>IFERROR(__xludf.DUMMYFUNCTION("""COMPUTED_VALUE"""),"MetroRail Corp")</f>
        <v>MetroRail Corp</v>
      </c>
      <c r="E2551" s="122">
        <f>IFERROR(__xludf.DUMMYFUNCTION("""COMPUTED_VALUE"""),135.34)</f>
        <v>135.34</v>
      </c>
      <c r="F2551" s="122">
        <f>IFERROR(__xludf.DUMMYFUNCTION("""COMPUTED_VALUE"""),-0.0024)</f>
        <v>-0.0024</v>
      </c>
    </row>
    <row r="2552">
      <c r="A2552" s="131">
        <f>IFERROR(__xludf.DUMMYFUNCTION("""COMPUTED_VALUE"""),46187.40497685185)</f>
        <v>46187.40498</v>
      </c>
      <c r="B2552" s="126">
        <f>IFERROR(__xludf.DUMMYFUNCTION("""COMPUTED_VALUE"""),46187.0)</f>
        <v>46187</v>
      </c>
      <c r="C2552" s="122" t="str">
        <f>IFERROR(__xludf.DUMMYFUNCTION("""COMPUTED_VALUE"""),"MEDX")</f>
        <v>MEDX</v>
      </c>
      <c r="D2552" s="122" t="str">
        <f>IFERROR(__xludf.DUMMYFUNCTION("""COMPUTED_VALUE"""),"MediCore")</f>
        <v>MediCore</v>
      </c>
      <c r="E2552" s="122">
        <f>IFERROR(__xludf.DUMMYFUNCTION("""COMPUTED_VALUE"""),137.77)</f>
        <v>137.77</v>
      </c>
      <c r="F2552" s="122">
        <f>IFERROR(__xludf.DUMMYFUNCTION("""COMPUTED_VALUE"""),4.0E-4)</f>
        <v>0.0004</v>
      </c>
    </row>
    <row r="2553">
      <c r="A2553" s="131">
        <f>IFERROR(__xludf.DUMMYFUNCTION("""COMPUTED_VALUE"""),46187.40497685185)</f>
        <v>46187.40498</v>
      </c>
      <c r="B2553" s="126">
        <f>IFERROR(__xludf.DUMMYFUNCTION("""COMPUTED_VALUE"""),46187.0)</f>
        <v>46187</v>
      </c>
      <c r="C2553" s="122" t="str">
        <f>IFERROR(__xludf.DUMMYFUNCTION("""COMPUTED_VALUE"""),"GYMX")</f>
        <v>GYMX</v>
      </c>
      <c r="D2553" s="122" t="str">
        <f>IFERROR(__xludf.DUMMYFUNCTION("""COMPUTED_VALUE"""),"GymX Fitness")</f>
        <v>GymX Fitness</v>
      </c>
      <c r="E2553" s="122">
        <f>IFERROR(__xludf.DUMMYFUNCTION("""COMPUTED_VALUE"""),84.83)</f>
        <v>84.83</v>
      </c>
      <c r="F2553" s="122">
        <f>IFERROR(__xludf.DUMMYFUNCTION("""COMPUTED_VALUE"""),-0.0067)</f>
        <v>-0.0067</v>
      </c>
    </row>
    <row r="2554">
      <c r="A2554" s="131">
        <f>IFERROR(__xludf.DUMMYFUNCTION("""COMPUTED_VALUE"""),46187.40497685185)</f>
        <v>46187.40498</v>
      </c>
      <c r="B2554" s="126">
        <f>IFERROR(__xludf.DUMMYFUNCTION("""COMPUTED_VALUE"""),46187.0)</f>
        <v>46187</v>
      </c>
      <c r="C2554" s="122" t="str">
        <f>IFERROR(__xludf.DUMMYFUNCTION("""COMPUTED_VALUE"""),"VITA")</f>
        <v>VITA</v>
      </c>
      <c r="D2554" s="122" t="str">
        <f>IFERROR(__xludf.DUMMYFUNCTION("""COMPUTED_VALUE"""),"VitaPlus")</f>
        <v>VitaPlus</v>
      </c>
      <c r="E2554" s="122">
        <f>IFERROR(__xludf.DUMMYFUNCTION("""COMPUTED_VALUE"""),74.62)</f>
        <v>74.62</v>
      </c>
      <c r="F2554" s="122">
        <f>IFERROR(__xludf.DUMMYFUNCTION("""COMPUTED_VALUE"""),-0.0061)</f>
        <v>-0.0061</v>
      </c>
    </row>
    <row r="2555">
      <c r="A2555" s="131">
        <f>IFERROR(__xludf.DUMMYFUNCTION("""COMPUTED_VALUE"""),46187.40497685185)</f>
        <v>46187.40498</v>
      </c>
      <c r="B2555" s="126">
        <f>IFERROR(__xludf.DUMMYFUNCTION("""COMPUTED_VALUE"""),46187.0)</f>
        <v>46187</v>
      </c>
      <c r="C2555" s="122" t="str">
        <f>IFERROR(__xludf.DUMMYFUNCTION("""COMPUTED_VALUE"""),"CARE")</f>
        <v>CARE</v>
      </c>
      <c r="D2555" s="122" t="str">
        <f>IFERROR(__xludf.DUMMYFUNCTION("""COMPUTED_VALUE"""),"CareCloud")</f>
        <v>CareCloud</v>
      </c>
      <c r="E2555" s="122">
        <f>IFERROR(__xludf.DUMMYFUNCTION("""COMPUTED_VALUE"""),181.02)</f>
        <v>181.02</v>
      </c>
      <c r="F2555" s="122">
        <f>IFERROR(__xludf.DUMMYFUNCTION("""COMPUTED_VALUE"""),0.0017)</f>
        <v>0.0017</v>
      </c>
    </row>
    <row r="2556">
      <c r="A2556" s="131">
        <f>IFERROR(__xludf.DUMMYFUNCTION("""COMPUTED_VALUE"""),46187.40497685185)</f>
        <v>46187.40498</v>
      </c>
      <c r="B2556" s="126">
        <f>IFERROR(__xludf.DUMMYFUNCTION("""COMPUTED_VALUE"""),46187.0)</f>
        <v>46187</v>
      </c>
      <c r="C2556" s="122" t="str">
        <f>IFERROR(__xludf.DUMMYFUNCTION("""COMPUTED_VALUE"""),"DENT")</f>
        <v>DENT</v>
      </c>
      <c r="D2556" s="122" t="str">
        <f>IFERROR(__xludf.DUMMYFUNCTION("""COMPUTED_VALUE"""),"SmileWorks")</f>
        <v>SmileWorks</v>
      </c>
      <c r="E2556" s="122">
        <f>IFERROR(__xludf.DUMMYFUNCTION("""COMPUTED_VALUE"""),82.28)</f>
        <v>82.28</v>
      </c>
      <c r="F2556" s="122">
        <f>IFERROR(__xludf.DUMMYFUNCTION("""COMPUTED_VALUE"""),0.0013)</f>
        <v>0.0013</v>
      </c>
    </row>
    <row r="2557">
      <c r="A2557" s="131">
        <f>IFERROR(__xludf.DUMMYFUNCTION("""COMPUTED_VALUE"""),46187.40497685185)</f>
        <v>46187.40498</v>
      </c>
      <c r="B2557" s="126">
        <f>IFERROR(__xludf.DUMMYFUNCTION("""COMPUTED_VALUE"""),46187.0)</f>
        <v>46187</v>
      </c>
      <c r="C2557" s="122" t="str">
        <f>IFERROR(__xludf.DUMMYFUNCTION("""COMPUTED_VALUE"""),"EDUX")</f>
        <v>EDUX</v>
      </c>
      <c r="D2557" s="122" t="str">
        <f>IFERROR(__xludf.DUMMYFUNCTION("""COMPUTED_VALUE"""),"EduMax Learning")</f>
        <v>EduMax Learning</v>
      </c>
      <c r="E2557" s="122">
        <f>IFERROR(__xludf.DUMMYFUNCTION("""COMPUTED_VALUE"""),134.19)</f>
        <v>134.19</v>
      </c>
      <c r="F2557" s="122">
        <f>IFERROR(__xludf.DUMMYFUNCTION("""COMPUTED_VALUE"""),0.0053)</f>
        <v>0.0053</v>
      </c>
    </row>
    <row r="2558">
      <c r="A2558" s="131">
        <f>IFERROR(__xludf.DUMMYFUNCTION("""COMPUTED_VALUE"""),46187.40497685185)</f>
        <v>46187.40498</v>
      </c>
      <c r="B2558" s="126">
        <f>IFERROR(__xludf.DUMMYFUNCTION("""COMPUTED_VALUE"""),46187.0)</f>
        <v>46187</v>
      </c>
      <c r="C2558" s="122" t="str">
        <f>IFERROR(__xludf.DUMMYFUNCTION("""COMPUTED_VALUE"""),"BOOK")</f>
        <v>BOOK</v>
      </c>
      <c r="D2558" s="122" t="str">
        <f>IFERROR(__xludf.DUMMYFUNCTION("""COMPUTED_VALUE"""),"BookBridge")</f>
        <v>BookBridge</v>
      </c>
      <c r="E2558" s="122">
        <f>IFERROR(__xludf.DUMMYFUNCTION("""COMPUTED_VALUE"""),115.15)</f>
        <v>115.15</v>
      </c>
      <c r="F2558" s="122">
        <f>IFERROR(__xludf.DUMMYFUNCTION("""COMPUTED_VALUE"""),0.0013)</f>
        <v>0.0013</v>
      </c>
    </row>
    <row r="2559">
      <c r="A2559" s="131">
        <f>IFERROR(__xludf.DUMMYFUNCTION("""COMPUTED_VALUE"""),46187.40497685185)</f>
        <v>46187.40498</v>
      </c>
      <c r="B2559" s="126">
        <f>IFERROR(__xludf.DUMMYFUNCTION("""COMPUTED_VALUE"""),46187.0)</f>
        <v>46187</v>
      </c>
      <c r="C2559" s="122" t="str">
        <f>IFERROR(__xludf.DUMMYFUNCTION("""COMPUTED_VALUE"""),"TUTR")</f>
        <v>TUTR</v>
      </c>
      <c r="D2559" s="122" t="str">
        <f>IFERROR(__xludf.DUMMYFUNCTION("""COMPUTED_VALUE"""),"TutorTown")</f>
        <v>TutorTown</v>
      </c>
      <c r="E2559" s="122">
        <f>IFERROR(__xludf.DUMMYFUNCTION("""COMPUTED_VALUE"""),90.15)</f>
        <v>90.15</v>
      </c>
      <c r="F2559" s="122">
        <f>IFERROR(__xludf.DUMMYFUNCTION("""COMPUTED_VALUE"""),0.001)</f>
        <v>0.001</v>
      </c>
    </row>
    <row r="2560">
      <c r="A2560" s="131">
        <f>IFERROR(__xludf.DUMMYFUNCTION("""COMPUTED_VALUE"""),46187.40497685185)</f>
        <v>46187.40498</v>
      </c>
      <c r="B2560" s="126">
        <f>IFERROR(__xludf.DUMMYFUNCTION("""COMPUTED_VALUE"""),46187.0)</f>
        <v>46187</v>
      </c>
      <c r="C2560" s="122" t="str">
        <f>IFERROR(__xludf.DUMMYFUNCTION("""COMPUTED_VALUE"""),"LANG")</f>
        <v>LANG</v>
      </c>
      <c r="D2560" s="122" t="str">
        <f>IFERROR(__xludf.DUMMYFUNCTION("""COMPUTED_VALUE"""),"LinguaLab")</f>
        <v>LinguaLab</v>
      </c>
      <c r="E2560" s="122">
        <f>IFERROR(__xludf.DUMMYFUNCTION("""COMPUTED_VALUE"""),97.16)</f>
        <v>97.16</v>
      </c>
      <c r="F2560" s="122">
        <f>IFERROR(__xludf.DUMMYFUNCTION("""COMPUTED_VALUE"""),0.0038)</f>
        <v>0.0038</v>
      </c>
    </row>
    <row r="2561">
      <c r="A2561" s="131">
        <f>IFERROR(__xludf.DUMMYFUNCTION("""COMPUTED_VALUE"""),46187.40497685185)</f>
        <v>46187.40498</v>
      </c>
      <c r="B2561" s="126">
        <f>IFERROR(__xludf.DUMMYFUNCTION("""COMPUTED_VALUE"""),46187.0)</f>
        <v>46187</v>
      </c>
      <c r="C2561" s="122" t="str">
        <f>IFERROR(__xludf.DUMMYFUNCTION("""COMPUTED_VALUE"""),"TEST")</f>
        <v>TEST</v>
      </c>
      <c r="D2561" s="122" t="str">
        <f>IFERROR(__xludf.DUMMYFUNCTION("""COMPUTED_VALUE"""),"TestPrep Pro")</f>
        <v>TestPrep Pro</v>
      </c>
      <c r="E2561" s="122">
        <f>IFERROR(__xludf.DUMMYFUNCTION("""COMPUTED_VALUE"""),101.03)</f>
        <v>101.03</v>
      </c>
      <c r="F2561" s="122">
        <f>IFERROR(__xludf.DUMMYFUNCTION("""COMPUTED_VALUE"""),-0.0068)</f>
        <v>-0.0068</v>
      </c>
    </row>
    <row r="2562">
      <c r="A2562" s="131">
        <f>IFERROR(__xludf.DUMMYFUNCTION("""COMPUTED_VALUE"""),46187.40497685185)</f>
        <v>46187.40498</v>
      </c>
      <c r="B2562" s="126">
        <f>IFERROR(__xludf.DUMMYFUNCTION("""COMPUTED_VALUE"""),46187.0)</f>
        <v>46187</v>
      </c>
      <c r="C2562" s="122" t="str">
        <f>IFERROR(__xludf.DUMMYFUNCTION("""COMPUTED_VALUE"""),"MOVI")</f>
        <v>MOVI</v>
      </c>
      <c r="D2562" s="122" t="str">
        <f>IFERROR(__xludf.DUMMYFUNCTION("""COMPUTED_VALUE"""),"MovieBox")</f>
        <v>MovieBox</v>
      </c>
      <c r="E2562" s="122">
        <f>IFERROR(__xludf.DUMMYFUNCTION("""COMPUTED_VALUE"""),80.73)</f>
        <v>80.73</v>
      </c>
      <c r="F2562" s="122">
        <f>IFERROR(__xludf.DUMMYFUNCTION("""COMPUTED_VALUE"""),0.0044)</f>
        <v>0.0044</v>
      </c>
    </row>
    <row r="2563">
      <c r="A2563" s="131">
        <f>IFERROR(__xludf.DUMMYFUNCTION("""COMPUTED_VALUE"""),46187.40497685185)</f>
        <v>46187.40498</v>
      </c>
      <c r="B2563" s="126">
        <f>IFERROR(__xludf.DUMMYFUNCTION("""COMPUTED_VALUE"""),46187.0)</f>
        <v>46187</v>
      </c>
      <c r="C2563" s="122" t="str">
        <f>IFERROR(__xludf.DUMMYFUNCTION("""COMPUTED_VALUE"""),"MUSC")</f>
        <v>MUSC</v>
      </c>
      <c r="D2563" s="122" t="str">
        <f>IFERROR(__xludf.DUMMYFUNCTION("""COMPUTED_VALUE"""),"MusicWave")</f>
        <v>MusicWave</v>
      </c>
      <c r="E2563" s="122">
        <f>IFERROR(__xludf.DUMMYFUNCTION("""COMPUTED_VALUE"""),96.86)</f>
        <v>96.86</v>
      </c>
      <c r="F2563" s="122">
        <f>IFERROR(__xludf.DUMMYFUNCTION("""COMPUTED_VALUE"""),0.0074)</f>
        <v>0.0074</v>
      </c>
    </row>
    <row r="2564">
      <c r="A2564" s="131">
        <f>IFERROR(__xludf.DUMMYFUNCTION("""COMPUTED_VALUE"""),46187.40497685185)</f>
        <v>46187.40498</v>
      </c>
      <c r="B2564" s="126">
        <f>IFERROR(__xludf.DUMMYFUNCTION("""COMPUTED_VALUE"""),46187.0)</f>
        <v>46187</v>
      </c>
      <c r="C2564" s="122" t="str">
        <f>IFERROR(__xludf.DUMMYFUNCTION("""COMPUTED_VALUE"""),"IDOL")</f>
        <v>IDOL</v>
      </c>
      <c r="D2564" s="122" t="str">
        <f>IFERROR(__xludf.DUMMYFUNCTION("""COMPUTED_VALUE"""),"Idol Agency")</f>
        <v>Idol Agency</v>
      </c>
      <c r="E2564" s="122">
        <f>IFERROR(__xludf.DUMMYFUNCTION("""COMPUTED_VALUE"""),198.34)</f>
        <v>198.34</v>
      </c>
      <c r="F2564" s="122">
        <f>IFERROR(__xludf.DUMMYFUNCTION("""COMPUTED_VALUE"""),-0.0016)</f>
        <v>-0.0016</v>
      </c>
    </row>
    <row r="2565">
      <c r="A2565" s="131">
        <f>IFERROR(__xludf.DUMMYFUNCTION("""COMPUTED_VALUE"""),46187.40497685185)</f>
        <v>46187.40498</v>
      </c>
      <c r="B2565" s="126">
        <f>IFERROR(__xludf.DUMMYFUNCTION("""COMPUTED_VALUE"""),46187.0)</f>
        <v>46187</v>
      </c>
      <c r="C2565" s="122" t="str">
        <f>IFERROR(__xludf.DUMMYFUNCTION("""COMPUTED_VALUE"""),"MEME")</f>
        <v>MEME</v>
      </c>
      <c r="D2565" s="122" t="str">
        <f>IFERROR(__xludf.DUMMYFUNCTION("""COMPUTED_VALUE"""),"Meme Media")</f>
        <v>Meme Media</v>
      </c>
      <c r="E2565" s="122">
        <f>IFERROR(__xludf.DUMMYFUNCTION("""COMPUTED_VALUE"""),78.34)</f>
        <v>78.34</v>
      </c>
      <c r="F2565" s="122">
        <f>IFERROR(__xludf.DUMMYFUNCTION("""COMPUTED_VALUE"""),0.0023)</f>
        <v>0.0023</v>
      </c>
    </row>
    <row r="2566">
      <c r="A2566" s="131">
        <f>IFERROR(__xludf.DUMMYFUNCTION("""COMPUTED_VALUE"""),46187.40497685185)</f>
        <v>46187.40498</v>
      </c>
      <c r="B2566" s="126">
        <f>IFERROR(__xludf.DUMMYFUNCTION("""COMPUTED_VALUE"""),46187.0)</f>
        <v>46187</v>
      </c>
      <c r="C2566" s="122" t="str">
        <f>IFERROR(__xludf.DUMMYFUNCTION("""COMPUTED_VALUE"""),"STRM")</f>
        <v>STRM</v>
      </c>
      <c r="D2566" s="122" t="str">
        <f>IFERROR(__xludf.DUMMYFUNCTION("""COMPUTED_VALUE"""),"Streamly")</f>
        <v>Streamly</v>
      </c>
      <c r="E2566" s="122">
        <f>IFERROR(__xludf.DUMMYFUNCTION("""COMPUTED_VALUE"""),136.73)</f>
        <v>136.73</v>
      </c>
      <c r="F2566" s="122">
        <f>IFERROR(__xludf.DUMMYFUNCTION("""COMPUTED_VALUE"""),0.0034)</f>
        <v>0.0034</v>
      </c>
    </row>
    <row r="2567">
      <c r="A2567" s="131">
        <f>IFERROR(__xludf.DUMMYFUNCTION("""COMPUTED_VALUE"""),46187.40497685185)</f>
        <v>46187.40498</v>
      </c>
      <c r="B2567" s="126">
        <f>IFERROR(__xludf.DUMMYFUNCTION("""COMPUTED_VALUE"""),46187.0)</f>
        <v>46187</v>
      </c>
      <c r="C2567" s="122" t="str">
        <f>IFERROR(__xludf.DUMMYFUNCTION("""COMPUTED_VALUE"""),"FARM")</f>
        <v>FARM</v>
      </c>
      <c r="D2567" s="122" t="str">
        <f>IFERROR(__xludf.DUMMYFUNCTION("""COMPUTED_VALUE"""),"Future Farms")</f>
        <v>Future Farms</v>
      </c>
      <c r="E2567" s="122">
        <f>IFERROR(__xludf.DUMMYFUNCTION("""COMPUTED_VALUE"""),82.74)</f>
        <v>82.74</v>
      </c>
      <c r="F2567" s="122">
        <f>IFERROR(__xludf.DUMMYFUNCTION("""COMPUTED_VALUE"""),0.0042)</f>
        <v>0.0042</v>
      </c>
    </row>
    <row r="2568">
      <c r="A2568" s="131">
        <f>IFERROR(__xludf.DUMMYFUNCTION("""COMPUTED_VALUE"""),46187.40497685185)</f>
        <v>46187.40498</v>
      </c>
      <c r="B2568" s="126">
        <f>IFERROR(__xludf.DUMMYFUNCTION("""COMPUTED_VALUE"""),46187.0)</f>
        <v>46187</v>
      </c>
      <c r="C2568" s="122" t="str">
        <f>IFERROR(__xludf.DUMMYFUNCTION("""COMPUTED_VALUE"""),"MEAT")</f>
        <v>MEAT</v>
      </c>
      <c r="D2568" s="122" t="str">
        <f>IFERROR(__xludf.DUMMYFUNCTION("""COMPUTED_VALUE"""),"MeatWorks")</f>
        <v>MeatWorks</v>
      </c>
      <c r="E2568" s="122">
        <f>IFERROR(__xludf.DUMMYFUNCTION("""COMPUTED_VALUE"""),102.16)</f>
        <v>102.16</v>
      </c>
      <c r="F2568" s="122">
        <f>IFERROR(__xludf.DUMMYFUNCTION("""COMPUTED_VALUE"""),0.0015)</f>
        <v>0.0015</v>
      </c>
    </row>
    <row r="2569">
      <c r="A2569" s="131">
        <f>IFERROR(__xludf.DUMMYFUNCTION("""COMPUTED_VALUE"""),46187.40497685185)</f>
        <v>46187.40498</v>
      </c>
      <c r="B2569" s="126">
        <f>IFERROR(__xludf.DUMMYFUNCTION("""COMPUTED_VALUE"""),46187.0)</f>
        <v>46187</v>
      </c>
      <c r="C2569" s="122" t="str">
        <f>IFERROR(__xludf.DUMMYFUNCTION("""COMPUTED_VALUE"""),"VEGI")</f>
        <v>VEGI</v>
      </c>
      <c r="D2569" s="122" t="str">
        <f>IFERROR(__xludf.DUMMYFUNCTION("""COMPUTED_VALUE"""),"Green Basket")</f>
        <v>Green Basket</v>
      </c>
      <c r="E2569" s="122">
        <f>IFERROR(__xludf.DUMMYFUNCTION("""COMPUTED_VALUE"""),81.96)</f>
        <v>81.96</v>
      </c>
      <c r="F2569" s="122">
        <f>IFERROR(__xludf.DUMMYFUNCTION("""COMPUTED_VALUE"""),-0.0051)</f>
        <v>-0.0051</v>
      </c>
    </row>
    <row r="2570">
      <c r="A2570" s="131">
        <f>IFERROR(__xludf.DUMMYFUNCTION("""COMPUTED_VALUE"""),46187.40497685185)</f>
        <v>46187.40498</v>
      </c>
      <c r="B2570" s="126">
        <f>IFERROR(__xludf.DUMMYFUNCTION("""COMPUTED_VALUE"""),46187.0)</f>
        <v>46187</v>
      </c>
      <c r="C2570" s="122" t="str">
        <f>IFERROR(__xludf.DUMMYFUNCTION("""COMPUTED_VALUE"""),"CAFE")</f>
        <v>CAFE</v>
      </c>
      <c r="D2570" s="122" t="str">
        <f>IFERROR(__xludf.DUMMYFUNCTION("""COMPUTED_VALUE"""),"Cafe Cloud")</f>
        <v>Cafe Cloud</v>
      </c>
      <c r="E2570" s="122">
        <f>IFERROR(__xludf.DUMMYFUNCTION("""COMPUTED_VALUE"""),100.04)</f>
        <v>100.04</v>
      </c>
      <c r="F2570" s="122">
        <f>IFERROR(__xludf.DUMMYFUNCTION("""COMPUTED_VALUE"""),-0.0059)</f>
        <v>-0.0059</v>
      </c>
    </row>
    <row r="2571">
      <c r="A2571" s="131">
        <f>IFERROR(__xludf.DUMMYFUNCTION("""COMPUTED_VALUE"""),46187.40497685185)</f>
        <v>46187.40498</v>
      </c>
      <c r="B2571" s="126">
        <f>IFERROR(__xludf.DUMMYFUNCTION("""COMPUTED_VALUE"""),46187.0)</f>
        <v>46187</v>
      </c>
      <c r="C2571" s="122" t="str">
        <f>IFERROR(__xludf.DUMMYFUNCTION("""COMPUTED_VALUE"""),"BAKE")</f>
        <v>BAKE</v>
      </c>
      <c r="D2571" s="122" t="str">
        <f>IFERROR(__xludf.DUMMYFUNCTION("""COMPUTED_VALUE"""),"BakeHouse")</f>
        <v>BakeHouse</v>
      </c>
      <c r="E2571" s="122">
        <f>IFERROR(__xludf.DUMMYFUNCTION("""COMPUTED_VALUE"""),99.35)</f>
        <v>99.35</v>
      </c>
      <c r="F2571" s="122">
        <f>IFERROR(__xludf.DUMMYFUNCTION("""COMPUTED_VALUE"""),-0.0029)</f>
        <v>-0.0029</v>
      </c>
    </row>
    <row r="2572">
      <c r="A2572" s="131">
        <f>IFERROR(__xludf.DUMMYFUNCTION("""COMPUTED_VALUE"""),46187.40497685185)</f>
        <v>46187.40498</v>
      </c>
      <c r="B2572" s="126">
        <f>IFERROR(__xludf.DUMMYFUNCTION("""COMPUTED_VALUE"""),46187.0)</f>
        <v>46187</v>
      </c>
      <c r="C2572" s="122" t="str">
        <f>IFERROR(__xludf.DUMMYFUNCTION("""COMPUTED_VALUE"""),"OILX")</f>
        <v>OILX</v>
      </c>
      <c r="D2572" s="122" t="str">
        <f>IFERROR(__xludf.DUMMYFUNCTION("""COMPUTED_VALUE"""),"OilMax Energy")</f>
        <v>OilMax Energy</v>
      </c>
      <c r="E2572" s="122">
        <f>IFERROR(__xludf.DUMMYFUNCTION("""COMPUTED_VALUE"""),129.96)</f>
        <v>129.96</v>
      </c>
      <c r="F2572" s="122">
        <f>IFERROR(__xludf.DUMMYFUNCTION("""COMPUTED_VALUE"""),0.0032)</f>
        <v>0.0032</v>
      </c>
    </row>
    <row r="2573">
      <c r="A2573" s="131">
        <f>IFERROR(__xludf.DUMMYFUNCTION("""COMPUTED_VALUE"""),46187.40497685185)</f>
        <v>46187.40498</v>
      </c>
      <c r="B2573" s="126">
        <f>IFERROR(__xludf.DUMMYFUNCTION("""COMPUTED_VALUE"""),46187.0)</f>
        <v>46187</v>
      </c>
      <c r="C2573" s="122" t="str">
        <f>IFERROR(__xludf.DUMMYFUNCTION("""COMPUTED_VALUE"""),"SOLR")</f>
        <v>SOLR</v>
      </c>
      <c r="D2573" s="122" t="str">
        <f>IFERROR(__xludf.DUMMYFUNCTION("""COMPUTED_VALUE"""),"SolarSpark")</f>
        <v>SolarSpark</v>
      </c>
      <c r="E2573" s="122">
        <f>IFERROR(__xludf.DUMMYFUNCTION("""COMPUTED_VALUE"""),88.59)</f>
        <v>88.59</v>
      </c>
      <c r="F2573" s="122">
        <f>IFERROR(__xludf.DUMMYFUNCTION("""COMPUTED_VALUE"""),0.0046)</f>
        <v>0.0046</v>
      </c>
    </row>
    <row r="2574">
      <c r="A2574" s="131">
        <f>IFERROR(__xludf.DUMMYFUNCTION("""COMPUTED_VALUE"""),46187.40497685185)</f>
        <v>46187.40498</v>
      </c>
      <c r="B2574" s="126">
        <f>IFERROR(__xludf.DUMMYFUNCTION("""COMPUTED_VALUE"""),46187.0)</f>
        <v>46187</v>
      </c>
      <c r="C2574" s="122" t="str">
        <f>IFERROR(__xludf.DUMMYFUNCTION("""COMPUTED_VALUE"""),"BATT")</f>
        <v>BATT</v>
      </c>
      <c r="D2574" s="122" t="str">
        <f>IFERROR(__xludf.DUMMYFUNCTION("""COMPUTED_VALUE"""),"BatteryBox")</f>
        <v>BatteryBox</v>
      </c>
      <c r="E2574" s="122">
        <f>IFERROR(__xludf.DUMMYFUNCTION("""COMPUTED_VALUE"""),120.87)</f>
        <v>120.87</v>
      </c>
      <c r="F2574" s="122">
        <f>IFERROR(__xludf.DUMMYFUNCTION("""COMPUTED_VALUE"""),-0.0028)</f>
        <v>-0.0028</v>
      </c>
    </row>
    <row r="2575">
      <c r="A2575" s="131">
        <f>IFERROR(__xludf.DUMMYFUNCTION("""COMPUTED_VALUE"""),46187.40497685185)</f>
        <v>46187.40498</v>
      </c>
      <c r="B2575" s="126">
        <f>IFERROR(__xludf.DUMMYFUNCTION("""COMPUTED_VALUE"""),46187.0)</f>
        <v>46187</v>
      </c>
      <c r="C2575" s="122" t="str">
        <f>IFERROR(__xludf.DUMMYFUNCTION("""COMPUTED_VALUE"""),"WIND")</f>
        <v>WIND</v>
      </c>
      <c r="D2575" s="122" t="str">
        <f>IFERROR(__xludf.DUMMYFUNCTION("""COMPUTED_VALUE"""),"WindWorks")</f>
        <v>WindWorks</v>
      </c>
      <c r="E2575" s="122">
        <f>IFERROR(__xludf.DUMMYFUNCTION("""COMPUTED_VALUE"""),87.39)</f>
        <v>87.39</v>
      </c>
      <c r="F2575" s="122">
        <f>IFERROR(__xludf.DUMMYFUNCTION("""COMPUTED_VALUE"""),0.0047)</f>
        <v>0.0047</v>
      </c>
    </row>
    <row r="2576">
      <c r="A2576" s="131">
        <f>IFERROR(__xludf.DUMMYFUNCTION("""COMPUTED_VALUE"""),46187.40497685185)</f>
        <v>46187.40498</v>
      </c>
      <c r="B2576" s="126">
        <f>IFERROR(__xludf.DUMMYFUNCTION("""COMPUTED_VALUE"""),46187.0)</f>
        <v>46187</v>
      </c>
      <c r="C2576" s="122" t="str">
        <f>IFERROR(__xludf.DUMMYFUNCTION("""COMPUTED_VALUE"""),"GRID")</f>
        <v>GRID</v>
      </c>
      <c r="D2576" s="122" t="str">
        <f>IFERROR(__xludf.DUMMYFUNCTION("""COMPUTED_VALUE"""),"GridPower")</f>
        <v>GridPower</v>
      </c>
      <c r="E2576" s="122">
        <f>IFERROR(__xludf.DUMMYFUNCTION("""COMPUTED_VALUE"""),143.19)</f>
        <v>143.19</v>
      </c>
      <c r="F2576" s="122">
        <f>IFERROR(__xludf.DUMMYFUNCTION("""COMPUTED_VALUE"""),-0.0019)</f>
        <v>-0.0019</v>
      </c>
    </row>
    <row r="2577">
      <c r="A2577" s="131">
        <f>IFERROR(__xludf.DUMMYFUNCTION("""COMPUTED_VALUE"""),46187.40497685185)</f>
        <v>46187.40498</v>
      </c>
      <c r="B2577" s="126">
        <f>IFERROR(__xludf.DUMMYFUNCTION("""COMPUTED_VALUE"""),46187.0)</f>
        <v>46187</v>
      </c>
      <c r="C2577" s="122" t="str">
        <f>IFERROR(__xludf.DUMMYFUNCTION("""COMPUTED_VALUE"""),"HOME")</f>
        <v>HOME</v>
      </c>
      <c r="D2577" s="122" t="str">
        <f>IFERROR(__xludf.DUMMYFUNCTION("""COMPUTED_VALUE"""),"HomeHub")</f>
        <v>HomeHub</v>
      </c>
      <c r="E2577" s="122">
        <f>IFERROR(__xludf.DUMMYFUNCTION("""COMPUTED_VALUE"""),148.39)</f>
        <v>148.39</v>
      </c>
      <c r="F2577" s="122">
        <f>IFERROR(__xludf.DUMMYFUNCTION("""COMPUTED_VALUE"""),1.0E-4)</f>
        <v>0.0001</v>
      </c>
    </row>
    <row r="2578">
      <c r="A2578" s="131">
        <f>IFERROR(__xludf.DUMMYFUNCTION("""COMPUTED_VALUE"""),46187.40497685185)</f>
        <v>46187.40498</v>
      </c>
      <c r="B2578" s="126">
        <f>IFERROR(__xludf.DUMMYFUNCTION("""COMPUTED_VALUE"""),46187.0)</f>
        <v>46187</v>
      </c>
      <c r="C2578" s="122" t="str">
        <f>IFERROR(__xludf.DUMMYFUNCTION("""COMPUTED_VALUE"""),"RENT")</f>
        <v>RENT</v>
      </c>
      <c r="D2578" s="122" t="str">
        <f>IFERROR(__xludf.DUMMYFUNCTION("""COMPUTED_VALUE"""),"RentRight")</f>
        <v>RentRight</v>
      </c>
      <c r="E2578" s="122">
        <f>IFERROR(__xludf.DUMMYFUNCTION("""COMPUTED_VALUE"""),92.54)</f>
        <v>92.54</v>
      </c>
      <c r="F2578" s="122">
        <f>IFERROR(__xludf.DUMMYFUNCTION("""COMPUTED_VALUE"""),0.0053)</f>
        <v>0.0053</v>
      </c>
    </row>
    <row r="2579">
      <c r="A2579" s="131">
        <f>IFERROR(__xludf.DUMMYFUNCTION("""COMPUTED_VALUE"""),46187.40497685185)</f>
        <v>46187.40498</v>
      </c>
      <c r="B2579" s="126">
        <f>IFERROR(__xludf.DUMMYFUNCTION("""COMPUTED_VALUE"""),46187.0)</f>
        <v>46187</v>
      </c>
      <c r="C2579" s="122" t="str">
        <f>IFERROR(__xludf.DUMMYFUNCTION("""COMPUTED_VALUE"""),"MALL")</f>
        <v>MALL</v>
      </c>
      <c r="D2579" s="122" t="str">
        <f>IFERROR(__xludf.DUMMYFUNCTION("""COMPUTED_VALUE"""),"MegaMall")</f>
        <v>MegaMall</v>
      </c>
      <c r="E2579" s="122">
        <f>IFERROR(__xludf.DUMMYFUNCTION("""COMPUTED_VALUE"""),99.75)</f>
        <v>99.75</v>
      </c>
      <c r="F2579" s="122">
        <f>IFERROR(__xludf.DUMMYFUNCTION("""COMPUTED_VALUE"""),0.0042)</f>
        <v>0.0042</v>
      </c>
    </row>
    <row r="2580">
      <c r="A2580" s="131">
        <f>IFERROR(__xludf.DUMMYFUNCTION("""COMPUTED_VALUE"""),46187.40497685185)</f>
        <v>46187.40498</v>
      </c>
      <c r="B2580" s="126">
        <f>IFERROR(__xludf.DUMMYFUNCTION("""COMPUTED_VALUE"""),46187.0)</f>
        <v>46187</v>
      </c>
      <c r="C2580" s="122" t="str">
        <f>IFERROR(__xludf.DUMMYFUNCTION("""COMPUTED_VALUE"""),"HOTL")</f>
        <v>HOTL</v>
      </c>
      <c r="D2580" s="122" t="str">
        <f>IFERROR(__xludf.DUMMYFUNCTION("""COMPUTED_VALUE"""),"HotelHive")</f>
        <v>HotelHive</v>
      </c>
      <c r="E2580" s="122">
        <f>IFERROR(__xludf.DUMMYFUNCTION("""COMPUTED_VALUE"""),132.57)</f>
        <v>132.57</v>
      </c>
      <c r="F2580" s="122">
        <f>IFERROR(__xludf.DUMMYFUNCTION("""COMPUTED_VALUE"""),0.0048)</f>
        <v>0.0048</v>
      </c>
    </row>
    <row r="2581">
      <c r="A2581" s="131">
        <f>IFERROR(__xludf.DUMMYFUNCTION("""COMPUTED_VALUE"""),46187.40497685185)</f>
        <v>46187.40498</v>
      </c>
      <c r="B2581" s="126">
        <f>IFERROR(__xludf.DUMMYFUNCTION("""COMPUTED_VALUE"""),46187.0)</f>
        <v>46187</v>
      </c>
      <c r="C2581" s="122" t="str">
        <f>IFERROR(__xludf.DUMMYFUNCTION("""COMPUTED_VALUE"""),"LAND")</f>
        <v>LAND</v>
      </c>
      <c r="D2581" s="122" t="str">
        <f>IFERROR(__xludf.DUMMYFUNCTION("""COMPUTED_VALUE"""),"LandLink")</f>
        <v>LandLink</v>
      </c>
      <c r="E2581" s="122">
        <f>IFERROR(__xludf.DUMMYFUNCTION("""COMPUTED_VALUE"""),182.27)</f>
        <v>182.27</v>
      </c>
      <c r="F2581" s="122">
        <f>IFERROR(__xludf.DUMMYFUNCTION("""COMPUTED_VALUE"""),0.0032)</f>
        <v>0.0032</v>
      </c>
    </row>
    <row r="2582">
      <c r="A2582" s="131">
        <f>IFERROR(__xludf.DUMMYFUNCTION("""COMPUTED_VALUE"""),46187.40497685185)</f>
        <v>46187.40498</v>
      </c>
      <c r="B2582" s="126">
        <f>IFERROR(__xludf.DUMMYFUNCTION("""COMPUTED_VALUE"""),46187.0)</f>
        <v>46187</v>
      </c>
      <c r="C2582" s="122" t="str">
        <f>IFERROR(__xludf.DUMMYFUNCTION("""COMPUTED_VALUE"""),"CARS")</f>
        <v>CARS</v>
      </c>
      <c r="D2582" s="122" t="str">
        <f>IFERROR(__xludf.DUMMYFUNCTION("""COMPUTED_VALUE"""),"AutoArena")</f>
        <v>AutoArena</v>
      </c>
      <c r="E2582" s="122">
        <f>IFERROR(__xludf.DUMMYFUNCTION("""COMPUTED_VALUE"""),78.91)</f>
        <v>78.91</v>
      </c>
      <c r="F2582" s="122">
        <f>IFERROR(__xludf.DUMMYFUNCTION("""COMPUTED_VALUE"""),0.0068)</f>
        <v>0.0068</v>
      </c>
    </row>
    <row r="2583">
      <c r="A2583" s="131">
        <f>IFERROR(__xludf.DUMMYFUNCTION("""COMPUTED_VALUE"""),46187.40497685185)</f>
        <v>46187.40498</v>
      </c>
      <c r="B2583" s="126">
        <f>IFERROR(__xludf.DUMMYFUNCTION("""COMPUTED_VALUE"""),46187.0)</f>
        <v>46187</v>
      </c>
      <c r="C2583" s="122" t="str">
        <f>IFERROR(__xludf.DUMMYFUNCTION("""COMPUTED_VALUE"""),"EVGO")</f>
        <v>EVGO</v>
      </c>
      <c r="D2583" s="122" t="str">
        <f>IFERROR(__xludf.DUMMYFUNCTION("""COMPUTED_VALUE"""),"EVGo Motors")</f>
        <v>EVGo Motors</v>
      </c>
      <c r="E2583" s="122">
        <f>IFERROR(__xludf.DUMMYFUNCTION("""COMPUTED_VALUE"""),192.85)</f>
        <v>192.85</v>
      </c>
      <c r="F2583" s="122">
        <f>IFERROR(__xludf.DUMMYFUNCTION("""COMPUTED_VALUE"""),-0.0115)</f>
        <v>-0.0115</v>
      </c>
    </row>
    <row r="2584">
      <c r="A2584" s="131">
        <f>IFERROR(__xludf.DUMMYFUNCTION("""COMPUTED_VALUE"""),46187.40497685185)</f>
        <v>46187.40498</v>
      </c>
      <c r="B2584" s="126">
        <f>IFERROR(__xludf.DUMMYFUNCTION("""COMPUTED_VALUE"""),46187.0)</f>
        <v>46187</v>
      </c>
      <c r="C2584" s="122" t="str">
        <f>IFERROR(__xludf.DUMMYFUNCTION("""COMPUTED_VALUE"""),"TIRE")</f>
        <v>TIRE</v>
      </c>
      <c r="D2584" s="122" t="str">
        <f>IFERROR(__xludf.DUMMYFUNCTION("""COMPUTED_VALUE"""),"TireTown")</f>
        <v>TireTown</v>
      </c>
      <c r="E2584" s="122">
        <f>IFERROR(__xludf.DUMMYFUNCTION("""COMPUTED_VALUE"""),92.14)</f>
        <v>92.14</v>
      </c>
      <c r="F2584" s="122">
        <f>IFERROR(__xludf.DUMMYFUNCTION("""COMPUTED_VALUE"""),-0.0016)</f>
        <v>-0.0016</v>
      </c>
    </row>
    <row r="2585">
      <c r="A2585" s="131">
        <f>IFERROR(__xludf.DUMMYFUNCTION("""COMPUTED_VALUE"""),46187.40497685185)</f>
        <v>46187.40498</v>
      </c>
      <c r="B2585" s="126">
        <f>IFERROR(__xludf.DUMMYFUNCTION("""COMPUTED_VALUE"""),46187.0)</f>
        <v>46187</v>
      </c>
      <c r="C2585" s="122" t="str">
        <f>IFERROR(__xludf.DUMMYFUNCTION("""COMPUTED_VALUE"""),"BIKE")</f>
        <v>BIKE</v>
      </c>
      <c r="D2585" s="122" t="str">
        <f>IFERROR(__xludf.DUMMYFUNCTION("""COMPUTED_VALUE"""),"BikeBox")</f>
        <v>BikeBox</v>
      </c>
      <c r="E2585" s="122">
        <f>IFERROR(__xludf.DUMMYFUNCTION("""COMPUTED_VALUE"""),53.82)</f>
        <v>53.82</v>
      </c>
      <c r="F2585" s="122">
        <f>IFERROR(__xludf.DUMMYFUNCTION("""COMPUTED_VALUE"""),0.0049)</f>
        <v>0.0049</v>
      </c>
    </row>
    <row r="2586">
      <c r="A2586" s="131">
        <f>IFERROR(__xludf.DUMMYFUNCTION("""COMPUTED_VALUE"""),46187.40497685185)</f>
        <v>46187.40498</v>
      </c>
      <c r="B2586" s="126">
        <f>IFERROR(__xludf.DUMMYFUNCTION("""COMPUTED_VALUE"""),46187.0)</f>
        <v>46187</v>
      </c>
      <c r="C2586" s="122" t="str">
        <f>IFERROR(__xludf.DUMMYFUNCTION("""COMPUTED_VALUE"""),"WASH")</f>
        <v>WASH</v>
      </c>
      <c r="D2586" s="122" t="str">
        <f>IFERROR(__xludf.DUMMYFUNCTION("""COMPUTED_VALUE"""),"CarWash Co")</f>
        <v>CarWash Co</v>
      </c>
      <c r="E2586" s="122">
        <f>IFERROR(__xludf.DUMMYFUNCTION("""COMPUTED_VALUE"""),120.83)</f>
        <v>120.83</v>
      </c>
      <c r="F2586" s="122">
        <f>IFERROR(__xludf.DUMMYFUNCTION("""COMPUTED_VALUE"""),0.0037)</f>
        <v>0.0037</v>
      </c>
    </row>
    <row r="2587">
      <c r="A2587" s="131">
        <f>IFERROR(__xludf.DUMMYFUNCTION("""COMPUTED_VALUE"""),46187.40497685185)</f>
        <v>46187.40498</v>
      </c>
      <c r="B2587" s="126">
        <f>IFERROR(__xludf.DUMMYFUNCTION("""COMPUTED_VALUE"""),46187.0)</f>
        <v>46187</v>
      </c>
      <c r="C2587" s="122" t="str">
        <f>IFERROR(__xludf.DUMMYFUNCTION("""COMPUTED_VALUE"""),"GBND")</f>
        <v>GBND</v>
      </c>
      <c r="D2587" s="122" t="str">
        <f>IFERROR(__xludf.DUMMYFUNCTION("""COMPUTED_VALUE"""),"Classroom Government Bond")</f>
        <v>Classroom Government Bond</v>
      </c>
      <c r="E2587" s="122">
        <f>IFERROR(__xludf.DUMMYFUNCTION("""COMPUTED_VALUE"""),100.99)</f>
        <v>100.99</v>
      </c>
      <c r="F2587" s="122">
        <f>IFERROR(__xludf.DUMMYFUNCTION("""COMPUTED_VALUE"""),4.0E-4)</f>
        <v>0.0004</v>
      </c>
    </row>
    <row r="2588">
      <c r="A2588" s="131">
        <f>IFERROR(__xludf.DUMMYFUNCTION("""COMPUTED_VALUE"""),46187.40497685185)</f>
        <v>46187.40498</v>
      </c>
      <c r="B2588" s="126">
        <f>IFERROR(__xludf.DUMMYFUNCTION("""COMPUTED_VALUE"""),46187.0)</f>
        <v>46187</v>
      </c>
      <c r="C2588" s="122" t="str">
        <f>IFERROR(__xludf.DUMMYFUNCTION("""COMPUTED_VALUE"""),"SBND")</f>
        <v>SBND</v>
      </c>
      <c r="D2588" s="122" t="str">
        <f>IFERROR(__xludf.DUMMYFUNCTION("""COMPUTED_VALUE"""),"School Savings Bond")</f>
        <v>School Savings Bond</v>
      </c>
      <c r="E2588" s="122">
        <f>IFERROR(__xludf.DUMMYFUNCTION("""COMPUTED_VALUE"""),99.58)</f>
        <v>99.58</v>
      </c>
      <c r="F2588" s="122">
        <f>IFERROR(__xludf.DUMMYFUNCTION("""COMPUTED_VALUE"""),3.0E-4)</f>
        <v>0.0003</v>
      </c>
    </row>
    <row r="2589">
      <c r="A2589" s="131">
        <f>IFERROR(__xludf.DUMMYFUNCTION("""COMPUTED_VALUE"""),46187.40497685185)</f>
        <v>46187.40498</v>
      </c>
      <c r="B2589" s="126">
        <f>IFERROR(__xludf.DUMMYFUNCTION("""COMPUTED_VALUE"""),46187.0)</f>
        <v>46187</v>
      </c>
      <c r="C2589" s="122" t="str">
        <f>IFERROR(__xludf.DUMMYFUNCTION("""COMPUTED_VALUE"""),"CBND")</f>
        <v>CBND</v>
      </c>
      <c r="D2589" s="122" t="str">
        <f>IFERROR(__xludf.DUMMYFUNCTION("""COMPUTED_VALUE"""),"Corporate Classroom Bond")</f>
        <v>Corporate Classroom Bond</v>
      </c>
      <c r="E2589" s="122">
        <f>IFERROR(__xludf.DUMMYFUNCTION("""COMPUTED_VALUE"""),97.63)</f>
        <v>97.63</v>
      </c>
      <c r="F2589" s="122">
        <f>IFERROR(__xludf.DUMMYFUNCTION("""COMPUTED_VALUE"""),1.0E-4)</f>
        <v>0.0001</v>
      </c>
    </row>
    <row r="2590">
      <c r="A2590" s="131">
        <f>IFERROR(__xludf.DUMMYFUNCTION("""COMPUTED_VALUE"""),46187.40497685185)</f>
        <v>46187.40498</v>
      </c>
      <c r="B2590" s="126">
        <f>IFERROR(__xludf.DUMMYFUNCTION("""COMPUTED_VALUE"""),46187.0)</f>
        <v>46187</v>
      </c>
      <c r="C2590" s="122" t="str">
        <f>IFERROR(__xludf.DUMMYFUNCTION("""COMPUTED_VALUE"""),"TBIL")</f>
        <v>TBIL</v>
      </c>
      <c r="D2590" s="122" t="str">
        <f>IFERROR(__xludf.DUMMYFUNCTION("""COMPUTED_VALUE"""),"Treasury Bill")</f>
        <v>Treasury Bill</v>
      </c>
      <c r="E2590" s="122">
        <f>IFERROR(__xludf.DUMMYFUNCTION("""COMPUTED_VALUE"""),98.09)</f>
        <v>98.09</v>
      </c>
      <c r="F2590" s="122">
        <f>IFERROR(__xludf.DUMMYFUNCTION("""COMPUTED_VALUE"""),5.0E-4)</f>
        <v>0.0005</v>
      </c>
    </row>
    <row r="2591">
      <c r="A2591" s="131">
        <f>IFERROR(__xludf.DUMMYFUNCTION("""COMPUTED_VALUE"""),46187.40497685185)</f>
        <v>46187.40498</v>
      </c>
      <c r="B2591" s="126">
        <f>IFERROR(__xludf.DUMMYFUNCTION("""COMPUTED_VALUE"""),46187.0)</f>
        <v>46187</v>
      </c>
      <c r="C2591" s="122" t="str">
        <f>IFERROR(__xludf.DUMMYFUNCTION("""COMPUTED_VALUE"""),"IBND")</f>
        <v>IBND</v>
      </c>
      <c r="D2591" s="122" t="str">
        <f>IFERROR(__xludf.DUMMYFUNCTION("""COMPUTED_VALUE"""),"Inflation Protected Bond")</f>
        <v>Inflation Protected Bond</v>
      </c>
      <c r="E2591" s="122">
        <f>IFERROR(__xludf.DUMMYFUNCTION("""COMPUTED_VALUE"""),100.65)</f>
        <v>100.65</v>
      </c>
      <c r="F2591" s="122">
        <f>IFERROR(__xludf.DUMMYFUNCTION("""COMPUTED_VALUE"""),3.0E-4)</f>
        <v>0.0003</v>
      </c>
    </row>
    <row r="2592">
      <c r="A2592" s="131">
        <f>IFERROR(__xludf.DUMMYFUNCTION("""COMPUTED_VALUE"""),46187.40806712963)</f>
        <v>46187.40807</v>
      </c>
      <c r="B2592" s="126">
        <f>IFERROR(__xludf.DUMMYFUNCTION("""COMPUTED_VALUE"""),46187.0)</f>
        <v>46187</v>
      </c>
      <c r="C2592" s="122" t="str">
        <f>IFERROR(__xludf.DUMMYFUNCTION("""COMPUTED_VALUE"""),"SNAX")</f>
        <v>SNAX</v>
      </c>
      <c r="D2592" s="122" t="str">
        <f>IFERROR(__xludf.DUMMYFUNCTION("""COMPUTED_VALUE"""),"MICA Snacks")</f>
        <v>MICA Snacks</v>
      </c>
      <c r="E2592" s="122">
        <f>IFERROR(__xludf.DUMMYFUNCTION("""COMPUTED_VALUE"""),118.43)</f>
        <v>118.43</v>
      </c>
      <c r="F2592" s="122">
        <f>IFERROR(__xludf.DUMMYFUNCTION("""COMPUTED_VALUE"""),-0.0041)</f>
        <v>-0.0041</v>
      </c>
    </row>
    <row r="2593">
      <c r="A2593" s="131">
        <f>IFERROR(__xludf.DUMMYFUNCTION("""COMPUTED_VALUE"""),46187.40806712963)</f>
        <v>46187.40807</v>
      </c>
      <c r="B2593" s="126">
        <f>IFERROR(__xludf.DUMMYFUNCTION("""COMPUTED_VALUE"""),46187.0)</f>
        <v>46187</v>
      </c>
      <c r="C2593" s="122" t="str">
        <f>IFERROR(__xludf.DUMMYFUNCTION("""COMPUTED_VALUE"""),"RAMN")</f>
        <v>RAMN</v>
      </c>
      <c r="D2593" s="122" t="str">
        <f>IFERROR(__xludf.DUMMYFUNCTION("""COMPUTED_VALUE"""),"Ramen Republic")</f>
        <v>Ramen Republic</v>
      </c>
      <c r="E2593" s="122">
        <f>IFERROR(__xludf.DUMMYFUNCTION("""COMPUTED_VALUE"""),73.7)</f>
        <v>73.7</v>
      </c>
      <c r="F2593" s="122">
        <f>IFERROR(__xludf.DUMMYFUNCTION("""COMPUTED_VALUE"""),-0.0059)</f>
        <v>-0.0059</v>
      </c>
    </row>
    <row r="2594">
      <c r="A2594" s="131">
        <f>IFERROR(__xludf.DUMMYFUNCTION("""COMPUTED_VALUE"""),46187.40806712963)</f>
        <v>46187.40807</v>
      </c>
      <c r="B2594" s="126">
        <f>IFERROR(__xludf.DUMMYFUNCTION("""COMPUTED_VALUE"""),46187.0)</f>
        <v>46187</v>
      </c>
      <c r="C2594" s="122" t="str">
        <f>IFERROR(__xludf.DUMMYFUNCTION("""COMPUTED_VALUE"""),"COLA")</f>
        <v>COLA</v>
      </c>
      <c r="D2594" s="122" t="str">
        <f>IFERROR(__xludf.DUMMYFUNCTION("""COMPUTED_VALUE"""),"K-Pop Cola")</f>
        <v>K-Pop Cola</v>
      </c>
      <c r="E2594" s="122">
        <f>IFERROR(__xludf.DUMMYFUNCTION("""COMPUTED_VALUE"""),106.87)</f>
        <v>106.87</v>
      </c>
      <c r="F2594" s="122">
        <f>IFERROR(__xludf.DUMMYFUNCTION("""COMPUTED_VALUE"""),0.0017)</f>
        <v>0.0017</v>
      </c>
    </row>
    <row r="2595">
      <c r="A2595" s="131">
        <f>IFERROR(__xludf.DUMMYFUNCTION("""COMPUTED_VALUE"""),46187.40806712963)</f>
        <v>46187.40807</v>
      </c>
      <c r="B2595" s="126">
        <f>IFERROR(__xludf.DUMMYFUNCTION("""COMPUTED_VALUE"""),46187.0)</f>
        <v>46187</v>
      </c>
      <c r="C2595" s="122" t="str">
        <f>IFERROR(__xludf.DUMMYFUNCTION("""COMPUTED_VALUE"""),"CHIP")</f>
        <v>CHIP</v>
      </c>
      <c r="D2595" s="122" t="str">
        <f>IFERROR(__xludf.DUMMYFUNCTION("""COMPUTED_VALUE"""),"Chip Empire")</f>
        <v>Chip Empire</v>
      </c>
      <c r="E2595" s="122">
        <f>IFERROR(__xludf.DUMMYFUNCTION("""COMPUTED_VALUE"""),87.44)</f>
        <v>87.44</v>
      </c>
      <c r="F2595" s="122">
        <f>IFERROR(__xludf.DUMMYFUNCTION("""COMPUTED_VALUE"""),0.0054)</f>
        <v>0.0054</v>
      </c>
    </row>
    <row r="2596">
      <c r="A2596" s="131">
        <f>IFERROR(__xludf.DUMMYFUNCTION("""COMPUTED_VALUE"""),46187.40806712963)</f>
        <v>46187.40807</v>
      </c>
      <c r="B2596" s="126">
        <f>IFERROR(__xludf.DUMMYFUNCTION("""COMPUTED_VALUE"""),46187.0)</f>
        <v>46187</v>
      </c>
      <c r="C2596" s="122" t="str">
        <f>IFERROR(__xludf.DUMMYFUNCTION("""COMPUTED_VALUE"""),"CAND")</f>
        <v>CAND</v>
      </c>
      <c r="D2596" s="122" t="str">
        <f>IFERROR(__xludf.DUMMYFUNCTION("""COMPUTED_VALUE"""),"Candy Capital")</f>
        <v>Candy Capital</v>
      </c>
      <c r="E2596" s="122">
        <f>IFERROR(__xludf.DUMMYFUNCTION("""COMPUTED_VALUE"""),75.76)</f>
        <v>75.76</v>
      </c>
      <c r="F2596" s="122">
        <f>IFERROR(__xludf.DUMMYFUNCTION("""COMPUTED_VALUE"""),-0.0047)</f>
        <v>-0.0047</v>
      </c>
    </row>
    <row r="2597">
      <c r="A2597" s="131">
        <f>IFERROR(__xludf.DUMMYFUNCTION("""COMPUTED_VALUE"""),46187.40806712963)</f>
        <v>46187.40807</v>
      </c>
      <c r="B2597" s="126">
        <f>IFERROR(__xludf.DUMMYFUNCTION("""COMPUTED_VALUE"""),46187.0)</f>
        <v>46187</v>
      </c>
      <c r="C2597" s="122" t="str">
        <f>IFERROR(__xludf.DUMMYFUNCTION("""COMPUTED_VALUE"""),"TECH")</f>
        <v>TECH</v>
      </c>
      <c r="D2597" s="122" t="str">
        <f>IFERROR(__xludf.DUMMYFUNCTION("""COMPUTED_VALUE"""),"Dragon Tech")</f>
        <v>Dragon Tech</v>
      </c>
      <c r="E2597" s="122">
        <f>IFERROR(__xludf.DUMMYFUNCTION("""COMPUTED_VALUE"""),235.76)</f>
        <v>235.76</v>
      </c>
      <c r="F2597" s="122">
        <f>IFERROR(__xludf.DUMMYFUNCTION("""COMPUTED_VALUE"""),0.0011)</f>
        <v>0.0011</v>
      </c>
    </row>
    <row r="2598">
      <c r="A2598" s="131">
        <f>IFERROR(__xludf.DUMMYFUNCTION("""COMPUTED_VALUE"""),46187.40806712963)</f>
        <v>46187.40807</v>
      </c>
      <c r="B2598" s="126">
        <f>IFERROR(__xludf.DUMMYFUNCTION("""COMPUTED_VALUE"""),46187.0)</f>
        <v>46187</v>
      </c>
      <c r="C2598" s="122" t="str">
        <f>IFERROR(__xludf.DUMMYFUNCTION("""COMPUTED_VALUE"""),"AIBO")</f>
        <v>AIBO</v>
      </c>
      <c r="D2598" s="122" t="str">
        <f>IFERROR(__xludf.DUMMYFUNCTION("""COMPUTED_VALUE"""),"Homework AI")</f>
        <v>Homework AI</v>
      </c>
      <c r="E2598" s="122">
        <f>IFERROR(__xludf.DUMMYFUNCTION("""COMPUTED_VALUE"""),168.93)</f>
        <v>168.93</v>
      </c>
      <c r="F2598" s="122">
        <f>IFERROR(__xludf.DUMMYFUNCTION("""COMPUTED_VALUE"""),-0.0098)</f>
        <v>-0.0098</v>
      </c>
    </row>
    <row r="2599">
      <c r="A2599" s="131">
        <f>IFERROR(__xludf.DUMMYFUNCTION("""COMPUTED_VALUE"""),46187.40806712963)</f>
        <v>46187.40807</v>
      </c>
      <c r="B2599" s="126">
        <f>IFERROR(__xludf.DUMMYFUNCTION("""COMPUTED_VALUE"""),46187.0)</f>
        <v>46187</v>
      </c>
      <c r="C2599" s="122" t="str">
        <f>IFERROR(__xludf.DUMMYFUNCTION("""COMPUTED_VALUE"""),"GAME")</f>
        <v>GAME</v>
      </c>
      <c r="D2599" s="122" t="str">
        <f>IFERROR(__xludf.DUMMYFUNCTION("""COMPUTED_VALUE"""),"GameBox Media")</f>
        <v>GameBox Media</v>
      </c>
      <c r="E2599" s="122">
        <f>IFERROR(__xludf.DUMMYFUNCTION("""COMPUTED_VALUE"""),92.66)</f>
        <v>92.66</v>
      </c>
      <c r="F2599" s="122">
        <f>IFERROR(__xludf.DUMMYFUNCTION("""COMPUTED_VALUE"""),-8.0E-4)</f>
        <v>-0.0008</v>
      </c>
    </row>
    <row r="2600">
      <c r="A2600" s="131">
        <f>IFERROR(__xludf.DUMMYFUNCTION("""COMPUTED_VALUE"""),46187.40806712963)</f>
        <v>46187.40807</v>
      </c>
      <c r="B2600" s="126">
        <f>IFERROR(__xludf.DUMMYFUNCTION("""COMPUTED_VALUE"""),46187.0)</f>
        <v>46187</v>
      </c>
      <c r="C2600" s="122" t="str">
        <f>IFERROR(__xludf.DUMMYFUNCTION("""COMPUTED_VALUE"""),"VRSE")</f>
        <v>VRSE</v>
      </c>
      <c r="D2600" s="122" t="str">
        <f>IFERROR(__xludf.DUMMYFUNCTION("""COMPUTED_VALUE"""),"VerseVR")</f>
        <v>VerseVR</v>
      </c>
      <c r="E2600" s="122">
        <f>IFERROR(__xludf.DUMMYFUNCTION("""COMPUTED_VALUE"""),147.4)</f>
        <v>147.4</v>
      </c>
      <c r="F2600" s="122">
        <f>IFERROR(__xludf.DUMMYFUNCTION("""COMPUTED_VALUE"""),4.0E-4)</f>
        <v>0.0004</v>
      </c>
    </row>
    <row r="2601">
      <c r="A2601" s="131">
        <f>IFERROR(__xludf.DUMMYFUNCTION("""COMPUTED_VALUE"""),46187.40806712963)</f>
        <v>46187.40807</v>
      </c>
      <c r="B2601" s="126">
        <f>IFERROR(__xludf.DUMMYFUNCTION("""COMPUTED_VALUE"""),46187.0)</f>
        <v>46187</v>
      </c>
      <c r="C2601" s="122" t="str">
        <f>IFERROR(__xludf.DUMMYFUNCTION("""COMPUTED_VALUE"""),"BYTE")</f>
        <v>BYTE</v>
      </c>
      <c r="D2601" s="122" t="str">
        <f>IFERROR(__xludf.DUMMYFUNCTION("""COMPUTED_VALUE"""),"ByteWorks")</f>
        <v>ByteWorks</v>
      </c>
      <c r="E2601" s="122">
        <f>IFERROR(__xludf.DUMMYFUNCTION("""COMPUTED_VALUE"""),111.37)</f>
        <v>111.37</v>
      </c>
      <c r="F2601" s="122">
        <f>IFERROR(__xludf.DUMMYFUNCTION("""COMPUTED_VALUE"""),0.0095)</f>
        <v>0.0095</v>
      </c>
    </row>
    <row r="2602">
      <c r="A2602" s="131">
        <f>IFERROR(__xludf.DUMMYFUNCTION("""COMPUTED_VALUE"""),46187.40806712963)</f>
        <v>46187.40807</v>
      </c>
      <c r="B2602" s="126">
        <f>IFERROR(__xludf.DUMMYFUNCTION("""COMPUTED_VALUE"""),46187.0)</f>
        <v>46187</v>
      </c>
      <c r="C2602" s="122" t="str">
        <f>IFERROR(__xludf.DUMMYFUNCTION("""COMPUTED_VALUE"""),"BANK")</f>
        <v>BANK</v>
      </c>
      <c r="D2602" s="122" t="str">
        <f>IFERROR(__xludf.DUMMYFUNCTION("""COMPUTED_VALUE"""),"Tiger Bank")</f>
        <v>Tiger Bank</v>
      </c>
      <c r="E2602" s="122">
        <f>IFERROR(__xludf.DUMMYFUNCTION("""COMPUTED_VALUE"""),125.23)</f>
        <v>125.23</v>
      </c>
      <c r="F2602" s="122">
        <f>IFERROR(__xludf.DUMMYFUNCTION("""COMPUTED_VALUE"""),0.003)</f>
        <v>0.003</v>
      </c>
    </row>
    <row r="2603">
      <c r="A2603" s="131">
        <f>IFERROR(__xludf.DUMMYFUNCTION("""COMPUTED_VALUE"""),46187.40806712963)</f>
        <v>46187.40807</v>
      </c>
      <c r="B2603" s="126">
        <f>IFERROR(__xludf.DUMMYFUNCTION("""COMPUTED_VALUE"""),46187.0)</f>
        <v>46187</v>
      </c>
      <c r="C2603" s="122" t="str">
        <f>IFERROR(__xludf.DUMMYFUNCTION("""COMPUTED_VALUE"""),"CRED")</f>
        <v>CRED</v>
      </c>
      <c r="D2603" s="122" t="str">
        <f>IFERROR(__xludf.DUMMYFUNCTION("""COMPUTED_VALUE"""),"Credit Castle")</f>
        <v>Credit Castle</v>
      </c>
      <c r="E2603" s="122">
        <f>IFERROR(__xludf.DUMMYFUNCTION("""COMPUTED_VALUE"""),68.78)</f>
        <v>68.78</v>
      </c>
      <c r="F2603" s="122">
        <f>IFERROR(__xludf.DUMMYFUNCTION("""COMPUTED_VALUE"""),-0.0025)</f>
        <v>-0.0025</v>
      </c>
    </row>
    <row r="2604">
      <c r="A2604" s="131">
        <f>IFERROR(__xludf.DUMMYFUNCTION("""COMPUTED_VALUE"""),46187.40806712963)</f>
        <v>46187.40807</v>
      </c>
      <c r="B2604" s="126">
        <f>IFERROR(__xludf.DUMMYFUNCTION("""COMPUTED_VALUE"""),46187.0)</f>
        <v>46187</v>
      </c>
      <c r="C2604" s="122" t="str">
        <f>IFERROR(__xludf.DUMMYFUNCTION("""COMPUTED_VALUE"""),"BOND")</f>
        <v>BOND</v>
      </c>
      <c r="D2604" s="122" t="str">
        <f>IFERROR(__xludf.DUMMYFUNCTION("""COMPUTED_VALUE"""),"BondBridge")</f>
        <v>BondBridge</v>
      </c>
      <c r="E2604" s="122">
        <f>IFERROR(__xludf.DUMMYFUNCTION("""COMPUTED_VALUE"""),97.35)</f>
        <v>97.35</v>
      </c>
      <c r="F2604" s="122">
        <f>IFERROR(__xludf.DUMMYFUNCTION("""COMPUTED_VALUE"""),0.0014)</f>
        <v>0.0014</v>
      </c>
    </row>
    <row r="2605">
      <c r="A2605" s="131">
        <f>IFERROR(__xludf.DUMMYFUNCTION("""COMPUTED_VALUE"""),46187.40806712963)</f>
        <v>46187.40807</v>
      </c>
      <c r="B2605" s="126">
        <f>IFERROR(__xludf.DUMMYFUNCTION("""COMPUTED_VALUE"""),46187.0)</f>
        <v>46187</v>
      </c>
      <c r="C2605" s="122" t="str">
        <f>IFERROR(__xludf.DUMMYFUNCTION("""COMPUTED_VALUE"""),"INSR")</f>
        <v>INSR</v>
      </c>
      <c r="D2605" s="122" t="str">
        <f>IFERROR(__xludf.DUMMYFUNCTION("""COMPUTED_VALUE"""),"Shield Insurance")</f>
        <v>Shield Insurance</v>
      </c>
      <c r="E2605" s="122">
        <f>IFERROR(__xludf.DUMMYFUNCTION("""COMPUTED_VALUE"""),158.11)</f>
        <v>158.11</v>
      </c>
      <c r="F2605" s="122">
        <f>IFERROR(__xludf.DUMMYFUNCTION("""COMPUTED_VALUE"""),0.0022)</f>
        <v>0.0022</v>
      </c>
    </row>
    <row r="2606">
      <c r="A2606" s="131">
        <f>IFERROR(__xludf.DUMMYFUNCTION("""COMPUTED_VALUE"""),46187.40806712963)</f>
        <v>46187.40807</v>
      </c>
      <c r="B2606" s="126">
        <f>IFERROR(__xludf.DUMMYFUNCTION("""COMPUTED_VALUE"""),46187.0)</f>
        <v>46187</v>
      </c>
      <c r="C2606" s="122" t="str">
        <f>IFERROR(__xludf.DUMMYFUNCTION("""COMPUTED_VALUE"""),"LOAN")</f>
        <v>LOAN</v>
      </c>
      <c r="D2606" s="122" t="str">
        <f>IFERROR(__xludf.DUMMYFUNCTION("""COMPUTED_VALUE"""),"LoanLab")</f>
        <v>LoanLab</v>
      </c>
      <c r="E2606" s="122">
        <f>IFERROR(__xludf.DUMMYFUNCTION("""COMPUTED_VALUE"""),62.51)</f>
        <v>62.51</v>
      </c>
      <c r="F2606" s="122">
        <f>IFERROR(__xludf.DUMMYFUNCTION("""COMPUTED_VALUE"""),0.0077)</f>
        <v>0.0077</v>
      </c>
    </row>
    <row r="2607">
      <c r="A2607" s="131">
        <f>IFERROR(__xludf.DUMMYFUNCTION("""COMPUTED_VALUE"""),46187.40806712963)</f>
        <v>46187.40807</v>
      </c>
      <c r="B2607" s="126">
        <f>IFERROR(__xludf.DUMMYFUNCTION("""COMPUTED_VALUE"""),46187.0)</f>
        <v>46187</v>
      </c>
      <c r="C2607" s="122" t="str">
        <f>IFERROR(__xludf.DUMMYFUNCTION("""COMPUTED_VALUE"""),"LUXE")</f>
        <v>LUXE</v>
      </c>
      <c r="D2607" s="122" t="str">
        <f>IFERROR(__xludf.DUMMYFUNCTION("""COMPUTED_VALUE"""),"Luxury Locker")</f>
        <v>Luxury Locker</v>
      </c>
      <c r="E2607" s="122">
        <f>IFERROR(__xludf.DUMMYFUNCTION("""COMPUTED_VALUE"""),257.02)</f>
        <v>257.02</v>
      </c>
      <c r="F2607" s="122">
        <f>IFERROR(__xludf.DUMMYFUNCTION("""COMPUTED_VALUE"""),-0.005)</f>
        <v>-0.005</v>
      </c>
    </row>
    <row r="2608">
      <c r="A2608" s="131">
        <f>IFERROR(__xludf.DUMMYFUNCTION("""COMPUTED_VALUE"""),46187.40806712963)</f>
        <v>46187.40807</v>
      </c>
      <c r="B2608" s="126">
        <f>IFERROR(__xludf.DUMMYFUNCTION("""COMPUTED_VALUE"""),46187.0)</f>
        <v>46187</v>
      </c>
      <c r="C2608" s="122" t="str">
        <f>IFERROR(__xludf.DUMMYFUNCTION("""COMPUTED_VALUE"""),"DRIP")</f>
        <v>DRIP</v>
      </c>
      <c r="D2608" s="122" t="str">
        <f>IFERROR(__xludf.DUMMYFUNCTION("""COMPUTED_VALUE"""),"Drip Streetwear")</f>
        <v>Drip Streetwear</v>
      </c>
      <c r="E2608" s="122">
        <f>IFERROR(__xludf.DUMMYFUNCTION("""COMPUTED_VALUE"""),205.58)</f>
        <v>205.58</v>
      </c>
      <c r="F2608" s="122">
        <f>IFERROR(__xludf.DUMMYFUNCTION("""COMPUTED_VALUE"""),0.0073)</f>
        <v>0.0073</v>
      </c>
    </row>
    <row r="2609">
      <c r="A2609" s="131">
        <f>IFERROR(__xludf.DUMMYFUNCTION("""COMPUTED_VALUE"""),46187.40806712963)</f>
        <v>46187.40807</v>
      </c>
      <c r="B2609" s="126">
        <f>IFERROR(__xludf.DUMMYFUNCTION("""COMPUTED_VALUE"""),46187.0)</f>
        <v>46187</v>
      </c>
      <c r="C2609" s="122" t="str">
        <f>IFERROR(__xludf.DUMMYFUNCTION("""COMPUTED_VALUE"""),"KICK")</f>
        <v>KICK</v>
      </c>
      <c r="D2609" s="122" t="str">
        <f>IFERROR(__xludf.DUMMYFUNCTION("""COMPUTED_VALUE"""),"KickDrop Sneakers")</f>
        <v>KickDrop Sneakers</v>
      </c>
      <c r="E2609" s="122">
        <f>IFERROR(__xludf.DUMMYFUNCTION("""COMPUTED_VALUE"""),173.91)</f>
        <v>173.91</v>
      </c>
      <c r="F2609" s="122">
        <f>IFERROR(__xludf.DUMMYFUNCTION("""COMPUTED_VALUE"""),0.0045)</f>
        <v>0.0045</v>
      </c>
    </row>
    <row r="2610">
      <c r="A2610" s="131">
        <f>IFERROR(__xludf.DUMMYFUNCTION("""COMPUTED_VALUE"""),46187.40806712963)</f>
        <v>46187.40807</v>
      </c>
      <c r="B2610" s="126">
        <f>IFERROR(__xludf.DUMMYFUNCTION("""COMPUTED_VALUE"""),46187.0)</f>
        <v>46187</v>
      </c>
      <c r="C2610" s="122" t="str">
        <f>IFERROR(__xludf.DUMMYFUNCTION("""COMPUTED_VALUE"""),"GLAM")</f>
        <v>GLAM</v>
      </c>
      <c r="D2610" s="122" t="str">
        <f>IFERROR(__xludf.DUMMYFUNCTION("""COMPUTED_VALUE"""),"Glow Cosmetics")</f>
        <v>Glow Cosmetics</v>
      </c>
      <c r="E2610" s="122">
        <f>IFERROR(__xludf.DUMMYFUNCTION("""COMPUTED_VALUE"""),98.23)</f>
        <v>98.23</v>
      </c>
      <c r="F2610" s="122">
        <f>IFERROR(__xludf.DUMMYFUNCTION("""COMPUTED_VALUE"""),0.0076)</f>
        <v>0.0076</v>
      </c>
    </row>
    <row r="2611">
      <c r="A2611" s="131">
        <f>IFERROR(__xludf.DUMMYFUNCTION("""COMPUTED_VALUE"""),46187.40806712963)</f>
        <v>46187.40807</v>
      </c>
      <c r="B2611" s="126">
        <f>IFERROR(__xludf.DUMMYFUNCTION("""COMPUTED_VALUE"""),46187.0)</f>
        <v>46187</v>
      </c>
      <c r="C2611" s="122" t="str">
        <f>IFERROR(__xludf.DUMMYFUNCTION("""COMPUTED_VALUE"""),"BAGG")</f>
        <v>BAGG</v>
      </c>
      <c r="D2611" s="122" t="str">
        <f>IFERROR(__xludf.DUMMYFUNCTION("""COMPUTED_VALUE"""),"BagVault")</f>
        <v>BagVault</v>
      </c>
      <c r="E2611" s="122">
        <f>IFERROR(__xludf.DUMMYFUNCTION("""COMPUTED_VALUE"""),247.61)</f>
        <v>247.61</v>
      </c>
      <c r="F2611" s="122">
        <f>IFERROR(__xludf.DUMMYFUNCTION("""COMPUTED_VALUE"""),1.0E-4)</f>
        <v>0.0001</v>
      </c>
    </row>
    <row r="2612">
      <c r="A2612" s="131">
        <f>IFERROR(__xludf.DUMMYFUNCTION("""COMPUTED_VALUE"""),46187.40806712963)</f>
        <v>46187.40807</v>
      </c>
      <c r="B2612" s="126">
        <f>IFERROR(__xludf.DUMMYFUNCTION("""COMPUTED_VALUE"""),46187.0)</f>
        <v>46187</v>
      </c>
      <c r="C2612" s="122" t="str">
        <f>IFERROR(__xludf.DUMMYFUNCTION("""COMPUTED_VALUE"""),"FAST")</f>
        <v>FAST</v>
      </c>
      <c r="D2612" s="122" t="str">
        <f>IFERROR(__xludf.DUMMYFUNCTION("""COMPUTED_VALUE"""),"Flash Logistics")</f>
        <v>Flash Logistics</v>
      </c>
      <c r="E2612" s="122">
        <f>IFERROR(__xludf.DUMMYFUNCTION("""COMPUTED_VALUE"""),102.27)</f>
        <v>102.27</v>
      </c>
      <c r="F2612" s="122">
        <f>IFERROR(__xludf.DUMMYFUNCTION("""COMPUTED_VALUE"""),-0.0028)</f>
        <v>-0.0028</v>
      </c>
    </row>
    <row r="2613">
      <c r="A2613" s="131">
        <f>IFERROR(__xludf.DUMMYFUNCTION("""COMPUTED_VALUE"""),46187.40806712963)</f>
        <v>46187.40807</v>
      </c>
      <c r="B2613" s="126">
        <f>IFERROR(__xludf.DUMMYFUNCTION("""COMPUTED_VALUE"""),46187.0)</f>
        <v>46187</v>
      </c>
      <c r="C2613" s="122" t="str">
        <f>IFERROR(__xludf.DUMMYFUNCTION("""COMPUTED_VALUE"""),"SHIP")</f>
        <v>SHIP</v>
      </c>
      <c r="D2613" s="122" t="str">
        <f>IFERROR(__xludf.DUMMYFUNCTION("""COMPUTED_VALUE"""),"Seoul Shipping")</f>
        <v>Seoul Shipping</v>
      </c>
      <c r="E2613" s="122">
        <f>IFERROR(__xludf.DUMMYFUNCTION("""COMPUTED_VALUE"""),117.1)</f>
        <v>117.1</v>
      </c>
      <c r="F2613" s="122">
        <f>IFERROR(__xludf.DUMMYFUNCTION("""COMPUTED_VALUE"""),0.0045)</f>
        <v>0.0045</v>
      </c>
    </row>
    <row r="2614">
      <c r="A2614" s="131">
        <f>IFERROR(__xludf.DUMMYFUNCTION("""COMPUTED_VALUE"""),46187.40806712963)</f>
        <v>46187.40807</v>
      </c>
      <c r="B2614" s="126">
        <f>IFERROR(__xludf.DUMMYFUNCTION("""COMPUTED_VALUE"""),46187.0)</f>
        <v>46187</v>
      </c>
      <c r="C2614" s="122" t="str">
        <f>IFERROR(__xludf.DUMMYFUNCTION("""COMPUTED_VALUE"""),"DRON")</f>
        <v>DRON</v>
      </c>
      <c r="D2614" s="122" t="str">
        <f>IFERROR(__xludf.DUMMYFUNCTION("""COMPUTED_VALUE"""),"DroneDrop")</f>
        <v>DroneDrop</v>
      </c>
      <c r="E2614" s="122">
        <f>IFERROR(__xludf.DUMMYFUNCTION("""COMPUTED_VALUE"""),132.11)</f>
        <v>132.11</v>
      </c>
      <c r="F2614" s="122">
        <f>IFERROR(__xludf.DUMMYFUNCTION("""COMPUTED_VALUE"""),-0.0079)</f>
        <v>-0.0079</v>
      </c>
    </row>
    <row r="2615">
      <c r="A2615" s="131">
        <f>IFERROR(__xludf.DUMMYFUNCTION("""COMPUTED_VALUE"""),46187.40806712963)</f>
        <v>46187.40807</v>
      </c>
      <c r="B2615" s="126">
        <f>IFERROR(__xludf.DUMMYFUNCTION("""COMPUTED_VALUE"""),46187.0)</f>
        <v>46187</v>
      </c>
      <c r="C2615" s="122" t="str">
        <f>IFERROR(__xludf.DUMMYFUNCTION("""COMPUTED_VALUE"""),"RIDE")</f>
        <v>RIDE</v>
      </c>
      <c r="D2615" s="122" t="str">
        <f>IFERROR(__xludf.DUMMYFUNCTION("""COMPUTED_VALUE"""),"QuickRide")</f>
        <v>QuickRide</v>
      </c>
      <c r="E2615" s="122">
        <f>IFERROR(__xludf.DUMMYFUNCTION("""COMPUTED_VALUE"""),97.0)</f>
        <v>97</v>
      </c>
      <c r="F2615" s="122">
        <f>IFERROR(__xludf.DUMMYFUNCTION("""COMPUTED_VALUE"""),-0.0043)</f>
        <v>-0.0043</v>
      </c>
    </row>
    <row r="2616">
      <c r="A2616" s="131">
        <f>IFERROR(__xludf.DUMMYFUNCTION("""COMPUTED_VALUE"""),46187.40806712963)</f>
        <v>46187.40807</v>
      </c>
      <c r="B2616" s="126">
        <f>IFERROR(__xludf.DUMMYFUNCTION("""COMPUTED_VALUE"""),46187.0)</f>
        <v>46187</v>
      </c>
      <c r="C2616" s="122" t="str">
        <f>IFERROR(__xludf.DUMMYFUNCTION("""COMPUTED_VALUE"""),"RAIL")</f>
        <v>RAIL</v>
      </c>
      <c r="D2616" s="122" t="str">
        <f>IFERROR(__xludf.DUMMYFUNCTION("""COMPUTED_VALUE"""),"MetroRail Corp")</f>
        <v>MetroRail Corp</v>
      </c>
      <c r="E2616" s="122">
        <f>IFERROR(__xludf.DUMMYFUNCTION("""COMPUTED_VALUE"""),135.2)</f>
        <v>135.2</v>
      </c>
      <c r="F2616" s="122">
        <f>IFERROR(__xludf.DUMMYFUNCTION("""COMPUTED_VALUE"""),-0.001)</f>
        <v>-0.001</v>
      </c>
    </row>
    <row r="2617">
      <c r="A2617" s="131">
        <f>IFERROR(__xludf.DUMMYFUNCTION("""COMPUTED_VALUE"""),46187.40806712963)</f>
        <v>46187.40807</v>
      </c>
      <c r="B2617" s="126">
        <f>IFERROR(__xludf.DUMMYFUNCTION("""COMPUTED_VALUE"""),46187.0)</f>
        <v>46187</v>
      </c>
      <c r="C2617" s="122" t="str">
        <f>IFERROR(__xludf.DUMMYFUNCTION("""COMPUTED_VALUE"""),"MEDX")</f>
        <v>MEDX</v>
      </c>
      <c r="D2617" s="122" t="str">
        <f>IFERROR(__xludf.DUMMYFUNCTION("""COMPUTED_VALUE"""),"MediCore")</f>
        <v>MediCore</v>
      </c>
      <c r="E2617" s="122">
        <f>IFERROR(__xludf.DUMMYFUNCTION("""COMPUTED_VALUE"""),137.49)</f>
        <v>137.49</v>
      </c>
      <c r="F2617" s="122">
        <f>IFERROR(__xludf.DUMMYFUNCTION("""COMPUTED_VALUE"""),-0.002)</f>
        <v>-0.002</v>
      </c>
    </row>
    <row r="2618">
      <c r="A2618" s="131">
        <f>IFERROR(__xludf.DUMMYFUNCTION("""COMPUTED_VALUE"""),46187.40806712963)</f>
        <v>46187.40807</v>
      </c>
      <c r="B2618" s="126">
        <f>IFERROR(__xludf.DUMMYFUNCTION("""COMPUTED_VALUE"""),46187.0)</f>
        <v>46187</v>
      </c>
      <c r="C2618" s="122" t="str">
        <f>IFERROR(__xludf.DUMMYFUNCTION("""COMPUTED_VALUE"""),"GYMX")</f>
        <v>GYMX</v>
      </c>
      <c r="D2618" s="122" t="str">
        <f>IFERROR(__xludf.DUMMYFUNCTION("""COMPUTED_VALUE"""),"GymX Fitness")</f>
        <v>GymX Fitness</v>
      </c>
      <c r="E2618" s="122">
        <f>IFERROR(__xludf.DUMMYFUNCTION("""COMPUTED_VALUE"""),85.01)</f>
        <v>85.01</v>
      </c>
      <c r="F2618" s="122">
        <f>IFERROR(__xludf.DUMMYFUNCTION("""COMPUTED_VALUE"""),0.0021)</f>
        <v>0.0021</v>
      </c>
    </row>
    <row r="2619">
      <c r="A2619" s="131">
        <f>IFERROR(__xludf.DUMMYFUNCTION("""COMPUTED_VALUE"""),46187.40806712963)</f>
        <v>46187.40807</v>
      </c>
      <c r="B2619" s="126">
        <f>IFERROR(__xludf.DUMMYFUNCTION("""COMPUTED_VALUE"""),46187.0)</f>
        <v>46187</v>
      </c>
      <c r="C2619" s="122" t="str">
        <f>IFERROR(__xludf.DUMMYFUNCTION("""COMPUTED_VALUE"""),"VITA")</f>
        <v>VITA</v>
      </c>
      <c r="D2619" s="122" t="str">
        <f>IFERROR(__xludf.DUMMYFUNCTION("""COMPUTED_VALUE"""),"VitaPlus")</f>
        <v>VitaPlus</v>
      </c>
      <c r="E2619" s="122">
        <f>IFERROR(__xludf.DUMMYFUNCTION("""COMPUTED_VALUE"""),74.41)</f>
        <v>74.41</v>
      </c>
      <c r="F2619" s="122">
        <f>IFERROR(__xludf.DUMMYFUNCTION("""COMPUTED_VALUE"""),-0.0028)</f>
        <v>-0.0028</v>
      </c>
    </row>
    <row r="2620">
      <c r="A2620" s="131">
        <f>IFERROR(__xludf.DUMMYFUNCTION("""COMPUTED_VALUE"""),46187.40806712963)</f>
        <v>46187.40807</v>
      </c>
      <c r="B2620" s="126">
        <f>IFERROR(__xludf.DUMMYFUNCTION("""COMPUTED_VALUE"""),46187.0)</f>
        <v>46187</v>
      </c>
      <c r="C2620" s="122" t="str">
        <f>IFERROR(__xludf.DUMMYFUNCTION("""COMPUTED_VALUE"""),"CARE")</f>
        <v>CARE</v>
      </c>
      <c r="D2620" s="122" t="str">
        <f>IFERROR(__xludf.DUMMYFUNCTION("""COMPUTED_VALUE"""),"CareCloud")</f>
        <v>CareCloud</v>
      </c>
      <c r="E2620" s="122">
        <f>IFERROR(__xludf.DUMMYFUNCTION("""COMPUTED_VALUE"""),181.15)</f>
        <v>181.15</v>
      </c>
      <c r="F2620" s="122">
        <f>IFERROR(__xludf.DUMMYFUNCTION("""COMPUTED_VALUE"""),7.0E-4)</f>
        <v>0.0007</v>
      </c>
    </row>
    <row r="2621">
      <c r="A2621" s="131">
        <f>IFERROR(__xludf.DUMMYFUNCTION("""COMPUTED_VALUE"""),46187.40806712963)</f>
        <v>46187.40807</v>
      </c>
      <c r="B2621" s="126">
        <f>IFERROR(__xludf.DUMMYFUNCTION("""COMPUTED_VALUE"""),46187.0)</f>
        <v>46187</v>
      </c>
      <c r="C2621" s="122" t="str">
        <f>IFERROR(__xludf.DUMMYFUNCTION("""COMPUTED_VALUE"""),"DENT")</f>
        <v>DENT</v>
      </c>
      <c r="D2621" s="122" t="str">
        <f>IFERROR(__xludf.DUMMYFUNCTION("""COMPUTED_VALUE"""),"SmileWorks")</f>
        <v>SmileWorks</v>
      </c>
      <c r="E2621" s="122">
        <f>IFERROR(__xludf.DUMMYFUNCTION("""COMPUTED_VALUE"""),82.28)</f>
        <v>82.28</v>
      </c>
      <c r="F2621" s="122">
        <f>IFERROR(__xludf.DUMMYFUNCTION("""COMPUTED_VALUE"""),0.0)</f>
        <v>0</v>
      </c>
    </row>
    <row r="2622">
      <c r="A2622" s="131">
        <f>IFERROR(__xludf.DUMMYFUNCTION("""COMPUTED_VALUE"""),46187.40806712963)</f>
        <v>46187.40807</v>
      </c>
      <c r="B2622" s="126">
        <f>IFERROR(__xludf.DUMMYFUNCTION("""COMPUTED_VALUE"""),46187.0)</f>
        <v>46187</v>
      </c>
      <c r="C2622" s="122" t="str">
        <f>IFERROR(__xludf.DUMMYFUNCTION("""COMPUTED_VALUE"""),"EDUX")</f>
        <v>EDUX</v>
      </c>
      <c r="D2622" s="122" t="str">
        <f>IFERROR(__xludf.DUMMYFUNCTION("""COMPUTED_VALUE"""),"EduMax Learning")</f>
        <v>EduMax Learning</v>
      </c>
      <c r="E2622" s="122">
        <f>IFERROR(__xludf.DUMMYFUNCTION("""COMPUTED_VALUE"""),134.49)</f>
        <v>134.49</v>
      </c>
      <c r="F2622" s="122">
        <f>IFERROR(__xludf.DUMMYFUNCTION("""COMPUTED_VALUE"""),0.0022)</f>
        <v>0.0022</v>
      </c>
    </row>
    <row r="2623">
      <c r="A2623" s="131">
        <f>IFERROR(__xludf.DUMMYFUNCTION("""COMPUTED_VALUE"""),46187.40806712963)</f>
        <v>46187.40807</v>
      </c>
      <c r="B2623" s="126">
        <f>IFERROR(__xludf.DUMMYFUNCTION("""COMPUTED_VALUE"""),46187.0)</f>
        <v>46187</v>
      </c>
      <c r="C2623" s="122" t="str">
        <f>IFERROR(__xludf.DUMMYFUNCTION("""COMPUTED_VALUE"""),"BOOK")</f>
        <v>BOOK</v>
      </c>
      <c r="D2623" s="122" t="str">
        <f>IFERROR(__xludf.DUMMYFUNCTION("""COMPUTED_VALUE"""),"BookBridge")</f>
        <v>BookBridge</v>
      </c>
      <c r="E2623" s="122">
        <f>IFERROR(__xludf.DUMMYFUNCTION("""COMPUTED_VALUE"""),115.6)</f>
        <v>115.6</v>
      </c>
      <c r="F2623" s="122">
        <f>IFERROR(__xludf.DUMMYFUNCTION("""COMPUTED_VALUE"""),0.0039)</f>
        <v>0.0039</v>
      </c>
    </row>
    <row r="2624">
      <c r="A2624" s="131">
        <f>IFERROR(__xludf.DUMMYFUNCTION("""COMPUTED_VALUE"""),46187.40806712963)</f>
        <v>46187.40807</v>
      </c>
      <c r="B2624" s="126">
        <f>IFERROR(__xludf.DUMMYFUNCTION("""COMPUTED_VALUE"""),46187.0)</f>
        <v>46187</v>
      </c>
      <c r="C2624" s="122" t="str">
        <f>IFERROR(__xludf.DUMMYFUNCTION("""COMPUTED_VALUE"""),"TUTR")</f>
        <v>TUTR</v>
      </c>
      <c r="D2624" s="122" t="str">
        <f>IFERROR(__xludf.DUMMYFUNCTION("""COMPUTED_VALUE"""),"TutorTown")</f>
        <v>TutorTown</v>
      </c>
      <c r="E2624" s="122">
        <f>IFERROR(__xludf.DUMMYFUNCTION("""COMPUTED_VALUE"""),90.1)</f>
        <v>90.1</v>
      </c>
      <c r="F2624" s="122">
        <f>IFERROR(__xludf.DUMMYFUNCTION("""COMPUTED_VALUE"""),-6.0E-4)</f>
        <v>-0.0006</v>
      </c>
    </row>
    <row r="2625">
      <c r="A2625" s="131">
        <f>IFERROR(__xludf.DUMMYFUNCTION("""COMPUTED_VALUE"""),46187.40806712963)</f>
        <v>46187.40807</v>
      </c>
      <c r="B2625" s="126">
        <f>IFERROR(__xludf.DUMMYFUNCTION("""COMPUTED_VALUE"""),46187.0)</f>
        <v>46187</v>
      </c>
      <c r="C2625" s="122" t="str">
        <f>IFERROR(__xludf.DUMMYFUNCTION("""COMPUTED_VALUE"""),"LANG")</f>
        <v>LANG</v>
      </c>
      <c r="D2625" s="122" t="str">
        <f>IFERROR(__xludf.DUMMYFUNCTION("""COMPUTED_VALUE"""),"LinguaLab")</f>
        <v>LinguaLab</v>
      </c>
      <c r="E2625" s="122">
        <f>IFERROR(__xludf.DUMMYFUNCTION("""COMPUTED_VALUE"""),97.51)</f>
        <v>97.51</v>
      </c>
      <c r="F2625" s="122">
        <f>IFERROR(__xludf.DUMMYFUNCTION("""COMPUTED_VALUE"""),0.0036)</f>
        <v>0.0036</v>
      </c>
    </row>
    <row r="2626">
      <c r="A2626" s="131">
        <f>IFERROR(__xludf.DUMMYFUNCTION("""COMPUTED_VALUE"""),46187.40806712963)</f>
        <v>46187.40807</v>
      </c>
      <c r="B2626" s="126">
        <f>IFERROR(__xludf.DUMMYFUNCTION("""COMPUTED_VALUE"""),46187.0)</f>
        <v>46187</v>
      </c>
      <c r="C2626" s="122" t="str">
        <f>IFERROR(__xludf.DUMMYFUNCTION("""COMPUTED_VALUE"""),"TEST")</f>
        <v>TEST</v>
      </c>
      <c r="D2626" s="122" t="str">
        <f>IFERROR(__xludf.DUMMYFUNCTION("""COMPUTED_VALUE"""),"TestPrep Pro")</f>
        <v>TestPrep Pro</v>
      </c>
      <c r="E2626" s="122">
        <f>IFERROR(__xludf.DUMMYFUNCTION("""COMPUTED_VALUE"""),100.36)</f>
        <v>100.36</v>
      </c>
      <c r="F2626" s="122">
        <f>IFERROR(__xludf.DUMMYFUNCTION("""COMPUTED_VALUE"""),-0.0066)</f>
        <v>-0.0066</v>
      </c>
    </row>
    <row r="2627">
      <c r="A2627" s="131">
        <f>IFERROR(__xludf.DUMMYFUNCTION("""COMPUTED_VALUE"""),46187.40806712963)</f>
        <v>46187.40807</v>
      </c>
      <c r="B2627" s="126">
        <f>IFERROR(__xludf.DUMMYFUNCTION("""COMPUTED_VALUE"""),46187.0)</f>
        <v>46187</v>
      </c>
      <c r="C2627" s="122" t="str">
        <f>IFERROR(__xludf.DUMMYFUNCTION("""COMPUTED_VALUE"""),"MOVI")</f>
        <v>MOVI</v>
      </c>
      <c r="D2627" s="122" t="str">
        <f>IFERROR(__xludf.DUMMYFUNCTION("""COMPUTED_VALUE"""),"MovieBox")</f>
        <v>MovieBox</v>
      </c>
      <c r="E2627" s="122">
        <f>IFERROR(__xludf.DUMMYFUNCTION("""COMPUTED_VALUE"""),80.86)</f>
        <v>80.86</v>
      </c>
      <c r="F2627" s="122">
        <f>IFERROR(__xludf.DUMMYFUNCTION("""COMPUTED_VALUE"""),0.0016)</f>
        <v>0.0016</v>
      </c>
    </row>
    <row r="2628">
      <c r="A2628" s="131">
        <f>IFERROR(__xludf.DUMMYFUNCTION("""COMPUTED_VALUE"""),46187.40806712963)</f>
        <v>46187.40807</v>
      </c>
      <c r="B2628" s="126">
        <f>IFERROR(__xludf.DUMMYFUNCTION("""COMPUTED_VALUE"""),46187.0)</f>
        <v>46187</v>
      </c>
      <c r="C2628" s="122" t="str">
        <f>IFERROR(__xludf.DUMMYFUNCTION("""COMPUTED_VALUE"""),"MUSC")</f>
        <v>MUSC</v>
      </c>
      <c r="D2628" s="122" t="str">
        <f>IFERROR(__xludf.DUMMYFUNCTION("""COMPUTED_VALUE"""),"MusicWave")</f>
        <v>MusicWave</v>
      </c>
      <c r="E2628" s="122">
        <f>IFERROR(__xludf.DUMMYFUNCTION("""COMPUTED_VALUE"""),96.75)</f>
        <v>96.75</v>
      </c>
      <c r="F2628" s="122">
        <f>IFERROR(__xludf.DUMMYFUNCTION("""COMPUTED_VALUE"""),-0.0011)</f>
        <v>-0.0011</v>
      </c>
    </row>
    <row r="2629">
      <c r="A2629" s="131">
        <f>IFERROR(__xludf.DUMMYFUNCTION("""COMPUTED_VALUE"""),46187.40806712963)</f>
        <v>46187.40807</v>
      </c>
      <c r="B2629" s="126">
        <f>IFERROR(__xludf.DUMMYFUNCTION("""COMPUTED_VALUE"""),46187.0)</f>
        <v>46187</v>
      </c>
      <c r="C2629" s="122" t="str">
        <f>IFERROR(__xludf.DUMMYFUNCTION("""COMPUTED_VALUE"""),"IDOL")</f>
        <v>IDOL</v>
      </c>
      <c r="D2629" s="122" t="str">
        <f>IFERROR(__xludf.DUMMYFUNCTION("""COMPUTED_VALUE"""),"Idol Agency")</f>
        <v>Idol Agency</v>
      </c>
      <c r="E2629" s="122">
        <f>IFERROR(__xludf.DUMMYFUNCTION("""COMPUTED_VALUE"""),197.51)</f>
        <v>197.51</v>
      </c>
      <c r="F2629" s="122">
        <f>IFERROR(__xludf.DUMMYFUNCTION("""COMPUTED_VALUE"""),-0.0042)</f>
        <v>-0.0042</v>
      </c>
    </row>
    <row r="2630">
      <c r="A2630" s="131">
        <f>IFERROR(__xludf.DUMMYFUNCTION("""COMPUTED_VALUE"""),46187.40806712963)</f>
        <v>46187.40807</v>
      </c>
      <c r="B2630" s="126">
        <f>IFERROR(__xludf.DUMMYFUNCTION("""COMPUTED_VALUE"""),46187.0)</f>
        <v>46187</v>
      </c>
      <c r="C2630" s="122" t="str">
        <f>IFERROR(__xludf.DUMMYFUNCTION("""COMPUTED_VALUE"""),"MEME")</f>
        <v>MEME</v>
      </c>
      <c r="D2630" s="122" t="str">
        <f>IFERROR(__xludf.DUMMYFUNCTION("""COMPUTED_VALUE"""),"Meme Media")</f>
        <v>Meme Media</v>
      </c>
      <c r="E2630" s="122">
        <f>IFERROR(__xludf.DUMMYFUNCTION("""COMPUTED_VALUE"""),78.54)</f>
        <v>78.54</v>
      </c>
      <c r="F2630" s="122">
        <f>IFERROR(__xludf.DUMMYFUNCTION("""COMPUTED_VALUE"""),0.0026)</f>
        <v>0.0026</v>
      </c>
    </row>
    <row r="2631">
      <c r="A2631" s="131">
        <f>IFERROR(__xludf.DUMMYFUNCTION("""COMPUTED_VALUE"""),46187.40806712963)</f>
        <v>46187.40807</v>
      </c>
      <c r="B2631" s="126">
        <f>IFERROR(__xludf.DUMMYFUNCTION("""COMPUTED_VALUE"""),46187.0)</f>
        <v>46187</v>
      </c>
      <c r="C2631" s="122" t="str">
        <f>IFERROR(__xludf.DUMMYFUNCTION("""COMPUTED_VALUE"""),"STRM")</f>
        <v>STRM</v>
      </c>
      <c r="D2631" s="122" t="str">
        <f>IFERROR(__xludf.DUMMYFUNCTION("""COMPUTED_VALUE"""),"Streamly")</f>
        <v>Streamly</v>
      </c>
      <c r="E2631" s="122">
        <f>IFERROR(__xludf.DUMMYFUNCTION("""COMPUTED_VALUE"""),137.69)</f>
        <v>137.69</v>
      </c>
      <c r="F2631" s="122">
        <f>IFERROR(__xludf.DUMMYFUNCTION("""COMPUTED_VALUE"""),0.007)</f>
        <v>0.007</v>
      </c>
    </row>
    <row r="2632">
      <c r="A2632" s="131">
        <f>IFERROR(__xludf.DUMMYFUNCTION("""COMPUTED_VALUE"""),46187.40806712963)</f>
        <v>46187.40807</v>
      </c>
      <c r="B2632" s="126">
        <f>IFERROR(__xludf.DUMMYFUNCTION("""COMPUTED_VALUE"""),46187.0)</f>
        <v>46187</v>
      </c>
      <c r="C2632" s="122" t="str">
        <f>IFERROR(__xludf.DUMMYFUNCTION("""COMPUTED_VALUE"""),"FARM")</f>
        <v>FARM</v>
      </c>
      <c r="D2632" s="122" t="str">
        <f>IFERROR(__xludf.DUMMYFUNCTION("""COMPUTED_VALUE"""),"Future Farms")</f>
        <v>Future Farms</v>
      </c>
      <c r="E2632" s="122">
        <f>IFERROR(__xludf.DUMMYFUNCTION("""COMPUTED_VALUE"""),83.22)</f>
        <v>83.22</v>
      </c>
      <c r="F2632" s="122">
        <f>IFERROR(__xludf.DUMMYFUNCTION("""COMPUTED_VALUE"""),0.0058)</f>
        <v>0.0058</v>
      </c>
    </row>
    <row r="2633">
      <c r="A2633" s="131">
        <f>IFERROR(__xludf.DUMMYFUNCTION("""COMPUTED_VALUE"""),46187.40806712963)</f>
        <v>46187.40807</v>
      </c>
      <c r="B2633" s="126">
        <f>IFERROR(__xludf.DUMMYFUNCTION("""COMPUTED_VALUE"""),46187.0)</f>
        <v>46187</v>
      </c>
      <c r="C2633" s="122" t="str">
        <f>IFERROR(__xludf.DUMMYFUNCTION("""COMPUTED_VALUE"""),"MEAT")</f>
        <v>MEAT</v>
      </c>
      <c r="D2633" s="122" t="str">
        <f>IFERROR(__xludf.DUMMYFUNCTION("""COMPUTED_VALUE"""),"MeatWorks")</f>
        <v>MeatWorks</v>
      </c>
      <c r="E2633" s="122">
        <f>IFERROR(__xludf.DUMMYFUNCTION("""COMPUTED_VALUE"""),101.62)</f>
        <v>101.62</v>
      </c>
      <c r="F2633" s="122">
        <f>IFERROR(__xludf.DUMMYFUNCTION("""COMPUTED_VALUE"""),-0.0053)</f>
        <v>-0.0053</v>
      </c>
    </row>
    <row r="2634">
      <c r="A2634" s="131">
        <f>IFERROR(__xludf.DUMMYFUNCTION("""COMPUTED_VALUE"""),46187.40806712963)</f>
        <v>46187.40807</v>
      </c>
      <c r="B2634" s="126">
        <f>IFERROR(__xludf.DUMMYFUNCTION("""COMPUTED_VALUE"""),46187.0)</f>
        <v>46187</v>
      </c>
      <c r="C2634" s="122" t="str">
        <f>IFERROR(__xludf.DUMMYFUNCTION("""COMPUTED_VALUE"""),"VEGI")</f>
        <v>VEGI</v>
      </c>
      <c r="D2634" s="122" t="str">
        <f>IFERROR(__xludf.DUMMYFUNCTION("""COMPUTED_VALUE"""),"Green Basket")</f>
        <v>Green Basket</v>
      </c>
      <c r="E2634" s="122">
        <f>IFERROR(__xludf.DUMMYFUNCTION("""COMPUTED_VALUE"""),81.92)</f>
        <v>81.92</v>
      </c>
      <c r="F2634" s="122">
        <f>IFERROR(__xludf.DUMMYFUNCTION("""COMPUTED_VALUE"""),-5.0E-4)</f>
        <v>-0.0005</v>
      </c>
    </row>
    <row r="2635">
      <c r="A2635" s="131">
        <f>IFERROR(__xludf.DUMMYFUNCTION("""COMPUTED_VALUE"""),46187.40806712963)</f>
        <v>46187.40807</v>
      </c>
      <c r="B2635" s="126">
        <f>IFERROR(__xludf.DUMMYFUNCTION("""COMPUTED_VALUE"""),46187.0)</f>
        <v>46187</v>
      </c>
      <c r="C2635" s="122" t="str">
        <f>IFERROR(__xludf.DUMMYFUNCTION("""COMPUTED_VALUE"""),"CAFE")</f>
        <v>CAFE</v>
      </c>
      <c r="D2635" s="122" t="str">
        <f>IFERROR(__xludf.DUMMYFUNCTION("""COMPUTED_VALUE"""),"Cafe Cloud")</f>
        <v>Cafe Cloud</v>
      </c>
      <c r="E2635" s="122">
        <f>IFERROR(__xludf.DUMMYFUNCTION("""COMPUTED_VALUE"""),99.25)</f>
        <v>99.25</v>
      </c>
      <c r="F2635" s="122">
        <f>IFERROR(__xludf.DUMMYFUNCTION("""COMPUTED_VALUE"""),-0.0079)</f>
        <v>-0.0079</v>
      </c>
    </row>
    <row r="2636">
      <c r="A2636" s="131">
        <f>IFERROR(__xludf.DUMMYFUNCTION("""COMPUTED_VALUE"""),46187.40806712963)</f>
        <v>46187.40807</v>
      </c>
      <c r="B2636" s="126">
        <f>IFERROR(__xludf.DUMMYFUNCTION("""COMPUTED_VALUE"""),46187.0)</f>
        <v>46187</v>
      </c>
      <c r="C2636" s="122" t="str">
        <f>IFERROR(__xludf.DUMMYFUNCTION("""COMPUTED_VALUE"""),"BAKE")</f>
        <v>BAKE</v>
      </c>
      <c r="D2636" s="122" t="str">
        <f>IFERROR(__xludf.DUMMYFUNCTION("""COMPUTED_VALUE"""),"BakeHouse")</f>
        <v>BakeHouse</v>
      </c>
      <c r="E2636" s="122">
        <f>IFERROR(__xludf.DUMMYFUNCTION("""COMPUTED_VALUE"""),99.4)</f>
        <v>99.4</v>
      </c>
      <c r="F2636" s="122">
        <f>IFERROR(__xludf.DUMMYFUNCTION("""COMPUTED_VALUE"""),5.0E-4)</f>
        <v>0.0005</v>
      </c>
    </row>
    <row r="2637">
      <c r="A2637" s="131">
        <f>IFERROR(__xludf.DUMMYFUNCTION("""COMPUTED_VALUE"""),46187.40806712963)</f>
        <v>46187.40807</v>
      </c>
      <c r="B2637" s="126">
        <f>IFERROR(__xludf.DUMMYFUNCTION("""COMPUTED_VALUE"""),46187.0)</f>
        <v>46187</v>
      </c>
      <c r="C2637" s="122" t="str">
        <f>IFERROR(__xludf.DUMMYFUNCTION("""COMPUTED_VALUE"""),"OILX")</f>
        <v>OILX</v>
      </c>
      <c r="D2637" s="122" t="str">
        <f>IFERROR(__xludf.DUMMYFUNCTION("""COMPUTED_VALUE"""),"OilMax Energy")</f>
        <v>OilMax Energy</v>
      </c>
      <c r="E2637" s="122">
        <f>IFERROR(__xludf.DUMMYFUNCTION("""COMPUTED_VALUE"""),130.81)</f>
        <v>130.81</v>
      </c>
      <c r="F2637" s="122">
        <f>IFERROR(__xludf.DUMMYFUNCTION("""COMPUTED_VALUE"""),0.0065)</f>
        <v>0.0065</v>
      </c>
    </row>
    <row r="2638">
      <c r="A2638" s="131">
        <f>IFERROR(__xludf.DUMMYFUNCTION("""COMPUTED_VALUE"""),46187.40806712963)</f>
        <v>46187.40807</v>
      </c>
      <c r="B2638" s="126">
        <f>IFERROR(__xludf.DUMMYFUNCTION("""COMPUTED_VALUE"""),46187.0)</f>
        <v>46187</v>
      </c>
      <c r="C2638" s="122" t="str">
        <f>IFERROR(__xludf.DUMMYFUNCTION("""COMPUTED_VALUE"""),"SOLR")</f>
        <v>SOLR</v>
      </c>
      <c r="D2638" s="122" t="str">
        <f>IFERROR(__xludf.DUMMYFUNCTION("""COMPUTED_VALUE"""),"SolarSpark")</f>
        <v>SolarSpark</v>
      </c>
      <c r="E2638" s="122">
        <f>IFERROR(__xludf.DUMMYFUNCTION("""COMPUTED_VALUE"""),88.12)</f>
        <v>88.12</v>
      </c>
      <c r="F2638" s="122">
        <f>IFERROR(__xludf.DUMMYFUNCTION("""COMPUTED_VALUE"""),-0.0053)</f>
        <v>-0.0053</v>
      </c>
    </row>
    <row r="2639">
      <c r="A2639" s="131">
        <f>IFERROR(__xludf.DUMMYFUNCTION("""COMPUTED_VALUE"""),46187.40806712963)</f>
        <v>46187.40807</v>
      </c>
      <c r="B2639" s="126">
        <f>IFERROR(__xludf.DUMMYFUNCTION("""COMPUTED_VALUE"""),46187.0)</f>
        <v>46187</v>
      </c>
      <c r="C2639" s="122" t="str">
        <f>IFERROR(__xludf.DUMMYFUNCTION("""COMPUTED_VALUE"""),"BATT")</f>
        <v>BATT</v>
      </c>
      <c r="D2639" s="122" t="str">
        <f>IFERROR(__xludf.DUMMYFUNCTION("""COMPUTED_VALUE"""),"BatteryBox")</f>
        <v>BatteryBox</v>
      </c>
      <c r="E2639" s="122">
        <f>IFERROR(__xludf.DUMMYFUNCTION("""COMPUTED_VALUE"""),122.18)</f>
        <v>122.18</v>
      </c>
      <c r="F2639" s="122">
        <f>IFERROR(__xludf.DUMMYFUNCTION("""COMPUTED_VALUE"""),0.0108)</f>
        <v>0.0108</v>
      </c>
    </row>
    <row r="2640">
      <c r="A2640" s="131">
        <f>IFERROR(__xludf.DUMMYFUNCTION("""COMPUTED_VALUE"""),46187.40806712963)</f>
        <v>46187.40807</v>
      </c>
      <c r="B2640" s="126">
        <f>IFERROR(__xludf.DUMMYFUNCTION("""COMPUTED_VALUE"""),46187.0)</f>
        <v>46187</v>
      </c>
      <c r="C2640" s="122" t="str">
        <f>IFERROR(__xludf.DUMMYFUNCTION("""COMPUTED_VALUE"""),"WIND")</f>
        <v>WIND</v>
      </c>
      <c r="D2640" s="122" t="str">
        <f>IFERROR(__xludf.DUMMYFUNCTION("""COMPUTED_VALUE"""),"WindWorks")</f>
        <v>WindWorks</v>
      </c>
      <c r="E2640" s="122">
        <f>IFERROR(__xludf.DUMMYFUNCTION("""COMPUTED_VALUE"""),87.89)</f>
        <v>87.89</v>
      </c>
      <c r="F2640" s="122">
        <f>IFERROR(__xludf.DUMMYFUNCTION("""COMPUTED_VALUE"""),0.0057)</f>
        <v>0.0057</v>
      </c>
    </row>
    <row r="2641">
      <c r="A2641" s="131">
        <f>IFERROR(__xludf.DUMMYFUNCTION("""COMPUTED_VALUE"""),46187.40806712963)</f>
        <v>46187.40807</v>
      </c>
      <c r="B2641" s="126">
        <f>IFERROR(__xludf.DUMMYFUNCTION("""COMPUTED_VALUE"""),46187.0)</f>
        <v>46187</v>
      </c>
      <c r="C2641" s="122" t="str">
        <f>IFERROR(__xludf.DUMMYFUNCTION("""COMPUTED_VALUE"""),"GRID")</f>
        <v>GRID</v>
      </c>
      <c r="D2641" s="122" t="str">
        <f>IFERROR(__xludf.DUMMYFUNCTION("""COMPUTED_VALUE"""),"GridPower")</f>
        <v>GridPower</v>
      </c>
      <c r="E2641" s="122">
        <f>IFERROR(__xludf.DUMMYFUNCTION("""COMPUTED_VALUE"""),143.61)</f>
        <v>143.61</v>
      </c>
      <c r="F2641" s="122">
        <f>IFERROR(__xludf.DUMMYFUNCTION("""COMPUTED_VALUE"""),0.0029)</f>
        <v>0.0029</v>
      </c>
    </row>
    <row r="2642">
      <c r="A2642" s="131">
        <f>IFERROR(__xludf.DUMMYFUNCTION("""COMPUTED_VALUE"""),46187.40806712963)</f>
        <v>46187.40807</v>
      </c>
      <c r="B2642" s="126">
        <f>IFERROR(__xludf.DUMMYFUNCTION("""COMPUTED_VALUE"""),46187.0)</f>
        <v>46187</v>
      </c>
      <c r="C2642" s="122" t="str">
        <f>IFERROR(__xludf.DUMMYFUNCTION("""COMPUTED_VALUE"""),"HOME")</f>
        <v>HOME</v>
      </c>
      <c r="D2642" s="122" t="str">
        <f>IFERROR(__xludf.DUMMYFUNCTION("""COMPUTED_VALUE"""),"HomeHub")</f>
        <v>HomeHub</v>
      </c>
      <c r="E2642" s="122">
        <f>IFERROR(__xludf.DUMMYFUNCTION("""COMPUTED_VALUE"""),148.85)</f>
        <v>148.85</v>
      </c>
      <c r="F2642" s="122">
        <f>IFERROR(__xludf.DUMMYFUNCTION("""COMPUTED_VALUE"""),0.0031)</f>
        <v>0.0031</v>
      </c>
    </row>
    <row r="2643">
      <c r="A2643" s="131">
        <f>IFERROR(__xludf.DUMMYFUNCTION("""COMPUTED_VALUE"""),46187.40806712963)</f>
        <v>46187.40807</v>
      </c>
      <c r="B2643" s="126">
        <f>IFERROR(__xludf.DUMMYFUNCTION("""COMPUTED_VALUE"""),46187.0)</f>
        <v>46187</v>
      </c>
      <c r="C2643" s="122" t="str">
        <f>IFERROR(__xludf.DUMMYFUNCTION("""COMPUTED_VALUE"""),"RENT")</f>
        <v>RENT</v>
      </c>
      <c r="D2643" s="122" t="str">
        <f>IFERROR(__xludf.DUMMYFUNCTION("""COMPUTED_VALUE"""),"RentRight")</f>
        <v>RentRight</v>
      </c>
      <c r="E2643" s="122">
        <f>IFERROR(__xludf.DUMMYFUNCTION("""COMPUTED_VALUE"""),92.03)</f>
        <v>92.03</v>
      </c>
      <c r="F2643" s="122">
        <f>IFERROR(__xludf.DUMMYFUNCTION("""COMPUTED_VALUE"""),-0.0055)</f>
        <v>-0.0055</v>
      </c>
    </row>
    <row r="2644">
      <c r="A2644" s="131">
        <f>IFERROR(__xludf.DUMMYFUNCTION("""COMPUTED_VALUE"""),46187.40806712963)</f>
        <v>46187.40807</v>
      </c>
      <c r="B2644" s="126">
        <f>IFERROR(__xludf.DUMMYFUNCTION("""COMPUTED_VALUE"""),46187.0)</f>
        <v>46187</v>
      </c>
      <c r="C2644" s="122" t="str">
        <f>IFERROR(__xludf.DUMMYFUNCTION("""COMPUTED_VALUE"""),"MALL")</f>
        <v>MALL</v>
      </c>
      <c r="D2644" s="122" t="str">
        <f>IFERROR(__xludf.DUMMYFUNCTION("""COMPUTED_VALUE"""),"MegaMall")</f>
        <v>MegaMall</v>
      </c>
      <c r="E2644" s="122">
        <f>IFERROR(__xludf.DUMMYFUNCTION("""COMPUTED_VALUE"""),99.31)</f>
        <v>99.31</v>
      </c>
      <c r="F2644" s="122">
        <f>IFERROR(__xludf.DUMMYFUNCTION("""COMPUTED_VALUE"""),-0.0044)</f>
        <v>-0.0044</v>
      </c>
    </row>
    <row r="2645">
      <c r="A2645" s="131">
        <f>IFERROR(__xludf.DUMMYFUNCTION("""COMPUTED_VALUE"""),46187.40806712963)</f>
        <v>46187.40807</v>
      </c>
      <c r="B2645" s="126">
        <f>IFERROR(__xludf.DUMMYFUNCTION("""COMPUTED_VALUE"""),46187.0)</f>
        <v>46187</v>
      </c>
      <c r="C2645" s="122" t="str">
        <f>IFERROR(__xludf.DUMMYFUNCTION("""COMPUTED_VALUE"""),"HOTL")</f>
        <v>HOTL</v>
      </c>
      <c r="D2645" s="122" t="str">
        <f>IFERROR(__xludf.DUMMYFUNCTION("""COMPUTED_VALUE"""),"HotelHive")</f>
        <v>HotelHive</v>
      </c>
      <c r="E2645" s="122">
        <f>IFERROR(__xludf.DUMMYFUNCTION("""COMPUTED_VALUE"""),132.88)</f>
        <v>132.88</v>
      </c>
      <c r="F2645" s="122">
        <f>IFERROR(__xludf.DUMMYFUNCTION("""COMPUTED_VALUE"""),0.0023)</f>
        <v>0.0023</v>
      </c>
    </row>
    <row r="2646">
      <c r="A2646" s="131">
        <f>IFERROR(__xludf.DUMMYFUNCTION("""COMPUTED_VALUE"""),46187.40806712963)</f>
        <v>46187.40807</v>
      </c>
      <c r="B2646" s="126">
        <f>IFERROR(__xludf.DUMMYFUNCTION("""COMPUTED_VALUE"""),46187.0)</f>
        <v>46187</v>
      </c>
      <c r="C2646" s="122" t="str">
        <f>IFERROR(__xludf.DUMMYFUNCTION("""COMPUTED_VALUE"""),"LAND")</f>
        <v>LAND</v>
      </c>
      <c r="D2646" s="122" t="str">
        <f>IFERROR(__xludf.DUMMYFUNCTION("""COMPUTED_VALUE"""),"LandLink")</f>
        <v>LandLink</v>
      </c>
      <c r="E2646" s="122">
        <f>IFERROR(__xludf.DUMMYFUNCTION("""COMPUTED_VALUE"""),182.87)</f>
        <v>182.87</v>
      </c>
      <c r="F2646" s="122">
        <f>IFERROR(__xludf.DUMMYFUNCTION("""COMPUTED_VALUE"""),0.0033)</f>
        <v>0.0033</v>
      </c>
    </row>
    <row r="2647">
      <c r="A2647" s="131">
        <f>IFERROR(__xludf.DUMMYFUNCTION("""COMPUTED_VALUE"""),46187.40806712963)</f>
        <v>46187.40807</v>
      </c>
      <c r="B2647" s="126">
        <f>IFERROR(__xludf.DUMMYFUNCTION("""COMPUTED_VALUE"""),46187.0)</f>
        <v>46187</v>
      </c>
      <c r="C2647" s="122" t="str">
        <f>IFERROR(__xludf.DUMMYFUNCTION("""COMPUTED_VALUE"""),"CARS")</f>
        <v>CARS</v>
      </c>
      <c r="D2647" s="122" t="str">
        <f>IFERROR(__xludf.DUMMYFUNCTION("""COMPUTED_VALUE"""),"AutoArena")</f>
        <v>AutoArena</v>
      </c>
      <c r="E2647" s="122">
        <f>IFERROR(__xludf.DUMMYFUNCTION("""COMPUTED_VALUE"""),78.88)</f>
        <v>78.88</v>
      </c>
      <c r="F2647" s="122">
        <f>IFERROR(__xludf.DUMMYFUNCTION("""COMPUTED_VALUE"""),-4.0E-4)</f>
        <v>-0.0004</v>
      </c>
    </row>
    <row r="2648">
      <c r="A2648" s="131">
        <f>IFERROR(__xludf.DUMMYFUNCTION("""COMPUTED_VALUE"""),46187.40806712963)</f>
        <v>46187.40807</v>
      </c>
      <c r="B2648" s="126">
        <f>IFERROR(__xludf.DUMMYFUNCTION("""COMPUTED_VALUE"""),46187.0)</f>
        <v>46187</v>
      </c>
      <c r="C2648" s="122" t="str">
        <f>IFERROR(__xludf.DUMMYFUNCTION("""COMPUTED_VALUE"""),"EVGO")</f>
        <v>EVGO</v>
      </c>
      <c r="D2648" s="122" t="str">
        <f>IFERROR(__xludf.DUMMYFUNCTION("""COMPUTED_VALUE"""),"EVGo Motors")</f>
        <v>EVGo Motors</v>
      </c>
      <c r="E2648" s="122">
        <f>IFERROR(__xludf.DUMMYFUNCTION("""COMPUTED_VALUE"""),193.39)</f>
        <v>193.39</v>
      </c>
      <c r="F2648" s="122">
        <f>IFERROR(__xludf.DUMMYFUNCTION("""COMPUTED_VALUE"""),0.0028)</f>
        <v>0.0028</v>
      </c>
    </row>
    <row r="2649">
      <c r="A2649" s="131">
        <f>IFERROR(__xludf.DUMMYFUNCTION("""COMPUTED_VALUE"""),46187.40806712963)</f>
        <v>46187.40807</v>
      </c>
      <c r="B2649" s="126">
        <f>IFERROR(__xludf.DUMMYFUNCTION("""COMPUTED_VALUE"""),46187.0)</f>
        <v>46187</v>
      </c>
      <c r="C2649" s="122" t="str">
        <f>IFERROR(__xludf.DUMMYFUNCTION("""COMPUTED_VALUE"""),"TIRE")</f>
        <v>TIRE</v>
      </c>
      <c r="D2649" s="122" t="str">
        <f>IFERROR(__xludf.DUMMYFUNCTION("""COMPUTED_VALUE"""),"TireTown")</f>
        <v>TireTown</v>
      </c>
      <c r="E2649" s="122">
        <f>IFERROR(__xludf.DUMMYFUNCTION("""COMPUTED_VALUE"""),92.61)</f>
        <v>92.61</v>
      </c>
      <c r="F2649" s="122">
        <f>IFERROR(__xludf.DUMMYFUNCTION("""COMPUTED_VALUE"""),0.0051)</f>
        <v>0.0051</v>
      </c>
    </row>
    <row r="2650">
      <c r="A2650" s="131">
        <f>IFERROR(__xludf.DUMMYFUNCTION("""COMPUTED_VALUE"""),46187.40806712963)</f>
        <v>46187.40807</v>
      </c>
      <c r="B2650" s="126">
        <f>IFERROR(__xludf.DUMMYFUNCTION("""COMPUTED_VALUE"""),46187.0)</f>
        <v>46187</v>
      </c>
      <c r="C2650" s="122" t="str">
        <f>IFERROR(__xludf.DUMMYFUNCTION("""COMPUTED_VALUE"""),"BIKE")</f>
        <v>BIKE</v>
      </c>
      <c r="D2650" s="122" t="str">
        <f>IFERROR(__xludf.DUMMYFUNCTION("""COMPUTED_VALUE"""),"BikeBox")</f>
        <v>BikeBox</v>
      </c>
      <c r="E2650" s="122">
        <f>IFERROR(__xludf.DUMMYFUNCTION("""COMPUTED_VALUE"""),53.93)</f>
        <v>53.93</v>
      </c>
      <c r="F2650" s="122">
        <f>IFERROR(__xludf.DUMMYFUNCTION("""COMPUTED_VALUE"""),0.002)</f>
        <v>0.002</v>
      </c>
    </row>
    <row r="2651">
      <c r="A2651" s="131">
        <f>IFERROR(__xludf.DUMMYFUNCTION("""COMPUTED_VALUE"""),46187.40806712963)</f>
        <v>46187.40807</v>
      </c>
      <c r="B2651" s="126">
        <f>IFERROR(__xludf.DUMMYFUNCTION("""COMPUTED_VALUE"""),46187.0)</f>
        <v>46187</v>
      </c>
      <c r="C2651" s="122" t="str">
        <f>IFERROR(__xludf.DUMMYFUNCTION("""COMPUTED_VALUE"""),"WASH")</f>
        <v>WASH</v>
      </c>
      <c r="D2651" s="122" t="str">
        <f>IFERROR(__xludf.DUMMYFUNCTION("""COMPUTED_VALUE"""),"CarWash Co")</f>
        <v>CarWash Co</v>
      </c>
      <c r="E2651" s="122">
        <f>IFERROR(__xludf.DUMMYFUNCTION("""COMPUTED_VALUE"""),120.58)</f>
        <v>120.58</v>
      </c>
      <c r="F2651" s="122">
        <f>IFERROR(__xludf.DUMMYFUNCTION("""COMPUTED_VALUE"""),-0.0021)</f>
        <v>-0.0021</v>
      </c>
    </row>
    <row r="2652">
      <c r="A2652" s="131">
        <f>IFERROR(__xludf.DUMMYFUNCTION("""COMPUTED_VALUE"""),46187.40806712963)</f>
        <v>46187.40807</v>
      </c>
      <c r="B2652" s="126">
        <f>IFERROR(__xludf.DUMMYFUNCTION("""COMPUTED_VALUE"""),46187.0)</f>
        <v>46187</v>
      </c>
      <c r="C2652" s="122" t="str">
        <f>IFERROR(__xludf.DUMMYFUNCTION("""COMPUTED_VALUE"""),"GBND")</f>
        <v>GBND</v>
      </c>
      <c r="D2652" s="122" t="str">
        <f>IFERROR(__xludf.DUMMYFUNCTION("""COMPUTED_VALUE"""),"Classroom Government Bond")</f>
        <v>Classroom Government Bond</v>
      </c>
      <c r="E2652" s="122">
        <f>IFERROR(__xludf.DUMMYFUNCTION("""COMPUTED_VALUE"""),100.97)</f>
        <v>100.97</v>
      </c>
      <c r="F2652" s="122">
        <f>IFERROR(__xludf.DUMMYFUNCTION("""COMPUTED_VALUE"""),-2.0E-4)</f>
        <v>-0.0002</v>
      </c>
    </row>
    <row r="2653">
      <c r="A2653" s="131">
        <f>IFERROR(__xludf.DUMMYFUNCTION("""COMPUTED_VALUE"""),46187.40806712963)</f>
        <v>46187.40807</v>
      </c>
      <c r="B2653" s="126">
        <f>IFERROR(__xludf.DUMMYFUNCTION("""COMPUTED_VALUE"""),46187.0)</f>
        <v>46187</v>
      </c>
      <c r="C2653" s="122" t="str">
        <f>IFERROR(__xludf.DUMMYFUNCTION("""COMPUTED_VALUE"""),"SBND")</f>
        <v>SBND</v>
      </c>
      <c r="D2653" s="122" t="str">
        <f>IFERROR(__xludf.DUMMYFUNCTION("""COMPUTED_VALUE"""),"School Savings Bond")</f>
        <v>School Savings Bond</v>
      </c>
      <c r="E2653" s="122">
        <f>IFERROR(__xludf.DUMMYFUNCTION("""COMPUTED_VALUE"""),99.63)</f>
        <v>99.63</v>
      </c>
      <c r="F2653" s="122">
        <f>IFERROR(__xludf.DUMMYFUNCTION("""COMPUTED_VALUE"""),5.0E-4)</f>
        <v>0.0005</v>
      </c>
    </row>
    <row r="2654">
      <c r="A2654" s="131">
        <f>IFERROR(__xludf.DUMMYFUNCTION("""COMPUTED_VALUE"""),46187.40806712963)</f>
        <v>46187.40807</v>
      </c>
      <c r="B2654" s="126">
        <f>IFERROR(__xludf.DUMMYFUNCTION("""COMPUTED_VALUE"""),46187.0)</f>
        <v>46187</v>
      </c>
      <c r="C2654" s="122" t="str">
        <f>IFERROR(__xludf.DUMMYFUNCTION("""COMPUTED_VALUE"""),"CBND")</f>
        <v>CBND</v>
      </c>
      <c r="D2654" s="122" t="str">
        <f>IFERROR(__xludf.DUMMYFUNCTION("""COMPUTED_VALUE"""),"Corporate Classroom Bond")</f>
        <v>Corporate Classroom Bond</v>
      </c>
      <c r="E2654" s="122">
        <f>IFERROR(__xludf.DUMMYFUNCTION("""COMPUTED_VALUE"""),97.64)</f>
        <v>97.64</v>
      </c>
      <c r="F2654" s="122">
        <f>IFERROR(__xludf.DUMMYFUNCTION("""COMPUTED_VALUE"""),1.0E-4)</f>
        <v>0.0001</v>
      </c>
    </row>
    <row r="2655">
      <c r="A2655" s="131">
        <f>IFERROR(__xludf.DUMMYFUNCTION("""COMPUTED_VALUE"""),46187.40806712963)</f>
        <v>46187.40807</v>
      </c>
      <c r="B2655" s="126">
        <f>IFERROR(__xludf.DUMMYFUNCTION("""COMPUTED_VALUE"""),46187.0)</f>
        <v>46187</v>
      </c>
      <c r="C2655" s="122" t="str">
        <f>IFERROR(__xludf.DUMMYFUNCTION("""COMPUTED_VALUE"""),"TBIL")</f>
        <v>TBIL</v>
      </c>
      <c r="D2655" s="122" t="str">
        <f>IFERROR(__xludf.DUMMYFUNCTION("""COMPUTED_VALUE"""),"Treasury Bill")</f>
        <v>Treasury Bill</v>
      </c>
      <c r="E2655" s="122">
        <f>IFERROR(__xludf.DUMMYFUNCTION("""COMPUTED_VALUE"""),98.13)</f>
        <v>98.13</v>
      </c>
      <c r="F2655" s="122">
        <f>IFERROR(__xludf.DUMMYFUNCTION("""COMPUTED_VALUE"""),4.0E-4)</f>
        <v>0.0004</v>
      </c>
    </row>
    <row r="2656">
      <c r="A2656" s="131">
        <f>IFERROR(__xludf.DUMMYFUNCTION("""COMPUTED_VALUE"""),46187.40806712963)</f>
        <v>46187.40807</v>
      </c>
      <c r="B2656" s="126">
        <f>IFERROR(__xludf.DUMMYFUNCTION("""COMPUTED_VALUE"""),46187.0)</f>
        <v>46187</v>
      </c>
      <c r="C2656" s="122" t="str">
        <f>IFERROR(__xludf.DUMMYFUNCTION("""COMPUTED_VALUE"""),"IBND")</f>
        <v>IBND</v>
      </c>
      <c r="D2656" s="122" t="str">
        <f>IFERROR(__xludf.DUMMYFUNCTION("""COMPUTED_VALUE"""),"Inflation Protected Bond")</f>
        <v>Inflation Protected Bond</v>
      </c>
      <c r="E2656" s="122">
        <f>IFERROR(__xludf.DUMMYFUNCTION("""COMPUTED_VALUE"""),100.69)</f>
        <v>100.69</v>
      </c>
      <c r="F2656" s="122">
        <f>IFERROR(__xludf.DUMMYFUNCTION("""COMPUTED_VALUE"""),4.0E-4)</f>
        <v>0.0004</v>
      </c>
    </row>
    <row r="2657">
      <c r="A2657" s="131">
        <f>IFERROR(__xludf.DUMMYFUNCTION("""COMPUTED_VALUE"""),46187.409224537034)</f>
        <v>46187.40922</v>
      </c>
      <c r="B2657" s="126">
        <f>IFERROR(__xludf.DUMMYFUNCTION("""COMPUTED_VALUE"""),46187.0)</f>
        <v>46187</v>
      </c>
      <c r="C2657" s="130">
        <f>IFERROR(__xludf.DUMMYFUNCTION("""COMPUTED_VALUE"""),0.40922453703703704)</f>
        <v>0.409224537</v>
      </c>
      <c r="D2657" s="122" t="str">
        <f>IFERROR(__xludf.DUMMYFUNCTION("""COMPUTED_VALUE"""),"SNAX")</f>
        <v>SNAX</v>
      </c>
      <c r="E2657" s="122" t="str">
        <f>IFERROR(__xludf.DUMMYFUNCTION("""COMPUTED_VALUE"""),"MICA Snacks")</f>
        <v>MICA Snacks</v>
      </c>
      <c r="F2657" s="122" t="str">
        <f>IFERROR(__xludf.DUMMYFUNCTION("""COMPUTED_VALUE"""),"Consumer Goods")</f>
        <v>Consumer Goods</v>
      </c>
    </row>
    <row r="2658">
      <c r="A2658" s="131">
        <f>IFERROR(__xludf.DUMMYFUNCTION("""COMPUTED_VALUE"""),46187.409224537034)</f>
        <v>46187.40922</v>
      </c>
      <c r="B2658" s="126">
        <f>IFERROR(__xludf.DUMMYFUNCTION("""COMPUTED_VALUE"""),46187.0)</f>
        <v>46187</v>
      </c>
      <c r="C2658" s="130">
        <f>IFERROR(__xludf.DUMMYFUNCTION("""COMPUTED_VALUE"""),0.40922453703703704)</f>
        <v>0.409224537</v>
      </c>
      <c r="D2658" s="122" t="str">
        <f>IFERROR(__xludf.DUMMYFUNCTION("""COMPUTED_VALUE"""),"RAMN")</f>
        <v>RAMN</v>
      </c>
      <c r="E2658" s="122" t="str">
        <f>IFERROR(__xludf.DUMMYFUNCTION("""COMPUTED_VALUE"""),"Ramen Republic")</f>
        <v>Ramen Republic</v>
      </c>
      <c r="F2658" s="122" t="str">
        <f>IFERROR(__xludf.DUMMYFUNCTION("""COMPUTED_VALUE"""),"Food")</f>
        <v>Food</v>
      </c>
    </row>
    <row r="2659">
      <c r="A2659" s="131">
        <f>IFERROR(__xludf.DUMMYFUNCTION("""COMPUTED_VALUE"""),46187.409224537034)</f>
        <v>46187.40922</v>
      </c>
      <c r="B2659" s="126">
        <f>IFERROR(__xludf.DUMMYFUNCTION("""COMPUTED_VALUE"""),46187.0)</f>
        <v>46187</v>
      </c>
      <c r="C2659" s="130">
        <f>IFERROR(__xludf.DUMMYFUNCTION("""COMPUTED_VALUE"""),0.40922453703703704)</f>
        <v>0.409224537</v>
      </c>
      <c r="D2659" s="122" t="str">
        <f>IFERROR(__xludf.DUMMYFUNCTION("""COMPUTED_VALUE"""),"COLA")</f>
        <v>COLA</v>
      </c>
      <c r="E2659" s="122" t="str">
        <f>IFERROR(__xludf.DUMMYFUNCTION("""COMPUTED_VALUE"""),"K-Pop Cola")</f>
        <v>K-Pop Cola</v>
      </c>
      <c r="F2659" s="122" t="str">
        <f>IFERROR(__xludf.DUMMYFUNCTION("""COMPUTED_VALUE"""),"Beverage")</f>
        <v>Beverage</v>
      </c>
    </row>
    <row r="2660">
      <c r="A2660" s="131">
        <f>IFERROR(__xludf.DUMMYFUNCTION("""COMPUTED_VALUE"""),46187.409224537034)</f>
        <v>46187.40922</v>
      </c>
      <c r="B2660" s="126">
        <f>IFERROR(__xludf.DUMMYFUNCTION("""COMPUTED_VALUE"""),46187.0)</f>
        <v>46187</v>
      </c>
      <c r="C2660" s="130">
        <f>IFERROR(__xludf.DUMMYFUNCTION("""COMPUTED_VALUE"""),0.40922453703703704)</f>
        <v>0.409224537</v>
      </c>
      <c r="D2660" s="122" t="str">
        <f>IFERROR(__xludf.DUMMYFUNCTION("""COMPUTED_VALUE"""),"CHIP")</f>
        <v>CHIP</v>
      </c>
      <c r="E2660" s="122" t="str">
        <f>IFERROR(__xludf.DUMMYFUNCTION("""COMPUTED_VALUE"""),"Chip Empire")</f>
        <v>Chip Empire</v>
      </c>
      <c r="F2660" s="122" t="str">
        <f>IFERROR(__xludf.DUMMYFUNCTION("""COMPUTED_VALUE"""),"Consumer Goods")</f>
        <v>Consumer Goods</v>
      </c>
    </row>
    <row r="2661">
      <c r="A2661" s="131">
        <f>IFERROR(__xludf.DUMMYFUNCTION("""COMPUTED_VALUE"""),46187.409224537034)</f>
        <v>46187.40922</v>
      </c>
      <c r="B2661" s="126">
        <f>IFERROR(__xludf.DUMMYFUNCTION("""COMPUTED_VALUE"""),46187.0)</f>
        <v>46187</v>
      </c>
      <c r="C2661" s="130">
        <f>IFERROR(__xludf.DUMMYFUNCTION("""COMPUTED_VALUE"""),0.40922453703703704)</f>
        <v>0.409224537</v>
      </c>
      <c r="D2661" s="122" t="str">
        <f>IFERROR(__xludf.DUMMYFUNCTION("""COMPUTED_VALUE"""),"CAND")</f>
        <v>CAND</v>
      </c>
      <c r="E2661" s="122" t="str">
        <f>IFERROR(__xludf.DUMMYFUNCTION("""COMPUTED_VALUE"""),"Candy Capital")</f>
        <v>Candy Capital</v>
      </c>
      <c r="F2661" s="122" t="str">
        <f>IFERROR(__xludf.DUMMYFUNCTION("""COMPUTED_VALUE"""),"Consumer Goods")</f>
        <v>Consumer Goods</v>
      </c>
    </row>
    <row r="2662">
      <c r="A2662" s="131">
        <f>IFERROR(__xludf.DUMMYFUNCTION("""COMPUTED_VALUE"""),46187.409224537034)</f>
        <v>46187.40922</v>
      </c>
      <c r="B2662" s="126">
        <f>IFERROR(__xludf.DUMMYFUNCTION("""COMPUTED_VALUE"""),46187.0)</f>
        <v>46187</v>
      </c>
      <c r="C2662" s="130">
        <f>IFERROR(__xludf.DUMMYFUNCTION("""COMPUTED_VALUE"""),0.40922453703703704)</f>
        <v>0.409224537</v>
      </c>
      <c r="D2662" s="122" t="str">
        <f>IFERROR(__xludf.DUMMYFUNCTION("""COMPUTED_VALUE"""),"TECH")</f>
        <v>TECH</v>
      </c>
      <c r="E2662" s="122" t="str">
        <f>IFERROR(__xludf.DUMMYFUNCTION("""COMPUTED_VALUE"""),"Dragon Tech")</f>
        <v>Dragon Tech</v>
      </c>
      <c r="F2662" s="122" t="str">
        <f>IFERROR(__xludf.DUMMYFUNCTION("""COMPUTED_VALUE"""),"Technology")</f>
        <v>Technology</v>
      </c>
    </row>
    <row r="2663">
      <c r="A2663" s="131">
        <f>IFERROR(__xludf.DUMMYFUNCTION("""COMPUTED_VALUE"""),46187.409224537034)</f>
        <v>46187.40922</v>
      </c>
      <c r="B2663" s="126">
        <f>IFERROR(__xludf.DUMMYFUNCTION("""COMPUTED_VALUE"""),46187.0)</f>
        <v>46187</v>
      </c>
      <c r="C2663" s="130">
        <f>IFERROR(__xludf.DUMMYFUNCTION("""COMPUTED_VALUE"""),0.40922453703703704)</f>
        <v>0.409224537</v>
      </c>
      <c r="D2663" s="122" t="str">
        <f>IFERROR(__xludf.DUMMYFUNCTION("""COMPUTED_VALUE"""),"AIBO")</f>
        <v>AIBO</v>
      </c>
      <c r="E2663" s="122" t="str">
        <f>IFERROR(__xludf.DUMMYFUNCTION("""COMPUTED_VALUE"""),"Homework AI")</f>
        <v>Homework AI</v>
      </c>
      <c r="F2663" s="122" t="str">
        <f>IFERROR(__xludf.DUMMYFUNCTION("""COMPUTED_VALUE"""),"Technology")</f>
        <v>Technology</v>
      </c>
    </row>
    <row r="2664">
      <c r="A2664" s="131">
        <f>IFERROR(__xludf.DUMMYFUNCTION("""COMPUTED_VALUE"""),46187.409224537034)</f>
        <v>46187.40922</v>
      </c>
      <c r="B2664" s="126">
        <f>IFERROR(__xludf.DUMMYFUNCTION("""COMPUTED_VALUE"""),46187.0)</f>
        <v>46187</v>
      </c>
      <c r="C2664" s="130">
        <f>IFERROR(__xludf.DUMMYFUNCTION("""COMPUTED_VALUE"""),0.40922453703703704)</f>
        <v>0.409224537</v>
      </c>
      <c r="D2664" s="122" t="str">
        <f>IFERROR(__xludf.DUMMYFUNCTION("""COMPUTED_VALUE"""),"GAME")</f>
        <v>GAME</v>
      </c>
      <c r="E2664" s="122" t="str">
        <f>IFERROR(__xludf.DUMMYFUNCTION("""COMPUTED_VALUE"""),"GameBox Media")</f>
        <v>GameBox Media</v>
      </c>
      <c r="F2664" s="122" t="str">
        <f>IFERROR(__xludf.DUMMYFUNCTION("""COMPUTED_VALUE"""),"Entertainment")</f>
        <v>Entertainment</v>
      </c>
    </row>
    <row r="2665">
      <c r="A2665" s="131">
        <f>IFERROR(__xludf.DUMMYFUNCTION("""COMPUTED_VALUE"""),46187.409224537034)</f>
        <v>46187.40922</v>
      </c>
      <c r="B2665" s="126">
        <f>IFERROR(__xludf.DUMMYFUNCTION("""COMPUTED_VALUE"""),46187.0)</f>
        <v>46187</v>
      </c>
      <c r="C2665" s="130">
        <f>IFERROR(__xludf.DUMMYFUNCTION("""COMPUTED_VALUE"""),0.40922453703703704)</f>
        <v>0.409224537</v>
      </c>
      <c r="D2665" s="122" t="str">
        <f>IFERROR(__xludf.DUMMYFUNCTION("""COMPUTED_VALUE"""),"VRSE")</f>
        <v>VRSE</v>
      </c>
      <c r="E2665" s="122" t="str">
        <f>IFERROR(__xludf.DUMMYFUNCTION("""COMPUTED_VALUE"""),"VerseVR")</f>
        <v>VerseVR</v>
      </c>
      <c r="F2665" s="122" t="str">
        <f>IFERROR(__xludf.DUMMYFUNCTION("""COMPUTED_VALUE"""),"Technology")</f>
        <v>Technology</v>
      </c>
    </row>
    <row r="2666">
      <c r="A2666" s="131">
        <f>IFERROR(__xludf.DUMMYFUNCTION("""COMPUTED_VALUE"""),46187.409224537034)</f>
        <v>46187.40922</v>
      </c>
      <c r="B2666" s="126">
        <f>IFERROR(__xludf.DUMMYFUNCTION("""COMPUTED_VALUE"""),46187.0)</f>
        <v>46187</v>
      </c>
      <c r="C2666" s="130">
        <f>IFERROR(__xludf.DUMMYFUNCTION("""COMPUTED_VALUE"""),0.40922453703703704)</f>
        <v>0.409224537</v>
      </c>
      <c r="D2666" s="122" t="str">
        <f>IFERROR(__xludf.DUMMYFUNCTION("""COMPUTED_VALUE"""),"BYTE")</f>
        <v>BYTE</v>
      </c>
      <c r="E2666" s="122" t="str">
        <f>IFERROR(__xludf.DUMMYFUNCTION("""COMPUTED_VALUE"""),"ByteWorks")</f>
        <v>ByteWorks</v>
      </c>
      <c r="F2666" s="122" t="str">
        <f>IFERROR(__xludf.DUMMYFUNCTION("""COMPUTED_VALUE"""),"Technology")</f>
        <v>Technology</v>
      </c>
    </row>
    <row r="2667">
      <c r="A2667" s="131">
        <f>IFERROR(__xludf.DUMMYFUNCTION("""COMPUTED_VALUE"""),46187.409224537034)</f>
        <v>46187.40922</v>
      </c>
      <c r="B2667" s="126">
        <f>IFERROR(__xludf.DUMMYFUNCTION("""COMPUTED_VALUE"""),46187.0)</f>
        <v>46187</v>
      </c>
      <c r="C2667" s="130">
        <f>IFERROR(__xludf.DUMMYFUNCTION("""COMPUTED_VALUE"""),0.40922453703703704)</f>
        <v>0.409224537</v>
      </c>
      <c r="D2667" s="122" t="str">
        <f>IFERROR(__xludf.DUMMYFUNCTION("""COMPUTED_VALUE"""),"BANK")</f>
        <v>BANK</v>
      </c>
      <c r="E2667" s="122" t="str">
        <f>IFERROR(__xludf.DUMMYFUNCTION("""COMPUTED_VALUE"""),"Tiger Bank")</f>
        <v>Tiger Bank</v>
      </c>
      <c r="F2667" s="122" t="str">
        <f>IFERROR(__xludf.DUMMYFUNCTION("""COMPUTED_VALUE"""),"Finance")</f>
        <v>Finance</v>
      </c>
    </row>
    <row r="2668">
      <c r="A2668" s="131">
        <f>IFERROR(__xludf.DUMMYFUNCTION("""COMPUTED_VALUE"""),46187.409224537034)</f>
        <v>46187.40922</v>
      </c>
      <c r="B2668" s="126">
        <f>IFERROR(__xludf.DUMMYFUNCTION("""COMPUTED_VALUE"""),46187.0)</f>
        <v>46187</v>
      </c>
      <c r="C2668" s="130">
        <f>IFERROR(__xludf.DUMMYFUNCTION("""COMPUTED_VALUE"""),0.40922453703703704)</f>
        <v>0.409224537</v>
      </c>
      <c r="D2668" s="122" t="str">
        <f>IFERROR(__xludf.DUMMYFUNCTION("""COMPUTED_VALUE"""),"CRED")</f>
        <v>CRED</v>
      </c>
      <c r="E2668" s="122" t="str">
        <f>IFERROR(__xludf.DUMMYFUNCTION("""COMPUTED_VALUE"""),"Credit Castle")</f>
        <v>Credit Castle</v>
      </c>
      <c r="F2668" s="122" t="str">
        <f>IFERROR(__xludf.DUMMYFUNCTION("""COMPUTED_VALUE"""),"Finance")</f>
        <v>Finance</v>
      </c>
    </row>
    <row r="2669">
      <c r="A2669" s="131">
        <f>IFERROR(__xludf.DUMMYFUNCTION("""COMPUTED_VALUE"""),46187.409224537034)</f>
        <v>46187.40922</v>
      </c>
      <c r="B2669" s="126">
        <f>IFERROR(__xludf.DUMMYFUNCTION("""COMPUTED_VALUE"""),46187.0)</f>
        <v>46187</v>
      </c>
      <c r="C2669" s="130">
        <f>IFERROR(__xludf.DUMMYFUNCTION("""COMPUTED_VALUE"""),0.40922453703703704)</f>
        <v>0.409224537</v>
      </c>
      <c r="D2669" s="122" t="str">
        <f>IFERROR(__xludf.DUMMYFUNCTION("""COMPUTED_VALUE"""),"BOND")</f>
        <v>BOND</v>
      </c>
      <c r="E2669" s="122" t="str">
        <f>IFERROR(__xludf.DUMMYFUNCTION("""COMPUTED_VALUE"""),"BondBridge")</f>
        <v>BondBridge</v>
      </c>
      <c r="F2669" s="122" t="str">
        <f>IFERROR(__xludf.DUMMYFUNCTION("""COMPUTED_VALUE"""),"Finance")</f>
        <v>Finance</v>
      </c>
    </row>
    <row r="2670">
      <c r="A2670" s="131">
        <f>IFERROR(__xludf.DUMMYFUNCTION("""COMPUTED_VALUE"""),46187.409224537034)</f>
        <v>46187.40922</v>
      </c>
      <c r="B2670" s="126">
        <f>IFERROR(__xludf.DUMMYFUNCTION("""COMPUTED_VALUE"""),46187.0)</f>
        <v>46187</v>
      </c>
      <c r="C2670" s="130">
        <f>IFERROR(__xludf.DUMMYFUNCTION("""COMPUTED_VALUE"""),0.40922453703703704)</f>
        <v>0.409224537</v>
      </c>
      <c r="D2670" s="122" t="str">
        <f>IFERROR(__xludf.DUMMYFUNCTION("""COMPUTED_VALUE"""),"INSR")</f>
        <v>INSR</v>
      </c>
      <c r="E2670" s="122" t="str">
        <f>IFERROR(__xludf.DUMMYFUNCTION("""COMPUTED_VALUE"""),"Shield Insurance")</f>
        <v>Shield Insurance</v>
      </c>
      <c r="F2670" s="122" t="str">
        <f>IFERROR(__xludf.DUMMYFUNCTION("""COMPUTED_VALUE"""),"Finance")</f>
        <v>Finance</v>
      </c>
    </row>
    <row r="2671">
      <c r="A2671" s="131">
        <f>IFERROR(__xludf.DUMMYFUNCTION("""COMPUTED_VALUE"""),46187.409224537034)</f>
        <v>46187.40922</v>
      </c>
      <c r="B2671" s="126">
        <f>IFERROR(__xludf.DUMMYFUNCTION("""COMPUTED_VALUE"""),46187.0)</f>
        <v>46187</v>
      </c>
      <c r="C2671" s="130">
        <f>IFERROR(__xludf.DUMMYFUNCTION("""COMPUTED_VALUE"""),0.40922453703703704)</f>
        <v>0.409224537</v>
      </c>
      <c r="D2671" s="122" t="str">
        <f>IFERROR(__xludf.DUMMYFUNCTION("""COMPUTED_VALUE"""),"LOAN")</f>
        <v>LOAN</v>
      </c>
      <c r="E2671" s="122" t="str">
        <f>IFERROR(__xludf.DUMMYFUNCTION("""COMPUTED_VALUE"""),"LoanLab")</f>
        <v>LoanLab</v>
      </c>
      <c r="F2671" s="122" t="str">
        <f>IFERROR(__xludf.DUMMYFUNCTION("""COMPUTED_VALUE"""),"Finance")</f>
        <v>Finance</v>
      </c>
    </row>
    <row r="2672">
      <c r="A2672" s="131">
        <f>IFERROR(__xludf.DUMMYFUNCTION("""COMPUTED_VALUE"""),46187.409224537034)</f>
        <v>46187.40922</v>
      </c>
      <c r="B2672" s="126">
        <f>IFERROR(__xludf.DUMMYFUNCTION("""COMPUTED_VALUE"""),46187.0)</f>
        <v>46187</v>
      </c>
      <c r="C2672" s="130">
        <f>IFERROR(__xludf.DUMMYFUNCTION("""COMPUTED_VALUE"""),0.40922453703703704)</f>
        <v>0.409224537</v>
      </c>
      <c r="D2672" s="122" t="str">
        <f>IFERROR(__xludf.DUMMYFUNCTION("""COMPUTED_VALUE"""),"LUXE")</f>
        <v>LUXE</v>
      </c>
      <c r="E2672" s="122" t="str">
        <f>IFERROR(__xludf.DUMMYFUNCTION("""COMPUTED_VALUE"""),"Luxury Locker")</f>
        <v>Luxury Locker</v>
      </c>
      <c r="F2672" s="122" t="str">
        <f>IFERROR(__xludf.DUMMYFUNCTION("""COMPUTED_VALUE"""),"Luxury Goods")</f>
        <v>Luxury Goods</v>
      </c>
    </row>
    <row r="2673">
      <c r="A2673" s="131">
        <f>IFERROR(__xludf.DUMMYFUNCTION("""COMPUTED_VALUE"""),46187.409224537034)</f>
        <v>46187.40922</v>
      </c>
      <c r="B2673" s="126">
        <f>IFERROR(__xludf.DUMMYFUNCTION("""COMPUTED_VALUE"""),46187.0)</f>
        <v>46187</v>
      </c>
      <c r="C2673" s="130">
        <f>IFERROR(__xludf.DUMMYFUNCTION("""COMPUTED_VALUE"""),0.40922453703703704)</f>
        <v>0.409224537</v>
      </c>
      <c r="D2673" s="122" t="str">
        <f>IFERROR(__xludf.DUMMYFUNCTION("""COMPUTED_VALUE"""),"DRIP")</f>
        <v>DRIP</v>
      </c>
      <c r="E2673" s="122" t="str">
        <f>IFERROR(__xludf.DUMMYFUNCTION("""COMPUTED_VALUE"""),"Drip Streetwear")</f>
        <v>Drip Streetwear</v>
      </c>
      <c r="F2673" s="122" t="str">
        <f>IFERROR(__xludf.DUMMYFUNCTION("""COMPUTED_VALUE"""),"Fashion")</f>
        <v>Fashion</v>
      </c>
    </row>
    <row r="2674">
      <c r="A2674" s="131">
        <f>IFERROR(__xludf.DUMMYFUNCTION("""COMPUTED_VALUE"""),46187.409224537034)</f>
        <v>46187.40922</v>
      </c>
      <c r="B2674" s="126">
        <f>IFERROR(__xludf.DUMMYFUNCTION("""COMPUTED_VALUE"""),46187.0)</f>
        <v>46187</v>
      </c>
      <c r="C2674" s="130">
        <f>IFERROR(__xludf.DUMMYFUNCTION("""COMPUTED_VALUE"""),0.40922453703703704)</f>
        <v>0.409224537</v>
      </c>
      <c r="D2674" s="122" t="str">
        <f>IFERROR(__xludf.DUMMYFUNCTION("""COMPUTED_VALUE"""),"KICK")</f>
        <v>KICK</v>
      </c>
      <c r="E2674" s="122" t="str">
        <f>IFERROR(__xludf.DUMMYFUNCTION("""COMPUTED_VALUE"""),"KickDrop Sneakers")</f>
        <v>KickDrop Sneakers</v>
      </c>
      <c r="F2674" s="122" t="str">
        <f>IFERROR(__xludf.DUMMYFUNCTION("""COMPUTED_VALUE"""),"Fashion")</f>
        <v>Fashion</v>
      </c>
    </row>
    <row r="2675">
      <c r="A2675" s="131">
        <f>IFERROR(__xludf.DUMMYFUNCTION("""COMPUTED_VALUE"""),46187.409224537034)</f>
        <v>46187.40922</v>
      </c>
      <c r="B2675" s="126">
        <f>IFERROR(__xludf.DUMMYFUNCTION("""COMPUTED_VALUE"""),46187.0)</f>
        <v>46187</v>
      </c>
      <c r="C2675" s="130">
        <f>IFERROR(__xludf.DUMMYFUNCTION("""COMPUTED_VALUE"""),0.40922453703703704)</f>
        <v>0.409224537</v>
      </c>
      <c r="D2675" s="122" t="str">
        <f>IFERROR(__xludf.DUMMYFUNCTION("""COMPUTED_VALUE"""),"GLAM")</f>
        <v>GLAM</v>
      </c>
      <c r="E2675" s="122" t="str">
        <f>IFERROR(__xludf.DUMMYFUNCTION("""COMPUTED_VALUE"""),"Glow Cosmetics")</f>
        <v>Glow Cosmetics</v>
      </c>
      <c r="F2675" s="122" t="str">
        <f>IFERROR(__xludf.DUMMYFUNCTION("""COMPUTED_VALUE"""),"Fashion")</f>
        <v>Fashion</v>
      </c>
    </row>
    <row r="2676">
      <c r="A2676" s="131">
        <f>IFERROR(__xludf.DUMMYFUNCTION("""COMPUTED_VALUE"""),46187.409224537034)</f>
        <v>46187.40922</v>
      </c>
      <c r="B2676" s="126">
        <f>IFERROR(__xludf.DUMMYFUNCTION("""COMPUTED_VALUE"""),46187.0)</f>
        <v>46187</v>
      </c>
      <c r="C2676" s="130">
        <f>IFERROR(__xludf.DUMMYFUNCTION("""COMPUTED_VALUE"""),0.40922453703703704)</f>
        <v>0.409224537</v>
      </c>
      <c r="D2676" s="122" t="str">
        <f>IFERROR(__xludf.DUMMYFUNCTION("""COMPUTED_VALUE"""),"BAGG")</f>
        <v>BAGG</v>
      </c>
      <c r="E2676" s="122" t="str">
        <f>IFERROR(__xludf.DUMMYFUNCTION("""COMPUTED_VALUE"""),"BagVault")</f>
        <v>BagVault</v>
      </c>
      <c r="F2676" s="122" t="str">
        <f>IFERROR(__xludf.DUMMYFUNCTION("""COMPUTED_VALUE"""),"Fashion")</f>
        <v>Fashion</v>
      </c>
    </row>
    <row r="2677">
      <c r="A2677" s="131">
        <f>IFERROR(__xludf.DUMMYFUNCTION("""COMPUTED_VALUE"""),46187.409224537034)</f>
        <v>46187.40922</v>
      </c>
      <c r="B2677" s="126">
        <f>IFERROR(__xludf.DUMMYFUNCTION("""COMPUTED_VALUE"""),46187.0)</f>
        <v>46187</v>
      </c>
      <c r="C2677" s="130">
        <f>IFERROR(__xludf.DUMMYFUNCTION("""COMPUTED_VALUE"""),0.40922453703703704)</f>
        <v>0.409224537</v>
      </c>
      <c r="D2677" s="122" t="str">
        <f>IFERROR(__xludf.DUMMYFUNCTION("""COMPUTED_VALUE"""),"FAST")</f>
        <v>FAST</v>
      </c>
      <c r="E2677" s="122" t="str">
        <f>IFERROR(__xludf.DUMMYFUNCTION("""COMPUTED_VALUE"""),"Flash Logistics")</f>
        <v>Flash Logistics</v>
      </c>
      <c r="F2677" s="122" t="str">
        <f>IFERROR(__xludf.DUMMYFUNCTION("""COMPUTED_VALUE"""),"Logistics")</f>
        <v>Logistics</v>
      </c>
    </row>
    <row r="2678">
      <c r="A2678" s="131">
        <f>IFERROR(__xludf.DUMMYFUNCTION("""COMPUTED_VALUE"""),46187.409224537034)</f>
        <v>46187.40922</v>
      </c>
      <c r="B2678" s="126">
        <f>IFERROR(__xludf.DUMMYFUNCTION("""COMPUTED_VALUE"""),46187.0)</f>
        <v>46187</v>
      </c>
      <c r="C2678" s="130">
        <f>IFERROR(__xludf.DUMMYFUNCTION("""COMPUTED_VALUE"""),0.40922453703703704)</f>
        <v>0.409224537</v>
      </c>
      <c r="D2678" s="122" t="str">
        <f>IFERROR(__xludf.DUMMYFUNCTION("""COMPUTED_VALUE"""),"SHIP")</f>
        <v>SHIP</v>
      </c>
      <c r="E2678" s="122" t="str">
        <f>IFERROR(__xludf.DUMMYFUNCTION("""COMPUTED_VALUE"""),"Seoul Shipping")</f>
        <v>Seoul Shipping</v>
      </c>
      <c r="F2678" s="122" t="str">
        <f>IFERROR(__xludf.DUMMYFUNCTION("""COMPUTED_VALUE"""),"Logistics")</f>
        <v>Logistics</v>
      </c>
    </row>
    <row r="2679">
      <c r="A2679" s="131">
        <f>IFERROR(__xludf.DUMMYFUNCTION("""COMPUTED_VALUE"""),46187.409224537034)</f>
        <v>46187.40922</v>
      </c>
      <c r="B2679" s="126">
        <f>IFERROR(__xludf.DUMMYFUNCTION("""COMPUTED_VALUE"""),46187.0)</f>
        <v>46187</v>
      </c>
      <c r="C2679" s="130">
        <f>IFERROR(__xludf.DUMMYFUNCTION("""COMPUTED_VALUE"""),0.40922453703703704)</f>
        <v>0.409224537</v>
      </c>
      <c r="D2679" s="122" t="str">
        <f>IFERROR(__xludf.DUMMYFUNCTION("""COMPUTED_VALUE"""),"DRON")</f>
        <v>DRON</v>
      </c>
      <c r="E2679" s="122" t="str">
        <f>IFERROR(__xludf.DUMMYFUNCTION("""COMPUTED_VALUE"""),"DroneDrop")</f>
        <v>DroneDrop</v>
      </c>
      <c r="F2679" s="122" t="str">
        <f>IFERROR(__xludf.DUMMYFUNCTION("""COMPUTED_VALUE"""),"Logistics")</f>
        <v>Logistics</v>
      </c>
    </row>
    <row r="2680">
      <c r="A2680" s="131">
        <f>IFERROR(__xludf.DUMMYFUNCTION("""COMPUTED_VALUE"""),46187.409224537034)</f>
        <v>46187.40922</v>
      </c>
      <c r="B2680" s="126">
        <f>IFERROR(__xludf.DUMMYFUNCTION("""COMPUTED_VALUE"""),46187.0)</f>
        <v>46187</v>
      </c>
      <c r="C2680" s="130">
        <f>IFERROR(__xludf.DUMMYFUNCTION("""COMPUTED_VALUE"""),0.40922453703703704)</f>
        <v>0.409224537</v>
      </c>
      <c r="D2680" s="122" t="str">
        <f>IFERROR(__xludf.DUMMYFUNCTION("""COMPUTED_VALUE"""),"RIDE")</f>
        <v>RIDE</v>
      </c>
      <c r="E2680" s="122" t="str">
        <f>IFERROR(__xludf.DUMMYFUNCTION("""COMPUTED_VALUE"""),"QuickRide")</f>
        <v>QuickRide</v>
      </c>
      <c r="F2680" s="122" t="str">
        <f>IFERROR(__xludf.DUMMYFUNCTION("""COMPUTED_VALUE"""),"Transportation")</f>
        <v>Transportation</v>
      </c>
    </row>
    <row r="2681">
      <c r="A2681" s="131">
        <f>IFERROR(__xludf.DUMMYFUNCTION("""COMPUTED_VALUE"""),46187.409224537034)</f>
        <v>46187.40922</v>
      </c>
      <c r="B2681" s="126">
        <f>IFERROR(__xludf.DUMMYFUNCTION("""COMPUTED_VALUE"""),46187.0)</f>
        <v>46187</v>
      </c>
      <c r="C2681" s="130">
        <f>IFERROR(__xludf.DUMMYFUNCTION("""COMPUTED_VALUE"""),0.40922453703703704)</f>
        <v>0.409224537</v>
      </c>
      <c r="D2681" s="122" t="str">
        <f>IFERROR(__xludf.DUMMYFUNCTION("""COMPUTED_VALUE"""),"RAIL")</f>
        <v>RAIL</v>
      </c>
      <c r="E2681" s="122" t="str">
        <f>IFERROR(__xludf.DUMMYFUNCTION("""COMPUTED_VALUE"""),"MetroRail Corp")</f>
        <v>MetroRail Corp</v>
      </c>
      <c r="F2681" s="122" t="str">
        <f>IFERROR(__xludf.DUMMYFUNCTION("""COMPUTED_VALUE"""),"Transportation")</f>
        <v>Transportation</v>
      </c>
    </row>
    <row r="2682">
      <c r="A2682" s="131">
        <f>IFERROR(__xludf.DUMMYFUNCTION("""COMPUTED_VALUE"""),46187.409224537034)</f>
        <v>46187.40922</v>
      </c>
      <c r="B2682" s="126">
        <f>IFERROR(__xludf.DUMMYFUNCTION("""COMPUTED_VALUE"""),46187.0)</f>
        <v>46187</v>
      </c>
      <c r="C2682" s="130">
        <f>IFERROR(__xludf.DUMMYFUNCTION("""COMPUTED_VALUE"""),0.40922453703703704)</f>
        <v>0.409224537</v>
      </c>
      <c r="D2682" s="122" t="str">
        <f>IFERROR(__xludf.DUMMYFUNCTION("""COMPUTED_VALUE"""),"MEDX")</f>
        <v>MEDX</v>
      </c>
      <c r="E2682" s="122" t="str">
        <f>IFERROR(__xludf.DUMMYFUNCTION("""COMPUTED_VALUE"""),"MediCore")</f>
        <v>MediCore</v>
      </c>
      <c r="F2682" s="122" t="str">
        <f>IFERROR(__xludf.DUMMYFUNCTION("""COMPUTED_VALUE"""),"Healthcare")</f>
        <v>Healthcare</v>
      </c>
    </row>
    <row r="2683">
      <c r="A2683" s="131">
        <f>IFERROR(__xludf.DUMMYFUNCTION("""COMPUTED_VALUE"""),46187.409224537034)</f>
        <v>46187.40922</v>
      </c>
      <c r="B2683" s="126">
        <f>IFERROR(__xludf.DUMMYFUNCTION("""COMPUTED_VALUE"""),46187.0)</f>
        <v>46187</v>
      </c>
      <c r="C2683" s="130">
        <f>IFERROR(__xludf.DUMMYFUNCTION("""COMPUTED_VALUE"""),0.40922453703703704)</f>
        <v>0.409224537</v>
      </c>
      <c r="D2683" s="122" t="str">
        <f>IFERROR(__xludf.DUMMYFUNCTION("""COMPUTED_VALUE"""),"GYMX")</f>
        <v>GYMX</v>
      </c>
      <c r="E2683" s="122" t="str">
        <f>IFERROR(__xludf.DUMMYFUNCTION("""COMPUTED_VALUE"""),"GymX Fitness")</f>
        <v>GymX Fitness</v>
      </c>
      <c r="F2683" s="122" t="str">
        <f>IFERROR(__xludf.DUMMYFUNCTION("""COMPUTED_VALUE"""),"Healthcare")</f>
        <v>Healthcare</v>
      </c>
    </row>
    <row r="2684">
      <c r="A2684" s="131">
        <f>IFERROR(__xludf.DUMMYFUNCTION("""COMPUTED_VALUE"""),46187.409224537034)</f>
        <v>46187.40922</v>
      </c>
      <c r="B2684" s="126">
        <f>IFERROR(__xludf.DUMMYFUNCTION("""COMPUTED_VALUE"""),46187.0)</f>
        <v>46187</v>
      </c>
      <c r="C2684" s="130">
        <f>IFERROR(__xludf.DUMMYFUNCTION("""COMPUTED_VALUE"""),0.40922453703703704)</f>
        <v>0.409224537</v>
      </c>
      <c r="D2684" s="122" t="str">
        <f>IFERROR(__xludf.DUMMYFUNCTION("""COMPUTED_VALUE"""),"VITA")</f>
        <v>VITA</v>
      </c>
      <c r="E2684" s="122" t="str">
        <f>IFERROR(__xludf.DUMMYFUNCTION("""COMPUTED_VALUE"""),"VitaPlus")</f>
        <v>VitaPlus</v>
      </c>
      <c r="F2684" s="122" t="str">
        <f>IFERROR(__xludf.DUMMYFUNCTION("""COMPUTED_VALUE"""),"Healthcare")</f>
        <v>Healthcare</v>
      </c>
    </row>
    <row r="2685">
      <c r="A2685" s="131">
        <f>IFERROR(__xludf.DUMMYFUNCTION("""COMPUTED_VALUE"""),46187.409224537034)</f>
        <v>46187.40922</v>
      </c>
      <c r="B2685" s="126">
        <f>IFERROR(__xludf.DUMMYFUNCTION("""COMPUTED_VALUE"""),46187.0)</f>
        <v>46187</v>
      </c>
      <c r="C2685" s="130">
        <f>IFERROR(__xludf.DUMMYFUNCTION("""COMPUTED_VALUE"""),0.40922453703703704)</f>
        <v>0.409224537</v>
      </c>
      <c r="D2685" s="122" t="str">
        <f>IFERROR(__xludf.DUMMYFUNCTION("""COMPUTED_VALUE"""),"CARE")</f>
        <v>CARE</v>
      </c>
      <c r="E2685" s="122" t="str">
        <f>IFERROR(__xludf.DUMMYFUNCTION("""COMPUTED_VALUE"""),"CareCloud")</f>
        <v>CareCloud</v>
      </c>
      <c r="F2685" s="122" t="str">
        <f>IFERROR(__xludf.DUMMYFUNCTION("""COMPUTED_VALUE"""),"Healthcare")</f>
        <v>Healthcare</v>
      </c>
    </row>
    <row r="2686">
      <c r="A2686" s="131">
        <f>IFERROR(__xludf.DUMMYFUNCTION("""COMPUTED_VALUE"""),46187.409224537034)</f>
        <v>46187.40922</v>
      </c>
      <c r="B2686" s="126">
        <f>IFERROR(__xludf.DUMMYFUNCTION("""COMPUTED_VALUE"""),46187.0)</f>
        <v>46187</v>
      </c>
      <c r="C2686" s="130">
        <f>IFERROR(__xludf.DUMMYFUNCTION("""COMPUTED_VALUE"""),0.40922453703703704)</f>
        <v>0.409224537</v>
      </c>
      <c r="D2686" s="122" t="str">
        <f>IFERROR(__xludf.DUMMYFUNCTION("""COMPUTED_VALUE"""),"DENT")</f>
        <v>DENT</v>
      </c>
      <c r="E2686" s="122" t="str">
        <f>IFERROR(__xludf.DUMMYFUNCTION("""COMPUTED_VALUE"""),"SmileWorks")</f>
        <v>SmileWorks</v>
      </c>
      <c r="F2686" s="122" t="str">
        <f>IFERROR(__xludf.DUMMYFUNCTION("""COMPUTED_VALUE"""),"Healthcare")</f>
        <v>Healthcare</v>
      </c>
    </row>
    <row r="2687">
      <c r="A2687" s="131">
        <f>IFERROR(__xludf.DUMMYFUNCTION("""COMPUTED_VALUE"""),46187.409224537034)</f>
        <v>46187.40922</v>
      </c>
      <c r="B2687" s="126">
        <f>IFERROR(__xludf.DUMMYFUNCTION("""COMPUTED_VALUE"""),46187.0)</f>
        <v>46187</v>
      </c>
      <c r="C2687" s="130">
        <f>IFERROR(__xludf.DUMMYFUNCTION("""COMPUTED_VALUE"""),0.40922453703703704)</f>
        <v>0.409224537</v>
      </c>
      <c r="D2687" s="122" t="str">
        <f>IFERROR(__xludf.DUMMYFUNCTION("""COMPUTED_VALUE"""),"EDUX")</f>
        <v>EDUX</v>
      </c>
      <c r="E2687" s="122" t="str">
        <f>IFERROR(__xludf.DUMMYFUNCTION("""COMPUTED_VALUE"""),"EduMax Learning")</f>
        <v>EduMax Learning</v>
      </c>
      <c r="F2687" s="122" t="str">
        <f>IFERROR(__xludf.DUMMYFUNCTION("""COMPUTED_VALUE"""),"Education")</f>
        <v>Education</v>
      </c>
    </row>
    <row r="2688">
      <c r="A2688" s="131">
        <f>IFERROR(__xludf.DUMMYFUNCTION("""COMPUTED_VALUE"""),46187.409224537034)</f>
        <v>46187.40922</v>
      </c>
      <c r="B2688" s="126">
        <f>IFERROR(__xludf.DUMMYFUNCTION("""COMPUTED_VALUE"""),46187.0)</f>
        <v>46187</v>
      </c>
      <c r="C2688" s="130">
        <f>IFERROR(__xludf.DUMMYFUNCTION("""COMPUTED_VALUE"""),0.40922453703703704)</f>
        <v>0.409224537</v>
      </c>
      <c r="D2688" s="122" t="str">
        <f>IFERROR(__xludf.DUMMYFUNCTION("""COMPUTED_VALUE"""),"BOOK")</f>
        <v>BOOK</v>
      </c>
      <c r="E2688" s="122" t="str">
        <f>IFERROR(__xludf.DUMMYFUNCTION("""COMPUTED_VALUE"""),"BookBridge")</f>
        <v>BookBridge</v>
      </c>
      <c r="F2688" s="122" t="str">
        <f>IFERROR(__xludf.DUMMYFUNCTION("""COMPUTED_VALUE"""),"Education")</f>
        <v>Education</v>
      </c>
    </row>
    <row r="2689">
      <c r="A2689" s="131">
        <f>IFERROR(__xludf.DUMMYFUNCTION("""COMPUTED_VALUE"""),46187.409224537034)</f>
        <v>46187.40922</v>
      </c>
      <c r="B2689" s="126">
        <f>IFERROR(__xludf.DUMMYFUNCTION("""COMPUTED_VALUE"""),46187.0)</f>
        <v>46187</v>
      </c>
      <c r="C2689" s="130">
        <f>IFERROR(__xludf.DUMMYFUNCTION("""COMPUTED_VALUE"""),0.40922453703703704)</f>
        <v>0.409224537</v>
      </c>
      <c r="D2689" s="122" t="str">
        <f>IFERROR(__xludf.DUMMYFUNCTION("""COMPUTED_VALUE"""),"TUTR")</f>
        <v>TUTR</v>
      </c>
      <c r="E2689" s="122" t="str">
        <f>IFERROR(__xludf.DUMMYFUNCTION("""COMPUTED_VALUE"""),"TutorTown")</f>
        <v>TutorTown</v>
      </c>
      <c r="F2689" s="122" t="str">
        <f>IFERROR(__xludf.DUMMYFUNCTION("""COMPUTED_VALUE"""),"Education")</f>
        <v>Education</v>
      </c>
    </row>
    <row r="2690">
      <c r="A2690" s="131">
        <f>IFERROR(__xludf.DUMMYFUNCTION("""COMPUTED_VALUE"""),46187.409224537034)</f>
        <v>46187.40922</v>
      </c>
      <c r="B2690" s="126">
        <f>IFERROR(__xludf.DUMMYFUNCTION("""COMPUTED_VALUE"""),46187.0)</f>
        <v>46187</v>
      </c>
      <c r="C2690" s="130">
        <f>IFERROR(__xludf.DUMMYFUNCTION("""COMPUTED_VALUE"""),0.40922453703703704)</f>
        <v>0.409224537</v>
      </c>
      <c r="D2690" s="122" t="str">
        <f>IFERROR(__xludf.DUMMYFUNCTION("""COMPUTED_VALUE"""),"LANG")</f>
        <v>LANG</v>
      </c>
      <c r="E2690" s="122" t="str">
        <f>IFERROR(__xludf.DUMMYFUNCTION("""COMPUTED_VALUE"""),"LinguaLab")</f>
        <v>LinguaLab</v>
      </c>
      <c r="F2690" s="122" t="str">
        <f>IFERROR(__xludf.DUMMYFUNCTION("""COMPUTED_VALUE"""),"Education")</f>
        <v>Education</v>
      </c>
    </row>
    <row r="2691">
      <c r="A2691" s="131">
        <f>IFERROR(__xludf.DUMMYFUNCTION("""COMPUTED_VALUE"""),46187.409224537034)</f>
        <v>46187.40922</v>
      </c>
      <c r="B2691" s="126">
        <f>IFERROR(__xludf.DUMMYFUNCTION("""COMPUTED_VALUE"""),46187.0)</f>
        <v>46187</v>
      </c>
      <c r="C2691" s="130">
        <f>IFERROR(__xludf.DUMMYFUNCTION("""COMPUTED_VALUE"""),0.40922453703703704)</f>
        <v>0.409224537</v>
      </c>
      <c r="D2691" s="122" t="str">
        <f>IFERROR(__xludf.DUMMYFUNCTION("""COMPUTED_VALUE"""),"TEST")</f>
        <v>TEST</v>
      </c>
      <c r="E2691" s="122" t="str">
        <f>IFERROR(__xludf.DUMMYFUNCTION("""COMPUTED_VALUE"""),"TestPrep Pro")</f>
        <v>TestPrep Pro</v>
      </c>
      <c r="F2691" s="122" t="str">
        <f>IFERROR(__xludf.DUMMYFUNCTION("""COMPUTED_VALUE"""),"Education")</f>
        <v>Education</v>
      </c>
    </row>
    <row r="2692">
      <c r="A2692" s="131">
        <f>IFERROR(__xludf.DUMMYFUNCTION("""COMPUTED_VALUE"""),46187.409224537034)</f>
        <v>46187.40922</v>
      </c>
      <c r="B2692" s="126">
        <f>IFERROR(__xludf.DUMMYFUNCTION("""COMPUTED_VALUE"""),46187.0)</f>
        <v>46187</v>
      </c>
      <c r="C2692" s="130">
        <f>IFERROR(__xludf.DUMMYFUNCTION("""COMPUTED_VALUE"""),0.40922453703703704)</f>
        <v>0.409224537</v>
      </c>
      <c r="D2692" s="122" t="str">
        <f>IFERROR(__xludf.DUMMYFUNCTION("""COMPUTED_VALUE"""),"MOVI")</f>
        <v>MOVI</v>
      </c>
      <c r="E2692" s="122" t="str">
        <f>IFERROR(__xludf.DUMMYFUNCTION("""COMPUTED_VALUE"""),"MovieBox")</f>
        <v>MovieBox</v>
      </c>
      <c r="F2692" s="122" t="str">
        <f>IFERROR(__xludf.DUMMYFUNCTION("""COMPUTED_VALUE"""),"Entertainment")</f>
        <v>Entertainment</v>
      </c>
    </row>
    <row r="2693">
      <c r="A2693" s="131">
        <f>IFERROR(__xludf.DUMMYFUNCTION("""COMPUTED_VALUE"""),46187.409224537034)</f>
        <v>46187.40922</v>
      </c>
      <c r="B2693" s="126">
        <f>IFERROR(__xludf.DUMMYFUNCTION("""COMPUTED_VALUE"""),46187.0)</f>
        <v>46187</v>
      </c>
      <c r="C2693" s="130">
        <f>IFERROR(__xludf.DUMMYFUNCTION("""COMPUTED_VALUE"""),0.40922453703703704)</f>
        <v>0.409224537</v>
      </c>
      <c r="D2693" s="122" t="str">
        <f>IFERROR(__xludf.DUMMYFUNCTION("""COMPUTED_VALUE"""),"MUSC")</f>
        <v>MUSC</v>
      </c>
      <c r="E2693" s="122" t="str">
        <f>IFERROR(__xludf.DUMMYFUNCTION("""COMPUTED_VALUE"""),"MusicWave")</f>
        <v>MusicWave</v>
      </c>
      <c r="F2693" s="122" t="str">
        <f>IFERROR(__xludf.DUMMYFUNCTION("""COMPUTED_VALUE"""),"Entertainment")</f>
        <v>Entertainment</v>
      </c>
    </row>
    <row r="2694">
      <c r="A2694" s="131">
        <f>IFERROR(__xludf.DUMMYFUNCTION("""COMPUTED_VALUE"""),46187.409224537034)</f>
        <v>46187.40922</v>
      </c>
      <c r="B2694" s="126">
        <f>IFERROR(__xludf.DUMMYFUNCTION("""COMPUTED_VALUE"""),46187.0)</f>
        <v>46187</v>
      </c>
      <c r="C2694" s="130">
        <f>IFERROR(__xludf.DUMMYFUNCTION("""COMPUTED_VALUE"""),0.40922453703703704)</f>
        <v>0.409224537</v>
      </c>
      <c r="D2694" s="122" t="str">
        <f>IFERROR(__xludf.DUMMYFUNCTION("""COMPUTED_VALUE"""),"IDOL")</f>
        <v>IDOL</v>
      </c>
      <c r="E2694" s="122" t="str">
        <f>IFERROR(__xludf.DUMMYFUNCTION("""COMPUTED_VALUE"""),"Idol Agency")</f>
        <v>Idol Agency</v>
      </c>
      <c r="F2694" s="122" t="str">
        <f>IFERROR(__xludf.DUMMYFUNCTION("""COMPUTED_VALUE"""),"Entertainment")</f>
        <v>Entertainment</v>
      </c>
    </row>
    <row r="2695">
      <c r="A2695" s="131">
        <f>IFERROR(__xludf.DUMMYFUNCTION("""COMPUTED_VALUE"""),46187.409224537034)</f>
        <v>46187.40922</v>
      </c>
      <c r="B2695" s="126">
        <f>IFERROR(__xludf.DUMMYFUNCTION("""COMPUTED_VALUE"""),46187.0)</f>
        <v>46187</v>
      </c>
      <c r="C2695" s="130">
        <f>IFERROR(__xludf.DUMMYFUNCTION("""COMPUTED_VALUE"""),0.40922453703703704)</f>
        <v>0.409224537</v>
      </c>
      <c r="D2695" s="122" t="str">
        <f>IFERROR(__xludf.DUMMYFUNCTION("""COMPUTED_VALUE"""),"MEME")</f>
        <v>MEME</v>
      </c>
      <c r="E2695" s="122" t="str">
        <f>IFERROR(__xludf.DUMMYFUNCTION("""COMPUTED_VALUE"""),"Meme Media")</f>
        <v>Meme Media</v>
      </c>
      <c r="F2695" s="122" t="str">
        <f>IFERROR(__xludf.DUMMYFUNCTION("""COMPUTED_VALUE"""),"Entertainment")</f>
        <v>Entertainment</v>
      </c>
    </row>
    <row r="2696">
      <c r="A2696" s="131">
        <f>IFERROR(__xludf.DUMMYFUNCTION("""COMPUTED_VALUE"""),46187.409224537034)</f>
        <v>46187.40922</v>
      </c>
      <c r="B2696" s="126">
        <f>IFERROR(__xludf.DUMMYFUNCTION("""COMPUTED_VALUE"""),46187.0)</f>
        <v>46187</v>
      </c>
      <c r="C2696" s="130">
        <f>IFERROR(__xludf.DUMMYFUNCTION("""COMPUTED_VALUE"""),0.40922453703703704)</f>
        <v>0.409224537</v>
      </c>
      <c r="D2696" s="122" t="str">
        <f>IFERROR(__xludf.DUMMYFUNCTION("""COMPUTED_VALUE"""),"STRM")</f>
        <v>STRM</v>
      </c>
      <c r="E2696" s="122" t="str">
        <f>IFERROR(__xludf.DUMMYFUNCTION("""COMPUTED_VALUE"""),"Streamly")</f>
        <v>Streamly</v>
      </c>
      <c r="F2696" s="122" t="str">
        <f>IFERROR(__xludf.DUMMYFUNCTION("""COMPUTED_VALUE"""),"Entertainment")</f>
        <v>Entertainment</v>
      </c>
    </row>
    <row r="2697">
      <c r="A2697" s="131">
        <f>IFERROR(__xludf.DUMMYFUNCTION("""COMPUTED_VALUE"""),46187.409224537034)</f>
        <v>46187.40922</v>
      </c>
      <c r="B2697" s="126">
        <f>IFERROR(__xludf.DUMMYFUNCTION("""COMPUTED_VALUE"""),46187.0)</f>
        <v>46187</v>
      </c>
      <c r="C2697" s="130">
        <f>IFERROR(__xludf.DUMMYFUNCTION("""COMPUTED_VALUE"""),0.40922453703703704)</f>
        <v>0.409224537</v>
      </c>
      <c r="D2697" s="122" t="str">
        <f>IFERROR(__xludf.DUMMYFUNCTION("""COMPUTED_VALUE"""),"FARM")</f>
        <v>FARM</v>
      </c>
      <c r="E2697" s="122" t="str">
        <f>IFERROR(__xludf.DUMMYFUNCTION("""COMPUTED_VALUE"""),"Future Farms")</f>
        <v>Future Farms</v>
      </c>
      <c r="F2697" s="122" t="str">
        <f>IFERROR(__xludf.DUMMYFUNCTION("""COMPUTED_VALUE"""),"Agriculture")</f>
        <v>Agriculture</v>
      </c>
    </row>
    <row r="2698">
      <c r="A2698" s="131">
        <f>IFERROR(__xludf.DUMMYFUNCTION("""COMPUTED_VALUE"""),46187.409224537034)</f>
        <v>46187.40922</v>
      </c>
      <c r="B2698" s="126">
        <f>IFERROR(__xludf.DUMMYFUNCTION("""COMPUTED_VALUE"""),46187.0)</f>
        <v>46187</v>
      </c>
      <c r="C2698" s="130">
        <f>IFERROR(__xludf.DUMMYFUNCTION("""COMPUTED_VALUE"""),0.40922453703703704)</f>
        <v>0.409224537</v>
      </c>
      <c r="D2698" s="122" t="str">
        <f>IFERROR(__xludf.DUMMYFUNCTION("""COMPUTED_VALUE"""),"MEAT")</f>
        <v>MEAT</v>
      </c>
      <c r="E2698" s="122" t="str">
        <f>IFERROR(__xludf.DUMMYFUNCTION("""COMPUTED_VALUE"""),"MeatWorks")</f>
        <v>MeatWorks</v>
      </c>
      <c r="F2698" s="122" t="str">
        <f>IFERROR(__xludf.DUMMYFUNCTION("""COMPUTED_VALUE"""),"Food")</f>
        <v>Food</v>
      </c>
    </row>
    <row r="2699">
      <c r="A2699" s="131">
        <f>IFERROR(__xludf.DUMMYFUNCTION("""COMPUTED_VALUE"""),46187.409224537034)</f>
        <v>46187.40922</v>
      </c>
      <c r="B2699" s="126">
        <f>IFERROR(__xludf.DUMMYFUNCTION("""COMPUTED_VALUE"""),46187.0)</f>
        <v>46187</v>
      </c>
      <c r="C2699" s="130">
        <f>IFERROR(__xludf.DUMMYFUNCTION("""COMPUTED_VALUE"""),0.40922453703703704)</f>
        <v>0.409224537</v>
      </c>
      <c r="D2699" s="122" t="str">
        <f>IFERROR(__xludf.DUMMYFUNCTION("""COMPUTED_VALUE"""),"VEGI")</f>
        <v>VEGI</v>
      </c>
      <c r="E2699" s="122" t="str">
        <f>IFERROR(__xludf.DUMMYFUNCTION("""COMPUTED_VALUE"""),"Green Basket")</f>
        <v>Green Basket</v>
      </c>
      <c r="F2699" s="122" t="str">
        <f>IFERROR(__xludf.DUMMYFUNCTION("""COMPUTED_VALUE"""),"Food")</f>
        <v>Food</v>
      </c>
    </row>
    <row r="2700">
      <c r="A2700" s="131">
        <f>IFERROR(__xludf.DUMMYFUNCTION("""COMPUTED_VALUE"""),46187.409224537034)</f>
        <v>46187.40922</v>
      </c>
      <c r="B2700" s="126">
        <f>IFERROR(__xludf.DUMMYFUNCTION("""COMPUTED_VALUE"""),46187.0)</f>
        <v>46187</v>
      </c>
      <c r="C2700" s="130">
        <f>IFERROR(__xludf.DUMMYFUNCTION("""COMPUTED_VALUE"""),0.40922453703703704)</f>
        <v>0.409224537</v>
      </c>
      <c r="D2700" s="122" t="str">
        <f>IFERROR(__xludf.DUMMYFUNCTION("""COMPUTED_VALUE"""),"CAFE")</f>
        <v>CAFE</v>
      </c>
      <c r="E2700" s="122" t="str">
        <f>IFERROR(__xludf.DUMMYFUNCTION("""COMPUTED_VALUE"""),"Cafe Cloud")</f>
        <v>Cafe Cloud</v>
      </c>
      <c r="F2700" s="122" t="str">
        <f>IFERROR(__xludf.DUMMYFUNCTION("""COMPUTED_VALUE"""),"Food")</f>
        <v>Food</v>
      </c>
    </row>
    <row r="2701">
      <c r="A2701" s="131">
        <f>IFERROR(__xludf.DUMMYFUNCTION("""COMPUTED_VALUE"""),46187.409224537034)</f>
        <v>46187.40922</v>
      </c>
      <c r="B2701" s="126">
        <f>IFERROR(__xludf.DUMMYFUNCTION("""COMPUTED_VALUE"""),46187.0)</f>
        <v>46187</v>
      </c>
      <c r="C2701" s="130">
        <f>IFERROR(__xludf.DUMMYFUNCTION("""COMPUTED_VALUE"""),0.40922453703703704)</f>
        <v>0.409224537</v>
      </c>
      <c r="D2701" s="122" t="str">
        <f>IFERROR(__xludf.DUMMYFUNCTION("""COMPUTED_VALUE"""),"BAKE")</f>
        <v>BAKE</v>
      </c>
      <c r="E2701" s="122" t="str">
        <f>IFERROR(__xludf.DUMMYFUNCTION("""COMPUTED_VALUE"""),"BakeHouse")</f>
        <v>BakeHouse</v>
      </c>
      <c r="F2701" s="122" t="str">
        <f>IFERROR(__xludf.DUMMYFUNCTION("""COMPUTED_VALUE"""),"Food")</f>
        <v>Food</v>
      </c>
    </row>
    <row r="2702">
      <c r="A2702" s="131">
        <f>IFERROR(__xludf.DUMMYFUNCTION("""COMPUTED_VALUE"""),46187.409224537034)</f>
        <v>46187.40922</v>
      </c>
      <c r="B2702" s="126">
        <f>IFERROR(__xludf.DUMMYFUNCTION("""COMPUTED_VALUE"""),46187.0)</f>
        <v>46187</v>
      </c>
      <c r="C2702" s="130">
        <f>IFERROR(__xludf.DUMMYFUNCTION("""COMPUTED_VALUE"""),0.40922453703703704)</f>
        <v>0.409224537</v>
      </c>
      <c r="D2702" s="122" t="str">
        <f>IFERROR(__xludf.DUMMYFUNCTION("""COMPUTED_VALUE"""),"OILX")</f>
        <v>OILX</v>
      </c>
      <c r="E2702" s="122" t="str">
        <f>IFERROR(__xludf.DUMMYFUNCTION("""COMPUTED_VALUE"""),"OilMax Energy")</f>
        <v>OilMax Energy</v>
      </c>
      <c r="F2702" s="122" t="str">
        <f>IFERROR(__xludf.DUMMYFUNCTION("""COMPUTED_VALUE"""),"Energy")</f>
        <v>Energy</v>
      </c>
    </row>
    <row r="2703">
      <c r="A2703" s="131">
        <f>IFERROR(__xludf.DUMMYFUNCTION("""COMPUTED_VALUE"""),46187.409224537034)</f>
        <v>46187.40922</v>
      </c>
      <c r="B2703" s="126">
        <f>IFERROR(__xludf.DUMMYFUNCTION("""COMPUTED_VALUE"""),46187.0)</f>
        <v>46187</v>
      </c>
      <c r="C2703" s="130">
        <f>IFERROR(__xludf.DUMMYFUNCTION("""COMPUTED_VALUE"""),0.40922453703703704)</f>
        <v>0.409224537</v>
      </c>
      <c r="D2703" s="122" t="str">
        <f>IFERROR(__xludf.DUMMYFUNCTION("""COMPUTED_VALUE"""),"SOLR")</f>
        <v>SOLR</v>
      </c>
      <c r="E2703" s="122" t="str">
        <f>IFERROR(__xludf.DUMMYFUNCTION("""COMPUTED_VALUE"""),"SolarSpark")</f>
        <v>SolarSpark</v>
      </c>
      <c r="F2703" s="122" t="str">
        <f>IFERROR(__xludf.DUMMYFUNCTION("""COMPUTED_VALUE"""),"Energy")</f>
        <v>Energy</v>
      </c>
    </row>
    <row r="2704">
      <c r="A2704" s="131">
        <f>IFERROR(__xludf.DUMMYFUNCTION("""COMPUTED_VALUE"""),46187.409224537034)</f>
        <v>46187.40922</v>
      </c>
      <c r="B2704" s="126">
        <f>IFERROR(__xludf.DUMMYFUNCTION("""COMPUTED_VALUE"""),46187.0)</f>
        <v>46187</v>
      </c>
      <c r="C2704" s="130">
        <f>IFERROR(__xludf.DUMMYFUNCTION("""COMPUTED_VALUE"""),0.40922453703703704)</f>
        <v>0.409224537</v>
      </c>
      <c r="D2704" s="122" t="str">
        <f>IFERROR(__xludf.DUMMYFUNCTION("""COMPUTED_VALUE"""),"BATT")</f>
        <v>BATT</v>
      </c>
      <c r="E2704" s="122" t="str">
        <f>IFERROR(__xludf.DUMMYFUNCTION("""COMPUTED_VALUE"""),"BatteryBox")</f>
        <v>BatteryBox</v>
      </c>
      <c r="F2704" s="122" t="str">
        <f>IFERROR(__xludf.DUMMYFUNCTION("""COMPUTED_VALUE"""),"Energy")</f>
        <v>Energy</v>
      </c>
    </row>
    <row r="2705">
      <c r="A2705" s="131">
        <f>IFERROR(__xludf.DUMMYFUNCTION("""COMPUTED_VALUE"""),46187.409224537034)</f>
        <v>46187.40922</v>
      </c>
      <c r="B2705" s="126">
        <f>IFERROR(__xludf.DUMMYFUNCTION("""COMPUTED_VALUE"""),46187.0)</f>
        <v>46187</v>
      </c>
      <c r="C2705" s="130">
        <f>IFERROR(__xludf.DUMMYFUNCTION("""COMPUTED_VALUE"""),0.40922453703703704)</f>
        <v>0.409224537</v>
      </c>
      <c r="D2705" s="122" t="str">
        <f>IFERROR(__xludf.DUMMYFUNCTION("""COMPUTED_VALUE"""),"WIND")</f>
        <v>WIND</v>
      </c>
      <c r="E2705" s="122" t="str">
        <f>IFERROR(__xludf.DUMMYFUNCTION("""COMPUTED_VALUE"""),"WindWorks")</f>
        <v>WindWorks</v>
      </c>
      <c r="F2705" s="122" t="str">
        <f>IFERROR(__xludf.DUMMYFUNCTION("""COMPUTED_VALUE"""),"Energy")</f>
        <v>Energy</v>
      </c>
    </row>
    <row r="2706">
      <c r="A2706" s="131">
        <f>IFERROR(__xludf.DUMMYFUNCTION("""COMPUTED_VALUE"""),46187.409224537034)</f>
        <v>46187.40922</v>
      </c>
      <c r="B2706" s="126">
        <f>IFERROR(__xludf.DUMMYFUNCTION("""COMPUTED_VALUE"""),46187.0)</f>
        <v>46187</v>
      </c>
      <c r="C2706" s="130">
        <f>IFERROR(__xludf.DUMMYFUNCTION("""COMPUTED_VALUE"""),0.40922453703703704)</f>
        <v>0.409224537</v>
      </c>
      <c r="D2706" s="122" t="str">
        <f>IFERROR(__xludf.DUMMYFUNCTION("""COMPUTED_VALUE"""),"GRID")</f>
        <v>GRID</v>
      </c>
      <c r="E2706" s="122" t="str">
        <f>IFERROR(__xludf.DUMMYFUNCTION("""COMPUTED_VALUE"""),"GridPower")</f>
        <v>GridPower</v>
      </c>
      <c r="F2706" s="122" t="str">
        <f>IFERROR(__xludf.DUMMYFUNCTION("""COMPUTED_VALUE"""),"Energy")</f>
        <v>Energy</v>
      </c>
    </row>
    <row r="2707">
      <c r="A2707" s="131">
        <f>IFERROR(__xludf.DUMMYFUNCTION("""COMPUTED_VALUE"""),46187.409224537034)</f>
        <v>46187.40922</v>
      </c>
      <c r="B2707" s="126">
        <f>IFERROR(__xludf.DUMMYFUNCTION("""COMPUTED_VALUE"""),46187.0)</f>
        <v>46187</v>
      </c>
      <c r="C2707" s="130">
        <f>IFERROR(__xludf.DUMMYFUNCTION("""COMPUTED_VALUE"""),0.40922453703703704)</f>
        <v>0.409224537</v>
      </c>
      <c r="D2707" s="122" t="str">
        <f>IFERROR(__xludf.DUMMYFUNCTION("""COMPUTED_VALUE"""),"HOME")</f>
        <v>HOME</v>
      </c>
      <c r="E2707" s="122" t="str">
        <f>IFERROR(__xludf.DUMMYFUNCTION("""COMPUTED_VALUE"""),"HomeHub")</f>
        <v>HomeHub</v>
      </c>
      <c r="F2707" s="122" t="str">
        <f>IFERROR(__xludf.DUMMYFUNCTION("""COMPUTED_VALUE"""),"Real Estate")</f>
        <v>Real Estate</v>
      </c>
    </row>
    <row r="2708">
      <c r="A2708" s="131">
        <f>IFERROR(__xludf.DUMMYFUNCTION("""COMPUTED_VALUE"""),46187.409224537034)</f>
        <v>46187.40922</v>
      </c>
      <c r="B2708" s="126">
        <f>IFERROR(__xludf.DUMMYFUNCTION("""COMPUTED_VALUE"""),46187.0)</f>
        <v>46187</v>
      </c>
      <c r="C2708" s="130">
        <f>IFERROR(__xludf.DUMMYFUNCTION("""COMPUTED_VALUE"""),0.40922453703703704)</f>
        <v>0.409224537</v>
      </c>
      <c r="D2708" s="122" t="str">
        <f>IFERROR(__xludf.DUMMYFUNCTION("""COMPUTED_VALUE"""),"RENT")</f>
        <v>RENT</v>
      </c>
      <c r="E2708" s="122" t="str">
        <f>IFERROR(__xludf.DUMMYFUNCTION("""COMPUTED_VALUE"""),"RentRight")</f>
        <v>RentRight</v>
      </c>
      <c r="F2708" s="122" t="str">
        <f>IFERROR(__xludf.DUMMYFUNCTION("""COMPUTED_VALUE"""),"Real Estate")</f>
        <v>Real Estate</v>
      </c>
    </row>
    <row r="2709">
      <c r="A2709" s="131">
        <f>IFERROR(__xludf.DUMMYFUNCTION("""COMPUTED_VALUE"""),46187.409224537034)</f>
        <v>46187.40922</v>
      </c>
      <c r="B2709" s="126">
        <f>IFERROR(__xludf.DUMMYFUNCTION("""COMPUTED_VALUE"""),46187.0)</f>
        <v>46187</v>
      </c>
      <c r="C2709" s="130">
        <f>IFERROR(__xludf.DUMMYFUNCTION("""COMPUTED_VALUE"""),0.40922453703703704)</f>
        <v>0.409224537</v>
      </c>
      <c r="D2709" s="122" t="str">
        <f>IFERROR(__xludf.DUMMYFUNCTION("""COMPUTED_VALUE"""),"MALL")</f>
        <v>MALL</v>
      </c>
      <c r="E2709" s="122" t="str">
        <f>IFERROR(__xludf.DUMMYFUNCTION("""COMPUTED_VALUE"""),"MegaMall")</f>
        <v>MegaMall</v>
      </c>
      <c r="F2709" s="122" t="str">
        <f>IFERROR(__xludf.DUMMYFUNCTION("""COMPUTED_VALUE"""),"Real Estate")</f>
        <v>Real Estate</v>
      </c>
    </row>
    <row r="2710">
      <c r="A2710" s="131">
        <f>IFERROR(__xludf.DUMMYFUNCTION("""COMPUTED_VALUE"""),46187.409224537034)</f>
        <v>46187.40922</v>
      </c>
      <c r="B2710" s="126">
        <f>IFERROR(__xludf.DUMMYFUNCTION("""COMPUTED_VALUE"""),46187.0)</f>
        <v>46187</v>
      </c>
      <c r="C2710" s="130">
        <f>IFERROR(__xludf.DUMMYFUNCTION("""COMPUTED_VALUE"""),0.40922453703703704)</f>
        <v>0.409224537</v>
      </c>
      <c r="D2710" s="122" t="str">
        <f>IFERROR(__xludf.DUMMYFUNCTION("""COMPUTED_VALUE"""),"HOTL")</f>
        <v>HOTL</v>
      </c>
      <c r="E2710" s="122" t="str">
        <f>IFERROR(__xludf.DUMMYFUNCTION("""COMPUTED_VALUE"""),"HotelHive")</f>
        <v>HotelHive</v>
      </c>
      <c r="F2710" s="122" t="str">
        <f>IFERROR(__xludf.DUMMYFUNCTION("""COMPUTED_VALUE"""),"Real Estate")</f>
        <v>Real Estate</v>
      </c>
    </row>
    <row r="2711">
      <c r="A2711" s="131">
        <f>IFERROR(__xludf.DUMMYFUNCTION("""COMPUTED_VALUE"""),46187.409224537034)</f>
        <v>46187.40922</v>
      </c>
      <c r="B2711" s="126">
        <f>IFERROR(__xludf.DUMMYFUNCTION("""COMPUTED_VALUE"""),46187.0)</f>
        <v>46187</v>
      </c>
      <c r="C2711" s="130">
        <f>IFERROR(__xludf.DUMMYFUNCTION("""COMPUTED_VALUE"""),0.40922453703703704)</f>
        <v>0.409224537</v>
      </c>
      <c r="D2711" s="122" t="str">
        <f>IFERROR(__xludf.DUMMYFUNCTION("""COMPUTED_VALUE"""),"LAND")</f>
        <v>LAND</v>
      </c>
      <c r="E2711" s="122" t="str">
        <f>IFERROR(__xludf.DUMMYFUNCTION("""COMPUTED_VALUE"""),"LandLink")</f>
        <v>LandLink</v>
      </c>
      <c r="F2711" s="122" t="str">
        <f>IFERROR(__xludf.DUMMYFUNCTION("""COMPUTED_VALUE"""),"Real Estate")</f>
        <v>Real Estate</v>
      </c>
    </row>
    <row r="2712">
      <c r="A2712" s="131">
        <f>IFERROR(__xludf.DUMMYFUNCTION("""COMPUTED_VALUE"""),46187.409224537034)</f>
        <v>46187.40922</v>
      </c>
      <c r="B2712" s="126">
        <f>IFERROR(__xludf.DUMMYFUNCTION("""COMPUTED_VALUE"""),46187.0)</f>
        <v>46187</v>
      </c>
      <c r="C2712" s="130">
        <f>IFERROR(__xludf.DUMMYFUNCTION("""COMPUTED_VALUE"""),0.40922453703703704)</f>
        <v>0.409224537</v>
      </c>
      <c r="D2712" s="122" t="str">
        <f>IFERROR(__xludf.DUMMYFUNCTION("""COMPUTED_VALUE"""),"CARS")</f>
        <v>CARS</v>
      </c>
      <c r="E2712" s="122" t="str">
        <f>IFERROR(__xludf.DUMMYFUNCTION("""COMPUTED_VALUE"""),"AutoArena")</f>
        <v>AutoArena</v>
      </c>
      <c r="F2712" s="122" t="str">
        <f>IFERROR(__xludf.DUMMYFUNCTION("""COMPUTED_VALUE"""),"Automotive")</f>
        <v>Automotive</v>
      </c>
    </row>
    <row r="2713">
      <c r="A2713" s="131">
        <f>IFERROR(__xludf.DUMMYFUNCTION("""COMPUTED_VALUE"""),46187.409224537034)</f>
        <v>46187.40922</v>
      </c>
      <c r="B2713" s="126">
        <f>IFERROR(__xludf.DUMMYFUNCTION("""COMPUTED_VALUE"""),46187.0)</f>
        <v>46187</v>
      </c>
      <c r="C2713" s="130">
        <f>IFERROR(__xludf.DUMMYFUNCTION("""COMPUTED_VALUE"""),0.40922453703703704)</f>
        <v>0.409224537</v>
      </c>
      <c r="D2713" s="122" t="str">
        <f>IFERROR(__xludf.DUMMYFUNCTION("""COMPUTED_VALUE"""),"EVGO")</f>
        <v>EVGO</v>
      </c>
      <c r="E2713" s="122" t="str">
        <f>IFERROR(__xludf.DUMMYFUNCTION("""COMPUTED_VALUE"""),"EVGo Motors")</f>
        <v>EVGo Motors</v>
      </c>
      <c r="F2713" s="122" t="str">
        <f>IFERROR(__xludf.DUMMYFUNCTION("""COMPUTED_VALUE"""),"Automotive")</f>
        <v>Automotive</v>
      </c>
    </row>
    <row r="2714">
      <c r="A2714" s="131">
        <f>IFERROR(__xludf.DUMMYFUNCTION("""COMPUTED_VALUE"""),46187.409224537034)</f>
        <v>46187.40922</v>
      </c>
      <c r="B2714" s="126">
        <f>IFERROR(__xludf.DUMMYFUNCTION("""COMPUTED_VALUE"""),46187.0)</f>
        <v>46187</v>
      </c>
      <c r="C2714" s="130">
        <f>IFERROR(__xludf.DUMMYFUNCTION("""COMPUTED_VALUE"""),0.40922453703703704)</f>
        <v>0.409224537</v>
      </c>
      <c r="D2714" s="122" t="str">
        <f>IFERROR(__xludf.DUMMYFUNCTION("""COMPUTED_VALUE"""),"TIRE")</f>
        <v>TIRE</v>
      </c>
      <c r="E2714" s="122" t="str">
        <f>IFERROR(__xludf.DUMMYFUNCTION("""COMPUTED_VALUE"""),"TireTown")</f>
        <v>TireTown</v>
      </c>
      <c r="F2714" s="122" t="str">
        <f>IFERROR(__xludf.DUMMYFUNCTION("""COMPUTED_VALUE"""),"Automotive")</f>
        <v>Automotive</v>
      </c>
    </row>
    <row r="2715">
      <c r="A2715" s="131">
        <f>IFERROR(__xludf.DUMMYFUNCTION("""COMPUTED_VALUE"""),46187.409224537034)</f>
        <v>46187.40922</v>
      </c>
      <c r="B2715" s="126">
        <f>IFERROR(__xludf.DUMMYFUNCTION("""COMPUTED_VALUE"""),46187.0)</f>
        <v>46187</v>
      </c>
      <c r="C2715" s="130">
        <f>IFERROR(__xludf.DUMMYFUNCTION("""COMPUTED_VALUE"""),0.40922453703703704)</f>
        <v>0.409224537</v>
      </c>
      <c r="D2715" s="122" t="str">
        <f>IFERROR(__xludf.DUMMYFUNCTION("""COMPUTED_VALUE"""),"BIKE")</f>
        <v>BIKE</v>
      </c>
      <c r="E2715" s="122" t="str">
        <f>IFERROR(__xludf.DUMMYFUNCTION("""COMPUTED_VALUE"""),"BikeBox")</f>
        <v>BikeBox</v>
      </c>
      <c r="F2715" s="122" t="str">
        <f>IFERROR(__xludf.DUMMYFUNCTION("""COMPUTED_VALUE"""),"Automotive")</f>
        <v>Automotive</v>
      </c>
    </row>
    <row r="2716">
      <c r="A2716" s="131">
        <f>IFERROR(__xludf.DUMMYFUNCTION("""COMPUTED_VALUE"""),46187.409224537034)</f>
        <v>46187.40922</v>
      </c>
      <c r="B2716" s="126">
        <f>IFERROR(__xludf.DUMMYFUNCTION("""COMPUTED_VALUE"""),46187.0)</f>
        <v>46187</v>
      </c>
      <c r="C2716" s="130">
        <f>IFERROR(__xludf.DUMMYFUNCTION("""COMPUTED_VALUE"""),0.40922453703703704)</f>
        <v>0.409224537</v>
      </c>
      <c r="D2716" s="122" t="str">
        <f>IFERROR(__xludf.DUMMYFUNCTION("""COMPUTED_VALUE"""),"WASH")</f>
        <v>WASH</v>
      </c>
      <c r="E2716" s="122" t="str">
        <f>IFERROR(__xludf.DUMMYFUNCTION("""COMPUTED_VALUE"""),"CarWash Co")</f>
        <v>CarWash Co</v>
      </c>
      <c r="F2716" s="122" t="str">
        <f>IFERROR(__xludf.DUMMYFUNCTION("""COMPUTED_VALUE"""),"Automotive")</f>
        <v>Automotive</v>
      </c>
    </row>
    <row r="2717">
      <c r="A2717" s="131">
        <f>IFERROR(__xludf.DUMMYFUNCTION("""COMPUTED_VALUE"""),46187.409224537034)</f>
        <v>46187.40922</v>
      </c>
      <c r="B2717" s="126">
        <f>IFERROR(__xludf.DUMMYFUNCTION("""COMPUTED_VALUE"""),46187.0)</f>
        <v>46187</v>
      </c>
      <c r="C2717" s="130">
        <f>IFERROR(__xludf.DUMMYFUNCTION("""COMPUTED_VALUE"""),0.40922453703703704)</f>
        <v>0.409224537</v>
      </c>
      <c r="D2717" s="122" t="str">
        <f>IFERROR(__xludf.DUMMYFUNCTION("""COMPUTED_VALUE"""),"GBND")</f>
        <v>GBND</v>
      </c>
      <c r="E2717" s="122" t="str">
        <f>IFERROR(__xludf.DUMMYFUNCTION("""COMPUTED_VALUE"""),"Classroom Government Bond")</f>
        <v>Classroom Government Bond</v>
      </c>
      <c r="F2717" s="122" t="str">
        <f>IFERROR(__xludf.DUMMYFUNCTION("""COMPUTED_VALUE"""),"Bond")</f>
        <v>Bond</v>
      </c>
    </row>
    <row r="2718">
      <c r="A2718" s="131">
        <f>IFERROR(__xludf.DUMMYFUNCTION("""COMPUTED_VALUE"""),46187.409224537034)</f>
        <v>46187.40922</v>
      </c>
      <c r="B2718" s="126">
        <f>IFERROR(__xludf.DUMMYFUNCTION("""COMPUTED_VALUE"""),46187.0)</f>
        <v>46187</v>
      </c>
      <c r="C2718" s="130">
        <f>IFERROR(__xludf.DUMMYFUNCTION("""COMPUTED_VALUE"""),0.40922453703703704)</f>
        <v>0.409224537</v>
      </c>
      <c r="D2718" s="122" t="str">
        <f>IFERROR(__xludf.DUMMYFUNCTION("""COMPUTED_VALUE"""),"SBND")</f>
        <v>SBND</v>
      </c>
      <c r="E2718" s="122" t="str">
        <f>IFERROR(__xludf.DUMMYFUNCTION("""COMPUTED_VALUE"""),"School Savings Bond")</f>
        <v>School Savings Bond</v>
      </c>
      <c r="F2718" s="122" t="str">
        <f>IFERROR(__xludf.DUMMYFUNCTION("""COMPUTED_VALUE"""),"Bond")</f>
        <v>Bond</v>
      </c>
    </row>
    <row r="2719">
      <c r="A2719" s="131">
        <f>IFERROR(__xludf.DUMMYFUNCTION("""COMPUTED_VALUE"""),46187.409224537034)</f>
        <v>46187.40922</v>
      </c>
      <c r="B2719" s="126">
        <f>IFERROR(__xludf.DUMMYFUNCTION("""COMPUTED_VALUE"""),46187.0)</f>
        <v>46187</v>
      </c>
      <c r="C2719" s="130">
        <f>IFERROR(__xludf.DUMMYFUNCTION("""COMPUTED_VALUE"""),0.40922453703703704)</f>
        <v>0.409224537</v>
      </c>
      <c r="D2719" s="122" t="str">
        <f>IFERROR(__xludf.DUMMYFUNCTION("""COMPUTED_VALUE"""),"CBND")</f>
        <v>CBND</v>
      </c>
      <c r="E2719" s="122" t="str">
        <f>IFERROR(__xludf.DUMMYFUNCTION("""COMPUTED_VALUE"""),"Corporate Classroom Bond")</f>
        <v>Corporate Classroom Bond</v>
      </c>
      <c r="F2719" s="122" t="str">
        <f>IFERROR(__xludf.DUMMYFUNCTION("""COMPUTED_VALUE"""),"Bond")</f>
        <v>Bond</v>
      </c>
    </row>
    <row r="2720">
      <c r="A2720" s="131">
        <f>IFERROR(__xludf.DUMMYFUNCTION("""COMPUTED_VALUE"""),46187.409224537034)</f>
        <v>46187.40922</v>
      </c>
      <c r="B2720" s="126">
        <f>IFERROR(__xludf.DUMMYFUNCTION("""COMPUTED_VALUE"""),46187.0)</f>
        <v>46187</v>
      </c>
      <c r="C2720" s="130">
        <f>IFERROR(__xludf.DUMMYFUNCTION("""COMPUTED_VALUE"""),0.40922453703703704)</f>
        <v>0.409224537</v>
      </c>
      <c r="D2720" s="122" t="str">
        <f>IFERROR(__xludf.DUMMYFUNCTION("""COMPUTED_VALUE"""),"TBIL")</f>
        <v>TBIL</v>
      </c>
      <c r="E2720" s="122" t="str">
        <f>IFERROR(__xludf.DUMMYFUNCTION("""COMPUTED_VALUE"""),"Treasury Bill")</f>
        <v>Treasury Bill</v>
      </c>
      <c r="F2720" s="122" t="str">
        <f>IFERROR(__xludf.DUMMYFUNCTION("""COMPUTED_VALUE"""),"Bond")</f>
        <v>Bond</v>
      </c>
    </row>
    <row r="2721">
      <c r="A2721" s="131">
        <f>IFERROR(__xludf.DUMMYFUNCTION("""COMPUTED_VALUE"""),46187.409224537034)</f>
        <v>46187.40922</v>
      </c>
      <c r="B2721" s="126">
        <f>IFERROR(__xludf.DUMMYFUNCTION("""COMPUTED_VALUE"""),46187.0)</f>
        <v>46187</v>
      </c>
      <c r="C2721" s="130">
        <f>IFERROR(__xludf.DUMMYFUNCTION("""COMPUTED_VALUE"""),0.40922453703703704)</f>
        <v>0.409224537</v>
      </c>
      <c r="D2721" s="122" t="str">
        <f>IFERROR(__xludf.DUMMYFUNCTION("""COMPUTED_VALUE"""),"IBND")</f>
        <v>IBND</v>
      </c>
      <c r="E2721" s="122" t="str">
        <f>IFERROR(__xludf.DUMMYFUNCTION("""COMPUTED_VALUE"""),"Inflation Protected Bond")</f>
        <v>Inflation Protected Bond</v>
      </c>
      <c r="F2721" s="122" t="str">
        <f>IFERROR(__xludf.DUMMYFUNCTION("""COMPUTED_VALUE"""),"Bond")</f>
        <v>Bond</v>
      </c>
    </row>
    <row r="2722">
      <c r="A2722" s="131">
        <f>IFERROR(__xludf.DUMMYFUNCTION("""COMPUTED_VALUE"""),46187.41134259259)</f>
        <v>46187.41134</v>
      </c>
      <c r="B2722" s="126">
        <f>IFERROR(__xludf.DUMMYFUNCTION("""COMPUTED_VALUE"""),46187.0)</f>
        <v>46187</v>
      </c>
      <c r="C2722" s="122" t="str">
        <f>IFERROR(__xludf.DUMMYFUNCTION("""COMPUTED_VALUE"""),"SNAX")</f>
        <v>SNAX</v>
      </c>
      <c r="D2722" s="122" t="str">
        <f>IFERROR(__xludf.DUMMYFUNCTION("""COMPUTED_VALUE"""),"MICA Snacks")</f>
        <v>MICA Snacks</v>
      </c>
      <c r="E2722" s="122">
        <f>IFERROR(__xludf.DUMMYFUNCTION("""COMPUTED_VALUE"""),119.24)</f>
        <v>119.24</v>
      </c>
      <c r="F2722" s="122">
        <f>IFERROR(__xludf.DUMMYFUNCTION("""COMPUTED_VALUE"""),0.0068)</f>
        <v>0.0068</v>
      </c>
    </row>
    <row r="2723">
      <c r="A2723" s="131">
        <f>IFERROR(__xludf.DUMMYFUNCTION("""COMPUTED_VALUE"""),46187.41134259259)</f>
        <v>46187.41134</v>
      </c>
      <c r="B2723" s="126">
        <f>IFERROR(__xludf.DUMMYFUNCTION("""COMPUTED_VALUE"""),46187.0)</f>
        <v>46187</v>
      </c>
      <c r="C2723" s="122" t="str">
        <f>IFERROR(__xludf.DUMMYFUNCTION("""COMPUTED_VALUE"""),"RAMN")</f>
        <v>RAMN</v>
      </c>
      <c r="D2723" s="122" t="str">
        <f>IFERROR(__xludf.DUMMYFUNCTION("""COMPUTED_VALUE"""),"Ramen Republic")</f>
        <v>Ramen Republic</v>
      </c>
      <c r="E2723" s="122">
        <f>IFERROR(__xludf.DUMMYFUNCTION("""COMPUTED_VALUE"""),73.59)</f>
        <v>73.59</v>
      </c>
      <c r="F2723" s="122">
        <f>IFERROR(__xludf.DUMMYFUNCTION("""COMPUTED_VALUE"""),-0.0015)</f>
        <v>-0.0015</v>
      </c>
    </row>
    <row r="2724">
      <c r="A2724" s="131">
        <f>IFERROR(__xludf.DUMMYFUNCTION("""COMPUTED_VALUE"""),46187.41134259259)</f>
        <v>46187.41134</v>
      </c>
      <c r="B2724" s="126">
        <f>IFERROR(__xludf.DUMMYFUNCTION("""COMPUTED_VALUE"""),46187.0)</f>
        <v>46187</v>
      </c>
      <c r="C2724" s="122" t="str">
        <f>IFERROR(__xludf.DUMMYFUNCTION("""COMPUTED_VALUE"""),"COLA")</f>
        <v>COLA</v>
      </c>
      <c r="D2724" s="122" t="str">
        <f>IFERROR(__xludf.DUMMYFUNCTION("""COMPUTED_VALUE"""),"K-Pop Cola")</f>
        <v>K-Pop Cola</v>
      </c>
      <c r="E2724" s="122">
        <f>IFERROR(__xludf.DUMMYFUNCTION("""COMPUTED_VALUE"""),107.47)</f>
        <v>107.47</v>
      </c>
      <c r="F2724" s="122">
        <f>IFERROR(__xludf.DUMMYFUNCTION("""COMPUTED_VALUE"""),0.0056)</f>
        <v>0.0056</v>
      </c>
    </row>
    <row r="2725">
      <c r="A2725" s="131">
        <f>IFERROR(__xludf.DUMMYFUNCTION("""COMPUTED_VALUE"""),46187.41134259259)</f>
        <v>46187.41134</v>
      </c>
      <c r="B2725" s="126">
        <f>IFERROR(__xludf.DUMMYFUNCTION("""COMPUTED_VALUE"""),46187.0)</f>
        <v>46187</v>
      </c>
      <c r="C2725" s="122" t="str">
        <f>IFERROR(__xludf.DUMMYFUNCTION("""COMPUTED_VALUE"""),"CHIP")</f>
        <v>CHIP</v>
      </c>
      <c r="D2725" s="122" t="str">
        <f>IFERROR(__xludf.DUMMYFUNCTION("""COMPUTED_VALUE"""),"Chip Empire")</f>
        <v>Chip Empire</v>
      </c>
      <c r="E2725" s="122">
        <f>IFERROR(__xludf.DUMMYFUNCTION("""COMPUTED_VALUE"""),87.61)</f>
        <v>87.61</v>
      </c>
      <c r="F2725" s="122">
        <f>IFERROR(__xludf.DUMMYFUNCTION("""COMPUTED_VALUE"""),0.0019)</f>
        <v>0.0019</v>
      </c>
    </row>
    <row r="2726">
      <c r="A2726" s="131">
        <f>IFERROR(__xludf.DUMMYFUNCTION("""COMPUTED_VALUE"""),46187.41134259259)</f>
        <v>46187.41134</v>
      </c>
      <c r="B2726" s="126">
        <f>IFERROR(__xludf.DUMMYFUNCTION("""COMPUTED_VALUE"""),46187.0)</f>
        <v>46187</v>
      </c>
      <c r="C2726" s="122" t="str">
        <f>IFERROR(__xludf.DUMMYFUNCTION("""COMPUTED_VALUE"""),"CAND")</f>
        <v>CAND</v>
      </c>
      <c r="D2726" s="122" t="str">
        <f>IFERROR(__xludf.DUMMYFUNCTION("""COMPUTED_VALUE"""),"Candy Capital")</f>
        <v>Candy Capital</v>
      </c>
      <c r="E2726" s="122">
        <f>IFERROR(__xludf.DUMMYFUNCTION("""COMPUTED_VALUE"""),75.72)</f>
        <v>75.72</v>
      </c>
      <c r="F2726" s="122">
        <f>IFERROR(__xludf.DUMMYFUNCTION("""COMPUTED_VALUE"""),-5.0E-4)</f>
        <v>-0.0005</v>
      </c>
    </row>
    <row r="2727">
      <c r="A2727" s="131">
        <f>IFERROR(__xludf.DUMMYFUNCTION("""COMPUTED_VALUE"""),46187.41134259259)</f>
        <v>46187.41134</v>
      </c>
      <c r="B2727" s="126">
        <f>IFERROR(__xludf.DUMMYFUNCTION("""COMPUTED_VALUE"""),46187.0)</f>
        <v>46187</v>
      </c>
      <c r="C2727" s="122" t="str">
        <f>IFERROR(__xludf.DUMMYFUNCTION("""COMPUTED_VALUE"""),"TECH")</f>
        <v>TECH</v>
      </c>
      <c r="D2727" s="122" t="str">
        <f>IFERROR(__xludf.DUMMYFUNCTION("""COMPUTED_VALUE"""),"Dragon Tech")</f>
        <v>Dragon Tech</v>
      </c>
      <c r="E2727" s="122">
        <f>IFERROR(__xludf.DUMMYFUNCTION("""COMPUTED_VALUE"""),236.99)</f>
        <v>236.99</v>
      </c>
      <c r="F2727" s="122">
        <f>IFERROR(__xludf.DUMMYFUNCTION("""COMPUTED_VALUE"""),0.0052)</f>
        <v>0.0052</v>
      </c>
    </row>
    <row r="2728">
      <c r="A2728" s="131">
        <f>IFERROR(__xludf.DUMMYFUNCTION("""COMPUTED_VALUE"""),46187.41134259259)</f>
        <v>46187.41134</v>
      </c>
      <c r="B2728" s="126">
        <f>IFERROR(__xludf.DUMMYFUNCTION("""COMPUTED_VALUE"""),46187.0)</f>
        <v>46187</v>
      </c>
      <c r="C2728" s="122" t="str">
        <f>IFERROR(__xludf.DUMMYFUNCTION("""COMPUTED_VALUE"""),"AIBO")</f>
        <v>AIBO</v>
      </c>
      <c r="D2728" s="122" t="str">
        <f>IFERROR(__xludf.DUMMYFUNCTION("""COMPUTED_VALUE"""),"Homework AI")</f>
        <v>Homework AI</v>
      </c>
      <c r="E2728" s="122">
        <f>IFERROR(__xludf.DUMMYFUNCTION("""COMPUTED_VALUE"""),170.43)</f>
        <v>170.43</v>
      </c>
      <c r="F2728" s="122">
        <f>IFERROR(__xludf.DUMMYFUNCTION("""COMPUTED_VALUE"""),0.0089)</f>
        <v>0.0089</v>
      </c>
    </row>
    <row r="2729">
      <c r="A2729" s="131">
        <f>IFERROR(__xludf.DUMMYFUNCTION("""COMPUTED_VALUE"""),46187.41134259259)</f>
        <v>46187.41134</v>
      </c>
      <c r="B2729" s="126">
        <f>IFERROR(__xludf.DUMMYFUNCTION("""COMPUTED_VALUE"""),46187.0)</f>
        <v>46187</v>
      </c>
      <c r="C2729" s="122" t="str">
        <f>IFERROR(__xludf.DUMMYFUNCTION("""COMPUTED_VALUE"""),"GAME")</f>
        <v>GAME</v>
      </c>
      <c r="D2729" s="122" t="str">
        <f>IFERROR(__xludf.DUMMYFUNCTION("""COMPUTED_VALUE"""),"GameBox Media")</f>
        <v>GameBox Media</v>
      </c>
      <c r="E2729" s="122">
        <f>IFERROR(__xludf.DUMMYFUNCTION("""COMPUTED_VALUE"""),92.75)</f>
        <v>92.75</v>
      </c>
      <c r="F2729" s="122">
        <f>IFERROR(__xludf.DUMMYFUNCTION("""COMPUTED_VALUE"""),0.001)</f>
        <v>0.001</v>
      </c>
    </row>
    <row r="2730">
      <c r="A2730" s="131">
        <f>IFERROR(__xludf.DUMMYFUNCTION("""COMPUTED_VALUE"""),46187.41134259259)</f>
        <v>46187.41134</v>
      </c>
      <c r="B2730" s="126">
        <f>IFERROR(__xludf.DUMMYFUNCTION("""COMPUTED_VALUE"""),46187.0)</f>
        <v>46187</v>
      </c>
      <c r="C2730" s="122" t="str">
        <f>IFERROR(__xludf.DUMMYFUNCTION("""COMPUTED_VALUE"""),"VRSE")</f>
        <v>VRSE</v>
      </c>
      <c r="D2730" s="122" t="str">
        <f>IFERROR(__xludf.DUMMYFUNCTION("""COMPUTED_VALUE"""),"VerseVR")</f>
        <v>VerseVR</v>
      </c>
      <c r="E2730" s="122">
        <f>IFERROR(__xludf.DUMMYFUNCTION("""COMPUTED_VALUE"""),148.83)</f>
        <v>148.83</v>
      </c>
      <c r="F2730" s="122">
        <f>IFERROR(__xludf.DUMMYFUNCTION("""COMPUTED_VALUE"""),0.0097)</f>
        <v>0.0097</v>
      </c>
    </row>
    <row r="2731">
      <c r="A2731" s="131">
        <f>IFERROR(__xludf.DUMMYFUNCTION("""COMPUTED_VALUE"""),46187.41134259259)</f>
        <v>46187.41134</v>
      </c>
      <c r="B2731" s="126">
        <f>IFERROR(__xludf.DUMMYFUNCTION("""COMPUTED_VALUE"""),46187.0)</f>
        <v>46187</v>
      </c>
      <c r="C2731" s="122" t="str">
        <f>IFERROR(__xludf.DUMMYFUNCTION("""COMPUTED_VALUE"""),"BYTE")</f>
        <v>BYTE</v>
      </c>
      <c r="D2731" s="122" t="str">
        <f>IFERROR(__xludf.DUMMYFUNCTION("""COMPUTED_VALUE"""),"ByteWorks")</f>
        <v>ByteWorks</v>
      </c>
      <c r="E2731" s="122">
        <f>IFERROR(__xludf.DUMMYFUNCTION("""COMPUTED_VALUE"""),110.4)</f>
        <v>110.4</v>
      </c>
      <c r="F2731" s="122">
        <f>IFERROR(__xludf.DUMMYFUNCTION("""COMPUTED_VALUE"""),-0.0087)</f>
        <v>-0.0087</v>
      </c>
    </row>
    <row r="2732">
      <c r="A2732" s="131">
        <f>IFERROR(__xludf.DUMMYFUNCTION("""COMPUTED_VALUE"""),46187.41134259259)</f>
        <v>46187.41134</v>
      </c>
      <c r="B2732" s="126">
        <f>IFERROR(__xludf.DUMMYFUNCTION("""COMPUTED_VALUE"""),46187.0)</f>
        <v>46187</v>
      </c>
      <c r="C2732" s="122" t="str">
        <f>IFERROR(__xludf.DUMMYFUNCTION("""COMPUTED_VALUE"""),"BANK")</f>
        <v>BANK</v>
      </c>
      <c r="D2732" s="122" t="str">
        <f>IFERROR(__xludf.DUMMYFUNCTION("""COMPUTED_VALUE"""),"Tiger Bank")</f>
        <v>Tiger Bank</v>
      </c>
      <c r="E2732" s="122">
        <f>IFERROR(__xludf.DUMMYFUNCTION("""COMPUTED_VALUE"""),125.23)</f>
        <v>125.23</v>
      </c>
      <c r="F2732" s="122">
        <f>IFERROR(__xludf.DUMMYFUNCTION("""COMPUTED_VALUE"""),0.0)</f>
        <v>0</v>
      </c>
    </row>
    <row r="2733">
      <c r="A2733" s="131">
        <f>IFERROR(__xludf.DUMMYFUNCTION("""COMPUTED_VALUE"""),46187.41134259259)</f>
        <v>46187.41134</v>
      </c>
      <c r="B2733" s="126">
        <f>IFERROR(__xludf.DUMMYFUNCTION("""COMPUTED_VALUE"""),46187.0)</f>
        <v>46187</v>
      </c>
      <c r="C2733" s="122" t="str">
        <f>IFERROR(__xludf.DUMMYFUNCTION("""COMPUTED_VALUE"""),"CRED")</f>
        <v>CRED</v>
      </c>
      <c r="D2733" s="122" t="str">
        <f>IFERROR(__xludf.DUMMYFUNCTION("""COMPUTED_VALUE"""),"Credit Castle")</f>
        <v>Credit Castle</v>
      </c>
      <c r="E2733" s="122">
        <f>IFERROR(__xludf.DUMMYFUNCTION("""COMPUTED_VALUE"""),68.62)</f>
        <v>68.62</v>
      </c>
      <c r="F2733" s="122">
        <f>IFERROR(__xludf.DUMMYFUNCTION("""COMPUTED_VALUE"""),-0.0023)</f>
        <v>-0.0023</v>
      </c>
    </row>
    <row r="2734">
      <c r="A2734" s="131">
        <f>IFERROR(__xludf.DUMMYFUNCTION("""COMPUTED_VALUE"""),46187.41134259259)</f>
        <v>46187.41134</v>
      </c>
      <c r="B2734" s="126">
        <f>IFERROR(__xludf.DUMMYFUNCTION("""COMPUTED_VALUE"""),46187.0)</f>
        <v>46187</v>
      </c>
      <c r="C2734" s="122" t="str">
        <f>IFERROR(__xludf.DUMMYFUNCTION("""COMPUTED_VALUE"""),"BOND")</f>
        <v>BOND</v>
      </c>
      <c r="D2734" s="122" t="str">
        <f>IFERROR(__xludf.DUMMYFUNCTION("""COMPUTED_VALUE"""),"BondBridge")</f>
        <v>BondBridge</v>
      </c>
      <c r="E2734" s="122">
        <f>IFERROR(__xludf.DUMMYFUNCTION("""COMPUTED_VALUE"""),97.46)</f>
        <v>97.46</v>
      </c>
      <c r="F2734" s="122">
        <f>IFERROR(__xludf.DUMMYFUNCTION("""COMPUTED_VALUE"""),0.0011)</f>
        <v>0.0011</v>
      </c>
    </row>
    <row r="2735">
      <c r="A2735" s="131">
        <f>IFERROR(__xludf.DUMMYFUNCTION("""COMPUTED_VALUE"""),46187.41134259259)</f>
        <v>46187.41134</v>
      </c>
      <c r="B2735" s="126">
        <f>IFERROR(__xludf.DUMMYFUNCTION("""COMPUTED_VALUE"""),46187.0)</f>
        <v>46187</v>
      </c>
      <c r="C2735" s="122" t="str">
        <f>IFERROR(__xludf.DUMMYFUNCTION("""COMPUTED_VALUE"""),"INSR")</f>
        <v>INSR</v>
      </c>
      <c r="D2735" s="122" t="str">
        <f>IFERROR(__xludf.DUMMYFUNCTION("""COMPUTED_VALUE"""),"Shield Insurance")</f>
        <v>Shield Insurance</v>
      </c>
      <c r="E2735" s="122">
        <f>IFERROR(__xludf.DUMMYFUNCTION("""COMPUTED_VALUE"""),158.43)</f>
        <v>158.43</v>
      </c>
      <c r="F2735" s="122">
        <f>IFERROR(__xludf.DUMMYFUNCTION("""COMPUTED_VALUE"""),0.002)</f>
        <v>0.002</v>
      </c>
    </row>
    <row r="2736">
      <c r="A2736" s="131">
        <f>IFERROR(__xludf.DUMMYFUNCTION("""COMPUTED_VALUE"""),46187.41134259259)</f>
        <v>46187.41134</v>
      </c>
      <c r="B2736" s="126">
        <f>IFERROR(__xludf.DUMMYFUNCTION("""COMPUTED_VALUE"""),46187.0)</f>
        <v>46187</v>
      </c>
      <c r="C2736" s="122" t="str">
        <f>IFERROR(__xludf.DUMMYFUNCTION("""COMPUTED_VALUE"""),"LOAN")</f>
        <v>LOAN</v>
      </c>
      <c r="D2736" s="122" t="str">
        <f>IFERROR(__xludf.DUMMYFUNCTION("""COMPUTED_VALUE"""),"LoanLab")</f>
        <v>LoanLab</v>
      </c>
      <c r="E2736" s="122">
        <f>IFERROR(__xludf.DUMMYFUNCTION("""COMPUTED_VALUE"""),62.9)</f>
        <v>62.9</v>
      </c>
      <c r="F2736" s="122">
        <f>IFERROR(__xludf.DUMMYFUNCTION("""COMPUTED_VALUE"""),0.0062)</f>
        <v>0.0062</v>
      </c>
    </row>
    <row r="2737">
      <c r="A2737" s="131">
        <f>IFERROR(__xludf.DUMMYFUNCTION("""COMPUTED_VALUE"""),46187.41134259259)</f>
        <v>46187.41134</v>
      </c>
      <c r="B2737" s="126">
        <f>IFERROR(__xludf.DUMMYFUNCTION("""COMPUTED_VALUE"""),46187.0)</f>
        <v>46187</v>
      </c>
      <c r="C2737" s="122" t="str">
        <f>IFERROR(__xludf.DUMMYFUNCTION("""COMPUTED_VALUE"""),"LUXE")</f>
        <v>LUXE</v>
      </c>
      <c r="D2737" s="122" t="str">
        <f>IFERROR(__xludf.DUMMYFUNCTION("""COMPUTED_VALUE"""),"Luxury Locker")</f>
        <v>Luxury Locker</v>
      </c>
      <c r="E2737" s="122">
        <f>IFERROR(__xludf.DUMMYFUNCTION("""COMPUTED_VALUE"""),256.63)</f>
        <v>256.63</v>
      </c>
      <c r="F2737" s="122">
        <f>IFERROR(__xludf.DUMMYFUNCTION("""COMPUTED_VALUE"""),-0.0015)</f>
        <v>-0.0015</v>
      </c>
    </row>
    <row r="2738">
      <c r="A2738" s="131">
        <f>IFERROR(__xludf.DUMMYFUNCTION("""COMPUTED_VALUE"""),46187.41134259259)</f>
        <v>46187.41134</v>
      </c>
      <c r="B2738" s="126">
        <f>IFERROR(__xludf.DUMMYFUNCTION("""COMPUTED_VALUE"""),46187.0)</f>
        <v>46187</v>
      </c>
      <c r="C2738" s="122" t="str">
        <f>IFERROR(__xludf.DUMMYFUNCTION("""COMPUTED_VALUE"""),"DRIP")</f>
        <v>DRIP</v>
      </c>
      <c r="D2738" s="122" t="str">
        <f>IFERROR(__xludf.DUMMYFUNCTION("""COMPUTED_VALUE"""),"Drip Streetwear")</f>
        <v>Drip Streetwear</v>
      </c>
      <c r="E2738" s="122">
        <f>IFERROR(__xludf.DUMMYFUNCTION("""COMPUTED_VALUE"""),204.1)</f>
        <v>204.1</v>
      </c>
      <c r="F2738" s="122">
        <f>IFERROR(__xludf.DUMMYFUNCTION("""COMPUTED_VALUE"""),-0.0072)</f>
        <v>-0.0072</v>
      </c>
    </row>
    <row r="2739">
      <c r="A2739" s="131">
        <f>IFERROR(__xludf.DUMMYFUNCTION("""COMPUTED_VALUE"""),46187.41134259259)</f>
        <v>46187.41134</v>
      </c>
      <c r="B2739" s="126">
        <f>IFERROR(__xludf.DUMMYFUNCTION("""COMPUTED_VALUE"""),46187.0)</f>
        <v>46187</v>
      </c>
      <c r="C2739" s="122" t="str">
        <f>IFERROR(__xludf.DUMMYFUNCTION("""COMPUTED_VALUE"""),"KICK")</f>
        <v>KICK</v>
      </c>
      <c r="D2739" s="122" t="str">
        <f>IFERROR(__xludf.DUMMYFUNCTION("""COMPUTED_VALUE"""),"KickDrop Sneakers")</f>
        <v>KickDrop Sneakers</v>
      </c>
      <c r="E2739" s="122">
        <f>IFERROR(__xludf.DUMMYFUNCTION("""COMPUTED_VALUE"""),172.6)</f>
        <v>172.6</v>
      </c>
      <c r="F2739" s="122">
        <f>IFERROR(__xludf.DUMMYFUNCTION("""COMPUTED_VALUE"""),-0.0075)</f>
        <v>-0.0075</v>
      </c>
    </row>
    <row r="2740">
      <c r="A2740" s="131">
        <f>IFERROR(__xludf.DUMMYFUNCTION("""COMPUTED_VALUE"""),46187.41134259259)</f>
        <v>46187.41134</v>
      </c>
      <c r="B2740" s="126">
        <f>IFERROR(__xludf.DUMMYFUNCTION("""COMPUTED_VALUE"""),46187.0)</f>
        <v>46187</v>
      </c>
      <c r="C2740" s="122" t="str">
        <f>IFERROR(__xludf.DUMMYFUNCTION("""COMPUTED_VALUE"""),"GLAM")</f>
        <v>GLAM</v>
      </c>
      <c r="D2740" s="122" t="str">
        <f>IFERROR(__xludf.DUMMYFUNCTION("""COMPUTED_VALUE"""),"Glow Cosmetics")</f>
        <v>Glow Cosmetics</v>
      </c>
      <c r="E2740" s="122">
        <f>IFERROR(__xludf.DUMMYFUNCTION("""COMPUTED_VALUE"""),98.74)</f>
        <v>98.74</v>
      </c>
      <c r="F2740" s="122">
        <f>IFERROR(__xludf.DUMMYFUNCTION("""COMPUTED_VALUE"""),0.0052)</f>
        <v>0.0052</v>
      </c>
    </row>
    <row r="2741">
      <c r="A2741" s="131">
        <f>IFERROR(__xludf.DUMMYFUNCTION("""COMPUTED_VALUE"""),46187.41134259259)</f>
        <v>46187.41134</v>
      </c>
      <c r="B2741" s="126">
        <f>IFERROR(__xludf.DUMMYFUNCTION("""COMPUTED_VALUE"""),46187.0)</f>
        <v>46187</v>
      </c>
      <c r="C2741" s="122" t="str">
        <f>IFERROR(__xludf.DUMMYFUNCTION("""COMPUTED_VALUE"""),"BAGG")</f>
        <v>BAGG</v>
      </c>
      <c r="D2741" s="122" t="str">
        <f>IFERROR(__xludf.DUMMYFUNCTION("""COMPUTED_VALUE"""),"BagVault")</f>
        <v>BagVault</v>
      </c>
      <c r="E2741" s="122">
        <f>IFERROR(__xludf.DUMMYFUNCTION("""COMPUTED_VALUE"""),249.79)</f>
        <v>249.79</v>
      </c>
      <c r="F2741" s="122">
        <f>IFERROR(__xludf.DUMMYFUNCTION("""COMPUTED_VALUE"""),0.0088)</f>
        <v>0.0088</v>
      </c>
    </row>
    <row r="2742">
      <c r="A2742" s="131">
        <f>IFERROR(__xludf.DUMMYFUNCTION("""COMPUTED_VALUE"""),46187.41134259259)</f>
        <v>46187.41134</v>
      </c>
      <c r="B2742" s="126">
        <f>IFERROR(__xludf.DUMMYFUNCTION("""COMPUTED_VALUE"""),46187.0)</f>
        <v>46187</v>
      </c>
      <c r="C2742" s="122" t="str">
        <f>IFERROR(__xludf.DUMMYFUNCTION("""COMPUTED_VALUE"""),"FAST")</f>
        <v>FAST</v>
      </c>
      <c r="D2742" s="122" t="str">
        <f>IFERROR(__xludf.DUMMYFUNCTION("""COMPUTED_VALUE"""),"Flash Logistics")</f>
        <v>Flash Logistics</v>
      </c>
      <c r="E2742" s="122">
        <f>IFERROR(__xludf.DUMMYFUNCTION("""COMPUTED_VALUE"""),102.59)</f>
        <v>102.59</v>
      </c>
      <c r="F2742" s="122">
        <f>IFERROR(__xludf.DUMMYFUNCTION("""COMPUTED_VALUE"""),0.0031)</f>
        <v>0.0031</v>
      </c>
    </row>
    <row r="2743">
      <c r="A2743" s="131">
        <f>IFERROR(__xludf.DUMMYFUNCTION("""COMPUTED_VALUE"""),46187.41134259259)</f>
        <v>46187.41134</v>
      </c>
      <c r="B2743" s="126">
        <f>IFERROR(__xludf.DUMMYFUNCTION("""COMPUTED_VALUE"""),46187.0)</f>
        <v>46187</v>
      </c>
      <c r="C2743" s="122" t="str">
        <f>IFERROR(__xludf.DUMMYFUNCTION("""COMPUTED_VALUE"""),"SHIP")</f>
        <v>SHIP</v>
      </c>
      <c r="D2743" s="122" t="str">
        <f>IFERROR(__xludf.DUMMYFUNCTION("""COMPUTED_VALUE"""),"Seoul Shipping")</f>
        <v>Seoul Shipping</v>
      </c>
      <c r="E2743" s="122">
        <f>IFERROR(__xludf.DUMMYFUNCTION("""COMPUTED_VALUE"""),117.81)</f>
        <v>117.81</v>
      </c>
      <c r="F2743" s="122">
        <f>IFERROR(__xludf.DUMMYFUNCTION("""COMPUTED_VALUE"""),0.0061)</f>
        <v>0.0061</v>
      </c>
    </row>
    <row r="2744">
      <c r="A2744" s="131">
        <f>IFERROR(__xludf.DUMMYFUNCTION("""COMPUTED_VALUE"""),46187.41134259259)</f>
        <v>46187.41134</v>
      </c>
      <c r="B2744" s="126">
        <f>IFERROR(__xludf.DUMMYFUNCTION("""COMPUTED_VALUE"""),46187.0)</f>
        <v>46187</v>
      </c>
      <c r="C2744" s="122" t="str">
        <f>IFERROR(__xludf.DUMMYFUNCTION("""COMPUTED_VALUE"""),"DRON")</f>
        <v>DRON</v>
      </c>
      <c r="D2744" s="122" t="str">
        <f>IFERROR(__xludf.DUMMYFUNCTION("""COMPUTED_VALUE"""),"DroneDrop")</f>
        <v>DroneDrop</v>
      </c>
      <c r="E2744" s="122">
        <f>IFERROR(__xludf.DUMMYFUNCTION("""COMPUTED_VALUE"""),131.36)</f>
        <v>131.36</v>
      </c>
      <c r="F2744" s="122">
        <f>IFERROR(__xludf.DUMMYFUNCTION("""COMPUTED_VALUE"""),-0.0057)</f>
        <v>-0.0057</v>
      </c>
    </row>
    <row r="2745">
      <c r="A2745" s="131">
        <f>IFERROR(__xludf.DUMMYFUNCTION("""COMPUTED_VALUE"""),46187.41134259259)</f>
        <v>46187.41134</v>
      </c>
      <c r="B2745" s="126">
        <f>IFERROR(__xludf.DUMMYFUNCTION("""COMPUTED_VALUE"""),46187.0)</f>
        <v>46187</v>
      </c>
      <c r="C2745" s="122" t="str">
        <f>IFERROR(__xludf.DUMMYFUNCTION("""COMPUTED_VALUE"""),"RIDE")</f>
        <v>RIDE</v>
      </c>
      <c r="D2745" s="122" t="str">
        <f>IFERROR(__xludf.DUMMYFUNCTION("""COMPUTED_VALUE"""),"QuickRide")</f>
        <v>QuickRide</v>
      </c>
      <c r="E2745" s="122">
        <f>IFERROR(__xludf.DUMMYFUNCTION("""COMPUTED_VALUE"""),96.48)</f>
        <v>96.48</v>
      </c>
      <c r="F2745" s="122">
        <f>IFERROR(__xludf.DUMMYFUNCTION("""COMPUTED_VALUE"""),-0.0054)</f>
        <v>-0.0054</v>
      </c>
    </row>
    <row r="2746">
      <c r="A2746" s="131">
        <f>IFERROR(__xludf.DUMMYFUNCTION("""COMPUTED_VALUE"""),46187.41134259259)</f>
        <v>46187.41134</v>
      </c>
      <c r="B2746" s="126">
        <f>IFERROR(__xludf.DUMMYFUNCTION("""COMPUTED_VALUE"""),46187.0)</f>
        <v>46187</v>
      </c>
      <c r="C2746" s="122" t="str">
        <f>IFERROR(__xludf.DUMMYFUNCTION("""COMPUTED_VALUE"""),"RAIL")</f>
        <v>RAIL</v>
      </c>
      <c r="D2746" s="122" t="str">
        <f>IFERROR(__xludf.DUMMYFUNCTION("""COMPUTED_VALUE"""),"MetroRail Corp")</f>
        <v>MetroRail Corp</v>
      </c>
      <c r="E2746" s="122">
        <f>IFERROR(__xludf.DUMMYFUNCTION("""COMPUTED_VALUE"""),134.85)</f>
        <v>134.85</v>
      </c>
      <c r="F2746" s="122">
        <f>IFERROR(__xludf.DUMMYFUNCTION("""COMPUTED_VALUE"""),-0.0026)</f>
        <v>-0.0026</v>
      </c>
    </row>
    <row r="2747">
      <c r="A2747" s="131">
        <f>IFERROR(__xludf.DUMMYFUNCTION("""COMPUTED_VALUE"""),46187.41134259259)</f>
        <v>46187.41134</v>
      </c>
      <c r="B2747" s="126">
        <f>IFERROR(__xludf.DUMMYFUNCTION("""COMPUTED_VALUE"""),46187.0)</f>
        <v>46187</v>
      </c>
      <c r="C2747" s="122" t="str">
        <f>IFERROR(__xludf.DUMMYFUNCTION("""COMPUTED_VALUE"""),"MEDX")</f>
        <v>MEDX</v>
      </c>
      <c r="D2747" s="122" t="str">
        <f>IFERROR(__xludf.DUMMYFUNCTION("""COMPUTED_VALUE"""),"MediCore")</f>
        <v>MediCore</v>
      </c>
      <c r="E2747" s="122">
        <f>IFERROR(__xludf.DUMMYFUNCTION("""COMPUTED_VALUE"""),137.6)</f>
        <v>137.6</v>
      </c>
      <c r="F2747" s="122">
        <f>IFERROR(__xludf.DUMMYFUNCTION("""COMPUTED_VALUE"""),8.0E-4)</f>
        <v>0.0008</v>
      </c>
    </row>
    <row r="2748">
      <c r="A2748" s="131">
        <f>IFERROR(__xludf.DUMMYFUNCTION("""COMPUTED_VALUE"""),46187.41134259259)</f>
        <v>46187.41134</v>
      </c>
      <c r="B2748" s="126">
        <f>IFERROR(__xludf.DUMMYFUNCTION("""COMPUTED_VALUE"""),46187.0)</f>
        <v>46187</v>
      </c>
      <c r="C2748" s="122" t="str">
        <f>IFERROR(__xludf.DUMMYFUNCTION("""COMPUTED_VALUE"""),"GYMX")</f>
        <v>GYMX</v>
      </c>
      <c r="D2748" s="122" t="str">
        <f>IFERROR(__xludf.DUMMYFUNCTION("""COMPUTED_VALUE"""),"GymX Fitness")</f>
        <v>GymX Fitness</v>
      </c>
      <c r="E2748" s="122">
        <f>IFERROR(__xludf.DUMMYFUNCTION("""COMPUTED_VALUE"""),85.36)</f>
        <v>85.36</v>
      </c>
      <c r="F2748" s="122">
        <f>IFERROR(__xludf.DUMMYFUNCTION("""COMPUTED_VALUE"""),0.0041)</f>
        <v>0.0041</v>
      </c>
    </row>
    <row r="2749">
      <c r="A2749" s="131">
        <f>IFERROR(__xludf.DUMMYFUNCTION("""COMPUTED_VALUE"""),46187.41134259259)</f>
        <v>46187.41134</v>
      </c>
      <c r="B2749" s="126">
        <f>IFERROR(__xludf.DUMMYFUNCTION("""COMPUTED_VALUE"""),46187.0)</f>
        <v>46187</v>
      </c>
      <c r="C2749" s="122" t="str">
        <f>IFERROR(__xludf.DUMMYFUNCTION("""COMPUTED_VALUE"""),"VITA")</f>
        <v>VITA</v>
      </c>
      <c r="D2749" s="122" t="str">
        <f>IFERROR(__xludf.DUMMYFUNCTION("""COMPUTED_VALUE"""),"VitaPlus")</f>
        <v>VitaPlus</v>
      </c>
      <c r="E2749" s="122">
        <f>IFERROR(__xludf.DUMMYFUNCTION("""COMPUTED_VALUE"""),74.57)</f>
        <v>74.57</v>
      </c>
      <c r="F2749" s="122">
        <f>IFERROR(__xludf.DUMMYFUNCTION("""COMPUTED_VALUE"""),0.0022)</f>
        <v>0.0022</v>
      </c>
    </row>
    <row r="2750">
      <c r="A2750" s="131">
        <f>IFERROR(__xludf.DUMMYFUNCTION("""COMPUTED_VALUE"""),46187.41134259259)</f>
        <v>46187.41134</v>
      </c>
      <c r="B2750" s="126">
        <f>IFERROR(__xludf.DUMMYFUNCTION("""COMPUTED_VALUE"""),46187.0)</f>
        <v>46187</v>
      </c>
      <c r="C2750" s="122" t="str">
        <f>IFERROR(__xludf.DUMMYFUNCTION("""COMPUTED_VALUE"""),"CARE")</f>
        <v>CARE</v>
      </c>
      <c r="D2750" s="122" t="str">
        <f>IFERROR(__xludf.DUMMYFUNCTION("""COMPUTED_VALUE"""),"CareCloud")</f>
        <v>CareCloud</v>
      </c>
      <c r="E2750" s="122">
        <f>IFERROR(__xludf.DUMMYFUNCTION("""COMPUTED_VALUE"""),179.82)</f>
        <v>179.82</v>
      </c>
      <c r="F2750" s="122">
        <f>IFERROR(__xludf.DUMMYFUNCTION("""COMPUTED_VALUE"""),-0.0073)</f>
        <v>-0.0073</v>
      </c>
    </row>
    <row r="2751">
      <c r="A2751" s="131">
        <f>IFERROR(__xludf.DUMMYFUNCTION("""COMPUTED_VALUE"""),46187.41134259259)</f>
        <v>46187.41134</v>
      </c>
      <c r="B2751" s="126">
        <f>IFERROR(__xludf.DUMMYFUNCTION("""COMPUTED_VALUE"""),46187.0)</f>
        <v>46187</v>
      </c>
      <c r="C2751" s="122" t="str">
        <f>IFERROR(__xludf.DUMMYFUNCTION("""COMPUTED_VALUE"""),"DENT")</f>
        <v>DENT</v>
      </c>
      <c r="D2751" s="122" t="str">
        <f>IFERROR(__xludf.DUMMYFUNCTION("""COMPUTED_VALUE"""),"SmileWorks")</f>
        <v>SmileWorks</v>
      </c>
      <c r="E2751" s="122">
        <f>IFERROR(__xludf.DUMMYFUNCTION("""COMPUTED_VALUE"""),82.37)</f>
        <v>82.37</v>
      </c>
      <c r="F2751" s="122">
        <f>IFERROR(__xludf.DUMMYFUNCTION("""COMPUTED_VALUE"""),0.0011)</f>
        <v>0.0011</v>
      </c>
    </row>
    <row r="2752">
      <c r="A2752" s="131">
        <f>IFERROR(__xludf.DUMMYFUNCTION("""COMPUTED_VALUE"""),46187.41134259259)</f>
        <v>46187.41134</v>
      </c>
      <c r="B2752" s="126">
        <f>IFERROR(__xludf.DUMMYFUNCTION("""COMPUTED_VALUE"""),46187.0)</f>
        <v>46187</v>
      </c>
      <c r="C2752" s="122" t="str">
        <f>IFERROR(__xludf.DUMMYFUNCTION("""COMPUTED_VALUE"""),"EDUX")</f>
        <v>EDUX</v>
      </c>
      <c r="D2752" s="122" t="str">
        <f>IFERROR(__xludf.DUMMYFUNCTION("""COMPUTED_VALUE"""),"EduMax Learning")</f>
        <v>EduMax Learning</v>
      </c>
      <c r="E2752" s="122">
        <f>IFERROR(__xludf.DUMMYFUNCTION("""COMPUTED_VALUE"""),133.82)</f>
        <v>133.82</v>
      </c>
      <c r="F2752" s="122">
        <f>IFERROR(__xludf.DUMMYFUNCTION("""COMPUTED_VALUE"""),-0.005)</f>
        <v>-0.005</v>
      </c>
    </row>
    <row r="2753">
      <c r="A2753" s="131">
        <f>IFERROR(__xludf.DUMMYFUNCTION("""COMPUTED_VALUE"""),46187.41134259259)</f>
        <v>46187.41134</v>
      </c>
      <c r="B2753" s="126">
        <f>IFERROR(__xludf.DUMMYFUNCTION("""COMPUTED_VALUE"""),46187.0)</f>
        <v>46187</v>
      </c>
      <c r="C2753" s="122" t="str">
        <f>IFERROR(__xludf.DUMMYFUNCTION("""COMPUTED_VALUE"""),"BOOK")</f>
        <v>BOOK</v>
      </c>
      <c r="D2753" s="122" t="str">
        <f>IFERROR(__xludf.DUMMYFUNCTION("""COMPUTED_VALUE"""),"BookBridge")</f>
        <v>BookBridge</v>
      </c>
      <c r="E2753" s="122">
        <f>IFERROR(__xludf.DUMMYFUNCTION("""COMPUTED_VALUE"""),115.56)</f>
        <v>115.56</v>
      </c>
      <c r="F2753" s="122">
        <f>IFERROR(__xludf.DUMMYFUNCTION("""COMPUTED_VALUE"""),-3.0E-4)</f>
        <v>-0.0003</v>
      </c>
    </row>
    <row r="2754">
      <c r="A2754" s="131">
        <f>IFERROR(__xludf.DUMMYFUNCTION("""COMPUTED_VALUE"""),46187.41134259259)</f>
        <v>46187.41134</v>
      </c>
      <c r="B2754" s="126">
        <f>IFERROR(__xludf.DUMMYFUNCTION("""COMPUTED_VALUE"""),46187.0)</f>
        <v>46187</v>
      </c>
      <c r="C2754" s="122" t="str">
        <f>IFERROR(__xludf.DUMMYFUNCTION("""COMPUTED_VALUE"""),"TUTR")</f>
        <v>TUTR</v>
      </c>
      <c r="D2754" s="122" t="str">
        <f>IFERROR(__xludf.DUMMYFUNCTION("""COMPUTED_VALUE"""),"TutorTown")</f>
        <v>TutorTown</v>
      </c>
      <c r="E2754" s="122">
        <f>IFERROR(__xludf.DUMMYFUNCTION("""COMPUTED_VALUE"""),89.65)</f>
        <v>89.65</v>
      </c>
      <c r="F2754" s="122">
        <f>IFERROR(__xludf.DUMMYFUNCTION("""COMPUTED_VALUE"""),-0.005)</f>
        <v>-0.005</v>
      </c>
    </row>
    <row r="2755">
      <c r="A2755" s="131">
        <f>IFERROR(__xludf.DUMMYFUNCTION("""COMPUTED_VALUE"""),46187.41134259259)</f>
        <v>46187.41134</v>
      </c>
      <c r="B2755" s="126">
        <f>IFERROR(__xludf.DUMMYFUNCTION("""COMPUTED_VALUE"""),46187.0)</f>
        <v>46187</v>
      </c>
      <c r="C2755" s="122" t="str">
        <f>IFERROR(__xludf.DUMMYFUNCTION("""COMPUTED_VALUE"""),"LANG")</f>
        <v>LANG</v>
      </c>
      <c r="D2755" s="122" t="str">
        <f>IFERROR(__xludf.DUMMYFUNCTION("""COMPUTED_VALUE"""),"LinguaLab")</f>
        <v>LinguaLab</v>
      </c>
      <c r="E2755" s="122">
        <f>IFERROR(__xludf.DUMMYFUNCTION("""COMPUTED_VALUE"""),97.8)</f>
        <v>97.8</v>
      </c>
      <c r="F2755" s="122">
        <f>IFERROR(__xludf.DUMMYFUNCTION("""COMPUTED_VALUE"""),0.003)</f>
        <v>0.003</v>
      </c>
    </row>
    <row r="2756">
      <c r="A2756" s="131">
        <f>IFERROR(__xludf.DUMMYFUNCTION("""COMPUTED_VALUE"""),46187.41134259259)</f>
        <v>46187.41134</v>
      </c>
      <c r="B2756" s="126">
        <f>IFERROR(__xludf.DUMMYFUNCTION("""COMPUTED_VALUE"""),46187.0)</f>
        <v>46187</v>
      </c>
      <c r="C2756" s="122" t="str">
        <f>IFERROR(__xludf.DUMMYFUNCTION("""COMPUTED_VALUE"""),"TEST")</f>
        <v>TEST</v>
      </c>
      <c r="D2756" s="122" t="str">
        <f>IFERROR(__xludf.DUMMYFUNCTION("""COMPUTED_VALUE"""),"TestPrep Pro")</f>
        <v>TestPrep Pro</v>
      </c>
      <c r="E2756" s="122">
        <f>IFERROR(__xludf.DUMMYFUNCTION("""COMPUTED_VALUE"""),100.27)</f>
        <v>100.27</v>
      </c>
      <c r="F2756" s="122">
        <f>IFERROR(__xludf.DUMMYFUNCTION("""COMPUTED_VALUE"""),-9.0E-4)</f>
        <v>-0.0009</v>
      </c>
    </row>
    <row r="2757">
      <c r="A2757" s="131">
        <f>IFERROR(__xludf.DUMMYFUNCTION("""COMPUTED_VALUE"""),46187.41134259259)</f>
        <v>46187.41134</v>
      </c>
      <c r="B2757" s="126">
        <f>IFERROR(__xludf.DUMMYFUNCTION("""COMPUTED_VALUE"""),46187.0)</f>
        <v>46187</v>
      </c>
      <c r="C2757" s="122" t="str">
        <f>IFERROR(__xludf.DUMMYFUNCTION("""COMPUTED_VALUE"""),"MOVI")</f>
        <v>MOVI</v>
      </c>
      <c r="D2757" s="122" t="str">
        <f>IFERROR(__xludf.DUMMYFUNCTION("""COMPUTED_VALUE"""),"MovieBox")</f>
        <v>MovieBox</v>
      </c>
      <c r="E2757" s="122">
        <f>IFERROR(__xludf.DUMMYFUNCTION("""COMPUTED_VALUE"""),80.5)</f>
        <v>80.5</v>
      </c>
      <c r="F2757" s="122">
        <f>IFERROR(__xludf.DUMMYFUNCTION("""COMPUTED_VALUE"""),-0.0045)</f>
        <v>-0.0045</v>
      </c>
    </row>
    <row r="2758">
      <c r="A2758" s="131">
        <f>IFERROR(__xludf.DUMMYFUNCTION("""COMPUTED_VALUE"""),46187.41134259259)</f>
        <v>46187.41134</v>
      </c>
      <c r="B2758" s="126">
        <f>IFERROR(__xludf.DUMMYFUNCTION("""COMPUTED_VALUE"""),46187.0)</f>
        <v>46187</v>
      </c>
      <c r="C2758" s="122" t="str">
        <f>IFERROR(__xludf.DUMMYFUNCTION("""COMPUTED_VALUE"""),"MUSC")</f>
        <v>MUSC</v>
      </c>
      <c r="D2758" s="122" t="str">
        <f>IFERROR(__xludf.DUMMYFUNCTION("""COMPUTED_VALUE"""),"MusicWave")</f>
        <v>MusicWave</v>
      </c>
      <c r="E2758" s="122">
        <f>IFERROR(__xludf.DUMMYFUNCTION("""COMPUTED_VALUE"""),97.22)</f>
        <v>97.22</v>
      </c>
      <c r="F2758" s="122">
        <f>IFERROR(__xludf.DUMMYFUNCTION("""COMPUTED_VALUE"""),0.0049)</f>
        <v>0.0049</v>
      </c>
    </row>
    <row r="2759">
      <c r="A2759" s="131">
        <f>IFERROR(__xludf.DUMMYFUNCTION("""COMPUTED_VALUE"""),46187.41134259259)</f>
        <v>46187.41134</v>
      </c>
      <c r="B2759" s="126">
        <f>IFERROR(__xludf.DUMMYFUNCTION("""COMPUTED_VALUE"""),46187.0)</f>
        <v>46187</v>
      </c>
      <c r="C2759" s="122" t="str">
        <f>IFERROR(__xludf.DUMMYFUNCTION("""COMPUTED_VALUE"""),"IDOL")</f>
        <v>IDOL</v>
      </c>
      <c r="D2759" s="122" t="str">
        <f>IFERROR(__xludf.DUMMYFUNCTION("""COMPUTED_VALUE"""),"Idol Agency")</f>
        <v>Idol Agency</v>
      </c>
      <c r="E2759" s="122">
        <f>IFERROR(__xludf.DUMMYFUNCTION("""COMPUTED_VALUE"""),195.76)</f>
        <v>195.76</v>
      </c>
      <c r="F2759" s="122">
        <f>IFERROR(__xludf.DUMMYFUNCTION("""COMPUTED_VALUE"""),-0.0089)</f>
        <v>-0.0089</v>
      </c>
    </row>
    <row r="2760">
      <c r="A2760" s="131">
        <f>IFERROR(__xludf.DUMMYFUNCTION("""COMPUTED_VALUE"""),46187.41134259259)</f>
        <v>46187.41134</v>
      </c>
      <c r="B2760" s="126">
        <f>IFERROR(__xludf.DUMMYFUNCTION("""COMPUTED_VALUE"""),46187.0)</f>
        <v>46187</v>
      </c>
      <c r="C2760" s="122" t="str">
        <f>IFERROR(__xludf.DUMMYFUNCTION("""COMPUTED_VALUE"""),"MEME")</f>
        <v>MEME</v>
      </c>
      <c r="D2760" s="122" t="str">
        <f>IFERROR(__xludf.DUMMYFUNCTION("""COMPUTED_VALUE"""),"Meme Media")</f>
        <v>Meme Media</v>
      </c>
      <c r="E2760" s="122">
        <f>IFERROR(__xludf.DUMMYFUNCTION("""COMPUTED_VALUE"""),77.48)</f>
        <v>77.48</v>
      </c>
      <c r="F2760" s="122">
        <f>IFERROR(__xludf.DUMMYFUNCTION("""COMPUTED_VALUE"""),-0.0135)</f>
        <v>-0.0135</v>
      </c>
    </row>
    <row r="2761">
      <c r="A2761" s="131">
        <f>IFERROR(__xludf.DUMMYFUNCTION("""COMPUTED_VALUE"""),46187.41134259259)</f>
        <v>46187.41134</v>
      </c>
      <c r="B2761" s="126">
        <f>IFERROR(__xludf.DUMMYFUNCTION("""COMPUTED_VALUE"""),46187.0)</f>
        <v>46187</v>
      </c>
      <c r="C2761" s="122" t="str">
        <f>IFERROR(__xludf.DUMMYFUNCTION("""COMPUTED_VALUE"""),"STRM")</f>
        <v>STRM</v>
      </c>
      <c r="D2761" s="122" t="str">
        <f>IFERROR(__xludf.DUMMYFUNCTION("""COMPUTED_VALUE"""),"Streamly")</f>
        <v>Streamly</v>
      </c>
      <c r="E2761" s="122">
        <f>IFERROR(__xludf.DUMMYFUNCTION("""COMPUTED_VALUE"""),138.49)</f>
        <v>138.49</v>
      </c>
      <c r="F2761" s="122">
        <f>IFERROR(__xludf.DUMMYFUNCTION("""COMPUTED_VALUE"""),0.0058)</f>
        <v>0.0058</v>
      </c>
    </row>
    <row r="2762">
      <c r="A2762" s="131">
        <f>IFERROR(__xludf.DUMMYFUNCTION("""COMPUTED_VALUE"""),46187.41134259259)</f>
        <v>46187.41134</v>
      </c>
      <c r="B2762" s="126">
        <f>IFERROR(__xludf.DUMMYFUNCTION("""COMPUTED_VALUE"""),46187.0)</f>
        <v>46187</v>
      </c>
      <c r="C2762" s="122" t="str">
        <f>IFERROR(__xludf.DUMMYFUNCTION("""COMPUTED_VALUE"""),"FARM")</f>
        <v>FARM</v>
      </c>
      <c r="D2762" s="122" t="str">
        <f>IFERROR(__xludf.DUMMYFUNCTION("""COMPUTED_VALUE"""),"Future Farms")</f>
        <v>Future Farms</v>
      </c>
      <c r="E2762" s="122">
        <f>IFERROR(__xludf.DUMMYFUNCTION("""COMPUTED_VALUE"""),83.67)</f>
        <v>83.67</v>
      </c>
      <c r="F2762" s="122">
        <f>IFERROR(__xludf.DUMMYFUNCTION("""COMPUTED_VALUE"""),0.0054)</f>
        <v>0.0054</v>
      </c>
    </row>
    <row r="2763">
      <c r="A2763" s="131">
        <f>IFERROR(__xludf.DUMMYFUNCTION("""COMPUTED_VALUE"""),46187.41134259259)</f>
        <v>46187.41134</v>
      </c>
      <c r="B2763" s="126">
        <f>IFERROR(__xludf.DUMMYFUNCTION("""COMPUTED_VALUE"""),46187.0)</f>
        <v>46187</v>
      </c>
      <c r="C2763" s="122" t="str">
        <f>IFERROR(__xludf.DUMMYFUNCTION("""COMPUTED_VALUE"""),"MEAT")</f>
        <v>MEAT</v>
      </c>
      <c r="D2763" s="122" t="str">
        <f>IFERROR(__xludf.DUMMYFUNCTION("""COMPUTED_VALUE"""),"MeatWorks")</f>
        <v>MeatWorks</v>
      </c>
      <c r="E2763" s="122">
        <f>IFERROR(__xludf.DUMMYFUNCTION("""COMPUTED_VALUE"""),102.41)</f>
        <v>102.41</v>
      </c>
      <c r="F2763" s="122">
        <f>IFERROR(__xludf.DUMMYFUNCTION("""COMPUTED_VALUE"""),0.0078)</f>
        <v>0.0078</v>
      </c>
    </row>
    <row r="2764">
      <c r="A2764" s="131">
        <f>IFERROR(__xludf.DUMMYFUNCTION("""COMPUTED_VALUE"""),46187.41134259259)</f>
        <v>46187.41134</v>
      </c>
      <c r="B2764" s="126">
        <f>IFERROR(__xludf.DUMMYFUNCTION("""COMPUTED_VALUE"""),46187.0)</f>
        <v>46187</v>
      </c>
      <c r="C2764" s="122" t="str">
        <f>IFERROR(__xludf.DUMMYFUNCTION("""COMPUTED_VALUE"""),"VEGI")</f>
        <v>VEGI</v>
      </c>
      <c r="D2764" s="122" t="str">
        <f>IFERROR(__xludf.DUMMYFUNCTION("""COMPUTED_VALUE"""),"Green Basket")</f>
        <v>Green Basket</v>
      </c>
      <c r="E2764" s="122">
        <f>IFERROR(__xludf.DUMMYFUNCTION("""COMPUTED_VALUE"""),82.09)</f>
        <v>82.09</v>
      </c>
      <c r="F2764" s="122">
        <f>IFERROR(__xludf.DUMMYFUNCTION("""COMPUTED_VALUE"""),0.0021)</f>
        <v>0.0021</v>
      </c>
    </row>
    <row r="2765">
      <c r="A2765" s="131">
        <f>IFERROR(__xludf.DUMMYFUNCTION("""COMPUTED_VALUE"""),46187.41134259259)</f>
        <v>46187.41134</v>
      </c>
      <c r="B2765" s="126">
        <f>IFERROR(__xludf.DUMMYFUNCTION("""COMPUTED_VALUE"""),46187.0)</f>
        <v>46187</v>
      </c>
      <c r="C2765" s="122" t="str">
        <f>IFERROR(__xludf.DUMMYFUNCTION("""COMPUTED_VALUE"""),"CAFE")</f>
        <v>CAFE</v>
      </c>
      <c r="D2765" s="122" t="str">
        <f>IFERROR(__xludf.DUMMYFUNCTION("""COMPUTED_VALUE"""),"Cafe Cloud")</f>
        <v>Cafe Cloud</v>
      </c>
      <c r="E2765" s="122">
        <f>IFERROR(__xludf.DUMMYFUNCTION("""COMPUTED_VALUE"""),98.59)</f>
        <v>98.59</v>
      </c>
      <c r="F2765" s="122">
        <f>IFERROR(__xludf.DUMMYFUNCTION("""COMPUTED_VALUE"""),-0.0066)</f>
        <v>-0.0066</v>
      </c>
    </row>
    <row r="2766">
      <c r="A2766" s="131">
        <f>IFERROR(__xludf.DUMMYFUNCTION("""COMPUTED_VALUE"""),46187.41134259259)</f>
        <v>46187.41134</v>
      </c>
      <c r="B2766" s="126">
        <f>IFERROR(__xludf.DUMMYFUNCTION("""COMPUTED_VALUE"""),46187.0)</f>
        <v>46187</v>
      </c>
      <c r="C2766" s="122" t="str">
        <f>IFERROR(__xludf.DUMMYFUNCTION("""COMPUTED_VALUE"""),"BAKE")</f>
        <v>BAKE</v>
      </c>
      <c r="D2766" s="122" t="str">
        <f>IFERROR(__xludf.DUMMYFUNCTION("""COMPUTED_VALUE"""),"BakeHouse")</f>
        <v>BakeHouse</v>
      </c>
      <c r="E2766" s="122">
        <f>IFERROR(__xludf.DUMMYFUNCTION("""COMPUTED_VALUE"""),99.56)</f>
        <v>99.56</v>
      </c>
      <c r="F2766" s="122">
        <f>IFERROR(__xludf.DUMMYFUNCTION("""COMPUTED_VALUE"""),0.0016)</f>
        <v>0.0016</v>
      </c>
    </row>
    <row r="2767">
      <c r="A2767" s="131">
        <f>IFERROR(__xludf.DUMMYFUNCTION("""COMPUTED_VALUE"""),46187.41134259259)</f>
        <v>46187.41134</v>
      </c>
      <c r="B2767" s="126">
        <f>IFERROR(__xludf.DUMMYFUNCTION("""COMPUTED_VALUE"""),46187.0)</f>
        <v>46187</v>
      </c>
      <c r="C2767" s="122" t="str">
        <f>IFERROR(__xludf.DUMMYFUNCTION("""COMPUTED_VALUE"""),"OILX")</f>
        <v>OILX</v>
      </c>
      <c r="D2767" s="122" t="str">
        <f>IFERROR(__xludf.DUMMYFUNCTION("""COMPUTED_VALUE"""),"OilMax Energy")</f>
        <v>OilMax Energy</v>
      </c>
      <c r="E2767" s="122">
        <f>IFERROR(__xludf.DUMMYFUNCTION("""COMPUTED_VALUE"""),131.17)</f>
        <v>131.17</v>
      </c>
      <c r="F2767" s="122">
        <f>IFERROR(__xludf.DUMMYFUNCTION("""COMPUTED_VALUE"""),0.0028)</f>
        <v>0.0028</v>
      </c>
    </row>
    <row r="2768">
      <c r="A2768" s="131">
        <f>IFERROR(__xludf.DUMMYFUNCTION("""COMPUTED_VALUE"""),46187.41134259259)</f>
        <v>46187.41134</v>
      </c>
      <c r="B2768" s="126">
        <f>IFERROR(__xludf.DUMMYFUNCTION("""COMPUTED_VALUE"""),46187.0)</f>
        <v>46187</v>
      </c>
      <c r="C2768" s="122" t="str">
        <f>IFERROR(__xludf.DUMMYFUNCTION("""COMPUTED_VALUE"""),"SOLR")</f>
        <v>SOLR</v>
      </c>
      <c r="D2768" s="122" t="str">
        <f>IFERROR(__xludf.DUMMYFUNCTION("""COMPUTED_VALUE"""),"SolarSpark")</f>
        <v>SolarSpark</v>
      </c>
      <c r="E2768" s="122">
        <f>IFERROR(__xludf.DUMMYFUNCTION("""COMPUTED_VALUE"""),88.7)</f>
        <v>88.7</v>
      </c>
      <c r="F2768" s="122">
        <f>IFERROR(__xludf.DUMMYFUNCTION("""COMPUTED_VALUE"""),0.0066)</f>
        <v>0.0066</v>
      </c>
    </row>
    <row r="2769">
      <c r="A2769" s="131">
        <f>IFERROR(__xludf.DUMMYFUNCTION("""COMPUTED_VALUE"""),46187.41134259259)</f>
        <v>46187.41134</v>
      </c>
      <c r="B2769" s="126">
        <f>IFERROR(__xludf.DUMMYFUNCTION("""COMPUTED_VALUE"""),46187.0)</f>
        <v>46187</v>
      </c>
      <c r="C2769" s="122" t="str">
        <f>IFERROR(__xludf.DUMMYFUNCTION("""COMPUTED_VALUE"""),"BATT")</f>
        <v>BATT</v>
      </c>
      <c r="D2769" s="122" t="str">
        <f>IFERROR(__xludf.DUMMYFUNCTION("""COMPUTED_VALUE"""),"BatteryBox")</f>
        <v>BatteryBox</v>
      </c>
      <c r="E2769" s="122">
        <f>IFERROR(__xludf.DUMMYFUNCTION("""COMPUTED_VALUE"""),121.13)</f>
        <v>121.13</v>
      </c>
      <c r="F2769" s="122">
        <f>IFERROR(__xludf.DUMMYFUNCTION("""COMPUTED_VALUE"""),-0.0086)</f>
        <v>-0.0086</v>
      </c>
    </row>
    <row r="2770">
      <c r="A2770" s="131">
        <f>IFERROR(__xludf.DUMMYFUNCTION("""COMPUTED_VALUE"""),46187.41134259259)</f>
        <v>46187.41134</v>
      </c>
      <c r="B2770" s="126">
        <f>IFERROR(__xludf.DUMMYFUNCTION("""COMPUTED_VALUE"""),46187.0)</f>
        <v>46187</v>
      </c>
      <c r="C2770" s="122" t="str">
        <f>IFERROR(__xludf.DUMMYFUNCTION("""COMPUTED_VALUE"""),"WIND")</f>
        <v>WIND</v>
      </c>
      <c r="D2770" s="122" t="str">
        <f>IFERROR(__xludf.DUMMYFUNCTION("""COMPUTED_VALUE"""),"WindWorks")</f>
        <v>WindWorks</v>
      </c>
      <c r="E2770" s="122">
        <f>IFERROR(__xludf.DUMMYFUNCTION("""COMPUTED_VALUE"""),87.89)</f>
        <v>87.89</v>
      </c>
      <c r="F2770" s="122">
        <f>IFERROR(__xludf.DUMMYFUNCTION("""COMPUTED_VALUE"""),0.0)</f>
        <v>0</v>
      </c>
    </row>
    <row r="2771">
      <c r="A2771" s="131">
        <f>IFERROR(__xludf.DUMMYFUNCTION("""COMPUTED_VALUE"""),46187.41134259259)</f>
        <v>46187.41134</v>
      </c>
      <c r="B2771" s="126">
        <f>IFERROR(__xludf.DUMMYFUNCTION("""COMPUTED_VALUE"""),46187.0)</f>
        <v>46187</v>
      </c>
      <c r="C2771" s="122" t="str">
        <f>IFERROR(__xludf.DUMMYFUNCTION("""COMPUTED_VALUE"""),"GRID")</f>
        <v>GRID</v>
      </c>
      <c r="D2771" s="122" t="str">
        <f>IFERROR(__xludf.DUMMYFUNCTION("""COMPUTED_VALUE"""),"GridPower")</f>
        <v>GridPower</v>
      </c>
      <c r="E2771" s="122">
        <f>IFERROR(__xludf.DUMMYFUNCTION("""COMPUTED_VALUE"""),143.56)</f>
        <v>143.56</v>
      </c>
      <c r="F2771" s="122">
        <f>IFERROR(__xludf.DUMMYFUNCTION("""COMPUTED_VALUE"""),-3.0E-4)</f>
        <v>-0.0003</v>
      </c>
    </row>
    <row r="2772">
      <c r="A2772" s="131">
        <f>IFERROR(__xludf.DUMMYFUNCTION("""COMPUTED_VALUE"""),46187.41134259259)</f>
        <v>46187.41134</v>
      </c>
      <c r="B2772" s="126">
        <f>IFERROR(__xludf.DUMMYFUNCTION("""COMPUTED_VALUE"""),46187.0)</f>
        <v>46187</v>
      </c>
      <c r="C2772" s="122" t="str">
        <f>IFERROR(__xludf.DUMMYFUNCTION("""COMPUTED_VALUE"""),"HOME")</f>
        <v>HOME</v>
      </c>
      <c r="D2772" s="122" t="str">
        <f>IFERROR(__xludf.DUMMYFUNCTION("""COMPUTED_VALUE"""),"HomeHub")</f>
        <v>HomeHub</v>
      </c>
      <c r="E2772" s="122">
        <f>IFERROR(__xludf.DUMMYFUNCTION("""COMPUTED_VALUE"""),148.62)</f>
        <v>148.62</v>
      </c>
      <c r="F2772" s="122">
        <f>IFERROR(__xludf.DUMMYFUNCTION("""COMPUTED_VALUE"""),-0.0015)</f>
        <v>-0.0015</v>
      </c>
    </row>
    <row r="2773">
      <c r="A2773" s="131">
        <f>IFERROR(__xludf.DUMMYFUNCTION("""COMPUTED_VALUE"""),46187.41134259259)</f>
        <v>46187.41134</v>
      </c>
      <c r="B2773" s="126">
        <f>IFERROR(__xludf.DUMMYFUNCTION("""COMPUTED_VALUE"""),46187.0)</f>
        <v>46187</v>
      </c>
      <c r="C2773" s="122" t="str">
        <f>IFERROR(__xludf.DUMMYFUNCTION("""COMPUTED_VALUE"""),"RENT")</f>
        <v>RENT</v>
      </c>
      <c r="D2773" s="122" t="str">
        <f>IFERROR(__xludf.DUMMYFUNCTION("""COMPUTED_VALUE"""),"RentRight")</f>
        <v>RentRight</v>
      </c>
      <c r="E2773" s="122">
        <f>IFERROR(__xludf.DUMMYFUNCTION("""COMPUTED_VALUE"""),91.57)</f>
        <v>91.57</v>
      </c>
      <c r="F2773" s="122">
        <f>IFERROR(__xludf.DUMMYFUNCTION("""COMPUTED_VALUE"""),-0.005)</f>
        <v>-0.005</v>
      </c>
    </row>
    <row r="2774">
      <c r="A2774" s="131">
        <f>IFERROR(__xludf.DUMMYFUNCTION("""COMPUTED_VALUE"""),46187.41134259259)</f>
        <v>46187.41134</v>
      </c>
      <c r="B2774" s="126">
        <f>IFERROR(__xludf.DUMMYFUNCTION("""COMPUTED_VALUE"""),46187.0)</f>
        <v>46187</v>
      </c>
      <c r="C2774" s="122" t="str">
        <f>IFERROR(__xludf.DUMMYFUNCTION("""COMPUTED_VALUE"""),"MALL")</f>
        <v>MALL</v>
      </c>
      <c r="D2774" s="122" t="str">
        <f>IFERROR(__xludf.DUMMYFUNCTION("""COMPUTED_VALUE"""),"MegaMall")</f>
        <v>MegaMall</v>
      </c>
      <c r="E2774" s="122">
        <f>IFERROR(__xludf.DUMMYFUNCTION("""COMPUTED_VALUE"""),99.91)</f>
        <v>99.91</v>
      </c>
      <c r="F2774" s="122">
        <f>IFERROR(__xludf.DUMMYFUNCTION("""COMPUTED_VALUE"""),0.006)</f>
        <v>0.006</v>
      </c>
    </row>
    <row r="2775">
      <c r="A2775" s="131">
        <f>IFERROR(__xludf.DUMMYFUNCTION("""COMPUTED_VALUE"""),46187.41134259259)</f>
        <v>46187.41134</v>
      </c>
      <c r="B2775" s="126">
        <f>IFERROR(__xludf.DUMMYFUNCTION("""COMPUTED_VALUE"""),46187.0)</f>
        <v>46187</v>
      </c>
      <c r="C2775" s="122" t="str">
        <f>IFERROR(__xludf.DUMMYFUNCTION("""COMPUTED_VALUE"""),"HOTL")</f>
        <v>HOTL</v>
      </c>
      <c r="D2775" s="122" t="str">
        <f>IFERROR(__xludf.DUMMYFUNCTION("""COMPUTED_VALUE"""),"HotelHive")</f>
        <v>HotelHive</v>
      </c>
      <c r="E2775" s="122">
        <f>IFERROR(__xludf.DUMMYFUNCTION("""COMPUTED_VALUE"""),132.21)</f>
        <v>132.21</v>
      </c>
      <c r="F2775" s="122">
        <f>IFERROR(__xludf.DUMMYFUNCTION("""COMPUTED_VALUE"""),-0.005)</f>
        <v>-0.005</v>
      </c>
    </row>
    <row r="2776">
      <c r="A2776" s="131">
        <f>IFERROR(__xludf.DUMMYFUNCTION("""COMPUTED_VALUE"""),46187.41134259259)</f>
        <v>46187.41134</v>
      </c>
      <c r="B2776" s="126">
        <f>IFERROR(__xludf.DUMMYFUNCTION("""COMPUTED_VALUE"""),46187.0)</f>
        <v>46187</v>
      </c>
      <c r="C2776" s="122" t="str">
        <f>IFERROR(__xludf.DUMMYFUNCTION("""COMPUTED_VALUE"""),"LAND")</f>
        <v>LAND</v>
      </c>
      <c r="D2776" s="122" t="str">
        <f>IFERROR(__xludf.DUMMYFUNCTION("""COMPUTED_VALUE"""),"LandLink")</f>
        <v>LandLink</v>
      </c>
      <c r="E2776" s="122">
        <f>IFERROR(__xludf.DUMMYFUNCTION("""COMPUTED_VALUE"""),182.21)</f>
        <v>182.21</v>
      </c>
      <c r="F2776" s="122">
        <f>IFERROR(__xludf.DUMMYFUNCTION("""COMPUTED_VALUE"""),-0.0036)</f>
        <v>-0.0036</v>
      </c>
    </row>
    <row r="2777">
      <c r="A2777" s="131">
        <f>IFERROR(__xludf.DUMMYFUNCTION("""COMPUTED_VALUE"""),46187.41134259259)</f>
        <v>46187.41134</v>
      </c>
      <c r="B2777" s="126">
        <f>IFERROR(__xludf.DUMMYFUNCTION("""COMPUTED_VALUE"""),46187.0)</f>
        <v>46187</v>
      </c>
      <c r="C2777" s="122" t="str">
        <f>IFERROR(__xludf.DUMMYFUNCTION("""COMPUTED_VALUE"""),"CARS")</f>
        <v>CARS</v>
      </c>
      <c r="D2777" s="122" t="str">
        <f>IFERROR(__xludf.DUMMYFUNCTION("""COMPUTED_VALUE"""),"AutoArena")</f>
        <v>AutoArena</v>
      </c>
      <c r="E2777" s="122">
        <f>IFERROR(__xludf.DUMMYFUNCTION("""COMPUTED_VALUE"""),79.03)</f>
        <v>79.03</v>
      </c>
      <c r="F2777" s="122">
        <f>IFERROR(__xludf.DUMMYFUNCTION("""COMPUTED_VALUE"""),0.0019)</f>
        <v>0.0019</v>
      </c>
    </row>
    <row r="2778">
      <c r="A2778" s="131">
        <f>IFERROR(__xludf.DUMMYFUNCTION("""COMPUTED_VALUE"""),46187.41134259259)</f>
        <v>46187.41134</v>
      </c>
      <c r="B2778" s="126">
        <f>IFERROR(__xludf.DUMMYFUNCTION("""COMPUTED_VALUE"""),46187.0)</f>
        <v>46187</v>
      </c>
      <c r="C2778" s="122" t="str">
        <f>IFERROR(__xludf.DUMMYFUNCTION("""COMPUTED_VALUE"""),"EVGO")</f>
        <v>EVGO</v>
      </c>
      <c r="D2778" s="122" t="str">
        <f>IFERROR(__xludf.DUMMYFUNCTION("""COMPUTED_VALUE"""),"EVGo Motors")</f>
        <v>EVGo Motors</v>
      </c>
      <c r="E2778" s="122">
        <f>IFERROR(__xludf.DUMMYFUNCTION("""COMPUTED_VALUE"""),190.91)</f>
        <v>190.91</v>
      </c>
      <c r="F2778" s="122">
        <f>IFERROR(__xludf.DUMMYFUNCTION("""COMPUTED_VALUE"""),-0.0128)</f>
        <v>-0.0128</v>
      </c>
    </row>
    <row r="2779">
      <c r="A2779" s="131">
        <f>IFERROR(__xludf.DUMMYFUNCTION("""COMPUTED_VALUE"""),46187.41134259259)</f>
        <v>46187.41134</v>
      </c>
      <c r="B2779" s="126">
        <f>IFERROR(__xludf.DUMMYFUNCTION("""COMPUTED_VALUE"""),46187.0)</f>
        <v>46187</v>
      </c>
      <c r="C2779" s="122" t="str">
        <f>IFERROR(__xludf.DUMMYFUNCTION("""COMPUTED_VALUE"""),"TIRE")</f>
        <v>TIRE</v>
      </c>
      <c r="D2779" s="122" t="str">
        <f>IFERROR(__xludf.DUMMYFUNCTION("""COMPUTED_VALUE"""),"TireTown")</f>
        <v>TireTown</v>
      </c>
      <c r="E2779" s="122">
        <f>IFERROR(__xludf.DUMMYFUNCTION("""COMPUTED_VALUE"""),92.86)</f>
        <v>92.86</v>
      </c>
      <c r="F2779" s="122">
        <f>IFERROR(__xludf.DUMMYFUNCTION("""COMPUTED_VALUE"""),0.0027)</f>
        <v>0.0027</v>
      </c>
    </row>
    <row r="2780">
      <c r="A2780" s="131">
        <f>IFERROR(__xludf.DUMMYFUNCTION("""COMPUTED_VALUE"""),46187.41134259259)</f>
        <v>46187.41134</v>
      </c>
      <c r="B2780" s="126">
        <f>IFERROR(__xludf.DUMMYFUNCTION("""COMPUTED_VALUE"""),46187.0)</f>
        <v>46187</v>
      </c>
      <c r="C2780" s="122" t="str">
        <f>IFERROR(__xludf.DUMMYFUNCTION("""COMPUTED_VALUE"""),"BIKE")</f>
        <v>BIKE</v>
      </c>
      <c r="D2780" s="122" t="str">
        <f>IFERROR(__xludf.DUMMYFUNCTION("""COMPUTED_VALUE"""),"BikeBox")</f>
        <v>BikeBox</v>
      </c>
      <c r="E2780" s="122">
        <f>IFERROR(__xludf.DUMMYFUNCTION("""COMPUTED_VALUE"""),53.95)</f>
        <v>53.95</v>
      </c>
      <c r="F2780" s="122">
        <f>IFERROR(__xludf.DUMMYFUNCTION("""COMPUTED_VALUE"""),4.0E-4)</f>
        <v>0.0004</v>
      </c>
    </row>
    <row r="2781">
      <c r="A2781" s="131">
        <f>IFERROR(__xludf.DUMMYFUNCTION("""COMPUTED_VALUE"""),46187.41134259259)</f>
        <v>46187.41134</v>
      </c>
      <c r="B2781" s="126">
        <f>IFERROR(__xludf.DUMMYFUNCTION("""COMPUTED_VALUE"""),46187.0)</f>
        <v>46187</v>
      </c>
      <c r="C2781" s="122" t="str">
        <f>IFERROR(__xludf.DUMMYFUNCTION("""COMPUTED_VALUE"""),"WASH")</f>
        <v>WASH</v>
      </c>
      <c r="D2781" s="122" t="str">
        <f>IFERROR(__xludf.DUMMYFUNCTION("""COMPUTED_VALUE"""),"CarWash Co")</f>
        <v>CarWash Co</v>
      </c>
      <c r="E2781" s="122">
        <f>IFERROR(__xludf.DUMMYFUNCTION("""COMPUTED_VALUE"""),121.15)</f>
        <v>121.15</v>
      </c>
      <c r="F2781" s="122">
        <f>IFERROR(__xludf.DUMMYFUNCTION("""COMPUTED_VALUE"""),0.0047)</f>
        <v>0.0047</v>
      </c>
    </row>
    <row r="2782">
      <c r="A2782" s="131">
        <f>IFERROR(__xludf.DUMMYFUNCTION("""COMPUTED_VALUE"""),46187.41134259259)</f>
        <v>46187.41134</v>
      </c>
      <c r="B2782" s="126">
        <f>IFERROR(__xludf.DUMMYFUNCTION("""COMPUTED_VALUE"""),46187.0)</f>
        <v>46187</v>
      </c>
      <c r="C2782" s="122" t="str">
        <f>IFERROR(__xludf.DUMMYFUNCTION("""COMPUTED_VALUE"""),"GBND")</f>
        <v>GBND</v>
      </c>
      <c r="D2782" s="122" t="str">
        <f>IFERROR(__xludf.DUMMYFUNCTION("""COMPUTED_VALUE"""),"Classroom Government Bond")</f>
        <v>Classroom Government Bond</v>
      </c>
      <c r="E2782" s="122">
        <f>IFERROR(__xludf.DUMMYFUNCTION("""COMPUTED_VALUE"""),100.99)</f>
        <v>100.99</v>
      </c>
      <c r="F2782" s="122">
        <f>IFERROR(__xludf.DUMMYFUNCTION("""COMPUTED_VALUE"""),2.0E-4)</f>
        <v>0.0002</v>
      </c>
    </row>
    <row r="2783">
      <c r="A2783" s="131">
        <f>IFERROR(__xludf.DUMMYFUNCTION("""COMPUTED_VALUE"""),46187.41134259259)</f>
        <v>46187.41134</v>
      </c>
      <c r="B2783" s="126">
        <f>IFERROR(__xludf.DUMMYFUNCTION("""COMPUTED_VALUE"""),46187.0)</f>
        <v>46187</v>
      </c>
      <c r="C2783" s="122" t="str">
        <f>IFERROR(__xludf.DUMMYFUNCTION("""COMPUTED_VALUE"""),"SBND")</f>
        <v>SBND</v>
      </c>
      <c r="D2783" s="122" t="str">
        <f>IFERROR(__xludf.DUMMYFUNCTION("""COMPUTED_VALUE"""),"School Savings Bond")</f>
        <v>School Savings Bond</v>
      </c>
      <c r="E2783" s="122">
        <f>IFERROR(__xludf.DUMMYFUNCTION("""COMPUTED_VALUE"""),99.63)</f>
        <v>99.63</v>
      </c>
      <c r="F2783" s="122">
        <f>IFERROR(__xludf.DUMMYFUNCTION("""COMPUTED_VALUE"""),0.0)</f>
        <v>0</v>
      </c>
    </row>
    <row r="2784">
      <c r="A2784" s="131">
        <f>IFERROR(__xludf.DUMMYFUNCTION("""COMPUTED_VALUE"""),46187.41134259259)</f>
        <v>46187.41134</v>
      </c>
      <c r="B2784" s="126">
        <f>IFERROR(__xludf.DUMMYFUNCTION("""COMPUTED_VALUE"""),46187.0)</f>
        <v>46187</v>
      </c>
      <c r="C2784" s="122" t="str">
        <f>IFERROR(__xludf.DUMMYFUNCTION("""COMPUTED_VALUE"""),"CBND")</f>
        <v>CBND</v>
      </c>
      <c r="D2784" s="122" t="str">
        <f>IFERROR(__xludf.DUMMYFUNCTION("""COMPUTED_VALUE"""),"Corporate Classroom Bond")</f>
        <v>Corporate Classroom Bond</v>
      </c>
      <c r="E2784" s="122">
        <f>IFERROR(__xludf.DUMMYFUNCTION("""COMPUTED_VALUE"""),97.63)</f>
        <v>97.63</v>
      </c>
      <c r="F2784" s="122">
        <f>IFERROR(__xludf.DUMMYFUNCTION("""COMPUTED_VALUE"""),-1.0E-4)</f>
        <v>-0.0001</v>
      </c>
    </row>
    <row r="2785">
      <c r="A2785" s="131">
        <f>IFERROR(__xludf.DUMMYFUNCTION("""COMPUTED_VALUE"""),46187.41134259259)</f>
        <v>46187.41134</v>
      </c>
      <c r="B2785" s="126">
        <f>IFERROR(__xludf.DUMMYFUNCTION("""COMPUTED_VALUE"""),46187.0)</f>
        <v>46187</v>
      </c>
      <c r="C2785" s="122" t="str">
        <f>IFERROR(__xludf.DUMMYFUNCTION("""COMPUTED_VALUE"""),"TBIL")</f>
        <v>TBIL</v>
      </c>
      <c r="D2785" s="122" t="str">
        <f>IFERROR(__xludf.DUMMYFUNCTION("""COMPUTED_VALUE"""),"Treasury Bill")</f>
        <v>Treasury Bill</v>
      </c>
      <c r="E2785" s="122">
        <f>IFERROR(__xludf.DUMMYFUNCTION("""COMPUTED_VALUE"""),98.09)</f>
        <v>98.09</v>
      </c>
      <c r="F2785" s="122">
        <f>IFERROR(__xludf.DUMMYFUNCTION("""COMPUTED_VALUE"""),-4.0E-4)</f>
        <v>-0.0004</v>
      </c>
    </row>
    <row r="2786">
      <c r="A2786" s="131">
        <f>IFERROR(__xludf.DUMMYFUNCTION("""COMPUTED_VALUE"""),46187.41134259259)</f>
        <v>46187.41134</v>
      </c>
      <c r="B2786" s="126">
        <f>IFERROR(__xludf.DUMMYFUNCTION("""COMPUTED_VALUE"""),46187.0)</f>
        <v>46187</v>
      </c>
      <c r="C2786" s="122" t="str">
        <f>IFERROR(__xludf.DUMMYFUNCTION("""COMPUTED_VALUE"""),"IBND")</f>
        <v>IBND</v>
      </c>
      <c r="D2786" s="122" t="str">
        <f>IFERROR(__xludf.DUMMYFUNCTION("""COMPUTED_VALUE"""),"Inflation Protected Bond")</f>
        <v>Inflation Protected Bond</v>
      </c>
      <c r="E2786" s="122">
        <f>IFERROR(__xludf.DUMMYFUNCTION("""COMPUTED_VALUE"""),100.7)</f>
        <v>100.7</v>
      </c>
      <c r="F2786" s="122">
        <f>IFERROR(__xludf.DUMMYFUNCTION("""COMPUTED_VALUE"""),1.0E-4)</f>
        <v>0.0001</v>
      </c>
    </row>
    <row r="2787">
      <c r="A2787" s="131">
        <f>IFERROR(__xludf.DUMMYFUNCTION("""COMPUTED_VALUE"""),46187.414722222224)</f>
        <v>46187.41472</v>
      </c>
      <c r="B2787" s="126">
        <f>IFERROR(__xludf.DUMMYFUNCTION("""COMPUTED_VALUE"""),46187.0)</f>
        <v>46187</v>
      </c>
      <c r="C2787" s="122" t="str">
        <f>IFERROR(__xludf.DUMMYFUNCTION("""COMPUTED_VALUE"""),"SNAX")</f>
        <v>SNAX</v>
      </c>
      <c r="D2787" s="122" t="str">
        <f>IFERROR(__xludf.DUMMYFUNCTION("""COMPUTED_VALUE"""),"MICA Snacks")</f>
        <v>MICA Snacks</v>
      </c>
      <c r="E2787" s="122">
        <f>IFERROR(__xludf.DUMMYFUNCTION("""COMPUTED_VALUE"""),119.87)</f>
        <v>119.87</v>
      </c>
      <c r="F2787" s="122">
        <f>IFERROR(__xludf.DUMMYFUNCTION("""COMPUTED_VALUE"""),0.0053)</f>
        <v>0.0053</v>
      </c>
    </row>
    <row r="2788">
      <c r="A2788" s="131">
        <f>IFERROR(__xludf.DUMMYFUNCTION("""COMPUTED_VALUE"""),46187.414722222224)</f>
        <v>46187.41472</v>
      </c>
      <c r="B2788" s="126">
        <f>IFERROR(__xludf.DUMMYFUNCTION("""COMPUTED_VALUE"""),46187.0)</f>
        <v>46187</v>
      </c>
      <c r="C2788" s="122" t="str">
        <f>IFERROR(__xludf.DUMMYFUNCTION("""COMPUTED_VALUE"""),"RAMN")</f>
        <v>RAMN</v>
      </c>
      <c r="D2788" s="122" t="str">
        <f>IFERROR(__xludf.DUMMYFUNCTION("""COMPUTED_VALUE"""),"Ramen Republic")</f>
        <v>Ramen Republic</v>
      </c>
      <c r="E2788" s="122">
        <f>IFERROR(__xludf.DUMMYFUNCTION("""COMPUTED_VALUE"""),73.06)</f>
        <v>73.06</v>
      </c>
      <c r="F2788" s="122">
        <f>IFERROR(__xludf.DUMMYFUNCTION("""COMPUTED_VALUE"""),-0.0072)</f>
        <v>-0.0072</v>
      </c>
    </row>
    <row r="2789">
      <c r="A2789" s="131">
        <f>IFERROR(__xludf.DUMMYFUNCTION("""COMPUTED_VALUE"""),46187.414722222224)</f>
        <v>46187.41472</v>
      </c>
      <c r="B2789" s="126">
        <f>IFERROR(__xludf.DUMMYFUNCTION("""COMPUTED_VALUE"""),46187.0)</f>
        <v>46187</v>
      </c>
      <c r="C2789" s="122" t="str">
        <f>IFERROR(__xludf.DUMMYFUNCTION("""COMPUTED_VALUE"""),"COLA")</f>
        <v>COLA</v>
      </c>
      <c r="D2789" s="122" t="str">
        <f>IFERROR(__xludf.DUMMYFUNCTION("""COMPUTED_VALUE"""),"K-Pop Cola")</f>
        <v>K-Pop Cola</v>
      </c>
      <c r="E2789" s="122">
        <f>IFERROR(__xludf.DUMMYFUNCTION("""COMPUTED_VALUE"""),107.33)</f>
        <v>107.33</v>
      </c>
      <c r="F2789" s="122">
        <f>IFERROR(__xludf.DUMMYFUNCTION("""COMPUTED_VALUE"""),-0.0013)</f>
        <v>-0.0013</v>
      </c>
    </row>
    <row r="2790">
      <c r="A2790" s="131">
        <f>IFERROR(__xludf.DUMMYFUNCTION("""COMPUTED_VALUE"""),46187.414722222224)</f>
        <v>46187.41472</v>
      </c>
      <c r="B2790" s="126">
        <f>IFERROR(__xludf.DUMMYFUNCTION("""COMPUTED_VALUE"""),46187.0)</f>
        <v>46187</v>
      </c>
      <c r="C2790" s="122" t="str">
        <f>IFERROR(__xludf.DUMMYFUNCTION("""COMPUTED_VALUE"""),"CHIP")</f>
        <v>CHIP</v>
      </c>
      <c r="D2790" s="122" t="str">
        <f>IFERROR(__xludf.DUMMYFUNCTION("""COMPUTED_VALUE"""),"Chip Empire")</f>
        <v>Chip Empire</v>
      </c>
      <c r="E2790" s="122">
        <f>IFERROR(__xludf.DUMMYFUNCTION("""COMPUTED_VALUE"""),86.79)</f>
        <v>86.79</v>
      </c>
      <c r="F2790" s="122">
        <f>IFERROR(__xludf.DUMMYFUNCTION("""COMPUTED_VALUE"""),-0.0094)</f>
        <v>-0.0094</v>
      </c>
    </row>
    <row r="2791">
      <c r="A2791" s="131">
        <f>IFERROR(__xludf.DUMMYFUNCTION("""COMPUTED_VALUE"""),46187.414722222224)</f>
        <v>46187.41472</v>
      </c>
      <c r="B2791" s="126">
        <f>IFERROR(__xludf.DUMMYFUNCTION("""COMPUTED_VALUE"""),46187.0)</f>
        <v>46187</v>
      </c>
      <c r="C2791" s="122" t="str">
        <f>IFERROR(__xludf.DUMMYFUNCTION("""COMPUTED_VALUE"""),"CAND")</f>
        <v>CAND</v>
      </c>
      <c r="D2791" s="122" t="str">
        <f>IFERROR(__xludf.DUMMYFUNCTION("""COMPUTED_VALUE"""),"Candy Capital")</f>
        <v>Candy Capital</v>
      </c>
      <c r="E2791" s="122">
        <f>IFERROR(__xludf.DUMMYFUNCTION("""COMPUTED_VALUE"""),76.37)</f>
        <v>76.37</v>
      </c>
      <c r="F2791" s="122">
        <f>IFERROR(__xludf.DUMMYFUNCTION("""COMPUTED_VALUE"""),0.0086)</f>
        <v>0.0086</v>
      </c>
    </row>
    <row r="2792">
      <c r="A2792" s="131">
        <f>IFERROR(__xludf.DUMMYFUNCTION("""COMPUTED_VALUE"""),46187.414722222224)</f>
        <v>46187.41472</v>
      </c>
      <c r="B2792" s="126">
        <f>IFERROR(__xludf.DUMMYFUNCTION("""COMPUTED_VALUE"""),46187.0)</f>
        <v>46187</v>
      </c>
      <c r="C2792" s="122" t="str">
        <f>IFERROR(__xludf.DUMMYFUNCTION("""COMPUTED_VALUE"""),"TECH")</f>
        <v>TECH</v>
      </c>
      <c r="D2792" s="122" t="str">
        <f>IFERROR(__xludf.DUMMYFUNCTION("""COMPUTED_VALUE"""),"Dragon Tech")</f>
        <v>Dragon Tech</v>
      </c>
      <c r="E2792" s="122">
        <f>IFERROR(__xludf.DUMMYFUNCTION("""COMPUTED_VALUE"""),236.44)</f>
        <v>236.44</v>
      </c>
      <c r="F2792" s="122">
        <f>IFERROR(__xludf.DUMMYFUNCTION("""COMPUTED_VALUE"""),-0.0023)</f>
        <v>-0.0023</v>
      </c>
    </row>
    <row r="2793">
      <c r="A2793" s="131">
        <f>IFERROR(__xludf.DUMMYFUNCTION("""COMPUTED_VALUE"""),46187.414722222224)</f>
        <v>46187.41472</v>
      </c>
      <c r="B2793" s="126">
        <f>IFERROR(__xludf.DUMMYFUNCTION("""COMPUTED_VALUE"""),46187.0)</f>
        <v>46187</v>
      </c>
      <c r="C2793" s="122" t="str">
        <f>IFERROR(__xludf.DUMMYFUNCTION("""COMPUTED_VALUE"""),"AIBO")</f>
        <v>AIBO</v>
      </c>
      <c r="D2793" s="122" t="str">
        <f>IFERROR(__xludf.DUMMYFUNCTION("""COMPUTED_VALUE"""),"Homework AI")</f>
        <v>Homework AI</v>
      </c>
      <c r="E2793" s="122">
        <f>IFERROR(__xludf.DUMMYFUNCTION("""COMPUTED_VALUE"""),171.44)</f>
        <v>171.44</v>
      </c>
      <c r="F2793" s="122">
        <f>IFERROR(__xludf.DUMMYFUNCTION("""COMPUTED_VALUE"""),0.0059)</f>
        <v>0.0059</v>
      </c>
    </row>
    <row r="2794">
      <c r="A2794" s="131">
        <f>IFERROR(__xludf.DUMMYFUNCTION("""COMPUTED_VALUE"""),46187.414722222224)</f>
        <v>46187.41472</v>
      </c>
      <c r="B2794" s="126">
        <f>IFERROR(__xludf.DUMMYFUNCTION("""COMPUTED_VALUE"""),46187.0)</f>
        <v>46187</v>
      </c>
      <c r="C2794" s="122" t="str">
        <f>IFERROR(__xludf.DUMMYFUNCTION("""COMPUTED_VALUE"""),"GAME")</f>
        <v>GAME</v>
      </c>
      <c r="D2794" s="122" t="str">
        <f>IFERROR(__xludf.DUMMYFUNCTION("""COMPUTED_VALUE"""),"GameBox Media")</f>
        <v>GameBox Media</v>
      </c>
      <c r="E2794" s="122">
        <f>IFERROR(__xludf.DUMMYFUNCTION("""COMPUTED_VALUE"""),92.83)</f>
        <v>92.83</v>
      </c>
      <c r="F2794" s="122">
        <f>IFERROR(__xludf.DUMMYFUNCTION("""COMPUTED_VALUE"""),9.0E-4)</f>
        <v>0.0009</v>
      </c>
    </row>
    <row r="2795">
      <c r="A2795" s="131">
        <f>IFERROR(__xludf.DUMMYFUNCTION("""COMPUTED_VALUE"""),46187.414722222224)</f>
        <v>46187.41472</v>
      </c>
      <c r="B2795" s="126">
        <f>IFERROR(__xludf.DUMMYFUNCTION("""COMPUTED_VALUE"""),46187.0)</f>
        <v>46187</v>
      </c>
      <c r="C2795" s="122" t="str">
        <f>IFERROR(__xludf.DUMMYFUNCTION("""COMPUTED_VALUE"""),"VRSE")</f>
        <v>VRSE</v>
      </c>
      <c r="D2795" s="122" t="str">
        <f>IFERROR(__xludf.DUMMYFUNCTION("""COMPUTED_VALUE"""),"VerseVR")</f>
        <v>VerseVR</v>
      </c>
      <c r="E2795" s="122">
        <f>IFERROR(__xludf.DUMMYFUNCTION("""COMPUTED_VALUE"""),147.27)</f>
        <v>147.27</v>
      </c>
      <c r="F2795" s="122">
        <f>IFERROR(__xludf.DUMMYFUNCTION("""COMPUTED_VALUE"""),-0.0105)</f>
        <v>-0.0105</v>
      </c>
    </row>
    <row r="2796">
      <c r="A2796" s="131">
        <f>IFERROR(__xludf.DUMMYFUNCTION("""COMPUTED_VALUE"""),46187.414722222224)</f>
        <v>46187.41472</v>
      </c>
      <c r="B2796" s="126">
        <f>IFERROR(__xludf.DUMMYFUNCTION("""COMPUTED_VALUE"""),46187.0)</f>
        <v>46187</v>
      </c>
      <c r="C2796" s="122" t="str">
        <f>IFERROR(__xludf.DUMMYFUNCTION("""COMPUTED_VALUE"""),"BYTE")</f>
        <v>BYTE</v>
      </c>
      <c r="D2796" s="122" t="str">
        <f>IFERROR(__xludf.DUMMYFUNCTION("""COMPUTED_VALUE"""),"ByteWorks")</f>
        <v>ByteWorks</v>
      </c>
      <c r="E2796" s="122">
        <f>IFERROR(__xludf.DUMMYFUNCTION("""COMPUTED_VALUE"""),110.13)</f>
        <v>110.13</v>
      </c>
      <c r="F2796" s="122">
        <f>IFERROR(__xludf.DUMMYFUNCTION("""COMPUTED_VALUE"""),-0.0024)</f>
        <v>-0.0024</v>
      </c>
    </row>
    <row r="2797">
      <c r="A2797" s="131">
        <f>IFERROR(__xludf.DUMMYFUNCTION("""COMPUTED_VALUE"""),46187.414722222224)</f>
        <v>46187.41472</v>
      </c>
      <c r="B2797" s="126">
        <f>IFERROR(__xludf.DUMMYFUNCTION("""COMPUTED_VALUE"""),46187.0)</f>
        <v>46187</v>
      </c>
      <c r="C2797" s="122" t="str">
        <f>IFERROR(__xludf.DUMMYFUNCTION("""COMPUTED_VALUE"""),"BANK")</f>
        <v>BANK</v>
      </c>
      <c r="D2797" s="122" t="str">
        <f>IFERROR(__xludf.DUMMYFUNCTION("""COMPUTED_VALUE"""),"Tiger Bank")</f>
        <v>Tiger Bank</v>
      </c>
      <c r="E2797" s="122">
        <f>IFERROR(__xludf.DUMMYFUNCTION("""COMPUTED_VALUE"""),125.66)</f>
        <v>125.66</v>
      </c>
      <c r="F2797" s="122">
        <f>IFERROR(__xludf.DUMMYFUNCTION("""COMPUTED_VALUE"""),0.0034)</f>
        <v>0.0034</v>
      </c>
    </row>
    <row r="2798">
      <c r="A2798" s="131">
        <f>IFERROR(__xludf.DUMMYFUNCTION("""COMPUTED_VALUE"""),46187.414722222224)</f>
        <v>46187.41472</v>
      </c>
      <c r="B2798" s="126">
        <f>IFERROR(__xludf.DUMMYFUNCTION("""COMPUTED_VALUE"""),46187.0)</f>
        <v>46187</v>
      </c>
      <c r="C2798" s="122" t="str">
        <f>IFERROR(__xludf.DUMMYFUNCTION("""COMPUTED_VALUE"""),"CRED")</f>
        <v>CRED</v>
      </c>
      <c r="D2798" s="122" t="str">
        <f>IFERROR(__xludf.DUMMYFUNCTION("""COMPUTED_VALUE"""),"Credit Castle")</f>
        <v>Credit Castle</v>
      </c>
      <c r="E2798" s="122">
        <f>IFERROR(__xludf.DUMMYFUNCTION("""COMPUTED_VALUE"""),68.91)</f>
        <v>68.91</v>
      </c>
      <c r="F2798" s="122">
        <f>IFERROR(__xludf.DUMMYFUNCTION("""COMPUTED_VALUE"""),0.0042)</f>
        <v>0.0042</v>
      </c>
    </row>
    <row r="2799">
      <c r="A2799" s="131">
        <f>IFERROR(__xludf.DUMMYFUNCTION("""COMPUTED_VALUE"""),46187.414722222224)</f>
        <v>46187.41472</v>
      </c>
      <c r="B2799" s="126">
        <f>IFERROR(__xludf.DUMMYFUNCTION("""COMPUTED_VALUE"""),46187.0)</f>
        <v>46187</v>
      </c>
      <c r="C2799" s="122" t="str">
        <f>IFERROR(__xludf.DUMMYFUNCTION("""COMPUTED_VALUE"""),"BOND")</f>
        <v>BOND</v>
      </c>
      <c r="D2799" s="122" t="str">
        <f>IFERROR(__xludf.DUMMYFUNCTION("""COMPUTED_VALUE"""),"BondBridge")</f>
        <v>BondBridge</v>
      </c>
      <c r="E2799" s="122">
        <f>IFERROR(__xludf.DUMMYFUNCTION("""COMPUTED_VALUE"""),97.65)</f>
        <v>97.65</v>
      </c>
      <c r="F2799" s="122">
        <f>IFERROR(__xludf.DUMMYFUNCTION("""COMPUTED_VALUE"""),0.0019)</f>
        <v>0.0019</v>
      </c>
    </row>
    <row r="2800">
      <c r="A2800" s="131">
        <f>IFERROR(__xludf.DUMMYFUNCTION("""COMPUTED_VALUE"""),46187.414722222224)</f>
        <v>46187.41472</v>
      </c>
      <c r="B2800" s="126">
        <f>IFERROR(__xludf.DUMMYFUNCTION("""COMPUTED_VALUE"""),46187.0)</f>
        <v>46187</v>
      </c>
      <c r="C2800" s="122" t="str">
        <f>IFERROR(__xludf.DUMMYFUNCTION("""COMPUTED_VALUE"""),"INSR")</f>
        <v>INSR</v>
      </c>
      <c r="D2800" s="122" t="str">
        <f>IFERROR(__xludf.DUMMYFUNCTION("""COMPUTED_VALUE"""),"Shield Insurance")</f>
        <v>Shield Insurance</v>
      </c>
      <c r="E2800" s="122">
        <f>IFERROR(__xludf.DUMMYFUNCTION("""COMPUTED_VALUE"""),158.46)</f>
        <v>158.46</v>
      </c>
      <c r="F2800" s="122">
        <f>IFERROR(__xludf.DUMMYFUNCTION("""COMPUTED_VALUE"""),2.0E-4)</f>
        <v>0.0002</v>
      </c>
    </row>
    <row r="2801">
      <c r="A2801" s="131">
        <f>IFERROR(__xludf.DUMMYFUNCTION("""COMPUTED_VALUE"""),46187.414722222224)</f>
        <v>46187.41472</v>
      </c>
      <c r="B2801" s="126">
        <f>IFERROR(__xludf.DUMMYFUNCTION("""COMPUTED_VALUE"""),46187.0)</f>
        <v>46187</v>
      </c>
      <c r="C2801" s="122" t="str">
        <f>IFERROR(__xludf.DUMMYFUNCTION("""COMPUTED_VALUE"""),"LOAN")</f>
        <v>LOAN</v>
      </c>
      <c r="D2801" s="122" t="str">
        <f>IFERROR(__xludf.DUMMYFUNCTION("""COMPUTED_VALUE"""),"LoanLab")</f>
        <v>LoanLab</v>
      </c>
      <c r="E2801" s="122">
        <f>IFERROR(__xludf.DUMMYFUNCTION("""COMPUTED_VALUE"""),63.23)</f>
        <v>63.23</v>
      </c>
      <c r="F2801" s="122">
        <f>IFERROR(__xludf.DUMMYFUNCTION("""COMPUTED_VALUE"""),0.0052)</f>
        <v>0.0052</v>
      </c>
    </row>
    <row r="2802">
      <c r="A2802" s="131">
        <f>IFERROR(__xludf.DUMMYFUNCTION("""COMPUTED_VALUE"""),46187.414722222224)</f>
        <v>46187.41472</v>
      </c>
      <c r="B2802" s="126">
        <f>IFERROR(__xludf.DUMMYFUNCTION("""COMPUTED_VALUE"""),46187.0)</f>
        <v>46187</v>
      </c>
      <c r="C2802" s="122" t="str">
        <f>IFERROR(__xludf.DUMMYFUNCTION("""COMPUTED_VALUE"""),"LUXE")</f>
        <v>LUXE</v>
      </c>
      <c r="D2802" s="122" t="str">
        <f>IFERROR(__xludf.DUMMYFUNCTION("""COMPUTED_VALUE"""),"Luxury Locker")</f>
        <v>Luxury Locker</v>
      </c>
      <c r="E2802" s="122">
        <f>IFERROR(__xludf.DUMMYFUNCTION("""COMPUTED_VALUE"""),255.68)</f>
        <v>255.68</v>
      </c>
      <c r="F2802" s="122">
        <f>IFERROR(__xludf.DUMMYFUNCTION("""COMPUTED_VALUE"""),-0.0037)</f>
        <v>-0.0037</v>
      </c>
    </row>
    <row r="2803">
      <c r="A2803" s="131">
        <f>IFERROR(__xludf.DUMMYFUNCTION("""COMPUTED_VALUE"""),46187.414722222224)</f>
        <v>46187.41472</v>
      </c>
      <c r="B2803" s="126">
        <f>IFERROR(__xludf.DUMMYFUNCTION("""COMPUTED_VALUE"""),46187.0)</f>
        <v>46187</v>
      </c>
      <c r="C2803" s="122" t="str">
        <f>IFERROR(__xludf.DUMMYFUNCTION("""COMPUTED_VALUE"""),"DRIP")</f>
        <v>DRIP</v>
      </c>
      <c r="D2803" s="122" t="str">
        <f>IFERROR(__xludf.DUMMYFUNCTION("""COMPUTED_VALUE"""),"Drip Streetwear")</f>
        <v>Drip Streetwear</v>
      </c>
      <c r="E2803" s="122">
        <f>IFERROR(__xludf.DUMMYFUNCTION("""COMPUTED_VALUE"""),204.97)</f>
        <v>204.97</v>
      </c>
      <c r="F2803" s="122">
        <f>IFERROR(__xludf.DUMMYFUNCTION("""COMPUTED_VALUE"""),0.0043)</f>
        <v>0.0043</v>
      </c>
    </row>
    <row r="2804">
      <c r="A2804" s="131">
        <f>IFERROR(__xludf.DUMMYFUNCTION("""COMPUTED_VALUE"""),46187.414722222224)</f>
        <v>46187.41472</v>
      </c>
      <c r="B2804" s="126">
        <f>IFERROR(__xludf.DUMMYFUNCTION("""COMPUTED_VALUE"""),46187.0)</f>
        <v>46187</v>
      </c>
      <c r="C2804" s="122" t="str">
        <f>IFERROR(__xludf.DUMMYFUNCTION("""COMPUTED_VALUE"""),"KICK")</f>
        <v>KICK</v>
      </c>
      <c r="D2804" s="122" t="str">
        <f>IFERROR(__xludf.DUMMYFUNCTION("""COMPUTED_VALUE"""),"KickDrop Sneakers")</f>
        <v>KickDrop Sneakers</v>
      </c>
      <c r="E2804" s="122">
        <f>IFERROR(__xludf.DUMMYFUNCTION("""COMPUTED_VALUE"""),171.03)</f>
        <v>171.03</v>
      </c>
      <c r="F2804" s="122">
        <f>IFERROR(__xludf.DUMMYFUNCTION("""COMPUTED_VALUE"""),-0.0091)</f>
        <v>-0.0091</v>
      </c>
    </row>
    <row r="2805">
      <c r="A2805" s="131">
        <f>IFERROR(__xludf.DUMMYFUNCTION("""COMPUTED_VALUE"""),46187.414722222224)</f>
        <v>46187.41472</v>
      </c>
      <c r="B2805" s="126">
        <f>IFERROR(__xludf.DUMMYFUNCTION("""COMPUTED_VALUE"""),46187.0)</f>
        <v>46187</v>
      </c>
      <c r="C2805" s="122" t="str">
        <f>IFERROR(__xludf.DUMMYFUNCTION("""COMPUTED_VALUE"""),"GLAM")</f>
        <v>GLAM</v>
      </c>
      <c r="D2805" s="122" t="str">
        <f>IFERROR(__xludf.DUMMYFUNCTION("""COMPUTED_VALUE"""),"Glow Cosmetics")</f>
        <v>Glow Cosmetics</v>
      </c>
      <c r="E2805" s="122">
        <f>IFERROR(__xludf.DUMMYFUNCTION("""COMPUTED_VALUE"""),98.94)</f>
        <v>98.94</v>
      </c>
      <c r="F2805" s="122">
        <f>IFERROR(__xludf.DUMMYFUNCTION("""COMPUTED_VALUE"""),0.002)</f>
        <v>0.002</v>
      </c>
    </row>
    <row r="2806">
      <c r="A2806" s="131">
        <f>IFERROR(__xludf.DUMMYFUNCTION("""COMPUTED_VALUE"""),46187.414722222224)</f>
        <v>46187.41472</v>
      </c>
      <c r="B2806" s="126">
        <f>IFERROR(__xludf.DUMMYFUNCTION("""COMPUTED_VALUE"""),46187.0)</f>
        <v>46187</v>
      </c>
      <c r="C2806" s="122" t="str">
        <f>IFERROR(__xludf.DUMMYFUNCTION("""COMPUTED_VALUE"""),"BAGG")</f>
        <v>BAGG</v>
      </c>
      <c r="D2806" s="122" t="str">
        <f>IFERROR(__xludf.DUMMYFUNCTION("""COMPUTED_VALUE"""),"BagVault")</f>
        <v>BagVault</v>
      </c>
      <c r="E2806" s="122">
        <f>IFERROR(__xludf.DUMMYFUNCTION("""COMPUTED_VALUE"""),248.59)</f>
        <v>248.59</v>
      </c>
      <c r="F2806" s="122">
        <f>IFERROR(__xludf.DUMMYFUNCTION("""COMPUTED_VALUE"""),-0.0048)</f>
        <v>-0.0048</v>
      </c>
    </row>
    <row r="2807">
      <c r="A2807" s="131">
        <f>IFERROR(__xludf.DUMMYFUNCTION("""COMPUTED_VALUE"""),46187.414722222224)</f>
        <v>46187.41472</v>
      </c>
      <c r="B2807" s="126">
        <f>IFERROR(__xludf.DUMMYFUNCTION("""COMPUTED_VALUE"""),46187.0)</f>
        <v>46187</v>
      </c>
      <c r="C2807" s="122" t="str">
        <f>IFERROR(__xludf.DUMMYFUNCTION("""COMPUTED_VALUE"""),"FAST")</f>
        <v>FAST</v>
      </c>
      <c r="D2807" s="122" t="str">
        <f>IFERROR(__xludf.DUMMYFUNCTION("""COMPUTED_VALUE"""),"Flash Logistics")</f>
        <v>Flash Logistics</v>
      </c>
      <c r="E2807" s="122">
        <f>IFERROR(__xludf.DUMMYFUNCTION("""COMPUTED_VALUE"""),102.54)</f>
        <v>102.54</v>
      </c>
      <c r="F2807" s="122">
        <f>IFERROR(__xludf.DUMMYFUNCTION("""COMPUTED_VALUE"""),-5.0E-4)</f>
        <v>-0.0005</v>
      </c>
    </row>
    <row r="2808">
      <c r="A2808" s="131">
        <f>IFERROR(__xludf.DUMMYFUNCTION("""COMPUTED_VALUE"""),46187.414722222224)</f>
        <v>46187.41472</v>
      </c>
      <c r="B2808" s="126">
        <f>IFERROR(__xludf.DUMMYFUNCTION("""COMPUTED_VALUE"""),46187.0)</f>
        <v>46187</v>
      </c>
      <c r="C2808" s="122" t="str">
        <f>IFERROR(__xludf.DUMMYFUNCTION("""COMPUTED_VALUE"""),"SHIP")</f>
        <v>SHIP</v>
      </c>
      <c r="D2808" s="122" t="str">
        <f>IFERROR(__xludf.DUMMYFUNCTION("""COMPUTED_VALUE"""),"Seoul Shipping")</f>
        <v>Seoul Shipping</v>
      </c>
      <c r="E2808" s="122">
        <f>IFERROR(__xludf.DUMMYFUNCTION("""COMPUTED_VALUE"""),118.31)</f>
        <v>118.31</v>
      </c>
      <c r="F2808" s="122">
        <f>IFERROR(__xludf.DUMMYFUNCTION("""COMPUTED_VALUE"""),0.0042)</f>
        <v>0.0042</v>
      </c>
    </row>
    <row r="2809">
      <c r="A2809" s="131">
        <f>IFERROR(__xludf.DUMMYFUNCTION("""COMPUTED_VALUE"""),46187.414722222224)</f>
        <v>46187.41472</v>
      </c>
      <c r="B2809" s="126">
        <f>IFERROR(__xludf.DUMMYFUNCTION("""COMPUTED_VALUE"""),46187.0)</f>
        <v>46187</v>
      </c>
      <c r="C2809" s="122" t="str">
        <f>IFERROR(__xludf.DUMMYFUNCTION("""COMPUTED_VALUE"""),"DRON")</f>
        <v>DRON</v>
      </c>
      <c r="D2809" s="122" t="str">
        <f>IFERROR(__xludf.DUMMYFUNCTION("""COMPUTED_VALUE"""),"DroneDrop")</f>
        <v>DroneDrop</v>
      </c>
      <c r="E2809" s="122">
        <f>IFERROR(__xludf.DUMMYFUNCTION("""COMPUTED_VALUE"""),130.03)</f>
        <v>130.03</v>
      </c>
      <c r="F2809" s="122">
        <f>IFERROR(__xludf.DUMMYFUNCTION("""COMPUTED_VALUE"""),-0.0101)</f>
        <v>-0.0101</v>
      </c>
    </row>
    <row r="2810">
      <c r="A2810" s="131">
        <f>IFERROR(__xludf.DUMMYFUNCTION("""COMPUTED_VALUE"""),46187.414722222224)</f>
        <v>46187.41472</v>
      </c>
      <c r="B2810" s="126">
        <f>IFERROR(__xludf.DUMMYFUNCTION("""COMPUTED_VALUE"""),46187.0)</f>
        <v>46187</v>
      </c>
      <c r="C2810" s="122" t="str">
        <f>IFERROR(__xludf.DUMMYFUNCTION("""COMPUTED_VALUE"""),"RIDE")</f>
        <v>RIDE</v>
      </c>
      <c r="D2810" s="122" t="str">
        <f>IFERROR(__xludf.DUMMYFUNCTION("""COMPUTED_VALUE"""),"QuickRide")</f>
        <v>QuickRide</v>
      </c>
      <c r="E2810" s="122">
        <f>IFERROR(__xludf.DUMMYFUNCTION("""COMPUTED_VALUE"""),95.96)</f>
        <v>95.96</v>
      </c>
      <c r="F2810" s="122">
        <f>IFERROR(__xludf.DUMMYFUNCTION("""COMPUTED_VALUE"""),-0.0054)</f>
        <v>-0.0054</v>
      </c>
    </row>
    <row r="2811">
      <c r="A2811" s="131">
        <f>IFERROR(__xludf.DUMMYFUNCTION("""COMPUTED_VALUE"""),46187.414722222224)</f>
        <v>46187.41472</v>
      </c>
      <c r="B2811" s="126">
        <f>IFERROR(__xludf.DUMMYFUNCTION("""COMPUTED_VALUE"""),46187.0)</f>
        <v>46187</v>
      </c>
      <c r="C2811" s="122" t="str">
        <f>IFERROR(__xludf.DUMMYFUNCTION("""COMPUTED_VALUE"""),"RAIL")</f>
        <v>RAIL</v>
      </c>
      <c r="D2811" s="122" t="str">
        <f>IFERROR(__xludf.DUMMYFUNCTION("""COMPUTED_VALUE"""),"MetroRail Corp")</f>
        <v>MetroRail Corp</v>
      </c>
      <c r="E2811" s="122">
        <f>IFERROR(__xludf.DUMMYFUNCTION("""COMPUTED_VALUE"""),134.73)</f>
        <v>134.73</v>
      </c>
      <c r="F2811" s="122">
        <f>IFERROR(__xludf.DUMMYFUNCTION("""COMPUTED_VALUE"""),-9.0E-4)</f>
        <v>-0.0009</v>
      </c>
    </row>
    <row r="2812">
      <c r="A2812" s="131">
        <f>IFERROR(__xludf.DUMMYFUNCTION("""COMPUTED_VALUE"""),46187.414722222224)</f>
        <v>46187.41472</v>
      </c>
      <c r="B2812" s="126">
        <f>IFERROR(__xludf.DUMMYFUNCTION("""COMPUTED_VALUE"""),46187.0)</f>
        <v>46187</v>
      </c>
      <c r="C2812" s="122" t="str">
        <f>IFERROR(__xludf.DUMMYFUNCTION("""COMPUTED_VALUE"""),"MEDX")</f>
        <v>MEDX</v>
      </c>
      <c r="D2812" s="122" t="str">
        <f>IFERROR(__xludf.DUMMYFUNCTION("""COMPUTED_VALUE"""),"MediCore")</f>
        <v>MediCore</v>
      </c>
      <c r="E2812" s="122">
        <f>IFERROR(__xludf.DUMMYFUNCTION("""COMPUTED_VALUE"""),137.87)</f>
        <v>137.87</v>
      </c>
      <c r="F2812" s="122">
        <f>IFERROR(__xludf.DUMMYFUNCTION("""COMPUTED_VALUE"""),0.002)</f>
        <v>0.002</v>
      </c>
    </row>
    <row r="2813">
      <c r="A2813" s="131">
        <f>IFERROR(__xludf.DUMMYFUNCTION("""COMPUTED_VALUE"""),46187.414722222224)</f>
        <v>46187.41472</v>
      </c>
      <c r="B2813" s="126">
        <f>IFERROR(__xludf.DUMMYFUNCTION("""COMPUTED_VALUE"""),46187.0)</f>
        <v>46187</v>
      </c>
      <c r="C2813" s="122" t="str">
        <f>IFERROR(__xludf.DUMMYFUNCTION("""COMPUTED_VALUE"""),"GYMX")</f>
        <v>GYMX</v>
      </c>
      <c r="D2813" s="122" t="str">
        <f>IFERROR(__xludf.DUMMYFUNCTION("""COMPUTED_VALUE"""),"GymX Fitness")</f>
        <v>GymX Fitness</v>
      </c>
      <c r="E2813" s="122">
        <f>IFERROR(__xludf.DUMMYFUNCTION("""COMPUTED_VALUE"""),85.13)</f>
        <v>85.13</v>
      </c>
      <c r="F2813" s="122">
        <f>IFERROR(__xludf.DUMMYFUNCTION("""COMPUTED_VALUE"""),-0.0027)</f>
        <v>-0.0027</v>
      </c>
    </row>
    <row r="2814">
      <c r="A2814" s="131">
        <f>IFERROR(__xludf.DUMMYFUNCTION("""COMPUTED_VALUE"""),46187.414722222224)</f>
        <v>46187.41472</v>
      </c>
      <c r="B2814" s="126">
        <f>IFERROR(__xludf.DUMMYFUNCTION("""COMPUTED_VALUE"""),46187.0)</f>
        <v>46187</v>
      </c>
      <c r="C2814" s="122" t="str">
        <f>IFERROR(__xludf.DUMMYFUNCTION("""COMPUTED_VALUE"""),"VITA")</f>
        <v>VITA</v>
      </c>
      <c r="D2814" s="122" t="str">
        <f>IFERROR(__xludf.DUMMYFUNCTION("""COMPUTED_VALUE"""),"VitaPlus")</f>
        <v>VitaPlus</v>
      </c>
      <c r="E2814" s="122">
        <f>IFERROR(__xludf.DUMMYFUNCTION("""COMPUTED_VALUE"""),74.76)</f>
        <v>74.76</v>
      </c>
      <c r="F2814" s="122">
        <f>IFERROR(__xludf.DUMMYFUNCTION("""COMPUTED_VALUE"""),0.0025)</f>
        <v>0.0025</v>
      </c>
    </row>
    <row r="2815">
      <c r="A2815" s="131">
        <f>IFERROR(__xludf.DUMMYFUNCTION("""COMPUTED_VALUE"""),46187.414722222224)</f>
        <v>46187.41472</v>
      </c>
      <c r="B2815" s="126">
        <f>IFERROR(__xludf.DUMMYFUNCTION("""COMPUTED_VALUE"""),46187.0)</f>
        <v>46187</v>
      </c>
      <c r="C2815" s="122" t="str">
        <f>IFERROR(__xludf.DUMMYFUNCTION("""COMPUTED_VALUE"""),"CARE")</f>
        <v>CARE</v>
      </c>
      <c r="D2815" s="122" t="str">
        <f>IFERROR(__xludf.DUMMYFUNCTION("""COMPUTED_VALUE"""),"CareCloud")</f>
        <v>CareCloud</v>
      </c>
      <c r="E2815" s="122">
        <f>IFERROR(__xludf.DUMMYFUNCTION("""COMPUTED_VALUE"""),179.22)</f>
        <v>179.22</v>
      </c>
      <c r="F2815" s="122">
        <f>IFERROR(__xludf.DUMMYFUNCTION("""COMPUTED_VALUE"""),-0.0033)</f>
        <v>-0.0033</v>
      </c>
    </row>
    <row r="2816">
      <c r="A2816" s="131">
        <f>IFERROR(__xludf.DUMMYFUNCTION("""COMPUTED_VALUE"""),46187.414722222224)</f>
        <v>46187.41472</v>
      </c>
      <c r="B2816" s="126">
        <f>IFERROR(__xludf.DUMMYFUNCTION("""COMPUTED_VALUE"""),46187.0)</f>
        <v>46187</v>
      </c>
      <c r="C2816" s="122" t="str">
        <f>IFERROR(__xludf.DUMMYFUNCTION("""COMPUTED_VALUE"""),"DENT")</f>
        <v>DENT</v>
      </c>
      <c r="D2816" s="122" t="str">
        <f>IFERROR(__xludf.DUMMYFUNCTION("""COMPUTED_VALUE"""),"SmileWorks")</f>
        <v>SmileWorks</v>
      </c>
      <c r="E2816" s="122">
        <f>IFERROR(__xludf.DUMMYFUNCTION("""COMPUTED_VALUE"""),82.41)</f>
        <v>82.41</v>
      </c>
      <c r="F2816" s="122">
        <f>IFERROR(__xludf.DUMMYFUNCTION("""COMPUTED_VALUE"""),5.0E-4)</f>
        <v>0.0005</v>
      </c>
    </row>
    <row r="2817">
      <c r="A2817" s="131">
        <f>IFERROR(__xludf.DUMMYFUNCTION("""COMPUTED_VALUE"""),46187.414722222224)</f>
        <v>46187.41472</v>
      </c>
      <c r="B2817" s="126">
        <f>IFERROR(__xludf.DUMMYFUNCTION("""COMPUTED_VALUE"""),46187.0)</f>
        <v>46187</v>
      </c>
      <c r="C2817" s="122" t="str">
        <f>IFERROR(__xludf.DUMMYFUNCTION("""COMPUTED_VALUE"""),"EDUX")</f>
        <v>EDUX</v>
      </c>
      <c r="D2817" s="122" t="str">
        <f>IFERROR(__xludf.DUMMYFUNCTION("""COMPUTED_VALUE"""),"EduMax Learning")</f>
        <v>EduMax Learning</v>
      </c>
      <c r="E2817" s="122">
        <f>IFERROR(__xludf.DUMMYFUNCTION("""COMPUTED_VALUE"""),134.59)</f>
        <v>134.59</v>
      </c>
      <c r="F2817" s="122">
        <f>IFERROR(__xludf.DUMMYFUNCTION("""COMPUTED_VALUE"""),0.0058)</f>
        <v>0.0058</v>
      </c>
    </row>
    <row r="2818">
      <c r="A2818" s="131">
        <f>IFERROR(__xludf.DUMMYFUNCTION("""COMPUTED_VALUE"""),46187.414722222224)</f>
        <v>46187.41472</v>
      </c>
      <c r="B2818" s="126">
        <f>IFERROR(__xludf.DUMMYFUNCTION("""COMPUTED_VALUE"""),46187.0)</f>
        <v>46187</v>
      </c>
      <c r="C2818" s="122" t="str">
        <f>IFERROR(__xludf.DUMMYFUNCTION("""COMPUTED_VALUE"""),"BOOK")</f>
        <v>BOOK</v>
      </c>
      <c r="D2818" s="122" t="str">
        <f>IFERROR(__xludf.DUMMYFUNCTION("""COMPUTED_VALUE"""),"BookBridge")</f>
        <v>BookBridge</v>
      </c>
      <c r="E2818" s="122">
        <f>IFERROR(__xludf.DUMMYFUNCTION("""COMPUTED_VALUE"""),115.28)</f>
        <v>115.28</v>
      </c>
      <c r="F2818" s="122">
        <f>IFERROR(__xludf.DUMMYFUNCTION("""COMPUTED_VALUE"""),-0.0024)</f>
        <v>-0.0024</v>
      </c>
    </row>
    <row r="2819">
      <c r="A2819" s="131">
        <f>IFERROR(__xludf.DUMMYFUNCTION("""COMPUTED_VALUE"""),46187.414722222224)</f>
        <v>46187.41472</v>
      </c>
      <c r="B2819" s="126">
        <f>IFERROR(__xludf.DUMMYFUNCTION("""COMPUTED_VALUE"""),46187.0)</f>
        <v>46187</v>
      </c>
      <c r="C2819" s="122" t="str">
        <f>IFERROR(__xludf.DUMMYFUNCTION("""COMPUTED_VALUE"""),"TUTR")</f>
        <v>TUTR</v>
      </c>
      <c r="D2819" s="122" t="str">
        <f>IFERROR(__xludf.DUMMYFUNCTION("""COMPUTED_VALUE"""),"TutorTown")</f>
        <v>TutorTown</v>
      </c>
      <c r="E2819" s="122">
        <f>IFERROR(__xludf.DUMMYFUNCTION("""COMPUTED_VALUE"""),89.95)</f>
        <v>89.95</v>
      </c>
      <c r="F2819" s="122">
        <f>IFERROR(__xludf.DUMMYFUNCTION("""COMPUTED_VALUE"""),0.0033)</f>
        <v>0.0033</v>
      </c>
    </row>
    <row r="2820">
      <c r="A2820" s="131">
        <f>IFERROR(__xludf.DUMMYFUNCTION("""COMPUTED_VALUE"""),46187.414722222224)</f>
        <v>46187.41472</v>
      </c>
      <c r="B2820" s="126">
        <f>IFERROR(__xludf.DUMMYFUNCTION("""COMPUTED_VALUE"""),46187.0)</f>
        <v>46187</v>
      </c>
      <c r="C2820" s="122" t="str">
        <f>IFERROR(__xludf.DUMMYFUNCTION("""COMPUTED_VALUE"""),"LANG")</f>
        <v>LANG</v>
      </c>
      <c r="D2820" s="122" t="str">
        <f>IFERROR(__xludf.DUMMYFUNCTION("""COMPUTED_VALUE"""),"LinguaLab")</f>
        <v>LinguaLab</v>
      </c>
      <c r="E2820" s="122">
        <f>IFERROR(__xludf.DUMMYFUNCTION("""COMPUTED_VALUE"""),98.05)</f>
        <v>98.05</v>
      </c>
      <c r="F2820" s="122">
        <f>IFERROR(__xludf.DUMMYFUNCTION("""COMPUTED_VALUE"""),0.0026)</f>
        <v>0.0026</v>
      </c>
    </row>
    <row r="2821">
      <c r="A2821" s="131">
        <f>IFERROR(__xludf.DUMMYFUNCTION("""COMPUTED_VALUE"""),46187.414722222224)</f>
        <v>46187.41472</v>
      </c>
      <c r="B2821" s="126">
        <f>IFERROR(__xludf.DUMMYFUNCTION("""COMPUTED_VALUE"""),46187.0)</f>
        <v>46187</v>
      </c>
      <c r="C2821" s="122" t="str">
        <f>IFERROR(__xludf.DUMMYFUNCTION("""COMPUTED_VALUE"""),"TEST")</f>
        <v>TEST</v>
      </c>
      <c r="D2821" s="122" t="str">
        <f>IFERROR(__xludf.DUMMYFUNCTION("""COMPUTED_VALUE"""),"TestPrep Pro")</f>
        <v>TestPrep Pro</v>
      </c>
      <c r="E2821" s="122">
        <f>IFERROR(__xludf.DUMMYFUNCTION("""COMPUTED_VALUE"""),100.59)</f>
        <v>100.59</v>
      </c>
      <c r="F2821" s="122">
        <f>IFERROR(__xludf.DUMMYFUNCTION("""COMPUTED_VALUE"""),0.0032)</f>
        <v>0.0032</v>
      </c>
    </row>
    <row r="2822">
      <c r="A2822" s="131">
        <f>IFERROR(__xludf.DUMMYFUNCTION("""COMPUTED_VALUE"""),46187.414722222224)</f>
        <v>46187.41472</v>
      </c>
      <c r="B2822" s="126">
        <f>IFERROR(__xludf.DUMMYFUNCTION("""COMPUTED_VALUE"""),46187.0)</f>
        <v>46187</v>
      </c>
      <c r="C2822" s="122" t="str">
        <f>IFERROR(__xludf.DUMMYFUNCTION("""COMPUTED_VALUE"""),"MOVI")</f>
        <v>MOVI</v>
      </c>
      <c r="D2822" s="122" t="str">
        <f>IFERROR(__xludf.DUMMYFUNCTION("""COMPUTED_VALUE"""),"MovieBox")</f>
        <v>MovieBox</v>
      </c>
      <c r="E2822" s="122">
        <f>IFERROR(__xludf.DUMMYFUNCTION("""COMPUTED_VALUE"""),80.32)</f>
        <v>80.32</v>
      </c>
      <c r="F2822" s="122">
        <f>IFERROR(__xludf.DUMMYFUNCTION("""COMPUTED_VALUE"""),-0.0022)</f>
        <v>-0.0022</v>
      </c>
    </row>
    <row r="2823">
      <c r="A2823" s="131">
        <f>IFERROR(__xludf.DUMMYFUNCTION("""COMPUTED_VALUE"""),46187.414722222224)</f>
        <v>46187.41472</v>
      </c>
      <c r="B2823" s="126">
        <f>IFERROR(__xludf.DUMMYFUNCTION("""COMPUTED_VALUE"""),46187.0)</f>
        <v>46187</v>
      </c>
      <c r="C2823" s="122" t="str">
        <f>IFERROR(__xludf.DUMMYFUNCTION("""COMPUTED_VALUE"""),"MUSC")</f>
        <v>MUSC</v>
      </c>
      <c r="D2823" s="122" t="str">
        <f>IFERROR(__xludf.DUMMYFUNCTION("""COMPUTED_VALUE"""),"MusicWave")</f>
        <v>MusicWave</v>
      </c>
      <c r="E2823" s="122">
        <f>IFERROR(__xludf.DUMMYFUNCTION("""COMPUTED_VALUE"""),97.38)</f>
        <v>97.38</v>
      </c>
      <c r="F2823" s="122">
        <f>IFERROR(__xludf.DUMMYFUNCTION("""COMPUTED_VALUE"""),0.0016)</f>
        <v>0.0016</v>
      </c>
    </row>
    <row r="2824">
      <c r="A2824" s="131">
        <f>IFERROR(__xludf.DUMMYFUNCTION("""COMPUTED_VALUE"""),46187.414722222224)</f>
        <v>46187.41472</v>
      </c>
      <c r="B2824" s="126">
        <f>IFERROR(__xludf.DUMMYFUNCTION("""COMPUTED_VALUE"""),46187.0)</f>
        <v>46187</v>
      </c>
      <c r="C2824" s="122" t="str">
        <f>IFERROR(__xludf.DUMMYFUNCTION("""COMPUTED_VALUE"""),"IDOL")</f>
        <v>IDOL</v>
      </c>
      <c r="D2824" s="122" t="str">
        <f>IFERROR(__xludf.DUMMYFUNCTION("""COMPUTED_VALUE"""),"Idol Agency")</f>
        <v>Idol Agency</v>
      </c>
      <c r="E2824" s="122">
        <f>IFERROR(__xludf.DUMMYFUNCTION("""COMPUTED_VALUE"""),197.1)</f>
        <v>197.1</v>
      </c>
      <c r="F2824" s="122">
        <f>IFERROR(__xludf.DUMMYFUNCTION("""COMPUTED_VALUE"""),0.0068)</f>
        <v>0.0068</v>
      </c>
    </row>
    <row r="2825">
      <c r="A2825" s="131">
        <f>IFERROR(__xludf.DUMMYFUNCTION("""COMPUTED_VALUE"""),46187.414722222224)</f>
        <v>46187.41472</v>
      </c>
      <c r="B2825" s="126">
        <f>IFERROR(__xludf.DUMMYFUNCTION("""COMPUTED_VALUE"""),46187.0)</f>
        <v>46187</v>
      </c>
      <c r="C2825" s="122" t="str">
        <f>IFERROR(__xludf.DUMMYFUNCTION("""COMPUTED_VALUE"""),"MEME")</f>
        <v>MEME</v>
      </c>
      <c r="D2825" s="122" t="str">
        <f>IFERROR(__xludf.DUMMYFUNCTION("""COMPUTED_VALUE"""),"Meme Media")</f>
        <v>Meme Media</v>
      </c>
      <c r="E2825" s="122">
        <f>IFERROR(__xludf.DUMMYFUNCTION("""COMPUTED_VALUE"""),77.04)</f>
        <v>77.04</v>
      </c>
      <c r="F2825" s="122">
        <f>IFERROR(__xludf.DUMMYFUNCTION("""COMPUTED_VALUE"""),-0.0057)</f>
        <v>-0.0057</v>
      </c>
    </row>
    <row r="2826">
      <c r="A2826" s="131">
        <f>IFERROR(__xludf.DUMMYFUNCTION("""COMPUTED_VALUE"""),46187.414722222224)</f>
        <v>46187.41472</v>
      </c>
      <c r="B2826" s="126">
        <f>IFERROR(__xludf.DUMMYFUNCTION("""COMPUTED_VALUE"""),46187.0)</f>
        <v>46187</v>
      </c>
      <c r="C2826" s="122" t="str">
        <f>IFERROR(__xludf.DUMMYFUNCTION("""COMPUTED_VALUE"""),"STRM")</f>
        <v>STRM</v>
      </c>
      <c r="D2826" s="122" t="str">
        <f>IFERROR(__xludf.DUMMYFUNCTION("""COMPUTED_VALUE"""),"Streamly")</f>
        <v>Streamly</v>
      </c>
      <c r="E2826" s="122">
        <f>IFERROR(__xludf.DUMMYFUNCTION("""COMPUTED_VALUE"""),139.19)</f>
        <v>139.19</v>
      </c>
      <c r="F2826" s="122">
        <f>IFERROR(__xludf.DUMMYFUNCTION("""COMPUTED_VALUE"""),0.0051)</f>
        <v>0.0051</v>
      </c>
    </row>
    <row r="2827">
      <c r="A2827" s="131">
        <f>IFERROR(__xludf.DUMMYFUNCTION("""COMPUTED_VALUE"""),46187.414722222224)</f>
        <v>46187.41472</v>
      </c>
      <c r="B2827" s="126">
        <f>IFERROR(__xludf.DUMMYFUNCTION("""COMPUTED_VALUE"""),46187.0)</f>
        <v>46187</v>
      </c>
      <c r="C2827" s="122" t="str">
        <f>IFERROR(__xludf.DUMMYFUNCTION("""COMPUTED_VALUE"""),"FARM")</f>
        <v>FARM</v>
      </c>
      <c r="D2827" s="122" t="str">
        <f>IFERROR(__xludf.DUMMYFUNCTION("""COMPUTED_VALUE"""),"Future Farms")</f>
        <v>Future Farms</v>
      </c>
      <c r="E2827" s="122">
        <f>IFERROR(__xludf.DUMMYFUNCTION("""COMPUTED_VALUE"""),83.75)</f>
        <v>83.75</v>
      </c>
      <c r="F2827" s="122">
        <f>IFERROR(__xludf.DUMMYFUNCTION("""COMPUTED_VALUE"""),0.001)</f>
        <v>0.001</v>
      </c>
    </row>
    <row r="2828">
      <c r="A2828" s="131">
        <f>IFERROR(__xludf.DUMMYFUNCTION("""COMPUTED_VALUE"""),46187.414722222224)</f>
        <v>46187.41472</v>
      </c>
      <c r="B2828" s="126">
        <f>IFERROR(__xludf.DUMMYFUNCTION("""COMPUTED_VALUE"""),46187.0)</f>
        <v>46187</v>
      </c>
      <c r="C2828" s="122" t="str">
        <f>IFERROR(__xludf.DUMMYFUNCTION("""COMPUTED_VALUE"""),"MEAT")</f>
        <v>MEAT</v>
      </c>
      <c r="D2828" s="122" t="str">
        <f>IFERROR(__xludf.DUMMYFUNCTION("""COMPUTED_VALUE"""),"MeatWorks")</f>
        <v>MeatWorks</v>
      </c>
      <c r="E2828" s="122">
        <f>IFERROR(__xludf.DUMMYFUNCTION("""COMPUTED_VALUE"""),102.91)</f>
        <v>102.91</v>
      </c>
      <c r="F2828" s="122">
        <f>IFERROR(__xludf.DUMMYFUNCTION("""COMPUTED_VALUE"""),0.0049)</f>
        <v>0.0049</v>
      </c>
    </row>
    <row r="2829">
      <c r="A2829" s="131">
        <f>IFERROR(__xludf.DUMMYFUNCTION("""COMPUTED_VALUE"""),46187.414722222224)</f>
        <v>46187.41472</v>
      </c>
      <c r="B2829" s="126">
        <f>IFERROR(__xludf.DUMMYFUNCTION("""COMPUTED_VALUE"""),46187.0)</f>
        <v>46187</v>
      </c>
      <c r="C2829" s="122" t="str">
        <f>IFERROR(__xludf.DUMMYFUNCTION("""COMPUTED_VALUE"""),"VEGI")</f>
        <v>VEGI</v>
      </c>
      <c r="D2829" s="122" t="str">
        <f>IFERROR(__xludf.DUMMYFUNCTION("""COMPUTED_VALUE"""),"Green Basket")</f>
        <v>Green Basket</v>
      </c>
      <c r="E2829" s="122">
        <f>IFERROR(__xludf.DUMMYFUNCTION("""COMPUTED_VALUE"""),81.9)</f>
        <v>81.9</v>
      </c>
      <c r="F2829" s="122">
        <f>IFERROR(__xludf.DUMMYFUNCTION("""COMPUTED_VALUE"""),-0.0023)</f>
        <v>-0.0023</v>
      </c>
    </row>
    <row r="2830">
      <c r="A2830" s="131">
        <f>IFERROR(__xludf.DUMMYFUNCTION("""COMPUTED_VALUE"""),46187.414722222224)</f>
        <v>46187.41472</v>
      </c>
      <c r="B2830" s="126">
        <f>IFERROR(__xludf.DUMMYFUNCTION("""COMPUTED_VALUE"""),46187.0)</f>
        <v>46187</v>
      </c>
      <c r="C2830" s="122" t="str">
        <f>IFERROR(__xludf.DUMMYFUNCTION("""COMPUTED_VALUE"""),"CAFE")</f>
        <v>CAFE</v>
      </c>
      <c r="D2830" s="122" t="str">
        <f>IFERROR(__xludf.DUMMYFUNCTION("""COMPUTED_VALUE"""),"Cafe Cloud")</f>
        <v>Cafe Cloud</v>
      </c>
      <c r="E2830" s="122">
        <f>IFERROR(__xludf.DUMMYFUNCTION("""COMPUTED_VALUE"""),99.64)</f>
        <v>99.64</v>
      </c>
      <c r="F2830" s="122">
        <f>IFERROR(__xludf.DUMMYFUNCTION("""COMPUTED_VALUE"""),0.0107)</f>
        <v>0.0107</v>
      </c>
    </row>
    <row r="2831">
      <c r="A2831" s="131">
        <f>IFERROR(__xludf.DUMMYFUNCTION("""COMPUTED_VALUE"""),46187.414722222224)</f>
        <v>46187.41472</v>
      </c>
      <c r="B2831" s="126">
        <f>IFERROR(__xludf.DUMMYFUNCTION("""COMPUTED_VALUE"""),46187.0)</f>
        <v>46187</v>
      </c>
      <c r="C2831" s="122" t="str">
        <f>IFERROR(__xludf.DUMMYFUNCTION("""COMPUTED_VALUE"""),"BAKE")</f>
        <v>BAKE</v>
      </c>
      <c r="D2831" s="122" t="str">
        <f>IFERROR(__xludf.DUMMYFUNCTION("""COMPUTED_VALUE"""),"BakeHouse")</f>
        <v>BakeHouse</v>
      </c>
      <c r="E2831" s="122">
        <f>IFERROR(__xludf.DUMMYFUNCTION("""COMPUTED_VALUE"""),99.62)</f>
        <v>99.62</v>
      </c>
      <c r="F2831" s="122">
        <f>IFERROR(__xludf.DUMMYFUNCTION("""COMPUTED_VALUE"""),6.0E-4)</f>
        <v>0.0006</v>
      </c>
    </row>
    <row r="2832">
      <c r="A2832" s="131">
        <f>IFERROR(__xludf.DUMMYFUNCTION("""COMPUTED_VALUE"""),46187.414722222224)</f>
        <v>46187.41472</v>
      </c>
      <c r="B2832" s="126">
        <f>IFERROR(__xludf.DUMMYFUNCTION("""COMPUTED_VALUE"""),46187.0)</f>
        <v>46187</v>
      </c>
      <c r="C2832" s="122" t="str">
        <f>IFERROR(__xludf.DUMMYFUNCTION("""COMPUTED_VALUE"""),"OILX")</f>
        <v>OILX</v>
      </c>
      <c r="D2832" s="122" t="str">
        <f>IFERROR(__xludf.DUMMYFUNCTION("""COMPUTED_VALUE"""),"OilMax Energy")</f>
        <v>OilMax Energy</v>
      </c>
      <c r="E2832" s="122">
        <f>IFERROR(__xludf.DUMMYFUNCTION("""COMPUTED_VALUE"""),131.45)</f>
        <v>131.45</v>
      </c>
      <c r="F2832" s="122">
        <f>IFERROR(__xludf.DUMMYFUNCTION("""COMPUTED_VALUE"""),0.0021)</f>
        <v>0.0021</v>
      </c>
    </row>
    <row r="2833">
      <c r="A2833" s="131">
        <f>IFERROR(__xludf.DUMMYFUNCTION("""COMPUTED_VALUE"""),46187.414722222224)</f>
        <v>46187.41472</v>
      </c>
      <c r="B2833" s="126">
        <f>IFERROR(__xludf.DUMMYFUNCTION("""COMPUTED_VALUE"""),46187.0)</f>
        <v>46187</v>
      </c>
      <c r="C2833" s="122" t="str">
        <f>IFERROR(__xludf.DUMMYFUNCTION("""COMPUTED_VALUE"""),"SOLR")</f>
        <v>SOLR</v>
      </c>
      <c r="D2833" s="122" t="str">
        <f>IFERROR(__xludf.DUMMYFUNCTION("""COMPUTED_VALUE"""),"SolarSpark")</f>
        <v>SolarSpark</v>
      </c>
      <c r="E2833" s="122">
        <f>IFERROR(__xludf.DUMMYFUNCTION("""COMPUTED_VALUE"""),88.28)</f>
        <v>88.28</v>
      </c>
      <c r="F2833" s="122">
        <f>IFERROR(__xludf.DUMMYFUNCTION("""COMPUTED_VALUE"""),-0.0047)</f>
        <v>-0.0047</v>
      </c>
    </row>
    <row r="2834">
      <c r="A2834" s="131">
        <f>IFERROR(__xludf.DUMMYFUNCTION("""COMPUTED_VALUE"""),46187.414722222224)</f>
        <v>46187.41472</v>
      </c>
      <c r="B2834" s="126">
        <f>IFERROR(__xludf.DUMMYFUNCTION("""COMPUTED_VALUE"""),46187.0)</f>
        <v>46187</v>
      </c>
      <c r="C2834" s="122" t="str">
        <f>IFERROR(__xludf.DUMMYFUNCTION("""COMPUTED_VALUE"""),"BATT")</f>
        <v>BATT</v>
      </c>
      <c r="D2834" s="122" t="str">
        <f>IFERROR(__xludf.DUMMYFUNCTION("""COMPUTED_VALUE"""),"BatteryBox")</f>
        <v>BatteryBox</v>
      </c>
      <c r="E2834" s="122">
        <f>IFERROR(__xludf.DUMMYFUNCTION("""COMPUTED_VALUE"""),121.36)</f>
        <v>121.36</v>
      </c>
      <c r="F2834" s="122">
        <f>IFERROR(__xludf.DUMMYFUNCTION("""COMPUTED_VALUE"""),0.0019)</f>
        <v>0.0019</v>
      </c>
    </row>
    <row r="2835">
      <c r="A2835" s="131">
        <f>IFERROR(__xludf.DUMMYFUNCTION("""COMPUTED_VALUE"""),46187.414722222224)</f>
        <v>46187.41472</v>
      </c>
      <c r="B2835" s="126">
        <f>IFERROR(__xludf.DUMMYFUNCTION("""COMPUTED_VALUE"""),46187.0)</f>
        <v>46187</v>
      </c>
      <c r="C2835" s="122" t="str">
        <f>IFERROR(__xludf.DUMMYFUNCTION("""COMPUTED_VALUE"""),"WIND")</f>
        <v>WIND</v>
      </c>
      <c r="D2835" s="122" t="str">
        <f>IFERROR(__xludf.DUMMYFUNCTION("""COMPUTED_VALUE"""),"WindWorks")</f>
        <v>WindWorks</v>
      </c>
      <c r="E2835" s="122">
        <f>IFERROR(__xludf.DUMMYFUNCTION("""COMPUTED_VALUE"""),88.15)</f>
        <v>88.15</v>
      </c>
      <c r="F2835" s="122">
        <f>IFERROR(__xludf.DUMMYFUNCTION("""COMPUTED_VALUE"""),0.003)</f>
        <v>0.003</v>
      </c>
    </row>
    <row r="2836">
      <c r="A2836" s="131">
        <f>IFERROR(__xludf.DUMMYFUNCTION("""COMPUTED_VALUE"""),46187.414722222224)</f>
        <v>46187.41472</v>
      </c>
      <c r="B2836" s="126">
        <f>IFERROR(__xludf.DUMMYFUNCTION("""COMPUTED_VALUE"""),46187.0)</f>
        <v>46187</v>
      </c>
      <c r="C2836" s="122" t="str">
        <f>IFERROR(__xludf.DUMMYFUNCTION("""COMPUTED_VALUE"""),"GRID")</f>
        <v>GRID</v>
      </c>
      <c r="D2836" s="122" t="str">
        <f>IFERROR(__xludf.DUMMYFUNCTION("""COMPUTED_VALUE"""),"GridPower")</f>
        <v>GridPower</v>
      </c>
      <c r="E2836" s="122">
        <f>IFERROR(__xludf.DUMMYFUNCTION("""COMPUTED_VALUE"""),142.73)</f>
        <v>142.73</v>
      </c>
      <c r="F2836" s="122">
        <f>IFERROR(__xludf.DUMMYFUNCTION("""COMPUTED_VALUE"""),-0.0058)</f>
        <v>-0.0058</v>
      </c>
    </row>
    <row r="2837">
      <c r="A2837" s="131">
        <f>IFERROR(__xludf.DUMMYFUNCTION("""COMPUTED_VALUE"""),46187.414722222224)</f>
        <v>46187.41472</v>
      </c>
      <c r="B2837" s="126">
        <f>IFERROR(__xludf.DUMMYFUNCTION("""COMPUTED_VALUE"""),46187.0)</f>
        <v>46187</v>
      </c>
      <c r="C2837" s="122" t="str">
        <f>IFERROR(__xludf.DUMMYFUNCTION("""COMPUTED_VALUE"""),"HOME")</f>
        <v>HOME</v>
      </c>
      <c r="D2837" s="122" t="str">
        <f>IFERROR(__xludf.DUMMYFUNCTION("""COMPUTED_VALUE"""),"HomeHub")</f>
        <v>HomeHub</v>
      </c>
      <c r="E2837" s="122">
        <f>IFERROR(__xludf.DUMMYFUNCTION("""COMPUTED_VALUE"""),148.63)</f>
        <v>148.63</v>
      </c>
      <c r="F2837" s="122">
        <f>IFERROR(__xludf.DUMMYFUNCTION("""COMPUTED_VALUE"""),1.0E-4)</f>
        <v>0.0001</v>
      </c>
    </row>
    <row r="2838">
      <c r="A2838" s="131">
        <f>IFERROR(__xludf.DUMMYFUNCTION("""COMPUTED_VALUE"""),46187.414722222224)</f>
        <v>46187.41472</v>
      </c>
      <c r="B2838" s="126">
        <f>IFERROR(__xludf.DUMMYFUNCTION("""COMPUTED_VALUE"""),46187.0)</f>
        <v>46187</v>
      </c>
      <c r="C2838" s="122" t="str">
        <f>IFERROR(__xludf.DUMMYFUNCTION("""COMPUTED_VALUE"""),"RENT")</f>
        <v>RENT</v>
      </c>
      <c r="D2838" s="122" t="str">
        <f>IFERROR(__xludf.DUMMYFUNCTION("""COMPUTED_VALUE"""),"RentRight")</f>
        <v>RentRight</v>
      </c>
      <c r="E2838" s="122">
        <f>IFERROR(__xludf.DUMMYFUNCTION("""COMPUTED_VALUE"""),91.08)</f>
        <v>91.08</v>
      </c>
      <c r="F2838" s="122">
        <f>IFERROR(__xludf.DUMMYFUNCTION("""COMPUTED_VALUE"""),-0.0054)</f>
        <v>-0.0054</v>
      </c>
    </row>
    <row r="2839">
      <c r="A2839" s="131">
        <f>IFERROR(__xludf.DUMMYFUNCTION("""COMPUTED_VALUE"""),46187.414722222224)</f>
        <v>46187.41472</v>
      </c>
      <c r="B2839" s="126">
        <f>IFERROR(__xludf.DUMMYFUNCTION("""COMPUTED_VALUE"""),46187.0)</f>
        <v>46187</v>
      </c>
      <c r="C2839" s="122" t="str">
        <f>IFERROR(__xludf.DUMMYFUNCTION("""COMPUTED_VALUE"""),"MALL")</f>
        <v>MALL</v>
      </c>
      <c r="D2839" s="122" t="str">
        <f>IFERROR(__xludf.DUMMYFUNCTION("""COMPUTED_VALUE"""),"MegaMall")</f>
        <v>MegaMall</v>
      </c>
      <c r="E2839" s="122">
        <f>IFERROR(__xludf.DUMMYFUNCTION("""COMPUTED_VALUE"""),99.68)</f>
        <v>99.68</v>
      </c>
      <c r="F2839" s="122">
        <f>IFERROR(__xludf.DUMMYFUNCTION("""COMPUTED_VALUE"""),-0.0023)</f>
        <v>-0.0023</v>
      </c>
    </row>
    <row r="2840">
      <c r="A2840" s="131">
        <f>IFERROR(__xludf.DUMMYFUNCTION("""COMPUTED_VALUE"""),46187.414722222224)</f>
        <v>46187.41472</v>
      </c>
      <c r="B2840" s="126">
        <f>IFERROR(__xludf.DUMMYFUNCTION("""COMPUTED_VALUE"""),46187.0)</f>
        <v>46187</v>
      </c>
      <c r="C2840" s="122" t="str">
        <f>IFERROR(__xludf.DUMMYFUNCTION("""COMPUTED_VALUE"""),"HOTL")</f>
        <v>HOTL</v>
      </c>
      <c r="D2840" s="122" t="str">
        <f>IFERROR(__xludf.DUMMYFUNCTION("""COMPUTED_VALUE"""),"HotelHive")</f>
        <v>HotelHive</v>
      </c>
      <c r="E2840" s="122">
        <f>IFERROR(__xludf.DUMMYFUNCTION("""COMPUTED_VALUE"""),132.62)</f>
        <v>132.62</v>
      </c>
      <c r="F2840" s="122">
        <f>IFERROR(__xludf.DUMMYFUNCTION("""COMPUTED_VALUE"""),0.0031)</f>
        <v>0.0031</v>
      </c>
    </row>
    <row r="2841">
      <c r="A2841" s="131">
        <f>IFERROR(__xludf.DUMMYFUNCTION("""COMPUTED_VALUE"""),46187.414722222224)</f>
        <v>46187.41472</v>
      </c>
      <c r="B2841" s="126">
        <f>IFERROR(__xludf.DUMMYFUNCTION("""COMPUTED_VALUE"""),46187.0)</f>
        <v>46187</v>
      </c>
      <c r="C2841" s="122" t="str">
        <f>IFERROR(__xludf.DUMMYFUNCTION("""COMPUTED_VALUE"""),"LAND")</f>
        <v>LAND</v>
      </c>
      <c r="D2841" s="122" t="str">
        <f>IFERROR(__xludf.DUMMYFUNCTION("""COMPUTED_VALUE"""),"LandLink")</f>
        <v>LandLink</v>
      </c>
      <c r="E2841" s="122">
        <f>IFERROR(__xludf.DUMMYFUNCTION("""COMPUTED_VALUE"""),182.94)</f>
        <v>182.94</v>
      </c>
      <c r="F2841" s="122">
        <f>IFERROR(__xludf.DUMMYFUNCTION("""COMPUTED_VALUE"""),0.004)</f>
        <v>0.004</v>
      </c>
    </row>
    <row r="2842">
      <c r="A2842" s="131">
        <f>IFERROR(__xludf.DUMMYFUNCTION("""COMPUTED_VALUE"""),46187.414722222224)</f>
        <v>46187.41472</v>
      </c>
      <c r="B2842" s="126">
        <f>IFERROR(__xludf.DUMMYFUNCTION("""COMPUTED_VALUE"""),46187.0)</f>
        <v>46187</v>
      </c>
      <c r="C2842" s="122" t="str">
        <f>IFERROR(__xludf.DUMMYFUNCTION("""COMPUTED_VALUE"""),"CARS")</f>
        <v>CARS</v>
      </c>
      <c r="D2842" s="122" t="str">
        <f>IFERROR(__xludf.DUMMYFUNCTION("""COMPUTED_VALUE"""),"AutoArena")</f>
        <v>AutoArena</v>
      </c>
      <c r="E2842" s="122">
        <f>IFERROR(__xludf.DUMMYFUNCTION("""COMPUTED_VALUE"""),79.83)</f>
        <v>79.83</v>
      </c>
      <c r="F2842" s="122">
        <f>IFERROR(__xludf.DUMMYFUNCTION("""COMPUTED_VALUE"""),0.0101)</f>
        <v>0.0101</v>
      </c>
    </row>
    <row r="2843">
      <c r="A2843" s="131">
        <f>IFERROR(__xludf.DUMMYFUNCTION("""COMPUTED_VALUE"""),46187.414722222224)</f>
        <v>46187.41472</v>
      </c>
      <c r="B2843" s="126">
        <f>IFERROR(__xludf.DUMMYFUNCTION("""COMPUTED_VALUE"""),46187.0)</f>
        <v>46187</v>
      </c>
      <c r="C2843" s="122" t="str">
        <f>IFERROR(__xludf.DUMMYFUNCTION("""COMPUTED_VALUE"""),"EVGO")</f>
        <v>EVGO</v>
      </c>
      <c r="D2843" s="122" t="str">
        <f>IFERROR(__xludf.DUMMYFUNCTION("""COMPUTED_VALUE"""),"EVGo Motors")</f>
        <v>EVGo Motors</v>
      </c>
      <c r="E2843" s="122">
        <f>IFERROR(__xludf.DUMMYFUNCTION("""COMPUTED_VALUE"""),190.12)</f>
        <v>190.12</v>
      </c>
      <c r="F2843" s="122">
        <f>IFERROR(__xludf.DUMMYFUNCTION("""COMPUTED_VALUE"""),-0.0041)</f>
        <v>-0.0041</v>
      </c>
    </row>
    <row r="2844">
      <c r="A2844" s="131">
        <f>IFERROR(__xludf.DUMMYFUNCTION("""COMPUTED_VALUE"""),46187.414722222224)</f>
        <v>46187.41472</v>
      </c>
      <c r="B2844" s="126">
        <f>IFERROR(__xludf.DUMMYFUNCTION("""COMPUTED_VALUE"""),46187.0)</f>
        <v>46187</v>
      </c>
      <c r="C2844" s="122" t="str">
        <f>IFERROR(__xludf.DUMMYFUNCTION("""COMPUTED_VALUE"""),"TIRE")</f>
        <v>TIRE</v>
      </c>
      <c r="D2844" s="122" t="str">
        <f>IFERROR(__xludf.DUMMYFUNCTION("""COMPUTED_VALUE"""),"TireTown")</f>
        <v>TireTown</v>
      </c>
      <c r="E2844" s="122">
        <f>IFERROR(__xludf.DUMMYFUNCTION("""COMPUTED_VALUE"""),92.97)</f>
        <v>92.97</v>
      </c>
      <c r="F2844" s="122">
        <f>IFERROR(__xludf.DUMMYFUNCTION("""COMPUTED_VALUE"""),0.0012)</f>
        <v>0.0012</v>
      </c>
    </row>
    <row r="2845">
      <c r="A2845" s="131">
        <f>IFERROR(__xludf.DUMMYFUNCTION("""COMPUTED_VALUE"""),46187.414722222224)</f>
        <v>46187.41472</v>
      </c>
      <c r="B2845" s="126">
        <f>IFERROR(__xludf.DUMMYFUNCTION("""COMPUTED_VALUE"""),46187.0)</f>
        <v>46187</v>
      </c>
      <c r="C2845" s="122" t="str">
        <f>IFERROR(__xludf.DUMMYFUNCTION("""COMPUTED_VALUE"""),"BIKE")</f>
        <v>BIKE</v>
      </c>
      <c r="D2845" s="122" t="str">
        <f>IFERROR(__xludf.DUMMYFUNCTION("""COMPUTED_VALUE"""),"BikeBox")</f>
        <v>BikeBox</v>
      </c>
      <c r="E2845" s="122">
        <f>IFERROR(__xludf.DUMMYFUNCTION("""COMPUTED_VALUE"""),54.15)</f>
        <v>54.15</v>
      </c>
      <c r="F2845" s="122">
        <f>IFERROR(__xludf.DUMMYFUNCTION("""COMPUTED_VALUE"""),0.0037)</f>
        <v>0.0037</v>
      </c>
    </row>
    <row r="2846">
      <c r="A2846" s="131">
        <f>IFERROR(__xludf.DUMMYFUNCTION("""COMPUTED_VALUE"""),46187.414722222224)</f>
        <v>46187.41472</v>
      </c>
      <c r="B2846" s="126">
        <f>IFERROR(__xludf.DUMMYFUNCTION("""COMPUTED_VALUE"""),46187.0)</f>
        <v>46187</v>
      </c>
      <c r="C2846" s="122" t="str">
        <f>IFERROR(__xludf.DUMMYFUNCTION("""COMPUTED_VALUE"""),"WASH")</f>
        <v>WASH</v>
      </c>
      <c r="D2846" s="122" t="str">
        <f>IFERROR(__xludf.DUMMYFUNCTION("""COMPUTED_VALUE"""),"CarWash Co")</f>
        <v>CarWash Co</v>
      </c>
      <c r="E2846" s="122">
        <f>IFERROR(__xludf.DUMMYFUNCTION("""COMPUTED_VALUE"""),120.74)</f>
        <v>120.74</v>
      </c>
      <c r="F2846" s="122">
        <f>IFERROR(__xludf.DUMMYFUNCTION("""COMPUTED_VALUE"""),-0.0034)</f>
        <v>-0.0034</v>
      </c>
    </row>
    <row r="2847">
      <c r="A2847" s="131">
        <f>IFERROR(__xludf.DUMMYFUNCTION("""COMPUTED_VALUE"""),46187.414722222224)</f>
        <v>46187.41472</v>
      </c>
      <c r="B2847" s="126">
        <f>IFERROR(__xludf.DUMMYFUNCTION("""COMPUTED_VALUE"""),46187.0)</f>
        <v>46187</v>
      </c>
      <c r="C2847" s="122" t="str">
        <f>IFERROR(__xludf.DUMMYFUNCTION("""COMPUTED_VALUE"""),"GBND")</f>
        <v>GBND</v>
      </c>
      <c r="D2847" s="122" t="str">
        <f>IFERROR(__xludf.DUMMYFUNCTION("""COMPUTED_VALUE"""),"Classroom Government Bond")</f>
        <v>Classroom Government Bond</v>
      </c>
      <c r="E2847" s="122">
        <f>IFERROR(__xludf.DUMMYFUNCTION("""COMPUTED_VALUE"""),100.96)</f>
        <v>100.96</v>
      </c>
      <c r="F2847" s="122">
        <f>IFERROR(__xludf.DUMMYFUNCTION("""COMPUTED_VALUE"""),-3.0E-4)</f>
        <v>-0.0003</v>
      </c>
    </row>
    <row r="2848">
      <c r="A2848" s="131">
        <f>IFERROR(__xludf.DUMMYFUNCTION("""COMPUTED_VALUE"""),46187.414722222224)</f>
        <v>46187.41472</v>
      </c>
      <c r="B2848" s="126">
        <f>IFERROR(__xludf.DUMMYFUNCTION("""COMPUTED_VALUE"""),46187.0)</f>
        <v>46187</v>
      </c>
      <c r="C2848" s="122" t="str">
        <f>IFERROR(__xludf.DUMMYFUNCTION("""COMPUTED_VALUE"""),"SBND")</f>
        <v>SBND</v>
      </c>
      <c r="D2848" s="122" t="str">
        <f>IFERROR(__xludf.DUMMYFUNCTION("""COMPUTED_VALUE"""),"School Savings Bond")</f>
        <v>School Savings Bond</v>
      </c>
      <c r="E2848" s="122">
        <f>IFERROR(__xludf.DUMMYFUNCTION("""COMPUTED_VALUE"""),99.64)</f>
        <v>99.64</v>
      </c>
      <c r="F2848" s="122">
        <f>IFERROR(__xludf.DUMMYFUNCTION("""COMPUTED_VALUE"""),1.0E-4)</f>
        <v>0.0001</v>
      </c>
    </row>
    <row r="2849">
      <c r="A2849" s="131">
        <f>IFERROR(__xludf.DUMMYFUNCTION("""COMPUTED_VALUE"""),46187.414722222224)</f>
        <v>46187.41472</v>
      </c>
      <c r="B2849" s="126">
        <f>IFERROR(__xludf.DUMMYFUNCTION("""COMPUTED_VALUE"""),46187.0)</f>
        <v>46187</v>
      </c>
      <c r="C2849" s="122" t="str">
        <f>IFERROR(__xludf.DUMMYFUNCTION("""COMPUTED_VALUE"""),"CBND")</f>
        <v>CBND</v>
      </c>
      <c r="D2849" s="122" t="str">
        <f>IFERROR(__xludf.DUMMYFUNCTION("""COMPUTED_VALUE"""),"Corporate Classroom Bond")</f>
        <v>Corporate Classroom Bond</v>
      </c>
      <c r="E2849" s="122">
        <f>IFERROR(__xludf.DUMMYFUNCTION("""COMPUTED_VALUE"""),97.64)</f>
        <v>97.64</v>
      </c>
      <c r="F2849" s="122">
        <f>IFERROR(__xludf.DUMMYFUNCTION("""COMPUTED_VALUE"""),1.0E-4)</f>
        <v>0.0001</v>
      </c>
    </row>
    <row r="2850">
      <c r="A2850" s="131">
        <f>IFERROR(__xludf.DUMMYFUNCTION("""COMPUTED_VALUE"""),46187.414722222224)</f>
        <v>46187.41472</v>
      </c>
      <c r="B2850" s="126">
        <f>IFERROR(__xludf.DUMMYFUNCTION("""COMPUTED_VALUE"""),46187.0)</f>
        <v>46187</v>
      </c>
      <c r="C2850" s="122" t="str">
        <f>IFERROR(__xludf.DUMMYFUNCTION("""COMPUTED_VALUE"""),"TBIL")</f>
        <v>TBIL</v>
      </c>
      <c r="D2850" s="122" t="str">
        <f>IFERROR(__xludf.DUMMYFUNCTION("""COMPUTED_VALUE"""),"Treasury Bill")</f>
        <v>Treasury Bill</v>
      </c>
      <c r="E2850" s="122">
        <f>IFERROR(__xludf.DUMMYFUNCTION("""COMPUTED_VALUE"""),98.09)</f>
        <v>98.09</v>
      </c>
      <c r="F2850" s="122">
        <f>IFERROR(__xludf.DUMMYFUNCTION("""COMPUTED_VALUE"""),0.0)</f>
        <v>0</v>
      </c>
    </row>
    <row r="2851">
      <c r="A2851" s="131">
        <f>IFERROR(__xludf.DUMMYFUNCTION("""COMPUTED_VALUE"""),46187.414722222224)</f>
        <v>46187.41472</v>
      </c>
      <c r="B2851" s="126">
        <f>IFERROR(__xludf.DUMMYFUNCTION("""COMPUTED_VALUE"""),46187.0)</f>
        <v>46187</v>
      </c>
      <c r="C2851" s="122" t="str">
        <f>IFERROR(__xludf.DUMMYFUNCTION("""COMPUTED_VALUE"""),"IBND")</f>
        <v>IBND</v>
      </c>
      <c r="D2851" s="122" t="str">
        <f>IFERROR(__xludf.DUMMYFUNCTION("""COMPUTED_VALUE"""),"Inflation Protected Bond")</f>
        <v>Inflation Protected Bond</v>
      </c>
      <c r="E2851" s="122">
        <f>IFERROR(__xludf.DUMMYFUNCTION("""COMPUTED_VALUE"""),100.67)</f>
        <v>100.67</v>
      </c>
      <c r="F2851" s="122">
        <f>IFERROR(__xludf.DUMMYFUNCTION("""COMPUTED_VALUE"""),-3.0E-4)</f>
        <v>-0.0003</v>
      </c>
    </row>
    <row r="2852">
      <c r="A2852" s="131">
        <f>IFERROR(__xludf.DUMMYFUNCTION("""COMPUTED_VALUE"""),46187.41820601852)</f>
        <v>46187.41821</v>
      </c>
      <c r="B2852" s="126">
        <f>IFERROR(__xludf.DUMMYFUNCTION("""COMPUTED_VALUE"""),46187.0)</f>
        <v>46187</v>
      </c>
      <c r="C2852" s="122" t="str">
        <f>IFERROR(__xludf.DUMMYFUNCTION("""COMPUTED_VALUE"""),"SNAX")</f>
        <v>SNAX</v>
      </c>
      <c r="D2852" s="122" t="str">
        <f>IFERROR(__xludf.DUMMYFUNCTION("""COMPUTED_VALUE"""),"MICA Snacks")</f>
        <v>MICA Snacks</v>
      </c>
      <c r="E2852" s="122">
        <f>IFERROR(__xludf.DUMMYFUNCTION("""COMPUTED_VALUE"""),120.35)</f>
        <v>120.35</v>
      </c>
      <c r="F2852" s="122">
        <f>IFERROR(__xludf.DUMMYFUNCTION("""COMPUTED_VALUE"""),0.004)</f>
        <v>0.004</v>
      </c>
    </row>
    <row r="2853">
      <c r="A2853" s="131">
        <f>IFERROR(__xludf.DUMMYFUNCTION("""COMPUTED_VALUE"""),46187.41820601852)</f>
        <v>46187.41821</v>
      </c>
      <c r="B2853" s="126">
        <f>IFERROR(__xludf.DUMMYFUNCTION("""COMPUTED_VALUE"""),46187.0)</f>
        <v>46187</v>
      </c>
      <c r="C2853" s="122" t="str">
        <f>IFERROR(__xludf.DUMMYFUNCTION("""COMPUTED_VALUE"""),"RAMN")</f>
        <v>RAMN</v>
      </c>
      <c r="D2853" s="122" t="str">
        <f>IFERROR(__xludf.DUMMYFUNCTION("""COMPUTED_VALUE"""),"Ramen Republic")</f>
        <v>Ramen Republic</v>
      </c>
      <c r="E2853" s="122">
        <f>IFERROR(__xludf.DUMMYFUNCTION("""COMPUTED_VALUE"""),72.93)</f>
        <v>72.93</v>
      </c>
      <c r="F2853" s="122">
        <f>IFERROR(__xludf.DUMMYFUNCTION("""COMPUTED_VALUE"""),-0.0018)</f>
        <v>-0.0018</v>
      </c>
    </row>
    <row r="2854">
      <c r="A2854" s="131">
        <f>IFERROR(__xludf.DUMMYFUNCTION("""COMPUTED_VALUE"""),46187.41820601852)</f>
        <v>46187.41821</v>
      </c>
      <c r="B2854" s="126">
        <f>IFERROR(__xludf.DUMMYFUNCTION("""COMPUTED_VALUE"""),46187.0)</f>
        <v>46187</v>
      </c>
      <c r="C2854" s="122" t="str">
        <f>IFERROR(__xludf.DUMMYFUNCTION("""COMPUTED_VALUE"""),"COLA")</f>
        <v>COLA</v>
      </c>
      <c r="D2854" s="122" t="str">
        <f>IFERROR(__xludf.DUMMYFUNCTION("""COMPUTED_VALUE"""),"K-Pop Cola")</f>
        <v>K-Pop Cola</v>
      </c>
      <c r="E2854" s="122">
        <f>IFERROR(__xludf.DUMMYFUNCTION("""COMPUTED_VALUE"""),107.12)</f>
        <v>107.12</v>
      </c>
      <c r="F2854" s="122">
        <f>IFERROR(__xludf.DUMMYFUNCTION("""COMPUTED_VALUE"""),-0.002)</f>
        <v>-0.002</v>
      </c>
    </row>
    <row r="2855">
      <c r="A2855" s="131">
        <f>IFERROR(__xludf.DUMMYFUNCTION("""COMPUTED_VALUE"""),46187.41820601852)</f>
        <v>46187.41821</v>
      </c>
      <c r="B2855" s="126">
        <f>IFERROR(__xludf.DUMMYFUNCTION("""COMPUTED_VALUE"""),46187.0)</f>
        <v>46187</v>
      </c>
      <c r="C2855" s="122" t="str">
        <f>IFERROR(__xludf.DUMMYFUNCTION("""COMPUTED_VALUE"""),"CHIP")</f>
        <v>CHIP</v>
      </c>
      <c r="D2855" s="122" t="str">
        <f>IFERROR(__xludf.DUMMYFUNCTION("""COMPUTED_VALUE"""),"Chip Empire")</f>
        <v>Chip Empire</v>
      </c>
      <c r="E2855" s="122">
        <f>IFERROR(__xludf.DUMMYFUNCTION("""COMPUTED_VALUE"""),86.24)</f>
        <v>86.24</v>
      </c>
      <c r="F2855" s="122">
        <f>IFERROR(__xludf.DUMMYFUNCTION("""COMPUTED_VALUE"""),-0.0063)</f>
        <v>-0.0063</v>
      </c>
    </row>
    <row r="2856">
      <c r="A2856" s="131">
        <f>IFERROR(__xludf.DUMMYFUNCTION("""COMPUTED_VALUE"""),46187.41820601852)</f>
        <v>46187.41821</v>
      </c>
      <c r="B2856" s="126">
        <f>IFERROR(__xludf.DUMMYFUNCTION("""COMPUTED_VALUE"""),46187.0)</f>
        <v>46187</v>
      </c>
      <c r="C2856" s="122" t="str">
        <f>IFERROR(__xludf.DUMMYFUNCTION("""COMPUTED_VALUE"""),"CAND")</f>
        <v>CAND</v>
      </c>
      <c r="D2856" s="122" t="str">
        <f>IFERROR(__xludf.DUMMYFUNCTION("""COMPUTED_VALUE"""),"Candy Capital")</f>
        <v>Candy Capital</v>
      </c>
      <c r="E2856" s="122">
        <f>IFERROR(__xludf.DUMMYFUNCTION("""COMPUTED_VALUE"""),76.92)</f>
        <v>76.92</v>
      </c>
      <c r="F2856" s="122">
        <f>IFERROR(__xludf.DUMMYFUNCTION("""COMPUTED_VALUE"""),0.0072)</f>
        <v>0.0072</v>
      </c>
    </row>
    <row r="2857">
      <c r="A2857" s="131">
        <f>IFERROR(__xludf.DUMMYFUNCTION("""COMPUTED_VALUE"""),46187.41820601852)</f>
        <v>46187.41821</v>
      </c>
      <c r="B2857" s="126">
        <f>IFERROR(__xludf.DUMMYFUNCTION("""COMPUTED_VALUE"""),46187.0)</f>
        <v>46187</v>
      </c>
      <c r="C2857" s="122" t="str">
        <f>IFERROR(__xludf.DUMMYFUNCTION("""COMPUTED_VALUE"""),"TECH")</f>
        <v>TECH</v>
      </c>
      <c r="D2857" s="122" t="str">
        <f>IFERROR(__xludf.DUMMYFUNCTION("""COMPUTED_VALUE"""),"Dragon Tech")</f>
        <v>Dragon Tech</v>
      </c>
      <c r="E2857" s="122">
        <f>IFERROR(__xludf.DUMMYFUNCTION("""COMPUTED_VALUE"""),238.11)</f>
        <v>238.11</v>
      </c>
      <c r="F2857" s="122">
        <f>IFERROR(__xludf.DUMMYFUNCTION("""COMPUTED_VALUE"""),0.0071)</f>
        <v>0.0071</v>
      </c>
    </row>
    <row r="2858">
      <c r="A2858" s="131">
        <f>IFERROR(__xludf.DUMMYFUNCTION("""COMPUTED_VALUE"""),46187.41820601852)</f>
        <v>46187.41821</v>
      </c>
      <c r="B2858" s="126">
        <f>IFERROR(__xludf.DUMMYFUNCTION("""COMPUTED_VALUE"""),46187.0)</f>
        <v>46187</v>
      </c>
      <c r="C2858" s="122" t="str">
        <f>IFERROR(__xludf.DUMMYFUNCTION("""COMPUTED_VALUE"""),"AIBO")</f>
        <v>AIBO</v>
      </c>
      <c r="D2858" s="122" t="str">
        <f>IFERROR(__xludf.DUMMYFUNCTION("""COMPUTED_VALUE"""),"Homework AI")</f>
        <v>Homework AI</v>
      </c>
      <c r="E2858" s="122">
        <f>IFERROR(__xludf.DUMMYFUNCTION("""COMPUTED_VALUE"""),171.28)</f>
        <v>171.28</v>
      </c>
      <c r="F2858" s="122">
        <f>IFERROR(__xludf.DUMMYFUNCTION("""COMPUTED_VALUE"""),-9.0E-4)</f>
        <v>-0.0009</v>
      </c>
    </row>
    <row r="2859">
      <c r="A2859" s="131">
        <f>IFERROR(__xludf.DUMMYFUNCTION("""COMPUTED_VALUE"""),46187.41820601852)</f>
        <v>46187.41821</v>
      </c>
      <c r="B2859" s="126">
        <f>IFERROR(__xludf.DUMMYFUNCTION("""COMPUTED_VALUE"""),46187.0)</f>
        <v>46187</v>
      </c>
      <c r="C2859" s="122" t="str">
        <f>IFERROR(__xludf.DUMMYFUNCTION("""COMPUTED_VALUE"""),"GAME")</f>
        <v>GAME</v>
      </c>
      <c r="D2859" s="122" t="str">
        <f>IFERROR(__xludf.DUMMYFUNCTION("""COMPUTED_VALUE"""),"GameBox Media")</f>
        <v>GameBox Media</v>
      </c>
      <c r="E2859" s="122">
        <f>IFERROR(__xludf.DUMMYFUNCTION("""COMPUTED_VALUE"""),93.65)</f>
        <v>93.65</v>
      </c>
      <c r="F2859" s="122">
        <f>IFERROR(__xludf.DUMMYFUNCTION("""COMPUTED_VALUE"""),0.0088)</f>
        <v>0.0088</v>
      </c>
    </row>
    <row r="2860">
      <c r="A2860" s="131">
        <f>IFERROR(__xludf.DUMMYFUNCTION("""COMPUTED_VALUE"""),46187.41820601852)</f>
        <v>46187.41821</v>
      </c>
      <c r="B2860" s="126">
        <f>IFERROR(__xludf.DUMMYFUNCTION("""COMPUTED_VALUE"""),46187.0)</f>
        <v>46187</v>
      </c>
      <c r="C2860" s="122" t="str">
        <f>IFERROR(__xludf.DUMMYFUNCTION("""COMPUTED_VALUE"""),"VRSE")</f>
        <v>VRSE</v>
      </c>
      <c r="D2860" s="122" t="str">
        <f>IFERROR(__xludf.DUMMYFUNCTION("""COMPUTED_VALUE"""),"VerseVR")</f>
        <v>VerseVR</v>
      </c>
      <c r="E2860" s="122">
        <f>IFERROR(__xludf.DUMMYFUNCTION("""COMPUTED_VALUE"""),146.47)</f>
        <v>146.47</v>
      </c>
      <c r="F2860" s="122">
        <f>IFERROR(__xludf.DUMMYFUNCTION("""COMPUTED_VALUE"""),-0.0054)</f>
        <v>-0.0054</v>
      </c>
    </row>
    <row r="2861">
      <c r="A2861" s="131">
        <f>IFERROR(__xludf.DUMMYFUNCTION("""COMPUTED_VALUE"""),46187.41820601852)</f>
        <v>46187.41821</v>
      </c>
      <c r="B2861" s="126">
        <f>IFERROR(__xludf.DUMMYFUNCTION("""COMPUTED_VALUE"""),46187.0)</f>
        <v>46187</v>
      </c>
      <c r="C2861" s="122" t="str">
        <f>IFERROR(__xludf.DUMMYFUNCTION("""COMPUTED_VALUE"""),"BYTE")</f>
        <v>BYTE</v>
      </c>
      <c r="D2861" s="122" t="str">
        <f>IFERROR(__xludf.DUMMYFUNCTION("""COMPUTED_VALUE"""),"ByteWorks")</f>
        <v>ByteWorks</v>
      </c>
      <c r="E2861" s="122">
        <f>IFERROR(__xludf.DUMMYFUNCTION("""COMPUTED_VALUE"""),110.51)</f>
        <v>110.51</v>
      </c>
      <c r="F2861" s="122">
        <f>IFERROR(__xludf.DUMMYFUNCTION("""COMPUTED_VALUE"""),0.0035)</f>
        <v>0.0035</v>
      </c>
    </row>
    <row r="2862">
      <c r="A2862" s="131">
        <f>IFERROR(__xludf.DUMMYFUNCTION("""COMPUTED_VALUE"""),46187.41820601852)</f>
        <v>46187.41821</v>
      </c>
      <c r="B2862" s="126">
        <f>IFERROR(__xludf.DUMMYFUNCTION("""COMPUTED_VALUE"""),46187.0)</f>
        <v>46187</v>
      </c>
      <c r="C2862" s="122" t="str">
        <f>IFERROR(__xludf.DUMMYFUNCTION("""COMPUTED_VALUE"""),"BANK")</f>
        <v>BANK</v>
      </c>
      <c r="D2862" s="122" t="str">
        <f>IFERROR(__xludf.DUMMYFUNCTION("""COMPUTED_VALUE"""),"Tiger Bank")</f>
        <v>Tiger Bank</v>
      </c>
      <c r="E2862" s="122">
        <f>IFERROR(__xludf.DUMMYFUNCTION("""COMPUTED_VALUE"""),126.12)</f>
        <v>126.12</v>
      </c>
      <c r="F2862" s="122">
        <f>IFERROR(__xludf.DUMMYFUNCTION("""COMPUTED_VALUE"""),0.0037)</f>
        <v>0.0037</v>
      </c>
    </row>
    <row r="2863">
      <c r="A2863" s="131">
        <f>IFERROR(__xludf.DUMMYFUNCTION("""COMPUTED_VALUE"""),46187.41820601852)</f>
        <v>46187.41821</v>
      </c>
      <c r="B2863" s="126">
        <f>IFERROR(__xludf.DUMMYFUNCTION("""COMPUTED_VALUE"""),46187.0)</f>
        <v>46187</v>
      </c>
      <c r="C2863" s="122" t="str">
        <f>IFERROR(__xludf.DUMMYFUNCTION("""COMPUTED_VALUE"""),"CRED")</f>
        <v>CRED</v>
      </c>
      <c r="D2863" s="122" t="str">
        <f>IFERROR(__xludf.DUMMYFUNCTION("""COMPUTED_VALUE"""),"Credit Castle")</f>
        <v>Credit Castle</v>
      </c>
      <c r="E2863" s="122">
        <f>IFERROR(__xludf.DUMMYFUNCTION("""COMPUTED_VALUE"""),68.6)</f>
        <v>68.6</v>
      </c>
      <c r="F2863" s="122">
        <f>IFERROR(__xludf.DUMMYFUNCTION("""COMPUTED_VALUE"""),-0.0045)</f>
        <v>-0.0045</v>
      </c>
    </row>
    <row r="2864">
      <c r="A2864" s="131">
        <f>IFERROR(__xludf.DUMMYFUNCTION("""COMPUTED_VALUE"""),46187.41820601852)</f>
        <v>46187.41821</v>
      </c>
      <c r="B2864" s="126">
        <f>IFERROR(__xludf.DUMMYFUNCTION("""COMPUTED_VALUE"""),46187.0)</f>
        <v>46187</v>
      </c>
      <c r="C2864" s="122" t="str">
        <f>IFERROR(__xludf.DUMMYFUNCTION("""COMPUTED_VALUE"""),"BOND")</f>
        <v>BOND</v>
      </c>
      <c r="D2864" s="122" t="str">
        <f>IFERROR(__xludf.DUMMYFUNCTION("""COMPUTED_VALUE"""),"BondBridge")</f>
        <v>BondBridge</v>
      </c>
      <c r="E2864" s="122">
        <f>IFERROR(__xludf.DUMMYFUNCTION("""COMPUTED_VALUE"""),97.85)</f>
        <v>97.85</v>
      </c>
      <c r="F2864" s="122">
        <f>IFERROR(__xludf.DUMMYFUNCTION("""COMPUTED_VALUE"""),0.002)</f>
        <v>0.002</v>
      </c>
    </row>
    <row r="2865">
      <c r="A2865" s="131">
        <f>IFERROR(__xludf.DUMMYFUNCTION("""COMPUTED_VALUE"""),46187.41820601852)</f>
        <v>46187.41821</v>
      </c>
      <c r="B2865" s="126">
        <f>IFERROR(__xludf.DUMMYFUNCTION("""COMPUTED_VALUE"""),46187.0)</f>
        <v>46187</v>
      </c>
      <c r="C2865" s="122" t="str">
        <f>IFERROR(__xludf.DUMMYFUNCTION("""COMPUTED_VALUE"""),"INSR")</f>
        <v>INSR</v>
      </c>
      <c r="D2865" s="122" t="str">
        <f>IFERROR(__xludf.DUMMYFUNCTION("""COMPUTED_VALUE"""),"Shield Insurance")</f>
        <v>Shield Insurance</v>
      </c>
      <c r="E2865" s="122">
        <f>IFERROR(__xludf.DUMMYFUNCTION("""COMPUTED_VALUE"""),159.03)</f>
        <v>159.03</v>
      </c>
      <c r="F2865" s="122">
        <f>IFERROR(__xludf.DUMMYFUNCTION("""COMPUTED_VALUE"""),0.0036)</f>
        <v>0.0036</v>
      </c>
    </row>
    <row r="2866">
      <c r="A2866" s="131">
        <f>IFERROR(__xludf.DUMMYFUNCTION("""COMPUTED_VALUE"""),46187.41820601852)</f>
        <v>46187.41821</v>
      </c>
      <c r="B2866" s="126">
        <f>IFERROR(__xludf.DUMMYFUNCTION("""COMPUTED_VALUE"""),46187.0)</f>
        <v>46187</v>
      </c>
      <c r="C2866" s="122" t="str">
        <f>IFERROR(__xludf.DUMMYFUNCTION("""COMPUTED_VALUE"""),"LOAN")</f>
        <v>LOAN</v>
      </c>
      <c r="D2866" s="122" t="str">
        <f>IFERROR(__xludf.DUMMYFUNCTION("""COMPUTED_VALUE"""),"LoanLab")</f>
        <v>LoanLab</v>
      </c>
      <c r="E2866" s="122">
        <f>IFERROR(__xludf.DUMMYFUNCTION("""COMPUTED_VALUE"""),63.08)</f>
        <v>63.08</v>
      </c>
      <c r="F2866" s="122">
        <f>IFERROR(__xludf.DUMMYFUNCTION("""COMPUTED_VALUE"""),-0.0024)</f>
        <v>-0.0024</v>
      </c>
    </row>
    <row r="2867">
      <c r="A2867" s="131">
        <f>IFERROR(__xludf.DUMMYFUNCTION("""COMPUTED_VALUE"""),46187.41820601852)</f>
        <v>46187.41821</v>
      </c>
      <c r="B2867" s="126">
        <f>IFERROR(__xludf.DUMMYFUNCTION("""COMPUTED_VALUE"""),46187.0)</f>
        <v>46187</v>
      </c>
      <c r="C2867" s="122" t="str">
        <f>IFERROR(__xludf.DUMMYFUNCTION("""COMPUTED_VALUE"""),"LUXE")</f>
        <v>LUXE</v>
      </c>
      <c r="D2867" s="122" t="str">
        <f>IFERROR(__xludf.DUMMYFUNCTION("""COMPUTED_VALUE"""),"Luxury Locker")</f>
        <v>Luxury Locker</v>
      </c>
      <c r="E2867" s="122">
        <f>IFERROR(__xludf.DUMMYFUNCTION("""COMPUTED_VALUE"""),256.87)</f>
        <v>256.87</v>
      </c>
      <c r="F2867" s="122">
        <f>IFERROR(__xludf.DUMMYFUNCTION("""COMPUTED_VALUE"""),0.0047)</f>
        <v>0.0047</v>
      </c>
    </row>
    <row r="2868">
      <c r="A2868" s="131">
        <f>IFERROR(__xludf.DUMMYFUNCTION("""COMPUTED_VALUE"""),46187.41820601852)</f>
        <v>46187.41821</v>
      </c>
      <c r="B2868" s="126">
        <f>IFERROR(__xludf.DUMMYFUNCTION("""COMPUTED_VALUE"""),46187.0)</f>
        <v>46187</v>
      </c>
      <c r="C2868" s="122" t="str">
        <f>IFERROR(__xludf.DUMMYFUNCTION("""COMPUTED_VALUE"""),"DRIP")</f>
        <v>DRIP</v>
      </c>
      <c r="D2868" s="122" t="str">
        <f>IFERROR(__xludf.DUMMYFUNCTION("""COMPUTED_VALUE"""),"Drip Streetwear")</f>
        <v>Drip Streetwear</v>
      </c>
      <c r="E2868" s="122">
        <f>IFERROR(__xludf.DUMMYFUNCTION("""COMPUTED_VALUE"""),203.66)</f>
        <v>203.66</v>
      </c>
      <c r="F2868" s="122">
        <f>IFERROR(__xludf.DUMMYFUNCTION("""COMPUTED_VALUE"""),-0.0064)</f>
        <v>-0.0064</v>
      </c>
    </row>
    <row r="2869">
      <c r="A2869" s="131">
        <f>IFERROR(__xludf.DUMMYFUNCTION("""COMPUTED_VALUE"""),46187.41820601852)</f>
        <v>46187.41821</v>
      </c>
      <c r="B2869" s="126">
        <f>IFERROR(__xludf.DUMMYFUNCTION("""COMPUTED_VALUE"""),46187.0)</f>
        <v>46187</v>
      </c>
      <c r="C2869" s="122" t="str">
        <f>IFERROR(__xludf.DUMMYFUNCTION("""COMPUTED_VALUE"""),"KICK")</f>
        <v>KICK</v>
      </c>
      <c r="D2869" s="122" t="str">
        <f>IFERROR(__xludf.DUMMYFUNCTION("""COMPUTED_VALUE"""),"KickDrop Sneakers")</f>
        <v>KickDrop Sneakers</v>
      </c>
      <c r="E2869" s="122">
        <f>IFERROR(__xludf.DUMMYFUNCTION("""COMPUTED_VALUE"""),170.45)</f>
        <v>170.45</v>
      </c>
      <c r="F2869" s="122">
        <f>IFERROR(__xludf.DUMMYFUNCTION("""COMPUTED_VALUE"""),-0.0034)</f>
        <v>-0.0034</v>
      </c>
    </row>
    <row r="2870">
      <c r="A2870" s="131">
        <f>IFERROR(__xludf.DUMMYFUNCTION("""COMPUTED_VALUE"""),46187.41820601852)</f>
        <v>46187.41821</v>
      </c>
      <c r="B2870" s="126">
        <f>IFERROR(__xludf.DUMMYFUNCTION("""COMPUTED_VALUE"""),46187.0)</f>
        <v>46187</v>
      </c>
      <c r="C2870" s="122" t="str">
        <f>IFERROR(__xludf.DUMMYFUNCTION("""COMPUTED_VALUE"""),"GLAM")</f>
        <v>GLAM</v>
      </c>
      <c r="D2870" s="122" t="str">
        <f>IFERROR(__xludf.DUMMYFUNCTION("""COMPUTED_VALUE"""),"Glow Cosmetics")</f>
        <v>Glow Cosmetics</v>
      </c>
      <c r="E2870" s="122">
        <f>IFERROR(__xludf.DUMMYFUNCTION("""COMPUTED_VALUE"""),98.9)</f>
        <v>98.9</v>
      </c>
      <c r="F2870" s="122">
        <f>IFERROR(__xludf.DUMMYFUNCTION("""COMPUTED_VALUE"""),-4.0E-4)</f>
        <v>-0.0004</v>
      </c>
    </row>
    <row r="2871">
      <c r="A2871" s="131">
        <f>IFERROR(__xludf.DUMMYFUNCTION("""COMPUTED_VALUE"""),46187.41820601852)</f>
        <v>46187.41821</v>
      </c>
      <c r="B2871" s="126">
        <f>IFERROR(__xludf.DUMMYFUNCTION("""COMPUTED_VALUE"""),46187.0)</f>
        <v>46187</v>
      </c>
      <c r="C2871" s="122" t="str">
        <f>IFERROR(__xludf.DUMMYFUNCTION("""COMPUTED_VALUE"""),"BAGG")</f>
        <v>BAGG</v>
      </c>
      <c r="D2871" s="122" t="str">
        <f>IFERROR(__xludf.DUMMYFUNCTION("""COMPUTED_VALUE"""),"BagVault")</f>
        <v>BagVault</v>
      </c>
      <c r="E2871" s="122">
        <f>IFERROR(__xludf.DUMMYFUNCTION("""COMPUTED_VALUE"""),251.01)</f>
        <v>251.01</v>
      </c>
      <c r="F2871" s="122">
        <f>IFERROR(__xludf.DUMMYFUNCTION("""COMPUTED_VALUE"""),0.0097)</f>
        <v>0.0097</v>
      </c>
    </row>
    <row r="2872">
      <c r="A2872" s="131">
        <f>IFERROR(__xludf.DUMMYFUNCTION("""COMPUTED_VALUE"""),46187.41820601852)</f>
        <v>46187.41821</v>
      </c>
      <c r="B2872" s="126">
        <f>IFERROR(__xludf.DUMMYFUNCTION("""COMPUTED_VALUE"""),46187.0)</f>
        <v>46187</v>
      </c>
      <c r="C2872" s="122" t="str">
        <f>IFERROR(__xludf.DUMMYFUNCTION("""COMPUTED_VALUE"""),"FAST")</f>
        <v>FAST</v>
      </c>
      <c r="D2872" s="122" t="str">
        <f>IFERROR(__xludf.DUMMYFUNCTION("""COMPUTED_VALUE"""),"Flash Logistics")</f>
        <v>Flash Logistics</v>
      </c>
      <c r="E2872" s="122">
        <f>IFERROR(__xludf.DUMMYFUNCTION("""COMPUTED_VALUE"""),102.62)</f>
        <v>102.62</v>
      </c>
      <c r="F2872" s="122">
        <f>IFERROR(__xludf.DUMMYFUNCTION("""COMPUTED_VALUE"""),8.0E-4)</f>
        <v>0.0008</v>
      </c>
    </row>
    <row r="2873">
      <c r="A2873" s="131">
        <f>IFERROR(__xludf.DUMMYFUNCTION("""COMPUTED_VALUE"""),46187.41820601852)</f>
        <v>46187.41821</v>
      </c>
      <c r="B2873" s="126">
        <f>IFERROR(__xludf.DUMMYFUNCTION("""COMPUTED_VALUE"""),46187.0)</f>
        <v>46187</v>
      </c>
      <c r="C2873" s="122" t="str">
        <f>IFERROR(__xludf.DUMMYFUNCTION("""COMPUTED_VALUE"""),"SHIP")</f>
        <v>SHIP</v>
      </c>
      <c r="D2873" s="122" t="str">
        <f>IFERROR(__xludf.DUMMYFUNCTION("""COMPUTED_VALUE"""),"Seoul Shipping")</f>
        <v>Seoul Shipping</v>
      </c>
      <c r="E2873" s="122">
        <f>IFERROR(__xludf.DUMMYFUNCTION("""COMPUTED_VALUE"""),119.15)</f>
        <v>119.15</v>
      </c>
      <c r="F2873" s="122">
        <f>IFERROR(__xludf.DUMMYFUNCTION("""COMPUTED_VALUE"""),0.0071)</f>
        <v>0.0071</v>
      </c>
    </row>
    <row r="2874">
      <c r="A2874" s="131">
        <f>IFERROR(__xludf.DUMMYFUNCTION("""COMPUTED_VALUE"""),46187.41820601852)</f>
        <v>46187.41821</v>
      </c>
      <c r="B2874" s="126">
        <f>IFERROR(__xludf.DUMMYFUNCTION("""COMPUTED_VALUE"""),46187.0)</f>
        <v>46187</v>
      </c>
      <c r="C2874" s="122" t="str">
        <f>IFERROR(__xludf.DUMMYFUNCTION("""COMPUTED_VALUE"""),"DRON")</f>
        <v>DRON</v>
      </c>
      <c r="D2874" s="122" t="str">
        <f>IFERROR(__xludf.DUMMYFUNCTION("""COMPUTED_VALUE"""),"DroneDrop")</f>
        <v>DroneDrop</v>
      </c>
      <c r="E2874" s="122">
        <f>IFERROR(__xludf.DUMMYFUNCTION("""COMPUTED_VALUE"""),130.85)</f>
        <v>130.85</v>
      </c>
      <c r="F2874" s="122">
        <f>IFERROR(__xludf.DUMMYFUNCTION("""COMPUTED_VALUE"""),0.0063)</f>
        <v>0.0063</v>
      </c>
    </row>
    <row r="2875">
      <c r="A2875" s="131">
        <f>IFERROR(__xludf.DUMMYFUNCTION("""COMPUTED_VALUE"""),46187.41820601852)</f>
        <v>46187.41821</v>
      </c>
      <c r="B2875" s="126">
        <f>IFERROR(__xludf.DUMMYFUNCTION("""COMPUTED_VALUE"""),46187.0)</f>
        <v>46187</v>
      </c>
      <c r="C2875" s="122" t="str">
        <f>IFERROR(__xludf.DUMMYFUNCTION("""COMPUTED_VALUE"""),"RIDE")</f>
        <v>RIDE</v>
      </c>
      <c r="D2875" s="122" t="str">
        <f>IFERROR(__xludf.DUMMYFUNCTION("""COMPUTED_VALUE"""),"QuickRide")</f>
        <v>QuickRide</v>
      </c>
      <c r="E2875" s="122">
        <f>IFERROR(__xludf.DUMMYFUNCTION("""COMPUTED_VALUE"""),96.66)</f>
        <v>96.66</v>
      </c>
      <c r="F2875" s="122">
        <f>IFERROR(__xludf.DUMMYFUNCTION("""COMPUTED_VALUE"""),0.0073)</f>
        <v>0.0073</v>
      </c>
    </row>
    <row r="2876">
      <c r="A2876" s="131">
        <f>IFERROR(__xludf.DUMMYFUNCTION("""COMPUTED_VALUE"""),46187.41820601852)</f>
        <v>46187.41821</v>
      </c>
      <c r="B2876" s="126">
        <f>IFERROR(__xludf.DUMMYFUNCTION("""COMPUTED_VALUE"""),46187.0)</f>
        <v>46187</v>
      </c>
      <c r="C2876" s="122" t="str">
        <f>IFERROR(__xludf.DUMMYFUNCTION("""COMPUTED_VALUE"""),"RAIL")</f>
        <v>RAIL</v>
      </c>
      <c r="D2876" s="122" t="str">
        <f>IFERROR(__xludf.DUMMYFUNCTION("""COMPUTED_VALUE"""),"MetroRail Corp")</f>
        <v>MetroRail Corp</v>
      </c>
      <c r="E2876" s="122">
        <f>IFERROR(__xludf.DUMMYFUNCTION("""COMPUTED_VALUE"""),134.3)</f>
        <v>134.3</v>
      </c>
      <c r="F2876" s="122">
        <f>IFERROR(__xludf.DUMMYFUNCTION("""COMPUTED_VALUE"""),-0.0032)</f>
        <v>-0.0032</v>
      </c>
    </row>
    <row r="2877">
      <c r="A2877" s="131">
        <f>IFERROR(__xludf.DUMMYFUNCTION("""COMPUTED_VALUE"""),46187.41820601852)</f>
        <v>46187.41821</v>
      </c>
      <c r="B2877" s="126">
        <f>IFERROR(__xludf.DUMMYFUNCTION("""COMPUTED_VALUE"""),46187.0)</f>
        <v>46187</v>
      </c>
      <c r="C2877" s="122" t="str">
        <f>IFERROR(__xludf.DUMMYFUNCTION("""COMPUTED_VALUE"""),"MEDX")</f>
        <v>MEDX</v>
      </c>
      <c r="D2877" s="122" t="str">
        <f>IFERROR(__xludf.DUMMYFUNCTION("""COMPUTED_VALUE"""),"MediCore")</f>
        <v>MediCore</v>
      </c>
      <c r="E2877" s="122">
        <f>IFERROR(__xludf.DUMMYFUNCTION("""COMPUTED_VALUE"""),137.84)</f>
        <v>137.84</v>
      </c>
      <c r="F2877" s="122">
        <f>IFERROR(__xludf.DUMMYFUNCTION("""COMPUTED_VALUE"""),-2.0E-4)</f>
        <v>-0.0002</v>
      </c>
    </row>
    <row r="2878">
      <c r="A2878" s="131">
        <f>IFERROR(__xludf.DUMMYFUNCTION("""COMPUTED_VALUE"""),46187.41820601852)</f>
        <v>46187.41821</v>
      </c>
      <c r="B2878" s="126">
        <f>IFERROR(__xludf.DUMMYFUNCTION("""COMPUTED_VALUE"""),46187.0)</f>
        <v>46187</v>
      </c>
      <c r="C2878" s="122" t="str">
        <f>IFERROR(__xludf.DUMMYFUNCTION("""COMPUTED_VALUE"""),"GYMX")</f>
        <v>GYMX</v>
      </c>
      <c r="D2878" s="122" t="str">
        <f>IFERROR(__xludf.DUMMYFUNCTION("""COMPUTED_VALUE"""),"GymX Fitness")</f>
        <v>GymX Fitness</v>
      </c>
      <c r="E2878" s="122">
        <f>IFERROR(__xludf.DUMMYFUNCTION("""COMPUTED_VALUE"""),85.35)</f>
        <v>85.35</v>
      </c>
      <c r="F2878" s="122">
        <f>IFERROR(__xludf.DUMMYFUNCTION("""COMPUTED_VALUE"""),0.0026)</f>
        <v>0.0026</v>
      </c>
    </row>
    <row r="2879">
      <c r="A2879" s="131">
        <f>IFERROR(__xludf.DUMMYFUNCTION("""COMPUTED_VALUE"""),46187.41820601852)</f>
        <v>46187.41821</v>
      </c>
      <c r="B2879" s="126">
        <f>IFERROR(__xludf.DUMMYFUNCTION("""COMPUTED_VALUE"""),46187.0)</f>
        <v>46187</v>
      </c>
      <c r="C2879" s="122" t="str">
        <f>IFERROR(__xludf.DUMMYFUNCTION("""COMPUTED_VALUE"""),"VITA")</f>
        <v>VITA</v>
      </c>
      <c r="D2879" s="122" t="str">
        <f>IFERROR(__xludf.DUMMYFUNCTION("""COMPUTED_VALUE"""),"VitaPlus")</f>
        <v>VitaPlus</v>
      </c>
      <c r="E2879" s="122">
        <f>IFERROR(__xludf.DUMMYFUNCTION("""COMPUTED_VALUE"""),74.88)</f>
        <v>74.88</v>
      </c>
      <c r="F2879" s="122">
        <f>IFERROR(__xludf.DUMMYFUNCTION("""COMPUTED_VALUE"""),0.0016)</f>
        <v>0.0016</v>
      </c>
    </row>
    <row r="2880">
      <c r="A2880" s="131">
        <f>IFERROR(__xludf.DUMMYFUNCTION("""COMPUTED_VALUE"""),46187.41820601852)</f>
        <v>46187.41821</v>
      </c>
      <c r="B2880" s="126">
        <f>IFERROR(__xludf.DUMMYFUNCTION("""COMPUTED_VALUE"""),46187.0)</f>
        <v>46187</v>
      </c>
      <c r="C2880" s="122" t="str">
        <f>IFERROR(__xludf.DUMMYFUNCTION("""COMPUTED_VALUE"""),"CARE")</f>
        <v>CARE</v>
      </c>
      <c r="D2880" s="122" t="str">
        <f>IFERROR(__xludf.DUMMYFUNCTION("""COMPUTED_VALUE"""),"CareCloud")</f>
        <v>CareCloud</v>
      </c>
      <c r="E2880" s="122">
        <f>IFERROR(__xludf.DUMMYFUNCTION("""COMPUTED_VALUE"""),180.04)</f>
        <v>180.04</v>
      </c>
      <c r="F2880" s="122">
        <f>IFERROR(__xludf.DUMMYFUNCTION("""COMPUTED_VALUE"""),0.0046)</f>
        <v>0.0046</v>
      </c>
    </row>
    <row r="2881">
      <c r="A2881" s="131">
        <f>IFERROR(__xludf.DUMMYFUNCTION("""COMPUTED_VALUE"""),46187.41820601852)</f>
        <v>46187.41821</v>
      </c>
      <c r="B2881" s="126">
        <f>IFERROR(__xludf.DUMMYFUNCTION("""COMPUTED_VALUE"""),46187.0)</f>
        <v>46187</v>
      </c>
      <c r="C2881" s="122" t="str">
        <f>IFERROR(__xludf.DUMMYFUNCTION("""COMPUTED_VALUE"""),"DENT")</f>
        <v>DENT</v>
      </c>
      <c r="D2881" s="122" t="str">
        <f>IFERROR(__xludf.DUMMYFUNCTION("""COMPUTED_VALUE"""),"SmileWorks")</f>
        <v>SmileWorks</v>
      </c>
      <c r="E2881" s="122">
        <f>IFERROR(__xludf.DUMMYFUNCTION("""COMPUTED_VALUE"""),82.97)</f>
        <v>82.97</v>
      </c>
      <c r="F2881" s="122">
        <f>IFERROR(__xludf.DUMMYFUNCTION("""COMPUTED_VALUE"""),0.0068)</f>
        <v>0.0068</v>
      </c>
    </row>
    <row r="2882">
      <c r="A2882" s="131">
        <f>IFERROR(__xludf.DUMMYFUNCTION("""COMPUTED_VALUE"""),46187.41820601852)</f>
        <v>46187.41821</v>
      </c>
      <c r="B2882" s="126">
        <f>IFERROR(__xludf.DUMMYFUNCTION("""COMPUTED_VALUE"""),46187.0)</f>
        <v>46187</v>
      </c>
      <c r="C2882" s="122" t="str">
        <f>IFERROR(__xludf.DUMMYFUNCTION("""COMPUTED_VALUE"""),"EDUX")</f>
        <v>EDUX</v>
      </c>
      <c r="D2882" s="122" t="str">
        <f>IFERROR(__xludf.DUMMYFUNCTION("""COMPUTED_VALUE"""),"EduMax Learning")</f>
        <v>EduMax Learning</v>
      </c>
      <c r="E2882" s="122">
        <f>IFERROR(__xludf.DUMMYFUNCTION("""COMPUTED_VALUE"""),133.95)</f>
        <v>133.95</v>
      </c>
      <c r="F2882" s="122">
        <f>IFERROR(__xludf.DUMMYFUNCTION("""COMPUTED_VALUE"""),-0.0048)</f>
        <v>-0.0048</v>
      </c>
    </row>
    <row r="2883">
      <c r="A2883" s="131">
        <f>IFERROR(__xludf.DUMMYFUNCTION("""COMPUTED_VALUE"""),46187.41820601852)</f>
        <v>46187.41821</v>
      </c>
      <c r="B2883" s="126">
        <f>IFERROR(__xludf.DUMMYFUNCTION("""COMPUTED_VALUE"""),46187.0)</f>
        <v>46187</v>
      </c>
      <c r="C2883" s="122" t="str">
        <f>IFERROR(__xludf.DUMMYFUNCTION("""COMPUTED_VALUE"""),"BOOK")</f>
        <v>BOOK</v>
      </c>
      <c r="D2883" s="122" t="str">
        <f>IFERROR(__xludf.DUMMYFUNCTION("""COMPUTED_VALUE"""),"BookBridge")</f>
        <v>BookBridge</v>
      </c>
      <c r="E2883" s="122">
        <f>IFERROR(__xludf.DUMMYFUNCTION("""COMPUTED_VALUE"""),114.99)</f>
        <v>114.99</v>
      </c>
      <c r="F2883" s="122">
        <f>IFERROR(__xludf.DUMMYFUNCTION("""COMPUTED_VALUE"""),-0.0025)</f>
        <v>-0.0025</v>
      </c>
    </row>
    <row r="2884">
      <c r="A2884" s="131">
        <f>IFERROR(__xludf.DUMMYFUNCTION("""COMPUTED_VALUE"""),46187.41820601852)</f>
        <v>46187.41821</v>
      </c>
      <c r="B2884" s="126">
        <f>IFERROR(__xludf.DUMMYFUNCTION("""COMPUTED_VALUE"""),46187.0)</f>
        <v>46187</v>
      </c>
      <c r="C2884" s="122" t="str">
        <f>IFERROR(__xludf.DUMMYFUNCTION("""COMPUTED_VALUE"""),"TUTR")</f>
        <v>TUTR</v>
      </c>
      <c r="D2884" s="122" t="str">
        <f>IFERROR(__xludf.DUMMYFUNCTION("""COMPUTED_VALUE"""),"TutorTown")</f>
        <v>TutorTown</v>
      </c>
      <c r="E2884" s="122">
        <f>IFERROR(__xludf.DUMMYFUNCTION("""COMPUTED_VALUE"""),89.8)</f>
        <v>89.8</v>
      </c>
      <c r="F2884" s="122">
        <f>IFERROR(__xludf.DUMMYFUNCTION("""COMPUTED_VALUE"""),-0.0017)</f>
        <v>-0.0017</v>
      </c>
    </row>
    <row r="2885">
      <c r="A2885" s="131">
        <f>IFERROR(__xludf.DUMMYFUNCTION("""COMPUTED_VALUE"""),46187.41820601852)</f>
        <v>46187.41821</v>
      </c>
      <c r="B2885" s="126">
        <f>IFERROR(__xludf.DUMMYFUNCTION("""COMPUTED_VALUE"""),46187.0)</f>
        <v>46187</v>
      </c>
      <c r="C2885" s="122" t="str">
        <f>IFERROR(__xludf.DUMMYFUNCTION("""COMPUTED_VALUE"""),"LANG")</f>
        <v>LANG</v>
      </c>
      <c r="D2885" s="122" t="str">
        <f>IFERROR(__xludf.DUMMYFUNCTION("""COMPUTED_VALUE"""),"LinguaLab")</f>
        <v>LinguaLab</v>
      </c>
      <c r="E2885" s="122">
        <f>IFERROR(__xludf.DUMMYFUNCTION("""COMPUTED_VALUE"""),98.48)</f>
        <v>98.48</v>
      </c>
      <c r="F2885" s="122">
        <f>IFERROR(__xludf.DUMMYFUNCTION("""COMPUTED_VALUE"""),0.0044)</f>
        <v>0.0044</v>
      </c>
    </row>
    <row r="2886">
      <c r="A2886" s="131">
        <f>IFERROR(__xludf.DUMMYFUNCTION("""COMPUTED_VALUE"""),46187.41820601852)</f>
        <v>46187.41821</v>
      </c>
      <c r="B2886" s="126">
        <f>IFERROR(__xludf.DUMMYFUNCTION("""COMPUTED_VALUE"""),46187.0)</f>
        <v>46187</v>
      </c>
      <c r="C2886" s="122" t="str">
        <f>IFERROR(__xludf.DUMMYFUNCTION("""COMPUTED_VALUE"""),"TEST")</f>
        <v>TEST</v>
      </c>
      <c r="D2886" s="122" t="str">
        <f>IFERROR(__xludf.DUMMYFUNCTION("""COMPUTED_VALUE"""),"TestPrep Pro")</f>
        <v>TestPrep Pro</v>
      </c>
      <c r="E2886" s="122">
        <f>IFERROR(__xludf.DUMMYFUNCTION("""COMPUTED_VALUE"""),101.09)</f>
        <v>101.09</v>
      </c>
      <c r="F2886" s="122">
        <f>IFERROR(__xludf.DUMMYFUNCTION("""COMPUTED_VALUE"""),0.005)</f>
        <v>0.005</v>
      </c>
    </row>
    <row r="2887">
      <c r="A2887" s="131">
        <f>IFERROR(__xludf.DUMMYFUNCTION("""COMPUTED_VALUE"""),46187.41820601852)</f>
        <v>46187.41821</v>
      </c>
      <c r="B2887" s="126">
        <f>IFERROR(__xludf.DUMMYFUNCTION("""COMPUTED_VALUE"""),46187.0)</f>
        <v>46187</v>
      </c>
      <c r="C2887" s="122" t="str">
        <f>IFERROR(__xludf.DUMMYFUNCTION("""COMPUTED_VALUE"""),"MOVI")</f>
        <v>MOVI</v>
      </c>
      <c r="D2887" s="122" t="str">
        <f>IFERROR(__xludf.DUMMYFUNCTION("""COMPUTED_VALUE"""),"MovieBox")</f>
        <v>MovieBox</v>
      </c>
      <c r="E2887" s="122">
        <f>IFERROR(__xludf.DUMMYFUNCTION("""COMPUTED_VALUE"""),80.4)</f>
        <v>80.4</v>
      </c>
      <c r="F2887" s="122">
        <f>IFERROR(__xludf.DUMMYFUNCTION("""COMPUTED_VALUE"""),0.001)</f>
        <v>0.001</v>
      </c>
    </row>
    <row r="2888">
      <c r="A2888" s="131">
        <f>IFERROR(__xludf.DUMMYFUNCTION("""COMPUTED_VALUE"""),46187.41820601852)</f>
        <v>46187.41821</v>
      </c>
      <c r="B2888" s="126">
        <f>IFERROR(__xludf.DUMMYFUNCTION("""COMPUTED_VALUE"""),46187.0)</f>
        <v>46187</v>
      </c>
      <c r="C2888" s="122" t="str">
        <f>IFERROR(__xludf.DUMMYFUNCTION("""COMPUTED_VALUE"""),"MUSC")</f>
        <v>MUSC</v>
      </c>
      <c r="D2888" s="122" t="str">
        <f>IFERROR(__xludf.DUMMYFUNCTION("""COMPUTED_VALUE"""),"MusicWave")</f>
        <v>MusicWave</v>
      </c>
      <c r="E2888" s="122">
        <f>IFERROR(__xludf.DUMMYFUNCTION("""COMPUTED_VALUE"""),97.15)</f>
        <v>97.15</v>
      </c>
      <c r="F2888" s="122">
        <f>IFERROR(__xludf.DUMMYFUNCTION("""COMPUTED_VALUE"""),-0.0024)</f>
        <v>-0.0024</v>
      </c>
    </row>
    <row r="2889">
      <c r="A2889" s="131">
        <f>IFERROR(__xludf.DUMMYFUNCTION("""COMPUTED_VALUE"""),46187.41820601852)</f>
        <v>46187.41821</v>
      </c>
      <c r="B2889" s="126">
        <f>IFERROR(__xludf.DUMMYFUNCTION("""COMPUTED_VALUE"""),46187.0)</f>
        <v>46187</v>
      </c>
      <c r="C2889" s="122" t="str">
        <f>IFERROR(__xludf.DUMMYFUNCTION("""COMPUTED_VALUE"""),"IDOL")</f>
        <v>IDOL</v>
      </c>
      <c r="D2889" s="122" t="str">
        <f>IFERROR(__xludf.DUMMYFUNCTION("""COMPUTED_VALUE"""),"Idol Agency")</f>
        <v>Idol Agency</v>
      </c>
      <c r="E2889" s="122">
        <f>IFERROR(__xludf.DUMMYFUNCTION("""COMPUTED_VALUE"""),196.17)</f>
        <v>196.17</v>
      </c>
      <c r="F2889" s="122">
        <f>IFERROR(__xludf.DUMMYFUNCTION("""COMPUTED_VALUE"""),-0.0047)</f>
        <v>-0.0047</v>
      </c>
    </row>
    <row r="2890">
      <c r="A2890" s="131">
        <f>IFERROR(__xludf.DUMMYFUNCTION("""COMPUTED_VALUE"""),46187.41820601852)</f>
        <v>46187.41821</v>
      </c>
      <c r="B2890" s="126">
        <f>IFERROR(__xludf.DUMMYFUNCTION("""COMPUTED_VALUE"""),46187.0)</f>
        <v>46187</v>
      </c>
      <c r="C2890" s="122" t="str">
        <f>IFERROR(__xludf.DUMMYFUNCTION("""COMPUTED_VALUE"""),"MEME")</f>
        <v>MEME</v>
      </c>
      <c r="D2890" s="122" t="str">
        <f>IFERROR(__xludf.DUMMYFUNCTION("""COMPUTED_VALUE"""),"Meme Media")</f>
        <v>Meme Media</v>
      </c>
      <c r="E2890" s="122">
        <f>IFERROR(__xludf.DUMMYFUNCTION("""COMPUTED_VALUE"""),76.44)</f>
        <v>76.44</v>
      </c>
      <c r="F2890" s="122">
        <f>IFERROR(__xludf.DUMMYFUNCTION("""COMPUTED_VALUE"""),-0.0078)</f>
        <v>-0.0078</v>
      </c>
    </row>
    <row r="2891">
      <c r="A2891" s="131">
        <f>IFERROR(__xludf.DUMMYFUNCTION("""COMPUTED_VALUE"""),46187.41820601852)</f>
        <v>46187.41821</v>
      </c>
      <c r="B2891" s="126">
        <f>IFERROR(__xludf.DUMMYFUNCTION("""COMPUTED_VALUE"""),46187.0)</f>
        <v>46187</v>
      </c>
      <c r="C2891" s="122" t="str">
        <f>IFERROR(__xludf.DUMMYFUNCTION("""COMPUTED_VALUE"""),"STRM")</f>
        <v>STRM</v>
      </c>
      <c r="D2891" s="122" t="str">
        <f>IFERROR(__xludf.DUMMYFUNCTION("""COMPUTED_VALUE"""),"Streamly")</f>
        <v>Streamly</v>
      </c>
      <c r="E2891" s="122">
        <f>IFERROR(__xludf.DUMMYFUNCTION("""COMPUTED_VALUE"""),139.35)</f>
        <v>139.35</v>
      </c>
      <c r="F2891" s="122">
        <f>IFERROR(__xludf.DUMMYFUNCTION("""COMPUTED_VALUE"""),0.0011)</f>
        <v>0.0011</v>
      </c>
    </row>
    <row r="2892">
      <c r="A2892" s="131">
        <f>IFERROR(__xludf.DUMMYFUNCTION("""COMPUTED_VALUE"""),46187.41820601852)</f>
        <v>46187.41821</v>
      </c>
      <c r="B2892" s="126">
        <f>IFERROR(__xludf.DUMMYFUNCTION("""COMPUTED_VALUE"""),46187.0)</f>
        <v>46187</v>
      </c>
      <c r="C2892" s="122" t="str">
        <f>IFERROR(__xludf.DUMMYFUNCTION("""COMPUTED_VALUE"""),"FARM")</f>
        <v>FARM</v>
      </c>
      <c r="D2892" s="122" t="str">
        <f>IFERROR(__xludf.DUMMYFUNCTION("""COMPUTED_VALUE"""),"Future Farms")</f>
        <v>Future Farms</v>
      </c>
      <c r="E2892" s="122">
        <f>IFERROR(__xludf.DUMMYFUNCTION("""COMPUTED_VALUE"""),83.86)</f>
        <v>83.86</v>
      </c>
      <c r="F2892" s="122">
        <f>IFERROR(__xludf.DUMMYFUNCTION("""COMPUTED_VALUE"""),0.0013)</f>
        <v>0.0013</v>
      </c>
    </row>
    <row r="2893">
      <c r="A2893" s="131">
        <f>IFERROR(__xludf.DUMMYFUNCTION("""COMPUTED_VALUE"""),46187.41820601852)</f>
        <v>46187.41821</v>
      </c>
      <c r="B2893" s="126">
        <f>IFERROR(__xludf.DUMMYFUNCTION("""COMPUTED_VALUE"""),46187.0)</f>
        <v>46187</v>
      </c>
      <c r="C2893" s="122" t="str">
        <f>IFERROR(__xludf.DUMMYFUNCTION("""COMPUTED_VALUE"""),"MEAT")</f>
        <v>MEAT</v>
      </c>
      <c r="D2893" s="122" t="str">
        <f>IFERROR(__xludf.DUMMYFUNCTION("""COMPUTED_VALUE"""),"MeatWorks")</f>
        <v>MeatWorks</v>
      </c>
      <c r="E2893" s="122">
        <f>IFERROR(__xludf.DUMMYFUNCTION("""COMPUTED_VALUE"""),102.5)</f>
        <v>102.5</v>
      </c>
      <c r="F2893" s="122">
        <f>IFERROR(__xludf.DUMMYFUNCTION("""COMPUTED_VALUE"""),-0.004)</f>
        <v>-0.004</v>
      </c>
    </row>
    <row r="2894">
      <c r="A2894" s="131">
        <f>IFERROR(__xludf.DUMMYFUNCTION("""COMPUTED_VALUE"""),46187.41820601852)</f>
        <v>46187.41821</v>
      </c>
      <c r="B2894" s="126">
        <f>IFERROR(__xludf.DUMMYFUNCTION("""COMPUTED_VALUE"""),46187.0)</f>
        <v>46187</v>
      </c>
      <c r="C2894" s="122" t="str">
        <f>IFERROR(__xludf.DUMMYFUNCTION("""COMPUTED_VALUE"""),"VEGI")</f>
        <v>VEGI</v>
      </c>
      <c r="D2894" s="122" t="str">
        <f>IFERROR(__xludf.DUMMYFUNCTION("""COMPUTED_VALUE"""),"Green Basket")</f>
        <v>Green Basket</v>
      </c>
      <c r="E2894" s="122">
        <f>IFERROR(__xludf.DUMMYFUNCTION("""COMPUTED_VALUE"""),81.66)</f>
        <v>81.66</v>
      </c>
      <c r="F2894" s="122">
        <f>IFERROR(__xludf.DUMMYFUNCTION("""COMPUTED_VALUE"""),-0.0029)</f>
        <v>-0.0029</v>
      </c>
    </row>
    <row r="2895">
      <c r="A2895" s="131">
        <f>IFERROR(__xludf.DUMMYFUNCTION("""COMPUTED_VALUE"""),46187.41820601852)</f>
        <v>46187.41821</v>
      </c>
      <c r="B2895" s="126">
        <f>IFERROR(__xludf.DUMMYFUNCTION("""COMPUTED_VALUE"""),46187.0)</f>
        <v>46187</v>
      </c>
      <c r="C2895" s="122" t="str">
        <f>IFERROR(__xludf.DUMMYFUNCTION("""COMPUTED_VALUE"""),"CAFE")</f>
        <v>CAFE</v>
      </c>
      <c r="D2895" s="122" t="str">
        <f>IFERROR(__xludf.DUMMYFUNCTION("""COMPUTED_VALUE"""),"Cafe Cloud")</f>
        <v>Cafe Cloud</v>
      </c>
      <c r="E2895" s="122">
        <f>IFERROR(__xludf.DUMMYFUNCTION("""COMPUTED_VALUE"""),100.02)</f>
        <v>100.02</v>
      </c>
      <c r="F2895" s="122">
        <f>IFERROR(__xludf.DUMMYFUNCTION("""COMPUTED_VALUE"""),0.0038)</f>
        <v>0.0038</v>
      </c>
    </row>
    <row r="2896">
      <c r="A2896" s="131">
        <f>IFERROR(__xludf.DUMMYFUNCTION("""COMPUTED_VALUE"""),46187.41820601852)</f>
        <v>46187.41821</v>
      </c>
      <c r="B2896" s="126">
        <f>IFERROR(__xludf.DUMMYFUNCTION("""COMPUTED_VALUE"""),46187.0)</f>
        <v>46187</v>
      </c>
      <c r="C2896" s="122" t="str">
        <f>IFERROR(__xludf.DUMMYFUNCTION("""COMPUTED_VALUE"""),"BAKE")</f>
        <v>BAKE</v>
      </c>
      <c r="D2896" s="122" t="str">
        <f>IFERROR(__xludf.DUMMYFUNCTION("""COMPUTED_VALUE"""),"BakeHouse")</f>
        <v>BakeHouse</v>
      </c>
      <c r="E2896" s="122">
        <f>IFERROR(__xludf.DUMMYFUNCTION("""COMPUTED_VALUE"""),99.99)</f>
        <v>99.99</v>
      </c>
      <c r="F2896" s="122">
        <f>IFERROR(__xludf.DUMMYFUNCTION("""COMPUTED_VALUE"""),0.0037)</f>
        <v>0.0037</v>
      </c>
    </row>
    <row r="2897">
      <c r="A2897" s="131">
        <f>IFERROR(__xludf.DUMMYFUNCTION("""COMPUTED_VALUE"""),46187.41820601852)</f>
        <v>46187.41821</v>
      </c>
      <c r="B2897" s="126">
        <f>IFERROR(__xludf.DUMMYFUNCTION("""COMPUTED_VALUE"""),46187.0)</f>
        <v>46187</v>
      </c>
      <c r="C2897" s="122" t="str">
        <f>IFERROR(__xludf.DUMMYFUNCTION("""COMPUTED_VALUE"""),"OILX")</f>
        <v>OILX</v>
      </c>
      <c r="D2897" s="122" t="str">
        <f>IFERROR(__xludf.DUMMYFUNCTION("""COMPUTED_VALUE"""),"OilMax Energy")</f>
        <v>OilMax Energy</v>
      </c>
      <c r="E2897" s="122">
        <f>IFERROR(__xludf.DUMMYFUNCTION("""COMPUTED_VALUE"""),130.41)</f>
        <v>130.41</v>
      </c>
      <c r="F2897" s="122">
        <f>IFERROR(__xludf.DUMMYFUNCTION("""COMPUTED_VALUE"""),-0.0079)</f>
        <v>-0.0079</v>
      </c>
    </row>
    <row r="2898">
      <c r="A2898" s="131">
        <f>IFERROR(__xludf.DUMMYFUNCTION("""COMPUTED_VALUE"""),46187.41820601852)</f>
        <v>46187.41821</v>
      </c>
      <c r="B2898" s="126">
        <f>IFERROR(__xludf.DUMMYFUNCTION("""COMPUTED_VALUE"""),46187.0)</f>
        <v>46187</v>
      </c>
      <c r="C2898" s="122" t="str">
        <f>IFERROR(__xludf.DUMMYFUNCTION("""COMPUTED_VALUE"""),"SOLR")</f>
        <v>SOLR</v>
      </c>
      <c r="D2898" s="122" t="str">
        <f>IFERROR(__xludf.DUMMYFUNCTION("""COMPUTED_VALUE"""),"SolarSpark")</f>
        <v>SolarSpark</v>
      </c>
      <c r="E2898" s="122">
        <f>IFERROR(__xludf.DUMMYFUNCTION("""COMPUTED_VALUE"""),88.01)</f>
        <v>88.01</v>
      </c>
      <c r="F2898" s="122">
        <f>IFERROR(__xludf.DUMMYFUNCTION("""COMPUTED_VALUE"""),-0.0031)</f>
        <v>-0.0031</v>
      </c>
    </row>
    <row r="2899">
      <c r="A2899" s="131">
        <f>IFERROR(__xludf.DUMMYFUNCTION("""COMPUTED_VALUE"""),46187.41820601852)</f>
        <v>46187.41821</v>
      </c>
      <c r="B2899" s="126">
        <f>IFERROR(__xludf.DUMMYFUNCTION("""COMPUTED_VALUE"""),46187.0)</f>
        <v>46187</v>
      </c>
      <c r="C2899" s="122" t="str">
        <f>IFERROR(__xludf.DUMMYFUNCTION("""COMPUTED_VALUE"""),"BATT")</f>
        <v>BATT</v>
      </c>
      <c r="D2899" s="122" t="str">
        <f>IFERROR(__xludf.DUMMYFUNCTION("""COMPUTED_VALUE"""),"BatteryBox")</f>
        <v>BatteryBox</v>
      </c>
      <c r="E2899" s="122">
        <f>IFERROR(__xludf.DUMMYFUNCTION("""COMPUTED_VALUE"""),120.55)</f>
        <v>120.55</v>
      </c>
      <c r="F2899" s="122">
        <f>IFERROR(__xludf.DUMMYFUNCTION("""COMPUTED_VALUE"""),-0.0067)</f>
        <v>-0.0067</v>
      </c>
    </row>
    <row r="2900">
      <c r="A2900" s="131">
        <f>IFERROR(__xludf.DUMMYFUNCTION("""COMPUTED_VALUE"""),46187.41820601852)</f>
        <v>46187.41821</v>
      </c>
      <c r="B2900" s="126">
        <f>IFERROR(__xludf.DUMMYFUNCTION("""COMPUTED_VALUE"""),46187.0)</f>
        <v>46187</v>
      </c>
      <c r="C2900" s="122" t="str">
        <f>IFERROR(__xludf.DUMMYFUNCTION("""COMPUTED_VALUE"""),"WIND")</f>
        <v>WIND</v>
      </c>
      <c r="D2900" s="122" t="str">
        <f>IFERROR(__xludf.DUMMYFUNCTION("""COMPUTED_VALUE"""),"WindWorks")</f>
        <v>WindWorks</v>
      </c>
      <c r="E2900" s="122">
        <f>IFERROR(__xludf.DUMMYFUNCTION("""COMPUTED_VALUE"""),88.27)</f>
        <v>88.27</v>
      </c>
      <c r="F2900" s="122">
        <f>IFERROR(__xludf.DUMMYFUNCTION("""COMPUTED_VALUE"""),0.0014)</f>
        <v>0.0014</v>
      </c>
    </row>
    <row r="2901">
      <c r="A2901" s="131">
        <f>IFERROR(__xludf.DUMMYFUNCTION("""COMPUTED_VALUE"""),46187.41820601852)</f>
        <v>46187.41821</v>
      </c>
      <c r="B2901" s="126">
        <f>IFERROR(__xludf.DUMMYFUNCTION("""COMPUTED_VALUE"""),46187.0)</f>
        <v>46187</v>
      </c>
      <c r="C2901" s="122" t="str">
        <f>IFERROR(__xludf.DUMMYFUNCTION("""COMPUTED_VALUE"""),"GRID")</f>
        <v>GRID</v>
      </c>
      <c r="D2901" s="122" t="str">
        <f>IFERROR(__xludf.DUMMYFUNCTION("""COMPUTED_VALUE"""),"GridPower")</f>
        <v>GridPower</v>
      </c>
      <c r="E2901" s="122">
        <f>IFERROR(__xludf.DUMMYFUNCTION("""COMPUTED_VALUE"""),142.44)</f>
        <v>142.44</v>
      </c>
      <c r="F2901" s="122">
        <f>IFERROR(__xludf.DUMMYFUNCTION("""COMPUTED_VALUE"""),-0.002)</f>
        <v>-0.002</v>
      </c>
    </row>
    <row r="2902">
      <c r="A2902" s="131">
        <f>IFERROR(__xludf.DUMMYFUNCTION("""COMPUTED_VALUE"""),46187.41820601852)</f>
        <v>46187.41821</v>
      </c>
      <c r="B2902" s="126">
        <f>IFERROR(__xludf.DUMMYFUNCTION("""COMPUTED_VALUE"""),46187.0)</f>
        <v>46187</v>
      </c>
      <c r="C2902" s="122" t="str">
        <f>IFERROR(__xludf.DUMMYFUNCTION("""COMPUTED_VALUE"""),"HOME")</f>
        <v>HOME</v>
      </c>
      <c r="D2902" s="122" t="str">
        <f>IFERROR(__xludf.DUMMYFUNCTION("""COMPUTED_VALUE"""),"HomeHub")</f>
        <v>HomeHub</v>
      </c>
      <c r="E2902" s="122">
        <f>IFERROR(__xludf.DUMMYFUNCTION("""COMPUTED_VALUE"""),148.79)</f>
        <v>148.79</v>
      </c>
      <c r="F2902" s="122">
        <f>IFERROR(__xludf.DUMMYFUNCTION("""COMPUTED_VALUE"""),0.0011)</f>
        <v>0.0011</v>
      </c>
    </row>
    <row r="2903">
      <c r="A2903" s="131">
        <f>IFERROR(__xludf.DUMMYFUNCTION("""COMPUTED_VALUE"""),46187.41820601852)</f>
        <v>46187.41821</v>
      </c>
      <c r="B2903" s="126">
        <f>IFERROR(__xludf.DUMMYFUNCTION("""COMPUTED_VALUE"""),46187.0)</f>
        <v>46187</v>
      </c>
      <c r="C2903" s="122" t="str">
        <f>IFERROR(__xludf.DUMMYFUNCTION("""COMPUTED_VALUE"""),"RENT")</f>
        <v>RENT</v>
      </c>
      <c r="D2903" s="122" t="str">
        <f>IFERROR(__xludf.DUMMYFUNCTION("""COMPUTED_VALUE"""),"RentRight")</f>
        <v>RentRight</v>
      </c>
      <c r="E2903" s="122">
        <f>IFERROR(__xludf.DUMMYFUNCTION("""COMPUTED_VALUE"""),91.47)</f>
        <v>91.47</v>
      </c>
      <c r="F2903" s="122">
        <f>IFERROR(__xludf.DUMMYFUNCTION("""COMPUTED_VALUE"""),0.0043)</f>
        <v>0.0043</v>
      </c>
    </row>
    <row r="2904">
      <c r="A2904" s="131">
        <f>IFERROR(__xludf.DUMMYFUNCTION("""COMPUTED_VALUE"""),46187.41820601852)</f>
        <v>46187.41821</v>
      </c>
      <c r="B2904" s="126">
        <f>IFERROR(__xludf.DUMMYFUNCTION("""COMPUTED_VALUE"""),46187.0)</f>
        <v>46187</v>
      </c>
      <c r="C2904" s="122" t="str">
        <f>IFERROR(__xludf.DUMMYFUNCTION("""COMPUTED_VALUE"""),"MALL")</f>
        <v>MALL</v>
      </c>
      <c r="D2904" s="122" t="str">
        <f>IFERROR(__xludf.DUMMYFUNCTION("""COMPUTED_VALUE"""),"MegaMall")</f>
        <v>MegaMall</v>
      </c>
      <c r="E2904" s="122">
        <f>IFERROR(__xludf.DUMMYFUNCTION("""COMPUTED_VALUE"""),100.09)</f>
        <v>100.09</v>
      </c>
      <c r="F2904" s="122">
        <f>IFERROR(__xludf.DUMMYFUNCTION("""COMPUTED_VALUE"""),0.0041)</f>
        <v>0.0041</v>
      </c>
    </row>
    <row r="2905">
      <c r="A2905" s="131">
        <f>IFERROR(__xludf.DUMMYFUNCTION("""COMPUTED_VALUE"""),46187.41820601852)</f>
        <v>46187.41821</v>
      </c>
      <c r="B2905" s="126">
        <f>IFERROR(__xludf.DUMMYFUNCTION("""COMPUTED_VALUE"""),46187.0)</f>
        <v>46187</v>
      </c>
      <c r="C2905" s="122" t="str">
        <f>IFERROR(__xludf.DUMMYFUNCTION("""COMPUTED_VALUE"""),"HOTL")</f>
        <v>HOTL</v>
      </c>
      <c r="D2905" s="122" t="str">
        <f>IFERROR(__xludf.DUMMYFUNCTION("""COMPUTED_VALUE"""),"HotelHive")</f>
        <v>HotelHive</v>
      </c>
      <c r="E2905" s="122">
        <f>IFERROR(__xludf.DUMMYFUNCTION("""COMPUTED_VALUE"""),131.73)</f>
        <v>131.73</v>
      </c>
      <c r="F2905" s="122">
        <f>IFERROR(__xludf.DUMMYFUNCTION("""COMPUTED_VALUE"""),-0.0067)</f>
        <v>-0.0067</v>
      </c>
    </row>
    <row r="2906">
      <c r="A2906" s="131">
        <f>IFERROR(__xludf.DUMMYFUNCTION("""COMPUTED_VALUE"""),46187.41820601852)</f>
        <v>46187.41821</v>
      </c>
      <c r="B2906" s="126">
        <f>IFERROR(__xludf.DUMMYFUNCTION("""COMPUTED_VALUE"""),46187.0)</f>
        <v>46187</v>
      </c>
      <c r="C2906" s="122" t="str">
        <f>IFERROR(__xludf.DUMMYFUNCTION("""COMPUTED_VALUE"""),"LAND")</f>
        <v>LAND</v>
      </c>
      <c r="D2906" s="122" t="str">
        <f>IFERROR(__xludf.DUMMYFUNCTION("""COMPUTED_VALUE"""),"LandLink")</f>
        <v>LandLink</v>
      </c>
      <c r="E2906" s="122">
        <f>IFERROR(__xludf.DUMMYFUNCTION("""COMPUTED_VALUE"""),183.31)</f>
        <v>183.31</v>
      </c>
      <c r="F2906" s="122">
        <f>IFERROR(__xludf.DUMMYFUNCTION("""COMPUTED_VALUE"""),0.002)</f>
        <v>0.002</v>
      </c>
    </row>
    <row r="2907">
      <c r="A2907" s="131">
        <f>IFERROR(__xludf.DUMMYFUNCTION("""COMPUTED_VALUE"""),46187.41820601852)</f>
        <v>46187.41821</v>
      </c>
      <c r="B2907" s="126">
        <f>IFERROR(__xludf.DUMMYFUNCTION("""COMPUTED_VALUE"""),46187.0)</f>
        <v>46187</v>
      </c>
      <c r="C2907" s="122" t="str">
        <f>IFERROR(__xludf.DUMMYFUNCTION("""COMPUTED_VALUE"""),"CARS")</f>
        <v>CARS</v>
      </c>
      <c r="D2907" s="122" t="str">
        <f>IFERROR(__xludf.DUMMYFUNCTION("""COMPUTED_VALUE"""),"AutoArena")</f>
        <v>AutoArena</v>
      </c>
      <c r="E2907" s="122">
        <f>IFERROR(__xludf.DUMMYFUNCTION("""COMPUTED_VALUE"""),80.13)</f>
        <v>80.13</v>
      </c>
      <c r="F2907" s="122">
        <f>IFERROR(__xludf.DUMMYFUNCTION("""COMPUTED_VALUE"""),0.0038)</f>
        <v>0.0038</v>
      </c>
    </row>
    <row r="2908">
      <c r="A2908" s="131">
        <f>IFERROR(__xludf.DUMMYFUNCTION("""COMPUTED_VALUE"""),46187.41820601852)</f>
        <v>46187.41821</v>
      </c>
      <c r="B2908" s="126">
        <f>IFERROR(__xludf.DUMMYFUNCTION("""COMPUTED_VALUE"""),46187.0)</f>
        <v>46187</v>
      </c>
      <c r="C2908" s="122" t="str">
        <f>IFERROR(__xludf.DUMMYFUNCTION("""COMPUTED_VALUE"""),"EVGO")</f>
        <v>EVGO</v>
      </c>
      <c r="D2908" s="122" t="str">
        <f>IFERROR(__xludf.DUMMYFUNCTION("""COMPUTED_VALUE"""),"EVGo Motors")</f>
        <v>EVGo Motors</v>
      </c>
      <c r="E2908" s="122">
        <f>IFERROR(__xludf.DUMMYFUNCTION("""COMPUTED_VALUE"""),188.1)</f>
        <v>188.1</v>
      </c>
      <c r="F2908" s="122">
        <f>IFERROR(__xludf.DUMMYFUNCTION("""COMPUTED_VALUE"""),-0.0106)</f>
        <v>-0.0106</v>
      </c>
    </row>
    <row r="2909">
      <c r="A2909" s="131">
        <f>IFERROR(__xludf.DUMMYFUNCTION("""COMPUTED_VALUE"""),46187.41820601852)</f>
        <v>46187.41821</v>
      </c>
      <c r="B2909" s="126">
        <f>IFERROR(__xludf.DUMMYFUNCTION("""COMPUTED_VALUE"""),46187.0)</f>
        <v>46187</v>
      </c>
      <c r="C2909" s="122" t="str">
        <f>IFERROR(__xludf.DUMMYFUNCTION("""COMPUTED_VALUE"""),"TIRE")</f>
        <v>TIRE</v>
      </c>
      <c r="D2909" s="122" t="str">
        <f>IFERROR(__xludf.DUMMYFUNCTION("""COMPUTED_VALUE"""),"TireTown")</f>
        <v>TireTown</v>
      </c>
      <c r="E2909" s="122">
        <f>IFERROR(__xludf.DUMMYFUNCTION("""COMPUTED_VALUE"""),92.72)</f>
        <v>92.72</v>
      </c>
      <c r="F2909" s="122">
        <f>IFERROR(__xludf.DUMMYFUNCTION("""COMPUTED_VALUE"""),-0.0027)</f>
        <v>-0.0027</v>
      </c>
    </row>
    <row r="2910">
      <c r="A2910" s="131">
        <f>IFERROR(__xludf.DUMMYFUNCTION("""COMPUTED_VALUE"""),46187.41820601852)</f>
        <v>46187.41821</v>
      </c>
      <c r="B2910" s="126">
        <f>IFERROR(__xludf.DUMMYFUNCTION("""COMPUTED_VALUE"""),46187.0)</f>
        <v>46187</v>
      </c>
      <c r="C2910" s="122" t="str">
        <f>IFERROR(__xludf.DUMMYFUNCTION("""COMPUTED_VALUE"""),"BIKE")</f>
        <v>BIKE</v>
      </c>
      <c r="D2910" s="122" t="str">
        <f>IFERROR(__xludf.DUMMYFUNCTION("""COMPUTED_VALUE"""),"BikeBox")</f>
        <v>BikeBox</v>
      </c>
      <c r="E2910" s="122">
        <f>IFERROR(__xludf.DUMMYFUNCTION("""COMPUTED_VALUE"""),53.79)</f>
        <v>53.79</v>
      </c>
      <c r="F2910" s="122">
        <f>IFERROR(__xludf.DUMMYFUNCTION("""COMPUTED_VALUE"""),-0.0066)</f>
        <v>-0.0066</v>
      </c>
    </row>
    <row r="2911">
      <c r="A2911" s="131">
        <f>IFERROR(__xludf.DUMMYFUNCTION("""COMPUTED_VALUE"""),46187.41820601852)</f>
        <v>46187.41821</v>
      </c>
      <c r="B2911" s="126">
        <f>IFERROR(__xludf.DUMMYFUNCTION("""COMPUTED_VALUE"""),46187.0)</f>
        <v>46187</v>
      </c>
      <c r="C2911" s="122" t="str">
        <f>IFERROR(__xludf.DUMMYFUNCTION("""COMPUTED_VALUE"""),"WASH")</f>
        <v>WASH</v>
      </c>
      <c r="D2911" s="122" t="str">
        <f>IFERROR(__xludf.DUMMYFUNCTION("""COMPUTED_VALUE"""),"CarWash Co")</f>
        <v>CarWash Co</v>
      </c>
      <c r="E2911" s="122">
        <f>IFERROR(__xludf.DUMMYFUNCTION("""COMPUTED_VALUE"""),120.93)</f>
        <v>120.93</v>
      </c>
      <c r="F2911" s="122">
        <f>IFERROR(__xludf.DUMMYFUNCTION("""COMPUTED_VALUE"""),0.0016)</f>
        <v>0.0016</v>
      </c>
    </row>
    <row r="2912">
      <c r="A2912" s="131">
        <f>IFERROR(__xludf.DUMMYFUNCTION("""COMPUTED_VALUE"""),46187.41820601852)</f>
        <v>46187.41821</v>
      </c>
      <c r="B2912" s="126">
        <f>IFERROR(__xludf.DUMMYFUNCTION("""COMPUTED_VALUE"""),46187.0)</f>
        <v>46187</v>
      </c>
      <c r="C2912" s="122" t="str">
        <f>IFERROR(__xludf.DUMMYFUNCTION("""COMPUTED_VALUE"""),"GBND")</f>
        <v>GBND</v>
      </c>
      <c r="D2912" s="122" t="str">
        <f>IFERROR(__xludf.DUMMYFUNCTION("""COMPUTED_VALUE"""),"Classroom Government Bond")</f>
        <v>Classroom Government Bond</v>
      </c>
      <c r="E2912" s="122">
        <f>IFERROR(__xludf.DUMMYFUNCTION("""COMPUTED_VALUE"""),101.01)</f>
        <v>101.01</v>
      </c>
      <c r="F2912" s="122">
        <f>IFERROR(__xludf.DUMMYFUNCTION("""COMPUTED_VALUE"""),5.0E-4)</f>
        <v>0.0005</v>
      </c>
    </row>
    <row r="2913">
      <c r="A2913" s="131">
        <f>IFERROR(__xludf.DUMMYFUNCTION("""COMPUTED_VALUE"""),46187.41820601852)</f>
        <v>46187.41821</v>
      </c>
      <c r="B2913" s="126">
        <f>IFERROR(__xludf.DUMMYFUNCTION("""COMPUTED_VALUE"""),46187.0)</f>
        <v>46187</v>
      </c>
      <c r="C2913" s="122" t="str">
        <f>IFERROR(__xludf.DUMMYFUNCTION("""COMPUTED_VALUE"""),"SBND")</f>
        <v>SBND</v>
      </c>
      <c r="D2913" s="122" t="str">
        <f>IFERROR(__xludf.DUMMYFUNCTION("""COMPUTED_VALUE"""),"School Savings Bond")</f>
        <v>School Savings Bond</v>
      </c>
      <c r="E2913" s="122">
        <f>IFERROR(__xludf.DUMMYFUNCTION("""COMPUTED_VALUE"""),99.59)</f>
        <v>99.59</v>
      </c>
      <c r="F2913" s="122">
        <f>IFERROR(__xludf.DUMMYFUNCTION("""COMPUTED_VALUE"""),-5.0E-4)</f>
        <v>-0.0005</v>
      </c>
    </row>
    <row r="2914">
      <c r="A2914" s="131">
        <f>IFERROR(__xludf.DUMMYFUNCTION("""COMPUTED_VALUE"""),46187.41820601852)</f>
        <v>46187.41821</v>
      </c>
      <c r="B2914" s="126">
        <f>IFERROR(__xludf.DUMMYFUNCTION("""COMPUTED_VALUE"""),46187.0)</f>
        <v>46187</v>
      </c>
      <c r="C2914" s="122" t="str">
        <f>IFERROR(__xludf.DUMMYFUNCTION("""COMPUTED_VALUE"""),"CBND")</f>
        <v>CBND</v>
      </c>
      <c r="D2914" s="122" t="str">
        <f>IFERROR(__xludf.DUMMYFUNCTION("""COMPUTED_VALUE"""),"Corporate Classroom Bond")</f>
        <v>Corporate Classroom Bond</v>
      </c>
      <c r="E2914" s="122">
        <f>IFERROR(__xludf.DUMMYFUNCTION("""COMPUTED_VALUE"""),97.68)</f>
        <v>97.68</v>
      </c>
      <c r="F2914" s="122">
        <f>IFERROR(__xludf.DUMMYFUNCTION("""COMPUTED_VALUE"""),4.0E-4)</f>
        <v>0.0004</v>
      </c>
    </row>
    <row r="2915">
      <c r="A2915" s="131">
        <f>IFERROR(__xludf.DUMMYFUNCTION("""COMPUTED_VALUE"""),46187.41820601852)</f>
        <v>46187.41821</v>
      </c>
      <c r="B2915" s="126">
        <f>IFERROR(__xludf.DUMMYFUNCTION("""COMPUTED_VALUE"""),46187.0)</f>
        <v>46187</v>
      </c>
      <c r="C2915" s="122" t="str">
        <f>IFERROR(__xludf.DUMMYFUNCTION("""COMPUTED_VALUE"""),"TBIL")</f>
        <v>TBIL</v>
      </c>
      <c r="D2915" s="122" t="str">
        <f>IFERROR(__xludf.DUMMYFUNCTION("""COMPUTED_VALUE"""),"Treasury Bill")</f>
        <v>Treasury Bill</v>
      </c>
      <c r="E2915" s="122">
        <f>IFERROR(__xludf.DUMMYFUNCTION("""COMPUTED_VALUE"""),98.07)</f>
        <v>98.07</v>
      </c>
      <c r="F2915" s="122">
        <f>IFERROR(__xludf.DUMMYFUNCTION("""COMPUTED_VALUE"""),-2.0E-4)</f>
        <v>-0.0002</v>
      </c>
    </row>
    <row r="2916">
      <c r="A2916" s="131">
        <f>IFERROR(__xludf.DUMMYFUNCTION("""COMPUTED_VALUE"""),46187.41820601852)</f>
        <v>46187.41821</v>
      </c>
      <c r="B2916" s="126">
        <f>IFERROR(__xludf.DUMMYFUNCTION("""COMPUTED_VALUE"""),46187.0)</f>
        <v>46187</v>
      </c>
      <c r="C2916" s="122" t="str">
        <f>IFERROR(__xludf.DUMMYFUNCTION("""COMPUTED_VALUE"""),"IBND")</f>
        <v>IBND</v>
      </c>
      <c r="D2916" s="122" t="str">
        <f>IFERROR(__xludf.DUMMYFUNCTION("""COMPUTED_VALUE"""),"Inflation Protected Bond")</f>
        <v>Inflation Protected Bond</v>
      </c>
      <c r="E2916" s="122">
        <f>IFERROR(__xludf.DUMMYFUNCTION("""COMPUTED_VALUE"""),100.69)</f>
        <v>100.69</v>
      </c>
      <c r="F2916" s="122">
        <f>IFERROR(__xludf.DUMMYFUNCTION("""COMPUTED_VALUE"""),2.0E-4)</f>
        <v>0.0002</v>
      </c>
    </row>
    <row r="2917">
      <c r="A2917" s="131">
        <f>IFERROR(__xludf.DUMMYFUNCTION("""COMPUTED_VALUE"""),46187.419652777775)</f>
        <v>46187.41965</v>
      </c>
      <c r="B2917" s="126">
        <f>IFERROR(__xludf.DUMMYFUNCTION("""COMPUTED_VALUE"""),46187.0)</f>
        <v>46187</v>
      </c>
      <c r="C2917" s="130">
        <f>IFERROR(__xludf.DUMMYFUNCTION("""COMPUTED_VALUE"""),0.41965277777777776)</f>
        <v>0.4196527778</v>
      </c>
      <c r="D2917" s="122" t="str">
        <f>IFERROR(__xludf.DUMMYFUNCTION("""COMPUTED_VALUE"""),"SNAX")</f>
        <v>SNAX</v>
      </c>
      <c r="E2917" s="122" t="str">
        <f>IFERROR(__xludf.DUMMYFUNCTION("""COMPUTED_VALUE"""),"MICA Snacks")</f>
        <v>MICA Snacks</v>
      </c>
      <c r="F2917" s="122" t="str">
        <f>IFERROR(__xludf.DUMMYFUNCTION("""COMPUTED_VALUE"""),"Consumer Goods")</f>
        <v>Consumer Goods</v>
      </c>
    </row>
    <row r="2918">
      <c r="A2918" s="131">
        <f>IFERROR(__xludf.DUMMYFUNCTION("""COMPUTED_VALUE"""),46187.419652777775)</f>
        <v>46187.41965</v>
      </c>
      <c r="B2918" s="126">
        <f>IFERROR(__xludf.DUMMYFUNCTION("""COMPUTED_VALUE"""),46187.0)</f>
        <v>46187</v>
      </c>
      <c r="C2918" s="130">
        <f>IFERROR(__xludf.DUMMYFUNCTION("""COMPUTED_VALUE"""),0.41965277777777776)</f>
        <v>0.4196527778</v>
      </c>
      <c r="D2918" s="122" t="str">
        <f>IFERROR(__xludf.DUMMYFUNCTION("""COMPUTED_VALUE"""),"RAMN")</f>
        <v>RAMN</v>
      </c>
      <c r="E2918" s="122" t="str">
        <f>IFERROR(__xludf.DUMMYFUNCTION("""COMPUTED_VALUE"""),"Ramen Republic")</f>
        <v>Ramen Republic</v>
      </c>
      <c r="F2918" s="122" t="str">
        <f>IFERROR(__xludf.DUMMYFUNCTION("""COMPUTED_VALUE"""),"Food")</f>
        <v>Food</v>
      </c>
    </row>
    <row r="2919">
      <c r="A2919" s="131">
        <f>IFERROR(__xludf.DUMMYFUNCTION("""COMPUTED_VALUE"""),46187.419652777775)</f>
        <v>46187.41965</v>
      </c>
      <c r="B2919" s="126">
        <f>IFERROR(__xludf.DUMMYFUNCTION("""COMPUTED_VALUE"""),46187.0)</f>
        <v>46187</v>
      </c>
      <c r="C2919" s="130">
        <f>IFERROR(__xludf.DUMMYFUNCTION("""COMPUTED_VALUE"""),0.41965277777777776)</f>
        <v>0.4196527778</v>
      </c>
      <c r="D2919" s="122" t="str">
        <f>IFERROR(__xludf.DUMMYFUNCTION("""COMPUTED_VALUE"""),"COLA")</f>
        <v>COLA</v>
      </c>
      <c r="E2919" s="122" t="str">
        <f>IFERROR(__xludf.DUMMYFUNCTION("""COMPUTED_VALUE"""),"K-Pop Cola")</f>
        <v>K-Pop Cola</v>
      </c>
      <c r="F2919" s="122" t="str">
        <f>IFERROR(__xludf.DUMMYFUNCTION("""COMPUTED_VALUE"""),"Beverage")</f>
        <v>Beverage</v>
      </c>
    </row>
    <row r="2920">
      <c r="A2920" s="131">
        <f>IFERROR(__xludf.DUMMYFUNCTION("""COMPUTED_VALUE"""),46187.419652777775)</f>
        <v>46187.41965</v>
      </c>
      <c r="B2920" s="126">
        <f>IFERROR(__xludf.DUMMYFUNCTION("""COMPUTED_VALUE"""),46187.0)</f>
        <v>46187</v>
      </c>
      <c r="C2920" s="130">
        <f>IFERROR(__xludf.DUMMYFUNCTION("""COMPUTED_VALUE"""),0.41965277777777776)</f>
        <v>0.4196527778</v>
      </c>
      <c r="D2920" s="122" t="str">
        <f>IFERROR(__xludf.DUMMYFUNCTION("""COMPUTED_VALUE"""),"CHIP")</f>
        <v>CHIP</v>
      </c>
      <c r="E2920" s="122" t="str">
        <f>IFERROR(__xludf.DUMMYFUNCTION("""COMPUTED_VALUE"""),"Chip Empire")</f>
        <v>Chip Empire</v>
      </c>
      <c r="F2920" s="122" t="str">
        <f>IFERROR(__xludf.DUMMYFUNCTION("""COMPUTED_VALUE"""),"Consumer Goods")</f>
        <v>Consumer Goods</v>
      </c>
    </row>
    <row r="2921">
      <c r="A2921" s="131">
        <f>IFERROR(__xludf.DUMMYFUNCTION("""COMPUTED_VALUE"""),46187.419652777775)</f>
        <v>46187.41965</v>
      </c>
      <c r="B2921" s="126">
        <f>IFERROR(__xludf.DUMMYFUNCTION("""COMPUTED_VALUE"""),46187.0)</f>
        <v>46187</v>
      </c>
      <c r="C2921" s="130">
        <f>IFERROR(__xludf.DUMMYFUNCTION("""COMPUTED_VALUE"""),0.41965277777777776)</f>
        <v>0.4196527778</v>
      </c>
      <c r="D2921" s="122" t="str">
        <f>IFERROR(__xludf.DUMMYFUNCTION("""COMPUTED_VALUE"""),"CAND")</f>
        <v>CAND</v>
      </c>
      <c r="E2921" s="122" t="str">
        <f>IFERROR(__xludf.DUMMYFUNCTION("""COMPUTED_VALUE"""),"Candy Capital")</f>
        <v>Candy Capital</v>
      </c>
      <c r="F2921" s="122" t="str">
        <f>IFERROR(__xludf.DUMMYFUNCTION("""COMPUTED_VALUE"""),"Consumer Goods")</f>
        <v>Consumer Goods</v>
      </c>
    </row>
    <row r="2922">
      <c r="A2922" s="131">
        <f>IFERROR(__xludf.DUMMYFUNCTION("""COMPUTED_VALUE"""),46187.419652777775)</f>
        <v>46187.41965</v>
      </c>
      <c r="B2922" s="126">
        <f>IFERROR(__xludf.DUMMYFUNCTION("""COMPUTED_VALUE"""),46187.0)</f>
        <v>46187</v>
      </c>
      <c r="C2922" s="130">
        <f>IFERROR(__xludf.DUMMYFUNCTION("""COMPUTED_VALUE"""),0.41965277777777776)</f>
        <v>0.4196527778</v>
      </c>
      <c r="D2922" s="122" t="str">
        <f>IFERROR(__xludf.DUMMYFUNCTION("""COMPUTED_VALUE"""),"TECH")</f>
        <v>TECH</v>
      </c>
      <c r="E2922" s="122" t="str">
        <f>IFERROR(__xludf.DUMMYFUNCTION("""COMPUTED_VALUE"""),"Dragon Tech")</f>
        <v>Dragon Tech</v>
      </c>
      <c r="F2922" s="122" t="str">
        <f>IFERROR(__xludf.DUMMYFUNCTION("""COMPUTED_VALUE"""),"Technology")</f>
        <v>Technology</v>
      </c>
    </row>
    <row r="2923">
      <c r="A2923" s="131">
        <f>IFERROR(__xludf.DUMMYFUNCTION("""COMPUTED_VALUE"""),46187.419652777775)</f>
        <v>46187.41965</v>
      </c>
      <c r="B2923" s="126">
        <f>IFERROR(__xludf.DUMMYFUNCTION("""COMPUTED_VALUE"""),46187.0)</f>
        <v>46187</v>
      </c>
      <c r="C2923" s="130">
        <f>IFERROR(__xludf.DUMMYFUNCTION("""COMPUTED_VALUE"""),0.41965277777777776)</f>
        <v>0.4196527778</v>
      </c>
      <c r="D2923" s="122" t="str">
        <f>IFERROR(__xludf.DUMMYFUNCTION("""COMPUTED_VALUE"""),"AIBO")</f>
        <v>AIBO</v>
      </c>
      <c r="E2923" s="122" t="str">
        <f>IFERROR(__xludf.DUMMYFUNCTION("""COMPUTED_VALUE"""),"Homework AI")</f>
        <v>Homework AI</v>
      </c>
      <c r="F2923" s="122" t="str">
        <f>IFERROR(__xludf.DUMMYFUNCTION("""COMPUTED_VALUE"""),"Technology")</f>
        <v>Technology</v>
      </c>
    </row>
    <row r="2924">
      <c r="A2924" s="131">
        <f>IFERROR(__xludf.DUMMYFUNCTION("""COMPUTED_VALUE"""),46187.419652777775)</f>
        <v>46187.41965</v>
      </c>
      <c r="B2924" s="126">
        <f>IFERROR(__xludf.DUMMYFUNCTION("""COMPUTED_VALUE"""),46187.0)</f>
        <v>46187</v>
      </c>
      <c r="C2924" s="130">
        <f>IFERROR(__xludf.DUMMYFUNCTION("""COMPUTED_VALUE"""),0.41965277777777776)</f>
        <v>0.4196527778</v>
      </c>
      <c r="D2924" s="122" t="str">
        <f>IFERROR(__xludf.DUMMYFUNCTION("""COMPUTED_VALUE"""),"GAME")</f>
        <v>GAME</v>
      </c>
      <c r="E2924" s="122" t="str">
        <f>IFERROR(__xludf.DUMMYFUNCTION("""COMPUTED_VALUE"""),"GameBox Media")</f>
        <v>GameBox Media</v>
      </c>
      <c r="F2924" s="122" t="str">
        <f>IFERROR(__xludf.DUMMYFUNCTION("""COMPUTED_VALUE"""),"Entertainment")</f>
        <v>Entertainment</v>
      </c>
    </row>
    <row r="2925">
      <c r="A2925" s="131">
        <f>IFERROR(__xludf.DUMMYFUNCTION("""COMPUTED_VALUE"""),46187.419652777775)</f>
        <v>46187.41965</v>
      </c>
      <c r="B2925" s="126">
        <f>IFERROR(__xludf.DUMMYFUNCTION("""COMPUTED_VALUE"""),46187.0)</f>
        <v>46187</v>
      </c>
      <c r="C2925" s="130">
        <f>IFERROR(__xludf.DUMMYFUNCTION("""COMPUTED_VALUE"""),0.41965277777777776)</f>
        <v>0.4196527778</v>
      </c>
      <c r="D2925" s="122" t="str">
        <f>IFERROR(__xludf.DUMMYFUNCTION("""COMPUTED_VALUE"""),"VRSE")</f>
        <v>VRSE</v>
      </c>
      <c r="E2925" s="122" t="str">
        <f>IFERROR(__xludf.DUMMYFUNCTION("""COMPUTED_VALUE"""),"VerseVR")</f>
        <v>VerseVR</v>
      </c>
      <c r="F2925" s="122" t="str">
        <f>IFERROR(__xludf.DUMMYFUNCTION("""COMPUTED_VALUE"""),"Technology")</f>
        <v>Technology</v>
      </c>
    </row>
    <row r="2926">
      <c r="A2926" s="131">
        <f>IFERROR(__xludf.DUMMYFUNCTION("""COMPUTED_VALUE"""),46187.419652777775)</f>
        <v>46187.41965</v>
      </c>
      <c r="B2926" s="126">
        <f>IFERROR(__xludf.DUMMYFUNCTION("""COMPUTED_VALUE"""),46187.0)</f>
        <v>46187</v>
      </c>
      <c r="C2926" s="130">
        <f>IFERROR(__xludf.DUMMYFUNCTION("""COMPUTED_VALUE"""),0.41965277777777776)</f>
        <v>0.4196527778</v>
      </c>
      <c r="D2926" s="122" t="str">
        <f>IFERROR(__xludf.DUMMYFUNCTION("""COMPUTED_VALUE"""),"BYTE")</f>
        <v>BYTE</v>
      </c>
      <c r="E2926" s="122" t="str">
        <f>IFERROR(__xludf.DUMMYFUNCTION("""COMPUTED_VALUE"""),"ByteWorks")</f>
        <v>ByteWorks</v>
      </c>
      <c r="F2926" s="122" t="str">
        <f>IFERROR(__xludf.DUMMYFUNCTION("""COMPUTED_VALUE"""),"Technology")</f>
        <v>Technology</v>
      </c>
    </row>
    <row r="2927">
      <c r="A2927" s="131">
        <f>IFERROR(__xludf.DUMMYFUNCTION("""COMPUTED_VALUE"""),46187.419652777775)</f>
        <v>46187.41965</v>
      </c>
      <c r="B2927" s="126">
        <f>IFERROR(__xludf.DUMMYFUNCTION("""COMPUTED_VALUE"""),46187.0)</f>
        <v>46187</v>
      </c>
      <c r="C2927" s="130">
        <f>IFERROR(__xludf.DUMMYFUNCTION("""COMPUTED_VALUE"""),0.41965277777777776)</f>
        <v>0.4196527778</v>
      </c>
      <c r="D2927" s="122" t="str">
        <f>IFERROR(__xludf.DUMMYFUNCTION("""COMPUTED_VALUE"""),"BANK")</f>
        <v>BANK</v>
      </c>
      <c r="E2927" s="122" t="str">
        <f>IFERROR(__xludf.DUMMYFUNCTION("""COMPUTED_VALUE"""),"Tiger Bank")</f>
        <v>Tiger Bank</v>
      </c>
      <c r="F2927" s="122" t="str">
        <f>IFERROR(__xludf.DUMMYFUNCTION("""COMPUTED_VALUE"""),"Finance")</f>
        <v>Finance</v>
      </c>
    </row>
    <row r="2928">
      <c r="A2928" s="131">
        <f>IFERROR(__xludf.DUMMYFUNCTION("""COMPUTED_VALUE"""),46187.419652777775)</f>
        <v>46187.41965</v>
      </c>
      <c r="B2928" s="126">
        <f>IFERROR(__xludf.DUMMYFUNCTION("""COMPUTED_VALUE"""),46187.0)</f>
        <v>46187</v>
      </c>
      <c r="C2928" s="130">
        <f>IFERROR(__xludf.DUMMYFUNCTION("""COMPUTED_VALUE"""),0.41965277777777776)</f>
        <v>0.4196527778</v>
      </c>
      <c r="D2928" s="122" t="str">
        <f>IFERROR(__xludf.DUMMYFUNCTION("""COMPUTED_VALUE"""),"CRED")</f>
        <v>CRED</v>
      </c>
      <c r="E2928" s="122" t="str">
        <f>IFERROR(__xludf.DUMMYFUNCTION("""COMPUTED_VALUE"""),"Credit Castle")</f>
        <v>Credit Castle</v>
      </c>
      <c r="F2928" s="122" t="str">
        <f>IFERROR(__xludf.DUMMYFUNCTION("""COMPUTED_VALUE"""),"Finance")</f>
        <v>Finance</v>
      </c>
    </row>
    <row r="2929">
      <c r="A2929" s="131">
        <f>IFERROR(__xludf.DUMMYFUNCTION("""COMPUTED_VALUE"""),46187.419652777775)</f>
        <v>46187.41965</v>
      </c>
      <c r="B2929" s="126">
        <f>IFERROR(__xludf.DUMMYFUNCTION("""COMPUTED_VALUE"""),46187.0)</f>
        <v>46187</v>
      </c>
      <c r="C2929" s="130">
        <f>IFERROR(__xludf.DUMMYFUNCTION("""COMPUTED_VALUE"""),0.41965277777777776)</f>
        <v>0.4196527778</v>
      </c>
      <c r="D2929" s="122" t="str">
        <f>IFERROR(__xludf.DUMMYFUNCTION("""COMPUTED_VALUE"""),"BOND")</f>
        <v>BOND</v>
      </c>
      <c r="E2929" s="122" t="str">
        <f>IFERROR(__xludf.DUMMYFUNCTION("""COMPUTED_VALUE"""),"BondBridge")</f>
        <v>BondBridge</v>
      </c>
      <c r="F2929" s="122" t="str">
        <f>IFERROR(__xludf.DUMMYFUNCTION("""COMPUTED_VALUE"""),"Finance")</f>
        <v>Finance</v>
      </c>
    </row>
    <row r="2930">
      <c r="A2930" s="131">
        <f>IFERROR(__xludf.DUMMYFUNCTION("""COMPUTED_VALUE"""),46187.419652777775)</f>
        <v>46187.41965</v>
      </c>
      <c r="B2930" s="126">
        <f>IFERROR(__xludf.DUMMYFUNCTION("""COMPUTED_VALUE"""),46187.0)</f>
        <v>46187</v>
      </c>
      <c r="C2930" s="130">
        <f>IFERROR(__xludf.DUMMYFUNCTION("""COMPUTED_VALUE"""),0.41965277777777776)</f>
        <v>0.4196527778</v>
      </c>
      <c r="D2930" s="122" t="str">
        <f>IFERROR(__xludf.DUMMYFUNCTION("""COMPUTED_VALUE"""),"INSR")</f>
        <v>INSR</v>
      </c>
      <c r="E2930" s="122" t="str">
        <f>IFERROR(__xludf.DUMMYFUNCTION("""COMPUTED_VALUE"""),"Shield Insurance")</f>
        <v>Shield Insurance</v>
      </c>
      <c r="F2930" s="122" t="str">
        <f>IFERROR(__xludf.DUMMYFUNCTION("""COMPUTED_VALUE"""),"Finance")</f>
        <v>Finance</v>
      </c>
    </row>
    <row r="2931">
      <c r="A2931" s="131">
        <f>IFERROR(__xludf.DUMMYFUNCTION("""COMPUTED_VALUE"""),46187.419652777775)</f>
        <v>46187.41965</v>
      </c>
      <c r="B2931" s="126">
        <f>IFERROR(__xludf.DUMMYFUNCTION("""COMPUTED_VALUE"""),46187.0)</f>
        <v>46187</v>
      </c>
      <c r="C2931" s="130">
        <f>IFERROR(__xludf.DUMMYFUNCTION("""COMPUTED_VALUE"""),0.41965277777777776)</f>
        <v>0.4196527778</v>
      </c>
      <c r="D2931" s="122" t="str">
        <f>IFERROR(__xludf.DUMMYFUNCTION("""COMPUTED_VALUE"""),"LOAN")</f>
        <v>LOAN</v>
      </c>
      <c r="E2931" s="122" t="str">
        <f>IFERROR(__xludf.DUMMYFUNCTION("""COMPUTED_VALUE"""),"LoanLab")</f>
        <v>LoanLab</v>
      </c>
      <c r="F2931" s="122" t="str">
        <f>IFERROR(__xludf.DUMMYFUNCTION("""COMPUTED_VALUE"""),"Finance")</f>
        <v>Finance</v>
      </c>
    </row>
    <row r="2932">
      <c r="A2932" s="131">
        <f>IFERROR(__xludf.DUMMYFUNCTION("""COMPUTED_VALUE"""),46187.419652777775)</f>
        <v>46187.41965</v>
      </c>
      <c r="B2932" s="126">
        <f>IFERROR(__xludf.DUMMYFUNCTION("""COMPUTED_VALUE"""),46187.0)</f>
        <v>46187</v>
      </c>
      <c r="C2932" s="130">
        <f>IFERROR(__xludf.DUMMYFUNCTION("""COMPUTED_VALUE"""),0.41965277777777776)</f>
        <v>0.4196527778</v>
      </c>
      <c r="D2932" s="122" t="str">
        <f>IFERROR(__xludf.DUMMYFUNCTION("""COMPUTED_VALUE"""),"LUXE")</f>
        <v>LUXE</v>
      </c>
      <c r="E2932" s="122" t="str">
        <f>IFERROR(__xludf.DUMMYFUNCTION("""COMPUTED_VALUE"""),"Luxury Locker")</f>
        <v>Luxury Locker</v>
      </c>
      <c r="F2932" s="122" t="str">
        <f>IFERROR(__xludf.DUMMYFUNCTION("""COMPUTED_VALUE"""),"Luxury Goods")</f>
        <v>Luxury Goods</v>
      </c>
    </row>
    <row r="2933">
      <c r="A2933" s="131">
        <f>IFERROR(__xludf.DUMMYFUNCTION("""COMPUTED_VALUE"""),46187.419652777775)</f>
        <v>46187.41965</v>
      </c>
      <c r="B2933" s="126">
        <f>IFERROR(__xludf.DUMMYFUNCTION("""COMPUTED_VALUE"""),46187.0)</f>
        <v>46187</v>
      </c>
      <c r="C2933" s="130">
        <f>IFERROR(__xludf.DUMMYFUNCTION("""COMPUTED_VALUE"""),0.41965277777777776)</f>
        <v>0.4196527778</v>
      </c>
      <c r="D2933" s="122" t="str">
        <f>IFERROR(__xludf.DUMMYFUNCTION("""COMPUTED_VALUE"""),"DRIP")</f>
        <v>DRIP</v>
      </c>
      <c r="E2933" s="122" t="str">
        <f>IFERROR(__xludf.DUMMYFUNCTION("""COMPUTED_VALUE"""),"Drip Streetwear")</f>
        <v>Drip Streetwear</v>
      </c>
      <c r="F2933" s="122" t="str">
        <f>IFERROR(__xludf.DUMMYFUNCTION("""COMPUTED_VALUE"""),"Fashion")</f>
        <v>Fashion</v>
      </c>
    </row>
    <row r="2934">
      <c r="A2934" s="131">
        <f>IFERROR(__xludf.DUMMYFUNCTION("""COMPUTED_VALUE"""),46187.419652777775)</f>
        <v>46187.41965</v>
      </c>
      <c r="B2934" s="126">
        <f>IFERROR(__xludf.DUMMYFUNCTION("""COMPUTED_VALUE"""),46187.0)</f>
        <v>46187</v>
      </c>
      <c r="C2934" s="130">
        <f>IFERROR(__xludf.DUMMYFUNCTION("""COMPUTED_VALUE"""),0.41965277777777776)</f>
        <v>0.4196527778</v>
      </c>
      <c r="D2934" s="122" t="str">
        <f>IFERROR(__xludf.DUMMYFUNCTION("""COMPUTED_VALUE"""),"KICK")</f>
        <v>KICK</v>
      </c>
      <c r="E2934" s="122" t="str">
        <f>IFERROR(__xludf.DUMMYFUNCTION("""COMPUTED_VALUE"""),"KickDrop Sneakers")</f>
        <v>KickDrop Sneakers</v>
      </c>
      <c r="F2934" s="122" t="str">
        <f>IFERROR(__xludf.DUMMYFUNCTION("""COMPUTED_VALUE"""),"Fashion")</f>
        <v>Fashion</v>
      </c>
    </row>
    <row r="2935">
      <c r="A2935" s="131">
        <f>IFERROR(__xludf.DUMMYFUNCTION("""COMPUTED_VALUE"""),46187.419652777775)</f>
        <v>46187.41965</v>
      </c>
      <c r="B2935" s="126">
        <f>IFERROR(__xludf.DUMMYFUNCTION("""COMPUTED_VALUE"""),46187.0)</f>
        <v>46187</v>
      </c>
      <c r="C2935" s="130">
        <f>IFERROR(__xludf.DUMMYFUNCTION("""COMPUTED_VALUE"""),0.41965277777777776)</f>
        <v>0.4196527778</v>
      </c>
      <c r="D2935" s="122" t="str">
        <f>IFERROR(__xludf.DUMMYFUNCTION("""COMPUTED_VALUE"""),"GLAM")</f>
        <v>GLAM</v>
      </c>
      <c r="E2935" s="122" t="str">
        <f>IFERROR(__xludf.DUMMYFUNCTION("""COMPUTED_VALUE"""),"Glow Cosmetics")</f>
        <v>Glow Cosmetics</v>
      </c>
      <c r="F2935" s="122" t="str">
        <f>IFERROR(__xludf.DUMMYFUNCTION("""COMPUTED_VALUE"""),"Fashion")</f>
        <v>Fashion</v>
      </c>
    </row>
    <row r="2936">
      <c r="A2936" s="131">
        <f>IFERROR(__xludf.DUMMYFUNCTION("""COMPUTED_VALUE"""),46187.419652777775)</f>
        <v>46187.41965</v>
      </c>
      <c r="B2936" s="126">
        <f>IFERROR(__xludf.DUMMYFUNCTION("""COMPUTED_VALUE"""),46187.0)</f>
        <v>46187</v>
      </c>
      <c r="C2936" s="130">
        <f>IFERROR(__xludf.DUMMYFUNCTION("""COMPUTED_VALUE"""),0.41965277777777776)</f>
        <v>0.4196527778</v>
      </c>
      <c r="D2936" s="122" t="str">
        <f>IFERROR(__xludf.DUMMYFUNCTION("""COMPUTED_VALUE"""),"BAGG")</f>
        <v>BAGG</v>
      </c>
      <c r="E2936" s="122" t="str">
        <f>IFERROR(__xludf.DUMMYFUNCTION("""COMPUTED_VALUE"""),"BagVault")</f>
        <v>BagVault</v>
      </c>
      <c r="F2936" s="122" t="str">
        <f>IFERROR(__xludf.DUMMYFUNCTION("""COMPUTED_VALUE"""),"Fashion")</f>
        <v>Fashion</v>
      </c>
    </row>
    <row r="2937">
      <c r="A2937" s="131">
        <f>IFERROR(__xludf.DUMMYFUNCTION("""COMPUTED_VALUE"""),46187.419652777775)</f>
        <v>46187.41965</v>
      </c>
      <c r="B2937" s="126">
        <f>IFERROR(__xludf.DUMMYFUNCTION("""COMPUTED_VALUE"""),46187.0)</f>
        <v>46187</v>
      </c>
      <c r="C2937" s="130">
        <f>IFERROR(__xludf.DUMMYFUNCTION("""COMPUTED_VALUE"""),0.41965277777777776)</f>
        <v>0.4196527778</v>
      </c>
      <c r="D2937" s="122" t="str">
        <f>IFERROR(__xludf.DUMMYFUNCTION("""COMPUTED_VALUE"""),"FAST")</f>
        <v>FAST</v>
      </c>
      <c r="E2937" s="122" t="str">
        <f>IFERROR(__xludf.DUMMYFUNCTION("""COMPUTED_VALUE"""),"Flash Logistics")</f>
        <v>Flash Logistics</v>
      </c>
      <c r="F2937" s="122" t="str">
        <f>IFERROR(__xludf.DUMMYFUNCTION("""COMPUTED_VALUE"""),"Logistics")</f>
        <v>Logistics</v>
      </c>
    </row>
    <row r="2938">
      <c r="A2938" s="131">
        <f>IFERROR(__xludf.DUMMYFUNCTION("""COMPUTED_VALUE"""),46187.419652777775)</f>
        <v>46187.41965</v>
      </c>
      <c r="B2938" s="126">
        <f>IFERROR(__xludf.DUMMYFUNCTION("""COMPUTED_VALUE"""),46187.0)</f>
        <v>46187</v>
      </c>
      <c r="C2938" s="130">
        <f>IFERROR(__xludf.DUMMYFUNCTION("""COMPUTED_VALUE"""),0.41965277777777776)</f>
        <v>0.4196527778</v>
      </c>
      <c r="D2938" s="122" t="str">
        <f>IFERROR(__xludf.DUMMYFUNCTION("""COMPUTED_VALUE"""),"SHIP")</f>
        <v>SHIP</v>
      </c>
      <c r="E2938" s="122" t="str">
        <f>IFERROR(__xludf.DUMMYFUNCTION("""COMPUTED_VALUE"""),"Seoul Shipping")</f>
        <v>Seoul Shipping</v>
      </c>
      <c r="F2938" s="122" t="str">
        <f>IFERROR(__xludf.DUMMYFUNCTION("""COMPUTED_VALUE"""),"Logistics")</f>
        <v>Logistics</v>
      </c>
    </row>
    <row r="2939">
      <c r="A2939" s="131">
        <f>IFERROR(__xludf.DUMMYFUNCTION("""COMPUTED_VALUE"""),46187.419652777775)</f>
        <v>46187.41965</v>
      </c>
      <c r="B2939" s="126">
        <f>IFERROR(__xludf.DUMMYFUNCTION("""COMPUTED_VALUE"""),46187.0)</f>
        <v>46187</v>
      </c>
      <c r="C2939" s="130">
        <f>IFERROR(__xludf.DUMMYFUNCTION("""COMPUTED_VALUE"""),0.41965277777777776)</f>
        <v>0.4196527778</v>
      </c>
      <c r="D2939" s="122" t="str">
        <f>IFERROR(__xludf.DUMMYFUNCTION("""COMPUTED_VALUE"""),"DRON")</f>
        <v>DRON</v>
      </c>
      <c r="E2939" s="122" t="str">
        <f>IFERROR(__xludf.DUMMYFUNCTION("""COMPUTED_VALUE"""),"DroneDrop")</f>
        <v>DroneDrop</v>
      </c>
      <c r="F2939" s="122" t="str">
        <f>IFERROR(__xludf.DUMMYFUNCTION("""COMPUTED_VALUE"""),"Logistics")</f>
        <v>Logistics</v>
      </c>
    </row>
    <row r="2940">
      <c r="A2940" s="131">
        <f>IFERROR(__xludf.DUMMYFUNCTION("""COMPUTED_VALUE"""),46187.419652777775)</f>
        <v>46187.41965</v>
      </c>
      <c r="B2940" s="126">
        <f>IFERROR(__xludf.DUMMYFUNCTION("""COMPUTED_VALUE"""),46187.0)</f>
        <v>46187</v>
      </c>
      <c r="C2940" s="130">
        <f>IFERROR(__xludf.DUMMYFUNCTION("""COMPUTED_VALUE"""),0.41965277777777776)</f>
        <v>0.4196527778</v>
      </c>
      <c r="D2940" s="122" t="str">
        <f>IFERROR(__xludf.DUMMYFUNCTION("""COMPUTED_VALUE"""),"RIDE")</f>
        <v>RIDE</v>
      </c>
      <c r="E2940" s="122" t="str">
        <f>IFERROR(__xludf.DUMMYFUNCTION("""COMPUTED_VALUE"""),"QuickRide")</f>
        <v>QuickRide</v>
      </c>
      <c r="F2940" s="122" t="str">
        <f>IFERROR(__xludf.DUMMYFUNCTION("""COMPUTED_VALUE"""),"Transportation")</f>
        <v>Transportation</v>
      </c>
    </row>
    <row r="2941">
      <c r="A2941" s="131">
        <f>IFERROR(__xludf.DUMMYFUNCTION("""COMPUTED_VALUE"""),46187.419652777775)</f>
        <v>46187.41965</v>
      </c>
      <c r="B2941" s="126">
        <f>IFERROR(__xludf.DUMMYFUNCTION("""COMPUTED_VALUE"""),46187.0)</f>
        <v>46187</v>
      </c>
      <c r="C2941" s="130">
        <f>IFERROR(__xludf.DUMMYFUNCTION("""COMPUTED_VALUE"""),0.41965277777777776)</f>
        <v>0.4196527778</v>
      </c>
      <c r="D2941" s="122" t="str">
        <f>IFERROR(__xludf.DUMMYFUNCTION("""COMPUTED_VALUE"""),"RAIL")</f>
        <v>RAIL</v>
      </c>
      <c r="E2941" s="122" t="str">
        <f>IFERROR(__xludf.DUMMYFUNCTION("""COMPUTED_VALUE"""),"MetroRail Corp")</f>
        <v>MetroRail Corp</v>
      </c>
      <c r="F2941" s="122" t="str">
        <f>IFERROR(__xludf.DUMMYFUNCTION("""COMPUTED_VALUE"""),"Transportation")</f>
        <v>Transportation</v>
      </c>
    </row>
    <row r="2942">
      <c r="A2942" s="131">
        <f>IFERROR(__xludf.DUMMYFUNCTION("""COMPUTED_VALUE"""),46187.419652777775)</f>
        <v>46187.41965</v>
      </c>
      <c r="B2942" s="126">
        <f>IFERROR(__xludf.DUMMYFUNCTION("""COMPUTED_VALUE"""),46187.0)</f>
        <v>46187</v>
      </c>
      <c r="C2942" s="130">
        <f>IFERROR(__xludf.DUMMYFUNCTION("""COMPUTED_VALUE"""),0.41965277777777776)</f>
        <v>0.4196527778</v>
      </c>
      <c r="D2942" s="122" t="str">
        <f>IFERROR(__xludf.DUMMYFUNCTION("""COMPUTED_VALUE"""),"MEDX")</f>
        <v>MEDX</v>
      </c>
      <c r="E2942" s="122" t="str">
        <f>IFERROR(__xludf.DUMMYFUNCTION("""COMPUTED_VALUE"""),"MediCore")</f>
        <v>MediCore</v>
      </c>
      <c r="F2942" s="122" t="str">
        <f>IFERROR(__xludf.DUMMYFUNCTION("""COMPUTED_VALUE"""),"Healthcare")</f>
        <v>Healthcare</v>
      </c>
    </row>
    <row r="2943">
      <c r="A2943" s="131">
        <f>IFERROR(__xludf.DUMMYFUNCTION("""COMPUTED_VALUE"""),46187.419652777775)</f>
        <v>46187.41965</v>
      </c>
      <c r="B2943" s="126">
        <f>IFERROR(__xludf.DUMMYFUNCTION("""COMPUTED_VALUE"""),46187.0)</f>
        <v>46187</v>
      </c>
      <c r="C2943" s="130">
        <f>IFERROR(__xludf.DUMMYFUNCTION("""COMPUTED_VALUE"""),0.41965277777777776)</f>
        <v>0.4196527778</v>
      </c>
      <c r="D2943" s="122" t="str">
        <f>IFERROR(__xludf.DUMMYFUNCTION("""COMPUTED_VALUE"""),"GYMX")</f>
        <v>GYMX</v>
      </c>
      <c r="E2943" s="122" t="str">
        <f>IFERROR(__xludf.DUMMYFUNCTION("""COMPUTED_VALUE"""),"GymX Fitness")</f>
        <v>GymX Fitness</v>
      </c>
      <c r="F2943" s="122" t="str">
        <f>IFERROR(__xludf.DUMMYFUNCTION("""COMPUTED_VALUE"""),"Healthcare")</f>
        <v>Healthcare</v>
      </c>
    </row>
    <row r="2944">
      <c r="A2944" s="131">
        <f>IFERROR(__xludf.DUMMYFUNCTION("""COMPUTED_VALUE"""),46187.419652777775)</f>
        <v>46187.41965</v>
      </c>
      <c r="B2944" s="126">
        <f>IFERROR(__xludf.DUMMYFUNCTION("""COMPUTED_VALUE"""),46187.0)</f>
        <v>46187</v>
      </c>
      <c r="C2944" s="130">
        <f>IFERROR(__xludf.DUMMYFUNCTION("""COMPUTED_VALUE"""),0.41965277777777776)</f>
        <v>0.4196527778</v>
      </c>
      <c r="D2944" s="122" t="str">
        <f>IFERROR(__xludf.DUMMYFUNCTION("""COMPUTED_VALUE"""),"VITA")</f>
        <v>VITA</v>
      </c>
      <c r="E2944" s="122" t="str">
        <f>IFERROR(__xludf.DUMMYFUNCTION("""COMPUTED_VALUE"""),"VitaPlus")</f>
        <v>VitaPlus</v>
      </c>
      <c r="F2944" s="122" t="str">
        <f>IFERROR(__xludf.DUMMYFUNCTION("""COMPUTED_VALUE"""),"Healthcare")</f>
        <v>Healthcare</v>
      </c>
    </row>
    <row r="2945">
      <c r="A2945" s="131">
        <f>IFERROR(__xludf.DUMMYFUNCTION("""COMPUTED_VALUE"""),46187.419652777775)</f>
        <v>46187.41965</v>
      </c>
      <c r="B2945" s="126">
        <f>IFERROR(__xludf.DUMMYFUNCTION("""COMPUTED_VALUE"""),46187.0)</f>
        <v>46187</v>
      </c>
      <c r="C2945" s="130">
        <f>IFERROR(__xludf.DUMMYFUNCTION("""COMPUTED_VALUE"""),0.41965277777777776)</f>
        <v>0.4196527778</v>
      </c>
      <c r="D2945" s="122" t="str">
        <f>IFERROR(__xludf.DUMMYFUNCTION("""COMPUTED_VALUE"""),"CARE")</f>
        <v>CARE</v>
      </c>
      <c r="E2945" s="122" t="str">
        <f>IFERROR(__xludf.DUMMYFUNCTION("""COMPUTED_VALUE"""),"CareCloud")</f>
        <v>CareCloud</v>
      </c>
      <c r="F2945" s="122" t="str">
        <f>IFERROR(__xludf.DUMMYFUNCTION("""COMPUTED_VALUE"""),"Healthcare")</f>
        <v>Healthcare</v>
      </c>
    </row>
    <row r="2946">
      <c r="A2946" s="131">
        <f>IFERROR(__xludf.DUMMYFUNCTION("""COMPUTED_VALUE"""),46187.419652777775)</f>
        <v>46187.41965</v>
      </c>
      <c r="B2946" s="126">
        <f>IFERROR(__xludf.DUMMYFUNCTION("""COMPUTED_VALUE"""),46187.0)</f>
        <v>46187</v>
      </c>
      <c r="C2946" s="130">
        <f>IFERROR(__xludf.DUMMYFUNCTION("""COMPUTED_VALUE"""),0.41965277777777776)</f>
        <v>0.4196527778</v>
      </c>
      <c r="D2946" s="122" t="str">
        <f>IFERROR(__xludf.DUMMYFUNCTION("""COMPUTED_VALUE"""),"DENT")</f>
        <v>DENT</v>
      </c>
      <c r="E2946" s="122" t="str">
        <f>IFERROR(__xludf.DUMMYFUNCTION("""COMPUTED_VALUE"""),"SmileWorks")</f>
        <v>SmileWorks</v>
      </c>
      <c r="F2946" s="122" t="str">
        <f>IFERROR(__xludf.DUMMYFUNCTION("""COMPUTED_VALUE"""),"Healthcare")</f>
        <v>Healthcare</v>
      </c>
    </row>
    <row r="2947">
      <c r="A2947" s="131">
        <f>IFERROR(__xludf.DUMMYFUNCTION("""COMPUTED_VALUE"""),46187.419652777775)</f>
        <v>46187.41965</v>
      </c>
      <c r="B2947" s="126">
        <f>IFERROR(__xludf.DUMMYFUNCTION("""COMPUTED_VALUE"""),46187.0)</f>
        <v>46187</v>
      </c>
      <c r="C2947" s="130">
        <f>IFERROR(__xludf.DUMMYFUNCTION("""COMPUTED_VALUE"""),0.41965277777777776)</f>
        <v>0.4196527778</v>
      </c>
      <c r="D2947" s="122" t="str">
        <f>IFERROR(__xludf.DUMMYFUNCTION("""COMPUTED_VALUE"""),"EDUX")</f>
        <v>EDUX</v>
      </c>
      <c r="E2947" s="122" t="str">
        <f>IFERROR(__xludf.DUMMYFUNCTION("""COMPUTED_VALUE"""),"EduMax Learning")</f>
        <v>EduMax Learning</v>
      </c>
      <c r="F2947" s="122" t="str">
        <f>IFERROR(__xludf.DUMMYFUNCTION("""COMPUTED_VALUE"""),"Education")</f>
        <v>Education</v>
      </c>
    </row>
    <row r="2948">
      <c r="A2948" s="131">
        <f>IFERROR(__xludf.DUMMYFUNCTION("""COMPUTED_VALUE"""),46187.419652777775)</f>
        <v>46187.41965</v>
      </c>
      <c r="B2948" s="126">
        <f>IFERROR(__xludf.DUMMYFUNCTION("""COMPUTED_VALUE"""),46187.0)</f>
        <v>46187</v>
      </c>
      <c r="C2948" s="130">
        <f>IFERROR(__xludf.DUMMYFUNCTION("""COMPUTED_VALUE"""),0.41965277777777776)</f>
        <v>0.4196527778</v>
      </c>
      <c r="D2948" s="122" t="str">
        <f>IFERROR(__xludf.DUMMYFUNCTION("""COMPUTED_VALUE"""),"BOOK")</f>
        <v>BOOK</v>
      </c>
      <c r="E2948" s="122" t="str">
        <f>IFERROR(__xludf.DUMMYFUNCTION("""COMPUTED_VALUE"""),"BookBridge")</f>
        <v>BookBridge</v>
      </c>
      <c r="F2948" s="122" t="str">
        <f>IFERROR(__xludf.DUMMYFUNCTION("""COMPUTED_VALUE"""),"Education")</f>
        <v>Education</v>
      </c>
    </row>
    <row r="2949">
      <c r="A2949" s="131">
        <f>IFERROR(__xludf.DUMMYFUNCTION("""COMPUTED_VALUE"""),46187.419652777775)</f>
        <v>46187.41965</v>
      </c>
      <c r="B2949" s="126">
        <f>IFERROR(__xludf.DUMMYFUNCTION("""COMPUTED_VALUE"""),46187.0)</f>
        <v>46187</v>
      </c>
      <c r="C2949" s="130">
        <f>IFERROR(__xludf.DUMMYFUNCTION("""COMPUTED_VALUE"""),0.41965277777777776)</f>
        <v>0.4196527778</v>
      </c>
      <c r="D2949" s="122" t="str">
        <f>IFERROR(__xludf.DUMMYFUNCTION("""COMPUTED_VALUE"""),"TUTR")</f>
        <v>TUTR</v>
      </c>
      <c r="E2949" s="122" t="str">
        <f>IFERROR(__xludf.DUMMYFUNCTION("""COMPUTED_VALUE"""),"TutorTown")</f>
        <v>TutorTown</v>
      </c>
      <c r="F2949" s="122" t="str">
        <f>IFERROR(__xludf.DUMMYFUNCTION("""COMPUTED_VALUE"""),"Education")</f>
        <v>Education</v>
      </c>
    </row>
    <row r="2950">
      <c r="A2950" s="131">
        <f>IFERROR(__xludf.DUMMYFUNCTION("""COMPUTED_VALUE"""),46187.419652777775)</f>
        <v>46187.41965</v>
      </c>
      <c r="B2950" s="126">
        <f>IFERROR(__xludf.DUMMYFUNCTION("""COMPUTED_VALUE"""),46187.0)</f>
        <v>46187</v>
      </c>
      <c r="C2950" s="130">
        <f>IFERROR(__xludf.DUMMYFUNCTION("""COMPUTED_VALUE"""),0.41965277777777776)</f>
        <v>0.4196527778</v>
      </c>
      <c r="D2950" s="122" t="str">
        <f>IFERROR(__xludf.DUMMYFUNCTION("""COMPUTED_VALUE"""),"LANG")</f>
        <v>LANG</v>
      </c>
      <c r="E2950" s="122" t="str">
        <f>IFERROR(__xludf.DUMMYFUNCTION("""COMPUTED_VALUE"""),"LinguaLab")</f>
        <v>LinguaLab</v>
      </c>
      <c r="F2950" s="122" t="str">
        <f>IFERROR(__xludf.DUMMYFUNCTION("""COMPUTED_VALUE"""),"Education")</f>
        <v>Education</v>
      </c>
    </row>
    <row r="2951">
      <c r="A2951" s="131">
        <f>IFERROR(__xludf.DUMMYFUNCTION("""COMPUTED_VALUE"""),46187.419652777775)</f>
        <v>46187.41965</v>
      </c>
      <c r="B2951" s="126">
        <f>IFERROR(__xludf.DUMMYFUNCTION("""COMPUTED_VALUE"""),46187.0)</f>
        <v>46187</v>
      </c>
      <c r="C2951" s="130">
        <f>IFERROR(__xludf.DUMMYFUNCTION("""COMPUTED_VALUE"""),0.41965277777777776)</f>
        <v>0.4196527778</v>
      </c>
      <c r="D2951" s="122" t="str">
        <f>IFERROR(__xludf.DUMMYFUNCTION("""COMPUTED_VALUE"""),"TEST")</f>
        <v>TEST</v>
      </c>
      <c r="E2951" s="122" t="str">
        <f>IFERROR(__xludf.DUMMYFUNCTION("""COMPUTED_VALUE"""),"TestPrep Pro")</f>
        <v>TestPrep Pro</v>
      </c>
      <c r="F2951" s="122" t="str">
        <f>IFERROR(__xludf.DUMMYFUNCTION("""COMPUTED_VALUE"""),"Education")</f>
        <v>Education</v>
      </c>
    </row>
    <row r="2952">
      <c r="A2952" s="131">
        <f>IFERROR(__xludf.DUMMYFUNCTION("""COMPUTED_VALUE"""),46187.419652777775)</f>
        <v>46187.41965</v>
      </c>
      <c r="B2952" s="126">
        <f>IFERROR(__xludf.DUMMYFUNCTION("""COMPUTED_VALUE"""),46187.0)</f>
        <v>46187</v>
      </c>
      <c r="C2952" s="130">
        <f>IFERROR(__xludf.DUMMYFUNCTION("""COMPUTED_VALUE"""),0.41965277777777776)</f>
        <v>0.4196527778</v>
      </c>
      <c r="D2952" s="122" t="str">
        <f>IFERROR(__xludf.DUMMYFUNCTION("""COMPUTED_VALUE"""),"MOVI")</f>
        <v>MOVI</v>
      </c>
      <c r="E2952" s="122" t="str">
        <f>IFERROR(__xludf.DUMMYFUNCTION("""COMPUTED_VALUE"""),"MovieBox")</f>
        <v>MovieBox</v>
      </c>
      <c r="F2952" s="122" t="str">
        <f>IFERROR(__xludf.DUMMYFUNCTION("""COMPUTED_VALUE"""),"Entertainment")</f>
        <v>Entertainment</v>
      </c>
    </row>
    <row r="2953">
      <c r="A2953" s="131">
        <f>IFERROR(__xludf.DUMMYFUNCTION("""COMPUTED_VALUE"""),46187.419652777775)</f>
        <v>46187.41965</v>
      </c>
      <c r="B2953" s="126">
        <f>IFERROR(__xludf.DUMMYFUNCTION("""COMPUTED_VALUE"""),46187.0)</f>
        <v>46187</v>
      </c>
      <c r="C2953" s="130">
        <f>IFERROR(__xludf.DUMMYFUNCTION("""COMPUTED_VALUE"""),0.41965277777777776)</f>
        <v>0.4196527778</v>
      </c>
      <c r="D2953" s="122" t="str">
        <f>IFERROR(__xludf.DUMMYFUNCTION("""COMPUTED_VALUE"""),"MUSC")</f>
        <v>MUSC</v>
      </c>
      <c r="E2953" s="122" t="str">
        <f>IFERROR(__xludf.DUMMYFUNCTION("""COMPUTED_VALUE"""),"MusicWave")</f>
        <v>MusicWave</v>
      </c>
      <c r="F2953" s="122" t="str">
        <f>IFERROR(__xludf.DUMMYFUNCTION("""COMPUTED_VALUE"""),"Entertainment")</f>
        <v>Entertainment</v>
      </c>
    </row>
    <row r="2954">
      <c r="A2954" s="131">
        <f>IFERROR(__xludf.DUMMYFUNCTION("""COMPUTED_VALUE"""),46187.419652777775)</f>
        <v>46187.41965</v>
      </c>
      <c r="B2954" s="126">
        <f>IFERROR(__xludf.DUMMYFUNCTION("""COMPUTED_VALUE"""),46187.0)</f>
        <v>46187</v>
      </c>
      <c r="C2954" s="130">
        <f>IFERROR(__xludf.DUMMYFUNCTION("""COMPUTED_VALUE"""),0.41965277777777776)</f>
        <v>0.4196527778</v>
      </c>
      <c r="D2954" s="122" t="str">
        <f>IFERROR(__xludf.DUMMYFUNCTION("""COMPUTED_VALUE"""),"IDOL")</f>
        <v>IDOL</v>
      </c>
      <c r="E2954" s="122" t="str">
        <f>IFERROR(__xludf.DUMMYFUNCTION("""COMPUTED_VALUE"""),"Idol Agency")</f>
        <v>Idol Agency</v>
      </c>
      <c r="F2954" s="122" t="str">
        <f>IFERROR(__xludf.DUMMYFUNCTION("""COMPUTED_VALUE"""),"Entertainment")</f>
        <v>Entertainment</v>
      </c>
    </row>
    <row r="2955">
      <c r="A2955" s="131">
        <f>IFERROR(__xludf.DUMMYFUNCTION("""COMPUTED_VALUE"""),46187.419652777775)</f>
        <v>46187.41965</v>
      </c>
      <c r="B2955" s="126">
        <f>IFERROR(__xludf.DUMMYFUNCTION("""COMPUTED_VALUE"""),46187.0)</f>
        <v>46187</v>
      </c>
      <c r="C2955" s="130">
        <f>IFERROR(__xludf.DUMMYFUNCTION("""COMPUTED_VALUE"""),0.41965277777777776)</f>
        <v>0.4196527778</v>
      </c>
      <c r="D2955" s="122" t="str">
        <f>IFERROR(__xludf.DUMMYFUNCTION("""COMPUTED_VALUE"""),"MEME")</f>
        <v>MEME</v>
      </c>
      <c r="E2955" s="122" t="str">
        <f>IFERROR(__xludf.DUMMYFUNCTION("""COMPUTED_VALUE"""),"Meme Media")</f>
        <v>Meme Media</v>
      </c>
      <c r="F2955" s="122" t="str">
        <f>IFERROR(__xludf.DUMMYFUNCTION("""COMPUTED_VALUE"""),"Entertainment")</f>
        <v>Entertainment</v>
      </c>
    </row>
    <row r="2956">
      <c r="A2956" s="131">
        <f>IFERROR(__xludf.DUMMYFUNCTION("""COMPUTED_VALUE"""),46187.419652777775)</f>
        <v>46187.41965</v>
      </c>
      <c r="B2956" s="126">
        <f>IFERROR(__xludf.DUMMYFUNCTION("""COMPUTED_VALUE"""),46187.0)</f>
        <v>46187</v>
      </c>
      <c r="C2956" s="130">
        <f>IFERROR(__xludf.DUMMYFUNCTION("""COMPUTED_VALUE"""),0.41965277777777776)</f>
        <v>0.4196527778</v>
      </c>
      <c r="D2956" s="122" t="str">
        <f>IFERROR(__xludf.DUMMYFUNCTION("""COMPUTED_VALUE"""),"STRM")</f>
        <v>STRM</v>
      </c>
      <c r="E2956" s="122" t="str">
        <f>IFERROR(__xludf.DUMMYFUNCTION("""COMPUTED_VALUE"""),"Streamly")</f>
        <v>Streamly</v>
      </c>
      <c r="F2956" s="122" t="str">
        <f>IFERROR(__xludf.DUMMYFUNCTION("""COMPUTED_VALUE"""),"Entertainment")</f>
        <v>Entertainment</v>
      </c>
    </row>
    <row r="2957">
      <c r="A2957" s="131">
        <f>IFERROR(__xludf.DUMMYFUNCTION("""COMPUTED_VALUE"""),46187.419652777775)</f>
        <v>46187.41965</v>
      </c>
      <c r="B2957" s="126">
        <f>IFERROR(__xludf.DUMMYFUNCTION("""COMPUTED_VALUE"""),46187.0)</f>
        <v>46187</v>
      </c>
      <c r="C2957" s="130">
        <f>IFERROR(__xludf.DUMMYFUNCTION("""COMPUTED_VALUE"""),0.41965277777777776)</f>
        <v>0.4196527778</v>
      </c>
      <c r="D2957" s="122" t="str">
        <f>IFERROR(__xludf.DUMMYFUNCTION("""COMPUTED_VALUE"""),"FARM")</f>
        <v>FARM</v>
      </c>
      <c r="E2957" s="122" t="str">
        <f>IFERROR(__xludf.DUMMYFUNCTION("""COMPUTED_VALUE"""),"Future Farms")</f>
        <v>Future Farms</v>
      </c>
      <c r="F2957" s="122" t="str">
        <f>IFERROR(__xludf.DUMMYFUNCTION("""COMPUTED_VALUE"""),"Agriculture")</f>
        <v>Agriculture</v>
      </c>
    </row>
    <row r="2958">
      <c r="A2958" s="131">
        <f>IFERROR(__xludf.DUMMYFUNCTION("""COMPUTED_VALUE"""),46187.419652777775)</f>
        <v>46187.41965</v>
      </c>
      <c r="B2958" s="126">
        <f>IFERROR(__xludf.DUMMYFUNCTION("""COMPUTED_VALUE"""),46187.0)</f>
        <v>46187</v>
      </c>
      <c r="C2958" s="130">
        <f>IFERROR(__xludf.DUMMYFUNCTION("""COMPUTED_VALUE"""),0.41965277777777776)</f>
        <v>0.4196527778</v>
      </c>
      <c r="D2958" s="122" t="str">
        <f>IFERROR(__xludf.DUMMYFUNCTION("""COMPUTED_VALUE"""),"MEAT")</f>
        <v>MEAT</v>
      </c>
      <c r="E2958" s="122" t="str">
        <f>IFERROR(__xludf.DUMMYFUNCTION("""COMPUTED_VALUE"""),"MeatWorks")</f>
        <v>MeatWorks</v>
      </c>
      <c r="F2958" s="122" t="str">
        <f>IFERROR(__xludf.DUMMYFUNCTION("""COMPUTED_VALUE"""),"Food")</f>
        <v>Food</v>
      </c>
    </row>
    <row r="2959">
      <c r="A2959" s="131">
        <f>IFERROR(__xludf.DUMMYFUNCTION("""COMPUTED_VALUE"""),46187.419652777775)</f>
        <v>46187.41965</v>
      </c>
      <c r="B2959" s="126">
        <f>IFERROR(__xludf.DUMMYFUNCTION("""COMPUTED_VALUE"""),46187.0)</f>
        <v>46187</v>
      </c>
      <c r="C2959" s="130">
        <f>IFERROR(__xludf.DUMMYFUNCTION("""COMPUTED_VALUE"""),0.41965277777777776)</f>
        <v>0.4196527778</v>
      </c>
      <c r="D2959" s="122" t="str">
        <f>IFERROR(__xludf.DUMMYFUNCTION("""COMPUTED_VALUE"""),"VEGI")</f>
        <v>VEGI</v>
      </c>
      <c r="E2959" s="122" t="str">
        <f>IFERROR(__xludf.DUMMYFUNCTION("""COMPUTED_VALUE"""),"Green Basket")</f>
        <v>Green Basket</v>
      </c>
      <c r="F2959" s="122" t="str">
        <f>IFERROR(__xludf.DUMMYFUNCTION("""COMPUTED_VALUE"""),"Food")</f>
        <v>Food</v>
      </c>
    </row>
    <row r="2960">
      <c r="A2960" s="131">
        <f>IFERROR(__xludf.DUMMYFUNCTION("""COMPUTED_VALUE"""),46187.419652777775)</f>
        <v>46187.41965</v>
      </c>
      <c r="B2960" s="126">
        <f>IFERROR(__xludf.DUMMYFUNCTION("""COMPUTED_VALUE"""),46187.0)</f>
        <v>46187</v>
      </c>
      <c r="C2960" s="130">
        <f>IFERROR(__xludf.DUMMYFUNCTION("""COMPUTED_VALUE"""),0.41965277777777776)</f>
        <v>0.4196527778</v>
      </c>
      <c r="D2960" s="122" t="str">
        <f>IFERROR(__xludf.DUMMYFUNCTION("""COMPUTED_VALUE"""),"CAFE")</f>
        <v>CAFE</v>
      </c>
      <c r="E2960" s="122" t="str">
        <f>IFERROR(__xludf.DUMMYFUNCTION("""COMPUTED_VALUE"""),"Cafe Cloud")</f>
        <v>Cafe Cloud</v>
      </c>
      <c r="F2960" s="122" t="str">
        <f>IFERROR(__xludf.DUMMYFUNCTION("""COMPUTED_VALUE"""),"Food")</f>
        <v>Food</v>
      </c>
    </row>
    <row r="2961">
      <c r="A2961" s="131">
        <f>IFERROR(__xludf.DUMMYFUNCTION("""COMPUTED_VALUE"""),46187.419652777775)</f>
        <v>46187.41965</v>
      </c>
      <c r="B2961" s="126">
        <f>IFERROR(__xludf.DUMMYFUNCTION("""COMPUTED_VALUE"""),46187.0)</f>
        <v>46187</v>
      </c>
      <c r="C2961" s="130">
        <f>IFERROR(__xludf.DUMMYFUNCTION("""COMPUTED_VALUE"""),0.41965277777777776)</f>
        <v>0.4196527778</v>
      </c>
      <c r="D2961" s="122" t="str">
        <f>IFERROR(__xludf.DUMMYFUNCTION("""COMPUTED_VALUE"""),"BAKE")</f>
        <v>BAKE</v>
      </c>
      <c r="E2961" s="122" t="str">
        <f>IFERROR(__xludf.DUMMYFUNCTION("""COMPUTED_VALUE"""),"BakeHouse")</f>
        <v>BakeHouse</v>
      </c>
      <c r="F2961" s="122" t="str">
        <f>IFERROR(__xludf.DUMMYFUNCTION("""COMPUTED_VALUE"""),"Food")</f>
        <v>Food</v>
      </c>
    </row>
    <row r="2962">
      <c r="A2962" s="131">
        <f>IFERROR(__xludf.DUMMYFUNCTION("""COMPUTED_VALUE"""),46187.419652777775)</f>
        <v>46187.41965</v>
      </c>
      <c r="B2962" s="126">
        <f>IFERROR(__xludf.DUMMYFUNCTION("""COMPUTED_VALUE"""),46187.0)</f>
        <v>46187</v>
      </c>
      <c r="C2962" s="130">
        <f>IFERROR(__xludf.DUMMYFUNCTION("""COMPUTED_VALUE"""),0.41965277777777776)</f>
        <v>0.4196527778</v>
      </c>
      <c r="D2962" s="122" t="str">
        <f>IFERROR(__xludf.DUMMYFUNCTION("""COMPUTED_VALUE"""),"OILX")</f>
        <v>OILX</v>
      </c>
      <c r="E2962" s="122" t="str">
        <f>IFERROR(__xludf.DUMMYFUNCTION("""COMPUTED_VALUE"""),"OilMax Energy")</f>
        <v>OilMax Energy</v>
      </c>
      <c r="F2962" s="122" t="str">
        <f>IFERROR(__xludf.DUMMYFUNCTION("""COMPUTED_VALUE"""),"Energy")</f>
        <v>Energy</v>
      </c>
    </row>
    <row r="2963">
      <c r="A2963" s="131">
        <f>IFERROR(__xludf.DUMMYFUNCTION("""COMPUTED_VALUE"""),46187.419652777775)</f>
        <v>46187.41965</v>
      </c>
      <c r="B2963" s="126">
        <f>IFERROR(__xludf.DUMMYFUNCTION("""COMPUTED_VALUE"""),46187.0)</f>
        <v>46187</v>
      </c>
      <c r="C2963" s="130">
        <f>IFERROR(__xludf.DUMMYFUNCTION("""COMPUTED_VALUE"""),0.41965277777777776)</f>
        <v>0.4196527778</v>
      </c>
      <c r="D2963" s="122" t="str">
        <f>IFERROR(__xludf.DUMMYFUNCTION("""COMPUTED_VALUE"""),"SOLR")</f>
        <v>SOLR</v>
      </c>
      <c r="E2963" s="122" t="str">
        <f>IFERROR(__xludf.DUMMYFUNCTION("""COMPUTED_VALUE"""),"SolarSpark")</f>
        <v>SolarSpark</v>
      </c>
      <c r="F2963" s="122" t="str">
        <f>IFERROR(__xludf.DUMMYFUNCTION("""COMPUTED_VALUE"""),"Energy")</f>
        <v>Energy</v>
      </c>
    </row>
    <row r="2964">
      <c r="A2964" s="131">
        <f>IFERROR(__xludf.DUMMYFUNCTION("""COMPUTED_VALUE"""),46187.419652777775)</f>
        <v>46187.41965</v>
      </c>
      <c r="B2964" s="126">
        <f>IFERROR(__xludf.DUMMYFUNCTION("""COMPUTED_VALUE"""),46187.0)</f>
        <v>46187</v>
      </c>
      <c r="C2964" s="130">
        <f>IFERROR(__xludf.DUMMYFUNCTION("""COMPUTED_VALUE"""),0.41965277777777776)</f>
        <v>0.4196527778</v>
      </c>
      <c r="D2964" s="122" t="str">
        <f>IFERROR(__xludf.DUMMYFUNCTION("""COMPUTED_VALUE"""),"BATT")</f>
        <v>BATT</v>
      </c>
      <c r="E2964" s="122" t="str">
        <f>IFERROR(__xludf.DUMMYFUNCTION("""COMPUTED_VALUE"""),"BatteryBox")</f>
        <v>BatteryBox</v>
      </c>
      <c r="F2964" s="122" t="str">
        <f>IFERROR(__xludf.DUMMYFUNCTION("""COMPUTED_VALUE"""),"Energy")</f>
        <v>Energy</v>
      </c>
    </row>
    <row r="2965">
      <c r="A2965" s="131">
        <f>IFERROR(__xludf.DUMMYFUNCTION("""COMPUTED_VALUE"""),46187.419652777775)</f>
        <v>46187.41965</v>
      </c>
      <c r="B2965" s="126">
        <f>IFERROR(__xludf.DUMMYFUNCTION("""COMPUTED_VALUE"""),46187.0)</f>
        <v>46187</v>
      </c>
      <c r="C2965" s="130">
        <f>IFERROR(__xludf.DUMMYFUNCTION("""COMPUTED_VALUE"""),0.41965277777777776)</f>
        <v>0.4196527778</v>
      </c>
      <c r="D2965" s="122" t="str">
        <f>IFERROR(__xludf.DUMMYFUNCTION("""COMPUTED_VALUE"""),"WIND")</f>
        <v>WIND</v>
      </c>
      <c r="E2965" s="122" t="str">
        <f>IFERROR(__xludf.DUMMYFUNCTION("""COMPUTED_VALUE"""),"WindWorks")</f>
        <v>WindWorks</v>
      </c>
      <c r="F2965" s="122" t="str">
        <f>IFERROR(__xludf.DUMMYFUNCTION("""COMPUTED_VALUE"""),"Energy")</f>
        <v>Energy</v>
      </c>
    </row>
    <row r="2966">
      <c r="A2966" s="131">
        <f>IFERROR(__xludf.DUMMYFUNCTION("""COMPUTED_VALUE"""),46187.419652777775)</f>
        <v>46187.41965</v>
      </c>
      <c r="B2966" s="126">
        <f>IFERROR(__xludf.DUMMYFUNCTION("""COMPUTED_VALUE"""),46187.0)</f>
        <v>46187</v>
      </c>
      <c r="C2966" s="130">
        <f>IFERROR(__xludf.DUMMYFUNCTION("""COMPUTED_VALUE"""),0.41965277777777776)</f>
        <v>0.4196527778</v>
      </c>
      <c r="D2966" s="122" t="str">
        <f>IFERROR(__xludf.DUMMYFUNCTION("""COMPUTED_VALUE"""),"GRID")</f>
        <v>GRID</v>
      </c>
      <c r="E2966" s="122" t="str">
        <f>IFERROR(__xludf.DUMMYFUNCTION("""COMPUTED_VALUE"""),"GridPower")</f>
        <v>GridPower</v>
      </c>
      <c r="F2966" s="122" t="str">
        <f>IFERROR(__xludf.DUMMYFUNCTION("""COMPUTED_VALUE"""),"Energy")</f>
        <v>Energy</v>
      </c>
    </row>
    <row r="2967">
      <c r="A2967" s="131">
        <f>IFERROR(__xludf.DUMMYFUNCTION("""COMPUTED_VALUE"""),46187.419652777775)</f>
        <v>46187.41965</v>
      </c>
      <c r="B2967" s="126">
        <f>IFERROR(__xludf.DUMMYFUNCTION("""COMPUTED_VALUE"""),46187.0)</f>
        <v>46187</v>
      </c>
      <c r="C2967" s="130">
        <f>IFERROR(__xludf.DUMMYFUNCTION("""COMPUTED_VALUE"""),0.41965277777777776)</f>
        <v>0.4196527778</v>
      </c>
      <c r="D2967" s="122" t="str">
        <f>IFERROR(__xludf.DUMMYFUNCTION("""COMPUTED_VALUE"""),"HOME")</f>
        <v>HOME</v>
      </c>
      <c r="E2967" s="122" t="str">
        <f>IFERROR(__xludf.DUMMYFUNCTION("""COMPUTED_VALUE"""),"HomeHub")</f>
        <v>HomeHub</v>
      </c>
      <c r="F2967" s="122" t="str">
        <f>IFERROR(__xludf.DUMMYFUNCTION("""COMPUTED_VALUE"""),"Real Estate")</f>
        <v>Real Estate</v>
      </c>
    </row>
    <row r="2968">
      <c r="A2968" s="131">
        <f>IFERROR(__xludf.DUMMYFUNCTION("""COMPUTED_VALUE"""),46187.419652777775)</f>
        <v>46187.41965</v>
      </c>
      <c r="B2968" s="126">
        <f>IFERROR(__xludf.DUMMYFUNCTION("""COMPUTED_VALUE"""),46187.0)</f>
        <v>46187</v>
      </c>
      <c r="C2968" s="130">
        <f>IFERROR(__xludf.DUMMYFUNCTION("""COMPUTED_VALUE"""),0.41965277777777776)</f>
        <v>0.4196527778</v>
      </c>
      <c r="D2968" s="122" t="str">
        <f>IFERROR(__xludf.DUMMYFUNCTION("""COMPUTED_VALUE"""),"RENT")</f>
        <v>RENT</v>
      </c>
      <c r="E2968" s="122" t="str">
        <f>IFERROR(__xludf.DUMMYFUNCTION("""COMPUTED_VALUE"""),"RentRight")</f>
        <v>RentRight</v>
      </c>
      <c r="F2968" s="122" t="str">
        <f>IFERROR(__xludf.DUMMYFUNCTION("""COMPUTED_VALUE"""),"Real Estate")</f>
        <v>Real Estate</v>
      </c>
    </row>
    <row r="2969">
      <c r="A2969" s="131">
        <f>IFERROR(__xludf.DUMMYFUNCTION("""COMPUTED_VALUE"""),46187.419652777775)</f>
        <v>46187.41965</v>
      </c>
      <c r="B2969" s="126">
        <f>IFERROR(__xludf.DUMMYFUNCTION("""COMPUTED_VALUE"""),46187.0)</f>
        <v>46187</v>
      </c>
      <c r="C2969" s="130">
        <f>IFERROR(__xludf.DUMMYFUNCTION("""COMPUTED_VALUE"""),0.41965277777777776)</f>
        <v>0.4196527778</v>
      </c>
      <c r="D2969" s="122" t="str">
        <f>IFERROR(__xludf.DUMMYFUNCTION("""COMPUTED_VALUE"""),"MALL")</f>
        <v>MALL</v>
      </c>
      <c r="E2969" s="122" t="str">
        <f>IFERROR(__xludf.DUMMYFUNCTION("""COMPUTED_VALUE"""),"MegaMall")</f>
        <v>MegaMall</v>
      </c>
      <c r="F2969" s="122" t="str">
        <f>IFERROR(__xludf.DUMMYFUNCTION("""COMPUTED_VALUE"""),"Real Estate")</f>
        <v>Real Estate</v>
      </c>
    </row>
    <row r="2970">
      <c r="A2970" s="131">
        <f>IFERROR(__xludf.DUMMYFUNCTION("""COMPUTED_VALUE"""),46187.419652777775)</f>
        <v>46187.41965</v>
      </c>
      <c r="B2970" s="126">
        <f>IFERROR(__xludf.DUMMYFUNCTION("""COMPUTED_VALUE"""),46187.0)</f>
        <v>46187</v>
      </c>
      <c r="C2970" s="130">
        <f>IFERROR(__xludf.DUMMYFUNCTION("""COMPUTED_VALUE"""),0.41965277777777776)</f>
        <v>0.4196527778</v>
      </c>
      <c r="D2970" s="122" t="str">
        <f>IFERROR(__xludf.DUMMYFUNCTION("""COMPUTED_VALUE"""),"HOTL")</f>
        <v>HOTL</v>
      </c>
      <c r="E2970" s="122" t="str">
        <f>IFERROR(__xludf.DUMMYFUNCTION("""COMPUTED_VALUE"""),"HotelHive")</f>
        <v>HotelHive</v>
      </c>
      <c r="F2970" s="122" t="str">
        <f>IFERROR(__xludf.DUMMYFUNCTION("""COMPUTED_VALUE"""),"Real Estate")</f>
        <v>Real Estate</v>
      </c>
    </row>
    <row r="2971">
      <c r="A2971" s="131">
        <f>IFERROR(__xludf.DUMMYFUNCTION("""COMPUTED_VALUE"""),46187.419652777775)</f>
        <v>46187.41965</v>
      </c>
      <c r="B2971" s="126">
        <f>IFERROR(__xludf.DUMMYFUNCTION("""COMPUTED_VALUE"""),46187.0)</f>
        <v>46187</v>
      </c>
      <c r="C2971" s="130">
        <f>IFERROR(__xludf.DUMMYFUNCTION("""COMPUTED_VALUE"""),0.41965277777777776)</f>
        <v>0.4196527778</v>
      </c>
      <c r="D2971" s="122" t="str">
        <f>IFERROR(__xludf.DUMMYFUNCTION("""COMPUTED_VALUE"""),"LAND")</f>
        <v>LAND</v>
      </c>
      <c r="E2971" s="122" t="str">
        <f>IFERROR(__xludf.DUMMYFUNCTION("""COMPUTED_VALUE"""),"LandLink")</f>
        <v>LandLink</v>
      </c>
      <c r="F2971" s="122" t="str">
        <f>IFERROR(__xludf.DUMMYFUNCTION("""COMPUTED_VALUE"""),"Real Estate")</f>
        <v>Real Estate</v>
      </c>
    </row>
    <row r="2972">
      <c r="A2972" s="131">
        <f>IFERROR(__xludf.DUMMYFUNCTION("""COMPUTED_VALUE"""),46187.419652777775)</f>
        <v>46187.41965</v>
      </c>
      <c r="B2972" s="126">
        <f>IFERROR(__xludf.DUMMYFUNCTION("""COMPUTED_VALUE"""),46187.0)</f>
        <v>46187</v>
      </c>
      <c r="C2972" s="130">
        <f>IFERROR(__xludf.DUMMYFUNCTION("""COMPUTED_VALUE"""),0.41965277777777776)</f>
        <v>0.4196527778</v>
      </c>
      <c r="D2972" s="122" t="str">
        <f>IFERROR(__xludf.DUMMYFUNCTION("""COMPUTED_VALUE"""),"CARS")</f>
        <v>CARS</v>
      </c>
      <c r="E2972" s="122" t="str">
        <f>IFERROR(__xludf.DUMMYFUNCTION("""COMPUTED_VALUE"""),"AutoArena")</f>
        <v>AutoArena</v>
      </c>
      <c r="F2972" s="122" t="str">
        <f>IFERROR(__xludf.DUMMYFUNCTION("""COMPUTED_VALUE"""),"Automotive")</f>
        <v>Automotive</v>
      </c>
    </row>
    <row r="2973">
      <c r="A2973" s="131">
        <f>IFERROR(__xludf.DUMMYFUNCTION("""COMPUTED_VALUE"""),46187.419652777775)</f>
        <v>46187.41965</v>
      </c>
      <c r="B2973" s="126">
        <f>IFERROR(__xludf.DUMMYFUNCTION("""COMPUTED_VALUE"""),46187.0)</f>
        <v>46187</v>
      </c>
      <c r="C2973" s="130">
        <f>IFERROR(__xludf.DUMMYFUNCTION("""COMPUTED_VALUE"""),0.41965277777777776)</f>
        <v>0.4196527778</v>
      </c>
      <c r="D2973" s="122" t="str">
        <f>IFERROR(__xludf.DUMMYFUNCTION("""COMPUTED_VALUE"""),"EVGO")</f>
        <v>EVGO</v>
      </c>
      <c r="E2973" s="122" t="str">
        <f>IFERROR(__xludf.DUMMYFUNCTION("""COMPUTED_VALUE"""),"EVGo Motors")</f>
        <v>EVGo Motors</v>
      </c>
      <c r="F2973" s="122" t="str">
        <f>IFERROR(__xludf.DUMMYFUNCTION("""COMPUTED_VALUE"""),"Automotive")</f>
        <v>Automotive</v>
      </c>
    </row>
    <row r="2974">
      <c r="A2974" s="131">
        <f>IFERROR(__xludf.DUMMYFUNCTION("""COMPUTED_VALUE"""),46187.419652777775)</f>
        <v>46187.41965</v>
      </c>
      <c r="B2974" s="126">
        <f>IFERROR(__xludf.DUMMYFUNCTION("""COMPUTED_VALUE"""),46187.0)</f>
        <v>46187</v>
      </c>
      <c r="C2974" s="130">
        <f>IFERROR(__xludf.DUMMYFUNCTION("""COMPUTED_VALUE"""),0.41965277777777776)</f>
        <v>0.4196527778</v>
      </c>
      <c r="D2974" s="122" t="str">
        <f>IFERROR(__xludf.DUMMYFUNCTION("""COMPUTED_VALUE"""),"TIRE")</f>
        <v>TIRE</v>
      </c>
      <c r="E2974" s="122" t="str">
        <f>IFERROR(__xludf.DUMMYFUNCTION("""COMPUTED_VALUE"""),"TireTown")</f>
        <v>TireTown</v>
      </c>
      <c r="F2974" s="122" t="str">
        <f>IFERROR(__xludf.DUMMYFUNCTION("""COMPUTED_VALUE"""),"Automotive")</f>
        <v>Automotive</v>
      </c>
    </row>
    <row r="2975">
      <c r="A2975" s="131">
        <f>IFERROR(__xludf.DUMMYFUNCTION("""COMPUTED_VALUE"""),46187.419652777775)</f>
        <v>46187.41965</v>
      </c>
      <c r="B2975" s="126">
        <f>IFERROR(__xludf.DUMMYFUNCTION("""COMPUTED_VALUE"""),46187.0)</f>
        <v>46187</v>
      </c>
      <c r="C2975" s="130">
        <f>IFERROR(__xludf.DUMMYFUNCTION("""COMPUTED_VALUE"""),0.41965277777777776)</f>
        <v>0.4196527778</v>
      </c>
      <c r="D2975" s="122" t="str">
        <f>IFERROR(__xludf.DUMMYFUNCTION("""COMPUTED_VALUE"""),"BIKE")</f>
        <v>BIKE</v>
      </c>
      <c r="E2975" s="122" t="str">
        <f>IFERROR(__xludf.DUMMYFUNCTION("""COMPUTED_VALUE"""),"BikeBox")</f>
        <v>BikeBox</v>
      </c>
      <c r="F2975" s="122" t="str">
        <f>IFERROR(__xludf.DUMMYFUNCTION("""COMPUTED_VALUE"""),"Automotive")</f>
        <v>Automotive</v>
      </c>
    </row>
    <row r="2976">
      <c r="A2976" s="131">
        <f>IFERROR(__xludf.DUMMYFUNCTION("""COMPUTED_VALUE"""),46187.419652777775)</f>
        <v>46187.41965</v>
      </c>
      <c r="B2976" s="126">
        <f>IFERROR(__xludf.DUMMYFUNCTION("""COMPUTED_VALUE"""),46187.0)</f>
        <v>46187</v>
      </c>
      <c r="C2976" s="130">
        <f>IFERROR(__xludf.DUMMYFUNCTION("""COMPUTED_VALUE"""),0.41965277777777776)</f>
        <v>0.4196527778</v>
      </c>
      <c r="D2976" s="122" t="str">
        <f>IFERROR(__xludf.DUMMYFUNCTION("""COMPUTED_VALUE"""),"WASH")</f>
        <v>WASH</v>
      </c>
      <c r="E2976" s="122" t="str">
        <f>IFERROR(__xludf.DUMMYFUNCTION("""COMPUTED_VALUE"""),"CarWash Co")</f>
        <v>CarWash Co</v>
      </c>
      <c r="F2976" s="122" t="str">
        <f>IFERROR(__xludf.DUMMYFUNCTION("""COMPUTED_VALUE"""),"Automotive")</f>
        <v>Automotive</v>
      </c>
    </row>
    <row r="2977">
      <c r="A2977" s="131">
        <f>IFERROR(__xludf.DUMMYFUNCTION("""COMPUTED_VALUE"""),46187.419652777775)</f>
        <v>46187.41965</v>
      </c>
      <c r="B2977" s="126">
        <f>IFERROR(__xludf.DUMMYFUNCTION("""COMPUTED_VALUE"""),46187.0)</f>
        <v>46187</v>
      </c>
      <c r="C2977" s="130">
        <f>IFERROR(__xludf.DUMMYFUNCTION("""COMPUTED_VALUE"""),0.41965277777777776)</f>
        <v>0.4196527778</v>
      </c>
      <c r="D2977" s="122" t="str">
        <f>IFERROR(__xludf.DUMMYFUNCTION("""COMPUTED_VALUE"""),"GBND")</f>
        <v>GBND</v>
      </c>
      <c r="E2977" s="122" t="str">
        <f>IFERROR(__xludf.DUMMYFUNCTION("""COMPUTED_VALUE"""),"Classroom Government Bond")</f>
        <v>Classroom Government Bond</v>
      </c>
      <c r="F2977" s="122" t="str">
        <f>IFERROR(__xludf.DUMMYFUNCTION("""COMPUTED_VALUE"""),"Bond")</f>
        <v>Bond</v>
      </c>
    </row>
    <row r="2978">
      <c r="A2978" s="131">
        <f>IFERROR(__xludf.DUMMYFUNCTION("""COMPUTED_VALUE"""),46187.419652777775)</f>
        <v>46187.41965</v>
      </c>
      <c r="B2978" s="126">
        <f>IFERROR(__xludf.DUMMYFUNCTION("""COMPUTED_VALUE"""),46187.0)</f>
        <v>46187</v>
      </c>
      <c r="C2978" s="130">
        <f>IFERROR(__xludf.DUMMYFUNCTION("""COMPUTED_VALUE"""),0.41965277777777776)</f>
        <v>0.4196527778</v>
      </c>
      <c r="D2978" s="122" t="str">
        <f>IFERROR(__xludf.DUMMYFUNCTION("""COMPUTED_VALUE"""),"SBND")</f>
        <v>SBND</v>
      </c>
      <c r="E2978" s="122" t="str">
        <f>IFERROR(__xludf.DUMMYFUNCTION("""COMPUTED_VALUE"""),"School Savings Bond")</f>
        <v>School Savings Bond</v>
      </c>
      <c r="F2978" s="122" t="str">
        <f>IFERROR(__xludf.DUMMYFUNCTION("""COMPUTED_VALUE"""),"Bond")</f>
        <v>Bond</v>
      </c>
    </row>
    <row r="2979">
      <c r="A2979" s="131">
        <f>IFERROR(__xludf.DUMMYFUNCTION("""COMPUTED_VALUE"""),46187.419652777775)</f>
        <v>46187.41965</v>
      </c>
      <c r="B2979" s="126">
        <f>IFERROR(__xludf.DUMMYFUNCTION("""COMPUTED_VALUE"""),46187.0)</f>
        <v>46187</v>
      </c>
      <c r="C2979" s="130">
        <f>IFERROR(__xludf.DUMMYFUNCTION("""COMPUTED_VALUE"""),0.41965277777777776)</f>
        <v>0.4196527778</v>
      </c>
      <c r="D2979" s="122" t="str">
        <f>IFERROR(__xludf.DUMMYFUNCTION("""COMPUTED_VALUE"""),"CBND")</f>
        <v>CBND</v>
      </c>
      <c r="E2979" s="122" t="str">
        <f>IFERROR(__xludf.DUMMYFUNCTION("""COMPUTED_VALUE"""),"Corporate Classroom Bond")</f>
        <v>Corporate Classroom Bond</v>
      </c>
      <c r="F2979" s="122" t="str">
        <f>IFERROR(__xludf.DUMMYFUNCTION("""COMPUTED_VALUE"""),"Bond")</f>
        <v>Bond</v>
      </c>
    </row>
    <row r="2980">
      <c r="A2980" s="131">
        <f>IFERROR(__xludf.DUMMYFUNCTION("""COMPUTED_VALUE"""),46187.419652777775)</f>
        <v>46187.41965</v>
      </c>
      <c r="B2980" s="126">
        <f>IFERROR(__xludf.DUMMYFUNCTION("""COMPUTED_VALUE"""),46187.0)</f>
        <v>46187</v>
      </c>
      <c r="C2980" s="130">
        <f>IFERROR(__xludf.DUMMYFUNCTION("""COMPUTED_VALUE"""),0.41965277777777776)</f>
        <v>0.4196527778</v>
      </c>
      <c r="D2980" s="122" t="str">
        <f>IFERROR(__xludf.DUMMYFUNCTION("""COMPUTED_VALUE"""),"TBIL")</f>
        <v>TBIL</v>
      </c>
      <c r="E2980" s="122" t="str">
        <f>IFERROR(__xludf.DUMMYFUNCTION("""COMPUTED_VALUE"""),"Treasury Bill")</f>
        <v>Treasury Bill</v>
      </c>
      <c r="F2980" s="122" t="str">
        <f>IFERROR(__xludf.DUMMYFUNCTION("""COMPUTED_VALUE"""),"Bond")</f>
        <v>Bond</v>
      </c>
    </row>
    <row r="2981">
      <c r="A2981" s="131">
        <f>IFERROR(__xludf.DUMMYFUNCTION("""COMPUTED_VALUE"""),46187.419652777775)</f>
        <v>46187.41965</v>
      </c>
      <c r="B2981" s="126">
        <f>IFERROR(__xludf.DUMMYFUNCTION("""COMPUTED_VALUE"""),46187.0)</f>
        <v>46187</v>
      </c>
      <c r="C2981" s="130">
        <f>IFERROR(__xludf.DUMMYFUNCTION("""COMPUTED_VALUE"""),0.41965277777777776)</f>
        <v>0.4196527778</v>
      </c>
      <c r="D2981" s="122" t="str">
        <f>IFERROR(__xludf.DUMMYFUNCTION("""COMPUTED_VALUE"""),"IBND")</f>
        <v>IBND</v>
      </c>
      <c r="E2981" s="122" t="str">
        <f>IFERROR(__xludf.DUMMYFUNCTION("""COMPUTED_VALUE"""),"Inflation Protected Bond")</f>
        <v>Inflation Protected Bond</v>
      </c>
      <c r="F2981" s="122" t="str">
        <f>IFERROR(__xludf.DUMMYFUNCTION("""COMPUTED_VALUE"""),"Bond")</f>
        <v>Bond</v>
      </c>
    </row>
    <row r="2982">
      <c r="A2982" s="131">
        <f>IFERROR(__xludf.DUMMYFUNCTION("""COMPUTED_VALUE"""),46187.421631944446)</f>
        <v>46187.42163</v>
      </c>
      <c r="B2982" s="126">
        <f>IFERROR(__xludf.DUMMYFUNCTION("""COMPUTED_VALUE"""),46187.0)</f>
        <v>46187</v>
      </c>
      <c r="C2982" s="122" t="str">
        <f>IFERROR(__xludf.DUMMYFUNCTION("""COMPUTED_VALUE"""),"SNAX")</f>
        <v>SNAX</v>
      </c>
      <c r="D2982" s="122" t="str">
        <f>IFERROR(__xludf.DUMMYFUNCTION("""COMPUTED_VALUE"""),"MICA Snacks")</f>
        <v>MICA Snacks</v>
      </c>
      <c r="E2982" s="122">
        <f>IFERROR(__xludf.DUMMYFUNCTION("""COMPUTED_VALUE"""),120.11)</f>
        <v>120.11</v>
      </c>
      <c r="F2982" s="122">
        <f>IFERROR(__xludf.DUMMYFUNCTION("""COMPUTED_VALUE"""),-0.002)</f>
        <v>-0.002</v>
      </c>
    </row>
    <row r="2983">
      <c r="A2983" s="131">
        <f>IFERROR(__xludf.DUMMYFUNCTION("""COMPUTED_VALUE"""),46187.421631944446)</f>
        <v>46187.42163</v>
      </c>
      <c r="B2983" s="126">
        <f>IFERROR(__xludf.DUMMYFUNCTION("""COMPUTED_VALUE"""),46187.0)</f>
        <v>46187</v>
      </c>
      <c r="C2983" s="122" t="str">
        <f>IFERROR(__xludf.DUMMYFUNCTION("""COMPUTED_VALUE"""),"RAMN")</f>
        <v>RAMN</v>
      </c>
      <c r="D2983" s="122" t="str">
        <f>IFERROR(__xludf.DUMMYFUNCTION("""COMPUTED_VALUE"""),"Ramen Republic")</f>
        <v>Ramen Republic</v>
      </c>
      <c r="E2983" s="122">
        <f>IFERROR(__xludf.DUMMYFUNCTION("""COMPUTED_VALUE"""),72.98)</f>
        <v>72.98</v>
      </c>
      <c r="F2983" s="122">
        <f>IFERROR(__xludf.DUMMYFUNCTION("""COMPUTED_VALUE"""),7.0E-4)</f>
        <v>0.0007</v>
      </c>
    </row>
    <row r="2984">
      <c r="A2984" s="131">
        <f>IFERROR(__xludf.DUMMYFUNCTION("""COMPUTED_VALUE"""),46187.421631944446)</f>
        <v>46187.42163</v>
      </c>
      <c r="B2984" s="126">
        <f>IFERROR(__xludf.DUMMYFUNCTION("""COMPUTED_VALUE"""),46187.0)</f>
        <v>46187</v>
      </c>
      <c r="C2984" s="122" t="str">
        <f>IFERROR(__xludf.DUMMYFUNCTION("""COMPUTED_VALUE"""),"COLA")</f>
        <v>COLA</v>
      </c>
      <c r="D2984" s="122" t="str">
        <f>IFERROR(__xludf.DUMMYFUNCTION("""COMPUTED_VALUE"""),"K-Pop Cola")</f>
        <v>K-Pop Cola</v>
      </c>
      <c r="E2984" s="122">
        <f>IFERROR(__xludf.DUMMYFUNCTION("""COMPUTED_VALUE"""),106.49)</f>
        <v>106.49</v>
      </c>
      <c r="F2984" s="122">
        <f>IFERROR(__xludf.DUMMYFUNCTION("""COMPUTED_VALUE"""),-0.0059)</f>
        <v>-0.0059</v>
      </c>
    </row>
    <row r="2985">
      <c r="A2985" s="131">
        <f>IFERROR(__xludf.DUMMYFUNCTION("""COMPUTED_VALUE"""),46187.421631944446)</f>
        <v>46187.42163</v>
      </c>
      <c r="B2985" s="126">
        <f>IFERROR(__xludf.DUMMYFUNCTION("""COMPUTED_VALUE"""),46187.0)</f>
        <v>46187</v>
      </c>
      <c r="C2985" s="122" t="str">
        <f>IFERROR(__xludf.DUMMYFUNCTION("""COMPUTED_VALUE"""),"CHIP")</f>
        <v>CHIP</v>
      </c>
      <c r="D2985" s="122" t="str">
        <f>IFERROR(__xludf.DUMMYFUNCTION("""COMPUTED_VALUE"""),"Chip Empire")</f>
        <v>Chip Empire</v>
      </c>
      <c r="E2985" s="122">
        <f>IFERROR(__xludf.DUMMYFUNCTION("""COMPUTED_VALUE"""),85.67)</f>
        <v>85.67</v>
      </c>
      <c r="F2985" s="122">
        <f>IFERROR(__xludf.DUMMYFUNCTION("""COMPUTED_VALUE"""),-0.0066)</f>
        <v>-0.0066</v>
      </c>
    </row>
    <row r="2986">
      <c r="A2986" s="131">
        <f>IFERROR(__xludf.DUMMYFUNCTION("""COMPUTED_VALUE"""),46187.421631944446)</f>
        <v>46187.42163</v>
      </c>
      <c r="B2986" s="126">
        <f>IFERROR(__xludf.DUMMYFUNCTION("""COMPUTED_VALUE"""),46187.0)</f>
        <v>46187</v>
      </c>
      <c r="C2986" s="122" t="str">
        <f>IFERROR(__xludf.DUMMYFUNCTION("""COMPUTED_VALUE"""),"CAND")</f>
        <v>CAND</v>
      </c>
      <c r="D2986" s="122" t="str">
        <f>IFERROR(__xludf.DUMMYFUNCTION("""COMPUTED_VALUE"""),"Candy Capital")</f>
        <v>Candy Capital</v>
      </c>
      <c r="E2986" s="122">
        <f>IFERROR(__xludf.DUMMYFUNCTION("""COMPUTED_VALUE"""),77.17)</f>
        <v>77.17</v>
      </c>
      <c r="F2986" s="122">
        <f>IFERROR(__xludf.DUMMYFUNCTION("""COMPUTED_VALUE"""),0.0033)</f>
        <v>0.0033</v>
      </c>
    </row>
    <row r="2987">
      <c r="A2987" s="131">
        <f>IFERROR(__xludf.DUMMYFUNCTION("""COMPUTED_VALUE"""),46187.421631944446)</f>
        <v>46187.42163</v>
      </c>
      <c r="B2987" s="126">
        <f>IFERROR(__xludf.DUMMYFUNCTION("""COMPUTED_VALUE"""),46187.0)</f>
        <v>46187</v>
      </c>
      <c r="C2987" s="122" t="str">
        <f>IFERROR(__xludf.DUMMYFUNCTION("""COMPUTED_VALUE"""),"TECH")</f>
        <v>TECH</v>
      </c>
      <c r="D2987" s="122" t="str">
        <f>IFERROR(__xludf.DUMMYFUNCTION("""COMPUTED_VALUE"""),"Dragon Tech")</f>
        <v>Dragon Tech</v>
      </c>
      <c r="E2987" s="122">
        <f>IFERROR(__xludf.DUMMYFUNCTION("""COMPUTED_VALUE"""),240.0)</f>
        <v>240</v>
      </c>
      <c r="F2987" s="122">
        <f>IFERROR(__xludf.DUMMYFUNCTION("""COMPUTED_VALUE"""),0.0079)</f>
        <v>0.0079</v>
      </c>
    </row>
    <row r="2988">
      <c r="A2988" s="131">
        <f>IFERROR(__xludf.DUMMYFUNCTION("""COMPUTED_VALUE"""),46187.421631944446)</f>
        <v>46187.42163</v>
      </c>
      <c r="B2988" s="126">
        <f>IFERROR(__xludf.DUMMYFUNCTION("""COMPUTED_VALUE"""),46187.0)</f>
        <v>46187</v>
      </c>
      <c r="C2988" s="122" t="str">
        <f>IFERROR(__xludf.DUMMYFUNCTION("""COMPUTED_VALUE"""),"AIBO")</f>
        <v>AIBO</v>
      </c>
      <c r="D2988" s="122" t="str">
        <f>IFERROR(__xludf.DUMMYFUNCTION("""COMPUTED_VALUE"""),"Homework AI")</f>
        <v>Homework AI</v>
      </c>
      <c r="E2988" s="122">
        <f>IFERROR(__xludf.DUMMYFUNCTION("""COMPUTED_VALUE"""),171.85)</f>
        <v>171.85</v>
      </c>
      <c r="F2988" s="122">
        <f>IFERROR(__xludf.DUMMYFUNCTION("""COMPUTED_VALUE"""),0.0033)</f>
        <v>0.0033</v>
      </c>
    </row>
    <row r="2989">
      <c r="A2989" s="131">
        <f>IFERROR(__xludf.DUMMYFUNCTION("""COMPUTED_VALUE"""),46187.421631944446)</f>
        <v>46187.42163</v>
      </c>
      <c r="B2989" s="126">
        <f>IFERROR(__xludf.DUMMYFUNCTION("""COMPUTED_VALUE"""),46187.0)</f>
        <v>46187</v>
      </c>
      <c r="C2989" s="122" t="str">
        <f>IFERROR(__xludf.DUMMYFUNCTION("""COMPUTED_VALUE"""),"GAME")</f>
        <v>GAME</v>
      </c>
      <c r="D2989" s="122" t="str">
        <f>IFERROR(__xludf.DUMMYFUNCTION("""COMPUTED_VALUE"""),"GameBox Media")</f>
        <v>GameBox Media</v>
      </c>
      <c r="E2989" s="122">
        <f>IFERROR(__xludf.DUMMYFUNCTION("""COMPUTED_VALUE"""),93.98)</f>
        <v>93.98</v>
      </c>
      <c r="F2989" s="122">
        <f>IFERROR(__xludf.DUMMYFUNCTION("""COMPUTED_VALUE"""),0.0035)</f>
        <v>0.0035</v>
      </c>
    </row>
    <row r="2990">
      <c r="A2990" s="131">
        <f>IFERROR(__xludf.DUMMYFUNCTION("""COMPUTED_VALUE"""),46187.421631944446)</f>
        <v>46187.42163</v>
      </c>
      <c r="B2990" s="126">
        <f>IFERROR(__xludf.DUMMYFUNCTION("""COMPUTED_VALUE"""),46187.0)</f>
        <v>46187</v>
      </c>
      <c r="C2990" s="122" t="str">
        <f>IFERROR(__xludf.DUMMYFUNCTION("""COMPUTED_VALUE"""),"VRSE")</f>
        <v>VRSE</v>
      </c>
      <c r="D2990" s="122" t="str">
        <f>IFERROR(__xludf.DUMMYFUNCTION("""COMPUTED_VALUE"""),"VerseVR")</f>
        <v>VerseVR</v>
      </c>
      <c r="E2990" s="122">
        <f>IFERROR(__xludf.DUMMYFUNCTION("""COMPUTED_VALUE"""),145.36)</f>
        <v>145.36</v>
      </c>
      <c r="F2990" s="122">
        <f>IFERROR(__xludf.DUMMYFUNCTION("""COMPUTED_VALUE"""),-0.0076)</f>
        <v>-0.0076</v>
      </c>
    </row>
    <row r="2991">
      <c r="A2991" s="131">
        <f>IFERROR(__xludf.DUMMYFUNCTION("""COMPUTED_VALUE"""),46187.421631944446)</f>
        <v>46187.42163</v>
      </c>
      <c r="B2991" s="126">
        <f>IFERROR(__xludf.DUMMYFUNCTION("""COMPUTED_VALUE"""),46187.0)</f>
        <v>46187</v>
      </c>
      <c r="C2991" s="122" t="str">
        <f>IFERROR(__xludf.DUMMYFUNCTION("""COMPUTED_VALUE"""),"BYTE")</f>
        <v>BYTE</v>
      </c>
      <c r="D2991" s="122" t="str">
        <f>IFERROR(__xludf.DUMMYFUNCTION("""COMPUTED_VALUE"""),"ByteWorks")</f>
        <v>ByteWorks</v>
      </c>
      <c r="E2991" s="122">
        <f>IFERROR(__xludf.DUMMYFUNCTION("""COMPUTED_VALUE"""),109.59)</f>
        <v>109.59</v>
      </c>
      <c r="F2991" s="122">
        <f>IFERROR(__xludf.DUMMYFUNCTION("""COMPUTED_VALUE"""),-0.0083)</f>
        <v>-0.0083</v>
      </c>
    </row>
    <row r="2992">
      <c r="A2992" s="131">
        <f>IFERROR(__xludf.DUMMYFUNCTION("""COMPUTED_VALUE"""),46187.421631944446)</f>
        <v>46187.42163</v>
      </c>
      <c r="B2992" s="126">
        <f>IFERROR(__xludf.DUMMYFUNCTION("""COMPUTED_VALUE"""),46187.0)</f>
        <v>46187</v>
      </c>
      <c r="C2992" s="122" t="str">
        <f>IFERROR(__xludf.DUMMYFUNCTION("""COMPUTED_VALUE"""),"BANK")</f>
        <v>BANK</v>
      </c>
      <c r="D2992" s="122" t="str">
        <f>IFERROR(__xludf.DUMMYFUNCTION("""COMPUTED_VALUE"""),"Tiger Bank")</f>
        <v>Tiger Bank</v>
      </c>
      <c r="E2992" s="122">
        <f>IFERROR(__xludf.DUMMYFUNCTION("""COMPUTED_VALUE"""),126.34)</f>
        <v>126.34</v>
      </c>
      <c r="F2992" s="122">
        <f>IFERROR(__xludf.DUMMYFUNCTION("""COMPUTED_VALUE"""),0.0017)</f>
        <v>0.0017</v>
      </c>
    </row>
    <row r="2993">
      <c r="A2993" s="131">
        <f>IFERROR(__xludf.DUMMYFUNCTION("""COMPUTED_VALUE"""),46187.421631944446)</f>
        <v>46187.42163</v>
      </c>
      <c r="B2993" s="126">
        <f>IFERROR(__xludf.DUMMYFUNCTION("""COMPUTED_VALUE"""),46187.0)</f>
        <v>46187</v>
      </c>
      <c r="C2993" s="122" t="str">
        <f>IFERROR(__xludf.DUMMYFUNCTION("""COMPUTED_VALUE"""),"CRED")</f>
        <v>CRED</v>
      </c>
      <c r="D2993" s="122" t="str">
        <f>IFERROR(__xludf.DUMMYFUNCTION("""COMPUTED_VALUE"""),"Credit Castle")</f>
        <v>Credit Castle</v>
      </c>
      <c r="E2993" s="122">
        <f>IFERROR(__xludf.DUMMYFUNCTION("""COMPUTED_VALUE"""),68.34)</f>
        <v>68.34</v>
      </c>
      <c r="F2993" s="122">
        <f>IFERROR(__xludf.DUMMYFUNCTION("""COMPUTED_VALUE"""),-0.0038)</f>
        <v>-0.0038</v>
      </c>
    </row>
    <row r="2994">
      <c r="A2994" s="131">
        <f>IFERROR(__xludf.DUMMYFUNCTION("""COMPUTED_VALUE"""),46187.421631944446)</f>
        <v>46187.42163</v>
      </c>
      <c r="B2994" s="126">
        <f>IFERROR(__xludf.DUMMYFUNCTION("""COMPUTED_VALUE"""),46187.0)</f>
        <v>46187</v>
      </c>
      <c r="C2994" s="122" t="str">
        <f>IFERROR(__xludf.DUMMYFUNCTION("""COMPUTED_VALUE"""),"BOND")</f>
        <v>BOND</v>
      </c>
      <c r="D2994" s="122" t="str">
        <f>IFERROR(__xludf.DUMMYFUNCTION("""COMPUTED_VALUE"""),"BondBridge")</f>
        <v>BondBridge</v>
      </c>
      <c r="E2994" s="122">
        <f>IFERROR(__xludf.DUMMYFUNCTION("""COMPUTED_VALUE"""),98.13)</f>
        <v>98.13</v>
      </c>
      <c r="F2994" s="122">
        <f>IFERROR(__xludf.DUMMYFUNCTION("""COMPUTED_VALUE"""),0.0029)</f>
        <v>0.0029</v>
      </c>
    </row>
    <row r="2995">
      <c r="A2995" s="131">
        <f>IFERROR(__xludf.DUMMYFUNCTION("""COMPUTED_VALUE"""),46187.421631944446)</f>
        <v>46187.42163</v>
      </c>
      <c r="B2995" s="126">
        <f>IFERROR(__xludf.DUMMYFUNCTION("""COMPUTED_VALUE"""),46187.0)</f>
        <v>46187</v>
      </c>
      <c r="C2995" s="122" t="str">
        <f>IFERROR(__xludf.DUMMYFUNCTION("""COMPUTED_VALUE"""),"INSR")</f>
        <v>INSR</v>
      </c>
      <c r="D2995" s="122" t="str">
        <f>IFERROR(__xludf.DUMMYFUNCTION("""COMPUTED_VALUE"""),"Shield Insurance")</f>
        <v>Shield Insurance</v>
      </c>
      <c r="E2995" s="122">
        <f>IFERROR(__xludf.DUMMYFUNCTION("""COMPUTED_VALUE"""),159.13)</f>
        <v>159.13</v>
      </c>
      <c r="F2995" s="122">
        <f>IFERROR(__xludf.DUMMYFUNCTION("""COMPUTED_VALUE"""),6.0E-4)</f>
        <v>0.0006</v>
      </c>
    </row>
    <row r="2996">
      <c r="A2996" s="131">
        <f>IFERROR(__xludf.DUMMYFUNCTION("""COMPUTED_VALUE"""),46187.421631944446)</f>
        <v>46187.42163</v>
      </c>
      <c r="B2996" s="126">
        <f>IFERROR(__xludf.DUMMYFUNCTION("""COMPUTED_VALUE"""),46187.0)</f>
        <v>46187</v>
      </c>
      <c r="C2996" s="122" t="str">
        <f>IFERROR(__xludf.DUMMYFUNCTION("""COMPUTED_VALUE"""),"LOAN")</f>
        <v>LOAN</v>
      </c>
      <c r="D2996" s="122" t="str">
        <f>IFERROR(__xludf.DUMMYFUNCTION("""COMPUTED_VALUE"""),"LoanLab")</f>
        <v>LoanLab</v>
      </c>
      <c r="E2996" s="122">
        <f>IFERROR(__xludf.DUMMYFUNCTION("""COMPUTED_VALUE"""),62.98)</f>
        <v>62.98</v>
      </c>
      <c r="F2996" s="122">
        <f>IFERROR(__xludf.DUMMYFUNCTION("""COMPUTED_VALUE"""),-0.0016)</f>
        <v>-0.0016</v>
      </c>
    </row>
    <row r="2997">
      <c r="A2997" s="131">
        <f>IFERROR(__xludf.DUMMYFUNCTION("""COMPUTED_VALUE"""),46187.421631944446)</f>
        <v>46187.42163</v>
      </c>
      <c r="B2997" s="126">
        <f>IFERROR(__xludf.DUMMYFUNCTION("""COMPUTED_VALUE"""),46187.0)</f>
        <v>46187</v>
      </c>
      <c r="C2997" s="122" t="str">
        <f>IFERROR(__xludf.DUMMYFUNCTION("""COMPUTED_VALUE"""),"LUXE")</f>
        <v>LUXE</v>
      </c>
      <c r="D2997" s="122" t="str">
        <f>IFERROR(__xludf.DUMMYFUNCTION("""COMPUTED_VALUE"""),"Luxury Locker")</f>
        <v>Luxury Locker</v>
      </c>
      <c r="E2997" s="122">
        <f>IFERROR(__xludf.DUMMYFUNCTION("""COMPUTED_VALUE"""),256.51)</f>
        <v>256.51</v>
      </c>
      <c r="F2997" s="122">
        <f>IFERROR(__xludf.DUMMYFUNCTION("""COMPUTED_VALUE"""),-0.0014)</f>
        <v>-0.0014</v>
      </c>
    </row>
    <row r="2998">
      <c r="A2998" s="131">
        <f>IFERROR(__xludf.DUMMYFUNCTION("""COMPUTED_VALUE"""),46187.421631944446)</f>
        <v>46187.42163</v>
      </c>
      <c r="B2998" s="126">
        <f>IFERROR(__xludf.DUMMYFUNCTION("""COMPUTED_VALUE"""),46187.0)</f>
        <v>46187</v>
      </c>
      <c r="C2998" s="122" t="str">
        <f>IFERROR(__xludf.DUMMYFUNCTION("""COMPUTED_VALUE"""),"DRIP")</f>
        <v>DRIP</v>
      </c>
      <c r="D2998" s="122" t="str">
        <f>IFERROR(__xludf.DUMMYFUNCTION("""COMPUTED_VALUE"""),"Drip Streetwear")</f>
        <v>Drip Streetwear</v>
      </c>
      <c r="E2998" s="122">
        <f>IFERROR(__xludf.DUMMYFUNCTION("""COMPUTED_VALUE"""),201.66)</f>
        <v>201.66</v>
      </c>
      <c r="F2998" s="122">
        <f>IFERROR(__xludf.DUMMYFUNCTION("""COMPUTED_VALUE"""),-0.0098)</f>
        <v>-0.0098</v>
      </c>
    </row>
    <row r="2999">
      <c r="A2999" s="131">
        <f>IFERROR(__xludf.DUMMYFUNCTION("""COMPUTED_VALUE"""),46187.421631944446)</f>
        <v>46187.42163</v>
      </c>
      <c r="B2999" s="126">
        <f>IFERROR(__xludf.DUMMYFUNCTION("""COMPUTED_VALUE"""),46187.0)</f>
        <v>46187</v>
      </c>
      <c r="C2999" s="122" t="str">
        <f>IFERROR(__xludf.DUMMYFUNCTION("""COMPUTED_VALUE"""),"KICK")</f>
        <v>KICK</v>
      </c>
      <c r="D2999" s="122" t="str">
        <f>IFERROR(__xludf.DUMMYFUNCTION("""COMPUTED_VALUE"""),"KickDrop Sneakers")</f>
        <v>KickDrop Sneakers</v>
      </c>
      <c r="E2999" s="122">
        <f>IFERROR(__xludf.DUMMYFUNCTION("""COMPUTED_VALUE"""),171.46)</f>
        <v>171.46</v>
      </c>
      <c r="F2999" s="122">
        <f>IFERROR(__xludf.DUMMYFUNCTION("""COMPUTED_VALUE"""),0.0059)</f>
        <v>0.0059</v>
      </c>
    </row>
    <row r="3000">
      <c r="A3000" s="131">
        <f>IFERROR(__xludf.DUMMYFUNCTION("""COMPUTED_VALUE"""),46187.421631944446)</f>
        <v>46187.42163</v>
      </c>
      <c r="B3000" s="126">
        <f>IFERROR(__xludf.DUMMYFUNCTION("""COMPUTED_VALUE"""),46187.0)</f>
        <v>46187</v>
      </c>
      <c r="C3000" s="122" t="str">
        <f>IFERROR(__xludf.DUMMYFUNCTION("""COMPUTED_VALUE"""),"GLAM")</f>
        <v>GLAM</v>
      </c>
      <c r="D3000" s="122" t="str">
        <f>IFERROR(__xludf.DUMMYFUNCTION("""COMPUTED_VALUE"""),"Glow Cosmetics")</f>
        <v>Glow Cosmetics</v>
      </c>
      <c r="E3000" s="122">
        <f>IFERROR(__xludf.DUMMYFUNCTION("""COMPUTED_VALUE"""),99.64)</f>
        <v>99.64</v>
      </c>
      <c r="F3000" s="122">
        <f>IFERROR(__xludf.DUMMYFUNCTION("""COMPUTED_VALUE"""),0.0075)</f>
        <v>0.0075</v>
      </c>
    </row>
    <row r="3001">
      <c r="A3001" s="131">
        <f>IFERROR(__xludf.DUMMYFUNCTION("""COMPUTED_VALUE"""),46187.421631944446)</f>
        <v>46187.42163</v>
      </c>
      <c r="B3001" s="126">
        <f>IFERROR(__xludf.DUMMYFUNCTION("""COMPUTED_VALUE"""),46187.0)</f>
        <v>46187</v>
      </c>
      <c r="C3001" s="122" t="str">
        <f>IFERROR(__xludf.DUMMYFUNCTION("""COMPUTED_VALUE"""),"BAGG")</f>
        <v>BAGG</v>
      </c>
      <c r="D3001" s="122" t="str">
        <f>IFERROR(__xludf.DUMMYFUNCTION("""COMPUTED_VALUE"""),"BagVault")</f>
        <v>BagVault</v>
      </c>
      <c r="E3001" s="122">
        <f>IFERROR(__xludf.DUMMYFUNCTION("""COMPUTED_VALUE"""),249.33)</f>
        <v>249.33</v>
      </c>
      <c r="F3001" s="122">
        <f>IFERROR(__xludf.DUMMYFUNCTION("""COMPUTED_VALUE"""),-0.0067)</f>
        <v>-0.0067</v>
      </c>
    </row>
    <row r="3002">
      <c r="A3002" s="131">
        <f>IFERROR(__xludf.DUMMYFUNCTION("""COMPUTED_VALUE"""),46187.421631944446)</f>
        <v>46187.42163</v>
      </c>
      <c r="B3002" s="126">
        <f>IFERROR(__xludf.DUMMYFUNCTION("""COMPUTED_VALUE"""),46187.0)</f>
        <v>46187</v>
      </c>
      <c r="C3002" s="122" t="str">
        <f>IFERROR(__xludf.DUMMYFUNCTION("""COMPUTED_VALUE"""),"FAST")</f>
        <v>FAST</v>
      </c>
      <c r="D3002" s="122" t="str">
        <f>IFERROR(__xludf.DUMMYFUNCTION("""COMPUTED_VALUE"""),"Flash Logistics")</f>
        <v>Flash Logistics</v>
      </c>
      <c r="E3002" s="122">
        <f>IFERROR(__xludf.DUMMYFUNCTION("""COMPUTED_VALUE"""),102.91)</f>
        <v>102.91</v>
      </c>
      <c r="F3002" s="122">
        <f>IFERROR(__xludf.DUMMYFUNCTION("""COMPUTED_VALUE"""),0.0028)</f>
        <v>0.0028</v>
      </c>
    </row>
    <row r="3003">
      <c r="A3003" s="131">
        <f>IFERROR(__xludf.DUMMYFUNCTION("""COMPUTED_VALUE"""),46187.421631944446)</f>
        <v>46187.42163</v>
      </c>
      <c r="B3003" s="126">
        <f>IFERROR(__xludf.DUMMYFUNCTION("""COMPUTED_VALUE"""),46187.0)</f>
        <v>46187</v>
      </c>
      <c r="C3003" s="122" t="str">
        <f>IFERROR(__xludf.DUMMYFUNCTION("""COMPUTED_VALUE"""),"SHIP")</f>
        <v>SHIP</v>
      </c>
      <c r="D3003" s="122" t="str">
        <f>IFERROR(__xludf.DUMMYFUNCTION("""COMPUTED_VALUE"""),"Seoul Shipping")</f>
        <v>Seoul Shipping</v>
      </c>
      <c r="E3003" s="122">
        <f>IFERROR(__xludf.DUMMYFUNCTION("""COMPUTED_VALUE"""),118.38)</f>
        <v>118.38</v>
      </c>
      <c r="F3003" s="122">
        <f>IFERROR(__xludf.DUMMYFUNCTION("""COMPUTED_VALUE"""),-0.0065)</f>
        <v>-0.0065</v>
      </c>
    </row>
    <row r="3004">
      <c r="A3004" s="131">
        <f>IFERROR(__xludf.DUMMYFUNCTION("""COMPUTED_VALUE"""),46187.421631944446)</f>
        <v>46187.42163</v>
      </c>
      <c r="B3004" s="126">
        <f>IFERROR(__xludf.DUMMYFUNCTION("""COMPUTED_VALUE"""),46187.0)</f>
        <v>46187</v>
      </c>
      <c r="C3004" s="122" t="str">
        <f>IFERROR(__xludf.DUMMYFUNCTION("""COMPUTED_VALUE"""),"DRON")</f>
        <v>DRON</v>
      </c>
      <c r="D3004" s="122" t="str">
        <f>IFERROR(__xludf.DUMMYFUNCTION("""COMPUTED_VALUE"""),"DroneDrop")</f>
        <v>DroneDrop</v>
      </c>
      <c r="E3004" s="122">
        <f>IFERROR(__xludf.DUMMYFUNCTION("""COMPUTED_VALUE"""),131.71)</f>
        <v>131.71</v>
      </c>
      <c r="F3004" s="122">
        <f>IFERROR(__xludf.DUMMYFUNCTION("""COMPUTED_VALUE"""),0.0066)</f>
        <v>0.0066</v>
      </c>
    </row>
    <row r="3005">
      <c r="A3005" s="131">
        <f>IFERROR(__xludf.DUMMYFUNCTION("""COMPUTED_VALUE"""),46187.421631944446)</f>
        <v>46187.42163</v>
      </c>
      <c r="B3005" s="126">
        <f>IFERROR(__xludf.DUMMYFUNCTION("""COMPUTED_VALUE"""),46187.0)</f>
        <v>46187</v>
      </c>
      <c r="C3005" s="122" t="str">
        <f>IFERROR(__xludf.DUMMYFUNCTION("""COMPUTED_VALUE"""),"RIDE")</f>
        <v>RIDE</v>
      </c>
      <c r="D3005" s="122" t="str">
        <f>IFERROR(__xludf.DUMMYFUNCTION("""COMPUTED_VALUE"""),"QuickRide")</f>
        <v>QuickRide</v>
      </c>
      <c r="E3005" s="122">
        <f>IFERROR(__xludf.DUMMYFUNCTION("""COMPUTED_VALUE"""),97.58)</f>
        <v>97.58</v>
      </c>
      <c r="F3005" s="122">
        <f>IFERROR(__xludf.DUMMYFUNCTION("""COMPUTED_VALUE"""),0.0095)</f>
        <v>0.0095</v>
      </c>
    </row>
    <row r="3006">
      <c r="A3006" s="131">
        <f>IFERROR(__xludf.DUMMYFUNCTION("""COMPUTED_VALUE"""),46187.421631944446)</f>
        <v>46187.42163</v>
      </c>
      <c r="B3006" s="126">
        <f>IFERROR(__xludf.DUMMYFUNCTION("""COMPUTED_VALUE"""),46187.0)</f>
        <v>46187</v>
      </c>
      <c r="C3006" s="122" t="str">
        <f>IFERROR(__xludf.DUMMYFUNCTION("""COMPUTED_VALUE"""),"RAIL")</f>
        <v>RAIL</v>
      </c>
      <c r="D3006" s="122" t="str">
        <f>IFERROR(__xludf.DUMMYFUNCTION("""COMPUTED_VALUE"""),"MetroRail Corp")</f>
        <v>MetroRail Corp</v>
      </c>
      <c r="E3006" s="122">
        <f>IFERROR(__xludf.DUMMYFUNCTION("""COMPUTED_VALUE"""),134.11)</f>
        <v>134.11</v>
      </c>
      <c r="F3006" s="122">
        <f>IFERROR(__xludf.DUMMYFUNCTION("""COMPUTED_VALUE"""),-0.0014)</f>
        <v>-0.0014</v>
      </c>
    </row>
    <row r="3007">
      <c r="A3007" s="131">
        <f>IFERROR(__xludf.DUMMYFUNCTION("""COMPUTED_VALUE"""),46187.421631944446)</f>
        <v>46187.42163</v>
      </c>
      <c r="B3007" s="126">
        <f>IFERROR(__xludf.DUMMYFUNCTION("""COMPUTED_VALUE"""),46187.0)</f>
        <v>46187</v>
      </c>
      <c r="C3007" s="122" t="str">
        <f>IFERROR(__xludf.DUMMYFUNCTION("""COMPUTED_VALUE"""),"MEDX")</f>
        <v>MEDX</v>
      </c>
      <c r="D3007" s="122" t="str">
        <f>IFERROR(__xludf.DUMMYFUNCTION("""COMPUTED_VALUE"""),"MediCore")</f>
        <v>MediCore</v>
      </c>
      <c r="E3007" s="122">
        <f>IFERROR(__xludf.DUMMYFUNCTION("""COMPUTED_VALUE"""),138.0)</f>
        <v>138</v>
      </c>
      <c r="F3007" s="122">
        <f>IFERROR(__xludf.DUMMYFUNCTION("""COMPUTED_VALUE"""),0.0012)</f>
        <v>0.0012</v>
      </c>
    </row>
    <row r="3008">
      <c r="A3008" s="131">
        <f>IFERROR(__xludf.DUMMYFUNCTION("""COMPUTED_VALUE"""),46187.421631944446)</f>
        <v>46187.42163</v>
      </c>
      <c r="B3008" s="126">
        <f>IFERROR(__xludf.DUMMYFUNCTION("""COMPUTED_VALUE"""),46187.0)</f>
        <v>46187</v>
      </c>
      <c r="C3008" s="122" t="str">
        <f>IFERROR(__xludf.DUMMYFUNCTION("""COMPUTED_VALUE"""),"GYMX")</f>
        <v>GYMX</v>
      </c>
      <c r="D3008" s="122" t="str">
        <f>IFERROR(__xludf.DUMMYFUNCTION("""COMPUTED_VALUE"""),"GymX Fitness")</f>
        <v>GymX Fitness</v>
      </c>
      <c r="E3008" s="122">
        <f>IFERROR(__xludf.DUMMYFUNCTION("""COMPUTED_VALUE"""),85.21)</f>
        <v>85.21</v>
      </c>
      <c r="F3008" s="122">
        <f>IFERROR(__xludf.DUMMYFUNCTION("""COMPUTED_VALUE"""),-0.0016)</f>
        <v>-0.0016</v>
      </c>
    </row>
    <row r="3009">
      <c r="A3009" s="131">
        <f>IFERROR(__xludf.DUMMYFUNCTION("""COMPUTED_VALUE"""),46187.421631944446)</f>
        <v>46187.42163</v>
      </c>
      <c r="B3009" s="126">
        <f>IFERROR(__xludf.DUMMYFUNCTION("""COMPUTED_VALUE"""),46187.0)</f>
        <v>46187</v>
      </c>
      <c r="C3009" s="122" t="str">
        <f>IFERROR(__xludf.DUMMYFUNCTION("""COMPUTED_VALUE"""),"VITA")</f>
        <v>VITA</v>
      </c>
      <c r="D3009" s="122" t="str">
        <f>IFERROR(__xludf.DUMMYFUNCTION("""COMPUTED_VALUE"""),"VitaPlus")</f>
        <v>VitaPlus</v>
      </c>
      <c r="E3009" s="122">
        <f>IFERROR(__xludf.DUMMYFUNCTION("""COMPUTED_VALUE"""),75.18)</f>
        <v>75.18</v>
      </c>
      <c r="F3009" s="122">
        <f>IFERROR(__xludf.DUMMYFUNCTION("""COMPUTED_VALUE"""),0.004)</f>
        <v>0.004</v>
      </c>
    </row>
    <row r="3010">
      <c r="A3010" s="131">
        <f>IFERROR(__xludf.DUMMYFUNCTION("""COMPUTED_VALUE"""),46187.421631944446)</f>
        <v>46187.42163</v>
      </c>
      <c r="B3010" s="126">
        <f>IFERROR(__xludf.DUMMYFUNCTION("""COMPUTED_VALUE"""),46187.0)</f>
        <v>46187</v>
      </c>
      <c r="C3010" s="122" t="str">
        <f>IFERROR(__xludf.DUMMYFUNCTION("""COMPUTED_VALUE"""),"CARE")</f>
        <v>CARE</v>
      </c>
      <c r="D3010" s="122" t="str">
        <f>IFERROR(__xludf.DUMMYFUNCTION("""COMPUTED_VALUE"""),"CareCloud")</f>
        <v>CareCloud</v>
      </c>
      <c r="E3010" s="122">
        <f>IFERROR(__xludf.DUMMYFUNCTION("""COMPUTED_VALUE"""),179.25)</f>
        <v>179.25</v>
      </c>
      <c r="F3010" s="122">
        <f>IFERROR(__xludf.DUMMYFUNCTION("""COMPUTED_VALUE"""),-0.0044)</f>
        <v>-0.0044</v>
      </c>
    </row>
    <row r="3011">
      <c r="A3011" s="131">
        <f>IFERROR(__xludf.DUMMYFUNCTION("""COMPUTED_VALUE"""),46187.421631944446)</f>
        <v>46187.42163</v>
      </c>
      <c r="B3011" s="126">
        <f>IFERROR(__xludf.DUMMYFUNCTION("""COMPUTED_VALUE"""),46187.0)</f>
        <v>46187</v>
      </c>
      <c r="C3011" s="122" t="str">
        <f>IFERROR(__xludf.DUMMYFUNCTION("""COMPUTED_VALUE"""),"DENT")</f>
        <v>DENT</v>
      </c>
      <c r="D3011" s="122" t="str">
        <f>IFERROR(__xludf.DUMMYFUNCTION("""COMPUTED_VALUE"""),"SmileWorks")</f>
        <v>SmileWorks</v>
      </c>
      <c r="E3011" s="122">
        <f>IFERROR(__xludf.DUMMYFUNCTION("""COMPUTED_VALUE"""),82.73)</f>
        <v>82.73</v>
      </c>
      <c r="F3011" s="122">
        <f>IFERROR(__xludf.DUMMYFUNCTION("""COMPUTED_VALUE"""),-0.0029)</f>
        <v>-0.0029</v>
      </c>
    </row>
    <row r="3012">
      <c r="A3012" s="131">
        <f>IFERROR(__xludf.DUMMYFUNCTION("""COMPUTED_VALUE"""),46187.421631944446)</f>
        <v>46187.42163</v>
      </c>
      <c r="B3012" s="126">
        <f>IFERROR(__xludf.DUMMYFUNCTION("""COMPUTED_VALUE"""),46187.0)</f>
        <v>46187</v>
      </c>
      <c r="C3012" s="122" t="str">
        <f>IFERROR(__xludf.DUMMYFUNCTION("""COMPUTED_VALUE"""),"EDUX")</f>
        <v>EDUX</v>
      </c>
      <c r="D3012" s="122" t="str">
        <f>IFERROR(__xludf.DUMMYFUNCTION("""COMPUTED_VALUE"""),"EduMax Learning")</f>
        <v>EduMax Learning</v>
      </c>
      <c r="E3012" s="122">
        <f>IFERROR(__xludf.DUMMYFUNCTION("""COMPUTED_VALUE"""),134.54)</f>
        <v>134.54</v>
      </c>
      <c r="F3012" s="122">
        <f>IFERROR(__xludf.DUMMYFUNCTION("""COMPUTED_VALUE"""),0.0044)</f>
        <v>0.0044</v>
      </c>
    </row>
    <row r="3013">
      <c r="A3013" s="131">
        <f>IFERROR(__xludf.DUMMYFUNCTION("""COMPUTED_VALUE"""),46187.421631944446)</f>
        <v>46187.42163</v>
      </c>
      <c r="B3013" s="126">
        <f>IFERROR(__xludf.DUMMYFUNCTION("""COMPUTED_VALUE"""),46187.0)</f>
        <v>46187</v>
      </c>
      <c r="C3013" s="122" t="str">
        <f>IFERROR(__xludf.DUMMYFUNCTION("""COMPUTED_VALUE"""),"BOOK")</f>
        <v>BOOK</v>
      </c>
      <c r="D3013" s="122" t="str">
        <f>IFERROR(__xludf.DUMMYFUNCTION("""COMPUTED_VALUE"""),"BookBridge")</f>
        <v>BookBridge</v>
      </c>
      <c r="E3013" s="122">
        <f>IFERROR(__xludf.DUMMYFUNCTION("""COMPUTED_VALUE"""),114.62)</f>
        <v>114.62</v>
      </c>
      <c r="F3013" s="122">
        <f>IFERROR(__xludf.DUMMYFUNCTION("""COMPUTED_VALUE"""),-0.0032)</f>
        <v>-0.0032</v>
      </c>
    </row>
    <row r="3014">
      <c r="A3014" s="131">
        <f>IFERROR(__xludf.DUMMYFUNCTION("""COMPUTED_VALUE"""),46187.421631944446)</f>
        <v>46187.42163</v>
      </c>
      <c r="B3014" s="126">
        <f>IFERROR(__xludf.DUMMYFUNCTION("""COMPUTED_VALUE"""),46187.0)</f>
        <v>46187</v>
      </c>
      <c r="C3014" s="122" t="str">
        <f>IFERROR(__xludf.DUMMYFUNCTION("""COMPUTED_VALUE"""),"TUTR")</f>
        <v>TUTR</v>
      </c>
      <c r="D3014" s="122" t="str">
        <f>IFERROR(__xludf.DUMMYFUNCTION("""COMPUTED_VALUE"""),"TutorTown")</f>
        <v>TutorTown</v>
      </c>
      <c r="E3014" s="122">
        <f>IFERROR(__xludf.DUMMYFUNCTION("""COMPUTED_VALUE"""),89.87)</f>
        <v>89.87</v>
      </c>
      <c r="F3014" s="122">
        <f>IFERROR(__xludf.DUMMYFUNCTION("""COMPUTED_VALUE"""),8.0E-4)</f>
        <v>0.0008</v>
      </c>
    </row>
    <row r="3015">
      <c r="A3015" s="131">
        <f>IFERROR(__xludf.DUMMYFUNCTION("""COMPUTED_VALUE"""),46187.421631944446)</f>
        <v>46187.42163</v>
      </c>
      <c r="B3015" s="126">
        <f>IFERROR(__xludf.DUMMYFUNCTION("""COMPUTED_VALUE"""),46187.0)</f>
        <v>46187</v>
      </c>
      <c r="C3015" s="122" t="str">
        <f>IFERROR(__xludf.DUMMYFUNCTION("""COMPUTED_VALUE"""),"LANG")</f>
        <v>LANG</v>
      </c>
      <c r="D3015" s="122" t="str">
        <f>IFERROR(__xludf.DUMMYFUNCTION("""COMPUTED_VALUE"""),"LinguaLab")</f>
        <v>LinguaLab</v>
      </c>
      <c r="E3015" s="122">
        <f>IFERROR(__xludf.DUMMYFUNCTION("""COMPUTED_VALUE"""),98.23)</f>
        <v>98.23</v>
      </c>
      <c r="F3015" s="122">
        <f>IFERROR(__xludf.DUMMYFUNCTION("""COMPUTED_VALUE"""),-0.0025)</f>
        <v>-0.0025</v>
      </c>
    </row>
    <row r="3016">
      <c r="A3016" s="131">
        <f>IFERROR(__xludf.DUMMYFUNCTION("""COMPUTED_VALUE"""),46187.421631944446)</f>
        <v>46187.42163</v>
      </c>
      <c r="B3016" s="126">
        <f>IFERROR(__xludf.DUMMYFUNCTION("""COMPUTED_VALUE"""),46187.0)</f>
        <v>46187</v>
      </c>
      <c r="C3016" s="122" t="str">
        <f>IFERROR(__xludf.DUMMYFUNCTION("""COMPUTED_VALUE"""),"TEST")</f>
        <v>TEST</v>
      </c>
      <c r="D3016" s="122" t="str">
        <f>IFERROR(__xludf.DUMMYFUNCTION("""COMPUTED_VALUE"""),"TestPrep Pro")</f>
        <v>TestPrep Pro</v>
      </c>
      <c r="E3016" s="122">
        <f>IFERROR(__xludf.DUMMYFUNCTION("""COMPUTED_VALUE"""),101.45)</f>
        <v>101.45</v>
      </c>
      <c r="F3016" s="122">
        <f>IFERROR(__xludf.DUMMYFUNCTION("""COMPUTED_VALUE"""),0.0036)</f>
        <v>0.0036</v>
      </c>
    </row>
    <row r="3017">
      <c r="A3017" s="131">
        <f>IFERROR(__xludf.DUMMYFUNCTION("""COMPUTED_VALUE"""),46187.421631944446)</f>
        <v>46187.42163</v>
      </c>
      <c r="B3017" s="126">
        <f>IFERROR(__xludf.DUMMYFUNCTION("""COMPUTED_VALUE"""),46187.0)</f>
        <v>46187</v>
      </c>
      <c r="C3017" s="122" t="str">
        <f>IFERROR(__xludf.DUMMYFUNCTION("""COMPUTED_VALUE"""),"MOVI")</f>
        <v>MOVI</v>
      </c>
      <c r="D3017" s="122" t="str">
        <f>IFERROR(__xludf.DUMMYFUNCTION("""COMPUTED_VALUE"""),"MovieBox")</f>
        <v>MovieBox</v>
      </c>
      <c r="E3017" s="122">
        <f>IFERROR(__xludf.DUMMYFUNCTION("""COMPUTED_VALUE"""),80.74)</f>
        <v>80.74</v>
      </c>
      <c r="F3017" s="122">
        <f>IFERROR(__xludf.DUMMYFUNCTION("""COMPUTED_VALUE"""),0.0042)</f>
        <v>0.0042</v>
      </c>
    </row>
    <row r="3018">
      <c r="A3018" s="131">
        <f>IFERROR(__xludf.DUMMYFUNCTION("""COMPUTED_VALUE"""),46187.421631944446)</f>
        <v>46187.42163</v>
      </c>
      <c r="B3018" s="126">
        <f>IFERROR(__xludf.DUMMYFUNCTION("""COMPUTED_VALUE"""),46187.0)</f>
        <v>46187</v>
      </c>
      <c r="C3018" s="122" t="str">
        <f>IFERROR(__xludf.DUMMYFUNCTION("""COMPUTED_VALUE"""),"MUSC")</f>
        <v>MUSC</v>
      </c>
      <c r="D3018" s="122" t="str">
        <f>IFERROR(__xludf.DUMMYFUNCTION("""COMPUTED_VALUE"""),"MusicWave")</f>
        <v>MusicWave</v>
      </c>
      <c r="E3018" s="122">
        <f>IFERROR(__xludf.DUMMYFUNCTION("""COMPUTED_VALUE"""),96.81)</f>
        <v>96.81</v>
      </c>
      <c r="F3018" s="122">
        <f>IFERROR(__xludf.DUMMYFUNCTION("""COMPUTED_VALUE"""),-0.0035)</f>
        <v>-0.0035</v>
      </c>
    </row>
    <row r="3019">
      <c r="A3019" s="131">
        <f>IFERROR(__xludf.DUMMYFUNCTION("""COMPUTED_VALUE"""),46187.421631944446)</f>
        <v>46187.42163</v>
      </c>
      <c r="B3019" s="126">
        <f>IFERROR(__xludf.DUMMYFUNCTION("""COMPUTED_VALUE"""),46187.0)</f>
        <v>46187</v>
      </c>
      <c r="C3019" s="122" t="str">
        <f>IFERROR(__xludf.DUMMYFUNCTION("""COMPUTED_VALUE"""),"IDOL")</f>
        <v>IDOL</v>
      </c>
      <c r="D3019" s="122" t="str">
        <f>IFERROR(__xludf.DUMMYFUNCTION("""COMPUTED_VALUE"""),"Idol Agency")</f>
        <v>Idol Agency</v>
      </c>
      <c r="E3019" s="122">
        <f>IFERROR(__xludf.DUMMYFUNCTION("""COMPUTED_VALUE"""),193.98)</f>
        <v>193.98</v>
      </c>
      <c r="F3019" s="122">
        <f>IFERROR(__xludf.DUMMYFUNCTION("""COMPUTED_VALUE"""),-0.0112)</f>
        <v>-0.0112</v>
      </c>
    </row>
    <row r="3020">
      <c r="A3020" s="131">
        <f>IFERROR(__xludf.DUMMYFUNCTION("""COMPUTED_VALUE"""),46187.421631944446)</f>
        <v>46187.42163</v>
      </c>
      <c r="B3020" s="126">
        <f>IFERROR(__xludf.DUMMYFUNCTION("""COMPUTED_VALUE"""),46187.0)</f>
        <v>46187</v>
      </c>
      <c r="C3020" s="122" t="str">
        <f>IFERROR(__xludf.DUMMYFUNCTION("""COMPUTED_VALUE"""),"MEME")</f>
        <v>MEME</v>
      </c>
      <c r="D3020" s="122" t="str">
        <f>IFERROR(__xludf.DUMMYFUNCTION("""COMPUTED_VALUE"""),"Meme Media")</f>
        <v>Meme Media</v>
      </c>
      <c r="E3020" s="122">
        <f>IFERROR(__xludf.DUMMYFUNCTION("""COMPUTED_VALUE"""),75.41)</f>
        <v>75.41</v>
      </c>
      <c r="F3020" s="122">
        <f>IFERROR(__xludf.DUMMYFUNCTION("""COMPUTED_VALUE"""),-0.0135)</f>
        <v>-0.0135</v>
      </c>
    </row>
    <row r="3021">
      <c r="A3021" s="131">
        <f>IFERROR(__xludf.DUMMYFUNCTION("""COMPUTED_VALUE"""),46187.421631944446)</f>
        <v>46187.42163</v>
      </c>
      <c r="B3021" s="126">
        <f>IFERROR(__xludf.DUMMYFUNCTION("""COMPUTED_VALUE"""),46187.0)</f>
        <v>46187</v>
      </c>
      <c r="C3021" s="122" t="str">
        <f>IFERROR(__xludf.DUMMYFUNCTION("""COMPUTED_VALUE"""),"STRM")</f>
        <v>STRM</v>
      </c>
      <c r="D3021" s="122" t="str">
        <f>IFERROR(__xludf.DUMMYFUNCTION("""COMPUTED_VALUE"""),"Streamly")</f>
        <v>Streamly</v>
      </c>
      <c r="E3021" s="122">
        <f>IFERROR(__xludf.DUMMYFUNCTION("""COMPUTED_VALUE"""),139.63)</f>
        <v>139.63</v>
      </c>
      <c r="F3021" s="122">
        <f>IFERROR(__xludf.DUMMYFUNCTION("""COMPUTED_VALUE"""),0.002)</f>
        <v>0.002</v>
      </c>
    </row>
    <row r="3022">
      <c r="A3022" s="131">
        <f>IFERROR(__xludf.DUMMYFUNCTION("""COMPUTED_VALUE"""),46187.421631944446)</f>
        <v>46187.42163</v>
      </c>
      <c r="B3022" s="126">
        <f>IFERROR(__xludf.DUMMYFUNCTION("""COMPUTED_VALUE"""),46187.0)</f>
        <v>46187</v>
      </c>
      <c r="C3022" s="122" t="str">
        <f>IFERROR(__xludf.DUMMYFUNCTION("""COMPUTED_VALUE"""),"FARM")</f>
        <v>FARM</v>
      </c>
      <c r="D3022" s="122" t="str">
        <f>IFERROR(__xludf.DUMMYFUNCTION("""COMPUTED_VALUE"""),"Future Farms")</f>
        <v>Future Farms</v>
      </c>
      <c r="E3022" s="122">
        <f>IFERROR(__xludf.DUMMYFUNCTION("""COMPUTED_VALUE"""),83.88)</f>
        <v>83.88</v>
      </c>
      <c r="F3022" s="122">
        <f>IFERROR(__xludf.DUMMYFUNCTION("""COMPUTED_VALUE"""),2.0E-4)</f>
        <v>0.0002</v>
      </c>
    </row>
    <row r="3023">
      <c r="A3023" s="131">
        <f>IFERROR(__xludf.DUMMYFUNCTION("""COMPUTED_VALUE"""),46187.421631944446)</f>
        <v>46187.42163</v>
      </c>
      <c r="B3023" s="126">
        <f>IFERROR(__xludf.DUMMYFUNCTION("""COMPUTED_VALUE"""),46187.0)</f>
        <v>46187</v>
      </c>
      <c r="C3023" s="122" t="str">
        <f>IFERROR(__xludf.DUMMYFUNCTION("""COMPUTED_VALUE"""),"MEAT")</f>
        <v>MEAT</v>
      </c>
      <c r="D3023" s="122" t="str">
        <f>IFERROR(__xludf.DUMMYFUNCTION("""COMPUTED_VALUE"""),"MeatWorks")</f>
        <v>MeatWorks</v>
      </c>
      <c r="E3023" s="122">
        <f>IFERROR(__xludf.DUMMYFUNCTION("""COMPUTED_VALUE"""),102.53)</f>
        <v>102.53</v>
      </c>
      <c r="F3023" s="122">
        <f>IFERROR(__xludf.DUMMYFUNCTION("""COMPUTED_VALUE"""),3.0E-4)</f>
        <v>0.0003</v>
      </c>
    </row>
    <row r="3024">
      <c r="A3024" s="131">
        <f>IFERROR(__xludf.DUMMYFUNCTION("""COMPUTED_VALUE"""),46187.421631944446)</f>
        <v>46187.42163</v>
      </c>
      <c r="B3024" s="126">
        <f>IFERROR(__xludf.DUMMYFUNCTION("""COMPUTED_VALUE"""),46187.0)</f>
        <v>46187</v>
      </c>
      <c r="C3024" s="122" t="str">
        <f>IFERROR(__xludf.DUMMYFUNCTION("""COMPUTED_VALUE"""),"VEGI")</f>
        <v>VEGI</v>
      </c>
      <c r="D3024" s="122" t="str">
        <f>IFERROR(__xludf.DUMMYFUNCTION("""COMPUTED_VALUE"""),"Green Basket")</f>
        <v>Green Basket</v>
      </c>
      <c r="E3024" s="122">
        <f>IFERROR(__xludf.DUMMYFUNCTION("""COMPUTED_VALUE"""),81.89)</f>
        <v>81.89</v>
      </c>
      <c r="F3024" s="122">
        <f>IFERROR(__xludf.DUMMYFUNCTION("""COMPUTED_VALUE"""),0.0028)</f>
        <v>0.0028</v>
      </c>
    </row>
    <row r="3025">
      <c r="A3025" s="131">
        <f>IFERROR(__xludf.DUMMYFUNCTION("""COMPUTED_VALUE"""),46187.421631944446)</f>
        <v>46187.42163</v>
      </c>
      <c r="B3025" s="126">
        <f>IFERROR(__xludf.DUMMYFUNCTION("""COMPUTED_VALUE"""),46187.0)</f>
        <v>46187</v>
      </c>
      <c r="C3025" s="122" t="str">
        <f>IFERROR(__xludf.DUMMYFUNCTION("""COMPUTED_VALUE"""),"CAFE")</f>
        <v>CAFE</v>
      </c>
      <c r="D3025" s="122" t="str">
        <f>IFERROR(__xludf.DUMMYFUNCTION("""COMPUTED_VALUE"""),"Cafe Cloud")</f>
        <v>Cafe Cloud</v>
      </c>
      <c r="E3025" s="122">
        <f>IFERROR(__xludf.DUMMYFUNCTION("""COMPUTED_VALUE"""),100.41)</f>
        <v>100.41</v>
      </c>
      <c r="F3025" s="122">
        <f>IFERROR(__xludf.DUMMYFUNCTION("""COMPUTED_VALUE"""),0.0039)</f>
        <v>0.0039</v>
      </c>
    </row>
    <row r="3026">
      <c r="A3026" s="131">
        <f>IFERROR(__xludf.DUMMYFUNCTION("""COMPUTED_VALUE"""),46187.421631944446)</f>
        <v>46187.42163</v>
      </c>
      <c r="B3026" s="126">
        <f>IFERROR(__xludf.DUMMYFUNCTION("""COMPUTED_VALUE"""),46187.0)</f>
        <v>46187</v>
      </c>
      <c r="C3026" s="122" t="str">
        <f>IFERROR(__xludf.DUMMYFUNCTION("""COMPUTED_VALUE"""),"BAKE")</f>
        <v>BAKE</v>
      </c>
      <c r="D3026" s="122" t="str">
        <f>IFERROR(__xludf.DUMMYFUNCTION("""COMPUTED_VALUE"""),"BakeHouse")</f>
        <v>BakeHouse</v>
      </c>
      <c r="E3026" s="122">
        <f>IFERROR(__xludf.DUMMYFUNCTION("""COMPUTED_VALUE"""),100.16)</f>
        <v>100.16</v>
      </c>
      <c r="F3026" s="122">
        <f>IFERROR(__xludf.DUMMYFUNCTION("""COMPUTED_VALUE"""),0.0017)</f>
        <v>0.0017</v>
      </c>
    </row>
    <row r="3027">
      <c r="A3027" s="131">
        <f>IFERROR(__xludf.DUMMYFUNCTION("""COMPUTED_VALUE"""),46187.421631944446)</f>
        <v>46187.42163</v>
      </c>
      <c r="B3027" s="126">
        <f>IFERROR(__xludf.DUMMYFUNCTION("""COMPUTED_VALUE"""),46187.0)</f>
        <v>46187</v>
      </c>
      <c r="C3027" s="122" t="str">
        <f>IFERROR(__xludf.DUMMYFUNCTION("""COMPUTED_VALUE"""),"OILX")</f>
        <v>OILX</v>
      </c>
      <c r="D3027" s="122" t="str">
        <f>IFERROR(__xludf.DUMMYFUNCTION("""COMPUTED_VALUE"""),"OilMax Energy")</f>
        <v>OilMax Energy</v>
      </c>
      <c r="E3027" s="122">
        <f>IFERROR(__xludf.DUMMYFUNCTION("""COMPUTED_VALUE"""),131.27)</f>
        <v>131.27</v>
      </c>
      <c r="F3027" s="122">
        <f>IFERROR(__xludf.DUMMYFUNCTION("""COMPUTED_VALUE"""),0.0066)</f>
        <v>0.0066</v>
      </c>
    </row>
    <row r="3028">
      <c r="A3028" s="131">
        <f>IFERROR(__xludf.DUMMYFUNCTION("""COMPUTED_VALUE"""),46187.421631944446)</f>
        <v>46187.42163</v>
      </c>
      <c r="B3028" s="126">
        <f>IFERROR(__xludf.DUMMYFUNCTION("""COMPUTED_VALUE"""),46187.0)</f>
        <v>46187</v>
      </c>
      <c r="C3028" s="122" t="str">
        <f>IFERROR(__xludf.DUMMYFUNCTION("""COMPUTED_VALUE"""),"SOLR")</f>
        <v>SOLR</v>
      </c>
      <c r="D3028" s="122" t="str">
        <f>IFERROR(__xludf.DUMMYFUNCTION("""COMPUTED_VALUE"""),"SolarSpark")</f>
        <v>SolarSpark</v>
      </c>
      <c r="E3028" s="122">
        <f>IFERROR(__xludf.DUMMYFUNCTION("""COMPUTED_VALUE"""),88.71)</f>
        <v>88.71</v>
      </c>
      <c r="F3028" s="122">
        <f>IFERROR(__xludf.DUMMYFUNCTION("""COMPUTED_VALUE"""),0.008)</f>
        <v>0.008</v>
      </c>
    </row>
    <row r="3029">
      <c r="A3029" s="131">
        <f>IFERROR(__xludf.DUMMYFUNCTION("""COMPUTED_VALUE"""),46187.421631944446)</f>
        <v>46187.42163</v>
      </c>
      <c r="B3029" s="126">
        <f>IFERROR(__xludf.DUMMYFUNCTION("""COMPUTED_VALUE"""),46187.0)</f>
        <v>46187</v>
      </c>
      <c r="C3029" s="122" t="str">
        <f>IFERROR(__xludf.DUMMYFUNCTION("""COMPUTED_VALUE"""),"BATT")</f>
        <v>BATT</v>
      </c>
      <c r="D3029" s="122" t="str">
        <f>IFERROR(__xludf.DUMMYFUNCTION("""COMPUTED_VALUE"""),"BatteryBox")</f>
        <v>BatteryBox</v>
      </c>
      <c r="E3029" s="122">
        <f>IFERROR(__xludf.DUMMYFUNCTION("""COMPUTED_VALUE"""),121.27)</f>
        <v>121.27</v>
      </c>
      <c r="F3029" s="122">
        <f>IFERROR(__xludf.DUMMYFUNCTION("""COMPUTED_VALUE"""),0.006)</f>
        <v>0.006</v>
      </c>
    </row>
    <row r="3030">
      <c r="A3030" s="131">
        <f>IFERROR(__xludf.DUMMYFUNCTION("""COMPUTED_VALUE"""),46187.421631944446)</f>
        <v>46187.42163</v>
      </c>
      <c r="B3030" s="126">
        <f>IFERROR(__xludf.DUMMYFUNCTION("""COMPUTED_VALUE"""),46187.0)</f>
        <v>46187</v>
      </c>
      <c r="C3030" s="122" t="str">
        <f>IFERROR(__xludf.DUMMYFUNCTION("""COMPUTED_VALUE"""),"WIND")</f>
        <v>WIND</v>
      </c>
      <c r="D3030" s="122" t="str">
        <f>IFERROR(__xludf.DUMMYFUNCTION("""COMPUTED_VALUE"""),"WindWorks")</f>
        <v>WindWorks</v>
      </c>
      <c r="E3030" s="122">
        <f>IFERROR(__xludf.DUMMYFUNCTION("""COMPUTED_VALUE"""),88.8)</f>
        <v>88.8</v>
      </c>
      <c r="F3030" s="122">
        <f>IFERROR(__xludf.DUMMYFUNCTION("""COMPUTED_VALUE"""),0.006)</f>
        <v>0.006</v>
      </c>
    </row>
    <row r="3031">
      <c r="A3031" s="131">
        <f>IFERROR(__xludf.DUMMYFUNCTION("""COMPUTED_VALUE"""),46187.421631944446)</f>
        <v>46187.42163</v>
      </c>
      <c r="B3031" s="126">
        <f>IFERROR(__xludf.DUMMYFUNCTION("""COMPUTED_VALUE"""),46187.0)</f>
        <v>46187</v>
      </c>
      <c r="C3031" s="122" t="str">
        <f>IFERROR(__xludf.DUMMYFUNCTION("""COMPUTED_VALUE"""),"GRID")</f>
        <v>GRID</v>
      </c>
      <c r="D3031" s="122" t="str">
        <f>IFERROR(__xludf.DUMMYFUNCTION("""COMPUTED_VALUE"""),"GridPower")</f>
        <v>GridPower</v>
      </c>
      <c r="E3031" s="122">
        <f>IFERROR(__xludf.DUMMYFUNCTION("""COMPUTED_VALUE"""),141.41)</f>
        <v>141.41</v>
      </c>
      <c r="F3031" s="122">
        <f>IFERROR(__xludf.DUMMYFUNCTION("""COMPUTED_VALUE"""),-0.0072)</f>
        <v>-0.0072</v>
      </c>
    </row>
    <row r="3032">
      <c r="A3032" s="131">
        <f>IFERROR(__xludf.DUMMYFUNCTION("""COMPUTED_VALUE"""),46187.421631944446)</f>
        <v>46187.42163</v>
      </c>
      <c r="B3032" s="126">
        <f>IFERROR(__xludf.DUMMYFUNCTION("""COMPUTED_VALUE"""),46187.0)</f>
        <v>46187</v>
      </c>
      <c r="C3032" s="122" t="str">
        <f>IFERROR(__xludf.DUMMYFUNCTION("""COMPUTED_VALUE"""),"HOME")</f>
        <v>HOME</v>
      </c>
      <c r="D3032" s="122" t="str">
        <f>IFERROR(__xludf.DUMMYFUNCTION("""COMPUTED_VALUE"""),"HomeHub")</f>
        <v>HomeHub</v>
      </c>
      <c r="E3032" s="122">
        <f>IFERROR(__xludf.DUMMYFUNCTION("""COMPUTED_VALUE"""),148.99)</f>
        <v>148.99</v>
      </c>
      <c r="F3032" s="122">
        <f>IFERROR(__xludf.DUMMYFUNCTION("""COMPUTED_VALUE"""),0.0013)</f>
        <v>0.0013</v>
      </c>
    </row>
    <row r="3033">
      <c r="A3033" s="131">
        <f>IFERROR(__xludf.DUMMYFUNCTION("""COMPUTED_VALUE"""),46187.421631944446)</f>
        <v>46187.42163</v>
      </c>
      <c r="B3033" s="126">
        <f>IFERROR(__xludf.DUMMYFUNCTION("""COMPUTED_VALUE"""),46187.0)</f>
        <v>46187</v>
      </c>
      <c r="C3033" s="122" t="str">
        <f>IFERROR(__xludf.DUMMYFUNCTION("""COMPUTED_VALUE"""),"RENT")</f>
        <v>RENT</v>
      </c>
      <c r="D3033" s="122" t="str">
        <f>IFERROR(__xludf.DUMMYFUNCTION("""COMPUTED_VALUE"""),"RentRight")</f>
        <v>RentRight</v>
      </c>
      <c r="E3033" s="122">
        <f>IFERROR(__xludf.DUMMYFUNCTION("""COMPUTED_VALUE"""),92.03)</f>
        <v>92.03</v>
      </c>
      <c r="F3033" s="122">
        <f>IFERROR(__xludf.DUMMYFUNCTION("""COMPUTED_VALUE"""),0.0061)</f>
        <v>0.0061</v>
      </c>
    </row>
    <row r="3034">
      <c r="A3034" s="131">
        <f>IFERROR(__xludf.DUMMYFUNCTION("""COMPUTED_VALUE"""),46187.421631944446)</f>
        <v>46187.42163</v>
      </c>
      <c r="B3034" s="126">
        <f>IFERROR(__xludf.DUMMYFUNCTION("""COMPUTED_VALUE"""),46187.0)</f>
        <v>46187</v>
      </c>
      <c r="C3034" s="122" t="str">
        <f>IFERROR(__xludf.DUMMYFUNCTION("""COMPUTED_VALUE"""),"MALL")</f>
        <v>MALL</v>
      </c>
      <c r="D3034" s="122" t="str">
        <f>IFERROR(__xludf.DUMMYFUNCTION("""COMPUTED_VALUE"""),"MegaMall")</f>
        <v>MegaMall</v>
      </c>
      <c r="E3034" s="122">
        <f>IFERROR(__xludf.DUMMYFUNCTION("""COMPUTED_VALUE"""),100.3)</f>
        <v>100.3</v>
      </c>
      <c r="F3034" s="122">
        <f>IFERROR(__xludf.DUMMYFUNCTION("""COMPUTED_VALUE"""),0.0021)</f>
        <v>0.0021</v>
      </c>
    </row>
    <row r="3035">
      <c r="A3035" s="131">
        <f>IFERROR(__xludf.DUMMYFUNCTION("""COMPUTED_VALUE"""),46187.421631944446)</f>
        <v>46187.42163</v>
      </c>
      <c r="B3035" s="126">
        <f>IFERROR(__xludf.DUMMYFUNCTION("""COMPUTED_VALUE"""),46187.0)</f>
        <v>46187</v>
      </c>
      <c r="C3035" s="122" t="str">
        <f>IFERROR(__xludf.DUMMYFUNCTION("""COMPUTED_VALUE"""),"HOTL")</f>
        <v>HOTL</v>
      </c>
      <c r="D3035" s="122" t="str">
        <f>IFERROR(__xludf.DUMMYFUNCTION("""COMPUTED_VALUE"""),"HotelHive")</f>
        <v>HotelHive</v>
      </c>
      <c r="E3035" s="122">
        <f>IFERROR(__xludf.DUMMYFUNCTION("""COMPUTED_VALUE"""),131.1)</f>
        <v>131.1</v>
      </c>
      <c r="F3035" s="122">
        <f>IFERROR(__xludf.DUMMYFUNCTION("""COMPUTED_VALUE"""),-0.0048)</f>
        <v>-0.0048</v>
      </c>
    </row>
    <row r="3036">
      <c r="A3036" s="131">
        <f>IFERROR(__xludf.DUMMYFUNCTION("""COMPUTED_VALUE"""),46187.421631944446)</f>
        <v>46187.42163</v>
      </c>
      <c r="B3036" s="126">
        <f>IFERROR(__xludf.DUMMYFUNCTION("""COMPUTED_VALUE"""),46187.0)</f>
        <v>46187</v>
      </c>
      <c r="C3036" s="122" t="str">
        <f>IFERROR(__xludf.DUMMYFUNCTION("""COMPUTED_VALUE"""),"LAND")</f>
        <v>LAND</v>
      </c>
      <c r="D3036" s="122" t="str">
        <f>IFERROR(__xludf.DUMMYFUNCTION("""COMPUTED_VALUE"""),"LandLink")</f>
        <v>LandLink</v>
      </c>
      <c r="E3036" s="122">
        <f>IFERROR(__xludf.DUMMYFUNCTION("""COMPUTED_VALUE"""),183.39)</f>
        <v>183.39</v>
      </c>
      <c r="F3036" s="122">
        <f>IFERROR(__xludf.DUMMYFUNCTION("""COMPUTED_VALUE"""),4.0E-4)</f>
        <v>0.0004</v>
      </c>
    </row>
    <row r="3037">
      <c r="A3037" s="131">
        <f>IFERROR(__xludf.DUMMYFUNCTION("""COMPUTED_VALUE"""),46187.421631944446)</f>
        <v>46187.42163</v>
      </c>
      <c r="B3037" s="126">
        <f>IFERROR(__xludf.DUMMYFUNCTION("""COMPUTED_VALUE"""),46187.0)</f>
        <v>46187</v>
      </c>
      <c r="C3037" s="122" t="str">
        <f>IFERROR(__xludf.DUMMYFUNCTION("""COMPUTED_VALUE"""),"CARS")</f>
        <v>CARS</v>
      </c>
      <c r="D3037" s="122" t="str">
        <f>IFERROR(__xludf.DUMMYFUNCTION("""COMPUTED_VALUE"""),"AutoArena")</f>
        <v>AutoArena</v>
      </c>
      <c r="E3037" s="122">
        <f>IFERROR(__xludf.DUMMYFUNCTION("""COMPUTED_VALUE"""),80.53)</f>
        <v>80.53</v>
      </c>
      <c r="F3037" s="122">
        <f>IFERROR(__xludf.DUMMYFUNCTION("""COMPUTED_VALUE"""),0.005)</f>
        <v>0.005</v>
      </c>
    </row>
    <row r="3038">
      <c r="A3038" s="131">
        <f>IFERROR(__xludf.DUMMYFUNCTION("""COMPUTED_VALUE"""),46187.421631944446)</f>
        <v>46187.42163</v>
      </c>
      <c r="B3038" s="126">
        <f>IFERROR(__xludf.DUMMYFUNCTION("""COMPUTED_VALUE"""),46187.0)</f>
        <v>46187</v>
      </c>
      <c r="C3038" s="122" t="str">
        <f>IFERROR(__xludf.DUMMYFUNCTION("""COMPUTED_VALUE"""),"EVGO")</f>
        <v>EVGO</v>
      </c>
      <c r="D3038" s="122" t="str">
        <f>IFERROR(__xludf.DUMMYFUNCTION("""COMPUTED_VALUE"""),"EVGo Motors")</f>
        <v>EVGo Motors</v>
      </c>
      <c r="E3038" s="122">
        <f>IFERROR(__xludf.DUMMYFUNCTION("""COMPUTED_VALUE"""),185.81)</f>
        <v>185.81</v>
      </c>
      <c r="F3038" s="122">
        <f>IFERROR(__xludf.DUMMYFUNCTION("""COMPUTED_VALUE"""),-0.0122)</f>
        <v>-0.0122</v>
      </c>
    </row>
    <row r="3039">
      <c r="A3039" s="131">
        <f>IFERROR(__xludf.DUMMYFUNCTION("""COMPUTED_VALUE"""),46187.421631944446)</f>
        <v>46187.42163</v>
      </c>
      <c r="B3039" s="126">
        <f>IFERROR(__xludf.DUMMYFUNCTION("""COMPUTED_VALUE"""),46187.0)</f>
        <v>46187</v>
      </c>
      <c r="C3039" s="122" t="str">
        <f>IFERROR(__xludf.DUMMYFUNCTION("""COMPUTED_VALUE"""),"TIRE")</f>
        <v>TIRE</v>
      </c>
      <c r="D3039" s="122" t="str">
        <f>IFERROR(__xludf.DUMMYFUNCTION("""COMPUTED_VALUE"""),"TireTown")</f>
        <v>TireTown</v>
      </c>
      <c r="E3039" s="122">
        <f>IFERROR(__xludf.DUMMYFUNCTION("""COMPUTED_VALUE"""),92.91)</f>
        <v>92.91</v>
      </c>
      <c r="F3039" s="122">
        <f>IFERROR(__xludf.DUMMYFUNCTION("""COMPUTED_VALUE"""),0.002)</f>
        <v>0.002</v>
      </c>
    </row>
    <row r="3040">
      <c r="A3040" s="131">
        <f>IFERROR(__xludf.DUMMYFUNCTION("""COMPUTED_VALUE"""),46187.421631944446)</f>
        <v>46187.42163</v>
      </c>
      <c r="B3040" s="126">
        <f>IFERROR(__xludf.DUMMYFUNCTION("""COMPUTED_VALUE"""),46187.0)</f>
        <v>46187</v>
      </c>
      <c r="C3040" s="122" t="str">
        <f>IFERROR(__xludf.DUMMYFUNCTION("""COMPUTED_VALUE"""),"BIKE")</f>
        <v>BIKE</v>
      </c>
      <c r="D3040" s="122" t="str">
        <f>IFERROR(__xludf.DUMMYFUNCTION("""COMPUTED_VALUE"""),"BikeBox")</f>
        <v>BikeBox</v>
      </c>
      <c r="E3040" s="122">
        <f>IFERROR(__xludf.DUMMYFUNCTION("""COMPUTED_VALUE"""),53.42)</f>
        <v>53.42</v>
      </c>
      <c r="F3040" s="122">
        <f>IFERROR(__xludf.DUMMYFUNCTION("""COMPUTED_VALUE"""),-0.0069)</f>
        <v>-0.0069</v>
      </c>
    </row>
    <row r="3041">
      <c r="A3041" s="131">
        <f>IFERROR(__xludf.DUMMYFUNCTION("""COMPUTED_VALUE"""),46187.421631944446)</f>
        <v>46187.42163</v>
      </c>
      <c r="B3041" s="126">
        <f>IFERROR(__xludf.DUMMYFUNCTION("""COMPUTED_VALUE"""),46187.0)</f>
        <v>46187</v>
      </c>
      <c r="C3041" s="122" t="str">
        <f>IFERROR(__xludf.DUMMYFUNCTION("""COMPUTED_VALUE"""),"WASH")</f>
        <v>WASH</v>
      </c>
      <c r="D3041" s="122" t="str">
        <f>IFERROR(__xludf.DUMMYFUNCTION("""COMPUTED_VALUE"""),"CarWash Co")</f>
        <v>CarWash Co</v>
      </c>
      <c r="E3041" s="122">
        <f>IFERROR(__xludf.DUMMYFUNCTION("""COMPUTED_VALUE"""),120.64)</f>
        <v>120.64</v>
      </c>
      <c r="F3041" s="122">
        <f>IFERROR(__xludf.DUMMYFUNCTION("""COMPUTED_VALUE"""),-0.0024)</f>
        <v>-0.0024</v>
      </c>
    </row>
    <row r="3042">
      <c r="A3042" s="131">
        <f>IFERROR(__xludf.DUMMYFUNCTION("""COMPUTED_VALUE"""),46187.421631944446)</f>
        <v>46187.42163</v>
      </c>
      <c r="B3042" s="126">
        <f>IFERROR(__xludf.DUMMYFUNCTION("""COMPUTED_VALUE"""),46187.0)</f>
        <v>46187</v>
      </c>
      <c r="C3042" s="122" t="str">
        <f>IFERROR(__xludf.DUMMYFUNCTION("""COMPUTED_VALUE"""),"GBND")</f>
        <v>GBND</v>
      </c>
      <c r="D3042" s="122" t="str">
        <f>IFERROR(__xludf.DUMMYFUNCTION("""COMPUTED_VALUE"""),"Classroom Government Bond")</f>
        <v>Classroom Government Bond</v>
      </c>
      <c r="E3042" s="122">
        <f>IFERROR(__xludf.DUMMYFUNCTION("""COMPUTED_VALUE"""),101.02)</f>
        <v>101.02</v>
      </c>
      <c r="F3042" s="122">
        <f>IFERROR(__xludf.DUMMYFUNCTION("""COMPUTED_VALUE"""),1.0E-4)</f>
        <v>0.0001</v>
      </c>
    </row>
    <row r="3043">
      <c r="A3043" s="131">
        <f>IFERROR(__xludf.DUMMYFUNCTION("""COMPUTED_VALUE"""),46187.421631944446)</f>
        <v>46187.42163</v>
      </c>
      <c r="B3043" s="126">
        <f>IFERROR(__xludf.DUMMYFUNCTION("""COMPUTED_VALUE"""),46187.0)</f>
        <v>46187</v>
      </c>
      <c r="C3043" s="122" t="str">
        <f>IFERROR(__xludf.DUMMYFUNCTION("""COMPUTED_VALUE"""),"SBND")</f>
        <v>SBND</v>
      </c>
      <c r="D3043" s="122" t="str">
        <f>IFERROR(__xludf.DUMMYFUNCTION("""COMPUTED_VALUE"""),"School Savings Bond")</f>
        <v>School Savings Bond</v>
      </c>
      <c r="E3043" s="122">
        <f>IFERROR(__xludf.DUMMYFUNCTION("""COMPUTED_VALUE"""),99.55)</f>
        <v>99.55</v>
      </c>
      <c r="F3043" s="122">
        <f>IFERROR(__xludf.DUMMYFUNCTION("""COMPUTED_VALUE"""),-4.0E-4)</f>
        <v>-0.0004</v>
      </c>
    </row>
    <row r="3044">
      <c r="A3044" s="131">
        <f>IFERROR(__xludf.DUMMYFUNCTION("""COMPUTED_VALUE"""),46187.421631944446)</f>
        <v>46187.42163</v>
      </c>
      <c r="B3044" s="126">
        <f>IFERROR(__xludf.DUMMYFUNCTION("""COMPUTED_VALUE"""),46187.0)</f>
        <v>46187</v>
      </c>
      <c r="C3044" s="122" t="str">
        <f>IFERROR(__xludf.DUMMYFUNCTION("""COMPUTED_VALUE"""),"CBND")</f>
        <v>CBND</v>
      </c>
      <c r="D3044" s="122" t="str">
        <f>IFERROR(__xludf.DUMMYFUNCTION("""COMPUTED_VALUE"""),"Corporate Classroom Bond")</f>
        <v>Corporate Classroom Bond</v>
      </c>
      <c r="E3044" s="122">
        <f>IFERROR(__xludf.DUMMYFUNCTION("""COMPUTED_VALUE"""),97.72)</f>
        <v>97.72</v>
      </c>
      <c r="F3044" s="122">
        <f>IFERROR(__xludf.DUMMYFUNCTION("""COMPUTED_VALUE"""),4.0E-4)</f>
        <v>0.0004</v>
      </c>
    </row>
    <row r="3045">
      <c r="A3045" s="131">
        <f>IFERROR(__xludf.DUMMYFUNCTION("""COMPUTED_VALUE"""),46187.421631944446)</f>
        <v>46187.42163</v>
      </c>
      <c r="B3045" s="126">
        <f>IFERROR(__xludf.DUMMYFUNCTION("""COMPUTED_VALUE"""),46187.0)</f>
        <v>46187</v>
      </c>
      <c r="C3045" s="122" t="str">
        <f>IFERROR(__xludf.DUMMYFUNCTION("""COMPUTED_VALUE"""),"TBIL")</f>
        <v>TBIL</v>
      </c>
      <c r="D3045" s="122" t="str">
        <f>IFERROR(__xludf.DUMMYFUNCTION("""COMPUTED_VALUE"""),"Treasury Bill")</f>
        <v>Treasury Bill</v>
      </c>
      <c r="E3045" s="122">
        <f>IFERROR(__xludf.DUMMYFUNCTION("""COMPUTED_VALUE"""),98.02)</f>
        <v>98.02</v>
      </c>
      <c r="F3045" s="122">
        <f>IFERROR(__xludf.DUMMYFUNCTION("""COMPUTED_VALUE"""),-5.0E-4)</f>
        <v>-0.0005</v>
      </c>
    </row>
    <row r="3046">
      <c r="A3046" s="131">
        <f>IFERROR(__xludf.DUMMYFUNCTION("""COMPUTED_VALUE"""),46187.421631944446)</f>
        <v>46187.42163</v>
      </c>
      <c r="B3046" s="126">
        <f>IFERROR(__xludf.DUMMYFUNCTION("""COMPUTED_VALUE"""),46187.0)</f>
        <v>46187</v>
      </c>
      <c r="C3046" s="122" t="str">
        <f>IFERROR(__xludf.DUMMYFUNCTION("""COMPUTED_VALUE"""),"IBND")</f>
        <v>IBND</v>
      </c>
      <c r="D3046" s="122" t="str">
        <f>IFERROR(__xludf.DUMMYFUNCTION("""COMPUTED_VALUE"""),"Inflation Protected Bond")</f>
        <v>Inflation Protected Bond</v>
      </c>
      <c r="E3046" s="122">
        <f>IFERROR(__xludf.DUMMYFUNCTION("""COMPUTED_VALUE"""),100.7)</f>
        <v>100.7</v>
      </c>
      <c r="F3046" s="122">
        <f>IFERROR(__xludf.DUMMYFUNCTION("""COMPUTED_VALUE"""),1.0E-4)</f>
        <v>0.0001</v>
      </c>
    </row>
    <row r="3047">
      <c r="A3047" s="131">
        <f>IFERROR(__xludf.DUMMYFUNCTION("""COMPUTED_VALUE"""),46187.42512731482)</f>
        <v>46187.42513</v>
      </c>
      <c r="B3047" s="126">
        <f>IFERROR(__xludf.DUMMYFUNCTION("""COMPUTED_VALUE"""),46187.0)</f>
        <v>46187</v>
      </c>
      <c r="C3047" s="122" t="str">
        <f>IFERROR(__xludf.DUMMYFUNCTION("""COMPUTED_VALUE"""),"SNAX")</f>
        <v>SNAX</v>
      </c>
      <c r="D3047" s="122" t="str">
        <f>IFERROR(__xludf.DUMMYFUNCTION("""COMPUTED_VALUE"""),"MICA Snacks")</f>
        <v>MICA Snacks</v>
      </c>
      <c r="E3047" s="122">
        <f>IFERROR(__xludf.DUMMYFUNCTION("""COMPUTED_VALUE"""),120.56)</f>
        <v>120.56</v>
      </c>
      <c r="F3047" s="122">
        <f>IFERROR(__xludf.DUMMYFUNCTION("""COMPUTED_VALUE"""),0.0037)</f>
        <v>0.0037</v>
      </c>
    </row>
    <row r="3048">
      <c r="A3048" s="131">
        <f>IFERROR(__xludf.DUMMYFUNCTION("""COMPUTED_VALUE"""),46187.42512731482)</f>
        <v>46187.42513</v>
      </c>
      <c r="B3048" s="126">
        <f>IFERROR(__xludf.DUMMYFUNCTION("""COMPUTED_VALUE"""),46187.0)</f>
        <v>46187</v>
      </c>
      <c r="C3048" s="122" t="str">
        <f>IFERROR(__xludf.DUMMYFUNCTION("""COMPUTED_VALUE"""),"RAMN")</f>
        <v>RAMN</v>
      </c>
      <c r="D3048" s="122" t="str">
        <f>IFERROR(__xludf.DUMMYFUNCTION("""COMPUTED_VALUE"""),"Ramen Republic")</f>
        <v>Ramen Republic</v>
      </c>
      <c r="E3048" s="122">
        <f>IFERROR(__xludf.DUMMYFUNCTION("""COMPUTED_VALUE"""),72.9)</f>
        <v>72.9</v>
      </c>
      <c r="F3048" s="122">
        <f>IFERROR(__xludf.DUMMYFUNCTION("""COMPUTED_VALUE"""),-0.0011)</f>
        <v>-0.0011</v>
      </c>
    </row>
    <row r="3049">
      <c r="A3049" s="131">
        <f>IFERROR(__xludf.DUMMYFUNCTION("""COMPUTED_VALUE"""),46187.42512731482)</f>
        <v>46187.42513</v>
      </c>
      <c r="B3049" s="126">
        <f>IFERROR(__xludf.DUMMYFUNCTION("""COMPUTED_VALUE"""),46187.0)</f>
        <v>46187</v>
      </c>
      <c r="C3049" s="122" t="str">
        <f>IFERROR(__xludf.DUMMYFUNCTION("""COMPUTED_VALUE"""),"COLA")</f>
        <v>COLA</v>
      </c>
      <c r="D3049" s="122" t="str">
        <f>IFERROR(__xludf.DUMMYFUNCTION("""COMPUTED_VALUE"""),"K-Pop Cola")</f>
        <v>K-Pop Cola</v>
      </c>
      <c r="E3049" s="122">
        <f>IFERROR(__xludf.DUMMYFUNCTION("""COMPUTED_VALUE"""),106.98)</f>
        <v>106.98</v>
      </c>
      <c r="F3049" s="122">
        <f>IFERROR(__xludf.DUMMYFUNCTION("""COMPUTED_VALUE"""),0.0046)</f>
        <v>0.0046</v>
      </c>
    </row>
    <row r="3050">
      <c r="A3050" s="131">
        <f>IFERROR(__xludf.DUMMYFUNCTION("""COMPUTED_VALUE"""),46187.42512731482)</f>
        <v>46187.42513</v>
      </c>
      <c r="B3050" s="126">
        <f>IFERROR(__xludf.DUMMYFUNCTION("""COMPUTED_VALUE"""),46187.0)</f>
        <v>46187</v>
      </c>
      <c r="C3050" s="122" t="str">
        <f>IFERROR(__xludf.DUMMYFUNCTION("""COMPUTED_VALUE"""),"CHIP")</f>
        <v>CHIP</v>
      </c>
      <c r="D3050" s="122" t="str">
        <f>IFERROR(__xludf.DUMMYFUNCTION("""COMPUTED_VALUE"""),"Chip Empire")</f>
        <v>Chip Empire</v>
      </c>
      <c r="E3050" s="122">
        <f>IFERROR(__xludf.DUMMYFUNCTION("""COMPUTED_VALUE"""),86.28)</f>
        <v>86.28</v>
      </c>
      <c r="F3050" s="122">
        <f>IFERROR(__xludf.DUMMYFUNCTION("""COMPUTED_VALUE"""),0.0071)</f>
        <v>0.0071</v>
      </c>
    </row>
    <row r="3051">
      <c r="A3051" s="131">
        <f>IFERROR(__xludf.DUMMYFUNCTION("""COMPUTED_VALUE"""),46187.42512731482)</f>
        <v>46187.42513</v>
      </c>
      <c r="B3051" s="126">
        <f>IFERROR(__xludf.DUMMYFUNCTION("""COMPUTED_VALUE"""),46187.0)</f>
        <v>46187</v>
      </c>
      <c r="C3051" s="122" t="str">
        <f>IFERROR(__xludf.DUMMYFUNCTION("""COMPUTED_VALUE"""),"CAND")</f>
        <v>CAND</v>
      </c>
      <c r="D3051" s="122" t="str">
        <f>IFERROR(__xludf.DUMMYFUNCTION("""COMPUTED_VALUE"""),"Candy Capital")</f>
        <v>Candy Capital</v>
      </c>
      <c r="E3051" s="122">
        <f>IFERROR(__xludf.DUMMYFUNCTION("""COMPUTED_VALUE"""),77.01)</f>
        <v>77.01</v>
      </c>
      <c r="F3051" s="122">
        <f>IFERROR(__xludf.DUMMYFUNCTION("""COMPUTED_VALUE"""),-0.0021)</f>
        <v>-0.0021</v>
      </c>
    </row>
    <row r="3052">
      <c r="A3052" s="131">
        <f>IFERROR(__xludf.DUMMYFUNCTION("""COMPUTED_VALUE"""),46187.42512731482)</f>
        <v>46187.42513</v>
      </c>
      <c r="B3052" s="126">
        <f>IFERROR(__xludf.DUMMYFUNCTION("""COMPUTED_VALUE"""),46187.0)</f>
        <v>46187</v>
      </c>
      <c r="C3052" s="122" t="str">
        <f>IFERROR(__xludf.DUMMYFUNCTION("""COMPUTED_VALUE"""),"TECH")</f>
        <v>TECH</v>
      </c>
      <c r="D3052" s="122" t="str">
        <f>IFERROR(__xludf.DUMMYFUNCTION("""COMPUTED_VALUE"""),"Dragon Tech")</f>
        <v>Dragon Tech</v>
      </c>
      <c r="E3052" s="122">
        <f>IFERROR(__xludf.DUMMYFUNCTION("""COMPUTED_VALUE"""),241.42)</f>
        <v>241.42</v>
      </c>
      <c r="F3052" s="122">
        <f>IFERROR(__xludf.DUMMYFUNCTION("""COMPUTED_VALUE"""),0.0059)</f>
        <v>0.0059</v>
      </c>
    </row>
    <row r="3053">
      <c r="A3053" s="131">
        <f>IFERROR(__xludf.DUMMYFUNCTION("""COMPUTED_VALUE"""),46187.42512731482)</f>
        <v>46187.42513</v>
      </c>
      <c r="B3053" s="126">
        <f>IFERROR(__xludf.DUMMYFUNCTION("""COMPUTED_VALUE"""),46187.0)</f>
        <v>46187</v>
      </c>
      <c r="C3053" s="122" t="str">
        <f>IFERROR(__xludf.DUMMYFUNCTION("""COMPUTED_VALUE"""),"AIBO")</f>
        <v>AIBO</v>
      </c>
      <c r="D3053" s="122" t="str">
        <f>IFERROR(__xludf.DUMMYFUNCTION("""COMPUTED_VALUE"""),"Homework AI")</f>
        <v>Homework AI</v>
      </c>
      <c r="E3053" s="122">
        <f>IFERROR(__xludf.DUMMYFUNCTION("""COMPUTED_VALUE"""),171.87)</f>
        <v>171.87</v>
      </c>
      <c r="F3053" s="122">
        <f>IFERROR(__xludf.DUMMYFUNCTION("""COMPUTED_VALUE"""),1.0E-4)</f>
        <v>0.0001</v>
      </c>
    </row>
    <row r="3054">
      <c r="A3054" s="131">
        <f>IFERROR(__xludf.DUMMYFUNCTION("""COMPUTED_VALUE"""),46187.42512731482)</f>
        <v>46187.42513</v>
      </c>
      <c r="B3054" s="126">
        <f>IFERROR(__xludf.DUMMYFUNCTION("""COMPUTED_VALUE"""),46187.0)</f>
        <v>46187</v>
      </c>
      <c r="C3054" s="122" t="str">
        <f>IFERROR(__xludf.DUMMYFUNCTION("""COMPUTED_VALUE"""),"GAME")</f>
        <v>GAME</v>
      </c>
      <c r="D3054" s="122" t="str">
        <f>IFERROR(__xludf.DUMMYFUNCTION("""COMPUTED_VALUE"""),"GameBox Media")</f>
        <v>GameBox Media</v>
      </c>
      <c r="E3054" s="122">
        <f>IFERROR(__xludf.DUMMYFUNCTION("""COMPUTED_VALUE"""),94.81)</f>
        <v>94.81</v>
      </c>
      <c r="F3054" s="122">
        <f>IFERROR(__xludf.DUMMYFUNCTION("""COMPUTED_VALUE"""),0.0088)</f>
        <v>0.0088</v>
      </c>
    </row>
    <row r="3055">
      <c r="A3055" s="131">
        <f>IFERROR(__xludf.DUMMYFUNCTION("""COMPUTED_VALUE"""),46187.42512731482)</f>
        <v>46187.42513</v>
      </c>
      <c r="B3055" s="126">
        <f>IFERROR(__xludf.DUMMYFUNCTION("""COMPUTED_VALUE"""),46187.0)</f>
        <v>46187</v>
      </c>
      <c r="C3055" s="122" t="str">
        <f>IFERROR(__xludf.DUMMYFUNCTION("""COMPUTED_VALUE"""),"VRSE")</f>
        <v>VRSE</v>
      </c>
      <c r="D3055" s="122" t="str">
        <f>IFERROR(__xludf.DUMMYFUNCTION("""COMPUTED_VALUE"""),"VerseVR")</f>
        <v>VerseVR</v>
      </c>
      <c r="E3055" s="122">
        <f>IFERROR(__xludf.DUMMYFUNCTION("""COMPUTED_VALUE"""),145.99)</f>
        <v>145.99</v>
      </c>
      <c r="F3055" s="122">
        <f>IFERROR(__xludf.DUMMYFUNCTION("""COMPUTED_VALUE"""),0.0043)</f>
        <v>0.0043</v>
      </c>
    </row>
    <row r="3056">
      <c r="A3056" s="131">
        <f>IFERROR(__xludf.DUMMYFUNCTION("""COMPUTED_VALUE"""),46187.42512731482)</f>
        <v>46187.42513</v>
      </c>
      <c r="B3056" s="126">
        <f>IFERROR(__xludf.DUMMYFUNCTION("""COMPUTED_VALUE"""),46187.0)</f>
        <v>46187</v>
      </c>
      <c r="C3056" s="122" t="str">
        <f>IFERROR(__xludf.DUMMYFUNCTION("""COMPUTED_VALUE"""),"BYTE")</f>
        <v>BYTE</v>
      </c>
      <c r="D3056" s="122" t="str">
        <f>IFERROR(__xludf.DUMMYFUNCTION("""COMPUTED_VALUE"""),"ByteWorks")</f>
        <v>ByteWorks</v>
      </c>
      <c r="E3056" s="122">
        <f>IFERROR(__xludf.DUMMYFUNCTION("""COMPUTED_VALUE"""),110.06)</f>
        <v>110.06</v>
      </c>
      <c r="F3056" s="122">
        <f>IFERROR(__xludf.DUMMYFUNCTION("""COMPUTED_VALUE"""),0.0043)</f>
        <v>0.0043</v>
      </c>
    </row>
    <row r="3057">
      <c r="A3057" s="131">
        <f>IFERROR(__xludf.DUMMYFUNCTION("""COMPUTED_VALUE"""),46187.42512731482)</f>
        <v>46187.42513</v>
      </c>
      <c r="B3057" s="126">
        <f>IFERROR(__xludf.DUMMYFUNCTION("""COMPUTED_VALUE"""),46187.0)</f>
        <v>46187</v>
      </c>
      <c r="C3057" s="122" t="str">
        <f>IFERROR(__xludf.DUMMYFUNCTION("""COMPUTED_VALUE"""),"BANK")</f>
        <v>BANK</v>
      </c>
      <c r="D3057" s="122" t="str">
        <f>IFERROR(__xludf.DUMMYFUNCTION("""COMPUTED_VALUE"""),"Tiger Bank")</f>
        <v>Tiger Bank</v>
      </c>
      <c r="E3057" s="122">
        <f>IFERROR(__xludf.DUMMYFUNCTION("""COMPUTED_VALUE"""),126.06)</f>
        <v>126.06</v>
      </c>
      <c r="F3057" s="122">
        <f>IFERROR(__xludf.DUMMYFUNCTION("""COMPUTED_VALUE"""),-0.0022)</f>
        <v>-0.0022</v>
      </c>
    </row>
    <row r="3058">
      <c r="A3058" s="131">
        <f>IFERROR(__xludf.DUMMYFUNCTION("""COMPUTED_VALUE"""),46187.42512731482)</f>
        <v>46187.42513</v>
      </c>
      <c r="B3058" s="126">
        <f>IFERROR(__xludf.DUMMYFUNCTION("""COMPUTED_VALUE"""),46187.0)</f>
        <v>46187</v>
      </c>
      <c r="C3058" s="122" t="str">
        <f>IFERROR(__xludf.DUMMYFUNCTION("""COMPUTED_VALUE"""),"CRED")</f>
        <v>CRED</v>
      </c>
      <c r="D3058" s="122" t="str">
        <f>IFERROR(__xludf.DUMMYFUNCTION("""COMPUTED_VALUE"""),"Credit Castle")</f>
        <v>Credit Castle</v>
      </c>
      <c r="E3058" s="122">
        <f>IFERROR(__xludf.DUMMYFUNCTION("""COMPUTED_VALUE"""),68.54)</f>
        <v>68.54</v>
      </c>
      <c r="F3058" s="122">
        <f>IFERROR(__xludf.DUMMYFUNCTION("""COMPUTED_VALUE"""),0.0029)</f>
        <v>0.0029</v>
      </c>
    </row>
    <row r="3059">
      <c r="A3059" s="131">
        <f>IFERROR(__xludf.DUMMYFUNCTION("""COMPUTED_VALUE"""),46187.42512731482)</f>
        <v>46187.42513</v>
      </c>
      <c r="B3059" s="126">
        <f>IFERROR(__xludf.DUMMYFUNCTION("""COMPUTED_VALUE"""),46187.0)</f>
        <v>46187</v>
      </c>
      <c r="C3059" s="122" t="str">
        <f>IFERROR(__xludf.DUMMYFUNCTION("""COMPUTED_VALUE"""),"BOND")</f>
        <v>BOND</v>
      </c>
      <c r="D3059" s="122" t="str">
        <f>IFERROR(__xludf.DUMMYFUNCTION("""COMPUTED_VALUE"""),"BondBridge")</f>
        <v>BondBridge</v>
      </c>
      <c r="E3059" s="122">
        <f>IFERROR(__xludf.DUMMYFUNCTION("""COMPUTED_VALUE"""),98.2)</f>
        <v>98.2</v>
      </c>
      <c r="F3059" s="122">
        <f>IFERROR(__xludf.DUMMYFUNCTION("""COMPUTED_VALUE"""),7.0E-4)</f>
        <v>0.0007</v>
      </c>
    </row>
    <row r="3060">
      <c r="A3060" s="131">
        <f>IFERROR(__xludf.DUMMYFUNCTION("""COMPUTED_VALUE"""),46187.42512731482)</f>
        <v>46187.42513</v>
      </c>
      <c r="B3060" s="126">
        <f>IFERROR(__xludf.DUMMYFUNCTION("""COMPUTED_VALUE"""),46187.0)</f>
        <v>46187</v>
      </c>
      <c r="C3060" s="122" t="str">
        <f>IFERROR(__xludf.DUMMYFUNCTION("""COMPUTED_VALUE"""),"INSR")</f>
        <v>INSR</v>
      </c>
      <c r="D3060" s="122" t="str">
        <f>IFERROR(__xludf.DUMMYFUNCTION("""COMPUTED_VALUE"""),"Shield Insurance")</f>
        <v>Shield Insurance</v>
      </c>
      <c r="E3060" s="122">
        <f>IFERROR(__xludf.DUMMYFUNCTION("""COMPUTED_VALUE"""),158.57)</f>
        <v>158.57</v>
      </c>
      <c r="F3060" s="122">
        <f>IFERROR(__xludf.DUMMYFUNCTION("""COMPUTED_VALUE"""),-0.0035)</f>
        <v>-0.0035</v>
      </c>
    </row>
    <row r="3061">
      <c r="A3061" s="131">
        <f>IFERROR(__xludf.DUMMYFUNCTION("""COMPUTED_VALUE"""),46187.42512731482)</f>
        <v>46187.42513</v>
      </c>
      <c r="B3061" s="126">
        <f>IFERROR(__xludf.DUMMYFUNCTION("""COMPUTED_VALUE"""),46187.0)</f>
        <v>46187</v>
      </c>
      <c r="C3061" s="122" t="str">
        <f>IFERROR(__xludf.DUMMYFUNCTION("""COMPUTED_VALUE"""),"LOAN")</f>
        <v>LOAN</v>
      </c>
      <c r="D3061" s="122" t="str">
        <f>IFERROR(__xludf.DUMMYFUNCTION("""COMPUTED_VALUE"""),"LoanLab")</f>
        <v>LoanLab</v>
      </c>
      <c r="E3061" s="122">
        <f>IFERROR(__xludf.DUMMYFUNCTION("""COMPUTED_VALUE"""),63.33)</f>
        <v>63.33</v>
      </c>
      <c r="F3061" s="122">
        <f>IFERROR(__xludf.DUMMYFUNCTION("""COMPUTED_VALUE"""),0.0056)</f>
        <v>0.0056</v>
      </c>
    </row>
    <row r="3062">
      <c r="A3062" s="131">
        <f>IFERROR(__xludf.DUMMYFUNCTION("""COMPUTED_VALUE"""),46187.42512731482)</f>
        <v>46187.42513</v>
      </c>
      <c r="B3062" s="126">
        <f>IFERROR(__xludf.DUMMYFUNCTION("""COMPUTED_VALUE"""),46187.0)</f>
        <v>46187</v>
      </c>
      <c r="C3062" s="122" t="str">
        <f>IFERROR(__xludf.DUMMYFUNCTION("""COMPUTED_VALUE"""),"LUXE")</f>
        <v>LUXE</v>
      </c>
      <c r="D3062" s="122" t="str">
        <f>IFERROR(__xludf.DUMMYFUNCTION("""COMPUTED_VALUE"""),"Luxury Locker")</f>
        <v>Luxury Locker</v>
      </c>
      <c r="E3062" s="122">
        <f>IFERROR(__xludf.DUMMYFUNCTION("""COMPUTED_VALUE"""),257.49)</f>
        <v>257.49</v>
      </c>
      <c r="F3062" s="122">
        <f>IFERROR(__xludf.DUMMYFUNCTION("""COMPUTED_VALUE"""),0.0038)</f>
        <v>0.0038</v>
      </c>
    </row>
    <row r="3063">
      <c r="A3063" s="131">
        <f>IFERROR(__xludf.DUMMYFUNCTION("""COMPUTED_VALUE"""),46187.42512731482)</f>
        <v>46187.42513</v>
      </c>
      <c r="B3063" s="126">
        <f>IFERROR(__xludf.DUMMYFUNCTION("""COMPUTED_VALUE"""),46187.0)</f>
        <v>46187</v>
      </c>
      <c r="C3063" s="122" t="str">
        <f>IFERROR(__xludf.DUMMYFUNCTION("""COMPUTED_VALUE"""),"DRIP")</f>
        <v>DRIP</v>
      </c>
      <c r="D3063" s="122" t="str">
        <f>IFERROR(__xludf.DUMMYFUNCTION("""COMPUTED_VALUE"""),"Drip Streetwear")</f>
        <v>Drip Streetwear</v>
      </c>
      <c r="E3063" s="122">
        <f>IFERROR(__xludf.DUMMYFUNCTION("""COMPUTED_VALUE"""),200.15)</f>
        <v>200.15</v>
      </c>
      <c r="F3063" s="122">
        <f>IFERROR(__xludf.DUMMYFUNCTION("""COMPUTED_VALUE"""),-0.0075)</f>
        <v>-0.0075</v>
      </c>
    </row>
    <row r="3064">
      <c r="A3064" s="131">
        <f>IFERROR(__xludf.DUMMYFUNCTION("""COMPUTED_VALUE"""),46187.42512731482)</f>
        <v>46187.42513</v>
      </c>
      <c r="B3064" s="126">
        <f>IFERROR(__xludf.DUMMYFUNCTION("""COMPUTED_VALUE"""),46187.0)</f>
        <v>46187</v>
      </c>
      <c r="C3064" s="122" t="str">
        <f>IFERROR(__xludf.DUMMYFUNCTION("""COMPUTED_VALUE"""),"KICK")</f>
        <v>KICK</v>
      </c>
      <c r="D3064" s="122" t="str">
        <f>IFERROR(__xludf.DUMMYFUNCTION("""COMPUTED_VALUE"""),"KickDrop Sneakers")</f>
        <v>KickDrop Sneakers</v>
      </c>
      <c r="E3064" s="122">
        <f>IFERROR(__xludf.DUMMYFUNCTION("""COMPUTED_VALUE"""),171.05)</f>
        <v>171.05</v>
      </c>
      <c r="F3064" s="122">
        <f>IFERROR(__xludf.DUMMYFUNCTION("""COMPUTED_VALUE"""),-0.0024)</f>
        <v>-0.0024</v>
      </c>
    </row>
    <row r="3065">
      <c r="A3065" s="131">
        <f>IFERROR(__xludf.DUMMYFUNCTION("""COMPUTED_VALUE"""),46187.42512731482)</f>
        <v>46187.42513</v>
      </c>
      <c r="B3065" s="126">
        <f>IFERROR(__xludf.DUMMYFUNCTION("""COMPUTED_VALUE"""),46187.0)</f>
        <v>46187</v>
      </c>
      <c r="C3065" s="122" t="str">
        <f>IFERROR(__xludf.DUMMYFUNCTION("""COMPUTED_VALUE"""),"GLAM")</f>
        <v>GLAM</v>
      </c>
      <c r="D3065" s="122" t="str">
        <f>IFERROR(__xludf.DUMMYFUNCTION("""COMPUTED_VALUE"""),"Glow Cosmetics")</f>
        <v>Glow Cosmetics</v>
      </c>
      <c r="E3065" s="122">
        <f>IFERROR(__xludf.DUMMYFUNCTION("""COMPUTED_VALUE"""),99.62)</f>
        <v>99.62</v>
      </c>
      <c r="F3065" s="122">
        <f>IFERROR(__xludf.DUMMYFUNCTION("""COMPUTED_VALUE"""),-2.0E-4)</f>
        <v>-0.0002</v>
      </c>
    </row>
    <row r="3066">
      <c r="A3066" s="131">
        <f>IFERROR(__xludf.DUMMYFUNCTION("""COMPUTED_VALUE"""),46187.42512731482)</f>
        <v>46187.42513</v>
      </c>
      <c r="B3066" s="126">
        <f>IFERROR(__xludf.DUMMYFUNCTION("""COMPUTED_VALUE"""),46187.0)</f>
        <v>46187</v>
      </c>
      <c r="C3066" s="122" t="str">
        <f>IFERROR(__xludf.DUMMYFUNCTION("""COMPUTED_VALUE"""),"BAGG")</f>
        <v>BAGG</v>
      </c>
      <c r="D3066" s="122" t="str">
        <f>IFERROR(__xludf.DUMMYFUNCTION("""COMPUTED_VALUE"""),"BagVault")</f>
        <v>BagVault</v>
      </c>
      <c r="E3066" s="122">
        <f>IFERROR(__xludf.DUMMYFUNCTION("""COMPUTED_VALUE"""),251.59)</f>
        <v>251.59</v>
      </c>
      <c r="F3066" s="122">
        <f>IFERROR(__xludf.DUMMYFUNCTION("""COMPUTED_VALUE"""),0.0091)</f>
        <v>0.0091</v>
      </c>
    </row>
    <row r="3067">
      <c r="A3067" s="131">
        <f>IFERROR(__xludf.DUMMYFUNCTION("""COMPUTED_VALUE"""),46187.42512731482)</f>
        <v>46187.42513</v>
      </c>
      <c r="B3067" s="126">
        <f>IFERROR(__xludf.DUMMYFUNCTION("""COMPUTED_VALUE"""),46187.0)</f>
        <v>46187</v>
      </c>
      <c r="C3067" s="122" t="str">
        <f>IFERROR(__xludf.DUMMYFUNCTION("""COMPUTED_VALUE"""),"FAST")</f>
        <v>FAST</v>
      </c>
      <c r="D3067" s="122" t="str">
        <f>IFERROR(__xludf.DUMMYFUNCTION("""COMPUTED_VALUE"""),"Flash Logistics")</f>
        <v>Flash Logistics</v>
      </c>
      <c r="E3067" s="122">
        <f>IFERROR(__xludf.DUMMYFUNCTION("""COMPUTED_VALUE"""),103.12)</f>
        <v>103.12</v>
      </c>
      <c r="F3067" s="122">
        <f>IFERROR(__xludf.DUMMYFUNCTION("""COMPUTED_VALUE"""),0.002)</f>
        <v>0.002</v>
      </c>
    </row>
    <row r="3068">
      <c r="A3068" s="131">
        <f>IFERROR(__xludf.DUMMYFUNCTION("""COMPUTED_VALUE"""),46187.42512731482)</f>
        <v>46187.42513</v>
      </c>
      <c r="B3068" s="126">
        <f>IFERROR(__xludf.DUMMYFUNCTION("""COMPUTED_VALUE"""),46187.0)</f>
        <v>46187</v>
      </c>
      <c r="C3068" s="122" t="str">
        <f>IFERROR(__xludf.DUMMYFUNCTION("""COMPUTED_VALUE"""),"SHIP")</f>
        <v>SHIP</v>
      </c>
      <c r="D3068" s="122" t="str">
        <f>IFERROR(__xludf.DUMMYFUNCTION("""COMPUTED_VALUE"""),"Seoul Shipping")</f>
        <v>Seoul Shipping</v>
      </c>
      <c r="E3068" s="122">
        <f>IFERROR(__xludf.DUMMYFUNCTION("""COMPUTED_VALUE"""),118.49)</f>
        <v>118.49</v>
      </c>
      <c r="F3068" s="122">
        <f>IFERROR(__xludf.DUMMYFUNCTION("""COMPUTED_VALUE"""),9.0E-4)</f>
        <v>0.0009</v>
      </c>
    </row>
    <row r="3069">
      <c r="A3069" s="131">
        <f>IFERROR(__xludf.DUMMYFUNCTION("""COMPUTED_VALUE"""),46187.42512731482)</f>
        <v>46187.42513</v>
      </c>
      <c r="B3069" s="126">
        <f>IFERROR(__xludf.DUMMYFUNCTION("""COMPUTED_VALUE"""),46187.0)</f>
        <v>46187</v>
      </c>
      <c r="C3069" s="122" t="str">
        <f>IFERROR(__xludf.DUMMYFUNCTION("""COMPUTED_VALUE"""),"DRON")</f>
        <v>DRON</v>
      </c>
      <c r="D3069" s="122" t="str">
        <f>IFERROR(__xludf.DUMMYFUNCTION("""COMPUTED_VALUE"""),"DroneDrop")</f>
        <v>DroneDrop</v>
      </c>
      <c r="E3069" s="122">
        <f>IFERROR(__xludf.DUMMYFUNCTION("""COMPUTED_VALUE"""),133.22)</f>
        <v>133.22</v>
      </c>
      <c r="F3069" s="122">
        <f>IFERROR(__xludf.DUMMYFUNCTION("""COMPUTED_VALUE"""),0.0115)</f>
        <v>0.0115</v>
      </c>
    </row>
    <row r="3070">
      <c r="A3070" s="131">
        <f>IFERROR(__xludf.DUMMYFUNCTION("""COMPUTED_VALUE"""),46187.42512731482)</f>
        <v>46187.42513</v>
      </c>
      <c r="B3070" s="126">
        <f>IFERROR(__xludf.DUMMYFUNCTION("""COMPUTED_VALUE"""),46187.0)</f>
        <v>46187</v>
      </c>
      <c r="C3070" s="122" t="str">
        <f>IFERROR(__xludf.DUMMYFUNCTION("""COMPUTED_VALUE"""),"RIDE")</f>
        <v>RIDE</v>
      </c>
      <c r="D3070" s="122" t="str">
        <f>IFERROR(__xludf.DUMMYFUNCTION("""COMPUTED_VALUE"""),"QuickRide")</f>
        <v>QuickRide</v>
      </c>
      <c r="E3070" s="122">
        <f>IFERROR(__xludf.DUMMYFUNCTION("""COMPUTED_VALUE"""),98.22)</f>
        <v>98.22</v>
      </c>
      <c r="F3070" s="122">
        <f>IFERROR(__xludf.DUMMYFUNCTION("""COMPUTED_VALUE"""),0.0066)</f>
        <v>0.0066</v>
      </c>
    </row>
    <row r="3071">
      <c r="A3071" s="131">
        <f>IFERROR(__xludf.DUMMYFUNCTION("""COMPUTED_VALUE"""),46187.42512731482)</f>
        <v>46187.42513</v>
      </c>
      <c r="B3071" s="126">
        <f>IFERROR(__xludf.DUMMYFUNCTION("""COMPUTED_VALUE"""),46187.0)</f>
        <v>46187</v>
      </c>
      <c r="C3071" s="122" t="str">
        <f>IFERROR(__xludf.DUMMYFUNCTION("""COMPUTED_VALUE"""),"RAIL")</f>
        <v>RAIL</v>
      </c>
      <c r="D3071" s="122" t="str">
        <f>IFERROR(__xludf.DUMMYFUNCTION("""COMPUTED_VALUE"""),"MetroRail Corp")</f>
        <v>MetroRail Corp</v>
      </c>
      <c r="E3071" s="122">
        <f>IFERROR(__xludf.DUMMYFUNCTION("""COMPUTED_VALUE"""),134.13)</f>
        <v>134.13</v>
      </c>
      <c r="F3071" s="122">
        <f>IFERROR(__xludf.DUMMYFUNCTION("""COMPUTED_VALUE"""),1.0E-4)</f>
        <v>0.0001</v>
      </c>
    </row>
    <row r="3072">
      <c r="A3072" s="131">
        <f>IFERROR(__xludf.DUMMYFUNCTION("""COMPUTED_VALUE"""),46187.42512731482)</f>
        <v>46187.42513</v>
      </c>
      <c r="B3072" s="126">
        <f>IFERROR(__xludf.DUMMYFUNCTION("""COMPUTED_VALUE"""),46187.0)</f>
        <v>46187</v>
      </c>
      <c r="C3072" s="122" t="str">
        <f>IFERROR(__xludf.DUMMYFUNCTION("""COMPUTED_VALUE"""),"MEDX")</f>
        <v>MEDX</v>
      </c>
      <c r="D3072" s="122" t="str">
        <f>IFERROR(__xludf.DUMMYFUNCTION("""COMPUTED_VALUE"""),"MediCore")</f>
        <v>MediCore</v>
      </c>
      <c r="E3072" s="122">
        <f>IFERROR(__xludf.DUMMYFUNCTION("""COMPUTED_VALUE"""),137.96)</f>
        <v>137.96</v>
      </c>
      <c r="F3072" s="122">
        <f>IFERROR(__xludf.DUMMYFUNCTION("""COMPUTED_VALUE"""),-3.0E-4)</f>
        <v>-0.0003</v>
      </c>
    </row>
    <row r="3073">
      <c r="A3073" s="131">
        <f>IFERROR(__xludf.DUMMYFUNCTION("""COMPUTED_VALUE"""),46187.42512731482)</f>
        <v>46187.42513</v>
      </c>
      <c r="B3073" s="126">
        <f>IFERROR(__xludf.DUMMYFUNCTION("""COMPUTED_VALUE"""),46187.0)</f>
        <v>46187</v>
      </c>
      <c r="C3073" s="122" t="str">
        <f>IFERROR(__xludf.DUMMYFUNCTION("""COMPUTED_VALUE"""),"GYMX")</f>
        <v>GYMX</v>
      </c>
      <c r="D3073" s="122" t="str">
        <f>IFERROR(__xludf.DUMMYFUNCTION("""COMPUTED_VALUE"""),"GymX Fitness")</f>
        <v>GymX Fitness</v>
      </c>
      <c r="E3073" s="122">
        <f>IFERROR(__xludf.DUMMYFUNCTION("""COMPUTED_VALUE"""),85.37)</f>
        <v>85.37</v>
      </c>
      <c r="F3073" s="122">
        <f>IFERROR(__xludf.DUMMYFUNCTION("""COMPUTED_VALUE"""),0.0019)</f>
        <v>0.0019</v>
      </c>
    </row>
    <row r="3074">
      <c r="A3074" s="131">
        <f>IFERROR(__xludf.DUMMYFUNCTION("""COMPUTED_VALUE"""),46187.42512731482)</f>
        <v>46187.42513</v>
      </c>
      <c r="B3074" s="126">
        <f>IFERROR(__xludf.DUMMYFUNCTION("""COMPUTED_VALUE"""),46187.0)</f>
        <v>46187</v>
      </c>
      <c r="C3074" s="122" t="str">
        <f>IFERROR(__xludf.DUMMYFUNCTION("""COMPUTED_VALUE"""),"VITA")</f>
        <v>VITA</v>
      </c>
      <c r="D3074" s="122" t="str">
        <f>IFERROR(__xludf.DUMMYFUNCTION("""COMPUTED_VALUE"""),"VitaPlus")</f>
        <v>VitaPlus</v>
      </c>
      <c r="E3074" s="122">
        <f>IFERROR(__xludf.DUMMYFUNCTION("""COMPUTED_VALUE"""),74.75)</f>
        <v>74.75</v>
      </c>
      <c r="F3074" s="122">
        <f>IFERROR(__xludf.DUMMYFUNCTION("""COMPUTED_VALUE"""),-0.0057)</f>
        <v>-0.0057</v>
      </c>
    </row>
    <row r="3075">
      <c r="A3075" s="131">
        <f>IFERROR(__xludf.DUMMYFUNCTION("""COMPUTED_VALUE"""),46187.42512731482)</f>
        <v>46187.42513</v>
      </c>
      <c r="B3075" s="126">
        <f>IFERROR(__xludf.DUMMYFUNCTION("""COMPUTED_VALUE"""),46187.0)</f>
        <v>46187</v>
      </c>
      <c r="C3075" s="122" t="str">
        <f>IFERROR(__xludf.DUMMYFUNCTION("""COMPUTED_VALUE"""),"CARE")</f>
        <v>CARE</v>
      </c>
      <c r="D3075" s="122" t="str">
        <f>IFERROR(__xludf.DUMMYFUNCTION("""COMPUTED_VALUE"""),"CareCloud")</f>
        <v>CareCloud</v>
      </c>
      <c r="E3075" s="122">
        <f>IFERROR(__xludf.DUMMYFUNCTION("""COMPUTED_VALUE"""),178.84)</f>
        <v>178.84</v>
      </c>
      <c r="F3075" s="122">
        <f>IFERROR(__xludf.DUMMYFUNCTION("""COMPUTED_VALUE"""),-0.0023)</f>
        <v>-0.0023</v>
      </c>
    </row>
    <row r="3076">
      <c r="A3076" s="131">
        <f>IFERROR(__xludf.DUMMYFUNCTION("""COMPUTED_VALUE"""),46187.42512731482)</f>
        <v>46187.42513</v>
      </c>
      <c r="B3076" s="126">
        <f>IFERROR(__xludf.DUMMYFUNCTION("""COMPUTED_VALUE"""),46187.0)</f>
        <v>46187</v>
      </c>
      <c r="C3076" s="122" t="str">
        <f>IFERROR(__xludf.DUMMYFUNCTION("""COMPUTED_VALUE"""),"DENT")</f>
        <v>DENT</v>
      </c>
      <c r="D3076" s="122" t="str">
        <f>IFERROR(__xludf.DUMMYFUNCTION("""COMPUTED_VALUE"""),"SmileWorks")</f>
        <v>SmileWorks</v>
      </c>
      <c r="E3076" s="122">
        <f>IFERROR(__xludf.DUMMYFUNCTION("""COMPUTED_VALUE"""),83.19)</f>
        <v>83.19</v>
      </c>
      <c r="F3076" s="122">
        <f>IFERROR(__xludf.DUMMYFUNCTION("""COMPUTED_VALUE"""),0.0056)</f>
        <v>0.0056</v>
      </c>
    </row>
    <row r="3077">
      <c r="A3077" s="131">
        <f>IFERROR(__xludf.DUMMYFUNCTION("""COMPUTED_VALUE"""),46187.42512731482)</f>
        <v>46187.42513</v>
      </c>
      <c r="B3077" s="126">
        <f>IFERROR(__xludf.DUMMYFUNCTION("""COMPUTED_VALUE"""),46187.0)</f>
        <v>46187</v>
      </c>
      <c r="C3077" s="122" t="str">
        <f>IFERROR(__xludf.DUMMYFUNCTION("""COMPUTED_VALUE"""),"EDUX")</f>
        <v>EDUX</v>
      </c>
      <c r="D3077" s="122" t="str">
        <f>IFERROR(__xludf.DUMMYFUNCTION("""COMPUTED_VALUE"""),"EduMax Learning")</f>
        <v>EduMax Learning</v>
      </c>
      <c r="E3077" s="122">
        <f>IFERROR(__xludf.DUMMYFUNCTION("""COMPUTED_VALUE"""),134.14)</f>
        <v>134.14</v>
      </c>
      <c r="F3077" s="122">
        <f>IFERROR(__xludf.DUMMYFUNCTION("""COMPUTED_VALUE"""),-0.003)</f>
        <v>-0.003</v>
      </c>
    </row>
    <row r="3078">
      <c r="A3078" s="131">
        <f>IFERROR(__xludf.DUMMYFUNCTION("""COMPUTED_VALUE"""),46187.42512731482)</f>
        <v>46187.42513</v>
      </c>
      <c r="B3078" s="126">
        <f>IFERROR(__xludf.DUMMYFUNCTION("""COMPUTED_VALUE"""),46187.0)</f>
        <v>46187</v>
      </c>
      <c r="C3078" s="122" t="str">
        <f>IFERROR(__xludf.DUMMYFUNCTION("""COMPUTED_VALUE"""),"BOOK")</f>
        <v>BOOK</v>
      </c>
      <c r="D3078" s="122" t="str">
        <f>IFERROR(__xludf.DUMMYFUNCTION("""COMPUTED_VALUE"""),"BookBridge")</f>
        <v>BookBridge</v>
      </c>
      <c r="E3078" s="122">
        <f>IFERROR(__xludf.DUMMYFUNCTION("""COMPUTED_VALUE"""),114.92)</f>
        <v>114.92</v>
      </c>
      <c r="F3078" s="122">
        <f>IFERROR(__xludf.DUMMYFUNCTION("""COMPUTED_VALUE"""),0.0026)</f>
        <v>0.0026</v>
      </c>
    </row>
    <row r="3079">
      <c r="A3079" s="131">
        <f>IFERROR(__xludf.DUMMYFUNCTION("""COMPUTED_VALUE"""),46187.42512731482)</f>
        <v>46187.42513</v>
      </c>
      <c r="B3079" s="126">
        <f>IFERROR(__xludf.DUMMYFUNCTION("""COMPUTED_VALUE"""),46187.0)</f>
        <v>46187</v>
      </c>
      <c r="C3079" s="122" t="str">
        <f>IFERROR(__xludf.DUMMYFUNCTION("""COMPUTED_VALUE"""),"TUTR")</f>
        <v>TUTR</v>
      </c>
      <c r="D3079" s="122" t="str">
        <f>IFERROR(__xludf.DUMMYFUNCTION("""COMPUTED_VALUE"""),"TutorTown")</f>
        <v>TutorTown</v>
      </c>
      <c r="E3079" s="122">
        <f>IFERROR(__xludf.DUMMYFUNCTION("""COMPUTED_VALUE"""),89.81)</f>
        <v>89.81</v>
      </c>
      <c r="F3079" s="122">
        <f>IFERROR(__xludf.DUMMYFUNCTION("""COMPUTED_VALUE"""),-7.0E-4)</f>
        <v>-0.0007</v>
      </c>
    </row>
    <row r="3080">
      <c r="A3080" s="131">
        <f>IFERROR(__xludf.DUMMYFUNCTION("""COMPUTED_VALUE"""),46187.42512731482)</f>
        <v>46187.42513</v>
      </c>
      <c r="B3080" s="126">
        <f>IFERROR(__xludf.DUMMYFUNCTION("""COMPUTED_VALUE"""),46187.0)</f>
        <v>46187</v>
      </c>
      <c r="C3080" s="122" t="str">
        <f>IFERROR(__xludf.DUMMYFUNCTION("""COMPUTED_VALUE"""),"LANG")</f>
        <v>LANG</v>
      </c>
      <c r="D3080" s="122" t="str">
        <f>IFERROR(__xludf.DUMMYFUNCTION("""COMPUTED_VALUE"""),"LinguaLab")</f>
        <v>LinguaLab</v>
      </c>
      <c r="E3080" s="122">
        <f>IFERROR(__xludf.DUMMYFUNCTION("""COMPUTED_VALUE"""),97.96)</f>
        <v>97.96</v>
      </c>
      <c r="F3080" s="122">
        <f>IFERROR(__xludf.DUMMYFUNCTION("""COMPUTED_VALUE"""),-0.0027)</f>
        <v>-0.0027</v>
      </c>
    </row>
    <row r="3081">
      <c r="A3081" s="131">
        <f>IFERROR(__xludf.DUMMYFUNCTION("""COMPUTED_VALUE"""),46187.42512731482)</f>
        <v>46187.42513</v>
      </c>
      <c r="B3081" s="126">
        <f>IFERROR(__xludf.DUMMYFUNCTION("""COMPUTED_VALUE"""),46187.0)</f>
        <v>46187</v>
      </c>
      <c r="C3081" s="122" t="str">
        <f>IFERROR(__xludf.DUMMYFUNCTION("""COMPUTED_VALUE"""),"TEST")</f>
        <v>TEST</v>
      </c>
      <c r="D3081" s="122" t="str">
        <f>IFERROR(__xludf.DUMMYFUNCTION("""COMPUTED_VALUE"""),"TestPrep Pro")</f>
        <v>TestPrep Pro</v>
      </c>
      <c r="E3081" s="122">
        <f>IFERROR(__xludf.DUMMYFUNCTION("""COMPUTED_VALUE"""),100.55)</f>
        <v>100.55</v>
      </c>
      <c r="F3081" s="122">
        <f>IFERROR(__xludf.DUMMYFUNCTION("""COMPUTED_VALUE"""),-0.0089)</f>
        <v>-0.0089</v>
      </c>
    </row>
    <row r="3082">
      <c r="A3082" s="131">
        <f>IFERROR(__xludf.DUMMYFUNCTION("""COMPUTED_VALUE"""),46187.42512731482)</f>
        <v>46187.42513</v>
      </c>
      <c r="B3082" s="126">
        <f>IFERROR(__xludf.DUMMYFUNCTION("""COMPUTED_VALUE"""),46187.0)</f>
        <v>46187</v>
      </c>
      <c r="C3082" s="122" t="str">
        <f>IFERROR(__xludf.DUMMYFUNCTION("""COMPUTED_VALUE"""),"MOVI")</f>
        <v>MOVI</v>
      </c>
      <c r="D3082" s="122" t="str">
        <f>IFERROR(__xludf.DUMMYFUNCTION("""COMPUTED_VALUE"""),"MovieBox")</f>
        <v>MovieBox</v>
      </c>
      <c r="E3082" s="122">
        <f>IFERROR(__xludf.DUMMYFUNCTION("""COMPUTED_VALUE"""),80.81)</f>
        <v>80.81</v>
      </c>
      <c r="F3082" s="122">
        <f>IFERROR(__xludf.DUMMYFUNCTION("""COMPUTED_VALUE"""),9.0E-4)</f>
        <v>0.0009</v>
      </c>
    </row>
    <row r="3083">
      <c r="A3083" s="131">
        <f>IFERROR(__xludf.DUMMYFUNCTION("""COMPUTED_VALUE"""),46187.42512731482)</f>
        <v>46187.42513</v>
      </c>
      <c r="B3083" s="126">
        <f>IFERROR(__xludf.DUMMYFUNCTION("""COMPUTED_VALUE"""),46187.0)</f>
        <v>46187</v>
      </c>
      <c r="C3083" s="122" t="str">
        <f>IFERROR(__xludf.DUMMYFUNCTION("""COMPUTED_VALUE"""),"MUSC")</f>
        <v>MUSC</v>
      </c>
      <c r="D3083" s="122" t="str">
        <f>IFERROR(__xludf.DUMMYFUNCTION("""COMPUTED_VALUE"""),"MusicWave")</f>
        <v>MusicWave</v>
      </c>
      <c r="E3083" s="122">
        <f>IFERROR(__xludf.DUMMYFUNCTION("""COMPUTED_VALUE"""),96.92)</f>
        <v>96.92</v>
      </c>
      <c r="F3083" s="122">
        <f>IFERROR(__xludf.DUMMYFUNCTION("""COMPUTED_VALUE"""),0.0011)</f>
        <v>0.0011</v>
      </c>
    </row>
    <row r="3084">
      <c r="A3084" s="131">
        <f>IFERROR(__xludf.DUMMYFUNCTION("""COMPUTED_VALUE"""),46187.42512731482)</f>
        <v>46187.42513</v>
      </c>
      <c r="B3084" s="126">
        <f>IFERROR(__xludf.DUMMYFUNCTION("""COMPUTED_VALUE"""),46187.0)</f>
        <v>46187</v>
      </c>
      <c r="C3084" s="122" t="str">
        <f>IFERROR(__xludf.DUMMYFUNCTION("""COMPUTED_VALUE"""),"IDOL")</f>
        <v>IDOL</v>
      </c>
      <c r="D3084" s="122" t="str">
        <f>IFERROR(__xludf.DUMMYFUNCTION("""COMPUTED_VALUE"""),"Idol Agency")</f>
        <v>Idol Agency</v>
      </c>
      <c r="E3084" s="122">
        <f>IFERROR(__xludf.DUMMYFUNCTION("""COMPUTED_VALUE"""),195.69)</f>
        <v>195.69</v>
      </c>
      <c r="F3084" s="122">
        <f>IFERROR(__xludf.DUMMYFUNCTION("""COMPUTED_VALUE"""),0.0088)</f>
        <v>0.0088</v>
      </c>
    </row>
    <row r="3085">
      <c r="A3085" s="131">
        <f>IFERROR(__xludf.DUMMYFUNCTION("""COMPUTED_VALUE"""),46187.42512731482)</f>
        <v>46187.42513</v>
      </c>
      <c r="B3085" s="126">
        <f>IFERROR(__xludf.DUMMYFUNCTION("""COMPUTED_VALUE"""),46187.0)</f>
        <v>46187</v>
      </c>
      <c r="C3085" s="122" t="str">
        <f>IFERROR(__xludf.DUMMYFUNCTION("""COMPUTED_VALUE"""),"MEME")</f>
        <v>MEME</v>
      </c>
      <c r="D3085" s="122" t="str">
        <f>IFERROR(__xludf.DUMMYFUNCTION("""COMPUTED_VALUE"""),"Meme Media")</f>
        <v>Meme Media</v>
      </c>
      <c r="E3085" s="122">
        <f>IFERROR(__xludf.DUMMYFUNCTION("""COMPUTED_VALUE"""),75.96)</f>
        <v>75.96</v>
      </c>
      <c r="F3085" s="122">
        <f>IFERROR(__xludf.DUMMYFUNCTION("""COMPUTED_VALUE"""),0.0073)</f>
        <v>0.0073</v>
      </c>
    </row>
    <row r="3086">
      <c r="A3086" s="131">
        <f>IFERROR(__xludf.DUMMYFUNCTION("""COMPUTED_VALUE"""),46187.42512731482)</f>
        <v>46187.42513</v>
      </c>
      <c r="B3086" s="126">
        <f>IFERROR(__xludf.DUMMYFUNCTION("""COMPUTED_VALUE"""),46187.0)</f>
        <v>46187</v>
      </c>
      <c r="C3086" s="122" t="str">
        <f>IFERROR(__xludf.DUMMYFUNCTION("""COMPUTED_VALUE"""),"STRM")</f>
        <v>STRM</v>
      </c>
      <c r="D3086" s="122" t="str">
        <f>IFERROR(__xludf.DUMMYFUNCTION("""COMPUTED_VALUE"""),"Streamly")</f>
        <v>Streamly</v>
      </c>
      <c r="E3086" s="122">
        <f>IFERROR(__xludf.DUMMYFUNCTION("""COMPUTED_VALUE"""),139.49)</f>
        <v>139.49</v>
      </c>
      <c r="F3086" s="122">
        <f>IFERROR(__xludf.DUMMYFUNCTION("""COMPUTED_VALUE"""),-0.001)</f>
        <v>-0.001</v>
      </c>
    </row>
    <row r="3087">
      <c r="A3087" s="131">
        <f>IFERROR(__xludf.DUMMYFUNCTION("""COMPUTED_VALUE"""),46187.42512731482)</f>
        <v>46187.42513</v>
      </c>
      <c r="B3087" s="126">
        <f>IFERROR(__xludf.DUMMYFUNCTION("""COMPUTED_VALUE"""),46187.0)</f>
        <v>46187</v>
      </c>
      <c r="C3087" s="122" t="str">
        <f>IFERROR(__xludf.DUMMYFUNCTION("""COMPUTED_VALUE"""),"FARM")</f>
        <v>FARM</v>
      </c>
      <c r="D3087" s="122" t="str">
        <f>IFERROR(__xludf.DUMMYFUNCTION("""COMPUTED_VALUE"""),"Future Farms")</f>
        <v>Future Farms</v>
      </c>
      <c r="E3087" s="122">
        <f>IFERROR(__xludf.DUMMYFUNCTION("""COMPUTED_VALUE"""),83.82)</f>
        <v>83.82</v>
      </c>
      <c r="F3087" s="122">
        <f>IFERROR(__xludf.DUMMYFUNCTION("""COMPUTED_VALUE"""),-7.0E-4)</f>
        <v>-0.0007</v>
      </c>
    </row>
    <row r="3088">
      <c r="A3088" s="131">
        <f>IFERROR(__xludf.DUMMYFUNCTION("""COMPUTED_VALUE"""),46187.42512731482)</f>
        <v>46187.42513</v>
      </c>
      <c r="B3088" s="126">
        <f>IFERROR(__xludf.DUMMYFUNCTION("""COMPUTED_VALUE"""),46187.0)</f>
        <v>46187</v>
      </c>
      <c r="C3088" s="122" t="str">
        <f>IFERROR(__xludf.DUMMYFUNCTION("""COMPUTED_VALUE"""),"MEAT")</f>
        <v>MEAT</v>
      </c>
      <c r="D3088" s="122" t="str">
        <f>IFERROR(__xludf.DUMMYFUNCTION("""COMPUTED_VALUE"""),"MeatWorks")</f>
        <v>MeatWorks</v>
      </c>
      <c r="E3088" s="122">
        <f>IFERROR(__xludf.DUMMYFUNCTION("""COMPUTED_VALUE"""),102.31)</f>
        <v>102.31</v>
      </c>
      <c r="F3088" s="122">
        <f>IFERROR(__xludf.DUMMYFUNCTION("""COMPUTED_VALUE"""),-0.0021)</f>
        <v>-0.0021</v>
      </c>
    </row>
    <row r="3089">
      <c r="A3089" s="131">
        <f>IFERROR(__xludf.DUMMYFUNCTION("""COMPUTED_VALUE"""),46187.42512731482)</f>
        <v>46187.42513</v>
      </c>
      <c r="B3089" s="126">
        <f>IFERROR(__xludf.DUMMYFUNCTION("""COMPUTED_VALUE"""),46187.0)</f>
        <v>46187</v>
      </c>
      <c r="C3089" s="122" t="str">
        <f>IFERROR(__xludf.DUMMYFUNCTION("""COMPUTED_VALUE"""),"VEGI")</f>
        <v>VEGI</v>
      </c>
      <c r="D3089" s="122" t="str">
        <f>IFERROR(__xludf.DUMMYFUNCTION("""COMPUTED_VALUE"""),"Green Basket")</f>
        <v>Green Basket</v>
      </c>
      <c r="E3089" s="122">
        <f>IFERROR(__xludf.DUMMYFUNCTION("""COMPUTED_VALUE"""),81.87)</f>
        <v>81.87</v>
      </c>
      <c r="F3089" s="122">
        <f>IFERROR(__xludf.DUMMYFUNCTION("""COMPUTED_VALUE"""),-2.0E-4)</f>
        <v>-0.0002</v>
      </c>
    </row>
    <row r="3090">
      <c r="A3090" s="131">
        <f>IFERROR(__xludf.DUMMYFUNCTION("""COMPUTED_VALUE"""),46187.42512731482)</f>
        <v>46187.42513</v>
      </c>
      <c r="B3090" s="126">
        <f>IFERROR(__xludf.DUMMYFUNCTION("""COMPUTED_VALUE"""),46187.0)</f>
        <v>46187</v>
      </c>
      <c r="C3090" s="122" t="str">
        <f>IFERROR(__xludf.DUMMYFUNCTION("""COMPUTED_VALUE"""),"CAFE")</f>
        <v>CAFE</v>
      </c>
      <c r="D3090" s="122" t="str">
        <f>IFERROR(__xludf.DUMMYFUNCTION("""COMPUTED_VALUE"""),"Cafe Cloud")</f>
        <v>Cafe Cloud</v>
      </c>
      <c r="E3090" s="122">
        <f>IFERROR(__xludf.DUMMYFUNCTION("""COMPUTED_VALUE"""),100.02)</f>
        <v>100.02</v>
      </c>
      <c r="F3090" s="122">
        <f>IFERROR(__xludf.DUMMYFUNCTION("""COMPUTED_VALUE"""),-0.0039)</f>
        <v>-0.0039</v>
      </c>
    </row>
    <row r="3091">
      <c r="A3091" s="131">
        <f>IFERROR(__xludf.DUMMYFUNCTION("""COMPUTED_VALUE"""),46187.42512731482)</f>
        <v>46187.42513</v>
      </c>
      <c r="B3091" s="126">
        <f>IFERROR(__xludf.DUMMYFUNCTION("""COMPUTED_VALUE"""),46187.0)</f>
        <v>46187</v>
      </c>
      <c r="C3091" s="122" t="str">
        <f>IFERROR(__xludf.DUMMYFUNCTION("""COMPUTED_VALUE"""),"BAKE")</f>
        <v>BAKE</v>
      </c>
      <c r="D3091" s="122" t="str">
        <f>IFERROR(__xludf.DUMMYFUNCTION("""COMPUTED_VALUE"""),"BakeHouse")</f>
        <v>BakeHouse</v>
      </c>
      <c r="E3091" s="122">
        <f>IFERROR(__xludf.DUMMYFUNCTION("""COMPUTED_VALUE"""),100.55)</f>
        <v>100.55</v>
      </c>
      <c r="F3091" s="122">
        <f>IFERROR(__xludf.DUMMYFUNCTION("""COMPUTED_VALUE"""),0.0039)</f>
        <v>0.0039</v>
      </c>
    </row>
    <row r="3092">
      <c r="A3092" s="131">
        <f>IFERROR(__xludf.DUMMYFUNCTION("""COMPUTED_VALUE"""),46187.42512731482)</f>
        <v>46187.42513</v>
      </c>
      <c r="B3092" s="126">
        <f>IFERROR(__xludf.DUMMYFUNCTION("""COMPUTED_VALUE"""),46187.0)</f>
        <v>46187</v>
      </c>
      <c r="C3092" s="122" t="str">
        <f>IFERROR(__xludf.DUMMYFUNCTION("""COMPUTED_VALUE"""),"OILX")</f>
        <v>OILX</v>
      </c>
      <c r="D3092" s="122" t="str">
        <f>IFERROR(__xludf.DUMMYFUNCTION("""COMPUTED_VALUE"""),"OilMax Energy")</f>
        <v>OilMax Energy</v>
      </c>
      <c r="E3092" s="122">
        <f>IFERROR(__xludf.DUMMYFUNCTION("""COMPUTED_VALUE"""),131.37)</f>
        <v>131.37</v>
      </c>
      <c r="F3092" s="122">
        <f>IFERROR(__xludf.DUMMYFUNCTION("""COMPUTED_VALUE"""),8.0E-4)</f>
        <v>0.0008</v>
      </c>
    </row>
    <row r="3093">
      <c r="A3093" s="131">
        <f>IFERROR(__xludf.DUMMYFUNCTION("""COMPUTED_VALUE"""),46187.42512731482)</f>
        <v>46187.42513</v>
      </c>
      <c r="B3093" s="126">
        <f>IFERROR(__xludf.DUMMYFUNCTION("""COMPUTED_VALUE"""),46187.0)</f>
        <v>46187</v>
      </c>
      <c r="C3093" s="122" t="str">
        <f>IFERROR(__xludf.DUMMYFUNCTION("""COMPUTED_VALUE"""),"SOLR")</f>
        <v>SOLR</v>
      </c>
      <c r="D3093" s="122" t="str">
        <f>IFERROR(__xludf.DUMMYFUNCTION("""COMPUTED_VALUE"""),"SolarSpark")</f>
        <v>SolarSpark</v>
      </c>
      <c r="E3093" s="122">
        <f>IFERROR(__xludf.DUMMYFUNCTION("""COMPUTED_VALUE"""),89.35)</f>
        <v>89.35</v>
      </c>
      <c r="F3093" s="122">
        <f>IFERROR(__xludf.DUMMYFUNCTION("""COMPUTED_VALUE"""),0.0072)</f>
        <v>0.0072</v>
      </c>
    </row>
    <row r="3094">
      <c r="A3094" s="131">
        <f>IFERROR(__xludf.DUMMYFUNCTION("""COMPUTED_VALUE"""),46187.42512731482)</f>
        <v>46187.42513</v>
      </c>
      <c r="B3094" s="126">
        <f>IFERROR(__xludf.DUMMYFUNCTION("""COMPUTED_VALUE"""),46187.0)</f>
        <v>46187</v>
      </c>
      <c r="C3094" s="122" t="str">
        <f>IFERROR(__xludf.DUMMYFUNCTION("""COMPUTED_VALUE"""),"BATT")</f>
        <v>BATT</v>
      </c>
      <c r="D3094" s="122" t="str">
        <f>IFERROR(__xludf.DUMMYFUNCTION("""COMPUTED_VALUE"""),"BatteryBox")</f>
        <v>BatteryBox</v>
      </c>
      <c r="E3094" s="122">
        <f>IFERROR(__xludf.DUMMYFUNCTION("""COMPUTED_VALUE"""),120.97)</f>
        <v>120.97</v>
      </c>
      <c r="F3094" s="122">
        <f>IFERROR(__xludf.DUMMYFUNCTION("""COMPUTED_VALUE"""),-0.0025)</f>
        <v>-0.0025</v>
      </c>
    </row>
    <row r="3095">
      <c r="A3095" s="131">
        <f>IFERROR(__xludf.DUMMYFUNCTION("""COMPUTED_VALUE"""),46187.42512731482)</f>
        <v>46187.42513</v>
      </c>
      <c r="B3095" s="126">
        <f>IFERROR(__xludf.DUMMYFUNCTION("""COMPUTED_VALUE"""),46187.0)</f>
        <v>46187</v>
      </c>
      <c r="C3095" s="122" t="str">
        <f>IFERROR(__xludf.DUMMYFUNCTION("""COMPUTED_VALUE"""),"WIND")</f>
        <v>WIND</v>
      </c>
      <c r="D3095" s="122" t="str">
        <f>IFERROR(__xludf.DUMMYFUNCTION("""COMPUTED_VALUE"""),"WindWorks")</f>
        <v>WindWorks</v>
      </c>
      <c r="E3095" s="122">
        <f>IFERROR(__xludf.DUMMYFUNCTION("""COMPUTED_VALUE"""),89.41)</f>
        <v>89.41</v>
      </c>
      <c r="F3095" s="122">
        <f>IFERROR(__xludf.DUMMYFUNCTION("""COMPUTED_VALUE"""),0.0069)</f>
        <v>0.0069</v>
      </c>
    </row>
    <row r="3096">
      <c r="A3096" s="131">
        <f>IFERROR(__xludf.DUMMYFUNCTION("""COMPUTED_VALUE"""),46187.42512731482)</f>
        <v>46187.42513</v>
      </c>
      <c r="B3096" s="126">
        <f>IFERROR(__xludf.DUMMYFUNCTION("""COMPUTED_VALUE"""),46187.0)</f>
        <v>46187</v>
      </c>
      <c r="C3096" s="122" t="str">
        <f>IFERROR(__xludf.DUMMYFUNCTION("""COMPUTED_VALUE"""),"GRID")</f>
        <v>GRID</v>
      </c>
      <c r="D3096" s="122" t="str">
        <f>IFERROR(__xludf.DUMMYFUNCTION("""COMPUTED_VALUE"""),"GridPower")</f>
        <v>GridPower</v>
      </c>
      <c r="E3096" s="122">
        <f>IFERROR(__xludf.DUMMYFUNCTION("""COMPUTED_VALUE"""),141.64)</f>
        <v>141.64</v>
      </c>
      <c r="F3096" s="122">
        <f>IFERROR(__xludf.DUMMYFUNCTION("""COMPUTED_VALUE"""),0.0016)</f>
        <v>0.0016</v>
      </c>
    </row>
    <row r="3097">
      <c r="A3097" s="131">
        <f>IFERROR(__xludf.DUMMYFUNCTION("""COMPUTED_VALUE"""),46187.42512731482)</f>
        <v>46187.42513</v>
      </c>
      <c r="B3097" s="126">
        <f>IFERROR(__xludf.DUMMYFUNCTION("""COMPUTED_VALUE"""),46187.0)</f>
        <v>46187</v>
      </c>
      <c r="C3097" s="122" t="str">
        <f>IFERROR(__xludf.DUMMYFUNCTION("""COMPUTED_VALUE"""),"HOME")</f>
        <v>HOME</v>
      </c>
      <c r="D3097" s="122" t="str">
        <f>IFERROR(__xludf.DUMMYFUNCTION("""COMPUTED_VALUE"""),"HomeHub")</f>
        <v>HomeHub</v>
      </c>
      <c r="E3097" s="122">
        <f>IFERROR(__xludf.DUMMYFUNCTION("""COMPUTED_VALUE"""),149.35)</f>
        <v>149.35</v>
      </c>
      <c r="F3097" s="122">
        <f>IFERROR(__xludf.DUMMYFUNCTION("""COMPUTED_VALUE"""),0.0024)</f>
        <v>0.0024</v>
      </c>
    </row>
    <row r="3098">
      <c r="A3098" s="131">
        <f>IFERROR(__xludf.DUMMYFUNCTION("""COMPUTED_VALUE"""),46187.42512731482)</f>
        <v>46187.42513</v>
      </c>
      <c r="B3098" s="126">
        <f>IFERROR(__xludf.DUMMYFUNCTION("""COMPUTED_VALUE"""),46187.0)</f>
        <v>46187</v>
      </c>
      <c r="C3098" s="122" t="str">
        <f>IFERROR(__xludf.DUMMYFUNCTION("""COMPUTED_VALUE"""),"RENT")</f>
        <v>RENT</v>
      </c>
      <c r="D3098" s="122" t="str">
        <f>IFERROR(__xludf.DUMMYFUNCTION("""COMPUTED_VALUE"""),"RentRight")</f>
        <v>RentRight</v>
      </c>
      <c r="E3098" s="122">
        <f>IFERROR(__xludf.DUMMYFUNCTION("""COMPUTED_VALUE"""),92.01)</f>
        <v>92.01</v>
      </c>
      <c r="F3098" s="122">
        <f>IFERROR(__xludf.DUMMYFUNCTION("""COMPUTED_VALUE"""),-2.0E-4)</f>
        <v>-0.0002</v>
      </c>
    </row>
    <row r="3099">
      <c r="A3099" s="131">
        <f>IFERROR(__xludf.DUMMYFUNCTION("""COMPUTED_VALUE"""),46187.42512731482)</f>
        <v>46187.42513</v>
      </c>
      <c r="B3099" s="126">
        <f>IFERROR(__xludf.DUMMYFUNCTION("""COMPUTED_VALUE"""),46187.0)</f>
        <v>46187</v>
      </c>
      <c r="C3099" s="122" t="str">
        <f>IFERROR(__xludf.DUMMYFUNCTION("""COMPUTED_VALUE"""),"MALL")</f>
        <v>MALL</v>
      </c>
      <c r="D3099" s="122" t="str">
        <f>IFERROR(__xludf.DUMMYFUNCTION("""COMPUTED_VALUE"""),"MegaMall")</f>
        <v>MegaMall</v>
      </c>
      <c r="E3099" s="122">
        <f>IFERROR(__xludf.DUMMYFUNCTION("""COMPUTED_VALUE"""),101.0)</f>
        <v>101</v>
      </c>
      <c r="F3099" s="122">
        <f>IFERROR(__xludf.DUMMYFUNCTION("""COMPUTED_VALUE"""),0.007)</f>
        <v>0.007</v>
      </c>
    </row>
    <row r="3100">
      <c r="A3100" s="131">
        <f>IFERROR(__xludf.DUMMYFUNCTION("""COMPUTED_VALUE"""),46187.42512731482)</f>
        <v>46187.42513</v>
      </c>
      <c r="B3100" s="126">
        <f>IFERROR(__xludf.DUMMYFUNCTION("""COMPUTED_VALUE"""),46187.0)</f>
        <v>46187</v>
      </c>
      <c r="C3100" s="122" t="str">
        <f>IFERROR(__xludf.DUMMYFUNCTION("""COMPUTED_VALUE"""),"HOTL")</f>
        <v>HOTL</v>
      </c>
      <c r="D3100" s="122" t="str">
        <f>IFERROR(__xludf.DUMMYFUNCTION("""COMPUTED_VALUE"""),"HotelHive")</f>
        <v>HotelHive</v>
      </c>
      <c r="E3100" s="122">
        <f>IFERROR(__xludf.DUMMYFUNCTION("""COMPUTED_VALUE"""),130.53)</f>
        <v>130.53</v>
      </c>
      <c r="F3100" s="122">
        <f>IFERROR(__xludf.DUMMYFUNCTION("""COMPUTED_VALUE"""),-0.0043)</f>
        <v>-0.0043</v>
      </c>
    </row>
    <row r="3101">
      <c r="A3101" s="131">
        <f>IFERROR(__xludf.DUMMYFUNCTION("""COMPUTED_VALUE"""),46187.42512731482)</f>
        <v>46187.42513</v>
      </c>
      <c r="B3101" s="126">
        <f>IFERROR(__xludf.DUMMYFUNCTION("""COMPUTED_VALUE"""),46187.0)</f>
        <v>46187</v>
      </c>
      <c r="C3101" s="122" t="str">
        <f>IFERROR(__xludf.DUMMYFUNCTION("""COMPUTED_VALUE"""),"LAND")</f>
        <v>LAND</v>
      </c>
      <c r="D3101" s="122" t="str">
        <f>IFERROR(__xludf.DUMMYFUNCTION("""COMPUTED_VALUE"""),"LandLink")</f>
        <v>LandLink</v>
      </c>
      <c r="E3101" s="122">
        <f>IFERROR(__xludf.DUMMYFUNCTION("""COMPUTED_VALUE"""),182.61)</f>
        <v>182.61</v>
      </c>
      <c r="F3101" s="122">
        <f>IFERROR(__xludf.DUMMYFUNCTION("""COMPUTED_VALUE"""),-0.0043)</f>
        <v>-0.0043</v>
      </c>
    </row>
    <row r="3102">
      <c r="A3102" s="131">
        <f>IFERROR(__xludf.DUMMYFUNCTION("""COMPUTED_VALUE"""),46187.42512731482)</f>
        <v>46187.42513</v>
      </c>
      <c r="B3102" s="126">
        <f>IFERROR(__xludf.DUMMYFUNCTION("""COMPUTED_VALUE"""),46187.0)</f>
        <v>46187</v>
      </c>
      <c r="C3102" s="122" t="str">
        <f>IFERROR(__xludf.DUMMYFUNCTION("""COMPUTED_VALUE"""),"CARS")</f>
        <v>CARS</v>
      </c>
      <c r="D3102" s="122" t="str">
        <f>IFERROR(__xludf.DUMMYFUNCTION("""COMPUTED_VALUE"""),"AutoArena")</f>
        <v>AutoArena</v>
      </c>
      <c r="E3102" s="122">
        <f>IFERROR(__xludf.DUMMYFUNCTION("""COMPUTED_VALUE"""),80.65)</f>
        <v>80.65</v>
      </c>
      <c r="F3102" s="122">
        <f>IFERROR(__xludf.DUMMYFUNCTION("""COMPUTED_VALUE"""),0.0015)</f>
        <v>0.0015</v>
      </c>
    </row>
    <row r="3103">
      <c r="A3103" s="131">
        <f>IFERROR(__xludf.DUMMYFUNCTION("""COMPUTED_VALUE"""),46187.42512731482)</f>
        <v>46187.42513</v>
      </c>
      <c r="B3103" s="126">
        <f>IFERROR(__xludf.DUMMYFUNCTION("""COMPUTED_VALUE"""),46187.0)</f>
        <v>46187</v>
      </c>
      <c r="C3103" s="122" t="str">
        <f>IFERROR(__xludf.DUMMYFUNCTION("""COMPUTED_VALUE"""),"EVGO")</f>
        <v>EVGO</v>
      </c>
      <c r="D3103" s="122" t="str">
        <f>IFERROR(__xludf.DUMMYFUNCTION("""COMPUTED_VALUE"""),"EVGo Motors")</f>
        <v>EVGo Motors</v>
      </c>
      <c r="E3103" s="122">
        <f>IFERROR(__xludf.DUMMYFUNCTION("""COMPUTED_VALUE"""),183.86)</f>
        <v>183.86</v>
      </c>
      <c r="F3103" s="122">
        <f>IFERROR(__xludf.DUMMYFUNCTION("""COMPUTED_VALUE"""),-0.0105)</f>
        <v>-0.0105</v>
      </c>
    </row>
    <row r="3104">
      <c r="A3104" s="131">
        <f>IFERROR(__xludf.DUMMYFUNCTION("""COMPUTED_VALUE"""),46187.42512731482)</f>
        <v>46187.42513</v>
      </c>
      <c r="B3104" s="126">
        <f>IFERROR(__xludf.DUMMYFUNCTION("""COMPUTED_VALUE"""),46187.0)</f>
        <v>46187</v>
      </c>
      <c r="C3104" s="122" t="str">
        <f>IFERROR(__xludf.DUMMYFUNCTION("""COMPUTED_VALUE"""),"TIRE")</f>
        <v>TIRE</v>
      </c>
      <c r="D3104" s="122" t="str">
        <f>IFERROR(__xludf.DUMMYFUNCTION("""COMPUTED_VALUE"""),"TireTown")</f>
        <v>TireTown</v>
      </c>
      <c r="E3104" s="122">
        <f>IFERROR(__xludf.DUMMYFUNCTION("""COMPUTED_VALUE"""),92.98)</f>
        <v>92.98</v>
      </c>
      <c r="F3104" s="122">
        <f>IFERROR(__xludf.DUMMYFUNCTION("""COMPUTED_VALUE"""),8.0E-4)</f>
        <v>0.0008</v>
      </c>
    </row>
    <row r="3105">
      <c r="A3105" s="131">
        <f>IFERROR(__xludf.DUMMYFUNCTION("""COMPUTED_VALUE"""),46187.42512731482)</f>
        <v>46187.42513</v>
      </c>
      <c r="B3105" s="126">
        <f>IFERROR(__xludf.DUMMYFUNCTION("""COMPUTED_VALUE"""),46187.0)</f>
        <v>46187</v>
      </c>
      <c r="C3105" s="122" t="str">
        <f>IFERROR(__xludf.DUMMYFUNCTION("""COMPUTED_VALUE"""),"BIKE")</f>
        <v>BIKE</v>
      </c>
      <c r="D3105" s="122" t="str">
        <f>IFERROR(__xludf.DUMMYFUNCTION("""COMPUTED_VALUE"""),"BikeBox")</f>
        <v>BikeBox</v>
      </c>
      <c r="E3105" s="122">
        <f>IFERROR(__xludf.DUMMYFUNCTION("""COMPUTED_VALUE"""),53.3)</f>
        <v>53.3</v>
      </c>
      <c r="F3105" s="122">
        <f>IFERROR(__xludf.DUMMYFUNCTION("""COMPUTED_VALUE"""),-0.0022)</f>
        <v>-0.0022</v>
      </c>
    </row>
    <row r="3106">
      <c r="A3106" s="131">
        <f>IFERROR(__xludf.DUMMYFUNCTION("""COMPUTED_VALUE"""),46187.42512731482)</f>
        <v>46187.42513</v>
      </c>
      <c r="B3106" s="126">
        <f>IFERROR(__xludf.DUMMYFUNCTION("""COMPUTED_VALUE"""),46187.0)</f>
        <v>46187</v>
      </c>
      <c r="C3106" s="122" t="str">
        <f>IFERROR(__xludf.DUMMYFUNCTION("""COMPUTED_VALUE"""),"WASH")</f>
        <v>WASH</v>
      </c>
      <c r="D3106" s="122" t="str">
        <f>IFERROR(__xludf.DUMMYFUNCTION("""COMPUTED_VALUE"""),"CarWash Co")</f>
        <v>CarWash Co</v>
      </c>
      <c r="E3106" s="122">
        <f>IFERROR(__xludf.DUMMYFUNCTION("""COMPUTED_VALUE"""),120.79)</f>
        <v>120.79</v>
      </c>
      <c r="F3106" s="122">
        <f>IFERROR(__xludf.DUMMYFUNCTION("""COMPUTED_VALUE"""),0.0012)</f>
        <v>0.0012</v>
      </c>
    </row>
    <row r="3107">
      <c r="A3107" s="131">
        <f>IFERROR(__xludf.DUMMYFUNCTION("""COMPUTED_VALUE"""),46187.42512731482)</f>
        <v>46187.42513</v>
      </c>
      <c r="B3107" s="126">
        <f>IFERROR(__xludf.DUMMYFUNCTION("""COMPUTED_VALUE"""),46187.0)</f>
        <v>46187</v>
      </c>
      <c r="C3107" s="122" t="str">
        <f>IFERROR(__xludf.DUMMYFUNCTION("""COMPUTED_VALUE"""),"GBND")</f>
        <v>GBND</v>
      </c>
      <c r="D3107" s="122" t="str">
        <f>IFERROR(__xludf.DUMMYFUNCTION("""COMPUTED_VALUE"""),"Classroom Government Bond")</f>
        <v>Classroom Government Bond</v>
      </c>
      <c r="E3107" s="122">
        <f>IFERROR(__xludf.DUMMYFUNCTION("""COMPUTED_VALUE"""),101.03)</f>
        <v>101.03</v>
      </c>
      <c r="F3107" s="122">
        <f>IFERROR(__xludf.DUMMYFUNCTION("""COMPUTED_VALUE"""),1.0E-4)</f>
        <v>0.0001</v>
      </c>
    </row>
    <row r="3108">
      <c r="A3108" s="131">
        <f>IFERROR(__xludf.DUMMYFUNCTION("""COMPUTED_VALUE"""),46187.42512731482)</f>
        <v>46187.42513</v>
      </c>
      <c r="B3108" s="126">
        <f>IFERROR(__xludf.DUMMYFUNCTION("""COMPUTED_VALUE"""),46187.0)</f>
        <v>46187</v>
      </c>
      <c r="C3108" s="122" t="str">
        <f>IFERROR(__xludf.DUMMYFUNCTION("""COMPUTED_VALUE"""),"SBND")</f>
        <v>SBND</v>
      </c>
      <c r="D3108" s="122" t="str">
        <f>IFERROR(__xludf.DUMMYFUNCTION("""COMPUTED_VALUE"""),"School Savings Bond")</f>
        <v>School Savings Bond</v>
      </c>
      <c r="E3108" s="122">
        <f>IFERROR(__xludf.DUMMYFUNCTION("""COMPUTED_VALUE"""),99.5)</f>
        <v>99.5</v>
      </c>
      <c r="F3108" s="122">
        <f>IFERROR(__xludf.DUMMYFUNCTION("""COMPUTED_VALUE"""),-5.0E-4)</f>
        <v>-0.0005</v>
      </c>
    </row>
    <row r="3109">
      <c r="A3109" s="131">
        <f>IFERROR(__xludf.DUMMYFUNCTION("""COMPUTED_VALUE"""),46187.42512731482)</f>
        <v>46187.42513</v>
      </c>
      <c r="B3109" s="126">
        <f>IFERROR(__xludf.DUMMYFUNCTION("""COMPUTED_VALUE"""),46187.0)</f>
        <v>46187</v>
      </c>
      <c r="C3109" s="122" t="str">
        <f>IFERROR(__xludf.DUMMYFUNCTION("""COMPUTED_VALUE"""),"CBND")</f>
        <v>CBND</v>
      </c>
      <c r="D3109" s="122" t="str">
        <f>IFERROR(__xludf.DUMMYFUNCTION("""COMPUTED_VALUE"""),"Corporate Classroom Bond")</f>
        <v>Corporate Classroom Bond</v>
      </c>
      <c r="E3109" s="122">
        <f>IFERROR(__xludf.DUMMYFUNCTION("""COMPUTED_VALUE"""),97.73)</f>
        <v>97.73</v>
      </c>
      <c r="F3109" s="122">
        <f>IFERROR(__xludf.DUMMYFUNCTION("""COMPUTED_VALUE"""),1.0E-4)</f>
        <v>0.0001</v>
      </c>
    </row>
    <row r="3110">
      <c r="A3110" s="131">
        <f>IFERROR(__xludf.DUMMYFUNCTION("""COMPUTED_VALUE"""),46187.42512731482)</f>
        <v>46187.42513</v>
      </c>
      <c r="B3110" s="126">
        <f>IFERROR(__xludf.DUMMYFUNCTION("""COMPUTED_VALUE"""),46187.0)</f>
        <v>46187</v>
      </c>
      <c r="C3110" s="122" t="str">
        <f>IFERROR(__xludf.DUMMYFUNCTION("""COMPUTED_VALUE"""),"TBIL")</f>
        <v>TBIL</v>
      </c>
      <c r="D3110" s="122" t="str">
        <f>IFERROR(__xludf.DUMMYFUNCTION("""COMPUTED_VALUE"""),"Treasury Bill")</f>
        <v>Treasury Bill</v>
      </c>
      <c r="E3110" s="122">
        <f>IFERROR(__xludf.DUMMYFUNCTION("""COMPUTED_VALUE"""),98.01)</f>
        <v>98.01</v>
      </c>
      <c r="F3110" s="122">
        <f>IFERROR(__xludf.DUMMYFUNCTION("""COMPUTED_VALUE"""),-1.0E-4)</f>
        <v>-0.0001</v>
      </c>
    </row>
    <row r="3111">
      <c r="A3111" s="131">
        <f>IFERROR(__xludf.DUMMYFUNCTION("""COMPUTED_VALUE"""),46187.42512731482)</f>
        <v>46187.42513</v>
      </c>
      <c r="B3111" s="126">
        <f>IFERROR(__xludf.DUMMYFUNCTION("""COMPUTED_VALUE"""),46187.0)</f>
        <v>46187</v>
      </c>
      <c r="C3111" s="122" t="str">
        <f>IFERROR(__xludf.DUMMYFUNCTION("""COMPUTED_VALUE"""),"IBND")</f>
        <v>IBND</v>
      </c>
      <c r="D3111" s="122" t="str">
        <f>IFERROR(__xludf.DUMMYFUNCTION("""COMPUTED_VALUE"""),"Inflation Protected Bond")</f>
        <v>Inflation Protected Bond</v>
      </c>
      <c r="E3111" s="122">
        <f>IFERROR(__xludf.DUMMYFUNCTION("""COMPUTED_VALUE"""),100.68)</f>
        <v>100.68</v>
      </c>
      <c r="F3111" s="122">
        <f>IFERROR(__xludf.DUMMYFUNCTION("""COMPUTED_VALUE"""),-2.0E-4)</f>
        <v>-0.0002</v>
      </c>
    </row>
    <row r="3112">
      <c r="A3112" s="131">
        <f>IFERROR(__xludf.DUMMYFUNCTION("""COMPUTED_VALUE"""),46187.42858796296)</f>
        <v>46187.42859</v>
      </c>
      <c r="B3112" s="126">
        <f>IFERROR(__xludf.DUMMYFUNCTION("""COMPUTED_VALUE"""),46187.0)</f>
        <v>46187</v>
      </c>
      <c r="C3112" s="122" t="str">
        <f>IFERROR(__xludf.DUMMYFUNCTION("""COMPUTED_VALUE"""),"SNAX")</f>
        <v>SNAX</v>
      </c>
      <c r="D3112" s="122" t="str">
        <f>IFERROR(__xludf.DUMMYFUNCTION("""COMPUTED_VALUE"""),"MICA Snacks")</f>
        <v>MICA Snacks</v>
      </c>
      <c r="E3112" s="122">
        <f>IFERROR(__xludf.DUMMYFUNCTION("""COMPUTED_VALUE"""),120.68)</f>
        <v>120.68</v>
      </c>
      <c r="F3112" s="122">
        <f>IFERROR(__xludf.DUMMYFUNCTION("""COMPUTED_VALUE"""),0.001)</f>
        <v>0.001</v>
      </c>
    </row>
    <row r="3113">
      <c r="A3113" s="131">
        <f>IFERROR(__xludf.DUMMYFUNCTION("""COMPUTED_VALUE"""),46187.42858796296)</f>
        <v>46187.42859</v>
      </c>
      <c r="B3113" s="126">
        <f>IFERROR(__xludf.DUMMYFUNCTION("""COMPUTED_VALUE"""),46187.0)</f>
        <v>46187</v>
      </c>
      <c r="C3113" s="122" t="str">
        <f>IFERROR(__xludf.DUMMYFUNCTION("""COMPUTED_VALUE"""),"RAMN")</f>
        <v>RAMN</v>
      </c>
      <c r="D3113" s="122" t="str">
        <f>IFERROR(__xludf.DUMMYFUNCTION("""COMPUTED_VALUE"""),"Ramen Republic")</f>
        <v>Ramen Republic</v>
      </c>
      <c r="E3113" s="122">
        <f>IFERROR(__xludf.DUMMYFUNCTION("""COMPUTED_VALUE"""),72.52)</f>
        <v>72.52</v>
      </c>
      <c r="F3113" s="122">
        <f>IFERROR(__xludf.DUMMYFUNCTION("""COMPUTED_VALUE"""),-0.0052)</f>
        <v>-0.0052</v>
      </c>
    </row>
    <row r="3114">
      <c r="A3114" s="131">
        <f>IFERROR(__xludf.DUMMYFUNCTION("""COMPUTED_VALUE"""),46187.42858796296)</f>
        <v>46187.42859</v>
      </c>
      <c r="B3114" s="126">
        <f>IFERROR(__xludf.DUMMYFUNCTION("""COMPUTED_VALUE"""),46187.0)</f>
        <v>46187</v>
      </c>
      <c r="C3114" s="122" t="str">
        <f>IFERROR(__xludf.DUMMYFUNCTION("""COMPUTED_VALUE"""),"COLA")</f>
        <v>COLA</v>
      </c>
      <c r="D3114" s="122" t="str">
        <f>IFERROR(__xludf.DUMMYFUNCTION("""COMPUTED_VALUE"""),"K-Pop Cola")</f>
        <v>K-Pop Cola</v>
      </c>
      <c r="E3114" s="122">
        <f>IFERROR(__xludf.DUMMYFUNCTION("""COMPUTED_VALUE"""),107.18)</f>
        <v>107.18</v>
      </c>
      <c r="F3114" s="122">
        <f>IFERROR(__xludf.DUMMYFUNCTION("""COMPUTED_VALUE"""),0.0019)</f>
        <v>0.0019</v>
      </c>
    </row>
    <row r="3115">
      <c r="A3115" s="131">
        <f>IFERROR(__xludf.DUMMYFUNCTION("""COMPUTED_VALUE"""),46187.42858796296)</f>
        <v>46187.42859</v>
      </c>
      <c r="B3115" s="126">
        <f>IFERROR(__xludf.DUMMYFUNCTION("""COMPUTED_VALUE"""),46187.0)</f>
        <v>46187</v>
      </c>
      <c r="C3115" s="122" t="str">
        <f>IFERROR(__xludf.DUMMYFUNCTION("""COMPUTED_VALUE"""),"CHIP")</f>
        <v>CHIP</v>
      </c>
      <c r="D3115" s="122" t="str">
        <f>IFERROR(__xludf.DUMMYFUNCTION("""COMPUTED_VALUE"""),"Chip Empire")</f>
        <v>Chip Empire</v>
      </c>
      <c r="E3115" s="122">
        <f>IFERROR(__xludf.DUMMYFUNCTION("""COMPUTED_VALUE"""),86.73)</f>
        <v>86.73</v>
      </c>
      <c r="F3115" s="122">
        <f>IFERROR(__xludf.DUMMYFUNCTION("""COMPUTED_VALUE"""),0.0052)</f>
        <v>0.0052</v>
      </c>
    </row>
    <row r="3116">
      <c r="A3116" s="131">
        <f>IFERROR(__xludf.DUMMYFUNCTION("""COMPUTED_VALUE"""),46187.42858796296)</f>
        <v>46187.42859</v>
      </c>
      <c r="B3116" s="126">
        <f>IFERROR(__xludf.DUMMYFUNCTION("""COMPUTED_VALUE"""),46187.0)</f>
        <v>46187</v>
      </c>
      <c r="C3116" s="122" t="str">
        <f>IFERROR(__xludf.DUMMYFUNCTION("""COMPUTED_VALUE"""),"CAND")</f>
        <v>CAND</v>
      </c>
      <c r="D3116" s="122" t="str">
        <f>IFERROR(__xludf.DUMMYFUNCTION("""COMPUTED_VALUE"""),"Candy Capital")</f>
        <v>Candy Capital</v>
      </c>
      <c r="E3116" s="122">
        <f>IFERROR(__xludf.DUMMYFUNCTION("""COMPUTED_VALUE"""),76.96)</f>
        <v>76.96</v>
      </c>
      <c r="F3116" s="122">
        <f>IFERROR(__xludf.DUMMYFUNCTION("""COMPUTED_VALUE"""),-6.0E-4)</f>
        <v>-0.0006</v>
      </c>
    </row>
    <row r="3117">
      <c r="A3117" s="131">
        <f>IFERROR(__xludf.DUMMYFUNCTION("""COMPUTED_VALUE"""),46187.42858796296)</f>
        <v>46187.42859</v>
      </c>
      <c r="B3117" s="126">
        <f>IFERROR(__xludf.DUMMYFUNCTION("""COMPUTED_VALUE"""),46187.0)</f>
        <v>46187</v>
      </c>
      <c r="C3117" s="122" t="str">
        <f>IFERROR(__xludf.DUMMYFUNCTION("""COMPUTED_VALUE"""),"TECH")</f>
        <v>TECH</v>
      </c>
      <c r="D3117" s="122" t="str">
        <f>IFERROR(__xludf.DUMMYFUNCTION("""COMPUTED_VALUE"""),"Dragon Tech")</f>
        <v>Dragon Tech</v>
      </c>
      <c r="E3117" s="122">
        <f>IFERROR(__xludf.DUMMYFUNCTION("""COMPUTED_VALUE"""),243.56)</f>
        <v>243.56</v>
      </c>
      <c r="F3117" s="122">
        <f>IFERROR(__xludf.DUMMYFUNCTION("""COMPUTED_VALUE"""),0.0089)</f>
        <v>0.0089</v>
      </c>
    </row>
    <row r="3118">
      <c r="A3118" s="131">
        <f>IFERROR(__xludf.DUMMYFUNCTION("""COMPUTED_VALUE"""),46187.42858796296)</f>
        <v>46187.42859</v>
      </c>
      <c r="B3118" s="126">
        <f>IFERROR(__xludf.DUMMYFUNCTION("""COMPUTED_VALUE"""),46187.0)</f>
        <v>46187</v>
      </c>
      <c r="C3118" s="122" t="str">
        <f>IFERROR(__xludf.DUMMYFUNCTION("""COMPUTED_VALUE"""),"AIBO")</f>
        <v>AIBO</v>
      </c>
      <c r="D3118" s="122" t="str">
        <f>IFERROR(__xludf.DUMMYFUNCTION("""COMPUTED_VALUE"""),"Homework AI")</f>
        <v>Homework AI</v>
      </c>
      <c r="E3118" s="122">
        <f>IFERROR(__xludf.DUMMYFUNCTION("""COMPUTED_VALUE"""),173.81)</f>
        <v>173.81</v>
      </c>
      <c r="F3118" s="122">
        <f>IFERROR(__xludf.DUMMYFUNCTION("""COMPUTED_VALUE"""),0.0113)</f>
        <v>0.0113</v>
      </c>
    </row>
    <row r="3119">
      <c r="A3119" s="131">
        <f>IFERROR(__xludf.DUMMYFUNCTION("""COMPUTED_VALUE"""),46187.42858796296)</f>
        <v>46187.42859</v>
      </c>
      <c r="B3119" s="126">
        <f>IFERROR(__xludf.DUMMYFUNCTION("""COMPUTED_VALUE"""),46187.0)</f>
        <v>46187</v>
      </c>
      <c r="C3119" s="122" t="str">
        <f>IFERROR(__xludf.DUMMYFUNCTION("""COMPUTED_VALUE"""),"GAME")</f>
        <v>GAME</v>
      </c>
      <c r="D3119" s="122" t="str">
        <f>IFERROR(__xludf.DUMMYFUNCTION("""COMPUTED_VALUE"""),"GameBox Media")</f>
        <v>GameBox Media</v>
      </c>
      <c r="E3119" s="122">
        <f>IFERROR(__xludf.DUMMYFUNCTION("""COMPUTED_VALUE"""),94.54)</f>
        <v>94.54</v>
      </c>
      <c r="F3119" s="122">
        <f>IFERROR(__xludf.DUMMYFUNCTION("""COMPUTED_VALUE"""),-0.0028)</f>
        <v>-0.0028</v>
      </c>
    </row>
    <row r="3120">
      <c r="A3120" s="131">
        <f>IFERROR(__xludf.DUMMYFUNCTION("""COMPUTED_VALUE"""),46187.42858796296)</f>
        <v>46187.42859</v>
      </c>
      <c r="B3120" s="126">
        <f>IFERROR(__xludf.DUMMYFUNCTION("""COMPUTED_VALUE"""),46187.0)</f>
        <v>46187</v>
      </c>
      <c r="C3120" s="122" t="str">
        <f>IFERROR(__xludf.DUMMYFUNCTION("""COMPUTED_VALUE"""),"VRSE")</f>
        <v>VRSE</v>
      </c>
      <c r="D3120" s="122" t="str">
        <f>IFERROR(__xludf.DUMMYFUNCTION("""COMPUTED_VALUE"""),"VerseVR")</f>
        <v>VerseVR</v>
      </c>
      <c r="E3120" s="122">
        <f>IFERROR(__xludf.DUMMYFUNCTION("""COMPUTED_VALUE"""),145.88)</f>
        <v>145.88</v>
      </c>
      <c r="F3120" s="122">
        <f>IFERROR(__xludf.DUMMYFUNCTION("""COMPUTED_VALUE"""),-8.0E-4)</f>
        <v>-0.0008</v>
      </c>
    </row>
    <row r="3121">
      <c r="A3121" s="131">
        <f>IFERROR(__xludf.DUMMYFUNCTION("""COMPUTED_VALUE"""),46187.42858796296)</f>
        <v>46187.42859</v>
      </c>
      <c r="B3121" s="126">
        <f>IFERROR(__xludf.DUMMYFUNCTION("""COMPUTED_VALUE"""),46187.0)</f>
        <v>46187</v>
      </c>
      <c r="C3121" s="122" t="str">
        <f>IFERROR(__xludf.DUMMYFUNCTION("""COMPUTED_VALUE"""),"BYTE")</f>
        <v>BYTE</v>
      </c>
      <c r="D3121" s="122" t="str">
        <f>IFERROR(__xludf.DUMMYFUNCTION("""COMPUTED_VALUE"""),"ByteWorks")</f>
        <v>ByteWorks</v>
      </c>
      <c r="E3121" s="122">
        <f>IFERROR(__xludf.DUMMYFUNCTION("""COMPUTED_VALUE"""),109.67)</f>
        <v>109.67</v>
      </c>
      <c r="F3121" s="122">
        <f>IFERROR(__xludf.DUMMYFUNCTION("""COMPUTED_VALUE"""),-0.0035)</f>
        <v>-0.0035</v>
      </c>
    </row>
    <row r="3122">
      <c r="A3122" s="131">
        <f>IFERROR(__xludf.DUMMYFUNCTION("""COMPUTED_VALUE"""),46187.42858796296)</f>
        <v>46187.42859</v>
      </c>
      <c r="B3122" s="126">
        <f>IFERROR(__xludf.DUMMYFUNCTION("""COMPUTED_VALUE"""),46187.0)</f>
        <v>46187</v>
      </c>
      <c r="C3122" s="122" t="str">
        <f>IFERROR(__xludf.DUMMYFUNCTION("""COMPUTED_VALUE"""),"BANK")</f>
        <v>BANK</v>
      </c>
      <c r="D3122" s="122" t="str">
        <f>IFERROR(__xludf.DUMMYFUNCTION("""COMPUTED_VALUE"""),"Tiger Bank")</f>
        <v>Tiger Bank</v>
      </c>
      <c r="E3122" s="122">
        <f>IFERROR(__xludf.DUMMYFUNCTION("""COMPUTED_VALUE"""),126.53)</f>
        <v>126.53</v>
      </c>
      <c r="F3122" s="122">
        <f>IFERROR(__xludf.DUMMYFUNCTION("""COMPUTED_VALUE"""),0.0037)</f>
        <v>0.0037</v>
      </c>
    </row>
    <row r="3123">
      <c r="A3123" s="131">
        <f>IFERROR(__xludf.DUMMYFUNCTION("""COMPUTED_VALUE"""),46187.42858796296)</f>
        <v>46187.42859</v>
      </c>
      <c r="B3123" s="126">
        <f>IFERROR(__xludf.DUMMYFUNCTION("""COMPUTED_VALUE"""),46187.0)</f>
        <v>46187</v>
      </c>
      <c r="C3123" s="122" t="str">
        <f>IFERROR(__xludf.DUMMYFUNCTION("""COMPUTED_VALUE"""),"CRED")</f>
        <v>CRED</v>
      </c>
      <c r="D3123" s="122" t="str">
        <f>IFERROR(__xludf.DUMMYFUNCTION("""COMPUTED_VALUE"""),"Credit Castle")</f>
        <v>Credit Castle</v>
      </c>
      <c r="E3123" s="122">
        <f>IFERROR(__xludf.DUMMYFUNCTION("""COMPUTED_VALUE"""),68.34)</f>
        <v>68.34</v>
      </c>
      <c r="F3123" s="122">
        <f>IFERROR(__xludf.DUMMYFUNCTION("""COMPUTED_VALUE"""),-0.0029)</f>
        <v>-0.0029</v>
      </c>
    </row>
    <row r="3124">
      <c r="A3124" s="131">
        <f>IFERROR(__xludf.DUMMYFUNCTION("""COMPUTED_VALUE"""),46187.42858796296)</f>
        <v>46187.42859</v>
      </c>
      <c r="B3124" s="126">
        <f>IFERROR(__xludf.DUMMYFUNCTION("""COMPUTED_VALUE"""),46187.0)</f>
        <v>46187</v>
      </c>
      <c r="C3124" s="122" t="str">
        <f>IFERROR(__xludf.DUMMYFUNCTION("""COMPUTED_VALUE"""),"BOND")</f>
        <v>BOND</v>
      </c>
      <c r="D3124" s="122" t="str">
        <f>IFERROR(__xludf.DUMMYFUNCTION("""COMPUTED_VALUE"""),"BondBridge")</f>
        <v>BondBridge</v>
      </c>
      <c r="E3124" s="122">
        <f>IFERROR(__xludf.DUMMYFUNCTION("""COMPUTED_VALUE"""),98.13)</f>
        <v>98.13</v>
      </c>
      <c r="F3124" s="122">
        <f>IFERROR(__xludf.DUMMYFUNCTION("""COMPUTED_VALUE"""),-7.0E-4)</f>
        <v>-0.0007</v>
      </c>
    </row>
    <row r="3125">
      <c r="A3125" s="131">
        <f>IFERROR(__xludf.DUMMYFUNCTION("""COMPUTED_VALUE"""),46187.42858796296)</f>
        <v>46187.42859</v>
      </c>
      <c r="B3125" s="126">
        <f>IFERROR(__xludf.DUMMYFUNCTION("""COMPUTED_VALUE"""),46187.0)</f>
        <v>46187</v>
      </c>
      <c r="C3125" s="122" t="str">
        <f>IFERROR(__xludf.DUMMYFUNCTION("""COMPUTED_VALUE"""),"INSR")</f>
        <v>INSR</v>
      </c>
      <c r="D3125" s="122" t="str">
        <f>IFERROR(__xludf.DUMMYFUNCTION("""COMPUTED_VALUE"""),"Shield Insurance")</f>
        <v>Shield Insurance</v>
      </c>
      <c r="E3125" s="122">
        <f>IFERROR(__xludf.DUMMYFUNCTION("""COMPUTED_VALUE"""),158.48)</f>
        <v>158.48</v>
      </c>
      <c r="F3125" s="122">
        <f>IFERROR(__xludf.DUMMYFUNCTION("""COMPUTED_VALUE"""),-6.0E-4)</f>
        <v>-0.0006</v>
      </c>
    </row>
    <row r="3126">
      <c r="A3126" s="131">
        <f>IFERROR(__xludf.DUMMYFUNCTION("""COMPUTED_VALUE"""),46187.42858796296)</f>
        <v>46187.42859</v>
      </c>
      <c r="B3126" s="126">
        <f>IFERROR(__xludf.DUMMYFUNCTION("""COMPUTED_VALUE"""),46187.0)</f>
        <v>46187</v>
      </c>
      <c r="C3126" s="122" t="str">
        <f>IFERROR(__xludf.DUMMYFUNCTION("""COMPUTED_VALUE"""),"LOAN")</f>
        <v>LOAN</v>
      </c>
      <c r="D3126" s="122" t="str">
        <f>IFERROR(__xludf.DUMMYFUNCTION("""COMPUTED_VALUE"""),"LoanLab")</f>
        <v>LoanLab</v>
      </c>
      <c r="E3126" s="122">
        <f>IFERROR(__xludf.DUMMYFUNCTION("""COMPUTED_VALUE"""),63.11)</f>
        <v>63.11</v>
      </c>
      <c r="F3126" s="122">
        <f>IFERROR(__xludf.DUMMYFUNCTION("""COMPUTED_VALUE"""),-0.0035)</f>
        <v>-0.0035</v>
      </c>
    </row>
    <row r="3127">
      <c r="A3127" s="131">
        <f>IFERROR(__xludf.DUMMYFUNCTION("""COMPUTED_VALUE"""),46187.42858796296)</f>
        <v>46187.42859</v>
      </c>
      <c r="B3127" s="126">
        <f>IFERROR(__xludf.DUMMYFUNCTION("""COMPUTED_VALUE"""),46187.0)</f>
        <v>46187</v>
      </c>
      <c r="C3127" s="122" t="str">
        <f>IFERROR(__xludf.DUMMYFUNCTION("""COMPUTED_VALUE"""),"LUXE")</f>
        <v>LUXE</v>
      </c>
      <c r="D3127" s="122" t="str">
        <f>IFERROR(__xludf.DUMMYFUNCTION("""COMPUTED_VALUE"""),"Luxury Locker")</f>
        <v>Luxury Locker</v>
      </c>
      <c r="E3127" s="122">
        <f>IFERROR(__xludf.DUMMYFUNCTION("""COMPUTED_VALUE"""),256.92)</f>
        <v>256.92</v>
      </c>
      <c r="F3127" s="122">
        <f>IFERROR(__xludf.DUMMYFUNCTION("""COMPUTED_VALUE"""),-0.0022)</f>
        <v>-0.0022</v>
      </c>
    </row>
    <row r="3128">
      <c r="A3128" s="131">
        <f>IFERROR(__xludf.DUMMYFUNCTION("""COMPUTED_VALUE"""),46187.42858796296)</f>
        <v>46187.42859</v>
      </c>
      <c r="B3128" s="126">
        <f>IFERROR(__xludf.DUMMYFUNCTION("""COMPUTED_VALUE"""),46187.0)</f>
        <v>46187</v>
      </c>
      <c r="C3128" s="122" t="str">
        <f>IFERROR(__xludf.DUMMYFUNCTION("""COMPUTED_VALUE"""),"DRIP")</f>
        <v>DRIP</v>
      </c>
      <c r="D3128" s="122" t="str">
        <f>IFERROR(__xludf.DUMMYFUNCTION("""COMPUTED_VALUE"""),"Drip Streetwear")</f>
        <v>Drip Streetwear</v>
      </c>
      <c r="E3128" s="122">
        <f>IFERROR(__xludf.DUMMYFUNCTION("""COMPUTED_VALUE"""),201.83)</f>
        <v>201.83</v>
      </c>
      <c r="F3128" s="122">
        <f>IFERROR(__xludf.DUMMYFUNCTION("""COMPUTED_VALUE"""),0.0084)</f>
        <v>0.0084</v>
      </c>
    </row>
    <row r="3129">
      <c r="A3129" s="131">
        <f>IFERROR(__xludf.DUMMYFUNCTION("""COMPUTED_VALUE"""),46187.42858796296)</f>
        <v>46187.42859</v>
      </c>
      <c r="B3129" s="126">
        <f>IFERROR(__xludf.DUMMYFUNCTION("""COMPUTED_VALUE"""),46187.0)</f>
        <v>46187</v>
      </c>
      <c r="C3129" s="122" t="str">
        <f>IFERROR(__xludf.DUMMYFUNCTION("""COMPUTED_VALUE"""),"KICK")</f>
        <v>KICK</v>
      </c>
      <c r="D3129" s="122" t="str">
        <f>IFERROR(__xludf.DUMMYFUNCTION("""COMPUTED_VALUE"""),"KickDrop Sneakers")</f>
        <v>KickDrop Sneakers</v>
      </c>
      <c r="E3129" s="122">
        <f>IFERROR(__xludf.DUMMYFUNCTION("""COMPUTED_VALUE"""),171.74)</f>
        <v>171.74</v>
      </c>
      <c r="F3129" s="122">
        <f>IFERROR(__xludf.DUMMYFUNCTION("""COMPUTED_VALUE"""),0.004)</f>
        <v>0.004</v>
      </c>
    </row>
    <row r="3130">
      <c r="A3130" s="131">
        <f>IFERROR(__xludf.DUMMYFUNCTION("""COMPUTED_VALUE"""),46187.42858796296)</f>
        <v>46187.42859</v>
      </c>
      <c r="B3130" s="126">
        <f>IFERROR(__xludf.DUMMYFUNCTION("""COMPUTED_VALUE"""),46187.0)</f>
        <v>46187</v>
      </c>
      <c r="C3130" s="122" t="str">
        <f>IFERROR(__xludf.DUMMYFUNCTION("""COMPUTED_VALUE"""),"GLAM")</f>
        <v>GLAM</v>
      </c>
      <c r="D3130" s="122" t="str">
        <f>IFERROR(__xludf.DUMMYFUNCTION("""COMPUTED_VALUE"""),"Glow Cosmetics")</f>
        <v>Glow Cosmetics</v>
      </c>
      <c r="E3130" s="122">
        <f>IFERROR(__xludf.DUMMYFUNCTION("""COMPUTED_VALUE"""),100.1)</f>
        <v>100.1</v>
      </c>
      <c r="F3130" s="122">
        <f>IFERROR(__xludf.DUMMYFUNCTION("""COMPUTED_VALUE"""),0.0048)</f>
        <v>0.0048</v>
      </c>
    </row>
    <row r="3131">
      <c r="A3131" s="131">
        <f>IFERROR(__xludf.DUMMYFUNCTION("""COMPUTED_VALUE"""),46187.42858796296)</f>
        <v>46187.42859</v>
      </c>
      <c r="B3131" s="126">
        <f>IFERROR(__xludf.DUMMYFUNCTION("""COMPUTED_VALUE"""),46187.0)</f>
        <v>46187</v>
      </c>
      <c r="C3131" s="122" t="str">
        <f>IFERROR(__xludf.DUMMYFUNCTION("""COMPUTED_VALUE"""),"BAGG")</f>
        <v>BAGG</v>
      </c>
      <c r="D3131" s="122" t="str">
        <f>IFERROR(__xludf.DUMMYFUNCTION("""COMPUTED_VALUE"""),"BagVault")</f>
        <v>BagVault</v>
      </c>
      <c r="E3131" s="122">
        <f>IFERROR(__xludf.DUMMYFUNCTION("""COMPUTED_VALUE"""),249.95)</f>
        <v>249.95</v>
      </c>
      <c r="F3131" s="122">
        <f>IFERROR(__xludf.DUMMYFUNCTION("""COMPUTED_VALUE"""),-0.0065)</f>
        <v>-0.0065</v>
      </c>
    </row>
    <row r="3132">
      <c r="A3132" s="131">
        <f>IFERROR(__xludf.DUMMYFUNCTION("""COMPUTED_VALUE"""),46187.42858796296)</f>
        <v>46187.42859</v>
      </c>
      <c r="B3132" s="126">
        <f>IFERROR(__xludf.DUMMYFUNCTION("""COMPUTED_VALUE"""),46187.0)</f>
        <v>46187</v>
      </c>
      <c r="C3132" s="122" t="str">
        <f>IFERROR(__xludf.DUMMYFUNCTION("""COMPUTED_VALUE"""),"FAST")</f>
        <v>FAST</v>
      </c>
      <c r="D3132" s="122" t="str">
        <f>IFERROR(__xludf.DUMMYFUNCTION("""COMPUTED_VALUE"""),"Flash Logistics")</f>
        <v>Flash Logistics</v>
      </c>
      <c r="E3132" s="122">
        <f>IFERROR(__xludf.DUMMYFUNCTION("""COMPUTED_VALUE"""),103.64)</f>
        <v>103.64</v>
      </c>
      <c r="F3132" s="122">
        <f>IFERROR(__xludf.DUMMYFUNCTION("""COMPUTED_VALUE"""),0.005)</f>
        <v>0.005</v>
      </c>
    </row>
    <row r="3133">
      <c r="A3133" s="131">
        <f>IFERROR(__xludf.DUMMYFUNCTION("""COMPUTED_VALUE"""),46187.42858796296)</f>
        <v>46187.42859</v>
      </c>
      <c r="B3133" s="126">
        <f>IFERROR(__xludf.DUMMYFUNCTION("""COMPUTED_VALUE"""),46187.0)</f>
        <v>46187</v>
      </c>
      <c r="C3133" s="122" t="str">
        <f>IFERROR(__xludf.DUMMYFUNCTION("""COMPUTED_VALUE"""),"SHIP")</f>
        <v>SHIP</v>
      </c>
      <c r="D3133" s="122" t="str">
        <f>IFERROR(__xludf.DUMMYFUNCTION("""COMPUTED_VALUE"""),"Seoul Shipping")</f>
        <v>Seoul Shipping</v>
      </c>
      <c r="E3133" s="122">
        <f>IFERROR(__xludf.DUMMYFUNCTION("""COMPUTED_VALUE"""),117.76)</f>
        <v>117.76</v>
      </c>
      <c r="F3133" s="122">
        <f>IFERROR(__xludf.DUMMYFUNCTION("""COMPUTED_VALUE"""),-0.0062)</f>
        <v>-0.0062</v>
      </c>
    </row>
    <row r="3134">
      <c r="A3134" s="131">
        <f>IFERROR(__xludf.DUMMYFUNCTION("""COMPUTED_VALUE"""),46187.42858796296)</f>
        <v>46187.42859</v>
      </c>
      <c r="B3134" s="126">
        <f>IFERROR(__xludf.DUMMYFUNCTION("""COMPUTED_VALUE"""),46187.0)</f>
        <v>46187</v>
      </c>
      <c r="C3134" s="122" t="str">
        <f>IFERROR(__xludf.DUMMYFUNCTION("""COMPUTED_VALUE"""),"DRON")</f>
        <v>DRON</v>
      </c>
      <c r="D3134" s="122" t="str">
        <f>IFERROR(__xludf.DUMMYFUNCTION("""COMPUTED_VALUE"""),"DroneDrop")</f>
        <v>DroneDrop</v>
      </c>
      <c r="E3134" s="122">
        <f>IFERROR(__xludf.DUMMYFUNCTION("""COMPUTED_VALUE"""),132.41)</f>
        <v>132.41</v>
      </c>
      <c r="F3134" s="122">
        <f>IFERROR(__xludf.DUMMYFUNCTION("""COMPUTED_VALUE"""),-0.0061)</f>
        <v>-0.0061</v>
      </c>
    </row>
    <row r="3135">
      <c r="A3135" s="131">
        <f>IFERROR(__xludf.DUMMYFUNCTION("""COMPUTED_VALUE"""),46187.42858796296)</f>
        <v>46187.42859</v>
      </c>
      <c r="B3135" s="126">
        <f>IFERROR(__xludf.DUMMYFUNCTION("""COMPUTED_VALUE"""),46187.0)</f>
        <v>46187</v>
      </c>
      <c r="C3135" s="122" t="str">
        <f>IFERROR(__xludf.DUMMYFUNCTION("""COMPUTED_VALUE"""),"RIDE")</f>
        <v>RIDE</v>
      </c>
      <c r="D3135" s="122" t="str">
        <f>IFERROR(__xludf.DUMMYFUNCTION("""COMPUTED_VALUE"""),"QuickRide")</f>
        <v>QuickRide</v>
      </c>
      <c r="E3135" s="122">
        <f>IFERROR(__xludf.DUMMYFUNCTION("""COMPUTED_VALUE"""),98.37)</f>
        <v>98.37</v>
      </c>
      <c r="F3135" s="122">
        <f>IFERROR(__xludf.DUMMYFUNCTION("""COMPUTED_VALUE"""),0.0015)</f>
        <v>0.0015</v>
      </c>
    </row>
    <row r="3136">
      <c r="A3136" s="131">
        <f>IFERROR(__xludf.DUMMYFUNCTION("""COMPUTED_VALUE"""),46187.42858796296)</f>
        <v>46187.42859</v>
      </c>
      <c r="B3136" s="126">
        <f>IFERROR(__xludf.DUMMYFUNCTION("""COMPUTED_VALUE"""),46187.0)</f>
        <v>46187</v>
      </c>
      <c r="C3136" s="122" t="str">
        <f>IFERROR(__xludf.DUMMYFUNCTION("""COMPUTED_VALUE"""),"RAIL")</f>
        <v>RAIL</v>
      </c>
      <c r="D3136" s="122" t="str">
        <f>IFERROR(__xludf.DUMMYFUNCTION("""COMPUTED_VALUE"""),"MetroRail Corp")</f>
        <v>MetroRail Corp</v>
      </c>
      <c r="E3136" s="122">
        <f>IFERROR(__xludf.DUMMYFUNCTION("""COMPUTED_VALUE"""),134.29)</f>
        <v>134.29</v>
      </c>
      <c r="F3136" s="122">
        <f>IFERROR(__xludf.DUMMYFUNCTION("""COMPUTED_VALUE"""),0.0012)</f>
        <v>0.0012</v>
      </c>
    </row>
    <row r="3137">
      <c r="A3137" s="131">
        <f>IFERROR(__xludf.DUMMYFUNCTION("""COMPUTED_VALUE"""),46187.42858796296)</f>
        <v>46187.42859</v>
      </c>
      <c r="B3137" s="126">
        <f>IFERROR(__xludf.DUMMYFUNCTION("""COMPUTED_VALUE"""),46187.0)</f>
        <v>46187</v>
      </c>
      <c r="C3137" s="122" t="str">
        <f>IFERROR(__xludf.DUMMYFUNCTION("""COMPUTED_VALUE"""),"MEDX")</f>
        <v>MEDX</v>
      </c>
      <c r="D3137" s="122" t="str">
        <f>IFERROR(__xludf.DUMMYFUNCTION("""COMPUTED_VALUE"""),"MediCore")</f>
        <v>MediCore</v>
      </c>
      <c r="E3137" s="122">
        <f>IFERROR(__xludf.DUMMYFUNCTION("""COMPUTED_VALUE"""),138.18)</f>
        <v>138.18</v>
      </c>
      <c r="F3137" s="122">
        <f>IFERROR(__xludf.DUMMYFUNCTION("""COMPUTED_VALUE"""),0.0016)</f>
        <v>0.0016</v>
      </c>
    </row>
    <row r="3138">
      <c r="A3138" s="131">
        <f>IFERROR(__xludf.DUMMYFUNCTION("""COMPUTED_VALUE"""),46187.42858796296)</f>
        <v>46187.42859</v>
      </c>
      <c r="B3138" s="126">
        <f>IFERROR(__xludf.DUMMYFUNCTION("""COMPUTED_VALUE"""),46187.0)</f>
        <v>46187</v>
      </c>
      <c r="C3138" s="122" t="str">
        <f>IFERROR(__xludf.DUMMYFUNCTION("""COMPUTED_VALUE"""),"GYMX")</f>
        <v>GYMX</v>
      </c>
      <c r="D3138" s="122" t="str">
        <f>IFERROR(__xludf.DUMMYFUNCTION("""COMPUTED_VALUE"""),"GymX Fitness")</f>
        <v>GymX Fitness</v>
      </c>
      <c r="E3138" s="122">
        <f>IFERROR(__xludf.DUMMYFUNCTION("""COMPUTED_VALUE"""),85.3)</f>
        <v>85.3</v>
      </c>
      <c r="F3138" s="122">
        <f>IFERROR(__xludf.DUMMYFUNCTION("""COMPUTED_VALUE"""),-8.0E-4)</f>
        <v>-0.0008</v>
      </c>
    </row>
    <row r="3139">
      <c r="A3139" s="131">
        <f>IFERROR(__xludf.DUMMYFUNCTION("""COMPUTED_VALUE"""),46187.42858796296)</f>
        <v>46187.42859</v>
      </c>
      <c r="B3139" s="126">
        <f>IFERROR(__xludf.DUMMYFUNCTION("""COMPUTED_VALUE"""),46187.0)</f>
        <v>46187</v>
      </c>
      <c r="C3139" s="122" t="str">
        <f>IFERROR(__xludf.DUMMYFUNCTION("""COMPUTED_VALUE"""),"VITA")</f>
        <v>VITA</v>
      </c>
      <c r="D3139" s="122" t="str">
        <f>IFERROR(__xludf.DUMMYFUNCTION("""COMPUTED_VALUE"""),"VitaPlus")</f>
        <v>VitaPlus</v>
      </c>
      <c r="E3139" s="122">
        <f>IFERROR(__xludf.DUMMYFUNCTION("""COMPUTED_VALUE"""),74.48)</f>
        <v>74.48</v>
      </c>
      <c r="F3139" s="122">
        <f>IFERROR(__xludf.DUMMYFUNCTION("""COMPUTED_VALUE"""),-0.0036)</f>
        <v>-0.0036</v>
      </c>
    </row>
    <row r="3140">
      <c r="A3140" s="131">
        <f>IFERROR(__xludf.DUMMYFUNCTION("""COMPUTED_VALUE"""),46187.42858796296)</f>
        <v>46187.42859</v>
      </c>
      <c r="B3140" s="126">
        <f>IFERROR(__xludf.DUMMYFUNCTION("""COMPUTED_VALUE"""),46187.0)</f>
        <v>46187</v>
      </c>
      <c r="C3140" s="122" t="str">
        <f>IFERROR(__xludf.DUMMYFUNCTION("""COMPUTED_VALUE"""),"CARE")</f>
        <v>CARE</v>
      </c>
      <c r="D3140" s="122" t="str">
        <f>IFERROR(__xludf.DUMMYFUNCTION("""COMPUTED_VALUE"""),"CareCloud")</f>
        <v>CareCloud</v>
      </c>
      <c r="E3140" s="122">
        <f>IFERROR(__xludf.DUMMYFUNCTION("""COMPUTED_VALUE"""),177.82)</f>
        <v>177.82</v>
      </c>
      <c r="F3140" s="122">
        <f>IFERROR(__xludf.DUMMYFUNCTION("""COMPUTED_VALUE"""),-0.0057)</f>
        <v>-0.0057</v>
      </c>
    </row>
    <row r="3141">
      <c r="A3141" s="131">
        <f>IFERROR(__xludf.DUMMYFUNCTION("""COMPUTED_VALUE"""),46187.42858796296)</f>
        <v>46187.42859</v>
      </c>
      <c r="B3141" s="126">
        <f>IFERROR(__xludf.DUMMYFUNCTION("""COMPUTED_VALUE"""),46187.0)</f>
        <v>46187</v>
      </c>
      <c r="C3141" s="122" t="str">
        <f>IFERROR(__xludf.DUMMYFUNCTION("""COMPUTED_VALUE"""),"DENT")</f>
        <v>DENT</v>
      </c>
      <c r="D3141" s="122" t="str">
        <f>IFERROR(__xludf.DUMMYFUNCTION("""COMPUTED_VALUE"""),"SmileWorks")</f>
        <v>SmileWorks</v>
      </c>
      <c r="E3141" s="122">
        <f>IFERROR(__xludf.DUMMYFUNCTION("""COMPUTED_VALUE"""),83.67)</f>
        <v>83.67</v>
      </c>
      <c r="F3141" s="122">
        <f>IFERROR(__xludf.DUMMYFUNCTION("""COMPUTED_VALUE"""),0.0058)</f>
        <v>0.0058</v>
      </c>
    </row>
    <row r="3142">
      <c r="A3142" s="131">
        <f>IFERROR(__xludf.DUMMYFUNCTION("""COMPUTED_VALUE"""),46187.42858796296)</f>
        <v>46187.42859</v>
      </c>
      <c r="B3142" s="126">
        <f>IFERROR(__xludf.DUMMYFUNCTION("""COMPUTED_VALUE"""),46187.0)</f>
        <v>46187</v>
      </c>
      <c r="C3142" s="122" t="str">
        <f>IFERROR(__xludf.DUMMYFUNCTION("""COMPUTED_VALUE"""),"EDUX")</f>
        <v>EDUX</v>
      </c>
      <c r="D3142" s="122" t="str">
        <f>IFERROR(__xludf.DUMMYFUNCTION("""COMPUTED_VALUE"""),"EduMax Learning")</f>
        <v>EduMax Learning</v>
      </c>
      <c r="E3142" s="122">
        <f>IFERROR(__xludf.DUMMYFUNCTION("""COMPUTED_VALUE"""),134.43)</f>
        <v>134.43</v>
      </c>
      <c r="F3142" s="122">
        <f>IFERROR(__xludf.DUMMYFUNCTION("""COMPUTED_VALUE"""),0.0022)</f>
        <v>0.0022</v>
      </c>
    </row>
    <row r="3143">
      <c r="A3143" s="131">
        <f>IFERROR(__xludf.DUMMYFUNCTION("""COMPUTED_VALUE"""),46187.42858796296)</f>
        <v>46187.42859</v>
      </c>
      <c r="B3143" s="126">
        <f>IFERROR(__xludf.DUMMYFUNCTION("""COMPUTED_VALUE"""),46187.0)</f>
        <v>46187</v>
      </c>
      <c r="C3143" s="122" t="str">
        <f>IFERROR(__xludf.DUMMYFUNCTION("""COMPUTED_VALUE"""),"BOOK")</f>
        <v>BOOK</v>
      </c>
      <c r="D3143" s="122" t="str">
        <f>IFERROR(__xludf.DUMMYFUNCTION("""COMPUTED_VALUE"""),"BookBridge")</f>
        <v>BookBridge</v>
      </c>
      <c r="E3143" s="122">
        <f>IFERROR(__xludf.DUMMYFUNCTION("""COMPUTED_VALUE"""),115.28)</f>
        <v>115.28</v>
      </c>
      <c r="F3143" s="122">
        <f>IFERROR(__xludf.DUMMYFUNCTION("""COMPUTED_VALUE"""),0.0031)</f>
        <v>0.0031</v>
      </c>
    </row>
    <row r="3144">
      <c r="A3144" s="131">
        <f>IFERROR(__xludf.DUMMYFUNCTION("""COMPUTED_VALUE"""),46187.42858796296)</f>
        <v>46187.42859</v>
      </c>
      <c r="B3144" s="126">
        <f>IFERROR(__xludf.DUMMYFUNCTION("""COMPUTED_VALUE"""),46187.0)</f>
        <v>46187</v>
      </c>
      <c r="C3144" s="122" t="str">
        <f>IFERROR(__xludf.DUMMYFUNCTION("""COMPUTED_VALUE"""),"TUTR")</f>
        <v>TUTR</v>
      </c>
      <c r="D3144" s="122" t="str">
        <f>IFERROR(__xludf.DUMMYFUNCTION("""COMPUTED_VALUE"""),"TutorTown")</f>
        <v>TutorTown</v>
      </c>
      <c r="E3144" s="122">
        <f>IFERROR(__xludf.DUMMYFUNCTION("""COMPUTED_VALUE"""),89.31)</f>
        <v>89.31</v>
      </c>
      <c r="F3144" s="122">
        <f>IFERROR(__xludf.DUMMYFUNCTION("""COMPUTED_VALUE"""),-0.0056)</f>
        <v>-0.0056</v>
      </c>
    </row>
    <row r="3145">
      <c r="A3145" s="131">
        <f>IFERROR(__xludf.DUMMYFUNCTION("""COMPUTED_VALUE"""),46187.42858796296)</f>
        <v>46187.42859</v>
      </c>
      <c r="B3145" s="126">
        <f>IFERROR(__xludf.DUMMYFUNCTION("""COMPUTED_VALUE"""),46187.0)</f>
        <v>46187</v>
      </c>
      <c r="C3145" s="122" t="str">
        <f>IFERROR(__xludf.DUMMYFUNCTION("""COMPUTED_VALUE"""),"LANG")</f>
        <v>LANG</v>
      </c>
      <c r="D3145" s="122" t="str">
        <f>IFERROR(__xludf.DUMMYFUNCTION("""COMPUTED_VALUE"""),"LinguaLab")</f>
        <v>LinguaLab</v>
      </c>
      <c r="E3145" s="122">
        <f>IFERROR(__xludf.DUMMYFUNCTION("""COMPUTED_VALUE"""),97.93)</f>
        <v>97.93</v>
      </c>
      <c r="F3145" s="122">
        <f>IFERROR(__xludf.DUMMYFUNCTION("""COMPUTED_VALUE"""),-3.0E-4)</f>
        <v>-0.0003</v>
      </c>
    </row>
    <row r="3146">
      <c r="A3146" s="131">
        <f>IFERROR(__xludf.DUMMYFUNCTION("""COMPUTED_VALUE"""),46187.42858796296)</f>
        <v>46187.42859</v>
      </c>
      <c r="B3146" s="126">
        <f>IFERROR(__xludf.DUMMYFUNCTION("""COMPUTED_VALUE"""),46187.0)</f>
        <v>46187</v>
      </c>
      <c r="C3146" s="122" t="str">
        <f>IFERROR(__xludf.DUMMYFUNCTION("""COMPUTED_VALUE"""),"TEST")</f>
        <v>TEST</v>
      </c>
      <c r="D3146" s="122" t="str">
        <f>IFERROR(__xludf.DUMMYFUNCTION("""COMPUTED_VALUE"""),"TestPrep Pro")</f>
        <v>TestPrep Pro</v>
      </c>
      <c r="E3146" s="122">
        <f>IFERROR(__xludf.DUMMYFUNCTION("""COMPUTED_VALUE"""),99.71)</f>
        <v>99.71</v>
      </c>
      <c r="F3146" s="122">
        <f>IFERROR(__xludf.DUMMYFUNCTION("""COMPUTED_VALUE"""),-0.0084)</f>
        <v>-0.0084</v>
      </c>
    </row>
    <row r="3147">
      <c r="A3147" s="131">
        <f>IFERROR(__xludf.DUMMYFUNCTION("""COMPUTED_VALUE"""),46187.42858796296)</f>
        <v>46187.42859</v>
      </c>
      <c r="B3147" s="126">
        <f>IFERROR(__xludf.DUMMYFUNCTION("""COMPUTED_VALUE"""),46187.0)</f>
        <v>46187</v>
      </c>
      <c r="C3147" s="122" t="str">
        <f>IFERROR(__xludf.DUMMYFUNCTION("""COMPUTED_VALUE"""),"MOVI")</f>
        <v>MOVI</v>
      </c>
      <c r="D3147" s="122" t="str">
        <f>IFERROR(__xludf.DUMMYFUNCTION("""COMPUTED_VALUE"""),"MovieBox")</f>
        <v>MovieBox</v>
      </c>
      <c r="E3147" s="122">
        <f>IFERROR(__xludf.DUMMYFUNCTION("""COMPUTED_VALUE"""),80.62)</f>
        <v>80.62</v>
      </c>
      <c r="F3147" s="122">
        <f>IFERROR(__xludf.DUMMYFUNCTION("""COMPUTED_VALUE"""),-0.0024)</f>
        <v>-0.0024</v>
      </c>
    </row>
    <row r="3148">
      <c r="A3148" s="131">
        <f>IFERROR(__xludf.DUMMYFUNCTION("""COMPUTED_VALUE"""),46187.42858796296)</f>
        <v>46187.42859</v>
      </c>
      <c r="B3148" s="126">
        <f>IFERROR(__xludf.DUMMYFUNCTION("""COMPUTED_VALUE"""),46187.0)</f>
        <v>46187</v>
      </c>
      <c r="C3148" s="122" t="str">
        <f>IFERROR(__xludf.DUMMYFUNCTION("""COMPUTED_VALUE"""),"MUSC")</f>
        <v>MUSC</v>
      </c>
      <c r="D3148" s="122" t="str">
        <f>IFERROR(__xludf.DUMMYFUNCTION("""COMPUTED_VALUE"""),"MusicWave")</f>
        <v>MusicWave</v>
      </c>
      <c r="E3148" s="122">
        <f>IFERROR(__xludf.DUMMYFUNCTION("""COMPUTED_VALUE"""),97.11)</f>
        <v>97.11</v>
      </c>
      <c r="F3148" s="122">
        <f>IFERROR(__xludf.DUMMYFUNCTION("""COMPUTED_VALUE"""),0.002)</f>
        <v>0.002</v>
      </c>
    </row>
    <row r="3149">
      <c r="A3149" s="131">
        <f>IFERROR(__xludf.DUMMYFUNCTION("""COMPUTED_VALUE"""),46187.42858796296)</f>
        <v>46187.42859</v>
      </c>
      <c r="B3149" s="126">
        <f>IFERROR(__xludf.DUMMYFUNCTION("""COMPUTED_VALUE"""),46187.0)</f>
        <v>46187</v>
      </c>
      <c r="C3149" s="122" t="str">
        <f>IFERROR(__xludf.DUMMYFUNCTION("""COMPUTED_VALUE"""),"IDOL")</f>
        <v>IDOL</v>
      </c>
      <c r="D3149" s="122" t="str">
        <f>IFERROR(__xludf.DUMMYFUNCTION("""COMPUTED_VALUE"""),"Idol Agency")</f>
        <v>Idol Agency</v>
      </c>
      <c r="E3149" s="122">
        <f>IFERROR(__xludf.DUMMYFUNCTION("""COMPUTED_VALUE"""),193.52)</f>
        <v>193.52</v>
      </c>
      <c r="F3149" s="122">
        <f>IFERROR(__xludf.DUMMYFUNCTION("""COMPUTED_VALUE"""),-0.0111)</f>
        <v>-0.0111</v>
      </c>
    </row>
    <row r="3150">
      <c r="A3150" s="131">
        <f>IFERROR(__xludf.DUMMYFUNCTION("""COMPUTED_VALUE"""),46187.42858796296)</f>
        <v>46187.42859</v>
      </c>
      <c r="B3150" s="126">
        <f>IFERROR(__xludf.DUMMYFUNCTION("""COMPUTED_VALUE"""),46187.0)</f>
        <v>46187</v>
      </c>
      <c r="C3150" s="122" t="str">
        <f>IFERROR(__xludf.DUMMYFUNCTION("""COMPUTED_VALUE"""),"MEME")</f>
        <v>MEME</v>
      </c>
      <c r="D3150" s="122" t="str">
        <f>IFERROR(__xludf.DUMMYFUNCTION("""COMPUTED_VALUE"""),"Meme Media")</f>
        <v>Meme Media</v>
      </c>
      <c r="E3150" s="122">
        <f>IFERROR(__xludf.DUMMYFUNCTION("""COMPUTED_VALUE"""),76.02)</f>
        <v>76.02</v>
      </c>
      <c r="F3150" s="122">
        <f>IFERROR(__xludf.DUMMYFUNCTION("""COMPUTED_VALUE"""),8.0E-4)</f>
        <v>0.0008</v>
      </c>
    </row>
    <row r="3151">
      <c r="A3151" s="131">
        <f>IFERROR(__xludf.DUMMYFUNCTION("""COMPUTED_VALUE"""),46187.42858796296)</f>
        <v>46187.42859</v>
      </c>
      <c r="B3151" s="126">
        <f>IFERROR(__xludf.DUMMYFUNCTION("""COMPUTED_VALUE"""),46187.0)</f>
        <v>46187</v>
      </c>
      <c r="C3151" s="122" t="str">
        <f>IFERROR(__xludf.DUMMYFUNCTION("""COMPUTED_VALUE"""),"STRM")</f>
        <v>STRM</v>
      </c>
      <c r="D3151" s="122" t="str">
        <f>IFERROR(__xludf.DUMMYFUNCTION("""COMPUTED_VALUE"""),"Streamly")</f>
        <v>Streamly</v>
      </c>
      <c r="E3151" s="122">
        <f>IFERROR(__xludf.DUMMYFUNCTION("""COMPUTED_VALUE"""),140.56)</f>
        <v>140.56</v>
      </c>
      <c r="F3151" s="122">
        <f>IFERROR(__xludf.DUMMYFUNCTION("""COMPUTED_VALUE"""),0.0077)</f>
        <v>0.0077</v>
      </c>
    </row>
    <row r="3152">
      <c r="A3152" s="131">
        <f>IFERROR(__xludf.DUMMYFUNCTION("""COMPUTED_VALUE"""),46187.42858796296)</f>
        <v>46187.42859</v>
      </c>
      <c r="B3152" s="126">
        <f>IFERROR(__xludf.DUMMYFUNCTION("""COMPUTED_VALUE"""),46187.0)</f>
        <v>46187</v>
      </c>
      <c r="C3152" s="122" t="str">
        <f>IFERROR(__xludf.DUMMYFUNCTION("""COMPUTED_VALUE"""),"FARM")</f>
        <v>FARM</v>
      </c>
      <c r="D3152" s="122" t="str">
        <f>IFERROR(__xludf.DUMMYFUNCTION("""COMPUTED_VALUE"""),"Future Farms")</f>
        <v>Future Farms</v>
      </c>
      <c r="E3152" s="122">
        <f>IFERROR(__xludf.DUMMYFUNCTION("""COMPUTED_VALUE"""),83.89)</f>
        <v>83.89</v>
      </c>
      <c r="F3152" s="122">
        <f>IFERROR(__xludf.DUMMYFUNCTION("""COMPUTED_VALUE"""),8.0E-4)</f>
        <v>0.0008</v>
      </c>
    </row>
    <row r="3153">
      <c r="A3153" s="131">
        <f>IFERROR(__xludf.DUMMYFUNCTION("""COMPUTED_VALUE"""),46187.42858796296)</f>
        <v>46187.42859</v>
      </c>
      <c r="B3153" s="126">
        <f>IFERROR(__xludf.DUMMYFUNCTION("""COMPUTED_VALUE"""),46187.0)</f>
        <v>46187</v>
      </c>
      <c r="C3153" s="122" t="str">
        <f>IFERROR(__xludf.DUMMYFUNCTION("""COMPUTED_VALUE"""),"MEAT")</f>
        <v>MEAT</v>
      </c>
      <c r="D3153" s="122" t="str">
        <f>IFERROR(__xludf.DUMMYFUNCTION("""COMPUTED_VALUE"""),"MeatWorks")</f>
        <v>MeatWorks</v>
      </c>
      <c r="E3153" s="122">
        <f>IFERROR(__xludf.DUMMYFUNCTION("""COMPUTED_VALUE"""),102.55)</f>
        <v>102.55</v>
      </c>
      <c r="F3153" s="122">
        <f>IFERROR(__xludf.DUMMYFUNCTION("""COMPUTED_VALUE"""),0.0023)</f>
        <v>0.0023</v>
      </c>
    </row>
    <row r="3154">
      <c r="A3154" s="131">
        <f>IFERROR(__xludf.DUMMYFUNCTION("""COMPUTED_VALUE"""),46187.42858796296)</f>
        <v>46187.42859</v>
      </c>
      <c r="B3154" s="126">
        <f>IFERROR(__xludf.DUMMYFUNCTION("""COMPUTED_VALUE"""),46187.0)</f>
        <v>46187</v>
      </c>
      <c r="C3154" s="122" t="str">
        <f>IFERROR(__xludf.DUMMYFUNCTION("""COMPUTED_VALUE"""),"VEGI")</f>
        <v>VEGI</v>
      </c>
      <c r="D3154" s="122" t="str">
        <f>IFERROR(__xludf.DUMMYFUNCTION("""COMPUTED_VALUE"""),"Green Basket")</f>
        <v>Green Basket</v>
      </c>
      <c r="E3154" s="122">
        <f>IFERROR(__xludf.DUMMYFUNCTION("""COMPUTED_VALUE"""),81.48)</f>
        <v>81.48</v>
      </c>
      <c r="F3154" s="122">
        <f>IFERROR(__xludf.DUMMYFUNCTION("""COMPUTED_VALUE"""),-0.0048)</f>
        <v>-0.0048</v>
      </c>
    </row>
    <row r="3155">
      <c r="A3155" s="131">
        <f>IFERROR(__xludf.DUMMYFUNCTION("""COMPUTED_VALUE"""),46187.42858796296)</f>
        <v>46187.42859</v>
      </c>
      <c r="B3155" s="126">
        <f>IFERROR(__xludf.DUMMYFUNCTION("""COMPUTED_VALUE"""),46187.0)</f>
        <v>46187</v>
      </c>
      <c r="C3155" s="122" t="str">
        <f>IFERROR(__xludf.DUMMYFUNCTION("""COMPUTED_VALUE"""),"CAFE")</f>
        <v>CAFE</v>
      </c>
      <c r="D3155" s="122" t="str">
        <f>IFERROR(__xludf.DUMMYFUNCTION("""COMPUTED_VALUE"""),"Cafe Cloud")</f>
        <v>Cafe Cloud</v>
      </c>
      <c r="E3155" s="122">
        <f>IFERROR(__xludf.DUMMYFUNCTION("""COMPUTED_VALUE"""),101.07)</f>
        <v>101.07</v>
      </c>
      <c r="F3155" s="122">
        <f>IFERROR(__xludf.DUMMYFUNCTION("""COMPUTED_VALUE"""),0.0105)</f>
        <v>0.0105</v>
      </c>
    </row>
    <row r="3156">
      <c r="A3156" s="131">
        <f>IFERROR(__xludf.DUMMYFUNCTION("""COMPUTED_VALUE"""),46187.42858796296)</f>
        <v>46187.42859</v>
      </c>
      <c r="B3156" s="126">
        <f>IFERROR(__xludf.DUMMYFUNCTION("""COMPUTED_VALUE"""),46187.0)</f>
        <v>46187</v>
      </c>
      <c r="C3156" s="122" t="str">
        <f>IFERROR(__xludf.DUMMYFUNCTION("""COMPUTED_VALUE"""),"BAKE")</f>
        <v>BAKE</v>
      </c>
      <c r="D3156" s="122" t="str">
        <f>IFERROR(__xludf.DUMMYFUNCTION("""COMPUTED_VALUE"""),"BakeHouse")</f>
        <v>BakeHouse</v>
      </c>
      <c r="E3156" s="122">
        <f>IFERROR(__xludf.DUMMYFUNCTION("""COMPUTED_VALUE"""),100.15)</f>
        <v>100.15</v>
      </c>
      <c r="F3156" s="122">
        <f>IFERROR(__xludf.DUMMYFUNCTION("""COMPUTED_VALUE"""),-0.004)</f>
        <v>-0.004</v>
      </c>
    </row>
    <row r="3157">
      <c r="A3157" s="131">
        <f>IFERROR(__xludf.DUMMYFUNCTION("""COMPUTED_VALUE"""),46187.42858796296)</f>
        <v>46187.42859</v>
      </c>
      <c r="B3157" s="126">
        <f>IFERROR(__xludf.DUMMYFUNCTION("""COMPUTED_VALUE"""),46187.0)</f>
        <v>46187</v>
      </c>
      <c r="C3157" s="122" t="str">
        <f>IFERROR(__xludf.DUMMYFUNCTION("""COMPUTED_VALUE"""),"OILX")</f>
        <v>OILX</v>
      </c>
      <c r="D3157" s="122" t="str">
        <f>IFERROR(__xludf.DUMMYFUNCTION("""COMPUTED_VALUE"""),"OilMax Energy")</f>
        <v>OilMax Energy</v>
      </c>
      <c r="E3157" s="122">
        <f>IFERROR(__xludf.DUMMYFUNCTION("""COMPUTED_VALUE"""),132.51)</f>
        <v>132.51</v>
      </c>
      <c r="F3157" s="122">
        <f>IFERROR(__xludf.DUMMYFUNCTION("""COMPUTED_VALUE"""),0.0087)</f>
        <v>0.0087</v>
      </c>
    </row>
    <row r="3158">
      <c r="A3158" s="131">
        <f>IFERROR(__xludf.DUMMYFUNCTION("""COMPUTED_VALUE"""),46187.42858796296)</f>
        <v>46187.42859</v>
      </c>
      <c r="B3158" s="126">
        <f>IFERROR(__xludf.DUMMYFUNCTION("""COMPUTED_VALUE"""),46187.0)</f>
        <v>46187</v>
      </c>
      <c r="C3158" s="122" t="str">
        <f>IFERROR(__xludf.DUMMYFUNCTION("""COMPUTED_VALUE"""),"SOLR")</f>
        <v>SOLR</v>
      </c>
      <c r="D3158" s="122" t="str">
        <f>IFERROR(__xludf.DUMMYFUNCTION("""COMPUTED_VALUE"""),"SolarSpark")</f>
        <v>SolarSpark</v>
      </c>
      <c r="E3158" s="122">
        <f>IFERROR(__xludf.DUMMYFUNCTION("""COMPUTED_VALUE"""),89.47)</f>
        <v>89.47</v>
      </c>
      <c r="F3158" s="122">
        <f>IFERROR(__xludf.DUMMYFUNCTION("""COMPUTED_VALUE"""),0.0013)</f>
        <v>0.0013</v>
      </c>
    </row>
    <row r="3159">
      <c r="A3159" s="131">
        <f>IFERROR(__xludf.DUMMYFUNCTION("""COMPUTED_VALUE"""),46187.42858796296)</f>
        <v>46187.42859</v>
      </c>
      <c r="B3159" s="126">
        <f>IFERROR(__xludf.DUMMYFUNCTION("""COMPUTED_VALUE"""),46187.0)</f>
        <v>46187</v>
      </c>
      <c r="C3159" s="122" t="str">
        <f>IFERROR(__xludf.DUMMYFUNCTION("""COMPUTED_VALUE"""),"BATT")</f>
        <v>BATT</v>
      </c>
      <c r="D3159" s="122" t="str">
        <f>IFERROR(__xludf.DUMMYFUNCTION("""COMPUTED_VALUE"""),"BatteryBox")</f>
        <v>BatteryBox</v>
      </c>
      <c r="E3159" s="122">
        <f>IFERROR(__xludf.DUMMYFUNCTION("""COMPUTED_VALUE"""),120.92)</f>
        <v>120.92</v>
      </c>
      <c r="F3159" s="122">
        <f>IFERROR(__xludf.DUMMYFUNCTION("""COMPUTED_VALUE"""),-4.0E-4)</f>
        <v>-0.0004</v>
      </c>
    </row>
    <row r="3160">
      <c r="A3160" s="131">
        <f>IFERROR(__xludf.DUMMYFUNCTION("""COMPUTED_VALUE"""),46187.42858796296)</f>
        <v>46187.42859</v>
      </c>
      <c r="B3160" s="126">
        <f>IFERROR(__xludf.DUMMYFUNCTION("""COMPUTED_VALUE"""),46187.0)</f>
        <v>46187</v>
      </c>
      <c r="C3160" s="122" t="str">
        <f>IFERROR(__xludf.DUMMYFUNCTION("""COMPUTED_VALUE"""),"WIND")</f>
        <v>WIND</v>
      </c>
      <c r="D3160" s="122" t="str">
        <f>IFERROR(__xludf.DUMMYFUNCTION("""COMPUTED_VALUE"""),"WindWorks")</f>
        <v>WindWorks</v>
      </c>
      <c r="E3160" s="122">
        <f>IFERROR(__xludf.DUMMYFUNCTION("""COMPUTED_VALUE"""),88.93)</f>
        <v>88.93</v>
      </c>
      <c r="F3160" s="122">
        <f>IFERROR(__xludf.DUMMYFUNCTION("""COMPUTED_VALUE"""),-0.0054)</f>
        <v>-0.0054</v>
      </c>
    </row>
    <row r="3161">
      <c r="A3161" s="131">
        <f>IFERROR(__xludf.DUMMYFUNCTION("""COMPUTED_VALUE"""),46187.42858796296)</f>
        <v>46187.42859</v>
      </c>
      <c r="B3161" s="126">
        <f>IFERROR(__xludf.DUMMYFUNCTION("""COMPUTED_VALUE"""),46187.0)</f>
        <v>46187</v>
      </c>
      <c r="C3161" s="122" t="str">
        <f>IFERROR(__xludf.DUMMYFUNCTION("""COMPUTED_VALUE"""),"GRID")</f>
        <v>GRID</v>
      </c>
      <c r="D3161" s="122" t="str">
        <f>IFERROR(__xludf.DUMMYFUNCTION("""COMPUTED_VALUE"""),"GridPower")</f>
        <v>GridPower</v>
      </c>
      <c r="E3161" s="122">
        <f>IFERROR(__xludf.DUMMYFUNCTION("""COMPUTED_VALUE"""),141.93)</f>
        <v>141.93</v>
      </c>
      <c r="F3161" s="122">
        <f>IFERROR(__xludf.DUMMYFUNCTION("""COMPUTED_VALUE"""),0.002)</f>
        <v>0.002</v>
      </c>
    </row>
    <row r="3162">
      <c r="A3162" s="131">
        <f>IFERROR(__xludf.DUMMYFUNCTION("""COMPUTED_VALUE"""),46187.42858796296)</f>
        <v>46187.42859</v>
      </c>
      <c r="B3162" s="126">
        <f>IFERROR(__xludf.DUMMYFUNCTION("""COMPUTED_VALUE"""),46187.0)</f>
        <v>46187</v>
      </c>
      <c r="C3162" s="122" t="str">
        <f>IFERROR(__xludf.DUMMYFUNCTION("""COMPUTED_VALUE"""),"HOME")</f>
        <v>HOME</v>
      </c>
      <c r="D3162" s="122" t="str">
        <f>IFERROR(__xludf.DUMMYFUNCTION("""COMPUTED_VALUE"""),"HomeHub")</f>
        <v>HomeHub</v>
      </c>
      <c r="E3162" s="122">
        <f>IFERROR(__xludf.DUMMYFUNCTION("""COMPUTED_VALUE"""),150.08)</f>
        <v>150.08</v>
      </c>
      <c r="F3162" s="122">
        <f>IFERROR(__xludf.DUMMYFUNCTION("""COMPUTED_VALUE"""),0.0049)</f>
        <v>0.0049</v>
      </c>
    </row>
    <row r="3163">
      <c r="A3163" s="131">
        <f>IFERROR(__xludf.DUMMYFUNCTION("""COMPUTED_VALUE"""),46187.42858796296)</f>
        <v>46187.42859</v>
      </c>
      <c r="B3163" s="126">
        <f>IFERROR(__xludf.DUMMYFUNCTION("""COMPUTED_VALUE"""),46187.0)</f>
        <v>46187</v>
      </c>
      <c r="C3163" s="122" t="str">
        <f>IFERROR(__xludf.DUMMYFUNCTION("""COMPUTED_VALUE"""),"RENT")</f>
        <v>RENT</v>
      </c>
      <c r="D3163" s="122" t="str">
        <f>IFERROR(__xludf.DUMMYFUNCTION("""COMPUTED_VALUE"""),"RentRight")</f>
        <v>RentRight</v>
      </c>
      <c r="E3163" s="122">
        <f>IFERROR(__xludf.DUMMYFUNCTION("""COMPUTED_VALUE"""),91.82)</f>
        <v>91.82</v>
      </c>
      <c r="F3163" s="122">
        <f>IFERROR(__xludf.DUMMYFUNCTION("""COMPUTED_VALUE"""),-0.0021)</f>
        <v>-0.0021</v>
      </c>
    </row>
    <row r="3164">
      <c r="A3164" s="131">
        <f>IFERROR(__xludf.DUMMYFUNCTION("""COMPUTED_VALUE"""),46187.42858796296)</f>
        <v>46187.42859</v>
      </c>
      <c r="B3164" s="126">
        <f>IFERROR(__xludf.DUMMYFUNCTION("""COMPUTED_VALUE"""),46187.0)</f>
        <v>46187</v>
      </c>
      <c r="C3164" s="122" t="str">
        <f>IFERROR(__xludf.DUMMYFUNCTION("""COMPUTED_VALUE"""),"MALL")</f>
        <v>MALL</v>
      </c>
      <c r="D3164" s="122" t="str">
        <f>IFERROR(__xludf.DUMMYFUNCTION("""COMPUTED_VALUE"""),"MegaMall")</f>
        <v>MegaMall</v>
      </c>
      <c r="E3164" s="122">
        <f>IFERROR(__xludf.DUMMYFUNCTION("""COMPUTED_VALUE"""),101.14)</f>
        <v>101.14</v>
      </c>
      <c r="F3164" s="122">
        <f>IFERROR(__xludf.DUMMYFUNCTION("""COMPUTED_VALUE"""),0.0014)</f>
        <v>0.0014</v>
      </c>
    </row>
    <row r="3165">
      <c r="A3165" s="131">
        <f>IFERROR(__xludf.DUMMYFUNCTION("""COMPUTED_VALUE"""),46187.42858796296)</f>
        <v>46187.42859</v>
      </c>
      <c r="B3165" s="126">
        <f>IFERROR(__xludf.DUMMYFUNCTION("""COMPUTED_VALUE"""),46187.0)</f>
        <v>46187</v>
      </c>
      <c r="C3165" s="122" t="str">
        <f>IFERROR(__xludf.DUMMYFUNCTION("""COMPUTED_VALUE"""),"HOTL")</f>
        <v>HOTL</v>
      </c>
      <c r="D3165" s="122" t="str">
        <f>IFERROR(__xludf.DUMMYFUNCTION("""COMPUTED_VALUE"""),"HotelHive")</f>
        <v>HotelHive</v>
      </c>
      <c r="E3165" s="122">
        <f>IFERROR(__xludf.DUMMYFUNCTION("""COMPUTED_VALUE"""),129.65)</f>
        <v>129.65</v>
      </c>
      <c r="F3165" s="122">
        <f>IFERROR(__xludf.DUMMYFUNCTION("""COMPUTED_VALUE"""),-0.0067)</f>
        <v>-0.0067</v>
      </c>
    </row>
    <row r="3166">
      <c r="A3166" s="131">
        <f>IFERROR(__xludf.DUMMYFUNCTION("""COMPUTED_VALUE"""),46187.42858796296)</f>
        <v>46187.42859</v>
      </c>
      <c r="B3166" s="126">
        <f>IFERROR(__xludf.DUMMYFUNCTION("""COMPUTED_VALUE"""),46187.0)</f>
        <v>46187</v>
      </c>
      <c r="C3166" s="122" t="str">
        <f>IFERROR(__xludf.DUMMYFUNCTION("""COMPUTED_VALUE"""),"LAND")</f>
        <v>LAND</v>
      </c>
      <c r="D3166" s="122" t="str">
        <f>IFERROR(__xludf.DUMMYFUNCTION("""COMPUTED_VALUE"""),"LandLink")</f>
        <v>LandLink</v>
      </c>
      <c r="E3166" s="122">
        <f>IFERROR(__xludf.DUMMYFUNCTION("""COMPUTED_VALUE"""),182.12)</f>
        <v>182.12</v>
      </c>
      <c r="F3166" s="122">
        <f>IFERROR(__xludf.DUMMYFUNCTION("""COMPUTED_VALUE"""),-0.0027)</f>
        <v>-0.0027</v>
      </c>
    </row>
    <row r="3167">
      <c r="A3167" s="131">
        <f>IFERROR(__xludf.DUMMYFUNCTION("""COMPUTED_VALUE"""),46187.42858796296)</f>
        <v>46187.42859</v>
      </c>
      <c r="B3167" s="126">
        <f>IFERROR(__xludf.DUMMYFUNCTION("""COMPUTED_VALUE"""),46187.0)</f>
        <v>46187</v>
      </c>
      <c r="C3167" s="122" t="str">
        <f>IFERROR(__xludf.DUMMYFUNCTION("""COMPUTED_VALUE"""),"CARS")</f>
        <v>CARS</v>
      </c>
      <c r="D3167" s="122" t="str">
        <f>IFERROR(__xludf.DUMMYFUNCTION("""COMPUTED_VALUE"""),"AutoArena")</f>
        <v>AutoArena</v>
      </c>
      <c r="E3167" s="122">
        <f>IFERROR(__xludf.DUMMYFUNCTION("""COMPUTED_VALUE"""),81.24)</f>
        <v>81.24</v>
      </c>
      <c r="F3167" s="122">
        <f>IFERROR(__xludf.DUMMYFUNCTION("""COMPUTED_VALUE"""),0.0073)</f>
        <v>0.0073</v>
      </c>
    </row>
    <row r="3168">
      <c r="A3168" s="131">
        <f>IFERROR(__xludf.DUMMYFUNCTION("""COMPUTED_VALUE"""),46187.42858796296)</f>
        <v>46187.42859</v>
      </c>
      <c r="B3168" s="126">
        <f>IFERROR(__xludf.DUMMYFUNCTION("""COMPUTED_VALUE"""),46187.0)</f>
        <v>46187</v>
      </c>
      <c r="C3168" s="122" t="str">
        <f>IFERROR(__xludf.DUMMYFUNCTION("""COMPUTED_VALUE"""),"EVGO")</f>
        <v>EVGO</v>
      </c>
      <c r="D3168" s="122" t="str">
        <f>IFERROR(__xludf.DUMMYFUNCTION("""COMPUTED_VALUE"""),"EVGo Motors")</f>
        <v>EVGo Motors</v>
      </c>
      <c r="E3168" s="122">
        <f>IFERROR(__xludf.DUMMYFUNCTION("""COMPUTED_VALUE"""),185.32)</f>
        <v>185.32</v>
      </c>
      <c r="F3168" s="122">
        <f>IFERROR(__xludf.DUMMYFUNCTION("""COMPUTED_VALUE"""),0.0079)</f>
        <v>0.0079</v>
      </c>
    </row>
    <row r="3169">
      <c r="A3169" s="131">
        <f>IFERROR(__xludf.DUMMYFUNCTION("""COMPUTED_VALUE"""),46187.42858796296)</f>
        <v>46187.42859</v>
      </c>
      <c r="B3169" s="126">
        <f>IFERROR(__xludf.DUMMYFUNCTION("""COMPUTED_VALUE"""),46187.0)</f>
        <v>46187</v>
      </c>
      <c r="C3169" s="122" t="str">
        <f>IFERROR(__xludf.DUMMYFUNCTION("""COMPUTED_VALUE"""),"TIRE")</f>
        <v>TIRE</v>
      </c>
      <c r="D3169" s="122" t="str">
        <f>IFERROR(__xludf.DUMMYFUNCTION("""COMPUTED_VALUE"""),"TireTown")</f>
        <v>TireTown</v>
      </c>
      <c r="E3169" s="122">
        <f>IFERROR(__xludf.DUMMYFUNCTION("""COMPUTED_VALUE"""),93.43)</f>
        <v>93.43</v>
      </c>
      <c r="F3169" s="122">
        <f>IFERROR(__xludf.DUMMYFUNCTION("""COMPUTED_VALUE"""),0.0048)</f>
        <v>0.0048</v>
      </c>
    </row>
    <row r="3170">
      <c r="A3170" s="131">
        <f>IFERROR(__xludf.DUMMYFUNCTION("""COMPUTED_VALUE"""),46187.42858796296)</f>
        <v>46187.42859</v>
      </c>
      <c r="B3170" s="126">
        <f>IFERROR(__xludf.DUMMYFUNCTION("""COMPUTED_VALUE"""),46187.0)</f>
        <v>46187</v>
      </c>
      <c r="C3170" s="122" t="str">
        <f>IFERROR(__xludf.DUMMYFUNCTION("""COMPUTED_VALUE"""),"BIKE")</f>
        <v>BIKE</v>
      </c>
      <c r="D3170" s="122" t="str">
        <f>IFERROR(__xludf.DUMMYFUNCTION("""COMPUTED_VALUE"""),"BikeBox")</f>
        <v>BikeBox</v>
      </c>
      <c r="E3170" s="122">
        <f>IFERROR(__xludf.DUMMYFUNCTION("""COMPUTED_VALUE"""),53.07)</f>
        <v>53.07</v>
      </c>
      <c r="F3170" s="122">
        <f>IFERROR(__xludf.DUMMYFUNCTION("""COMPUTED_VALUE"""),-0.0043)</f>
        <v>-0.0043</v>
      </c>
    </row>
    <row r="3171">
      <c r="A3171" s="131">
        <f>IFERROR(__xludf.DUMMYFUNCTION("""COMPUTED_VALUE"""),46187.42858796296)</f>
        <v>46187.42859</v>
      </c>
      <c r="B3171" s="126">
        <f>IFERROR(__xludf.DUMMYFUNCTION("""COMPUTED_VALUE"""),46187.0)</f>
        <v>46187</v>
      </c>
      <c r="C3171" s="122" t="str">
        <f>IFERROR(__xludf.DUMMYFUNCTION("""COMPUTED_VALUE"""),"WASH")</f>
        <v>WASH</v>
      </c>
      <c r="D3171" s="122" t="str">
        <f>IFERROR(__xludf.DUMMYFUNCTION("""COMPUTED_VALUE"""),"CarWash Co")</f>
        <v>CarWash Co</v>
      </c>
      <c r="E3171" s="122">
        <f>IFERROR(__xludf.DUMMYFUNCTION("""COMPUTED_VALUE"""),120.96)</f>
        <v>120.96</v>
      </c>
      <c r="F3171" s="122">
        <f>IFERROR(__xludf.DUMMYFUNCTION("""COMPUTED_VALUE"""),0.0014)</f>
        <v>0.0014</v>
      </c>
    </row>
    <row r="3172">
      <c r="A3172" s="131">
        <f>IFERROR(__xludf.DUMMYFUNCTION("""COMPUTED_VALUE"""),46187.42858796296)</f>
        <v>46187.42859</v>
      </c>
      <c r="B3172" s="126">
        <f>IFERROR(__xludf.DUMMYFUNCTION("""COMPUTED_VALUE"""),46187.0)</f>
        <v>46187</v>
      </c>
      <c r="C3172" s="122" t="str">
        <f>IFERROR(__xludf.DUMMYFUNCTION("""COMPUTED_VALUE"""),"GBND")</f>
        <v>GBND</v>
      </c>
      <c r="D3172" s="122" t="str">
        <f>IFERROR(__xludf.DUMMYFUNCTION("""COMPUTED_VALUE"""),"Classroom Government Bond")</f>
        <v>Classroom Government Bond</v>
      </c>
      <c r="E3172" s="122">
        <f>IFERROR(__xludf.DUMMYFUNCTION("""COMPUTED_VALUE"""),101.03)</f>
        <v>101.03</v>
      </c>
      <c r="F3172" s="122">
        <f>IFERROR(__xludf.DUMMYFUNCTION("""COMPUTED_VALUE"""),0.0)</f>
        <v>0</v>
      </c>
    </row>
    <row r="3173">
      <c r="A3173" s="131">
        <f>IFERROR(__xludf.DUMMYFUNCTION("""COMPUTED_VALUE"""),46187.42858796296)</f>
        <v>46187.42859</v>
      </c>
      <c r="B3173" s="126">
        <f>IFERROR(__xludf.DUMMYFUNCTION("""COMPUTED_VALUE"""),46187.0)</f>
        <v>46187</v>
      </c>
      <c r="C3173" s="122" t="str">
        <f>IFERROR(__xludf.DUMMYFUNCTION("""COMPUTED_VALUE"""),"SBND")</f>
        <v>SBND</v>
      </c>
      <c r="D3173" s="122" t="str">
        <f>IFERROR(__xludf.DUMMYFUNCTION("""COMPUTED_VALUE"""),"School Savings Bond")</f>
        <v>School Savings Bond</v>
      </c>
      <c r="E3173" s="122">
        <f>IFERROR(__xludf.DUMMYFUNCTION("""COMPUTED_VALUE"""),99.53)</f>
        <v>99.53</v>
      </c>
      <c r="F3173" s="122">
        <f>IFERROR(__xludf.DUMMYFUNCTION("""COMPUTED_VALUE"""),3.0E-4)</f>
        <v>0.0003</v>
      </c>
    </row>
    <row r="3174">
      <c r="A3174" s="131">
        <f>IFERROR(__xludf.DUMMYFUNCTION("""COMPUTED_VALUE"""),46187.42858796296)</f>
        <v>46187.42859</v>
      </c>
      <c r="B3174" s="126">
        <f>IFERROR(__xludf.DUMMYFUNCTION("""COMPUTED_VALUE"""),46187.0)</f>
        <v>46187</v>
      </c>
      <c r="C3174" s="122" t="str">
        <f>IFERROR(__xludf.DUMMYFUNCTION("""COMPUTED_VALUE"""),"CBND")</f>
        <v>CBND</v>
      </c>
      <c r="D3174" s="122" t="str">
        <f>IFERROR(__xludf.DUMMYFUNCTION("""COMPUTED_VALUE"""),"Corporate Classroom Bond")</f>
        <v>Corporate Classroom Bond</v>
      </c>
      <c r="E3174" s="122">
        <f>IFERROR(__xludf.DUMMYFUNCTION("""COMPUTED_VALUE"""),97.72)</f>
        <v>97.72</v>
      </c>
      <c r="F3174" s="122">
        <f>IFERROR(__xludf.DUMMYFUNCTION("""COMPUTED_VALUE"""),-1.0E-4)</f>
        <v>-0.0001</v>
      </c>
    </row>
    <row r="3175">
      <c r="A3175" s="131">
        <f>IFERROR(__xludf.DUMMYFUNCTION("""COMPUTED_VALUE"""),46187.42858796296)</f>
        <v>46187.42859</v>
      </c>
      <c r="B3175" s="126">
        <f>IFERROR(__xludf.DUMMYFUNCTION("""COMPUTED_VALUE"""),46187.0)</f>
        <v>46187</v>
      </c>
      <c r="C3175" s="122" t="str">
        <f>IFERROR(__xludf.DUMMYFUNCTION("""COMPUTED_VALUE"""),"TBIL")</f>
        <v>TBIL</v>
      </c>
      <c r="D3175" s="122" t="str">
        <f>IFERROR(__xludf.DUMMYFUNCTION("""COMPUTED_VALUE"""),"Treasury Bill")</f>
        <v>Treasury Bill</v>
      </c>
      <c r="E3175" s="122">
        <f>IFERROR(__xludf.DUMMYFUNCTION("""COMPUTED_VALUE"""),98.03)</f>
        <v>98.03</v>
      </c>
      <c r="F3175" s="122">
        <f>IFERROR(__xludf.DUMMYFUNCTION("""COMPUTED_VALUE"""),2.0E-4)</f>
        <v>0.0002</v>
      </c>
    </row>
    <row r="3176">
      <c r="A3176" s="131">
        <f>IFERROR(__xludf.DUMMYFUNCTION("""COMPUTED_VALUE"""),46187.42858796296)</f>
        <v>46187.42859</v>
      </c>
      <c r="B3176" s="126">
        <f>IFERROR(__xludf.DUMMYFUNCTION("""COMPUTED_VALUE"""),46187.0)</f>
        <v>46187</v>
      </c>
      <c r="C3176" s="122" t="str">
        <f>IFERROR(__xludf.DUMMYFUNCTION("""COMPUTED_VALUE"""),"IBND")</f>
        <v>IBND</v>
      </c>
      <c r="D3176" s="122" t="str">
        <f>IFERROR(__xludf.DUMMYFUNCTION("""COMPUTED_VALUE"""),"Inflation Protected Bond")</f>
        <v>Inflation Protected Bond</v>
      </c>
      <c r="E3176" s="122">
        <f>IFERROR(__xludf.DUMMYFUNCTION("""COMPUTED_VALUE"""),100.7)</f>
        <v>100.7</v>
      </c>
      <c r="F3176" s="122">
        <f>IFERROR(__xludf.DUMMYFUNCTION("""COMPUTED_VALUE"""),2.0E-4)</f>
        <v>0.0002</v>
      </c>
    </row>
    <row r="3177">
      <c r="A3177" s="131">
        <f>IFERROR(__xludf.DUMMYFUNCTION("""COMPUTED_VALUE"""),46187.43005787037)</f>
        <v>46187.43006</v>
      </c>
      <c r="B3177" s="126">
        <f>IFERROR(__xludf.DUMMYFUNCTION("""COMPUTED_VALUE"""),46187.0)</f>
        <v>46187</v>
      </c>
      <c r="C3177" s="130">
        <f>IFERROR(__xludf.DUMMYFUNCTION("""COMPUTED_VALUE"""),0.43005787037037035)</f>
        <v>0.4300578704</v>
      </c>
      <c r="D3177" s="122" t="str">
        <f>IFERROR(__xludf.DUMMYFUNCTION("""COMPUTED_VALUE"""),"SNAX")</f>
        <v>SNAX</v>
      </c>
      <c r="E3177" s="122" t="str">
        <f>IFERROR(__xludf.DUMMYFUNCTION("""COMPUTED_VALUE"""),"MICA Snacks")</f>
        <v>MICA Snacks</v>
      </c>
      <c r="F3177" s="122" t="str">
        <f>IFERROR(__xludf.DUMMYFUNCTION("""COMPUTED_VALUE"""),"Consumer Goods")</f>
        <v>Consumer Goods</v>
      </c>
    </row>
    <row r="3178">
      <c r="A3178" s="131">
        <f>IFERROR(__xludf.DUMMYFUNCTION("""COMPUTED_VALUE"""),46187.43005787037)</f>
        <v>46187.43006</v>
      </c>
      <c r="B3178" s="126">
        <f>IFERROR(__xludf.DUMMYFUNCTION("""COMPUTED_VALUE"""),46187.0)</f>
        <v>46187</v>
      </c>
      <c r="C3178" s="130">
        <f>IFERROR(__xludf.DUMMYFUNCTION("""COMPUTED_VALUE"""),0.43005787037037035)</f>
        <v>0.4300578704</v>
      </c>
      <c r="D3178" s="122" t="str">
        <f>IFERROR(__xludf.DUMMYFUNCTION("""COMPUTED_VALUE"""),"RAMN")</f>
        <v>RAMN</v>
      </c>
      <c r="E3178" s="122" t="str">
        <f>IFERROR(__xludf.DUMMYFUNCTION("""COMPUTED_VALUE"""),"Ramen Republic")</f>
        <v>Ramen Republic</v>
      </c>
      <c r="F3178" s="122" t="str">
        <f>IFERROR(__xludf.DUMMYFUNCTION("""COMPUTED_VALUE"""),"Food")</f>
        <v>Food</v>
      </c>
    </row>
    <row r="3179">
      <c r="A3179" s="131">
        <f>IFERROR(__xludf.DUMMYFUNCTION("""COMPUTED_VALUE"""),46187.43005787037)</f>
        <v>46187.43006</v>
      </c>
      <c r="B3179" s="126">
        <f>IFERROR(__xludf.DUMMYFUNCTION("""COMPUTED_VALUE"""),46187.0)</f>
        <v>46187</v>
      </c>
      <c r="C3179" s="130">
        <f>IFERROR(__xludf.DUMMYFUNCTION("""COMPUTED_VALUE"""),0.43005787037037035)</f>
        <v>0.4300578704</v>
      </c>
      <c r="D3179" s="122" t="str">
        <f>IFERROR(__xludf.DUMMYFUNCTION("""COMPUTED_VALUE"""),"COLA")</f>
        <v>COLA</v>
      </c>
      <c r="E3179" s="122" t="str">
        <f>IFERROR(__xludf.DUMMYFUNCTION("""COMPUTED_VALUE"""),"K-Pop Cola")</f>
        <v>K-Pop Cola</v>
      </c>
      <c r="F3179" s="122" t="str">
        <f>IFERROR(__xludf.DUMMYFUNCTION("""COMPUTED_VALUE"""),"Beverage")</f>
        <v>Beverage</v>
      </c>
    </row>
    <row r="3180">
      <c r="A3180" s="131">
        <f>IFERROR(__xludf.DUMMYFUNCTION("""COMPUTED_VALUE"""),46187.43005787037)</f>
        <v>46187.43006</v>
      </c>
      <c r="B3180" s="126">
        <f>IFERROR(__xludf.DUMMYFUNCTION("""COMPUTED_VALUE"""),46187.0)</f>
        <v>46187</v>
      </c>
      <c r="C3180" s="130">
        <f>IFERROR(__xludf.DUMMYFUNCTION("""COMPUTED_VALUE"""),0.43005787037037035)</f>
        <v>0.4300578704</v>
      </c>
      <c r="D3180" s="122" t="str">
        <f>IFERROR(__xludf.DUMMYFUNCTION("""COMPUTED_VALUE"""),"CHIP")</f>
        <v>CHIP</v>
      </c>
      <c r="E3180" s="122" t="str">
        <f>IFERROR(__xludf.DUMMYFUNCTION("""COMPUTED_VALUE"""),"Chip Empire")</f>
        <v>Chip Empire</v>
      </c>
      <c r="F3180" s="122" t="str">
        <f>IFERROR(__xludf.DUMMYFUNCTION("""COMPUTED_VALUE"""),"Consumer Goods")</f>
        <v>Consumer Goods</v>
      </c>
    </row>
    <row r="3181">
      <c r="A3181" s="131">
        <f>IFERROR(__xludf.DUMMYFUNCTION("""COMPUTED_VALUE"""),46187.43005787037)</f>
        <v>46187.43006</v>
      </c>
      <c r="B3181" s="126">
        <f>IFERROR(__xludf.DUMMYFUNCTION("""COMPUTED_VALUE"""),46187.0)</f>
        <v>46187</v>
      </c>
      <c r="C3181" s="130">
        <f>IFERROR(__xludf.DUMMYFUNCTION("""COMPUTED_VALUE"""),0.43005787037037035)</f>
        <v>0.4300578704</v>
      </c>
      <c r="D3181" s="122" t="str">
        <f>IFERROR(__xludf.DUMMYFUNCTION("""COMPUTED_VALUE"""),"CAND")</f>
        <v>CAND</v>
      </c>
      <c r="E3181" s="122" t="str">
        <f>IFERROR(__xludf.DUMMYFUNCTION("""COMPUTED_VALUE"""),"Candy Capital")</f>
        <v>Candy Capital</v>
      </c>
      <c r="F3181" s="122" t="str">
        <f>IFERROR(__xludf.DUMMYFUNCTION("""COMPUTED_VALUE"""),"Consumer Goods")</f>
        <v>Consumer Goods</v>
      </c>
    </row>
    <row r="3182">
      <c r="A3182" s="131">
        <f>IFERROR(__xludf.DUMMYFUNCTION("""COMPUTED_VALUE"""),46187.43005787037)</f>
        <v>46187.43006</v>
      </c>
      <c r="B3182" s="126">
        <f>IFERROR(__xludf.DUMMYFUNCTION("""COMPUTED_VALUE"""),46187.0)</f>
        <v>46187</v>
      </c>
      <c r="C3182" s="130">
        <f>IFERROR(__xludf.DUMMYFUNCTION("""COMPUTED_VALUE"""),0.43005787037037035)</f>
        <v>0.4300578704</v>
      </c>
      <c r="D3182" s="122" t="str">
        <f>IFERROR(__xludf.DUMMYFUNCTION("""COMPUTED_VALUE"""),"TECH")</f>
        <v>TECH</v>
      </c>
      <c r="E3182" s="122" t="str">
        <f>IFERROR(__xludf.DUMMYFUNCTION("""COMPUTED_VALUE"""),"Dragon Tech")</f>
        <v>Dragon Tech</v>
      </c>
      <c r="F3182" s="122" t="str">
        <f>IFERROR(__xludf.DUMMYFUNCTION("""COMPUTED_VALUE"""),"Technology")</f>
        <v>Technology</v>
      </c>
    </row>
    <row r="3183">
      <c r="A3183" s="131">
        <f>IFERROR(__xludf.DUMMYFUNCTION("""COMPUTED_VALUE"""),46187.43005787037)</f>
        <v>46187.43006</v>
      </c>
      <c r="B3183" s="126">
        <f>IFERROR(__xludf.DUMMYFUNCTION("""COMPUTED_VALUE"""),46187.0)</f>
        <v>46187</v>
      </c>
      <c r="C3183" s="130">
        <f>IFERROR(__xludf.DUMMYFUNCTION("""COMPUTED_VALUE"""),0.43005787037037035)</f>
        <v>0.4300578704</v>
      </c>
      <c r="D3183" s="122" t="str">
        <f>IFERROR(__xludf.DUMMYFUNCTION("""COMPUTED_VALUE"""),"AIBO")</f>
        <v>AIBO</v>
      </c>
      <c r="E3183" s="122" t="str">
        <f>IFERROR(__xludf.DUMMYFUNCTION("""COMPUTED_VALUE"""),"Homework AI")</f>
        <v>Homework AI</v>
      </c>
      <c r="F3183" s="122" t="str">
        <f>IFERROR(__xludf.DUMMYFUNCTION("""COMPUTED_VALUE"""),"Technology")</f>
        <v>Technology</v>
      </c>
    </row>
    <row r="3184">
      <c r="A3184" s="131">
        <f>IFERROR(__xludf.DUMMYFUNCTION("""COMPUTED_VALUE"""),46187.43005787037)</f>
        <v>46187.43006</v>
      </c>
      <c r="B3184" s="126">
        <f>IFERROR(__xludf.DUMMYFUNCTION("""COMPUTED_VALUE"""),46187.0)</f>
        <v>46187</v>
      </c>
      <c r="C3184" s="130">
        <f>IFERROR(__xludf.DUMMYFUNCTION("""COMPUTED_VALUE"""),0.43005787037037035)</f>
        <v>0.4300578704</v>
      </c>
      <c r="D3184" s="122" t="str">
        <f>IFERROR(__xludf.DUMMYFUNCTION("""COMPUTED_VALUE"""),"GAME")</f>
        <v>GAME</v>
      </c>
      <c r="E3184" s="122" t="str">
        <f>IFERROR(__xludf.DUMMYFUNCTION("""COMPUTED_VALUE"""),"GameBox Media")</f>
        <v>GameBox Media</v>
      </c>
      <c r="F3184" s="122" t="str">
        <f>IFERROR(__xludf.DUMMYFUNCTION("""COMPUTED_VALUE"""),"Entertainment")</f>
        <v>Entertainment</v>
      </c>
    </row>
    <row r="3185">
      <c r="A3185" s="131">
        <f>IFERROR(__xludf.DUMMYFUNCTION("""COMPUTED_VALUE"""),46187.43005787037)</f>
        <v>46187.43006</v>
      </c>
      <c r="B3185" s="126">
        <f>IFERROR(__xludf.DUMMYFUNCTION("""COMPUTED_VALUE"""),46187.0)</f>
        <v>46187</v>
      </c>
      <c r="C3185" s="130">
        <f>IFERROR(__xludf.DUMMYFUNCTION("""COMPUTED_VALUE"""),0.43005787037037035)</f>
        <v>0.4300578704</v>
      </c>
      <c r="D3185" s="122" t="str">
        <f>IFERROR(__xludf.DUMMYFUNCTION("""COMPUTED_VALUE"""),"VRSE")</f>
        <v>VRSE</v>
      </c>
      <c r="E3185" s="122" t="str">
        <f>IFERROR(__xludf.DUMMYFUNCTION("""COMPUTED_VALUE"""),"VerseVR")</f>
        <v>VerseVR</v>
      </c>
      <c r="F3185" s="122" t="str">
        <f>IFERROR(__xludf.DUMMYFUNCTION("""COMPUTED_VALUE"""),"Technology")</f>
        <v>Technology</v>
      </c>
    </row>
    <row r="3186">
      <c r="A3186" s="131">
        <f>IFERROR(__xludf.DUMMYFUNCTION("""COMPUTED_VALUE"""),46187.43005787037)</f>
        <v>46187.43006</v>
      </c>
      <c r="B3186" s="126">
        <f>IFERROR(__xludf.DUMMYFUNCTION("""COMPUTED_VALUE"""),46187.0)</f>
        <v>46187</v>
      </c>
      <c r="C3186" s="130">
        <f>IFERROR(__xludf.DUMMYFUNCTION("""COMPUTED_VALUE"""),0.43005787037037035)</f>
        <v>0.4300578704</v>
      </c>
      <c r="D3186" s="122" t="str">
        <f>IFERROR(__xludf.DUMMYFUNCTION("""COMPUTED_VALUE"""),"BYTE")</f>
        <v>BYTE</v>
      </c>
      <c r="E3186" s="122" t="str">
        <f>IFERROR(__xludf.DUMMYFUNCTION("""COMPUTED_VALUE"""),"ByteWorks")</f>
        <v>ByteWorks</v>
      </c>
      <c r="F3186" s="122" t="str">
        <f>IFERROR(__xludf.DUMMYFUNCTION("""COMPUTED_VALUE"""),"Technology")</f>
        <v>Technology</v>
      </c>
    </row>
    <row r="3187">
      <c r="A3187" s="131">
        <f>IFERROR(__xludf.DUMMYFUNCTION("""COMPUTED_VALUE"""),46187.43005787037)</f>
        <v>46187.43006</v>
      </c>
      <c r="B3187" s="126">
        <f>IFERROR(__xludf.DUMMYFUNCTION("""COMPUTED_VALUE"""),46187.0)</f>
        <v>46187</v>
      </c>
      <c r="C3187" s="130">
        <f>IFERROR(__xludf.DUMMYFUNCTION("""COMPUTED_VALUE"""),0.43005787037037035)</f>
        <v>0.4300578704</v>
      </c>
      <c r="D3187" s="122" t="str">
        <f>IFERROR(__xludf.DUMMYFUNCTION("""COMPUTED_VALUE"""),"BANK")</f>
        <v>BANK</v>
      </c>
      <c r="E3187" s="122" t="str">
        <f>IFERROR(__xludf.DUMMYFUNCTION("""COMPUTED_VALUE"""),"Tiger Bank")</f>
        <v>Tiger Bank</v>
      </c>
      <c r="F3187" s="122" t="str">
        <f>IFERROR(__xludf.DUMMYFUNCTION("""COMPUTED_VALUE"""),"Finance")</f>
        <v>Finance</v>
      </c>
    </row>
    <row r="3188">
      <c r="A3188" s="131">
        <f>IFERROR(__xludf.DUMMYFUNCTION("""COMPUTED_VALUE"""),46187.43005787037)</f>
        <v>46187.43006</v>
      </c>
      <c r="B3188" s="126">
        <f>IFERROR(__xludf.DUMMYFUNCTION("""COMPUTED_VALUE"""),46187.0)</f>
        <v>46187</v>
      </c>
      <c r="C3188" s="130">
        <f>IFERROR(__xludf.DUMMYFUNCTION("""COMPUTED_VALUE"""),0.43005787037037035)</f>
        <v>0.4300578704</v>
      </c>
      <c r="D3188" s="122" t="str">
        <f>IFERROR(__xludf.DUMMYFUNCTION("""COMPUTED_VALUE"""),"CRED")</f>
        <v>CRED</v>
      </c>
      <c r="E3188" s="122" t="str">
        <f>IFERROR(__xludf.DUMMYFUNCTION("""COMPUTED_VALUE"""),"Credit Castle")</f>
        <v>Credit Castle</v>
      </c>
      <c r="F3188" s="122" t="str">
        <f>IFERROR(__xludf.DUMMYFUNCTION("""COMPUTED_VALUE"""),"Finance")</f>
        <v>Finance</v>
      </c>
    </row>
    <row r="3189">
      <c r="A3189" s="131">
        <f>IFERROR(__xludf.DUMMYFUNCTION("""COMPUTED_VALUE"""),46187.43005787037)</f>
        <v>46187.43006</v>
      </c>
      <c r="B3189" s="126">
        <f>IFERROR(__xludf.DUMMYFUNCTION("""COMPUTED_VALUE"""),46187.0)</f>
        <v>46187</v>
      </c>
      <c r="C3189" s="130">
        <f>IFERROR(__xludf.DUMMYFUNCTION("""COMPUTED_VALUE"""),0.43005787037037035)</f>
        <v>0.4300578704</v>
      </c>
      <c r="D3189" s="122" t="str">
        <f>IFERROR(__xludf.DUMMYFUNCTION("""COMPUTED_VALUE"""),"BOND")</f>
        <v>BOND</v>
      </c>
      <c r="E3189" s="122" t="str">
        <f>IFERROR(__xludf.DUMMYFUNCTION("""COMPUTED_VALUE"""),"BondBridge")</f>
        <v>BondBridge</v>
      </c>
      <c r="F3189" s="122" t="str">
        <f>IFERROR(__xludf.DUMMYFUNCTION("""COMPUTED_VALUE"""),"Finance")</f>
        <v>Finance</v>
      </c>
    </row>
    <row r="3190">
      <c r="A3190" s="131">
        <f>IFERROR(__xludf.DUMMYFUNCTION("""COMPUTED_VALUE"""),46187.43005787037)</f>
        <v>46187.43006</v>
      </c>
      <c r="B3190" s="126">
        <f>IFERROR(__xludf.DUMMYFUNCTION("""COMPUTED_VALUE"""),46187.0)</f>
        <v>46187</v>
      </c>
      <c r="C3190" s="130">
        <f>IFERROR(__xludf.DUMMYFUNCTION("""COMPUTED_VALUE"""),0.43005787037037035)</f>
        <v>0.4300578704</v>
      </c>
      <c r="D3190" s="122" t="str">
        <f>IFERROR(__xludf.DUMMYFUNCTION("""COMPUTED_VALUE"""),"INSR")</f>
        <v>INSR</v>
      </c>
      <c r="E3190" s="122" t="str">
        <f>IFERROR(__xludf.DUMMYFUNCTION("""COMPUTED_VALUE"""),"Shield Insurance")</f>
        <v>Shield Insurance</v>
      </c>
      <c r="F3190" s="122" t="str">
        <f>IFERROR(__xludf.DUMMYFUNCTION("""COMPUTED_VALUE"""),"Finance")</f>
        <v>Finance</v>
      </c>
    </row>
    <row r="3191">
      <c r="A3191" s="131">
        <f>IFERROR(__xludf.DUMMYFUNCTION("""COMPUTED_VALUE"""),46187.43005787037)</f>
        <v>46187.43006</v>
      </c>
      <c r="B3191" s="126">
        <f>IFERROR(__xludf.DUMMYFUNCTION("""COMPUTED_VALUE"""),46187.0)</f>
        <v>46187</v>
      </c>
      <c r="C3191" s="130">
        <f>IFERROR(__xludf.DUMMYFUNCTION("""COMPUTED_VALUE"""),0.43005787037037035)</f>
        <v>0.4300578704</v>
      </c>
      <c r="D3191" s="122" t="str">
        <f>IFERROR(__xludf.DUMMYFUNCTION("""COMPUTED_VALUE"""),"LOAN")</f>
        <v>LOAN</v>
      </c>
      <c r="E3191" s="122" t="str">
        <f>IFERROR(__xludf.DUMMYFUNCTION("""COMPUTED_VALUE"""),"LoanLab")</f>
        <v>LoanLab</v>
      </c>
      <c r="F3191" s="122" t="str">
        <f>IFERROR(__xludf.DUMMYFUNCTION("""COMPUTED_VALUE"""),"Finance")</f>
        <v>Finance</v>
      </c>
    </row>
    <row r="3192">
      <c r="A3192" s="131">
        <f>IFERROR(__xludf.DUMMYFUNCTION("""COMPUTED_VALUE"""),46187.43005787037)</f>
        <v>46187.43006</v>
      </c>
      <c r="B3192" s="126">
        <f>IFERROR(__xludf.DUMMYFUNCTION("""COMPUTED_VALUE"""),46187.0)</f>
        <v>46187</v>
      </c>
      <c r="C3192" s="130">
        <f>IFERROR(__xludf.DUMMYFUNCTION("""COMPUTED_VALUE"""),0.43005787037037035)</f>
        <v>0.4300578704</v>
      </c>
      <c r="D3192" s="122" t="str">
        <f>IFERROR(__xludf.DUMMYFUNCTION("""COMPUTED_VALUE"""),"LUXE")</f>
        <v>LUXE</v>
      </c>
      <c r="E3192" s="122" t="str">
        <f>IFERROR(__xludf.DUMMYFUNCTION("""COMPUTED_VALUE"""),"Luxury Locker")</f>
        <v>Luxury Locker</v>
      </c>
      <c r="F3192" s="122" t="str">
        <f>IFERROR(__xludf.DUMMYFUNCTION("""COMPUTED_VALUE"""),"Luxury Goods")</f>
        <v>Luxury Goods</v>
      </c>
    </row>
    <row r="3193">
      <c r="A3193" s="131">
        <f>IFERROR(__xludf.DUMMYFUNCTION("""COMPUTED_VALUE"""),46187.43005787037)</f>
        <v>46187.43006</v>
      </c>
      <c r="B3193" s="126">
        <f>IFERROR(__xludf.DUMMYFUNCTION("""COMPUTED_VALUE"""),46187.0)</f>
        <v>46187</v>
      </c>
      <c r="C3193" s="130">
        <f>IFERROR(__xludf.DUMMYFUNCTION("""COMPUTED_VALUE"""),0.43005787037037035)</f>
        <v>0.4300578704</v>
      </c>
      <c r="D3193" s="122" t="str">
        <f>IFERROR(__xludf.DUMMYFUNCTION("""COMPUTED_VALUE"""),"DRIP")</f>
        <v>DRIP</v>
      </c>
      <c r="E3193" s="122" t="str">
        <f>IFERROR(__xludf.DUMMYFUNCTION("""COMPUTED_VALUE"""),"Drip Streetwear")</f>
        <v>Drip Streetwear</v>
      </c>
      <c r="F3193" s="122" t="str">
        <f>IFERROR(__xludf.DUMMYFUNCTION("""COMPUTED_VALUE"""),"Fashion")</f>
        <v>Fashion</v>
      </c>
    </row>
    <row r="3194">
      <c r="A3194" s="131">
        <f>IFERROR(__xludf.DUMMYFUNCTION("""COMPUTED_VALUE"""),46187.43005787037)</f>
        <v>46187.43006</v>
      </c>
      <c r="B3194" s="126">
        <f>IFERROR(__xludf.DUMMYFUNCTION("""COMPUTED_VALUE"""),46187.0)</f>
        <v>46187</v>
      </c>
      <c r="C3194" s="130">
        <f>IFERROR(__xludf.DUMMYFUNCTION("""COMPUTED_VALUE"""),0.43005787037037035)</f>
        <v>0.4300578704</v>
      </c>
      <c r="D3194" s="122" t="str">
        <f>IFERROR(__xludf.DUMMYFUNCTION("""COMPUTED_VALUE"""),"KICK")</f>
        <v>KICK</v>
      </c>
      <c r="E3194" s="122" t="str">
        <f>IFERROR(__xludf.DUMMYFUNCTION("""COMPUTED_VALUE"""),"KickDrop Sneakers")</f>
        <v>KickDrop Sneakers</v>
      </c>
      <c r="F3194" s="122" t="str">
        <f>IFERROR(__xludf.DUMMYFUNCTION("""COMPUTED_VALUE"""),"Fashion")</f>
        <v>Fashion</v>
      </c>
    </row>
    <row r="3195">
      <c r="A3195" s="131">
        <f>IFERROR(__xludf.DUMMYFUNCTION("""COMPUTED_VALUE"""),46187.43005787037)</f>
        <v>46187.43006</v>
      </c>
      <c r="B3195" s="126">
        <f>IFERROR(__xludf.DUMMYFUNCTION("""COMPUTED_VALUE"""),46187.0)</f>
        <v>46187</v>
      </c>
      <c r="C3195" s="130">
        <f>IFERROR(__xludf.DUMMYFUNCTION("""COMPUTED_VALUE"""),0.43005787037037035)</f>
        <v>0.4300578704</v>
      </c>
      <c r="D3195" s="122" t="str">
        <f>IFERROR(__xludf.DUMMYFUNCTION("""COMPUTED_VALUE"""),"GLAM")</f>
        <v>GLAM</v>
      </c>
      <c r="E3195" s="122" t="str">
        <f>IFERROR(__xludf.DUMMYFUNCTION("""COMPUTED_VALUE"""),"Glow Cosmetics")</f>
        <v>Glow Cosmetics</v>
      </c>
      <c r="F3195" s="122" t="str">
        <f>IFERROR(__xludf.DUMMYFUNCTION("""COMPUTED_VALUE"""),"Fashion")</f>
        <v>Fashion</v>
      </c>
    </row>
    <row r="3196">
      <c r="A3196" s="131">
        <f>IFERROR(__xludf.DUMMYFUNCTION("""COMPUTED_VALUE"""),46187.43005787037)</f>
        <v>46187.43006</v>
      </c>
      <c r="B3196" s="126">
        <f>IFERROR(__xludf.DUMMYFUNCTION("""COMPUTED_VALUE"""),46187.0)</f>
        <v>46187</v>
      </c>
      <c r="C3196" s="130">
        <f>IFERROR(__xludf.DUMMYFUNCTION("""COMPUTED_VALUE"""),0.43005787037037035)</f>
        <v>0.4300578704</v>
      </c>
      <c r="D3196" s="122" t="str">
        <f>IFERROR(__xludf.DUMMYFUNCTION("""COMPUTED_VALUE"""),"BAGG")</f>
        <v>BAGG</v>
      </c>
      <c r="E3196" s="122" t="str">
        <f>IFERROR(__xludf.DUMMYFUNCTION("""COMPUTED_VALUE"""),"BagVault")</f>
        <v>BagVault</v>
      </c>
      <c r="F3196" s="122" t="str">
        <f>IFERROR(__xludf.DUMMYFUNCTION("""COMPUTED_VALUE"""),"Fashion")</f>
        <v>Fashion</v>
      </c>
    </row>
    <row r="3197">
      <c r="A3197" s="131">
        <f>IFERROR(__xludf.DUMMYFUNCTION("""COMPUTED_VALUE"""),46187.43005787037)</f>
        <v>46187.43006</v>
      </c>
      <c r="B3197" s="126">
        <f>IFERROR(__xludf.DUMMYFUNCTION("""COMPUTED_VALUE"""),46187.0)</f>
        <v>46187</v>
      </c>
      <c r="C3197" s="130">
        <f>IFERROR(__xludf.DUMMYFUNCTION("""COMPUTED_VALUE"""),0.43005787037037035)</f>
        <v>0.4300578704</v>
      </c>
      <c r="D3197" s="122" t="str">
        <f>IFERROR(__xludf.DUMMYFUNCTION("""COMPUTED_VALUE"""),"FAST")</f>
        <v>FAST</v>
      </c>
      <c r="E3197" s="122" t="str">
        <f>IFERROR(__xludf.DUMMYFUNCTION("""COMPUTED_VALUE"""),"Flash Logistics")</f>
        <v>Flash Logistics</v>
      </c>
      <c r="F3197" s="122" t="str">
        <f>IFERROR(__xludf.DUMMYFUNCTION("""COMPUTED_VALUE"""),"Logistics")</f>
        <v>Logistics</v>
      </c>
    </row>
    <row r="3198">
      <c r="A3198" s="131">
        <f>IFERROR(__xludf.DUMMYFUNCTION("""COMPUTED_VALUE"""),46187.43005787037)</f>
        <v>46187.43006</v>
      </c>
      <c r="B3198" s="126">
        <f>IFERROR(__xludf.DUMMYFUNCTION("""COMPUTED_VALUE"""),46187.0)</f>
        <v>46187</v>
      </c>
      <c r="C3198" s="130">
        <f>IFERROR(__xludf.DUMMYFUNCTION("""COMPUTED_VALUE"""),0.43005787037037035)</f>
        <v>0.4300578704</v>
      </c>
      <c r="D3198" s="122" t="str">
        <f>IFERROR(__xludf.DUMMYFUNCTION("""COMPUTED_VALUE"""),"SHIP")</f>
        <v>SHIP</v>
      </c>
      <c r="E3198" s="122" t="str">
        <f>IFERROR(__xludf.DUMMYFUNCTION("""COMPUTED_VALUE"""),"Seoul Shipping")</f>
        <v>Seoul Shipping</v>
      </c>
      <c r="F3198" s="122" t="str">
        <f>IFERROR(__xludf.DUMMYFUNCTION("""COMPUTED_VALUE"""),"Logistics")</f>
        <v>Logistics</v>
      </c>
    </row>
    <row r="3199">
      <c r="A3199" s="131">
        <f>IFERROR(__xludf.DUMMYFUNCTION("""COMPUTED_VALUE"""),46187.43005787037)</f>
        <v>46187.43006</v>
      </c>
      <c r="B3199" s="126">
        <f>IFERROR(__xludf.DUMMYFUNCTION("""COMPUTED_VALUE"""),46187.0)</f>
        <v>46187</v>
      </c>
      <c r="C3199" s="130">
        <f>IFERROR(__xludf.DUMMYFUNCTION("""COMPUTED_VALUE"""),0.43005787037037035)</f>
        <v>0.4300578704</v>
      </c>
      <c r="D3199" s="122" t="str">
        <f>IFERROR(__xludf.DUMMYFUNCTION("""COMPUTED_VALUE"""),"DRON")</f>
        <v>DRON</v>
      </c>
      <c r="E3199" s="122" t="str">
        <f>IFERROR(__xludf.DUMMYFUNCTION("""COMPUTED_VALUE"""),"DroneDrop")</f>
        <v>DroneDrop</v>
      </c>
      <c r="F3199" s="122" t="str">
        <f>IFERROR(__xludf.DUMMYFUNCTION("""COMPUTED_VALUE"""),"Logistics")</f>
        <v>Logistics</v>
      </c>
    </row>
    <row r="3200">
      <c r="A3200" s="131">
        <f>IFERROR(__xludf.DUMMYFUNCTION("""COMPUTED_VALUE"""),46187.43005787037)</f>
        <v>46187.43006</v>
      </c>
      <c r="B3200" s="126">
        <f>IFERROR(__xludf.DUMMYFUNCTION("""COMPUTED_VALUE"""),46187.0)</f>
        <v>46187</v>
      </c>
      <c r="C3200" s="130">
        <f>IFERROR(__xludf.DUMMYFUNCTION("""COMPUTED_VALUE"""),0.43005787037037035)</f>
        <v>0.4300578704</v>
      </c>
      <c r="D3200" s="122" t="str">
        <f>IFERROR(__xludf.DUMMYFUNCTION("""COMPUTED_VALUE"""),"RIDE")</f>
        <v>RIDE</v>
      </c>
      <c r="E3200" s="122" t="str">
        <f>IFERROR(__xludf.DUMMYFUNCTION("""COMPUTED_VALUE"""),"QuickRide")</f>
        <v>QuickRide</v>
      </c>
      <c r="F3200" s="122" t="str">
        <f>IFERROR(__xludf.DUMMYFUNCTION("""COMPUTED_VALUE"""),"Transportation")</f>
        <v>Transportation</v>
      </c>
    </row>
    <row r="3201">
      <c r="A3201" s="131">
        <f>IFERROR(__xludf.DUMMYFUNCTION("""COMPUTED_VALUE"""),46187.43005787037)</f>
        <v>46187.43006</v>
      </c>
      <c r="B3201" s="126">
        <f>IFERROR(__xludf.DUMMYFUNCTION("""COMPUTED_VALUE"""),46187.0)</f>
        <v>46187</v>
      </c>
      <c r="C3201" s="130">
        <f>IFERROR(__xludf.DUMMYFUNCTION("""COMPUTED_VALUE"""),0.43005787037037035)</f>
        <v>0.4300578704</v>
      </c>
      <c r="D3201" s="122" t="str">
        <f>IFERROR(__xludf.DUMMYFUNCTION("""COMPUTED_VALUE"""),"RAIL")</f>
        <v>RAIL</v>
      </c>
      <c r="E3201" s="122" t="str">
        <f>IFERROR(__xludf.DUMMYFUNCTION("""COMPUTED_VALUE"""),"MetroRail Corp")</f>
        <v>MetroRail Corp</v>
      </c>
      <c r="F3201" s="122" t="str">
        <f>IFERROR(__xludf.DUMMYFUNCTION("""COMPUTED_VALUE"""),"Transportation")</f>
        <v>Transportation</v>
      </c>
    </row>
    <row r="3202">
      <c r="A3202" s="131">
        <f>IFERROR(__xludf.DUMMYFUNCTION("""COMPUTED_VALUE"""),46187.43005787037)</f>
        <v>46187.43006</v>
      </c>
      <c r="B3202" s="126">
        <f>IFERROR(__xludf.DUMMYFUNCTION("""COMPUTED_VALUE"""),46187.0)</f>
        <v>46187</v>
      </c>
      <c r="C3202" s="130">
        <f>IFERROR(__xludf.DUMMYFUNCTION("""COMPUTED_VALUE"""),0.43005787037037035)</f>
        <v>0.4300578704</v>
      </c>
      <c r="D3202" s="122" t="str">
        <f>IFERROR(__xludf.DUMMYFUNCTION("""COMPUTED_VALUE"""),"MEDX")</f>
        <v>MEDX</v>
      </c>
      <c r="E3202" s="122" t="str">
        <f>IFERROR(__xludf.DUMMYFUNCTION("""COMPUTED_VALUE"""),"MediCore")</f>
        <v>MediCore</v>
      </c>
      <c r="F3202" s="122" t="str">
        <f>IFERROR(__xludf.DUMMYFUNCTION("""COMPUTED_VALUE"""),"Healthcare")</f>
        <v>Healthcare</v>
      </c>
    </row>
    <row r="3203">
      <c r="A3203" s="131">
        <f>IFERROR(__xludf.DUMMYFUNCTION("""COMPUTED_VALUE"""),46187.43005787037)</f>
        <v>46187.43006</v>
      </c>
      <c r="B3203" s="126">
        <f>IFERROR(__xludf.DUMMYFUNCTION("""COMPUTED_VALUE"""),46187.0)</f>
        <v>46187</v>
      </c>
      <c r="C3203" s="130">
        <f>IFERROR(__xludf.DUMMYFUNCTION("""COMPUTED_VALUE"""),0.43005787037037035)</f>
        <v>0.4300578704</v>
      </c>
      <c r="D3203" s="122" t="str">
        <f>IFERROR(__xludf.DUMMYFUNCTION("""COMPUTED_VALUE"""),"GYMX")</f>
        <v>GYMX</v>
      </c>
      <c r="E3203" s="122" t="str">
        <f>IFERROR(__xludf.DUMMYFUNCTION("""COMPUTED_VALUE"""),"GymX Fitness")</f>
        <v>GymX Fitness</v>
      </c>
      <c r="F3203" s="122" t="str">
        <f>IFERROR(__xludf.DUMMYFUNCTION("""COMPUTED_VALUE"""),"Healthcare")</f>
        <v>Healthcare</v>
      </c>
    </row>
    <row r="3204">
      <c r="A3204" s="131">
        <f>IFERROR(__xludf.DUMMYFUNCTION("""COMPUTED_VALUE"""),46187.43005787037)</f>
        <v>46187.43006</v>
      </c>
      <c r="B3204" s="126">
        <f>IFERROR(__xludf.DUMMYFUNCTION("""COMPUTED_VALUE"""),46187.0)</f>
        <v>46187</v>
      </c>
      <c r="C3204" s="130">
        <f>IFERROR(__xludf.DUMMYFUNCTION("""COMPUTED_VALUE"""),0.43005787037037035)</f>
        <v>0.4300578704</v>
      </c>
      <c r="D3204" s="122" t="str">
        <f>IFERROR(__xludf.DUMMYFUNCTION("""COMPUTED_VALUE"""),"VITA")</f>
        <v>VITA</v>
      </c>
      <c r="E3204" s="122" t="str">
        <f>IFERROR(__xludf.DUMMYFUNCTION("""COMPUTED_VALUE"""),"VitaPlus")</f>
        <v>VitaPlus</v>
      </c>
      <c r="F3204" s="122" t="str">
        <f>IFERROR(__xludf.DUMMYFUNCTION("""COMPUTED_VALUE"""),"Healthcare")</f>
        <v>Healthcare</v>
      </c>
    </row>
    <row r="3205">
      <c r="A3205" s="131">
        <f>IFERROR(__xludf.DUMMYFUNCTION("""COMPUTED_VALUE"""),46187.43005787037)</f>
        <v>46187.43006</v>
      </c>
      <c r="B3205" s="126">
        <f>IFERROR(__xludf.DUMMYFUNCTION("""COMPUTED_VALUE"""),46187.0)</f>
        <v>46187</v>
      </c>
      <c r="C3205" s="130">
        <f>IFERROR(__xludf.DUMMYFUNCTION("""COMPUTED_VALUE"""),0.43005787037037035)</f>
        <v>0.4300578704</v>
      </c>
      <c r="D3205" s="122" t="str">
        <f>IFERROR(__xludf.DUMMYFUNCTION("""COMPUTED_VALUE"""),"CARE")</f>
        <v>CARE</v>
      </c>
      <c r="E3205" s="122" t="str">
        <f>IFERROR(__xludf.DUMMYFUNCTION("""COMPUTED_VALUE"""),"CareCloud")</f>
        <v>CareCloud</v>
      </c>
      <c r="F3205" s="122" t="str">
        <f>IFERROR(__xludf.DUMMYFUNCTION("""COMPUTED_VALUE"""),"Healthcare")</f>
        <v>Healthcare</v>
      </c>
    </row>
    <row r="3206">
      <c r="A3206" s="131">
        <f>IFERROR(__xludf.DUMMYFUNCTION("""COMPUTED_VALUE"""),46187.43005787037)</f>
        <v>46187.43006</v>
      </c>
      <c r="B3206" s="126">
        <f>IFERROR(__xludf.DUMMYFUNCTION("""COMPUTED_VALUE"""),46187.0)</f>
        <v>46187</v>
      </c>
      <c r="C3206" s="130">
        <f>IFERROR(__xludf.DUMMYFUNCTION("""COMPUTED_VALUE"""),0.43005787037037035)</f>
        <v>0.4300578704</v>
      </c>
      <c r="D3206" s="122" t="str">
        <f>IFERROR(__xludf.DUMMYFUNCTION("""COMPUTED_VALUE"""),"DENT")</f>
        <v>DENT</v>
      </c>
      <c r="E3206" s="122" t="str">
        <f>IFERROR(__xludf.DUMMYFUNCTION("""COMPUTED_VALUE"""),"SmileWorks")</f>
        <v>SmileWorks</v>
      </c>
      <c r="F3206" s="122" t="str">
        <f>IFERROR(__xludf.DUMMYFUNCTION("""COMPUTED_VALUE"""),"Healthcare")</f>
        <v>Healthcare</v>
      </c>
    </row>
    <row r="3207">
      <c r="A3207" s="131">
        <f>IFERROR(__xludf.DUMMYFUNCTION("""COMPUTED_VALUE"""),46187.43005787037)</f>
        <v>46187.43006</v>
      </c>
      <c r="B3207" s="126">
        <f>IFERROR(__xludf.DUMMYFUNCTION("""COMPUTED_VALUE"""),46187.0)</f>
        <v>46187</v>
      </c>
      <c r="C3207" s="130">
        <f>IFERROR(__xludf.DUMMYFUNCTION("""COMPUTED_VALUE"""),0.43005787037037035)</f>
        <v>0.4300578704</v>
      </c>
      <c r="D3207" s="122" t="str">
        <f>IFERROR(__xludf.DUMMYFUNCTION("""COMPUTED_VALUE"""),"EDUX")</f>
        <v>EDUX</v>
      </c>
      <c r="E3207" s="122" t="str">
        <f>IFERROR(__xludf.DUMMYFUNCTION("""COMPUTED_VALUE"""),"EduMax Learning")</f>
        <v>EduMax Learning</v>
      </c>
      <c r="F3207" s="122" t="str">
        <f>IFERROR(__xludf.DUMMYFUNCTION("""COMPUTED_VALUE"""),"Education")</f>
        <v>Education</v>
      </c>
    </row>
    <row r="3208">
      <c r="A3208" s="131">
        <f>IFERROR(__xludf.DUMMYFUNCTION("""COMPUTED_VALUE"""),46187.43005787037)</f>
        <v>46187.43006</v>
      </c>
      <c r="B3208" s="126">
        <f>IFERROR(__xludf.DUMMYFUNCTION("""COMPUTED_VALUE"""),46187.0)</f>
        <v>46187</v>
      </c>
      <c r="C3208" s="130">
        <f>IFERROR(__xludf.DUMMYFUNCTION("""COMPUTED_VALUE"""),0.43005787037037035)</f>
        <v>0.4300578704</v>
      </c>
      <c r="D3208" s="122" t="str">
        <f>IFERROR(__xludf.DUMMYFUNCTION("""COMPUTED_VALUE"""),"BOOK")</f>
        <v>BOOK</v>
      </c>
      <c r="E3208" s="122" t="str">
        <f>IFERROR(__xludf.DUMMYFUNCTION("""COMPUTED_VALUE"""),"BookBridge")</f>
        <v>BookBridge</v>
      </c>
      <c r="F3208" s="122" t="str">
        <f>IFERROR(__xludf.DUMMYFUNCTION("""COMPUTED_VALUE"""),"Education")</f>
        <v>Education</v>
      </c>
    </row>
    <row r="3209">
      <c r="A3209" s="131">
        <f>IFERROR(__xludf.DUMMYFUNCTION("""COMPUTED_VALUE"""),46187.43005787037)</f>
        <v>46187.43006</v>
      </c>
      <c r="B3209" s="126">
        <f>IFERROR(__xludf.DUMMYFUNCTION("""COMPUTED_VALUE"""),46187.0)</f>
        <v>46187</v>
      </c>
      <c r="C3209" s="130">
        <f>IFERROR(__xludf.DUMMYFUNCTION("""COMPUTED_VALUE"""),0.43005787037037035)</f>
        <v>0.4300578704</v>
      </c>
      <c r="D3209" s="122" t="str">
        <f>IFERROR(__xludf.DUMMYFUNCTION("""COMPUTED_VALUE"""),"TUTR")</f>
        <v>TUTR</v>
      </c>
      <c r="E3209" s="122" t="str">
        <f>IFERROR(__xludf.DUMMYFUNCTION("""COMPUTED_VALUE"""),"TutorTown")</f>
        <v>TutorTown</v>
      </c>
      <c r="F3209" s="122" t="str">
        <f>IFERROR(__xludf.DUMMYFUNCTION("""COMPUTED_VALUE"""),"Education")</f>
        <v>Education</v>
      </c>
    </row>
    <row r="3210">
      <c r="A3210" s="131">
        <f>IFERROR(__xludf.DUMMYFUNCTION("""COMPUTED_VALUE"""),46187.43005787037)</f>
        <v>46187.43006</v>
      </c>
      <c r="B3210" s="126">
        <f>IFERROR(__xludf.DUMMYFUNCTION("""COMPUTED_VALUE"""),46187.0)</f>
        <v>46187</v>
      </c>
      <c r="C3210" s="130">
        <f>IFERROR(__xludf.DUMMYFUNCTION("""COMPUTED_VALUE"""),0.43005787037037035)</f>
        <v>0.4300578704</v>
      </c>
      <c r="D3210" s="122" t="str">
        <f>IFERROR(__xludf.DUMMYFUNCTION("""COMPUTED_VALUE"""),"LANG")</f>
        <v>LANG</v>
      </c>
      <c r="E3210" s="122" t="str">
        <f>IFERROR(__xludf.DUMMYFUNCTION("""COMPUTED_VALUE"""),"LinguaLab")</f>
        <v>LinguaLab</v>
      </c>
      <c r="F3210" s="122" t="str">
        <f>IFERROR(__xludf.DUMMYFUNCTION("""COMPUTED_VALUE"""),"Education")</f>
        <v>Education</v>
      </c>
    </row>
    <row r="3211">
      <c r="A3211" s="131">
        <f>IFERROR(__xludf.DUMMYFUNCTION("""COMPUTED_VALUE"""),46187.43005787037)</f>
        <v>46187.43006</v>
      </c>
      <c r="B3211" s="126">
        <f>IFERROR(__xludf.DUMMYFUNCTION("""COMPUTED_VALUE"""),46187.0)</f>
        <v>46187</v>
      </c>
      <c r="C3211" s="130">
        <f>IFERROR(__xludf.DUMMYFUNCTION("""COMPUTED_VALUE"""),0.43005787037037035)</f>
        <v>0.4300578704</v>
      </c>
      <c r="D3211" s="122" t="str">
        <f>IFERROR(__xludf.DUMMYFUNCTION("""COMPUTED_VALUE"""),"TEST")</f>
        <v>TEST</v>
      </c>
      <c r="E3211" s="122" t="str">
        <f>IFERROR(__xludf.DUMMYFUNCTION("""COMPUTED_VALUE"""),"TestPrep Pro")</f>
        <v>TestPrep Pro</v>
      </c>
      <c r="F3211" s="122" t="str">
        <f>IFERROR(__xludf.DUMMYFUNCTION("""COMPUTED_VALUE"""),"Education")</f>
        <v>Education</v>
      </c>
    </row>
    <row r="3212">
      <c r="A3212" s="131">
        <f>IFERROR(__xludf.DUMMYFUNCTION("""COMPUTED_VALUE"""),46187.43005787037)</f>
        <v>46187.43006</v>
      </c>
      <c r="B3212" s="126">
        <f>IFERROR(__xludf.DUMMYFUNCTION("""COMPUTED_VALUE"""),46187.0)</f>
        <v>46187</v>
      </c>
      <c r="C3212" s="130">
        <f>IFERROR(__xludf.DUMMYFUNCTION("""COMPUTED_VALUE"""),0.43005787037037035)</f>
        <v>0.4300578704</v>
      </c>
      <c r="D3212" s="122" t="str">
        <f>IFERROR(__xludf.DUMMYFUNCTION("""COMPUTED_VALUE"""),"MOVI")</f>
        <v>MOVI</v>
      </c>
      <c r="E3212" s="122" t="str">
        <f>IFERROR(__xludf.DUMMYFUNCTION("""COMPUTED_VALUE"""),"MovieBox")</f>
        <v>MovieBox</v>
      </c>
      <c r="F3212" s="122" t="str">
        <f>IFERROR(__xludf.DUMMYFUNCTION("""COMPUTED_VALUE"""),"Entertainment")</f>
        <v>Entertainment</v>
      </c>
    </row>
    <row r="3213">
      <c r="A3213" s="131">
        <f>IFERROR(__xludf.DUMMYFUNCTION("""COMPUTED_VALUE"""),46187.43005787037)</f>
        <v>46187.43006</v>
      </c>
      <c r="B3213" s="126">
        <f>IFERROR(__xludf.DUMMYFUNCTION("""COMPUTED_VALUE"""),46187.0)</f>
        <v>46187</v>
      </c>
      <c r="C3213" s="130">
        <f>IFERROR(__xludf.DUMMYFUNCTION("""COMPUTED_VALUE"""),0.43005787037037035)</f>
        <v>0.4300578704</v>
      </c>
      <c r="D3213" s="122" t="str">
        <f>IFERROR(__xludf.DUMMYFUNCTION("""COMPUTED_VALUE"""),"MUSC")</f>
        <v>MUSC</v>
      </c>
      <c r="E3213" s="122" t="str">
        <f>IFERROR(__xludf.DUMMYFUNCTION("""COMPUTED_VALUE"""),"MusicWave")</f>
        <v>MusicWave</v>
      </c>
      <c r="F3213" s="122" t="str">
        <f>IFERROR(__xludf.DUMMYFUNCTION("""COMPUTED_VALUE"""),"Entertainment")</f>
        <v>Entertainment</v>
      </c>
    </row>
    <row r="3214">
      <c r="A3214" s="131">
        <f>IFERROR(__xludf.DUMMYFUNCTION("""COMPUTED_VALUE"""),46187.43005787037)</f>
        <v>46187.43006</v>
      </c>
      <c r="B3214" s="126">
        <f>IFERROR(__xludf.DUMMYFUNCTION("""COMPUTED_VALUE"""),46187.0)</f>
        <v>46187</v>
      </c>
      <c r="C3214" s="130">
        <f>IFERROR(__xludf.DUMMYFUNCTION("""COMPUTED_VALUE"""),0.43005787037037035)</f>
        <v>0.4300578704</v>
      </c>
      <c r="D3214" s="122" t="str">
        <f>IFERROR(__xludf.DUMMYFUNCTION("""COMPUTED_VALUE"""),"IDOL")</f>
        <v>IDOL</v>
      </c>
      <c r="E3214" s="122" t="str">
        <f>IFERROR(__xludf.DUMMYFUNCTION("""COMPUTED_VALUE"""),"Idol Agency")</f>
        <v>Idol Agency</v>
      </c>
      <c r="F3214" s="122" t="str">
        <f>IFERROR(__xludf.DUMMYFUNCTION("""COMPUTED_VALUE"""),"Entertainment")</f>
        <v>Entertainment</v>
      </c>
    </row>
    <row r="3215">
      <c r="A3215" s="131">
        <f>IFERROR(__xludf.DUMMYFUNCTION("""COMPUTED_VALUE"""),46187.43005787037)</f>
        <v>46187.43006</v>
      </c>
      <c r="B3215" s="126">
        <f>IFERROR(__xludf.DUMMYFUNCTION("""COMPUTED_VALUE"""),46187.0)</f>
        <v>46187</v>
      </c>
      <c r="C3215" s="130">
        <f>IFERROR(__xludf.DUMMYFUNCTION("""COMPUTED_VALUE"""),0.43005787037037035)</f>
        <v>0.4300578704</v>
      </c>
      <c r="D3215" s="122" t="str">
        <f>IFERROR(__xludf.DUMMYFUNCTION("""COMPUTED_VALUE"""),"MEME")</f>
        <v>MEME</v>
      </c>
      <c r="E3215" s="122" t="str">
        <f>IFERROR(__xludf.DUMMYFUNCTION("""COMPUTED_VALUE"""),"Meme Media")</f>
        <v>Meme Media</v>
      </c>
      <c r="F3215" s="122" t="str">
        <f>IFERROR(__xludf.DUMMYFUNCTION("""COMPUTED_VALUE"""),"Entertainment")</f>
        <v>Entertainment</v>
      </c>
    </row>
    <row r="3216">
      <c r="A3216" s="131">
        <f>IFERROR(__xludf.DUMMYFUNCTION("""COMPUTED_VALUE"""),46187.43005787037)</f>
        <v>46187.43006</v>
      </c>
      <c r="B3216" s="126">
        <f>IFERROR(__xludf.DUMMYFUNCTION("""COMPUTED_VALUE"""),46187.0)</f>
        <v>46187</v>
      </c>
      <c r="C3216" s="130">
        <f>IFERROR(__xludf.DUMMYFUNCTION("""COMPUTED_VALUE"""),0.43005787037037035)</f>
        <v>0.4300578704</v>
      </c>
      <c r="D3216" s="122" t="str">
        <f>IFERROR(__xludf.DUMMYFUNCTION("""COMPUTED_VALUE"""),"STRM")</f>
        <v>STRM</v>
      </c>
      <c r="E3216" s="122" t="str">
        <f>IFERROR(__xludf.DUMMYFUNCTION("""COMPUTED_VALUE"""),"Streamly")</f>
        <v>Streamly</v>
      </c>
      <c r="F3216" s="122" t="str">
        <f>IFERROR(__xludf.DUMMYFUNCTION("""COMPUTED_VALUE"""),"Entertainment")</f>
        <v>Entertainment</v>
      </c>
    </row>
    <row r="3217">
      <c r="A3217" s="131">
        <f>IFERROR(__xludf.DUMMYFUNCTION("""COMPUTED_VALUE"""),46187.43005787037)</f>
        <v>46187.43006</v>
      </c>
      <c r="B3217" s="126">
        <f>IFERROR(__xludf.DUMMYFUNCTION("""COMPUTED_VALUE"""),46187.0)</f>
        <v>46187</v>
      </c>
      <c r="C3217" s="130">
        <f>IFERROR(__xludf.DUMMYFUNCTION("""COMPUTED_VALUE"""),0.43005787037037035)</f>
        <v>0.4300578704</v>
      </c>
      <c r="D3217" s="122" t="str">
        <f>IFERROR(__xludf.DUMMYFUNCTION("""COMPUTED_VALUE"""),"FARM")</f>
        <v>FARM</v>
      </c>
      <c r="E3217" s="122" t="str">
        <f>IFERROR(__xludf.DUMMYFUNCTION("""COMPUTED_VALUE"""),"Future Farms")</f>
        <v>Future Farms</v>
      </c>
      <c r="F3217" s="122" t="str">
        <f>IFERROR(__xludf.DUMMYFUNCTION("""COMPUTED_VALUE"""),"Agriculture")</f>
        <v>Agriculture</v>
      </c>
    </row>
    <row r="3218">
      <c r="A3218" s="131">
        <f>IFERROR(__xludf.DUMMYFUNCTION("""COMPUTED_VALUE"""),46187.43005787037)</f>
        <v>46187.43006</v>
      </c>
      <c r="B3218" s="126">
        <f>IFERROR(__xludf.DUMMYFUNCTION("""COMPUTED_VALUE"""),46187.0)</f>
        <v>46187</v>
      </c>
      <c r="C3218" s="130">
        <f>IFERROR(__xludf.DUMMYFUNCTION("""COMPUTED_VALUE"""),0.43005787037037035)</f>
        <v>0.4300578704</v>
      </c>
      <c r="D3218" s="122" t="str">
        <f>IFERROR(__xludf.DUMMYFUNCTION("""COMPUTED_VALUE"""),"MEAT")</f>
        <v>MEAT</v>
      </c>
      <c r="E3218" s="122" t="str">
        <f>IFERROR(__xludf.DUMMYFUNCTION("""COMPUTED_VALUE"""),"MeatWorks")</f>
        <v>MeatWorks</v>
      </c>
      <c r="F3218" s="122" t="str">
        <f>IFERROR(__xludf.DUMMYFUNCTION("""COMPUTED_VALUE"""),"Food")</f>
        <v>Food</v>
      </c>
    </row>
    <row r="3219">
      <c r="A3219" s="131">
        <f>IFERROR(__xludf.DUMMYFUNCTION("""COMPUTED_VALUE"""),46187.43005787037)</f>
        <v>46187.43006</v>
      </c>
      <c r="B3219" s="126">
        <f>IFERROR(__xludf.DUMMYFUNCTION("""COMPUTED_VALUE"""),46187.0)</f>
        <v>46187</v>
      </c>
      <c r="C3219" s="130">
        <f>IFERROR(__xludf.DUMMYFUNCTION("""COMPUTED_VALUE"""),0.43005787037037035)</f>
        <v>0.4300578704</v>
      </c>
      <c r="D3219" s="122" t="str">
        <f>IFERROR(__xludf.DUMMYFUNCTION("""COMPUTED_VALUE"""),"VEGI")</f>
        <v>VEGI</v>
      </c>
      <c r="E3219" s="122" t="str">
        <f>IFERROR(__xludf.DUMMYFUNCTION("""COMPUTED_VALUE"""),"Green Basket")</f>
        <v>Green Basket</v>
      </c>
      <c r="F3219" s="122" t="str">
        <f>IFERROR(__xludf.DUMMYFUNCTION("""COMPUTED_VALUE"""),"Food")</f>
        <v>Food</v>
      </c>
    </row>
    <row r="3220">
      <c r="A3220" s="131">
        <f>IFERROR(__xludf.DUMMYFUNCTION("""COMPUTED_VALUE"""),46187.43005787037)</f>
        <v>46187.43006</v>
      </c>
      <c r="B3220" s="126">
        <f>IFERROR(__xludf.DUMMYFUNCTION("""COMPUTED_VALUE"""),46187.0)</f>
        <v>46187</v>
      </c>
      <c r="C3220" s="130">
        <f>IFERROR(__xludf.DUMMYFUNCTION("""COMPUTED_VALUE"""),0.43005787037037035)</f>
        <v>0.4300578704</v>
      </c>
      <c r="D3220" s="122" t="str">
        <f>IFERROR(__xludf.DUMMYFUNCTION("""COMPUTED_VALUE"""),"CAFE")</f>
        <v>CAFE</v>
      </c>
      <c r="E3220" s="122" t="str">
        <f>IFERROR(__xludf.DUMMYFUNCTION("""COMPUTED_VALUE"""),"Cafe Cloud")</f>
        <v>Cafe Cloud</v>
      </c>
      <c r="F3220" s="122" t="str">
        <f>IFERROR(__xludf.DUMMYFUNCTION("""COMPUTED_VALUE"""),"Food")</f>
        <v>Food</v>
      </c>
    </row>
    <row r="3221">
      <c r="A3221" s="131">
        <f>IFERROR(__xludf.DUMMYFUNCTION("""COMPUTED_VALUE"""),46187.43005787037)</f>
        <v>46187.43006</v>
      </c>
      <c r="B3221" s="126">
        <f>IFERROR(__xludf.DUMMYFUNCTION("""COMPUTED_VALUE"""),46187.0)</f>
        <v>46187</v>
      </c>
      <c r="C3221" s="130">
        <f>IFERROR(__xludf.DUMMYFUNCTION("""COMPUTED_VALUE"""),0.43005787037037035)</f>
        <v>0.4300578704</v>
      </c>
      <c r="D3221" s="122" t="str">
        <f>IFERROR(__xludf.DUMMYFUNCTION("""COMPUTED_VALUE"""),"BAKE")</f>
        <v>BAKE</v>
      </c>
      <c r="E3221" s="122" t="str">
        <f>IFERROR(__xludf.DUMMYFUNCTION("""COMPUTED_VALUE"""),"BakeHouse")</f>
        <v>BakeHouse</v>
      </c>
      <c r="F3221" s="122" t="str">
        <f>IFERROR(__xludf.DUMMYFUNCTION("""COMPUTED_VALUE"""),"Food")</f>
        <v>Food</v>
      </c>
    </row>
    <row r="3222">
      <c r="A3222" s="131">
        <f>IFERROR(__xludf.DUMMYFUNCTION("""COMPUTED_VALUE"""),46187.43005787037)</f>
        <v>46187.43006</v>
      </c>
      <c r="B3222" s="126">
        <f>IFERROR(__xludf.DUMMYFUNCTION("""COMPUTED_VALUE"""),46187.0)</f>
        <v>46187</v>
      </c>
      <c r="C3222" s="130">
        <f>IFERROR(__xludf.DUMMYFUNCTION("""COMPUTED_VALUE"""),0.43005787037037035)</f>
        <v>0.4300578704</v>
      </c>
      <c r="D3222" s="122" t="str">
        <f>IFERROR(__xludf.DUMMYFUNCTION("""COMPUTED_VALUE"""),"OILX")</f>
        <v>OILX</v>
      </c>
      <c r="E3222" s="122" t="str">
        <f>IFERROR(__xludf.DUMMYFUNCTION("""COMPUTED_VALUE"""),"OilMax Energy")</f>
        <v>OilMax Energy</v>
      </c>
      <c r="F3222" s="122" t="str">
        <f>IFERROR(__xludf.DUMMYFUNCTION("""COMPUTED_VALUE"""),"Energy")</f>
        <v>Energy</v>
      </c>
    </row>
    <row r="3223">
      <c r="A3223" s="131">
        <f>IFERROR(__xludf.DUMMYFUNCTION("""COMPUTED_VALUE"""),46187.43005787037)</f>
        <v>46187.43006</v>
      </c>
      <c r="B3223" s="126">
        <f>IFERROR(__xludf.DUMMYFUNCTION("""COMPUTED_VALUE"""),46187.0)</f>
        <v>46187</v>
      </c>
      <c r="C3223" s="130">
        <f>IFERROR(__xludf.DUMMYFUNCTION("""COMPUTED_VALUE"""),0.43005787037037035)</f>
        <v>0.4300578704</v>
      </c>
      <c r="D3223" s="122" t="str">
        <f>IFERROR(__xludf.DUMMYFUNCTION("""COMPUTED_VALUE"""),"SOLR")</f>
        <v>SOLR</v>
      </c>
      <c r="E3223" s="122" t="str">
        <f>IFERROR(__xludf.DUMMYFUNCTION("""COMPUTED_VALUE"""),"SolarSpark")</f>
        <v>SolarSpark</v>
      </c>
      <c r="F3223" s="122" t="str">
        <f>IFERROR(__xludf.DUMMYFUNCTION("""COMPUTED_VALUE"""),"Energy")</f>
        <v>Energy</v>
      </c>
    </row>
    <row r="3224">
      <c r="A3224" s="131">
        <f>IFERROR(__xludf.DUMMYFUNCTION("""COMPUTED_VALUE"""),46187.43005787037)</f>
        <v>46187.43006</v>
      </c>
      <c r="B3224" s="126">
        <f>IFERROR(__xludf.DUMMYFUNCTION("""COMPUTED_VALUE"""),46187.0)</f>
        <v>46187</v>
      </c>
      <c r="C3224" s="130">
        <f>IFERROR(__xludf.DUMMYFUNCTION("""COMPUTED_VALUE"""),0.43005787037037035)</f>
        <v>0.4300578704</v>
      </c>
      <c r="D3224" s="122" t="str">
        <f>IFERROR(__xludf.DUMMYFUNCTION("""COMPUTED_VALUE"""),"BATT")</f>
        <v>BATT</v>
      </c>
      <c r="E3224" s="122" t="str">
        <f>IFERROR(__xludf.DUMMYFUNCTION("""COMPUTED_VALUE"""),"BatteryBox")</f>
        <v>BatteryBox</v>
      </c>
      <c r="F3224" s="122" t="str">
        <f>IFERROR(__xludf.DUMMYFUNCTION("""COMPUTED_VALUE"""),"Energy")</f>
        <v>Energy</v>
      </c>
    </row>
    <row r="3225">
      <c r="A3225" s="131">
        <f>IFERROR(__xludf.DUMMYFUNCTION("""COMPUTED_VALUE"""),46187.43005787037)</f>
        <v>46187.43006</v>
      </c>
      <c r="B3225" s="126">
        <f>IFERROR(__xludf.DUMMYFUNCTION("""COMPUTED_VALUE"""),46187.0)</f>
        <v>46187</v>
      </c>
      <c r="C3225" s="130">
        <f>IFERROR(__xludf.DUMMYFUNCTION("""COMPUTED_VALUE"""),0.43005787037037035)</f>
        <v>0.4300578704</v>
      </c>
      <c r="D3225" s="122" t="str">
        <f>IFERROR(__xludf.DUMMYFUNCTION("""COMPUTED_VALUE"""),"WIND")</f>
        <v>WIND</v>
      </c>
      <c r="E3225" s="122" t="str">
        <f>IFERROR(__xludf.DUMMYFUNCTION("""COMPUTED_VALUE"""),"WindWorks")</f>
        <v>WindWorks</v>
      </c>
      <c r="F3225" s="122" t="str">
        <f>IFERROR(__xludf.DUMMYFUNCTION("""COMPUTED_VALUE"""),"Energy")</f>
        <v>Energy</v>
      </c>
    </row>
    <row r="3226">
      <c r="A3226" s="131">
        <f>IFERROR(__xludf.DUMMYFUNCTION("""COMPUTED_VALUE"""),46187.43005787037)</f>
        <v>46187.43006</v>
      </c>
      <c r="B3226" s="126">
        <f>IFERROR(__xludf.DUMMYFUNCTION("""COMPUTED_VALUE"""),46187.0)</f>
        <v>46187</v>
      </c>
      <c r="C3226" s="130">
        <f>IFERROR(__xludf.DUMMYFUNCTION("""COMPUTED_VALUE"""),0.43005787037037035)</f>
        <v>0.4300578704</v>
      </c>
      <c r="D3226" s="122" t="str">
        <f>IFERROR(__xludf.DUMMYFUNCTION("""COMPUTED_VALUE"""),"GRID")</f>
        <v>GRID</v>
      </c>
      <c r="E3226" s="122" t="str">
        <f>IFERROR(__xludf.DUMMYFUNCTION("""COMPUTED_VALUE"""),"GridPower")</f>
        <v>GridPower</v>
      </c>
      <c r="F3226" s="122" t="str">
        <f>IFERROR(__xludf.DUMMYFUNCTION("""COMPUTED_VALUE"""),"Energy")</f>
        <v>Energy</v>
      </c>
    </row>
    <row r="3227">
      <c r="A3227" s="131">
        <f>IFERROR(__xludf.DUMMYFUNCTION("""COMPUTED_VALUE"""),46187.43005787037)</f>
        <v>46187.43006</v>
      </c>
      <c r="B3227" s="126">
        <f>IFERROR(__xludf.DUMMYFUNCTION("""COMPUTED_VALUE"""),46187.0)</f>
        <v>46187</v>
      </c>
      <c r="C3227" s="130">
        <f>IFERROR(__xludf.DUMMYFUNCTION("""COMPUTED_VALUE"""),0.43005787037037035)</f>
        <v>0.4300578704</v>
      </c>
      <c r="D3227" s="122" t="str">
        <f>IFERROR(__xludf.DUMMYFUNCTION("""COMPUTED_VALUE"""),"HOME")</f>
        <v>HOME</v>
      </c>
      <c r="E3227" s="122" t="str">
        <f>IFERROR(__xludf.DUMMYFUNCTION("""COMPUTED_VALUE"""),"HomeHub")</f>
        <v>HomeHub</v>
      </c>
      <c r="F3227" s="122" t="str">
        <f>IFERROR(__xludf.DUMMYFUNCTION("""COMPUTED_VALUE"""),"Real Estate")</f>
        <v>Real Estate</v>
      </c>
    </row>
    <row r="3228">
      <c r="A3228" s="131">
        <f>IFERROR(__xludf.DUMMYFUNCTION("""COMPUTED_VALUE"""),46187.43005787037)</f>
        <v>46187.43006</v>
      </c>
      <c r="B3228" s="126">
        <f>IFERROR(__xludf.DUMMYFUNCTION("""COMPUTED_VALUE"""),46187.0)</f>
        <v>46187</v>
      </c>
      <c r="C3228" s="130">
        <f>IFERROR(__xludf.DUMMYFUNCTION("""COMPUTED_VALUE"""),0.43005787037037035)</f>
        <v>0.4300578704</v>
      </c>
      <c r="D3228" s="122" t="str">
        <f>IFERROR(__xludf.DUMMYFUNCTION("""COMPUTED_VALUE"""),"RENT")</f>
        <v>RENT</v>
      </c>
      <c r="E3228" s="122" t="str">
        <f>IFERROR(__xludf.DUMMYFUNCTION("""COMPUTED_VALUE"""),"RentRight")</f>
        <v>RentRight</v>
      </c>
      <c r="F3228" s="122" t="str">
        <f>IFERROR(__xludf.DUMMYFUNCTION("""COMPUTED_VALUE"""),"Real Estate")</f>
        <v>Real Estate</v>
      </c>
    </row>
    <row r="3229">
      <c r="A3229" s="131">
        <f>IFERROR(__xludf.DUMMYFUNCTION("""COMPUTED_VALUE"""),46187.43005787037)</f>
        <v>46187.43006</v>
      </c>
      <c r="B3229" s="126">
        <f>IFERROR(__xludf.DUMMYFUNCTION("""COMPUTED_VALUE"""),46187.0)</f>
        <v>46187</v>
      </c>
      <c r="C3229" s="130">
        <f>IFERROR(__xludf.DUMMYFUNCTION("""COMPUTED_VALUE"""),0.43005787037037035)</f>
        <v>0.4300578704</v>
      </c>
      <c r="D3229" s="122" t="str">
        <f>IFERROR(__xludf.DUMMYFUNCTION("""COMPUTED_VALUE"""),"MALL")</f>
        <v>MALL</v>
      </c>
      <c r="E3229" s="122" t="str">
        <f>IFERROR(__xludf.DUMMYFUNCTION("""COMPUTED_VALUE"""),"MegaMall")</f>
        <v>MegaMall</v>
      </c>
      <c r="F3229" s="122" t="str">
        <f>IFERROR(__xludf.DUMMYFUNCTION("""COMPUTED_VALUE"""),"Real Estate")</f>
        <v>Real Estate</v>
      </c>
    </row>
    <row r="3230">
      <c r="A3230" s="131">
        <f>IFERROR(__xludf.DUMMYFUNCTION("""COMPUTED_VALUE"""),46187.43005787037)</f>
        <v>46187.43006</v>
      </c>
      <c r="B3230" s="126">
        <f>IFERROR(__xludf.DUMMYFUNCTION("""COMPUTED_VALUE"""),46187.0)</f>
        <v>46187</v>
      </c>
      <c r="C3230" s="130">
        <f>IFERROR(__xludf.DUMMYFUNCTION("""COMPUTED_VALUE"""),0.43005787037037035)</f>
        <v>0.4300578704</v>
      </c>
      <c r="D3230" s="122" t="str">
        <f>IFERROR(__xludf.DUMMYFUNCTION("""COMPUTED_VALUE"""),"HOTL")</f>
        <v>HOTL</v>
      </c>
      <c r="E3230" s="122" t="str">
        <f>IFERROR(__xludf.DUMMYFUNCTION("""COMPUTED_VALUE"""),"HotelHive")</f>
        <v>HotelHive</v>
      </c>
      <c r="F3230" s="122" t="str">
        <f>IFERROR(__xludf.DUMMYFUNCTION("""COMPUTED_VALUE"""),"Real Estate")</f>
        <v>Real Estate</v>
      </c>
    </row>
    <row r="3231">
      <c r="A3231" s="131">
        <f>IFERROR(__xludf.DUMMYFUNCTION("""COMPUTED_VALUE"""),46187.43005787037)</f>
        <v>46187.43006</v>
      </c>
      <c r="B3231" s="126">
        <f>IFERROR(__xludf.DUMMYFUNCTION("""COMPUTED_VALUE"""),46187.0)</f>
        <v>46187</v>
      </c>
      <c r="C3231" s="130">
        <f>IFERROR(__xludf.DUMMYFUNCTION("""COMPUTED_VALUE"""),0.43005787037037035)</f>
        <v>0.4300578704</v>
      </c>
      <c r="D3231" s="122" t="str">
        <f>IFERROR(__xludf.DUMMYFUNCTION("""COMPUTED_VALUE"""),"LAND")</f>
        <v>LAND</v>
      </c>
      <c r="E3231" s="122" t="str">
        <f>IFERROR(__xludf.DUMMYFUNCTION("""COMPUTED_VALUE"""),"LandLink")</f>
        <v>LandLink</v>
      </c>
      <c r="F3231" s="122" t="str">
        <f>IFERROR(__xludf.DUMMYFUNCTION("""COMPUTED_VALUE"""),"Real Estate")</f>
        <v>Real Estate</v>
      </c>
    </row>
    <row r="3232">
      <c r="A3232" s="131">
        <f>IFERROR(__xludf.DUMMYFUNCTION("""COMPUTED_VALUE"""),46187.43005787037)</f>
        <v>46187.43006</v>
      </c>
      <c r="B3232" s="126">
        <f>IFERROR(__xludf.DUMMYFUNCTION("""COMPUTED_VALUE"""),46187.0)</f>
        <v>46187</v>
      </c>
      <c r="C3232" s="130">
        <f>IFERROR(__xludf.DUMMYFUNCTION("""COMPUTED_VALUE"""),0.43005787037037035)</f>
        <v>0.4300578704</v>
      </c>
      <c r="D3232" s="122" t="str">
        <f>IFERROR(__xludf.DUMMYFUNCTION("""COMPUTED_VALUE"""),"CARS")</f>
        <v>CARS</v>
      </c>
      <c r="E3232" s="122" t="str">
        <f>IFERROR(__xludf.DUMMYFUNCTION("""COMPUTED_VALUE"""),"AutoArena")</f>
        <v>AutoArena</v>
      </c>
      <c r="F3232" s="122" t="str">
        <f>IFERROR(__xludf.DUMMYFUNCTION("""COMPUTED_VALUE"""),"Automotive")</f>
        <v>Automotive</v>
      </c>
    </row>
    <row r="3233">
      <c r="A3233" s="131">
        <f>IFERROR(__xludf.DUMMYFUNCTION("""COMPUTED_VALUE"""),46187.43005787037)</f>
        <v>46187.43006</v>
      </c>
      <c r="B3233" s="126">
        <f>IFERROR(__xludf.DUMMYFUNCTION("""COMPUTED_VALUE"""),46187.0)</f>
        <v>46187</v>
      </c>
      <c r="C3233" s="130">
        <f>IFERROR(__xludf.DUMMYFUNCTION("""COMPUTED_VALUE"""),0.43005787037037035)</f>
        <v>0.4300578704</v>
      </c>
      <c r="D3233" s="122" t="str">
        <f>IFERROR(__xludf.DUMMYFUNCTION("""COMPUTED_VALUE"""),"EVGO")</f>
        <v>EVGO</v>
      </c>
      <c r="E3233" s="122" t="str">
        <f>IFERROR(__xludf.DUMMYFUNCTION("""COMPUTED_VALUE"""),"EVGo Motors")</f>
        <v>EVGo Motors</v>
      </c>
      <c r="F3233" s="122" t="str">
        <f>IFERROR(__xludf.DUMMYFUNCTION("""COMPUTED_VALUE"""),"Automotive")</f>
        <v>Automotive</v>
      </c>
    </row>
    <row r="3234">
      <c r="A3234" s="131">
        <f>IFERROR(__xludf.DUMMYFUNCTION("""COMPUTED_VALUE"""),46187.43005787037)</f>
        <v>46187.43006</v>
      </c>
      <c r="B3234" s="126">
        <f>IFERROR(__xludf.DUMMYFUNCTION("""COMPUTED_VALUE"""),46187.0)</f>
        <v>46187</v>
      </c>
      <c r="C3234" s="130">
        <f>IFERROR(__xludf.DUMMYFUNCTION("""COMPUTED_VALUE"""),0.43005787037037035)</f>
        <v>0.4300578704</v>
      </c>
      <c r="D3234" s="122" t="str">
        <f>IFERROR(__xludf.DUMMYFUNCTION("""COMPUTED_VALUE"""),"TIRE")</f>
        <v>TIRE</v>
      </c>
      <c r="E3234" s="122" t="str">
        <f>IFERROR(__xludf.DUMMYFUNCTION("""COMPUTED_VALUE"""),"TireTown")</f>
        <v>TireTown</v>
      </c>
      <c r="F3234" s="122" t="str">
        <f>IFERROR(__xludf.DUMMYFUNCTION("""COMPUTED_VALUE"""),"Automotive")</f>
        <v>Automotive</v>
      </c>
    </row>
    <row r="3235">
      <c r="A3235" s="131">
        <f>IFERROR(__xludf.DUMMYFUNCTION("""COMPUTED_VALUE"""),46187.43005787037)</f>
        <v>46187.43006</v>
      </c>
      <c r="B3235" s="126">
        <f>IFERROR(__xludf.DUMMYFUNCTION("""COMPUTED_VALUE"""),46187.0)</f>
        <v>46187</v>
      </c>
      <c r="C3235" s="130">
        <f>IFERROR(__xludf.DUMMYFUNCTION("""COMPUTED_VALUE"""),0.43005787037037035)</f>
        <v>0.4300578704</v>
      </c>
      <c r="D3235" s="122" t="str">
        <f>IFERROR(__xludf.DUMMYFUNCTION("""COMPUTED_VALUE"""),"BIKE")</f>
        <v>BIKE</v>
      </c>
      <c r="E3235" s="122" t="str">
        <f>IFERROR(__xludf.DUMMYFUNCTION("""COMPUTED_VALUE"""),"BikeBox")</f>
        <v>BikeBox</v>
      </c>
      <c r="F3235" s="122" t="str">
        <f>IFERROR(__xludf.DUMMYFUNCTION("""COMPUTED_VALUE"""),"Automotive")</f>
        <v>Automotive</v>
      </c>
    </row>
    <row r="3236">
      <c r="A3236" s="131">
        <f>IFERROR(__xludf.DUMMYFUNCTION("""COMPUTED_VALUE"""),46187.43005787037)</f>
        <v>46187.43006</v>
      </c>
      <c r="B3236" s="126">
        <f>IFERROR(__xludf.DUMMYFUNCTION("""COMPUTED_VALUE"""),46187.0)</f>
        <v>46187</v>
      </c>
      <c r="C3236" s="130">
        <f>IFERROR(__xludf.DUMMYFUNCTION("""COMPUTED_VALUE"""),0.43005787037037035)</f>
        <v>0.4300578704</v>
      </c>
      <c r="D3236" s="122" t="str">
        <f>IFERROR(__xludf.DUMMYFUNCTION("""COMPUTED_VALUE"""),"WASH")</f>
        <v>WASH</v>
      </c>
      <c r="E3236" s="122" t="str">
        <f>IFERROR(__xludf.DUMMYFUNCTION("""COMPUTED_VALUE"""),"CarWash Co")</f>
        <v>CarWash Co</v>
      </c>
      <c r="F3236" s="122" t="str">
        <f>IFERROR(__xludf.DUMMYFUNCTION("""COMPUTED_VALUE"""),"Automotive")</f>
        <v>Automotive</v>
      </c>
    </row>
    <row r="3237">
      <c r="A3237" s="131">
        <f>IFERROR(__xludf.DUMMYFUNCTION("""COMPUTED_VALUE"""),46187.43005787037)</f>
        <v>46187.43006</v>
      </c>
      <c r="B3237" s="126">
        <f>IFERROR(__xludf.DUMMYFUNCTION("""COMPUTED_VALUE"""),46187.0)</f>
        <v>46187</v>
      </c>
      <c r="C3237" s="130">
        <f>IFERROR(__xludf.DUMMYFUNCTION("""COMPUTED_VALUE"""),0.43005787037037035)</f>
        <v>0.4300578704</v>
      </c>
      <c r="D3237" s="122" t="str">
        <f>IFERROR(__xludf.DUMMYFUNCTION("""COMPUTED_VALUE"""),"GBND")</f>
        <v>GBND</v>
      </c>
      <c r="E3237" s="122" t="str">
        <f>IFERROR(__xludf.DUMMYFUNCTION("""COMPUTED_VALUE"""),"Classroom Government Bond")</f>
        <v>Classroom Government Bond</v>
      </c>
      <c r="F3237" s="122" t="str">
        <f>IFERROR(__xludf.DUMMYFUNCTION("""COMPUTED_VALUE"""),"Bond")</f>
        <v>Bond</v>
      </c>
    </row>
    <row r="3238">
      <c r="A3238" s="131">
        <f>IFERROR(__xludf.DUMMYFUNCTION("""COMPUTED_VALUE"""),46187.43005787037)</f>
        <v>46187.43006</v>
      </c>
      <c r="B3238" s="126">
        <f>IFERROR(__xludf.DUMMYFUNCTION("""COMPUTED_VALUE"""),46187.0)</f>
        <v>46187</v>
      </c>
      <c r="C3238" s="130">
        <f>IFERROR(__xludf.DUMMYFUNCTION("""COMPUTED_VALUE"""),0.43005787037037035)</f>
        <v>0.4300578704</v>
      </c>
      <c r="D3238" s="122" t="str">
        <f>IFERROR(__xludf.DUMMYFUNCTION("""COMPUTED_VALUE"""),"SBND")</f>
        <v>SBND</v>
      </c>
      <c r="E3238" s="122" t="str">
        <f>IFERROR(__xludf.DUMMYFUNCTION("""COMPUTED_VALUE"""),"School Savings Bond")</f>
        <v>School Savings Bond</v>
      </c>
      <c r="F3238" s="122" t="str">
        <f>IFERROR(__xludf.DUMMYFUNCTION("""COMPUTED_VALUE"""),"Bond")</f>
        <v>Bond</v>
      </c>
    </row>
    <row r="3239">
      <c r="A3239" s="131">
        <f>IFERROR(__xludf.DUMMYFUNCTION("""COMPUTED_VALUE"""),46187.43005787037)</f>
        <v>46187.43006</v>
      </c>
      <c r="B3239" s="126">
        <f>IFERROR(__xludf.DUMMYFUNCTION("""COMPUTED_VALUE"""),46187.0)</f>
        <v>46187</v>
      </c>
      <c r="C3239" s="130">
        <f>IFERROR(__xludf.DUMMYFUNCTION("""COMPUTED_VALUE"""),0.43005787037037035)</f>
        <v>0.4300578704</v>
      </c>
      <c r="D3239" s="122" t="str">
        <f>IFERROR(__xludf.DUMMYFUNCTION("""COMPUTED_VALUE"""),"CBND")</f>
        <v>CBND</v>
      </c>
      <c r="E3239" s="122" t="str">
        <f>IFERROR(__xludf.DUMMYFUNCTION("""COMPUTED_VALUE"""),"Corporate Classroom Bond")</f>
        <v>Corporate Classroom Bond</v>
      </c>
      <c r="F3239" s="122" t="str">
        <f>IFERROR(__xludf.DUMMYFUNCTION("""COMPUTED_VALUE"""),"Bond")</f>
        <v>Bond</v>
      </c>
    </row>
    <row r="3240">
      <c r="A3240" s="131">
        <f>IFERROR(__xludf.DUMMYFUNCTION("""COMPUTED_VALUE"""),46187.43005787037)</f>
        <v>46187.43006</v>
      </c>
      <c r="B3240" s="126">
        <f>IFERROR(__xludf.DUMMYFUNCTION("""COMPUTED_VALUE"""),46187.0)</f>
        <v>46187</v>
      </c>
      <c r="C3240" s="130">
        <f>IFERROR(__xludf.DUMMYFUNCTION("""COMPUTED_VALUE"""),0.43005787037037035)</f>
        <v>0.4300578704</v>
      </c>
      <c r="D3240" s="122" t="str">
        <f>IFERROR(__xludf.DUMMYFUNCTION("""COMPUTED_VALUE"""),"TBIL")</f>
        <v>TBIL</v>
      </c>
      <c r="E3240" s="122" t="str">
        <f>IFERROR(__xludf.DUMMYFUNCTION("""COMPUTED_VALUE"""),"Treasury Bill")</f>
        <v>Treasury Bill</v>
      </c>
      <c r="F3240" s="122" t="str">
        <f>IFERROR(__xludf.DUMMYFUNCTION("""COMPUTED_VALUE"""),"Bond")</f>
        <v>Bond</v>
      </c>
    </row>
    <row r="3241">
      <c r="A3241" s="131">
        <f>IFERROR(__xludf.DUMMYFUNCTION("""COMPUTED_VALUE"""),46187.43005787037)</f>
        <v>46187.43006</v>
      </c>
      <c r="B3241" s="126">
        <f>IFERROR(__xludf.DUMMYFUNCTION("""COMPUTED_VALUE"""),46187.0)</f>
        <v>46187</v>
      </c>
      <c r="C3241" s="130">
        <f>IFERROR(__xludf.DUMMYFUNCTION("""COMPUTED_VALUE"""),0.43005787037037035)</f>
        <v>0.4300578704</v>
      </c>
      <c r="D3241" s="122" t="str">
        <f>IFERROR(__xludf.DUMMYFUNCTION("""COMPUTED_VALUE"""),"IBND")</f>
        <v>IBND</v>
      </c>
      <c r="E3241" s="122" t="str">
        <f>IFERROR(__xludf.DUMMYFUNCTION("""COMPUTED_VALUE"""),"Inflation Protected Bond")</f>
        <v>Inflation Protected Bond</v>
      </c>
      <c r="F3241" s="122" t="str">
        <f>IFERROR(__xludf.DUMMYFUNCTION("""COMPUTED_VALUE"""),"Bond")</f>
        <v>Bond</v>
      </c>
    </row>
    <row r="3242">
      <c r="A3242" s="131">
        <f>IFERROR(__xludf.DUMMYFUNCTION("""COMPUTED_VALUE"""),46187.43206018519)</f>
        <v>46187.43206</v>
      </c>
      <c r="B3242" s="126">
        <f>IFERROR(__xludf.DUMMYFUNCTION("""COMPUTED_VALUE"""),46187.0)</f>
        <v>46187</v>
      </c>
      <c r="C3242" s="122" t="str">
        <f>IFERROR(__xludf.DUMMYFUNCTION("""COMPUTED_VALUE"""),"SNAX")</f>
        <v>SNAX</v>
      </c>
      <c r="D3242" s="122" t="str">
        <f>IFERROR(__xludf.DUMMYFUNCTION("""COMPUTED_VALUE"""),"MICA Snacks")</f>
        <v>MICA Snacks</v>
      </c>
      <c r="E3242" s="122">
        <f>IFERROR(__xludf.DUMMYFUNCTION("""COMPUTED_VALUE"""),121.13)</f>
        <v>121.13</v>
      </c>
      <c r="F3242" s="122">
        <f>IFERROR(__xludf.DUMMYFUNCTION("""COMPUTED_VALUE"""),0.0037)</f>
        <v>0.0037</v>
      </c>
    </row>
    <row r="3243">
      <c r="A3243" s="131">
        <f>IFERROR(__xludf.DUMMYFUNCTION("""COMPUTED_VALUE"""),46187.43206018519)</f>
        <v>46187.43206</v>
      </c>
      <c r="B3243" s="126">
        <f>IFERROR(__xludf.DUMMYFUNCTION("""COMPUTED_VALUE"""),46187.0)</f>
        <v>46187</v>
      </c>
      <c r="C3243" s="122" t="str">
        <f>IFERROR(__xludf.DUMMYFUNCTION("""COMPUTED_VALUE"""),"RAMN")</f>
        <v>RAMN</v>
      </c>
      <c r="D3243" s="122" t="str">
        <f>IFERROR(__xludf.DUMMYFUNCTION("""COMPUTED_VALUE"""),"Ramen Republic")</f>
        <v>Ramen Republic</v>
      </c>
      <c r="E3243" s="122">
        <f>IFERROR(__xludf.DUMMYFUNCTION("""COMPUTED_VALUE"""),72.21)</f>
        <v>72.21</v>
      </c>
      <c r="F3243" s="122">
        <f>IFERROR(__xludf.DUMMYFUNCTION("""COMPUTED_VALUE"""),-0.0043)</f>
        <v>-0.0043</v>
      </c>
    </row>
    <row r="3244">
      <c r="A3244" s="131">
        <f>IFERROR(__xludf.DUMMYFUNCTION("""COMPUTED_VALUE"""),46187.43206018519)</f>
        <v>46187.43206</v>
      </c>
      <c r="B3244" s="126">
        <f>IFERROR(__xludf.DUMMYFUNCTION("""COMPUTED_VALUE"""),46187.0)</f>
        <v>46187</v>
      </c>
      <c r="C3244" s="122" t="str">
        <f>IFERROR(__xludf.DUMMYFUNCTION("""COMPUTED_VALUE"""),"COLA")</f>
        <v>COLA</v>
      </c>
      <c r="D3244" s="122" t="str">
        <f>IFERROR(__xludf.DUMMYFUNCTION("""COMPUTED_VALUE"""),"K-Pop Cola")</f>
        <v>K-Pop Cola</v>
      </c>
      <c r="E3244" s="122">
        <f>IFERROR(__xludf.DUMMYFUNCTION("""COMPUTED_VALUE"""),107.5)</f>
        <v>107.5</v>
      </c>
      <c r="F3244" s="122">
        <f>IFERROR(__xludf.DUMMYFUNCTION("""COMPUTED_VALUE"""),0.003)</f>
        <v>0.003</v>
      </c>
    </row>
    <row r="3245">
      <c r="A3245" s="131">
        <f>IFERROR(__xludf.DUMMYFUNCTION("""COMPUTED_VALUE"""),46187.43206018519)</f>
        <v>46187.43206</v>
      </c>
      <c r="B3245" s="126">
        <f>IFERROR(__xludf.DUMMYFUNCTION("""COMPUTED_VALUE"""),46187.0)</f>
        <v>46187</v>
      </c>
      <c r="C3245" s="122" t="str">
        <f>IFERROR(__xludf.DUMMYFUNCTION("""COMPUTED_VALUE"""),"CHIP")</f>
        <v>CHIP</v>
      </c>
      <c r="D3245" s="122" t="str">
        <f>IFERROR(__xludf.DUMMYFUNCTION("""COMPUTED_VALUE"""),"Chip Empire")</f>
        <v>Chip Empire</v>
      </c>
      <c r="E3245" s="122">
        <f>IFERROR(__xludf.DUMMYFUNCTION("""COMPUTED_VALUE"""),87.31)</f>
        <v>87.31</v>
      </c>
      <c r="F3245" s="122">
        <f>IFERROR(__xludf.DUMMYFUNCTION("""COMPUTED_VALUE"""),0.0067)</f>
        <v>0.0067</v>
      </c>
    </row>
    <row r="3246">
      <c r="A3246" s="131">
        <f>IFERROR(__xludf.DUMMYFUNCTION("""COMPUTED_VALUE"""),46187.43206018519)</f>
        <v>46187.43206</v>
      </c>
      <c r="B3246" s="126">
        <f>IFERROR(__xludf.DUMMYFUNCTION("""COMPUTED_VALUE"""),46187.0)</f>
        <v>46187</v>
      </c>
      <c r="C3246" s="122" t="str">
        <f>IFERROR(__xludf.DUMMYFUNCTION("""COMPUTED_VALUE"""),"CAND")</f>
        <v>CAND</v>
      </c>
      <c r="D3246" s="122" t="str">
        <f>IFERROR(__xludf.DUMMYFUNCTION("""COMPUTED_VALUE"""),"Candy Capital")</f>
        <v>Candy Capital</v>
      </c>
      <c r="E3246" s="122">
        <f>IFERROR(__xludf.DUMMYFUNCTION("""COMPUTED_VALUE"""),76.4)</f>
        <v>76.4</v>
      </c>
      <c r="F3246" s="122">
        <f>IFERROR(__xludf.DUMMYFUNCTION("""COMPUTED_VALUE"""),-0.0073)</f>
        <v>-0.0073</v>
      </c>
    </row>
    <row r="3247">
      <c r="A3247" s="131">
        <f>IFERROR(__xludf.DUMMYFUNCTION("""COMPUTED_VALUE"""),46187.43206018519)</f>
        <v>46187.43206</v>
      </c>
      <c r="B3247" s="126">
        <f>IFERROR(__xludf.DUMMYFUNCTION("""COMPUTED_VALUE"""),46187.0)</f>
        <v>46187</v>
      </c>
      <c r="C3247" s="122" t="str">
        <f>IFERROR(__xludf.DUMMYFUNCTION("""COMPUTED_VALUE"""),"TECH")</f>
        <v>TECH</v>
      </c>
      <c r="D3247" s="122" t="str">
        <f>IFERROR(__xludf.DUMMYFUNCTION("""COMPUTED_VALUE"""),"Dragon Tech")</f>
        <v>Dragon Tech</v>
      </c>
      <c r="E3247" s="122">
        <f>IFERROR(__xludf.DUMMYFUNCTION("""COMPUTED_VALUE"""),246.39)</f>
        <v>246.39</v>
      </c>
      <c r="F3247" s="122">
        <f>IFERROR(__xludf.DUMMYFUNCTION("""COMPUTED_VALUE"""),0.0116)</f>
        <v>0.0116</v>
      </c>
    </row>
    <row r="3248">
      <c r="A3248" s="131">
        <f>IFERROR(__xludf.DUMMYFUNCTION("""COMPUTED_VALUE"""),46187.43206018519)</f>
        <v>46187.43206</v>
      </c>
      <c r="B3248" s="126">
        <f>IFERROR(__xludf.DUMMYFUNCTION("""COMPUTED_VALUE"""),46187.0)</f>
        <v>46187</v>
      </c>
      <c r="C3248" s="122" t="str">
        <f>IFERROR(__xludf.DUMMYFUNCTION("""COMPUTED_VALUE"""),"AIBO")</f>
        <v>AIBO</v>
      </c>
      <c r="D3248" s="122" t="str">
        <f>IFERROR(__xludf.DUMMYFUNCTION("""COMPUTED_VALUE"""),"Homework AI")</f>
        <v>Homework AI</v>
      </c>
      <c r="E3248" s="122">
        <f>IFERROR(__xludf.DUMMYFUNCTION("""COMPUTED_VALUE"""),173.22)</f>
        <v>173.22</v>
      </c>
      <c r="F3248" s="122">
        <f>IFERROR(__xludf.DUMMYFUNCTION("""COMPUTED_VALUE"""),-0.0034)</f>
        <v>-0.0034</v>
      </c>
    </row>
    <row r="3249">
      <c r="A3249" s="131">
        <f>IFERROR(__xludf.DUMMYFUNCTION("""COMPUTED_VALUE"""),46187.43206018519)</f>
        <v>46187.43206</v>
      </c>
      <c r="B3249" s="126">
        <f>IFERROR(__xludf.DUMMYFUNCTION("""COMPUTED_VALUE"""),46187.0)</f>
        <v>46187</v>
      </c>
      <c r="C3249" s="122" t="str">
        <f>IFERROR(__xludf.DUMMYFUNCTION("""COMPUTED_VALUE"""),"GAME")</f>
        <v>GAME</v>
      </c>
      <c r="D3249" s="122" t="str">
        <f>IFERROR(__xludf.DUMMYFUNCTION("""COMPUTED_VALUE"""),"GameBox Media")</f>
        <v>GameBox Media</v>
      </c>
      <c r="E3249" s="122">
        <f>IFERROR(__xludf.DUMMYFUNCTION("""COMPUTED_VALUE"""),94.93)</f>
        <v>94.93</v>
      </c>
      <c r="F3249" s="122">
        <f>IFERROR(__xludf.DUMMYFUNCTION("""COMPUTED_VALUE"""),0.0041)</f>
        <v>0.0041</v>
      </c>
    </row>
    <row r="3250">
      <c r="A3250" s="131">
        <f>IFERROR(__xludf.DUMMYFUNCTION("""COMPUTED_VALUE"""),46187.43206018519)</f>
        <v>46187.43206</v>
      </c>
      <c r="B3250" s="126">
        <f>IFERROR(__xludf.DUMMYFUNCTION("""COMPUTED_VALUE"""),46187.0)</f>
        <v>46187</v>
      </c>
      <c r="C3250" s="122" t="str">
        <f>IFERROR(__xludf.DUMMYFUNCTION("""COMPUTED_VALUE"""),"VRSE")</f>
        <v>VRSE</v>
      </c>
      <c r="D3250" s="122" t="str">
        <f>IFERROR(__xludf.DUMMYFUNCTION("""COMPUTED_VALUE"""),"VerseVR")</f>
        <v>VerseVR</v>
      </c>
      <c r="E3250" s="122">
        <f>IFERROR(__xludf.DUMMYFUNCTION("""COMPUTED_VALUE"""),147.31)</f>
        <v>147.31</v>
      </c>
      <c r="F3250" s="122">
        <f>IFERROR(__xludf.DUMMYFUNCTION("""COMPUTED_VALUE"""),0.0098)</f>
        <v>0.0098</v>
      </c>
    </row>
    <row r="3251">
      <c r="A3251" s="131">
        <f>IFERROR(__xludf.DUMMYFUNCTION("""COMPUTED_VALUE"""),46187.43206018519)</f>
        <v>46187.43206</v>
      </c>
      <c r="B3251" s="126">
        <f>IFERROR(__xludf.DUMMYFUNCTION("""COMPUTED_VALUE"""),46187.0)</f>
        <v>46187</v>
      </c>
      <c r="C3251" s="122" t="str">
        <f>IFERROR(__xludf.DUMMYFUNCTION("""COMPUTED_VALUE"""),"BYTE")</f>
        <v>BYTE</v>
      </c>
      <c r="D3251" s="122" t="str">
        <f>IFERROR(__xludf.DUMMYFUNCTION("""COMPUTED_VALUE"""),"ByteWorks")</f>
        <v>ByteWorks</v>
      </c>
      <c r="E3251" s="122">
        <f>IFERROR(__xludf.DUMMYFUNCTION("""COMPUTED_VALUE"""),109.52)</f>
        <v>109.52</v>
      </c>
      <c r="F3251" s="122">
        <f>IFERROR(__xludf.DUMMYFUNCTION("""COMPUTED_VALUE"""),-0.0014)</f>
        <v>-0.0014</v>
      </c>
    </row>
    <row r="3252">
      <c r="A3252" s="131">
        <f>IFERROR(__xludf.DUMMYFUNCTION("""COMPUTED_VALUE"""),46187.43206018519)</f>
        <v>46187.43206</v>
      </c>
      <c r="B3252" s="126">
        <f>IFERROR(__xludf.DUMMYFUNCTION("""COMPUTED_VALUE"""),46187.0)</f>
        <v>46187</v>
      </c>
      <c r="C3252" s="122" t="str">
        <f>IFERROR(__xludf.DUMMYFUNCTION("""COMPUTED_VALUE"""),"BANK")</f>
        <v>BANK</v>
      </c>
      <c r="D3252" s="122" t="str">
        <f>IFERROR(__xludf.DUMMYFUNCTION("""COMPUTED_VALUE"""),"Tiger Bank")</f>
        <v>Tiger Bank</v>
      </c>
      <c r="E3252" s="122">
        <f>IFERROR(__xludf.DUMMYFUNCTION("""COMPUTED_VALUE"""),126.52)</f>
        <v>126.52</v>
      </c>
      <c r="F3252" s="122">
        <f>IFERROR(__xludf.DUMMYFUNCTION("""COMPUTED_VALUE"""),-1.0E-4)</f>
        <v>-0.0001</v>
      </c>
    </row>
    <row r="3253">
      <c r="A3253" s="131">
        <f>IFERROR(__xludf.DUMMYFUNCTION("""COMPUTED_VALUE"""),46187.43206018519)</f>
        <v>46187.43206</v>
      </c>
      <c r="B3253" s="126">
        <f>IFERROR(__xludf.DUMMYFUNCTION("""COMPUTED_VALUE"""),46187.0)</f>
        <v>46187</v>
      </c>
      <c r="C3253" s="122" t="str">
        <f>IFERROR(__xludf.DUMMYFUNCTION("""COMPUTED_VALUE"""),"CRED")</f>
        <v>CRED</v>
      </c>
      <c r="D3253" s="122" t="str">
        <f>IFERROR(__xludf.DUMMYFUNCTION("""COMPUTED_VALUE"""),"Credit Castle")</f>
        <v>Credit Castle</v>
      </c>
      <c r="E3253" s="122">
        <f>IFERROR(__xludf.DUMMYFUNCTION("""COMPUTED_VALUE"""),68.4)</f>
        <v>68.4</v>
      </c>
      <c r="F3253" s="122">
        <f>IFERROR(__xludf.DUMMYFUNCTION("""COMPUTED_VALUE"""),9.0E-4)</f>
        <v>0.0009</v>
      </c>
    </row>
    <row r="3254">
      <c r="A3254" s="131">
        <f>IFERROR(__xludf.DUMMYFUNCTION("""COMPUTED_VALUE"""),46187.43206018519)</f>
        <v>46187.43206</v>
      </c>
      <c r="B3254" s="126">
        <f>IFERROR(__xludf.DUMMYFUNCTION("""COMPUTED_VALUE"""),46187.0)</f>
        <v>46187</v>
      </c>
      <c r="C3254" s="122" t="str">
        <f>IFERROR(__xludf.DUMMYFUNCTION("""COMPUTED_VALUE"""),"BOND")</f>
        <v>BOND</v>
      </c>
      <c r="D3254" s="122" t="str">
        <f>IFERROR(__xludf.DUMMYFUNCTION("""COMPUTED_VALUE"""),"BondBridge")</f>
        <v>BondBridge</v>
      </c>
      <c r="E3254" s="122">
        <f>IFERROR(__xludf.DUMMYFUNCTION("""COMPUTED_VALUE"""),98.25)</f>
        <v>98.25</v>
      </c>
      <c r="F3254" s="122">
        <f>IFERROR(__xludf.DUMMYFUNCTION("""COMPUTED_VALUE"""),0.0012)</f>
        <v>0.0012</v>
      </c>
    </row>
    <row r="3255">
      <c r="A3255" s="131">
        <f>IFERROR(__xludf.DUMMYFUNCTION("""COMPUTED_VALUE"""),46187.43206018519)</f>
        <v>46187.43206</v>
      </c>
      <c r="B3255" s="126">
        <f>IFERROR(__xludf.DUMMYFUNCTION("""COMPUTED_VALUE"""),46187.0)</f>
        <v>46187</v>
      </c>
      <c r="C3255" s="122" t="str">
        <f>IFERROR(__xludf.DUMMYFUNCTION("""COMPUTED_VALUE"""),"INSR")</f>
        <v>INSR</v>
      </c>
      <c r="D3255" s="122" t="str">
        <f>IFERROR(__xludf.DUMMYFUNCTION("""COMPUTED_VALUE"""),"Shield Insurance")</f>
        <v>Shield Insurance</v>
      </c>
      <c r="E3255" s="122">
        <f>IFERROR(__xludf.DUMMYFUNCTION("""COMPUTED_VALUE"""),158.76)</f>
        <v>158.76</v>
      </c>
      <c r="F3255" s="122">
        <f>IFERROR(__xludf.DUMMYFUNCTION("""COMPUTED_VALUE"""),0.0018)</f>
        <v>0.0018</v>
      </c>
    </row>
    <row r="3256">
      <c r="A3256" s="131">
        <f>IFERROR(__xludf.DUMMYFUNCTION("""COMPUTED_VALUE"""),46187.43206018519)</f>
        <v>46187.43206</v>
      </c>
      <c r="B3256" s="126">
        <f>IFERROR(__xludf.DUMMYFUNCTION("""COMPUTED_VALUE"""),46187.0)</f>
        <v>46187</v>
      </c>
      <c r="C3256" s="122" t="str">
        <f>IFERROR(__xludf.DUMMYFUNCTION("""COMPUTED_VALUE"""),"LOAN")</f>
        <v>LOAN</v>
      </c>
      <c r="D3256" s="122" t="str">
        <f>IFERROR(__xludf.DUMMYFUNCTION("""COMPUTED_VALUE"""),"LoanLab")</f>
        <v>LoanLab</v>
      </c>
      <c r="E3256" s="122">
        <f>IFERROR(__xludf.DUMMYFUNCTION("""COMPUTED_VALUE"""),62.95)</f>
        <v>62.95</v>
      </c>
      <c r="F3256" s="122">
        <f>IFERROR(__xludf.DUMMYFUNCTION("""COMPUTED_VALUE"""),-0.0025)</f>
        <v>-0.0025</v>
      </c>
    </row>
    <row r="3257">
      <c r="A3257" s="131">
        <f>IFERROR(__xludf.DUMMYFUNCTION("""COMPUTED_VALUE"""),46187.43206018519)</f>
        <v>46187.43206</v>
      </c>
      <c r="B3257" s="126">
        <f>IFERROR(__xludf.DUMMYFUNCTION("""COMPUTED_VALUE"""),46187.0)</f>
        <v>46187</v>
      </c>
      <c r="C3257" s="122" t="str">
        <f>IFERROR(__xludf.DUMMYFUNCTION("""COMPUTED_VALUE"""),"LUXE")</f>
        <v>LUXE</v>
      </c>
      <c r="D3257" s="122" t="str">
        <f>IFERROR(__xludf.DUMMYFUNCTION("""COMPUTED_VALUE"""),"Luxury Locker")</f>
        <v>Luxury Locker</v>
      </c>
      <c r="E3257" s="122">
        <f>IFERROR(__xludf.DUMMYFUNCTION("""COMPUTED_VALUE"""),258.18)</f>
        <v>258.18</v>
      </c>
      <c r="F3257" s="122">
        <f>IFERROR(__xludf.DUMMYFUNCTION("""COMPUTED_VALUE"""),0.0049)</f>
        <v>0.0049</v>
      </c>
    </row>
    <row r="3258">
      <c r="A3258" s="131">
        <f>IFERROR(__xludf.DUMMYFUNCTION("""COMPUTED_VALUE"""),46187.43206018519)</f>
        <v>46187.43206</v>
      </c>
      <c r="B3258" s="126">
        <f>IFERROR(__xludf.DUMMYFUNCTION("""COMPUTED_VALUE"""),46187.0)</f>
        <v>46187</v>
      </c>
      <c r="C3258" s="122" t="str">
        <f>IFERROR(__xludf.DUMMYFUNCTION("""COMPUTED_VALUE"""),"DRIP")</f>
        <v>DRIP</v>
      </c>
      <c r="D3258" s="122" t="str">
        <f>IFERROR(__xludf.DUMMYFUNCTION("""COMPUTED_VALUE"""),"Drip Streetwear")</f>
        <v>Drip Streetwear</v>
      </c>
      <c r="E3258" s="122">
        <f>IFERROR(__xludf.DUMMYFUNCTION("""COMPUTED_VALUE"""),200.6)</f>
        <v>200.6</v>
      </c>
      <c r="F3258" s="122">
        <f>IFERROR(__xludf.DUMMYFUNCTION("""COMPUTED_VALUE"""),-0.0061)</f>
        <v>-0.0061</v>
      </c>
    </row>
    <row r="3259">
      <c r="A3259" s="131">
        <f>IFERROR(__xludf.DUMMYFUNCTION("""COMPUTED_VALUE"""),46187.43206018519)</f>
        <v>46187.43206</v>
      </c>
      <c r="B3259" s="126">
        <f>IFERROR(__xludf.DUMMYFUNCTION("""COMPUTED_VALUE"""),46187.0)</f>
        <v>46187</v>
      </c>
      <c r="C3259" s="122" t="str">
        <f>IFERROR(__xludf.DUMMYFUNCTION("""COMPUTED_VALUE"""),"KICK")</f>
        <v>KICK</v>
      </c>
      <c r="D3259" s="122" t="str">
        <f>IFERROR(__xludf.DUMMYFUNCTION("""COMPUTED_VALUE"""),"KickDrop Sneakers")</f>
        <v>KickDrop Sneakers</v>
      </c>
      <c r="E3259" s="122">
        <f>IFERROR(__xludf.DUMMYFUNCTION("""COMPUTED_VALUE"""),173.17)</f>
        <v>173.17</v>
      </c>
      <c r="F3259" s="122">
        <f>IFERROR(__xludf.DUMMYFUNCTION("""COMPUTED_VALUE"""),0.0083)</f>
        <v>0.0083</v>
      </c>
    </row>
    <row r="3260">
      <c r="A3260" s="131">
        <f>IFERROR(__xludf.DUMMYFUNCTION("""COMPUTED_VALUE"""),46187.43206018519)</f>
        <v>46187.43206</v>
      </c>
      <c r="B3260" s="126">
        <f>IFERROR(__xludf.DUMMYFUNCTION("""COMPUTED_VALUE"""),46187.0)</f>
        <v>46187</v>
      </c>
      <c r="C3260" s="122" t="str">
        <f>IFERROR(__xludf.DUMMYFUNCTION("""COMPUTED_VALUE"""),"GLAM")</f>
        <v>GLAM</v>
      </c>
      <c r="D3260" s="122" t="str">
        <f>IFERROR(__xludf.DUMMYFUNCTION("""COMPUTED_VALUE"""),"Glow Cosmetics")</f>
        <v>Glow Cosmetics</v>
      </c>
      <c r="E3260" s="122">
        <f>IFERROR(__xludf.DUMMYFUNCTION("""COMPUTED_VALUE"""),99.91)</f>
        <v>99.91</v>
      </c>
      <c r="F3260" s="122">
        <f>IFERROR(__xludf.DUMMYFUNCTION("""COMPUTED_VALUE"""),-0.0019)</f>
        <v>-0.0019</v>
      </c>
    </row>
    <row r="3261">
      <c r="A3261" s="131">
        <f>IFERROR(__xludf.DUMMYFUNCTION("""COMPUTED_VALUE"""),46187.43206018519)</f>
        <v>46187.43206</v>
      </c>
      <c r="B3261" s="126">
        <f>IFERROR(__xludf.DUMMYFUNCTION("""COMPUTED_VALUE"""),46187.0)</f>
        <v>46187</v>
      </c>
      <c r="C3261" s="122" t="str">
        <f>IFERROR(__xludf.DUMMYFUNCTION("""COMPUTED_VALUE"""),"BAGG")</f>
        <v>BAGG</v>
      </c>
      <c r="D3261" s="122" t="str">
        <f>IFERROR(__xludf.DUMMYFUNCTION("""COMPUTED_VALUE"""),"BagVault")</f>
        <v>BagVault</v>
      </c>
      <c r="E3261" s="122">
        <f>IFERROR(__xludf.DUMMYFUNCTION("""COMPUTED_VALUE"""),250.39)</f>
        <v>250.39</v>
      </c>
      <c r="F3261" s="122">
        <f>IFERROR(__xludf.DUMMYFUNCTION("""COMPUTED_VALUE"""),0.0018)</f>
        <v>0.0018</v>
      </c>
    </row>
    <row r="3262">
      <c r="A3262" s="131">
        <f>IFERROR(__xludf.DUMMYFUNCTION("""COMPUTED_VALUE"""),46187.43206018519)</f>
        <v>46187.43206</v>
      </c>
      <c r="B3262" s="126">
        <f>IFERROR(__xludf.DUMMYFUNCTION("""COMPUTED_VALUE"""),46187.0)</f>
        <v>46187</v>
      </c>
      <c r="C3262" s="122" t="str">
        <f>IFERROR(__xludf.DUMMYFUNCTION("""COMPUTED_VALUE"""),"FAST")</f>
        <v>FAST</v>
      </c>
      <c r="D3262" s="122" t="str">
        <f>IFERROR(__xludf.DUMMYFUNCTION("""COMPUTED_VALUE"""),"Flash Logistics")</f>
        <v>Flash Logistics</v>
      </c>
      <c r="E3262" s="122">
        <f>IFERROR(__xludf.DUMMYFUNCTION("""COMPUTED_VALUE"""),103.35)</f>
        <v>103.35</v>
      </c>
      <c r="F3262" s="122">
        <f>IFERROR(__xludf.DUMMYFUNCTION("""COMPUTED_VALUE"""),-0.0028)</f>
        <v>-0.0028</v>
      </c>
    </row>
    <row r="3263">
      <c r="A3263" s="131">
        <f>IFERROR(__xludf.DUMMYFUNCTION("""COMPUTED_VALUE"""),46187.43206018519)</f>
        <v>46187.43206</v>
      </c>
      <c r="B3263" s="126">
        <f>IFERROR(__xludf.DUMMYFUNCTION("""COMPUTED_VALUE"""),46187.0)</f>
        <v>46187</v>
      </c>
      <c r="C3263" s="122" t="str">
        <f>IFERROR(__xludf.DUMMYFUNCTION("""COMPUTED_VALUE"""),"SHIP")</f>
        <v>SHIP</v>
      </c>
      <c r="D3263" s="122" t="str">
        <f>IFERROR(__xludf.DUMMYFUNCTION("""COMPUTED_VALUE"""),"Seoul Shipping")</f>
        <v>Seoul Shipping</v>
      </c>
      <c r="E3263" s="122">
        <f>IFERROR(__xludf.DUMMYFUNCTION("""COMPUTED_VALUE"""),118.59)</f>
        <v>118.59</v>
      </c>
      <c r="F3263" s="122">
        <f>IFERROR(__xludf.DUMMYFUNCTION("""COMPUTED_VALUE"""),0.007)</f>
        <v>0.007</v>
      </c>
    </row>
    <row r="3264">
      <c r="A3264" s="131">
        <f>IFERROR(__xludf.DUMMYFUNCTION("""COMPUTED_VALUE"""),46187.43206018519)</f>
        <v>46187.43206</v>
      </c>
      <c r="B3264" s="126">
        <f>IFERROR(__xludf.DUMMYFUNCTION("""COMPUTED_VALUE"""),46187.0)</f>
        <v>46187</v>
      </c>
      <c r="C3264" s="122" t="str">
        <f>IFERROR(__xludf.DUMMYFUNCTION("""COMPUTED_VALUE"""),"DRON")</f>
        <v>DRON</v>
      </c>
      <c r="D3264" s="122" t="str">
        <f>IFERROR(__xludf.DUMMYFUNCTION("""COMPUTED_VALUE"""),"DroneDrop")</f>
        <v>DroneDrop</v>
      </c>
      <c r="E3264" s="122">
        <f>IFERROR(__xludf.DUMMYFUNCTION("""COMPUTED_VALUE"""),132.24)</f>
        <v>132.24</v>
      </c>
      <c r="F3264" s="122">
        <f>IFERROR(__xludf.DUMMYFUNCTION("""COMPUTED_VALUE"""),-0.0013)</f>
        <v>-0.0013</v>
      </c>
    </row>
    <row r="3265">
      <c r="A3265" s="131">
        <f>IFERROR(__xludf.DUMMYFUNCTION("""COMPUTED_VALUE"""),46187.43206018519)</f>
        <v>46187.43206</v>
      </c>
      <c r="B3265" s="126">
        <f>IFERROR(__xludf.DUMMYFUNCTION("""COMPUTED_VALUE"""),46187.0)</f>
        <v>46187</v>
      </c>
      <c r="C3265" s="122" t="str">
        <f>IFERROR(__xludf.DUMMYFUNCTION("""COMPUTED_VALUE"""),"RIDE")</f>
        <v>RIDE</v>
      </c>
      <c r="D3265" s="122" t="str">
        <f>IFERROR(__xludf.DUMMYFUNCTION("""COMPUTED_VALUE"""),"QuickRide")</f>
        <v>QuickRide</v>
      </c>
      <c r="E3265" s="122">
        <f>IFERROR(__xludf.DUMMYFUNCTION("""COMPUTED_VALUE"""),97.27)</f>
        <v>97.27</v>
      </c>
      <c r="F3265" s="122">
        <f>IFERROR(__xludf.DUMMYFUNCTION("""COMPUTED_VALUE"""),-0.0112)</f>
        <v>-0.0112</v>
      </c>
    </row>
    <row r="3266">
      <c r="A3266" s="131">
        <f>IFERROR(__xludf.DUMMYFUNCTION("""COMPUTED_VALUE"""),46187.43206018519)</f>
        <v>46187.43206</v>
      </c>
      <c r="B3266" s="126">
        <f>IFERROR(__xludf.DUMMYFUNCTION("""COMPUTED_VALUE"""),46187.0)</f>
        <v>46187</v>
      </c>
      <c r="C3266" s="122" t="str">
        <f>IFERROR(__xludf.DUMMYFUNCTION("""COMPUTED_VALUE"""),"RAIL")</f>
        <v>RAIL</v>
      </c>
      <c r="D3266" s="122" t="str">
        <f>IFERROR(__xludf.DUMMYFUNCTION("""COMPUTED_VALUE"""),"MetroRail Corp")</f>
        <v>MetroRail Corp</v>
      </c>
      <c r="E3266" s="122">
        <f>IFERROR(__xludf.DUMMYFUNCTION("""COMPUTED_VALUE"""),134.61)</f>
        <v>134.61</v>
      </c>
      <c r="F3266" s="122">
        <f>IFERROR(__xludf.DUMMYFUNCTION("""COMPUTED_VALUE"""),0.0024)</f>
        <v>0.0024</v>
      </c>
    </row>
    <row r="3267">
      <c r="A3267" s="131">
        <f>IFERROR(__xludf.DUMMYFUNCTION("""COMPUTED_VALUE"""),46187.43206018519)</f>
        <v>46187.43206</v>
      </c>
      <c r="B3267" s="126">
        <f>IFERROR(__xludf.DUMMYFUNCTION("""COMPUTED_VALUE"""),46187.0)</f>
        <v>46187</v>
      </c>
      <c r="C3267" s="122" t="str">
        <f>IFERROR(__xludf.DUMMYFUNCTION("""COMPUTED_VALUE"""),"MEDX")</f>
        <v>MEDX</v>
      </c>
      <c r="D3267" s="122" t="str">
        <f>IFERROR(__xludf.DUMMYFUNCTION("""COMPUTED_VALUE"""),"MediCore")</f>
        <v>MediCore</v>
      </c>
      <c r="E3267" s="122">
        <f>IFERROR(__xludf.DUMMYFUNCTION("""COMPUTED_VALUE"""),138.23)</f>
        <v>138.23</v>
      </c>
      <c r="F3267" s="122">
        <f>IFERROR(__xludf.DUMMYFUNCTION("""COMPUTED_VALUE"""),4.0E-4)</f>
        <v>0.0004</v>
      </c>
    </row>
    <row r="3268">
      <c r="A3268" s="131">
        <f>IFERROR(__xludf.DUMMYFUNCTION("""COMPUTED_VALUE"""),46187.43206018519)</f>
        <v>46187.43206</v>
      </c>
      <c r="B3268" s="126">
        <f>IFERROR(__xludf.DUMMYFUNCTION("""COMPUTED_VALUE"""),46187.0)</f>
        <v>46187</v>
      </c>
      <c r="C3268" s="122" t="str">
        <f>IFERROR(__xludf.DUMMYFUNCTION("""COMPUTED_VALUE"""),"GYMX")</f>
        <v>GYMX</v>
      </c>
      <c r="D3268" s="122" t="str">
        <f>IFERROR(__xludf.DUMMYFUNCTION("""COMPUTED_VALUE"""),"GymX Fitness")</f>
        <v>GymX Fitness</v>
      </c>
      <c r="E3268" s="122">
        <f>IFERROR(__xludf.DUMMYFUNCTION("""COMPUTED_VALUE"""),85.44)</f>
        <v>85.44</v>
      </c>
      <c r="F3268" s="122">
        <f>IFERROR(__xludf.DUMMYFUNCTION("""COMPUTED_VALUE"""),0.0016)</f>
        <v>0.0016</v>
      </c>
    </row>
    <row r="3269">
      <c r="A3269" s="131">
        <f>IFERROR(__xludf.DUMMYFUNCTION("""COMPUTED_VALUE"""),46187.43206018519)</f>
        <v>46187.43206</v>
      </c>
      <c r="B3269" s="126">
        <f>IFERROR(__xludf.DUMMYFUNCTION("""COMPUTED_VALUE"""),46187.0)</f>
        <v>46187</v>
      </c>
      <c r="C3269" s="122" t="str">
        <f>IFERROR(__xludf.DUMMYFUNCTION("""COMPUTED_VALUE"""),"VITA")</f>
        <v>VITA</v>
      </c>
      <c r="D3269" s="122" t="str">
        <f>IFERROR(__xludf.DUMMYFUNCTION("""COMPUTED_VALUE"""),"VitaPlus")</f>
        <v>VitaPlus</v>
      </c>
      <c r="E3269" s="122">
        <f>IFERROR(__xludf.DUMMYFUNCTION("""COMPUTED_VALUE"""),74.69)</f>
        <v>74.69</v>
      </c>
      <c r="F3269" s="122">
        <f>IFERROR(__xludf.DUMMYFUNCTION("""COMPUTED_VALUE"""),0.0028)</f>
        <v>0.0028</v>
      </c>
    </row>
    <row r="3270">
      <c r="A3270" s="131">
        <f>IFERROR(__xludf.DUMMYFUNCTION("""COMPUTED_VALUE"""),46187.43206018519)</f>
        <v>46187.43206</v>
      </c>
      <c r="B3270" s="126">
        <f>IFERROR(__xludf.DUMMYFUNCTION("""COMPUTED_VALUE"""),46187.0)</f>
        <v>46187</v>
      </c>
      <c r="C3270" s="122" t="str">
        <f>IFERROR(__xludf.DUMMYFUNCTION("""COMPUTED_VALUE"""),"CARE")</f>
        <v>CARE</v>
      </c>
      <c r="D3270" s="122" t="str">
        <f>IFERROR(__xludf.DUMMYFUNCTION("""COMPUTED_VALUE"""),"CareCloud")</f>
        <v>CareCloud</v>
      </c>
      <c r="E3270" s="122">
        <f>IFERROR(__xludf.DUMMYFUNCTION("""COMPUTED_VALUE"""),176.8)</f>
        <v>176.8</v>
      </c>
      <c r="F3270" s="122">
        <f>IFERROR(__xludf.DUMMYFUNCTION("""COMPUTED_VALUE"""),-0.0057)</f>
        <v>-0.0057</v>
      </c>
    </row>
    <row r="3271">
      <c r="A3271" s="131">
        <f>IFERROR(__xludf.DUMMYFUNCTION("""COMPUTED_VALUE"""),46187.43206018519)</f>
        <v>46187.43206</v>
      </c>
      <c r="B3271" s="126">
        <f>IFERROR(__xludf.DUMMYFUNCTION("""COMPUTED_VALUE"""),46187.0)</f>
        <v>46187</v>
      </c>
      <c r="C3271" s="122" t="str">
        <f>IFERROR(__xludf.DUMMYFUNCTION("""COMPUTED_VALUE"""),"DENT")</f>
        <v>DENT</v>
      </c>
      <c r="D3271" s="122" t="str">
        <f>IFERROR(__xludf.DUMMYFUNCTION("""COMPUTED_VALUE"""),"SmileWorks")</f>
        <v>SmileWorks</v>
      </c>
      <c r="E3271" s="122">
        <f>IFERROR(__xludf.DUMMYFUNCTION("""COMPUTED_VALUE"""),84.05)</f>
        <v>84.05</v>
      </c>
      <c r="F3271" s="122">
        <f>IFERROR(__xludf.DUMMYFUNCTION("""COMPUTED_VALUE"""),0.0045)</f>
        <v>0.0045</v>
      </c>
    </row>
    <row r="3272">
      <c r="A3272" s="131">
        <f>IFERROR(__xludf.DUMMYFUNCTION("""COMPUTED_VALUE"""),46187.43206018519)</f>
        <v>46187.43206</v>
      </c>
      <c r="B3272" s="126">
        <f>IFERROR(__xludf.DUMMYFUNCTION("""COMPUTED_VALUE"""),46187.0)</f>
        <v>46187</v>
      </c>
      <c r="C3272" s="122" t="str">
        <f>IFERROR(__xludf.DUMMYFUNCTION("""COMPUTED_VALUE"""),"EDUX")</f>
        <v>EDUX</v>
      </c>
      <c r="D3272" s="122" t="str">
        <f>IFERROR(__xludf.DUMMYFUNCTION("""COMPUTED_VALUE"""),"EduMax Learning")</f>
        <v>EduMax Learning</v>
      </c>
      <c r="E3272" s="122">
        <f>IFERROR(__xludf.DUMMYFUNCTION("""COMPUTED_VALUE"""),134.57)</f>
        <v>134.57</v>
      </c>
      <c r="F3272" s="122">
        <f>IFERROR(__xludf.DUMMYFUNCTION("""COMPUTED_VALUE"""),0.001)</f>
        <v>0.001</v>
      </c>
    </row>
    <row r="3273">
      <c r="A3273" s="131">
        <f>IFERROR(__xludf.DUMMYFUNCTION("""COMPUTED_VALUE"""),46187.43206018519)</f>
        <v>46187.43206</v>
      </c>
      <c r="B3273" s="126">
        <f>IFERROR(__xludf.DUMMYFUNCTION("""COMPUTED_VALUE"""),46187.0)</f>
        <v>46187</v>
      </c>
      <c r="C3273" s="122" t="str">
        <f>IFERROR(__xludf.DUMMYFUNCTION("""COMPUTED_VALUE"""),"BOOK")</f>
        <v>BOOK</v>
      </c>
      <c r="D3273" s="122" t="str">
        <f>IFERROR(__xludf.DUMMYFUNCTION("""COMPUTED_VALUE"""),"BookBridge")</f>
        <v>BookBridge</v>
      </c>
      <c r="E3273" s="122">
        <f>IFERROR(__xludf.DUMMYFUNCTION("""COMPUTED_VALUE"""),114.87)</f>
        <v>114.87</v>
      </c>
      <c r="F3273" s="122">
        <f>IFERROR(__xludf.DUMMYFUNCTION("""COMPUTED_VALUE"""),-0.0036)</f>
        <v>-0.0036</v>
      </c>
    </row>
    <row r="3274">
      <c r="A3274" s="131">
        <f>IFERROR(__xludf.DUMMYFUNCTION("""COMPUTED_VALUE"""),46187.43206018519)</f>
        <v>46187.43206</v>
      </c>
      <c r="B3274" s="126">
        <f>IFERROR(__xludf.DUMMYFUNCTION("""COMPUTED_VALUE"""),46187.0)</f>
        <v>46187</v>
      </c>
      <c r="C3274" s="122" t="str">
        <f>IFERROR(__xludf.DUMMYFUNCTION("""COMPUTED_VALUE"""),"TUTR")</f>
        <v>TUTR</v>
      </c>
      <c r="D3274" s="122" t="str">
        <f>IFERROR(__xludf.DUMMYFUNCTION("""COMPUTED_VALUE"""),"TutorTown")</f>
        <v>TutorTown</v>
      </c>
      <c r="E3274" s="122">
        <f>IFERROR(__xludf.DUMMYFUNCTION("""COMPUTED_VALUE"""),89.08)</f>
        <v>89.08</v>
      </c>
      <c r="F3274" s="122">
        <f>IFERROR(__xludf.DUMMYFUNCTION("""COMPUTED_VALUE"""),-0.0026)</f>
        <v>-0.0026</v>
      </c>
    </row>
    <row r="3275">
      <c r="A3275" s="131">
        <f>IFERROR(__xludf.DUMMYFUNCTION("""COMPUTED_VALUE"""),46187.43206018519)</f>
        <v>46187.43206</v>
      </c>
      <c r="B3275" s="126">
        <f>IFERROR(__xludf.DUMMYFUNCTION("""COMPUTED_VALUE"""),46187.0)</f>
        <v>46187</v>
      </c>
      <c r="C3275" s="122" t="str">
        <f>IFERROR(__xludf.DUMMYFUNCTION("""COMPUTED_VALUE"""),"LANG")</f>
        <v>LANG</v>
      </c>
      <c r="D3275" s="122" t="str">
        <f>IFERROR(__xludf.DUMMYFUNCTION("""COMPUTED_VALUE"""),"LinguaLab")</f>
        <v>LinguaLab</v>
      </c>
      <c r="E3275" s="122">
        <f>IFERROR(__xludf.DUMMYFUNCTION("""COMPUTED_VALUE"""),97.86)</f>
        <v>97.86</v>
      </c>
      <c r="F3275" s="122">
        <f>IFERROR(__xludf.DUMMYFUNCTION("""COMPUTED_VALUE"""),-7.0E-4)</f>
        <v>-0.0007</v>
      </c>
    </row>
    <row r="3276">
      <c r="A3276" s="131">
        <f>IFERROR(__xludf.DUMMYFUNCTION("""COMPUTED_VALUE"""),46187.43206018519)</f>
        <v>46187.43206</v>
      </c>
      <c r="B3276" s="126">
        <f>IFERROR(__xludf.DUMMYFUNCTION("""COMPUTED_VALUE"""),46187.0)</f>
        <v>46187</v>
      </c>
      <c r="C3276" s="122" t="str">
        <f>IFERROR(__xludf.DUMMYFUNCTION("""COMPUTED_VALUE"""),"TEST")</f>
        <v>TEST</v>
      </c>
      <c r="D3276" s="122" t="str">
        <f>IFERROR(__xludf.DUMMYFUNCTION("""COMPUTED_VALUE"""),"TestPrep Pro")</f>
        <v>TestPrep Pro</v>
      </c>
      <c r="E3276" s="122">
        <f>IFERROR(__xludf.DUMMYFUNCTION("""COMPUTED_VALUE"""),99.15)</f>
        <v>99.15</v>
      </c>
      <c r="F3276" s="122">
        <f>IFERROR(__xludf.DUMMYFUNCTION("""COMPUTED_VALUE"""),-0.0056)</f>
        <v>-0.0056</v>
      </c>
    </row>
    <row r="3277">
      <c r="A3277" s="131">
        <f>IFERROR(__xludf.DUMMYFUNCTION("""COMPUTED_VALUE"""),46187.43206018519)</f>
        <v>46187.43206</v>
      </c>
      <c r="B3277" s="126">
        <f>IFERROR(__xludf.DUMMYFUNCTION("""COMPUTED_VALUE"""),46187.0)</f>
        <v>46187</v>
      </c>
      <c r="C3277" s="122" t="str">
        <f>IFERROR(__xludf.DUMMYFUNCTION("""COMPUTED_VALUE"""),"MOVI")</f>
        <v>MOVI</v>
      </c>
      <c r="D3277" s="122" t="str">
        <f>IFERROR(__xludf.DUMMYFUNCTION("""COMPUTED_VALUE"""),"MovieBox")</f>
        <v>MovieBox</v>
      </c>
      <c r="E3277" s="122">
        <f>IFERROR(__xludf.DUMMYFUNCTION("""COMPUTED_VALUE"""),81.26)</f>
        <v>81.26</v>
      </c>
      <c r="F3277" s="122">
        <f>IFERROR(__xludf.DUMMYFUNCTION("""COMPUTED_VALUE"""),0.0079)</f>
        <v>0.0079</v>
      </c>
    </row>
    <row r="3278">
      <c r="A3278" s="131">
        <f>IFERROR(__xludf.DUMMYFUNCTION("""COMPUTED_VALUE"""),46187.43206018519)</f>
        <v>46187.43206</v>
      </c>
      <c r="B3278" s="126">
        <f>IFERROR(__xludf.DUMMYFUNCTION("""COMPUTED_VALUE"""),46187.0)</f>
        <v>46187</v>
      </c>
      <c r="C3278" s="122" t="str">
        <f>IFERROR(__xludf.DUMMYFUNCTION("""COMPUTED_VALUE"""),"MUSC")</f>
        <v>MUSC</v>
      </c>
      <c r="D3278" s="122" t="str">
        <f>IFERROR(__xludf.DUMMYFUNCTION("""COMPUTED_VALUE"""),"MusicWave")</f>
        <v>MusicWave</v>
      </c>
      <c r="E3278" s="122">
        <f>IFERROR(__xludf.DUMMYFUNCTION("""COMPUTED_VALUE"""),97.03)</f>
        <v>97.03</v>
      </c>
      <c r="F3278" s="122">
        <f>IFERROR(__xludf.DUMMYFUNCTION("""COMPUTED_VALUE"""),-8.0E-4)</f>
        <v>-0.0008</v>
      </c>
    </row>
    <row r="3279">
      <c r="A3279" s="131">
        <f>IFERROR(__xludf.DUMMYFUNCTION("""COMPUTED_VALUE"""),46187.43206018519)</f>
        <v>46187.43206</v>
      </c>
      <c r="B3279" s="126">
        <f>IFERROR(__xludf.DUMMYFUNCTION("""COMPUTED_VALUE"""),46187.0)</f>
        <v>46187</v>
      </c>
      <c r="C3279" s="122" t="str">
        <f>IFERROR(__xludf.DUMMYFUNCTION("""COMPUTED_VALUE"""),"IDOL")</f>
        <v>IDOL</v>
      </c>
      <c r="D3279" s="122" t="str">
        <f>IFERROR(__xludf.DUMMYFUNCTION("""COMPUTED_VALUE"""),"Idol Agency")</f>
        <v>Idol Agency</v>
      </c>
      <c r="E3279" s="122">
        <f>IFERROR(__xludf.DUMMYFUNCTION("""COMPUTED_VALUE"""),195.0)</f>
        <v>195</v>
      </c>
      <c r="F3279" s="122">
        <f>IFERROR(__xludf.DUMMYFUNCTION("""COMPUTED_VALUE"""),0.0076)</f>
        <v>0.0076</v>
      </c>
    </row>
    <row r="3280">
      <c r="A3280" s="131">
        <f>IFERROR(__xludf.DUMMYFUNCTION("""COMPUTED_VALUE"""),46187.43206018519)</f>
        <v>46187.43206</v>
      </c>
      <c r="B3280" s="126">
        <f>IFERROR(__xludf.DUMMYFUNCTION("""COMPUTED_VALUE"""),46187.0)</f>
        <v>46187</v>
      </c>
      <c r="C3280" s="122" t="str">
        <f>IFERROR(__xludf.DUMMYFUNCTION("""COMPUTED_VALUE"""),"MEME")</f>
        <v>MEME</v>
      </c>
      <c r="D3280" s="122" t="str">
        <f>IFERROR(__xludf.DUMMYFUNCTION("""COMPUTED_VALUE"""),"Meme Media")</f>
        <v>Meme Media</v>
      </c>
      <c r="E3280" s="122">
        <f>IFERROR(__xludf.DUMMYFUNCTION("""COMPUTED_VALUE"""),76.79)</f>
        <v>76.79</v>
      </c>
      <c r="F3280" s="122">
        <f>IFERROR(__xludf.DUMMYFUNCTION("""COMPUTED_VALUE"""),0.0101)</f>
        <v>0.0101</v>
      </c>
    </row>
    <row r="3281">
      <c r="A3281" s="131">
        <f>IFERROR(__xludf.DUMMYFUNCTION("""COMPUTED_VALUE"""),46187.43206018519)</f>
        <v>46187.43206</v>
      </c>
      <c r="B3281" s="126">
        <f>IFERROR(__xludf.DUMMYFUNCTION("""COMPUTED_VALUE"""),46187.0)</f>
        <v>46187</v>
      </c>
      <c r="C3281" s="122" t="str">
        <f>IFERROR(__xludf.DUMMYFUNCTION("""COMPUTED_VALUE"""),"STRM")</f>
        <v>STRM</v>
      </c>
      <c r="D3281" s="122" t="str">
        <f>IFERROR(__xludf.DUMMYFUNCTION("""COMPUTED_VALUE"""),"Streamly")</f>
        <v>Streamly</v>
      </c>
      <c r="E3281" s="122">
        <f>IFERROR(__xludf.DUMMYFUNCTION("""COMPUTED_VALUE"""),141.1)</f>
        <v>141.1</v>
      </c>
      <c r="F3281" s="122">
        <f>IFERROR(__xludf.DUMMYFUNCTION("""COMPUTED_VALUE"""),0.0038)</f>
        <v>0.0038</v>
      </c>
    </row>
    <row r="3282">
      <c r="A3282" s="131">
        <f>IFERROR(__xludf.DUMMYFUNCTION("""COMPUTED_VALUE"""),46187.43206018519)</f>
        <v>46187.43206</v>
      </c>
      <c r="B3282" s="126">
        <f>IFERROR(__xludf.DUMMYFUNCTION("""COMPUTED_VALUE"""),46187.0)</f>
        <v>46187</v>
      </c>
      <c r="C3282" s="122" t="str">
        <f>IFERROR(__xludf.DUMMYFUNCTION("""COMPUTED_VALUE"""),"FARM")</f>
        <v>FARM</v>
      </c>
      <c r="D3282" s="122" t="str">
        <f>IFERROR(__xludf.DUMMYFUNCTION("""COMPUTED_VALUE"""),"Future Farms")</f>
        <v>Future Farms</v>
      </c>
      <c r="E3282" s="122">
        <f>IFERROR(__xludf.DUMMYFUNCTION("""COMPUTED_VALUE"""),84.12)</f>
        <v>84.12</v>
      </c>
      <c r="F3282" s="122">
        <f>IFERROR(__xludf.DUMMYFUNCTION("""COMPUTED_VALUE"""),0.0027)</f>
        <v>0.0027</v>
      </c>
    </row>
    <row r="3283">
      <c r="A3283" s="131">
        <f>IFERROR(__xludf.DUMMYFUNCTION("""COMPUTED_VALUE"""),46187.43206018519)</f>
        <v>46187.43206</v>
      </c>
      <c r="B3283" s="126">
        <f>IFERROR(__xludf.DUMMYFUNCTION("""COMPUTED_VALUE"""),46187.0)</f>
        <v>46187</v>
      </c>
      <c r="C3283" s="122" t="str">
        <f>IFERROR(__xludf.DUMMYFUNCTION("""COMPUTED_VALUE"""),"MEAT")</f>
        <v>MEAT</v>
      </c>
      <c r="D3283" s="122" t="str">
        <f>IFERROR(__xludf.DUMMYFUNCTION("""COMPUTED_VALUE"""),"MeatWorks")</f>
        <v>MeatWorks</v>
      </c>
      <c r="E3283" s="122">
        <f>IFERROR(__xludf.DUMMYFUNCTION("""COMPUTED_VALUE"""),102.76)</f>
        <v>102.76</v>
      </c>
      <c r="F3283" s="122">
        <f>IFERROR(__xludf.DUMMYFUNCTION("""COMPUTED_VALUE"""),0.002)</f>
        <v>0.002</v>
      </c>
    </row>
    <row r="3284">
      <c r="A3284" s="131">
        <f>IFERROR(__xludf.DUMMYFUNCTION("""COMPUTED_VALUE"""),46187.43206018519)</f>
        <v>46187.43206</v>
      </c>
      <c r="B3284" s="126">
        <f>IFERROR(__xludf.DUMMYFUNCTION("""COMPUTED_VALUE"""),46187.0)</f>
        <v>46187</v>
      </c>
      <c r="C3284" s="122" t="str">
        <f>IFERROR(__xludf.DUMMYFUNCTION("""COMPUTED_VALUE"""),"VEGI")</f>
        <v>VEGI</v>
      </c>
      <c r="D3284" s="122" t="str">
        <f>IFERROR(__xludf.DUMMYFUNCTION("""COMPUTED_VALUE"""),"Green Basket")</f>
        <v>Green Basket</v>
      </c>
      <c r="E3284" s="122">
        <f>IFERROR(__xludf.DUMMYFUNCTION("""COMPUTED_VALUE"""),81.25)</f>
        <v>81.25</v>
      </c>
      <c r="F3284" s="122">
        <f>IFERROR(__xludf.DUMMYFUNCTION("""COMPUTED_VALUE"""),-0.0028)</f>
        <v>-0.0028</v>
      </c>
    </row>
    <row r="3285">
      <c r="A3285" s="131">
        <f>IFERROR(__xludf.DUMMYFUNCTION("""COMPUTED_VALUE"""),46187.43206018519)</f>
        <v>46187.43206</v>
      </c>
      <c r="B3285" s="126">
        <f>IFERROR(__xludf.DUMMYFUNCTION("""COMPUTED_VALUE"""),46187.0)</f>
        <v>46187</v>
      </c>
      <c r="C3285" s="122" t="str">
        <f>IFERROR(__xludf.DUMMYFUNCTION("""COMPUTED_VALUE"""),"CAFE")</f>
        <v>CAFE</v>
      </c>
      <c r="D3285" s="122" t="str">
        <f>IFERROR(__xludf.DUMMYFUNCTION("""COMPUTED_VALUE"""),"Cafe Cloud")</f>
        <v>Cafe Cloud</v>
      </c>
      <c r="E3285" s="122">
        <f>IFERROR(__xludf.DUMMYFUNCTION("""COMPUTED_VALUE"""),101.03)</f>
        <v>101.03</v>
      </c>
      <c r="F3285" s="122">
        <f>IFERROR(__xludf.DUMMYFUNCTION("""COMPUTED_VALUE"""),-4.0E-4)</f>
        <v>-0.0004</v>
      </c>
    </row>
    <row r="3286">
      <c r="A3286" s="131">
        <f>IFERROR(__xludf.DUMMYFUNCTION("""COMPUTED_VALUE"""),46187.43206018519)</f>
        <v>46187.43206</v>
      </c>
      <c r="B3286" s="126">
        <f>IFERROR(__xludf.DUMMYFUNCTION("""COMPUTED_VALUE"""),46187.0)</f>
        <v>46187</v>
      </c>
      <c r="C3286" s="122" t="str">
        <f>IFERROR(__xludf.DUMMYFUNCTION("""COMPUTED_VALUE"""),"BAKE")</f>
        <v>BAKE</v>
      </c>
      <c r="D3286" s="122" t="str">
        <f>IFERROR(__xludf.DUMMYFUNCTION("""COMPUTED_VALUE"""),"BakeHouse")</f>
        <v>BakeHouse</v>
      </c>
      <c r="E3286" s="122">
        <f>IFERROR(__xludf.DUMMYFUNCTION("""COMPUTED_VALUE"""),99.85)</f>
        <v>99.85</v>
      </c>
      <c r="F3286" s="122">
        <f>IFERROR(__xludf.DUMMYFUNCTION("""COMPUTED_VALUE"""),-0.003)</f>
        <v>-0.003</v>
      </c>
    </row>
    <row r="3287">
      <c r="A3287" s="131">
        <f>IFERROR(__xludf.DUMMYFUNCTION("""COMPUTED_VALUE"""),46187.43206018519)</f>
        <v>46187.43206</v>
      </c>
      <c r="B3287" s="126">
        <f>IFERROR(__xludf.DUMMYFUNCTION("""COMPUTED_VALUE"""),46187.0)</f>
        <v>46187</v>
      </c>
      <c r="C3287" s="122" t="str">
        <f>IFERROR(__xludf.DUMMYFUNCTION("""COMPUTED_VALUE"""),"OILX")</f>
        <v>OILX</v>
      </c>
      <c r="D3287" s="122" t="str">
        <f>IFERROR(__xludf.DUMMYFUNCTION("""COMPUTED_VALUE"""),"OilMax Energy")</f>
        <v>OilMax Energy</v>
      </c>
      <c r="E3287" s="122">
        <f>IFERROR(__xludf.DUMMYFUNCTION("""COMPUTED_VALUE"""),132.32)</f>
        <v>132.32</v>
      </c>
      <c r="F3287" s="122">
        <f>IFERROR(__xludf.DUMMYFUNCTION("""COMPUTED_VALUE"""),-0.0014)</f>
        <v>-0.0014</v>
      </c>
    </row>
    <row r="3288">
      <c r="A3288" s="131">
        <f>IFERROR(__xludf.DUMMYFUNCTION("""COMPUTED_VALUE"""),46187.43206018519)</f>
        <v>46187.43206</v>
      </c>
      <c r="B3288" s="126">
        <f>IFERROR(__xludf.DUMMYFUNCTION("""COMPUTED_VALUE"""),46187.0)</f>
        <v>46187</v>
      </c>
      <c r="C3288" s="122" t="str">
        <f>IFERROR(__xludf.DUMMYFUNCTION("""COMPUTED_VALUE"""),"SOLR")</f>
        <v>SOLR</v>
      </c>
      <c r="D3288" s="122" t="str">
        <f>IFERROR(__xludf.DUMMYFUNCTION("""COMPUTED_VALUE"""),"SolarSpark")</f>
        <v>SolarSpark</v>
      </c>
      <c r="E3288" s="122">
        <f>IFERROR(__xludf.DUMMYFUNCTION("""COMPUTED_VALUE"""),89.04)</f>
        <v>89.04</v>
      </c>
      <c r="F3288" s="122">
        <f>IFERROR(__xludf.DUMMYFUNCTION("""COMPUTED_VALUE"""),-0.0048)</f>
        <v>-0.0048</v>
      </c>
    </row>
    <row r="3289">
      <c r="A3289" s="131">
        <f>IFERROR(__xludf.DUMMYFUNCTION("""COMPUTED_VALUE"""),46187.43206018519)</f>
        <v>46187.43206</v>
      </c>
      <c r="B3289" s="126">
        <f>IFERROR(__xludf.DUMMYFUNCTION("""COMPUTED_VALUE"""),46187.0)</f>
        <v>46187</v>
      </c>
      <c r="C3289" s="122" t="str">
        <f>IFERROR(__xludf.DUMMYFUNCTION("""COMPUTED_VALUE"""),"BATT")</f>
        <v>BATT</v>
      </c>
      <c r="D3289" s="122" t="str">
        <f>IFERROR(__xludf.DUMMYFUNCTION("""COMPUTED_VALUE"""),"BatteryBox")</f>
        <v>BatteryBox</v>
      </c>
      <c r="E3289" s="122">
        <f>IFERROR(__xludf.DUMMYFUNCTION("""COMPUTED_VALUE"""),120.16)</f>
        <v>120.16</v>
      </c>
      <c r="F3289" s="122">
        <f>IFERROR(__xludf.DUMMYFUNCTION("""COMPUTED_VALUE"""),-0.0063)</f>
        <v>-0.0063</v>
      </c>
    </row>
    <row r="3290">
      <c r="A3290" s="131">
        <f>IFERROR(__xludf.DUMMYFUNCTION("""COMPUTED_VALUE"""),46187.43206018519)</f>
        <v>46187.43206</v>
      </c>
      <c r="B3290" s="126">
        <f>IFERROR(__xludf.DUMMYFUNCTION("""COMPUTED_VALUE"""),46187.0)</f>
        <v>46187</v>
      </c>
      <c r="C3290" s="122" t="str">
        <f>IFERROR(__xludf.DUMMYFUNCTION("""COMPUTED_VALUE"""),"WIND")</f>
        <v>WIND</v>
      </c>
      <c r="D3290" s="122" t="str">
        <f>IFERROR(__xludf.DUMMYFUNCTION("""COMPUTED_VALUE"""),"WindWorks")</f>
        <v>WindWorks</v>
      </c>
      <c r="E3290" s="122">
        <f>IFERROR(__xludf.DUMMYFUNCTION("""COMPUTED_VALUE"""),88.4)</f>
        <v>88.4</v>
      </c>
      <c r="F3290" s="122">
        <f>IFERROR(__xludf.DUMMYFUNCTION("""COMPUTED_VALUE"""),-0.006)</f>
        <v>-0.006</v>
      </c>
    </row>
    <row r="3291">
      <c r="A3291" s="131">
        <f>IFERROR(__xludf.DUMMYFUNCTION("""COMPUTED_VALUE"""),46187.43206018519)</f>
        <v>46187.43206</v>
      </c>
      <c r="B3291" s="126">
        <f>IFERROR(__xludf.DUMMYFUNCTION("""COMPUTED_VALUE"""),46187.0)</f>
        <v>46187</v>
      </c>
      <c r="C3291" s="122" t="str">
        <f>IFERROR(__xludf.DUMMYFUNCTION("""COMPUTED_VALUE"""),"GRID")</f>
        <v>GRID</v>
      </c>
      <c r="D3291" s="122" t="str">
        <f>IFERROR(__xludf.DUMMYFUNCTION("""COMPUTED_VALUE"""),"GridPower")</f>
        <v>GridPower</v>
      </c>
      <c r="E3291" s="122">
        <f>IFERROR(__xludf.DUMMYFUNCTION("""COMPUTED_VALUE"""),141.47)</f>
        <v>141.47</v>
      </c>
      <c r="F3291" s="122">
        <f>IFERROR(__xludf.DUMMYFUNCTION("""COMPUTED_VALUE"""),-0.0032)</f>
        <v>-0.0032</v>
      </c>
    </row>
    <row r="3292">
      <c r="A3292" s="131">
        <f>IFERROR(__xludf.DUMMYFUNCTION("""COMPUTED_VALUE"""),46187.43206018519)</f>
        <v>46187.43206</v>
      </c>
      <c r="B3292" s="126">
        <f>IFERROR(__xludf.DUMMYFUNCTION("""COMPUTED_VALUE"""),46187.0)</f>
        <v>46187</v>
      </c>
      <c r="C3292" s="122" t="str">
        <f>IFERROR(__xludf.DUMMYFUNCTION("""COMPUTED_VALUE"""),"HOME")</f>
        <v>HOME</v>
      </c>
      <c r="D3292" s="122" t="str">
        <f>IFERROR(__xludf.DUMMYFUNCTION("""COMPUTED_VALUE"""),"HomeHub")</f>
        <v>HomeHub</v>
      </c>
      <c r="E3292" s="122">
        <f>IFERROR(__xludf.DUMMYFUNCTION("""COMPUTED_VALUE"""),150.47)</f>
        <v>150.47</v>
      </c>
      <c r="F3292" s="122">
        <f>IFERROR(__xludf.DUMMYFUNCTION("""COMPUTED_VALUE"""),0.0026)</f>
        <v>0.0026</v>
      </c>
    </row>
    <row r="3293">
      <c r="A3293" s="131">
        <f>IFERROR(__xludf.DUMMYFUNCTION("""COMPUTED_VALUE"""),46187.43206018519)</f>
        <v>46187.43206</v>
      </c>
      <c r="B3293" s="126">
        <f>IFERROR(__xludf.DUMMYFUNCTION("""COMPUTED_VALUE"""),46187.0)</f>
        <v>46187</v>
      </c>
      <c r="C3293" s="122" t="str">
        <f>IFERROR(__xludf.DUMMYFUNCTION("""COMPUTED_VALUE"""),"RENT")</f>
        <v>RENT</v>
      </c>
      <c r="D3293" s="122" t="str">
        <f>IFERROR(__xludf.DUMMYFUNCTION("""COMPUTED_VALUE"""),"RentRight")</f>
        <v>RentRight</v>
      </c>
      <c r="E3293" s="122">
        <f>IFERROR(__xludf.DUMMYFUNCTION("""COMPUTED_VALUE"""),91.94)</f>
        <v>91.94</v>
      </c>
      <c r="F3293" s="122">
        <f>IFERROR(__xludf.DUMMYFUNCTION("""COMPUTED_VALUE"""),0.0013)</f>
        <v>0.0013</v>
      </c>
    </row>
    <row r="3294">
      <c r="A3294" s="131">
        <f>IFERROR(__xludf.DUMMYFUNCTION("""COMPUTED_VALUE"""),46187.43206018519)</f>
        <v>46187.43206</v>
      </c>
      <c r="B3294" s="126">
        <f>IFERROR(__xludf.DUMMYFUNCTION("""COMPUTED_VALUE"""),46187.0)</f>
        <v>46187</v>
      </c>
      <c r="C3294" s="122" t="str">
        <f>IFERROR(__xludf.DUMMYFUNCTION("""COMPUTED_VALUE"""),"MALL")</f>
        <v>MALL</v>
      </c>
      <c r="D3294" s="122" t="str">
        <f>IFERROR(__xludf.DUMMYFUNCTION("""COMPUTED_VALUE"""),"MegaMall")</f>
        <v>MegaMall</v>
      </c>
      <c r="E3294" s="122">
        <f>IFERROR(__xludf.DUMMYFUNCTION("""COMPUTED_VALUE"""),100.58)</f>
        <v>100.58</v>
      </c>
      <c r="F3294" s="122">
        <f>IFERROR(__xludf.DUMMYFUNCTION("""COMPUTED_VALUE"""),-0.0055)</f>
        <v>-0.0055</v>
      </c>
    </row>
    <row r="3295">
      <c r="A3295" s="131">
        <f>IFERROR(__xludf.DUMMYFUNCTION("""COMPUTED_VALUE"""),46187.43206018519)</f>
        <v>46187.43206</v>
      </c>
      <c r="B3295" s="126">
        <f>IFERROR(__xludf.DUMMYFUNCTION("""COMPUTED_VALUE"""),46187.0)</f>
        <v>46187</v>
      </c>
      <c r="C3295" s="122" t="str">
        <f>IFERROR(__xludf.DUMMYFUNCTION("""COMPUTED_VALUE"""),"HOTL")</f>
        <v>HOTL</v>
      </c>
      <c r="D3295" s="122" t="str">
        <f>IFERROR(__xludf.DUMMYFUNCTION("""COMPUTED_VALUE"""),"HotelHive")</f>
        <v>HotelHive</v>
      </c>
      <c r="E3295" s="122">
        <f>IFERROR(__xludf.DUMMYFUNCTION("""COMPUTED_VALUE"""),130.71)</f>
        <v>130.71</v>
      </c>
      <c r="F3295" s="122">
        <f>IFERROR(__xludf.DUMMYFUNCTION("""COMPUTED_VALUE"""),0.0082)</f>
        <v>0.0082</v>
      </c>
    </row>
    <row r="3296">
      <c r="A3296" s="131">
        <f>IFERROR(__xludf.DUMMYFUNCTION("""COMPUTED_VALUE"""),46187.43206018519)</f>
        <v>46187.43206</v>
      </c>
      <c r="B3296" s="126">
        <f>IFERROR(__xludf.DUMMYFUNCTION("""COMPUTED_VALUE"""),46187.0)</f>
        <v>46187</v>
      </c>
      <c r="C3296" s="122" t="str">
        <f>IFERROR(__xludf.DUMMYFUNCTION("""COMPUTED_VALUE"""),"LAND")</f>
        <v>LAND</v>
      </c>
      <c r="D3296" s="122" t="str">
        <f>IFERROR(__xludf.DUMMYFUNCTION("""COMPUTED_VALUE"""),"LandLink")</f>
        <v>LandLink</v>
      </c>
      <c r="E3296" s="122">
        <f>IFERROR(__xludf.DUMMYFUNCTION("""COMPUTED_VALUE"""),182.47)</f>
        <v>182.47</v>
      </c>
      <c r="F3296" s="122">
        <f>IFERROR(__xludf.DUMMYFUNCTION("""COMPUTED_VALUE"""),0.0019)</f>
        <v>0.0019</v>
      </c>
    </row>
    <row r="3297">
      <c r="A3297" s="131">
        <f>IFERROR(__xludf.DUMMYFUNCTION("""COMPUTED_VALUE"""),46187.43206018519)</f>
        <v>46187.43206</v>
      </c>
      <c r="B3297" s="126">
        <f>IFERROR(__xludf.DUMMYFUNCTION("""COMPUTED_VALUE"""),46187.0)</f>
        <v>46187</v>
      </c>
      <c r="C3297" s="122" t="str">
        <f>IFERROR(__xludf.DUMMYFUNCTION("""COMPUTED_VALUE"""),"CARS")</f>
        <v>CARS</v>
      </c>
      <c r="D3297" s="122" t="str">
        <f>IFERROR(__xludf.DUMMYFUNCTION("""COMPUTED_VALUE"""),"AutoArena")</f>
        <v>AutoArena</v>
      </c>
      <c r="E3297" s="122">
        <f>IFERROR(__xludf.DUMMYFUNCTION("""COMPUTED_VALUE"""),81.27)</f>
        <v>81.27</v>
      </c>
      <c r="F3297" s="122">
        <f>IFERROR(__xludf.DUMMYFUNCTION("""COMPUTED_VALUE"""),4.0E-4)</f>
        <v>0.0004</v>
      </c>
    </row>
    <row r="3298">
      <c r="A3298" s="131">
        <f>IFERROR(__xludf.DUMMYFUNCTION("""COMPUTED_VALUE"""),46187.43206018519)</f>
        <v>46187.43206</v>
      </c>
      <c r="B3298" s="126">
        <f>IFERROR(__xludf.DUMMYFUNCTION("""COMPUTED_VALUE"""),46187.0)</f>
        <v>46187</v>
      </c>
      <c r="C3298" s="122" t="str">
        <f>IFERROR(__xludf.DUMMYFUNCTION("""COMPUTED_VALUE"""),"EVGO")</f>
        <v>EVGO</v>
      </c>
      <c r="D3298" s="122" t="str">
        <f>IFERROR(__xludf.DUMMYFUNCTION("""COMPUTED_VALUE"""),"EVGo Motors")</f>
        <v>EVGo Motors</v>
      </c>
      <c r="E3298" s="122">
        <f>IFERROR(__xludf.DUMMYFUNCTION("""COMPUTED_VALUE"""),187.21)</f>
        <v>187.21</v>
      </c>
      <c r="F3298" s="122">
        <f>IFERROR(__xludf.DUMMYFUNCTION("""COMPUTED_VALUE"""),0.0102)</f>
        <v>0.0102</v>
      </c>
    </row>
    <row r="3299">
      <c r="A3299" s="131">
        <f>IFERROR(__xludf.DUMMYFUNCTION("""COMPUTED_VALUE"""),46187.43206018519)</f>
        <v>46187.43206</v>
      </c>
      <c r="B3299" s="126">
        <f>IFERROR(__xludf.DUMMYFUNCTION("""COMPUTED_VALUE"""),46187.0)</f>
        <v>46187</v>
      </c>
      <c r="C3299" s="122" t="str">
        <f>IFERROR(__xludf.DUMMYFUNCTION("""COMPUTED_VALUE"""),"TIRE")</f>
        <v>TIRE</v>
      </c>
      <c r="D3299" s="122" t="str">
        <f>IFERROR(__xludf.DUMMYFUNCTION("""COMPUTED_VALUE"""),"TireTown")</f>
        <v>TireTown</v>
      </c>
      <c r="E3299" s="122">
        <f>IFERROR(__xludf.DUMMYFUNCTION("""COMPUTED_VALUE"""),93.58)</f>
        <v>93.58</v>
      </c>
      <c r="F3299" s="122">
        <f>IFERROR(__xludf.DUMMYFUNCTION("""COMPUTED_VALUE"""),0.0016)</f>
        <v>0.0016</v>
      </c>
    </row>
    <row r="3300">
      <c r="A3300" s="131">
        <f>IFERROR(__xludf.DUMMYFUNCTION("""COMPUTED_VALUE"""),46187.43206018519)</f>
        <v>46187.43206</v>
      </c>
      <c r="B3300" s="126">
        <f>IFERROR(__xludf.DUMMYFUNCTION("""COMPUTED_VALUE"""),46187.0)</f>
        <v>46187</v>
      </c>
      <c r="C3300" s="122" t="str">
        <f>IFERROR(__xludf.DUMMYFUNCTION("""COMPUTED_VALUE"""),"BIKE")</f>
        <v>BIKE</v>
      </c>
      <c r="D3300" s="122" t="str">
        <f>IFERROR(__xludf.DUMMYFUNCTION("""COMPUTED_VALUE"""),"BikeBox")</f>
        <v>BikeBox</v>
      </c>
      <c r="E3300" s="122">
        <f>IFERROR(__xludf.DUMMYFUNCTION("""COMPUTED_VALUE"""),52.74)</f>
        <v>52.74</v>
      </c>
      <c r="F3300" s="122">
        <f>IFERROR(__xludf.DUMMYFUNCTION("""COMPUTED_VALUE"""),-0.0062)</f>
        <v>-0.0062</v>
      </c>
    </row>
    <row r="3301">
      <c r="A3301" s="131">
        <f>IFERROR(__xludf.DUMMYFUNCTION("""COMPUTED_VALUE"""),46187.43206018519)</f>
        <v>46187.43206</v>
      </c>
      <c r="B3301" s="126">
        <f>IFERROR(__xludf.DUMMYFUNCTION("""COMPUTED_VALUE"""),46187.0)</f>
        <v>46187</v>
      </c>
      <c r="C3301" s="122" t="str">
        <f>IFERROR(__xludf.DUMMYFUNCTION("""COMPUTED_VALUE"""),"WASH")</f>
        <v>WASH</v>
      </c>
      <c r="D3301" s="122" t="str">
        <f>IFERROR(__xludf.DUMMYFUNCTION("""COMPUTED_VALUE"""),"CarWash Co")</f>
        <v>CarWash Co</v>
      </c>
      <c r="E3301" s="122">
        <f>IFERROR(__xludf.DUMMYFUNCTION("""COMPUTED_VALUE"""),120.56)</f>
        <v>120.56</v>
      </c>
      <c r="F3301" s="122">
        <f>IFERROR(__xludf.DUMMYFUNCTION("""COMPUTED_VALUE"""),-0.0033)</f>
        <v>-0.0033</v>
      </c>
    </row>
    <row r="3302">
      <c r="A3302" s="131">
        <f>IFERROR(__xludf.DUMMYFUNCTION("""COMPUTED_VALUE"""),46187.43206018519)</f>
        <v>46187.43206</v>
      </c>
      <c r="B3302" s="126">
        <f>IFERROR(__xludf.DUMMYFUNCTION("""COMPUTED_VALUE"""),46187.0)</f>
        <v>46187</v>
      </c>
      <c r="C3302" s="122" t="str">
        <f>IFERROR(__xludf.DUMMYFUNCTION("""COMPUTED_VALUE"""),"GBND")</f>
        <v>GBND</v>
      </c>
      <c r="D3302" s="122" t="str">
        <f>IFERROR(__xludf.DUMMYFUNCTION("""COMPUTED_VALUE"""),"Classroom Government Bond")</f>
        <v>Classroom Government Bond</v>
      </c>
      <c r="E3302" s="122">
        <f>IFERROR(__xludf.DUMMYFUNCTION("""COMPUTED_VALUE"""),100.98)</f>
        <v>100.98</v>
      </c>
      <c r="F3302" s="122">
        <f>IFERROR(__xludf.DUMMYFUNCTION("""COMPUTED_VALUE"""),-5.0E-4)</f>
        <v>-0.0005</v>
      </c>
    </row>
    <row r="3303">
      <c r="A3303" s="131">
        <f>IFERROR(__xludf.DUMMYFUNCTION("""COMPUTED_VALUE"""),46187.43206018519)</f>
        <v>46187.43206</v>
      </c>
      <c r="B3303" s="126">
        <f>IFERROR(__xludf.DUMMYFUNCTION("""COMPUTED_VALUE"""),46187.0)</f>
        <v>46187</v>
      </c>
      <c r="C3303" s="122" t="str">
        <f>IFERROR(__xludf.DUMMYFUNCTION("""COMPUTED_VALUE"""),"SBND")</f>
        <v>SBND</v>
      </c>
      <c r="D3303" s="122" t="str">
        <f>IFERROR(__xludf.DUMMYFUNCTION("""COMPUTED_VALUE"""),"School Savings Bond")</f>
        <v>School Savings Bond</v>
      </c>
      <c r="E3303" s="122">
        <f>IFERROR(__xludf.DUMMYFUNCTION("""COMPUTED_VALUE"""),99.53)</f>
        <v>99.53</v>
      </c>
      <c r="F3303" s="122">
        <f>IFERROR(__xludf.DUMMYFUNCTION("""COMPUTED_VALUE"""),0.0)</f>
        <v>0</v>
      </c>
    </row>
    <row r="3304">
      <c r="A3304" s="131">
        <f>IFERROR(__xludf.DUMMYFUNCTION("""COMPUTED_VALUE"""),46187.43206018519)</f>
        <v>46187.43206</v>
      </c>
      <c r="B3304" s="126">
        <f>IFERROR(__xludf.DUMMYFUNCTION("""COMPUTED_VALUE"""),46187.0)</f>
        <v>46187</v>
      </c>
      <c r="C3304" s="122" t="str">
        <f>IFERROR(__xludf.DUMMYFUNCTION("""COMPUTED_VALUE"""),"CBND")</f>
        <v>CBND</v>
      </c>
      <c r="D3304" s="122" t="str">
        <f>IFERROR(__xludf.DUMMYFUNCTION("""COMPUTED_VALUE"""),"Corporate Classroom Bond")</f>
        <v>Corporate Classroom Bond</v>
      </c>
      <c r="E3304" s="122">
        <f>IFERROR(__xludf.DUMMYFUNCTION("""COMPUTED_VALUE"""),97.77)</f>
        <v>97.77</v>
      </c>
      <c r="F3304" s="122">
        <f>IFERROR(__xludf.DUMMYFUNCTION("""COMPUTED_VALUE"""),5.0E-4)</f>
        <v>0.0005</v>
      </c>
    </row>
    <row r="3305">
      <c r="A3305" s="131">
        <f>IFERROR(__xludf.DUMMYFUNCTION("""COMPUTED_VALUE"""),46187.43206018519)</f>
        <v>46187.43206</v>
      </c>
      <c r="B3305" s="126">
        <f>IFERROR(__xludf.DUMMYFUNCTION("""COMPUTED_VALUE"""),46187.0)</f>
        <v>46187</v>
      </c>
      <c r="C3305" s="122" t="str">
        <f>IFERROR(__xludf.DUMMYFUNCTION("""COMPUTED_VALUE"""),"TBIL")</f>
        <v>TBIL</v>
      </c>
      <c r="D3305" s="122" t="str">
        <f>IFERROR(__xludf.DUMMYFUNCTION("""COMPUTED_VALUE"""),"Treasury Bill")</f>
        <v>Treasury Bill</v>
      </c>
      <c r="E3305" s="122">
        <f>IFERROR(__xludf.DUMMYFUNCTION("""COMPUTED_VALUE"""),98.04)</f>
        <v>98.04</v>
      </c>
      <c r="F3305" s="122">
        <f>IFERROR(__xludf.DUMMYFUNCTION("""COMPUTED_VALUE"""),1.0E-4)</f>
        <v>0.0001</v>
      </c>
    </row>
    <row r="3306">
      <c r="A3306" s="131">
        <f>IFERROR(__xludf.DUMMYFUNCTION("""COMPUTED_VALUE"""),46187.43206018519)</f>
        <v>46187.43206</v>
      </c>
      <c r="B3306" s="126">
        <f>IFERROR(__xludf.DUMMYFUNCTION("""COMPUTED_VALUE"""),46187.0)</f>
        <v>46187</v>
      </c>
      <c r="C3306" s="122" t="str">
        <f>IFERROR(__xludf.DUMMYFUNCTION("""COMPUTED_VALUE"""),"IBND")</f>
        <v>IBND</v>
      </c>
      <c r="D3306" s="122" t="str">
        <f>IFERROR(__xludf.DUMMYFUNCTION("""COMPUTED_VALUE"""),"Inflation Protected Bond")</f>
        <v>Inflation Protected Bond</v>
      </c>
      <c r="E3306" s="122">
        <f>IFERROR(__xludf.DUMMYFUNCTION("""COMPUTED_VALUE"""),100.66)</f>
        <v>100.66</v>
      </c>
      <c r="F3306" s="122">
        <f>IFERROR(__xludf.DUMMYFUNCTION("""COMPUTED_VALUE"""),-4.0E-4)</f>
        <v>-0.0004</v>
      </c>
    </row>
    <row r="3307">
      <c r="A3307" s="131">
        <f>IFERROR(__xludf.DUMMYFUNCTION("""COMPUTED_VALUE"""),46187.435590277775)</f>
        <v>46187.43559</v>
      </c>
      <c r="B3307" s="126">
        <f>IFERROR(__xludf.DUMMYFUNCTION("""COMPUTED_VALUE"""),46187.0)</f>
        <v>46187</v>
      </c>
      <c r="C3307" s="122" t="str">
        <f>IFERROR(__xludf.DUMMYFUNCTION("""COMPUTED_VALUE"""),"SNAX")</f>
        <v>SNAX</v>
      </c>
      <c r="D3307" s="122" t="str">
        <f>IFERROR(__xludf.DUMMYFUNCTION("""COMPUTED_VALUE"""),"MICA Snacks")</f>
        <v>MICA Snacks</v>
      </c>
      <c r="E3307" s="122">
        <f>IFERROR(__xludf.DUMMYFUNCTION("""COMPUTED_VALUE"""),120.89)</f>
        <v>120.89</v>
      </c>
      <c r="F3307" s="122">
        <f>IFERROR(__xludf.DUMMYFUNCTION("""COMPUTED_VALUE"""),-0.002)</f>
        <v>-0.002</v>
      </c>
    </row>
    <row r="3308">
      <c r="A3308" s="131">
        <f>IFERROR(__xludf.DUMMYFUNCTION("""COMPUTED_VALUE"""),46187.435590277775)</f>
        <v>46187.43559</v>
      </c>
      <c r="B3308" s="126">
        <f>IFERROR(__xludf.DUMMYFUNCTION("""COMPUTED_VALUE"""),46187.0)</f>
        <v>46187</v>
      </c>
      <c r="C3308" s="122" t="str">
        <f>IFERROR(__xludf.DUMMYFUNCTION("""COMPUTED_VALUE"""),"RAMN")</f>
        <v>RAMN</v>
      </c>
      <c r="D3308" s="122" t="str">
        <f>IFERROR(__xludf.DUMMYFUNCTION("""COMPUTED_VALUE"""),"Ramen Republic")</f>
        <v>Ramen Republic</v>
      </c>
      <c r="E3308" s="122">
        <f>IFERROR(__xludf.DUMMYFUNCTION("""COMPUTED_VALUE"""),72.37)</f>
        <v>72.37</v>
      </c>
      <c r="F3308" s="122">
        <f>IFERROR(__xludf.DUMMYFUNCTION("""COMPUTED_VALUE"""),0.0022)</f>
        <v>0.0022</v>
      </c>
    </row>
    <row r="3309">
      <c r="A3309" s="131">
        <f>IFERROR(__xludf.DUMMYFUNCTION("""COMPUTED_VALUE"""),46187.435590277775)</f>
        <v>46187.43559</v>
      </c>
      <c r="B3309" s="126">
        <f>IFERROR(__xludf.DUMMYFUNCTION("""COMPUTED_VALUE"""),46187.0)</f>
        <v>46187</v>
      </c>
      <c r="C3309" s="122" t="str">
        <f>IFERROR(__xludf.DUMMYFUNCTION("""COMPUTED_VALUE"""),"COLA")</f>
        <v>COLA</v>
      </c>
      <c r="D3309" s="122" t="str">
        <f>IFERROR(__xludf.DUMMYFUNCTION("""COMPUTED_VALUE"""),"K-Pop Cola")</f>
        <v>K-Pop Cola</v>
      </c>
      <c r="E3309" s="122">
        <f>IFERROR(__xludf.DUMMYFUNCTION("""COMPUTED_VALUE"""),108.31)</f>
        <v>108.31</v>
      </c>
      <c r="F3309" s="122">
        <f>IFERROR(__xludf.DUMMYFUNCTION("""COMPUTED_VALUE"""),0.0075)</f>
        <v>0.0075</v>
      </c>
    </row>
    <row r="3310">
      <c r="A3310" s="131">
        <f>IFERROR(__xludf.DUMMYFUNCTION("""COMPUTED_VALUE"""),46187.435590277775)</f>
        <v>46187.43559</v>
      </c>
      <c r="B3310" s="126">
        <f>IFERROR(__xludf.DUMMYFUNCTION("""COMPUTED_VALUE"""),46187.0)</f>
        <v>46187</v>
      </c>
      <c r="C3310" s="122" t="str">
        <f>IFERROR(__xludf.DUMMYFUNCTION("""COMPUTED_VALUE"""),"CHIP")</f>
        <v>CHIP</v>
      </c>
      <c r="D3310" s="122" t="str">
        <f>IFERROR(__xludf.DUMMYFUNCTION("""COMPUTED_VALUE"""),"Chip Empire")</f>
        <v>Chip Empire</v>
      </c>
      <c r="E3310" s="122">
        <f>IFERROR(__xludf.DUMMYFUNCTION("""COMPUTED_VALUE"""),88.03)</f>
        <v>88.03</v>
      </c>
      <c r="F3310" s="122">
        <f>IFERROR(__xludf.DUMMYFUNCTION("""COMPUTED_VALUE"""),0.0082)</f>
        <v>0.0082</v>
      </c>
    </row>
    <row r="3311">
      <c r="A3311" s="131">
        <f>IFERROR(__xludf.DUMMYFUNCTION("""COMPUTED_VALUE"""),46187.435590277775)</f>
        <v>46187.43559</v>
      </c>
      <c r="B3311" s="126">
        <f>IFERROR(__xludf.DUMMYFUNCTION("""COMPUTED_VALUE"""),46187.0)</f>
        <v>46187</v>
      </c>
      <c r="C3311" s="122" t="str">
        <f>IFERROR(__xludf.DUMMYFUNCTION("""COMPUTED_VALUE"""),"CAND")</f>
        <v>CAND</v>
      </c>
      <c r="D3311" s="122" t="str">
        <f>IFERROR(__xludf.DUMMYFUNCTION("""COMPUTED_VALUE"""),"Candy Capital")</f>
        <v>Candy Capital</v>
      </c>
      <c r="E3311" s="122">
        <f>IFERROR(__xludf.DUMMYFUNCTION("""COMPUTED_VALUE"""),76.36)</f>
        <v>76.36</v>
      </c>
      <c r="F3311" s="122">
        <f>IFERROR(__xludf.DUMMYFUNCTION("""COMPUTED_VALUE"""),-5.0E-4)</f>
        <v>-0.0005</v>
      </c>
    </row>
    <row r="3312">
      <c r="A3312" s="131">
        <f>IFERROR(__xludf.DUMMYFUNCTION("""COMPUTED_VALUE"""),46187.435590277775)</f>
        <v>46187.43559</v>
      </c>
      <c r="B3312" s="126">
        <f>IFERROR(__xludf.DUMMYFUNCTION("""COMPUTED_VALUE"""),46187.0)</f>
        <v>46187</v>
      </c>
      <c r="C3312" s="122" t="str">
        <f>IFERROR(__xludf.DUMMYFUNCTION("""COMPUTED_VALUE"""),"TECH")</f>
        <v>TECH</v>
      </c>
      <c r="D3312" s="122" t="str">
        <f>IFERROR(__xludf.DUMMYFUNCTION("""COMPUTED_VALUE"""),"Dragon Tech")</f>
        <v>Dragon Tech</v>
      </c>
      <c r="E3312" s="122">
        <f>IFERROR(__xludf.DUMMYFUNCTION("""COMPUTED_VALUE"""),247.3)</f>
        <v>247.3</v>
      </c>
      <c r="F3312" s="122">
        <f>IFERROR(__xludf.DUMMYFUNCTION("""COMPUTED_VALUE"""),0.0037)</f>
        <v>0.0037</v>
      </c>
    </row>
    <row r="3313">
      <c r="A3313" s="131">
        <f>IFERROR(__xludf.DUMMYFUNCTION("""COMPUTED_VALUE"""),46187.435590277775)</f>
        <v>46187.43559</v>
      </c>
      <c r="B3313" s="126">
        <f>IFERROR(__xludf.DUMMYFUNCTION("""COMPUTED_VALUE"""),46187.0)</f>
        <v>46187</v>
      </c>
      <c r="C3313" s="122" t="str">
        <f>IFERROR(__xludf.DUMMYFUNCTION("""COMPUTED_VALUE"""),"AIBO")</f>
        <v>AIBO</v>
      </c>
      <c r="D3313" s="122" t="str">
        <f>IFERROR(__xludf.DUMMYFUNCTION("""COMPUTED_VALUE"""),"Homework AI")</f>
        <v>Homework AI</v>
      </c>
      <c r="E3313" s="122">
        <f>IFERROR(__xludf.DUMMYFUNCTION("""COMPUTED_VALUE"""),171.63)</f>
        <v>171.63</v>
      </c>
      <c r="F3313" s="122">
        <f>IFERROR(__xludf.DUMMYFUNCTION("""COMPUTED_VALUE"""),-0.0092)</f>
        <v>-0.0092</v>
      </c>
    </row>
    <row r="3314">
      <c r="A3314" s="131">
        <f>IFERROR(__xludf.DUMMYFUNCTION("""COMPUTED_VALUE"""),46187.435590277775)</f>
        <v>46187.43559</v>
      </c>
      <c r="B3314" s="126">
        <f>IFERROR(__xludf.DUMMYFUNCTION("""COMPUTED_VALUE"""),46187.0)</f>
        <v>46187</v>
      </c>
      <c r="C3314" s="122" t="str">
        <f>IFERROR(__xludf.DUMMYFUNCTION("""COMPUTED_VALUE"""),"GAME")</f>
        <v>GAME</v>
      </c>
      <c r="D3314" s="122" t="str">
        <f>IFERROR(__xludf.DUMMYFUNCTION("""COMPUTED_VALUE"""),"GameBox Media")</f>
        <v>GameBox Media</v>
      </c>
      <c r="E3314" s="122">
        <f>IFERROR(__xludf.DUMMYFUNCTION("""COMPUTED_VALUE"""),95.94)</f>
        <v>95.94</v>
      </c>
      <c r="F3314" s="122">
        <f>IFERROR(__xludf.DUMMYFUNCTION("""COMPUTED_VALUE"""),0.0106)</f>
        <v>0.0106</v>
      </c>
    </row>
    <row r="3315">
      <c r="A3315" s="131">
        <f>IFERROR(__xludf.DUMMYFUNCTION("""COMPUTED_VALUE"""),46187.435590277775)</f>
        <v>46187.43559</v>
      </c>
      <c r="B3315" s="126">
        <f>IFERROR(__xludf.DUMMYFUNCTION("""COMPUTED_VALUE"""),46187.0)</f>
        <v>46187</v>
      </c>
      <c r="C3315" s="122" t="str">
        <f>IFERROR(__xludf.DUMMYFUNCTION("""COMPUTED_VALUE"""),"VRSE")</f>
        <v>VRSE</v>
      </c>
      <c r="D3315" s="122" t="str">
        <f>IFERROR(__xludf.DUMMYFUNCTION("""COMPUTED_VALUE"""),"VerseVR")</f>
        <v>VerseVR</v>
      </c>
      <c r="E3315" s="122">
        <f>IFERROR(__xludf.DUMMYFUNCTION("""COMPUTED_VALUE"""),146.16)</f>
        <v>146.16</v>
      </c>
      <c r="F3315" s="122">
        <f>IFERROR(__xludf.DUMMYFUNCTION("""COMPUTED_VALUE"""),-0.0078)</f>
        <v>-0.0078</v>
      </c>
    </row>
    <row r="3316">
      <c r="A3316" s="131">
        <f>IFERROR(__xludf.DUMMYFUNCTION("""COMPUTED_VALUE"""),46187.435590277775)</f>
        <v>46187.43559</v>
      </c>
      <c r="B3316" s="126">
        <f>IFERROR(__xludf.DUMMYFUNCTION("""COMPUTED_VALUE"""),46187.0)</f>
        <v>46187</v>
      </c>
      <c r="C3316" s="122" t="str">
        <f>IFERROR(__xludf.DUMMYFUNCTION("""COMPUTED_VALUE"""),"BYTE")</f>
        <v>BYTE</v>
      </c>
      <c r="D3316" s="122" t="str">
        <f>IFERROR(__xludf.DUMMYFUNCTION("""COMPUTED_VALUE"""),"ByteWorks")</f>
        <v>ByteWorks</v>
      </c>
      <c r="E3316" s="122">
        <f>IFERROR(__xludf.DUMMYFUNCTION("""COMPUTED_VALUE"""),108.64)</f>
        <v>108.64</v>
      </c>
      <c r="F3316" s="122">
        <f>IFERROR(__xludf.DUMMYFUNCTION("""COMPUTED_VALUE"""),-0.008)</f>
        <v>-0.008</v>
      </c>
    </row>
    <row r="3317">
      <c r="A3317" s="131">
        <f>IFERROR(__xludf.DUMMYFUNCTION("""COMPUTED_VALUE"""),46187.435590277775)</f>
        <v>46187.43559</v>
      </c>
      <c r="B3317" s="126">
        <f>IFERROR(__xludf.DUMMYFUNCTION("""COMPUTED_VALUE"""),46187.0)</f>
        <v>46187</v>
      </c>
      <c r="C3317" s="122" t="str">
        <f>IFERROR(__xludf.DUMMYFUNCTION("""COMPUTED_VALUE"""),"BANK")</f>
        <v>BANK</v>
      </c>
      <c r="D3317" s="122" t="str">
        <f>IFERROR(__xludf.DUMMYFUNCTION("""COMPUTED_VALUE"""),"Tiger Bank")</f>
        <v>Tiger Bank</v>
      </c>
      <c r="E3317" s="122">
        <f>IFERROR(__xludf.DUMMYFUNCTION("""COMPUTED_VALUE"""),127.02)</f>
        <v>127.02</v>
      </c>
      <c r="F3317" s="122">
        <f>IFERROR(__xludf.DUMMYFUNCTION("""COMPUTED_VALUE"""),0.004)</f>
        <v>0.004</v>
      </c>
    </row>
    <row r="3318">
      <c r="A3318" s="131">
        <f>IFERROR(__xludf.DUMMYFUNCTION("""COMPUTED_VALUE"""),46187.435590277775)</f>
        <v>46187.43559</v>
      </c>
      <c r="B3318" s="126">
        <f>IFERROR(__xludf.DUMMYFUNCTION("""COMPUTED_VALUE"""),46187.0)</f>
        <v>46187</v>
      </c>
      <c r="C3318" s="122" t="str">
        <f>IFERROR(__xludf.DUMMYFUNCTION("""COMPUTED_VALUE"""),"CRED")</f>
        <v>CRED</v>
      </c>
      <c r="D3318" s="122" t="str">
        <f>IFERROR(__xludf.DUMMYFUNCTION("""COMPUTED_VALUE"""),"Credit Castle")</f>
        <v>Credit Castle</v>
      </c>
      <c r="E3318" s="122">
        <f>IFERROR(__xludf.DUMMYFUNCTION("""COMPUTED_VALUE"""),68.19)</f>
        <v>68.19</v>
      </c>
      <c r="F3318" s="122">
        <f>IFERROR(__xludf.DUMMYFUNCTION("""COMPUTED_VALUE"""),-0.0031)</f>
        <v>-0.0031</v>
      </c>
    </row>
    <row r="3319">
      <c r="A3319" s="131">
        <f>IFERROR(__xludf.DUMMYFUNCTION("""COMPUTED_VALUE"""),46187.435590277775)</f>
        <v>46187.43559</v>
      </c>
      <c r="B3319" s="126">
        <f>IFERROR(__xludf.DUMMYFUNCTION("""COMPUTED_VALUE"""),46187.0)</f>
        <v>46187</v>
      </c>
      <c r="C3319" s="122" t="str">
        <f>IFERROR(__xludf.DUMMYFUNCTION("""COMPUTED_VALUE"""),"BOND")</f>
        <v>BOND</v>
      </c>
      <c r="D3319" s="122" t="str">
        <f>IFERROR(__xludf.DUMMYFUNCTION("""COMPUTED_VALUE"""),"BondBridge")</f>
        <v>BondBridge</v>
      </c>
      <c r="E3319" s="122">
        <f>IFERROR(__xludf.DUMMYFUNCTION("""COMPUTED_VALUE"""),98.28)</f>
        <v>98.28</v>
      </c>
      <c r="F3319" s="122">
        <f>IFERROR(__xludf.DUMMYFUNCTION("""COMPUTED_VALUE"""),3.0E-4)</f>
        <v>0.0003</v>
      </c>
    </row>
    <row r="3320">
      <c r="A3320" s="131">
        <f>IFERROR(__xludf.DUMMYFUNCTION("""COMPUTED_VALUE"""),46187.435590277775)</f>
        <v>46187.43559</v>
      </c>
      <c r="B3320" s="126">
        <f>IFERROR(__xludf.DUMMYFUNCTION("""COMPUTED_VALUE"""),46187.0)</f>
        <v>46187</v>
      </c>
      <c r="C3320" s="122" t="str">
        <f>IFERROR(__xludf.DUMMYFUNCTION("""COMPUTED_VALUE"""),"INSR")</f>
        <v>INSR</v>
      </c>
      <c r="D3320" s="122" t="str">
        <f>IFERROR(__xludf.DUMMYFUNCTION("""COMPUTED_VALUE"""),"Shield Insurance")</f>
        <v>Shield Insurance</v>
      </c>
      <c r="E3320" s="122">
        <f>IFERROR(__xludf.DUMMYFUNCTION("""COMPUTED_VALUE"""),159.39)</f>
        <v>159.39</v>
      </c>
      <c r="F3320" s="122">
        <f>IFERROR(__xludf.DUMMYFUNCTION("""COMPUTED_VALUE"""),0.004)</f>
        <v>0.004</v>
      </c>
    </row>
    <row r="3321">
      <c r="A3321" s="131">
        <f>IFERROR(__xludf.DUMMYFUNCTION("""COMPUTED_VALUE"""),46187.435590277775)</f>
        <v>46187.43559</v>
      </c>
      <c r="B3321" s="126">
        <f>IFERROR(__xludf.DUMMYFUNCTION("""COMPUTED_VALUE"""),46187.0)</f>
        <v>46187</v>
      </c>
      <c r="C3321" s="122" t="str">
        <f>IFERROR(__xludf.DUMMYFUNCTION("""COMPUTED_VALUE"""),"LOAN")</f>
        <v>LOAN</v>
      </c>
      <c r="D3321" s="122" t="str">
        <f>IFERROR(__xludf.DUMMYFUNCTION("""COMPUTED_VALUE"""),"LoanLab")</f>
        <v>LoanLab</v>
      </c>
      <c r="E3321" s="122">
        <f>IFERROR(__xludf.DUMMYFUNCTION("""COMPUTED_VALUE"""),62.99)</f>
        <v>62.99</v>
      </c>
      <c r="F3321" s="122">
        <f>IFERROR(__xludf.DUMMYFUNCTION("""COMPUTED_VALUE"""),6.0E-4)</f>
        <v>0.0006</v>
      </c>
    </row>
    <row r="3322">
      <c r="A3322" s="131">
        <f>IFERROR(__xludf.DUMMYFUNCTION("""COMPUTED_VALUE"""),46187.435590277775)</f>
        <v>46187.43559</v>
      </c>
      <c r="B3322" s="126">
        <f>IFERROR(__xludf.DUMMYFUNCTION("""COMPUTED_VALUE"""),46187.0)</f>
        <v>46187</v>
      </c>
      <c r="C3322" s="122" t="str">
        <f>IFERROR(__xludf.DUMMYFUNCTION("""COMPUTED_VALUE"""),"LUXE")</f>
        <v>LUXE</v>
      </c>
      <c r="D3322" s="122" t="str">
        <f>IFERROR(__xludf.DUMMYFUNCTION("""COMPUTED_VALUE"""),"Luxury Locker")</f>
        <v>Luxury Locker</v>
      </c>
      <c r="E3322" s="122">
        <f>IFERROR(__xludf.DUMMYFUNCTION("""COMPUTED_VALUE"""),259.32)</f>
        <v>259.32</v>
      </c>
      <c r="F3322" s="122">
        <f>IFERROR(__xludf.DUMMYFUNCTION("""COMPUTED_VALUE"""),0.0044)</f>
        <v>0.0044</v>
      </c>
    </row>
    <row r="3323">
      <c r="A3323" s="131">
        <f>IFERROR(__xludf.DUMMYFUNCTION("""COMPUTED_VALUE"""),46187.435590277775)</f>
        <v>46187.43559</v>
      </c>
      <c r="B3323" s="126">
        <f>IFERROR(__xludf.DUMMYFUNCTION("""COMPUTED_VALUE"""),46187.0)</f>
        <v>46187</v>
      </c>
      <c r="C3323" s="122" t="str">
        <f>IFERROR(__xludf.DUMMYFUNCTION("""COMPUTED_VALUE"""),"DRIP")</f>
        <v>DRIP</v>
      </c>
      <c r="D3323" s="122" t="str">
        <f>IFERROR(__xludf.DUMMYFUNCTION("""COMPUTED_VALUE"""),"Drip Streetwear")</f>
        <v>Drip Streetwear</v>
      </c>
      <c r="E3323" s="122">
        <f>IFERROR(__xludf.DUMMYFUNCTION("""COMPUTED_VALUE"""),201.06)</f>
        <v>201.06</v>
      </c>
      <c r="F3323" s="122">
        <f>IFERROR(__xludf.DUMMYFUNCTION("""COMPUTED_VALUE"""),0.0023)</f>
        <v>0.0023</v>
      </c>
    </row>
    <row r="3324">
      <c r="A3324" s="131">
        <f>IFERROR(__xludf.DUMMYFUNCTION("""COMPUTED_VALUE"""),46187.435590277775)</f>
        <v>46187.43559</v>
      </c>
      <c r="B3324" s="126">
        <f>IFERROR(__xludf.DUMMYFUNCTION("""COMPUTED_VALUE"""),46187.0)</f>
        <v>46187</v>
      </c>
      <c r="C3324" s="122" t="str">
        <f>IFERROR(__xludf.DUMMYFUNCTION("""COMPUTED_VALUE"""),"KICK")</f>
        <v>KICK</v>
      </c>
      <c r="D3324" s="122" t="str">
        <f>IFERROR(__xludf.DUMMYFUNCTION("""COMPUTED_VALUE"""),"KickDrop Sneakers")</f>
        <v>KickDrop Sneakers</v>
      </c>
      <c r="E3324" s="122">
        <f>IFERROR(__xludf.DUMMYFUNCTION("""COMPUTED_VALUE"""),172.12)</f>
        <v>172.12</v>
      </c>
      <c r="F3324" s="122">
        <f>IFERROR(__xludf.DUMMYFUNCTION("""COMPUTED_VALUE"""),-0.0061)</f>
        <v>-0.0061</v>
      </c>
    </row>
    <row r="3325">
      <c r="A3325" s="131">
        <f>IFERROR(__xludf.DUMMYFUNCTION("""COMPUTED_VALUE"""),46187.435590277775)</f>
        <v>46187.43559</v>
      </c>
      <c r="B3325" s="126">
        <f>IFERROR(__xludf.DUMMYFUNCTION("""COMPUTED_VALUE"""),46187.0)</f>
        <v>46187</v>
      </c>
      <c r="C3325" s="122" t="str">
        <f>IFERROR(__xludf.DUMMYFUNCTION("""COMPUTED_VALUE"""),"GLAM")</f>
        <v>GLAM</v>
      </c>
      <c r="D3325" s="122" t="str">
        <f>IFERROR(__xludf.DUMMYFUNCTION("""COMPUTED_VALUE"""),"Glow Cosmetics")</f>
        <v>Glow Cosmetics</v>
      </c>
      <c r="E3325" s="122">
        <f>IFERROR(__xludf.DUMMYFUNCTION("""COMPUTED_VALUE"""),99.52)</f>
        <v>99.52</v>
      </c>
      <c r="F3325" s="122">
        <f>IFERROR(__xludf.DUMMYFUNCTION("""COMPUTED_VALUE"""),-0.0039)</f>
        <v>-0.0039</v>
      </c>
    </row>
    <row r="3326">
      <c r="A3326" s="131">
        <f>IFERROR(__xludf.DUMMYFUNCTION("""COMPUTED_VALUE"""),46187.435590277775)</f>
        <v>46187.43559</v>
      </c>
      <c r="B3326" s="126">
        <f>IFERROR(__xludf.DUMMYFUNCTION("""COMPUTED_VALUE"""),46187.0)</f>
        <v>46187</v>
      </c>
      <c r="C3326" s="122" t="str">
        <f>IFERROR(__xludf.DUMMYFUNCTION("""COMPUTED_VALUE"""),"BAGG")</f>
        <v>BAGG</v>
      </c>
      <c r="D3326" s="122" t="str">
        <f>IFERROR(__xludf.DUMMYFUNCTION("""COMPUTED_VALUE"""),"BagVault")</f>
        <v>BagVault</v>
      </c>
      <c r="E3326" s="122">
        <f>IFERROR(__xludf.DUMMYFUNCTION("""COMPUTED_VALUE"""),252.21)</f>
        <v>252.21</v>
      </c>
      <c r="F3326" s="122">
        <f>IFERROR(__xludf.DUMMYFUNCTION("""COMPUTED_VALUE"""),0.0073)</f>
        <v>0.0073</v>
      </c>
    </row>
    <row r="3327">
      <c r="A3327" s="131">
        <f>IFERROR(__xludf.DUMMYFUNCTION("""COMPUTED_VALUE"""),46187.435590277775)</f>
        <v>46187.43559</v>
      </c>
      <c r="B3327" s="126">
        <f>IFERROR(__xludf.DUMMYFUNCTION("""COMPUTED_VALUE"""),46187.0)</f>
        <v>46187</v>
      </c>
      <c r="C3327" s="122" t="str">
        <f>IFERROR(__xludf.DUMMYFUNCTION("""COMPUTED_VALUE"""),"FAST")</f>
        <v>FAST</v>
      </c>
      <c r="D3327" s="122" t="str">
        <f>IFERROR(__xludf.DUMMYFUNCTION("""COMPUTED_VALUE"""),"Flash Logistics")</f>
        <v>Flash Logistics</v>
      </c>
      <c r="E3327" s="122">
        <f>IFERROR(__xludf.DUMMYFUNCTION("""COMPUTED_VALUE"""),103.21)</f>
        <v>103.21</v>
      </c>
      <c r="F3327" s="122">
        <f>IFERROR(__xludf.DUMMYFUNCTION("""COMPUTED_VALUE"""),-0.0014)</f>
        <v>-0.0014</v>
      </c>
    </row>
    <row r="3328">
      <c r="A3328" s="131">
        <f>IFERROR(__xludf.DUMMYFUNCTION("""COMPUTED_VALUE"""),46187.435590277775)</f>
        <v>46187.43559</v>
      </c>
      <c r="B3328" s="126">
        <f>IFERROR(__xludf.DUMMYFUNCTION("""COMPUTED_VALUE"""),46187.0)</f>
        <v>46187</v>
      </c>
      <c r="C3328" s="122" t="str">
        <f>IFERROR(__xludf.DUMMYFUNCTION("""COMPUTED_VALUE"""),"SHIP")</f>
        <v>SHIP</v>
      </c>
      <c r="D3328" s="122" t="str">
        <f>IFERROR(__xludf.DUMMYFUNCTION("""COMPUTED_VALUE"""),"Seoul Shipping")</f>
        <v>Seoul Shipping</v>
      </c>
      <c r="E3328" s="122">
        <f>IFERROR(__xludf.DUMMYFUNCTION("""COMPUTED_VALUE"""),119.26)</f>
        <v>119.26</v>
      </c>
      <c r="F3328" s="122">
        <f>IFERROR(__xludf.DUMMYFUNCTION("""COMPUTED_VALUE"""),0.0056)</f>
        <v>0.0056</v>
      </c>
    </row>
    <row r="3329">
      <c r="A3329" s="131">
        <f>IFERROR(__xludf.DUMMYFUNCTION("""COMPUTED_VALUE"""),46187.435590277775)</f>
        <v>46187.43559</v>
      </c>
      <c r="B3329" s="126">
        <f>IFERROR(__xludf.DUMMYFUNCTION("""COMPUTED_VALUE"""),46187.0)</f>
        <v>46187</v>
      </c>
      <c r="C3329" s="122" t="str">
        <f>IFERROR(__xludf.DUMMYFUNCTION("""COMPUTED_VALUE"""),"DRON")</f>
        <v>DRON</v>
      </c>
      <c r="D3329" s="122" t="str">
        <f>IFERROR(__xludf.DUMMYFUNCTION("""COMPUTED_VALUE"""),"DroneDrop")</f>
        <v>DroneDrop</v>
      </c>
      <c r="E3329" s="122">
        <f>IFERROR(__xludf.DUMMYFUNCTION("""COMPUTED_VALUE"""),132.56)</f>
        <v>132.56</v>
      </c>
      <c r="F3329" s="122">
        <f>IFERROR(__xludf.DUMMYFUNCTION("""COMPUTED_VALUE"""),0.0024)</f>
        <v>0.0024</v>
      </c>
    </row>
    <row r="3330">
      <c r="A3330" s="131">
        <f>IFERROR(__xludf.DUMMYFUNCTION("""COMPUTED_VALUE"""),46187.435590277775)</f>
        <v>46187.43559</v>
      </c>
      <c r="B3330" s="126">
        <f>IFERROR(__xludf.DUMMYFUNCTION("""COMPUTED_VALUE"""),46187.0)</f>
        <v>46187</v>
      </c>
      <c r="C3330" s="122" t="str">
        <f>IFERROR(__xludf.DUMMYFUNCTION("""COMPUTED_VALUE"""),"RIDE")</f>
        <v>RIDE</v>
      </c>
      <c r="D3330" s="122" t="str">
        <f>IFERROR(__xludf.DUMMYFUNCTION("""COMPUTED_VALUE"""),"QuickRide")</f>
        <v>QuickRide</v>
      </c>
      <c r="E3330" s="122">
        <f>IFERROR(__xludf.DUMMYFUNCTION("""COMPUTED_VALUE"""),96.78)</f>
        <v>96.78</v>
      </c>
      <c r="F3330" s="122">
        <f>IFERROR(__xludf.DUMMYFUNCTION("""COMPUTED_VALUE"""),-0.005)</f>
        <v>-0.005</v>
      </c>
    </row>
    <row r="3331">
      <c r="A3331" s="131">
        <f>IFERROR(__xludf.DUMMYFUNCTION("""COMPUTED_VALUE"""),46187.435590277775)</f>
        <v>46187.43559</v>
      </c>
      <c r="B3331" s="126">
        <f>IFERROR(__xludf.DUMMYFUNCTION("""COMPUTED_VALUE"""),46187.0)</f>
        <v>46187</v>
      </c>
      <c r="C3331" s="122" t="str">
        <f>IFERROR(__xludf.DUMMYFUNCTION("""COMPUTED_VALUE"""),"RAIL")</f>
        <v>RAIL</v>
      </c>
      <c r="D3331" s="122" t="str">
        <f>IFERROR(__xludf.DUMMYFUNCTION("""COMPUTED_VALUE"""),"MetroRail Corp")</f>
        <v>MetroRail Corp</v>
      </c>
      <c r="E3331" s="122">
        <f>IFERROR(__xludf.DUMMYFUNCTION("""COMPUTED_VALUE"""),134.95)</f>
        <v>134.95</v>
      </c>
      <c r="F3331" s="122">
        <f>IFERROR(__xludf.DUMMYFUNCTION("""COMPUTED_VALUE"""),0.0025)</f>
        <v>0.0025</v>
      </c>
    </row>
    <row r="3332">
      <c r="A3332" s="131">
        <f>IFERROR(__xludf.DUMMYFUNCTION("""COMPUTED_VALUE"""),46187.435590277775)</f>
        <v>46187.43559</v>
      </c>
      <c r="B3332" s="126">
        <f>IFERROR(__xludf.DUMMYFUNCTION("""COMPUTED_VALUE"""),46187.0)</f>
        <v>46187</v>
      </c>
      <c r="C3332" s="122" t="str">
        <f>IFERROR(__xludf.DUMMYFUNCTION("""COMPUTED_VALUE"""),"MEDX")</f>
        <v>MEDX</v>
      </c>
      <c r="D3332" s="122" t="str">
        <f>IFERROR(__xludf.DUMMYFUNCTION("""COMPUTED_VALUE"""),"MediCore")</f>
        <v>MediCore</v>
      </c>
      <c r="E3332" s="122">
        <f>IFERROR(__xludf.DUMMYFUNCTION("""COMPUTED_VALUE"""),137.99)</f>
        <v>137.99</v>
      </c>
      <c r="F3332" s="122">
        <f>IFERROR(__xludf.DUMMYFUNCTION("""COMPUTED_VALUE"""),-0.0017)</f>
        <v>-0.0017</v>
      </c>
    </row>
    <row r="3333">
      <c r="A3333" s="131">
        <f>IFERROR(__xludf.DUMMYFUNCTION("""COMPUTED_VALUE"""),46187.435590277775)</f>
        <v>46187.43559</v>
      </c>
      <c r="B3333" s="126">
        <f>IFERROR(__xludf.DUMMYFUNCTION("""COMPUTED_VALUE"""),46187.0)</f>
        <v>46187</v>
      </c>
      <c r="C3333" s="122" t="str">
        <f>IFERROR(__xludf.DUMMYFUNCTION("""COMPUTED_VALUE"""),"GYMX")</f>
        <v>GYMX</v>
      </c>
      <c r="D3333" s="122" t="str">
        <f>IFERROR(__xludf.DUMMYFUNCTION("""COMPUTED_VALUE"""),"GymX Fitness")</f>
        <v>GymX Fitness</v>
      </c>
      <c r="E3333" s="122">
        <f>IFERROR(__xludf.DUMMYFUNCTION("""COMPUTED_VALUE"""),85.56)</f>
        <v>85.56</v>
      </c>
      <c r="F3333" s="122">
        <f>IFERROR(__xludf.DUMMYFUNCTION("""COMPUTED_VALUE"""),0.0014)</f>
        <v>0.0014</v>
      </c>
    </row>
    <row r="3334">
      <c r="A3334" s="131">
        <f>IFERROR(__xludf.DUMMYFUNCTION("""COMPUTED_VALUE"""),46187.435590277775)</f>
        <v>46187.43559</v>
      </c>
      <c r="B3334" s="126">
        <f>IFERROR(__xludf.DUMMYFUNCTION("""COMPUTED_VALUE"""),46187.0)</f>
        <v>46187</v>
      </c>
      <c r="C3334" s="122" t="str">
        <f>IFERROR(__xludf.DUMMYFUNCTION("""COMPUTED_VALUE"""),"VITA")</f>
        <v>VITA</v>
      </c>
      <c r="D3334" s="122" t="str">
        <f>IFERROR(__xludf.DUMMYFUNCTION("""COMPUTED_VALUE"""),"VitaPlus")</f>
        <v>VitaPlus</v>
      </c>
      <c r="E3334" s="122">
        <f>IFERROR(__xludf.DUMMYFUNCTION("""COMPUTED_VALUE"""),75.11)</f>
        <v>75.11</v>
      </c>
      <c r="F3334" s="122">
        <f>IFERROR(__xludf.DUMMYFUNCTION("""COMPUTED_VALUE"""),0.0056)</f>
        <v>0.0056</v>
      </c>
    </row>
    <row r="3335">
      <c r="A3335" s="131">
        <f>IFERROR(__xludf.DUMMYFUNCTION("""COMPUTED_VALUE"""),46187.435590277775)</f>
        <v>46187.43559</v>
      </c>
      <c r="B3335" s="126">
        <f>IFERROR(__xludf.DUMMYFUNCTION("""COMPUTED_VALUE"""),46187.0)</f>
        <v>46187</v>
      </c>
      <c r="C3335" s="122" t="str">
        <f>IFERROR(__xludf.DUMMYFUNCTION("""COMPUTED_VALUE"""),"CARE")</f>
        <v>CARE</v>
      </c>
      <c r="D3335" s="122" t="str">
        <f>IFERROR(__xludf.DUMMYFUNCTION("""COMPUTED_VALUE"""),"CareCloud")</f>
        <v>CareCloud</v>
      </c>
      <c r="E3335" s="122">
        <f>IFERROR(__xludf.DUMMYFUNCTION("""COMPUTED_VALUE"""),175.73)</f>
        <v>175.73</v>
      </c>
      <c r="F3335" s="122">
        <f>IFERROR(__xludf.DUMMYFUNCTION("""COMPUTED_VALUE"""),-0.0061)</f>
        <v>-0.0061</v>
      </c>
    </row>
    <row r="3336">
      <c r="A3336" s="131">
        <f>IFERROR(__xludf.DUMMYFUNCTION("""COMPUTED_VALUE"""),46187.435590277775)</f>
        <v>46187.43559</v>
      </c>
      <c r="B3336" s="126">
        <f>IFERROR(__xludf.DUMMYFUNCTION("""COMPUTED_VALUE"""),46187.0)</f>
        <v>46187</v>
      </c>
      <c r="C3336" s="122" t="str">
        <f>IFERROR(__xludf.DUMMYFUNCTION("""COMPUTED_VALUE"""),"DENT")</f>
        <v>DENT</v>
      </c>
      <c r="D3336" s="122" t="str">
        <f>IFERROR(__xludf.DUMMYFUNCTION("""COMPUTED_VALUE"""),"SmileWorks")</f>
        <v>SmileWorks</v>
      </c>
      <c r="E3336" s="122">
        <f>IFERROR(__xludf.DUMMYFUNCTION("""COMPUTED_VALUE"""),84.46)</f>
        <v>84.46</v>
      </c>
      <c r="F3336" s="122">
        <f>IFERROR(__xludf.DUMMYFUNCTION("""COMPUTED_VALUE"""),0.0049)</f>
        <v>0.0049</v>
      </c>
    </row>
    <row r="3337">
      <c r="A3337" s="131">
        <f>IFERROR(__xludf.DUMMYFUNCTION("""COMPUTED_VALUE"""),46187.435590277775)</f>
        <v>46187.43559</v>
      </c>
      <c r="B3337" s="126">
        <f>IFERROR(__xludf.DUMMYFUNCTION("""COMPUTED_VALUE"""),46187.0)</f>
        <v>46187</v>
      </c>
      <c r="C3337" s="122" t="str">
        <f>IFERROR(__xludf.DUMMYFUNCTION("""COMPUTED_VALUE"""),"EDUX")</f>
        <v>EDUX</v>
      </c>
      <c r="D3337" s="122" t="str">
        <f>IFERROR(__xludf.DUMMYFUNCTION("""COMPUTED_VALUE"""),"EduMax Learning")</f>
        <v>EduMax Learning</v>
      </c>
      <c r="E3337" s="122">
        <f>IFERROR(__xludf.DUMMYFUNCTION("""COMPUTED_VALUE"""),134.67)</f>
        <v>134.67</v>
      </c>
      <c r="F3337" s="122">
        <f>IFERROR(__xludf.DUMMYFUNCTION("""COMPUTED_VALUE"""),7.0E-4)</f>
        <v>0.0007</v>
      </c>
    </row>
    <row r="3338">
      <c r="A3338" s="131">
        <f>IFERROR(__xludf.DUMMYFUNCTION("""COMPUTED_VALUE"""),46187.435590277775)</f>
        <v>46187.43559</v>
      </c>
      <c r="B3338" s="126">
        <f>IFERROR(__xludf.DUMMYFUNCTION("""COMPUTED_VALUE"""),46187.0)</f>
        <v>46187</v>
      </c>
      <c r="C3338" s="122" t="str">
        <f>IFERROR(__xludf.DUMMYFUNCTION("""COMPUTED_VALUE"""),"BOOK")</f>
        <v>BOOK</v>
      </c>
      <c r="D3338" s="122" t="str">
        <f>IFERROR(__xludf.DUMMYFUNCTION("""COMPUTED_VALUE"""),"BookBridge")</f>
        <v>BookBridge</v>
      </c>
      <c r="E3338" s="122">
        <f>IFERROR(__xludf.DUMMYFUNCTION("""COMPUTED_VALUE"""),115.35)</f>
        <v>115.35</v>
      </c>
      <c r="F3338" s="122">
        <f>IFERROR(__xludf.DUMMYFUNCTION("""COMPUTED_VALUE"""),0.0042)</f>
        <v>0.0042</v>
      </c>
    </row>
    <row r="3339">
      <c r="A3339" s="131">
        <f>IFERROR(__xludf.DUMMYFUNCTION("""COMPUTED_VALUE"""),46187.435590277775)</f>
        <v>46187.43559</v>
      </c>
      <c r="B3339" s="126">
        <f>IFERROR(__xludf.DUMMYFUNCTION("""COMPUTED_VALUE"""),46187.0)</f>
        <v>46187</v>
      </c>
      <c r="C3339" s="122" t="str">
        <f>IFERROR(__xludf.DUMMYFUNCTION("""COMPUTED_VALUE"""),"TUTR")</f>
        <v>TUTR</v>
      </c>
      <c r="D3339" s="122" t="str">
        <f>IFERROR(__xludf.DUMMYFUNCTION("""COMPUTED_VALUE"""),"TutorTown")</f>
        <v>TutorTown</v>
      </c>
      <c r="E3339" s="122">
        <f>IFERROR(__xludf.DUMMYFUNCTION("""COMPUTED_VALUE"""),88.65)</f>
        <v>88.65</v>
      </c>
      <c r="F3339" s="122">
        <f>IFERROR(__xludf.DUMMYFUNCTION("""COMPUTED_VALUE"""),-0.0048)</f>
        <v>-0.0048</v>
      </c>
    </row>
    <row r="3340">
      <c r="A3340" s="131">
        <f>IFERROR(__xludf.DUMMYFUNCTION("""COMPUTED_VALUE"""),46187.435590277775)</f>
        <v>46187.43559</v>
      </c>
      <c r="B3340" s="126">
        <f>IFERROR(__xludf.DUMMYFUNCTION("""COMPUTED_VALUE"""),46187.0)</f>
        <v>46187</v>
      </c>
      <c r="C3340" s="122" t="str">
        <f>IFERROR(__xludf.DUMMYFUNCTION("""COMPUTED_VALUE"""),"LANG")</f>
        <v>LANG</v>
      </c>
      <c r="D3340" s="122" t="str">
        <f>IFERROR(__xludf.DUMMYFUNCTION("""COMPUTED_VALUE"""),"LinguaLab")</f>
        <v>LinguaLab</v>
      </c>
      <c r="E3340" s="122">
        <f>IFERROR(__xludf.DUMMYFUNCTION("""COMPUTED_VALUE"""),97.91)</f>
        <v>97.91</v>
      </c>
      <c r="F3340" s="122">
        <f>IFERROR(__xludf.DUMMYFUNCTION("""COMPUTED_VALUE"""),5.0E-4)</f>
        <v>0.0005</v>
      </c>
    </row>
    <row r="3341">
      <c r="A3341" s="131">
        <f>IFERROR(__xludf.DUMMYFUNCTION("""COMPUTED_VALUE"""),46187.435590277775)</f>
        <v>46187.43559</v>
      </c>
      <c r="B3341" s="126">
        <f>IFERROR(__xludf.DUMMYFUNCTION("""COMPUTED_VALUE"""),46187.0)</f>
        <v>46187</v>
      </c>
      <c r="C3341" s="122" t="str">
        <f>IFERROR(__xludf.DUMMYFUNCTION("""COMPUTED_VALUE"""),"TEST")</f>
        <v>TEST</v>
      </c>
      <c r="D3341" s="122" t="str">
        <f>IFERROR(__xludf.DUMMYFUNCTION("""COMPUTED_VALUE"""),"TestPrep Pro")</f>
        <v>TestPrep Pro</v>
      </c>
      <c r="E3341" s="122">
        <f>IFERROR(__xludf.DUMMYFUNCTION("""COMPUTED_VALUE"""),99.04)</f>
        <v>99.04</v>
      </c>
      <c r="F3341" s="122">
        <f>IFERROR(__xludf.DUMMYFUNCTION("""COMPUTED_VALUE"""),-0.0011)</f>
        <v>-0.0011</v>
      </c>
    </row>
    <row r="3342">
      <c r="A3342" s="131">
        <f>IFERROR(__xludf.DUMMYFUNCTION("""COMPUTED_VALUE"""),46187.435590277775)</f>
        <v>46187.43559</v>
      </c>
      <c r="B3342" s="126">
        <f>IFERROR(__xludf.DUMMYFUNCTION("""COMPUTED_VALUE"""),46187.0)</f>
        <v>46187</v>
      </c>
      <c r="C3342" s="122" t="str">
        <f>IFERROR(__xludf.DUMMYFUNCTION("""COMPUTED_VALUE"""),"MOVI")</f>
        <v>MOVI</v>
      </c>
      <c r="D3342" s="122" t="str">
        <f>IFERROR(__xludf.DUMMYFUNCTION("""COMPUTED_VALUE"""),"MovieBox")</f>
        <v>MovieBox</v>
      </c>
      <c r="E3342" s="122">
        <f>IFERROR(__xludf.DUMMYFUNCTION("""COMPUTED_VALUE"""),80.93)</f>
        <v>80.93</v>
      </c>
      <c r="F3342" s="122">
        <f>IFERROR(__xludf.DUMMYFUNCTION("""COMPUTED_VALUE"""),-0.0041)</f>
        <v>-0.0041</v>
      </c>
    </row>
    <row r="3343">
      <c r="A3343" s="131">
        <f>IFERROR(__xludf.DUMMYFUNCTION("""COMPUTED_VALUE"""),46187.435590277775)</f>
        <v>46187.43559</v>
      </c>
      <c r="B3343" s="126">
        <f>IFERROR(__xludf.DUMMYFUNCTION("""COMPUTED_VALUE"""),46187.0)</f>
        <v>46187</v>
      </c>
      <c r="C3343" s="122" t="str">
        <f>IFERROR(__xludf.DUMMYFUNCTION("""COMPUTED_VALUE"""),"MUSC")</f>
        <v>MUSC</v>
      </c>
      <c r="D3343" s="122" t="str">
        <f>IFERROR(__xludf.DUMMYFUNCTION("""COMPUTED_VALUE"""),"MusicWave")</f>
        <v>MusicWave</v>
      </c>
      <c r="E3343" s="122">
        <f>IFERROR(__xludf.DUMMYFUNCTION("""COMPUTED_VALUE"""),96.64)</f>
        <v>96.64</v>
      </c>
      <c r="F3343" s="122">
        <f>IFERROR(__xludf.DUMMYFUNCTION("""COMPUTED_VALUE"""),-0.004)</f>
        <v>-0.004</v>
      </c>
    </row>
    <row r="3344">
      <c r="A3344" s="131">
        <f>IFERROR(__xludf.DUMMYFUNCTION("""COMPUTED_VALUE"""),46187.435590277775)</f>
        <v>46187.43559</v>
      </c>
      <c r="B3344" s="126">
        <f>IFERROR(__xludf.DUMMYFUNCTION("""COMPUTED_VALUE"""),46187.0)</f>
        <v>46187</v>
      </c>
      <c r="C3344" s="122" t="str">
        <f>IFERROR(__xludf.DUMMYFUNCTION("""COMPUTED_VALUE"""),"IDOL")</f>
        <v>IDOL</v>
      </c>
      <c r="D3344" s="122" t="str">
        <f>IFERROR(__xludf.DUMMYFUNCTION("""COMPUTED_VALUE"""),"Idol Agency")</f>
        <v>Idol Agency</v>
      </c>
      <c r="E3344" s="122">
        <f>IFERROR(__xludf.DUMMYFUNCTION("""COMPUTED_VALUE"""),197.07)</f>
        <v>197.07</v>
      </c>
      <c r="F3344" s="122">
        <f>IFERROR(__xludf.DUMMYFUNCTION("""COMPUTED_VALUE"""),0.0106)</f>
        <v>0.0106</v>
      </c>
    </row>
    <row r="3345">
      <c r="A3345" s="131">
        <f>IFERROR(__xludf.DUMMYFUNCTION("""COMPUTED_VALUE"""),46187.435590277775)</f>
        <v>46187.43559</v>
      </c>
      <c r="B3345" s="126">
        <f>IFERROR(__xludf.DUMMYFUNCTION("""COMPUTED_VALUE"""),46187.0)</f>
        <v>46187</v>
      </c>
      <c r="C3345" s="122" t="str">
        <f>IFERROR(__xludf.DUMMYFUNCTION("""COMPUTED_VALUE"""),"MEME")</f>
        <v>MEME</v>
      </c>
      <c r="D3345" s="122" t="str">
        <f>IFERROR(__xludf.DUMMYFUNCTION("""COMPUTED_VALUE"""),"Meme Media")</f>
        <v>Meme Media</v>
      </c>
      <c r="E3345" s="122">
        <f>IFERROR(__xludf.DUMMYFUNCTION("""COMPUTED_VALUE"""),76.87)</f>
        <v>76.87</v>
      </c>
      <c r="F3345" s="122">
        <f>IFERROR(__xludf.DUMMYFUNCTION("""COMPUTED_VALUE"""),0.001)</f>
        <v>0.001</v>
      </c>
    </row>
    <row r="3346">
      <c r="A3346" s="131">
        <f>IFERROR(__xludf.DUMMYFUNCTION("""COMPUTED_VALUE"""),46187.435590277775)</f>
        <v>46187.43559</v>
      </c>
      <c r="B3346" s="126">
        <f>IFERROR(__xludf.DUMMYFUNCTION("""COMPUTED_VALUE"""),46187.0)</f>
        <v>46187</v>
      </c>
      <c r="C3346" s="122" t="str">
        <f>IFERROR(__xludf.DUMMYFUNCTION("""COMPUTED_VALUE"""),"STRM")</f>
        <v>STRM</v>
      </c>
      <c r="D3346" s="122" t="str">
        <f>IFERROR(__xludf.DUMMYFUNCTION("""COMPUTED_VALUE"""),"Streamly")</f>
        <v>Streamly</v>
      </c>
      <c r="E3346" s="122">
        <f>IFERROR(__xludf.DUMMYFUNCTION("""COMPUTED_VALUE"""),140.2)</f>
        <v>140.2</v>
      </c>
      <c r="F3346" s="122">
        <f>IFERROR(__xludf.DUMMYFUNCTION("""COMPUTED_VALUE"""),-0.0064)</f>
        <v>-0.0064</v>
      </c>
    </row>
    <row r="3347">
      <c r="A3347" s="131">
        <f>IFERROR(__xludf.DUMMYFUNCTION("""COMPUTED_VALUE"""),46187.435590277775)</f>
        <v>46187.43559</v>
      </c>
      <c r="B3347" s="126">
        <f>IFERROR(__xludf.DUMMYFUNCTION("""COMPUTED_VALUE"""),46187.0)</f>
        <v>46187</v>
      </c>
      <c r="C3347" s="122" t="str">
        <f>IFERROR(__xludf.DUMMYFUNCTION("""COMPUTED_VALUE"""),"FARM")</f>
        <v>FARM</v>
      </c>
      <c r="D3347" s="122" t="str">
        <f>IFERROR(__xludf.DUMMYFUNCTION("""COMPUTED_VALUE"""),"Future Farms")</f>
        <v>Future Farms</v>
      </c>
      <c r="E3347" s="122">
        <f>IFERROR(__xludf.DUMMYFUNCTION("""COMPUTED_VALUE"""),84.37)</f>
        <v>84.37</v>
      </c>
      <c r="F3347" s="122">
        <f>IFERROR(__xludf.DUMMYFUNCTION("""COMPUTED_VALUE"""),0.003)</f>
        <v>0.003</v>
      </c>
    </row>
    <row r="3348">
      <c r="A3348" s="131">
        <f>IFERROR(__xludf.DUMMYFUNCTION("""COMPUTED_VALUE"""),46187.435590277775)</f>
        <v>46187.43559</v>
      </c>
      <c r="B3348" s="126">
        <f>IFERROR(__xludf.DUMMYFUNCTION("""COMPUTED_VALUE"""),46187.0)</f>
        <v>46187</v>
      </c>
      <c r="C3348" s="122" t="str">
        <f>IFERROR(__xludf.DUMMYFUNCTION("""COMPUTED_VALUE"""),"MEAT")</f>
        <v>MEAT</v>
      </c>
      <c r="D3348" s="122" t="str">
        <f>IFERROR(__xludf.DUMMYFUNCTION("""COMPUTED_VALUE"""),"MeatWorks")</f>
        <v>MeatWorks</v>
      </c>
      <c r="E3348" s="122">
        <f>IFERROR(__xludf.DUMMYFUNCTION("""COMPUTED_VALUE"""),103.38)</f>
        <v>103.38</v>
      </c>
      <c r="F3348" s="122">
        <f>IFERROR(__xludf.DUMMYFUNCTION("""COMPUTED_VALUE"""),0.006)</f>
        <v>0.006</v>
      </c>
    </row>
    <row r="3349">
      <c r="A3349" s="131">
        <f>IFERROR(__xludf.DUMMYFUNCTION("""COMPUTED_VALUE"""),46187.435590277775)</f>
        <v>46187.43559</v>
      </c>
      <c r="B3349" s="126">
        <f>IFERROR(__xludf.DUMMYFUNCTION("""COMPUTED_VALUE"""),46187.0)</f>
        <v>46187</v>
      </c>
      <c r="C3349" s="122" t="str">
        <f>IFERROR(__xludf.DUMMYFUNCTION("""COMPUTED_VALUE"""),"VEGI")</f>
        <v>VEGI</v>
      </c>
      <c r="D3349" s="122" t="str">
        <f>IFERROR(__xludf.DUMMYFUNCTION("""COMPUTED_VALUE"""),"Green Basket")</f>
        <v>Green Basket</v>
      </c>
      <c r="E3349" s="122">
        <f>IFERROR(__xludf.DUMMYFUNCTION("""COMPUTED_VALUE"""),81.52)</f>
        <v>81.52</v>
      </c>
      <c r="F3349" s="122">
        <f>IFERROR(__xludf.DUMMYFUNCTION("""COMPUTED_VALUE"""),0.0033)</f>
        <v>0.0033</v>
      </c>
    </row>
    <row r="3350">
      <c r="A3350" s="131">
        <f>IFERROR(__xludf.DUMMYFUNCTION("""COMPUTED_VALUE"""),46187.435590277775)</f>
        <v>46187.43559</v>
      </c>
      <c r="B3350" s="126">
        <f>IFERROR(__xludf.DUMMYFUNCTION("""COMPUTED_VALUE"""),46187.0)</f>
        <v>46187</v>
      </c>
      <c r="C3350" s="122" t="str">
        <f>IFERROR(__xludf.DUMMYFUNCTION("""COMPUTED_VALUE"""),"CAFE")</f>
        <v>CAFE</v>
      </c>
      <c r="D3350" s="122" t="str">
        <f>IFERROR(__xludf.DUMMYFUNCTION("""COMPUTED_VALUE"""),"Cafe Cloud")</f>
        <v>Cafe Cloud</v>
      </c>
      <c r="E3350" s="122">
        <f>IFERROR(__xludf.DUMMYFUNCTION("""COMPUTED_VALUE"""),100.7)</f>
        <v>100.7</v>
      </c>
      <c r="F3350" s="122">
        <f>IFERROR(__xludf.DUMMYFUNCTION("""COMPUTED_VALUE"""),-0.0033)</f>
        <v>-0.0033</v>
      </c>
    </row>
    <row r="3351">
      <c r="A3351" s="131">
        <f>IFERROR(__xludf.DUMMYFUNCTION("""COMPUTED_VALUE"""),46187.435590277775)</f>
        <v>46187.43559</v>
      </c>
      <c r="B3351" s="126">
        <f>IFERROR(__xludf.DUMMYFUNCTION("""COMPUTED_VALUE"""),46187.0)</f>
        <v>46187</v>
      </c>
      <c r="C3351" s="122" t="str">
        <f>IFERROR(__xludf.DUMMYFUNCTION("""COMPUTED_VALUE"""),"BAKE")</f>
        <v>BAKE</v>
      </c>
      <c r="D3351" s="122" t="str">
        <f>IFERROR(__xludf.DUMMYFUNCTION("""COMPUTED_VALUE"""),"BakeHouse")</f>
        <v>BakeHouse</v>
      </c>
      <c r="E3351" s="122">
        <f>IFERROR(__xludf.DUMMYFUNCTION("""COMPUTED_VALUE"""),100.1)</f>
        <v>100.1</v>
      </c>
      <c r="F3351" s="122">
        <f>IFERROR(__xludf.DUMMYFUNCTION("""COMPUTED_VALUE"""),0.0025)</f>
        <v>0.0025</v>
      </c>
    </row>
    <row r="3352">
      <c r="A3352" s="131">
        <f>IFERROR(__xludf.DUMMYFUNCTION("""COMPUTED_VALUE"""),46187.435590277775)</f>
        <v>46187.43559</v>
      </c>
      <c r="B3352" s="126">
        <f>IFERROR(__xludf.DUMMYFUNCTION("""COMPUTED_VALUE"""),46187.0)</f>
        <v>46187</v>
      </c>
      <c r="C3352" s="122" t="str">
        <f>IFERROR(__xludf.DUMMYFUNCTION("""COMPUTED_VALUE"""),"OILX")</f>
        <v>OILX</v>
      </c>
      <c r="D3352" s="122" t="str">
        <f>IFERROR(__xludf.DUMMYFUNCTION("""COMPUTED_VALUE"""),"OilMax Energy")</f>
        <v>OilMax Energy</v>
      </c>
      <c r="E3352" s="122">
        <f>IFERROR(__xludf.DUMMYFUNCTION("""COMPUTED_VALUE"""),132.76)</f>
        <v>132.76</v>
      </c>
      <c r="F3352" s="122">
        <f>IFERROR(__xludf.DUMMYFUNCTION("""COMPUTED_VALUE"""),0.0033)</f>
        <v>0.0033</v>
      </c>
    </row>
    <row r="3353">
      <c r="A3353" s="131">
        <f>IFERROR(__xludf.DUMMYFUNCTION("""COMPUTED_VALUE"""),46187.435590277775)</f>
        <v>46187.43559</v>
      </c>
      <c r="B3353" s="126">
        <f>IFERROR(__xludf.DUMMYFUNCTION("""COMPUTED_VALUE"""),46187.0)</f>
        <v>46187</v>
      </c>
      <c r="C3353" s="122" t="str">
        <f>IFERROR(__xludf.DUMMYFUNCTION("""COMPUTED_VALUE"""),"SOLR")</f>
        <v>SOLR</v>
      </c>
      <c r="D3353" s="122" t="str">
        <f>IFERROR(__xludf.DUMMYFUNCTION("""COMPUTED_VALUE"""),"SolarSpark")</f>
        <v>SolarSpark</v>
      </c>
      <c r="E3353" s="122">
        <f>IFERROR(__xludf.DUMMYFUNCTION("""COMPUTED_VALUE"""),88.92)</f>
        <v>88.92</v>
      </c>
      <c r="F3353" s="122">
        <f>IFERROR(__xludf.DUMMYFUNCTION("""COMPUTED_VALUE"""),-0.0013)</f>
        <v>-0.0013</v>
      </c>
    </row>
    <row r="3354">
      <c r="A3354" s="131">
        <f>IFERROR(__xludf.DUMMYFUNCTION("""COMPUTED_VALUE"""),46187.435590277775)</f>
        <v>46187.43559</v>
      </c>
      <c r="B3354" s="126">
        <f>IFERROR(__xludf.DUMMYFUNCTION("""COMPUTED_VALUE"""),46187.0)</f>
        <v>46187</v>
      </c>
      <c r="C3354" s="122" t="str">
        <f>IFERROR(__xludf.DUMMYFUNCTION("""COMPUTED_VALUE"""),"BATT")</f>
        <v>BATT</v>
      </c>
      <c r="D3354" s="122" t="str">
        <f>IFERROR(__xludf.DUMMYFUNCTION("""COMPUTED_VALUE"""),"BatteryBox")</f>
        <v>BatteryBox</v>
      </c>
      <c r="E3354" s="122">
        <f>IFERROR(__xludf.DUMMYFUNCTION("""COMPUTED_VALUE"""),121.26)</f>
        <v>121.26</v>
      </c>
      <c r="F3354" s="122">
        <f>IFERROR(__xludf.DUMMYFUNCTION("""COMPUTED_VALUE"""),0.0092)</f>
        <v>0.0092</v>
      </c>
    </row>
    <row r="3355">
      <c r="A3355" s="131">
        <f>IFERROR(__xludf.DUMMYFUNCTION("""COMPUTED_VALUE"""),46187.435590277775)</f>
        <v>46187.43559</v>
      </c>
      <c r="B3355" s="126">
        <f>IFERROR(__xludf.DUMMYFUNCTION("""COMPUTED_VALUE"""),46187.0)</f>
        <v>46187</v>
      </c>
      <c r="C3355" s="122" t="str">
        <f>IFERROR(__xludf.DUMMYFUNCTION("""COMPUTED_VALUE"""),"WIND")</f>
        <v>WIND</v>
      </c>
      <c r="D3355" s="122" t="str">
        <f>IFERROR(__xludf.DUMMYFUNCTION("""COMPUTED_VALUE"""),"WindWorks")</f>
        <v>WindWorks</v>
      </c>
      <c r="E3355" s="122">
        <f>IFERROR(__xludf.DUMMYFUNCTION("""COMPUTED_VALUE"""),88.54)</f>
        <v>88.54</v>
      </c>
      <c r="F3355" s="122">
        <f>IFERROR(__xludf.DUMMYFUNCTION("""COMPUTED_VALUE"""),0.0016)</f>
        <v>0.0016</v>
      </c>
    </row>
    <row r="3356">
      <c r="A3356" s="131">
        <f>IFERROR(__xludf.DUMMYFUNCTION("""COMPUTED_VALUE"""),46187.435590277775)</f>
        <v>46187.43559</v>
      </c>
      <c r="B3356" s="126">
        <f>IFERROR(__xludf.DUMMYFUNCTION("""COMPUTED_VALUE"""),46187.0)</f>
        <v>46187</v>
      </c>
      <c r="C3356" s="122" t="str">
        <f>IFERROR(__xludf.DUMMYFUNCTION("""COMPUTED_VALUE"""),"GRID")</f>
        <v>GRID</v>
      </c>
      <c r="D3356" s="122" t="str">
        <f>IFERROR(__xludf.DUMMYFUNCTION("""COMPUTED_VALUE"""),"GridPower")</f>
        <v>GridPower</v>
      </c>
      <c r="E3356" s="122">
        <f>IFERROR(__xludf.DUMMYFUNCTION("""COMPUTED_VALUE"""),141.48)</f>
        <v>141.48</v>
      </c>
      <c r="F3356" s="122">
        <f>IFERROR(__xludf.DUMMYFUNCTION("""COMPUTED_VALUE"""),1.0E-4)</f>
        <v>0.0001</v>
      </c>
    </row>
    <row r="3357">
      <c r="A3357" s="131">
        <f>IFERROR(__xludf.DUMMYFUNCTION("""COMPUTED_VALUE"""),46187.435590277775)</f>
        <v>46187.43559</v>
      </c>
      <c r="B3357" s="126">
        <f>IFERROR(__xludf.DUMMYFUNCTION("""COMPUTED_VALUE"""),46187.0)</f>
        <v>46187</v>
      </c>
      <c r="C3357" s="122" t="str">
        <f>IFERROR(__xludf.DUMMYFUNCTION("""COMPUTED_VALUE"""),"HOME")</f>
        <v>HOME</v>
      </c>
      <c r="D3357" s="122" t="str">
        <f>IFERROR(__xludf.DUMMYFUNCTION("""COMPUTED_VALUE"""),"HomeHub")</f>
        <v>HomeHub</v>
      </c>
      <c r="E3357" s="122">
        <f>IFERROR(__xludf.DUMMYFUNCTION("""COMPUTED_VALUE"""),151.26)</f>
        <v>151.26</v>
      </c>
      <c r="F3357" s="122">
        <f>IFERROR(__xludf.DUMMYFUNCTION("""COMPUTED_VALUE"""),0.0053)</f>
        <v>0.0053</v>
      </c>
    </row>
    <row r="3358">
      <c r="A3358" s="131">
        <f>IFERROR(__xludf.DUMMYFUNCTION("""COMPUTED_VALUE"""),46187.435590277775)</f>
        <v>46187.43559</v>
      </c>
      <c r="B3358" s="126">
        <f>IFERROR(__xludf.DUMMYFUNCTION("""COMPUTED_VALUE"""),46187.0)</f>
        <v>46187</v>
      </c>
      <c r="C3358" s="122" t="str">
        <f>IFERROR(__xludf.DUMMYFUNCTION("""COMPUTED_VALUE"""),"RENT")</f>
        <v>RENT</v>
      </c>
      <c r="D3358" s="122" t="str">
        <f>IFERROR(__xludf.DUMMYFUNCTION("""COMPUTED_VALUE"""),"RentRight")</f>
        <v>RentRight</v>
      </c>
      <c r="E3358" s="122">
        <f>IFERROR(__xludf.DUMMYFUNCTION("""COMPUTED_VALUE"""),92.05)</f>
        <v>92.05</v>
      </c>
      <c r="F3358" s="122">
        <f>IFERROR(__xludf.DUMMYFUNCTION("""COMPUTED_VALUE"""),0.0012)</f>
        <v>0.0012</v>
      </c>
    </row>
    <row r="3359">
      <c r="A3359" s="131">
        <f>IFERROR(__xludf.DUMMYFUNCTION("""COMPUTED_VALUE"""),46187.435590277775)</f>
        <v>46187.43559</v>
      </c>
      <c r="B3359" s="126">
        <f>IFERROR(__xludf.DUMMYFUNCTION("""COMPUTED_VALUE"""),46187.0)</f>
        <v>46187</v>
      </c>
      <c r="C3359" s="122" t="str">
        <f>IFERROR(__xludf.DUMMYFUNCTION("""COMPUTED_VALUE"""),"MALL")</f>
        <v>MALL</v>
      </c>
      <c r="D3359" s="122" t="str">
        <f>IFERROR(__xludf.DUMMYFUNCTION("""COMPUTED_VALUE"""),"MegaMall")</f>
        <v>MegaMall</v>
      </c>
      <c r="E3359" s="122">
        <f>IFERROR(__xludf.DUMMYFUNCTION("""COMPUTED_VALUE"""),101.09)</f>
        <v>101.09</v>
      </c>
      <c r="F3359" s="122">
        <f>IFERROR(__xludf.DUMMYFUNCTION("""COMPUTED_VALUE"""),0.0051)</f>
        <v>0.0051</v>
      </c>
    </row>
    <row r="3360">
      <c r="A3360" s="131">
        <f>IFERROR(__xludf.DUMMYFUNCTION("""COMPUTED_VALUE"""),46187.435590277775)</f>
        <v>46187.43559</v>
      </c>
      <c r="B3360" s="126">
        <f>IFERROR(__xludf.DUMMYFUNCTION("""COMPUTED_VALUE"""),46187.0)</f>
        <v>46187</v>
      </c>
      <c r="C3360" s="122" t="str">
        <f>IFERROR(__xludf.DUMMYFUNCTION("""COMPUTED_VALUE"""),"HOTL")</f>
        <v>HOTL</v>
      </c>
      <c r="D3360" s="122" t="str">
        <f>IFERROR(__xludf.DUMMYFUNCTION("""COMPUTED_VALUE"""),"HotelHive")</f>
        <v>HotelHive</v>
      </c>
      <c r="E3360" s="122">
        <f>IFERROR(__xludf.DUMMYFUNCTION("""COMPUTED_VALUE"""),129.88)</f>
        <v>129.88</v>
      </c>
      <c r="F3360" s="122">
        <f>IFERROR(__xludf.DUMMYFUNCTION("""COMPUTED_VALUE"""),-0.0063)</f>
        <v>-0.0063</v>
      </c>
    </row>
    <row r="3361">
      <c r="A3361" s="131">
        <f>IFERROR(__xludf.DUMMYFUNCTION("""COMPUTED_VALUE"""),46187.435590277775)</f>
        <v>46187.43559</v>
      </c>
      <c r="B3361" s="126">
        <f>IFERROR(__xludf.DUMMYFUNCTION("""COMPUTED_VALUE"""),46187.0)</f>
        <v>46187</v>
      </c>
      <c r="C3361" s="122" t="str">
        <f>IFERROR(__xludf.DUMMYFUNCTION("""COMPUTED_VALUE"""),"LAND")</f>
        <v>LAND</v>
      </c>
      <c r="D3361" s="122" t="str">
        <f>IFERROR(__xludf.DUMMYFUNCTION("""COMPUTED_VALUE"""),"LandLink")</f>
        <v>LandLink</v>
      </c>
      <c r="E3361" s="122">
        <f>IFERROR(__xludf.DUMMYFUNCTION("""COMPUTED_VALUE"""),182.37)</f>
        <v>182.37</v>
      </c>
      <c r="F3361" s="122">
        <f>IFERROR(__xludf.DUMMYFUNCTION("""COMPUTED_VALUE"""),-5.0E-4)</f>
        <v>-0.0005</v>
      </c>
    </row>
    <row r="3362">
      <c r="A3362" s="131">
        <f>IFERROR(__xludf.DUMMYFUNCTION("""COMPUTED_VALUE"""),46187.435590277775)</f>
        <v>46187.43559</v>
      </c>
      <c r="B3362" s="126">
        <f>IFERROR(__xludf.DUMMYFUNCTION("""COMPUTED_VALUE"""),46187.0)</f>
        <v>46187</v>
      </c>
      <c r="C3362" s="122" t="str">
        <f>IFERROR(__xludf.DUMMYFUNCTION("""COMPUTED_VALUE"""),"CARS")</f>
        <v>CARS</v>
      </c>
      <c r="D3362" s="122" t="str">
        <f>IFERROR(__xludf.DUMMYFUNCTION("""COMPUTED_VALUE"""),"AutoArena")</f>
        <v>AutoArena</v>
      </c>
      <c r="E3362" s="122">
        <f>IFERROR(__xludf.DUMMYFUNCTION("""COMPUTED_VALUE"""),81.55)</f>
        <v>81.55</v>
      </c>
      <c r="F3362" s="122">
        <f>IFERROR(__xludf.DUMMYFUNCTION("""COMPUTED_VALUE"""),0.0034)</f>
        <v>0.0034</v>
      </c>
    </row>
    <row r="3363">
      <c r="A3363" s="131">
        <f>IFERROR(__xludf.DUMMYFUNCTION("""COMPUTED_VALUE"""),46187.435590277775)</f>
        <v>46187.43559</v>
      </c>
      <c r="B3363" s="126">
        <f>IFERROR(__xludf.DUMMYFUNCTION("""COMPUTED_VALUE"""),46187.0)</f>
        <v>46187</v>
      </c>
      <c r="C3363" s="122" t="str">
        <f>IFERROR(__xludf.DUMMYFUNCTION("""COMPUTED_VALUE"""),"EVGO")</f>
        <v>EVGO</v>
      </c>
      <c r="D3363" s="122" t="str">
        <f>IFERROR(__xludf.DUMMYFUNCTION("""COMPUTED_VALUE"""),"EVGo Motors")</f>
        <v>EVGo Motors</v>
      </c>
      <c r="E3363" s="122">
        <f>IFERROR(__xludf.DUMMYFUNCTION("""COMPUTED_VALUE"""),188.79)</f>
        <v>188.79</v>
      </c>
      <c r="F3363" s="122">
        <f>IFERROR(__xludf.DUMMYFUNCTION("""COMPUTED_VALUE"""),0.0084)</f>
        <v>0.0084</v>
      </c>
    </row>
    <row r="3364">
      <c r="A3364" s="131">
        <f>IFERROR(__xludf.DUMMYFUNCTION("""COMPUTED_VALUE"""),46187.435590277775)</f>
        <v>46187.43559</v>
      </c>
      <c r="B3364" s="126">
        <f>IFERROR(__xludf.DUMMYFUNCTION("""COMPUTED_VALUE"""),46187.0)</f>
        <v>46187</v>
      </c>
      <c r="C3364" s="122" t="str">
        <f>IFERROR(__xludf.DUMMYFUNCTION("""COMPUTED_VALUE"""),"TIRE")</f>
        <v>TIRE</v>
      </c>
      <c r="D3364" s="122" t="str">
        <f>IFERROR(__xludf.DUMMYFUNCTION("""COMPUTED_VALUE"""),"TireTown")</f>
        <v>TireTown</v>
      </c>
      <c r="E3364" s="122">
        <f>IFERROR(__xludf.DUMMYFUNCTION("""COMPUTED_VALUE"""),93.92)</f>
        <v>93.92</v>
      </c>
      <c r="F3364" s="122">
        <f>IFERROR(__xludf.DUMMYFUNCTION("""COMPUTED_VALUE"""),0.0036)</f>
        <v>0.0036</v>
      </c>
    </row>
    <row r="3365">
      <c r="A3365" s="131">
        <f>IFERROR(__xludf.DUMMYFUNCTION("""COMPUTED_VALUE"""),46187.435590277775)</f>
        <v>46187.43559</v>
      </c>
      <c r="B3365" s="126">
        <f>IFERROR(__xludf.DUMMYFUNCTION("""COMPUTED_VALUE"""),46187.0)</f>
        <v>46187</v>
      </c>
      <c r="C3365" s="122" t="str">
        <f>IFERROR(__xludf.DUMMYFUNCTION("""COMPUTED_VALUE"""),"BIKE")</f>
        <v>BIKE</v>
      </c>
      <c r="D3365" s="122" t="str">
        <f>IFERROR(__xludf.DUMMYFUNCTION("""COMPUTED_VALUE"""),"BikeBox")</f>
        <v>BikeBox</v>
      </c>
      <c r="E3365" s="122">
        <f>IFERROR(__xludf.DUMMYFUNCTION("""COMPUTED_VALUE"""),53.02)</f>
        <v>53.02</v>
      </c>
      <c r="F3365" s="122">
        <f>IFERROR(__xludf.DUMMYFUNCTION("""COMPUTED_VALUE"""),0.0053)</f>
        <v>0.0053</v>
      </c>
    </row>
    <row r="3366">
      <c r="A3366" s="131">
        <f>IFERROR(__xludf.DUMMYFUNCTION("""COMPUTED_VALUE"""),46187.435590277775)</f>
        <v>46187.43559</v>
      </c>
      <c r="B3366" s="126">
        <f>IFERROR(__xludf.DUMMYFUNCTION("""COMPUTED_VALUE"""),46187.0)</f>
        <v>46187</v>
      </c>
      <c r="C3366" s="122" t="str">
        <f>IFERROR(__xludf.DUMMYFUNCTION("""COMPUTED_VALUE"""),"WASH")</f>
        <v>WASH</v>
      </c>
      <c r="D3366" s="122" t="str">
        <f>IFERROR(__xludf.DUMMYFUNCTION("""COMPUTED_VALUE"""),"CarWash Co")</f>
        <v>CarWash Co</v>
      </c>
      <c r="E3366" s="122">
        <f>IFERROR(__xludf.DUMMYFUNCTION("""COMPUTED_VALUE"""),120.27)</f>
        <v>120.27</v>
      </c>
      <c r="F3366" s="122">
        <f>IFERROR(__xludf.DUMMYFUNCTION("""COMPUTED_VALUE"""),-0.0024)</f>
        <v>-0.0024</v>
      </c>
    </row>
    <row r="3367">
      <c r="A3367" s="131">
        <f>IFERROR(__xludf.DUMMYFUNCTION("""COMPUTED_VALUE"""),46187.435590277775)</f>
        <v>46187.43559</v>
      </c>
      <c r="B3367" s="126">
        <f>IFERROR(__xludf.DUMMYFUNCTION("""COMPUTED_VALUE"""),46187.0)</f>
        <v>46187</v>
      </c>
      <c r="C3367" s="122" t="str">
        <f>IFERROR(__xludf.DUMMYFUNCTION("""COMPUTED_VALUE"""),"GBND")</f>
        <v>GBND</v>
      </c>
      <c r="D3367" s="122" t="str">
        <f>IFERROR(__xludf.DUMMYFUNCTION("""COMPUTED_VALUE"""),"Classroom Government Bond")</f>
        <v>Classroom Government Bond</v>
      </c>
      <c r="E3367" s="122">
        <f>IFERROR(__xludf.DUMMYFUNCTION("""COMPUTED_VALUE"""),100.94)</f>
        <v>100.94</v>
      </c>
      <c r="F3367" s="122">
        <f>IFERROR(__xludf.DUMMYFUNCTION("""COMPUTED_VALUE"""),-4.0E-4)</f>
        <v>-0.0004</v>
      </c>
    </row>
    <row r="3368">
      <c r="A3368" s="131">
        <f>IFERROR(__xludf.DUMMYFUNCTION("""COMPUTED_VALUE"""),46187.435590277775)</f>
        <v>46187.43559</v>
      </c>
      <c r="B3368" s="126">
        <f>IFERROR(__xludf.DUMMYFUNCTION("""COMPUTED_VALUE"""),46187.0)</f>
        <v>46187</v>
      </c>
      <c r="C3368" s="122" t="str">
        <f>IFERROR(__xludf.DUMMYFUNCTION("""COMPUTED_VALUE"""),"SBND")</f>
        <v>SBND</v>
      </c>
      <c r="D3368" s="122" t="str">
        <f>IFERROR(__xludf.DUMMYFUNCTION("""COMPUTED_VALUE"""),"School Savings Bond")</f>
        <v>School Savings Bond</v>
      </c>
      <c r="E3368" s="122">
        <f>IFERROR(__xludf.DUMMYFUNCTION("""COMPUTED_VALUE"""),99.56)</f>
        <v>99.56</v>
      </c>
      <c r="F3368" s="122">
        <f>IFERROR(__xludf.DUMMYFUNCTION("""COMPUTED_VALUE"""),3.0E-4)</f>
        <v>0.0003</v>
      </c>
    </row>
    <row r="3369">
      <c r="A3369" s="131">
        <f>IFERROR(__xludf.DUMMYFUNCTION("""COMPUTED_VALUE"""),46187.435590277775)</f>
        <v>46187.43559</v>
      </c>
      <c r="B3369" s="126">
        <f>IFERROR(__xludf.DUMMYFUNCTION("""COMPUTED_VALUE"""),46187.0)</f>
        <v>46187</v>
      </c>
      <c r="C3369" s="122" t="str">
        <f>IFERROR(__xludf.DUMMYFUNCTION("""COMPUTED_VALUE"""),"CBND")</f>
        <v>CBND</v>
      </c>
      <c r="D3369" s="122" t="str">
        <f>IFERROR(__xludf.DUMMYFUNCTION("""COMPUTED_VALUE"""),"Corporate Classroom Bond")</f>
        <v>Corporate Classroom Bond</v>
      </c>
      <c r="E3369" s="122">
        <f>IFERROR(__xludf.DUMMYFUNCTION("""COMPUTED_VALUE"""),97.78)</f>
        <v>97.78</v>
      </c>
      <c r="F3369" s="122">
        <f>IFERROR(__xludf.DUMMYFUNCTION("""COMPUTED_VALUE"""),1.0E-4)</f>
        <v>0.0001</v>
      </c>
    </row>
    <row r="3370">
      <c r="A3370" s="131">
        <f>IFERROR(__xludf.DUMMYFUNCTION("""COMPUTED_VALUE"""),46187.435590277775)</f>
        <v>46187.43559</v>
      </c>
      <c r="B3370" s="126">
        <f>IFERROR(__xludf.DUMMYFUNCTION("""COMPUTED_VALUE"""),46187.0)</f>
        <v>46187</v>
      </c>
      <c r="C3370" s="122" t="str">
        <f>IFERROR(__xludf.DUMMYFUNCTION("""COMPUTED_VALUE"""),"TBIL")</f>
        <v>TBIL</v>
      </c>
      <c r="D3370" s="122" t="str">
        <f>IFERROR(__xludf.DUMMYFUNCTION("""COMPUTED_VALUE"""),"Treasury Bill")</f>
        <v>Treasury Bill</v>
      </c>
      <c r="E3370" s="122">
        <f>IFERROR(__xludf.DUMMYFUNCTION("""COMPUTED_VALUE"""),98.03)</f>
        <v>98.03</v>
      </c>
      <c r="F3370" s="122">
        <f>IFERROR(__xludf.DUMMYFUNCTION("""COMPUTED_VALUE"""),-1.0E-4)</f>
        <v>-0.0001</v>
      </c>
    </row>
    <row r="3371">
      <c r="A3371" s="131">
        <f>IFERROR(__xludf.DUMMYFUNCTION("""COMPUTED_VALUE"""),46187.435590277775)</f>
        <v>46187.43559</v>
      </c>
      <c r="B3371" s="126">
        <f>IFERROR(__xludf.DUMMYFUNCTION("""COMPUTED_VALUE"""),46187.0)</f>
        <v>46187</v>
      </c>
      <c r="C3371" s="122" t="str">
        <f>IFERROR(__xludf.DUMMYFUNCTION("""COMPUTED_VALUE"""),"IBND")</f>
        <v>IBND</v>
      </c>
      <c r="D3371" s="122" t="str">
        <f>IFERROR(__xludf.DUMMYFUNCTION("""COMPUTED_VALUE"""),"Inflation Protected Bond")</f>
        <v>Inflation Protected Bond</v>
      </c>
      <c r="E3371" s="122">
        <f>IFERROR(__xludf.DUMMYFUNCTION("""COMPUTED_VALUE"""),100.62)</f>
        <v>100.62</v>
      </c>
      <c r="F3371" s="122">
        <f>IFERROR(__xludf.DUMMYFUNCTION("""COMPUTED_VALUE"""),-4.0E-4)</f>
        <v>-0.0004</v>
      </c>
    </row>
    <row r="3372">
      <c r="A3372" s="131">
        <f>IFERROR(__xludf.DUMMYFUNCTION("""COMPUTED_VALUE"""),46187.43920138889)</f>
        <v>46187.4392</v>
      </c>
      <c r="B3372" s="126">
        <f>IFERROR(__xludf.DUMMYFUNCTION("""COMPUTED_VALUE"""),46187.0)</f>
        <v>46187</v>
      </c>
      <c r="C3372" s="122" t="str">
        <f>IFERROR(__xludf.DUMMYFUNCTION("""COMPUTED_VALUE"""),"SNAX")</f>
        <v>SNAX</v>
      </c>
      <c r="D3372" s="122" t="str">
        <f>IFERROR(__xludf.DUMMYFUNCTION("""COMPUTED_VALUE"""),"MICA Snacks")</f>
        <v>MICA Snacks</v>
      </c>
      <c r="E3372" s="122">
        <f>IFERROR(__xludf.DUMMYFUNCTION("""COMPUTED_VALUE"""),121.43)</f>
        <v>121.43</v>
      </c>
      <c r="F3372" s="122">
        <f>IFERROR(__xludf.DUMMYFUNCTION("""COMPUTED_VALUE"""),0.0045)</f>
        <v>0.0045</v>
      </c>
    </row>
    <row r="3373">
      <c r="A3373" s="131">
        <f>IFERROR(__xludf.DUMMYFUNCTION("""COMPUTED_VALUE"""),46187.43920138889)</f>
        <v>46187.4392</v>
      </c>
      <c r="B3373" s="126">
        <f>IFERROR(__xludf.DUMMYFUNCTION("""COMPUTED_VALUE"""),46187.0)</f>
        <v>46187</v>
      </c>
      <c r="C3373" s="122" t="str">
        <f>IFERROR(__xludf.DUMMYFUNCTION("""COMPUTED_VALUE"""),"RAMN")</f>
        <v>RAMN</v>
      </c>
      <c r="D3373" s="122" t="str">
        <f>IFERROR(__xludf.DUMMYFUNCTION("""COMPUTED_VALUE"""),"Ramen Republic")</f>
        <v>Ramen Republic</v>
      </c>
      <c r="E3373" s="122">
        <f>IFERROR(__xludf.DUMMYFUNCTION("""COMPUTED_VALUE"""),71.92)</f>
        <v>71.92</v>
      </c>
      <c r="F3373" s="122">
        <f>IFERROR(__xludf.DUMMYFUNCTION("""COMPUTED_VALUE"""),-0.0062)</f>
        <v>-0.0062</v>
      </c>
    </row>
    <row r="3374">
      <c r="A3374" s="131">
        <f>IFERROR(__xludf.DUMMYFUNCTION("""COMPUTED_VALUE"""),46187.43920138889)</f>
        <v>46187.4392</v>
      </c>
      <c r="B3374" s="126">
        <f>IFERROR(__xludf.DUMMYFUNCTION("""COMPUTED_VALUE"""),46187.0)</f>
        <v>46187</v>
      </c>
      <c r="C3374" s="122" t="str">
        <f>IFERROR(__xludf.DUMMYFUNCTION("""COMPUTED_VALUE"""),"COLA")</f>
        <v>COLA</v>
      </c>
      <c r="D3374" s="122" t="str">
        <f>IFERROR(__xludf.DUMMYFUNCTION("""COMPUTED_VALUE"""),"K-Pop Cola")</f>
        <v>K-Pop Cola</v>
      </c>
      <c r="E3374" s="122">
        <f>IFERROR(__xludf.DUMMYFUNCTION("""COMPUTED_VALUE"""),108.46)</f>
        <v>108.46</v>
      </c>
      <c r="F3374" s="122">
        <f>IFERROR(__xludf.DUMMYFUNCTION("""COMPUTED_VALUE"""),0.0014)</f>
        <v>0.0014</v>
      </c>
    </row>
    <row r="3375">
      <c r="A3375" s="131">
        <f>IFERROR(__xludf.DUMMYFUNCTION("""COMPUTED_VALUE"""),46187.43920138889)</f>
        <v>46187.4392</v>
      </c>
      <c r="B3375" s="126">
        <f>IFERROR(__xludf.DUMMYFUNCTION("""COMPUTED_VALUE"""),46187.0)</f>
        <v>46187</v>
      </c>
      <c r="C3375" s="122" t="str">
        <f>IFERROR(__xludf.DUMMYFUNCTION("""COMPUTED_VALUE"""),"CHIP")</f>
        <v>CHIP</v>
      </c>
      <c r="D3375" s="122" t="str">
        <f>IFERROR(__xludf.DUMMYFUNCTION("""COMPUTED_VALUE"""),"Chip Empire")</f>
        <v>Chip Empire</v>
      </c>
      <c r="E3375" s="122">
        <f>IFERROR(__xludf.DUMMYFUNCTION("""COMPUTED_VALUE"""),87.2)</f>
        <v>87.2</v>
      </c>
      <c r="F3375" s="122">
        <f>IFERROR(__xludf.DUMMYFUNCTION("""COMPUTED_VALUE"""),-0.0094)</f>
        <v>-0.0094</v>
      </c>
    </row>
    <row r="3376">
      <c r="A3376" s="131">
        <f>IFERROR(__xludf.DUMMYFUNCTION("""COMPUTED_VALUE"""),46187.43920138889)</f>
        <v>46187.4392</v>
      </c>
      <c r="B3376" s="126">
        <f>IFERROR(__xludf.DUMMYFUNCTION("""COMPUTED_VALUE"""),46187.0)</f>
        <v>46187</v>
      </c>
      <c r="C3376" s="122" t="str">
        <f>IFERROR(__xludf.DUMMYFUNCTION("""COMPUTED_VALUE"""),"CAND")</f>
        <v>CAND</v>
      </c>
      <c r="D3376" s="122" t="str">
        <f>IFERROR(__xludf.DUMMYFUNCTION("""COMPUTED_VALUE"""),"Candy Capital")</f>
        <v>Candy Capital</v>
      </c>
      <c r="E3376" s="122">
        <f>IFERROR(__xludf.DUMMYFUNCTION("""COMPUTED_VALUE"""),76.94)</f>
        <v>76.94</v>
      </c>
      <c r="F3376" s="122">
        <f>IFERROR(__xludf.DUMMYFUNCTION("""COMPUTED_VALUE"""),0.0076)</f>
        <v>0.0076</v>
      </c>
    </row>
    <row r="3377">
      <c r="A3377" s="131">
        <f>IFERROR(__xludf.DUMMYFUNCTION("""COMPUTED_VALUE"""),46187.43920138889)</f>
        <v>46187.4392</v>
      </c>
      <c r="B3377" s="126">
        <f>IFERROR(__xludf.DUMMYFUNCTION("""COMPUTED_VALUE"""),46187.0)</f>
        <v>46187</v>
      </c>
      <c r="C3377" s="122" t="str">
        <f>IFERROR(__xludf.DUMMYFUNCTION("""COMPUTED_VALUE"""),"TECH")</f>
        <v>TECH</v>
      </c>
      <c r="D3377" s="122" t="str">
        <f>IFERROR(__xludf.DUMMYFUNCTION("""COMPUTED_VALUE"""),"Dragon Tech")</f>
        <v>Dragon Tech</v>
      </c>
      <c r="E3377" s="122">
        <f>IFERROR(__xludf.DUMMYFUNCTION("""COMPUTED_VALUE"""),245.67)</f>
        <v>245.67</v>
      </c>
      <c r="F3377" s="122">
        <f>IFERROR(__xludf.DUMMYFUNCTION("""COMPUTED_VALUE"""),-0.0066)</f>
        <v>-0.0066</v>
      </c>
    </row>
    <row r="3378">
      <c r="A3378" s="131">
        <f>IFERROR(__xludf.DUMMYFUNCTION("""COMPUTED_VALUE"""),46187.43920138889)</f>
        <v>46187.4392</v>
      </c>
      <c r="B3378" s="126">
        <f>IFERROR(__xludf.DUMMYFUNCTION("""COMPUTED_VALUE"""),46187.0)</f>
        <v>46187</v>
      </c>
      <c r="C3378" s="122" t="str">
        <f>IFERROR(__xludf.DUMMYFUNCTION("""COMPUTED_VALUE"""),"AIBO")</f>
        <v>AIBO</v>
      </c>
      <c r="D3378" s="122" t="str">
        <f>IFERROR(__xludf.DUMMYFUNCTION("""COMPUTED_VALUE"""),"Homework AI")</f>
        <v>Homework AI</v>
      </c>
      <c r="E3378" s="122">
        <f>IFERROR(__xludf.DUMMYFUNCTION("""COMPUTED_VALUE"""),174.15)</f>
        <v>174.15</v>
      </c>
      <c r="F3378" s="122">
        <f>IFERROR(__xludf.DUMMYFUNCTION("""COMPUTED_VALUE"""),0.0147)</f>
        <v>0.0147</v>
      </c>
    </row>
    <row r="3379">
      <c r="A3379" s="131">
        <f>IFERROR(__xludf.DUMMYFUNCTION("""COMPUTED_VALUE"""),46187.43920138889)</f>
        <v>46187.4392</v>
      </c>
      <c r="B3379" s="126">
        <f>IFERROR(__xludf.DUMMYFUNCTION("""COMPUTED_VALUE"""),46187.0)</f>
        <v>46187</v>
      </c>
      <c r="C3379" s="122" t="str">
        <f>IFERROR(__xludf.DUMMYFUNCTION("""COMPUTED_VALUE"""),"GAME")</f>
        <v>GAME</v>
      </c>
      <c r="D3379" s="122" t="str">
        <f>IFERROR(__xludf.DUMMYFUNCTION("""COMPUTED_VALUE"""),"GameBox Media")</f>
        <v>GameBox Media</v>
      </c>
      <c r="E3379" s="122">
        <f>IFERROR(__xludf.DUMMYFUNCTION("""COMPUTED_VALUE"""),96.12)</f>
        <v>96.12</v>
      </c>
      <c r="F3379" s="122">
        <f>IFERROR(__xludf.DUMMYFUNCTION("""COMPUTED_VALUE"""),0.0019)</f>
        <v>0.0019</v>
      </c>
    </row>
    <row r="3380">
      <c r="A3380" s="131">
        <f>IFERROR(__xludf.DUMMYFUNCTION("""COMPUTED_VALUE"""),46187.43920138889)</f>
        <v>46187.4392</v>
      </c>
      <c r="B3380" s="126">
        <f>IFERROR(__xludf.DUMMYFUNCTION("""COMPUTED_VALUE"""),46187.0)</f>
        <v>46187</v>
      </c>
      <c r="C3380" s="122" t="str">
        <f>IFERROR(__xludf.DUMMYFUNCTION("""COMPUTED_VALUE"""),"VRSE")</f>
        <v>VRSE</v>
      </c>
      <c r="D3380" s="122" t="str">
        <f>IFERROR(__xludf.DUMMYFUNCTION("""COMPUTED_VALUE"""),"VerseVR")</f>
        <v>VerseVR</v>
      </c>
      <c r="E3380" s="122">
        <f>IFERROR(__xludf.DUMMYFUNCTION("""COMPUTED_VALUE"""),145.39)</f>
        <v>145.39</v>
      </c>
      <c r="F3380" s="122">
        <f>IFERROR(__xludf.DUMMYFUNCTION("""COMPUTED_VALUE"""),-0.0053)</f>
        <v>-0.0053</v>
      </c>
    </row>
    <row r="3381">
      <c r="A3381" s="131">
        <f>IFERROR(__xludf.DUMMYFUNCTION("""COMPUTED_VALUE"""),46187.43920138889)</f>
        <v>46187.4392</v>
      </c>
      <c r="B3381" s="126">
        <f>IFERROR(__xludf.DUMMYFUNCTION("""COMPUTED_VALUE"""),46187.0)</f>
        <v>46187</v>
      </c>
      <c r="C3381" s="122" t="str">
        <f>IFERROR(__xludf.DUMMYFUNCTION("""COMPUTED_VALUE"""),"BYTE")</f>
        <v>BYTE</v>
      </c>
      <c r="D3381" s="122" t="str">
        <f>IFERROR(__xludf.DUMMYFUNCTION("""COMPUTED_VALUE"""),"ByteWorks")</f>
        <v>ByteWorks</v>
      </c>
      <c r="E3381" s="122">
        <f>IFERROR(__xludf.DUMMYFUNCTION("""COMPUTED_VALUE"""),107.79)</f>
        <v>107.79</v>
      </c>
      <c r="F3381" s="122">
        <f>IFERROR(__xludf.DUMMYFUNCTION("""COMPUTED_VALUE"""),-0.0078)</f>
        <v>-0.0078</v>
      </c>
    </row>
    <row r="3382">
      <c r="A3382" s="131">
        <f>IFERROR(__xludf.DUMMYFUNCTION("""COMPUTED_VALUE"""),46187.43920138889)</f>
        <v>46187.4392</v>
      </c>
      <c r="B3382" s="126">
        <f>IFERROR(__xludf.DUMMYFUNCTION("""COMPUTED_VALUE"""),46187.0)</f>
        <v>46187</v>
      </c>
      <c r="C3382" s="122" t="str">
        <f>IFERROR(__xludf.DUMMYFUNCTION("""COMPUTED_VALUE"""),"BANK")</f>
        <v>BANK</v>
      </c>
      <c r="D3382" s="122" t="str">
        <f>IFERROR(__xludf.DUMMYFUNCTION("""COMPUTED_VALUE"""),"Tiger Bank")</f>
        <v>Tiger Bank</v>
      </c>
      <c r="E3382" s="122">
        <f>IFERROR(__xludf.DUMMYFUNCTION("""COMPUTED_VALUE"""),127.02)</f>
        <v>127.02</v>
      </c>
      <c r="F3382" s="122">
        <f>IFERROR(__xludf.DUMMYFUNCTION("""COMPUTED_VALUE"""),0.0)</f>
        <v>0</v>
      </c>
    </row>
    <row r="3383">
      <c r="A3383" s="131">
        <f>IFERROR(__xludf.DUMMYFUNCTION("""COMPUTED_VALUE"""),46187.43920138889)</f>
        <v>46187.4392</v>
      </c>
      <c r="B3383" s="126">
        <f>IFERROR(__xludf.DUMMYFUNCTION("""COMPUTED_VALUE"""),46187.0)</f>
        <v>46187</v>
      </c>
      <c r="C3383" s="122" t="str">
        <f>IFERROR(__xludf.DUMMYFUNCTION("""COMPUTED_VALUE"""),"CRED")</f>
        <v>CRED</v>
      </c>
      <c r="D3383" s="122" t="str">
        <f>IFERROR(__xludf.DUMMYFUNCTION("""COMPUTED_VALUE"""),"Credit Castle")</f>
        <v>Credit Castle</v>
      </c>
      <c r="E3383" s="122">
        <f>IFERROR(__xludf.DUMMYFUNCTION("""COMPUTED_VALUE"""),67.89)</f>
        <v>67.89</v>
      </c>
      <c r="F3383" s="122">
        <f>IFERROR(__xludf.DUMMYFUNCTION("""COMPUTED_VALUE"""),-0.0044)</f>
        <v>-0.0044</v>
      </c>
    </row>
    <row r="3384">
      <c r="A3384" s="131">
        <f>IFERROR(__xludf.DUMMYFUNCTION("""COMPUTED_VALUE"""),46187.43920138889)</f>
        <v>46187.4392</v>
      </c>
      <c r="B3384" s="126">
        <f>IFERROR(__xludf.DUMMYFUNCTION("""COMPUTED_VALUE"""),46187.0)</f>
        <v>46187</v>
      </c>
      <c r="C3384" s="122" t="str">
        <f>IFERROR(__xludf.DUMMYFUNCTION("""COMPUTED_VALUE"""),"BOND")</f>
        <v>BOND</v>
      </c>
      <c r="D3384" s="122" t="str">
        <f>IFERROR(__xludf.DUMMYFUNCTION("""COMPUTED_VALUE"""),"BondBridge")</f>
        <v>BondBridge</v>
      </c>
      <c r="E3384" s="122">
        <f>IFERROR(__xludf.DUMMYFUNCTION("""COMPUTED_VALUE"""),98.6)</f>
        <v>98.6</v>
      </c>
      <c r="F3384" s="122">
        <f>IFERROR(__xludf.DUMMYFUNCTION("""COMPUTED_VALUE"""),0.0033)</f>
        <v>0.0033</v>
      </c>
    </row>
    <row r="3385">
      <c r="A3385" s="131">
        <f>IFERROR(__xludf.DUMMYFUNCTION("""COMPUTED_VALUE"""),46187.43920138889)</f>
        <v>46187.4392</v>
      </c>
      <c r="B3385" s="126">
        <f>IFERROR(__xludf.DUMMYFUNCTION("""COMPUTED_VALUE"""),46187.0)</f>
        <v>46187</v>
      </c>
      <c r="C3385" s="122" t="str">
        <f>IFERROR(__xludf.DUMMYFUNCTION("""COMPUTED_VALUE"""),"INSR")</f>
        <v>INSR</v>
      </c>
      <c r="D3385" s="122" t="str">
        <f>IFERROR(__xludf.DUMMYFUNCTION("""COMPUTED_VALUE"""),"Shield Insurance")</f>
        <v>Shield Insurance</v>
      </c>
      <c r="E3385" s="122">
        <f>IFERROR(__xludf.DUMMYFUNCTION("""COMPUTED_VALUE"""),159.09)</f>
        <v>159.09</v>
      </c>
      <c r="F3385" s="122">
        <f>IFERROR(__xludf.DUMMYFUNCTION("""COMPUTED_VALUE"""),-0.0019)</f>
        <v>-0.0019</v>
      </c>
    </row>
    <row r="3386">
      <c r="A3386" s="131">
        <f>IFERROR(__xludf.DUMMYFUNCTION("""COMPUTED_VALUE"""),46187.43920138889)</f>
        <v>46187.4392</v>
      </c>
      <c r="B3386" s="126">
        <f>IFERROR(__xludf.DUMMYFUNCTION("""COMPUTED_VALUE"""),46187.0)</f>
        <v>46187</v>
      </c>
      <c r="C3386" s="122" t="str">
        <f>IFERROR(__xludf.DUMMYFUNCTION("""COMPUTED_VALUE"""),"LOAN")</f>
        <v>LOAN</v>
      </c>
      <c r="D3386" s="122" t="str">
        <f>IFERROR(__xludf.DUMMYFUNCTION("""COMPUTED_VALUE"""),"LoanLab")</f>
        <v>LoanLab</v>
      </c>
      <c r="E3386" s="122">
        <f>IFERROR(__xludf.DUMMYFUNCTION("""COMPUTED_VALUE"""),63.11)</f>
        <v>63.11</v>
      </c>
      <c r="F3386" s="122">
        <f>IFERROR(__xludf.DUMMYFUNCTION("""COMPUTED_VALUE"""),0.0019)</f>
        <v>0.0019</v>
      </c>
    </row>
    <row r="3387">
      <c r="A3387" s="131">
        <f>IFERROR(__xludf.DUMMYFUNCTION("""COMPUTED_VALUE"""),46187.43920138889)</f>
        <v>46187.4392</v>
      </c>
      <c r="B3387" s="126">
        <f>IFERROR(__xludf.DUMMYFUNCTION("""COMPUTED_VALUE"""),46187.0)</f>
        <v>46187</v>
      </c>
      <c r="C3387" s="122" t="str">
        <f>IFERROR(__xludf.DUMMYFUNCTION("""COMPUTED_VALUE"""),"LUXE")</f>
        <v>LUXE</v>
      </c>
      <c r="D3387" s="122" t="str">
        <f>IFERROR(__xludf.DUMMYFUNCTION("""COMPUTED_VALUE"""),"Luxury Locker")</f>
        <v>Luxury Locker</v>
      </c>
      <c r="E3387" s="122">
        <f>IFERROR(__xludf.DUMMYFUNCTION("""COMPUTED_VALUE"""),258.15)</f>
        <v>258.15</v>
      </c>
      <c r="F3387" s="122">
        <f>IFERROR(__xludf.DUMMYFUNCTION("""COMPUTED_VALUE"""),-0.0045)</f>
        <v>-0.0045</v>
      </c>
    </row>
    <row r="3388">
      <c r="A3388" s="131">
        <f>IFERROR(__xludf.DUMMYFUNCTION("""COMPUTED_VALUE"""),46187.43920138889)</f>
        <v>46187.4392</v>
      </c>
      <c r="B3388" s="126">
        <f>IFERROR(__xludf.DUMMYFUNCTION("""COMPUTED_VALUE"""),46187.0)</f>
        <v>46187</v>
      </c>
      <c r="C3388" s="122" t="str">
        <f>IFERROR(__xludf.DUMMYFUNCTION("""COMPUTED_VALUE"""),"DRIP")</f>
        <v>DRIP</v>
      </c>
      <c r="D3388" s="122" t="str">
        <f>IFERROR(__xludf.DUMMYFUNCTION("""COMPUTED_VALUE"""),"Drip Streetwear")</f>
        <v>Drip Streetwear</v>
      </c>
      <c r="E3388" s="122">
        <f>IFERROR(__xludf.DUMMYFUNCTION("""COMPUTED_VALUE"""),199.95)</f>
        <v>199.95</v>
      </c>
      <c r="F3388" s="122">
        <f>IFERROR(__xludf.DUMMYFUNCTION("""COMPUTED_VALUE"""),-0.0055)</f>
        <v>-0.0055</v>
      </c>
    </row>
    <row r="3389">
      <c r="A3389" s="131">
        <f>IFERROR(__xludf.DUMMYFUNCTION("""COMPUTED_VALUE"""),46187.43920138889)</f>
        <v>46187.4392</v>
      </c>
      <c r="B3389" s="126">
        <f>IFERROR(__xludf.DUMMYFUNCTION("""COMPUTED_VALUE"""),46187.0)</f>
        <v>46187</v>
      </c>
      <c r="C3389" s="122" t="str">
        <f>IFERROR(__xludf.DUMMYFUNCTION("""COMPUTED_VALUE"""),"KICK")</f>
        <v>KICK</v>
      </c>
      <c r="D3389" s="122" t="str">
        <f>IFERROR(__xludf.DUMMYFUNCTION("""COMPUTED_VALUE"""),"KickDrop Sneakers")</f>
        <v>KickDrop Sneakers</v>
      </c>
      <c r="E3389" s="122">
        <f>IFERROR(__xludf.DUMMYFUNCTION("""COMPUTED_VALUE"""),171.1)</f>
        <v>171.1</v>
      </c>
      <c r="F3389" s="122">
        <f>IFERROR(__xludf.DUMMYFUNCTION("""COMPUTED_VALUE"""),-0.0059)</f>
        <v>-0.0059</v>
      </c>
    </row>
    <row r="3390">
      <c r="A3390" s="131">
        <f>IFERROR(__xludf.DUMMYFUNCTION("""COMPUTED_VALUE"""),46187.43920138889)</f>
        <v>46187.4392</v>
      </c>
      <c r="B3390" s="126">
        <f>IFERROR(__xludf.DUMMYFUNCTION("""COMPUTED_VALUE"""),46187.0)</f>
        <v>46187</v>
      </c>
      <c r="C3390" s="122" t="str">
        <f>IFERROR(__xludf.DUMMYFUNCTION("""COMPUTED_VALUE"""),"GLAM")</f>
        <v>GLAM</v>
      </c>
      <c r="D3390" s="122" t="str">
        <f>IFERROR(__xludf.DUMMYFUNCTION("""COMPUTED_VALUE"""),"Glow Cosmetics")</f>
        <v>Glow Cosmetics</v>
      </c>
      <c r="E3390" s="122">
        <f>IFERROR(__xludf.DUMMYFUNCTION("""COMPUTED_VALUE"""),98.99)</f>
        <v>98.99</v>
      </c>
      <c r="F3390" s="122">
        <f>IFERROR(__xludf.DUMMYFUNCTION("""COMPUTED_VALUE"""),-0.0053)</f>
        <v>-0.0053</v>
      </c>
    </row>
    <row r="3391">
      <c r="A3391" s="131">
        <f>IFERROR(__xludf.DUMMYFUNCTION("""COMPUTED_VALUE"""),46187.43920138889)</f>
        <v>46187.4392</v>
      </c>
      <c r="B3391" s="126">
        <f>IFERROR(__xludf.DUMMYFUNCTION("""COMPUTED_VALUE"""),46187.0)</f>
        <v>46187</v>
      </c>
      <c r="C3391" s="122" t="str">
        <f>IFERROR(__xludf.DUMMYFUNCTION("""COMPUTED_VALUE"""),"BAGG")</f>
        <v>BAGG</v>
      </c>
      <c r="D3391" s="122" t="str">
        <f>IFERROR(__xludf.DUMMYFUNCTION("""COMPUTED_VALUE"""),"BagVault")</f>
        <v>BagVault</v>
      </c>
      <c r="E3391" s="122">
        <f>IFERROR(__xludf.DUMMYFUNCTION("""COMPUTED_VALUE"""),251.96)</f>
        <v>251.96</v>
      </c>
      <c r="F3391" s="122">
        <f>IFERROR(__xludf.DUMMYFUNCTION("""COMPUTED_VALUE"""),-0.001)</f>
        <v>-0.001</v>
      </c>
    </row>
    <row r="3392">
      <c r="A3392" s="131">
        <f>IFERROR(__xludf.DUMMYFUNCTION("""COMPUTED_VALUE"""),46187.43920138889)</f>
        <v>46187.4392</v>
      </c>
      <c r="B3392" s="126">
        <f>IFERROR(__xludf.DUMMYFUNCTION("""COMPUTED_VALUE"""),46187.0)</f>
        <v>46187</v>
      </c>
      <c r="C3392" s="122" t="str">
        <f>IFERROR(__xludf.DUMMYFUNCTION("""COMPUTED_VALUE"""),"FAST")</f>
        <v>FAST</v>
      </c>
      <c r="D3392" s="122" t="str">
        <f>IFERROR(__xludf.DUMMYFUNCTION("""COMPUTED_VALUE"""),"Flash Logistics")</f>
        <v>Flash Logistics</v>
      </c>
      <c r="E3392" s="122">
        <f>IFERROR(__xludf.DUMMYFUNCTION("""COMPUTED_VALUE"""),102.89)</f>
        <v>102.89</v>
      </c>
      <c r="F3392" s="122">
        <f>IFERROR(__xludf.DUMMYFUNCTION("""COMPUTED_VALUE"""),-0.0031)</f>
        <v>-0.0031</v>
      </c>
    </row>
    <row r="3393">
      <c r="A3393" s="131">
        <f>IFERROR(__xludf.DUMMYFUNCTION("""COMPUTED_VALUE"""),46187.43920138889)</f>
        <v>46187.4392</v>
      </c>
      <c r="B3393" s="126">
        <f>IFERROR(__xludf.DUMMYFUNCTION("""COMPUTED_VALUE"""),46187.0)</f>
        <v>46187</v>
      </c>
      <c r="C3393" s="122" t="str">
        <f>IFERROR(__xludf.DUMMYFUNCTION("""COMPUTED_VALUE"""),"SHIP")</f>
        <v>SHIP</v>
      </c>
      <c r="D3393" s="122" t="str">
        <f>IFERROR(__xludf.DUMMYFUNCTION("""COMPUTED_VALUE"""),"Seoul Shipping")</f>
        <v>Seoul Shipping</v>
      </c>
      <c r="E3393" s="122">
        <f>IFERROR(__xludf.DUMMYFUNCTION("""COMPUTED_VALUE"""),119.62)</f>
        <v>119.62</v>
      </c>
      <c r="F3393" s="122">
        <f>IFERROR(__xludf.DUMMYFUNCTION("""COMPUTED_VALUE"""),0.003)</f>
        <v>0.003</v>
      </c>
    </row>
    <row r="3394">
      <c r="A3394" s="131">
        <f>IFERROR(__xludf.DUMMYFUNCTION("""COMPUTED_VALUE"""),46187.43920138889)</f>
        <v>46187.4392</v>
      </c>
      <c r="B3394" s="126">
        <f>IFERROR(__xludf.DUMMYFUNCTION("""COMPUTED_VALUE"""),46187.0)</f>
        <v>46187</v>
      </c>
      <c r="C3394" s="122" t="str">
        <f>IFERROR(__xludf.DUMMYFUNCTION("""COMPUTED_VALUE"""),"DRON")</f>
        <v>DRON</v>
      </c>
      <c r="D3394" s="122" t="str">
        <f>IFERROR(__xludf.DUMMYFUNCTION("""COMPUTED_VALUE"""),"DroneDrop")</f>
        <v>DroneDrop</v>
      </c>
      <c r="E3394" s="122">
        <f>IFERROR(__xludf.DUMMYFUNCTION("""COMPUTED_VALUE"""),132.44)</f>
        <v>132.44</v>
      </c>
      <c r="F3394" s="122">
        <f>IFERROR(__xludf.DUMMYFUNCTION("""COMPUTED_VALUE"""),-9.0E-4)</f>
        <v>-0.0009</v>
      </c>
    </row>
    <row r="3395">
      <c r="A3395" s="131">
        <f>IFERROR(__xludf.DUMMYFUNCTION("""COMPUTED_VALUE"""),46187.43920138889)</f>
        <v>46187.4392</v>
      </c>
      <c r="B3395" s="126">
        <f>IFERROR(__xludf.DUMMYFUNCTION("""COMPUTED_VALUE"""),46187.0)</f>
        <v>46187</v>
      </c>
      <c r="C3395" s="122" t="str">
        <f>IFERROR(__xludf.DUMMYFUNCTION("""COMPUTED_VALUE"""),"RIDE")</f>
        <v>RIDE</v>
      </c>
      <c r="D3395" s="122" t="str">
        <f>IFERROR(__xludf.DUMMYFUNCTION("""COMPUTED_VALUE"""),"QuickRide")</f>
        <v>QuickRide</v>
      </c>
      <c r="E3395" s="122">
        <f>IFERROR(__xludf.DUMMYFUNCTION("""COMPUTED_VALUE"""),95.85)</f>
        <v>95.85</v>
      </c>
      <c r="F3395" s="122">
        <f>IFERROR(__xludf.DUMMYFUNCTION("""COMPUTED_VALUE"""),-0.0096)</f>
        <v>-0.0096</v>
      </c>
    </row>
    <row r="3396">
      <c r="A3396" s="131">
        <f>IFERROR(__xludf.DUMMYFUNCTION("""COMPUTED_VALUE"""),46187.43920138889)</f>
        <v>46187.4392</v>
      </c>
      <c r="B3396" s="126">
        <f>IFERROR(__xludf.DUMMYFUNCTION("""COMPUTED_VALUE"""),46187.0)</f>
        <v>46187</v>
      </c>
      <c r="C3396" s="122" t="str">
        <f>IFERROR(__xludf.DUMMYFUNCTION("""COMPUTED_VALUE"""),"RAIL")</f>
        <v>RAIL</v>
      </c>
      <c r="D3396" s="122" t="str">
        <f>IFERROR(__xludf.DUMMYFUNCTION("""COMPUTED_VALUE"""),"MetroRail Corp")</f>
        <v>MetroRail Corp</v>
      </c>
      <c r="E3396" s="122">
        <f>IFERROR(__xludf.DUMMYFUNCTION("""COMPUTED_VALUE"""),135.0)</f>
        <v>135</v>
      </c>
      <c r="F3396" s="122">
        <f>IFERROR(__xludf.DUMMYFUNCTION("""COMPUTED_VALUE"""),4.0E-4)</f>
        <v>0.0004</v>
      </c>
    </row>
    <row r="3397">
      <c r="A3397" s="131">
        <f>IFERROR(__xludf.DUMMYFUNCTION("""COMPUTED_VALUE"""),46187.43920138889)</f>
        <v>46187.4392</v>
      </c>
      <c r="B3397" s="126">
        <f>IFERROR(__xludf.DUMMYFUNCTION("""COMPUTED_VALUE"""),46187.0)</f>
        <v>46187</v>
      </c>
      <c r="C3397" s="122" t="str">
        <f>IFERROR(__xludf.DUMMYFUNCTION("""COMPUTED_VALUE"""),"MEDX")</f>
        <v>MEDX</v>
      </c>
      <c r="D3397" s="122" t="str">
        <f>IFERROR(__xludf.DUMMYFUNCTION("""COMPUTED_VALUE"""),"MediCore")</f>
        <v>MediCore</v>
      </c>
      <c r="E3397" s="122">
        <f>IFERROR(__xludf.DUMMYFUNCTION("""COMPUTED_VALUE"""),138.27)</f>
        <v>138.27</v>
      </c>
      <c r="F3397" s="122">
        <f>IFERROR(__xludf.DUMMYFUNCTION("""COMPUTED_VALUE"""),0.002)</f>
        <v>0.002</v>
      </c>
    </row>
    <row r="3398">
      <c r="A3398" s="131">
        <f>IFERROR(__xludf.DUMMYFUNCTION("""COMPUTED_VALUE"""),46187.43920138889)</f>
        <v>46187.4392</v>
      </c>
      <c r="B3398" s="126">
        <f>IFERROR(__xludf.DUMMYFUNCTION("""COMPUTED_VALUE"""),46187.0)</f>
        <v>46187</v>
      </c>
      <c r="C3398" s="122" t="str">
        <f>IFERROR(__xludf.DUMMYFUNCTION("""COMPUTED_VALUE"""),"GYMX")</f>
        <v>GYMX</v>
      </c>
      <c r="D3398" s="122" t="str">
        <f>IFERROR(__xludf.DUMMYFUNCTION("""COMPUTED_VALUE"""),"GymX Fitness")</f>
        <v>GymX Fitness</v>
      </c>
      <c r="E3398" s="122">
        <f>IFERROR(__xludf.DUMMYFUNCTION("""COMPUTED_VALUE"""),85.76)</f>
        <v>85.76</v>
      </c>
      <c r="F3398" s="122">
        <f>IFERROR(__xludf.DUMMYFUNCTION("""COMPUTED_VALUE"""),0.0023)</f>
        <v>0.0023</v>
      </c>
    </row>
    <row r="3399">
      <c r="A3399" s="131">
        <f>IFERROR(__xludf.DUMMYFUNCTION("""COMPUTED_VALUE"""),46187.43920138889)</f>
        <v>46187.4392</v>
      </c>
      <c r="B3399" s="126">
        <f>IFERROR(__xludf.DUMMYFUNCTION("""COMPUTED_VALUE"""),46187.0)</f>
        <v>46187</v>
      </c>
      <c r="C3399" s="122" t="str">
        <f>IFERROR(__xludf.DUMMYFUNCTION("""COMPUTED_VALUE"""),"VITA")</f>
        <v>VITA</v>
      </c>
      <c r="D3399" s="122" t="str">
        <f>IFERROR(__xludf.DUMMYFUNCTION("""COMPUTED_VALUE"""),"VitaPlus")</f>
        <v>VitaPlus</v>
      </c>
      <c r="E3399" s="122">
        <f>IFERROR(__xludf.DUMMYFUNCTION("""COMPUTED_VALUE"""),75.06)</f>
        <v>75.06</v>
      </c>
      <c r="F3399" s="122">
        <f>IFERROR(__xludf.DUMMYFUNCTION("""COMPUTED_VALUE"""),-7.0E-4)</f>
        <v>-0.0007</v>
      </c>
    </row>
    <row r="3400">
      <c r="A3400" s="131">
        <f>IFERROR(__xludf.DUMMYFUNCTION("""COMPUTED_VALUE"""),46187.43920138889)</f>
        <v>46187.4392</v>
      </c>
      <c r="B3400" s="126">
        <f>IFERROR(__xludf.DUMMYFUNCTION("""COMPUTED_VALUE"""),46187.0)</f>
        <v>46187</v>
      </c>
      <c r="C3400" s="122" t="str">
        <f>IFERROR(__xludf.DUMMYFUNCTION("""COMPUTED_VALUE"""),"CARE")</f>
        <v>CARE</v>
      </c>
      <c r="D3400" s="122" t="str">
        <f>IFERROR(__xludf.DUMMYFUNCTION("""COMPUTED_VALUE"""),"CareCloud")</f>
        <v>CareCloud</v>
      </c>
      <c r="E3400" s="122">
        <f>IFERROR(__xludf.DUMMYFUNCTION("""COMPUTED_VALUE"""),176.91)</f>
        <v>176.91</v>
      </c>
      <c r="F3400" s="122">
        <f>IFERROR(__xludf.DUMMYFUNCTION("""COMPUTED_VALUE"""),0.0067)</f>
        <v>0.0067</v>
      </c>
    </row>
    <row r="3401">
      <c r="A3401" s="131">
        <f>IFERROR(__xludf.DUMMYFUNCTION("""COMPUTED_VALUE"""),46187.43920138889)</f>
        <v>46187.4392</v>
      </c>
      <c r="B3401" s="126">
        <f>IFERROR(__xludf.DUMMYFUNCTION("""COMPUTED_VALUE"""),46187.0)</f>
        <v>46187</v>
      </c>
      <c r="C3401" s="122" t="str">
        <f>IFERROR(__xludf.DUMMYFUNCTION("""COMPUTED_VALUE"""),"DENT")</f>
        <v>DENT</v>
      </c>
      <c r="D3401" s="122" t="str">
        <f>IFERROR(__xludf.DUMMYFUNCTION("""COMPUTED_VALUE"""),"SmileWorks")</f>
        <v>SmileWorks</v>
      </c>
      <c r="E3401" s="122">
        <f>IFERROR(__xludf.DUMMYFUNCTION("""COMPUTED_VALUE"""),84.28)</f>
        <v>84.28</v>
      </c>
      <c r="F3401" s="122">
        <f>IFERROR(__xludf.DUMMYFUNCTION("""COMPUTED_VALUE"""),-0.0021)</f>
        <v>-0.0021</v>
      </c>
    </row>
    <row r="3402">
      <c r="A3402" s="131">
        <f>IFERROR(__xludf.DUMMYFUNCTION("""COMPUTED_VALUE"""),46187.43920138889)</f>
        <v>46187.4392</v>
      </c>
      <c r="B3402" s="126">
        <f>IFERROR(__xludf.DUMMYFUNCTION("""COMPUTED_VALUE"""),46187.0)</f>
        <v>46187</v>
      </c>
      <c r="C3402" s="122" t="str">
        <f>IFERROR(__xludf.DUMMYFUNCTION("""COMPUTED_VALUE"""),"EDUX")</f>
        <v>EDUX</v>
      </c>
      <c r="D3402" s="122" t="str">
        <f>IFERROR(__xludf.DUMMYFUNCTION("""COMPUTED_VALUE"""),"EduMax Learning")</f>
        <v>EduMax Learning</v>
      </c>
      <c r="E3402" s="122">
        <f>IFERROR(__xludf.DUMMYFUNCTION("""COMPUTED_VALUE"""),135.68)</f>
        <v>135.68</v>
      </c>
      <c r="F3402" s="122">
        <f>IFERROR(__xludf.DUMMYFUNCTION("""COMPUTED_VALUE"""),0.0075)</f>
        <v>0.0075</v>
      </c>
    </row>
    <row r="3403">
      <c r="A3403" s="131">
        <f>IFERROR(__xludf.DUMMYFUNCTION("""COMPUTED_VALUE"""),46187.43920138889)</f>
        <v>46187.4392</v>
      </c>
      <c r="B3403" s="126">
        <f>IFERROR(__xludf.DUMMYFUNCTION("""COMPUTED_VALUE"""),46187.0)</f>
        <v>46187</v>
      </c>
      <c r="C3403" s="122" t="str">
        <f>IFERROR(__xludf.DUMMYFUNCTION("""COMPUTED_VALUE"""),"BOOK")</f>
        <v>BOOK</v>
      </c>
      <c r="D3403" s="122" t="str">
        <f>IFERROR(__xludf.DUMMYFUNCTION("""COMPUTED_VALUE"""),"BookBridge")</f>
        <v>BookBridge</v>
      </c>
      <c r="E3403" s="122">
        <f>IFERROR(__xludf.DUMMYFUNCTION("""COMPUTED_VALUE"""),115.78)</f>
        <v>115.78</v>
      </c>
      <c r="F3403" s="122">
        <f>IFERROR(__xludf.DUMMYFUNCTION("""COMPUTED_VALUE"""),0.0037)</f>
        <v>0.0037</v>
      </c>
    </row>
    <row r="3404">
      <c r="A3404" s="131">
        <f>IFERROR(__xludf.DUMMYFUNCTION("""COMPUTED_VALUE"""),46187.43920138889)</f>
        <v>46187.4392</v>
      </c>
      <c r="B3404" s="126">
        <f>IFERROR(__xludf.DUMMYFUNCTION("""COMPUTED_VALUE"""),46187.0)</f>
        <v>46187</v>
      </c>
      <c r="C3404" s="122" t="str">
        <f>IFERROR(__xludf.DUMMYFUNCTION("""COMPUTED_VALUE"""),"TUTR")</f>
        <v>TUTR</v>
      </c>
      <c r="D3404" s="122" t="str">
        <f>IFERROR(__xludf.DUMMYFUNCTION("""COMPUTED_VALUE"""),"TutorTown")</f>
        <v>TutorTown</v>
      </c>
      <c r="E3404" s="122">
        <f>IFERROR(__xludf.DUMMYFUNCTION("""COMPUTED_VALUE"""),88.79)</f>
        <v>88.79</v>
      </c>
      <c r="F3404" s="122">
        <f>IFERROR(__xludf.DUMMYFUNCTION("""COMPUTED_VALUE"""),0.0016)</f>
        <v>0.0016</v>
      </c>
    </row>
    <row r="3405">
      <c r="A3405" s="131">
        <f>IFERROR(__xludf.DUMMYFUNCTION("""COMPUTED_VALUE"""),46187.43920138889)</f>
        <v>46187.4392</v>
      </c>
      <c r="B3405" s="126">
        <f>IFERROR(__xludf.DUMMYFUNCTION("""COMPUTED_VALUE"""),46187.0)</f>
        <v>46187</v>
      </c>
      <c r="C3405" s="122" t="str">
        <f>IFERROR(__xludf.DUMMYFUNCTION("""COMPUTED_VALUE"""),"LANG")</f>
        <v>LANG</v>
      </c>
      <c r="D3405" s="122" t="str">
        <f>IFERROR(__xludf.DUMMYFUNCTION("""COMPUTED_VALUE"""),"LinguaLab")</f>
        <v>LinguaLab</v>
      </c>
      <c r="E3405" s="122">
        <f>IFERROR(__xludf.DUMMYFUNCTION("""COMPUTED_VALUE"""),97.89)</f>
        <v>97.89</v>
      </c>
      <c r="F3405" s="122">
        <f>IFERROR(__xludf.DUMMYFUNCTION("""COMPUTED_VALUE"""),-2.0E-4)</f>
        <v>-0.0002</v>
      </c>
    </row>
    <row r="3406">
      <c r="A3406" s="131">
        <f>IFERROR(__xludf.DUMMYFUNCTION("""COMPUTED_VALUE"""),46187.43920138889)</f>
        <v>46187.4392</v>
      </c>
      <c r="B3406" s="126">
        <f>IFERROR(__xludf.DUMMYFUNCTION("""COMPUTED_VALUE"""),46187.0)</f>
        <v>46187</v>
      </c>
      <c r="C3406" s="122" t="str">
        <f>IFERROR(__xludf.DUMMYFUNCTION("""COMPUTED_VALUE"""),"TEST")</f>
        <v>TEST</v>
      </c>
      <c r="D3406" s="122" t="str">
        <f>IFERROR(__xludf.DUMMYFUNCTION("""COMPUTED_VALUE"""),"TestPrep Pro")</f>
        <v>TestPrep Pro</v>
      </c>
      <c r="E3406" s="122">
        <f>IFERROR(__xludf.DUMMYFUNCTION("""COMPUTED_VALUE"""),98.36)</f>
        <v>98.36</v>
      </c>
      <c r="F3406" s="122">
        <f>IFERROR(__xludf.DUMMYFUNCTION("""COMPUTED_VALUE"""),-0.0069)</f>
        <v>-0.0069</v>
      </c>
    </row>
    <row r="3407">
      <c r="A3407" s="131">
        <f>IFERROR(__xludf.DUMMYFUNCTION("""COMPUTED_VALUE"""),46187.43920138889)</f>
        <v>46187.4392</v>
      </c>
      <c r="B3407" s="126">
        <f>IFERROR(__xludf.DUMMYFUNCTION("""COMPUTED_VALUE"""),46187.0)</f>
        <v>46187</v>
      </c>
      <c r="C3407" s="122" t="str">
        <f>IFERROR(__xludf.DUMMYFUNCTION("""COMPUTED_VALUE"""),"MOVI")</f>
        <v>MOVI</v>
      </c>
      <c r="D3407" s="122" t="str">
        <f>IFERROR(__xludf.DUMMYFUNCTION("""COMPUTED_VALUE"""),"MovieBox")</f>
        <v>MovieBox</v>
      </c>
      <c r="E3407" s="122">
        <f>IFERROR(__xludf.DUMMYFUNCTION("""COMPUTED_VALUE"""),81.4)</f>
        <v>81.4</v>
      </c>
      <c r="F3407" s="122">
        <f>IFERROR(__xludf.DUMMYFUNCTION("""COMPUTED_VALUE"""),0.0058)</f>
        <v>0.0058</v>
      </c>
    </row>
    <row r="3408">
      <c r="A3408" s="131">
        <f>IFERROR(__xludf.DUMMYFUNCTION("""COMPUTED_VALUE"""),46187.43920138889)</f>
        <v>46187.4392</v>
      </c>
      <c r="B3408" s="126">
        <f>IFERROR(__xludf.DUMMYFUNCTION("""COMPUTED_VALUE"""),46187.0)</f>
        <v>46187</v>
      </c>
      <c r="C3408" s="122" t="str">
        <f>IFERROR(__xludf.DUMMYFUNCTION("""COMPUTED_VALUE"""),"MUSC")</f>
        <v>MUSC</v>
      </c>
      <c r="D3408" s="122" t="str">
        <f>IFERROR(__xludf.DUMMYFUNCTION("""COMPUTED_VALUE"""),"MusicWave")</f>
        <v>MusicWave</v>
      </c>
      <c r="E3408" s="122">
        <f>IFERROR(__xludf.DUMMYFUNCTION("""COMPUTED_VALUE"""),96.86)</f>
        <v>96.86</v>
      </c>
      <c r="F3408" s="122">
        <f>IFERROR(__xludf.DUMMYFUNCTION("""COMPUTED_VALUE"""),0.0023)</f>
        <v>0.0023</v>
      </c>
    </row>
    <row r="3409">
      <c r="A3409" s="131">
        <f>IFERROR(__xludf.DUMMYFUNCTION("""COMPUTED_VALUE"""),46187.43920138889)</f>
        <v>46187.4392</v>
      </c>
      <c r="B3409" s="126">
        <f>IFERROR(__xludf.DUMMYFUNCTION("""COMPUTED_VALUE"""),46187.0)</f>
        <v>46187</v>
      </c>
      <c r="C3409" s="122" t="str">
        <f>IFERROR(__xludf.DUMMYFUNCTION("""COMPUTED_VALUE"""),"IDOL")</f>
        <v>IDOL</v>
      </c>
      <c r="D3409" s="122" t="str">
        <f>IFERROR(__xludf.DUMMYFUNCTION("""COMPUTED_VALUE"""),"Idol Agency")</f>
        <v>Idol Agency</v>
      </c>
      <c r="E3409" s="122">
        <f>IFERROR(__xludf.DUMMYFUNCTION("""COMPUTED_VALUE"""),197.78)</f>
        <v>197.78</v>
      </c>
      <c r="F3409" s="122">
        <f>IFERROR(__xludf.DUMMYFUNCTION("""COMPUTED_VALUE"""),0.0036)</f>
        <v>0.0036</v>
      </c>
    </row>
    <row r="3410">
      <c r="A3410" s="131">
        <f>IFERROR(__xludf.DUMMYFUNCTION("""COMPUTED_VALUE"""),46187.43920138889)</f>
        <v>46187.4392</v>
      </c>
      <c r="B3410" s="126">
        <f>IFERROR(__xludf.DUMMYFUNCTION("""COMPUTED_VALUE"""),46187.0)</f>
        <v>46187</v>
      </c>
      <c r="C3410" s="122" t="str">
        <f>IFERROR(__xludf.DUMMYFUNCTION("""COMPUTED_VALUE"""),"MEME")</f>
        <v>MEME</v>
      </c>
      <c r="D3410" s="122" t="str">
        <f>IFERROR(__xludf.DUMMYFUNCTION("""COMPUTED_VALUE"""),"Meme Media")</f>
        <v>Meme Media</v>
      </c>
      <c r="E3410" s="122">
        <f>IFERROR(__xludf.DUMMYFUNCTION("""COMPUTED_VALUE"""),77.31)</f>
        <v>77.31</v>
      </c>
      <c r="F3410" s="122">
        <f>IFERROR(__xludf.DUMMYFUNCTION("""COMPUTED_VALUE"""),0.0057)</f>
        <v>0.0057</v>
      </c>
    </row>
    <row r="3411">
      <c r="A3411" s="131">
        <f>IFERROR(__xludf.DUMMYFUNCTION("""COMPUTED_VALUE"""),46187.43920138889)</f>
        <v>46187.4392</v>
      </c>
      <c r="B3411" s="126">
        <f>IFERROR(__xludf.DUMMYFUNCTION("""COMPUTED_VALUE"""),46187.0)</f>
        <v>46187</v>
      </c>
      <c r="C3411" s="122" t="str">
        <f>IFERROR(__xludf.DUMMYFUNCTION("""COMPUTED_VALUE"""),"STRM")</f>
        <v>STRM</v>
      </c>
      <c r="D3411" s="122" t="str">
        <f>IFERROR(__xludf.DUMMYFUNCTION("""COMPUTED_VALUE"""),"Streamly")</f>
        <v>Streamly</v>
      </c>
      <c r="E3411" s="122">
        <f>IFERROR(__xludf.DUMMYFUNCTION("""COMPUTED_VALUE"""),141.03)</f>
        <v>141.03</v>
      </c>
      <c r="F3411" s="122">
        <f>IFERROR(__xludf.DUMMYFUNCTION("""COMPUTED_VALUE"""),0.0059)</f>
        <v>0.0059</v>
      </c>
    </row>
    <row r="3412">
      <c r="A3412" s="131">
        <f>IFERROR(__xludf.DUMMYFUNCTION("""COMPUTED_VALUE"""),46187.43920138889)</f>
        <v>46187.4392</v>
      </c>
      <c r="B3412" s="126">
        <f>IFERROR(__xludf.DUMMYFUNCTION("""COMPUTED_VALUE"""),46187.0)</f>
        <v>46187</v>
      </c>
      <c r="C3412" s="122" t="str">
        <f>IFERROR(__xludf.DUMMYFUNCTION("""COMPUTED_VALUE"""),"FARM")</f>
        <v>FARM</v>
      </c>
      <c r="D3412" s="122" t="str">
        <f>IFERROR(__xludf.DUMMYFUNCTION("""COMPUTED_VALUE"""),"Future Farms")</f>
        <v>Future Farms</v>
      </c>
      <c r="E3412" s="122">
        <f>IFERROR(__xludf.DUMMYFUNCTION("""COMPUTED_VALUE"""),84.43)</f>
        <v>84.43</v>
      </c>
      <c r="F3412" s="122">
        <f>IFERROR(__xludf.DUMMYFUNCTION("""COMPUTED_VALUE"""),7.0E-4)</f>
        <v>0.0007</v>
      </c>
    </row>
    <row r="3413">
      <c r="A3413" s="131">
        <f>IFERROR(__xludf.DUMMYFUNCTION("""COMPUTED_VALUE"""),46187.43920138889)</f>
        <v>46187.4392</v>
      </c>
      <c r="B3413" s="126">
        <f>IFERROR(__xludf.DUMMYFUNCTION("""COMPUTED_VALUE"""),46187.0)</f>
        <v>46187</v>
      </c>
      <c r="C3413" s="122" t="str">
        <f>IFERROR(__xludf.DUMMYFUNCTION("""COMPUTED_VALUE"""),"MEAT")</f>
        <v>MEAT</v>
      </c>
      <c r="D3413" s="122" t="str">
        <f>IFERROR(__xludf.DUMMYFUNCTION("""COMPUTED_VALUE"""),"MeatWorks")</f>
        <v>MeatWorks</v>
      </c>
      <c r="E3413" s="122">
        <f>IFERROR(__xludf.DUMMYFUNCTION("""COMPUTED_VALUE"""),103.39)</f>
        <v>103.39</v>
      </c>
      <c r="F3413" s="122">
        <f>IFERROR(__xludf.DUMMYFUNCTION("""COMPUTED_VALUE"""),1.0E-4)</f>
        <v>0.0001</v>
      </c>
    </row>
    <row r="3414">
      <c r="A3414" s="131">
        <f>IFERROR(__xludf.DUMMYFUNCTION("""COMPUTED_VALUE"""),46187.43920138889)</f>
        <v>46187.4392</v>
      </c>
      <c r="B3414" s="126">
        <f>IFERROR(__xludf.DUMMYFUNCTION("""COMPUTED_VALUE"""),46187.0)</f>
        <v>46187</v>
      </c>
      <c r="C3414" s="122" t="str">
        <f>IFERROR(__xludf.DUMMYFUNCTION("""COMPUTED_VALUE"""),"VEGI")</f>
        <v>VEGI</v>
      </c>
      <c r="D3414" s="122" t="str">
        <f>IFERROR(__xludf.DUMMYFUNCTION("""COMPUTED_VALUE"""),"Green Basket")</f>
        <v>Green Basket</v>
      </c>
      <c r="E3414" s="122">
        <f>IFERROR(__xludf.DUMMYFUNCTION("""COMPUTED_VALUE"""),81.54)</f>
        <v>81.54</v>
      </c>
      <c r="F3414" s="122">
        <f>IFERROR(__xludf.DUMMYFUNCTION("""COMPUTED_VALUE"""),2.0E-4)</f>
        <v>0.0002</v>
      </c>
    </row>
    <row r="3415">
      <c r="A3415" s="131">
        <f>IFERROR(__xludf.DUMMYFUNCTION("""COMPUTED_VALUE"""),46187.43920138889)</f>
        <v>46187.4392</v>
      </c>
      <c r="B3415" s="126">
        <f>IFERROR(__xludf.DUMMYFUNCTION("""COMPUTED_VALUE"""),46187.0)</f>
        <v>46187</v>
      </c>
      <c r="C3415" s="122" t="str">
        <f>IFERROR(__xludf.DUMMYFUNCTION("""COMPUTED_VALUE"""),"CAFE")</f>
        <v>CAFE</v>
      </c>
      <c r="D3415" s="122" t="str">
        <f>IFERROR(__xludf.DUMMYFUNCTION("""COMPUTED_VALUE"""),"Cafe Cloud")</f>
        <v>Cafe Cloud</v>
      </c>
      <c r="E3415" s="122">
        <f>IFERROR(__xludf.DUMMYFUNCTION("""COMPUTED_VALUE"""),101.42)</f>
        <v>101.42</v>
      </c>
      <c r="F3415" s="122">
        <f>IFERROR(__xludf.DUMMYFUNCTION("""COMPUTED_VALUE"""),0.0071)</f>
        <v>0.0071</v>
      </c>
    </row>
    <row r="3416">
      <c r="A3416" s="131">
        <f>IFERROR(__xludf.DUMMYFUNCTION("""COMPUTED_VALUE"""),46187.43920138889)</f>
        <v>46187.4392</v>
      </c>
      <c r="B3416" s="126">
        <f>IFERROR(__xludf.DUMMYFUNCTION("""COMPUTED_VALUE"""),46187.0)</f>
        <v>46187</v>
      </c>
      <c r="C3416" s="122" t="str">
        <f>IFERROR(__xludf.DUMMYFUNCTION("""COMPUTED_VALUE"""),"BAKE")</f>
        <v>BAKE</v>
      </c>
      <c r="D3416" s="122" t="str">
        <f>IFERROR(__xludf.DUMMYFUNCTION("""COMPUTED_VALUE"""),"BakeHouse")</f>
        <v>BakeHouse</v>
      </c>
      <c r="E3416" s="122">
        <f>IFERROR(__xludf.DUMMYFUNCTION("""COMPUTED_VALUE"""),100.57)</f>
        <v>100.57</v>
      </c>
      <c r="F3416" s="122">
        <f>IFERROR(__xludf.DUMMYFUNCTION("""COMPUTED_VALUE"""),0.0047)</f>
        <v>0.0047</v>
      </c>
    </row>
    <row r="3417">
      <c r="A3417" s="131">
        <f>IFERROR(__xludf.DUMMYFUNCTION("""COMPUTED_VALUE"""),46187.43920138889)</f>
        <v>46187.4392</v>
      </c>
      <c r="B3417" s="126">
        <f>IFERROR(__xludf.DUMMYFUNCTION("""COMPUTED_VALUE"""),46187.0)</f>
        <v>46187</v>
      </c>
      <c r="C3417" s="122" t="str">
        <f>IFERROR(__xludf.DUMMYFUNCTION("""COMPUTED_VALUE"""),"OILX")</f>
        <v>OILX</v>
      </c>
      <c r="D3417" s="122" t="str">
        <f>IFERROR(__xludf.DUMMYFUNCTION("""COMPUTED_VALUE"""),"OilMax Energy")</f>
        <v>OilMax Energy</v>
      </c>
      <c r="E3417" s="122">
        <f>IFERROR(__xludf.DUMMYFUNCTION("""COMPUTED_VALUE"""),132.13)</f>
        <v>132.13</v>
      </c>
      <c r="F3417" s="122">
        <f>IFERROR(__xludf.DUMMYFUNCTION("""COMPUTED_VALUE"""),-0.0047)</f>
        <v>-0.0047</v>
      </c>
    </row>
    <row r="3418">
      <c r="A3418" s="131">
        <f>IFERROR(__xludf.DUMMYFUNCTION("""COMPUTED_VALUE"""),46187.43920138889)</f>
        <v>46187.4392</v>
      </c>
      <c r="B3418" s="126">
        <f>IFERROR(__xludf.DUMMYFUNCTION("""COMPUTED_VALUE"""),46187.0)</f>
        <v>46187</v>
      </c>
      <c r="C3418" s="122" t="str">
        <f>IFERROR(__xludf.DUMMYFUNCTION("""COMPUTED_VALUE"""),"SOLR")</f>
        <v>SOLR</v>
      </c>
      <c r="D3418" s="122" t="str">
        <f>IFERROR(__xludf.DUMMYFUNCTION("""COMPUTED_VALUE"""),"SolarSpark")</f>
        <v>SolarSpark</v>
      </c>
      <c r="E3418" s="122">
        <f>IFERROR(__xludf.DUMMYFUNCTION("""COMPUTED_VALUE"""),88.61)</f>
        <v>88.61</v>
      </c>
      <c r="F3418" s="122">
        <f>IFERROR(__xludf.DUMMYFUNCTION("""COMPUTED_VALUE"""),-0.0035)</f>
        <v>-0.0035</v>
      </c>
    </row>
    <row r="3419">
      <c r="A3419" s="131">
        <f>IFERROR(__xludf.DUMMYFUNCTION("""COMPUTED_VALUE"""),46187.43920138889)</f>
        <v>46187.4392</v>
      </c>
      <c r="B3419" s="126">
        <f>IFERROR(__xludf.DUMMYFUNCTION("""COMPUTED_VALUE"""),46187.0)</f>
        <v>46187</v>
      </c>
      <c r="C3419" s="122" t="str">
        <f>IFERROR(__xludf.DUMMYFUNCTION("""COMPUTED_VALUE"""),"BATT")</f>
        <v>BATT</v>
      </c>
      <c r="D3419" s="122" t="str">
        <f>IFERROR(__xludf.DUMMYFUNCTION("""COMPUTED_VALUE"""),"BatteryBox")</f>
        <v>BatteryBox</v>
      </c>
      <c r="E3419" s="122">
        <f>IFERROR(__xludf.DUMMYFUNCTION("""COMPUTED_VALUE"""),120.83)</f>
        <v>120.83</v>
      </c>
      <c r="F3419" s="122">
        <f>IFERROR(__xludf.DUMMYFUNCTION("""COMPUTED_VALUE"""),-0.0035)</f>
        <v>-0.0035</v>
      </c>
    </row>
    <row r="3420">
      <c r="A3420" s="131">
        <f>IFERROR(__xludf.DUMMYFUNCTION("""COMPUTED_VALUE"""),46187.43920138889)</f>
        <v>46187.4392</v>
      </c>
      <c r="B3420" s="126">
        <f>IFERROR(__xludf.DUMMYFUNCTION("""COMPUTED_VALUE"""),46187.0)</f>
        <v>46187</v>
      </c>
      <c r="C3420" s="122" t="str">
        <f>IFERROR(__xludf.DUMMYFUNCTION("""COMPUTED_VALUE"""),"WIND")</f>
        <v>WIND</v>
      </c>
      <c r="D3420" s="122" t="str">
        <f>IFERROR(__xludf.DUMMYFUNCTION("""COMPUTED_VALUE"""),"WindWorks")</f>
        <v>WindWorks</v>
      </c>
      <c r="E3420" s="122">
        <f>IFERROR(__xludf.DUMMYFUNCTION("""COMPUTED_VALUE"""),88.62)</f>
        <v>88.62</v>
      </c>
      <c r="F3420" s="122">
        <f>IFERROR(__xludf.DUMMYFUNCTION("""COMPUTED_VALUE"""),9.0E-4)</f>
        <v>0.0009</v>
      </c>
    </row>
    <row r="3421">
      <c r="A3421" s="131">
        <f>IFERROR(__xludf.DUMMYFUNCTION("""COMPUTED_VALUE"""),46187.43920138889)</f>
        <v>46187.4392</v>
      </c>
      <c r="B3421" s="126">
        <f>IFERROR(__xludf.DUMMYFUNCTION("""COMPUTED_VALUE"""),46187.0)</f>
        <v>46187</v>
      </c>
      <c r="C3421" s="122" t="str">
        <f>IFERROR(__xludf.DUMMYFUNCTION("""COMPUTED_VALUE"""),"GRID")</f>
        <v>GRID</v>
      </c>
      <c r="D3421" s="122" t="str">
        <f>IFERROR(__xludf.DUMMYFUNCTION("""COMPUTED_VALUE"""),"GridPower")</f>
        <v>GridPower</v>
      </c>
      <c r="E3421" s="122">
        <f>IFERROR(__xludf.DUMMYFUNCTION("""COMPUTED_VALUE"""),141.5)</f>
        <v>141.5</v>
      </c>
      <c r="F3421" s="122">
        <f>IFERROR(__xludf.DUMMYFUNCTION("""COMPUTED_VALUE"""),1.0E-4)</f>
        <v>0.0001</v>
      </c>
    </row>
    <row r="3422">
      <c r="A3422" s="131">
        <f>IFERROR(__xludf.DUMMYFUNCTION("""COMPUTED_VALUE"""),46187.43920138889)</f>
        <v>46187.4392</v>
      </c>
      <c r="B3422" s="126">
        <f>IFERROR(__xludf.DUMMYFUNCTION("""COMPUTED_VALUE"""),46187.0)</f>
        <v>46187</v>
      </c>
      <c r="C3422" s="122" t="str">
        <f>IFERROR(__xludf.DUMMYFUNCTION("""COMPUTED_VALUE"""),"HOME")</f>
        <v>HOME</v>
      </c>
      <c r="D3422" s="122" t="str">
        <f>IFERROR(__xludf.DUMMYFUNCTION("""COMPUTED_VALUE"""),"HomeHub")</f>
        <v>HomeHub</v>
      </c>
      <c r="E3422" s="122">
        <f>IFERROR(__xludf.DUMMYFUNCTION("""COMPUTED_VALUE"""),151.76)</f>
        <v>151.76</v>
      </c>
      <c r="F3422" s="122">
        <f>IFERROR(__xludf.DUMMYFUNCTION("""COMPUTED_VALUE"""),0.0033)</f>
        <v>0.0033</v>
      </c>
    </row>
    <row r="3423">
      <c r="A3423" s="131">
        <f>IFERROR(__xludf.DUMMYFUNCTION("""COMPUTED_VALUE"""),46187.43920138889)</f>
        <v>46187.4392</v>
      </c>
      <c r="B3423" s="126">
        <f>IFERROR(__xludf.DUMMYFUNCTION("""COMPUTED_VALUE"""),46187.0)</f>
        <v>46187</v>
      </c>
      <c r="C3423" s="122" t="str">
        <f>IFERROR(__xludf.DUMMYFUNCTION("""COMPUTED_VALUE"""),"RENT")</f>
        <v>RENT</v>
      </c>
      <c r="D3423" s="122" t="str">
        <f>IFERROR(__xludf.DUMMYFUNCTION("""COMPUTED_VALUE"""),"RentRight")</f>
        <v>RentRight</v>
      </c>
      <c r="E3423" s="122">
        <f>IFERROR(__xludf.DUMMYFUNCTION("""COMPUTED_VALUE"""),92.01)</f>
        <v>92.01</v>
      </c>
      <c r="F3423" s="122">
        <f>IFERROR(__xludf.DUMMYFUNCTION("""COMPUTED_VALUE"""),-4.0E-4)</f>
        <v>-0.0004</v>
      </c>
    </row>
    <row r="3424">
      <c r="A3424" s="131">
        <f>IFERROR(__xludf.DUMMYFUNCTION("""COMPUTED_VALUE"""),46187.43920138889)</f>
        <v>46187.4392</v>
      </c>
      <c r="B3424" s="126">
        <f>IFERROR(__xludf.DUMMYFUNCTION("""COMPUTED_VALUE"""),46187.0)</f>
        <v>46187</v>
      </c>
      <c r="C3424" s="122" t="str">
        <f>IFERROR(__xludf.DUMMYFUNCTION("""COMPUTED_VALUE"""),"MALL")</f>
        <v>MALL</v>
      </c>
      <c r="D3424" s="122" t="str">
        <f>IFERROR(__xludf.DUMMYFUNCTION("""COMPUTED_VALUE"""),"MegaMall")</f>
        <v>MegaMall</v>
      </c>
      <c r="E3424" s="122">
        <f>IFERROR(__xludf.DUMMYFUNCTION("""COMPUTED_VALUE"""),101.31)</f>
        <v>101.31</v>
      </c>
      <c r="F3424" s="122">
        <f>IFERROR(__xludf.DUMMYFUNCTION("""COMPUTED_VALUE"""),0.0022)</f>
        <v>0.0022</v>
      </c>
    </row>
    <row r="3425">
      <c r="A3425" s="131">
        <f>IFERROR(__xludf.DUMMYFUNCTION("""COMPUTED_VALUE"""),46187.43920138889)</f>
        <v>46187.4392</v>
      </c>
      <c r="B3425" s="126">
        <f>IFERROR(__xludf.DUMMYFUNCTION("""COMPUTED_VALUE"""),46187.0)</f>
        <v>46187</v>
      </c>
      <c r="C3425" s="122" t="str">
        <f>IFERROR(__xludf.DUMMYFUNCTION("""COMPUTED_VALUE"""),"HOTL")</f>
        <v>HOTL</v>
      </c>
      <c r="D3425" s="122" t="str">
        <f>IFERROR(__xludf.DUMMYFUNCTION("""COMPUTED_VALUE"""),"HotelHive")</f>
        <v>HotelHive</v>
      </c>
      <c r="E3425" s="122">
        <f>IFERROR(__xludf.DUMMYFUNCTION("""COMPUTED_VALUE"""),129.44)</f>
        <v>129.44</v>
      </c>
      <c r="F3425" s="122">
        <f>IFERROR(__xludf.DUMMYFUNCTION("""COMPUTED_VALUE"""),-0.0034)</f>
        <v>-0.0034</v>
      </c>
    </row>
    <row r="3426">
      <c r="A3426" s="131">
        <f>IFERROR(__xludf.DUMMYFUNCTION("""COMPUTED_VALUE"""),46187.43920138889)</f>
        <v>46187.4392</v>
      </c>
      <c r="B3426" s="126">
        <f>IFERROR(__xludf.DUMMYFUNCTION("""COMPUTED_VALUE"""),46187.0)</f>
        <v>46187</v>
      </c>
      <c r="C3426" s="122" t="str">
        <f>IFERROR(__xludf.DUMMYFUNCTION("""COMPUTED_VALUE"""),"LAND")</f>
        <v>LAND</v>
      </c>
      <c r="D3426" s="122" t="str">
        <f>IFERROR(__xludf.DUMMYFUNCTION("""COMPUTED_VALUE"""),"LandLink")</f>
        <v>LandLink</v>
      </c>
      <c r="E3426" s="122">
        <f>IFERROR(__xludf.DUMMYFUNCTION("""COMPUTED_VALUE"""),182.26)</f>
        <v>182.26</v>
      </c>
      <c r="F3426" s="122">
        <f>IFERROR(__xludf.DUMMYFUNCTION("""COMPUTED_VALUE"""),-6.0E-4)</f>
        <v>-0.0006</v>
      </c>
    </row>
    <row r="3427">
      <c r="A3427" s="131">
        <f>IFERROR(__xludf.DUMMYFUNCTION("""COMPUTED_VALUE"""),46187.43920138889)</f>
        <v>46187.4392</v>
      </c>
      <c r="B3427" s="126">
        <f>IFERROR(__xludf.DUMMYFUNCTION("""COMPUTED_VALUE"""),46187.0)</f>
        <v>46187</v>
      </c>
      <c r="C3427" s="122" t="str">
        <f>IFERROR(__xludf.DUMMYFUNCTION("""COMPUTED_VALUE"""),"CARS")</f>
        <v>CARS</v>
      </c>
      <c r="D3427" s="122" t="str">
        <f>IFERROR(__xludf.DUMMYFUNCTION("""COMPUTED_VALUE"""),"AutoArena")</f>
        <v>AutoArena</v>
      </c>
      <c r="E3427" s="122">
        <f>IFERROR(__xludf.DUMMYFUNCTION("""COMPUTED_VALUE"""),80.9)</f>
        <v>80.9</v>
      </c>
      <c r="F3427" s="122">
        <f>IFERROR(__xludf.DUMMYFUNCTION("""COMPUTED_VALUE"""),-0.008)</f>
        <v>-0.008</v>
      </c>
    </row>
    <row r="3428">
      <c r="A3428" s="131">
        <f>IFERROR(__xludf.DUMMYFUNCTION("""COMPUTED_VALUE"""),46187.43920138889)</f>
        <v>46187.4392</v>
      </c>
      <c r="B3428" s="126">
        <f>IFERROR(__xludf.DUMMYFUNCTION("""COMPUTED_VALUE"""),46187.0)</f>
        <v>46187</v>
      </c>
      <c r="C3428" s="122" t="str">
        <f>IFERROR(__xludf.DUMMYFUNCTION("""COMPUTED_VALUE"""),"EVGO")</f>
        <v>EVGO</v>
      </c>
      <c r="D3428" s="122" t="str">
        <f>IFERROR(__xludf.DUMMYFUNCTION("""COMPUTED_VALUE"""),"EVGo Motors")</f>
        <v>EVGo Motors</v>
      </c>
      <c r="E3428" s="122">
        <f>IFERROR(__xludf.DUMMYFUNCTION("""COMPUTED_VALUE"""),186.46)</f>
        <v>186.46</v>
      </c>
      <c r="F3428" s="122">
        <f>IFERROR(__xludf.DUMMYFUNCTION("""COMPUTED_VALUE"""),-0.0123)</f>
        <v>-0.0123</v>
      </c>
    </row>
    <row r="3429">
      <c r="A3429" s="131">
        <f>IFERROR(__xludf.DUMMYFUNCTION("""COMPUTED_VALUE"""),46187.43920138889)</f>
        <v>46187.4392</v>
      </c>
      <c r="B3429" s="126">
        <f>IFERROR(__xludf.DUMMYFUNCTION("""COMPUTED_VALUE"""),46187.0)</f>
        <v>46187</v>
      </c>
      <c r="C3429" s="122" t="str">
        <f>IFERROR(__xludf.DUMMYFUNCTION("""COMPUTED_VALUE"""),"TIRE")</f>
        <v>TIRE</v>
      </c>
      <c r="D3429" s="122" t="str">
        <f>IFERROR(__xludf.DUMMYFUNCTION("""COMPUTED_VALUE"""),"TireTown")</f>
        <v>TireTown</v>
      </c>
      <c r="E3429" s="122">
        <f>IFERROR(__xludf.DUMMYFUNCTION("""COMPUTED_VALUE"""),94.12)</f>
        <v>94.12</v>
      </c>
      <c r="F3429" s="122">
        <f>IFERROR(__xludf.DUMMYFUNCTION("""COMPUTED_VALUE"""),0.0021)</f>
        <v>0.0021</v>
      </c>
    </row>
    <row r="3430">
      <c r="A3430" s="131">
        <f>IFERROR(__xludf.DUMMYFUNCTION("""COMPUTED_VALUE"""),46187.43920138889)</f>
        <v>46187.4392</v>
      </c>
      <c r="B3430" s="126">
        <f>IFERROR(__xludf.DUMMYFUNCTION("""COMPUTED_VALUE"""),46187.0)</f>
        <v>46187</v>
      </c>
      <c r="C3430" s="122" t="str">
        <f>IFERROR(__xludf.DUMMYFUNCTION("""COMPUTED_VALUE"""),"BIKE")</f>
        <v>BIKE</v>
      </c>
      <c r="D3430" s="122" t="str">
        <f>IFERROR(__xludf.DUMMYFUNCTION("""COMPUTED_VALUE"""),"BikeBox")</f>
        <v>BikeBox</v>
      </c>
      <c r="E3430" s="122">
        <f>IFERROR(__xludf.DUMMYFUNCTION("""COMPUTED_VALUE"""),52.78)</f>
        <v>52.78</v>
      </c>
      <c r="F3430" s="122">
        <f>IFERROR(__xludf.DUMMYFUNCTION("""COMPUTED_VALUE"""),-0.0045)</f>
        <v>-0.0045</v>
      </c>
    </row>
    <row r="3431">
      <c r="A3431" s="131">
        <f>IFERROR(__xludf.DUMMYFUNCTION("""COMPUTED_VALUE"""),46187.43920138889)</f>
        <v>46187.4392</v>
      </c>
      <c r="B3431" s="126">
        <f>IFERROR(__xludf.DUMMYFUNCTION("""COMPUTED_VALUE"""),46187.0)</f>
        <v>46187</v>
      </c>
      <c r="C3431" s="122" t="str">
        <f>IFERROR(__xludf.DUMMYFUNCTION("""COMPUTED_VALUE"""),"WASH")</f>
        <v>WASH</v>
      </c>
      <c r="D3431" s="122" t="str">
        <f>IFERROR(__xludf.DUMMYFUNCTION("""COMPUTED_VALUE"""),"CarWash Co")</f>
        <v>CarWash Co</v>
      </c>
      <c r="E3431" s="122">
        <f>IFERROR(__xludf.DUMMYFUNCTION("""COMPUTED_VALUE"""),119.83)</f>
        <v>119.83</v>
      </c>
      <c r="F3431" s="122">
        <f>IFERROR(__xludf.DUMMYFUNCTION("""COMPUTED_VALUE"""),-0.0037)</f>
        <v>-0.0037</v>
      </c>
    </row>
    <row r="3432">
      <c r="A3432" s="131">
        <f>IFERROR(__xludf.DUMMYFUNCTION("""COMPUTED_VALUE"""),46187.43920138889)</f>
        <v>46187.4392</v>
      </c>
      <c r="B3432" s="126">
        <f>IFERROR(__xludf.DUMMYFUNCTION("""COMPUTED_VALUE"""),46187.0)</f>
        <v>46187</v>
      </c>
      <c r="C3432" s="122" t="str">
        <f>IFERROR(__xludf.DUMMYFUNCTION("""COMPUTED_VALUE"""),"GBND")</f>
        <v>GBND</v>
      </c>
      <c r="D3432" s="122" t="str">
        <f>IFERROR(__xludf.DUMMYFUNCTION("""COMPUTED_VALUE"""),"Classroom Government Bond")</f>
        <v>Classroom Government Bond</v>
      </c>
      <c r="E3432" s="122">
        <f>IFERROR(__xludf.DUMMYFUNCTION("""COMPUTED_VALUE"""),100.97)</f>
        <v>100.97</v>
      </c>
      <c r="F3432" s="122">
        <f>IFERROR(__xludf.DUMMYFUNCTION("""COMPUTED_VALUE"""),3.0E-4)</f>
        <v>0.0003</v>
      </c>
    </row>
    <row r="3433">
      <c r="A3433" s="131">
        <f>IFERROR(__xludf.DUMMYFUNCTION("""COMPUTED_VALUE"""),46187.43920138889)</f>
        <v>46187.4392</v>
      </c>
      <c r="B3433" s="126">
        <f>IFERROR(__xludf.DUMMYFUNCTION("""COMPUTED_VALUE"""),46187.0)</f>
        <v>46187</v>
      </c>
      <c r="C3433" s="122" t="str">
        <f>IFERROR(__xludf.DUMMYFUNCTION("""COMPUTED_VALUE"""),"SBND")</f>
        <v>SBND</v>
      </c>
      <c r="D3433" s="122" t="str">
        <f>IFERROR(__xludf.DUMMYFUNCTION("""COMPUTED_VALUE"""),"School Savings Bond")</f>
        <v>School Savings Bond</v>
      </c>
      <c r="E3433" s="122">
        <f>IFERROR(__xludf.DUMMYFUNCTION("""COMPUTED_VALUE"""),99.53)</f>
        <v>99.53</v>
      </c>
      <c r="F3433" s="122">
        <f>IFERROR(__xludf.DUMMYFUNCTION("""COMPUTED_VALUE"""),-3.0E-4)</f>
        <v>-0.0003</v>
      </c>
    </row>
    <row r="3434">
      <c r="A3434" s="131">
        <f>IFERROR(__xludf.DUMMYFUNCTION("""COMPUTED_VALUE"""),46187.43920138889)</f>
        <v>46187.4392</v>
      </c>
      <c r="B3434" s="126">
        <f>IFERROR(__xludf.DUMMYFUNCTION("""COMPUTED_VALUE"""),46187.0)</f>
        <v>46187</v>
      </c>
      <c r="C3434" s="122" t="str">
        <f>IFERROR(__xludf.DUMMYFUNCTION("""COMPUTED_VALUE"""),"CBND")</f>
        <v>CBND</v>
      </c>
      <c r="D3434" s="122" t="str">
        <f>IFERROR(__xludf.DUMMYFUNCTION("""COMPUTED_VALUE"""),"Corporate Classroom Bond")</f>
        <v>Corporate Classroom Bond</v>
      </c>
      <c r="E3434" s="122">
        <f>IFERROR(__xludf.DUMMYFUNCTION("""COMPUTED_VALUE"""),97.79)</f>
        <v>97.79</v>
      </c>
      <c r="F3434" s="122">
        <f>IFERROR(__xludf.DUMMYFUNCTION("""COMPUTED_VALUE"""),1.0E-4)</f>
        <v>0.0001</v>
      </c>
    </row>
    <row r="3435">
      <c r="A3435" s="131">
        <f>IFERROR(__xludf.DUMMYFUNCTION("""COMPUTED_VALUE"""),46187.43920138889)</f>
        <v>46187.4392</v>
      </c>
      <c r="B3435" s="126">
        <f>IFERROR(__xludf.DUMMYFUNCTION("""COMPUTED_VALUE"""),46187.0)</f>
        <v>46187</v>
      </c>
      <c r="C3435" s="122" t="str">
        <f>IFERROR(__xludf.DUMMYFUNCTION("""COMPUTED_VALUE"""),"TBIL")</f>
        <v>TBIL</v>
      </c>
      <c r="D3435" s="122" t="str">
        <f>IFERROR(__xludf.DUMMYFUNCTION("""COMPUTED_VALUE"""),"Treasury Bill")</f>
        <v>Treasury Bill</v>
      </c>
      <c r="E3435" s="122">
        <f>IFERROR(__xludf.DUMMYFUNCTION("""COMPUTED_VALUE"""),98.07)</f>
        <v>98.07</v>
      </c>
      <c r="F3435" s="122">
        <f>IFERROR(__xludf.DUMMYFUNCTION("""COMPUTED_VALUE"""),4.0E-4)</f>
        <v>0.0004</v>
      </c>
    </row>
    <row r="3436">
      <c r="A3436" s="131">
        <f>IFERROR(__xludf.DUMMYFUNCTION("""COMPUTED_VALUE"""),46187.43920138889)</f>
        <v>46187.4392</v>
      </c>
      <c r="B3436" s="126">
        <f>IFERROR(__xludf.DUMMYFUNCTION("""COMPUTED_VALUE"""),46187.0)</f>
        <v>46187</v>
      </c>
      <c r="C3436" s="122" t="str">
        <f>IFERROR(__xludf.DUMMYFUNCTION("""COMPUTED_VALUE"""),"IBND")</f>
        <v>IBND</v>
      </c>
      <c r="D3436" s="122" t="str">
        <f>IFERROR(__xludf.DUMMYFUNCTION("""COMPUTED_VALUE"""),"Inflation Protected Bond")</f>
        <v>Inflation Protected Bond</v>
      </c>
      <c r="E3436" s="122">
        <f>IFERROR(__xludf.DUMMYFUNCTION("""COMPUTED_VALUE"""),100.58)</f>
        <v>100.58</v>
      </c>
      <c r="F3436" s="122">
        <f>IFERROR(__xludf.DUMMYFUNCTION("""COMPUTED_VALUE"""),-4.0E-4)</f>
        <v>-0.0004</v>
      </c>
    </row>
    <row r="3437">
      <c r="A3437" s="131">
        <f>IFERROR(__xludf.DUMMYFUNCTION("""COMPUTED_VALUE"""),46187.440474537034)</f>
        <v>46187.44047</v>
      </c>
      <c r="B3437" s="126">
        <f>IFERROR(__xludf.DUMMYFUNCTION("""COMPUTED_VALUE"""),46187.0)</f>
        <v>46187</v>
      </c>
      <c r="C3437" s="130">
        <f>IFERROR(__xludf.DUMMYFUNCTION("""COMPUTED_VALUE"""),0.44047453703703704)</f>
        <v>0.440474537</v>
      </c>
      <c r="D3437" s="122" t="str">
        <f>IFERROR(__xludf.DUMMYFUNCTION("""COMPUTED_VALUE"""),"SNAX")</f>
        <v>SNAX</v>
      </c>
      <c r="E3437" s="122" t="str">
        <f>IFERROR(__xludf.DUMMYFUNCTION("""COMPUTED_VALUE"""),"MICA Snacks")</f>
        <v>MICA Snacks</v>
      </c>
      <c r="F3437" s="122" t="str">
        <f>IFERROR(__xludf.DUMMYFUNCTION("""COMPUTED_VALUE"""),"Consumer Goods")</f>
        <v>Consumer Goods</v>
      </c>
    </row>
    <row r="3438">
      <c r="A3438" s="131">
        <f>IFERROR(__xludf.DUMMYFUNCTION("""COMPUTED_VALUE"""),46187.440474537034)</f>
        <v>46187.44047</v>
      </c>
      <c r="B3438" s="126">
        <f>IFERROR(__xludf.DUMMYFUNCTION("""COMPUTED_VALUE"""),46187.0)</f>
        <v>46187</v>
      </c>
      <c r="C3438" s="130">
        <f>IFERROR(__xludf.DUMMYFUNCTION("""COMPUTED_VALUE"""),0.44047453703703704)</f>
        <v>0.440474537</v>
      </c>
      <c r="D3438" s="122" t="str">
        <f>IFERROR(__xludf.DUMMYFUNCTION("""COMPUTED_VALUE"""),"RAMN")</f>
        <v>RAMN</v>
      </c>
      <c r="E3438" s="122" t="str">
        <f>IFERROR(__xludf.DUMMYFUNCTION("""COMPUTED_VALUE"""),"Ramen Republic")</f>
        <v>Ramen Republic</v>
      </c>
      <c r="F3438" s="122" t="str">
        <f>IFERROR(__xludf.DUMMYFUNCTION("""COMPUTED_VALUE"""),"Food")</f>
        <v>Food</v>
      </c>
    </row>
    <row r="3439">
      <c r="A3439" s="131">
        <f>IFERROR(__xludf.DUMMYFUNCTION("""COMPUTED_VALUE"""),46187.440474537034)</f>
        <v>46187.44047</v>
      </c>
      <c r="B3439" s="126">
        <f>IFERROR(__xludf.DUMMYFUNCTION("""COMPUTED_VALUE"""),46187.0)</f>
        <v>46187</v>
      </c>
      <c r="C3439" s="130">
        <f>IFERROR(__xludf.DUMMYFUNCTION("""COMPUTED_VALUE"""),0.44047453703703704)</f>
        <v>0.440474537</v>
      </c>
      <c r="D3439" s="122" t="str">
        <f>IFERROR(__xludf.DUMMYFUNCTION("""COMPUTED_VALUE"""),"COLA")</f>
        <v>COLA</v>
      </c>
      <c r="E3439" s="122" t="str">
        <f>IFERROR(__xludf.DUMMYFUNCTION("""COMPUTED_VALUE"""),"K-Pop Cola")</f>
        <v>K-Pop Cola</v>
      </c>
      <c r="F3439" s="122" t="str">
        <f>IFERROR(__xludf.DUMMYFUNCTION("""COMPUTED_VALUE"""),"Beverage")</f>
        <v>Beverage</v>
      </c>
    </row>
    <row r="3440">
      <c r="A3440" s="131">
        <f>IFERROR(__xludf.DUMMYFUNCTION("""COMPUTED_VALUE"""),46187.440474537034)</f>
        <v>46187.44047</v>
      </c>
      <c r="B3440" s="126">
        <f>IFERROR(__xludf.DUMMYFUNCTION("""COMPUTED_VALUE"""),46187.0)</f>
        <v>46187</v>
      </c>
      <c r="C3440" s="130">
        <f>IFERROR(__xludf.DUMMYFUNCTION("""COMPUTED_VALUE"""),0.44047453703703704)</f>
        <v>0.440474537</v>
      </c>
      <c r="D3440" s="122" t="str">
        <f>IFERROR(__xludf.DUMMYFUNCTION("""COMPUTED_VALUE"""),"CHIP")</f>
        <v>CHIP</v>
      </c>
      <c r="E3440" s="122" t="str">
        <f>IFERROR(__xludf.DUMMYFUNCTION("""COMPUTED_VALUE"""),"Chip Empire")</f>
        <v>Chip Empire</v>
      </c>
      <c r="F3440" s="122" t="str">
        <f>IFERROR(__xludf.DUMMYFUNCTION("""COMPUTED_VALUE"""),"Consumer Goods")</f>
        <v>Consumer Goods</v>
      </c>
    </row>
    <row r="3441">
      <c r="A3441" s="131">
        <f>IFERROR(__xludf.DUMMYFUNCTION("""COMPUTED_VALUE"""),46187.440474537034)</f>
        <v>46187.44047</v>
      </c>
      <c r="B3441" s="126">
        <f>IFERROR(__xludf.DUMMYFUNCTION("""COMPUTED_VALUE"""),46187.0)</f>
        <v>46187</v>
      </c>
      <c r="C3441" s="130">
        <f>IFERROR(__xludf.DUMMYFUNCTION("""COMPUTED_VALUE"""),0.44047453703703704)</f>
        <v>0.440474537</v>
      </c>
      <c r="D3441" s="122" t="str">
        <f>IFERROR(__xludf.DUMMYFUNCTION("""COMPUTED_VALUE"""),"CAND")</f>
        <v>CAND</v>
      </c>
      <c r="E3441" s="122" t="str">
        <f>IFERROR(__xludf.DUMMYFUNCTION("""COMPUTED_VALUE"""),"Candy Capital")</f>
        <v>Candy Capital</v>
      </c>
      <c r="F3441" s="122" t="str">
        <f>IFERROR(__xludf.DUMMYFUNCTION("""COMPUTED_VALUE"""),"Consumer Goods")</f>
        <v>Consumer Goods</v>
      </c>
    </row>
    <row r="3442">
      <c r="A3442" s="131">
        <f>IFERROR(__xludf.DUMMYFUNCTION("""COMPUTED_VALUE"""),46187.440474537034)</f>
        <v>46187.44047</v>
      </c>
      <c r="B3442" s="126">
        <f>IFERROR(__xludf.DUMMYFUNCTION("""COMPUTED_VALUE"""),46187.0)</f>
        <v>46187</v>
      </c>
      <c r="C3442" s="130">
        <f>IFERROR(__xludf.DUMMYFUNCTION("""COMPUTED_VALUE"""),0.44047453703703704)</f>
        <v>0.440474537</v>
      </c>
      <c r="D3442" s="122" t="str">
        <f>IFERROR(__xludf.DUMMYFUNCTION("""COMPUTED_VALUE"""),"TECH")</f>
        <v>TECH</v>
      </c>
      <c r="E3442" s="122" t="str">
        <f>IFERROR(__xludf.DUMMYFUNCTION("""COMPUTED_VALUE"""),"Dragon Tech")</f>
        <v>Dragon Tech</v>
      </c>
      <c r="F3442" s="122" t="str">
        <f>IFERROR(__xludf.DUMMYFUNCTION("""COMPUTED_VALUE"""),"Technology")</f>
        <v>Technology</v>
      </c>
    </row>
    <row r="3443">
      <c r="A3443" s="131">
        <f>IFERROR(__xludf.DUMMYFUNCTION("""COMPUTED_VALUE"""),46187.440474537034)</f>
        <v>46187.44047</v>
      </c>
      <c r="B3443" s="126">
        <f>IFERROR(__xludf.DUMMYFUNCTION("""COMPUTED_VALUE"""),46187.0)</f>
        <v>46187</v>
      </c>
      <c r="C3443" s="130">
        <f>IFERROR(__xludf.DUMMYFUNCTION("""COMPUTED_VALUE"""),0.44047453703703704)</f>
        <v>0.440474537</v>
      </c>
      <c r="D3443" s="122" t="str">
        <f>IFERROR(__xludf.DUMMYFUNCTION("""COMPUTED_VALUE"""),"AIBO")</f>
        <v>AIBO</v>
      </c>
      <c r="E3443" s="122" t="str">
        <f>IFERROR(__xludf.DUMMYFUNCTION("""COMPUTED_VALUE"""),"Homework AI")</f>
        <v>Homework AI</v>
      </c>
      <c r="F3443" s="122" t="str">
        <f>IFERROR(__xludf.DUMMYFUNCTION("""COMPUTED_VALUE"""),"Technology")</f>
        <v>Technology</v>
      </c>
    </row>
    <row r="3444">
      <c r="A3444" s="131">
        <f>IFERROR(__xludf.DUMMYFUNCTION("""COMPUTED_VALUE"""),46187.440474537034)</f>
        <v>46187.44047</v>
      </c>
      <c r="B3444" s="126">
        <f>IFERROR(__xludf.DUMMYFUNCTION("""COMPUTED_VALUE"""),46187.0)</f>
        <v>46187</v>
      </c>
      <c r="C3444" s="130">
        <f>IFERROR(__xludf.DUMMYFUNCTION("""COMPUTED_VALUE"""),0.44047453703703704)</f>
        <v>0.440474537</v>
      </c>
      <c r="D3444" s="122" t="str">
        <f>IFERROR(__xludf.DUMMYFUNCTION("""COMPUTED_VALUE"""),"GAME")</f>
        <v>GAME</v>
      </c>
      <c r="E3444" s="122" t="str">
        <f>IFERROR(__xludf.DUMMYFUNCTION("""COMPUTED_VALUE"""),"GameBox Media")</f>
        <v>GameBox Media</v>
      </c>
      <c r="F3444" s="122" t="str">
        <f>IFERROR(__xludf.DUMMYFUNCTION("""COMPUTED_VALUE"""),"Entertainment")</f>
        <v>Entertainment</v>
      </c>
    </row>
    <row r="3445">
      <c r="A3445" s="131">
        <f>IFERROR(__xludf.DUMMYFUNCTION("""COMPUTED_VALUE"""),46187.440474537034)</f>
        <v>46187.44047</v>
      </c>
      <c r="B3445" s="126">
        <f>IFERROR(__xludf.DUMMYFUNCTION("""COMPUTED_VALUE"""),46187.0)</f>
        <v>46187</v>
      </c>
      <c r="C3445" s="130">
        <f>IFERROR(__xludf.DUMMYFUNCTION("""COMPUTED_VALUE"""),0.44047453703703704)</f>
        <v>0.440474537</v>
      </c>
      <c r="D3445" s="122" t="str">
        <f>IFERROR(__xludf.DUMMYFUNCTION("""COMPUTED_VALUE"""),"VRSE")</f>
        <v>VRSE</v>
      </c>
      <c r="E3445" s="122" t="str">
        <f>IFERROR(__xludf.DUMMYFUNCTION("""COMPUTED_VALUE"""),"VerseVR")</f>
        <v>VerseVR</v>
      </c>
      <c r="F3445" s="122" t="str">
        <f>IFERROR(__xludf.DUMMYFUNCTION("""COMPUTED_VALUE"""),"Technology")</f>
        <v>Technology</v>
      </c>
    </row>
    <row r="3446">
      <c r="A3446" s="131">
        <f>IFERROR(__xludf.DUMMYFUNCTION("""COMPUTED_VALUE"""),46187.440474537034)</f>
        <v>46187.44047</v>
      </c>
      <c r="B3446" s="126">
        <f>IFERROR(__xludf.DUMMYFUNCTION("""COMPUTED_VALUE"""),46187.0)</f>
        <v>46187</v>
      </c>
      <c r="C3446" s="130">
        <f>IFERROR(__xludf.DUMMYFUNCTION("""COMPUTED_VALUE"""),0.44047453703703704)</f>
        <v>0.440474537</v>
      </c>
      <c r="D3446" s="122" t="str">
        <f>IFERROR(__xludf.DUMMYFUNCTION("""COMPUTED_VALUE"""),"BYTE")</f>
        <v>BYTE</v>
      </c>
      <c r="E3446" s="122" t="str">
        <f>IFERROR(__xludf.DUMMYFUNCTION("""COMPUTED_VALUE"""),"ByteWorks")</f>
        <v>ByteWorks</v>
      </c>
      <c r="F3446" s="122" t="str">
        <f>IFERROR(__xludf.DUMMYFUNCTION("""COMPUTED_VALUE"""),"Technology")</f>
        <v>Technology</v>
      </c>
    </row>
    <row r="3447">
      <c r="A3447" s="131">
        <f>IFERROR(__xludf.DUMMYFUNCTION("""COMPUTED_VALUE"""),46187.440474537034)</f>
        <v>46187.44047</v>
      </c>
      <c r="B3447" s="126">
        <f>IFERROR(__xludf.DUMMYFUNCTION("""COMPUTED_VALUE"""),46187.0)</f>
        <v>46187</v>
      </c>
      <c r="C3447" s="130">
        <f>IFERROR(__xludf.DUMMYFUNCTION("""COMPUTED_VALUE"""),0.44047453703703704)</f>
        <v>0.440474537</v>
      </c>
      <c r="D3447" s="122" t="str">
        <f>IFERROR(__xludf.DUMMYFUNCTION("""COMPUTED_VALUE"""),"BANK")</f>
        <v>BANK</v>
      </c>
      <c r="E3447" s="122" t="str">
        <f>IFERROR(__xludf.DUMMYFUNCTION("""COMPUTED_VALUE"""),"Tiger Bank")</f>
        <v>Tiger Bank</v>
      </c>
      <c r="F3447" s="122" t="str">
        <f>IFERROR(__xludf.DUMMYFUNCTION("""COMPUTED_VALUE"""),"Finance")</f>
        <v>Finance</v>
      </c>
    </row>
    <row r="3448">
      <c r="A3448" s="131">
        <f>IFERROR(__xludf.DUMMYFUNCTION("""COMPUTED_VALUE"""),46187.440474537034)</f>
        <v>46187.44047</v>
      </c>
      <c r="B3448" s="126">
        <f>IFERROR(__xludf.DUMMYFUNCTION("""COMPUTED_VALUE"""),46187.0)</f>
        <v>46187</v>
      </c>
      <c r="C3448" s="130">
        <f>IFERROR(__xludf.DUMMYFUNCTION("""COMPUTED_VALUE"""),0.44047453703703704)</f>
        <v>0.440474537</v>
      </c>
      <c r="D3448" s="122" t="str">
        <f>IFERROR(__xludf.DUMMYFUNCTION("""COMPUTED_VALUE"""),"CRED")</f>
        <v>CRED</v>
      </c>
      <c r="E3448" s="122" t="str">
        <f>IFERROR(__xludf.DUMMYFUNCTION("""COMPUTED_VALUE"""),"Credit Castle")</f>
        <v>Credit Castle</v>
      </c>
      <c r="F3448" s="122" t="str">
        <f>IFERROR(__xludf.DUMMYFUNCTION("""COMPUTED_VALUE"""),"Finance")</f>
        <v>Finance</v>
      </c>
    </row>
    <row r="3449">
      <c r="A3449" s="131">
        <f>IFERROR(__xludf.DUMMYFUNCTION("""COMPUTED_VALUE"""),46187.440474537034)</f>
        <v>46187.44047</v>
      </c>
      <c r="B3449" s="126">
        <f>IFERROR(__xludf.DUMMYFUNCTION("""COMPUTED_VALUE"""),46187.0)</f>
        <v>46187</v>
      </c>
      <c r="C3449" s="130">
        <f>IFERROR(__xludf.DUMMYFUNCTION("""COMPUTED_VALUE"""),0.44047453703703704)</f>
        <v>0.440474537</v>
      </c>
      <c r="D3449" s="122" t="str">
        <f>IFERROR(__xludf.DUMMYFUNCTION("""COMPUTED_VALUE"""),"BOND")</f>
        <v>BOND</v>
      </c>
      <c r="E3449" s="122" t="str">
        <f>IFERROR(__xludf.DUMMYFUNCTION("""COMPUTED_VALUE"""),"BondBridge")</f>
        <v>BondBridge</v>
      </c>
      <c r="F3449" s="122" t="str">
        <f>IFERROR(__xludf.DUMMYFUNCTION("""COMPUTED_VALUE"""),"Finance")</f>
        <v>Finance</v>
      </c>
    </row>
    <row r="3450">
      <c r="A3450" s="131">
        <f>IFERROR(__xludf.DUMMYFUNCTION("""COMPUTED_VALUE"""),46187.440474537034)</f>
        <v>46187.44047</v>
      </c>
      <c r="B3450" s="126">
        <f>IFERROR(__xludf.DUMMYFUNCTION("""COMPUTED_VALUE"""),46187.0)</f>
        <v>46187</v>
      </c>
      <c r="C3450" s="130">
        <f>IFERROR(__xludf.DUMMYFUNCTION("""COMPUTED_VALUE"""),0.44047453703703704)</f>
        <v>0.440474537</v>
      </c>
      <c r="D3450" s="122" t="str">
        <f>IFERROR(__xludf.DUMMYFUNCTION("""COMPUTED_VALUE"""),"INSR")</f>
        <v>INSR</v>
      </c>
      <c r="E3450" s="122" t="str">
        <f>IFERROR(__xludf.DUMMYFUNCTION("""COMPUTED_VALUE"""),"Shield Insurance")</f>
        <v>Shield Insurance</v>
      </c>
      <c r="F3450" s="122" t="str">
        <f>IFERROR(__xludf.DUMMYFUNCTION("""COMPUTED_VALUE"""),"Finance")</f>
        <v>Finance</v>
      </c>
    </row>
    <row r="3451">
      <c r="A3451" s="131">
        <f>IFERROR(__xludf.DUMMYFUNCTION("""COMPUTED_VALUE"""),46187.440474537034)</f>
        <v>46187.44047</v>
      </c>
      <c r="B3451" s="126">
        <f>IFERROR(__xludf.DUMMYFUNCTION("""COMPUTED_VALUE"""),46187.0)</f>
        <v>46187</v>
      </c>
      <c r="C3451" s="130">
        <f>IFERROR(__xludf.DUMMYFUNCTION("""COMPUTED_VALUE"""),0.44047453703703704)</f>
        <v>0.440474537</v>
      </c>
      <c r="D3451" s="122" t="str">
        <f>IFERROR(__xludf.DUMMYFUNCTION("""COMPUTED_VALUE"""),"LOAN")</f>
        <v>LOAN</v>
      </c>
      <c r="E3451" s="122" t="str">
        <f>IFERROR(__xludf.DUMMYFUNCTION("""COMPUTED_VALUE"""),"LoanLab")</f>
        <v>LoanLab</v>
      </c>
      <c r="F3451" s="122" t="str">
        <f>IFERROR(__xludf.DUMMYFUNCTION("""COMPUTED_VALUE"""),"Finance")</f>
        <v>Finance</v>
      </c>
    </row>
    <row r="3452">
      <c r="A3452" s="131">
        <f>IFERROR(__xludf.DUMMYFUNCTION("""COMPUTED_VALUE"""),46187.440474537034)</f>
        <v>46187.44047</v>
      </c>
      <c r="B3452" s="126">
        <f>IFERROR(__xludf.DUMMYFUNCTION("""COMPUTED_VALUE"""),46187.0)</f>
        <v>46187</v>
      </c>
      <c r="C3452" s="130">
        <f>IFERROR(__xludf.DUMMYFUNCTION("""COMPUTED_VALUE"""),0.44047453703703704)</f>
        <v>0.440474537</v>
      </c>
      <c r="D3452" s="122" t="str">
        <f>IFERROR(__xludf.DUMMYFUNCTION("""COMPUTED_VALUE"""),"LUXE")</f>
        <v>LUXE</v>
      </c>
      <c r="E3452" s="122" t="str">
        <f>IFERROR(__xludf.DUMMYFUNCTION("""COMPUTED_VALUE"""),"Luxury Locker")</f>
        <v>Luxury Locker</v>
      </c>
      <c r="F3452" s="122" t="str">
        <f>IFERROR(__xludf.DUMMYFUNCTION("""COMPUTED_VALUE"""),"Luxury Goods")</f>
        <v>Luxury Goods</v>
      </c>
    </row>
    <row r="3453">
      <c r="A3453" s="131">
        <f>IFERROR(__xludf.DUMMYFUNCTION("""COMPUTED_VALUE"""),46187.440474537034)</f>
        <v>46187.44047</v>
      </c>
      <c r="B3453" s="126">
        <f>IFERROR(__xludf.DUMMYFUNCTION("""COMPUTED_VALUE"""),46187.0)</f>
        <v>46187</v>
      </c>
      <c r="C3453" s="130">
        <f>IFERROR(__xludf.DUMMYFUNCTION("""COMPUTED_VALUE"""),0.44047453703703704)</f>
        <v>0.440474537</v>
      </c>
      <c r="D3453" s="122" t="str">
        <f>IFERROR(__xludf.DUMMYFUNCTION("""COMPUTED_VALUE"""),"DRIP")</f>
        <v>DRIP</v>
      </c>
      <c r="E3453" s="122" t="str">
        <f>IFERROR(__xludf.DUMMYFUNCTION("""COMPUTED_VALUE"""),"Drip Streetwear")</f>
        <v>Drip Streetwear</v>
      </c>
      <c r="F3453" s="122" t="str">
        <f>IFERROR(__xludf.DUMMYFUNCTION("""COMPUTED_VALUE"""),"Fashion")</f>
        <v>Fashion</v>
      </c>
    </row>
    <row r="3454">
      <c r="A3454" s="131">
        <f>IFERROR(__xludf.DUMMYFUNCTION("""COMPUTED_VALUE"""),46187.440474537034)</f>
        <v>46187.44047</v>
      </c>
      <c r="B3454" s="126">
        <f>IFERROR(__xludf.DUMMYFUNCTION("""COMPUTED_VALUE"""),46187.0)</f>
        <v>46187</v>
      </c>
      <c r="C3454" s="130">
        <f>IFERROR(__xludf.DUMMYFUNCTION("""COMPUTED_VALUE"""),0.44047453703703704)</f>
        <v>0.440474537</v>
      </c>
      <c r="D3454" s="122" t="str">
        <f>IFERROR(__xludf.DUMMYFUNCTION("""COMPUTED_VALUE"""),"KICK")</f>
        <v>KICK</v>
      </c>
      <c r="E3454" s="122" t="str">
        <f>IFERROR(__xludf.DUMMYFUNCTION("""COMPUTED_VALUE"""),"KickDrop Sneakers")</f>
        <v>KickDrop Sneakers</v>
      </c>
      <c r="F3454" s="122" t="str">
        <f>IFERROR(__xludf.DUMMYFUNCTION("""COMPUTED_VALUE"""),"Fashion")</f>
        <v>Fashion</v>
      </c>
    </row>
    <row r="3455">
      <c r="A3455" s="131">
        <f>IFERROR(__xludf.DUMMYFUNCTION("""COMPUTED_VALUE"""),46187.440474537034)</f>
        <v>46187.44047</v>
      </c>
      <c r="B3455" s="126">
        <f>IFERROR(__xludf.DUMMYFUNCTION("""COMPUTED_VALUE"""),46187.0)</f>
        <v>46187</v>
      </c>
      <c r="C3455" s="130">
        <f>IFERROR(__xludf.DUMMYFUNCTION("""COMPUTED_VALUE"""),0.44047453703703704)</f>
        <v>0.440474537</v>
      </c>
      <c r="D3455" s="122" t="str">
        <f>IFERROR(__xludf.DUMMYFUNCTION("""COMPUTED_VALUE"""),"GLAM")</f>
        <v>GLAM</v>
      </c>
      <c r="E3455" s="122" t="str">
        <f>IFERROR(__xludf.DUMMYFUNCTION("""COMPUTED_VALUE"""),"Glow Cosmetics")</f>
        <v>Glow Cosmetics</v>
      </c>
      <c r="F3455" s="122" t="str">
        <f>IFERROR(__xludf.DUMMYFUNCTION("""COMPUTED_VALUE"""),"Fashion")</f>
        <v>Fashion</v>
      </c>
    </row>
    <row r="3456">
      <c r="A3456" s="131">
        <f>IFERROR(__xludf.DUMMYFUNCTION("""COMPUTED_VALUE"""),46187.440474537034)</f>
        <v>46187.44047</v>
      </c>
      <c r="B3456" s="126">
        <f>IFERROR(__xludf.DUMMYFUNCTION("""COMPUTED_VALUE"""),46187.0)</f>
        <v>46187</v>
      </c>
      <c r="C3456" s="130">
        <f>IFERROR(__xludf.DUMMYFUNCTION("""COMPUTED_VALUE"""),0.44047453703703704)</f>
        <v>0.440474537</v>
      </c>
      <c r="D3456" s="122" t="str">
        <f>IFERROR(__xludf.DUMMYFUNCTION("""COMPUTED_VALUE"""),"BAGG")</f>
        <v>BAGG</v>
      </c>
      <c r="E3456" s="122" t="str">
        <f>IFERROR(__xludf.DUMMYFUNCTION("""COMPUTED_VALUE"""),"BagVault")</f>
        <v>BagVault</v>
      </c>
      <c r="F3456" s="122" t="str">
        <f>IFERROR(__xludf.DUMMYFUNCTION("""COMPUTED_VALUE"""),"Fashion")</f>
        <v>Fashion</v>
      </c>
    </row>
    <row r="3457">
      <c r="A3457" s="131">
        <f>IFERROR(__xludf.DUMMYFUNCTION("""COMPUTED_VALUE"""),46187.440474537034)</f>
        <v>46187.44047</v>
      </c>
      <c r="B3457" s="126">
        <f>IFERROR(__xludf.DUMMYFUNCTION("""COMPUTED_VALUE"""),46187.0)</f>
        <v>46187</v>
      </c>
      <c r="C3457" s="130">
        <f>IFERROR(__xludf.DUMMYFUNCTION("""COMPUTED_VALUE"""),0.44047453703703704)</f>
        <v>0.440474537</v>
      </c>
      <c r="D3457" s="122" t="str">
        <f>IFERROR(__xludf.DUMMYFUNCTION("""COMPUTED_VALUE"""),"FAST")</f>
        <v>FAST</v>
      </c>
      <c r="E3457" s="122" t="str">
        <f>IFERROR(__xludf.DUMMYFUNCTION("""COMPUTED_VALUE"""),"Flash Logistics")</f>
        <v>Flash Logistics</v>
      </c>
      <c r="F3457" s="122" t="str">
        <f>IFERROR(__xludf.DUMMYFUNCTION("""COMPUTED_VALUE"""),"Logistics")</f>
        <v>Logistics</v>
      </c>
    </row>
    <row r="3458">
      <c r="A3458" s="131">
        <f>IFERROR(__xludf.DUMMYFUNCTION("""COMPUTED_VALUE"""),46187.440474537034)</f>
        <v>46187.44047</v>
      </c>
      <c r="B3458" s="126">
        <f>IFERROR(__xludf.DUMMYFUNCTION("""COMPUTED_VALUE"""),46187.0)</f>
        <v>46187</v>
      </c>
      <c r="C3458" s="130">
        <f>IFERROR(__xludf.DUMMYFUNCTION("""COMPUTED_VALUE"""),0.44047453703703704)</f>
        <v>0.440474537</v>
      </c>
      <c r="D3458" s="122" t="str">
        <f>IFERROR(__xludf.DUMMYFUNCTION("""COMPUTED_VALUE"""),"SHIP")</f>
        <v>SHIP</v>
      </c>
      <c r="E3458" s="122" t="str">
        <f>IFERROR(__xludf.DUMMYFUNCTION("""COMPUTED_VALUE"""),"Seoul Shipping")</f>
        <v>Seoul Shipping</v>
      </c>
      <c r="F3458" s="122" t="str">
        <f>IFERROR(__xludf.DUMMYFUNCTION("""COMPUTED_VALUE"""),"Logistics")</f>
        <v>Logistics</v>
      </c>
    </row>
    <row r="3459">
      <c r="A3459" s="131">
        <f>IFERROR(__xludf.DUMMYFUNCTION("""COMPUTED_VALUE"""),46187.440474537034)</f>
        <v>46187.44047</v>
      </c>
      <c r="B3459" s="126">
        <f>IFERROR(__xludf.DUMMYFUNCTION("""COMPUTED_VALUE"""),46187.0)</f>
        <v>46187</v>
      </c>
      <c r="C3459" s="130">
        <f>IFERROR(__xludf.DUMMYFUNCTION("""COMPUTED_VALUE"""),0.44047453703703704)</f>
        <v>0.440474537</v>
      </c>
      <c r="D3459" s="122" t="str">
        <f>IFERROR(__xludf.DUMMYFUNCTION("""COMPUTED_VALUE"""),"DRON")</f>
        <v>DRON</v>
      </c>
      <c r="E3459" s="122" t="str">
        <f>IFERROR(__xludf.DUMMYFUNCTION("""COMPUTED_VALUE"""),"DroneDrop")</f>
        <v>DroneDrop</v>
      </c>
      <c r="F3459" s="122" t="str">
        <f>IFERROR(__xludf.DUMMYFUNCTION("""COMPUTED_VALUE"""),"Logistics")</f>
        <v>Logistics</v>
      </c>
    </row>
    <row r="3460">
      <c r="A3460" s="131">
        <f>IFERROR(__xludf.DUMMYFUNCTION("""COMPUTED_VALUE"""),46187.440474537034)</f>
        <v>46187.44047</v>
      </c>
      <c r="B3460" s="126">
        <f>IFERROR(__xludf.DUMMYFUNCTION("""COMPUTED_VALUE"""),46187.0)</f>
        <v>46187</v>
      </c>
      <c r="C3460" s="130">
        <f>IFERROR(__xludf.DUMMYFUNCTION("""COMPUTED_VALUE"""),0.44047453703703704)</f>
        <v>0.440474537</v>
      </c>
      <c r="D3460" s="122" t="str">
        <f>IFERROR(__xludf.DUMMYFUNCTION("""COMPUTED_VALUE"""),"RIDE")</f>
        <v>RIDE</v>
      </c>
      <c r="E3460" s="122" t="str">
        <f>IFERROR(__xludf.DUMMYFUNCTION("""COMPUTED_VALUE"""),"QuickRide")</f>
        <v>QuickRide</v>
      </c>
      <c r="F3460" s="122" t="str">
        <f>IFERROR(__xludf.DUMMYFUNCTION("""COMPUTED_VALUE"""),"Transportation")</f>
        <v>Transportation</v>
      </c>
    </row>
    <row r="3461">
      <c r="A3461" s="131">
        <f>IFERROR(__xludf.DUMMYFUNCTION("""COMPUTED_VALUE"""),46187.440474537034)</f>
        <v>46187.44047</v>
      </c>
      <c r="B3461" s="126">
        <f>IFERROR(__xludf.DUMMYFUNCTION("""COMPUTED_VALUE"""),46187.0)</f>
        <v>46187</v>
      </c>
      <c r="C3461" s="130">
        <f>IFERROR(__xludf.DUMMYFUNCTION("""COMPUTED_VALUE"""),0.44047453703703704)</f>
        <v>0.440474537</v>
      </c>
      <c r="D3461" s="122" t="str">
        <f>IFERROR(__xludf.DUMMYFUNCTION("""COMPUTED_VALUE"""),"RAIL")</f>
        <v>RAIL</v>
      </c>
      <c r="E3461" s="122" t="str">
        <f>IFERROR(__xludf.DUMMYFUNCTION("""COMPUTED_VALUE"""),"MetroRail Corp")</f>
        <v>MetroRail Corp</v>
      </c>
      <c r="F3461" s="122" t="str">
        <f>IFERROR(__xludf.DUMMYFUNCTION("""COMPUTED_VALUE"""),"Transportation")</f>
        <v>Transportation</v>
      </c>
    </row>
    <row r="3462">
      <c r="A3462" s="131">
        <f>IFERROR(__xludf.DUMMYFUNCTION("""COMPUTED_VALUE"""),46187.440474537034)</f>
        <v>46187.44047</v>
      </c>
      <c r="B3462" s="126">
        <f>IFERROR(__xludf.DUMMYFUNCTION("""COMPUTED_VALUE"""),46187.0)</f>
        <v>46187</v>
      </c>
      <c r="C3462" s="130">
        <f>IFERROR(__xludf.DUMMYFUNCTION("""COMPUTED_VALUE"""),0.44047453703703704)</f>
        <v>0.440474537</v>
      </c>
      <c r="D3462" s="122" t="str">
        <f>IFERROR(__xludf.DUMMYFUNCTION("""COMPUTED_VALUE"""),"MEDX")</f>
        <v>MEDX</v>
      </c>
      <c r="E3462" s="122" t="str">
        <f>IFERROR(__xludf.DUMMYFUNCTION("""COMPUTED_VALUE"""),"MediCore")</f>
        <v>MediCore</v>
      </c>
      <c r="F3462" s="122" t="str">
        <f>IFERROR(__xludf.DUMMYFUNCTION("""COMPUTED_VALUE"""),"Healthcare")</f>
        <v>Healthcare</v>
      </c>
    </row>
    <row r="3463">
      <c r="A3463" s="131">
        <f>IFERROR(__xludf.DUMMYFUNCTION("""COMPUTED_VALUE"""),46187.440474537034)</f>
        <v>46187.44047</v>
      </c>
      <c r="B3463" s="126">
        <f>IFERROR(__xludf.DUMMYFUNCTION("""COMPUTED_VALUE"""),46187.0)</f>
        <v>46187</v>
      </c>
      <c r="C3463" s="130">
        <f>IFERROR(__xludf.DUMMYFUNCTION("""COMPUTED_VALUE"""),0.44047453703703704)</f>
        <v>0.440474537</v>
      </c>
      <c r="D3463" s="122" t="str">
        <f>IFERROR(__xludf.DUMMYFUNCTION("""COMPUTED_VALUE"""),"GYMX")</f>
        <v>GYMX</v>
      </c>
      <c r="E3463" s="122" t="str">
        <f>IFERROR(__xludf.DUMMYFUNCTION("""COMPUTED_VALUE"""),"GymX Fitness")</f>
        <v>GymX Fitness</v>
      </c>
      <c r="F3463" s="122" t="str">
        <f>IFERROR(__xludf.DUMMYFUNCTION("""COMPUTED_VALUE"""),"Healthcare")</f>
        <v>Healthcare</v>
      </c>
    </row>
    <row r="3464">
      <c r="A3464" s="131">
        <f>IFERROR(__xludf.DUMMYFUNCTION("""COMPUTED_VALUE"""),46187.440474537034)</f>
        <v>46187.44047</v>
      </c>
      <c r="B3464" s="126">
        <f>IFERROR(__xludf.DUMMYFUNCTION("""COMPUTED_VALUE"""),46187.0)</f>
        <v>46187</v>
      </c>
      <c r="C3464" s="130">
        <f>IFERROR(__xludf.DUMMYFUNCTION("""COMPUTED_VALUE"""),0.44047453703703704)</f>
        <v>0.440474537</v>
      </c>
      <c r="D3464" s="122" t="str">
        <f>IFERROR(__xludf.DUMMYFUNCTION("""COMPUTED_VALUE"""),"VITA")</f>
        <v>VITA</v>
      </c>
      <c r="E3464" s="122" t="str">
        <f>IFERROR(__xludf.DUMMYFUNCTION("""COMPUTED_VALUE"""),"VitaPlus")</f>
        <v>VitaPlus</v>
      </c>
      <c r="F3464" s="122" t="str">
        <f>IFERROR(__xludf.DUMMYFUNCTION("""COMPUTED_VALUE"""),"Healthcare")</f>
        <v>Healthcare</v>
      </c>
    </row>
    <row r="3465">
      <c r="A3465" s="131">
        <f>IFERROR(__xludf.DUMMYFUNCTION("""COMPUTED_VALUE"""),46187.440474537034)</f>
        <v>46187.44047</v>
      </c>
      <c r="B3465" s="126">
        <f>IFERROR(__xludf.DUMMYFUNCTION("""COMPUTED_VALUE"""),46187.0)</f>
        <v>46187</v>
      </c>
      <c r="C3465" s="130">
        <f>IFERROR(__xludf.DUMMYFUNCTION("""COMPUTED_VALUE"""),0.44047453703703704)</f>
        <v>0.440474537</v>
      </c>
      <c r="D3465" s="122" t="str">
        <f>IFERROR(__xludf.DUMMYFUNCTION("""COMPUTED_VALUE"""),"CARE")</f>
        <v>CARE</v>
      </c>
      <c r="E3465" s="122" t="str">
        <f>IFERROR(__xludf.DUMMYFUNCTION("""COMPUTED_VALUE"""),"CareCloud")</f>
        <v>CareCloud</v>
      </c>
      <c r="F3465" s="122" t="str">
        <f>IFERROR(__xludf.DUMMYFUNCTION("""COMPUTED_VALUE"""),"Healthcare")</f>
        <v>Healthcare</v>
      </c>
    </row>
    <row r="3466">
      <c r="A3466" s="131">
        <f>IFERROR(__xludf.DUMMYFUNCTION("""COMPUTED_VALUE"""),46187.440474537034)</f>
        <v>46187.44047</v>
      </c>
      <c r="B3466" s="126">
        <f>IFERROR(__xludf.DUMMYFUNCTION("""COMPUTED_VALUE"""),46187.0)</f>
        <v>46187</v>
      </c>
      <c r="C3466" s="130">
        <f>IFERROR(__xludf.DUMMYFUNCTION("""COMPUTED_VALUE"""),0.44047453703703704)</f>
        <v>0.440474537</v>
      </c>
      <c r="D3466" s="122" t="str">
        <f>IFERROR(__xludf.DUMMYFUNCTION("""COMPUTED_VALUE"""),"DENT")</f>
        <v>DENT</v>
      </c>
      <c r="E3466" s="122" t="str">
        <f>IFERROR(__xludf.DUMMYFUNCTION("""COMPUTED_VALUE"""),"SmileWorks")</f>
        <v>SmileWorks</v>
      </c>
      <c r="F3466" s="122" t="str">
        <f>IFERROR(__xludf.DUMMYFUNCTION("""COMPUTED_VALUE"""),"Healthcare")</f>
        <v>Healthcare</v>
      </c>
    </row>
    <row r="3467">
      <c r="A3467" s="131">
        <f>IFERROR(__xludf.DUMMYFUNCTION("""COMPUTED_VALUE"""),46187.440474537034)</f>
        <v>46187.44047</v>
      </c>
      <c r="B3467" s="126">
        <f>IFERROR(__xludf.DUMMYFUNCTION("""COMPUTED_VALUE"""),46187.0)</f>
        <v>46187</v>
      </c>
      <c r="C3467" s="130">
        <f>IFERROR(__xludf.DUMMYFUNCTION("""COMPUTED_VALUE"""),0.44047453703703704)</f>
        <v>0.440474537</v>
      </c>
      <c r="D3467" s="122" t="str">
        <f>IFERROR(__xludf.DUMMYFUNCTION("""COMPUTED_VALUE"""),"EDUX")</f>
        <v>EDUX</v>
      </c>
      <c r="E3467" s="122" t="str">
        <f>IFERROR(__xludf.DUMMYFUNCTION("""COMPUTED_VALUE"""),"EduMax Learning")</f>
        <v>EduMax Learning</v>
      </c>
      <c r="F3467" s="122" t="str">
        <f>IFERROR(__xludf.DUMMYFUNCTION("""COMPUTED_VALUE"""),"Education")</f>
        <v>Education</v>
      </c>
    </row>
    <row r="3468">
      <c r="A3468" s="131">
        <f>IFERROR(__xludf.DUMMYFUNCTION("""COMPUTED_VALUE"""),46187.440474537034)</f>
        <v>46187.44047</v>
      </c>
      <c r="B3468" s="126">
        <f>IFERROR(__xludf.DUMMYFUNCTION("""COMPUTED_VALUE"""),46187.0)</f>
        <v>46187</v>
      </c>
      <c r="C3468" s="130">
        <f>IFERROR(__xludf.DUMMYFUNCTION("""COMPUTED_VALUE"""),0.44047453703703704)</f>
        <v>0.440474537</v>
      </c>
      <c r="D3468" s="122" t="str">
        <f>IFERROR(__xludf.DUMMYFUNCTION("""COMPUTED_VALUE"""),"BOOK")</f>
        <v>BOOK</v>
      </c>
      <c r="E3468" s="122" t="str">
        <f>IFERROR(__xludf.DUMMYFUNCTION("""COMPUTED_VALUE"""),"BookBridge")</f>
        <v>BookBridge</v>
      </c>
      <c r="F3468" s="122" t="str">
        <f>IFERROR(__xludf.DUMMYFUNCTION("""COMPUTED_VALUE"""),"Education")</f>
        <v>Education</v>
      </c>
    </row>
    <row r="3469">
      <c r="A3469" s="131">
        <f>IFERROR(__xludf.DUMMYFUNCTION("""COMPUTED_VALUE"""),46187.440474537034)</f>
        <v>46187.44047</v>
      </c>
      <c r="B3469" s="126">
        <f>IFERROR(__xludf.DUMMYFUNCTION("""COMPUTED_VALUE"""),46187.0)</f>
        <v>46187</v>
      </c>
      <c r="C3469" s="130">
        <f>IFERROR(__xludf.DUMMYFUNCTION("""COMPUTED_VALUE"""),0.44047453703703704)</f>
        <v>0.440474537</v>
      </c>
      <c r="D3469" s="122" t="str">
        <f>IFERROR(__xludf.DUMMYFUNCTION("""COMPUTED_VALUE"""),"TUTR")</f>
        <v>TUTR</v>
      </c>
      <c r="E3469" s="122" t="str">
        <f>IFERROR(__xludf.DUMMYFUNCTION("""COMPUTED_VALUE"""),"TutorTown")</f>
        <v>TutorTown</v>
      </c>
      <c r="F3469" s="122" t="str">
        <f>IFERROR(__xludf.DUMMYFUNCTION("""COMPUTED_VALUE"""),"Education")</f>
        <v>Education</v>
      </c>
    </row>
    <row r="3470">
      <c r="A3470" s="131">
        <f>IFERROR(__xludf.DUMMYFUNCTION("""COMPUTED_VALUE"""),46187.440474537034)</f>
        <v>46187.44047</v>
      </c>
      <c r="B3470" s="126">
        <f>IFERROR(__xludf.DUMMYFUNCTION("""COMPUTED_VALUE"""),46187.0)</f>
        <v>46187</v>
      </c>
      <c r="C3470" s="130">
        <f>IFERROR(__xludf.DUMMYFUNCTION("""COMPUTED_VALUE"""),0.44047453703703704)</f>
        <v>0.440474537</v>
      </c>
      <c r="D3470" s="122" t="str">
        <f>IFERROR(__xludf.DUMMYFUNCTION("""COMPUTED_VALUE"""),"LANG")</f>
        <v>LANG</v>
      </c>
      <c r="E3470" s="122" t="str">
        <f>IFERROR(__xludf.DUMMYFUNCTION("""COMPUTED_VALUE"""),"LinguaLab")</f>
        <v>LinguaLab</v>
      </c>
      <c r="F3470" s="122" t="str">
        <f>IFERROR(__xludf.DUMMYFUNCTION("""COMPUTED_VALUE"""),"Education")</f>
        <v>Education</v>
      </c>
    </row>
    <row r="3471">
      <c r="A3471" s="131">
        <f>IFERROR(__xludf.DUMMYFUNCTION("""COMPUTED_VALUE"""),46187.440474537034)</f>
        <v>46187.44047</v>
      </c>
      <c r="B3471" s="126">
        <f>IFERROR(__xludf.DUMMYFUNCTION("""COMPUTED_VALUE"""),46187.0)</f>
        <v>46187</v>
      </c>
      <c r="C3471" s="130">
        <f>IFERROR(__xludf.DUMMYFUNCTION("""COMPUTED_VALUE"""),0.44047453703703704)</f>
        <v>0.440474537</v>
      </c>
      <c r="D3471" s="122" t="str">
        <f>IFERROR(__xludf.DUMMYFUNCTION("""COMPUTED_VALUE"""),"TEST")</f>
        <v>TEST</v>
      </c>
      <c r="E3471" s="122" t="str">
        <f>IFERROR(__xludf.DUMMYFUNCTION("""COMPUTED_VALUE"""),"TestPrep Pro")</f>
        <v>TestPrep Pro</v>
      </c>
      <c r="F3471" s="122" t="str">
        <f>IFERROR(__xludf.DUMMYFUNCTION("""COMPUTED_VALUE"""),"Education")</f>
        <v>Education</v>
      </c>
    </row>
    <row r="3472">
      <c r="A3472" s="131">
        <f>IFERROR(__xludf.DUMMYFUNCTION("""COMPUTED_VALUE"""),46187.440474537034)</f>
        <v>46187.44047</v>
      </c>
      <c r="B3472" s="126">
        <f>IFERROR(__xludf.DUMMYFUNCTION("""COMPUTED_VALUE"""),46187.0)</f>
        <v>46187</v>
      </c>
      <c r="C3472" s="130">
        <f>IFERROR(__xludf.DUMMYFUNCTION("""COMPUTED_VALUE"""),0.44047453703703704)</f>
        <v>0.440474537</v>
      </c>
      <c r="D3472" s="122" t="str">
        <f>IFERROR(__xludf.DUMMYFUNCTION("""COMPUTED_VALUE"""),"MOVI")</f>
        <v>MOVI</v>
      </c>
      <c r="E3472" s="122" t="str">
        <f>IFERROR(__xludf.DUMMYFUNCTION("""COMPUTED_VALUE"""),"MovieBox")</f>
        <v>MovieBox</v>
      </c>
      <c r="F3472" s="122" t="str">
        <f>IFERROR(__xludf.DUMMYFUNCTION("""COMPUTED_VALUE"""),"Entertainment")</f>
        <v>Entertainment</v>
      </c>
    </row>
    <row r="3473">
      <c r="A3473" s="131">
        <f>IFERROR(__xludf.DUMMYFUNCTION("""COMPUTED_VALUE"""),46187.440474537034)</f>
        <v>46187.44047</v>
      </c>
      <c r="B3473" s="126">
        <f>IFERROR(__xludf.DUMMYFUNCTION("""COMPUTED_VALUE"""),46187.0)</f>
        <v>46187</v>
      </c>
      <c r="C3473" s="130">
        <f>IFERROR(__xludf.DUMMYFUNCTION("""COMPUTED_VALUE"""),0.44047453703703704)</f>
        <v>0.440474537</v>
      </c>
      <c r="D3473" s="122" t="str">
        <f>IFERROR(__xludf.DUMMYFUNCTION("""COMPUTED_VALUE"""),"MUSC")</f>
        <v>MUSC</v>
      </c>
      <c r="E3473" s="122" t="str">
        <f>IFERROR(__xludf.DUMMYFUNCTION("""COMPUTED_VALUE"""),"MusicWave")</f>
        <v>MusicWave</v>
      </c>
      <c r="F3473" s="122" t="str">
        <f>IFERROR(__xludf.DUMMYFUNCTION("""COMPUTED_VALUE"""),"Entertainment")</f>
        <v>Entertainment</v>
      </c>
    </row>
    <row r="3474">
      <c r="A3474" s="131">
        <f>IFERROR(__xludf.DUMMYFUNCTION("""COMPUTED_VALUE"""),46187.440474537034)</f>
        <v>46187.44047</v>
      </c>
      <c r="B3474" s="126">
        <f>IFERROR(__xludf.DUMMYFUNCTION("""COMPUTED_VALUE"""),46187.0)</f>
        <v>46187</v>
      </c>
      <c r="C3474" s="130">
        <f>IFERROR(__xludf.DUMMYFUNCTION("""COMPUTED_VALUE"""),0.44047453703703704)</f>
        <v>0.440474537</v>
      </c>
      <c r="D3474" s="122" t="str">
        <f>IFERROR(__xludf.DUMMYFUNCTION("""COMPUTED_VALUE"""),"IDOL")</f>
        <v>IDOL</v>
      </c>
      <c r="E3474" s="122" t="str">
        <f>IFERROR(__xludf.DUMMYFUNCTION("""COMPUTED_VALUE"""),"Idol Agency")</f>
        <v>Idol Agency</v>
      </c>
      <c r="F3474" s="122" t="str">
        <f>IFERROR(__xludf.DUMMYFUNCTION("""COMPUTED_VALUE"""),"Entertainment")</f>
        <v>Entertainment</v>
      </c>
    </row>
    <row r="3475">
      <c r="A3475" s="131">
        <f>IFERROR(__xludf.DUMMYFUNCTION("""COMPUTED_VALUE"""),46187.440474537034)</f>
        <v>46187.44047</v>
      </c>
      <c r="B3475" s="126">
        <f>IFERROR(__xludf.DUMMYFUNCTION("""COMPUTED_VALUE"""),46187.0)</f>
        <v>46187</v>
      </c>
      <c r="C3475" s="130">
        <f>IFERROR(__xludf.DUMMYFUNCTION("""COMPUTED_VALUE"""),0.44047453703703704)</f>
        <v>0.440474537</v>
      </c>
      <c r="D3475" s="122" t="str">
        <f>IFERROR(__xludf.DUMMYFUNCTION("""COMPUTED_VALUE"""),"MEME")</f>
        <v>MEME</v>
      </c>
      <c r="E3475" s="122" t="str">
        <f>IFERROR(__xludf.DUMMYFUNCTION("""COMPUTED_VALUE"""),"Meme Media")</f>
        <v>Meme Media</v>
      </c>
      <c r="F3475" s="122" t="str">
        <f>IFERROR(__xludf.DUMMYFUNCTION("""COMPUTED_VALUE"""),"Entertainment")</f>
        <v>Entertainment</v>
      </c>
    </row>
    <row r="3476">
      <c r="A3476" s="131">
        <f>IFERROR(__xludf.DUMMYFUNCTION("""COMPUTED_VALUE"""),46187.440474537034)</f>
        <v>46187.44047</v>
      </c>
      <c r="B3476" s="126">
        <f>IFERROR(__xludf.DUMMYFUNCTION("""COMPUTED_VALUE"""),46187.0)</f>
        <v>46187</v>
      </c>
      <c r="C3476" s="130">
        <f>IFERROR(__xludf.DUMMYFUNCTION("""COMPUTED_VALUE"""),0.44047453703703704)</f>
        <v>0.440474537</v>
      </c>
      <c r="D3476" s="122" t="str">
        <f>IFERROR(__xludf.DUMMYFUNCTION("""COMPUTED_VALUE"""),"STRM")</f>
        <v>STRM</v>
      </c>
      <c r="E3476" s="122" t="str">
        <f>IFERROR(__xludf.DUMMYFUNCTION("""COMPUTED_VALUE"""),"Streamly")</f>
        <v>Streamly</v>
      </c>
      <c r="F3476" s="122" t="str">
        <f>IFERROR(__xludf.DUMMYFUNCTION("""COMPUTED_VALUE"""),"Entertainment")</f>
        <v>Entertainment</v>
      </c>
    </row>
    <row r="3477">
      <c r="A3477" s="131">
        <f>IFERROR(__xludf.DUMMYFUNCTION("""COMPUTED_VALUE"""),46187.440474537034)</f>
        <v>46187.44047</v>
      </c>
      <c r="B3477" s="126">
        <f>IFERROR(__xludf.DUMMYFUNCTION("""COMPUTED_VALUE"""),46187.0)</f>
        <v>46187</v>
      </c>
      <c r="C3477" s="130">
        <f>IFERROR(__xludf.DUMMYFUNCTION("""COMPUTED_VALUE"""),0.44047453703703704)</f>
        <v>0.440474537</v>
      </c>
      <c r="D3477" s="122" t="str">
        <f>IFERROR(__xludf.DUMMYFUNCTION("""COMPUTED_VALUE"""),"FARM")</f>
        <v>FARM</v>
      </c>
      <c r="E3477" s="122" t="str">
        <f>IFERROR(__xludf.DUMMYFUNCTION("""COMPUTED_VALUE"""),"Future Farms")</f>
        <v>Future Farms</v>
      </c>
      <c r="F3477" s="122" t="str">
        <f>IFERROR(__xludf.DUMMYFUNCTION("""COMPUTED_VALUE"""),"Agriculture")</f>
        <v>Agriculture</v>
      </c>
    </row>
    <row r="3478">
      <c r="A3478" s="131">
        <f>IFERROR(__xludf.DUMMYFUNCTION("""COMPUTED_VALUE"""),46187.440474537034)</f>
        <v>46187.44047</v>
      </c>
      <c r="B3478" s="126">
        <f>IFERROR(__xludf.DUMMYFUNCTION("""COMPUTED_VALUE"""),46187.0)</f>
        <v>46187</v>
      </c>
      <c r="C3478" s="130">
        <f>IFERROR(__xludf.DUMMYFUNCTION("""COMPUTED_VALUE"""),0.44047453703703704)</f>
        <v>0.440474537</v>
      </c>
      <c r="D3478" s="122" t="str">
        <f>IFERROR(__xludf.DUMMYFUNCTION("""COMPUTED_VALUE"""),"MEAT")</f>
        <v>MEAT</v>
      </c>
      <c r="E3478" s="122" t="str">
        <f>IFERROR(__xludf.DUMMYFUNCTION("""COMPUTED_VALUE"""),"MeatWorks")</f>
        <v>MeatWorks</v>
      </c>
      <c r="F3478" s="122" t="str">
        <f>IFERROR(__xludf.DUMMYFUNCTION("""COMPUTED_VALUE"""),"Food")</f>
        <v>Food</v>
      </c>
    </row>
    <row r="3479">
      <c r="A3479" s="131">
        <f>IFERROR(__xludf.DUMMYFUNCTION("""COMPUTED_VALUE"""),46187.440474537034)</f>
        <v>46187.44047</v>
      </c>
      <c r="B3479" s="126">
        <f>IFERROR(__xludf.DUMMYFUNCTION("""COMPUTED_VALUE"""),46187.0)</f>
        <v>46187</v>
      </c>
      <c r="C3479" s="130">
        <f>IFERROR(__xludf.DUMMYFUNCTION("""COMPUTED_VALUE"""),0.44047453703703704)</f>
        <v>0.440474537</v>
      </c>
      <c r="D3479" s="122" t="str">
        <f>IFERROR(__xludf.DUMMYFUNCTION("""COMPUTED_VALUE"""),"VEGI")</f>
        <v>VEGI</v>
      </c>
      <c r="E3479" s="122" t="str">
        <f>IFERROR(__xludf.DUMMYFUNCTION("""COMPUTED_VALUE"""),"Green Basket")</f>
        <v>Green Basket</v>
      </c>
      <c r="F3479" s="122" t="str">
        <f>IFERROR(__xludf.DUMMYFUNCTION("""COMPUTED_VALUE"""),"Food")</f>
        <v>Food</v>
      </c>
    </row>
    <row r="3480">
      <c r="A3480" s="131">
        <f>IFERROR(__xludf.DUMMYFUNCTION("""COMPUTED_VALUE"""),46187.440474537034)</f>
        <v>46187.44047</v>
      </c>
      <c r="B3480" s="126">
        <f>IFERROR(__xludf.DUMMYFUNCTION("""COMPUTED_VALUE"""),46187.0)</f>
        <v>46187</v>
      </c>
      <c r="C3480" s="130">
        <f>IFERROR(__xludf.DUMMYFUNCTION("""COMPUTED_VALUE"""),0.44047453703703704)</f>
        <v>0.440474537</v>
      </c>
      <c r="D3480" s="122" t="str">
        <f>IFERROR(__xludf.DUMMYFUNCTION("""COMPUTED_VALUE"""),"CAFE")</f>
        <v>CAFE</v>
      </c>
      <c r="E3480" s="122" t="str">
        <f>IFERROR(__xludf.DUMMYFUNCTION("""COMPUTED_VALUE"""),"Cafe Cloud")</f>
        <v>Cafe Cloud</v>
      </c>
      <c r="F3480" s="122" t="str">
        <f>IFERROR(__xludf.DUMMYFUNCTION("""COMPUTED_VALUE"""),"Food")</f>
        <v>Food</v>
      </c>
    </row>
    <row r="3481">
      <c r="A3481" s="131">
        <f>IFERROR(__xludf.DUMMYFUNCTION("""COMPUTED_VALUE"""),46187.440474537034)</f>
        <v>46187.44047</v>
      </c>
      <c r="B3481" s="126">
        <f>IFERROR(__xludf.DUMMYFUNCTION("""COMPUTED_VALUE"""),46187.0)</f>
        <v>46187</v>
      </c>
      <c r="C3481" s="130">
        <f>IFERROR(__xludf.DUMMYFUNCTION("""COMPUTED_VALUE"""),0.44047453703703704)</f>
        <v>0.440474537</v>
      </c>
      <c r="D3481" s="122" t="str">
        <f>IFERROR(__xludf.DUMMYFUNCTION("""COMPUTED_VALUE"""),"BAKE")</f>
        <v>BAKE</v>
      </c>
      <c r="E3481" s="122" t="str">
        <f>IFERROR(__xludf.DUMMYFUNCTION("""COMPUTED_VALUE"""),"BakeHouse")</f>
        <v>BakeHouse</v>
      </c>
      <c r="F3481" s="122" t="str">
        <f>IFERROR(__xludf.DUMMYFUNCTION("""COMPUTED_VALUE"""),"Food")</f>
        <v>Food</v>
      </c>
    </row>
    <row r="3482">
      <c r="A3482" s="131">
        <f>IFERROR(__xludf.DUMMYFUNCTION("""COMPUTED_VALUE"""),46187.440474537034)</f>
        <v>46187.44047</v>
      </c>
      <c r="B3482" s="126">
        <f>IFERROR(__xludf.DUMMYFUNCTION("""COMPUTED_VALUE"""),46187.0)</f>
        <v>46187</v>
      </c>
      <c r="C3482" s="130">
        <f>IFERROR(__xludf.DUMMYFUNCTION("""COMPUTED_VALUE"""),0.44047453703703704)</f>
        <v>0.440474537</v>
      </c>
      <c r="D3482" s="122" t="str">
        <f>IFERROR(__xludf.DUMMYFUNCTION("""COMPUTED_VALUE"""),"OILX")</f>
        <v>OILX</v>
      </c>
      <c r="E3482" s="122" t="str">
        <f>IFERROR(__xludf.DUMMYFUNCTION("""COMPUTED_VALUE"""),"OilMax Energy")</f>
        <v>OilMax Energy</v>
      </c>
      <c r="F3482" s="122" t="str">
        <f>IFERROR(__xludf.DUMMYFUNCTION("""COMPUTED_VALUE"""),"Energy")</f>
        <v>Energy</v>
      </c>
    </row>
    <row r="3483">
      <c r="A3483" s="131">
        <f>IFERROR(__xludf.DUMMYFUNCTION("""COMPUTED_VALUE"""),46187.440474537034)</f>
        <v>46187.44047</v>
      </c>
      <c r="B3483" s="126">
        <f>IFERROR(__xludf.DUMMYFUNCTION("""COMPUTED_VALUE"""),46187.0)</f>
        <v>46187</v>
      </c>
      <c r="C3483" s="130">
        <f>IFERROR(__xludf.DUMMYFUNCTION("""COMPUTED_VALUE"""),0.44047453703703704)</f>
        <v>0.440474537</v>
      </c>
      <c r="D3483" s="122" t="str">
        <f>IFERROR(__xludf.DUMMYFUNCTION("""COMPUTED_VALUE"""),"SOLR")</f>
        <v>SOLR</v>
      </c>
      <c r="E3483" s="122" t="str">
        <f>IFERROR(__xludf.DUMMYFUNCTION("""COMPUTED_VALUE"""),"SolarSpark")</f>
        <v>SolarSpark</v>
      </c>
      <c r="F3483" s="122" t="str">
        <f>IFERROR(__xludf.DUMMYFUNCTION("""COMPUTED_VALUE"""),"Energy")</f>
        <v>Energy</v>
      </c>
    </row>
    <row r="3484">
      <c r="A3484" s="131">
        <f>IFERROR(__xludf.DUMMYFUNCTION("""COMPUTED_VALUE"""),46187.440474537034)</f>
        <v>46187.44047</v>
      </c>
      <c r="B3484" s="126">
        <f>IFERROR(__xludf.DUMMYFUNCTION("""COMPUTED_VALUE"""),46187.0)</f>
        <v>46187</v>
      </c>
      <c r="C3484" s="130">
        <f>IFERROR(__xludf.DUMMYFUNCTION("""COMPUTED_VALUE"""),0.44047453703703704)</f>
        <v>0.440474537</v>
      </c>
      <c r="D3484" s="122" t="str">
        <f>IFERROR(__xludf.DUMMYFUNCTION("""COMPUTED_VALUE"""),"BATT")</f>
        <v>BATT</v>
      </c>
      <c r="E3484" s="122" t="str">
        <f>IFERROR(__xludf.DUMMYFUNCTION("""COMPUTED_VALUE"""),"BatteryBox")</f>
        <v>BatteryBox</v>
      </c>
      <c r="F3484" s="122" t="str">
        <f>IFERROR(__xludf.DUMMYFUNCTION("""COMPUTED_VALUE"""),"Energy")</f>
        <v>Energy</v>
      </c>
    </row>
    <row r="3485">
      <c r="A3485" s="131">
        <f>IFERROR(__xludf.DUMMYFUNCTION("""COMPUTED_VALUE"""),46187.440474537034)</f>
        <v>46187.44047</v>
      </c>
      <c r="B3485" s="126">
        <f>IFERROR(__xludf.DUMMYFUNCTION("""COMPUTED_VALUE"""),46187.0)</f>
        <v>46187</v>
      </c>
      <c r="C3485" s="130">
        <f>IFERROR(__xludf.DUMMYFUNCTION("""COMPUTED_VALUE"""),0.44047453703703704)</f>
        <v>0.440474537</v>
      </c>
      <c r="D3485" s="122" t="str">
        <f>IFERROR(__xludf.DUMMYFUNCTION("""COMPUTED_VALUE"""),"WIND")</f>
        <v>WIND</v>
      </c>
      <c r="E3485" s="122" t="str">
        <f>IFERROR(__xludf.DUMMYFUNCTION("""COMPUTED_VALUE"""),"WindWorks")</f>
        <v>WindWorks</v>
      </c>
      <c r="F3485" s="122" t="str">
        <f>IFERROR(__xludf.DUMMYFUNCTION("""COMPUTED_VALUE"""),"Energy")</f>
        <v>Energy</v>
      </c>
    </row>
    <row r="3486">
      <c r="A3486" s="131">
        <f>IFERROR(__xludf.DUMMYFUNCTION("""COMPUTED_VALUE"""),46187.440474537034)</f>
        <v>46187.44047</v>
      </c>
      <c r="B3486" s="126">
        <f>IFERROR(__xludf.DUMMYFUNCTION("""COMPUTED_VALUE"""),46187.0)</f>
        <v>46187</v>
      </c>
      <c r="C3486" s="130">
        <f>IFERROR(__xludf.DUMMYFUNCTION("""COMPUTED_VALUE"""),0.44047453703703704)</f>
        <v>0.440474537</v>
      </c>
      <c r="D3486" s="122" t="str">
        <f>IFERROR(__xludf.DUMMYFUNCTION("""COMPUTED_VALUE"""),"GRID")</f>
        <v>GRID</v>
      </c>
      <c r="E3486" s="122" t="str">
        <f>IFERROR(__xludf.DUMMYFUNCTION("""COMPUTED_VALUE"""),"GridPower")</f>
        <v>GridPower</v>
      </c>
      <c r="F3486" s="122" t="str">
        <f>IFERROR(__xludf.DUMMYFUNCTION("""COMPUTED_VALUE"""),"Energy")</f>
        <v>Energy</v>
      </c>
    </row>
    <row r="3487">
      <c r="A3487" s="131">
        <f>IFERROR(__xludf.DUMMYFUNCTION("""COMPUTED_VALUE"""),46187.440474537034)</f>
        <v>46187.44047</v>
      </c>
      <c r="B3487" s="126">
        <f>IFERROR(__xludf.DUMMYFUNCTION("""COMPUTED_VALUE"""),46187.0)</f>
        <v>46187</v>
      </c>
      <c r="C3487" s="130">
        <f>IFERROR(__xludf.DUMMYFUNCTION("""COMPUTED_VALUE"""),0.44047453703703704)</f>
        <v>0.440474537</v>
      </c>
      <c r="D3487" s="122" t="str">
        <f>IFERROR(__xludf.DUMMYFUNCTION("""COMPUTED_VALUE"""),"HOME")</f>
        <v>HOME</v>
      </c>
      <c r="E3487" s="122" t="str">
        <f>IFERROR(__xludf.DUMMYFUNCTION("""COMPUTED_VALUE"""),"HomeHub")</f>
        <v>HomeHub</v>
      </c>
      <c r="F3487" s="122" t="str">
        <f>IFERROR(__xludf.DUMMYFUNCTION("""COMPUTED_VALUE"""),"Real Estate")</f>
        <v>Real Estate</v>
      </c>
    </row>
    <row r="3488">
      <c r="A3488" s="131">
        <f>IFERROR(__xludf.DUMMYFUNCTION("""COMPUTED_VALUE"""),46187.440474537034)</f>
        <v>46187.44047</v>
      </c>
      <c r="B3488" s="126">
        <f>IFERROR(__xludf.DUMMYFUNCTION("""COMPUTED_VALUE"""),46187.0)</f>
        <v>46187</v>
      </c>
      <c r="C3488" s="130">
        <f>IFERROR(__xludf.DUMMYFUNCTION("""COMPUTED_VALUE"""),0.44047453703703704)</f>
        <v>0.440474537</v>
      </c>
      <c r="D3488" s="122" t="str">
        <f>IFERROR(__xludf.DUMMYFUNCTION("""COMPUTED_VALUE"""),"RENT")</f>
        <v>RENT</v>
      </c>
      <c r="E3488" s="122" t="str">
        <f>IFERROR(__xludf.DUMMYFUNCTION("""COMPUTED_VALUE"""),"RentRight")</f>
        <v>RentRight</v>
      </c>
      <c r="F3488" s="122" t="str">
        <f>IFERROR(__xludf.DUMMYFUNCTION("""COMPUTED_VALUE"""),"Real Estate")</f>
        <v>Real Estate</v>
      </c>
    </row>
    <row r="3489">
      <c r="A3489" s="131">
        <f>IFERROR(__xludf.DUMMYFUNCTION("""COMPUTED_VALUE"""),46187.440474537034)</f>
        <v>46187.44047</v>
      </c>
      <c r="B3489" s="126">
        <f>IFERROR(__xludf.DUMMYFUNCTION("""COMPUTED_VALUE"""),46187.0)</f>
        <v>46187</v>
      </c>
      <c r="C3489" s="130">
        <f>IFERROR(__xludf.DUMMYFUNCTION("""COMPUTED_VALUE"""),0.44047453703703704)</f>
        <v>0.440474537</v>
      </c>
      <c r="D3489" s="122" t="str">
        <f>IFERROR(__xludf.DUMMYFUNCTION("""COMPUTED_VALUE"""),"MALL")</f>
        <v>MALL</v>
      </c>
      <c r="E3489" s="122" t="str">
        <f>IFERROR(__xludf.DUMMYFUNCTION("""COMPUTED_VALUE"""),"MegaMall")</f>
        <v>MegaMall</v>
      </c>
      <c r="F3489" s="122" t="str">
        <f>IFERROR(__xludf.DUMMYFUNCTION("""COMPUTED_VALUE"""),"Real Estate")</f>
        <v>Real Estate</v>
      </c>
    </row>
    <row r="3490">
      <c r="A3490" s="131">
        <f>IFERROR(__xludf.DUMMYFUNCTION("""COMPUTED_VALUE"""),46187.440474537034)</f>
        <v>46187.44047</v>
      </c>
      <c r="B3490" s="126">
        <f>IFERROR(__xludf.DUMMYFUNCTION("""COMPUTED_VALUE"""),46187.0)</f>
        <v>46187</v>
      </c>
      <c r="C3490" s="130">
        <f>IFERROR(__xludf.DUMMYFUNCTION("""COMPUTED_VALUE"""),0.44047453703703704)</f>
        <v>0.440474537</v>
      </c>
      <c r="D3490" s="122" t="str">
        <f>IFERROR(__xludf.DUMMYFUNCTION("""COMPUTED_VALUE"""),"HOTL")</f>
        <v>HOTL</v>
      </c>
      <c r="E3490" s="122" t="str">
        <f>IFERROR(__xludf.DUMMYFUNCTION("""COMPUTED_VALUE"""),"HotelHive")</f>
        <v>HotelHive</v>
      </c>
      <c r="F3490" s="122" t="str">
        <f>IFERROR(__xludf.DUMMYFUNCTION("""COMPUTED_VALUE"""),"Real Estate")</f>
        <v>Real Estate</v>
      </c>
    </row>
    <row r="3491">
      <c r="A3491" s="131">
        <f>IFERROR(__xludf.DUMMYFUNCTION("""COMPUTED_VALUE"""),46187.440474537034)</f>
        <v>46187.44047</v>
      </c>
      <c r="B3491" s="126">
        <f>IFERROR(__xludf.DUMMYFUNCTION("""COMPUTED_VALUE"""),46187.0)</f>
        <v>46187</v>
      </c>
      <c r="C3491" s="130">
        <f>IFERROR(__xludf.DUMMYFUNCTION("""COMPUTED_VALUE"""),0.44047453703703704)</f>
        <v>0.440474537</v>
      </c>
      <c r="D3491" s="122" t="str">
        <f>IFERROR(__xludf.DUMMYFUNCTION("""COMPUTED_VALUE"""),"LAND")</f>
        <v>LAND</v>
      </c>
      <c r="E3491" s="122" t="str">
        <f>IFERROR(__xludf.DUMMYFUNCTION("""COMPUTED_VALUE"""),"LandLink")</f>
        <v>LandLink</v>
      </c>
      <c r="F3491" s="122" t="str">
        <f>IFERROR(__xludf.DUMMYFUNCTION("""COMPUTED_VALUE"""),"Real Estate")</f>
        <v>Real Estate</v>
      </c>
    </row>
    <row r="3492">
      <c r="A3492" s="131">
        <f>IFERROR(__xludf.DUMMYFUNCTION("""COMPUTED_VALUE"""),46187.440474537034)</f>
        <v>46187.44047</v>
      </c>
      <c r="B3492" s="126">
        <f>IFERROR(__xludf.DUMMYFUNCTION("""COMPUTED_VALUE"""),46187.0)</f>
        <v>46187</v>
      </c>
      <c r="C3492" s="130">
        <f>IFERROR(__xludf.DUMMYFUNCTION("""COMPUTED_VALUE"""),0.44047453703703704)</f>
        <v>0.440474537</v>
      </c>
      <c r="D3492" s="122" t="str">
        <f>IFERROR(__xludf.DUMMYFUNCTION("""COMPUTED_VALUE"""),"CARS")</f>
        <v>CARS</v>
      </c>
      <c r="E3492" s="122" t="str">
        <f>IFERROR(__xludf.DUMMYFUNCTION("""COMPUTED_VALUE"""),"AutoArena")</f>
        <v>AutoArena</v>
      </c>
      <c r="F3492" s="122" t="str">
        <f>IFERROR(__xludf.DUMMYFUNCTION("""COMPUTED_VALUE"""),"Automotive")</f>
        <v>Automotive</v>
      </c>
    </row>
    <row r="3493">
      <c r="A3493" s="131">
        <f>IFERROR(__xludf.DUMMYFUNCTION("""COMPUTED_VALUE"""),46187.440474537034)</f>
        <v>46187.44047</v>
      </c>
      <c r="B3493" s="126">
        <f>IFERROR(__xludf.DUMMYFUNCTION("""COMPUTED_VALUE"""),46187.0)</f>
        <v>46187</v>
      </c>
      <c r="C3493" s="130">
        <f>IFERROR(__xludf.DUMMYFUNCTION("""COMPUTED_VALUE"""),0.44047453703703704)</f>
        <v>0.440474537</v>
      </c>
      <c r="D3493" s="122" t="str">
        <f>IFERROR(__xludf.DUMMYFUNCTION("""COMPUTED_VALUE"""),"EVGO")</f>
        <v>EVGO</v>
      </c>
      <c r="E3493" s="122" t="str">
        <f>IFERROR(__xludf.DUMMYFUNCTION("""COMPUTED_VALUE"""),"EVGo Motors")</f>
        <v>EVGo Motors</v>
      </c>
      <c r="F3493" s="122" t="str">
        <f>IFERROR(__xludf.DUMMYFUNCTION("""COMPUTED_VALUE"""),"Automotive")</f>
        <v>Automotive</v>
      </c>
    </row>
    <row r="3494">
      <c r="A3494" s="131">
        <f>IFERROR(__xludf.DUMMYFUNCTION("""COMPUTED_VALUE"""),46187.440474537034)</f>
        <v>46187.44047</v>
      </c>
      <c r="B3494" s="126">
        <f>IFERROR(__xludf.DUMMYFUNCTION("""COMPUTED_VALUE"""),46187.0)</f>
        <v>46187</v>
      </c>
      <c r="C3494" s="130">
        <f>IFERROR(__xludf.DUMMYFUNCTION("""COMPUTED_VALUE"""),0.44047453703703704)</f>
        <v>0.440474537</v>
      </c>
      <c r="D3494" s="122" t="str">
        <f>IFERROR(__xludf.DUMMYFUNCTION("""COMPUTED_VALUE"""),"TIRE")</f>
        <v>TIRE</v>
      </c>
      <c r="E3494" s="122" t="str">
        <f>IFERROR(__xludf.DUMMYFUNCTION("""COMPUTED_VALUE"""),"TireTown")</f>
        <v>TireTown</v>
      </c>
      <c r="F3494" s="122" t="str">
        <f>IFERROR(__xludf.DUMMYFUNCTION("""COMPUTED_VALUE"""),"Automotive")</f>
        <v>Automotive</v>
      </c>
    </row>
    <row r="3495">
      <c r="A3495" s="131">
        <f>IFERROR(__xludf.DUMMYFUNCTION("""COMPUTED_VALUE"""),46187.440474537034)</f>
        <v>46187.44047</v>
      </c>
      <c r="B3495" s="126">
        <f>IFERROR(__xludf.DUMMYFUNCTION("""COMPUTED_VALUE"""),46187.0)</f>
        <v>46187</v>
      </c>
      <c r="C3495" s="130">
        <f>IFERROR(__xludf.DUMMYFUNCTION("""COMPUTED_VALUE"""),0.44047453703703704)</f>
        <v>0.440474537</v>
      </c>
      <c r="D3495" s="122" t="str">
        <f>IFERROR(__xludf.DUMMYFUNCTION("""COMPUTED_VALUE"""),"BIKE")</f>
        <v>BIKE</v>
      </c>
      <c r="E3495" s="122" t="str">
        <f>IFERROR(__xludf.DUMMYFUNCTION("""COMPUTED_VALUE"""),"BikeBox")</f>
        <v>BikeBox</v>
      </c>
      <c r="F3495" s="122" t="str">
        <f>IFERROR(__xludf.DUMMYFUNCTION("""COMPUTED_VALUE"""),"Automotive")</f>
        <v>Automotive</v>
      </c>
    </row>
    <row r="3496">
      <c r="A3496" s="131">
        <f>IFERROR(__xludf.DUMMYFUNCTION("""COMPUTED_VALUE"""),46187.440474537034)</f>
        <v>46187.44047</v>
      </c>
      <c r="B3496" s="126">
        <f>IFERROR(__xludf.DUMMYFUNCTION("""COMPUTED_VALUE"""),46187.0)</f>
        <v>46187</v>
      </c>
      <c r="C3496" s="130">
        <f>IFERROR(__xludf.DUMMYFUNCTION("""COMPUTED_VALUE"""),0.44047453703703704)</f>
        <v>0.440474537</v>
      </c>
      <c r="D3496" s="122" t="str">
        <f>IFERROR(__xludf.DUMMYFUNCTION("""COMPUTED_VALUE"""),"WASH")</f>
        <v>WASH</v>
      </c>
      <c r="E3496" s="122" t="str">
        <f>IFERROR(__xludf.DUMMYFUNCTION("""COMPUTED_VALUE"""),"CarWash Co")</f>
        <v>CarWash Co</v>
      </c>
      <c r="F3496" s="122" t="str">
        <f>IFERROR(__xludf.DUMMYFUNCTION("""COMPUTED_VALUE"""),"Automotive")</f>
        <v>Automotive</v>
      </c>
    </row>
    <row r="3497">
      <c r="A3497" s="131">
        <f>IFERROR(__xludf.DUMMYFUNCTION("""COMPUTED_VALUE"""),46187.440474537034)</f>
        <v>46187.44047</v>
      </c>
      <c r="B3497" s="126">
        <f>IFERROR(__xludf.DUMMYFUNCTION("""COMPUTED_VALUE"""),46187.0)</f>
        <v>46187</v>
      </c>
      <c r="C3497" s="130">
        <f>IFERROR(__xludf.DUMMYFUNCTION("""COMPUTED_VALUE"""),0.44047453703703704)</f>
        <v>0.440474537</v>
      </c>
      <c r="D3497" s="122" t="str">
        <f>IFERROR(__xludf.DUMMYFUNCTION("""COMPUTED_VALUE"""),"GBND")</f>
        <v>GBND</v>
      </c>
      <c r="E3497" s="122" t="str">
        <f>IFERROR(__xludf.DUMMYFUNCTION("""COMPUTED_VALUE"""),"Classroom Government Bond")</f>
        <v>Classroom Government Bond</v>
      </c>
      <c r="F3497" s="122" t="str">
        <f>IFERROR(__xludf.DUMMYFUNCTION("""COMPUTED_VALUE"""),"Bond")</f>
        <v>Bond</v>
      </c>
    </row>
    <row r="3498">
      <c r="A3498" s="131">
        <f>IFERROR(__xludf.DUMMYFUNCTION("""COMPUTED_VALUE"""),46187.440474537034)</f>
        <v>46187.44047</v>
      </c>
      <c r="B3498" s="126">
        <f>IFERROR(__xludf.DUMMYFUNCTION("""COMPUTED_VALUE"""),46187.0)</f>
        <v>46187</v>
      </c>
      <c r="C3498" s="130">
        <f>IFERROR(__xludf.DUMMYFUNCTION("""COMPUTED_VALUE"""),0.44047453703703704)</f>
        <v>0.440474537</v>
      </c>
      <c r="D3498" s="122" t="str">
        <f>IFERROR(__xludf.DUMMYFUNCTION("""COMPUTED_VALUE"""),"SBND")</f>
        <v>SBND</v>
      </c>
      <c r="E3498" s="122" t="str">
        <f>IFERROR(__xludf.DUMMYFUNCTION("""COMPUTED_VALUE"""),"School Savings Bond")</f>
        <v>School Savings Bond</v>
      </c>
      <c r="F3498" s="122" t="str">
        <f>IFERROR(__xludf.DUMMYFUNCTION("""COMPUTED_VALUE"""),"Bond")</f>
        <v>Bond</v>
      </c>
    </row>
    <row r="3499">
      <c r="A3499" s="131">
        <f>IFERROR(__xludf.DUMMYFUNCTION("""COMPUTED_VALUE"""),46187.440474537034)</f>
        <v>46187.44047</v>
      </c>
      <c r="B3499" s="126">
        <f>IFERROR(__xludf.DUMMYFUNCTION("""COMPUTED_VALUE"""),46187.0)</f>
        <v>46187</v>
      </c>
      <c r="C3499" s="130">
        <f>IFERROR(__xludf.DUMMYFUNCTION("""COMPUTED_VALUE"""),0.44047453703703704)</f>
        <v>0.440474537</v>
      </c>
      <c r="D3499" s="122" t="str">
        <f>IFERROR(__xludf.DUMMYFUNCTION("""COMPUTED_VALUE"""),"CBND")</f>
        <v>CBND</v>
      </c>
      <c r="E3499" s="122" t="str">
        <f>IFERROR(__xludf.DUMMYFUNCTION("""COMPUTED_VALUE"""),"Corporate Classroom Bond")</f>
        <v>Corporate Classroom Bond</v>
      </c>
      <c r="F3499" s="122" t="str">
        <f>IFERROR(__xludf.DUMMYFUNCTION("""COMPUTED_VALUE"""),"Bond")</f>
        <v>Bond</v>
      </c>
    </row>
    <row r="3500">
      <c r="A3500" s="131">
        <f>IFERROR(__xludf.DUMMYFUNCTION("""COMPUTED_VALUE"""),46187.440474537034)</f>
        <v>46187.44047</v>
      </c>
      <c r="B3500" s="126">
        <f>IFERROR(__xludf.DUMMYFUNCTION("""COMPUTED_VALUE"""),46187.0)</f>
        <v>46187</v>
      </c>
      <c r="C3500" s="130">
        <f>IFERROR(__xludf.DUMMYFUNCTION("""COMPUTED_VALUE"""),0.44047453703703704)</f>
        <v>0.440474537</v>
      </c>
      <c r="D3500" s="122" t="str">
        <f>IFERROR(__xludf.DUMMYFUNCTION("""COMPUTED_VALUE"""),"TBIL")</f>
        <v>TBIL</v>
      </c>
      <c r="E3500" s="122" t="str">
        <f>IFERROR(__xludf.DUMMYFUNCTION("""COMPUTED_VALUE"""),"Treasury Bill")</f>
        <v>Treasury Bill</v>
      </c>
      <c r="F3500" s="122" t="str">
        <f>IFERROR(__xludf.DUMMYFUNCTION("""COMPUTED_VALUE"""),"Bond")</f>
        <v>Bond</v>
      </c>
    </row>
    <row r="3501">
      <c r="A3501" s="131">
        <f>IFERROR(__xludf.DUMMYFUNCTION("""COMPUTED_VALUE"""),46187.440474537034)</f>
        <v>46187.44047</v>
      </c>
      <c r="B3501" s="126">
        <f>IFERROR(__xludf.DUMMYFUNCTION("""COMPUTED_VALUE"""),46187.0)</f>
        <v>46187</v>
      </c>
      <c r="C3501" s="130">
        <f>IFERROR(__xludf.DUMMYFUNCTION("""COMPUTED_VALUE"""),0.44047453703703704)</f>
        <v>0.440474537</v>
      </c>
      <c r="D3501" s="122" t="str">
        <f>IFERROR(__xludf.DUMMYFUNCTION("""COMPUTED_VALUE"""),"IBND")</f>
        <v>IBND</v>
      </c>
      <c r="E3501" s="122" t="str">
        <f>IFERROR(__xludf.DUMMYFUNCTION("""COMPUTED_VALUE"""),"Inflation Protected Bond")</f>
        <v>Inflation Protected Bond</v>
      </c>
      <c r="F3501" s="122" t="str">
        <f>IFERROR(__xludf.DUMMYFUNCTION("""COMPUTED_VALUE"""),"Bond")</f>
        <v>Bond</v>
      </c>
    </row>
    <row r="3502">
      <c r="A3502" s="131">
        <f>IFERROR(__xludf.DUMMYFUNCTION("""COMPUTED_VALUE"""),46187.442453703705)</f>
        <v>46187.44245</v>
      </c>
      <c r="B3502" s="126">
        <f>IFERROR(__xludf.DUMMYFUNCTION("""COMPUTED_VALUE"""),46187.0)</f>
        <v>46187</v>
      </c>
      <c r="C3502" s="122" t="str">
        <f>IFERROR(__xludf.DUMMYFUNCTION("""COMPUTED_VALUE"""),"SNAX")</f>
        <v>SNAX</v>
      </c>
      <c r="D3502" s="122" t="str">
        <f>IFERROR(__xludf.DUMMYFUNCTION("""COMPUTED_VALUE"""),"MICA Snacks")</f>
        <v>MICA Snacks</v>
      </c>
      <c r="E3502" s="122">
        <f>IFERROR(__xludf.DUMMYFUNCTION("""COMPUTED_VALUE"""),121.85)</f>
        <v>121.85</v>
      </c>
      <c r="F3502" s="122">
        <f>IFERROR(__xludf.DUMMYFUNCTION("""COMPUTED_VALUE"""),0.0035)</f>
        <v>0.0035</v>
      </c>
    </row>
    <row r="3503">
      <c r="A3503" s="131">
        <f>IFERROR(__xludf.DUMMYFUNCTION("""COMPUTED_VALUE"""),46187.442453703705)</f>
        <v>46187.44245</v>
      </c>
      <c r="B3503" s="126">
        <f>IFERROR(__xludf.DUMMYFUNCTION("""COMPUTED_VALUE"""),46187.0)</f>
        <v>46187</v>
      </c>
      <c r="C3503" s="122" t="str">
        <f>IFERROR(__xludf.DUMMYFUNCTION("""COMPUTED_VALUE"""),"RAMN")</f>
        <v>RAMN</v>
      </c>
      <c r="D3503" s="122" t="str">
        <f>IFERROR(__xludf.DUMMYFUNCTION("""COMPUTED_VALUE"""),"Ramen Republic")</f>
        <v>Ramen Republic</v>
      </c>
      <c r="E3503" s="122">
        <f>IFERROR(__xludf.DUMMYFUNCTION("""COMPUTED_VALUE"""),71.6)</f>
        <v>71.6</v>
      </c>
      <c r="F3503" s="122">
        <f>IFERROR(__xludf.DUMMYFUNCTION("""COMPUTED_VALUE"""),-0.0044)</f>
        <v>-0.0044</v>
      </c>
    </row>
    <row r="3504">
      <c r="A3504" s="131">
        <f>IFERROR(__xludf.DUMMYFUNCTION("""COMPUTED_VALUE"""),46187.442453703705)</f>
        <v>46187.44245</v>
      </c>
      <c r="B3504" s="126">
        <f>IFERROR(__xludf.DUMMYFUNCTION("""COMPUTED_VALUE"""),46187.0)</f>
        <v>46187</v>
      </c>
      <c r="C3504" s="122" t="str">
        <f>IFERROR(__xludf.DUMMYFUNCTION("""COMPUTED_VALUE"""),"COLA")</f>
        <v>COLA</v>
      </c>
      <c r="D3504" s="122" t="str">
        <f>IFERROR(__xludf.DUMMYFUNCTION("""COMPUTED_VALUE"""),"K-Pop Cola")</f>
        <v>K-Pop Cola</v>
      </c>
      <c r="E3504" s="122">
        <f>IFERROR(__xludf.DUMMYFUNCTION("""COMPUTED_VALUE"""),109.12)</f>
        <v>109.12</v>
      </c>
      <c r="F3504" s="122">
        <f>IFERROR(__xludf.DUMMYFUNCTION("""COMPUTED_VALUE"""),0.0061)</f>
        <v>0.0061</v>
      </c>
    </row>
    <row r="3505">
      <c r="A3505" s="131">
        <f>IFERROR(__xludf.DUMMYFUNCTION("""COMPUTED_VALUE"""),46187.442453703705)</f>
        <v>46187.44245</v>
      </c>
      <c r="B3505" s="126">
        <f>IFERROR(__xludf.DUMMYFUNCTION("""COMPUTED_VALUE"""),46187.0)</f>
        <v>46187</v>
      </c>
      <c r="C3505" s="122" t="str">
        <f>IFERROR(__xludf.DUMMYFUNCTION("""COMPUTED_VALUE"""),"CHIP")</f>
        <v>CHIP</v>
      </c>
      <c r="D3505" s="122" t="str">
        <f>IFERROR(__xludf.DUMMYFUNCTION("""COMPUTED_VALUE"""),"Chip Empire")</f>
        <v>Chip Empire</v>
      </c>
      <c r="E3505" s="122">
        <f>IFERROR(__xludf.DUMMYFUNCTION("""COMPUTED_VALUE"""),87.2)</f>
        <v>87.2</v>
      </c>
      <c r="F3505" s="122">
        <f>IFERROR(__xludf.DUMMYFUNCTION("""COMPUTED_VALUE"""),0.0)</f>
        <v>0</v>
      </c>
    </row>
    <row r="3506">
      <c r="A3506" s="131">
        <f>IFERROR(__xludf.DUMMYFUNCTION("""COMPUTED_VALUE"""),46187.442453703705)</f>
        <v>46187.44245</v>
      </c>
      <c r="B3506" s="126">
        <f>IFERROR(__xludf.DUMMYFUNCTION("""COMPUTED_VALUE"""),46187.0)</f>
        <v>46187</v>
      </c>
      <c r="C3506" s="122" t="str">
        <f>IFERROR(__xludf.DUMMYFUNCTION("""COMPUTED_VALUE"""),"CAND")</f>
        <v>CAND</v>
      </c>
      <c r="D3506" s="122" t="str">
        <f>IFERROR(__xludf.DUMMYFUNCTION("""COMPUTED_VALUE"""),"Candy Capital")</f>
        <v>Candy Capital</v>
      </c>
      <c r="E3506" s="122">
        <f>IFERROR(__xludf.DUMMYFUNCTION("""COMPUTED_VALUE"""),77.57)</f>
        <v>77.57</v>
      </c>
      <c r="F3506" s="122">
        <f>IFERROR(__xludf.DUMMYFUNCTION("""COMPUTED_VALUE"""),0.0082)</f>
        <v>0.0082</v>
      </c>
    </row>
    <row r="3507">
      <c r="A3507" s="131">
        <f>IFERROR(__xludf.DUMMYFUNCTION("""COMPUTED_VALUE"""),46187.442453703705)</f>
        <v>46187.44245</v>
      </c>
      <c r="B3507" s="126">
        <f>IFERROR(__xludf.DUMMYFUNCTION("""COMPUTED_VALUE"""),46187.0)</f>
        <v>46187</v>
      </c>
      <c r="C3507" s="122" t="str">
        <f>IFERROR(__xludf.DUMMYFUNCTION("""COMPUTED_VALUE"""),"TECH")</f>
        <v>TECH</v>
      </c>
      <c r="D3507" s="122" t="str">
        <f>IFERROR(__xludf.DUMMYFUNCTION("""COMPUTED_VALUE"""),"Dragon Tech")</f>
        <v>Dragon Tech</v>
      </c>
      <c r="E3507" s="122">
        <f>IFERROR(__xludf.DUMMYFUNCTION("""COMPUTED_VALUE"""),244.91)</f>
        <v>244.91</v>
      </c>
      <c r="F3507" s="122">
        <f>IFERROR(__xludf.DUMMYFUNCTION("""COMPUTED_VALUE"""),-0.0031)</f>
        <v>-0.0031</v>
      </c>
    </row>
    <row r="3508">
      <c r="A3508" s="131">
        <f>IFERROR(__xludf.DUMMYFUNCTION("""COMPUTED_VALUE"""),46187.442453703705)</f>
        <v>46187.44245</v>
      </c>
      <c r="B3508" s="126">
        <f>IFERROR(__xludf.DUMMYFUNCTION("""COMPUTED_VALUE"""),46187.0)</f>
        <v>46187</v>
      </c>
      <c r="C3508" s="122" t="str">
        <f>IFERROR(__xludf.DUMMYFUNCTION("""COMPUTED_VALUE"""),"AIBO")</f>
        <v>AIBO</v>
      </c>
      <c r="D3508" s="122" t="str">
        <f>IFERROR(__xludf.DUMMYFUNCTION("""COMPUTED_VALUE"""),"Homework AI")</f>
        <v>Homework AI</v>
      </c>
      <c r="E3508" s="122">
        <f>IFERROR(__xludf.DUMMYFUNCTION("""COMPUTED_VALUE"""),173.69)</f>
        <v>173.69</v>
      </c>
      <c r="F3508" s="122">
        <f>IFERROR(__xludf.DUMMYFUNCTION("""COMPUTED_VALUE"""),-0.0026)</f>
        <v>-0.0026</v>
      </c>
    </row>
    <row r="3509">
      <c r="A3509" s="131">
        <f>IFERROR(__xludf.DUMMYFUNCTION("""COMPUTED_VALUE"""),46187.442453703705)</f>
        <v>46187.44245</v>
      </c>
      <c r="B3509" s="126">
        <f>IFERROR(__xludf.DUMMYFUNCTION("""COMPUTED_VALUE"""),46187.0)</f>
        <v>46187</v>
      </c>
      <c r="C3509" s="122" t="str">
        <f>IFERROR(__xludf.DUMMYFUNCTION("""COMPUTED_VALUE"""),"GAME")</f>
        <v>GAME</v>
      </c>
      <c r="D3509" s="122" t="str">
        <f>IFERROR(__xludf.DUMMYFUNCTION("""COMPUTED_VALUE"""),"GameBox Media")</f>
        <v>GameBox Media</v>
      </c>
      <c r="E3509" s="122">
        <f>IFERROR(__xludf.DUMMYFUNCTION("""COMPUTED_VALUE"""),95.58)</f>
        <v>95.58</v>
      </c>
      <c r="F3509" s="122">
        <f>IFERROR(__xludf.DUMMYFUNCTION("""COMPUTED_VALUE"""),-0.0056)</f>
        <v>-0.0056</v>
      </c>
    </row>
    <row r="3510">
      <c r="A3510" s="131">
        <f>IFERROR(__xludf.DUMMYFUNCTION("""COMPUTED_VALUE"""),46187.442453703705)</f>
        <v>46187.44245</v>
      </c>
      <c r="B3510" s="126">
        <f>IFERROR(__xludf.DUMMYFUNCTION("""COMPUTED_VALUE"""),46187.0)</f>
        <v>46187</v>
      </c>
      <c r="C3510" s="122" t="str">
        <f>IFERROR(__xludf.DUMMYFUNCTION("""COMPUTED_VALUE"""),"VRSE")</f>
        <v>VRSE</v>
      </c>
      <c r="D3510" s="122" t="str">
        <f>IFERROR(__xludf.DUMMYFUNCTION("""COMPUTED_VALUE"""),"VerseVR")</f>
        <v>VerseVR</v>
      </c>
      <c r="E3510" s="122">
        <f>IFERROR(__xludf.DUMMYFUNCTION("""COMPUTED_VALUE"""),145.17)</f>
        <v>145.17</v>
      </c>
      <c r="F3510" s="122">
        <f>IFERROR(__xludf.DUMMYFUNCTION("""COMPUTED_VALUE"""),-0.0015)</f>
        <v>-0.0015</v>
      </c>
    </row>
    <row r="3511">
      <c r="A3511" s="131">
        <f>IFERROR(__xludf.DUMMYFUNCTION("""COMPUTED_VALUE"""),46187.442453703705)</f>
        <v>46187.44245</v>
      </c>
      <c r="B3511" s="126">
        <f>IFERROR(__xludf.DUMMYFUNCTION("""COMPUTED_VALUE"""),46187.0)</f>
        <v>46187</v>
      </c>
      <c r="C3511" s="122" t="str">
        <f>IFERROR(__xludf.DUMMYFUNCTION("""COMPUTED_VALUE"""),"BYTE")</f>
        <v>BYTE</v>
      </c>
      <c r="D3511" s="122" t="str">
        <f>IFERROR(__xludf.DUMMYFUNCTION("""COMPUTED_VALUE"""),"ByteWorks")</f>
        <v>ByteWorks</v>
      </c>
      <c r="E3511" s="122">
        <f>IFERROR(__xludf.DUMMYFUNCTION("""COMPUTED_VALUE"""),107.45)</f>
        <v>107.45</v>
      </c>
      <c r="F3511" s="122">
        <f>IFERROR(__xludf.DUMMYFUNCTION("""COMPUTED_VALUE"""),-0.0032)</f>
        <v>-0.0032</v>
      </c>
    </row>
    <row r="3512">
      <c r="A3512" s="131">
        <f>IFERROR(__xludf.DUMMYFUNCTION("""COMPUTED_VALUE"""),46187.442453703705)</f>
        <v>46187.44245</v>
      </c>
      <c r="B3512" s="126">
        <f>IFERROR(__xludf.DUMMYFUNCTION("""COMPUTED_VALUE"""),46187.0)</f>
        <v>46187</v>
      </c>
      <c r="C3512" s="122" t="str">
        <f>IFERROR(__xludf.DUMMYFUNCTION("""COMPUTED_VALUE"""),"BANK")</f>
        <v>BANK</v>
      </c>
      <c r="D3512" s="122" t="str">
        <f>IFERROR(__xludf.DUMMYFUNCTION("""COMPUTED_VALUE"""),"Tiger Bank")</f>
        <v>Tiger Bank</v>
      </c>
      <c r="E3512" s="122">
        <f>IFERROR(__xludf.DUMMYFUNCTION("""COMPUTED_VALUE"""),127.0)</f>
        <v>127</v>
      </c>
      <c r="F3512" s="122">
        <f>IFERROR(__xludf.DUMMYFUNCTION("""COMPUTED_VALUE"""),-2.0E-4)</f>
        <v>-0.0002</v>
      </c>
    </row>
    <row r="3513">
      <c r="A3513" s="131">
        <f>IFERROR(__xludf.DUMMYFUNCTION("""COMPUTED_VALUE"""),46187.442453703705)</f>
        <v>46187.44245</v>
      </c>
      <c r="B3513" s="126">
        <f>IFERROR(__xludf.DUMMYFUNCTION("""COMPUTED_VALUE"""),46187.0)</f>
        <v>46187</v>
      </c>
      <c r="C3513" s="122" t="str">
        <f>IFERROR(__xludf.DUMMYFUNCTION("""COMPUTED_VALUE"""),"CRED")</f>
        <v>CRED</v>
      </c>
      <c r="D3513" s="122" t="str">
        <f>IFERROR(__xludf.DUMMYFUNCTION("""COMPUTED_VALUE"""),"Credit Castle")</f>
        <v>Credit Castle</v>
      </c>
      <c r="E3513" s="122">
        <f>IFERROR(__xludf.DUMMYFUNCTION("""COMPUTED_VALUE"""),67.51)</f>
        <v>67.51</v>
      </c>
      <c r="F3513" s="122">
        <f>IFERROR(__xludf.DUMMYFUNCTION("""COMPUTED_VALUE"""),-0.0056)</f>
        <v>-0.0056</v>
      </c>
    </row>
    <row r="3514">
      <c r="A3514" s="131">
        <f>IFERROR(__xludf.DUMMYFUNCTION("""COMPUTED_VALUE"""),46187.442453703705)</f>
        <v>46187.44245</v>
      </c>
      <c r="B3514" s="126">
        <f>IFERROR(__xludf.DUMMYFUNCTION("""COMPUTED_VALUE"""),46187.0)</f>
        <v>46187</v>
      </c>
      <c r="C3514" s="122" t="str">
        <f>IFERROR(__xludf.DUMMYFUNCTION("""COMPUTED_VALUE"""),"BOND")</f>
        <v>BOND</v>
      </c>
      <c r="D3514" s="122" t="str">
        <f>IFERROR(__xludf.DUMMYFUNCTION("""COMPUTED_VALUE"""),"BondBridge")</f>
        <v>BondBridge</v>
      </c>
      <c r="E3514" s="122">
        <f>IFERROR(__xludf.DUMMYFUNCTION("""COMPUTED_VALUE"""),98.67)</f>
        <v>98.67</v>
      </c>
      <c r="F3514" s="122">
        <f>IFERROR(__xludf.DUMMYFUNCTION("""COMPUTED_VALUE"""),7.0E-4)</f>
        <v>0.0007</v>
      </c>
    </row>
    <row r="3515">
      <c r="A3515" s="131">
        <f>IFERROR(__xludf.DUMMYFUNCTION("""COMPUTED_VALUE"""),46187.442453703705)</f>
        <v>46187.44245</v>
      </c>
      <c r="B3515" s="126">
        <f>IFERROR(__xludf.DUMMYFUNCTION("""COMPUTED_VALUE"""),46187.0)</f>
        <v>46187</v>
      </c>
      <c r="C3515" s="122" t="str">
        <f>IFERROR(__xludf.DUMMYFUNCTION("""COMPUTED_VALUE"""),"INSR")</f>
        <v>INSR</v>
      </c>
      <c r="D3515" s="122" t="str">
        <f>IFERROR(__xludf.DUMMYFUNCTION("""COMPUTED_VALUE"""),"Shield Insurance")</f>
        <v>Shield Insurance</v>
      </c>
      <c r="E3515" s="122">
        <f>IFERROR(__xludf.DUMMYFUNCTION("""COMPUTED_VALUE"""),158.72)</f>
        <v>158.72</v>
      </c>
      <c r="F3515" s="122">
        <f>IFERROR(__xludf.DUMMYFUNCTION("""COMPUTED_VALUE"""),-0.0023)</f>
        <v>-0.0023</v>
      </c>
    </row>
    <row r="3516">
      <c r="A3516" s="131">
        <f>IFERROR(__xludf.DUMMYFUNCTION("""COMPUTED_VALUE"""),46187.442453703705)</f>
        <v>46187.44245</v>
      </c>
      <c r="B3516" s="126">
        <f>IFERROR(__xludf.DUMMYFUNCTION("""COMPUTED_VALUE"""),46187.0)</f>
        <v>46187</v>
      </c>
      <c r="C3516" s="122" t="str">
        <f>IFERROR(__xludf.DUMMYFUNCTION("""COMPUTED_VALUE"""),"LOAN")</f>
        <v>LOAN</v>
      </c>
      <c r="D3516" s="122" t="str">
        <f>IFERROR(__xludf.DUMMYFUNCTION("""COMPUTED_VALUE"""),"LoanLab")</f>
        <v>LoanLab</v>
      </c>
      <c r="E3516" s="122">
        <f>IFERROR(__xludf.DUMMYFUNCTION("""COMPUTED_VALUE"""),62.88)</f>
        <v>62.88</v>
      </c>
      <c r="F3516" s="122">
        <f>IFERROR(__xludf.DUMMYFUNCTION("""COMPUTED_VALUE"""),-0.0036)</f>
        <v>-0.0036</v>
      </c>
    </row>
    <row r="3517">
      <c r="A3517" s="131">
        <f>IFERROR(__xludf.DUMMYFUNCTION("""COMPUTED_VALUE"""),46187.442453703705)</f>
        <v>46187.44245</v>
      </c>
      <c r="B3517" s="126">
        <f>IFERROR(__xludf.DUMMYFUNCTION("""COMPUTED_VALUE"""),46187.0)</f>
        <v>46187</v>
      </c>
      <c r="C3517" s="122" t="str">
        <f>IFERROR(__xludf.DUMMYFUNCTION("""COMPUTED_VALUE"""),"LUXE")</f>
        <v>LUXE</v>
      </c>
      <c r="D3517" s="122" t="str">
        <f>IFERROR(__xludf.DUMMYFUNCTION("""COMPUTED_VALUE"""),"Luxury Locker")</f>
        <v>Luxury Locker</v>
      </c>
      <c r="E3517" s="122">
        <f>IFERROR(__xludf.DUMMYFUNCTION("""COMPUTED_VALUE"""),259.08)</f>
        <v>259.08</v>
      </c>
      <c r="F3517" s="122">
        <f>IFERROR(__xludf.DUMMYFUNCTION("""COMPUTED_VALUE"""),0.0036)</f>
        <v>0.0036</v>
      </c>
    </row>
    <row r="3518">
      <c r="A3518" s="131">
        <f>IFERROR(__xludf.DUMMYFUNCTION("""COMPUTED_VALUE"""),46187.442453703705)</f>
        <v>46187.44245</v>
      </c>
      <c r="B3518" s="126">
        <f>IFERROR(__xludf.DUMMYFUNCTION("""COMPUTED_VALUE"""),46187.0)</f>
        <v>46187</v>
      </c>
      <c r="C3518" s="122" t="str">
        <f>IFERROR(__xludf.DUMMYFUNCTION("""COMPUTED_VALUE"""),"DRIP")</f>
        <v>DRIP</v>
      </c>
      <c r="D3518" s="122" t="str">
        <f>IFERROR(__xludf.DUMMYFUNCTION("""COMPUTED_VALUE"""),"Drip Streetwear")</f>
        <v>Drip Streetwear</v>
      </c>
      <c r="E3518" s="122">
        <f>IFERROR(__xludf.DUMMYFUNCTION("""COMPUTED_VALUE"""),199.02)</f>
        <v>199.02</v>
      </c>
      <c r="F3518" s="122">
        <f>IFERROR(__xludf.DUMMYFUNCTION("""COMPUTED_VALUE"""),-0.0047)</f>
        <v>-0.0047</v>
      </c>
    </row>
    <row r="3519">
      <c r="A3519" s="131">
        <f>IFERROR(__xludf.DUMMYFUNCTION("""COMPUTED_VALUE"""),46187.442453703705)</f>
        <v>46187.44245</v>
      </c>
      <c r="B3519" s="126">
        <f>IFERROR(__xludf.DUMMYFUNCTION("""COMPUTED_VALUE"""),46187.0)</f>
        <v>46187</v>
      </c>
      <c r="C3519" s="122" t="str">
        <f>IFERROR(__xludf.DUMMYFUNCTION("""COMPUTED_VALUE"""),"KICK")</f>
        <v>KICK</v>
      </c>
      <c r="D3519" s="122" t="str">
        <f>IFERROR(__xludf.DUMMYFUNCTION("""COMPUTED_VALUE"""),"KickDrop Sneakers")</f>
        <v>KickDrop Sneakers</v>
      </c>
      <c r="E3519" s="122">
        <f>IFERROR(__xludf.DUMMYFUNCTION("""COMPUTED_VALUE"""),170.53)</f>
        <v>170.53</v>
      </c>
      <c r="F3519" s="122">
        <f>IFERROR(__xludf.DUMMYFUNCTION("""COMPUTED_VALUE"""),-0.0033)</f>
        <v>-0.0033</v>
      </c>
    </row>
    <row r="3520">
      <c r="A3520" s="131">
        <f>IFERROR(__xludf.DUMMYFUNCTION("""COMPUTED_VALUE"""),46187.442453703705)</f>
        <v>46187.44245</v>
      </c>
      <c r="B3520" s="126">
        <f>IFERROR(__xludf.DUMMYFUNCTION("""COMPUTED_VALUE"""),46187.0)</f>
        <v>46187</v>
      </c>
      <c r="C3520" s="122" t="str">
        <f>IFERROR(__xludf.DUMMYFUNCTION("""COMPUTED_VALUE"""),"GLAM")</f>
        <v>GLAM</v>
      </c>
      <c r="D3520" s="122" t="str">
        <f>IFERROR(__xludf.DUMMYFUNCTION("""COMPUTED_VALUE"""),"Glow Cosmetics")</f>
        <v>Glow Cosmetics</v>
      </c>
      <c r="E3520" s="122">
        <f>IFERROR(__xludf.DUMMYFUNCTION("""COMPUTED_VALUE"""),99.51)</f>
        <v>99.51</v>
      </c>
      <c r="F3520" s="122">
        <f>IFERROR(__xludf.DUMMYFUNCTION("""COMPUTED_VALUE"""),0.0053)</f>
        <v>0.0053</v>
      </c>
    </row>
    <row r="3521">
      <c r="A3521" s="131">
        <f>IFERROR(__xludf.DUMMYFUNCTION("""COMPUTED_VALUE"""),46187.442453703705)</f>
        <v>46187.44245</v>
      </c>
      <c r="B3521" s="126">
        <f>IFERROR(__xludf.DUMMYFUNCTION("""COMPUTED_VALUE"""),46187.0)</f>
        <v>46187</v>
      </c>
      <c r="C3521" s="122" t="str">
        <f>IFERROR(__xludf.DUMMYFUNCTION("""COMPUTED_VALUE"""),"BAGG")</f>
        <v>BAGG</v>
      </c>
      <c r="D3521" s="122" t="str">
        <f>IFERROR(__xludf.DUMMYFUNCTION("""COMPUTED_VALUE"""),"BagVault")</f>
        <v>BagVault</v>
      </c>
      <c r="E3521" s="122">
        <f>IFERROR(__xludf.DUMMYFUNCTION("""COMPUTED_VALUE"""),252.13)</f>
        <v>252.13</v>
      </c>
      <c r="F3521" s="122">
        <f>IFERROR(__xludf.DUMMYFUNCTION("""COMPUTED_VALUE"""),7.0E-4)</f>
        <v>0.0007</v>
      </c>
    </row>
    <row r="3522">
      <c r="A3522" s="131">
        <f>IFERROR(__xludf.DUMMYFUNCTION("""COMPUTED_VALUE"""),46187.442453703705)</f>
        <v>46187.44245</v>
      </c>
      <c r="B3522" s="126">
        <f>IFERROR(__xludf.DUMMYFUNCTION("""COMPUTED_VALUE"""),46187.0)</f>
        <v>46187</v>
      </c>
      <c r="C3522" s="122" t="str">
        <f>IFERROR(__xludf.DUMMYFUNCTION("""COMPUTED_VALUE"""),"FAST")</f>
        <v>FAST</v>
      </c>
      <c r="D3522" s="122" t="str">
        <f>IFERROR(__xludf.DUMMYFUNCTION("""COMPUTED_VALUE"""),"Flash Logistics")</f>
        <v>Flash Logistics</v>
      </c>
      <c r="E3522" s="122">
        <f>IFERROR(__xludf.DUMMYFUNCTION("""COMPUTED_VALUE"""),103.11)</f>
        <v>103.11</v>
      </c>
      <c r="F3522" s="122">
        <f>IFERROR(__xludf.DUMMYFUNCTION("""COMPUTED_VALUE"""),0.0021)</f>
        <v>0.0021</v>
      </c>
    </row>
    <row r="3523">
      <c r="A3523" s="131">
        <f>IFERROR(__xludf.DUMMYFUNCTION("""COMPUTED_VALUE"""),46187.442453703705)</f>
        <v>46187.44245</v>
      </c>
      <c r="B3523" s="126">
        <f>IFERROR(__xludf.DUMMYFUNCTION("""COMPUTED_VALUE"""),46187.0)</f>
        <v>46187</v>
      </c>
      <c r="C3523" s="122" t="str">
        <f>IFERROR(__xludf.DUMMYFUNCTION("""COMPUTED_VALUE"""),"SHIP")</f>
        <v>SHIP</v>
      </c>
      <c r="D3523" s="122" t="str">
        <f>IFERROR(__xludf.DUMMYFUNCTION("""COMPUTED_VALUE"""),"Seoul Shipping")</f>
        <v>Seoul Shipping</v>
      </c>
      <c r="E3523" s="122">
        <f>IFERROR(__xludf.DUMMYFUNCTION("""COMPUTED_VALUE"""),120.47)</f>
        <v>120.47</v>
      </c>
      <c r="F3523" s="122">
        <f>IFERROR(__xludf.DUMMYFUNCTION("""COMPUTED_VALUE"""),0.0071)</f>
        <v>0.0071</v>
      </c>
    </row>
    <row r="3524">
      <c r="A3524" s="131">
        <f>IFERROR(__xludf.DUMMYFUNCTION("""COMPUTED_VALUE"""),46187.442453703705)</f>
        <v>46187.44245</v>
      </c>
      <c r="B3524" s="126">
        <f>IFERROR(__xludf.DUMMYFUNCTION("""COMPUTED_VALUE"""),46187.0)</f>
        <v>46187</v>
      </c>
      <c r="C3524" s="122" t="str">
        <f>IFERROR(__xludf.DUMMYFUNCTION("""COMPUTED_VALUE"""),"DRON")</f>
        <v>DRON</v>
      </c>
      <c r="D3524" s="122" t="str">
        <f>IFERROR(__xludf.DUMMYFUNCTION("""COMPUTED_VALUE"""),"DroneDrop")</f>
        <v>DroneDrop</v>
      </c>
      <c r="E3524" s="122">
        <f>IFERROR(__xludf.DUMMYFUNCTION("""COMPUTED_VALUE"""),132.03)</f>
        <v>132.03</v>
      </c>
      <c r="F3524" s="122">
        <f>IFERROR(__xludf.DUMMYFUNCTION("""COMPUTED_VALUE"""),-0.0031)</f>
        <v>-0.0031</v>
      </c>
    </row>
    <row r="3525">
      <c r="A3525" s="131">
        <f>IFERROR(__xludf.DUMMYFUNCTION("""COMPUTED_VALUE"""),46187.442453703705)</f>
        <v>46187.44245</v>
      </c>
      <c r="B3525" s="126">
        <f>IFERROR(__xludf.DUMMYFUNCTION("""COMPUTED_VALUE"""),46187.0)</f>
        <v>46187</v>
      </c>
      <c r="C3525" s="122" t="str">
        <f>IFERROR(__xludf.DUMMYFUNCTION("""COMPUTED_VALUE"""),"RIDE")</f>
        <v>RIDE</v>
      </c>
      <c r="D3525" s="122" t="str">
        <f>IFERROR(__xludf.DUMMYFUNCTION("""COMPUTED_VALUE"""),"QuickRide")</f>
        <v>QuickRide</v>
      </c>
      <c r="E3525" s="122">
        <f>IFERROR(__xludf.DUMMYFUNCTION("""COMPUTED_VALUE"""),94.99)</f>
        <v>94.99</v>
      </c>
      <c r="F3525" s="122">
        <f>IFERROR(__xludf.DUMMYFUNCTION("""COMPUTED_VALUE"""),-0.009)</f>
        <v>-0.009</v>
      </c>
    </row>
    <row r="3526">
      <c r="A3526" s="131">
        <f>IFERROR(__xludf.DUMMYFUNCTION("""COMPUTED_VALUE"""),46187.442453703705)</f>
        <v>46187.44245</v>
      </c>
      <c r="B3526" s="126">
        <f>IFERROR(__xludf.DUMMYFUNCTION("""COMPUTED_VALUE"""),46187.0)</f>
        <v>46187</v>
      </c>
      <c r="C3526" s="122" t="str">
        <f>IFERROR(__xludf.DUMMYFUNCTION("""COMPUTED_VALUE"""),"RAIL")</f>
        <v>RAIL</v>
      </c>
      <c r="D3526" s="122" t="str">
        <f>IFERROR(__xludf.DUMMYFUNCTION("""COMPUTED_VALUE"""),"MetroRail Corp")</f>
        <v>MetroRail Corp</v>
      </c>
      <c r="E3526" s="122">
        <f>IFERROR(__xludf.DUMMYFUNCTION("""COMPUTED_VALUE"""),134.95)</f>
        <v>134.95</v>
      </c>
      <c r="F3526" s="122">
        <f>IFERROR(__xludf.DUMMYFUNCTION("""COMPUTED_VALUE"""),-4.0E-4)</f>
        <v>-0.0004</v>
      </c>
    </row>
    <row r="3527">
      <c r="A3527" s="131">
        <f>IFERROR(__xludf.DUMMYFUNCTION("""COMPUTED_VALUE"""),46187.442453703705)</f>
        <v>46187.44245</v>
      </c>
      <c r="B3527" s="126">
        <f>IFERROR(__xludf.DUMMYFUNCTION("""COMPUTED_VALUE"""),46187.0)</f>
        <v>46187</v>
      </c>
      <c r="C3527" s="122" t="str">
        <f>IFERROR(__xludf.DUMMYFUNCTION("""COMPUTED_VALUE"""),"MEDX")</f>
        <v>MEDX</v>
      </c>
      <c r="D3527" s="122" t="str">
        <f>IFERROR(__xludf.DUMMYFUNCTION("""COMPUTED_VALUE"""),"MediCore")</f>
        <v>MediCore</v>
      </c>
      <c r="E3527" s="122">
        <f>IFERROR(__xludf.DUMMYFUNCTION("""COMPUTED_VALUE"""),138.03)</f>
        <v>138.03</v>
      </c>
      <c r="F3527" s="122">
        <f>IFERROR(__xludf.DUMMYFUNCTION("""COMPUTED_VALUE"""),-0.0017)</f>
        <v>-0.0017</v>
      </c>
    </row>
    <row r="3528">
      <c r="A3528" s="131">
        <f>IFERROR(__xludf.DUMMYFUNCTION("""COMPUTED_VALUE"""),46187.442453703705)</f>
        <v>46187.44245</v>
      </c>
      <c r="B3528" s="126">
        <f>IFERROR(__xludf.DUMMYFUNCTION("""COMPUTED_VALUE"""),46187.0)</f>
        <v>46187</v>
      </c>
      <c r="C3528" s="122" t="str">
        <f>IFERROR(__xludf.DUMMYFUNCTION("""COMPUTED_VALUE"""),"GYMX")</f>
        <v>GYMX</v>
      </c>
      <c r="D3528" s="122" t="str">
        <f>IFERROR(__xludf.DUMMYFUNCTION("""COMPUTED_VALUE"""),"GymX Fitness")</f>
        <v>GymX Fitness</v>
      </c>
      <c r="E3528" s="122">
        <f>IFERROR(__xludf.DUMMYFUNCTION("""COMPUTED_VALUE"""),86.17)</f>
        <v>86.17</v>
      </c>
      <c r="F3528" s="122">
        <f>IFERROR(__xludf.DUMMYFUNCTION("""COMPUTED_VALUE"""),0.0048)</f>
        <v>0.0048</v>
      </c>
    </row>
    <row r="3529">
      <c r="A3529" s="131">
        <f>IFERROR(__xludf.DUMMYFUNCTION("""COMPUTED_VALUE"""),46187.442453703705)</f>
        <v>46187.44245</v>
      </c>
      <c r="B3529" s="126">
        <f>IFERROR(__xludf.DUMMYFUNCTION("""COMPUTED_VALUE"""),46187.0)</f>
        <v>46187</v>
      </c>
      <c r="C3529" s="122" t="str">
        <f>IFERROR(__xludf.DUMMYFUNCTION("""COMPUTED_VALUE"""),"VITA")</f>
        <v>VITA</v>
      </c>
      <c r="D3529" s="122" t="str">
        <f>IFERROR(__xludf.DUMMYFUNCTION("""COMPUTED_VALUE"""),"VitaPlus")</f>
        <v>VitaPlus</v>
      </c>
      <c r="E3529" s="122">
        <f>IFERROR(__xludf.DUMMYFUNCTION("""COMPUTED_VALUE"""),75.12)</f>
        <v>75.12</v>
      </c>
      <c r="F3529" s="122">
        <f>IFERROR(__xludf.DUMMYFUNCTION("""COMPUTED_VALUE"""),8.0E-4)</f>
        <v>0.0008</v>
      </c>
    </row>
    <row r="3530">
      <c r="A3530" s="131">
        <f>IFERROR(__xludf.DUMMYFUNCTION("""COMPUTED_VALUE"""),46187.442453703705)</f>
        <v>46187.44245</v>
      </c>
      <c r="B3530" s="126">
        <f>IFERROR(__xludf.DUMMYFUNCTION("""COMPUTED_VALUE"""),46187.0)</f>
        <v>46187</v>
      </c>
      <c r="C3530" s="122" t="str">
        <f>IFERROR(__xludf.DUMMYFUNCTION("""COMPUTED_VALUE"""),"CARE")</f>
        <v>CARE</v>
      </c>
      <c r="D3530" s="122" t="str">
        <f>IFERROR(__xludf.DUMMYFUNCTION("""COMPUTED_VALUE"""),"CareCloud")</f>
        <v>CareCloud</v>
      </c>
      <c r="E3530" s="122">
        <f>IFERROR(__xludf.DUMMYFUNCTION("""COMPUTED_VALUE"""),176.54)</f>
        <v>176.54</v>
      </c>
      <c r="F3530" s="122">
        <f>IFERROR(__xludf.DUMMYFUNCTION("""COMPUTED_VALUE"""),-0.0021)</f>
        <v>-0.0021</v>
      </c>
    </row>
    <row r="3531">
      <c r="A3531" s="131">
        <f>IFERROR(__xludf.DUMMYFUNCTION("""COMPUTED_VALUE"""),46187.442453703705)</f>
        <v>46187.44245</v>
      </c>
      <c r="B3531" s="126">
        <f>IFERROR(__xludf.DUMMYFUNCTION("""COMPUTED_VALUE"""),46187.0)</f>
        <v>46187</v>
      </c>
      <c r="C3531" s="122" t="str">
        <f>IFERROR(__xludf.DUMMYFUNCTION("""COMPUTED_VALUE"""),"DENT")</f>
        <v>DENT</v>
      </c>
      <c r="D3531" s="122" t="str">
        <f>IFERROR(__xludf.DUMMYFUNCTION("""COMPUTED_VALUE"""),"SmileWorks")</f>
        <v>SmileWorks</v>
      </c>
      <c r="E3531" s="122">
        <f>IFERROR(__xludf.DUMMYFUNCTION("""COMPUTED_VALUE"""),84.06)</f>
        <v>84.06</v>
      </c>
      <c r="F3531" s="122">
        <f>IFERROR(__xludf.DUMMYFUNCTION("""COMPUTED_VALUE"""),-0.0026)</f>
        <v>-0.0026</v>
      </c>
    </row>
    <row r="3532">
      <c r="A3532" s="131">
        <f>IFERROR(__xludf.DUMMYFUNCTION("""COMPUTED_VALUE"""),46187.442453703705)</f>
        <v>46187.44245</v>
      </c>
      <c r="B3532" s="126">
        <f>IFERROR(__xludf.DUMMYFUNCTION("""COMPUTED_VALUE"""),46187.0)</f>
        <v>46187</v>
      </c>
      <c r="C3532" s="122" t="str">
        <f>IFERROR(__xludf.DUMMYFUNCTION("""COMPUTED_VALUE"""),"EDUX")</f>
        <v>EDUX</v>
      </c>
      <c r="D3532" s="122" t="str">
        <f>IFERROR(__xludf.DUMMYFUNCTION("""COMPUTED_VALUE"""),"EduMax Learning")</f>
        <v>EduMax Learning</v>
      </c>
      <c r="E3532" s="122">
        <f>IFERROR(__xludf.DUMMYFUNCTION("""COMPUTED_VALUE"""),135.21)</f>
        <v>135.21</v>
      </c>
      <c r="F3532" s="122">
        <f>IFERROR(__xludf.DUMMYFUNCTION("""COMPUTED_VALUE"""),-0.0035)</f>
        <v>-0.0035</v>
      </c>
    </row>
    <row r="3533">
      <c r="A3533" s="131">
        <f>IFERROR(__xludf.DUMMYFUNCTION("""COMPUTED_VALUE"""),46187.442453703705)</f>
        <v>46187.44245</v>
      </c>
      <c r="B3533" s="126">
        <f>IFERROR(__xludf.DUMMYFUNCTION("""COMPUTED_VALUE"""),46187.0)</f>
        <v>46187</v>
      </c>
      <c r="C3533" s="122" t="str">
        <f>IFERROR(__xludf.DUMMYFUNCTION("""COMPUTED_VALUE"""),"BOOK")</f>
        <v>BOOK</v>
      </c>
      <c r="D3533" s="122" t="str">
        <f>IFERROR(__xludf.DUMMYFUNCTION("""COMPUTED_VALUE"""),"BookBridge")</f>
        <v>BookBridge</v>
      </c>
      <c r="E3533" s="122">
        <f>IFERROR(__xludf.DUMMYFUNCTION("""COMPUTED_VALUE"""),115.55)</f>
        <v>115.55</v>
      </c>
      <c r="F3533" s="122">
        <f>IFERROR(__xludf.DUMMYFUNCTION("""COMPUTED_VALUE"""),-0.002)</f>
        <v>-0.002</v>
      </c>
    </row>
    <row r="3534">
      <c r="A3534" s="131">
        <f>IFERROR(__xludf.DUMMYFUNCTION("""COMPUTED_VALUE"""),46187.442453703705)</f>
        <v>46187.44245</v>
      </c>
      <c r="B3534" s="126">
        <f>IFERROR(__xludf.DUMMYFUNCTION("""COMPUTED_VALUE"""),46187.0)</f>
        <v>46187</v>
      </c>
      <c r="C3534" s="122" t="str">
        <f>IFERROR(__xludf.DUMMYFUNCTION("""COMPUTED_VALUE"""),"TUTR")</f>
        <v>TUTR</v>
      </c>
      <c r="D3534" s="122" t="str">
        <f>IFERROR(__xludf.DUMMYFUNCTION("""COMPUTED_VALUE"""),"TutorTown")</f>
        <v>TutorTown</v>
      </c>
      <c r="E3534" s="122">
        <f>IFERROR(__xludf.DUMMYFUNCTION("""COMPUTED_VALUE"""),88.24)</f>
        <v>88.24</v>
      </c>
      <c r="F3534" s="122">
        <f>IFERROR(__xludf.DUMMYFUNCTION("""COMPUTED_VALUE"""),-0.0062)</f>
        <v>-0.0062</v>
      </c>
    </row>
    <row r="3535">
      <c r="A3535" s="131">
        <f>IFERROR(__xludf.DUMMYFUNCTION("""COMPUTED_VALUE"""),46187.442453703705)</f>
        <v>46187.44245</v>
      </c>
      <c r="B3535" s="126">
        <f>IFERROR(__xludf.DUMMYFUNCTION("""COMPUTED_VALUE"""),46187.0)</f>
        <v>46187</v>
      </c>
      <c r="C3535" s="122" t="str">
        <f>IFERROR(__xludf.DUMMYFUNCTION("""COMPUTED_VALUE"""),"LANG")</f>
        <v>LANG</v>
      </c>
      <c r="D3535" s="122" t="str">
        <f>IFERROR(__xludf.DUMMYFUNCTION("""COMPUTED_VALUE"""),"LinguaLab")</f>
        <v>LinguaLab</v>
      </c>
      <c r="E3535" s="122">
        <f>IFERROR(__xludf.DUMMYFUNCTION("""COMPUTED_VALUE"""),97.93)</f>
        <v>97.93</v>
      </c>
      <c r="F3535" s="122">
        <f>IFERROR(__xludf.DUMMYFUNCTION("""COMPUTED_VALUE"""),4.0E-4)</f>
        <v>0.0004</v>
      </c>
    </row>
    <row r="3536">
      <c r="A3536" s="131">
        <f>IFERROR(__xludf.DUMMYFUNCTION("""COMPUTED_VALUE"""),46187.442453703705)</f>
        <v>46187.44245</v>
      </c>
      <c r="B3536" s="126">
        <f>IFERROR(__xludf.DUMMYFUNCTION("""COMPUTED_VALUE"""),46187.0)</f>
        <v>46187</v>
      </c>
      <c r="C3536" s="122" t="str">
        <f>IFERROR(__xludf.DUMMYFUNCTION("""COMPUTED_VALUE"""),"TEST")</f>
        <v>TEST</v>
      </c>
      <c r="D3536" s="122" t="str">
        <f>IFERROR(__xludf.DUMMYFUNCTION("""COMPUTED_VALUE"""),"TestPrep Pro")</f>
        <v>TestPrep Pro</v>
      </c>
      <c r="E3536" s="122">
        <f>IFERROR(__xludf.DUMMYFUNCTION("""COMPUTED_VALUE"""),98.71)</f>
        <v>98.71</v>
      </c>
      <c r="F3536" s="122">
        <f>IFERROR(__xludf.DUMMYFUNCTION("""COMPUTED_VALUE"""),0.0036)</f>
        <v>0.0036</v>
      </c>
    </row>
    <row r="3537">
      <c r="A3537" s="131">
        <f>IFERROR(__xludf.DUMMYFUNCTION("""COMPUTED_VALUE"""),46187.442453703705)</f>
        <v>46187.44245</v>
      </c>
      <c r="B3537" s="126">
        <f>IFERROR(__xludf.DUMMYFUNCTION("""COMPUTED_VALUE"""),46187.0)</f>
        <v>46187</v>
      </c>
      <c r="C3537" s="122" t="str">
        <f>IFERROR(__xludf.DUMMYFUNCTION("""COMPUTED_VALUE"""),"MOVI")</f>
        <v>MOVI</v>
      </c>
      <c r="D3537" s="122" t="str">
        <f>IFERROR(__xludf.DUMMYFUNCTION("""COMPUTED_VALUE"""),"MovieBox")</f>
        <v>MovieBox</v>
      </c>
      <c r="E3537" s="122">
        <f>IFERROR(__xludf.DUMMYFUNCTION("""COMPUTED_VALUE"""),81.72)</f>
        <v>81.72</v>
      </c>
      <c r="F3537" s="122">
        <f>IFERROR(__xludf.DUMMYFUNCTION("""COMPUTED_VALUE"""),0.0039)</f>
        <v>0.0039</v>
      </c>
    </row>
    <row r="3538">
      <c r="A3538" s="131">
        <f>IFERROR(__xludf.DUMMYFUNCTION("""COMPUTED_VALUE"""),46187.442453703705)</f>
        <v>46187.44245</v>
      </c>
      <c r="B3538" s="126">
        <f>IFERROR(__xludf.DUMMYFUNCTION("""COMPUTED_VALUE"""),46187.0)</f>
        <v>46187</v>
      </c>
      <c r="C3538" s="122" t="str">
        <f>IFERROR(__xludf.DUMMYFUNCTION("""COMPUTED_VALUE"""),"MUSC")</f>
        <v>MUSC</v>
      </c>
      <c r="D3538" s="122" t="str">
        <f>IFERROR(__xludf.DUMMYFUNCTION("""COMPUTED_VALUE"""),"MusicWave")</f>
        <v>MusicWave</v>
      </c>
      <c r="E3538" s="122">
        <f>IFERROR(__xludf.DUMMYFUNCTION("""COMPUTED_VALUE"""),97.46)</f>
        <v>97.46</v>
      </c>
      <c r="F3538" s="122">
        <f>IFERROR(__xludf.DUMMYFUNCTION("""COMPUTED_VALUE"""),0.0062)</f>
        <v>0.0062</v>
      </c>
    </row>
    <row r="3539">
      <c r="A3539" s="131">
        <f>IFERROR(__xludf.DUMMYFUNCTION("""COMPUTED_VALUE"""),46187.442453703705)</f>
        <v>46187.44245</v>
      </c>
      <c r="B3539" s="126">
        <f>IFERROR(__xludf.DUMMYFUNCTION("""COMPUTED_VALUE"""),46187.0)</f>
        <v>46187</v>
      </c>
      <c r="C3539" s="122" t="str">
        <f>IFERROR(__xludf.DUMMYFUNCTION("""COMPUTED_VALUE"""),"IDOL")</f>
        <v>IDOL</v>
      </c>
      <c r="D3539" s="122" t="str">
        <f>IFERROR(__xludf.DUMMYFUNCTION("""COMPUTED_VALUE"""),"Idol Agency")</f>
        <v>Idol Agency</v>
      </c>
      <c r="E3539" s="122">
        <f>IFERROR(__xludf.DUMMYFUNCTION("""COMPUTED_VALUE"""),198.89)</f>
        <v>198.89</v>
      </c>
      <c r="F3539" s="122">
        <f>IFERROR(__xludf.DUMMYFUNCTION("""COMPUTED_VALUE"""),0.0056)</f>
        <v>0.0056</v>
      </c>
    </row>
    <row r="3540">
      <c r="A3540" s="131">
        <f>IFERROR(__xludf.DUMMYFUNCTION("""COMPUTED_VALUE"""),46187.442453703705)</f>
        <v>46187.44245</v>
      </c>
      <c r="B3540" s="126">
        <f>IFERROR(__xludf.DUMMYFUNCTION("""COMPUTED_VALUE"""),46187.0)</f>
        <v>46187</v>
      </c>
      <c r="C3540" s="122" t="str">
        <f>IFERROR(__xludf.DUMMYFUNCTION("""COMPUTED_VALUE"""),"MEME")</f>
        <v>MEME</v>
      </c>
      <c r="D3540" s="122" t="str">
        <f>IFERROR(__xludf.DUMMYFUNCTION("""COMPUTED_VALUE"""),"Meme Media")</f>
        <v>Meme Media</v>
      </c>
      <c r="E3540" s="122">
        <f>IFERROR(__xludf.DUMMYFUNCTION("""COMPUTED_VALUE"""),76.22)</f>
        <v>76.22</v>
      </c>
      <c r="F3540" s="122">
        <f>IFERROR(__xludf.DUMMYFUNCTION("""COMPUTED_VALUE"""),-0.0141)</f>
        <v>-0.0141</v>
      </c>
    </row>
    <row r="3541">
      <c r="A3541" s="131">
        <f>IFERROR(__xludf.DUMMYFUNCTION("""COMPUTED_VALUE"""),46187.442453703705)</f>
        <v>46187.44245</v>
      </c>
      <c r="B3541" s="126">
        <f>IFERROR(__xludf.DUMMYFUNCTION("""COMPUTED_VALUE"""),46187.0)</f>
        <v>46187</v>
      </c>
      <c r="C3541" s="122" t="str">
        <f>IFERROR(__xludf.DUMMYFUNCTION("""COMPUTED_VALUE"""),"STRM")</f>
        <v>STRM</v>
      </c>
      <c r="D3541" s="122" t="str">
        <f>IFERROR(__xludf.DUMMYFUNCTION("""COMPUTED_VALUE"""),"Streamly")</f>
        <v>Streamly</v>
      </c>
      <c r="E3541" s="122">
        <f>IFERROR(__xludf.DUMMYFUNCTION("""COMPUTED_VALUE"""),140.17)</f>
        <v>140.17</v>
      </c>
      <c r="F3541" s="122">
        <f>IFERROR(__xludf.DUMMYFUNCTION("""COMPUTED_VALUE"""),-0.0061)</f>
        <v>-0.0061</v>
      </c>
    </row>
    <row r="3542">
      <c r="A3542" s="131">
        <f>IFERROR(__xludf.DUMMYFUNCTION("""COMPUTED_VALUE"""),46187.442453703705)</f>
        <v>46187.44245</v>
      </c>
      <c r="B3542" s="126">
        <f>IFERROR(__xludf.DUMMYFUNCTION("""COMPUTED_VALUE"""),46187.0)</f>
        <v>46187</v>
      </c>
      <c r="C3542" s="122" t="str">
        <f>IFERROR(__xludf.DUMMYFUNCTION("""COMPUTED_VALUE"""),"FARM")</f>
        <v>FARM</v>
      </c>
      <c r="D3542" s="122" t="str">
        <f>IFERROR(__xludf.DUMMYFUNCTION("""COMPUTED_VALUE"""),"Future Farms")</f>
        <v>Future Farms</v>
      </c>
      <c r="E3542" s="122">
        <f>IFERROR(__xludf.DUMMYFUNCTION("""COMPUTED_VALUE"""),84.76)</f>
        <v>84.76</v>
      </c>
      <c r="F3542" s="122">
        <f>IFERROR(__xludf.DUMMYFUNCTION("""COMPUTED_VALUE"""),0.0039)</f>
        <v>0.0039</v>
      </c>
    </row>
    <row r="3543">
      <c r="A3543" s="131">
        <f>IFERROR(__xludf.DUMMYFUNCTION("""COMPUTED_VALUE"""),46187.442453703705)</f>
        <v>46187.44245</v>
      </c>
      <c r="B3543" s="126">
        <f>IFERROR(__xludf.DUMMYFUNCTION("""COMPUTED_VALUE"""),46187.0)</f>
        <v>46187</v>
      </c>
      <c r="C3543" s="122" t="str">
        <f>IFERROR(__xludf.DUMMYFUNCTION("""COMPUTED_VALUE"""),"MEAT")</f>
        <v>MEAT</v>
      </c>
      <c r="D3543" s="122" t="str">
        <f>IFERROR(__xludf.DUMMYFUNCTION("""COMPUTED_VALUE"""),"MeatWorks")</f>
        <v>MeatWorks</v>
      </c>
      <c r="E3543" s="122">
        <f>IFERROR(__xludf.DUMMYFUNCTION("""COMPUTED_VALUE"""),103.69)</f>
        <v>103.69</v>
      </c>
      <c r="F3543" s="122">
        <f>IFERROR(__xludf.DUMMYFUNCTION("""COMPUTED_VALUE"""),0.0029)</f>
        <v>0.0029</v>
      </c>
    </row>
    <row r="3544">
      <c r="A3544" s="131">
        <f>IFERROR(__xludf.DUMMYFUNCTION("""COMPUTED_VALUE"""),46187.442453703705)</f>
        <v>46187.44245</v>
      </c>
      <c r="B3544" s="126">
        <f>IFERROR(__xludf.DUMMYFUNCTION("""COMPUTED_VALUE"""),46187.0)</f>
        <v>46187</v>
      </c>
      <c r="C3544" s="122" t="str">
        <f>IFERROR(__xludf.DUMMYFUNCTION("""COMPUTED_VALUE"""),"VEGI")</f>
        <v>VEGI</v>
      </c>
      <c r="D3544" s="122" t="str">
        <f>IFERROR(__xludf.DUMMYFUNCTION("""COMPUTED_VALUE"""),"Green Basket")</f>
        <v>Green Basket</v>
      </c>
      <c r="E3544" s="122">
        <f>IFERROR(__xludf.DUMMYFUNCTION("""COMPUTED_VALUE"""),81.48)</f>
        <v>81.48</v>
      </c>
      <c r="F3544" s="122">
        <f>IFERROR(__xludf.DUMMYFUNCTION("""COMPUTED_VALUE"""),-7.0E-4)</f>
        <v>-0.0007</v>
      </c>
    </row>
    <row r="3545">
      <c r="A3545" s="131">
        <f>IFERROR(__xludf.DUMMYFUNCTION("""COMPUTED_VALUE"""),46187.442453703705)</f>
        <v>46187.44245</v>
      </c>
      <c r="B3545" s="126">
        <f>IFERROR(__xludf.DUMMYFUNCTION("""COMPUTED_VALUE"""),46187.0)</f>
        <v>46187</v>
      </c>
      <c r="C3545" s="122" t="str">
        <f>IFERROR(__xludf.DUMMYFUNCTION("""COMPUTED_VALUE"""),"CAFE")</f>
        <v>CAFE</v>
      </c>
      <c r="D3545" s="122" t="str">
        <f>IFERROR(__xludf.DUMMYFUNCTION("""COMPUTED_VALUE"""),"Cafe Cloud")</f>
        <v>Cafe Cloud</v>
      </c>
      <c r="E3545" s="122">
        <f>IFERROR(__xludf.DUMMYFUNCTION("""COMPUTED_VALUE"""),101.4)</f>
        <v>101.4</v>
      </c>
      <c r="F3545" s="122">
        <f>IFERROR(__xludf.DUMMYFUNCTION("""COMPUTED_VALUE"""),-2.0E-4)</f>
        <v>-0.0002</v>
      </c>
    </row>
    <row r="3546">
      <c r="A3546" s="131">
        <f>IFERROR(__xludf.DUMMYFUNCTION("""COMPUTED_VALUE"""),46187.442453703705)</f>
        <v>46187.44245</v>
      </c>
      <c r="B3546" s="126">
        <f>IFERROR(__xludf.DUMMYFUNCTION("""COMPUTED_VALUE"""),46187.0)</f>
        <v>46187</v>
      </c>
      <c r="C3546" s="122" t="str">
        <f>IFERROR(__xludf.DUMMYFUNCTION("""COMPUTED_VALUE"""),"BAKE")</f>
        <v>BAKE</v>
      </c>
      <c r="D3546" s="122" t="str">
        <f>IFERROR(__xludf.DUMMYFUNCTION("""COMPUTED_VALUE"""),"BakeHouse")</f>
        <v>BakeHouse</v>
      </c>
      <c r="E3546" s="122">
        <f>IFERROR(__xludf.DUMMYFUNCTION("""COMPUTED_VALUE"""),100.78)</f>
        <v>100.78</v>
      </c>
      <c r="F3546" s="122">
        <f>IFERROR(__xludf.DUMMYFUNCTION("""COMPUTED_VALUE"""),0.0021)</f>
        <v>0.0021</v>
      </c>
    </row>
    <row r="3547">
      <c r="A3547" s="131">
        <f>IFERROR(__xludf.DUMMYFUNCTION("""COMPUTED_VALUE"""),46187.442453703705)</f>
        <v>46187.44245</v>
      </c>
      <c r="B3547" s="126">
        <f>IFERROR(__xludf.DUMMYFUNCTION("""COMPUTED_VALUE"""),46187.0)</f>
        <v>46187</v>
      </c>
      <c r="C3547" s="122" t="str">
        <f>IFERROR(__xludf.DUMMYFUNCTION("""COMPUTED_VALUE"""),"OILX")</f>
        <v>OILX</v>
      </c>
      <c r="D3547" s="122" t="str">
        <f>IFERROR(__xludf.DUMMYFUNCTION("""COMPUTED_VALUE"""),"OilMax Energy")</f>
        <v>OilMax Energy</v>
      </c>
      <c r="E3547" s="122">
        <f>IFERROR(__xludf.DUMMYFUNCTION("""COMPUTED_VALUE"""),131.24)</f>
        <v>131.24</v>
      </c>
      <c r="F3547" s="122">
        <f>IFERROR(__xludf.DUMMYFUNCTION("""COMPUTED_VALUE"""),-0.0067)</f>
        <v>-0.0067</v>
      </c>
    </row>
    <row r="3548">
      <c r="A3548" s="131">
        <f>IFERROR(__xludf.DUMMYFUNCTION("""COMPUTED_VALUE"""),46187.442453703705)</f>
        <v>46187.44245</v>
      </c>
      <c r="B3548" s="126">
        <f>IFERROR(__xludf.DUMMYFUNCTION("""COMPUTED_VALUE"""),46187.0)</f>
        <v>46187</v>
      </c>
      <c r="C3548" s="122" t="str">
        <f>IFERROR(__xludf.DUMMYFUNCTION("""COMPUTED_VALUE"""),"SOLR")</f>
        <v>SOLR</v>
      </c>
      <c r="D3548" s="122" t="str">
        <f>IFERROR(__xludf.DUMMYFUNCTION("""COMPUTED_VALUE"""),"SolarSpark")</f>
        <v>SolarSpark</v>
      </c>
      <c r="E3548" s="122">
        <f>IFERROR(__xludf.DUMMYFUNCTION("""COMPUTED_VALUE"""),89.12)</f>
        <v>89.12</v>
      </c>
      <c r="F3548" s="122">
        <f>IFERROR(__xludf.DUMMYFUNCTION("""COMPUTED_VALUE"""),0.0058)</f>
        <v>0.0058</v>
      </c>
    </row>
    <row r="3549">
      <c r="A3549" s="131">
        <f>IFERROR(__xludf.DUMMYFUNCTION("""COMPUTED_VALUE"""),46187.442453703705)</f>
        <v>46187.44245</v>
      </c>
      <c r="B3549" s="126">
        <f>IFERROR(__xludf.DUMMYFUNCTION("""COMPUTED_VALUE"""),46187.0)</f>
        <v>46187</v>
      </c>
      <c r="C3549" s="122" t="str">
        <f>IFERROR(__xludf.DUMMYFUNCTION("""COMPUTED_VALUE"""),"BATT")</f>
        <v>BATT</v>
      </c>
      <c r="D3549" s="122" t="str">
        <f>IFERROR(__xludf.DUMMYFUNCTION("""COMPUTED_VALUE"""),"BatteryBox")</f>
        <v>BatteryBox</v>
      </c>
      <c r="E3549" s="122">
        <f>IFERROR(__xludf.DUMMYFUNCTION("""COMPUTED_VALUE"""),121.71)</f>
        <v>121.71</v>
      </c>
      <c r="F3549" s="122">
        <f>IFERROR(__xludf.DUMMYFUNCTION("""COMPUTED_VALUE"""),0.0073)</f>
        <v>0.0073</v>
      </c>
    </row>
    <row r="3550">
      <c r="A3550" s="131">
        <f>IFERROR(__xludf.DUMMYFUNCTION("""COMPUTED_VALUE"""),46187.442453703705)</f>
        <v>46187.44245</v>
      </c>
      <c r="B3550" s="126">
        <f>IFERROR(__xludf.DUMMYFUNCTION("""COMPUTED_VALUE"""),46187.0)</f>
        <v>46187</v>
      </c>
      <c r="C3550" s="122" t="str">
        <f>IFERROR(__xludf.DUMMYFUNCTION("""COMPUTED_VALUE"""),"WIND")</f>
        <v>WIND</v>
      </c>
      <c r="D3550" s="122" t="str">
        <f>IFERROR(__xludf.DUMMYFUNCTION("""COMPUTED_VALUE"""),"WindWorks")</f>
        <v>WindWorks</v>
      </c>
      <c r="E3550" s="122">
        <f>IFERROR(__xludf.DUMMYFUNCTION("""COMPUTED_VALUE"""),88.48)</f>
        <v>88.48</v>
      </c>
      <c r="F3550" s="122">
        <f>IFERROR(__xludf.DUMMYFUNCTION("""COMPUTED_VALUE"""),-0.0016)</f>
        <v>-0.0016</v>
      </c>
    </row>
    <row r="3551">
      <c r="A3551" s="131">
        <f>IFERROR(__xludf.DUMMYFUNCTION("""COMPUTED_VALUE"""),46187.442453703705)</f>
        <v>46187.44245</v>
      </c>
      <c r="B3551" s="126">
        <f>IFERROR(__xludf.DUMMYFUNCTION("""COMPUTED_VALUE"""),46187.0)</f>
        <v>46187</v>
      </c>
      <c r="C3551" s="122" t="str">
        <f>IFERROR(__xludf.DUMMYFUNCTION("""COMPUTED_VALUE"""),"GRID")</f>
        <v>GRID</v>
      </c>
      <c r="D3551" s="122" t="str">
        <f>IFERROR(__xludf.DUMMYFUNCTION("""COMPUTED_VALUE"""),"GridPower")</f>
        <v>GridPower</v>
      </c>
      <c r="E3551" s="122">
        <f>IFERROR(__xludf.DUMMYFUNCTION("""COMPUTED_VALUE"""),140.67)</f>
        <v>140.67</v>
      </c>
      <c r="F3551" s="122">
        <f>IFERROR(__xludf.DUMMYFUNCTION("""COMPUTED_VALUE"""),-0.0059)</f>
        <v>-0.0059</v>
      </c>
    </row>
    <row r="3552">
      <c r="A3552" s="131">
        <f>IFERROR(__xludf.DUMMYFUNCTION("""COMPUTED_VALUE"""),46187.442453703705)</f>
        <v>46187.44245</v>
      </c>
      <c r="B3552" s="126">
        <f>IFERROR(__xludf.DUMMYFUNCTION("""COMPUTED_VALUE"""),46187.0)</f>
        <v>46187</v>
      </c>
      <c r="C3552" s="122" t="str">
        <f>IFERROR(__xludf.DUMMYFUNCTION("""COMPUTED_VALUE"""),"HOME")</f>
        <v>HOME</v>
      </c>
      <c r="D3552" s="122" t="str">
        <f>IFERROR(__xludf.DUMMYFUNCTION("""COMPUTED_VALUE"""),"HomeHub")</f>
        <v>HomeHub</v>
      </c>
      <c r="E3552" s="122">
        <f>IFERROR(__xludf.DUMMYFUNCTION("""COMPUTED_VALUE"""),152.16)</f>
        <v>152.16</v>
      </c>
      <c r="F3552" s="122">
        <f>IFERROR(__xludf.DUMMYFUNCTION("""COMPUTED_VALUE"""),0.0026)</f>
        <v>0.0026</v>
      </c>
    </row>
    <row r="3553">
      <c r="A3553" s="131">
        <f>IFERROR(__xludf.DUMMYFUNCTION("""COMPUTED_VALUE"""),46187.442453703705)</f>
        <v>46187.44245</v>
      </c>
      <c r="B3553" s="126">
        <f>IFERROR(__xludf.DUMMYFUNCTION("""COMPUTED_VALUE"""),46187.0)</f>
        <v>46187</v>
      </c>
      <c r="C3553" s="122" t="str">
        <f>IFERROR(__xludf.DUMMYFUNCTION("""COMPUTED_VALUE"""),"RENT")</f>
        <v>RENT</v>
      </c>
      <c r="D3553" s="122" t="str">
        <f>IFERROR(__xludf.DUMMYFUNCTION("""COMPUTED_VALUE"""),"RentRight")</f>
        <v>RentRight</v>
      </c>
      <c r="E3553" s="122">
        <f>IFERROR(__xludf.DUMMYFUNCTION("""COMPUTED_VALUE"""),92.2)</f>
        <v>92.2</v>
      </c>
      <c r="F3553" s="122">
        <f>IFERROR(__xludf.DUMMYFUNCTION("""COMPUTED_VALUE"""),0.0021)</f>
        <v>0.0021</v>
      </c>
    </row>
    <row r="3554">
      <c r="A3554" s="131">
        <f>IFERROR(__xludf.DUMMYFUNCTION("""COMPUTED_VALUE"""),46187.442453703705)</f>
        <v>46187.44245</v>
      </c>
      <c r="B3554" s="126">
        <f>IFERROR(__xludf.DUMMYFUNCTION("""COMPUTED_VALUE"""),46187.0)</f>
        <v>46187</v>
      </c>
      <c r="C3554" s="122" t="str">
        <f>IFERROR(__xludf.DUMMYFUNCTION("""COMPUTED_VALUE"""),"MALL")</f>
        <v>MALL</v>
      </c>
      <c r="D3554" s="122" t="str">
        <f>IFERROR(__xludf.DUMMYFUNCTION("""COMPUTED_VALUE"""),"MegaMall")</f>
        <v>MegaMall</v>
      </c>
      <c r="E3554" s="122">
        <f>IFERROR(__xludf.DUMMYFUNCTION("""COMPUTED_VALUE"""),100.71)</f>
        <v>100.71</v>
      </c>
      <c r="F3554" s="122">
        <f>IFERROR(__xludf.DUMMYFUNCTION("""COMPUTED_VALUE"""),-0.0059)</f>
        <v>-0.0059</v>
      </c>
    </row>
    <row r="3555">
      <c r="A3555" s="131">
        <f>IFERROR(__xludf.DUMMYFUNCTION("""COMPUTED_VALUE"""),46187.442453703705)</f>
        <v>46187.44245</v>
      </c>
      <c r="B3555" s="126">
        <f>IFERROR(__xludf.DUMMYFUNCTION("""COMPUTED_VALUE"""),46187.0)</f>
        <v>46187</v>
      </c>
      <c r="C3555" s="122" t="str">
        <f>IFERROR(__xludf.DUMMYFUNCTION("""COMPUTED_VALUE"""),"HOTL")</f>
        <v>HOTL</v>
      </c>
      <c r="D3555" s="122" t="str">
        <f>IFERROR(__xludf.DUMMYFUNCTION("""COMPUTED_VALUE"""),"HotelHive")</f>
        <v>HotelHive</v>
      </c>
      <c r="E3555" s="122">
        <f>IFERROR(__xludf.DUMMYFUNCTION("""COMPUTED_VALUE"""),130.42)</f>
        <v>130.42</v>
      </c>
      <c r="F3555" s="122">
        <f>IFERROR(__xludf.DUMMYFUNCTION("""COMPUTED_VALUE"""),0.0076)</f>
        <v>0.0076</v>
      </c>
    </row>
    <row r="3556">
      <c r="A3556" s="131">
        <f>IFERROR(__xludf.DUMMYFUNCTION("""COMPUTED_VALUE"""),46187.442453703705)</f>
        <v>46187.44245</v>
      </c>
      <c r="B3556" s="126">
        <f>IFERROR(__xludf.DUMMYFUNCTION("""COMPUTED_VALUE"""),46187.0)</f>
        <v>46187</v>
      </c>
      <c r="C3556" s="122" t="str">
        <f>IFERROR(__xludf.DUMMYFUNCTION("""COMPUTED_VALUE"""),"LAND")</f>
        <v>LAND</v>
      </c>
      <c r="D3556" s="122" t="str">
        <f>IFERROR(__xludf.DUMMYFUNCTION("""COMPUTED_VALUE"""),"LandLink")</f>
        <v>LandLink</v>
      </c>
      <c r="E3556" s="122">
        <f>IFERROR(__xludf.DUMMYFUNCTION("""COMPUTED_VALUE"""),182.47)</f>
        <v>182.47</v>
      </c>
      <c r="F3556" s="122">
        <f>IFERROR(__xludf.DUMMYFUNCTION("""COMPUTED_VALUE"""),0.0012)</f>
        <v>0.0012</v>
      </c>
    </row>
    <row r="3557">
      <c r="A3557" s="131">
        <f>IFERROR(__xludf.DUMMYFUNCTION("""COMPUTED_VALUE"""),46187.442453703705)</f>
        <v>46187.44245</v>
      </c>
      <c r="B3557" s="126">
        <f>IFERROR(__xludf.DUMMYFUNCTION("""COMPUTED_VALUE"""),46187.0)</f>
        <v>46187</v>
      </c>
      <c r="C3557" s="122" t="str">
        <f>IFERROR(__xludf.DUMMYFUNCTION("""COMPUTED_VALUE"""),"CARS")</f>
        <v>CARS</v>
      </c>
      <c r="D3557" s="122" t="str">
        <f>IFERROR(__xludf.DUMMYFUNCTION("""COMPUTED_VALUE"""),"AutoArena")</f>
        <v>AutoArena</v>
      </c>
      <c r="E3557" s="122">
        <f>IFERROR(__xludf.DUMMYFUNCTION("""COMPUTED_VALUE"""),80.8)</f>
        <v>80.8</v>
      </c>
      <c r="F3557" s="122">
        <f>IFERROR(__xludf.DUMMYFUNCTION("""COMPUTED_VALUE"""),-0.0012)</f>
        <v>-0.0012</v>
      </c>
    </row>
    <row r="3558">
      <c r="A3558" s="131">
        <f>IFERROR(__xludf.DUMMYFUNCTION("""COMPUTED_VALUE"""),46187.442453703705)</f>
        <v>46187.44245</v>
      </c>
      <c r="B3558" s="126">
        <f>IFERROR(__xludf.DUMMYFUNCTION("""COMPUTED_VALUE"""),46187.0)</f>
        <v>46187</v>
      </c>
      <c r="C3558" s="122" t="str">
        <f>IFERROR(__xludf.DUMMYFUNCTION("""COMPUTED_VALUE"""),"EVGO")</f>
        <v>EVGO</v>
      </c>
      <c r="D3558" s="122" t="str">
        <f>IFERROR(__xludf.DUMMYFUNCTION("""COMPUTED_VALUE"""),"EVGo Motors")</f>
        <v>EVGo Motors</v>
      </c>
      <c r="E3558" s="122">
        <f>IFERROR(__xludf.DUMMYFUNCTION("""COMPUTED_VALUE"""),187.57)</f>
        <v>187.57</v>
      </c>
      <c r="F3558" s="122">
        <f>IFERROR(__xludf.DUMMYFUNCTION("""COMPUTED_VALUE"""),0.006)</f>
        <v>0.006</v>
      </c>
    </row>
    <row r="3559">
      <c r="A3559" s="131">
        <f>IFERROR(__xludf.DUMMYFUNCTION("""COMPUTED_VALUE"""),46187.442453703705)</f>
        <v>46187.44245</v>
      </c>
      <c r="B3559" s="126">
        <f>IFERROR(__xludf.DUMMYFUNCTION("""COMPUTED_VALUE"""),46187.0)</f>
        <v>46187</v>
      </c>
      <c r="C3559" s="122" t="str">
        <f>IFERROR(__xludf.DUMMYFUNCTION("""COMPUTED_VALUE"""),"TIRE")</f>
        <v>TIRE</v>
      </c>
      <c r="D3559" s="122" t="str">
        <f>IFERROR(__xludf.DUMMYFUNCTION("""COMPUTED_VALUE"""),"TireTown")</f>
        <v>TireTown</v>
      </c>
      <c r="E3559" s="122">
        <f>IFERROR(__xludf.DUMMYFUNCTION("""COMPUTED_VALUE"""),94.56)</f>
        <v>94.56</v>
      </c>
      <c r="F3559" s="122">
        <f>IFERROR(__xludf.DUMMYFUNCTION("""COMPUTED_VALUE"""),0.0047)</f>
        <v>0.0047</v>
      </c>
    </row>
    <row r="3560">
      <c r="A3560" s="131">
        <f>IFERROR(__xludf.DUMMYFUNCTION("""COMPUTED_VALUE"""),46187.442453703705)</f>
        <v>46187.44245</v>
      </c>
      <c r="B3560" s="126">
        <f>IFERROR(__xludf.DUMMYFUNCTION("""COMPUTED_VALUE"""),46187.0)</f>
        <v>46187</v>
      </c>
      <c r="C3560" s="122" t="str">
        <f>IFERROR(__xludf.DUMMYFUNCTION("""COMPUTED_VALUE"""),"BIKE")</f>
        <v>BIKE</v>
      </c>
      <c r="D3560" s="122" t="str">
        <f>IFERROR(__xludf.DUMMYFUNCTION("""COMPUTED_VALUE"""),"BikeBox")</f>
        <v>BikeBox</v>
      </c>
      <c r="E3560" s="122">
        <f>IFERROR(__xludf.DUMMYFUNCTION("""COMPUTED_VALUE"""),53.05)</f>
        <v>53.05</v>
      </c>
      <c r="F3560" s="122">
        <f>IFERROR(__xludf.DUMMYFUNCTION("""COMPUTED_VALUE"""),0.0051)</f>
        <v>0.0051</v>
      </c>
    </row>
    <row r="3561">
      <c r="A3561" s="131">
        <f>IFERROR(__xludf.DUMMYFUNCTION("""COMPUTED_VALUE"""),46187.442453703705)</f>
        <v>46187.44245</v>
      </c>
      <c r="B3561" s="126">
        <f>IFERROR(__xludf.DUMMYFUNCTION("""COMPUTED_VALUE"""),46187.0)</f>
        <v>46187</v>
      </c>
      <c r="C3561" s="122" t="str">
        <f>IFERROR(__xludf.DUMMYFUNCTION("""COMPUTED_VALUE"""),"WASH")</f>
        <v>WASH</v>
      </c>
      <c r="D3561" s="122" t="str">
        <f>IFERROR(__xludf.DUMMYFUNCTION("""COMPUTED_VALUE"""),"CarWash Co")</f>
        <v>CarWash Co</v>
      </c>
      <c r="E3561" s="122">
        <f>IFERROR(__xludf.DUMMYFUNCTION("""COMPUTED_VALUE"""),120.15)</f>
        <v>120.15</v>
      </c>
      <c r="F3561" s="122">
        <f>IFERROR(__xludf.DUMMYFUNCTION("""COMPUTED_VALUE"""),0.0027)</f>
        <v>0.0027</v>
      </c>
    </row>
    <row r="3562">
      <c r="A3562" s="131">
        <f>IFERROR(__xludf.DUMMYFUNCTION("""COMPUTED_VALUE"""),46187.442453703705)</f>
        <v>46187.44245</v>
      </c>
      <c r="B3562" s="126">
        <f>IFERROR(__xludf.DUMMYFUNCTION("""COMPUTED_VALUE"""),46187.0)</f>
        <v>46187</v>
      </c>
      <c r="C3562" s="122" t="str">
        <f>IFERROR(__xludf.DUMMYFUNCTION("""COMPUTED_VALUE"""),"GBND")</f>
        <v>GBND</v>
      </c>
      <c r="D3562" s="122" t="str">
        <f>IFERROR(__xludf.DUMMYFUNCTION("""COMPUTED_VALUE"""),"Classroom Government Bond")</f>
        <v>Classroom Government Bond</v>
      </c>
      <c r="E3562" s="122">
        <f>IFERROR(__xludf.DUMMYFUNCTION("""COMPUTED_VALUE"""),100.94)</f>
        <v>100.94</v>
      </c>
      <c r="F3562" s="122">
        <f>IFERROR(__xludf.DUMMYFUNCTION("""COMPUTED_VALUE"""),-3.0E-4)</f>
        <v>-0.0003</v>
      </c>
    </row>
    <row r="3563">
      <c r="A3563" s="131">
        <f>IFERROR(__xludf.DUMMYFUNCTION("""COMPUTED_VALUE"""),46187.442453703705)</f>
        <v>46187.44245</v>
      </c>
      <c r="B3563" s="126">
        <f>IFERROR(__xludf.DUMMYFUNCTION("""COMPUTED_VALUE"""),46187.0)</f>
        <v>46187</v>
      </c>
      <c r="C3563" s="122" t="str">
        <f>IFERROR(__xludf.DUMMYFUNCTION("""COMPUTED_VALUE"""),"SBND")</f>
        <v>SBND</v>
      </c>
      <c r="D3563" s="122" t="str">
        <f>IFERROR(__xludf.DUMMYFUNCTION("""COMPUTED_VALUE"""),"School Savings Bond")</f>
        <v>School Savings Bond</v>
      </c>
      <c r="E3563" s="122">
        <f>IFERROR(__xludf.DUMMYFUNCTION("""COMPUTED_VALUE"""),99.49)</f>
        <v>99.49</v>
      </c>
      <c r="F3563" s="122">
        <f>IFERROR(__xludf.DUMMYFUNCTION("""COMPUTED_VALUE"""),-4.0E-4)</f>
        <v>-0.0004</v>
      </c>
    </row>
    <row r="3564">
      <c r="A3564" s="131">
        <f>IFERROR(__xludf.DUMMYFUNCTION("""COMPUTED_VALUE"""),46187.442453703705)</f>
        <v>46187.44245</v>
      </c>
      <c r="B3564" s="126">
        <f>IFERROR(__xludf.DUMMYFUNCTION("""COMPUTED_VALUE"""),46187.0)</f>
        <v>46187</v>
      </c>
      <c r="C3564" s="122" t="str">
        <f>IFERROR(__xludf.DUMMYFUNCTION("""COMPUTED_VALUE"""),"CBND")</f>
        <v>CBND</v>
      </c>
      <c r="D3564" s="122" t="str">
        <f>IFERROR(__xludf.DUMMYFUNCTION("""COMPUTED_VALUE"""),"Corporate Classroom Bond")</f>
        <v>Corporate Classroom Bond</v>
      </c>
      <c r="E3564" s="122">
        <f>IFERROR(__xludf.DUMMYFUNCTION("""COMPUTED_VALUE"""),97.78)</f>
        <v>97.78</v>
      </c>
      <c r="F3564" s="122">
        <f>IFERROR(__xludf.DUMMYFUNCTION("""COMPUTED_VALUE"""),-1.0E-4)</f>
        <v>-0.0001</v>
      </c>
    </row>
    <row r="3565">
      <c r="A3565" s="131">
        <f>IFERROR(__xludf.DUMMYFUNCTION("""COMPUTED_VALUE"""),46187.442453703705)</f>
        <v>46187.44245</v>
      </c>
      <c r="B3565" s="126">
        <f>IFERROR(__xludf.DUMMYFUNCTION("""COMPUTED_VALUE"""),46187.0)</f>
        <v>46187</v>
      </c>
      <c r="C3565" s="122" t="str">
        <f>IFERROR(__xludf.DUMMYFUNCTION("""COMPUTED_VALUE"""),"TBIL")</f>
        <v>TBIL</v>
      </c>
      <c r="D3565" s="122" t="str">
        <f>IFERROR(__xludf.DUMMYFUNCTION("""COMPUTED_VALUE"""),"Treasury Bill")</f>
        <v>Treasury Bill</v>
      </c>
      <c r="E3565" s="122">
        <f>IFERROR(__xludf.DUMMYFUNCTION("""COMPUTED_VALUE"""),98.05)</f>
        <v>98.05</v>
      </c>
      <c r="F3565" s="122">
        <f>IFERROR(__xludf.DUMMYFUNCTION("""COMPUTED_VALUE"""),-2.0E-4)</f>
        <v>-0.0002</v>
      </c>
    </row>
    <row r="3566">
      <c r="A3566" s="131">
        <f>IFERROR(__xludf.DUMMYFUNCTION("""COMPUTED_VALUE"""),46187.442453703705)</f>
        <v>46187.44245</v>
      </c>
      <c r="B3566" s="126">
        <f>IFERROR(__xludf.DUMMYFUNCTION("""COMPUTED_VALUE"""),46187.0)</f>
        <v>46187</v>
      </c>
      <c r="C3566" s="122" t="str">
        <f>IFERROR(__xludf.DUMMYFUNCTION("""COMPUTED_VALUE"""),"IBND")</f>
        <v>IBND</v>
      </c>
      <c r="D3566" s="122" t="str">
        <f>IFERROR(__xludf.DUMMYFUNCTION("""COMPUTED_VALUE"""),"Inflation Protected Bond")</f>
        <v>Inflation Protected Bond</v>
      </c>
      <c r="E3566" s="122">
        <f>IFERROR(__xludf.DUMMYFUNCTION("""COMPUTED_VALUE"""),100.57)</f>
        <v>100.57</v>
      </c>
      <c r="F3566" s="122">
        <f>IFERROR(__xludf.DUMMYFUNCTION("""COMPUTED_VALUE"""),-1.0E-4)</f>
        <v>-0.0001</v>
      </c>
    </row>
    <row r="3567">
      <c r="A3567" s="131">
        <f>IFERROR(__xludf.DUMMYFUNCTION("""COMPUTED_VALUE"""),46187.44603009259)</f>
        <v>46187.44603</v>
      </c>
      <c r="B3567" s="126">
        <f>IFERROR(__xludf.DUMMYFUNCTION("""COMPUTED_VALUE"""),46187.0)</f>
        <v>46187</v>
      </c>
      <c r="C3567" s="122" t="str">
        <f>IFERROR(__xludf.DUMMYFUNCTION("""COMPUTED_VALUE"""),"SNAX")</f>
        <v>SNAX</v>
      </c>
      <c r="D3567" s="122" t="str">
        <f>IFERROR(__xludf.DUMMYFUNCTION("""COMPUTED_VALUE"""),"MICA Snacks")</f>
        <v>MICA Snacks</v>
      </c>
      <c r="E3567" s="122">
        <f>IFERROR(__xludf.DUMMYFUNCTION("""COMPUTED_VALUE"""),121.56)</f>
        <v>121.56</v>
      </c>
      <c r="F3567" s="122">
        <f>IFERROR(__xludf.DUMMYFUNCTION("""COMPUTED_VALUE"""),-0.0024)</f>
        <v>-0.0024</v>
      </c>
    </row>
    <row r="3568">
      <c r="A3568" s="131">
        <f>IFERROR(__xludf.DUMMYFUNCTION("""COMPUTED_VALUE"""),46187.44603009259)</f>
        <v>46187.44603</v>
      </c>
      <c r="B3568" s="126">
        <f>IFERROR(__xludf.DUMMYFUNCTION("""COMPUTED_VALUE"""),46187.0)</f>
        <v>46187</v>
      </c>
      <c r="C3568" s="122" t="str">
        <f>IFERROR(__xludf.DUMMYFUNCTION("""COMPUTED_VALUE"""),"RAMN")</f>
        <v>RAMN</v>
      </c>
      <c r="D3568" s="122" t="str">
        <f>IFERROR(__xludf.DUMMYFUNCTION("""COMPUTED_VALUE"""),"Ramen Republic")</f>
        <v>Ramen Republic</v>
      </c>
      <c r="E3568" s="122">
        <f>IFERROR(__xludf.DUMMYFUNCTION("""COMPUTED_VALUE"""),71.87)</f>
        <v>71.87</v>
      </c>
      <c r="F3568" s="122">
        <f>IFERROR(__xludf.DUMMYFUNCTION("""COMPUTED_VALUE"""),0.0038)</f>
        <v>0.0038</v>
      </c>
    </row>
    <row r="3569">
      <c r="A3569" s="131">
        <f>IFERROR(__xludf.DUMMYFUNCTION("""COMPUTED_VALUE"""),46187.44603009259)</f>
        <v>46187.44603</v>
      </c>
      <c r="B3569" s="126">
        <f>IFERROR(__xludf.DUMMYFUNCTION("""COMPUTED_VALUE"""),46187.0)</f>
        <v>46187</v>
      </c>
      <c r="C3569" s="122" t="str">
        <f>IFERROR(__xludf.DUMMYFUNCTION("""COMPUTED_VALUE"""),"COLA")</f>
        <v>COLA</v>
      </c>
      <c r="D3569" s="122" t="str">
        <f>IFERROR(__xludf.DUMMYFUNCTION("""COMPUTED_VALUE"""),"K-Pop Cola")</f>
        <v>K-Pop Cola</v>
      </c>
      <c r="E3569" s="122">
        <f>IFERROR(__xludf.DUMMYFUNCTION("""COMPUTED_VALUE"""),109.37)</f>
        <v>109.37</v>
      </c>
      <c r="F3569" s="122">
        <f>IFERROR(__xludf.DUMMYFUNCTION("""COMPUTED_VALUE"""),0.0023)</f>
        <v>0.0023</v>
      </c>
    </row>
    <row r="3570">
      <c r="A3570" s="131">
        <f>IFERROR(__xludf.DUMMYFUNCTION("""COMPUTED_VALUE"""),46187.44603009259)</f>
        <v>46187.44603</v>
      </c>
      <c r="B3570" s="126">
        <f>IFERROR(__xludf.DUMMYFUNCTION("""COMPUTED_VALUE"""),46187.0)</f>
        <v>46187</v>
      </c>
      <c r="C3570" s="122" t="str">
        <f>IFERROR(__xludf.DUMMYFUNCTION("""COMPUTED_VALUE"""),"CHIP")</f>
        <v>CHIP</v>
      </c>
      <c r="D3570" s="122" t="str">
        <f>IFERROR(__xludf.DUMMYFUNCTION("""COMPUTED_VALUE"""),"Chip Empire")</f>
        <v>Chip Empire</v>
      </c>
      <c r="E3570" s="122">
        <f>IFERROR(__xludf.DUMMYFUNCTION("""COMPUTED_VALUE"""),87.66)</f>
        <v>87.66</v>
      </c>
      <c r="F3570" s="122">
        <f>IFERROR(__xludf.DUMMYFUNCTION("""COMPUTED_VALUE"""),0.0053)</f>
        <v>0.0053</v>
      </c>
    </row>
    <row r="3571">
      <c r="A3571" s="131">
        <f>IFERROR(__xludf.DUMMYFUNCTION("""COMPUTED_VALUE"""),46187.44603009259)</f>
        <v>46187.44603</v>
      </c>
      <c r="B3571" s="126">
        <f>IFERROR(__xludf.DUMMYFUNCTION("""COMPUTED_VALUE"""),46187.0)</f>
        <v>46187</v>
      </c>
      <c r="C3571" s="122" t="str">
        <f>IFERROR(__xludf.DUMMYFUNCTION("""COMPUTED_VALUE"""),"CAND")</f>
        <v>CAND</v>
      </c>
      <c r="D3571" s="122" t="str">
        <f>IFERROR(__xludf.DUMMYFUNCTION("""COMPUTED_VALUE"""),"Candy Capital")</f>
        <v>Candy Capital</v>
      </c>
      <c r="E3571" s="122">
        <f>IFERROR(__xludf.DUMMYFUNCTION("""COMPUTED_VALUE"""),77.09)</f>
        <v>77.09</v>
      </c>
      <c r="F3571" s="122">
        <f>IFERROR(__xludf.DUMMYFUNCTION("""COMPUTED_VALUE"""),-0.0062)</f>
        <v>-0.0062</v>
      </c>
    </row>
    <row r="3572">
      <c r="A3572" s="131">
        <f>IFERROR(__xludf.DUMMYFUNCTION("""COMPUTED_VALUE"""),46187.44603009259)</f>
        <v>46187.44603</v>
      </c>
      <c r="B3572" s="126">
        <f>IFERROR(__xludf.DUMMYFUNCTION("""COMPUTED_VALUE"""),46187.0)</f>
        <v>46187</v>
      </c>
      <c r="C3572" s="122" t="str">
        <f>IFERROR(__xludf.DUMMYFUNCTION("""COMPUTED_VALUE"""),"TECH")</f>
        <v>TECH</v>
      </c>
      <c r="D3572" s="122" t="str">
        <f>IFERROR(__xludf.DUMMYFUNCTION("""COMPUTED_VALUE"""),"Dragon Tech")</f>
        <v>Dragon Tech</v>
      </c>
      <c r="E3572" s="122">
        <f>IFERROR(__xludf.DUMMYFUNCTION("""COMPUTED_VALUE"""),243.48)</f>
        <v>243.48</v>
      </c>
      <c r="F3572" s="122">
        <f>IFERROR(__xludf.DUMMYFUNCTION("""COMPUTED_VALUE"""),-0.0058)</f>
        <v>-0.0058</v>
      </c>
    </row>
    <row r="3573">
      <c r="A3573" s="131">
        <f>IFERROR(__xludf.DUMMYFUNCTION("""COMPUTED_VALUE"""),46187.44603009259)</f>
        <v>46187.44603</v>
      </c>
      <c r="B3573" s="126">
        <f>IFERROR(__xludf.DUMMYFUNCTION("""COMPUTED_VALUE"""),46187.0)</f>
        <v>46187</v>
      </c>
      <c r="C3573" s="122" t="str">
        <f>IFERROR(__xludf.DUMMYFUNCTION("""COMPUTED_VALUE"""),"AIBO")</f>
        <v>AIBO</v>
      </c>
      <c r="D3573" s="122" t="str">
        <f>IFERROR(__xludf.DUMMYFUNCTION("""COMPUTED_VALUE"""),"Homework AI")</f>
        <v>Homework AI</v>
      </c>
      <c r="E3573" s="122">
        <f>IFERROR(__xludf.DUMMYFUNCTION("""COMPUTED_VALUE"""),172.19)</f>
        <v>172.19</v>
      </c>
      <c r="F3573" s="122">
        <f>IFERROR(__xludf.DUMMYFUNCTION("""COMPUTED_VALUE"""),-0.0086)</f>
        <v>-0.0086</v>
      </c>
    </row>
    <row r="3574">
      <c r="A3574" s="131">
        <f>IFERROR(__xludf.DUMMYFUNCTION("""COMPUTED_VALUE"""),46187.44603009259)</f>
        <v>46187.44603</v>
      </c>
      <c r="B3574" s="126">
        <f>IFERROR(__xludf.DUMMYFUNCTION("""COMPUTED_VALUE"""),46187.0)</f>
        <v>46187</v>
      </c>
      <c r="C3574" s="122" t="str">
        <f>IFERROR(__xludf.DUMMYFUNCTION("""COMPUTED_VALUE"""),"GAME")</f>
        <v>GAME</v>
      </c>
      <c r="D3574" s="122" t="str">
        <f>IFERROR(__xludf.DUMMYFUNCTION("""COMPUTED_VALUE"""),"GameBox Media")</f>
        <v>GameBox Media</v>
      </c>
      <c r="E3574" s="122">
        <f>IFERROR(__xludf.DUMMYFUNCTION("""COMPUTED_VALUE"""),94.86)</f>
        <v>94.86</v>
      </c>
      <c r="F3574" s="122">
        <f>IFERROR(__xludf.DUMMYFUNCTION("""COMPUTED_VALUE"""),-0.0075)</f>
        <v>-0.0075</v>
      </c>
    </row>
    <row r="3575">
      <c r="A3575" s="131">
        <f>IFERROR(__xludf.DUMMYFUNCTION("""COMPUTED_VALUE"""),46187.44603009259)</f>
        <v>46187.44603</v>
      </c>
      <c r="B3575" s="126">
        <f>IFERROR(__xludf.DUMMYFUNCTION("""COMPUTED_VALUE"""),46187.0)</f>
        <v>46187</v>
      </c>
      <c r="C3575" s="122" t="str">
        <f>IFERROR(__xludf.DUMMYFUNCTION("""COMPUTED_VALUE"""),"VRSE")</f>
        <v>VRSE</v>
      </c>
      <c r="D3575" s="122" t="str">
        <f>IFERROR(__xludf.DUMMYFUNCTION("""COMPUTED_VALUE"""),"VerseVR")</f>
        <v>VerseVR</v>
      </c>
      <c r="E3575" s="122">
        <f>IFERROR(__xludf.DUMMYFUNCTION("""COMPUTED_VALUE"""),146.53)</f>
        <v>146.53</v>
      </c>
      <c r="F3575" s="122">
        <f>IFERROR(__xludf.DUMMYFUNCTION("""COMPUTED_VALUE"""),0.0094)</f>
        <v>0.0094</v>
      </c>
    </row>
    <row r="3576">
      <c r="A3576" s="131">
        <f>IFERROR(__xludf.DUMMYFUNCTION("""COMPUTED_VALUE"""),46187.44603009259)</f>
        <v>46187.44603</v>
      </c>
      <c r="B3576" s="126">
        <f>IFERROR(__xludf.DUMMYFUNCTION("""COMPUTED_VALUE"""),46187.0)</f>
        <v>46187</v>
      </c>
      <c r="C3576" s="122" t="str">
        <f>IFERROR(__xludf.DUMMYFUNCTION("""COMPUTED_VALUE"""),"BYTE")</f>
        <v>BYTE</v>
      </c>
      <c r="D3576" s="122" t="str">
        <f>IFERROR(__xludf.DUMMYFUNCTION("""COMPUTED_VALUE"""),"ByteWorks")</f>
        <v>ByteWorks</v>
      </c>
      <c r="E3576" s="122">
        <f>IFERROR(__xludf.DUMMYFUNCTION("""COMPUTED_VALUE"""),108.1)</f>
        <v>108.1</v>
      </c>
      <c r="F3576" s="122">
        <f>IFERROR(__xludf.DUMMYFUNCTION("""COMPUTED_VALUE"""),0.006)</f>
        <v>0.006</v>
      </c>
    </row>
    <row r="3577">
      <c r="A3577" s="131">
        <f>IFERROR(__xludf.DUMMYFUNCTION("""COMPUTED_VALUE"""),46187.44603009259)</f>
        <v>46187.44603</v>
      </c>
      <c r="B3577" s="126">
        <f>IFERROR(__xludf.DUMMYFUNCTION("""COMPUTED_VALUE"""),46187.0)</f>
        <v>46187</v>
      </c>
      <c r="C3577" s="122" t="str">
        <f>IFERROR(__xludf.DUMMYFUNCTION("""COMPUTED_VALUE"""),"BANK")</f>
        <v>BANK</v>
      </c>
      <c r="D3577" s="122" t="str">
        <f>IFERROR(__xludf.DUMMYFUNCTION("""COMPUTED_VALUE"""),"Tiger Bank")</f>
        <v>Tiger Bank</v>
      </c>
      <c r="E3577" s="122">
        <f>IFERROR(__xludf.DUMMYFUNCTION("""COMPUTED_VALUE"""),126.94)</f>
        <v>126.94</v>
      </c>
      <c r="F3577" s="122">
        <f>IFERROR(__xludf.DUMMYFUNCTION("""COMPUTED_VALUE"""),-5.0E-4)</f>
        <v>-0.0005</v>
      </c>
    </row>
    <row r="3578">
      <c r="A3578" s="131">
        <f>IFERROR(__xludf.DUMMYFUNCTION("""COMPUTED_VALUE"""),46187.44603009259)</f>
        <v>46187.44603</v>
      </c>
      <c r="B3578" s="126">
        <f>IFERROR(__xludf.DUMMYFUNCTION("""COMPUTED_VALUE"""),46187.0)</f>
        <v>46187</v>
      </c>
      <c r="C3578" s="122" t="str">
        <f>IFERROR(__xludf.DUMMYFUNCTION("""COMPUTED_VALUE"""),"CRED")</f>
        <v>CRED</v>
      </c>
      <c r="D3578" s="122" t="str">
        <f>IFERROR(__xludf.DUMMYFUNCTION("""COMPUTED_VALUE"""),"Credit Castle")</f>
        <v>Credit Castle</v>
      </c>
      <c r="E3578" s="122">
        <f>IFERROR(__xludf.DUMMYFUNCTION("""COMPUTED_VALUE"""),67.14)</f>
        <v>67.14</v>
      </c>
      <c r="F3578" s="122">
        <f>IFERROR(__xludf.DUMMYFUNCTION("""COMPUTED_VALUE"""),-0.0055)</f>
        <v>-0.0055</v>
      </c>
    </row>
    <row r="3579">
      <c r="A3579" s="131">
        <f>IFERROR(__xludf.DUMMYFUNCTION("""COMPUTED_VALUE"""),46187.44603009259)</f>
        <v>46187.44603</v>
      </c>
      <c r="B3579" s="126">
        <f>IFERROR(__xludf.DUMMYFUNCTION("""COMPUTED_VALUE"""),46187.0)</f>
        <v>46187</v>
      </c>
      <c r="C3579" s="122" t="str">
        <f>IFERROR(__xludf.DUMMYFUNCTION("""COMPUTED_VALUE"""),"BOND")</f>
        <v>BOND</v>
      </c>
      <c r="D3579" s="122" t="str">
        <f>IFERROR(__xludf.DUMMYFUNCTION("""COMPUTED_VALUE"""),"BondBridge")</f>
        <v>BondBridge</v>
      </c>
      <c r="E3579" s="122">
        <f>IFERROR(__xludf.DUMMYFUNCTION("""COMPUTED_VALUE"""),98.76)</f>
        <v>98.76</v>
      </c>
      <c r="F3579" s="122">
        <f>IFERROR(__xludf.DUMMYFUNCTION("""COMPUTED_VALUE"""),9.0E-4)</f>
        <v>0.0009</v>
      </c>
    </row>
    <row r="3580">
      <c r="A3580" s="131">
        <f>IFERROR(__xludf.DUMMYFUNCTION("""COMPUTED_VALUE"""),46187.44603009259)</f>
        <v>46187.44603</v>
      </c>
      <c r="B3580" s="126">
        <f>IFERROR(__xludf.DUMMYFUNCTION("""COMPUTED_VALUE"""),46187.0)</f>
        <v>46187</v>
      </c>
      <c r="C3580" s="122" t="str">
        <f>IFERROR(__xludf.DUMMYFUNCTION("""COMPUTED_VALUE"""),"INSR")</f>
        <v>INSR</v>
      </c>
      <c r="D3580" s="122" t="str">
        <f>IFERROR(__xludf.DUMMYFUNCTION("""COMPUTED_VALUE"""),"Shield Insurance")</f>
        <v>Shield Insurance</v>
      </c>
      <c r="E3580" s="122">
        <f>IFERROR(__xludf.DUMMYFUNCTION("""COMPUTED_VALUE"""),158.61)</f>
        <v>158.61</v>
      </c>
      <c r="F3580" s="122">
        <f>IFERROR(__xludf.DUMMYFUNCTION("""COMPUTED_VALUE"""),-7.0E-4)</f>
        <v>-0.0007</v>
      </c>
    </row>
    <row r="3581">
      <c r="A3581" s="131">
        <f>IFERROR(__xludf.DUMMYFUNCTION("""COMPUTED_VALUE"""),46187.44603009259)</f>
        <v>46187.44603</v>
      </c>
      <c r="B3581" s="126">
        <f>IFERROR(__xludf.DUMMYFUNCTION("""COMPUTED_VALUE"""),46187.0)</f>
        <v>46187</v>
      </c>
      <c r="C3581" s="122" t="str">
        <f>IFERROR(__xludf.DUMMYFUNCTION("""COMPUTED_VALUE"""),"LOAN")</f>
        <v>LOAN</v>
      </c>
      <c r="D3581" s="122" t="str">
        <f>IFERROR(__xludf.DUMMYFUNCTION("""COMPUTED_VALUE"""),"LoanLab")</f>
        <v>LoanLab</v>
      </c>
      <c r="E3581" s="122">
        <f>IFERROR(__xludf.DUMMYFUNCTION("""COMPUTED_VALUE"""),63.25)</f>
        <v>63.25</v>
      </c>
      <c r="F3581" s="122">
        <f>IFERROR(__xludf.DUMMYFUNCTION("""COMPUTED_VALUE"""),0.0059)</f>
        <v>0.0059</v>
      </c>
    </row>
    <row r="3582">
      <c r="A3582" s="131">
        <f>IFERROR(__xludf.DUMMYFUNCTION("""COMPUTED_VALUE"""),46187.44603009259)</f>
        <v>46187.44603</v>
      </c>
      <c r="B3582" s="126">
        <f>IFERROR(__xludf.DUMMYFUNCTION("""COMPUTED_VALUE"""),46187.0)</f>
        <v>46187</v>
      </c>
      <c r="C3582" s="122" t="str">
        <f>IFERROR(__xludf.DUMMYFUNCTION("""COMPUTED_VALUE"""),"LUXE")</f>
        <v>LUXE</v>
      </c>
      <c r="D3582" s="122" t="str">
        <f>IFERROR(__xludf.DUMMYFUNCTION("""COMPUTED_VALUE"""),"Luxury Locker")</f>
        <v>Luxury Locker</v>
      </c>
      <c r="E3582" s="122">
        <f>IFERROR(__xludf.DUMMYFUNCTION("""COMPUTED_VALUE"""),258.82)</f>
        <v>258.82</v>
      </c>
      <c r="F3582" s="122">
        <f>IFERROR(__xludf.DUMMYFUNCTION("""COMPUTED_VALUE"""),-0.001)</f>
        <v>-0.001</v>
      </c>
    </row>
    <row r="3583">
      <c r="A3583" s="131">
        <f>IFERROR(__xludf.DUMMYFUNCTION("""COMPUTED_VALUE"""),46187.44603009259)</f>
        <v>46187.44603</v>
      </c>
      <c r="B3583" s="126">
        <f>IFERROR(__xludf.DUMMYFUNCTION("""COMPUTED_VALUE"""),46187.0)</f>
        <v>46187</v>
      </c>
      <c r="C3583" s="122" t="str">
        <f>IFERROR(__xludf.DUMMYFUNCTION("""COMPUTED_VALUE"""),"DRIP")</f>
        <v>DRIP</v>
      </c>
      <c r="D3583" s="122" t="str">
        <f>IFERROR(__xludf.DUMMYFUNCTION("""COMPUTED_VALUE"""),"Drip Streetwear")</f>
        <v>Drip Streetwear</v>
      </c>
      <c r="E3583" s="122">
        <f>IFERROR(__xludf.DUMMYFUNCTION("""COMPUTED_VALUE"""),199.06)</f>
        <v>199.06</v>
      </c>
      <c r="F3583" s="122">
        <f>IFERROR(__xludf.DUMMYFUNCTION("""COMPUTED_VALUE"""),2.0E-4)</f>
        <v>0.0002</v>
      </c>
    </row>
    <row r="3584">
      <c r="A3584" s="131">
        <f>IFERROR(__xludf.DUMMYFUNCTION("""COMPUTED_VALUE"""),46187.44603009259)</f>
        <v>46187.44603</v>
      </c>
      <c r="B3584" s="126">
        <f>IFERROR(__xludf.DUMMYFUNCTION("""COMPUTED_VALUE"""),46187.0)</f>
        <v>46187</v>
      </c>
      <c r="C3584" s="122" t="str">
        <f>IFERROR(__xludf.DUMMYFUNCTION("""COMPUTED_VALUE"""),"KICK")</f>
        <v>KICK</v>
      </c>
      <c r="D3584" s="122" t="str">
        <f>IFERROR(__xludf.DUMMYFUNCTION("""COMPUTED_VALUE"""),"KickDrop Sneakers")</f>
        <v>KickDrop Sneakers</v>
      </c>
      <c r="E3584" s="122">
        <f>IFERROR(__xludf.DUMMYFUNCTION("""COMPUTED_VALUE"""),171.92)</f>
        <v>171.92</v>
      </c>
      <c r="F3584" s="122">
        <f>IFERROR(__xludf.DUMMYFUNCTION("""COMPUTED_VALUE"""),0.0082)</f>
        <v>0.0082</v>
      </c>
    </row>
    <row r="3585">
      <c r="A3585" s="131">
        <f>IFERROR(__xludf.DUMMYFUNCTION("""COMPUTED_VALUE"""),46187.44603009259)</f>
        <v>46187.44603</v>
      </c>
      <c r="B3585" s="126">
        <f>IFERROR(__xludf.DUMMYFUNCTION("""COMPUTED_VALUE"""),46187.0)</f>
        <v>46187</v>
      </c>
      <c r="C3585" s="122" t="str">
        <f>IFERROR(__xludf.DUMMYFUNCTION("""COMPUTED_VALUE"""),"GLAM")</f>
        <v>GLAM</v>
      </c>
      <c r="D3585" s="122" t="str">
        <f>IFERROR(__xludf.DUMMYFUNCTION("""COMPUTED_VALUE"""),"Glow Cosmetics")</f>
        <v>Glow Cosmetics</v>
      </c>
      <c r="E3585" s="122">
        <f>IFERROR(__xludf.DUMMYFUNCTION("""COMPUTED_VALUE"""),99.89)</f>
        <v>99.89</v>
      </c>
      <c r="F3585" s="122">
        <f>IFERROR(__xludf.DUMMYFUNCTION("""COMPUTED_VALUE"""),0.0038)</f>
        <v>0.0038</v>
      </c>
    </row>
    <row r="3586">
      <c r="A3586" s="131">
        <f>IFERROR(__xludf.DUMMYFUNCTION("""COMPUTED_VALUE"""),46187.44603009259)</f>
        <v>46187.44603</v>
      </c>
      <c r="B3586" s="126">
        <f>IFERROR(__xludf.DUMMYFUNCTION("""COMPUTED_VALUE"""),46187.0)</f>
        <v>46187</v>
      </c>
      <c r="C3586" s="122" t="str">
        <f>IFERROR(__xludf.DUMMYFUNCTION("""COMPUTED_VALUE"""),"BAGG")</f>
        <v>BAGG</v>
      </c>
      <c r="D3586" s="122" t="str">
        <f>IFERROR(__xludf.DUMMYFUNCTION("""COMPUTED_VALUE"""),"BagVault")</f>
        <v>BagVault</v>
      </c>
      <c r="E3586" s="122">
        <f>IFERROR(__xludf.DUMMYFUNCTION("""COMPUTED_VALUE"""),252.54)</f>
        <v>252.54</v>
      </c>
      <c r="F3586" s="122">
        <f>IFERROR(__xludf.DUMMYFUNCTION("""COMPUTED_VALUE"""),0.0016)</f>
        <v>0.0016</v>
      </c>
    </row>
    <row r="3587">
      <c r="A3587" s="131">
        <f>IFERROR(__xludf.DUMMYFUNCTION("""COMPUTED_VALUE"""),46187.44603009259)</f>
        <v>46187.44603</v>
      </c>
      <c r="B3587" s="126">
        <f>IFERROR(__xludf.DUMMYFUNCTION("""COMPUTED_VALUE"""),46187.0)</f>
        <v>46187</v>
      </c>
      <c r="C3587" s="122" t="str">
        <f>IFERROR(__xludf.DUMMYFUNCTION("""COMPUTED_VALUE"""),"FAST")</f>
        <v>FAST</v>
      </c>
      <c r="D3587" s="122" t="str">
        <f>IFERROR(__xludf.DUMMYFUNCTION("""COMPUTED_VALUE"""),"Flash Logistics")</f>
        <v>Flash Logistics</v>
      </c>
      <c r="E3587" s="122">
        <f>IFERROR(__xludf.DUMMYFUNCTION("""COMPUTED_VALUE"""),103.38)</f>
        <v>103.38</v>
      </c>
      <c r="F3587" s="122">
        <f>IFERROR(__xludf.DUMMYFUNCTION("""COMPUTED_VALUE"""),0.0026)</f>
        <v>0.0026</v>
      </c>
    </row>
    <row r="3588">
      <c r="A3588" s="131">
        <f>IFERROR(__xludf.DUMMYFUNCTION("""COMPUTED_VALUE"""),46187.44603009259)</f>
        <v>46187.44603</v>
      </c>
      <c r="B3588" s="126">
        <f>IFERROR(__xludf.DUMMYFUNCTION("""COMPUTED_VALUE"""),46187.0)</f>
        <v>46187</v>
      </c>
      <c r="C3588" s="122" t="str">
        <f>IFERROR(__xludf.DUMMYFUNCTION("""COMPUTED_VALUE"""),"SHIP")</f>
        <v>SHIP</v>
      </c>
      <c r="D3588" s="122" t="str">
        <f>IFERROR(__xludf.DUMMYFUNCTION("""COMPUTED_VALUE"""),"Seoul Shipping")</f>
        <v>Seoul Shipping</v>
      </c>
      <c r="E3588" s="122">
        <f>IFERROR(__xludf.DUMMYFUNCTION("""COMPUTED_VALUE"""),119.68)</f>
        <v>119.68</v>
      </c>
      <c r="F3588" s="122">
        <f>IFERROR(__xludf.DUMMYFUNCTION("""COMPUTED_VALUE"""),-0.0066)</f>
        <v>-0.0066</v>
      </c>
    </row>
    <row r="3589">
      <c r="A3589" s="131">
        <f>IFERROR(__xludf.DUMMYFUNCTION("""COMPUTED_VALUE"""),46187.44603009259)</f>
        <v>46187.44603</v>
      </c>
      <c r="B3589" s="126">
        <f>IFERROR(__xludf.DUMMYFUNCTION("""COMPUTED_VALUE"""),46187.0)</f>
        <v>46187</v>
      </c>
      <c r="C3589" s="122" t="str">
        <f>IFERROR(__xludf.DUMMYFUNCTION("""COMPUTED_VALUE"""),"DRON")</f>
        <v>DRON</v>
      </c>
      <c r="D3589" s="122" t="str">
        <f>IFERROR(__xludf.DUMMYFUNCTION("""COMPUTED_VALUE"""),"DroneDrop")</f>
        <v>DroneDrop</v>
      </c>
      <c r="E3589" s="122">
        <f>IFERROR(__xludf.DUMMYFUNCTION("""COMPUTED_VALUE"""),130.85)</f>
        <v>130.85</v>
      </c>
      <c r="F3589" s="122">
        <f>IFERROR(__xludf.DUMMYFUNCTION("""COMPUTED_VALUE"""),-0.0089)</f>
        <v>-0.0089</v>
      </c>
    </row>
    <row r="3590">
      <c r="A3590" s="131">
        <f>IFERROR(__xludf.DUMMYFUNCTION("""COMPUTED_VALUE"""),46187.44603009259)</f>
        <v>46187.44603</v>
      </c>
      <c r="B3590" s="126">
        <f>IFERROR(__xludf.DUMMYFUNCTION("""COMPUTED_VALUE"""),46187.0)</f>
        <v>46187</v>
      </c>
      <c r="C3590" s="122" t="str">
        <f>IFERROR(__xludf.DUMMYFUNCTION("""COMPUTED_VALUE"""),"RIDE")</f>
        <v>RIDE</v>
      </c>
      <c r="D3590" s="122" t="str">
        <f>IFERROR(__xludf.DUMMYFUNCTION("""COMPUTED_VALUE"""),"QuickRide")</f>
        <v>QuickRide</v>
      </c>
      <c r="E3590" s="122">
        <f>IFERROR(__xludf.DUMMYFUNCTION("""COMPUTED_VALUE"""),93.94)</f>
        <v>93.94</v>
      </c>
      <c r="F3590" s="122">
        <f>IFERROR(__xludf.DUMMYFUNCTION("""COMPUTED_VALUE"""),-0.0111)</f>
        <v>-0.0111</v>
      </c>
    </row>
    <row r="3591">
      <c r="A3591" s="131">
        <f>IFERROR(__xludf.DUMMYFUNCTION("""COMPUTED_VALUE"""),46187.44603009259)</f>
        <v>46187.44603</v>
      </c>
      <c r="B3591" s="126">
        <f>IFERROR(__xludf.DUMMYFUNCTION("""COMPUTED_VALUE"""),46187.0)</f>
        <v>46187</v>
      </c>
      <c r="C3591" s="122" t="str">
        <f>IFERROR(__xludf.DUMMYFUNCTION("""COMPUTED_VALUE"""),"RAIL")</f>
        <v>RAIL</v>
      </c>
      <c r="D3591" s="122" t="str">
        <f>IFERROR(__xludf.DUMMYFUNCTION("""COMPUTED_VALUE"""),"MetroRail Corp")</f>
        <v>MetroRail Corp</v>
      </c>
      <c r="E3591" s="122">
        <f>IFERROR(__xludf.DUMMYFUNCTION("""COMPUTED_VALUE"""),135.13)</f>
        <v>135.13</v>
      </c>
      <c r="F3591" s="122">
        <f>IFERROR(__xludf.DUMMYFUNCTION("""COMPUTED_VALUE"""),0.0013)</f>
        <v>0.0013</v>
      </c>
    </row>
    <row r="3592">
      <c r="A3592" s="131">
        <f>IFERROR(__xludf.DUMMYFUNCTION("""COMPUTED_VALUE"""),46187.44603009259)</f>
        <v>46187.44603</v>
      </c>
      <c r="B3592" s="126">
        <f>IFERROR(__xludf.DUMMYFUNCTION("""COMPUTED_VALUE"""),46187.0)</f>
        <v>46187</v>
      </c>
      <c r="C3592" s="122" t="str">
        <f>IFERROR(__xludf.DUMMYFUNCTION("""COMPUTED_VALUE"""),"MEDX")</f>
        <v>MEDX</v>
      </c>
      <c r="D3592" s="122" t="str">
        <f>IFERROR(__xludf.DUMMYFUNCTION("""COMPUTED_VALUE"""),"MediCore")</f>
        <v>MediCore</v>
      </c>
      <c r="E3592" s="122">
        <f>IFERROR(__xludf.DUMMYFUNCTION("""COMPUTED_VALUE"""),137.79)</f>
        <v>137.79</v>
      </c>
      <c r="F3592" s="122">
        <f>IFERROR(__xludf.DUMMYFUNCTION("""COMPUTED_VALUE"""),-0.0017)</f>
        <v>-0.0017</v>
      </c>
    </row>
    <row r="3593">
      <c r="A3593" s="131">
        <f>IFERROR(__xludf.DUMMYFUNCTION("""COMPUTED_VALUE"""),46187.44603009259)</f>
        <v>46187.44603</v>
      </c>
      <c r="B3593" s="126">
        <f>IFERROR(__xludf.DUMMYFUNCTION("""COMPUTED_VALUE"""),46187.0)</f>
        <v>46187</v>
      </c>
      <c r="C3593" s="122" t="str">
        <f>IFERROR(__xludf.DUMMYFUNCTION("""COMPUTED_VALUE"""),"GYMX")</f>
        <v>GYMX</v>
      </c>
      <c r="D3593" s="122" t="str">
        <f>IFERROR(__xludf.DUMMYFUNCTION("""COMPUTED_VALUE"""),"GymX Fitness")</f>
        <v>GymX Fitness</v>
      </c>
      <c r="E3593" s="122">
        <f>IFERROR(__xludf.DUMMYFUNCTION("""COMPUTED_VALUE"""),86.62)</f>
        <v>86.62</v>
      </c>
      <c r="F3593" s="122">
        <f>IFERROR(__xludf.DUMMYFUNCTION("""COMPUTED_VALUE"""),0.0052)</f>
        <v>0.0052</v>
      </c>
    </row>
    <row r="3594">
      <c r="A3594" s="131">
        <f>IFERROR(__xludf.DUMMYFUNCTION("""COMPUTED_VALUE"""),46187.44603009259)</f>
        <v>46187.44603</v>
      </c>
      <c r="B3594" s="126">
        <f>IFERROR(__xludf.DUMMYFUNCTION("""COMPUTED_VALUE"""),46187.0)</f>
        <v>46187</v>
      </c>
      <c r="C3594" s="122" t="str">
        <f>IFERROR(__xludf.DUMMYFUNCTION("""COMPUTED_VALUE"""),"VITA")</f>
        <v>VITA</v>
      </c>
      <c r="D3594" s="122" t="str">
        <f>IFERROR(__xludf.DUMMYFUNCTION("""COMPUTED_VALUE"""),"VitaPlus")</f>
        <v>VitaPlus</v>
      </c>
      <c r="E3594" s="122">
        <f>IFERROR(__xludf.DUMMYFUNCTION("""COMPUTED_VALUE"""),75.2)</f>
        <v>75.2</v>
      </c>
      <c r="F3594" s="122">
        <f>IFERROR(__xludf.DUMMYFUNCTION("""COMPUTED_VALUE"""),0.0011)</f>
        <v>0.0011</v>
      </c>
    </row>
    <row r="3595">
      <c r="A3595" s="131">
        <f>IFERROR(__xludf.DUMMYFUNCTION("""COMPUTED_VALUE"""),46187.44603009259)</f>
        <v>46187.44603</v>
      </c>
      <c r="B3595" s="126">
        <f>IFERROR(__xludf.DUMMYFUNCTION("""COMPUTED_VALUE"""),46187.0)</f>
        <v>46187</v>
      </c>
      <c r="C3595" s="122" t="str">
        <f>IFERROR(__xludf.DUMMYFUNCTION("""COMPUTED_VALUE"""),"CARE")</f>
        <v>CARE</v>
      </c>
      <c r="D3595" s="122" t="str">
        <f>IFERROR(__xludf.DUMMYFUNCTION("""COMPUTED_VALUE"""),"CareCloud")</f>
        <v>CareCloud</v>
      </c>
      <c r="E3595" s="122">
        <f>IFERROR(__xludf.DUMMYFUNCTION("""COMPUTED_VALUE"""),176.66)</f>
        <v>176.66</v>
      </c>
      <c r="F3595" s="122">
        <f>IFERROR(__xludf.DUMMYFUNCTION("""COMPUTED_VALUE"""),7.0E-4)</f>
        <v>0.0007</v>
      </c>
    </row>
    <row r="3596">
      <c r="A3596" s="131">
        <f>IFERROR(__xludf.DUMMYFUNCTION("""COMPUTED_VALUE"""),46187.44603009259)</f>
        <v>46187.44603</v>
      </c>
      <c r="B3596" s="126">
        <f>IFERROR(__xludf.DUMMYFUNCTION("""COMPUTED_VALUE"""),46187.0)</f>
        <v>46187</v>
      </c>
      <c r="C3596" s="122" t="str">
        <f>IFERROR(__xludf.DUMMYFUNCTION("""COMPUTED_VALUE"""),"DENT")</f>
        <v>DENT</v>
      </c>
      <c r="D3596" s="122" t="str">
        <f>IFERROR(__xludf.DUMMYFUNCTION("""COMPUTED_VALUE"""),"SmileWorks")</f>
        <v>SmileWorks</v>
      </c>
      <c r="E3596" s="122">
        <f>IFERROR(__xludf.DUMMYFUNCTION("""COMPUTED_VALUE"""),84.37)</f>
        <v>84.37</v>
      </c>
      <c r="F3596" s="122">
        <f>IFERROR(__xludf.DUMMYFUNCTION("""COMPUTED_VALUE"""),0.0037)</f>
        <v>0.0037</v>
      </c>
    </row>
    <row r="3597">
      <c r="A3597" s="131">
        <f>IFERROR(__xludf.DUMMYFUNCTION("""COMPUTED_VALUE"""),46187.44603009259)</f>
        <v>46187.44603</v>
      </c>
      <c r="B3597" s="126">
        <f>IFERROR(__xludf.DUMMYFUNCTION("""COMPUTED_VALUE"""),46187.0)</f>
        <v>46187</v>
      </c>
      <c r="C3597" s="122" t="str">
        <f>IFERROR(__xludf.DUMMYFUNCTION("""COMPUTED_VALUE"""),"EDUX")</f>
        <v>EDUX</v>
      </c>
      <c r="D3597" s="122" t="str">
        <f>IFERROR(__xludf.DUMMYFUNCTION("""COMPUTED_VALUE"""),"EduMax Learning")</f>
        <v>EduMax Learning</v>
      </c>
      <c r="E3597" s="122">
        <f>IFERROR(__xludf.DUMMYFUNCTION("""COMPUTED_VALUE"""),135.38)</f>
        <v>135.38</v>
      </c>
      <c r="F3597" s="122">
        <f>IFERROR(__xludf.DUMMYFUNCTION("""COMPUTED_VALUE"""),0.0013)</f>
        <v>0.0013</v>
      </c>
    </row>
    <row r="3598">
      <c r="A3598" s="131">
        <f>IFERROR(__xludf.DUMMYFUNCTION("""COMPUTED_VALUE"""),46187.44603009259)</f>
        <v>46187.44603</v>
      </c>
      <c r="B3598" s="126">
        <f>IFERROR(__xludf.DUMMYFUNCTION("""COMPUTED_VALUE"""),46187.0)</f>
        <v>46187</v>
      </c>
      <c r="C3598" s="122" t="str">
        <f>IFERROR(__xludf.DUMMYFUNCTION("""COMPUTED_VALUE"""),"BOOK")</f>
        <v>BOOK</v>
      </c>
      <c r="D3598" s="122" t="str">
        <f>IFERROR(__xludf.DUMMYFUNCTION("""COMPUTED_VALUE"""),"BookBridge")</f>
        <v>BookBridge</v>
      </c>
      <c r="E3598" s="122">
        <f>IFERROR(__xludf.DUMMYFUNCTION("""COMPUTED_VALUE"""),116.03)</f>
        <v>116.03</v>
      </c>
      <c r="F3598" s="122">
        <f>IFERROR(__xludf.DUMMYFUNCTION("""COMPUTED_VALUE"""),0.0042)</f>
        <v>0.0042</v>
      </c>
    </row>
    <row r="3599">
      <c r="A3599" s="131">
        <f>IFERROR(__xludf.DUMMYFUNCTION("""COMPUTED_VALUE"""),46187.44603009259)</f>
        <v>46187.44603</v>
      </c>
      <c r="B3599" s="126">
        <f>IFERROR(__xludf.DUMMYFUNCTION("""COMPUTED_VALUE"""),46187.0)</f>
        <v>46187</v>
      </c>
      <c r="C3599" s="122" t="str">
        <f>IFERROR(__xludf.DUMMYFUNCTION("""COMPUTED_VALUE"""),"TUTR")</f>
        <v>TUTR</v>
      </c>
      <c r="D3599" s="122" t="str">
        <f>IFERROR(__xludf.DUMMYFUNCTION("""COMPUTED_VALUE"""),"TutorTown")</f>
        <v>TutorTown</v>
      </c>
      <c r="E3599" s="122">
        <f>IFERROR(__xludf.DUMMYFUNCTION("""COMPUTED_VALUE"""),88.8)</f>
        <v>88.8</v>
      </c>
      <c r="F3599" s="122">
        <f>IFERROR(__xludf.DUMMYFUNCTION("""COMPUTED_VALUE"""),0.0063)</f>
        <v>0.0063</v>
      </c>
    </row>
    <row r="3600">
      <c r="A3600" s="131">
        <f>IFERROR(__xludf.DUMMYFUNCTION("""COMPUTED_VALUE"""),46187.44603009259)</f>
        <v>46187.44603</v>
      </c>
      <c r="B3600" s="126">
        <f>IFERROR(__xludf.DUMMYFUNCTION("""COMPUTED_VALUE"""),46187.0)</f>
        <v>46187</v>
      </c>
      <c r="C3600" s="122" t="str">
        <f>IFERROR(__xludf.DUMMYFUNCTION("""COMPUTED_VALUE"""),"LANG")</f>
        <v>LANG</v>
      </c>
      <c r="D3600" s="122" t="str">
        <f>IFERROR(__xludf.DUMMYFUNCTION("""COMPUTED_VALUE"""),"LinguaLab")</f>
        <v>LinguaLab</v>
      </c>
      <c r="E3600" s="122">
        <f>IFERROR(__xludf.DUMMYFUNCTION("""COMPUTED_VALUE"""),97.81)</f>
        <v>97.81</v>
      </c>
      <c r="F3600" s="122">
        <f>IFERROR(__xludf.DUMMYFUNCTION("""COMPUTED_VALUE"""),-0.0012)</f>
        <v>-0.0012</v>
      </c>
    </row>
    <row r="3601">
      <c r="A3601" s="131">
        <f>IFERROR(__xludf.DUMMYFUNCTION("""COMPUTED_VALUE"""),46187.44603009259)</f>
        <v>46187.44603</v>
      </c>
      <c r="B3601" s="126">
        <f>IFERROR(__xludf.DUMMYFUNCTION("""COMPUTED_VALUE"""),46187.0)</f>
        <v>46187</v>
      </c>
      <c r="C3601" s="122" t="str">
        <f>IFERROR(__xludf.DUMMYFUNCTION("""COMPUTED_VALUE"""),"TEST")</f>
        <v>TEST</v>
      </c>
      <c r="D3601" s="122" t="str">
        <f>IFERROR(__xludf.DUMMYFUNCTION("""COMPUTED_VALUE"""),"TestPrep Pro")</f>
        <v>TestPrep Pro</v>
      </c>
      <c r="E3601" s="122">
        <f>IFERROR(__xludf.DUMMYFUNCTION("""COMPUTED_VALUE"""),98.47)</f>
        <v>98.47</v>
      </c>
      <c r="F3601" s="122">
        <f>IFERROR(__xludf.DUMMYFUNCTION("""COMPUTED_VALUE"""),-0.0024)</f>
        <v>-0.0024</v>
      </c>
    </row>
    <row r="3602">
      <c r="A3602" s="131">
        <f>IFERROR(__xludf.DUMMYFUNCTION("""COMPUTED_VALUE"""),46187.44603009259)</f>
        <v>46187.44603</v>
      </c>
      <c r="B3602" s="126">
        <f>IFERROR(__xludf.DUMMYFUNCTION("""COMPUTED_VALUE"""),46187.0)</f>
        <v>46187</v>
      </c>
      <c r="C3602" s="122" t="str">
        <f>IFERROR(__xludf.DUMMYFUNCTION("""COMPUTED_VALUE"""),"MOVI")</f>
        <v>MOVI</v>
      </c>
      <c r="D3602" s="122" t="str">
        <f>IFERROR(__xludf.DUMMYFUNCTION("""COMPUTED_VALUE"""),"MovieBox")</f>
        <v>MovieBox</v>
      </c>
      <c r="E3602" s="122">
        <f>IFERROR(__xludf.DUMMYFUNCTION("""COMPUTED_VALUE"""),82.25)</f>
        <v>82.25</v>
      </c>
      <c r="F3602" s="122">
        <f>IFERROR(__xludf.DUMMYFUNCTION("""COMPUTED_VALUE"""),0.0065)</f>
        <v>0.0065</v>
      </c>
    </row>
    <row r="3603">
      <c r="A3603" s="131">
        <f>IFERROR(__xludf.DUMMYFUNCTION("""COMPUTED_VALUE"""),46187.44603009259)</f>
        <v>46187.44603</v>
      </c>
      <c r="B3603" s="126">
        <f>IFERROR(__xludf.DUMMYFUNCTION("""COMPUTED_VALUE"""),46187.0)</f>
        <v>46187</v>
      </c>
      <c r="C3603" s="122" t="str">
        <f>IFERROR(__xludf.DUMMYFUNCTION("""COMPUTED_VALUE"""),"MUSC")</f>
        <v>MUSC</v>
      </c>
      <c r="D3603" s="122" t="str">
        <f>IFERROR(__xludf.DUMMYFUNCTION("""COMPUTED_VALUE"""),"MusicWave")</f>
        <v>MusicWave</v>
      </c>
      <c r="E3603" s="122">
        <f>IFERROR(__xludf.DUMMYFUNCTION("""COMPUTED_VALUE"""),98.2)</f>
        <v>98.2</v>
      </c>
      <c r="F3603" s="122">
        <f>IFERROR(__xludf.DUMMYFUNCTION("""COMPUTED_VALUE"""),0.0076)</f>
        <v>0.0076</v>
      </c>
    </row>
    <row r="3604">
      <c r="A3604" s="131">
        <f>IFERROR(__xludf.DUMMYFUNCTION("""COMPUTED_VALUE"""),46187.44603009259)</f>
        <v>46187.44603</v>
      </c>
      <c r="B3604" s="126">
        <f>IFERROR(__xludf.DUMMYFUNCTION("""COMPUTED_VALUE"""),46187.0)</f>
        <v>46187</v>
      </c>
      <c r="C3604" s="122" t="str">
        <f>IFERROR(__xludf.DUMMYFUNCTION("""COMPUTED_VALUE"""),"IDOL")</f>
        <v>IDOL</v>
      </c>
      <c r="D3604" s="122" t="str">
        <f>IFERROR(__xludf.DUMMYFUNCTION("""COMPUTED_VALUE"""),"Idol Agency")</f>
        <v>Idol Agency</v>
      </c>
      <c r="E3604" s="122">
        <f>IFERROR(__xludf.DUMMYFUNCTION("""COMPUTED_VALUE"""),196.38)</f>
        <v>196.38</v>
      </c>
      <c r="F3604" s="122">
        <f>IFERROR(__xludf.DUMMYFUNCTION("""COMPUTED_VALUE"""),-0.0126)</f>
        <v>-0.0126</v>
      </c>
    </row>
    <row r="3605">
      <c r="A3605" s="131">
        <f>IFERROR(__xludf.DUMMYFUNCTION("""COMPUTED_VALUE"""),46187.44603009259)</f>
        <v>46187.44603</v>
      </c>
      <c r="B3605" s="126">
        <f>IFERROR(__xludf.DUMMYFUNCTION("""COMPUTED_VALUE"""),46187.0)</f>
        <v>46187</v>
      </c>
      <c r="C3605" s="122" t="str">
        <f>IFERROR(__xludf.DUMMYFUNCTION("""COMPUTED_VALUE"""),"MEME")</f>
        <v>MEME</v>
      </c>
      <c r="D3605" s="122" t="str">
        <f>IFERROR(__xludf.DUMMYFUNCTION("""COMPUTED_VALUE"""),"Meme Media")</f>
        <v>Meme Media</v>
      </c>
      <c r="E3605" s="122">
        <f>IFERROR(__xludf.DUMMYFUNCTION("""COMPUTED_VALUE"""),75.23)</f>
        <v>75.23</v>
      </c>
      <c r="F3605" s="122">
        <f>IFERROR(__xludf.DUMMYFUNCTION("""COMPUTED_VALUE"""),-0.013)</f>
        <v>-0.013</v>
      </c>
    </row>
    <row r="3606">
      <c r="A3606" s="131">
        <f>IFERROR(__xludf.DUMMYFUNCTION("""COMPUTED_VALUE"""),46187.44603009259)</f>
        <v>46187.44603</v>
      </c>
      <c r="B3606" s="126">
        <f>IFERROR(__xludf.DUMMYFUNCTION("""COMPUTED_VALUE"""),46187.0)</f>
        <v>46187</v>
      </c>
      <c r="C3606" s="122" t="str">
        <f>IFERROR(__xludf.DUMMYFUNCTION("""COMPUTED_VALUE"""),"STRM")</f>
        <v>STRM</v>
      </c>
      <c r="D3606" s="122" t="str">
        <f>IFERROR(__xludf.DUMMYFUNCTION("""COMPUTED_VALUE"""),"Streamly")</f>
        <v>Streamly</v>
      </c>
      <c r="E3606" s="122">
        <f>IFERROR(__xludf.DUMMYFUNCTION("""COMPUTED_VALUE"""),139.26)</f>
        <v>139.26</v>
      </c>
      <c r="F3606" s="122">
        <f>IFERROR(__xludf.DUMMYFUNCTION("""COMPUTED_VALUE"""),-0.0065)</f>
        <v>-0.0065</v>
      </c>
    </row>
    <row r="3607">
      <c r="A3607" s="131">
        <f>IFERROR(__xludf.DUMMYFUNCTION("""COMPUTED_VALUE"""),46187.44603009259)</f>
        <v>46187.44603</v>
      </c>
      <c r="B3607" s="126">
        <f>IFERROR(__xludf.DUMMYFUNCTION("""COMPUTED_VALUE"""),46187.0)</f>
        <v>46187</v>
      </c>
      <c r="C3607" s="122" t="str">
        <f>IFERROR(__xludf.DUMMYFUNCTION("""COMPUTED_VALUE"""),"FARM")</f>
        <v>FARM</v>
      </c>
      <c r="D3607" s="122" t="str">
        <f>IFERROR(__xludf.DUMMYFUNCTION("""COMPUTED_VALUE"""),"Future Farms")</f>
        <v>Future Farms</v>
      </c>
      <c r="E3607" s="122">
        <f>IFERROR(__xludf.DUMMYFUNCTION("""COMPUTED_VALUE"""),85.15)</f>
        <v>85.15</v>
      </c>
      <c r="F3607" s="122">
        <f>IFERROR(__xludf.DUMMYFUNCTION("""COMPUTED_VALUE"""),0.0046)</f>
        <v>0.0046</v>
      </c>
    </row>
    <row r="3608">
      <c r="A3608" s="131">
        <f>IFERROR(__xludf.DUMMYFUNCTION("""COMPUTED_VALUE"""),46187.44603009259)</f>
        <v>46187.44603</v>
      </c>
      <c r="B3608" s="126">
        <f>IFERROR(__xludf.DUMMYFUNCTION("""COMPUTED_VALUE"""),46187.0)</f>
        <v>46187</v>
      </c>
      <c r="C3608" s="122" t="str">
        <f>IFERROR(__xludf.DUMMYFUNCTION("""COMPUTED_VALUE"""),"MEAT")</f>
        <v>MEAT</v>
      </c>
      <c r="D3608" s="122" t="str">
        <f>IFERROR(__xludf.DUMMYFUNCTION("""COMPUTED_VALUE"""),"MeatWorks")</f>
        <v>MeatWorks</v>
      </c>
      <c r="E3608" s="122">
        <f>IFERROR(__xludf.DUMMYFUNCTION("""COMPUTED_VALUE"""),103.83)</f>
        <v>103.83</v>
      </c>
      <c r="F3608" s="122">
        <f>IFERROR(__xludf.DUMMYFUNCTION("""COMPUTED_VALUE"""),0.0014)</f>
        <v>0.0014</v>
      </c>
    </row>
    <row r="3609">
      <c r="A3609" s="131">
        <f>IFERROR(__xludf.DUMMYFUNCTION("""COMPUTED_VALUE"""),46187.44603009259)</f>
        <v>46187.44603</v>
      </c>
      <c r="B3609" s="126">
        <f>IFERROR(__xludf.DUMMYFUNCTION("""COMPUTED_VALUE"""),46187.0)</f>
        <v>46187</v>
      </c>
      <c r="C3609" s="122" t="str">
        <f>IFERROR(__xludf.DUMMYFUNCTION("""COMPUTED_VALUE"""),"VEGI")</f>
        <v>VEGI</v>
      </c>
      <c r="D3609" s="122" t="str">
        <f>IFERROR(__xludf.DUMMYFUNCTION("""COMPUTED_VALUE"""),"Green Basket")</f>
        <v>Green Basket</v>
      </c>
      <c r="E3609" s="122">
        <f>IFERROR(__xludf.DUMMYFUNCTION("""COMPUTED_VALUE"""),81.17)</f>
        <v>81.17</v>
      </c>
      <c r="F3609" s="122">
        <f>IFERROR(__xludf.DUMMYFUNCTION("""COMPUTED_VALUE"""),-0.0038)</f>
        <v>-0.0038</v>
      </c>
    </row>
    <row r="3610">
      <c r="A3610" s="131">
        <f>IFERROR(__xludf.DUMMYFUNCTION("""COMPUTED_VALUE"""),46187.44603009259)</f>
        <v>46187.44603</v>
      </c>
      <c r="B3610" s="126">
        <f>IFERROR(__xludf.DUMMYFUNCTION("""COMPUTED_VALUE"""),46187.0)</f>
        <v>46187</v>
      </c>
      <c r="C3610" s="122" t="str">
        <f>IFERROR(__xludf.DUMMYFUNCTION("""COMPUTED_VALUE"""),"CAFE")</f>
        <v>CAFE</v>
      </c>
      <c r="D3610" s="122" t="str">
        <f>IFERROR(__xludf.DUMMYFUNCTION("""COMPUTED_VALUE"""),"Cafe Cloud")</f>
        <v>Cafe Cloud</v>
      </c>
      <c r="E3610" s="122">
        <f>IFERROR(__xludf.DUMMYFUNCTION("""COMPUTED_VALUE"""),101.3)</f>
        <v>101.3</v>
      </c>
      <c r="F3610" s="122">
        <f>IFERROR(__xludf.DUMMYFUNCTION("""COMPUTED_VALUE"""),-0.001)</f>
        <v>-0.001</v>
      </c>
    </row>
    <row r="3611">
      <c r="A3611" s="131">
        <f>IFERROR(__xludf.DUMMYFUNCTION("""COMPUTED_VALUE"""),46187.44603009259)</f>
        <v>46187.44603</v>
      </c>
      <c r="B3611" s="126">
        <f>IFERROR(__xludf.DUMMYFUNCTION("""COMPUTED_VALUE"""),46187.0)</f>
        <v>46187</v>
      </c>
      <c r="C3611" s="122" t="str">
        <f>IFERROR(__xludf.DUMMYFUNCTION("""COMPUTED_VALUE"""),"BAKE")</f>
        <v>BAKE</v>
      </c>
      <c r="D3611" s="122" t="str">
        <f>IFERROR(__xludf.DUMMYFUNCTION("""COMPUTED_VALUE"""),"BakeHouse")</f>
        <v>BakeHouse</v>
      </c>
      <c r="E3611" s="122">
        <f>IFERROR(__xludf.DUMMYFUNCTION("""COMPUTED_VALUE"""),101.04)</f>
        <v>101.04</v>
      </c>
      <c r="F3611" s="122">
        <f>IFERROR(__xludf.DUMMYFUNCTION("""COMPUTED_VALUE"""),0.0026)</f>
        <v>0.0026</v>
      </c>
    </row>
    <row r="3612">
      <c r="A3612" s="131">
        <f>IFERROR(__xludf.DUMMYFUNCTION("""COMPUTED_VALUE"""),46187.44603009259)</f>
        <v>46187.44603</v>
      </c>
      <c r="B3612" s="126">
        <f>IFERROR(__xludf.DUMMYFUNCTION("""COMPUTED_VALUE"""),46187.0)</f>
        <v>46187</v>
      </c>
      <c r="C3612" s="122" t="str">
        <f>IFERROR(__xludf.DUMMYFUNCTION("""COMPUTED_VALUE"""),"OILX")</f>
        <v>OILX</v>
      </c>
      <c r="D3612" s="122" t="str">
        <f>IFERROR(__xludf.DUMMYFUNCTION("""COMPUTED_VALUE"""),"OilMax Energy")</f>
        <v>OilMax Energy</v>
      </c>
      <c r="E3612" s="122">
        <f>IFERROR(__xludf.DUMMYFUNCTION("""COMPUTED_VALUE"""),131.18)</f>
        <v>131.18</v>
      </c>
      <c r="F3612" s="122">
        <f>IFERROR(__xludf.DUMMYFUNCTION("""COMPUTED_VALUE"""),-5.0E-4)</f>
        <v>-0.0005</v>
      </c>
    </row>
    <row r="3613">
      <c r="A3613" s="131">
        <f>IFERROR(__xludf.DUMMYFUNCTION("""COMPUTED_VALUE"""),46187.44603009259)</f>
        <v>46187.44603</v>
      </c>
      <c r="B3613" s="126">
        <f>IFERROR(__xludf.DUMMYFUNCTION("""COMPUTED_VALUE"""),46187.0)</f>
        <v>46187</v>
      </c>
      <c r="C3613" s="122" t="str">
        <f>IFERROR(__xludf.DUMMYFUNCTION("""COMPUTED_VALUE"""),"SOLR")</f>
        <v>SOLR</v>
      </c>
      <c r="D3613" s="122" t="str">
        <f>IFERROR(__xludf.DUMMYFUNCTION("""COMPUTED_VALUE"""),"SolarSpark")</f>
        <v>SolarSpark</v>
      </c>
      <c r="E3613" s="122">
        <f>IFERROR(__xludf.DUMMYFUNCTION("""COMPUTED_VALUE"""),89.88)</f>
        <v>89.88</v>
      </c>
      <c r="F3613" s="122">
        <f>IFERROR(__xludf.DUMMYFUNCTION("""COMPUTED_VALUE"""),0.0085)</f>
        <v>0.0085</v>
      </c>
    </row>
    <row r="3614">
      <c r="A3614" s="131">
        <f>IFERROR(__xludf.DUMMYFUNCTION("""COMPUTED_VALUE"""),46187.44603009259)</f>
        <v>46187.44603</v>
      </c>
      <c r="B3614" s="126">
        <f>IFERROR(__xludf.DUMMYFUNCTION("""COMPUTED_VALUE"""),46187.0)</f>
        <v>46187</v>
      </c>
      <c r="C3614" s="122" t="str">
        <f>IFERROR(__xludf.DUMMYFUNCTION("""COMPUTED_VALUE"""),"BATT")</f>
        <v>BATT</v>
      </c>
      <c r="D3614" s="122" t="str">
        <f>IFERROR(__xludf.DUMMYFUNCTION("""COMPUTED_VALUE"""),"BatteryBox")</f>
        <v>BatteryBox</v>
      </c>
      <c r="E3614" s="122">
        <f>IFERROR(__xludf.DUMMYFUNCTION("""COMPUTED_VALUE"""),120.39)</f>
        <v>120.39</v>
      </c>
      <c r="F3614" s="122">
        <f>IFERROR(__xludf.DUMMYFUNCTION("""COMPUTED_VALUE"""),-0.0108)</f>
        <v>-0.0108</v>
      </c>
    </row>
    <row r="3615">
      <c r="A3615" s="131">
        <f>IFERROR(__xludf.DUMMYFUNCTION("""COMPUTED_VALUE"""),46187.44603009259)</f>
        <v>46187.44603</v>
      </c>
      <c r="B3615" s="126">
        <f>IFERROR(__xludf.DUMMYFUNCTION("""COMPUTED_VALUE"""),46187.0)</f>
        <v>46187</v>
      </c>
      <c r="C3615" s="122" t="str">
        <f>IFERROR(__xludf.DUMMYFUNCTION("""COMPUTED_VALUE"""),"WIND")</f>
        <v>WIND</v>
      </c>
      <c r="D3615" s="122" t="str">
        <f>IFERROR(__xludf.DUMMYFUNCTION("""COMPUTED_VALUE"""),"WindWorks")</f>
        <v>WindWorks</v>
      </c>
      <c r="E3615" s="122">
        <f>IFERROR(__xludf.DUMMYFUNCTION("""COMPUTED_VALUE"""),88.55)</f>
        <v>88.55</v>
      </c>
      <c r="F3615" s="122">
        <f>IFERROR(__xludf.DUMMYFUNCTION("""COMPUTED_VALUE"""),8.0E-4)</f>
        <v>0.0008</v>
      </c>
    </row>
    <row r="3616">
      <c r="A3616" s="131">
        <f>IFERROR(__xludf.DUMMYFUNCTION("""COMPUTED_VALUE"""),46187.44603009259)</f>
        <v>46187.44603</v>
      </c>
      <c r="B3616" s="126">
        <f>IFERROR(__xludf.DUMMYFUNCTION("""COMPUTED_VALUE"""),46187.0)</f>
        <v>46187</v>
      </c>
      <c r="C3616" s="122" t="str">
        <f>IFERROR(__xludf.DUMMYFUNCTION("""COMPUTED_VALUE"""),"GRID")</f>
        <v>GRID</v>
      </c>
      <c r="D3616" s="122" t="str">
        <f>IFERROR(__xludf.DUMMYFUNCTION("""COMPUTED_VALUE"""),"GridPower")</f>
        <v>GridPower</v>
      </c>
      <c r="E3616" s="122">
        <f>IFERROR(__xludf.DUMMYFUNCTION("""COMPUTED_VALUE"""),140.45)</f>
        <v>140.45</v>
      </c>
      <c r="F3616" s="122">
        <f>IFERROR(__xludf.DUMMYFUNCTION("""COMPUTED_VALUE"""),-0.0016)</f>
        <v>-0.0016</v>
      </c>
    </row>
    <row r="3617">
      <c r="A3617" s="131">
        <f>IFERROR(__xludf.DUMMYFUNCTION("""COMPUTED_VALUE"""),46187.44603009259)</f>
        <v>46187.44603</v>
      </c>
      <c r="B3617" s="126">
        <f>IFERROR(__xludf.DUMMYFUNCTION("""COMPUTED_VALUE"""),46187.0)</f>
        <v>46187</v>
      </c>
      <c r="C3617" s="122" t="str">
        <f>IFERROR(__xludf.DUMMYFUNCTION("""COMPUTED_VALUE"""),"HOME")</f>
        <v>HOME</v>
      </c>
      <c r="D3617" s="122" t="str">
        <f>IFERROR(__xludf.DUMMYFUNCTION("""COMPUTED_VALUE"""),"HomeHub")</f>
        <v>HomeHub</v>
      </c>
      <c r="E3617" s="122">
        <f>IFERROR(__xludf.DUMMYFUNCTION("""COMPUTED_VALUE"""),152.08)</f>
        <v>152.08</v>
      </c>
      <c r="F3617" s="122">
        <f>IFERROR(__xludf.DUMMYFUNCTION("""COMPUTED_VALUE"""),-5.0E-4)</f>
        <v>-0.0005</v>
      </c>
    </row>
    <row r="3618">
      <c r="A3618" s="131">
        <f>IFERROR(__xludf.DUMMYFUNCTION("""COMPUTED_VALUE"""),46187.44603009259)</f>
        <v>46187.44603</v>
      </c>
      <c r="B3618" s="126">
        <f>IFERROR(__xludf.DUMMYFUNCTION("""COMPUTED_VALUE"""),46187.0)</f>
        <v>46187</v>
      </c>
      <c r="C3618" s="122" t="str">
        <f>IFERROR(__xludf.DUMMYFUNCTION("""COMPUTED_VALUE"""),"RENT")</f>
        <v>RENT</v>
      </c>
      <c r="D3618" s="122" t="str">
        <f>IFERROR(__xludf.DUMMYFUNCTION("""COMPUTED_VALUE"""),"RentRight")</f>
        <v>RentRight</v>
      </c>
      <c r="E3618" s="122">
        <f>IFERROR(__xludf.DUMMYFUNCTION("""COMPUTED_VALUE"""),92.73)</f>
        <v>92.73</v>
      </c>
      <c r="F3618" s="122">
        <f>IFERROR(__xludf.DUMMYFUNCTION("""COMPUTED_VALUE"""),0.0057)</f>
        <v>0.0057</v>
      </c>
    </row>
    <row r="3619">
      <c r="A3619" s="131">
        <f>IFERROR(__xludf.DUMMYFUNCTION("""COMPUTED_VALUE"""),46187.44603009259)</f>
        <v>46187.44603</v>
      </c>
      <c r="B3619" s="126">
        <f>IFERROR(__xludf.DUMMYFUNCTION("""COMPUTED_VALUE"""),46187.0)</f>
        <v>46187</v>
      </c>
      <c r="C3619" s="122" t="str">
        <f>IFERROR(__xludf.DUMMYFUNCTION("""COMPUTED_VALUE"""),"MALL")</f>
        <v>MALL</v>
      </c>
      <c r="D3619" s="122" t="str">
        <f>IFERROR(__xludf.DUMMYFUNCTION("""COMPUTED_VALUE"""),"MegaMall")</f>
        <v>MegaMall</v>
      </c>
      <c r="E3619" s="122">
        <f>IFERROR(__xludf.DUMMYFUNCTION("""COMPUTED_VALUE"""),100.81)</f>
        <v>100.81</v>
      </c>
      <c r="F3619" s="122">
        <f>IFERROR(__xludf.DUMMYFUNCTION("""COMPUTED_VALUE"""),0.001)</f>
        <v>0.001</v>
      </c>
    </row>
    <row r="3620">
      <c r="A3620" s="131">
        <f>IFERROR(__xludf.DUMMYFUNCTION("""COMPUTED_VALUE"""),46187.44603009259)</f>
        <v>46187.44603</v>
      </c>
      <c r="B3620" s="126">
        <f>IFERROR(__xludf.DUMMYFUNCTION("""COMPUTED_VALUE"""),46187.0)</f>
        <v>46187</v>
      </c>
      <c r="C3620" s="122" t="str">
        <f>IFERROR(__xludf.DUMMYFUNCTION("""COMPUTED_VALUE"""),"HOTL")</f>
        <v>HOTL</v>
      </c>
      <c r="D3620" s="122" t="str">
        <f>IFERROR(__xludf.DUMMYFUNCTION("""COMPUTED_VALUE"""),"HotelHive")</f>
        <v>HotelHive</v>
      </c>
      <c r="E3620" s="122">
        <f>IFERROR(__xludf.DUMMYFUNCTION("""COMPUTED_VALUE"""),130.53)</f>
        <v>130.53</v>
      </c>
      <c r="F3620" s="122">
        <f>IFERROR(__xludf.DUMMYFUNCTION("""COMPUTED_VALUE"""),8.0E-4)</f>
        <v>0.0008</v>
      </c>
    </row>
    <row r="3621">
      <c r="A3621" s="131">
        <f>IFERROR(__xludf.DUMMYFUNCTION("""COMPUTED_VALUE"""),46187.44603009259)</f>
        <v>46187.44603</v>
      </c>
      <c r="B3621" s="126">
        <f>IFERROR(__xludf.DUMMYFUNCTION("""COMPUTED_VALUE"""),46187.0)</f>
        <v>46187</v>
      </c>
      <c r="C3621" s="122" t="str">
        <f>IFERROR(__xludf.DUMMYFUNCTION("""COMPUTED_VALUE"""),"LAND")</f>
        <v>LAND</v>
      </c>
      <c r="D3621" s="122" t="str">
        <f>IFERROR(__xludf.DUMMYFUNCTION("""COMPUTED_VALUE"""),"LandLink")</f>
        <v>LandLink</v>
      </c>
      <c r="E3621" s="122">
        <f>IFERROR(__xludf.DUMMYFUNCTION("""COMPUTED_VALUE"""),182.92)</f>
        <v>182.92</v>
      </c>
      <c r="F3621" s="122">
        <f>IFERROR(__xludf.DUMMYFUNCTION("""COMPUTED_VALUE"""),0.0025)</f>
        <v>0.0025</v>
      </c>
    </row>
    <row r="3622">
      <c r="A3622" s="131">
        <f>IFERROR(__xludf.DUMMYFUNCTION("""COMPUTED_VALUE"""),46187.44603009259)</f>
        <v>46187.44603</v>
      </c>
      <c r="B3622" s="126">
        <f>IFERROR(__xludf.DUMMYFUNCTION("""COMPUTED_VALUE"""),46187.0)</f>
        <v>46187</v>
      </c>
      <c r="C3622" s="122" t="str">
        <f>IFERROR(__xludf.DUMMYFUNCTION("""COMPUTED_VALUE"""),"CARS")</f>
        <v>CARS</v>
      </c>
      <c r="D3622" s="122" t="str">
        <f>IFERROR(__xludf.DUMMYFUNCTION("""COMPUTED_VALUE"""),"AutoArena")</f>
        <v>AutoArena</v>
      </c>
      <c r="E3622" s="122">
        <f>IFERROR(__xludf.DUMMYFUNCTION("""COMPUTED_VALUE"""),81.3)</f>
        <v>81.3</v>
      </c>
      <c r="F3622" s="122">
        <f>IFERROR(__xludf.DUMMYFUNCTION("""COMPUTED_VALUE"""),0.0062)</f>
        <v>0.0062</v>
      </c>
    </row>
    <row r="3623">
      <c r="A3623" s="131">
        <f>IFERROR(__xludf.DUMMYFUNCTION("""COMPUTED_VALUE"""),46187.44603009259)</f>
        <v>46187.44603</v>
      </c>
      <c r="B3623" s="126">
        <f>IFERROR(__xludf.DUMMYFUNCTION("""COMPUTED_VALUE"""),46187.0)</f>
        <v>46187</v>
      </c>
      <c r="C3623" s="122" t="str">
        <f>IFERROR(__xludf.DUMMYFUNCTION("""COMPUTED_VALUE"""),"EVGO")</f>
        <v>EVGO</v>
      </c>
      <c r="D3623" s="122" t="str">
        <f>IFERROR(__xludf.DUMMYFUNCTION("""COMPUTED_VALUE"""),"EVGo Motors")</f>
        <v>EVGo Motors</v>
      </c>
      <c r="E3623" s="122">
        <f>IFERROR(__xludf.DUMMYFUNCTION("""COMPUTED_VALUE"""),185.42)</f>
        <v>185.42</v>
      </c>
      <c r="F3623" s="122">
        <f>IFERROR(__xludf.DUMMYFUNCTION("""COMPUTED_VALUE"""),-0.0115)</f>
        <v>-0.0115</v>
      </c>
    </row>
    <row r="3624">
      <c r="A3624" s="131">
        <f>IFERROR(__xludf.DUMMYFUNCTION("""COMPUTED_VALUE"""),46187.44603009259)</f>
        <v>46187.44603</v>
      </c>
      <c r="B3624" s="126">
        <f>IFERROR(__xludf.DUMMYFUNCTION("""COMPUTED_VALUE"""),46187.0)</f>
        <v>46187</v>
      </c>
      <c r="C3624" s="122" t="str">
        <f>IFERROR(__xludf.DUMMYFUNCTION("""COMPUTED_VALUE"""),"TIRE")</f>
        <v>TIRE</v>
      </c>
      <c r="D3624" s="122" t="str">
        <f>IFERROR(__xludf.DUMMYFUNCTION("""COMPUTED_VALUE"""),"TireTown")</f>
        <v>TireTown</v>
      </c>
      <c r="E3624" s="122">
        <f>IFERROR(__xludf.DUMMYFUNCTION("""COMPUTED_VALUE"""),94.43)</f>
        <v>94.43</v>
      </c>
      <c r="F3624" s="122">
        <f>IFERROR(__xludf.DUMMYFUNCTION("""COMPUTED_VALUE"""),-0.0014)</f>
        <v>-0.0014</v>
      </c>
    </row>
    <row r="3625">
      <c r="A3625" s="131">
        <f>IFERROR(__xludf.DUMMYFUNCTION("""COMPUTED_VALUE"""),46187.44603009259)</f>
        <v>46187.44603</v>
      </c>
      <c r="B3625" s="126">
        <f>IFERROR(__xludf.DUMMYFUNCTION("""COMPUTED_VALUE"""),46187.0)</f>
        <v>46187</v>
      </c>
      <c r="C3625" s="122" t="str">
        <f>IFERROR(__xludf.DUMMYFUNCTION("""COMPUTED_VALUE"""),"BIKE")</f>
        <v>BIKE</v>
      </c>
      <c r="D3625" s="122" t="str">
        <f>IFERROR(__xludf.DUMMYFUNCTION("""COMPUTED_VALUE"""),"BikeBox")</f>
        <v>BikeBox</v>
      </c>
      <c r="E3625" s="122">
        <f>IFERROR(__xludf.DUMMYFUNCTION("""COMPUTED_VALUE"""),53.32)</f>
        <v>53.32</v>
      </c>
      <c r="F3625" s="122">
        <f>IFERROR(__xludf.DUMMYFUNCTION("""COMPUTED_VALUE"""),0.0051)</f>
        <v>0.0051</v>
      </c>
    </row>
    <row r="3626">
      <c r="A3626" s="131">
        <f>IFERROR(__xludf.DUMMYFUNCTION("""COMPUTED_VALUE"""),46187.44603009259)</f>
        <v>46187.44603</v>
      </c>
      <c r="B3626" s="126">
        <f>IFERROR(__xludf.DUMMYFUNCTION("""COMPUTED_VALUE"""),46187.0)</f>
        <v>46187</v>
      </c>
      <c r="C3626" s="122" t="str">
        <f>IFERROR(__xludf.DUMMYFUNCTION("""COMPUTED_VALUE"""),"WASH")</f>
        <v>WASH</v>
      </c>
      <c r="D3626" s="122" t="str">
        <f>IFERROR(__xludf.DUMMYFUNCTION("""COMPUTED_VALUE"""),"CarWash Co")</f>
        <v>CarWash Co</v>
      </c>
      <c r="E3626" s="122">
        <f>IFERROR(__xludf.DUMMYFUNCTION("""COMPUTED_VALUE"""),119.9)</f>
        <v>119.9</v>
      </c>
      <c r="F3626" s="122">
        <f>IFERROR(__xludf.DUMMYFUNCTION("""COMPUTED_VALUE"""),-0.0021)</f>
        <v>-0.0021</v>
      </c>
    </row>
    <row r="3627">
      <c r="A3627" s="131">
        <f>IFERROR(__xludf.DUMMYFUNCTION("""COMPUTED_VALUE"""),46187.44603009259)</f>
        <v>46187.44603</v>
      </c>
      <c r="B3627" s="126">
        <f>IFERROR(__xludf.DUMMYFUNCTION("""COMPUTED_VALUE"""),46187.0)</f>
        <v>46187</v>
      </c>
      <c r="C3627" s="122" t="str">
        <f>IFERROR(__xludf.DUMMYFUNCTION("""COMPUTED_VALUE"""),"GBND")</f>
        <v>GBND</v>
      </c>
      <c r="D3627" s="122" t="str">
        <f>IFERROR(__xludf.DUMMYFUNCTION("""COMPUTED_VALUE"""),"Classroom Government Bond")</f>
        <v>Classroom Government Bond</v>
      </c>
      <c r="E3627" s="122">
        <f>IFERROR(__xludf.DUMMYFUNCTION("""COMPUTED_VALUE"""),100.92)</f>
        <v>100.92</v>
      </c>
      <c r="F3627" s="122">
        <f>IFERROR(__xludf.DUMMYFUNCTION("""COMPUTED_VALUE"""),-2.0E-4)</f>
        <v>-0.0002</v>
      </c>
    </row>
    <row r="3628">
      <c r="A3628" s="131">
        <f>IFERROR(__xludf.DUMMYFUNCTION("""COMPUTED_VALUE"""),46187.44603009259)</f>
        <v>46187.44603</v>
      </c>
      <c r="B3628" s="126">
        <f>IFERROR(__xludf.DUMMYFUNCTION("""COMPUTED_VALUE"""),46187.0)</f>
        <v>46187</v>
      </c>
      <c r="C3628" s="122" t="str">
        <f>IFERROR(__xludf.DUMMYFUNCTION("""COMPUTED_VALUE"""),"SBND")</f>
        <v>SBND</v>
      </c>
      <c r="D3628" s="122" t="str">
        <f>IFERROR(__xludf.DUMMYFUNCTION("""COMPUTED_VALUE"""),"School Savings Bond")</f>
        <v>School Savings Bond</v>
      </c>
      <c r="E3628" s="122">
        <f>IFERROR(__xludf.DUMMYFUNCTION("""COMPUTED_VALUE"""),99.49)</f>
        <v>99.49</v>
      </c>
      <c r="F3628" s="122">
        <f>IFERROR(__xludf.DUMMYFUNCTION("""COMPUTED_VALUE"""),0.0)</f>
        <v>0</v>
      </c>
    </row>
    <row r="3629">
      <c r="A3629" s="131">
        <f>IFERROR(__xludf.DUMMYFUNCTION("""COMPUTED_VALUE"""),46187.44603009259)</f>
        <v>46187.44603</v>
      </c>
      <c r="B3629" s="126">
        <f>IFERROR(__xludf.DUMMYFUNCTION("""COMPUTED_VALUE"""),46187.0)</f>
        <v>46187</v>
      </c>
      <c r="C3629" s="122" t="str">
        <f>IFERROR(__xludf.DUMMYFUNCTION("""COMPUTED_VALUE"""),"CBND")</f>
        <v>CBND</v>
      </c>
      <c r="D3629" s="122" t="str">
        <f>IFERROR(__xludf.DUMMYFUNCTION("""COMPUTED_VALUE"""),"Corporate Classroom Bond")</f>
        <v>Corporate Classroom Bond</v>
      </c>
      <c r="E3629" s="122">
        <f>IFERROR(__xludf.DUMMYFUNCTION("""COMPUTED_VALUE"""),97.73)</f>
        <v>97.73</v>
      </c>
      <c r="F3629" s="122">
        <f>IFERROR(__xludf.DUMMYFUNCTION("""COMPUTED_VALUE"""),-5.0E-4)</f>
        <v>-0.0005</v>
      </c>
    </row>
    <row r="3630">
      <c r="A3630" s="131">
        <f>IFERROR(__xludf.DUMMYFUNCTION("""COMPUTED_VALUE"""),46187.44603009259)</f>
        <v>46187.44603</v>
      </c>
      <c r="B3630" s="126">
        <f>IFERROR(__xludf.DUMMYFUNCTION("""COMPUTED_VALUE"""),46187.0)</f>
        <v>46187</v>
      </c>
      <c r="C3630" s="122" t="str">
        <f>IFERROR(__xludf.DUMMYFUNCTION("""COMPUTED_VALUE"""),"TBIL")</f>
        <v>TBIL</v>
      </c>
      <c r="D3630" s="122" t="str">
        <f>IFERROR(__xludf.DUMMYFUNCTION("""COMPUTED_VALUE"""),"Treasury Bill")</f>
        <v>Treasury Bill</v>
      </c>
      <c r="E3630" s="122">
        <f>IFERROR(__xludf.DUMMYFUNCTION("""COMPUTED_VALUE"""),98.09)</f>
        <v>98.09</v>
      </c>
      <c r="F3630" s="122">
        <f>IFERROR(__xludf.DUMMYFUNCTION("""COMPUTED_VALUE"""),4.0E-4)</f>
        <v>0.0004</v>
      </c>
    </row>
    <row r="3631">
      <c r="A3631" s="131">
        <f>IFERROR(__xludf.DUMMYFUNCTION("""COMPUTED_VALUE"""),46187.44603009259)</f>
        <v>46187.44603</v>
      </c>
      <c r="B3631" s="126">
        <f>IFERROR(__xludf.DUMMYFUNCTION("""COMPUTED_VALUE"""),46187.0)</f>
        <v>46187</v>
      </c>
      <c r="C3631" s="122" t="str">
        <f>IFERROR(__xludf.DUMMYFUNCTION("""COMPUTED_VALUE"""),"IBND")</f>
        <v>IBND</v>
      </c>
      <c r="D3631" s="122" t="str">
        <f>IFERROR(__xludf.DUMMYFUNCTION("""COMPUTED_VALUE"""),"Inflation Protected Bond")</f>
        <v>Inflation Protected Bond</v>
      </c>
      <c r="E3631" s="122">
        <f>IFERROR(__xludf.DUMMYFUNCTION("""COMPUTED_VALUE"""),100.58)</f>
        <v>100.58</v>
      </c>
      <c r="F3631" s="122">
        <f>IFERROR(__xludf.DUMMYFUNCTION("""COMPUTED_VALUE"""),1.0E-4)</f>
        <v>0.0001</v>
      </c>
    </row>
    <row r="3632">
      <c r="A3632" s="131">
        <f>IFERROR(__xludf.DUMMYFUNCTION("""COMPUTED_VALUE"""),46187.44943287037)</f>
        <v>46187.44943</v>
      </c>
      <c r="B3632" s="126">
        <f>IFERROR(__xludf.DUMMYFUNCTION("""COMPUTED_VALUE"""),46187.0)</f>
        <v>46187</v>
      </c>
      <c r="C3632" s="122" t="str">
        <f>IFERROR(__xludf.DUMMYFUNCTION("""COMPUTED_VALUE"""),"SNAX")</f>
        <v>SNAX</v>
      </c>
      <c r="D3632" s="122" t="str">
        <f>IFERROR(__xludf.DUMMYFUNCTION("""COMPUTED_VALUE"""),"MICA Snacks")</f>
        <v>MICA Snacks</v>
      </c>
      <c r="E3632" s="122">
        <f>IFERROR(__xludf.DUMMYFUNCTION("""COMPUTED_VALUE"""),122.38)</f>
        <v>122.38</v>
      </c>
      <c r="F3632" s="122">
        <f>IFERROR(__xludf.DUMMYFUNCTION("""COMPUTED_VALUE"""),0.0067)</f>
        <v>0.0067</v>
      </c>
    </row>
    <row r="3633">
      <c r="A3633" s="131">
        <f>IFERROR(__xludf.DUMMYFUNCTION("""COMPUTED_VALUE"""),46187.44943287037)</f>
        <v>46187.44943</v>
      </c>
      <c r="B3633" s="126">
        <f>IFERROR(__xludf.DUMMYFUNCTION("""COMPUTED_VALUE"""),46187.0)</f>
        <v>46187</v>
      </c>
      <c r="C3633" s="122" t="str">
        <f>IFERROR(__xludf.DUMMYFUNCTION("""COMPUTED_VALUE"""),"RAMN")</f>
        <v>RAMN</v>
      </c>
      <c r="D3633" s="122" t="str">
        <f>IFERROR(__xludf.DUMMYFUNCTION("""COMPUTED_VALUE"""),"Ramen Republic")</f>
        <v>Ramen Republic</v>
      </c>
      <c r="E3633" s="122">
        <f>IFERROR(__xludf.DUMMYFUNCTION("""COMPUTED_VALUE"""),71.79)</f>
        <v>71.79</v>
      </c>
      <c r="F3633" s="122">
        <f>IFERROR(__xludf.DUMMYFUNCTION("""COMPUTED_VALUE"""),-0.0011)</f>
        <v>-0.0011</v>
      </c>
    </row>
    <row r="3634">
      <c r="A3634" s="131">
        <f>IFERROR(__xludf.DUMMYFUNCTION("""COMPUTED_VALUE"""),46187.44943287037)</f>
        <v>46187.44943</v>
      </c>
      <c r="B3634" s="126">
        <f>IFERROR(__xludf.DUMMYFUNCTION("""COMPUTED_VALUE"""),46187.0)</f>
        <v>46187</v>
      </c>
      <c r="C3634" s="122" t="str">
        <f>IFERROR(__xludf.DUMMYFUNCTION("""COMPUTED_VALUE"""),"COLA")</f>
        <v>COLA</v>
      </c>
      <c r="D3634" s="122" t="str">
        <f>IFERROR(__xludf.DUMMYFUNCTION("""COMPUTED_VALUE"""),"K-Pop Cola")</f>
        <v>K-Pop Cola</v>
      </c>
      <c r="E3634" s="122">
        <f>IFERROR(__xludf.DUMMYFUNCTION("""COMPUTED_VALUE"""),108.81)</f>
        <v>108.81</v>
      </c>
      <c r="F3634" s="122">
        <f>IFERROR(__xludf.DUMMYFUNCTION("""COMPUTED_VALUE"""),-0.0051)</f>
        <v>-0.0051</v>
      </c>
    </row>
    <row r="3635">
      <c r="A3635" s="131">
        <f>IFERROR(__xludf.DUMMYFUNCTION("""COMPUTED_VALUE"""),46187.44943287037)</f>
        <v>46187.44943</v>
      </c>
      <c r="B3635" s="126">
        <f>IFERROR(__xludf.DUMMYFUNCTION("""COMPUTED_VALUE"""),46187.0)</f>
        <v>46187</v>
      </c>
      <c r="C3635" s="122" t="str">
        <f>IFERROR(__xludf.DUMMYFUNCTION("""COMPUTED_VALUE"""),"CHIP")</f>
        <v>CHIP</v>
      </c>
      <c r="D3635" s="122" t="str">
        <f>IFERROR(__xludf.DUMMYFUNCTION("""COMPUTED_VALUE"""),"Chip Empire")</f>
        <v>Chip Empire</v>
      </c>
      <c r="E3635" s="122">
        <f>IFERROR(__xludf.DUMMYFUNCTION("""COMPUTED_VALUE"""),88.43)</f>
        <v>88.43</v>
      </c>
      <c r="F3635" s="122">
        <f>IFERROR(__xludf.DUMMYFUNCTION("""COMPUTED_VALUE"""),0.0088)</f>
        <v>0.0088</v>
      </c>
    </row>
    <row r="3636">
      <c r="A3636" s="131">
        <f>IFERROR(__xludf.DUMMYFUNCTION("""COMPUTED_VALUE"""),46187.44943287037)</f>
        <v>46187.44943</v>
      </c>
      <c r="B3636" s="126">
        <f>IFERROR(__xludf.DUMMYFUNCTION("""COMPUTED_VALUE"""),46187.0)</f>
        <v>46187</v>
      </c>
      <c r="C3636" s="122" t="str">
        <f>IFERROR(__xludf.DUMMYFUNCTION("""COMPUTED_VALUE"""),"CAND")</f>
        <v>CAND</v>
      </c>
      <c r="D3636" s="122" t="str">
        <f>IFERROR(__xludf.DUMMYFUNCTION("""COMPUTED_VALUE"""),"Candy Capital")</f>
        <v>Candy Capital</v>
      </c>
      <c r="E3636" s="122">
        <f>IFERROR(__xludf.DUMMYFUNCTION("""COMPUTED_VALUE"""),76.72)</f>
        <v>76.72</v>
      </c>
      <c r="F3636" s="122">
        <f>IFERROR(__xludf.DUMMYFUNCTION("""COMPUTED_VALUE"""),-0.0048)</f>
        <v>-0.0048</v>
      </c>
    </row>
    <row r="3637">
      <c r="A3637" s="131">
        <f>IFERROR(__xludf.DUMMYFUNCTION("""COMPUTED_VALUE"""),46187.44943287037)</f>
        <v>46187.44943</v>
      </c>
      <c r="B3637" s="126">
        <f>IFERROR(__xludf.DUMMYFUNCTION("""COMPUTED_VALUE"""),46187.0)</f>
        <v>46187</v>
      </c>
      <c r="C3637" s="122" t="str">
        <f>IFERROR(__xludf.DUMMYFUNCTION("""COMPUTED_VALUE"""),"TECH")</f>
        <v>TECH</v>
      </c>
      <c r="D3637" s="122" t="str">
        <f>IFERROR(__xludf.DUMMYFUNCTION("""COMPUTED_VALUE"""),"Dragon Tech")</f>
        <v>Dragon Tech</v>
      </c>
      <c r="E3637" s="122">
        <f>IFERROR(__xludf.DUMMYFUNCTION("""COMPUTED_VALUE"""),241.49)</f>
        <v>241.49</v>
      </c>
      <c r="F3637" s="122">
        <f>IFERROR(__xludf.DUMMYFUNCTION("""COMPUTED_VALUE"""),-0.0082)</f>
        <v>-0.0082</v>
      </c>
    </row>
    <row r="3638">
      <c r="A3638" s="131">
        <f>IFERROR(__xludf.DUMMYFUNCTION("""COMPUTED_VALUE"""),46187.44943287037)</f>
        <v>46187.44943</v>
      </c>
      <c r="B3638" s="126">
        <f>IFERROR(__xludf.DUMMYFUNCTION("""COMPUTED_VALUE"""),46187.0)</f>
        <v>46187</v>
      </c>
      <c r="C3638" s="122" t="str">
        <f>IFERROR(__xludf.DUMMYFUNCTION("""COMPUTED_VALUE"""),"AIBO")</f>
        <v>AIBO</v>
      </c>
      <c r="D3638" s="122" t="str">
        <f>IFERROR(__xludf.DUMMYFUNCTION("""COMPUTED_VALUE"""),"Homework AI")</f>
        <v>Homework AI</v>
      </c>
      <c r="E3638" s="122">
        <f>IFERROR(__xludf.DUMMYFUNCTION("""COMPUTED_VALUE"""),174.33)</f>
        <v>174.33</v>
      </c>
      <c r="F3638" s="122">
        <f>IFERROR(__xludf.DUMMYFUNCTION("""COMPUTED_VALUE"""),0.0124)</f>
        <v>0.0124</v>
      </c>
    </row>
    <row r="3639">
      <c r="A3639" s="131">
        <f>IFERROR(__xludf.DUMMYFUNCTION("""COMPUTED_VALUE"""),46187.44943287037)</f>
        <v>46187.44943</v>
      </c>
      <c r="B3639" s="126">
        <f>IFERROR(__xludf.DUMMYFUNCTION("""COMPUTED_VALUE"""),46187.0)</f>
        <v>46187</v>
      </c>
      <c r="C3639" s="122" t="str">
        <f>IFERROR(__xludf.DUMMYFUNCTION("""COMPUTED_VALUE"""),"GAME")</f>
        <v>GAME</v>
      </c>
      <c r="D3639" s="122" t="str">
        <f>IFERROR(__xludf.DUMMYFUNCTION("""COMPUTED_VALUE"""),"GameBox Media")</f>
        <v>GameBox Media</v>
      </c>
      <c r="E3639" s="122">
        <f>IFERROR(__xludf.DUMMYFUNCTION("""COMPUTED_VALUE"""),95.75)</f>
        <v>95.75</v>
      </c>
      <c r="F3639" s="122">
        <f>IFERROR(__xludf.DUMMYFUNCTION("""COMPUTED_VALUE"""),0.0094)</f>
        <v>0.0094</v>
      </c>
    </row>
    <row r="3640">
      <c r="A3640" s="131">
        <f>IFERROR(__xludf.DUMMYFUNCTION("""COMPUTED_VALUE"""),46187.44943287037)</f>
        <v>46187.44943</v>
      </c>
      <c r="B3640" s="126">
        <f>IFERROR(__xludf.DUMMYFUNCTION("""COMPUTED_VALUE"""),46187.0)</f>
        <v>46187</v>
      </c>
      <c r="C3640" s="122" t="str">
        <f>IFERROR(__xludf.DUMMYFUNCTION("""COMPUTED_VALUE"""),"VRSE")</f>
        <v>VRSE</v>
      </c>
      <c r="D3640" s="122" t="str">
        <f>IFERROR(__xludf.DUMMYFUNCTION("""COMPUTED_VALUE"""),"VerseVR")</f>
        <v>VerseVR</v>
      </c>
      <c r="E3640" s="122">
        <f>IFERROR(__xludf.DUMMYFUNCTION("""COMPUTED_VALUE"""),147.36)</f>
        <v>147.36</v>
      </c>
      <c r="F3640" s="122">
        <f>IFERROR(__xludf.DUMMYFUNCTION("""COMPUTED_VALUE"""),0.0057)</f>
        <v>0.0057</v>
      </c>
    </row>
    <row r="3641">
      <c r="A3641" s="131">
        <f>IFERROR(__xludf.DUMMYFUNCTION("""COMPUTED_VALUE"""),46187.44943287037)</f>
        <v>46187.44943</v>
      </c>
      <c r="B3641" s="126">
        <f>IFERROR(__xludf.DUMMYFUNCTION("""COMPUTED_VALUE"""),46187.0)</f>
        <v>46187</v>
      </c>
      <c r="C3641" s="122" t="str">
        <f>IFERROR(__xludf.DUMMYFUNCTION("""COMPUTED_VALUE"""),"BYTE")</f>
        <v>BYTE</v>
      </c>
      <c r="D3641" s="122" t="str">
        <f>IFERROR(__xludf.DUMMYFUNCTION("""COMPUTED_VALUE"""),"ByteWorks")</f>
        <v>ByteWorks</v>
      </c>
      <c r="E3641" s="122">
        <f>IFERROR(__xludf.DUMMYFUNCTION("""COMPUTED_VALUE"""),108.65)</f>
        <v>108.65</v>
      </c>
      <c r="F3641" s="122">
        <f>IFERROR(__xludf.DUMMYFUNCTION("""COMPUTED_VALUE"""),0.0051)</f>
        <v>0.0051</v>
      </c>
    </row>
    <row r="3642">
      <c r="A3642" s="131">
        <f>IFERROR(__xludf.DUMMYFUNCTION("""COMPUTED_VALUE"""),46187.44943287037)</f>
        <v>46187.44943</v>
      </c>
      <c r="B3642" s="126">
        <f>IFERROR(__xludf.DUMMYFUNCTION("""COMPUTED_VALUE"""),46187.0)</f>
        <v>46187</v>
      </c>
      <c r="C3642" s="122" t="str">
        <f>IFERROR(__xludf.DUMMYFUNCTION("""COMPUTED_VALUE"""),"BANK")</f>
        <v>BANK</v>
      </c>
      <c r="D3642" s="122" t="str">
        <f>IFERROR(__xludf.DUMMYFUNCTION("""COMPUTED_VALUE"""),"Tiger Bank")</f>
        <v>Tiger Bank</v>
      </c>
      <c r="E3642" s="122">
        <f>IFERROR(__xludf.DUMMYFUNCTION("""COMPUTED_VALUE"""),127.36)</f>
        <v>127.36</v>
      </c>
      <c r="F3642" s="122">
        <f>IFERROR(__xludf.DUMMYFUNCTION("""COMPUTED_VALUE"""),0.0033)</f>
        <v>0.0033</v>
      </c>
    </row>
    <row r="3643">
      <c r="A3643" s="131">
        <f>IFERROR(__xludf.DUMMYFUNCTION("""COMPUTED_VALUE"""),46187.44943287037)</f>
        <v>46187.44943</v>
      </c>
      <c r="B3643" s="126">
        <f>IFERROR(__xludf.DUMMYFUNCTION("""COMPUTED_VALUE"""),46187.0)</f>
        <v>46187</v>
      </c>
      <c r="C3643" s="122" t="str">
        <f>IFERROR(__xludf.DUMMYFUNCTION("""COMPUTED_VALUE"""),"CRED")</f>
        <v>CRED</v>
      </c>
      <c r="D3643" s="122" t="str">
        <f>IFERROR(__xludf.DUMMYFUNCTION("""COMPUTED_VALUE"""),"Credit Castle")</f>
        <v>Credit Castle</v>
      </c>
      <c r="E3643" s="122">
        <f>IFERROR(__xludf.DUMMYFUNCTION("""COMPUTED_VALUE"""),67.14)</f>
        <v>67.14</v>
      </c>
      <c r="F3643" s="122">
        <f>IFERROR(__xludf.DUMMYFUNCTION("""COMPUTED_VALUE"""),0.0)</f>
        <v>0</v>
      </c>
    </row>
    <row r="3644">
      <c r="A3644" s="131">
        <f>IFERROR(__xludf.DUMMYFUNCTION("""COMPUTED_VALUE"""),46187.44943287037)</f>
        <v>46187.44943</v>
      </c>
      <c r="B3644" s="126">
        <f>IFERROR(__xludf.DUMMYFUNCTION("""COMPUTED_VALUE"""),46187.0)</f>
        <v>46187</v>
      </c>
      <c r="C3644" s="122" t="str">
        <f>IFERROR(__xludf.DUMMYFUNCTION("""COMPUTED_VALUE"""),"BOND")</f>
        <v>BOND</v>
      </c>
      <c r="D3644" s="122" t="str">
        <f>IFERROR(__xludf.DUMMYFUNCTION("""COMPUTED_VALUE"""),"BondBridge")</f>
        <v>BondBridge</v>
      </c>
      <c r="E3644" s="122">
        <f>IFERROR(__xludf.DUMMYFUNCTION("""COMPUTED_VALUE"""),98.74)</f>
        <v>98.74</v>
      </c>
      <c r="F3644" s="122">
        <f>IFERROR(__xludf.DUMMYFUNCTION("""COMPUTED_VALUE"""),-2.0E-4)</f>
        <v>-0.0002</v>
      </c>
    </row>
    <row r="3645">
      <c r="A3645" s="131">
        <f>IFERROR(__xludf.DUMMYFUNCTION("""COMPUTED_VALUE"""),46187.44943287037)</f>
        <v>46187.44943</v>
      </c>
      <c r="B3645" s="126">
        <f>IFERROR(__xludf.DUMMYFUNCTION("""COMPUTED_VALUE"""),46187.0)</f>
        <v>46187</v>
      </c>
      <c r="C3645" s="122" t="str">
        <f>IFERROR(__xludf.DUMMYFUNCTION("""COMPUTED_VALUE"""),"INSR")</f>
        <v>INSR</v>
      </c>
      <c r="D3645" s="122" t="str">
        <f>IFERROR(__xludf.DUMMYFUNCTION("""COMPUTED_VALUE"""),"Shield Insurance")</f>
        <v>Shield Insurance</v>
      </c>
      <c r="E3645" s="122">
        <f>IFERROR(__xludf.DUMMYFUNCTION("""COMPUTED_VALUE"""),159.21)</f>
        <v>159.21</v>
      </c>
      <c r="F3645" s="122">
        <f>IFERROR(__xludf.DUMMYFUNCTION("""COMPUTED_VALUE"""),0.0038)</f>
        <v>0.0038</v>
      </c>
    </row>
    <row r="3646">
      <c r="A3646" s="131">
        <f>IFERROR(__xludf.DUMMYFUNCTION("""COMPUTED_VALUE"""),46187.44943287037)</f>
        <v>46187.44943</v>
      </c>
      <c r="B3646" s="126">
        <f>IFERROR(__xludf.DUMMYFUNCTION("""COMPUTED_VALUE"""),46187.0)</f>
        <v>46187</v>
      </c>
      <c r="C3646" s="122" t="str">
        <f>IFERROR(__xludf.DUMMYFUNCTION("""COMPUTED_VALUE"""),"LOAN")</f>
        <v>LOAN</v>
      </c>
      <c r="D3646" s="122" t="str">
        <f>IFERROR(__xludf.DUMMYFUNCTION("""COMPUTED_VALUE"""),"LoanLab")</f>
        <v>LoanLab</v>
      </c>
      <c r="E3646" s="122">
        <f>IFERROR(__xludf.DUMMYFUNCTION("""COMPUTED_VALUE"""),63.19)</f>
        <v>63.19</v>
      </c>
      <c r="F3646" s="122">
        <f>IFERROR(__xludf.DUMMYFUNCTION("""COMPUTED_VALUE"""),-9.0E-4)</f>
        <v>-0.0009</v>
      </c>
    </row>
    <row r="3647">
      <c r="A3647" s="131">
        <f>IFERROR(__xludf.DUMMYFUNCTION("""COMPUTED_VALUE"""),46187.44943287037)</f>
        <v>46187.44943</v>
      </c>
      <c r="B3647" s="126">
        <f>IFERROR(__xludf.DUMMYFUNCTION("""COMPUTED_VALUE"""),46187.0)</f>
        <v>46187</v>
      </c>
      <c r="C3647" s="122" t="str">
        <f>IFERROR(__xludf.DUMMYFUNCTION("""COMPUTED_VALUE"""),"LUXE")</f>
        <v>LUXE</v>
      </c>
      <c r="D3647" s="122" t="str">
        <f>IFERROR(__xludf.DUMMYFUNCTION("""COMPUTED_VALUE"""),"Luxury Locker")</f>
        <v>Luxury Locker</v>
      </c>
      <c r="E3647" s="122">
        <f>IFERROR(__xludf.DUMMYFUNCTION("""COMPUTED_VALUE"""),259.57)</f>
        <v>259.57</v>
      </c>
      <c r="F3647" s="122">
        <f>IFERROR(__xludf.DUMMYFUNCTION("""COMPUTED_VALUE"""),0.0029)</f>
        <v>0.0029</v>
      </c>
    </row>
    <row r="3648">
      <c r="A3648" s="131">
        <f>IFERROR(__xludf.DUMMYFUNCTION("""COMPUTED_VALUE"""),46187.44943287037)</f>
        <v>46187.44943</v>
      </c>
      <c r="B3648" s="126">
        <f>IFERROR(__xludf.DUMMYFUNCTION("""COMPUTED_VALUE"""),46187.0)</f>
        <v>46187</v>
      </c>
      <c r="C3648" s="122" t="str">
        <f>IFERROR(__xludf.DUMMYFUNCTION("""COMPUTED_VALUE"""),"DRIP")</f>
        <v>DRIP</v>
      </c>
      <c r="D3648" s="122" t="str">
        <f>IFERROR(__xludf.DUMMYFUNCTION("""COMPUTED_VALUE"""),"Drip Streetwear")</f>
        <v>Drip Streetwear</v>
      </c>
      <c r="E3648" s="122">
        <f>IFERROR(__xludf.DUMMYFUNCTION("""COMPUTED_VALUE"""),197.89)</f>
        <v>197.89</v>
      </c>
      <c r="F3648" s="122">
        <f>IFERROR(__xludf.DUMMYFUNCTION("""COMPUTED_VALUE"""),-0.0059)</f>
        <v>-0.0059</v>
      </c>
    </row>
    <row r="3649">
      <c r="A3649" s="131">
        <f>IFERROR(__xludf.DUMMYFUNCTION("""COMPUTED_VALUE"""),46187.44943287037)</f>
        <v>46187.44943</v>
      </c>
      <c r="B3649" s="126">
        <f>IFERROR(__xludf.DUMMYFUNCTION("""COMPUTED_VALUE"""),46187.0)</f>
        <v>46187</v>
      </c>
      <c r="C3649" s="122" t="str">
        <f>IFERROR(__xludf.DUMMYFUNCTION("""COMPUTED_VALUE"""),"KICK")</f>
        <v>KICK</v>
      </c>
      <c r="D3649" s="122" t="str">
        <f>IFERROR(__xludf.DUMMYFUNCTION("""COMPUTED_VALUE"""),"KickDrop Sneakers")</f>
        <v>KickDrop Sneakers</v>
      </c>
      <c r="E3649" s="122">
        <f>IFERROR(__xludf.DUMMYFUNCTION("""COMPUTED_VALUE"""),172.93)</f>
        <v>172.93</v>
      </c>
      <c r="F3649" s="122">
        <f>IFERROR(__xludf.DUMMYFUNCTION("""COMPUTED_VALUE"""),0.0059)</f>
        <v>0.0059</v>
      </c>
    </row>
    <row r="3650">
      <c r="A3650" s="131">
        <f>IFERROR(__xludf.DUMMYFUNCTION("""COMPUTED_VALUE"""),46187.44943287037)</f>
        <v>46187.44943</v>
      </c>
      <c r="B3650" s="126">
        <f>IFERROR(__xludf.DUMMYFUNCTION("""COMPUTED_VALUE"""),46187.0)</f>
        <v>46187</v>
      </c>
      <c r="C3650" s="122" t="str">
        <f>IFERROR(__xludf.DUMMYFUNCTION("""COMPUTED_VALUE"""),"GLAM")</f>
        <v>GLAM</v>
      </c>
      <c r="D3650" s="122" t="str">
        <f>IFERROR(__xludf.DUMMYFUNCTION("""COMPUTED_VALUE"""),"Glow Cosmetics")</f>
        <v>Glow Cosmetics</v>
      </c>
      <c r="E3650" s="122">
        <f>IFERROR(__xludf.DUMMYFUNCTION("""COMPUTED_VALUE"""),100.52)</f>
        <v>100.52</v>
      </c>
      <c r="F3650" s="122">
        <f>IFERROR(__xludf.DUMMYFUNCTION("""COMPUTED_VALUE"""),0.0063)</f>
        <v>0.0063</v>
      </c>
    </row>
    <row r="3651">
      <c r="A3651" s="131">
        <f>IFERROR(__xludf.DUMMYFUNCTION("""COMPUTED_VALUE"""),46187.44943287037)</f>
        <v>46187.44943</v>
      </c>
      <c r="B3651" s="126">
        <f>IFERROR(__xludf.DUMMYFUNCTION("""COMPUTED_VALUE"""),46187.0)</f>
        <v>46187</v>
      </c>
      <c r="C3651" s="122" t="str">
        <f>IFERROR(__xludf.DUMMYFUNCTION("""COMPUTED_VALUE"""),"BAGG")</f>
        <v>BAGG</v>
      </c>
      <c r="D3651" s="122" t="str">
        <f>IFERROR(__xludf.DUMMYFUNCTION("""COMPUTED_VALUE"""),"BagVault")</f>
        <v>BagVault</v>
      </c>
      <c r="E3651" s="122">
        <f>IFERROR(__xludf.DUMMYFUNCTION("""COMPUTED_VALUE"""),250.65)</f>
        <v>250.65</v>
      </c>
      <c r="F3651" s="122">
        <f>IFERROR(__xludf.DUMMYFUNCTION("""COMPUTED_VALUE"""),-0.0075)</f>
        <v>-0.0075</v>
      </c>
    </row>
    <row r="3652">
      <c r="A3652" s="131">
        <f>IFERROR(__xludf.DUMMYFUNCTION("""COMPUTED_VALUE"""),46187.44943287037)</f>
        <v>46187.44943</v>
      </c>
      <c r="B3652" s="126">
        <f>IFERROR(__xludf.DUMMYFUNCTION("""COMPUTED_VALUE"""),46187.0)</f>
        <v>46187</v>
      </c>
      <c r="C3652" s="122" t="str">
        <f>IFERROR(__xludf.DUMMYFUNCTION("""COMPUTED_VALUE"""),"FAST")</f>
        <v>FAST</v>
      </c>
      <c r="D3652" s="122" t="str">
        <f>IFERROR(__xludf.DUMMYFUNCTION("""COMPUTED_VALUE"""),"Flash Logistics")</f>
        <v>Flash Logistics</v>
      </c>
      <c r="E3652" s="122">
        <f>IFERROR(__xludf.DUMMYFUNCTION("""COMPUTED_VALUE"""),103.15)</f>
        <v>103.15</v>
      </c>
      <c r="F3652" s="122">
        <f>IFERROR(__xludf.DUMMYFUNCTION("""COMPUTED_VALUE"""),-0.0022)</f>
        <v>-0.0022</v>
      </c>
    </row>
    <row r="3653">
      <c r="A3653" s="131">
        <f>IFERROR(__xludf.DUMMYFUNCTION("""COMPUTED_VALUE"""),46187.44943287037)</f>
        <v>46187.44943</v>
      </c>
      <c r="B3653" s="126">
        <f>IFERROR(__xludf.DUMMYFUNCTION("""COMPUTED_VALUE"""),46187.0)</f>
        <v>46187</v>
      </c>
      <c r="C3653" s="122" t="str">
        <f>IFERROR(__xludf.DUMMYFUNCTION("""COMPUTED_VALUE"""),"SHIP")</f>
        <v>SHIP</v>
      </c>
      <c r="D3653" s="122" t="str">
        <f>IFERROR(__xludf.DUMMYFUNCTION("""COMPUTED_VALUE"""),"Seoul Shipping")</f>
        <v>Seoul Shipping</v>
      </c>
      <c r="E3653" s="122">
        <f>IFERROR(__xludf.DUMMYFUNCTION("""COMPUTED_VALUE"""),120.57)</f>
        <v>120.57</v>
      </c>
      <c r="F3653" s="122">
        <f>IFERROR(__xludf.DUMMYFUNCTION("""COMPUTED_VALUE"""),0.0074)</f>
        <v>0.0074</v>
      </c>
    </row>
    <row r="3654">
      <c r="A3654" s="131">
        <f>IFERROR(__xludf.DUMMYFUNCTION("""COMPUTED_VALUE"""),46187.44943287037)</f>
        <v>46187.44943</v>
      </c>
      <c r="B3654" s="126">
        <f>IFERROR(__xludf.DUMMYFUNCTION("""COMPUTED_VALUE"""),46187.0)</f>
        <v>46187</v>
      </c>
      <c r="C3654" s="122" t="str">
        <f>IFERROR(__xludf.DUMMYFUNCTION("""COMPUTED_VALUE"""),"DRON")</f>
        <v>DRON</v>
      </c>
      <c r="D3654" s="122" t="str">
        <f>IFERROR(__xludf.DUMMYFUNCTION("""COMPUTED_VALUE"""),"DroneDrop")</f>
        <v>DroneDrop</v>
      </c>
      <c r="E3654" s="122">
        <f>IFERROR(__xludf.DUMMYFUNCTION("""COMPUTED_VALUE"""),130.47)</f>
        <v>130.47</v>
      </c>
      <c r="F3654" s="122">
        <f>IFERROR(__xludf.DUMMYFUNCTION("""COMPUTED_VALUE"""),-0.0029)</f>
        <v>-0.0029</v>
      </c>
    </row>
    <row r="3655">
      <c r="A3655" s="131">
        <f>IFERROR(__xludf.DUMMYFUNCTION("""COMPUTED_VALUE"""),46187.44943287037)</f>
        <v>46187.44943</v>
      </c>
      <c r="B3655" s="126">
        <f>IFERROR(__xludf.DUMMYFUNCTION("""COMPUTED_VALUE"""),46187.0)</f>
        <v>46187</v>
      </c>
      <c r="C3655" s="122" t="str">
        <f>IFERROR(__xludf.DUMMYFUNCTION("""COMPUTED_VALUE"""),"RIDE")</f>
        <v>RIDE</v>
      </c>
      <c r="D3655" s="122" t="str">
        <f>IFERROR(__xludf.DUMMYFUNCTION("""COMPUTED_VALUE"""),"QuickRide")</f>
        <v>QuickRide</v>
      </c>
      <c r="E3655" s="122">
        <f>IFERROR(__xludf.DUMMYFUNCTION("""COMPUTED_VALUE"""),93.28)</f>
        <v>93.28</v>
      </c>
      <c r="F3655" s="122">
        <f>IFERROR(__xludf.DUMMYFUNCTION("""COMPUTED_VALUE"""),-0.007)</f>
        <v>-0.007</v>
      </c>
    </row>
    <row r="3656">
      <c r="A3656" s="131">
        <f>IFERROR(__xludf.DUMMYFUNCTION("""COMPUTED_VALUE"""),46187.44943287037)</f>
        <v>46187.44943</v>
      </c>
      <c r="B3656" s="126">
        <f>IFERROR(__xludf.DUMMYFUNCTION("""COMPUTED_VALUE"""),46187.0)</f>
        <v>46187</v>
      </c>
      <c r="C3656" s="122" t="str">
        <f>IFERROR(__xludf.DUMMYFUNCTION("""COMPUTED_VALUE"""),"RAIL")</f>
        <v>RAIL</v>
      </c>
      <c r="D3656" s="122" t="str">
        <f>IFERROR(__xludf.DUMMYFUNCTION("""COMPUTED_VALUE"""),"MetroRail Corp")</f>
        <v>MetroRail Corp</v>
      </c>
      <c r="E3656" s="122">
        <f>IFERROR(__xludf.DUMMYFUNCTION("""COMPUTED_VALUE"""),134.88)</f>
        <v>134.88</v>
      </c>
      <c r="F3656" s="122">
        <f>IFERROR(__xludf.DUMMYFUNCTION("""COMPUTED_VALUE"""),-0.0019)</f>
        <v>-0.0019</v>
      </c>
    </row>
    <row r="3657">
      <c r="A3657" s="131">
        <f>IFERROR(__xludf.DUMMYFUNCTION("""COMPUTED_VALUE"""),46187.44943287037)</f>
        <v>46187.44943</v>
      </c>
      <c r="B3657" s="126">
        <f>IFERROR(__xludf.DUMMYFUNCTION("""COMPUTED_VALUE"""),46187.0)</f>
        <v>46187</v>
      </c>
      <c r="C3657" s="122" t="str">
        <f>IFERROR(__xludf.DUMMYFUNCTION("""COMPUTED_VALUE"""),"MEDX")</f>
        <v>MEDX</v>
      </c>
      <c r="D3657" s="122" t="str">
        <f>IFERROR(__xludf.DUMMYFUNCTION("""COMPUTED_VALUE"""),"MediCore")</f>
        <v>MediCore</v>
      </c>
      <c r="E3657" s="122">
        <f>IFERROR(__xludf.DUMMYFUNCTION("""COMPUTED_VALUE"""),138.22)</f>
        <v>138.22</v>
      </c>
      <c r="F3657" s="122">
        <f>IFERROR(__xludf.DUMMYFUNCTION("""COMPUTED_VALUE"""),0.0031)</f>
        <v>0.0031</v>
      </c>
    </row>
    <row r="3658">
      <c r="A3658" s="131">
        <f>IFERROR(__xludf.DUMMYFUNCTION("""COMPUTED_VALUE"""),46187.44943287037)</f>
        <v>46187.44943</v>
      </c>
      <c r="B3658" s="126">
        <f>IFERROR(__xludf.DUMMYFUNCTION("""COMPUTED_VALUE"""),46187.0)</f>
        <v>46187</v>
      </c>
      <c r="C3658" s="122" t="str">
        <f>IFERROR(__xludf.DUMMYFUNCTION("""COMPUTED_VALUE"""),"GYMX")</f>
        <v>GYMX</v>
      </c>
      <c r="D3658" s="122" t="str">
        <f>IFERROR(__xludf.DUMMYFUNCTION("""COMPUTED_VALUE"""),"GymX Fitness")</f>
        <v>GymX Fitness</v>
      </c>
      <c r="E3658" s="122">
        <f>IFERROR(__xludf.DUMMYFUNCTION("""COMPUTED_VALUE"""),86.12)</f>
        <v>86.12</v>
      </c>
      <c r="F3658" s="122">
        <f>IFERROR(__xludf.DUMMYFUNCTION("""COMPUTED_VALUE"""),-0.0058)</f>
        <v>-0.0058</v>
      </c>
    </row>
    <row r="3659">
      <c r="A3659" s="131">
        <f>IFERROR(__xludf.DUMMYFUNCTION("""COMPUTED_VALUE"""),46187.44943287037)</f>
        <v>46187.44943</v>
      </c>
      <c r="B3659" s="126">
        <f>IFERROR(__xludf.DUMMYFUNCTION("""COMPUTED_VALUE"""),46187.0)</f>
        <v>46187</v>
      </c>
      <c r="C3659" s="122" t="str">
        <f>IFERROR(__xludf.DUMMYFUNCTION("""COMPUTED_VALUE"""),"VITA")</f>
        <v>VITA</v>
      </c>
      <c r="D3659" s="122" t="str">
        <f>IFERROR(__xludf.DUMMYFUNCTION("""COMPUTED_VALUE"""),"VitaPlus")</f>
        <v>VitaPlus</v>
      </c>
      <c r="E3659" s="122">
        <f>IFERROR(__xludf.DUMMYFUNCTION("""COMPUTED_VALUE"""),74.86)</f>
        <v>74.86</v>
      </c>
      <c r="F3659" s="122">
        <f>IFERROR(__xludf.DUMMYFUNCTION("""COMPUTED_VALUE"""),-0.0045)</f>
        <v>-0.0045</v>
      </c>
    </row>
    <row r="3660">
      <c r="A3660" s="131">
        <f>IFERROR(__xludf.DUMMYFUNCTION("""COMPUTED_VALUE"""),46187.44943287037)</f>
        <v>46187.44943</v>
      </c>
      <c r="B3660" s="126">
        <f>IFERROR(__xludf.DUMMYFUNCTION("""COMPUTED_VALUE"""),46187.0)</f>
        <v>46187</v>
      </c>
      <c r="C3660" s="122" t="str">
        <f>IFERROR(__xludf.DUMMYFUNCTION("""COMPUTED_VALUE"""),"CARE")</f>
        <v>CARE</v>
      </c>
      <c r="D3660" s="122" t="str">
        <f>IFERROR(__xludf.DUMMYFUNCTION("""COMPUTED_VALUE"""),"CareCloud")</f>
        <v>CareCloud</v>
      </c>
      <c r="E3660" s="122">
        <f>IFERROR(__xludf.DUMMYFUNCTION("""COMPUTED_VALUE"""),176.73)</f>
        <v>176.73</v>
      </c>
      <c r="F3660" s="122">
        <f>IFERROR(__xludf.DUMMYFUNCTION("""COMPUTED_VALUE"""),4.0E-4)</f>
        <v>0.0004</v>
      </c>
    </row>
    <row r="3661">
      <c r="A3661" s="131">
        <f>IFERROR(__xludf.DUMMYFUNCTION("""COMPUTED_VALUE"""),46187.44943287037)</f>
        <v>46187.44943</v>
      </c>
      <c r="B3661" s="126">
        <f>IFERROR(__xludf.DUMMYFUNCTION("""COMPUTED_VALUE"""),46187.0)</f>
        <v>46187</v>
      </c>
      <c r="C3661" s="122" t="str">
        <f>IFERROR(__xludf.DUMMYFUNCTION("""COMPUTED_VALUE"""),"DENT")</f>
        <v>DENT</v>
      </c>
      <c r="D3661" s="122" t="str">
        <f>IFERROR(__xludf.DUMMYFUNCTION("""COMPUTED_VALUE"""),"SmileWorks")</f>
        <v>SmileWorks</v>
      </c>
      <c r="E3661" s="122">
        <f>IFERROR(__xludf.DUMMYFUNCTION("""COMPUTED_VALUE"""),84.76)</f>
        <v>84.76</v>
      </c>
      <c r="F3661" s="122">
        <f>IFERROR(__xludf.DUMMYFUNCTION("""COMPUTED_VALUE"""),0.0046)</f>
        <v>0.0046</v>
      </c>
    </row>
    <row r="3662">
      <c r="A3662" s="131">
        <f>IFERROR(__xludf.DUMMYFUNCTION("""COMPUTED_VALUE"""),46187.44943287037)</f>
        <v>46187.44943</v>
      </c>
      <c r="B3662" s="126">
        <f>IFERROR(__xludf.DUMMYFUNCTION("""COMPUTED_VALUE"""),46187.0)</f>
        <v>46187</v>
      </c>
      <c r="C3662" s="122" t="str">
        <f>IFERROR(__xludf.DUMMYFUNCTION("""COMPUTED_VALUE"""),"EDUX")</f>
        <v>EDUX</v>
      </c>
      <c r="D3662" s="122" t="str">
        <f>IFERROR(__xludf.DUMMYFUNCTION("""COMPUTED_VALUE"""),"EduMax Learning")</f>
        <v>EduMax Learning</v>
      </c>
      <c r="E3662" s="122">
        <f>IFERROR(__xludf.DUMMYFUNCTION("""COMPUTED_VALUE"""),135.55)</f>
        <v>135.55</v>
      </c>
      <c r="F3662" s="122">
        <f>IFERROR(__xludf.DUMMYFUNCTION("""COMPUTED_VALUE"""),0.0013)</f>
        <v>0.0013</v>
      </c>
    </row>
    <row r="3663">
      <c r="A3663" s="131">
        <f>IFERROR(__xludf.DUMMYFUNCTION("""COMPUTED_VALUE"""),46187.44943287037)</f>
        <v>46187.44943</v>
      </c>
      <c r="B3663" s="126">
        <f>IFERROR(__xludf.DUMMYFUNCTION("""COMPUTED_VALUE"""),46187.0)</f>
        <v>46187</v>
      </c>
      <c r="C3663" s="122" t="str">
        <f>IFERROR(__xludf.DUMMYFUNCTION("""COMPUTED_VALUE"""),"BOOK")</f>
        <v>BOOK</v>
      </c>
      <c r="D3663" s="122" t="str">
        <f>IFERROR(__xludf.DUMMYFUNCTION("""COMPUTED_VALUE"""),"BookBridge")</f>
        <v>BookBridge</v>
      </c>
      <c r="E3663" s="122">
        <f>IFERROR(__xludf.DUMMYFUNCTION("""COMPUTED_VALUE"""),116.15)</f>
        <v>116.15</v>
      </c>
      <c r="F3663" s="122">
        <f>IFERROR(__xludf.DUMMYFUNCTION("""COMPUTED_VALUE"""),0.001)</f>
        <v>0.001</v>
      </c>
    </row>
    <row r="3664">
      <c r="A3664" s="131">
        <f>IFERROR(__xludf.DUMMYFUNCTION("""COMPUTED_VALUE"""),46187.44943287037)</f>
        <v>46187.44943</v>
      </c>
      <c r="B3664" s="126">
        <f>IFERROR(__xludf.DUMMYFUNCTION("""COMPUTED_VALUE"""),46187.0)</f>
        <v>46187</v>
      </c>
      <c r="C3664" s="122" t="str">
        <f>IFERROR(__xludf.DUMMYFUNCTION("""COMPUTED_VALUE"""),"TUTR")</f>
        <v>TUTR</v>
      </c>
      <c r="D3664" s="122" t="str">
        <f>IFERROR(__xludf.DUMMYFUNCTION("""COMPUTED_VALUE"""),"TutorTown")</f>
        <v>TutorTown</v>
      </c>
      <c r="E3664" s="122">
        <f>IFERROR(__xludf.DUMMYFUNCTION("""COMPUTED_VALUE"""),88.88)</f>
        <v>88.88</v>
      </c>
      <c r="F3664" s="122">
        <f>IFERROR(__xludf.DUMMYFUNCTION("""COMPUTED_VALUE"""),9.0E-4)</f>
        <v>0.0009</v>
      </c>
    </row>
    <row r="3665">
      <c r="A3665" s="131">
        <f>IFERROR(__xludf.DUMMYFUNCTION("""COMPUTED_VALUE"""),46187.44943287037)</f>
        <v>46187.44943</v>
      </c>
      <c r="B3665" s="126">
        <f>IFERROR(__xludf.DUMMYFUNCTION("""COMPUTED_VALUE"""),46187.0)</f>
        <v>46187</v>
      </c>
      <c r="C3665" s="122" t="str">
        <f>IFERROR(__xludf.DUMMYFUNCTION("""COMPUTED_VALUE"""),"LANG")</f>
        <v>LANG</v>
      </c>
      <c r="D3665" s="122" t="str">
        <f>IFERROR(__xludf.DUMMYFUNCTION("""COMPUTED_VALUE"""),"LinguaLab")</f>
        <v>LinguaLab</v>
      </c>
      <c r="E3665" s="122">
        <f>IFERROR(__xludf.DUMMYFUNCTION("""COMPUTED_VALUE"""),97.98)</f>
        <v>97.98</v>
      </c>
      <c r="F3665" s="122">
        <f>IFERROR(__xludf.DUMMYFUNCTION("""COMPUTED_VALUE"""),0.0017)</f>
        <v>0.0017</v>
      </c>
    </row>
    <row r="3666">
      <c r="A3666" s="131">
        <f>IFERROR(__xludf.DUMMYFUNCTION("""COMPUTED_VALUE"""),46187.44943287037)</f>
        <v>46187.44943</v>
      </c>
      <c r="B3666" s="126">
        <f>IFERROR(__xludf.DUMMYFUNCTION("""COMPUTED_VALUE"""),46187.0)</f>
        <v>46187</v>
      </c>
      <c r="C3666" s="122" t="str">
        <f>IFERROR(__xludf.DUMMYFUNCTION("""COMPUTED_VALUE"""),"TEST")</f>
        <v>TEST</v>
      </c>
      <c r="D3666" s="122" t="str">
        <f>IFERROR(__xludf.DUMMYFUNCTION("""COMPUTED_VALUE"""),"TestPrep Pro")</f>
        <v>TestPrep Pro</v>
      </c>
      <c r="E3666" s="122">
        <f>IFERROR(__xludf.DUMMYFUNCTION("""COMPUTED_VALUE"""),99.13)</f>
        <v>99.13</v>
      </c>
      <c r="F3666" s="122">
        <f>IFERROR(__xludf.DUMMYFUNCTION("""COMPUTED_VALUE"""),0.0067)</f>
        <v>0.0067</v>
      </c>
    </row>
    <row r="3667">
      <c r="A3667" s="131">
        <f>IFERROR(__xludf.DUMMYFUNCTION("""COMPUTED_VALUE"""),46187.44943287037)</f>
        <v>46187.44943</v>
      </c>
      <c r="B3667" s="126">
        <f>IFERROR(__xludf.DUMMYFUNCTION("""COMPUTED_VALUE"""),46187.0)</f>
        <v>46187</v>
      </c>
      <c r="C3667" s="122" t="str">
        <f>IFERROR(__xludf.DUMMYFUNCTION("""COMPUTED_VALUE"""),"MOVI")</f>
        <v>MOVI</v>
      </c>
      <c r="D3667" s="122" t="str">
        <f>IFERROR(__xludf.DUMMYFUNCTION("""COMPUTED_VALUE"""),"MovieBox")</f>
        <v>MovieBox</v>
      </c>
      <c r="E3667" s="122">
        <f>IFERROR(__xludf.DUMMYFUNCTION("""COMPUTED_VALUE"""),82.49)</f>
        <v>82.49</v>
      </c>
      <c r="F3667" s="122">
        <f>IFERROR(__xludf.DUMMYFUNCTION("""COMPUTED_VALUE"""),0.0029)</f>
        <v>0.0029</v>
      </c>
    </row>
    <row r="3668">
      <c r="A3668" s="131">
        <f>IFERROR(__xludf.DUMMYFUNCTION("""COMPUTED_VALUE"""),46187.44943287037)</f>
        <v>46187.44943</v>
      </c>
      <c r="B3668" s="126">
        <f>IFERROR(__xludf.DUMMYFUNCTION("""COMPUTED_VALUE"""),46187.0)</f>
        <v>46187</v>
      </c>
      <c r="C3668" s="122" t="str">
        <f>IFERROR(__xludf.DUMMYFUNCTION("""COMPUTED_VALUE"""),"MUSC")</f>
        <v>MUSC</v>
      </c>
      <c r="D3668" s="122" t="str">
        <f>IFERROR(__xludf.DUMMYFUNCTION("""COMPUTED_VALUE"""),"MusicWave")</f>
        <v>MusicWave</v>
      </c>
      <c r="E3668" s="122">
        <f>IFERROR(__xludf.DUMMYFUNCTION("""COMPUTED_VALUE"""),98.0)</f>
        <v>98</v>
      </c>
      <c r="F3668" s="122">
        <f>IFERROR(__xludf.DUMMYFUNCTION("""COMPUTED_VALUE"""),-0.002)</f>
        <v>-0.002</v>
      </c>
    </row>
    <row r="3669">
      <c r="A3669" s="131">
        <f>IFERROR(__xludf.DUMMYFUNCTION("""COMPUTED_VALUE"""),46187.44943287037)</f>
        <v>46187.44943</v>
      </c>
      <c r="B3669" s="126">
        <f>IFERROR(__xludf.DUMMYFUNCTION("""COMPUTED_VALUE"""),46187.0)</f>
        <v>46187</v>
      </c>
      <c r="C3669" s="122" t="str">
        <f>IFERROR(__xludf.DUMMYFUNCTION("""COMPUTED_VALUE"""),"IDOL")</f>
        <v>IDOL</v>
      </c>
      <c r="D3669" s="122" t="str">
        <f>IFERROR(__xludf.DUMMYFUNCTION("""COMPUTED_VALUE"""),"Idol Agency")</f>
        <v>Idol Agency</v>
      </c>
      <c r="E3669" s="122">
        <f>IFERROR(__xludf.DUMMYFUNCTION("""COMPUTED_VALUE"""),194.69)</f>
        <v>194.69</v>
      </c>
      <c r="F3669" s="122">
        <f>IFERROR(__xludf.DUMMYFUNCTION("""COMPUTED_VALUE"""),-0.0086)</f>
        <v>-0.0086</v>
      </c>
    </row>
    <row r="3670">
      <c r="A3670" s="131">
        <f>IFERROR(__xludf.DUMMYFUNCTION("""COMPUTED_VALUE"""),46187.44943287037)</f>
        <v>46187.44943</v>
      </c>
      <c r="B3670" s="126">
        <f>IFERROR(__xludf.DUMMYFUNCTION("""COMPUTED_VALUE"""),46187.0)</f>
        <v>46187</v>
      </c>
      <c r="C3670" s="122" t="str">
        <f>IFERROR(__xludf.DUMMYFUNCTION("""COMPUTED_VALUE"""),"MEME")</f>
        <v>MEME</v>
      </c>
      <c r="D3670" s="122" t="str">
        <f>IFERROR(__xludf.DUMMYFUNCTION("""COMPUTED_VALUE"""),"Meme Media")</f>
        <v>Meme Media</v>
      </c>
      <c r="E3670" s="122">
        <f>IFERROR(__xludf.DUMMYFUNCTION("""COMPUTED_VALUE"""),74.15)</f>
        <v>74.15</v>
      </c>
      <c r="F3670" s="122">
        <f>IFERROR(__xludf.DUMMYFUNCTION("""COMPUTED_VALUE"""),-0.0144)</f>
        <v>-0.0144</v>
      </c>
    </row>
    <row r="3671">
      <c r="A3671" s="131">
        <f>IFERROR(__xludf.DUMMYFUNCTION("""COMPUTED_VALUE"""),46187.44943287037)</f>
        <v>46187.44943</v>
      </c>
      <c r="B3671" s="126">
        <f>IFERROR(__xludf.DUMMYFUNCTION("""COMPUTED_VALUE"""),46187.0)</f>
        <v>46187</v>
      </c>
      <c r="C3671" s="122" t="str">
        <f>IFERROR(__xludf.DUMMYFUNCTION("""COMPUTED_VALUE"""),"STRM")</f>
        <v>STRM</v>
      </c>
      <c r="D3671" s="122" t="str">
        <f>IFERROR(__xludf.DUMMYFUNCTION("""COMPUTED_VALUE"""),"Streamly")</f>
        <v>Streamly</v>
      </c>
      <c r="E3671" s="122">
        <f>IFERROR(__xludf.DUMMYFUNCTION("""COMPUTED_VALUE"""),139.33)</f>
        <v>139.33</v>
      </c>
      <c r="F3671" s="122">
        <f>IFERROR(__xludf.DUMMYFUNCTION("""COMPUTED_VALUE"""),5.0E-4)</f>
        <v>0.0005</v>
      </c>
    </row>
    <row r="3672">
      <c r="A3672" s="131">
        <f>IFERROR(__xludf.DUMMYFUNCTION("""COMPUTED_VALUE"""),46187.44943287037)</f>
        <v>46187.44943</v>
      </c>
      <c r="B3672" s="126">
        <f>IFERROR(__xludf.DUMMYFUNCTION("""COMPUTED_VALUE"""),46187.0)</f>
        <v>46187</v>
      </c>
      <c r="C3672" s="122" t="str">
        <f>IFERROR(__xludf.DUMMYFUNCTION("""COMPUTED_VALUE"""),"FARM")</f>
        <v>FARM</v>
      </c>
      <c r="D3672" s="122" t="str">
        <f>IFERROR(__xludf.DUMMYFUNCTION("""COMPUTED_VALUE"""),"Future Farms")</f>
        <v>Future Farms</v>
      </c>
      <c r="E3672" s="122">
        <f>IFERROR(__xludf.DUMMYFUNCTION("""COMPUTED_VALUE"""),85.31)</f>
        <v>85.31</v>
      </c>
      <c r="F3672" s="122">
        <f>IFERROR(__xludf.DUMMYFUNCTION("""COMPUTED_VALUE"""),0.0019)</f>
        <v>0.0019</v>
      </c>
    </row>
    <row r="3673">
      <c r="A3673" s="131">
        <f>IFERROR(__xludf.DUMMYFUNCTION("""COMPUTED_VALUE"""),46187.44943287037)</f>
        <v>46187.44943</v>
      </c>
      <c r="B3673" s="126">
        <f>IFERROR(__xludf.DUMMYFUNCTION("""COMPUTED_VALUE"""),46187.0)</f>
        <v>46187</v>
      </c>
      <c r="C3673" s="122" t="str">
        <f>IFERROR(__xludf.DUMMYFUNCTION("""COMPUTED_VALUE"""),"MEAT")</f>
        <v>MEAT</v>
      </c>
      <c r="D3673" s="122" t="str">
        <f>IFERROR(__xludf.DUMMYFUNCTION("""COMPUTED_VALUE"""),"MeatWorks")</f>
        <v>MeatWorks</v>
      </c>
      <c r="E3673" s="122">
        <f>IFERROR(__xludf.DUMMYFUNCTION("""COMPUTED_VALUE"""),104.25)</f>
        <v>104.25</v>
      </c>
      <c r="F3673" s="122">
        <f>IFERROR(__xludf.DUMMYFUNCTION("""COMPUTED_VALUE"""),0.004)</f>
        <v>0.004</v>
      </c>
    </row>
    <row r="3674">
      <c r="A3674" s="131">
        <f>IFERROR(__xludf.DUMMYFUNCTION("""COMPUTED_VALUE"""),46187.44943287037)</f>
        <v>46187.44943</v>
      </c>
      <c r="B3674" s="126">
        <f>IFERROR(__xludf.DUMMYFUNCTION("""COMPUTED_VALUE"""),46187.0)</f>
        <v>46187</v>
      </c>
      <c r="C3674" s="122" t="str">
        <f>IFERROR(__xludf.DUMMYFUNCTION("""COMPUTED_VALUE"""),"VEGI")</f>
        <v>VEGI</v>
      </c>
      <c r="D3674" s="122" t="str">
        <f>IFERROR(__xludf.DUMMYFUNCTION("""COMPUTED_VALUE"""),"Green Basket")</f>
        <v>Green Basket</v>
      </c>
      <c r="E3674" s="122">
        <f>IFERROR(__xludf.DUMMYFUNCTION("""COMPUTED_VALUE"""),81.44)</f>
        <v>81.44</v>
      </c>
      <c r="F3674" s="122">
        <f>IFERROR(__xludf.DUMMYFUNCTION("""COMPUTED_VALUE"""),0.0033)</f>
        <v>0.0033</v>
      </c>
    </row>
    <row r="3675">
      <c r="A3675" s="131">
        <f>IFERROR(__xludf.DUMMYFUNCTION("""COMPUTED_VALUE"""),46187.44943287037)</f>
        <v>46187.44943</v>
      </c>
      <c r="B3675" s="126">
        <f>IFERROR(__xludf.DUMMYFUNCTION("""COMPUTED_VALUE"""),46187.0)</f>
        <v>46187</v>
      </c>
      <c r="C3675" s="122" t="str">
        <f>IFERROR(__xludf.DUMMYFUNCTION("""COMPUTED_VALUE"""),"CAFE")</f>
        <v>CAFE</v>
      </c>
      <c r="D3675" s="122" t="str">
        <f>IFERROR(__xludf.DUMMYFUNCTION("""COMPUTED_VALUE"""),"Cafe Cloud")</f>
        <v>Cafe Cloud</v>
      </c>
      <c r="E3675" s="122">
        <f>IFERROR(__xludf.DUMMYFUNCTION("""COMPUTED_VALUE"""),100.93)</f>
        <v>100.93</v>
      </c>
      <c r="F3675" s="122">
        <f>IFERROR(__xludf.DUMMYFUNCTION("""COMPUTED_VALUE"""),-0.0037)</f>
        <v>-0.0037</v>
      </c>
    </row>
    <row r="3676">
      <c r="A3676" s="131">
        <f>IFERROR(__xludf.DUMMYFUNCTION("""COMPUTED_VALUE"""),46187.44943287037)</f>
        <v>46187.44943</v>
      </c>
      <c r="B3676" s="126">
        <f>IFERROR(__xludf.DUMMYFUNCTION("""COMPUTED_VALUE"""),46187.0)</f>
        <v>46187</v>
      </c>
      <c r="C3676" s="122" t="str">
        <f>IFERROR(__xludf.DUMMYFUNCTION("""COMPUTED_VALUE"""),"BAKE")</f>
        <v>BAKE</v>
      </c>
      <c r="D3676" s="122" t="str">
        <f>IFERROR(__xludf.DUMMYFUNCTION("""COMPUTED_VALUE"""),"BakeHouse")</f>
        <v>BakeHouse</v>
      </c>
      <c r="E3676" s="122">
        <f>IFERROR(__xludf.DUMMYFUNCTION("""COMPUTED_VALUE"""),100.85)</f>
        <v>100.85</v>
      </c>
      <c r="F3676" s="122">
        <f>IFERROR(__xludf.DUMMYFUNCTION("""COMPUTED_VALUE"""),-0.0019)</f>
        <v>-0.0019</v>
      </c>
    </row>
    <row r="3677">
      <c r="A3677" s="131">
        <f>IFERROR(__xludf.DUMMYFUNCTION("""COMPUTED_VALUE"""),46187.44943287037)</f>
        <v>46187.44943</v>
      </c>
      <c r="B3677" s="126">
        <f>IFERROR(__xludf.DUMMYFUNCTION("""COMPUTED_VALUE"""),46187.0)</f>
        <v>46187</v>
      </c>
      <c r="C3677" s="122" t="str">
        <f>IFERROR(__xludf.DUMMYFUNCTION("""COMPUTED_VALUE"""),"OILX")</f>
        <v>OILX</v>
      </c>
      <c r="D3677" s="122" t="str">
        <f>IFERROR(__xludf.DUMMYFUNCTION("""COMPUTED_VALUE"""),"OilMax Energy")</f>
        <v>OilMax Energy</v>
      </c>
      <c r="E3677" s="122">
        <f>IFERROR(__xludf.DUMMYFUNCTION("""COMPUTED_VALUE"""),131.27)</f>
        <v>131.27</v>
      </c>
      <c r="F3677" s="122">
        <f>IFERROR(__xludf.DUMMYFUNCTION("""COMPUTED_VALUE"""),7.0E-4)</f>
        <v>0.0007</v>
      </c>
    </row>
    <row r="3678">
      <c r="A3678" s="131">
        <f>IFERROR(__xludf.DUMMYFUNCTION("""COMPUTED_VALUE"""),46187.44943287037)</f>
        <v>46187.44943</v>
      </c>
      <c r="B3678" s="126">
        <f>IFERROR(__xludf.DUMMYFUNCTION("""COMPUTED_VALUE"""),46187.0)</f>
        <v>46187</v>
      </c>
      <c r="C3678" s="122" t="str">
        <f>IFERROR(__xludf.DUMMYFUNCTION("""COMPUTED_VALUE"""),"SOLR")</f>
        <v>SOLR</v>
      </c>
      <c r="D3678" s="122" t="str">
        <f>IFERROR(__xludf.DUMMYFUNCTION("""COMPUTED_VALUE"""),"SolarSpark")</f>
        <v>SolarSpark</v>
      </c>
      <c r="E3678" s="122">
        <f>IFERROR(__xludf.DUMMYFUNCTION("""COMPUTED_VALUE"""),90.37)</f>
        <v>90.37</v>
      </c>
      <c r="F3678" s="122">
        <f>IFERROR(__xludf.DUMMYFUNCTION("""COMPUTED_VALUE"""),0.0055)</f>
        <v>0.0055</v>
      </c>
    </row>
    <row r="3679">
      <c r="A3679" s="131">
        <f>IFERROR(__xludf.DUMMYFUNCTION("""COMPUTED_VALUE"""),46187.44943287037)</f>
        <v>46187.44943</v>
      </c>
      <c r="B3679" s="126">
        <f>IFERROR(__xludf.DUMMYFUNCTION("""COMPUTED_VALUE"""),46187.0)</f>
        <v>46187</v>
      </c>
      <c r="C3679" s="122" t="str">
        <f>IFERROR(__xludf.DUMMYFUNCTION("""COMPUTED_VALUE"""),"BATT")</f>
        <v>BATT</v>
      </c>
      <c r="D3679" s="122" t="str">
        <f>IFERROR(__xludf.DUMMYFUNCTION("""COMPUTED_VALUE"""),"BatteryBox")</f>
        <v>BatteryBox</v>
      </c>
      <c r="E3679" s="122">
        <f>IFERROR(__xludf.DUMMYFUNCTION("""COMPUTED_VALUE"""),121.46)</f>
        <v>121.46</v>
      </c>
      <c r="F3679" s="122">
        <f>IFERROR(__xludf.DUMMYFUNCTION("""COMPUTED_VALUE"""),0.0089)</f>
        <v>0.0089</v>
      </c>
    </row>
    <row r="3680">
      <c r="A3680" s="131">
        <f>IFERROR(__xludf.DUMMYFUNCTION("""COMPUTED_VALUE"""),46187.44943287037)</f>
        <v>46187.44943</v>
      </c>
      <c r="B3680" s="126">
        <f>IFERROR(__xludf.DUMMYFUNCTION("""COMPUTED_VALUE"""),46187.0)</f>
        <v>46187</v>
      </c>
      <c r="C3680" s="122" t="str">
        <f>IFERROR(__xludf.DUMMYFUNCTION("""COMPUTED_VALUE"""),"WIND")</f>
        <v>WIND</v>
      </c>
      <c r="D3680" s="122" t="str">
        <f>IFERROR(__xludf.DUMMYFUNCTION("""COMPUTED_VALUE"""),"WindWorks")</f>
        <v>WindWorks</v>
      </c>
      <c r="E3680" s="122">
        <f>IFERROR(__xludf.DUMMYFUNCTION("""COMPUTED_VALUE"""),89.1)</f>
        <v>89.1</v>
      </c>
      <c r="F3680" s="122">
        <f>IFERROR(__xludf.DUMMYFUNCTION("""COMPUTED_VALUE"""),0.0062)</f>
        <v>0.0062</v>
      </c>
    </row>
    <row r="3681">
      <c r="A3681" s="131">
        <f>IFERROR(__xludf.DUMMYFUNCTION("""COMPUTED_VALUE"""),46187.44943287037)</f>
        <v>46187.44943</v>
      </c>
      <c r="B3681" s="126">
        <f>IFERROR(__xludf.DUMMYFUNCTION("""COMPUTED_VALUE"""),46187.0)</f>
        <v>46187</v>
      </c>
      <c r="C3681" s="122" t="str">
        <f>IFERROR(__xludf.DUMMYFUNCTION("""COMPUTED_VALUE"""),"GRID")</f>
        <v>GRID</v>
      </c>
      <c r="D3681" s="122" t="str">
        <f>IFERROR(__xludf.DUMMYFUNCTION("""COMPUTED_VALUE"""),"GridPower")</f>
        <v>GridPower</v>
      </c>
      <c r="E3681" s="122">
        <f>IFERROR(__xludf.DUMMYFUNCTION("""COMPUTED_VALUE"""),140.22)</f>
        <v>140.22</v>
      </c>
      <c r="F3681" s="122">
        <f>IFERROR(__xludf.DUMMYFUNCTION("""COMPUTED_VALUE"""),-0.0016)</f>
        <v>-0.0016</v>
      </c>
    </row>
    <row r="3682">
      <c r="A3682" s="131">
        <f>IFERROR(__xludf.DUMMYFUNCTION("""COMPUTED_VALUE"""),46187.44943287037)</f>
        <v>46187.44943</v>
      </c>
      <c r="B3682" s="126">
        <f>IFERROR(__xludf.DUMMYFUNCTION("""COMPUTED_VALUE"""),46187.0)</f>
        <v>46187</v>
      </c>
      <c r="C3682" s="122" t="str">
        <f>IFERROR(__xludf.DUMMYFUNCTION("""COMPUTED_VALUE"""),"HOME")</f>
        <v>HOME</v>
      </c>
      <c r="D3682" s="122" t="str">
        <f>IFERROR(__xludf.DUMMYFUNCTION("""COMPUTED_VALUE"""),"HomeHub")</f>
        <v>HomeHub</v>
      </c>
      <c r="E3682" s="122">
        <f>IFERROR(__xludf.DUMMYFUNCTION("""COMPUTED_VALUE"""),151.83)</f>
        <v>151.83</v>
      </c>
      <c r="F3682" s="122">
        <f>IFERROR(__xludf.DUMMYFUNCTION("""COMPUTED_VALUE"""),-0.0016)</f>
        <v>-0.0016</v>
      </c>
    </row>
    <row r="3683">
      <c r="A3683" s="131">
        <f>IFERROR(__xludf.DUMMYFUNCTION("""COMPUTED_VALUE"""),46187.44943287037)</f>
        <v>46187.44943</v>
      </c>
      <c r="B3683" s="126">
        <f>IFERROR(__xludf.DUMMYFUNCTION("""COMPUTED_VALUE"""),46187.0)</f>
        <v>46187</v>
      </c>
      <c r="C3683" s="122" t="str">
        <f>IFERROR(__xludf.DUMMYFUNCTION("""COMPUTED_VALUE"""),"RENT")</f>
        <v>RENT</v>
      </c>
      <c r="D3683" s="122" t="str">
        <f>IFERROR(__xludf.DUMMYFUNCTION("""COMPUTED_VALUE"""),"RentRight")</f>
        <v>RentRight</v>
      </c>
      <c r="E3683" s="122">
        <f>IFERROR(__xludf.DUMMYFUNCTION("""COMPUTED_VALUE"""),92.76)</f>
        <v>92.76</v>
      </c>
      <c r="F3683" s="122">
        <f>IFERROR(__xludf.DUMMYFUNCTION("""COMPUTED_VALUE"""),3.0E-4)</f>
        <v>0.0003</v>
      </c>
    </row>
    <row r="3684">
      <c r="A3684" s="131">
        <f>IFERROR(__xludf.DUMMYFUNCTION("""COMPUTED_VALUE"""),46187.44943287037)</f>
        <v>46187.44943</v>
      </c>
      <c r="B3684" s="126">
        <f>IFERROR(__xludf.DUMMYFUNCTION("""COMPUTED_VALUE"""),46187.0)</f>
        <v>46187</v>
      </c>
      <c r="C3684" s="122" t="str">
        <f>IFERROR(__xludf.DUMMYFUNCTION("""COMPUTED_VALUE"""),"MALL")</f>
        <v>MALL</v>
      </c>
      <c r="D3684" s="122" t="str">
        <f>IFERROR(__xludf.DUMMYFUNCTION("""COMPUTED_VALUE"""),"MegaMall")</f>
        <v>MegaMall</v>
      </c>
      <c r="E3684" s="122">
        <f>IFERROR(__xludf.DUMMYFUNCTION("""COMPUTED_VALUE"""),101.09)</f>
        <v>101.09</v>
      </c>
      <c r="F3684" s="122">
        <f>IFERROR(__xludf.DUMMYFUNCTION("""COMPUTED_VALUE"""),0.0028)</f>
        <v>0.0028</v>
      </c>
    </row>
    <row r="3685">
      <c r="A3685" s="131">
        <f>IFERROR(__xludf.DUMMYFUNCTION("""COMPUTED_VALUE"""),46187.44943287037)</f>
        <v>46187.44943</v>
      </c>
      <c r="B3685" s="126">
        <f>IFERROR(__xludf.DUMMYFUNCTION("""COMPUTED_VALUE"""),46187.0)</f>
        <v>46187</v>
      </c>
      <c r="C3685" s="122" t="str">
        <f>IFERROR(__xludf.DUMMYFUNCTION("""COMPUTED_VALUE"""),"HOTL")</f>
        <v>HOTL</v>
      </c>
      <c r="D3685" s="122" t="str">
        <f>IFERROR(__xludf.DUMMYFUNCTION("""COMPUTED_VALUE"""),"HotelHive")</f>
        <v>HotelHive</v>
      </c>
      <c r="E3685" s="122">
        <f>IFERROR(__xludf.DUMMYFUNCTION("""COMPUTED_VALUE"""),130.59)</f>
        <v>130.59</v>
      </c>
      <c r="F3685" s="122">
        <f>IFERROR(__xludf.DUMMYFUNCTION("""COMPUTED_VALUE"""),5.0E-4)</f>
        <v>0.0005</v>
      </c>
    </row>
    <row r="3686">
      <c r="A3686" s="131">
        <f>IFERROR(__xludf.DUMMYFUNCTION("""COMPUTED_VALUE"""),46187.44943287037)</f>
        <v>46187.44943</v>
      </c>
      <c r="B3686" s="126">
        <f>IFERROR(__xludf.DUMMYFUNCTION("""COMPUTED_VALUE"""),46187.0)</f>
        <v>46187</v>
      </c>
      <c r="C3686" s="122" t="str">
        <f>IFERROR(__xludf.DUMMYFUNCTION("""COMPUTED_VALUE"""),"LAND")</f>
        <v>LAND</v>
      </c>
      <c r="D3686" s="122" t="str">
        <f>IFERROR(__xludf.DUMMYFUNCTION("""COMPUTED_VALUE"""),"LandLink")</f>
        <v>LandLink</v>
      </c>
      <c r="E3686" s="122">
        <f>IFERROR(__xludf.DUMMYFUNCTION("""COMPUTED_VALUE"""),182.11)</f>
        <v>182.11</v>
      </c>
      <c r="F3686" s="122">
        <f>IFERROR(__xludf.DUMMYFUNCTION("""COMPUTED_VALUE"""),-0.0044)</f>
        <v>-0.0044</v>
      </c>
    </row>
    <row r="3687">
      <c r="A3687" s="131">
        <f>IFERROR(__xludf.DUMMYFUNCTION("""COMPUTED_VALUE"""),46187.44943287037)</f>
        <v>46187.44943</v>
      </c>
      <c r="B3687" s="126">
        <f>IFERROR(__xludf.DUMMYFUNCTION("""COMPUTED_VALUE"""),46187.0)</f>
        <v>46187</v>
      </c>
      <c r="C3687" s="122" t="str">
        <f>IFERROR(__xludf.DUMMYFUNCTION("""COMPUTED_VALUE"""),"CARS")</f>
        <v>CARS</v>
      </c>
      <c r="D3687" s="122" t="str">
        <f>IFERROR(__xludf.DUMMYFUNCTION("""COMPUTED_VALUE"""),"AutoArena")</f>
        <v>AutoArena</v>
      </c>
      <c r="E3687" s="122">
        <f>IFERROR(__xludf.DUMMYFUNCTION("""COMPUTED_VALUE"""),81.14)</f>
        <v>81.14</v>
      </c>
      <c r="F3687" s="122">
        <f>IFERROR(__xludf.DUMMYFUNCTION("""COMPUTED_VALUE"""),-0.002)</f>
        <v>-0.002</v>
      </c>
    </row>
    <row r="3688">
      <c r="A3688" s="131">
        <f>IFERROR(__xludf.DUMMYFUNCTION("""COMPUTED_VALUE"""),46187.44943287037)</f>
        <v>46187.44943</v>
      </c>
      <c r="B3688" s="126">
        <f>IFERROR(__xludf.DUMMYFUNCTION("""COMPUTED_VALUE"""),46187.0)</f>
        <v>46187</v>
      </c>
      <c r="C3688" s="122" t="str">
        <f>IFERROR(__xludf.DUMMYFUNCTION("""COMPUTED_VALUE"""),"EVGO")</f>
        <v>EVGO</v>
      </c>
      <c r="D3688" s="122" t="str">
        <f>IFERROR(__xludf.DUMMYFUNCTION("""COMPUTED_VALUE"""),"EVGo Motors")</f>
        <v>EVGo Motors</v>
      </c>
      <c r="E3688" s="122">
        <f>IFERROR(__xludf.DUMMYFUNCTION("""COMPUTED_VALUE"""),185.89)</f>
        <v>185.89</v>
      </c>
      <c r="F3688" s="122">
        <f>IFERROR(__xludf.DUMMYFUNCTION("""COMPUTED_VALUE"""),0.0025)</f>
        <v>0.0025</v>
      </c>
    </row>
    <row r="3689">
      <c r="A3689" s="131">
        <f>IFERROR(__xludf.DUMMYFUNCTION("""COMPUTED_VALUE"""),46187.44943287037)</f>
        <v>46187.44943</v>
      </c>
      <c r="B3689" s="126">
        <f>IFERROR(__xludf.DUMMYFUNCTION("""COMPUTED_VALUE"""),46187.0)</f>
        <v>46187</v>
      </c>
      <c r="C3689" s="122" t="str">
        <f>IFERROR(__xludf.DUMMYFUNCTION("""COMPUTED_VALUE"""),"TIRE")</f>
        <v>TIRE</v>
      </c>
      <c r="D3689" s="122" t="str">
        <f>IFERROR(__xludf.DUMMYFUNCTION("""COMPUTED_VALUE"""),"TireTown")</f>
        <v>TireTown</v>
      </c>
      <c r="E3689" s="122">
        <f>IFERROR(__xludf.DUMMYFUNCTION("""COMPUTED_VALUE"""),94.55)</f>
        <v>94.55</v>
      </c>
      <c r="F3689" s="122">
        <f>IFERROR(__xludf.DUMMYFUNCTION("""COMPUTED_VALUE"""),0.0013)</f>
        <v>0.0013</v>
      </c>
    </row>
    <row r="3690">
      <c r="A3690" s="131">
        <f>IFERROR(__xludf.DUMMYFUNCTION("""COMPUTED_VALUE"""),46187.44943287037)</f>
        <v>46187.44943</v>
      </c>
      <c r="B3690" s="126">
        <f>IFERROR(__xludf.DUMMYFUNCTION("""COMPUTED_VALUE"""),46187.0)</f>
        <v>46187</v>
      </c>
      <c r="C3690" s="122" t="str">
        <f>IFERROR(__xludf.DUMMYFUNCTION("""COMPUTED_VALUE"""),"BIKE")</f>
        <v>BIKE</v>
      </c>
      <c r="D3690" s="122" t="str">
        <f>IFERROR(__xludf.DUMMYFUNCTION("""COMPUTED_VALUE"""),"BikeBox")</f>
        <v>BikeBox</v>
      </c>
      <c r="E3690" s="122">
        <f>IFERROR(__xludf.DUMMYFUNCTION("""COMPUTED_VALUE"""),53.09)</f>
        <v>53.09</v>
      </c>
      <c r="F3690" s="122">
        <f>IFERROR(__xludf.DUMMYFUNCTION("""COMPUTED_VALUE"""),-0.0043)</f>
        <v>-0.0043</v>
      </c>
    </row>
    <row r="3691">
      <c r="A3691" s="131">
        <f>IFERROR(__xludf.DUMMYFUNCTION("""COMPUTED_VALUE"""),46187.44943287037)</f>
        <v>46187.44943</v>
      </c>
      <c r="B3691" s="126">
        <f>IFERROR(__xludf.DUMMYFUNCTION("""COMPUTED_VALUE"""),46187.0)</f>
        <v>46187</v>
      </c>
      <c r="C3691" s="122" t="str">
        <f>IFERROR(__xludf.DUMMYFUNCTION("""COMPUTED_VALUE"""),"WASH")</f>
        <v>WASH</v>
      </c>
      <c r="D3691" s="122" t="str">
        <f>IFERROR(__xludf.DUMMYFUNCTION("""COMPUTED_VALUE"""),"CarWash Co")</f>
        <v>CarWash Co</v>
      </c>
      <c r="E3691" s="122">
        <f>IFERROR(__xludf.DUMMYFUNCTION("""COMPUTED_VALUE"""),119.52)</f>
        <v>119.52</v>
      </c>
      <c r="F3691" s="122">
        <f>IFERROR(__xludf.DUMMYFUNCTION("""COMPUTED_VALUE"""),-0.0032)</f>
        <v>-0.0032</v>
      </c>
    </row>
    <row r="3692">
      <c r="A3692" s="131">
        <f>IFERROR(__xludf.DUMMYFUNCTION("""COMPUTED_VALUE"""),46187.44943287037)</f>
        <v>46187.44943</v>
      </c>
      <c r="B3692" s="126">
        <f>IFERROR(__xludf.DUMMYFUNCTION("""COMPUTED_VALUE"""),46187.0)</f>
        <v>46187</v>
      </c>
      <c r="C3692" s="122" t="str">
        <f>IFERROR(__xludf.DUMMYFUNCTION("""COMPUTED_VALUE"""),"GBND")</f>
        <v>GBND</v>
      </c>
      <c r="D3692" s="122" t="str">
        <f>IFERROR(__xludf.DUMMYFUNCTION("""COMPUTED_VALUE"""),"Classroom Government Bond")</f>
        <v>Classroom Government Bond</v>
      </c>
      <c r="E3692" s="122">
        <f>IFERROR(__xludf.DUMMYFUNCTION("""COMPUTED_VALUE"""),100.89)</f>
        <v>100.89</v>
      </c>
      <c r="F3692" s="122">
        <f>IFERROR(__xludf.DUMMYFUNCTION("""COMPUTED_VALUE"""),-3.0E-4)</f>
        <v>-0.0003</v>
      </c>
    </row>
    <row r="3693">
      <c r="A3693" s="131">
        <f>IFERROR(__xludf.DUMMYFUNCTION("""COMPUTED_VALUE"""),46187.44943287037)</f>
        <v>46187.44943</v>
      </c>
      <c r="B3693" s="126">
        <f>IFERROR(__xludf.DUMMYFUNCTION("""COMPUTED_VALUE"""),46187.0)</f>
        <v>46187</v>
      </c>
      <c r="C3693" s="122" t="str">
        <f>IFERROR(__xludf.DUMMYFUNCTION("""COMPUTED_VALUE"""),"SBND")</f>
        <v>SBND</v>
      </c>
      <c r="D3693" s="122" t="str">
        <f>IFERROR(__xludf.DUMMYFUNCTION("""COMPUTED_VALUE"""),"School Savings Bond")</f>
        <v>School Savings Bond</v>
      </c>
      <c r="E3693" s="122">
        <f>IFERROR(__xludf.DUMMYFUNCTION("""COMPUTED_VALUE"""),99.47)</f>
        <v>99.47</v>
      </c>
      <c r="F3693" s="122">
        <f>IFERROR(__xludf.DUMMYFUNCTION("""COMPUTED_VALUE"""),-2.0E-4)</f>
        <v>-0.0002</v>
      </c>
    </row>
    <row r="3694">
      <c r="A3694" s="131">
        <f>IFERROR(__xludf.DUMMYFUNCTION("""COMPUTED_VALUE"""),46187.44943287037)</f>
        <v>46187.44943</v>
      </c>
      <c r="B3694" s="126">
        <f>IFERROR(__xludf.DUMMYFUNCTION("""COMPUTED_VALUE"""),46187.0)</f>
        <v>46187</v>
      </c>
      <c r="C3694" s="122" t="str">
        <f>IFERROR(__xludf.DUMMYFUNCTION("""COMPUTED_VALUE"""),"CBND")</f>
        <v>CBND</v>
      </c>
      <c r="D3694" s="122" t="str">
        <f>IFERROR(__xludf.DUMMYFUNCTION("""COMPUTED_VALUE"""),"Corporate Classroom Bond")</f>
        <v>Corporate Classroom Bond</v>
      </c>
      <c r="E3694" s="122">
        <f>IFERROR(__xludf.DUMMYFUNCTION("""COMPUTED_VALUE"""),97.76)</f>
        <v>97.76</v>
      </c>
      <c r="F3694" s="122">
        <f>IFERROR(__xludf.DUMMYFUNCTION("""COMPUTED_VALUE"""),3.0E-4)</f>
        <v>0.0003</v>
      </c>
    </row>
    <row r="3695">
      <c r="A3695" s="131">
        <f>IFERROR(__xludf.DUMMYFUNCTION("""COMPUTED_VALUE"""),46187.44943287037)</f>
        <v>46187.44943</v>
      </c>
      <c r="B3695" s="126">
        <f>IFERROR(__xludf.DUMMYFUNCTION("""COMPUTED_VALUE"""),46187.0)</f>
        <v>46187</v>
      </c>
      <c r="C3695" s="122" t="str">
        <f>IFERROR(__xludf.DUMMYFUNCTION("""COMPUTED_VALUE"""),"TBIL")</f>
        <v>TBIL</v>
      </c>
      <c r="D3695" s="122" t="str">
        <f>IFERROR(__xludf.DUMMYFUNCTION("""COMPUTED_VALUE"""),"Treasury Bill")</f>
        <v>Treasury Bill</v>
      </c>
      <c r="E3695" s="122">
        <f>IFERROR(__xludf.DUMMYFUNCTION("""COMPUTED_VALUE"""),98.12)</f>
        <v>98.12</v>
      </c>
      <c r="F3695" s="122">
        <f>IFERROR(__xludf.DUMMYFUNCTION("""COMPUTED_VALUE"""),3.0E-4)</f>
        <v>0.0003</v>
      </c>
    </row>
    <row r="3696">
      <c r="A3696" s="131">
        <f>IFERROR(__xludf.DUMMYFUNCTION("""COMPUTED_VALUE"""),46187.44943287037)</f>
        <v>46187.44943</v>
      </c>
      <c r="B3696" s="126">
        <f>IFERROR(__xludf.DUMMYFUNCTION("""COMPUTED_VALUE"""),46187.0)</f>
        <v>46187</v>
      </c>
      <c r="C3696" s="122" t="str">
        <f>IFERROR(__xludf.DUMMYFUNCTION("""COMPUTED_VALUE"""),"IBND")</f>
        <v>IBND</v>
      </c>
      <c r="D3696" s="122" t="str">
        <f>IFERROR(__xludf.DUMMYFUNCTION("""COMPUTED_VALUE"""),"Inflation Protected Bond")</f>
        <v>Inflation Protected Bond</v>
      </c>
      <c r="E3696" s="122">
        <f>IFERROR(__xludf.DUMMYFUNCTION("""COMPUTED_VALUE"""),100.6)</f>
        <v>100.6</v>
      </c>
      <c r="F3696" s="122">
        <f>IFERROR(__xludf.DUMMYFUNCTION("""COMPUTED_VALUE"""),2.0E-4)</f>
        <v>0.0002</v>
      </c>
    </row>
    <row r="3697">
      <c r="A3697" s="131">
        <f>IFERROR(__xludf.DUMMYFUNCTION("""COMPUTED_VALUE"""),46187.450902777775)</f>
        <v>46187.4509</v>
      </c>
      <c r="B3697" s="126">
        <f>IFERROR(__xludf.DUMMYFUNCTION("""COMPUTED_VALUE"""),46187.0)</f>
        <v>46187</v>
      </c>
      <c r="C3697" s="130">
        <f>IFERROR(__xludf.DUMMYFUNCTION("""COMPUTED_VALUE"""),0.45090277777777776)</f>
        <v>0.4509027778</v>
      </c>
      <c r="D3697" s="122" t="str">
        <f>IFERROR(__xludf.DUMMYFUNCTION("""COMPUTED_VALUE"""),"SNAX")</f>
        <v>SNAX</v>
      </c>
      <c r="E3697" s="122" t="str">
        <f>IFERROR(__xludf.DUMMYFUNCTION("""COMPUTED_VALUE"""),"MICA Snacks")</f>
        <v>MICA Snacks</v>
      </c>
      <c r="F3697" s="122" t="str">
        <f>IFERROR(__xludf.DUMMYFUNCTION("""COMPUTED_VALUE"""),"Consumer Goods")</f>
        <v>Consumer Goods</v>
      </c>
    </row>
    <row r="3698">
      <c r="A3698" s="131">
        <f>IFERROR(__xludf.DUMMYFUNCTION("""COMPUTED_VALUE"""),46187.450902777775)</f>
        <v>46187.4509</v>
      </c>
      <c r="B3698" s="126">
        <f>IFERROR(__xludf.DUMMYFUNCTION("""COMPUTED_VALUE"""),46187.0)</f>
        <v>46187</v>
      </c>
      <c r="C3698" s="130">
        <f>IFERROR(__xludf.DUMMYFUNCTION("""COMPUTED_VALUE"""),0.45090277777777776)</f>
        <v>0.4509027778</v>
      </c>
      <c r="D3698" s="122" t="str">
        <f>IFERROR(__xludf.DUMMYFUNCTION("""COMPUTED_VALUE"""),"RAMN")</f>
        <v>RAMN</v>
      </c>
      <c r="E3698" s="122" t="str">
        <f>IFERROR(__xludf.DUMMYFUNCTION("""COMPUTED_VALUE"""),"Ramen Republic")</f>
        <v>Ramen Republic</v>
      </c>
      <c r="F3698" s="122" t="str">
        <f>IFERROR(__xludf.DUMMYFUNCTION("""COMPUTED_VALUE"""),"Food")</f>
        <v>Food</v>
      </c>
    </row>
    <row r="3699">
      <c r="A3699" s="131">
        <f>IFERROR(__xludf.DUMMYFUNCTION("""COMPUTED_VALUE"""),46187.450902777775)</f>
        <v>46187.4509</v>
      </c>
      <c r="B3699" s="126">
        <f>IFERROR(__xludf.DUMMYFUNCTION("""COMPUTED_VALUE"""),46187.0)</f>
        <v>46187</v>
      </c>
      <c r="C3699" s="130">
        <f>IFERROR(__xludf.DUMMYFUNCTION("""COMPUTED_VALUE"""),0.45090277777777776)</f>
        <v>0.4509027778</v>
      </c>
      <c r="D3699" s="122" t="str">
        <f>IFERROR(__xludf.DUMMYFUNCTION("""COMPUTED_VALUE"""),"COLA")</f>
        <v>COLA</v>
      </c>
      <c r="E3699" s="122" t="str">
        <f>IFERROR(__xludf.DUMMYFUNCTION("""COMPUTED_VALUE"""),"K-Pop Cola")</f>
        <v>K-Pop Cola</v>
      </c>
      <c r="F3699" s="122" t="str">
        <f>IFERROR(__xludf.DUMMYFUNCTION("""COMPUTED_VALUE"""),"Beverage")</f>
        <v>Beverage</v>
      </c>
    </row>
    <row r="3700">
      <c r="A3700" s="131">
        <f>IFERROR(__xludf.DUMMYFUNCTION("""COMPUTED_VALUE"""),46187.450902777775)</f>
        <v>46187.4509</v>
      </c>
      <c r="B3700" s="126">
        <f>IFERROR(__xludf.DUMMYFUNCTION("""COMPUTED_VALUE"""),46187.0)</f>
        <v>46187</v>
      </c>
      <c r="C3700" s="130">
        <f>IFERROR(__xludf.DUMMYFUNCTION("""COMPUTED_VALUE"""),0.45090277777777776)</f>
        <v>0.4509027778</v>
      </c>
      <c r="D3700" s="122" t="str">
        <f>IFERROR(__xludf.DUMMYFUNCTION("""COMPUTED_VALUE"""),"CHIP")</f>
        <v>CHIP</v>
      </c>
      <c r="E3700" s="122" t="str">
        <f>IFERROR(__xludf.DUMMYFUNCTION("""COMPUTED_VALUE"""),"Chip Empire")</f>
        <v>Chip Empire</v>
      </c>
      <c r="F3700" s="122" t="str">
        <f>IFERROR(__xludf.DUMMYFUNCTION("""COMPUTED_VALUE"""),"Consumer Goods")</f>
        <v>Consumer Goods</v>
      </c>
    </row>
    <row r="3701">
      <c r="A3701" s="131">
        <f>IFERROR(__xludf.DUMMYFUNCTION("""COMPUTED_VALUE"""),46187.450902777775)</f>
        <v>46187.4509</v>
      </c>
      <c r="B3701" s="126">
        <f>IFERROR(__xludf.DUMMYFUNCTION("""COMPUTED_VALUE"""),46187.0)</f>
        <v>46187</v>
      </c>
      <c r="C3701" s="130">
        <f>IFERROR(__xludf.DUMMYFUNCTION("""COMPUTED_VALUE"""),0.45090277777777776)</f>
        <v>0.4509027778</v>
      </c>
      <c r="D3701" s="122" t="str">
        <f>IFERROR(__xludf.DUMMYFUNCTION("""COMPUTED_VALUE"""),"CAND")</f>
        <v>CAND</v>
      </c>
      <c r="E3701" s="122" t="str">
        <f>IFERROR(__xludf.DUMMYFUNCTION("""COMPUTED_VALUE"""),"Candy Capital")</f>
        <v>Candy Capital</v>
      </c>
      <c r="F3701" s="122" t="str">
        <f>IFERROR(__xludf.DUMMYFUNCTION("""COMPUTED_VALUE"""),"Consumer Goods")</f>
        <v>Consumer Goods</v>
      </c>
    </row>
    <row r="3702">
      <c r="A3702" s="131">
        <f>IFERROR(__xludf.DUMMYFUNCTION("""COMPUTED_VALUE"""),46187.450902777775)</f>
        <v>46187.4509</v>
      </c>
      <c r="B3702" s="126">
        <f>IFERROR(__xludf.DUMMYFUNCTION("""COMPUTED_VALUE"""),46187.0)</f>
        <v>46187</v>
      </c>
      <c r="C3702" s="130">
        <f>IFERROR(__xludf.DUMMYFUNCTION("""COMPUTED_VALUE"""),0.45090277777777776)</f>
        <v>0.4509027778</v>
      </c>
      <c r="D3702" s="122" t="str">
        <f>IFERROR(__xludf.DUMMYFUNCTION("""COMPUTED_VALUE"""),"TECH")</f>
        <v>TECH</v>
      </c>
      <c r="E3702" s="122" t="str">
        <f>IFERROR(__xludf.DUMMYFUNCTION("""COMPUTED_VALUE"""),"Dragon Tech")</f>
        <v>Dragon Tech</v>
      </c>
      <c r="F3702" s="122" t="str">
        <f>IFERROR(__xludf.DUMMYFUNCTION("""COMPUTED_VALUE"""),"Technology")</f>
        <v>Technology</v>
      </c>
    </row>
    <row r="3703">
      <c r="A3703" s="131">
        <f>IFERROR(__xludf.DUMMYFUNCTION("""COMPUTED_VALUE"""),46187.450902777775)</f>
        <v>46187.4509</v>
      </c>
      <c r="B3703" s="126">
        <f>IFERROR(__xludf.DUMMYFUNCTION("""COMPUTED_VALUE"""),46187.0)</f>
        <v>46187</v>
      </c>
      <c r="C3703" s="130">
        <f>IFERROR(__xludf.DUMMYFUNCTION("""COMPUTED_VALUE"""),0.45090277777777776)</f>
        <v>0.4509027778</v>
      </c>
      <c r="D3703" s="122" t="str">
        <f>IFERROR(__xludf.DUMMYFUNCTION("""COMPUTED_VALUE"""),"AIBO")</f>
        <v>AIBO</v>
      </c>
      <c r="E3703" s="122" t="str">
        <f>IFERROR(__xludf.DUMMYFUNCTION("""COMPUTED_VALUE"""),"Homework AI")</f>
        <v>Homework AI</v>
      </c>
      <c r="F3703" s="122" t="str">
        <f>IFERROR(__xludf.DUMMYFUNCTION("""COMPUTED_VALUE"""),"Technology")</f>
        <v>Technology</v>
      </c>
    </row>
    <row r="3704">
      <c r="A3704" s="131">
        <f>IFERROR(__xludf.DUMMYFUNCTION("""COMPUTED_VALUE"""),46187.450902777775)</f>
        <v>46187.4509</v>
      </c>
      <c r="B3704" s="126">
        <f>IFERROR(__xludf.DUMMYFUNCTION("""COMPUTED_VALUE"""),46187.0)</f>
        <v>46187</v>
      </c>
      <c r="C3704" s="130">
        <f>IFERROR(__xludf.DUMMYFUNCTION("""COMPUTED_VALUE"""),0.45090277777777776)</f>
        <v>0.4509027778</v>
      </c>
      <c r="D3704" s="122" t="str">
        <f>IFERROR(__xludf.DUMMYFUNCTION("""COMPUTED_VALUE"""),"GAME")</f>
        <v>GAME</v>
      </c>
      <c r="E3704" s="122" t="str">
        <f>IFERROR(__xludf.DUMMYFUNCTION("""COMPUTED_VALUE"""),"GameBox Media")</f>
        <v>GameBox Media</v>
      </c>
      <c r="F3704" s="122" t="str">
        <f>IFERROR(__xludf.DUMMYFUNCTION("""COMPUTED_VALUE"""),"Entertainment")</f>
        <v>Entertainment</v>
      </c>
    </row>
    <row r="3705">
      <c r="A3705" s="131">
        <f>IFERROR(__xludf.DUMMYFUNCTION("""COMPUTED_VALUE"""),46187.450902777775)</f>
        <v>46187.4509</v>
      </c>
      <c r="B3705" s="126">
        <f>IFERROR(__xludf.DUMMYFUNCTION("""COMPUTED_VALUE"""),46187.0)</f>
        <v>46187</v>
      </c>
      <c r="C3705" s="130">
        <f>IFERROR(__xludf.DUMMYFUNCTION("""COMPUTED_VALUE"""),0.45090277777777776)</f>
        <v>0.4509027778</v>
      </c>
      <c r="D3705" s="122" t="str">
        <f>IFERROR(__xludf.DUMMYFUNCTION("""COMPUTED_VALUE"""),"VRSE")</f>
        <v>VRSE</v>
      </c>
      <c r="E3705" s="122" t="str">
        <f>IFERROR(__xludf.DUMMYFUNCTION("""COMPUTED_VALUE"""),"VerseVR")</f>
        <v>VerseVR</v>
      </c>
      <c r="F3705" s="122" t="str">
        <f>IFERROR(__xludf.DUMMYFUNCTION("""COMPUTED_VALUE"""),"Technology")</f>
        <v>Technology</v>
      </c>
    </row>
    <row r="3706">
      <c r="A3706" s="131">
        <f>IFERROR(__xludf.DUMMYFUNCTION("""COMPUTED_VALUE"""),46187.450902777775)</f>
        <v>46187.4509</v>
      </c>
      <c r="B3706" s="126">
        <f>IFERROR(__xludf.DUMMYFUNCTION("""COMPUTED_VALUE"""),46187.0)</f>
        <v>46187</v>
      </c>
      <c r="C3706" s="130">
        <f>IFERROR(__xludf.DUMMYFUNCTION("""COMPUTED_VALUE"""),0.45090277777777776)</f>
        <v>0.4509027778</v>
      </c>
      <c r="D3706" s="122" t="str">
        <f>IFERROR(__xludf.DUMMYFUNCTION("""COMPUTED_VALUE"""),"BYTE")</f>
        <v>BYTE</v>
      </c>
      <c r="E3706" s="122" t="str">
        <f>IFERROR(__xludf.DUMMYFUNCTION("""COMPUTED_VALUE"""),"ByteWorks")</f>
        <v>ByteWorks</v>
      </c>
      <c r="F3706" s="122" t="str">
        <f>IFERROR(__xludf.DUMMYFUNCTION("""COMPUTED_VALUE"""),"Technology")</f>
        <v>Technology</v>
      </c>
    </row>
    <row r="3707">
      <c r="A3707" s="131">
        <f>IFERROR(__xludf.DUMMYFUNCTION("""COMPUTED_VALUE"""),46187.450902777775)</f>
        <v>46187.4509</v>
      </c>
      <c r="B3707" s="126">
        <f>IFERROR(__xludf.DUMMYFUNCTION("""COMPUTED_VALUE"""),46187.0)</f>
        <v>46187</v>
      </c>
      <c r="C3707" s="130">
        <f>IFERROR(__xludf.DUMMYFUNCTION("""COMPUTED_VALUE"""),0.45090277777777776)</f>
        <v>0.4509027778</v>
      </c>
      <c r="D3707" s="122" t="str">
        <f>IFERROR(__xludf.DUMMYFUNCTION("""COMPUTED_VALUE"""),"BANK")</f>
        <v>BANK</v>
      </c>
      <c r="E3707" s="122" t="str">
        <f>IFERROR(__xludf.DUMMYFUNCTION("""COMPUTED_VALUE"""),"Tiger Bank")</f>
        <v>Tiger Bank</v>
      </c>
      <c r="F3707" s="122" t="str">
        <f>IFERROR(__xludf.DUMMYFUNCTION("""COMPUTED_VALUE"""),"Finance")</f>
        <v>Finance</v>
      </c>
    </row>
    <row r="3708">
      <c r="A3708" s="131">
        <f>IFERROR(__xludf.DUMMYFUNCTION("""COMPUTED_VALUE"""),46187.450902777775)</f>
        <v>46187.4509</v>
      </c>
      <c r="B3708" s="126">
        <f>IFERROR(__xludf.DUMMYFUNCTION("""COMPUTED_VALUE"""),46187.0)</f>
        <v>46187</v>
      </c>
      <c r="C3708" s="130">
        <f>IFERROR(__xludf.DUMMYFUNCTION("""COMPUTED_VALUE"""),0.45090277777777776)</f>
        <v>0.4509027778</v>
      </c>
      <c r="D3708" s="122" t="str">
        <f>IFERROR(__xludf.DUMMYFUNCTION("""COMPUTED_VALUE"""),"CRED")</f>
        <v>CRED</v>
      </c>
      <c r="E3708" s="122" t="str">
        <f>IFERROR(__xludf.DUMMYFUNCTION("""COMPUTED_VALUE"""),"Credit Castle")</f>
        <v>Credit Castle</v>
      </c>
      <c r="F3708" s="122" t="str">
        <f>IFERROR(__xludf.DUMMYFUNCTION("""COMPUTED_VALUE"""),"Finance")</f>
        <v>Finance</v>
      </c>
    </row>
    <row r="3709">
      <c r="A3709" s="131">
        <f>IFERROR(__xludf.DUMMYFUNCTION("""COMPUTED_VALUE"""),46187.450902777775)</f>
        <v>46187.4509</v>
      </c>
      <c r="B3709" s="126">
        <f>IFERROR(__xludf.DUMMYFUNCTION("""COMPUTED_VALUE"""),46187.0)</f>
        <v>46187</v>
      </c>
      <c r="C3709" s="130">
        <f>IFERROR(__xludf.DUMMYFUNCTION("""COMPUTED_VALUE"""),0.45090277777777776)</f>
        <v>0.4509027778</v>
      </c>
      <c r="D3709" s="122" t="str">
        <f>IFERROR(__xludf.DUMMYFUNCTION("""COMPUTED_VALUE"""),"BOND")</f>
        <v>BOND</v>
      </c>
      <c r="E3709" s="122" t="str">
        <f>IFERROR(__xludf.DUMMYFUNCTION("""COMPUTED_VALUE"""),"BondBridge")</f>
        <v>BondBridge</v>
      </c>
      <c r="F3709" s="122" t="str">
        <f>IFERROR(__xludf.DUMMYFUNCTION("""COMPUTED_VALUE"""),"Finance")</f>
        <v>Finance</v>
      </c>
    </row>
    <row r="3710">
      <c r="A3710" s="131">
        <f>IFERROR(__xludf.DUMMYFUNCTION("""COMPUTED_VALUE"""),46187.450902777775)</f>
        <v>46187.4509</v>
      </c>
      <c r="B3710" s="126">
        <f>IFERROR(__xludf.DUMMYFUNCTION("""COMPUTED_VALUE"""),46187.0)</f>
        <v>46187</v>
      </c>
      <c r="C3710" s="130">
        <f>IFERROR(__xludf.DUMMYFUNCTION("""COMPUTED_VALUE"""),0.45090277777777776)</f>
        <v>0.4509027778</v>
      </c>
      <c r="D3710" s="122" t="str">
        <f>IFERROR(__xludf.DUMMYFUNCTION("""COMPUTED_VALUE"""),"INSR")</f>
        <v>INSR</v>
      </c>
      <c r="E3710" s="122" t="str">
        <f>IFERROR(__xludf.DUMMYFUNCTION("""COMPUTED_VALUE"""),"Shield Insurance")</f>
        <v>Shield Insurance</v>
      </c>
      <c r="F3710" s="122" t="str">
        <f>IFERROR(__xludf.DUMMYFUNCTION("""COMPUTED_VALUE"""),"Finance")</f>
        <v>Finance</v>
      </c>
    </row>
    <row r="3711">
      <c r="A3711" s="131">
        <f>IFERROR(__xludf.DUMMYFUNCTION("""COMPUTED_VALUE"""),46187.450902777775)</f>
        <v>46187.4509</v>
      </c>
      <c r="B3711" s="126">
        <f>IFERROR(__xludf.DUMMYFUNCTION("""COMPUTED_VALUE"""),46187.0)</f>
        <v>46187</v>
      </c>
      <c r="C3711" s="130">
        <f>IFERROR(__xludf.DUMMYFUNCTION("""COMPUTED_VALUE"""),0.45090277777777776)</f>
        <v>0.4509027778</v>
      </c>
      <c r="D3711" s="122" t="str">
        <f>IFERROR(__xludf.DUMMYFUNCTION("""COMPUTED_VALUE"""),"LOAN")</f>
        <v>LOAN</v>
      </c>
      <c r="E3711" s="122" t="str">
        <f>IFERROR(__xludf.DUMMYFUNCTION("""COMPUTED_VALUE"""),"LoanLab")</f>
        <v>LoanLab</v>
      </c>
      <c r="F3711" s="122" t="str">
        <f>IFERROR(__xludf.DUMMYFUNCTION("""COMPUTED_VALUE"""),"Finance")</f>
        <v>Finance</v>
      </c>
    </row>
    <row r="3712">
      <c r="A3712" s="131">
        <f>IFERROR(__xludf.DUMMYFUNCTION("""COMPUTED_VALUE"""),46187.450902777775)</f>
        <v>46187.4509</v>
      </c>
      <c r="B3712" s="126">
        <f>IFERROR(__xludf.DUMMYFUNCTION("""COMPUTED_VALUE"""),46187.0)</f>
        <v>46187</v>
      </c>
      <c r="C3712" s="130">
        <f>IFERROR(__xludf.DUMMYFUNCTION("""COMPUTED_VALUE"""),0.45090277777777776)</f>
        <v>0.4509027778</v>
      </c>
      <c r="D3712" s="122" t="str">
        <f>IFERROR(__xludf.DUMMYFUNCTION("""COMPUTED_VALUE"""),"LUXE")</f>
        <v>LUXE</v>
      </c>
      <c r="E3712" s="122" t="str">
        <f>IFERROR(__xludf.DUMMYFUNCTION("""COMPUTED_VALUE"""),"Luxury Locker")</f>
        <v>Luxury Locker</v>
      </c>
      <c r="F3712" s="122" t="str">
        <f>IFERROR(__xludf.DUMMYFUNCTION("""COMPUTED_VALUE"""),"Luxury Goods")</f>
        <v>Luxury Goods</v>
      </c>
    </row>
    <row r="3713">
      <c r="A3713" s="131">
        <f>IFERROR(__xludf.DUMMYFUNCTION("""COMPUTED_VALUE"""),46187.450902777775)</f>
        <v>46187.4509</v>
      </c>
      <c r="B3713" s="126">
        <f>IFERROR(__xludf.DUMMYFUNCTION("""COMPUTED_VALUE"""),46187.0)</f>
        <v>46187</v>
      </c>
      <c r="C3713" s="130">
        <f>IFERROR(__xludf.DUMMYFUNCTION("""COMPUTED_VALUE"""),0.45090277777777776)</f>
        <v>0.4509027778</v>
      </c>
      <c r="D3713" s="122" t="str">
        <f>IFERROR(__xludf.DUMMYFUNCTION("""COMPUTED_VALUE"""),"DRIP")</f>
        <v>DRIP</v>
      </c>
      <c r="E3713" s="122" t="str">
        <f>IFERROR(__xludf.DUMMYFUNCTION("""COMPUTED_VALUE"""),"Drip Streetwear")</f>
        <v>Drip Streetwear</v>
      </c>
      <c r="F3713" s="122" t="str">
        <f>IFERROR(__xludf.DUMMYFUNCTION("""COMPUTED_VALUE"""),"Fashion")</f>
        <v>Fashion</v>
      </c>
    </row>
    <row r="3714">
      <c r="A3714" s="131">
        <f>IFERROR(__xludf.DUMMYFUNCTION("""COMPUTED_VALUE"""),46187.450902777775)</f>
        <v>46187.4509</v>
      </c>
      <c r="B3714" s="126">
        <f>IFERROR(__xludf.DUMMYFUNCTION("""COMPUTED_VALUE"""),46187.0)</f>
        <v>46187</v>
      </c>
      <c r="C3714" s="130">
        <f>IFERROR(__xludf.DUMMYFUNCTION("""COMPUTED_VALUE"""),0.45090277777777776)</f>
        <v>0.4509027778</v>
      </c>
      <c r="D3714" s="122" t="str">
        <f>IFERROR(__xludf.DUMMYFUNCTION("""COMPUTED_VALUE"""),"KICK")</f>
        <v>KICK</v>
      </c>
      <c r="E3714" s="122" t="str">
        <f>IFERROR(__xludf.DUMMYFUNCTION("""COMPUTED_VALUE"""),"KickDrop Sneakers")</f>
        <v>KickDrop Sneakers</v>
      </c>
      <c r="F3714" s="122" t="str">
        <f>IFERROR(__xludf.DUMMYFUNCTION("""COMPUTED_VALUE"""),"Fashion")</f>
        <v>Fashion</v>
      </c>
    </row>
    <row r="3715">
      <c r="A3715" s="131">
        <f>IFERROR(__xludf.DUMMYFUNCTION("""COMPUTED_VALUE"""),46187.450902777775)</f>
        <v>46187.4509</v>
      </c>
      <c r="B3715" s="126">
        <f>IFERROR(__xludf.DUMMYFUNCTION("""COMPUTED_VALUE"""),46187.0)</f>
        <v>46187</v>
      </c>
      <c r="C3715" s="130">
        <f>IFERROR(__xludf.DUMMYFUNCTION("""COMPUTED_VALUE"""),0.45090277777777776)</f>
        <v>0.4509027778</v>
      </c>
      <c r="D3715" s="122" t="str">
        <f>IFERROR(__xludf.DUMMYFUNCTION("""COMPUTED_VALUE"""),"GLAM")</f>
        <v>GLAM</v>
      </c>
      <c r="E3715" s="122" t="str">
        <f>IFERROR(__xludf.DUMMYFUNCTION("""COMPUTED_VALUE"""),"Glow Cosmetics")</f>
        <v>Glow Cosmetics</v>
      </c>
      <c r="F3715" s="122" t="str">
        <f>IFERROR(__xludf.DUMMYFUNCTION("""COMPUTED_VALUE"""),"Fashion")</f>
        <v>Fashion</v>
      </c>
    </row>
    <row r="3716">
      <c r="A3716" s="131">
        <f>IFERROR(__xludf.DUMMYFUNCTION("""COMPUTED_VALUE"""),46187.450902777775)</f>
        <v>46187.4509</v>
      </c>
      <c r="B3716" s="126">
        <f>IFERROR(__xludf.DUMMYFUNCTION("""COMPUTED_VALUE"""),46187.0)</f>
        <v>46187</v>
      </c>
      <c r="C3716" s="130">
        <f>IFERROR(__xludf.DUMMYFUNCTION("""COMPUTED_VALUE"""),0.45090277777777776)</f>
        <v>0.4509027778</v>
      </c>
      <c r="D3716" s="122" t="str">
        <f>IFERROR(__xludf.DUMMYFUNCTION("""COMPUTED_VALUE"""),"BAGG")</f>
        <v>BAGG</v>
      </c>
      <c r="E3716" s="122" t="str">
        <f>IFERROR(__xludf.DUMMYFUNCTION("""COMPUTED_VALUE"""),"BagVault")</f>
        <v>BagVault</v>
      </c>
      <c r="F3716" s="122" t="str">
        <f>IFERROR(__xludf.DUMMYFUNCTION("""COMPUTED_VALUE"""),"Fashion")</f>
        <v>Fashion</v>
      </c>
    </row>
    <row r="3717">
      <c r="A3717" s="131">
        <f>IFERROR(__xludf.DUMMYFUNCTION("""COMPUTED_VALUE"""),46187.450902777775)</f>
        <v>46187.4509</v>
      </c>
      <c r="B3717" s="126">
        <f>IFERROR(__xludf.DUMMYFUNCTION("""COMPUTED_VALUE"""),46187.0)</f>
        <v>46187</v>
      </c>
      <c r="C3717" s="130">
        <f>IFERROR(__xludf.DUMMYFUNCTION("""COMPUTED_VALUE"""),0.45090277777777776)</f>
        <v>0.4509027778</v>
      </c>
      <c r="D3717" s="122" t="str">
        <f>IFERROR(__xludf.DUMMYFUNCTION("""COMPUTED_VALUE"""),"FAST")</f>
        <v>FAST</v>
      </c>
      <c r="E3717" s="122" t="str">
        <f>IFERROR(__xludf.DUMMYFUNCTION("""COMPUTED_VALUE"""),"Flash Logistics")</f>
        <v>Flash Logistics</v>
      </c>
      <c r="F3717" s="122" t="str">
        <f>IFERROR(__xludf.DUMMYFUNCTION("""COMPUTED_VALUE"""),"Logistics")</f>
        <v>Logistics</v>
      </c>
    </row>
    <row r="3718">
      <c r="A3718" s="131">
        <f>IFERROR(__xludf.DUMMYFUNCTION("""COMPUTED_VALUE"""),46187.450902777775)</f>
        <v>46187.4509</v>
      </c>
      <c r="B3718" s="126">
        <f>IFERROR(__xludf.DUMMYFUNCTION("""COMPUTED_VALUE"""),46187.0)</f>
        <v>46187</v>
      </c>
      <c r="C3718" s="130">
        <f>IFERROR(__xludf.DUMMYFUNCTION("""COMPUTED_VALUE"""),0.45090277777777776)</f>
        <v>0.4509027778</v>
      </c>
      <c r="D3718" s="122" t="str">
        <f>IFERROR(__xludf.DUMMYFUNCTION("""COMPUTED_VALUE"""),"SHIP")</f>
        <v>SHIP</v>
      </c>
      <c r="E3718" s="122" t="str">
        <f>IFERROR(__xludf.DUMMYFUNCTION("""COMPUTED_VALUE"""),"Seoul Shipping")</f>
        <v>Seoul Shipping</v>
      </c>
      <c r="F3718" s="122" t="str">
        <f>IFERROR(__xludf.DUMMYFUNCTION("""COMPUTED_VALUE"""),"Logistics")</f>
        <v>Logistics</v>
      </c>
    </row>
    <row r="3719">
      <c r="A3719" s="131">
        <f>IFERROR(__xludf.DUMMYFUNCTION("""COMPUTED_VALUE"""),46187.450902777775)</f>
        <v>46187.4509</v>
      </c>
      <c r="B3719" s="126">
        <f>IFERROR(__xludf.DUMMYFUNCTION("""COMPUTED_VALUE"""),46187.0)</f>
        <v>46187</v>
      </c>
      <c r="C3719" s="130">
        <f>IFERROR(__xludf.DUMMYFUNCTION("""COMPUTED_VALUE"""),0.45090277777777776)</f>
        <v>0.4509027778</v>
      </c>
      <c r="D3719" s="122" t="str">
        <f>IFERROR(__xludf.DUMMYFUNCTION("""COMPUTED_VALUE"""),"DRON")</f>
        <v>DRON</v>
      </c>
      <c r="E3719" s="122" t="str">
        <f>IFERROR(__xludf.DUMMYFUNCTION("""COMPUTED_VALUE"""),"DroneDrop")</f>
        <v>DroneDrop</v>
      </c>
      <c r="F3719" s="122" t="str">
        <f>IFERROR(__xludf.DUMMYFUNCTION("""COMPUTED_VALUE"""),"Logistics")</f>
        <v>Logistics</v>
      </c>
    </row>
    <row r="3720">
      <c r="A3720" s="131">
        <f>IFERROR(__xludf.DUMMYFUNCTION("""COMPUTED_VALUE"""),46187.450902777775)</f>
        <v>46187.4509</v>
      </c>
      <c r="B3720" s="126">
        <f>IFERROR(__xludf.DUMMYFUNCTION("""COMPUTED_VALUE"""),46187.0)</f>
        <v>46187</v>
      </c>
      <c r="C3720" s="130">
        <f>IFERROR(__xludf.DUMMYFUNCTION("""COMPUTED_VALUE"""),0.45090277777777776)</f>
        <v>0.4509027778</v>
      </c>
      <c r="D3720" s="122" t="str">
        <f>IFERROR(__xludf.DUMMYFUNCTION("""COMPUTED_VALUE"""),"RIDE")</f>
        <v>RIDE</v>
      </c>
      <c r="E3720" s="122" t="str">
        <f>IFERROR(__xludf.DUMMYFUNCTION("""COMPUTED_VALUE"""),"QuickRide")</f>
        <v>QuickRide</v>
      </c>
      <c r="F3720" s="122" t="str">
        <f>IFERROR(__xludf.DUMMYFUNCTION("""COMPUTED_VALUE"""),"Transportation")</f>
        <v>Transportation</v>
      </c>
    </row>
    <row r="3721">
      <c r="A3721" s="131">
        <f>IFERROR(__xludf.DUMMYFUNCTION("""COMPUTED_VALUE"""),46187.450902777775)</f>
        <v>46187.4509</v>
      </c>
      <c r="B3721" s="126">
        <f>IFERROR(__xludf.DUMMYFUNCTION("""COMPUTED_VALUE"""),46187.0)</f>
        <v>46187</v>
      </c>
      <c r="C3721" s="130">
        <f>IFERROR(__xludf.DUMMYFUNCTION("""COMPUTED_VALUE"""),0.45090277777777776)</f>
        <v>0.4509027778</v>
      </c>
      <c r="D3721" s="122" t="str">
        <f>IFERROR(__xludf.DUMMYFUNCTION("""COMPUTED_VALUE"""),"RAIL")</f>
        <v>RAIL</v>
      </c>
      <c r="E3721" s="122" t="str">
        <f>IFERROR(__xludf.DUMMYFUNCTION("""COMPUTED_VALUE"""),"MetroRail Corp")</f>
        <v>MetroRail Corp</v>
      </c>
      <c r="F3721" s="122" t="str">
        <f>IFERROR(__xludf.DUMMYFUNCTION("""COMPUTED_VALUE"""),"Transportation")</f>
        <v>Transportation</v>
      </c>
    </row>
    <row r="3722">
      <c r="A3722" s="131">
        <f>IFERROR(__xludf.DUMMYFUNCTION("""COMPUTED_VALUE"""),46187.450902777775)</f>
        <v>46187.4509</v>
      </c>
      <c r="B3722" s="126">
        <f>IFERROR(__xludf.DUMMYFUNCTION("""COMPUTED_VALUE"""),46187.0)</f>
        <v>46187</v>
      </c>
      <c r="C3722" s="130">
        <f>IFERROR(__xludf.DUMMYFUNCTION("""COMPUTED_VALUE"""),0.45090277777777776)</f>
        <v>0.4509027778</v>
      </c>
      <c r="D3722" s="122" t="str">
        <f>IFERROR(__xludf.DUMMYFUNCTION("""COMPUTED_VALUE"""),"MEDX")</f>
        <v>MEDX</v>
      </c>
      <c r="E3722" s="122" t="str">
        <f>IFERROR(__xludf.DUMMYFUNCTION("""COMPUTED_VALUE"""),"MediCore")</f>
        <v>MediCore</v>
      </c>
      <c r="F3722" s="122" t="str">
        <f>IFERROR(__xludf.DUMMYFUNCTION("""COMPUTED_VALUE"""),"Healthcare")</f>
        <v>Healthcare</v>
      </c>
    </row>
    <row r="3723">
      <c r="A3723" s="131">
        <f>IFERROR(__xludf.DUMMYFUNCTION("""COMPUTED_VALUE"""),46187.450902777775)</f>
        <v>46187.4509</v>
      </c>
      <c r="B3723" s="126">
        <f>IFERROR(__xludf.DUMMYFUNCTION("""COMPUTED_VALUE"""),46187.0)</f>
        <v>46187</v>
      </c>
      <c r="C3723" s="130">
        <f>IFERROR(__xludf.DUMMYFUNCTION("""COMPUTED_VALUE"""),0.45090277777777776)</f>
        <v>0.4509027778</v>
      </c>
      <c r="D3723" s="122" t="str">
        <f>IFERROR(__xludf.DUMMYFUNCTION("""COMPUTED_VALUE"""),"GYMX")</f>
        <v>GYMX</v>
      </c>
      <c r="E3723" s="122" t="str">
        <f>IFERROR(__xludf.DUMMYFUNCTION("""COMPUTED_VALUE"""),"GymX Fitness")</f>
        <v>GymX Fitness</v>
      </c>
      <c r="F3723" s="122" t="str">
        <f>IFERROR(__xludf.DUMMYFUNCTION("""COMPUTED_VALUE"""),"Healthcare")</f>
        <v>Healthcare</v>
      </c>
    </row>
    <row r="3724">
      <c r="A3724" s="131">
        <f>IFERROR(__xludf.DUMMYFUNCTION("""COMPUTED_VALUE"""),46187.450902777775)</f>
        <v>46187.4509</v>
      </c>
      <c r="B3724" s="126">
        <f>IFERROR(__xludf.DUMMYFUNCTION("""COMPUTED_VALUE"""),46187.0)</f>
        <v>46187</v>
      </c>
      <c r="C3724" s="130">
        <f>IFERROR(__xludf.DUMMYFUNCTION("""COMPUTED_VALUE"""),0.45090277777777776)</f>
        <v>0.4509027778</v>
      </c>
      <c r="D3724" s="122" t="str">
        <f>IFERROR(__xludf.DUMMYFUNCTION("""COMPUTED_VALUE"""),"VITA")</f>
        <v>VITA</v>
      </c>
      <c r="E3724" s="122" t="str">
        <f>IFERROR(__xludf.DUMMYFUNCTION("""COMPUTED_VALUE"""),"VitaPlus")</f>
        <v>VitaPlus</v>
      </c>
      <c r="F3724" s="122" t="str">
        <f>IFERROR(__xludf.DUMMYFUNCTION("""COMPUTED_VALUE"""),"Healthcare")</f>
        <v>Healthcare</v>
      </c>
    </row>
    <row r="3725">
      <c r="A3725" s="131">
        <f>IFERROR(__xludf.DUMMYFUNCTION("""COMPUTED_VALUE"""),46187.450902777775)</f>
        <v>46187.4509</v>
      </c>
      <c r="B3725" s="126">
        <f>IFERROR(__xludf.DUMMYFUNCTION("""COMPUTED_VALUE"""),46187.0)</f>
        <v>46187</v>
      </c>
      <c r="C3725" s="130">
        <f>IFERROR(__xludf.DUMMYFUNCTION("""COMPUTED_VALUE"""),0.45090277777777776)</f>
        <v>0.4509027778</v>
      </c>
      <c r="D3725" s="122" t="str">
        <f>IFERROR(__xludf.DUMMYFUNCTION("""COMPUTED_VALUE"""),"CARE")</f>
        <v>CARE</v>
      </c>
      <c r="E3725" s="122" t="str">
        <f>IFERROR(__xludf.DUMMYFUNCTION("""COMPUTED_VALUE"""),"CareCloud")</f>
        <v>CareCloud</v>
      </c>
      <c r="F3725" s="122" t="str">
        <f>IFERROR(__xludf.DUMMYFUNCTION("""COMPUTED_VALUE"""),"Healthcare")</f>
        <v>Healthcare</v>
      </c>
    </row>
    <row r="3726">
      <c r="A3726" s="131">
        <f>IFERROR(__xludf.DUMMYFUNCTION("""COMPUTED_VALUE"""),46187.450902777775)</f>
        <v>46187.4509</v>
      </c>
      <c r="B3726" s="126">
        <f>IFERROR(__xludf.DUMMYFUNCTION("""COMPUTED_VALUE"""),46187.0)</f>
        <v>46187</v>
      </c>
      <c r="C3726" s="130">
        <f>IFERROR(__xludf.DUMMYFUNCTION("""COMPUTED_VALUE"""),0.45090277777777776)</f>
        <v>0.4509027778</v>
      </c>
      <c r="D3726" s="122" t="str">
        <f>IFERROR(__xludf.DUMMYFUNCTION("""COMPUTED_VALUE"""),"DENT")</f>
        <v>DENT</v>
      </c>
      <c r="E3726" s="122" t="str">
        <f>IFERROR(__xludf.DUMMYFUNCTION("""COMPUTED_VALUE"""),"SmileWorks")</f>
        <v>SmileWorks</v>
      </c>
      <c r="F3726" s="122" t="str">
        <f>IFERROR(__xludf.DUMMYFUNCTION("""COMPUTED_VALUE"""),"Healthcare")</f>
        <v>Healthcare</v>
      </c>
    </row>
    <row r="3727">
      <c r="A3727" s="131">
        <f>IFERROR(__xludf.DUMMYFUNCTION("""COMPUTED_VALUE"""),46187.450902777775)</f>
        <v>46187.4509</v>
      </c>
      <c r="B3727" s="126">
        <f>IFERROR(__xludf.DUMMYFUNCTION("""COMPUTED_VALUE"""),46187.0)</f>
        <v>46187</v>
      </c>
      <c r="C3727" s="130">
        <f>IFERROR(__xludf.DUMMYFUNCTION("""COMPUTED_VALUE"""),0.45090277777777776)</f>
        <v>0.4509027778</v>
      </c>
      <c r="D3727" s="122" t="str">
        <f>IFERROR(__xludf.DUMMYFUNCTION("""COMPUTED_VALUE"""),"EDUX")</f>
        <v>EDUX</v>
      </c>
      <c r="E3727" s="122" t="str">
        <f>IFERROR(__xludf.DUMMYFUNCTION("""COMPUTED_VALUE"""),"EduMax Learning")</f>
        <v>EduMax Learning</v>
      </c>
      <c r="F3727" s="122" t="str">
        <f>IFERROR(__xludf.DUMMYFUNCTION("""COMPUTED_VALUE"""),"Education")</f>
        <v>Education</v>
      </c>
    </row>
    <row r="3728">
      <c r="A3728" s="131">
        <f>IFERROR(__xludf.DUMMYFUNCTION("""COMPUTED_VALUE"""),46187.450902777775)</f>
        <v>46187.4509</v>
      </c>
      <c r="B3728" s="126">
        <f>IFERROR(__xludf.DUMMYFUNCTION("""COMPUTED_VALUE"""),46187.0)</f>
        <v>46187</v>
      </c>
      <c r="C3728" s="130">
        <f>IFERROR(__xludf.DUMMYFUNCTION("""COMPUTED_VALUE"""),0.45090277777777776)</f>
        <v>0.4509027778</v>
      </c>
      <c r="D3728" s="122" t="str">
        <f>IFERROR(__xludf.DUMMYFUNCTION("""COMPUTED_VALUE"""),"BOOK")</f>
        <v>BOOK</v>
      </c>
      <c r="E3728" s="122" t="str">
        <f>IFERROR(__xludf.DUMMYFUNCTION("""COMPUTED_VALUE"""),"BookBridge")</f>
        <v>BookBridge</v>
      </c>
      <c r="F3728" s="122" t="str">
        <f>IFERROR(__xludf.DUMMYFUNCTION("""COMPUTED_VALUE"""),"Education")</f>
        <v>Education</v>
      </c>
    </row>
    <row r="3729">
      <c r="A3729" s="131">
        <f>IFERROR(__xludf.DUMMYFUNCTION("""COMPUTED_VALUE"""),46187.450902777775)</f>
        <v>46187.4509</v>
      </c>
      <c r="B3729" s="126">
        <f>IFERROR(__xludf.DUMMYFUNCTION("""COMPUTED_VALUE"""),46187.0)</f>
        <v>46187</v>
      </c>
      <c r="C3729" s="130">
        <f>IFERROR(__xludf.DUMMYFUNCTION("""COMPUTED_VALUE"""),0.45090277777777776)</f>
        <v>0.4509027778</v>
      </c>
      <c r="D3729" s="122" t="str">
        <f>IFERROR(__xludf.DUMMYFUNCTION("""COMPUTED_VALUE"""),"TUTR")</f>
        <v>TUTR</v>
      </c>
      <c r="E3729" s="122" t="str">
        <f>IFERROR(__xludf.DUMMYFUNCTION("""COMPUTED_VALUE"""),"TutorTown")</f>
        <v>TutorTown</v>
      </c>
      <c r="F3729" s="122" t="str">
        <f>IFERROR(__xludf.DUMMYFUNCTION("""COMPUTED_VALUE"""),"Education")</f>
        <v>Education</v>
      </c>
    </row>
    <row r="3730">
      <c r="A3730" s="131">
        <f>IFERROR(__xludf.DUMMYFUNCTION("""COMPUTED_VALUE"""),46187.450902777775)</f>
        <v>46187.4509</v>
      </c>
      <c r="B3730" s="126">
        <f>IFERROR(__xludf.DUMMYFUNCTION("""COMPUTED_VALUE"""),46187.0)</f>
        <v>46187</v>
      </c>
      <c r="C3730" s="130">
        <f>IFERROR(__xludf.DUMMYFUNCTION("""COMPUTED_VALUE"""),0.45090277777777776)</f>
        <v>0.4509027778</v>
      </c>
      <c r="D3730" s="122" t="str">
        <f>IFERROR(__xludf.DUMMYFUNCTION("""COMPUTED_VALUE"""),"LANG")</f>
        <v>LANG</v>
      </c>
      <c r="E3730" s="122" t="str">
        <f>IFERROR(__xludf.DUMMYFUNCTION("""COMPUTED_VALUE"""),"LinguaLab")</f>
        <v>LinguaLab</v>
      </c>
      <c r="F3730" s="122" t="str">
        <f>IFERROR(__xludf.DUMMYFUNCTION("""COMPUTED_VALUE"""),"Education")</f>
        <v>Education</v>
      </c>
    </row>
    <row r="3731">
      <c r="A3731" s="131">
        <f>IFERROR(__xludf.DUMMYFUNCTION("""COMPUTED_VALUE"""),46187.450902777775)</f>
        <v>46187.4509</v>
      </c>
      <c r="B3731" s="126">
        <f>IFERROR(__xludf.DUMMYFUNCTION("""COMPUTED_VALUE"""),46187.0)</f>
        <v>46187</v>
      </c>
      <c r="C3731" s="130">
        <f>IFERROR(__xludf.DUMMYFUNCTION("""COMPUTED_VALUE"""),0.45090277777777776)</f>
        <v>0.4509027778</v>
      </c>
      <c r="D3731" s="122" t="str">
        <f>IFERROR(__xludf.DUMMYFUNCTION("""COMPUTED_VALUE"""),"TEST")</f>
        <v>TEST</v>
      </c>
      <c r="E3731" s="122" t="str">
        <f>IFERROR(__xludf.DUMMYFUNCTION("""COMPUTED_VALUE"""),"TestPrep Pro")</f>
        <v>TestPrep Pro</v>
      </c>
      <c r="F3731" s="122" t="str">
        <f>IFERROR(__xludf.DUMMYFUNCTION("""COMPUTED_VALUE"""),"Education")</f>
        <v>Education</v>
      </c>
    </row>
    <row r="3732">
      <c r="A3732" s="131">
        <f>IFERROR(__xludf.DUMMYFUNCTION("""COMPUTED_VALUE"""),46187.450902777775)</f>
        <v>46187.4509</v>
      </c>
      <c r="B3732" s="126">
        <f>IFERROR(__xludf.DUMMYFUNCTION("""COMPUTED_VALUE"""),46187.0)</f>
        <v>46187</v>
      </c>
      <c r="C3732" s="130">
        <f>IFERROR(__xludf.DUMMYFUNCTION("""COMPUTED_VALUE"""),0.45090277777777776)</f>
        <v>0.4509027778</v>
      </c>
      <c r="D3732" s="122" t="str">
        <f>IFERROR(__xludf.DUMMYFUNCTION("""COMPUTED_VALUE"""),"MOVI")</f>
        <v>MOVI</v>
      </c>
      <c r="E3732" s="122" t="str">
        <f>IFERROR(__xludf.DUMMYFUNCTION("""COMPUTED_VALUE"""),"MovieBox")</f>
        <v>MovieBox</v>
      </c>
      <c r="F3732" s="122" t="str">
        <f>IFERROR(__xludf.DUMMYFUNCTION("""COMPUTED_VALUE"""),"Entertainment")</f>
        <v>Entertainment</v>
      </c>
    </row>
    <row r="3733">
      <c r="A3733" s="131">
        <f>IFERROR(__xludf.DUMMYFUNCTION("""COMPUTED_VALUE"""),46187.450902777775)</f>
        <v>46187.4509</v>
      </c>
      <c r="B3733" s="126">
        <f>IFERROR(__xludf.DUMMYFUNCTION("""COMPUTED_VALUE"""),46187.0)</f>
        <v>46187</v>
      </c>
      <c r="C3733" s="130">
        <f>IFERROR(__xludf.DUMMYFUNCTION("""COMPUTED_VALUE"""),0.45090277777777776)</f>
        <v>0.4509027778</v>
      </c>
      <c r="D3733" s="122" t="str">
        <f>IFERROR(__xludf.DUMMYFUNCTION("""COMPUTED_VALUE"""),"MUSC")</f>
        <v>MUSC</v>
      </c>
      <c r="E3733" s="122" t="str">
        <f>IFERROR(__xludf.DUMMYFUNCTION("""COMPUTED_VALUE"""),"MusicWave")</f>
        <v>MusicWave</v>
      </c>
      <c r="F3733" s="122" t="str">
        <f>IFERROR(__xludf.DUMMYFUNCTION("""COMPUTED_VALUE"""),"Entertainment")</f>
        <v>Entertainment</v>
      </c>
    </row>
    <row r="3734">
      <c r="A3734" s="131">
        <f>IFERROR(__xludf.DUMMYFUNCTION("""COMPUTED_VALUE"""),46187.450902777775)</f>
        <v>46187.4509</v>
      </c>
      <c r="B3734" s="126">
        <f>IFERROR(__xludf.DUMMYFUNCTION("""COMPUTED_VALUE"""),46187.0)</f>
        <v>46187</v>
      </c>
      <c r="C3734" s="130">
        <f>IFERROR(__xludf.DUMMYFUNCTION("""COMPUTED_VALUE"""),0.45090277777777776)</f>
        <v>0.4509027778</v>
      </c>
      <c r="D3734" s="122" t="str">
        <f>IFERROR(__xludf.DUMMYFUNCTION("""COMPUTED_VALUE"""),"IDOL")</f>
        <v>IDOL</v>
      </c>
      <c r="E3734" s="122" t="str">
        <f>IFERROR(__xludf.DUMMYFUNCTION("""COMPUTED_VALUE"""),"Idol Agency")</f>
        <v>Idol Agency</v>
      </c>
      <c r="F3734" s="122" t="str">
        <f>IFERROR(__xludf.DUMMYFUNCTION("""COMPUTED_VALUE"""),"Entertainment")</f>
        <v>Entertainment</v>
      </c>
    </row>
    <row r="3735">
      <c r="A3735" s="131">
        <f>IFERROR(__xludf.DUMMYFUNCTION("""COMPUTED_VALUE"""),46187.450902777775)</f>
        <v>46187.4509</v>
      </c>
      <c r="B3735" s="126">
        <f>IFERROR(__xludf.DUMMYFUNCTION("""COMPUTED_VALUE"""),46187.0)</f>
        <v>46187</v>
      </c>
      <c r="C3735" s="130">
        <f>IFERROR(__xludf.DUMMYFUNCTION("""COMPUTED_VALUE"""),0.45090277777777776)</f>
        <v>0.4509027778</v>
      </c>
      <c r="D3735" s="122" t="str">
        <f>IFERROR(__xludf.DUMMYFUNCTION("""COMPUTED_VALUE"""),"MEME")</f>
        <v>MEME</v>
      </c>
      <c r="E3735" s="122" t="str">
        <f>IFERROR(__xludf.DUMMYFUNCTION("""COMPUTED_VALUE"""),"Meme Media")</f>
        <v>Meme Media</v>
      </c>
      <c r="F3735" s="122" t="str">
        <f>IFERROR(__xludf.DUMMYFUNCTION("""COMPUTED_VALUE"""),"Entertainment")</f>
        <v>Entertainment</v>
      </c>
    </row>
    <row r="3736">
      <c r="A3736" s="131">
        <f>IFERROR(__xludf.DUMMYFUNCTION("""COMPUTED_VALUE"""),46187.450902777775)</f>
        <v>46187.4509</v>
      </c>
      <c r="B3736" s="126">
        <f>IFERROR(__xludf.DUMMYFUNCTION("""COMPUTED_VALUE"""),46187.0)</f>
        <v>46187</v>
      </c>
      <c r="C3736" s="130">
        <f>IFERROR(__xludf.DUMMYFUNCTION("""COMPUTED_VALUE"""),0.45090277777777776)</f>
        <v>0.4509027778</v>
      </c>
      <c r="D3736" s="122" t="str">
        <f>IFERROR(__xludf.DUMMYFUNCTION("""COMPUTED_VALUE"""),"STRM")</f>
        <v>STRM</v>
      </c>
      <c r="E3736" s="122" t="str">
        <f>IFERROR(__xludf.DUMMYFUNCTION("""COMPUTED_VALUE"""),"Streamly")</f>
        <v>Streamly</v>
      </c>
      <c r="F3736" s="122" t="str">
        <f>IFERROR(__xludf.DUMMYFUNCTION("""COMPUTED_VALUE"""),"Entertainment")</f>
        <v>Entertainment</v>
      </c>
    </row>
    <row r="3737">
      <c r="A3737" s="131">
        <f>IFERROR(__xludf.DUMMYFUNCTION("""COMPUTED_VALUE"""),46187.450902777775)</f>
        <v>46187.4509</v>
      </c>
      <c r="B3737" s="126">
        <f>IFERROR(__xludf.DUMMYFUNCTION("""COMPUTED_VALUE"""),46187.0)</f>
        <v>46187</v>
      </c>
      <c r="C3737" s="130">
        <f>IFERROR(__xludf.DUMMYFUNCTION("""COMPUTED_VALUE"""),0.45090277777777776)</f>
        <v>0.4509027778</v>
      </c>
      <c r="D3737" s="122" t="str">
        <f>IFERROR(__xludf.DUMMYFUNCTION("""COMPUTED_VALUE"""),"FARM")</f>
        <v>FARM</v>
      </c>
      <c r="E3737" s="122" t="str">
        <f>IFERROR(__xludf.DUMMYFUNCTION("""COMPUTED_VALUE"""),"Future Farms")</f>
        <v>Future Farms</v>
      </c>
      <c r="F3737" s="122" t="str">
        <f>IFERROR(__xludf.DUMMYFUNCTION("""COMPUTED_VALUE"""),"Agriculture")</f>
        <v>Agriculture</v>
      </c>
    </row>
    <row r="3738">
      <c r="A3738" s="131">
        <f>IFERROR(__xludf.DUMMYFUNCTION("""COMPUTED_VALUE"""),46187.450902777775)</f>
        <v>46187.4509</v>
      </c>
      <c r="B3738" s="126">
        <f>IFERROR(__xludf.DUMMYFUNCTION("""COMPUTED_VALUE"""),46187.0)</f>
        <v>46187</v>
      </c>
      <c r="C3738" s="130">
        <f>IFERROR(__xludf.DUMMYFUNCTION("""COMPUTED_VALUE"""),0.45090277777777776)</f>
        <v>0.4509027778</v>
      </c>
      <c r="D3738" s="122" t="str">
        <f>IFERROR(__xludf.DUMMYFUNCTION("""COMPUTED_VALUE"""),"MEAT")</f>
        <v>MEAT</v>
      </c>
      <c r="E3738" s="122" t="str">
        <f>IFERROR(__xludf.DUMMYFUNCTION("""COMPUTED_VALUE"""),"MeatWorks")</f>
        <v>MeatWorks</v>
      </c>
      <c r="F3738" s="122" t="str">
        <f>IFERROR(__xludf.DUMMYFUNCTION("""COMPUTED_VALUE"""),"Food")</f>
        <v>Food</v>
      </c>
    </row>
    <row r="3739">
      <c r="A3739" s="131">
        <f>IFERROR(__xludf.DUMMYFUNCTION("""COMPUTED_VALUE"""),46187.450902777775)</f>
        <v>46187.4509</v>
      </c>
      <c r="B3739" s="126">
        <f>IFERROR(__xludf.DUMMYFUNCTION("""COMPUTED_VALUE"""),46187.0)</f>
        <v>46187</v>
      </c>
      <c r="C3739" s="130">
        <f>IFERROR(__xludf.DUMMYFUNCTION("""COMPUTED_VALUE"""),0.45090277777777776)</f>
        <v>0.4509027778</v>
      </c>
      <c r="D3739" s="122" t="str">
        <f>IFERROR(__xludf.DUMMYFUNCTION("""COMPUTED_VALUE"""),"VEGI")</f>
        <v>VEGI</v>
      </c>
      <c r="E3739" s="122" t="str">
        <f>IFERROR(__xludf.DUMMYFUNCTION("""COMPUTED_VALUE"""),"Green Basket")</f>
        <v>Green Basket</v>
      </c>
      <c r="F3739" s="122" t="str">
        <f>IFERROR(__xludf.DUMMYFUNCTION("""COMPUTED_VALUE"""),"Food")</f>
        <v>Food</v>
      </c>
    </row>
    <row r="3740">
      <c r="A3740" s="131">
        <f>IFERROR(__xludf.DUMMYFUNCTION("""COMPUTED_VALUE"""),46187.450902777775)</f>
        <v>46187.4509</v>
      </c>
      <c r="B3740" s="126">
        <f>IFERROR(__xludf.DUMMYFUNCTION("""COMPUTED_VALUE"""),46187.0)</f>
        <v>46187</v>
      </c>
      <c r="C3740" s="130">
        <f>IFERROR(__xludf.DUMMYFUNCTION("""COMPUTED_VALUE"""),0.45090277777777776)</f>
        <v>0.4509027778</v>
      </c>
      <c r="D3740" s="122" t="str">
        <f>IFERROR(__xludf.DUMMYFUNCTION("""COMPUTED_VALUE"""),"CAFE")</f>
        <v>CAFE</v>
      </c>
      <c r="E3740" s="122" t="str">
        <f>IFERROR(__xludf.DUMMYFUNCTION("""COMPUTED_VALUE"""),"Cafe Cloud")</f>
        <v>Cafe Cloud</v>
      </c>
      <c r="F3740" s="122" t="str">
        <f>IFERROR(__xludf.DUMMYFUNCTION("""COMPUTED_VALUE"""),"Food")</f>
        <v>Food</v>
      </c>
    </row>
    <row r="3741">
      <c r="A3741" s="131">
        <f>IFERROR(__xludf.DUMMYFUNCTION("""COMPUTED_VALUE"""),46187.450902777775)</f>
        <v>46187.4509</v>
      </c>
      <c r="B3741" s="126">
        <f>IFERROR(__xludf.DUMMYFUNCTION("""COMPUTED_VALUE"""),46187.0)</f>
        <v>46187</v>
      </c>
      <c r="C3741" s="130">
        <f>IFERROR(__xludf.DUMMYFUNCTION("""COMPUTED_VALUE"""),0.45090277777777776)</f>
        <v>0.4509027778</v>
      </c>
      <c r="D3741" s="122" t="str">
        <f>IFERROR(__xludf.DUMMYFUNCTION("""COMPUTED_VALUE"""),"BAKE")</f>
        <v>BAKE</v>
      </c>
      <c r="E3741" s="122" t="str">
        <f>IFERROR(__xludf.DUMMYFUNCTION("""COMPUTED_VALUE"""),"BakeHouse")</f>
        <v>BakeHouse</v>
      </c>
      <c r="F3741" s="122" t="str">
        <f>IFERROR(__xludf.DUMMYFUNCTION("""COMPUTED_VALUE"""),"Food")</f>
        <v>Food</v>
      </c>
    </row>
    <row r="3742">
      <c r="A3742" s="131">
        <f>IFERROR(__xludf.DUMMYFUNCTION("""COMPUTED_VALUE"""),46187.450902777775)</f>
        <v>46187.4509</v>
      </c>
      <c r="B3742" s="126">
        <f>IFERROR(__xludf.DUMMYFUNCTION("""COMPUTED_VALUE"""),46187.0)</f>
        <v>46187</v>
      </c>
      <c r="C3742" s="130">
        <f>IFERROR(__xludf.DUMMYFUNCTION("""COMPUTED_VALUE"""),0.45090277777777776)</f>
        <v>0.4509027778</v>
      </c>
      <c r="D3742" s="122" t="str">
        <f>IFERROR(__xludf.DUMMYFUNCTION("""COMPUTED_VALUE"""),"OILX")</f>
        <v>OILX</v>
      </c>
      <c r="E3742" s="122" t="str">
        <f>IFERROR(__xludf.DUMMYFUNCTION("""COMPUTED_VALUE"""),"OilMax Energy")</f>
        <v>OilMax Energy</v>
      </c>
      <c r="F3742" s="122" t="str">
        <f>IFERROR(__xludf.DUMMYFUNCTION("""COMPUTED_VALUE"""),"Energy")</f>
        <v>Energy</v>
      </c>
    </row>
    <row r="3743">
      <c r="A3743" s="131">
        <f>IFERROR(__xludf.DUMMYFUNCTION("""COMPUTED_VALUE"""),46187.450902777775)</f>
        <v>46187.4509</v>
      </c>
      <c r="B3743" s="126">
        <f>IFERROR(__xludf.DUMMYFUNCTION("""COMPUTED_VALUE"""),46187.0)</f>
        <v>46187</v>
      </c>
      <c r="C3743" s="130">
        <f>IFERROR(__xludf.DUMMYFUNCTION("""COMPUTED_VALUE"""),0.45090277777777776)</f>
        <v>0.4509027778</v>
      </c>
      <c r="D3743" s="122" t="str">
        <f>IFERROR(__xludf.DUMMYFUNCTION("""COMPUTED_VALUE"""),"SOLR")</f>
        <v>SOLR</v>
      </c>
      <c r="E3743" s="122" t="str">
        <f>IFERROR(__xludf.DUMMYFUNCTION("""COMPUTED_VALUE"""),"SolarSpark")</f>
        <v>SolarSpark</v>
      </c>
      <c r="F3743" s="122" t="str">
        <f>IFERROR(__xludf.DUMMYFUNCTION("""COMPUTED_VALUE"""),"Energy")</f>
        <v>Energy</v>
      </c>
    </row>
    <row r="3744">
      <c r="A3744" s="131">
        <f>IFERROR(__xludf.DUMMYFUNCTION("""COMPUTED_VALUE"""),46187.450902777775)</f>
        <v>46187.4509</v>
      </c>
      <c r="B3744" s="126">
        <f>IFERROR(__xludf.DUMMYFUNCTION("""COMPUTED_VALUE"""),46187.0)</f>
        <v>46187</v>
      </c>
      <c r="C3744" s="130">
        <f>IFERROR(__xludf.DUMMYFUNCTION("""COMPUTED_VALUE"""),0.45090277777777776)</f>
        <v>0.4509027778</v>
      </c>
      <c r="D3744" s="122" t="str">
        <f>IFERROR(__xludf.DUMMYFUNCTION("""COMPUTED_VALUE"""),"BATT")</f>
        <v>BATT</v>
      </c>
      <c r="E3744" s="122" t="str">
        <f>IFERROR(__xludf.DUMMYFUNCTION("""COMPUTED_VALUE"""),"BatteryBox")</f>
        <v>BatteryBox</v>
      </c>
      <c r="F3744" s="122" t="str">
        <f>IFERROR(__xludf.DUMMYFUNCTION("""COMPUTED_VALUE"""),"Energy")</f>
        <v>Energy</v>
      </c>
    </row>
    <row r="3745">
      <c r="A3745" s="131">
        <f>IFERROR(__xludf.DUMMYFUNCTION("""COMPUTED_VALUE"""),46187.450902777775)</f>
        <v>46187.4509</v>
      </c>
      <c r="B3745" s="126">
        <f>IFERROR(__xludf.DUMMYFUNCTION("""COMPUTED_VALUE"""),46187.0)</f>
        <v>46187</v>
      </c>
      <c r="C3745" s="130">
        <f>IFERROR(__xludf.DUMMYFUNCTION("""COMPUTED_VALUE"""),0.45090277777777776)</f>
        <v>0.4509027778</v>
      </c>
      <c r="D3745" s="122" t="str">
        <f>IFERROR(__xludf.DUMMYFUNCTION("""COMPUTED_VALUE"""),"WIND")</f>
        <v>WIND</v>
      </c>
      <c r="E3745" s="122" t="str">
        <f>IFERROR(__xludf.DUMMYFUNCTION("""COMPUTED_VALUE"""),"WindWorks")</f>
        <v>WindWorks</v>
      </c>
      <c r="F3745" s="122" t="str">
        <f>IFERROR(__xludf.DUMMYFUNCTION("""COMPUTED_VALUE"""),"Energy")</f>
        <v>Energy</v>
      </c>
    </row>
    <row r="3746">
      <c r="A3746" s="131">
        <f>IFERROR(__xludf.DUMMYFUNCTION("""COMPUTED_VALUE"""),46187.450902777775)</f>
        <v>46187.4509</v>
      </c>
      <c r="B3746" s="126">
        <f>IFERROR(__xludf.DUMMYFUNCTION("""COMPUTED_VALUE"""),46187.0)</f>
        <v>46187</v>
      </c>
      <c r="C3746" s="130">
        <f>IFERROR(__xludf.DUMMYFUNCTION("""COMPUTED_VALUE"""),0.45090277777777776)</f>
        <v>0.4509027778</v>
      </c>
      <c r="D3746" s="122" t="str">
        <f>IFERROR(__xludf.DUMMYFUNCTION("""COMPUTED_VALUE"""),"GRID")</f>
        <v>GRID</v>
      </c>
      <c r="E3746" s="122" t="str">
        <f>IFERROR(__xludf.DUMMYFUNCTION("""COMPUTED_VALUE"""),"GridPower")</f>
        <v>GridPower</v>
      </c>
      <c r="F3746" s="122" t="str">
        <f>IFERROR(__xludf.DUMMYFUNCTION("""COMPUTED_VALUE"""),"Energy")</f>
        <v>Energy</v>
      </c>
    </row>
    <row r="3747">
      <c r="A3747" s="131">
        <f>IFERROR(__xludf.DUMMYFUNCTION("""COMPUTED_VALUE"""),46187.450902777775)</f>
        <v>46187.4509</v>
      </c>
      <c r="B3747" s="126">
        <f>IFERROR(__xludf.DUMMYFUNCTION("""COMPUTED_VALUE"""),46187.0)</f>
        <v>46187</v>
      </c>
      <c r="C3747" s="130">
        <f>IFERROR(__xludf.DUMMYFUNCTION("""COMPUTED_VALUE"""),0.45090277777777776)</f>
        <v>0.4509027778</v>
      </c>
      <c r="D3747" s="122" t="str">
        <f>IFERROR(__xludf.DUMMYFUNCTION("""COMPUTED_VALUE"""),"HOME")</f>
        <v>HOME</v>
      </c>
      <c r="E3747" s="122" t="str">
        <f>IFERROR(__xludf.DUMMYFUNCTION("""COMPUTED_VALUE"""),"HomeHub")</f>
        <v>HomeHub</v>
      </c>
      <c r="F3747" s="122" t="str">
        <f>IFERROR(__xludf.DUMMYFUNCTION("""COMPUTED_VALUE"""),"Real Estate")</f>
        <v>Real Estate</v>
      </c>
    </row>
    <row r="3748">
      <c r="A3748" s="131">
        <f>IFERROR(__xludf.DUMMYFUNCTION("""COMPUTED_VALUE"""),46187.450902777775)</f>
        <v>46187.4509</v>
      </c>
      <c r="B3748" s="126">
        <f>IFERROR(__xludf.DUMMYFUNCTION("""COMPUTED_VALUE"""),46187.0)</f>
        <v>46187</v>
      </c>
      <c r="C3748" s="130">
        <f>IFERROR(__xludf.DUMMYFUNCTION("""COMPUTED_VALUE"""),0.45090277777777776)</f>
        <v>0.4509027778</v>
      </c>
      <c r="D3748" s="122" t="str">
        <f>IFERROR(__xludf.DUMMYFUNCTION("""COMPUTED_VALUE"""),"RENT")</f>
        <v>RENT</v>
      </c>
      <c r="E3748" s="122" t="str">
        <f>IFERROR(__xludf.DUMMYFUNCTION("""COMPUTED_VALUE"""),"RentRight")</f>
        <v>RentRight</v>
      </c>
      <c r="F3748" s="122" t="str">
        <f>IFERROR(__xludf.DUMMYFUNCTION("""COMPUTED_VALUE"""),"Real Estate")</f>
        <v>Real Estate</v>
      </c>
    </row>
    <row r="3749">
      <c r="A3749" s="131">
        <f>IFERROR(__xludf.DUMMYFUNCTION("""COMPUTED_VALUE"""),46187.450902777775)</f>
        <v>46187.4509</v>
      </c>
      <c r="B3749" s="126">
        <f>IFERROR(__xludf.DUMMYFUNCTION("""COMPUTED_VALUE"""),46187.0)</f>
        <v>46187</v>
      </c>
      <c r="C3749" s="130">
        <f>IFERROR(__xludf.DUMMYFUNCTION("""COMPUTED_VALUE"""),0.45090277777777776)</f>
        <v>0.4509027778</v>
      </c>
      <c r="D3749" s="122" t="str">
        <f>IFERROR(__xludf.DUMMYFUNCTION("""COMPUTED_VALUE"""),"MALL")</f>
        <v>MALL</v>
      </c>
      <c r="E3749" s="122" t="str">
        <f>IFERROR(__xludf.DUMMYFUNCTION("""COMPUTED_VALUE"""),"MegaMall")</f>
        <v>MegaMall</v>
      </c>
      <c r="F3749" s="122" t="str">
        <f>IFERROR(__xludf.DUMMYFUNCTION("""COMPUTED_VALUE"""),"Real Estate")</f>
        <v>Real Estate</v>
      </c>
    </row>
    <row r="3750">
      <c r="A3750" s="131">
        <f>IFERROR(__xludf.DUMMYFUNCTION("""COMPUTED_VALUE"""),46187.450902777775)</f>
        <v>46187.4509</v>
      </c>
      <c r="B3750" s="126">
        <f>IFERROR(__xludf.DUMMYFUNCTION("""COMPUTED_VALUE"""),46187.0)</f>
        <v>46187</v>
      </c>
      <c r="C3750" s="130">
        <f>IFERROR(__xludf.DUMMYFUNCTION("""COMPUTED_VALUE"""),0.45090277777777776)</f>
        <v>0.4509027778</v>
      </c>
      <c r="D3750" s="122" t="str">
        <f>IFERROR(__xludf.DUMMYFUNCTION("""COMPUTED_VALUE"""),"HOTL")</f>
        <v>HOTL</v>
      </c>
      <c r="E3750" s="122" t="str">
        <f>IFERROR(__xludf.DUMMYFUNCTION("""COMPUTED_VALUE"""),"HotelHive")</f>
        <v>HotelHive</v>
      </c>
      <c r="F3750" s="122" t="str">
        <f>IFERROR(__xludf.DUMMYFUNCTION("""COMPUTED_VALUE"""),"Real Estate")</f>
        <v>Real Estate</v>
      </c>
    </row>
    <row r="3751">
      <c r="A3751" s="131">
        <f>IFERROR(__xludf.DUMMYFUNCTION("""COMPUTED_VALUE"""),46187.450902777775)</f>
        <v>46187.4509</v>
      </c>
      <c r="B3751" s="126">
        <f>IFERROR(__xludf.DUMMYFUNCTION("""COMPUTED_VALUE"""),46187.0)</f>
        <v>46187</v>
      </c>
      <c r="C3751" s="130">
        <f>IFERROR(__xludf.DUMMYFUNCTION("""COMPUTED_VALUE"""),0.45090277777777776)</f>
        <v>0.4509027778</v>
      </c>
      <c r="D3751" s="122" t="str">
        <f>IFERROR(__xludf.DUMMYFUNCTION("""COMPUTED_VALUE"""),"LAND")</f>
        <v>LAND</v>
      </c>
      <c r="E3751" s="122" t="str">
        <f>IFERROR(__xludf.DUMMYFUNCTION("""COMPUTED_VALUE"""),"LandLink")</f>
        <v>LandLink</v>
      </c>
      <c r="F3751" s="122" t="str">
        <f>IFERROR(__xludf.DUMMYFUNCTION("""COMPUTED_VALUE"""),"Real Estate")</f>
        <v>Real Estate</v>
      </c>
    </row>
    <row r="3752">
      <c r="A3752" s="131">
        <f>IFERROR(__xludf.DUMMYFUNCTION("""COMPUTED_VALUE"""),46187.450902777775)</f>
        <v>46187.4509</v>
      </c>
      <c r="B3752" s="126">
        <f>IFERROR(__xludf.DUMMYFUNCTION("""COMPUTED_VALUE"""),46187.0)</f>
        <v>46187</v>
      </c>
      <c r="C3752" s="130">
        <f>IFERROR(__xludf.DUMMYFUNCTION("""COMPUTED_VALUE"""),0.45090277777777776)</f>
        <v>0.4509027778</v>
      </c>
      <c r="D3752" s="122" t="str">
        <f>IFERROR(__xludf.DUMMYFUNCTION("""COMPUTED_VALUE"""),"CARS")</f>
        <v>CARS</v>
      </c>
      <c r="E3752" s="122" t="str">
        <f>IFERROR(__xludf.DUMMYFUNCTION("""COMPUTED_VALUE"""),"AutoArena")</f>
        <v>AutoArena</v>
      </c>
      <c r="F3752" s="122" t="str">
        <f>IFERROR(__xludf.DUMMYFUNCTION("""COMPUTED_VALUE"""),"Automotive")</f>
        <v>Automotive</v>
      </c>
    </row>
    <row r="3753">
      <c r="A3753" s="131">
        <f>IFERROR(__xludf.DUMMYFUNCTION("""COMPUTED_VALUE"""),46187.450902777775)</f>
        <v>46187.4509</v>
      </c>
      <c r="B3753" s="126">
        <f>IFERROR(__xludf.DUMMYFUNCTION("""COMPUTED_VALUE"""),46187.0)</f>
        <v>46187</v>
      </c>
      <c r="C3753" s="130">
        <f>IFERROR(__xludf.DUMMYFUNCTION("""COMPUTED_VALUE"""),0.45090277777777776)</f>
        <v>0.4509027778</v>
      </c>
      <c r="D3753" s="122" t="str">
        <f>IFERROR(__xludf.DUMMYFUNCTION("""COMPUTED_VALUE"""),"EVGO")</f>
        <v>EVGO</v>
      </c>
      <c r="E3753" s="122" t="str">
        <f>IFERROR(__xludf.DUMMYFUNCTION("""COMPUTED_VALUE"""),"EVGo Motors")</f>
        <v>EVGo Motors</v>
      </c>
      <c r="F3753" s="122" t="str">
        <f>IFERROR(__xludf.DUMMYFUNCTION("""COMPUTED_VALUE"""),"Automotive")</f>
        <v>Automotive</v>
      </c>
    </row>
    <row r="3754">
      <c r="A3754" s="131">
        <f>IFERROR(__xludf.DUMMYFUNCTION("""COMPUTED_VALUE"""),46187.450902777775)</f>
        <v>46187.4509</v>
      </c>
      <c r="B3754" s="126">
        <f>IFERROR(__xludf.DUMMYFUNCTION("""COMPUTED_VALUE"""),46187.0)</f>
        <v>46187</v>
      </c>
      <c r="C3754" s="130">
        <f>IFERROR(__xludf.DUMMYFUNCTION("""COMPUTED_VALUE"""),0.45090277777777776)</f>
        <v>0.4509027778</v>
      </c>
      <c r="D3754" s="122" t="str">
        <f>IFERROR(__xludf.DUMMYFUNCTION("""COMPUTED_VALUE"""),"TIRE")</f>
        <v>TIRE</v>
      </c>
      <c r="E3754" s="122" t="str">
        <f>IFERROR(__xludf.DUMMYFUNCTION("""COMPUTED_VALUE"""),"TireTown")</f>
        <v>TireTown</v>
      </c>
      <c r="F3754" s="122" t="str">
        <f>IFERROR(__xludf.DUMMYFUNCTION("""COMPUTED_VALUE"""),"Automotive")</f>
        <v>Automotive</v>
      </c>
    </row>
    <row r="3755">
      <c r="A3755" s="131">
        <f>IFERROR(__xludf.DUMMYFUNCTION("""COMPUTED_VALUE"""),46187.450902777775)</f>
        <v>46187.4509</v>
      </c>
      <c r="B3755" s="126">
        <f>IFERROR(__xludf.DUMMYFUNCTION("""COMPUTED_VALUE"""),46187.0)</f>
        <v>46187</v>
      </c>
      <c r="C3755" s="130">
        <f>IFERROR(__xludf.DUMMYFUNCTION("""COMPUTED_VALUE"""),0.45090277777777776)</f>
        <v>0.4509027778</v>
      </c>
      <c r="D3755" s="122" t="str">
        <f>IFERROR(__xludf.DUMMYFUNCTION("""COMPUTED_VALUE"""),"BIKE")</f>
        <v>BIKE</v>
      </c>
      <c r="E3755" s="122" t="str">
        <f>IFERROR(__xludf.DUMMYFUNCTION("""COMPUTED_VALUE"""),"BikeBox")</f>
        <v>BikeBox</v>
      </c>
      <c r="F3755" s="122" t="str">
        <f>IFERROR(__xludf.DUMMYFUNCTION("""COMPUTED_VALUE"""),"Automotive")</f>
        <v>Automotive</v>
      </c>
    </row>
    <row r="3756">
      <c r="A3756" s="131">
        <f>IFERROR(__xludf.DUMMYFUNCTION("""COMPUTED_VALUE"""),46187.450902777775)</f>
        <v>46187.4509</v>
      </c>
      <c r="B3756" s="126">
        <f>IFERROR(__xludf.DUMMYFUNCTION("""COMPUTED_VALUE"""),46187.0)</f>
        <v>46187</v>
      </c>
      <c r="C3756" s="130">
        <f>IFERROR(__xludf.DUMMYFUNCTION("""COMPUTED_VALUE"""),0.45090277777777776)</f>
        <v>0.4509027778</v>
      </c>
      <c r="D3756" s="122" t="str">
        <f>IFERROR(__xludf.DUMMYFUNCTION("""COMPUTED_VALUE"""),"WASH")</f>
        <v>WASH</v>
      </c>
      <c r="E3756" s="122" t="str">
        <f>IFERROR(__xludf.DUMMYFUNCTION("""COMPUTED_VALUE"""),"CarWash Co")</f>
        <v>CarWash Co</v>
      </c>
      <c r="F3756" s="122" t="str">
        <f>IFERROR(__xludf.DUMMYFUNCTION("""COMPUTED_VALUE"""),"Automotive")</f>
        <v>Automotive</v>
      </c>
    </row>
    <row r="3757">
      <c r="A3757" s="131">
        <f>IFERROR(__xludf.DUMMYFUNCTION("""COMPUTED_VALUE"""),46187.450902777775)</f>
        <v>46187.4509</v>
      </c>
      <c r="B3757" s="126">
        <f>IFERROR(__xludf.DUMMYFUNCTION("""COMPUTED_VALUE"""),46187.0)</f>
        <v>46187</v>
      </c>
      <c r="C3757" s="130">
        <f>IFERROR(__xludf.DUMMYFUNCTION("""COMPUTED_VALUE"""),0.45090277777777776)</f>
        <v>0.4509027778</v>
      </c>
      <c r="D3757" s="122" t="str">
        <f>IFERROR(__xludf.DUMMYFUNCTION("""COMPUTED_VALUE"""),"GBND")</f>
        <v>GBND</v>
      </c>
      <c r="E3757" s="122" t="str">
        <f>IFERROR(__xludf.DUMMYFUNCTION("""COMPUTED_VALUE"""),"Classroom Government Bond")</f>
        <v>Classroom Government Bond</v>
      </c>
      <c r="F3757" s="122" t="str">
        <f>IFERROR(__xludf.DUMMYFUNCTION("""COMPUTED_VALUE"""),"Bond")</f>
        <v>Bond</v>
      </c>
    </row>
    <row r="3758">
      <c r="A3758" s="131">
        <f>IFERROR(__xludf.DUMMYFUNCTION("""COMPUTED_VALUE"""),46187.450902777775)</f>
        <v>46187.4509</v>
      </c>
      <c r="B3758" s="126">
        <f>IFERROR(__xludf.DUMMYFUNCTION("""COMPUTED_VALUE"""),46187.0)</f>
        <v>46187</v>
      </c>
      <c r="C3758" s="130">
        <f>IFERROR(__xludf.DUMMYFUNCTION("""COMPUTED_VALUE"""),0.45090277777777776)</f>
        <v>0.4509027778</v>
      </c>
      <c r="D3758" s="122" t="str">
        <f>IFERROR(__xludf.DUMMYFUNCTION("""COMPUTED_VALUE"""),"SBND")</f>
        <v>SBND</v>
      </c>
      <c r="E3758" s="122" t="str">
        <f>IFERROR(__xludf.DUMMYFUNCTION("""COMPUTED_VALUE"""),"School Savings Bond")</f>
        <v>School Savings Bond</v>
      </c>
      <c r="F3758" s="122" t="str">
        <f>IFERROR(__xludf.DUMMYFUNCTION("""COMPUTED_VALUE"""),"Bond")</f>
        <v>Bond</v>
      </c>
    </row>
    <row r="3759">
      <c r="A3759" s="131">
        <f>IFERROR(__xludf.DUMMYFUNCTION("""COMPUTED_VALUE"""),46187.450902777775)</f>
        <v>46187.4509</v>
      </c>
      <c r="B3759" s="126">
        <f>IFERROR(__xludf.DUMMYFUNCTION("""COMPUTED_VALUE"""),46187.0)</f>
        <v>46187</v>
      </c>
      <c r="C3759" s="130">
        <f>IFERROR(__xludf.DUMMYFUNCTION("""COMPUTED_VALUE"""),0.45090277777777776)</f>
        <v>0.4509027778</v>
      </c>
      <c r="D3759" s="122" t="str">
        <f>IFERROR(__xludf.DUMMYFUNCTION("""COMPUTED_VALUE"""),"CBND")</f>
        <v>CBND</v>
      </c>
      <c r="E3759" s="122" t="str">
        <f>IFERROR(__xludf.DUMMYFUNCTION("""COMPUTED_VALUE"""),"Corporate Classroom Bond")</f>
        <v>Corporate Classroom Bond</v>
      </c>
      <c r="F3759" s="122" t="str">
        <f>IFERROR(__xludf.DUMMYFUNCTION("""COMPUTED_VALUE"""),"Bond")</f>
        <v>Bond</v>
      </c>
    </row>
    <row r="3760">
      <c r="A3760" s="131">
        <f>IFERROR(__xludf.DUMMYFUNCTION("""COMPUTED_VALUE"""),46187.450902777775)</f>
        <v>46187.4509</v>
      </c>
      <c r="B3760" s="126">
        <f>IFERROR(__xludf.DUMMYFUNCTION("""COMPUTED_VALUE"""),46187.0)</f>
        <v>46187</v>
      </c>
      <c r="C3760" s="130">
        <f>IFERROR(__xludf.DUMMYFUNCTION("""COMPUTED_VALUE"""),0.45090277777777776)</f>
        <v>0.4509027778</v>
      </c>
      <c r="D3760" s="122" t="str">
        <f>IFERROR(__xludf.DUMMYFUNCTION("""COMPUTED_VALUE"""),"TBIL")</f>
        <v>TBIL</v>
      </c>
      <c r="E3760" s="122" t="str">
        <f>IFERROR(__xludf.DUMMYFUNCTION("""COMPUTED_VALUE"""),"Treasury Bill")</f>
        <v>Treasury Bill</v>
      </c>
      <c r="F3760" s="122" t="str">
        <f>IFERROR(__xludf.DUMMYFUNCTION("""COMPUTED_VALUE"""),"Bond")</f>
        <v>Bond</v>
      </c>
    </row>
    <row r="3761">
      <c r="A3761" s="131">
        <f>IFERROR(__xludf.DUMMYFUNCTION("""COMPUTED_VALUE"""),46187.450902777775)</f>
        <v>46187.4509</v>
      </c>
      <c r="B3761" s="126">
        <f>IFERROR(__xludf.DUMMYFUNCTION("""COMPUTED_VALUE"""),46187.0)</f>
        <v>46187</v>
      </c>
      <c r="C3761" s="130">
        <f>IFERROR(__xludf.DUMMYFUNCTION("""COMPUTED_VALUE"""),0.45090277777777776)</f>
        <v>0.4509027778</v>
      </c>
      <c r="D3761" s="122" t="str">
        <f>IFERROR(__xludf.DUMMYFUNCTION("""COMPUTED_VALUE"""),"IBND")</f>
        <v>IBND</v>
      </c>
      <c r="E3761" s="122" t="str">
        <f>IFERROR(__xludf.DUMMYFUNCTION("""COMPUTED_VALUE"""),"Inflation Protected Bond")</f>
        <v>Inflation Protected Bond</v>
      </c>
      <c r="F3761" s="122" t="str">
        <f>IFERROR(__xludf.DUMMYFUNCTION("""COMPUTED_VALUE"""),"Bond")</f>
        <v>Bond</v>
      </c>
    </row>
    <row r="3762">
      <c r="A3762" s="131">
        <f>IFERROR(__xludf.DUMMYFUNCTION("""COMPUTED_VALUE"""),46187.45309027778)</f>
        <v>46187.45309</v>
      </c>
      <c r="B3762" s="126">
        <f>IFERROR(__xludf.DUMMYFUNCTION("""COMPUTED_VALUE"""),46187.0)</f>
        <v>46187</v>
      </c>
      <c r="C3762" s="122" t="str">
        <f>IFERROR(__xludf.DUMMYFUNCTION("""COMPUTED_VALUE"""),"SNAX")</f>
        <v>SNAX</v>
      </c>
      <c r="D3762" s="122" t="str">
        <f>IFERROR(__xludf.DUMMYFUNCTION("""COMPUTED_VALUE"""),"MICA Snacks")</f>
        <v>MICA Snacks</v>
      </c>
      <c r="E3762" s="122">
        <f>IFERROR(__xludf.DUMMYFUNCTION("""COMPUTED_VALUE"""),121.63)</f>
        <v>121.63</v>
      </c>
      <c r="F3762" s="122">
        <f>IFERROR(__xludf.DUMMYFUNCTION("""COMPUTED_VALUE"""),-0.0061)</f>
        <v>-0.0061</v>
      </c>
    </row>
    <row r="3763">
      <c r="A3763" s="131">
        <f>IFERROR(__xludf.DUMMYFUNCTION("""COMPUTED_VALUE"""),46187.45309027778)</f>
        <v>46187.45309</v>
      </c>
      <c r="B3763" s="126">
        <f>IFERROR(__xludf.DUMMYFUNCTION("""COMPUTED_VALUE"""),46187.0)</f>
        <v>46187</v>
      </c>
      <c r="C3763" s="122" t="str">
        <f>IFERROR(__xludf.DUMMYFUNCTION("""COMPUTED_VALUE"""),"RAMN")</f>
        <v>RAMN</v>
      </c>
      <c r="D3763" s="122" t="str">
        <f>IFERROR(__xludf.DUMMYFUNCTION("""COMPUTED_VALUE"""),"Ramen Republic")</f>
        <v>Ramen Republic</v>
      </c>
      <c r="E3763" s="122">
        <f>IFERROR(__xludf.DUMMYFUNCTION("""COMPUTED_VALUE"""),71.66)</f>
        <v>71.66</v>
      </c>
      <c r="F3763" s="122">
        <f>IFERROR(__xludf.DUMMYFUNCTION("""COMPUTED_VALUE"""),-0.0018)</f>
        <v>-0.0018</v>
      </c>
    </row>
    <row r="3764">
      <c r="A3764" s="131">
        <f>IFERROR(__xludf.DUMMYFUNCTION("""COMPUTED_VALUE"""),46187.45309027778)</f>
        <v>46187.45309</v>
      </c>
      <c r="B3764" s="126">
        <f>IFERROR(__xludf.DUMMYFUNCTION("""COMPUTED_VALUE"""),46187.0)</f>
        <v>46187</v>
      </c>
      <c r="C3764" s="122" t="str">
        <f>IFERROR(__xludf.DUMMYFUNCTION("""COMPUTED_VALUE"""),"COLA")</f>
        <v>COLA</v>
      </c>
      <c r="D3764" s="122" t="str">
        <f>IFERROR(__xludf.DUMMYFUNCTION("""COMPUTED_VALUE"""),"K-Pop Cola")</f>
        <v>K-Pop Cola</v>
      </c>
      <c r="E3764" s="122">
        <f>IFERROR(__xludf.DUMMYFUNCTION("""COMPUTED_VALUE"""),109.46)</f>
        <v>109.46</v>
      </c>
      <c r="F3764" s="122">
        <f>IFERROR(__xludf.DUMMYFUNCTION("""COMPUTED_VALUE"""),0.006)</f>
        <v>0.006</v>
      </c>
    </row>
    <row r="3765">
      <c r="A3765" s="131">
        <f>IFERROR(__xludf.DUMMYFUNCTION("""COMPUTED_VALUE"""),46187.45309027778)</f>
        <v>46187.45309</v>
      </c>
      <c r="B3765" s="126">
        <f>IFERROR(__xludf.DUMMYFUNCTION("""COMPUTED_VALUE"""),46187.0)</f>
        <v>46187</v>
      </c>
      <c r="C3765" s="122" t="str">
        <f>IFERROR(__xludf.DUMMYFUNCTION("""COMPUTED_VALUE"""),"CHIP")</f>
        <v>CHIP</v>
      </c>
      <c r="D3765" s="122" t="str">
        <f>IFERROR(__xludf.DUMMYFUNCTION("""COMPUTED_VALUE"""),"Chip Empire")</f>
        <v>Chip Empire</v>
      </c>
      <c r="E3765" s="122">
        <f>IFERROR(__xludf.DUMMYFUNCTION("""COMPUTED_VALUE"""),87.97)</f>
        <v>87.97</v>
      </c>
      <c r="F3765" s="122">
        <f>IFERROR(__xludf.DUMMYFUNCTION("""COMPUTED_VALUE"""),-0.0052)</f>
        <v>-0.0052</v>
      </c>
    </row>
    <row r="3766">
      <c r="A3766" s="131">
        <f>IFERROR(__xludf.DUMMYFUNCTION("""COMPUTED_VALUE"""),46187.45309027778)</f>
        <v>46187.45309</v>
      </c>
      <c r="B3766" s="126">
        <f>IFERROR(__xludf.DUMMYFUNCTION("""COMPUTED_VALUE"""),46187.0)</f>
        <v>46187</v>
      </c>
      <c r="C3766" s="122" t="str">
        <f>IFERROR(__xludf.DUMMYFUNCTION("""COMPUTED_VALUE"""),"CAND")</f>
        <v>CAND</v>
      </c>
      <c r="D3766" s="122" t="str">
        <f>IFERROR(__xludf.DUMMYFUNCTION("""COMPUTED_VALUE"""),"Candy Capital")</f>
        <v>Candy Capital</v>
      </c>
      <c r="E3766" s="122">
        <f>IFERROR(__xludf.DUMMYFUNCTION("""COMPUTED_VALUE"""),77.14)</f>
        <v>77.14</v>
      </c>
      <c r="F3766" s="122">
        <f>IFERROR(__xludf.DUMMYFUNCTION("""COMPUTED_VALUE"""),0.0055)</f>
        <v>0.0055</v>
      </c>
    </row>
    <row r="3767">
      <c r="A3767" s="131">
        <f>IFERROR(__xludf.DUMMYFUNCTION("""COMPUTED_VALUE"""),46187.45309027778)</f>
        <v>46187.45309</v>
      </c>
      <c r="B3767" s="126">
        <f>IFERROR(__xludf.DUMMYFUNCTION("""COMPUTED_VALUE"""),46187.0)</f>
        <v>46187</v>
      </c>
      <c r="C3767" s="122" t="str">
        <f>IFERROR(__xludf.DUMMYFUNCTION("""COMPUTED_VALUE"""),"TECH")</f>
        <v>TECH</v>
      </c>
      <c r="D3767" s="122" t="str">
        <f>IFERROR(__xludf.DUMMYFUNCTION("""COMPUTED_VALUE"""),"Dragon Tech")</f>
        <v>Dragon Tech</v>
      </c>
      <c r="E3767" s="122">
        <f>IFERROR(__xludf.DUMMYFUNCTION("""COMPUTED_VALUE"""),241.01)</f>
        <v>241.01</v>
      </c>
      <c r="F3767" s="122">
        <f>IFERROR(__xludf.DUMMYFUNCTION("""COMPUTED_VALUE"""),-0.002)</f>
        <v>-0.002</v>
      </c>
    </row>
    <row r="3768">
      <c r="A3768" s="131">
        <f>IFERROR(__xludf.DUMMYFUNCTION("""COMPUTED_VALUE"""),46187.45309027778)</f>
        <v>46187.45309</v>
      </c>
      <c r="B3768" s="126">
        <f>IFERROR(__xludf.DUMMYFUNCTION("""COMPUTED_VALUE"""),46187.0)</f>
        <v>46187</v>
      </c>
      <c r="C3768" s="122" t="str">
        <f>IFERROR(__xludf.DUMMYFUNCTION("""COMPUTED_VALUE"""),"AIBO")</f>
        <v>AIBO</v>
      </c>
      <c r="D3768" s="122" t="str">
        <f>IFERROR(__xludf.DUMMYFUNCTION("""COMPUTED_VALUE"""),"Homework AI")</f>
        <v>Homework AI</v>
      </c>
      <c r="E3768" s="122">
        <f>IFERROR(__xludf.DUMMYFUNCTION("""COMPUTED_VALUE"""),173.34)</f>
        <v>173.34</v>
      </c>
      <c r="F3768" s="122">
        <f>IFERROR(__xludf.DUMMYFUNCTION("""COMPUTED_VALUE"""),-0.0057)</f>
        <v>-0.0057</v>
      </c>
    </row>
    <row r="3769">
      <c r="A3769" s="131">
        <f>IFERROR(__xludf.DUMMYFUNCTION("""COMPUTED_VALUE"""),46187.45309027778)</f>
        <v>46187.45309</v>
      </c>
      <c r="B3769" s="126">
        <f>IFERROR(__xludf.DUMMYFUNCTION("""COMPUTED_VALUE"""),46187.0)</f>
        <v>46187</v>
      </c>
      <c r="C3769" s="122" t="str">
        <f>IFERROR(__xludf.DUMMYFUNCTION("""COMPUTED_VALUE"""),"GAME")</f>
        <v>GAME</v>
      </c>
      <c r="D3769" s="122" t="str">
        <f>IFERROR(__xludf.DUMMYFUNCTION("""COMPUTED_VALUE"""),"GameBox Media")</f>
        <v>GameBox Media</v>
      </c>
      <c r="E3769" s="122">
        <f>IFERROR(__xludf.DUMMYFUNCTION("""COMPUTED_VALUE"""),95.2)</f>
        <v>95.2</v>
      </c>
      <c r="F3769" s="122">
        <f>IFERROR(__xludf.DUMMYFUNCTION("""COMPUTED_VALUE"""),-0.0057)</f>
        <v>-0.0057</v>
      </c>
    </row>
    <row r="3770">
      <c r="A3770" s="131">
        <f>IFERROR(__xludf.DUMMYFUNCTION("""COMPUTED_VALUE"""),46187.45309027778)</f>
        <v>46187.45309</v>
      </c>
      <c r="B3770" s="126">
        <f>IFERROR(__xludf.DUMMYFUNCTION("""COMPUTED_VALUE"""),46187.0)</f>
        <v>46187</v>
      </c>
      <c r="C3770" s="122" t="str">
        <f>IFERROR(__xludf.DUMMYFUNCTION("""COMPUTED_VALUE"""),"VRSE")</f>
        <v>VRSE</v>
      </c>
      <c r="D3770" s="122" t="str">
        <f>IFERROR(__xludf.DUMMYFUNCTION("""COMPUTED_VALUE"""),"VerseVR")</f>
        <v>VerseVR</v>
      </c>
      <c r="E3770" s="122">
        <f>IFERROR(__xludf.DUMMYFUNCTION("""COMPUTED_VALUE"""),148.56)</f>
        <v>148.56</v>
      </c>
      <c r="F3770" s="122">
        <f>IFERROR(__xludf.DUMMYFUNCTION("""COMPUTED_VALUE"""),0.0081)</f>
        <v>0.0081</v>
      </c>
    </row>
    <row r="3771">
      <c r="A3771" s="131">
        <f>IFERROR(__xludf.DUMMYFUNCTION("""COMPUTED_VALUE"""),46187.45309027778)</f>
        <v>46187.45309</v>
      </c>
      <c r="B3771" s="126">
        <f>IFERROR(__xludf.DUMMYFUNCTION("""COMPUTED_VALUE"""),46187.0)</f>
        <v>46187</v>
      </c>
      <c r="C3771" s="122" t="str">
        <f>IFERROR(__xludf.DUMMYFUNCTION("""COMPUTED_VALUE"""),"BYTE")</f>
        <v>BYTE</v>
      </c>
      <c r="D3771" s="122" t="str">
        <f>IFERROR(__xludf.DUMMYFUNCTION("""COMPUTED_VALUE"""),"ByteWorks")</f>
        <v>ByteWorks</v>
      </c>
      <c r="E3771" s="122">
        <f>IFERROR(__xludf.DUMMYFUNCTION("""COMPUTED_VALUE"""),108.18)</f>
        <v>108.18</v>
      </c>
      <c r="F3771" s="122">
        <f>IFERROR(__xludf.DUMMYFUNCTION("""COMPUTED_VALUE"""),-0.0043)</f>
        <v>-0.0043</v>
      </c>
    </row>
    <row r="3772">
      <c r="A3772" s="131">
        <f>IFERROR(__xludf.DUMMYFUNCTION("""COMPUTED_VALUE"""),46187.45309027778)</f>
        <v>46187.45309</v>
      </c>
      <c r="B3772" s="126">
        <f>IFERROR(__xludf.DUMMYFUNCTION("""COMPUTED_VALUE"""),46187.0)</f>
        <v>46187</v>
      </c>
      <c r="C3772" s="122" t="str">
        <f>IFERROR(__xludf.DUMMYFUNCTION("""COMPUTED_VALUE"""),"BANK")</f>
        <v>BANK</v>
      </c>
      <c r="D3772" s="122" t="str">
        <f>IFERROR(__xludf.DUMMYFUNCTION("""COMPUTED_VALUE"""),"Tiger Bank")</f>
        <v>Tiger Bank</v>
      </c>
      <c r="E3772" s="122">
        <f>IFERROR(__xludf.DUMMYFUNCTION("""COMPUTED_VALUE"""),127.45)</f>
        <v>127.45</v>
      </c>
      <c r="F3772" s="122">
        <f>IFERROR(__xludf.DUMMYFUNCTION("""COMPUTED_VALUE"""),7.0E-4)</f>
        <v>0.0007</v>
      </c>
    </row>
    <row r="3773">
      <c r="A3773" s="131">
        <f>IFERROR(__xludf.DUMMYFUNCTION("""COMPUTED_VALUE"""),46187.45309027778)</f>
        <v>46187.45309</v>
      </c>
      <c r="B3773" s="126">
        <f>IFERROR(__xludf.DUMMYFUNCTION("""COMPUTED_VALUE"""),46187.0)</f>
        <v>46187</v>
      </c>
      <c r="C3773" s="122" t="str">
        <f>IFERROR(__xludf.DUMMYFUNCTION("""COMPUTED_VALUE"""),"CRED")</f>
        <v>CRED</v>
      </c>
      <c r="D3773" s="122" t="str">
        <f>IFERROR(__xludf.DUMMYFUNCTION("""COMPUTED_VALUE"""),"Credit Castle")</f>
        <v>Credit Castle</v>
      </c>
      <c r="E3773" s="122">
        <f>IFERROR(__xludf.DUMMYFUNCTION("""COMPUTED_VALUE"""),66.86)</f>
        <v>66.86</v>
      </c>
      <c r="F3773" s="122">
        <f>IFERROR(__xludf.DUMMYFUNCTION("""COMPUTED_VALUE"""),-0.0042)</f>
        <v>-0.0042</v>
      </c>
    </row>
    <row r="3774">
      <c r="A3774" s="131">
        <f>IFERROR(__xludf.DUMMYFUNCTION("""COMPUTED_VALUE"""),46187.45309027778)</f>
        <v>46187.45309</v>
      </c>
      <c r="B3774" s="126">
        <f>IFERROR(__xludf.DUMMYFUNCTION("""COMPUTED_VALUE"""),46187.0)</f>
        <v>46187</v>
      </c>
      <c r="C3774" s="122" t="str">
        <f>IFERROR(__xludf.DUMMYFUNCTION("""COMPUTED_VALUE"""),"BOND")</f>
        <v>BOND</v>
      </c>
      <c r="D3774" s="122" t="str">
        <f>IFERROR(__xludf.DUMMYFUNCTION("""COMPUTED_VALUE"""),"BondBridge")</f>
        <v>BondBridge</v>
      </c>
      <c r="E3774" s="122">
        <f>IFERROR(__xludf.DUMMYFUNCTION("""COMPUTED_VALUE"""),98.85)</f>
        <v>98.85</v>
      </c>
      <c r="F3774" s="122">
        <f>IFERROR(__xludf.DUMMYFUNCTION("""COMPUTED_VALUE"""),0.0011)</f>
        <v>0.0011</v>
      </c>
    </row>
    <row r="3775">
      <c r="A3775" s="131">
        <f>IFERROR(__xludf.DUMMYFUNCTION("""COMPUTED_VALUE"""),46187.45309027778)</f>
        <v>46187.45309</v>
      </c>
      <c r="B3775" s="126">
        <f>IFERROR(__xludf.DUMMYFUNCTION("""COMPUTED_VALUE"""),46187.0)</f>
        <v>46187</v>
      </c>
      <c r="C3775" s="122" t="str">
        <f>IFERROR(__xludf.DUMMYFUNCTION("""COMPUTED_VALUE"""),"INSR")</f>
        <v>INSR</v>
      </c>
      <c r="D3775" s="122" t="str">
        <f>IFERROR(__xludf.DUMMYFUNCTION("""COMPUTED_VALUE"""),"Shield Insurance")</f>
        <v>Shield Insurance</v>
      </c>
      <c r="E3775" s="122">
        <f>IFERROR(__xludf.DUMMYFUNCTION("""COMPUTED_VALUE"""),159.23)</f>
        <v>159.23</v>
      </c>
      <c r="F3775" s="122">
        <f>IFERROR(__xludf.DUMMYFUNCTION("""COMPUTED_VALUE"""),1.0E-4)</f>
        <v>0.0001</v>
      </c>
    </row>
    <row r="3776">
      <c r="A3776" s="131">
        <f>IFERROR(__xludf.DUMMYFUNCTION("""COMPUTED_VALUE"""),46187.45309027778)</f>
        <v>46187.45309</v>
      </c>
      <c r="B3776" s="126">
        <f>IFERROR(__xludf.DUMMYFUNCTION("""COMPUTED_VALUE"""),46187.0)</f>
        <v>46187</v>
      </c>
      <c r="C3776" s="122" t="str">
        <f>IFERROR(__xludf.DUMMYFUNCTION("""COMPUTED_VALUE"""),"LOAN")</f>
        <v>LOAN</v>
      </c>
      <c r="D3776" s="122" t="str">
        <f>IFERROR(__xludf.DUMMYFUNCTION("""COMPUTED_VALUE"""),"LoanLab")</f>
        <v>LoanLab</v>
      </c>
      <c r="E3776" s="122">
        <f>IFERROR(__xludf.DUMMYFUNCTION("""COMPUTED_VALUE"""),63.59)</f>
        <v>63.59</v>
      </c>
      <c r="F3776" s="122">
        <f>IFERROR(__xludf.DUMMYFUNCTION("""COMPUTED_VALUE"""),0.0063)</f>
        <v>0.0063</v>
      </c>
    </row>
    <row r="3777">
      <c r="A3777" s="131">
        <f>IFERROR(__xludf.DUMMYFUNCTION("""COMPUTED_VALUE"""),46187.45309027778)</f>
        <v>46187.45309</v>
      </c>
      <c r="B3777" s="126">
        <f>IFERROR(__xludf.DUMMYFUNCTION("""COMPUTED_VALUE"""),46187.0)</f>
        <v>46187</v>
      </c>
      <c r="C3777" s="122" t="str">
        <f>IFERROR(__xludf.DUMMYFUNCTION("""COMPUTED_VALUE"""),"LUXE")</f>
        <v>LUXE</v>
      </c>
      <c r="D3777" s="122" t="str">
        <f>IFERROR(__xludf.DUMMYFUNCTION("""COMPUTED_VALUE"""),"Luxury Locker")</f>
        <v>Luxury Locker</v>
      </c>
      <c r="E3777" s="122">
        <f>IFERROR(__xludf.DUMMYFUNCTION("""COMPUTED_VALUE"""),260.19)</f>
        <v>260.19</v>
      </c>
      <c r="F3777" s="122">
        <f>IFERROR(__xludf.DUMMYFUNCTION("""COMPUTED_VALUE"""),0.0024)</f>
        <v>0.0024</v>
      </c>
    </row>
    <row r="3778">
      <c r="A3778" s="131">
        <f>IFERROR(__xludf.DUMMYFUNCTION("""COMPUTED_VALUE"""),46187.45309027778)</f>
        <v>46187.45309</v>
      </c>
      <c r="B3778" s="126">
        <f>IFERROR(__xludf.DUMMYFUNCTION("""COMPUTED_VALUE"""),46187.0)</f>
        <v>46187</v>
      </c>
      <c r="C3778" s="122" t="str">
        <f>IFERROR(__xludf.DUMMYFUNCTION("""COMPUTED_VALUE"""),"DRIP")</f>
        <v>DRIP</v>
      </c>
      <c r="D3778" s="122" t="str">
        <f>IFERROR(__xludf.DUMMYFUNCTION("""COMPUTED_VALUE"""),"Drip Streetwear")</f>
        <v>Drip Streetwear</v>
      </c>
      <c r="E3778" s="122">
        <f>IFERROR(__xludf.DUMMYFUNCTION("""COMPUTED_VALUE"""),197.31)</f>
        <v>197.31</v>
      </c>
      <c r="F3778" s="122">
        <f>IFERROR(__xludf.DUMMYFUNCTION("""COMPUTED_VALUE"""),-0.0029)</f>
        <v>-0.0029</v>
      </c>
    </row>
    <row r="3779">
      <c r="A3779" s="131">
        <f>IFERROR(__xludf.DUMMYFUNCTION("""COMPUTED_VALUE"""),46187.45309027778)</f>
        <v>46187.45309</v>
      </c>
      <c r="B3779" s="126">
        <f>IFERROR(__xludf.DUMMYFUNCTION("""COMPUTED_VALUE"""),46187.0)</f>
        <v>46187</v>
      </c>
      <c r="C3779" s="122" t="str">
        <f>IFERROR(__xludf.DUMMYFUNCTION("""COMPUTED_VALUE"""),"KICK")</f>
        <v>KICK</v>
      </c>
      <c r="D3779" s="122" t="str">
        <f>IFERROR(__xludf.DUMMYFUNCTION("""COMPUTED_VALUE"""),"KickDrop Sneakers")</f>
        <v>KickDrop Sneakers</v>
      </c>
      <c r="E3779" s="122">
        <f>IFERROR(__xludf.DUMMYFUNCTION("""COMPUTED_VALUE"""),172.28)</f>
        <v>172.28</v>
      </c>
      <c r="F3779" s="122">
        <f>IFERROR(__xludf.DUMMYFUNCTION("""COMPUTED_VALUE"""),-0.0038)</f>
        <v>-0.0038</v>
      </c>
    </row>
    <row r="3780">
      <c r="A3780" s="131">
        <f>IFERROR(__xludf.DUMMYFUNCTION("""COMPUTED_VALUE"""),46187.45309027778)</f>
        <v>46187.45309</v>
      </c>
      <c r="B3780" s="126">
        <f>IFERROR(__xludf.DUMMYFUNCTION("""COMPUTED_VALUE"""),46187.0)</f>
        <v>46187</v>
      </c>
      <c r="C3780" s="122" t="str">
        <f>IFERROR(__xludf.DUMMYFUNCTION("""COMPUTED_VALUE"""),"GLAM")</f>
        <v>GLAM</v>
      </c>
      <c r="D3780" s="122" t="str">
        <f>IFERROR(__xludf.DUMMYFUNCTION("""COMPUTED_VALUE"""),"Glow Cosmetics")</f>
        <v>Glow Cosmetics</v>
      </c>
      <c r="E3780" s="122">
        <f>IFERROR(__xludf.DUMMYFUNCTION("""COMPUTED_VALUE"""),101.4)</f>
        <v>101.4</v>
      </c>
      <c r="F3780" s="122">
        <f>IFERROR(__xludf.DUMMYFUNCTION("""COMPUTED_VALUE"""),0.0088)</f>
        <v>0.0088</v>
      </c>
    </row>
    <row r="3781">
      <c r="A3781" s="131">
        <f>IFERROR(__xludf.DUMMYFUNCTION("""COMPUTED_VALUE"""),46187.45309027778)</f>
        <v>46187.45309</v>
      </c>
      <c r="B3781" s="126">
        <f>IFERROR(__xludf.DUMMYFUNCTION("""COMPUTED_VALUE"""),46187.0)</f>
        <v>46187</v>
      </c>
      <c r="C3781" s="122" t="str">
        <f>IFERROR(__xludf.DUMMYFUNCTION("""COMPUTED_VALUE"""),"BAGG")</f>
        <v>BAGG</v>
      </c>
      <c r="D3781" s="122" t="str">
        <f>IFERROR(__xludf.DUMMYFUNCTION("""COMPUTED_VALUE"""),"BagVault")</f>
        <v>BagVault</v>
      </c>
      <c r="E3781" s="122">
        <f>IFERROR(__xludf.DUMMYFUNCTION("""COMPUTED_VALUE"""),248.97)</f>
        <v>248.97</v>
      </c>
      <c r="F3781" s="122">
        <f>IFERROR(__xludf.DUMMYFUNCTION("""COMPUTED_VALUE"""),-0.0067)</f>
        <v>-0.0067</v>
      </c>
    </row>
    <row r="3782">
      <c r="A3782" s="131">
        <f>IFERROR(__xludf.DUMMYFUNCTION("""COMPUTED_VALUE"""),46187.45309027778)</f>
        <v>46187.45309</v>
      </c>
      <c r="B3782" s="126">
        <f>IFERROR(__xludf.DUMMYFUNCTION("""COMPUTED_VALUE"""),46187.0)</f>
        <v>46187</v>
      </c>
      <c r="C3782" s="122" t="str">
        <f>IFERROR(__xludf.DUMMYFUNCTION("""COMPUTED_VALUE"""),"FAST")</f>
        <v>FAST</v>
      </c>
      <c r="D3782" s="122" t="str">
        <f>IFERROR(__xludf.DUMMYFUNCTION("""COMPUTED_VALUE"""),"Flash Logistics")</f>
        <v>Flash Logistics</v>
      </c>
      <c r="E3782" s="122">
        <f>IFERROR(__xludf.DUMMYFUNCTION("""COMPUTED_VALUE"""),103.25)</f>
        <v>103.25</v>
      </c>
      <c r="F3782" s="122">
        <f>IFERROR(__xludf.DUMMYFUNCTION("""COMPUTED_VALUE"""),0.001)</f>
        <v>0.001</v>
      </c>
    </row>
    <row r="3783">
      <c r="A3783" s="131">
        <f>IFERROR(__xludf.DUMMYFUNCTION("""COMPUTED_VALUE"""),46187.45309027778)</f>
        <v>46187.45309</v>
      </c>
      <c r="B3783" s="126">
        <f>IFERROR(__xludf.DUMMYFUNCTION("""COMPUTED_VALUE"""),46187.0)</f>
        <v>46187</v>
      </c>
      <c r="C3783" s="122" t="str">
        <f>IFERROR(__xludf.DUMMYFUNCTION("""COMPUTED_VALUE"""),"SHIP")</f>
        <v>SHIP</v>
      </c>
      <c r="D3783" s="122" t="str">
        <f>IFERROR(__xludf.DUMMYFUNCTION("""COMPUTED_VALUE"""),"Seoul Shipping")</f>
        <v>Seoul Shipping</v>
      </c>
      <c r="E3783" s="122">
        <f>IFERROR(__xludf.DUMMYFUNCTION("""COMPUTED_VALUE"""),121.19)</f>
        <v>121.19</v>
      </c>
      <c r="F3783" s="122">
        <f>IFERROR(__xludf.DUMMYFUNCTION("""COMPUTED_VALUE"""),0.0051)</f>
        <v>0.0051</v>
      </c>
    </row>
    <row r="3784">
      <c r="A3784" s="131">
        <f>IFERROR(__xludf.DUMMYFUNCTION("""COMPUTED_VALUE"""),46187.45309027778)</f>
        <v>46187.45309</v>
      </c>
      <c r="B3784" s="126">
        <f>IFERROR(__xludf.DUMMYFUNCTION("""COMPUTED_VALUE"""),46187.0)</f>
        <v>46187</v>
      </c>
      <c r="C3784" s="122" t="str">
        <f>IFERROR(__xludf.DUMMYFUNCTION("""COMPUTED_VALUE"""),"DRON")</f>
        <v>DRON</v>
      </c>
      <c r="D3784" s="122" t="str">
        <f>IFERROR(__xludf.DUMMYFUNCTION("""COMPUTED_VALUE"""),"DroneDrop")</f>
        <v>DroneDrop</v>
      </c>
      <c r="E3784" s="122">
        <f>IFERROR(__xludf.DUMMYFUNCTION("""COMPUTED_VALUE"""),131.19)</f>
        <v>131.19</v>
      </c>
      <c r="F3784" s="122">
        <f>IFERROR(__xludf.DUMMYFUNCTION("""COMPUTED_VALUE"""),0.0055)</f>
        <v>0.0055</v>
      </c>
    </row>
    <row r="3785">
      <c r="A3785" s="131">
        <f>IFERROR(__xludf.DUMMYFUNCTION("""COMPUTED_VALUE"""),46187.45309027778)</f>
        <v>46187.45309</v>
      </c>
      <c r="B3785" s="126">
        <f>IFERROR(__xludf.DUMMYFUNCTION("""COMPUTED_VALUE"""),46187.0)</f>
        <v>46187</v>
      </c>
      <c r="C3785" s="122" t="str">
        <f>IFERROR(__xludf.DUMMYFUNCTION("""COMPUTED_VALUE"""),"RIDE")</f>
        <v>RIDE</v>
      </c>
      <c r="D3785" s="122" t="str">
        <f>IFERROR(__xludf.DUMMYFUNCTION("""COMPUTED_VALUE"""),"QuickRide")</f>
        <v>QuickRide</v>
      </c>
      <c r="E3785" s="122">
        <f>IFERROR(__xludf.DUMMYFUNCTION("""COMPUTED_VALUE"""),94.2)</f>
        <v>94.2</v>
      </c>
      <c r="F3785" s="122">
        <f>IFERROR(__xludf.DUMMYFUNCTION("""COMPUTED_VALUE"""),0.0099)</f>
        <v>0.0099</v>
      </c>
    </row>
    <row r="3786">
      <c r="A3786" s="131">
        <f>IFERROR(__xludf.DUMMYFUNCTION("""COMPUTED_VALUE"""),46187.45309027778)</f>
        <v>46187.45309</v>
      </c>
      <c r="B3786" s="126">
        <f>IFERROR(__xludf.DUMMYFUNCTION("""COMPUTED_VALUE"""),46187.0)</f>
        <v>46187</v>
      </c>
      <c r="C3786" s="122" t="str">
        <f>IFERROR(__xludf.DUMMYFUNCTION("""COMPUTED_VALUE"""),"RAIL")</f>
        <v>RAIL</v>
      </c>
      <c r="D3786" s="122" t="str">
        <f>IFERROR(__xludf.DUMMYFUNCTION("""COMPUTED_VALUE"""),"MetroRail Corp")</f>
        <v>MetroRail Corp</v>
      </c>
      <c r="E3786" s="122">
        <f>IFERROR(__xludf.DUMMYFUNCTION("""COMPUTED_VALUE"""),135.2)</f>
        <v>135.2</v>
      </c>
      <c r="F3786" s="122">
        <f>IFERROR(__xludf.DUMMYFUNCTION("""COMPUTED_VALUE"""),0.0024)</f>
        <v>0.0024</v>
      </c>
    </row>
    <row r="3787">
      <c r="A3787" s="131">
        <f>IFERROR(__xludf.DUMMYFUNCTION("""COMPUTED_VALUE"""),46187.45309027778)</f>
        <v>46187.45309</v>
      </c>
      <c r="B3787" s="126">
        <f>IFERROR(__xludf.DUMMYFUNCTION("""COMPUTED_VALUE"""),46187.0)</f>
        <v>46187</v>
      </c>
      <c r="C3787" s="122" t="str">
        <f>IFERROR(__xludf.DUMMYFUNCTION("""COMPUTED_VALUE"""),"MEDX")</f>
        <v>MEDX</v>
      </c>
      <c r="D3787" s="122" t="str">
        <f>IFERROR(__xludf.DUMMYFUNCTION("""COMPUTED_VALUE"""),"MediCore")</f>
        <v>MediCore</v>
      </c>
      <c r="E3787" s="122">
        <f>IFERROR(__xludf.DUMMYFUNCTION("""COMPUTED_VALUE"""),137.97)</f>
        <v>137.97</v>
      </c>
      <c r="F3787" s="122">
        <f>IFERROR(__xludf.DUMMYFUNCTION("""COMPUTED_VALUE"""),-0.0018)</f>
        <v>-0.0018</v>
      </c>
    </row>
    <row r="3788">
      <c r="A3788" s="131">
        <f>IFERROR(__xludf.DUMMYFUNCTION("""COMPUTED_VALUE"""),46187.45309027778)</f>
        <v>46187.45309</v>
      </c>
      <c r="B3788" s="126">
        <f>IFERROR(__xludf.DUMMYFUNCTION("""COMPUTED_VALUE"""),46187.0)</f>
        <v>46187</v>
      </c>
      <c r="C3788" s="122" t="str">
        <f>IFERROR(__xludf.DUMMYFUNCTION("""COMPUTED_VALUE"""),"GYMX")</f>
        <v>GYMX</v>
      </c>
      <c r="D3788" s="122" t="str">
        <f>IFERROR(__xludf.DUMMYFUNCTION("""COMPUTED_VALUE"""),"GymX Fitness")</f>
        <v>GymX Fitness</v>
      </c>
      <c r="E3788" s="122">
        <f>IFERROR(__xludf.DUMMYFUNCTION("""COMPUTED_VALUE"""),85.54)</f>
        <v>85.54</v>
      </c>
      <c r="F3788" s="122">
        <f>IFERROR(__xludf.DUMMYFUNCTION("""COMPUTED_VALUE"""),-0.0067)</f>
        <v>-0.0067</v>
      </c>
    </row>
    <row r="3789">
      <c r="A3789" s="131">
        <f>IFERROR(__xludf.DUMMYFUNCTION("""COMPUTED_VALUE"""),46187.45309027778)</f>
        <v>46187.45309</v>
      </c>
      <c r="B3789" s="126">
        <f>IFERROR(__xludf.DUMMYFUNCTION("""COMPUTED_VALUE"""),46187.0)</f>
        <v>46187</v>
      </c>
      <c r="C3789" s="122" t="str">
        <f>IFERROR(__xludf.DUMMYFUNCTION("""COMPUTED_VALUE"""),"VITA")</f>
        <v>VITA</v>
      </c>
      <c r="D3789" s="122" t="str">
        <f>IFERROR(__xludf.DUMMYFUNCTION("""COMPUTED_VALUE"""),"VitaPlus")</f>
        <v>VitaPlus</v>
      </c>
      <c r="E3789" s="122">
        <f>IFERROR(__xludf.DUMMYFUNCTION("""COMPUTED_VALUE"""),74.43)</f>
        <v>74.43</v>
      </c>
      <c r="F3789" s="122">
        <f>IFERROR(__xludf.DUMMYFUNCTION("""COMPUTED_VALUE"""),-0.0057)</f>
        <v>-0.0057</v>
      </c>
    </row>
    <row r="3790">
      <c r="A3790" s="131">
        <f>IFERROR(__xludf.DUMMYFUNCTION("""COMPUTED_VALUE"""),46187.45309027778)</f>
        <v>46187.45309</v>
      </c>
      <c r="B3790" s="126">
        <f>IFERROR(__xludf.DUMMYFUNCTION("""COMPUTED_VALUE"""),46187.0)</f>
        <v>46187</v>
      </c>
      <c r="C3790" s="122" t="str">
        <f>IFERROR(__xludf.DUMMYFUNCTION("""COMPUTED_VALUE"""),"CARE")</f>
        <v>CARE</v>
      </c>
      <c r="D3790" s="122" t="str">
        <f>IFERROR(__xludf.DUMMYFUNCTION("""COMPUTED_VALUE"""),"CareCloud")</f>
        <v>CareCloud</v>
      </c>
      <c r="E3790" s="122">
        <f>IFERROR(__xludf.DUMMYFUNCTION("""COMPUTED_VALUE"""),177.15)</f>
        <v>177.15</v>
      </c>
      <c r="F3790" s="122">
        <f>IFERROR(__xludf.DUMMYFUNCTION("""COMPUTED_VALUE"""),0.0024)</f>
        <v>0.0024</v>
      </c>
    </row>
    <row r="3791">
      <c r="A3791" s="131">
        <f>IFERROR(__xludf.DUMMYFUNCTION("""COMPUTED_VALUE"""),46187.45309027778)</f>
        <v>46187.45309</v>
      </c>
      <c r="B3791" s="126">
        <f>IFERROR(__xludf.DUMMYFUNCTION("""COMPUTED_VALUE"""),46187.0)</f>
        <v>46187</v>
      </c>
      <c r="C3791" s="122" t="str">
        <f>IFERROR(__xludf.DUMMYFUNCTION("""COMPUTED_VALUE"""),"DENT")</f>
        <v>DENT</v>
      </c>
      <c r="D3791" s="122" t="str">
        <f>IFERROR(__xludf.DUMMYFUNCTION("""COMPUTED_VALUE"""),"SmileWorks")</f>
        <v>SmileWorks</v>
      </c>
      <c r="E3791" s="122">
        <f>IFERROR(__xludf.DUMMYFUNCTION("""COMPUTED_VALUE"""),85.15)</f>
        <v>85.15</v>
      </c>
      <c r="F3791" s="122">
        <f>IFERROR(__xludf.DUMMYFUNCTION("""COMPUTED_VALUE"""),0.0046)</f>
        <v>0.0046</v>
      </c>
    </row>
    <row r="3792">
      <c r="A3792" s="131">
        <f>IFERROR(__xludf.DUMMYFUNCTION("""COMPUTED_VALUE"""),46187.45309027778)</f>
        <v>46187.45309</v>
      </c>
      <c r="B3792" s="126">
        <f>IFERROR(__xludf.DUMMYFUNCTION("""COMPUTED_VALUE"""),46187.0)</f>
        <v>46187</v>
      </c>
      <c r="C3792" s="122" t="str">
        <f>IFERROR(__xludf.DUMMYFUNCTION("""COMPUTED_VALUE"""),"EDUX")</f>
        <v>EDUX</v>
      </c>
      <c r="D3792" s="122" t="str">
        <f>IFERROR(__xludf.DUMMYFUNCTION("""COMPUTED_VALUE"""),"EduMax Learning")</f>
        <v>EduMax Learning</v>
      </c>
      <c r="E3792" s="122">
        <f>IFERROR(__xludf.DUMMYFUNCTION("""COMPUTED_VALUE"""),136.17)</f>
        <v>136.17</v>
      </c>
      <c r="F3792" s="122">
        <f>IFERROR(__xludf.DUMMYFUNCTION("""COMPUTED_VALUE"""),0.0046)</f>
        <v>0.0046</v>
      </c>
    </row>
    <row r="3793">
      <c r="A3793" s="131">
        <f>IFERROR(__xludf.DUMMYFUNCTION("""COMPUTED_VALUE"""),46187.45309027778)</f>
        <v>46187.45309</v>
      </c>
      <c r="B3793" s="126">
        <f>IFERROR(__xludf.DUMMYFUNCTION("""COMPUTED_VALUE"""),46187.0)</f>
        <v>46187</v>
      </c>
      <c r="C3793" s="122" t="str">
        <f>IFERROR(__xludf.DUMMYFUNCTION("""COMPUTED_VALUE"""),"BOOK")</f>
        <v>BOOK</v>
      </c>
      <c r="D3793" s="122" t="str">
        <f>IFERROR(__xludf.DUMMYFUNCTION("""COMPUTED_VALUE"""),"BookBridge")</f>
        <v>BookBridge</v>
      </c>
      <c r="E3793" s="122">
        <f>IFERROR(__xludf.DUMMYFUNCTION("""COMPUTED_VALUE"""),116.04)</f>
        <v>116.04</v>
      </c>
      <c r="F3793" s="122">
        <f>IFERROR(__xludf.DUMMYFUNCTION("""COMPUTED_VALUE"""),-9.0E-4)</f>
        <v>-0.0009</v>
      </c>
    </row>
    <row r="3794">
      <c r="A3794" s="131">
        <f>IFERROR(__xludf.DUMMYFUNCTION("""COMPUTED_VALUE"""),46187.45309027778)</f>
        <v>46187.45309</v>
      </c>
      <c r="B3794" s="126">
        <f>IFERROR(__xludf.DUMMYFUNCTION("""COMPUTED_VALUE"""),46187.0)</f>
        <v>46187</v>
      </c>
      <c r="C3794" s="122" t="str">
        <f>IFERROR(__xludf.DUMMYFUNCTION("""COMPUTED_VALUE"""),"TUTR")</f>
        <v>TUTR</v>
      </c>
      <c r="D3794" s="122" t="str">
        <f>IFERROR(__xludf.DUMMYFUNCTION("""COMPUTED_VALUE"""),"TutorTown")</f>
        <v>TutorTown</v>
      </c>
      <c r="E3794" s="122">
        <f>IFERROR(__xludf.DUMMYFUNCTION("""COMPUTED_VALUE"""),89.11)</f>
        <v>89.11</v>
      </c>
      <c r="F3794" s="122">
        <f>IFERROR(__xludf.DUMMYFUNCTION("""COMPUTED_VALUE"""),0.0026)</f>
        <v>0.0026</v>
      </c>
    </row>
    <row r="3795">
      <c r="A3795" s="131">
        <f>IFERROR(__xludf.DUMMYFUNCTION("""COMPUTED_VALUE"""),46187.45309027778)</f>
        <v>46187.45309</v>
      </c>
      <c r="B3795" s="126">
        <f>IFERROR(__xludf.DUMMYFUNCTION("""COMPUTED_VALUE"""),46187.0)</f>
        <v>46187</v>
      </c>
      <c r="C3795" s="122" t="str">
        <f>IFERROR(__xludf.DUMMYFUNCTION("""COMPUTED_VALUE"""),"LANG")</f>
        <v>LANG</v>
      </c>
      <c r="D3795" s="122" t="str">
        <f>IFERROR(__xludf.DUMMYFUNCTION("""COMPUTED_VALUE"""),"LinguaLab")</f>
        <v>LinguaLab</v>
      </c>
      <c r="E3795" s="122">
        <f>IFERROR(__xludf.DUMMYFUNCTION("""COMPUTED_VALUE"""),97.98)</f>
        <v>97.98</v>
      </c>
      <c r="F3795" s="122">
        <f>IFERROR(__xludf.DUMMYFUNCTION("""COMPUTED_VALUE"""),0.0)</f>
        <v>0</v>
      </c>
    </row>
    <row r="3796">
      <c r="A3796" s="131">
        <f>IFERROR(__xludf.DUMMYFUNCTION("""COMPUTED_VALUE"""),46187.45309027778)</f>
        <v>46187.45309</v>
      </c>
      <c r="B3796" s="126">
        <f>IFERROR(__xludf.DUMMYFUNCTION("""COMPUTED_VALUE"""),46187.0)</f>
        <v>46187</v>
      </c>
      <c r="C3796" s="122" t="str">
        <f>IFERROR(__xludf.DUMMYFUNCTION("""COMPUTED_VALUE"""),"TEST")</f>
        <v>TEST</v>
      </c>
      <c r="D3796" s="122" t="str">
        <f>IFERROR(__xludf.DUMMYFUNCTION("""COMPUTED_VALUE"""),"TestPrep Pro")</f>
        <v>TestPrep Pro</v>
      </c>
      <c r="E3796" s="122">
        <f>IFERROR(__xludf.DUMMYFUNCTION("""COMPUTED_VALUE"""),98.58)</f>
        <v>98.58</v>
      </c>
      <c r="F3796" s="122">
        <f>IFERROR(__xludf.DUMMYFUNCTION("""COMPUTED_VALUE"""),-0.0055)</f>
        <v>-0.0055</v>
      </c>
    </row>
    <row r="3797">
      <c r="A3797" s="131">
        <f>IFERROR(__xludf.DUMMYFUNCTION("""COMPUTED_VALUE"""),46187.45309027778)</f>
        <v>46187.45309</v>
      </c>
      <c r="B3797" s="126">
        <f>IFERROR(__xludf.DUMMYFUNCTION("""COMPUTED_VALUE"""),46187.0)</f>
        <v>46187</v>
      </c>
      <c r="C3797" s="122" t="str">
        <f>IFERROR(__xludf.DUMMYFUNCTION("""COMPUTED_VALUE"""),"MOVI")</f>
        <v>MOVI</v>
      </c>
      <c r="D3797" s="122" t="str">
        <f>IFERROR(__xludf.DUMMYFUNCTION("""COMPUTED_VALUE"""),"MovieBox")</f>
        <v>MovieBox</v>
      </c>
      <c r="E3797" s="122">
        <f>IFERROR(__xludf.DUMMYFUNCTION("""COMPUTED_VALUE"""),82.81)</f>
        <v>82.81</v>
      </c>
      <c r="F3797" s="122">
        <f>IFERROR(__xludf.DUMMYFUNCTION("""COMPUTED_VALUE"""),0.0039)</f>
        <v>0.0039</v>
      </c>
    </row>
    <row r="3798">
      <c r="A3798" s="131">
        <f>IFERROR(__xludf.DUMMYFUNCTION("""COMPUTED_VALUE"""),46187.45309027778)</f>
        <v>46187.45309</v>
      </c>
      <c r="B3798" s="126">
        <f>IFERROR(__xludf.DUMMYFUNCTION("""COMPUTED_VALUE"""),46187.0)</f>
        <v>46187</v>
      </c>
      <c r="C3798" s="122" t="str">
        <f>IFERROR(__xludf.DUMMYFUNCTION("""COMPUTED_VALUE"""),"MUSC")</f>
        <v>MUSC</v>
      </c>
      <c r="D3798" s="122" t="str">
        <f>IFERROR(__xludf.DUMMYFUNCTION("""COMPUTED_VALUE"""),"MusicWave")</f>
        <v>MusicWave</v>
      </c>
      <c r="E3798" s="122">
        <f>IFERROR(__xludf.DUMMYFUNCTION("""COMPUTED_VALUE"""),97.59)</f>
        <v>97.59</v>
      </c>
      <c r="F3798" s="122">
        <f>IFERROR(__xludf.DUMMYFUNCTION("""COMPUTED_VALUE"""),-0.0042)</f>
        <v>-0.0042</v>
      </c>
    </row>
    <row r="3799">
      <c r="A3799" s="131">
        <f>IFERROR(__xludf.DUMMYFUNCTION("""COMPUTED_VALUE"""),46187.45309027778)</f>
        <v>46187.45309</v>
      </c>
      <c r="B3799" s="126">
        <f>IFERROR(__xludf.DUMMYFUNCTION("""COMPUTED_VALUE"""),46187.0)</f>
        <v>46187</v>
      </c>
      <c r="C3799" s="122" t="str">
        <f>IFERROR(__xludf.DUMMYFUNCTION("""COMPUTED_VALUE"""),"IDOL")</f>
        <v>IDOL</v>
      </c>
      <c r="D3799" s="122" t="str">
        <f>IFERROR(__xludf.DUMMYFUNCTION("""COMPUTED_VALUE"""),"Idol Agency")</f>
        <v>Idol Agency</v>
      </c>
      <c r="E3799" s="122">
        <f>IFERROR(__xludf.DUMMYFUNCTION("""COMPUTED_VALUE"""),196.49)</f>
        <v>196.49</v>
      </c>
      <c r="F3799" s="122">
        <f>IFERROR(__xludf.DUMMYFUNCTION("""COMPUTED_VALUE"""),0.0092)</f>
        <v>0.0092</v>
      </c>
    </row>
    <row r="3800">
      <c r="A3800" s="131">
        <f>IFERROR(__xludf.DUMMYFUNCTION("""COMPUTED_VALUE"""),46187.45309027778)</f>
        <v>46187.45309</v>
      </c>
      <c r="B3800" s="126">
        <f>IFERROR(__xludf.DUMMYFUNCTION("""COMPUTED_VALUE"""),46187.0)</f>
        <v>46187</v>
      </c>
      <c r="C3800" s="122" t="str">
        <f>IFERROR(__xludf.DUMMYFUNCTION("""COMPUTED_VALUE"""),"MEME")</f>
        <v>MEME</v>
      </c>
      <c r="D3800" s="122" t="str">
        <f>IFERROR(__xludf.DUMMYFUNCTION("""COMPUTED_VALUE"""),"Meme Media")</f>
        <v>Meme Media</v>
      </c>
      <c r="E3800" s="122">
        <f>IFERROR(__xludf.DUMMYFUNCTION("""COMPUTED_VALUE"""),73.59)</f>
        <v>73.59</v>
      </c>
      <c r="F3800" s="122">
        <f>IFERROR(__xludf.DUMMYFUNCTION("""COMPUTED_VALUE"""),-0.0076)</f>
        <v>-0.0076</v>
      </c>
    </row>
    <row r="3801">
      <c r="A3801" s="131">
        <f>IFERROR(__xludf.DUMMYFUNCTION("""COMPUTED_VALUE"""),46187.45309027778)</f>
        <v>46187.45309</v>
      </c>
      <c r="B3801" s="126">
        <f>IFERROR(__xludf.DUMMYFUNCTION("""COMPUTED_VALUE"""),46187.0)</f>
        <v>46187</v>
      </c>
      <c r="C3801" s="122" t="str">
        <f>IFERROR(__xludf.DUMMYFUNCTION("""COMPUTED_VALUE"""),"STRM")</f>
        <v>STRM</v>
      </c>
      <c r="D3801" s="122" t="str">
        <f>IFERROR(__xludf.DUMMYFUNCTION("""COMPUTED_VALUE"""),"Streamly")</f>
        <v>Streamly</v>
      </c>
      <c r="E3801" s="122">
        <f>IFERROR(__xludf.DUMMYFUNCTION("""COMPUTED_VALUE"""),139.1)</f>
        <v>139.1</v>
      </c>
      <c r="F3801" s="122">
        <f>IFERROR(__xludf.DUMMYFUNCTION("""COMPUTED_VALUE"""),-0.0017)</f>
        <v>-0.0017</v>
      </c>
    </row>
    <row r="3802">
      <c r="A3802" s="131">
        <f>IFERROR(__xludf.DUMMYFUNCTION("""COMPUTED_VALUE"""),46187.45309027778)</f>
        <v>46187.45309</v>
      </c>
      <c r="B3802" s="126">
        <f>IFERROR(__xludf.DUMMYFUNCTION("""COMPUTED_VALUE"""),46187.0)</f>
        <v>46187</v>
      </c>
      <c r="C3802" s="122" t="str">
        <f>IFERROR(__xludf.DUMMYFUNCTION("""COMPUTED_VALUE"""),"FARM")</f>
        <v>FARM</v>
      </c>
      <c r="D3802" s="122" t="str">
        <f>IFERROR(__xludf.DUMMYFUNCTION("""COMPUTED_VALUE"""),"Future Farms")</f>
        <v>Future Farms</v>
      </c>
      <c r="E3802" s="122">
        <f>IFERROR(__xludf.DUMMYFUNCTION("""COMPUTED_VALUE"""),85.3)</f>
        <v>85.3</v>
      </c>
      <c r="F3802" s="122">
        <f>IFERROR(__xludf.DUMMYFUNCTION("""COMPUTED_VALUE"""),-1.0E-4)</f>
        <v>-0.0001</v>
      </c>
    </row>
    <row r="3803">
      <c r="A3803" s="131">
        <f>IFERROR(__xludf.DUMMYFUNCTION("""COMPUTED_VALUE"""),46187.45309027778)</f>
        <v>46187.45309</v>
      </c>
      <c r="B3803" s="126">
        <f>IFERROR(__xludf.DUMMYFUNCTION("""COMPUTED_VALUE"""),46187.0)</f>
        <v>46187</v>
      </c>
      <c r="C3803" s="122" t="str">
        <f>IFERROR(__xludf.DUMMYFUNCTION("""COMPUTED_VALUE"""),"MEAT")</f>
        <v>MEAT</v>
      </c>
      <c r="D3803" s="122" t="str">
        <f>IFERROR(__xludf.DUMMYFUNCTION("""COMPUTED_VALUE"""),"MeatWorks")</f>
        <v>MeatWorks</v>
      </c>
      <c r="E3803" s="122">
        <f>IFERROR(__xludf.DUMMYFUNCTION("""COMPUTED_VALUE"""),104.76)</f>
        <v>104.76</v>
      </c>
      <c r="F3803" s="122">
        <f>IFERROR(__xludf.DUMMYFUNCTION("""COMPUTED_VALUE"""),0.0049)</f>
        <v>0.0049</v>
      </c>
    </row>
    <row r="3804">
      <c r="A3804" s="131">
        <f>IFERROR(__xludf.DUMMYFUNCTION("""COMPUTED_VALUE"""),46187.45309027778)</f>
        <v>46187.45309</v>
      </c>
      <c r="B3804" s="126">
        <f>IFERROR(__xludf.DUMMYFUNCTION("""COMPUTED_VALUE"""),46187.0)</f>
        <v>46187</v>
      </c>
      <c r="C3804" s="122" t="str">
        <f>IFERROR(__xludf.DUMMYFUNCTION("""COMPUTED_VALUE"""),"VEGI")</f>
        <v>VEGI</v>
      </c>
      <c r="D3804" s="122" t="str">
        <f>IFERROR(__xludf.DUMMYFUNCTION("""COMPUTED_VALUE"""),"Green Basket")</f>
        <v>Green Basket</v>
      </c>
      <c r="E3804" s="122">
        <f>IFERROR(__xludf.DUMMYFUNCTION("""COMPUTED_VALUE"""),81.43)</f>
        <v>81.43</v>
      </c>
      <c r="F3804" s="122">
        <f>IFERROR(__xludf.DUMMYFUNCTION("""COMPUTED_VALUE"""),-1.0E-4)</f>
        <v>-0.0001</v>
      </c>
    </row>
    <row r="3805">
      <c r="A3805" s="131">
        <f>IFERROR(__xludf.DUMMYFUNCTION("""COMPUTED_VALUE"""),46187.45309027778)</f>
        <v>46187.45309</v>
      </c>
      <c r="B3805" s="126">
        <f>IFERROR(__xludf.DUMMYFUNCTION("""COMPUTED_VALUE"""),46187.0)</f>
        <v>46187</v>
      </c>
      <c r="C3805" s="122" t="str">
        <f>IFERROR(__xludf.DUMMYFUNCTION("""COMPUTED_VALUE"""),"CAFE")</f>
        <v>CAFE</v>
      </c>
      <c r="D3805" s="122" t="str">
        <f>IFERROR(__xludf.DUMMYFUNCTION("""COMPUTED_VALUE"""),"Cafe Cloud")</f>
        <v>Cafe Cloud</v>
      </c>
      <c r="E3805" s="122">
        <f>IFERROR(__xludf.DUMMYFUNCTION("""COMPUTED_VALUE"""),101.47)</f>
        <v>101.47</v>
      </c>
      <c r="F3805" s="122">
        <f>IFERROR(__xludf.DUMMYFUNCTION("""COMPUTED_VALUE"""),0.0054)</f>
        <v>0.0054</v>
      </c>
    </row>
    <row r="3806">
      <c r="A3806" s="131">
        <f>IFERROR(__xludf.DUMMYFUNCTION("""COMPUTED_VALUE"""),46187.45309027778)</f>
        <v>46187.45309</v>
      </c>
      <c r="B3806" s="126">
        <f>IFERROR(__xludf.DUMMYFUNCTION("""COMPUTED_VALUE"""),46187.0)</f>
        <v>46187</v>
      </c>
      <c r="C3806" s="122" t="str">
        <f>IFERROR(__xludf.DUMMYFUNCTION("""COMPUTED_VALUE"""),"BAKE")</f>
        <v>BAKE</v>
      </c>
      <c r="D3806" s="122" t="str">
        <f>IFERROR(__xludf.DUMMYFUNCTION("""COMPUTED_VALUE"""),"BakeHouse")</f>
        <v>BakeHouse</v>
      </c>
      <c r="E3806" s="122">
        <f>IFERROR(__xludf.DUMMYFUNCTION("""COMPUTED_VALUE"""),100.44)</f>
        <v>100.44</v>
      </c>
      <c r="F3806" s="122">
        <f>IFERROR(__xludf.DUMMYFUNCTION("""COMPUTED_VALUE"""),-0.0041)</f>
        <v>-0.0041</v>
      </c>
    </row>
    <row r="3807">
      <c r="A3807" s="131">
        <f>IFERROR(__xludf.DUMMYFUNCTION("""COMPUTED_VALUE"""),46187.45309027778)</f>
        <v>46187.45309</v>
      </c>
      <c r="B3807" s="126">
        <f>IFERROR(__xludf.DUMMYFUNCTION("""COMPUTED_VALUE"""),46187.0)</f>
        <v>46187</v>
      </c>
      <c r="C3807" s="122" t="str">
        <f>IFERROR(__xludf.DUMMYFUNCTION("""COMPUTED_VALUE"""),"OILX")</f>
        <v>OILX</v>
      </c>
      <c r="D3807" s="122" t="str">
        <f>IFERROR(__xludf.DUMMYFUNCTION("""COMPUTED_VALUE"""),"OilMax Energy")</f>
        <v>OilMax Energy</v>
      </c>
      <c r="E3807" s="122">
        <f>IFERROR(__xludf.DUMMYFUNCTION("""COMPUTED_VALUE"""),129.9)</f>
        <v>129.9</v>
      </c>
      <c r="F3807" s="122">
        <f>IFERROR(__xludf.DUMMYFUNCTION("""COMPUTED_VALUE"""),-0.0104)</f>
        <v>-0.0104</v>
      </c>
    </row>
    <row r="3808">
      <c r="A3808" s="131">
        <f>IFERROR(__xludf.DUMMYFUNCTION("""COMPUTED_VALUE"""),46187.45309027778)</f>
        <v>46187.45309</v>
      </c>
      <c r="B3808" s="126">
        <f>IFERROR(__xludf.DUMMYFUNCTION("""COMPUTED_VALUE"""),46187.0)</f>
        <v>46187</v>
      </c>
      <c r="C3808" s="122" t="str">
        <f>IFERROR(__xludf.DUMMYFUNCTION("""COMPUTED_VALUE"""),"SOLR")</f>
        <v>SOLR</v>
      </c>
      <c r="D3808" s="122" t="str">
        <f>IFERROR(__xludf.DUMMYFUNCTION("""COMPUTED_VALUE"""),"SolarSpark")</f>
        <v>SolarSpark</v>
      </c>
      <c r="E3808" s="122">
        <f>IFERROR(__xludf.DUMMYFUNCTION("""COMPUTED_VALUE"""),90.72)</f>
        <v>90.72</v>
      </c>
      <c r="F3808" s="122">
        <f>IFERROR(__xludf.DUMMYFUNCTION("""COMPUTED_VALUE"""),0.0039)</f>
        <v>0.0039</v>
      </c>
    </row>
    <row r="3809">
      <c r="A3809" s="131">
        <f>IFERROR(__xludf.DUMMYFUNCTION("""COMPUTED_VALUE"""),46187.45309027778)</f>
        <v>46187.45309</v>
      </c>
      <c r="B3809" s="126">
        <f>IFERROR(__xludf.DUMMYFUNCTION("""COMPUTED_VALUE"""),46187.0)</f>
        <v>46187</v>
      </c>
      <c r="C3809" s="122" t="str">
        <f>IFERROR(__xludf.DUMMYFUNCTION("""COMPUTED_VALUE"""),"BATT")</f>
        <v>BATT</v>
      </c>
      <c r="D3809" s="122" t="str">
        <f>IFERROR(__xludf.DUMMYFUNCTION("""COMPUTED_VALUE"""),"BatteryBox")</f>
        <v>BatteryBox</v>
      </c>
      <c r="E3809" s="122">
        <f>IFERROR(__xludf.DUMMYFUNCTION("""COMPUTED_VALUE"""),121.49)</f>
        <v>121.49</v>
      </c>
      <c r="F3809" s="122">
        <f>IFERROR(__xludf.DUMMYFUNCTION("""COMPUTED_VALUE"""),2.0E-4)</f>
        <v>0.0002</v>
      </c>
    </row>
    <row r="3810">
      <c r="A3810" s="131">
        <f>IFERROR(__xludf.DUMMYFUNCTION("""COMPUTED_VALUE"""),46187.45309027778)</f>
        <v>46187.45309</v>
      </c>
      <c r="B3810" s="126">
        <f>IFERROR(__xludf.DUMMYFUNCTION("""COMPUTED_VALUE"""),46187.0)</f>
        <v>46187</v>
      </c>
      <c r="C3810" s="122" t="str">
        <f>IFERROR(__xludf.DUMMYFUNCTION("""COMPUTED_VALUE"""),"WIND")</f>
        <v>WIND</v>
      </c>
      <c r="D3810" s="122" t="str">
        <f>IFERROR(__xludf.DUMMYFUNCTION("""COMPUTED_VALUE"""),"WindWorks")</f>
        <v>WindWorks</v>
      </c>
      <c r="E3810" s="122">
        <f>IFERROR(__xludf.DUMMYFUNCTION("""COMPUTED_VALUE"""),89.02)</f>
        <v>89.02</v>
      </c>
      <c r="F3810" s="122">
        <f>IFERROR(__xludf.DUMMYFUNCTION("""COMPUTED_VALUE"""),-9.0E-4)</f>
        <v>-0.0009</v>
      </c>
    </row>
    <row r="3811">
      <c r="A3811" s="131">
        <f>IFERROR(__xludf.DUMMYFUNCTION("""COMPUTED_VALUE"""),46187.45309027778)</f>
        <v>46187.45309</v>
      </c>
      <c r="B3811" s="126">
        <f>IFERROR(__xludf.DUMMYFUNCTION("""COMPUTED_VALUE"""),46187.0)</f>
        <v>46187</v>
      </c>
      <c r="C3811" s="122" t="str">
        <f>IFERROR(__xludf.DUMMYFUNCTION("""COMPUTED_VALUE"""),"GRID")</f>
        <v>GRID</v>
      </c>
      <c r="D3811" s="122" t="str">
        <f>IFERROR(__xludf.DUMMYFUNCTION("""COMPUTED_VALUE"""),"GridPower")</f>
        <v>GridPower</v>
      </c>
      <c r="E3811" s="122">
        <f>IFERROR(__xludf.DUMMYFUNCTION("""COMPUTED_VALUE"""),139.39)</f>
        <v>139.39</v>
      </c>
      <c r="F3811" s="122">
        <f>IFERROR(__xludf.DUMMYFUNCTION("""COMPUTED_VALUE"""),-0.0059)</f>
        <v>-0.0059</v>
      </c>
    </row>
    <row r="3812">
      <c r="A3812" s="131">
        <f>IFERROR(__xludf.DUMMYFUNCTION("""COMPUTED_VALUE"""),46187.45309027778)</f>
        <v>46187.45309</v>
      </c>
      <c r="B3812" s="126">
        <f>IFERROR(__xludf.DUMMYFUNCTION("""COMPUTED_VALUE"""),46187.0)</f>
        <v>46187</v>
      </c>
      <c r="C3812" s="122" t="str">
        <f>IFERROR(__xludf.DUMMYFUNCTION("""COMPUTED_VALUE"""),"HOME")</f>
        <v>HOME</v>
      </c>
      <c r="D3812" s="122" t="str">
        <f>IFERROR(__xludf.DUMMYFUNCTION("""COMPUTED_VALUE"""),"HomeHub")</f>
        <v>HomeHub</v>
      </c>
      <c r="E3812" s="122">
        <f>IFERROR(__xludf.DUMMYFUNCTION("""COMPUTED_VALUE"""),151.58)</f>
        <v>151.58</v>
      </c>
      <c r="F3812" s="122">
        <f>IFERROR(__xludf.DUMMYFUNCTION("""COMPUTED_VALUE"""),-0.0016)</f>
        <v>-0.0016</v>
      </c>
    </row>
    <row r="3813">
      <c r="A3813" s="131">
        <f>IFERROR(__xludf.DUMMYFUNCTION("""COMPUTED_VALUE"""),46187.45309027778)</f>
        <v>46187.45309</v>
      </c>
      <c r="B3813" s="126">
        <f>IFERROR(__xludf.DUMMYFUNCTION("""COMPUTED_VALUE"""),46187.0)</f>
        <v>46187</v>
      </c>
      <c r="C3813" s="122" t="str">
        <f>IFERROR(__xludf.DUMMYFUNCTION("""COMPUTED_VALUE"""),"RENT")</f>
        <v>RENT</v>
      </c>
      <c r="D3813" s="122" t="str">
        <f>IFERROR(__xludf.DUMMYFUNCTION("""COMPUTED_VALUE"""),"RentRight")</f>
        <v>RentRight</v>
      </c>
      <c r="E3813" s="122">
        <f>IFERROR(__xludf.DUMMYFUNCTION("""COMPUTED_VALUE"""),92.64)</f>
        <v>92.64</v>
      </c>
      <c r="F3813" s="122">
        <f>IFERROR(__xludf.DUMMYFUNCTION("""COMPUTED_VALUE"""),-0.0013)</f>
        <v>-0.0013</v>
      </c>
    </row>
    <row r="3814">
      <c r="A3814" s="131">
        <f>IFERROR(__xludf.DUMMYFUNCTION("""COMPUTED_VALUE"""),46187.45309027778)</f>
        <v>46187.45309</v>
      </c>
      <c r="B3814" s="126">
        <f>IFERROR(__xludf.DUMMYFUNCTION("""COMPUTED_VALUE"""),46187.0)</f>
        <v>46187</v>
      </c>
      <c r="C3814" s="122" t="str">
        <f>IFERROR(__xludf.DUMMYFUNCTION("""COMPUTED_VALUE"""),"MALL")</f>
        <v>MALL</v>
      </c>
      <c r="D3814" s="122" t="str">
        <f>IFERROR(__xludf.DUMMYFUNCTION("""COMPUTED_VALUE"""),"MegaMall")</f>
        <v>MegaMall</v>
      </c>
      <c r="E3814" s="122">
        <f>IFERROR(__xludf.DUMMYFUNCTION("""COMPUTED_VALUE"""),101.45)</f>
        <v>101.45</v>
      </c>
      <c r="F3814" s="122">
        <f>IFERROR(__xludf.DUMMYFUNCTION("""COMPUTED_VALUE"""),0.0036)</f>
        <v>0.0036</v>
      </c>
    </row>
    <row r="3815">
      <c r="A3815" s="131">
        <f>IFERROR(__xludf.DUMMYFUNCTION("""COMPUTED_VALUE"""),46187.45309027778)</f>
        <v>46187.45309</v>
      </c>
      <c r="B3815" s="126">
        <f>IFERROR(__xludf.DUMMYFUNCTION("""COMPUTED_VALUE"""),46187.0)</f>
        <v>46187</v>
      </c>
      <c r="C3815" s="122" t="str">
        <f>IFERROR(__xludf.DUMMYFUNCTION("""COMPUTED_VALUE"""),"HOTL")</f>
        <v>HOTL</v>
      </c>
      <c r="D3815" s="122" t="str">
        <f>IFERROR(__xludf.DUMMYFUNCTION("""COMPUTED_VALUE"""),"HotelHive")</f>
        <v>HotelHive</v>
      </c>
      <c r="E3815" s="122">
        <f>IFERROR(__xludf.DUMMYFUNCTION("""COMPUTED_VALUE"""),130.08)</f>
        <v>130.08</v>
      </c>
      <c r="F3815" s="122">
        <f>IFERROR(__xludf.DUMMYFUNCTION("""COMPUTED_VALUE"""),-0.0039)</f>
        <v>-0.0039</v>
      </c>
    </row>
    <row r="3816">
      <c r="A3816" s="131">
        <f>IFERROR(__xludf.DUMMYFUNCTION("""COMPUTED_VALUE"""),46187.45309027778)</f>
        <v>46187.45309</v>
      </c>
      <c r="B3816" s="126">
        <f>IFERROR(__xludf.DUMMYFUNCTION("""COMPUTED_VALUE"""),46187.0)</f>
        <v>46187</v>
      </c>
      <c r="C3816" s="122" t="str">
        <f>IFERROR(__xludf.DUMMYFUNCTION("""COMPUTED_VALUE"""),"LAND")</f>
        <v>LAND</v>
      </c>
      <c r="D3816" s="122" t="str">
        <f>IFERROR(__xludf.DUMMYFUNCTION("""COMPUTED_VALUE"""),"LandLink")</f>
        <v>LandLink</v>
      </c>
      <c r="E3816" s="122">
        <f>IFERROR(__xludf.DUMMYFUNCTION("""COMPUTED_VALUE"""),182.53)</f>
        <v>182.53</v>
      </c>
      <c r="F3816" s="122">
        <f>IFERROR(__xludf.DUMMYFUNCTION("""COMPUTED_VALUE"""),0.0023)</f>
        <v>0.0023</v>
      </c>
    </row>
    <row r="3817">
      <c r="A3817" s="131">
        <f>IFERROR(__xludf.DUMMYFUNCTION("""COMPUTED_VALUE"""),46187.45309027778)</f>
        <v>46187.45309</v>
      </c>
      <c r="B3817" s="126">
        <f>IFERROR(__xludf.DUMMYFUNCTION("""COMPUTED_VALUE"""),46187.0)</f>
        <v>46187</v>
      </c>
      <c r="C3817" s="122" t="str">
        <f>IFERROR(__xludf.DUMMYFUNCTION("""COMPUTED_VALUE"""),"CARS")</f>
        <v>CARS</v>
      </c>
      <c r="D3817" s="122" t="str">
        <f>IFERROR(__xludf.DUMMYFUNCTION("""COMPUTED_VALUE"""),"AutoArena")</f>
        <v>AutoArena</v>
      </c>
      <c r="E3817" s="122">
        <f>IFERROR(__xludf.DUMMYFUNCTION("""COMPUTED_VALUE"""),81.86)</f>
        <v>81.86</v>
      </c>
      <c r="F3817" s="122">
        <f>IFERROR(__xludf.DUMMYFUNCTION("""COMPUTED_VALUE"""),0.0089)</f>
        <v>0.0089</v>
      </c>
    </row>
    <row r="3818">
      <c r="A3818" s="131">
        <f>IFERROR(__xludf.DUMMYFUNCTION("""COMPUTED_VALUE"""),46187.45309027778)</f>
        <v>46187.45309</v>
      </c>
      <c r="B3818" s="126">
        <f>IFERROR(__xludf.DUMMYFUNCTION("""COMPUTED_VALUE"""),46187.0)</f>
        <v>46187</v>
      </c>
      <c r="C3818" s="122" t="str">
        <f>IFERROR(__xludf.DUMMYFUNCTION("""COMPUTED_VALUE"""),"EVGO")</f>
        <v>EVGO</v>
      </c>
      <c r="D3818" s="122" t="str">
        <f>IFERROR(__xludf.DUMMYFUNCTION("""COMPUTED_VALUE"""),"EVGo Motors")</f>
        <v>EVGo Motors</v>
      </c>
      <c r="E3818" s="122">
        <f>IFERROR(__xludf.DUMMYFUNCTION("""COMPUTED_VALUE"""),184.2)</f>
        <v>184.2</v>
      </c>
      <c r="F3818" s="122">
        <f>IFERROR(__xludf.DUMMYFUNCTION("""COMPUTED_VALUE"""),-0.0091)</f>
        <v>-0.0091</v>
      </c>
    </row>
    <row r="3819">
      <c r="A3819" s="131">
        <f>IFERROR(__xludf.DUMMYFUNCTION("""COMPUTED_VALUE"""),46187.45309027778)</f>
        <v>46187.45309</v>
      </c>
      <c r="B3819" s="126">
        <f>IFERROR(__xludf.DUMMYFUNCTION("""COMPUTED_VALUE"""),46187.0)</f>
        <v>46187</v>
      </c>
      <c r="C3819" s="122" t="str">
        <f>IFERROR(__xludf.DUMMYFUNCTION("""COMPUTED_VALUE"""),"TIRE")</f>
        <v>TIRE</v>
      </c>
      <c r="D3819" s="122" t="str">
        <f>IFERROR(__xludf.DUMMYFUNCTION("""COMPUTED_VALUE"""),"TireTown")</f>
        <v>TireTown</v>
      </c>
      <c r="E3819" s="122">
        <f>IFERROR(__xludf.DUMMYFUNCTION("""COMPUTED_VALUE"""),95.03)</f>
        <v>95.03</v>
      </c>
      <c r="F3819" s="122">
        <f>IFERROR(__xludf.DUMMYFUNCTION("""COMPUTED_VALUE"""),0.0051)</f>
        <v>0.0051</v>
      </c>
    </row>
    <row r="3820">
      <c r="A3820" s="131">
        <f>IFERROR(__xludf.DUMMYFUNCTION("""COMPUTED_VALUE"""),46187.45309027778)</f>
        <v>46187.45309</v>
      </c>
      <c r="B3820" s="126">
        <f>IFERROR(__xludf.DUMMYFUNCTION("""COMPUTED_VALUE"""),46187.0)</f>
        <v>46187</v>
      </c>
      <c r="C3820" s="122" t="str">
        <f>IFERROR(__xludf.DUMMYFUNCTION("""COMPUTED_VALUE"""),"BIKE")</f>
        <v>BIKE</v>
      </c>
      <c r="D3820" s="122" t="str">
        <f>IFERROR(__xludf.DUMMYFUNCTION("""COMPUTED_VALUE"""),"BikeBox")</f>
        <v>BikeBox</v>
      </c>
      <c r="E3820" s="122">
        <f>IFERROR(__xludf.DUMMYFUNCTION("""COMPUTED_VALUE"""),52.83)</f>
        <v>52.83</v>
      </c>
      <c r="F3820" s="122">
        <f>IFERROR(__xludf.DUMMYFUNCTION("""COMPUTED_VALUE"""),-0.0049)</f>
        <v>-0.0049</v>
      </c>
    </row>
    <row r="3821">
      <c r="A3821" s="131">
        <f>IFERROR(__xludf.DUMMYFUNCTION("""COMPUTED_VALUE"""),46187.45309027778)</f>
        <v>46187.45309</v>
      </c>
      <c r="B3821" s="126">
        <f>IFERROR(__xludf.DUMMYFUNCTION("""COMPUTED_VALUE"""),46187.0)</f>
        <v>46187</v>
      </c>
      <c r="C3821" s="122" t="str">
        <f>IFERROR(__xludf.DUMMYFUNCTION("""COMPUTED_VALUE"""),"WASH")</f>
        <v>WASH</v>
      </c>
      <c r="D3821" s="122" t="str">
        <f>IFERROR(__xludf.DUMMYFUNCTION("""COMPUTED_VALUE"""),"CarWash Co")</f>
        <v>CarWash Co</v>
      </c>
      <c r="E3821" s="122">
        <f>IFERROR(__xludf.DUMMYFUNCTION("""COMPUTED_VALUE"""),119.47)</f>
        <v>119.47</v>
      </c>
      <c r="F3821" s="122">
        <f>IFERROR(__xludf.DUMMYFUNCTION("""COMPUTED_VALUE"""),-4.0E-4)</f>
        <v>-0.0004</v>
      </c>
    </row>
    <row r="3822">
      <c r="A3822" s="131">
        <f>IFERROR(__xludf.DUMMYFUNCTION("""COMPUTED_VALUE"""),46187.45309027778)</f>
        <v>46187.45309</v>
      </c>
      <c r="B3822" s="126">
        <f>IFERROR(__xludf.DUMMYFUNCTION("""COMPUTED_VALUE"""),46187.0)</f>
        <v>46187</v>
      </c>
      <c r="C3822" s="122" t="str">
        <f>IFERROR(__xludf.DUMMYFUNCTION("""COMPUTED_VALUE"""),"GBND")</f>
        <v>GBND</v>
      </c>
      <c r="D3822" s="122" t="str">
        <f>IFERROR(__xludf.DUMMYFUNCTION("""COMPUTED_VALUE"""),"Classroom Government Bond")</f>
        <v>Classroom Government Bond</v>
      </c>
      <c r="E3822" s="122">
        <f>IFERROR(__xludf.DUMMYFUNCTION("""COMPUTED_VALUE"""),100.94)</f>
        <v>100.94</v>
      </c>
      <c r="F3822" s="122">
        <f>IFERROR(__xludf.DUMMYFUNCTION("""COMPUTED_VALUE"""),5.0E-4)</f>
        <v>0.0005</v>
      </c>
    </row>
    <row r="3823">
      <c r="A3823" s="131">
        <f>IFERROR(__xludf.DUMMYFUNCTION("""COMPUTED_VALUE"""),46187.45309027778)</f>
        <v>46187.45309</v>
      </c>
      <c r="B3823" s="126">
        <f>IFERROR(__xludf.DUMMYFUNCTION("""COMPUTED_VALUE"""),46187.0)</f>
        <v>46187</v>
      </c>
      <c r="C3823" s="122" t="str">
        <f>IFERROR(__xludf.DUMMYFUNCTION("""COMPUTED_VALUE"""),"SBND")</f>
        <v>SBND</v>
      </c>
      <c r="D3823" s="122" t="str">
        <f>IFERROR(__xludf.DUMMYFUNCTION("""COMPUTED_VALUE"""),"School Savings Bond")</f>
        <v>School Savings Bond</v>
      </c>
      <c r="E3823" s="122">
        <f>IFERROR(__xludf.DUMMYFUNCTION("""COMPUTED_VALUE"""),99.51)</f>
        <v>99.51</v>
      </c>
      <c r="F3823" s="122">
        <f>IFERROR(__xludf.DUMMYFUNCTION("""COMPUTED_VALUE"""),4.0E-4)</f>
        <v>0.0004</v>
      </c>
    </row>
    <row r="3824">
      <c r="A3824" s="131">
        <f>IFERROR(__xludf.DUMMYFUNCTION("""COMPUTED_VALUE"""),46187.45309027778)</f>
        <v>46187.45309</v>
      </c>
      <c r="B3824" s="126">
        <f>IFERROR(__xludf.DUMMYFUNCTION("""COMPUTED_VALUE"""),46187.0)</f>
        <v>46187</v>
      </c>
      <c r="C3824" s="122" t="str">
        <f>IFERROR(__xludf.DUMMYFUNCTION("""COMPUTED_VALUE"""),"CBND")</f>
        <v>CBND</v>
      </c>
      <c r="D3824" s="122" t="str">
        <f>IFERROR(__xludf.DUMMYFUNCTION("""COMPUTED_VALUE"""),"Corporate Classroom Bond")</f>
        <v>Corporate Classroom Bond</v>
      </c>
      <c r="E3824" s="122">
        <f>IFERROR(__xludf.DUMMYFUNCTION("""COMPUTED_VALUE"""),97.76)</f>
        <v>97.76</v>
      </c>
      <c r="F3824" s="122">
        <f>IFERROR(__xludf.DUMMYFUNCTION("""COMPUTED_VALUE"""),0.0)</f>
        <v>0</v>
      </c>
    </row>
    <row r="3825">
      <c r="A3825" s="131">
        <f>IFERROR(__xludf.DUMMYFUNCTION("""COMPUTED_VALUE"""),46187.45309027778)</f>
        <v>46187.45309</v>
      </c>
      <c r="B3825" s="126">
        <f>IFERROR(__xludf.DUMMYFUNCTION("""COMPUTED_VALUE"""),46187.0)</f>
        <v>46187</v>
      </c>
      <c r="C3825" s="122" t="str">
        <f>IFERROR(__xludf.DUMMYFUNCTION("""COMPUTED_VALUE"""),"TBIL")</f>
        <v>TBIL</v>
      </c>
      <c r="D3825" s="122" t="str">
        <f>IFERROR(__xludf.DUMMYFUNCTION("""COMPUTED_VALUE"""),"Treasury Bill")</f>
        <v>Treasury Bill</v>
      </c>
      <c r="E3825" s="122">
        <f>IFERROR(__xludf.DUMMYFUNCTION("""COMPUTED_VALUE"""),98.09)</f>
        <v>98.09</v>
      </c>
      <c r="F3825" s="122">
        <f>IFERROR(__xludf.DUMMYFUNCTION("""COMPUTED_VALUE"""),-3.0E-4)</f>
        <v>-0.0003</v>
      </c>
    </row>
    <row r="3826">
      <c r="A3826" s="131">
        <f>IFERROR(__xludf.DUMMYFUNCTION("""COMPUTED_VALUE"""),46187.45309027778)</f>
        <v>46187.45309</v>
      </c>
      <c r="B3826" s="126">
        <f>IFERROR(__xludf.DUMMYFUNCTION("""COMPUTED_VALUE"""),46187.0)</f>
        <v>46187</v>
      </c>
      <c r="C3826" s="122" t="str">
        <f>IFERROR(__xludf.DUMMYFUNCTION("""COMPUTED_VALUE"""),"IBND")</f>
        <v>IBND</v>
      </c>
      <c r="D3826" s="122" t="str">
        <f>IFERROR(__xludf.DUMMYFUNCTION("""COMPUTED_VALUE"""),"Inflation Protected Bond")</f>
        <v>Inflation Protected Bond</v>
      </c>
      <c r="E3826" s="122">
        <f>IFERROR(__xludf.DUMMYFUNCTION("""COMPUTED_VALUE"""),100.63)</f>
        <v>100.63</v>
      </c>
      <c r="F3826" s="122">
        <f>IFERROR(__xludf.DUMMYFUNCTION("""COMPUTED_VALUE"""),3.0E-4)</f>
        <v>0.0003</v>
      </c>
    </row>
    <row r="3827">
      <c r="A3827" s="131">
        <f>IFERROR(__xludf.DUMMYFUNCTION("""COMPUTED_VALUE"""),46187.456342592595)</f>
        <v>46187.45634</v>
      </c>
      <c r="B3827" s="126">
        <f>IFERROR(__xludf.DUMMYFUNCTION("""COMPUTED_VALUE"""),46187.0)</f>
        <v>46187</v>
      </c>
      <c r="C3827" s="122" t="str">
        <f>IFERROR(__xludf.DUMMYFUNCTION("""COMPUTED_VALUE"""),"SNAX")</f>
        <v>SNAX</v>
      </c>
      <c r="D3827" s="122" t="str">
        <f>IFERROR(__xludf.DUMMYFUNCTION("""COMPUTED_VALUE"""),"MICA Snacks")</f>
        <v>MICA Snacks</v>
      </c>
      <c r="E3827" s="122">
        <f>IFERROR(__xludf.DUMMYFUNCTION("""COMPUTED_VALUE"""),121.8)</f>
        <v>121.8</v>
      </c>
      <c r="F3827" s="122">
        <f>IFERROR(__xludf.DUMMYFUNCTION("""COMPUTED_VALUE"""),0.0014)</f>
        <v>0.0014</v>
      </c>
    </row>
    <row r="3828">
      <c r="A3828" s="131">
        <f>IFERROR(__xludf.DUMMYFUNCTION("""COMPUTED_VALUE"""),46187.456342592595)</f>
        <v>46187.45634</v>
      </c>
      <c r="B3828" s="126">
        <f>IFERROR(__xludf.DUMMYFUNCTION("""COMPUTED_VALUE"""),46187.0)</f>
        <v>46187</v>
      </c>
      <c r="C3828" s="122" t="str">
        <f>IFERROR(__xludf.DUMMYFUNCTION("""COMPUTED_VALUE"""),"RAMN")</f>
        <v>RAMN</v>
      </c>
      <c r="D3828" s="122" t="str">
        <f>IFERROR(__xludf.DUMMYFUNCTION("""COMPUTED_VALUE"""),"Ramen Republic")</f>
        <v>Ramen Republic</v>
      </c>
      <c r="E3828" s="122">
        <f>IFERROR(__xludf.DUMMYFUNCTION("""COMPUTED_VALUE"""),71.68)</f>
        <v>71.68</v>
      </c>
      <c r="F3828" s="122">
        <f>IFERROR(__xludf.DUMMYFUNCTION("""COMPUTED_VALUE"""),3.0E-4)</f>
        <v>0.0003</v>
      </c>
    </row>
    <row r="3829">
      <c r="A3829" s="131">
        <f>IFERROR(__xludf.DUMMYFUNCTION("""COMPUTED_VALUE"""),46187.456342592595)</f>
        <v>46187.45634</v>
      </c>
      <c r="B3829" s="126">
        <f>IFERROR(__xludf.DUMMYFUNCTION("""COMPUTED_VALUE"""),46187.0)</f>
        <v>46187</v>
      </c>
      <c r="C3829" s="122" t="str">
        <f>IFERROR(__xludf.DUMMYFUNCTION("""COMPUTED_VALUE"""),"COLA")</f>
        <v>COLA</v>
      </c>
      <c r="D3829" s="122" t="str">
        <f>IFERROR(__xludf.DUMMYFUNCTION("""COMPUTED_VALUE"""),"K-Pop Cola")</f>
        <v>K-Pop Cola</v>
      </c>
      <c r="E3829" s="122">
        <f>IFERROR(__xludf.DUMMYFUNCTION("""COMPUTED_VALUE"""),109.54)</f>
        <v>109.54</v>
      </c>
      <c r="F3829" s="122">
        <f>IFERROR(__xludf.DUMMYFUNCTION("""COMPUTED_VALUE"""),7.0E-4)</f>
        <v>0.0007</v>
      </c>
    </row>
    <row r="3830">
      <c r="A3830" s="131">
        <f>IFERROR(__xludf.DUMMYFUNCTION("""COMPUTED_VALUE"""),46187.456342592595)</f>
        <v>46187.45634</v>
      </c>
      <c r="B3830" s="126">
        <f>IFERROR(__xludf.DUMMYFUNCTION("""COMPUTED_VALUE"""),46187.0)</f>
        <v>46187</v>
      </c>
      <c r="C3830" s="122" t="str">
        <f>IFERROR(__xludf.DUMMYFUNCTION("""COMPUTED_VALUE"""),"CHIP")</f>
        <v>CHIP</v>
      </c>
      <c r="D3830" s="122" t="str">
        <f>IFERROR(__xludf.DUMMYFUNCTION("""COMPUTED_VALUE"""),"Chip Empire")</f>
        <v>Chip Empire</v>
      </c>
      <c r="E3830" s="122">
        <f>IFERROR(__xludf.DUMMYFUNCTION("""COMPUTED_VALUE"""),87.78)</f>
        <v>87.78</v>
      </c>
      <c r="F3830" s="122">
        <f>IFERROR(__xludf.DUMMYFUNCTION("""COMPUTED_VALUE"""),-0.0022)</f>
        <v>-0.0022</v>
      </c>
    </row>
    <row r="3831">
      <c r="A3831" s="131">
        <f>IFERROR(__xludf.DUMMYFUNCTION("""COMPUTED_VALUE"""),46187.456342592595)</f>
        <v>46187.45634</v>
      </c>
      <c r="B3831" s="126">
        <f>IFERROR(__xludf.DUMMYFUNCTION("""COMPUTED_VALUE"""),46187.0)</f>
        <v>46187</v>
      </c>
      <c r="C3831" s="122" t="str">
        <f>IFERROR(__xludf.DUMMYFUNCTION("""COMPUTED_VALUE"""),"CAND")</f>
        <v>CAND</v>
      </c>
      <c r="D3831" s="122" t="str">
        <f>IFERROR(__xludf.DUMMYFUNCTION("""COMPUTED_VALUE"""),"Candy Capital")</f>
        <v>Candy Capital</v>
      </c>
      <c r="E3831" s="122">
        <f>IFERROR(__xludf.DUMMYFUNCTION("""COMPUTED_VALUE"""),77.72)</f>
        <v>77.72</v>
      </c>
      <c r="F3831" s="122">
        <f>IFERROR(__xludf.DUMMYFUNCTION("""COMPUTED_VALUE"""),0.0075)</f>
        <v>0.0075</v>
      </c>
    </row>
    <row r="3832">
      <c r="A3832" s="131">
        <f>IFERROR(__xludf.DUMMYFUNCTION("""COMPUTED_VALUE"""),46187.456342592595)</f>
        <v>46187.45634</v>
      </c>
      <c r="B3832" s="126">
        <f>IFERROR(__xludf.DUMMYFUNCTION("""COMPUTED_VALUE"""),46187.0)</f>
        <v>46187</v>
      </c>
      <c r="C3832" s="122" t="str">
        <f>IFERROR(__xludf.DUMMYFUNCTION("""COMPUTED_VALUE"""),"TECH")</f>
        <v>TECH</v>
      </c>
      <c r="D3832" s="122" t="str">
        <f>IFERROR(__xludf.DUMMYFUNCTION("""COMPUTED_VALUE"""),"Dragon Tech")</f>
        <v>Dragon Tech</v>
      </c>
      <c r="E3832" s="122">
        <f>IFERROR(__xludf.DUMMYFUNCTION("""COMPUTED_VALUE"""),239.73)</f>
        <v>239.73</v>
      </c>
      <c r="F3832" s="122">
        <f>IFERROR(__xludf.DUMMYFUNCTION("""COMPUTED_VALUE"""),-0.0053)</f>
        <v>-0.0053</v>
      </c>
    </row>
    <row r="3833">
      <c r="A3833" s="131">
        <f>IFERROR(__xludf.DUMMYFUNCTION("""COMPUTED_VALUE"""),46187.456342592595)</f>
        <v>46187.45634</v>
      </c>
      <c r="B3833" s="126">
        <f>IFERROR(__xludf.DUMMYFUNCTION("""COMPUTED_VALUE"""),46187.0)</f>
        <v>46187</v>
      </c>
      <c r="C3833" s="122" t="str">
        <f>IFERROR(__xludf.DUMMYFUNCTION("""COMPUTED_VALUE"""),"AIBO")</f>
        <v>AIBO</v>
      </c>
      <c r="D3833" s="122" t="str">
        <f>IFERROR(__xludf.DUMMYFUNCTION("""COMPUTED_VALUE"""),"Homework AI")</f>
        <v>Homework AI</v>
      </c>
      <c r="E3833" s="122">
        <f>IFERROR(__xludf.DUMMYFUNCTION("""COMPUTED_VALUE"""),172.37)</f>
        <v>172.37</v>
      </c>
      <c r="F3833" s="122">
        <f>IFERROR(__xludf.DUMMYFUNCTION("""COMPUTED_VALUE"""),-0.0056)</f>
        <v>-0.0056</v>
      </c>
    </row>
    <row r="3834">
      <c r="A3834" s="131">
        <f>IFERROR(__xludf.DUMMYFUNCTION("""COMPUTED_VALUE"""),46187.456342592595)</f>
        <v>46187.45634</v>
      </c>
      <c r="B3834" s="126">
        <f>IFERROR(__xludf.DUMMYFUNCTION("""COMPUTED_VALUE"""),46187.0)</f>
        <v>46187</v>
      </c>
      <c r="C3834" s="122" t="str">
        <f>IFERROR(__xludf.DUMMYFUNCTION("""COMPUTED_VALUE"""),"GAME")</f>
        <v>GAME</v>
      </c>
      <c r="D3834" s="122" t="str">
        <f>IFERROR(__xludf.DUMMYFUNCTION("""COMPUTED_VALUE"""),"GameBox Media")</f>
        <v>GameBox Media</v>
      </c>
      <c r="E3834" s="122">
        <f>IFERROR(__xludf.DUMMYFUNCTION("""COMPUTED_VALUE"""),94.93)</f>
        <v>94.93</v>
      </c>
      <c r="F3834" s="122">
        <f>IFERROR(__xludf.DUMMYFUNCTION("""COMPUTED_VALUE"""),-0.0028)</f>
        <v>-0.0028</v>
      </c>
    </row>
    <row r="3835">
      <c r="A3835" s="131">
        <f>IFERROR(__xludf.DUMMYFUNCTION("""COMPUTED_VALUE"""),46187.456342592595)</f>
        <v>46187.45634</v>
      </c>
      <c r="B3835" s="126">
        <f>IFERROR(__xludf.DUMMYFUNCTION("""COMPUTED_VALUE"""),46187.0)</f>
        <v>46187</v>
      </c>
      <c r="C3835" s="122" t="str">
        <f>IFERROR(__xludf.DUMMYFUNCTION("""COMPUTED_VALUE"""),"VRSE")</f>
        <v>VRSE</v>
      </c>
      <c r="D3835" s="122" t="str">
        <f>IFERROR(__xludf.DUMMYFUNCTION("""COMPUTED_VALUE"""),"VerseVR")</f>
        <v>VerseVR</v>
      </c>
      <c r="E3835" s="122">
        <f>IFERROR(__xludf.DUMMYFUNCTION("""COMPUTED_VALUE"""),148.24)</f>
        <v>148.24</v>
      </c>
      <c r="F3835" s="122">
        <f>IFERROR(__xludf.DUMMYFUNCTION("""COMPUTED_VALUE"""),-0.0022)</f>
        <v>-0.0022</v>
      </c>
    </row>
    <row r="3836">
      <c r="A3836" s="131">
        <f>IFERROR(__xludf.DUMMYFUNCTION("""COMPUTED_VALUE"""),46187.456342592595)</f>
        <v>46187.45634</v>
      </c>
      <c r="B3836" s="126">
        <f>IFERROR(__xludf.DUMMYFUNCTION("""COMPUTED_VALUE"""),46187.0)</f>
        <v>46187</v>
      </c>
      <c r="C3836" s="122" t="str">
        <f>IFERROR(__xludf.DUMMYFUNCTION("""COMPUTED_VALUE"""),"BYTE")</f>
        <v>BYTE</v>
      </c>
      <c r="D3836" s="122" t="str">
        <f>IFERROR(__xludf.DUMMYFUNCTION("""COMPUTED_VALUE"""),"ByteWorks")</f>
        <v>ByteWorks</v>
      </c>
      <c r="E3836" s="122">
        <f>IFERROR(__xludf.DUMMYFUNCTION("""COMPUTED_VALUE"""),108.77)</f>
        <v>108.77</v>
      </c>
      <c r="F3836" s="122">
        <f>IFERROR(__xludf.DUMMYFUNCTION("""COMPUTED_VALUE"""),0.0055)</f>
        <v>0.0055</v>
      </c>
    </row>
    <row r="3837">
      <c r="A3837" s="131">
        <f>IFERROR(__xludf.DUMMYFUNCTION("""COMPUTED_VALUE"""),46187.456342592595)</f>
        <v>46187.45634</v>
      </c>
      <c r="B3837" s="126">
        <f>IFERROR(__xludf.DUMMYFUNCTION("""COMPUTED_VALUE"""),46187.0)</f>
        <v>46187</v>
      </c>
      <c r="C3837" s="122" t="str">
        <f>IFERROR(__xludf.DUMMYFUNCTION("""COMPUTED_VALUE"""),"BANK")</f>
        <v>BANK</v>
      </c>
      <c r="D3837" s="122" t="str">
        <f>IFERROR(__xludf.DUMMYFUNCTION("""COMPUTED_VALUE"""),"Tiger Bank")</f>
        <v>Tiger Bank</v>
      </c>
      <c r="E3837" s="122">
        <f>IFERROR(__xludf.DUMMYFUNCTION("""COMPUTED_VALUE"""),127.13)</f>
        <v>127.13</v>
      </c>
      <c r="F3837" s="122">
        <f>IFERROR(__xludf.DUMMYFUNCTION("""COMPUTED_VALUE"""),-0.0025)</f>
        <v>-0.0025</v>
      </c>
    </row>
    <row r="3838">
      <c r="A3838" s="131">
        <f>IFERROR(__xludf.DUMMYFUNCTION("""COMPUTED_VALUE"""),46187.456342592595)</f>
        <v>46187.45634</v>
      </c>
      <c r="B3838" s="126">
        <f>IFERROR(__xludf.DUMMYFUNCTION("""COMPUTED_VALUE"""),46187.0)</f>
        <v>46187</v>
      </c>
      <c r="C3838" s="122" t="str">
        <f>IFERROR(__xludf.DUMMYFUNCTION("""COMPUTED_VALUE"""),"CRED")</f>
        <v>CRED</v>
      </c>
      <c r="D3838" s="122" t="str">
        <f>IFERROR(__xludf.DUMMYFUNCTION("""COMPUTED_VALUE"""),"Credit Castle")</f>
        <v>Credit Castle</v>
      </c>
      <c r="E3838" s="122">
        <f>IFERROR(__xludf.DUMMYFUNCTION("""COMPUTED_VALUE"""),66.73)</f>
        <v>66.73</v>
      </c>
      <c r="F3838" s="122">
        <f>IFERROR(__xludf.DUMMYFUNCTION("""COMPUTED_VALUE"""),-0.0019)</f>
        <v>-0.0019</v>
      </c>
    </row>
    <row r="3839">
      <c r="A3839" s="131">
        <f>IFERROR(__xludf.DUMMYFUNCTION("""COMPUTED_VALUE"""),46187.456342592595)</f>
        <v>46187.45634</v>
      </c>
      <c r="B3839" s="126">
        <f>IFERROR(__xludf.DUMMYFUNCTION("""COMPUTED_VALUE"""),46187.0)</f>
        <v>46187</v>
      </c>
      <c r="C3839" s="122" t="str">
        <f>IFERROR(__xludf.DUMMYFUNCTION("""COMPUTED_VALUE"""),"BOND")</f>
        <v>BOND</v>
      </c>
      <c r="D3839" s="122" t="str">
        <f>IFERROR(__xludf.DUMMYFUNCTION("""COMPUTED_VALUE"""),"BondBridge")</f>
        <v>BondBridge</v>
      </c>
      <c r="E3839" s="122">
        <f>IFERROR(__xludf.DUMMYFUNCTION("""COMPUTED_VALUE"""),99.07)</f>
        <v>99.07</v>
      </c>
      <c r="F3839" s="122">
        <f>IFERROR(__xludf.DUMMYFUNCTION("""COMPUTED_VALUE"""),0.0022)</f>
        <v>0.0022</v>
      </c>
    </row>
    <row r="3840">
      <c r="A3840" s="131">
        <f>IFERROR(__xludf.DUMMYFUNCTION("""COMPUTED_VALUE"""),46187.456342592595)</f>
        <v>46187.45634</v>
      </c>
      <c r="B3840" s="126">
        <f>IFERROR(__xludf.DUMMYFUNCTION("""COMPUTED_VALUE"""),46187.0)</f>
        <v>46187</v>
      </c>
      <c r="C3840" s="122" t="str">
        <f>IFERROR(__xludf.DUMMYFUNCTION("""COMPUTED_VALUE"""),"INSR")</f>
        <v>INSR</v>
      </c>
      <c r="D3840" s="122" t="str">
        <f>IFERROR(__xludf.DUMMYFUNCTION("""COMPUTED_VALUE"""),"Shield Insurance")</f>
        <v>Shield Insurance</v>
      </c>
      <c r="E3840" s="122">
        <f>IFERROR(__xludf.DUMMYFUNCTION("""COMPUTED_VALUE"""),159.87)</f>
        <v>159.87</v>
      </c>
      <c r="F3840" s="122">
        <f>IFERROR(__xludf.DUMMYFUNCTION("""COMPUTED_VALUE"""),0.004)</f>
        <v>0.004</v>
      </c>
    </row>
    <row r="3841">
      <c r="A3841" s="131">
        <f>IFERROR(__xludf.DUMMYFUNCTION("""COMPUTED_VALUE"""),46187.456342592595)</f>
        <v>46187.45634</v>
      </c>
      <c r="B3841" s="126">
        <f>IFERROR(__xludf.DUMMYFUNCTION("""COMPUTED_VALUE"""),46187.0)</f>
        <v>46187</v>
      </c>
      <c r="C3841" s="122" t="str">
        <f>IFERROR(__xludf.DUMMYFUNCTION("""COMPUTED_VALUE"""),"LOAN")</f>
        <v>LOAN</v>
      </c>
      <c r="D3841" s="122" t="str">
        <f>IFERROR(__xludf.DUMMYFUNCTION("""COMPUTED_VALUE"""),"LoanLab")</f>
        <v>LoanLab</v>
      </c>
      <c r="E3841" s="122">
        <f>IFERROR(__xludf.DUMMYFUNCTION("""COMPUTED_VALUE"""),63.37)</f>
        <v>63.37</v>
      </c>
      <c r="F3841" s="122">
        <f>IFERROR(__xludf.DUMMYFUNCTION("""COMPUTED_VALUE"""),-0.0035)</f>
        <v>-0.0035</v>
      </c>
    </row>
    <row r="3842">
      <c r="A3842" s="131">
        <f>IFERROR(__xludf.DUMMYFUNCTION("""COMPUTED_VALUE"""),46187.456342592595)</f>
        <v>46187.45634</v>
      </c>
      <c r="B3842" s="126">
        <f>IFERROR(__xludf.DUMMYFUNCTION("""COMPUTED_VALUE"""),46187.0)</f>
        <v>46187</v>
      </c>
      <c r="C3842" s="122" t="str">
        <f>IFERROR(__xludf.DUMMYFUNCTION("""COMPUTED_VALUE"""),"LUXE")</f>
        <v>LUXE</v>
      </c>
      <c r="D3842" s="122" t="str">
        <f>IFERROR(__xludf.DUMMYFUNCTION("""COMPUTED_VALUE"""),"Luxury Locker")</f>
        <v>Luxury Locker</v>
      </c>
      <c r="E3842" s="122">
        <f>IFERROR(__xludf.DUMMYFUNCTION("""COMPUTED_VALUE"""),261.85)</f>
        <v>261.85</v>
      </c>
      <c r="F3842" s="122">
        <f>IFERROR(__xludf.DUMMYFUNCTION("""COMPUTED_VALUE"""),0.0064)</f>
        <v>0.0064</v>
      </c>
    </row>
    <row r="3843">
      <c r="A3843" s="131">
        <f>IFERROR(__xludf.DUMMYFUNCTION("""COMPUTED_VALUE"""),46187.456342592595)</f>
        <v>46187.45634</v>
      </c>
      <c r="B3843" s="126">
        <f>IFERROR(__xludf.DUMMYFUNCTION("""COMPUTED_VALUE"""),46187.0)</f>
        <v>46187</v>
      </c>
      <c r="C3843" s="122" t="str">
        <f>IFERROR(__xludf.DUMMYFUNCTION("""COMPUTED_VALUE"""),"DRIP")</f>
        <v>DRIP</v>
      </c>
      <c r="D3843" s="122" t="str">
        <f>IFERROR(__xludf.DUMMYFUNCTION("""COMPUTED_VALUE"""),"Drip Streetwear")</f>
        <v>Drip Streetwear</v>
      </c>
      <c r="E3843" s="122">
        <f>IFERROR(__xludf.DUMMYFUNCTION("""COMPUTED_VALUE"""),195.22)</f>
        <v>195.22</v>
      </c>
      <c r="F3843" s="122">
        <f>IFERROR(__xludf.DUMMYFUNCTION("""COMPUTED_VALUE"""),-0.0106)</f>
        <v>-0.0106</v>
      </c>
    </row>
    <row r="3844">
      <c r="A3844" s="131">
        <f>IFERROR(__xludf.DUMMYFUNCTION("""COMPUTED_VALUE"""),46187.456342592595)</f>
        <v>46187.45634</v>
      </c>
      <c r="B3844" s="126">
        <f>IFERROR(__xludf.DUMMYFUNCTION("""COMPUTED_VALUE"""),46187.0)</f>
        <v>46187</v>
      </c>
      <c r="C3844" s="122" t="str">
        <f>IFERROR(__xludf.DUMMYFUNCTION("""COMPUTED_VALUE"""),"KICK")</f>
        <v>KICK</v>
      </c>
      <c r="D3844" s="122" t="str">
        <f>IFERROR(__xludf.DUMMYFUNCTION("""COMPUTED_VALUE"""),"KickDrop Sneakers")</f>
        <v>KickDrop Sneakers</v>
      </c>
      <c r="E3844" s="122">
        <f>IFERROR(__xludf.DUMMYFUNCTION("""COMPUTED_VALUE"""),173.02)</f>
        <v>173.02</v>
      </c>
      <c r="F3844" s="122">
        <f>IFERROR(__xludf.DUMMYFUNCTION("""COMPUTED_VALUE"""),0.0043)</f>
        <v>0.0043</v>
      </c>
    </row>
    <row r="3845">
      <c r="A3845" s="131">
        <f>IFERROR(__xludf.DUMMYFUNCTION("""COMPUTED_VALUE"""),46187.456342592595)</f>
        <v>46187.45634</v>
      </c>
      <c r="B3845" s="126">
        <f>IFERROR(__xludf.DUMMYFUNCTION("""COMPUTED_VALUE"""),46187.0)</f>
        <v>46187</v>
      </c>
      <c r="C3845" s="122" t="str">
        <f>IFERROR(__xludf.DUMMYFUNCTION("""COMPUTED_VALUE"""),"GLAM")</f>
        <v>GLAM</v>
      </c>
      <c r="D3845" s="122" t="str">
        <f>IFERROR(__xludf.DUMMYFUNCTION("""COMPUTED_VALUE"""),"Glow Cosmetics")</f>
        <v>Glow Cosmetics</v>
      </c>
      <c r="E3845" s="122">
        <f>IFERROR(__xludf.DUMMYFUNCTION("""COMPUTED_VALUE"""),102.03)</f>
        <v>102.03</v>
      </c>
      <c r="F3845" s="122">
        <f>IFERROR(__xludf.DUMMYFUNCTION("""COMPUTED_VALUE"""),0.0062)</f>
        <v>0.0062</v>
      </c>
    </row>
    <row r="3846">
      <c r="A3846" s="131">
        <f>IFERROR(__xludf.DUMMYFUNCTION("""COMPUTED_VALUE"""),46187.456342592595)</f>
        <v>46187.45634</v>
      </c>
      <c r="B3846" s="126">
        <f>IFERROR(__xludf.DUMMYFUNCTION("""COMPUTED_VALUE"""),46187.0)</f>
        <v>46187</v>
      </c>
      <c r="C3846" s="122" t="str">
        <f>IFERROR(__xludf.DUMMYFUNCTION("""COMPUTED_VALUE"""),"BAGG")</f>
        <v>BAGG</v>
      </c>
      <c r="D3846" s="122" t="str">
        <f>IFERROR(__xludf.DUMMYFUNCTION("""COMPUTED_VALUE"""),"BagVault")</f>
        <v>BagVault</v>
      </c>
      <c r="E3846" s="122">
        <f>IFERROR(__xludf.DUMMYFUNCTION("""COMPUTED_VALUE"""),250.65)</f>
        <v>250.65</v>
      </c>
      <c r="F3846" s="122">
        <f>IFERROR(__xludf.DUMMYFUNCTION("""COMPUTED_VALUE"""),0.0067)</f>
        <v>0.0067</v>
      </c>
    </row>
    <row r="3847">
      <c r="A3847" s="131">
        <f>IFERROR(__xludf.DUMMYFUNCTION("""COMPUTED_VALUE"""),46187.456342592595)</f>
        <v>46187.45634</v>
      </c>
      <c r="B3847" s="126">
        <f>IFERROR(__xludf.DUMMYFUNCTION("""COMPUTED_VALUE"""),46187.0)</f>
        <v>46187</v>
      </c>
      <c r="C3847" s="122" t="str">
        <f>IFERROR(__xludf.DUMMYFUNCTION("""COMPUTED_VALUE"""),"FAST")</f>
        <v>FAST</v>
      </c>
      <c r="D3847" s="122" t="str">
        <f>IFERROR(__xludf.DUMMYFUNCTION("""COMPUTED_VALUE"""),"Flash Logistics")</f>
        <v>Flash Logistics</v>
      </c>
      <c r="E3847" s="122">
        <f>IFERROR(__xludf.DUMMYFUNCTION("""COMPUTED_VALUE"""),103.08)</f>
        <v>103.08</v>
      </c>
      <c r="F3847" s="122">
        <f>IFERROR(__xludf.DUMMYFUNCTION("""COMPUTED_VALUE"""),-0.0016)</f>
        <v>-0.0016</v>
      </c>
    </row>
    <row r="3848">
      <c r="A3848" s="131">
        <f>IFERROR(__xludf.DUMMYFUNCTION("""COMPUTED_VALUE"""),46187.456342592595)</f>
        <v>46187.45634</v>
      </c>
      <c r="B3848" s="126">
        <f>IFERROR(__xludf.DUMMYFUNCTION("""COMPUTED_VALUE"""),46187.0)</f>
        <v>46187</v>
      </c>
      <c r="C3848" s="122" t="str">
        <f>IFERROR(__xludf.DUMMYFUNCTION("""COMPUTED_VALUE"""),"SHIP")</f>
        <v>SHIP</v>
      </c>
      <c r="D3848" s="122" t="str">
        <f>IFERROR(__xludf.DUMMYFUNCTION("""COMPUTED_VALUE"""),"Seoul Shipping")</f>
        <v>Seoul Shipping</v>
      </c>
      <c r="E3848" s="122">
        <f>IFERROR(__xludf.DUMMYFUNCTION("""COMPUTED_VALUE"""),121.58)</f>
        <v>121.58</v>
      </c>
      <c r="F3848" s="122">
        <f>IFERROR(__xludf.DUMMYFUNCTION("""COMPUTED_VALUE"""),0.0032)</f>
        <v>0.0032</v>
      </c>
    </row>
    <row r="3849">
      <c r="A3849" s="131">
        <f>IFERROR(__xludf.DUMMYFUNCTION("""COMPUTED_VALUE"""),46187.456342592595)</f>
        <v>46187.45634</v>
      </c>
      <c r="B3849" s="126">
        <f>IFERROR(__xludf.DUMMYFUNCTION("""COMPUTED_VALUE"""),46187.0)</f>
        <v>46187</v>
      </c>
      <c r="C3849" s="122" t="str">
        <f>IFERROR(__xludf.DUMMYFUNCTION("""COMPUTED_VALUE"""),"DRON")</f>
        <v>DRON</v>
      </c>
      <c r="D3849" s="122" t="str">
        <f>IFERROR(__xludf.DUMMYFUNCTION("""COMPUTED_VALUE"""),"DroneDrop")</f>
        <v>DroneDrop</v>
      </c>
      <c r="E3849" s="122">
        <f>IFERROR(__xludf.DUMMYFUNCTION("""COMPUTED_VALUE"""),130.24)</f>
        <v>130.24</v>
      </c>
      <c r="F3849" s="122">
        <f>IFERROR(__xludf.DUMMYFUNCTION("""COMPUTED_VALUE"""),-0.0072)</f>
        <v>-0.0072</v>
      </c>
    </row>
    <row r="3850">
      <c r="A3850" s="131">
        <f>IFERROR(__xludf.DUMMYFUNCTION("""COMPUTED_VALUE"""),46187.456342592595)</f>
        <v>46187.45634</v>
      </c>
      <c r="B3850" s="126">
        <f>IFERROR(__xludf.DUMMYFUNCTION("""COMPUTED_VALUE"""),46187.0)</f>
        <v>46187</v>
      </c>
      <c r="C3850" s="122" t="str">
        <f>IFERROR(__xludf.DUMMYFUNCTION("""COMPUTED_VALUE"""),"RIDE")</f>
        <v>RIDE</v>
      </c>
      <c r="D3850" s="122" t="str">
        <f>IFERROR(__xludf.DUMMYFUNCTION("""COMPUTED_VALUE"""),"QuickRide")</f>
        <v>QuickRide</v>
      </c>
      <c r="E3850" s="122">
        <f>IFERROR(__xludf.DUMMYFUNCTION("""COMPUTED_VALUE"""),95.0)</f>
        <v>95</v>
      </c>
      <c r="F3850" s="122">
        <f>IFERROR(__xludf.DUMMYFUNCTION("""COMPUTED_VALUE"""),0.0085)</f>
        <v>0.0085</v>
      </c>
    </row>
    <row r="3851">
      <c r="A3851" s="131">
        <f>IFERROR(__xludf.DUMMYFUNCTION("""COMPUTED_VALUE"""),46187.456342592595)</f>
        <v>46187.45634</v>
      </c>
      <c r="B3851" s="126">
        <f>IFERROR(__xludf.DUMMYFUNCTION("""COMPUTED_VALUE"""),46187.0)</f>
        <v>46187</v>
      </c>
      <c r="C3851" s="122" t="str">
        <f>IFERROR(__xludf.DUMMYFUNCTION("""COMPUTED_VALUE"""),"RAIL")</f>
        <v>RAIL</v>
      </c>
      <c r="D3851" s="122" t="str">
        <f>IFERROR(__xludf.DUMMYFUNCTION("""COMPUTED_VALUE"""),"MetroRail Corp")</f>
        <v>MetroRail Corp</v>
      </c>
      <c r="E3851" s="122">
        <f>IFERROR(__xludf.DUMMYFUNCTION("""COMPUTED_VALUE"""),134.97)</f>
        <v>134.97</v>
      </c>
      <c r="F3851" s="122">
        <f>IFERROR(__xludf.DUMMYFUNCTION("""COMPUTED_VALUE"""),-0.0017)</f>
        <v>-0.0017</v>
      </c>
    </row>
    <row r="3852">
      <c r="A3852" s="131">
        <f>IFERROR(__xludf.DUMMYFUNCTION("""COMPUTED_VALUE"""),46187.456342592595)</f>
        <v>46187.45634</v>
      </c>
      <c r="B3852" s="126">
        <f>IFERROR(__xludf.DUMMYFUNCTION("""COMPUTED_VALUE"""),46187.0)</f>
        <v>46187</v>
      </c>
      <c r="C3852" s="122" t="str">
        <f>IFERROR(__xludf.DUMMYFUNCTION("""COMPUTED_VALUE"""),"MEDX")</f>
        <v>MEDX</v>
      </c>
      <c r="D3852" s="122" t="str">
        <f>IFERROR(__xludf.DUMMYFUNCTION("""COMPUTED_VALUE"""),"MediCore")</f>
        <v>MediCore</v>
      </c>
      <c r="E3852" s="122">
        <f>IFERROR(__xludf.DUMMYFUNCTION("""COMPUTED_VALUE"""),138.37)</f>
        <v>138.37</v>
      </c>
      <c r="F3852" s="122">
        <f>IFERROR(__xludf.DUMMYFUNCTION("""COMPUTED_VALUE"""),0.0029)</f>
        <v>0.0029</v>
      </c>
    </row>
    <row r="3853">
      <c r="A3853" s="131">
        <f>IFERROR(__xludf.DUMMYFUNCTION("""COMPUTED_VALUE"""),46187.456342592595)</f>
        <v>46187.45634</v>
      </c>
      <c r="B3853" s="126">
        <f>IFERROR(__xludf.DUMMYFUNCTION("""COMPUTED_VALUE"""),46187.0)</f>
        <v>46187</v>
      </c>
      <c r="C3853" s="122" t="str">
        <f>IFERROR(__xludf.DUMMYFUNCTION("""COMPUTED_VALUE"""),"GYMX")</f>
        <v>GYMX</v>
      </c>
      <c r="D3853" s="122" t="str">
        <f>IFERROR(__xludf.DUMMYFUNCTION("""COMPUTED_VALUE"""),"GymX Fitness")</f>
        <v>GymX Fitness</v>
      </c>
      <c r="E3853" s="122">
        <f>IFERROR(__xludf.DUMMYFUNCTION("""COMPUTED_VALUE"""),85.95)</f>
        <v>85.95</v>
      </c>
      <c r="F3853" s="122">
        <f>IFERROR(__xludf.DUMMYFUNCTION("""COMPUTED_VALUE"""),0.0048)</f>
        <v>0.0048</v>
      </c>
    </row>
    <row r="3854">
      <c r="A3854" s="131">
        <f>IFERROR(__xludf.DUMMYFUNCTION("""COMPUTED_VALUE"""),46187.456342592595)</f>
        <v>46187.45634</v>
      </c>
      <c r="B3854" s="126">
        <f>IFERROR(__xludf.DUMMYFUNCTION("""COMPUTED_VALUE"""),46187.0)</f>
        <v>46187</v>
      </c>
      <c r="C3854" s="122" t="str">
        <f>IFERROR(__xludf.DUMMYFUNCTION("""COMPUTED_VALUE"""),"VITA")</f>
        <v>VITA</v>
      </c>
      <c r="D3854" s="122" t="str">
        <f>IFERROR(__xludf.DUMMYFUNCTION("""COMPUTED_VALUE"""),"VitaPlus")</f>
        <v>VitaPlus</v>
      </c>
      <c r="E3854" s="122">
        <f>IFERROR(__xludf.DUMMYFUNCTION("""COMPUTED_VALUE"""),74.35)</f>
        <v>74.35</v>
      </c>
      <c r="F3854" s="122">
        <f>IFERROR(__xludf.DUMMYFUNCTION("""COMPUTED_VALUE"""),-0.0011)</f>
        <v>-0.0011</v>
      </c>
    </row>
    <row r="3855">
      <c r="A3855" s="131">
        <f>IFERROR(__xludf.DUMMYFUNCTION("""COMPUTED_VALUE"""),46187.456342592595)</f>
        <v>46187.45634</v>
      </c>
      <c r="B3855" s="126">
        <f>IFERROR(__xludf.DUMMYFUNCTION("""COMPUTED_VALUE"""),46187.0)</f>
        <v>46187</v>
      </c>
      <c r="C3855" s="122" t="str">
        <f>IFERROR(__xludf.DUMMYFUNCTION("""COMPUTED_VALUE"""),"CARE")</f>
        <v>CARE</v>
      </c>
      <c r="D3855" s="122" t="str">
        <f>IFERROR(__xludf.DUMMYFUNCTION("""COMPUTED_VALUE"""),"CareCloud")</f>
        <v>CareCloud</v>
      </c>
      <c r="E3855" s="122">
        <f>IFERROR(__xludf.DUMMYFUNCTION("""COMPUTED_VALUE"""),176.93)</f>
        <v>176.93</v>
      </c>
      <c r="F3855" s="122">
        <f>IFERROR(__xludf.DUMMYFUNCTION("""COMPUTED_VALUE"""),-0.0012)</f>
        <v>-0.0012</v>
      </c>
    </row>
    <row r="3856">
      <c r="A3856" s="131">
        <f>IFERROR(__xludf.DUMMYFUNCTION("""COMPUTED_VALUE"""),46187.456342592595)</f>
        <v>46187.45634</v>
      </c>
      <c r="B3856" s="126">
        <f>IFERROR(__xludf.DUMMYFUNCTION("""COMPUTED_VALUE"""),46187.0)</f>
        <v>46187</v>
      </c>
      <c r="C3856" s="122" t="str">
        <f>IFERROR(__xludf.DUMMYFUNCTION("""COMPUTED_VALUE"""),"DENT")</f>
        <v>DENT</v>
      </c>
      <c r="D3856" s="122" t="str">
        <f>IFERROR(__xludf.DUMMYFUNCTION("""COMPUTED_VALUE"""),"SmileWorks")</f>
        <v>SmileWorks</v>
      </c>
      <c r="E3856" s="122">
        <f>IFERROR(__xludf.DUMMYFUNCTION("""COMPUTED_VALUE"""),85.55)</f>
        <v>85.55</v>
      </c>
      <c r="F3856" s="122">
        <f>IFERROR(__xludf.DUMMYFUNCTION("""COMPUTED_VALUE"""),0.0047)</f>
        <v>0.0047</v>
      </c>
    </row>
    <row r="3857">
      <c r="A3857" s="131">
        <f>IFERROR(__xludf.DUMMYFUNCTION("""COMPUTED_VALUE"""),46187.456342592595)</f>
        <v>46187.45634</v>
      </c>
      <c r="B3857" s="126">
        <f>IFERROR(__xludf.DUMMYFUNCTION("""COMPUTED_VALUE"""),46187.0)</f>
        <v>46187</v>
      </c>
      <c r="C3857" s="122" t="str">
        <f>IFERROR(__xludf.DUMMYFUNCTION("""COMPUTED_VALUE"""),"EDUX")</f>
        <v>EDUX</v>
      </c>
      <c r="D3857" s="122" t="str">
        <f>IFERROR(__xludf.DUMMYFUNCTION("""COMPUTED_VALUE"""),"EduMax Learning")</f>
        <v>EduMax Learning</v>
      </c>
      <c r="E3857" s="122">
        <f>IFERROR(__xludf.DUMMYFUNCTION("""COMPUTED_VALUE"""),135.69)</f>
        <v>135.69</v>
      </c>
      <c r="F3857" s="122">
        <f>IFERROR(__xludf.DUMMYFUNCTION("""COMPUTED_VALUE"""),-0.0035)</f>
        <v>-0.0035</v>
      </c>
    </row>
    <row r="3858">
      <c r="A3858" s="131">
        <f>IFERROR(__xludf.DUMMYFUNCTION("""COMPUTED_VALUE"""),46187.456342592595)</f>
        <v>46187.45634</v>
      </c>
      <c r="B3858" s="126">
        <f>IFERROR(__xludf.DUMMYFUNCTION("""COMPUTED_VALUE"""),46187.0)</f>
        <v>46187</v>
      </c>
      <c r="C3858" s="122" t="str">
        <f>IFERROR(__xludf.DUMMYFUNCTION("""COMPUTED_VALUE"""),"BOOK")</f>
        <v>BOOK</v>
      </c>
      <c r="D3858" s="122" t="str">
        <f>IFERROR(__xludf.DUMMYFUNCTION("""COMPUTED_VALUE"""),"BookBridge")</f>
        <v>BookBridge</v>
      </c>
      <c r="E3858" s="122">
        <f>IFERROR(__xludf.DUMMYFUNCTION("""COMPUTED_VALUE"""),116.43)</f>
        <v>116.43</v>
      </c>
      <c r="F3858" s="122">
        <f>IFERROR(__xludf.DUMMYFUNCTION("""COMPUTED_VALUE"""),0.0034)</f>
        <v>0.0034</v>
      </c>
    </row>
    <row r="3859">
      <c r="A3859" s="131">
        <f>IFERROR(__xludf.DUMMYFUNCTION("""COMPUTED_VALUE"""),46187.456342592595)</f>
        <v>46187.45634</v>
      </c>
      <c r="B3859" s="126">
        <f>IFERROR(__xludf.DUMMYFUNCTION("""COMPUTED_VALUE"""),46187.0)</f>
        <v>46187</v>
      </c>
      <c r="C3859" s="122" t="str">
        <f>IFERROR(__xludf.DUMMYFUNCTION("""COMPUTED_VALUE"""),"TUTR")</f>
        <v>TUTR</v>
      </c>
      <c r="D3859" s="122" t="str">
        <f>IFERROR(__xludf.DUMMYFUNCTION("""COMPUTED_VALUE"""),"TutorTown")</f>
        <v>TutorTown</v>
      </c>
      <c r="E3859" s="122">
        <f>IFERROR(__xludf.DUMMYFUNCTION("""COMPUTED_VALUE"""),89.53)</f>
        <v>89.53</v>
      </c>
      <c r="F3859" s="122">
        <f>IFERROR(__xludf.DUMMYFUNCTION("""COMPUTED_VALUE"""),0.0047)</f>
        <v>0.0047</v>
      </c>
    </row>
    <row r="3860">
      <c r="A3860" s="131">
        <f>IFERROR(__xludf.DUMMYFUNCTION("""COMPUTED_VALUE"""),46187.456342592595)</f>
        <v>46187.45634</v>
      </c>
      <c r="B3860" s="126">
        <f>IFERROR(__xludf.DUMMYFUNCTION("""COMPUTED_VALUE"""),46187.0)</f>
        <v>46187</v>
      </c>
      <c r="C3860" s="122" t="str">
        <f>IFERROR(__xludf.DUMMYFUNCTION("""COMPUTED_VALUE"""),"LANG")</f>
        <v>LANG</v>
      </c>
      <c r="D3860" s="122" t="str">
        <f>IFERROR(__xludf.DUMMYFUNCTION("""COMPUTED_VALUE"""),"LinguaLab")</f>
        <v>LinguaLab</v>
      </c>
      <c r="E3860" s="122">
        <f>IFERROR(__xludf.DUMMYFUNCTION("""COMPUTED_VALUE"""),97.7)</f>
        <v>97.7</v>
      </c>
      <c r="F3860" s="122">
        <f>IFERROR(__xludf.DUMMYFUNCTION("""COMPUTED_VALUE"""),-0.0029)</f>
        <v>-0.0029</v>
      </c>
    </row>
    <row r="3861">
      <c r="A3861" s="131">
        <f>IFERROR(__xludf.DUMMYFUNCTION("""COMPUTED_VALUE"""),46187.456342592595)</f>
        <v>46187.45634</v>
      </c>
      <c r="B3861" s="126">
        <f>IFERROR(__xludf.DUMMYFUNCTION("""COMPUTED_VALUE"""),46187.0)</f>
        <v>46187</v>
      </c>
      <c r="C3861" s="122" t="str">
        <f>IFERROR(__xludf.DUMMYFUNCTION("""COMPUTED_VALUE"""),"TEST")</f>
        <v>TEST</v>
      </c>
      <c r="D3861" s="122" t="str">
        <f>IFERROR(__xludf.DUMMYFUNCTION("""COMPUTED_VALUE"""),"TestPrep Pro")</f>
        <v>TestPrep Pro</v>
      </c>
      <c r="E3861" s="122">
        <f>IFERROR(__xludf.DUMMYFUNCTION("""COMPUTED_VALUE"""),97.63)</f>
        <v>97.63</v>
      </c>
      <c r="F3861" s="122">
        <f>IFERROR(__xludf.DUMMYFUNCTION("""COMPUTED_VALUE"""),-0.0096)</f>
        <v>-0.0096</v>
      </c>
    </row>
    <row r="3862">
      <c r="A3862" s="131">
        <f>IFERROR(__xludf.DUMMYFUNCTION("""COMPUTED_VALUE"""),46187.456342592595)</f>
        <v>46187.45634</v>
      </c>
      <c r="B3862" s="126">
        <f>IFERROR(__xludf.DUMMYFUNCTION("""COMPUTED_VALUE"""),46187.0)</f>
        <v>46187</v>
      </c>
      <c r="C3862" s="122" t="str">
        <f>IFERROR(__xludf.DUMMYFUNCTION("""COMPUTED_VALUE"""),"MOVI")</f>
        <v>MOVI</v>
      </c>
      <c r="D3862" s="122" t="str">
        <f>IFERROR(__xludf.DUMMYFUNCTION("""COMPUTED_VALUE"""),"MovieBox")</f>
        <v>MovieBox</v>
      </c>
      <c r="E3862" s="122">
        <f>IFERROR(__xludf.DUMMYFUNCTION("""COMPUTED_VALUE"""),82.37)</f>
        <v>82.37</v>
      </c>
      <c r="F3862" s="122">
        <f>IFERROR(__xludf.DUMMYFUNCTION("""COMPUTED_VALUE"""),-0.0053)</f>
        <v>-0.0053</v>
      </c>
    </row>
    <row r="3863">
      <c r="A3863" s="131">
        <f>IFERROR(__xludf.DUMMYFUNCTION("""COMPUTED_VALUE"""),46187.456342592595)</f>
        <v>46187.45634</v>
      </c>
      <c r="B3863" s="126">
        <f>IFERROR(__xludf.DUMMYFUNCTION("""COMPUTED_VALUE"""),46187.0)</f>
        <v>46187</v>
      </c>
      <c r="C3863" s="122" t="str">
        <f>IFERROR(__xludf.DUMMYFUNCTION("""COMPUTED_VALUE"""),"MUSC")</f>
        <v>MUSC</v>
      </c>
      <c r="D3863" s="122" t="str">
        <f>IFERROR(__xludf.DUMMYFUNCTION("""COMPUTED_VALUE"""),"MusicWave")</f>
        <v>MusicWave</v>
      </c>
      <c r="E3863" s="122">
        <f>IFERROR(__xludf.DUMMYFUNCTION("""COMPUTED_VALUE"""),97.34)</f>
        <v>97.34</v>
      </c>
      <c r="F3863" s="122">
        <f>IFERROR(__xludf.DUMMYFUNCTION("""COMPUTED_VALUE"""),-0.0026)</f>
        <v>-0.0026</v>
      </c>
    </row>
    <row r="3864">
      <c r="A3864" s="131">
        <f>IFERROR(__xludf.DUMMYFUNCTION("""COMPUTED_VALUE"""),46187.456342592595)</f>
        <v>46187.45634</v>
      </c>
      <c r="B3864" s="126">
        <f>IFERROR(__xludf.DUMMYFUNCTION("""COMPUTED_VALUE"""),46187.0)</f>
        <v>46187</v>
      </c>
      <c r="C3864" s="122" t="str">
        <f>IFERROR(__xludf.DUMMYFUNCTION("""COMPUTED_VALUE"""),"IDOL")</f>
        <v>IDOL</v>
      </c>
      <c r="D3864" s="122" t="str">
        <f>IFERROR(__xludf.DUMMYFUNCTION("""COMPUTED_VALUE"""),"Idol Agency")</f>
        <v>Idol Agency</v>
      </c>
      <c r="E3864" s="122">
        <f>IFERROR(__xludf.DUMMYFUNCTION("""COMPUTED_VALUE"""),198.17)</f>
        <v>198.17</v>
      </c>
      <c r="F3864" s="122">
        <f>IFERROR(__xludf.DUMMYFUNCTION("""COMPUTED_VALUE"""),0.0086)</f>
        <v>0.0086</v>
      </c>
    </row>
    <row r="3865">
      <c r="A3865" s="131">
        <f>IFERROR(__xludf.DUMMYFUNCTION("""COMPUTED_VALUE"""),46187.456342592595)</f>
        <v>46187.45634</v>
      </c>
      <c r="B3865" s="126">
        <f>IFERROR(__xludf.DUMMYFUNCTION("""COMPUTED_VALUE"""),46187.0)</f>
        <v>46187</v>
      </c>
      <c r="C3865" s="122" t="str">
        <f>IFERROR(__xludf.DUMMYFUNCTION("""COMPUTED_VALUE"""),"MEME")</f>
        <v>MEME</v>
      </c>
      <c r="D3865" s="122" t="str">
        <f>IFERROR(__xludf.DUMMYFUNCTION("""COMPUTED_VALUE"""),"Meme Media")</f>
        <v>Meme Media</v>
      </c>
      <c r="E3865" s="122">
        <f>IFERROR(__xludf.DUMMYFUNCTION("""COMPUTED_VALUE"""),74.68)</f>
        <v>74.68</v>
      </c>
      <c r="F3865" s="122">
        <f>IFERROR(__xludf.DUMMYFUNCTION("""COMPUTED_VALUE"""),0.0148)</f>
        <v>0.0148</v>
      </c>
    </row>
    <row r="3866">
      <c r="A3866" s="131">
        <f>IFERROR(__xludf.DUMMYFUNCTION("""COMPUTED_VALUE"""),46187.456342592595)</f>
        <v>46187.45634</v>
      </c>
      <c r="B3866" s="126">
        <f>IFERROR(__xludf.DUMMYFUNCTION("""COMPUTED_VALUE"""),46187.0)</f>
        <v>46187</v>
      </c>
      <c r="C3866" s="122" t="str">
        <f>IFERROR(__xludf.DUMMYFUNCTION("""COMPUTED_VALUE"""),"STRM")</f>
        <v>STRM</v>
      </c>
      <c r="D3866" s="122" t="str">
        <f>IFERROR(__xludf.DUMMYFUNCTION("""COMPUTED_VALUE"""),"Streamly")</f>
        <v>Streamly</v>
      </c>
      <c r="E3866" s="122">
        <f>IFERROR(__xludf.DUMMYFUNCTION("""COMPUTED_VALUE"""),138.53)</f>
        <v>138.53</v>
      </c>
      <c r="F3866" s="122">
        <f>IFERROR(__xludf.DUMMYFUNCTION("""COMPUTED_VALUE"""),-0.0041)</f>
        <v>-0.0041</v>
      </c>
    </row>
    <row r="3867">
      <c r="A3867" s="131">
        <f>IFERROR(__xludf.DUMMYFUNCTION("""COMPUTED_VALUE"""),46187.456342592595)</f>
        <v>46187.45634</v>
      </c>
      <c r="B3867" s="126">
        <f>IFERROR(__xludf.DUMMYFUNCTION("""COMPUTED_VALUE"""),46187.0)</f>
        <v>46187</v>
      </c>
      <c r="C3867" s="122" t="str">
        <f>IFERROR(__xludf.DUMMYFUNCTION("""COMPUTED_VALUE"""),"FARM")</f>
        <v>FARM</v>
      </c>
      <c r="D3867" s="122" t="str">
        <f>IFERROR(__xludf.DUMMYFUNCTION("""COMPUTED_VALUE"""),"Future Farms")</f>
        <v>Future Farms</v>
      </c>
      <c r="E3867" s="122">
        <f>IFERROR(__xludf.DUMMYFUNCTION("""COMPUTED_VALUE"""),85.82)</f>
        <v>85.82</v>
      </c>
      <c r="F3867" s="122">
        <f>IFERROR(__xludf.DUMMYFUNCTION("""COMPUTED_VALUE"""),0.0061)</f>
        <v>0.0061</v>
      </c>
    </row>
    <row r="3868">
      <c r="A3868" s="131">
        <f>IFERROR(__xludf.DUMMYFUNCTION("""COMPUTED_VALUE"""),46187.456342592595)</f>
        <v>46187.45634</v>
      </c>
      <c r="B3868" s="126">
        <f>IFERROR(__xludf.DUMMYFUNCTION("""COMPUTED_VALUE"""),46187.0)</f>
        <v>46187</v>
      </c>
      <c r="C3868" s="122" t="str">
        <f>IFERROR(__xludf.DUMMYFUNCTION("""COMPUTED_VALUE"""),"MEAT")</f>
        <v>MEAT</v>
      </c>
      <c r="D3868" s="122" t="str">
        <f>IFERROR(__xludf.DUMMYFUNCTION("""COMPUTED_VALUE"""),"MeatWorks")</f>
        <v>MeatWorks</v>
      </c>
      <c r="E3868" s="122">
        <f>IFERROR(__xludf.DUMMYFUNCTION("""COMPUTED_VALUE"""),104.68)</f>
        <v>104.68</v>
      </c>
      <c r="F3868" s="122">
        <f>IFERROR(__xludf.DUMMYFUNCTION("""COMPUTED_VALUE"""),-8.0E-4)</f>
        <v>-0.0008</v>
      </c>
    </row>
    <row r="3869">
      <c r="A3869" s="131">
        <f>IFERROR(__xludf.DUMMYFUNCTION("""COMPUTED_VALUE"""),46187.456342592595)</f>
        <v>46187.45634</v>
      </c>
      <c r="B3869" s="126">
        <f>IFERROR(__xludf.DUMMYFUNCTION("""COMPUTED_VALUE"""),46187.0)</f>
        <v>46187</v>
      </c>
      <c r="C3869" s="122" t="str">
        <f>IFERROR(__xludf.DUMMYFUNCTION("""COMPUTED_VALUE"""),"VEGI")</f>
        <v>VEGI</v>
      </c>
      <c r="D3869" s="122" t="str">
        <f>IFERROR(__xludf.DUMMYFUNCTION("""COMPUTED_VALUE"""),"Green Basket")</f>
        <v>Green Basket</v>
      </c>
      <c r="E3869" s="122">
        <f>IFERROR(__xludf.DUMMYFUNCTION("""COMPUTED_VALUE"""),81.11)</f>
        <v>81.11</v>
      </c>
      <c r="F3869" s="122">
        <f>IFERROR(__xludf.DUMMYFUNCTION("""COMPUTED_VALUE"""),-0.0039)</f>
        <v>-0.0039</v>
      </c>
    </row>
    <row r="3870">
      <c r="A3870" s="131">
        <f>IFERROR(__xludf.DUMMYFUNCTION("""COMPUTED_VALUE"""),46187.456342592595)</f>
        <v>46187.45634</v>
      </c>
      <c r="B3870" s="126">
        <f>IFERROR(__xludf.DUMMYFUNCTION("""COMPUTED_VALUE"""),46187.0)</f>
        <v>46187</v>
      </c>
      <c r="C3870" s="122" t="str">
        <f>IFERROR(__xludf.DUMMYFUNCTION("""COMPUTED_VALUE"""),"CAFE")</f>
        <v>CAFE</v>
      </c>
      <c r="D3870" s="122" t="str">
        <f>IFERROR(__xludf.DUMMYFUNCTION("""COMPUTED_VALUE"""),"Cafe Cloud")</f>
        <v>Cafe Cloud</v>
      </c>
      <c r="E3870" s="122">
        <f>IFERROR(__xludf.DUMMYFUNCTION("""COMPUTED_VALUE"""),101.7)</f>
        <v>101.7</v>
      </c>
      <c r="F3870" s="122">
        <f>IFERROR(__xludf.DUMMYFUNCTION("""COMPUTED_VALUE"""),0.0023)</f>
        <v>0.0023</v>
      </c>
    </row>
    <row r="3871">
      <c r="A3871" s="131">
        <f>IFERROR(__xludf.DUMMYFUNCTION("""COMPUTED_VALUE"""),46187.456342592595)</f>
        <v>46187.45634</v>
      </c>
      <c r="B3871" s="126">
        <f>IFERROR(__xludf.DUMMYFUNCTION("""COMPUTED_VALUE"""),46187.0)</f>
        <v>46187</v>
      </c>
      <c r="C3871" s="122" t="str">
        <f>IFERROR(__xludf.DUMMYFUNCTION("""COMPUTED_VALUE"""),"BAKE")</f>
        <v>BAKE</v>
      </c>
      <c r="D3871" s="122" t="str">
        <f>IFERROR(__xludf.DUMMYFUNCTION("""COMPUTED_VALUE"""),"BakeHouse")</f>
        <v>BakeHouse</v>
      </c>
      <c r="E3871" s="122">
        <f>IFERROR(__xludf.DUMMYFUNCTION("""COMPUTED_VALUE"""),100.12)</f>
        <v>100.12</v>
      </c>
      <c r="F3871" s="122">
        <f>IFERROR(__xludf.DUMMYFUNCTION("""COMPUTED_VALUE"""),-0.0032)</f>
        <v>-0.0032</v>
      </c>
    </row>
    <row r="3872">
      <c r="A3872" s="131">
        <f>IFERROR(__xludf.DUMMYFUNCTION("""COMPUTED_VALUE"""),46187.456342592595)</f>
        <v>46187.45634</v>
      </c>
      <c r="B3872" s="126">
        <f>IFERROR(__xludf.DUMMYFUNCTION("""COMPUTED_VALUE"""),46187.0)</f>
        <v>46187</v>
      </c>
      <c r="C3872" s="122" t="str">
        <f>IFERROR(__xludf.DUMMYFUNCTION("""COMPUTED_VALUE"""),"OILX")</f>
        <v>OILX</v>
      </c>
      <c r="D3872" s="122" t="str">
        <f>IFERROR(__xludf.DUMMYFUNCTION("""COMPUTED_VALUE"""),"OilMax Energy")</f>
        <v>OilMax Energy</v>
      </c>
      <c r="E3872" s="122">
        <f>IFERROR(__xludf.DUMMYFUNCTION("""COMPUTED_VALUE"""),129.98)</f>
        <v>129.98</v>
      </c>
      <c r="F3872" s="122">
        <f>IFERROR(__xludf.DUMMYFUNCTION("""COMPUTED_VALUE"""),6.0E-4)</f>
        <v>0.0006</v>
      </c>
    </row>
    <row r="3873">
      <c r="A3873" s="131">
        <f>IFERROR(__xludf.DUMMYFUNCTION("""COMPUTED_VALUE"""),46187.456342592595)</f>
        <v>46187.45634</v>
      </c>
      <c r="B3873" s="126">
        <f>IFERROR(__xludf.DUMMYFUNCTION("""COMPUTED_VALUE"""),46187.0)</f>
        <v>46187</v>
      </c>
      <c r="C3873" s="122" t="str">
        <f>IFERROR(__xludf.DUMMYFUNCTION("""COMPUTED_VALUE"""),"SOLR")</f>
        <v>SOLR</v>
      </c>
      <c r="D3873" s="122" t="str">
        <f>IFERROR(__xludf.DUMMYFUNCTION("""COMPUTED_VALUE"""),"SolarSpark")</f>
        <v>SolarSpark</v>
      </c>
      <c r="E3873" s="122">
        <f>IFERROR(__xludf.DUMMYFUNCTION("""COMPUTED_VALUE"""),91.51)</f>
        <v>91.51</v>
      </c>
      <c r="F3873" s="122">
        <f>IFERROR(__xludf.DUMMYFUNCTION("""COMPUTED_VALUE"""),0.0087)</f>
        <v>0.0087</v>
      </c>
    </row>
    <row r="3874">
      <c r="A3874" s="131">
        <f>IFERROR(__xludf.DUMMYFUNCTION("""COMPUTED_VALUE"""),46187.456342592595)</f>
        <v>46187.45634</v>
      </c>
      <c r="B3874" s="126">
        <f>IFERROR(__xludf.DUMMYFUNCTION("""COMPUTED_VALUE"""),46187.0)</f>
        <v>46187</v>
      </c>
      <c r="C3874" s="122" t="str">
        <f>IFERROR(__xludf.DUMMYFUNCTION("""COMPUTED_VALUE"""),"BATT")</f>
        <v>BATT</v>
      </c>
      <c r="D3874" s="122" t="str">
        <f>IFERROR(__xludf.DUMMYFUNCTION("""COMPUTED_VALUE"""),"BatteryBox")</f>
        <v>BatteryBox</v>
      </c>
      <c r="E3874" s="122">
        <f>IFERROR(__xludf.DUMMYFUNCTION("""COMPUTED_VALUE"""),121.39)</f>
        <v>121.39</v>
      </c>
      <c r="F3874" s="122">
        <f>IFERROR(__xludf.DUMMYFUNCTION("""COMPUTED_VALUE"""),-8.0E-4)</f>
        <v>-0.0008</v>
      </c>
    </row>
    <row r="3875">
      <c r="A3875" s="131">
        <f>IFERROR(__xludf.DUMMYFUNCTION("""COMPUTED_VALUE"""),46187.456342592595)</f>
        <v>46187.45634</v>
      </c>
      <c r="B3875" s="126">
        <f>IFERROR(__xludf.DUMMYFUNCTION("""COMPUTED_VALUE"""),46187.0)</f>
        <v>46187</v>
      </c>
      <c r="C3875" s="122" t="str">
        <f>IFERROR(__xludf.DUMMYFUNCTION("""COMPUTED_VALUE"""),"WIND")</f>
        <v>WIND</v>
      </c>
      <c r="D3875" s="122" t="str">
        <f>IFERROR(__xludf.DUMMYFUNCTION("""COMPUTED_VALUE"""),"WindWorks")</f>
        <v>WindWorks</v>
      </c>
      <c r="E3875" s="122">
        <f>IFERROR(__xludf.DUMMYFUNCTION("""COMPUTED_VALUE"""),88.61)</f>
        <v>88.61</v>
      </c>
      <c r="F3875" s="122">
        <f>IFERROR(__xludf.DUMMYFUNCTION("""COMPUTED_VALUE"""),-0.0046)</f>
        <v>-0.0046</v>
      </c>
    </row>
    <row r="3876">
      <c r="A3876" s="131">
        <f>IFERROR(__xludf.DUMMYFUNCTION("""COMPUTED_VALUE"""),46187.456342592595)</f>
        <v>46187.45634</v>
      </c>
      <c r="B3876" s="126">
        <f>IFERROR(__xludf.DUMMYFUNCTION("""COMPUTED_VALUE"""),46187.0)</f>
        <v>46187</v>
      </c>
      <c r="C3876" s="122" t="str">
        <f>IFERROR(__xludf.DUMMYFUNCTION("""COMPUTED_VALUE"""),"GRID")</f>
        <v>GRID</v>
      </c>
      <c r="D3876" s="122" t="str">
        <f>IFERROR(__xludf.DUMMYFUNCTION("""COMPUTED_VALUE"""),"GridPower")</f>
        <v>GridPower</v>
      </c>
      <c r="E3876" s="122">
        <f>IFERROR(__xludf.DUMMYFUNCTION("""COMPUTED_VALUE"""),139.79)</f>
        <v>139.79</v>
      </c>
      <c r="F3876" s="122">
        <f>IFERROR(__xludf.DUMMYFUNCTION("""COMPUTED_VALUE"""),0.0029)</f>
        <v>0.0029</v>
      </c>
    </row>
    <row r="3877">
      <c r="A3877" s="131">
        <f>IFERROR(__xludf.DUMMYFUNCTION("""COMPUTED_VALUE"""),46187.456342592595)</f>
        <v>46187.45634</v>
      </c>
      <c r="B3877" s="126">
        <f>IFERROR(__xludf.DUMMYFUNCTION("""COMPUTED_VALUE"""),46187.0)</f>
        <v>46187</v>
      </c>
      <c r="C3877" s="122" t="str">
        <f>IFERROR(__xludf.DUMMYFUNCTION("""COMPUTED_VALUE"""),"HOME")</f>
        <v>HOME</v>
      </c>
      <c r="D3877" s="122" t="str">
        <f>IFERROR(__xludf.DUMMYFUNCTION("""COMPUTED_VALUE"""),"HomeHub")</f>
        <v>HomeHub</v>
      </c>
      <c r="E3877" s="122">
        <f>IFERROR(__xludf.DUMMYFUNCTION("""COMPUTED_VALUE"""),151.19)</f>
        <v>151.19</v>
      </c>
      <c r="F3877" s="122">
        <f>IFERROR(__xludf.DUMMYFUNCTION("""COMPUTED_VALUE"""),-0.0026)</f>
        <v>-0.0026</v>
      </c>
    </row>
    <row r="3878">
      <c r="A3878" s="131">
        <f>IFERROR(__xludf.DUMMYFUNCTION("""COMPUTED_VALUE"""),46187.456342592595)</f>
        <v>46187.45634</v>
      </c>
      <c r="B3878" s="126">
        <f>IFERROR(__xludf.DUMMYFUNCTION("""COMPUTED_VALUE"""),46187.0)</f>
        <v>46187</v>
      </c>
      <c r="C3878" s="122" t="str">
        <f>IFERROR(__xludf.DUMMYFUNCTION("""COMPUTED_VALUE"""),"RENT")</f>
        <v>RENT</v>
      </c>
      <c r="D3878" s="122" t="str">
        <f>IFERROR(__xludf.DUMMYFUNCTION("""COMPUTED_VALUE"""),"RentRight")</f>
        <v>RentRight</v>
      </c>
      <c r="E3878" s="122">
        <f>IFERROR(__xludf.DUMMYFUNCTION("""COMPUTED_VALUE"""),92.49)</f>
        <v>92.49</v>
      </c>
      <c r="F3878" s="122">
        <f>IFERROR(__xludf.DUMMYFUNCTION("""COMPUTED_VALUE"""),-0.0016)</f>
        <v>-0.0016</v>
      </c>
    </row>
    <row r="3879">
      <c r="A3879" s="131">
        <f>IFERROR(__xludf.DUMMYFUNCTION("""COMPUTED_VALUE"""),46187.456342592595)</f>
        <v>46187.45634</v>
      </c>
      <c r="B3879" s="126">
        <f>IFERROR(__xludf.DUMMYFUNCTION("""COMPUTED_VALUE"""),46187.0)</f>
        <v>46187</v>
      </c>
      <c r="C3879" s="122" t="str">
        <f>IFERROR(__xludf.DUMMYFUNCTION("""COMPUTED_VALUE"""),"MALL")</f>
        <v>MALL</v>
      </c>
      <c r="D3879" s="122" t="str">
        <f>IFERROR(__xludf.DUMMYFUNCTION("""COMPUTED_VALUE"""),"MegaMall")</f>
        <v>MegaMall</v>
      </c>
      <c r="E3879" s="122">
        <f>IFERROR(__xludf.DUMMYFUNCTION("""COMPUTED_VALUE"""),102.0)</f>
        <v>102</v>
      </c>
      <c r="F3879" s="122">
        <f>IFERROR(__xludf.DUMMYFUNCTION("""COMPUTED_VALUE"""),0.0054)</f>
        <v>0.0054</v>
      </c>
    </row>
    <row r="3880">
      <c r="A3880" s="131">
        <f>IFERROR(__xludf.DUMMYFUNCTION("""COMPUTED_VALUE"""),46187.456342592595)</f>
        <v>46187.45634</v>
      </c>
      <c r="B3880" s="126">
        <f>IFERROR(__xludf.DUMMYFUNCTION("""COMPUTED_VALUE"""),46187.0)</f>
        <v>46187</v>
      </c>
      <c r="C3880" s="122" t="str">
        <f>IFERROR(__xludf.DUMMYFUNCTION("""COMPUTED_VALUE"""),"HOTL")</f>
        <v>HOTL</v>
      </c>
      <c r="D3880" s="122" t="str">
        <f>IFERROR(__xludf.DUMMYFUNCTION("""COMPUTED_VALUE"""),"HotelHive")</f>
        <v>HotelHive</v>
      </c>
      <c r="E3880" s="122">
        <f>IFERROR(__xludf.DUMMYFUNCTION("""COMPUTED_VALUE"""),130.16)</f>
        <v>130.16</v>
      </c>
      <c r="F3880" s="122">
        <f>IFERROR(__xludf.DUMMYFUNCTION("""COMPUTED_VALUE"""),6.0E-4)</f>
        <v>0.0006</v>
      </c>
    </row>
    <row r="3881">
      <c r="A3881" s="131">
        <f>IFERROR(__xludf.DUMMYFUNCTION("""COMPUTED_VALUE"""),46187.456342592595)</f>
        <v>46187.45634</v>
      </c>
      <c r="B3881" s="126">
        <f>IFERROR(__xludf.DUMMYFUNCTION("""COMPUTED_VALUE"""),46187.0)</f>
        <v>46187</v>
      </c>
      <c r="C3881" s="122" t="str">
        <f>IFERROR(__xludf.DUMMYFUNCTION("""COMPUTED_VALUE"""),"LAND")</f>
        <v>LAND</v>
      </c>
      <c r="D3881" s="122" t="str">
        <f>IFERROR(__xludf.DUMMYFUNCTION("""COMPUTED_VALUE"""),"LandLink")</f>
        <v>LandLink</v>
      </c>
      <c r="E3881" s="122">
        <f>IFERROR(__xludf.DUMMYFUNCTION("""COMPUTED_VALUE"""),182.85)</f>
        <v>182.85</v>
      </c>
      <c r="F3881" s="122">
        <f>IFERROR(__xludf.DUMMYFUNCTION("""COMPUTED_VALUE"""),0.0018)</f>
        <v>0.0018</v>
      </c>
    </row>
    <row r="3882">
      <c r="A3882" s="131">
        <f>IFERROR(__xludf.DUMMYFUNCTION("""COMPUTED_VALUE"""),46187.456342592595)</f>
        <v>46187.45634</v>
      </c>
      <c r="B3882" s="126">
        <f>IFERROR(__xludf.DUMMYFUNCTION("""COMPUTED_VALUE"""),46187.0)</f>
        <v>46187</v>
      </c>
      <c r="C3882" s="122" t="str">
        <f>IFERROR(__xludf.DUMMYFUNCTION("""COMPUTED_VALUE"""),"CARS")</f>
        <v>CARS</v>
      </c>
      <c r="D3882" s="122" t="str">
        <f>IFERROR(__xludf.DUMMYFUNCTION("""COMPUTED_VALUE"""),"AutoArena")</f>
        <v>AutoArena</v>
      </c>
      <c r="E3882" s="122">
        <f>IFERROR(__xludf.DUMMYFUNCTION("""COMPUTED_VALUE"""),81.56)</f>
        <v>81.56</v>
      </c>
      <c r="F3882" s="122">
        <f>IFERROR(__xludf.DUMMYFUNCTION("""COMPUTED_VALUE"""),-0.0037)</f>
        <v>-0.0037</v>
      </c>
    </row>
    <row r="3883">
      <c r="A3883" s="131">
        <f>IFERROR(__xludf.DUMMYFUNCTION("""COMPUTED_VALUE"""),46187.456342592595)</f>
        <v>46187.45634</v>
      </c>
      <c r="B3883" s="126">
        <f>IFERROR(__xludf.DUMMYFUNCTION("""COMPUTED_VALUE"""),46187.0)</f>
        <v>46187</v>
      </c>
      <c r="C3883" s="122" t="str">
        <f>IFERROR(__xludf.DUMMYFUNCTION("""COMPUTED_VALUE"""),"EVGO")</f>
        <v>EVGO</v>
      </c>
      <c r="D3883" s="122" t="str">
        <f>IFERROR(__xludf.DUMMYFUNCTION("""COMPUTED_VALUE"""),"EVGo Motors")</f>
        <v>EVGo Motors</v>
      </c>
      <c r="E3883" s="122">
        <f>IFERROR(__xludf.DUMMYFUNCTION("""COMPUTED_VALUE"""),186.05)</f>
        <v>186.05</v>
      </c>
      <c r="F3883" s="122">
        <f>IFERROR(__xludf.DUMMYFUNCTION("""COMPUTED_VALUE"""),0.01)</f>
        <v>0.01</v>
      </c>
    </row>
    <row r="3884">
      <c r="A3884" s="131">
        <f>IFERROR(__xludf.DUMMYFUNCTION("""COMPUTED_VALUE"""),46187.456342592595)</f>
        <v>46187.45634</v>
      </c>
      <c r="B3884" s="126">
        <f>IFERROR(__xludf.DUMMYFUNCTION("""COMPUTED_VALUE"""),46187.0)</f>
        <v>46187</v>
      </c>
      <c r="C3884" s="122" t="str">
        <f>IFERROR(__xludf.DUMMYFUNCTION("""COMPUTED_VALUE"""),"TIRE")</f>
        <v>TIRE</v>
      </c>
      <c r="D3884" s="122" t="str">
        <f>IFERROR(__xludf.DUMMYFUNCTION("""COMPUTED_VALUE"""),"TireTown")</f>
        <v>TireTown</v>
      </c>
      <c r="E3884" s="122">
        <f>IFERROR(__xludf.DUMMYFUNCTION("""COMPUTED_VALUE"""),95.17)</f>
        <v>95.17</v>
      </c>
      <c r="F3884" s="122">
        <f>IFERROR(__xludf.DUMMYFUNCTION("""COMPUTED_VALUE"""),0.0015)</f>
        <v>0.0015</v>
      </c>
    </row>
    <row r="3885">
      <c r="A3885" s="131">
        <f>IFERROR(__xludf.DUMMYFUNCTION("""COMPUTED_VALUE"""),46187.456342592595)</f>
        <v>46187.45634</v>
      </c>
      <c r="B3885" s="126">
        <f>IFERROR(__xludf.DUMMYFUNCTION("""COMPUTED_VALUE"""),46187.0)</f>
        <v>46187</v>
      </c>
      <c r="C3885" s="122" t="str">
        <f>IFERROR(__xludf.DUMMYFUNCTION("""COMPUTED_VALUE"""),"BIKE")</f>
        <v>BIKE</v>
      </c>
      <c r="D3885" s="122" t="str">
        <f>IFERROR(__xludf.DUMMYFUNCTION("""COMPUTED_VALUE"""),"BikeBox")</f>
        <v>BikeBox</v>
      </c>
      <c r="E3885" s="122">
        <f>IFERROR(__xludf.DUMMYFUNCTION("""COMPUTED_VALUE"""),53.03)</f>
        <v>53.03</v>
      </c>
      <c r="F3885" s="122">
        <f>IFERROR(__xludf.DUMMYFUNCTION("""COMPUTED_VALUE"""),0.0038)</f>
        <v>0.0038</v>
      </c>
    </row>
    <row r="3886">
      <c r="A3886" s="131">
        <f>IFERROR(__xludf.DUMMYFUNCTION("""COMPUTED_VALUE"""),46187.456342592595)</f>
        <v>46187.45634</v>
      </c>
      <c r="B3886" s="126">
        <f>IFERROR(__xludf.DUMMYFUNCTION("""COMPUTED_VALUE"""),46187.0)</f>
        <v>46187</v>
      </c>
      <c r="C3886" s="122" t="str">
        <f>IFERROR(__xludf.DUMMYFUNCTION("""COMPUTED_VALUE"""),"WASH")</f>
        <v>WASH</v>
      </c>
      <c r="D3886" s="122" t="str">
        <f>IFERROR(__xludf.DUMMYFUNCTION("""COMPUTED_VALUE"""),"CarWash Co")</f>
        <v>CarWash Co</v>
      </c>
      <c r="E3886" s="122">
        <f>IFERROR(__xludf.DUMMYFUNCTION("""COMPUTED_VALUE"""),119.45)</f>
        <v>119.45</v>
      </c>
      <c r="F3886" s="122">
        <f>IFERROR(__xludf.DUMMYFUNCTION("""COMPUTED_VALUE"""),-2.0E-4)</f>
        <v>-0.0002</v>
      </c>
    </row>
    <row r="3887">
      <c r="A3887" s="131">
        <f>IFERROR(__xludf.DUMMYFUNCTION("""COMPUTED_VALUE"""),46187.456342592595)</f>
        <v>46187.45634</v>
      </c>
      <c r="B3887" s="126">
        <f>IFERROR(__xludf.DUMMYFUNCTION("""COMPUTED_VALUE"""),46187.0)</f>
        <v>46187</v>
      </c>
      <c r="C3887" s="122" t="str">
        <f>IFERROR(__xludf.DUMMYFUNCTION("""COMPUTED_VALUE"""),"GBND")</f>
        <v>GBND</v>
      </c>
      <c r="D3887" s="122" t="str">
        <f>IFERROR(__xludf.DUMMYFUNCTION("""COMPUTED_VALUE"""),"Classroom Government Bond")</f>
        <v>Classroom Government Bond</v>
      </c>
      <c r="E3887" s="122">
        <f>IFERROR(__xludf.DUMMYFUNCTION("""COMPUTED_VALUE"""),100.96)</f>
        <v>100.96</v>
      </c>
      <c r="F3887" s="122">
        <f>IFERROR(__xludf.DUMMYFUNCTION("""COMPUTED_VALUE"""),2.0E-4)</f>
        <v>0.0002</v>
      </c>
    </row>
    <row r="3888">
      <c r="A3888" s="131">
        <f>IFERROR(__xludf.DUMMYFUNCTION("""COMPUTED_VALUE"""),46187.456342592595)</f>
        <v>46187.45634</v>
      </c>
      <c r="B3888" s="126">
        <f>IFERROR(__xludf.DUMMYFUNCTION("""COMPUTED_VALUE"""),46187.0)</f>
        <v>46187</v>
      </c>
      <c r="C3888" s="122" t="str">
        <f>IFERROR(__xludf.DUMMYFUNCTION("""COMPUTED_VALUE"""),"SBND")</f>
        <v>SBND</v>
      </c>
      <c r="D3888" s="122" t="str">
        <f>IFERROR(__xludf.DUMMYFUNCTION("""COMPUTED_VALUE"""),"School Savings Bond")</f>
        <v>School Savings Bond</v>
      </c>
      <c r="E3888" s="122">
        <f>IFERROR(__xludf.DUMMYFUNCTION("""COMPUTED_VALUE"""),99.54)</f>
        <v>99.54</v>
      </c>
      <c r="F3888" s="122">
        <f>IFERROR(__xludf.DUMMYFUNCTION("""COMPUTED_VALUE"""),3.0E-4)</f>
        <v>0.0003</v>
      </c>
    </row>
    <row r="3889">
      <c r="A3889" s="131">
        <f>IFERROR(__xludf.DUMMYFUNCTION("""COMPUTED_VALUE"""),46187.456342592595)</f>
        <v>46187.45634</v>
      </c>
      <c r="B3889" s="126">
        <f>IFERROR(__xludf.DUMMYFUNCTION("""COMPUTED_VALUE"""),46187.0)</f>
        <v>46187</v>
      </c>
      <c r="C3889" s="122" t="str">
        <f>IFERROR(__xludf.DUMMYFUNCTION("""COMPUTED_VALUE"""),"CBND")</f>
        <v>CBND</v>
      </c>
      <c r="D3889" s="122" t="str">
        <f>IFERROR(__xludf.DUMMYFUNCTION("""COMPUTED_VALUE"""),"Corporate Classroom Bond")</f>
        <v>Corporate Classroom Bond</v>
      </c>
      <c r="E3889" s="122">
        <f>IFERROR(__xludf.DUMMYFUNCTION("""COMPUTED_VALUE"""),97.72)</f>
        <v>97.72</v>
      </c>
      <c r="F3889" s="122">
        <f>IFERROR(__xludf.DUMMYFUNCTION("""COMPUTED_VALUE"""),-4.0E-4)</f>
        <v>-0.0004</v>
      </c>
    </row>
    <row r="3890">
      <c r="A3890" s="131">
        <f>IFERROR(__xludf.DUMMYFUNCTION("""COMPUTED_VALUE"""),46187.456342592595)</f>
        <v>46187.45634</v>
      </c>
      <c r="B3890" s="126">
        <f>IFERROR(__xludf.DUMMYFUNCTION("""COMPUTED_VALUE"""),46187.0)</f>
        <v>46187</v>
      </c>
      <c r="C3890" s="122" t="str">
        <f>IFERROR(__xludf.DUMMYFUNCTION("""COMPUTED_VALUE"""),"TBIL")</f>
        <v>TBIL</v>
      </c>
      <c r="D3890" s="122" t="str">
        <f>IFERROR(__xludf.DUMMYFUNCTION("""COMPUTED_VALUE"""),"Treasury Bill")</f>
        <v>Treasury Bill</v>
      </c>
      <c r="E3890" s="122">
        <f>IFERROR(__xludf.DUMMYFUNCTION("""COMPUTED_VALUE"""),98.05)</f>
        <v>98.05</v>
      </c>
      <c r="F3890" s="122">
        <f>IFERROR(__xludf.DUMMYFUNCTION("""COMPUTED_VALUE"""),-4.0E-4)</f>
        <v>-0.0004</v>
      </c>
    </row>
    <row r="3891">
      <c r="A3891" s="131">
        <f>IFERROR(__xludf.DUMMYFUNCTION("""COMPUTED_VALUE"""),46187.456342592595)</f>
        <v>46187.45634</v>
      </c>
      <c r="B3891" s="126">
        <f>IFERROR(__xludf.DUMMYFUNCTION("""COMPUTED_VALUE"""),46187.0)</f>
        <v>46187</v>
      </c>
      <c r="C3891" s="122" t="str">
        <f>IFERROR(__xludf.DUMMYFUNCTION("""COMPUTED_VALUE"""),"IBND")</f>
        <v>IBND</v>
      </c>
      <c r="D3891" s="122" t="str">
        <f>IFERROR(__xludf.DUMMYFUNCTION("""COMPUTED_VALUE"""),"Inflation Protected Bond")</f>
        <v>Inflation Protected Bond</v>
      </c>
      <c r="E3891" s="122">
        <f>IFERROR(__xludf.DUMMYFUNCTION("""COMPUTED_VALUE"""),100.68)</f>
        <v>100.68</v>
      </c>
      <c r="F3891" s="122">
        <f>IFERROR(__xludf.DUMMYFUNCTION("""COMPUTED_VALUE"""),5.0E-4)</f>
        <v>0.0005</v>
      </c>
    </row>
    <row r="3892">
      <c r="A3892" s="131">
        <f>IFERROR(__xludf.DUMMYFUNCTION("""COMPUTED_VALUE"""),46187.46013888889)</f>
        <v>46187.46014</v>
      </c>
      <c r="B3892" s="126">
        <f>IFERROR(__xludf.DUMMYFUNCTION("""COMPUTED_VALUE"""),46187.0)</f>
        <v>46187</v>
      </c>
      <c r="C3892" s="122" t="str">
        <f>IFERROR(__xludf.DUMMYFUNCTION("""COMPUTED_VALUE"""),"SNAX")</f>
        <v>SNAX</v>
      </c>
      <c r="D3892" s="122" t="str">
        <f>IFERROR(__xludf.DUMMYFUNCTION("""COMPUTED_VALUE"""),"MICA Snacks")</f>
        <v>MICA Snacks</v>
      </c>
      <c r="E3892" s="122">
        <f>IFERROR(__xludf.DUMMYFUNCTION("""COMPUTED_VALUE"""),121.67)</f>
        <v>121.67</v>
      </c>
      <c r="F3892" s="122">
        <f>IFERROR(__xludf.DUMMYFUNCTION("""COMPUTED_VALUE"""),-0.0011)</f>
        <v>-0.0011</v>
      </c>
    </row>
    <row r="3893">
      <c r="A3893" s="131">
        <f>IFERROR(__xludf.DUMMYFUNCTION("""COMPUTED_VALUE"""),46187.46013888889)</f>
        <v>46187.46014</v>
      </c>
      <c r="B3893" s="126">
        <f>IFERROR(__xludf.DUMMYFUNCTION("""COMPUTED_VALUE"""),46187.0)</f>
        <v>46187</v>
      </c>
      <c r="C3893" s="122" t="str">
        <f>IFERROR(__xludf.DUMMYFUNCTION("""COMPUTED_VALUE"""),"RAMN")</f>
        <v>RAMN</v>
      </c>
      <c r="D3893" s="122" t="str">
        <f>IFERROR(__xludf.DUMMYFUNCTION("""COMPUTED_VALUE"""),"Ramen Republic")</f>
        <v>Ramen Republic</v>
      </c>
      <c r="E3893" s="122">
        <f>IFERROR(__xludf.DUMMYFUNCTION("""COMPUTED_VALUE"""),71.33)</f>
        <v>71.33</v>
      </c>
      <c r="F3893" s="122">
        <f>IFERROR(__xludf.DUMMYFUNCTION("""COMPUTED_VALUE"""),-0.0049)</f>
        <v>-0.0049</v>
      </c>
    </row>
    <row r="3894">
      <c r="A3894" s="131">
        <f>IFERROR(__xludf.DUMMYFUNCTION("""COMPUTED_VALUE"""),46187.46013888889)</f>
        <v>46187.46014</v>
      </c>
      <c r="B3894" s="126">
        <f>IFERROR(__xludf.DUMMYFUNCTION("""COMPUTED_VALUE"""),46187.0)</f>
        <v>46187</v>
      </c>
      <c r="C3894" s="122" t="str">
        <f>IFERROR(__xludf.DUMMYFUNCTION("""COMPUTED_VALUE"""),"COLA")</f>
        <v>COLA</v>
      </c>
      <c r="D3894" s="122" t="str">
        <f>IFERROR(__xludf.DUMMYFUNCTION("""COMPUTED_VALUE"""),"K-Pop Cola")</f>
        <v>K-Pop Cola</v>
      </c>
      <c r="E3894" s="122">
        <f>IFERROR(__xludf.DUMMYFUNCTION("""COMPUTED_VALUE"""),110.09)</f>
        <v>110.09</v>
      </c>
      <c r="F3894" s="122">
        <f>IFERROR(__xludf.DUMMYFUNCTION("""COMPUTED_VALUE"""),0.005)</f>
        <v>0.005</v>
      </c>
    </row>
    <row r="3895">
      <c r="A3895" s="131">
        <f>IFERROR(__xludf.DUMMYFUNCTION("""COMPUTED_VALUE"""),46187.46013888889)</f>
        <v>46187.46014</v>
      </c>
      <c r="B3895" s="126">
        <f>IFERROR(__xludf.DUMMYFUNCTION("""COMPUTED_VALUE"""),46187.0)</f>
        <v>46187</v>
      </c>
      <c r="C3895" s="122" t="str">
        <f>IFERROR(__xludf.DUMMYFUNCTION("""COMPUTED_VALUE"""),"CHIP")</f>
        <v>CHIP</v>
      </c>
      <c r="D3895" s="122" t="str">
        <f>IFERROR(__xludf.DUMMYFUNCTION("""COMPUTED_VALUE"""),"Chip Empire")</f>
        <v>Chip Empire</v>
      </c>
      <c r="E3895" s="122">
        <f>IFERROR(__xludf.DUMMYFUNCTION("""COMPUTED_VALUE"""),87.03)</f>
        <v>87.03</v>
      </c>
      <c r="F3895" s="122">
        <f>IFERROR(__xludf.DUMMYFUNCTION("""COMPUTED_VALUE"""),-0.0085)</f>
        <v>-0.0085</v>
      </c>
    </row>
    <row r="3896">
      <c r="A3896" s="131">
        <f>IFERROR(__xludf.DUMMYFUNCTION("""COMPUTED_VALUE"""),46187.46013888889)</f>
        <v>46187.46014</v>
      </c>
      <c r="B3896" s="126">
        <f>IFERROR(__xludf.DUMMYFUNCTION("""COMPUTED_VALUE"""),46187.0)</f>
        <v>46187</v>
      </c>
      <c r="C3896" s="122" t="str">
        <f>IFERROR(__xludf.DUMMYFUNCTION("""COMPUTED_VALUE"""),"CAND")</f>
        <v>CAND</v>
      </c>
      <c r="D3896" s="122" t="str">
        <f>IFERROR(__xludf.DUMMYFUNCTION("""COMPUTED_VALUE"""),"Candy Capital")</f>
        <v>Candy Capital</v>
      </c>
      <c r="E3896" s="122">
        <f>IFERROR(__xludf.DUMMYFUNCTION("""COMPUTED_VALUE"""),77.37)</f>
        <v>77.37</v>
      </c>
      <c r="F3896" s="122">
        <f>IFERROR(__xludf.DUMMYFUNCTION("""COMPUTED_VALUE"""),-0.0045)</f>
        <v>-0.0045</v>
      </c>
    </row>
    <row r="3897">
      <c r="A3897" s="131">
        <f>IFERROR(__xludf.DUMMYFUNCTION("""COMPUTED_VALUE"""),46187.46013888889)</f>
        <v>46187.46014</v>
      </c>
      <c r="B3897" s="126">
        <f>IFERROR(__xludf.DUMMYFUNCTION("""COMPUTED_VALUE"""),46187.0)</f>
        <v>46187</v>
      </c>
      <c r="C3897" s="122" t="str">
        <f>IFERROR(__xludf.DUMMYFUNCTION("""COMPUTED_VALUE"""),"TECH")</f>
        <v>TECH</v>
      </c>
      <c r="D3897" s="122" t="str">
        <f>IFERROR(__xludf.DUMMYFUNCTION("""COMPUTED_VALUE"""),"Dragon Tech")</f>
        <v>Dragon Tech</v>
      </c>
      <c r="E3897" s="122">
        <f>IFERROR(__xludf.DUMMYFUNCTION("""COMPUTED_VALUE"""),241.87)</f>
        <v>241.87</v>
      </c>
      <c r="F3897" s="122">
        <f>IFERROR(__xludf.DUMMYFUNCTION("""COMPUTED_VALUE"""),0.0089)</f>
        <v>0.0089</v>
      </c>
    </row>
    <row r="3898">
      <c r="A3898" s="131">
        <f>IFERROR(__xludf.DUMMYFUNCTION("""COMPUTED_VALUE"""),46187.46013888889)</f>
        <v>46187.46014</v>
      </c>
      <c r="B3898" s="126">
        <f>IFERROR(__xludf.DUMMYFUNCTION("""COMPUTED_VALUE"""),46187.0)</f>
        <v>46187</v>
      </c>
      <c r="C3898" s="122" t="str">
        <f>IFERROR(__xludf.DUMMYFUNCTION("""COMPUTED_VALUE"""),"AIBO")</f>
        <v>AIBO</v>
      </c>
      <c r="D3898" s="122" t="str">
        <f>IFERROR(__xludf.DUMMYFUNCTION("""COMPUTED_VALUE"""),"Homework AI")</f>
        <v>Homework AI</v>
      </c>
      <c r="E3898" s="122">
        <f>IFERROR(__xludf.DUMMYFUNCTION("""COMPUTED_VALUE"""),172.68)</f>
        <v>172.68</v>
      </c>
      <c r="F3898" s="122">
        <f>IFERROR(__xludf.DUMMYFUNCTION("""COMPUTED_VALUE"""),0.0018)</f>
        <v>0.0018</v>
      </c>
    </row>
    <row r="3899">
      <c r="A3899" s="131">
        <f>IFERROR(__xludf.DUMMYFUNCTION("""COMPUTED_VALUE"""),46187.46013888889)</f>
        <v>46187.46014</v>
      </c>
      <c r="B3899" s="126">
        <f>IFERROR(__xludf.DUMMYFUNCTION("""COMPUTED_VALUE"""),46187.0)</f>
        <v>46187</v>
      </c>
      <c r="C3899" s="122" t="str">
        <f>IFERROR(__xludf.DUMMYFUNCTION("""COMPUTED_VALUE"""),"GAME")</f>
        <v>GAME</v>
      </c>
      <c r="D3899" s="122" t="str">
        <f>IFERROR(__xludf.DUMMYFUNCTION("""COMPUTED_VALUE"""),"GameBox Media")</f>
        <v>GameBox Media</v>
      </c>
      <c r="E3899" s="122">
        <f>IFERROR(__xludf.DUMMYFUNCTION("""COMPUTED_VALUE"""),95.81)</f>
        <v>95.81</v>
      </c>
      <c r="F3899" s="122">
        <f>IFERROR(__xludf.DUMMYFUNCTION("""COMPUTED_VALUE"""),0.0093)</f>
        <v>0.0093</v>
      </c>
    </row>
    <row r="3900">
      <c r="A3900" s="131">
        <f>IFERROR(__xludf.DUMMYFUNCTION("""COMPUTED_VALUE"""),46187.46013888889)</f>
        <v>46187.46014</v>
      </c>
      <c r="B3900" s="126">
        <f>IFERROR(__xludf.DUMMYFUNCTION("""COMPUTED_VALUE"""),46187.0)</f>
        <v>46187</v>
      </c>
      <c r="C3900" s="122" t="str">
        <f>IFERROR(__xludf.DUMMYFUNCTION("""COMPUTED_VALUE"""),"VRSE")</f>
        <v>VRSE</v>
      </c>
      <c r="D3900" s="122" t="str">
        <f>IFERROR(__xludf.DUMMYFUNCTION("""COMPUTED_VALUE"""),"VerseVR")</f>
        <v>VerseVR</v>
      </c>
      <c r="E3900" s="122">
        <f>IFERROR(__xludf.DUMMYFUNCTION("""COMPUTED_VALUE"""),148.63)</f>
        <v>148.63</v>
      </c>
      <c r="F3900" s="122">
        <f>IFERROR(__xludf.DUMMYFUNCTION("""COMPUTED_VALUE"""),0.0026)</f>
        <v>0.0026</v>
      </c>
    </row>
    <row r="3901">
      <c r="A3901" s="131">
        <f>IFERROR(__xludf.DUMMYFUNCTION("""COMPUTED_VALUE"""),46187.46013888889)</f>
        <v>46187.46014</v>
      </c>
      <c r="B3901" s="126">
        <f>IFERROR(__xludf.DUMMYFUNCTION("""COMPUTED_VALUE"""),46187.0)</f>
        <v>46187</v>
      </c>
      <c r="C3901" s="122" t="str">
        <f>IFERROR(__xludf.DUMMYFUNCTION("""COMPUTED_VALUE"""),"BYTE")</f>
        <v>BYTE</v>
      </c>
      <c r="D3901" s="122" t="str">
        <f>IFERROR(__xludf.DUMMYFUNCTION("""COMPUTED_VALUE"""),"ByteWorks")</f>
        <v>ByteWorks</v>
      </c>
      <c r="E3901" s="122">
        <f>IFERROR(__xludf.DUMMYFUNCTION("""COMPUTED_VALUE"""),108.05)</f>
        <v>108.05</v>
      </c>
      <c r="F3901" s="122">
        <f>IFERROR(__xludf.DUMMYFUNCTION("""COMPUTED_VALUE"""),-0.0066)</f>
        <v>-0.0066</v>
      </c>
    </row>
    <row r="3902">
      <c r="A3902" s="131">
        <f>IFERROR(__xludf.DUMMYFUNCTION("""COMPUTED_VALUE"""),46187.46013888889)</f>
        <v>46187.46014</v>
      </c>
      <c r="B3902" s="126">
        <f>IFERROR(__xludf.DUMMYFUNCTION("""COMPUTED_VALUE"""),46187.0)</f>
        <v>46187</v>
      </c>
      <c r="C3902" s="122" t="str">
        <f>IFERROR(__xludf.DUMMYFUNCTION("""COMPUTED_VALUE"""),"BANK")</f>
        <v>BANK</v>
      </c>
      <c r="D3902" s="122" t="str">
        <f>IFERROR(__xludf.DUMMYFUNCTION("""COMPUTED_VALUE"""),"Tiger Bank")</f>
        <v>Tiger Bank</v>
      </c>
      <c r="E3902" s="122">
        <f>IFERROR(__xludf.DUMMYFUNCTION("""COMPUTED_VALUE"""),127.37)</f>
        <v>127.37</v>
      </c>
      <c r="F3902" s="122">
        <f>IFERROR(__xludf.DUMMYFUNCTION("""COMPUTED_VALUE"""),0.0019)</f>
        <v>0.0019</v>
      </c>
    </row>
    <row r="3903">
      <c r="A3903" s="131">
        <f>IFERROR(__xludf.DUMMYFUNCTION("""COMPUTED_VALUE"""),46187.46013888889)</f>
        <v>46187.46014</v>
      </c>
      <c r="B3903" s="126">
        <f>IFERROR(__xludf.DUMMYFUNCTION("""COMPUTED_VALUE"""),46187.0)</f>
        <v>46187</v>
      </c>
      <c r="C3903" s="122" t="str">
        <f>IFERROR(__xludf.DUMMYFUNCTION("""COMPUTED_VALUE"""),"CRED")</f>
        <v>CRED</v>
      </c>
      <c r="D3903" s="122" t="str">
        <f>IFERROR(__xludf.DUMMYFUNCTION("""COMPUTED_VALUE"""),"Credit Castle")</f>
        <v>Credit Castle</v>
      </c>
      <c r="E3903" s="122">
        <f>IFERROR(__xludf.DUMMYFUNCTION("""COMPUTED_VALUE"""),66.44)</f>
        <v>66.44</v>
      </c>
      <c r="F3903" s="122">
        <f>IFERROR(__xludf.DUMMYFUNCTION("""COMPUTED_VALUE"""),-0.0043)</f>
        <v>-0.0043</v>
      </c>
    </row>
    <row r="3904">
      <c r="A3904" s="131">
        <f>IFERROR(__xludf.DUMMYFUNCTION("""COMPUTED_VALUE"""),46187.46013888889)</f>
        <v>46187.46014</v>
      </c>
      <c r="B3904" s="126">
        <f>IFERROR(__xludf.DUMMYFUNCTION("""COMPUTED_VALUE"""),46187.0)</f>
        <v>46187</v>
      </c>
      <c r="C3904" s="122" t="str">
        <f>IFERROR(__xludf.DUMMYFUNCTION("""COMPUTED_VALUE"""),"BOND")</f>
        <v>BOND</v>
      </c>
      <c r="D3904" s="122" t="str">
        <f>IFERROR(__xludf.DUMMYFUNCTION("""COMPUTED_VALUE"""),"BondBridge")</f>
        <v>BondBridge</v>
      </c>
      <c r="E3904" s="122">
        <f>IFERROR(__xludf.DUMMYFUNCTION("""COMPUTED_VALUE"""),99.36)</f>
        <v>99.36</v>
      </c>
      <c r="F3904" s="122">
        <f>IFERROR(__xludf.DUMMYFUNCTION("""COMPUTED_VALUE"""),0.0029)</f>
        <v>0.0029</v>
      </c>
    </row>
    <row r="3905">
      <c r="A3905" s="131">
        <f>IFERROR(__xludf.DUMMYFUNCTION("""COMPUTED_VALUE"""),46187.46013888889)</f>
        <v>46187.46014</v>
      </c>
      <c r="B3905" s="126">
        <f>IFERROR(__xludf.DUMMYFUNCTION("""COMPUTED_VALUE"""),46187.0)</f>
        <v>46187</v>
      </c>
      <c r="C3905" s="122" t="str">
        <f>IFERROR(__xludf.DUMMYFUNCTION("""COMPUTED_VALUE"""),"INSR")</f>
        <v>INSR</v>
      </c>
      <c r="D3905" s="122" t="str">
        <f>IFERROR(__xludf.DUMMYFUNCTION("""COMPUTED_VALUE"""),"Shield Insurance")</f>
        <v>Shield Insurance</v>
      </c>
      <c r="E3905" s="122">
        <f>IFERROR(__xludf.DUMMYFUNCTION("""COMPUTED_VALUE"""),160.23)</f>
        <v>160.23</v>
      </c>
      <c r="F3905" s="122">
        <f>IFERROR(__xludf.DUMMYFUNCTION("""COMPUTED_VALUE"""),0.0023)</f>
        <v>0.0023</v>
      </c>
    </row>
    <row r="3906">
      <c r="A3906" s="131">
        <f>IFERROR(__xludf.DUMMYFUNCTION("""COMPUTED_VALUE"""),46187.46013888889)</f>
        <v>46187.46014</v>
      </c>
      <c r="B3906" s="126">
        <f>IFERROR(__xludf.DUMMYFUNCTION("""COMPUTED_VALUE"""),46187.0)</f>
        <v>46187</v>
      </c>
      <c r="C3906" s="122" t="str">
        <f>IFERROR(__xludf.DUMMYFUNCTION("""COMPUTED_VALUE"""),"LOAN")</f>
        <v>LOAN</v>
      </c>
      <c r="D3906" s="122" t="str">
        <f>IFERROR(__xludf.DUMMYFUNCTION("""COMPUTED_VALUE"""),"LoanLab")</f>
        <v>LoanLab</v>
      </c>
      <c r="E3906" s="122">
        <f>IFERROR(__xludf.DUMMYFUNCTION("""COMPUTED_VALUE"""),63.14)</f>
        <v>63.14</v>
      </c>
      <c r="F3906" s="122">
        <f>IFERROR(__xludf.DUMMYFUNCTION("""COMPUTED_VALUE"""),-0.0036)</f>
        <v>-0.0036</v>
      </c>
    </row>
    <row r="3907">
      <c r="A3907" s="131">
        <f>IFERROR(__xludf.DUMMYFUNCTION("""COMPUTED_VALUE"""),46187.46013888889)</f>
        <v>46187.46014</v>
      </c>
      <c r="B3907" s="126">
        <f>IFERROR(__xludf.DUMMYFUNCTION("""COMPUTED_VALUE"""),46187.0)</f>
        <v>46187</v>
      </c>
      <c r="C3907" s="122" t="str">
        <f>IFERROR(__xludf.DUMMYFUNCTION("""COMPUTED_VALUE"""),"LUXE")</f>
        <v>LUXE</v>
      </c>
      <c r="D3907" s="122" t="str">
        <f>IFERROR(__xludf.DUMMYFUNCTION("""COMPUTED_VALUE"""),"Luxury Locker")</f>
        <v>Luxury Locker</v>
      </c>
      <c r="E3907" s="122">
        <f>IFERROR(__xludf.DUMMYFUNCTION("""COMPUTED_VALUE"""),261.86)</f>
        <v>261.86</v>
      </c>
      <c r="F3907" s="122">
        <f>IFERROR(__xludf.DUMMYFUNCTION("""COMPUTED_VALUE"""),0.0)</f>
        <v>0</v>
      </c>
    </row>
    <row r="3908">
      <c r="A3908" s="131">
        <f>IFERROR(__xludf.DUMMYFUNCTION("""COMPUTED_VALUE"""),46187.46013888889)</f>
        <v>46187.46014</v>
      </c>
      <c r="B3908" s="126">
        <f>IFERROR(__xludf.DUMMYFUNCTION("""COMPUTED_VALUE"""),46187.0)</f>
        <v>46187</v>
      </c>
      <c r="C3908" s="122" t="str">
        <f>IFERROR(__xludf.DUMMYFUNCTION("""COMPUTED_VALUE"""),"DRIP")</f>
        <v>DRIP</v>
      </c>
      <c r="D3908" s="122" t="str">
        <f>IFERROR(__xludf.DUMMYFUNCTION("""COMPUTED_VALUE"""),"Drip Streetwear")</f>
        <v>Drip Streetwear</v>
      </c>
      <c r="E3908" s="122">
        <f>IFERROR(__xludf.DUMMYFUNCTION("""COMPUTED_VALUE"""),194.48)</f>
        <v>194.48</v>
      </c>
      <c r="F3908" s="122">
        <f>IFERROR(__xludf.DUMMYFUNCTION("""COMPUTED_VALUE"""),-0.0038)</f>
        <v>-0.0038</v>
      </c>
    </row>
    <row r="3909">
      <c r="A3909" s="131">
        <f>IFERROR(__xludf.DUMMYFUNCTION("""COMPUTED_VALUE"""),46187.46013888889)</f>
        <v>46187.46014</v>
      </c>
      <c r="B3909" s="126">
        <f>IFERROR(__xludf.DUMMYFUNCTION("""COMPUTED_VALUE"""),46187.0)</f>
        <v>46187</v>
      </c>
      <c r="C3909" s="122" t="str">
        <f>IFERROR(__xludf.DUMMYFUNCTION("""COMPUTED_VALUE"""),"KICK")</f>
        <v>KICK</v>
      </c>
      <c r="D3909" s="122" t="str">
        <f>IFERROR(__xludf.DUMMYFUNCTION("""COMPUTED_VALUE"""),"KickDrop Sneakers")</f>
        <v>KickDrop Sneakers</v>
      </c>
      <c r="E3909" s="122">
        <f>IFERROR(__xludf.DUMMYFUNCTION("""COMPUTED_VALUE"""),174.64)</f>
        <v>174.64</v>
      </c>
      <c r="F3909" s="122">
        <f>IFERROR(__xludf.DUMMYFUNCTION("""COMPUTED_VALUE"""),0.0094)</f>
        <v>0.0094</v>
      </c>
    </row>
    <row r="3910">
      <c r="A3910" s="131">
        <f>IFERROR(__xludf.DUMMYFUNCTION("""COMPUTED_VALUE"""),46187.46013888889)</f>
        <v>46187.46014</v>
      </c>
      <c r="B3910" s="126">
        <f>IFERROR(__xludf.DUMMYFUNCTION("""COMPUTED_VALUE"""),46187.0)</f>
        <v>46187</v>
      </c>
      <c r="C3910" s="122" t="str">
        <f>IFERROR(__xludf.DUMMYFUNCTION("""COMPUTED_VALUE"""),"GLAM")</f>
        <v>GLAM</v>
      </c>
      <c r="D3910" s="122" t="str">
        <f>IFERROR(__xludf.DUMMYFUNCTION("""COMPUTED_VALUE"""),"Glow Cosmetics")</f>
        <v>Glow Cosmetics</v>
      </c>
      <c r="E3910" s="122">
        <f>IFERROR(__xludf.DUMMYFUNCTION("""COMPUTED_VALUE"""),102.76)</f>
        <v>102.76</v>
      </c>
      <c r="F3910" s="122">
        <f>IFERROR(__xludf.DUMMYFUNCTION("""COMPUTED_VALUE"""),0.0072)</f>
        <v>0.0072</v>
      </c>
    </row>
    <row r="3911">
      <c r="A3911" s="131">
        <f>IFERROR(__xludf.DUMMYFUNCTION("""COMPUTED_VALUE"""),46187.46013888889)</f>
        <v>46187.46014</v>
      </c>
      <c r="B3911" s="126">
        <f>IFERROR(__xludf.DUMMYFUNCTION("""COMPUTED_VALUE"""),46187.0)</f>
        <v>46187</v>
      </c>
      <c r="C3911" s="122" t="str">
        <f>IFERROR(__xludf.DUMMYFUNCTION("""COMPUTED_VALUE"""),"BAGG")</f>
        <v>BAGG</v>
      </c>
      <c r="D3911" s="122" t="str">
        <f>IFERROR(__xludf.DUMMYFUNCTION("""COMPUTED_VALUE"""),"BagVault")</f>
        <v>BagVault</v>
      </c>
      <c r="E3911" s="122">
        <f>IFERROR(__xludf.DUMMYFUNCTION("""COMPUTED_VALUE"""),249.39)</f>
        <v>249.39</v>
      </c>
      <c r="F3911" s="122">
        <f>IFERROR(__xludf.DUMMYFUNCTION("""COMPUTED_VALUE"""),-0.005)</f>
        <v>-0.005</v>
      </c>
    </row>
    <row r="3912">
      <c r="A3912" s="131">
        <f>IFERROR(__xludf.DUMMYFUNCTION("""COMPUTED_VALUE"""),46187.46013888889)</f>
        <v>46187.46014</v>
      </c>
      <c r="B3912" s="126">
        <f>IFERROR(__xludf.DUMMYFUNCTION("""COMPUTED_VALUE"""),46187.0)</f>
        <v>46187</v>
      </c>
      <c r="C3912" s="122" t="str">
        <f>IFERROR(__xludf.DUMMYFUNCTION("""COMPUTED_VALUE"""),"FAST")</f>
        <v>FAST</v>
      </c>
      <c r="D3912" s="122" t="str">
        <f>IFERROR(__xludf.DUMMYFUNCTION("""COMPUTED_VALUE"""),"Flash Logistics")</f>
        <v>Flash Logistics</v>
      </c>
      <c r="E3912" s="122">
        <f>IFERROR(__xludf.DUMMYFUNCTION("""COMPUTED_VALUE"""),103.28)</f>
        <v>103.28</v>
      </c>
      <c r="F3912" s="122">
        <f>IFERROR(__xludf.DUMMYFUNCTION("""COMPUTED_VALUE"""),0.0019)</f>
        <v>0.0019</v>
      </c>
    </row>
    <row r="3913">
      <c r="A3913" s="131">
        <f>IFERROR(__xludf.DUMMYFUNCTION("""COMPUTED_VALUE"""),46187.46013888889)</f>
        <v>46187.46014</v>
      </c>
      <c r="B3913" s="126">
        <f>IFERROR(__xludf.DUMMYFUNCTION("""COMPUTED_VALUE"""),46187.0)</f>
        <v>46187</v>
      </c>
      <c r="C3913" s="122" t="str">
        <f>IFERROR(__xludf.DUMMYFUNCTION("""COMPUTED_VALUE"""),"SHIP")</f>
        <v>SHIP</v>
      </c>
      <c r="D3913" s="122" t="str">
        <f>IFERROR(__xludf.DUMMYFUNCTION("""COMPUTED_VALUE"""),"Seoul Shipping")</f>
        <v>Seoul Shipping</v>
      </c>
      <c r="E3913" s="122">
        <f>IFERROR(__xludf.DUMMYFUNCTION("""COMPUTED_VALUE"""),121.51)</f>
        <v>121.51</v>
      </c>
      <c r="F3913" s="122">
        <f>IFERROR(__xludf.DUMMYFUNCTION("""COMPUTED_VALUE"""),-6.0E-4)</f>
        <v>-0.0006</v>
      </c>
    </row>
    <row r="3914">
      <c r="A3914" s="131">
        <f>IFERROR(__xludf.DUMMYFUNCTION("""COMPUTED_VALUE"""),46187.46013888889)</f>
        <v>46187.46014</v>
      </c>
      <c r="B3914" s="126">
        <f>IFERROR(__xludf.DUMMYFUNCTION("""COMPUTED_VALUE"""),46187.0)</f>
        <v>46187</v>
      </c>
      <c r="C3914" s="122" t="str">
        <f>IFERROR(__xludf.DUMMYFUNCTION("""COMPUTED_VALUE"""),"DRON")</f>
        <v>DRON</v>
      </c>
      <c r="D3914" s="122" t="str">
        <f>IFERROR(__xludf.DUMMYFUNCTION("""COMPUTED_VALUE"""),"DroneDrop")</f>
        <v>DroneDrop</v>
      </c>
      <c r="E3914" s="122">
        <f>IFERROR(__xludf.DUMMYFUNCTION("""COMPUTED_VALUE"""),131.35)</f>
        <v>131.35</v>
      </c>
      <c r="F3914" s="122">
        <f>IFERROR(__xludf.DUMMYFUNCTION("""COMPUTED_VALUE"""),0.0085)</f>
        <v>0.0085</v>
      </c>
    </row>
    <row r="3915">
      <c r="A3915" s="131">
        <f>IFERROR(__xludf.DUMMYFUNCTION("""COMPUTED_VALUE"""),46187.46013888889)</f>
        <v>46187.46014</v>
      </c>
      <c r="B3915" s="126">
        <f>IFERROR(__xludf.DUMMYFUNCTION("""COMPUTED_VALUE"""),46187.0)</f>
        <v>46187</v>
      </c>
      <c r="C3915" s="122" t="str">
        <f>IFERROR(__xludf.DUMMYFUNCTION("""COMPUTED_VALUE"""),"RIDE")</f>
        <v>RIDE</v>
      </c>
      <c r="D3915" s="122" t="str">
        <f>IFERROR(__xludf.DUMMYFUNCTION("""COMPUTED_VALUE"""),"QuickRide")</f>
        <v>QuickRide</v>
      </c>
      <c r="E3915" s="122">
        <f>IFERROR(__xludf.DUMMYFUNCTION("""COMPUTED_VALUE"""),94.96)</f>
        <v>94.96</v>
      </c>
      <c r="F3915" s="122">
        <f>IFERROR(__xludf.DUMMYFUNCTION("""COMPUTED_VALUE"""),-4.0E-4)</f>
        <v>-0.0004</v>
      </c>
    </row>
    <row r="3916">
      <c r="A3916" s="131">
        <f>IFERROR(__xludf.DUMMYFUNCTION("""COMPUTED_VALUE"""),46187.46013888889)</f>
        <v>46187.46014</v>
      </c>
      <c r="B3916" s="126">
        <f>IFERROR(__xludf.DUMMYFUNCTION("""COMPUTED_VALUE"""),46187.0)</f>
        <v>46187</v>
      </c>
      <c r="C3916" s="122" t="str">
        <f>IFERROR(__xludf.DUMMYFUNCTION("""COMPUTED_VALUE"""),"RAIL")</f>
        <v>RAIL</v>
      </c>
      <c r="D3916" s="122" t="str">
        <f>IFERROR(__xludf.DUMMYFUNCTION("""COMPUTED_VALUE"""),"MetroRail Corp")</f>
        <v>MetroRail Corp</v>
      </c>
      <c r="E3916" s="122">
        <f>IFERROR(__xludf.DUMMYFUNCTION("""COMPUTED_VALUE"""),134.42)</f>
        <v>134.42</v>
      </c>
      <c r="F3916" s="122">
        <f>IFERROR(__xludf.DUMMYFUNCTION("""COMPUTED_VALUE"""),-0.0041)</f>
        <v>-0.0041</v>
      </c>
    </row>
    <row r="3917">
      <c r="A3917" s="131">
        <f>IFERROR(__xludf.DUMMYFUNCTION("""COMPUTED_VALUE"""),46187.46013888889)</f>
        <v>46187.46014</v>
      </c>
      <c r="B3917" s="126">
        <f>IFERROR(__xludf.DUMMYFUNCTION("""COMPUTED_VALUE"""),46187.0)</f>
        <v>46187</v>
      </c>
      <c r="C3917" s="122" t="str">
        <f>IFERROR(__xludf.DUMMYFUNCTION("""COMPUTED_VALUE"""),"MEDX")</f>
        <v>MEDX</v>
      </c>
      <c r="D3917" s="122" t="str">
        <f>IFERROR(__xludf.DUMMYFUNCTION("""COMPUTED_VALUE"""),"MediCore")</f>
        <v>MediCore</v>
      </c>
      <c r="E3917" s="122">
        <f>IFERROR(__xludf.DUMMYFUNCTION("""COMPUTED_VALUE"""),138.76)</f>
        <v>138.76</v>
      </c>
      <c r="F3917" s="122">
        <f>IFERROR(__xludf.DUMMYFUNCTION("""COMPUTED_VALUE"""),0.0028)</f>
        <v>0.0028</v>
      </c>
    </row>
    <row r="3918">
      <c r="A3918" s="131">
        <f>IFERROR(__xludf.DUMMYFUNCTION("""COMPUTED_VALUE"""),46187.46013888889)</f>
        <v>46187.46014</v>
      </c>
      <c r="B3918" s="126">
        <f>IFERROR(__xludf.DUMMYFUNCTION("""COMPUTED_VALUE"""),46187.0)</f>
        <v>46187</v>
      </c>
      <c r="C3918" s="122" t="str">
        <f>IFERROR(__xludf.DUMMYFUNCTION("""COMPUTED_VALUE"""),"GYMX")</f>
        <v>GYMX</v>
      </c>
      <c r="D3918" s="122" t="str">
        <f>IFERROR(__xludf.DUMMYFUNCTION("""COMPUTED_VALUE"""),"GymX Fitness")</f>
        <v>GymX Fitness</v>
      </c>
      <c r="E3918" s="122">
        <f>IFERROR(__xludf.DUMMYFUNCTION("""COMPUTED_VALUE"""),86.31)</f>
        <v>86.31</v>
      </c>
      <c r="F3918" s="122">
        <f>IFERROR(__xludf.DUMMYFUNCTION("""COMPUTED_VALUE"""),0.0042)</f>
        <v>0.0042</v>
      </c>
    </row>
    <row r="3919">
      <c r="A3919" s="131">
        <f>IFERROR(__xludf.DUMMYFUNCTION("""COMPUTED_VALUE"""),46187.46013888889)</f>
        <v>46187.46014</v>
      </c>
      <c r="B3919" s="126">
        <f>IFERROR(__xludf.DUMMYFUNCTION("""COMPUTED_VALUE"""),46187.0)</f>
        <v>46187</v>
      </c>
      <c r="C3919" s="122" t="str">
        <f>IFERROR(__xludf.DUMMYFUNCTION("""COMPUTED_VALUE"""),"VITA")</f>
        <v>VITA</v>
      </c>
      <c r="D3919" s="122" t="str">
        <f>IFERROR(__xludf.DUMMYFUNCTION("""COMPUTED_VALUE"""),"VitaPlus")</f>
        <v>VitaPlus</v>
      </c>
      <c r="E3919" s="122">
        <f>IFERROR(__xludf.DUMMYFUNCTION("""COMPUTED_VALUE"""),73.97)</f>
        <v>73.97</v>
      </c>
      <c r="F3919" s="122">
        <f>IFERROR(__xludf.DUMMYFUNCTION("""COMPUTED_VALUE"""),-0.0051)</f>
        <v>-0.0051</v>
      </c>
    </row>
    <row r="3920">
      <c r="A3920" s="131">
        <f>IFERROR(__xludf.DUMMYFUNCTION("""COMPUTED_VALUE"""),46187.46013888889)</f>
        <v>46187.46014</v>
      </c>
      <c r="B3920" s="126">
        <f>IFERROR(__xludf.DUMMYFUNCTION("""COMPUTED_VALUE"""),46187.0)</f>
        <v>46187</v>
      </c>
      <c r="C3920" s="122" t="str">
        <f>IFERROR(__xludf.DUMMYFUNCTION("""COMPUTED_VALUE"""),"CARE")</f>
        <v>CARE</v>
      </c>
      <c r="D3920" s="122" t="str">
        <f>IFERROR(__xludf.DUMMYFUNCTION("""COMPUTED_VALUE"""),"CareCloud")</f>
        <v>CareCloud</v>
      </c>
      <c r="E3920" s="122">
        <f>IFERROR(__xludf.DUMMYFUNCTION("""COMPUTED_VALUE"""),177.29)</f>
        <v>177.29</v>
      </c>
      <c r="F3920" s="122">
        <f>IFERROR(__xludf.DUMMYFUNCTION("""COMPUTED_VALUE"""),0.002)</f>
        <v>0.002</v>
      </c>
    </row>
    <row r="3921">
      <c r="A3921" s="131">
        <f>IFERROR(__xludf.DUMMYFUNCTION("""COMPUTED_VALUE"""),46187.46013888889)</f>
        <v>46187.46014</v>
      </c>
      <c r="B3921" s="126">
        <f>IFERROR(__xludf.DUMMYFUNCTION("""COMPUTED_VALUE"""),46187.0)</f>
        <v>46187</v>
      </c>
      <c r="C3921" s="122" t="str">
        <f>IFERROR(__xludf.DUMMYFUNCTION("""COMPUTED_VALUE"""),"DENT")</f>
        <v>DENT</v>
      </c>
      <c r="D3921" s="122" t="str">
        <f>IFERROR(__xludf.DUMMYFUNCTION("""COMPUTED_VALUE"""),"SmileWorks")</f>
        <v>SmileWorks</v>
      </c>
      <c r="E3921" s="122">
        <f>IFERROR(__xludf.DUMMYFUNCTION("""COMPUTED_VALUE"""),85.33)</f>
        <v>85.33</v>
      </c>
      <c r="F3921" s="122">
        <f>IFERROR(__xludf.DUMMYFUNCTION("""COMPUTED_VALUE"""),-0.0026)</f>
        <v>-0.0026</v>
      </c>
    </row>
    <row r="3922">
      <c r="A3922" s="131">
        <f>IFERROR(__xludf.DUMMYFUNCTION("""COMPUTED_VALUE"""),46187.46013888889)</f>
        <v>46187.46014</v>
      </c>
      <c r="B3922" s="126">
        <f>IFERROR(__xludf.DUMMYFUNCTION("""COMPUTED_VALUE"""),46187.0)</f>
        <v>46187</v>
      </c>
      <c r="C3922" s="122" t="str">
        <f>IFERROR(__xludf.DUMMYFUNCTION("""COMPUTED_VALUE"""),"EDUX")</f>
        <v>EDUX</v>
      </c>
      <c r="D3922" s="122" t="str">
        <f>IFERROR(__xludf.DUMMYFUNCTION("""COMPUTED_VALUE"""),"EduMax Learning")</f>
        <v>EduMax Learning</v>
      </c>
      <c r="E3922" s="122">
        <f>IFERROR(__xludf.DUMMYFUNCTION("""COMPUTED_VALUE"""),135.48)</f>
        <v>135.48</v>
      </c>
      <c r="F3922" s="122">
        <f>IFERROR(__xludf.DUMMYFUNCTION("""COMPUTED_VALUE"""),-0.0015)</f>
        <v>-0.0015</v>
      </c>
    </row>
    <row r="3923">
      <c r="A3923" s="131">
        <f>IFERROR(__xludf.DUMMYFUNCTION("""COMPUTED_VALUE"""),46187.46013888889)</f>
        <v>46187.46014</v>
      </c>
      <c r="B3923" s="126">
        <f>IFERROR(__xludf.DUMMYFUNCTION("""COMPUTED_VALUE"""),46187.0)</f>
        <v>46187</v>
      </c>
      <c r="C3923" s="122" t="str">
        <f>IFERROR(__xludf.DUMMYFUNCTION("""COMPUTED_VALUE"""),"BOOK")</f>
        <v>BOOK</v>
      </c>
      <c r="D3923" s="122" t="str">
        <f>IFERROR(__xludf.DUMMYFUNCTION("""COMPUTED_VALUE"""),"BookBridge")</f>
        <v>BookBridge</v>
      </c>
      <c r="E3923" s="122">
        <f>IFERROR(__xludf.DUMMYFUNCTION("""COMPUTED_VALUE"""),116.46)</f>
        <v>116.46</v>
      </c>
      <c r="F3923" s="122">
        <f>IFERROR(__xludf.DUMMYFUNCTION("""COMPUTED_VALUE"""),3.0E-4)</f>
        <v>0.0003</v>
      </c>
    </row>
    <row r="3924">
      <c r="A3924" s="131">
        <f>IFERROR(__xludf.DUMMYFUNCTION("""COMPUTED_VALUE"""),46187.46013888889)</f>
        <v>46187.46014</v>
      </c>
      <c r="B3924" s="126">
        <f>IFERROR(__xludf.DUMMYFUNCTION("""COMPUTED_VALUE"""),46187.0)</f>
        <v>46187</v>
      </c>
      <c r="C3924" s="122" t="str">
        <f>IFERROR(__xludf.DUMMYFUNCTION("""COMPUTED_VALUE"""),"TUTR")</f>
        <v>TUTR</v>
      </c>
      <c r="D3924" s="122" t="str">
        <f>IFERROR(__xludf.DUMMYFUNCTION("""COMPUTED_VALUE"""),"TutorTown")</f>
        <v>TutorTown</v>
      </c>
      <c r="E3924" s="122">
        <f>IFERROR(__xludf.DUMMYFUNCTION("""COMPUTED_VALUE"""),89.33)</f>
        <v>89.33</v>
      </c>
      <c r="F3924" s="122">
        <f>IFERROR(__xludf.DUMMYFUNCTION("""COMPUTED_VALUE"""),-0.0022)</f>
        <v>-0.0022</v>
      </c>
    </row>
    <row r="3925">
      <c r="A3925" s="131">
        <f>IFERROR(__xludf.DUMMYFUNCTION("""COMPUTED_VALUE"""),46187.46013888889)</f>
        <v>46187.46014</v>
      </c>
      <c r="B3925" s="126">
        <f>IFERROR(__xludf.DUMMYFUNCTION("""COMPUTED_VALUE"""),46187.0)</f>
        <v>46187</v>
      </c>
      <c r="C3925" s="122" t="str">
        <f>IFERROR(__xludf.DUMMYFUNCTION("""COMPUTED_VALUE"""),"LANG")</f>
        <v>LANG</v>
      </c>
      <c r="D3925" s="122" t="str">
        <f>IFERROR(__xludf.DUMMYFUNCTION("""COMPUTED_VALUE"""),"LinguaLab")</f>
        <v>LinguaLab</v>
      </c>
      <c r="E3925" s="122">
        <f>IFERROR(__xludf.DUMMYFUNCTION("""COMPUTED_VALUE"""),97.69)</f>
        <v>97.69</v>
      </c>
      <c r="F3925" s="122">
        <f>IFERROR(__xludf.DUMMYFUNCTION("""COMPUTED_VALUE"""),-1.0E-4)</f>
        <v>-0.0001</v>
      </c>
    </row>
    <row r="3926">
      <c r="A3926" s="131">
        <f>IFERROR(__xludf.DUMMYFUNCTION("""COMPUTED_VALUE"""),46187.46013888889)</f>
        <v>46187.46014</v>
      </c>
      <c r="B3926" s="126">
        <f>IFERROR(__xludf.DUMMYFUNCTION("""COMPUTED_VALUE"""),46187.0)</f>
        <v>46187</v>
      </c>
      <c r="C3926" s="122" t="str">
        <f>IFERROR(__xludf.DUMMYFUNCTION("""COMPUTED_VALUE"""),"TEST")</f>
        <v>TEST</v>
      </c>
      <c r="D3926" s="122" t="str">
        <f>IFERROR(__xludf.DUMMYFUNCTION("""COMPUTED_VALUE"""),"TestPrep Pro")</f>
        <v>TestPrep Pro</v>
      </c>
      <c r="E3926" s="122">
        <f>IFERROR(__xludf.DUMMYFUNCTION("""COMPUTED_VALUE"""),97.05)</f>
        <v>97.05</v>
      </c>
      <c r="F3926" s="122">
        <f>IFERROR(__xludf.DUMMYFUNCTION("""COMPUTED_VALUE"""),-0.0059)</f>
        <v>-0.0059</v>
      </c>
    </row>
    <row r="3927">
      <c r="A3927" s="131">
        <f>IFERROR(__xludf.DUMMYFUNCTION("""COMPUTED_VALUE"""),46187.46013888889)</f>
        <v>46187.46014</v>
      </c>
      <c r="B3927" s="126">
        <f>IFERROR(__xludf.DUMMYFUNCTION("""COMPUTED_VALUE"""),46187.0)</f>
        <v>46187</v>
      </c>
      <c r="C3927" s="122" t="str">
        <f>IFERROR(__xludf.DUMMYFUNCTION("""COMPUTED_VALUE"""),"MOVI")</f>
        <v>MOVI</v>
      </c>
      <c r="D3927" s="122" t="str">
        <f>IFERROR(__xludf.DUMMYFUNCTION("""COMPUTED_VALUE"""),"MovieBox")</f>
        <v>MovieBox</v>
      </c>
      <c r="E3927" s="122">
        <f>IFERROR(__xludf.DUMMYFUNCTION("""COMPUTED_VALUE"""),81.75)</f>
        <v>81.75</v>
      </c>
      <c r="F3927" s="122">
        <f>IFERROR(__xludf.DUMMYFUNCTION("""COMPUTED_VALUE"""),-0.0075)</f>
        <v>-0.0075</v>
      </c>
    </row>
    <row r="3928">
      <c r="A3928" s="131">
        <f>IFERROR(__xludf.DUMMYFUNCTION("""COMPUTED_VALUE"""),46187.46013888889)</f>
        <v>46187.46014</v>
      </c>
      <c r="B3928" s="126">
        <f>IFERROR(__xludf.DUMMYFUNCTION("""COMPUTED_VALUE"""),46187.0)</f>
        <v>46187</v>
      </c>
      <c r="C3928" s="122" t="str">
        <f>IFERROR(__xludf.DUMMYFUNCTION("""COMPUTED_VALUE"""),"MUSC")</f>
        <v>MUSC</v>
      </c>
      <c r="D3928" s="122" t="str">
        <f>IFERROR(__xludf.DUMMYFUNCTION("""COMPUTED_VALUE"""),"MusicWave")</f>
        <v>MusicWave</v>
      </c>
      <c r="E3928" s="122">
        <f>IFERROR(__xludf.DUMMYFUNCTION("""COMPUTED_VALUE"""),97.59)</f>
        <v>97.59</v>
      </c>
      <c r="F3928" s="122">
        <f>IFERROR(__xludf.DUMMYFUNCTION("""COMPUTED_VALUE"""),0.0026)</f>
        <v>0.0026</v>
      </c>
    </row>
    <row r="3929">
      <c r="A3929" s="131">
        <f>IFERROR(__xludf.DUMMYFUNCTION("""COMPUTED_VALUE"""),46187.46013888889)</f>
        <v>46187.46014</v>
      </c>
      <c r="B3929" s="126">
        <f>IFERROR(__xludf.DUMMYFUNCTION("""COMPUTED_VALUE"""),46187.0)</f>
        <v>46187</v>
      </c>
      <c r="C3929" s="122" t="str">
        <f>IFERROR(__xludf.DUMMYFUNCTION("""COMPUTED_VALUE"""),"IDOL")</f>
        <v>IDOL</v>
      </c>
      <c r="D3929" s="122" t="str">
        <f>IFERROR(__xludf.DUMMYFUNCTION("""COMPUTED_VALUE"""),"Idol Agency")</f>
        <v>Idol Agency</v>
      </c>
      <c r="E3929" s="122">
        <f>IFERROR(__xludf.DUMMYFUNCTION("""COMPUTED_VALUE"""),196.69)</f>
        <v>196.69</v>
      </c>
      <c r="F3929" s="122">
        <f>IFERROR(__xludf.DUMMYFUNCTION("""COMPUTED_VALUE"""),-0.0075)</f>
        <v>-0.0075</v>
      </c>
    </row>
    <row r="3930">
      <c r="A3930" s="131">
        <f>IFERROR(__xludf.DUMMYFUNCTION("""COMPUTED_VALUE"""),46187.46013888889)</f>
        <v>46187.46014</v>
      </c>
      <c r="B3930" s="126">
        <f>IFERROR(__xludf.DUMMYFUNCTION("""COMPUTED_VALUE"""),46187.0)</f>
        <v>46187</v>
      </c>
      <c r="C3930" s="122" t="str">
        <f>IFERROR(__xludf.DUMMYFUNCTION("""COMPUTED_VALUE"""),"MEME")</f>
        <v>MEME</v>
      </c>
      <c r="D3930" s="122" t="str">
        <f>IFERROR(__xludf.DUMMYFUNCTION("""COMPUTED_VALUE"""),"Meme Media")</f>
        <v>Meme Media</v>
      </c>
      <c r="E3930" s="122">
        <f>IFERROR(__xludf.DUMMYFUNCTION("""COMPUTED_VALUE"""),74.63)</f>
        <v>74.63</v>
      </c>
      <c r="F3930" s="122">
        <f>IFERROR(__xludf.DUMMYFUNCTION("""COMPUTED_VALUE"""),-7.0E-4)</f>
        <v>-0.0007</v>
      </c>
    </row>
    <row r="3931">
      <c r="A3931" s="131">
        <f>IFERROR(__xludf.DUMMYFUNCTION("""COMPUTED_VALUE"""),46187.46013888889)</f>
        <v>46187.46014</v>
      </c>
      <c r="B3931" s="126">
        <f>IFERROR(__xludf.DUMMYFUNCTION("""COMPUTED_VALUE"""),46187.0)</f>
        <v>46187</v>
      </c>
      <c r="C3931" s="122" t="str">
        <f>IFERROR(__xludf.DUMMYFUNCTION("""COMPUTED_VALUE"""),"STRM")</f>
        <v>STRM</v>
      </c>
      <c r="D3931" s="122" t="str">
        <f>IFERROR(__xludf.DUMMYFUNCTION("""COMPUTED_VALUE"""),"Streamly")</f>
        <v>Streamly</v>
      </c>
      <c r="E3931" s="122">
        <f>IFERROR(__xludf.DUMMYFUNCTION("""COMPUTED_VALUE"""),138.46)</f>
        <v>138.46</v>
      </c>
      <c r="F3931" s="122">
        <f>IFERROR(__xludf.DUMMYFUNCTION("""COMPUTED_VALUE"""),-5.0E-4)</f>
        <v>-0.0005</v>
      </c>
    </row>
    <row r="3932">
      <c r="A3932" s="131">
        <f>IFERROR(__xludf.DUMMYFUNCTION("""COMPUTED_VALUE"""),46187.46013888889)</f>
        <v>46187.46014</v>
      </c>
      <c r="B3932" s="126">
        <f>IFERROR(__xludf.DUMMYFUNCTION("""COMPUTED_VALUE"""),46187.0)</f>
        <v>46187</v>
      </c>
      <c r="C3932" s="122" t="str">
        <f>IFERROR(__xludf.DUMMYFUNCTION("""COMPUTED_VALUE"""),"FARM")</f>
        <v>FARM</v>
      </c>
      <c r="D3932" s="122" t="str">
        <f>IFERROR(__xludf.DUMMYFUNCTION("""COMPUTED_VALUE"""),"Future Farms")</f>
        <v>Future Farms</v>
      </c>
      <c r="E3932" s="122">
        <f>IFERROR(__xludf.DUMMYFUNCTION("""COMPUTED_VALUE"""),86.17)</f>
        <v>86.17</v>
      </c>
      <c r="F3932" s="122">
        <f>IFERROR(__xludf.DUMMYFUNCTION("""COMPUTED_VALUE"""),0.0041)</f>
        <v>0.0041</v>
      </c>
    </row>
    <row r="3933">
      <c r="A3933" s="131">
        <f>IFERROR(__xludf.DUMMYFUNCTION("""COMPUTED_VALUE"""),46187.46013888889)</f>
        <v>46187.46014</v>
      </c>
      <c r="B3933" s="126">
        <f>IFERROR(__xludf.DUMMYFUNCTION("""COMPUTED_VALUE"""),46187.0)</f>
        <v>46187</v>
      </c>
      <c r="C3933" s="122" t="str">
        <f>IFERROR(__xludf.DUMMYFUNCTION("""COMPUTED_VALUE"""),"MEAT")</f>
        <v>MEAT</v>
      </c>
      <c r="D3933" s="122" t="str">
        <f>IFERROR(__xludf.DUMMYFUNCTION("""COMPUTED_VALUE"""),"MeatWorks")</f>
        <v>MeatWorks</v>
      </c>
      <c r="E3933" s="122">
        <f>IFERROR(__xludf.DUMMYFUNCTION("""COMPUTED_VALUE"""),104.66)</f>
        <v>104.66</v>
      </c>
      <c r="F3933" s="122">
        <f>IFERROR(__xludf.DUMMYFUNCTION("""COMPUTED_VALUE"""),-2.0E-4)</f>
        <v>-0.0002</v>
      </c>
    </row>
    <row r="3934">
      <c r="A3934" s="131">
        <f>IFERROR(__xludf.DUMMYFUNCTION("""COMPUTED_VALUE"""),46187.46013888889)</f>
        <v>46187.46014</v>
      </c>
      <c r="B3934" s="126">
        <f>IFERROR(__xludf.DUMMYFUNCTION("""COMPUTED_VALUE"""),46187.0)</f>
        <v>46187</v>
      </c>
      <c r="C3934" s="122" t="str">
        <f>IFERROR(__xludf.DUMMYFUNCTION("""COMPUTED_VALUE"""),"VEGI")</f>
        <v>VEGI</v>
      </c>
      <c r="D3934" s="122" t="str">
        <f>IFERROR(__xludf.DUMMYFUNCTION("""COMPUTED_VALUE"""),"Green Basket")</f>
        <v>Green Basket</v>
      </c>
      <c r="E3934" s="122">
        <f>IFERROR(__xludf.DUMMYFUNCTION("""COMPUTED_VALUE"""),80.73)</f>
        <v>80.73</v>
      </c>
      <c r="F3934" s="122">
        <f>IFERROR(__xludf.DUMMYFUNCTION("""COMPUTED_VALUE"""),-0.0047)</f>
        <v>-0.0047</v>
      </c>
    </row>
    <row r="3935">
      <c r="A3935" s="131">
        <f>IFERROR(__xludf.DUMMYFUNCTION("""COMPUTED_VALUE"""),46187.46013888889)</f>
        <v>46187.46014</v>
      </c>
      <c r="B3935" s="126">
        <f>IFERROR(__xludf.DUMMYFUNCTION("""COMPUTED_VALUE"""),46187.0)</f>
        <v>46187</v>
      </c>
      <c r="C3935" s="122" t="str">
        <f>IFERROR(__xludf.DUMMYFUNCTION("""COMPUTED_VALUE"""),"CAFE")</f>
        <v>CAFE</v>
      </c>
      <c r="D3935" s="122" t="str">
        <f>IFERROR(__xludf.DUMMYFUNCTION("""COMPUTED_VALUE"""),"Cafe Cloud")</f>
        <v>Cafe Cloud</v>
      </c>
      <c r="E3935" s="122">
        <f>IFERROR(__xludf.DUMMYFUNCTION("""COMPUTED_VALUE"""),102.51)</f>
        <v>102.51</v>
      </c>
      <c r="F3935" s="122">
        <f>IFERROR(__xludf.DUMMYFUNCTION("""COMPUTED_VALUE"""),0.008)</f>
        <v>0.008</v>
      </c>
    </row>
    <row r="3936">
      <c r="A3936" s="131">
        <f>IFERROR(__xludf.DUMMYFUNCTION("""COMPUTED_VALUE"""),46187.46013888889)</f>
        <v>46187.46014</v>
      </c>
      <c r="B3936" s="126">
        <f>IFERROR(__xludf.DUMMYFUNCTION("""COMPUTED_VALUE"""),46187.0)</f>
        <v>46187</v>
      </c>
      <c r="C3936" s="122" t="str">
        <f>IFERROR(__xludf.DUMMYFUNCTION("""COMPUTED_VALUE"""),"BAKE")</f>
        <v>BAKE</v>
      </c>
      <c r="D3936" s="122" t="str">
        <f>IFERROR(__xludf.DUMMYFUNCTION("""COMPUTED_VALUE"""),"BakeHouse")</f>
        <v>BakeHouse</v>
      </c>
      <c r="E3936" s="122">
        <f>IFERROR(__xludf.DUMMYFUNCTION("""COMPUTED_VALUE"""),100.41)</f>
        <v>100.41</v>
      </c>
      <c r="F3936" s="122">
        <f>IFERROR(__xludf.DUMMYFUNCTION("""COMPUTED_VALUE"""),0.0029)</f>
        <v>0.0029</v>
      </c>
    </row>
    <row r="3937">
      <c r="A3937" s="131">
        <f>IFERROR(__xludf.DUMMYFUNCTION("""COMPUTED_VALUE"""),46187.46013888889)</f>
        <v>46187.46014</v>
      </c>
      <c r="B3937" s="126">
        <f>IFERROR(__xludf.DUMMYFUNCTION("""COMPUTED_VALUE"""),46187.0)</f>
        <v>46187</v>
      </c>
      <c r="C3937" s="122" t="str">
        <f>IFERROR(__xludf.DUMMYFUNCTION("""COMPUTED_VALUE"""),"OILX")</f>
        <v>OILX</v>
      </c>
      <c r="D3937" s="122" t="str">
        <f>IFERROR(__xludf.DUMMYFUNCTION("""COMPUTED_VALUE"""),"OilMax Energy")</f>
        <v>OilMax Energy</v>
      </c>
      <c r="E3937" s="122">
        <f>IFERROR(__xludf.DUMMYFUNCTION("""COMPUTED_VALUE"""),130.92)</f>
        <v>130.92</v>
      </c>
      <c r="F3937" s="122">
        <f>IFERROR(__xludf.DUMMYFUNCTION("""COMPUTED_VALUE"""),0.0072)</f>
        <v>0.0072</v>
      </c>
    </row>
    <row r="3938">
      <c r="A3938" s="131">
        <f>IFERROR(__xludf.DUMMYFUNCTION("""COMPUTED_VALUE"""),46187.46013888889)</f>
        <v>46187.46014</v>
      </c>
      <c r="B3938" s="126">
        <f>IFERROR(__xludf.DUMMYFUNCTION("""COMPUTED_VALUE"""),46187.0)</f>
        <v>46187</v>
      </c>
      <c r="C3938" s="122" t="str">
        <f>IFERROR(__xludf.DUMMYFUNCTION("""COMPUTED_VALUE"""),"SOLR")</f>
        <v>SOLR</v>
      </c>
      <c r="D3938" s="122" t="str">
        <f>IFERROR(__xludf.DUMMYFUNCTION("""COMPUTED_VALUE"""),"SolarSpark")</f>
        <v>SolarSpark</v>
      </c>
      <c r="E3938" s="122">
        <f>IFERROR(__xludf.DUMMYFUNCTION("""COMPUTED_VALUE"""),92.32)</f>
        <v>92.32</v>
      </c>
      <c r="F3938" s="122">
        <f>IFERROR(__xludf.DUMMYFUNCTION("""COMPUTED_VALUE"""),0.0089)</f>
        <v>0.0089</v>
      </c>
    </row>
    <row r="3939">
      <c r="A3939" s="131">
        <f>IFERROR(__xludf.DUMMYFUNCTION("""COMPUTED_VALUE"""),46187.46013888889)</f>
        <v>46187.46014</v>
      </c>
      <c r="B3939" s="126">
        <f>IFERROR(__xludf.DUMMYFUNCTION("""COMPUTED_VALUE"""),46187.0)</f>
        <v>46187</v>
      </c>
      <c r="C3939" s="122" t="str">
        <f>IFERROR(__xludf.DUMMYFUNCTION("""COMPUTED_VALUE"""),"BATT")</f>
        <v>BATT</v>
      </c>
      <c r="D3939" s="122" t="str">
        <f>IFERROR(__xludf.DUMMYFUNCTION("""COMPUTED_VALUE"""),"BatteryBox")</f>
        <v>BatteryBox</v>
      </c>
      <c r="E3939" s="122">
        <f>IFERROR(__xludf.DUMMYFUNCTION("""COMPUTED_VALUE"""),122.5)</f>
        <v>122.5</v>
      </c>
      <c r="F3939" s="122">
        <f>IFERROR(__xludf.DUMMYFUNCTION("""COMPUTED_VALUE"""),0.0091)</f>
        <v>0.0091</v>
      </c>
    </row>
    <row r="3940">
      <c r="A3940" s="131">
        <f>IFERROR(__xludf.DUMMYFUNCTION("""COMPUTED_VALUE"""),46187.46013888889)</f>
        <v>46187.46014</v>
      </c>
      <c r="B3940" s="126">
        <f>IFERROR(__xludf.DUMMYFUNCTION("""COMPUTED_VALUE"""),46187.0)</f>
        <v>46187</v>
      </c>
      <c r="C3940" s="122" t="str">
        <f>IFERROR(__xludf.DUMMYFUNCTION("""COMPUTED_VALUE"""),"WIND")</f>
        <v>WIND</v>
      </c>
      <c r="D3940" s="122" t="str">
        <f>IFERROR(__xludf.DUMMYFUNCTION("""COMPUTED_VALUE"""),"WindWorks")</f>
        <v>WindWorks</v>
      </c>
      <c r="E3940" s="122">
        <f>IFERROR(__xludf.DUMMYFUNCTION("""COMPUTED_VALUE"""),88.27)</f>
        <v>88.27</v>
      </c>
      <c r="F3940" s="122">
        <f>IFERROR(__xludf.DUMMYFUNCTION("""COMPUTED_VALUE"""),-0.0038)</f>
        <v>-0.0038</v>
      </c>
    </row>
    <row r="3941">
      <c r="A3941" s="131">
        <f>IFERROR(__xludf.DUMMYFUNCTION("""COMPUTED_VALUE"""),46187.46013888889)</f>
        <v>46187.46014</v>
      </c>
      <c r="B3941" s="126">
        <f>IFERROR(__xludf.DUMMYFUNCTION("""COMPUTED_VALUE"""),46187.0)</f>
        <v>46187</v>
      </c>
      <c r="C3941" s="122" t="str">
        <f>IFERROR(__xludf.DUMMYFUNCTION("""COMPUTED_VALUE"""),"GRID")</f>
        <v>GRID</v>
      </c>
      <c r="D3941" s="122" t="str">
        <f>IFERROR(__xludf.DUMMYFUNCTION("""COMPUTED_VALUE"""),"GridPower")</f>
        <v>GridPower</v>
      </c>
      <c r="E3941" s="122">
        <f>IFERROR(__xludf.DUMMYFUNCTION("""COMPUTED_VALUE"""),140.11)</f>
        <v>140.11</v>
      </c>
      <c r="F3941" s="122">
        <f>IFERROR(__xludf.DUMMYFUNCTION("""COMPUTED_VALUE"""),0.0023)</f>
        <v>0.0023</v>
      </c>
    </row>
    <row r="3942">
      <c r="A3942" s="131">
        <f>IFERROR(__xludf.DUMMYFUNCTION("""COMPUTED_VALUE"""),46187.46013888889)</f>
        <v>46187.46014</v>
      </c>
      <c r="B3942" s="126">
        <f>IFERROR(__xludf.DUMMYFUNCTION("""COMPUTED_VALUE"""),46187.0)</f>
        <v>46187</v>
      </c>
      <c r="C3942" s="122" t="str">
        <f>IFERROR(__xludf.DUMMYFUNCTION("""COMPUTED_VALUE"""),"HOME")</f>
        <v>HOME</v>
      </c>
      <c r="D3942" s="122" t="str">
        <f>IFERROR(__xludf.DUMMYFUNCTION("""COMPUTED_VALUE"""),"HomeHub")</f>
        <v>HomeHub</v>
      </c>
      <c r="E3942" s="122">
        <f>IFERROR(__xludf.DUMMYFUNCTION("""COMPUTED_VALUE"""),151.98)</f>
        <v>151.98</v>
      </c>
      <c r="F3942" s="122">
        <f>IFERROR(__xludf.DUMMYFUNCTION("""COMPUTED_VALUE"""),0.0052)</f>
        <v>0.0052</v>
      </c>
    </row>
    <row r="3943">
      <c r="A3943" s="131">
        <f>IFERROR(__xludf.DUMMYFUNCTION("""COMPUTED_VALUE"""),46187.46013888889)</f>
        <v>46187.46014</v>
      </c>
      <c r="B3943" s="126">
        <f>IFERROR(__xludf.DUMMYFUNCTION("""COMPUTED_VALUE"""),46187.0)</f>
        <v>46187</v>
      </c>
      <c r="C3943" s="122" t="str">
        <f>IFERROR(__xludf.DUMMYFUNCTION("""COMPUTED_VALUE"""),"RENT")</f>
        <v>RENT</v>
      </c>
      <c r="D3943" s="122" t="str">
        <f>IFERROR(__xludf.DUMMYFUNCTION("""COMPUTED_VALUE"""),"RentRight")</f>
        <v>RentRight</v>
      </c>
      <c r="E3943" s="122">
        <f>IFERROR(__xludf.DUMMYFUNCTION("""COMPUTED_VALUE"""),92.78)</f>
        <v>92.78</v>
      </c>
      <c r="F3943" s="122">
        <f>IFERROR(__xludf.DUMMYFUNCTION("""COMPUTED_VALUE"""),0.0031)</f>
        <v>0.0031</v>
      </c>
    </row>
    <row r="3944">
      <c r="A3944" s="131">
        <f>IFERROR(__xludf.DUMMYFUNCTION("""COMPUTED_VALUE"""),46187.46013888889)</f>
        <v>46187.46014</v>
      </c>
      <c r="B3944" s="126">
        <f>IFERROR(__xludf.DUMMYFUNCTION("""COMPUTED_VALUE"""),46187.0)</f>
        <v>46187</v>
      </c>
      <c r="C3944" s="122" t="str">
        <f>IFERROR(__xludf.DUMMYFUNCTION("""COMPUTED_VALUE"""),"MALL")</f>
        <v>MALL</v>
      </c>
      <c r="D3944" s="122" t="str">
        <f>IFERROR(__xludf.DUMMYFUNCTION("""COMPUTED_VALUE"""),"MegaMall")</f>
        <v>MegaMall</v>
      </c>
      <c r="E3944" s="122">
        <f>IFERROR(__xludf.DUMMYFUNCTION("""COMPUTED_VALUE"""),101.91)</f>
        <v>101.91</v>
      </c>
      <c r="F3944" s="122">
        <f>IFERROR(__xludf.DUMMYFUNCTION("""COMPUTED_VALUE"""),-9.0E-4)</f>
        <v>-0.0009</v>
      </c>
    </row>
    <row r="3945">
      <c r="A3945" s="131">
        <f>IFERROR(__xludf.DUMMYFUNCTION("""COMPUTED_VALUE"""),46187.46013888889)</f>
        <v>46187.46014</v>
      </c>
      <c r="B3945" s="126">
        <f>IFERROR(__xludf.DUMMYFUNCTION("""COMPUTED_VALUE"""),46187.0)</f>
        <v>46187</v>
      </c>
      <c r="C3945" s="122" t="str">
        <f>IFERROR(__xludf.DUMMYFUNCTION("""COMPUTED_VALUE"""),"HOTL")</f>
        <v>HOTL</v>
      </c>
      <c r="D3945" s="122" t="str">
        <f>IFERROR(__xludf.DUMMYFUNCTION("""COMPUTED_VALUE"""),"HotelHive")</f>
        <v>HotelHive</v>
      </c>
      <c r="E3945" s="122">
        <f>IFERROR(__xludf.DUMMYFUNCTION("""COMPUTED_VALUE"""),130.17)</f>
        <v>130.17</v>
      </c>
      <c r="F3945" s="122">
        <f>IFERROR(__xludf.DUMMYFUNCTION("""COMPUTED_VALUE"""),1.0E-4)</f>
        <v>0.0001</v>
      </c>
    </row>
    <row r="3946">
      <c r="A3946" s="131">
        <f>IFERROR(__xludf.DUMMYFUNCTION("""COMPUTED_VALUE"""),46187.46013888889)</f>
        <v>46187.46014</v>
      </c>
      <c r="B3946" s="126">
        <f>IFERROR(__xludf.DUMMYFUNCTION("""COMPUTED_VALUE"""),46187.0)</f>
        <v>46187</v>
      </c>
      <c r="C3946" s="122" t="str">
        <f>IFERROR(__xludf.DUMMYFUNCTION("""COMPUTED_VALUE"""),"LAND")</f>
        <v>LAND</v>
      </c>
      <c r="D3946" s="122" t="str">
        <f>IFERROR(__xludf.DUMMYFUNCTION("""COMPUTED_VALUE"""),"LandLink")</f>
        <v>LandLink</v>
      </c>
      <c r="E3946" s="122">
        <f>IFERROR(__xludf.DUMMYFUNCTION("""COMPUTED_VALUE"""),183.34)</f>
        <v>183.34</v>
      </c>
      <c r="F3946" s="122">
        <f>IFERROR(__xludf.DUMMYFUNCTION("""COMPUTED_VALUE"""),0.0027)</f>
        <v>0.0027</v>
      </c>
    </row>
    <row r="3947">
      <c r="A3947" s="131">
        <f>IFERROR(__xludf.DUMMYFUNCTION("""COMPUTED_VALUE"""),46187.46013888889)</f>
        <v>46187.46014</v>
      </c>
      <c r="B3947" s="126">
        <f>IFERROR(__xludf.DUMMYFUNCTION("""COMPUTED_VALUE"""),46187.0)</f>
        <v>46187</v>
      </c>
      <c r="C3947" s="122" t="str">
        <f>IFERROR(__xludf.DUMMYFUNCTION("""COMPUTED_VALUE"""),"CARS")</f>
        <v>CARS</v>
      </c>
      <c r="D3947" s="122" t="str">
        <f>IFERROR(__xludf.DUMMYFUNCTION("""COMPUTED_VALUE"""),"AutoArena")</f>
        <v>AutoArena</v>
      </c>
      <c r="E3947" s="122">
        <f>IFERROR(__xludf.DUMMYFUNCTION("""COMPUTED_VALUE"""),81.14)</f>
        <v>81.14</v>
      </c>
      <c r="F3947" s="122">
        <f>IFERROR(__xludf.DUMMYFUNCTION("""COMPUTED_VALUE"""),-0.0051)</f>
        <v>-0.0051</v>
      </c>
    </row>
    <row r="3948">
      <c r="A3948" s="131">
        <f>IFERROR(__xludf.DUMMYFUNCTION("""COMPUTED_VALUE"""),46187.46013888889)</f>
        <v>46187.46014</v>
      </c>
      <c r="B3948" s="126">
        <f>IFERROR(__xludf.DUMMYFUNCTION("""COMPUTED_VALUE"""),46187.0)</f>
        <v>46187</v>
      </c>
      <c r="C3948" s="122" t="str">
        <f>IFERROR(__xludf.DUMMYFUNCTION("""COMPUTED_VALUE"""),"EVGO")</f>
        <v>EVGO</v>
      </c>
      <c r="D3948" s="122" t="str">
        <f>IFERROR(__xludf.DUMMYFUNCTION("""COMPUTED_VALUE"""),"EVGo Motors")</f>
        <v>EVGo Motors</v>
      </c>
      <c r="E3948" s="122">
        <f>IFERROR(__xludf.DUMMYFUNCTION("""COMPUTED_VALUE"""),187.21)</f>
        <v>187.21</v>
      </c>
      <c r="F3948" s="122">
        <f>IFERROR(__xludf.DUMMYFUNCTION("""COMPUTED_VALUE"""),0.0062)</f>
        <v>0.0062</v>
      </c>
    </row>
    <row r="3949">
      <c r="A3949" s="131">
        <f>IFERROR(__xludf.DUMMYFUNCTION("""COMPUTED_VALUE"""),46187.46013888889)</f>
        <v>46187.46014</v>
      </c>
      <c r="B3949" s="126">
        <f>IFERROR(__xludf.DUMMYFUNCTION("""COMPUTED_VALUE"""),46187.0)</f>
        <v>46187</v>
      </c>
      <c r="C3949" s="122" t="str">
        <f>IFERROR(__xludf.DUMMYFUNCTION("""COMPUTED_VALUE"""),"TIRE")</f>
        <v>TIRE</v>
      </c>
      <c r="D3949" s="122" t="str">
        <f>IFERROR(__xludf.DUMMYFUNCTION("""COMPUTED_VALUE"""),"TireTown")</f>
        <v>TireTown</v>
      </c>
      <c r="E3949" s="122">
        <f>IFERROR(__xludf.DUMMYFUNCTION("""COMPUTED_VALUE"""),95.19)</f>
        <v>95.19</v>
      </c>
      <c r="F3949" s="122">
        <f>IFERROR(__xludf.DUMMYFUNCTION("""COMPUTED_VALUE"""),2.0E-4)</f>
        <v>0.0002</v>
      </c>
    </row>
    <row r="3950">
      <c r="A3950" s="131">
        <f>IFERROR(__xludf.DUMMYFUNCTION("""COMPUTED_VALUE"""),46187.46013888889)</f>
        <v>46187.46014</v>
      </c>
      <c r="B3950" s="126">
        <f>IFERROR(__xludf.DUMMYFUNCTION("""COMPUTED_VALUE"""),46187.0)</f>
        <v>46187</v>
      </c>
      <c r="C3950" s="122" t="str">
        <f>IFERROR(__xludf.DUMMYFUNCTION("""COMPUTED_VALUE"""),"BIKE")</f>
        <v>BIKE</v>
      </c>
      <c r="D3950" s="122" t="str">
        <f>IFERROR(__xludf.DUMMYFUNCTION("""COMPUTED_VALUE"""),"BikeBox")</f>
        <v>BikeBox</v>
      </c>
      <c r="E3950" s="122">
        <f>IFERROR(__xludf.DUMMYFUNCTION("""COMPUTED_VALUE"""),52.86)</f>
        <v>52.86</v>
      </c>
      <c r="F3950" s="122">
        <f>IFERROR(__xludf.DUMMYFUNCTION("""COMPUTED_VALUE"""),-0.0032)</f>
        <v>-0.0032</v>
      </c>
    </row>
    <row r="3951">
      <c r="A3951" s="131">
        <f>IFERROR(__xludf.DUMMYFUNCTION("""COMPUTED_VALUE"""),46187.46013888889)</f>
        <v>46187.46014</v>
      </c>
      <c r="B3951" s="126">
        <f>IFERROR(__xludf.DUMMYFUNCTION("""COMPUTED_VALUE"""),46187.0)</f>
        <v>46187</v>
      </c>
      <c r="C3951" s="122" t="str">
        <f>IFERROR(__xludf.DUMMYFUNCTION("""COMPUTED_VALUE"""),"WASH")</f>
        <v>WASH</v>
      </c>
      <c r="D3951" s="122" t="str">
        <f>IFERROR(__xludf.DUMMYFUNCTION("""COMPUTED_VALUE"""),"CarWash Co")</f>
        <v>CarWash Co</v>
      </c>
      <c r="E3951" s="122">
        <f>IFERROR(__xludf.DUMMYFUNCTION("""COMPUTED_VALUE"""),119.92)</f>
        <v>119.92</v>
      </c>
      <c r="F3951" s="122">
        <f>IFERROR(__xludf.DUMMYFUNCTION("""COMPUTED_VALUE"""),0.0039)</f>
        <v>0.0039</v>
      </c>
    </row>
    <row r="3952">
      <c r="A3952" s="131">
        <f>IFERROR(__xludf.DUMMYFUNCTION("""COMPUTED_VALUE"""),46187.46013888889)</f>
        <v>46187.46014</v>
      </c>
      <c r="B3952" s="126">
        <f>IFERROR(__xludf.DUMMYFUNCTION("""COMPUTED_VALUE"""),46187.0)</f>
        <v>46187</v>
      </c>
      <c r="C3952" s="122" t="str">
        <f>IFERROR(__xludf.DUMMYFUNCTION("""COMPUTED_VALUE"""),"GBND")</f>
        <v>GBND</v>
      </c>
      <c r="D3952" s="122" t="str">
        <f>IFERROR(__xludf.DUMMYFUNCTION("""COMPUTED_VALUE"""),"Classroom Government Bond")</f>
        <v>Classroom Government Bond</v>
      </c>
      <c r="E3952" s="122">
        <f>IFERROR(__xludf.DUMMYFUNCTION("""COMPUTED_VALUE"""),100.98)</f>
        <v>100.98</v>
      </c>
      <c r="F3952" s="122">
        <f>IFERROR(__xludf.DUMMYFUNCTION("""COMPUTED_VALUE"""),2.0E-4)</f>
        <v>0.0002</v>
      </c>
    </row>
    <row r="3953">
      <c r="A3953" s="131">
        <f>IFERROR(__xludf.DUMMYFUNCTION("""COMPUTED_VALUE"""),46187.46013888889)</f>
        <v>46187.46014</v>
      </c>
      <c r="B3953" s="126">
        <f>IFERROR(__xludf.DUMMYFUNCTION("""COMPUTED_VALUE"""),46187.0)</f>
        <v>46187</v>
      </c>
      <c r="C3953" s="122" t="str">
        <f>IFERROR(__xludf.DUMMYFUNCTION("""COMPUTED_VALUE"""),"SBND")</f>
        <v>SBND</v>
      </c>
      <c r="D3953" s="122" t="str">
        <f>IFERROR(__xludf.DUMMYFUNCTION("""COMPUTED_VALUE"""),"School Savings Bond")</f>
        <v>School Savings Bond</v>
      </c>
      <c r="E3953" s="122">
        <f>IFERROR(__xludf.DUMMYFUNCTION("""COMPUTED_VALUE"""),99.56)</f>
        <v>99.56</v>
      </c>
      <c r="F3953" s="122">
        <f>IFERROR(__xludf.DUMMYFUNCTION("""COMPUTED_VALUE"""),2.0E-4)</f>
        <v>0.0002</v>
      </c>
    </row>
    <row r="3954">
      <c r="A3954" s="131">
        <f>IFERROR(__xludf.DUMMYFUNCTION("""COMPUTED_VALUE"""),46187.46013888889)</f>
        <v>46187.46014</v>
      </c>
      <c r="B3954" s="126">
        <f>IFERROR(__xludf.DUMMYFUNCTION("""COMPUTED_VALUE"""),46187.0)</f>
        <v>46187</v>
      </c>
      <c r="C3954" s="122" t="str">
        <f>IFERROR(__xludf.DUMMYFUNCTION("""COMPUTED_VALUE"""),"CBND")</f>
        <v>CBND</v>
      </c>
      <c r="D3954" s="122" t="str">
        <f>IFERROR(__xludf.DUMMYFUNCTION("""COMPUTED_VALUE"""),"Corporate Classroom Bond")</f>
        <v>Corporate Classroom Bond</v>
      </c>
      <c r="E3954" s="122">
        <f>IFERROR(__xludf.DUMMYFUNCTION("""COMPUTED_VALUE"""),97.76)</f>
        <v>97.76</v>
      </c>
      <c r="F3954" s="122">
        <f>IFERROR(__xludf.DUMMYFUNCTION("""COMPUTED_VALUE"""),4.0E-4)</f>
        <v>0.0004</v>
      </c>
    </row>
    <row r="3955">
      <c r="A3955" s="131">
        <f>IFERROR(__xludf.DUMMYFUNCTION("""COMPUTED_VALUE"""),46187.46013888889)</f>
        <v>46187.46014</v>
      </c>
      <c r="B3955" s="126">
        <f>IFERROR(__xludf.DUMMYFUNCTION("""COMPUTED_VALUE"""),46187.0)</f>
        <v>46187</v>
      </c>
      <c r="C3955" s="122" t="str">
        <f>IFERROR(__xludf.DUMMYFUNCTION("""COMPUTED_VALUE"""),"TBIL")</f>
        <v>TBIL</v>
      </c>
      <c r="D3955" s="122" t="str">
        <f>IFERROR(__xludf.DUMMYFUNCTION("""COMPUTED_VALUE"""),"Treasury Bill")</f>
        <v>Treasury Bill</v>
      </c>
      <c r="E3955" s="122">
        <f>IFERROR(__xludf.DUMMYFUNCTION("""COMPUTED_VALUE"""),98.02)</f>
        <v>98.02</v>
      </c>
      <c r="F3955" s="122">
        <f>IFERROR(__xludf.DUMMYFUNCTION("""COMPUTED_VALUE"""),-3.0E-4)</f>
        <v>-0.0003</v>
      </c>
    </row>
    <row r="3956">
      <c r="A3956" s="131">
        <f>IFERROR(__xludf.DUMMYFUNCTION("""COMPUTED_VALUE"""),46187.46013888889)</f>
        <v>46187.46014</v>
      </c>
      <c r="B3956" s="126">
        <f>IFERROR(__xludf.DUMMYFUNCTION("""COMPUTED_VALUE"""),46187.0)</f>
        <v>46187</v>
      </c>
      <c r="C3956" s="122" t="str">
        <f>IFERROR(__xludf.DUMMYFUNCTION("""COMPUTED_VALUE"""),"IBND")</f>
        <v>IBND</v>
      </c>
      <c r="D3956" s="122" t="str">
        <f>IFERROR(__xludf.DUMMYFUNCTION("""COMPUTED_VALUE"""),"Inflation Protected Bond")</f>
        <v>Inflation Protected Bond</v>
      </c>
      <c r="E3956" s="122">
        <f>IFERROR(__xludf.DUMMYFUNCTION("""COMPUTED_VALUE"""),100.72)</f>
        <v>100.72</v>
      </c>
      <c r="F3956" s="122">
        <f>IFERROR(__xludf.DUMMYFUNCTION("""COMPUTED_VALUE"""),4.0E-4)</f>
        <v>0.0004</v>
      </c>
    </row>
    <row r="3957">
      <c r="A3957" s="131">
        <f>IFERROR(__xludf.DUMMYFUNCTION("""COMPUTED_VALUE"""),46187.46130787037)</f>
        <v>46187.46131</v>
      </c>
      <c r="B3957" s="126">
        <f>IFERROR(__xludf.DUMMYFUNCTION("""COMPUTED_VALUE"""),46187.0)</f>
        <v>46187</v>
      </c>
      <c r="C3957" s="130">
        <f>IFERROR(__xludf.DUMMYFUNCTION("""COMPUTED_VALUE"""),0.46130787037037035)</f>
        <v>0.4613078704</v>
      </c>
      <c r="D3957" s="122" t="str">
        <f>IFERROR(__xludf.DUMMYFUNCTION("""COMPUTED_VALUE"""),"SNAX")</f>
        <v>SNAX</v>
      </c>
      <c r="E3957" s="122" t="str">
        <f>IFERROR(__xludf.DUMMYFUNCTION("""COMPUTED_VALUE"""),"MICA Snacks")</f>
        <v>MICA Snacks</v>
      </c>
      <c r="F3957" s="122" t="str">
        <f>IFERROR(__xludf.DUMMYFUNCTION("""COMPUTED_VALUE"""),"Consumer Goods")</f>
        <v>Consumer Goods</v>
      </c>
    </row>
    <row r="3958">
      <c r="A3958" s="131">
        <f>IFERROR(__xludf.DUMMYFUNCTION("""COMPUTED_VALUE"""),46187.46130787037)</f>
        <v>46187.46131</v>
      </c>
      <c r="B3958" s="126">
        <f>IFERROR(__xludf.DUMMYFUNCTION("""COMPUTED_VALUE"""),46187.0)</f>
        <v>46187</v>
      </c>
      <c r="C3958" s="130">
        <f>IFERROR(__xludf.DUMMYFUNCTION("""COMPUTED_VALUE"""),0.46130787037037035)</f>
        <v>0.4613078704</v>
      </c>
      <c r="D3958" s="122" t="str">
        <f>IFERROR(__xludf.DUMMYFUNCTION("""COMPUTED_VALUE"""),"RAMN")</f>
        <v>RAMN</v>
      </c>
      <c r="E3958" s="122" t="str">
        <f>IFERROR(__xludf.DUMMYFUNCTION("""COMPUTED_VALUE"""),"Ramen Republic")</f>
        <v>Ramen Republic</v>
      </c>
      <c r="F3958" s="122" t="str">
        <f>IFERROR(__xludf.DUMMYFUNCTION("""COMPUTED_VALUE"""),"Food")</f>
        <v>Food</v>
      </c>
    </row>
    <row r="3959">
      <c r="A3959" s="131">
        <f>IFERROR(__xludf.DUMMYFUNCTION("""COMPUTED_VALUE"""),46187.46130787037)</f>
        <v>46187.46131</v>
      </c>
      <c r="B3959" s="126">
        <f>IFERROR(__xludf.DUMMYFUNCTION("""COMPUTED_VALUE"""),46187.0)</f>
        <v>46187</v>
      </c>
      <c r="C3959" s="130">
        <f>IFERROR(__xludf.DUMMYFUNCTION("""COMPUTED_VALUE"""),0.46130787037037035)</f>
        <v>0.4613078704</v>
      </c>
      <c r="D3959" s="122" t="str">
        <f>IFERROR(__xludf.DUMMYFUNCTION("""COMPUTED_VALUE"""),"COLA")</f>
        <v>COLA</v>
      </c>
      <c r="E3959" s="122" t="str">
        <f>IFERROR(__xludf.DUMMYFUNCTION("""COMPUTED_VALUE"""),"K-Pop Cola")</f>
        <v>K-Pop Cola</v>
      </c>
      <c r="F3959" s="122" t="str">
        <f>IFERROR(__xludf.DUMMYFUNCTION("""COMPUTED_VALUE"""),"Beverage")</f>
        <v>Beverage</v>
      </c>
    </row>
    <row r="3960">
      <c r="A3960" s="131">
        <f>IFERROR(__xludf.DUMMYFUNCTION("""COMPUTED_VALUE"""),46187.46130787037)</f>
        <v>46187.46131</v>
      </c>
      <c r="B3960" s="126">
        <f>IFERROR(__xludf.DUMMYFUNCTION("""COMPUTED_VALUE"""),46187.0)</f>
        <v>46187</v>
      </c>
      <c r="C3960" s="130">
        <f>IFERROR(__xludf.DUMMYFUNCTION("""COMPUTED_VALUE"""),0.46130787037037035)</f>
        <v>0.4613078704</v>
      </c>
      <c r="D3960" s="122" t="str">
        <f>IFERROR(__xludf.DUMMYFUNCTION("""COMPUTED_VALUE"""),"CHIP")</f>
        <v>CHIP</v>
      </c>
      <c r="E3960" s="122" t="str">
        <f>IFERROR(__xludf.DUMMYFUNCTION("""COMPUTED_VALUE"""),"Chip Empire")</f>
        <v>Chip Empire</v>
      </c>
      <c r="F3960" s="122" t="str">
        <f>IFERROR(__xludf.DUMMYFUNCTION("""COMPUTED_VALUE"""),"Consumer Goods")</f>
        <v>Consumer Goods</v>
      </c>
    </row>
    <row r="3961">
      <c r="A3961" s="131">
        <f>IFERROR(__xludf.DUMMYFUNCTION("""COMPUTED_VALUE"""),46187.46130787037)</f>
        <v>46187.46131</v>
      </c>
      <c r="B3961" s="126">
        <f>IFERROR(__xludf.DUMMYFUNCTION("""COMPUTED_VALUE"""),46187.0)</f>
        <v>46187</v>
      </c>
      <c r="C3961" s="130">
        <f>IFERROR(__xludf.DUMMYFUNCTION("""COMPUTED_VALUE"""),0.46130787037037035)</f>
        <v>0.4613078704</v>
      </c>
      <c r="D3961" s="122" t="str">
        <f>IFERROR(__xludf.DUMMYFUNCTION("""COMPUTED_VALUE"""),"CAND")</f>
        <v>CAND</v>
      </c>
      <c r="E3961" s="122" t="str">
        <f>IFERROR(__xludf.DUMMYFUNCTION("""COMPUTED_VALUE"""),"Candy Capital")</f>
        <v>Candy Capital</v>
      </c>
      <c r="F3961" s="122" t="str">
        <f>IFERROR(__xludf.DUMMYFUNCTION("""COMPUTED_VALUE"""),"Consumer Goods")</f>
        <v>Consumer Goods</v>
      </c>
    </row>
    <row r="3962">
      <c r="A3962" s="131">
        <f>IFERROR(__xludf.DUMMYFUNCTION("""COMPUTED_VALUE"""),46187.46130787037)</f>
        <v>46187.46131</v>
      </c>
      <c r="B3962" s="126">
        <f>IFERROR(__xludf.DUMMYFUNCTION("""COMPUTED_VALUE"""),46187.0)</f>
        <v>46187</v>
      </c>
      <c r="C3962" s="130">
        <f>IFERROR(__xludf.DUMMYFUNCTION("""COMPUTED_VALUE"""),0.46130787037037035)</f>
        <v>0.4613078704</v>
      </c>
      <c r="D3962" s="122" t="str">
        <f>IFERROR(__xludf.DUMMYFUNCTION("""COMPUTED_VALUE"""),"TECH")</f>
        <v>TECH</v>
      </c>
      <c r="E3962" s="122" t="str">
        <f>IFERROR(__xludf.DUMMYFUNCTION("""COMPUTED_VALUE"""),"Dragon Tech")</f>
        <v>Dragon Tech</v>
      </c>
      <c r="F3962" s="122" t="str">
        <f>IFERROR(__xludf.DUMMYFUNCTION("""COMPUTED_VALUE"""),"Technology")</f>
        <v>Technology</v>
      </c>
    </row>
    <row r="3963">
      <c r="A3963" s="131">
        <f>IFERROR(__xludf.DUMMYFUNCTION("""COMPUTED_VALUE"""),46187.46130787037)</f>
        <v>46187.46131</v>
      </c>
      <c r="B3963" s="126">
        <f>IFERROR(__xludf.DUMMYFUNCTION("""COMPUTED_VALUE"""),46187.0)</f>
        <v>46187</v>
      </c>
      <c r="C3963" s="130">
        <f>IFERROR(__xludf.DUMMYFUNCTION("""COMPUTED_VALUE"""),0.46130787037037035)</f>
        <v>0.4613078704</v>
      </c>
      <c r="D3963" s="122" t="str">
        <f>IFERROR(__xludf.DUMMYFUNCTION("""COMPUTED_VALUE"""),"AIBO")</f>
        <v>AIBO</v>
      </c>
      <c r="E3963" s="122" t="str">
        <f>IFERROR(__xludf.DUMMYFUNCTION("""COMPUTED_VALUE"""),"Homework AI")</f>
        <v>Homework AI</v>
      </c>
      <c r="F3963" s="122" t="str">
        <f>IFERROR(__xludf.DUMMYFUNCTION("""COMPUTED_VALUE"""),"Technology")</f>
        <v>Technology</v>
      </c>
    </row>
    <row r="3964">
      <c r="A3964" s="131">
        <f>IFERROR(__xludf.DUMMYFUNCTION("""COMPUTED_VALUE"""),46187.46130787037)</f>
        <v>46187.46131</v>
      </c>
      <c r="B3964" s="126">
        <f>IFERROR(__xludf.DUMMYFUNCTION("""COMPUTED_VALUE"""),46187.0)</f>
        <v>46187</v>
      </c>
      <c r="C3964" s="130">
        <f>IFERROR(__xludf.DUMMYFUNCTION("""COMPUTED_VALUE"""),0.46130787037037035)</f>
        <v>0.4613078704</v>
      </c>
      <c r="D3964" s="122" t="str">
        <f>IFERROR(__xludf.DUMMYFUNCTION("""COMPUTED_VALUE"""),"GAME")</f>
        <v>GAME</v>
      </c>
      <c r="E3964" s="122" t="str">
        <f>IFERROR(__xludf.DUMMYFUNCTION("""COMPUTED_VALUE"""),"GameBox Media")</f>
        <v>GameBox Media</v>
      </c>
      <c r="F3964" s="122" t="str">
        <f>IFERROR(__xludf.DUMMYFUNCTION("""COMPUTED_VALUE"""),"Entertainment")</f>
        <v>Entertainment</v>
      </c>
    </row>
    <row r="3965">
      <c r="A3965" s="131">
        <f>IFERROR(__xludf.DUMMYFUNCTION("""COMPUTED_VALUE"""),46187.46130787037)</f>
        <v>46187.46131</v>
      </c>
      <c r="B3965" s="126">
        <f>IFERROR(__xludf.DUMMYFUNCTION("""COMPUTED_VALUE"""),46187.0)</f>
        <v>46187</v>
      </c>
      <c r="C3965" s="130">
        <f>IFERROR(__xludf.DUMMYFUNCTION("""COMPUTED_VALUE"""),0.46130787037037035)</f>
        <v>0.4613078704</v>
      </c>
      <c r="D3965" s="122" t="str">
        <f>IFERROR(__xludf.DUMMYFUNCTION("""COMPUTED_VALUE"""),"VRSE")</f>
        <v>VRSE</v>
      </c>
      <c r="E3965" s="122" t="str">
        <f>IFERROR(__xludf.DUMMYFUNCTION("""COMPUTED_VALUE"""),"VerseVR")</f>
        <v>VerseVR</v>
      </c>
      <c r="F3965" s="122" t="str">
        <f>IFERROR(__xludf.DUMMYFUNCTION("""COMPUTED_VALUE"""),"Technology")</f>
        <v>Technology</v>
      </c>
    </row>
    <row r="3966">
      <c r="A3966" s="131">
        <f>IFERROR(__xludf.DUMMYFUNCTION("""COMPUTED_VALUE"""),46187.46130787037)</f>
        <v>46187.46131</v>
      </c>
      <c r="B3966" s="126">
        <f>IFERROR(__xludf.DUMMYFUNCTION("""COMPUTED_VALUE"""),46187.0)</f>
        <v>46187</v>
      </c>
      <c r="C3966" s="130">
        <f>IFERROR(__xludf.DUMMYFUNCTION("""COMPUTED_VALUE"""),0.46130787037037035)</f>
        <v>0.4613078704</v>
      </c>
      <c r="D3966" s="122" t="str">
        <f>IFERROR(__xludf.DUMMYFUNCTION("""COMPUTED_VALUE"""),"BYTE")</f>
        <v>BYTE</v>
      </c>
      <c r="E3966" s="122" t="str">
        <f>IFERROR(__xludf.DUMMYFUNCTION("""COMPUTED_VALUE"""),"ByteWorks")</f>
        <v>ByteWorks</v>
      </c>
      <c r="F3966" s="122" t="str">
        <f>IFERROR(__xludf.DUMMYFUNCTION("""COMPUTED_VALUE"""),"Technology")</f>
        <v>Technology</v>
      </c>
    </row>
    <row r="3967">
      <c r="A3967" s="131">
        <f>IFERROR(__xludf.DUMMYFUNCTION("""COMPUTED_VALUE"""),46187.46130787037)</f>
        <v>46187.46131</v>
      </c>
      <c r="B3967" s="126">
        <f>IFERROR(__xludf.DUMMYFUNCTION("""COMPUTED_VALUE"""),46187.0)</f>
        <v>46187</v>
      </c>
      <c r="C3967" s="130">
        <f>IFERROR(__xludf.DUMMYFUNCTION("""COMPUTED_VALUE"""),0.46130787037037035)</f>
        <v>0.4613078704</v>
      </c>
      <c r="D3967" s="122" t="str">
        <f>IFERROR(__xludf.DUMMYFUNCTION("""COMPUTED_VALUE"""),"BANK")</f>
        <v>BANK</v>
      </c>
      <c r="E3967" s="122" t="str">
        <f>IFERROR(__xludf.DUMMYFUNCTION("""COMPUTED_VALUE"""),"Tiger Bank")</f>
        <v>Tiger Bank</v>
      </c>
      <c r="F3967" s="122" t="str">
        <f>IFERROR(__xludf.DUMMYFUNCTION("""COMPUTED_VALUE"""),"Finance")</f>
        <v>Finance</v>
      </c>
    </row>
    <row r="3968">
      <c r="A3968" s="131">
        <f>IFERROR(__xludf.DUMMYFUNCTION("""COMPUTED_VALUE"""),46187.46130787037)</f>
        <v>46187.46131</v>
      </c>
      <c r="B3968" s="126">
        <f>IFERROR(__xludf.DUMMYFUNCTION("""COMPUTED_VALUE"""),46187.0)</f>
        <v>46187</v>
      </c>
      <c r="C3968" s="130">
        <f>IFERROR(__xludf.DUMMYFUNCTION("""COMPUTED_VALUE"""),0.46130787037037035)</f>
        <v>0.4613078704</v>
      </c>
      <c r="D3968" s="122" t="str">
        <f>IFERROR(__xludf.DUMMYFUNCTION("""COMPUTED_VALUE"""),"CRED")</f>
        <v>CRED</v>
      </c>
      <c r="E3968" s="122" t="str">
        <f>IFERROR(__xludf.DUMMYFUNCTION("""COMPUTED_VALUE"""),"Credit Castle")</f>
        <v>Credit Castle</v>
      </c>
      <c r="F3968" s="122" t="str">
        <f>IFERROR(__xludf.DUMMYFUNCTION("""COMPUTED_VALUE"""),"Finance")</f>
        <v>Finance</v>
      </c>
    </row>
    <row r="3969">
      <c r="A3969" s="131">
        <f>IFERROR(__xludf.DUMMYFUNCTION("""COMPUTED_VALUE"""),46187.46130787037)</f>
        <v>46187.46131</v>
      </c>
      <c r="B3969" s="126">
        <f>IFERROR(__xludf.DUMMYFUNCTION("""COMPUTED_VALUE"""),46187.0)</f>
        <v>46187</v>
      </c>
      <c r="C3969" s="130">
        <f>IFERROR(__xludf.DUMMYFUNCTION("""COMPUTED_VALUE"""),0.46130787037037035)</f>
        <v>0.4613078704</v>
      </c>
      <c r="D3969" s="122" t="str">
        <f>IFERROR(__xludf.DUMMYFUNCTION("""COMPUTED_VALUE"""),"BOND")</f>
        <v>BOND</v>
      </c>
      <c r="E3969" s="122" t="str">
        <f>IFERROR(__xludf.DUMMYFUNCTION("""COMPUTED_VALUE"""),"BondBridge")</f>
        <v>BondBridge</v>
      </c>
      <c r="F3969" s="122" t="str">
        <f>IFERROR(__xludf.DUMMYFUNCTION("""COMPUTED_VALUE"""),"Finance")</f>
        <v>Finance</v>
      </c>
    </row>
    <row r="3970">
      <c r="A3970" s="131">
        <f>IFERROR(__xludf.DUMMYFUNCTION("""COMPUTED_VALUE"""),46187.46130787037)</f>
        <v>46187.46131</v>
      </c>
      <c r="B3970" s="126">
        <f>IFERROR(__xludf.DUMMYFUNCTION("""COMPUTED_VALUE"""),46187.0)</f>
        <v>46187</v>
      </c>
      <c r="C3970" s="130">
        <f>IFERROR(__xludf.DUMMYFUNCTION("""COMPUTED_VALUE"""),0.46130787037037035)</f>
        <v>0.4613078704</v>
      </c>
      <c r="D3970" s="122" t="str">
        <f>IFERROR(__xludf.DUMMYFUNCTION("""COMPUTED_VALUE"""),"INSR")</f>
        <v>INSR</v>
      </c>
      <c r="E3970" s="122" t="str">
        <f>IFERROR(__xludf.DUMMYFUNCTION("""COMPUTED_VALUE"""),"Shield Insurance")</f>
        <v>Shield Insurance</v>
      </c>
      <c r="F3970" s="122" t="str">
        <f>IFERROR(__xludf.DUMMYFUNCTION("""COMPUTED_VALUE"""),"Finance")</f>
        <v>Finance</v>
      </c>
    </row>
    <row r="3971">
      <c r="A3971" s="131">
        <f>IFERROR(__xludf.DUMMYFUNCTION("""COMPUTED_VALUE"""),46187.46130787037)</f>
        <v>46187.46131</v>
      </c>
      <c r="B3971" s="126">
        <f>IFERROR(__xludf.DUMMYFUNCTION("""COMPUTED_VALUE"""),46187.0)</f>
        <v>46187</v>
      </c>
      <c r="C3971" s="130">
        <f>IFERROR(__xludf.DUMMYFUNCTION("""COMPUTED_VALUE"""),0.46130787037037035)</f>
        <v>0.4613078704</v>
      </c>
      <c r="D3971" s="122" t="str">
        <f>IFERROR(__xludf.DUMMYFUNCTION("""COMPUTED_VALUE"""),"LOAN")</f>
        <v>LOAN</v>
      </c>
      <c r="E3971" s="122" t="str">
        <f>IFERROR(__xludf.DUMMYFUNCTION("""COMPUTED_VALUE"""),"LoanLab")</f>
        <v>LoanLab</v>
      </c>
      <c r="F3971" s="122" t="str">
        <f>IFERROR(__xludf.DUMMYFUNCTION("""COMPUTED_VALUE"""),"Finance")</f>
        <v>Finance</v>
      </c>
    </row>
    <row r="3972">
      <c r="A3972" s="131">
        <f>IFERROR(__xludf.DUMMYFUNCTION("""COMPUTED_VALUE"""),46187.46130787037)</f>
        <v>46187.46131</v>
      </c>
      <c r="B3972" s="126">
        <f>IFERROR(__xludf.DUMMYFUNCTION("""COMPUTED_VALUE"""),46187.0)</f>
        <v>46187</v>
      </c>
      <c r="C3972" s="130">
        <f>IFERROR(__xludf.DUMMYFUNCTION("""COMPUTED_VALUE"""),0.46130787037037035)</f>
        <v>0.4613078704</v>
      </c>
      <c r="D3972" s="122" t="str">
        <f>IFERROR(__xludf.DUMMYFUNCTION("""COMPUTED_VALUE"""),"LUXE")</f>
        <v>LUXE</v>
      </c>
      <c r="E3972" s="122" t="str">
        <f>IFERROR(__xludf.DUMMYFUNCTION("""COMPUTED_VALUE"""),"Luxury Locker")</f>
        <v>Luxury Locker</v>
      </c>
      <c r="F3972" s="122" t="str">
        <f>IFERROR(__xludf.DUMMYFUNCTION("""COMPUTED_VALUE"""),"Luxury Goods")</f>
        <v>Luxury Goods</v>
      </c>
    </row>
    <row r="3973">
      <c r="A3973" s="131">
        <f>IFERROR(__xludf.DUMMYFUNCTION("""COMPUTED_VALUE"""),46187.46130787037)</f>
        <v>46187.46131</v>
      </c>
      <c r="B3973" s="126">
        <f>IFERROR(__xludf.DUMMYFUNCTION("""COMPUTED_VALUE"""),46187.0)</f>
        <v>46187</v>
      </c>
      <c r="C3973" s="130">
        <f>IFERROR(__xludf.DUMMYFUNCTION("""COMPUTED_VALUE"""),0.46130787037037035)</f>
        <v>0.4613078704</v>
      </c>
      <c r="D3973" s="122" t="str">
        <f>IFERROR(__xludf.DUMMYFUNCTION("""COMPUTED_VALUE"""),"DRIP")</f>
        <v>DRIP</v>
      </c>
      <c r="E3973" s="122" t="str">
        <f>IFERROR(__xludf.DUMMYFUNCTION("""COMPUTED_VALUE"""),"Drip Streetwear")</f>
        <v>Drip Streetwear</v>
      </c>
      <c r="F3973" s="122" t="str">
        <f>IFERROR(__xludf.DUMMYFUNCTION("""COMPUTED_VALUE"""),"Fashion")</f>
        <v>Fashion</v>
      </c>
    </row>
    <row r="3974">
      <c r="A3974" s="131">
        <f>IFERROR(__xludf.DUMMYFUNCTION("""COMPUTED_VALUE"""),46187.46130787037)</f>
        <v>46187.46131</v>
      </c>
      <c r="B3974" s="126">
        <f>IFERROR(__xludf.DUMMYFUNCTION("""COMPUTED_VALUE"""),46187.0)</f>
        <v>46187</v>
      </c>
      <c r="C3974" s="130">
        <f>IFERROR(__xludf.DUMMYFUNCTION("""COMPUTED_VALUE"""),0.46130787037037035)</f>
        <v>0.4613078704</v>
      </c>
      <c r="D3974" s="122" t="str">
        <f>IFERROR(__xludf.DUMMYFUNCTION("""COMPUTED_VALUE"""),"KICK")</f>
        <v>KICK</v>
      </c>
      <c r="E3974" s="122" t="str">
        <f>IFERROR(__xludf.DUMMYFUNCTION("""COMPUTED_VALUE"""),"KickDrop Sneakers")</f>
        <v>KickDrop Sneakers</v>
      </c>
      <c r="F3974" s="122" t="str">
        <f>IFERROR(__xludf.DUMMYFUNCTION("""COMPUTED_VALUE"""),"Fashion")</f>
        <v>Fashion</v>
      </c>
    </row>
    <row r="3975">
      <c r="A3975" s="131">
        <f>IFERROR(__xludf.DUMMYFUNCTION("""COMPUTED_VALUE"""),46187.46130787037)</f>
        <v>46187.46131</v>
      </c>
      <c r="B3975" s="126">
        <f>IFERROR(__xludf.DUMMYFUNCTION("""COMPUTED_VALUE"""),46187.0)</f>
        <v>46187</v>
      </c>
      <c r="C3975" s="130">
        <f>IFERROR(__xludf.DUMMYFUNCTION("""COMPUTED_VALUE"""),0.46130787037037035)</f>
        <v>0.4613078704</v>
      </c>
      <c r="D3975" s="122" t="str">
        <f>IFERROR(__xludf.DUMMYFUNCTION("""COMPUTED_VALUE"""),"GLAM")</f>
        <v>GLAM</v>
      </c>
      <c r="E3975" s="122" t="str">
        <f>IFERROR(__xludf.DUMMYFUNCTION("""COMPUTED_VALUE"""),"Glow Cosmetics")</f>
        <v>Glow Cosmetics</v>
      </c>
      <c r="F3975" s="122" t="str">
        <f>IFERROR(__xludf.DUMMYFUNCTION("""COMPUTED_VALUE"""),"Fashion")</f>
        <v>Fashion</v>
      </c>
    </row>
    <row r="3976">
      <c r="A3976" s="131">
        <f>IFERROR(__xludf.DUMMYFUNCTION("""COMPUTED_VALUE"""),46187.46130787037)</f>
        <v>46187.46131</v>
      </c>
      <c r="B3976" s="126">
        <f>IFERROR(__xludf.DUMMYFUNCTION("""COMPUTED_VALUE"""),46187.0)</f>
        <v>46187</v>
      </c>
      <c r="C3976" s="130">
        <f>IFERROR(__xludf.DUMMYFUNCTION("""COMPUTED_VALUE"""),0.46130787037037035)</f>
        <v>0.4613078704</v>
      </c>
      <c r="D3976" s="122" t="str">
        <f>IFERROR(__xludf.DUMMYFUNCTION("""COMPUTED_VALUE"""),"BAGG")</f>
        <v>BAGG</v>
      </c>
      <c r="E3976" s="122" t="str">
        <f>IFERROR(__xludf.DUMMYFUNCTION("""COMPUTED_VALUE"""),"BagVault")</f>
        <v>BagVault</v>
      </c>
      <c r="F3976" s="122" t="str">
        <f>IFERROR(__xludf.DUMMYFUNCTION("""COMPUTED_VALUE"""),"Fashion")</f>
        <v>Fashion</v>
      </c>
    </row>
    <row r="3977">
      <c r="A3977" s="131">
        <f>IFERROR(__xludf.DUMMYFUNCTION("""COMPUTED_VALUE"""),46187.46130787037)</f>
        <v>46187.46131</v>
      </c>
      <c r="B3977" s="126">
        <f>IFERROR(__xludf.DUMMYFUNCTION("""COMPUTED_VALUE"""),46187.0)</f>
        <v>46187</v>
      </c>
      <c r="C3977" s="130">
        <f>IFERROR(__xludf.DUMMYFUNCTION("""COMPUTED_VALUE"""),0.46130787037037035)</f>
        <v>0.4613078704</v>
      </c>
      <c r="D3977" s="122" t="str">
        <f>IFERROR(__xludf.DUMMYFUNCTION("""COMPUTED_VALUE"""),"FAST")</f>
        <v>FAST</v>
      </c>
      <c r="E3977" s="122" t="str">
        <f>IFERROR(__xludf.DUMMYFUNCTION("""COMPUTED_VALUE"""),"Flash Logistics")</f>
        <v>Flash Logistics</v>
      </c>
      <c r="F3977" s="122" t="str">
        <f>IFERROR(__xludf.DUMMYFUNCTION("""COMPUTED_VALUE"""),"Logistics")</f>
        <v>Logistics</v>
      </c>
    </row>
    <row r="3978">
      <c r="A3978" s="131">
        <f>IFERROR(__xludf.DUMMYFUNCTION("""COMPUTED_VALUE"""),46187.46130787037)</f>
        <v>46187.46131</v>
      </c>
      <c r="B3978" s="126">
        <f>IFERROR(__xludf.DUMMYFUNCTION("""COMPUTED_VALUE"""),46187.0)</f>
        <v>46187</v>
      </c>
      <c r="C3978" s="130">
        <f>IFERROR(__xludf.DUMMYFUNCTION("""COMPUTED_VALUE"""),0.46130787037037035)</f>
        <v>0.4613078704</v>
      </c>
      <c r="D3978" s="122" t="str">
        <f>IFERROR(__xludf.DUMMYFUNCTION("""COMPUTED_VALUE"""),"SHIP")</f>
        <v>SHIP</v>
      </c>
      <c r="E3978" s="122" t="str">
        <f>IFERROR(__xludf.DUMMYFUNCTION("""COMPUTED_VALUE"""),"Seoul Shipping")</f>
        <v>Seoul Shipping</v>
      </c>
      <c r="F3978" s="122" t="str">
        <f>IFERROR(__xludf.DUMMYFUNCTION("""COMPUTED_VALUE"""),"Logistics")</f>
        <v>Logistics</v>
      </c>
    </row>
    <row r="3979">
      <c r="A3979" s="131">
        <f>IFERROR(__xludf.DUMMYFUNCTION("""COMPUTED_VALUE"""),46187.46130787037)</f>
        <v>46187.46131</v>
      </c>
      <c r="B3979" s="126">
        <f>IFERROR(__xludf.DUMMYFUNCTION("""COMPUTED_VALUE"""),46187.0)</f>
        <v>46187</v>
      </c>
      <c r="C3979" s="130">
        <f>IFERROR(__xludf.DUMMYFUNCTION("""COMPUTED_VALUE"""),0.46130787037037035)</f>
        <v>0.4613078704</v>
      </c>
      <c r="D3979" s="122" t="str">
        <f>IFERROR(__xludf.DUMMYFUNCTION("""COMPUTED_VALUE"""),"DRON")</f>
        <v>DRON</v>
      </c>
      <c r="E3979" s="122" t="str">
        <f>IFERROR(__xludf.DUMMYFUNCTION("""COMPUTED_VALUE"""),"DroneDrop")</f>
        <v>DroneDrop</v>
      </c>
      <c r="F3979" s="122" t="str">
        <f>IFERROR(__xludf.DUMMYFUNCTION("""COMPUTED_VALUE"""),"Logistics")</f>
        <v>Logistics</v>
      </c>
    </row>
    <row r="3980">
      <c r="A3980" s="131">
        <f>IFERROR(__xludf.DUMMYFUNCTION("""COMPUTED_VALUE"""),46187.46130787037)</f>
        <v>46187.46131</v>
      </c>
      <c r="B3980" s="126">
        <f>IFERROR(__xludf.DUMMYFUNCTION("""COMPUTED_VALUE"""),46187.0)</f>
        <v>46187</v>
      </c>
      <c r="C3980" s="130">
        <f>IFERROR(__xludf.DUMMYFUNCTION("""COMPUTED_VALUE"""),0.46130787037037035)</f>
        <v>0.4613078704</v>
      </c>
      <c r="D3980" s="122" t="str">
        <f>IFERROR(__xludf.DUMMYFUNCTION("""COMPUTED_VALUE"""),"RIDE")</f>
        <v>RIDE</v>
      </c>
      <c r="E3980" s="122" t="str">
        <f>IFERROR(__xludf.DUMMYFUNCTION("""COMPUTED_VALUE"""),"QuickRide")</f>
        <v>QuickRide</v>
      </c>
      <c r="F3980" s="122" t="str">
        <f>IFERROR(__xludf.DUMMYFUNCTION("""COMPUTED_VALUE"""),"Transportation")</f>
        <v>Transportation</v>
      </c>
    </row>
    <row r="3981">
      <c r="A3981" s="131">
        <f>IFERROR(__xludf.DUMMYFUNCTION("""COMPUTED_VALUE"""),46187.46130787037)</f>
        <v>46187.46131</v>
      </c>
      <c r="B3981" s="126">
        <f>IFERROR(__xludf.DUMMYFUNCTION("""COMPUTED_VALUE"""),46187.0)</f>
        <v>46187</v>
      </c>
      <c r="C3981" s="130">
        <f>IFERROR(__xludf.DUMMYFUNCTION("""COMPUTED_VALUE"""),0.46130787037037035)</f>
        <v>0.4613078704</v>
      </c>
      <c r="D3981" s="122" t="str">
        <f>IFERROR(__xludf.DUMMYFUNCTION("""COMPUTED_VALUE"""),"RAIL")</f>
        <v>RAIL</v>
      </c>
      <c r="E3981" s="122" t="str">
        <f>IFERROR(__xludf.DUMMYFUNCTION("""COMPUTED_VALUE"""),"MetroRail Corp")</f>
        <v>MetroRail Corp</v>
      </c>
      <c r="F3981" s="122" t="str">
        <f>IFERROR(__xludf.DUMMYFUNCTION("""COMPUTED_VALUE"""),"Transportation")</f>
        <v>Transportation</v>
      </c>
    </row>
    <row r="3982">
      <c r="A3982" s="131">
        <f>IFERROR(__xludf.DUMMYFUNCTION("""COMPUTED_VALUE"""),46187.46130787037)</f>
        <v>46187.46131</v>
      </c>
      <c r="B3982" s="126">
        <f>IFERROR(__xludf.DUMMYFUNCTION("""COMPUTED_VALUE"""),46187.0)</f>
        <v>46187</v>
      </c>
      <c r="C3982" s="130">
        <f>IFERROR(__xludf.DUMMYFUNCTION("""COMPUTED_VALUE"""),0.46130787037037035)</f>
        <v>0.4613078704</v>
      </c>
      <c r="D3982" s="122" t="str">
        <f>IFERROR(__xludf.DUMMYFUNCTION("""COMPUTED_VALUE"""),"MEDX")</f>
        <v>MEDX</v>
      </c>
      <c r="E3982" s="122" t="str">
        <f>IFERROR(__xludf.DUMMYFUNCTION("""COMPUTED_VALUE"""),"MediCore")</f>
        <v>MediCore</v>
      </c>
      <c r="F3982" s="122" t="str">
        <f>IFERROR(__xludf.DUMMYFUNCTION("""COMPUTED_VALUE"""),"Healthcare")</f>
        <v>Healthcare</v>
      </c>
    </row>
    <row r="3983">
      <c r="A3983" s="131">
        <f>IFERROR(__xludf.DUMMYFUNCTION("""COMPUTED_VALUE"""),46187.46130787037)</f>
        <v>46187.46131</v>
      </c>
      <c r="B3983" s="126">
        <f>IFERROR(__xludf.DUMMYFUNCTION("""COMPUTED_VALUE"""),46187.0)</f>
        <v>46187</v>
      </c>
      <c r="C3983" s="130">
        <f>IFERROR(__xludf.DUMMYFUNCTION("""COMPUTED_VALUE"""),0.46130787037037035)</f>
        <v>0.4613078704</v>
      </c>
      <c r="D3983" s="122" t="str">
        <f>IFERROR(__xludf.DUMMYFUNCTION("""COMPUTED_VALUE"""),"GYMX")</f>
        <v>GYMX</v>
      </c>
      <c r="E3983" s="122" t="str">
        <f>IFERROR(__xludf.DUMMYFUNCTION("""COMPUTED_VALUE"""),"GymX Fitness")</f>
        <v>GymX Fitness</v>
      </c>
      <c r="F3983" s="122" t="str">
        <f>IFERROR(__xludf.DUMMYFUNCTION("""COMPUTED_VALUE"""),"Healthcare")</f>
        <v>Healthcare</v>
      </c>
    </row>
    <row r="3984">
      <c r="A3984" s="131">
        <f>IFERROR(__xludf.DUMMYFUNCTION("""COMPUTED_VALUE"""),46187.46130787037)</f>
        <v>46187.46131</v>
      </c>
      <c r="B3984" s="126">
        <f>IFERROR(__xludf.DUMMYFUNCTION("""COMPUTED_VALUE"""),46187.0)</f>
        <v>46187</v>
      </c>
      <c r="C3984" s="130">
        <f>IFERROR(__xludf.DUMMYFUNCTION("""COMPUTED_VALUE"""),0.46130787037037035)</f>
        <v>0.4613078704</v>
      </c>
      <c r="D3984" s="122" t="str">
        <f>IFERROR(__xludf.DUMMYFUNCTION("""COMPUTED_VALUE"""),"VITA")</f>
        <v>VITA</v>
      </c>
      <c r="E3984" s="122" t="str">
        <f>IFERROR(__xludf.DUMMYFUNCTION("""COMPUTED_VALUE"""),"VitaPlus")</f>
        <v>VitaPlus</v>
      </c>
      <c r="F3984" s="122" t="str">
        <f>IFERROR(__xludf.DUMMYFUNCTION("""COMPUTED_VALUE"""),"Healthcare")</f>
        <v>Healthcare</v>
      </c>
    </row>
    <row r="3985">
      <c r="A3985" s="131">
        <f>IFERROR(__xludf.DUMMYFUNCTION("""COMPUTED_VALUE"""),46187.46130787037)</f>
        <v>46187.46131</v>
      </c>
      <c r="B3985" s="126">
        <f>IFERROR(__xludf.DUMMYFUNCTION("""COMPUTED_VALUE"""),46187.0)</f>
        <v>46187</v>
      </c>
      <c r="C3985" s="130">
        <f>IFERROR(__xludf.DUMMYFUNCTION("""COMPUTED_VALUE"""),0.46130787037037035)</f>
        <v>0.4613078704</v>
      </c>
      <c r="D3985" s="122" t="str">
        <f>IFERROR(__xludf.DUMMYFUNCTION("""COMPUTED_VALUE"""),"CARE")</f>
        <v>CARE</v>
      </c>
      <c r="E3985" s="122" t="str">
        <f>IFERROR(__xludf.DUMMYFUNCTION("""COMPUTED_VALUE"""),"CareCloud")</f>
        <v>CareCloud</v>
      </c>
      <c r="F3985" s="122" t="str">
        <f>IFERROR(__xludf.DUMMYFUNCTION("""COMPUTED_VALUE"""),"Healthcare")</f>
        <v>Healthcare</v>
      </c>
    </row>
    <row r="3986">
      <c r="A3986" s="131">
        <f>IFERROR(__xludf.DUMMYFUNCTION("""COMPUTED_VALUE"""),46187.46130787037)</f>
        <v>46187.46131</v>
      </c>
      <c r="B3986" s="126">
        <f>IFERROR(__xludf.DUMMYFUNCTION("""COMPUTED_VALUE"""),46187.0)</f>
        <v>46187</v>
      </c>
      <c r="C3986" s="130">
        <f>IFERROR(__xludf.DUMMYFUNCTION("""COMPUTED_VALUE"""),0.46130787037037035)</f>
        <v>0.4613078704</v>
      </c>
      <c r="D3986" s="122" t="str">
        <f>IFERROR(__xludf.DUMMYFUNCTION("""COMPUTED_VALUE"""),"DENT")</f>
        <v>DENT</v>
      </c>
      <c r="E3986" s="122" t="str">
        <f>IFERROR(__xludf.DUMMYFUNCTION("""COMPUTED_VALUE"""),"SmileWorks")</f>
        <v>SmileWorks</v>
      </c>
      <c r="F3986" s="122" t="str">
        <f>IFERROR(__xludf.DUMMYFUNCTION("""COMPUTED_VALUE"""),"Healthcare")</f>
        <v>Healthcare</v>
      </c>
    </row>
    <row r="3987">
      <c r="A3987" s="131">
        <f>IFERROR(__xludf.DUMMYFUNCTION("""COMPUTED_VALUE"""),46187.46130787037)</f>
        <v>46187.46131</v>
      </c>
      <c r="B3987" s="126">
        <f>IFERROR(__xludf.DUMMYFUNCTION("""COMPUTED_VALUE"""),46187.0)</f>
        <v>46187</v>
      </c>
      <c r="C3987" s="130">
        <f>IFERROR(__xludf.DUMMYFUNCTION("""COMPUTED_VALUE"""),0.46130787037037035)</f>
        <v>0.4613078704</v>
      </c>
      <c r="D3987" s="122" t="str">
        <f>IFERROR(__xludf.DUMMYFUNCTION("""COMPUTED_VALUE"""),"EDUX")</f>
        <v>EDUX</v>
      </c>
      <c r="E3987" s="122" t="str">
        <f>IFERROR(__xludf.DUMMYFUNCTION("""COMPUTED_VALUE"""),"EduMax Learning")</f>
        <v>EduMax Learning</v>
      </c>
      <c r="F3987" s="122" t="str">
        <f>IFERROR(__xludf.DUMMYFUNCTION("""COMPUTED_VALUE"""),"Education")</f>
        <v>Education</v>
      </c>
    </row>
    <row r="3988">
      <c r="A3988" s="131">
        <f>IFERROR(__xludf.DUMMYFUNCTION("""COMPUTED_VALUE"""),46187.46130787037)</f>
        <v>46187.46131</v>
      </c>
      <c r="B3988" s="126">
        <f>IFERROR(__xludf.DUMMYFUNCTION("""COMPUTED_VALUE"""),46187.0)</f>
        <v>46187</v>
      </c>
      <c r="C3988" s="130">
        <f>IFERROR(__xludf.DUMMYFUNCTION("""COMPUTED_VALUE"""),0.46130787037037035)</f>
        <v>0.4613078704</v>
      </c>
      <c r="D3988" s="122" t="str">
        <f>IFERROR(__xludf.DUMMYFUNCTION("""COMPUTED_VALUE"""),"BOOK")</f>
        <v>BOOK</v>
      </c>
      <c r="E3988" s="122" t="str">
        <f>IFERROR(__xludf.DUMMYFUNCTION("""COMPUTED_VALUE"""),"BookBridge")</f>
        <v>BookBridge</v>
      </c>
      <c r="F3988" s="122" t="str">
        <f>IFERROR(__xludf.DUMMYFUNCTION("""COMPUTED_VALUE"""),"Education")</f>
        <v>Education</v>
      </c>
    </row>
    <row r="3989">
      <c r="A3989" s="131">
        <f>IFERROR(__xludf.DUMMYFUNCTION("""COMPUTED_VALUE"""),46187.46130787037)</f>
        <v>46187.46131</v>
      </c>
      <c r="B3989" s="126">
        <f>IFERROR(__xludf.DUMMYFUNCTION("""COMPUTED_VALUE"""),46187.0)</f>
        <v>46187</v>
      </c>
      <c r="C3989" s="130">
        <f>IFERROR(__xludf.DUMMYFUNCTION("""COMPUTED_VALUE"""),0.46130787037037035)</f>
        <v>0.4613078704</v>
      </c>
      <c r="D3989" s="122" t="str">
        <f>IFERROR(__xludf.DUMMYFUNCTION("""COMPUTED_VALUE"""),"TUTR")</f>
        <v>TUTR</v>
      </c>
      <c r="E3989" s="122" t="str">
        <f>IFERROR(__xludf.DUMMYFUNCTION("""COMPUTED_VALUE"""),"TutorTown")</f>
        <v>TutorTown</v>
      </c>
      <c r="F3989" s="122" t="str">
        <f>IFERROR(__xludf.DUMMYFUNCTION("""COMPUTED_VALUE"""),"Education")</f>
        <v>Education</v>
      </c>
    </row>
    <row r="3990">
      <c r="A3990" s="131">
        <f>IFERROR(__xludf.DUMMYFUNCTION("""COMPUTED_VALUE"""),46187.46130787037)</f>
        <v>46187.46131</v>
      </c>
      <c r="B3990" s="126">
        <f>IFERROR(__xludf.DUMMYFUNCTION("""COMPUTED_VALUE"""),46187.0)</f>
        <v>46187</v>
      </c>
      <c r="C3990" s="130">
        <f>IFERROR(__xludf.DUMMYFUNCTION("""COMPUTED_VALUE"""),0.46130787037037035)</f>
        <v>0.4613078704</v>
      </c>
      <c r="D3990" s="122" t="str">
        <f>IFERROR(__xludf.DUMMYFUNCTION("""COMPUTED_VALUE"""),"LANG")</f>
        <v>LANG</v>
      </c>
      <c r="E3990" s="122" t="str">
        <f>IFERROR(__xludf.DUMMYFUNCTION("""COMPUTED_VALUE"""),"LinguaLab")</f>
        <v>LinguaLab</v>
      </c>
      <c r="F3990" s="122" t="str">
        <f>IFERROR(__xludf.DUMMYFUNCTION("""COMPUTED_VALUE"""),"Education")</f>
        <v>Education</v>
      </c>
    </row>
    <row r="3991">
      <c r="A3991" s="131">
        <f>IFERROR(__xludf.DUMMYFUNCTION("""COMPUTED_VALUE"""),46187.46130787037)</f>
        <v>46187.46131</v>
      </c>
      <c r="B3991" s="126">
        <f>IFERROR(__xludf.DUMMYFUNCTION("""COMPUTED_VALUE"""),46187.0)</f>
        <v>46187</v>
      </c>
      <c r="C3991" s="130">
        <f>IFERROR(__xludf.DUMMYFUNCTION("""COMPUTED_VALUE"""),0.46130787037037035)</f>
        <v>0.4613078704</v>
      </c>
      <c r="D3991" s="122" t="str">
        <f>IFERROR(__xludf.DUMMYFUNCTION("""COMPUTED_VALUE"""),"TEST")</f>
        <v>TEST</v>
      </c>
      <c r="E3991" s="122" t="str">
        <f>IFERROR(__xludf.DUMMYFUNCTION("""COMPUTED_VALUE"""),"TestPrep Pro")</f>
        <v>TestPrep Pro</v>
      </c>
      <c r="F3991" s="122" t="str">
        <f>IFERROR(__xludf.DUMMYFUNCTION("""COMPUTED_VALUE"""),"Education")</f>
        <v>Education</v>
      </c>
    </row>
    <row r="3992">
      <c r="A3992" s="131">
        <f>IFERROR(__xludf.DUMMYFUNCTION("""COMPUTED_VALUE"""),46187.46130787037)</f>
        <v>46187.46131</v>
      </c>
      <c r="B3992" s="126">
        <f>IFERROR(__xludf.DUMMYFUNCTION("""COMPUTED_VALUE"""),46187.0)</f>
        <v>46187</v>
      </c>
      <c r="C3992" s="130">
        <f>IFERROR(__xludf.DUMMYFUNCTION("""COMPUTED_VALUE"""),0.46130787037037035)</f>
        <v>0.4613078704</v>
      </c>
      <c r="D3992" s="122" t="str">
        <f>IFERROR(__xludf.DUMMYFUNCTION("""COMPUTED_VALUE"""),"MOVI")</f>
        <v>MOVI</v>
      </c>
      <c r="E3992" s="122" t="str">
        <f>IFERROR(__xludf.DUMMYFUNCTION("""COMPUTED_VALUE"""),"MovieBox")</f>
        <v>MovieBox</v>
      </c>
      <c r="F3992" s="122" t="str">
        <f>IFERROR(__xludf.DUMMYFUNCTION("""COMPUTED_VALUE"""),"Entertainment")</f>
        <v>Entertainment</v>
      </c>
    </row>
    <row r="3993">
      <c r="A3993" s="131">
        <f>IFERROR(__xludf.DUMMYFUNCTION("""COMPUTED_VALUE"""),46187.46130787037)</f>
        <v>46187.46131</v>
      </c>
      <c r="B3993" s="126">
        <f>IFERROR(__xludf.DUMMYFUNCTION("""COMPUTED_VALUE"""),46187.0)</f>
        <v>46187</v>
      </c>
      <c r="C3993" s="130">
        <f>IFERROR(__xludf.DUMMYFUNCTION("""COMPUTED_VALUE"""),0.46130787037037035)</f>
        <v>0.4613078704</v>
      </c>
      <c r="D3993" s="122" t="str">
        <f>IFERROR(__xludf.DUMMYFUNCTION("""COMPUTED_VALUE"""),"MUSC")</f>
        <v>MUSC</v>
      </c>
      <c r="E3993" s="122" t="str">
        <f>IFERROR(__xludf.DUMMYFUNCTION("""COMPUTED_VALUE"""),"MusicWave")</f>
        <v>MusicWave</v>
      </c>
      <c r="F3993" s="122" t="str">
        <f>IFERROR(__xludf.DUMMYFUNCTION("""COMPUTED_VALUE"""),"Entertainment")</f>
        <v>Entertainment</v>
      </c>
    </row>
    <row r="3994">
      <c r="A3994" s="131">
        <f>IFERROR(__xludf.DUMMYFUNCTION("""COMPUTED_VALUE"""),46187.46130787037)</f>
        <v>46187.46131</v>
      </c>
      <c r="B3994" s="126">
        <f>IFERROR(__xludf.DUMMYFUNCTION("""COMPUTED_VALUE"""),46187.0)</f>
        <v>46187</v>
      </c>
      <c r="C3994" s="130">
        <f>IFERROR(__xludf.DUMMYFUNCTION("""COMPUTED_VALUE"""),0.46130787037037035)</f>
        <v>0.4613078704</v>
      </c>
      <c r="D3994" s="122" t="str">
        <f>IFERROR(__xludf.DUMMYFUNCTION("""COMPUTED_VALUE"""),"IDOL")</f>
        <v>IDOL</v>
      </c>
      <c r="E3994" s="122" t="str">
        <f>IFERROR(__xludf.DUMMYFUNCTION("""COMPUTED_VALUE"""),"Idol Agency")</f>
        <v>Idol Agency</v>
      </c>
      <c r="F3994" s="122" t="str">
        <f>IFERROR(__xludf.DUMMYFUNCTION("""COMPUTED_VALUE"""),"Entertainment")</f>
        <v>Entertainment</v>
      </c>
    </row>
    <row r="3995">
      <c r="A3995" s="131">
        <f>IFERROR(__xludf.DUMMYFUNCTION("""COMPUTED_VALUE"""),46187.46130787037)</f>
        <v>46187.46131</v>
      </c>
      <c r="B3995" s="126">
        <f>IFERROR(__xludf.DUMMYFUNCTION("""COMPUTED_VALUE"""),46187.0)</f>
        <v>46187</v>
      </c>
      <c r="C3995" s="130">
        <f>IFERROR(__xludf.DUMMYFUNCTION("""COMPUTED_VALUE"""),0.46130787037037035)</f>
        <v>0.4613078704</v>
      </c>
      <c r="D3995" s="122" t="str">
        <f>IFERROR(__xludf.DUMMYFUNCTION("""COMPUTED_VALUE"""),"MEME")</f>
        <v>MEME</v>
      </c>
      <c r="E3995" s="122" t="str">
        <f>IFERROR(__xludf.DUMMYFUNCTION("""COMPUTED_VALUE"""),"Meme Media")</f>
        <v>Meme Media</v>
      </c>
      <c r="F3995" s="122" t="str">
        <f>IFERROR(__xludf.DUMMYFUNCTION("""COMPUTED_VALUE"""),"Entertainment")</f>
        <v>Entertainment</v>
      </c>
    </row>
    <row r="3996">
      <c r="A3996" s="131">
        <f>IFERROR(__xludf.DUMMYFUNCTION("""COMPUTED_VALUE"""),46187.46130787037)</f>
        <v>46187.46131</v>
      </c>
      <c r="B3996" s="126">
        <f>IFERROR(__xludf.DUMMYFUNCTION("""COMPUTED_VALUE"""),46187.0)</f>
        <v>46187</v>
      </c>
      <c r="C3996" s="130">
        <f>IFERROR(__xludf.DUMMYFUNCTION("""COMPUTED_VALUE"""),0.46130787037037035)</f>
        <v>0.4613078704</v>
      </c>
      <c r="D3996" s="122" t="str">
        <f>IFERROR(__xludf.DUMMYFUNCTION("""COMPUTED_VALUE"""),"STRM")</f>
        <v>STRM</v>
      </c>
      <c r="E3996" s="122" t="str">
        <f>IFERROR(__xludf.DUMMYFUNCTION("""COMPUTED_VALUE"""),"Streamly")</f>
        <v>Streamly</v>
      </c>
      <c r="F3996" s="122" t="str">
        <f>IFERROR(__xludf.DUMMYFUNCTION("""COMPUTED_VALUE"""),"Entertainment")</f>
        <v>Entertainment</v>
      </c>
    </row>
    <row r="3997">
      <c r="A3997" s="131">
        <f>IFERROR(__xludf.DUMMYFUNCTION("""COMPUTED_VALUE"""),46187.46130787037)</f>
        <v>46187.46131</v>
      </c>
      <c r="B3997" s="126">
        <f>IFERROR(__xludf.DUMMYFUNCTION("""COMPUTED_VALUE"""),46187.0)</f>
        <v>46187</v>
      </c>
      <c r="C3997" s="130">
        <f>IFERROR(__xludf.DUMMYFUNCTION("""COMPUTED_VALUE"""),0.46130787037037035)</f>
        <v>0.4613078704</v>
      </c>
      <c r="D3997" s="122" t="str">
        <f>IFERROR(__xludf.DUMMYFUNCTION("""COMPUTED_VALUE"""),"FARM")</f>
        <v>FARM</v>
      </c>
      <c r="E3997" s="122" t="str">
        <f>IFERROR(__xludf.DUMMYFUNCTION("""COMPUTED_VALUE"""),"Future Farms")</f>
        <v>Future Farms</v>
      </c>
      <c r="F3997" s="122" t="str">
        <f>IFERROR(__xludf.DUMMYFUNCTION("""COMPUTED_VALUE"""),"Agriculture")</f>
        <v>Agriculture</v>
      </c>
    </row>
    <row r="3998">
      <c r="A3998" s="131">
        <f>IFERROR(__xludf.DUMMYFUNCTION("""COMPUTED_VALUE"""),46187.46130787037)</f>
        <v>46187.46131</v>
      </c>
      <c r="B3998" s="126">
        <f>IFERROR(__xludf.DUMMYFUNCTION("""COMPUTED_VALUE"""),46187.0)</f>
        <v>46187</v>
      </c>
      <c r="C3998" s="130">
        <f>IFERROR(__xludf.DUMMYFUNCTION("""COMPUTED_VALUE"""),0.46130787037037035)</f>
        <v>0.4613078704</v>
      </c>
      <c r="D3998" s="122" t="str">
        <f>IFERROR(__xludf.DUMMYFUNCTION("""COMPUTED_VALUE"""),"MEAT")</f>
        <v>MEAT</v>
      </c>
      <c r="E3998" s="122" t="str">
        <f>IFERROR(__xludf.DUMMYFUNCTION("""COMPUTED_VALUE"""),"MeatWorks")</f>
        <v>MeatWorks</v>
      </c>
      <c r="F3998" s="122" t="str">
        <f>IFERROR(__xludf.DUMMYFUNCTION("""COMPUTED_VALUE"""),"Food")</f>
        <v>Food</v>
      </c>
    </row>
    <row r="3999">
      <c r="A3999" s="131">
        <f>IFERROR(__xludf.DUMMYFUNCTION("""COMPUTED_VALUE"""),46187.46130787037)</f>
        <v>46187.46131</v>
      </c>
      <c r="B3999" s="126">
        <f>IFERROR(__xludf.DUMMYFUNCTION("""COMPUTED_VALUE"""),46187.0)</f>
        <v>46187</v>
      </c>
      <c r="C3999" s="130">
        <f>IFERROR(__xludf.DUMMYFUNCTION("""COMPUTED_VALUE"""),0.46130787037037035)</f>
        <v>0.4613078704</v>
      </c>
      <c r="D3999" s="122" t="str">
        <f>IFERROR(__xludf.DUMMYFUNCTION("""COMPUTED_VALUE"""),"VEGI")</f>
        <v>VEGI</v>
      </c>
      <c r="E3999" s="122" t="str">
        <f>IFERROR(__xludf.DUMMYFUNCTION("""COMPUTED_VALUE"""),"Green Basket")</f>
        <v>Green Basket</v>
      </c>
      <c r="F3999" s="122" t="str">
        <f>IFERROR(__xludf.DUMMYFUNCTION("""COMPUTED_VALUE"""),"Food")</f>
        <v>Food</v>
      </c>
    </row>
    <row r="4000">
      <c r="A4000" s="131">
        <f>IFERROR(__xludf.DUMMYFUNCTION("""COMPUTED_VALUE"""),46187.46130787037)</f>
        <v>46187.46131</v>
      </c>
      <c r="B4000" s="126">
        <f>IFERROR(__xludf.DUMMYFUNCTION("""COMPUTED_VALUE"""),46187.0)</f>
        <v>46187</v>
      </c>
      <c r="C4000" s="130">
        <f>IFERROR(__xludf.DUMMYFUNCTION("""COMPUTED_VALUE"""),0.46130787037037035)</f>
        <v>0.4613078704</v>
      </c>
      <c r="D4000" s="122" t="str">
        <f>IFERROR(__xludf.DUMMYFUNCTION("""COMPUTED_VALUE"""),"CAFE")</f>
        <v>CAFE</v>
      </c>
      <c r="E4000" s="122" t="str">
        <f>IFERROR(__xludf.DUMMYFUNCTION("""COMPUTED_VALUE"""),"Cafe Cloud")</f>
        <v>Cafe Cloud</v>
      </c>
      <c r="F4000" s="122" t="str">
        <f>IFERROR(__xludf.DUMMYFUNCTION("""COMPUTED_VALUE"""),"Food")</f>
        <v>Food</v>
      </c>
    </row>
    <row r="4001">
      <c r="A4001" s="131">
        <f>IFERROR(__xludf.DUMMYFUNCTION("""COMPUTED_VALUE"""),46187.46130787037)</f>
        <v>46187.46131</v>
      </c>
      <c r="B4001" s="126">
        <f>IFERROR(__xludf.DUMMYFUNCTION("""COMPUTED_VALUE"""),46187.0)</f>
        <v>46187</v>
      </c>
      <c r="C4001" s="130">
        <f>IFERROR(__xludf.DUMMYFUNCTION("""COMPUTED_VALUE"""),0.46130787037037035)</f>
        <v>0.4613078704</v>
      </c>
      <c r="D4001" s="122" t="str">
        <f>IFERROR(__xludf.DUMMYFUNCTION("""COMPUTED_VALUE"""),"BAKE")</f>
        <v>BAKE</v>
      </c>
      <c r="E4001" s="122" t="str">
        <f>IFERROR(__xludf.DUMMYFUNCTION("""COMPUTED_VALUE"""),"BakeHouse")</f>
        <v>BakeHouse</v>
      </c>
      <c r="F4001" s="122" t="str">
        <f>IFERROR(__xludf.DUMMYFUNCTION("""COMPUTED_VALUE"""),"Food")</f>
        <v>Food</v>
      </c>
    </row>
    <row r="4002">
      <c r="A4002" s="131">
        <f>IFERROR(__xludf.DUMMYFUNCTION("""COMPUTED_VALUE"""),46187.46130787037)</f>
        <v>46187.46131</v>
      </c>
      <c r="B4002" s="126">
        <f>IFERROR(__xludf.DUMMYFUNCTION("""COMPUTED_VALUE"""),46187.0)</f>
        <v>46187</v>
      </c>
      <c r="C4002" s="130">
        <f>IFERROR(__xludf.DUMMYFUNCTION("""COMPUTED_VALUE"""),0.46130787037037035)</f>
        <v>0.4613078704</v>
      </c>
      <c r="D4002" s="122" t="str">
        <f>IFERROR(__xludf.DUMMYFUNCTION("""COMPUTED_VALUE"""),"OILX")</f>
        <v>OILX</v>
      </c>
      <c r="E4002" s="122" t="str">
        <f>IFERROR(__xludf.DUMMYFUNCTION("""COMPUTED_VALUE"""),"OilMax Energy")</f>
        <v>OilMax Energy</v>
      </c>
      <c r="F4002" s="122" t="str">
        <f>IFERROR(__xludf.DUMMYFUNCTION("""COMPUTED_VALUE"""),"Energy")</f>
        <v>Energy</v>
      </c>
    </row>
    <row r="4003">
      <c r="A4003" s="131">
        <f>IFERROR(__xludf.DUMMYFUNCTION("""COMPUTED_VALUE"""),46187.46130787037)</f>
        <v>46187.46131</v>
      </c>
      <c r="B4003" s="126">
        <f>IFERROR(__xludf.DUMMYFUNCTION("""COMPUTED_VALUE"""),46187.0)</f>
        <v>46187</v>
      </c>
      <c r="C4003" s="130">
        <f>IFERROR(__xludf.DUMMYFUNCTION("""COMPUTED_VALUE"""),0.46130787037037035)</f>
        <v>0.4613078704</v>
      </c>
      <c r="D4003" s="122" t="str">
        <f>IFERROR(__xludf.DUMMYFUNCTION("""COMPUTED_VALUE"""),"SOLR")</f>
        <v>SOLR</v>
      </c>
      <c r="E4003" s="122" t="str">
        <f>IFERROR(__xludf.DUMMYFUNCTION("""COMPUTED_VALUE"""),"SolarSpark")</f>
        <v>SolarSpark</v>
      </c>
      <c r="F4003" s="122" t="str">
        <f>IFERROR(__xludf.DUMMYFUNCTION("""COMPUTED_VALUE"""),"Energy")</f>
        <v>Energy</v>
      </c>
    </row>
    <row r="4004">
      <c r="A4004" s="131">
        <f>IFERROR(__xludf.DUMMYFUNCTION("""COMPUTED_VALUE"""),46187.46130787037)</f>
        <v>46187.46131</v>
      </c>
      <c r="B4004" s="126">
        <f>IFERROR(__xludf.DUMMYFUNCTION("""COMPUTED_VALUE"""),46187.0)</f>
        <v>46187</v>
      </c>
      <c r="C4004" s="130">
        <f>IFERROR(__xludf.DUMMYFUNCTION("""COMPUTED_VALUE"""),0.46130787037037035)</f>
        <v>0.4613078704</v>
      </c>
      <c r="D4004" s="122" t="str">
        <f>IFERROR(__xludf.DUMMYFUNCTION("""COMPUTED_VALUE"""),"BATT")</f>
        <v>BATT</v>
      </c>
      <c r="E4004" s="122" t="str">
        <f>IFERROR(__xludf.DUMMYFUNCTION("""COMPUTED_VALUE"""),"BatteryBox")</f>
        <v>BatteryBox</v>
      </c>
      <c r="F4004" s="122" t="str">
        <f>IFERROR(__xludf.DUMMYFUNCTION("""COMPUTED_VALUE"""),"Energy")</f>
        <v>Energy</v>
      </c>
    </row>
    <row r="4005">
      <c r="A4005" s="131">
        <f>IFERROR(__xludf.DUMMYFUNCTION("""COMPUTED_VALUE"""),46187.46130787037)</f>
        <v>46187.46131</v>
      </c>
      <c r="B4005" s="126">
        <f>IFERROR(__xludf.DUMMYFUNCTION("""COMPUTED_VALUE"""),46187.0)</f>
        <v>46187</v>
      </c>
      <c r="C4005" s="130">
        <f>IFERROR(__xludf.DUMMYFUNCTION("""COMPUTED_VALUE"""),0.46130787037037035)</f>
        <v>0.4613078704</v>
      </c>
      <c r="D4005" s="122" t="str">
        <f>IFERROR(__xludf.DUMMYFUNCTION("""COMPUTED_VALUE"""),"WIND")</f>
        <v>WIND</v>
      </c>
      <c r="E4005" s="122" t="str">
        <f>IFERROR(__xludf.DUMMYFUNCTION("""COMPUTED_VALUE"""),"WindWorks")</f>
        <v>WindWorks</v>
      </c>
      <c r="F4005" s="122" t="str">
        <f>IFERROR(__xludf.DUMMYFUNCTION("""COMPUTED_VALUE"""),"Energy")</f>
        <v>Energy</v>
      </c>
    </row>
    <row r="4006">
      <c r="A4006" s="131">
        <f>IFERROR(__xludf.DUMMYFUNCTION("""COMPUTED_VALUE"""),46187.46130787037)</f>
        <v>46187.46131</v>
      </c>
      <c r="B4006" s="126">
        <f>IFERROR(__xludf.DUMMYFUNCTION("""COMPUTED_VALUE"""),46187.0)</f>
        <v>46187</v>
      </c>
      <c r="C4006" s="130">
        <f>IFERROR(__xludf.DUMMYFUNCTION("""COMPUTED_VALUE"""),0.46130787037037035)</f>
        <v>0.4613078704</v>
      </c>
      <c r="D4006" s="122" t="str">
        <f>IFERROR(__xludf.DUMMYFUNCTION("""COMPUTED_VALUE"""),"GRID")</f>
        <v>GRID</v>
      </c>
      <c r="E4006" s="122" t="str">
        <f>IFERROR(__xludf.DUMMYFUNCTION("""COMPUTED_VALUE"""),"GridPower")</f>
        <v>GridPower</v>
      </c>
      <c r="F4006" s="122" t="str">
        <f>IFERROR(__xludf.DUMMYFUNCTION("""COMPUTED_VALUE"""),"Energy")</f>
        <v>Energy</v>
      </c>
    </row>
    <row r="4007">
      <c r="A4007" s="131">
        <f>IFERROR(__xludf.DUMMYFUNCTION("""COMPUTED_VALUE"""),46187.46130787037)</f>
        <v>46187.46131</v>
      </c>
      <c r="B4007" s="126">
        <f>IFERROR(__xludf.DUMMYFUNCTION("""COMPUTED_VALUE"""),46187.0)</f>
        <v>46187</v>
      </c>
      <c r="C4007" s="130">
        <f>IFERROR(__xludf.DUMMYFUNCTION("""COMPUTED_VALUE"""),0.46130787037037035)</f>
        <v>0.4613078704</v>
      </c>
      <c r="D4007" s="122" t="str">
        <f>IFERROR(__xludf.DUMMYFUNCTION("""COMPUTED_VALUE"""),"HOME")</f>
        <v>HOME</v>
      </c>
      <c r="E4007" s="122" t="str">
        <f>IFERROR(__xludf.DUMMYFUNCTION("""COMPUTED_VALUE"""),"HomeHub")</f>
        <v>HomeHub</v>
      </c>
      <c r="F4007" s="122" t="str">
        <f>IFERROR(__xludf.DUMMYFUNCTION("""COMPUTED_VALUE"""),"Real Estate")</f>
        <v>Real Estate</v>
      </c>
    </row>
    <row r="4008">
      <c r="A4008" s="131">
        <f>IFERROR(__xludf.DUMMYFUNCTION("""COMPUTED_VALUE"""),46187.46130787037)</f>
        <v>46187.46131</v>
      </c>
      <c r="B4008" s="126">
        <f>IFERROR(__xludf.DUMMYFUNCTION("""COMPUTED_VALUE"""),46187.0)</f>
        <v>46187</v>
      </c>
      <c r="C4008" s="130">
        <f>IFERROR(__xludf.DUMMYFUNCTION("""COMPUTED_VALUE"""),0.46130787037037035)</f>
        <v>0.4613078704</v>
      </c>
      <c r="D4008" s="122" t="str">
        <f>IFERROR(__xludf.DUMMYFUNCTION("""COMPUTED_VALUE"""),"RENT")</f>
        <v>RENT</v>
      </c>
      <c r="E4008" s="122" t="str">
        <f>IFERROR(__xludf.DUMMYFUNCTION("""COMPUTED_VALUE"""),"RentRight")</f>
        <v>RentRight</v>
      </c>
      <c r="F4008" s="122" t="str">
        <f>IFERROR(__xludf.DUMMYFUNCTION("""COMPUTED_VALUE"""),"Real Estate")</f>
        <v>Real Estate</v>
      </c>
    </row>
    <row r="4009">
      <c r="A4009" s="131">
        <f>IFERROR(__xludf.DUMMYFUNCTION("""COMPUTED_VALUE"""),46187.46130787037)</f>
        <v>46187.46131</v>
      </c>
      <c r="B4009" s="126">
        <f>IFERROR(__xludf.DUMMYFUNCTION("""COMPUTED_VALUE"""),46187.0)</f>
        <v>46187</v>
      </c>
      <c r="C4009" s="130">
        <f>IFERROR(__xludf.DUMMYFUNCTION("""COMPUTED_VALUE"""),0.46130787037037035)</f>
        <v>0.4613078704</v>
      </c>
      <c r="D4009" s="122" t="str">
        <f>IFERROR(__xludf.DUMMYFUNCTION("""COMPUTED_VALUE"""),"MALL")</f>
        <v>MALL</v>
      </c>
      <c r="E4009" s="122" t="str">
        <f>IFERROR(__xludf.DUMMYFUNCTION("""COMPUTED_VALUE"""),"MegaMall")</f>
        <v>MegaMall</v>
      </c>
      <c r="F4009" s="122" t="str">
        <f>IFERROR(__xludf.DUMMYFUNCTION("""COMPUTED_VALUE"""),"Real Estate")</f>
        <v>Real Estate</v>
      </c>
    </row>
    <row r="4010">
      <c r="A4010" s="131">
        <f>IFERROR(__xludf.DUMMYFUNCTION("""COMPUTED_VALUE"""),46187.46130787037)</f>
        <v>46187.46131</v>
      </c>
      <c r="B4010" s="126">
        <f>IFERROR(__xludf.DUMMYFUNCTION("""COMPUTED_VALUE"""),46187.0)</f>
        <v>46187</v>
      </c>
      <c r="C4010" s="130">
        <f>IFERROR(__xludf.DUMMYFUNCTION("""COMPUTED_VALUE"""),0.46130787037037035)</f>
        <v>0.4613078704</v>
      </c>
      <c r="D4010" s="122" t="str">
        <f>IFERROR(__xludf.DUMMYFUNCTION("""COMPUTED_VALUE"""),"HOTL")</f>
        <v>HOTL</v>
      </c>
      <c r="E4010" s="122" t="str">
        <f>IFERROR(__xludf.DUMMYFUNCTION("""COMPUTED_VALUE"""),"HotelHive")</f>
        <v>HotelHive</v>
      </c>
      <c r="F4010" s="122" t="str">
        <f>IFERROR(__xludf.DUMMYFUNCTION("""COMPUTED_VALUE"""),"Real Estate")</f>
        <v>Real Estate</v>
      </c>
    </row>
    <row r="4011">
      <c r="A4011" s="131">
        <f>IFERROR(__xludf.DUMMYFUNCTION("""COMPUTED_VALUE"""),46187.46130787037)</f>
        <v>46187.46131</v>
      </c>
      <c r="B4011" s="126">
        <f>IFERROR(__xludf.DUMMYFUNCTION("""COMPUTED_VALUE"""),46187.0)</f>
        <v>46187</v>
      </c>
      <c r="C4011" s="130">
        <f>IFERROR(__xludf.DUMMYFUNCTION("""COMPUTED_VALUE"""),0.46130787037037035)</f>
        <v>0.4613078704</v>
      </c>
      <c r="D4011" s="122" t="str">
        <f>IFERROR(__xludf.DUMMYFUNCTION("""COMPUTED_VALUE"""),"LAND")</f>
        <v>LAND</v>
      </c>
      <c r="E4011" s="122" t="str">
        <f>IFERROR(__xludf.DUMMYFUNCTION("""COMPUTED_VALUE"""),"LandLink")</f>
        <v>LandLink</v>
      </c>
      <c r="F4011" s="122" t="str">
        <f>IFERROR(__xludf.DUMMYFUNCTION("""COMPUTED_VALUE"""),"Real Estate")</f>
        <v>Real Estate</v>
      </c>
    </row>
    <row r="4012">
      <c r="A4012" s="131">
        <f>IFERROR(__xludf.DUMMYFUNCTION("""COMPUTED_VALUE"""),46187.46130787037)</f>
        <v>46187.46131</v>
      </c>
      <c r="B4012" s="126">
        <f>IFERROR(__xludf.DUMMYFUNCTION("""COMPUTED_VALUE"""),46187.0)</f>
        <v>46187</v>
      </c>
      <c r="C4012" s="130">
        <f>IFERROR(__xludf.DUMMYFUNCTION("""COMPUTED_VALUE"""),0.46130787037037035)</f>
        <v>0.4613078704</v>
      </c>
      <c r="D4012" s="122" t="str">
        <f>IFERROR(__xludf.DUMMYFUNCTION("""COMPUTED_VALUE"""),"CARS")</f>
        <v>CARS</v>
      </c>
      <c r="E4012" s="122" t="str">
        <f>IFERROR(__xludf.DUMMYFUNCTION("""COMPUTED_VALUE"""),"AutoArena")</f>
        <v>AutoArena</v>
      </c>
      <c r="F4012" s="122" t="str">
        <f>IFERROR(__xludf.DUMMYFUNCTION("""COMPUTED_VALUE"""),"Automotive")</f>
        <v>Automotive</v>
      </c>
    </row>
    <row r="4013">
      <c r="A4013" s="131">
        <f>IFERROR(__xludf.DUMMYFUNCTION("""COMPUTED_VALUE"""),46187.46130787037)</f>
        <v>46187.46131</v>
      </c>
      <c r="B4013" s="126">
        <f>IFERROR(__xludf.DUMMYFUNCTION("""COMPUTED_VALUE"""),46187.0)</f>
        <v>46187</v>
      </c>
      <c r="C4013" s="130">
        <f>IFERROR(__xludf.DUMMYFUNCTION("""COMPUTED_VALUE"""),0.46130787037037035)</f>
        <v>0.4613078704</v>
      </c>
      <c r="D4013" s="122" t="str">
        <f>IFERROR(__xludf.DUMMYFUNCTION("""COMPUTED_VALUE"""),"EVGO")</f>
        <v>EVGO</v>
      </c>
      <c r="E4013" s="122" t="str">
        <f>IFERROR(__xludf.DUMMYFUNCTION("""COMPUTED_VALUE"""),"EVGo Motors")</f>
        <v>EVGo Motors</v>
      </c>
      <c r="F4013" s="122" t="str">
        <f>IFERROR(__xludf.DUMMYFUNCTION("""COMPUTED_VALUE"""),"Automotive")</f>
        <v>Automotive</v>
      </c>
    </row>
    <row r="4014">
      <c r="A4014" s="131">
        <f>IFERROR(__xludf.DUMMYFUNCTION("""COMPUTED_VALUE"""),46187.46130787037)</f>
        <v>46187.46131</v>
      </c>
      <c r="B4014" s="126">
        <f>IFERROR(__xludf.DUMMYFUNCTION("""COMPUTED_VALUE"""),46187.0)</f>
        <v>46187</v>
      </c>
      <c r="C4014" s="130">
        <f>IFERROR(__xludf.DUMMYFUNCTION("""COMPUTED_VALUE"""),0.46130787037037035)</f>
        <v>0.4613078704</v>
      </c>
      <c r="D4014" s="122" t="str">
        <f>IFERROR(__xludf.DUMMYFUNCTION("""COMPUTED_VALUE"""),"TIRE")</f>
        <v>TIRE</v>
      </c>
      <c r="E4014" s="122" t="str">
        <f>IFERROR(__xludf.DUMMYFUNCTION("""COMPUTED_VALUE"""),"TireTown")</f>
        <v>TireTown</v>
      </c>
      <c r="F4014" s="122" t="str">
        <f>IFERROR(__xludf.DUMMYFUNCTION("""COMPUTED_VALUE"""),"Automotive")</f>
        <v>Automotive</v>
      </c>
    </row>
    <row r="4015">
      <c r="A4015" s="131">
        <f>IFERROR(__xludf.DUMMYFUNCTION("""COMPUTED_VALUE"""),46187.46130787037)</f>
        <v>46187.46131</v>
      </c>
      <c r="B4015" s="126">
        <f>IFERROR(__xludf.DUMMYFUNCTION("""COMPUTED_VALUE"""),46187.0)</f>
        <v>46187</v>
      </c>
      <c r="C4015" s="130">
        <f>IFERROR(__xludf.DUMMYFUNCTION("""COMPUTED_VALUE"""),0.46130787037037035)</f>
        <v>0.4613078704</v>
      </c>
      <c r="D4015" s="122" t="str">
        <f>IFERROR(__xludf.DUMMYFUNCTION("""COMPUTED_VALUE"""),"BIKE")</f>
        <v>BIKE</v>
      </c>
      <c r="E4015" s="122" t="str">
        <f>IFERROR(__xludf.DUMMYFUNCTION("""COMPUTED_VALUE"""),"BikeBox")</f>
        <v>BikeBox</v>
      </c>
      <c r="F4015" s="122" t="str">
        <f>IFERROR(__xludf.DUMMYFUNCTION("""COMPUTED_VALUE"""),"Automotive")</f>
        <v>Automotive</v>
      </c>
    </row>
    <row r="4016">
      <c r="A4016" s="131">
        <f>IFERROR(__xludf.DUMMYFUNCTION("""COMPUTED_VALUE"""),46187.46130787037)</f>
        <v>46187.46131</v>
      </c>
      <c r="B4016" s="126">
        <f>IFERROR(__xludf.DUMMYFUNCTION("""COMPUTED_VALUE"""),46187.0)</f>
        <v>46187</v>
      </c>
      <c r="C4016" s="130">
        <f>IFERROR(__xludf.DUMMYFUNCTION("""COMPUTED_VALUE"""),0.46130787037037035)</f>
        <v>0.4613078704</v>
      </c>
      <c r="D4016" s="122" t="str">
        <f>IFERROR(__xludf.DUMMYFUNCTION("""COMPUTED_VALUE"""),"WASH")</f>
        <v>WASH</v>
      </c>
      <c r="E4016" s="122" t="str">
        <f>IFERROR(__xludf.DUMMYFUNCTION("""COMPUTED_VALUE"""),"CarWash Co")</f>
        <v>CarWash Co</v>
      </c>
      <c r="F4016" s="122" t="str">
        <f>IFERROR(__xludf.DUMMYFUNCTION("""COMPUTED_VALUE"""),"Automotive")</f>
        <v>Automotive</v>
      </c>
    </row>
    <row r="4017">
      <c r="A4017" s="131">
        <f>IFERROR(__xludf.DUMMYFUNCTION("""COMPUTED_VALUE"""),46187.46130787037)</f>
        <v>46187.46131</v>
      </c>
      <c r="B4017" s="126">
        <f>IFERROR(__xludf.DUMMYFUNCTION("""COMPUTED_VALUE"""),46187.0)</f>
        <v>46187</v>
      </c>
      <c r="C4017" s="130">
        <f>IFERROR(__xludf.DUMMYFUNCTION("""COMPUTED_VALUE"""),0.46130787037037035)</f>
        <v>0.4613078704</v>
      </c>
      <c r="D4017" s="122" t="str">
        <f>IFERROR(__xludf.DUMMYFUNCTION("""COMPUTED_VALUE"""),"GBND")</f>
        <v>GBND</v>
      </c>
      <c r="E4017" s="122" t="str">
        <f>IFERROR(__xludf.DUMMYFUNCTION("""COMPUTED_VALUE"""),"Classroom Government Bond")</f>
        <v>Classroom Government Bond</v>
      </c>
      <c r="F4017" s="122" t="str">
        <f>IFERROR(__xludf.DUMMYFUNCTION("""COMPUTED_VALUE"""),"Bond")</f>
        <v>Bond</v>
      </c>
    </row>
    <row r="4018">
      <c r="A4018" s="131">
        <f>IFERROR(__xludf.DUMMYFUNCTION("""COMPUTED_VALUE"""),46187.46130787037)</f>
        <v>46187.46131</v>
      </c>
      <c r="B4018" s="126">
        <f>IFERROR(__xludf.DUMMYFUNCTION("""COMPUTED_VALUE"""),46187.0)</f>
        <v>46187</v>
      </c>
      <c r="C4018" s="130">
        <f>IFERROR(__xludf.DUMMYFUNCTION("""COMPUTED_VALUE"""),0.46130787037037035)</f>
        <v>0.4613078704</v>
      </c>
      <c r="D4018" s="122" t="str">
        <f>IFERROR(__xludf.DUMMYFUNCTION("""COMPUTED_VALUE"""),"SBND")</f>
        <v>SBND</v>
      </c>
      <c r="E4018" s="122" t="str">
        <f>IFERROR(__xludf.DUMMYFUNCTION("""COMPUTED_VALUE"""),"School Savings Bond")</f>
        <v>School Savings Bond</v>
      </c>
      <c r="F4018" s="122" t="str">
        <f>IFERROR(__xludf.DUMMYFUNCTION("""COMPUTED_VALUE"""),"Bond")</f>
        <v>Bond</v>
      </c>
    </row>
    <row r="4019">
      <c r="A4019" s="131">
        <f>IFERROR(__xludf.DUMMYFUNCTION("""COMPUTED_VALUE"""),46187.46130787037)</f>
        <v>46187.46131</v>
      </c>
      <c r="B4019" s="126">
        <f>IFERROR(__xludf.DUMMYFUNCTION("""COMPUTED_VALUE"""),46187.0)</f>
        <v>46187</v>
      </c>
      <c r="C4019" s="130">
        <f>IFERROR(__xludf.DUMMYFUNCTION("""COMPUTED_VALUE"""),0.46130787037037035)</f>
        <v>0.4613078704</v>
      </c>
      <c r="D4019" s="122" t="str">
        <f>IFERROR(__xludf.DUMMYFUNCTION("""COMPUTED_VALUE"""),"CBND")</f>
        <v>CBND</v>
      </c>
      <c r="E4019" s="122" t="str">
        <f>IFERROR(__xludf.DUMMYFUNCTION("""COMPUTED_VALUE"""),"Corporate Classroom Bond")</f>
        <v>Corporate Classroom Bond</v>
      </c>
      <c r="F4019" s="122" t="str">
        <f>IFERROR(__xludf.DUMMYFUNCTION("""COMPUTED_VALUE"""),"Bond")</f>
        <v>Bond</v>
      </c>
    </row>
    <row r="4020">
      <c r="A4020" s="131">
        <f>IFERROR(__xludf.DUMMYFUNCTION("""COMPUTED_VALUE"""),46187.46130787037)</f>
        <v>46187.46131</v>
      </c>
      <c r="B4020" s="126">
        <f>IFERROR(__xludf.DUMMYFUNCTION("""COMPUTED_VALUE"""),46187.0)</f>
        <v>46187</v>
      </c>
      <c r="C4020" s="130">
        <f>IFERROR(__xludf.DUMMYFUNCTION("""COMPUTED_VALUE"""),0.46130787037037035)</f>
        <v>0.4613078704</v>
      </c>
      <c r="D4020" s="122" t="str">
        <f>IFERROR(__xludf.DUMMYFUNCTION("""COMPUTED_VALUE"""),"TBIL")</f>
        <v>TBIL</v>
      </c>
      <c r="E4020" s="122" t="str">
        <f>IFERROR(__xludf.DUMMYFUNCTION("""COMPUTED_VALUE"""),"Treasury Bill")</f>
        <v>Treasury Bill</v>
      </c>
      <c r="F4020" s="122" t="str">
        <f>IFERROR(__xludf.DUMMYFUNCTION("""COMPUTED_VALUE"""),"Bond")</f>
        <v>Bond</v>
      </c>
    </row>
    <row r="4021">
      <c r="A4021" s="131">
        <f>IFERROR(__xludf.DUMMYFUNCTION("""COMPUTED_VALUE"""),46187.46130787037)</f>
        <v>46187.46131</v>
      </c>
      <c r="B4021" s="126">
        <f>IFERROR(__xludf.DUMMYFUNCTION("""COMPUTED_VALUE"""),46187.0)</f>
        <v>46187</v>
      </c>
      <c r="C4021" s="130">
        <f>IFERROR(__xludf.DUMMYFUNCTION("""COMPUTED_VALUE"""),0.46130787037037035)</f>
        <v>0.4613078704</v>
      </c>
      <c r="D4021" s="122" t="str">
        <f>IFERROR(__xludf.DUMMYFUNCTION("""COMPUTED_VALUE"""),"IBND")</f>
        <v>IBND</v>
      </c>
      <c r="E4021" s="122" t="str">
        <f>IFERROR(__xludf.DUMMYFUNCTION("""COMPUTED_VALUE"""),"Inflation Protected Bond")</f>
        <v>Inflation Protected Bond</v>
      </c>
      <c r="F4021" s="122" t="str">
        <f>IFERROR(__xludf.DUMMYFUNCTION("""COMPUTED_VALUE"""),"Bond")</f>
        <v>Bond</v>
      </c>
    </row>
    <row r="4022">
      <c r="A4022" s="131">
        <f>IFERROR(__xludf.DUMMYFUNCTION("""COMPUTED_VALUE"""),46187.463275462964)</f>
        <v>46187.46328</v>
      </c>
      <c r="B4022" s="126">
        <f>IFERROR(__xludf.DUMMYFUNCTION("""COMPUTED_VALUE"""),46187.0)</f>
        <v>46187</v>
      </c>
      <c r="C4022" s="122" t="str">
        <f>IFERROR(__xludf.DUMMYFUNCTION("""COMPUTED_VALUE"""),"SNAX")</f>
        <v>SNAX</v>
      </c>
      <c r="D4022" s="122" t="str">
        <f>IFERROR(__xludf.DUMMYFUNCTION("""COMPUTED_VALUE"""),"MICA Snacks")</f>
        <v>MICA Snacks</v>
      </c>
      <c r="E4022" s="122">
        <f>IFERROR(__xludf.DUMMYFUNCTION("""COMPUTED_VALUE"""),121.22)</f>
        <v>121.22</v>
      </c>
      <c r="F4022" s="122">
        <f>IFERROR(__xludf.DUMMYFUNCTION("""COMPUTED_VALUE"""),-0.0037)</f>
        <v>-0.0037</v>
      </c>
    </row>
    <row r="4023">
      <c r="A4023" s="131">
        <f>IFERROR(__xludf.DUMMYFUNCTION("""COMPUTED_VALUE"""),46187.463275462964)</f>
        <v>46187.46328</v>
      </c>
      <c r="B4023" s="126">
        <f>IFERROR(__xludf.DUMMYFUNCTION("""COMPUTED_VALUE"""),46187.0)</f>
        <v>46187</v>
      </c>
      <c r="C4023" s="122" t="str">
        <f>IFERROR(__xludf.DUMMYFUNCTION("""COMPUTED_VALUE"""),"RAMN")</f>
        <v>RAMN</v>
      </c>
      <c r="D4023" s="122" t="str">
        <f>IFERROR(__xludf.DUMMYFUNCTION("""COMPUTED_VALUE"""),"Ramen Republic")</f>
        <v>Ramen Republic</v>
      </c>
      <c r="E4023" s="122">
        <f>IFERROR(__xludf.DUMMYFUNCTION("""COMPUTED_VALUE"""),71.07)</f>
        <v>71.07</v>
      </c>
      <c r="F4023" s="122">
        <f>IFERROR(__xludf.DUMMYFUNCTION("""COMPUTED_VALUE"""),-0.0036)</f>
        <v>-0.0036</v>
      </c>
    </row>
    <row r="4024">
      <c r="A4024" s="131">
        <f>IFERROR(__xludf.DUMMYFUNCTION("""COMPUTED_VALUE"""),46187.463275462964)</f>
        <v>46187.46328</v>
      </c>
      <c r="B4024" s="126">
        <f>IFERROR(__xludf.DUMMYFUNCTION("""COMPUTED_VALUE"""),46187.0)</f>
        <v>46187</v>
      </c>
      <c r="C4024" s="122" t="str">
        <f>IFERROR(__xludf.DUMMYFUNCTION("""COMPUTED_VALUE"""),"COLA")</f>
        <v>COLA</v>
      </c>
      <c r="D4024" s="122" t="str">
        <f>IFERROR(__xludf.DUMMYFUNCTION("""COMPUTED_VALUE"""),"K-Pop Cola")</f>
        <v>K-Pop Cola</v>
      </c>
      <c r="E4024" s="122">
        <f>IFERROR(__xludf.DUMMYFUNCTION("""COMPUTED_VALUE"""),110.42)</f>
        <v>110.42</v>
      </c>
      <c r="F4024" s="122">
        <f>IFERROR(__xludf.DUMMYFUNCTION("""COMPUTED_VALUE"""),0.003)</f>
        <v>0.003</v>
      </c>
    </row>
    <row r="4025">
      <c r="A4025" s="131">
        <f>IFERROR(__xludf.DUMMYFUNCTION("""COMPUTED_VALUE"""),46187.463275462964)</f>
        <v>46187.46328</v>
      </c>
      <c r="B4025" s="126">
        <f>IFERROR(__xludf.DUMMYFUNCTION("""COMPUTED_VALUE"""),46187.0)</f>
        <v>46187</v>
      </c>
      <c r="C4025" s="122" t="str">
        <f>IFERROR(__xludf.DUMMYFUNCTION("""COMPUTED_VALUE"""),"CHIP")</f>
        <v>CHIP</v>
      </c>
      <c r="D4025" s="122" t="str">
        <f>IFERROR(__xludf.DUMMYFUNCTION("""COMPUTED_VALUE"""),"Chip Empire")</f>
        <v>Chip Empire</v>
      </c>
      <c r="E4025" s="122">
        <f>IFERROR(__xludf.DUMMYFUNCTION("""COMPUTED_VALUE"""),86.36)</f>
        <v>86.36</v>
      </c>
      <c r="F4025" s="122">
        <f>IFERROR(__xludf.DUMMYFUNCTION("""COMPUTED_VALUE"""),-0.0077)</f>
        <v>-0.0077</v>
      </c>
    </row>
    <row r="4026">
      <c r="A4026" s="131">
        <f>IFERROR(__xludf.DUMMYFUNCTION("""COMPUTED_VALUE"""),46187.463275462964)</f>
        <v>46187.46328</v>
      </c>
      <c r="B4026" s="126">
        <f>IFERROR(__xludf.DUMMYFUNCTION("""COMPUTED_VALUE"""),46187.0)</f>
        <v>46187</v>
      </c>
      <c r="C4026" s="122" t="str">
        <f>IFERROR(__xludf.DUMMYFUNCTION("""COMPUTED_VALUE"""),"CAND")</f>
        <v>CAND</v>
      </c>
      <c r="D4026" s="122" t="str">
        <f>IFERROR(__xludf.DUMMYFUNCTION("""COMPUTED_VALUE"""),"Candy Capital")</f>
        <v>Candy Capital</v>
      </c>
      <c r="E4026" s="122">
        <f>IFERROR(__xludf.DUMMYFUNCTION("""COMPUTED_VALUE"""),77.06)</f>
        <v>77.06</v>
      </c>
      <c r="F4026" s="122">
        <f>IFERROR(__xludf.DUMMYFUNCTION("""COMPUTED_VALUE"""),-0.004)</f>
        <v>-0.004</v>
      </c>
    </row>
    <row r="4027">
      <c r="A4027" s="131">
        <f>IFERROR(__xludf.DUMMYFUNCTION("""COMPUTED_VALUE"""),46187.463275462964)</f>
        <v>46187.46328</v>
      </c>
      <c r="B4027" s="126">
        <f>IFERROR(__xludf.DUMMYFUNCTION("""COMPUTED_VALUE"""),46187.0)</f>
        <v>46187</v>
      </c>
      <c r="C4027" s="122" t="str">
        <f>IFERROR(__xludf.DUMMYFUNCTION("""COMPUTED_VALUE"""),"TECH")</f>
        <v>TECH</v>
      </c>
      <c r="D4027" s="122" t="str">
        <f>IFERROR(__xludf.DUMMYFUNCTION("""COMPUTED_VALUE"""),"Dragon Tech")</f>
        <v>Dragon Tech</v>
      </c>
      <c r="E4027" s="122">
        <f>IFERROR(__xludf.DUMMYFUNCTION("""COMPUTED_VALUE"""),243.09)</f>
        <v>243.09</v>
      </c>
      <c r="F4027" s="122">
        <f>IFERROR(__xludf.DUMMYFUNCTION("""COMPUTED_VALUE"""),0.005)</f>
        <v>0.005</v>
      </c>
    </row>
    <row r="4028">
      <c r="A4028" s="131">
        <f>IFERROR(__xludf.DUMMYFUNCTION("""COMPUTED_VALUE"""),46187.463275462964)</f>
        <v>46187.46328</v>
      </c>
      <c r="B4028" s="126">
        <f>IFERROR(__xludf.DUMMYFUNCTION("""COMPUTED_VALUE"""),46187.0)</f>
        <v>46187</v>
      </c>
      <c r="C4028" s="122" t="str">
        <f>IFERROR(__xludf.DUMMYFUNCTION("""COMPUTED_VALUE"""),"AIBO")</f>
        <v>AIBO</v>
      </c>
      <c r="D4028" s="122" t="str">
        <f>IFERROR(__xludf.DUMMYFUNCTION("""COMPUTED_VALUE"""),"Homework AI")</f>
        <v>Homework AI</v>
      </c>
      <c r="E4028" s="122">
        <f>IFERROR(__xludf.DUMMYFUNCTION("""COMPUTED_VALUE"""),174.35)</f>
        <v>174.35</v>
      </c>
      <c r="F4028" s="122">
        <f>IFERROR(__xludf.DUMMYFUNCTION("""COMPUTED_VALUE"""),0.0097)</f>
        <v>0.0097</v>
      </c>
    </row>
    <row r="4029">
      <c r="A4029" s="131">
        <f>IFERROR(__xludf.DUMMYFUNCTION("""COMPUTED_VALUE"""),46187.463275462964)</f>
        <v>46187.46328</v>
      </c>
      <c r="B4029" s="126">
        <f>IFERROR(__xludf.DUMMYFUNCTION("""COMPUTED_VALUE"""),46187.0)</f>
        <v>46187</v>
      </c>
      <c r="C4029" s="122" t="str">
        <f>IFERROR(__xludf.DUMMYFUNCTION("""COMPUTED_VALUE"""),"GAME")</f>
        <v>GAME</v>
      </c>
      <c r="D4029" s="122" t="str">
        <f>IFERROR(__xludf.DUMMYFUNCTION("""COMPUTED_VALUE"""),"GameBox Media")</f>
        <v>GameBox Media</v>
      </c>
      <c r="E4029" s="122">
        <f>IFERROR(__xludf.DUMMYFUNCTION("""COMPUTED_VALUE"""),96.79)</f>
        <v>96.79</v>
      </c>
      <c r="F4029" s="122">
        <f>IFERROR(__xludf.DUMMYFUNCTION("""COMPUTED_VALUE"""),0.0102)</f>
        <v>0.0102</v>
      </c>
    </row>
    <row r="4030">
      <c r="A4030" s="131">
        <f>IFERROR(__xludf.DUMMYFUNCTION("""COMPUTED_VALUE"""),46187.463275462964)</f>
        <v>46187.46328</v>
      </c>
      <c r="B4030" s="126">
        <f>IFERROR(__xludf.DUMMYFUNCTION("""COMPUTED_VALUE"""),46187.0)</f>
        <v>46187</v>
      </c>
      <c r="C4030" s="122" t="str">
        <f>IFERROR(__xludf.DUMMYFUNCTION("""COMPUTED_VALUE"""),"VRSE")</f>
        <v>VRSE</v>
      </c>
      <c r="D4030" s="122" t="str">
        <f>IFERROR(__xludf.DUMMYFUNCTION("""COMPUTED_VALUE"""),"VerseVR")</f>
        <v>VerseVR</v>
      </c>
      <c r="E4030" s="122">
        <f>IFERROR(__xludf.DUMMYFUNCTION("""COMPUTED_VALUE"""),147.74)</f>
        <v>147.74</v>
      </c>
      <c r="F4030" s="122">
        <f>IFERROR(__xludf.DUMMYFUNCTION("""COMPUTED_VALUE"""),-0.006)</f>
        <v>-0.006</v>
      </c>
    </row>
    <row r="4031">
      <c r="A4031" s="131">
        <f>IFERROR(__xludf.DUMMYFUNCTION("""COMPUTED_VALUE"""),46187.463275462964)</f>
        <v>46187.46328</v>
      </c>
      <c r="B4031" s="126">
        <f>IFERROR(__xludf.DUMMYFUNCTION("""COMPUTED_VALUE"""),46187.0)</f>
        <v>46187</v>
      </c>
      <c r="C4031" s="122" t="str">
        <f>IFERROR(__xludf.DUMMYFUNCTION("""COMPUTED_VALUE"""),"BYTE")</f>
        <v>BYTE</v>
      </c>
      <c r="D4031" s="122" t="str">
        <f>IFERROR(__xludf.DUMMYFUNCTION("""COMPUTED_VALUE"""),"ByteWorks")</f>
        <v>ByteWorks</v>
      </c>
      <c r="E4031" s="122">
        <f>IFERROR(__xludf.DUMMYFUNCTION("""COMPUTED_VALUE"""),107.2)</f>
        <v>107.2</v>
      </c>
      <c r="F4031" s="122">
        <f>IFERROR(__xludf.DUMMYFUNCTION("""COMPUTED_VALUE"""),-0.0079)</f>
        <v>-0.0079</v>
      </c>
    </row>
    <row r="4032">
      <c r="A4032" s="131">
        <f>IFERROR(__xludf.DUMMYFUNCTION("""COMPUTED_VALUE"""),46187.463275462964)</f>
        <v>46187.46328</v>
      </c>
      <c r="B4032" s="126">
        <f>IFERROR(__xludf.DUMMYFUNCTION("""COMPUTED_VALUE"""),46187.0)</f>
        <v>46187</v>
      </c>
      <c r="C4032" s="122" t="str">
        <f>IFERROR(__xludf.DUMMYFUNCTION("""COMPUTED_VALUE"""),"BANK")</f>
        <v>BANK</v>
      </c>
      <c r="D4032" s="122" t="str">
        <f>IFERROR(__xludf.DUMMYFUNCTION("""COMPUTED_VALUE"""),"Tiger Bank")</f>
        <v>Tiger Bank</v>
      </c>
      <c r="E4032" s="122">
        <f>IFERROR(__xludf.DUMMYFUNCTION("""COMPUTED_VALUE"""),127.71)</f>
        <v>127.71</v>
      </c>
      <c r="F4032" s="122">
        <f>IFERROR(__xludf.DUMMYFUNCTION("""COMPUTED_VALUE"""),0.0027)</f>
        <v>0.0027</v>
      </c>
    </row>
    <row r="4033">
      <c r="A4033" s="131">
        <f>IFERROR(__xludf.DUMMYFUNCTION("""COMPUTED_VALUE"""),46187.463275462964)</f>
        <v>46187.46328</v>
      </c>
      <c r="B4033" s="126">
        <f>IFERROR(__xludf.DUMMYFUNCTION("""COMPUTED_VALUE"""),46187.0)</f>
        <v>46187</v>
      </c>
      <c r="C4033" s="122" t="str">
        <f>IFERROR(__xludf.DUMMYFUNCTION("""COMPUTED_VALUE"""),"CRED")</f>
        <v>CRED</v>
      </c>
      <c r="D4033" s="122" t="str">
        <f>IFERROR(__xludf.DUMMYFUNCTION("""COMPUTED_VALUE"""),"Credit Castle")</f>
        <v>Credit Castle</v>
      </c>
      <c r="E4033" s="122">
        <f>IFERROR(__xludf.DUMMYFUNCTION("""COMPUTED_VALUE"""),66.58)</f>
        <v>66.58</v>
      </c>
      <c r="F4033" s="122">
        <f>IFERROR(__xludf.DUMMYFUNCTION("""COMPUTED_VALUE"""),0.0021)</f>
        <v>0.0021</v>
      </c>
    </row>
    <row r="4034">
      <c r="A4034" s="131">
        <f>IFERROR(__xludf.DUMMYFUNCTION("""COMPUTED_VALUE"""),46187.463275462964)</f>
        <v>46187.46328</v>
      </c>
      <c r="B4034" s="126">
        <f>IFERROR(__xludf.DUMMYFUNCTION("""COMPUTED_VALUE"""),46187.0)</f>
        <v>46187</v>
      </c>
      <c r="C4034" s="122" t="str">
        <f>IFERROR(__xludf.DUMMYFUNCTION("""COMPUTED_VALUE"""),"BOND")</f>
        <v>BOND</v>
      </c>
      <c r="D4034" s="122" t="str">
        <f>IFERROR(__xludf.DUMMYFUNCTION("""COMPUTED_VALUE"""),"BondBridge")</f>
        <v>BondBridge</v>
      </c>
      <c r="E4034" s="122">
        <f>IFERROR(__xludf.DUMMYFUNCTION("""COMPUTED_VALUE"""),99.36)</f>
        <v>99.36</v>
      </c>
      <c r="F4034" s="122">
        <f>IFERROR(__xludf.DUMMYFUNCTION("""COMPUTED_VALUE"""),0.0)</f>
        <v>0</v>
      </c>
    </row>
    <row r="4035">
      <c r="A4035" s="131">
        <f>IFERROR(__xludf.DUMMYFUNCTION("""COMPUTED_VALUE"""),46187.463275462964)</f>
        <v>46187.46328</v>
      </c>
      <c r="B4035" s="126">
        <f>IFERROR(__xludf.DUMMYFUNCTION("""COMPUTED_VALUE"""),46187.0)</f>
        <v>46187</v>
      </c>
      <c r="C4035" s="122" t="str">
        <f>IFERROR(__xludf.DUMMYFUNCTION("""COMPUTED_VALUE"""),"INSR")</f>
        <v>INSR</v>
      </c>
      <c r="D4035" s="122" t="str">
        <f>IFERROR(__xludf.DUMMYFUNCTION("""COMPUTED_VALUE"""),"Shield Insurance")</f>
        <v>Shield Insurance</v>
      </c>
      <c r="E4035" s="122">
        <f>IFERROR(__xludf.DUMMYFUNCTION("""COMPUTED_VALUE"""),160.35)</f>
        <v>160.35</v>
      </c>
      <c r="F4035" s="122">
        <f>IFERROR(__xludf.DUMMYFUNCTION("""COMPUTED_VALUE"""),7.0E-4)</f>
        <v>0.0007</v>
      </c>
    </row>
    <row r="4036">
      <c r="A4036" s="131">
        <f>IFERROR(__xludf.DUMMYFUNCTION("""COMPUTED_VALUE"""),46187.463275462964)</f>
        <v>46187.46328</v>
      </c>
      <c r="B4036" s="126">
        <f>IFERROR(__xludf.DUMMYFUNCTION("""COMPUTED_VALUE"""),46187.0)</f>
        <v>46187</v>
      </c>
      <c r="C4036" s="122" t="str">
        <f>IFERROR(__xludf.DUMMYFUNCTION("""COMPUTED_VALUE"""),"LOAN")</f>
        <v>LOAN</v>
      </c>
      <c r="D4036" s="122" t="str">
        <f>IFERROR(__xludf.DUMMYFUNCTION("""COMPUTED_VALUE"""),"LoanLab")</f>
        <v>LoanLab</v>
      </c>
      <c r="E4036" s="122">
        <f>IFERROR(__xludf.DUMMYFUNCTION("""COMPUTED_VALUE"""),63.21)</f>
        <v>63.21</v>
      </c>
      <c r="F4036" s="122">
        <f>IFERROR(__xludf.DUMMYFUNCTION("""COMPUTED_VALUE"""),0.0011)</f>
        <v>0.0011</v>
      </c>
    </row>
    <row r="4037">
      <c r="A4037" s="131">
        <f>IFERROR(__xludf.DUMMYFUNCTION("""COMPUTED_VALUE"""),46187.463275462964)</f>
        <v>46187.46328</v>
      </c>
      <c r="B4037" s="126">
        <f>IFERROR(__xludf.DUMMYFUNCTION("""COMPUTED_VALUE"""),46187.0)</f>
        <v>46187</v>
      </c>
      <c r="C4037" s="122" t="str">
        <f>IFERROR(__xludf.DUMMYFUNCTION("""COMPUTED_VALUE"""),"LUXE")</f>
        <v>LUXE</v>
      </c>
      <c r="D4037" s="122" t="str">
        <f>IFERROR(__xludf.DUMMYFUNCTION("""COMPUTED_VALUE"""),"Luxury Locker")</f>
        <v>Luxury Locker</v>
      </c>
      <c r="E4037" s="122">
        <f>IFERROR(__xludf.DUMMYFUNCTION("""COMPUTED_VALUE"""),260.62)</f>
        <v>260.62</v>
      </c>
      <c r="F4037" s="122">
        <f>IFERROR(__xludf.DUMMYFUNCTION("""COMPUTED_VALUE"""),-0.0047)</f>
        <v>-0.0047</v>
      </c>
    </row>
    <row r="4038">
      <c r="A4038" s="131">
        <f>IFERROR(__xludf.DUMMYFUNCTION("""COMPUTED_VALUE"""),46187.463275462964)</f>
        <v>46187.46328</v>
      </c>
      <c r="B4038" s="126">
        <f>IFERROR(__xludf.DUMMYFUNCTION("""COMPUTED_VALUE"""),46187.0)</f>
        <v>46187</v>
      </c>
      <c r="C4038" s="122" t="str">
        <f>IFERROR(__xludf.DUMMYFUNCTION("""COMPUTED_VALUE"""),"DRIP")</f>
        <v>DRIP</v>
      </c>
      <c r="D4038" s="122" t="str">
        <f>IFERROR(__xludf.DUMMYFUNCTION("""COMPUTED_VALUE"""),"Drip Streetwear")</f>
        <v>Drip Streetwear</v>
      </c>
      <c r="E4038" s="122">
        <f>IFERROR(__xludf.DUMMYFUNCTION("""COMPUTED_VALUE"""),195.96)</f>
        <v>195.96</v>
      </c>
      <c r="F4038" s="122">
        <f>IFERROR(__xludf.DUMMYFUNCTION("""COMPUTED_VALUE"""),0.0076)</f>
        <v>0.0076</v>
      </c>
    </row>
    <row r="4039">
      <c r="A4039" s="131">
        <f>IFERROR(__xludf.DUMMYFUNCTION("""COMPUTED_VALUE"""),46187.463275462964)</f>
        <v>46187.46328</v>
      </c>
      <c r="B4039" s="126">
        <f>IFERROR(__xludf.DUMMYFUNCTION("""COMPUTED_VALUE"""),46187.0)</f>
        <v>46187</v>
      </c>
      <c r="C4039" s="122" t="str">
        <f>IFERROR(__xludf.DUMMYFUNCTION("""COMPUTED_VALUE"""),"KICK")</f>
        <v>KICK</v>
      </c>
      <c r="D4039" s="122" t="str">
        <f>IFERROR(__xludf.DUMMYFUNCTION("""COMPUTED_VALUE"""),"KickDrop Sneakers")</f>
        <v>KickDrop Sneakers</v>
      </c>
      <c r="E4039" s="122">
        <f>IFERROR(__xludf.DUMMYFUNCTION("""COMPUTED_VALUE"""),173.89)</f>
        <v>173.89</v>
      </c>
      <c r="F4039" s="122">
        <f>IFERROR(__xludf.DUMMYFUNCTION("""COMPUTED_VALUE"""),-0.0043)</f>
        <v>-0.0043</v>
      </c>
    </row>
    <row r="4040">
      <c r="A4040" s="131">
        <f>IFERROR(__xludf.DUMMYFUNCTION("""COMPUTED_VALUE"""),46187.463275462964)</f>
        <v>46187.46328</v>
      </c>
      <c r="B4040" s="126">
        <f>IFERROR(__xludf.DUMMYFUNCTION("""COMPUTED_VALUE"""),46187.0)</f>
        <v>46187</v>
      </c>
      <c r="C4040" s="122" t="str">
        <f>IFERROR(__xludf.DUMMYFUNCTION("""COMPUTED_VALUE"""),"GLAM")</f>
        <v>GLAM</v>
      </c>
      <c r="D4040" s="122" t="str">
        <f>IFERROR(__xludf.DUMMYFUNCTION("""COMPUTED_VALUE"""),"Glow Cosmetics")</f>
        <v>Glow Cosmetics</v>
      </c>
      <c r="E4040" s="122">
        <f>IFERROR(__xludf.DUMMYFUNCTION("""COMPUTED_VALUE"""),103.24)</f>
        <v>103.24</v>
      </c>
      <c r="F4040" s="122">
        <f>IFERROR(__xludf.DUMMYFUNCTION("""COMPUTED_VALUE"""),0.0047)</f>
        <v>0.0047</v>
      </c>
    </row>
    <row r="4041">
      <c r="A4041" s="131">
        <f>IFERROR(__xludf.DUMMYFUNCTION("""COMPUTED_VALUE"""),46187.463275462964)</f>
        <v>46187.46328</v>
      </c>
      <c r="B4041" s="126">
        <f>IFERROR(__xludf.DUMMYFUNCTION("""COMPUTED_VALUE"""),46187.0)</f>
        <v>46187</v>
      </c>
      <c r="C4041" s="122" t="str">
        <f>IFERROR(__xludf.DUMMYFUNCTION("""COMPUTED_VALUE"""),"BAGG")</f>
        <v>BAGG</v>
      </c>
      <c r="D4041" s="122" t="str">
        <f>IFERROR(__xludf.DUMMYFUNCTION("""COMPUTED_VALUE"""),"BagVault")</f>
        <v>BagVault</v>
      </c>
      <c r="E4041" s="122">
        <f>IFERROR(__xludf.DUMMYFUNCTION("""COMPUTED_VALUE"""),251.14)</f>
        <v>251.14</v>
      </c>
      <c r="F4041" s="122">
        <f>IFERROR(__xludf.DUMMYFUNCTION("""COMPUTED_VALUE"""),0.007)</f>
        <v>0.007</v>
      </c>
    </row>
    <row r="4042">
      <c r="A4042" s="131">
        <f>IFERROR(__xludf.DUMMYFUNCTION("""COMPUTED_VALUE"""),46187.463275462964)</f>
        <v>46187.46328</v>
      </c>
      <c r="B4042" s="126">
        <f>IFERROR(__xludf.DUMMYFUNCTION("""COMPUTED_VALUE"""),46187.0)</f>
        <v>46187</v>
      </c>
      <c r="C4042" s="122" t="str">
        <f>IFERROR(__xludf.DUMMYFUNCTION("""COMPUTED_VALUE"""),"FAST")</f>
        <v>FAST</v>
      </c>
      <c r="D4042" s="122" t="str">
        <f>IFERROR(__xludf.DUMMYFUNCTION("""COMPUTED_VALUE"""),"Flash Logistics")</f>
        <v>Flash Logistics</v>
      </c>
      <c r="E4042" s="122">
        <f>IFERROR(__xludf.DUMMYFUNCTION("""COMPUTED_VALUE"""),103.57)</f>
        <v>103.57</v>
      </c>
      <c r="F4042" s="122">
        <f>IFERROR(__xludf.DUMMYFUNCTION("""COMPUTED_VALUE"""),0.0028)</f>
        <v>0.0028</v>
      </c>
    </row>
    <row r="4043">
      <c r="A4043" s="131">
        <f>IFERROR(__xludf.DUMMYFUNCTION("""COMPUTED_VALUE"""),46187.463275462964)</f>
        <v>46187.46328</v>
      </c>
      <c r="B4043" s="126">
        <f>IFERROR(__xludf.DUMMYFUNCTION("""COMPUTED_VALUE"""),46187.0)</f>
        <v>46187</v>
      </c>
      <c r="C4043" s="122" t="str">
        <f>IFERROR(__xludf.DUMMYFUNCTION("""COMPUTED_VALUE"""),"SHIP")</f>
        <v>SHIP</v>
      </c>
      <c r="D4043" s="122" t="str">
        <f>IFERROR(__xludf.DUMMYFUNCTION("""COMPUTED_VALUE"""),"Seoul Shipping")</f>
        <v>Seoul Shipping</v>
      </c>
      <c r="E4043" s="122">
        <f>IFERROR(__xludf.DUMMYFUNCTION("""COMPUTED_VALUE"""),122.38)</f>
        <v>122.38</v>
      </c>
      <c r="F4043" s="122">
        <f>IFERROR(__xludf.DUMMYFUNCTION("""COMPUTED_VALUE"""),0.0072)</f>
        <v>0.0072</v>
      </c>
    </row>
    <row r="4044">
      <c r="A4044" s="131">
        <f>IFERROR(__xludf.DUMMYFUNCTION("""COMPUTED_VALUE"""),46187.463275462964)</f>
        <v>46187.46328</v>
      </c>
      <c r="B4044" s="126">
        <f>IFERROR(__xludf.DUMMYFUNCTION("""COMPUTED_VALUE"""),46187.0)</f>
        <v>46187</v>
      </c>
      <c r="C4044" s="122" t="str">
        <f>IFERROR(__xludf.DUMMYFUNCTION("""COMPUTED_VALUE"""),"DRON")</f>
        <v>DRON</v>
      </c>
      <c r="D4044" s="122" t="str">
        <f>IFERROR(__xludf.DUMMYFUNCTION("""COMPUTED_VALUE"""),"DroneDrop")</f>
        <v>DroneDrop</v>
      </c>
      <c r="E4044" s="122">
        <f>IFERROR(__xludf.DUMMYFUNCTION("""COMPUTED_VALUE"""),130.57)</f>
        <v>130.57</v>
      </c>
      <c r="F4044" s="122">
        <f>IFERROR(__xludf.DUMMYFUNCTION("""COMPUTED_VALUE"""),-0.0059)</f>
        <v>-0.0059</v>
      </c>
    </row>
    <row r="4045">
      <c r="A4045" s="131">
        <f>IFERROR(__xludf.DUMMYFUNCTION("""COMPUTED_VALUE"""),46187.463275462964)</f>
        <v>46187.46328</v>
      </c>
      <c r="B4045" s="126">
        <f>IFERROR(__xludf.DUMMYFUNCTION("""COMPUTED_VALUE"""),46187.0)</f>
        <v>46187</v>
      </c>
      <c r="C4045" s="122" t="str">
        <f>IFERROR(__xludf.DUMMYFUNCTION("""COMPUTED_VALUE"""),"RIDE")</f>
        <v>RIDE</v>
      </c>
      <c r="D4045" s="122" t="str">
        <f>IFERROR(__xludf.DUMMYFUNCTION("""COMPUTED_VALUE"""),"QuickRide")</f>
        <v>QuickRide</v>
      </c>
      <c r="E4045" s="122">
        <f>IFERROR(__xludf.DUMMYFUNCTION("""COMPUTED_VALUE"""),95.67)</f>
        <v>95.67</v>
      </c>
      <c r="F4045" s="122">
        <f>IFERROR(__xludf.DUMMYFUNCTION("""COMPUTED_VALUE"""),0.0075)</f>
        <v>0.0075</v>
      </c>
    </row>
    <row r="4046">
      <c r="A4046" s="131">
        <f>IFERROR(__xludf.DUMMYFUNCTION("""COMPUTED_VALUE"""),46187.463275462964)</f>
        <v>46187.46328</v>
      </c>
      <c r="B4046" s="126">
        <f>IFERROR(__xludf.DUMMYFUNCTION("""COMPUTED_VALUE"""),46187.0)</f>
        <v>46187</v>
      </c>
      <c r="C4046" s="122" t="str">
        <f>IFERROR(__xludf.DUMMYFUNCTION("""COMPUTED_VALUE"""),"RAIL")</f>
        <v>RAIL</v>
      </c>
      <c r="D4046" s="122" t="str">
        <f>IFERROR(__xludf.DUMMYFUNCTION("""COMPUTED_VALUE"""),"MetroRail Corp")</f>
        <v>MetroRail Corp</v>
      </c>
      <c r="E4046" s="122">
        <f>IFERROR(__xludf.DUMMYFUNCTION("""COMPUTED_VALUE"""),134.03)</f>
        <v>134.03</v>
      </c>
      <c r="F4046" s="122">
        <f>IFERROR(__xludf.DUMMYFUNCTION("""COMPUTED_VALUE"""),-0.0029)</f>
        <v>-0.0029</v>
      </c>
    </row>
    <row r="4047">
      <c r="A4047" s="131">
        <f>IFERROR(__xludf.DUMMYFUNCTION("""COMPUTED_VALUE"""),46187.463275462964)</f>
        <v>46187.46328</v>
      </c>
      <c r="B4047" s="126">
        <f>IFERROR(__xludf.DUMMYFUNCTION("""COMPUTED_VALUE"""),46187.0)</f>
        <v>46187</v>
      </c>
      <c r="C4047" s="122" t="str">
        <f>IFERROR(__xludf.DUMMYFUNCTION("""COMPUTED_VALUE"""),"MEDX")</f>
        <v>MEDX</v>
      </c>
      <c r="D4047" s="122" t="str">
        <f>IFERROR(__xludf.DUMMYFUNCTION("""COMPUTED_VALUE"""),"MediCore")</f>
        <v>MediCore</v>
      </c>
      <c r="E4047" s="122">
        <f>IFERROR(__xludf.DUMMYFUNCTION("""COMPUTED_VALUE"""),139.06)</f>
        <v>139.06</v>
      </c>
      <c r="F4047" s="122">
        <f>IFERROR(__xludf.DUMMYFUNCTION("""COMPUTED_VALUE"""),0.0022)</f>
        <v>0.0022</v>
      </c>
    </row>
    <row r="4048">
      <c r="A4048" s="131">
        <f>IFERROR(__xludf.DUMMYFUNCTION("""COMPUTED_VALUE"""),46187.463275462964)</f>
        <v>46187.46328</v>
      </c>
      <c r="B4048" s="126">
        <f>IFERROR(__xludf.DUMMYFUNCTION("""COMPUTED_VALUE"""),46187.0)</f>
        <v>46187</v>
      </c>
      <c r="C4048" s="122" t="str">
        <f>IFERROR(__xludf.DUMMYFUNCTION("""COMPUTED_VALUE"""),"GYMX")</f>
        <v>GYMX</v>
      </c>
      <c r="D4048" s="122" t="str">
        <f>IFERROR(__xludf.DUMMYFUNCTION("""COMPUTED_VALUE"""),"GymX Fitness")</f>
        <v>GymX Fitness</v>
      </c>
      <c r="E4048" s="122">
        <f>IFERROR(__xludf.DUMMYFUNCTION("""COMPUTED_VALUE"""),86.2)</f>
        <v>86.2</v>
      </c>
      <c r="F4048" s="122">
        <f>IFERROR(__xludf.DUMMYFUNCTION("""COMPUTED_VALUE"""),-0.0013)</f>
        <v>-0.0013</v>
      </c>
    </row>
    <row r="4049">
      <c r="A4049" s="131">
        <f>IFERROR(__xludf.DUMMYFUNCTION("""COMPUTED_VALUE"""),46187.463275462964)</f>
        <v>46187.46328</v>
      </c>
      <c r="B4049" s="126">
        <f>IFERROR(__xludf.DUMMYFUNCTION("""COMPUTED_VALUE"""),46187.0)</f>
        <v>46187</v>
      </c>
      <c r="C4049" s="122" t="str">
        <f>IFERROR(__xludf.DUMMYFUNCTION("""COMPUTED_VALUE"""),"VITA")</f>
        <v>VITA</v>
      </c>
      <c r="D4049" s="122" t="str">
        <f>IFERROR(__xludf.DUMMYFUNCTION("""COMPUTED_VALUE"""),"VitaPlus")</f>
        <v>VitaPlus</v>
      </c>
      <c r="E4049" s="122">
        <f>IFERROR(__xludf.DUMMYFUNCTION("""COMPUTED_VALUE"""),73.57)</f>
        <v>73.57</v>
      </c>
      <c r="F4049" s="122">
        <f>IFERROR(__xludf.DUMMYFUNCTION("""COMPUTED_VALUE"""),-0.0054)</f>
        <v>-0.0054</v>
      </c>
    </row>
    <row r="4050">
      <c r="A4050" s="131">
        <f>IFERROR(__xludf.DUMMYFUNCTION("""COMPUTED_VALUE"""),46187.463275462964)</f>
        <v>46187.46328</v>
      </c>
      <c r="B4050" s="126">
        <f>IFERROR(__xludf.DUMMYFUNCTION("""COMPUTED_VALUE"""),46187.0)</f>
        <v>46187</v>
      </c>
      <c r="C4050" s="122" t="str">
        <f>IFERROR(__xludf.DUMMYFUNCTION("""COMPUTED_VALUE"""),"CARE")</f>
        <v>CARE</v>
      </c>
      <c r="D4050" s="122" t="str">
        <f>IFERROR(__xludf.DUMMYFUNCTION("""COMPUTED_VALUE"""),"CareCloud")</f>
        <v>CareCloud</v>
      </c>
      <c r="E4050" s="122">
        <f>IFERROR(__xludf.DUMMYFUNCTION("""COMPUTED_VALUE"""),177.83)</f>
        <v>177.83</v>
      </c>
      <c r="F4050" s="122">
        <f>IFERROR(__xludf.DUMMYFUNCTION("""COMPUTED_VALUE"""),0.003)</f>
        <v>0.003</v>
      </c>
    </row>
    <row r="4051">
      <c r="A4051" s="131">
        <f>IFERROR(__xludf.DUMMYFUNCTION("""COMPUTED_VALUE"""),46187.463275462964)</f>
        <v>46187.46328</v>
      </c>
      <c r="B4051" s="126">
        <f>IFERROR(__xludf.DUMMYFUNCTION("""COMPUTED_VALUE"""),46187.0)</f>
        <v>46187</v>
      </c>
      <c r="C4051" s="122" t="str">
        <f>IFERROR(__xludf.DUMMYFUNCTION("""COMPUTED_VALUE"""),"DENT")</f>
        <v>DENT</v>
      </c>
      <c r="D4051" s="122" t="str">
        <f>IFERROR(__xludf.DUMMYFUNCTION("""COMPUTED_VALUE"""),"SmileWorks")</f>
        <v>SmileWorks</v>
      </c>
      <c r="E4051" s="122">
        <f>IFERROR(__xludf.DUMMYFUNCTION("""COMPUTED_VALUE"""),85.89)</f>
        <v>85.89</v>
      </c>
      <c r="F4051" s="122">
        <f>IFERROR(__xludf.DUMMYFUNCTION("""COMPUTED_VALUE"""),0.0066)</f>
        <v>0.0066</v>
      </c>
    </row>
    <row r="4052">
      <c r="A4052" s="131">
        <f>IFERROR(__xludf.DUMMYFUNCTION("""COMPUTED_VALUE"""),46187.463275462964)</f>
        <v>46187.46328</v>
      </c>
      <c r="B4052" s="126">
        <f>IFERROR(__xludf.DUMMYFUNCTION("""COMPUTED_VALUE"""),46187.0)</f>
        <v>46187</v>
      </c>
      <c r="C4052" s="122" t="str">
        <f>IFERROR(__xludf.DUMMYFUNCTION("""COMPUTED_VALUE"""),"EDUX")</f>
        <v>EDUX</v>
      </c>
      <c r="D4052" s="122" t="str">
        <f>IFERROR(__xludf.DUMMYFUNCTION("""COMPUTED_VALUE"""),"EduMax Learning")</f>
        <v>EduMax Learning</v>
      </c>
      <c r="E4052" s="122">
        <f>IFERROR(__xludf.DUMMYFUNCTION("""COMPUTED_VALUE"""),136.29)</f>
        <v>136.29</v>
      </c>
      <c r="F4052" s="122">
        <f>IFERROR(__xludf.DUMMYFUNCTION("""COMPUTED_VALUE"""),0.006)</f>
        <v>0.006</v>
      </c>
    </row>
    <row r="4053">
      <c r="A4053" s="131">
        <f>IFERROR(__xludf.DUMMYFUNCTION("""COMPUTED_VALUE"""),46187.463275462964)</f>
        <v>46187.46328</v>
      </c>
      <c r="B4053" s="126">
        <f>IFERROR(__xludf.DUMMYFUNCTION("""COMPUTED_VALUE"""),46187.0)</f>
        <v>46187</v>
      </c>
      <c r="C4053" s="122" t="str">
        <f>IFERROR(__xludf.DUMMYFUNCTION("""COMPUTED_VALUE"""),"BOOK")</f>
        <v>BOOK</v>
      </c>
      <c r="D4053" s="122" t="str">
        <f>IFERROR(__xludf.DUMMYFUNCTION("""COMPUTED_VALUE"""),"BookBridge")</f>
        <v>BookBridge</v>
      </c>
      <c r="E4053" s="122">
        <f>IFERROR(__xludf.DUMMYFUNCTION("""COMPUTED_VALUE"""),116.17)</f>
        <v>116.17</v>
      </c>
      <c r="F4053" s="122">
        <f>IFERROR(__xludf.DUMMYFUNCTION("""COMPUTED_VALUE"""),-0.0025)</f>
        <v>-0.0025</v>
      </c>
    </row>
    <row r="4054">
      <c r="A4054" s="131">
        <f>IFERROR(__xludf.DUMMYFUNCTION("""COMPUTED_VALUE"""),46187.463275462964)</f>
        <v>46187.46328</v>
      </c>
      <c r="B4054" s="126">
        <f>IFERROR(__xludf.DUMMYFUNCTION("""COMPUTED_VALUE"""),46187.0)</f>
        <v>46187</v>
      </c>
      <c r="C4054" s="122" t="str">
        <f>IFERROR(__xludf.DUMMYFUNCTION("""COMPUTED_VALUE"""),"TUTR")</f>
        <v>TUTR</v>
      </c>
      <c r="D4054" s="122" t="str">
        <f>IFERROR(__xludf.DUMMYFUNCTION("""COMPUTED_VALUE"""),"TutorTown")</f>
        <v>TutorTown</v>
      </c>
      <c r="E4054" s="122">
        <f>IFERROR(__xludf.DUMMYFUNCTION("""COMPUTED_VALUE"""),89.79)</f>
        <v>89.79</v>
      </c>
      <c r="F4054" s="122">
        <f>IFERROR(__xludf.DUMMYFUNCTION("""COMPUTED_VALUE"""),0.0051)</f>
        <v>0.0051</v>
      </c>
    </row>
    <row r="4055">
      <c r="A4055" s="131">
        <f>IFERROR(__xludf.DUMMYFUNCTION("""COMPUTED_VALUE"""),46187.463275462964)</f>
        <v>46187.46328</v>
      </c>
      <c r="B4055" s="126">
        <f>IFERROR(__xludf.DUMMYFUNCTION("""COMPUTED_VALUE"""),46187.0)</f>
        <v>46187</v>
      </c>
      <c r="C4055" s="122" t="str">
        <f>IFERROR(__xludf.DUMMYFUNCTION("""COMPUTED_VALUE"""),"LANG")</f>
        <v>LANG</v>
      </c>
      <c r="D4055" s="122" t="str">
        <f>IFERROR(__xludf.DUMMYFUNCTION("""COMPUTED_VALUE"""),"LinguaLab")</f>
        <v>LinguaLab</v>
      </c>
      <c r="E4055" s="122">
        <f>IFERROR(__xludf.DUMMYFUNCTION("""COMPUTED_VALUE"""),97.64)</f>
        <v>97.64</v>
      </c>
      <c r="F4055" s="122">
        <f>IFERROR(__xludf.DUMMYFUNCTION("""COMPUTED_VALUE"""),-5.0E-4)</f>
        <v>-0.0005</v>
      </c>
    </row>
    <row r="4056">
      <c r="A4056" s="131">
        <f>IFERROR(__xludf.DUMMYFUNCTION("""COMPUTED_VALUE"""),46187.463275462964)</f>
        <v>46187.46328</v>
      </c>
      <c r="B4056" s="126">
        <f>IFERROR(__xludf.DUMMYFUNCTION("""COMPUTED_VALUE"""),46187.0)</f>
        <v>46187</v>
      </c>
      <c r="C4056" s="122" t="str">
        <f>IFERROR(__xludf.DUMMYFUNCTION("""COMPUTED_VALUE"""),"TEST")</f>
        <v>TEST</v>
      </c>
      <c r="D4056" s="122" t="str">
        <f>IFERROR(__xludf.DUMMYFUNCTION("""COMPUTED_VALUE"""),"TestPrep Pro")</f>
        <v>TestPrep Pro</v>
      </c>
      <c r="E4056" s="122">
        <f>IFERROR(__xludf.DUMMYFUNCTION("""COMPUTED_VALUE"""),96.36)</f>
        <v>96.36</v>
      </c>
      <c r="F4056" s="122">
        <f>IFERROR(__xludf.DUMMYFUNCTION("""COMPUTED_VALUE"""),-0.0071)</f>
        <v>-0.0071</v>
      </c>
    </row>
    <row r="4057">
      <c r="A4057" s="131">
        <f>IFERROR(__xludf.DUMMYFUNCTION("""COMPUTED_VALUE"""),46187.463275462964)</f>
        <v>46187.46328</v>
      </c>
      <c r="B4057" s="126">
        <f>IFERROR(__xludf.DUMMYFUNCTION("""COMPUTED_VALUE"""),46187.0)</f>
        <v>46187</v>
      </c>
      <c r="C4057" s="122" t="str">
        <f>IFERROR(__xludf.DUMMYFUNCTION("""COMPUTED_VALUE"""),"MOVI")</f>
        <v>MOVI</v>
      </c>
      <c r="D4057" s="122" t="str">
        <f>IFERROR(__xludf.DUMMYFUNCTION("""COMPUTED_VALUE"""),"MovieBox")</f>
        <v>MovieBox</v>
      </c>
      <c r="E4057" s="122">
        <f>IFERROR(__xludf.DUMMYFUNCTION("""COMPUTED_VALUE"""),81.58)</f>
        <v>81.58</v>
      </c>
      <c r="F4057" s="122">
        <f>IFERROR(__xludf.DUMMYFUNCTION("""COMPUTED_VALUE"""),-0.0021)</f>
        <v>-0.0021</v>
      </c>
    </row>
    <row r="4058">
      <c r="A4058" s="131">
        <f>IFERROR(__xludf.DUMMYFUNCTION("""COMPUTED_VALUE"""),46187.463275462964)</f>
        <v>46187.46328</v>
      </c>
      <c r="B4058" s="126">
        <f>IFERROR(__xludf.DUMMYFUNCTION("""COMPUTED_VALUE"""),46187.0)</f>
        <v>46187</v>
      </c>
      <c r="C4058" s="122" t="str">
        <f>IFERROR(__xludf.DUMMYFUNCTION("""COMPUTED_VALUE"""),"MUSC")</f>
        <v>MUSC</v>
      </c>
      <c r="D4058" s="122" t="str">
        <f>IFERROR(__xludf.DUMMYFUNCTION("""COMPUTED_VALUE"""),"MusicWave")</f>
        <v>MusicWave</v>
      </c>
      <c r="E4058" s="122">
        <f>IFERROR(__xludf.DUMMYFUNCTION("""COMPUTED_VALUE"""),98.29)</f>
        <v>98.29</v>
      </c>
      <c r="F4058" s="122">
        <f>IFERROR(__xludf.DUMMYFUNCTION("""COMPUTED_VALUE"""),0.0072)</f>
        <v>0.0072</v>
      </c>
    </row>
    <row r="4059">
      <c r="A4059" s="131">
        <f>IFERROR(__xludf.DUMMYFUNCTION("""COMPUTED_VALUE"""),46187.463275462964)</f>
        <v>46187.46328</v>
      </c>
      <c r="B4059" s="126">
        <f>IFERROR(__xludf.DUMMYFUNCTION("""COMPUTED_VALUE"""),46187.0)</f>
        <v>46187</v>
      </c>
      <c r="C4059" s="122" t="str">
        <f>IFERROR(__xludf.DUMMYFUNCTION("""COMPUTED_VALUE"""),"IDOL")</f>
        <v>IDOL</v>
      </c>
      <c r="D4059" s="122" t="str">
        <f>IFERROR(__xludf.DUMMYFUNCTION("""COMPUTED_VALUE"""),"Idol Agency")</f>
        <v>Idol Agency</v>
      </c>
      <c r="E4059" s="122">
        <f>IFERROR(__xludf.DUMMYFUNCTION("""COMPUTED_VALUE"""),195.68)</f>
        <v>195.68</v>
      </c>
      <c r="F4059" s="122">
        <f>IFERROR(__xludf.DUMMYFUNCTION("""COMPUTED_VALUE"""),-0.0051)</f>
        <v>-0.0051</v>
      </c>
    </row>
    <row r="4060">
      <c r="A4060" s="131">
        <f>IFERROR(__xludf.DUMMYFUNCTION("""COMPUTED_VALUE"""),46187.463275462964)</f>
        <v>46187.46328</v>
      </c>
      <c r="B4060" s="126">
        <f>IFERROR(__xludf.DUMMYFUNCTION("""COMPUTED_VALUE"""),46187.0)</f>
        <v>46187</v>
      </c>
      <c r="C4060" s="122" t="str">
        <f>IFERROR(__xludf.DUMMYFUNCTION("""COMPUTED_VALUE"""),"MEME")</f>
        <v>MEME</v>
      </c>
      <c r="D4060" s="122" t="str">
        <f>IFERROR(__xludf.DUMMYFUNCTION("""COMPUTED_VALUE"""),"Meme Media")</f>
        <v>Meme Media</v>
      </c>
      <c r="E4060" s="122">
        <f>IFERROR(__xludf.DUMMYFUNCTION("""COMPUTED_VALUE"""),75.68)</f>
        <v>75.68</v>
      </c>
      <c r="F4060" s="122">
        <f>IFERROR(__xludf.DUMMYFUNCTION("""COMPUTED_VALUE"""),0.0141)</f>
        <v>0.0141</v>
      </c>
    </row>
    <row r="4061">
      <c r="A4061" s="131">
        <f>IFERROR(__xludf.DUMMYFUNCTION("""COMPUTED_VALUE"""),46187.463275462964)</f>
        <v>46187.46328</v>
      </c>
      <c r="B4061" s="126">
        <f>IFERROR(__xludf.DUMMYFUNCTION("""COMPUTED_VALUE"""),46187.0)</f>
        <v>46187</v>
      </c>
      <c r="C4061" s="122" t="str">
        <f>IFERROR(__xludf.DUMMYFUNCTION("""COMPUTED_VALUE"""),"STRM")</f>
        <v>STRM</v>
      </c>
      <c r="D4061" s="122" t="str">
        <f>IFERROR(__xludf.DUMMYFUNCTION("""COMPUTED_VALUE"""),"Streamly")</f>
        <v>Streamly</v>
      </c>
      <c r="E4061" s="122">
        <f>IFERROR(__xludf.DUMMYFUNCTION("""COMPUTED_VALUE"""),137.99)</f>
        <v>137.99</v>
      </c>
      <c r="F4061" s="122">
        <f>IFERROR(__xludf.DUMMYFUNCTION("""COMPUTED_VALUE"""),-0.0034)</f>
        <v>-0.0034</v>
      </c>
    </row>
    <row r="4062">
      <c r="A4062" s="131">
        <f>IFERROR(__xludf.DUMMYFUNCTION("""COMPUTED_VALUE"""),46187.463275462964)</f>
        <v>46187.46328</v>
      </c>
      <c r="B4062" s="126">
        <f>IFERROR(__xludf.DUMMYFUNCTION("""COMPUTED_VALUE"""),46187.0)</f>
        <v>46187</v>
      </c>
      <c r="C4062" s="122" t="str">
        <f>IFERROR(__xludf.DUMMYFUNCTION("""COMPUTED_VALUE"""),"FARM")</f>
        <v>FARM</v>
      </c>
      <c r="D4062" s="122" t="str">
        <f>IFERROR(__xludf.DUMMYFUNCTION("""COMPUTED_VALUE"""),"Future Farms")</f>
        <v>Future Farms</v>
      </c>
      <c r="E4062" s="122">
        <f>IFERROR(__xludf.DUMMYFUNCTION("""COMPUTED_VALUE"""),86.52)</f>
        <v>86.52</v>
      </c>
      <c r="F4062" s="122">
        <f>IFERROR(__xludf.DUMMYFUNCTION("""COMPUTED_VALUE"""),0.0041)</f>
        <v>0.0041</v>
      </c>
    </row>
    <row r="4063">
      <c r="A4063" s="131">
        <f>IFERROR(__xludf.DUMMYFUNCTION("""COMPUTED_VALUE"""),46187.463275462964)</f>
        <v>46187.46328</v>
      </c>
      <c r="B4063" s="126">
        <f>IFERROR(__xludf.DUMMYFUNCTION("""COMPUTED_VALUE"""),46187.0)</f>
        <v>46187</v>
      </c>
      <c r="C4063" s="122" t="str">
        <f>IFERROR(__xludf.DUMMYFUNCTION("""COMPUTED_VALUE"""),"MEAT")</f>
        <v>MEAT</v>
      </c>
      <c r="D4063" s="122" t="str">
        <f>IFERROR(__xludf.DUMMYFUNCTION("""COMPUTED_VALUE"""),"MeatWorks")</f>
        <v>MeatWorks</v>
      </c>
      <c r="E4063" s="122">
        <f>IFERROR(__xludf.DUMMYFUNCTION("""COMPUTED_VALUE"""),105.31)</f>
        <v>105.31</v>
      </c>
      <c r="F4063" s="122">
        <f>IFERROR(__xludf.DUMMYFUNCTION("""COMPUTED_VALUE"""),0.0062)</f>
        <v>0.0062</v>
      </c>
    </row>
    <row r="4064">
      <c r="A4064" s="131">
        <f>IFERROR(__xludf.DUMMYFUNCTION("""COMPUTED_VALUE"""),46187.463275462964)</f>
        <v>46187.46328</v>
      </c>
      <c r="B4064" s="126">
        <f>IFERROR(__xludf.DUMMYFUNCTION("""COMPUTED_VALUE"""),46187.0)</f>
        <v>46187</v>
      </c>
      <c r="C4064" s="122" t="str">
        <f>IFERROR(__xludf.DUMMYFUNCTION("""COMPUTED_VALUE"""),"VEGI")</f>
        <v>VEGI</v>
      </c>
      <c r="D4064" s="122" t="str">
        <f>IFERROR(__xludf.DUMMYFUNCTION("""COMPUTED_VALUE"""),"Green Basket")</f>
        <v>Green Basket</v>
      </c>
      <c r="E4064" s="122">
        <f>IFERROR(__xludf.DUMMYFUNCTION("""COMPUTED_VALUE"""),80.52)</f>
        <v>80.52</v>
      </c>
      <c r="F4064" s="122">
        <f>IFERROR(__xludf.DUMMYFUNCTION("""COMPUTED_VALUE"""),-0.0026)</f>
        <v>-0.0026</v>
      </c>
    </row>
    <row r="4065">
      <c r="A4065" s="131">
        <f>IFERROR(__xludf.DUMMYFUNCTION("""COMPUTED_VALUE"""),46187.463275462964)</f>
        <v>46187.46328</v>
      </c>
      <c r="B4065" s="126">
        <f>IFERROR(__xludf.DUMMYFUNCTION("""COMPUTED_VALUE"""),46187.0)</f>
        <v>46187</v>
      </c>
      <c r="C4065" s="122" t="str">
        <f>IFERROR(__xludf.DUMMYFUNCTION("""COMPUTED_VALUE"""),"CAFE")</f>
        <v>CAFE</v>
      </c>
      <c r="D4065" s="122" t="str">
        <f>IFERROR(__xludf.DUMMYFUNCTION("""COMPUTED_VALUE"""),"Cafe Cloud")</f>
        <v>Cafe Cloud</v>
      </c>
      <c r="E4065" s="122">
        <f>IFERROR(__xludf.DUMMYFUNCTION("""COMPUTED_VALUE"""),102.94)</f>
        <v>102.94</v>
      </c>
      <c r="F4065" s="122">
        <f>IFERROR(__xludf.DUMMYFUNCTION("""COMPUTED_VALUE"""),0.0042)</f>
        <v>0.0042</v>
      </c>
    </row>
    <row r="4066">
      <c r="A4066" s="131">
        <f>IFERROR(__xludf.DUMMYFUNCTION("""COMPUTED_VALUE"""),46187.463275462964)</f>
        <v>46187.46328</v>
      </c>
      <c r="B4066" s="126">
        <f>IFERROR(__xludf.DUMMYFUNCTION("""COMPUTED_VALUE"""),46187.0)</f>
        <v>46187</v>
      </c>
      <c r="C4066" s="122" t="str">
        <f>IFERROR(__xludf.DUMMYFUNCTION("""COMPUTED_VALUE"""),"BAKE")</f>
        <v>BAKE</v>
      </c>
      <c r="D4066" s="122" t="str">
        <f>IFERROR(__xludf.DUMMYFUNCTION("""COMPUTED_VALUE"""),"BakeHouse")</f>
        <v>BakeHouse</v>
      </c>
      <c r="E4066" s="122">
        <f>IFERROR(__xludf.DUMMYFUNCTION("""COMPUTED_VALUE"""),100.09)</f>
        <v>100.09</v>
      </c>
      <c r="F4066" s="122">
        <f>IFERROR(__xludf.DUMMYFUNCTION("""COMPUTED_VALUE"""),-0.0032)</f>
        <v>-0.0032</v>
      </c>
    </row>
    <row r="4067">
      <c r="A4067" s="131">
        <f>IFERROR(__xludf.DUMMYFUNCTION("""COMPUTED_VALUE"""),46187.463275462964)</f>
        <v>46187.46328</v>
      </c>
      <c r="B4067" s="126">
        <f>IFERROR(__xludf.DUMMYFUNCTION("""COMPUTED_VALUE"""),46187.0)</f>
        <v>46187</v>
      </c>
      <c r="C4067" s="122" t="str">
        <f>IFERROR(__xludf.DUMMYFUNCTION("""COMPUTED_VALUE"""),"OILX")</f>
        <v>OILX</v>
      </c>
      <c r="D4067" s="122" t="str">
        <f>IFERROR(__xludf.DUMMYFUNCTION("""COMPUTED_VALUE"""),"OilMax Energy")</f>
        <v>OilMax Energy</v>
      </c>
      <c r="E4067" s="122">
        <f>IFERROR(__xludf.DUMMYFUNCTION("""COMPUTED_VALUE"""),131.94)</f>
        <v>131.94</v>
      </c>
      <c r="F4067" s="122">
        <f>IFERROR(__xludf.DUMMYFUNCTION("""COMPUTED_VALUE"""),0.0078)</f>
        <v>0.0078</v>
      </c>
    </row>
    <row r="4068">
      <c r="A4068" s="131">
        <f>IFERROR(__xludf.DUMMYFUNCTION("""COMPUTED_VALUE"""),46187.463275462964)</f>
        <v>46187.46328</v>
      </c>
      <c r="B4068" s="126">
        <f>IFERROR(__xludf.DUMMYFUNCTION("""COMPUTED_VALUE"""),46187.0)</f>
        <v>46187</v>
      </c>
      <c r="C4068" s="122" t="str">
        <f>IFERROR(__xludf.DUMMYFUNCTION("""COMPUTED_VALUE"""),"SOLR")</f>
        <v>SOLR</v>
      </c>
      <c r="D4068" s="122" t="str">
        <f>IFERROR(__xludf.DUMMYFUNCTION("""COMPUTED_VALUE"""),"SolarSpark")</f>
        <v>SolarSpark</v>
      </c>
      <c r="E4068" s="122">
        <f>IFERROR(__xludf.DUMMYFUNCTION("""COMPUTED_VALUE"""),93.17)</f>
        <v>93.17</v>
      </c>
      <c r="F4068" s="122">
        <f>IFERROR(__xludf.DUMMYFUNCTION("""COMPUTED_VALUE"""),0.0092)</f>
        <v>0.0092</v>
      </c>
    </row>
    <row r="4069">
      <c r="A4069" s="131">
        <f>IFERROR(__xludf.DUMMYFUNCTION("""COMPUTED_VALUE"""),46187.463275462964)</f>
        <v>46187.46328</v>
      </c>
      <c r="B4069" s="126">
        <f>IFERROR(__xludf.DUMMYFUNCTION("""COMPUTED_VALUE"""),46187.0)</f>
        <v>46187</v>
      </c>
      <c r="C4069" s="122" t="str">
        <f>IFERROR(__xludf.DUMMYFUNCTION("""COMPUTED_VALUE"""),"BATT")</f>
        <v>BATT</v>
      </c>
      <c r="D4069" s="122" t="str">
        <f>IFERROR(__xludf.DUMMYFUNCTION("""COMPUTED_VALUE"""),"BatteryBox")</f>
        <v>BatteryBox</v>
      </c>
      <c r="E4069" s="122">
        <f>IFERROR(__xludf.DUMMYFUNCTION("""COMPUTED_VALUE"""),121.29)</f>
        <v>121.29</v>
      </c>
      <c r="F4069" s="122">
        <f>IFERROR(__xludf.DUMMYFUNCTION("""COMPUTED_VALUE"""),-0.0099)</f>
        <v>-0.0099</v>
      </c>
    </row>
    <row r="4070">
      <c r="A4070" s="131">
        <f>IFERROR(__xludf.DUMMYFUNCTION("""COMPUTED_VALUE"""),46187.463275462964)</f>
        <v>46187.46328</v>
      </c>
      <c r="B4070" s="126">
        <f>IFERROR(__xludf.DUMMYFUNCTION("""COMPUTED_VALUE"""),46187.0)</f>
        <v>46187</v>
      </c>
      <c r="C4070" s="122" t="str">
        <f>IFERROR(__xludf.DUMMYFUNCTION("""COMPUTED_VALUE"""),"WIND")</f>
        <v>WIND</v>
      </c>
      <c r="D4070" s="122" t="str">
        <f>IFERROR(__xludf.DUMMYFUNCTION("""COMPUTED_VALUE"""),"WindWorks")</f>
        <v>WindWorks</v>
      </c>
      <c r="E4070" s="122">
        <f>IFERROR(__xludf.DUMMYFUNCTION("""COMPUTED_VALUE"""),88.73)</f>
        <v>88.73</v>
      </c>
      <c r="F4070" s="122">
        <f>IFERROR(__xludf.DUMMYFUNCTION("""COMPUTED_VALUE"""),0.0052)</f>
        <v>0.0052</v>
      </c>
    </row>
    <row r="4071">
      <c r="A4071" s="131">
        <f>IFERROR(__xludf.DUMMYFUNCTION("""COMPUTED_VALUE"""),46187.463275462964)</f>
        <v>46187.46328</v>
      </c>
      <c r="B4071" s="126">
        <f>IFERROR(__xludf.DUMMYFUNCTION("""COMPUTED_VALUE"""),46187.0)</f>
        <v>46187</v>
      </c>
      <c r="C4071" s="122" t="str">
        <f>IFERROR(__xludf.DUMMYFUNCTION("""COMPUTED_VALUE"""),"GRID")</f>
        <v>GRID</v>
      </c>
      <c r="D4071" s="122" t="str">
        <f>IFERROR(__xludf.DUMMYFUNCTION("""COMPUTED_VALUE"""),"GridPower")</f>
        <v>GridPower</v>
      </c>
      <c r="E4071" s="122">
        <f>IFERROR(__xludf.DUMMYFUNCTION("""COMPUTED_VALUE"""),140.59)</f>
        <v>140.59</v>
      </c>
      <c r="F4071" s="122">
        <f>IFERROR(__xludf.DUMMYFUNCTION("""COMPUTED_VALUE"""),0.0034)</f>
        <v>0.0034</v>
      </c>
    </row>
    <row r="4072">
      <c r="A4072" s="131">
        <f>IFERROR(__xludf.DUMMYFUNCTION("""COMPUTED_VALUE"""),46187.463275462964)</f>
        <v>46187.46328</v>
      </c>
      <c r="B4072" s="126">
        <f>IFERROR(__xludf.DUMMYFUNCTION("""COMPUTED_VALUE"""),46187.0)</f>
        <v>46187</v>
      </c>
      <c r="C4072" s="122" t="str">
        <f>IFERROR(__xludf.DUMMYFUNCTION("""COMPUTED_VALUE"""),"HOME")</f>
        <v>HOME</v>
      </c>
      <c r="D4072" s="122" t="str">
        <f>IFERROR(__xludf.DUMMYFUNCTION("""COMPUTED_VALUE"""),"HomeHub")</f>
        <v>HomeHub</v>
      </c>
      <c r="E4072" s="122">
        <f>IFERROR(__xludf.DUMMYFUNCTION("""COMPUTED_VALUE"""),152.05)</f>
        <v>152.05</v>
      </c>
      <c r="F4072" s="122">
        <f>IFERROR(__xludf.DUMMYFUNCTION("""COMPUTED_VALUE"""),5.0E-4)</f>
        <v>0.0005</v>
      </c>
    </row>
    <row r="4073">
      <c r="A4073" s="131">
        <f>IFERROR(__xludf.DUMMYFUNCTION("""COMPUTED_VALUE"""),46187.463275462964)</f>
        <v>46187.46328</v>
      </c>
      <c r="B4073" s="126">
        <f>IFERROR(__xludf.DUMMYFUNCTION("""COMPUTED_VALUE"""),46187.0)</f>
        <v>46187</v>
      </c>
      <c r="C4073" s="122" t="str">
        <f>IFERROR(__xludf.DUMMYFUNCTION("""COMPUTED_VALUE"""),"RENT")</f>
        <v>RENT</v>
      </c>
      <c r="D4073" s="122" t="str">
        <f>IFERROR(__xludf.DUMMYFUNCTION("""COMPUTED_VALUE"""),"RentRight")</f>
        <v>RentRight</v>
      </c>
      <c r="E4073" s="122">
        <f>IFERROR(__xludf.DUMMYFUNCTION("""COMPUTED_VALUE"""),92.83)</f>
        <v>92.83</v>
      </c>
      <c r="F4073" s="122">
        <f>IFERROR(__xludf.DUMMYFUNCTION("""COMPUTED_VALUE"""),5.0E-4)</f>
        <v>0.0005</v>
      </c>
    </row>
    <row r="4074">
      <c r="A4074" s="131">
        <f>IFERROR(__xludf.DUMMYFUNCTION("""COMPUTED_VALUE"""),46187.463275462964)</f>
        <v>46187.46328</v>
      </c>
      <c r="B4074" s="126">
        <f>IFERROR(__xludf.DUMMYFUNCTION("""COMPUTED_VALUE"""),46187.0)</f>
        <v>46187</v>
      </c>
      <c r="C4074" s="122" t="str">
        <f>IFERROR(__xludf.DUMMYFUNCTION("""COMPUTED_VALUE"""),"MALL")</f>
        <v>MALL</v>
      </c>
      <c r="D4074" s="122" t="str">
        <f>IFERROR(__xludf.DUMMYFUNCTION("""COMPUTED_VALUE"""),"MegaMall")</f>
        <v>MegaMall</v>
      </c>
      <c r="E4074" s="122">
        <f>IFERROR(__xludf.DUMMYFUNCTION("""COMPUTED_VALUE"""),102.19)</f>
        <v>102.19</v>
      </c>
      <c r="F4074" s="122">
        <f>IFERROR(__xludf.DUMMYFUNCTION("""COMPUTED_VALUE"""),0.0027)</f>
        <v>0.0027</v>
      </c>
    </row>
    <row r="4075">
      <c r="A4075" s="131">
        <f>IFERROR(__xludf.DUMMYFUNCTION("""COMPUTED_VALUE"""),46187.463275462964)</f>
        <v>46187.46328</v>
      </c>
      <c r="B4075" s="126">
        <f>IFERROR(__xludf.DUMMYFUNCTION("""COMPUTED_VALUE"""),46187.0)</f>
        <v>46187</v>
      </c>
      <c r="C4075" s="122" t="str">
        <f>IFERROR(__xludf.DUMMYFUNCTION("""COMPUTED_VALUE"""),"HOTL")</f>
        <v>HOTL</v>
      </c>
      <c r="D4075" s="122" t="str">
        <f>IFERROR(__xludf.DUMMYFUNCTION("""COMPUTED_VALUE"""),"HotelHive")</f>
        <v>HotelHive</v>
      </c>
      <c r="E4075" s="122">
        <f>IFERROR(__xludf.DUMMYFUNCTION("""COMPUTED_VALUE"""),129.84)</f>
        <v>129.84</v>
      </c>
      <c r="F4075" s="122">
        <f>IFERROR(__xludf.DUMMYFUNCTION("""COMPUTED_VALUE"""),-0.0025)</f>
        <v>-0.0025</v>
      </c>
    </row>
    <row r="4076">
      <c r="A4076" s="131">
        <f>IFERROR(__xludf.DUMMYFUNCTION("""COMPUTED_VALUE"""),46187.463275462964)</f>
        <v>46187.46328</v>
      </c>
      <c r="B4076" s="126">
        <f>IFERROR(__xludf.DUMMYFUNCTION("""COMPUTED_VALUE"""),46187.0)</f>
        <v>46187</v>
      </c>
      <c r="C4076" s="122" t="str">
        <f>IFERROR(__xludf.DUMMYFUNCTION("""COMPUTED_VALUE"""),"LAND")</f>
        <v>LAND</v>
      </c>
      <c r="D4076" s="122" t="str">
        <f>IFERROR(__xludf.DUMMYFUNCTION("""COMPUTED_VALUE"""),"LandLink")</f>
        <v>LandLink</v>
      </c>
      <c r="E4076" s="122">
        <f>IFERROR(__xludf.DUMMYFUNCTION("""COMPUTED_VALUE"""),183.58)</f>
        <v>183.58</v>
      </c>
      <c r="F4076" s="122">
        <f>IFERROR(__xludf.DUMMYFUNCTION("""COMPUTED_VALUE"""),0.0013)</f>
        <v>0.0013</v>
      </c>
    </row>
    <row r="4077">
      <c r="A4077" s="131">
        <f>IFERROR(__xludf.DUMMYFUNCTION("""COMPUTED_VALUE"""),46187.463275462964)</f>
        <v>46187.46328</v>
      </c>
      <c r="B4077" s="126">
        <f>IFERROR(__xludf.DUMMYFUNCTION("""COMPUTED_VALUE"""),46187.0)</f>
        <v>46187</v>
      </c>
      <c r="C4077" s="122" t="str">
        <f>IFERROR(__xludf.DUMMYFUNCTION("""COMPUTED_VALUE"""),"CARS")</f>
        <v>CARS</v>
      </c>
      <c r="D4077" s="122" t="str">
        <f>IFERROR(__xludf.DUMMYFUNCTION("""COMPUTED_VALUE"""),"AutoArena")</f>
        <v>AutoArena</v>
      </c>
      <c r="E4077" s="122">
        <f>IFERROR(__xludf.DUMMYFUNCTION("""COMPUTED_VALUE"""),80.72)</f>
        <v>80.72</v>
      </c>
      <c r="F4077" s="122">
        <f>IFERROR(__xludf.DUMMYFUNCTION("""COMPUTED_VALUE"""),-0.0052)</f>
        <v>-0.0052</v>
      </c>
    </row>
    <row r="4078">
      <c r="A4078" s="131">
        <f>IFERROR(__xludf.DUMMYFUNCTION("""COMPUTED_VALUE"""),46187.463275462964)</f>
        <v>46187.46328</v>
      </c>
      <c r="B4078" s="126">
        <f>IFERROR(__xludf.DUMMYFUNCTION("""COMPUTED_VALUE"""),46187.0)</f>
        <v>46187</v>
      </c>
      <c r="C4078" s="122" t="str">
        <f>IFERROR(__xludf.DUMMYFUNCTION("""COMPUTED_VALUE"""),"EVGO")</f>
        <v>EVGO</v>
      </c>
      <c r="D4078" s="122" t="str">
        <f>IFERROR(__xludf.DUMMYFUNCTION("""COMPUTED_VALUE"""),"EVGo Motors")</f>
        <v>EVGo Motors</v>
      </c>
      <c r="E4078" s="122">
        <f>IFERROR(__xludf.DUMMYFUNCTION("""COMPUTED_VALUE"""),188.23)</f>
        <v>188.23</v>
      </c>
      <c r="F4078" s="122">
        <f>IFERROR(__xludf.DUMMYFUNCTION("""COMPUTED_VALUE"""),0.0054)</f>
        <v>0.0054</v>
      </c>
    </row>
    <row r="4079">
      <c r="A4079" s="131">
        <f>IFERROR(__xludf.DUMMYFUNCTION("""COMPUTED_VALUE"""),46187.463275462964)</f>
        <v>46187.46328</v>
      </c>
      <c r="B4079" s="126">
        <f>IFERROR(__xludf.DUMMYFUNCTION("""COMPUTED_VALUE"""),46187.0)</f>
        <v>46187</v>
      </c>
      <c r="C4079" s="122" t="str">
        <f>IFERROR(__xludf.DUMMYFUNCTION("""COMPUTED_VALUE"""),"TIRE")</f>
        <v>TIRE</v>
      </c>
      <c r="D4079" s="122" t="str">
        <f>IFERROR(__xludf.DUMMYFUNCTION("""COMPUTED_VALUE"""),"TireTown")</f>
        <v>TireTown</v>
      </c>
      <c r="E4079" s="122">
        <f>IFERROR(__xludf.DUMMYFUNCTION("""COMPUTED_VALUE"""),95.3)</f>
        <v>95.3</v>
      </c>
      <c r="F4079" s="122">
        <f>IFERROR(__xludf.DUMMYFUNCTION("""COMPUTED_VALUE"""),0.0012)</f>
        <v>0.0012</v>
      </c>
    </row>
    <row r="4080">
      <c r="A4080" s="131">
        <f>IFERROR(__xludf.DUMMYFUNCTION("""COMPUTED_VALUE"""),46187.463275462964)</f>
        <v>46187.46328</v>
      </c>
      <c r="B4080" s="126">
        <f>IFERROR(__xludf.DUMMYFUNCTION("""COMPUTED_VALUE"""),46187.0)</f>
        <v>46187</v>
      </c>
      <c r="C4080" s="122" t="str">
        <f>IFERROR(__xludf.DUMMYFUNCTION("""COMPUTED_VALUE"""),"BIKE")</f>
        <v>BIKE</v>
      </c>
      <c r="D4080" s="122" t="str">
        <f>IFERROR(__xludf.DUMMYFUNCTION("""COMPUTED_VALUE"""),"BikeBox")</f>
        <v>BikeBox</v>
      </c>
      <c r="E4080" s="122">
        <f>IFERROR(__xludf.DUMMYFUNCTION("""COMPUTED_VALUE"""),52.83)</f>
        <v>52.83</v>
      </c>
      <c r="F4080" s="122">
        <f>IFERROR(__xludf.DUMMYFUNCTION("""COMPUTED_VALUE"""),-6.0E-4)</f>
        <v>-0.0006</v>
      </c>
    </row>
    <row r="4081">
      <c r="A4081" s="131">
        <f>IFERROR(__xludf.DUMMYFUNCTION("""COMPUTED_VALUE"""),46187.463275462964)</f>
        <v>46187.46328</v>
      </c>
      <c r="B4081" s="126">
        <f>IFERROR(__xludf.DUMMYFUNCTION("""COMPUTED_VALUE"""),46187.0)</f>
        <v>46187</v>
      </c>
      <c r="C4081" s="122" t="str">
        <f>IFERROR(__xludf.DUMMYFUNCTION("""COMPUTED_VALUE"""),"WASH")</f>
        <v>WASH</v>
      </c>
      <c r="D4081" s="122" t="str">
        <f>IFERROR(__xludf.DUMMYFUNCTION("""COMPUTED_VALUE"""),"CarWash Co")</f>
        <v>CarWash Co</v>
      </c>
      <c r="E4081" s="122">
        <f>IFERROR(__xludf.DUMMYFUNCTION("""COMPUTED_VALUE"""),119.82)</f>
        <v>119.82</v>
      </c>
      <c r="F4081" s="122">
        <f>IFERROR(__xludf.DUMMYFUNCTION("""COMPUTED_VALUE"""),-8.0E-4)</f>
        <v>-0.0008</v>
      </c>
    </row>
    <row r="4082">
      <c r="A4082" s="131">
        <f>IFERROR(__xludf.DUMMYFUNCTION("""COMPUTED_VALUE"""),46187.463275462964)</f>
        <v>46187.46328</v>
      </c>
      <c r="B4082" s="126">
        <f>IFERROR(__xludf.DUMMYFUNCTION("""COMPUTED_VALUE"""),46187.0)</f>
        <v>46187</v>
      </c>
      <c r="C4082" s="122" t="str">
        <f>IFERROR(__xludf.DUMMYFUNCTION("""COMPUTED_VALUE"""),"GBND")</f>
        <v>GBND</v>
      </c>
      <c r="D4082" s="122" t="str">
        <f>IFERROR(__xludf.DUMMYFUNCTION("""COMPUTED_VALUE"""),"Classroom Government Bond")</f>
        <v>Classroom Government Bond</v>
      </c>
      <c r="E4082" s="122">
        <f>IFERROR(__xludf.DUMMYFUNCTION("""COMPUTED_VALUE"""),101.0)</f>
        <v>101</v>
      </c>
      <c r="F4082" s="122">
        <f>IFERROR(__xludf.DUMMYFUNCTION("""COMPUTED_VALUE"""),2.0E-4)</f>
        <v>0.0002</v>
      </c>
    </row>
    <row r="4083">
      <c r="A4083" s="131">
        <f>IFERROR(__xludf.DUMMYFUNCTION("""COMPUTED_VALUE"""),46187.463275462964)</f>
        <v>46187.46328</v>
      </c>
      <c r="B4083" s="126">
        <f>IFERROR(__xludf.DUMMYFUNCTION("""COMPUTED_VALUE"""),46187.0)</f>
        <v>46187</v>
      </c>
      <c r="C4083" s="122" t="str">
        <f>IFERROR(__xludf.DUMMYFUNCTION("""COMPUTED_VALUE"""),"SBND")</f>
        <v>SBND</v>
      </c>
      <c r="D4083" s="122" t="str">
        <f>IFERROR(__xludf.DUMMYFUNCTION("""COMPUTED_VALUE"""),"School Savings Bond")</f>
        <v>School Savings Bond</v>
      </c>
      <c r="E4083" s="122">
        <f>IFERROR(__xludf.DUMMYFUNCTION("""COMPUTED_VALUE"""),99.53)</f>
        <v>99.53</v>
      </c>
      <c r="F4083" s="122">
        <f>IFERROR(__xludf.DUMMYFUNCTION("""COMPUTED_VALUE"""),-3.0E-4)</f>
        <v>-0.0003</v>
      </c>
    </row>
    <row r="4084">
      <c r="A4084" s="131">
        <f>IFERROR(__xludf.DUMMYFUNCTION("""COMPUTED_VALUE"""),46187.463275462964)</f>
        <v>46187.46328</v>
      </c>
      <c r="B4084" s="126">
        <f>IFERROR(__xludf.DUMMYFUNCTION("""COMPUTED_VALUE"""),46187.0)</f>
        <v>46187</v>
      </c>
      <c r="C4084" s="122" t="str">
        <f>IFERROR(__xludf.DUMMYFUNCTION("""COMPUTED_VALUE"""),"CBND")</f>
        <v>CBND</v>
      </c>
      <c r="D4084" s="122" t="str">
        <f>IFERROR(__xludf.DUMMYFUNCTION("""COMPUTED_VALUE"""),"Corporate Classroom Bond")</f>
        <v>Corporate Classroom Bond</v>
      </c>
      <c r="E4084" s="122">
        <f>IFERROR(__xludf.DUMMYFUNCTION("""COMPUTED_VALUE"""),97.76)</f>
        <v>97.76</v>
      </c>
      <c r="F4084" s="122">
        <f>IFERROR(__xludf.DUMMYFUNCTION("""COMPUTED_VALUE"""),0.0)</f>
        <v>0</v>
      </c>
    </row>
    <row r="4085">
      <c r="A4085" s="131">
        <f>IFERROR(__xludf.DUMMYFUNCTION("""COMPUTED_VALUE"""),46187.463275462964)</f>
        <v>46187.46328</v>
      </c>
      <c r="B4085" s="126">
        <f>IFERROR(__xludf.DUMMYFUNCTION("""COMPUTED_VALUE"""),46187.0)</f>
        <v>46187</v>
      </c>
      <c r="C4085" s="122" t="str">
        <f>IFERROR(__xludf.DUMMYFUNCTION("""COMPUTED_VALUE"""),"TBIL")</f>
        <v>TBIL</v>
      </c>
      <c r="D4085" s="122" t="str">
        <f>IFERROR(__xludf.DUMMYFUNCTION("""COMPUTED_VALUE"""),"Treasury Bill")</f>
        <v>Treasury Bill</v>
      </c>
      <c r="E4085" s="122">
        <f>IFERROR(__xludf.DUMMYFUNCTION("""COMPUTED_VALUE"""),98.01)</f>
        <v>98.01</v>
      </c>
      <c r="F4085" s="122">
        <f>IFERROR(__xludf.DUMMYFUNCTION("""COMPUTED_VALUE"""),-1.0E-4)</f>
        <v>-0.0001</v>
      </c>
    </row>
    <row r="4086">
      <c r="A4086" s="131">
        <f>IFERROR(__xludf.DUMMYFUNCTION("""COMPUTED_VALUE"""),46187.463275462964)</f>
        <v>46187.46328</v>
      </c>
      <c r="B4086" s="126">
        <f>IFERROR(__xludf.DUMMYFUNCTION("""COMPUTED_VALUE"""),46187.0)</f>
        <v>46187</v>
      </c>
      <c r="C4086" s="122" t="str">
        <f>IFERROR(__xludf.DUMMYFUNCTION("""COMPUTED_VALUE"""),"IBND")</f>
        <v>IBND</v>
      </c>
      <c r="D4086" s="122" t="str">
        <f>IFERROR(__xludf.DUMMYFUNCTION("""COMPUTED_VALUE"""),"Inflation Protected Bond")</f>
        <v>Inflation Protected Bond</v>
      </c>
      <c r="E4086" s="122">
        <f>IFERROR(__xludf.DUMMYFUNCTION("""COMPUTED_VALUE"""),100.7)</f>
        <v>100.7</v>
      </c>
      <c r="F4086" s="122">
        <f>IFERROR(__xludf.DUMMYFUNCTION("""COMPUTED_VALUE"""),-2.0E-4)</f>
        <v>-0.0002</v>
      </c>
    </row>
    <row r="4087">
      <c r="A4087" s="131">
        <f>IFERROR(__xludf.DUMMYFUNCTION("""COMPUTED_VALUE"""),46187.466770833336)</f>
        <v>46187.46677</v>
      </c>
      <c r="B4087" s="126">
        <f>IFERROR(__xludf.DUMMYFUNCTION("""COMPUTED_VALUE"""),46187.0)</f>
        <v>46187</v>
      </c>
      <c r="C4087" s="122" t="str">
        <f>IFERROR(__xludf.DUMMYFUNCTION("""COMPUTED_VALUE"""),"SNAX")</f>
        <v>SNAX</v>
      </c>
      <c r="D4087" s="122" t="str">
        <f>IFERROR(__xludf.DUMMYFUNCTION("""COMPUTED_VALUE"""),"MICA Snacks")</f>
        <v>MICA Snacks</v>
      </c>
      <c r="E4087" s="122">
        <f>IFERROR(__xludf.DUMMYFUNCTION("""COMPUTED_VALUE"""),120.96)</f>
        <v>120.96</v>
      </c>
      <c r="F4087" s="122">
        <f>IFERROR(__xludf.DUMMYFUNCTION("""COMPUTED_VALUE"""),-0.0021)</f>
        <v>-0.0021</v>
      </c>
    </row>
    <row r="4088">
      <c r="A4088" s="131">
        <f>IFERROR(__xludf.DUMMYFUNCTION("""COMPUTED_VALUE"""),46187.466770833336)</f>
        <v>46187.46677</v>
      </c>
      <c r="B4088" s="126">
        <f>IFERROR(__xludf.DUMMYFUNCTION("""COMPUTED_VALUE"""),46187.0)</f>
        <v>46187</v>
      </c>
      <c r="C4088" s="122" t="str">
        <f>IFERROR(__xludf.DUMMYFUNCTION("""COMPUTED_VALUE"""),"RAMN")</f>
        <v>RAMN</v>
      </c>
      <c r="D4088" s="122" t="str">
        <f>IFERROR(__xludf.DUMMYFUNCTION("""COMPUTED_VALUE"""),"Ramen Republic")</f>
        <v>Ramen Republic</v>
      </c>
      <c r="E4088" s="122">
        <f>IFERROR(__xludf.DUMMYFUNCTION("""COMPUTED_VALUE"""),70.93)</f>
        <v>70.93</v>
      </c>
      <c r="F4088" s="122">
        <f>IFERROR(__xludf.DUMMYFUNCTION("""COMPUTED_VALUE"""),-0.002)</f>
        <v>-0.002</v>
      </c>
    </row>
    <row r="4089">
      <c r="A4089" s="131">
        <f>IFERROR(__xludf.DUMMYFUNCTION("""COMPUTED_VALUE"""),46187.466770833336)</f>
        <v>46187.46677</v>
      </c>
      <c r="B4089" s="126">
        <f>IFERROR(__xludf.DUMMYFUNCTION("""COMPUTED_VALUE"""),46187.0)</f>
        <v>46187</v>
      </c>
      <c r="C4089" s="122" t="str">
        <f>IFERROR(__xludf.DUMMYFUNCTION("""COMPUTED_VALUE"""),"COLA")</f>
        <v>COLA</v>
      </c>
      <c r="D4089" s="122" t="str">
        <f>IFERROR(__xludf.DUMMYFUNCTION("""COMPUTED_VALUE"""),"K-Pop Cola")</f>
        <v>K-Pop Cola</v>
      </c>
      <c r="E4089" s="122">
        <f>IFERROR(__xludf.DUMMYFUNCTION("""COMPUTED_VALUE"""),110.17)</f>
        <v>110.17</v>
      </c>
      <c r="F4089" s="122">
        <f>IFERROR(__xludf.DUMMYFUNCTION("""COMPUTED_VALUE"""),-0.0023)</f>
        <v>-0.0023</v>
      </c>
    </row>
    <row r="4090">
      <c r="A4090" s="131">
        <f>IFERROR(__xludf.DUMMYFUNCTION("""COMPUTED_VALUE"""),46187.466770833336)</f>
        <v>46187.46677</v>
      </c>
      <c r="B4090" s="126">
        <f>IFERROR(__xludf.DUMMYFUNCTION("""COMPUTED_VALUE"""),46187.0)</f>
        <v>46187</v>
      </c>
      <c r="C4090" s="122" t="str">
        <f>IFERROR(__xludf.DUMMYFUNCTION("""COMPUTED_VALUE"""),"CHIP")</f>
        <v>CHIP</v>
      </c>
      <c r="D4090" s="122" t="str">
        <f>IFERROR(__xludf.DUMMYFUNCTION("""COMPUTED_VALUE"""),"Chip Empire")</f>
        <v>Chip Empire</v>
      </c>
      <c r="E4090" s="122">
        <f>IFERROR(__xludf.DUMMYFUNCTION("""COMPUTED_VALUE"""),85.7)</f>
        <v>85.7</v>
      </c>
      <c r="F4090" s="122">
        <f>IFERROR(__xludf.DUMMYFUNCTION("""COMPUTED_VALUE"""),-0.0076)</f>
        <v>-0.0076</v>
      </c>
    </row>
    <row r="4091">
      <c r="A4091" s="131">
        <f>IFERROR(__xludf.DUMMYFUNCTION("""COMPUTED_VALUE"""),46187.466770833336)</f>
        <v>46187.46677</v>
      </c>
      <c r="B4091" s="126">
        <f>IFERROR(__xludf.DUMMYFUNCTION("""COMPUTED_VALUE"""),46187.0)</f>
        <v>46187</v>
      </c>
      <c r="C4091" s="122" t="str">
        <f>IFERROR(__xludf.DUMMYFUNCTION("""COMPUTED_VALUE"""),"CAND")</f>
        <v>CAND</v>
      </c>
      <c r="D4091" s="122" t="str">
        <f>IFERROR(__xludf.DUMMYFUNCTION("""COMPUTED_VALUE"""),"Candy Capital")</f>
        <v>Candy Capital</v>
      </c>
      <c r="E4091" s="122">
        <f>IFERROR(__xludf.DUMMYFUNCTION("""COMPUTED_VALUE"""),76.74)</f>
        <v>76.74</v>
      </c>
      <c r="F4091" s="122">
        <f>IFERROR(__xludf.DUMMYFUNCTION("""COMPUTED_VALUE"""),-0.0042)</f>
        <v>-0.0042</v>
      </c>
    </row>
    <row r="4092">
      <c r="A4092" s="131">
        <f>IFERROR(__xludf.DUMMYFUNCTION("""COMPUTED_VALUE"""),46187.466770833336)</f>
        <v>46187.46677</v>
      </c>
      <c r="B4092" s="126">
        <f>IFERROR(__xludf.DUMMYFUNCTION("""COMPUTED_VALUE"""),46187.0)</f>
        <v>46187</v>
      </c>
      <c r="C4092" s="122" t="str">
        <f>IFERROR(__xludf.DUMMYFUNCTION("""COMPUTED_VALUE"""),"TECH")</f>
        <v>TECH</v>
      </c>
      <c r="D4092" s="122" t="str">
        <f>IFERROR(__xludf.DUMMYFUNCTION("""COMPUTED_VALUE"""),"Dragon Tech")</f>
        <v>Dragon Tech</v>
      </c>
      <c r="E4092" s="122">
        <f>IFERROR(__xludf.DUMMYFUNCTION("""COMPUTED_VALUE"""),242.03)</f>
        <v>242.03</v>
      </c>
      <c r="F4092" s="122">
        <f>IFERROR(__xludf.DUMMYFUNCTION("""COMPUTED_VALUE"""),-0.0044)</f>
        <v>-0.0044</v>
      </c>
    </row>
    <row r="4093">
      <c r="A4093" s="131">
        <f>IFERROR(__xludf.DUMMYFUNCTION("""COMPUTED_VALUE"""),46187.466770833336)</f>
        <v>46187.46677</v>
      </c>
      <c r="B4093" s="126">
        <f>IFERROR(__xludf.DUMMYFUNCTION("""COMPUTED_VALUE"""),46187.0)</f>
        <v>46187</v>
      </c>
      <c r="C4093" s="122" t="str">
        <f>IFERROR(__xludf.DUMMYFUNCTION("""COMPUTED_VALUE"""),"AIBO")</f>
        <v>AIBO</v>
      </c>
      <c r="D4093" s="122" t="str">
        <f>IFERROR(__xludf.DUMMYFUNCTION("""COMPUTED_VALUE"""),"Homework AI")</f>
        <v>Homework AI</v>
      </c>
      <c r="E4093" s="122">
        <f>IFERROR(__xludf.DUMMYFUNCTION("""COMPUTED_VALUE"""),176.2)</f>
        <v>176.2</v>
      </c>
      <c r="F4093" s="122">
        <f>IFERROR(__xludf.DUMMYFUNCTION("""COMPUTED_VALUE"""),0.0106)</f>
        <v>0.0106</v>
      </c>
    </row>
    <row r="4094">
      <c r="A4094" s="131">
        <f>IFERROR(__xludf.DUMMYFUNCTION("""COMPUTED_VALUE"""),46187.466770833336)</f>
        <v>46187.46677</v>
      </c>
      <c r="B4094" s="126">
        <f>IFERROR(__xludf.DUMMYFUNCTION("""COMPUTED_VALUE"""),46187.0)</f>
        <v>46187</v>
      </c>
      <c r="C4094" s="122" t="str">
        <f>IFERROR(__xludf.DUMMYFUNCTION("""COMPUTED_VALUE"""),"GAME")</f>
        <v>GAME</v>
      </c>
      <c r="D4094" s="122" t="str">
        <f>IFERROR(__xludf.DUMMYFUNCTION("""COMPUTED_VALUE"""),"GameBox Media")</f>
        <v>GameBox Media</v>
      </c>
      <c r="E4094" s="122">
        <f>IFERROR(__xludf.DUMMYFUNCTION("""COMPUTED_VALUE"""),97.38)</f>
        <v>97.38</v>
      </c>
      <c r="F4094" s="122">
        <f>IFERROR(__xludf.DUMMYFUNCTION("""COMPUTED_VALUE"""),0.0061)</f>
        <v>0.0061</v>
      </c>
    </row>
    <row r="4095">
      <c r="A4095" s="131">
        <f>IFERROR(__xludf.DUMMYFUNCTION("""COMPUTED_VALUE"""),46187.466770833336)</f>
        <v>46187.46677</v>
      </c>
      <c r="B4095" s="126">
        <f>IFERROR(__xludf.DUMMYFUNCTION("""COMPUTED_VALUE"""),46187.0)</f>
        <v>46187</v>
      </c>
      <c r="C4095" s="122" t="str">
        <f>IFERROR(__xludf.DUMMYFUNCTION("""COMPUTED_VALUE"""),"VRSE")</f>
        <v>VRSE</v>
      </c>
      <c r="D4095" s="122" t="str">
        <f>IFERROR(__xludf.DUMMYFUNCTION("""COMPUTED_VALUE"""),"VerseVR")</f>
        <v>VerseVR</v>
      </c>
      <c r="E4095" s="122">
        <f>IFERROR(__xludf.DUMMYFUNCTION("""COMPUTED_VALUE"""),149.1)</f>
        <v>149.1</v>
      </c>
      <c r="F4095" s="122">
        <f>IFERROR(__xludf.DUMMYFUNCTION("""COMPUTED_VALUE"""),0.0092)</f>
        <v>0.0092</v>
      </c>
    </row>
    <row r="4096">
      <c r="A4096" s="131">
        <f>IFERROR(__xludf.DUMMYFUNCTION("""COMPUTED_VALUE"""),46187.466770833336)</f>
        <v>46187.46677</v>
      </c>
      <c r="B4096" s="126">
        <f>IFERROR(__xludf.DUMMYFUNCTION("""COMPUTED_VALUE"""),46187.0)</f>
        <v>46187</v>
      </c>
      <c r="C4096" s="122" t="str">
        <f>IFERROR(__xludf.DUMMYFUNCTION("""COMPUTED_VALUE"""),"BYTE")</f>
        <v>BYTE</v>
      </c>
      <c r="D4096" s="122" t="str">
        <f>IFERROR(__xludf.DUMMYFUNCTION("""COMPUTED_VALUE"""),"ByteWorks")</f>
        <v>ByteWorks</v>
      </c>
      <c r="E4096" s="122">
        <f>IFERROR(__xludf.DUMMYFUNCTION("""COMPUTED_VALUE"""),106.75)</f>
        <v>106.75</v>
      </c>
      <c r="F4096" s="122">
        <f>IFERROR(__xludf.DUMMYFUNCTION("""COMPUTED_VALUE"""),-0.0042)</f>
        <v>-0.0042</v>
      </c>
    </row>
    <row r="4097">
      <c r="A4097" s="131">
        <f>IFERROR(__xludf.DUMMYFUNCTION("""COMPUTED_VALUE"""),46187.466770833336)</f>
        <v>46187.46677</v>
      </c>
      <c r="B4097" s="126">
        <f>IFERROR(__xludf.DUMMYFUNCTION("""COMPUTED_VALUE"""),46187.0)</f>
        <v>46187</v>
      </c>
      <c r="C4097" s="122" t="str">
        <f>IFERROR(__xludf.DUMMYFUNCTION("""COMPUTED_VALUE"""),"BANK")</f>
        <v>BANK</v>
      </c>
      <c r="D4097" s="122" t="str">
        <f>IFERROR(__xludf.DUMMYFUNCTION("""COMPUTED_VALUE"""),"Tiger Bank")</f>
        <v>Tiger Bank</v>
      </c>
      <c r="E4097" s="122">
        <f>IFERROR(__xludf.DUMMYFUNCTION("""COMPUTED_VALUE"""),128.15)</f>
        <v>128.15</v>
      </c>
      <c r="F4097" s="122">
        <f>IFERROR(__xludf.DUMMYFUNCTION("""COMPUTED_VALUE"""),0.0034)</f>
        <v>0.0034</v>
      </c>
    </row>
    <row r="4098">
      <c r="A4098" s="131">
        <f>IFERROR(__xludf.DUMMYFUNCTION("""COMPUTED_VALUE"""),46187.466770833336)</f>
        <v>46187.46677</v>
      </c>
      <c r="B4098" s="126">
        <f>IFERROR(__xludf.DUMMYFUNCTION("""COMPUTED_VALUE"""),46187.0)</f>
        <v>46187</v>
      </c>
      <c r="C4098" s="122" t="str">
        <f>IFERROR(__xludf.DUMMYFUNCTION("""COMPUTED_VALUE"""),"CRED")</f>
        <v>CRED</v>
      </c>
      <c r="D4098" s="122" t="str">
        <f>IFERROR(__xludf.DUMMYFUNCTION("""COMPUTED_VALUE"""),"Credit Castle")</f>
        <v>Credit Castle</v>
      </c>
      <c r="E4098" s="122">
        <f>IFERROR(__xludf.DUMMYFUNCTION("""COMPUTED_VALUE"""),66.37)</f>
        <v>66.37</v>
      </c>
      <c r="F4098" s="122">
        <f>IFERROR(__xludf.DUMMYFUNCTION("""COMPUTED_VALUE"""),-0.0032)</f>
        <v>-0.0032</v>
      </c>
    </row>
    <row r="4099">
      <c r="A4099" s="131">
        <f>IFERROR(__xludf.DUMMYFUNCTION("""COMPUTED_VALUE"""),46187.466770833336)</f>
        <v>46187.46677</v>
      </c>
      <c r="B4099" s="126">
        <f>IFERROR(__xludf.DUMMYFUNCTION("""COMPUTED_VALUE"""),46187.0)</f>
        <v>46187</v>
      </c>
      <c r="C4099" s="122" t="str">
        <f>IFERROR(__xludf.DUMMYFUNCTION("""COMPUTED_VALUE"""),"BOND")</f>
        <v>BOND</v>
      </c>
      <c r="D4099" s="122" t="str">
        <f>IFERROR(__xludf.DUMMYFUNCTION("""COMPUTED_VALUE"""),"BondBridge")</f>
        <v>BondBridge</v>
      </c>
      <c r="E4099" s="122">
        <f>IFERROR(__xludf.DUMMYFUNCTION("""COMPUTED_VALUE"""),99.5)</f>
        <v>99.5</v>
      </c>
      <c r="F4099" s="122">
        <f>IFERROR(__xludf.DUMMYFUNCTION("""COMPUTED_VALUE"""),0.0014)</f>
        <v>0.0014</v>
      </c>
    </row>
    <row r="4100">
      <c r="A4100" s="131">
        <f>IFERROR(__xludf.DUMMYFUNCTION("""COMPUTED_VALUE"""),46187.466770833336)</f>
        <v>46187.46677</v>
      </c>
      <c r="B4100" s="126">
        <f>IFERROR(__xludf.DUMMYFUNCTION("""COMPUTED_VALUE"""),46187.0)</f>
        <v>46187</v>
      </c>
      <c r="C4100" s="122" t="str">
        <f>IFERROR(__xludf.DUMMYFUNCTION("""COMPUTED_VALUE"""),"INSR")</f>
        <v>INSR</v>
      </c>
      <c r="D4100" s="122" t="str">
        <f>IFERROR(__xludf.DUMMYFUNCTION("""COMPUTED_VALUE"""),"Shield Insurance")</f>
        <v>Shield Insurance</v>
      </c>
      <c r="E4100" s="122">
        <f>IFERROR(__xludf.DUMMYFUNCTION("""COMPUTED_VALUE"""),160.32)</f>
        <v>160.32</v>
      </c>
      <c r="F4100" s="122">
        <f>IFERROR(__xludf.DUMMYFUNCTION("""COMPUTED_VALUE"""),-2.0E-4)</f>
        <v>-0.0002</v>
      </c>
    </row>
    <row r="4101">
      <c r="A4101" s="131">
        <f>IFERROR(__xludf.DUMMYFUNCTION("""COMPUTED_VALUE"""),46187.466770833336)</f>
        <v>46187.46677</v>
      </c>
      <c r="B4101" s="126">
        <f>IFERROR(__xludf.DUMMYFUNCTION("""COMPUTED_VALUE"""),46187.0)</f>
        <v>46187</v>
      </c>
      <c r="C4101" s="122" t="str">
        <f>IFERROR(__xludf.DUMMYFUNCTION("""COMPUTED_VALUE"""),"LOAN")</f>
        <v>LOAN</v>
      </c>
      <c r="D4101" s="122" t="str">
        <f>IFERROR(__xludf.DUMMYFUNCTION("""COMPUTED_VALUE"""),"LoanLab")</f>
        <v>LoanLab</v>
      </c>
      <c r="E4101" s="122">
        <f>IFERROR(__xludf.DUMMYFUNCTION("""COMPUTED_VALUE"""),63.66)</f>
        <v>63.66</v>
      </c>
      <c r="F4101" s="122">
        <f>IFERROR(__xludf.DUMMYFUNCTION("""COMPUTED_VALUE"""),0.0071)</f>
        <v>0.0071</v>
      </c>
    </row>
    <row r="4102">
      <c r="A4102" s="131">
        <f>IFERROR(__xludf.DUMMYFUNCTION("""COMPUTED_VALUE"""),46187.466770833336)</f>
        <v>46187.46677</v>
      </c>
      <c r="B4102" s="126">
        <f>IFERROR(__xludf.DUMMYFUNCTION("""COMPUTED_VALUE"""),46187.0)</f>
        <v>46187</v>
      </c>
      <c r="C4102" s="122" t="str">
        <f>IFERROR(__xludf.DUMMYFUNCTION("""COMPUTED_VALUE"""),"LUXE")</f>
        <v>LUXE</v>
      </c>
      <c r="D4102" s="122" t="str">
        <f>IFERROR(__xludf.DUMMYFUNCTION("""COMPUTED_VALUE"""),"Luxury Locker")</f>
        <v>Luxury Locker</v>
      </c>
      <c r="E4102" s="122">
        <f>IFERROR(__xludf.DUMMYFUNCTION("""COMPUTED_VALUE"""),261.09)</f>
        <v>261.09</v>
      </c>
      <c r="F4102" s="122">
        <f>IFERROR(__xludf.DUMMYFUNCTION("""COMPUTED_VALUE"""),0.0018)</f>
        <v>0.0018</v>
      </c>
    </row>
    <row r="4103">
      <c r="A4103" s="131">
        <f>IFERROR(__xludf.DUMMYFUNCTION("""COMPUTED_VALUE"""),46187.466770833336)</f>
        <v>46187.46677</v>
      </c>
      <c r="B4103" s="126">
        <f>IFERROR(__xludf.DUMMYFUNCTION("""COMPUTED_VALUE"""),46187.0)</f>
        <v>46187</v>
      </c>
      <c r="C4103" s="122" t="str">
        <f>IFERROR(__xludf.DUMMYFUNCTION("""COMPUTED_VALUE"""),"DRIP")</f>
        <v>DRIP</v>
      </c>
      <c r="D4103" s="122" t="str">
        <f>IFERROR(__xludf.DUMMYFUNCTION("""COMPUTED_VALUE"""),"Drip Streetwear")</f>
        <v>Drip Streetwear</v>
      </c>
      <c r="E4103" s="122">
        <f>IFERROR(__xludf.DUMMYFUNCTION("""COMPUTED_VALUE"""),194.95)</f>
        <v>194.95</v>
      </c>
      <c r="F4103" s="122">
        <f>IFERROR(__xludf.DUMMYFUNCTION("""COMPUTED_VALUE"""),-0.0052)</f>
        <v>-0.0052</v>
      </c>
    </row>
    <row r="4104">
      <c r="A4104" s="131">
        <f>IFERROR(__xludf.DUMMYFUNCTION("""COMPUTED_VALUE"""),46187.466770833336)</f>
        <v>46187.46677</v>
      </c>
      <c r="B4104" s="126">
        <f>IFERROR(__xludf.DUMMYFUNCTION("""COMPUTED_VALUE"""),46187.0)</f>
        <v>46187</v>
      </c>
      <c r="C4104" s="122" t="str">
        <f>IFERROR(__xludf.DUMMYFUNCTION("""COMPUTED_VALUE"""),"KICK")</f>
        <v>KICK</v>
      </c>
      <c r="D4104" s="122" t="str">
        <f>IFERROR(__xludf.DUMMYFUNCTION("""COMPUTED_VALUE"""),"KickDrop Sneakers")</f>
        <v>KickDrop Sneakers</v>
      </c>
      <c r="E4104" s="122">
        <f>IFERROR(__xludf.DUMMYFUNCTION("""COMPUTED_VALUE"""),174.26)</f>
        <v>174.26</v>
      </c>
      <c r="F4104" s="122">
        <f>IFERROR(__xludf.DUMMYFUNCTION("""COMPUTED_VALUE"""),0.0021)</f>
        <v>0.0021</v>
      </c>
    </row>
    <row r="4105">
      <c r="A4105" s="131">
        <f>IFERROR(__xludf.DUMMYFUNCTION("""COMPUTED_VALUE"""),46187.466770833336)</f>
        <v>46187.46677</v>
      </c>
      <c r="B4105" s="126">
        <f>IFERROR(__xludf.DUMMYFUNCTION("""COMPUTED_VALUE"""),46187.0)</f>
        <v>46187</v>
      </c>
      <c r="C4105" s="122" t="str">
        <f>IFERROR(__xludf.DUMMYFUNCTION("""COMPUTED_VALUE"""),"GLAM")</f>
        <v>GLAM</v>
      </c>
      <c r="D4105" s="122" t="str">
        <f>IFERROR(__xludf.DUMMYFUNCTION("""COMPUTED_VALUE"""),"Glow Cosmetics")</f>
        <v>Glow Cosmetics</v>
      </c>
      <c r="E4105" s="122">
        <f>IFERROR(__xludf.DUMMYFUNCTION("""COMPUTED_VALUE"""),102.84)</f>
        <v>102.84</v>
      </c>
      <c r="F4105" s="122">
        <f>IFERROR(__xludf.DUMMYFUNCTION("""COMPUTED_VALUE"""),-0.0039)</f>
        <v>-0.0039</v>
      </c>
    </row>
    <row r="4106">
      <c r="A4106" s="131">
        <f>IFERROR(__xludf.DUMMYFUNCTION("""COMPUTED_VALUE"""),46187.466770833336)</f>
        <v>46187.46677</v>
      </c>
      <c r="B4106" s="126">
        <f>IFERROR(__xludf.DUMMYFUNCTION("""COMPUTED_VALUE"""),46187.0)</f>
        <v>46187</v>
      </c>
      <c r="C4106" s="122" t="str">
        <f>IFERROR(__xludf.DUMMYFUNCTION("""COMPUTED_VALUE"""),"BAGG")</f>
        <v>BAGG</v>
      </c>
      <c r="D4106" s="122" t="str">
        <f>IFERROR(__xludf.DUMMYFUNCTION("""COMPUTED_VALUE"""),"BagVault")</f>
        <v>BagVault</v>
      </c>
      <c r="E4106" s="122">
        <f>IFERROR(__xludf.DUMMYFUNCTION("""COMPUTED_VALUE"""),251.52)</f>
        <v>251.52</v>
      </c>
      <c r="F4106" s="122">
        <f>IFERROR(__xludf.DUMMYFUNCTION("""COMPUTED_VALUE"""),0.0015)</f>
        <v>0.0015</v>
      </c>
    </row>
    <row r="4107">
      <c r="A4107" s="131">
        <f>IFERROR(__xludf.DUMMYFUNCTION("""COMPUTED_VALUE"""),46187.466770833336)</f>
        <v>46187.46677</v>
      </c>
      <c r="B4107" s="126">
        <f>IFERROR(__xludf.DUMMYFUNCTION("""COMPUTED_VALUE"""),46187.0)</f>
        <v>46187</v>
      </c>
      <c r="C4107" s="122" t="str">
        <f>IFERROR(__xludf.DUMMYFUNCTION("""COMPUTED_VALUE"""),"FAST")</f>
        <v>FAST</v>
      </c>
      <c r="D4107" s="122" t="str">
        <f>IFERROR(__xludf.DUMMYFUNCTION("""COMPUTED_VALUE"""),"Flash Logistics")</f>
        <v>Flash Logistics</v>
      </c>
      <c r="E4107" s="122">
        <f>IFERROR(__xludf.DUMMYFUNCTION("""COMPUTED_VALUE"""),103.37)</f>
        <v>103.37</v>
      </c>
      <c r="F4107" s="122">
        <f>IFERROR(__xludf.DUMMYFUNCTION("""COMPUTED_VALUE"""),-0.0019)</f>
        <v>-0.0019</v>
      </c>
    </row>
    <row r="4108">
      <c r="A4108" s="131">
        <f>IFERROR(__xludf.DUMMYFUNCTION("""COMPUTED_VALUE"""),46187.466770833336)</f>
        <v>46187.46677</v>
      </c>
      <c r="B4108" s="126">
        <f>IFERROR(__xludf.DUMMYFUNCTION("""COMPUTED_VALUE"""),46187.0)</f>
        <v>46187</v>
      </c>
      <c r="C4108" s="122" t="str">
        <f>IFERROR(__xludf.DUMMYFUNCTION("""COMPUTED_VALUE"""),"SHIP")</f>
        <v>SHIP</v>
      </c>
      <c r="D4108" s="122" t="str">
        <f>IFERROR(__xludf.DUMMYFUNCTION("""COMPUTED_VALUE"""),"Seoul Shipping")</f>
        <v>Seoul Shipping</v>
      </c>
      <c r="E4108" s="122">
        <f>IFERROR(__xludf.DUMMYFUNCTION("""COMPUTED_VALUE"""),122.47)</f>
        <v>122.47</v>
      </c>
      <c r="F4108" s="122">
        <f>IFERROR(__xludf.DUMMYFUNCTION("""COMPUTED_VALUE"""),7.0E-4)</f>
        <v>0.0007</v>
      </c>
    </row>
    <row r="4109">
      <c r="A4109" s="131">
        <f>IFERROR(__xludf.DUMMYFUNCTION("""COMPUTED_VALUE"""),46187.466770833336)</f>
        <v>46187.46677</v>
      </c>
      <c r="B4109" s="126">
        <f>IFERROR(__xludf.DUMMYFUNCTION("""COMPUTED_VALUE"""),46187.0)</f>
        <v>46187</v>
      </c>
      <c r="C4109" s="122" t="str">
        <f>IFERROR(__xludf.DUMMYFUNCTION("""COMPUTED_VALUE"""),"DRON")</f>
        <v>DRON</v>
      </c>
      <c r="D4109" s="122" t="str">
        <f>IFERROR(__xludf.DUMMYFUNCTION("""COMPUTED_VALUE"""),"DroneDrop")</f>
        <v>DroneDrop</v>
      </c>
      <c r="E4109" s="122">
        <f>IFERROR(__xludf.DUMMYFUNCTION("""COMPUTED_VALUE"""),131.78)</f>
        <v>131.78</v>
      </c>
      <c r="F4109" s="122">
        <f>IFERROR(__xludf.DUMMYFUNCTION("""COMPUTED_VALUE"""),0.0093)</f>
        <v>0.0093</v>
      </c>
    </row>
    <row r="4110">
      <c r="A4110" s="131">
        <f>IFERROR(__xludf.DUMMYFUNCTION("""COMPUTED_VALUE"""),46187.466770833336)</f>
        <v>46187.46677</v>
      </c>
      <c r="B4110" s="126">
        <f>IFERROR(__xludf.DUMMYFUNCTION("""COMPUTED_VALUE"""),46187.0)</f>
        <v>46187</v>
      </c>
      <c r="C4110" s="122" t="str">
        <f>IFERROR(__xludf.DUMMYFUNCTION("""COMPUTED_VALUE"""),"RIDE")</f>
        <v>RIDE</v>
      </c>
      <c r="D4110" s="122" t="str">
        <f>IFERROR(__xludf.DUMMYFUNCTION("""COMPUTED_VALUE"""),"QuickRide")</f>
        <v>QuickRide</v>
      </c>
      <c r="E4110" s="122">
        <f>IFERROR(__xludf.DUMMYFUNCTION("""COMPUTED_VALUE"""),95.81)</f>
        <v>95.81</v>
      </c>
      <c r="F4110" s="122">
        <f>IFERROR(__xludf.DUMMYFUNCTION("""COMPUTED_VALUE"""),0.0015)</f>
        <v>0.0015</v>
      </c>
    </row>
    <row r="4111">
      <c r="A4111" s="131">
        <f>IFERROR(__xludf.DUMMYFUNCTION("""COMPUTED_VALUE"""),46187.466770833336)</f>
        <v>46187.46677</v>
      </c>
      <c r="B4111" s="126">
        <f>IFERROR(__xludf.DUMMYFUNCTION("""COMPUTED_VALUE"""),46187.0)</f>
        <v>46187</v>
      </c>
      <c r="C4111" s="122" t="str">
        <f>IFERROR(__xludf.DUMMYFUNCTION("""COMPUTED_VALUE"""),"RAIL")</f>
        <v>RAIL</v>
      </c>
      <c r="D4111" s="122" t="str">
        <f>IFERROR(__xludf.DUMMYFUNCTION("""COMPUTED_VALUE"""),"MetroRail Corp")</f>
        <v>MetroRail Corp</v>
      </c>
      <c r="E4111" s="122">
        <f>IFERROR(__xludf.DUMMYFUNCTION("""COMPUTED_VALUE"""),133.91)</f>
        <v>133.91</v>
      </c>
      <c r="F4111" s="122">
        <f>IFERROR(__xludf.DUMMYFUNCTION("""COMPUTED_VALUE"""),-9.0E-4)</f>
        <v>-0.0009</v>
      </c>
    </row>
    <row r="4112">
      <c r="A4112" s="131">
        <f>IFERROR(__xludf.DUMMYFUNCTION("""COMPUTED_VALUE"""),46187.466770833336)</f>
        <v>46187.46677</v>
      </c>
      <c r="B4112" s="126">
        <f>IFERROR(__xludf.DUMMYFUNCTION("""COMPUTED_VALUE"""),46187.0)</f>
        <v>46187</v>
      </c>
      <c r="C4112" s="122" t="str">
        <f>IFERROR(__xludf.DUMMYFUNCTION("""COMPUTED_VALUE"""),"MEDX")</f>
        <v>MEDX</v>
      </c>
      <c r="D4112" s="122" t="str">
        <f>IFERROR(__xludf.DUMMYFUNCTION("""COMPUTED_VALUE"""),"MediCore")</f>
        <v>MediCore</v>
      </c>
      <c r="E4112" s="122">
        <f>IFERROR(__xludf.DUMMYFUNCTION("""COMPUTED_VALUE"""),138.78)</f>
        <v>138.78</v>
      </c>
      <c r="F4112" s="122">
        <f>IFERROR(__xludf.DUMMYFUNCTION("""COMPUTED_VALUE"""),-0.002)</f>
        <v>-0.002</v>
      </c>
    </row>
    <row r="4113">
      <c r="A4113" s="131">
        <f>IFERROR(__xludf.DUMMYFUNCTION("""COMPUTED_VALUE"""),46187.466770833336)</f>
        <v>46187.46677</v>
      </c>
      <c r="B4113" s="126">
        <f>IFERROR(__xludf.DUMMYFUNCTION("""COMPUTED_VALUE"""),46187.0)</f>
        <v>46187</v>
      </c>
      <c r="C4113" s="122" t="str">
        <f>IFERROR(__xludf.DUMMYFUNCTION("""COMPUTED_VALUE"""),"GYMX")</f>
        <v>GYMX</v>
      </c>
      <c r="D4113" s="122" t="str">
        <f>IFERROR(__xludf.DUMMYFUNCTION("""COMPUTED_VALUE"""),"GymX Fitness")</f>
        <v>GymX Fitness</v>
      </c>
      <c r="E4113" s="122">
        <f>IFERROR(__xludf.DUMMYFUNCTION("""COMPUTED_VALUE"""),86.7)</f>
        <v>86.7</v>
      </c>
      <c r="F4113" s="122">
        <f>IFERROR(__xludf.DUMMYFUNCTION("""COMPUTED_VALUE"""),0.0058)</f>
        <v>0.0058</v>
      </c>
    </row>
    <row r="4114">
      <c r="A4114" s="131">
        <f>IFERROR(__xludf.DUMMYFUNCTION("""COMPUTED_VALUE"""),46187.466770833336)</f>
        <v>46187.46677</v>
      </c>
      <c r="B4114" s="126">
        <f>IFERROR(__xludf.DUMMYFUNCTION("""COMPUTED_VALUE"""),46187.0)</f>
        <v>46187</v>
      </c>
      <c r="C4114" s="122" t="str">
        <f>IFERROR(__xludf.DUMMYFUNCTION("""COMPUTED_VALUE"""),"VITA")</f>
        <v>VITA</v>
      </c>
      <c r="D4114" s="122" t="str">
        <f>IFERROR(__xludf.DUMMYFUNCTION("""COMPUTED_VALUE"""),"VitaPlus")</f>
        <v>VitaPlus</v>
      </c>
      <c r="E4114" s="122">
        <f>IFERROR(__xludf.DUMMYFUNCTION("""COMPUTED_VALUE"""),73.84)</f>
        <v>73.84</v>
      </c>
      <c r="F4114" s="122">
        <f>IFERROR(__xludf.DUMMYFUNCTION("""COMPUTED_VALUE"""),0.0037)</f>
        <v>0.0037</v>
      </c>
    </row>
    <row r="4115">
      <c r="A4115" s="131">
        <f>IFERROR(__xludf.DUMMYFUNCTION("""COMPUTED_VALUE"""),46187.466770833336)</f>
        <v>46187.46677</v>
      </c>
      <c r="B4115" s="126">
        <f>IFERROR(__xludf.DUMMYFUNCTION("""COMPUTED_VALUE"""),46187.0)</f>
        <v>46187</v>
      </c>
      <c r="C4115" s="122" t="str">
        <f>IFERROR(__xludf.DUMMYFUNCTION("""COMPUTED_VALUE"""),"CARE")</f>
        <v>CARE</v>
      </c>
      <c r="D4115" s="122" t="str">
        <f>IFERROR(__xludf.DUMMYFUNCTION("""COMPUTED_VALUE"""),"CareCloud")</f>
        <v>CareCloud</v>
      </c>
      <c r="E4115" s="122">
        <f>IFERROR(__xludf.DUMMYFUNCTION("""COMPUTED_VALUE"""),178.57)</f>
        <v>178.57</v>
      </c>
      <c r="F4115" s="122">
        <f>IFERROR(__xludf.DUMMYFUNCTION("""COMPUTED_VALUE"""),0.0042)</f>
        <v>0.0042</v>
      </c>
    </row>
    <row r="4116">
      <c r="A4116" s="131">
        <f>IFERROR(__xludf.DUMMYFUNCTION("""COMPUTED_VALUE"""),46187.466770833336)</f>
        <v>46187.46677</v>
      </c>
      <c r="B4116" s="126">
        <f>IFERROR(__xludf.DUMMYFUNCTION("""COMPUTED_VALUE"""),46187.0)</f>
        <v>46187</v>
      </c>
      <c r="C4116" s="122" t="str">
        <f>IFERROR(__xludf.DUMMYFUNCTION("""COMPUTED_VALUE"""),"DENT")</f>
        <v>DENT</v>
      </c>
      <c r="D4116" s="122" t="str">
        <f>IFERROR(__xludf.DUMMYFUNCTION("""COMPUTED_VALUE"""),"SmileWorks")</f>
        <v>SmileWorks</v>
      </c>
      <c r="E4116" s="122">
        <f>IFERROR(__xludf.DUMMYFUNCTION("""COMPUTED_VALUE"""),86.47)</f>
        <v>86.47</v>
      </c>
      <c r="F4116" s="122">
        <f>IFERROR(__xludf.DUMMYFUNCTION("""COMPUTED_VALUE"""),0.0068)</f>
        <v>0.0068</v>
      </c>
    </row>
    <row r="4117">
      <c r="A4117" s="131">
        <f>IFERROR(__xludf.DUMMYFUNCTION("""COMPUTED_VALUE"""),46187.466770833336)</f>
        <v>46187.46677</v>
      </c>
      <c r="B4117" s="126">
        <f>IFERROR(__xludf.DUMMYFUNCTION("""COMPUTED_VALUE"""),46187.0)</f>
        <v>46187</v>
      </c>
      <c r="C4117" s="122" t="str">
        <f>IFERROR(__xludf.DUMMYFUNCTION("""COMPUTED_VALUE"""),"EDUX")</f>
        <v>EDUX</v>
      </c>
      <c r="D4117" s="122" t="str">
        <f>IFERROR(__xludf.DUMMYFUNCTION("""COMPUTED_VALUE"""),"EduMax Learning")</f>
        <v>EduMax Learning</v>
      </c>
      <c r="E4117" s="122">
        <f>IFERROR(__xludf.DUMMYFUNCTION("""COMPUTED_VALUE"""),137.05)</f>
        <v>137.05</v>
      </c>
      <c r="F4117" s="122">
        <f>IFERROR(__xludf.DUMMYFUNCTION("""COMPUTED_VALUE"""),0.0056)</f>
        <v>0.0056</v>
      </c>
    </row>
    <row r="4118">
      <c r="A4118" s="131">
        <f>IFERROR(__xludf.DUMMYFUNCTION("""COMPUTED_VALUE"""),46187.466770833336)</f>
        <v>46187.46677</v>
      </c>
      <c r="B4118" s="126">
        <f>IFERROR(__xludf.DUMMYFUNCTION("""COMPUTED_VALUE"""),46187.0)</f>
        <v>46187</v>
      </c>
      <c r="C4118" s="122" t="str">
        <f>IFERROR(__xludf.DUMMYFUNCTION("""COMPUTED_VALUE"""),"BOOK")</f>
        <v>BOOK</v>
      </c>
      <c r="D4118" s="122" t="str">
        <f>IFERROR(__xludf.DUMMYFUNCTION("""COMPUTED_VALUE"""),"BookBridge")</f>
        <v>BookBridge</v>
      </c>
      <c r="E4118" s="122">
        <f>IFERROR(__xludf.DUMMYFUNCTION("""COMPUTED_VALUE"""),116.52)</f>
        <v>116.52</v>
      </c>
      <c r="F4118" s="122">
        <f>IFERROR(__xludf.DUMMYFUNCTION("""COMPUTED_VALUE"""),0.003)</f>
        <v>0.003</v>
      </c>
    </row>
    <row r="4119">
      <c r="A4119" s="131">
        <f>IFERROR(__xludf.DUMMYFUNCTION("""COMPUTED_VALUE"""),46187.466770833336)</f>
        <v>46187.46677</v>
      </c>
      <c r="B4119" s="126">
        <f>IFERROR(__xludf.DUMMYFUNCTION("""COMPUTED_VALUE"""),46187.0)</f>
        <v>46187</v>
      </c>
      <c r="C4119" s="122" t="str">
        <f>IFERROR(__xludf.DUMMYFUNCTION("""COMPUTED_VALUE"""),"TUTR")</f>
        <v>TUTR</v>
      </c>
      <c r="D4119" s="122" t="str">
        <f>IFERROR(__xludf.DUMMYFUNCTION("""COMPUTED_VALUE"""),"TutorTown")</f>
        <v>TutorTown</v>
      </c>
      <c r="E4119" s="122">
        <f>IFERROR(__xludf.DUMMYFUNCTION("""COMPUTED_VALUE"""),89.98)</f>
        <v>89.98</v>
      </c>
      <c r="F4119" s="122">
        <f>IFERROR(__xludf.DUMMYFUNCTION("""COMPUTED_VALUE"""),0.0021)</f>
        <v>0.0021</v>
      </c>
    </row>
    <row r="4120">
      <c r="A4120" s="131">
        <f>IFERROR(__xludf.DUMMYFUNCTION("""COMPUTED_VALUE"""),46187.466770833336)</f>
        <v>46187.46677</v>
      </c>
      <c r="B4120" s="126">
        <f>IFERROR(__xludf.DUMMYFUNCTION("""COMPUTED_VALUE"""),46187.0)</f>
        <v>46187</v>
      </c>
      <c r="C4120" s="122" t="str">
        <f>IFERROR(__xludf.DUMMYFUNCTION("""COMPUTED_VALUE"""),"LANG")</f>
        <v>LANG</v>
      </c>
      <c r="D4120" s="122" t="str">
        <f>IFERROR(__xludf.DUMMYFUNCTION("""COMPUTED_VALUE"""),"LinguaLab")</f>
        <v>LinguaLab</v>
      </c>
      <c r="E4120" s="122">
        <f>IFERROR(__xludf.DUMMYFUNCTION("""COMPUTED_VALUE"""),97.55)</f>
        <v>97.55</v>
      </c>
      <c r="F4120" s="122">
        <f>IFERROR(__xludf.DUMMYFUNCTION("""COMPUTED_VALUE"""),-9.0E-4)</f>
        <v>-0.0009</v>
      </c>
    </row>
    <row r="4121">
      <c r="A4121" s="131">
        <f>IFERROR(__xludf.DUMMYFUNCTION("""COMPUTED_VALUE"""),46187.466770833336)</f>
        <v>46187.46677</v>
      </c>
      <c r="B4121" s="126">
        <f>IFERROR(__xludf.DUMMYFUNCTION("""COMPUTED_VALUE"""),46187.0)</f>
        <v>46187</v>
      </c>
      <c r="C4121" s="122" t="str">
        <f>IFERROR(__xludf.DUMMYFUNCTION("""COMPUTED_VALUE"""),"TEST")</f>
        <v>TEST</v>
      </c>
      <c r="D4121" s="122" t="str">
        <f>IFERROR(__xludf.DUMMYFUNCTION("""COMPUTED_VALUE"""),"TestPrep Pro")</f>
        <v>TestPrep Pro</v>
      </c>
      <c r="E4121" s="122">
        <f>IFERROR(__xludf.DUMMYFUNCTION("""COMPUTED_VALUE"""),95.84)</f>
        <v>95.84</v>
      </c>
      <c r="F4121" s="122">
        <f>IFERROR(__xludf.DUMMYFUNCTION("""COMPUTED_VALUE"""),-0.0054)</f>
        <v>-0.0054</v>
      </c>
    </row>
    <row r="4122">
      <c r="A4122" s="131">
        <f>IFERROR(__xludf.DUMMYFUNCTION("""COMPUTED_VALUE"""),46187.466770833336)</f>
        <v>46187.46677</v>
      </c>
      <c r="B4122" s="126">
        <f>IFERROR(__xludf.DUMMYFUNCTION("""COMPUTED_VALUE"""),46187.0)</f>
        <v>46187</v>
      </c>
      <c r="C4122" s="122" t="str">
        <f>IFERROR(__xludf.DUMMYFUNCTION("""COMPUTED_VALUE"""),"MOVI")</f>
        <v>MOVI</v>
      </c>
      <c r="D4122" s="122" t="str">
        <f>IFERROR(__xludf.DUMMYFUNCTION("""COMPUTED_VALUE"""),"MovieBox")</f>
        <v>MovieBox</v>
      </c>
      <c r="E4122" s="122">
        <f>IFERROR(__xludf.DUMMYFUNCTION("""COMPUTED_VALUE"""),81.0)</f>
        <v>81</v>
      </c>
      <c r="F4122" s="122">
        <f>IFERROR(__xludf.DUMMYFUNCTION("""COMPUTED_VALUE"""),-0.0071)</f>
        <v>-0.0071</v>
      </c>
    </row>
    <row r="4123">
      <c r="A4123" s="131">
        <f>IFERROR(__xludf.DUMMYFUNCTION("""COMPUTED_VALUE"""),46187.466770833336)</f>
        <v>46187.46677</v>
      </c>
      <c r="B4123" s="126">
        <f>IFERROR(__xludf.DUMMYFUNCTION("""COMPUTED_VALUE"""),46187.0)</f>
        <v>46187</v>
      </c>
      <c r="C4123" s="122" t="str">
        <f>IFERROR(__xludf.DUMMYFUNCTION("""COMPUTED_VALUE"""),"MUSC")</f>
        <v>MUSC</v>
      </c>
      <c r="D4123" s="122" t="str">
        <f>IFERROR(__xludf.DUMMYFUNCTION("""COMPUTED_VALUE"""),"MusicWave")</f>
        <v>MusicWave</v>
      </c>
      <c r="E4123" s="122">
        <f>IFERROR(__xludf.DUMMYFUNCTION("""COMPUTED_VALUE"""),97.59)</f>
        <v>97.59</v>
      </c>
      <c r="F4123" s="122">
        <f>IFERROR(__xludf.DUMMYFUNCTION("""COMPUTED_VALUE"""),-0.0071)</f>
        <v>-0.0071</v>
      </c>
    </row>
    <row r="4124">
      <c r="A4124" s="131">
        <f>IFERROR(__xludf.DUMMYFUNCTION("""COMPUTED_VALUE"""),46187.466770833336)</f>
        <v>46187.46677</v>
      </c>
      <c r="B4124" s="126">
        <f>IFERROR(__xludf.DUMMYFUNCTION("""COMPUTED_VALUE"""),46187.0)</f>
        <v>46187</v>
      </c>
      <c r="C4124" s="122" t="str">
        <f>IFERROR(__xludf.DUMMYFUNCTION("""COMPUTED_VALUE"""),"IDOL")</f>
        <v>IDOL</v>
      </c>
      <c r="D4124" s="122" t="str">
        <f>IFERROR(__xludf.DUMMYFUNCTION("""COMPUTED_VALUE"""),"Idol Agency")</f>
        <v>Idol Agency</v>
      </c>
      <c r="E4124" s="122">
        <f>IFERROR(__xludf.DUMMYFUNCTION("""COMPUTED_VALUE"""),196.73)</f>
        <v>196.73</v>
      </c>
      <c r="F4124" s="122">
        <f>IFERROR(__xludf.DUMMYFUNCTION("""COMPUTED_VALUE"""),0.0054)</f>
        <v>0.0054</v>
      </c>
    </row>
    <row r="4125">
      <c r="A4125" s="131">
        <f>IFERROR(__xludf.DUMMYFUNCTION("""COMPUTED_VALUE"""),46187.466770833336)</f>
        <v>46187.46677</v>
      </c>
      <c r="B4125" s="126">
        <f>IFERROR(__xludf.DUMMYFUNCTION("""COMPUTED_VALUE"""),46187.0)</f>
        <v>46187</v>
      </c>
      <c r="C4125" s="122" t="str">
        <f>IFERROR(__xludf.DUMMYFUNCTION("""COMPUTED_VALUE"""),"MEME")</f>
        <v>MEME</v>
      </c>
      <c r="D4125" s="122" t="str">
        <f>IFERROR(__xludf.DUMMYFUNCTION("""COMPUTED_VALUE"""),"Meme Media")</f>
        <v>Meme Media</v>
      </c>
      <c r="E4125" s="122">
        <f>IFERROR(__xludf.DUMMYFUNCTION("""COMPUTED_VALUE"""),74.87)</f>
        <v>74.87</v>
      </c>
      <c r="F4125" s="122">
        <f>IFERROR(__xludf.DUMMYFUNCTION("""COMPUTED_VALUE"""),-0.0107)</f>
        <v>-0.0107</v>
      </c>
    </row>
    <row r="4126">
      <c r="A4126" s="131">
        <f>IFERROR(__xludf.DUMMYFUNCTION("""COMPUTED_VALUE"""),46187.466770833336)</f>
        <v>46187.46677</v>
      </c>
      <c r="B4126" s="126">
        <f>IFERROR(__xludf.DUMMYFUNCTION("""COMPUTED_VALUE"""),46187.0)</f>
        <v>46187</v>
      </c>
      <c r="C4126" s="122" t="str">
        <f>IFERROR(__xludf.DUMMYFUNCTION("""COMPUTED_VALUE"""),"STRM")</f>
        <v>STRM</v>
      </c>
      <c r="D4126" s="122" t="str">
        <f>IFERROR(__xludf.DUMMYFUNCTION("""COMPUTED_VALUE"""),"Streamly")</f>
        <v>Streamly</v>
      </c>
      <c r="E4126" s="122">
        <f>IFERROR(__xludf.DUMMYFUNCTION("""COMPUTED_VALUE"""),137.78)</f>
        <v>137.78</v>
      </c>
      <c r="F4126" s="122">
        <f>IFERROR(__xludf.DUMMYFUNCTION("""COMPUTED_VALUE"""),-0.0015)</f>
        <v>-0.0015</v>
      </c>
    </row>
    <row r="4127">
      <c r="A4127" s="131">
        <f>IFERROR(__xludf.DUMMYFUNCTION("""COMPUTED_VALUE"""),46187.466770833336)</f>
        <v>46187.46677</v>
      </c>
      <c r="B4127" s="126">
        <f>IFERROR(__xludf.DUMMYFUNCTION("""COMPUTED_VALUE"""),46187.0)</f>
        <v>46187</v>
      </c>
      <c r="C4127" s="122" t="str">
        <f>IFERROR(__xludf.DUMMYFUNCTION("""COMPUTED_VALUE"""),"FARM")</f>
        <v>FARM</v>
      </c>
      <c r="D4127" s="122" t="str">
        <f>IFERROR(__xludf.DUMMYFUNCTION("""COMPUTED_VALUE"""),"Future Farms")</f>
        <v>Future Farms</v>
      </c>
      <c r="E4127" s="122">
        <f>IFERROR(__xludf.DUMMYFUNCTION("""COMPUTED_VALUE"""),86.83)</f>
        <v>86.83</v>
      </c>
      <c r="F4127" s="122">
        <f>IFERROR(__xludf.DUMMYFUNCTION("""COMPUTED_VALUE"""),0.0036)</f>
        <v>0.0036</v>
      </c>
    </row>
    <row r="4128">
      <c r="A4128" s="131">
        <f>IFERROR(__xludf.DUMMYFUNCTION("""COMPUTED_VALUE"""),46187.466770833336)</f>
        <v>46187.46677</v>
      </c>
      <c r="B4128" s="126">
        <f>IFERROR(__xludf.DUMMYFUNCTION("""COMPUTED_VALUE"""),46187.0)</f>
        <v>46187</v>
      </c>
      <c r="C4128" s="122" t="str">
        <f>IFERROR(__xludf.DUMMYFUNCTION("""COMPUTED_VALUE"""),"MEAT")</f>
        <v>MEAT</v>
      </c>
      <c r="D4128" s="122" t="str">
        <f>IFERROR(__xludf.DUMMYFUNCTION("""COMPUTED_VALUE"""),"MeatWorks")</f>
        <v>MeatWorks</v>
      </c>
      <c r="E4128" s="122">
        <f>IFERROR(__xludf.DUMMYFUNCTION("""COMPUTED_VALUE"""),104.95)</f>
        <v>104.95</v>
      </c>
      <c r="F4128" s="122">
        <f>IFERROR(__xludf.DUMMYFUNCTION("""COMPUTED_VALUE"""),-0.0034)</f>
        <v>-0.0034</v>
      </c>
    </row>
    <row r="4129">
      <c r="A4129" s="131">
        <f>IFERROR(__xludf.DUMMYFUNCTION("""COMPUTED_VALUE"""),46187.466770833336)</f>
        <v>46187.46677</v>
      </c>
      <c r="B4129" s="126">
        <f>IFERROR(__xludf.DUMMYFUNCTION("""COMPUTED_VALUE"""),46187.0)</f>
        <v>46187</v>
      </c>
      <c r="C4129" s="122" t="str">
        <f>IFERROR(__xludf.DUMMYFUNCTION("""COMPUTED_VALUE"""),"VEGI")</f>
        <v>VEGI</v>
      </c>
      <c r="D4129" s="122" t="str">
        <f>IFERROR(__xludf.DUMMYFUNCTION("""COMPUTED_VALUE"""),"Green Basket")</f>
        <v>Green Basket</v>
      </c>
      <c r="E4129" s="122">
        <f>IFERROR(__xludf.DUMMYFUNCTION("""COMPUTED_VALUE"""),80.72)</f>
        <v>80.72</v>
      </c>
      <c r="F4129" s="122">
        <f>IFERROR(__xludf.DUMMYFUNCTION("""COMPUTED_VALUE"""),0.0025)</f>
        <v>0.0025</v>
      </c>
    </row>
    <row r="4130">
      <c r="A4130" s="131">
        <f>IFERROR(__xludf.DUMMYFUNCTION("""COMPUTED_VALUE"""),46187.466770833336)</f>
        <v>46187.46677</v>
      </c>
      <c r="B4130" s="126">
        <f>IFERROR(__xludf.DUMMYFUNCTION("""COMPUTED_VALUE"""),46187.0)</f>
        <v>46187</v>
      </c>
      <c r="C4130" s="122" t="str">
        <f>IFERROR(__xludf.DUMMYFUNCTION("""COMPUTED_VALUE"""),"CAFE")</f>
        <v>CAFE</v>
      </c>
      <c r="D4130" s="122" t="str">
        <f>IFERROR(__xludf.DUMMYFUNCTION("""COMPUTED_VALUE"""),"Cafe Cloud")</f>
        <v>Cafe Cloud</v>
      </c>
      <c r="E4130" s="122">
        <f>IFERROR(__xludf.DUMMYFUNCTION("""COMPUTED_VALUE"""),103.26)</f>
        <v>103.26</v>
      </c>
      <c r="F4130" s="122">
        <f>IFERROR(__xludf.DUMMYFUNCTION("""COMPUTED_VALUE"""),0.0031)</f>
        <v>0.0031</v>
      </c>
    </row>
    <row r="4131">
      <c r="A4131" s="131">
        <f>IFERROR(__xludf.DUMMYFUNCTION("""COMPUTED_VALUE"""),46187.466770833336)</f>
        <v>46187.46677</v>
      </c>
      <c r="B4131" s="126">
        <f>IFERROR(__xludf.DUMMYFUNCTION("""COMPUTED_VALUE"""),46187.0)</f>
        <v>46187</v>
      </c>
      <c r="C4131" s="122" t="str">
        <f>IFERROR(__xludf.DUMMYFUNCTION("""COMPUTED_VALUE"""),"BAKE")</f>
        <v>BAKE</v>
      </c>
      <c r="D4131" s="122" t="str">
        <f>IFERROR(__xludf.DUMMYFUNCTION("""COMPUTED_VALUE"""),"BakeHouse")</f>
        <v>BakeHouse</v>
      </c>
      <c r="E4131" s="122">
        <f>IFERROR(__xludf.DUMMYFUNCTION("""COMPUTED_VALUE"""),100.42)</f>
        <v>100.42</v>
      </c>
      <c r="F4131" s="122">
        <f>IFERROR(__xludf.DUMMYFUNCTION("""COMPUTED_VALUE"""),0.0033)</f>
        <v>0.0033</v>
      </c>
    </row>
    <row r="4132">
      <c r="A4132" s="131">
        <f>IFERROR(__xludf.DUMMYFUNCTION("""COMPUTED_VALUE"""),46187.466770833336)</f>
        <v>46187.46677</v>
      </c>
      <c r="B4132" s="126">
        <f>IFERROR(__xludf.DUMMYFUNCTION("""COMPUTED_VALUE"""),46187.0)</f>
        <v>46187</v>
      </c>
      <c r="C4132" s="122" t="str">
        <f>IFERROR(__xludf.DUMMYFUNCTION("""COMPUTED_VALUE"""),"OILX")</f>
        <v>OILX</v>
      </c>
      <c r="D4132" s="122" t="str">
        <f>IFERROR(__xludf.DUMMYFUNCTION("""COMPUTED_VALUE"""),"OilMax Energy")</f>
        <v>OilMax Energy</v>
      </c>
      <c r="E4132" s="122">
        <f>IFERROR(__xludf.DUMMYFUNCTION("""COMPUTED_VALUE"""),131.65)</f>
        <v>131.65</v>
      </c>
      <c r="F4132" s="122">
        <f>IFERROR(__xludf.DUMMYFUNCTION("""COMPUTED_VALUE"""),-0.0022)</f>
        <v>-0.0022</v>
      </c>
    </row>
    <row r="4133">
      <c r="A4133" s="131">
        <f>IFERROR(__xludf.DUMMYFUNCTION("""COMPUTED_VALUE"""),46187.466770833336)</f>
        <v>46187.46677</v>
      </c>
      <c r="B4133" s="126">
        <f>IFERROR(__xludf.DUMMYFUNCTION("""COMPUTED_VALUE"""),46187.0)</f>
        <v>46187</v>
      </c>
      <c r="C4133" s="122" t="str">
        <f>IFERROR(__xludf.DUMMYFUNCTION("""COMPUTED_VALUE"""),"SOLR")</f>
        <v>SOLR</v>
      </c>
      <c r="D4133" s="122" t="str">
        <f>IFERROR(__xludf.DUMMYFUNCTION("""COMPUTED_VALUE"""),"SolarSpark")</f>
        <v>SolarSpark</v>
      </c>
      <c r="E4133" s="122">
        <f>IFERROR(__xludf.DUMMYFUNCTION("""COMPUTED_VALUE"""),93.37)</f>
        <v>93.37</v>
      </c>
      <c r="F4133" s="122">
        <f>IFERROR(__xludf.DUMMYFUNCTION("""COMPUTED_VALUE"""),0.0021)</f>
        <v>0.0021</v>
      </c>
    </row>
    <row r="4134">
      <c r="A4134" s="131">
        <f>IFERROR(__xludf.DUMMYFUNCTION("""COMPUTED_VALUE"""),46187.466770833336)</f>
        <v>46187.46677</v>
      </c>
      <c r="B4134" s="126">
        <f>IFERROR(__xludf.DUMMYFUNCTION("""COMPUTED_VALUE"""),46187.0)</f>
        <v>46187</v>
      </c>
      <c r="C4134" s="122" t="str">
        <f>IFERROR(__xludf.DUMMYFUNCTION("""COMPUTED_VALUE"""),"BATT")</f>
        <v>BATT</v>
      </c>
      <c r="D4134" s="122" t="str">
        <f>IFERROR(__xludf.DUMMYFUNCTION("""COMPUTED_VALUE"""),"BatteryBox")</f>
        <v>BatteryBox</v>
      </c>
      <c r="E4134" s="122">
        <f>IFERROR(__xludf.DUMMYFUNCTION("""COMPUTED_VALUE"""),121.45)</f>
        <v>121.45</v>
      </c>
      <c r="F4134" s="122">
        <f>IFERROR(__xludf.DUMMYFUNCTION("""COMPUTED_VALUE"""),0.0013)</f>
        <v>0.0013</v>
      </c>
    </row>
    <row r="4135">
      <c r="A4135" s="131">
        <f>IFERROR(__xludf.DUMMYFUNCTION("""COMPUTED_VALUE"""),46187.466770833336)</f>
        <v>46187.46677</v>
      </c>
      <c r="B4135" s="126">
        <f>IFERROR(__xludf.DUMMYFUNCTION("""COMPUTED_VALUE"""),46187.0)</f>
        <v>46187</v>
      </c>
      <c r="C4135" s="122" t="str">
        <f>IFERROR(__xludf.DUMMYFUNCTION("""COMPUTED_VALUE"""),"WIND")</f>
        <v>WIND</v>
      </c>
      <c r="D4135" s="122" t="str">
        <f>IFERROR(__xludf.DUMMYFUNCTION("""COMPUTED_VALUE"""),"WindWorks")</f>
        <v>WindWorks</v>
      </c>
      <c r="E4135" s="122">
        <f>IFERROR(__xludf.DUMMYFUNCTION("""COMPUTED_VALUE"""),88.34)</f>
        <v>88.34</v>
      </c>
      <c r="F4135" s="122">
        <f>IFERROR(__xludf.DUMMYFUNCTION("""COMPUTED_VALUE"""),-0.0044)</f>
        <v>-0.0044</v>
      </c>
    </row>
    <row r="4136">
      <c r="A4136" s="131">
        <f>IFERROR(__xludf.DUMMYFUNCTION("""COMPUTED_VALUE"""),46187.466770833336)</f>
        <v>46187.46677</v>
      </c>
      <c r="B4136" s="126">
        <f>IFERROR(__xludf.DUMMYFUNCTION("""COMPUTED_VALUE"""),46187.0)</f>
        <v>46187</v>
      </c>
      <c r="C4136" s="122" t="str">
        <f>IFERROR(__xludf.DUMMYFUNCTION("""COMPUTED_VALUE"""),"GRID")</f>
        <v>GRID</v>
      </c>
      <c r="D4136" s="122" t="str">
        <f>IFERROR(__xludf.DUMMYFUNCTION("""COMPUTED_VALUE"""),"GridPower")</f>
        <v>GridPower</v>
      </c>
      <c r="E4136" s="122">
        <f>IFERROR(__xludf.DUMMYFUNCTION("""COMPUTED_VALUE"""),140.16)</f>
        <v>140.16</v>
      </c>
      <c r="F4136" s="122">
        <f>IFERROR(__xludf.DUMMYFUNCTION("""COMPUTED_VALUE"""),-0.0031)</f>
        <v>-0.0031</v>
      </c>
    </row>
    <row r="4137">
      <c r="A4137" s="131">
        <f>IFERROR(__xludf.DUMMYFUNCTION("""COMPUTED_VALUE"""),46187.466770833336)</f>
        <v>46187.46677</v>
      </c>
      <c r="B4137" s="126">
        <f>IFERROR(__xludf.DUMMYFUNCTION("""COMPUTED_VALUE"""),46187.0)</f>
        <v>46187</v>
      </c>
      <c r="C4137" s="122" t="str">
        <f>IFERROR(__xludf.DUMMYFUNCTION("""COMPUTED_VALUE"""),"HOME")</f>
        <v>HOME</v>
      </c>
      <c r="D4137" s="122" t="str">
        <f>IFERROR(__xludf.DUMMYFUNCTION("""COMPUTED_VALUE"""),"HomeHub")</f>
        <v>HomeHub</v>
      </c>
      <c r="E4137" s="122">
        <f>IFERROR(__xludf.DUMMYFUNCTION("""COMPUTED_VALUE"""),152.61)</f>
        <v>152.61</v>
      </c>
      <c r="F4137" s="122">
        <f>IFERROR(__xludf.DUMMYFUNCTION("""COMPUTED_VALUE"""),0.0037)</f>
        <v>0.0037</v>
      </c>
    </row>
    <row r="4138">
      <c r="A4138" s="131">
        <f>IFERROR(__xludf.DUMMYFUNCTION("""COMPUTED_VALUE"""),46187.466770833336)</f>
        <v>46187.46677</v>
      </c>
      <c r="B4138" s="126">
        <f>IFERROR(__xludf.DUMMYFUNCTION("""COMPUTED_VALUE"""),46187.0)</f>
        <v>46187</v>
      </c>
      <c r="C4138" s="122" t="str">
        <f>IFERROR(__xludf.DUMMYFUNCTION("""COMPUTED_VALUE"""),"RENT")</f>
        <v>RENT</v>
      </c>
      <c r="D4138" s="122" t="str">
        <f>IFERROR(__xludf.DUMMYFUNCTION("""COMPUTED_VALUE"""),"RentRight")</f>
        <v>RentRight</v>
      </c>
      <c r="E4138" s="122">
        <f>IFERROR(__xludf.DUMMYFUNCTION("""COMPUTED_VALUE"""),93.18)</f>
        <v>93.18</v>
      </c>
      <c r="F4138" s="122">
        <f>IFERROR(__xludf.DUMMYFUNCTION("""COMPUTED_VALUE"""),0.0038)</f>
        <v>0.0038</v>
      </c>
    </row>
    <row r="4139">
      <c r="A4139" s="131">
        <f>IFERROR(__xludf.DUMMYFUNCTION("""COMPUTED_VALUE"""),46187.466770833336)</f>
        <v>46187.46677</v>
      </c>
      <c r="B4139" s="126">
        <f>IFERROR(__xludf.DUMMYFUNCTION("""COMPUTED_VALUE"""),46187.0)</f>
        <v>46187</v>
      </c>
      <c r="C4139" s="122" t="str">
        <f>IFERROR(__xludf.DUMMYFUNCTION("""COMPUTED_VALUE"""),"MALL")</f>
        <v>MALL</v>
      </c>
      <c r="D4139" s="122" t="str">
        <f>IFERROR(__xludf.DUMMYFUNCTION("""COMPUTED_VALUE"""),"MegaMall")</f>
        <v>MegaMall</v>
      </c>
      <c r="E4139" s="122">
        <f>IFERROR(__xludf.DUMMYFUNCTION("""COMPUTED_VALUE"""),101.95)</f>
        <v>101.95</v>
      </c>
      <c r="F4139" s="122">
        <f>IFERROR(__xludf.DUMMYFUNCTION("""COMPUTED_VALUE"""),-0.0023)</f>
        <v>-0.0023</v>
      </c>
    </row>
    <row r="4140">
      <c r="A4140" s="131">
        <f>IFERROR(__xludf.DUMMYFUNCTION("""COMPUTED_VALUE"""),46187.466770833336)</f>
        <v>46187.46677</v>
      </c>
      <c r="B4140" s="126">
        <f>IFERROR(__xludf.DUMMYFUNCTION("""COMPUTED_VALUE"""),46187.0)</f>
        <v>46187</v>
      </c>
      <c r="C4140" s="122" t="str">
        <f>IFERROR(__xludf.DUMMYFUNCTION("""COMPUTED_VALUE"""),"HOTL")</f>
        <v>HOTL</v>
      </c>
      <c r="D4140" s="122" t="str">
        <f>IFERROR(__xludf.DUMMYFUNCTION("""COMPUTED_VALUE"""),"HotelHive")</f>
        <v>HotelHive</v>
      </c>
      <c r="E4140" s="122">
        <f>IFERROR(__xludf.DUMMYFUNCTION("""COMPUTED_VALUE"""),130.15)</f>
        <v>130.15</v>
      </c>
      <c r="F4140" s="122">
        <f>IFERROR(__xludf.DUMMYFUNCTION("""COMPUTED_VALUE"""),0.0024)</f>
        <v>0.0024</v>
      </c>
    </row>
    <row r="4141">
      <c r="A4141" s="131">
        <f>IFERROR(__xludf.DUMMYFUNCTION("""COMPUTED_VALUE"""),46187.466770833336)</f>
        <v>46187.46677</v>
      </c>
      <c r="B4141" s="126">
        <f>IFERROR(__xludf.DUMMYFUNCTION("""COMPUTED_VALUE"""),46187.0)</f>
        <v>46187</v>
      </c>
      <c r="C4141" s="122" t="str">
        <f>IFERROR(__xludf.DUMMYFUNCTION("""COMPUTED_VALUE"""),"LAND")</f>
        <v>LAND</v>
      </c>
      <c r="D4141" s="122" t="str">
        <f>IFERROR(__xludf.DUMMYFUNCTION("""COMPUTED_VALUE"""),"LandLink")</f>
        <v>LandLink</v>
      </c>
      <c r="E4141" s="122">
        <f>IFERROR(__xludf.DUMMYFUNCTION("""COMPUTED_VALUE"""),183.65)</f>
        <v>183.65</v>
      </c>
      <c r="F4141" s="122">
        <f>IFERROR(__xludf.DUMMYFUNCTION("""COMPUTED_VALUE"""),4.0E-4)</f>
        <v>0.0004</v>
      </c>
    </row>
    <row r="4142">
      <c r="A4142" s="131">
        <f>IFERROR(__xludf.DUMMYFUNCTION("""COMPUTED_VALUE"""),46187.466770833336)</f>
        <v>46187.46677</v>
      </c>
      <c r="B4142" s="126">
        <f>IFERROR(__xludf.DUMMYFUNCTION("""COMPUTED_VALUE"""),46187.0)</f>
        <v>46187</v>
      </c>
      <c r="C4142" s="122" t="str">
        <f>IFERROR(__xludf.DUMMYFUNCTION("""COMPUTED_VALUE"""),"CARS")</f>
        <v>CARS</v>
      </c>
      <c r="D4142" s="122" t="str">
        <f>IFERROR(__xludf.DUMMYFUNCTION("""COMPUTED_VALUE"""),"AutoArena")</f>
        <v>AutoArena</v>
      </c>
      <c r="E4142" s="122">
        <f>IFERROR(__xludf.DUMMYFUNCTION("""COMPUTED_VALUE"""),80.83)</f>
        <v>80.83</v>
      </c>
      <c r="F4142" s="122">
        <f>IFERROR(__xludf.DUMMYFUNCTION("""COMPUTED_VALUE"""),0.0014)</f>
        <v>0.0014</v>
      </c>
    </row>
    <row r="4143">
      <c r="A4143" s="131">
        <f>IFERROR(__xludf.DUMMYFUNCTION("""COMPUTED_VALUE"""),46187.466770833336)</f>
        <v>46187.46677</v>
      </c>
      <c r="B4143" s="126">
        <f>IFERROR(__xludf.DUMMYFUNCTION("""COMPUTED_VALUE"""),46187.0)</f>
        <v>46187</v>
      </c>
      <c r="C4143" s="122" t="str">
        <f>IFERROR(__xludf.DUMMYFUNCTION("""COMPUTED_VALUE"""),"EVGO")</f>
        <v>EVGO</v>
      </c>
      <c r="D4143" s="122" t="str">
        <f>IFERROR(__xludf.DUMMYFUNCTION("""COMPUTED_VALUE"""),"EVGo Motors")</f>
        <v>EVGo Motors</v>
      </c>
      <c r="E4143" s="122">
        <f>IFERROR(__xludf.DUMMYFUNCTION("""COMPUTED_VALUE"""),187.44)</f>
        <v>187.44</v>
      </c>
      <c r="F4143" s="122">
        <f>IFERROR(__xludf.DUMMYFUNCTION("""COMPUTED_VALUE"""),-0.0042)</f>
        <v>-0.0042</v>
      </c>
    </row>
    <row r="4144">
      <c r="A4144" s="131">
        <f>IFERROR(__xludf.DUMMYFUNCTION("""COMPUTED_VALUE"""),46187.466770833336)</f>
        <v>46187.46677</v>
      </c>
      <c r="B4144" s="126">
        <f>IFERROR(__xludf.DUMMYFUNCTION("""COMPUTED_VALUE"""),46187.0)</f>
        <v>46187</v>
      </c>
      <c r="C4144" s="122" t="str">
        <f>IFERROR(__xludf.DUMMYFUNCTION("""COMPUTED_VALUE"""),"TIRE")</f>
        <v>TIRE</v>
      </c>
      <c r="D4144" s="122" t="str">
        <f>IFERROR(__xludf.DUMMYFUNCTION("""COMPUTED_VALUE"""),"TireTown")</f>
        <v>TireTown</v>
      </c>
      <c r="E4144" s="122">
        <f>IFERROR(__xludf.DUMMYFUNCTION("""COMPUTED_VALUE"""),95.39)</f>
        <v>95.39</v>
      </c>
      <c r="F4144" s="122">
        <f>IFERROR(__xludf.DUMMYFUNCTION("""COMPUTED_VALUE"""),9.0E-4)</f>
        <v>0.0009</v>
      </c>
    </row>
    <row r="4145">
      <c r="A4145" s="131">
        <f>IFERROR(__xludf.DUMMYFUNCTION("""COMPUTED_VALUE"""),46187.466770833336)</f>
        <v>46187.46677</v>
      </c>
      <c r="B4145" s="126">
        <f>IFERROR(__xludf.DUMMYFUNCTION("""COMPUTED_VALUE"""),46187.0)</f>
        <v>46187</v>
      </c>
      <c r="C4145" s="122" t="str">
        <f>IFERROR(__xludf.DUMMYFUNCTION("""COMPUTED_VALUE"""),"BIKE")</f>
        <v>BIKE</v>
      </c>
      <c r="D4145" s="122" t="str">
        <f>IFERROR(__xludf.DUMMYFUNCTION("""COMPUTED_VALUE"""),"BikeBox")</f>
        <v>BikeBox</v>
      </c>
      <c r="E4145" s="122">
        <f>IFERROR(__xludf.DUMMYFUNCTION("""COMPUTED_VALUE"""),52.88)</f>
        <v>52.88</v>
      </c>
      <c r="F4145" s="122">
        <f>IFERROR(__xludf.DUMMYFUNCTION("""COMPUTED_VALUE"""),9.0E-4)</f>
        <v>0.0009</v>
      </c>
    </row>
    <row r="4146">
      <c r="A4146" s="131">
        <f>IFERROR(__xludf.DUMMYFUNCTION("""COMPUTED_VALUE"""),46187.466770833336)</f>
        <v>46187.46677</v>
      </c>
      <c r="B4146" s="126">
        <f>IFERROR(__xludf.DUMMYFUNCTION("""COMPUTED_VALUE"""),46187.0)</f>
        <v>46187</v>
      </c>
      <c r="C4146" s="122" t="str">
        <f>IFERROR(__xludf.DUMMYFUNCTION("""COMPUTED_VALUE"""),"WASH")</f>
        <v>WASH</v>
      </c>
      <c r="D4146" s="122" t="str">
        <f>IFERROR(__xludf.DUMMYFUNCTION("""COMPUTED_VALUE"""),"CarWash Co")</f>
        <v>CarWash Co</v>
      </c>
      <c r="E4146" s="122">
        <f>IFERROR(__xludf.DUMMYFUNCTION("""COMPUTED_VALUE"""),119.66)</f>
        <v>119.66</v>
      </c>
      <c r="F4146" s="122">
        <f>IFERROR(__xludf.DUMMYFUNCTION("""COMPUTED_VALUE"""),-0.0013)</f>
        <v>-0.0013</v>
      </c>
    </row>
    <row r="4147">
      <c r="A4147" s="131">
        <f>IFERROR(__xludf.DUMMYFUNCTION("""COMPUTED_VALUE"""),46187.466770833336)</f>
        <v>46187.46677</v>
      </c>
      <c r="B4147" s="126">
        <f>IFERROR(__xludf.DUMMYFUNCTION("""COMPUTED_VALUE"""),46187.0)</f>
        <v>46187</v>
      </c>
      <c r="C4147" s="122" t="str">
        <f>IFERROR(__xludf.DUMMYFUNCTION("""COMPUTED_VALUE"""),"GBND")</f>
        <v>GBND</v>
      </c>
      <c r="D4147" s="122" t="str">
        <f>IFERROR(__xludf.DUMMYFUNCTION("""COMPUTED_VALUE"""),"Classroom Government Bond")</f>
        <v>Classroom Government Bond</v>
      </c>
      <c r="E4147" s="122">
        <f>IFERROR(__xludf.DUMMYFUNCTION("""COMPUTED_VALUE"""),100.95)</f>
        <v>100.95</v>
      </c>
      <c r="F4147" s="122">
        <f>IFERROR(__xludf.DUMMYFUNCTION("""COMPUTED_VALUE"""),-5.0E-4)</f>
        <v>-0.0005</v>
      </c>
    </row>
    <row r="4148">
      <c r="A4148" s="131">
        <f>IFERROR(__xludf.DUMMYFUNCTION("""COMPUTED_VALUE"""),46187.466770833336)</f>
        <v>46187.46677</v>
      </c>
      <c r="B4148" s="126">
        <f>IFERROR(__xludf.DUMMYFUNCTION("""COMPUTED_VALUE"""),46187.0)</f>
        <v>46187</v>
      </c>
      <c r="C4148" s="122" t="str">
        <f>IFERROR(__xludf.DUMMYFUNCTION("""COMPUTED_VALUE"""),"SBND")</f>
        <v>SBND</v>
      </c>
      <c r="D4148" s="122" t="str">
        <f>IFERROR(__xludf.DUMMYFUNCTION("""COMPUTED_VALUE"""),"School Savings Bond")</f>
        <v>School Savings Bond</v>
      </c>
      <c r="E4148" s="122">
        <f>IFERROR(__xludf.DUMMYFUNCTION("""COMPUTED_VALUE"""),99.55)</f>
        <v>99.55</v>
      </c>
      <c r="F4148" s="122">
        <f>IFERROR(__xludf.DUMMYFUNCTION("""COMPUTED_VALUE"""),2.0E-4)</f>
        <v>0.0002</v>
      </c>
    </row>
    <row r="4149">
      <c r="A4149" s="131">
        <f>IFERROR(__xludf.DUMMYFUNCTION("""COMPUTED_VALUE"""),46187.466770833336)</f>
        <v>46187.46677</v>
      </c>
      <c r="B4149" s="126">
        <f>IFERROR(__xludf.DUMMYFUNCTION("""COMPUTED_VALUE"""),46187.0)</f>
        <v>46187</v>
      </c>
      <c r="C4149" s="122" t="str">
        <f>IFERROR(__xludf.DUMMYFUNCTION("""COMPUTED_VALUE"""),"CBND")</f>
        <v>CBND</v>
      </c>
      <c r="D4149" s="122" t="str">
        <f>IFERROR(__xludf.DUMMYFUNCTION("""COMPUTED_VALUE"""),"Corporate Classroom Bond")</f>
        <v>Corporate Classroom Bond</v>
      </c>
      <c r="E4149" s="122">
        <f>IFERROR(__xludf.DUMMYFUNCTION("""COMPUTED_VALUE"""),97.74)</f>
        <v>97.74</v>
      </c>
      <c r="F4149" s="122">
        <f>IFERROR(__xludf.DUMMYFUNCTION("""COMPUTED_VALUE"""),-2.0E-4)</f>
        <v>-0.0002</v>
      </c>
    </row>
    <row r="4150">
      <c r="A4150" s="131">
        <f>IFERROR(__xludf.DUMMYFUNCTION("""COMPUTED_VALUE"""),46187.466770833336)</f>
        <v>46187.46677</v>
      </c>
      <c r="B4150" s="126">
        <f>IFERROR(__xludf.DUMMYFUNCTION("""COMPUTED_VALUE"""),46187.0)</f>
        <v>46187</v>
      </c>
      <c r="C4150" s="122" t="str">
        <f>IFERROR(__xludf.DUMMYFUNCTION("""COMPUTED_VALUE"""),"TBIL")</f>
        <v>TBIL</v>
      </c>
      <c r="D4150" s="122" t="str">
        <f>IFERROR(__xludf.DUMMYFUNCTION("""COMPUTED_VALUE"""),"Treasury Bill")</f>
        <v>Treasury Bill</v>
      </c>
      <c r="E4150" s="122">
        <f>IFERROR(__xludf.DUMMYFUNCTION("""COMPUTED_VALUE"""),98.06)</f>
        <v>98.06</v>
      </c>
      <c r="F4150" s="122">
        <f>IFERROR(__xludf.DUMMYFUNCTION("""COMPUTED_VALUE"""),5.0E-4)</f>
        <v>0.0005</v>
      </c>
    </row>
    <row r="4151">
      <c r="A4151" s="131">
        <f>IFERROR(__xludf.DUMMYFUNCTION("""COMPUTED_VALUE"""),46187.466770833336)</f>
        <v>46187.46677</v>
      </c>
      <c r="B4151" s="126">
        <f>IFERROR(__xludf.DUMMYFUNCTION("""COMPUTED_VALUE"""),46187.0)</f>
        <v>46187</v>
      </c>
      <c r="C4151" s="122" t="str">
        <f>IFERROR(__xludf.DUMMYFUNCTION("""COMPUTED_VALUE"""),"IBND")</f>
        <v>IBND</v>
      </c>
      <c r="D4151" s="122" t="str">
        <f>IFERROR(__xludf.DUMMYFUNCTION("""COMPUTED_VALUE"""),"Inflation Protected Bond")</f>
        <v>Inflation Protected Bond</v>
      </c>
      <c r="E4151" s="122">
        <f>IFERROR(__xludf.DUMMYFUNCTION("""COMPUTED_VALUE"""),100.7)</f>
        <v>100.7</v>
      </c>
      <c r="F4151" s="122">
        <f>IFERROR(__xludf.DUMMYFUNCTION("""COMPUTED_VALUE"""),0.0)</f>
        <v>0</v>
      </c>
    </row>
    <row r="4152">
      <c r="A4152" s="131">
        <f>IFERROR(__xludf.DUMMYFUNCTION("""COMPUTED_VALUE"""),46187.4702662037)</f>
        <v>46187.47027</v>
      </c>
      <c r="B4152" s="126">
        <f>IFERROR(__xludf.DUMMYFUNCTION("""COMPUTED_VALUE"""),46187.0)</f>
        <v>46187</v>
      </c>
      <c r="C4152" s="122" t="str">
        <f>IFERROR(__xludf.DUMMYFUNCTION("""COMPUTED_VALUE"""),"SNAX")</f>
        <v>SNAX</v>
      </c>
      <c r="D4152" s="122" t="str">
        <f>IFERROR(__xludf.DUMMYFUNCTION("""COMPUTED_VALUE"""),"MICA Snacks")</f>
        <v>MICA Snacks</v>
      </c>
      <c r="E4152" s="122">
        <f>IFERROR(__xludf.DUMMYFUNCTION("""COMPUTED_VALUE"""),120.82)</f>
        <v>120.82</v>
      </c>
      <c r="F4152" s="122">
        <f>IFERROR(__xludf.DUMMYFUNCTION("""COMPUTED_VALUE"""),-0.0012)</f>
        <v>-0.0012</v>
      </c>
    </row>
    <row r="4153">
      <c r="A4153" s="131">
        <f>IFERROR(__xludf.DUMMYFUNCTION("""COMPUTED_VALUE"""),46187.4702662037)</f>
        <v>46187.47027</v>
      </c>
      <c r="B4153" s="126">
        <f>IFERROR(__xludf.DUMMYFUNCTION("""COMPUTED_VALUE"""),46187.0)</f>
        <v>46187</v>
      </c>
      <c r="C4153" s="122" t="str">
        <f>IFERROR(__xludf.DUMMYFUNCTION("""COMPUTED_VALUE"""),"RAMN")</f>
        <v>RAMN</v>
      </c>
      <c r="D4153" s="122" t="str">
        <f>IFERROR(__xludf.DUMMYFUNCTION("""COMPUTED_VALUE"""),"Ramen Republic")</f>
        <v>Ramen Republic</v>
      </c>
      <c r="E4153" s="122">
        <f>IFERROR(__xludf.DUMMYFUNCTION("""COMPUTED_VALUE"""),70.74)</f>
        <v>70.74</v>
      </c>
      <c r="F4153" s="122">
        <f>IFERROR(__xludf.DUMMYFUNCTION("""COMPUTED_VALUE"""),-0.0027)</f>
        <v>-0.0027</v>
      </c>
    </row>
    <row r="4154">
      <c r="A4154" s="131">
        <f>IFERROR(__xludf.DUMMYFUNCTION("""COMPUTED_VALUE"""),46187.4702662037)</f>
        <v>46187.47027</v>
      </c>
      <c r="B4154" s="126">
        <f>IFERROR(__xludf.DUMMYFUNCTION("""COMPUTED_VALUE"""),46187.0)</f>
        <v>46187</v>
      </c>
      <c r="C4154" s="122" t="str">
        <f>IFERROR(__xludf.DUMMYFUNCTION("""COMPUTED_VALUE"""),"COLA")</f>
        <v>COLA</v>
      </c>
      <c r="D4154" s="122" t="str">
        <f>IFERROR(__xludf.DUMMYFUNCTION("""COMPUTED_VALUE"""),"K-Pop Cola")</f>
        <v>K-Pop Cola</v>
      </c>
      <c r="E4154" s="122">
        <f>IFERROR(__xludf.DUMMYFUNCTION("""COMPUTED_VALUE"""),110.13)</f>
        <v>110.13</v>
      </c>
      <c r="F4154" s="122">
        <f>IFERROR(__xludf.DUMMYFUNCTION("""COMPUTED_VALUE"""),-4.0E-4)</f>
        <v>-0.0004</v>
      </c>
    </row>
    <row r="4155">
      <c r="A4155" s="131">
        <f>IFERROR(__xludf.DUMMYFUNCTION("""COMPUTED_VALUE"""),46187.4702662037)</f>
        <v>46187.47027</v>
      </c>
      <c r="B4155" s="126">
        <f>IFERROR(__xludf.DUMMYFUNCTION("""COMPUTED_VALUE"""),46187.0)</f>
        <v>46187</v>
      </c>
      <c r="C4155" s="122" t="str">
        <f>IFERROR(__xludf.DUMMYFUNCTION("""COMPUTED_VALUE"""),"CHIP")</f>
        <v>CHIP</v>
      </c>
      <c r="D4155" s="122" t="str">
        <f>IFERROR(__xludf.DUMMYFUNCTION("""COMPUTED_VALUE"""),"Chip Empire")</f>
        <v>Chip Empire</v>
      </c>
      <c r="E4155" s="122">
        <f>IFERROR(__xludf.DUMMYFUNCTION("""COMPUTED_VALUE"""),85.81)</f>
        <v>85.81</v>
      </c>
      <c r="F4155" s="122">
        <f>IFERROR(__xludf.DUMMYFUNCTION("""COMPUTED_VALUE"""),0.0013)</f>
        <v>0.0013</v>
      </c>
    </row>
    <row r="4156">
      <c r="A4156" s="131">
        <f>IFERROR(__xludf.DUMMYFUNCTION("""COMPUTED_VALUE"""),46187.4702662037)</f>
        <v>46187.47027</v>
      </c>
      <c r="B4156" s="126">
        <f>IFERROR(__xludf.DUMMYFUNCTION("""COMPUTED_VALUE"""),46187.0)</f>
        <v>46187</v>
      </c>
      <c r="C4156" s="122" t="str">
        <f>IFERROR(__xludf.DUMMYFUNCTION("""COMPUTED_VALUE"""),"CAND")</f>
        <v>CAND</v>
      </c>
      <c r="D4156" s="122" t="str">
        <f>IFERROR(__xludf.DUMMYFUNCTION("""COMPUTED_VALUE"""),"Candy Capital")</f>
        <v>Candy Capital</v>
      </c>
      <c r="E4156" s="122">
        <f>IFERROR(__xludf.DUMMYFUNCTION("""COMPUTED_VALUE"""),76.33)</f>
        <v>76.33</v>
      </c>
      <c r="F4156" s="122">
        <f>IFERROR(__xludf.DUMMYFUNCTION("""COMPUTED_VALUE"""),-0.0053)</f>
        <v>-0.0053</v>
      </c>
    </row>
    <row r="4157">
      <c r="A4157" s="131">
        <f>IFERROR(__xludf.DUMMYFUNCTION("""COMPUTED_VALUE"""),46187.4702662037)</f>
        <v>46187.47027</v>
      </c>
      <c r="B4157" s="126">
        <f>IFERROR(__xludf.DUMMYFUNCTION("""COMPUTED_VALUE"""),46187.0)</f>
        <v>46187</v>
      </c>
      <c r="C4157" s="122" t="str">
        <f>IFERROR(__xludf.DUMMYFUNCTION("""COMPUTED_VALUE"""),"TECH")</f>
        <v>TECH</v>
      </c>
      <c r="D4157" s="122" t="str">
        <f>IFERROR(__xludf.DUMMYFUNCTION("""COMPUTED_VALUE"""),"Dragon Tech")</f>
        <v>Dragon Tech</v>
      </c>
      <c r="E4157" s="122">
        <f>IFERROR(__xludf.DUMMYFUNCTION("""COMPUTED_VALUE"""),239.96)</f>
        <v>239.96</v>
      </c>
      <c r="F4157" s="122">
        <f>IFERROR(__xludf.DUMMYFUNCTION("""COMPUTED_VALUE"""),-0.0086)</f>
        <v>-0.0086</v>
      </c>
    </row>
    <row r="4158">
      <c r="A4158" s="131">
        <f>IFERROR(__xludf.DUMMYFUNCTION("""COMPUTED_VALUE"""),46187.4702662037)</f>
        <v>46187.47027</v>
      </c>
      <c r="B4158" s="126">
        <f>IFERROR(__xludf.DUMMYFUNCTION("""COMPUTED_VALUE"""),46187.0)</f>
        <v>46187</v>
      </c>
      <c r="C4158" s="122" t="str">
        <f>IFERROR(__xludf.DUMMYFUNCTION("""COMPUTED_VALUE"""),"AIBO")</f>
        <v>AIBO</v>
      </c>
      <c r="D4158" s="122" t="str">
        <f>IFERROR(__xludf.DUMMYFUNCTION("""COMPUTED_VALUE"""),"Homework AI")</f>
        <v>Homework AI</v>
      </c>
      <c r="E4158" s="122">
        <f>IFERROR(__xludf.DUMMYFUNCTION("""COMPUTED_VALUE"""),175.96)</f>
        <v>175.96</v>
      </c>
      <c r="F4158" s="122">
        <f>IFERROR(__xludf.DUMMYFUNCTION("""COMPUTED_VALUE"""),-0.0014)</f>
        <v>-0.0014</v>
      </c>
    </row>
    <row r="4159">
      <c r="A4159" s="131">
        <f>IFERROR(__xludf.DUMMYFUNCTION("""COMPUTED_VALUE"""),46187.4702662037)</f>
        <v>46187.47027</v>
      </c>
      <c r="B4159" s="126">
        <f>IFERROR(__xludf.DUMMYFUNCTION("""COMPUTED_VALUE"""),46187.0)</f>
        <v>46187</v>
      </c>
      <c r="C4159" s="122" t="str">
        <f>IFERROR(__xludf.DUMMYFUNCTION("""COMPUTED_VALUE"""),"GAME")</f>
        <v>GAME</v>
      </c>
      <c r="D4159" s="122" t="str">
        <f>IFERROR(__xludf.DUMMYFUNCTION("""COMPUTED_VALUE"""),"GameBox Media")</f>
        <v>GameBox Media</v>
      </c>
      <c r="E4159" s="122">
        <f>IFERROR(__xludf.DUMMYFUNCTION("""COMPUTED_VALUE"""),98.32)</f>
        <v>98.32</v>
      </c>
      <c r="F4159" s="122">
        <f>IFERROR(__xludf.DUMMYFUNCTION("""COMPUTED_VALUE"""),0.0097)</f>
        <v>0.0097</v>
      </c>
    </row>
    <row r="4160">
      <c r="A4160" s="131">
        <f>IFERROR(__xludf.DUMMYFUNCTION("""COMPUTED_VALUE"""),46187.4702662037)</f>
        <v>46187.47027</v>
      </c>
      <c r="B4160" s="126">
        <f>IFERROR(__xludf.DUMMYFUNCTION("""COMPUTED_VALUE"""),46187.0)</f>
        <v>46187</v>
      </c>
      <c r="C4160" s="122" t="str">
        <f>IFERROR(__xludf.DUMMYFUNCTION("""COMPUTED_VALUE"""),"VRSE")</f>
        <v>VRSE</v>
      </c>
      <c r="D4160" s="122" t="str">
        <f>IFERROR(__xludf.DUMMYFUNCTION("""COMPUTED_VALUE"""),"VerseVR")</f>
        <v>VerseVR</v>
      </c>
      <c r="E4160" s="122">
        <f>IFERROR(__xludf.DUMMYFUNCTION("""COMPUTED_VALUE"""),148.6)</f>
        <v>148.6</v>
      </c>
      <c r="F4160" s="122">
        <f>IFERROR(__xludf.DUMMYFUNCTION("""COMPUTED_VALUE"""),-0.0034)</f>
        <v>-0.0034</v>
      </c>
    </row>
    <row r="4161">
      <c r="A4161" s="131">
        <f>IFERROR(__xludf.DUMMYFUNCTION("""COMPUTED_VALUE"""),46187.4702662037)</f>
        <v>46187.47027</v>
      </c>
      <c r="B4161" s="126">
        <f>IFERROR(__xludf.DUMMYFUNCTION("""COMPUTED_VALUE"""),46187.0)</f>
        <v>46187</v>
      </c>
      <c r="C4161" s="122" t="str">
        <f>IFERROR(__xludf.DUMMYFUNCTION("""COMPUTED_VALUE"""),"BYTE")</f>
        <v>BYTE</v>
      </c>
      <c r="D4161" s="122" t="str">
        <f>IFERROR(__xludf.DUMMYFUNCTION("""COMPUTED_VALUE"""),"ByteWorks")</f>
        <v>ByteWorks</v>
      </c>
      <c r="E4161" s="122">
        <f>IFERROR(__xludf.DUMMYFUNCTION("""COMPUTED_VALUE"""),107.74)</f>
        <v>107.74</v>
      </c>
      <c r="F4161" s="122">
        <f>IFERROR(__xludf.DUMMYFUNCTION("""COMPUTED_VALUE"""),0.0093)</f>
        <v>0.0093</v>
      </c>
    </row>
    <row r="4162">
      <c r="A4162" s="131">
        <f>IFERROR(__xludf.DUMMYFUNCTION("""COMPUTED_VALUE"""),46187.4702662037)</f>
        <v>46187.47027</v>
      </c>
      <c r="B4162" s="126">
        <f>IFERROR(__xludf.DUMMYFUNCTION("""COMPUTED_VALUE"""),46187.0)</f>
        <v>46187</v>
      </c>
      <c r="C4162" s="122" t="str">
        <f>IFERROR(__xludf.DUMMYFUNCTION("""COMPUTED_VALUE"""),"BANK")</f>
        <v>BANK</v>
      </c>
      <c r="D4162" s="122" t="str">
        <f>IFERROR(__xludf.DUMMYFUNCTION("""COMPUTED_VALUE"""),"Tiger Bank")</f>
        <v>Tiger Bank</v>
      </c>
      <c r="E4162" s="122">
        <f>IFERROR(__xludf.DUMMYFUNCTION("""COMPUTED_VALUE"""),127.93)</f>
        <v>127.93</v>
      </c>
      <c r="F4162" s="122">
        <f>IFERROR(__xludf.DUMMYFUNCTION("""COMPUTED_VALUE"""),-0.0017)</f>
        <v>-0.0017</v>
      </c>
    </row>
    <row r="4163">
      <c r="A4163" s="131">
        <f>IFERROR(__xludf.DUMMYFUNCTION("""COMPUTED_VALUE"""),46187.4702662037)</f>
        <v>46187.47027</v>
      </c>
      <c r="B4163" s="126">
        <f>IFERROR(__xludf.DUMMYFUNCTION("""COMPUTED_VALUE"""),46187.0)</f>
        <v>46187</v>
      </c>
      <c r="C4163" s="122" t="str">
        <f>IFERROR(__xludf.DUMMYFUNCTION("""COMPUTED_VALUE"""),"CRED")</f>
        <v>CRED</v>
      </c>
      <c r="D4163" s="122" t="str">
        <f>IFERROR(__xludf.DUMMYFUNCTION("""COMPUTED_VALUE"""),"Credit Castle")</f>
        <v>Credit Castle</v>
      </c>
      <c r="E4163" s="122">
        <f>IFERROR(__xludf.DUMMYFUNCTION("""COMPUTED_VALUE"""),66.16)</f>
        <v>66.16</v>
      </c>
      <c r="F4163" s="122">
        <f>IFERROR(__xludf.DUMMYFUNCTION("""COMPUTED_VALUE"""),-0.0032)</f>
        <v>-0.0032</v>
      </c>
    </row>
    <row r="4164">
      <c r="A4164" s="131">
        <f>IFERROR(__xludf.DUMMYFUNCTION("""COMPUTED_VALUE"""),46187.4702662037)</f>
        <v>46187.47027</v>
      </c>
      <c r="B4164" s="126">
        <f>IFERROR(__xludf.DUMMYFUNCTION("""COMPUTED_VALUE"""),46187.0)</f>
        <v>46187</v>
      </c>
      <c r="C4164" s="122" t="str">
        <f>IFERROR(__xludf.DUMMYFUNCTION("""COMPUTED_VALUE"""),"BOND")</f>
        <v>BOND</v>
      </c>
      <c r="D4164" s="122" t="str">
        <f>IFERROR(__xludf.DUMMYFUNCTION("""COMPUTED_VALUE"""),"BondBridge")</f>
        <v>BondBridge</v>
      </c>
      <c r="E4164" s="122">
        <f>IFERROR(__xludf.DUMMYFUNCTION("""COMPUTED_VALUE"""),99.64)</f>
        <v>99.64</v>
      </c>
      <c r="F4164" s="122">
        <f>IFERROR(__xludf.DUMMYFUNCTION("""COMPUTED_VALUE"""),0.0014)</f>
        <v>0.0014</v>
      </c>
    </row>
    <row r="4165">
      <c r="A4165" s="131">
        <f>IFERROR(__xludf.DUMMYFUNCTION("""COMPUTED_VALUE"""),46187.4702662037)</f>
        <v>46187.47027</v>
      </c>
      <c r="B4165" s="126">
        <f>IFERROR(__xludf.DUMMYFUNCTION("""COMPUTED_VALUE"""),46187.0)</f>
        <v>46187</v>
      </c>
      <c r="C4165" s="122" t="str">
        <f>IFERROR(__xludf.DUMMYFUNCTION("""COMPUTED_VALUE"""),"INSR")</f>
        <v>INSR</v>
      </c>
      <c r="D4165" s="122" t="str">
        <f>IFERROR(__xludf.DUMMYFUNCTION("""COMPUTED_VALUE"""),"Shield Insurance")</f>
        <v>Shield Insurance</v>
      </c>
      <c r="E4165" s="122">
        <f>IFERROR(__xludf.DUMMYFUNCTION("""COMPUTED_VALUE"""),160.91)</f>
        <v>160.91</v>
      </c>
      <c r="F4165" s="122">
        <f>IFERROR(__xludf.DUMMYFUNCTION("""COMPUTED_VALUE"""),0.0037)</f>
        <v>0.0037</v>
      </c>
    </row>
    <row r="4166">
      <c r="A4166" s="131">
        <f>IFERROR(__xludf.DUMMYFUNCTION("""COMPUTED_VALUE"""),46187.4702662037)</f>
        <v>46187.47027</v>
      </c>
      <c r="B4166" s="126">
        <f>IFERROR(__xludf.DUMMYFUNCTION("""COMPUTED_VALUE"""),46187.0)</f>
        <v>46187</v>
      </c>
      <c r="C4166" s="122" t="str">
        <f>IFERROR(__xludf.DUMMYFUNCTION("""COMPUTED_VALUE"""),"LOAN")</f>
        <v>LOAN</v>
      </c>
      <c r="D4166" s="122" t="str">
        <f>IFERROR(__xludf.DUMMYFUNCTION("""COMPUTED_VALUE"""),"LoanLab")</f>
        <v>LoanLab</v>
      </c>
      <c r="E4166" s="122">
        <f>IFERROR(__xludf.DUMMYFUNCTION("""COMPUTED_VALUE"""),63.51)</f>
        <v>63.51</v>
      </c>
      <c r="F4166" s="122">
        <f>IFERROR(__xludf.DUMMYFUNCTION("""COMPUTED_VALUE"""),-0.0024)</f>
        <v>-0.0024</v>
      </c>
    </row>
    <row r="4167">
      <c r="A4167" s="131">
        <f>IFERROR(__xludf.DUMMYFUNCTION("""COMPUTED_VALUE"""),46187.4702662037)</f>
        <v>46187.47027</v>
      </c>
      <c r="B4167" s="126">
        <f>IFERROR(__xludf.DUMMYFUNCTION("""COMPUTED_VALUE"""),46187.0)</f>
        <v>46187</v>
      </c>
      <c r="C4167" s="122" t="str">
        <f>IFERROR(__xludf.DUMMYFUNCTION("""COMPUTED_VALUE"""),"LUXE")</f>
        <v>LUXE</v>
      </c>
      <c r="D4167" s="122" t="str">
        <f>IFERROR(__xludf.DUMMYFUNCTION("""COMPUTED_VALUE"""),"Luxury Locker")</f>
        <v>Luxury Locker</v>
      </c>
      <c r="E4167" s="122">
        <f>IFERROR(__xludf.DUMMYFUNCTION("""COMPUTED_VALUE"""),261.46)</f>
        <v>261.46</v>
      </c>
      <c r="F4167" s="122">
        <f>IFERROR(__xludf.DUMMYFUNCTION("""COMPUTED_VALUE"""),0.0014)</f>
        <v>0.0014</v>
      </c>
    </row>
    <row r="4168">
      <c r="A4168" s="131">
        <f>IFERROR(__xludf.DUMMYFUNCTION("""COMPUTED_VALUE"""),46187.4702662037)</f>
        <v>46187.47027</v>
      </c>
      <c r="B4168" s="126">
        <f>IFERROR(__xludf.DUMMYFUNCTION("""COMPUTED_VALUE"""),46187.0)</f>
        <v>46187</v>
      </c>
      <c r="C4168" s="122" t="str">
        <f>IFERROR(__xludf.DUMMYFUNCTION("""COMPUTED_VALUE"""),"DRIP")</f>
        <v>DRIP</v>
      </c>
      <c r="D4168" s="122" t="str">
        <f>IFERROR(__xludf.DUMMYFUNCTION("""COMPUTED_VALUE"""),"Drip Streetwear")</f>
        <v>Drip Streetwear</v>
      </c>
      <c r="E4168" s="122">
        <f>IFERROR(__xludf.DUMMYFUNCTION("""COMPUTED_VALUE"""),196.3)</f>
        <v>196.3</v>
      </c>
      <c r="F4168" s="122">
        <f>IFERROR(__xludf.DUMMYFUNCTION("""COMPUTED_VALUE"""),0.0069)</f>
        <v>0.0069</v>
      </c>
    </row>
    <row r="4169">
      <c r="A4169" s="131">
        <f>IFERROR(__xludf.DUMMYFUNCTION("""COMPUTED_VALUE"""),46187.4702662037)</f>
        <v>46187.47027</v>
      </c>
      <c r="B4169" s="126">
        <f>IFERROR(__xludf.DUMMYFUNCTION("""COMPUTED_VALUE"""),46187.0)</f>
        <v>46187</v>
      </c>
      <c r="C4169" s="122" t="str">
        <f>IFERROR(__xludf.DUMMYFUNCTION("""COMPUTED_VALUE"""),"KICK")</f>
        <v>KICK</v>
      </c>
      <c r="D4169" s="122" t="str">
        <f>IFERROR(__xludf.DUMMYFUNCTION("""COMPUTED_VALUE"""),"KickDrop Sneakers")</f>
        <v>KickDrop Sneakers</v>
      </c>
      <c r="E4169" s="122">
        <f>IFERROR(__xludf.DUMMYFUNCTION("""COMPUTED_VALUE"""),173.18)</f>
        <v>173.18</v>
      </c>
      <c r="F4169" s="122">
        <f>IFERROR(__xludf.DUMMYFUNCTION("""COMPUTED_VALUE"""),-0.0062)</f>
        <v>-0.0062</v>
      </c>
    </row>
    <row r="4170">
      <c r="A4170" s="131">
        <f>IFERROR(__xludf.DUMMYFUNCTION("""COMPUTED_VALUE"""),46187.4702662037)</f>
        <v>46187.47027</v>
      </c>
      <c r="B4170" s="126">
        <f>IFERROR(__xludf.DUMMYFUNCTION("""COMPUTED_VALUE"""),46187.0)</f>
        <v>46187</v>
      </c>
      <c r="C4170" s="122" t="str">
        <f>IFERROR(__xludf.DUMMYFUNCTION("""COMPUTED_VALUE"""),"GLAM")</f>
        <v>GLAM</v>
      </c>
      <c r="D4170" s="122" t="str">
        <f>IFERROR(__xludf.DUMMYFUNCTION("""COMPUTED_VALUE"""),"Glow Cosmetics")</f>
        <v>Glow Cosmetics</v>
      </c>
      <c r="E4170" s="122">
        <f>IFERROR(__xludf.DUMMYFUNCTION("""COMPUTED_VALUE"""),103.24)</f>
        <v>103.24</v>
      </c>
      <c r="F4170" s="122">
        <f>IFERROR(__xludf.DUMMYFUNCTION("""COMPUTED_VALUE"""),0.0039)</f>
        <v>0.0039</v>
      </c>
    </row>
    <row r="4171">
      <c r="A4171" s="131">
        <f>IFERROR(__xludf.DUMMYFUNCTION("""COMPUTED_VALUE"""),46187.4702662037)</f>
        <v>46187.47027</v>
      </c>
      <c r="B4171" s="126">
        <f>IFERROR(__xludf.DUMMYFUNCTION("""COMPUTED_VALUE"""),46187.0)</f>
        <v>46187</v>
      </c>
      <c r="C4171" s="122" t="str">
        <f>IFERROR(__xludf.DUMMYFUNCTION("""COMPUTED_VALUE"""),"BAGG")</f>
        <v>BAGG</v>
      </c>
      <c r="D4171" s="122" t="str">
        <f>IFERROR(__xludf.DUMMYFUNCTION("""COMPUTED_VALUE"""),"BagVault")</f>
        <v>BagVault</v>
      </c>
      <c r="E4171" s="122">
        <f>IFERROR(__xludf.DUMMYFUNCTION("""COMPUTED_VALUE"""),251.33)</f>
        <v>251.33</v>
      </c>
      <c r="F4171" s="122">
        <f>IFERROR(__xludf.DUMMYFUNCTION("""COMPUTED_VALUE"""),-8.0E-4)</f>
        <v>-0.0008</v>
      </c>
    </row>
    <row r="4172">
      <c r="A4172" s="131">
        <f>IFERROR(__xludf.DUMMYFUNCTION("""COMPUTED_VALUE"""),46187.4702662037)</f>
        <v>46187.47027</v>
      </c>
      <c r="B4172" s="126">
        <f>IFERROR(__xludf.DUMMYFUNCTION("""COMPUTED_VALUE"""),46187.0)</f>
        <v>46187</v>
      </c>
      <c r="C4172" s="122" t="str">
        <f>IFERROR(__xludf.DUMMYFUNCTION("""COMPUTED_VALUE"""),"FAST")</f>
        <v>FAST</v>
      </c>
      <c r="D4172" s="122" t="str">
        <f>IFERROR(__xludf.DUMMYFUNCTION("""COMPUTED_VALUE"""),"Flash Logistics")</f>
        <v>Flash Logistics</v>
      </c>
      <c r="E4172" s="122">
        <f>IFERROR(__xludf.DUMMYFUNCTION("""COMPUTED_VALUE"""),103.82)</f>
        <v>103.82</v>
      </c>
      <c r="F4172" s="122">
        <f>IFERROR(__xludf.DUMMYFUNCTION("""COMPUTED_VALUE"""),0.0044)</f>
        <v>0.0044</v>
      </c>
    </row>
    <row r="4173">
      <c r="A4173" s="131">
        <f>IFERROR(__xludf.DUMMYFUNCTION("""COMPUTED_VALUE"""),46187.4702662037)</f>
        <v>46187.47027</v>
      </c>
      <c r="B4173" s="126">
        <f>IFERROR(__xludf.DUMMYFUNCTION("""COMPUTED_VALUE"""),46187.0)</f>
        <v>46187</v>
      </c>
      <c r="C4173" s="122" t="str">
        <f>IFERROR(__xludf.DUMMYFUNCTION("""COMPUTED_VALUE"""),"SHIP")</f>
        <v>SHIP</v>
      </c>
      <c r="D4173" s="122" t="str">
        <f>IFERROR(__xludf.DUMMYFUNCTION("""COMPUTED_VALUE"""),"Seoul Shipping")</f>
        <v>Seoul Shipping</v>
      </c>
      <c r="E4173" s="122">
        <f>IFERROR(__xludf.DUMMYFUNCTION("""COMPUTED_VALUE"""),123.05)</f>
        <v>123.05</v>
      </c>
      <c r="F4173" s="122">
        <f>IFERROR(__xludf.DUMMYFUNCTION("""COMPUTED_VALUE"""),0.0047)</f>
        <v>0.0047</v>
      </c>
    </row>
    <row r="4174">
      <c r="A4174" s="131">
        <f>IFERROR(__xludf.DUMMYFUNCTION("""COMPUTED_VALUE"""),46187.4702662037)</f>
        <v>46187.47027</v>
      </c>
      <c r="B4174" s="126">
        <f>IFERROR(__xludf.DUMMYFUNCTION("""COMPUTED_VALUE"""),46187.0)</f>
        <v>46187</v>
      </c>
      <c r="C4174" s="122" t="str">
        <f>IFERROR(__xludf.DUMMYFUNCTION("""COMPUTED_VALUE"""),"DRON")</f>
        <v>DRON</v>
      </c>
      <c r="D4174" s="122" t="str">
        <f>IFERROR(__xludf.DUMMYFUNCTION("""COMPUTED_VALUE"""),"DroneDrop")</f>
        <v>DroneDrop</v>
      </c>
      <c r="E4174" s="122">
        <f>IFERROR(__xludf.DUMMYFUNCTION("""COMPUTED_VALUE"""),131.23)</f>
        <v>131.23</v>
      </c>
      <c r="F4174" s="122">
        <f>IFERROR(__xludf.DUMMYFUNCTION("""COMPUTED_VALUE"""),-0.0042)</f>
        <v>-0.0042</v>
      </c>
    </row>
    <row r="4175">
      <c r="A4175" s="131">
        <f>IFERROR(__xludf.DUMMYFUNCTION("""COMPUTED_VALUE"""),46187.4702662037)</f>
        <v>46187.47027</v>
      </c>
      <c r="B4175" s="126">
        <f>IFERROR(__xludf.DUMMYFUNCTION("""COMPUTED_VALUE"""),46187.0)</f>
        <v>46187</v>
      </c>
      <c r="C4175" s="122" t="str">
        <f>IFERROR(__xludf.DUMMYFUNCTION("""COMPUTED_VALUE"""),"RIDE")</f>
        <v>RIDE</v>
      </c>
      <c r="D4175" s="122" t="str">
        <f>IFERROR(__xludf.DUMMYFUNCTION("""COMPUTED_VALUE"""),"QuickRide")</f>
        <v>QuickRide</v>
      </c>
      <c r="E4175" s="122">
        <f>IFERROR(__xludf.DUMMYFUNCTION("""COMPUTED_VALUE"""),95.13)</f>
        <v>95.13</v>
      </c>
      <c r="F4175" s="122">
        <f>IFERROR(__xludf.DUMMYFUNCTION("""COMPUTED_VALUE"""),-0.0071)</f>
        <v>-0.0071</v>
      </c>
    </row>
    <row r="4176">
      <c r="A4176" s="131">
        <f>IFERROR(__xludf.DUMMYFUNCTION("""COMPUTED_VALUE"""),46187.4702662037)</f>
        <v>46187.47027</v>
      </c>
      <c r="B4176" s="126">
        <f>IFERROR(__xludf.DUMMYFUNCTION("""COMPUTED_VALUE"""),46187.0)</f>
        <v>46187</v>
      </c>
      <c r="C4176" s="122" t="str">
        <f>IFERROR(__xludf.DUMMYFUNCTION("""COMPUTED_VALUE"""),"RAIL")</f>
        <v>RAIL</v>
      </c>
      <c r="D4176" s="122" t="str">
        <f>IFERROR(__xludf.DUMMYFUNCTION("""COMPUTED_VALUE"""),"MetroRail Corp")</f>
        <v>MetroRail Corp</v>
      </c>
      <c r="E4176" s="122">
        <f>IFERROR(__xludf.DUMMYFUNCTION("""COMPUTED_VALUE"""),134.2)</f>
        <v>134.2</v>
      </c>
      <c r="F4176" s="122">
        <f>IFERROR(__xludf.DUMMYFUNCTION("""COMPUTED_VALUE"""),0.0022)</f>
        <v>0.0022</v>
      </c>
    </row>
    <row r="4177">
      <c r="A4177" s="131">
        <f>IFERROR(__xludf.DUMMYFUNCTION("""COMPUTED_VALUE"""),46187.4702662037)</f>
        <v>46187.47027</v>
      </c>
      <c r="B4177" s="126">
        <f>IFERROR(__xludf.DUMMYFUNCTION("""COMPUTED_VALUE"""),46187.0)</f>
        <v>46187</v>
      </c>
      <c r="C4177" s="122" t="str">
        <f>IFERROR(__xludf.DUMMYFUNCTION("""COMPUTED_VALUE"""),"MEDX")</f>
        <v>MEDX</v>
      </c>
      <c r="D4177" s="122" t="str">
        <f>IFERROR(__xludf.DUMMYFUNCTION("""COMPUTED_VALUE"""),"MediCore")</f>
        <v>MediCore</v>
      </c>
      <c r="E4177" s="122">
        <f>IFERROR(__xludf.DUMMYFUNCTION("""COMPUTED_VALUE"""),138.86)</f>
        <v>138.86</v>
      </c>
      <c r="F4177" s="122">
        <f>IFERROR(__xludf.DUMMYFUNCTION("""COMPUTED_VALUE"""),6.0E-4)</f>
        <v>0.0006</v>
      </c>
    </row>
    <row r="4178">
      <c r="A4178" s="131">
        <f>IFERROR(__xludf.DUMMYFUNCTION("""COMPUTED_VALUE"""),46187.4702662037)</f>
        <v>46187.47027</v>
      </c>
      <c r="B4178" s="126">
        <f>IFERROR(__xludf.DUMMYFUNCTION("""COMPUTED_VALUE"""),46187.0)</f>
        <v>46187</v>
      </c>
      <c r="C4178" s="122" t="str">
        <f>IFERROR(__xludf.DUMMYFUNCTION("""COMPUTED_VALUE"""),"GYMX")</f>
        <v>GYMX</v>
      </c>
      <c r="D4178" s="122" t="str">
        <f>IFERROR(__xludf.DUMMYFUNCTION("""COMPUTED_VALUE"""),"GymX Fitness")</f>
        <v>GymX Fitness</v>
      </c>
      <c r="E4178" s="122">
        <f>IFERROR(__xludf.DUMMYFUNCTION("""COMPUTED_VALUE"""),86.81)</f>
        <v>86.81</v>
      </c>
      <c r="F4178" s="122">
        <f>IFERROR(__xludf.DUMMYFUNCTION("""COMPUTED_VALUE"""),0.0013)</f>
        <v>0.0013</v>
      </c>
    </row>
    <row r="4179">
      <c r="A4179" s="131">
        <f>IFERROR(__xludf.DUMMYFUNCTION("""COMPUTED_VALUE"""),46187.4702662037)</f>
        <v>46187.47027</v>
      </c>
      <c r="B4179" s="126">
        <f>IFERROR(__xludf.DUMMYFUNCTION("""COMPUTED_VALUE"""),46187.0)</f>
        <v>46187</v>
      </c>
      <c r="C4179" s="122" t="str">
        <f>IFERROR(__xludf.DUMMYFUNCTION("""COMPUTED_VALUE"""),"VITA")</f>
        <v>VITA</v>
      </c>
      <c r="D4179" s="122" t="str">
        <f>IFERROR(__xludf.DUMMYFUNCTION("""COMPUTED_VALUE"""),"VitaPlus")</f>
        <v>VitaPlus</v>
      </c>
      <c r="E4179" s="122">
        <f>IFERROR(__xludf.DUMMYFUNCTION("""COMPUTED_VALUE"""),73.53)</f>
        <v>73.53</v>
      </c>
      <c r="F4179" s="122">
        <f>IFERROR(__xludf.DUMMYFUNCTION("""COMPUTED_VALUE"""),-0.0042)</f>
        <v>-0.0042</v>
      </c>
    </row>
    <row r="4180">
      <c r="A4180" s="131">
        <f>IFERROR(__xludf.DUMMYFUNCTION("""COMPUTED_VALUE"""),46187.4702662037)</f>
        <v>46187.47027</v>
      </c>
      <c r="B4180" s="126">
        <f>IFERROR(__xludf.DUMMYFUNCTION("""COMPUTED_VALUE"""),46187.0)</f>
        <v>46187</v>
      </c>
      <c r="C4180" s="122" t="str">
        <f>IFERROR(__xludf.DUMMYFUNCTION("""COMPUTED_VALUE"""),"CARE")</f>
        <v>CARE</v>
      </c>
      <c r="D4180" s="122" t="str">
        <f>IFERROR(__xludf.DUMMYFUNCTION("""COMPUTED_VALUE"""),"CareCloud")</f>
        <v>CareCloud</v>
      </c>
      <c r="E4180" s="122">
        <f>IFERROR(__xludf.DUMMYFUNCTION("""COMPUTED_VALUE"""),178.79)</f>
        <v>178.79</v>
      </c>
      <c r="F4180" s="122">
        <f>IFERROR(__xludf.DUMMYFUNCTION("""COMPUTED_VALUE"""),0.0012)</f>
        <v>0.0012</v>
      </c>
    </row>
    <row r="4181">
      <c r="A4181" s="131">
        <f>IFERROR(__xludf.DUMMYFUNCTION("""COMPUTED_VALUE"""),46187.4702662037)</f>
        <v>46187.47027</v>
      </c>
      <c r="B4181" s="126">
        <f>IFERROR(__xludf.DUMMYFUNCTION("""COMPUTED_VALUE"""),46187.0)</f>
        <v>46187</v>
      </c>
      <c r="C4181" s="122" t="str">
        <f>IFERROR(__xludf.DUMMYFUNCTION("""COMPUTED_VALUE"""),"DENT")</f>
        <v>DENT</v>
      </c>
      <c r="D4181" s="122" t="str">
        <f>IFERROR(__xludf.DUMMYFUNCTION("""COMPUTED_VALUE"""),"SmileWorks")</f>
        <v>SmileWorks</v>
      </c>
      <c r="E4181" s="122">
        <f>IFERROR(__xludf.DUMMYFUNCTION("""COMPUTED_VALUE"""),86.34)</f>
        <v>86.34</v>
      </c>
      <c r="F4181" s="122">
        <f>IFERROR(__xludf.DUMMYFUNCTION("""COMPUTED_VALUE"""),-0.0015)</f>
        <v>-0.0015</v>
      </c>
    </row>
    <row r="4182">
      <c r="A4182" s="131">
        <f>IFERROR(__xludf.DUMMYFUNCTION("""COMPUTED_VALUE"""),46187.4702662037)</f>
        <v>46187.47027</v>
      </c>
      <c r="B4182" s="126">
        <f>IFERROR(__xludf.DUMMYFUNCTION("""COMPUTED_VALUE"""),46187.0)</f>
        <v>46187</v>
      </c>
      <c r="C4182" s="122" t="str">
        <f>IFERROR(__xludf.DUMMYFUNCTION("""COMPUTED_VALUE"""),"EDUX")</f>
        <v>EDUX</v>
      </c>
      <c r="D4182" s="122" t="str">
        <f>IFERROR(__xludf.DUMMYFUNCTION("""COMPUTED_VALUE"""),"EduMax Learning")</f>
        <v>EduMax Learning</v>
      </c>
      <c r="E4182" s="122">
        <f>IFERROR(__xludf.DUMMYFUNCTION("""COMPUTED_VALUE"""),138.03)</f>
        <v>138.03</v>
      </c>
      <c r="F4182" s="122">
        <f>IFERROR(__xludf.DUMMYFUNCTION("""COMPUTED_VALUE"""),0.0072)</f>
        <v>0.0072</v>
      </c>
    </row>
    <row r="4183">
      <c r="A4183" s="131">
        <f>IFERROR(__xludf.DUMMYFUNCTION("""COMPUTED_VALUE"""),46187.4702662037)</f>
        <v>46187.47027</v>
      </c>
      <c r="B4183" s="126">
        <f>IFERROR(__xludf.DUMMYFUNCTION("""COMPUTED_VALUE"""),46187.0)</f>
        <v>46187</v>
      </c>
      <c r="C4183" s="122" t="str">
        <f>IFERROR(__xludf.DUMMYFUNCTION("""COMPUTED_VALUE"""),"BOOK")</f>
        <v>BOOK</v>
      </c>
      <c r="D4183" s="122" t="str">
        <f>IFERROR(__xludf.DUMMYFUNCTION("""COMPUTED_VALUE"""),"BookBridge")</f>
        <v>BookBridge</v>
      </c>
      <c r="E4183" s="122">
        <f>IFERROR(__xludf.DUMMYFUNCTION("""COMPUTED_VALUE"""),116.93)</f>
        <v>116.93</v>
      </c>
      <c r="F4183" s="122">
        <f>IFERROR(__xludf.DUMMYFUNCTION("""COMPUTED_VALUE"""),0.0035)</f>
        <v>0.0035</v>
      </c>
    </row>
    <row r="4184">
      <c r="A4184" s="131">
        <f>IFERROR(__xludf.DUMMYFUNCTION("""COMPUTED_VALUE"""),46187.4702662037)</f>
        <v>46187.47027</v>
      </c>
      <c r="B4184" s="126">
        <f>IFERROR(__xludf.DUMMYFUNCTION("""COMPUTED_VALUE"""),46187.0)</f>
        <v>46187</v>
      </c>
      <c r="C4184" s="122" t="str">
        <f>IFERROR(__xludf.DUMMYFUNCTION("""COMPUTED_VALUE"""),"TUTR")</f>
        <v>TUTR</v>
      </c>
      <c r="D4184" s="122" t="str">
        <f>IFERROR(__xludf.DUMMYFUNCTION("""COMPUTED_VALUE"""),"TutorTown")</f>
        <v>TutorTown</v>
      </c>
      <c r="E4184" s="122">
        <f>IFERROR(__xludf.DUMMYFUNCTION("""COMPUTED_VALUE"""),90.14)</f>
        <v>90.14</v>
      </c>
      <c r="F4184" s="122">
        <f>IFERROR(__xludf.DUMMYFUNCTION("""COMPUTED_VALUE"""),0.0018)</f>
        <v>0.0018</v>
      </c>
    </row>
    <row r="4185">
      <c r="A4185" s="131">
        <f>IFERROR(__xludf.DUMMYFUNCTION("""COMPUTED_VALUE"""),46187.4702662037)</f>
        <v>46187.47027</v>
      </c>
      <c r="B4185" s="126">
        <f>IFERROR(__xludf.DUMMYFUNCTION("""COMPUTED_VALUE"""),46187.0)</f>
        <v>46187</v>
      </c>
      <c r="C4185" s="122" t="str">
        <f>IFERROR(__xludf.DUMMYFUNCTION("""COMPUTED_VALUE"""),"LANG")</f>
        <v>LANG</v>
      </c>
      <c r="D4185" s="122" t="str">
        <f>IFERROR(__xludf.DUMMYFUNCTION("""COMPUTED_VALUE"""),"LinguaLab")</f>
        <v>LinguaLab</v>
      </c>
      <c r="E4185" s="122">
        <f>IFERROR(__xludf.DUMMYFUNCTION("""COMPUTED_VALUE"""),98.02)</f>
        <v>98.02</v>
      </c>
      <c r="F4185" s="122">
        <f>IFERROR(__xludf.DUMMYFUNCTION("""COMPUTED_VALUE"""),0.0048)</f>
        <v>0.0048</v>
      </c>
    </row>
    <row r="4186">
      <c r="A4186" s="131">
        <f>IFERROR(__xludf.DUMMYFUNCTION("""COMPUTED_VALUE"""),46187.4702662037)</f>
        <v>46187.47027</v>
      </c>
      <c r="B4186" s="126">
        <f>IFERROR(__xludf.DUMMYFUNCTION("""COMPUTED_VALUE"""),46187.0)</f>
        <v>46187</v>
      </c>
      <c r="C4186" s="122" t="str">
        <f>IFERROR(__xludf.DUMMYFUNCTION("""COMPUTED_VALUE"""),"TEST")</f>
        <v>TEST</v>
      </c>
      <c r="D4186" s="122" t="str">
        <f>IFERROR(__xludf.DUMMYFUNCTION("""COMPUTED_VALUE"""),"TestPrep Pro")</f>
        <v>TestPrep Pro</v>
      </c>
      <c r="E4186" s="122">
        <f>IFERROR(__xludf.DUMMYFUNCTION("""COMPUTED_VALUE"""),95.94)</f>
        <v>95.94</v>
      </c>
      <c r="F4186" s="122">
        <f>IFERROR(__xludf.DUMMYFUNCTION("""COMPUTED_VALUE"""),0.001)</f>
        <v>0.001</v>
      </c>
    </row>
    <row r="4187">
      <c r="A4187" s="131">
        <f>IFERROR(__xludf.DUMMYFUNCTION("""COMPUTED_VALUE"""),46187.4702662037)</f>
        <v>46187.47027</v>
      </c>
      <c r="B4187" s="126">
        <f>IFERROR(__xludf.DUMMYFUNCTION("""COMPUTED_VALUE"""),46187.0)</f>
        <v>46187</v>
      </c>
      <c r="C4187" s="122" t="str">
        <f>IFERROR(__xludf.DUMMYFUNCTION("""COMPUTED_VALUE"""),"MOVI")</f>
        <v>MOVI</v>
      </c>
      <c r="D4187" s="122" t="str">
        <f>IFERROR(__xludf.DUMMYFUNCTION("""COMPUTED_VALUE"""),"MovieBox")</f>
        <v>MovieBox</v>
      </c>
      <c r="E4187" s="122">
        <f>IFERROR(__xludf.DUMMYFUNCTION("""COMPUTED_VALUE"""),81.65)</f>
        <v>81.65</v>
      </c>
      <c r="F4187" s="122">
        <f>IFERROR(__xludf.DUMMYFUNCTION("""COMPUTED_VALUE"""),0.008)</f>
        <v>0.008</v>
      </c>
    </row>
    <row r="4188">
      <c r="A4188" s="131">
        <f>IFERROR(__xludf.DUMMYFUNCTION("""COMPUTED_VALUE"""),46187.4702662037)</f>
        <v>46187.47027</v>
      </c>
      <c r="B4188" s="126">
        <f>IFERROR(__xludf.DUMMYFUNCTION("""COMPUTED_VALUE"""),46187.0)</f>
        <v>46187</v>
      </c>
      <c r="C4188" s="122" t="str">
        <f>IFERROR(__xludf.DUMMYFUNCTION("""COMPUTED_VALUE"""),"MUSC")</f>
        <v>MUSC</v>
      </c>
      <c r="D4188" s="122" t="str">
        <f>IFERROR(__xludf.DUMMYFUNCTION("""COMPUTED_VALUE"""),"MusicWave")</f>
        <v>MusicWave</v>
      </c>
      <c r="E4188" s="122">
        <f>IFERROR(__xludf.DUMMYFUNCTION("""COMPUTED_VALUE"""),97.69)</f>
        <v>97.69</v>
      </c>
      <c r="F4188" s="122">
        <f>IFERROR(__xludf.DUMMYFUNCTION("""COMPUTED_VALUE"""),0.001)</f>
        <v>0.001</v>
      </c>
    </row>
    <row r="4189">
      <c r="A4189" s="131">
        <f>IFERROR(__xludf.DUMMYFUNCTION("""COMPUTED_VALUE"""),46187.4702662037)</f>
        <v>46187.47027</v>
      </c>
      <c r="B4189" s="126">
        <f>IFERROR(__xludf.DUMMYFUNCTION("""COMPUTED_VALUE"""),46187.0)</f>
        <v>46187</v>
      </c>
      <c r="C4189" s="122" t="str">
        <f>IFERROR(__xludf.DUMMYFUNCTION("""COMPUTED_VALUE"""),"IDOL")</f>
        <v>IDOL</v>
      </c>
      <c r="D4189" s="122" t="str">
        <f>IFERROR(__xludf.DUMMYFUNCTION("""COMPUTED_VALUE"""),"Idol Agency")</f>
        <v>Idol Agency</v>
      </c>
      <c r="E4189" s="122">
        <f>IFERROR(__xludf.DUMMYFUNCTION("""COMPUTED_VALUE"""),196.17)</f>
        <v>196.17</v>
      </c>
      <c r="F4189" s="122">
        <f>IFERROR(__xludf.DUMMYFUNCTION("""COMPUTED_VALUE"""),-0.0028)</f>
        <v>-0.0028</v>
      </c>
    </row>
    <row r="4190">
      <c r="A4190" s="131">
        <f>IFERROR(__xludf.DUMMYFUNCTION("""COMPUTED_VALUE"""),46187.4702662037)</f>
        <v>46187.47027</v>
      </c>
      <c r="B4190" s="126">
        <f>IFERROR(__xludf.DUMMYFUNCTION("""COMPUTED_VALUE"""),46187.0)</f>
        <v>46187</v>
      </c>
      <c r="C4190" s="122" t="str">
        <f>IFERROR(__xludf.DUMMYFUNCTION("""COMPUTED_VALUE"""),"MEME")</f>
        <v>MEME</v>
      </c>
      <c r="D4190" s="122" t="str">
        <f>IFERROR(__xludf.DUMMYFUNCTION("""COMPUTED_VALUE"""),"Meme Media")</f>
        <v>Meme Media</v>
      </c>
      <c r="E4190" s="122">
        <f>IFERROR(__xludf.DUMMYFUNCTION("""COMPUTED_VALUE"""),74.84)</f>
        <v>74.84</v>
      </c>
      <c r="F4190" s="122">
        <f>IFERROR(__xludf.DUMMYFUNCTION("""COMPUTED_VALUE"""),-4.0E-4)</f>
        <v>-0.0004</v>
      </c>
    </row>
    <row r="4191">
      <c r="A4191" s="131">
        <f>IFERROR(__xludf.DUMMYFUNCTION("""COMPUTED_VALUE"""),46187.4702662037)</f>
        <v>46187.47027</v>
      </c>
      <c r="B4191" s="126">
        <f>IFERROR(__xludf.DUMMYFUNCTION("""COMPUTED_VALUE"""),46187.0)</f>
        <v>46187</v>
      </c>
      <c r="C4191" s="122" t="str">
        <f>IFERROR(__xludf.DUMMYFUNCTION("""COMPUTED_VALUE"""),"STRM")</f>
        <v>STRM</v>
      </c>
      <c r="D4191" s="122" t="str">
        <f>IFERROR(__xludf.DUMMYFUNCTION("""COMPUTED_VALUE"""),"Streamly")</f>
        <v>Streamly</v>
      </c>
      <c r="E4191" s="122">
        <f>IFERROR(__xludf.DUMMYFUNCTION("""COMPUTED_VALUE"""),137.47)</f>
        <v>137.47</v>
      </c>
      <c r="F4191" s="122">
        <f>IFERROR(__xludf.DUMMYFUNCTION("""COMPUTED_VALUE"""),-0.0022)</f>
        <v>-0.0022</v>
      </c>
    </row>
    <row r="4192">
      <c r="A4192" s="131">
        <f>IFERROR(__xludf.DUMMYFUNCTION("""COMPUTED_VALUE"""),46187.4702662037)</f>
        <v>46187.47027</v>
      </c>
      <c r="B4192" s="126">
        <f>IFERROR(__xludf.DUMMYFUNCTION("""COMPUTED_VALUE"""),46187.0)</f>
        <v>46187</v>
      </c>
      <c r="C4192" s="122" t="str">
        <f>IFERROR(__xludf.DUMMYFUNCTION("""COMPUTED_VALUE"""),"FARM")</f>
        <v>FARM</v>
      </c>
      <c r="D4192" s="122" t="str">
        <f>IFERROR(__xludf.DUMMYFUNCTION("""COMPUTED_VALUE"""),"Future Farms")</f>
        <v>Future Farms</v>
      </c>
      <c r="E4192" s="122">
        <f>IFERROR(__xludf.DUMMYFUNCTION("""COMPUTED_VALUE"""),87.24)</f>
        <v>87.24</v>
      </c>
      <c r="F4192" s="122">
        <f>IFERROR(__xludf.DUMMYFUNCTION("""COMPUTED_VALUE"""),0.0047)</f>
        <v>0.0047</v>
      </c>
    </row>
    <row r="4193">
      <c r="A4193" s="131">
        <f>IFERROR(__xludf.DUMMYFUNCTION("""COMPUTED_VALUE"""),46187.4702662037)</f>
        <v>46187.47027</v>
      </c>
      <c r="B4193" s="126">
        <f>IFERROR(__xludf.DUMMYFUNCTION("""COMPUTED_VALUE"""),46187.0)</f>
        <v>46187</v>
      </c>
      <c r="C4193" s="122" t="str">
        <f>IFERROR(__xludf.DUMMYFUNCTION("""COMPUTED_VALUE"""),"MEAT")</f>
        <v>MEAT</v>
      </c>
      <c r="D4193" s="122" t="str">
        <f>IFERROR(__xludf.DUMMYFUNCTION("""COMPUTED_VALUE"""),"MeatWorks")</f>
        <v>MeatWorks</v>
      </c>
      <c r="E4193" s="122">
        <f>IFERROR(__xludf.DUMMYFUNCTION("""COMPUTED_VALUE"""),104.86)</f>
        <v>104.86</v>
      </c>
      <c r="F4193" s="122">
        <f>IFERROR(__xludf.DUMMYFUNCTION("""COMPUTED_VALUE"""),-9.0E-4)</f>
        <v>-0.0009</v>
      </c>
    </row>
    <row r="4194">
      <c r="A4194" s="131">
        <f>IFERROR(__xludf.DUMMYFUNCTION("""COMPUTED_VALUE"""),46187.4702662037)</f>
        <v>46187.47027</v>
      </c>
      <c r="B4194" s="126">
        <f>IFERROR(__xludf.DUMMYFUNCTION("""COMPUTED_VALUE"""),46187.0)</f>
        <v>46187</v>
      </c>
      <c r="C4194" s="122" t="str">
        <f>IFERROR(__xludf.DUMMYFUNCTION("""COMPUTED_VALUE"""),"VEGI")</f>
        <v>VEGI</v>
      </c>
      <c r="D4194" s="122" t="str">
        <f>IFERROR(__xludf.DUMMYFUNCTION("""COMPUTED_VALUE"""),"Green Basket")</f>
        <v>Green Basket</v>
      </c>
      <c r="E4194" s="122">
        <f>IFERROR(__xludf.DUMMYFUNCTION("""COMPUTED_VALUE"""),80.67)</f>
        <v>80.67</v>
      </c>
      <c r="F4194" s="122">
        <f>IFERROR(__xludf.DUMMYFUNCTION("""COMPUTED_VALUE"""),-6.0E-4)</f>
        <v>-0.0006</v>
      </c>
    </row>
    <row r="4195">
      <c r="A4195" s="131">
        <f>IFERROR(__xludf.DUMMYFUNCTION("""COMPUTED_VALUE"""),46187.4702662037)</f>
        <v>46187.47027</v>
      </c>
      <c r="B4195" s="126">
        <f>IFERROR(__xludf.DUMMYFUNCTION("""COMPUTED_VALUE"""),46187.0)</f>
        <v>46187</v>
      </c>
      <c r="C4195" s="122" t="str">
        <f>IFERROR(__xludf.DUMMYFUNCTION("""COMPUTED_VALUE"""),"CAFE")</f>
        <v>CAFE</v>
      </c>
      <c r="D4195" s="122" t="str">
        <f>IFERROR(__xludf.DUMMYFUNCTION("""COMPUTED_VALUE"""),"Cafe Cloud")</f>
        <v>Cafe Cloud</v>
      </c>
      <c r="E4195" s="122">
        <f>IFERROR(__xludf.DUMMYFUNCTION("""COMPUTED_VALUE"""),103.73)</f>
        <v>103.73</v>
      </c>
      <c r="F4195" s="122">
        <f>IFERROR(__xludf.DUMMYFUNCTION("""COMPUTED_VALUE"""),0.0046)</f>
        <v>0.0046</v>
      </c>
    </row>
    <row r="4196">
      <c r="A4196" s="131">
        <f>IFERROR(__xludf.DUMMYFUNCTION("""COMPUTED_VALUE"""),46187.4702662037)</f>
        <v>46187.47027</v>
      </c>
      <c r="B4196" s="126">
        <f>IFERROR(__xludf.DUMMYFUNCTION("""COMPUTED_VALUE"""),46187.0)</f>
        <v>46187</v>
      </c>
      <c r="C4196" s="122" t="str">
        <f>IFERROR(__xludf.DUMMYFUNCTION("""COMPUTED_VALUE"""),"BAKE")</f>
        <v>BAKE</v>
      </c>
      <c r="D4196" s="122" t="str">
        <f>IFERROR(__xludf.DUMMYFUNCTION("""COMPUTED_VALUE"""),"BakeHouse")</f>
        <v>BakeHouse</v>
      </c>
      <c r="E4196" s="122">
        <f>IFERROR(__xludf.DUMMYFUNCTION("""COMPUTED_VALUE"""),99.96)</f>
        <v>99.96</v>
      </c>
      <c r="F4196" s="122">
        <f>IFERROR(__xludf.DUMMYFUNCTION("""COMPUTED_VALUE"""),-0.0046)</f>
        <v>-0.0046</v>
      </c>
    </row>
    <row r="4197">
      <c r="A4197" s="131">
        <f>IFERROR(__xludf.DUMMYFUNCTION("""COMPUTED_VALUE"""),46187.4702662037)</f>
        <v>46187.47027</v>
      </c>
      <c r="B4197" s="126">
        <f>IFERROR(__xludf.DUMMYFUNCTION("""COMPUTED_VALUE"""),46187.0)</f>
        <v>46187</v>
      </c>
      <c r="C4197" s="122" t="str">
        <f>IFERROR(__xludf.DUMMYFUNCTION("""COMPUTED_VALUE"""),"OILX")</f>
        <v>OILX</v>
      </c>
      <c r="D4197" s="122" t="str">
        <f>IFERROR(__xludf.DUMMYFUNCTION("""COMPUTED_VALUE"""),"OilMax Energy")</f>
        <v>OilMax Energy</v>
      </c>
      <c r="E4197" s="122">
        <f>IFERROR(__xludf.DUMMYFUNCTION("""COMPUTED_VALUE"""),132.92)</f>
        <v>132.92</v>
      </c>
      <c r="F4197" s="122">
        <f>IFERROR(__xludf.DUMMYFUNCTION("""COMPUTED_VALUE"""),0.0096)</f>
        <v>0.0096</v>
      </c>
    </row>
    <row r="4198">
      <c r="A4198" s="131">
        <f>IFERROR(__xludf.DUMMYFUNCTION("""COMPUTED_VALUE"""),46187.4702662037)</f>
        <v>46187.47027</v>
      </c>
      <c r="B4198" s="126">
        <f>IFERROR(__xludf.DUMMYFUNCTION("""COMPUTED_VALUE"""),46187.0)</f>
        <v>46187</v>
      </c>
      <c r="C4198" s="122" t="str">
        <f>IFERROR(__xludf.DUMMYFUNCTION("""COMPUTED_VALUE"""),"SOLR")</f>
        <v>SOLR</v>
      </c>
      <c r="D4198" s="122" t="str">
        <f>IFERROR(__xludf.DUMMYFUNCTION("""COMPUTED_VALUE"""),"SolarSpark")</f>
        <v>SolarSpark</v>
      </c>
      <c r="E4198" s="122">
        <f>IFERROR(__xludf.DUMMYFUNCTION("""COMPUTED_VALUE"""),94.11)</f>
        <v>94.11</v>
      </c>
      <c r="F4198" s="122">
        <f>IFERROR(__xludf.DUMMYFUNCTION("""COMPUTED_VALUE"""),0.0079)</f>
        <v>0.0079</v>
      </c>
    </row>
    <row r="4199">
      <c r="A4199" s="131">
        <f>IFERROR(__xludf.DUMMYFUNCTION("""COMPUTED_VALUE"""),46187.4702662037)</f>
        <v>46187.47027</v>
      </c>
      <c r="B4199" s="126">
        <f>IFERROR(__xludf.DUMMYFUNCTION("""COMPUTED_VALUE"""),46187.0)</f>
        <v>46187</v>
      </c>
      <c r="C4199" s="122" t="str">
        <f>IFERROR(__xludf.DUMMYFUNCTION("""COMPUTED_VALUE"""),"BATT")</f>
        <v>BATT</v>
      </c>
      <c r="D4199" s="122" t="str">
        <f>IFERROR(__xludf.DUMMYFUNCTION("""COMPUTED_VALUE"""),"BatteryBox")</f>
        <v>BatteryBox</v>
      </c>
      <c r="E4199" s="122">
        <f>IFERROR(__xludf.DUMMYFUNCTION("""COMPUTED_VALUE"""),122.3)</f>
        <v>122.3</v>
      </c>
      <c r="F4199" s="122">
        <f>IFERROR(__xludf.DUMMYFUNCTION("""COMPUTED_VALUE"""),0.007)</f>
        <v>0.007</v>
      </c>
    </row>
    <row r="4200">
      <c r="A4200" s="131">
        <f>IFERROR(__xludf.DUMMYFUNCTION("""COMPUTED_VALUE"""),46187.4702662037)</f>
        <v>46187.47027</v>
      </c>
      <c r="B4200" s="126">
        <f>IFERROR(__xludf.DUMMYFUNCTION("""COMPUTED_VALUE"""),46187.0)</f>
        <v>46187</v>
      </c>
      <c r="C4200" s="122" t="str">
        <f>IFERROR(__xludf.DUMMYFUNCTION("""COMPUTED_VALUE"""),"WIND")</f>
        <v>WIND</v>
      </c>
      <c r="D4200" s="122" t="str">
        <f>IFERROR(__xludf.DUMMYFUNCTION("""COMPUTED_VALUE"""),"WindWorks")</f>
        <v>WindWorks</v>
      </c>
      <c r="E4200" s="122">
        <f>IFERROR(__xludf.DUMMYFUNCTION("""COMPUTED_VALUE"""),87.95)</f>
        <v>87.95</v>
      </c>
      <c r="F4200" s="122">
        <f>IFERROR(__xludf.DUMMYFUNCTION("""COMPUTED_VALUE"""),-0.0044)</f>
        <v>-0.0044</v>
      </c>
    </row>
    <row r="4201">
      <c r="A4201" s="131">
        <f>IFERROR(__xludf.DUMMYFUNCTION("""COMPUTED_VALUE"""),46187.4702662037)</f>
        <v>46187.47027</v>
      </c>
      <c r="B4201" s="126">
        <f>IFERROR(__xludf.DUMMYFUNCTION("""COMPUTED_VALUE"""),46187.0)</f>
        <v>46187</v>
      </c>
      <c r="C4201" s="122" t="str">
        <f>IFERROR(__xludf.DUMMYFUNCTION("""COMPUTED_VALUE"""),"GRID")</f>
        <v>GRID</v>
      </c>
      <c r="D4201" s="122" t="str">
        <f>IFERROR(__xludf.DUMMYFUNCTION("""COMPUTED_VALUE"""),"GridPower")</f>
        <v>GridPower</v>
      </c>
      <c r="E4201" s="122">
        <f>IFERROR(__xludf.DUMMYFUNCTION("""COMPUTED_VALUE"""),139.78)</f>
        <v>139.78</v>
      </c>
      <c r="F4201" s="122">
        <f>IFERROR(__xludf.DUMMYFUNCTION("""COMPUTED_VALUE"""),-0.0027)</f>
        <v>-0.0027</v>
      </c>
    </row>
    <row r="4202">
      <c r="A4202" s="131">
        <f>IFERROR(__xludf.DUMMYFUNCTION("""COMPUTED_VALUE"""),46187.4702662037)</f>
        <v>46187.47027</v>
      </c>
      <c r="B4202" s="126">
        <f>IFERROR(__xludf.DUMMYFUNCTION("""COMPUTED_VALUE"""),46187.0)</f>
        <v>46187</v>
      </c>
      <c r="C4202" s="122" t="str">
        <f>IFERROR(__xludf.DUMMYFUNCTION("""COMPUTED_VALUE"""),"HOME")</f>
        <v>HOME</v>
      </c>
      <c r="D4202" s="122" t="str">
        <f>IFERROR(__xludf.DUMMYFUNCTION("""COMPUTED_VALUE"""),"HomeHub")</f>
        <v>HomeHub</v>
      </c>
      <c r="E4202" s="122">
        <f>IFERROR(__xludf.DUMMYFUNCTION("""COMPUTED_VALUE"""),153.21)</f>
        <v>153.21</v>
      </c>
      <c r="F4202" s="122">
        <f>IFERROR(__xludf.DUMMYFUNCTION("""COMPUTED_VALUE"""),0.0039)</f>
        <v>0.0039</v>
      </c>
    </row>
    <row r="4203">
      <c r="A4203" s="131">
        <f>IFERROR(__xludf.DUMMYFUNCTION("""COMPUTED_VALUE"""),46187.4702662037)</f>
        <v>46187.47027</v>
      </c>
      <c r="B4203" s="126">
        <f>IFERROR(__xludf.DUMMYFUNCTION("""COMPUTED_VALUE"""),46187.0)</f>
        <v>46187</v>
      </c>
      <c r="C4203" s="122" t="str">
        <f>IFERROR(__xludf.DUMMYFUNCTION("""COMPUTED_VALUE"""),"RENT")</f>
        <v>RENT</v>
      </c>
      <c r="D4203" s="122" t="str">
        <f>IFERROR(__xludf.DUMMYFUNCTION("""COMPUTED_VALUE"""),"RentRight")</f>
        <v>RentRight</v>
      </c>
      <c r="E4203" s="122">
        <f>IFERROR(__xludf.DUMMYFUNCTION("""COMPUTED_VALUE"""),92.64)</f>
        <v>92.64</v>
      </c>
      <c r="F4203" s="122">
        <f>IFERROR(__xludf.DUMMYFUNCTION("""COMPUTED_VALUE"""),-0.0058)</f>
        <v>-0.0058</v>
      </c>
    </row>
    <row r="4204">
      <c r="A4204" s="131">
        <f>IFERROR(__xludf.DUMMYFUNCTION("""COMPUTED_VALUE"""),46187.4702662037)</f>
        <v>46187.47027</v>
      </c>
      <c r="B4204" s="126">
        <f>IFERROR(__xludf.DUMMYFUNCTION("""COMPUTED_VALUE"""),46187.0)</f>
        <v>46187</v>
      </c>
      <c r="C4204" s="122" t="str">
        <f>IFERROR(__xludf.DUMMYFUNCTION("""COMPUTED_VALUE"""),"MALL")</f>
        <v>MALL</v>
      </c>
      <c r="D4204" s="122" t="str">
        <f>IFERROR(__xludf.DUMMYFUNCTION("""COMPUTED_VALUE"""),"MegaMall")</f>
        <v>MegaMall</v>
      </c>
      <c r="E4204" s="122">
        <f>IFERROR(__xludf.DUMMYFUNCTION("""COMPUTED_VALUE"""),101.77)</f>
        <v>101.77</v>
      </c>
      <c r="F4204" s="122">
        <f>IFERROR(__xludf.DUMMYFUNCTION("""COMPUTED_VALUE"""),-0.0018)</f>
        <v>-0.0018</v>
      </c>
    </row>
    <row r="4205">
      <c r="A4205" s="131">
        <f>IFERROR(__xludf.DUMMYFUNCTION("""COMPUTED_VALUE"""),46187.4702662037)</f>
        <v>46187.47027</v>
      </c>
      <c r="B4205" s="126">
        <f>IFERROR(__xludf.DUMMYFUNCTION("""COMPUTED_VALUE"""),46187.0)</f>
        <v>46187</v>
      </c>
      <c r="C4205" s="122" t="str">
        <f>IFERROR(__xludf.DUMMYFUNCTION("""COMPUTED_VALUE"""),"HOTL")</f>
        <v>HOTL</v>
      </c>
      <c r="D4205" s="122" t="str">
        <f>IFERROR(__xludf.DUMMYFUNCTION("""COMPUTED_VALUE"""),"HotelHive")</f>
        <v>HotelHive</v>
      </c>
      <c r="E4205" s="122">
        <f>IFERROR(__xludf.DUMMYFUNCTION("""COMPUTED_VALUE"""),130.3)</f>
        <v>130.3</v>
      </c>
      <c r="F4205" s="122">
        <f>IFERROR(__xludf.DUMMYFUNCTION("""COMPUTED_VALUE"""),0.0012)</f>
        <v>0.0012</v>
      </c>
    </row>
    <row r="4206">
      <c r="A4206" s="131">
        <f>IFERROR(__xludf.DUMMYFUNCTION("""COMPUTED_VALUE"""),46187.4702662037)</f>
        <v>46187.47027</v>
      </c>
      <c r="B4206" s="126">
        <f>IFERROR(__xludf.DUMMYFUNCTION("""COMPUTED_VALUE"""),46187.0)</f>
        <v>46187</v>
      </c>
      <c r="C4206" s="122" t="str">
        <f>IFERROR(__xludf.DUMMYFUNCTION("""COMPUTED_VALUE"""),"LAND")</f>
        <v>LAND</v>
      </c>
      <c r="D4206" s="122" t="str">
        <f>IFERROR(__xludf.DUMMYFUNCTION("""COMPUTED_VALUE"""),"LandLink")</f>
        <v>LandLink</v>
      </c>
      <c r="E4206" s="122">
        <f>IFERROR(__xludf.DUMMYFUNCTION("""COMPUTED_VALUE"""),183.41)</f>
        <v>183.41</v>
      </c>
      <c r="F4206" s="122">
        <f>IFERROR(__xludf.DUMMYFUNCTION("""COMPUTED_VALUE"""),-0.0013)</f>
        <v>-0.0013</v>
      </c>
    </row>
    <row r="4207">
      <c r="A4207" s="131">
        <f>IFERROR(__xludf.DUMMYFUNCTION("""COMPUTED_VALUE"""),46187.4702662037)</f>
        <v>46187.47027</v>
      </c>
      <c r="B4207" s="126">
        <f>IFERROR(__xludf.DUMMYFUNCTION("""COMPUTED_VALUE"""),46187.0)</f>
        <v>46187</v>
      </c>
      <c r="C4207" s="122" t="str">
        <f>IFERROR(__xludf.DUMMYFUNCTION("""COMPUTED_VALUE"""),"CARS")</f>
        <v>CARS</v>
      </c>
      <c r="D4207" s="122" t="str">
        <f>IFERROR(__xludf.DUMMYFUNCTION("""COMPUTED_VALUE"""),"AutoArena")</f>
        <v>AutoArena</v>
      </c>
      <c r="E4207" s="122">
        <f>IFERROR(__xludf.DUMMYFUNCTION("""COMPUTED_VALUE"""),80.29)</f>
        <v>80.29</v>
      </c>
      <c r="F4207" s="122">
        <f>IFERROR(__xludf.DUMMYFUNCTION("""COMPUTED_VALUE"""),-0.0067)</f>
        <v>-0.0067</v>
      </c>
    </row>
    <row r="4208">
      <c r="A4208" s="131">
        <f>IFERROR(__xludf.DUMMYFUNCTION("""COMPUTED_VALUE"""),46187.4702662037)</f>
        <v>46187.47027</v>
      </c>
      <c r="B4208" s="126">
        <f>IFERROR(__xludf.DUMMYFUNCTION("""COMPUTED_VALUE"""),46187.0)</f>
        <v>46187</v>
      </c>
      <c r="C4208" s="122" t="str">
        <f>IFERROR(__xludf.DUMMYFUNCTION("""COMPUTED_VALUE"""),"EVGO")</f>
        <v>EVGO</v>
      </c>
      <c r="D4208" s="122" t="str">
        <f>IFERROR(__xludf.DUMMYFUNCTION("""COMPUTED_VALUE"""),"EVGo Motors")</f>
        <v>EVGo Motors</v>
      </c>
      <c r="E4208" s="122">
        <f>IFERROR(__xludf.DUMMYFUNCTION("""COMPUTED_VALUE"""),187.79)</f>
        <v>187.79</v>
      </c>
      <c r="F4208" s="122">
        <f>IFERROR(__xludf.DUMMYFUNCTION("""COMPUTED_VALUE"""),0.0019)</f>
        <v>0.0019</v>
      </c>
    </row>
    <row r="4209">
      <c r="A4209" s="131">
        <f>IFERROR(__xludf.DUMMYFUNCTION("""COMPUTED_VALUE"""),46187.4702662037)</f>
        <v>46187.47027</v>
      </c>
      <c r="B4209" s="126">
        <f>IFERROR(__xludf.DUMMYFUNCTION("""COMPUTED_VALUE"""),46187.0)</f>
        <v>46187</v>
      </c>
      <c r="C4209" s="122" t="str">
        <f>IFERROR(__xludf.DUMMYFUNCTION("""COMPUTED_VALUE"""),"TIRE")</f>
        <v>TIRE</v>
      </c>
      <c r="D4209" s="122" t="str">
        <f>IFERROR(__xludf.DUMMYFUNCTION("""COMPUTED_VALUE"""),"TireTown")</f>
        <v>TireTown</v>
      </c>
      <c r="E4209" s="122">
        <f>IFERROR(__xludf.DUMMYFUNCTION("""COMPUTED_VALUE"""),95.66)</f>
        <v>95.66</v>
      </c>
      <c r="F4209" s="122">
        <f>IFERROR(__xludf.DUMMYFUNCTION("""COMPUTED_VALUE"""),0.0028)</f>
        <v>0.0028</v>
      </c>
    </row>
    <row r="4210">
      <c r="A4210" s="131">
        <f>IFERROR(__xludf.DUMMYFUNCTION("""COMPUTED_VALUE"""),46187.4702662037)</f>
        <v>46187.47027</v>
      </c>
      <c r="B4210" s="126">
        <f>IFERROR(__xludf.DUMMYFUNCTION("""COMPUTED_VALUE"""),46187.0)</f>
        <v>46187</v>
      </c>
      <c r="C4210" s="122" t="str">
        <f>IFERROR(__xludf.DUMMYFUNCTION("""COMPUTED_VALUE"""),"BIKE")</f>
        <v>BIKE</v>
      </c>
      <c r="D4210" s="122" t="str">
        <f>IFERROR(__xludf.DUMMYFUNCTION("""COMPUTED_VALUE"""),"BikeBox")</f>
        <v>BikeBox</v>
      </c>
      <c r="E4210" s="122">
        <f>IFERROR(__xludf.DUMMYFUNCTION("""COMPUTED_VALUE"""),53.02)</f>
        <v>53.02</v>
      </c>
      <c r="F4210" s="122">
        <f>IFERROR(__xludf.DUMMYFUNCTION("""COMPUTED_VALUE"""),0.0026)</f>
        <v>0.0026</v>
      </c>
    </row>
    <row r="4211">
      <c r="A4211" s="131">
        <f>IFERROR(__xludf.DUMMYFUNCTION("""COMPUTED_VALUE"""),46187.4702662037)</f>
        <v>46187.47027</v>
      </c>
      <c r="B4211" s="126">
        <f>IFERROR(__xludf.DUMMYFUNCTION("""COMPUTED_VALUE"""),46187.0)</f>
        <v>46187</v>
      </c>
      <c r="C4211" s="122" t="str">
        <f>IFERROR(__xludf.DUMMYFUNCTION("""COMPUTED_VALUE"""),"WASH")</f>
        <v>WASH</v>
      </c>
      <c r="D4211" s="122" t="str">
        <f>IFERROR(__xludf.DUMMYFUNCTION("""COMPUTED_VALUE"""),"CarWash Co")</f>
        <v>CarWash Co</v>
      </c>
      <c r="E4211" s="122">
        <f>IFERROR(__xludf.DUMMYFUNCTION("""COMPUTED_VALUE"""),120.26)</f>
        <v>120.26</v>
      </c>
      <c r="F4211" s="122">
        <f>IFERROR(__xludf.DUMMYFUNCTION("""COMPUTED_VALUE"""),0.005)</f>
        <v>0.005</v>
      </c>
    </row>
    <row r="4212">
      <c r="A4212" s="131">
        <f>IFERROR(__xludf.DUMMYFUNCTION("""COMPUTED_VALUE"""),46187.4702662037)</f>
        <v>46187.47027</v>
      </c>
      <c r="B4212" s="126">
        <f>IFERROR(__xludf.DUMMYFUNCTION("""COMPUTED_VALUE"""),46187.0)</f>
        <v>46187</v>
      </c>
      <c r="C4212" s="122" t="str">
        <f>IFERROR(__xludf.DUMMYFUNCTION("""COMPUTED_VALUE"""),"GBND")</f>
        <v>GBND</v>
      </c>
      <c r="D4212" s="122" t="str">
        <f>IFERROR(__xludf.DUMMYFUNCTION("""COMPUTED_VALUE"""),"Classroom Government Bond")</f>
        <v>Classroom Government Bond</v>
      </c>
      <c r="E4212" s="122">
        <f>IFERROR(__xludf.DUMMYFUNCTION("""COMPUTED_VALUE"""),100.98)</f>
        <v>100.98</v>
      </c>
      <c r="F4212" s="122">
        <f>IFERROR(__xludf.DUMMYFUNCTION("""COMPUTED_VALUE"""),3.0E-4)</f>
        <v>0.0003</v>
      </c>
    </row>
    <row r="4213">
      <c r="A4213" s="131">
        <f>IFERROR(__xludf.DUMMYFUNCTION("""COMPUTED_VALUE"""),46187.4702662037)</f>
        <v>46187.47027</v>
      </c>
      <c r="B4213" s="126">
        <f>IFERROR(__xludf.DUMMYFUNCTION("""COMPUTED_VALUE"""),46187.0)</f>
        <v>46187</v>
      </c>
      <c r="C4213" s="122" t="str">
        <f>IFERROR(__xludf.DUMMYFUNCTION("""COMPUTED_VALUE"""),"SBND")</f>
        <v>SBND</v>
      </c>
      <c r="D4213" s="122" t="str">
        <f>IFERROR(__xludf.DUMMYFUNCTION("""COMPUTED_VALUE"""),"School Savings Bond")</f>
        <v>School Savings Bond</v>
      </c>
      <c r="E4213" s="122">
        <f>IFERROR(__xludf.DUMMYFUNCTION("""COMPUTED_VALUE"""),99.51)</f>
        <v>99.51</v>
      </c>
      <c r="F4213" s="122">
        <f>IFERROR(__xludf.DUMMYFUNCTION("""COMPUTED_VALUE"""),-4.0E-4)</f>
        <v>-0.0004</v>
      </c>
    </row>
    <row r="4214">
      <c r="A4214" s="131">
        <f>IFERROR(__xludf.DUMMYFUNCTION("""COMPUTED_VALUE"""),46187.4702662037)</f>
        <v>46187.47027</v>
      </c>
      <c r="B4214" s="126">
        <f>IFERROR(__xludf.DUMMYFUNCTION("""COMPUTED_VALUE"""),46187.0)</f>
        <v>46187</v>
      </c>
      <c r="C4214" s="122" t="str">
        <f>IFERROR(__xludf.DUMMYFUNCTION("""COMPUTED_VALUE"""),"CBND")</f>
        <v>CBND</v>
      </c>
      <c r="D4214" s="122" t="str">
        <f>IFERROR(__xludf.DUMMYFUNCTION("""COMPUTED_VALUE"""),"Corporate Classroom Bond")</f>
        <v>Corporate Classroom Bond</v>
      </c>
      <c r="E4214" s="122">
        <f>IFERROR(__xludf.DUMMYFUNCTION("""COMPUTED_VALUE"""),97.79)</f>
        <v>97.79</v>
      </c>
      <c r="F4214" s="122">
        <f>IFERROR(__xludf.DUMMYFUNCTION("""COMPUTED_VALUE"""),5.0E-4)</f>
        <v>0.0005</v>
      </c>
    </row>
    <row r="4215">
      <c r="A4215" s="131">
        <f>IFERROR(__xludf.DUMMYFUNCTION("""COMPUTED_VALUE"""),46187.4702662037)</f>
        <v>46187.47027</v>
      </c>
      <c r="B4215" s="126">
        <f>IFERROR(__xludf.DUMMYFUNCTION("""COMPUTED_VALUE"""),46187.0)</f>
        <v>46187</v>
      </c>
      <c r="C4215" s="122" t="str">
        <f>IFERROR(__xludf.DUMMYFUNCTION("""COMPUTED_VALUE"""),"TBIL")</f>
        <v>TBIL</v>
      </c>
      <c r="D4215" s="122" t="str">
        <f>IFERROR(__xludf.DUMMYFUNCTION("""COMPUTED_VALUE"""),"Treasury Bill")</f>
        <v>Treasury Bill</v>
      </c>
      <c r="E4215" s="122">
        <f>IFERROR(__xludf.DUMMYFUNCTION("""COMPUTED_VALUE"""),98.06)</f>
        <v>98.06</v>
      </c>
      <c r="F4215" s="122">
        <f>IFERROR(__xludf.DUMMYFUNCTION("""COMPUTED_VALUE"""),0.0)</f>
        <v>0</v>
      </c>
    </row>
    <row r="4216">
      <c r="A4216" s="131">
        <f>IFERROR(__xludf.DUMMYFUNCTION("""COMPUTED_VALUE"""),46187.4702662037)</f>
        <v>46187.47027</v>
      </c>
      <c r="B4216" s="126">
        <f>IFERROR(__xludf.DUMMYFUNCTION("""COMPUTED_VALUE"""),46187.0)</f>
        <v>46187</v>
      </c>
      <c r="C4216" s="122" t="str">
        <f>IFERROR(__xludf.DUMMYFUNCTION("""COMPUTED_VALUE"""),"IBND")</f>
        <v>IBND</v>
      </c>
      <c r="D4216" s="122" t="str">
        <f>IFERROR(__xludf.DUMMYFUNCTION("""COMPUTED_VALUE"""),"Inflation Protected Bond")</f>
        <v>Inflation Protected Bond</v>
      </c>
      <c r="E4216" s="122">
        <f>IFERROR(__xludf.DUMMYFUNCTION("""COMPUTED_VALUE"""),100.66)</f>
        <v>100.66</v>
      </c>
      <c r="F4216" s="122">
        <f>IFERROR(__xludf.DUMMYFUNCTION("""COMPUTED_VALUE"""),-4.0E-4)</f>
        <v>-0.0004</v>
      </c>
    </row>
    <row r="4217">
      <c r="A4217" s="131">
        <f>IFERROR(__xludf.DUMMYFUNCTION("""COMPUTED_VALUE"""),46187.47174768519)</f>
        <v>46187.47175</v>
      </c>
      <c r="B4217" s="126">
        <f>IFERROR(__xludf.DUMMYFUNCTION("""COMPUTED_VALUE"""),46187.0)</f>
        <v>46187</v>
      </c>
      <c r="C4217" s="130">
        <f>IFERROR(__xludf.DUMMYFUNCTION("""COMPUTED_VALUE"""),0.4717476851851852)</f>
        <v>0.4717476852</v>
      </c>
      <c r="D4217" s="122" t="str">
        <f>IFERROR(__xludf.DUMMYFUNCTION("""COMPUTED_VALUE"""),"SNAX")</f>
        <v>SNAX</v>
      </c>
      <c r="E4217" s="122" t="str">
        <f>IFERROR(__xludf.DUMMYFUNCTION("""COMPUTED_VALUE"""),"MICA Snacks")</f>
        <v>MICA Snacks</v>
      </c>
      <c r="F4217" s="122" t="str">
        <f>IFERROR(__xludf.DUMMYFUNCTION("""COMPUTED_VALUE"""),"Consumer Goods")</f>
        <v>Consumer Goods</v>
      </c>
    </row>
    <row r="4218">
      <c r="A4218" s="131">
        <f>IFERROR(__xludf.DUMMYFUNCTION("""COMPUTED_VALUE"""),46187.47174768519)</f>
        <v>46187.47175</v>
      </c>
      <c r="B4218" s="126">
        <f>IFERROR(__xludf.DUMMYFUNCTION("""COMPUTED_VALUE"""),46187.0)</f>
        <v>46187</v>
      </c>
      <c r="C4218" s="130">
        <f>IFERROR(__xludf.DUMMYFUNCTION("""COMPUTED_VALUE"""),0.4717476851851852)</f>
        <v>0.4717476852</v>
      </c>
      <c r="D4218" s="122" t="str">
        <f>IFERROR(__xludf.DUMMYFUNCTION("""COMPUTED_VALUE"""),"RAMN")</f>
        <v>RAMN</v>
      </c>
      <c r="E4218" s="122" t="str">
        <f>IFERROR(__xludf.DUMMYFUNCTION("""COMPUTED_VALUE"""),"Ramen Republic")</f>
        <v>Ramen Republic</v>
      </c>
      <c r="F4218" s="122" t="str">
        <f>IFERROR(__xludf.DUMMYFUNCTION("""COMPUTED_VALUE"""),"Food")</f>
        <v>Food</v>
      </c>
    </row>
    <row r="4219">
      <c r="A4219" s="131">
        <f>IFERROR(__xludf.DUMMYFUNCTION("""COMPUTED_VALUE"""),46187.47174768519)</f>
        <v>46187.47175</v>
      </c>
      <c r="B4219" s="126">
        <f>IFERROR(__xludf.DUMMYFUNCTION("""COMPUTED_VALUE"""),46187.0)</f>
        <v>46187</v>
      </c>
      <c r="C4219" s="130">
        <f>IFERROR(__xludf.DUMMYFUNCTION("""COMPUTED_VALUE"""),0.4717476851851852)</f>
        <v>0.4717476852</v>
      </c>
      <c r="D4219" s="122" t="str">
        <f>IFERROR(__xludf.DUMMYFUNCTION("""COMPUTED_VALUE"""),"COLA")</f>
        <v>COLA</v>
      </c>
      <c r="E4219" s="122" t="str">
        <f>IFERROR(__xludf.DUMMYFUNCTION("""COMPUTED_VALUE"""),"K-Pop Cola")</f>
        <v>K-Pop Cola</v>
      </c>
      <c r="F4219" s="122" t="str">
        <f>IFERROR(__xludf.DUMMYFUNCTION("""COMPUTED_VALUE"""),"Beverage")</f>
        <v>Beverage</v>
      </c>
    </row>
    <row r="4220">
      <c r="A4220" s="131">
        <f>IFERROR(__xludf.DUMMYFUNCTION("""COMPUTED_VALUE"""),46187.47174768519)</f>
        <v>46187.47175</v>
      </c>
      <c r="B4220" s="126">
        <f>IFERROR(__xludf.DUMMYFUNCTION("""COMPUTED_VALUE"""),46187.0)</f>
        <v>46187</v>
      </c>
      <c r="C4220" s="130">
        <f>IFERROR(__xludf.DUMMYFUNCTION("""COMPUTED_VALUE"""),0.4717476851851852)</f>
        <v>0.4717476852</v>
      </c>
      <c r="D4220" s="122" t="str">
        <f>IFERROR(__xludf.DUMMYFUNCTION("""COMPUTED_VALUE"""),"CHIP")</f>
        <v>CHIP</v>
      </c>
      <c r="E4220" s="122" t="str">
        <f>IFERROR(__xludf.DUMMYFUNCTION("""COMPUTED_VALUE"""),"Chip Empire")</f>
        <v>Chip Empire</v>
      </c>
      <c r="F4220" s="122" t="str">
        <f>IFERROR(__xludf.DUMMYFUNCTION("""COMPUTED_VALUE"""),"Consumer Goods")</f>
        <v>Consumer Goods</v>
      </c>
    </row>
    <row r="4221">
      <c r="A4221" s="131">
        <f>IFERROR(__xludf.DUMMYFUNCTION("""COMPUTED_VALUE"""),46187.47174768519)</f>
        <v>46187.47175</v>
      </c>
      <c r="B4221" s="126">
        <f>IFERROR(__xludf.DUMMYFUNCTION("""COMPUTED_VALUE"""),46187.0)</f>
        <v>46187</v>
      </c>
      <c r="C4221" s="130">
        <f>IFERROR(__xludf.DUMMYFUNCTION("""COMPUTED_VALUE"""),0.4717476851851852)</f>
        <v>0.4717476852</v>
      </c>
      <c r="D4221" s="122" t="str">
        <f>IFERROR(__xludf.DUMMYFUNCTION("""COMPUTED_VALUE"""),"CAND")</f>
        <v>CAND</v>
      </c>
      <c r="E4221" s="122" t="str">
        <f>IFERROR(__xludf.DUMMYFUNCTION("""COMPUTED_VALUE"""),"Candy Capital")</f>
        <v>Candy Capital</v>
      </c>
      <c r="F4221" s="122" t="str">
        <f>IFERROR(__xludf.DUMMYFUNCTION("""COMPUTED_VALUE"""),"Consumer Goods")</f>
        <v>Consumer Goods</v>
      </c>
    </row>
    <row r="4222">
      <c r="A4222" s="131">
        <f>IFERROR(__xludf.DUMMYFUNCTION("""COMPUTED_VALUE"""),46187.47174768519)</f>
        <v>46187.47175</v>
      </c>
      <c r="B4222" s="126">
        <f>IFERROR(__xludf.DUMMYFUNCTION("""COMPUTED_VALUE"""),46187.0)</f>
        <v>46187</v>
      </c>
      <c r="C4222" s="130">
        <f>IFERROR(__xludf.DUMMYFUNCTION("""COMPUTED_VALUE"""),0.4717476851851852)</f>
        <v>0.4717476852</v>
      </c>
      <c r="D4222" s="122" t="str">
        <f>IFERROR(__xludf.DUMMYFUNCTION("""COMPUTED_VALUE"""),"TECH")</f>
        <v>TECH</v>
      </c>
      <c r="E4222" s="122" t="str">
        <f>IFERROR(__xludf.DUMMYFUNCTION("""COMPUTED_VALUE"""),"Dragon Tech")</f>
        <v>Dragon Tech</v>
      </c>
      <c r="F4222" s="122" t="str">
        <f>IFERROR(__xludf.DUMMYFUNCTION("""COMPUTED_VALUE"""),"Technology")</f>
        <v>Technology</v>
      </c>
    </row>
    <row r="4223">
      <c r="A4223" s="131">
        <f>IFERROR(__xludf.DUMMYFUNCTION("""COMPUTED_VALUE"""),46187.47174768519)</f>
        <v>46187.47175</v>
      </c>
      <c r="B4223" s="126">
        <f>IFERROR(__xludf.DUMMYFUNCTION("""COMPUTED_VALUE"""),46187.0)</f>
        <v>46187</v>
      </c>
      <c r="C4223" s="130">
        <f>IFERROR(__xludf.DUMMYFUNCTION("""COMPUTED_VALUE"""),0.4717476851851852)</f>
        <v>0.4717476852</v>
      </c>
      <c r="D4223" s="122" t="str">
        <f>IFERROR(__xludf.DUMMYFUNCTION("""COMPUTED_VALUE"""),"AIBO")</f>
        <v>AIBO</v>
      </c>
      <c r="E4223" s="122" t="str">
        <f>IFERROR(__xludf.DUMMYFUNCTION("""COMPUTED_VALUE"""),"Homework AI")</f>
        <v>Homework AI</v>
      </c>
      <c r="F4223" s="122" t="str">
        <f>IFERROR(__xludf.DUMMYFUNCTION("""COMPUTED_VALUE"""),"Technology")</f>
        <v>Technology</v>
      </c>
    </row>
    <row r="4224">
      <c r="A4224" s="131">
        <f>IFERROR(__xludf.DUMMYFUNCTION("""COMPUTED_VALUE"""),46187.47174768519)</f>
        <v>46187.47175</v>
      </c>
      <c r="B4224" s="126">
        <f>IFERROR(__xludf.DUMMYFUNCTION("""COMPUTED_VALUE"""),46187.0)</f>
        <v>46187</v>
      </c>
      <c r="C4224" s="130">
        <f>IFERROR(__xludf.DUMMYFUNCTION("""COMPUTED_VALUE"""),0.4717476851851852)</f>
        <v>0.4717476852</v>
      </c>
      <c r="D4224" s="122" t="str">
        <f>IFERROR(__xludf.DUMMYFUNCTION("""COMPUTED_VALUE"""),"GAME")</f>
        <v>GAME</v>
      </c>
      <c r="E4224" s="122" t="str">
        <f>IFERROR(__xludf.DUMMYFUNCTION("""COMPUTED_VALUE"""),"GameBox Media")</f>
        <v>GameBox Media</v>
      </c>
      <c r="F4224" s="122" t="str">
        <f>IFERROR(__xludf.DUMMYFUNCTION("""COMPUTED_VALUE"""),"Entertainment")</f>
        <v>Entertainment</v>
      </c>
    </row>
    <row r="4225">
      <c r="A4225" s="131">
        <f>IFERROR(__xludf.DUMMYFUNCTION("""COMPUTED_VALUE"""),46187.47174768519)</f>
        <v>46187.47175</v>
      </c>
      <c r="B4225" s="126">
        <f>IFERROR(__xludf.DUMMYFUNCTION("""COMPUTED_VALUE"""),46187.0)</f>
        <v>46187</v>
      </c>
      <c r="C4225" s="130">
        <f>IFERROR(__xludf.DUMMYFUNCTION("""COMPUTED_VALUE"""),0.4717476851851852)</f>
        <v>0.4717476852</v>
      </c>
      <c r="D4225" s="122" t="str">
        <f>IFERROR(__xludf.DUMMYFUNCTION("""COMPUTED_VALUE"""),"VRSE")</f>
        <v>VRSE</v>
      </c>
      <c r="E4225" s="122" t="str">
        <f>IFERROR(__xludf.DUMMYFUNCTION("""COMPUTED_VALUE"""),"VerseVR")</f>
        <v>VerseVR</v>
      </c>
      <c r="F4225" s="122" t="str">
        <f>IFERROR(__xludf.DUMMYFUNCTION("""COMPUTED_VALUE"""),"Technology")</f>
        <v>Technology</v>
      </c>
    </row>
    <row r="4226">
      <c r="A4226" s="131">
        <f>IFERROR(__xludf.DUMMYFUNCTION("""COMPUTED_VALUE"""),46187.47174768519)</f>
        <v>46187.47175</v>
      </c>
      <c r="B4226" s="126">
        <f>IFERROR(__xludf.DUMMYFUNCTION("""COMPUTED_VALUE"""),46187.0)</f>
        <v>46187</v>
      </c>
      <c r="C4226" s="130">
        <f>IFERROR(__xludf.DUMMYFUNCTION("""COMPUTED_VALUE"""),0.4717476851851852)</f>
        <v>0.4717476852</v>
      </c>
      <c r="D4226" s="122" t="str">
        <f>IFERROR(__xludf.DUMMYFUNCTION("""COMPUTED_VALUE"""),"BYTE")</f>
        <v>BYTE</v>
      </c>
      <c r="E4226" s="122" t="str">
        <f>IFERROR(__xludf.DUMMYFUNCTION("""COMPUTED_VALUE"""),"ByteWorks")</f>
        <v>ByteWorks</v>
      </c>
      <c r="F4226" s="122" t="str">
        <f>IFERROR(__xludf.DUMMYFUNCTION("""COMPUTED_VALUE"""),"Technology")</f>
        <v>Technology</v>
      </c>
    </row>
    <row r="4227">
      <c r="A4227" s="131">
        <f>IFERROR(__xludf.DUMMYFUNCTION("""COMPUTED_VALUE"""),46187.47174768519)</f>
        <v>46187.47175</v>
      </c>
      <c r="B4227" s="126">
        <f>IFERROR(__xludf.DUMMYFUNCTION("""COMPUTED_VALUE"""),46187.0)</f>
        <v>46187</v>
      </c>
      <c r="C4227" s="130">
        <f>IFERROR(__xludf.DUMMYFUNCTION("""COMPUTED_VALUE"""),0.4717476851851852)</f>
        <v>0.4717476852</v>
      </c>
      <c r="D4227" s="122" t="str">
        <f>IFERROR(__xludf.DUMMYFUNCTION("""COMPUTED_VALUE"""),"BANK")</f>
        <v>BANK</v>
      </c>
      <c r="E4227" s="122" t="str">
        <f>IFERROR(__xludf.DUMMYFUNCTION("""COMPUTED_VALUE"""),"Tiger Bank")</f>
        <v>Tiger Bank</v>
      </c>
      <c r="F4227" s="122" t="str">
        <f>IFERROR(__xludf.DUMMYFUNCTION("""COMPUTED_VALUE"""),"Finance")</f>
        <v>Finance</v>
      </c>
    </row>
    <row r="4228">
      <c r="A4228" s="131">
        <f>IFERROR(__xludf.DUMMYFUNCTION("""COMPUTED_VALUE"""),46187.47174768519)</f>
        <v>46187.47175</v>
      </c>
      <c r="B4228" s="126">
        <f>IFERROR(__xludf.DUMMYFUNCTION("""COMPUTED_VALUE"""),46187.0)</f>
        <v>46187</v>
      </c>
      <c r="C4228" s="130">
        <f>IFERROR(__xludf.DUMMYFUNCTION("""COMPUTED_VALUE"""),0.4717476851851852)</f>
        <v>0.4717476852</v>
      </c>
      <c r="D4228" s="122" t="str">
        <f>IFERROR(__xludf.DUMMYFUNCTION("""COMPUTED_VALUE"""),"CRED")</f>
        <v>CRED</v>
      </c>
      <c r="E4228" s="122" t="str">
        <f>IFERROR(__xludf.DUMMYFUNCTION("""COMPUTED_VALUE"""),"Credit Castle")</f>
        <v>Credit Castle</v>
      </c>
      <c r="F4228" s="122" t="str">
        <f>IFERROR(__xludf.DUMMYFUNCTION("""COMPUTED_VALUE"""),"Finance")</f>
        <v>Finance</v>
      </c>
    </row>
    <row r="4229">
      <c r="A4229" s="131">
        <f>IFERROR(__xludf.DUMMYFUNCTION("""COMPUTED_VALUE"""),46187.47174768519)</f>
        <v>46187.47175</v>
      </c>
      <c r="B4229" s="126">
        <f>IFERROR(__xludf.DUMMYFUNCTION("""COMPUTED_VALUE"""),46187.0)</f>
        <v>46187</v>
      </c>
      <c r="C4229" s="130">
        <f>IFERROR(__xludf.DUMMYFUNCTION("""COMPUTED_VALUE"""),0.4717476851851852)</f>
        <v>0.4717476852</v>
      </c>
      <c r="D4229" s="122" t="str">
        <f>IFERROR(__xludf.DUMMYFUNCTION("""COMPUTED_VALUE"""),"BOND")</f>
        <v>BOND</v>
      </c>
      <c r="E4229" s="122" t="str">
        <f>IFERROR(__xludf.DUMMYFUNCTION("""COMPUTED_VALUE"""),"BondBridge")</f>
        <v>BondBridge</v>
      </c>
      <c r="F4229" s="122" t="str">
        <f>IFERROR(__xludf.DUMMYFUNCTION("""COMPUTED_VALUE"""),"Finance")</f>
        <v>Finance</v>
      </c>
    </row>
    <row r="4230">
      <c r="A4230" s="131">
        <f>IFERROR(__xludf.DUMMYFUNCTION("""COMPUTED_VALUE"""),46187.47174768519)</f>
        <v>46187.47175</v>
      </c>
      <c r="B4230" s="126">
        <f>IFERROR(__xludf.DUMMYFUNCTION("""COMPUTED_VALUE"""),46187.0)</f>
        <v>46187</v>
      </c>
      <c r="C4230" s="130">
        <f>IFERROR(__xludf.DUMMYFUNCTION("""COMPUTED_VALUE"""),0.4717476851851852)</f>
        <v>0.4717476852</v>
      </c>
      <c r="D4230" s="122" t="str">
        <f>IFERROR(__xludf.DUMMYFUNCTION("""COMPUTED_VALUE"""),"INSR")</f>
        <v>INSR</v>
      </c>
      <c r="E4230" s="122" t="str">
        <f>IFERROR(__xludf.DUMMYFUNCTION("""COMPUTED_VALUE"""),"Shield Insurance")</f>
        <v>Shield Insurance</v>
      </c>
      <c r="F4230" s="122" t="str">
        <f>IFERROR(__xludf.DUMMYFUNCTION("""COMPUTED_VALUE"""),"Finance")</f>
        <v>Finance</v>
      </c>
    </row>
    <row r="4231">
      <c r="A4231" s="131">
        <f>IFERROR(__xludf.DUMMYFUNCTION("""COMPUTED_VALUE"""),46187.47174768519)</f>
        <v>46187.47175</v>
      </c>
      <c r="B4231" s="126">
        <f>IFERROR(__xludf.DUMMYFUNCTION("""COMPUTED_VALUE"""),46187.0)</f>
        <v>46187</v>
      </c>
      <c r="C4231" s="130">
        <f>IFERROR(__xludf.DUMMYFUNCTION("""COMPUTED_VALUE"""),0.4717476851851852)</f>
        <v>0.4717476852</v>
      </c>
      <c r="D4231" s="122" t="str">
        <f>IFERROR(__xludf.DUMMYFUNCTION("""COMPUTED_VALUE"""),"LOAN")</f>
        <v>LOAN</v>
      </c>
      <c r="E4231" s="122" t="str">
        <f>IFERROR(__xludf.DUMMYFUNCTION("""COMPUTED_VALUE"""),"LoanLab")</f>
        <v>LoanLab</v>
      </c>
      <c r="F4231" s="122" t="str">
        <f>IFERROR(__xludf.DUMMYFUNCTION("""COMPUTED_VALUE"""),"Finance")</f>
        <v>Finance</v>
      </c>
    </row>
    <row r="4232">
      <c r="A4232" s="131">
        <f>IFERROR(__xludf.DUMMYFUNCTION("""COMPUTED_VALUE"""),46187.47174768519)</f>
        <v>46187.47175</v>
      </c>
      <c r="B4232" s="126">
        <f>IFERROR(__xludf.DUMMYFUNCTION("""COMPUTED_VALUE"""),46187.0)</f>
        <v>46187</v>
      </c>
      <c r="C4232" s="130">
        <f>IFERROR(__xludf.DUMMYFUNCTION("""COMPUTED_VALUE"""),0.4717476851851852)</f>
        <v>0.4717476852</v>
      </c>
      <c r="D4232" s="122" t="str">
        <f>IFERROR(__xludf.DUMMYFUNCTION("""COMPUTED_VALUE"""),"LUXE")</f>
        <v>LUXE</v>
      </c>
      <c r="E4232" s="122" t="str">
        <f>IFERROR(__xludf.DUMMYFUNCTION("""COMPUTED_VALUE"""),"Luxury Locker")</f>
        <v>Luxury Locker</v>
      </c>
      <c r="F4232" s="122" t="str">
        <f>IFERROR(__xludf.DUMMYFUNCTION("""COMPUTED_VALUE"""),"Luxury Goods")</f>
        <v>Luxury Goods</v>
      </c>
    </row>
    <row r="4233">
      <c r="A4233" s="131">
        <f>IFERROR(__xludf.DUMMYFUNCTION("""COMPUTED_VALUE"""),46187.47174768519)</f>
        <v>46187.47175</v>
      </c>
      <c r="B4233" s="126">
        <f>IFERROR(__xludf.DUMMYFUNCTION("""COMPUTED_VALUE"""),46187.0)</f>
        <v>46187</v>
      </c>
      <c r="C4233" s="130">
        <f>IFERROR(__xludf.DUMMYFUNCTION("""COMPUTED_VALUE"""),0.4717476851851852)</f>
        <v>0.4717476852</v>
      </c>
      <c r="D4233" s="122" t="str">
        <f>IFERROR(__xludf.DUMMYFUNCTION("""COMPUTED_VALUE"""),"DRIP")</f>
        <v>DRIP</v>
      </c>
      <c r="E4233" s="122" t="str">
        <f>IFERROR(__xludf.DUMMYFUNCTION("""COMPUTED_VALUE"""),"Drip Streetwear")</f>
        <v>Drip Streetwear</v>
      </c>
      <c r="F4233" s="122" t="str">
        <f>IFERROR(__xludf.DUMMYFUNCTION("""COMPUTED_VALUE"""),"Fashion")</f>
        <v>Fashion</v>
      </c>
    </row>
    <row r="4234">
      <c r="A4234" s="131">
        <f>IFERROR(__xludf.DUMMYFUNCTION("""COMPUTED_VALUE"""),46187.47174768519)</f>
        <v>46187.47175</v>
      </c>
      <c r="B4234" s="126">
        <f>IFERROR(__xludf.DUMMYFUNCTION("""COMPUTED_VALUE"""),46187.0)</f>
        <v>46187</v>
      </c>
      <c r="C4234" s="130">
        <f>IFERROR(__xludf.DUMMYFUNCTION("""COMPUTED_VALUE"""),0.4717476851851852)</f>
        <v>0.4717476852</v>
      </c>
      <c r="D4234" s="122" t="str">
        <f>IFERROR(__xludf.DUMMYFUNCTION("""COMPUTED_VALUE"""),"KICK")</f>
        <v>KICK</v>
      </c>
      <c r="E4234" s="122" t="str">
        <f>IFERROR(__xludf.DUMMYFUNCTION("""COMPUTED_VALUE"""),"KickDrop Sneakers")</f>
        <v>KickDrop Sneakers</v>
      </c>
      <c r="F4234" s="122" t="str">
        <f>IFERROR(__xludf.DUMMYFUNCTION("""COMPUTED_VALUE"""),"Fashion")</f>
        <v>Fashion</v>
      </c>
    </row>
    <row r="4235">
      <c r="A4235" s="131">
        <f>IFERROR(__xludf.DUMMYFUNCTION("""COMPUTED_VALUE"""),46187.47174768519)</f>
        <v>46187.47175</v>
      </c>
      <c r="B4235" s="126">
        <f>IFERROR(__xludf.DUMMYFUNCTION("""COMPUTED_VALUE"""),46187.0)</f>
        <v>46187</v>
      </c>
      <c r="C4235" s="130">
        <f>IFERROR(__xludf.DUMMYFUNCTION("""COMPUTED_VALUE"""),0.4717476851851852)</f>
        <v>0.4717476852</v>
      </c>
      <c r="D4235" s="122" t="str">
        <f>IFERROR(__xludf.DUMMYFUNCTION("""COMPUTED_VALUE"""),"GLAM")</f>
        <v>GLAM</v>
      </c>
      <c r="E4235" s="122" t="str">
        <f>IFERROR(__xludf.DUMMYFUNCTION("""COMPUTED_VALUE"""),"Glow Cosmetics")</f>
        <v>Glow Cosmetics</v>
      </c>
      <c r="F4235" s="122" t="str">
        <f>IFERROR(__xludf.DUMMYFUNCTION("""COMPUTED_VALUE"""),"Fashion")</f>
        <v>Fashion</v>
      </c>
    </row>
    <row r="4236">
      <c r="A4236" s="131">
        <f>IFERROR(__xludf.DUMMYFUNCTION("""COMPUTED_VALUE"""),46187.47174768519)</f>
        <v>46187.47175</v>
      </c>
      <c r="B4236" s="126">
        <f>IFERROR(__xludf.DUMMYFUNCTION("""COMPUTED_VALUE"""),46187.0)</f>
        <v>46187</v>
      </c>
      <c r="C4236" s="130">
        <f>IFERROR(__xludf.DUMMYFUNCTION("""COMPUTED_VALUE"""),0.4717476851851852)</f>
        <v>0.4717476852</v>
      </c>
      <c r="D4236" s="122" t="str">
        <f>IFERROR(__xludf.DUMMYFUNCTION("""COMPUTED_VALUE"""),"BAGG")</f>
        <v>BAGG</v>
      </c>
      <c r="E4236" s="122" t="str">
        <f>IFERROR(__xludf.DUMMYFUNCTION("""COMPUTED_VALUE"""),"BagVault")</f>
        <v>BagVault</v>
      </c>
      <c r="F4236" s="122" t="str">
        <f>IFERROR(__xludf.DUMMYFUNCTION("""COMPUTED_VALUE"""),"Fashion")</f>
        <v>Fashion</v>
      </c>
    </row>
    <row r="4237">
      <c r="A4237" s="131">
        <f>IFERROR(__xludf.DUMMYFUNCTION("""COMPUTED_VALUE"""),46187.47174768519)</f>
        <v>46187.47175</v>
      </c>
      <c r="B4237" s="126">
        <f>IFERROR(__xludf.DUMMYFUNCTION("""COMPUTED_VALUE"""),46187.0)</f>
        <v>46187</v>
      </c>
      <c r="C4237" s="130">
        <f>IFERROR(__xludf.DUMMYFUNCTION("""COMPUTED_VALUE"""),0.4717476851851852)</f>
        <v>0.4717476852</v>
      </c>
      <c r="D4237" s="122" t="str">
        <f>IFERROR(__xludf.DUMMYFUNCTION("""COMPUTED_VALUE"""),"FAST")</f>
        <v>FAST</v>
      </c>
      <c r="E4237" s="122" t="str">
        <f>IFERROR(__xludf.DUMMYFUNCTION("""COMPUTED_VALUE"""),"Flash Logistics")</f>
        <v>Flash Logistics</v>
      </c>
      <c r="F4237" s="122" t="str">
        <f>IFERROR(__xludf.DUMMYFUNCTION("""COMPUTED_VALUE"""),"Logistics")</f>
        <v>Logistics</v>
      </c>
    </row>
    <row r="4238">
      <c r="A4238" s="131">
        <f>IFERROR(__xludf.DUMMYFUNCTION("""COMPUTED_VALUE"""),46187.47174768519)</f>
        <v>46187.47175</v>
      </c>
      <c r="B4238" s="126">
        <f>IFERROR(__xludf.DUMMYFUNCTION("""COMPUTED_VALUE"""),46187.0)</f>
        <v>46187</v>
      </c>
      <c r="C4238" s="130">
        <f>IFERROR(__xludf.DUMMYFUNCTION("""COMPUTED_VALUE"""),0.4717476851851852)</f>
        <v>0.4717476852</v>
      </c>
      <c r="D4238" s="122" t="str">
        <f>IFERROR(__xludf.DUMMYFUNCTION("""COMPUTED_VALUE"""),"SHIP")</f>
        <v>SHIP</v>
      </c>
      <c r="E4238" s="122" t="str">
        <f>IFERROR(__xludf.DUMMYFUNCTION("""COMPUTED_VALUE"""),"Seoul Shipping")</f>
        <v>Seoul Shipping</v>
      </c>
      <c r="F4238" s="122" t="str">
        <f>IFERROR(__xludf.DUMMYFUNCTION("""COMPUTED_VALUE"""),"Logistics")</f>
        <v>Logistics</v>
      </c>
    </row>
    <row r="4239">
      <c r="A4239" s="131">
        <f>IFERROR(__xludf.DUMMYFUNCTION("""COMPUTED_VALUE"""),46187.47174768519)</f>
        <v>46187.47175</v>
      </c>
      <c r="B4239" s="126">
        <f>IFERROR(__xludf.DUMMYFUNCTION("""COMPUTED_VALUE"""),46187.0)</f>
        <v>46187</v>
      </c>
      <c r="C4239" s="130">
        <f>IFERROR(__xludf.DUMMYFUNCTION("""COMPUTED_VALUE"""),0.4717476851851852)</f>
        <v>0.4717476852</v>
      </c>
      <c r="D4239" s="122" t="str">
        <f>IFERROR(__xludf.DUMMYFUNCTION("""COMPUTED_VALUE"""),"DRON")</f>
        <v>DRON</v>
      </c>
      <c r="E4239" s="122" t="str">
        <f>IFERROR(__xludf.DUMMYFUNCTION("""COMPUTED_VALUE"""),"DroneDrop")</f>
        <v>DroneDrop</v>
      </c>
      <c r="F4239" s="122" t="str">
        <f>IFERROR(__xludf.DUMMYFUNCTION("""COMPUTED_VALUE"""),"Logistics")</f>
        <v>Logistics</v>
      </c>
    </row>
    <row r="4240">
      <c r="A4240" s="131">
        <f>IFERROR(__xludf.DUMMYFUNCTION("""COMPUTED_VALUE"""),46187.47174768519)</f>
        <v>46187.47175</v>
      </c>
      <c r="B4240" s="126">
        <f>IFERROR(__xludf.DUMMYFUNCTION("""COMPUTED_VALUE"""),46187.0)</f>
        <v>46187</v>
      </c>
      <c r="C4240" s="130">
        <f>IFERROR(__xludf.DUMMYFUNCTION("""COMPUTED_VALUE"""),0.4717476851851852)</f>
        <v>0.4717476852</v>
      </c>
      <c r="D4240" s="122" t="str">
        <f>IFERROR(__xludf.DUMMYFUNCTION("""COMPUTED_VALUE"""),"RIDE")</f>
        <v>RIDE</v>
      </c>
      <c r="E4240" s="122" t="str">
        <f>IFERROR(__xludf.DUMMYFUNCTION("""COMPUTED_VALUE"""),"QuickRide")</f>
        <v>QuickRide</v>
      </c>
      <c r="F4240" s="122" t="str">
        <f>IFERROR(__xludf.DUMMYFUNCTION("""COMPUTED_VALUE"""),"Transportation")</f>
        <v>Transportation</v>
      </c>
    </row>
    <row r="4241">
      <c r="A4241" s="131">
        <f>IFERROR(__xludf.DUMMYFUNCTION("""COMPUTED_VALUE"""),46187.47174768519)</f>
        <v>46187.47175</v>
      </c>
      <c r="B4241" s="126">
        <f>IFERROR(__xludf.DUMMYFUNCTION("""COMPUTED_VALUE"""),46187.0)</f>
        <v>46187</v>
      </c>
      <c r="C4241" s="130">
        <f>IFERROR(__xludf.DUMMYFUNCTION("""COMPUTED_VALUE"""),0.4717476851851852)</f>
        <v>0.4717476852</v>
      </c>
      <c r="D4241" s="122" t="str">
        <f>IFERROR(__xludf.DUMMYFUNCTION("""COMPUTED_VALUE"""),"RAIL")</f>
        <v>RAIL</v>
      </c>
      <c r="E4241" s="122" t="str">
        <f>IFERROR(__xludf.DUMMYFUNCTION("""COMPUTED_VALUE"""),"MetroRail Corp")</f>
        <v>MetroRail Corp</v>
      </c>
      <c r="F4241" s="122" t="str">
        <f>IFERROR(__xludf.DUMMYFUNCTION("""COMPUTED_VALUE"""),"Transportation")</f>
        <v>Transportation</v>
      </c>
    </row>
    <row r="4242">
      <c r="A4242" s="131">
        <f>IFERROR(__xludf.DUMMYFUNCTION("""COMPUTED_VALUE"""),46187.47174768519)</f>
        <v>46187.47175</v>
      </c>
      <c r="B4242" s="126">
        <f>IFERROR(__xludf.DUMMYFUNCTION("""COMPUTED_VALUE"""),46187.0)</f>
        <v>46187</v>
      </c>
      <c r="C4242" s="130">
        <f>IFERROR(__xludf.DUMMYFUNCTION("""COMPUTED_VALUE"""),0.4717476851851852)</f>
        <v>0.4717476852</v>
      </c>
      <c r="D4242" s="122" t="str">
        <f>IFERROR(__xludf.DUMMYFUNCTION("""COMPUTED_VALUE"""),"MEDX")</f>
        <v>MEDX</v>
      </c>
      <c r="E4242" s="122" t="str">
        <f>IFERROR(__xludf.DUMMYFUNCTION("""COMPUTED_VALUE"""),"MediCore")</f>
        <v>MediCore</v>
      </c>
      <c r="F4242" s="122" t="str">
        <f>IFERROR(__xludf.DUMMYFUNCTION("""COMPUTED_VALUE"""),"Healthcare")</f>
        <v>Healthcare</v>
      </c>
    </row>
    <row r="4243">
      <c r="A4243" s="131">
        <f>IFERROR(__xludf.DUMMYFUNCTION("""COMPUTED_VALUE"""),46187.47174768519)</f>
        <v>46187.47175</v>
      </c>
      <c r="B4243" s="126">
        <f>IFERROR(__xludf.DUMMYFUNCTION("""COMPUTED_VALUE"""),46187.0)</f>
        <v>46187</v>
      </c>
      <c r="C4243" s="130">
        <f>IFERROR(__xludf.DUMMYFUNCTION("""COMPUTED_VALUE"""),0.4717476851851852)</f>
        <v>0.4717476852</v>
      </c>
      <c r="D4243" s="122" t="str">
        <f>IFERROR(__xludf.DUMMYFUNCTION("""COMPUTED_VALUE"""),"GYMX")</f>
        <v>GYMX</v>
      </c>
      <c r="E4243" s="122" t="str">
        <f>IFERROR(__xludf.DUMMYFUNCTION("""COMPUTED_VALUE"""),"GymX Fitness")</f>
        <v>GymX Fitness</v>
      </c>
      <c r="F4243" s="122" t="str">
        <f>IFERROR(__xludf.DUMMYFUNCTION("""COMPUTED_VALUE"""),"Healthcare")</f>
        <v>Healthcare</v>
      </c>
    </row>
    <row r="4244">
      <c r="A4244" s="131">
        <f>IFERROR(__xludf.DUMMYFUNCTION("""COMPUTED_VALUE"""),46187.47174768519)</f>
        <v>46187.47175</v>
      </c>
      <c r="B4244" s="126">
        <f>IFERROR(__xludf.DUMMYFUNCTION("""COMPUTED_VALUE"""),46187.0)</f>
        <v>46187</v>
      </c>
      <c r="C4244" s="130">
        <f>IFERROR(__xludf.DUMMYFUNCTION("""COMPUTED_VALUE"""),0.4717476851851852)</f>
        <v>0.4717476852</v>
      </c>
      <c r="D4244" s="122" t="str">
        <f>IFERROR(__xludf.DUMMYFUNCTION("""COMPUTED_VALUE"""),"VITA")</f>
        <v>VITA</v>
      </c>
      <c r="E4244" s="122" t="str">
        <f>IFERROR(__xludf.DUMMYFUNCTION("""COMPUTED_VALUE"""),"VitaPlus")</f>
        <v>VitaPlus</v>
      </c>
      <c r="F4244" s="122" t="str">
        <f>IFERROR(__xludf.DUMMYFUNCTION("""COMPUTED_VALUE"""),"Healthcare")</f>
        <v>Healthcare</v>
      </c>
    </row>
    <row r="4245">
      <c r="A4245" s="131">
        <f>IFERROR(__xludf.DUMMYFUNCTION("""COMPUTED_VALUE"""),46187.47174768519)</f>
        <v>46187.47175</v>
      </c>
      <c r="B4245" s="126">
        <f>IFERROR(__xludf.DUMMYFUNCTION("""COMPUTED_VALUE"""),46187.0)</f>
        <v>46187</v>
      </c>
      <c r="C4245" s="130">
        <f>IFERROR(__xludf.DUMMYFUNCTION("""COMPUTED_VALUE"""),0.4717476851851852)</f>
        <v>0.4717476852</v>
      </c>
      <c r="D4245" s="122" t="str">
        <f>IFERROR(__xludf.DUMMYFUNCTION("""COMPUTED_VALUE"""),"CARE")</f>
        <v>CARE</v>
      </c>
      <c r="E4245" s="122" t="str">
        <f>IFERROR(__xludf.DUMMYFUNCTION("""COMPUTED_VALUE"""),"CareCloud")</f>
        <v>CareCloud</v>
      </c>
      <c r="F4245" s="122" t="str">
        <f>IFERROR(__xludf.DUMMYFUNCTION("""COMPUTED_VALUE"""),"Healthcare")</f>
        <v>Healthcare</v>
      </c>
    </row>
    <row r="4246">
      <c r="A4246" s="131">
        <f>IFERROR(__xludf.DUMMYFUNCTION("""COMPUTED_VALUE"""),46187.47174768519)</f>
        <v>46187.47175</v>
      </c>
      <c r="B4246" s="126">
        <f>IFERROR(__xludf.DUMMYFUNCTION("""COMPUTED_VALUE"""),46187.0)</f>
        <v>46187</v>
      </c>
      <c r="C4246" s="130">
        <f>IFERROR(__xludf.DUMMYFUNCTION("""COMPUTED_VALUE"""),0.4717476851851852)</f>
        <v>0.4717476852</v>
      </c>
      <c r="D4246" s="122" t="str">
        <f>IFERROR(__xludf.DUMMYFUNCTION("""COMPUTED_VALUE"""),"DENT")</f>
        <v>DENT</v>
      </c>
      <c r="E4246" s="122" t="str">
        <f>IFERROR(__xludf.DUMMYFUNCTION("""COMPUTED_VALUE"""),"SmileWorks")</f>
        <v>SmileWorks</v>
      </c>
      <c r="F4246" s="122" t="str">
        <f>IFERROR(__xludf.DUMMYFUNCTION("""COMPUTED_VALUE"""),"Healthcare")</f>
        <v>Healthcare</v>
      </c>
    </row>
    <row r="4247">
      <c r="A4247" s="131">
        <f>IFERROR(__xludf.DUMMYFUNCTION("""COMPUTED_VALUE"""),46187.47174768519)</f>
        <v>46187.47175</v>
      </c>
      <c r="B4247" s="126">
        <f>IFERROR(__xludf.DUMMYFUNCTION("""COMPUTED_VALUE"""),46187.0)</f>
        <v>46187</v>
      </c>
      <c r="C4247" s="130">
        <f>IFERROR(__xludf.DUMMYFUNCTION("""COMPUTED_VALUE"""),0.4717476851851852)</f>
        <v>0.4717476852</v>
      </c>
      <c r="D4247" s="122" t="str">
        <f>IFERROR(__xludf.DUMMYFUNCTION("""COMPUTED_VALUE"""),"EDUX")</f>
        <v>EDUX</v>
      </c>
      <c r="E4247" s="122" t="str">
        <f>IFERROR(__xludf.DUMMYFUNCTION("""COMPUTED_VALUE"""),"EduMax Learning")</f>
        <v>EduMax Learning</v>
      </c>
      <c r="F4247" s="122" t="str">
        <f>IFERROR(__xludf.DUMMYFUNCTION("""COMPUTED_VALUE"""),"Education")</f>
        <v>Education</v>
      </c>
    </row>
    <row r="4248">
      <c r="A4248" s="131">
        <f>IFERROR(__xludf.DUMMYFUNCTION("""COMPUTED_VALUE"""),46187.47174768519)</f>
        <v>46187.47175</v>
      </c>
      <c r="B4248" s="126">
        <f>IFERROR(__xludf.DUMMYFUNCTION("""COMPUTED_VALUE"""),46187.0)</f>
        <v>46187</v>
      </c>
      <c r="C4248" s="130">
        <f>IFERROR(__xludf.DUMMYFUNCTION("""COMPUTED_VALUE"""),0.4717476851851852)</f>
        <v>0.4717476852</v>
      </c>
      <c r="D4248" s="122" t="str">
        <f>IFERROR(__xludf.DUMMYFUNCTION("""COMPUTED_VALUE"""),"BOOK")</f>
        <v>BOOK</v>
      </c>
      <c r="E4248" s="122" t="str">
        <f>IFERROR(__xludf.DUMMYFUNCTION("""COMPUTED_VALUE"""),"BookBridge")</f>
        <v>BookBridge</v>
      </c>
      <c r="F4248" s="122" t="str">
        <f>IFERROR(__xludf.DUMMYFUNCTION("""COMPUTED_VALUE"""),"Education")</f>
        <v>Education</v>
      </c>
    </row>
    <row r="4249">
      <c r="A4249" s="131">
        <f>IFERROR(__xludf.DUMMYFUNCTION("""COMPUTED_VALUE"""),46187.47174768519)</f>
        <v>46187.47175</v>
      </c>
      <c r="B4249" s="126">
        <f>IFERROR(__xludf.DUMMYFUNCTION("""COMPUTED_VALUE"""),46187.0)</f>
        <v>46187</v>
      </c>
      <c r="C4249" s="130">
        <f>IFERROR(__xludf.DUMMYFUNCTION("""COMPUTED_VALUE"""),0.4717476851851852)</f>
        <v>0.4717476852</v>
      </c>
      <c r="D4249" s="122" t="str">
        <f>IFERROR(__xludf.DUMMYFUNCTION("""COMPUTED_VALUE"""),"TUTR")</f>
        <v>TUTR</v>
      </c>
      <c r="E4249" s="122" t="str">
        <f>IFERROR(__xludf.DUMMYFUNCTION("""COMPUTED_VALUE"""),"TutorTown")</f>
        <v>TutorTown</v>
      </c>
      <c r="F4249" s="122" t="str">
        <f>IFERROR(__xludf.DUMMYFUNCTION("""COMPUTED_VALUE"""),"Education")</f>
        <v>Education</v>
      </c>
    </row>
    <row r="4250">
      <c r="A4250" s="131">
        <f>IFERROR(__xludf.DUMMYFUNCTION("""COMPUTED_VALUE"""),46187.47174768519)</f>
        <v>46187.47175</v>
      </c>
      <c r="B4250" s="126">
        <f>IFERROR(__xludf.DUMMYFUNCTION("""COMPUTED_VALUE"""),46187.0)</f>
        <v>46187</v>
      </c>
      <c r="C4250" s="130">
        <f>IFERROR(__xludf.DUMMYFUNCTION("""COMPUTED_VALUE"""),0.4717476851851852)</f>
        <v>0.4717476852</v>
      </c>
      <c r="D4250" s="122" t="str">
        <f>IFERROR(__xludf.DUMMYFUNCTION("""COMPUTED_VALUE"""),"LANG")</f>
        <v>LANG</v>
      </c>
      <c r="E4250" s="122" t="str">
        <f>IFERROR(__xludf.DUMMYFUNCTION("""COMPUTED_VALUE"""),"LinguaLab")</f>
        <v>LinguaLab</v>
      </c>
      <c r="F4250" s="122" t="str">
        <f>IFERROR(__xludf.DUMMYFUNCTION("""COMPUTED_VALUE"""),"Education")</f>
        <v>Education</v>
      </c>
    </row>
    <row r="4251">
      <c r="A4251" s="131">
        <f>IFERROR(__xludf.DUMMYFUNCTION("""COMPUTED_VALUE"""),46187.47174768519)</f>
        <v>46187.47175</v>
      </c>
      <c r="B4251" s="126">
        <f>IFERROR(__xludf.DUMMYFUNCTION("""COMPUTED_VALUE"""),46187.0)</f>
        <v>46187</v>
      </c>
      <c r="C4251" s="130">
        <f>IFERROR(__xludf.DUMMYFUNCTION("""COMPUTED_VALUE"""),0.4717476851851852)</f>
        <v>0.4717476852</v>
      </c>
      <c r="D4251" s="122" t="str">
        <f>IFERROR(__xludf.DUMMYFUNCTION("""COMPUTED_VALUE"""),"TEST")</f>
        <v>TEST</v>
      </c>
      <c r="E4251" s="122" t="str">
        <f>IFERROR(__xludf.DUMMYFUNCTION("""COMPUTED_VALUE"""),"TestPrep Pro")</f>
        <v>TestPrep Pro</v>
      </c>
      <c r="F4251" s="122" t="str">
        <f>IFERROR(__xludf.DUMMYFUNCTION("""COMPUTED_VALUE"""),"Education")</f>
        <v>Education</v>
      </c>
    </row>
    <row r="4252">
      <c r="A4252" s="131">
        <f>IFERROR(__xludf.DUMMYFUNCTION("""COMPUTED_VALUE"""),46187.47174768519)</f>
        <v>46187.47175</v>
      </c>
      <c r="B4252" s="126">
        <f>IFERROR(__xludf.DUMMYFUNCTION("""COMPUTED_VALUE"""),46187.0)</f>
        <v>46187</v>
      </c>
      <c r="C4252" s="130">
        <f>IFERROR(__xludf.DUMMYFUNCTION("""COMPUTED_VALUE"""),0.4717476851851852)</f>
        <v>0.4717476852</v>
      </c>
      <c r="D4252" s="122" t="str">
        <f>IFERROR(__xludf.DUMMYFUNCTION("""COMPUTED_VALUE"""),"MOVI")</f>
        <v>MOVI</v>
      </c>
      <c r="E4252" s="122" t="str">
        <f>IFERROR(__xludf.DUMMYFUNCTION("""COMPUTED_VALUE"""),"MovieBox")</f>
        <v>MovieBox</v>
      </c>
      <c r="F4252" s="122" t="str">
        <f>IFERROR(__xludf.DUMMYFUNCTION("""COMPUTED_VALUE"""),"Entertainment")</f>
        <v>Entertainment</v>
      </c>
    </row>
    <row r="4253">
      <c r="A4253" s="131">
        <f>IFERROR(__xludf.DUMMYFUNCTION("""COMPUTED_VALUE"""),46187.47174768519)</f>
        <v>46187.47175</v>
      </c>
      <c r="B4253" s="126">
        <f>IFERROR(__xludf.DUMMYFUNCTION("""COMPUTED_VALUE"""),46187.0)</f>
        <v>46187</v>
      </c>
      <c r="C4253" s="130">
        <f>IFERROR(__xludf.DUMMYFUNCTION("""COMPUTED_VALUE"""),0.4717476851851852)</f>
        <v>0.4717476852</v>
      </c>
      <c r="D4253" s="122" t="str">
        <f>IFERROR(__xludf.DUMMYFUNCTION("""COMPUTED_VALUE"""),"MUSC")</f>
        <v>MUSC</v>
      </c>
      <c r="E4253" s="122" t="str">
        <f>IFERROR(__xludf.DUMMYFUNCTION("""COMPUTED_VALUE"""),"MusicWave")</f>
        <v>MusicWave</v>
      </c>
      <c r="F4253" s="122" t="str">
        <f>IFERROR(__xludf.DUMMYFUNCTION("""COMPUTED_VALUE"""),"Entertainment")</f>
        <v>Entertainment</v>
      </c>
    </row>
    <row r="4254">
      <c r="A4254" s="131">
        <f>IFERROR(__xludf.DUMMYFUNCTION("""COMPUTED_VALUE"""),46187.47174768519)</f>
        <v>46187.47175</v>
      </c>
      <c r="B4254" s="126">
        <f>IFERROR(__xludf.DUMMYFUNCTION("""COMPUTED_VALUE"""),46187.0)</f>
        <v>46187</v>
      </c>
      <c r="C4254" s="130">
        <f>IFERROR(__xludf.DUMMYFUNCTION("""COMPUTED_VALUE"""),0.4717476851851852)</f>
        <v>0.4717476852</v>
      </c>
      <c r="D4254" s="122" t="str">
        <f>IFERROR(__xludf.DUMMYFUNCTION("""COMPUTED_VALUE"""),"IDOL")</f>
        <v>IDOL</v>
      </c>
      <c r="E4254" s="122" t="str">
        <f>IFERROR(__xludf.DUMMYFUNCTION("""COMPUTED_VALUE"""),"Idol Agency")</f>
        <v>Idol Agency</v>
      </c>
      <c r="F4254" s="122" t="str">
        <f>IFERROR(__xludf.DUMMYFUNCTION("""COMPUTED_VALUE"""),"Entertainment")</f>
        <v>Entertainment</v>
      </c>
    </row>
    <row r="4255">
      <c r="A4255" s="131">
        <f>IFERROR(__xludf.DUMMYFUNCTION("""COMPUTED_VALUE"""),46187.47174768519)</f>
        <v>46187.47175</v>
      </c>
      <c r="B4255" s="126">
        <f>IFERROR(__xludf.DUMMYFUNCTION("""COMPUTED_VALUE"""),46187.0)</f>
        <v>46187</v>
      </c>
      <c r="C4255" s="130">
        <f>IFERROR(__xludf.DUMMYFUNCTION("""COMPUTED_VALUE"""),0.4717476851851852)</f>
        <v>0.4717476852</v>
      </c>
      <c r="D4255" s="122" t="str">
        <f>IFERROR(__xludf.DUMMYFUNCTION("""COMPUTED_VALUE"""),"MEME")</f>
        <v>MEME</v>
      </c>
      <c r="E4255" s="122" t="str">
        <f>IFERROR(__xludf.DUMMYFUNCTION("""COMPUTED_VALUE"""),"Meme Media")</f>
        <v>Meme Media</v>
      </c>
      <c r="F4255" s="122" t="str">
        <f>IFERROR(__xludf.DUMMYFUNCTION("""COMPUTED_VALUE"""),"Entertainment")</f>
        <v>Entertainment</v>
      </c>
    </row>
    <row r="4256">
      <c r="A4256" s="131">
        <f>IFERROR(__xludf.DUMMYFUNCTION("""COMPUTED_VALUE"""),46187.47174768519)</f>
        <v>46187.47175</v>
      </c>
      <c r="B4256" s="126">
        <f>IFERROR(__xludf.DUMMYFUNCTION("""COMPUTED_VALUE"""),46187.0)</f>
        <v>46187</v>
      </c>
      <c r="C4256" s="130">
        <f>IFERROR(__xludf.DUMMYFUNCTION("""COMPUTED_VALUE"""),0.4717476851851852)</f>
        <v>0.4717476852</v>
      </c>
      <c r="D4256" s="122" t="str">
        <f>IFERROR(__xludf.DUMMYFUNCTION("""COMPUTED_VALUE"""),"STRM")</f>
        <v>STRM</v>
      </c>
      <c r="E4256" s="122" t="str">
        <f>IFERROR(__xludf.DUMMYFUNCTION("""COMPUTED_VALUE"""),"Streamly")</f>
        <v>Streamly</v>
      </c>
      <c r="F4256" s="122" t="str">
        <f>IFERROR(__xludf.DUMMYFUNCTION("""COMPUTED_VALUE"""),"Entertainment")</f>
        <v>Entertainment</v>
      </c>
    </row>
    <row r="4257">
      <c r="A4257" s="131">
        <f>IFERROR(__xludf.DUMMYFUNCTION("""COMPUTED_VALUE"""),46187.47174768519)</f>
        <v>46187.47175</v>
      </c>
      <c r="B4257" s="126">
        <f>IFERROR(__xludf.DUMMYFUNCTION("""COMPUTED_VALUE"""),46187.0)</f>
        <v>46187</v>
      </c>
      <c r="C4257" s="130">
        <f>IFERROR(__xludf.DUMMYFUNCTION("""COMPUTED_VALUE"""),0.4717476851851852)</f>
        <v>0.4717476852</v>
      </c>
      <c r="D4257" s="122" t="str">
        <f>IFERROR(__xludf.DUMMYFUNCTION("""COMPUTED_VALUE"""),"FARM")</f>
        <v>FARM</v>
      </c>
      <c r="E4257" s="122" t="str">
        <f>IFERROR(__xludf.DUMMYFUNCTION("""COMPUTED_VALUE"""),"Future Farms")</f>
        <v>Future Farms</v>
      </c>
      <c r="F4257" s="122" t="str">
        <f>IFERROR(__xludf.DUMMYFUNCTION("""COMPUTED_VALUE"""),"Agriculture")</f>
        <v>Agriculture</v>
      </c>
    </row>
    <row r="4258">
      <c r="A4258" s="131">
        <f>IFERROR(__xludf.DUMMYFUNCTION("""COMPUTED_VALUE"""),46187.47174768519)</f>
        <v>46187.47175</v>
      </c>
      <c r="B4258" s="126">
        <f>IFERROR(__xludf.DUMMYFUNCTION("""COMPUTED_VALUE"""),46187.0)</f>
        <v>46187</v>
      </c>
      <c r="C4258" s="130">
        <f>IFERROR(__xludf.DUMMYFUNCTION("""COMPUTED_VALUE"""),0.4717476851851852)</f>
        <v>0.4717476852</v>
      </c>
      <c r="D4258" s="122" t="str">
        <f>IFERROR(__xludf.DUMMYFUNCTION("""COMPUTED_VALUE"""),"MEAT")</f>
        <v>MEAT</v>
      </c>
      <c r="E4258" s="122" t="str">
        <f>IFERROR(__xludf.DUMMYFUNCTION("""COMPUTED_VALUE"""),"MeatWorks")</f>
        <v>MeatWorks</v>
      </c>
      <c r="F4258" s="122" t="str">
        <f>IFERROR(__xludf.DUMMYFUNCTION("""COMPUTED_VALUE"""),"Food")</f>
        <v>Food</v>
      </c>
    </row>
    <row r="4259">
      <c r="A4259" s="131">
        <f>IFERROR(__xludf.DUMMYFUNCTION("""COMPUTED_VALUE"""),46187.47174768519)</f>
        <v>46187.47175</v>
      </c>
      <c r="B4259" s="126">
        <f>IFERROR(__xludf.DUMMYFUNCTION("""COMPUTED_VALUE"""),46187.0)</f>
        <v>46187</v>
      </c>
      <c r="C4259" s="130">
        <f>IFERROR(__xludf.DUMMYFUNCTION("""COMPUTED_VALUE"""),0.4717476851851852)</f>
        <v>0.4717476852</v>
      </c>
      <c r="D4259" s="122" t="str">
        <f>IFERROR(__xludf.DUMMYFUNCTION("""COMPUTED_VALUE"""),"VEGI")</f>
        <v>VEGI</v>
      </c>
      <c r="E4259" s="122" t="str">
        <f>IFERROR(__xludf.DUMMYFUNCTION("""COMPUTED_VALUE"""),"Green Basket")</f>
        <v>Green Basket</v>
      </c>
      <c r="F4259" s="122" t="str">
        <f>IFERROR(__xludf.DUMMYFUNCTION("""COMPUTED_VALUE"""),"Food")</f>
        <v>Food</v>
      </c>
    </row>
    <row r="4260">
      <c r="A4260" s="131">
        <f>IFERROR(__xludf.DUMMYFUNCTION("""COMPUTED_VALUE"""),46187.47174768519)</f>
        <v>46187.47175</v>
      </c>
      <c r="B4260" s="126">
        <f>IFERROR(__xludf.DUMMYFUNCTION("""COMPUTED_VALUE"""),46187.0)</f>
        <v>46187</v>
      </c>
      <c r="C4260" s="130">
        <f>IFERROR(__xludf.DUMMYFUNCTION("""COMPUTED_VALUE"""),0.4717476851851852)</f>
        <v>0.4717476852</v>
      </c>
      <c r="D4260" s="122" t="str">
        <f>IFERROR(__xludf.DUMMYFUNCTION("""COMPUTED_VALUE"""),"CAFE")</f>
        <v>CAFE</v>
      </c>
      <c r="E4260" s="122" t="str">
        <f>IFERROR(__xludf.DUMMYFUNCTION("""COMPUTED_VALUE"""),"Cafe Cloud")</f>
        <v>Cafe Cloud</v>
      </c>
      <c r="F4260" s="122" t="str">
        <f>IFERROR(__xludf.DUMMYFUNCTION("""COMPUTED_VALUE"""),"Food")</f>
        <v>Food</v>
      </c>
    </row>
    <row r="4261">
      <c r="A4261" s="131">
        <f>IFERROR(__xludf.DUMMYFUNCTION("""COMPUTED_VALUE"""),46187.47174768519)</f>
        <v>46187.47175</v>
      </c>
      <c r="B4261" s="126">
        <f>IFERROR(__xludf.DUMMYFUNCTION("""COMPUTED_VALUE"""),46187.0)</f>
        <v>46187</v>
      </c>
      <c r="C4261" s="130">
        <f>IFERROR(__xludf.DUMMYFUNCTION("""COMPUTED_VALUE"""),0.4717476851851852)</f>
        <v>0.4717476852</v>
      </c>
      <c r="D4261" s="122" t="str">
        <f>IFERROR(__xludf.DUMMYFUNCTION("""COMPUTED_VALUE"""),"BAKE")</f>
        <v>BAKE</v>
      </c>
      <c r="E4261" s="122" t="str">
        <f>IFERROR(__xludf.DUMMYFUNCTION("""COMPUTED_VALUE"""),"BakeHouse")</f>
        <v>BakeHouse</v>
      </c>
      <c r="F4261" s="122" t="str">
        <f>IFERROR(__xludf.DUMMYFUNCTION("""COMPUTED_VALUE"""),"Food")</f>
        <v>Food</v>
      </c>
    </row>
    <row r="4262">
      <c r="A4262" s="131">
        <f>IFERROR(__xludf.DUMMYFUNCTION("""COMPUTED_VALUE"""),46187.47174768519)</f>
        <v>46187.47175</v>
      </c>
      <c r="B4262" s="126">
        <f>IFERROR(__xludf.DUMMYFUNCTION("""COMPUTED_VALUE"""),46187.0)</f>
        <v>46187</v>
      </c>
      <c r="C4262" s="130">
        <f>IFERROR(__xludf.DUMMYFUNCTION("""COMPUTED_VALUE"""),0.4717476851851852)</f>
        <v>0.4717476852</v>
      </c>
      <c r="D4262" s="122" t="str">
        <f>IFERROR(__xludf.DUMMYFUNCTION("""COMPUTED_VALUE"""),"OILX")</f>
        <v>OILX</v>
      </c>
      <c r="E4262" s="122" t="str">
        <f>IFERROR(__xludf.DUMMYFUNCTION("""COMPUTED_VALUE"""),"OilMax Energy")</f>
        <v>OilMax Energy</v>
      </c>
      <c r="F4262" s="122" t="str">
        <f>IFERROR(__xludf.DUMMYFUNCTION("""COMPUTED_VALUE"""),"Energy")</f>
        <v>Energy</v>
      </c>
    </row>
    <row r="4263">
      <c r="A4263" s="131">
        <f>IFERROR(__xludf.DUMMYFUNCTION("""COMPUTED_VALUE"""),46187.47174768519)</f>
        <v>46187.47175</v>
      </c>
      <c r="B4263" s="126">
        <f>IFERROR(__xludf.DUMMYFUNCTION("""COMPUTED_VALUE"""),46187.0)</f>
        <v>46187</v>
      </c>
      <c r="C4263" s="130">
        <f>IFERROR(__xludf.DUMMYFUNCTION("""COMPUTED_VALUE"""),0.4717476851851852)</f>
        <v>0.4717476852</v>
      </c>
      <c r="D4263" s="122" t="str">
        <f>IFERROR(__xludf.DUMMYFUNCTION("""COMPUTED_VALUE"""),"SOLR")</f>
        <v>SOLR</v>
      </c>
      <c r="E4263" s="122" t="str">
        <f>IFERROR(__xludf.DUMMYFUNCTION("""COMPUTED_VALUE"""),"SolarSpark")</f>
        <v>SolarSpark</v>
      </c>
      <c r="F4263" s="122" t="str">
        <f>IFERROR(__xludf.DUMMYFUNCTION("""COMPUTED_VALUE"""),"Energy")</f>
        <v>Energy</v>
      </c>
    </row>
    <row r="4264">
      <c r="A4264" s="131">
        <f>IFERROR(__xludf.DUMMYFUNCTION("""COMPUTED_VALUE"""),46187.47174768519)</f>
        <v>46187.47175</v>
      </c>
      <c r="B4264" s="126">
        <f>IFERROR(__xludf.DUMMYFUNCTION("""COMPUTED_VALUE"""),46187.0)</f>
        <v>46187</v>
      </c>
      <c r="C4264" s="130">
        <f>IFERROR(__xludf.DUMMYFUNCTION("""COMPUTED_VALUE"""),0.4717476851851852)</f>
        <v>0.4717476852</v>
      </c>
      <c r="D4264" s="122" t="str">
        <f>IFERROR(__xludf.DUMMYFUNCTION("""COMPUTED_VALUE"""),"BATT")</f>
        <v>BATT</v>
      </c>
      <c r="E4264" s="122" t="str">
        <f>IFERROR(__xludf.DUMMYFUNCTION("""COMPUTED_VALUE"""),"BatteryBox")</f>
        <v>BatteryBox</v>
      </c>
      <c r="F4264" s="122" t="str">
        <f>IFERROR(__xludf.DUMMYFUNCTION("""COMPUTED_VALUE"""),"Energy")</f>
        <v>Energy</v>
      </c>
    </row>
    <row r="4265">
      <c r="A4265" s="131">
        <f>IFERROR(__xludf.DUMMYFUNCTION("""COMPUTED_VALUE"""),46187.47174768519)</f>
        <v>46187.47175</v>
      </c>
      <c r="B4265" s="126">
        <f>IFERROR(__xludf.DUMMYFUNCTION("""COMPUTED_VALUE"""),46187.0)</f>
        <v>46187</v>
      </c>
      <c r="C4265" s="130">
        <f>IFERROR(__xludf.DUMMYFUNCTION("""COMPUTED_VALUE"""),0.4717476851851852)</f>
        <v>0.4717476852</v>
      </c>
      <c r="D4265" s="122" t="str">
        <f>IFERROR(__xludf.DUMMYFUNCTION("""COMPUTED_VALUE"""),"WIND")</f>
        <v>WIND</v>
      </c>
      <c r="E4265" s="122" t="str">
        <f>IFERROR(__xludf.DUMMYFUNCTION("""COMPUTED_VALUE"""),"WindWorks")</f>
        <v>WindWorks</v>
      </c>
      <c r="F4265" s="122" t="str">
        <f>IFERROR(__xludf.DUMMYFUNCTION("""COMPUTED_VALUE"""),"Energy")</f>
        <v>Energy</v>
      </c>
    </row>
    <row r="4266">
      <c r="A4266" s="131">
        <f>IFERROR(__xludf.DUMMYFUNCTION("""COMPUTED_VALUE"""),46187.47174768519)</f>
        <v>46187.47175</v>
      </c>
      <c r="B4266" s="126">
        <f>IFERROR(__xludf.DUMMYFUNCTION("""COMPUTED_VALUE"""),46187.0)</f>
        <v>46187</v>
      </c>
      <c r="C4266" s="130">
        <f>IFERROR(__xludf.DUMMYFUNCTION("""COMPUTED_VALUE"""),0.4717476851851852)</f>
        <v>0.4717476852</v>
      </c>
      <c r="D4266" s="122" t="str">
        <f>IFERROR(__xludf.DUMMYFUNCTION("""COMPUTED_VALUE"""),"GRID")</f>
        <v>GRID</v>
      </c>
      <c r="E4266" s="122" t="str">
        <f>IFERROR(__xludf.DUMMYFUNCTION("""COMPUTED_VALUE"""),"GridPower")</f>
        <v>GridPower</v>
      </c>
      <c r="F4266" s="122" t="str">
        <f>IFERROR(__xludf.DUMMYFUNCTION("""COMPUTED_VALUE"""),"Energy")</f>
        <v>Energy</v>
      </c>
    </row>
    <row r="4267">
      <c r="A4267" s="131">
        <f>IFERROR(__xludf.DUMMYFUNCTION("""COMPUTED_VALUE"""),46187.47174768519)</f>
        <v>46187.47175</v>
      </c>
      <c r="B4267" s="126">
        <f>IFERROR(__xludf.DUMMYFUNCTION("""COMPUTED_VALUE"""),46187.0)</f>
        <v>46187</v>
      </c>
      <c r="C4267" s="130">
        <f>IFERROR(__xludf.DUMMYFUNCTION("""COMPUTED_VALUE"""),0.4717476851851852)</f>
        <v>0.4717476852</v>
      </c>
      <c r="D4267" s="122" t="str">
        <f>IFERROR(__xludf.DUMMYFUNCTION("""COMPUTED_VALUE"""),"HOME")</f>
        <v>HOME</v>
      </c>
      <c r="E4267" s="122" t="str">
        <f>IFERROR(__xludf.DUMMYFUNCTION("""COMPUTED_VALUE"""),"HomeHub")</f>
        <v>HomeHub</v>
      </c>
      <c r="F4267" s="122" t="str">
        <f>IFERROR(__xludf.DUMMYFUNCTION("""COMPUTED_VALUE"""),"Real Estate")</f>
        <v>Real Estate</v>
      </c>
    </row>
    <row r="4268">
      <c r="A4268" s="131">
        <f>IFERROR(__xludf.DUMMYFUNCTION("""COMPUTED_VALUE"""),46187.47174768519)</f>
        <v>46187.47175</v>
      </c>
      <c r="B4268" s="126">
        <f>IFERROR(__xludf.DUMMYFUNCTION("""COMPUTED_VALUE"""),46187.0)</f>
        <v>46187</v>
      </c>
      <c r="C4268" s="130">
        <f>IFERROR(__xludf.DUMMYFUNCTION("""COMPUTED_VALUE"""),0.4717476851851852)</f>
        <v>0.4717476852</v>
      </c>
      <c r="D4268" s="122" t="str">
        <f>IFERROR(__xludf.DUMMYFUNCTION("""COMPUTED_VALUE"""),"RENT")</f>
        <v>RENT</v>
      </c>
      <c r="E4268" s="122" t="str">
        <f>IFERROR(__xludf.DUMMYFUNCTION("""COMPUTED_VALUE"""),"RentRight")</f>
        <v>RentRight</v>
      </c>
      <c r="F4268" s="122" t="str">
        <f>IFERROR(__xludf.DUMMYFUNCTION("""COMPUTED_VALUE"""),"Real Estate")</f>
        <v>Real Estate</v>
      </c>
    </row>
    <row r="4269">
      <c r="A4269" s="131">
        <f>IFERROR(__xludf.DUMMYFUNCTION("""COMPUTED_VALUE"""),46187.47174768519)</f>
        <v>46187.47175</v>
      </c>
      <c r="B4269" s="126">
        <f>IFERROR(__xludf.DUMMYFUNCTION("""COMPUTED_VALUE"""),46187.0)</f>
        <v>46187</v>
      </c>
      <c r="C4269" s="130">
        <f>IFERROR(__xludf.DUMMYFUNCTION("""COMPUTED_VALUE"""),0.4717476851851852)</f>
        <v>0.4717476852</v>
      </c>
      <c r="D4269" s="122" t="str">
        <f>IFERROR(__xludf.DUMMYFUNCTION("""COMPUTED_VALUE"""),"MALL")</f>
        <v>MALL</v>
      </c>
      <c r="E4269" s="122" t="str">
        <f>IFERROR(__xludf.DUMMYFUNCTION("""COMPUTED_VALUE"""),"MegaMall")</f>
        <v>MegaMall</v>
      </c>
      <c r="F4269" s="122" t="str">
        <f>IFERROR(__xludf.DUMMYFUNCTION("""COMPUTED_VALUE"""),"Real Estate")</f>
        <v>Real Estate</v>
      </c>
    </row>
    <row r="4270">
      <c r="A4270" s="131">
        <f>IFERROR(__xludf.DUMMYFUNCTION("""COMPUTED_VALUE"""),46187.47174768519)</f>
        <v>46187.47175</v>
      </c>
      <c r="B4270" s="126">
        <f>IFERROR(__xludf.DUMMYFUNCTION("""COMPUTED_VALUE"""),46187.0)</f>
        <v>46187</v>
      </c>
      <c r="C4270" s="130">
        <f>IFERROR(__xludf.DUMMYFUNCTION("""COMPUTED_VALUE"""),0.4717476851851852)</f>
        <v>0.4717476852</v>
      </c>
      <c r="D4270" s="122" t="str">
        <f>IFERROR(__xludf.DUMMYFUNCTION("""COMPUTED_VALUE"""),"HOTL")</f>
        <v>HOTL</v>
      </c>
      <c r="E4270" s="122" t="str">
        <f>IFERROR(__xludf.DUMMYFUNCTION("""COMPUTED_VALUE"""),"HotelHive")</f>
        <v>HotelHive</v>
      </c>
      <c r="F4270" s="122" t="str">
        <f>IFERROR(__xludf.DUMMYFUNCTION("""COMPUTED_VALUE"""),"Real Estate")</f>
        <v>Real Estate</v>
      </c>
    </row>
    <row r="4271">
      <c r="A4271" s="131">
        <f>IFERROR(__xludf.DUMMYFUNCTION("""COMPUTED_VALUE"""),46187.47174768519)</f>
        <v>46187.47175</v>
      </c>
      <c r="B4271" s="126">
        <f>IFERROR(__xludf.DUMMYFUNCTION("""COMPUTED_VALUE"""),46187.0)</f>
        <v>46187</v>
      </c>
      <c r="C4271" s="130">
        <f>IFERROR(__xludf.DUMMYFUNCTION("""COMPUTED_VALUE"""),0.4717476851851852)</f>
        <v>0.4717476852</v>
      </c>
      <c r="D4271" s="122" t="str">
        <f>IFERROR(__xludf.DUMMYFUNCTION("""COMPUTED_VALUE"""),"LAND")</f>
        <v>LAND</v>
      </c>
      <c r="E4271" s="122" t="str">
        <f>IFERROR(__xludf.DUMMYFUNCTION("""COMPUTED_VALUE"""),"LandLink")</f>
        <v>LandLink</v>
      </c>
      <c r="F4271" s="122" t="str">
        <f>IFERROR(__xludf.DUMMYFUNCTION("""COMPUTED_VALUE"""),"Real Estate")</f>
        <v>Real Estate</v>
      </c>
    </row>
    <row r="4272">
      <c r="A4272" s="131">
        <f>IFERROR(__xludf.DUMMYFUNCTION("""COMPUTED_VALUE"""),46187.47174768519)</f>
        <v>46187.47175</v>
      </c>
      <c r="B4272" s="126">
        <f>IFERROR(__xludf.DUMMYFUNCTION("""COMPUTED_VALUE"""),46187.0)</f>
        <v>46187</v>
      </c>
      <c r="C4272" s="130">
        <f>IFERROR(__xludf.DUMMYFUNCTION("""COMPUTED_VALUE"""),0.4717476851851852)</f>
        <v>0.4717476852</v>
      </c>
      <c r="D4272" s="122" t="str">
        <f>IFERROR(__xludf.DUMMYFUNCTION("""COMPUTED_VALUE"""),"CARS")</f>
        <v>CARS</v>
      </c>
      <c r="E4272" s="122" t="str">
        <f>IFERROR(__xludf.DUMMYFUNCTION("""COMPUTED_VALUE"""),"AutoArena")</f>
        <v>AutoArena</v>
      </c>
      <c r="F4272" s="122" t="str">
        <f>IFERROR(__xludf.DUMMYFUNCTION("""COMPUTED_VALUE"""),"Automotive")</f>
        <v>Automotive</v>
      </c>
    </row>
    <row r="4273">
      <c r="A4273" s="131">
        <f>IFERROR(__xludf.DUMMYFUNCTION("""COMPUTED_VALUE"""),46187.47174768519)</f>
        <v>46187.47175</v>
      </c>
      <c r="B4273" s="126">
        <f>IFERROR(__xludf.DUMMYFUNCTION("""COMPUTED_VALUE"""),46187.0)</f>
        <v>46187</v>
      </c>
      <c r="C4273" s="130">
        <f>IFERROR(__xludf.DUMMYFUNCTION("""COMPUTED_VALUE"""),0.4717476851851852)</f>
        <v>0.4717476852</v>
      </c>
      <c r="D4273" s="122" t="str">
        <f>IFERROR(__xludf.DUMMYFUNCTION("""COMPUTED_VALUE"""),"EVGO")</f>
        <v>EVGO</v>
      </c>
      <c r="E4273" s="122" t="str">
        <f>IFERROR(__xludf.DUMMYFUNCTION("""COMPUTED_VALUE"""),"EVGo Motors")</f>
        <v>EVGo Motors</v>
      </c>
      <c r="F4273" s="122" t="str">
        <f>IFERROR(__xludf.DUMMYFUNCTION("""COMPUTED_VALUE"""),"Automotive")</f>
        <v>Automotive</v>
      </c>
    </row>
    <row r="4274">
      <c r="A4274" s="131">
        <f>IFERROR(__xludf.DUMMYFUNCTION("""COMPUTED_VALUE"""),46187.47174768519)</f>
        <v>46187.47175</v>
      </c>
      <c r="B4274" s="126">
        <f>IFERROR(__xludf.DUMMYFUNCTION("""COMPUTED_VALUE"""),46187.0)</f>
        <v>46187</v>
      </c>
      <c r="C4274" s="130">
        <f>IFERROR(__xludf.DUMMYFUNCTION("""COMPUTED_VALUE"""),0.4717476851851852)</f>
        <v>0.4717476852</v>
      </c>
      <c r="D4274" s="122" t="str">
        <f>IFERROR(__xludf.DUMMYFUNCTION("""COMPUTED_VALUE"""),"TIRE")</f>
        <v>TIRE</v>
      </c>
      <c r="E4274" s="122" t="str">
        <f>IFERROR(__xludf.DUMMYFUNCTION("""COMPUTED_VALUE"""),"TireTown")</f>
        <v>TireTown</v>
      </c>
      <c r="F4274" s="122" t="str">
        <f>IFERROR(__xludf.DUMMYFUNCTION("""COMPUTED_VALUE"""),"Automotive")</f>
        <v>Automotive</v>
      </c>
    </row>
    <row r="4275">
      <c r="A4275" s="131">
        <f>IFERROR(__xludf.DUMMYFUNCTION("""COMPUTED_VALUE"""),46187.47174768519)</f>
        <v>46187.47175</v>
      </c>
      <c r="B4275" s="126">
        <f>IFERROR(__xludf.DUMMYFUNCTION("""COMPUTED_VALUE"""),46187.0)</f>
        <v>46187</v>
      </c>
      <c r="C4275" s="130">
        <f>IFERROR(__xludf.DUMMYFUNCTION("""COMPUTED_VALUE"""),0.4717476851851852)</f>
        <v>0.4717476852</v>
      </c>
      <c r="D4275" s="122" t="str">
        <f>IFERROR(__xludf.DUMMYFUNCTION("""COMPUTED_VALUE"""),"BIKE")</f>
        <v>BIKE</v>
      </c>
      <c r="E4275" s="122" t="str">
        <f>IFERROR(__xludf.DUMMYFUNCTION("""COMPUTED_VALUE"""),"BikeBox")</f>
        <v>BikeBox</v>
      </c>
      <c r="F4275" s="122" t="str">
        <f>IFERROR(__xludf.DUMMYFUNCTION("""COMPUTED_VALUE"""),"Automotive")</f>
        <v>Automotive</v>
      </c>
    </row>
    <row r="4276">
      <c r="A4276" s="131">
        <f>IFERROR(__xludf.DUMMYFUNCTION("""COMPUTED_VALUE"""),46187.47174768519)</f>
        <v>46187.47175</v>
      </c>
      <c r="B4276" s="126">
        <f>IFERROR(__xludf.DUMMYFUNCTION("""COMPUTED_VALUE"""),46187.0)</f>
        <v>46187</v>
      </c>
      <c r="C4276" s="130">
        <f>IFERROR(__xludf.DUMMYFUNCTION("""COMPUTED_VALUE"""),0.4717476851851852)</f>
        <v>0.4717476852</v>
      </c>
      <c r="D4276" s="122" t="str">
        <f>IFERROR(__xludf.DUMMYFUNCTION("""COMPUTED_VALUE"""),"WASH")</f>
        <v>WASH</v>
      </c>
      <c r="E4276" s="122" t="str">
        <f>IFERROR(__xludf.DUMMYFUNCTION("""COMPUTED_VALUE"""),"CarWash Co")</f>
        <v>CarWash Co</v>
      </c>
      <c r="F4276" s="122" t="str">
        <f>IFERROR(__xludf.DUMMYFUNCTION("""COMPUTED_VALUE"""),"Automotive")</f>
        <v>Automotive</v>
      </c>
    </row>
    <row r="4277">
      <c r="A4277" s="131">
        <f>IFERROR(__xludf.DUMMYFUNCTION("""COMPUTED_VALUE"""),46187.47174768519)</f>
        <v>46187.47175</v>
      </c>
      <c r="B4277" s="126">
        <f>IFERROR(__xludf.DUMMYFUNCTION("""COMPUTED_VALUE"""),46187.0)</f>
        <v>46187</v>
      </c>
      <c r="C4277" s="130">
        <f>IFERROR(__xludf.DUMMYFUNCTION("""COMPUTED_VALUE"""),0.4717476851851852)</f>
        <v>0.4717476852</v>
      </c>
      <c r="D4277" s="122" t="str">
        <f>IFERROR(__xludf.DUMMYFUNCTION("""COMPUTED_VALUE"""),"GBND")</f>
        <v>GBND</v>
      </c>
      <c r="E4277" s="122" t="str">
        <f>IFERROR(__xludf.DUMMYFUNCTION("""COMPUTED_VALUE"""),"Classroom Government Bond")</f>
        <v>Classroom Government Bond</v>
      </c>
      <c r="F4277" s="122" t="str">
        <f>IFERROR(__xludf.DUMMYFUNCTION("""COMPUTED_VALUE"""),"Bond")</f>
        <v>Bond</v>
      </c>
    </row>
    <row r="4278">
      <c r="A4278" s="131">
        <f>IFERROR(__xludf.DUMMYFUNCTION("""COMPUTED_VALUE"""),46187.47174768519)</f>
        <v>46187.47175</v>
      </c>
      <c r="B4278" s="126">
        <f>IFERROR(__xludf.DUMMYFUNCTION("""COMPUTED_VALUE"""),46187.0)</f>
        <v>46187</v>
      </c>
      <c r="C4278" s="130">
        <f>IFERROR(__xludf.DUMMYFUNCTION("""COMPUTED_VALUE"""),0.4717476851851852)</f>
        <v>0.4717476852</v>
      </c>
      <c r="D4278" s="122" t="str">
        <f>IFERROR(__xludf.DUMMYFUNCTION("""COMPUTED_VALUE"""),"SBND")</f>
        <v>SBND</v>
      </c>
      <c r="E4278" s="122" t="str">
        <f>IFERROR(__xludf.DUMMYFUNCTION("""COMPUTED_VALUE"""),"School Savings Bond")</f>
        <v>School Savings Bond</v>
      </c>
      <c r="F4278" s="122" t="str">
        <f>IFERROR(__xludf.DUMMYFUNCTION("""COMPUTED_VALUE"""),"Bond")</f>
        <v>Bond</v>
      </c>
    </row>
    <row r="4279">
      <c r="A4279" s="131">
        <f>IFERROR(__xludf.DUMMYFUNCTION("""COMPUTED_VALUE"""),46187.47174768519)</f>
        <v>46187.47175</v>
      </c>
      <c r="B4279" s="126">
        <f>IFERROR(__xludf.DUMMYFUNCTION("""COMPUTED_VALUE"""),46187.0)</f>
        <v>46187</v>
      </c>
      <c r="C4279" s="130">
        <f>IFERROR(__xludf.DUMMYFUNCTION("""COMPUTED_VALUE"""),0.4717476851851852)</f>
        <v>0.4717476852</v>
      </c>
      <c r="D4279" s="122" t="str">
        <f>IFERROR(__xludf.DUMMYFUNCTION("""COMPUTED_VALUE"""),"CBND")</f>
        <v>CBND</v>
      </c>
      <c r="E4279" s="122" t="str">
        <f>IFERROR(__xludf.DUMMYFUNCTION("""COMPUTED_VALUE"""),"Corporate Classroom Bond")</f>
        <v>Corporate Classroom Bond</v>
      </c>
      <c r="F4279" s="122" t="str">
        <f>IFERROR(__xludf.DUMMYFUNCTION("""COMPUTED_VALUE"""),"Bond")</f>
        <v>Bond</v>
      </c>
    </row>
    <row r="4280">
      <c r="A4280" s="131">
        <f>IFERROR(__xludf.DUMMYFUNCTION("""COMPUTED_VALUE"""),46187.47174768519)</f>
        <v>46187.47175</v>
      </c>
      <c r="B4280" s="126">
        <f>IFERROR(__xludf.DUMMYFUNCTION("""COMPUTED_VALUE"""),46187.0)</f>
        <v>46187</v>
      </c>
      <c r="C4280" s="130">
        <f>IFERROR(__xludf.DUMMYFUNCTION("""COMPUTED_VALUE"""),0.4717476851851852)</f>
        <v>0.4717476852</v>
      </c>
      <c r="D4280" s="122" t="str">
        <f>IFERROR(__xludf.DUMMYFUNCTION("""COMPUTED_VALUE"""),"TBIL")</f>
        <v>TBIL</v>
      </c>
      <c r="E4280" s="122" t="str">
        <f>IFERROR(__xludf.DUMMYFUNCTION("""COMPUTED_VALUE"""),"Treasury Bill")</f>
        <v>Treasury Bill</v>
      </c>
      <c r="F4280" s="122" t="str">
        <f>IFERROR(__xludf.DUMMYFUNCTION("""COMPUTED_VALUE"""),"Bond")</f>
        <v>Bond</v>
      </c>
    </row>
    <row r="4281">
      <c r="A4281" s="131">
        <f>IFERROR(__xludf.DUMMYFUNCTION("""COMPUTED_VALUE"""),46187.47174768519)</f>
        <v>46187.47175</v>
      </c>
      <c r="B4281" s="126">
        <f>IFERROR(__xludf.DUMMYFUNCTION("""COMPUTED_VALUE"""),46187.0)</f>
        <v>46187</v>
      </c>
      <c r="C4281" s="130">
        <f>IFERROR(__xludf.DUMMYFUNCTION("""COMPUTED_VALUE"""),0.4717476851851852)</f>
        <v>0.4717476852</v>
      </c>
      <c r="D4281" s="122" t="str">
        <f>IFERROR(__xludf.DUMMYFUNCTION("""COMPUTED_VALUE"""),"IBND")</f>
        <v>IBND</v>
      </c>
      <c r="E4281" s="122" t="str">
        <f>IFERROR(__xludf.DUMMYFUNCTION("""COMPUTED_VALUE"""),"Inflation Protected Bond")</f>
        <v>Inflation Protected Bond</v>
      </c>
      <c r="F4281" s="122" t="str">
        <f>IFERROR(__xludf.DUMMYFUNCTION("""COMPUTED_VALUE"""),"Bond")</f>
        <v>Bond</v>
      </c>
    </row>
    <row r="4282">
      <c r="A4282" s="131">
        <f>IFERROR(__xludf.DUMMYFUNCTION("""COMPUTED_VALUE"""),46187.47375)</f>
        <v>46187.47375</v>
      </c>
      <c r="B4282" s="126">
        <f>IFERROR(__xludf.DUMMYFUNCTION("""COMPUTED_VALUE"""),46187.0)</f>
        <v>46187</v>
      </c>
      <c r="C4282" s="122" t="str">
        <f>IFERROR(__xludf.DUMMYFUNCTION("""COMPUTED_VALUE"""),"SNAX")</f>
        <v>SNAX</v>
      </c>
      <c r="D4282" s="122" t="str">
        <f>IFERROR(__xludf.DUMMYFUNCTION("""COMPUTED_VALUE"""),"MICA Snacks")</f>
        <v>MICA Snacks</v>
      </c>
      <c r="E4282" s="122">
        <f>IFERROR(__xludf.DUMMYFUNCTION("""COMPUTED_VALUE"""),120.45)</f>
        <v>120.45</v>
      </c>
      <c r="F4282" s="122">
        <f>IFERROR(__xludf.DUMMYFUNCTION("""COMPUTED_VALUE"""),-0.0031)</f>
        <v>-0.0031</v>
      </c>
    </row>
    <row r="4283">
      <c r="A4283" s="131">
        <f>IFERROR(__xludf.DUMMYFUNCTION("""COMPUTED_VALUE"""),46187.47375)</f>
        <v>46187.47375</v>
      </c>
      <c r="B4283" s="126">
        <f>IFERROR(__xludf.DUMMYFUNCTION("""COMPUTED_VALUE"""),46187.0)</f>
        <v>46187</v>
      </c>
      <c r="C4283" s="122" t="str">
        <f>IFERROR(__xludf.DUMMYFUNCTION("""COMPUTED_VALUE"""),"RAMN")</f>
        <v>RAMN</v>
      </c>
      <c r="D4283" s="122" t="str">
        <f>IFERROR(__xludf.DUMMYFUNCTION("""COMPUTED_VALUE"""),"Ramen Republic")</f>
        <v>Ramen Republic</v>
      </c>
      <c r="E4283" s="122">
        <f>IFERROR(__xludf.DUMMYFUNCTION("""COMPUTED_VALUE"""),70.33)</f>
        <v>70.33</v>
      </c>
      <c r="F4283" s="122">
        <f>IFERROR(__xludf.DUMMYFUNCTION("""COMPUTED_VALUE"""),-0.0058)</f>
        <v>-0.0058</v>
      </c>
    </row>
    <row r="4284">
      <c r="A4284" s="131">
        <f>IFERROR(__xludf.DUMMYFUNCTION("""COMPUTED_VALUE"""),46187.47375)</f>
        <v>46187.47375</v>
      </c>
      <c r="B4284" s="126">
        <f>IFERROR(__xludf.DUMMYFUNCTION("""COMPUTED_VALUE"""),46187.0)</f>
        <v>46187</v>
      </c>
      <c r="C4284" s="122" t="str">
        <f>IFERROR(__xludf.DUMMYFUNCTION("""COMPUTED_VALUE"""),"COLA")</f>
        <v>COLA</v>
      </c>
      <c r="D4284" s="122" t="str">
        <f>IFERROR(__xludf.DUMMYFUNCTION("""COMPUTED_VALUE"""),"K-Pop Cola")</f>
        <v>K-Pop Cola</v>
      </c>
      <c r="E4284" s="122">
        <f>IFERROR(__xludf.DUMMYFUNCTION("""COMPUTED_VALUE"""),109.61)</f>
        <v>109.61</v>
      </c>
      <c r="F4284" s="122">
        <f>IFERROR(__xludf.DUMMYFUNCTION("""COMPUTED_VALUE"""),-0.0047)</f>
        <v>-0.0047</v>
      </c>
    </row>
    <row r="4285">
      <c r="A4285" s="131">
        <f>IFERROR(__xludf.DUMMYFUNCTION("""COMPUTED_VALUE"""),46187.47375)</f>
        <v>46187.47375</v>
      </c>
      <c r="B4285" s="126">
        <f>IFERROR(__xludf.DUMMYFUNCTION("""COMPUTED_VALUE"""),46187.0)</f>
        <v>46187</v>
      </c>
      <c r="C4285" s="122" t="str">
        <f>IFERROR(__xludf.DUMMYFUNCTION("""COMPUTED_VALUE"""),"CHIP")</f>
        <v>CHIP</v>
      </c>
      <c r="D4285" s="122" t="str">
        <f>IFERROR(__xludf.DUMMYFUNCTION("""COMPUTED_VALUE"""),"Chip Empire")</f>
        <v>Chip Empire</v>
      </c>
      <c r="E4285" s="122">
        <f>IFERROR(__xludf.DUMMYFUNCTION("""COMPUTED_VALUE"""),85.41)</f>
        <v>85.41</v>
      </c>
      <c r="F4285" s="122">
        <f>IFERROR(__xludf.DUMMYFUNCTION("""COMPUTED_VALUE"""),-0.0047)</f>
        <v>-0.0047</v>
      </c>
    </row>
    <row r="4286">
      <c r="A4286" s="131">
        <f>IFERROR(__xludf.DUMMYFUNCTION("""COMPUTED_VALUE"""),46187.47375)</f>
        <v>46187.47375</v>
      </c>
      <c r="B4286" s="126">
        <f>IFERROR(__xludf.DUMMYFUNCTION("""COMPUTED_VALUE"""),46187.0)</f>
        <v>46187</v>
      </c>
      <c r="C4286" s="122" t="str">
        <f>IFERROR(__xludf.DUMMYFUNCTION("""COMPUTED_VALUE"""),"CAND")</f>
        <v>CAND</v>
      </c>
      <c r="D4286" s="122" t="str">
        <f>IFERROR(__xludf.DUMMYFUNCTION("""COMPUTED_VALUE"""),"Candy Capital")</f>
        <v>Candy Capital</v>
      </c>
      <c r="E4286" s="122">
        <f>IFERROR(__xludf.DUMMYFUNCTION("""COMPUTED_VALUE"""),76.45)</f>
        <v>76.45</v>
      </c>
      <c r="F4286" s="122">
        <f>IFERROR(__xludf.DUMMYFUNCTION("""COMPUTED_VALUE"""),0.0016)</f>
        <v>0.0016</v>
      </c>
    </row>
    <row r="4287">
      <c r="A4287" s="131">
        <f>IFERROR(__xludf.DUMMYFUNCTION("""COMPUTED_VALUE"""),46187.47375)</f>
        <v>46187.47375</v>
      </c>
      <c r="B4287" s="126">
        <f>IFERROR(__xludf.DUMMYFUNCTION("""COMPUTED_VALUE"""),46187.0)</f>
        <v>46187</v>
      </c>
      <c r="C4287" s="122" t="str">
        <f>IFERROR(__xludf.DUMMYFUNCTION("""COMPUTED_VALUE"""),"TECH")</f>
        <v>TECH</v>
      </c>
      <c r="D4287" s="122" t="str">
        <f>IFERROR(__xludf.DUMMYFUNCTION("""COMPUTED_VALUE"""),"Dragon Tech")</f>
        <v>Dragon Tech</v>
      </c>
      <c r="E4287" s="122">
        <f>IFERROR(__xludf.DUMMYFUNCTION("""COMPUTED_VALUE"""),239.46)</f>
        <v>239.46</v>
      </c>
      <c r="F4287" s="122">
        <f>IFERROR(__xludf.DUMMYFUNCTION("""COMPUTED_VALUE"""),-0.0021)</f>
        <v>-0.0021</v>
      </c>
    </row>
    <row r="4288">
      <c r="A4288" s="131">
        <f>IFERROR(__xludf.DUMMYFUNCTION("""COMPUTED_VALUE"""),46187.47375)</f>
        <v>46187.47375</v>
      </c>
      <c r="B4288" s="126">
        <f>IFERROR(__xludf.DUMMYFUNCTION("""COMPUTED_VALUE"""),46187.0)</f>
        <v>46187</v>
      </c>
      <c r="C4288" s="122" t="str">
        <f>IFERROR(__xludf.DUMMYFUNCTION("""COMPUTED_VALUE"""),"AIBO")</f>
        <v>AIBO</v>
      </c>
      <c r="D4288" s="122" t="str">
        <f>IFERROR(__xludf.DUMMYFUNCTION("""COMPUTED_VALUE"""),"Homework AI")</f>
        <v>Homework AI</v>
      </c>
      <c r="E4288" s="122">
        <f>IFERROR(__xludf.DUMMYFUNCTION("""COMPUTED_VALUE"""),178.09)</f>
        <v>178.09</v>
      </c>
      <c r="F4288" s="122">
        <f>IFERROR(__xludf.DUMMYFUNCTION("""COMPUTED_VALUE"""),0.0121)</f>
        <v>0.0121</v>
      </c>
    </row>
    <row r="4289">
      <c r="A4289" s="131">
        <f>IFERROR(__xludf.DUMMYFUNCTION("""COMPUTED_VALUE"""),46187.47375)</f>
        <v>46187.47375</v>
      </c>
      <c r="B4289" s="126">
        <f>IFERROR(__xludf.DUMMYFUNCTION("""COMPUTED_VALUE"""),46187.0)</f>
        <v>46187</v>
      </c>
      <c r="C4289" s="122" t="str">
        <f>IFERROR(__xludf.DUMMYFUNCTION("""COMPUTED_VALUE"""),"GAME")</f>
        <v>GAME</v>
      </c>
      <c r="D4289" s="122" t="str">
        <f>IFERROR(__xludf.DUMMYFUNCTION("""COMPUTED_VALUE"""),"GameBox Media")</f>
        <v>GameBox Media</v>
      </c>
      <c r="E4289" s="122">
        <f>IFERROR(__xludf.DUMMYFUNCTION("""COMPUTED_VALUE"""),97.6)</f>
        <v>97.6</v>
      </c>
      <c r="F4289" s="122">
        <f>IFERROR(__xludf.DUMMYFUNCTION("""COMPUTED_VALUE"""),-0.0073)</f>
        <v>-0.0073</v>
      </c>
    </row>
    <row r="4290">
      <c r="A4290" s="131">
        <f>IFERROR(__xludf.DUMMYFUNCTION("""COMPUTED_VALUE"""),46187.47375)</f>
        <v>46187.47375</v>
      </c>
      <c r="B4290" s="126">
        <f>IFERROR(__xludf.DUMMYFUNCTION("""COMPUTED_VALUE"""),46187.0)</f>
        <v>46187</v>
      </c>
      <c r="C4290" s="122" t="str">
        <f>IFERROR(__xludf.DUMMYFUNCTION("""COMPUTED_VALUE"""),"VRSE")</f>
        <v>VRSE</v>
      </c>
      <c r="D4290" s="122" t="str">
        <f>IFERROR(__xludf.DUMMYFUNCTION("""COMPUTED_VALUE"""),"VerseVR")</f>
        <v>VerseVR</v>
      </c>
      <c r="E4290" s="122">
        <f>IFERROR(__xludf.DUMMYFUNCTION("""COMPUTED_VALUE"""),147.94)</f>
        <v>147.94</v>
      </c>
      <c r="F4290" s="122">
        <f>IFERROR(__xludf.DUMMYFUNCTION("""COMPUTED_VALUE"""),-0.0044)</f>
        <v>-0.0044</v>
      </c>
    </row>
    <row r="4291">
      <c r="A4291" s="131">
        <f>IFERROR(__xludf.DUMMYFUNCTION("""COMPUTED_VALUE"""),46187.47375)</f>
        <v>46187.47375</v>
      </c>
      <c r="B4291" s="126">
        <f>IFERROR(__xludf.DUMMYFUNCTION("""COMPUTED_VALUE"""),46187.0)</f>
        <v>46187</v>
      </c>
      <c r="C4291" s="122" t="str">
        <f>IFERROR(__xludf.DUMMYFUNCTION("""COMPUTED_VALUE"""),"BYTE")</f>
        <v>BYTE</v>
      </c>
      <c r="D4291" s="122" t="str">
        <f>IFERROR(__xludf.DUMMYFUNCTION("""COMPUTED_VALUE"""),"ByteWorks")</f>
        <v>ByteWorks</v>
      </c>
      <c r="E4291" s="122">
        <f>IFERROR(__xludf.DUMMYFUNCTION("""COMPUTED_VALUE"""),108.43)</f>
        <v>108.43</v>
      </c>
      <c r="F4291" s="122">
        <f>IFERROR(__xludf.DUMMYFUNCTION("""COMPUTED_VALUE"""),0.0064)</f>
        <v>0.0064</v>
      </c>
    </row>
    <row r="4292">
      <c r="A4292" s="131">
        <f>IFERROR(__xludf.DUMMYFUNCTION("""COMPUTED_VALUE"""),46187.47375)</f>
        <v>46187.47375</v>
      </c>
      <c r="B4292" s="126">
        <f>IFERROR(__xludf.DUMMYFUNCTION("""COMPUTED_VALUE"""),46187.0)</f>
        <v>46187</v>
      </c>
      <c r="C4292" s="122" t="str">
        <f>IFERROR(__xludf.DUMMYFUNCTION("""COMPUTED_VALUE"""),"BANK")</f>
        <v>BANK</v>
      </c>
      <c r="D4292" s="122" t="str">
        <f>IFERROR(__xludf.DUMMYFUNCTION("""COMPUTED_VALUE"""),"Tiger Bank")</f>
        <v>Tiger Bank</v>
      </c>
      <c r="E4292" s="122">
        <f>IFERROR(__xludf.DUMMYFUNCTION("""COMPUTED_VALUE"""),127.99)</f>
        <v>127.99</v>
      </c>
      <c r="F4292" s="122">
        <f>IFERROR(__xludf.DUMMYFUNCTION("""COMPUTED_VALUE"""),5.0E-4)</f>
        <v>0.0005</v>
      </c>
    </row>
    <row r="4293">
      <c r="A4293" s="131">
        <f>IFERROR(__xludf.DUMMYFUNCTION("""COMPUTED_VALUE"""),46187.47375)</f>
        <v>46187.47375</v>
      </c>
      <c r="B4293" s="126">
        <f>IFERROR(__xludf.DUMMYFUNCTION("""COMPUTED_VALUE"""),46187.0)</f>
        <v>46187</v>
      </c>
      <c r="C4293" s="122" t="str">
        <f>IFERROR(__xludf.DUMMYFUNCTION("""COMPUTED_VALUE"""),"CRED")</f>
        <v>CRED</v>
      </c>
      <c r="D4293" s="122" t="str">
        <f>IFERROR(__xludf.DUMMYFUNCTION("""COMPUTED_VALUE"""),"Credit Castle")</f>
        <v>Credit Castle</v>
      </c>
      <c r="E4293" s="122">
        <f>IFERROR(__xludf.DUMMYFUNCTION("""COMPUTED_VALUE"""),66.53)</f>
        <v>66.53</v>
      </c>
      <c r="F4293" s="122">
        <f>IFERROR(__xludf.DUMMYFUNCTION("""COMPUTED_VALUE"""),0.0056)</f>
        <v>0.0056</v>
      </c>
    </row>
    <row r="4294">
      <c r="A4294" s="131">
        <f>IFERROR(__xludf.DUMMYFUNCTION("""COMPUTED_VALUE"""),46187.47375)</f>
        <v>46187.47375</v>
      </c>
      <c r="B4294" s="126">
        <f>IFERROR(__xludf.DUMMYFUNCTION("""COMPUTED_VALUE"""),46187.0)</f>
        <v>46187</v>
      </c>
      <c r="C4294" s="122" t="str">
        <f>IFERROR(__xludf.DUMMYFUNCTION("""COMPUTED_VALUE"""),"BOND")</f>
        <v>BOND</v>
      </c>
      <c r="D4294" s="122" t="str">
        <f>IFERROR(__xludf.DUMMYFUNCTION("""COMPUTED_VALUE"""),"BondBridge")</f>
        <v>BondBridge</v>
      </c>
      <c r="E4294" s="122">
        <f>IFERROR(__xludf.DUMMYFUNCTION("""COMPUTED_VALUE"""),99.74)</f>
        <v>99.74</v>
      </c>
      <c r="F4294" s="122">
        <f>IFERROR(__xludf.DUMMYFUNCTION("""COMPUTED_VALUE"""),0.001)</f>
        <v>0.001</v>
      </c>
    </row>
    <row r="4295">
      <c r="A4295" s="131">
        <f>IFERROR(__xludf.DUMMYFUNCTION("""COMPUTED_VALUE"""),46187.47375)</f>
        <v>46187.47375</v>
      </c>
      <c r="B4295" s="126">
        <f>IFERROR(__xludf.DUMMYFUNCTION("""COMPUTED_VALUE"""),46187.0)</f>
        <v>46187</v>
      </c>
      <c r="C4295" s="122" t="str">
        <f>IFERROR(__xludf.DUMMYFUNCTION("""COMPUTED_VALUE"""),"INSR")</f>
        <v>INSR</v>
      </c>
      <c r="D4295" s="122" t="str">
        <f>IFERROR(__xludf.DUMMYFUNCTION("""COMPUTED_VALUE"""),"Shield Insurance")</f>
        <v>Shield Insurance</v>
      </c>
      <c r="E4295" s="122">
        <f>IFERROR(__xludf.DUMMYFUNCTION("""COMPUTED_VALUE"""),160.52)</f>
        <v>160.52</v>
      </c>
      <c r="F4295" s="122">
        <f>IFERROR(__xludf.DUMMYFUNCTION("""COMPUTED_VALUE"""),-0.0024)</f>
        <v>-0.0024</v>
      </c>
    </row>
    <row r="4296">
      <c r="A4296" s="131">
        <f>IFERROR(__xludf.DUMMYFUNCTION("""COMPUTED_VALUE"""),46187.47375)</f>
        <v>46187.47375</v>
      </c>
      <c r="B4296" s="126">
        <f>IFERROR(__xludf.DUMMYFUNCTION("""COMPUTED_VALUE"""),46187.0)</f>
        <v>46187</v>
      </c>
      <c r="C4296" s="122" t="str">
        <f>IFERROR(__xludf.DUMMYFUNCTION("""COMPUTED_VALUE"""),"LOAN")</f>
        <v>LOAN</v>
      </c>
      <c r="D4296" s="122" t="str">
        <f>IFERROR(__xludf.DUMMYFUNCTION("""COMPUTED_VALUE"""),"LoanLab")</f>
        <v>LoanLab</v>
      </c>
      <c r="E4296" s="122">
        <f>IFERROR(__xludf.DUMMYFUNCTION("""COMPUTED_VALUE"""),64.05)</f>
        <v>64.05</v>
      </c>
      <c r="F4296" s="122">
        <f>IFERROR(__xludf.DUMMYFUNCTION("""COMPUTED_VALUE"""),0.0085)</f>
        <v>0.0085</v>
      </c>
    </row>
    <row r="4297">
      <c r="A4297" s="131">
        <f>IFERROR(__xludf.DUMMYFUNCTION("""COMPUTED_VALUE"""),46187.47375)</f>
        <v>46187.47375</v>
      </c>
      <c r="B4297" s="126">
        <f>IFERROR(__xludf.DUMMYFUNCTION("""COMPUTED_VALUE"""),46187.0)</f>
        <v>46187</v>
      </c>
      <c r="C4297" s="122" t="str">
        <f>IFERROR(__xludf.DUMMYFUNCTION("""COMPUTED_VALUE"""),"LUXE")</f>
        <v>LUXE</v>
      </c>
      <c r="D4297" s="122" t="str">
        <f>IFERROR(__xludf.DUMMYFUNCTION("""COMPUTED_VALUE"""),"Luxury Locker")</f>
        <v>Luxury Locker</v>
      </c>
      <c r="E4297" s="122">
        <f>IFERROR(__xludf.DUMMYFUNCTION("""COMPUTED_VALUE"""),261.77)</f>
        <v>261.77</v>
      </c>
      <c r="F4297" s="122">
        <f>IFERROR(__xludf.DUMMYFUNCTION("""COMPUTED_VALUE"""),0.0012)</f>
        <v>0.0012</v>
      </c>
    </row>
    <row r="4298">
      <c r="A4298" s="131">
        <f>IFERROR(__xludf.DUMMYFUNCTION("""COMPUTED_VALUE"""),46187.47375)</f>
        <v>46187.47375</v>
      </c>
      <c r="B4298" s="126">
        <f>IFERROR(__xludf.DUMMYFUNCTION("""COMPUTED_VALUE"""),46187.0)</f>
        <v>46187</v>
      </c>
      <c r="C4298" s="122" t="str">
        <f>IFERROR(__xludf.DUMMYFUNCTION("""COMPUTED_VALUE"""),"DRIP")</f>
        <v>DRIP</v>
      </c>
      <c r="D4298" s="122" t="str">
        <f>IFERROR(__xludf.DUMMYFUNCTION("""COMPUTED_VALUE"""),"Drip Streetwear")</f>
        <v>Drip Streetwear</v>
      </c>
      <c r="E4298" s="122">
        <f>IFERROR(__xludf.DUMMYFUNCTION("""COMPUTED_VALUE"""),195.2)</f>
        <v>195.2</v>
      </c>
      <c r="F4298" s="122">
        <f>IFERROR(__xludf.DUMMYFUNCTION("""COMPUTED_VALUE"""),-0.0056)</f>
        <v>-0.0056</v>
      </c>
    </row>
    <row r="4299">
      <c r="A4299" s="131">
        <f>IFERROR(__xludf.DUMMYFUNCTION("""COMPUTED_VALUE"""),46187.47375)</f>
        <v>46187.47375</v>
      </c>
      <c r="B4299" s="126">
        <f>IFERROR(__xludf.DUMMYFUNCTION("""COMPUTED_VALUE"""),46187.0)</f>
        <v>46187</v>
      </c>
      <c r="C4299" s="122" t="str">
        <f>IFERROR(__xludf.DUMMYFUNCTION("""COMPUTED_VALUE"""),"KICK")</f>
        <v>KICK</v>
      </c>
      <c r="D4299" s="122" t="str">
        <f>IFERROR(__xludf.DUMMYFUNCTION("""COMPUTED_VALUE"""),"KickDrop Sneakers")</f>
        <v>KickDrop Sneakers</v>
      </c>
      <c r="E4299" s="122">
        <f>IFERROR(__xludf.DUMMYFUNCTION("""COMPUTED_VALUE"""),171.65)</f>
        <v>171.65</v>
      </c>
      <c r="F4299" s="122">
        <f>IFERROR(__xludf.DUMMYFUNCTION("""COMPUTED_VALUE"""),-0.0088)</f>
        <v>-0.0088</v>
      </c>
    </row>
    <row r="4300">
      <c r="A4300" s="131">
        <f>IFERROR(__xludf.DUMMYFUNCTION("""COMPUTED_VALUE"""),46187.47375)</f>
        <v>46187.47375</v>
      </c>
      <c r="B4300" s="126">
        <f>IFERROR(__xludf.DUMMYFUNCTION("""COMPUTED_VALUE"""),46187.0)</f>
        <v>46187</v>
      </c>
      <c r="C4300" s="122" t="str">
        <f>IFERROR(__xludf.DUMMYFUNCTION("""COMPUTED_VALUE"""),"GLAM")</f>
        <v>GLAM</v>
      </c>
      <c r="D4300" s="122" t="str">
        <f>IFERROR(__xludf.DUMMYFUNCTION("""COMPUTED_VALUE"""),"Glow Cosmetics")</f>
        <v>Glow Cosmetics</v>
      </c>
      <c r="E4300" s="122">
        <f>IFERROR(__xludf.DUMMYFUNCTION("""COMPUTED_VALUE"""),103.71)</f>
        <v>103.71</v>
      </c>
      <c r="F4300" s="122">
        <f>IFERROR(__xludf.DUMMYFUNCTION("""COMPUTED_VALUE"""),0.0046)</f>
        <v>0.0046</v>
      </c>
    </row>
    <row r="4301">
      <c r="A4301" s="131">
        <f>IFERROR(__xludf.DUMMYFUNCTION("""COMPUTED_VALUE"""),46187.47375)</f>
        <v>46187.47375</v>
      </c>
      <c r="B4301" s="126">
        <f>IFERROR(__xludf.DUMMYFUNCTION("""COMPUTED_VALUE"""),46187.0)</f>
        <v>46187</v>
      </c>
      <c r="C4301" s="122" t="str">
        <f>IFERROR(__xludf.DUMMYFUNCTION("""COMPUTED_VALUE"""),"BAGG")</f>
        <v>BAGG</v>
      </c>
      <c r="D4301" s="122" t="str">
        <f>IFERROR(__xludf.DUMMYFUNCTION("""COMPUTED_VALUE"""),"BagVault")</f>
        <v>BagVault</v>
      </c>
      <c r="E4301" s="122">
        <f>IFERROR(__xludf.DUMMYFUNCTION("""COMPUTED_VALUE"""),253.25)</f>
        <v>253.25</v>
      </c>
      <c r="F4301" s="122">
        <f>IFERROR(__xludf.DUMMYFUNCTION("""COMPUTED_VALUE"""),0.0076)</f>
        <v>0.0076</v>
      </c>
    </row>
    <row r="4302">
      <c r="A4302" s="131">
        <f>IFERROR(__xludf.DUMMYFUNCTION("""COMPUTED_VALUE"""),46187.47375)</f>
        <v>46187.47375</v>
      </c>
      <c r="B4302" s="126">
        <f>IFERROR(__xludf.DUMMYFUNCTION("""COMPUTED_VALUE"""),46187.0)</f>
        <v>46187</v>
      </c>
      <c r="C4302" s="122" t="str">
        <f>IFERROR(__xludf.DUMMYFUNCTION("""COMPUTED_VALUE"""),"FAST")</f>
        <v>FAST</v>
      </c>
      <c r="D4302" s="122" t="str">
        <f>IFERROR(__xludf.DUMMYFUNCTION("""COMPUTED_VALUE"""),"Flash Logistics")</f>
        <v>Flash Logistics</v>
      </c>
      <c r="E4302" s="122">
        <f>IFERROR(__xludf.DUMMYFUNCTION("""COMPUTED_VALUE"""),103.81)</f>
        <v>103.81</v>
      </c>
      <c r="F4302" s="122">
        <f>IFERROR(__xludf.DUMMYFUNCTION("""COMPUTED_VALUE"""),-1.0E-4)</f>
        <v>-0.0001</v>
      </c>
    </row>
    <row r="4303">
      <c r="A4303" s="131">
        <f>IFERROR(__xludf.DUMMYFUNCTION("""COMPUTED_VALUE"""),46187.47375)</f>
        <v>46187.47375</v>
      </c>
      <c r="B4303" s="126">
        <f>IFERROR(__xludf.DUMMYFUNCTION("""COMPUTED_VALUE"""),46187.0)</f>
        <v>46187</v>
      </c>
      <c r="C4303" s="122" t="str">
        <f>IFERROR(__xludf.DUMMYFUNCTION("""COMPUTED_VALUE"""),"SHIP")</f>
        <v>SHIP</v>
      </c>
      <c r="D4303" s="122" t="str">
        <f>IFERROR(__xludf.DUMMYFUNCTION("""COMPUTED_VALUE"""),"Seoul Shipping")</f>
        <v>Seoul Shipping</v>
      </c>
      <c r="E4303" s="122">
        <f>IFERROR(__xludf.DUMMYFUNCTION("""COMPUTED_VALUE"""),123.85)</f>
        <v>123.85</v>
      </c>
      <c r="F4303" s="122">
        <f>IFERROR(__xludf.DUMMYFUNCTION("""COMPUTED_VALUE"""),0.0065)</f>
        <v>0.0065</v>
      </c>
    </row>
    <row r="4304">
      <c r="A4304" s="131">
        <f>IFERROR(__xludf.DUMMYFUNCTION("""COMPUTED_VALUE"""),46187.47375)</f>
        <v>46187.47375</v>
      </c>
      <c r="B4304" s="126">
        <f>IFERROR(__xludf.DUMMYFUNCTION("""COMPUTED_VALUE"""),46187.0)</f>
        <v>46187</v>
      </c>
      <c r="C4304" s="122" t="str">
        <f>IFERROR(__xludf.DUMMYFUNCTION("""COMPUTED_VALUE"""),"DRON")</f>
        <v>DRON</v>
      </c>
      <c r="D4304" s="122" t="str">
        <f>IFERROR(__xludf.DUMMYFUNCTION("""COMPUTED_VALUE"""),"DroneDrop")</f>
        <v>DroneDrop</v>
      </c>
      <c r="E4304" s="122">
        <f>IFERROR(__xludf.DUMMYFUNCTION("""COMPUTED_VALUE"""),130.34)</f>
        <v>130.34</v>
      </c>
      <c r="F4304" s="122">
        <f>IFERROR(__xludf.DUMMYFUNCTION("""COMPUTED_VALUE"""),-0.0068)</f>
        <v>-0.0068</v>
      </c>
    </row>
    <row r="4305">
      <c r="A4305" s="131">
        <f>IFERROR(__xludf.DUMMYFUNCTION("""COMPUTED_VALUE"""),46187.47375)</f>
        <v>46187.47375</v>
      </c>
      <c r="B4305" s="126">
        <f>IFERROR(__xludf.DUMMYFUNCTION("""COMPUTED_VALUE"""),46187.0)</f>
        <v>46187</v>
      </c>
      <c r="C4305" s="122" t="str">
        <f>IFERROR(__xludf.DUMMYFUNCTION("""COMPUTED_VALUE"""),"RIDE")</f>
        <v>RIDE</v>
      </c>
      <c r="D4305" s="122" t="str">
        <f>IFERROR(__xludf.DUMMYFUNCTION("""COMPUTED_VALUE"""),"QuickRide")</f>
        <v>QuickRide</v>
      </c>
      <c r="E4305" s="122">
        <f>IFERROR(__xludf.DUMMYFUNCTION("""COMPUTED_VALUE"""),96.2)</f>
        <v>96.2</v>
      </c>
      <c r="F4305" s="122">
        <f>IFERROR(__xludf.DUMMYFUNCTION("""COMPUTED_VALUE"""),0.0112)</f>
        <v>0.0112</v>
      </c>
    </row>
    <row r="4306">
      <c r="A4306" s="131">
        <f>IFERROR(__xludf.DUMMYFUNCTION("""COMPUTED_VALUE"""),46187.47375)</f>
        <v>46187.47375</v>
      </c>
      <c r="B4306" s="126">
        <f>IFERROR(__xludf.DUMMYFUNCTION("""COMPUTED_VALUE"""),46187.0)</f>
        <v>46187</v>
      </c>
      <c r="C4306" s="122" t="str">
        <f>IFERROR(__xludf.DUMMYFUNCTION("""COMPUTED_VALUE"""),"RAIL")</f>
        <v>RAIL</v>
      </c>
      <c r="D4306" s="122" t="str">
        <f>IFERROR(__xludf.DUMMYFUNCTION("""COMPUTED_VALUE"""),"MetroRail Corp")</f>
        <v>MetroRail Corp</v>
      </c>
      <c r="E4306" s="122">
        <f>IFERROR(__xludf.DUMMYFUNCTION("""COMPUTED_VALUE"""),133.72)</f>
        <v>133.72</v>
      </c>
      <c r="F4306" s="122">
        <f>IFERROR(__xludf.DUMMYFUNCTION("""COMPUTED_VALUE"""),-0.0036)</f>
        <v>-0.0036</v>
      </c>
    </row>
    <row r="4307">
      <c r="A4307" s="131">
        <f>IFERROR(__xludf.DUMMYFUNCTION("""COMPUTED_VALUE"""),46187.47375)</f>
        <v>46187.47375</v>
      </c>
      <c r="B4307" s="126">
        <f>IFERROR(__xludf.DUMMYFUNCTION("""COMPUTED_VALUE"""),46187.0)</f>
        <v>46187</v>
      </c>
      <c r="C4307" s="122" t="str">
        <f>IFERROR(__xludf.DUMMYFUNCTION("""COMPUTED_VALUE"""),"MEDX")</f>
        <v>MEDX</v>
      </c>
      <c r="D4307" s="122" t="str">
        <f>IFERROR(__xludf.DUMMYFUNCTION("""COMPUTED_VALUE"""),"MediCore")</f>
        <v>MediCore</v>
      </c>
      <c r="E4307" s="122">
        <f>IFERROR(__xludf.DUMMYFUNCTION("""COMPUTED_VALUE"""),139.3)</f>
        <v>139.3</v>
      </c>
      <c r="F4307" s="122">
        <f>IFERROR(__xludf.DUMMYFUNCTION("""COMPUTED_VALUE"""),0.0032)</f>
        <v>0.0032</v>
      </c>
    </row>
    <row r="4308">
      <c r="A4308" s="131">
        <f>IFERROR(__xludf.DUMMYFUNCTION("""COMPUTED_VALUE"""),46187.47375)</f>
        <v>46187.47375</v>
      </c>
      <c r="B4308" s="126">
        <f>IFERROR(__xludf.DUMMYFUNCTION("""COMPUTED_VALUE"""),46187.0)</f>
        <v>46187</v>
      </c>
      <c r="C4308" s="122" t="str">
        <f>IFERROR(__xludf.DUMMYFUNCTION("""COMPUTED_VALUE"""),"GYMX")</f>
        <v>GYMX</v>
      </c>
      <c r="D4308" s="122" t="str">
        <f>IFERROR(__xludf.DUMMYFUNCTION("""COMPUTED_VALUE"""),"GymX Fitness")</f>
        <v>GymX Fitness</v>
      </c>
      <c r="E4308" s="122">
        <f>IFERROR(__xludf.DUMMYFUNCTION("""COMPUTED_VALUE"""),86.76)</f>
        <v>86.76</v>
      </c>
      <c r="F4308" s="122">
        <f>IFERROR(__xludf.DUMMYFUNCTION("""COMPUTED_VALUE"""),-6.0E-4)</f>
        <v>-0.0006</v>
      </c>
    </row>
    <row r="4309">
      <c r="A4309" s="131">
        <f>IFERROR(__xludf.DUMMYFUNCTION("""COMPUTED_VALUE"""),46187.47375)</f>
        <v>46187.47375</v>
      </c>
      <c r="B4309" s="126">
        <f>IFERROR(__xludf.DUMMYFUNCTION("""COMPUTED_VALUE"""),46187.0)</f>
        <v>46187</v>
      </c>
      <c r="C4309" s="122" t="str">
        <f>IFERROR(__xludf.DUMMYFUNCTION("""COMPUTED_VALUE"""),"VITA")</f>
        <v>VITA</v>
      </c>
      <c r="D4309" s="122" t="str">
        <f>IFERROR(__xludf.DUMMYFUNCTION("""COMPUTED_VALUE"""),"VitaPlus")</f>
        <v>VitaPlus</v>
      </c>
      <c r="E4309" s="122">
        <f>IFERROR(__xludf.DUMMYFUNCTION("""COMPUTED_VALUE"""),73.46)</f>
        <v>73.46</v>
      </c>
      <c r="F4309" s="122">
        <f>IFERROR(__xludf.DUMMYFUNCTION("""COMPUTED_VALUE"""),-0.001)</f>
        <v>-0.001</v>
      </c>
    </row>
    <row r="4310">
      <c r="A4310" s="131">
        <f>IFERROR(__xludf.DUMMYFUNCTION("""COMPUTED_VALUE"""),46187.47375)</f>
        <v>46187.47375</v>
      </c>
      <c r="B4310" s="126">
        <f>IFERROR(__xludf.DUMMYFUNCTION("""COMPUTED_VALUE"""),46187.0)</f>
        <v>46187</v>
      </c>
      <c r="C4310" s="122" t="str">
        <f>IFERROR(__xludf.DUMMYFUNCTION("""COMPUTED_VALUE"""),"CARE")</f>
        <v>CARE</v>
      </c>
      <c r="D4310" s="122" t="str">
        <f>IFERROR(__xludf.DUMMYFUNCTION("""COMPUTED_VALUE"""),"CareCloud")</f>
        <v>CareCloud</v>
      </c>
      <c r="E4310" s="122">
        <f>IFERROR(__xludf.DUMMYFUNCTION("""COMPUTED_VALUE"""),177.91)</f>
        <v>177.91</v>
      </c>
      <c r="F4310" s="122">
        <f>IFERROR(__xludf.DUMMYFUNCTION("""COMPUTED_VALUE"""),-0.0049)</f>
        <v>-0.0049</v>
      </c>
    </row>
    <row r="4311">
      <c r="A4311" s="131">
        <f>IFERROR(__xludf.DUMMYFUNCTION("""COMPUTED_VALUE"""),46187.47375)</f>
        <v>46187.47375</v>
      </c>
      <c r="B4311" s="126">
        <f>IFERROR(__xludf.DUMMYFUNCTION("""COMPUTED_VALUE"""),46187.0)</f>
        <v>46187</v>
      </c>
      <c r="C4311" s="122" t="str">
        <f>IFERROR(__xludf.DUMMYFUNCTION("""COMPUTED_VALUE"""),"DENT")</f>
        <v>DENT</v>
      </c>
      <c r="D4311" s="122" t="str">
        <f>IFERROR(__xludf.DUMMYFUNCTION("""COMPUTED_VALUE"""),"SmileWorks")</f>
        <v>SmileWorks</v>
      </c>
      <c r="E4311" s="122">
        <f>IFERROR(__xludf.DUMMYFUNCTION("""COMPUTED_VALUE"""),86.63)</f>
        <v>86.63</v>
      </c>
      <c r="F4311" s="122">
        <f>IFERROR(__xludf.DUMMYFUNCTION("""COMPUTED_VALUE"""),0.0034)</f>
        <v>0.0034</v>
      </c>
    </row>
    <row r="4312">
      <c r="A4312" s="131">
        <f>IFERROR(__xludf.DUMMYFUNCTION("""COMPUTED_VALUE"""),46187.47375)</f>
        <v>46187.47375</v>
      </c>
      <c r="B4312" s="126">
        <f>IFERROR(__xludf.DUMMYFUNCTION("""COMPUTED_VALUE"""),46187.0)</f>
        <v>46187</v>
      </c>
      <c r="C4312" s="122" t="str">
        <f>IFERROR(__xludf.DUMMYFUNCTION("""COMPUTED_VALUE"""),"EDUX")</f>
        <v>EDUX</v>
      </c>
      <c r="D4312" s="122" t="str">
        <f>IFERROR(__xludf.DUMMYFUNCTION("""COMPUTED_VALUE"""),"EduMax Learning")</f>
        <v>EduMax Learning</v>
      </c>
      <c r="E4312" s="122">
        <f>IFERROR(__xludf.DUMMYFUNCTION("""COMPUTED_VALUE"""),137.61)</f>
        <v>137.61</v>
      </c>
      <c r="F4312" s="122">
        <f>IFERROR(__xludf.DUMMYFUNCTION("""COMPUTED_VALUE"""),-0.003)</f>
        <v>-0.003</v>
      </c>
    </row>
    <row r="4313">
      <c r="A4313" s="131">
        <f>IFERROR(__xludf.DUMMYFUNCTION("""COMPUTED_VALUE"""),46187.47375)</f>
        <v>46187.47375</v>
      </c>
      <c r="B4313" s="126">
        <f>IFERROR(__xludf.DUMMYFUNCTION("""COMPUTED_VALUE"""),46187.0)</f>
        <v>46187</v>
      </c>
      <c r="C4313" s="122" t="str">
        <f>IFERROR(__xludf.DUMMYFUNCTION("""COMPUTED_VALUE"""),"BOOK")</f>
        <v>BOOK</v>
      </c>
      <c r="D4313" s="122" t="str">
        <f>IFERROR(__xludf.DUMMYFUNCTION("""COMPUTED_VALUE"""),"BookBridge")</f>
        <v>BookBridge</v>
      </c>
      <c r="E4313" s="122">
        <f>IFERROR(__xludf.DUMMYFUNCTION("""COMPUTED_VALUE"""),117.33)</f>
        <v>117.33</v>
      </c>
      <c r="F4313" s="122">
        <f>IFERROR(__xludf.DUMMYFUNCTION("""COMPUTED_VALUE"""),0.0034)</f>
        <v>0.0034</v>
      </c>
    </row>
    <row r="4314">
      <c r="A4314" s="131">
        <f>IFERROR(__xludf.DUMMYFUNCTION("""COMPUTED_VALUE"""),46187.47375)</f>
        <v>46187.47375</v>
      </c>
      <c r="B4314" s="126">
        <f>IFERROR(__xludf.DUMMYFUNCTION("""COMPUTED_VALUE"""),46187.0)</f>
        <v>46187</v>
      </c>
      <c r="C4314" s="122" t="str">
        <f>IFERROR(__xludf.DUMMYFUNCTION("""COMPUTED_VALUE"""),"TUTR")</f>
        <v>TUTR</v>
      </c>
      <c r="D4314" s="122" t="str">
        <f>IFERROR(__xludf.DUMMYFUNCTION("""COMPUTED_VALUE"""),"TutorTown")</f>
        <v>TutorTown</v>
      </c>
      <c r="E4314" s="122">
        <f>IFERROR(__xludf.DUMMYFUNCTION("""COMPUTED_VALUE"""),90.67)</f>
        <v>90.67</v>
      </c>
      <c r="F4314" s="122">
        <f>IFERROR(__xludf.DUMMYFUNCTION("""COMPUTED_VALUE"""),0.0059)</f>
        <v>0.0059</v>
      </c>
    </row>
    <row r="4315">
      <c r="A4315" s="131">
        <f>IFERROR(__xludf.DUMMYFUNCTION("""COMPUTED_VALUE"""),46187.47375)</f>
        <v>46187.47375</v>
      </c>
      <c r="B4315" s="126">
        <f>IFERROR(__xludf.DUMMYFUNCTION("""COMPUTED_VALUE"""),46187.0)</f>
        <v>46187</v>
      </c>
      <c r="C4315" s="122" t="str">
        <f>IFERROR(__xludf.DUMMYFUNCTION("""COMPUTED_VALUE"""),"LANG")</f>
        <v>LANG</v>
      </c>
      <c r="D4315" s="122" t="str">
        <f>IFERROR(__xludf.DUMMYFUNCTION("""COMPUTED_VALUE"""),"LinguaLab")</f>
        <v>LinguaLab</v>
      </c>
      <c r="E4315" s="122">
        <f>IFERROR(__xludf.DUMMYFUNCTION("""COMPUTED_VALUE"""),98.54)</f>
        <v>98.54</v>
      </c>
      <c r="F4315" s="122">
        <f>IFERROR(__xludf.DUMMYFUNCTION("""COMPUTED_VALUE"""),0.0053)</f>
        <v>0.0053</v>
      </c>
    </row>
    <row r="4316">
      <c r="A4316" s="131">
        <f>IFERROR(__xludf.DUMMYFUNCTION("""COMPUTED_VALUE"""),46187.47375)</f>
        <v>46187.47375</v>
      </c>
      <c r="B4316" s="126">
        <f>IFERROR(__xludf.DUMMYFUNCTION("""COMPUTED_VALUE"""),46187.0)</f>
        <v>46187</v>
      </c>
      <c r="C4316" s="122" t="str">
        <f>IFERROR(__xludf.DUMMYFUNCTION("""COMPUTED_VALUE"""),"TEST")</f>
        <v>TEST</v>
      </c>
      <c r="D4316" s="122" t="str">
        <f>IFERROR(__xludf.DUMMYFUNCTION("""COMPUTED_VALUE"""),"TestPrep Pro")</f>
        <v>TestPrep Pro</v>
      </c>
      <c r="E4316" s="122">
        <f>IFERROR(__xludf.DUMMYFUNCTION("""COMPUTED_VALUE"""),96.32)</f>
        <v>96.32</v>
      </c>
      <c r="F4316" s="122">
        <f>IFERROR(__xludf.DUMMYFUNCTION("""COMPUTED_VALUE"""),0.004)</f>
        <v>0.004</v>
      </c>
    </row>
    <row r="4317">
      <c r="A4317" s="131">
        <f>IFERROR(__xludf.DUMMYFUNCTION("""COMPUTED_VALUE"""),46187.47375)</f>
        <v>46187.47375</v>
      </c>
      <c r="B4317" s="126">
        <f>IFERROR(__xludf.DUMMYFUNCTION("""COMPUTED_VALUE"""),46187.0)</f>
        <v>46187</v>
      </c>
      <c r="C4317" s="122" t="str">
        <f>IFERROR(__xludf.DUMMYFUNCTION("""COMPUTED_VALUE"""),"MOVI")</f>
        <v>MOVI</v>
      </c>
      <c r="D4317" s="122" t="str">
        <f>IFERROR(__xludf.DUMMYFUNCTION("""COMPUTED_VALUE"""),"MovieBox")</f>
        <v>MovieBox</v>
      </c>
      <c r="E4317" s="122">
        <f>IFERROR(__xludf.DUMMYFUNCTION("""COMPUTED_VALUE"""),81.75)</f>
        <v>81.75</v>
      </c>
      <c r="F4317" s="122">
        <f>IFERROR(__xludf.DUMMYFUNCTION("""COMPUTED_VALUE"""),0.0012)</f>
        <v>0.0012</v>
      </c>
    </row>
    <row r="4318">
      <c r="A4318" s="131">
        <f>IFERROR(__xludf.DUMMYFUNCTION("""COMPUTED_VALUE"""),46187.47375)</f>
        <v>46187.47375</v>
      </c>
      <c r="B4318" s="126">
        <f>IFERROR(__xludf.DUMMYFUNCTION("""COMPUTED_VALUE"""),46187.0)</f>
        <v>46187</v>
      </c>
      <c r="C4318" s="122" t="str">
        <f>IFERROR(__xludf.DUMMYFUNCTION("""COMPUTED_VALUE"""),"MUSC")</f>
        <v>MUSC</v>
      </c>
      <c r="D4318" s="122" t="str">
        <f>IFERROR(__xludf.DUMMYFUNCTION("""COMPUTED_VALUE"""),"MusicWave")</f>
        <v>MusicWave</v>
      </c>
      <c r="E4318" s="122">
        <f>IFERROR(__xludf.DUMMYFUNCTION("""COMPUTED_VALUE"""),97.59)</f>
        <v>97.59</v>
      </c>
      <c r="F4318" s="122">
        <f>IFERROR(__xludf.DUMMYFUNCTION("""COMPUTED_VALUE"""),-0.001)</f>
        <v>-0.001</v>
      </c>
    </row>
    <row r="4319">
      <c r="A4319" s="131">
        <f>IFERROR(__xludf.DUMMYFUNCTION("""COMPUTED_VALUE"""),46187.47375)</f>
        <v>46187.47375</v>
      </c>
      <c r="B4319" s="126">
        <f>IFERROR(__xludf.DUMMYFUNCTION("""COMPUTED_VALUE"""),46187.0)</f>
        <v>46187</v>
      </c>
      <c r="C4319" s="122" t="str">
        <f>IFERROR(__xludf.DUMMYFUNCTION("""COMPUTED_VALUE"""),"IDOL")</f>
        <v>IDOL</v>
      </c>
      <c r="D4319" s="122" t="str">
        <f>IFERROR(__xludf.DUMMYFUNCTION("""COMPUTED_VALUE"""),"Idol Agency")</f>
        <v>Idol Agency</v>
      </c>
      <c r="E4319" s="122">
        <f>IFERROR(__xludf.DUMMYFUNCTION("""COMPUTED_VALUE"""),195.78)</f>
        <v>195.78</v>
      </c>
      <c r="F4319" s="122">
        <f>IFERROR(__xludf.DUMMYFUNCTION("""COMPUTED_VALUE"""),-0.002)</f>
        <v>-0.002</v>
      </c>
    </row>
    <row r="4320">
      <c r="A4320" s="131">
        <f>IFERROR(__xludf.DUMMYFUNCTION("""COMPUTED_VALUE"""),46187.47375)</f>
        <v>46187.47375</v>
      </c>
      <c r="B4320" s="126">
        <f>IFERROR(__xludf.DUMMYFUNCTION("""COMPUTED_VALUE"""),46187.0)</f>
        <v>46187</v>
      </c>
      <c r="C4320" s="122" t="str">
        <f>IFERROR(__xludf.DUMMYFUNCTION("""COMPUTED_VALUE"""),"MEME")</f>
        <v>MEME</v>
      </c>
      <c r="D4320" s="122" t="str">
        <f>IFERROR(__xludf.DUMMYFUNCTION("""COMPUTED_VALUE"""),"Meme Media")</f>
        <v>Meme Media</v>
      </c>
      <c r="E4320" s="122">
        <f>IFERROR(__xludf.DUMMYFUNCTION("""COMPUTED_VALUE"""),73.93)</f>
        <v>73.93</v>
      </c>
      <c r="F4320" s="122">
        <f>IFERROR(__xludf.DUMMYFUNCTION("""COMPUTED_VALUE"""),-0.0122)</f>
        <v>-0.0122</v>
      </c>
    </row>
    <row r="4321">
      <c r="A4321" s="131">
        <f>IFERROR(__xludf.DUMMYFUNCTION("""COMPUTED_VALUE"""),46187.47375)</f>
        <v>46187.47375</v>
      </c>
      <c r="B4321" s="126">
        <f>IFERROR(__xludf.DUMMYFUNCTION("""COMPUTED_VALUE"""),46187.0)</f>
        <v>46187</v>
      </c>
      <c r="C4321" s="122" t="str">
        <f>IFERROR(__xludf.DUMMYFUNCTION("""COMPUTED_VALUE"""),"STRM")</f>
        <v>STRM</v>
      </c>
      <c r="D4321" s="122" t="str">
        <f>IFERROR(__xludf.DUMMYFUNCTION("""COMPUTED_VALUE"""),"Streamly")</f>
        <v>Streamly</v>
      </c>
      <c r="E4321" s="122">
        <f>IFERROR(__xludf.DUMMYFUNCTION("""COMPUTED_VALUE"""),138.27)</f>
        <v>138.27</v>
      </c>
      <c r="F4321" s="122">
        <f>IFERROR(__xludf.DUMMYFUNCTION("""COMPUTED_VALUE"""),0.0058)</f>
        <v>0.0058</v>
      </c>
    </row>
    <row r="4322">
      <c r="A4322" s="131">
        <f>IFERROR(__xludf.DUMMYFUNCTION("""COMPUTED_VALUE"""),46187.47375)</f>
        <v>46187.47375</v>
      </c>
      <c r="B4322" s="126">
        <f>IFERROR(__xludf.DUMMYFUNCTION("""COMPUTED_VALUE"""),46187.0)</f>
        <v>46187</v>
      </c>
      <c r="C4322" s="122" t="str">
        <f>IFERROR(__xludf.DUMMYFUNCTION("""COMPUTED_VALUE"""),"FARM")</f>
        <v>FARM</v>
      </c>
      <c r="D4322" s="122" t="str">
        <f>IFERROR(__xludf.DUMMYFUNCTION("""COMPUTED_VALUE"""),"Future Farms")</f>
        <v>Future Farms</v>
      </c>
      <c r="E4322" s="122">
        <f>IFERROR(__xludf.DUMMYFUNCTION("""COMPUTED_VALUE"""),87.46)</f>
        <v>87.46</v>
      </c>
      <c r="F4322" s="122">
        <f>IFERROR(__xludf.DUMMYFUNCTION("""COMPUTED_VALUE"""),0.0025)</f>
        <v>0.0025</v>
      </c>
    </row>
    <row r="4323">
      <c r="A4323" s="131">
        <f>IFERROR(__xludf.DUMMYFUNCTION("""COMPUTED_VALUE"""),46187.47375)</f>
        <v>46187.47375</v>
      </c>
      <c r="B4323" s="126">
        <f>IFERROR(__xludf.DUMMYFUNCTION("""COMPUTED_VALUE"""),46187.0)</f>
        <v>46187</v>
      </c>
      <c r="C4323" s="122" t="str">
        <f>IFERROR(__xludf.DUMMYFUNCTION("""COMPUTED_VALUE"""),"MEAT")</f>
        <v>MEAT</v>
      </c>
      <c r="D4323" s="122" t="str">
        <f>IFERROR(__xludf.DUMMYFUNCTION("""COMPUTED_VALUE"""),"MeatWorks")</f>
        <v>MeatWorks</v>
      </c>
      <c r="E4323" s="122">
        <f>IFERROR(__xludf.DUMMYFUNCTION("""COMPUTED_VALUE"""),104.67)</f>
        <v>104.67</v>
      </c>
      <c r="F4323" s="122">
        <f>IFERROR(__xludf.DUMMYFUNCTION("""COMPUTED_VALUE"""),-0.0018)</f>
        <v>-0.0018</v>
      </c>
    </row>
    <row r="4324">
      <c r="A4324" s="131">
        <f>IFERROR(__xludf.DUMMYFUNCTION("""COMPUTED_VALUE"""),46187.47375)</f>
        <v>46187.47375</v>
      </c>
      <c r="B4324" s="126">
        <f>IFERROR(__xludf.DUMMYFUNCTION("""COMPUTED_VALUE"""),46187.0)</f>
        <v>46187</v>
      </c>
      <c r="C4324" s="122" t="str">
        <f>IFERROR(__xludf.DUMMYFUNCTION("""COMPUTED_VALUE"""),"VEGI")</f>
        <v>VEGI</v>
      </c>
      <c r="D4324" s="122" t="str">
        <f>IFERROR(__xludf.DUMMYFUNCTION("""COMPUTED_VALUE"""),"Green Basket")</f>
        <v>Green Basket</v>
      </c>
      <c r="E4324" s="122">
        <f>IFERROR(__xludf.DUMMYFUNCTION("""COMPUTED_VALUE"""),80.91)</f>
        <v>80.91</v>
      </c>
      <c r="F4324" s="122">
        <f>IFERROR(__xludf.DUMMYFUNCTION("""COMPUTED_VALUE"""),0.003)</f>
        <v>0.003</v>
      </c>
    </row>
    <row r="4325">
      <c r="A4325" s="131">
        <f>IFERROR(__xludf.DUMMYFUNCTION("""COMPUTED_VALUE"""),46187.47375)</f>
        <v>46187.47375</v>
      </c>
      <c r="B4325" s="126">
        <f>IFERROR(__xludf.DUMMYFUNCTION("""COMPUTED_VALUE"""),46187.0)</f>
        <v>46187</v>
      </c>
      <c r="C4325" s="122" t="str">
        <f>IFERROR(__xludf.DUMMYFUNCTION("""COMPUTED_VALUE"""),"CAFE")</f>
        <v>CAFE</v>
      </c>
      <c r="D4325" s="122" t="str">
        <f>IFERROR(__xludf.DUMMYFUNCTION("""COMPUTED_VALUE"""),"Cafe Cloud")</f>
        <v>Cafe Cloud</v>
      </c>
      <c r="E4325" s="122">
        <f>IFERROR(__xludf.DUMMYFUNCTION("""COMPUTED_VALUE"""),103.81)</f>
        <v>103.81</v>
      </c>
      <c r="F4325" s="122">
        <f>IFERROR(__xludf.DUMMYFUNCTION("""COMPUTED_VALUE"""),8.0E-4)</f>
        <v>0.0008</v>
      </c>
    </row>
    <row r="4326">
      <c r="A4326" s="131">
        <f>IFERROR(__xludf.DUMMYFUNCTION("""COMPUTED_VALUE"""),46187.47375)</f>
        <v>46187.47375</v>
      </c>
      <c r="B4326" s="126">
        <f>IFERROR(__xludf.DUMMYFUNCTION("""COMPUTED_VALUE"""),46187.0)</f>
        <v>46187</v>
      </c>
      <c r="C4326" s="122" t="str">
        <f>IFERROR(__xludf.DUMMYFUNCTION("""COMPUTED_VALUE"""),"BAKE")</f>
        <v>BAKE</v>
      </c>
      <c r="D4326" s="122" t="str">
        <f>IFERROR(__xludf.DUMMYFUNCTION("""COMPUTED_VALUE"""),"BakeHouse")</f>
        <v>BakeHouse</v>
      </c>
      <c r="E4326" s="122">
        <f>IFERROR(__xludf.DUMMYFUNCTION("""COMPUTED_VALUE"""),100.46)</f>
        <v>100.46</v>
      </c>
      <c r="F4326" s="122">
        <f>IFERROR(__xludf.DUMMYFUNCTION("""COMPUTED_VALUE"""),0.005)</f>
        <v>0.005</v>
      </c>
    </row>
    <row r="4327">
      <c r="A4327" s="131">
        <f>IFERROR(__xludf.DUMMYFUNCTION("""COMPUTED_VALUE"""),46187.47375)</f>
        <v>46187.47375</v>
      </c>
      <c r="B4327" s="126">
        <f>IFERROR(__xludf.DUMMYFUNCTION("""COMPUTED_VALUE"""),46187.0)</f>
        <v>46187</v>
      </c>
      <c r="C4327" s="122" t="str">
        <f>IFERROR(__xludf.DUMMYFUNCTION("""COMPUTED_VALUE"""),"OILX")</f>
        <v>OILX</v>
      </c>
      <c r="D4327" s="122" t="str">
        <f>IFERROR(__xludf.DUMMYFUNCTION("""COMPUTED_VALUE"""),"OilMax Energy")</f>
        <v>OilMax Energy</v>
      </c>
      <c r="E4327" s="122">
        <f>IFERROR(__xludf.DUMMYFUNCTION("""COMPUTED_VALUE"""),132.84)</f>
        <v>132.84</v>
      </c>
      <c r="F4327" s="122">
        <f>IFERROR(__xludf.DUMMYFUNCTION("""COMPUTED_VALUE"""),-6.0E-4)</f>
        <v>-0.0006</v>
      </c>
    </row>
    <row r="4328">
      <c r="A4328" s="131">
        <f>IFERROR(__xludf.DUMMYFUNCTION("""COMPUTED_VALUE"""),46187.47375)</f>
        <v>46187.47375</v>
      </c>
      <c r="B4328" s="126">
        <f>IFERROR(__xludf.DUMMYFUNCTION("""COMPUTED_VALUE"""),46187.0)</f>
        <v>46187</v>
      </c>
      <c r="C4328" s="122" t="str">
        <f>IFERROR(__xludf.DUMMYFUNCTION("""COMPUTED_VALUE"""),"SOLR")</f>
        <v>SOLR</v>
      </c>
      <c r="D4328" s="122" t="str">
        <f>IFERROR(__xludf.DUMMYFUNCTION("""COMPUTED_VALUE"""),"SolarSpark")</f>
        <v>SolarSpark</v>
      </c>
      <c r="E4328" s="122">
        <f>IFERROR(__xludf.DUMMYFUNCTION("""COMPUTED_VALUE"""),93.99)</f>
        <v>93.99</v>
      </c>
      <c r="F4328" s="122">
        <f>IFERROR(__xludf.DUMMYFUNCTION("""COMPUTED_VALUE"""),-0.0013)</f>
        <v>-0.0013</v>
      </c>
    </row>
    <row r="4329">
      <c r="A4329" s="131">
        <f>IFERROR(__xludf.DUMMYFUNCTION("""COMPUTED_VALUE"""),46187.47375)</f>
        <v>46187.47375</v>
      </c>
      <c r="B4329" s="126">
        <f>IFERROR(__xludf.DUMMYFUNCTION("""COMPUTED_VALUE"""),46187.0)</f>
        <v>46187</v>
      </c>
      <c r="C4329" s="122" t="str">
        <f>IFERROR(__xludf.DUMMYFUNCTION("""COMPUTED_VALUE"""),"BATT")</f>
        <v>BATT</v>
      </c>
      <c r="D4329" s="122" t="str">
        <f>IFERROR(__xludf.DUMMYFUNCTION("""COMPUTED_VALUE"""),"BatteryBox")</f>
        <v>BatteryBox</v>
      </c>
      <c r="E4329" s="122">
        <f>IFERROR(__xludf.DUMMYFUNCTION("""COMPUTED_VALUE"""),122.79)</f>
        <v>122.79</v>
      </c>
      <c r="F4329" s="122">
        <f>IFERROR(__xludf.DUMMYFUNCTION("""COMPUTED_VALUE"""),0.004)</f>
        <v>0.004</v>
      </c>
    </row>
    <row r="4330">
      <c r="A4330" s="131">
        <f>IFERROR(__xludf.DUMMYFUNCTION("""COMPUTED_VALUE"""),46187.47375)</f>
        <v>46187.47375</v>
      </c>
      <c r="B4330" s="126">
        <f>IFERROR(__xludf.DUMMYFUNCTION("""COMPUTED_VALUE"""),46187.0)</f>
        <v>46187</v>
      </c>
      <c r="C4330" s="122" t="str">
        <f>IFERROR(__xludf.DUMMYFUNCTION("""COMPUTED_VALUE"""),"WIND")</f>
        <v>WIND</v>
      </c>
      <c r="D4330" s="122" t="str">
        <f>IFERROR(__xludf.DUMMYFUNCTION("""COMPUTED_VALUE"""),"WindWorks")</f>
        <v>WindWorks</v>
      </c>
      <c r="E4330" s="122">
        <f>IFERROR(__xludf.DUMMYFUNCTION("""COMPUTED_VALUE"""),87.65)</f>
        <v>87.65</v>
      </c>
      <c r="F4330" s="122">
        <f>IFERROR(__xludf.DUMMYFUNCTION("""COMPUTED_VALUE"""),-0.0034)</f>
        <v>-0.0034</v>
      </c>
    </row>
    <row r="4331">
      <c r="A4331" s="131">
        <f>IFERROR(__xludf.DUMMYFUNCTION("""COMPUTED_VALUE"""),46187.47375)</f>
        <v>46187.47375</v>
      </c>
      <c r="B4331" s="126">
        <f>IFERROR(__xludf.DUMMYFUNCTION("""COMPUTED_VALUE"""),46187.0)</f>
        <v>46187</v>
      </c>
      <c r="C4331" s="122" t="str">
        <f>IFERROR(__xludf.DUMMYFUNCTION("""COMPUTED_VALUE"""),"GRID")</f>
        <v>GRID</v>
      </c>
      <c r="D4331" s="122" t="str">
        <f>IFERROR(__xludf.DUMMYFUNCTION("""COMPUTED_VALUE"""),"GridPower")</f>
        <v>GridPower</v>
      </c>
      <c r="E4331" s="122">
        <f>IFERROR(__xludf.DUMMYFUNCTION("""COMPUTED_VALUE"""),139.8)</f>
        <v>139.8</v>
      </c>
      <c r="F4331" s="122">
        <f>IFERROR(__xludf.DUMMYFUNCTION("""COMPUTED_VALUE"""),1.0E-4)</f>
        <v>0.0001</v>
      </c>
    </row>
    <row r="4332">
      <c r="A4332" s="131">
        <f>IFERROR(__xludf.DUMMYFUNCTION("""COMPUTED_VALUE"""),46187.47375)</f>
        <v>46187.47375</v>
      </c>
      <c r="B4332" s="126">
        <f>IFERROR(__xludf.DUMMYFUNCTION("""COMPUTED_VALUE"""),46187.0)</f>
        <v>46187</v>
      </c>
      <c r="C4332" s="122" t="str">
        <f>IFERROR(__xludf.DUMMYFUNCTION("""COMPUTED_VALUE"""),"HOME")</f>
        <v>HOME</v>
      </c>
      <c r="D4332" s="122" t="str">
        <f>IFERROR(__xludf.DUMMYFUNCTION("""COMPUTED_VALUE"""),"HomeHub")</f>
        <v>HomeHub</v>
      </c>
      <c r="E4332" s="122">
        <f>IFERROR(__xludf.DUMMYFUNCTION("""COMPUTED_VALUE"""),152.76)</f>
        <v>152.76</v>
      </c>
      <c r="F4332" s="122">
        <f>IFERROR(__xludf.DUMMYFUNCTION("""COMPUTED_VALUE"""),-0.0029)</f>
        <v>-0.0029</v>
      </c>
    </row>
    <row r="4333">
      <c r="A4333" s="131">
        <f>IFERROR(__xludf.DUMMYFUNCTION("""COMPUTED_VALUE"""),46187.47375)</f>
        <v>46187.47375</v>
      </c>
      <c r="B4333" s="126">
        <f>IFERROR(__xludf.DUMMYFUNCTION("""COMPUTED_VALUE"""),46187.0)</f>
        <v>46187</v>
      </c>
      <c r="C4333" s="122" t="str">
        <f>IFERROR(__xludf.DUMMYFUNCTION("""COMPUTED_VALUE"""),"RENT")</f>
        <v>RENT</v>
      </c>
      <c r="D4333" s="122" t="str">
        <f>IFERROR(__xludf.DUMMYFUNCTION("""COMPUTED_VALUE"""),"RentRight")</f>
        <v>RentRight</v>
      </c>
      <c r="E4333" s="122">
        <f>IFERROR(__xludf.DUMMYFUNCTION("""COMPUTED_VALUE"""),92.07)</f>
        <v>92.07</v>
      </c>
      <c r="F4333" s="122">
        <f>IFERROR(__xludf.DUMMYFUNCTION("""COMPUTED_VALUE"""),-0.0062)</f>
        <v>-0.0062</v>
      </c>
    </row>
    <row r="4334">
      <c r="A4334" s="131">
        <f>IFERROR(__xludf.DUMMYFUNCTION("""COMPUTED_VALUE"""),46187.47375)</f>
        <v>46187.47375</v>
      </c>
      <c r="B4334" s="126">
        <f>IFERROR(__xludf.DUMMYFUNCTION("""COMPUTED_VALUE"""),46187.0)</f>
        <v>46187</v>
      </c>
      <c r="C4334" s="122" t="str">
        <f>IFERROR(__xludf.DUMMYFUNCTION("""COMPUTED_VALUE"""),"MALL")</f>
        <v>MALL</v>
      </c>
      <c r="D4334" s="122" t="str">
        <f>IFERROR(__xludf.DUMMYFUNCTION("""COMPUTED_VALUE"""),"MegaMall")</f>
        <v>MegaMall</v>
      </c>
      <c r="E4334" s="122">
        <f>IFERROR(__xludf.DUMMYFUNCTION("""COMPUTED_VALUE"""),101.97)</f>
        <v>101.97</v>
      </c>
      <c r="F4334" s="122">
        <f>IFERROR(__xludf.DUMMYFUNCTION("""COMPUTED_VALUE"""),0.002)</f>
        <v>0.002</v>
      </c>
    </row>
    <row r="4335">
      <c r="A4335" s="131">
        <f>IFERROR(__xludf.DUMMYFUNCTION("""COMPUTED_VALUE"""),46187.47375)</f>
        <v>46187.47375</v>
      </c>
      <c r="B4335" s="126">
        <f>IFERROR(__xludf.DUMMYFUNCTION("""COMPUTED_VALUE"""),46187.0)</f>
        <v>46187</v>
      </c>
      <c r="C4335" s="122" t="str">
        <f>IFERROR(__xludf.DUMMYFUNCTION("""COMPUTED_VALUE"""),"HOTL")</f>
        <v>HOTL</v>
      </c>
      <c r="D4335" s="122" t="str">
        <f>IFERROR(__xludf.DUMMYFUNCTION("""COMPUTED_VALUE"""),"HotelHive")</f>
        <v>HotelHive</v>
      </c>
      <c r="E4335" s="122">
        <f>IFERROR(__xludf.DUMMYFUNCTION("""COMPUTED_VALUE"""),129.82)</f>
        <v>129.82</v>
      </c>
      <c r="F4335" s="122">
        <f>IFERROR(__xludf.DUMMYFUNCTION("""COMPUTED_VALUE"""),-0.0037)</f>
        <v>-0.0037</v>
      </c>
    </row>
    <row r="4336">
      <c r="A4336" s="131">
        <f>IFERROR(__xludf.DUMMYFUNCTION("""COMPUTED_VALUE"""),46187.47375)</f>
        <v>46187.47375</v>
      </c>
      <c r="B4336" s="126">
        <f>IFERROR(__xludf.DUMMYFUNCTION("""COMPUTED_VALUE"""),46187.0)</f>
        <v>46187</v>
      </c>
      <c r="C4336" s="122" t="str">
        <f>IFERROR(__xludf.DUMMYFUNCTION("""COMPUTED_VALUE"""),"LAND")</f>
        <v>LAND</v>
      </c>
      <c r="D4336" s="122" t="str">
        <f>IFERROR(__xludf.DUMMYFUNCTION("""COMPUTED_VALUE"""),"LandLink")</f>
        <v>LandLink</v>
      </c>
      <c r="E4336" s="122">
        <f>IFERROR(__xludf.DUMMYFUNCTION("""COMPUTED_VALUE"""),183.41)</f>
        <v>183.41</v>
      </c>
      <c r="F4336" s="122">
        <f>IFERROR(__xludf.DUMMYFUNCTION("""COMPUTED_VALUE"""),0.0)</f>
        <v>0</v>
      </c>
    </row>
    <row r="4337">
      <c r="A4337" s="131">
        <f>IFERROR(__xludf.DUMMYFUNCTION("""COMPUTED_VALUE"""),46187.47375)</f>
        <v>46187.47375</v>
      </c>
      <c r="B4337" s="126">
        <f>IFERROR(__xludf.DUMMYFUNCTION("""COMPUTED_VALUE"""),46187.0)</f>
        <v>46187</v>
      </c>
      <c r="C4337" s="122" t="str">
        <f>IFERROR(__xludf.DUMMYFUNCTION("""COMPUTED_VALUE"""),"CARS")</f>
        <v>CARS</v>
      </c>
      <c r="D4337" s="122" t="str">
        <f>IFERROR(__xludf.DUMMYFUNCTION("""COMPUTED_VALUE"""),"AutoArena")</f>
        <v>AutoArena</v>
      </c>
      <c r="E4337" s="122">
        <f>IFERROR(__xludf.DUMMYFUNCTION("""COMPUTED_VALUE"""),80.32)</f>
        <v>80.32</v>
      </c>
      <c r="F4337" s="122">
        <f>IFERROR(__xludf.DUMMYFUNCTION("""COMPUTED_VALUE"""),4.0E-4)</f>
        <v>0.0004</v>
      </c>
    </row>
    <row r="4338">
      <c r="A4338" s="131">
        <f>IFERROR(__xludf.DUMMYFUNCTION("""COMPUTED_VALUE"""),46187.47375)</f>
        <v>46187.47375</v>
      </c>
      <c r="B4338" s="126">
        <f>IFERROR(__xludf.DUMMYFUNCTION("""COMPUTED_VALUE"""),46187.0)</f>
        <v>46187</v>
      </c>
      <c r="C4338" s="122" t="str">
        <f>IFERROR(__xludf.DUMMYFUNCTION("""COMPUTED_VALUE"""),"EVGO")</f>
        <v>EVGO</v>
      </c>
      <c r="D4338" s="122" t="str">
        <f>IFERROR(__xludf.DUMMYFUNCTION("""COMPUTED_VALUE"""),"EVGo Motors")</f>
        <v>EVGo Motors</v>
      </c>
      <c r="E4338" s="122">
        <f>IFERROR(__xludf.DUMMYFUNCTION("""COMPUTED_VALUE"""),189.59)</f>
        <v>189.59</v>
      </c>
      <c r="F4338" s="122">
        <f>IFERROR(__xludf.DUMMYFUNCTION("""COMPUTED_VALUE"""),0.0096)</f>
        <v>0.0096</v>
      </c>
    </row>
    <row r="4339">
      <c r="A4339" s="131">
        <f>IFERROR(__xludf.DUMMYFUNCTION("""COMPUTED_VALUE"""),46187.47375)</f>
        <v>46187.47375</v>
      </c>
      <c r="B4339" s="126">
        <f>IFERROR(__xludf.DUMMYFUNCTION("""COMPUTED_VALUE"""),46187.0)</f>
        <v>46187</v>
      </c>
      <c r="C4339" s="122" t="str">
        <f>IFERROR(__xludf.DUMMYFUNCTION("""COMPUTED_VALUE"""),"TIRE")</f>
        <v>TIRE</v>
      </c>
      <c r="D4339" s="122" t="str">
        <f>IFERROR(__xludf.DUMMYFUNCTION("""COMPUTED_VALUE"""),"TireTown")</f>
        <v>TireTown</v>
      </c>
      <c r="E4339" s="122">
        <f>IFERROR(__xludf.DUMMYFUNCTION("""COMPUTED_VALUE"""),95.36)</f>
        <v>95.36</v>
      </c>
      <c r="F4339" s="122">
        <f>IFERROR(__xludf.DUMMYFUNCTION("""COMPUTED_VALUE"""),-0.0031)</f>
        <v>-0.0031</v>
      </c>
    </row>
    <row r="4340">
      <c r="A4340" s="131">
        <f>IFERROR(__xludf.DUMMYFUNCTION("""COMPUTED_VALUE"""),46187.47375)</f>
        <v>46187.47375</v>
      </c>
      <c r="B4340" s="126">
        <f>IFERROR(__xludf.DUMMYFUNCTION("""COMPUTED_VALUE"""),46187.0)</f>
        <v>46187</v>
      </c>
      <c r="C4340" s="122" t="str">
        <f>IFERROR(__xludf.DUMMYFUNCTION("""COMPUTED_VALUE"""),"BIKE")</f>
        <v>BIKE</v>
      </c>
      <c r="D4340" s="122" t="str">
        <f>IFERROR(__xludf.DUMMYFUNCTION("""COMPUTED_VALUE"""),"BikeBox")</f>
        <v>BikeBox</v>
      </c>
      <c r="E4340" s="122">
        <f>IFERROR(__xludf.DUMMYFUNCTION("""COMPUTED_VALUE"""),53.02)</f>
        <v>53.02</v>
      </c>
      <c r="F4340" s="122">
        <f>IFERROR(__xludf.DUMMYFUNCTION("""COMPUTED_VALUE"""),0.0)</f>
        <v>0</v>
      </c>
    </row>
    <row r="4341">
      <c r="A4341" s="131">
        <f>IFERROR(__xludf.DUMMYFUNCTION("""COMPUTED_VALUE"""),46187.47375)</f>
        <v>46187.47375</v>
      </c>
      <c r="B4341" s="126">
        <f>IFERROR(__xludf.DUMMYFUNCTION("""COMPUTED_VALUE"""),46187.0)</f>
        <v>46187</v>
      </c>
      <c r="C4341" s="122" t="str">
        <f>IFERROR(__xludf.DUMMYFUNCTION("""COMPUTED_VALUE"""),"WASH")</f>
        <v>WASH</v>
      </c>
      <c r="D4341" s="122" t="str">
        <f>IFERROR(__xludf.DUMMYFUNCTION("""COMPUTED_VALUE"""),"CarWash Co")</f>
        <v>CarWash Co</v>
      </c>
      <c r="E4341" s="122">
        <f>IFERROR(__xludf.DUMMYFUNCTION("""COMPUTED_VALUE"""),120.02)</f>
        <v>120.02</v>
      </c>
      <c r="F4341" s="122">
        <f>IFERROR(__xludf.DUMMYFUNCTION("""COMPUTED_VALUE"""),-0.002)</f>
        <v>-0.002</v>
      </c>
    </row>
    <row r="4342">
      <c r="A4342" s="131">
        <f>IFERROR(__xludf.DUMMYFUNCTION("""COMPUTED_VALUE"""),46187.47375)</f>
        <v>46187.47375</v>
      </c>
      <c r="B4342" s="126">
        <f>IFERROR(__xludf.DUMMYFUNCTION("""COMPUTED_VALUE"""),46187.0)</f>
        <v>46187</v>
      </c>
      <c r="C4342" s="122" t="str">
        <f>IFERROR(__xludf.DUMMYFUNCTION("""COMPUTED_VALUE"""),"GBND")</f>
        <v>GBND</v>
      </c>
      <c r="D4342" s="122" t="str">
        <f>IFERROR(__xludf.DUMMYFUNCTION("""COMPUTED_VALUE"""),"Classroom Government Bond")</f>
        <v>Classroom Government Bond</v>
      </c>
      <c r="E4342" s="122">
        <f>IFERROR(__xludf.DUMMYFUNCTION("""COMPUTED_VALUE"""),100.94)</f>
        <v>100.94</v>
      </c>
      <c r="F4342" s="122">
        <f>IFERROR(__xludf.DUMMYFUNCTION("""COMPUTED_VALUE"""),-4.0E-4)</f>
        <v>-0.0004</v>
      </c>
    </row>
    <row r="4343">
      <c r="A4343" s="131">
        <f>IFERROR(__xludf.DUMMYFUNCTION("""COMPUTED_VALUE"""),46187.47375)</f>
        <v>46187.47375</v>
      </c>
      <c r="B4343" s="126">
        <f>IFERROR(__xludf.DUMMYFUNCTION("""COMPUTED_VALUE"""),46187.0)</f>
        <v>46187</v>
      </c>
      <c r="C4343" s="122" t="str">
        <f>IFERROR(__xludf.DUMMYFUNCTION("""COMPUTED_VALUE"""),"SBND")</f>
        <v>SBND</v>
      </c>
      <c r="D4343" s="122" t="str">
        <f>IFERROR(__xludf.DUMMYFUNCTION("""COMPUTED_VALUE"""),"School Savings Bond")</f>
        <v>School Savings Bond</v>
      </c>
      <c r="E4343" s="122">
        <f>IFERROR(__xludf.DUMMYFUNCTION("""COMPUTED_VALUE"""),99.55)</f>
        <v>99.55</v>
      </c>
      <c r="F4343" s="122">
        <f>IFERROR(__xludf.DUMMYFUNCTION("""COMPUTED_VALUE"""),4.0E-4)</f>
        <v>0.0004</v>
      </c>
    </row>
    <row r="4344">
      <c r="A4344" s="131">
        <f>IFERROR(__xludf.DUMMYFUNCTION("""COMPUTED_VALUE"""),46187.47375)</f>
        <v>46187.47375</v>
      </c>
      <c r="B4344" s="126">
        <f>IFERROR(__xludf.DUMMYFUNCTION("""COMPUTED_VALUE"""),46187.0)</f>
        <v>46187</v>
      </c>
      <c r="C4344" s="122" t="str">
        <f>IFERROR(__xludf.DUMMYFUNCTION("""COMPUTED_VALUE"""),"CBND")</f>
        <v>CBND</v>
      </c>
      <c r="D4344" s="122" t="str">
        <f>IFERROR(__xludf.DUMMYFUNCTION("""COMPUTED_VALUE"""),"Corporate Classroom Bond")</f>
        <v>Corporate Classroom Bond</v>
      </c>
      <c r="E4344" s="122">
        <f>IFERROR(__xludf.DUMMYFUNCTION("""COMPUTED_VALUE"""),97.83)</f>
        <v>97.83</v>
      </c>
      <c r="F4344" s="122">
        <f>IFERROR(__xludf.DUMMYFUNCTION("""COMPUTED_VALUE"""),4.0E-4)</f>
        <v>0.0004</v>
      </c>
    </row>
    <row r="4345">
      <c r="A4345" s="131">
        <f>IFERROR(__xludf.DUMMYFUNCTION("""COMPUTED_VALUE"""),46187.47375)</f>
        <v>46187.47375</v>
      </c>
      <c r="B4345" s="126">
        <f>IFERROR(__xludf.DUMMYFUNCTION("""COMPUTED_VALUE"""),46187.0)</f>
        <v>46187</v>
      </c>
      <c r="C4345" s="122" t="str">
        <f>IFERROR(__xludf.DUMMYFUNCTION("""COMPUTED_VALUE"""),"TBIL")</f>
        <v>TBIL</v>
      </c>
      <c r="D4345" s="122" t="str">
        <f>IFERROR(__xludf.DUMMYFUNCTION("""COMPUTED_VALUE"""),"Treasury Bill")</f>
        <v>Treasury Bill</v>
      </c>
      <c r="E4345" s="122">
        <f>IFERROR(__xludf.DUMMYFUNCTION("""COMPUTED_VALUE"""),98.1)</f>
        <v>98.1</v>
      </c>
      <c r="F4345" s="122">
        <f>IFERROR(__xludf.DUMMYFUNCTION("""COMPUTED_VALUE"""),4.0E-4)</f>
        <v>0.0004</v>
      </c>
    </row>
    <row r="4346">
      <c r="A4346" s="131">
        <f>IFERROR(__xludf.DUMMYFUNCTION("""COMPUTED_VALUE"""),46187.47375)</f>
        <v>46187.47375</v>
      </c>
      <c r="B4346" s="126">
        <f>IFERROR(__xludf.DUMMYFUNCTION("""COMPUTED_VALUE"""),46187.0)</f>
        <v>46187</v>
      </c>
      <c r="C4346" s="122" t="str">
        <f>IFERROR(__xludf.DUMMYFUNCTION("""COMPUTED_VALUE"""),"IBND")</f>
        <v>IBND</v>
      </c>
      <c r="D4346" s="122" t="str">
        <f>IFERROR(__xludf.DUMMYFUNCTION("""COMPUTED_VALUE"""),"Inflation Protected Bond")</f>
        <v>Inflation Protected Bond</v>
      </c>
      <c r="E4346" s="122">
        <f>IFERROR(__xludf.DUMMYFUNCTION("""COMPUTED_VALUE"""),100.67)</f>
        <v>100.67</v>
      </c>
      <c r="F4346" s="122">
        <f>IFERROR(__xludf.DUMMYFUNCTION("""COMPUTED_VALUE"""),1.0E-4)</f>
        <v>0.0001</v>
      </c>
    </row>
    <row r="4347">
      <c r="A4347" s="131">
        <f>IFERROR(__xludf.DUMMYFUNCTION("""COMPUTED_VALUE"""),46187.477164351854)</f>
        <v>46187.47716</v>
      </c>
      <c r="B4347" s="126">
        <f>IFERROR(__xludf.DUMMYFUNCTION("""COMPUTED_VALUE"""),46187.0)</f>
        <v>46187</v>
      </c>
      <c r="C4347" s="122" t="str">
        <f>IFERROR(__xludf.DUMMYFUNCTION("""COMPUTED_VALUE"""),"SNAX")</f>
        <v>SNAX</v>
      </c>
      <c r="D4347" s="122" t="str">
        <f>IFERROR(__xludf.DUMMYFUNCTION("""COMPUTED_VALUE"""),"MICA Snacks")</f>
        <v>MICA Snacks</v>
      </c>
      <c r="E4347" s="122">
        <f>IFERROR(__xludf.DUMMYFUNCTION("""COMPUTED_VALUE"""),119.64)</f>
        <v>119.64</v>
      </c>
      <c r="F4347" s="122">
        <f>IFERROR(__xludf.DUMMYFUNCTION("""COMPUTED_VALUE"""),-0.0067)</f>
        <v>-0.0067</v>
      </c>
    </row>
    <row r="4348">
      <c r="A4348" s="131">
        <f>IFERROR(__xludf.DUMMYFUNCTION("""COMPUTED_VALUE"""),46187.477164351854)</f>
        <v>46187.47716</v>
      </c>
      <c r="B4348" s="126">
        <f>IFERROR(__xludf.DUMMYFUNCTION("""COMPUTED_VALUE"""),46187.0)</f>
        <v>46187</v>
      </c>
      <c r="C4348" s="122" t="str">
        <f>IFERROR(__xludf.DUMMYFUNCTION("""COMPUTED_VALUE"""),"RAMN")</f>
        <v>RAMN</v>
      </c>
      <c r="D4348" s="122" t="str">
        <f>IFERROR(__xludf.DUMMYFUNCTION("""COMPUTED_VALUE"""),"Ramen Republic")</f>
        <v>Ramen Republic</v>
      </c>
      <c r="E4348" s="122">
        <f>IFERROR(__xludf.DUMMYFUNCTION("""COMPUTED_VALUE"""),70.13)</f>
        <v>70.13</v>
      </c>
      <c r="F4348" s="122">
        <f>IFERROR(__xludf.DUMMYFUNCTION("""COMPUTED_VALUE"""),-0.0028)</f>
        <v>-0.0028</v>
      </c>
    </row>
    <row r="4349">
      <c r="A4349" s="131">
        <f>IFERROR(__xludf.DUMMYFUNCTION("""COMPUTED_VALUE"""),46187.477164351854)</f>
        <v>46187.47716</v>
      </c>
      <c r="B4349" s="126">
        <f>IFERROR(__xludf.DUMMYFUNCTION("""COMPUTED_VALUE"""),46187.0)</f>
        <v>46187</v>
      </c>
      <c r="C4349" s="122" t="str">
        <f>IFERROR(__xludf.DUMMYFUNCTION("""COMPUTED_VALUE"""),"COLA")</f>
        <v>COLA</v>
      </c>
      <c r="D4349" s="122" t="str">
        <f>IFERROR(__xludf.DUMMYFUNCTION("""COMPUTED_VALUE"""),"K-Pop Cola")</f>
        <v>K-Pop Cola</v>
      </c>
      <c r="E4349" s="122">
        <f>IFERROR(__xludf.DUMMYFUNCTION("""COMPUTED_VALUE"""),110.35)</f>
        <v>110.35</v>
      </c>
      <c r="F4349" s="122">
        <f>IFERROR(__xludf.DUMMYFUNCTION("""COMPUTED_VALUE"""),0.0068)</f>
        <v>0.0068</v>
      </c>
    </row>
    <row r="4350">
      <c r="A4350" s="131">
        <f>IFERROR(__xludf.DUMMYFUNCTION("""COMPUTED_VALUE"""),46187.477164351854)</f>
        <v>46187.47716</v>
      </c>
      <c r="B4350" s="126">
        <f>IFERROR(__xludf.DUMMYFUNCTION("""COMPUTED_VALUE"""),46187.0)</f>
        <v>46187</v>
      </c>
      <c r="C4350" s="122" t="str">
        <f>IFERROR(__xludf.DUMMYFUNCTION("""COMPUTED_VALUE"""),"CHIP")</f>
        <v>CHIP</v>
      </c>
      <c r="D4350" s="122" t="str">
        <f>IFERROR(__xludf.DUMMYFUNCTION("""COMPUTED_VALUE"""),"Chip Empire")</f>
        <v>Chip Empire</v>
      </c>
      <c r="E4350" s="122">
        <f>IFERROR(__xludf.DUMMYFUNCTION("""COMPUTED_VALUE"""),85.87)</f>
        <v>85.87</v>
      </c>
      <c r="F4350" s="122">
        <f>IFERROR(__xludf.DUMMYFUNCTION("""COMPUTED_VALUE"""),0.0054)</f>
        <v>0.0054</v>
      </c>
    </row>
    <row r="4351">
      <c r="A4351" s="131">
        <f>IFERROR(__xludf.DUMMYFUNCTION("""COMPUTED_VALUE"""),46187.477164351854)</f>
        <v>46187.47716</v>
      </c>
      <c r="B4351" s="126">
        <f>IFERROR(__xludf.DUMMYFUNCTION("""COMPUTED_VALUE"""),46187.0)</f>
        <v>46187</v>
      </c>
      <c r="C4351" s="122" t="str">
        <f>IFERROR(__xludf.DUMMYFUNCTION("""COMPUTED_VALUE"""),"CAND")</f>
        <v>CAND</v>
      </c>
      <c r="D4351" s="122" t="str">
        <f>IFERROR(__xludf.DUMMYFUNCTION("""COMPUTED_VALUE"""),"Candy Capital")</f>
        <v>Candy Capital</v>
      </c>
      <c r="E4351" s="122">
        <f>IFERROR(__xludf.DUMMYFUNCTION("""COMPUTED_VALUE"""),77.09)</f>
        <v>77.09</v>
      </c>
      <c r="F4351" s="122">
        <f>IFERROR(__xludf.DUMMYFUNCTION("""COMPUTED_VALUE"""),0.0084)</f>
        <v>0.0084</v>
      </c>
    </row>
    <row r="4352">
      <c r="A4352" s="131">
        <f>IFERROR(__xludf.DUMMYFUNCTION("""COMPUTED_VALUE"""),46187.477164351854)</f>
        <v>46187.47716</v>
      </c>
      <c r="B4352" s="126">
        <f>IFERROR(__xludf.DUMMYFUNCTION("""COMPUTED_VALUE"""),46187.0)</f>
        <v>46187</v>
      </c>
      <c r="C4352" s="122" t="str">
        <f>IFERROR(__xludf.DUMMYFUNCTION("""COMPUTED_VALUE"""),"TECH")</f>
        <v>TECH</v>
      </c>
      <c r="D4352" s="122" t="str">
        <f>IFERROR(__xludf.DUMMYFUNCTION("""COMPUTED_VALUE"""),"Dragon Tech")</f>
        <v>Dragon Tech</v>
      </c>
      <c r="E4352" s="122">
        <f>IFERROR(__xludf.DUMMYFUNCTION("""COMPUTED_VALUE"""),238.86)</f>
        <v>238.86</v>
      </c>
      <c r="F4352" s="122">
        <f>IFERROR(__xludf.DUMMYFUNCTION("""COMPUTED_VALUE"""),-0.0025)</f>
        <v>-0.0025</v>
      </c>
    </row>
    <row r="4353">
      <c r="A4353" s="131">
        <f>IFERROR(__xludf.DUMMYFUNCTION("""COMPUTED_VALUE"""),46187.477164351854)</f>
        <v>46187.47716</v>
      </c>
      <c r="B4353" s="126">
        <f>IFERROR(__xludf.DUMMYFUNCTION("""COMPUTED_VALUE"""),46187.0)</f>
        <v>46187</v>
      </c>
      <c r="C4353" s="122" t="str">
        <f>IFERROR(__xludf.DUMMYFUNCTION("""COMPUTED_VALUE"""),"AIBO")</f>
        <v>AIBO</v>
      </c>
      <c r="D4353" s="122" t="str">
        <f>IFERROR(__xludf.DUMMYFUNCTION("""COMPUTED_VALUE"""),"Homework AI")</f>
        <v>Homework AI</v>
      </c>
      <c r="E4353" s="122">
        <f>IFERROR(__xludf.DUMMYFUNCTION("""COMPUTED_VALUE"""),176.34)</f>
        <v>176.34</v>
      </c>
      <c r="F4353" s="122">
        <f>IFERROR(__xludf.DUMMYFUNCTION("""COMPUTED_VALUE"""),-0.0098)</f>
        <v>-0.0098</v>
      </c>
    </row>
    <row r="4354">
      <c r="A4354" s="131">
        <f>IFERROR(__xludf.DUMMYFUNCTION("""COMPUTED_VALUE"""),46187.477164351854)</f>
        <v>46187.47716</v>
      </c>
      <c r="B4354" s="126">
        <f>IFERROR(__xludf.DUMMYFUNCTION("""COMPUTED_VALUE"""),46187.0)</f>
        <v>46187</v>
      </c>
      <c r="C4354" s="122" t="str">
        <f>IFERROR(__xludf.DUMMYFUNCTION("""COMPUTED_VALUE"""),"GAME")</f>
        <v>GAME</v>
      </c>
      <c r="D4354" s="122" t="str">
        <f>IFERROR(__xludf.DUMMYFUNCTION("""COMPUTED_VALUE"""),"GameBox Media")</f>
        <v>GameBox Media</v>
      </c>
      <c r="E4354" s="122">
        <f>IFERROR(__xludf.DUMMYFUNCTION("""COMPUTED_VALUE"""),97.45)</f>
        <v>97.45</v>
      </c>
      <c r="F4354" s="122">
        <f>IFERROR(__xludf.DUMMYFUNCTION("""COMPUTED_VALUE"""),-0.0015)</f>
        <v>-0.0015</v>
      </c>
    </row>
    <row r="4355">
      <c r="A4355" s="131">
        <f>IFERROR(__xludf.DUMMYFUNCTION("""COMPUTED_VALUE"""),46187.477164351854)</f>
        <v>46187.47716</v>
      </c>
      <c r="B4355" s="126">
        <f>IFERROR(__xludf.DUMMYFUNCTION("""COMPUTED_VALUE"""),46187.0)</f>
        <v>46187</v>
      </c>
      <c r="C4355" s="122" t="str">
        <f>IFERROR(__xludf.DUMMYFUNCTION("""COMPUTED_VALUE"""),"VRSE")</f>
        <v>VRSE</v>
      </c>
      <c r="D4355" s="122" t="str">
        <f>IFERROR(__xludf.DUMMYFUNCTION("""COMPUTED_VALUE"""),"VerseVR")</f>
        <v>VerseVR</v>
      </c>
      <c r="E4355" s="122">
        <f>IFERROR(__xludf.DUMMYFUNCTION("""COMPUTED_VALUE"""),149.49)</f>
        <v>149.49</v>
      </c>
      <c r="F4355" s="122">
        <f>IFERROR(__xludf.DUMMYFUNCTION("""COMPUTED_VALUE"""),0.0105)</f>
        <v>0.0105</v>
      </c>
    </row>
    <row r="4356">
      <c r="A4356" s="131">
        <f>IFERROR(__xludf.DUMMYFUNCTION("""COMPUTED_VALUE"""),46187.477164351854)</f>
        <v>46187.47716</v>
      </c>
      <c r="B4356" s="126">
        <f>IFERROR(__xludf.DUMMYFUNCTION("""COMPUTED_VALUE"""),46187.0)</f>
        <v>46187</v>
      </c>
      <c r="C4356" s="122" t="str">
        <f>IFERROR(__xludf.DUMMYFUNCTION("""COMPUTED_VALUE"""),"BYTE")</f>
        <v>BYTE</v>
      </c>
      <c r="D4356" s="122" t="str">
        <f>IFERROR(__xludf.DUMMYFUNCTION("""COMPUTED_VALUE"""),"ByteWorks")</f>
        <v>ByteWorks</v>
      </c>
      <c r="E4356" s="122">
        <f>IFERROR(__xludf.DUMMYFUNCTION("""COMPUTED_VALUE"""),109.12)</f>
        <v>109.12</v>
      </c>
      <c r="F4356" s="122">
        <f>IFERROR(__xludf.DUMMYFUNCTION("""COMPUTED_VALUE"""),0.0064)</f>
        <v>0.0064</v>
      </c>
    </row>
    <row r="4357">
      <c r="A4357" s="131">
        <f>IFERROR(__xludf.DUMMYFUNCTION("""COMPUTED_VALUE"""),46187.477164351854)</f>
        <v>46187.47716</v>
      </c>
      <c r="B4357" s="126">
        <f>IFERROR(__xludf.DUMMYFUNCTION("""COMPUTED_VALUE"""),46187.0)</f>
        <v>46187</v>
      </c>
      <c r="C4357" s="122" t="str">
        <f>IFERROR(__xludf.DUMMYFUNCTION("""COMPUTED_VALUE"""),"BANK")</f>
        <v>BANK</v>
      </c>
      <c r="D4357" s="122" t="str">
        <f>IFERROR(__xludf.DUMMYFUNCTION("""COMPUTED_VALUE"""),"Tiger Bank")</f>
        <v>Tiger Bank</v>
      </c>
      <c r="E4357" s="122">
        <f>IFERROR(__xludf.DUMMYFUNCTION("""COMPUTED_VALUE"""),127.97)</f>
        <v>127.97</v>
      </c>
      <c r="F4357" s="122">
        <f>IFERROR(__xludf.DUMMYFUNCTION("""COMPUTED_VALUE"""),-2.0E-4)</f>
        <v>-0.0002</v>
      </c>
    </row>
    <row r="4358">
      <c r="A4358" s="131">
        <f>IFERROR(__xludf.DUMMYFUNCTION("""COMPUTED_VALUE"""),46187.477164351854)</f>
        <v>46187.47716</v>
      </c>
      <c r="B4358" s="126">
        <f>IFERROR(__xludf.DUMMYFUNCTION("""COMPUTED_VALUE"""),46187.0)</f>
        <v>46187</v>
      </c>
      <c r="C4358" s="122" t="str">
        <f>IFERROR(__xludf.DUMMYFUNCTION("""COMPUTED_VALUE"""),"CRED")</f>
        <v>CRED</v>
      </c>
      <c r="D4358" s="122" t="str">
        <f>IFERROR(__xludf.DUMMYFUNCTION("""COMPUTED_VALUE"""),"Credit Castle")</f>
        <v>Credit Castle</v>
      </c>
      <c r="E4358" s="122">
        <f>IFERROR(__xludf.DUMMYFUNCTION("""COMPUTED_VALUE"""),66.48)</f>
        <v>66.48</v>
      </c>
      <c r="F4358" s="122">
        <f>IFERROR(__xludf.DUMMYFUNCTION("""COMPUTED_VALUE"""),-8.0E-4)</f>
        <v>-0.0008</v>
      </c>
    </row>
    <row r="4359">
      <c r="A4359" s="131">
        <f>IFERROR(__xludf.DUMMYFUNCTION("""COMPUTED_VALUE"""),46187.477164351854)</f>
        <v>46187.47716</v>
      </c>
      <c r="B4359" s="126">
        <f>IFERROR(__xludf.DUMMYFUNCTION("""COMPUTED_VALUE"""),46187.0)</f>
        <v>46187</v>
      </c>
      <c r="C4359" s="122" t="str">
        <f>IFERROR(__xludf.DUMMYFUNCTION("""COMPUTED_VALUE"""),"BOND")</f>
        <v>BOND</v>
      </c>
      <c r="D4359" s="122" t="str">
        <f>IFERROR(__xludf.DUMMYFUNCTION("""COMPUTED_VALUE"""),"BondBridge")</f>
        <v>BondBridge</v>
      </c>
      <c r="E4359" s="122">
        <f>IFERROR(__xludf.DUMMYFUNCTION("""COMPUTED_VALUE"""),99.69)</f>
        <v>99.69</v>
      </c>
      <c r="F4359" s="122">
        <f>IFERROR(__xludf.DUMMYFUNCTION("""COMPUTED_VALUE"""),-5.0E-4)</f>
        <v>-0.0005</v>
      </c>
    </row>
    <row r="4360">
      <c r="A4360" s="131">
        <f>IFERROR(__xludf.DUMMYFUNCTION("""COMPUTED_VALUE"""),46187.477164351854)</f>
        <v>46187.47716</v>
      </c>
      <c r="B4360" s="126">
        <f>IFERROR(__xludf.DUMMYFUNCTION("""COMPUTED_VALUE"""),46187.0)</f>
        <v>46187</v>
      </c>
      <c r="C4360" s="122" t="str">
        <f>IFERROR(__xludf.DUMMYFUNCTION("""COMPUTED_VALUE"""),"INSR")</f>
        <v>INSR</v>
      </c>
      <c r="D4360" s="122" t="str">
        <f>IFERROR(__xludf.DUMMYFUNCTION("""COMPUTED_VALUE"""),"Shield Insurance")</f>
        <v>Shield Insurance</v>
      </c>
      <c r="E4360" s="122">
        <f>IFERROR(__xludf.DUMMYFUNCTION("""COMPUTED_VALUE"""),160.77)</f>
        <v>160.77</v>
      </c>
      <c r="F4360" s="122">
        <f>IFERROR(__xludf.DUMMYFUNCTION("""COMPUTED_VALUE"""),0.0016)</f>
        <v>0.0016</v>
      </c>
    </row>
    <row r="4361">
      <c r="A4361" s="131">
        <f>IFERROR(__xludf.DUMMYFUNCTION("""COMPUTED_VALUE"""),46187.477164351854)</f>
        <v>46187.47716</v>
      </c>
      <c r="B4361" s="126">
        <f>IFERROR(__xludf.DUMMYFUNCTION("""COMPUTED_VALUE"""),46187.0)</f>
        <v>46187</v>
      </c>
      <c r="C4361" s="122" t="str">
        <f>IFERROR(__xludf.DUMMYFUNCTION("""COMPUTED_VALUE"""),"LOAN")</f>
        <v>LOAN</v>
      </c>
      <c r="D4361" s="122" t="str">
        <f>IFERROR(__xludf.DUMMYFUNCTION("""COMPUTED_VALUE"""),"LoanLab")</f>
        <v>LoanLab</v>
      </c>
      <c r="E4361" s="122">
        <f>IFERROR(__xludf.DUMMYFUNCTION("""COMPUTED_VALUE"""),64.62)</f>
        <v>64.62</v>
      </c>
      <c r="F4361" s="122">
        <f>IFERROR(__xludf.DUMMYFUNCTION("""COMPUTED_VALUE"""),0.0089)</f>
        <v>0.0089</v>
      </c>
    </row>
    <row r="4362">
      <c r="A4362" s="131">
        <f>IFERROR(__xludf.DUMMYFUNCTION("""COMPUTED_VALUE"""),46187.477164351854)</f>
        <v>46187.47716</v>
      </c>
      <c r="B4362" s="126">
        <f>IFERROR(__xludf.DUMMYFUNCTION("""COMPUTED_VALUE"""),46187.0)</f>
        <v>46187</v>
      </c>
      <c r="C4362" s="122" t="str">
        <f>IFERROR(__xludf.DUMMYFUNCTION("""COMPUTED_VALUE"""),"LUXE")</f>
        <v>LUXE</v>
      </c>
      <c r="D4362" s="122" t="str">
        <f>IFERROR(__xludf.DUMMYFUNCTION("""COMPUTED_VALUE"""),"Luxury Locker")</f>
        <v>Luxury Locker</v>
      </c>
      <c r="E4362" s="122">
        <f>IFERROR(__xludf.DUMMYFUNCTION("""COMPUTED_VALUE"""),263.46)</f>
        <v>263.46</v>
      </c>
      <c r="F4362" s="122">
        <f>IFERROR(__xludf.DUMMYFUNCTION("""COMPUTED_VALUE"""),0.0065)</f>
        <v>0.0065</v>
      </c>
    </row>
    <row r="4363">
      <c r="A4363" s="131">
        <f>IFERROR(__xludf.DUMMYFUNCTION("""COMPUTED_VALUE"""),46187.477164351854)</f>
        <v>46187.47716</v>
      </c>
      <c r="B4363" s="126">
        <f>IFERROR(__xludf.DUMMYFUNCTION("""COMPUTED_VALUE"""),46187.0)</f>
        <v>46187</v>
      </c>
      <c r="C4363" s="122" t="str">
        <f>IFERROR(__xludf.DUMMYFUNCTION("""COMPUTED_VALUE"""),"DRIP")</f>
        <v>DRIP</v>
      </c>
      <c r="D4363" s="122" t="str">
        <f>IFERROR(__xludf.DUMMYFUNCTION("""COMPUTED_VALUE"""),"Drip Streetwear")</f>
        <v>Drip Streetwear</v>
      </c>
      <c r="E4363" s="122">
        <f>IFERROR(__xludf.DUMMYFUNCTION("""COMPUTED_VALUE"""),195.35)</f>
        <v>195.35</v>
      </c>
      <c r="F4363" s="122">
        <f>IFERROR(__xludf.DUMMYFUNCTION("""COMPUTED_VALUE"""),8.0E-4)</f>
        <v>0.0008</v>
      </c>
    </row>
    <row r="4364">
      <c r="A4364" s="131">
        <f>IFERROR(__xludf.DUMMYFUNCTION("""COMPUTED_VALUE"""),46187.477164351854)</f>
        <v>46187.47716</v>
      </c>
      <c r="B4364" s="126">
        <f>IFERROR(__xludf.DUMMYFUNCTION("""COMPUTED_VALUE"""),46187.0)</f>
        <v>46187</v>
      </c>
      <c r="C4364" s="122" t="str">
        <f>IFERROR(__xludf.DUMMYFUNCTION("""COMPUTED_VALUE"""),"KICK")</f>
        <v>KICK</v>
      </c>
      <c r="D4364" s="122" t="str">
        <f>IFERROR(__xludf.DUMMYFUNCTION("""COMPUTED_VALUE"""),"KickDrop Sneakers")</f>
        <v>KickDrop Sneakers</v>
      </c>
      <c r="E4364" s="122">
        <f>IFERROR(__xludf.DUMMYFUNCTION("""COMPUTED_VALUE"""),170.99)</f>
        <v>170.99</v>
      </c>
      <c r="F4364" s="122">
        <f>IFERROR(__xludf.DUMMYFUNCTION("""COMPUTED_VALUE"""),-0.0038)</f>
        <v>-0.0038</v>
      </c>
    </row>
    <row r="4365">
      <c r="A4365" s="131">
        <f>IFERROR(__xludf.DUMMYFUNCTION("""COMPUTED_VALUE"""),46187.477164351854)</f>
        <v>46187.47716</v>
      </c>
      <c r="B4365" s="126">
        <f>IFERROR(__xludf.DUMMYFUNCTION("""COMPUTED_VALUE"""),46187.0)</f>
        <v>46187</v>
      </c>
      <c r="C4365" s="122" t="str">
        <f>IFERROR(__xludf.DUMMYFUNCTION("""COMPUTED_VALUE"""),"GLAM")</f>
        <v>GLAM</v>
      </c>
      <c r="D4365" s="122" t="str">
        <f>IFERROR(__xludf.DUMMYFUNCTION("""COMPUTED_VALUE"""),"Glow Cosmetics")</f>
        <v>Glow Cosmetics</v>
      </c>
      <c r="E4365" s="122">
        <f>IFERROR(__xludf.DUMMYFUNCTION("""COMPUTED_VALUE"""),103.58)</f>
        <v>103.58</v>
      </c>
      <c r="F4365" s="122">
        <f>IFERROR(__xludf.DUMMYFUNCTION("""COMPUTED_VALUE"""),-0.0013)</f>
        <v>-0.0013</v>
      </c>
    </row>
    <row r="4366">
      <c r="A4366" s="131">
        <f>IFERROR(__xludf.DUMMYFUNCTION("""COMPUTED_VALUE"""),46187.477164351854)</f>
        <v>46187.47716</v>
      </c>
      <c r="B4366" s="126">
        <f>IFERROR(__xludf.DUMMYFUNCTION("""COMPUTED_VALUE"""),46187.0)</f>
        <v>46187</v>
      </c>
      <c r="C4366" s="122" t="str">
        <f>IFERROR(__xludf.DUMMYFUNCTION("""COMPUTED_VALUE"""),"BAGG")</f>
        <v>BAGG</v>
      </c>
      <c r="D4366" s="122" t="str">
        <f>IFERROR(__xludf.DUMMYFUNCTION("""COMPUTED_VALUE"""),"BagVault")</f>
        <v>BagVault</v>
      </c>
      <c r="E4366" s="122">
        <f>IFERROR(__xludf.DUMMYFUNCTION("""COMPUTED_VALUE"""),253.73)</f>
        <v>253.73</v>
      </c>
      <c r="F4366" s="122">
        <f>IFERROR(__xludf.DUMMYFUNCTION("""COMPUTED_VALUE"""),0.0019)</f>
        <v>0.0019</v>
      </c>
    </row>
    <row r="4367">
      <c r="A4367" s="131">
        <f>IFERROR(__xludf.DUMMYFUNCTION("""COMPUTED_VALUE"""),46187.477164351854)</f>
        <v>46187.47716</v>
      </c>
      <c r="B4367" s="126">
        <f>IFERROR(__xludf.DUMMYFUNCTION("""COMPUTED_VALUE"""),46187.0)</f>
        <v>46187</v>
      </c>
      <c r="C4367" s="122" t="str">
        <f>IFERROR(__xludf.DUMMYFUNCTION("""COMPUTED_VALUE"""),"FAST")</f>
        <v>FAST</v>
      </c>
      <c r="D4367" s="122" t="str">
        <f>IFERROR(__xludf.DUMMYFUNCTION("""COMPUTED_VALUE"""),"Flash Logistics")</f>
        <v>Flash Logistics</v>
      </c>
      <c r="E4367" s="122">
        <f>IFERROR(__xludf.DUMMYFUNCTION("""COMPUTED_VALUE"""),104.16)</f>
        <v>104.16</v>
      </c>
      <c r="F4367" s="122">
        <f>IFERROR(__xludf.DUMMYFUNCTION("""COMPUTED_VALUE"""),0.0034)</f>
        <v>0.0034</v>
      </c>
    </row>
    <row r="4368">
      <c r="A4368" s="131">
        <f>IFERROR(__xludf.DUMMYFUNCTION("""COMPUTED_VALUE"""),46187.477164351854)</f>
        <v>46187.47716</v>
      </c>
      <c r="B4368" s="126">
        <f>IFERROR(__xludf.DUMMYFUNCTION("""COMPUTED_VALUE"""),46187.0)</f>
        <v>46187</v>
      </c>
      <c r="C4368" s="122" t="str">
        <f>IFERROR(__xludf.DUMMYFUNCTION("""COMPUTED_VALUE"""),"SHIP")</f>
        <v>SHIP</v>
      </c>
      <c r="D4368" s="122" t="str">
        <f>IFERROR(__xludf.DUMMYFUNCTION("""COMPUTED_VALUE"""),"Seoul Shipping")</f>
        <v>Seoul Shipping</v>
      </c>
      <c r="E4368" s="122">
        <f>IFERROR(__xludf.DUMMYFUNCTION("""COMPUTED_VALUE"""),123.62)</f>
        <v>123.62</v>
      </c>
      <c r="F4368" s="122">
        <f>IFERROR(__xludf.DUMMYFUNCTION("""COMPUTED_VALUE"""),-0.0019)</f>
        <v>-0.0019</v>
      </c>
    </row>
    <row r="4369">
      <c r="A4369" s="131">
        <f>IFERROR(__xludf.DUMMYFUNCTION("""COMPUTED_VALUE"""),46187.477164351854)</f>
        <v>46187.47716</v>
      </c>
      <c r="B4369" s="126">
        <f>IFERROR(__xludf.DUMMYFUNCTION("""COMPUTED_VALUE"""),46187.0)</f>
        <v>46187</v>
      </c>
      <c r="C4369" s="122" t="str">
        <f>IFERROR(__xludf.DUMMYFUNCTION("""COMPUTED_VALUE"""),"DRON")</f>
        <v>DRON</v>
      </c>
      <c r="D4369" s="122" t="str">
        <f>IFERROR(__xludf.DUMMYFUNCTION("""COMPUTED_VALUE"""),"DroneDrop")</f>
        <v>DroneDrop</v>
      </c>
      <c r="E4369" s="122">
        <f>IFERROR(__xludf.DUMMYFUNCTION("""COMPUTED_VALUE"""),129.5)</f>
        <v>129.5</v>
      </c>
      <c r="F4369" s="122">
        <f>IFERROR(__xludf.DUMMYFUNCTION("""COMPUTED_VALUE"""),-0.0064)</f>
        <v>-0.0064</v>
      </c>
    </row>
    <row r="4370">
      <c r="A4370" s="131">
        <f>IFERROR(__xludf.DUMMYFUNCTION("""COMPUTED_VALUE"""),46187.477164351854)</f>
        <v>46187.47716</v>
      </c>
      <c r="B4370" s="126">
        <f>IFERROR(__xludf.DUMMYFUNCTION("""COMPUTED_VALUE"""),46187.0)</f>
        <v>46187</v>
      </c>
      <c r="C4370" s="122" t="str">
        <f>IFERROR(__xludf.DUMMYFUNCTION("""COMPUTED_VALUE"""),"RIDE")</f>
        <v>RIDE</v>
      </c>
      <c r="D4370" s="122" t="str">
        <f>IFERROR(__xludf.DUMMYFUNCTION("""COMPUTED_VALUE"""),"QuickRide")</f>
        <v>QuickRide</v>
      </c>
      <c r="E4370" s="122">
        <f>IFERROR(__xludf.DUMMYFUNCTION("""COMPUTED_VALUE"""),95.92)</f>
        <v>95.92</v>
      </c>
      <c r="F4370" s="122">
        <f>IFERROR(__xludf.DUMMYFUNCTION("""COMPUTED_VALUE"""),-0.0029)</f>
        <v>-0.0029</v>
      </c>
    </row>
    <row r="4371">
      <c r="A4371" s="131">
        <f>IFERROR(__xludf.DUMMYFUNCTION("""COMPUTED_VALUE"""),46187.477164351854)</f>
        <v>46187.47716</v>
      </c>
      <c r="B4371" s="126">
        <f>IFERROR(__xludf.DUMMYFUNCTION("""COMPUTED_VALUE"""),46187.0)</f>
        <v>46187</v>
      </c>
      <c r="C4371" s="122" t="str">
        <f>IFERROR(__xludf.DUMMYFUNCTION("""COMPUTED_VALUE"""),"RAIL")</f>
        <v>RAIL</v>
      </c>
      <c r="D4371" s="122" t="str">
        <f>IFERROR(__xludf.DUMMYFUNCTION("""COMPUTED_VALUE"""),"MetroRail Corp")</f>
        <v>MetroRail Corp</v>
      </c>
      <c r="E4371" s="122">
        <f>IFERROR(__xludf.DUMMYFUNCTION("""COMPUTED_VALUE"""),133.91)</f>
        <v>133.91</v>
      </c>
      <c r="F4371" s="122">
        <f>IFERROR(__xludf.DUMMYFUNCTION("""COMPUTED_VALUE"""),0.0014)</f>
        <v>0.0014</v>
      </c>
    </row>
    <row r="4372">
      <c r="A4372" s="131">
        <f>IFERROR(__xludf.DUMMYFUNCTION("""COMPUTED_VALUE"""),46187.477164351854)</f>
        <v>46187.47716</v>
      </c>
      <c r="B4372" s="126">
        <f>IFERROR(__xludf.DUMMYFUNCTION("""COMPUTED_VALUE"""),46187.0)</f>
        <v>46187</v>
      </c>
      <c r="C4372" s="122" t="str">
        <f>IFERROR(__xludf.DUMMYFUNCTION("""COMPUTED_VALUE"""),"MEDX")</f>
        <v>MEDX</v>
      </c>
      <c r="D4372" s="122" t="str">
        <f>IFERROR(__xludf.DUMMYFUNCTION("""COMPUTED_VALUE"""),"MediCore")</f>
        <v>MediCore</v>
      </c>
      <c r="E4372" s="122">
        <f>IFERROR(__xludf.DUMMYFUNCTION("""COMPUTED_VALUE"""),138.98)</f>
        <v>138.98</v>
      </c>
      <c r="F4372" s="122">
        <f>IFERROR(__xludf.DUMMYFUNCTION("""COMPUTED_VALUE"""),-0.0023)</f>
        <v>-0.0023</v>
      </c>
    </row>
    <row r="4373">
      <c r="A4373" s="131">
        <f>IFERROR(__xludf.DUMMYFUNCTION("""COMPUTED_VALUE"""),46187.477164351854)</f>
        <v>46187.47716</v>
      </c>
      <c r="B4373" s="126">
        <f>IFERROR(__xludf.DUMMYFUNCTION("""COMPUTED_VALUE"""),46187.0)</f>
        <v>46187</v>
      </c>
      <c r="C4373" s="122" t="str">
        <f>IFERROR(__xludf.DUMMYFUNCTION("""COMPUTED_VALUE"""),"GYMX")</f>
        <v>GYMX</v>
      </c>
      <c r="D4373" s="122" t="str">
        <f>IFERROR(__xludf.DUMMYFUNCTION("""COMPUTED_VALUE"""),"GymX Fitness")</f>
        <v>GymX Fitness</v>
      </c>
      <c r="E4373" s="122">
        <f>IFERROR(__xludf.DUMMYFUNCTION("""COMPUTED_VALUE"""),86.76)</f>
        <v>86.76</v>
      </c>
      <c r="F4373" s="122">
        <f>IFERROR(__xludf.DUMMYFUNCTION("""COMPUTED_VALUE"""),0.0)</f>
        <v>0</v>
      </c>
    </row>
    <row r="4374">
      <c r="A4374" s="131">
        <f>IFERROR(__xludf.DUMMYFUNCTION("""COMPUTED_VALUE"""),46187.477164351854)</f>
        <v>46187.47716</v>
      </c>
      <c r="B4374" s="126">
        <f>IFERROR(__xludf.DUMMYFUNCTION("""COMPUTED_VALUE"""),46187.0)</f>
        <v>46187</v>
      </c>
      <c r="C4374" s="122" t="str">
        <f>IFERROR(__xludf.DUMMYFUNCTION("""COMPUTED_VALUE"""),"VITA")</f>
        <v>VITA</v>
      </c>
      <c r="D4374" s="122" t="str">
        <f>IFERROR(__xludf.DUMMYFUNCTION("""COMPUTED_VALUE"""),"VitaPlus")</f>
        <v>VitaPlus</v>
      </c>
      <c r="E4374" s="122">
        <f>IFERROR(__xludf.DUMMYFUNCTION("""COMPUTED_VALUE"""),73.5)</f>
        <v>73.5</v>
      </c>
      <c r="F4374" s="122">
        <f>IFERROR(__xludf.DUMMYFUNCTION("""COMPUTED_VALUE"""),5.0E-4)</f>
        <v>0.0005</v>
      </c>
    </row>
    <row r="4375">
      <c r="A4375" s="131">
        <f>IFERROR(__xludf.DUMMYFUNCTION("""COMPUTED_VALUE"""),46187.477164351854)</f>
        <v>46187.47716</v>
      </c>
      <c r="B4375" s="126">
        <f>IFERROR(__xludf.DUMMYFUNCTION("""COMPUTED_VALUE"""),46187.0)</f>
        <v>46187</v>
      </c>
      <c r="C4375" s="122" t="str">
        <f>IFERROR(__xludf.DUMMYFUNCTION("""COMPUTED_VALUE"""),"CARE")</f>
        <v>CARE</v>
      </c>
      <c r="D4375" s="122" t="str">
        <f>IFERROR(__xludf.DUMMYFUNCTION("""COMPUTED_VALUE"""),"CareCloud")</f>
        <v>CareCloud</v>
      </c>
      <c r="E4375" s="122">
        <f>IFERROR(__xludf.DUMMYFUNCTION("""COMPUTED_VALUE"""),178.33)</f>
        <v>178.33</v>
      </c>
      <c r="F4375" s="122">
        <f>IFERROR(__xludf.DUMMYFUNCTION("""COMPUTED_VALUE"""),0.0024)</f>
        <v>0.0024</v>
      </c>
    </row>
    <row r="4376">
      <c r="A4376" s="131">
        <f>IFERROR(__xludf.DUMMYFUNCTION("""COMPUTED_VALUE"""),46187.477164351854)</f>
        <v>46187.47716</v>
      </c>
      <c r="B4376" s="126">
        <f>IFERROR(__xludf.DUMMYFUNCTION("""COMPUTED_VALUE"""),46187.0)</f>
        <v>46187</v>
      </c>
      <c r="C4376" s="122" t="str">
        <f>IFERROR(__xludf.DUMMYFUNCTION("""COMPUTED_VALUE"""),"DENT")</f>
        <v>DENT</v>
      </c>
      <c r="D4376" s="122" t="str">
        <f>IFERROR(__xludf.DUMMYFUNCTION("""COMPUTED_VALUE"""),"SmileWorks")</f>
        <v>SmileWorks</v>
      </c>
      <c r="E4376" s="122">
        <f>IFERROR(__xludf.DUMMYFUNCTION("""COMPUTED_VALUE"""),86.57)</f>
        <v>86.57</v>
      </c>
      <c r="F4376" s="122">
        <f>IFERROR(__xludf.DUMMYFUNCTION("""COMPUTED_VALUE"""),-7.0E-4)</f>
        <v>-0.0007</v>
      </c>
    </row>
    <row r="4377">
      <c r="A4377" s="131">
        <f>IFERROR(__xludf.DUMMYFUNCTION("""COMPUTED_VALUE"""),46187.477164351854)</f>
        <v>46187.47716</v>
      </c>
      <c r="B4377" s="126">
        <f>IFERROR(__xludf.DUMMYFUNCTION("""COMPUTED_VALUE"""),46187.0)</f>
        <v>46187</v>
      </c>
      <c r="C4377" s="122" t="str">
        <f>IFERROR(__xludf.DUMMYFUNCTION("""COMPUTED_VALUE"""),"EDUX")</f>
        <v>EDUX</v>
      </c>
      <c r="D4377" s="122" t="str">
        <f>IFERROR(__xludf.DUMMYFUNCTION("""COMPUTED_VALUE"""),"EduMax Learning")</f>
        <v>EduMax Learning</v>
      </c>
      <c r="E4377" s="122">
        <f>IFERROR(__xludf.DUMMYFUNCTION("""COMPUTED_VALUE"""),137.81)</f>
        <v>137.81</v>
      </c>
      <c r="F4377" s="122">
        <f>IFERROR(__xludf.DUMMYFUNCTION("""COMPUTED_VALUE"""),0.0015)</f>
        <v>0.0015</v>
      </c>
    </row>
    <row r="4378">
      <c r="A4378" s="131">
        <f>IFERROR(__xludf.DUMMYFUNCTION("""COMPUTED_VALUE"""),46187.477164351854)</f>
        <v>46187.47716</v>
      </c>
      <c r="B4378" s="126">
        <f>IFERROR(__xludf.DUMMYFUNCTION("""COMPUTED_VALUE"""),46187.0)</f>
        <v>46187</v>
      </c>
      <c r="C4378" s="122" t="str">
        <f>IFERROR(__xludf.DUMMYFUNCTION("""COMPUTED_VALUE"""),"BOOK")</f>
        <v>BOOK</v>
      </c>
      <c r="D4378" s="122" t="str">
        <f>IFERROR(__xludf.DUMMYFUNCTION("""COMPUTED_VALUE"""),"BookBridge")</f>
        <v>BookBridge</v>
      </c>
      <c r="E4378" s="122">
        <f>IFERROR(__xludf.DUMMYFUNCTION("""COMPUTED_VALUE"""),117.68)</f>
        <v>117.68</v>
      </c>
      <c r="F4378" s="122">
        <f>IFERROR(__xludf.DUMMYFUNCTION("""COMPUTED_VALUE"""),0.003)</f>
        <v>0.003</v>
      </c>
    </row>
    <row r="4379">
      <c r="A4379" s="131">
        <f>IFERROR(__xludf.DUMMYFUNCTION("""COMPUTED_VALUE"""),46187.477164351854)</f>
        <v>46187.47716</v>
      </c>
      <c r="B4379" s="126">
        <f>IFERROR(__xludf.DUMMYFUNCTION("""COMPUTED_VALUE"""),46187.0)</f>
        <v>46187</v>
      </c>
      <c r="C4379" s="122" t="str">
        <f>IFERROR(__xludf.DUMMYFUNCTION("""COMPUTED_VALUE"""),"TUTR")</f>
        <v>TUTR</v>
      </c>
      <c r="D4379" s="122" t="str">
        <f>IFERROR(__xludf.DUMMYFUNCTION("""COMPUTED_VALUE"""),"TutorTown")</f>
        <v>TutorTown</v>
      </c>
      <c r="E4379" s="122">
        <f>IFERROR(__xludf.DUMMYFUNCTION("""COMPUTED_VALUE"""),90.42)</f>
        <v>90.42</v>
      </c>
      <c r="F4379" s="122">
        <f>IFERROR(__xludf.DUMMYFUNCTION("""COMPUTED_VALUE"""),-0.0028)</f>
        <v>-0.0028</v>
      </c>
    </row>
    <row r="4380">
      <c r="A4380" s="131">
        <f>IFERROR(__xludf.DUMMYFUNCTION("""COMPUTED_VALUE"""),46187.477164351854)</f>
        <v>46187.47716</v>
      </c>
      <c r="B4380" s="126">
        <f>IFERROR(__xludf.DUMMYFUNCTION("""COMPUTED_VALUE"""),46187.0)</f>
        <v>46187</v>
      </c>
      <c r="C4380" s="122" t="str">
        <f>IFERROR(__xludf.DUMMYFUNCTION("""COMPUTED_VALUE"""),"LANG")</f>
        <v>LANG</v>
      </c>
      <c r="D4380" s="122" t="str">
        <f>IFERROR(__xludf.DUMMYFUNCTION("""COMPUTED_VALUE"""),"LinguaLab")</f>
        <v>LinguaLab</v>
      </c>
      <c r="E4380" s="122">
        <f>IFERROR(__xludf.DUMMYFUNCTION("""COMPUTED_VALUE"""),98.71)</f>
        <v>98.71</v>
      </c>
      <c r="F4380" s="122">
        <f>IFERROR(__xludf.DUMMYFUNCTION("""COMPUTED_VALUE"""),0.0017)</f>
        <v>0.0017</v>
      </c>
    </row>
    <row r="4381">
      <c r="A4381" s="131">
        <f>IFERROR(__xludf.DUMMYFUNCTION("""COMPUTED_VALUE"""),46187.477164351854)</f>
        <v>46187.47716</v>
      </c>
      <c r="B4381" s="126">
        <f>IFERROR(__xludf.DUMMYFUNCTION("""COMPUTED_VALUE"""),46187.0)</f>
        <v>46187</v>
      </c>
      <c r="C4381" s="122" t="str">
        <f>IFERROR(__xludf.DUMMYFUNCTION("""COMPUTED_VALUE"""),"TEST")</f>
        <v>TEST</v>
      </c>
      <c r="D4381" s="122" t="str">
        <f>IFERROR(__xludf.DUMMYFUNCTION("""COMPUTED_VALUE"""),"TestPrep Pro")</f>
        <v>TestPrep Pro</v>
      </c>
      <c r="E4381" s="122">
        <f>IFERROR(__xludf.DUMMYFUNCTION("""COMPUTED_VALUE"""),95.37)</f>
        <v>95.37</v>
      </c>
      <c r="F4381" s="122">
        <f>IFERROR(__xludf.DUMMYFUNCTION("""COMPUTED_VALUE"""),-0.0099)</f>
        <v>-0.0099</v>
      </c>
    </row>
    <row r="4382">
      <c r="A4382" s="131">
        <f>IFERROR(__xludf.DUMMYFUNCTION("""COMPUTED_VALUE"""),46187.477164351854)</f>
        <v>46187.47716</v>
      </c>
      <c r="B4382" s="126">
        <f>IFERROR(__xludf.DUMMYFUNCTION("""COMPUTED_VALUE"""),46187.0)</f>
        <v>46187</v>
      </c>
      <c r="C4382" s="122" t="str">
        <f>IFERROR(__xludf.DUMMYFUNCTION("""COMPUTED_VALUE"""),"MOVI")</f>
        <v>MOVI</v>
      </c>
      <c r="D4382" s="122" t="str">
        <f>IFERROR(__xludf.DUMMYFUNCTION("""COMPUTED_VALUE"""),"MovieBox")</f>
        <v>MovieBox</v>
      </c>
      <c r="E4382" s="122">
        <f>IFERROR(__xludf.DUMMYFUNCTION("""COMPUTED_VALUE"""),81.95)</f>
        <v>81.95</v>
      </c>
      <c r="F4382" s="122">
        <f>IFERROR(__xludf.DUMMYFUNCTION("""COMPUTED_VALUE"""),0.0024)</f>
        <v>0.0024</v>
      </c>
    </row>
    <row r="4383">
      <c r="A4383" s="131">
        <f>IFERROR(__xludf.DUMMYFUNCTION("""COMPUTED_VALUE"""),46187.477164351854)</f>
        <v>46187.47716</v>
      </c>
      <c r="B4383" s="126">
        <f>IFERROR(__xludf.DUMMYFUNCTION("""COMPUTED_VALUE"""),46187.0)</f>
        <v>46187</v>
      </c>
      <c r="C4383" s="122" t="str">
        <f>IFERROR(__xludf.DUMMYFUNCTION("""COMPUTED_VALUE"""),"MUSC")</f>
        <v>MUSC</v>
      </c>
      <c r="D4383" s="122" t="str">
        <f>IFERROR(__xludf.DUMMYFUNCTION("""COMPUTED_VALUE"""),"MusicWave")</f>
        <v>MusicWave</v>
      </c>
      <c r="E4383" s="122">
        <f>IFERROR(__xludf.DUMMYFUNCTION("""COMPUTED_VALUE"""),97.09)</f>
        <v>97.09</v>
      </c>
      <c r="F4383" s="122">
        <f>IFERROR(__xludf.DUMMYFUNCTION("""COMPUTED_VALUE"""),-0.0051)</f>
        <v>-0.0051</v>
      </c>
    </row>
    <row r="4384">
      <c r="A4384" s="131">
        <f>IFERROR(__xludf.DUMMYFUNCTION("""COMPUTED_VALUE"""),46187.477164351854)</f>
        <v>46187.47716</v>
      </c>
      <c r="B4384" s="126">
        <f>IFERROR(__xludf.DUMMYFUNCTION("""COMPUTED_VALUE"""),46187.0)</f>
        <v>46187</v>
      </c>
      <c r="C4384" s="122" t="str">
        <f>IFERROR(__xludf.DUMMYFUNCTION("""COMPUTED_VALUE"""),"IDOL")</f>
        <v>IDOL</v>
      </c>
      <c r="D4384" s="122" t="str">
        <f>IFERROR(__xludf.DUMMYFUNCTION("""COMPUTED_VALUE"""),"Idol Agency")</f>
        <v>Idol Agency</v>
      </c>
      <c r="E4384" s="122">
        <f>IFERROR(__xludf.DUMMYFUNCTION("""COMPUTED_VALUE"""),197.94)</f>
        <v>197.94</v>
      </c>
      <c r="F4384" s="122">
        <f>IFERROR(__xludf.DUMMYFUNCTION("""COMPUTED_VALUE"""),0.011)</f>
        <v>0.011</v>
      </c>
    </row>
    <row r="4385">
      <c r="A4385" s="131">
        <f>IFERROR(__xludf.DUMMYFUNCTION("""COMPUTED_VALUE"""),46187.477164351854)</f>
        <v>46187.47716</v>
      </c>
      <c r="B4385" s="126">
        <f>IFERROR(__xludf.DUMMYFUNCTION("""COMPUTED_VALUE"""),46187.0)</f>
        <v>46187</v>
      </c>
      <c r="C4385" s="122" t="str">
        <f>IFERROR(__xludf.DUMMYFUNCTION("""COMPUTED_VALUE"""),"MEME")</f>
        <v>MEME</v>
      </c>
      <c r="D4385" s="122" t="str">
        <f>IFERROR(__xludf.DUMMYFUNCTION("""COMPUTED_VALUE"""),"Meme Media")</f>
        <v>Meme Media</v>
      </c>
      <c r="E4385" s="122">
        <f>IFERROR(__xludf.DUMMYFUNCTION("""COMPUTED_VALUE"""),73.79)</f>
        <v>73.79</v>
      </c>
      <c r="F4385" s="122">
        <f>IFERROR(__xludf.DUMMYFUNCTION("""COMPUTED_VALUE"""),-0.0019)</f>
        <v>-0.0019</v>
      </c>
    </row>
    <row r="4386">
      <c r="A4386" s="131">
        <f>IFERROR(__xludf.DUMMYFUNCTION("""COMPUTED_VALUE"""),46187.477164351854)</f>
        <v>46187.47716</v>
      </c>
      <c r="B4386" s="126">
        <f>IFERROR(__xludf.DUMMYFUNCTION("""COMPUTED_VALUE"""),46187.0)</f>
        <v>46187</v>
      </c>
      <c r="C4386" s="122" t="str">
        <f>IFERROR(__xludf.DUMMYFUNCTION("""COMPUTED_VALUE"""),"STRM")</f>
        <v>STRM</v>
      </c>
      <c r="D4386" s="122" t="str">
        <f>IFERROR(__xludf.DUMMYFUNCTION("""COMPUTED_VALUE"""),"Streamly")</f>
        <v>Streamly</v>
      </c>
      <c r="E4386" s="122">
        <f>IFERROR(__xludf.DUMMYFUNCTION("""COMPUTED_VALUE"""),137.08)</f>
        <v>137.08</v>
      </c>
      <c r="F4386" s="122">
        <f>IFERROR(__xludf.DUMMYFUNCTION("""COMPUTED_VALUE"""),-0.0086)</f>
        <v>-0.0086</v>
      </c>
    </row>
    <row r="4387">
      <c r="A4387" s="131">
        <f>IFERROR(__xludf.DUMMYFUNCTION("""COMPUTED_VALUE"""),46187.477164351854)</f>
        <v>46187.47716</v>
      </c>
      <c r="B4387" s="126">
        <f>IFERROR(__xludf.DUMMYFUNCTION("""COMPUTED_VALUE"""),46187.0)</f>
        <v>46187</v>
      </c>
      <c r="C4387" s="122" t="str">
        <f>IFERROR(__xludf.DUMMYFUNCTION("""COMPUTED_VALUE"""),"FARM")</f>
        <v>FARM</v>
      </c>
      <c r="D4387" s="122" t="str">
        <f>IFERROR(__xludf.DUMMYFUNCTION("""COMPUTED_VALUE"""),"Future Farms")</f>
        <v>Future Farms</v>
      </c>
      <c r="E4387" s="122">
        <f>IFERROR(__xludf.DUMMYFUNCTION("""COMPUTED_VALUE"""),87.75)</f>
        <v>87.75</v>
      </c>
      <c r="F4387" s="122">
        <f>IFERROR(__xludf.DUMMYFUNCTION("""COMPUTED_VALUE"""),0.0033)</f>
        <v>0.0033</v>
      </c>
    </row>
    <row r="4388">
      <c r="A4388" s="131">
        <f>IFERROR(__xludf.DUMMYFUNCTION("""COMPUTED_VALUE"""),46187.477164351854)</f>
        <v>46187.47716</v>
      </c>
      <c r="B4388" s="126">
        <f>IFERROR(__xludf.DUMMYFUNCTION("""COMPUTED_VALUE"""),46187.0)</f>
        <v>46187</v>
      </c>
      <c r="C4388" s="122" t="str">
        <f>IFERROR(__xludf.DUMMYFUNCTION("""COMPUTED_VALUE"""),"MEAT")</f>
        <v>MEAT</v>
      </c>
      <c r="D4388" s="122" t="str">
        <f>IFERROR(__xludf.DUMMYFUNCTION("""COMPUTED_VALUE"""),"MeatWorks")</f>
        <v>MeatWorks</v>
      </c>
      <c r="E4388" s="122">
        <f>IFERROR(__xludf.DUMMYFUNCTION("""COMPUTED_VALUE"""),104.25)</f>
        <v>104.25</v>
      </c>
      <c r="F4388" s="122">
        <f>IFERROR(__xludf.DUMMYFUNCTION("""COMPUTED_VALUE"""),-0.004)</f>
        <v>-0.004</v>
      </c>
    </row>
    <row r="4389">
      <c r="A4389" s="131">
        <f>IFERROR(__xludf.DUMMYFUNCTION("""COMPUTED_VALUE"""),46187.477164351854)</f>
        <v>46187.47716</v>
      </c>
      <c r="B4389" s="126">
        <f>IFERROR(__xludf.DUMMYFUNCTION("""COMPUTED_VALUE"""),46187.0)</f>
        <v>46187</v>
      </c>
      <c r="C4389" s="122" t="str">
        <f>IFERROR(__xludf.DUMMYFUNCTION("""COMPUTED_VALUE"""),"VEGI")</f>
        <v>VEGI</v>
      </c>
      <c r="D4389" s="122" t="str">
        <f>IFERROR(__xludf.DUMMYFUNCTION("""COMPUTED_VALUE"""),"Green Basket")</f>
        <v>Green Basket</v>
      </c>
      <c r="E4389" s="122">
        <f>IFERROR(__xludf.DUMMYFUNCTION("""COMPUTED_VALUE"""),80.81)</f>
        <v>80.81</v>
      </c>
      <c r="F4389" s="122">
        <f>IFERROR(__xludf.DUMMYFUNCTION("""COMPUTED_VALUE"""),-0.0012)</f>
        <v>-0.0012</v>
      </c>
    </row>
    <row r="4390">
      <c r="A4390" s="131">
        <f>IFERROR(__xludf.DUMMYFUNCTION("""COMPUTED_VALUE"""),46187.477164351854)</f>
        <v>46187.47716</v>
      </c>
      <c r="B4390" s="126">
        <f>IFERROR(__xludf.DUMMYFUNCTION("""COMPUTED_VALUE"""),46187.0)</f>
        <v>46187</v>
      </c>
      <c r="C4390" s="122" t="str">
        <f>IFERROR(__xludf.DUMMYFUNCTION("""COMPUTED_VALUE"""),"CAFE")</f>
        <v>CAFE</v>
      </c>
      <c r="D4390" s="122" t="str">
        <f>IFERROR(__xludf.DUMMYFUNCTION("""COMPUTED_VALUE"""),"Cafe Cloud")</f>
        <v>Cafe Cloud</v>
      </c>
      <c r="E4390" s="122">
        <f>IFERROR(__xludf.DUMMYFUNCTION("""COMPUTED_VALUE"""),102.89)</f>
        <v>102.89</v>
      </c>
      <c r="F4390" s="122">
        <f>IFERROR(__xludf.DUMMYFUNCTION("""COMPUTED_VALUE"""),-0.0089)</f>
        <v>-0.0089</v>
      </c>
    </row>
    <row r="4391">
      <c r="A4391" s="131">
        <f>IFERROR(__xludf.DUMMYFUNCTION("""COMPUTED_VALUE"""),46187.477164351854)</f>
        <v>46187.47716</v>
      </c>
      <c r="B4391" s="126">
        <f>IFERROR(__xludf.DUMMYFUNCTION("""COMPUTED_VALUE"""),46187.0)</f>
        <v>46187</v>
      </c>
      <c r="C4391" s="122" t="str">
        <f>IFERROR(__xludf.DUMMYFUNCTION("""COMPUTED_VALUE"""),"BAKE")</f>
        <v>BAKE</v>
      </c>
      <c r="D4391" s="122" t="str">
        <f>IFERROR(__xludf.DUMMYFUNCTION("""COMPUTED_VALUE"""),"BakeHouse")</f>
        <v>BakeHouse</v>
      </c>
      <c r="E4391" s="122">
        <f>IFERROR(__xludf.DUMMYFUNCTION("""COMPUTED_VALUE"""),100.95)</f>
        <v>100.95</v>
      </c>
      <c r="F4391" s="122">
        <f>IFERROR(__xludf.DUMMYFUNCTION("""COMPUTED_VALUE"""),0.0049)</f>
        <v>0.0049</v>
      </c>
    </row>
    <row r="4392">
      <c r="A4392" s="131">
        <f>IFERROR(__xludf.DUMMYFUNCTION("""COMPUTED_VALUE"""),46187.477164351854)</f>
        <v>46187.47716</v>
      </c>
      <c r="B4392" s="126">
        <f>IFERROR(__xludf.DUMMYFUNCTION("""COMPUTED_VALUE"""),46187.0)</f>
        <v>46187</v>
      </c>
      <c r="C4392" s="122" t="str">
        <f>IFERROR(__xludf.DUMMYFUNCTION("""COMPUTED_VALUE"""),"OILX")</f>
        <v>OILX</v>
      </c>
      <c r="D4392" s="122" t="str">
        <f>IFERROR(__xludf.DUMMYFUNCTION("""COMPUTED_VALUE"""),"OilMax Energy")</f>
        <v>OilMax Energy</v>
      </c>
      <c r="E4392" s="122">
        <f>IFERROR(__xludf.DUMMYFUNCTION("""COMPUTED_VALUE"""),131.99)</f>
        <v>131.99</v>
      </c>
      <c r="F4392" s="122">
        <f>IFERROR(__xludf.DUMMYFUNCTION("""COMPUTED_VALUE"""),-0.0064)</f>
        <v>-0.0064</v>
      </c>
    </row>
    <row r="4393">
      <c r="A4393" s="131">
        <f>IFERROR(__xludf.DUMMYFUNCTION("""COMPUTED_VALUE"""),46187.477164351854)</f>
        <v>46187.47716</v>
      </c>
      <c r="B4393" s="126">
        <f>IFERROR(__xludf.DUMMYFUNCTION("""COMPUTED_VALUE"""),46187.0)</f>
        <v>46187</v>
      </c>
      <c r="C4393" s="122" t="str">
        <f>IFERROR(__xludf.DUMMYFUNCTION("""COMPUTED_VALUE"""),"SOLR")</f>
        <v>SOLR</v>
      </c>
      <c r="D4393" s="122" t="str">
        <f>IFERROR(__xludf.DUMMYFUNCTION("""COMPUTED_VALUE"""),"SolarSpark")</f>
        <v>SolarSpark</v>
      </c>
      <c r="E4393" s="122">
        <f>IFERROR(__xludf.DUMMYFUNCTION("""COMPUTED_VALUE"""),94.86)</f>
        <v>94.86</v>
      </c>
      <c r="F4393" s="122">
        <f>IFERROR(__xludf.DUMMYFUNCTION("""COMPUTED_VALUE"""),0.0093)</f>
        <v>0.0093</v>
      </c>
    </row>
    <row r="4394">
      <c r="A4394" s="131">
        <f>IFERROR(__xludf.DUMMYFUNCTION("""COMPUTED_VALUE"""),46187.477164351854)</f>
        <v>46187.47716</v>
      </c>
      <c r="B4394" s="126">
        <f>IFERROR(__xludf.DUMMYFUNCTION("""COMPUTED_VALUE"""),46187.0)</f>
        <v>46187</v>
      </c>
      <c r="C4394" s="122" t="str">
        <f>IFERROR(__xludf.DUMMYFUNCTION("""COMPUTED_VALUE"""),"BATT")</f>
        <v>BATT</v>
      </c>
      <c r="D4394" s="122" t="str">
        <f>IFERROR(__xludf.DUMMYFUNCTION("""COMPUTED_VALUE"""),"BatteryBox")</f>
        <v>BatteryBox</v>
      </c>
      <c r="E4394" s="122">
        <f>IFERROR(__xludf.DUMMYFUNCTION("""COMPUTED_VALUE"""),122.72)</f>
        <v>122.72</v>
      </c>
      <c r="F4394" s="122">
        <f>IFERROR(__xludf.DUMMYFUNCTION("""COMPUTED_VALUE"""),-6.0E-4)</f>
        <v>-0.0006</v>
      </c>
    </row>
    <row r="4395">
      <c r="A4395" s="131">
        <f>IFERROR(__xludf.DUMMYFUNCTION("""COMPUTED_VALUE"""),46187.477164351854)</f>
        <v>46187.47716</v>
      </c>
      <c r="B4395" s="126">
        <f>IFERROR(__xludf.DUMMYFUNCTION("""COMPUTED_VALUE"""),46187.0)</f>
        <v>46187</v>
      </c>
      <c r="C4395" s="122" t="str">
        <f>IFERROR(__xludf.DUMMYFUNCTION("""COMPUTED_VALUE"""),"WIND")</f>
        <v>WIND</v>
      </c>
      <c r="D4395" s="122" t="str">
        <f>IFERROR(__xludf.DUMMYFUNCTION("""COMPUTED_VALUE"""),"WindWorks")</f>
        <v>WindWorks</v>
      </c>
      <c r="E4395" s="122">
        <f>IFERROR(__xludf.DUMMYFUNCTION("""COMPUTED_VALUE"""),87.65)</f>
        <v>87.65</v>
      </c>
      <c r="F4395" s="122">
        <f>IFERROR(__xludf.DUMMYFUNCTION("""COMPUTED_VALUE"""),0.0)</f>
        <v>0</v>
      </c>
    </row>
    <row r="4396">
      <c r="A4396" s="131">
        <f>IFERROR(__xludf.DUMMYFUNCTION("""COMPUTED_VALUE"""),46187.477164351854)</f>
        <v>46187.47716</v>
      </c>
      <c r="B4396" s="126">
        <f>IFERROR(__xludf.DUMMYFUNCTION("""COMPUTED_VALUE"""),46187.0)</f>
        <v>46187</v>
      </c>
      <c r="C4396" s="122" t="str">
        <f>IFERROR(__xludf.DUMMYFUNCTION("""COMPUTED_VALUE"""),"GRID")</f>
        <v>GRID</v>
      </c>
      <c r="D4396" s="122" t="str">
        <f>IFERROR(__xludf.DUMMYFUNCTION("""COMPUTED_VALUE"""),"GridPower")</f>
        <v>GridPower</v>
      </c>
      <c r="E4396" s="122">
        <f>IFERROR(__xludf.DUMMYFUNCTION("""COMPUTED_VALUE"""),140.04)</f>
        <v>140.04</v>
      </c>
      <c r="F4396" s="122">
        <f>IFERROR(__xludf.DUMMYFUNCTION("""COMPUTED_VALUE"""),0.0017)</f>
        <v>0.0017</v>
      </c>
    </row>
    <row r="4397">
      <c r="A4397" s="131">
        <f>IFERROR(__xludf.DUMMYFUNCTION("""COMPUTED_VALUE"""),46187.477164351854)</f>
        <v>46187.47716</v>
      </c>
      <c r="B4397" s="126">
        <f>IFERROR(__xludf.DUMMYFUNCTION("""COMPUTED_VALUE"""),46187.0)</f>
        <v>46187</v>
      </c>
      <c r="C4397" s="122" t="str">
        <f>IFERROR(__xludf.DUMMYFUNCTION("""COMPUTED_VALUE"""),"HOME")</f>
        <v>HOME</v>
      </c>
      <c r="D4397" s="122" t="str">
        <f>IFERROR(__xludf.DUMMYFUNCTION("""COMPUTED_VALUE"""),"HomeHub")</f>
        <v>HomeHub</v>
      </c>
      <c r="E4397" s="122">
        <f>IFERROR(__xludf.DUMMYFUNCTION("""COMPUTED_VALUE"""),152.49)</f>
        <v>152.49</v>
      </c>
      <c r="F4397" s="122">
        <f>IFERROR(__xludf.DUMMYFUNCTION("""COMPUTED_VALUE"""),-0.0018)</f>
        <v>-0.0018</v>
      </c>
    </row>
    <row r="4398">
      <c r="A4398" s="131">
        <f>IFERROR(__xludf.DUMMYFUNCTION("""COMPUTED_VALUE"""),46187.477164351854)</f>
        <v>46187.47716</v>
      </c>
      <c r="B4398" s="126">
        <f>IFERROR(__xludf.DUMMYFUNCTION("""COMPUTED_VALUE"""),46187.0)</f>
        <v>46187</v>
      </c>
      <c r="C4398" s="122" t="str">
        <f>IFERROR(__xludf.DUMMYFUNCTION("""COMPUTED_VALUE"""),"RENT")</f>
        <v>RENT</v>
      </c>
      <c r="D4398" s="122" t="str">
        <f>IFERROR(__xludf.DUMMYFUNCTION("""COMPUTED_VALUE"""),"RentRight")</f>
        <v>RentRight</v>
      </c>
      <c r="E4398" s="122">
        <f>IFERROR(__xludf.DUMMYFUNCTION("""COMPUTED_VALUE"""),91.66)</f>
        <v>91.66</v>
      </c>
      <c r="F4398" s="122">
        <f>IFERROR(__xludf.DUMMYFUNCTION("""COMPUTED_VALUE"""),-0.0045)</f>
        <v>-0.0045</v>
      </c>
    </row>
    <row r="4399">
      <c r="A4399" s="131">
        <f>IFERROR(__xludf.DUMMYFUNCTION("""COMPUTED_VALUE"""),46187.477164351854)</f>
        <v>46187.47716</v>
      </c>
      <c r="B4399" s="126">
        <f>IFERROR(__xludf.DUMMYFUNCTION("""COMPUTED_VALUE"""),46187.0)</f>
        <v>46187</v>
      </c>
      <c r="C4399" s="122" t="str">
        <f>IFERROR(__xludf.DUMMYFUNCTION("""COMPUTED_VALUE"""),"MALL")</f>
        <v>MALL</v>
      </c>
      <c r="D4399" s="122" t="str">
        <f>IFERROR(__xludf.DUMMYFUNCTION("""COMPUTED_VALUE"""),"MegaMall")</f>
        <v>MegaMall</v>
      </c>
      <c r="E4399" s="122">
        <f>IFERROR(__xludf.DUMMYFUNCTION("""COMPUTED_VALUE"""),102.21)</f>
        <v>102.21</v>
      </c>
      <c r="F4399" s="122">
        <f>IFERROR(__xludf.DUMMYFUNCTION("""COMPUTED_VALUE"""),0.0024)</f>
        <v>0.0024</v>
      </c>
    </row>
    <row r="4400">
      <c r="A4400" s="131">
        <f>IFERROR(__xludf.DUMMYFUNCTION("""COMPUTED_VALUE"""),46187.477164351854)</f>
        <v>46187.47716</v>
      </c>
      <c r="B4400" s="126">
        <f>IFERROR(__xludf.DUMMYFUNCTION("""COMPUTED_VALUE"""),46187.0)</f>
        <v>46187</v>
      </c>
      <c r="C4400" s="122" t="str">
        <f>IFERROR(__xludf.DUMMYFUNCTION("""COMPUTED_VALUE"""),"HOTL")</f>
        <v>HOTL</v>
      </c>
      <c r="D4400" s="122" t="str">
        <f>IFERROR(__xludf.DUMMYFUNCTION("""COMPUTED_VALUE"""),"HotelHive")</f>
        <v>HotelHive</v>
      </c>
      <c r="E4400" s="122">
        <f>IFERROR(__xludf.DUMMYFUNCTION("""COMPUTED_VALUE"""),129.57)</f>
        <v>129.57</v>
      </c>
      <c r="F4400" s="122">
        <f>IFERROR(__xludf.DUMMYFUNCTION("""COMPUTED_VALUE"""),-0.0019)</f>
        <v>-0.0019</v>
      </c>
    </row>
    <row r="4401">
      <c r="A4401" s="131">
        <f>IFERROR(__xludf.DUMMYFUNCTION("""COMPUTED_VALUE"""),46187.477164351854)</f>
        <v>46187.47716</v>
      </c>
      <c r="B4401" s="126">
        <f>IFERROR(__xludf.DUMMYFUNCTION("""COMPUTED_VALUE"""),46187.0)</f>
        <v>46187</v>
      </c>
      <c r="C4401" s="122" t="str">
        <f>IFERROR(__xludf.DUMMYFUNCTION("""COMPUTED_VALUE"""),"LAND")</f>
        <v>LAND</v>
      </c>
      <c r="D4401" s="122" t="str">
        <f>IFERROR(__xludf.DUMMYFUNCTION("""COMPUTED_VALUE"""),"LandLink")</f>
        <v>LandLink</v>
      </c>
      <c r="E4401" s="122">
        <f>IFERROR(__xludf.DUMMYFUNCTION("""COMPUTED_VALUE"""),184.17)</f>
        <v>184.17</v>
      </c>
      <c r="F4401" s="122">
        <f>IFERROR(__xludf.DUMMYFUNCTION("""COMPUTED_VALUE"""),0.0041)</f>
        <v>0.0041</v>
      </c>
    </row>
    <row r="4402">
      <c r="A4402" s="131">
        <f>IFERROR(__xludf.DUMMYFUNCTION("""COMPUTED_VALUE"""),46187.477164351854)</f>
        <v>46187.47716</v>
      </c>
      <c r="B4402" s="126">
        <f>IFERROR(__xludf.DUMMYFUNCTION("""COMPUTED_VALUE"""),46187.0)</f>
        <v>46187</v>
      </c>
      <c r="C4402" s="122" t="str">
        <f>IFERROR(__xludf.DUMMYFUNCTION("""COMPUTED_VALUE"""),"CARS")</f>
        <v>CARS</v>
      </c>
      <c r="D4402" s="122" t="str">
        <f>IFERROR(__xludf.DUMMYFUNCTION("""COMPUTED_VALUE"""),"AutoArena")</f>
        <v>AutoArena</v>
      </c>
      <c r="E4402" s="122">
        <f>IFERROR(__xludf.DUMMYFUNCTION("""COMPUTED_VALUE"""),81.16)</f>
        <v>81.16</v>
      </c>
      <c r="F4402" s="122">
        <f>IFERROR(__xludf.DUMMYFUNCTION("""COMPUTED_VALUE"""),0.0105)</f>
        <v>0.0105</v>
      </c>
    </row>
    <row r="4403">
      <c r="A4403" s="131">
        <f>IFERROR(__xludf.DUMMYFUNCTION("""COMPUTED_VALUE"""),46187.477164351854)</f>
        <v>46187.47716</v>
      </c>
      <c r="B4403" s="126">
        <f>IFERROR(__xludf.DUMMYFUNCTION("""COMPUTED_VALUE"""),46187.0)</f>
        <v>46187</v>
      </c>
      <c r="C4403" s="122" t="str">
        <f>IFERROR(__xludf.DUMMYFUNCTION("""COMPUTED_VALUE"""),"EVGO")</f>
        <v>EVGO</v>
      </c>
      <c r="D4403" s="122" t="str">
        <f>IFERROR(__xludf.DUMMYFUNCTION("""COMPUTED_VALUE"""),"EVGo Motors")</f>
        <v>EVGo Motors</v>
      </c>
      <c r="E4403" s="122">
        <f>IFERROR(__xludf.DUMMYFUNCTION("""COMPUTED_VALUE"""),189.22)</f>
        <v>189.22</v>
      </c>
      <c r="F4403" s="122">
        <f>IFERROR(__xludf.DUMMYFUNCTION("""COMPUTED_VALUE"""),-0.002)</f>
        <v>-0.002</v>
      </c>
    </row>
    <row r="4404">
      <c r="A4404" s="131">
        <f>IFERROR(__xludf.DUMMYFUNCTION("""COMPUTED_VALUE"""),46187.477164351854)</f>
        <v>46187.47716</v>
      </c>
      <c r="B4404" s="126">
        <f>IFERROR(__xludf.DUMMYFUNCTION("""COMPUTED_VALUE"""),46187.0)</f>
        <v>46187</v>
      </c>
      <c r="C4404" s="122" t="str">
        <f>IFERROR(__xludf.DUMMYFUNCTION("""COMPUTED_VALUE"""),"TIRE")</f>
        <v>TIRE</v>
      </c>
      <c r="D4404" s="122" t="str">
        <f>IFERROR(__xludf.DUMMYFUNCTION("""COMPUTED_VALUE"""),"TireTown")</f>
        <v>TireTown</v>
      </c>
      <c r="E4404" s="122">
        <f>IFERROR(__xludf.DUMMYFUNCTION("""COMPUTED_VALUE"""),95.05)</f>
        <v>95.05</v>
      </c>
      <c r="F4404" s="122">
        <f>IFERROR(__xludf.DUMMYFUNCTION("""COMPUTED_VALUE"""),-0.0033)</f>
        <v>-0.0033</v>
      </c>
    </row>
    <row r="4405">
      <c r="A4405" s="131">
        <f>IFERROR(__xludf.DUMMYFUNCTION("""COMPUTED_VALUE"""),46187.477164351854)</f>
        <v>46187.47716</v>
      </c>
      <c r="B4405" s="126">
        <f>IFERROR(__xludf.DUMMYFUNCTION("""COMPUTED_VALUE"""),46187.0)</f>
        <v>46187</v>
      </c>
      <c r="C4405" s="122" t="str">
        <f>IFERROR(__xludf.DUMMYFUNCTION("""COMPUTED_VALUE"""),"BIKE")</f>
        <v>BIKE</v>
      </c>
      <c r="D4405" s="122" t="str">
        <f>IFERROR(__xludf.DUMMYFUNCTION("""COMPUTED_VALUE"""),"BikeBox")</f>
        <v>BikeBox</v>
      </c>
      <c r="E4405" s="122">
        <f>IFERROR(__xludf.DUMMYFUNCTION("""COMPUTED_VALUE"""),52.9)</f>
        <v>52.9</v>
      </c>
      <c r="F4405" s="122">
        <f>IFERROR(__xludf.DUMMYFUNCTION("""COMPUTED_VALUE"""),-0.0023)</f>
        <v>-0.0023</v>
      </c>
    </row>
    <row r="4406">
      <c r="A4406" s="131">
        <f>IFERROR(__xludf.DUMMYFUNCTION("""COMPUTED_VALUE"""),46187.477164351854)</f>
        <v>46187.47716</v>
      </c>
      <c r="B4406" s="126">
        <f>IFERROR(__xludf.DUMMYFUNCTION("""COMPUTED_VALUE"""),46187.0)</f>
        <v>46187</v>
      </c>
      <c r="C4406" s="122" t="str">
        <f>IFERROR(__xludf.DUMMYFUNCTION("""COMPUTED_VALUE"""),"WASH")</f>
        <v>WASH</v>
      </c>
      <c r="D4406" s="122" t="str">
        <f>IFERROR(__xludf.DUMMYFUNCTION("""COMPUTED_VALUE"""),"CarWash Co")</f>
        <v>CarWash Co</v>
      </c>
      <c r="E4406" s="122">
        <f>IFERROR(__xludf.DUMMYFUNCTION("""COMPUTED_VALUE"""),119.83)</f>
        <v>119.83</v>
      </c>
      <c r="F4406" s="122">
        <f>IFERROR(__xludf.DUMMYFUNCTION("""COMPUTED_VALUE"""),-0.0016)</f>
        <v>-0.0016</v>
      </c>
    </row>
    <row r="4407">
      <c r="A4407" s="131">
        <f>IFERROR(__xludf.DUMMYFUNCTION("""COMPUTED_VALUE"""),46187.477164351854)</f>
        <v>46187.47716</v>
      </c>
      <c r="B4407" s="126">
        <f>IFERROR(__xludf.DUMMYFUNCTION("""COMPUTED_VALUE"""),46187.0)</f>
        <v>46187</v>
      </c>
      <c r="C4407" s="122" t="str">
        <f>IFERROR(__xludf.DUMMYFUNCTION("""COMPUTED_VALUE"""),"GBND")</f>
        <v>GBND</v>
      </c>
      <c r="D4407" s="122" t="str">
        <f>IFERROR(__xludf.DUMMYFUNCTION("""COMPUTED_VALUE"""),"Classroom Government Bond")</f>
        <v>Classroom Government Bond</v>
      </c>
      <c r="E4407" s="122">
        <f>IFERROR(__xludf.DUMMYFUNCTION("""COMPUTED_VALUE"""),100.96)</f>
        <v>100.96</v>
      </c>
      <c r="F4407" s="122">
        <f>IFERROR(__xludf.DUMMYFUNCTION("""COMPUTED_VALUE"""),2.0E-4)</f>
        <v>0.0002</v>
      </c>
    </row>
    <row r="4408">
      <c r="A4408" s="131">
        <f>IFERROR(__xludf.DUMMYFUNCTION("""COMPUTED_VALUE"""),46187.477164351854)</f>
        <v>46187.47716</v>
      </c>
      <c r="B4408" s="126">
        <f>IFERROR(__xludf.DUMMYFUNCTION("""COMPUTED_VALUE"""),46187.0)</f>
        <v>46187</v>
      </c>
      <c r="C4408" s="122" t="str">
        <f>IFERROR(__xludf.DUMMYFUNCTION("""COMPUTED_VALUE"""),"SBND")</f>
        <v>SBND</v>
      </c>
      <c r="D4408" s="122" t="str">
        <f>IFERROR(__xludf.DUMMYFUNCTION("""COMPUTED_VALUE"""),"School Savings Bond")</f>
        <v>School Savings Bond</v>
      </c>
      <c r="E4408" s="122">
        <f>IFERROR(__xludf.DUMMYFUNCTION("""COMPUTED_VALUE"""),99.58)</f>
        <v>99.58</v>
      </c>
      <c r="F4408" s="122">
        <f>IFERROR(__xludf.DUMMYFUNCTION("""COMPUTED_VALUE"""),3.0E-4)</f>
        <v>0.0003</v>
      </c>
    </row>
    <row r="4409">
      <c r="A4409" s="131">
        <f>IFERROR(__xludf.DUMMYFUNCTION("""COMPUTED_VALUE"""),46187.477164351854)</f>
        <v>46187.47716</v>
      </c>
      <c r="B4409" s="126">
        <f>IFERROR(__xludf.DUMMYFUNCTION("""COMPUTED_VALUE"""),46187.0)</f>
        <v>46187</v>
      </c>
      <c r="C4409" s="122" t="str">
        <f>IFERROR(__xludf.DUMMYFUNCTION("""COMPUTED_VALUE"""),"CBND")</f>
        <v>CBND</v>
      </c>
      <c r="D4409" s="122" t="str">
        <f>IFERROR(__xludf.DUMMYFUNCTION("""COMPUTED_VALUE"""),"Corporate Classroom Bond")</f>
        <v>Corporate Classroom Bond</v>
      </c>
      <c r="E4409" s="122">
        <f>IFERROR(__xludf.DUMMYFUNCTION("""COMPUTED_VALUE"""),97.85)</f>
        <v>97.85</v>
      </c>
      <c r="F4409" s="122">
        <f>IFERROR(__xludf.DUMMYFUNCTION("""COMPUTED_VALUE"""),2.0E-4)</f>
        <v>0.0002</v>
      </c>
    </row>
    <row r="4410">
      <c r="A4410" s="131">
        <f>IFERROR(__xludf.DUMMYFUNCTION("""COMPUTED_VALUE"""),46187.477164351854)</f>
        <v>46187.47716</v>
      </c>
      <c r="B4410" s="126">
        <f>IFERROR(__xludf.DUMMYFUNCTION("""COMPUTED_VALUE"""),46187.0)</f>
        <v>46187</v>
      </c>
      <c r="C4410" s="122" t="str">
        <f>IFERROR(__xludf.DUMMYFUNCTION("""COMPUTED_VALUE"""),"TBIL")</f>
        <v>TBIL</v>
      </c>
      <c r="D4410" s="122" t="str">
        <f>IFERROR(__xludf.DUMMYFUNCTION("""COMPUTED_VALUE"""),"Treasury Bill")</f>
        <v>Treasury Bill</v>
      </c>
      <c r="E4410" s="122">
        <f>IFERROR(__xludf.DUMMYFUNCTION("""COMPUTED_VALUE"""),98.13)</f>
        <v>98.13</v>
      </c>
      <c r="F4410" s="122">
        <f>IFERROR(__xludf.DUMMYFUNCTION("""COMPUTED_VALUE"""),3.0E-4)</f>
        <v>0.0003</v>
      </c>
    </row>
    <row r="4411">
      <c r="A4411" s="131">
        <f>IFERROR(__xludf.DUMMYFUNCTION("""COMPUTED_VALUE"""),46187.477164351854)</f>
        <v>46187.47716</v>
      </c>
      <c r="B4411" s="126">
        <f>IFERROR(__xludf.DUMMYFUNCTION("""COMPUTED_VALUE"""),46187.0)</f>
        <v>46187</v>
      </c>
      <c r="C4411" s="122" t="str">
        <f>IFERROR(__xludf.DUMMYFUNCTION("""COMPUTED_VALUE"""),"IBND")</f>
        <v>IBND</v>
      </c>
      <c r="D4411" s="122" t="str">
        <f>IFERROR(__xludf.DUMMYFUNCTION("""COMPUTED_VALUE"""),"Inflation Protected Bond")</f>
        <v>Inflation Protected Bond</v>
      </c>
      <c r="E4411" s="122">
        <f>IFERROR(__xludf.DUMMYFUNCTION("""COMPUTED_VALUE"""),100.71)</f>
        <v>100.71</v>
      </c>
      <c r="F4411" s="122">
        <f>IFERROR(__xludf.DUMMYFUNCTION("""COMPUTED_VALUE"""),4.0E-4)</f>
        <v>0.0004</v>
      </c>
    </row>
    <row r="4412">
      <c r="A4412" s="131">
        <f>IFERROR(__xludf.DUMMYFUNCTION("""COMPUTED_VALUE"""),46187.48086805556)</f>
        <v>46187.48087</v>
      </c>
      <c r="B4412" s="126">
        <f>IFERROR(__xludf.DUMMYFUNCTION("""COMPUTED_VALUE"""),46187.0)</f>
        <v>46187</v>
      </c>
      <c r="C4412" s="122" t="str">
        <f>IFERROR(__xludf.DUMMYFUNCTION("""COMPUTED_VALUE"""),"SNAX")</f>
        <v>SNAX</v>
      </c>
      <c r="D4412" s="122" t="str">
        <f>IFERROR(__xludf.DUMMYFUNCTION("""COMPUTED_VALUE"""),"MICA Snacks")</f>
        <v>MICA Snacks</v>
      </c>
      <c r="E4412" s="122">
        <f>IFERROR(__xludf.DUMMYFUNCTION("""COMPUTED_VALUE"""),119.52)</f>
        <v>119.52</v>
      </c>
      <c r="F4412" s="122">
        <f>IFERROR(__xludf.DUMMYFUNCTION("""COMPUTED_VALUE"""),-0.001)</f>
        <v>-0.001</v>
      </c>
    </row>
    <row r="4413">
      <c r="A4413" s="131">
        <f>IFERROR(__xludf.DUMMYFUNCTION("""COMPUTED_VALUE"""),46187.48086805556)</f>
        <v>46187.48087</v>
      </c>
      <c r="B4413" s="126">
        <f>IFERROR(__xludf.DUMMYFUNCTION("""COMPUTED_VALUE"""),46187.0)</f>
        <v>46187</v>
      </c>
      <c r="C4413" s="122" t="str">
        <f>IFERROR(__xludf.DUMMYFUNCTION("""COMPUTED_VALUE"""),"RAMN")</f>
        <v>RAMN</v>
      </c>
      <c r="D4413" s="122" t="str">
        <f>IFERROR(__xludf.DUMMYFUNCTION("""COMPUTED_VALUE"""),"Ramen Republic")</f>
        <v>Ramen Republic</v>
      </c>
      <c r="E4413" s="122">
        <f>IFERROR(__xludf.DUMMYFUNCTION("""COMPUTED_VALUE"""),69.8)</f>
        <v>69.8</v>
      </c>
      <c r="F4413" s="122">
        <f>IFERROR(__xludf.DUMMYFUNCTION("""COMPUTED_VALUE"""),-0.0047)</f>
        <v>-0.0047</v>
      </c>
    </row>
    <row r="4414">
      <c r="A4414" s="131">
        <f>IFERROR(__xludf.DUMMYFUNCTION("""COMPUTED_VALUE"""),46187.48086805556)</f>
        <v>46187.48087</v>
      </c>
      <c r="B4414" s="126">
        <f>IFERROR(__xludf.DUMMYFUNCTION("""COMPUTED_VALUE"""),46187.0)</f>
        <v>46187</v>
      </c>
      <c r="C4414" s="122" t="str">
        <f>IFERROR(__xludf.DUMMYFUNCTION("""COMPUTED_VALUE"""),"COLA")</f>
        <v>COLA</v>
      </c>
      <c r="D4414" s="122" t="str">
        <f>IFERROR(__xludf.DUMMYFUNCTION("""COMPUTED_VALUE"""),"K-Pop Cola")</f>
        <v>K-Pop Cola</v>
      </c>
      <c r="E4414" s="122">
        <f>IFERROR(__xludf.DUMMYFUNCTION("""COMPUTED_VALUE"""),110.58)</f>
        <v>110.58</v>
      </c>
      <c r="F4414" s="122">
        <f>IFERROR(__xludf.DUMMYFUNCTION("""COMPUTED_VALUE"""),0.0021)</f>
        <v>0.0021</v>
      </c>
    </row>
    <row r="4415">
      <c r="A4415" s="131">
        <f>IFERROR(__xludf.DUMMYFUNCTION("""COMPUTED_VALUE"""),46187.48086805556)</f>
        <v>46187.48087</v>
      </c>
      <c r="B4415" s="126">
        <f>IFERROR(__xludf.DUMMYFUNCTION("""COMPUTED_VALUE"""),46187.0)</f>
        <v>46187</v>
      </c>
      <c r="C4415" s="122" t="str">
        <f>IFERROR(__xludf.DUMMYFUNCTION("""COMPUTED_VALUE"""),"CHIP")</f>
        <v>CHIP</v>
      </c>
      <c r="D4415" s="122" t="str">
        <f>IFERROR(__xludf.DUMMYFUNCTION("""COMPUTED_VALUE"""),"Chip Empire")</f>
        <v>Chip Empire</v>
      </c>
      <c r="E4415" s="122">
        <f>IFERROR(__xludf.DUMMYFUNCTION("""COMPUTED_VALUE"""),85.29)</f>
        <v>85.29</v>
      </c>
      <c r="F4415" s="122">
        <f>IFERROR(__xludf.DUMMYFUNCTION("""COMPUTED_VALUE"""),-0.0068)</f>
        <v>-0.0068</v>
      </c>
    </row>
    <row r="4416">
      <c r="A4416" s="131">
        <f>IFERROR(__xludf.DUMMYFUNCTION("""COMPUTED_VALUE"""),46187.48086805556)</f>
        <v>46187.48087</v>
      </c>
      <c r="B4416" s="126">
        <f>IFERROR(__xludf.DUMMYFUNCTION("""COMPUTED_VALUE"""),46187.0)</f>
        <v>46187</v>
      </c>
      <c r="C4416" s="122" t="str">
        <f>IFERROR(__xludf.DUMMYFUNCTION("""COMPUTED_VALUE"""),"CAND")</f>
        <v>CAND</v>
      </c>
      <c r="D4416" s="122" t="str">
        <f>IFERROR(__xludf.DUMMYFUNCTION("""COMPUTED_VALUE"""),"Candy Capital")</f>
        <v>Candy Capital</v>
      </c>
      <c r="E4416" s="122">
        <f>IFERROR(__xludf.DUMMYFUNCTION("""COMPUTED_VALUE"""),77.45)</f>
        <v>77.45</v>
      </c>
      <c r="F4416" s="122">
        <f>IFERROR(__xludf.DUMMYFUNCTION("""COMPUTED_VALUE"""),0.0047)</f>
        <v>0.0047</v>
      </c>
    </row>
    <row r="4417">
      <c r="A4417" s="131">
        <f>IFERROR(__xludf.DUMMYFUNCTION("""COMPUTED_VALUE"""),46187.48086805556)</f>
        <v>46187.48087</v>
      </c>
      <c r="B4417" s="126">
        <f>IFERROR(__xludf.DUMMYFUNCTION("""COMPUTED_VALUE"""),46187.0)</f>
        <v>46187</v>
      </c>
      <c r="C4417" s="122" t="str">
        <f>IFERROR(__xludf.DUMMYFUNCTION("""COMPUTED_VALUE"""),"TECH")</f>
        <v>TECH</v>
      </c>
      <c r="D4417" s="122" t="str">
        <f>IFERROR(__xludf.DUMMYFUNCTION("""COMPUTED_VALUE"""),"Dragon Tech")</f>
        <v>Dragon Tech</v>
      </c>
      <c r="E4417" s="122">
        <f>IFERROR(__xludf.DUMMYFUNCTION("""COMPUTED_VALUE"""),238.86)</f>
        <v>238.86</v>
      </c>
      <c r="F4417" s="122">
        <f>IFERROR(__xludf.DUMMYFUNCTION("""COMPUTED_VALUE"""),0.0)</f>
        <v>0</v>
      </c>
    </row>
    <row r="4418">
      <c r="A4418" s="131">
        <f>IFERROR(__xludf.DUMMYFUNCTION("""COMPUTED_VALUE"""),46187.48086805556)</f>
        <v>46187.48087</v>
      </c>
      <c r="B4418" s="126">
        <f>IFERROR(__xludf.DUMMYFUNCTION("""COMPUTED_VALUE"""),46187.0)</f>
        <v>46187</v>
      </c>
      <c r="C4418" s="122" t="str">
        <f>IFERROR(__xludf.DUMMYFUNCTION("""COMPUTED_VALUE"""),"AIBO")</f>
        <v>AIBO</v>
      </c>
      <c r="D4418" s="122" t="str">
        <f>IFERROR(__xludf.DUMMYFUNCTION("""COMPUTED_VALUE"""),"Homework AI")</f>
        <v>Homework AI</v>
      </c>
      <c r="E4418" s="122">
        <f>IFERROR(__xludf.DUMMYFUNCTION("""COMPUTED_VALUE"""),178.39)</f>
        <v>178.39</v>
      </c>
      <c r="F4418" s="122">
        <f>IFERROR(__xludf.DUMMYFUNCTION("""COMPUTED_VALUE"""),0.0116)</f>
        <v>0.0116</v>
      </c>
    </row>
    <row r="4419">
      <c r="A4419" s="131">
        <f>IFERROR(__xludf.DUMMYFUNCTION("""COMPUTED_VALUE"""),46187.48086805556)</f>
        <v>46187.48087</v>
      </c>
      <c r="B4419" s="126">
        <f>IFERROR(__xludf.DUMMYFUNCTION("""COMPUTED_VALUE"""),46187.0)</f>
        <v>46187</v>
      </c>
      <c r="C4419" s="122" t="str">
        <f>IFERROR(__xludf.DUMMYFUNCTION("""COMPUTED_VALUE"""),"GAME")</f>
        <v>GAME</v>
      </c>
      <c r="D4419" s="122" t="str">
        <f>IFERROR(__xludf.DUMMYFUNCTION("""COMPUTED_VALUE"""),"GameBox Media")</f>
        <v>GameBox Media</v>
      </c>
      <c r="E4419" s="122">
        <f>IFERROR(__xludf.DUMMYFUNCTION("""COMPUTED_VALUE"""),96.66)</f>
        <v>96.66</v>
      </c>
      <c r="F4419" s="122">
        <f>IFERROR(__xludf.DUMMYFUNCTION("""COMPUTED_VALUE"""),-0.0081)</f>
        <v>-0.0081</v>
      </c>
    </row>
    <row r="4420">
      <c r="A4420" s="131">
        <f>IFERROR(__xludf.DUMMYFUNCTION("""COMPUTED_VALUE"""),46187.48086805556)</f>
        <v>46187.48087</v>
      </c>
      <c r="B4420" s="126">
        <f>IFERROR(__xludf.DUMMYFUNCTION("""COMPUTED_VALUE"""),46187.0)</f>
        <v>46187</v>
      </c>
      <c r="C4420" s="122" t="str">
        <f>IFERROR(__xludf.DUMMYFUNCTION("""COMPUTED_VALUE"""),"VRSE")</f>
        <v>VRSE</v>
      </c>
      <c r="D4420" s="122" t="str">
        <f>IFERROR(__xludf.DUMMYFUNCTION("""COMPUTED_VALUE"""),"VerseVR")</f>
        <v>VerseVR</v>
      </c>
      <c r="E4420" s="122">
        <f>IFERROR(__xludf.DUMMYFUNCTION("""COMPUTED_VALUE"""),149.72)</f>
        <v>149.72</v>
      </c>
      <c r="F4420" s="122">
        <f>IFERROR(__xludf.DUMMYFUNCTION("""COMPUTED_VALUE"""),0.0015)</f>
        <v>0.0015</v>
      </c>
    </row>
    <row r="4421">
      <c r="A4421" s="131">
        <f>IFERROR(__xludf.DUMMYFUNCTION("""COMPUTED_VALUE"""),46187.48086805556)</f>
        <v>46187.48087</v>
      </c>
      <c r="B4421" s="126">
        <f>IFERROR(__xludf.DUMMYFUNCTION("""COMPUTED_VALUE"""),46187.0)</f>
        <v>46187</v>
      </c>
      <c r="C4421" s="122" t="str">
        <f>IFERROR(__xludf.DUMMYFUNCTION("""COMPUTED_VALUE"""),"BYTE")</f>
        <v>BYTE</v>
      </c>
      <c r="D4421" s="122" t="str">
        <f>IFERROR(__xludf.DUMMYFUNCTION("""COMPUTED_VALUE"""),"ByteWorks")</f>
        <v>ByteWorks</v>
      </c>
      <c r="E4421" s="122">
        <f>IFERROR(__xludf.DUMMYFUNCTION("""COMPUTED_VALUE"""),109.15)</f>
        <v>109.15</v>
      </c>
      <c r="F4421" s="122">
        <f>IFERROR(__xludf.DUMMYFUNCTION("""COMPUTED_VALUE"""),3.0E-4)</f>
        <v>0.0003</v>
      </c>
    </row>
    <row r="4422">
      <c r="A4422" s="131">
        <f>IFERROR(__xludf.DUMMYFUNCTION("""COMPUTED_VALUE"""),46187.48086805556)</f>
        <v>46187.48087</v>
      </c>
      <c r="B4422" s="126">
        <f>IFERROR(__xludf.DUMMYFUNCTION("""COMPUTED_VALUE"""),46187.0)</f>
        <v>46187</v>
      </c>
      <c r="C4422" s="122" t="str">
        <f>IFERROR(__xludf.DUMMYFUNCTION("""COMPUTED_VALUE"""),"BANK")</f>
        <v>BANK</v>
      </c>
      <c r="D4422" s="122" t="str">
        <f>IFERROR(__xludf.DUMMYFUNCTION("""COMPUTED_VALUE"""),"Tiger Bank")</f>
        <v>Tiger Bank</v>
      </c>
      <c r="E4422" s="122">
        <f>IFERROR(__xludf.DUMMYFUNCTION("""COMPUTED_VALUE"""),128.11)</f>
        <v>128.11</v>
      </c>
      <c r="F4422" s="122">
        <f>IFERROR(__xludf.DUMMYFUNCTION("""COMPUTED_VALUE"""),0.0011)</f>
        <v>0.0011</v>
      </c>
    </row>
    <row r="4423">
      <c r="A4423" s="131">
        <f>IFERROR(__xludf.DUMMYFUNCTION("""COMPUTED_VALUE"""),46187.48086805556)</f>
        <v>46187.48087</v>
      </c>
      <c r="B4423" s="126">
        <f>IFERROR(__xludf.DUMMYFUNCTION("""COMPUTED_VALUE"""),46187.0)</f>
        <v>46187</v>
      </c>
      <c r="C4423" s="122" t="str">
        <f>IFERROR(__xludf.DUMMYFUNCTION("""COMPUTED_VALUE"""),"CRED")</f>
        <v>CRED</v>
      </c>
      <c r="D4423" s="122" t="str">
        <f>IFERROR(__xludf.DUMMYFUNCTION("""COMPUTED_VALUE"""),"Credit Castle")</f>
        <v>Credit Castle</v>
      </c>
      <c r="E4423" s="122">
        <f>IFERROR(__xludf.DUMMYFUNCTION("""COMPUTED_VALUE"""),66.17)</f>
        <v>66.17</v>
      </c>
      <c r="F4423" s="122">
        <f>IFERROR(__xludf.DUMMYFUNCTION("""COMPUTED_VALUE"""),-0.0047)</f>
        <v>-0.0047</v>
      </c>
    </row>
    <row r="4424">
      <c r="A4424" s="131">
        <f>IFERROR(__xludf.DUMMYFUNCTION("""COMPUTED_VALUE"""),46187.48086805556)</f>
        <v>46187.48087</v>
      </c>
      <c r="B4424" s="126">
        <f>IFERROR(__xludf.DUMMYFUNCTION("""COMPUTED_VALUE"""),46187.0)</f>
        <v>46187</v>
      </c>
      <c r="C4424" s="122" t="str">
        <f>IFERROR(__xludf.DUMMYFUNCTION("""COMPUTED_VALUE"""),"BOND")</f>
        <v>BOND</v>
      </c>
      <c r="D4424" s="122" t="str">
        <f>IFERROR(__xludf.DUMMYFUNCTION("""COMPUTED_VALUE"""),"BondBridge")</f>
        <v>BondBridge</v>
      </c>
      <c r="E4424" s="122">
        <f>IFERROR(__xludf.DUMMYFUNCTION("""COMPUTED_VALUE"""),99.74)</f>
        <v>99.74</v>
      </c>
      <c r="F4424" s="122">
        <f>IFERROR(__xludf.DUMMYFUNCTION("""COMPUTED_VALUE"""),5.0E-4)</f>
        <v>0.0005</v>
      </c>
    </row>
    <row r="4425">
      <c r="A4425" s="131">
        <f>IFERROR(__xludf.DUMMYFUNCTION("""COMPUTED_VALUE"""),46187.48086805556)</f>
        <v>46187.48087</v>
      </c>
      <c r="B4425" s="126">
        <f>IFERROR(__xludf.DUMMYFUNCTION("""COMPUTED_VALUE"""),46187.0)</f>
        <v>46187</v>
      </c>
      <c r="C4425" s="122" t="str">
        <f>IFERROR(__xludf.DUMMYFUNCTION("""COMPUTED_VALUE"""),"INSR")</f>
        <v>INSR</v>
      </c>
      <c r="D4425" s="122" t="str">
        <f>IFERROR(__xludf.DUMMYFUNCTION("""COMPUTED_VALUE"""),"Shield Insurance")</f>
        <v>Shield Insurance</v>
      </c>
      <c r="E4425" s="122">
        <f>IFERROR(__xludf.DUMMYFUNCTION("""COMPUTED_VALUE"""),160.21)</f>
        <v>160.21</v>
      </c>
      <c r="F4425" s="122">
        <f>IFERROR(__xludf.DUMMYFUNCTION("""COMPUTED_VALUE"""),-0.0035)</f>
        <v>-0.0035</v>
      </c>
    </row>
    <row r="4426">
      <c r="A4426" s="131">
        <f>IFERROR(__xludf.DUMMYFUNCTION("""COMPUTED_VALUE"""),46187.48086805556)</f>
        <v>46187.48087</v>
      </c>
      <c r="B4426" s="126">
        <f>IFERROR(__xludf.DUMMYFUNCTION("""COMPUTED_VALUE"""),46187.0)</f>
        <v>46187</v>
      </c>
      <c r="C4426" s="122" t="str">
        <f>IFERROR(__xludf.DUMMYFUNCTION("""COMPUTED_VALUE"""),"LOAN")</f>
        <v>LOAN</v>
      </c>
      <c r="D4426" s="122" t="str">
        <f>IFERROR(__xludf.DUMMYFUNCTION("""COMPUTED_VALUE"""),"LoanLab")</f>
        <v>LoanLab</v>
      </c>
      <c r="E4426" s="122">
        <f>IFERROR(__xludf.DUMMYFUNCTION("""COMPUTED_VALUE"""),64.88)</f>
        <v>64.88</v>
      </c>
      <c r="F4426" s="122">
        <f>IFERROR(__xludf.DUMMYFUNCTION("""COMPUTED_VALUE"""),0.004)</f>
        <v>0.004</v>
      </c>
    </row>
    <row r="4427">
      <c r="A4427" s="131">
        <f>IFERROR(__xludf.DUMMYFUNCTION("""COMPUTED_VALUE"""),46187.48086805556)</f>
        <v>46187.48087</v>
      </c>
      <c r="B4427" s="126">
        <f>IFERROR(__xludf.DUMMYFUNCTION("""COMPUTED_VALUE"""),46187.0)</f>
        <v>46187</v>
      </c>
      <c r="C4427" s="122" t="str">
        <f>IFERROR(__xludf.DUMMYFUNCTION("""COMPUTED_VALUE"""),"LUXE")</f>
        <v>LUXE</v>
      </c>
      <c r="D4427" s="122" t="str">
        <f>IFERROR(__xludf.DUMMYFUNCTION("""COMPUTED_VALUE"""),"Luxury Locker")</f>
        <v>Luxury Locker</v>
      </c>
      <c r="E4427" s="122">
        <f>IFERROR(__xludf.DUMMYFUNCTION("""COMPUTED_VALUE"""),262.5)</f>
        <v>262.5</v>
      </c>
      <c r="F4427" s="122">
        <f>IFERROR(__xludf.DUMMYFUNCTION("""COMPUTED_VALUE"""),-0.0036)</f>
        <v>-0.0036</v>
      </c>
    </row>
    <row r="4428">
      <c r="A4428" s="131">
        <f>IFERROR(__xludf.DUMMYFUNCTION("""COMPUTED_VALUE"""),46187.48086805556)</f>
        <v>46187.48087</v>
      </c>
      <c r="B4428" s="126">
        <f>IFERROR(__xludf.DUMMYFUNCTION("""COMPUTED_VALUE"""),46187.0)</f>
        <v>46187</v>
      </c>
      <c r="C4428" s="122" t="str">
        <f>IFERROR(__xludf.DUMMYFUNCTION("""COMPUTED_VALUE"""),"DRIP")</f>
        <v>DRIP</v>
      </c>
      <c r="D4428" s="122" t="str">
        <f>IFERROR(__xludf.DUMMYFUNCTION("""COMPUTED_VALUE"""),"Drip Streetwear")</f>
        <v>Drip Streetwear</v>
      </c>
      <c r="E4428" s="122">
        <f>IFERROR(__xludf.DUMMYFUNCTION("""COMPUTED_VALUE"""),194.17)</f>
        <v>194.17</v>
      </c>
      <c r="F4428" s="122">
        <f>IFERROR(__xludf.DUMMYFUNCTION("""COMPUTED_VALUE"""),-0.006)</f>
        <v>-0.006</v>
      </c>
    </row>
    <row r="4429">
      <c r="A4429" s="131">
        <f>IFERROR(__xludf.DUMMYFUNCTION("""COMPUTED_VALUE"""),46187.48086805556)</f>
        <v>46187.48087</v>
      </c>
      <c r="B4429" s="126">
        <f>IFERROR(__xludf.DUMMYFUNCTION("""COMPUTED_VALUE"""),46187.0)</f>
        <v>46187</v>
      </c>
      <c r="C4429" s="122" t="str">
        <f>IFERROR(__xludf.DUMMYFUNCTION("""COMPUTED_VALUE"""),"KICK")</f>
        <v>KICK</v>
      </c>
      <c r="D4429" s="122" t="str">
        <f>IFERROR(__xludf.DUMMYFUNCTION("""COMPUTED_VALUE"""),"KickDrop Sneakers")</f>
        <v>KickDrop Sneakers</v>
      </c>
      <c r="E4429" s="122">
        <f>IFERROR(__xludf.DUMMYFUNCTION("""COMPUTED_VALUE"""),171.92)</f>
        <v>171.92</v>
      </c>
      <c r="F4429" s="122">
        <f>IFERROR(__xludf.DUMMYFUNCTION("""COMPUTED_VALUE"""),0.0054)</f>
        <v>0.0054</v>
      </c>
    </row>
    <row r="4430">
      <c r="A4430" s="131">
        <f>IFERROR(__xludf.DUMMYFUNCTION("""COMPUTED_VALUE"""),46187.48086805556)</f>
        <v>46187.48087</v>
      </c>
      <c r="B4430" s="126">
        <f>IFERROR(__xludf.DUMMYFUNCTION("""COMPUTED_VALUE"""),46187.0)</f>
        <v>46187</v>
      </c>
      <c r="C4430" s="122" t="str">
        <f>IFERROR(__xludf.DUMMYFUNCTION("""COMPUTED_VALUE"""),"GLAM")</f>
        <v>GLAM</v>
      </c>
      <c r="D4430" s="122" t="str">
        <f>IFERROR(__xludf.DUMMYFUNCTION("""COMPUTED_VALUE"""),"Glow Cosmetics")</f>
        <v>Glow Cosmetics</v>
      </c>
      <c r="E4430" s="122">
        <f>IFERROR(__xludf.DUMMYFUNCTION("""COMPUTED_VALUE"""),103.37)</f>
        <v>103.37</v>
      </c>
      <c r="F4430" s="122">
        <f>IFERROR(__xludf.DUMMYFUNCTION("""COMPUTED_VALUE"""),-0.002)</f>
        <v>-0.002</v>
      </c>
    </row>
    <row r="4431">
      <c r="A4431" s="131">
        <f>IFERROR(__xludf.DUMMYFUNCTION("""COMPUTED_VALUE"""),46187.48086805556)</f>
        <v>46187.48087</v>
      </c>
      <c r="B4431" s="126">
        <f>IFERROR(__xludf.DUMMYFUNCTION("""COMPUTED_VALUE"""),46187.0)</f>
        <v>46187</v>
      </c>
      <c r="C4431" s="122" t="str">
        <f>IFERROR(__xludf.DUMMYFUNCTION("""COMPUTED_VALUE"""),"BAGG")</f>
        <v>BAGG</v>
      </c>
      <c r="D4431" s="122" t="str">
        <f>IFERROR(__xludf.DUMMYFUNCTION("""COMPUTED_VALUE"""),"BagVault")</f>
        <v>BagVault</v>
      </c>
      <c r="E4431" s="122">
        <f>IFERROR(__xludf.DUMMYFUNCTION("""COMPUTED_VALUE"""),253.06)</f>
        <v>253.06</v>
      </c>
      <c r="F4431" s="122">
        <f>IFERROR(__xludf.DUMMYFUNCTION("""COMPUTED_VALUE"""),-0.0026)</f>
        <v>-0.0026</v>
      </c>
    </row>
    <row r="4432">
      <c r="A4432" s="131">
        <f>IFERROR(__xludf.DUMMYFUNCTION("""COMPUTED_VALUE"""),46187.48086805556)</f>
        <v>46187.48087</v>
      </c>
      <c r="B4432" s="126">
        <f>IFERROR(__xludf.DUMMYFUNCTION("""COMPUTED_VALUE"""),46187.0)</f>
        <v>46187</v>
      </c>
      <c r="C4432" s="122" t="str">
        <f>IFERROR(__xludf.DUMMYFUNCTION("""COMPUTED_VALUE"""),"FAST")</f>
        <v>FAST</v>
      </c>
      <c r="D4432" s="122" t="str">
        <f>IFERROR(__xludf.DUMMYFUNCTION("""COMPUTED_VALUE"""),"Flash Logistics")</f>
        <v>Flash Logistics</v>
      </c>
      <c r="E4432" s="122">
        <f>IFERROR(__xludf.DUMMYFUNCTION("""COMPUTED_VALUE"""),104.28)</f>
        <v>104.28</v>
      </c>
      <c r="F4432" s="122">
        <f>IFERROR(__xludf.DUMMYFUNCTION("""COMPUTED_VALUE"""),0.0012)</f>
        <v>0.0012</v>
      </c>
    </row>
    <row r="4433">
      <c r="A4433" s="131">
        <f>IFERROR(__xludf.DUMMYFUNCTION("""COMPUTED_VALUE"""),46187.48086805556)</f>
        <v>46187.48087</v>
      </c>
      <c r="B4433" s="126">
        <f>IFERROR(__xludf.DUMMYFUNCTION("""COMPUTED_VALUE"""),46187.0)</f>
        <v>46187</v>
      </c>
      <c r="C4433" s="122" t="str">
        <f>IFERROR(__xludf.DUMMYFUNCTION("""COMPUTED_VALUE"""),"SHIP")</f>
        <v>SHIP</v>
      </c>
      <c r="D4433" s="122" t="str">
        <f>IFERROR(__xludf.DUMMYFUNCTION("""COMPUTED_VALUE"""),"Seoul Shipping")</f>
        <v>Seoul Shipping</v>
      </c>
      <c r="E4433" s="122">
        <f>IFERROR(__xludf.DUMMYFUNCTION("""COMPUTED_VALUE"""),124.36)</f>
        <v>124.36</v>
      </c>
      <c r="F4433" s="122">
        <f>IFERROR(__xludf.DUMMYFUNCTION("""COMPUTED_VALUE"""),0.006)</f>
        <v>0.006</v>
      </c>
    </row>
    <row r="4434">
      <c r="A4434" s="131">
        <f>IFERROR(__xludf.DUMMYFUNCTION("""COMPUTED_VALUE"""),46187.48086805556)</f>
        <v>46187.48087</v>
      </c>
      <c r="B4434" s="126">
        <f>IFERROR(__xludf.DUMMYFUNCTION("""COMPUTED_VALUE"""),46187.0)</f>
        <v>46187</v>
      </c>
      <c r="C4434" s="122" t="str">
        <f>IFERROR(__xludf.DUMMYFUNCTION("""COMPUTED_VALUE"""),"DRON")</f>
        <v>DRON</v>
      </c>
      <c r="D4434" s="122" t="str">
        <f>IFERROR(__xludf.DUMMYFUNCTION("""COMPUTED_VALUE"""),"DroneDrop")</f>
        <v>DroneDrop</v>
      </c>
      <c r="E4434" s="122">
        <f>IFERROR(__xludf.DUMMYFUNCTION("""COMPUTED_VALUE"""),128.45)</f>
        <v>128.45</v>
      </c>
      <c r="F4434" s="122">
        <f>IFERROR(__xludf.DUMMYFUNCTION("""COMPUTED_VALUE"""),-0.0081)</f>
        <v>-0.0081</v>
      </c>
    </row>
    <row r="4435">
      <c r="A4435" s="131">
        <f>IFERROR(__xludf.DUMMYFUNCTION("""COMPUTED_VALUE"""),46187.48086805556)</f>
        <v>46187.48087</v>
      </c>
      <c r="B4435" s="126">
        <f>IFERROR(__xludf.DUMMYFUNCTION("""COMPUTED_VALUE"""),46187.0)</f>
        <v>46187</v>
      </c>
      <c r="C4435" s="122" t="str">
        <f>IFERROR(__xludf.DUMMYFUNCTION("""COMPUTED_VALUE"""),"RIDE")</f>
        <v>RIDE</v>
      </c>
      <c r="D4435" s="122" t="str">
        <f>IFERROR(__xludf.DUMMYFUNCTION("""COMPUTED_VALUE"""),"QuickRide")</f>
        <v>QuickRide</v>
      </c>
      <c r="E4435" s="122">
        <f>IFERROR(__xludf.DUMMYFUNCTION("""COMPUTED_VALUE"""),95.48)</f>
        <v>95.48</v>
      </c>
      <c r="F4435" s="122">
        <f>IFERROR(__xludf.DUMMYFUNCTION("""COMPUTED_VALUE"""),-0.0046)</f>
        <v>-0.0046</v>
      </c>
    </row>
    <row r="4436">
      <c r="A4436" s="131">
        <f>IFERROR(__xludf.DUMMYFUNCTION("""COMPUTED_VALUE"""),46187.48086805556)</f>
        <v>46187.48087</v>
      </c>
      <c r="B4436" s="126">
        <f>IFERROR(__xludf.DUMMYFUNCTION("""COMPUTED_VALUE"""),46187.0)</f>
        <v>46187</v>
      </c>
      <c r="C4436" s="122" t="str">
        <f>IFERROR(__xludf.DUMMYFUNCTION("""COMPUTED_VALUE"""),"RAIL")</f>
        <v>RAIL</v>
      </c>
      <c r="D4436" s="122" t="str">
        <f>IFERROR(__xludf.DUMMYFUNCTION("""COMPUTED_VALUE"""),"MetroRail Corp")</f>
        <v>MetroRail Corp</v>
      </c>
      <c r="E4436" s="122">
        <f>IFERROR(__xludf.DUMMYFUNCTION("""COMPUTED_VALUE"""),134.3)</f>
        <v>134.3</v>
      </c>
      <c r="F4436" s="122">
        <f>IFERROR(__xludf.DUMMYFUNCTION("""COMPUTED_VALUE"""),0.0029)</f>
        <v>0.0029</v>
      </c>
    </row>
    <row r="4437">
      <c r="A4437" s="131">
        <f>IFERROR(__xludf.DUMMYFUNCTION("""COMPUTED_VALUE"""),46187.48086805556)</f>
        <v>46187.48087</v>
      </c>
      <c r="B4437" s="126">
        <f>IFERROR(__xludf.DUMMYFUNCTION("""COMPUTED_VALUE"""),46187.0)</f>
        <v>46187</v>
      </c>
      <c r="C4437" s="122" t="str">
        <f>IFERROR(__xludf.DUMMYFUNCTION("""COMPUTED_VALUE"""),"MEDX")</f>
        <v>MEDX</v>
      </c>
      <c r="D4437" s="122" t="str">
        <f>IFERROR(__xludf.DUMMYFUNCTION("""COMPUTED_VALUE"""),"MediCore")</f>
        <v>MediCore</v>
      </c>
      <c r="E4437" s="122">
        <f>IFERROR(__xludf.DUMMYFUNCTION("""COMPUTED_VALUE"""),138.86)</f>
        <v>138.86</v>
      </c>
      <c r="F4437" s="122">
        <f>IFERROR(__xludf.DUMMYFUNCTION("""COMPUTED_VALUE"""),-9.0E-4)</f>
        <v>-0.0009</v>
      </c>
    </row>
    <row r="4438">
      <c r="A4438" s="131">
        <f>IFERROR(__xludf.DUMMYFUNCTION("""COMPUTED_VALUE"""),46187.48086805556)</f>
        <v>46187.48087</v>
      </c>
      <c r="B4438" s="126">
        <f>IFERROR(__xludf.DUMMYFUNCTION("""COMPUTED_VALUE"""),46187.0)</f>
        <v>46187</v>
      </c>
      <c r="C4438" s="122" t="str">
        <f>IFERROR(__xludf.DUMMYFUNCTION("""COMPUTED_VALUE"""),"GYMX")</f>
        <v>GYMX</v>
      </c>
      <c r="D4438" s="122" t="str">
        <f>IFERROR(__xludf.DUMMYFUNCTION("""COMPUTED_VALUE"""),"GymX Fitness")</f>
        <v>GymX Fitness</v>
      </c>
      <c r="E4438" s="122">
        <f>IFERROR(__xludf.DUMMYFUNCTION("""COMPUTED_VALUE"""),86.4)</f>
        <v>86.4</v>
      </c>
      <c r="F4438" s="122">
        <f>IFERROR(__xludf.DUMMYFUNCTION("""COMPUTED_VALUE"""),-0.0041)</f>
        <v>-0.0041</v>
      </c>
    </row>
    <row r="4439">
      <c r="A4439" s="131">
        <f>IFERROR(__xludf.DUMMYFUNCTION("""COMPUTED_VALUE"""),46187.48086805556)</f>
        <v>46187.48087</v>
      </c>
      <c r="B4439" s="126">
        <f>IFERROR(__xludf.DUMMYFUNCTION("""COMPUTED_VALUE"""),46187.0)</f>
        <v>46187</v>
      </c>
      <c r="C4439" s="122" t="str">
        <f>IFERROR(__xludf.DUMMYFUNCTION("""COMPUTED_VALUE"""),"VITA")</f>
        <v>VITA</v>
      </c>
      <c r="D4439" s="122" t="str">
        <f>IFERROR(__xludf.DUMMYFUNCTION("""COMPUTED_VALUE"""),"VitaPlus")</f>
        <v>VitaPlus</v>
      </c>
      <c r="E4439" s="122">
        <f>IFERROR(__xludf.DUMMYFUNCTION("""COMPUTED_VALUE"""),73.75)</f>
        <v>73.75</v>
      </c>
      <c r="F4439" s="122">
        <f>IFERROR(__xludf.DUMMYFUNCTION("""COMPUTED_VALUE"""),0.0034)</f>
        <v>0.0034</v>
      </c>
    </row>
    <row r="4440">
      <c r="A4440" s="131">
        <f>IFERROR(__xludf.DUMMYFUNCTION("""COMPUTED_VALUE"""),46187.48086805556)</f>
        <v>46187.48087</v>
      </c>
      <c r="B4440" s="126">
        <f>IFERROR(__xludf.DUMMYFUNCTION("""COMPUTED_VALUE"""),46187.0)</f>
        <v>46187</v>
      </c>
      <c r="C4440" s="122" t="str">
        <f>IFERROR(__xludf.DUMMYFUNCTION("""COMPUTED_VALUE"""),"CARE")</f>
        <v>CARE</v>
      </c>
      <c r="D4440" s="122" t="str">
        <f>IFERROR(__xludf.DUMMYFUNCTION("""COMPUTED_VALUE"""),"CareCloud")</f>
        <v>CareCloud</v>
      </c>
      <c r="E4440" s="122">
        <f>IFERROR(__xludf.DUMMYFUNCTION("""COMPUTED_VALUE"""),177.74)</f>
        <v>177.74</v>
      </c>
      <c r="F4440" s="122">
        <f>IFERROR(__xludf.DUMMYFUNCTION("""COMPUTED_VALUE"""),-0.0033)</f>
        <v>-0.0033</v>
      </c>
    </row>
    <row r="4441">
      <c r="A4441" s="131">
        <f>IFERROR(__xludf.DUMMYFUNCTION("""COMPUTED_VALUE"""),46187.48086805556)</f>
        <v>46187.48087</v>
      </c>
      <c r="B4441" s="126">
        <f>IFERROR(__xludf.DUMMYFUNCTION("""COMPUTED_VALUE"""),46187.0)</f>
        <v>46187</v>
      </c>
      <c r="C4441" s="122" t="str">
        <f>IFERROR(__xludf.DUMMYFUNCTION("""COMPUTED_VALUE"""),"DENT")</f>
        <v>DENT</v>
      </c>
      <c r="D4441" s="122" t="str">
        <f>IFERROR(__xludf.DUMMYFUNCTION("""COMPUTED_VALUE"""),"SmileWorks")</f>
        <v>SmileWorks</v>
      </c>
      <c r="E4441" s="122">
        <f>IFERROR(__xludf.DUMMYFUNCTION("""COMPUTED_VALUE"""),86.77)</f>
        <v>86.77</v>
      </c>
      <c r="F4441" s="122">
        <f>IFERROR(__xludf.DUMMYFUNCTION("""COMPUTED_VALUE"""),0.0023)</f>
        <v>0.0023</v>
      </c>
    </row>
    <row r="4442">
      <c r="A4442" s="131">
        <f>IFERROR(__xludf.DUMMYFUNCTION("""COMPUTED_VALUE"""),46187.48086805556)</f>
        <v>46187.48087</v>
      </c>
      <c r="B4442" s="126">
        <f>IFERROR(__xludf.DUMMYFUNCTION("""COMPUTED_VALUE"""),46187.0)</f>
        <v>46187</v>
      </c>
      <c r="C4442" s="122" t="str">
        <f>IFERROR(__xludf.DUMMYFUNCTION("""COMPUTED_VALUE"""),"EDUX")</f>
        <v>EDUX</v>
      </c>
      <c r="D4442" s="122" t="str">
        <f>IFERROR(__xludf.DUMMYFUNCTION("""COMPUTED_VALUE"""),"EduMax Learning")</f>
        <v>EduMax Learning</v>
      </c>
      <c r="E4442" s="122">
        <f>IFERROR(__xludf.DUMMYFUNCTION("""COMPUTED_VALUE"""),137.67)</f>
        <v>137.67</v>
      </c>
      <c r="F4442" s="122">
        <f>IFERROR(__xludf.DUMMYFUNCTION("""COMPUTED_VALUE"""),-0.001)</f>
        <v>-0.001</v>
      </c>
    </row>
    <row r="4443">
      <c r="A4443" s="131">
        <f>IFERROR(__xludf.DUMMYFUNCTION("""COMPUTED_VALUE"""),46187.48086805556)</f>
        <v>46187.48087</v>
      </c>
      <c r="B4443" s="126">
        <f>IFERROR(__xludf.DUMMYFUNCTION("""COMPUTED_VALUE"""),46187.0)</f>
        <v>46187</v>
      </c>
      <c r="C4443" s="122" t="str">
        <f>IFERROR(__xludf.DUMMYFUNCTION("""COMPUTED_VALUE"""),"BOOK")</f>
        <v>BOOK</v>
      </c>
      <c r="D4443" s="122" t="str">
        <f>IFERROR(__xludf.DUMMYFUNCTION("""COMPUTED_VALUE"""),"BookBridge")</f>
        <v>BookBridge</v>
      </c>
      <c r="E4443" s="122">
        <f>IFERROR(__xludf.DUMMYFUNCTION("""COMPUTED_VALUE"""),117.47)</f>
        <v>117.47</v>
      </c>
      <c r="F4443" s="122">
        <f>IFERROR(__xludf.DUMMYFUNCTION("""COMPUTED_VALUE"""),-0.0018)</f>
        <v>-0.0018</v>
      </c>
    </row>
    <row r="4444">
      <c r="A4444" s="131">
        <f>IFERROR(__xludf.DUMMYFUNCTION("""COMPUTED_VALUE"""),46187.48086805556)</f>
        <v>46187.48087</v>
      </c>
      <c r="B4444" s="126">
        <f>IFERROR(__xludf.DUMMYFUNCTION("""COMPUTED_VALUE"""),46187.0)</f>
        <v>46187</v>
      </c>
      <c r="C4444" s="122" t="str">
        <f>IFERROR(__xludf.DUMMYFUNCTION("""COMPUTED_VALUE"""),"TUTR")</f>
        <v>TUTR</v>
      </c>
      <c r="D4444" s="122" t="str">
        <f>IFERROR(__xludf.DUMMYFUNCTION("""COMPUTED_VALUE"""),"TutorTown")</f>
        <v>TutorTown</v>
      </c>
      <c r="E4444" s="122">
        <f>IFERROR(__xludf.DUMMYFUNCTION("""COMPUTED_VALUE"""),90.97)</f>
        <v>90.97</v>
      </c>
      <c r="F4444" s="122">
        <f>IFERROR(__xludf.DUMMYFUNCTION("""COMPUTED_VALUE"""),0.0061)</f>
        <v>0.0061</v>
      </c>
    </row>
    <row r="4445">
      <c r="A4445" s="131">
        <f>IFERROR(__xludf.DUMMYFUNCTION("""COMPUTED_VALUE"""),46187.48086805556)</f>
        <v>46187.48087</v>
      </c>
      <c r="B4445" s="126">
        <f>IFERROR(__xludf.DUMMYFUNCTION("""COMPUTED_VALUE"""),46187.0)</f>
        <v>46187</v>
      </c>
      <c r="C4445" s="122" t="str">
        <f>IFERROR(__xludf.DUMMYFUNCTION("""COMPUTED_VALUE"""),"LANG")</f>
        <v>LANG</v>
      </c>
      <c r="D4445" s="122" t="str">
        <f>IFERROR(__xludf.DUMMYFUNCTION("""COMPUTED_VALUE"""),"LinguaLab")</f>
        <v>LinguaLab</v>
      </c>
      <c r="E4445" s="122">
        <f>IFERROR(__xludf.DUMMYFUNCTION("""COMPUTED_VALUE"""),98.5)</f>
        <v>98.5</v>
      </c>
      <c r="F4445" s="122">
        <f>IFERROR(__xludf.DUMMYFUNCTION("""COMPUTED_VALUE"""),-0.0021)</f>
        <v>-0.0021</v>
      </c>
    </row>
    <row r="4446">
      <c r="A4446" s="131">
        <f>IFERROR(__xludf.DUMMYFUNCTION("""COMPUTED_VALUE"""),46187.48086805556)</f>
        <v>46187.48087</v>
      </c>
      <c r="B4446" s="126">
        <f>IFERROR(__xludf.DUMMYFUNCTION("""COMPUTED_VALUE"""),46187.0)</f>
        <v>46187</v>
      </c>
      <c r="C4446" s="122" t="str">
        <f>IFERROR(__xludf.DUMMYFUNCTION("""COMPUTED_VALUE"""),"TEST")</f>
        <v>TEST</v>
      </c>
      <c r="D4446" s="122" t="str">
        <f>IFERROR(__xludf.DUMMYFUNCTION("""COMPUTED_VALUE"""),"TestPrep Pro")</f>
        <v>TestPrep Pro</v>
      </c>
      <c r="E4446" s="122">
        <f>IFERROR(__xludf.DUMMYFUNCTION("""COMPUTED_VALUE"""),95.67)</f>
        <v>95.67</v>
      </c>
      <c r="F4446" s="122">
        <f>IFERROR(__xludf.DUMMYFUNCTION("""COMPUTED_VALUE"""),0.0031)</f>
        <v>0.0031</v>
      </c>
    </row>
    <row r="4447">
      <c r="A4447" s="131">
        <f>IFERROR(__xludf.DUMMYFUNCTION("""COMPUTED_VALUE"""),46187.48086805556)</f>
        <v>46187.48087</v>
      </c>
      <c r="B4447" s="126">
        <f>IFERROR(__xludf.DUMMYFUNCTION("""COMPUTED_VALUE"""),46187.0)</f>
        <v>46187</v>
      </c>
      <c r="C4447" s="122" t="str">
        <f>IFERROR(__xludf.DUMMYFUNCTION("""COMPUTED_VALUE"""),"MOVI")</f>
        <v>MOVI</v>
      </c>
      <c r="D4447" s="122" t="str">
        <f>IFERROR(__xludf.DUMMYFUNCTION("""COMPUTED_VALUE"""),"MovieBox")</f>
        <v>MovieBox</v>
      </c>
      <c r="E4447" s="122">
        <f>IFERROR(__xludf.DUMMYFUNCTION("""COMPUTED_VALUE"""),81.61)</f>
        <v>81.61</v>
      </c>
      <c r="F4447" s="122">
        <f>IFERROR(__xludf.DUMMYFUNCTION("""COMPUTED_VALUE"""),-0.0041)</f>
        <v>-0.0041</v>
      </c>
    </row>
    <row r="4448">
      <c r="A4448" s="131">
        <f>IFERROR(__xludf.DUMMYFUNCTION("""COMPUTED_VALUE"""),46187.48086805556)</f>
        <v>46187.48087</v>
      </c>
      <c r="B4448" s="126">
        <f>IFERROR(__xludf.DUMMYFUNCTION("""COMPUTED_VALUE"""),46187.0)</f>
        <v>46187</v>
      </c>
      <c r="C4448" s="122" t="str">
        <f>IFERROR(__xludf.DUMMYFUNCTION("""COMPUTED_VALUE"""),"MUSC")</f>
        <v>MUSC</v>
      </c>
      <c r="D4448" s="122" t="str">
        <f>IFERROR(__xludf.DUMMYFUNCTION("""COMPUTED_VALUE"""),"MusicWave")</f>
        <v>MusicWave</v>
      </c>
      <c r="E4448" s="122">
        <f>IFERROR(__xludf.DUMMYFUNCTION("""COMPUTED_VALUE"""),97.29)</f>
        <v>97.29</v>
      </c>
      <c r="F4448" s="122">
        <f>IFERROR(__xludf.DUMMYFUNCTION("""COMPUTED_VALUE"""),0.0021)</f>
        <v>0.0021</v>
      </c>
    </row>
    <row r="4449">
      <c r="A4449" s="131">
        <f>IFERROR(__xludf.DUMMYFUNCTION("""COMPUTED_VALUE"""),46187.48086805556)</f>
        <v>46187.48087</v>
      </c>
      <c r="B4449" s="126">
        <f>IFERROR(__xludf.DUMMYFUNCTION("""COMPUTED_VALUE"""),46187.0)</f>
        <v>46187</v>
      </c>
      <c r="C4449" s="122" t="str">
        <f>IFERROR(__xludf.DUMMYFUNCTION("""COMPUTED_VALUE"""),"IDOL")</f>
        <v>IDOL</v>
      </c>
      <c r="D4449" s="122" t="str">
        <f>IFERROR(__xludf.DUMMYFUNCTION("""COMPUTED_VALUE"""),"Idol Agency")</f>
        <v>Idol Agency</v>
      </c>
      <c r="E4449" s="122">
        <f>IFERROR(__xludf.DUMMYFUNCTION("""COMPUTED_VALUE"""),198.17)</f>
        <v>198.17</v>
      </c>
      <c r="F4449" s="122">
        <f>IFERROR(__xludf.DUMMYFUNCTION("""COMPUTED_VALUE"""),0.0012)</f>
        <v>0.0012</v>
      </c>
    </row>
    <row r="4450">
      <c r="A4450" s="131">
        <f>IFERROR(__xludf.DUMMYFUNCTION("""COMPUTED_VALUE"""),46187.48086805556)</f>
        <v>46187.48087</v>
      </c>
      <c r="B4450" s="126">
        <f>IFERROR(__xludf.DUMMYFUNCTION("""COMPUTED_VALUE"""),46187.0)</f>
        <v>46187</v>
      </c>
      <c r="C4450" s="122" t="str">
        <f>IFERROR(__xludf.DUMMYFUNCTION("""COMPUTED_VALUE"""),"MEME")</f>
        <v>MEME</v>
      </c>
      <c r="D4450" s="122" t="str">
        <f>IFERROR(__xludf.DUMMYFUNCTION("""COMPUTED_VALUE"""),"Meme Media")</f>
        <v>Meme Media</v>
      </c>
      <c r="E4450" s="122">
        <f>IFERROR(__xludf.DUMMYFUNCTION("""COMPUTED_VALUE"""),74.25)</f>
        <v>74.25</v>
      </c>
      <c r="F4450" s="122">
        <f>IFERROR(__xludf.DUMMYFUNCTION("""COMPUTED_VALUE"""),0.0062)</f>
        <v>0.0062</v>
      </c>
    </row>
    <row r="4451">
      <c r="A4451" s="131">
        <f>IFERROR(__xludf.DUMMYFUNCTION("""COMPUTED_VALUE"""),46187.48086805556)</f>
        <v>46187.48087</v>
      </c>
      <c r="B4451" s="126">
        <f>IFERROR(__xludf.DUMMYFUNCTION("""COMPUTED_VALUE"""),46187.0)</f>
        <v>46187</v>
      </c>
      <c r="C4451" s="122" t="str">
        <f>IFERROR(__xludf.DUMMYFUNCTION("""COMPUTED_VALUE"""),"STRM")</f>
        <v>STRM</v>
      </c>
      <c r="D4451" s="122" t="str">
        <f>IFERROR(__xludf.DUMMYFUNCTION("""COMPUTED_VALUE"""),"Streamly")</f>
        <v>Streamly</v>
      </c>
      <c r="E4451" s="122">
        <f>IFERROR(__xludf.DUMMYFUNCTION("""COMPUTED_VALUE"""),137.25)</f>
        <v>137.25</v>
      </c>
      <c r="F4451" s="122">
        <f>IFERROR(__xludf.DUMMYFUNCTION("""COMPUTED_VALUE"""),0.0012)</f>
        <v>0.0012</v>
      </c>
    </row>
    <row r="4452">
      <c r="A4452" s="131">
        <f>IFERROR(__xludf.DUMMYFUNCTION("""COMPUTED_VALUE"""),46187.48086805556)</f>
        <v>46187.48087</v>
      </c>
      <c r="B4452" s="126">
        <f>IFERROR(__xludf.DUMMYFUNCTION("""COMPUTED_VALUE"""),46187.0)</f>
        <v>46187</v>
      </c>
      <c r="C4452" s="122" t="str">
        <f>IFERROR(__xludf.DUMMYFUNCTION("""COMPUTED_VALUE"""),"FARM")</f>
        <v>FARM</v>
      </c>
      <c r="D4452" s="122" t="str">
        <f>IFERROR(__xludf.DUMMYFUNCTION("""COMPUTED_VALUE"""),"Future Farms")</f>
        <v>Future Farms</v>
      </c>
      <c r="E4452" s="122">
        <f>IFERROR(__xludf.DUMMYFUNCTION("""COMPUTED_VALUE"""),88.31)</f>
        <v>88.31</v>
      </c>
      <c r="F4452" s="122">
        <f>IFERROR(__xludf.DUMMYFUNCTION("""COMPUTED_VALUE"""),0.0064)</f>
        <v>0.0064</v>
      </c>
    </row>
    <row r="4453">
      <c r="A4453" s="131">
        <f>IFERROR(__xludf.DUMMYFUNCTION("""COMPUTED_VALUE"""),46187.48086805556)</f>
        <v>46187.48087</v>
      </c>
      <c r="B4453" s="126">
        <f>IFERROR(__xludf.DUMMYFUNCTION("""COMPUTED_VALUE"""),46187.0)</f>
        <v>46187</v>
      </c>
      <c r="C4453" s="122" t="str">
        <f>IFERROR(__xludf.DUMMYFUNCTION("""COMPUTED_VALUE"""),"MEAT")</f>
        <v>MEAT</v>
      </c>
      <c r="D4453" s="122" t="str">
        <f>IFERROR(__xludf.DUMMYFUNCTION("""COMPUTED_VALUE"""),"MeatWorks")</f>
        <v>MeatWorks</v>
      </c>
      <c r="E4453" s="122">
        <f>IFERROR(__xludf.DUMMYFUNCTION("""COMPUTED_VALUE"""),104.73)</f>
        <v>104.73</v>
      </c>
      <c r="F4453" s="122">
        <f>IFERROR(__xludf.DUMMYFUNCTION("""COMPUTED_VALUE"""),0.0046)</f>
        <v>0.0046</v>
      </c>
    </row>
    <row r="4454">
      <c r="A4454" s="131">
        <f>IFERROR(__xludf.DUMMYFUNCTION("""COMPUTED_VALUE"""),46187.48086805556)</f>
        <v>46187.48087</v>
      </c>
      <c r="B4454" s="126">
        <f>IFERROR(__xludf.DUMMYFUNCTION("""COMPUTED_VALUE"""),46187.0)</f>
        <v>46187</v>
      </c>
      <c r="C4454" s="122" t="str">
        <f>IFERROR(__xludf.DUMMYFUNCTION("""COMPUTED_VALUE"""),"VEGI")</f>
        <v>VEGI</v>
      </c>
      <c r="D4454" s="122" t="str">
        <f>IFERROR(__xludf.DUMMYFUNCTION("""COMPUTED_VALUE"""),"Green Basket")</f>
        <v>Green Basket</v>
      </c>
      <c r="E4454" s="122">
        <f>IFERROR(__xludf.DUMMYFUNCTION("""COMPUTED_VALUE"""),80.51)</f>
        <v>80.51</v>
      </c>
      <c r="F4454" s="122">
        <f>IFERROR(__xludf.DUMMYFUNCTION("""COMPUTED_VALUE"""),-0.0037)</f>
        <v>-0.0037</v>
      </c>
    </row>
    <row r="4455">
      <c r="A4455" s="131">
        <f>IFERROR(__xludf.DUMMYFUNCTION("""COMPUTED_VALUE"""),46187.48086805556)</f>
        <v>46187.48087</v>
      </c>
      <c r="B4455" s="126">
        <f>IFERROR(__xludf.DUMMYFUNCTION("""COMPUTED_VALUE"""),46187.0)</f>
        <v>46187</v>
      </c>
      <c r="C4455" s="122" t="str">
        <f>IFERROR(__xludf.DUMMYFUNCTION("""COMPUTED_VALUE"""),"CAFE")</f>
        <v>CAFE</v>
      </c>
      <c r="D4455" s="122" t="str">
        <f>IFERROR(__xludf.DUMMYFUNCTION("""COMPUTED_VALUE"""),"Cafe Cloud")</f>
        <v>Cafe Cloud</v>
      </c>
      <c r="E4455" s="122">
        <f>IFERROR(__xludf.DUMMYFUNCTION("""COMPUTED_VALUE"""),101.92)</f>
        <v>101.92</v>
      </c>
      <c r="F4455" s="122">
        <f>IFERROR(__xludf.DUMMYFUNCTION("""COMPUTED_VALUE"""),-0.0094)</f>
        <v>-0.0094</v>
      </c>
    </row>
    <row r="4456">
      <c r="A4456" s="131">
        <f>IFERROR(__xludf.DUMMYFUNCTION("""COMPUTED_VALUE"""),46187.48086805556)</f>
        <v>46187.48087</v>
      </c>
      <c r="B4456" s="126">
        <f>IFERROR(__xludf.DUMMYFUNCTION("""COMPUTED_VALUE"""),46187.0)</f>
        <v>46187</v>
      </c>
      <c r="C4456" s="122" t="str">
        <f>IFERROR(__xludf.DUMMYFUNCTION("""COMPUTED_VALUE"""),"BAKE")</f>
        <v>BAKE</v>
      </c>
      <c r="D4456" s="122" t="str">
        <f>IFERROR(__xludf.DUMMYFUNCTION("""COMPUTED_VALUE"""),"BakeHouse")</f>
        <v>BakeHouse</v>
      </c>
      <c r="E4456" s="122">
        <f>IFERROR(__xludf.DUMMYFUNCTION("""COMPUTED_VALUE"""),100.8)</f>
        <v>100.8</v>
      </c>
      <c r="F4456" s="122">
        <f>IFERROR(__xludf.DUMMYFUNCTION("""COMPUTED_VALUE"""),-0.0015)</f>
        <v>-0.0015</v>
      </c>
    </row>
    <row r="4457">
      <c r="A4457" s="131">
        <f>IFERROR(__xludf.DUMMYFUNCTION("""COMPUTED_VALUE"""),46187.48086805556)</f>
        <v>46187.48087</v>
      </c>
      <c r="B4457" s="126">
        <f>IFERROR(__xludf.DUMMYFUNCTION("""COMPUTED_VALUE"""),46187.0)</f>
        <v>46187</v>
      </c>
      <c r="C4457" s="122" t="str">
        <f>IFERROR(__xludf.DUMMYFUNCTION("""COMPUTED_VALUE"""),"OILX")</f>
        <v>OILX</v>
      </c>
      <c r="D4457" s="122" t="str">
        <f>IFERROR(__xludf.DUMMYFUNCTION("""COMPUTED_VALUE"""),"OilMax Energy")</f>
        <v>OilMax Energy</v>
      </c>
      <c r="E4457" s="122">
        <f>IFERROR(__xludf.DUMMYFUNCTION("""COMPUTED_VALUE"""),130.67)</f>
        <v>130.67</v>
      </c>
      <c r="F4457" s="122">
        <f>IFERROR(__xludf.DUMMYFUNCTION("""COMPUTED_VALUE"""),-0.01)</f>
        <v>-0.01</v>
      </c>
    </row>
    <row r="4458">
      <c r="A4458" s="131">
        <f>IFERROR(__xludf.DUMMYFUNCTION("""COMPUTED_VALUE"""),46187.48086805556)</f>
        <v>46187.48087</v>
      </c>
      <c r="B4458" s="126">
        <f>IFERROR(__xludf.DUMMYFUNCTION("""COMPUTED_VALUE"""),46187.0)</f>
        <v>46187</v>
      </c>
      <c r="C4458" s="122" t="str">
        <f>IFERROR(__xludf.DUMMYFUNCTION("""COMPUTED_VALUE"""),"SOLR")</f>
        <v>SOLR</v>
      </c>
      <c r="D4458" s="122" t="str">
        <f>IFERROR(__xludf.DUMMYFUNCTION("""COMPUTED_VALUE"""),"SolarSpark")</f>
        <v>SolarSpark</v>
      </c>
      <c r="E4458" s="122">
        <f>IFERROR(__xludf.DUMMYFUNCTION("""COMPUTED_VALUE"""),95.38)</f>
        <v>95.38</v>
      </c>
      <c r="F4458" s="122">
        <f>IFERROR(__xludf.DUMMYFUNCTION("""COMPUTED_VALUE"""),0.0055)</f>
        <v>0.0055</v>
      </c>
    </row>
    <row r="4459">
      <c r="A4459" s="131">
        <f>IFERROR(__xludf.DUMMYFUNCTION("""COMPUTED_VALUE"""),46187.48086805556)</f>
        <v>46187.48087</v>
      </c>
      <c r="B4459" s="126">
        <f>IFERROR(__xludf.DUMMYFUNCTION("""COMPUTED_VALUE"""),46187.0)</f>
        <v>46187</v>
      </c>
      <c r="C4459" s="122" t="str">
        <f>IFERROR(__xludf.DUMMYFUNCTION("""COMPUTED_VALUE"""),"BATT")</f>
        <v>BATT</v>
      </c>
      <c r="D4459" s="122" t="str">
        <f>IFERROR(__xludf.DUMMYFUNCTION("""COMPUTED_VALUE"""),"BatteryBox")</f>
        <v>BatteryBox</v>
      </c>
      <c r="E4459" s="122">
        <f>IFERROR(__xludf.DUMMYFUNCTION("""COMPUTED_VALUE"""),121.59)</f>
        <v>121.59</v>
      </c>
      <c r="F4459" s="122">
        <f>IFERROR(__xludf.DUMMYFUNCTION("""COMPUTED_VALUE"""),-0.0092)</f>
        <v>-0.0092</v>
      </c>
    </row>
    <row r="4460">
      <c r="A4460" s="131">
        <f>IFERROR(__xludf.DUMMYFUNCTION("""COMPUTED_VALUE"""),46187.48086805556)</f>
        <v>46187.48087</v>
      </c>
      <c r="B4460" s="126">
        <f>IFERROR(__xludf.DUMMYFUNCTION("""COMPUTED_VALUE"""),46187.0)</f>
        <v>46187</v>
      </c>
      <c r="C4460" s="122" t="str">
        <f>IFERROR(__xludf.DUMMYFUNCTION("""COMPUTED_VALUE"""),"WIND")</f>
        <v>WIND</v>
      </c>
      <c r="D4460" s="122" t="str">
        <f>IFERROR(__xludf.DUMMYFUNCTION("""COMPUTED_VALUE"""),"WindWorks")</f>
        <v>WindWorks</v>
      </c>
      <c r="E4460" s="122">
        <f>IFERROR(__xludf.DUMMYFUNCTION("""COMPUTED_VALUE"""),87.29)</f>
        <v>87.29</v>
      </c>
      <c r="F4460" s="122">
        <f>IFERROR(__xludf.DUMMYFUNCTION("""COMPUTED_VALUE"""),-0.0041)</f>
        <v>-0.0041</v>
      </c>
    </row>
    <row r="4461">
      <c r="A4461" s="131">
        <f>IFERROR(__xludf.DUMMYFUNCTION("""COMPUTED_VALUE"""),46187.48086805556)</f>
        <v>46187.48087</v>
      </c>
      <c r="B4461" s="126">
        <f>IFERROR(__xludf.DUMMYFUNCTION("""COMPUTED_VALUE"""),46187.0)</f>
        <v>46187</v>
      </c>
      <c r="C4461" s="122" t="str">
        <f>IFERROR(__xludf.DUMMYFUNCTION("""COMPUTED_VALUE"""),"GRID")</f>
        <v>GRID</v>
      </c>
      <c r="D4461" s="122" t="str">
        <f>IFERROR(__xludf.DUMMYFUNCTION("""COMPUTED_VALUE"""),"GridPower")</f>
        <v>GridPower</v>
      </c>
      <c r="E4461" s="122">
        <f>IFERROR(__xludf.DUMMYFUNCTION("""COMPUTED_VALUE"""),139.3)</f>
        <v>139.3</v>
      </c>
      <c r="F4461" s="122">
        <f>IFERROR(__xludf.DUMMYFUNCTION("""COMPUTED_VALUE"""),-0.0053)</f>
        <v>-0.0053</v>
      </c>
    </row>
    <row r="4462">
      <c r="A4462" s="131">
        <f>IFERROR(__xludf.DUMMYFUNCTION("""COMPUTED_VALUE"""),46187.48086805556)</f>
        <v>46187.48087</v>
      </c>
      <c r="B4462" s="126">
        <f>IFERROR(__xludf.DUMMYFUNCTION("""COMPUTED_VALUE"""),46187.0)</f>
        <v>46187</v>
      </c>
      <c r="C4462" s="122" t="str">
        <f>IFERROR(__xludf.DUMMYFUNCTION("""COMPUTED_VALUE"""),"HOME")</f>
        <v>HOME</v>
      </c>
      <c r="D4462" s="122" t="str">
        <f>IFERROR(__xludf.DUMMYFUNCTION("""COMPUTED_VALUE"""),"HomeHub")</f>
        <v>HomeHub</v>
      </c>
      <c r="E4462" s="122">
        <f>IFERROR(__xludf.DUMMYFUNCTION("""COMPUTED_VALUE"""),152.35)</f>
        <v>152.35</v>
      </c>
      <c r="F4462" s="122">
        <f>IFERROR(__xludf.DUMMYFUNCTION("""COMPUTED_VALUE"""),-9.0E-4)</f>
        <v>-0.0009</v>
      </c>
    </row>
    <row r="4463">
      <c r="A4463" s="131">
        <f>IFERROR(__xludf.DUMMYFUNCTION("""COMPUTED_VALUE"""),46187.48086805556)</f>
        <v>46187.48087</v>
      </c>
      <c r="B4463" s="126">
        <f>IFERROR(__xludf.DUMMYFUNCTION("""COMPUTED_VALUE"""),46187.0)</f>
        <v>46187</v>
      </c>
      <c r="C4463" s="122" t="str">
        <f>IFERROR(__xludf.DUMMYFUNCTION("""COMPUTED_VALUE"""),"RENT")</f>
        <v>RENT</v>
      </c>
      <c r="D4463" s="122" t="str">
        <f>IFERROR(__xludf.DUMMYFUNCTION("""COMPUTED_VALUE"""),"RentRight")</f>
        <v>RentRight</v>
      </c>
      <c r="E4463" s="122">
        <f>IFERROR(__xludf.DUMMYFUNCTION("""COMPUTED_VALUE"""),92.21)</f>
        <v>92.21</v>
      </c>
      <c r="F4463" s="122">
        <f>IFERROR(__xludf.DUMMYFUNCTION("""COMPUTED_VALUE"""),0.006)</f>
        <v>0.006</v>
      </c>
    </row>
    <row r="4464">
      <c r="A4464" s="131">
        <f>IFERROR(__xludf.DUMMYFUNCTION("""COMPUTED_VALUE"""),46187.48086805556)</f>
        <v>46187.48087</v>
      </c>
      <c r="B4464" s="126">
        <f>IFERROR(__xludf.DUMMYFUNCTION("""COMPUTED_VALUE"""),46187.0)</f>
        <v>46187</v>
      </c>
      <c r="C4464" s="122" t="str">
        <f>IFERROR(__xludf.DUMMYFUNCTION("""COMPUTED_VALUE"""),"MALL")</f>
        <v>MALL</v>
      </c>
      <c r="D4464" s="122" t="str">
        <f>IFERROR(__xludf.DUMMYFUNCTION("""COMPUTED_VALUE"""),"MegaMall")</f>
        <v>MegaMall</v>
      </c>
      <c r="E4464" s="122">
        <f>IFERROR(__xludf.DUMMYFUNCTION("""COMPUTED_VALUE"""),101.86)</f>
        <v>101.86</v>
      </c>
      <c r="F4464" s="122">
        <f>IFERROR(__xludf.DUMMYFUNCTION("""COMPUTED_VALUE"""),-0.0034)</f>
        <v>-0.0034</v>
      </c>
    </row>
    <row r="4465">
      <c r="A4465" s="131">
        <f>IFERROR(__xludf.DUMMYFUNCTION("""COMPUTED_VALUE"""),46187.48086805556)</f>
        <v>46187.48087</v>
      </c>
      <c r="B4465" s="126">
        <f>IFERROR(__xludf.DUMMYFUNCTION("""COMPUTED_VALUE"""),46187.0)</f>
        <v>46187</v>
      </c>
      <c r="C4465" s="122" t="str">
        <f>IFERROR(__xludf.DUMMYFUNCTION("""COMPUTED_VALUE"""),"HOTL")</f>
        <v>HOTL</v>
      </c>
      <c r="D4465" s="122" t="str">
        <f>IFERROR(__xludf.DUMMYFUNCTION("""COMPUTED_VALUE"""),"HotelHive")</f>
        <v>HotelHive</v>
      </c>
      <c r="E4465" s="122">
        <f>IFERROR(__xludf.DUMMYFUNCTION("""COMPUTED_VALUE"""),128.98)</f>
        <v>128.98</v>
      </c>
      <c r="F4465" s="122">
        <f>IFERROR(__xludf.DUMMYFUNCTION("""COMPUTED_VALUE"""),-0.0046)</f>
        <v>-0.0046</v>
      </c>
    </row>
    <row r="4466">
      <c r="A4466" s="131">
        <f>IFERROR(__xludf.DUMMYFUNCTION("""COMPUTED_VALUE"""),46187.48086805556)</f>
        <v>46187.48087</v>
      </c>
      <c r="B4466" s="126">
        <f>IFERROR(__xludf.DUMMYFUNCTION("""COMPUTED_VALUE"""),46187.0)</f>
        <v>46187</v>
      </c>
      <c r="C4466" s="122" t="str">
        <f>IFERROR(__xludf.DUMMYFUNCTION("""COMPUTED_VALUE"""),"LAND")</f>
        <v>LAND</v>
      </c>
      <c r="D4466" s="122" t="str">
        <f>IFERROR(__xludf.DUMMYFUNCTION("""COMPUTED_VALUE"""),"LandLink")</f>
        <v>LandLink</v>
      </c>
      <c r="E4466" s="122">
        <f>IFERROR(__xludf.DUMMYFUNCTION("""COMPUTED_VALUE"""),183.81)</f>
        <v>183.81</v>
      </c>
      <c r="F4466" s="122">
        <f>IFERROR(__xludf.DUMMYFUNCTION("""COMPUTED_VALUE"""),-0.002)</f>
        <v>-0.002</v>
      </c>
    </row>
    <row r="4467">
      <c r="A4467" s="131">
        <f>IFERROR(__xludf.DUMMYFUNCTION("""COMPUTED_VALUE"""),46187.48086805556)</f>
        <v>46187.48087</v>
      </c>
      <c r="B4467" s="126">
        <f>IFERROR(__xludf.DUMMYFUNCTION("""COMPUTED_VALUE"""),46187.0)</f>
        <v>46187</v>
      </c>
      <c r="C4467" s="122" t="str">
        <f>IFERROR(__xludf.DUMMYFUNCTION("""COMPUTED_VALUE"""),"CARS")</f>
        <v>CARS</v>
      </c>
      <c r="D4467" s="122" t="str">
        <f>IFERROR(__xludf.DUMMYFUNCTION("""COMPUTED_VALUE"""),"AutoArena")</f>
        <v>AutoArena</v>
      </c>
      <c r="E4467" s="122">
        <f>IFERROR(__xludf.DUMMYFUNCTION("""COMPUTED_VALUE"""),81.27)</f>
        <v>81.27</v>
      </c>
      <c r="F4467" s="122">
        <f>IFERROR(__xludf.DUMMYFUNCTION("""COMPUTED_VALUE"""),0.0014)</f>
        <v>0.0014</v>
      </c>
    </row>
    <row r="4468">
      <c r="A4468" s="131">
        <f>IFERROR(__xludf.DUMMYFUNCTION("""COMPUTED_VALUE"""),46187.48086805556)</f>
        <v>46187.48087</v>
      </c>
      <c r="B4468" s="126">
        <f>IFERROR(__xludf.DUMMYFUNCTION("""COMPUTED_VALUE"""),46187.0)</f>
        <v>46187</v>
      </c>
      <c r="C4468" s="122" t="str">
        <f>IFERROR(__xludf.DUMMYFUNCTION("""COMPUTED_VALUE"""),"EVGO")</f>
        <v>EVGO</v>
      </c>
      <c r="D4468" s="122" t="str">
        <f>IFERROR(__xludf.DUMMYFUNCTION("""COMPUTED_VALUE"""),"EVGo Motors")</f>
        <v>EVGo Motors</v>
      </c>
      <c r="E4468" s="122">
        <f>IFERROR(__xludf.DUMMYFUNCTION("""COMPUTED_VALUE"""),191.18)</f>
        <v>191.18</v>
      </c>
      <c r="F4468" s="122">
        <f>IFERROR(__xludf.DUMMYFUNCTION("""COMPUTED_VALUE"""),0.0104)</f>
        <v>0.0104</v>
      </c>
    </row>
    <row r="4469">
      <c r="A4469" s="131">
        <f>IFERROR(__xludf.DUMMYFUNCTION("""COMPUTED_VALUE"""),46187.48086805556)</f>
        <v>46187.48087</v>
      </c>
      <c r="B4469" s="126">
        <f>IFERROR(__xludf.DUMMYFUNCTION("""COMPUTED_VALUE"""),46187.0)</f>
        <v>46187</v>
      </c>
      <c r="C4469" s="122" t="str">
        <f>IFERROR(__xludf.DUMMYFUNCTION("""COMPUTED_VALUE"""),"TIRE")</f>
        <v>TIRE</v>
      </c>
      <c r="D4469" s="122" t="str">
        <f>IFERROR(__xludf.DUMMYFUNCTION("""COMPUTED_VALUE"""),"TireTown")</f>
        <v>TireTown</v>
      </c>
      <c r="E4469" s="122">
        <f>IFERROR(__xludf.DUMMYFUNCTION("""COMPUTED_VALUE"""),94.96)</f>
        <v>94.96</v>
      </c>
      <c r="F4469" s="122">
        <f>IFERROR(__xludf.DUMMYFUNCTION("""COMPUTED_VALUE"""),-9.0E-4)</f>
        <v>-0.0009</v>
      </c>
    </row>
    <row r="4470">
      <c r="A4470" s="131">
        <f>IFERROR(__xludf.DUMMYFUNCTION("""COMPUTED_VALUE"""),46187.48086805556)</f>
        <v>46187.48087</v>
      </c>
      <c r="B4470" s="126">
        <f>IFERROR(__xludf.DUMMYFUNCTION("""COMPUTED_VALUE"""),46187.0)</f>
        <v>46187</v>
      </c>
      <c r="C4470" s="122" t="str">
        <f>IFERROR(__xludf.DUMMYFUNCTION("""COMPUTED_VALUE"""),"BIKE")</f>
        <v>BIKE</v>
      </c>
      <c r="D4470" s="122" t="str">
        <f>IFERROR(__xludf.DUMMYFUNCTION("""COMPUTED_VALUE"""),"BikeBox")</f>
        <v>BikeBox</v>
      </c>
      <c r="E4470" s="122">
        <f>IFERROR(__xludf.DUMMYFUNCTION("""COMPUTED_VALUE"""),52.75)</f>
        <v>52.75</v>
      </c>
      <c r="F4470" s="122">
        <f>IFERROR(__xludf.DUMMYFUNCTION("""COMPUTED_VALUE"""),-0.0028)</f>
        <v>-0.0028</v>
      </c>
    </row>
    <row r="4471">
      <c r="A4471" s="131">
        <f>IFERROR(__xludf.DUMMYFUNCTION("""COMPUTED_VALUE"""),46187.48086805556)</f>
        <v>46187.48087</v>
      </c>
      <c r="B4471" s="126">
        <f>IFERROR(__xludf.DUMMYFUNCTION("""COMPUTED_VALUE"""),46187.0)</f>
        <v>46187</v>
      </c>
      <c r="C4471" s="122" t="str">
        <f>IFERROR(__xludf.DUMMYFUNCTION("""COMPUTED_VALUE"""),"WASH")</f>
        <v>WASH</v>
      </c>
      <c r="D4471" s="122" t="str">
        <f>IFERROR(__xludf.DUMMYFUNCTION("""COMPUTED_VALUE"""),"CarWash Co")</f>
        <v>CarWash Co</v>
      </c>
      <c r="E4471" s="122">
        <f>IFERROR(__xludf.DUMMYFUNCTION("""COMPUTED_VALUE"""),119.41)</f>
        <v>119.41</v>
      </c>
      <c r="F4471" s="122">
        <f>IFERROR(__xludf.DUMMYFUNCTION("""COMPUTED_VALUE"""),-0.0035)</f>
        <v>-0.0035</v>
      </c>
    </row>
    <row r="4472">
      <c r="A4472" s="131">
        <f>IFERROR(__xludf.DUMMYFUNCTION("""COMPUTED_VALUE"""),46187.48086805556)</f>
        <v>46187.48087</v>
      </c>
      <c r="B4472" s="126">
        <f>IFERROR(__xludf.DUMMYFUNCTION("""COMPUTED_VALUE"""),46187.0)</f>
        <v>46187</v>
      </c>
      <c r="C4472" s="122" t="str">
        <f>IFERROR(__xludf.DUMMYFUNCTION("""COMPUTED_VALUE"""),"GBND")</f>
        <v>GBND</v>
      </c>
      <c r="D4472" s="122" t="str">
        <f>IFERROR(__xludf.DUMMYFUNCTION("""COMPUTED_VALUE"""),"Classroom Government Bond")</f>
        <v>Classroom Government Bond</v>
      </c>
      <c r="E4472" s="122">
        <f>IFERROR(__xludf.DUMMYFUNCTION("""COMPUTED_VALUE"""),100.97)</f>
        <v>100.97</v>
      </c>
      <c r="F4472" s="122">
        <f>IFERROR(__xludf.DUMMYFUNCTION("""COMPUTED_VALUE"""),1.0E-4)</f>
        <v>0.0001</v>
      </c>
    </row>
    <row r="4473">
      <c r="A4473" s="131">
        <f>IFERROR(__xludf.DUMMYFUNCTION("""COMPUTED_VALUE"""),46187.48086805556)</f>
        <v>46187.48087</v>
      </c>
      <c r="B4473" s="126">
        <f>IFERROR(__xludf.DUMMYFUNCTION("""COMPUTED_VALUE"""),46187.0)</f>
        <v>46187</v>
      </c>
      <c r="C4473" s="122" t="str">
        <f>IFERROR(__xludf.DUMMYFUNCTION("""COMPUTED_VALUE"""),"SBND")</f>
        <v>SBND</v>
      </c>
      <c r="D4473" s="122" t="str">
        <f>IFERROR(__xludf.DUMMYFUNCTION("""COMPUTED_VALUE"""),"School Savings Bond")</f>
        <v>School Savings Bond</v>
      </c>
      <c r="E4473" s="122">
        <f>IFERROR(__xludf.DUMMYFUNCTION("""COMPUTED_VALUE"""),99.55)</f>
        <v>99.55</v>
      </c>
      <c r="F4473" s="122">
        <f>IFERROR(__xludf.DUMMYFUNCTION("""COMPUTED_VALUE"""),-3.0E-4)</f>
        <v>-0.0003</v>
      </c>
    </row>
    <row r="4474">
      <c r="A4474" s="131">
        <f>IFERROR(__xludf.DUMMYFUNCTION("""COMPUTED_VALUE"""),46187.48086805556)</f>
        <v>46187.48087</v>
      </c>
      <c r="B4474" s="126">
        <f>IFERROR(__xludf.DUMMYFUNCTION("""COMPUTED_VALUE"""),46187.0)</f>
        <v>46187</v>
      </c>
      <c r="C4474" s="122" t="str">
        <f>IFERROR(__xludf.DUMMYFUNCTION("""COMPUTED_VALUE"""),"CBND")</f>
        <v>CBND</v>
      </c>
      <c r="D4474" s="122" t="str">
        <f>IFERROR(__xludf.DUMMYFUNCTION("""COMPUTED_VALUE"""),"Corporate Classroom Bond")</f>
        <v>Corporate Classroom Bond</v>
      </c>
      <c r="E4474" s="122">
        <f>IFERROR(__xludf.DUMMYFUNCTION("""COMPUTED_VALUE"""),97.88)</f>
        <v>97.88</v>
      </c>
      <c r="F4474" s="122">
        <f>IFERROR(__xludf.DUMMYFUNCTION("""COMPUTED_VALUE"""),3.0E-4)</f>
        <v>0.0003</v>
      </c>
    </row>
    <row r="4475">
      <c r="A4475" s="131">
        <f>IFERROR(__xludf.DUMMYFUNCTION("""COMPUTED_VALUE"""),46187.48086805556)</f>
        <v>46187.48087</v>
      </c>
      <c r="B4475" s="126">
        <f>IFERROR(__xludf.DUMMYFUNCTION("""COMPUTED_VALUE"""),46187.0)</f>
        <v>46187</v>
      </c>
      <c r="C4475" s="122" t="str">
        <f>IFERROR(__xludf.DUMMYFUNCTION("""COMPUTED_VALUE"""),"TBIL")</f>
        <v>TBIL</v>
      </c>
      <c r="D4475" s="122" t="str">
        <f>IFERROR(__xludf.DUMMYFUNCTION("""COMPUTED_VALUE"""),"Treasury Bill")</f>
        <v>Treasury Bill</v>
      </c>
      <c r="E4475" s="122">
        <f>IFERROR(__xludf.DUMMYFUNCTION("""COMPUTED_VALUE"""),98.15)</f>
        <v>98.15</v>
      </c>
      <c r="F4475" s="122">
        <f>IFERROR(__xludf.DUMMYFUNCTION("""COMPUTED_VALUE"""),2.0E-4)</f>
        <v>0.0002</v>
      </c>
    </row>
    <row r="4476">
      <c r="A4476" s="131">
        <f>IFERROR(__xludf.DUMMYFUNCTION("""COMPUTED_VALUE"""),46187.48086805556)</f>
        <v>46187.48087</v>
      </c>
      <c r="B4476" s="126">
        <f>IFERROR(__xludf.DUMMYFUNCTION("""COMPUTED_VALUE"""),46187.0)</f>
        <v>46187</v>
      </c>
      <c r="C4476" s="122" t="str">
        <f>IFERROR(__xludf.DUMMYFUNCTION("""COMPUTED_VALUE"""),"IBND")</f>
        <v>IBND</v>
      </c>
      <c r="D4476" s="122" t="str">
        <f>IFERROR(__xludf.DUMMYFUNCTION("""COMPUTED_VALUE"""),"Inflation Protected Bond")</f>
        <v>Inflation Protected Bond</v>
      </c>
      <c r="E4476" s="122">
        <f>IFERROR(__xludf.DUMMYFUNCTION("""COMPUTED_VALUE"""),100.66)</f>
        <v>100.66</v>
      </c>
      <c r="F4476" s="122">
        <f>IFERROR(__xludf.DUMMYFUNCTION("""COMPUTED_VALUE"""),-5.0E-4)</f>
        <v>-0.0005</v>
      </c>
    </row>
    <row r="4477">
      <c r="A4477" s="131">
        <f>IFERROR(__xludf.DUMMYFUNCTION("""COMPUTED_VALUE"""),46187.482152777775)</f>
        <v>46187.48215</v>
      </c>
      <c r="B4477" s="126">
        <f>IFERROR(__xludf.DUMMYFUNCTION("""COMPUTED_VALUE"""),46187.0)</f>
        <v>46187</v>
      </c>
      <c r="C4477" s="130">
        <f>IFERROR(__xludf.DUMMYFUNCTION("""COMPUTED_VALUE"""),0.48215277777777776)</f>
        <v>0.4821527778</v>
      </c>
      <c r="D4477" s="122" t="str">
        <f>IFERROR(__xludf.DUMMYFUNCTION("""COMPUTED_VALUE"""),"SNAX")</f>
        <v>SNAX</v>
      </c>
      <c r="E4477" s="122" t="str">
        <f>IFERROR(__xludf.DUMMYFUNCTION("""COMPUTED_VALUE"""),"MICA Snacks")</f>
        <v>MICA Snacks</v>
      </c>
      <c r="F4477" s="122" t="str">
        <f>IFERROR(__xludf.DUMMYFUNCTION("""COMPUTED_VALUE"""),"Consumer Goods")</f>
        <v>Consumer Goods</v>
      </c>
    </row>
    <row r="4478">
      <c r="A4478" s="131">
        <f>IFERROR(__xludf.DUMMYFUNCTION("""COMPUTED_VALUE"""),46187.482152777775)</f>
        <v>46187.48215</v>
      </c>
      <c r="B4478" s="126">
        <f>IFERROR(__xludf.DUMMYFUNCTION("""COMPUTED_VALUE"""),46187.0)</f>
        <v>46187</v>
      </c>
      <c r="C4478" s="130">
        <f>IFERROR(__xludf.DUMMYFUNCTION("""COMPUTED_VALUE"""),0.48215277777777776)</f>
        <v>0.4821527778</v>
      </c>
      <c r="D4478" s="122" t="str">
        <f>IFERROR(__xludf.DUMMYFUNCTION("""COMPUTED_VALUE"""),"RAMN")</f>
        <v>RAMN</v>
      </c>
      <c r="E4478" s="122" t="str">
        <f>IFERROR(__xludf.DUMMYFUNCTION("""COMPUTED_VALUE"""),"Ramen Republic")</f>
        <v>Ramen Republic</v>
      </c>
      <c r="F4478" s="122" t="str">
        <f>IFERROR(__xludf.DUMMYFUNCTION("""COMPUTED_VALUE"""),"Food")</f>
        <v>Food</v>
      </c>
    </row>
    <row r="4479">
      <c r="A4479" s="131">
        <f>IFERROR(__xludf.DUMMYFUNCTION("""COMPUTED_VALUE"""),46187.482152777775)</f>
        <v>46187.48215</v>
      </c>
      <c r="B4479" s="126">
        <f>IFERROR(__xludf.DUMMYFUNCTION("""COMPUTED_VALUE"""),46187.0)</f>
        <v>46187</v>
      </c>
      <c r="C4479" s="130">
        <f>IFERROR(__xludf.DUMMYFUNCTION("""COMPUTED_VALUE"""),0.48215277777777776)</f>
        <v>0.4821527778</v>
      </c>
      <c r="D4479" s="122" t="str">
        <f>IFERROR(__xludf.DUMMYFUNCTION("""COMPUTED_VALUE"""),"COLA")</f>
        <v>COLA</v>
      </c>
      <c r="E4479" s="122" t="str">
        <f>IFERROR(__xludf.DUMMYFUNCTION("""COMPUTED_VALUE"""),"K-Pop Cola")</f>
        <v>K-Pop Cola</v>
      </c>
      <c r="F4479" s="122" t="str">
        <f>IFERROR(__xludf.DUMMYFUNCTION("""COMPUTED_VALUE"""),"Beverage")</f>
        <v>Beverage</v>
      </c>
    </row>
    <row r="4480">
      <c r="A4480" s="131">
        <f>IFERROR(__xludf.DUMMYFUNCTION("""COMPUTED_VALUE"""),46187.482152777775)</f>
        <v>46187.48215</v>
      </c>
      <c r="B4480" s="126">
        <f>IFERROR(__xludf.DUMMYFUNCTION("""COMPUTED_VALUE"""),46187.0)</f>
        <v>46187</v>
      </c>
      <c r="C4480" s="130">
        <f>IFERROR(__xludf.DUMMYFUNCTION("""COMPUTED_VALUE"""),0.48215277777777776)</f>
        <v>0.4821527778</v>
      </c>
      <c r="D4480" s="122" t="str">
        <f>IFERROR(__xludf.DUMMYFUNCTION("""COMPUTED_VALUE"""),"CHIP")</f>
        <v>CHIP</v>
      </c>
      <c r="E4480" s="122" t="str">
        <f>IFERROR(__xludf.DUMMYFUNCTION("""COMPUTED_VALUE"""),"Chip Empire")</f>
        <v>Chip Empire</v>
      </c>
      <c r="F4480" s="122" t="str">
        <f>IFERROR(__xludf.DUMMYFUNCTION("""COMPUTED_VALUE"""),"Consumer Goods")</f>
        <v>Consumer Goods</v>
      </c>
    </row>
    <row r="4481">
      <c r="A4481" s="131">
        <f>IFERROR(__xludf.DUMMYFUNCTION("""COMPUTED_VALUE"""),46187.482152777775)</f>
        <v>46187.48215</v>
      </c>
      <c r="B4481" s="126">
        <f>IFERROR(__xludf.DUMMYFUNCTION("""COMPUTED_VALUE"""),46187.0)</f>
        <v>46187</v>
      </c>
      <c r="C4481" s="130">
        <f>IFERROR(__xludf.DUMMYFUNCTION("""COMPUTED_VALUE"""),0.48215277777777776)</f>
        <v>0.4821527778</v>
      </c>
      <c r="D4481" s="122" t="str">
        <f>IFERROR(__xludf.DUMMYFUNCTION("""COMPUTED_VALUE"""),"CAND")</f>
        <v>CAND</v>
      </c>
      <c r="E4481" s="122" t="str">
        <f>IFERROR(__xludf.DUMMYFUNCTION("""COMPUTED_VALUE"""),"Candy Capital")</f>
        <v>Candy Capital</v>
      </c>
      <c r="F4481" s="122" t="str">
        <f>IFERROR(__xludf.DUMMYFUNCTION("""COMPUTED_VALUE"""),"Consumer Goods")</f>
        <v>Consumer Goods</v>
      </c>
    </row>
    <row r="4482">
      <c r="A4482" s="131">
        <f>IFERROR(__xludf.DUMMYFUNCTION("""COMPUTED_VALUE"""),46187.482152777775)</f>
        <v>46187.48215</v>
      </c>
      <c r="B4482" s="126">
        <f>IFERROR(__xludf.DUMMYFUNCTION("""COMPUTED_VALUE"""),46187.0)</f>
        <v>46187</v>
      </c>
      <c r="C4482" s="130">
        <f>IFERROR(__xludf.DUMMYFUNCTION("""COMPUTED_VALUE"""),0.48215277777777776)</f>
        <v>0.4821527778</v>
      </c>
      <c r="D4482" s="122" t="str">
        <f>IFERROR(__xludf.DUMMYFUNCTION("""COMPUTED_VALUE"""),"TECH")</f>
        <v>TECH</v>
      </c>
      <c r="E4482" s="122" t="str">
        <f>IFERROR(__xludf.DUMMYFUNCTION("""COMPUTED_VALUE"""),"Dragon Tech")</f>
        <v>Dragon Tech</v>
      </c>
      <c r="F4482" s="122" t="str">
        <f>IFERROR(__xludf.DUMMYFUNCTION("""COMPUTED_VALUE"""),"Technology")</f>
        <v>Technology</v>
      </c>
    </row>
    <row r="4483">
      <c r="A4483" s="131">
        <f>IFERROR(__xludf.DUMMYFUNCTION("""COMPUTED_VALUE"""),46187.482152777775)</f>
        <v>46187.48215</v>
      </c>
      <c r="B4483" s="126">
        <f>IFERROR(__xludf.DUMMYFUNCTION("""COMPUTED_VALUE"""),46187.0)</f>
        <v>46187</v>
      </c>
      <c r="C4483" s="130">
        <f>IFERROR(__xludf.DUMMYFUNCTION("""COMPUTED_VALUE"""),0.48215277777777776)</f>
        <v>0.4821527778</v>
      </c>
      <c r="D4483" s="122" t="str">
        <f>IFERROR(__xludf.DUMMYFUNCTION("""COMPUTED_VALUE"""),"AIBO")</f>
        <v>AIBO</v>
      </c>
      <c r="E4483" s="122" t="str">
        <f>IFERROR(__xludf.DUMMYFUNCTION("""COMPUTED_VALUE"""),"Homework AI")</f>
        <v>Homework AI</v>
      </c>
      <c r="F4483" s="122" t="str">
        <f>IFERROR(__xludf.DUMMYFUNCTION("""COMPUTED_VALUE"""),"Technology")</f>
        <v>Technology</v>
      </c>
    </row>
    <row r="4484">
      <c r="A4484" s="131">
        <f>IFERROR(__xludf.DUMMYFUNCTION("""COMPUTED_VALUE"""),46187.482152777775)</f>
        <v>46187.48215</v>
      </c>
      <c r="B4484" s="126">
        <f>IFERROR(__xludf.DUMMYFUNCTION("""COMPUTED_VALUE"""),46187.0)</f>
        <v>46187</v>
      </c>
      <c r="C4484" s="130">
        <f>IFERROR(__xludf.DUMMYFUNCTION("""COMPUTED_VALUE"""),0.48215277777777776)</f>
        <v>0.4821527778</v>
      </c>
      <c r="D4484" s="122" t="str">
        <f>IFERROR(__xludf.DUMMYFUNCTION("""COMPUTED_VALUE"""),"GAME")</f>
        <v>GAME</v>
      </c>
      <c r="E4484" s="122" t="str">
        <f>IFERROR(__xludf.DUMMYFUNCTION("""COMPUTED_VALUE"""),"GameBox Media")</f>
        <v>GameBox Media</v>
      </c>
      <c r="F4484" s="122" t="str">
        <f>IFERROR(__xludf.DUMMYFUNCTION("""COMPUTED_VALUE"""),"Entertainment")</f>
        <v>Entertainment</v>
      </c>
    </row>
    <row r="4485">
      <c r="A4485" s="131">
        <f>IFERROR(__xludf.DUMMYFUNCTION("""COMPUTED_VALUE"""),46187.482152777775)</f>
        <v>46187.48215</v>
      </c>
      <c r="B4485" s="126">
        <f>IFERROR(__xludf.DUMMYFUNCTION("""COMPUTED_VALUE"""),46187.0)</f>
        <v>46187</v>
      </c>
      <c r="C4485" s="130">
        <f>IFERROR(__xludf.DUMMYFUNCTION("""COMPUTED_VALUE"""),0.48215277777777776)</f>
        <v>0.4821527778</v>
      </c>
      <c r="D4485" s="122" t="str">
        <f>IFERROR(__xludf.DUMMYFUNCTION("""COMPUTED_VALUE"""),"VRSE")</f>
        <v>VRSE</v>
      </c>
      <c r="E4485" s="122" t="str">
        <f>IFERROR(__xludf.DUMMYFUNCTION("""COMPUTED_VALUE"""),"VerseVR")</f>
        <v>VerseVR</v>
      </c>
      <c r="F4485" s="122" t="str">
        <f>IFERROR(__xludf.DUMMYFUNCTION("""COMPUTED_VALUE"""),"Technology")</f>
        <v>Technology</v>
      </c>
    </row>
    <row r="4486">
      <c r="A4486" s="131">
        <f>IFERROR(__xludf.DUMMYFUNCTION("""COMPUTED_VALUE"""),46187.482152777775)</f>
        <v>46187.48215</v>
      </c>
      <c r="B4486" s="126">
        <f>IFERROR(__xludf.DUMMYFUNCTION("""COMPUTED_VALUE"""),46187.0)</f>
        <v>46187</v>
      </c>
      <c r="C4486" s="130">
        <f>IFERROR(__xludf.DUMMYFUNCTION("""COMPUTED_VALUE"""),0.48215277777777776)</f>
        <v>0.4821527778</v>
      </c>
      <c r="D4486" s="122" t="str">
        <f>IFERROR(__xludf.DUMMYFUNCTION("""COMPUTED_VALUE"""),"BYTE")</f>
        <v>BYTE</v>
      </c>
      <c r="E4486" s="122" t="str">
        <f>IFERROR(__xludf.DUMMYFUNCTION("""COMPUTED_VALUE"""),"ByteWorks")</f>
        <v>ByteWorks</v>
      </c>
      <c r="F4486" s="122" t="str">
        <f>IFERROR(__xludf.DUMMYFUNCTION("""COMPUTED_VALUE"""),"Technology")</f>
        <v>Technology</v>
      </c>
    </row>
    <row r="4487">
      <c r="A4487" s="131">
        <f>IFERROR(__xludf.DUMMYFUNCTION("""COMPUTED_VALUE"""),46187.482152777775)</f>
        <v>46187.48215</v>
      </c>
      <c r="B4487" s="126">
        <f>IFERROR(__xludf.DUMMYFUNCTION("""COMPUTED_VALUE"""),46187.0)</f>
        <v>46187</v>
      </c>
      <c r="C4487" s="130">
        <f>IFERROR(__xludf.DUMMYFUNCTION("""COMPUTED_VALUE"""),0.48215277777777776)</f>
        <v>0.4821527778</v>
      </c>
      <c r="D4487" s="122" t="str">
        <f>IFERROR(__xludf.DUMMYFUNCTION("""COMPUTED_VALUE"""),"BANK")</f>
        <v>BANK</v>
      </c>
      <c r="E4487" s="122" t="str">
        <f>IFERROR(__xludf.DUMMYFUNCTION("""COMPUTED_VALUE"""),"Tiger Bank")</f>
        <v>Tiger Bank</v>
      </c>
      <c r="F4487" s="122" t="str">
        <f>IFERROR(__xludf.DUMMYFUNCTION("""COMPUTED_VALUE"""),"Finance")</f>
        <v>Finance</v>
      </c>
    </row>
    <row r="4488">
      <c r="A4488" s="131">
        <f>IFERROR(__xludf.DUMMYFUNCTION("""COMPUTED_VALUE"""),46187.482152777775)</f>
        <v>46187.48215</v>
      </c>
      <c r="B4488" s="126">
        <f>IFERROR(__xludf.DUMMYFUNCTION("""COMPUTED_VALUE"""),46187.0)</f>
        <v>46187</v>
      </c>
      <c r="C4488" s="130">
        <f>IFERROR(__xludf.DUMMYFUNCTION("""COMPUTED_VALUE"""),0.48215277777777776)</f>
        <v>0.4821527778</v>
      </c>
      <c r="D4488" s="122" t="str">
        <f>IFERROR(__xludf.DUMMYFUNCTION("""COMPUTED_VALUE"""),"CRED")</f>
        <v>CRED</v>
      </c>
      <c r="E4488" s="122" t="str">
        <f>IFERROR(__xludf.DUMMYFUNCTION("""COMPUTED_VALUE"""),"Credit Castle")</f>
        <v>Credit Castle</v>
      </c>
      <c r="F4488" s="122" t="str">
        <f>IFERROR(__xludf.DUMMYFUNCTION("""COMPUTED_VALUE"""),"Finance")</f>
        <v>Finance</v>
      </c>
    </row>
    <row r="4489">
      <c r="A4489" s="131">
        <f>IFERROR(__xludf.DUMMYFUNCTION("""COMPUTED_VALUE"""),46187.482152777775)</f>
        <v>46187.48215</v>
      </c>
      <c r="B4489" s="126">
        <f>IFERROR(__xludf.DUMMYFUNCTION("""COMPUTED_VALUE"""),46187.0)</f>
        <v>46187</v>
      </c>
      <c r="C4489" s="130">
        <f>IFERROR(__xludf.DUMMYFUNCTION("""COMPUTED_VALUE"""),0.48215277777777776)</f>
        <v>0.4821527778</v>
      </c>
      <c r="D4489" s="122" t="str">
        <f>IFERROR(__xludf.DUMMYFUNCTION("""COMPUTED_VALUE"""),"BOND")</f>
        <v>BOND</v>
      </c>
      <c r="E4489" s="122" t="str">
        <f>IFERROR(__xludf.DUMMYFUNCTION("""COMPUTED_VALUE"""),"BondBridge")</f>
        <v>BondBridge</v>
      </c>
      <c r="F4489" s="122" t="str">
        <f>IFERROR(__xludf.DUMMYFUNCTION("""COMPUTED_VALUE"""),"Finance")</f>
        <v>Finance</v>
      </c>
    </row>
    <row r="4490">
      <c r="A4490" s="131">
        <f>IFERROR(__xludf.DUMMYFUNCTION("""COMPUTED_VALUE"""),46187.482152777775)</f>
        <v>46187.48215</v>
      </c>
      <c r="B4490" s="126">
        <f>IFERROR(__xludf.DUMMYFUNCTION("""COMPUTED_VALUE"""),46187.0)</f>
        <v>46187</v>
      </c>
      <c r="C4490" s="130">
        <f>IFERROR(__xludf.DUMMYFUNCTION("""COMPUTED_VALUE"""),0.48215277777777776)</f>
        <v>0.4821527778</v>
      </c>
      <c r="D4490" s="122" t="str">
        <f>IFERROR(__xludf.DUMMYFUNCTION("""COMPUTED_VALUE"""),"INSR")</f>
        <v>INSR</v>
      </c>
      <c r="E4490" s="122" t="str">
        <f>IFERROR(__xludf.DUMMYFUNCTION("""COMPUTED_VALUE"""),"Shield Insurance")</f>
        <v>Shield Insurance</v>
      </c>
      <c r="F4490" s="122" t="str">
        <f>IFERROR(__xludf.DUMMYFUNCTION("""COMPUTED_VALUE"""),"Finance")</f>
        <v>Finance</v>
      </c>
    </row>
    <row r="4491">
      <c r="A4491" s="131">
        <f>IFERROR(__xludf.DUMMYFUNCTION("""COMPUTED_VALUE"""),46187.482152777775)</f>
        <v>46187.48215</v>
      </c>
      <c r="B4491" s="126">
        <f>IFERROR(__xludf.DUMMYFUNCTION("""COMPUTED_VALUE"""),46187.0)</f>
        <v>46187</v>
      </c>
      <c r="C4491" s="130">
        <f>IFERROR(__xludf.DUMMYFUNCTION("""COMPUTED_VALUE"""),0.48215277777777776)</f>
        <v>0.4821527778</v>
      </c>
      <c r="D4491" s="122" t="str">
        <f>IFERROR(__xludf.DUMMYFUNCTION("""COMPUTED_VALUE"""),"LOAN")</f>
        <v>LOAN</v>
      </c>
      <c r="E4491" s="122" t="str">
        <f>IFERROR(__xludf.DUMMYFUNCTION("""COMPUTED_VALUE"""),"LoanLab")</f>
        <v>LoanLab</v>
      </c>
      <c r="F4491" s="122" t="str">
        <f>IFERROR(__xludf.DUMMYFUNCTION("""COMPUTED_VALUE"""),"Finance")</f>
        <v>Finance</v>
      </c>
    </row>
    <row r="4492">
      <c r="A4492" s="131">
        <f>IFERROR(__xludf.DUMMYFUNCTION("""COMPUTED_VALUE"""),46187.482152777775)</f>
        <v>46187.48215</v>
      </c>
      <c r="B4492" s="126">
        <f>IFERROR(__xludf.DUMMYFUNCTION("""COMPUTED_VALUE"""),46187.0)</f>
        <v>46187</v>
      </c>
      <c r="C4492" s="130">
        <f>IFERROR(__xludf.DUMMYFUNCTION("""COMPUTED_VALUE"""),0.48215277777777776)</f>
        <v>0.4821527778</v>
      </c>
      <c r="D4492" s="122" t="str">
        <f>IFERROR(__xludf.DUMMYFUNCTION("""COMPUTED_VALUE"""),"LUXE")</f>
        <v>LUXE</v>
      </c>
      <c r="E4492" s="122" t="str">
        <f>IFERROR(__xludf.DUMMYFUNCTION("""COMPUTED_VALUE"""),"Luxury Locker")</f>
        <v>Luxury Locker</v>
      </c>
      <c r="F4492" s="122" t="str">
        <f>IFERROR(__xludf.DUMMYFUNCTION("""COMPUTED_VALUE"""),"Luxury Goods")</f>
        <v>Luxury Goods</v>
      </c>
    </row>
    <row r="4493">
      <c r="A4493" s="131">
        <f>IFERROR(__xludf.DUMMYFUNCTION("""COMPUTED_VALUE"""),46187.482152777775)</f>
        <v>46187.48215</v>
      </c>
      <c r="B4493" s="126">
        <f>IFERROR(__xludf.DUMMYFUNCTION("""COMPUTED_VALUE"""),46187.0)</f>
        <v>46187</v>
      </c>
      <c r="C4493" s="130">
        <f>IFERROR(__xludf.DUMMYFUNCTION("""COMPUTED_VALUE"""),0.48215277777777776)</f>
        <v>0.4821527778</v>
      </c>
      <c r="D4493" s="122" t="str">
        <f>IFERROR(__xludf.DUMMYFUNCTION("""COMPUTED_VALUE"""),"DRIP")</f>
        <v>DRIP</v>
      </c>
      <c r="E4493" s="122" t="str">
        <f>IFERROR(__xludf.DUMMYFUNCTION("""COMPUTED_VALUE"""),"Drip Streetwear")</f>
        <v>Drip Streetwear</v>
      </c>
      <c r="F4493" s="122" t="str">
        <f>IFERROR(__xludf.DUMMYFUNCTION("""COMPUTED_VALUE"""),"Fashion")</f>
        <v>Fashion</v>
      </c>
    </row>
    <row r="4494">
      <c r="A4494" s="131">
        <f>IFERROR(__xludf.DUMMYFUNCTION("""COMPUTED_VALUE"""),46187.482152777775)</f>
        <v>46187.48215</v>
      </c>
      <c r="B4494" s="126">
        <f>IFERROR(__xludf.DUMMYFUNCTION("""COMPUTED_VALUE"""),46187.0)</f>
        <v>46187</v>
      </c>
      <c r="C4494" s="130">
        <f>IFERROR(__xludf.DUMMYFUNCTION("""COMPUTED_VALUE"""),0.48215277777777776)</f>
        <v>0.4821527778</v>
      </c>
      <c r="D4494" s="122" t="str">
        <f>IFERROR(__xludf.DUMMYFUNCTION("""COMPUTED_VALUE"""),"KICK")</f>
        <v>KICK</v>
      </c>
      <c r="E4494" s="122" t="str">
        <f>IFERROR(__xludf.DUMMYFUNCTION("""COMPUTED_VALUE"""),"KickDrop Sneakers")</f>
        <v>KickDrop Sneakers</v>
      </c>
      <c r="F4494" s="122" t="str">
        <f>IFERROR(__xludf.DUMMYFUNCTION("""COMPUTED_VALUE"""),"Fashion")</f>
        <v>Fashion</v>
      </c>
    </row>
    <row r="4495">
      <c r="A4495" s="131">
        <f>IFERROR(__xludf.DUMMYFUNCTION("""COMPUTED_VALUE"""),46187.482152777775)</f>
        <v>46187.48215</v>
      </c>
      <c r="B4495" s="126">
        <f>IFERROR(__xludf.DUMMYFUNCTION("""COMPUTED_VALUE"""),46187.0)</f>
        <v>46187</v>
      </c>
      <c r="C4495" s="130">
        <f>IFERROR(__xludf.DUMMYFUNCTION("""COMPUTED_VALUE"""),0.48215277777777776)</f>
        <v>0.4821527778</v>
      </c>
      <c r="D4495" s="122" t="str">
        <f>IFERROR(__xludf.DUMMYFUNCTION("""COMPUTED_VALUE"""),"GLAM")</f>
        <v>GLAM</v>
      </c>
      <c r="E4495" s="122" t="str">
        <f>IFERROR(__xludf.DUMMYFUNCTION("""COMPUTED_VALUE"""),"Glow Cosmetics")</f>
        <v>Glow Cosmetics</v>
      </c>
      <c r="F4495" s="122" t="str">
        <f>IFERROR(__xludf.DUMMYFUNCTION("""COMPUTED_VALUE"""),"Fashion")</f>
        <v>Fashion</v>
      </c>
    </row>
    <row r="4496">
      <c r="A4496" s="131">
        <f>IFERROR(__xludf.DUMMYFUNCTION("""COMPUTED_VALUE"""),46187.482152777775)</f>
        <v>46187.48215</v>
      </c>
      <c r="B4496" s="126">
        <f>IFERROR(__xludf.DUMMYFUNCTION("""COMPUTED_VALUE"""),46187.0)</f>
        <v>46187</v>
      </c>
      <c r="C4496" s="130">
        <f>IFERROR(__xludf.DUMMYFUNCTION("""COMPUTED_VALUE"""),0.48215277777777776)</f>
        <v>0.4821527778</v>
      </c>
      <c r="D4496" s="122" t="str">
        <f>IFERROR(__xludf.DUMMYFUNCTION("""COMPUTED_VALUE"""),"BAGG")</f>
        <v>BAGG</v>
      </c>
      <c r="E4496" s="122" t="str">
        <f>IFERROR(__xludf.DUMMYFUNCTION("""COMPUTED_VALUE"""),"BagVault")</f>
        <v>BagVault</v>
      </c>
      <c r="F4496" s="122" t="str">
        <f>IFERROR(__xludf.DUMMYFUNCTION("""COMPUTED_VALUE"""),"Fashion")</f>
        <v>Fashion</v>
      </c>
    </row>
    <row r="4497">
      <c r="A4497" s="131">
        <f>IFERROR(__xludf.DUMMYFUNCTION("""COMPUTED_VALUE"""),46187.482152777775)</f>
        <v>46187.48215</v>
      </c>
      <c r="B4497" s="126">
        <f>IFERROR(__xludf.DUMMYFUNCTION("""COMPUTED_VALUE"""),46187.0)</f>
        <v>46187</v>
      </c>
      <c r="C4497" s="130">
        <f>IFERROR(__xludf.DUMMYFUNCTION("""COMPUTED_VALUE"""),0.48215277777777776)</f>
        <v>0.4821527778</v>
      </c>
      <c r="D4497" s="122" t="str">
        <f>IFERROR(__xludf.DUMMYFUNCTION("""COMPUTED_VALUE"""),"FAST")</f>
        <v>FAST</v>
      </c>
      <c r="E4497" s="122" t="str">
        <f>IFERROR(__xludf.DUMMYFUNCTION("""COMPUTED_VALUE"""),"Flash Logistics")</f>
        <v>Flash Logistics</v>
      </c>
      <c r="F4497" s="122" t="str">
        <f>IFERROR(__xludf.DUMMYFUNCTION("""COMPUTED_VALUE"""),"Logistics")</f>
        <v>Logistics</v>
      </c>
    </row>
    <row r="4498">
      <c r="A4498" s="131">
        <f>IFERROR(__xludf.DUMMYFUNCTION("""COMPUTED_VALUE"""),46187.482152777775)</f>
        <v>46187.48215</v>
      </c>
      <c r="B4498" s="126">
        <f>IFERROR(__xludf.DUMMYFUNCTION("""COMPUTED_VALUE"""),46187.0)</f>
        <v>46187</v>
      </c>
      <c r="C4498" s="130">
        <f>IFERROR(__xludf.DUMMYFUNCTION("""COMPUTED_VALUE"""),0.48215277777777776)</f>
        <v>0.4821527778</v>
      </c>
      <c r="D4498" s="122" t="str">
        <f>IFERROR(__xludf.DUMMYFUNCTION("""COMPUTED_VALUE"""),"SHIP")</f>
        <v>SHIP</v>
      </c>
      <c r="E4498" s="122" t="str">
        <f>IFERROR(__xludf.DUMMYFUNCTION("""COMPUTED_VALUE"""),"Seoul Shipping")</f>
        <v>Seoul Shipping</v>
      </c>
      <c r="F4498" s="122" t="str">
        <f>IFERROR(__xludf.DUMMYFUNCTION("""COMPUTED_VALUE"""),"Logistics")</f>
        <v>Logistics</v>
      </c>
    </row>
    <row r="4499">
      <c r="A4499" s="131">
        <f>IFERROR(__xludf.DUMMYFUNCTION("""COMPUTED_VALUE"""),46187.482152777775)</f>
        <v>46187.48215</v>
      </c>
      <c r="B4499" s="126">
        <f>IFERROR(__xludf.DUMMYFUNCTION("""COMPUTED_VALUE"""),46187.0)</f>
        <v>46187</v>
      </c>
      <c r="C4499" s="130">
        <f>IFERROR(__xludf.DUMMYFUNCTION("""COMPUTED_VALUE"""),0.48215277777777776)</f>
        <v>0.4821527778</v>
      </c>
      <c r="D4499" s="122" t="str">
        <f>IFERROR(__xludf.DUMMYFUNCTION("""COMPUTED_VALUE"""),"DRON")</f>
        <v>DRON</v>
      </c>
      <c r="E4499" s="122" t="str">
        <f>IFERROR(__xludf.DUMMYFUNCTION("""COMPUTED_VALUE"""),"DroneDrop")</f>
        <v>DroneDrop</v>
      </c>
      <c r="F4499" s="122" t="str">
        <f>IFERROR(__xludf.DUMMYFUNCTION("""COMPUTED_VALUE"""),"Logistics")</f>
        <v>Logistics</v>
      </c>
    </row>
    <row r="4500">
      <c r="A4500" s="131">
        <f>IFERROR(__xludf.DUMMYFUNCTION("""COMPUTED_VALUE"""),46187.482152777775)</f>
        <v>46187.48215</v>
      </c>
      <c r="B4500" s="126">
        <f>IFERROR(__xludf.DUMMYFUNCTION("""COMPUTED_VALUE"""),46187.0)</f>
        <v>46187</v>
      </c>
      <c r="C4500" s="130">
        <f>IFERROR(__xludf.DUMMYFUNCTION("""COMPUTED_VALUE"""),0.48215277777777776)</f>
        <v>0.4821527778</v>
      </c>
      <c r="D4500" s="122" t="str">
        <f>IFERROR(__xludf.DUMMYFUNCTION("""COMPUTED_VALUE"""),"RIDE")</f>
        <v>RIDE</v>
      </c>
      <c r="E4500" s="122" t="str">
        <f>IFERROR(__xludf.DUMMYFUNCTION("""COMPUTED_VALUE"""),"QuickRide")</f>
        <v>QuickRide</v>
      </c>
      <c r="F4500" s="122" t="str">
        <f>IFERROR(__xludf.DUMMYFUNCTION("""COMPUTED_VALUE"""),"Transportation")</f>
        <v>Transportation</v>
      </c>
    </row>
    <row r="4501">
      <c r="A4501" s="131">
        <f>IFERROR(__xludf.DUMMYFUNCTION("""COMPUTED_VALUE"""),46187.482152777775)</f>
        <v>46187.48215</v>
      </c>
      <c r="B4501" s="126">
        <f>IFERROR(__xludf.DUMMYFUNCTION("""COMPUTED_VALUE"""),46187.0)</f>
        <v>46187</v>
      </c>
      <c r="C4501" s="130">
        <f>IFERROR(__xludf.DUMMYFUNCTION("""COMPUTED_VALUE"""),0.48215277777777776)</f>
        <v>0.4821527778</v>
      </c>
      <c r="D4501" s="122" t="str">
        <f>IFERROR(__xludf.DUMMYFUNCTION("""COMPUTED_VALUE"""),"RAIL")</f>
        <v>RAIL</v>
      </c>
      <c r="E4501" s="122" t="str">
        <f>IFERROR(__xludf.DUMMYFUNCTION("""COMPUTED_VALUE"""),"MetroRail Corp")</f>
        <v>MetroRail Corp</v>
      </c>
      <c r="F4501" s="122" t="str">
        <f>IFERROR(__xludf.DUMMYFUNCTION("""COMPUTED_VALUE"""),"Transportation")</f>
        <v>Transportation</v>
      </c>
    </row>
    <row r="4502">
      <c r="A4502" s="131">
        <f>IFERROR(__xludf.DUMMYFUNCTION("""COMPUTED_VALUE"""),46187.482152777775)</f>
        <v>46187.48215</v>
      </c>
      <c r="B4502" s="126">
        <f>IFERROR(__xludf.DUMMYFUNCTION("""COMPUTED_VALUE"""),46187.0)</f>
        <v>46187</v>
      </c>
      <c r="C4502" s="130">
        <f>IFERROR(__xludf.DUMMYFUNCTION("""COMPUTED_VALUE"""),0.48215277777777776)</f>
        <v>0.4821527778</v>
      </c>
      <c r="D4502" s="122" t="str">
        <f>IFERROR(__xludf.DUMMYFUNCTION("""COMPUTED_VALUE"""),"MEDX")</f>
        <v>MEDX</v>
      </c>
      <c r="E4502" s="122" t="str">
        <f>IFERROR(__xludf.DUMMYFUNCTION("""COMPUTED_VALUE"""),"MediCore")</f>
        <v>MediCore</v>
      </c>
      <c r="F4502" s="122" t="str">
        <f>IFERROR(__xludf.DUMMYFUNCTION("""COMPUTED_VALUE"""),"Healthcare")</f>
        <v>Healthcare</v>
      </c>
    </row>
    <row r="4503">
      <c r="A4503" s="131">
        <f>IFERROR(__xludf.DUMMYFUNCTION("""COMPUTED_VALUE"""),46187.482152777775)</f>
        <v>46187.48215</v>
      </c>
      <c r="B4503" s="126">
        <f>IFERROR(__xludf.DUMMYFUNCTION("""COMPUTED_VALUE"""),46187.0)</f>
        <v>46187</v>
      </c>
      <c r="C4503" s="130">
        <f>IFERROR(__xludf.DUMMYFUNCTION("""COMPUTED_VALUE"""),0.48215277777777776)</f>
        <v>0.4821527778</v>
      </c>
      <c r="D4503" s="122" t="str">
        <f>IFERROR(__xludf.DUMMYFUNCTION("""COMPUTED_VALUE"""),"GYMX")</f>
        <v>GYMX</v>
      </c>
      <c r="E4503" s="122" t="str">
        <f>IFERROR(__xludf.DUMMYFUNCTION("""COMPUTED_VALUE"""),"GymX Fitness")</f>
        <v>GymX Fitness</v>
      </c>
      <c r="F4503" s="122" t="str">
        <f>IFERROR(__xludf.DUMMYFUNCTION("""COMPUTED_VALUE"""),"Healthcare")</f>
        <v>Healthcare</v>
      </c>
    </row>
    <row r="4504">
      <c r="A4504" s="131">
        <f>IFERROR(__xludf.DUMMYFUNCTION("""COMPUTED_VALUE"""),46187.482152777775)</f>
        <v>46187.48215</v>
      </c>
      <c r="B4504" s="126">
        <f>IFERROR(__xludf.DUMMYFUNCTION("""COMPUTED_VALUE"""),46187.0)</f>
        <v>46187</v>
      </c>
      <c r="C4504" s="130">
        <f>IFERROR(__xludf.DUMMYFUNCTION("""COMPUTED_VALUE"""),0.48215277777777776)</f>
        <v>0.4821527778</v>
      </c>
      <c r="D4504" s="122" t="str">
        <f>IFERROR(__xludf.DUMMYFUNCTION("""COMPUTED_VALUE"""),"VITA")</f>
        <v>VITA</v>
      </c>
      <c r="E4504" s="122" t="str">
        <f>IFERROR(__xludf.DUMMYFUNCTION("""COMPUTED_VALUE"""),"VitaPlus")</f>
        <v>VitaPlus</v>
      </c>
      <c r="F4504" s="122" t="str">
        <f>IFERROR(__xludf.DUMMYFUNCTION("""COMPUTED_VALUE"""),"Healthcare")</f>
        <v>Healthcare</v>
      </c>
    </row>
    <row r="4505">
      <c r="A4505" s="131">
        <f>IFERROR(__xludf.DUMMYFUNCTION("""COMPUTED_VALUE"""),46187.482152777775)</f>
        <v>46187.48215</v>
      </c>
      <c r="B4505" s="126">
        <f>IFERROR(__xludf.DUMMYFUNCTION("""COMPUTED_VALUE"""),46187.0)</f>
        <v>46187</v>
      </c>
      <c r="C4505" s="130">
        <f>IFERROR(__xludf.DUMMYFUNCTION("""COMPUTED_VALUE"""),0.48215277777777776)</f>
        <v>0.4821527778</v>
      </c>
      <c r="D4505" s="122" t="str">
        <f>IFERROR(__xludf.DUMMYFUNCTION("""COMPUTED_VALUE"""),"CARE")</f>
        <v>CARE</v>
      </c>
      <c r="E4505" s="122" t="str">
        <f>IFERROR(__xludf.DUMMYFUNCTION("""COMPUTED_VALUE"""),"CareCloud")</f>
        <v>CareCloud</v>
      </c>
      <c r="F4505" s="122" t="str">
        <f>IFERROR(__xludf.DUMMYFUNCTION("""COMPUTED_VALUE"""),"Healthcare")</f>
        <v>Healthcare</v>
      </c>
    </row>
    <row r="4506">
      <c r="A4506" s="131">
        <f>IFERROR(__xludf.DUMMYFUNCTION("""COMPUTED_VALUE"""),46187.482152777775)</f>
        <v>46187.48215</v>
      </c>
      <c r="B4506" s="126">
        <f>IFERROR(__xludf.DUMMYFUNCTION("""COMPUTED_VALUE"""),46187.0)</f>
        <v>46187</v>
      </c>
      <c r="C4506" s="130">
        <f>IFERROR(__xludf.DUMMYFUNCTION("""COMPUTED_VALUE"""),0.48215277777777776)</f>
        <v>0.4821527778</v>
      </c>
      <c r="D4506" s="122" t="str">
        <f>IFERROR(__xludf.DUMMYFUNCTION("""COMPUTED_VALUE"""),"DENT")</f>
        <v>DENT</v>
      </c>
      <c r="E4506" s="122" t="str">
        <f>IFERROR(__xludf.DUMMYFUNCTION("""COMPUTED_VALUE"""),"SmileWorks")</f>
        <v>SmileWorks</v>
      </c>
      <c r="F4506" s="122" t="str">
        <f>IFERROR(__xludf.DUMMYFUNCTION("""COMPUTED_VALUE"""),"Healthcare")</f>
        <v>Healthcare</v>
      </c>
    </row>
    <row r="4507">
      <c r="A4507" s="131">
        <f>IFERROR(__xludf.DUMMYFUNCTION("""COMPUTED_VALUE"""),46187.482152777775)</f>
        <v>46187.48215</v>
      </c>
      <c r="B4507" s="126">
        <f>IFERROR(__xludf.DUMMYFUNCTION("""COMPUTED_VALUE"""),46187.0)</f>
        <v>46187</v>
      </c>
      <c r="C4507" s="130">
        <f>IFERROR(__xludf.DUMMYFUNCTION("""COMPUTED_VALUE"""),0.48215277777777776)</f>
        <v>0.4821527778</v>
      </c>
      <c r="D4507" s="122" t="str">
        <f>IFERROR(__xludf.DUMMYFUNCTION("""COMPUTED_VALUE"""),"EDUX")</f>
        <v>EDUX</v>
      </c>
      <c r="E4507" s="122" t="str">
        <f>IFERROR(__xludf.DUMMYFUNCTION("""COMPUTED_VALUE"""),"EduMax Learning")</f>
        <v>EduMax Learning</v>
      </c>
      <c r="F4507" s="122" t="str">
        <f>IFERROR(__xludf.DUMMYFUNCTION("""COMPUTED_VALUE"""),"Education")</f>
        <v>Education</v>
      </c>
    </row>
    <row r="4508">
      <c r="A4508" s="131">
        <f>IFERROR(__xludf.DUMMYFUNCTION("""COMPUTED_VALUE"""),46187.482152777775)</f>
        <v>46187.48215</v>
      </c>
      <c r="B4508" s="126">
        <f>IFERROR(__xludf.DUMMYFUNCTION("""COMPUTED_VALUE"""),46187.0)</f>
        <v>46187</v>
      </c>
      <c r="C4508" s="130">
        <f>IFERROR(__xludf.DUMMYFUNCTION("""COMPUTED_VALUE"""),0.48215277777777776)</f>
        <v>0.4821527778</v>
      </c>
      <c r="D4508" s="122" t="str">
        <f>IFERROR(__xludf.DUMMYFUNCTION("""COMPUTED_VALUE"""),"BOOK")</f>
        <v>BOOK</v>
      </c>
      <c r="E4508" s="122" t="str">
        <f>IFERROR(__xludf.DUMMYFUNCTION("""COMPUTED_VALUE"""),"BookBridge")</f>
        <v>BookBridge</v>
      </c>
      <c r="F4508" s="122" t="str">
        <f>IFERROR(__xludf.DUMMYFUNCTION("""COMPUTED_VALUE"""),"Education")</f>
        <v>Education</v>
      </c>
    </row>
    <row r="4509">
      <c r="A4509" s="131">
        <f>IFERROR(__xludf.DUMMYFUNCTION("""COMPUTED_VALUE"""),46187.482152777775)</f>
        <v>46187.48215</v>
      </c>
      <c r="B4509" s="126">
        <f>IFERROR(__xludf.DUMMYFUNCTION("""COMPUTED_VALUE"""),46187.0)</f>
        <v>46187</v>
      </c>
      <c r="C4509" s="130">
        <f>IFERROR(__xludf.DUMMYFUNCTION("""COMPUTED_VALUE"""),0.48215277777777776)</f>
        <v>0.4821527778</v>
      </c>
      <c r="D4509" s="122" t="str">
        <f>IFERROR(__xludf.DUMMYFUNCTION("""COMPUTED_VALUE"""),"TUTR")</f>
        <v>TUTR</v>
      </c>
      <c r="E4509" s="122" t="str">
        <f>IFERROR(__xludf.DUMMYFUNCTION("""COMPUTED_VALUE"""),"TutorTown")</f>
        <v>TutorTown</v>
      </c>
      <c r="F4509" s="122" t="str">
        <f>IFERROR(__xludf.DUMMYFUNCTION("""COMPUTED_VALUE"""),"Education")</f>
        <v>Education</v>
      </c>
    </row>
    <row r="4510">
      <c r="A4510" s="131">
        <f>IFERROR(__xludf.DUMMYFUNCTION("""COMPUTED_VALUE"""),46187.482152777775)</f>
        <v>46187.48215</v>
      </c>
      <c r="B4510" s="126">
        <f>IFERROR(__xludf.DUMMYFUNCTION("""COMPUTED_VALUE"""),46187.0)</f>
        <v>46187</v>
      </c>
      <c r="C4510" s="130">
        <f>IFERROR(__xludf.DUMMYFUNCTION("""COMPUTED_VALUE"""),0.48215277777777776)</f>
        <v>0.4821527778</v>
      </c>
      <c r="D4510" s="122" t="str">
        <f>IFERROR(__xludf.DUMMYFUNCTION("""COMPUTED_VALUE"""),"LANG")</f>
        <v>LANG</v>
      </c>
      <c r="E4510" s="122" t="str">
        <f>IFERROR(__xludf.DUMMYFUNCTION("""COMPUTED_VALUE"""),"LinguaLab")</f>
        <v>LinguaLab</v>
      </c>
      <c r="F4510" s="122" t="str">
        <f>IFERROR(__xludf.DUMMYFUNCTION("""COMPUTED_VALUE"""),"Education")</f>
        <v>Education</v>
      </c>
    </row>
    <row r="4511">
      <c r="A4511" s="131">
        <f>IFERROR(__xludf.DUMMYFUNCTION("""COMPUTED_VALUE"""),46187.482152777775)</f>
        <v>46187.48215</v>
      </c>
      <c r="B4511" s="126">
        <f>IFERROR(__xludf.DUMMYFUNCTION("""COMPUTED_VALUE"""),46187.0)</f>
        <v>46187</v>
      </c>
      <c r="C4511" s="130">
        <f>IFERROR(__xludf.DUMMYFUNCTION("""COMPUTED_VALUE"""),0.48215277777777776)</f>
        <v>0.4821527778</v>
      </c>
      <c r="D4511" s="122" t="str">
        <f>IFERROR(__xludf.DUMMYFUNCTION("""COMPUTED_VALUE"""),"TEST")</f>
        <v>TEST</v>
      </c>
      <c r="E4511" s="122" t="str">
        <f>IFERROR(__xludf.DUMMYFUNCTION("""COMPUTED_VALUE"""),"TestPrep Pro")</f>
        <v>TestPrep Pro</v>
      </c>
      <c r="F4511" s="122" t="str">
        <f>IFERROR(__xludf.DUMMYFUNCTION("""COMPUTED_VALUE"""),"Education")</f>
        <v>Education</v>
      </c>
    </row>
    <row r="4512">
      <c r="A4512" s="131">
        <f>IFERROR(__xludf.DUMMYFUNCTION("""COMPUTED_VALUE"""),46187.482152777775)</f>
        <v>46187.48215</v>
      </c>
      <c r="B4512" s="126">
        <f>IFERROR(__xludf.DUMMYFUNCTION("""COMPUTED_VALUE"""),46187.0)</f>
        <v>46187</v>
      </c>
      <c r="C4512" s="130">
        <f>IFERROR(__xludf.DUMMYFUNCTION("""COMPUTED_VALUE"""),0.48215277777777776)</f>
        <v>0.4821527778</v>
      </c>
      <c r="D4512" s="122" t="str">
        <f>IFERROR(__xludf.DUMMYFUNCTION("""COMPUTED_VALUE"""),"MOVI")</f>
        <v>MOVI</v>
      </c>
      <c r="E4512" s="122" t="str">
        <f>IFERROR(__xludf.DUMMYFUNCTION("""COMPUTED_VALUE"""),"MovieBox")</f>
        <v>MovieBox</v>
      </c>
      <c r="F4512" s="122" t="str">
        <f>IFERROR(__xludf.DUMMYFUNCTION("""COMPUTED_VALUE"""),"Entertainment")</f>
        <v>Entertainment</v>
      </c>
    </row>
    <row r="4513">
      <c r="A4513" s="131">
        <f>IFERROR(__xludf.DUMMYFUNCTION("""COMPUTED_VALUE"""),46187.482152777775)</f>
        <v>46187.48215</v>
      </c>
      <c r="B4513" s="126">
        <f>IFERROR(__xludf.DUMMYFUNCTION("""COMPUTED_VALUE"""),46187.0)</f>
        <v>46187</v>
      </c>
      <c r="C4513" s="130">
        <f>IFERROR(__xludf.DUMMYFUNCTION("""COMPUTED_VALUE"""),0.48215277777777776)</f>
        <v>0.4821527778</v>
      </c>
      <c r="D4513" s="122" t="str">
        <f>IFERROR(__xludf.DUMMYFUNCTION("""COMPUTED_VALUE"""),"MUSC")</f>
        <v>MUSC</v>
      </c>
      <c r="E4513" s="122" t="str">
        <f>IFERROR(__xludf.DUMMYFUNCTION("""COMPUTED_VALUE"""),"MusicWave")</f>
        <v>MusicWave</v>
      </c>
      <c r="F4513" s="122" t="str">
        <f>IFERROR(__xludf.DUMMYFUNCTION("""COMPUTED_VALUE"""),"Entertainment")</f>
        <v>Entertainment</v>
      </c>
    </row>
    <row r="4514">
      <c r="A4514" s="131">
        <f>IFERROR(__xludf.DUMMYFUNCTION("""COMPUTED_VALUE"""),46187.482152777775)</f>
        <v>46187.48215</v>
      </c>
      <c r="B4514" s="126">
        <f>IFERROR(__xludf.DUMMYFUNCTION("""COMPUTED_VALUE"""),46187.0)</f>
        <v>46187</v>
      </c>
      <c r="C4514" s="130">
        <f>IFERROR(__xludf.DUMMYFUNCTION("""COMPUTED_VALUE"""),0.48215277777777776)</f>
        <v>0.4821527778</v>
      </c>
      <c r="D4514" s="122" t="str">
        <f>IFERROR(__xludf.DUMMYFUNCTION("""COMPUTED_VALUE"""),"IDOL")</f>
        <v>IDOL</v>
      </c>
      <c r="E4514" s="122" t="str">
        <f>IFERROR(__xludf.DUMMYFUNCTION("""COMPUTED_VALUE"""),"Idol Agency")</f>
        <v>Idol Agency</v>
      </c>
      <c r="F4514" s="122" t="str">
        <f>IFERROR(__xludf.DUMMYFUNCTION("""COMPUTED_VALUE"""),"Entertainment")</f>
        <v>Entertainment</v>
      </c>
    </row>
    <row r="4515">
      <c r="A4515" s="131">
        <f>IFERROR(__xludf.DUMMYFUNCTION("""COMPUTED_VALUE"""),46187.482152777775)</f>
        <v>46187.48215</v>
      </c>
      <c r="B4515" s="126">
        <f>IFERROR(__xludf.DUMMYFUNCTION("""COMPUTED_VALUE"""),46187.0)</f>
        <v>46187</v>
      </c>
      <c r="C4515" s="130">
        <f>IFERROR(__xludf.DUMMYFUNCTION("""COMPUTED_VALUE"""),0.48215277777777776)</f>
        <v>0.4821527778</v>
      </c>
      <c r="D4515" s="122" t="str">
        <f>IFERROR(__xludf.DUMMYFUNCTION("""COMPUTED_VALUE"""),"MEME")</f>
        <v>MEME</v>
      </c>
      <c r="E4515" s="122" t="str">
        <f>IFERROR(__xludf.DUMMYFUNCTION("""COMPUTED_VALUE"""),"Meme Media")</f>
        <v>Meme Media</v>
      </c>
      <c r="F4515" s="122" t="str">
        <f>IFERROR(__xludf.DUMMYFUNCTION("""COMPUTED_VALUE"""),"Entertainment")</f>
        <v>Entertainment</v>
      </c>
    </row>
    <row r="4516">
      <c r="A4516" s="131">
        <f>IFERROR(__xludf.DUMMYFUNCTION("""COMPUTED_VALUE"""),46187.482152777775)</f>
        <v>46187.48215</v>
      </c>
      <c r="B4516" s="126">
        <f>IFERROR(__xludf.DUMMYFUNCTION("""COMPUTED_VALUE"""),46187.0)</f>
        <v>46187</v>
      </c>
      <c r="C4516" s="130">
        <f>IFERROR(__xludf.DUMMYFUNCTION("""COMPUTED_VALUE"""),0.48215277777777776)</f>
        <v>0.4821527778</v>
      </c>
      <c r="D4516" s="122" t="str">
        <f>IFERROR(__xludf.DUMMYFUNCTION("""COMPUTED_VALUE"""),"STRM")</f>
        <v>STRM</v>
      </c>
      <c r="E4516" s="122" t="str">
        <f>IFERROR(__xludf.DUMMYFUNCTION("""COMPUTED_VALUE"""),"Streamly")</f>
        <v>Streamly</v>
      </c>
      <c r="F4516" s="122" t="str">
        <f>IFERROR(__xludf.DUMMYFUNCTION("""COMPUTED_VALUE"""),"Entertainment")</f>
        <v>Entertainment</v>
      </c>
    </row>
    <row r="4517">
      <c r="A4517" s="131">
        <f>IFERROR(__xludf.DUMMYFUNCTION("""COMPUTED_VALUE"""),46187.482152777775)</f>
        <v>46187.48215</v>
      </c>
      <c r="B4517" s="126">
        <f>IFERROR(__xludf.DUMMYFUNCTION("""COMPUTED_VALUE"""),46187.0)</f>
        <v>46187</v>
      </c>
      <c r="C4517" s="130">
        <f>IFERROR(__xludf.DUMMYFUNCTION("""COMPUTED_VALUE"""),0.48215277777777776)</f>
        <v>0.4821527778</v>
      </c>
      <c r="D4517" s="122" t="str">
        <f>IFERROR(__xludf.DUMMYFUNCTION("""COMPUTED_VALUE"""),"FARM")</f>
        <v>FARM</v>
      </c>
      <c r="E4517" s="122" t="str">
        <f>IFERROR(__xludf.DUMMYFUNCTION("""COMPUTED_VALUE"""),"Future Farms")</f>
        <v>Future Farms</v>
      </c>
      <c r="F4517" s="122" t="str">
        <f>IFERROR(__xludf.DUMMYFUNCTION("""COMPUTED_VALUE"""),"Agriculture")</f>
        <v>Agriculture</v>
      </c>
    </row>
    <row r="4518">
      <c r="A4518" s="131">
        <f>IFERROR(__xludf.DUMMYFUNCTION("""COMPUTED_VALUE"""),46187.482152777775)</f>
        <v>46187.48215</v>
      </c>
      <c r="B4518" s="126">
        <f>IFERROR(__xludf.DUMMYFUNCTION("""COMPUTED_VALUE"""),46187.0)</f>
        <v>46187</v>
      </c>
      <c r="C4518" s="130">
        <f>IFERROR(__xludf.DUMMYFUNCTION("""COMPUTED_VALUE"""),0.48215277777777776)</f>
        <v>0.4821527778</v>
      </c>
      <c r="D4518" s="122" t="str">
        <f>IFERROR(__xludf.DUMMYFUNCTION("""COMPUTED_VALUE"""),"MEAT")</f>
        <v>MEAT</v>
      </c>
      <c r="E4518" s="122" t="str">
        <f>IFERROR(__xludf.DUMMYFUNCTION("""COMPUTED_VALUE"""),"MeatWorks")</f>
        <v>MeatWorks</v>
      </c>
      <c r="F4518" s="122" t="str">
        <f>IFERROR(__xludf.DUMMYFUNCTION("""COMPUTED_VALUE"""),"Food")</f>
        <v>Food</v>
      </c>
    </row>
    <row r="4519">
      <c r="A4519" s="131">
        <f>IFERROR(__xludf.DUMMYFUNCTION("""COMPUTED_VALUE"""),46187.482152777775)</f>
        <v>46187.48215</v>
      </c>
      <c r="B4519" s="126">
        <f>IFERROR(__xludf.DUMMYFUNCTION("""COMPUTED_VALUE"""),46187.0)</f>
        <v>46187</v>
      </c>
      <c r="C4519" s="130">
        <f>IFERROR(__xludf.DUMMYFUNCTION("""COMPUTED_VALUE"""),0.48215277777777776)</f>
        <v>0.4821527778</v>
      </c>
      <c r="D4519" s="122" t="str">
        <f>IFERROR(__xludf.DUMMYFUNCTION("""COMPUTED_VALUE"""),"VEGI")</f>
        <v>VEGI</v>
      </c>
      <c r="E4519" s="122" t="str">
        <f>IFERROR(__xludf.DUMMYFUNCTION("""COMPUTED_VALUE"""),"Green Basket")</f>
        <v>Green Basket</v>
      </c>
      <c r="F4519" s="122" t="str">
        <f>IFERROR(__xludf.DUMMYFUNCTION("""COMPUTED_VALUE"""),"Food")</f>
        <v>Food</v>
      </c>
    </row>
    <row r="4520">
      <c r="A4520" s="131">
        <f>IFERROR(__xludf.DUMMYFUNCTION("""COMPUTED_VALUE"""),46187.482152777775)</f>
        <v>46187.48215</v>
      </c>
      <c r="B4520" s="126">
        <f>IFERROR(__xludf.DUMMYFUNCTION("""COMPUTED_VALUE"""),46187.0)</f>
        <v>46187</v>
      </c>
      <c r="C4520" s="130">
        <f>IFERROR(__xludf.DUMMYFUNCTION("""COMPUTED_VALUE"""),0.48215277777777776)</f>
        <v>0.4821527778</v>
      </c>
      <c r="D4520" s="122" t="str">
        <f>IFERROR(__xludf.DUMMYFUNCTION("""COMPUTED_VALUE"""),"CAFE")</f>
        <v>CAFE</v>
      </c>
      <c r="E4520" s="122" t="str">
        <f>IFERROR(__xludf.DUMMYFUNCTION("""COMPUTED_VALUE"""),"Cafe Cloud")</f>
        <v>Cafe Cloud</v>
      </c>
      <c r="F4520" s="122" t="str">
        <f>IFERROR(__xludf.DUMMYFUNCTION("""COMPUTED_VALUE"""),"Food")</f>
        <v>Food</v>
      </c>
    </row>
    <row r="4521">
      <c r="A4521" s="131">
        <f>IFERROR(__xludf.DUMMYFUNCTION("""COMPUTED_VALUE"""),46187.482152777775)</f>
        <v>46187.48215</v>
      </c>
      <c r="B4521" s="126">
        <f>IFERROR(__xludf.DUMMYFUNCTION("""COMPUTED_VALUE"""),46187.0)</f>
        <v>46187</v>
      </c>
      <c r="C4521" s="130">
        <f>IFERROR(__xludf.DUMMYFUNCTION("""COMPUTED_VALUE"""),0.48215277777777776)</f>
        <v>0.4821527778</v>
      </c>
      <c r="D4521" s="122" t="str">
        <f>IFERROR(__xludf.DUMMYFUNCTION("""COMPUTED_VALUE"""),"BAKE")</f>
        <v>BAKE</v>
      </c>
      <c r="E4521" s="122" t="str">
        <f>IFERROR(__xludf.DUMMYFUNCTION("""COMPUTED_VALUE"""),"BakeHouse")</f>
        <v>BakeHouse</v>
      </c>
      <c r="F4521" s="122" t="str">
        <f>IFERROR(__xludf.DUMMYFUNCTION("""COMPUTED_VALUE"""),"Food")</f>
        <v>Food</v>
      </c>
    </row>
    <row r="4522">
      <c r="A4522" s="131">
        <f>IFERROR(__xludf.DUMMYFUNCTION("""COMPUTED_VALUE"""),46187.482152777775)</f>
        <v>46187.48215</v>
      </c>
      <c r="B4522" s="126">
        <f>IFERROR(__xludf.DUMMYFUNCTION("""COMPUTED_VALUE"""),46187.0)</f>
        <v>46187</v>
      </c>
      <c r="C4522" s="130">
        <f>IFERROR(__xludf.DUMMYFUNCTION("""COMPUTED_VALUE"""),0.48215277777777776)</f>
        <v>0.4821527778</v>
      </c>
      <c r="D4522" s="122" t="str">
        <f>IFERROR(__xludf.DUMMYFUNCTION("""COMPUTED_VALUE"""),"OILX")</f>
        <v>OILX</v>
      </c>
      <c r="E4522" s="122" t="str">
        <f>IFERROR(__xludf.DUMMYFUNCTION("""COMPUTED_VALUE"""),"OilMax Energy")</f>
        <v>OilMax Energy</v>
      </c>
      <c r="F4522" s="122" t="str">
        <f>IFERROR(__xludf.DUMMYFUNCTION("""COMPUTED_VALUE"""),"Energy")</f>
        <v>Energy</v>
      </c>
    </row>
    <row r="4523">
      <c r="A4523" s="131">
        <f>IFERROR(__xludf.DUMMYFUNCTION("""COMPUTED_VALUE"""),46187.482152777775)</f>
        <v>46187.48215</v>
      </c>
      <c r="B4523" s="126">
        <f>IFERROR(__xludf.DUMMYFUNCTION("""COMPUTED_VALUE"""),46187.0)</f>
        <v>46187</v>
      </c>
      <c r="C4523" s="130">
        <f>IFERROR(__xludf.DUMMYFUNCTION("""COMPUTED_VALUE"""),0.48215277777777776)</f>
        <v>0.4821527778</v>
      </c>
      <c r="D4523" s="122" t="str">
        <f>IFERROR(__xludf.DUMMYFUNCTION("""COMPUTED_VALUE"""),"SOLR")</f>
        <v>SOLR</v>
      </c>
      <c r="E4523" s="122" t="str">
        <f>IFERROR(__xludf.DUMMYFUNCTION("""COMPUTED_VALUE"""),"SolarSpark")</f>
        <v>SolarSpark</v>
      </c>
      <c r="F4523" s="122" t="str">
        <f>IFERROR(__xludf.DUMMYFUNCTION("""COMPUTED_VALUE"""),"Energy")</f>
        <v>Energy</v>
      </c>
    </row>
    <row r="4524">
      <c r="A4524" s="131">
        <f>IFERROR(__xludf.DUMMYFUNCTION("""COMPUTED_VALUE"""),46187.482152777775)</f>
        <v>46187.48215</v>
      </c>
      <c r="B4524" s="126">
        <f>IFERROR(__xludf.DUMMYFUNCTION("""COMPUTED_VALUE"""),46187.0)</f>
        <v>46187</v>
      </c>
      <c r="C4524" s="130">
        <f>IFERROR(__xludf.DUMMYFUNCTION("""COMPUTED_VALUE"""),0.48215277777777776)</f>
        <v>0.4821527778</v>
      </c>
      <c r="D4524" s="122" t="str">
        <f>IFERROR(__xludf.DUMMYFUNCTION("""COMPUTED_VALUE"""),"BATT")</f>
        <v>BATT</v>
      </c>
      <c r="E4524" s="122" t="str">
        <f>IFERROR(__xludf.DUMMYFUNCTION("""COMPUTED_VALUE"""),"BatteryBox")</f>
        <v>BatteryBox</v>
      </c>
      <c r="F4524" s="122" t="str">
        <f>IFERROR(__xludf.DUMMYFUNCTION("""COMPUTED_VALUE"""),"Energy")</f>
        <v>Energy</v>
      </c>
    </row>
    <row r="4525">
      <c r="A4525" s="131">
        <f>IFERROR(__xludf.DUMMYFUNCTION("""COMPUTED_VALUE"""),46187.482152777775)</f>
        <v>46187.48215</v>
      </c>
      <c r="B4525" s="126">
        <f>IFERROR(__xludf.DUMMYFUNCTION("""COMPUTED_VALUE"""),46187.0)</f>
        <v>46187</v>
      </c>
      <c r="C4525" s="130">
        <f>IFERROR(__xludf.DUMMYFUNCTION("""COMPUTED_VALUE"""),0.48215277777777776)</f>
        <v>0.4821527778</v>
      </c>
      <c r="D4525" s="122" t="str">
        <f>IFERROR(__xludf.DUMMYFUNCTION("""COMPUTED_VALUE"""),"WIND")</f>
        <v>WIND</v>
      </c>
      <c r="E4525" s="122" t="str">
        <f>IFERROR(__xludf.DUMMYFUNCTION("""COMPUTED_VALUE"""),"WindWorks")</f>
        <v>WindWorks</v>
      </c>
      <c r="F4525" s="122" t="str">
        <f>IFERROR(__xludf.DUMMYFUNCTION("""COMPUTED_VALUE"""),"Energy")</f>
        <v>Energy</v>
      </c>
    </row>
    <row r="4526">
      <c r="A4526" s="131">
        <f>IFERROR(__xludf.DUMMYFUNCTION("""COMPUTED_VALUE"""),46187.482152777775)</f>
        <v>46187.48215</v>
      </c>
      <c r="B4526" s="126">
        <f>IFERROR(__xludf.DUMMYFUNCTION("""COMPUTED_VALUE"""),46187.0)</f>
        <v>46187</v>
      </c>
      <c r="C4526" s="130">
        <f>IFERROR(__xludf.DUMMYFUNCTION("""COMPUTED_VALUE"""),0.48215277777777776)</f>
        <v>0.4821527778</v>
      </c>
      <c r="D4526" s="122" t="str">
        <f>IFERROR(__xludf.DUMMYFUNCTION("""COMPUTED_VALUE"""),"GRID")</f>
        <v>GRID</v>
      </c>
      <c r="E4526" s="122" t="str">
        <f>IFERROR(__xludf.DUMMYFUNCTION("""COMPUTED_VALUE"""),"GridPower")</f>
        <v>GridPower</v>
      </c>
      <c r="F4526" s="122" t="str">
        <f>IFERROR(__xludf.DUMMYFUNCTION("""COMPUTED_VALUE"""),"Energy")</f>
        <v>Energy</v>
      </c>
    </row>
    <row r="4527">
      <c r="A4527" s="131">
        <f>IFERROR(__xludf.DUMMYFUNCTION("""COMPUTED_VALUE"""),46187.482152777775)</f>
        <v>46187.48215</v>
      </c>
      <c r="B4527" s="126">
        <f>IFERROR(__xludf.DUMMYFUNCTION("""COMPUTED_VALUE"""),46187.0)</f>
        <v>46187</v>
      </c>
      <c r="C4527" s="130">
        <f>IFERROR(__xludf.DUMMYFUNCTION("""COMPUTED_VALUE"""),0.48215277777777776)</f>
        <v>0.4821527778</v>
      </c>
      <c r="D4527" s="122" t="str">
        <f>IFERROR(__xludf.DUMMYFUNCTION("""COMPUTED_VALUE"""),"HOME")</f>
        <v>HOME</v>
      </c>
      <c r="E4527" s="122" t="str">
        <f>IFERROR(__xludf.DUMMYFUNCTION("""COMPUTED_VALUE"""),"HomeHub")</f>
        <v>HomeHub</v>
      </c>
      <c r="F4527" s="122" t="str">
        <f>IFERROR(__xludf.DUMMYFUNCTION("""COMPUTED_VALUE"""),"Real Estate")</f>
        <v>Real Estate</v>
      </c>
    </row>
    <row r="4528">
      <c r="A4528" s="131">
        <f>IFERROR(__xludf.DUMMYFUNCTION("""COMPUTED_VALUE"""),46187.482152777775)</f>
        <v>46187.48215</v>
      </c>
      <c r="B4528" s="126">
        <f>IFERROR(__xludf.DUMMYFUNCTION("""COMPUTED_VALUE"""),46187.0)</f>
        <v>46187</v>
      </c>
      <c r="C4528" s="130">
        <f>IFERROR(__xludf.DUMMYFUNCTION("""COMPUTED_VALUE"""),0.48215277777777776)</f>
        <v>0.4821527778</v>
      </c>
      <c r="D4528" s="122" t="str">
        <f>IFERROR(__xludf.DUMMYFUNCTION("""COMPUTED_VALUE"""),"RENT")</f>
        <v>RENT</v>
      </c>
      <c r="E4528" s="122" t="str">
        <f>IFERROR(__xludf.DUMMYFUNCTION("""COMPUTED_VALUE"""),"RentRight")</f>
        <v>RentRight</v>
      </c>
      <c r="F4528" s="122" t="str">
        <f>IFERROR(__xludf.DUMMYFUNCTION("""COMPUTED_VALUE"""),"Real Estate")</f>
        <v>Real Estate</v>
      </c>
    </row>
    <row r="4529">
      <c r="A4529" s="131">
        <f>IFERROR(__xludf.DUMMYFUNCTION("""COMPUTED_VALUE"""),46187.482152777775)</f>
        <v>46187.48215</v>
      </c>
      <c r="B4529" s="126">
        <f>IFERROR(__xludf.DUMMYFUNCTION("""COMPUTED_VALUE"""),46187.0)</f>
        <v>46187</v>
      </c>
      <c r="C4529" s="130">
        <f>IFERROR(__xludf.DUMMYFUNCTION("""COMPUTED_VALUE"""),0.48215277777777776)</f>
        <v>0.4821527778</v>
      </c>
      <c r="D4529" s="122" t="str">
        <f>IFERROR(__xludf.DUMMYFUNCTION("""COMPUTED_VALUE"""),"MALL")</f>
        <v>MALL</v>
      </c>
      <c r="E4529" s="122" t="str">
        <f>IFERROR(__xludf.DUMMYFUNCTION("""COMPUTED_VALUE"""),"MegaMall")</f>
        <v>MegaMall</v>
      </c>
      <c r="F4529" s="122" t="str">
        <f>IFERROR(__xludf.DUMMYFUNCTION("""COMPUTED_VALUE"""),"Real Estate")</f>
        <v>Real Estate</v>
      </c>
    </row>
    <row r="4530">
      <c r="A4530" s="131">
        <f>IFERROR(__xludf.DUMMYFUNCTION("""COMPUTED_VALUE"""),46187.482152777775)</f>
        <v>46187.48215</v>
      </c>
      <c r="B4530" s="126">
        <f>IFERROR(__xludf.DUMMYFUNCTION("""COMPUTED_VALUE"""),46187.0)</f>
        <v>46187</v>
      </c>
      <c r="C4530" s="130">
        <f>IFERROR(__xludf.DUMMYFUNCTION("""COMPUTED_VALUE"""),0.48215277777777776)</f>
        <v>0.4821527778</v>
      </c>
      <c r="D4530" s="122" t="str">
        <f>IFERROR(__xludf.DUMMYFUNCTION("""COMPUTED_VALUE"""),"HOTL")</f>
        <v>HOTL</v>
      </c>
      <c r="E4530" s="122" t="str">
        <f>IFERROR(__xludf.DUMMYFUNCTION("""COMPUTED_VALUE"""),"HotelHive")</f>
        <v>HotelHive</v>
      </c>
      <c r="F4530" s="122" t="str">
        <f>IFERROR(__xludf.DUMMYFUNCTION("""COMPUTED_VALUE"""),"Real Estate")</f>
        <v>Real Estate</v>
      </c>
    </row>
    <row r="4531">
      <c r="A4531" s="131">
        <f>IFERROR(__xludf.DUMMYFUNCTION("""COMPUTED_VALUE"""),46187.482152777775)</f>
        <v>46187.48215</v>
      </c>
      <c r="B4531" s="126">
        <f>IFERROR(__xludf.DUMMYFUNCTION("""COMPUTED_VALUE"""),46187.0)</f>
        <v>46187</v>
      </c>
      <c r="C4531" s="130">
        <f>IFERROR(__xludf.DUMMYFUNCTION("""COMPUTED_VALUE"""),0.48215277777777776)</f>
        <v>0.4821527778</v>
      </c>
      <c r="D4531" s="122" t="str">
        <f>IFERROR(__xludf.DUMMYFUNCTION("""COMPUTED_VALUE"""),"LAND")</f>
        <v>LAND</v>
      </c>
      <c r="E4531" s="122" t="str">
        <f>IFERROR(__xludf.DUMMYFUNCTION("""COMPUTED_VALUE"""),"LandLink")</f>
        <v>LandLink</v>
      </c>
      <c r="F4531" s="122" t="str">
        <f>IFERROR(__xludf.DUMMYFUNCTION("""COMPUTED_VALUE"""),"Real Estate")</f>
        <v>Real Estate</v>
      </c>
    </row>
    <row r="4532">
      <c r="A4532" s="131">
        <f>IFERROR(__xludf.DUMMYFUNCTION("""COMPUTED_VALUE"""),46187.482152777775)</f>
        <v>46187.48215</v>
      </c>
      <c r="B4532" s="126">
        <f>IFERROR(__xludf.DUMMYFUNCTION("""COMPUTED_VALUE"""),46187.0)</f>
        <v>46187</v>
      </c>
      <c r="C4532" s="130">
        <f>IFERROR(__xludf.DUMMYFUNCTION("""COMPUTED_VALUE"""),0.48215277777777776)</f>
        <v>0.4821527778</v>
      </c>
      <c r="D4532" s="122" t="str">
        <f>IFERROR(__xludf.DUMMYFUNCTION("""COMPUTED_VALUE"""),"CARS")</f>
        <v>CARS</v>
      </c>
      <c r="E4532" s="122" t="str">
        <f>IFERROR(__xludf.DUMMYFUNCTION("""COMPUTED_VALUE"""),"AutoArena")</f>
        <v>AutoArena</v>
      </c>
      <c r="F4532" s="122" t="str">
        <f>IFERROR(__xludf.DUMMYFUNCTION("""COMPUTED_VALUE"""),"Automotive")</f>
        <v>Automotive</v>
      </c>
    </row>
    <row r="4533">
      <c r="A4533" s="131">
        <f>IFERROR(__xludf.DUMMYFUNCTION("""COMPUTED_VALUE"""),46187.482152777775)</f>
        <v>46187.48215</v>
      </c>
      <c r="B4533" s="126">
        <f>IFERROR(__xludf.DUMMYFUNCTION("""COMPUTED_VALUE"""),46187.0)</f>
        <v>46187</v>
      </c>
      <c r="C4533" s="130">
        <f>IFERROR(__xludf.DUMMYFUNCTION("""COMPUTED_VALUE"""),0.48215277777777776)</f>
        <v>0.4821527778</v>
      </c>
      <c r="D4533" s="122" t="str">
        <f>IFERROR(__xludf.DUMMYFUNCTION("""COMPUTED_VALUE"""),"EVGO")</f>
        <v>EVGO</v>
      </c>
      <c r="E4533" s="122" t="str">
        <f>IFERROR(__xludf.DUMMYFUNCTION("""COMPUTED_VALUE"""),"EVGo Motors")</f>
        <v>EVGo Motors</v>
      </c>
      <c r="F4533" s="122" t="str">
        <f>IFERROR(__xludf.DUMMYFUNCTION("""COMPUTED_VALUE"""),"Automotive")</f>
        <v>Automotive</v>
      </c>
    </row>
    <row r="4534">
      <c r="A4534" s="131">
        <f>IFERROR(__xludf.DUMMYFUNCTION("""COMPUTED_VALUE"""),46187.482152777775)</f>
        <v>46187.48215</v>
      </c>
      <c r="B4534" s="126">
        <f>IFERROR(__xludf.DUMMYFUNCTION("""COMPUTED_VALUE"""),46187.0)</f>
        <v>46187</v>
      </c>
      <c r="C4534" s="130">
        <f>IFERROR(__xludf.DUMMYFUNCTION("""COMPUTED_VALUE"""),0.48215277777777776)</f>
        <v>0.4821527778</v>
      </c>
      <c r="D4534" s="122" t="str">
        <f>IFERROR(__xludf.DUMMYFUNCTION("""COMPUTED_VALUE"""),"TIRE")</f>
        <v>TIRE</v>
      </c>
      <c r="E4534" s="122" t="str">
        <f>IFERROR(__xludf.DUMMYFUNCTION("""COMPUTED_VALUE"""),"TireTown")</f>
        <v>TireTown</v>
      </c>
      <c r="F4534" s="122" t="str">
        <f>IFERROR(__xludf.DUMMYFUNCTION("""COMPUTED_VALUE"""),"Automotive")</f>
        <v>Automotive</v>
      </c>
    </row>
    <row r="4535">
      <c r="A4535" s="131">
        <f>IFERROR(__xludf.DUMMYFUNCTION("""COMPUTED_VALUE"""),46187.482152777775)</f>
        <v>46187.48215</v>
      </c>
      <c r="B4535" s="126">
        <f>IFERROR(__xludf.DUMMYFUNCTION("""COMPUTED_VALUE"""),46187.0)</f>
        <v>46187</v>
      </c>
      <c r="C4535" s="130">
        <f>IFERROR(__xludf.DUMMYFUNCTION("""COMPUTED_VALUE"""),0.48215277777777776)</f>
        <v>0.4821527778</v>
      </c>
      <c r="D4535" s="122" t="str">
        <f>IFERROR(__xludf.DUMMYFUNCTION("""COMPUTED_VALUE"""),"BIKE")</f>
        <v>BIKE</v>
      </c>
      <c r="E4535" s="122" t="str">
        <f>IFERROR(__xludf.DUMMYFUNCTION("""COMPUTED_VALUE"""),"BikeBox")</f>
        <v>BikeBox</v>
      </c>
      <c r="F4535" s="122" t="str">
        <f>IFERROR(__xludf.DUMMYFUNCTION("""COMPUTED_VALUE"""),"Automotive")</f>
        <v>Automotive</v>
      </c>
    </row>
    <row r="4536">
      <c r="A4536" s="131">
        <f>IFERROR(__xludf.DUMMYFUNCTION("""COMPUTED_VALUE"""),46187.482152777775)</f>
        <v>46187.48215</v>
      </c>
      <c r="B4536" s="126">
        <f>IFERROR(__xludf.DUMMYFUNCTION("""COMPUTED_VALUE"""),46187.0)</f>
        <v>46187</v>
      </c>
      <c r="C4536" s="130">
        <f>IFERROR(__xludf.DUMMYFUNCTION("""COMPUTED_VALUE"""),0.48215277777777776)</f>
        <v>0.4821527778</v>
      </c>
      <c r="D4536" s="122" t="str">
        <f>IFERROR(__xludf.DUMMYFUNCTION("""COMPUTED_VALUE"""),"WASH")</f>
        <v>WASH</v>
      </c>
      <c r="E4536" s="122" t="str">
        <f>IFERROR(__xludf.DUMMYFUNCTION("""COMPUTED_VALUE"""),"CarWash Co")</f>
        <v>CarWash Co</v>
      </c>
      <c r="F4536" s="122" t="str">
        <f>IFERROR(__xludf.DUMMYFUNCTION("""COMPUTED_VALUE"""),"Automotive")</f>
        <v>Automotive</v>
      </c>
    </row>
    <row r="4537">
      <c r="A4537" s="131">
        <f>IFERROR(__xludf.DUMMYFUNCTION("""COMPUTED_VALUE"""),46187.482152777775)</f>
        <v>46187.48215</v>
      </c>
      <c r="B4537" s="126">
        <f>IFERROR(__xludf.DUMMYFUNCTION("""COMPUTED_VALUE"""),46187.0)</f>
        <v>46187</v>
      </c>
      <c r="C4537" s="130">
        <f>IFERROR(__xludf.DUMMYFUNCTION("""COMPUTED_VALUE"""),0.48215277777777776)</f>
        <v>0.4821527778</v>
      </c>
      <c r="D4537" s="122" t="str">
        <f>IFERROR(__xludf.DUMMYFUNCTION("""COMPUTED_VALUE"""),"GBND")</f>
        <v>GBND</v>
      </c>
      <c r="E4537" s="122" t="str">
        <f>IFERROR(__xludf.DUMMYFUNCTION("""COMPUTED_VALUE"""),"Classroom Government Bond")</f>
        <v>Classroom Government Bond</v>
      </c>
      <c r="F4537" s="122" t="str">
        <f>IFERROR(__xludf.DUMMYFUNCTION("""COMPUTED_VALUE"""),"Bond")</f>
        <v>Bond</v>
      </c>
    </row>
    <row r="4538">
      <c r="A4538" s="131">
        <f>IFERROR(__xludf.DUMMYFUNCTION("""COMPUTED_VALUE"""),46187.482152777775)</f>
        <v>46187.48215</v>
      </c>
      <c r="B4538" s="126">
        <f>IFERROR(__xludf.DUMMYFUNCTION("""COMPUTED_VALUE"""),46187.0)</f>
        <v>46187</v>
      </c>
      <c r="C4538" s="130">
        <f>IFERROR(__xludf.DUMMYFUNCTION("""COMPUTED_VALUE"""),0.48215277777777776)</f>
        <v>0.4821527778</v>
      </c>
      <c r="D4538" s="122" t="str">
        <f>IFERROR(__xludf.DUMMYFUNCTION("""COMPUTED_VALUE"""),"SBND")</f>
        <v>SBND</v>
      </c>
      <c r="E4538" s="122" t="str">
        <f>IFERROR(__xludf.DUMMYFUNCTION("""COMPUTED_VALUE"""),"School Savings Bond")</f>
        <v>School Savings Bond</v>
      </c>
      <c r="F4538" s="122" t="str">
        <f>IFERROR(__xludf.DUMMYFUNCTION("""COMPUTED_VALUE"""),"Bond")</f>
        <v>Bond</v>
      </c>
    </row>
    <row r="4539">
      <c r="A4539" s="131">
        <f>IFERROR(__xludf.DUMMYFUNCTION("""COMPUTED_VALUE"""),46187.482152777775)</f>
        <v>46187.48215</v>
      </c>
      <c r="B4539" s="126">
        <f>IFERROR(__xludf.DUMMYFUNCTION("""COMPUTED_VALUE"""),46187.0)</f>
        <v>46187</v>
      </c>
      <c r="C4539" s="130">
        <f>IFERROR(__xludf.DUMMYFUNCTION("""COMPUTED_VALUE"""),0.48215277777777776)</f>
        <v>0.4821527778</v>
      </c>
      <c r="D4539" s="122" t="str">
        <f>IFERROR(__xludf.DUMMYFUNCTION("""COMPUTED_VALUE"""),"CBND")</f>
        <v>CBND</v>
      </c>
      <c r="E4539" s="122" t="str">
        <f>IFERROR(__xludf.DUMMYFUNCTION("""COMPUTED_VALUE"""),"Corporate Classroom Bond")</f>
        <v>Corporate Classroom Bond</v>
      </c>
      <c r="F4539" s="122" t="str">
        <f>IFERROR(__xludf.DUMMYFUNCTION("""COMPUTED_VALUE"""),"Bond")</f>
        <v>Bond</v>
      </c>
    </row>
    <row r="4540">
      <c r="A4540" s="131">
        <f>IFERROR(__xludf.DUMMYFUNCTION("""COMPUTED_VALUE"""),46187.482152777775)</f>
        <v>46187.48215</v>
      </c>
      <c r="B4540" s="126">
        <f>IFERROR(__xludf.DUMMYFUNCTION("""COMPUTED_VALUE"""),46187.0)</f>
        <v>46187</v>
      </c>
      <c r="C4540" s="130">
        <f>IFERROR(__xludf.DUMMYFUNCTION("""COMPUTED_VALUE"""),0.48215277777777776)</f>
        <v>0.4821527778</v>
      </c>
      <c r="D4540" s="122" t="str">
        <f>IFERROR(__xludf.DUMMYFUNCTION("""COMPUTED_VALUE"""),"TBIL")</f>
        <v>TBIL</v>
      </c>
      <c r="E4540" s="122" t="str">
        <f>IFERROR(__xludf.DUMMYFUNCTION("""COMPUTED_VALUE"""),"Treasury Bill")</f>
        <v>Treasury Bill</v>
      </c>
      <c r="F4540" s="122" t="str">
        <f>IFERROR(__xludf.DUMMYFUNCTION("""COMPUTED_VALUE"""),"Bond")</f>
        <v>Bond</v>
      </c>
    </row>
    <row r="4541">
      <c r="A4541" s="131">
        <f>IFERROR(__xludf.DUMMYFUNCTION("""COMPUTED_VALUE"""),46187.482152777775)</f>
        <v>46187.48215</v>
      </c>
      <c r="B4541" s="126">
        <f>IFERROR(__xludf.DUMMYFUNCTION("""COMPUTED_VALUE"""),46187.0)</f>
        <v>46187</v>
      </c>
      <c r="C4541" s="130">
        <f>IFERROR(__xludf.DUMMYFUNCTION("""COMPUTED_VALUE"""),0.48215277777777776)</f>
        <v>0.4821527778</v>
      </c>
      <c r="D4541" s="122" t="str">
        <f>IFERROR(__xludf.DUMMYFUNCTION("""COMPUTED_VALUE"""),"IBND")</f>
        <v>IBND</v>
      </c>
      <c r="E4541" s="122" t="str">
        <f>IFERROR(__xludf.DUMMYFUNCTION("""COMPUTED_VALUE"""),"Inflation Protected Bond")</f>
        <v>Inflation Protected Bond</v>
      </c>
      <c r="F4541" s="122" t="str">
        <f>IFERROR(__xludf.DUMMYFUNCTION("""COMPUTED_VALUE"""),"Bond")</f>
        <v>Bond</v>
      </c>
    </row>
    <row r="4542">
      <c r="A4542" s="131">
        <f>IFERROR(__xludf.DUMMYFUNCTION("""COMPUTED_VALUE"""),46187.48478009259)</f>
        <v>46187.48478</v>
      </c>
      <c r="B4542" s="126">
        <f>IFERROR(__xludf.DUMMYFUNCTION("""COMPUTED_VALUE"""),46187.0)</f>
        <v>46187</v>
      </c>
      <c r="C4542" s="122" t="str">
        <f>IFERROR(__xludf.DUMMYFUNCTION("""COMPUTED_VALUE"""),"SNAX")</f>
        <v>SNAX</v>
      </c>
      <c r="D4542" s="122" t="str">
        <f>IFERROR(__xludf.DUMMYFUNCTION("""COMPUTED_VALUE"""),"MICA Snacks")</f>
        <v>MICA Snacks</v>
      </c>
      <c r="E4542" s="122">
        <f>IFERROR(__xludf.DUMMYFUNCTION("""COMPUTED_VALUE"""),120.22)</f>
        <v>120.22</v>
      </c>
      <c r="F4542" s="122">
        <f>IFERROR(__xludf.DUMMYFUNCTION("""COMPUTED_VALUE"""),0.0059)</f>
        <v>0.0059</v>
      </c>
    </row>
    <row r="4543">
      <c r="A4543" s="131">
        <f>IFERROR(__xludf.DUMMYFUNCTION("""COMPUTED_VALUE"""),46187.48478009259)</f>
        <v>46187.48478</v>
      </c>
      <c r="B4543" s="126">
        <f>IFERROR(__xludf.DUMMYFUNCTION("""COMPUTED_VALUE"""),46187.0)</f>
        <v>46187</v>
      </c>
      <c r="C4543" s="122" t="str">
        <f>IFERROR(__xludf.DUMMYFUNCTION("""COMPUTED_VALUE"""),"RAMN")</f>
        <v>RAMN</v>
      </c>
      <c r="D4543" s="122" t="str">
        <f>IFERROR(__xludf.DUMMYFUNCTION("""COMPUTED_VALUE"""),"Ramen Republic")</f>
        <v>Ramen Republic</v>
      </c>
      <c r="E4543" s="122">
        <f>IFERROR(__xludf.DUMMYFUNCTION("""COMPUTED_VALUE"""),69.49)</f>
        <v>69.49</v>
      </c>
      <c r="F4543" s="122">
        <f>IFERROR(__xludf.DUMMYFUNCTION("""COMPUTED_VALUE"""),-0.0044)</f>
        <v>-0.0044</v>
      </c>
    </row>
    <row r="4544">
      <c r="A4544" s="131">
        <f>IFERROR(__xludf.DUMMYFUNCTION("""COMPUTED_VALUE"""),46187.48478009259)</f>
        <v>46187.48478</v>
      </c>
      <c r="B4544" s="126">
        <f>IFERROR(__xludf.DUMMYFUNCTION("""COMPUTED_VALUE"""),46187.0)</f>
        <v>46187</v>
      </c>
      <c r="C4544" s="122" t="str">
        <f>IFERROR(__xludf.DUMMYFUNCTION("""COMPUTED_VALUE"""),"COLA")</f>
        <v>COLA</v>
      </c>
      <c r="D4544" s="122" t="str">
        <f>IFERROR(__xludf.DUMMYFUNCTION("""COMPUTED_VALUE"""),"K-Pop Cola")</f>
        <v>K-Pop Cola</v>
      </c>
      <c r="E4544" s="122">
        <f>IFERROR(__xludf.DUMMYFUNCTION("""COMPUTED_VALUE"""),110.21)</f>
        <v>110.21</v>
      </c>
      <c r="F4544" s="122">
        <f>IFERROR(__xludf.DUMMYFUNCTION("""COMPUTED_VALUE"""),-0.0033)</f>
        <v>-0.0033</v>
      </c>
    </row>
    <row r="4545">
      <c r="A4545" s="131">
        <f>IFERROR(__xludf.DUMMYFUNCTION("""COMPUTED_VALUE"""),46187.48478009259)</f>
        <v>46187.48478</v>
      </c>
      <c r="B4545" s="126">
        <f>IFERROR(__xludf.DUMMYFUNCTION("""COMPUTED_VALUE"""),46187.0)</f>
        <v>46187</v>
      </c>
      <c r="C4545" s="122" t="str">
        <f>IFERROR(__xludf.DUMMYFUNCTION("""COMPUTED_VALUE"""),"CHIP")</f>
        <v>CHIP</v>
      </c>
      <c r="D4545" s="122" t="str">
        <f>IFERROR(__xludf.DUMMYFUNCTION("""COMPUTED_VALUE"""),"Chip Empire")</f>
        <v>Chip Empire</v>
      </c>
      <c r="E4545" s="122">
        <f>IFERROR(__xludf.DUMMYFUNCTION("""COMPUTED_VALUE"""),85.52)</f>
        <v>85.52</v>
      </c>
      <c r="F4545" s="122">
        <f>IFERROR(__xludf.DUMMYFUNCTION("""COMPUTED_VALUE"""),0.0027)</f>
        <v>0.0027</v>
      </c>
    </row>
    <row r="4546">
      <c r="A4546" s="131">
        <f>IFERROR(__xludf.DUMMYFUNCTION("""COMPUTED_VALUE"""),46187.48478009259)</f>
        <v>46187.48478</v>
      </c>
      <c r="B4546" s="126">
        <f>IFERROR(__xludf.DUMMYFUNCTION("""COMPUTED_VALUE"""),46187.0)</f>
        <v>46187</v>
      </c>
      <c r="C4546" s="122" t="str">
        <f>IFERROR(__xludf.DUMMYFUNCTION("""COMPUTED_VALUE"""),"CAND")</f>
        <v>CAND</v>
      </c>
      <c r="D4546" s="122" t="str">
        <f>IFERROR(__xludf.DUMMYFUNCTION("""COMPUTED_VALUE"""),"Candy Capital")</f>
        <v>Candy Capital</v>
      </c>
      <c r="E4546" s="122">
        <f>IFERROR(__xludf.DUMMYFUNCTION("""COMPUTED_VALUE"""),77.41)</f>
        <v>77.41</v>
      </c>
      <c r="F4546" s="122">
        <f>IFERROR(__xludf.DUMMYFUNCTION("""COMPUTED_VALUE"""),-5.0E-4)</f>
        <v>-0.0005</v>
      </c>
    </row>
    <row r="4547">
      <c r="A4547" s="131">
        <f>IFERROR(__xludf.DUMMYFUNCTION("""COMPUTED_VALUE"""),46187.48478009259)</f>
        <v>46187.48478</v>
      </c>
      <c r="B4547" s="126">
        <f>IFERROR(__xludf.DUMMYFUNCTION("""COMPUTED_VALUE"""),46187.0)</f>
        <v>46187</v>
      </c>
      <c r="C4547" s="122" t="str">
        <f>IFERROR(__xludf.DUMMYFUNCTION("""COMPUTED_VALUE"""),"TECH")</f>
        <v>TECH</v>
      </c>
      <c r="D4547" s="122" t="str">
        <f>IFERROR(__xludf.DUMMYFUNCTION("""COMPUTED_VALUE"""),"Dragon Tech")</f>
        <v>Dragon Tech</v>
      </c>
      <c r="E4547" s="122">
        <f>IFERROR(__xludf.DUMMYFUNCTION("""COMPUTED_VALUE"""),241.28)</f>
        <v>241.28</v>
      </c>
      <c r="F4547" s="122">
        <f>IFERROR(__xludf.DUMMYFUNCTION("""COMPUTED_VALUE"""),0.0101)</f>
        <v>0.0101</v>
      </c>
    </row>
    <row r="4548">
      <c r="A4548" s="131">
        <f>IFERROR(__xludf.DUMMYFUNCTION("""COMPUTED_VALUE"""),46187.48478009259)</f>
        <v>46187.48478</v>
      </c>
      <c r="B4548" s="126">
        <f>IFERROR(__xludf.DUMMYFUNCTION("""COMPUTED_VALUE"""),46187.0)</f>
        <v>46187</v>
      </c>
      <c r="C4548" s="122" t="str">
        <f>IFERROR(__xludf.DUMMYFUNCTION("""COMPUTED_VALUE"""),"AIBO")</f>
        <v>AIBO</v>
      </c>
      <c r="D4548" s="122" t="str">
        <f>IFERROR(__xludf.DUMMYFUNCTION("""COMPUTED_VALUE"""),"Homework AI")</f>
        <v>Homework AI</v>
      </c>
      <c r="E4548" s="122">
        <f>IFERROR(__xludf.DUMMYFUNCTION("""COMPUTED_VALUE"""),179.96)</f>
        <v>179.96</v>
      </c>
      <c r="F4548" s="122">
        <f>IFERROR(__xludf.DUMMYFUNCTION("""COMPUTED_VALUE"""),0.0088)</f>
        <v>0.0088</v>
      </c>
    </row>
    <row r="4549">
      <c r="A4549" s="131">
        <f>IFERROR(__xludf.DUMMYFUNCTION("""COMPUTED_VALUE"""),46187.48478009259)</f>
        <v>46187.48478</v>
      </c>
      <c r="B4549" s="126">
        <f>IFERROR(__xludf.DUMMYFUNCTION("""COMPUTED_VALUE"""),46187.0)</f>
        <v>46187</v>
      </c>
      <c r="C4549" s="122" t="str">
        <f>IFERROR(__xludf.DUMMYFUNCTION("""COMPUTED_VALUE"""),"GAME")</f>
        <v>GAME</v>
      </c>
      <c r="D4549" s="122" t="str">
        <f>IFERROR(__xludf.DUMMYFUNCTION("""COMPUTED_VALUE"""),"GameBox Media")</f>
        <v>GameBox Media</v>
      </c>
      <c r="E4549" s="122">
        <f>IFERROR(__xludf.DUMMYFUNCTION("""COMPUTED_VALUE"""),95.64)</f>
        <v>95.64</v>
      </c>
      <c r="F4549" s="122">
        <f>IFERROR(__xludf.DUMMYFUNCTION("""COMPUTED_VALUE"""),-0.0106)</f>
        <v>-0.0106</v>
      </c>
    </row>
    <row r="4550">
      <c r="A4550" s="131">
        <f>IFERROR(__xludf.DUMMYFUNCTION("""COMPUTED_VALUE"""),46187.48478009259)</f>
        <v>46187.48478</v>
      </c>
      <c r="B4550" s="126">
        <f>IFERROR(__xludf.DUMMYFUNCTION("""COMPUTED_VALUE"""),46187.0)</f>
        <v>46187</v>
      </c>
      <c r="C4550" s="122" t="str">
        <f>IFERROR(__xludf.DUMMYFUNCTION("""COMPUTED_VALUE"""),"VRSE")</f>
        <v>VRSE</v>
      </c>
      <c r="D4550" s="122" t="str">
        <f>IFERROR(__xludf.DUMMYFUNCTION("""COMPUTED_VALUE"""),"VerseVR")</f>
        <v>VerseVR</v>
      </c>
      <c r="E4550" s="122">
        <f>IFERROR(__xludf.DUMMYFUNCTION("""COMPUTED_VALUE"""),151.28)</f>
        <v>151.28</v>
      </c>
      <c r="F4550" s="122">
        <f>IFERROR(__xludf.DUMMYFUNCTION("""COMPUTED_VALUE"""),0.0104)</f>
        <v>0.0104</v>
      </c>
    </row>
    <row r="4551">
      <c r="A4551" s="131">
        <f>IFERROR(__xludf.DUMMYFUNCTION("""COMPUTED_VALUE"""),46187.48478009259)</f>
        <v>46187.48478</v>
      </c>
      <c r="B4551" s="126">
        <f>IFERROR(__xludf.DUMMYFUNCTION("""COMPUTED_VALUE"""),46187.0)</f>
        <v>46187</v>
      </c>
      <c r="C4551" s="122" t="str">
        <f>IFERROR(__xludf.DUMMYFUNCTION("""COMPUTED_VALUE"""),"BYTE")</f>
        <v>BYTE</v>
      </c>
      <c r="D4551" s="122" t="str">
        <f>IFERROR(__xludf.DUMMYFUNCTION("""COMPUTED_VALUE"""),"ByteWorks")</f>
        <v>ByteWorks</v>
      </c>
      <c r="E4551" s="122">
        <f>IFERROR(__xludf.DUMMYFUNCTION("""COMPUTED_VALUE"""),109.5)</f>
        <v>109.5</v>
      </c>
      <c r="F4551" s="122">
        <f>IFERROR(__xludf.DUMMYFUNCTION("""COMPUTED_VALUE"""),0.0032)</f>
        <v>0.0032</v>
      </c>
    </row>
    <row r="4552">
      <c r="A4552" s="131">
        <f>IFERROR(__xludf.DUMMYFUNCTION("""COMPUTED_VALUE"""),46187.48478009259)</f>
        <v>46187.48478</v>
      </c>
      <c r="B4552" s="126">
        <f>IFERROR(__xludf.DUMMYFUNCTION("""COMPUTED_VALUE"""),46187.0)</f>
        <v>46187</v>
      </c>
      <c r="C4552" s="122" t="str">
        <f>IFERROR(__xludf.DUMMYFUNCTION("""COMPUTED_VALUE"""),"BANK")</f>
        <v>BANK</v>
      </c>
      <c r="D4552" s="122" t="str">
        <f>IFERROR(__xludf.DUMMYFUNCTION("""COMPUTED_VALUE"""),"Tiger Bank")</f>
        <v>Tiger Bank</v>
      </c>
      <c r="E4552" s="122">
        <f>IFERROR(__xludf.DUMMYFUNCTION("""COMPUTED_VALUE"""),128.27)</f>
        <v>128.27</v>
      </c>
      <c r="F4552" s="122">
        <f>IFERROR(__xludf.DUMMYFUNCTION("""COMPUTED_VALUE"""),0.0012)</f>
        <v>0.0012</v>
      </c>
    </row>
    <row r="4553">
      <c r="A4553" s="131">
        <f>IFERROR(__xludf.DUMMYFUNCTION("""COMPUTED_VALUE"""),46187.48478009259)</f>
        <v>46187.48478</v>
      </c>
      <c r="B4553" s="126">
        <f>IFERROR(__xludf.DUMMYFUNCTION("""COMPUTED_VALUE"""),46187.0)</f>
        <v>46187</v>
      </c>
      <c r="C4553" s="122" t="str">
        <f>IFERROR(__xludf.DUMMYFUNCTION("""COMPUTED_VALUE"""),"CRED")</f>
        <v>CRED</v>
      </c>
      <c r="D4553" s="122" t="str">
        <f>IFERROR(__xludf.DUMMYFUNCTION("""COMPUTED_VALUE"""),"Credit Castle")</f>
        <v>Credit Castle</v>
      </c>
      <c r="E4553" s="122">
        <f>IFERROR(__xludf.DUMMYFUNCTION("""COMPUTED_VALUE"""),66.31)</f>
        <v>66.31</v>
      </c>
      <c r="F4553" s="122">
        <f>IFERROR(__xludf.DUMMYFUNCTION("""COMPUTED_VALUE"""),0.0021)</f>
        <v>0.0021</v>
      </c>
    </row>
    <row r="4554">
      <c r="A4554" s="131">
        <f>IFERROR(__xludf.DUMMYFUNCTION("""COMPUTED_VALUE"""),46187.48478009259)</f>
        <v>46187.48478</v>
      </c>
      <c r="B4554" s="126">
        <f>IFERROR(__xludf.DUMMYFUNCTION("""COMPUTED_VALUE"""),46187.0)</f>
        <v>46187</v>
      </c>
      <c r="C4554" s="122" t="str">
        <f>IFERROR(__xludf.DUMMYFUNCTION("""COMPUTED_VALUE"""),"BOND")</f>
        <v>BOND</v>
      </c>
      <c r="D4554" s="122" t="str">
        <f>IFERROR(__xludf.DUMMYFUNCTION("""COMPUTED_VALUE"""),"BondBridge")</f>
        <v>BondBridge</v>
      </c>
      <c r="E4554" s="122">
        <f>IFERROR(__xludf.DUMMYFUNCTION("""COMPUTED_VALUE"""),99.65)</f>
        <v>99.65</v>
      </c>
      <c r="F4554" s="122">
        <f>IFERROR(__xludf.DUMMYFUNCTION("""COMPUTED_VALUE"""),-9.0E-4)</f>
        <v>-0.0009</v>
      </c>
    </row>
    <row r="4555">
      <c r="A4555" s="131">
        <f>IFERROR(__xludf.DUMMYFUNCTION("""COMPUTED_VALUE"""),46187.48478009259)</f>
        <v>46187.48478</v>
      </c>
      <c r="B4555" s="126">
        <f>IFERROR(__xludf.DUMMYFUNCTION("""COMPUTED_VALUE"""),46187.0)</f>
        <v>46187</v>
      </c>
      <c r="C4555" s="122" t="str">
        <f>IFERROR(__xludf.DUMMYFUNCTION("""COMPUTED_VALUE"""),"INSR")</f>
        <v>INSR</v>
      </c>
      <c r="D4555" s="122" t="str">
        <f>IFERROR(__xludf.DUMMYFUNCTION("""COMPUTED_VALUE"""),"Shield Insurance")</f>
        <v>Shield Insurance</v>
      </c>
      <c r="E4555" s="122">
        <f>IFERROR(__xludf.DUMMYFUNCTION("""COMPUTED_VALUE"""),160.42)</f>
        <v>160.42</v>
      </c>
      <c r="F4555" s="122">
        <f>IFERROR(__xludf.DUMMYFUNCTION("""COMPUTED_VALUE"""),0.0013)</f>
        <v>0.0013</v>
      </c>
    </row>
    <row r="4556">
      <c r="A4556" s="131">
        <f>IFERROR(__xludf.DUMMYFUNCTION("""COMPUTED_VALUE"""),46187.48478009259)</f>
        <v>46187.48478</v>
      </c>
      <c r="B4556" s="126">
        <f>IFERROR(__xludf.DUMMYFUNCTION("""COMPUTED_VALUE"""),46187.0)</f>
        <v>46187</v>
      </c>
      <c r="C4556" s="122" t="str">
        <f>IFERROR(__xludf.DUMMYFUNCTION("""COMPUTED_VALUE"""),"LOAN")</f>
        <v>LOAN</v>
      </c>
      <c r="D4556" s="122" t="str">
        <f>IFERROR(__xludf.DUMMYFUNCTION("""COMPUTED_VALUE"""),"LoanLab")</f>
        <v>LoanLab</v>
      </c>
      <c r="E4556" s="122">
        <f>IFERROR(__xludf.DUMMYFUNCTION("""COMPUTED_VALUE"""),65.33)</f>
        <v>65.33</v>
      </c>
      <c r="F4556" s="122">
        <f>IFERROR(__xludf.DUMMYFUNCTION("""COMPUTED_VALUE"""),0.0069)</f>
        <v>0.0069</v>
      </c>
    </row>
    <row r="4557">
      <c r="A4557" s="131">
        <f>IFERROR(__xludf.DUMMYFUNCTION("""COMPUTED_VALUE"""),46187.48478009259)</f>
        <v>46187.48478</v>
      </c>
      <c r="B4557" s="126">
        <f>IFERROR(__xludf.DUMMYFUNCTION("""COMPUTED_VALUE"""),46187.0)</f>
        <v>46187</v>
      </c>
      <c r="C4557" s="122" t="str">
        <f>IFERROR(__xludf.DUMMYFUNCTION("""COMPUTED_VALUE"""),"LUXE")</f>
        <v>LUXE</v>
      </c>
      <c r="D4557" s="122" t="str">
        <f>IFERROR(__xludf.DUMMYFUNCTION("""COMPUTED_VALUE"""),"Luxury Locker")</f>
        <v>Luxury Locker</v>
      </c>
      <c r="E4557" s="122">
        <f>IFERROR(__xludf.DUMMYFUNCTION("""COMPUTED_VALUE"""),263.77)</f>
        <v>263.77</v>
      </c>
      <c r="F4557" s="122">
        <f>IFERROR(__xludf.DUMMYFUNCTION("""COMPUTED_VALUE"""),0.0048)</f>
        <v>0.0048</v>
      </c>
    </row>
    <row r="4558">
      <c r="A4558" s="131">
        <f>IFERROR(__xludf.DUMMYFUNCTION("""COMPUTED_VALUE"""),46187.48478009259)</f>
        <v>46187.48478</v>
      </c>
      <c r="B4558" s="126">
        <f>IFERROR(__xludf.DUMMYFUNCTION("""COMPUTED_VALUE"""),46187.0)</f>
        <v>46187</v>
      </c>
      <c r="C4558" s="122" t="str">
        <f>IFERROR(__xludf.DUMMYFUNCTION("""COMPUTED_VALUE"""),"DRIP")</f>
        <v>DRIP</v>
      </c>
      <c r="D4558" s="122" t="str">
        <f>IFERROR(__xludf.DUMMYFUNCTION("""COMPUTED_VALUE"""),"Drip Streetwear")</f>
        <v>Drip Streetwear</v>
      </c>
      <c r="E4558" s="122">
        <f>IFERROR(__xludf.DUMMYFUNCTION("""COMPUTED_VALUE"""),192.31)</f>
        <v>192.31</v>
      </c>
      <c r="F4558" s="122">
        <f>IFERROR(__xludf.DUMMYFUNCTION("""COMPUTED_VALUE"""),-0.0096)</f>
        <v>-0.0096</v>
      </c>
    </row>
    <row r="4559">
      <c r="A4559" s="131">
        <f>IFERROR(__xludf.DUMMYFUNCTION("""COMPUTED_VALUE"""),46187.48478009259)</f>
        <v>46187.48478</v>
      </c>
      <c r="B4559" s="126">
        <f>IFERROR(__xludf.DUMMYFUNCTION("""COMPUTED_VALUE"""),46187.0)</f>
        <v>46187</v>
      </c>
      <c r="C4559" s="122" t="str">
        <f>IFERROR(__xludf.DUMMYFUNCTION("""COMPUTED_VALUE"""),"KICK")</f>
        <v>KICK</v>
      </c>
      <c r="D4559" s="122" t="str">
        <f>IFERROR(__xludf.DUMMYFUNCTION("""COMPUTED_VALUE"""),"KickDrop Sneakers")</f>
        <v>KickDrop Sneakers</v>
      </c>
      <c r="E4559" s="122">
        <f>IFERROR(__xludf.DUMMYFUNCTION("""COMPUTED_VALUE"""),171.84)</f>
        <v>171.84</v>
      </c>
      <c r="F4559" s="122">
        <f>IFERROR(__xludf.DUMMYFUNCTION("""COMPUTED_VALUE"""),-5.0E-4)</f>
        <v>-0.0005</v>
      </c>
    </row>
    <row r="4560">
      <c r="A4560" s="131">
        <f>IFERROR(__xludf.DUMMYFUNCTION("""COMPUTED_VALUE"""),46187.48478009259)</f>
        <v>46187.48478</v>
      </c>
      <c r="B4560" s="126">
        <f>IFERROR(__xludf.DUMMYFUNCTION("""COMPUTED_VALUE"""),46187.0)</f>
        <v>46187</v>
      </c>
      <c r="C4560" s="122" t="str">
        <f>IFERROR(__xludf.DUMMYFUNCTION("""COMPUTED_VALUE"""),"GLAM")</f>
        <v>GLAM</v>
      </c>
      <c r="D4560" s="122" t="str">
        <f>IFERROR(__xludf.DUMMYFUNCTION("""COMPUTED_VALUE"""),"Glow Cosmetics")</f>
        <v>Glow Cosmetics</v>
      </c>
      <c r="E4560" s="122">
        <f>IFERROR(__xludf.DUMMYFUNCTION("""COMPUTED_VALUE"""),103.61)</f>
        <v>103.61</v>
      </c>
      <c r="F4560" s="122">
        <f>IFERROR(__xludf.DUMMYFUNCTION("""COMPUTED_VALUE"""),0.0023)</f>
        <v>0.0023</v>
      </c>
    </row>
    <row r="4561">
      <c r="A4561" s="131">
        <f>IFERROR(__xludf.DUMMYFUNCTION("""COMPUTED_VALUE"""),46187.48478009259)</f>
        <v>46187.48478</v>
      </c>
      <c r="B4561" s="126">
        <f>IFERROR(__xludf.DUMMYFUNCTION("""COMPUTED_VALUE"""),46187.0)</f>
        <v>46187</v>
      </c>
      <c r="C4561" s="122" t="str">
        <f>IFERROR(__xludf.DUMMYFUNCTION("""COMPUTED_VALUE"""),"BAGG")</f>
        <v>BAGG</v>
      </c>
      <c r="D4561" s="122" t="str">
        <f>IFERROR(__xludf.DUMMYFUNCTION("""COMPUTED_VALUE"""),"BagVault")</f>
        <v>BagVault</v>
      </c>
      <c r="E4561" s="122">
        <f>IFERROR(__xludf.DUMMYFUNCTION("""COMPUTED_VALUE"""),252.12)</f>
        <v>252.12</v>
      </c>
      <c r="F4561" s="122">
        <f>IFERROR(__xludf.DUMMYFUNCTION("""COMPUTED_VALUE"""),-0.0037)</f>
        <v>-0.0037</v>
      </c>
    </row>
    <row r="4562">
      <c r="A4562" s="131">
        <f>IFERROR(__xludf.DUMMYFUNCTION("""COMPUTED_VALUE"""),46187.48478009259)</f>
        <v>46187.48478</v>
      </c>
      <c r="B4562" s="126">
        <f>IFERROR(__xludf.DUMMYFUNCTION("""COMPUTED_VALUE"""),46187.0)</f>
        <v>46187</v>
      </c>
      <c r="C4562" s="122" t="str">
        <f>IFERROR(__xludf.DUMMYFUNCTION("""COMPUTED_VALUE"""),"FAST")</f>
        <v>FAST</v>
      </c>
      <c r="D4562" s="122" t="str">
        <f>IFERROR(__xludf.DUMMYFUNCTION("""COMPUTED_VALUE"""),"Flash Logistics")</f>
        <v>Flash Logistics</v>
      </c>
      <c r="E4562" s="122">
        <f>IFERROR(__xludf.DUMMYFUNCTION("""COMPUTED_VALUE"""),104.44)</f>
        <v>104.44</v>
      </c>
      <c r="F4562" s="122">
        <f>IFERROR(__xludf.DUMMYFUNCTION("""COMPUTED_VALUE"""),0.0015)</f>
        <v>0.0015</v>
      </c>
    </row>
    <row r="4563">
      <c r="A4563" s="131">
        <f>IFERROR(__xludf.DUMMYFUNCTION("""COMPUTED_VALUE"""),46187.48478009259)</f>
        <v>46187.48478</v>
      </c>
      <c r="B4563" s="126">
        <f>IFERROR(__xludf.DUMMYFUNCTION("""COMPUTED_VALUE"""),46187.0)</f>
        <v>46187</v>
      </c>
      <c r="C4563" s="122" t="str">
        <f>IFERROR(__xludf.DUMMYFUNCTION("""COMPUTED_VALUE"""),"SHIP")</f>
        <v>SHIP</v>
      </c>
      <c r="D4563" s="122" t="str">
        <f>IFERROR(__xludf.DUMMYFUNCTION("""COMPUTED_VALUE"""),"Seoul Shipping")</f>
        <v>Seoul Shipping</v>
      </c>
      <c r="E4563" s="122">
        <f>IFERROR(__xludf.DUMMYFUNCTION("""COMPUTED_VALUE"""),124.25)</f>
        <v>124.25</v>
      </c>
      <c r="F4563" s="122">
        <f>IFERROR(__xludf.DUMMYFUNCTION("""COMPUTED_VALUE"""),-9.0E-4)</f>
        <v>-0.0009</v>
      </c>
    </row>
    <row r="4564">
      <c r="A4564" s="131">
        <f>IFERROR(__xludf.DUMMYFUNCTION("""COMPUTED_VALUE"""),46187.48478009259)</f>
        <v>46187.48478</v>
      </c>
      <c r="B4564" s="126">
        <f>IFERROR(__xludf.DUMMYFUNCTION("""COMPUTED_VALUE"""),46187.0)</f>
        <v>46187</v>
      </c>
      <c r="C4564" s="122" t="str">
        <f>IFERROR(__xludf.DUMMYFUNCTION("""COMPUTED_VALUE"""),"DRON")</f>
        <v>DRON</v>
      </c>
      <c r="D4564" s="122" t="str">
        <f>IFERROR(__xludf.DUMMYFUNCTION("""COMPUTED_VALUE"""),"DroneDrop")</f>
        <v>DroneDrop</v>
      </c>
      <c r="E4564" s="122">
        <f>IFERROR(__xludf.DUMMYFUNCTION("""COMPUTED_VALUE"""),127.44)</f>
        <v>127.44</v>
      </c>
      <c r="F4564" s="122">
        <f>IFERROR(__xludf.DUMMYFUNCTION("""COMPUTED_VALUE"""),-0.0079)</f>
        <v>-0.0079</v>
      </c>
    </row>
    <row r="4565">
      <c r="A4565" s="131">
        <f>IFERROR(__xludf.DUMMYFUNCTION("""COMPUTED_VALUE"""),46187.48478009259)</f>
        <v>46187.48478</v>
      </c>
      <c r="B4565" s="126">
        <f>IFERROR(__xludf.DUMMYFUNCTION("""COMPUTED_VALUE"""),46187.0)</f>
        <v>46187</v>
      </c>
      <c r="C4565" s="122" t="str">
        <f>IFERROR(__xludf.DUMMYFUNCTION("""COMPUTED_VALUE"""),"RIDE")</f>
        <v>RIDE</v>
      </c>
      <c r="D4565" s="122" t="str">
        <f>IFERROR(__xludf.DUMMYFUNCTION("""COMPUTED_VALUE"""),"QuickRide")</f>
        <v>QuickRide</v>
      </c>
      <c r="E4565" s="122">
        <f>IFERROR(__xludf.DUMMYFUNCTION("""COMPUTED_VALUE"""),94.78)</f>
        <v>94.78</v>
      </c>
      <c r="F4565" s="122">
        <f>IFERROR(__xludf.DUMMYFUNCTION("""COMPUTED_VALUE"""),-0.0073)</f>
        <v>-0.0073</v>
      </c>
    </row>
    <row r="4566">
      <c r="A4566" s="131">
        <f>IFERROR(__xludf.DUMMYFUNCTION("""COMPUTED_VALUE"""),46187.48478009259)</f>
        <v>46187.48478</v>
      </c>
      <c r="B4566" s="126">
        <f>IFERROR(__xludf.DUMMYFUNCTION("""COMPUTED_VALUE"""),46187.0)</f>
        <v>46187</v>
      </c>
      <c r="C4566" s="122" t="str">
        <f>IFERROR(__xludf.DUMMYFUNCTION("""COMPUTED_VALUE"""),"RAIL")</f>
        <v>RAIL</v>
      </c>
      <c r="D4566" s="122" t="str">
        <f>IFERROR(__xludf.DUMMYFUNCTION("""COMPUTED_VALUE"""),"MetroRail Corp")</f>
        <v>MetroRail Corp</v>
      </c>
      <c r="E4566" s="122">
        <f>IFERROR(__xludf.DUMMYFUNCTION("""COMPUTED_VALUE"""),134.27)</f>
        <v>134.27</v>
      </c>
      <c r="F4566" s="122">
        <f>IFERROR(__xludf.DUMMYFUNCTION("""COMPUTED_VALUE"""),-2.0E-4)</f>
        <v>-0.0002</v>
      </c>
    </row>
    <row r="4567">
      <c r="A4567" s="131">
        <f>IFERROR(__xludf.DUMMYFUNCTION("""COMPUTED_VALUE"""),46187.48478009259)</f>
        <v>46187.48478</v>
      </c>
      <c r="B4567" s="126">
        <f>IFERROR(__xludf.DUMMYFUNCTION("""COMPUTED_VALUE"""),46187.0)</f>
        <v>46187</v>
      </c>
      <c r="C4567" s="122" t="str">
        <f>IFERROR(__xludf.DUMMYFUNCTION("""COMPUTED_VALUE"""),"MEDX")</f>
        <v>MEDX</v>
      </c>
      <c r="D4567" s="122" t="str">
        <f>IFERROR(__xludf.DUMMYFUNCTION("""COMPUTED_VALUE"""),"MediCore")</f>
        <v>MediCore</v>
      </c>
      <c r="E4567" s="122">
        <f>IFERROR(__xludf.DUMMYFUNCTION("""COMPUTED_VALUE"""),138.72)</f>
        <v>138.72</v>
      </c>
      <c r="F4567" s="122">
        <f>IFERROR(__xludf.DUMMYFUNCTION("""COMPUTED_VALUE"""),-0.001)</f>
        <v>-0.001</v>
      </c>
    </row>
    <row r="4568">
      <c r="A4568" s="131">
        <f>IFERROR(__xludf.DUMMYFUNCTION("""COMPUTED_VALUE"""),46187.48478009259)</f>
        <v>46187.48478</v>
      </c>
      <c r="B4568" s="126">
        <f>IFERROR(__xludf.DUMMYFUNCTION("""COMPUTED_VALUE"""),46187.0)</f>
        <v>46187</v>
      </c>
      <c r="C4568" s="122" t="str">
        <f>IFERROR(__xludf.DUMMYFUNCTION("""COMPUTED_VALUE"""),"GYMX")</f>
        <v>GYMX</v>
      </c>
      <c r="D4568" s="122" t="str">
        <f>IFERROR(__xludf.DUMMYFUNCTION("""COMPUTED_VALUE"""),"GymX Fitness")</f>
        <v>GymX Fitness</v>
      </c>
      <c r="E4568" s="122">
        <f>IFERROR(__xludf.DUMMYFUNCTION("""COMPUTED_VALUE"""),86.33)</f>
        <v>86.33</v>
      </c>
      <c r="F4568" s="122">
        <f>IFERROR(__xludf.DUMMYFUNCTION("""COMPUTED_VALUE"""),-8.0E-4)</f>
        <v>-0.0008</v>
      </c>
    </row>
    <row r="4569">
      <c r="A4569" s="131">
        <f>IFERROR(__xludf.DUMMYFUNCTION("""COMPUTED_VALUE"""),46187.48478009259)</f>
        <v>46187.48478</v>
      </c>
      <c r="B4569" s="126">
        <f>IFERROR(__xludf.DUMMYFUNCTION("""COMPUTED_VALUE"""),46187.0)</f>
        <v>46187</v>
      </c>
      <c r="C4569" s="122" t="str">
        <f>IFERROR(__xludf.DUMMYFUNCTION("""COMPUTED_VALUE"""),"VITA")</f>
        <v>VITA</v>
      </c>
      <c r="D4569" s="122" t="str">
        <f>IFERROR(__xludf.DUMMYFUNCTION("""COMPUTED_VALUE"""),"VitaPlus")</f>
        <v>VitaPlus</v>
      </c>
      <c r="E4569" s="122">
        <f>IFERROR(__xludf.DUMMYFUNCTION("""COMPUTED_VALUE"""),73.54)</f>
        <v>73.54</v>
      </c>
      <c r="F4569" s="122">
        <f>IFERROR(__xludf.DUMMYFUNCTION("""COMPUTED_VALUE"""),-0.0028)</f>
        <v>-0.0028</v>
      </c>
    </row>
    <row r="4570">
      <c r="A4570" s="131">
        <f>IFERROR(__xludf.DUMMYFUNCTION("""COMPUTED_VALUE"""),46187.48478009259)</f>
        <v>46187.48478</v>
      </c>
      <c r="B4570" s="126">
        <f>IFERROR(__xludf.DUMMYFUNCTION("""COMPUTED_VALUE"""),46187.0)</f>
        <v>46187</v>
      </c>
      <c r="C4570" s="122" t="str">
        <f>IFERROR(__xludf.DUMMYFUNCTION("""COMPUTED_VALUE"""),"CARE")</f>
        <v>CARE</v>
      </c>
      <c r="D4570" s="122" t="str">
        <f>IFERROR(__xludf.DUMMYFUNCTION("""COMPUTED_VALUE"""),"CareCloud")</f>
        <v>CareCloud</v>
      </c>
      <c r="E4570" s="122">
        <f>IFERROR(__xludf.DUMMYFUNCTION("""COMPUTED_VALUE"""),178.04)</f>
        <v>178.04</v>
      </c>
      <c r="F4570" s="122">
        <f>IFERROR(__xludf.DUMMYFUNCTION("""COMPUTED_VALUE"""),0.0017)</f>
        <v>0.0017</v>
      </c>
    </row>
    <row r="4571">
      <c r="A4571" s="131">
        <f>IFERROR(__xludf.DUMMYFUNCTION("""COMPUTED_VALUE"""),46187.48478009259)</f>
        <v>46187.48478</v>
      </c>
      <c r="B4571" s="126">
        <f>IFERROR(__xludf.DUMMYFUNCTION("""COMPUTED_VALUE"""),46187.0)</f>
        <v>46187</v>
      </c>
      <c r="C4571" s="122" t="str">
        <f>IFERROR(__xludf.DUMMYFUNCTION("""COMPUTED_VALUE"""),"DENT")</f>
        <v>DENT</v>
      </c>
      <c r="D4571" s="122" t="str">
        <f>IFERROR(__xludf.DUMMYFUNCTION("""COMPUTED_VALUE"""),"SmileWorks")</f>
        <v>SmileWorks</v>
      </c>
      <c r="E4571" s="122">
        <f>IFERROR(__xludf.DUMMYFUNCTION("""COMPUTED_VALUE"""),86.7)</f>
        <v>86.7</v>
      </c>
      <c r="F4571" s="122">
        <f>IFERROR(__xludf.DUMMYFUNCTION("""COMPUTED_VALUE"""),-8.0E-4)</f>
        <v>-0.0008</v>
      </c>
    </row>
    <row r="4572">
      <c r="A4572" s="131">
        <f>IFERROR(__xludf.DUMMYFUNCTION("""COMPUTED_VALUE"""),46187.48478009259)</f>
        <v>46187.48478</v>
      </c>
      <c r="B4572" s="126">
        <f>IFERROR(__xludf.DUMMYFUNCTION("""COMPUTED_VALUE"""),46187.0)</f>
        <v>46187</v>
      </c>
      <c r="C4572" s="122" t="str">
        <f>IFERROR(__xludf.DUMMYFUNCTION("""COMPUTED_VALUE"""),"EDUX")</f>
        <v>EDUX</v>
      </c>
      <c r="D4572" s="122" t="str">
        <f>IFERROR(__xludf.DUMMYFUNCTION("""COMPUTED_VALUE"""),"EduMax Learning")</f>
        <v>EduMax Learning</v>
      </c>
      <c r="E4572" s="122">
        <f>IFERROR(__xludf.DUMMYFUNCTION("""COMPUTED_VALUE"""),137.16)</f>
        <v>137.16</v>
      </c>
      <c r="F4572" s="122">
        <f>IFERROR(__xludf.DUMMYFUNCTION("""COMPUTED_VALUE"""),-0.0037)</f>
        <v>-0.0037</v>
      </c>
    </row>
    <row r="4573">
      <c r="A4573" s="131">
        <f>IFERROR(__xludf.DUMMYFUNCTION("""COMPUTED_VALUE"""),46187.48478009259)</f>
        <v>46187.48478</v>
      </c>
      <c r="B4573" s="126">
        <f>IFERROR(__xludf.DUMMYFUNCTION("""COMPUTED_VALUE"""),46187.0)</f>
        <v>46187</v>
      </c>
      <c r="C4573" s="122" t="str">
        <f>IFERROR(__xludf.DUMMYFUNCTION("""COMPUTED_VALUE"""),"BOOK")</f>
        <v>BOOK</v>
      </c>
      <c r="D4573" s="122" t="str">
        <f>IFERROR(__xludf.DUMMYFUNCTION("""COMPUTED_VALUE"""),"BookBridge")</f>
        <v>BookBridge</v>
      </c>
      <c r="E4573" s="122">
        <f>IFERROR(__xludf.DUMMYFUNCTION("""COMPUTED_VALUE"""),118.06)</f>
        <v>118.06</v>
      </c>
      <c r="F4573" s="122">
        <f>IFERROR(__xludf.DUMMYFUNCTION("""COMPUTED_VALUE"""),0.005)</f>
        <v>0.005</v>
      </c>
    </row>
    <row r="4574">
      <c r="A4574" s="131">
        <f>IFERROR(__xludf.DUMMYFUNCTION("""COMPUTED_VALUE"""),46187.48478009259)</f>
        <v>46187.48478</v>
      </c>
      <c r="B4574" s="126">
        <f>IFERROR(__xludf.DUMMYFUNCTION("""COMPUTED_VALUE"""),46187.0)</f>
        <v>46187</v>
      </c>
      <c r="C4574" s="122" t="str">
        <f>IFERROR(__xludf.DUMMYFUNCTION("""COMPUTED_VALUE"""),"TUTR")</f>
        <v>TUTR</v>
      </c>
      <c r="D4574" s="122" t="str">
        <f>IFERROR(__xludf.DUMMYFUNCTION("""COMPUTED_VALUE"""),"TutorTown")</f>
        <v>TutorTown</v>
      </c>
      <c r="E4574" s="122">
        <f>IFERROR(__xludf.DUMMYFUNCTION("""COMPUTED_VALUE"""),90.71)</f>
        <v>90.71</v>
      </c>
      <c r="F4574" s="122">
        <f>IFERROR(__xludf.DUMMYFUNCTION("""COMPUTED_VALUE"""),-0.0029)</f>
        <v>-0.0029</v>
      </c>
    </row>
    <row r="4575">
      <c r="A4575" s="131">
        <f>IFERROR(__xludf.DUMMYFUNCTION("""COMPUTED_VALUE"""),46187.48478009259)</f>
        <v>46187.48478</v>
      </c>
      <c r="B4575" s="126">
        <f>IFERROR(__xludf.DUMMYFUNCTION("""COMPUTED_VALUE"""),46187.0)</f>
        <v>46187</v>
      </c>
      <c r="C4575" s="122" t="str">
        <f>IFERROR(__xludf.DUMMYFUNCTION("""COMPUTED_VALUE"""),"LANG")</f>
        <v>LANG</v>
      </c>
      <c r="D4575" s="122" t="str">
        <f>IFERROR(__xludf.DUMMYFUNCTION("""COMPUTED_VALUE"""),"LinguaLab")</f>
        <v>LinguaLab</v>
      </c>
      <c r="E4575" s="122">
        <f>IFERROR(__xludf.DUMMYFUNCTION("""COMPUTED_VALUE"""),98.72)</f>
        <v>98.72</v>
      </c>
      <c r="F4575" s="122">
        <f>IFERROR(__xludf.DUMMYFUNCTION("""COMPUTED_VALUE"""),0.0022)</f>
        <v>0.0022</v>
      </c>
    </row>
    <row r="4576">
      <c r="A4576" s="131">
        <f>IFERROR(__xludf.DUMMYFUNCTION("""COMPUTED_VALUE"""),46187.48478009259)</f>
        <v>46187.48478</v>
      </c>
      <c r="B4576" s="126">
        <f>IFERROR(__xludf.DUMMYFUNCTION("""COMPUTED_VALUE"""),46187.0)</f>
        <v>46187</v>
      </c>
      <c r="C4576" s="122" t="str">
        <f>IFERROR(__xludf.DUMMYFUNCTION("""COMPUTED_VALUE"""),"TEST")</f>
        <v>TEST</v>
      </c>
      <c r="D4576" s="122" t="str">
        <f>IFERROR(__xludf.DUMMYFUNCTION("""COMPUTED_VALUE"""),"TestPrep Pro")</f>
        <v>TestPrep Pro</v>
      </c>
      <c r="E4576" s="122">
        <f>IFERROR(__xludf.DUMMYFUNCTION("""COMPUTED_VALUE"""),95.3)</f>
        <v>95.3</v>
      </c>
      <c r="F4576" s="122">
        <f>IFERROR(__xludf.DUMMYFUNCTION("""COMPUTED_VALUE"""),-0.0039)</f>
        <v>-0.0039</v>
      </c>
    </row>
    <row r="4577">
      <c r="A4577" s="131">
        <f>IFERROR(__xludf.DUMMYFUNCTION("""COMPUTED_VALUE"""),46187.48478009259)</f>
        <v>46187.48478</v>
      </c>
      <c r="B4577" s="126">
        <f>IFERROR(__xludf.DUMMYFUNCTION("""COMPUTED_VALUE"""),46187.0)</f>
        <v>46187</v>
      </c>
      <c r="C4577" s="122" t="str">
        <f>IFERROR(__xludf.DUMMYFUNCTION("""COMPUTED_VALUE"""),"MOVI")</f>
        <v>MOVI</v>
      </c>
      <c r="D4577" s="122" t="str">
        <f>IFERROR(__xludf.DUMMYFUNCTION("""COMPUTED_VALUE"""),"MovieBox")</f>
        <v>MovieBox</v>
      </c>
      <c r="E4577" s="122">
        <f>IFERROR(__xludf.DUMMYFUNCTION("""COMPUTED_VALUE"""),81.83)</f>
        <v>81.83</v>
      </c>
      <c r="F4577" s="122">
        <f>IFERROR(__xludf.DUMMYFUNCTION("""COMPUTED_VALUE"""),0.0027)</f>
        <v>0.0027</v>
      </c>
    </row>
    <row r="4578">
      <c r="A4578" s="131">
        <f>IFERROR(__xludf.DUMMYFUNCTION("""COMPUTED_VALUE"""),46187.48478009259)</f>
        <v>46187.48478</v>
      </c>
      <c r="B4578" s="126">
        <f>IFERROR(__xludf.DUMMYFUNCTION("""COMPUTED_VALUE"""),46187.0)</f>
        <v>46187</v>
      </c>
      <c r="C4578" s="122" t="str">
        <f>IFERROR(__xludf.DUMMYFUNCTION("""COMPUTED_VALUE"""),"MUSC")</f>
        <v>MUSC</v>
      </c>
      <c r="D4578" s="122" t="str">
        <f>IFERROR(__xludf.DUMMYFUNCTION("""COMPUTED_VALUE"""),"MusicWave")</f>
        <v>MusicWave</v>
      </c>
      <c r="E4578" s="122">
        <f>IFERROR(__xludf.DUMMYFUNCTION("""COMPUTED_VALUE"""),97.54)</f>
        <v>97.54</v>
      </c>
      <c r="F4578" s="122">
        <f>IFERROR(__xludf.DUMMYFUNCTION("""COMPUTED_VALUE"""),0.0026)</f>
        <v>0.0026</v>
      </c>
    </row>
    <row r="4579">
      <c r="A4579" s="131">
        <f>IFERROR(__xludf.DUMMYFUNCTION("""COMPUTED_VALUE"""),46187.48478009259)</f>
        <v>46187.48478</v>
      </c>
      <c r="B4579" s="126">
        <f>IFERROR(__xludf.DUMMYFUNCTION("""COMPUTED_VALUE"""),46187.0)</f>
        <v>46187</v>
      </c>
      <c r="C4579" s="122" t="str">
        <f>IFERROR(__xludf.DUMMYFUNCTION("""COMPUTED_VALUE"""),"IDOL")</f>
        <v>IDOL</v>
      </c>
      <c r="D4579" s="122" t="str">
        <f>IFERROR(__xludf.DUMMYFUNCTION("""COMPUTED_VALUE"""),"Idol Agency")</f>
        <v>Idol Agency</v>
      </c>
      <c r="E4579" s="122">
        <f>IFERROR(__xludf.DUMMYFUNCTION("""COMPUTED_VALUE"""),195.77)</f>
        <v>195.77</v>
      </c>
      <c r="F4579" s="122">
        <f>IFERROR(__xludf.DUMMYFUNCTION("""COMPUTED_VALUE"""),-0.0121)</f>
        <v>-0.0121</v>
      </c>
    </row>
    <row r="4580">
      <c r="A4580" s="131">
        <f>IFERROR(__xludf.DUMMYFUNCTION("""COMPUTED_VALUE"""),46187.48478009259)</f>
        <v>46187.48478</v>
      </c>
      <c r="B4580" s="126">
        <f>IFERROR(__xludf.DUMMYFUNCTION("""COMPUTED_VALUE"""),46187.0)</f>
        <v>46187</v>
      </c>
      <c r="C4580" s="122" t="str">
        <f>IFERROR(__xludf.DUMMYFUNCTION("""COMPUTED_VALUE"""),"MEME")</f>
        <v>MEME</v>
      </c>
      <c r="D4580" s="122" t="str">
        <f>IFERROR(__xludf.DUMMYFUNCTION("""COMPUTED_VALUE"""),"Meme Media")</f>
        <v>Meme Media</v>
      </c>
      <c r="E4580" s="122">
        <f>IFERROR(__xludf.DUMMYFUNCTION("""COMPUTED_VALUE"""),73.43)</f>
        <v>73.43</v>
      </c>
      <c r="F4580" s="122">
        <f>IFERROR(__xludf.DUMMYFUNCTION("""COMPUTED_VALUE"""),-0.011)</f>
        <v>-0.011</v>
      </c>
    </row>
    <row r="4581">
      <c r="A4581" s="131">
        <f>IFERROR(__xludf.DUMMYFUNCTION("""COMPUTED_VALUE"""),46187.48478009259)</f>
        <v>46187.48478</v>
      </c>
      <c r="B4581" s="126">
        <f>IFERROR(__xludf.DUMMYFUNCTION("""COMPUTED_VALUE"""),46187.0)</f>
        <v>46187</v>
      </c>
      <c r="C4581" s="122" t="str">
        <f>IFERROR(__xludf.DUMMYFUNCTION("""COMPUTED_VALUE"""),"STRM")</f>
        <v>STRM</v>
      </c>
      <c r="D4581" s="122" t="str">
        <f>IFERROR(__xludf.DUMMYFUNCTION("""COMPUTED_VALUE"""),"Streamly")</f>
        <v>Streamly</v>
      </c>
      <c r="E4581" s="122">
        <f>IFERROR(__xludf.DUMMYFUNCTION("""COMPUTED_VALUE"""),138.03)</f>
        <v>138.03</v>
      </c>
      <c r="F4581" s="122">
        <f>IFERROR(__xludf.DUMMYFUNCTION("""COMPUTED_VALUE"""),0.0057)</f>
        <v>0.0057</v>
      </c>
    </row>
    <row r="4582">
      <c r="A4582" s="131">
        <f>IFERROR(__xludf.DUMMYFUNCTION("""COMPUTED_VALUE"""),46187.48478009259)</f>
        <v>46187.48478</v>
      </c>
      <c r="B4582" s="126">
        <f>IFERROR(__xludf.DUMMYFUNCTION("""COMPUTED_VALUE"""),46187.0)</f>
        <v>46187</v>
      </c>
      <c r="C4582" s="122" t="str">
        <f>IFERROR(__xludf.DUMMYFUNCTION("""COMPUTED_VALUE"""),"FARM")</f>
        <v>FARM</v>
      </c>
      <c r="D4582" s="122" t="str">
        <f>IFERROR(__xludf.DUMMYFUNCTION("""COMPUTED_VALUE"""),"Future Farms")</f>
        <v>Future Farms</v>
      </c>
      <c r="E4582" s="122">
        <f>IFERROR(__xludf.DUMMYFUNCTION("""COMPUTED_VALUE"""),88.57)</f>
        <v>88.57</v>
      </c>
      <c r="F4582" s="122">
        <f>IFERROR(__xludf.DUMMYFUNCTION("""COMPUTED_VALUE"""),0.0029)</f>
        <v>0.0029</v>
      </c>
    </row>
    <row r="4583">
      <c r="A4583" s="131">
        <f>IFERROR(__xludf.DUMMYFUNCTION("""COMPUTED_VALUE"""),46187.48478009259)</f>
        <v>46187.48478</v>
      </c>
      <c r="B4583" s="126">
        <f>IFERROR(__xludf.DUMMYFUNCTION("""COMPUTED_VALUE"""),46187.0)</f>
        <v>46187</v>
      </c>
      <c r="C4583" s="122" t="str">
        <f>IFERROR(__xludf.DUMMYFUNCTION("""COMPUTED_VALUE"""),"MEAT")</f>
        <v>MEAT</v>
      </c>
      <c r="D4583" s="122" t="str">
        <f>IFERROR(__xludf.DUMMYFUNCTION("""COMPUTED_VALUE"""),"MeatWorks")</f>
        <v>MeatWorks</v>
      </c>
      <c r="E4583" s="122">
        <f>IFERROR(__xludf.DUMMYFUNCTION("""COMPUTED_VALUE"""),104.42)</f>
        <v>104.42</v>
      </c>
      <c r="F4583" s="122">
        <f>IFERROR(__xludf.DUMMYFUNCTION("""COMPUTED_VALUE"""),-0.003)</f>
        <v>-0.003</v>
      </c>
    </row>
    <row r="4584">
      <c r="A4584" s="131">
        <f>IFERROR(__xludf.DUMMYFUNCTION("""COMPUTED_VALUE"""),46187.48478009259)</f>
        <v>46187.48478</v>
      </c>
      <c r="B4584" s="126">
        <f>IFERROR(__xludf.DUMMYFUNCTION("""COMPUTED_VALUE"""),46187.0)</f>
        <v>46187</v>
      </c>
      <c r="C4584" s="122" t="str">
        <f>IFERROR(__xludf.DUMMYFUNCTION("""COMPUTED_VALUE"""),"VEGI")</f>
        <v>VEGI</v>
      </c>
      <c r="D4584" s="122" t="str">
        <f>IFERROR(__xludf.DUMMYFUNCTION("""COMPUTED_VALUE"""),"Green Basket")</f>
        <v>Green Basket</v>
      </c>
      <c r="E4584" s="122">
        <f>IFERROR(__xludf.DUMMYFUNCTION("""COMPUTED_VALUE"""),80.11)</f>
        <v>80.11</v>
      </c>
      <c r="F4584" s="122">
        <f>IFERROR(__xludf.DUMMYFUNCTION("""COMPUTED_VALUE"""),-0.005)</f>
        <v>-0.005</v>
      </c>
    </row>
    <row r="4585">
      <c r="A4585" s="131">
        <f>IFERROR(__xludf.DUMMYFUNCTION("""COMPUTED_VALUE"""),46187.48478009259)</f>
        <v>46187.48478</v>
      </c>
      <c r="B4585" s="126">
        <f>IFERROR(__xludf.DUMMYFUNCTION("""COMPUTED_VALUE"""),46187.0)</f>
        <v>46187</v>
      </c>
      <c r="C4585" s="122" t="str">
        <f>IFERROR(__xludf.DUMMYFUNCTION("""COMPUTED_VALUE"""),"CAFE")</f>
        <v>CAFE</v>
      </c>
      <c r="D4585" s="122" t="str">
        <f>IFERROR(__xludf.DUMMYFUNCTION("""COMPUTED_VALUE"""),"Cafe Cloud")</f>
        <v>Cafe Cloud</v>
      </c>
      <c r="E4585" s="122">
        <f>IFERROR(__xludf.DUMMYFUNCTION("""COMPUTED_VALUE"""),101.83)</f>
        <v>101.83</v>
      </c>
      <c r="F4585" s="122">
        <f>IFERROR(__xludf.DUMMYFUNCTION("""COMPUTED_VALUE"""),-9.0E-4)</f>
        <v>-0.0009</v>
      </c>
    </row>
    <row r="4586">
      <c r="A4586" s="131">
        <f>IFERROR(__xludf.DUMMYFUNCTION("""COMPUTED_VALUE"""),46187.48478009259)</f>
        <v>46187.48478</v>
      </c>
      <c r="B4586" s="126">
        <f>IFERROR(__xludf.DUMMYFUNCTION("""COMPUTED_VALUE"""),46187.0)</f>
        <v>46187</v>
      </c>
      <c r="C4586" s="122" t="str">
        <f>IFERROR(__xludf.DUMMYFUNCTION("""COMPUTED_VALUE"""),"BAKE")</f>
        <v>BAKE</v>
      </c>
      <c r="D4586" s="122" t="str">
        <f>IFERROR(__xludf.DUMMYFUNCTION("""COMPUTED_VALUE"""),"BakeHouse")</f>
        <v>BakeHouse</v>
      </c>
      <c r="E4586" s="122">
        <f>IFERROR(__xludf.DUMMYFUNCTION("""COMPUTED_VALUE"""),100.8)</f>
        <v>100.8</v>
      </c>
      <c r="F4586" s="122">
        <f>IFERROR(__xludf.DUMMYFUNCTION("""COMPUTED_VALUE"""),0.0)</f>
        <v>0</v>
      </c>
    </row>
    <row r="4587">
      <c r="A4587" s="131">
        <f>IFERROR(__xludf.DUMMYFUNCTION("""COMPUTED_VALUE"""),46187.48478009259)</f>
        <v>46187.48478</v>
      </c>
      <c r="B4587" s="126">
        <f>IFERROR(__xludf.DUMMYFUNCTION("""COMPUTED_VALUE"""),46187.0)</f>
        <v>46187</v>
      </c>
      <c r="C4587" s="122" t="str">
        <f>IFERROR(__xludf.DUMMYFUNCTION("""COMPUTED_VALUE"""),"OILX")</f>
        <v>OILX</v>
      </c>
      <c r="D4587" s="122" t="str">
        <f>IFERROR(__xludf.DUMMYFUNCTION("""COMPUTED_VALUE"""),"OilMax Energy")</f>
        <v>OilMax Energy</v>
      </c>
      <c r="E4587" s="122">
        <f>IFERROR(__xludf.DUMMYFUNCTION("""COMPUTED_VALUE"""),131.39)</f>
        <v>131.39</v>
      </c>
      <c r="F4587" s="122">
        <f>IFERROR(__xludf.DUMMYFUNCTION("""COMPUTED_VALUE"""),0.0055)</f>
        <v>0.0055</v>
      </c>
    </row>
    <row r="4588">
      <c r="A4588" s="131">
        <f>IFERROR(__xludf.DUMMYFUNCTION("""COMPUTED_VALUE"""),46187.48478009259)</f>
        <v>46187.48478</v>
      </c>
      <c r="B4588" s="126">
        <f>IFERROR(__xludf.DUMMYFUNCTION("""COMPUTED_VALUE"""),46187.0)</f>
        <v>46187</v>
      </c>
      <c r="C4588" s="122" t="str">
        <f>IFERROR(__xludf.DUMMYFUNCTION("""COMPUTED_VALUE"""),"SOLR")</f>
        <v>SOLR</v>
      </c>
      <c r="D4588" s="122" t="str">
        <f>IFERROR(__xludf.DUMMYFUNCTION("""COMPUTED_VALUE"""),"SolarSpark")</f>
        <v>SolarSpark</v>
      </c>
      <c r="E4588" s="122">
        <f>IFERROR(__xludf.DUMMYFUNCTION("""COMPUTED_VALUE"""),95.65)</f>
        <v>95.65</v>
      </c>
      <c r="F4588" s="122">
        <f>IFERROR(__xludf.DUMMYFUNCTION("""COMPUTED_VALUE"""),0.0028)</f>
        <v>0.0028</v>
      </c>
    </row>
    <row r="4589">
      <c r="A4589" s="131">
        <f>IFERROR(__xludf.DUMMYFUNCTION("""COMPUTED_VALUE"""),46187.48478009259)</f>
        <v>46187.48478</v>
      </c>
      <c r="B4589" s="126">
        <f>IFERROR(__xludf.DUMMYFUNCTION("""COMPUTED_VALUE"""),46187.0)</f>
        <v>46187</v>
      </c>
      <c r="C4589" s="122" t="str">
        <f>IFERROR(__xludf.DUMMYFUNCTION("""COMPUTED_VALUE"""),"BATT")</f>
        <v>BATT</v>
      </c>
      <c r="D4589" s="122" t="str">
        <f>IFERROR(__xludf.DUMMYFUNCTION("""COMPUTED_VALUE"""),"BatteryBox")</f>
        <v>BatteryBox</v>
      </c>
      <c r="E4589" s="122">
        <f>IFERROR(__xludf.DUMMYFUNCTION("""COMPUTED_VALUE"""),121.83)</f>
        <v>121.83</v>
      </c>
      <c r="F4589" s="122">
        <f>IFERROR(__xludf.DUMMYFUNCTION("""COMPUTED_VALUE"""),0.002)</f>
        <v>0.002</v>
      </c>
    </row>
    <row r="4590">
      <c r="A4590" s="131">
        <f>IFERROR(__xludf.DUMMYFUNCTION("""COMPUTED_VALUE"""),46187.48478009259)</f>
        <v>46187.48478</v>
      </c>
      <c r="B4590" s="126">
        <f>IFERROR(__xludf.DUMMYFUNCTION("""COMPUTED_VALUE"""),46187.0)</f>
        <v>46187</v>
      </c>
      <c r="C4590" s="122" t="str">
        <f>IFERROR(__xludf.DUMMYFUNCTION("""COMPUTED_VALUE"""),"WIND")</f>
        <v>WIND</v>
      </c>
      <c r="D4590" s="122" t="str">
        <f>IFERROR(__xludf.DUMMYFUNCTION("""COMPUTED_VALUE"""),"WindWorks")</f>
        <v>WindWorks</v>
      </c>
      <c r="E4590" s="122">
        <f>IFERROR(__xludf.DUMMYFUNCTION("""COMPUTED_VALUE"""),87.78)</f>
        <v>87.78</v>
      </c>
      <c r="F4590" s="122">
        <f>IFERROR(__xludf.DUMMYFUNCTION("""COMPUTED_VALUE"""),0.0056)</f>
        <v>0.0056</v>
      </c>
    </row>
    <row r="4591">
      <c r="A4591" s="131">
        <f>IFERROR(__xludf.DUMMYFUNCTION("""COMPUTED_VALUE"""),46187.48478009259)</f>
        <v>46187.48478</v>
      </c>
      <c r="B4591" s="126">
        <f>IFERROR(__xludf.DUMMYFUNCTION("""COMPUTED_VALUE"""),46187.0)</f>
        <v>46187</v>
      </c>
      <c r="C4591" s="122" t="str">
        <f>IFERROR(__xludf.DUMMYFUNCTION("""COMPUTED_VALUE"""),"GRID")</f>
        <v>GRID</v>
      </c>
      <c r="D4591" s="122" t="str">
        <f>IFERROR(__xludf.DUMMYFUNCTION("""COMPUTED_VALUE"""),"GridPower")</f>
        <v>GridPower</v>
      </c>
      <c r="E4591" s="122">
        <f>IFERROR(__xludf.DUMMYFUNCTION("""COMPUTED_VALUE"""),139.08)</f>
        <v>139.08</v>
      </c>
      <c r="F4591" s="122">
        <f>IFERROR(__xludf.DUMMYFUNCTION("""COMPUTED_VALUE"""),-0.0016)</f>
        <v>-0.0016</v>
      </c>
    </row>
    <row r="4592">
      <c r="A4592" s="131">
        <f>IFERROR(__xludf.DUMMYFUNCTION("""COMPUTED_VALUE"""),46187.48478009259)</f>
        <v>46187.48478</v>
      </c>
      <c r="B4592" s="126">
        <f>IFERROR(__xludf.DUMMYFUNCTION("""COMPUTED_VALUE"""),46187.0)</f>
        <v>46187</v>
      </c>
      <c r="C4592" s="122" t="str">
        <f>IFERROR(__xludf.DUMMYFUNCTION("""COMPUTED_VALUE"""),"HOME")</f>
        <v>HOME</v>
      </c>
      <c r="D4592" s="122" t="str">
        <f>IFERROR(__xludf.DUMMYFUNCTION("""COMPUTED_VALUE"""),"HomeHub")</f>
        <v>HomeHub</v>
      </c>
      <c r="E4592" s="122">
        <f>IFERROR(__xludf.DUMMYFUNCTION("""COMPUTED_VALUE"""),152.01)</f>
        <v>152.01</v>
      </c>
      <c r="F4592" s="122">
        <f>IFERROR(__xludf.DUMMYFUNCTION("""COMPUTED_VALUE"""),-0.0022)</f>
        <v>-0.0022</v>
      </c>
    </row>
    <row r="4593">
      <c r="A4593" s="131">
        <f>IFERROR(__xludf.DUMMYFUNCTION("""COMPUTED_VALUE"""),46187.48478009259)</f>
        <v>46187.48478</v>
      </c>
      <c r="B4593" s="126">
        <f>IFERROR(__xludf.DUMMYFUNCTION("""COMPUTED_VALUE"""),46187.0)</f>
        <v>46187</v>
      </c>
      <c r="C4593" s="122" t="str">
        <f>IFERROR(__xludf.DUMMYFUNCTION("""COMPUTED_VALUE"""),"RENT")</f>
        <v>RENT</v>
      </c>
      <c r="D4593" s="122" t="str">
        <f>IFERROR(__xludf.DUMMYFUNCTION("""COMPUTED_VALUE"""),"RentRight")</f>
        <v>RentRight</v>
      </c>
      <c r="E4593" s="122">
        <f>IFERROR(__xludf.DUMMYFUNCTION("""COMPUTED_VALUE"""),92.38)</f>
        <v>92.38</v>
      </c>
      <c r="F4593" s="122">
        <f>IFERROR(__xludf.DUMMYFUNCTION("""COMPUTED_VALUE"""),0.0018)</f>
        <v>0.0018</v>
      </c>
    </row>
    <row r="4594">
      <c r="A4594" s="131">
        <f>IFERROR(__xludf.DUMMYFUNCTION("""COMPUTED_VALUE"""),46187.48478009259)</f>
        <v>46187.48478</v>
      </c>
      <c r="B4594" s="126">
        <f>IFERROR(__xludf.DUMMYFUNCTION("""COMPUTED_VALUE"""),46187.0)</f>
        <v>46187</v>
      </c>
      <c r="C4594" s="122" t="str">
        <f>IFERROR(__xludf.DUMMYFUNCTION("""COMPUTED_VALUE"""),"MALL")</f>
        <v>MALL</v>
      </c>
      <c r="D4594" s="122" t="str">
        <f>IFERROR(__xludf.DUMMYFUNCTION("""COMPUTED_VALUE"""),"MegaMall")</f>
        <v>MegaMall</v>
      </c>
      <c r="E4594" s="122">
        <f>IFERROR(__xludf.DUMMYFUNCTION("""COMPUTED_VALUE"""),101.42)</f>
        <v>101.42</v>
      </c>
      <c r="F4594" s="122">
        <f>IFERROR(__xludf.DUMMYFUNCTION("""COMPUTED_VALUE"""),-0.0043)</f>
        <v>-0.0043</v>
      </c>
    </row>
    <row r="4595">
      <c r="A4595" s="131">
        <f>IFERROR(__xludf.DUMMYFUNCTION("""COMPUTED_VALUE"""),46187.48478009259)</f>
        <v>46187.48478</v>
      </c>
      <c r="B4595" s="126">
        <f>IFERROR(__xludf.DUMMYFUNCTION("""COMPUTED_VALUE"""),46187.0)</f>
        <v>46187</v>
      </c>
      <c r="C4595" s="122" t="str">
        <f>IFERROR(__xludf.DUMMYFUNCTION("""COMPUTED_VALUE"""),"HOTL")</f>
        <v>HOTL</v>
      </c>
      <c r="D4595" s="122" t="str">
        <f>IFERROR(__xludf.DUMMYFUNCTION("""COMPUTED_VALUE"""),"HotelHive")</f>
        <v>HotelHive</v>
      </c>
      <c r="E4595" s="122">
        <f>IFERROR(__xludf.DUMMYFUNCTION("""COMPUTED_VALUE"""),129.27)</f>
        <v>129.27</v>
      </c>
      <c r="F4595" s="122">
        <f>IFERROR(__xludf.DUMMYFUNCTION("""COMPUTED_VALUE"""),0.0022)</f>
        <v>0.0022</v>
      </c>
    </row>
    <row r="4596">
      <c r="A4596" s="131">
        <f>IFERROR(__xludf.DUMMYFUNCTION("""COMPUTED_VALUE"""),46187.48478009259)</f>
        <v>46187.48478</v>
      </c>
      <c r="B4596" s="126">
        <f>IFERROR(__xludf.DUMMYFUNCTION("""COMPUTED_VALUE"""),46187.0)</f>
        <v>46187</v>
      </c>
      <c r="C4596" s="122" t="str">
        <f>IFERROR(__xludf.DUMMYFUNCTION("""COMPUTED_VALUE"""),"LAND")</f>
        <v>LAND</v>
      </c>
      <c r="D4596" s="122" t="str">
        <f>IFERROR(__xludf.DUMMYFUNCTION("""COMPUTED_VALUE"""),"LandLink")</f>
        <v>LandLink</v>
      </c>
      <c r="E4596" s="122">
        <f>IFERROR(__xludf.DUMMYFUNCTION("""COMPUTED_VALUE"""),184.29)</f>
        <v>184.29</v>
      </c>
      <c r="F4596" s="122">
        <f>IFERROR(__xludf.DUMMYFUNCTION("""COMPUTED_VALUE"""),0.0026)</f>
        <v>0.0026</v>
      </c>
    </row>
    <row r="4597">
      <c r="A4597" s="131">
        <f>IFERROR(__xludf.DUMMYFUNCTION("""COMPUTED_VALUE"""),46187.48478009259)</f>
        <v>46187.48478</v>
      </c>
      <c r="B4597" s="126">
        <f>IFERROR(__xludf.DUMMYFUNCTION("""COMPUTED_VALUE"""),46187.0)</f>
        <v>46187</v>
      </c>
      <c r="C4597" s="122" t="str">
        <f>IFERROR(__xludf.DUMMYFUNCTION("""COMPUTED_VALUE"""),"CARS")</f>
        <v>CARS</v>
      </c>
      <c r="D4597" s="122" t="str">
        <f>IFERROR(__xludf.DUMMYFUNCTION("""COMPUTED_VALUE"""),"AutoArena")</f>
        <v>AutoArena</v>
      </c>
      <c r="E4597" s="122">
        <f>IFERROR(__xludf.DUMMYFUNCTION("""COMPUTED_VALUE"""),81.36)</f>
        <v>81.36</v>
      </c>
      <c r="F4597" s="122">
        <f>IFERROR(__xludf.DUMMYFUNCTION("""COMPUTED_VALUE"""),0.0011)</f>
        <v>0.0011</v>
      </c>
    </row>
    <row r="4598">
      <c r="A4598" s="131">
        <f>IFERROR(__xludf.DUMMYFUNCTION("""COMPUTED_VALUE"""),46187.48478009259)</f>
        <v>46187.48478</v>
      </c>
      <c r="B4598" s="126">
        <f>IFERROR(__xludf.DUMMYFUNCTION("""COMPUTED_VALUE"""),46187.0)</f>
        <v>46187</v>
      </c>
      <c r="C4598" s="122" t="str">
        <f>IFERROR(__xludf.DUMMYFUNCTION("""COMPUTED_VALUE"""),"EVGO")</f>
        <v>EVGO</v>
      </c>
      <c r="D4598" s="122" t="str">
        <f>IFERROR(__xludf.DUMMYFUNCTION("""COMPUTED_VALUE"""),"EVGo Motors")</f>
        <v>EVGo Motors</v>
      </c>
      <c r="E4598" s="122">
        <f>IFERROR(__xludf.DUMMYFUNCTION("""COMPUTED_VALUE"""),193.01)</f>
        <v>193.01</v>
      </c>
      <c r="F4598" s="122">
        <f>IFERROR(__xludf.DUMMYFUNCTION("""COMPUTED_VALUE"""),0.0096)</f>
        <v>0.0096</v>
      </c>
    </row>
    <row r="4599">
      <c r="A4599" s="131">
        <f>IFERROR(__xludf.DUMMYFUNCTION("""COMPUTED_VALUE"""),46187.48478009259)</f>
        <v>46187.48478</v>
      </c>
      <c r="B4599" s="126">
        <f>IFERROR(__xludf.DUMMYFUNCTION("""COMPUTED_VALUE"""),46187.0)</f>
        <v>46187</v>
      </c>
      <c r="C4599" s="122" t="str">
        <f>IFERROR(__xludf.DUMMYFUNCTION("""COMPUTED_VALUE"""),"TIRE")</f>
        <v>TIRE</v>
      </c>
      <c r="D4599" s="122" t="str">
        <f>IFERROR(__xludf.DUMMYFUNCTION("""COMPUTED_VALUE"""),"TireTown")</f>
        <v>TireTown</v>
      </c>
      <c r="E4599" s="122">
        <f>IFERROR(__xludf.DUMMYFUNCTION("""COMPUTED_VALUE"""),95.58)</f>
        <v>95.58</v>
      </c>
      <c r="F4599" s="122">
        <f>IFERROR(__xludf.DUMMYFUNCTION("""COMPUTED_VALUE"""),0.0065)</f>
        <v>0.0065</v>
      </c>
    </row>
    <row r="4600">
      <c r="A4600" s="131">
        <f>IFERROR(__xludf.DUMMYFUNCTION("""COMPUTED_VALUE"""),46187.48478009259)</f>
        <v>46187.48478</v>
      </c>
      <c r="B4600" s="126">
        <f>IFERROR(__xludf.DUMMYFUNCTION("""COMPUTED_VALUE"""),46187.0)</f>
        <v>46187</v>
      </c>
      <c r="C4600" s="122" t="str">
        <f>IFERROR(__xludf.DUMMYFUNCTION("""COMPUTED_VALUE"""),"BIKE")</f>
        <v>BIKE</v>
      </c>
      <c r="D4600" s="122" t="str">
        <f>IFERROR(__xludf.DUMMYFUNCTION("""COMPUTED_VALUE"""),"BikeBox")</f>
        <v>BikeBox</v>
      </c>
      <c r="E4600" s="122">
        <f>IFERROR(__xludf.DUMMYFUNCTION("""COMPUTED_VALUE"""),52.68)</f>
        <v>52.68</v>
      </c>
      <c r="F4600" s="122">
        <f>IFERROR(__xludf.DUMMYFUNCTION("""COMPUTED_VALUE"""),-0.0013)</f>
        <v>-0.0013</v>
      </c>
    </row>
    <row r="4601">
      <c r="A4601" s="131">
        <f>IFERROR(__xludf.DUMMYFUNCTION("""COMPUTED_VALUE"""),46187.48478009259)</f>
        <v>46187.48478</v>
      </c>
      <c r="B4601" s="126">
        <f>IFERROR(__xludf.DUMMYFUNCTION("""COMPUTED_VALUE"""),46187.0)</f>
        <v>46187</v>
      </c>
      <c r="C4601" s="122" t="str">
        <f>IFERROR(__xludf.DUMMYFUNCTION("""COMPUTED_VALUE"""),"WASH")</f>
        <v>WASH</v>
      </c>
      <c r="D4601" s="122" t="str">
        <f>IFERROR(__xludf.DUMMYFUNCTION("""COMPUTED_VALUE"""),"CarWash Co")</f>
        <v>CarWash Co</v>
      </c>
      <c r="E4601" s="122">
        <f>IFERROR(__xludf.DUMMYFUNCTION("""COMPUTED_VALUE"""),119.37)</f>
        <v>119.37</v>
      </c>
      <c r="F4601" s="122">
        <f>IFERROR(__xludf.DUMMYFUNCTION("""COMPUTED_VALUE"""),-3.0E-4)</f>
        <v>-0.0003</v>
      </c>
    </row>
    <row r="4602">
      <c r="A4602" s="131">
        <f>IFERROR(__xludf.DUMMYFUNCTION("""COMPUTED_VALUE"""),46187.48478009259)</f>
        <v>46187.48478</v>
      </c>
      <c r="B4602" s="126">
        <f>IFERROR(__xludf.DUMMYFUNCTION("""COMPUTED_VALUE"""),46187.0)</f>
        <v>46187</v>
      </c>
      <c r="C4602" s="122" t="str">
        <f>IFERROR(__xludf.DUMMYFUNCTION("""COMPUTED_VALUE"""),"GBND")</f>
        <v>GBND</v>
      </c>
      <c r="D4602" s="122" t="str">
        <f>IFERROR(__xludf.DUMMYFUNCTION("""COMPUTED_VALUE"""),"Classroom Government Bond")</f>
        <v>Classroom Government Bond</v>
      </c>
      <c r="E4602" s="122">
        <f>IFERROR(__xludf.DUMMYFUNCTION("""COMPUTED_VALUE"""),101.0)</f>
        <v>101</v>
      </c>
      <c r="F4602" s="122">
        <f>IFERROR(__xludf.DUMMYFUNCTION("""COMPUTED_VALUE"""),3.0E-4)</f>
        <v>0.0003</v>
      </c>
    </row>
    <row r="4603">
      <c r="A4603" s="131">
        <f>IFERROR(__xludf.DUMMYFUNCTION("""COMPUTED_VALUE"""),46187.48478009259)</f>
        <v>46187.48478</v>
      </c>
      <c r="B4603" s="126">
        <f>IFERROR(__xludf.DUMMYFUNCTION("""COMPUTED_VALUE"""),46187.0)</f>
        <v>46187</v>
      </c>
      <c r="C4603" s="122" t="str">
        <f>IFERROR(__xludf.DUMMYFUNCTION("""COMPUTED_VALUE"""),"SBND")</f>
        <v>SBND</v>
      </c>
      <c r="D4603" s="122" t="str">
        <f>IFERROR(__xludf.DUMMYFUNCTION("""COMPUTED_VALUE"""),"School Savings Bond")</f>
        <v>School Savings Bond</v>
      </c>
      <c r="E4603" s="122">
        <f>IFERROR(__xludf.DUMMYFUNCTION("""COMPUTED_VALUE"""),99.55)</f>
        <v>99.55</v>
      </c>
      <c r="F4603" s="122">
        <f>IFERROR(__xludf.DUMMYFUNCTION("""COMPUTED_VALUE"""),0.0)</f>
        <v>0</v>
      </c>
    </row>
    <row r="4604">
      <c r="A4604" s="131">
        <f>IFERROR(__xludf.DUMMYFUNCTION("""COMPUTED_VALUE"""),46187.48478009259)</f>
        <v>46187.48478</v>
      </c>
      <c r="B4604" s="126">
        <f>IFERROR(__xludf.DUMMYFUNCTION("""COMPUTED_VALUE"""),46187.0)</f>
        <v>46187</v>
      </c>
      <c r="C4604" s="122" t="str">
        <f>IFERROR(__xludf.DUMMYFUNCTION("""COMPUTED_VALUE"""),"CBND")</f>
        <v>CBND</v>
      </c>
      <c r="D4604" s="122" t="str">
        <f>IFERROR(__xludf.DUMMYFUNCTION("""COMPUTED_VALUE"""),"Corporate Classroom Bond")</f>
        <v>Corporate Classroom Bond</v>
      </c>
      <c r="E4604" s="122">
        <f>IFERROR(__xludf.DUMMYFUNCTION("""COMPUTED_VALUE"""),97.89)</f>
        <v>97.89</v>
      </c>
      <c r="F4604" s="122">
        <f>IFERROR(__xludf.DUMMYFUNCTION("""COMPUTED_VALUE"""),1.0E-4)</f>
        <v>0.0001</v>
      </c>
    </row>
    <row r="4605">
      <c r="A4605" s="131">
        <f>IFERROR(__xludf.DUMMYFUNCTION("""COMPUTED_VALUE"""),46187.48478009259)</f>
        <v>46187.48478</v>
      </c>
      <c r="B4605" s="126">
        <f>IFERROR(__xludf.DUMMYFUNCTION("""COMPUTED_VALUE"""),46187.0)</f>
        <v>46187</v>
      </c>
      <c r="C4605" s="122" t="str">
        <f>IFERROR(__xludf.DUMMYFUNCTION("""COMPUTED_VALUE"""),"TBIL")</f>
        <v>TBIL</v>
      </c>
      <c r="D4605" s="122" t="str">
        <f>IFERROR(__xludf.DUMMYFUNCTION("""COMPUTED_VALUE"""),"Treasury Bill")</f>
        <v>Treasury Bill</v>
      </c>
      <c r="E4605" s="122">
        <f>IFERROR(__xludf.DUMMYFUNCTION("""COMPUTED_VALUE"""),98.15)</f>
        <v>98.15</v>
      </c>
      <c r="F4605" s="122">
        <f>IFERROR(__xludf.DUMMYFUNCTION("""COMPUTED_VALUE"""),0.0)</f>
        <v>0</v>
      </c>
    </row>
    <row r="4606">
      <c r="A4606" s="131">
        <f>IFERROR(__xludf.DUMMYFUNCTION("""COMPUTED_VALUE"""),46187.48478009259)</f>
        <v>46187.48478</v>
      </c>
      <c r="B4606" s="126">
        <f>IFERROR(__xludf.DUMMYFUNCTION("""COMPUTED_VALUE"""),46187.0)</f>
        <v>46187</v>
      </c>
      <c r="C4606" s="122" t="str">
        <f>IFERROR(__xludf.DUMMYFUNCTION("""COMPUTED_VALUE"""),"IBND")</f>
        <v>IBND</v>
      </c>
      <c r="D4606" s="122" t="str">
        <f>IFERROR(__xludf.DUMMYFUNCTION("""COMPUTED_VALUE"""),"Inflation Protected Bond")</f>
        <v>Inflation Protected Bond</v>
      </c>
      <c r="E4606" s="122">
        <f>IFERROR(__xludf.DUMMYFUNCTION("""COMPUTED_VALUE"""),100.67)</f>
        <v>100.67</v>
      </c>
      <c r="F4606" s="122">
        <f>IFERROR(__xludf.DUMMYFUNCTION("""COMPUTED_VALUE"""),1.0E-4)</f>
        <v>0.0001</v>
      </c>
    </row>
    <row r="4607">
      <c r="A4607" s="131">
        <f>IFERROR(__xludf.DUMMYFUNCTION("""COMPUTED_VALUE"""),46187.488020833334)</f>
        <v>46187.48802</v>
      </c>
      <c r="B4607" s="126">
        <f>IFERROR(__xludf.DUMMYFUNCTION("""COMPUTED_VALUE"""),46187.0)</f>
        <v>46187</v>
      </c>
      <c r="C4607" s="122" t="str">
        <f>IFERROR(__xludf.DUMMYFUNCTION("""COMPUTED_VALUE"""),"SNAX")</f>
        <v>SNAX</v>
      </c>
      <c r="D4607" s="122" t="str">
        <f>IFERROR(__xludf.DUMMYFUNCTION("""COMPUTED_VALUE"""),"MICA Snacks")</f>
        <v>MICA Snacks</v>
      </c>
      <c r="E4607" s="122">
        <f>IFERROR(__xludf.DUMMYFUNCTION("""COMPUTED_VALUE"""),120.16)</f>
        <v>120.16</v>
      </c>
      <c r="F4607" s="122">
        <f>IFERROR(__xludf.DUMMYFUNCTION("""COMPUTED_VALUE"""),-5.0E-4)</f>
        <v>-0.0005</v>
      </c>
    </row>
    <row r="4608">
      <c r="A4608" s="131">
        <f>IFERROR(__xludf.DUMMYFUNCTION("""COMPUTED_VALUE"""),46187.488020833334)</f>
        <v>46187.48802</v>
      </c>
      <c r="B4608" s="126">
        <f>IFERROR(__xludf.DUMMYFUNCTION("""COMPUTED_VALUE"""),46187.0)</f>
        <v>46187</v>
      </c>
      <c r="C4608" s="122" t="str">
        <f>IFERROR(__xludf.DUMMYFUNCTION("""COMPUTED_VALUE"""),"RAMN")</f>
        <v>RAMN</v>
      </c>
      <c r="D4608" s="122" t="str">
        <f>IFERROR(__xludf.DUMMYFUNCTION("""COMPUTED_VALUE"""),"Ramen Republic")</f>
        <v>Ramen Republic</v>
      </c>
      <c r="E4608" s="122">
        <f>IFERROR(__xludf.DUMMYFUNCTION("""COMPUTED_VALUE"""),69.49)</f>
        <v>69.49</v>
      </c>
      <c r="F4608" s="122">
        <f>IFERROR(__xludf.DUMMYFUNCTION("""COMPUTED_VALUE"""),0.0)</f>
        <v>0</v>
      </c>
    </row>
    <row r="4609">
      <c r="A4609" s="131">
        <f>IFERROR(__xludf.DUMMYFUNCTION("""COMPUTED_VALUE"""),46187.488020833334)</f>
        <v>46187.48802</v>
      </c>
      <c r="B4609" s="126">
        <f>IFERROR(__xludf.DUMMYFUNCTION("""COMPUTED_VALUE"""),46187.0)</f>
        <v>46187</v>
      </c>
      <c r="C4609" s="122" t="str">
        <f>IFERROR(__xludf.DUMMYFUNCTION("""COMPUTED_VALUE"""),"COLA")</f>
        <v>COLA</v>
      </c>
      <c r="D4609" s="122" t="str">
        <f>IFERROR(__xludf.DUMMYFUNCTION("""COMPUTED_VALUE"""),"K-Pop Cola")</f>
        <v>K-Pop Cola</v>
      </c>
      <c r="E4609" s="122">
        <f>IFERROR(__xludf.DUMMYFUNCTION("""COMPUTED_VALUE"""),110.98)</f>
        <v>110.98</v>
      </c>
      <c r="F4609" s="122">
        <f>IFERROR(__xludf.DUMMYFUNCTION("""COMPUTED_VALUE"""),0.007)</f>
        <v>0.007</v>
      </c>
    </row>
    <row r="4610">
      <c r="A4610" s="131">
        <f>IFERROR(__xludf.DUMMYFUNCTION("""COMPUTED_VALUE"""),46187.488020833334)</f>
        <v>46187.48802</v>
      </c>
      <c r="B4610" s="126">
        <f>IFERROR(__xludf.DUMMYFUNCTION("""COMPUTED_VALUE"""),46187.0)</f>
        <v>46187</v>
      </c>
      <c r="C4610" s="122" t="str">
        <f>IFERROR(__xludf.DUMMYFUNCTION("""COMPUTED_VALUE"""),"CHIP")</f>
        <v>CHIP</v>
      </c>
      <c r="D4610" s="122" t="str">
        <f>IFERROR(__xludf.DUMMYFUNCTION("""COMPUTED_VALUE"""),"Chip Empire")</f>
        <v>Chip Empire</v>
      </c>
      <c r="E4610" s="122">
        <f>IFERROR(__xludf.DUMMYFUNCTION("""COMPUTED_VALUE"""),86.17)</f>
        <v>86.17</v>
      </c>
      <c r="F4610" s="122">
        <f>IFERROR(__xludf.DUMMYFUNCTION("""COMPUTED_VALUE"""),0.0076)</f>
        <v>0.0076</v>
      </c>
    </row>
    <row r="4611">
      <c r="A4611" s="131">
        <f>IFERROR(__xludf.DUMMYFUNCTION("""COMPUTED_VALUE"""),46187.488020833334)</f>
        <v>46187.48802</v>
      </c>
      <c r="B4611" s="126">
        <f>IFERROR(__xludf.DUMMYFUNCTION("""COMPUTED_VALUE"""),46187.0)</f>
        <v>46187</v>
      </c>
      <c r="C4611" s="122" t="str">
        <f>IFERROR(__xludf.DUMMYFUNCTION("""COMPUTED_VALUE"""),"CAND")</f>
        <v>CAND</v>
      </c>
      <c r="D4611" s="122" t="str">
        <f>IFERROR(__xludf.DUMMYFUNCTION("""COMPUTED_VALUE"""),"Candy Capital")</f>
        <v>Candy Capital</v>
      </c>
      <c r="E4611" s="122">
        <f>IFERROR(__xludf.DUMMYFUNCTION("""COMPUTED_VALUE"""),77.23)</f>
        <v>77.23</v>
      </c>
      <c r="F4611" s="122">
        <f>IFERROR(__xludf.DUMMYFUNCTION("""COMPUTED_VALUE"""),-0.0023)</f>
        <v>-0.0023</v>
      </c>
    </row>
    <row r="4612">
      <c r="A4612" s="131">
        <f>IFERROR(__xludf.DUMMYFUNCTION("""COMPUTED_VALUE"""),46187.488020833334)</f>
        <v>46187.48802</v>
      </c>
      <c r="B4612" s="126">
        <f>IFERROR(__xludf.DUMMYFUNCTION("""COMPUTED_VALUE"""),46187.0)</f>
        <v>46187</v>
      </c>
      <c r="C4612" s="122" t="str">
        <f>IFERROR(__xludf.DUMMYFUNCTION("""COMPUTED_VALUE"""),"TECH")</f>
        <v>TECH</v>
      </c>
      <c r="D4612" s="122" t="str">
        <f>IFERROR(__xludf.DUMMYFUNCTION("""COMPUTED_VALUE"""),"Dragon Tech")</f>
        <v>Dragon Tech</v>
      </c>
      <c r="E4612" s="122">
        <f>IFERROR(__xludf.DUMMYFUNCTION("""COMPUTED_VALUE"""),243.28)</f>
        <v>243.28</v>
      </c>
      <c r="F4612" s="122">
        <f>IFERROR(__xludf.DUMMYFUNCTION("""COMPUTED_VALUE"""),0.0083)</f>
        <v>0.0083</v>
      </c>
    </row>
    <row r="4613">
      <c r="A4613" s="131">
        <f>IFERROR(__xludf.DUMMYFUNCTION("""COMPUTED_VALUE"""),46187.488020833334)</f>
        <v>46187.48802</v>
      </c>
      <c r="B4613" s="126">
        <f>IFERROR(__xludf.DUMMYFUNCTION("""COMPUTED_VALUE"""),46187.0)</f>
        <v>46187</v>
      </c>
      <c r="C4613" s="122" t="str">
        <f>IFERROR(__xludf.DUMMYFUNCTION("""COMPUTED_VALUE"""),"AIBO")</f>
        <v>AIBO</v>
      </c>
      <c r="D4613" s="122" t="str">
        <f>IFERROR(__xludf.DUMMYFUNCTION("""COMPUTED_VALUE"""),"Homework AI")</f>
        <v>Homework AI</v>
      </c>
      <c r="E4613" s="122">
        <f>IFERROR(__xludf.DUMMYFUNCTION("""COMPUTED_VALUE"""),181.85)</f>
        <v>181.85</v>
      </c>
      <c r="F4613" s="122">
        <f>IFERROR(__xludf.DUMMYFUNCTION("""COMPUTED_VALUE"""),0.0105)</f>
        <v>0.0105</v>
      </c>
    </row>
    <row r="4614">
      <c r="A4614" s="131">
        <f>IFERROR(__xludf.DUMMYFUNCTION("""COMPUTED_VALUE"""),46187.488020833334)</f>
        <v>46187.48802</v>
      </c>
      <c r="B4614" s="126">
        <f>IFERROR(__xludf.DUMMYFUNCTION("""COMPUTED_VALUE"""),46187.0)</f>
        <v>46187</v>
      </c>
      <c r="C4614" s="122" t="str">
        <f>IFERROR(__xludf.DUMMYFUNCTION("""COMPUTED_VALUE"""),"GAME")</f>
        <v>GAME</v>
      </c>
      <c r="D4614" s="122" t="str">
        <f>IFERROR(__xludf.DUMMYFUNCTION("""COMPUTED_VALUE"""),"GameBox Media")</f>
        <v>GameBox Media</v>
      </c>
      <c r="E4614" s="122">
        <f>IFERROR(__xludf.DUMMYFUNCTION("""COMPUTED_VALUE"""),96.49)</f>
        <v>96.49</v>
      </c>
      <c r="F4614" s="122">
        <f>IFERROR(__xludf.DUMMYFUNCTION("""COMPUTED_VALUE"""),0.0089)</f>
        <v>0.0089</v>
      </c>
    </row>
    <row r="4615">
      <c r="A4615" s="131">
        <f>IFERROR(__xludf.DUMMYFUNCTION("""COMPUTED_VALUE"""),46187.488020833334)</f>
        <v>46187.48802</v>
      </c>
      <c r="B4615" s="126">
        <f>IFERROR(__xludf.DUMMYFUNCTION("""COMPUTED_VALUE"""),46187.0)</f>
        <v>46187</v>
      </c>
      <c r="C4615" s="122" t="str">
        <f>IFERROR(__xludf.DUMMYFUNCTION("""COMPUTED_VALUE"""),"VRSE")</f>
        <v>VRSE</v>
      </c>
      <c r="D4615" s="122" t="str">
        <f>IFERROR(__xludf.DUMMYFUNCTION("""COMPUTED_VALUE"""),"VerseVR")</f>
        <v>VerseVR</v>
      </c>
      <c r="E4615" s="122">
        <f>IFERROR(__xludf.DUMMYFUNCTION("""COMPUTED_VALUE"""),153.01)</f>
        <v>153.01</v>
      </c>
      <c r="F4615" s="122">
        <f>IFERROR(__xludf.DUMMYFUNCTION("""COMPUTED_VALUE"""),0.0114)</f>
        <v>0.0114</v>
      </c>
    </row>
    <row r="4616">
      <c r="A4616" s="131">
        <f>IFERROR(__xludf.DUMMYFUNCTION("""COMPUTED_VALUE"""),46187.488020833334)</f>
        <v>46187.48802</v>
      </c>
      <c r="B4616" s="126">
        <f>IFERROR(__xludf.DUMMYFUNCTION("""COMPUTED_VALUE"""),46187.0)</f>
        <v>46187</v>
      </c>
      <c r="C4616" s="122" t="str">
        <f>IFERROR(__xludf.DUMMYFUNCTION("""COMPUTED_VALUE"""),"BYTE")</f>
        <v>BYTE</v>
      </c>
      <c r="D4616" s="122" t="str">
        <f>IFERROR(__xludf.DUMMYFUNCTION("""COMPUTED_VALUE"""),"ByteWorks")</f>
        <v>ByteWorks</v>
      </c>
      <c r="E4616" s="122">
        <f>IFERROR(__xludf.DUMMYFUNCTION("""COMPUTED_VALUE"""),109.88)</f>
        <v>109.88</v>
      </c>
      <c r="F4616" s="122">
        <f>IFERROR(__xludf.DUMMYFUNCTION("""COMPUTED_VALUE"""),0.0035)</f>
        <v>0.0035</v>
      </c>
    </row>
    <row r="4617">
      <c r="A4617" s="131">
        <f>IFERROR(__xludf.DUMMYFUNCTION("""COMPUTED_VALUE"""),46187.488020833334)</f>
        <v>46187.48802</v>
      </c>
      <c r="B4617" s="126">
        <f>IFERROR(__xludf.DUMMYFUNCTION("""COMPUTED_VALUE"""),46187.0)</f>
        <v>46187</v>
      </c>
      <c r="C4617" s="122" t="str">
        <f>IFERROR(__xludf.DUMMYFUNCTION("""COMPUTED_VALUE"""),"BANK")</f>
        <v>BANK</v>
      </c>
      <c r="D4617" s="122" t="str">
        <f>IFERROR(__xludf.DUMMYFUNCTION("""COMPUTED_VALUE"""),"Tiger Bank")</f>
        <v>Tiger Bank</v>
      </c>
      <c r="E4617" s="122">
        <f>IFERROR(__xludf.DUMMYFUNCTION("""COMPUTED_VALUE"""),128.71)</f>
        <v>128.71</v>
      </c>
      <c r="F4617" s="122">
        <f>IFERROR(__xludf.DUMMYFUNCTION("""COMPUTED_VALUE"""),0.0034)</f>
        <v>0.0034</v>
      </c>
    </row>
    <row r="4618">
      <c r="A4618" s="131">
        <f>IFERROR(__xludf.DUMMYFUNCTION("""COMPUTED_VALUE"""),46187.488020833334)</f>
        <v>46187.48802</v>
      </c>
      <c r="B4618" s="126">
        <f>IFERROR(__xludf.DUMMYFUNCTION("""COMPUTED_VALUE"""),46187.0)</f>
        <v>46187</v>
      </c>
      <c r="C4618" s="122" t="str">
        <f>IFERROR(__xludf.DUMMYFUNCTION("""COMPUTED_VALUE"""),"CRED")</f>
        <v>CRED</v>
      </c>
      <c r="D4618" s="122" t="str">
        <f>IFERROR(__xludf.DUMMYFUNCTION("""COMPUTED_VALUE"""),"Credit Castle")</f>
        <v>Credit Castle</v>
      </c>
      <c r="E4618" s="122">
        <f>IFERROR(__xludf.DUMMYFUNCTION("""COMPUTED_VALUE"""),66.2)</f>
        <v>66.2</v>
      </c>
      <c r="F4618" s="122">
        <f>IFERROR(__xludf.DUMMYFUNCTION("""COMPUTED_VALUE"""),-0.0017)</f>
        <v>-0.0017</v>
      </c>
    </row>
    <row r="4619">
      <c r="A4619" s="131">
        <f>IFERROR(__xludf.DUMMYFUNCTION("""COMPUTED_VALUE"""),46187.488020833334)</f>
        <v>46187.48802</v>
      </c>
      <c r="B4619" s="126">
        <f>IFERROR(__xludf.DUMMYFUNCTION("""COMPUTED_VALUE"""),46187.0)</f>
        <v>46187</v>
      </c>
      <c r="C4619" s="122" t="str">
        <f>IFERROR(__xludf.DUMMYFUNCTION("""COMPUTED_VALUE"""),"BOND")</f>
        <v>BOND</v>
      </c>
      <c r="D4619" s="122" t="str">
        <f>IFERROR(__xludf.DUMMYFUNCTION("""COMPUTED_VALUE"""),"BondBridge")</f>
        <v>BondBridge</v>
      </c>
      <c r="E4619" s="122">
        <f>IFERROR(__xludf.DUMMYFUNCTION("""COMPUTED_VALUE"""),99.75)</f>
        <v>99.75</v>
      </c>
      <c r="F4619" s="122">
        <f>IFERROR(__xludf.DUMMYFUNCTION("""COMPUTED_VALUE"""),0.001)</f>
        <v>0.001</v>
      </c>
    </row>
    <row r="4620">
      <c r="A4620" s="131">
        <f>IFERROR(__xludf.DUMMYFUNCTION("""COMPUTED_VALUE"""),46187.488020833334)</f>
        <v>46187.48802</v>
      </c>
      <c r="B4620" s="126">
        <f>IFERROR(__xludf.DUMMYFUNCTION("""COMPUTED_VALUE"""),46187.0)</f>
        <v>46187</v>
      </c>
      <c r="C4620" s="122" t="str">
        <f>IFERROR(__xludf.DUMMYFUNCTION("""COMPUTED_VALUE"""),"INSR")</f>
        <v>INSR</v>
      </c>
      <c r="D4620" s="122" t="str">
        <f>IFERROR(__xludf.DUMMYFUNCTION("""COMPUTED_VALUE"""),"Shield Insurance")</f>
        <v>Shield Insurance</v>
      </c>
      <c r="E4620" s="122">
        <f>IFERROR(__xludf.DUMMYFUNCTION("""COMPUTED_VALUE"""),159.86)</f>
        <v>159.86</v>
      </c>
      <c r="F4620" s="122">
        <f>IFERROR(__xludf.DUMMYFUNCTION("""COMPUTED_VALUE"""),-0.0035)</f>
        <v>-0.0035</v>
      </c>
    </row>
    <row r="4621">
      <c r="A4621" s="131">
        <f>IFERROR(__xludf.DUMMYFUNCTION("""COMPUTED_VALUE"""),46187.488020833334)</f>
        <v>46187.48802</v>
      </c>
      <c r="B4621" s="126">
        <f>IFERROR(__xludf.DUMMYFUNCTION("""COMPUTED_VALUE"""),46187.0)</f>
        <v>46187</v>
      </c>
      <c r="C4621" s="122" t="str">
        <f>IFERROR(__xludf.DUMMYFUNCTION("""COMPUTED_VALUE"""),"LOAN")</f>
        <v>LOAN</v>
      </c>
      <c r="D4621" s="122" t="str">
        <f>IFERROR(__xludf.DUMMYFUNCTION("""COMPUTED_VALUE"""),"LoanLab")</f>
        <v>LoanLab</v>
      </c>
      <c r="E4621" s="122">
        <f>IFERROR(__xludf.DUMMYFUNCTION("""COMPUTED_VALUE"""),65.52)</f>
        <v>65.52</v>
      </c>
      <c r="F4621" s="122">
        <f>IFERROR(__xludf.DUMMYFUNCTION("""COMPUTED_VALUE"""),0.0029)</f>
        <v>0.0029</v>
      </c>
    </row>
    <row r="4622">
      <c r="A4622" s="131">
        <f>IFERROR(__xludf.DUMMYFUNCTION("""COMPUTED_VALUE"""),46187.488020833334)</f>
        <v>46187.48802</v>
      </c>
      <c r="B4622" s="126">
        <f>IFERROR(__xludf.DUMMYFUNCTION("""COMPUTED_VALUE"""),46187.0)</f>
        <v>46187</v>
      </c>
      <c r="C4622" s="122" t="str">
        <f>IFERROR(__xludf.DUMMYFUNCTION("""COMPUTED_VALUE"""),"LUXE")</f>
        <v>LUXE</v>
      </c>
      <c r="D4622" s="122" t="str">
        <f>IFERROR(__xludf.DUMMYFUNCTION("""COMPUTED_VALUE"""),"Luxury Locker")</f>
        <v>Luxury Locker</v>
      </c>
      <c r="E4622" s="122">
        <f>IFERROR(__xludf.DUMMYFUNCTION("""COMPUTED_VALUE"""),264.96)</f>
        <v>264.96</v>
      </c>
      <c r="F4622" s="122">
        <f>IFERROR(__xludf.DUMMYFUNCTION("""COMPUTED_VALUE"""),0.0045)</f>
        <v>0.0045</v>
      </c>
    </row>
    <row r="4623">
      <c r="A4623" s="131">
        <f>IFERROR(__xludf.DUMMYFUNCTION("""COMPUTED_VALUE"""),46187.488020833334)</f>
        <v>46187.48802</v>
      </c>
      <c r="B4623" s="126">
        <f>IFERROR(__xludf.DUMMYFUNCTION("""COMPUTED_VALUE"""),46187.0)</f>
        <v>46187</v>
      </c>
      <c r="C4623" s="122" t="str">
        <f>IFERROR(__xludf.DUMMYFUNCTION("""COMPUTED_VALUE"""),"DRIP")</f>
        <v>DRIP</v>
      </c>
      <c r="D4623" s="122" t="str">
        <f>IFERROR(__xludf.DUMMYFUNCTION("""COMPUTED_VALUE"""),"Drip Streetwear")</f>
        <v>Drip Streetwear</v>
      </c>
      <c r="E4623" s="122">
        <f>IFERROR(__xludf.DUMMYFUNCTION("""COMPUTED_VALUE"""),190.02)</f>
        <v>190.02</v>
      </c>
      <c r="F4623" s="122">
        <f>IFERROR(__xludf.DUMMYFUNCTION("""COMPUTED_VALUE"""),-0.0119)</f>
        <v>-0.0119</v>
      </c>
    </row>
    <row r="4624">
      <c r="A4624" s="131">
        <f>IFERROR(__xludf.DUMMYFUNCTION("""COMPUTED_VALUE"""),46187.488020833334)</f>
        <v>46187.48802</v>
      </c>
      <c r="B4624" s="126">
        <f>IFERROR(__xludf.DUMMYFUNCTION("""COMPUTED_VALUE"""),46187.0)</f>
        <v>46187</v>
      </c>
      <c r="C4624" s="122" t="str">
        <f>IFERROR(__xludf.DUMMYFUNCTION("""COMPUTED_VALUE"""),"KICK")</f>
        <v>KICK</v>
      </c>
      <c r="D4624" s="122" t="str">
        <f>IFERROR(__xludf.DUMMYFUNCTION("""COMPUTED_VALUE"""),"KickDrop Sneakers")</f>
        <v>KickDrop Sneakers</v>
      </c>
      <c r="E4624" s="122">
        <f>IFERROR(__xludf.DUMMYFUNCTION("""COMPUTED_VALUE"""),172.27)</f>
        <v>172.27</v>
      </c>
      <c r="F4624" s="122">
        <f>IFERROR(__xludf.DUMMYFUNCTION("""COMPUTED_VALUE"""),0.0025)</f>
        <v>0.0025</v>
      </c>
    </row>
    <row r="4625">
      <c r="A4625" s="131">
        <f>IFERROR(__xludf.DUMMYFUNCTION("""COMPUTED_VALUE"""),46187.488020833334)</f>
        <v>46187.48802</v>
      </c>
      <c r="B4625" s="126">
        <f>IFERROR(__xludf.DUMMYFUNCTION("""COMPUTED_VALUE"""),46187.0)</f>
        <v>46187</v>
      </c>
      <c r="C4625" s="122" t="str">
        <f>IFERROR(__xludf.DUMMYFUNCTION("""COMPUTED_VALUE"""),"GLAM")</f>
        <v>GLAM</v>
      </c>
      <c r="D4625" s="122" t="str">
        <f>IFERROR(__xludf.DUMMYFUNCTION("""COMPUTED_VALUE"""),"Glow Cosmetics")</f>
        <v>Glow Cosmetics</v>
      </c>
      <c r="E4625" s="122">
        <f>IFERROR(__xludf.DUMMYFUNCTION("""COMPUTED_VALUE"""),104.4)</f>
        <v>104.4</v>
      </c>
      <c r="F4625" s="122">
        <f>IFERROR(__xludf.DUMMYFUNCTION("""COMPUTED_VALUE"""),0.0076)</f>
        <v>0.0076</v>
      </c>
    </row>
    <row r="4626">
      <c r="A4626" s="131">
        <f>IFERROR(__xludf.DUMMYFUNCTION("""COMPUTED_VALUE"""),46187.488020833334)</f>
        <v>46187.48802</v>
      </c>
      <c r="B4626" s="126">
        <f>IFERROR(__xludf.DUMMYFUNCTION("""COMPUTED_VALUE"""),46187.0)</f>
        <v>46187</v>
      </c>
      <c r="C4626" s="122" t="str">
        <f>IFERROR(__xludf.DUMMYFUNCTION("""COMPUTED_VALUE"""),"BAGG")</f>
        <v>BAGG</v>
      </c>
      <c r="D4626" s="122" t="str">
        <f>IFERROR(__xludf.DUMMYFUNCTION("""COMPUTED_VALUE"""),"BagVault")</f>
        <v>BagVault</v>
      </c>
      <c r="E4626" s="122">
        <f>IFERROR(__xludf.DUMMYFUNCTION("""COMPUTED_VALUE"""),250.97)</f>
        <v>250.97</v>
      </c>
      <c r="F4626" s="122">
        <f>IFERROR(__xludf.DUMMYFUNCTION("""COMPUTED_VALUE"""),-0.0046)</f>
        <v>-0.0046</v>
      </c>
    </row>
    <row r="4627">
      <c r="A4627" s="131">
        <f>IFERROR(__xludf.DUMMYFUNCTION("""COMPUTED_VALUE"""),46187.488020833334)</f>
        <v>46187.48802</v>
      </c>
      <c r="B4627" s="126">
        <f>IFERROR(__xludf.DUMMYFUNCTION("""COMPUTED_VALUE"""),46187.0)</f>
        <v>46187</v>
      </c>
      <c r="C4627" s="122" t="str">
        <f>IFERROR(__xludf.DUMMYFUNCTION("""COMPUTED_VALUE"""),"FAST")</f>
        <v>FAST</v>
      </c>
      <c r="D4627" s="122" t="str">
        <f>IFERROR(__xludf.DUMMYFUNCTION("""COMPUTED_VALUE"""),"Flash Logistics")</f>
        <v>Flash Logistics</v>
      </c>
      <c r="E4627" s="122">
        <f>IFERROR(__xludf.DUMMYFUNCTION("""COMPUTED_VALUE"""),104.57)</f>
        <v>104.57</v>
      </c>
      <c r="F4627" s="122">
        <f>IFERROR(__xludf.DUMMYFUNCTION("""COMPUTED_VALUE"""),0.0012)</f>
        <v>0.0012</v>
      </c>
    </row>
    <row r="4628">
      <c r="A4628" s="131">
        <f>IFERROR(__xludf.DUMMYFUNCTION("""COMPUTED_VALUE"""),46187.488020833334)</f>
        <v>46187.48802</v>
      </c>
      <c r="B4628" s="126">
        <f>IFERROR(__xludf.DUMMYFUNCTION("""COMPUTED_VALUE"""),46187.0)</f>
        <v>46187</v>
      </c>
      <c r="C4628" s="122" t="str">
        <f>IFERROR(__xludf.DUMMYFUNCTION("""COMPUTED_VALUE"""),"SHIP")</f>
        <v>SHIP</v>
      </c>
      <c r="D4628" s="122" t="str">
        <f>IFERROR(__xludf.DUMMYFUNCTION("""COMPUTED_VALUE"""),"Seoul Shipping")</f>
        <v>Seoul Shipping</v>
      </c>
      <c r="E4628" s="122">
        <f>IFERROR(__xludf.DUMMYFUNCTION("""COMPUTED_VALUE"""),125.05)</f>
        <v>125.05</v>
      </c>
      <c r="F4628" s="122">
        <f>IFERROR(__xludf.DUMMYFUNCTION("""COMPUTED_VALUE"""),0.0064)</f>
        <v>0.0064</v>
      </c>
    </row>
    <row r="4629">
      <c r="A4629" s="131">
        <f>IFERROR(__xludf.DUMMYFUNCTION("""COMPUTED_VALUE"""),46187.488020833334)</f>
        <v>46187.48802</v>
      </c>
      <c r="B4629" s="126">
        <f>IFERROR(__xludf.DUMMYFUNCTION("""COMPUTED_VALUE"""),46187.0)</f>
        <v>46187</v>
      </c>
      <c r="C4629" s="122" t="str">
        <f>IFERROR(__xludf.DUMMYFUNCTION("""COMPUTED_VALUE"""),"DRON")</f>
        <v>DRON</v>
      </c>
      <c r="D4629" s="122" t="str">
        <f>IFERROR(__xludf.DUMMYFUNCTION("""COMPUTED_VALUE"""),"DroneDrop")</f>
        <v>DroneDrop</v>
      </c>
      <c r="E4629" s="122">
        <f>IFERROR(__xludf.DUMMYFUNCTION("""COMPUTED_VALUE"""),127.93)</f>
        <v>127.93</v>
      </c>
      <c r="F4629" s="122">
        <f>IFERROR(__xludf.DUMMYFUNCTION("""COMPUTED_VALUE"""),0.0038)</f>
        <v>0.0038</v>
      </c>
    </row>
    <row r="4630">
      <c r="A4630" s="131">
        <f>IFERROR(__xludf.DUMMYFUNCTION("""COMPUTED_VALUE"""),46187.488020833334)</f>
        <v>46187.48802</v>
      </c>
      <c r="B4630" s="126">
        <f>IFERROR(__xludf.DUMMYFUNCTION("""COMPUTED_VALUE"""),46187.0)</f>
        <v>46187</v>
      </c>
      <c r="C4630" s="122" t="str">
        <f>IFERROR(__xludf.DUMMYFUNCTION("""COMPUTED_VALUE"""),"RIDE")</f>
        <v>RIDE</v>
      </c>
      <c r="D4630" s="122" t="str">
        <f>IFERROR(__xludf.DUMMYFUNCTION("""COMPUTED_VALUE"""),"QuickRide")</f>
        <v>QuickRide</v>
      </c>
      <c r="E4630" s="122">
        <f>IFERROR(__xludf.DUMMYFUNCTION("""COMPUTED_VALUE"""),95.62)</f>
        <v>95.62</v>
      </c>
      <c r="F4630" s="122">
        <f>IFERROR(__xludf.DUMMYFUNCTION("""COMPUTED_VALUE"""),0.0089)</f>
        <v>0.0089</v>
      </c>
    </row>
    <row r="4631">
      <c r="A4631" s="131">
        <f>IFERROR(__xludf.DUMMYFUNCTION("""COMPUTED_VALUE"""),46187.488020833334)</f>
        <v>46187.48802</v>
      </c>
      <c r="B4631" s="126">
        <f>IFERROR(__xludf.DUMMYFUNCTION("""COMPUTED_VALUE"""),46187.0)</f>
        <v>46187</v>
      </c>
      <c r="C4631" s="122" t="str">
        <f>IFERROR(__xludf.DUMMYFUNCTION("""COMPUTED_VALUE"""),"RAIL")</f>
        <v>RAIL</v>
      </c>
      <c r="D4631" s="122" t="str">
        <f>IFERROR(__xludf.DUMMYFUNCTION("""COMPUTED_VALUE"""),"MetroRail Corp")</f>
        <v>MetroRail Corp</v>
      </c>
      <c r="E4631" s="122">
        <f>IFERROR(__xludf.DUMMYFUNCTION("""COMPUTED_VALUE"""),134.32)</f>
        <v>134.32</v>
      </c>
      <c r="F4631" s="122">
        <f>IFERROR(__xludf.DUMMYFUNCTION("""COMPUTED_VALUE"""),4.0E-4)</f>
        <v>0.0004</v>
      </c>
    </row>
    <row r="4632">
      <c r="A4632" s="131">
        <f>IFERROR(__xludf.DUMMYFUNCTION("""COMPUTED_VALUE"""),46187.488020833334)</f>
        <v>46187.48802</v>
      </c>
      <c r="B4632" s="126">
        <f>IFERROR(__xludf.DUMMYFUNCTION("""COMPUTED_VALUE"""),46187.0)</f>
        <v>46187</v>
      </c>
      <c r="C4632" s="122" t="str">
        <f>IFERROR(__xludf.DUMMYFUNCTION("""COMPUTED_VALUE"""),"MEDX")</f>
        <v>MEDX</v>
      </c>
      <c r="D4632" s="122" t="str">
        <f>IFERROR(__xludf.DUMMYFUNCTION("""COMPUTED_VALUE"""),"MediCore")</f>
        <v>MediCore</v>
      </c>
      <c r="E4632" s="122">
        <f>IFERROR(__xludf.DUMMYFUNCTION("""COMPUTED_VALUE"""),138.46)</f>
        <v>138.46</v>
      </c>
      <c r="F4632" s="122">
        <f>IFERROR(__xludf.DUMMYFUNCTION("""COMPUTED_VALUE"""),-0.0019)</f>
        <v>-0.0019</v>
      </c>
    </row>
    <row r="4633">
      <c r="A4633" s="131">
        <f>IFERROR(__xludf.DUMMYFUNCTION("""COMPUTED_VALUE"""),46187.488020833334)</f>
        <v>46187.48802</v>
      </c>
      <c r="B4633" s="126">
        <f>IFERROR(__xludf.DUMMYFUNCTION("""COMPUTED_VALUE"""),46187.0)</f>
        <v>46187</v>
      </c>
      <c r="C4633" s="122" t="str">
        <f>IFERROR(__xludf.DUMMYFUNCTION("""COMPUTED_VALUE"""),"GYMX")</f>
        <v>GYMX</v>
      </c>
      <c r="D4633" s="122" t="str">
        <f>IFERROR(__xludf.DUMMYFUNCTION("""COMPUTED_VALUE"""),"GymX Fitness")</f>
        <v>GymX Fitness</v>
      </c>
      <c r="E4633" s="122">
        <f>IFERROR(__xludf.DUMMYFUNCTION("""COMPUTED_VALUE"""),86.53)</f>
        <v>86.53</v>
      </c>
      <c r="F4633" s="122">
        <f>IFERROR(__xludf.DUMMYFUNCTION("""COMPUTED_VALUE"""),0.0023)</f>
        <v>0.0023</v>
      </c>
    </row>
    <row r="4634">
      <c r="A4634" s="131">
        <f>IFERROR(__xludf.DUMMYFUNCTION("""COMPUTED_VALUE"""),46187.488020833334)</f>
        <v>46187.48802</v>
      </c>
      <c r="B4634" s="126">
        <f>IFERROR(__xludf.DUMMYFUNCTION("""COMPUTED_VALUE"""),46187.0)</f>
        <v>46187</v>
      </c>
      <c r="C4634" s="122" t="str">
        <f>IFERROR(__xludf.DUMMYFUNCTION("""COMPUTED_VALUE"""),"VITA")</f>
        <v>VITA</v>
      </c>
      <c r="D4634" s="122" t="str">
        <f>IFERROR(__xludf.DUMMYFUNCTION("""COMPUTED_VALUE"""),"VitaPlus")</f>
        <v>VitaPlus</v>
      </c>
      <c r="E4634" s="122">
        <f>IFERROR(__xludf.DUMMYFUNCTION("""COMPUTED_VALUE"""),73.36)</f>
        <v>73.36</v>
      </c>
      <c r="F4634" s="122">
        <f>IFERROR(__xludf.DUMMYFUNCTION("""COMPUTED_VALUE"""),-0.0024)</f>
        <v>-0.0024</v>
      </c>
    </row>
    <row r="4635">
      <c r="A4635" s="131">
        <f>IFERROR(__xludf.DUMMYFUNCTION("""COMPUTED_VALUE"""),46187.488020833334)</f>
        <v>46187.48802</v>
      </c>
      <c r="B4635" s="126">
        <f>IFERROR(__xludf.DUMMYFUNCTION("""COMPUTED_VALUE"""),46187.0)</f>
        <v>46187</v>
      </c>
      <c r="C4635" s="122" t="str">
        <f>IFERROR(__xludf.DUMMYFUNCTION("""COMPUTED_VALUE"""),"CARE")</f>
        <v>CARE</v>
      </c>
      <c r="D4635" s="122" t="str">
        <f>IFERROR(__xludf.DUMMYFUNCTION("""COMPUTED_VALUE"""),"CareCloud")</f>
        <v>CareCloud</v>
      </c>
      <c r="E4635" s="122">
        <f>IFERROR(__xludf.DUMMYFUNCTION("""COMPUTED_VALUE"""),177.84)</f>
        <v>177.84</v>
      </c>
      <c r="F4635" s="122">
        <f>IFERROR(__xludf.DUMMYFUNCTION("""COMPUTED_VALUE"""),-0.0011)</f>
        <v>-0.0011</v>
      </c>
    </row>
    <row r="4636">
      <c r="A4636" s="131">
        <f>IFERROR(__xludf.DUMMYFUNCTION("""COMPUTED_VALUE"""),46187.488020833334)</f>
        <v>46187.48802</v>
      </c>
      <c r="B4636" s="126">
        <f>IFERROR(__xludf.DUMMYFUNCTION("""COMPUTED_VALUE"""),46187.0)</f>
        <v>46187</v>
      </c>
      <c r="C4636" s="122" t="str">
        <f>IFERROR(__xludf.DUMMYFUNCTION("""COMPUTED_VALUE"""),"DENT")</f>
        <v>DENT</v>
      </c>
      <c r="D4636" s="122" t="str">
        <f>IFERROR(__xludf.DUMMYFUNCTION("""COMPUTED_VALUE"""),"SmileWorks")</f>
        <v>SmileWorks</v>
      </c>
      <c r="E4636" s="122">
        <f>IFERROR(__xludf.DUMMYFUNCTION("""COMPUTED_VALUE"""),87.15)</f>
        <v>87.15</v>
      </c>
      <c r="F4636" s="122">
        <f>IFERROR(__xludf.DUMMYFUNCTION("""COMPUTED_VALUE"""),0.0052)</f>
        <v>0.0052</v>
      </c>
    </row>
    <row r="4637">
      <c r="A4637" s="131">
        <f>IFERROR(__xludf.DUMMYFUNCTION("""COMPUTED_VALUE"""),46187.488020833334)</f>
        <v>46187.48802</v>
      </c>
      <c r="B4637" s="126">
        <f>IFERROR(__xludf.DUMMYFUNCTION("""COMPUTED_VALUE"""),46187.0)</f>
        <v>46187</v>
      </c>
      <c r="C4637" s="122" t="str">
        <f>IFERROR(__xludf.DUMMYFUNCTION("""COMPUTED_VALUE"""),"EDUX")</f>
        <v>EDUX</v>
      </c>
      <c r="D4637" s="122" t="str">
        <f>IFERROR(__xludf.DUMMYFUNCTION("""COMPUTED_VALUE"""),"EduMax Learning")</f>
        <v>EduMax Learning</v>
      </c>
      <c r="E4637" s="122">
        <f>IFERROR(__xludf.DUMMYFUNCTION("""COMPUTED_VALUE"""),138.0)</f>
        <v>138</v>
      </c>
      <c r="F4637" s="122">
        <f>IFERROR(__xludf.DUMMYFUNCTION("""COMPUTED_VALUE"""),0.0061)</f>
        <v>0.0061</v>
      </c>
    </row>
    <row r="4638">
      <c r="A4638" s="131">
        <f>IFERROR(__xludf.DUMMYFUNCTION("""COMPUTED_VALUE"""),46187.488020833334)</f>
        <v>46187.48802</v>
      </c>
      <c r="B4638" s="126">
        <f>IFERROR(__xludf.DUMMYFUNCTION("""COMPUTED_VALUE"""),46187.0)</f>
        <v>46187</v>
      </c>
      <c r="C4638" s="122" t="str">
        <f>IFERROR(__xludf.DUMMYFUNCTION("""COMPUTED_VALUE"""),"BOOK")</f>
        <v>BOOK</v>
      </c>
      <c r="D4638" s="122" t="str">
        <f>IFERROR(__xludf.DUMMYFUNCTION("""COMPUTED_VALUE"""),"BookBridge")</f>
        <v>BookBridge</v>
      </c>
      <c r="E4638" s="122">
        <f>IFERROR(__xludf.DUMMYFUNCTION("""COMPUTED_VALUE"""),118.1)</f>
        <v>118.1</v>
      </c>
      <c r="F4638" s="122">
        <f>IFERROR(__xludf.DUMMYFUNCTION("""COMPUTED_VALUE"""),3.0E-4)</f>
        <v>0.0003</v>
      </c>
    </row>
    <row r="4639">
      <c r="A4639" s="131">
        <f>IFERROR(__xludf.DUMMYFUNCTION("""COMPUTED_VALUE"""),46187.488020833334)</f>
        <v>46187.48802</v>
      </c>
      <c r="B4639" s="126">
        <f>IFERROR(__xludf.DUMMYFUNCTION("""COMPUTED_VALUE"""),46187.0)</f>
        <v>46187</v>
      </c>
      <c r="C4639" s="122" t="str">
        <f>IFERROR(__xludf.DUMMYFUNCTION("""COMPUTED_VALUE"""),"TUTR")</f>
        <v>TUTR</v>
      </c>
      <c r="D4639" s="122" t="str">
        <f>IFERROR(__xludf.DUMMYFUNCTION("""COMPUTED_VALUE"""),"TutorTown")</f>
        <v>TutorTown</v>
      </c>
      <c r="E4639" s="122">
        <f>IFERROR(__xludf.DUMMYFUNCTION("""COMPUTED_VALUE"""),91.03)</f>
        <v>91.03</v>
      </c>
      <c r="F4639" s="122">
        <f>IFERROR(__xludf.DUMMYFUNCTION("""COMPUTED_VALUE"""),0.0035)</f>
        <v>0.0035</v>
      </c>
    </row>
    <row r="4640">
      <c r="A4640" s="131">
        <f>IFERROR(__xludf.DUMMYFUNCTION("""COMPUTED_VALUE"""),46187.488020833334)</f>
        <v>46187.48802</v>
      </c>
      <c r="B4640" s="126">
        <f>IFERROR(__xludf.DUMMYFUNCTION("""COMPUTED_VALUE"""),46187.0)</f>
        <v>46187</v>
      </c>
      <c r="C4640" s="122" t="str">
        <f>IFERROR(__xludf.DUMMYFUNCTION("""COMPUTED_VALUE"""),"LANG")</f>
        <v>LANG</v>
      </c>
      <c r="D4640" s="122" t="str">
        <f>IFERROR(__xludf.DUMMYFUNCTION("""COMPUTED_VALUE"""),"LinguaLab")</f>
        <v>LinguaLab</v>
      </c>
      <c r="E4640" s="122">
        <f>IFERROR(__xludf.DUMMYFUNCTION("""COMPUTED_VALUE"""),98.63)</f>
        <v>98.63</v>
      </c>
      <c r="F4640" s="122">
        <f>IFERROR(__xludf.DUMMYFUNCTION("""COMPUTED_VALUE"""),-9.0E-4)</f>
        <v>-0.0009</v>
      </c>
    </row>
    <row r="4641">
      <c r="A4641" s="131">
        <f>IFERROR(__xludf.DUMMYFUNCTION("""COMPUTED_VALUE"""),46187.488020833334)</f>
        <v>46187.48802</v>
      </c>
      <c r="B4641" s="126">
        <f>IFERROR(__xludf.DUMMYFUNCTION("""COMPUTED_VALUE"""),46187.0)</f>
        <v>46187</v>
      </c>
      <c r="C4641" s="122" t="str">
        <f>IFERROR(__xludf.DUMMYFUNCTION("""COMPUTED_VALUE"""),"TEST")</f>
        <v>TEST</v>
      </c>
      <c r="D4641" s="122" t="str">
        <f>IFERROR(__xludf.DUMMYFUNCTION("""COMPUTED_VALUE"""),"TestPrep Pro")</f>
        <v>TestPrep Pro</v>
      </c>
      <c r="E4641" s="122">
        <f>IFERROR(__xludf.DUMMYFUNCTION("""COMPUTED_VALUE"""),94.74)</f>
        <v>94.74</v>
      </c>
      <c r="F4641" s="122">
        <f>IFERROR(__xludf.DUMMYFUNCTION("""COMPUTED_VALUE"""),-0.0059)</f>
        <v>-0.0059</v>
      </c>
    </row>
    <row r="4642">
      <c r="A4642" s="131">
        <f>IFERROR(__xludf.DUMMYFUNCTION("""COMPUTED_VALUE"""),46187.488020833334)</f>
        <v>46187.48802</v>
      </c>
      <c r="B4642" s="126">
        <f>IFERROR(__xludf.DUMMYFUNCTION("""COMPUTED_VALUE"""),46187.0)</f>
        <v>46187</v>
      </c>
      <c r="C4642" s="122" t="str">
        <f>IFERROR(__xludf.DUMMYFUNCTION("""COMPUTED_VALUE"""),"MOVI")</f>
        <v>MOVI</v>
      </c>
      <c r="D4642" s="122" t="str">
        <f>IFERROR(__xludf.DUMMYFUNCTION("""COMPUTED_VALUE"""),"MovieBox")</f>
        <v>MovieBox</v>
      </c>
      <c r="E4642" s="122">
        <f>IFERROR(__xludf.DUMMYFUNCTION("""COMPUTED_VALUE"""),81.77)</f>
        <v>81.77</v>
      </c>
      <c r="F4642" s="122">
        <f>IFERROR(__xludf.DUMMYFUNCTION("""COMPUTED_VALUE"""),-7.0E-4)</f>
        <v>-0.0007</v>
      </c>
    </row>
    <row r="4643">
      <c r="A4643" s="131">
        <f>IFERROR(__xludf.DUMMYFUNCTION("""COMPUTED_VALUE"""),46187.488020833334)</f>
        <v>46187.48802</v>
      </c>
      <c r="B4643" s="126">
        <f>IFERROR(__xludf.DUMMYFUNCTION("""COMPUTED_VALUE"""),46187.0)</f>
        <v>46187</v>
      </c>
      <c r="C4643" s="122" t="str">
        <f>IFERROR(__xludf.DUMMYFUNCTION("""COMPUTED_VALUE"""),"MUSC")</f>
        <v>MUSC</v>
      </c>
      <c r="D4643" s="122" t="str">
        <f>IFERROR(__xludf.DUMMYFUNCTION("""COMPUTED_VALUE"""),"MusicWave")</f>
        <v>MusicWave</v>
      </c>
      <c r="E4643" s="122">
        <f>IFERROR(__xludf.DUMMYFUNCTION("""COMPUTED_VALUE"""),97.89)</f>
        <v>97.89</v>
      </c>
      <c r="F4643" s="122">
        <f>IFERROR(__xludf.DUMMYFUNCTION("""COMPUTED_VALUE"""),0.0036)</f>
        <v>0.0036</v>
      </c>
    </row>
    <row r="4644">
      <c r="A4644" s="131">
        <f>IFERROR(__xludf.DUMMYFUNCTION("""COMPUTED_VALUE"""),46187.488020833334)</f>
        <v>46187.48802</v>
      </c>
      <c r="B4644" s="126">
        <f>IFERROR(__xludf.DUMMYFUNCTION("""COMPUTED_VALUE"""),46187.0)</f>
        <v>46187</v>
      </c>
      <c r="C4644" s="122" t="str">
        <f>IFERROR(__xludf.DUMMYFUNCTION("""COMPUTED_VALUE"""),"IDOL")</f>
        <v>IDOL</v>
      </c>
      <c r="D4644" s="122" t="str">
        <f>IFERROR(__xludf.DUMMYFUNCTION("""COMPUTED_VALUE"""),"Idol Agency")</f>
        <v>Idol Agency</v>
      </c>
      <c r="E4644" s="122">
        <f>IFERROR(__xludf.DUMMYFUNCTION("""COMPUTED_VALUE"""),194.66)</f>
        <v>194.66</v>
      </c>
      <c r="F4644" s="122">
        <f>IFERROR(__xludf.DUMMYFUNCTION("""COMPUTED_VALUE"""),-0.0057)</f>
        <v>-0.0057</v>
      </c>
    </row>
    <row r="4645">
      <c r="A4645" s="131">
        <f>IFERROR(__xludf.DUMMYFUNCTION("""COMPUTED_VALUE"""),46187.488020833334)</f>
        <v>46187.48802</v>
      </c>
      <c r="B4645" s="126">
        <f>IFERROR(__xludf.DUMMYFUNCTION("""COMPUTED_VALUE"""),46187.0)</f>
        <v>46187</v>
      </c>
      <c r="C4645" s="122" t="str">
        <f>IFERROR(__xludf.DUMMYFUNCTION("""COMPUTED_VALUE"""),"MEME")</f>
        <v>MEME</v>
      </c>
      <c r="D4645" s="122" t="str">
        <f>IFERROR(__xludf.DUMMYFUNCTION("""COMPUTED_VALUE"""),"Meme Media")</f>
        <v>Meme Media</v>
      </c>
      <c r="E4645" s="122">
        <f>IFERROR(__xludf.DUMMYFUNCTION("""COMPUTED_VALUE"""),73.03)</f>
        <v>73.03</v>
      </c>
      <c r="F4645" s="122">
        <f>IFERROR(__xludf.DUMMYFUNCTION("""COMPUTED_VALUE"""),-0.0054)</f>
        <v>-0.0054</v>
      </c>
    </row>
    <row r="4646">
      <c r="A4646" s="131">
        <f>IFERROR(__xludf.DUMMYFUNCTION("""COMPUTED_VALUE"""),46187.488020833334)</f>
        <v>46187.48802</v>
      </c>
      <c r="B4646" s="126">
        <f>IFERROR(__xludf.DUMMYFUNCTION("""COMPUTED_VALUE"""),46187.0)</f>
        <v>46187</v>
      </c>
      <c r="C4646" s="122" t="str">
        <f>IFERROR(__xludf.DUMMYFUNCTION("""COMPUTED_VALUE"""),"STRM")</f>
        <v>STRM</v>
      </c>
      <c r="D4646" s="122" t="str">
        <f>IFERROR(__xludf.DUMMYFUNCTION("""COMPUTED_VALUE"""),"Streamly")</f>
        <v>Streamly</v>
      </c>
      <c r="E4646" s="122">
        <f>IFERROR(__xludf.DUMMYFUNCTION("""COMPUTED_VALUE"""),136.85)</f>
        <v>136.85</v>
      </c>
      <c r="F4646" s="122">
        <f>IFERROR(__xludf.DUMMYFUNCTION("""COMPUTED_VALUE"""),-0.0085)</f>
        <v>-0.0085</v>
      </c>
    </row>
    <row r="4647">
      <c r="A4647" s="131">
        <f>IFERROR(__xludf.DUMMYFUNCTION("""COMPUTED_VALUE"""),46187.488020833334)</f>
        <v>46187.48802</v>
      </c>
      <c r="B4647" s="126">
        <f>IFERROR(__xludf.DUMMYFUNCTION("""COMPUTED_VALUE"""),46187.0)</f>
        <v>46187</v>
      </c>
      <c r="C4647" s="122" t="str">
        <f>IFERROR(__xludf.DUMMYFUNCTION("""COMPUTED_VALUE"""),"FARM")</f>
        <v>FARM</v>
      </c>
      <c r="D4647" s="122" t="str">
        <f>IFERROR(__xludf.DUMMYFUNCTION("""COMPUTED_VALUE"""),"Future Farms")</f>
        <v>Future Farms</v>
      </c>
      <c r="E4647" s="122">
        <f>IFERROR(__xludf.DUMMYFUNCTION("""COMPUTED_VALUE"""),88.59)</f>
        <v>88.59</v>
      </c>
      <c r="F4647" s="122">
        <f>IFERROR(__xludf.DUMMYFUNCTION("""COMPUTED_VALUE"""),2.0E-4)</f>
        <v>0.0002</v>
      </c>
    </row>
    <row r="4648">
      <c r="A4648" s="131">
        <f>IFERROR(__xludf.DUMMYFUNCTION("""COMPUTED_VALUE"""),46187.488020833334)</f>
        <v>46187.48802</v>
      </c>
      <c r="B4648" s="126">
        <f>IFERROR(__xludf.DUMMYFUNCTION("""COMPUTED_VALUE"""),46187.0)</f>
        <v>46187</v>
      </c>
      <c r="C4648" s="122" t="str">
        <f>IFERROR(__xludf.DUMMYFUNCTION("""COMPUTED_VALUE"""),"MEAT")</f>
        <v>MEAT</v>
      </c>
      <c r="D4648" s="122" t="str">
        <f>IFERROR(__xludf.DUMMYFUNCTION("""COMPUTED_VALUE"""),"MeatWorks")</f>
        <v>MeatWorks</v>
      </c>
      <c r="E4648" s="122">
        <f>IFERROR(__xludf.DUMMYFUNCTION("""COMPUTED_VALUE"""),103.86)</f>
        <v>103.86</v>
      </c>
      <c r="F4648" s="122">
        <f>IFERROR(__xludf.DUMMYFUNCTION("""COMPUTED_VALUE"""),-0.0054)</f>
        <v>-0.0054</v>
      </c>
    </row>
    <row r="4649">
      <c r="A4649" s="131">
        <f>IFERROR(__xludf.DUMMYFUNCTION("""COMPUTED_VALUE"""),46187.488020833334)</f>
        <v>46187.48802</v>
      </c>
      <c r="B4649" s="126">
        <f>IFERROR(__xludf.DUMMYFUNCTION("""COMPUTED_VALUE"""),46187.0)</f>
        <v>46187</v>
      </c>
      <c r="C4649" s="122" t="str">
        <f>IFERROR(__xludf.DUMMYFUNCTION("""COMPUTED_VALUE"""),"VEGI")</f>
        <v>VEGI</v>
      </c>
      <c r="D4649" s="122" t="str">
        <f>IFERROR(__xludf.DUMMYFUNCTION("""COMPUTED_VALUE"""),"Green Basket")</f>
        <v>Green Basket</v>
      </c>
      <c r="E4649" s="122">
        <f>IFERROR(__xludf.DUMMYFUNCTION("""COMPUTED_VALUE"""),80.34)</f>
        <v>80.34</v>
      </c>
      <c r="F4649" s="122">
        <f>IFERROR(__xludf.DUMMYFUNCTION("""COMPUTED_VALUE"""),0.0029)</f>
        <v>0.0029</v>
      </c>
    </row>
    <row r="4650">
      <c r="A4650" s="131">
        <f>IFERROR(__xludf.DUMMYFUNCTION("""COMPUTED_VALUE"""),46187.488020833334)</f>
        <v>46187.48802</v>
      </c>
      <c r="B4650" s="126">
        <f>IFERROR(__xludf.DUMMYFUNCTION("""COMPUTED_VALUE"""),46187.0)</f>
        <v>46187</v>
      </c>
      <c r="C4650" s="122" t="str">
        <f>IFERROR(__xludf.DUMMYFUNCTION("""COMPUTED_VALUE"""),"CAFE")</f>
        <v>CAFE</v>
      </c>
      <c r="D4650" s="122" t="str">
        <f>IFERROR(__xludf.DUMMYFUNCTION("""COMPUTED_VALUE"""),"Cafe Cloud")</f>
        <v>Cafe Cloud</v>
      </c>
      <c r="E4650" s="122">
        <f>IFERROR(__xludf.DUMMYFUNCTION("""COMPUTED_VALUE"""),101.31)</f>
        <v>101.31</v>
      </c>
      <c r="F4650" s="122">
        <f>IFERROR(__xludf.DUMMYFUNCTION("""COMPUTED_VALUE"""),-0.0051)</f>
        <v>-0.0051</v>
      </c>
    </row>
    <row r="4651">
      <c r="A4651" s="131">
        <f>IFERROR(__xludf.DUMMYFUNCTION("""COMPUTED_VALUE"""),46187.488020833334)</f>
        <v>46187.48802</v>
      </c>
      <c r="B4651" s="126">
        <f>IFERROR(__xludf.DUMMYFUNCTION("""COMPUTED_VALUE"""),46187.0)</f>
        <v>46187</v>
      </c>
      <c r="C4651" s="122" t="str">
        <f>IFERROR(__xludf.DUMMYFUNCTION("""COMPUTED_VALUE"""),"BAKE")</f>
        <v>BAKE</v>
      </c>
      <c r="D4651" s="122" t="str">
        <f>IFERROR(__xludf.DUMMYFUNCTION("""COMPUTED_VALUE"""),"BakeHouse")</f>
        <v>BakeHouse</v>
      </c>
      <c r="E4651" s="122">
        <f>IFERROR(__xludf.DUMMYFUNCTION("""COMPUTED_VALUE"""),101.14)</f>
        <v>101.14</v>
      </c>
      <c r="F4651" s="122">
        <f>IFERROR(__xludf.DUMMYFUNCTION("""COMPUTED_VALUE"""),0.0034)</f>
        <v>0.0034</v>
      </c>
    </row>
    <row r="4652">
      <c r="A4652" s="131">
        <f>IFERROR(__xludf.DUMMYFUNCTION("""COMPUTED_VALUE"""),46187.488020833334)</f>
        <v>46187.48802</v>
      </c>
      <c r="B4652" s="126">
        <f>IFERROR(__xludf.DUMMYFUNCTION("""COMPUTED_VALUE"""),46187.0)</f>
        <v>46187</v>
      </c>
      <c r="C4652" s="122" t="str">
        <f>IFERROR(__xludf.DUMMYFUNCTION("""COMPUTED_VALUE"""),"OILX")</f>
        <v>OILX</v>
      </c>
      <c r="D4652" s="122" t="str">
        <f>IFERROR(__xludf.DUMMYFUNCTION("""COMPUTED_VALUE"""),"OilMax Energy")</f>
        <v>OilMax Energy</v>
      </c>
      <c r="E4652" s="122">
        <f>IFERROR(__xludf.DUMMYFUNCTION("""COMPUTED_VALUE"""),132.44)</f>
        <v>132.44</v>
      </c>
      <c r="F4652" s="122">
        <f>IFERROR(__xludf.DUMMYFUNCTION("""COMPUTED_VALUE"""),0.008)</f>
        <v>0.008</v>
      </c>
    </row>
    <row r="4653">
      <c r="A4653" s="131">
        <f>IFERROR(__xludf.DUMMYFUNCTION("""COMPUTED_VALUE"""),46187.488020833334)</f>
        <v>46187.48802</v>
      </c>
      <c r="B4653" s="126">
        <f>IFERROR(__xludf.DUMMYFUNCTION("""COMPUTED_VALUE"""),46187.0)</f>
        <v>46187</v>
      </c>
      <c r="C4653" s="122" t="str">
        <f>IFERROR(__xludf.DUMMYFUNCTION("""COMPUTED_VALUE"""),"SOLR")</f>
        <v>SOLR</v>
      </c>
      <c r="D4653" s="122" t="str">
        <f>IFERROR(__xludf.DUMMYFUNCTION("""COMPUTED_VALUE"""),"SolarSpark")</f>
        <v>SolarSpark</v>
      </c>
      <c r="E4653" s="122">
        <f>IFERROR(__xludf.DUMMYFUNCTION("""COMPUTED_VALUE"""),96.03)</f>
        <v>96.03</v>
      </c>
      <c r="F4653" s="122">
        <f>IFERROR(__xludf.DUMMYFUNCTION("""COMPUTED_VALUE"""),0.004)</f>
        <v>0.004</v>
      </c>
    </row>
    <row r="4654">
      <c r="A4654" s="131">
        <f>IFERROR(__xludf.DUMMYFUNCTION("""COMPUTED_VALUE"""),46187.488020833334)</f>
        <v>46187.48802</v>
      </c>
      <c r="B4654" s="126">
        <f>IFERROR(__xludf.DUMMYFUNCTION("""COMPUTED_VALUE"""),46187.0)</f>
        <v>46187</v>
      </c>
      <c r="C4654" s="122" t="str">
        <f>IFERROR(__xludf.DUMMYFUNCTION("""COMPUTED_VALUE"""),"BATT")</f>
        <v>BATT</v>
      </c>
      <c r="D4654" s="122" t="str">
        <f>IFERROR(__xludf.DUMMYFUNCTION("""COMPUTED_VALUE"""),"BatteryBox")</f>
        <v>BatteryBox</v>
      </c>
      <c r="E4654" s="122">
        <f>IFERROR(__xludf.DUMMYFUNCTION("""COMPUTED_VALUE"""),122.27)</f>
        <v>122.27</v>
      </c>
      <c r="F4654" s="122">
        <f>IFERROR(__xludf.DUMMYFUNCTION("""COMPUTED_VALUE"""),0.0036)</f>
        <v>0.0036</v>
      </c>
    </row>
    <row r="4655">
      <c r="A4655" s="131">
        <f>IFERROR(__xludf.DUMMYFUNCTION("""COMPUTED_VALUE"""),46187.488020833334)</f>
        <v>46187.48802</v>
      </c>
      <c r="B4655" s="126">
        <f>IFERROR(__xludf.DUMMYFUNCTION("""COMPUTED_VALUE"""),46187.0)</f>
        <v>46187</v>
      </c>
      <c r="C4655" s="122" t="str">
        <f>IFERROR(__xludf.DUMMYFUNCTION("""COMPUTED_VALUE"""),"WIND")</f>
        <v>WIND</v>
      </c>
      <c r="D4655" s="122" t="str">
        <f>IFERROR(__xludf.DUMMYFUNCTION("""COMPUTED_VALUE"""),"WindWorks")</f>
        <v>WindWorks</v>
      </c>
      <c r="E4655" s="122">
        <f>IFERROR(__xludf.DUMMYFUNCTION("""COMPUTED_VALUE"""),87.41)</f>
        <v>87.41</v>
      </c>
      <c r="F4655" s="122">
        <f>IFERROR(__xludf.DUMMYFUNCTION("""COMPUTED_VALUE"""),-0.0042)</f>
        <v>-0.0042</v>
      </c>
    </row>
    <row r="4656">
      <c r="A4656" s="131">
        <f>IFERROR(__xludf.DUMMYFUNCTION("""COMPUTED_VALUE"""),46187.488020833334)</f>
        <v>46187.48802</v>
      </c>
      <c r="B4656" s="126">
        <f>IFERROR(__xludf.DUMMYFUNCTION("""COMPUTED_VALUE"""),46187.0)</f>
        <v>46187</v>
      </c>
      <c r="C4656" s="122" t="str">
        <f>IFERROR(__xludf.DUMMYFUNCTION("""COMPUTED_VALUE"""),"GRID")</f>
        <v>GRID</v>
      </c>
      <c r="D4656" s="122" t="str">
        <f>IFERROR(__xludf.DUMMYFUNCTION("""COMPUTED_VALUE"""),"GridPower")</f>
        <v>GridPower</v>
      </c>
      <c r="E4656" s="122">
        <f>IFERROR(__xludf.DUMMYFUNCTION("""COMPUTED_VALUE"""),139.62)</f>
        <v>139.62</v>
      </c>
      <c r="F4656" s="122">
        <f>IFERROR(__xludf.DUMMYFUNCTION("""COMPUTED_VALUE"""),0.0039)</f>
        <v>0.0039</v>
      </c>
    </row>
    <row r="4657">
      <c r="A4657" s="131">
        <f>IFERROR(__xludf.DUMMYFUNCTION("""COMPUTED_VALUE"""),46187.488020833334)</f>
        <v>46187.48802</v>
      </c>
      <c r="B4657" s="126">
        <f>IFERROR(__xludf.DUMMYFUNCTION("""COMPUTED_VALUE"""),46187.0)</f>
        <v>46187</v>
      </c>
      <c r="C4657" s="122" t="str">
        <f>IFERROR(__xludf.DUMMYFUNCTION("""COMPUTED_VALUE"""),"HOME")</f>
        <v>HOME</v>
      </c>
      <c r="D4657" s="122" t="str">
        <f>IFERROR(__xludf.DUMMYFUNCTION("""COMPUTED_VALUE"""),"HomeHub")</f>
        <v>HomeHub</v>
      </c>
      <c r="E4657" s="122">
        <f>IFERROR(__xludf.DUMMYFUNCTION("""COMPUTED_VALUE"""),151.67)</f>
        <v>151.67</v>
      </c>
      <c r="F4657" s="122">
        <f>IFERROR(__xludf.DUMMYFUNCTION("""COMPUTED_VALUE"""),-0.0022)</f>
        <v>-0.0022</v>
      </c>
    </row>
    <row r="4658">
      <c r="A4658" s="131">
        <f>IFERROR(__xludf.DUMMYFUNCTION("""COMPUTED_VALUE"""),46187.488020833334)</f>
        <v>46187.48802</v>
      </c>
      <c r="B4658" s="126">
        <f>IFERROR(__xludf.DUMMYFUNCTION("""COMPUTED_VALUE"""),46187.0)</f>
        <v>46187</v>
      </c>
      <c r="C4658" s="122" t="str">
        <f>IFERROR(__xludf.DUMMYFUNCTION("""COMPUTED_VALUE"""),"RENT")</f>
        <v>RENT</v>
      </c>
      <c r="D4658" s="122" t="str">
        <f>IFERROR(__xludf.DUMMYFUNCTION("""COMPUTED_VALUE"""),"RentRight")</f>
        <v>RentRight</v>
      </c>
      <c r="E4658" s="122">
        <f>IFERROR(__xludf.DUMMYFUNCTION("""COMPUTED_VALUE"""),92.89)</f>
        <v>92.89</v>
      </c>
      <c r="F4658" s="122">
        <f>IFERROR(__xludf.DUMMYFUNCTION("""COMPUTED_VALUE"""),0.0055)</f>
        <v>0.0055</v>
      </c>
    </row>
    <row r="4659">
      <c r="A4659" s="131">
        <f>IFERROR(__xludf.DUMMYFUNCTION("""COMPUTED_VALUE"""),46187.488020833334)</f>
        <v>46187.48802</v>
      </c>
      <c r="B4659" s="126">
        <f>IFERROR(__xludf.DUMMYFUNCTION("""COMPUTED_VALUE"""),46187.0)</f>
        <v>46187</v>
      </c>
      <c r="C4659" s="122" t="str">
        <f>IFERROR(__xludf.DUMMYFUNCTION("""COMPUTED_VALUE"""),"MALL")</f>
        <v>MALL</v>
      </c>
      <c r="D4659" s="122" t="str">
        <f>IFERROR(__xludf.DUMMYFUNCTION("""COMPUTED_VALUE"""),"MegaMall")</f>
        <v>MegaMall</v>
      </c>
      <c r="E4659" s="122">
        <f>IFERROR(__xludf.DUMMYFUNCTION("""COMPUTED_VALUE"""),101.51)</f>
        <v>101.51</v>
      </c>
      <c r="F4659" s="122">
        <f>IFERROR(__xludf.DUMMYFUNCTION("""COMPUTED_VALUE"""),9.0E-4)</f>
        <v>0.0009</v>
      </c>
    </row>
    <row r="4660">
      <c r="A4660" s="131">
        <f>IFERROR(__xludf.DUMMYFUNCTION("""COMPUTED_VALUE"""),46187.488020833334)</f>
        <v>46187.48802</v>
      </c>
      <c r="B4660" s="126">
        <f>IFERROR(__xludf.DUMMYFUNCTION("""COMPUTED_VALUE"""),46187.0)</f>
        <v>46187</v>
      </c>
      <c r="C4660" s="122" t="str">
        <f>IFERROR(__xludf.DUMMYFUNCTION("""COMPUTED_VALUE"""),"HOTL")</f>
        <v>HOTL</v>
      </c>
      <c r="D4660" s="122" t="str">
        <f>IFERROR(__xludf.DUMMYFUNCTION("""COMPUTED_VALUE"""),"HotelHive")</f>
        <v>HotelHive</v>
      </c>
      <c r="E4660" s="122">
        <f>IFERROR(__xludf.DUMMYFUNCTION("""COMPUTED_VALUE"""),128.07)</f>
        <v>128.07</v>
      </c>
      <c r="F4660" s="122">
        <f>IFERROR(__xludf.DUMMYFUNCTION("""COMPUTED_VALUE"""),-0.0093)</f>
        <v>-0.0093</v>
      </c>
    </row>
    <row r="4661">
      <c r="A4661" s="131">
        <f>IFERROR(__xludf.DUMMYFUNCTION("""COMPUTED_VALUE"""),46187.488020833334)</f>
        <v>46187.48802</v>
      </c>
      <c r="B4661" s="126">
        <f>IFERROR(__xludf.DUMMYFUNCTION("""COMPUTED_VALUE"""),46187.0)</f>
        <v>46187</v>
      </c>
      <c r="C4661" s="122" t="str">
        <f>IFERROR(__xludf.DUMMYFUNCTION("""COMPUTED_VALUE"""),"LAND")</f>
        <v>LAND</v>
      </c>
      <c r="D4661" s="122" t="str">
        <f>IFERROR(__xludf.DUMMYFUNCTION("""COMPUTED_VALUE"""),"LandLink")</f>
        <v>LandLink</v>
      </c>
      <c r="E4661" s="122">
        <f>IFERROR(__xludf.DUMMYFUNCTION("""COMPUTED_VALUE"""),183.92)</f>
        <v>183.92</v>
      </c>
      <c r="F4661" s="122">
        <f>IFERROR(__xludf.DUMMYFUNCTION("""COMPUTED_VALUE"""),-0.002)</f>
        <v>-0.002</v>
      </c>
    </row>
    <row r="4662">
      <c r="A4662" s="131">
        <f>IFERROR(__xludf.DUMMYFUNCTION("""COMPUTED_VALUE"""),46187.488020833334)</f>
        <v>46187.48802</v>
      </c>
      <c r="B4662" s="126">
        <f>IFERROR(__xludf.DUMMYFUNCTION("""COMPUTED_VALUE"""),46187.0)</f>
        <v>46187</v>
      </c>
      <c r="C4662" s="122" t="str">
        <f>IFERROR(__xludf.DUMMYFUNCTION("""COMPUTED_VALUE"""),"CARS")</f>
        <v>CARS</v>
      </c>
      <c r="D4662" s="122" t="str">
        <f>IFERROR(__xludf.DUMMYFUNCTION("""COMPUTED_VALUE"""),"AutoArena")</f>
        <v>AutoArena</v>
      </c>
      <c r="E4662" s="122">
        <f>IFERROR(__xludf.DUMMYFUNCTION("""COMPUTED_VALUE"""),81.87)</f>
        <v>81.87</v>
      </c>
      <c r="F4662" s="122">
        <f>IFERROR(__xludf.DUMMYFUNCTION("""COMPUTED_VALUE"""),0.0063)</f>
        <v>0.0063</v>
      </c>
    </row>
    <row r="4663">
      <c r="A4663" s="131">
        <f>IFERROR(__xludf.DUMMYFUNCTION("""COMPUTED_VALUE"""),46187.488020833334)</f>
        <v>46187.48802</v>
      </c>
      <c r="B4663" s="126">
        <f>IFERROR(__xludf.DUMMYFUNCTION("""COMPUTED_VALUE"""),46187.0)</f>
        <v>46187</v>
      </c>
      <c r="C4663" s="122" t="str">
        <f>IFERROR(__xludf.DUMMYFUNCTION("""COMPUTED_VALUE"""),"EVGO")</f>
        <v>EVGO</v>
      </c>
      <c r="D4663" s="122" t="str">
        <f>IFERROR(__xludf.DUMMYFUNCTION("""COMPUTED_VALUE"""),"EVGo Motors")</f>
        <v>EVGo Motors</v>
      </c>
      <c r="E4663" s="122">
        <f>IFERROR(__xludf.DUMMYFUNCTION("""COMPUTED_VALUE"""),190.91)</f>
        <v>190.91</v>
      </c>
      <c r="F4663" s="122">
        <f>IFERROR(__xludf.DUMMYFUNCTION("""COMPUTED_VALUE"""),-0.0109)</f>
        <v>-0.0109</v>
      </c>
    </row>
    <row r="4664">
      <c r="A4664" s="131">
        <f>IFERROR(__xludf.DUMMYFUNCTION("""COMPUTED_VALUE"""),46187.488020833334)</f>
        <v>46187.48802</v>
      </c>
      <c r="B4664" s="126">
        <f>IFERROR(__xludf.DUMMYFUNCTION("""COMPUTED_VALUE"""),46187.0)</f>
        <v>46187</v>
      </c>
      <c r="C4664" s="122" t="str">
        <f>IFERROR(__xludf.DUMMYFUNCTION("""COMPUTED_VALUE"""),"TIRE")</f>
        <v>TIRE</v>
      </c>
      <c r="D4664" s="122" t="str">
        <f>IFERROR(__xludf.DUMMYFUNCTION("""COMPUTED_VALUE"""),"TireTown")</f>
        <v>TireTown</v>
      </c>
      <c r="E4664" s="122">
        <f>IFERROR(__xludf.DUMMYFUNCTION("""COMPUTED_VALUE"""),95.76)</f>
        <v>95.76</v>
      </c>
      <c r="F4664" s="122">
        <f>IFERROR(__xludf.DUMMYFUNCTION("""COMPUTED_VALUE"""),0.0019)</f>
        <v>0.0019</v>
      </c>
    </row>
    <row r="4665">
      <c r="A4665" s="131">
        <f>IFERROR(__xludf.DUMMYFUNCTION("""COMPUTED_VALUE"""),46187.488020833334)</f>
        <v>46187.48802</v>
      </c>
      <c r="B4665" s="126">
        <f>IFERROR(__xludf.DUMMYFUNCTION("""COMPUTED_VALUE"""),46187.0)</f>
        <v>46187</v>
      </c>
      <c r="C4665" s="122" t="str">
        <f>IFERROR(__xludf.DUMMYFUNCTION("""COMPUTED_VALUE"""),"BIKE")</f>
        <v>BIKE</v>
      </c>
      <c r="D4665" s="122" t="str">
        <f>IFERROR(__xludf.DUMMYFUNCTION("""COMPUTED_VALUE"""),"BikeBox")</f>
        <v>BikeBox</v>
      </c>
      <c r="E4665" s="122">
        <f>IFERROR(__xludf.DUMMYFUNCTION("""COMPUTED_VALUE"""),52.96)</f>
        <v>52.96</v>
      </c>
      <c r="F4665" s="122">
        <f>IFERROR(__xludf.DUMMYFUNCTION("""COMPUTED_VALUE"""),0.0053)</f>
        <v>0.0053</v>
      </c>
    </row>
    <row r="4666">
      <c r="A4666" s="131">
        <f>IFERROR(__xludf.DUMMYFUNCTION("""COMPUTED_VALUE"""),46187.488020833334)</f>
        <v>46187.48802</v>
      </c>
      <c r="B4666" s="126">
        <f>IFERROR(__xludf.DUMMYFUNCTION("""COMPUTED_VALUE"""),46187.0)</f>
        <v>46187</v>
      </c>
      <c r="C4666" s="122" t="str">
        <f>IFERROR(__xludf.DUMMYFUNCTION("""COMPUTED_VALUE"""),"WASH")</f>
        <v>WASH</v>
      </c>
      <c r="D4666" s="122" t="str">
        <f>IFERROR(__xludf.DUMMYFUNCTION("""COMPUTED_VALUE"""),"CarWash Co")</f>
        <v>CarWash Co</v>
      </c>
      <c r="E4666" s="122">
        <f>IFERROR(__xludf.DUMMYFUNCTION("""COMPUTED_VALUE"""),119.16)</f>
        <v>119.16</v>
      </c>
      <c r="F4666" s="122">
        <f>IFERROR(__xludf.DUMMYFUNCTION("""COMPUTED_VALUE"""),-0.0018)</f>
        <v>-0.0018</v>
      </c>
    </row>
    <row r="4667">
      <c r="A4667" s="131">
        <f>IFERROR(__xludf.DUMMYFUNCTION("""COMPUTED_VALUE"""),46187.488020833334)</f>
        <v>46187.48802</v>
      </c>
      <c r="B4667" s="126">
        <f>IFERROR(__xludf.DUMMYFUNCTION("""COMPUTED_VALUE"""),46187.0)</f>
        <v>46187</v>
      </c>
      <c r="C4667" s="122" t="str">
        <f>IFERROR(__xludf.DUMMYFUNCTION("""COMPUTED_VALUE"""),"GBND")</f>
        <v>GBND</v>
      </c>
      <c r="D4667" s="122" t="str">
        <f>IFERROR(__xludf.DUMMYFUNCTION("""COMPUTED_VALUE"""),"Classroom Government Bond")</f>
        <v>Classroom Government Bond</v>
      </c>
      <c r="E4667" s="122">
        <f>IFERROR(__xludf.DUMMYFUNCTION("""COMPUTED_VALUE"""),101.02)</f>
        <v>101.02</v>
      </c>
      <c r="F4667" s="122">
        <f>IFERROR(__xludf.DUMMYFUNCTION("""COMPUTED_VALUE"""),2.0E-4)</f>
        <v>0.0002</v>
      </c>
    </row>
    <row r="4668">
      <c r="A4668" s="131">
        <f>IFERROR(__xludf.DUMMYFUNCTION("""COMPUTED_VALUE"""),46187.488020833334)</f>
        <v>46187.48802</v>
      </c>
      <c r="B4668" s="126">
        <f>IFERROR(__xludf.DUMMYFUNCTION("""COMPUTED_VALUE"""),46187.0)</f>
        <v>46187</v>
      </c>
      <c r="C4668" s="122" t="str">
        <f>IFERROR(__xludf.DUMMYFUNCTION("""COMPUTED_VALUE"""),"SBND")</f>
        <v>SBND</v>
      </c>
      <c r="D4668" s="122" t="str">
        <f>IFERROR(__xludf.DUMMYFUNCTION("""COMPUTED_VALUE"""),"School Savings Bond")</f>
        <v>School Savings Bond</v>
      </c>
      <c r="E4668" s="122">
        <f>IFERROR(__xludf.DUMMYFUNCTION("""COMPUTED_VALUE"""),99.5)</f>
        <v>99.5</v>
      </c>
      <c r="F4668" s="122">
        <f>IFERROR(__xludf.DUMMYFUNCTION("""COMPUTED_VALUE"""),-5.0E-4)</f>
        <v>-0.0005</v>
      </c>
    </row>
    <row r="4669">
      <c r="A4669" s="131">
        <f>IFERROR(__xludf.DUMMYFUNCTION("""COMPUTED_VALUE"""),46187.488020833334)</f>
        <v>46187.48802</v>
      </c>
      <c r="B4669" s="126">
        <f>IFERROR(__xludf.DUMMYFUNCTION("""COMPUTED_VALUE"""),46187.0)</f>
        <v>46187</v>
      </c>
      <c r="C4669" s="122" t="str">
        <f>IFERROR(__xludf.DUMMYFUNCTION("""COMPUTED_VALUE"""),"CBND")</f>
        <v>CBND</v>
      </c>
      <c r="D4669" s="122" t="str">
        <f>IFERROR(__xludf.DUMMYFUNCTION("""COMPUTED_VALUE"""),"Corporate Classroom Bond")</f>
        <v>Corporate Classroom Bond</v>
      </c>
      <c r="E4669" s="122">
        <f>IFERROR(__xludf.DUMMYFUNCTION("""COMPUTED_VALUE"""),97.88)</f>
        <v>97.88</v>
      </c>
      <c r="F4669" s="122">
        <f>IFERROR(__xludf.DUMMYFUNCTION("""COMPUTED_VALUE"""),-1.0E-4)</f>
        <v>-0.0001</v>
      </c>
    </row>
    <row r="4670">
      <c r="A4670" s="131">
        <f>IFERROR(__xludf.DUMMYFUNCTION("""COMPUTED_VALUE"""),46187.488020833334)</f>
        <v>46187.48802</v>
      </c>
      <c r="B4670" s="126">
        <f>IFERROR(__xludf.DUMMYFUNCTION("""COMPUTED_VALUE"""),46187.0)</f>
        <v>46187</v>
      </c>
      <c r="C4670" s="122" t="str">
        <f>IFERROR(__xludf.DUMMYFUNCTION("""COMPUTED_VALUE"""),"TBIL")</f>
        <v>TBIL</v>
      </c>
      <c r="D4670" s="122" t="str">
        <f>IFERROR(__xludf.DUMMYFUNCTION("""COMPUTED_VALUE"""),"Treasury Bill")</f>
        <v>Treasury Bill</v>
      </c>
      <c r="E4670" s="122">
        <f>IFERROR(__xludf.DUMMYFUNCTION("""COMPUTED_VALUE"""),98.13)</f>
        <v>98.13</v>
      </c>
      <c r="F4670" s="122">
        <f>IFERROR(__xludf.DUMMYFUNCTION("""COMPUTED_VALUE"""),-2.0E-4)</f>
        <v>-0.0002</v>
      </c>
    </row>
    <row r="4671">
      <c r="A4671" s="131">
        <f>IFERROR(__xludf.DUMMYFUNCTION("""COMPUTED_VALUE"""),46187.488020833334)</f>
        <v>46187.48802</v>
      </c>
      <c r="B4671" s="126">
        <f>IFERROR(__xludf.DUMMYFUNCTION("""COMPUTED_VALUE"""),46187.0)</f>
        <v>46187</v>
      </c>
      <c r="C4671" s="122" t="str">
        <f>IFERROR(__xludf.DUMMYFUNCTION("""COMPUTED_VALUE"""),"IBND")</f>
        <v>IBND</v>
      </c>
      <c r="D4671" s="122" t="str">
        <f>IFERROR(__xludf.DUMMYFUNCTION("""COMPUTED_VALUE"""),"Inflation Protected Bond")</f>
        <v>Inflation Protected Bond</v>
      </c>
      <c r="E4671" s="122">
        <f>IFERROR(__xludf.DUMMYFUNCTION("""COMPUTED_VALUE"""),100.71)</f>
        <v>100.71</v>
      </c>
      <c r="F4671" s="122">
        <f>IFERROR(__xludf.DUMMYFUNCTION("""COMPUTED_VALUE"""),4.0E-4)</f>
        <v>0.0004</v>
      </c>
    </row>
    <row r="4672">
      <c r="A4672" s="131">
        <f>IFERROR(__xludf.DUMMYFUNCTION("""COMPUTED_VALUE"""),46187.49109953704)</f>
        <v>46187.4911</v>
      </c>
      <c r="B4672" s="126">
        <f>IFERROR(__xludf.DUMMYFUNCTION("""COMPUTED_VALUE"""),46187.0)</f>
        <v>46187</v>
      </c>
      <c r="C4672" s="122" t="str">
        <f>IFERROR(__xludf.DUMMYFUNCTION("""COMPUTED_VALUE"""),"SNAX")</f>
        <v>SNAX</v>
      </c>
      <c r="D4672" s="122" t="str">
        <f>IFERROR(__xludf.DUMMYFUNCTION("""COMPUTED_VALUE"""),"MICA Snacks")</f>
        <v>MICA Snacks</v>
      </c>
      <c r="E4672" s="122">
        <f>IFERROR(__xludf.DUMMYFUNCTION("""COMPUTED_VALUE"""),120.83)</f>
        <v>120.83</v>
      </c>
      <c r="F4672" s="122">
        <f>IFERROR(__xludf.DUMMYFUNCTION("""COMPUTED_VALUE"""),0.0056)</f>
        <v>0.0056</v>
      </c>
    </row>
    <row r="4673">
      <c r="A4673" s="131">
        <f>IFERROR(__xludf.DUMMYFUNCTION("""COMPUTED_VALUE"""),46187.49109953704)</f>
        <v>46187.4911</v>
      </c>
      <c r="B4673" s="126">
        <f>IFERROR(__xludf.DUMMYFUNCTION("""COMPUTED_VALUE"""),46187.0)</f>
        <v>46187</v>
      </c>
      <c r="C4673" s="122" t="str">
        <f>IFERROR(__xludf.DUMMYFUNCTION("""COMPUTED_VALUE"""),"RAMN")</f>
        <v>RAMN</v>
      </c>
      <c r="D4673" s="122" t="str">
        <f>IFERROR(__xludf.DUMMYFUNCTION("""COMPUTED_VALUE"""),"Ramen Republic")</f>
        <v>Ramen Republic</v>
      </c>
      <c r="E4673" s="122">
        <f>IFERROR(__xludf.DUMMYFUNCTION("""COMPUTED_VALUE"""),69.35)</f>
        <v>69.35</v>
      </c>
      <c r="F4673" s="122">
        <f>IFERROR(__xludf.DUMMYFUNCTION("""COMPUTED_VALUE"""),-0.002)</f>
        <v>-0.002</v>
      </c>
    </row>
    <row r="4674">
      <c r="A4674" s="131">
        <f>IFERROR(__xludf.DUMMYFUNCTION("""COMPUTED_VALUE"""),46187.49109953704)</f>
        <v>46187.4911</v>
      </c>
      <c r="B4674" s="126">
        <f>IFERROR(__xludf.DUMMYFUNCTION("""COMPUTED_VALUE"""),46187.0)</f>
        <v>46187</v>
      </c>
      <c r="C4674" s="122" t="str">
        <f>IFERROR(__xludf.DUMMYFUNCTION("""COMPUTED_VALUE"""),"COLA")</f>
        <v>COLA</v>
      </c>
      <c r="D4674" s="122" t="str">
        <f>IFERROR(__xludf.DUMMYFUNCTION("""COMPUTED_VALUE"""),"K-Pop Cola")</f>
        <v>K-Pop Cola</v>
      </c>
      <c r="E4674" s="122">
        <f>IFERROR(__xludf.DUMMYFUNCTION("""COMPUTED_VALUE"""),111.87)</f>
        <v>111.87</v>
      </c>
      <c r="F4674" s="122">
        <f>IFERROR(__xludf.DUMMYFUNCTION("""COMPUTED_VALUE"""),0.008)</f>
        <v>0.008</v>
      </c>
    </row>
    <row r="4675">
      <c r="A4675" s="131">
        <f>IFERROR(__xludf.DUMMYFUNCTION("""COMPUTED_VALUE"""),46187.49109953704)</f>
        <v>46187.4911</v>
      </c>
      <c r="B4675" s="126">
        <f>IFERROR(__xludf.DUMMYFUNCTION("""COMPUTED_VALUE"""),46187.0)</f>
        <v>46187</v>
      </c>
      <c r="C4675" s="122" t="str">
        <f>IFERROR(__xludf.DUMMYFUNCTION("""COMPUTED_VALUE"""),"CHIP")</f>
        <v>CHIP</v>
      </c>
      <c r="D4675" s="122" t="str">
        <f>IFERROR(__xludf.DUMMYFUNCTION("""COMPUTED_VALUE"""),"Chip Empire")</f>
        <v>Chip Empire</v>
      </c>
      <c r="E4675" s="122">
        <f>IFERROR(__xludf.DUMMYFUNCTION("""COMPUTED_VALUE"""),86.85)</f>
        <v>86.85</v>
      </c>
      <c r="F4675" s="122">
        <f>IFERROR(__xludf.DUMMYFUNCTION("""COMPUTED_VALUE"""),0.0079)</f>
        <v>0.0079</v>
      </c>
    </row>
    <row r="4676">
      <c r="A4676" s="131">
        <f>IFERROR(__xludf.DUMMYFUNCTION("""COMPUTED_VALUE"""),46187.49109953704)</f>
        <v>46187.4911</v>
      </c>
      <c r="B4676" s="126">
        <f>IFERROR(__xludf.DUMMYFUNCTION("""COMPUTED_VALUE"""),46187.0)</f>
        <v>46187</v>
      </c>
      <c r="C4676" s="122" t="str">
        <f>IFERROR(__xludf.DUMMYFUNCTION("""COMPUTED_VALUE"""),"CAND")</f>
        <v>CAND</v>
      </c>
      <c r="D4676" s="122" t="str">
        <f>IFERROR(__xludf.DUMMYFUNCTION("""COMPUTED_VALUE"""),"Candy Capital")</f>
        <v>Candy Capital</v>
      </c>
      <c r="E4676" s="122">
        <f>IFERROR(__xludf.DUMMYFUNCTION("""COMPUTED_VALUE"""),77.24)</f>
        <v>77.24</v>
      </c>
      <c r="F4676" s="122">
        <f>IFERROR(__xludf.DUMMYFUNCTION("""COMPUTED_VALUE"""),1.0E-4)</f>
        <v>0.0001</v>
      </c>
    </row>
    <row r="4677">
      <c r="A4677" s="131">
        <f>IFERROR(__xludf.DUMMYFUNCTION("""COMPUTED_VALUE"""),46187.49109953704)</f>
        <v>46187.4911</v>
      </c>
      <c r="B4677" s="126">
        <f>IFERROR(__xludf.DUMMYFUNCTION("""COMPUTED_VALUE"""),46187.0)</f>
        <v>46187</v>
      </c>
      <c r="C4677" s="122" t="str">
        <f>IFERROR(__xludf.DUMMYFUNCTION("""COMPUTED_VALUE"""),"TECH")</f>
        <v>TECH</v>
      </c>
      <c r="D4677" s="122" t="str">
        <f>IFERROR(__xludf.DUMMYFUNCTION("""COMPUTED_VALUE"""),"Dragon Tech")</f>
        <v>Dragon Tech</v>
      </c>
      <c r="E4677" s="122">
        <f>IFERROR(__xludf.DUMMYFUNCTION("""COMPUTED_VALUE"""),243.29)</f>
        <v>243.29</v>
      </c>
      <c r="F4677" s="122">
        <f>IFERROR(__xludf.DUMMYFUNCTION("""COMPUTED_VALUE"""),0.0)</f>
        <v>0</v>
      </c>
    </row>
    <row r="4678">
      <c r="A4678" s="131">
        <f>IFERROR(__xludf.DUMMYFUNCTION("""COMPUTED_VALUE"""),46187.49109953704)</f>
        <v>46187.4911</v>
      </c>
      <c r="B4678" s="126">
        <f>IFERROR(__xludf.DUMMYFUNCTION("""COMPUTED_VALUE"""),46187.0)</f>
        <v>46187</v>
      </c>
      <c r="C4678" s="122" t="str">
        <f>IFERROR(__xludf.DUMMYFUNCTION("""COMPUTED_VALUE"""),"AIBO")</f>
        <v>AIBO</v>
      </c>
      <c r="D4678" s="122" t="str">
        <f>IFERROR(__xludf.DUMMYFUNCTION("""COMPUTED_VALUE"""),"Homework AI")</f>
        <v>Homework AI</v>
      </c>
      <c r="E4678" s="122">
        <f>IFERROR(__xludf.DUMMYFUNCTION("""COMPUTED_VALUE"""),180.52)</f>
        <v>180.52</v>
      </c>
      <c r="F4678" s="122">
        <f>IFERROR(__xludf.DUMMYFUNCTION("""COMPUTED_VALUE"""),-0.0073)</f>
        <v>-0.0073</v>
      </c>
    </row>
    <row r="4679">
      <c r="A4679" s="131">
        <f>IFERROR(__xludf.DUMMYFUNCTION("""COMPUTED_VALUE"""),46187.49109953704)</f>
        <v>46187.4911</v>
      </c>
      <c r="B4679" s="126">
        <f>IFERROR(__xludf.DUMMYFUNCTION("""COMPUTED_VALUE"""),46187.0)</f>
        <v>46187</v>
      </c>
      <c r="C4679" s="122" t="str">
        <f>IFERROR(__xludf.DUMMYFUNCTION("""COMPUTED_VALUE"""),"GAME")</f>
        <v>GAME</v>
      </c>
      <c r="D4679" s="122" t="str">
        <f>IFERROR(__xludf.DUMMYFUNCTION("""COMPUTED_VALUE"""),"GameBox Media")</f>
        <v>GameBox Media</v>
      </c>
      <c r="E4679" s="122">
        <f>IFERROR(__xludf.DUMMYFUNCTION("""COMPUTED_VALUE"""),97.23)</f>
        <v>97.23</v>
      </c>
      <c r="F4679" s="122">
        <f>IFERROR(__xludf.DUMMYFUNCTION("""COMPUTED_VALUE"""),0.0077)</f>
        <v>0.0077</v>
      </c>
    </row>
    <row r="4680">
      <c r="A4680" s="131">
        <f>IFERROR(__xludf.DUMMYFUNCTION("""COMPUTED_VALUE"""),46187.49109953704)</f>
        <v>46187.4911</v>
      </c>
      <c r="B4680" s="126">
        <f>IFERROR(__xludf.DUMMYFUNCTION("""COMPUTED_VALUE"""),46187.0)</f>
        <v>46187</v>
      </c>
      <c r="C4680" s="122" t="str">
        <f>IFERROR(__xludf.DUMMYFUNCTION("""COMPUTED_VALUE"""),"VRSE")</f>
        <v>VRSE</v>
      </c>
      <c r="D4680" s="122" t="str">
        <f>IFERROR(__xludf.DUMMYFUNCTION("""COMPUTED_VALUE"""),"VerseVR")</f>
        <v>VerseVR</v>
      </c>
      <c r="E4680" s="122">
        <f>IFERROR(__xludf.DUMMYFUNCTION("""COMPUTED_VALUE"""),153.0)</f>
        <v>153</v>
      </c>
      <c r="F4680" s="122">
        <f>IFERROR(__xludf.DUMMYFUNCTION("""COMPUTED_VALUE"""),-1.0E-4)</f>
        <v>-0.0001</v>
      </c>
    </row>
    <row r="4681">
      <c r="A4681" s="131">
        <f>IFERROR(__xludf.DUMMYFUNCTION("""COMPUTED_VALUE"""),46187.49109953704)</f>
        <v>46187.4911</v>
      </c>
      <c r="B4681" s="126">
        <f>IFERROR(__xludf.DUMMYFUNCTION("""COMPUTED_VALUE"""),46187.0)</f>
        <v>46187</v>
      </c>
      <c r="C4681" s="122" t="str">
        <f>IFERROR(__xludf.DUMMYFUNCTION("""COMPUTED_VALUE"""),"BYTE")</f>
        <v>BYTE</v>
      </c>
      <c r="D4681" s="122" t="str">
        <f>IFERROR(__xludf.DUMMYFUNCTION("""COMPUTED_VALUE"""),"ByteWorks")</f>
        <v>ByteWorks</v>
      </c>
      <c r="E4681" s="122">
        <f>IFERROR(__xludf.DUMMYFUNCTION("""COMPUTED_VALUE"""),109.22)</f>
        <v>109.22</v>
      </c>
      <c r="F4681" s="122">
        <f>IFERROR(__xludf.DUMMYFUNCTION("""COMPUTED_VALUE"""),-0.006)</f>
        <v>-0.006</v>
      </c>
    </row>
    <row r="4682">
      <c r="A4682" s="131">
        <f>IFERROR(__xludf.DUMMYFUNCTION("""COMPUTED_VALUE"""),46187.49109953704)</f>
        <v>46187.4911</v>
      </c>
      <c r="B4682" s="126">
        <f>IFERROR(__xludf.DUMMYFUNCTION("""COMPUTED_VALUE"""),46187.0)</f>
        <v>46187</v>
      </c>
      <c r="C4682" s="122" t="str">
        <f>IFERROR(__xludf.DUMMYFUNCTION("""COMPUTED_VALUE"""),"BANK")</f>
        <v>BANK</v>
      </c>
      <c r="D4682" s="122" t="str">
        <f>IFERROR(__xludf.DUMMYFUNCTION("""COMPUTED_VALUE"""),"Tiger Bank")</f>
        <v>Tiger Bank</v>
      </c>
      <c r="E4682" s="122">
        <f>IFERROR(__xludf.DUMMYFUNCTION("""COMPUTED_VALUE"""),129.07)</f>
        <v>129.07</v>
      </c>
      <c r="F4682" s="122">
        <f>IFERROR(__xludf.DUMMYFUNCTION("""COMPUTED_VALUE"""),0.0028)</f>
        <v>0.0028</v>
      </c>
    </row>
    <row r="4683">
      <c r="A4683" s="131">
        <f>IFERROR(__xludf.DUMMYFUNCTION("""COMPUTED_VALUE"""),46187.49109953704)</f>
        <v>46187.4911</v>
      </c>
      <c r="B4683" s="126">
        <f>IFERROR(__xludf.DUMMYFUNCTION("""COMPUTED_VALUE"""),46187.0)</f>
        <v>46187</v>
      </c>
      <c r="C4683" s="122" t="str">
        <f>IFERROR(__xludf.DUMMYFUNCTION("""COMPUTED_VALUE"""),"CRED")</f>
        <v>CRED</v>
      </c>
      <c r="D4683" s="122" t="str">
        <f>IFERROR(__xludf.DUMMYFUNCTION("""COMPUTED_VALUE"""),"Credit Castle")</f>
        <v>Credit Castle</v>
      </c>
      <c r="E4683" s="122">
        <f>IFERROR(__xludf.DUMMYFUNCTION("""COMPUTED_VALUE"""),66.09)</f>
        <v>66.09</v>
      </c>
      <c r="F4683" s="122">
        <f>IFERROR(__xludf.DUMMYFUNCTION("""COMPUTED_VALUE"""),-0.0017)</f>
        <v>-0.0017</v>
      </c>
    </row>
    <row r="4684">
      <c r="A4684" s="131">
        <f>IFERROR(__xludf.DUMMYFUNCTION("""COMPUTED_VALUE"""),46187.49109953704)</f>
        <v>46187.4911</v>
      </c>
      <c r="B4684" s="126">
        <f>IFERROR(__xludf.DUMMYFUNCTION("""COMPUTED_VALUE"""),46187.0)</f>
        <v>46187</v>
      </c>
      <c r="C4684" s="122" t="str">
        <f>IFERROR(__xludf.DUMMYFUNCTION("""COMPUTED_VALUE"""),"BOND")</f>
        <v>BOND</v>
      </c>
      <c r="D4684" s="122" t="str">
        <f>IFERROR(__xludf.DUMMYFUNCTION("""COMPUTED_VALUE"""),"BondBridge")</f>
        <v>BondBridge</v>
      </c>
      <c r="E4684" s="122">
        <f>IFERROR(__xludf.DUMMYFUNCTION("""COMPUTED_VALUE"""),100.05)</f>
        <v>100.05</v>
      </c>
      <c r="F4684" s="122">
        <f>IFERROR(__xludf.DUMMYFUNCTION("""COMPUTED_VALUE"""),0.003)</f>
        <v>0.003</v>
      </c>
    </row>
    <row r="4685">
      <c r="A4685" s="131">
        <f>IFERROR(__xludf.DUMMYFUNCTION("""COMPUTED_VALUE"""),46187.49109953704)</f>
        <v>46187.4911</v>
      </c>
      <c r="B4685" s="126">
        <f>IFERROR(__xludf.DUMMYFUNCTION("""COMPUTED_VALUE"""),46187.0)</f>
        <v>46187</v>
      </c>
      <c r="C4685" s="122" t="str">
        <f>IFERROR(__xludf.DUMMYFUNCTION("""COMPUTED_VALUE"""),"INSR")</f>
        <v>INSR</v>
      </c>
      <c r="D4685" s="122" t="str">
        <f>IFERROR(__xludf.DUMMYFUNCTION("""COMPUTED_VALUE"""),"Shield Insurance")</f>
        <v>Shield Insurance</v>
      </c>
      <c r="E4685" s="122">
        <f>IFERROR(__xludf.DUMMYFUNCTION("""COMPUTED_VALUE"""),160.08)</f>
        <v>160.08</v>
      </c>
      <c r="F4685" s="122">
        <f>IFERROR(__xludf.DUMMYFUNCTION("""COMPUTED_VALUE"""),0.0014)</f>
        <v>0.0014</v>
      </c>
    </row>
    <row r="4686">
      <c r="A4686" s="131">
        <f>IFERROR(__xludf.DUMMYFUNCTION("""COMPUTED_VALUE"""),46187.49109953704)</f>
        <v>46187.4911</v>
      </c>
      <c r="B4686" s="126">
        <f>IFERROR(__xludf.DUMMYFUNCTION("""COMPUTED_VALUE"""),46187.0)</f>
        <v>46187</v>
      </c>
      <c r="C4686" s="122" t="str">
        <f>IFERROR(__xludf.DUMMYFUNCTION("""COMPUTED_VALUE"""),"LOAN")</f>
        <v>LOAN</v>
      </c>
      <c r="D4686" s="122" t="str">
        <f>IFERROR(__xludf.DUMMYFUNCTION("""COMPUTED_VALUE"""),"LoanLab")</f>
        <v>LoanLab</v>
      </c>
      <c r="E4686" s="122">
        <f>IFERROR(__xludf.DUMMYFUNCTION("""COMPUTED_VALUE"""),65.3)</f>
        <v>65.3</v>
      </c>
      <c r="F4686" s="122">
        <f>IFERROR(__xludf.DUMMYFUNCTION("""COMPUTED_VALUE"""),-0.0034)</f>
        <v>-0.0034</v>
      </c>
    </row>
    <row r="4687">
      <c r="A4687" s="131">
        <f>IFERROR(__xludf.DUMMYFUNCTION("""COMPUTED_VALUE"""),46187.49109953704)</f>
        <v>46187.4911</v>
      </c>
      <c r="B4687" s="126">
        <f>IFERROR(__xludf.DUMMYFUNCTION("""COMPUTED_VALUE"""),46187.0)</f>
        <v>46187</v>
      </c>
      <c r="C4687" s="122" t="str">
        <f>IFERROR(__xludf.DUMMYFUNCTION("""COMPUTED_VALUE"""),"LUXE")</f>
        <v>LUXE</v>
      </c>
      <c r="D4687" s="122" t="str">
        <f>IFERROR(__xludf.DUMMYFUNCTION("""COMPUTED_VALUE"""),"Luxury Locker")</f>
        <v>Luxury Locker</v>
      </c>
      <c r="E4687" s="122">
        <f>IFERROR(__xludf.DUMMYFUNCTION("""COMPUTED_VALUE"""),266.26)</f>
        <v>266.26</v>
      </c>
      <c r="F4687" s="122">
        <f>IFERROR(__xludf.DUMMYFUNCTION("""COMPUTED_VALUE"""),0.0049)</f>
        <v>0.0049</v>
      </c>
    </row>
    <row r="4688">
      <c r="A4688" s="131">
        <f>IFERROR(__xludf.DUMMYFUNCTION("""COMPUTED_VALUE"""),46187.49109953704)</f>
        <v>46187.4911</v>
      </c>
      <c r="B4688" s="126">
        <f>IFERROR(__xludf.DUMMYFUNCTION("""COMPUTED_VALUE"""),46187.0)</f>
        <v>46187</v>
      </c>
      <c r="C4688" s="122" t="str">
        <f>IFERROR(__xludf.DUMMYFUNCTION("""COMPUTED_VALUE"""),"DRIP")</f>
        <v>DRIP</v>
      </c>
      <c r="D4688" s="122" t="str">
        <f>IFERROR(__xludf.DUMMYFUNCTION("""COMPUTED_VALUE"""),"Drip Streetwear")</f>
        <v>Drip Streetwear</v>
      </c>
      <c r="E4688" s="122">
        <f>IFERROR(__xludf.DUMMYFUNCTION("""COMPUTED_VALUE"""),192.03)</f>
        <v>192.03</v>
      </c>
      <c r="F4688" s="122">
        <f>IFERROR(__xludf.DUMMYFUNCTION("""COMPUTED_VALUE"""),0.0106)</f>
        <v>0.0106</v>
      </c>
    </row>
    <row r="4689">
      <c r="A4689" s="131">
        <f>IFERROR(__xludf.DUMMYFUNCTION("""COMPUTED_VALUE"""),46187.49109953704)</f>
        <v>46187.4911</v>
      </c>
      <c r="B4689" s="126">
        <f>IFERROR(__xludf.DUMMYFUNCTION("""COMPUTED_VALUE"""),46187.0)</f>
        <v>46187</v>
      </c>
      <c r="C4689" s="122" t="str">
        <f>IFERROR(__xludf.DUMMYFUNCTION("""COMPUTED_VALUE"""),"KICK")</f>
        <v>KICK</v>
      </c>
      <c r="D4689" s="122" t="str">
        <f>IFERROR(__xludf.DUMMYFUNCTION("""COMPUTED_VALUE"""),"KickDrop Sneakers")</f>
        <v>KickDrop Sneakers</v>
      </c>
      <c r="E4689" s="122">
        <f>IFERROR(__xludf.DUMMYFUNCTION("""COMPUTED_VALUE"""),173.92)</f>
        <v>173.92</v>
      </c>
      <c r="F4689" s="122">
        <f>IFERROR(__xludf.DUMMYFUNCTION("""COMPUTED_VALUE"""),0.0096)</f>
        <v>0.0096</v>
      </c>
    </row>
    <row r="4690">
      <c r="A4690" s="131">
        <f>IFERROR(__xludf.DUMMYFUNCTION("""COMPUTED_VALUE"""),46187.49109953704)</f>
        <v>46187.4911</v>
      </c>
      <c r="B4690" s="126">
        <f>IFERROR(__xludf.DUMMYFUNCTION("""COMPUTED_VALUE"""),46187.0)</f>
        <v>46187</v>
      </c>
      <c r="C4690" s="122" t="str">
        <f>IFERROR(__xludf.DUMMYFUNCTION("""COMPUTED_VALUE"""),"GLAM")</f>
        <v>GLAM</v>
      </c>
      <c r="D4690" s="122" t="str">
        <f>IFERROR(__xludf.DUMMYFUNCTION("""COMPUTED_VALUE"""),"Glow Cosmetics")</f>
        <v>Glow Cosmetics</v>
      </c>
      <c r="E4690" s="122">
        <f>IFERROR(__xludf.DUMMYFUNCTION("""COMPUTED_VALUE"""),105.16)</f>
        <v>105.16</v>
      </c>
      <c r="F4690" s="122">
        <f>IFERROR(__xludf.DUMMYFUNCTION("""COMPUTED_VALUE"""),0.0073)</f>
        <v>0.0073</v>
      </c>
    </row>
    <row r="4691">
      <c r="A4691" s="131">
        <f>IFERROR(__xludf.DUMMYFUNCTION("""COMPUTED_VALUE"""),46187.49109953704)</f>
        <v>46187.4911</v>
      </c>
      <c r="B4691" s="126">
        <f>IFERROR(__xludf.DUMMYFUNCTION("""COMPUTED_VALUE"""),46187.0)</f>
        <v>46187</v>
      </c>
      <c r="C4691" s="122" t="str">
        <f>IFERROR(__xludf.DUMMYFUNCTION("""COMPUTED_VALUE"""),"BAGG")</f>
        <v>BAGG</v>
      </c>
      <c r="D4691" s="122" t="str">
        <f>IFERROR(__xludf.DUMMYFUNCTION("""COMPUTED_VALUE"""),"BagVault")</f>
        <v>BagVault</v>
      </c>
      <c r="E4691" s="122">
        <f>IFERROR(__xludf.DUMMYFUNCTION("""COMPUTED_VALUE"""),249.23)</f>
        <v>249.23</v>
      </c>
      <c r="F4691" s="122">
        <f>IFERROR(__xludf.DUMMYFUNCTION("""COMPUTED_VALUE"""),-0.0069)</f>
        <v>-0.0069</v>
      </c>
    </row>
    <row r="4692">
      <c r="A4692" s="131">
        <f>IFERROR(__xludf.DUMMYFUNCTION("""COMPUTED_VALUE"""),46187.49109953704)</f>
        <v>46187.4911</v>
      </c>
      <c r="B4692" s="126">
        <f>IFERROR(__xludf.DUMMYFUNCTION("""COMPUTED_VALUE"""),46187.0)</f>
        <v>46187</v>
      </c>
      <c r="C4692" s="122" t="str">
        <f>IFERROR(__xludf.DUMMYFUNCTION("""COMPUTED_VALUE"""),"FAST")</f>
        <v>FAST</v>
      </c>
      <c r="D4692" s="122" t="str">
        <f>IFERROR(__xludf.DUMMYFUNCTION("""COMPUTED_VALUE"""),"Flash Logistics")</f>
        <v>Flash Logistics</v>
      </c>
      <c r="E4692" s="122">
        <f>IFERROR(__xludf.DUMMYFUNCTION("""COMPUTED_VALUE"""),104.6)</f>
        <v>104.6</v>
      </c>
      <c r="F4692" s="122">
        <f>IFERROR(__xludf.DUMMYFUNCTION("""COMPUTED_VALUE"""),3.0E-4)</f>
        <v>0.0003</v>
      </c>
    </row>
    <row r="4693">
      <c r="A4693" s="131">
        <f>IFERROR(__xludf.DUMMYFUNCTION("""COMPUTED_VALUE"""),46187.49109953704)</f>
        <v>46187.4911</v>
      </c>
      <c r="B4693" s="126">
        <f>IFERROR(__xludf.DUMMYFUNCTION("""COMPUTED_VALUE"""),46187.0)</f>
        <v>46187</v>
      </c>
      <c r="C4693" s="122" t="str">
        <f>IFERROR(__xludf.DUMMYFUNCTION("""COMPUTED_VALUE"""),"SHIP")</f>
        <v>SHIP</v>
      </c>
      <c r="D4693" s="122" t="str">
        <f>IFERROR(__xludf.DUMMYFUNCTION("""COMPUTED_VALUE"""),"Seoul Shipping")</f>
        <v>Seoul Shipping</v>
      </c>
      <c r="E4693" s="122">
        <f>IFERROR(__xludf.DUMMYFUNCTION("""COMPUTED_VALUE"""),125.63)</f>
        <v>125.63</v>
      </c>
      <c r="F4693" s="122">
        <f>IFERROR(__xludf.DUMMYFUNCTION("""COMPUTED_VALUE"""),0.0046)</f>
        <v>0.0046</v>
      </c>
    </row>
    <row r="4694">
      <c r="A4694" s="131">
        <f>IFERROR(__xludf.DUMMYFUNCTION("""COMPUTED_VALUE"""),46187.49109953704)</f>
        <v>46187.4911</v>
      </c>
      <c r="B4694" s="126">
        <f>IFERROR(__xludf.DUMMYFUNCTION("""COMPUTED_VALUE"""),46187.0)</f>
        <v>46187</v>
      </c>
      <c r="C4694" s="122" t="str">
        <f>IFERROR(__xludf.DUMMYFUNCTION("""COMPUTED_VALUE"""),"DRON")</f>
        <v>DRON</v>
      </c>
      <c r="D4694" s="122" t="str">
        <f>IFERROR(__xludf.DUMMYFUNCTION("""COMPUTED_VALUE"""),"DroneDrop")</f>
        <v>DroneDrop</v>
      </c>
      <c r="E4694" s="122">
        <f>IFERROR(__xludf.DUMMYFUNCTION("""COMPUTED_VALUE"""),127.05)</f>
        <v>127.05</v>
      </c>
      <c r="F4694" s="122">
        <f>IFERROR(__xludf.DUMMYFUNCTION("""COMPUTED_VALUE"""),-0.0069)</f>
        <v>-0.0069</v>
      </c>
    </row>
    <row r="4695">
      <c r="A4695" s="131">
        <f>IFERROR(__xludf.DUMMYFUNCTION("""COMPUTED_VALUE"""),46187.49109953704)</f>
        <v>46187.4911</v>
      </c>
      <c r="B4695" s="126">
        <f>IFERROR(__xludf.DUMMYFUNCTION("""COMPUTED_VALUE"""),46187.0)</f>
        <v>46187</v>
      </c>
      <c r="C4695" s="122" t="str">
        <f>IFERROR(__xludf.DUMMYFUNCTION("""COMPUTED_VALUE"""),"RIDE")</f>
        <v>RIDE</v>
      </c>
      <c r="D4695" s="122" t="str">
        <f>IFERROR(__xludf.DUMMYFUNCTION("""COMPUTED_VALUE"""),"QuickRide")</f>
        <v>QuickRide</v>
      </c>
      <c r="E4695" s="122">
        <f>IFERROR(__xludf.DUMMYFUNCTION("""COMPUTED_VALUE"""),95.93)</f>
        <v>95.93</v>
      </c>
      <c r="F4695" s="122">
        <f>IFERROR(__xludf.DUMMYFUNCTION("""COMPUTED_VALUE"""),0.0032)</f>
        <v>0.0032</v>
      </c>
    </row>
    <row r="4696">
      <c r="A4696" s="131">
        <f>IFERROR(__xludf.DUMMYFUNCTION("""COMPUTED_VALUE"""),46187.49109953704)</f>
        <v>46187.4911</v>
      </c>
      <c r="B4696" s="126">
        <f>IFERROR(__xludf.DUMMYFUNCTION("""COMPUTED_VALUE"""),46187.0)</f>
        <v>46187</v>
      </c>
      <c r="C4696" s="122" t="str">
        <f>IFERROR(__xludf.DUMMYFUNCTION("""COMPUTED_VALUE"""),"RAIL")</f>
        <v>RAIL</v>
      </c>
      <c r="D4696" s="122" t="str">
        <f>IFERROR(__xludf.DUMMYFUNCTION("""COMPUTED_VALUE"""),"MetroRail Corp")</f>
        <v>MetroRail Corp</v>
      </c>
      <c r="E4696" s="122">
        <f>IFERROR(__xludf.DUMMYFUNCTION("""COMPUTED_VALUE"""),134.52)</f>
        <v>134.52</v>
      </c>
      <c r="F4696" s="122">
        <f>IFERROR(__xludf.DUMMYFUNCTION("""COMPUTED_VALUE"""),0.0015)</f>
        <v>0.0015</v>
      </c>
    </row>
    <row r="4697">
      <c r="A4697" s="131">
        <f>IFERROR(__xludf.DUMMYFUNCTION("""COMPUTED_VALUE"""),46187.49109953704)</f>
        <v>46187.4911</v>
      </c>
      <c r="B4697" s="126">
        <f>IFERROR(__xludf.DUMMYFUNCTION("""COMPUTED_VALUE"""),46187.0)</f>
        <v>46187</v>
      </c>
      <c r="C4697" s="122" t="str">
        <f>IFERROR(__xludf.DUMMYFUNCTION("""COMPUTED_VALUE"""),"MEDX")</f>
        <v>MEDX</v>
      </c>
      <c r="D4697" s="122" t="str">
        <f>IFERROR(__xludf.DUMMYFUNCTION("""COMPUTED_VALUE"""),"MediCore")</f>
        <v>MediCore</v>
      </c>
      <c r="E4697" s="122">
        <f>IFERROR(__xludf.DUMMYFUNCTION("""COMPUTED_VALUE"""),138.1)</f>
        <v>138.1</v>
      </c>
      <c r="F4697" s="122">
        <f>IFERROR(__xludf.DUMMYFUNCTION("""COMPUTED_VALUE"""),-0.0026)</f>
        <v>-0.0026</v>
      </c>
    </row>
    <row r="4698">
      <c r="A4698" s="131">
        <f>IFERROR(__xludf.DUMMYFUNCTION("""COMPUTED_VALUE"""),46187.49109953704)</f>
        <v>46187.4911</v>
      </c>
      <c r="B4698" s="126">
        <f>IFERROR(__xludf.DUMMYFUNCTION("""COMPUTED_VALUE"""),46187.0)</f>
        <v>46187</v>
      </c>
      <c r="C4698" s="122" t="str">
        <f>IFERROR(__xludf.DUMMYFUNCTION("""COMPUTED_VALUE"""),"GYMX")</f>
        <v>GYMX</v>
      </c>
      <c r="D4698" s="122" t="str">
        <f>IFERROR(__xludf.DUMMYFUNCTION("""COMPUTED_VALUE"""),"GymX Fitness")</f>
        <v>GymX Fitness</v>
      </c>
      <c r="E4698" s="122">
        <f>IFERROR(__xludf.DUMMYFUNCTION("""COMPUTED_VALUE"""),86.88)</f>
        <v>86.88</v>
      </c>
      <c r="F4698" s="122">
        <f>IFERROR(__xludf.DUMMYFUNCTION("""COMPUTED_VALUE"""),0.004)</f>
        <v>0.004</v>
      </c>
    </row>
    <row r="4699">
      <c r="A4699" s="131">
        <f>IFERROR(__xludf.DUMMYFUNCTION("""COMPUTED_VALUE"""),46187.49109953704)</f>
        <v>46187.4911</v>
      </c>
      <c r="B4699" s="126">
        <f>IFERROR(__xludf.DUMMYFUNCTION("""COMPUTED_VALUE"""),46187.0)</f>
        <v>46187</v>
      </c>
      <c r="C4699" s="122" t="str">
        <f>IFERROR(__xludf.DUMMYFUNCTION("""COMPUTED_VALUE"""),"VITA")</f>
        <v>VITA</v>
      </c>
      <c r="D4699" s="122" t="str">
        <f>IFERROR(__xludf.DUMMYFUNCTION("""COMPUTED_VALUE"""),"VitaPlus")</f>
        <v>VitaPlus</v>
      </c>
      <c r="E4699" s="122">
        <f>IFERROR(__xludf.DUMMYFUNCTION("""COMPUTED_VALUE"""),72.95)</f>
        <v>72.95</v>
      </c>
      <c r="F4699" s="122">
        <f>IFERROR(__xludf.DUMMYFUNCTION("""COMPUTED_VALUE"""),-0.0056)</f>
        <v>-0.0056</v>
      </c>
    </row>
    <row r="4700">
      <c r="A4700" s="131">
        <f>IFERROR(__xludf.DUMMYFUNCTION("""COMPUTED_VALUE"""),46187.49109953704)</f>
        <v>46187.4911</v>
      </c>
      <c r="B4700" s="126">
        <f>IFERROR(__xludf.DUMMYFUNCTION("""COMPUTED_VALUE"""),46187.0)</f>
        <v>46187</v>
      </c>
      <c r="C4700" s="122" t="str">
        <f>IFERROR(__xludf.DUMMYFUNCTION("""COMPUTED_VALUE"""),"CARE")</f>
        <v>CARE</v>
      </c>
      <c r="D4700" s="122" t="str">
        <f>IFERROR(__xludf.DUMMYFUNCTION("""COMPUTED_VALUE"""),"CareCloud")</f>
        <v>CareCloud</v>
      </c>
      <c r="E4700" s="122">
        <f>IFERROR(__xludf.DUMMYFUNCTION("""COMPUTED_VALUE"""),178.47)</f>
        <v>178.47</v>
      </c>
      <c r="F4700" s="122">
        <f>IFERROR(__xludf.DUMMYFUNCTION("""COMPUTED_VALUE"""),0.0035)</f>
        <v>0.0035</v>
      </c>
    </row>
    <row r="4701">
      <c r="A4701" s="131">
        <f>IFERROR(__xludf.DUMMYFUNCTION("""COMPUTED_VALUE"""),46187.49109953704)</f>
        <v>46187.4911</v>
      </c>
      <c r="B4701" s="126">
        <f>IFERROR(__xludf.DUMMYFUNCTION("""COMPUTED_VALUE"""),46187.0)</f>
        <v>46187</v>
      </c>
      <c r="C4701" s="122" t="str">
        <f>IFERROR(__xludf.DUMMYFUNCTION("""COMPUTED_VALUE"""),"DENT")</f>
        <v>DENT</v>
      </c>
      <c r="D4701" s="122" t="str">
        <f>IFERROR(__xludf.DUMMYFUNCTION("""COMPUTED_VALUE"""),"SmileWorks")</f>
        <v>SmileWorks</v>
      </c>
      <c r="E4701" s="122">
        <f>IFERROR(__xludf.DUMMYFUNCTION("""COMPUTED_VALUE"""),87.7)</f>
        <v>87.7</v>
      </c>
      <c r="F4701" s="122">
        <f>IFERROR(__xludf.DUMMYFUNCTION("""COMPUTED_VALUE"""),0.0063)</f>
        <v>0.0063</v>
      </c>
    </row>
    <row r="4702">
      <c r="A4702" s="131">
        <f>IFERROR(__xludf.DUMMYFUNCTION("""COMPUTED_VALUE"""),46187.49109953704)</f>
        <v>46187.4911</v>
      </c>
      <c r="B4702" s="126">
        <f>IFERROR(__xludf.DUMMYFUNCTION("""COMPUTED_VALUE"""),46187.0)</f>
        <v>46187</v>
      </c>
      <c r="C4702" s="122" t="str">
        <f>IFERROR(__xludf.DUMMYFUNCTION("""COMPUTED_VALUE"""),"EDUX")</f>
        <v>EDUX</v>
      </c>
      <c r="D4702" s="122" t="str">
        <f>IFERROR(__xludf.DUMMYFUNCTION("""COMPUTED_VALUE"""),"EduMax Learning")</f>
        <v>EduMax Learning</v>
      </c>
      <c r="E4702" s="122">
        <f>IFERROR(__xludf.DUMMYFUNCTION("""COMPUTED_VALUE"""),137.79)</f>
        <v>137.79</v>
      </c>
      <c r="F4702" s="122">
        <f>IFERROR(__xludf.DUMMYFUNCTION("""COMPUTED_VALUE"""),-0.0015)</f>
        <v>-0.0015</v>
      </c>
    </row>
    <row r="4703">
      <c r="A4703" s="131">
        <f>IFERROR(__xludf.DUMMYFUNCTION("""COMPUTED_VALUE"""),46187.49109953704)</f>
        <v>46187.4911</v>
      </c>
      <c r="B4703" s="126">
        <f>IFERROR(__xludf.DUMMYFUNCTION("""COMPUTED_VALUE"""),46187.0)</f>
        <v>46187</v>
      </c>
      <c r="C4703" s="122" t="str">
        <f>IFERROR(__xludf.DUMMYFUNCTION("""COMPUTED_VALUE"""),"BOOK")</f>
        <v>BOOK</v>
      </c>
      <c r="D4703" s="122" t="str">
        <f>IFERROR(__xludf.DUMMYFUNCTION("""COMPUTED_VALUE"""),"BookBridge")</f>
        <v>BookBridge</v>
      </c>
      <c r="E4703" s="122">
        <f>IFERROR(__xludf.DUMMYFUNCTION("""COMPUTED_VALUE"""),118.59)</f>
        <v>118.59</v>
      </c>
      <c r="F4703" s="122">
        <f>IFERROR(__xludf.DUMMYFUNCTION("""COMPUTED_VALUE"""),0.0041)</f>
        <v>0.0041</v>
      </c>
    </row>
    <row r="4704">
      <c r="A4704" s="131">
        <f>IFERROR(__xludf.DUMMYFUNCTION("""COMPUTED_VALUE"""),46187.49109953704)</f>
        <v>46187.4911</v>
      </c>
      <c r="B4704" s="126">
        <f>IFERROR(__xludf.DUMMYFUNCTION("""COMPUTED_VALUE"""),46187.0)</f>
        <v>46187</v>
      </c>
      <c r="C4704" s="122" t="str">
        <f>IFERROR(__xludf.DUMMYFUNCTION("""COMPUTED_VALUE"""),"TUTR")</f>
        <v>TUTR</v>
      </c>
      <c r="D4704" s="122" t="str">
        <f>IFERROR(__xludf.DUMMYFUNCTION("""COMPUTED_VALUE"""),"TutorTown")</f>
        <v>TutorTown</v>
      </c>
      <c r="E4704" s="122">
        <f>IFERROR(__xludf.DUMMYFUNCTION("""COMPUTED_VALUE"""),90.85)</f>
        <v>90.85</v>
      </c>
      <c r="F4704" s="122">
        <f>IFERROR(__xludf.DUMMYFUNCTION("""COMPUTED_VALUE"""),-0.002)</f>
        <v>-0.002</v>
      </c>
    </row>
    <row r="4705">
      <c r="A4705" s="131">
        <f>IFERROR(__xludf.DUMMYFUNCTION("""COMPUTED_VALUE"""),46187.49109953704)</f>
        <v>46187.4911</v>
      </c>
      <c r="B4705" s="126">
        <f>IFERROR(__xludf.DUMMYFUNCTION("""COMPUTED_VALUE"""),46187.0)</f>
        <v>46187</v>
      </c>
      <c r="C4705" s="122" t="str">
        <f>IFERROR(__xludf.DUMMYFUNCTION("""COMPUTED_VALUE"""),"LANG")</f>
        <v>LANG</v>
      </c>
      <c r="D4705" s="122" t="str">
        <f>IFERROR(__xludf.DUMMYFUNCTION("""COMPUTED_VALUE"""),"LinguaLab")</f>
        <v>LinguaLab</v>
      </c>
      <c r="E4705" s="122">
        <f>IFERROR(__xludf.DUMMYFUNCTION("""COMPUTED_VALUE"""),99.04)</f>
        <v>99.04</v>
      </c>
      <c r="F4705" s="122">
        <f>IFERROR(__xludf.DUMMYFUNCTION("""COMPUTED_VALUE"""),0.0042)</f>
        <v>0.0042</v>
      </c>
    </row>
    <row r="4706">
      <c r="A4706" s="131">
        <f>IFERROR(__xludf.DUMMYFUNCTION("""COMPUTED_VALUE"""),46187.49109953704)</f>
        <v>46187.4911</v>
      </c>
      <c r="B4706" s="126">
        <f>IFERROR(__xludf.DUMMYFUNCTION("""COMPUTED_VALUE"""),46187.0)</f>
        <v>46187</v>
      </c>
      <c r="C4706" s="122" t="str">
        <f>IFERROR(__xludf.DUMMYFUNCTION("""COMPUTED_VALUE"""),"TEST")</f>
        <v>TEST</v>
      </c>
      <c r="D4706" s="122" t="str">
        <f>IFERROR(__xludf.DUMMYFUNCTION("""COMPUTED_VALUE"""),"TestPrep Pro")</f>
        <v>TestPrep Pro</v>
      </c>
      <c r="E4706" s="122">
        <f>IFERROR(__xludf.DUMMYFUNCTION("""COMPUTED_VALUE"""),95.3)</f>
        <v>95.3</v>
      </c>
      <c r="F4706" s="122">
        <f>IFERROR(__xludf.DUMMYFUNCTION("""COMPUTED_VALUE"""),0.0059)</f>
        <v>0.0059</v>
      </c>
    </row>
    <row r="4707">
      <c r="A4707" s="131">
        <f>IFERROR(__xludf.DUMMYFUNCTION("""COMPUTED_VALUE"""),46187.49109953704)</f>
        <v>46187.4911</v>
      </c>
      <c r="B4707" s="126">
        <f>IFERROR(__xludf.DUMMYFUNCTION("""COMPUTED_VALUE"""),46187.0)</f>
        <v>46187</v>
      </c>
      <c r="C4707" s="122" t="str">
        <f>IFERROR(__xludf.DUMMYFUNCTION("""COMPUTED_VALUE"""),"MOVI")</f>
        <v>MOVI</v>
      </c>
      <c r="D4707" s="122" t="str">
        <f>IFERROR(__xludf.DUMMYFUNCTION("""COMPUTED_VALUE"""),"MovieBox")</f>
        <v>MovieBox</v>
      </c>
      <c r="E4707" s="122">
        <f>IFERROR(__xludf.DUMMYFUNCTION("""COMPUTED_VALUE"""),81.36)</f>
        <v>81.36</v>
      </c>
      <c r="F4707" s="122">
        <f>IFERROR(__xludf.DUMMYFUNCTION("""COMPUTED_VALUE"""),-0.005)</f>
        <v>-0.005</v>
      </c>
    </row>
    <row r="4708">
      <c r="A4708" s="131">
        <f>IFERROR(__xludf.DUMMYFUNCTION("""COMPUTED_VALUE"""),46187.49109953704)</f>
        <v>46187.4911</v>
      </c>
      <c r="B4708" s="126">
        <f>IFERROR(__xludf.DUMMYFUNCTION("""COMPUTED_VALUE"""),46187.0)</f>
        <v>46187</v>
      </c>
      <c r="C4708" s="122" t="str">
        <f>IFERROR(__xludf.DUMMYFUNCTION("""COMPUTED_VALUE"""),"MUSC")</f>
        <v>MUSC</v>
      </c>
      <c r="D4708" s="122" t="str">
        <f>IFERROR(__xludf.DUMMYFUNCTION("""COMPUTED_VALUE"""),"MusicWave")</f>
        <v>MusicWave</v>
      </c>
      <c r="E4708" s="122">
        <f>IFERROR(__xludf.DUMMYFUNCTION("""COMPUTED_VALUE"""),98.63)</f>
        <v>98.63</v>
      </c>
      <c r="F4708" s="122">
        <f>IFERROR(__xludf.DUMMYFUNCTION("""COMPUTED_VALUE"""),0.0076)</f>
        <v>0.0076</v>
      </c>
    </row>
    <row r="4709">
      <c r="A4709" s="131">
        <f>IFERROR(__xludf.DUMMYFUNCTION("""COMPUTED_VALUE"""),46187.49109953704)</f>
        <v>46187.4911</v>
      </c>
      <c r="B4709" s="126">
        <f>IFERROR(__xludf.DUMMYFUNCTION("""COMPUTED_VALUE"""),46187.0)</f>
        <v>46187</v>
      </c>
      <c r="C4709" s="122" t="str">
        <f>IFERROR(__xludf.DUMMYFUNCTION("""COMPUTED_VALUE"""),"IDOL")</f>
        <v>IDOL</v>
      </c>
      <c r="D4709" s="122" t="str">
        <f>IFERROR(__xludf.DUMMYFUNCTION("""COMPUTED_VALUE"""),"Idol Agency")</f>
        <v>Idol Agency</v>
      </c>
      <c r="E4709" s="122">
        <f>IFERROR(__xludf.DUMMYFUNCTION("""COMPUTED_VALUE"""),192.59)</f>
        <v>192.59</v>
      </c>
      <c r="F4709" s="122">
        <f>IFERROR(__xludf.DUMMYFUNCTION("""COMPUTED_VALUE"""),-0.0106)</f>
        <v>-0.0106</v>
      </c>
    </row>
    <row r="4710">
      <c r="A4710" s="131">
        <f>IFERROR(__xludf.DUMMYFUNCTION("""COMPUTED_VALUE"""),46187.49109953704)</f>
        <v>46187.4911</v>
      </c>
      <c r="B4710" s="126">
        <f>IFERROR(__xludf.DUMMYFUNCTION("""COMPUTED_VALUE"""),46187.0)</f>
        <v>46187</v>
      </c>
      <c r="C4710" s="122" t="str">
        <f>IFERROR(__xludf.DUMMYFUNCTION("""COMPUTED_VALUE"""),"MEME")</f>
        <v>MEME</v>
      </c>
      <c r="D4710" s="122" t="str">
        <f>IFERROR(__xludf.DUMMYFUNCTION("""COMPUTED_VALUE"""),"Meme Media")</f>
        <v>Meme Media</v>
      </c>
      <c r="E4710" s="122">
        <f>IFERROR(__xludf.DUMMYFUNCTION("""COMPUTED_VALUE"""),72.23)</f>
        <v>72.23</v>
      </c>
      <c r="F4710" s="122">
        <f>IFERROR(__xludf.DUMMYFUNCTION("""COMPUTED_VALUE"""),-0.011)</f>
        <v>-0.011</v>
      </c>
    </row>
    <row r="4711">
      <c r="A4711" s="131">
        <f>IFERROR(__xludf.DUMMYFUNCTION("""COMPUTED_VALUE"""),46187.49109953704)</f>
        <v>46187.4911</v>
      </c>
      <c r="B4711" s="126">
        <f>IFERROR(__xludf.DUMMYFUNCTION("""COMPUTED_VALUE"""),46187.0)</f>
        <v>46187</v>
      </c>
      <c r="C4711" s="122" t="str">
        <f>IFERROR(__xludf.DUMMYFUNCTION("""COMPUTED_VALUE"""),"STRM")</f>
        <v>STRM</v>
      </c>
      <c r="D4711" s="122" t="str">
        <f>IFERROR(__xludf.DUMMYFUNCTION("""COMPUTED_VALUE"""),"Streamly")</f>
        <v>Streamly</v>
      </c>
      <c r="E4711" s="122">
        <f>IFERROR(__xludf.DUMMYFUNCTION("""COMPUTED_VALUE"""),137.85)</f>
        <v>137.85</v>
      </c>
      <c r="F4711" s="122">
        <f>IFERROR(__xludf.DUMMYFUNCTION("""COMPUTED_VALUE"""),0.0073)</f>
        <v>0.0073</v>
      </c>
    </row>
    <row r="4712">
      <c r="A4712" s="131">
        <f>IFERROR(__xludf.DUMMYFUNCTION("""COMPUTED_VALUE"""),46187.49109953704)</f>
        <v>46187.4911</v>
      </c>
      <c r="B4712" s="126">
        <f>IFERROR(__xludf.DUMMYFUNCTION("""COMPUTED_VALUE"""),46187.0)</f>
        <v>46187</v>
      </c>
      <c r="C4712" s="122" t="str">
        <f>IFERROR(__xludf.DUMMYFUNCTION("""COMPUTED_VALUE"""),"FARM")</f>
        <v>FARM</v>
      </c>
      <c r="D4712" s="122" t="str">
        <f>IFERROR(__xludf.DUMMYFUNCTION("""COMPUTED_VALUE"""),"Future Farms")</f>
        <v>Future Farms</v>
      </c>
      <c r="E4712" s="122">
        <f>IFERROR(__xludf.DUMMYFUNCTION("""COMPUTED_VALUE"""),88.81)</f>
        <v>88.81</v>
      </c>
      <c r="F4712" s="122">
        <f>IFERROR(__xludf.DUMMYFUNCTION("""COMPUTED_VALUE"""),0.0025)</f>
        <v>0.0025</v>
      </c>
    </row>
    <row r="4713">
      <c r="A4713" s="131">
        <f>IFERROR(__xludf.DUMMYFUNCTION("""COMPUTED_VALUE"""),46187.49109953704)</f>
        <v>46187.4911</v>
      </c>
      <c r="B4713" s="126">
        <f>IFERROR(__xludf.DUMMYFUNCTION("""COMPUTED_VALUE"""),46187.0)</f>
        <v>46187</v>
      </c>
      <c r="C4713" s="122" t="str">
        <f>IFERROR(__xludf.DUMMYFUNCTION("""COMPUTED_VALUE"""),"MEAT")</f>
        <v>MEAT</v>
      </c>
      <c r="D4713" s="122" t="str">
        <f>IFERROR(__xludf.DUMMYFUNCTION("""COMPUTED_VALUE"""),"MeatWorks")</f>
        <v>MeatWorks</v>
      </c>
      <c r="E4713" s="122">
        <f>IFERROR(__xludf.DUMMYFUNCTION("""COMPUTED_VALUE"""),104.21)</f>
        <v>104.21</v>
      </c>
      <c r="F4713" s="122">
        <f>IFERROR(__xludf.DUMMYFUNCTION("""COMPUTED_VALUE"""),0.0034)</f>
        <v>0.0034</v>
      </c>
    </row>
    <row r="4714">
      <c r="A4714" s="131">
        <f>IFERROR(__xludf.DUMMYFUNCTION("""COMPUTED_VALUE"""),46187.49109953704)</f>
        <v>46187.4911</v>
      </c>
      <c r="B4714" s="126">
        <f>IFERROR(__xludf.DUMMYFUNCTION("""COMPUTED_VALUE"""),46187.0)</f>
        <v>46187</v>
      </c>
      <c r="C4714" s="122" t="str">
        <f>IFERROR(__xludf.DUMMYFUNCTION("""COMPUTED_VALUE"""),"VEGI")</f>
        <v>VEGI</v>
      </c>
      <c r="D4714" s="122" t="str">
        <f>IFERROR(__xludf.DUMMYFUNCTION("""COMPUTED_VALUE"""),"Green Basket")</f>
        <v>Green Basket</v>
      </c>
      <c r="E4714" s="122">
        <f>IFERROR(__xludf.DUMMYFUNCTION("""COMPUTED_VALUE"""),80.05)</f>
        <v>80.05</v>
      </c>
      <c r="F4714" s="122">
        <f>IFERROR(__xludf.DUMMYFUNCTION("""COMPUTED_VALUE"""),-0.0036)</f>
        <v>-0.0036</v>
      </c>
    </row>
    <row r="4715">
      <c r="A4715" s="131">
        <f>IFERROR(__xludf.DUMMYFUNCTION("""COMPUTED_VALUE"""),46187.49109953704)</f>
        <v>46187.4911</v>
      </c>
      <c r="B4715" s="126">
        <f>IFERROR(__xludf.DUMMYFUNCTION("""COMPUTED_VALUE"""),46187.0)</f>
        <v>46187</v>
      </c>
      <c r="C4715" s="122" t="str">
        <f>IFERROR(__xludf.DUMMYFUNCTION("""COMPUTED_VALUE"""),"CAFE")</f>
        <v>CAFE</v>
      </c>
      <c r="D4715" s="122" t="str">
        <f>IFERROR(__xludf.DUMMYFUNCTION("""COMPUTED_VALUE"""),"Cafe Cloud")</f>
        <v>Cafe Cloud</v>
      </c>
      <c r="E4715" s="122">
        <f>IFERROR(__xludf.DUMMYFUNCTION("""COMPUTED_VALUE"""),101.85)</f>
        <v>101.85</v>
      </c>
      <c r="F4715" s="122">
        <f>IFERROR(__xludf.DUMMYFUNCTION("""COMPUTED_VALUE"""),0.0053)</f>
        <v>0.0053</v>
      </c>
    </row>
    <row r="4716">
      <c r="A4716" s="131">
        <f>IFERROR(__xludf.DUMMYFUNCTION("""COMPUTED_VALUE"""),46187.49109953704)</f>
        <v>46187.4911</v>
      </c>
      <c r="B4716" s="126">
        <f>IFERROR(__xludf.DUMMYFUNCTION("""COMPUTED_VALUE"""),46187.0)</f>
        <v>46187</v>
      </c>
      <c r="C4716" s="122" t="str">
        <f>IFERROR(__xludf.DUMMYFUNCTION("""COMPUTED_VALUE"""),"BAKE")</f>
        <v>BAKE</v>
      </c>
      <c r="D4716" s="122" t="str">
        <f>IFERROR(__xludf.DUMMYFUNCTION("""COMPUTED_VALUE"""),"BakeHouse")</f>
        <v>BakeHouse</v>
      </c>
      <c r="E4716" s="122">
        <f>IFERROR(__xludf.DUMMYFUNCTION("""COMPUTED_VALUE"""),101.23)</f>
        <v>101.23</v>
      </c>
      <c r="F4716" s="122">
        <f>IFERROR(__xludf.DUMMYFUNCTION("""COMPUTED_VALUE"""),9.0E-4)</f>
        <v>0.0009</v>
      </c>
    </row>
    <row r="4717">
      <c r="A4717" s="131">
        <f>IFERROR(__xludf.DUMMYFUNCTION("""COMPUTED_VALUE"""),46187.49109953704)</f>
        <v>46187.4911</v>
      </c>
      <c r="B4717" s="126">
        <f>IFERROR(__xludf.DUMMYFUNCTION("""COMPUTED_VALUE"""),46187.0)</f>
        <v>46187</v>
      </c>
      <c r="C4717" s="122" t="str">
        <f>IFERROR(__xludf.DUMMYFUNCTION("""COMPUTED_VALUE"""),"OILX")</f>
        <v>OILX</v>
      </c>
      <c r="D4717" s="122" t="str">
        <f>IFERROR(__xludf.DUMMYFUNCTION("""COMPUTED_VALUE"""),"OilMax Energy")</f>
        <v>OilMax Energy</v>
      </c>
      <c r="E4717" s="122">
        <f>IFERROR(__xludf.DUMMYFUNCTION("""COMPUTED_VALUE"""),132.55)</f>
        <v>132.55</v>
      </c>
      <c r="F4717" s="122">
        <f>IFERROR(__xludf.DUMMYFUNCTION("""COMPUTED_VALUE"""),8.0E-4)</f>
        <v>0.0008</v>
      </c>
    </row>
    <row r="4718">
      <c r="A4718" s="131">
        <f>IFERROR(__xludf.DUMMYFUNCTION("""COMPUTED_VALUE"""),46187.49109953704)</f>
        <v>46187.4911</v>
      </c>
      <c r="B4718" s="126">
        <f>IFERROR(__xludf.DUMMYFUNCTION("""COMPUTED_VALUE"""),46187.0)</f>
        <v>46187</v>
      </c>
      <c r="C4718" s="122" t="str">
        <f>IFERROR(__xludf.DUMMYFUNCTION("""COMPUTED_VALUE"""),"SOLR")</f>
        <v>SOLR</v>
      </c>
      <c r="D4718" s="122" t="str">
        <f>IFERROR(__xludf.DUMMYFUNCTION("""COMPUTED_VALUE"""),"SolarSpark")</f>
        <v>SolarSpark</v>
      </c>
      <c r="E4718" s="122">
        <f>IFERROR(__xludf.DUMMYFUNCTION("""COMPUTED_VALUE"""),95.71)</f>
        <v>95.71</v>
      </c>
      <c r="F4718" s="122">
        <f>IFERROR(__xludf.DUMMYFUNCTION("""COMPUTED_VALUE"""),-0.0033)</f>
        <v>-0.0033</v>
      </c>
    </row>
    <row r="4719">
      <c r="A4719" s="131">
        <f>IFERROR(__xludf.DUMMYFUNCTION("""COMPUTED_VALUE"""),46187.49109953704)</f>
        <v>46187.4911</v>
      </c>
      <c r="B4719" s="126">
        <f>IFERROR(__xludf.DUMMYFUNCTION("""COMPUTED_VALUE"""),46187.0)</f>
        <v>46187</v>
      </c>
      <c r="C4719" s="122" t="str">
        <f>IFERROR(__xludf.DUMMYFUNCTION("""COMPUTED_VALUE"""),"BATT")</f>
        <v>BATT</v>
      </c>
      <c r="D4719" s="122" t="str">
        <f>IFERROR(__xludf.DUMMYFUNCTION("""COMPUTED_VALUE"""),"BatteryBox")</f>
        <v>BatteryBox</v>
      </c>
      <c r="E4719" s="122">
        <f>IFERROR(__xludf.DUMMYFUNCTION("""COMPUTED_VALUE"""),121.2)</f>
        <v>121.2</v>
      </c>
      <c r="F4719" s="122">
        <f>IFERROR(__xludf.DUMMYFUNCTION("""COMPUTED_VALUE"""),-0.0088)</f>
        <v>-0.0088</v>
      </c>
    </row>
    <row r="4720">
      <c r="A4720" s="131">
        <f>IFERROR(__xludf.DUMMYFUNCTION("""COMPUTED_VALUE"""),46187.49109953704)</f>
        <v>46187.4911</v>
      </c>
      <c r="B4720" s="126">
        <f>IFERROR(__xludf.DUMMYFUNCTION("""COMPUTED_VALUE"""),46187.0)</f>
        <v>46187</v>
      </c>
      <c r="C4720" s="122" t="str">
        <f>IFERROR(__xludf.DUMMYFUNCTION("""COMPUTED_VALUE"""),"WIND")</f>
        <v>WIND</v>
      </c>
      <c r="D4720" s="122" t="str">
        <f>IFERROR(__xludf.DUMMYFUNCTION("""COMPUTED_VALUE"""),"WindWorks")</f>
        <v>WindWorks</v>
      </c>
      <c r="E4720" s="122">
        <f>IFERROR(__xludf.DUMMYFUNCTION("""COMPUTED_VALUE"""),87.67)</f>
        <v>87.67</v>
      </c>
      <c r="F4720" s="122">
        <f>IFERROR(__xludf.DUMMYFUNCTION("""COMPUTED_VALUE"""),0.003)</f>
        <v>0.003</v>
      </c>
    </row>
    <row r="4721">
      <c r="A4721" s="131">
        <f>IFERROR(__xludf.DUMMYFUNCTION("""COMPUTED_VALUE"""),46187.49109953704)</f>
        <v>46187.4911</v>
      </c>
      <c r="B4721" s="126">
        <f>IFERROR(__xludf.DUMMYFUNCTION("""COMPUTED_VALUE"""),46187.0)</f>
        <v>46187</v>
      </c>
      <c r="C4721" s="122" t="str">
        <f>IFERROR(__xludf.DUMMYFUNCTION("""COMPUTED_VALUE"""),"GRID")</f>
        <v>GRID</v>
      </c>
      <c r="D4721" s="122" t="str">
        <f>IFERROR(__xludf.DUMMYFUNCTION("""COMPUTED_VALUE"""),"GridPower")</f>
        <v>GridPower</v>
      </c>
      <c r="E4721" s="122">
        <f>IFERROR(__xludf.DUMMYFUNCTION("""COMPUTED_VALUE"""),138.62)</f>
        <v>138.62</v>
      </c>
      <c r="F4721" s="122">
        <f>IFERROR(__xludf.DUMMYFUNCTION("""COMPUTED_VALUE"""),-0.0072)</f>
        <v>-0.0072</v>
      </c>
    </row>
    <row r="4722">
      <c r="A4722" s="131">
        <f>IFERROR(__xludf.DUMMYFUNCTION("""COMPUTED_VALUE"""),46187.49109953704)</f>
        <v>46187.4911</v>
      </c>
      <c r="B4722" s="126">
        <f>IFERROR(__xludf.DUMMYFUNCTION("""COMPUTED_VALUE"""),46187.0)</f>
        <v>46187</v>
      </c>
      <c r="C4722" s="122" t="str">
        <f>IFERROR(__xludf.DUMMYFUNCTION("""COMPUTED_VALUE"""),"HOME")</f>
        <v>HOME</v>
      </c>
      <c r="D4722" s="122" t="str">
        <f>IFERROR(__xludf.DUMMYFUNCTION("""COMPUTED_VALUE"""),"HomeHub")</f>
        <v>HomeHub</v>
      </c>
      <c r="E4722" s="122">
        <f>IFERROR(__xludf.DUMMYFUNCTION("""COMPUTED_VALUE"""),152.17)</f>
        <v>152.17</v>
      </c>
      <c r="F4722" s="122">
        <f>IFERROR(__xludf.DUMMYFUNCTION("""COMPUTED_VALUE"""),0.0033)</f>
        <v>0.0033</v>
      </c>
    </row>
    <row r="4723">
      <c r="A4723" s="131">
        <f>IFERROR(__xludf.DUMMYFUNCTION("""COMPUTED_VALUE"""),46187.49109953704)</f>
        <v>46187.4911</v>
      </c>
      <c r="B4723" s="126">
        <f>IFERROR(__xludf.DUMMYFUNCTION("""COMPUTED_VALUE"""),46187.0)</f>
        <v>46187</v>
      </c>
      <c r="C4723" s="122" t="str">
        <f>IFERROR(__xludf.DUMMYFUNCTION("""COMPUTED_VALUE"""),"RENT")</f>
        <v>RENT</v>
      </c>
      <c r="D4723" s="122" t="str">
        <f>IFERROR(__xludf.DUMMYFUNCTION("""COMPUTED_VALUE"""),"RentRight")</f>
        <v>RentRight</v>
      </c>
      <c r="E4723" s="122">
        <f>IFERROR(__xludf.DUMMYFUNCTION("""COMPUTED_VALUE"""),92.98)</f>
        <v>92.98</v>
      </c>
      <c r="F4723" s="122">
        <f>IFERROR(__xludf.DUMMYFUNCTION("""COMPUTED_VALUE"""),0.001)</f>
        <v>0.001</v>
      </c>
    </row>
    <row r="4724">
      <c r="A4724" s="131">
        <f>IFERROR(__xludf.DUMMYFUNCTION("""COMPUTED_VALUE"""),46187.49109953704)</f>
        <v>46187.4911</v>
      </c>
      <c r="B4724" s="126">
        <f>IFERROR(__xludf.DUMMYFUNCTION("""COMPUTED_VALUE"""),46187.0)</f>
        <v>46187</v>
      </c>
      <c r="C4724" s="122" t="str">
        <f>IFERROR(__xludf.DUMMYFUNCTION("""COMPUTED_VALUE"""),"MALL")</f>
        <v>MALL</v>
      </c>
      <c r="D4724" s="122" t="str">
        <f>IFERROR(__xludf.DUMMYFUNCTION("""COMPUTED_VALUE"""),"MegaMall")</f>
        <v>MegaMall</v>
      </c>
      <c r="E4724" s="122">
        <f>IFERROR(__xludf.DUMMYFUNCTION("""COMPUTED_VALUE"""),101.29)</f>
        <v>101.29</v>
      </c>
      <c r="F4724" s="122">
        <f>IFERROR(__xludf.DUMMYFUNCTION("""COMPUTED_VALUE"""),-0.0022)</f>
        <v>-0.0022</v>
      </c>
    </row>
    <row r="4725">
      <c r="A4725" s="131">
        <f>IFERROR(__xludf.DUMMYFUNCTION("""COMPUTED_VALUE"""),46187.49109953704)</f>
        <v>46187.4911</v>
      </c>
      <c r="B4725" s="126">
        <f>IFERROR(__xludf.DUMMYFUNCTION("""COMPUTED_VALUE"""),46187.0)</f>
        <v>46187</v>
      </c>
      <c r="C4725" s="122" t="str">
        <f>IFERROR(__xludf.DUMMYFUNCTION("""COMPUTED_VALUE"""),"HOTL")</f>
        <v>HOTL</v>
      </c>
      <c r="D4725" s="122" t="str">
        <f>IFERROR(__xludf.DUMMYFUNCTION("""COMPUTED_VALUE"""),"HotelHive")</f>
        <v>HotelHive</v>
      </c>
      <c r="E4725" s="122">
        <f>IFERROR(__xludf.DUMMYFUNCTION("""COMPUTED_VALUE"""),128.27)</f>
        <v>128.27</v>
      </c>
      <c r="F4725" s="122">
        <f>IFERROR(__xludf.DUMMYFUNCTION("""COMPUTED_VALUE"""),0.0016)</f>
        <v>0.0016</v>
      </c>
    </row>
    <row r="4726">
      <c r="A4726" s="131">
        <f>IFERROR(__xludf.DUMMYFUNCTION("""COMPUTED_VALUE"""),46187.49109953704)</f>
        <v>46187.4911</v>
      </c>
      <c r="B4726" s="126">
        <f>IFERROR(__xludf.DUMMYFUNCTION("""COMPUTED_VALUE"""),46187.0)</f>
        <v>46187</v>
      </c>
      <c r="C4726" s="122" t="str">
        <f>IFERROR(__xludf.DUMMYFUNCTION("""COMPUTED_VALUE"""),"LAND")</f>
        <v>LAND</v>
      </c>
      <c r="D4726" s="122" t="str">
        <f>IFERROR(__xludf.DUMMYFUNCTION("""COMPUTED_VALUE"""),"LandLink")</f>
        <v>LandLink</v>
      </c>
      <c r="E4726" s="122">
        <f>IFERROR(__xludf.DUMMYFUNCTION("""COMPUTED_VALUE"""),183.73)</f>
        <v>183.73</v>
      </c>
      <c r="F4726" s="122">
        <f>IFERROR(__xludf.DUMMYFUNCTION("""COMPUTED_VALUE"""),-0.001)</f>
        <v>-0.001</v>
      </c>
    </row>
    <row r="4727">
      <c r="A4727" s="131">
        <f>IFERROR(__xludf.DUMMYFUNCTION("""COMPUTED_VALUE"""),46187.49109953704)</f>
        <v>46187.4911</v>
      </c>
      <c r="B4727" s="126">
        <f>IFERROR(__xludf.DUMMYFUNCTION("""COMPUTED_VALUE"""),46187.0)</f>
        <v>46187</v>
      </c>
      <c r="C4727" s="122" t="str">
        <f>IFERROR(__xludf.DUMMYFUNCTION("""COMPUTED_VALUE"""),"CARS")</f>
        <v>CARS</v>
      </c>
      <c r="D4727" s="122" t="str">
        <f>IFERROR(__xludf.DUMMYFUNCTION("""COMPUTED_VALUE"""),"AutoArena")</f>
        <v>AutoArena</v>
      </c>
      <c r="E4727" s="122">
        <f>IFERROR(__xludf.DUMMYFUNCTION("""COMPUTED_VALUE"""),81.81)</f>
        <v>81.81</v>
      </c>
      <c r="F4727" s="122">
        <f>IFERROR(__xludf.DUMMYFUNCTION("""COMPUTED_VALUE"""),-7.0E-4)</f>
        <v>-0.0007</v>
      </c>
    </row>
    <row r="4728">
      <c r="A4728" s="131">
        <f>IFERROR(__xludf.DUMMYFUNCTION("""COMPUTED_VALUE"""),46187.49109953704)</f>
        <v>46187.4911</v>
      </c>
      <c r="B4728" s="126">
        <f>IFERROR(__xludf.DUMMYFUNCTION("""COMPUTED_VALUE"""),46187.0)</f>
        <v>46187</v>
      </c>
      <c r="C4728" s="122" t="str">
        <f>IFERROR(__xludf.DUMMYFUNCTION("""COMPUTED_VALUE"""),"EVGO")</f>
        <v>EVGO</v>
      </c>
      <c r="D4728" s="122" t="str">
        <f>IFERROR(__xludf.DUMMYFUNCTION("""COMPUTED_VALUE"""),"EVGo Motors")</f>
        <v>EVGo Motors</v>
      </c>
      <c r="E4728" s="122">
        <f>IFERROR(__xludf.DUMMYFUNCTION("""COMPUTED_VALUE"""),191.13)</f>
        <v>191.13</v>
      </c>
      <c r="F4728" s="122">
        <f>IFERROR(__xludf.DUMMYFUNCTION("""COMPUTED_VALUE"""),0.0012)</f>
        <v>0.0012</v>
      </c>
    </row>
    <row r="4729">
      <c r="A4729" s="131">
        <f>IFERROR(__xludf.DUMMYFUNCTION("""COMPUTED_VALUE"""),46187.49109953704)</f>
        <v>46187.4911</v>
      </c>
      <c r="B4729" s="126">
        <f>IFERROR(__xludf.DUMMYFUNCTION("""COMPUTED_VALUE"""),46187.0)</f>
        <v>46187</v>
      </c>
      <c r="C4729" s="122" t="str">
        <f>IFERROR(__xludf.DUMMYFUNCTION("""COMPUTED_VALUE"""),"TIRE")</f>
        <v>TIRE</v>
      </c>
      <c r="D4729" s="122" t="str">
        <f>IFERROR(__xludf.DUMMYFUNCTION("""COMPUTED_VALUE"""),"TireTown")</f>
        <v>TireTown</v>
      </c>
      <c r="E4729" s="122">
        <f>IFERROR(__xludf.DUMMYFUNCTION("""COMPUTED_VALUE"""),96.15)</f>
        <v>96.15</v>
      </c>
      <c r="F4729" s="122">
        <f>IFERROR(__xludf.DUMMYFUNCTION("""COMPUTED_VALUE"""),0.0041)</f>
        <v>0.0041</v>
      </c>
    </row>
    <row r="4730">
      <c r="A4730" s="131">
        <f>IFERROR(__xludf.DUMMYFUNCTION("""COMPUTED_VALUE"""),46187.49109953704)</f>
        <v>46187.4911</v>
      </c>
      <c r="B4730" s="126">
        <f>IFERROR(__xludf.DUMMYFUNCTION("""COMPUTED_VALUE"""),46187.0)</f>
        <v>46187</v>
      </c>
      <c r="C4730" s="122" t="str">
        <f>IFERROR(__xludf.DUMMYFUNCTION("""COMPUTED_VALUE"""),"BIKE")</f>
        <v>BIKE</v>
      </c>
      <c r="D4730" s="122" t="str">
        <f>IFERROR(__xludf.DUMMYFUNCTION("""COMPUTED_VALUE"""),"BikeBox")</f>
        <v>BikeBox</v>
      </c>
      <c r="E4730" s="122">
        <f>IFERROR(__xludf.DUMMYFUNCTION("""COMPUTED_VALUE"""),53.04)</f>
        <v>53.04</v>
      </c>
      <c r="F4730" s="122">
        <f>IFERROR(__xludf.DUMMYFUNCTION("""COMPUTED_VALUE"""),0.0015)</f>
        <v>0.0015</v>
      </c>
    </row>
    <row r="4731">
      <c r="A4731" s="131">
        <f>IFERROR(__xludf.DUMMYFUNCTION("""COMPUTED_VALUE"""),46187.49109953704)</f>
        <v>46187.4911</v>
      </c>
      <c r="B4731" s="126">
        <f>IFERROR(__xludf.DUMMYFUNCTION("""COMPUTED_VALUE"""),46187.0)</f>
        <v>46187</v>
      </c>
      <c r="C4731" s="122" t="str">
        <f>IFERROR(__xludf.DUMMYFUNCTION("""COMPUTED_VALUE"""),"WASH")</f>
        <v>WASH</v>
      </c>
      <c r="D4731" s="122" t="str">
        <f>IFERROR(__xludf.DUMMYFUNCTION("""COMPUTED_VALUE"""),"CarWash Co")</f>
        <v>CarWash Co</v>
      </c>
      <c r="E4731" s="122">
        <f>IFERROR(__xludf.DUMMYFUNCTION("""COMPUTED_VALUE"""),118.94)</f>
        <v>118.94</v>
      </c>
      <c r="F4731" s="122">
        <f>IFERROR(__xludf.DUMMYFUNCTION("""COMPUTED_VALUE"""),-0.0018)</f>
        <v>-0.0018</v>
      </c>
    </row>
    <row r="4732">
      <c r="A4732" s="131">
        <f>IFERROR(__xludf.DUMMYFUNCTION("""COMPUTED_VALUE"""),46187.49109953704)</f>
        <v>46187.4911</v>
      </c>
      <c r="B4732" s="126">
        <f>IFERROR(__xludf.DUMMYFUNCTION("""COMPUTED_VALUE"""),46187.0)</f>
        <v>46187</v>
      </c>
      <c r="C4732" s="122" t="str">
        <f>IFERROR(__xludf.DUMMYFUNCTION("""COMPUTED_VALUE"""),"GBND")</f>
        <v>GBND</v>
      </c>
      <c r="D4732" s="122" t="str">
        <f>IFERROR(__xludf.DUMMYFUNCTION("""COMPUTED_VALUE"""),"Classroom Government Bond")</f>
        <v>Classroom Government Bond</v>
      </c>
      <c r="E4732" s="122">
        <f>IFERROR(__xludf.DUMMYFUNCTION("""COMPUTED_VALUE"""),100.98)</f>
        <v>100.98</v>
      </c>
      <c r="F4732" s="122">
        <f>IFERROR(__xludf.DUMMYFUNCTION("""COMPUTED_VALUE"""),-4.0E-4)</f>
        <v>-0.0004</v>
      </c>
    </row>
    <row r="4733">
      <c r="A4733" s="131">
        <f>IFERROR(__xludf.DUMMYFUNCTION("""COMPUTED_VALUE"""),46187.49109953704)</f>
        <v>46187.4911</v>
      </c>
      <c r="B4733" s="126">
        <f>IFERROR(__xludf.DUMMYFUNCTION("""COMPUTED_VALUE"""),46187.0)</f>
        <v>46187</v>
      </c>
      <c r="C4733" s="122" t="str">
        <f>IFERROR(__xludf.DUMMYFUNCTION("""COMPUTED_VALUE"""),"SBND")</f>
        <v>SBND</v>
      </c>
      <c r="D4733" s="122" t="str">
        <f>IFERROR(__xludf.DUMMYFUNCTION("""COMPUTED_VALUE"""),"School Savings Bond")</f>
        <v>School Savings Bond</v>
      </c>
      <c r="E4733" s="122">
        <f>IFERROR(__xludf.DUMMYFUNCTION("""COMPUTED_VALUE"""),99.48)</f>
        <v>99.48</v>
      </c>
      <c r="F4733" s="122">
        <f>IFERROR(__xludf.DUMMYFUNCTION("""COMPUTED_VALUE"""),-2.0E-4)</f>
        <v>-0.0002</v>
      </c>
    </row>
    <row r="4734">
      <c r="A4734" s="131">
        <f>IFERROR(__xludf.DUMMYFUNCTION("""COMPUTED_VALUE"""),46187.49109953704)</f>
        <v>46187.4911</v>
      </c>
      <c r="B4734" s="126">
        <f>IFERROR(__xludf.DUMMYFUNCTION("""COMPUTED_VALUE"""),46187.0)</f>
        <v>46187</v>
      </c>
      <c r="C4734" s="122" t="str">
        <f>IFERROR(__xludf.DUMMYFUNCTION("""COMPUTED_VALUE"""),"CBND")</f>
        <v>CBND</v>
      </c>
      <c r="D4734" s="122" t="str">
        <f>IFERROR(__xludf.DUMMYFUNCTION("""COMPUTED_VALUE"""),"Corporate Classroom Bond")</f>
        <v>Corporate Classroom Bond</v>
      </c>
      <c r="E4734" s="122">
        <f>IFERROR(__xludf.DUMMYFUNCTION("""COMPUTED_VALUE"""),97.91)</f>
        <v>97.91</v>
      </c>
      <c r="F4734" s="122">
        <f>IFERROR(__xludf.DUMMYFUNCTION("""COMPUTED_VALUE"""),3.0E-4)</f>
        <v>0.0003</v>
      </c>
    </row>
    <row r="4735">
      <c r="A4735" s="131">
        <f>IFERROR(__xludf.DUMMYFUNCTION("""COMPUTED_VALUE"""),46187.49109953704)</f>
        <v>46187.4911</v>
      </c>
      <c r="B4735" s="126">
        <f>IFERROR(__xludf.DUMMYFUNCTION("""COMPUTED_VALUE"""),46187.0)</f>
        <v>46187</v>
      </c>
      <c r="C4735" s="122" t="str">
        <f>IFERROR(__xludf.DUMMYFUNCTION("""COMPUTED_VALUE"""),"TBIL")</f>
        <v>TBIL</v>
      </c>
      <c r="D4735" s="122" t="str">
        <f>IFERROR(__xludf.DUMMYFUNCTION("""COMPUTED_VALUE"""),"Treasury Bill")</f>
        <v>Treasury Bill</v>
      </c>
      <c r="E4735" s="122">
        <f>IFERROR(__xludf.DUMMYFUNCTION("""COMPUTED_VALUE"""),98.14)</f>
        <v>98.14</v>
      </c>
      <c r="F4735" s="122">
        <f>IFERROR(__xludf.DUMMYFUNCTION("""COMPUTED_VALUE"""),1.0E-4)</f>
        <v>0.0001</v>
      </c>
    </row>
    <row r="4736">
      <c r="A4736" s="131">
        <f>IFERROR(__xludf.DUMMYFUNCTION("""COMPUTED_VALUE"""),46187.49109953704)</f>
        <v>46187.4911</v>
      </c>
      <c r="B4736" s="126">
        <f>IFERROR(__xludf.DUMMYFUNCTION("""COMPUTED_VALUE"""),46187.0)</f>
        <v>46187</v>
      </c>
      <c r="C4736" s="122" t="str">
        <f>IFERROR(__xludf.DUMMYFUNCTION("""COMPUTED_VALUE"""),"IBND")</f>
        <v>IBND</v>
      </c>
      <c r="D4736" s="122" t="str">
        <f>IFERROR(__xludf.DUMMYFUNCTION("""COMPUTED_VALUE"""),"Inflation Protected Bond")</f>
        <v>Inflation Protected Bond</v>
      </c>
      <c r="E4736" s="122">
        <f>IFERROR(__xludf.DUMMYFUNCTION("""COMPUTED_VALUE"""),100.73)</f>
        <v>100.73</v>
      </c>
      <c r="F4736" s="122">
        <f>IFERROR(__xludf.DUMMYFUNCTION("""COMPUTED_VALUE"""),2.0E-4)</f>
        <v>0.0002</v>
      </c>
    </row>
    <row r="4737">
      <c r="A4737" s="131">
        <f>IFERROR(__xludf.DUMMYFUNCTION("""COMPUTED_VALUE"""),46187.49255787037)</f>
        <v>46187.49256</v>
      </c>
      <c r="B4737" s="126">
        <f>IFERROR(__xludf.DUMMYFUNCTION("""COMPUTED_VALUE"""),46187.0)</f>
        <v>46187</v>
      </c>
      <c r="C4737" s="130">
        <f>IFERROR(__xludf.DUMMYFUNCTION("""COMPUTED_VALUE"""),0.49255787037037035)</f>
        <v>0.4925578704</v>
      </c>
      <c r="D4737" s="122" t="str">
        <f>IFERROR(__xludf.DUMMYFUNCTION("""COMPUTED_VALUE"""),"SNAX")</f>
        <v>SNAX</v>
      </c>
      <c r="E4737" s="122" t="str">
        <f>IFERROR(__xludf.DUMMYFUNCTION("""COMPUTED_VALUE"""),"MICA Snacks")</f>
        <v>MICA Snacks</v>
      </c>
      <c r="F4737" s="122" t="str">
        <f>IFERROR(__xludf.DUMMYFUNCTION("""COMPUTED_VALUE"""),"Consumer Goods")</f>
        <v>Consumer Goods</v>
      </c>
    </row>
    <row r="4738">
      <c r="A4738" s="131">
        <f>IFERROR(__xludf.DUMMYFUNCTION("""COMPUTED_VALUE"""),46187.49255787037)</f>
        <v>46187.49256</v>
      </c>
      <c r="B4738" s="126">
        <f>IFERROR(__xludf.DUMMYFUNCTION("""COMPUTED_VALUE"""),46187.0)</f>
        <v>46187</v>
      </c>
      <c r="C4738" s="130">
        <f>IFERROR(__xludf.DUMMYFUNCTION("""COMPUTED_VALUE"""),0.49255787037037035)</f>
        <v>0.4925578704</v>
      </c>
      <c r="D4738" s="122" t="str">
        <f>IFERROR(__xludf.DUMMYFUNCTION("""COMPUTED_VALUE"""),"RAMN")</f>
        <v>RAMN</v>
      </c>
      <c r="E4738" s="122" t="str">
        <f>IFERROR(__xludf.DUMMYFUNCTION("""COMPUTED_VALUE"""),"Ramen Republic")</f>
        <v>Ramen Republic</v>
      </c>
      <c r="F4738" s="122" t="str">
        <f>IFERROR(__xludf.DUMMYFUNCTION("""COMPUTED_VALUE"""),"Food")</f>
        <v>Food</v>
      </c>
    </row>
    <row r="4739">
      <c r="A4739" s="131">
        <f>IFERROR(__xludf.DUMMYFUNCTION("""COMPUTED_VALUE"""),46187.49255787037)</f>
        <v>46187.49256</v>
      </c>
      <c r="B4739" s="126">
        <f>IFERROR(__xludf.DUMMYFUNCTION("""COMPUTED_VALUE"""),46187.0)</f>
        <v>46187</v>
      </c>
      <c r="C4739" s="130">
        <f>IFERROR(__xludf.DUMMYFUNCTION("""COMPUTED_VALUE"""),0.49255787037037035)</f>
        <v>0.4925578704</v>
      </c>
      <c r="D4739" s="122" t="str">
        <f>IFERROR(__xludf.DUMMYFUNCTION("""COMPUTED_VALUE"""),"COLA")</f>
        <v>COLA</v>
      </c>
      <c r="E4739" s="122" t="str">
        <f>IFERROR(__xludf.DUMMYFUNCTION("""COMPUTED_VALUE"""),"K-Pop Cola")</f>
        <v>K-Pop Cola</v>
      </c>
      <c r="F4739" s="122" t="str">
        <f>IFERROR(__xludf.DUMMYFUNCTION("""COMPUTED_VALUE"""),"Beverage")</f>
        <v>Beverage</v>
      </c>
    </row>
    <row r="4740">
      <c r="A4740" s="131">
        <f>IFERROR(__xludf.DUMMYFUNCTION("""COMPUTED_VALUE"""),46187.49255787037)</f>
        <v>46187.49256</v>
      </c>
      <c r="B4740" s="126">
        <f>IFERROR(__xludf.DUMMYFUNCTION("""COMPUTED_VALUE"""),46187.0)</f>
        <v>46187</v>
      </c>
      <c r="C4740" s="130">
        <f>IFERROR(__xludf.DUMMYFUNCTION("""COMPUTED_VALUE"""),0.49255787037037035)</f>
        <v>0.4925578704</v>
      </c>
      <c r="D4740" s="122" t="str">
        <f>IFERROR(__xludf.DUMMYFUNCTION("""COMPUTED_VALUE"""),"CHIP")</f>
        <v>CHIP</v>
      </c>
      <c r="E4740" s="122" t="str">
        <f>IFERROR(__xludf.DUMMYFUNCTION("""COMPUTED_VALUE"""),"Chip Empire")</f>
        <v>Chip Empire</v>
      </c>
      <c r="F4740" s="122" t="str">
        <f>IFERROR(__xludf.DUMMYFUNCTION("""COMPUTED_VALUE"""),"Consumer Goods")</f>
        <v>Consumer Goods</v>
      </c>
    </row>
    <row r="4741">
      <c r="A4741" s="131">
        <f>IFERROR(__xludf.DUMMYFUNCTION("""COMPUTED_VALUE"""),46187.49255787037)</f>
        <v>46187.49256</v>
      </c>
      <c r="B4741" s="126">
        <f>IFERROR(__xludf.DUMMYFUNCTION("""COMPUTED_VALUE"""),46187.0)</f>
        <v>46187</v>
      </c>
      <c r="C4741" s="130">
        <f>IFERROR(__xludf.DUMMYFUNCTION("""COMPUTED_VALUE"""),0.49255787037037035)</f>
        <v>0.4925578704</v>
      </c>
      <c r="D4741" s="122" t="str">
        <f>IFERROR(__xludf.DUMMYFUNCTION("""COMPUTED_VALUE"""),"CAND")</f>
        <v>CAND</v>
      </c>
      <c r="E4741" s="122" t="str">
        <f>IFERROR(__xludf.DUMMYFUNCTION("""COMPUTED_VALUE"""),"Candy Capital")</f>
        <v>Candy Capital</v>
      </c>
      <c r="F4741" s="122" t="str">
        <f>IFERROR(__xludf.DUMMYFUNCTION("""COMPUTED_VALUE"""),"Consumer Goods")</f>
        <v>Consumer Goods</v>
      </c>
    </row>
    <row r="4742">
      <c r="A4742" s="131">
        <f>IFERROR(__xludf.DUMMYFUNCTION("""COMPUTED_VALUE"""),46187.49255787037)</f>
        <v>46187.49256</v>
      </c>
      <c r="B4742" s="126">
        <f>IFERROR(__xludf.DUMMYFUNCTION("""COMPUTED_VALUE"""),46187.0)</f>
        <v>46187</v>
      </c>
      <c r="C4742" s="130">
        <f>IFERROR(__xludf.DUMMYFUNCTION("""COMPUTED_VALUE"""),0.49255787037037035)</f>
        <v>0.4925578704</v>
      </c>
      <c r="D4742" s="122" t="str">
        <f>IFERROR(__xludf.DUMMYFUNCTION("""COMPUTED_VALUE"""),"TECH")</f>
        <v>TECH</v>
      </c>
      <c r="E4742" s="122" t="str">
        <f>IFERROR(__xludf.DUMMYFUNCTION("""COMPUTED_VALUE"""),"Dragon Tech")</f>
        <v>Dragon Tech</v>
      </c>
      <c r="F4742" s="122" t="str">
        <f>IFERROR(__xludf.DUMMYFUNCTION("""COMPUTED_VALUE"""),"Technology")</f>
        <v>Technology</v>
      </c>
    </row>
    <row r="4743">
      <c r="A4743" s="131">
        <f>IFERROR(__xludf.DUMMYFUNCTION("""COMPUTED_VALUE"""),46187.49255787037)</f>
        <v>46187.49256</v>
      </c>
      <c r="B4743" s="126">
        <f>IFERROR(__xludf.DUMMYFUNCTION("""COMPUTED_VALUE"""),46187.0)</f>
        <v>46187</v>
      </c>
      <c r="C4743" s="130">
        <f>IFERROR(__xludf.DUMMYFUNCTION("""COMPUTED_VALUE"""),0.49255787037037035)</f>
        <v>0.4925578704</v>
      </c>
      <c r="D4743" s="122" t="str">
        <f>IFERROR(__xludf.DUMMYFUNCTION("""COMPUTED_VALUE"""),"AIBO")</f>
        <v>AIBO</v>
      </c>
      <c r="E4743" s="122" t="str">
        <f>IFERROR(__xludf.DUMMYFUNCTION("""COMPUTED_VALUE"""),"Homework AI")</f>
        <v>Homework AI</v>
      </c>
      <c r="F4743" s="122" t="str">
        <f>IFERROR(__xludf.DUMMYFUNCTION("""COMPUTED_VALUE"""),"Technology")</f>
        <v>Technology</v>
      </c>
    </row>
    <row r="4744">
      <c r="A4744" s="131">
        <f>IFERROR(__xludf.DUMMYFUNCTION("""COMPUTED_VALUE"""),46187.49255787037)</f>
        <v>46187.49256</v>
      </c>
      <c r="B4744" s="126">
        <f>IFERROR(__xludf.DUMMYFUNCTION("""COMPUTED_VALUE"""),46187.0)</f>
        <v>46187</v>
      </c>
      <c r="C4744" s="130">
        <f>IFERROR(__xludf.DUMMYFUNCTION("""COMPUTED_VALUE"""),0.49255787037037035)</f>
        <v>0.4925578704</v>
      </c>
      <c r="D4744" s="122" t="str">
        <f>IFERROR(__xludf.DUMMYFUNCTION("""COMPUTED_VALUE"""),"GAME")</f>
        <v>GAME</v>
      </c>
      <c r="E4744" s="122" t="str">
        <f>IFERROR(__xludf.DUMMYFUNCTION("""COMPUTED_VALUE"""),"GameBox Media")</f>
        <v>GameBox Media</v>
      </c>
      <c r="F4744" s="122" t="str">
        <f>IFERROR(__xludf.DUMMYFUNCTION("""COMPUTED_VALUE"""),"Entertainment")</f>
        <v>Entertainment</v>
      </c>
    </row>
    <row r="4745">
      <c r="A4745" s="131">
        <f>IFERROR(__xludf.DUMMYFUNCTION("""COMPUTED_VALUE"""),46187.49255787037)</f>
        <v>46187.49256</v>
      </c>
      <c r="B4745" s="126">
        <f>IFERROR(__xludf.DUMMYFUNCTION("""COMPUTED_VALUE"""),46187.0)</f>
        <v>46187</v>
      </c>
      <c r="C4745" s="130">
        <f>IFERROR(__xludf.DUMMYFUNCTION("""COMPUTED_VALUE"""),0.49255787037037035)</f>
        <v>0.4925578704</v>
      </c>
      <c r="D4745" s="122" t="str">
        <f>IFERROR(__xludf.DUMMYFUNCTION("""COMPUTED_VALUE"""),"VRSE")</f>
        <v>VRSE</v>
      </c>
      <c r="E4745" s="122" t="str">
        <f>IFERROR(__xludf.DUMMYFUNCTION("""COMPUTED_VALUE"""),"VerseVR")</f>
        <v>VerseVR</v>
      </c>
      <c r="F4745" s="122" t="str">
        <f>IFERROR(__xludf.DUMMYFUNCTION("""COMPUTED_VALUE"""),"Technology")</f>
        <v>Technology</v>
      </c>
    </row>
    <row r="4746">
      <c r="A4746" s="131">
        <f>IFERROR(__xludf.DUMMYFUNCTION("""COMPUTED_VALUE"""),46187.49255787037)</f>
        <v>46187.49256</v>
      </c>
      <c r="B4746" s="126">
        <f>IFERROR(__xludf.DUMMYFUNCTION("""COMPUTED_VALUE"""),46187.0)</f>
        <v>46187</v>
      </c>
      <c r="C4746" s="130">
        <f>IFERROR(__xludf.DUMMYFUNCTION("""COMPUTED_VALUE"""),0.49255787037037035)</f>
        <v>0.4925578704</v>
      </c>
      <c r="D4746" s="122" t="str">
        <f>IFERROR(__xludf.DUMMYFUNCTION("""COMPUTED_VALUE"""),"BYTE")</f>
        <v>BYTE</v>
      </c>
      <c r="E4746" s="122" t="str">
        <f>IFERROR(__xludf.DUMMYFUNCTION("""COMPUTED_VALUE"""),"ByteWorks")</f>
        <v>ByteWorks</v>
      </c>
      <c r="F4746" s="122" t="str">
        <f>IFERROR(__xludf.DUMMYFUNCTION("""COMPUTED_VALUE"""),"Technology")</f>
        <v>Technology</v>
      </c>
    </row>
    <row r="4747">
      <c r="A4747" s="131">
        <f>IFERROR(__xludf.DUMMYFUNCTION("""COMPUTED_VALUE"""),46187.49255787037)</f>
        <v>46187.49256</v>
      </c>
      <c r="B4747" s="126">
        <f>IFERROR(__xludf.DUMMYFUNCTION("""COMPUTED_VALUE"""),46187.0)</f>
        <v>46187</v>
      </c>
      <c r="C4747" s="130">
        <f>IFERROR(__xludf.DUMMYFUNCTION("""COMPUTED_VALUE"""),0.49255787037037035)</f>
        <v>0.4925578704</v>
      </c>
      <c r="D4747" s="122" t="str">
        <f>IFERROR(__xludf.DUMMYFUNCTION("""COMPUTED_VALUE"""),"BANK")</f>
        <v>BANK</v>
      </c>
      <c r="E4747" s="122" t="str">
        <f>IFERROR(__xludf.DUMMYFUNCTION("""COMPUTED_VALUE"""),"Tiger Bank")</f>
        <v>Tiger Bank</v>
      </c>
      <c r="F4747" s="122" t="str">
        <f>IFERROR(__xludf.DUMMYFUNCTION("""COMPUTED_VALUE"""),"Finance")</f>
        <v>Finance</v>
      </c>
    </row>
    <row r="4748">
      <c r="A4748" s="131">
        <f>IFERROR(__xludf.DUMMYFUNCTION("""COMPUTED_VALUE"""),46187.49255787037)</f>
        <v>46187.49256</v>
      </c>
      <c r="B4748" s="126">
        <f>IFERROR(__xludf.DUMMYFUNCTION("""COMPUTED_VALUE"""),46187.0)</f>
        <v>46187</v>
      </c>
      <c r="C4748" s="130">
        <f>IFERROR(__xludf.DUMMYFUNCTION("""COMPUTED_VALUE"""),0.49255787037037035)</f>
        <v>0.4925578704</v>
      </c>
      <c r="D4748" s="122" t="str">
        <f>IFERROR(__xludf.DUMMYFUNCTION("""COMPUTED_VALUE"""),"CRED")</f>
        <v>CRED</v>
      </c>
      <c r="E4748" s="122" t="str">
        <f>IFERROR(__xludf.DUMMYFUNCTION("""COMPUTED_VALUE"""),"Credit Castle")</f>
        <v>Credit Castle</v>
      </c>
      <c r="F4748" s="122" t="str">
        <f>IFERROR(__xludf.DUMMYFUNCTION("""COMPUTED_VALUE"""),"Finance")</f>
        <v>Finance</v>
      </c>
    </row>
    <row r="4749">
      <c r="A4749" s="131">
        <f>IFERROR(__xludf.DUMMYFUNCTION("""COMPUTED_VALUE"""),46187.49255787037)</f>
        <v>46187.49256</v>
      </c>
      <c r="B4749" s="126">
        <f>IFERROR(__xludf.DUMMYFUNCTION("""COMPUTED_VALUE"""),46187.0)</f>
        <v>46187</v>
      </c>
      <c r="C4749" s="130">
        <f>IFERROR(__xludf.DUMMYFUNCTION("""COMPUTED_VALUE"""),0.49255787037037035)</f>
        <v>0.4925578704</v>
      </c>
      <c r="D4749" s="122" t="str">
        <f>IFERROR(__xludf.DUMMYFUNCTION("""COMPUTED_VALUE"""),"BOND")</f>
        <v>BOND</v>
      </c>
      <c r="E4749" s="122" t="str">
        <f>IFERROR(__xludf.DUMMYFUNCTION("""COMPUTED_VALUE"""),"BondBridge")</f>
        <v>BondBridge</v>
      </c>
      <c r="F4749" s="122" t="str">
        <f>IFERROR(__xludf.DUMMYFUNCTION("""COMPUTED_VALUE"""),"Finance")</f>
        <v>Finance</v>
      </c>
    </row>
    <row r="4750">
      <c r="A4750" s="131">
        <f>IFERROR(__xludf.DUMMYFUNCTION("""COMPUTED_VALUE"""),46187.49255787037)</f>
        <v>46187.49256</v>
      </c>
      <c r="B4750" s="126">
        <f>IFERROR(__xludf.DUMMYFUNCTION("""COMPUTED_VALUE"""),46187.0)</f>
        <v>46187</v>
      </c>
      <c r="C4750" s="130">
        <f>IFERROR(__xludf.DUMMYFUNCTION("""COMPUTED_VALUE"""),0.49255787037037035)</f>
        <v>0.4925578704</v>
      </c>
      <c r="D4750" s="122" t="str">
        <f>IFERROR(__xludf.DUMMYFUNCTION("""COMPUTED_VALUE"""),"INSR")</f>
        <v>INSR</v>
      </c>
      <c r="E4750" s="122" t="str">
        <f>IFERROR(__xludf.DUMMYFUNCTION("""COMPUTED_VALUE"""),"Shield Insurance")</f>
        <v>Shield Insurance</v>
      </c>
      <c r="F4750" s="122" t="str">
        <f>IFERROR(__xludf.DUMMYFUNCTION("""COMPUTED_VALUE"""),"Finance")</f>
        <v>Finance</v>
      </c>
    </row>
    <row r="4751">
      <c r="A4751" s="131">
        <f>IFERROR(__xludf.DUMMYFUNCTION("""COMPUTED_VALUE"""),46187.49255787037)</f>
        <v>46187.49256</v>
      </c>
      <c r="B4751" s="126">
        <f>IFERROR(__xludf.DUMMYFUNCTION("""COMPUTED_VALUE"""),46187.0)</f>
        <v>46187</v>
      </c>
      <c r="C4751" s="130">
        <f>IFERROR(__xludf.DUMMYFUNCTION("""COMPUTED_VALUE"""),0.49255787037037035)</f>
        <v>0.4925578704</v>
      </c>
      <c r="D4751" s="122" t="str">
        <f>IFERROR(__xludf.DUMMYFUNCTION("""COMPUTED_VALUE"""),"LOAN")</f>
        <v>LOAN</v>
      </c>
      <c r="E4751" s="122" t="str">
        <f>IFERROR(__xludf.DUMMYFUNCTION("""COMPUTED_VALUE"""),"LoanLab")</f>
        <v>LoanLab</v>
      </c>
      <c r="F4751" s="122" t="str">
        <f>IFERROR(__xludf.DUMMYFUNCTION("""COMPUTED_VALUE"""),"Finance")</f>
        <v>Finance</v>
      </c>
    </row>
    <row r="4752">
      <c r="A4752" s="131">
        <f>IFERROR(__xludf.DUMMYFUNCTION("""COMPUTED_VALUE"""),46187.49255787037)</f>
        <v>46187.49256</v>
      </c>
      <c r="B4752" s="126">
        <f>IFERROR(__xludf.DUMMYFUNCTION("""COMPUTED_VALUE"""),46187.0)</f>
        <v>46187</v>
      </c>
      <c r="C4752" s="130">
        <f>IFERROR(__xludf.DUMMYFUNCTION("""COMPUTED_VALUE"""),0.49255787037037035)</f>
        <v>0.4925578704</v>
      </c>
      <c r="D4752" s="122" t="str">
        <f>IFERROR(__xludf.DUMMYFUNCTION("""COMPUTED_VALUE"""),"LUXE")</f>
        <v>LUXE</v>
      </c>
      <c r="E4752" s="122" t="str">
        <f>IFERROR(__xludf.DUMMYFUNCTION("""COMPUTED_VALUE"""),"Luxury Locker")</f>
        <v>Luxury Locker</v>
      </c>
      <c r="F4752" s="122" t="str">
        <f>IFERROR(__xludf.DUMMYFUNCTION("""COMPUTED_VALUE"""),"Luxury Goods")</f>
        <v>Luxury Goods</v>
      </c>
    </row>
    <row r="4753">
      <c r="A4753" s="131">
        <f>IFERROR(__xludf.DUMMYFUNCTION("""COMPUTED_VALUE"""),46187.49255787037)</f>
        <v>46187.49256</v>
      </c>
      <c r="B4753" s="126">
        <f>IFERROR(__xludf.DUMMYFUNCTION("""COMPUTED_VALUE"""),46187.0)</f>
        <v>46187</v>
      </c>
      <c r="C4753" s="130">
        <f>IFERROR(__xludf.DUMMYFUNCTION("""COMPUTED_VALUE"""),0.49255787037037035)</f>
        <v>0.4925578704</v>
      </c>
      <c r="D4753" s="122" t="str">
        <f>IFERROR(__xludf.DUMMYFUNCTION("""COMPUTED_VALUE"""),"DRIP")</f>
        <v>DRIP</v>
      </c>
      <c r="E4753" s="122" t="str">
        <f>IFERROR(__xludf.DUMMYFUNCTION("""COMPUTED_VALUE"""),"Drip Streetwear")</f>
        <v>Drip Streetwear</v>
      </c>
      <c r="F4753" s="122" t="str">
        <f>IFERROR(__xludf.DUMMYFUNCTION("""COMPUTED_VALUE"""),"Fashion")</f>
        <v>Fashion</v>
      </c>
    </row>
    <row r="4754">
      <c r="A4754" s="131">
        <f>IFERROR(__xludf.DUMMYFUNCTION("""COMPUTED_VALUE"""),46187.49255787037)</f>
        <v>46187.49256</v>
      </c>
      <c r="B4754" s="126">
        <f>IFERROR(__xludf.DUMMYFUNCTION("""COMPUTED_VALUE"""),46187.0)</f>
        <v>46187</v>
      </c>
      <c r="C4754" s="130">
        <f>IFERROR(__xludf.DUMMYFUNCTION("""COMPUTED_VALUE"""),0.49255787037037035)</f>
        <v>0.4925578704</v>
      </c>
      <c r="D4754" s="122" t="str">
        <f>IFERROR(__xludf.DUMMYFUNCTION("""COMPUTED_VALUE"""),"KICK")</f>
        <v>KICK</v>
      </c>
      <c r="E4754" s="122" t="str">
        <f>IFERROR(__xludf.DUMMYFUNCTION("""COMPUTED_VALUE"""),"KickDrop Sneakers")</f>
        <v>KickDrop Sneakers</v>
      </c>
      <c r="F4754" s="122" t="str">
        <f>IFERROR(__xludf.DUMMYFUNCTION("""COMPUTED_VALUE"""),"Fashion")</f>
        <v>Fashion</v>
      </c>
    </row>
    <row r="4755">
      <c r="A4755" s="131">
        <f>IFERROR(__xludf.DUMMYFUNCTION("""COMPUTED_VALUE"""),46187.49255787037)</f>
        <v>46187.49256</v>
      </c>
      <c r="B4755" s="126">
        <f>IFERROR(__xludf.DUMMYFUNCTION("""COMPUTED_VALUE"""),46187.0)</f>
        <v>46187</v>
      </c>
      <c r="C4755" s="130">
        <f>IFERROR(__xludf.DUMMYFUNCTION("""COMPUTED_VALUE"""),0.49255787037037035)</f>
        <v>0.4925578704</v>
      </c>
      <c r="D4755" s="122" t="str">
        <f>IFERROR(__xludf.DUMMYFUNCTION("""COMPUTED_VALUE"""),"GLAM")</f>
        <v>GLAM</v>
      </c>
      <c r="E4755" s="122" t="str">
        <f>IFERROR(__xludf.DUMMYFUNCTION("""COMPUTED_VALUE"""),"Glow Cosmetics")</f>
        <v>Glow Cosmetics</v>
      </c>
      <c r="F4755" s="122" t="str">
        <f>IFERROR(__xludf.DUMMYFUNCTION("""COMPUTED_VALUE"""),"Fashion")</f>
        <v>Fashion</v>
      </c>
    </row>
    <row r="4756">
      <c r="A4756" s="131">
        <f>IFERROR(__xludf.DUMMYFUNCTION("""COMPUTED_VALUE"""),46187.49255787037)</f>
        <v>46187.49256</v>
      </c>
      <c r="B4756" s="126">
        <f>IFERROR(__xludf.DUMMYFUNCTION("""COMPUTED_VALUE"""),46187.0)</f>
        <v>46187</v>
      </c>
      <c r="C4756" s="130">
        <f>IFERROR(__xludf.DUMMYFUNCTION("""COMPUTED_VALUE"""),0.49255787037037035)</f>
        <v>0.4925578704</v>
      </c>
      <c r="D4756" s="122" t="str">
        <f>IFERROR(__xludf.DUMMYFUNCTION("""COMPUTED_VALUE"""),"BAGG")</f>
        <v>BAGG</v>
      </c>
      <c r="E4756" s="122" t="str">
        <f>IFERROR(__xludf.DUMMYFUNCTION("""COMPUTED_VALUE"""),"BagVault")</f>
        <v>BagVault</v>
      </c>
      <c r="F4756" s="122" t="str">
        <f>IFERROR(__xludf.DUMMYFUNCTION("""COMPUTED_VALUE"""),"Fashion")</f>
        <v>Fashion</v>
      </c>
    </row>
    <row r="4757">
      <c r="A4757" s="131">
        <f>IFERROR(__xludf.DUMMYFUNCTION("""COMPUTED_VALUE"""),46187.49255787037)</f>
        <v>46187.49256</v>
      </c>
      <c r="B4757" s="126">
        <f>IFERROR(__xludf.DUMMYFUNCTION("""COMPUTED_VALUE"""),46187.0)</f>
        <v>46187</v>
      </c>
      <c r="C4757" s="130">
        <f>IFERROR(__xludf.DUMMYFUNCTION("""COMPUTED_VALUE"""),0.49255787037037035)</f>
        <v>0.4925578704</v>
      </c>
      <c r="D4757" s="122" t="str">
        <f>IFERROR(__xludf.DUMMYFUNCTION("""COMPUTED_VALUE"""),"FAST")</f>
        <v>FAST</v>
      </c>
      <c r="E4757" s="122" t="str">
        <f>IFERROR(__xludf.DUMMYFUNCTION("""COMPUTED_VALUE"""),"Flash Logistics")</f>
        <v>Flash Logistics</v>
      </c>
      <c r="F4757" s="122" t="str">
        <f>IFERROR(__xludf.DUMMYFUNCTION("""COMPUTED_VALUE"""),"Logistics")</f>
        <v>Logistics</v>
      </c>
    </row>
    <row r="4758">
      <c r="A4758" s="131">
        <f>IFERROR(__xludf.DUMMYFUNCTION("""COMPUTED_VALUE"""),46187.49255787037)</f>
        <v>46187.49256</v>
      </c>
      <c r="B4758" s="126">
        <f>IFERROR(__xludf.DUMMYFUNCTION("""COMPUTED_VALUE"""),46187.0)</f>
        <v>46187</v>
      </c>
      <c r="C4758" s="130">
        <f>IFERROR(__xludf.DUMMYFUNCTION("""COMPUTED_VALUE"""),0.49255787037037035)</f>
        <v>0.4925578704</v>
      </c>
      <c r="D4758" s="122" t="str">
        <f>IFERROR(__xludf.DUMMYFUNCTION("""COMPUTED_VALUE"""),"SHIP")</f>
        <v>SHIP</v>
      </c>
      <c r="E4758" s="122" t="str">
        <f>IFERROR(__xludf.DUMMYFUNCTION("""COMPUTED_VALUE"""),"Seoul Shipping")</f>
        <v>Seoul Shipping</v>
      </c>
      <c r="F4758" s="122" t="str">
        <f>IFERROR(__xludf.DUMMYFUNCTION("""COMPUTED_VALUE"""),"Logistics")</f>
        <v>Logistics</v>
      </c>
    </row>
    <row r="4759">
      <c r="A4759" s="131">
        <f>IFERROR(__xludf.DUMMYFUNCTION("""COMPUTED_VALUE"""),46187.49255787037)</f>
        <v>46187.49256</v>
      </c>
      <c r="B4759" s="126">
        <f>IFERROR(__xludf.DUMMYFUNCTION("""COMPUTED_VALUE"""),46187.0)</f>
        <v>46187</v>
      </c>
      <c r="C4759" s="130">
        <f>IFERROR(__xludf.DUMMYFUNCTION("""COMPUTED_VALUE"""),0.49255787037037035)</f>
        <v>0.4925578704</v>
      </c>
      <c r="D4759" s="122" t="str">
        <f>IFERROR(__xludf.DUMMYFUNCTION("""COMPUTED_VALUE"""),"DRON")</f>
        <v>DRON</v>
      </c>
      <c r="E4759" s="122" t="str">
        <f>IFERROR(__xludf.DUMMYFUNCTION("""COMPUTED_VALUE"""),"DroneDrop")</f>
        <v>DroneDrop</v>
      </c>
      <c r="F4759" s="122" t="str">
        <f>IFERROR(__xludf.DUMMYFUNCTION("""COMPUTED_VALUE"""),"Logistics")</f>
        <v>Logistics</v>
      </c>
    </row>
    <row r="4760">
      <c r="A4760" s="131">
        <f>IFERROR(__xludf.DUMMYFUNCTION("""COMPUTED_VALUE"""),46187.49255787037)</f>
        <v>46187.49256</v>
      </c>
      <c r="B4760" s="126">
        <f>IFERROR(__xludf.DUMMYFUNCTION("""COMPUTED_VALUE"""),46187.0)</f>
        <v>46187</v>
      </c>
      <c r="C4760" s="130">
        <f>IFERROR(__xludf.DUMMYFUNCTION("""COMPUTED_VALUE"""),0.49255787037037035)</f>
        <v>0.4925578704</v>
      </c>
      <c r="D4760" s="122" t="str">
        <f>IFERROR(__xludf.DUMMYFUNCTION("""COMPUTED_VALUE"""),"RIDE")</f>
        <v>RIDE</v>
      </c>
      <c r="E4760" s="122" t="str">
        <f>IFERROR(__xludf.DUMMYFUNCTION("""COMPUTED_VALUE"""),"QuickRide")</f>
        <v>QuickRide</v>
      </c>
      <c r="F4760" s="122" t="str">
        <f>IFERROR(__xludf.DUMMYFUNCTION("""COMPUTED_VALUE"""),"Transportation")</f>
        <v>Transportation</v>
      </c>
    </row>
    <row r="4761">
      <c r="A4761" s="131">
        <f>IFERROR(__xludf.DUMMYFUNCTION("""COMPUTED_VALUE"""),46187.49255787037)</f>
        <v>46187.49256</v>
      </c>
      <c r="B4761" s="126">
        <f>IFERROR(__xludf.DUMMYFUNCTION("""COMPUTED_VALUE"""),46187.0)</f>
        <v>46187</v>
      </c>
      <c r="C4761" s="130">
        <f>IFERROR(__xludf.DUMMYFUNCTION("""COMPUTED_VALUE"""),0.49255787037037035)</f>
        <v>0.4925578704</v>
      </c>
      <c r="D4761" s="122" t="str">
        <f>IFERROR(__xludf.DUMMYFUNCTION("""COMPUTED_VALUE"""),"RAIL")</f>
        <v>RAIL</v>
      </c>
      <c r="E4761" s="122" t="str">
        <f>IFERROR(__xludf.DUMMYFUNCTION("""COMPUTED_VALUE"""),"MetroRail Corp")</f>
        <v>MetroRail Corp</v>
      </c>
      <c r="F4761" s="122" t="str">
        <f>IFERROR(__xludf.DUMMYFUNCTION("""COMPUTED_VALUE"""),"Transportation")</f>
        <v>Transportation</v>
      </c>
    </row>
    <row r="4762">
      <c r="A4762" s="131">
        <f>IFERROR(__xludf.DUMMYFUNCTION("""COMPUTED_VALUE"""),46187.49255787037)</f>
        <v>46187.49256</v>
      </c>
      <c r="B4762" s="126">
        <f>IFERROR(__xludf.DUMMYFUNCTION("""COMPUTED_VALUE"""),46187.0)</f>
        <v>46187</v>
      </c>
      <c r="C4762" s="130">
        <f>IFERROR(__xludf.DUMMYFUNCTION("""COMPUTED_VALUE"""),0.49255787037037035)</f>
        <v>0.4925578704</v>
      </c>
      <c r="D4762" s="122" t="str">
        <f>IFERROR(__xludf.DUMMYFUNCTION("""COMPUTED_VALUE"""),"MEDX")</f>
        <v>MEDX</v>
      </c>
      <c r="E4762" s="122" t="str">
        <f>IFERROR(__xludf.DUMMYFUNCTION("""COMPUTED_VALUE"""),"MediCore")</f>
        <v>MediCore</v>
      </c>
      <c r="F4762" s="122" t="str">
        <f>IFERROR(__xludf.DUMMYFUNCTION("""COMPUTED_VALUE"""),"Healthcare")</f>
        <v>Healthcare</v>
      </c>
    </row>
    <row r="4763">
      <c r="A4763" s="131">
        <f>IFERROR(__xludf.DUMMYFUNCTION("""COMPUTED_VALUE"""),46187.49255787037)</f>
        <v>46187.49256</v>
      </c>
      <c r="B4763" s="126">
        <f>IFERROR(__xludf.DUMMYFUNCTION("""COMPUTED_VALUE"""),46187.0)</f>
        <v>46187</v>
      </c>
      <c r="C4763" s="130">
        <f>IFERROR(__xludf.DUMMYFUNCTION("""COMPUTED_VALUE"""),0.49255787037037035)</f>
        <v>0.4925578704</v>
      </c>
      <c r="D4763" s="122" t="str">
        <f>IFERROR(__xludf.DUMMYFUNCTION("""COMPUTED_VALUE"""),"GYMX")</f>
        <v>GYMX</v>
      </c>
      <c r="E4763" s="122" t="str">
        <f>IFERROR(__xludf.DUMMYFUNCTION("""COMPUTED_VALUE"""),"GymX Fitness")</f>
        <v>GymX Fitness</v>
      </c>
      <c r="F4763" s="122" t="str">
        <f>IFERROR(__xludf.DUMMYFUNCTION("""COMPUTED_VALUE"""),"Healthcare")</f>
        <v>Healthcare</v>
      </c>
    </row>
    <row r="4764">
      <c r="A4764" s="131">
        <f>IFERROR(__xludf.DUMMYFUNCTION("""COMPUTED_VALUE"""),46187.49255787037)</f>
        <v>46187.49256</v>
      </c>
      <c r="B4764" s="126">
        <f>IFERROR(__xludf.DUMMYFUNCTION("""COMPUTED_VALUE"""),46187.0)</f>
        <v>46187</v>
      </c>
      <c r="C4764" s="130">
        <f>IFERROR(__xludf.DUMMYFUNCTION("""COMPUTED_VALUE"""),0.49255787037037035)</f>
        <v>0.4925578704</v>
      </c>
      <c r="D4764" s="122" t="str">
        <f>IFERROR(__xludf.DUMMYFUNCTION("""COMPUTED_VALUE"""),"VITA")</f>
        <v>VITA</v>
      </c>
      <c r="E4764" s="122" t="str">
        <f>IFERROR(__xludf.DUMMYFUNCTION("""COMPUTED_VALUE"""),"VitaPlus")</f>
        <v>VitaPlus</v>
      </c>
      <c r="F4764" s="122" t="str">
        <f>IFERROR(__xludf.DUMMYFUNCTION("""COMPUTED_VALUE"""),"Healthcare")</f>
        <v>Healthcare</v>
      </c>
    </row>
    <row r="4765">
      <c r="A4765" s="131">
        <f>IFERROR(__xludf.DUMMYFUNCTION("""COMPUTED_VALUE"""),46187.49255787037)</f>
        <v>46187.49256</v>
      </c>
      <c r="B4765" s="126">
        <f>IFERROR(__xludf.DUMMYFUNCTION("""COMPUTED_VALUE"""),46187.0)</f>
        <v>46187</v>
      </c>
      <c r="C4765" s="130">
        <f>IFERROR(__xludf.DUMMYFUNCTION("""COMPUTED_VALUE"""),0.49255787037037035)</f>
        <v>0.4925578704</v>
      </c>
      <c r="D4765" s="122" t="str">
        <f>IFERROR(__xludf.DUMMYFUNCTION("""COMPUTED_VALUE"""),"CARE")</f>
        <v>CARE</v>
      </c>
      <c r="E4765" s="122" t="str">
        <f>IFERROR(__xludf.DUMMYFUNCTION("""COMPUTED_VALUE"""),"CareCloud")</f>
        <v>CareCloud</v>
      </c>
      <c r="F4765" s="122" t="str">
        <f>IFERROR(__xludf.DUMMYFUNCTION("""COMPUTED_VALUE"""),"Healthcare")</f>
        <v>Healthcare</v>
      </c>
    </row>
    <row r="4766">
      <c r="A4766" s="131">
        <f>IFERROR(__xludf.DUMMYFUNCTION("""COMPUTED_VALUE"""),46187.49255787037)</f>
        <v>46187.49256</v>
      </c>
      <c r="B4766" s="126">
        <f>IFERROR(__xludf.DUMMYFUNCTION("""COMPUTED_VALUE"""),46187.0)</f>
        <v>46187</v>
      </c>
      <c r="C4766" s="130">
        <f>IFERROR(__xludf.DUMMYFUNCTION("""COMPUTED_VALUE"""),0.49255787037037035)</f>
        <v>0.4925578704</v>
      </c>
      <c r="D4766" s="122" t="str">
        <f>IFERROR(__xludf.DUMMYFUNCTION("""COMPUTED_VALUE"""),"DENT")</f>
        <v>DENT</v>
      </c>
      <c r="E4766" s="122" t="str">
        <f>IFERROR(__xludf.DUMMYFUNCTION("""COMPUTED_VALUE"""),"SmileWorks")</f>
        <v>SmileWorks</v>
      </c>
      <c r="F4766" s="122" t="str">
        <f>IFERROR(__xludf.DUMMYFUNCTION("""COMPUTED_VALUE"""),"Healthcare")</f>
        <v>Healthcare</v>
      </c>
    </row>
    <row r="4767">
      <c r="A4767" s="131">
        <f>IFERROR(__xludf.DUMMYFUNCTION("""COMPUTED_VALUE"""),46187.49255787037)</f>
        <v>46187.49256</v>
      </c>
      <c r="B4767" s="126">
        <f>IFERROR(__xludf.DUMMYFUNCTION("""COMPUTED_VALUE"""),46187.0)</f>
        <v>46187</v>
      </c>
      <c r="C4767" s="130">
        <f>IFERROR(__xludf.DUMMYFUNCTION("""COMPUTED_VALUE"""),0.49255787037037035)</f>
        <v>0.4925578704</v>
      </c>
      <c r="D4767" s="122" t="str">
        <f>IFERROR(__xludf.DUMMYFUNCTION("""COMPUTED_VALUE"""),"EDUX")</f>
        <v>EDUX</v>
      </c>
      <c r="E4767" s="122" t="str">
        <f>IFERROR(__xludf.DUMMYFUNCTION("""COMPUTED_VALUE"""),"EduMax Learning")</f>
        <v>EduMax Learning</v>
      </c>
      <c r="F4767" s="122" t="str">
        <f>IFERROR(__xludf.DUMMYFUNCTION("""COMPUTED_VALUE"""),"Education")</f>
        <v>Education</v>
      </c>
    </row>
    <row r="4768">
      <c r="A4768" s="131">
        <f>IFERROR(__xludf.DUMMYFUNCTION("""COMPUTED_VALUE"""),46187.49255787037)</f>
        <v>46187.49256</v>
      </c>
      <c r="B4768" s="126">
        <f>IFERROR(__xludf.DUMMYFUNCTION("""COMPUTED_VALUE"""),46187.0)</f>
        <v>46187</v>
      </c>
      <c r="C4768" s="130">
        <f>IFERROR(__xludf.DUMMYFUNCTION("""COMPUTED_VALUE"""),0.49255787037037035)</f>
        <v>0.4925578704</v>
      </c>
      <c r="D4768" s="122" t="str">
        <f>IFERROR(__xludf.DUMMYFUNCTION("""COMPUTED_VALUE"""),"BOOK")</f>
        <v>BOOK</v>
      </c>
      <c r="E4768" s="122" t="str">
        <f>IFERROR(__xludf.DUMMYFUNCTION("""COMPUTED_VALUE"""),"BookBridge")</f>
        <v>BookBridge</v>
      </c>
      <c r="F4768" s="122" t="str">
        <f>IFERROR(__xludf.DUMMYFUNCTION("""COMPUTED_VALUE"""),"Education")</f>
        <v>Education</v>
      </c>
    </row>
    <row r="4769">
      <c r="A4769" s="131">
        <f>IFERROR(__xludf.DUMMYFUNCTION("""COMPUTED_VALUE"""),46187.49255787037)</f>
        <v>46187.49256</v>
      </c>
      <c r="B4769" s="126">
        <f>IFERROR(__xludf.DUMMYFUNCTION("""COMPUTED_VALUE"""),46187.0)</f>
        <v>46187</v>
      </c>
      <c r="C4769" s="130">
        <f>IFERROR(__xludf.DUMMYFUNCTION("""COMPUTED_VALUE"""),0.49255787037037035)</f>
        <v>0.4925578704</v>
      </c>
      <c r="D4769" s="122" t="str">
        <f>IFERROR(__xludf.DUMMYFUNCTION("""COMPUTED_VALUE"""),"TUTR")</f>
        <v>TUTR</v>
      </c>
      <c r="E4769" s="122" t="str">
        <f>IFERROR(__xludf.DUMMYFUNCTION("""COMPUTED_VALUE"""),"TutorTown")</f>
        <v>TutorTown</v>
      </c>
      <c r="F4769" s="122" t="str">
        <f>IFERROR(__xludf.DUMMYFUNCTION("""COMPUTED_VALUE"""),"Education")</f>
        <v>Education</v>
      </c>
    </row>
    <row r="4770">
      <c r="A4770" s="131">
        <f>IFERROR(__xludf.DUMMYFUNCTION("""COMPUTED_VALUE"""),46187.49255787037)</f>
        <v>46187.49256</v>
      </c>
      <c r="B4770" s="126">
        <f>IFERROR(__xludf.DUMMYFUNCTION("""COMPUTED_VALUE"""),46187.0)</f>
        <v>46187</v>
      </c>
      <c r="C4770" s="130">
        <f>IFERROR(__xludf.DUMMYFUNCTION("""COMPUTED_VALUE"""),0.49255787037037035)</f>
        <v>0.4925578704</v>
      </c>
      <c r="D4770" s="122" t="str">
        <f>IFERROR(__xludf.DUMMYFUNCTION("""COMPUTED_VALUE"""),"LANG")</f>
        <v>LANG</v>
      </c>
      <c r="E4770" s="122" t="str">
        <f>IFERROR(__xludf.DUMMYFUNCTION("""COMPUTED_VALUE"""),"LinguaLab")</f>
        <v>LinguaLab</v>
      </c>
      <c r="F4770" s="122" t="str">
        <f>IFERROR(__xludf.DUMMYFUNCTION("""COMPUTED_VALUE"""),"Education")</f>
        <v>Education</v>
      </c>
    </row>
    <row r="4771">
      <c r="A4771" s="131">
        <f>IFERROR(__xludf.DUMMYFUNCTION("""COMPUTED_VALUE"""),46187.49255787037)</f>
        <v>46187.49256</v>
      </c>
      <c r="B4771" s="126">
        <f>IFERROR(__xludf.DUMMYFUNCTION("""COMPUTED_VALUE"""),46187.0)</f>
        <v>46187</v>
      </c>
      <c r="C4771" s="130">
        <f>IFERROR(__xludf.DUMMYFUNCTION("""COMPUTED_VALUE"""),0.49255787037037035)</f>
        <v>0.4925578704</v>
      </c>
      <c r="D4771" s="122" t="str">
        <f>IFERROR(__xludf.DUMMYFUNCTION("""COMPUTED_VALUE"""),"TEST")</f>
        <v>TEST</v>
      </c>
      <c r="E4771" s="122" t="str">
        <f>IFERROR(__xludf.DUMMYFUNCTION("""COMPUTED_VALUE"""),"TestPrep Pro")</f>
        <v>TestPrep Pro</v>
      </c>
      <c r="F4771" s="122" t="str">
        <f>IFERROR(__xludf.DUMMYFUNCTION("""COMPUTED_VALUE"""),"Education")</f>
        <v>Education</v>
      </c>
    </row>
    <row r="4772">
      <c r="A4772" s="131">
        <f>IFERROR(__xludf.DUMMYFUNCTION("""COMPUTED_VALUE"""),46187.49255787037)</f>
        <v>46187.49256</v>
      </c>
      <c r="B4772" s="126">
        <f>IFERROR(__xludf.DUMMYFUNCTION("""COMPUTED_VALUE"""),46187.0)</f>
        <v>46187</v>
      </c>
      <c r="C4772" s="130">
        <f>IFERROR(__xludf.DUMMYFUNCTION("""COMPUTED_VALUE"""),0.49255787037037035)</f>
        <v>0.4925578704</v>
      </c>
      <c r="D4772" s="122" t="str">
        <f>IFERROR(__xludf.DUMMYFUNCTION("""COMPUTED_VALUE"""),"MOVI")</f>
        <v>MOVI</v>
      </c>
      <c r="E4772" s="122" t="str">
        <f>IFERROR(__xludf.DUMMYFUNCTION("""COMPUTED_VALUE"""),"MovieBox")</f>
        <v>MovieBox</v>
      </c>
      <c r="F4772" s="122" t="str">
        <f>IFERROR(__xludf.DUMMYFUNCTION("""COMPUTED_VALUE"""),"Entertainment")</f>
        <v>Entertainment</v>
      </c>
    </row>
    <row r="4773">
      <c r="A4773" s="131">
        <f>IFERROR(__xludf.DUMMYFUNCTION("""COMPUTED_VALUE"""),46187.49255787037)</f>
        <v>46187.49256</v>
      </c>
      <c r="B4773" s="126">
        <f>IFERROR(__xludf.DUMMYFUNCTION("""COMPUTED_VALUE"""),46187.0)</f>
        <v>46187</v>
      </c>
      <c r="C4773" s="130">
        <f>IFERROR(__xludf.DUMMYFUNCTION("""COMPUTED_VALUE"""),0.49255787037037035)</f>
        <v>0.4925578704</v>
      </c>
      <c r="D4773" s="122" t="str">
        <f>IFERROR(__xludf.DUMMYFUNCTION("""COMPUTED_VALUE"""),"MUSC")</f>
        <v>MUSC</v>
      </c>
      <c r="E4773" s="122" t="str">
        <f>IFERROR(__xludf.DUMMYFUNCTION("""COMPUTED_VALUE"""),"MusicWave")</f>
        <v>MusicWave</v>
      </c>
      <c r="F4773" s="122" t="str">
        <f>IFERROR(__xludf.DUMMYFUNCTION("""COMPUTED_VALUE"""),"Entertainment")</f>
        <v>Entertainment</v>
      </c>
    </row>
    <row r="4774">
      <c r="A4774" s="131">
        <f>IFERROR(__xludf.DUMMYFUNCTION("""COMPUTED_VALUE"""),46187.49255787037)</f>
        <v>46187.49256</v>
      </c>
      <c r="B4774" s="126">
        <f>IFERROR(__xludf.DUMMYFUNCTION("""COMPUTED_VALUE"""),46187.0)</f>
        <v>46187</v>
      </c>
      <c r="C4774" s="130">
        <f>IFERROR(__xludf.DUMMYFUNCTION("""COMPUTED_VALUE"""),0.49255787037037035)</f>
        <v>0.4925578704</v>
      </c>
      <c r="D4774" s="122" t="str">
        <f>IFERROR(__xludf.DUMMYFUNCTION("""COMPUTED_VALUE"""),"IDOL")</f>
        <v>IDOL</v>
      </c>
      <c r="E4774" s="122" t="str">
        <f>IFERROR(__xludf.DUMMYFUNCTION("""COMPUTED_VALUE"""),"Idol Agency")</f>
        <v>Idol Agency</v>
      </c>
      <c r="F4774" s="122" t="str">
        <f>IFERROR(__xludf.DUMMYFUNCTION("""COMPUTED_VALUE"""),"Entertainment")</f>
        <v>Entertainment</v>
      </c>
    </row>
    <row r="4775">
      <c r="A4775" s="131">
        <f>IFERROR(__xludf.DUMMYFUNCTION("""COMPUTED_VALUE"""),46187.49255787037)</f>
        <v>46187.49256</v>
      </c>
      <c r="B4775" s="126">
        <f>IFERROR(__xludf.DUMMYFUNCTION("""COMPUTED_VALUE"""),46187.0)</f>
        <v>46187</v>
      </c>
      <c r="C4775" s="130">
        <f>IFERROR(__xludf.DUMMYFUNCTION("""COMPUTED_VALUE"""),0.49255787037037035)</f>
        <v>0.4925578704</v>
      </c>
      <c r="D4775" s="122" t="str">
        <f>IFERROR(__xludf.DUMMYFUNCTION("""COMPUTED_VALUE"""),"MEME")</f>
        <v>MEME</v>
      </c>
      <c r="E4775" s="122" t="str">
        <f>IFERROR(__xludf.DUMMYFUNCTION("""COMPUTED_VALUE"""),"Meme Media")</f>
        <v>Meme Media</v>
      </c>
      <c r="F4775" s="122" t="str">
        <f>IFERROR(__xludf.DUMMYFUNCTION("""COMPUTED_VALUE"""),"Entertainment")</f>
        <v>Entertainment</v>
      </c>
    </row>
    <row r="4776">
      <c r="A4776" s="131">
        <f>IFERROR(__xludf.DUMMYFUNCTION("""COMPUTED_VALUE"""),46187.49255787037)</f>
        <v>46187.49256</v>
      </c>
      <c r="B4776" s="126">
        <f>IFERROR(__xludf.DUMMYFUNCTION("""COMPUTED_VALUE"""),46187.0)</f>
        <v>46187</v>
      </c>
      <c r="C4776" s="130">
        <f>IFERROR(__xludf.DUMMYFUNCTION("""COMPUTED_VALUE"""),0.49255787037037035)</f>
        <v>0.4925578704</v>
      </c>
      <c r="D4776" s="122" t="str">
        <f>IFERROR(__xludf.DUMMYFUNCTION("""COMPUTED_VALUE"""),"STRM")</f>
        <v>STRM</v>
      </c>
      <c r="E4776" s="122" t="str">
        <f>IFERROR(__xludf.DUMMYFUNCTION("""COMPUTED_VALUE"""),"Streamly")</f>
        <v>Streamly</v>
      </c>
      <c r="F4776" s="122" t="str">
        <f>IFERROR(__xludf.DUMMYFUNCTION("""COMPUTED_VALUE"""),"Entertainment")</f>
        <v>Entertainment</v>
      </c>
    </row>
    <row r="4777">
      <c r="A4777" s="131">
        <f>IFERROR(__xludf.DUMMYFUNCTION("""COMPUTED_VALUE"""),46187.49255787037)</f>
        <v>46187.49256</v>
      </c>
      <c r="B4777" s="126">
        <f>IFERROR(__xludf.DUMMYFUNCTION("""COMPUTED_VALUE"""),46187.0)</f>
        <v>46187</v>
      </c>
      <c r="C4777" s="130">
        <f>IFERROR(__xludf.DUMMYFUNCTION("""COMPUTED_VALUE"""),0.49255787037037035)</f>
        <v>0.4925578704</v>
      </c>
      <c r="D4777" s="122" t="str">
        <f>IFERROR(__xludf.DUMMYFUNCTION("""COMPUTED_VALUE"""),"FARM")</f>
        <v>FARM</v>
      </c>
      <c r="E4777" s="122" t="str">
        <f>IFERROR(__xludf.DUMMYFUNCTION("""COMPUTED_VALUE"""),"Future Farms")</f>
        <v>Future Farms</v>
      </c>
      <c r="F4777" s="122" t="str">
        <f>IFERROR(__xludf.DUMMYFUNCTION("""COMPUTED_VALUE"""),"Agriculture")</f>
        <v>Agriculture</v>
      </c>
    </row>
    <row r="4778">
      <c r="A4778" s="131">
        <f>IFERROR(__xludf.DUMMYFUNCTION("""COMPUTED_VALUE"""),46187.49255787037)</f>
        <v>46187.49256</v>
      </c>
      <c r="B4778" s="126">
        <f>IFERROR(__xludf.DUMMYFUNCTION("""COMPUTED_VALUE"""),46187.0)</f>
        <v>46187</v>
      </c>
      <c r="C4778" s="130">
        <f>IFERROR(__xludf.DUMMYFUNCTION("""COMPUTED_VALUE"""),0.49255787037037035)</f>
        <v>0.4925578704</v>
      </c>
      <c r="D4778" s="122" t="str">
        <f>IFERROR(__xludf.DUMMYFUNCTION("""COMPUTED_VALUE"""),"MEAT")</f>
        <v>MEAT</v>
      </c>
      <c r="E4778" s="122" t="str">
        <f>IFERROR(__xludf.DUMMYFUNCTION("""COMPUTED_VALUE"""),"MeatWorks")</f>
        <v>MeatWorks</v>
      </c>
      <c r="F4778" s="122" t="str">
        <f>IFERROR(__xludf.DUMMYFUNCTION("""COMPUTED_VALUE"""),"Food")</f>
        <v>Food</v>
      </c>
    </row>
    <row r="4779">
      <c r="A4779" s="131">
        <f>IFERROR(__xludf.DUMMYFUNCTION("""COMPUTED_VALUE"""),46187.49255787037)</f>
        <v>46187.49256</v>
      </c>
      <c r="B4779" s="126">
        <f>IFERROR(__xludf.DUMMYFUNCTION("""COMPUTED_VALUE"""),46187.0)</f>
        <v>46187</v>
      </c>
      <c r="C4779" s="130">
        <f>IFERROR(__xludf.DUMMYFUNCTION("""COMPUTED_VALUE"""),0.49255787037037035)</f>
        <v>0.4925578704</v>
      </c>
      <c r="D4779" s="122" t="str">
        <f>IFERROR(__xludf.DUMMYFUNCTION("""COMPUTED_VALUE"""),"VEGI")</f>
        <v>VEGI</v>
      </c>
      <c r="E4779" s="122" t="str">
        <f>IFERROR(__xludf.DUMMYFUNCTION("""COMPUTED_VALUE"""),"Green Basket")</f>
        <v>Green Basket</v>
      </c>
      <c r="F4779" s="122" t="str">
        <f>IFERROR(__xludf.DUMMYFUNCTION("""COMPUTED_VALUE"""),"Food")</f>
        <v>Food</v>
      </c>
    </row>
    <row r="4780">
      <c r="A4780" s="131">
        <f>IFERROR(__xludf.DUMMYFUNCTION("""COMPUTED_VALUE"""),46187.49255787037)</f>
        <v>46187.49256</v>
      </c>
      <c r="B4780" s="126">
        <f>IFERROR(__xludf.DUMMYFUNCTION("""COMPUTED_VALUE"""),46187.0)</f>
        <v>46187</v>
      </c>
      <c r="C4780" s="130">
        <f>IFERROR(__xludf.DUMMYFUNCTION("""COMPUTED_VALUE"""),0.49255787037037035)</f>
        <v>0.4925578704</v>
      </c>
      <c r="D4780" s="122" t="str">
        <f>IFERROR(__xludf.DUMMYFUNCTION("""COMPUTED_VALUE"""),"CAFE")</f>
        <v>CAFE</v>
      </c>
      <c r="E4780" s="122" t="str">
        <f>IFERROR(__xludf.DUMMYFUNCTION("""COMPUTED_VALUE"""),"Cafe Cloud")</f>
        <v>Cafe Cloud</v>
      </c>
      <c r="F4780" s="122" t="str">
        <f>IFERROR(__xludf.DUMMYFUNCTION("""COMPUTED_VALUE"""),"Food")</f>
        <v>Food</v>
      </c>
    </row>
    <row r="4781">
      <c r="A4781" s="131">
        <f>IFERROR(__xludf.DUMMYFUNCTION("""COMPUTED_VALUE"""),46187.49255787037)</f>
        <v>46187.49256</v>
      </c>
      <c r="B4781" s="126">
        <f>IFERROR(__xludf.DUMMYFUNCTION("""COMPUTED_VALUE"""),46187.0)</f>
        <v>46187</v>
      </c>
      <c r="C4781" s="130">
        <f>IFERROR(__xludf.DUMMYFUNCTION("""COMPUTED_VALUE"""),0.49255787037037035)</f>
        <v>0.4925578704</v>
      </c>
      <c r="D4781" s="122" t="str">
        <f>IFERROR(__xludf.DUMMYFUNCTION("""COMPUTED_VALUE"""),"BAKE")</f>
        <v>BAKE</v>
      </c>
      <c r="E4781" s="122" t="str">
        <f>IFERROR(__xludf.DUMMYFUNCTION("""COMPUTED_VALUE"""),"BakeHouse")</f>
        <v>BakeHouse</v>
      </c>
      <c r="F4781" s="122" t="str">
        <f>IFERROR(__xludf.DUMMYFUNCTION("""COMPUTED_VALUE"""),"Food")</f>
        <v>Food</v>
      </c>
    </row>
    <row r="4782">
      <c r="A4782" s="131">
        <f>IFERROR(__xludf.DUMMYFUNCTION("""COMPUTED_VALUE"""),46187.49255787037)</f>
        <v>46187.49256</v>
      </c>
      <c r="B4782" s="126">
        <f>IFERROR(__xludf.DUMMYFUNCTION("""COMPUTED_VALUE"""),46187.0)</f>
        <v>46187</v>
      </c>
      <c r="C4782" s="130">
        <f>IFERROR(__xludf.DUMMYFUNCTION("""COMPUTED_VALUE"""),0.49255787037037035)</f>
        <v>0.4925578704</v>
      </c>
      <c r="D4782" s="122" t="str">
        <f>IFERROR(__xludf.DUMMYFUNCTION("""COMPUTED_VALUE"""),"OILX")</f>
        <v>OILX</v>
      </c>
      <c r="E4782" s="122" t="str">
        <f>IFERROR(__xludf.DUMMYFUNCTION("""COMPUTED_VALUE"""),"OilMax Energy")</f>
        <v>OilMax Energy</v>
      </c>
      <c r="F4782" s="122" t="str">
        <f>IFERROR(__xludf.DUMMYFUNCTION("""COMPUTED_VALUE"""),"Energy")</f>
        <v>Energy</v>
      </c>
    </row>
    <row r="4783">
      <c r="A4783" s="131">
        <f>IFERROR(__xludf.DUMMYFUNCTION("""COMPUTED_VALUE"""),46187.49255787037)</f>
        <v>46187.49256</v>
      </c>
      <c r="B4783" s="126">
        <f>IFERROR(__xludf.DUMMYFUNCTION("""COMPUTED_VALUE"""),46187.0)</f>
        <v>46187</v>
      </c>
      <c r="C4783" s="130">
        <f>IFERROR(__xludf.DUMMYFUNCTION("""COMPUTED_VALUE"""),0.49255787037037035)</f>
        <v>0.4925578704</v>
      </c>
      <c r="D4783" s="122" t="str">
        <f>IFERROR(__xludf.DUMMYFUNCTION("""COMPUTED_VALUE"""),"SOLR")</f>
        <v>SOLR</v>
      </c>
      <c r="E4783" s="122" t="str">
        <f>IFERROR(__xludf.DUMMYFUNCTION("""COMPUTED_VALUE"""),"SolarSpark")</f>
        <v>SolarSpark</v>
      </c>
      <c r="F4783" s="122" t="str">
        <f>IFERROR(__xludf.DUMMYFUNCTION("""COMPUTED_VALUE"""),"Energy")</f>
        <v>Energy</v>
      </c>
    </row>
    <row r="4784">
      <c r="A4784" s="131">
        <f>IFERROR(__xludf.DUMMYFUNCTION("""COMPUTED_VALUE"""),46187.49255787037)</f>
        <v>46187.49256</v>
      </c>
      <c r="B4784" s="126">
        <f>IFERROR(__xludf.DUMMYFUNCTION("""COMPUTED_VALUE"""),46187.0)</f>
        <v>46187</v>
      </c>
      <c r="C4784" s="130">
        <f>IFERROR(__xludf.DUMMYFUNCTION("""COMPUTED_VALUE"""),0.49255787037037035)</f>
        <v>0.4925578704</v>
      </c>
      <c r="D4784" s="122" t="str">
        <f>IFERROR(__xludf.DUMMYFUNCTION("""COMPUTED_VALUE"""),"BATT")</f>
        <v>BATT</v>
      </c>
      <c r="E4784" s="122" t="str">
        <f>IFERROR(__xludf.DUMMYFUNCTION("""COMPUTED_VALUE"""),"BatteryBox")</f>
        <v>BatteryBox</v>
      </c>
      <c r="F4784" s="122" t="str">
        <f>IFERROR(__xludf.DUMMYFUNCTION("""COMPUTED_VALUE"""),"Energy")</f>
        <v>Energy</v>
      </c>
    </row>
    <row r="4785">
      <c r="A4785" s="131">
        <f>IFERROR(__xludf.DUMMYFUNCTION("""COMPUTED_VALUE"""),46187.49255787037)</f>
        <v>46187.49256</v>
      </c>
      <c r="B4785" s="126">
        <f>IFERROR(__xludf.DUMMYFUNCTION("""COMPUTED_VALUE"""),46187.0)</f>
        <v>46187</v>
      </c>
      <c r="C4785" s="130">
        <f>IFERROR(__xludf.DUMMYFUNCTION("""COMPUTED_VALUE"""),0.49255787037037035)</f>
        <v>0.4925578704</v>
      </c>
      <c r="D4785" s="122" t="str">
        <f>IFERROR(__xludf.DUMMYFUNCTION("""COMPUTED_VALUE"""),"WIND")</f>
        <v>WIND</v>
      </c>
      <c r="E4785" s="122" t="str">
        <f>IFERROR(__xludf.DUMMYFUNCTION("""COMPUTED_VALUE"""),"WindWorks")</f>
        <v>WindWorks</v>
      </c>
      <c r="F4785" s="122" t="str">
        <f>IFERROR(__xludf.DUMMYFUNCTION("""COMPUTED_VALUE"""),"Energy")</f>
        <v>Energy</v>
      </c>
    </row>
    <row r="4786">
      <c r="A4786" s="131">
        <f>IFERROR(__xludf.DUMMYFUNCTION("""COMPUTED_VALUE"""),46187.49255787037)</f>
        <v>46187.49256</v>
      </c>
      <c r="B4786" s="126">
        <f>IFERROR(__xludf.DUMMYFUNCTION("""COMPUTED_VALUE"""),46187.0)</f>
        <v>46187</v>
      </c>
      <c r="C4786" s="130">
        <f>IFERROR(__xludf.DUMMYFUNCTION("""COMPUTED_VALUE"""),0.49255787037037035)</f>
        <v>0.4925578704</v>
      </c>
      <c r="D4786" s="122" t="str">
        <f>IFERROR(__xludf.DUMMYFUNCTION("""COMPUTED_VALUE"""),"GRID")</f>
        <v>GRID</v>
      </c>
      <c r="E4786" s="122" t="str">
        <f>IFERROR(__xludf.DUMMYFUNCTION("""COMPUTED_VALUE"""),"GridPower")</f>
        <v>GridPower</v>
      </c>
      <c r="F4786" s="122" t="str">
        <f>IFERROR(__xludf.DUMMYFUNCTION("""COMPUTED_VALUE"""),"Energy")</f>
        <v>Energy</v>
      </c>
    </row>
    <row r="4787">
      <c r="A4787" s="131">
        <f>IFERROR(__xludf.DUMMYFUNCTION("""COMPUTED_VALUE"""),46187.49255787037)</f>
        <v>46187.49256</v>
      </c>
      <c r="B4787" s="126">
        <f>IFERROR(__xludf.DUMMYFUNCTION("""COMPUTED_VALUE"""),46187.0)</f>
        <v>46187</v>
      </c>
      <c r="C4787" s="130">
        <f>IFERROR(__xludf.DUMMYFUNCTION("""COMPUTED_VALUE"""),0.49255787037037035)</f>
        <v>0.4925578704</v>
      </c>
      <c r="D4787" s="122" t="str">
        <f>IFERROR(__xludf.DUMMYFUNCTION("""COMPUTED_VALUE"""),"HOME")</f>
        <v>HOME</v>
      </c>
      <c r="E4787" s="122" t="str">
        <f>IFERROR(__xludf.DUMMYFUNCTION("""COMPUTED_VALUE"""),"HomeHub")</f>
        <v>HomeHub</v>
      </c>
      <c r="F4787" s="122" t="str">
        <f>IFERROR(__xludf.DUMMYFUNCTION("""COMPUTED_VALUE"""),"Real Estate")</f>
        <v>Real Estate</v>
      </c>
    </row>
    <row r="4788">
      <c r="A4788" s="131">
        <f>IFERROR(__xludf.DUMMYFUNCTION("""COMPUTED_VALUE"""),46187.49255787037)</f>
        <v>46187.49256</v>
      </c>
      <c r="B4788" s="126">
        <f>IFERROR(__xludf.DUMMYFUNCTION("""COMPUTED_VALUE"""),46187.0)</f>
        <v>46187</v>
      </c>
      <c r="C4788" s="130">
        <f>IFERROR(__xludf.DUMMYFUNCTION("""COMPUTED_VALUE"""),0.49255787037037035)</f>
        <v>0.4925578704</v>
      </c>
      <c r="D4788" s="122" t="str">
        <f>IFERROR(__xludf.DUMMYFUNCTION("""COMPUTED_VALUE"""),"RENT")</f>
        <v>RENT</v>
      </c>
      <c r="E4788" s="122" t="str">
        <f>IFERROR(__xludf.DUMMYFUNCTION("""COMPUTED_VALUE"""),"RentRight")</f>
        <v>RentRight</v>
      </c>
      <c r="F4788" s="122" t="str">
        <f>IFERROR(__xludf.DUMMYFUNCTION("""COMPUTED_VALUE"""),"Real Estate")</f>
        <v>Real Estate</v>
      </c>
    </row>
    <row r="4789">
      <c r="A4789" s="131">
        <f>IFERROR(__xludf.DUMMYFUNCTION("""COMPUTED_VALUE"""),46187.49255787037)</f>
        <v>46187.49256</v>
      </c>
      <c r="B4789" s="126">
        <f>IFERROR(__xludf.DUMMYFUNCTION("""COMPUTED_VALUE"""),46187.0)</f>
        <v>46187</v>
      </c>
      <c r="C4789" s="130">
        <f>IFERROR(__xludf.DUMMYFUNCTION("""COMPUTED_VALUE"""),0.49255787037037035)</f>
        <v>0.4925578704</v>
      </c>
      <c r="D4789" s="122" t="str">
        <f>IFERROR(__xludf.DUMMYFUNCTION("""COMPUTED_VALUE"""),"MALL")</f>
        <v>MALL</v>
      </c>
      <c r="E4789" s="122" t="str">
        <f>IFERROR(__xludf.DUMMYFUNCTION("""COMPUTED_VALUE"""),"MegaMall")</f>
        <v>MegaMall</v>
      </c>
      <c r="F4789" s="122" t="str">
        <f>IFERROR(__xludf.DUMMYFUNCTION("""COMPUTED_VALUE"""),"Real Estate")</f>
        <v>Real Estate</v>
      </c>
    </row>
    <row r="4790">
      <c r="A4790" s="131">
        <f>IFERROR(__xludf.DUMMYFUNCTION("""COMPUTED_VALUE"""),46187.49255787037)</f>
        <v>46187.49256</v>
      </c>
      <c r="B4790" s="126">
        <f>IFERROR(__xludf.DUMMYFUNCTION("""COMPUTED_VALUE"""),46187.0)</f>
        <v>46187</v>
      </c>
      <c r="C4790" s="130">
        <f>IFERROR(__xludf.DUMMYFUNCTION("""COMPUTED_VALUE"""),0.49255787037037035)</f>
        <v>0.4925578704</v>
      </c>
      <c r="D4790" s="122" t="str">
        <f>IFERROR(__xludf.DUMMYFUNCTION("""COMPUTED_VALUE"""),"HOTL")</f>
        <v>HOTL</v>
      </c>
      <c r="E4790" s="122" t="str">
        <f>IFERROR(__xludf.DUMMYFUNCTION("""COMPUTED_VALUE"""),"HotelHive")</f>
        <v>HotelHive</v>
      </c>
      <c r="F4790" s="122" t="str">
        <f>IFERROR(__xludf.DUMMYFUNCTION("""COMPUTED_VALUE"""),"Real Estate")</f>
        <v>Real Estate</v>
      </c>
    </row>
    <row r="4791">
      <c r="A4791" s="131">
        <f>IFERROR(__xludf.DUMMYFUNCTION("""COMPUTED_VALUE"""),46187.49255787037)</f>
        <v>46187.49256</v>
      </c>
      <c r="B4791" s="126">
        <f>IFERROR(__xludf.DUMMYFUNCTION("""COMPUTED_VALUE"""),46187.0)</f>
        <v>46187</v>
      </c>
      <c r="C4791" s="130">
        <f>IFERROR(__xludf.DUMMYFUNCTION("""COMPUTED_VALUE"""),0.49255787037037035)</f>
        <v>0.4925578704</v>
      </c>
      <c r="D4791" s="122" t="str">
        <f>IFERROR(__xludf.DUMMYFUNCTION("""COMPUTED_VALUE"""),"LAND")</f>
        <v>LAND</v>
      </c>
      <c r="E4791" s="122" t="str">
        <f>IFERROR(__xludf.DUMMYFUNCTION("""COMPUTED_VALUE"""),"LandLink")</f>
        <v>LandLink</v>
      </c>
      <c r="F4791" s="122" t="str">
        <f>IFERROR(__xludf.DUMMYFUNCTION("""COMPUTED_VALUE"""),"Real Estate")</f>
        <v>Real Estate</v>
      </c>
    </row>
    <row r="4792">
      <c r="A4792" s="131">
        <f>IFERROR(__xludf.DUMMYFUNCTION("""COMPUTED_VALUE"""),46187.49255787037)</f>
        <v>46187.49256</v>
      </c>
      <c r="B4792" s="126">
        <f>IFERROR(__xludf.DUMMYFUNCTION("""COMPUTED_VALUE"""),46187.0)</f>
        <v>46187</v>
      </c>
      <c r="C4792" s="130">
        <f>IFERROR(__xludf.DUMMYFUNCTION("""COMPUTED_VALUE"""),0.49255787037037035)</f>
        <v>0.4925578704</v>
      </c>
      <c r="D4792" s="122" t="str">
        <f>IFERROR(__xludf.DUMMYFUNCTION("""COMPUTED_VALUE"""),"CARS")</f>
        <v>CARS</v>
      </c>
      <c r="E4792" s="122" t="str">
        <f>IFERROR(__xludf.DUMMYFUNCTION("""COMPUTED_VALUE"""),"AutoArena")</f>
        <v>AutoArena</v>
      </c>
      <c r="F4792" s="122" t="str">
        <f>IFERROR(__xludf.DUMMYFUNCTION("""COMPUTED_VALUE"""),"Automotive")</f>
        <v>Automotive</v>
      </c>
    </row>
    <row r="4793">
      <c r="A4793" s="131">
        <f>IFERROR(__xludf.DUMMYFUNCTION("""COMPUTED_VALUE"""),46187.49255787037)</f>
        <v>46187.49256</v>
      </c>
      <c r="B4793" s="126">
        <f>IFERROR(__xludf.DUMMYFUNCTION("""COMPUTED_VALUE"""),46187.0)</f>
        <v>46187</v>
      </c>
      <c r="C4793" s="130">
        <f>IFERROR(__xludf.DUMMYFUNCTION("""COMPUTED_VALUE"""),0.49255787037037035)</f>
        <v>0.4925578704</v>
      </c>
      <c r="D4793" s="122" t="str">
        <f>IFERROR(__xludf.DUMMYFUNCTION("""COMPUTED_VALUE"""),"EVGO")</f>
        <v>EVGO</v>
      </c>
      <c r="E4793" s="122" t="str">
        <f>IFERROR(__xludf.DUMMYFUNCTION("""COMPUTED_VALUE"""),"EVGo Motors")</f>
        <v>EVGo Motors</v>
      </c>
      <c r="F4793" s="122" t="str">
        <f>IFERROR(__xludf.DUMMYFUNCTION("""COMPUTED_VALUE"""),"Automotive")</f>
        <v>Automotive</v>
      </c>
    </row>
    <row r="4794">
      <c r="A4794" s="131">
        <f>IFERROR(__xludf.DUMMYFUNCTION("""COMPUTED_VALUE"""),46187.49255787037)</f>
        <v>46187.49256</v>
      </c>
      <c r="B4794" s="126">
        <f>IFERROR(__xludf.DUMMYFUNCTION("""COMPUTED_VALUE"""),46187.0)</f>
        <v>46187</v>
      </c>
      <c r="C4794" s="130">
        <f>IFERROR(__xludf.DUMMYFUNCTION("""COMPUTED_VALUE"""),0.49255787037037035)</f>
        <v>0.4925578704</v>
      </c>
      <c r="D4794" s="122" t="str">
        <f>IFERROR(__xludf.DUMMYFUNCTION("""COMPUTED_VALUE"""),"TIRE")</f>
        <v>TIRE</v>
      </c>
      <c r="E4794" s="122" t="str">
        <f>IFERROR(__xludf.DUMMYFUNCTION("""COMPUTED_VALUE"""),"TireTown")</f>
        <v>TireTown</v>
      </c>
      <c r="F4794" s="122" t="str">
        <f>IFERROR(__xludf.DUMMYFUNCTION("""COMPUTED_VALUE"""),"Automotive")</f>
        <v>Automotive</v>
      </c>
    </row>
    <row r="4795">
      <c r="A4795" s="131">
        <f>IFERROR(__xludf.DUMMYFUNCTION("""COMPUTED_VALUE"""),46187.49255787037)</f>
        <v>46187.49256</v>
      </c>
      <c r="B4795" s="126">
        <f>IFERROR(__xludf.DUMMYFUNCTION("""COMPUTED_VALUE"""),46187.0)</f>
        <v>46187</v>
      </c>
      <c r="C4795" s="130">
        <f>IFERROR(__xludf.DUMMYFUNCTION("""COMPUTED_VALUE"""),0.49255787037037035)</f>
        <v>0.4925578704</v>
      </c>
      <c r="D4795" s="122" t="str">
        <f>IFERROR(__xludf.DUMMYFUNCTION("""COMPUTED_VALUE"""),"BIKE")</f>
        <v>BIKE</v>
      </c>
      <c r="E4795" s="122" t="str">
        <f>IFERROR(__xludf.DUMMYFUNCTION("""COMPUTED_VALUE"""),"BikeBox")</f>
        <v>BikeBox</v>
      </c>
      <c r="F4795" s="122" t="str">
        <f>IFERROR(__xludf.DUMMYFUNCTION("""COMPUTED_VALUE"""),"Automotive")</f>
        <v>Automotive</v>
      </c>
    </row>
    <row r="4796">
      <c r="A4796" s="131">
        <f>IFERROR(__xludf.DUMMYFUNCTION("""COMPUTED_VALUE"""),46187.49255787037)</f>
        <v>46187.49256</v>
      </c>
      <c r="B4796" s="126">
        <f>IFERROR(__xludf.DUMMYFUNCTION("""COMPUTED_VALUE"""),46187.0)</f>
        <v>46187</v>
      </c>
      <c r="C4796" s="130">
        <f>IFERROR(__xludf.DUMMYFUNCTION("""COMPUTED_VALUE"""),0.49255787037037035)</f>
        <v>0.4925578704</v>
      </c>
      <c r="D4796" s="122" t="str">
        <f>IFERROR(__xludf.DUMMYFUNCTION("""COMPUTED_VALUE"""),"WASH")</f>
        <v>WASH</v>
      </c>
      <c r="E4796" s="122" t="str">
        <f>IFERROR(__xludf.DUMMYFUNCTION("""COMPUTED_VALUE"""),"CarWash Co")</f>
        <v>CarWash Co</v>
      </c>
      <c r="F4796" s="122" t="str">
        <f>IFERROR(__xludf.DUMMYFUNCTION("""COMPUTED_VALUE"""),"Automotive")</f>
        <v>Automotive</v>
      </c>
    </row>
    <row r="4797">
      <c r="A4797" s="131">
        <f>IFERROR(__xludf.DUMMYFUNCTION("""COMPUTED_VALUE"""),46187.49255787037)</f>
        <v>46187.49256</v>
      </c>
      <c r="B4797" s="126">
        <f>IFERROR(__xludf.DUMMYFUNCTION("""COMPUTED_VALUE"""),46187.0)</f>
        <v>46187</v>
      </c>
      <c r="C4797" s="130">
        <f>IFERROR(__xludf.DUMMYFUNCTION("""COMPUTED_VALUE"""),0.49255787037037035)</f>
        <v>0.4925578704</v>
      </c>
      <c r="D4797" s="122" t="str">
        <f>IFERROR(__xludf.DUMMYFUNCTION("""COMPUTED_VALUE"""),"GBND")</f>
        <v>GBND</v>
      </c>
      <c r="E4797" s="122" t="str">
        <f>IFERROR(__xludf.DUMMYFUNCTION("""COMPUTED_VALUE"""),"Classroom Government Bond")</f>
        <v>Classroom Government Bond</v>
      </c>
      <c r="F4797" s="122" t="str">
        <f>IFERROR(__xludf.DUMMYFUNCTION("""COMPUTED_VALUE"""),"Bond")</f>
        <v>Bond</v>
      </c>
    </row>
    <row r="4798">
      <c r="A4798" s="131">
        <f>IFERROR(__xludf.DUMMYFUNCTION("""COMPUTED_VALUE"""),46187.49255787037)</f>
        <v>46187.49256</v>
      </c>
      <c r="B4798" s="126">
        <f>IFERROR(__xludf.DUMMYFUNCTION("""COMPUTED_VALUE"""),46187.0)</f>
        <v>46187</v>
      </c>
      <c r="C4798" s="130">
        <f>IFERROR(__xludf.DUMMYFUNCTION("""COMPUTED_VALUE"""),0.49255787037037035)</f>
        <v>0.4925578704</v>
      </c>
      <c r="D4798" s="122" t="str">
        <f>IFERROR(__xludf.DUMMYFUNCTION("""COMPUTED_VALUE"""),"SBND")</f>
        <v>SBND</v>
      </c>
      <c r="E4798" s="122" t="str">
        <f>IFERROR(__xludf.DUMMYFUNCTION("""COMPUTED_VALUE"""),"School Savings Bond")</f>
        <v>School Savings Bond</v>
      </c>
      <c r="F4798" s="122" t="str">
        <f>IFERROR(__xludf.DUMMYFUNCTION("""COMPUTED_VALUE"""),"Bond")</f>
        <v>Bond</v>
      </c>
    </row>
    <row r="4799">
      <c r="A4799" s="131">
        <f>IFERROR(__xludf.DUMMYFUNCTION("""COMPUTED_VALUE"""),46187.49255787037)</f>
        <v>46187.49256</v>
      </c>
      <c r="B4799" s="126">
        <f>IFERROR(__xludf.DUMMYFUNCTION("""COMPUTED_VALUE"""),46187.0)</f>
        <v>46187</v>
      </c>
      <c r="C4799" s="130">
        <f>IFERROR(__xludf.DUMMYFUNCTION("""COMPUTED_VALUE"""),0.49255787037037035)</f>
        <v>0.4925578704</v>
      </c>
      <c r="D4799" s="122" t="str">
        <f>IFERROR(__xludf.DUMMYFUNCTION("""COMPUTED_VALUE"""),"CBND")</f>
        <v>CBND</v>
      </c>
      <c r="E4799" s="122" t="str">
        <f>IFERROR(__xludf.DUMMYFUNCTION("""COMPUTED_VALUE"""),"Corporate Classroom Bond")</f>
        <v>Corporate Classroom Bond</v>
      </c>
      <c r="F4799" s="122" t="str">
        <f>IFERROR(__xludf.DUMMYFUNCTION("""COMPUTED_VALUE"""),"Bond")</f>
        <v>Bond</v>
      </c>
    </row>
    <row r="4800">
      <c r="A4800" s="131">
        <f>IFERROR(__xludf.DUMMYFUNCTION("""COMPUTED_VALUE"""),46187.49255787037)</f>
        <v>46187.49256</v>
      </c>
      <c r="B4800" s="126">
        <f>IFERROR(__xludf.DUMMYFUNCTION("""COMPUTED_VALUE"""),46187.0)</f>
        <v>46187</v>
      </c>
      <c r="C4800" s="130">
        <f>IFERROR(__xludf.DUMMYFUNCTION("""COMPUTED_VALUE"""),0.49255787037037035)</f>
        <v>0.4925578704</v>
      </c>
      <c r="D4800" s="122" t="str">
        <f>IFERROR(__xludf.DUMMYFUNCTION("""COMPUTED_VALUE"""),"TBIL")</f>
        <v>TBIL</v>
      </c>
      <c r="E4800" s="122" t="str">
        <f>IFERROR(__xludf.DUMMYFUNCTION("""COMPUTED_VALUE"""),"Treasury Bill")</f>
        <v>Treasury Bill</v>
      </c>
      <c r="F4800" s="122" t="str">
        <f>IFERROR(__xludf.DUMMYFUNCTION("""COMPUTED_VALUE"""),"Bond")</f>
        <v>Bond</v>
      </c>
    </row>
    <row r="4801">
      <c r="A4801" s="131">
        <f>IFERROR(__xludf.DUMMYFUNCTION("""COMPUTED_VALUE"""),46187.49255787037)</f>
        <v>46187.49256</v>
      </c>
      <c r="B4801" s="126">
        <f>IFERROR(__xludf.DUMMYFUNCTION("""COMPUTED_VALUE"""),46187.0)</f>
        <v>46187</v>
      </c>
      <c r="C4801" s="130">
        <f>IFERROR(__xludf.DUMMYFUNCTION("""COMPUTED_VALUE"""),0.49255787037037035)</f>
        <v>0.4925578704</v>
      </c>
      <c r="D4801" s="122" t="str">
        <f>IFERROR(__xludf.DUMMYFUNCTION("""COMPUTED_VALUE"""),"IBND")</f>
        <v>IBND</v>
      </c>
      <c r="E4801" s="122" t="str">
        <f>IFERROR(__xludf.DUMMYFUNCTION("""COMPUTED_VALUE"""),"Inflation Protected Bond")</f>
        <v>Inflation Protected Bond</v>
      </c>
      <c r="F4801" s="122" t="str">
        <f>IFERROR(__xludf.DUMMYFUNCTION("""COMPUTED_VALUE"""),"Bond")</f>
        <v>Bond</v>
      </c>
    </row>
    <row r="4802">
      <c r="A4802" s="131">
        <f>IFERROR(__xludf.DUMMYFUNCTION("""COMPUTED_VALUE"""),46187.494791666664)</f>
        <v>46187.49479</v>
      </c>
      <c r="B4802" s="126">
        <f>IFERROR(__xludf.DUMMYFUNCTION("""COMPUTED_VALUE"""),46187.0)</f>
        <v>46187</v>
      </c>
      <c r="C4802" s="122" t="str">
        <f>IFERROR(__xludf.DUMMYFUNCTION("""COMPUTED_VALUE"""),"SNAX")</f>
        <v>SNAX</v>
      </c>
      <c r="D4802" s="122" t="str">
        <f>IFERROR(__xludf.DUMMYFUNCTION("""COMPUTED_VALUE"""),"MICA Snacks")</f>
        <v>MICA Snacks</v>
      </c>
      <c r="E4802" s="122">
        <f>IFERROR(__xludf.DUMMYFUNCTION("""COMPUTED_VALUE"""),120.73)</f>
        <v>120.73</v>
      </c>
      <c r="F4802" s="122">
        <f>IFERROR(__xludf.DUMMYFUNCTION("""COMPUTED_VALUE"""),-8.0E-4)</f>
        <v>-0.0008</v>
      </c>
    </row>
    <row r="4803">
      <c r="A4803" s="131">
        <f>IFERROR(__xludf.DUMMYFUNCTION("""COMPUTED_VALUE"""),46187.494791666664)</f>
        <v>46187.49479</v>
      </c>
      <c r="B4803" s="126">
        <f>IFERROR(__xludf.DUMMYFUNCTION("""COMPUTED_VALUE"""),46187.0)</f>
        <v>46187</v>
      </c>
      <c r="C4803" s="122" t="str">
        <f>IFERROR(__xludf.DUMMYFUNCTION("""COMPUTED_VALUE"""),"RAMN")</f>
        <v>RAMN</v>
      </c>
      <c r="D4803" s="122" t="str">
        <f>IFERROR(__xludf.DUMMYFUNCTION("""COMPUTED_VALUE"""),"Ramen Republic")</f>
        <v>Ramen Republic</v>
      </c>
      <c r="E4803" s="122">
        <f>IFERROR(__xludf.DUMMYFUNCTION("""COMPUTED_VALUE"""),69.28)</f>
        <v>69.28</v>
      </c>
      <c r="F4803" s="122">
        <f>IFERROR(__xludf.DUMMYFUNCTION("""COMPUTED_VALUE"""),-0.001)</f>
        <v>-0.001</v>
      </c>
    </row>
    <row r="4804">
      <c r="A4804" s="131">
        <f>IFERROR(__xludf.DUMMYFUNCTION("""COMPUTED_VALUE"""),46187.494791666664)</f>
        <v>46187.49479</v>
      </c>
      <c r="B4804" s="126">
        <f>IFERROR(__xludf.DUMMYFUNCTION("""COMPUTED_VALUE"""),46187.0)</f>
        <v>46187</v>
      </c>
      <c r="C4804" s="122" t="str">
        <f>IFERROR(__xludf.DUMMYFUNCTION("""COMPUTED_VALUE"""),"COLA")</f>
        <v>COLA</v>
      </c>
      <c r="D4804" s="122" t="str">
        <f>IFERROR(__xludf.DUMMYFUNCTION("""COMPUTED_VALUE"""),"K-Pop Cola")</f>
        <v>K-Pop Cola</v>
      </c>
      <c r="E4804" s="122">
        <f>IFERROR(__xludf.DUMMYFUNCTION("""COMPUTED_VALUE"""),112.65)</f>
        <v>112.65</v>
      </c>
      <c r="F4804" s="122">
        <f>IFERROR(__xludf.DUMMYFUNCTION("""COMPUTED_VALUE"""),0.007)</f>
        <v>0.007</v>
      </c>
    </row>
    <row r="4805">
      <c r="A4805" s="131">
        <f>IFERROR(__xludf.DUMMYFUNCTION("""COMPUTED_VALUE"""),46187.494791666664)</f>
        <v>46187.49479</v>
      </c>
      <c r="B4805" s="126">
        <f>IFERROR(__xludf.DUMMYFUNCTION("""COMPUTED_VALUE"""),46187.0)</f>
        <v>46187</v>
      </c>
      <c r="C4805" s="122" t="str">
        <f>IFERROR(__xludf.DUMMYFUNCTION("""COMPUTED_VALUE"""),"CHIP")</f>
        <v>CHIP</v>
      </c>
      <c r="D4805" s="122" t="str">
        <f>IFERROR(__xludf.DUMMYFUNCTION("""COMPUTED_VALUE"""),"Chip Empire")</f>
        <v>Chip Empire</v>
      </c>
      <c r="E4805" s="122">
        <f>IFERROR(__xludf.DUMMYFUNCTION("""COMPUTED_VALUE"""),86.51)</f>
        <v>86.51</v>
      </c>
      <c r="F4805" s="122">
        <f>IFERROR(__xludf.DUMMYFUNCTION("""COMPUTED_VALUE"""),-0.0039)</f>
        <v>-0.0039</v>
      </c>
    </row>
    <row r="4806">
      <c r="A4806" s="131">
        <f>IFERROR(__xludf.DUMMYFUNCTION("""COMPUTED_VALUE"""),46187.494791666664)</f>
        <v>46187.49479</v>
      </c>
      <c r="B4806" s="126">
        <f>IFERROR(__xludf.DUMMYFUNCTION("""COMPUTED_VALUE"""),46187.0)</f>
        <v>46187</v>
      </c>
      <c r="C4806" s="122" t="str">
        <f>IFERROR(__xludf.DUMMYFUNCTION("""COMPUTED_VALUE"""),"CAND")</f>
        <v>CAND</v>
      </c>
      <c r="D4806" s="122" t="str">
        <f>IFERROR(__xludf.DUMMYFUNCTION("""COMPUTED_VALUE"""),"Candy Capital")</f>
        <v>Candy Capital</v>
      </c>
      <c r="E4806" s="122">
        <f>IFERROR(__xludf.DUMMYFUNCTION("""COMPUTED_VALUE"""),77.22)</f>
        <v>77.22</v>
      </c>
      <c r="F4806" s="122">
        <f>IFERROR(__xludf.DUMMYFUNCTION("""COMPUTED_VALUE"""),-3.0E-4)</f>
        <v>-0.0003</v>
      </c>
    </row>
    <row r="4807">
      <c r="A4807" s="131">
        <f>IFERROR(__xludf.DUMMYFUNCTION("""COMPUTED_VALUE"""),46187.494791666664)</f>
        <v>46187.49479</v>
      </c>
      <c r="B4807" s="126">
        <f>IFERROR(__xludf.DUMMYFUNCTION("""COMPUTED_VALUE"""),46187.0)</f>
        <v>46187</v>
      </c>
      <c r="C4807" s="122" t="str">
        <f>IFERROR(__xludf.DUMMYFUNCTION("""COMPUTED_VALUE"""),"TECH")</f>
        <v>TECH</v>
      </c>
      <c r="D4807" s="122" t="str">
        <f>IFERROR(__xludf.DUMMYFUNCTION("""COMPUTED_VALUE"""),"Dragon Tech")</f>
        <v>Dragon Tech</v>
      </c>
      <c r="E4807" s="122">
        <f>IFERROR(__xludf.DUMMYFUNCTION("""COMPUTED_VALUE"""),243.26)</f>
        <v>243.26</v>
      </c>
      <c r="F4807" s="122">
        <f>IFERROR(__xludf.DUMMYFUNCTION("""COMPUTED_VALUE"""),-1.0E-4)</f>
        <v>-0.0001</v>
      </c>
    </row>
    <row r="4808">
      <c r="A4808" s="131">
        <f>IFERROR(__xludf.DUMMYFUNCTION("""COMPUTED_VALUE"""),46187.494791666664)</f>
        <v>46187.49479</v>
      </c>
      <c r="B4808" s="126">
        <f>IFERROR(__xludf.DUMMYFUNCTION("""COMPUTED_VALUE"""),46187.0)</f>
        <v>46187</v>
      </c>
      <c r="C4808" s="122" t="str">
        <f>IFERROR(__xludf.DUMMYFUNCTION("""COMPUTED_VALUE"""),"AIBO")</f>
        <v>AIBO</v>
      </c>
      <c r="D4808" s="122" t="str">
        <f>IFERROR(__xludf.DUMMYFUNCTION("""COMPUTED_VALUE"""),"Homework AI")</f>
        <v>Homework AI</v>
      </c>
      <c r="E4808" s="122">
        <f>IFERROR(__xludf.DUMMYFUNCTION("""COMPUTED_VALUE"""),179.92)</f>
        <v>179.92</v>
      </c>
      <c r="F4808" s="122">
        <f>IFERROR(__xludf.DUMMYFUNCTION("""COMPUTED_VALUE"""),-0.0033)</f>
        <v>-0.0033</v>
      </c>
    </row>
    <row r="4809">
      <c r="A4809" s="131">
        <f>IFERROR(__xludf.DUMMYFUNCTION("""COMPUTED_VALUE"""),46187.494791666664)</f>
        <v>46187.49479</v>
      </c>
      <c r="B4809" s="126">
        <f>IFERROR(__xludf.DUMMYFUNCTION("""COMPUTED_VALUE"""),46187.0)</f>
        <v>46187</v>
      </c>
      <c r="C4809" s="122" t="str">
        <f>IFERROR(__xludf.DUMMYFUNCTION("""COMPUTED_VALUE"""),"GAME")</f>
        <v>GAME</v>
      </c>
      <c r="D4809" s="122" t="str">
        <f>IFERROR(__xludf.DUMMYFUNCTION("""COMPUTED_VALUE"""),"GameBox Media")</f>
        <v>GameBox Media</v>
      </c>
      <c r="E4809" s="122">
        <f>IFERROR(__xludf.DUMMYFUNCTION("""COMPUTED_VALUE"""),96.76)</f>
        <v>96.76</v>
      </c>
      <c r="F4809" s="122">
        <f>IFERROR(__xludf.DUMMYFUNCTION("""COMPUTED_VALUE"""),-0.0048)</f>
        <v>-0.0048</v>
      </c>
    </row>
    <row r="4810">
      <c r="A4810" s="131">
        <f>IFERROR(__xludf.DUMMYFUNCTION("""COMPUTED_VALUE"""),46187.494791666664)</f>
        <v>46187.49479</v>
      </c>
      <c r="B4810" s="126">
        <f>IFERROR(__xludf.DUMMYFUNCTION("""COMPUTED_VALUE"""),46187.0)</f>
        <v>46187</v>
      </c>
      <c r="C4810" s="122" t="str">
        <f>IFERROR(__xludf.DUMMYFUNCTION("""COMPUTED_VALUE"""),"VRSE")</f>
        <v>VRSE</v>
      </c>
      <c r="D4810" s="122" t="str">
        <f>IFERROR(__xludf.DUMMYFUNCTION("""COMPUTED_VALUE"""),"VerseVR")</f>
        <v>VerseVR</v>
      </c>
      <c r="E4810" s="122">
        <f>IFERROR(__xludf.DUMMYFUNCTION("""COMPUTED_VALUE"""),154.35)</f>
        <v>154.35</v>
      </c>
      <c r="F4810" s="122">
        <f>IFERROR(__xludf.DUMMYFUNCTION("""COMPUTED_VALUE"""),0.0088)</f>
        <v>0.0088</v>
      </c>
    </row>
    <row r="4811">
      <c r="A4811" s="131">
        <f>IFERROR(__xludf.DUMMYFUNCTION("""COMPUTED_VALUE"""),46187.494791666664)</f>
        <v>46187.49479</v>
      </c>
      <c r="B4811" s="126">
        <f>IFERROR(__xludf.DUMMYFUNCTION("""COMPUTED_VALUE"""),46187.0)</f>
        <v>46187</v>
      </c>
      <c r="C4811" s="122" t="str">
        <f>IFERROR(__xludf.DUMMYFUNCTION("""COMPUTED_VALUE"""),"BYTE")</f>
        <v>BYTE</v>
      </c>
      <c r="D4811" s="122" t="str">
        <f>IFERROR(__xludf.DUMMYFUNCTION("""COMPUTED_VALUE"""),"ByteWorks")</f>
        <v>ByteWorks</v>
      </c>
      <c r="E4811" s="122">
        <f>IFERROR(__xludf.DUMMYFUNCTION("""COMPUTED_VALUE"""),110.17)</f>
        <v>110.17</v>
      </c>
      <c r="F4811" s="122">
        <f>IFERROR(__xludf.DUMMYFUNCTION("""COMPUTED_VALUE"""),0.0087)</f>
        <v>0.0087</v>
      </c>
    </row>
    <row r="4812">
      <c r="A4812" s="131">
        <f>IFERROR(__xludf.DUMMYFUNCTION("""COMPUTED_VALUE"""),46187.494791666664)</f>
        <v>46187.49479</v>
      </c>
      <c r="B4812" s="126">
        <f>IFERROR(__xludf.DUMMYFUNCTION("""COMPUTED_VALUE"""),46187.0)</f>
        <v>46187</v>
      </c>
      <c r="C4812" s="122" t="str">
        <f>IFERROR(__xludf.DUMMYFUNCTION("""COMPUTED_VALUE"""),"BANK")</f>
        <v>BANK</v>
      </c>
      <c r="D4812" s="122" t="str">
        <f>IFERROR(__xludf.DUMMYFUNCTION("""COMPUTED_VALUE"""),"Tiger Bank")</f>
        <v>Tiger Bank</v>
      </c>
      <c r="E4812" s="122">
        <f>IFERROR(__xludf.DUMMYFUNCTION("""COMPUTED_VALUE"""),128.9)</f>
        <v>128.9</v>
      </c>
      <c r="F4812" s="122">
        <f>IFERROR(__xludf.DUMMYFUNCTION("""COMPUTED_VALUE"""),-0.0013)</f>
        <v>-0.0013</v>
      </c>
    </row>
    <row r="4813">
      <c r="A4813" s="131">
        <f>IFERROR(__xludf.DUMMYFUNCTION("""COMPUTED_VALUE"""),46187.494791666664)</f>
        <v>46187.49479</v>
      </c>
      <c r="B4813" s="126">
        <f>IFERROR(__xludf.DUMMYFUNCTION("""COMPUTED_VALUE"""),46187.0)</f>
        <v>46187</v>
      </c>
      <c r="C4813" s="122" t="str">
        <f>IFERROR(__xludf.DUMMYFUNCTION("""COMPUTED_VALUE"""),"CRED")</f>
        <v>CRED</v>
      </c>
      <c r="D4813" s="122" t="str">
        <f>IFERROR(__xludf.DUMMYFUNCTION("""COMPUTED_VALUE"""),"Credit Castle")</f>
        <v>Credit Castle</v>
      </c>
      <c r="E4813" s="122">
        <f>IFERROR(__xludf.DUMMYFUNCTION("""COMPUTED_VALUE"""),66.42)</f>
        <v>66.42</v>
      </c>
      <c r="F4813" s="122">
        <f>IFERROR(__xludf.DUMMYFUNCTION("""COMPUTED_VALUE"""),0.005)</f>
        <v>0.005</v>
      </c>
    </row>
    <row r="4814">
      <c r="A4814" s="131">
        <f>IFERROR(__xludf.DUMMYFUNCTION("""COMPUTED_VALUE"""),46187.494791666664)</f>
        <v>46187.49479</v>
      </c>
      <c r="B4814" s="126">
        <f>IFERROR(__xludf.DUMMYFUNCTION("""COMPUTED_VALUE"""),46187.0)</f>
        <v>46187</v>
      </c>
      <c r="C4814" s="122" t="str">
        <f>IFERROR(__xludf.DUMMYFUNCTION("""COMPUTED_VALUE"""),"BOND")</f>
        <v>BOND</v>
      </c>
      <c r="D4814" s="122" t="str">
        <f>IFERROR(__xludf.DUMMYFUNCTION("""COMPUTED_VALUE"""),"BondBridge")</f>
        <v>BondBridge</v>
      </c>
      <c r="E4814" s="122">
        <f>IFERROR(__xludf.DUMMYFUNCTION("""COMPUTED_VALUE"""),100.34)</f>
        <v>100.34</v>
      </c>
      <c r="F4814" s="122">
        <f>IFERROR(__xludf.DUMMYFUNCTION("""COMPUTED_VALUE"""),0.0029)</f>
        <v>0.0029</v>
      </c>
    </row>
    <row r="4815">
      <c r="A4815" s="131">
        <f>IFERROR(__xludf.DUMMYFUNCTION("""COMPUTED_VALUE"""),46187.494791666664)</f>
        <v>46187.49479</v>
      </c>
      <c r="B4815" s="126">
        <f>IFERROR(__xludf.DUMMYFUNCTION("""COMPUTED_VALUE"""),46187.0)</f>
        <v>46187</v>
      </c>
      <c r="C4815" s="122" t="str">
        <f>IFERROR(__xludf.DUMMYFUNCTION("""COMPUTED_VALUE"""),"INSR")</f>
        <v>INSR</v>
      </c>
      <c r="D4815" s="122" t="str">
        <f>IFERROR(__xludf.DUMMYFUNCTION("""COMPUTED_VALUE"""),"Shield Insurance")</f>
        <v>Shield Insurance</v>
      </c>
      <c r="E4815" s="122">
        <f>IFERROR(__xludf.DUMMYFUNCTION("""COMPUTED_VALUE"""),159.79)</f>
        <v>159.79</v>
      </c>
      <c r="F4815" s="122">
        <f>IFERROR(__xludf.DUMMYFUNCTION("""COMPUTED_VALUE"""),-0.0018)</f>
        <v>-0.0018</v>
      </c>
    </row>
    <row r="4816">
      <c r="A4816" s="131">
        <f>IFERROR(__xludf.DUMMYFUNCTION("""COMPUTED_VALUE"""),46187.494791666664)</f>
        <v>46187.49479</v>
      </c>
      <c r="B4816" s="126">
        <f>IFERROR(__xludf.DUMMYFUNCTION("""COMPUTED_VALUE"""),46187.0)</f>
        <v>46187</v>
      </c>
      <c r="C4816" s="122" t="str">
        <f>IFERROR(__xludf.DUMMYFUNCTION("""COMPUTED_VALUE"""),"LOAN")</f>
        <v>LOAN</v>
      </c>
      <c r="D4816" s="122" t="str">
        <f>IFERROR(__xludf.DUMMYFUNCTION("""COMPUTED_VALUE"""),"LoanLab")</f>
        <v>LoanLab</v>
      </c>
      <c r="E4816" s="122">
        <f>IFERROR(__xludf.DUMMYFUNCTION("""COMPUTED_VALUE"""),65.14)</f>
        <v>65.14</v>
      </c>
      <c r="F4816" s="122">
        <f>IFERROR(__xludf.DUMMYFUNCTION("""COMPUTED_VALUE"""),-0.0025)</f>
        <v>-0.0025</v>
      </c>
    </row>
    <row r="4817">
      <c r="A4817" s="131">
        <f>IFERROR(__xludf.DUMMYFUNCTION("""COMPUTED_VALUE"""),46187.494791666664)</f>
        <v>46187.49479</v>
      </c>
      <c r="B4817" s="126">
        <f>IFERROR(__xludf.DUMMYFUNCTION("""COMPUTED_VALUE"""),46187.0)</f>
        <v>46187</v>
      </c>
      <c r="C4817" s="122" t="str">
        <f>IFERROR(__xludf.DUMMYFUNCTION("""COMPUTED_VALUE"""),"LUXE")</f>
        <v>LUXE</v>
      </c>
      <c r="D4817" s="122" t="str">
        <f>IFERROR(__xludf.DUMMYFUNCTION("""COMPUTED_VALUE"""),"Luxury Locker")</f>
        <v>Luxury Locker</v>
      </c>
      <c r="E4817" s="122">
        <f>IFERROR(__xludf.DUMMYFUNCTION("""COMPUTED_VALUE"""),265.43)</f>
        <v>265.43</v>
      </c>
      <c r="F4817" s="122">
        <f>IFERROR(__xludf.DUMMYFUNCTION("""COMPUTED_VALUE"""),-0.0031)</f>
        <v>-0.0031</v>
      </c>
    </row>
    <row r="4818">
      <c r="A4818" s="131">
        <f>IFERROR(__xludf.DUMMYFUNCTION("""COMPUTED_VALUE"""),46187.494791666664)</f>
        <v>46187.49479</v>
      </c>
      <c r="B4818" s="126">
        <f>IFERROR(__xludf.DUMMYFUNCTION("""COMPUTED_VALUE"""),46187.0)</f>
        <v>46187</v>
      </c>
      <c r="C4818" s="122" t="str">
        <f>IFERROR(__xludf.DUMMYFUNCTION("""COMPUTED_VALUE"""),"DRIP")</f>
        <v>DRIP</v>
      </c>
      <c r="D4818" s="122" t="str">
        <f>IFERROR(__xludf.DUMMYFUNCTION("""COMPUTED_VALUE"""),"Drip Streetwear")</f>
        <v>Drip Streetwear</v>
      </c>
      <c r="E4818" s="122">
        <f>IFERROR(__xludf.DUMMYFUNCTION("""COMPUTED_VALUE"""),193.25)</f>
        <v>193.25</v>
      </c>
      <c r="F4818" s="122">
        <f>IFERROR(__xludf.DUMMYFUNCTION("""COMPUTED_VALUE"""),0.0064)</f>
        <v>0.0064</v>
      </c>
    </row>
    <row r="4819">
      <c r="A4819" s="131">
        <f>IFERROR(__xludf.DUMMYFUNCTION("""COMPUTED_VALUE"""),46187.494791666664)</f>
        <v>46187.49479</v>
      </c>
      <c r="B4819" s="126">
        <f>IFERROR(__xludf.DUMMYFUNCTION("""COMPUTED_VALUE"""),46187.0)</f>
        <v>46187</v>
      </c>
      <c r="C4819" s="122" t="str">
        <f>IFERROR(__xludf.DUMMYFUNCTION("""COMPUTED_VALUE"""),"KICK")</f>
        <v>KICK</v>
      </c>
      <c r="D4819" s="122" t="str">
        <f>IFERROR(__xludf.DUMMYFUNCTION("""COMPUTED_VALUE"""),"KickDrop Sneakers")</f>
        <v>KickDrop Sneakers</v>
      </c>
      <c r="E4819" s="122">
        <f>IFERROR(__xludf.DUMMYFUNCTION("""COMPUTED_VALUE"""),173.15)</f>
        <v>173.15</v>
      </c>
      <c r="F4819" s="122">
        <f>IFERROR(__xludf.DUMMYFUNCTION("""COMPUTED_VALUE"""),-0.0044)</f>
        <v>-0.0044</v>
      </c>
    </row>
    <row r="4820">
      <c r="A4820" s="131">
        <f>IFERROR(__xludf.DUMMYFUNCTION("""COMPUTED_VALUE"""),46187.494791666664)</f>
        <v>46187.49479</v>
      </c>
      <c r="B4820" s="126">
        <f>IFERROR(__xludf.DUMMYFUNCTION("""COMPUTED_VALUE"""),46187.0)</f>
        <v>46187</v>
      </c>
      <c r="C4820" s="122" t="str">
        <f>IFERROR(__xludf.DUMMYFUNCTION("""COMPUTED_VALUE"""),"GLAM")</f>
        <v>GLAM</v>
      </c>
      <c r="D4820" s="122" t="str">
        <f>IFERROR(__xludf.DUMMYFUNCTION("""COMPUTED_VALUE"""),"Glow Cosmetics")</f>
        <v>Glow Cosmetics</v>
      </c>
      <c r="E4820" s="122">
        <f>IFERROR(__xludf.DUMMYFUNCTION("""COMPUTED_VALUE"""),105.21)</f>
        <v>105.21</v>
      </c>
      <c r="F4820" s="122">
        <f>IFERROR(__xludf.DUMMYFUNCTION("""COMPUTED_VALUE"""),5.0E-4)</f>
        <v>0.0005</v>
      </c>
    </row>
    <row r="4821">
      <c r="A4821" s="131">
        <f>IFERROR(__xludf.DUMMYFUNCTION("""COMPUTED_VALUE"""),46187.494791666664)</f>
        <v>46187.49479</v>
      </c>
      <c r="B4821" s="126">
        <f>IFERROR(__xludf.DUMMYFUNCTION("""COMPUTED_VALUE"""),46187.0)</f>
        <v>46187</v>
      </c>
      <c r="C4821" s="122" t="str">
        <f>IFERROR(__xludf.DUMMYFUNCTION("""COMPUTED_VALUE"""),"BAGG")</f>
        <v>BAGG</v>
      </c>
      <c r="D4821" s="122" t="str">
        <f>IFERROR(__xludf.DUMMYFUNCTION("""COMPUTED_VALUE"""),"BagVault")</f>
        <v>BagVault</v>
      </c>
      <c r="E4821" s="122">
        <f>IFERROR(__xludf.DUMMYFUNCTION("""COMPUTED_VALUE"""),249.89)</f>
        <v>249.89</v>
      </c>
      <c r="F4821" s="122">
        <f>IFERROR(__xludf.DUMMYFUNCTION("""COMPUTED_VALUE"""),0.0026)</f>
        <v>0.0026</v>
      </c>
    </row>
    <row r="4822">
      <c r="A4822" s="131">
        <f>IFERROR(__xludf.DUMMYFUNCTION("""COMPUTED_VALUE"""),46187.494791666664)</f>
        <v>46187.49479</v>
      </c>
      <c r="B4822" s="126">
        <f>IFERROR(__xludf.DUMMYFUNCTION("""COMPUTED_VALUE"""),46187.0)</f>
        <v>46187</v>
      </c>
      <c r="C4822" s="122" t="str">
        <f>IFERROR(__xludf.DUMMYFUNCTION("""COMPUTED_VALUE"""),"FAST")</f>
        <v>FAST</v>
      </c>
      <c r="D4822" s="122" t="str">
        <f>IFERROR(__xludf.DUMMYFUNCTION("""COMPUTED_VALUE"""),"Flash Logistics")</f>
        <v>Flash Logistics</v>
      </c>
      <c r="E4822" s="122">
        <f>IFERROR(__xludf.DUMMYFUNCTION("""COMPUTED_VALUE"""),104.58)</f>
        <v>104.58</v>
      </c>
      <c r="F4822" s="122">
        <f>IFERROR(__xludf.DUMMYFUNCTION("""COMPUTED_VALUE"""),-2.0E-4)</f>
        <v>-0.0002</v>
      </c>
    </row>
    <row r="4823">
      <c r="A4823" s="131">
        <f>IFERROR(__xludf.DUMMYFUNCTION("""COMPUTED_VALUE"""),46187.494791666664)</f>
        <v>46187.49479</v>
      </c>
      <c r="B4823" s="126">
        <f>IFERROR(__xludf.DUMMYFUNCTION("""COMPUTED_VALUE"""),46187.0)</f>
        <v>46187</v>
      </c>
      <c r="C4823" s="122" t="str">
        <f>IFERROR(__xludf.DUMMYFUNCTION("""COMPUTED_VALUE"""),"SHIP")</f>
        <v>SHIP</v>
      </c>
      <c r="D4823" s="122" t="str">
        <f>IFERROR(__xludf.DUMMYFUNCTION("""COMPUTED_VALUE"""),"Seoul Shipping")</f>
        <v>Seoul Shipping</v>
      </c>
      <c r="E4823" s="122">
        <f>IFERROR(__xludf.DUMMYFUNCTION("""COMPUTED_VALUE"""),126.57)</f>
        <v>126.57</v>
      </c>
      <c r="F4823" s="122">
        <f>IFERROR(__xludf.DUMMYFUNCTION("""COMPUTED_VALUE"""),0.0075)</f>
        <v>0.0075</v>
      </c>
    </row>
    <row r="4824">
      <c r="A4824" s="131">
        <f>IFERROR(__xludf.DUMMYFUNCTION("""COMPUTED_VALUE"""),46187.494791666664)</f>
        <v>46187.49479</v>
      </c>
      <c r="B4824" s="126">
        <f>IFERROR(__xludf.DUMMYFUNCTION("""COMPUTED_VALUE"""),46187.0)</f>
        <v>46187</v>
      </c>
      <c r="C4824" s="122" t="str">
        <f>IFERROR(__xludf.DUMMYFUNCTION("""COMPUTED_VALUE"""),"DRON")</f>
        <v>DRON</v>
      </c>
      <c r="D4824" s="122" t="str">
        <f>IFERROR(__xludf.DUMMYFUNCTION("""COMPUTED_VALUE"""),"DroneDrop")</f>
        <v>DroneDrop</v>
      </c>
      <c r="E4824" s="122">
        <f>IFERROR(__xludf.DUMMYFUNCTION("""COMPUTED_VALUE"""),125.95)</f>
        <v>125.95</v>
      </c>
      <c r="F4824" s="122">
        <f>IFERROR(__xludf.DUMMYFUNCTION("""COMPUTED_VALUE"""),-0.0087)</f>
        <v>-0.0087</v>
      </c>
    </row>
    <row r="4825">
      <c r="A4825" s="131">
        <f>IFERROR(__xludf.DUMMYFUNCTION("""COMPUTED_VALUE"""),46187.494791666664)</f>
        <v>46187.49479</v>
      </c>
      <c r="B4825" s="126">
        <f>IFERROR(__xludf.DUMMYFUNCTION("""COMPUTED_VALUE"""),46187.0)</f>
        <v>46187</v>
      </c>
      <c r="C4825" s="122" t="str">
        <f>IFERROR(__xludf.DUMMYFUNCTION("""COMPUTED_VALUE"""),"RIDE")</f>
        <v>RIDE</v>
      </c>
      <c r="D4825" s="122" t="str">
        <f>IFERROR(__xludf.DUMMYFUNCTION("""COMPUTED_VALUE"""),"QuickRide")</f>
        <v>QuickRide</v>
      </c>
      <c r="E4825" s="122">
        <f>IFERROR(__xludf.DUMMYFUNCTION("""COMPUTED_VALUE"""),95.86)</f>
        <v>95.86</v>
      </c>
      <c r="F4825" s="122">
        <f>IFERROR(__xludf.DUMMYFUNCTION("""COMPUTED_VALUE"""),-7.0E-4)</f>
        <v>-0.0007</v>
      </c>
    </row>
    <row r="4826">
      <c r="A4826" s="131">
        <f>IFERROR(__xludf.DUMMYFUNCTION("""COMPUTED_VALUE"""),46187.494791666664)</f>
        <v>46187.49479</v>
      </c>
      <c r="B4826" s="126">
        <f>IFERROR(__xludf.DUMMYFUNCTION("""COMPUTED_VALUE"""),46187.0)</f>
        <v>46187</v>
      </c>
      <c r="C4826" s="122" t="str">
        <f>IFERROR(__xludf.DUMMYFUNCTION("""COMPUTED_VALUE"""),"RAIL")</f>
        <v>RAIL</v>
      </c>
      <c r="D4826" s="122" t="str">
        <f>IFERROR(__xludf.DUMMYFUNCTION("""COMPUTED_VALUE"""),"MetroRail Corp")</f>
        <v>MetroRail Corp</v>
      </c>
      <c r="E4826" s="122">
        <f>IFERROR(__xludf.DUMMYFUNCTION("""COMPUTED_VALUE"""),134.6)</f>
        <v>134.6</v>
      </c>
      <c r="F4826" s="122">
        <f>IFERROR(__xludf.DUMMYFUNCTION("""COMPUTED_VALUE"""),6.0E-4)</f>
        <v>0.0006</v>
      </c>
    </row>
    <row r="4827">
      <c r="A4827" s="131">
        <f>IFERROR(__xludf.DUMMYFUNCTION("""COMPUTED_VALUE"""),46187.494791666664)</f>
        <v>46187.49479</v>
      </c>
      <c r="B4827" s="126">
        <f>IFERROR(__xludf.DUMMYFUNCTION("""COMPUTED_VALUE"""),46187.0)</f>
        <v>46187</v>
      </c>
      <c r="C4827" s="122" t="str">
        <f>IFERROR(__xludf.DUMMYFUNCTION("""COMPUTED_VALUE"""),"MEDX")</f>
        <v>MEDX</v>
      </c>
      <c r="D4827" s="122" t="str">
        <f>IFERROR(__xludf.DUMMYFUNCTION("""COMPUTED_VALUE"""),"MediCore")</f>
        <v>MediCore</v>
      </c>
      <c r="E4827" s="122">
        <f>IFERROR(__xludf.DUMMYFUNCTION("""COMPUTED_VALUE"""),137.97)</f>
        <v>137.97</v>
      </c>
      <c r="F4827" s="122">
        <f>IFERROR(__xludf.DUMMYFUNCTION("""COMPUTED_VALUE"""),-9.0E-4)</f>
        <v>-0.0009</v>
      </c>
    </row>
    <row r="4828">
      <c r="A4828" s="131">
        <f>IFERROR(__xludf.DUMMYFUNCTION("""COMPUTED_VALUE"""),46187.494791666664)</f>
        <v>46187.49479</v>
      </c>
      <c r="B4828" s="126">
        <f>IFERROR(__xludf.DUMMYFUNCTION("""COMPUTED_VALUE"""),46187.0)</f>
        <v>46187</v>
      </c>
      <c r="C4828" s="122" t="str">
        <f>IFERROR(__xludf.DUMMYFUNCTION("""COMPUTED_VALUE"""),"GYMX")</f>
        <v>GYMX</v>
      </c>
      <c r="D4828" s="122" t="str">
        <f>IFERROR(__xludf.DUMMYFUNCTION("""COMPUTED_VALUE"""),"GymX Fitness")</f>
        <v>GymX Fitness</v>
      </c>
      <c r="E4828" s="122">
        <f>IFERROR(__xludf.DUMMYFUNCTION("""COMPUTED_VALUE"""),87.21)</f>
        <v>87.21</v>
      </c>
      <c r="F4828" s="122">
        <f>IFERROR(__xludf.DUMMYFUNCTION("""COMPUTED_VALUE"""),0.0038)</f>
        <v>0.0038</v>
      </c>
    </row>
    <row r="4829">
      <c r="A4829" s="131">
        <f>IFERROR(__xludf.DUMMYFUNCTION("""COMPUTED_VALUE"""),46187.494791666664)</f>
        <v>46187.49479</v>
      </c>
      <c r="B4829" s="126">
        <f>IFERROR(__xludf.DUMMYFUNCTION("""COMPUTED_VALUE"""),46187.0)</f>
        <v>46187</v>
      </c>
      <c r="C4829" s="122" t="str">
        <f>IFERROR(__xludf.DUMMYFUNCTION("""COMPUTED_VALUE"""),"VITA")</f>
        <v>VITA</v>
      </c>
      <c r="D4829" s="122" t="str">
        <f>IFERROR(__xludf.DUMMYFUNCTION("""COMPUTED_VALUE"""),"VitaPlus")</f>
        <v>VitaPlus</v>
      </c>
      <c r="E4829" s="122">
        <f>IFERROR(__xludf.DUMMYFUNCTION("""COMPUTED_VALUE"""),72.52)</f>
        <v>72.52</v>
      </c>
      <c r="F4829" s="122">
        <f>IFERROR(__xludf.DUMMYFUNCTION("""COMPUTED_VALUE"""),-0.0059)</f>
        <v>-0.0059</v>
      </c>
    </row>
    <row r="4830">
      <c r="A4830" s="131">
        <f>IFERROR(__xludf.DUMMYFUNCTION("""COMPUTED_VALUE"""),46187.494791666664)</f>
        <v>46187.49479</v>
      </c>
      <c r="B4830" s="126">
        <f>IFERROR(__xludf.DUMMYFUNCTION("""COMPUTED_VALUE"""),46187.0)</f>
        <v>46187</v>
      </c>
      <c r="C4830" s="122" t="str">
        <f>IFERROR(__xludf.DUMMYFUNCTION("""COMPUTED_VALUE"""),"CARE")</f>
        <v>CARE</v>
      </c>
      <c r="D4830" s="122" t="str">
        <f>IFERROR(__xludf.DUMMYFUNCTION("""COMPUTED_VALUE"""),"CareCloud")</f>
        <v>CareCloud</v>
      </c>
      <c r="E4830" s="122">
        <f>IFERROR(__xludf.DUMMYFUNCTION("""COMPUTED_VALUE"""),178.65)</f>
        <v>178.65</v>
      </c>
      <c r="F4830" s="122">
        <f>IFERROR(__xludf.DUMMYFUNCTION("""COMPUTED_VALUE"""),0.001)</f>
        <v>0.001</v>
      </c>
    </row>
    <row r="4831">
      <c r="A4831" s="131">
        <f>IFERROR(__xludf.DUMMYFUNCTION("""COMPUTED_VALUE"""),46187.494791666664)</f>
        <v>46187.49479</v>
      </c>
      <c r="B4831" s="126">
        <f>IFERROR(__xludf.DUMMYFUNCTION("""COMPUTED_VALUE"""),46187.0)</f>
        <v>46187</v>
      </c>
      <c r="C4831" s="122" t="str">
        <f>IFERROR(__xludf.DUMMYFUNCTION("""COMPUTED_VALUE"""),"DENT")</f>
        <v>DENT</v>
      </c>
      <c r="D4831" s="122" t="str">
        <f>IFERROR(__xludf.DUMMYFUNCTION("""COMPUTED_VALUE"""),"SmileWorks")</f>
        <v>SmileWorks</v>
      </c>
      <c r="E4831" s="122">
        <f>IFERROR(__xludf.DUMMYFUNCTION("""COMPUTED_VALUE"""),88.1)</f>
        <v>88.1</v>
      </c>
      <c r="F4831" s="122">
        <f>IFERROR(__xludf.DUMMYFUNCTION("""COMPUTED_VALUE"""),0.0046)</f>
        <v>0.0046</v>
      </c>
    </row>
    <row r="4832">
      <c r="A4832" s="131">
        <f>IFERROR(__xludf.DUMMYFUNCTION("""COMPUTED_VALUE"""),46187.494791666664)</f>
        <v>46187.49479</v>
      </c>
      <c r="B4832" s="126">
        <f>IFERROR(__xludf.DUMMYFUNCTION("""COMPUTED_VALUE"""),46187.0)</f>
        <v>46187</v>
      </c>
      <c r="C4832" s="122" t="str">
        <f>IFERROR(__xludf.DUMMYFUNCTION("""COMPUTED_VALUE"""),"EDUX")</f>
        <v>EDUX</v>
      </c>
      <c r="D4832" s="122" t="str">
        <f>IFERROR(__xludf.DUMMYFUNCTION("""COMPUTED_VALUE"""),"EduMax Learning")</f>
        <v>EduMax Learning</v>
      </c>
      <c r="E4832" s="122">
        <f>IFERROR(__xludf.DUMMYFUNCTION("""COMPUTED_VALUE"""),137.16)</f>
        <v>137.16</v>
      </c>
      <c r="F4832" s="122">
        <f>IFERROR(__xludf.DUMMYFUNCTION("""COMPUTED_VALUE"""),-0.0046)</f>
        <v>-0.0046</v>
      </c>
    </row>
    <row r="4833">
      <c r="A4833" s="131">
        <f>IFERROR(__xludf.DUMMYFUNCTION("""COMPUTED_VALUE"""),46187.494791666664)</f>
        <v>46187.49479</v>
      </c>
      <c r="B4833" s="126">
        <f>IFERROR(__xludf.DUMMYFUNCTION("""COMPUTED_VALUE"""),46187.0)</f>
        <v>46187</v>
      </c>
      <c r="C4833" s="122" t="str">
        <f>IFERROR(__xludf.DUMMYFUNCTION("""COMPUTED_VALUE"""),"BOOK")</f>
        <v>BOOK</v>
      </c>
      <c r="D4833" s="122" t="str">
        <f>IFERROR(__xludf.DUMMYFUNCTION("""COMPUTED_VALUE"""),"BookBridge")</f>
        <v>BookBridge</v>
      </c>
      <c r="E4833" s="122">
        <f>IFERROR(__xludf.DUMMYFUNCTION("""COMPUTED_VALUE"""),119.29)</f>
        <v>119.29</v>
      </c>
      <c r="F4833" s="122">
        <f>IFERROR(__xludf.DUMMYFUNCTION("""COMPUTED_VALUE"""),0.0059)</f>
        <v>0.0059</v>
      </c>
    </row>
    <row r="4834">
      <c r="A4834" s="131">
        <f>IFERROR(__xludf.DUMMYFUNCTION("""COMPUTED_VALUE"""),46187.494791666664)</f>
        <v>46187.49479</v>
      </c>
      <c r="B4834" s="126">
        <f>IFERROR(__xludf.DUMMYFUNCTION("""COMPUTED_VALUE"""),46187.0)</f>
        <v>46187</v>
      </c>
      <c r="C4834" s="122" t="str">
        <f>IFERROR(__xludf.DUMMYFUNCTION("""COMPUTED_VALUE"""),"TUTR")</f>
        <v>TUTR</v>
      </c>
      <c r="D4834" s="122" t="str">
        <f>IFERROR(__xludf.DUMMYFUNCTION("""COMPUTED_VALUE"""),"TutorTown")</f>
        <v>TutorTown</v>
      </c>
      <c r="E4834" s="122">
        <f>IFERROR(__xludf.DUMMYFUNCTION("""COMPUTED_VALUE"""),90.74)</f>
        <v>90.74</v>
      </c>
      <c r="F4834" s="122">
        <f>IFERROR(__xludf.DUMMYFUNCTION("""COMPUTED_VALUE"""),-0.0012)</f>
        <v>-0.0012</v>
      </c>
    </row>
    <row r="4835">
      <c r="A4835" s="131">
        <f>IFERROR(__xludf.DUMMYFUNCTION("""COMPUTED_VALUE"""),46187.494791666664)</f>
        <v>46187.49479</v>
      </c>
      <c r="B4835" s="126">
        <f>IFERROR(__xludf.DUMMYFUNCTION("""COMPUTED_VALUE"""),46187.0)</f>
        <v>46187</v>
      </c>
      <c r="C4835" s="122" t="str">
        <f>IFERROR(__xludf.DUMMYFUNCTION("""COMPUTED_VALUE"""),"LANG")</f>
        <v>LANG</v>
      </c>
      <c r="D4835" s="122" t="str">
        <f>IFERROR(__xludf.DUMMYFUNCTION("""COMPUTED_VALUE"""),"LinguaLab")</f>
        <v>LinguaLab</v>
      </c>
      <c r="E4835" s="122">
        <f>IFERROR(__xludf.DUMMYFUNCTION("""COMPUTED_VALUE"""),99.21)</f>
        <v>99.21</v>
      </c>
      <c r="F4835" s="122">
        <f>IFERROR(__xludf.DUMMYFUNCTION("""COMPUTED_VALUE"""),0.0017)</f>
        <v>0.0017</v>
      </c>
    </row>
    <row r="4836">
      <c r="A4836" s="131">
        <f>IFERROR(__xludf.DUMMYFUNCTION("""COMPUTED_VALUE"""),46187.494791666664)</f>
        <v>46187.49479</v>
      </c>
      <c r="B4836" s="126">
        <f>IFERROR(__xludf.DUMMYFUNCTION("""COMPUTED_VALUE"""),46187.0)</f>
        <v>46187</v>
      </c>
      <c r="C4836" s="122" t="str">
        <f>IFERROR(__xludf.DUMMYFUNCTION("""COMPUTED_VALUE"""),"TEST")</f>
        <v>TEST</v>
      </c>
      <c r="D4836" s="122" t="str">
        <f>IFERROR(__xludf.DUMMYFUNCTION("""COMPUTED_VALUE"""),"TestPrep Pro")</f>
        <v>TestPrep Pro</v>
      </c>
      <c r="E4836" s="122">
        <f>IFERROR(__xludf.DUMMYFUNCTION("""COMPUTED_VALUE"""),94.64)</f>
        <v>94.64</v>
      </c>
      <c r="F4836" s="122">
        <f>IFERROR(__xludf.DUMMYFUNCTION("""COMPUTED_VALUE"""),-0.0069)</f>
        <v>-0.0069</v>
      </c>
    </row>
    <row r="4837">
      <c r="A4837" s="131">
        <f>IFERROR(__xludf.DUMMYFUNCTION("""COMPUTED_VALUE"""),46187.494791666664)</f>
        <v>46187.49479</v>
      </c>
      <c r="B4837" s="126">
        <f>IFERROR(__xludf.DUMMYFUNCTION("""COMPUTED_VALUE"""),46187.0)</f>
        <v>46187</v>
      </c>
      <c r="C4837" s="122" t="str">
        <f>IFERROR(__xludf.DUMMYFUNCTION("""COMPUTED_VALUE"""),"MOVI")</f>
        <v>MOVI</v>
      </c>
      <c r="D4837" s="122" t="str">
        <f>IFERROR(__xludf.DUMMYFUNCTION("""COMPUTED_VALUE"""),"MovieBox")</f>
        <v>MovieBox</v>
      </c>
      <c r="E4837" s="122">
        <f>IFERROR(__xludf.DUMMYFUNCTION("""COMPUTED_VALUE"""),81.76)</f>
        <v>81.76</v>
      </c>
      <c r="F4837" s="122">
        <f>IFERROR(__xludf.DUMMYFUNCTION("""COMPUTED_VALUE"""),0.0049)</f>
        <v>0.0049</v>
      </c>
    </row>
    <row r="4838">
      <c r="A4838" s="131">
        <f>IFERROR(__xludf.DUMMYFUNCTION("""COMPUTED_VALUE"""),46187.494791666664)</f>
        <v>46187.49479</v>
      </c>
      <c r="B4838" s="126">
        <f>IFERROR(__xludf.DUMMYFUNCTION("""COMPUTED_VALUE"""),46187.0)</f>
        <v>46187</v>
      </c>
      <c r="C4838" s="122" t="str">
        <f>IFERROR(__xludf.DUMMYFUNCTION("""COMPUTED_VALUE"""),"MUSC")</f>
        <v>MUSC</v>
      </c>
      <c r="D4838" s="122" t="str">
        <f>IFERROR(__xludf.DUMMYFUNCTION("""COMPUTED_VALUE"""),"MusicWave")</f>
        <v>MusicWave</v>
      </c>
      <c r="E4838" s="122">
        <f>IFERROR(__xludf.DUMMYFUNCTION("""COMPUTED_VALUE"""),99.29)</f>
        <v>99.29</v>
      </c>
      <c r="F4838" s="122">
        <f>IFERROR(__xludf.DUMMYFUNCTION("""COMPUTED_VALUE"""),0.0067)</f>
        <v>0.0067</v>
      </c>
    </row>
    <row r="4839">
      <c r="A4839" s="131">
        <f>IFERROR(__xludf.DUMMYFUNCTION("""COMPUTED_VALUE"""),46187.494791666664)</f>
        <v>46187.49479</v>
      </c>
      <c r="B4839" s="126">
        <f>IFERROR(__xludf.DUMMYFUNCTION("""COMPUTED_VALUE"""),46187.0)</f>
        <v>46187</v>
      </c>
      <c r="C4839" s="122" t="str">
        <f>IFERROR(__xludf.DUMMYFUNCTION("""COMPUTED_VALUE"""),"IDOL")</f>
        <v>IDOL</v>
      </c>
      <c r="D4839" s="122" t="str">
        <f>IFERROR(__xludf.DUMMYFUNCTION("""COMPUTED_VALUE"""),"Idol Agency")</f>
        <v>Idol Agency</v>
      </c>
      <c r="E4839" s="122">
        <f>IFERROR(__xludf.DUMMYFUNCTION("""COMPUTED_VALUE"""),191.39)</f>
        <v>191.39</v>
      </c>
      <c r="F4839" s="122">
        <f>IFERROR(__xludf.DUMMYFUNCTION("""COMPUTED_VALUE"""),-0.0062)</f>
        <v>-0.0062</v>
      </c>
    </row>
    <row r="4840">
      <c r="A4840" s="131">
        <f>IFERROR(__xludf.DUMMYFUNCTION("""COMPUTED_VALUE"""),46187.494791666664)</f>
        <v>46187.49479</v>
      </c>
      <c r="B4840" s="126">
        <f>IFERROR(__xludf.DUMMYFUNCTION("""COMPUTED_VALUE"""),46187.0)</f>
        <v>46187</v>
      </c>
      <c r="C4840" s="122" t="str">
        <f>IFERROR(__xludf.DUMMYFUNCTION("""COMPUTED_VALUE"""),"MEME")</f>
        <v>MEME</v>
      </c>
      <c r="D4840" s="122" t="str">
        <f>IFERROR(__xludf.DUMMYFUNCTION("""COMPUTED_VALUE"""),"Meme Media")</f>
        <v>Meme Media</v>
      </c>
      <c r="E4840" s="122">
        <f>IFERROR(__xludf.DUMMYFUNCTION("""COMPUTED_VALUE"""),71.41)</f>
        <v>71.41</v>
      </c>
      <c r="F4840" s="122">
        <f>IFERROR(__xludf.DUMMYFUNCTION("""COMPUTED_VALUE"""),-0.0114)</f>
        <v>-0.0114</v>
      </c>
    </row>
    <row r="4841">
      <c r="A4841" s="131">
        <f>IFERROR(__xludf.DUMMYFUNCTION("""COMPUTED_VALUE"""),46187.494791666664)</f>
        <v>46187.49479</v>
      </c>
      <c r="B4841" s="126">
        <f>IFERROR(__xludf.DUMMYFUNCTION("""COMPUTED_VALUE"""),46187.0)</f>
        <v>46187</v>
      </c>
      <c r="C4841" s="122" t="str">
        <f>IFERROR(__xludf.DUMMYFUNCTION("""COMPUTED_VALUE"""),"STRM")</f>
        <v>STRM</v>
      </c>
      <c r="D4841" s="122" t="str">
        <f>IFERROR(__xludf.DUMMYFUNCTION("""COMPUTED_VALUE"""),"Streamly")</f>
        <v>Streamly</v>
      </c>
      <c r="E4841" s="122">
        <f>IFERROR(__xludf.DUMMYFUNCTION("""COMPUTED_VALUE"""),138.76)</f>
        <v>138.76</v>
      </c>
      <c r="F4841" s="122">
        <f>IFERROR(__xludf.DUMMYFUNCTION("""COMPUTED_VALUE"""),0.0066)</f>
        <v>0.0066</v>
      </c>
    </row>
    <row r="4842">
      <c r="A4842" s="131">
        <f>IFERROR(__xludf.DUMMYFUNCTION("""COMPUTED_VALUE"""),46187.494791666664)</f>
        <v>46187.49479</v>
      </c>
      <c r="B4842" s="126">
        <f>IFERROR(__xludf.DUMMYFUNCTION("""COMPUTED_VALUE"""),46187.0)</f>
        <v>46187</v>
      </c>
      <c r="C4842" s="122" t="str">
        <f>IFERROR(__xludf.DUMMYFUNCTION("""COMPUTED_VALUE"""),"FARM")</f>
        <v>FARM</v>
      </c>
      <c r="D4842" s="122" t="str">
        <f>IFERROR(__xludf.DUMMYFUNCTION("""COMPUTED_VALUE"""),"Future Farms")</f>
        <v>Future Farms</v>
      </c>
      <c r="E4842" s="122">
        <f>IFERROR(__xludf.DUMMYFUNCTION("""COMPUTED_VALUE"""),89.3)</f>
        <v>89.3</v>
      </c>
      <c r="F4842" s="122">
        <f>IFERROR(__xludf.DUMMYFUNCTION("""COMPUTED_VALUE"""),0.0055)</f>
        <v>0.0055</v>
      </c>
    </row>
    <row r="4843">
      <c r="A4843" s="131">
        <f>IFERROR(__xludf.DUMMYFUNCTION("""COMPUTED_VALUE"""),46187.494791666664)</f>
        <v>46187.49479</v>
      </c>
      <c r="B4843" s="126">
        <f>IFERROR(__xludf.DUMMYFUNCTION("""COMPUTED_VALUE"""),46187.0)</f>
        <v>46187</v>
      </c>
      <c r="C4843" s="122" t="str">
        <f>IFERROR(__xludf.DUMMYFUNCTION("""COMPUTED_VALUE"""),"MEAT")</f>
        <v>MEAT</v>
      </c>
      <c r="D4843" s="122" t="str">
        <f>IFERROR(__xludf.DUMMYFUNCTION("""COMPUTED_VALUE"""),"MeatWorks")</f>
        <v>MeatWorks</v>
      </c>
      <c r="E4843" s="122">
        <f>IFERROR(__xludf.DUMMYFUNCTION("""COMPUTED_VALUE"""),103.67)</f>
        <v>103.67</v>
      </c>
      <c r="F4843" s="122">
        <f>IFERROR(__xludf.DUMMYFUNCTION("""COMPUTED_VALUE"""),-0.0052)</f>
        <v>-0.0052</v>
      </c>
    </row>
    <row r="4844">
      <c r="A4844" s="131">
        <f>IFERROR(__xludf.DUMMYFUNCTION("""COMPUTED_VALUE"""),46187.494791666664)</f>
        <v>46187.49479</v>
      </c>
      <c r="B4844" s="126">
        <f>IFERROR(__xludf.DUMMYFUNCTION("""COMPUTED_VALUE"""),46187.0)</f>
        <v>46187</v>
      </c>
      <c r="C4844" s="122" t="str">
        <f>IFERROR(__xludf.DUMMYFUNCTION("""COMPUTED_VALUE"""),"VEGI")</f>
        <v>VEGI</v>
      </c>
      <c r="D4844" s="122" t="str">
        <f>IFERROR(__xludf.DUMMYFUNCTION("""COMPUTED_VALUE"""),"Green Basket")</f>
        <v>Green Basket</v>
      </c>
      <c r="E4844" s="122">
        <f>IFERROR(__xludf.DUMMYFUNCTION("""COMPUTED_VALUE"""),79.74)</f>
        <v>79.74</v>
      </c>
      <c r="F4844" s="122">
        <f>IFERROR(__xludf.DUMMYFUNCTION("""COMPUTED_VALUE"""),-0.0039)</f>
        <v>-0.0039</v>
      </c>
    </row>
    <row r="4845">
      <c r="A4845" s="131">
        <f>IFERROR(__xludf.DUMMYFUNCTION("""COMPUTED_VALUE"""),46187.494791666664)</f>
        <v>46187.49479</v>
      </c>
      <c r="B4845" s="126">
        <f>IFERROR(__xludf.DUMMYFUNCTION("""COMPUTED_VALUE"""),46187.0)</f>
        <v>46187</v>
      </c>
      <c r="C4845" s="122" t="str">
        <f>IFERROR(__xludf.DUMMYFUNCTION("""COMPUTED_VALUE"""),"CAFE")</f>
        <v>CAFE</v>
      </c>
      <c r="D4845" s="122" t="str">
        <f>IFERROR(__xludf.DUMMYFUNCTION("""COMPUTED_VALUE"""),"Cafe Cloud")</f>
        <v>Cafe Cloud</v>
      </c>
      <c r="E4845" s="122">
        <f>IFERROR(__xludf.DUMMYFUNCTION("""COMPUTED_VALUE"""),100.99)</f>
        <v>100.99</v>
      </c>
      <c r="F4845" s="122">
        <f>IFERROR(__xludf.DUMMYFUNCTION("""COMPUTED_VALUE"""),-0.0084)</f>
        <v>-0.0084</v>
      </c>
    </row>
    <row r="4846">
      <c r="A4846" s="131">
        <f>IFERROR(__xludf.DUMMYFUNCTION("""COMPUTED_VALUE"""),46187.494791666664)</f>
        <v>46187.49479</v>
      </c>
      <c r="B4846" s="126">
        <f>IFERROR(__xludf.DUMMYFUNCTION("""COMPUTED_VALUE"""),46187.0)</f>
        <v>46187</v>
      </c>
      <c r="C4846" s="122" t="str">
        <f>IFERROR(__xludf.DUMMYFUNCTION("""COMPUTED_VALUE"""),"BAKE")</f>
        <v>BAKE</v>
      </c>
      <c r="D4846" s="122" t="str">
        <f>IFERROR(__xludf.DUMMYFUNCTION("""COMPUTED_VALUE"""),"BakeHouse")</f>
        <v>BakeHouse</v>
      </c>
      <c r="E4846" s="122">
        <f>IFERROR(__xludf.DUMMYFUNCTION("""COMPUTED_VALUE"""),101.43)</f>
        <v>101.43</v>
      </c>
      <c r="F4846" s="122">
        <f>IFERROR(__xludf.DUMMYFUNCTION("""COMPUTED_VALUE"""),0.002)</f>
        <v>0.002</v>
      </c>
    </row>
    <row r="4847">
      <c r="A4847" s="131">
        <f>IFERROR(__xludf.DUMMYFUNCTION("""COMPUTED_VALUE"""),46187.494791666664)</f>
        <v>46187.49479</v>
      </c>
      <c r="B4847" s="126">
        <f>IFERROR(__xludf.DUMMYFUNCTION("""COMPUTED_VALUE"""),46187.0)</f>
        <v>46187</v>
      </c>
      <c r="C4847" s="122" t="str">
        <f>IFERROR(__xludf.DUMMYFUNCTION("""COMPUTED_VALUE"""),"OILX")</f>
        <v>OILX</v>
      </c>
      <c r="D4847" s="122" t="str">
        <f>IFERROR(__xludf.DUMMYFUNCTION("""COMPUTED_VALUE"""),"OilMax Energy")</f>
        <v>OilMax Energy</v>
      </c>
      <c r="E4847" s="122">
        <f>IFERROR(__xludf.DUMMYFUNCTION("""COMPUTED_VALUE"""),131.3)</f>
        <v>131.3</v>
      </c>
      <c r="F4847" s="122">
        <f>IFERROR(__xludf.DUMMYFUNCTION("""COMPUTED_VALUE"""),-0.0094)</f>
        <v>-0.0094</v>
      </c>
    </row>
    <row r="4848">
      <c r="A4848" s="131">
        <f>IFERROR(__xludf.DUMMYFUNCTION("""COMPUTED_VALUE"""),46187.494791666664)</f>
        <v>46187.49479</v>
      </c>
      <c r="B4848" s="126">
        <f>IFERROR(__xludf.DUMMYFUNCTION("""COMPUTED_VALUE"""),46187.0)</f>
        <v>46187</v>
      </c>
      <c r="C4848" s="122" t="str">
        <f>IFERROR(__xludf.DUMMYFUNCTION("""COMPUTED_VALUE"""),"SOLR")</f>
        <v>SOLR</v>
      </c>
      <c r="D4848" s="122" t="str">
        <f>IFERROR(__xludf.DUMMYFUNCTION("""COMPUTED_VALUE"""),"SolarSpark")</f>
        <v>SolarSpark</v>
      </c>
      <c r="E4848" s="122">
        <f>IFERROR(__xludf.DUMMYFUNCTION("""COMPUTED_VALUE"""),96.49)</f>
        <v>96.49</v>
      </c>
      <c r="F4848" s="122">
        <f>IFERROR(__xludf.DUMMYFUNCTION("""COMPUTED_VALUE"""),0.0081)</f>
        <v>0.0081</v>
      </c>
    </row>
    <row r="4849">
      <c r="A4849" s="131">
        <f>IFERROR(__xludf.DUMMYFUNCTION("""COMPUTED_VALUE"""),46187.494791666664)</f>
        <v>46187.49479</v>
      </c>
      <c r="B4849" s="126">
        <f>IFERROR(__xludf.DUMMYFUNCTION("""COMPUTED_VALUE"""),46187.0)</f>
        <v>46187</v>
      </c>
      <c r="C4849" s="122" t="str">
        <f>IFERROR(__xludf.DUMMYFUNCTION("""COMPUTED_VALUE"""),"BATT")</f>
        <v>BATT</v>
      </c>
      <c r="D4849" s="122" t="str">
        <f>IFERROR(__xludf.DUMMYFUNCTION("""COMPUTED_VALUE"""),"BatteryBox")</f>
        <v>BatteryBox</v>
      </c>
      <c r="E4849" s="122">
        <f>IFERROR(__xludf.DUMMYFUNCTION("""COMPUTED_VALUE"""),120.1)</f>
        <v>120.1</v>
      </c>
      <c r="F4849" s="122">
        <f>IFERROR(__xludf.DUMMYFUNCTION("""COMPUTED_VALUE"""),-0.0091)</f>
        <v>-0.0091</v>
      </c>
    </row>
    <row r="4850">
      <c r="A4850" s="131">
        <f>IFERROR(__xludf.DUMMYFUNCTION("""COMPUTED_VALUE"""),46187.494791666664)</f>
        <v>46187.49479</v>
      </c>
      <c r="B4850" s="126">
        <f>IFERROR(__xludf.DUMMYFUNCTION("""COMPUTED_VALUE"""),46187.0)</f>
        <v>46187</v>
      </c>
      <c r="C4850" s="122" t="str">
        <f>IFERROR(__xludf.DUMMYFUNCTION("""COMPUTED_VALUE"""),"WIND")</f>
        <v>WIND</v>
      </c>
      <c r="D4850" s="122" t="str">
        <f>IFERROR(__xludf.DUMMYFUNCTION("""COMPUTED_VALUE"""),"WindWorks")</f>
        <v>WindWorks</v>
      </c>
      <c r="E4850" s="122">
        <f>IFERROR(__xludf.DUMMYFUNCTION("""COMPUTED_VALUE"""),87.18)</f>
        <v>87.18</v>
      </c>
      <c r="F4850" s="122">
        <f>IFERROR(__xludf.DUMMYFUNCTION("""COMPUTED_VALUE"""),-0.0056)</f>
        <v>-0.0056</v>
      </c>
    </row>
    <row r="4851">
      <c r="A4851" s="131">
        <f>IFERROR(__xludf.DUMMYFUNCTION("""COMPUTED_VALUE"""),46187.494791666664)</f>
        <v>46187.49479</v>
      </c>
      <c r="B4851" s="126">
        <f>IFERROR(__xludf.DUMMYFUNCTION("""COMPUTED_VALUE"""),46187.0)</f>
        <v>46187</v>
      </c>
      <c r="C4851" s="122" t="str">
        <f>IFERROR(__xludf.DUMMYFUNCTION("""COMPUTED_VALUE"""),"GRID")</f>
        <v>GRID</v>
      </c>
      <c r="D4851" s="122" t="str">
        <f>IFERROR(__xludf.DUMMYFUNCTION("""COMPUTED_VALUE"""),"GridPower")</f>
        <v>GridPower</v>
      </c>
      <c r="E4851" s="122">
        <f>IFERROR(__xludf.DUMMYFUNCTION("""COMPUTED_VALUE"""),138.62)</f>
        <v>138.62</v>
      </c>
      <c r="F4851" s="122">
        <f>IFERROR(__xludf.DUMMYFUNCTION("""COMPUTED_VALUE"""),0.0)</f>
        <v>0</v>
      </c>
    </row>
    <row r="4852">
      <c r="A4852" s="131">
        <f>IFERROR(__xludf.DUMMYFUNCTION("""COMPUTED_VALUE"""),46187.494791666664)</f>
        <v>46187.49479</v>
      </c>
      <c r="B4852" s="126">
        <f>IFERROR(__xludf.DUMMYFUNCTION("""COMPUTED_VALUE"""),46187.0)</f>
        <v>46187</v>
      </c>
      <c r="C4852" s="122" t="str">
        <f>IFERROR(__xludf.DUMMYFUNCTION("""COMPUTED_VALUE"""),"HOME")</f>
        <v>HOME</v>
      </c>
      <c r="D4852" s="122" t="str">
        <f>IFERROR(__xludf.DUMMYFUNCTION("""COMPUTED_VALUE"""),"HomeHub")</f>
        <v>HomeHub</v>
      </c>
      <c r="E4852" s="122">
        <f>IFERROR(__xludf.DUMMYFUNCTION("""COMPUTED_VALUE"""),152.14)</f>
        <v>152.14</v>
      </c>
      <c r="F4852" s="122">
        <f>IFERROR(__xludf.DUMMYFUNCTION("""COMPUTED_VALUE"""),-2.0E-4)</f>
        <v>-0.0002</v>
      </c>
    </row>
    <row r="4853">
      <c r="A4853" s="131">
        <f>IFERROR(__xludf.DUMMYFUNCTION("""COMPUTED_VALUE"""),46187.494791666664)</f>
        <v>46187.49479</v>
      </c>
      <c r="B4853" s="126">
        <f>IFERROR(__xludf.DUMMYFUNCTION("""COMPUTED_VALUE"""),46187.0)</f>
        <v>46187</v>
      </c>
      <c r="C4853" s="122" t="str">
        <f>IFERROR(__xludf.DUMMYFUNCTION("""COMPUTED_VALUE"""),"RENT")</f>
        <v>RENT</v>
      </c>
      <c r="D4853" s="122" t="str">
        <f>IFERROR(__xludf.DUMMYFUNCTION("""COMPUTED_VALUE"""),"RentRight")</f>
        <v>RentRight</v>
      </c>
      <c r="E4853" s="122">
        <f>IFERROR(__xludf.DUMMYFUNCTION("""COMPUTED_VALUE"""),92.45)</f>
        <v>92.45</v>
      </c>
      <c r="F4853" s="122">
        <f>IFERROR(__xludf.DUMMYFUNCTION("""COMPUTED_VALUE"""),-0.0057)</f>
        <v>-0.0057</v>
      </c>
    </row>
    <row r="4854">
      <c r="A4854" s="131">
        <f>IFERROR(__xludf.DUMMYFUNCTION("""COMPUTED_VALUE"""),46187.494791666664)</f>
        <v>46187.49479</v>
      </c>
      <c r="B4854" s="126">
        <f>IFERROR(__xludf.DUMMYFUNCTION("""COMPUTED_VALUE"""),46187.0)</f>
        <v>46187</v>
      </c>
      <c r="C4854" s="122" t="str">
        <f>IFERROR(__xludf.DUMMYFUNCTION("""COMPUTED_VALUE"""),"MALL")</f>
        <v>MALL</v>
      </c>
      <c r="D4854" s="122" t="str">
        <f>IFERROR(__xludf.DUMMYFUNCTION("""COMPUTED_VALUE"""),"MegaMall")</f>
        <v>MegaMall</v>
      </c>
      <c r="E4854" s="122">
        <f>IFERROR(__xludf.DUMMYFUNCTION("""COMPUTED_VALUE"""),100.74)</f>
        <v>100.74</v>
      </c>
      <c r="F4854" s="122">
        <f>IFERROR(__xludf.DUMMYFUNCTION("""COMPUTED_VALUE"""),-0.0054)</f>
        <v>-0.0054</v>
      </c>
    </row>
    <row r="4855">
      <c r="A4855" s="131">
        <f>IFERROR(__xludf.DUMMYFUNCTION("""COMPUTED_VALUE"""),46187.494791666664)</f>
        <v>46187.49479</v>
      </c>
      <c r="B4855" s="126">
        <f>IFERROR(__xludf.DUMMYFUNCTION("""COMPUTED_VALUE"""),46187.0)</f>
        <v>46187</v>
      </c>
      <c r="C4855" s="122" t="str">
        <f>IFERROR(__xludf.DUMMYFUNCTION("""COMPUTED_VALUE"""),"HOTL")</f>
        <v>HOTL</v>
      </c>
      <c r="D4855" s="122" t="str">
        <f>IFERROR(__xludf.DUMMYFUNCTION("""COMPUTED_VALUE"""),"HotelHive")</f>
        <v>HotelHive</v>
      </c>
      <c r="E4855" s="122">
        <f>IFERROR(__xludf.DUMMYFUNCTION("""COMPUTED_VALUE"""),127.32)</f>
        <v>127.32</v>
      </c>
      <c r="F4855" s="122">
        <f>IFERROR(__xludf.DUMMYFUNCTION("""COMPUTED_VALUE"""),-0.0074)</f>
        <v>-0.0074</v>
      </c>
    </row>
    <row r="4856">
      <c r="A4856" s="131">
        <f>IFERROR(__xludf.DUMMYFUNCTION("""COMPUTED_VALUE"""),46187.494791666664)</f>
        <v>46187.49479</v>
      </c>
      <c r="B4856" s="126">
        <f>IFERROR(__xludf.DUMMYFUNCTION("""COMPUTED_VALUE"""),46187.0)</f>
        <v>46187</v>
      </c>
      <c r="C4856" s="122" t="str">
        <f>IFERROR(__xludf.DUMMYFUNCTION("""COMPUTED_VALUE"""),"LAND")</f>
        <v>LAND</v>
      </c>
      <c r="D4856" s="122" t="str">
        <f>IFERROR(__xludf.DUMMYFUNCTION("""COMPUTED_VALUE"""),"LandLink")</f>
        <v>LandLink</v>
      </c>
      <c r="E4856" s="122">
        <f>IFERROR(__xludf.DUMMYFUNCTION("""COMPUTED_VALUE"""),183.79)</f>
        <v>183.79</v>
      </c>
      <c r="F4856" s="122">
        <f>IFERROR(__xludf.DUMMYFUNCTION("""COMPUTED_VALUE"""),3.0E-4)</f>
        <v>0.0003</v>
      </c>
    </row>
    <row r="4857">
      <c r="A4857" s="131">
        <f>IFERROR(__xludf.DUMMYFUNCTION("""COMPUTED_VALUE"""),46187.494791666664)</f>
        <v>46187.49479</v>
      </c>
      <c r="B4857" s="126">
        <f>IFERROR(__xludf.DUMMYFUNCTION("""COMPUTED_VALUE"""),46187.0)</f>
        <v>46187</v>
      </c>
      <c r="C4857" s="122" t="str">
        <f>IFERROR(__xludf.DUMMYFUNCTION("""COMPUTED_VALUE"""),"CARS")</f>
        <v>CARS</v>
      </c>
      <c r="D4857" s="122" t="str">
        <f>IFERROR(__xludf.DUMMYFUNCTION("""COMPUTED_VALUE"""),"AutoArena")</f>
        <v>AutoArena</v>
      </c>
      <c r="E4857" s="122">
        <f>IFERROR(__xludf.DUMMYFUNCTION("""COMPUTED_VALUE"""),82.47)</f>
        <v>82.47</v>
      </c>
      <c r="F4857" s="122">
        <f>IFERROR(__xludf.DUMMYFUNCTION("""COMPUTED_VALUE"""),0.0081)</f>
        <v>0.0081</v>
      </c>
    </row>
    <row r="4858">
      <c r="A4858" s="131">
        <f>IFERROR(__xludf.DUMMYFUNCTION("""COMPUTED_VALUE"""),46187.494791666664)</f>
        <v>46187.49479</v>
      </c>
      <c r="B4858" s="126">
        <f>IFERROR(__xludf.DUMMYFUNCTION("""COMPUTED_VALUE"""),46187.0)</f>
        <v>46187</v>
      </c>
      <c r="C4858" s="122" t="str">
        <f>IFERROR(__xludf.DUMMYFUNCTION("""COMPUTED_VALUE"""),"EVGO")</f>
        <v>EVGO</v>
      </c>
      <c r="D4858" s="122" t="str">
        <f>IFERROR(__xludf.DUMMYFUNCTION("""COMPUTED_VALUE"""),"EVGo Motors")</f>
        <v>EVGo Motors</v>
      </c>
      <c r="E4858" s="122">
        <f>IFERROR(__xludf.DUMMYFUNCTION("""COMPUTED_VALUE"""),190.35)</f>
        <v>190.35</v>
      </c>
      <c r="F4858" s="122">
        <f>IFERROR(__xludf.DUMMYFUNCTION("""COMPUTED_VALUE"""),-0.0041)</f>
        <v>-0.0041</v>
      </c>
    </row>
    <row r="4859">
      <c r="A4859" s="131">
        <f>IFERROR(__xludf.DUMMYFUNCTION("""COMPUTED_VALUE"""),46187.494791666664)</f>
        <v>46187.49479</v>
      </c>
      <c r="B4859" s="126">
        <f>IFERROR(__xludf.DUMMYFUNCTION("""COMPUTED_VALUE"""),46187.0)</f>
        <v>46187</v>
      </c>
      <c r="C4859" s="122" t="str">
        <f>IFERROR(__xludf.DUMMYFUNCTION("""COMPUTED_VALUE"""),"TIRE")</f>
        <v>TIRE</v>
      </c>
      <c r="D4859" s="122" t="str">
        <f>IFERROR(__xludf.DUMMYFUNCTION("""COMPUTED_VALUE"""),"TireTown")</f>
        <v>TireTown</v>
      </c>
      <c r="E4859" s="122">
        <f>IFERROR(__xludf.DUMMYFUNCTION("""COMPUTED_VALUE"""),96.28)</f>
        <v>96.28</v>
      </c>
      <c r="F4859" s="122">
        <f>IFERROR(__xludf.DUMMYFUNCTION("""COMPUTED_VALUE"""),0.0014)</f>
        <v>0.0014</v>
      </c>
    </row>
    <row r="4860">
      <c r="A4860" s="131">
        <f>IFERROR(__xludf.DUMMYFUNCTION("""COMPUTED_VALUE"""),46187.494791666664)</f>
        <v>46187.49479</v>
      </c>
      <c r="B4860" s="126">
        <f>IFERROR(__xludf.DUMMYFUNCTION("""COMPUTED_VALUE"""),46187.0)</f>
        <v>46187</v>
      </c>
      <c r="C4860" s="122" t="str">
        <f>IFERROR(__xludf.DUMMYFUNCTION("""COMPUTED_VALUE"""),"BIKE")</f>
        <v>BIKE</v>
      </c>
      <c r="D4860" s="122" t="str">
        <f>IFERROR(__xludf.DUMMYFUNCTION("""COMPUTED_VALUE"""),"BikeBox")</f>
        <v>BikeBox</v>
      </c>
      <c r="E4860" s="122">
        <f>IFERROR(__xludf.DUMMYFUNCTION("""COMPUTED_VALUE"""),53.08)</f>
        <v>53.08</v>
      </c>
      <c r="F4860" s="122">
        <f>IFERROR(__xludf.DUMMYFUNCTION("""COMPUTED_VALUE"""),8.0E-4)</f>
        <v>0.0008</v>
      </c>
    </row>
    <row r="4861">
      <c r="A4861" s="131">
        <f>IFERROR(__xludf.DUMMYFUNCTION("""COMPUTED_VALUE"""),46187.494791666664)</f>
        <v>46187.49479</v>
      </c>
      <c r="B4861" s="126">
        <f>IFERROR(__xludf.DUMMYFUNCTION("""COMPUTED_VALUE"""),46187.0)</f>
        <v>46187</v>
      </c>
      <c r="C4861" s="122" t="str">
        <f>IFERROR(__xludf.DUMMYFUNCTION("""COMPUTED_VALUE"""),"WASH")</f>
        <v>WASH</v>
      </c>
      <c r="D4861" s="122" t="str">
        <f>IFERROR(__xludf.DUMMYFUNCTION("""COMPUTED_VALUE"""),"CarWash Co")</f>
        <v>CarWash Co</v>
      </c>
      <c r="E4861" s="122">
        <f>IFERROR(__xludf.DUMMYFUNCTION("""COMPUTED_VALUE"""),119.13)</f>
        <v>119.13</v>
      </c>
      <c r="F4861" s="122">
        <f>IFERROR(__xludf.DUMMYFUNCTION("""COMPUTED_VALUE"""),0.0016)</f>
        <v>0.0016</v>
      </c>
    </row>
    <row r="4862">
      <c r="A4862" s="131">
        <f>IFERROR(__xludf.DUMMYFUNCTION("""COMPUTED_VALUE"""),46187.494791666664)</f>
        <v>46187.49479</v>
      </c>
      <c r="B4862" s="126">
        <f>IFERROR(__xludf.DUMMYFUNCTION("""COMPUTED_VALUE"""),46187.0)</f>
        <v>46187</v>
      </c>
      <c r="C4862" s="122" t="str">
        <f>IFERROR(__xludf.DUMMYFUNCTION("""COMPUTED_VALUE"""),"GBND")</f>
        <v>GBND</v>
      </c>
      <c r="D4862" s="122" t="str">
        <f>IFERROR(__xludf.DUMMYFUNCTION("""COMPUTED_VALUE"""),"Classroom Government Bond")</f>
        <v>Classroom Government Bond</v>
      </c>
      <c r="E4862" s="122">
        <f>IFERROR(__xludf.DUMMYFUNCTION("""COMPUTED_VALUE"""),100.97)</f>
        <v>100.97</v>
      </c>
      <c r="F4862" s="122">
        <f>IFERROR(__xludf.DUMMYFUNCTION("""COMPUTED_VALUE"""),-1.0E-4)</f>
        <v>-0.0001</v>
      </c>
    </row>
    <row r="4863">
      <c r="A4863" s="131">
        <f>IFERROR(__xludf.DUMMYFUNCTION("""COMPUTED_VALUE"""),46187.494791666664)</f>
        <v>46187.49479</v>
      </c>
      <c r="B4863" s="126">
        <f>IFERROR(__xludf.DUMMYFUNCTION("""COMPUTED_VALUE"""),46187.0)</f>
        <v>46187</v>
      </c>
      <c r="C4863" s="122" t="str">
        <f>IFERROR(__xludf.DUMMYFUNCTION("""COMPUTED_VALUE"""),"SBND")</f>
        <v>SBND</v>
      </c>
      <c r="D4863" s="122" t="str">
        <f>IFERROR(__xludf.DUMMYFUNCTION("""COMPUTED_VALUE"""),"School Savings Bond")</f>
        <v>School Savings Bond</v>
      </c>
      <c r="E4863" s="122">
        <f>IFERROR(__xludf.DUMMYFUNCTION("""COMPUTED_VALUE"""),99.45)</f>
        <v>99.45</v>
      </c>
      <c r="F4863" s="122">
        <f>IFERROR(__xludf.DUMMYFUNCTION("""COMPUTED_VALUE"""),-3.0E-4)</f>
        <v>-0.0003</v>
      </c>
    </row>
    <row r="4864">
      <c r="A4864" s="131">
        <f>IFERROR(__xludf.DUMMYFUNCTION("""COMPUTED_VALUE"""),46187.494791666664)</f>
        <v>46187.49479</v>
      </c>
      <c r="B4864" s="126">
        <f>IFERROR(__xludf.DUMMYFUNCTION("""COMPUTED_VALUE"""),46187.0)</f>
        <v>46187</v>
      </c>
      <c r="C4864" s="122" t="str">
        <f>IFERROR(__xludf.DUMMYFUNCTION("""COMPUTED_VALUE"""),"CBND")</f>
        <v>CBND</v>
      </c>
      <c r="D4864" s="122" t="str">
        <f>IFERROR(__xludf.DUMMYFUNCTION("""COMPUTED_VALUE"""),"Corporate Classroom Bond")</f>
        <v>Corporate Classroom Bond</v>
      </c>
      <c r="E4864" s="122">
        <f>IFERROR(__xludf.DUMMYFUNCTION("""COMPUTED_VALUE"""),97.89)</f>
        <v>97.89</v>
      </c>
      <c r="F4864" s="122">
        <f>IFERROR(__xludf.DUMMYFUNCTION("""COMPUTED_VALUE"""),-2.0E-4)</f>
        <v>-0.0002</v>
      </c>
    </row>
    <row r="4865">
      <c r="A4865" s="131">
        <f>IFERROR(__xludf.DUMMYFUNCTION("""COMPUTED_VALUE"""),46187.494791666664)</f>
        <v>46187.49479</v>
      </c>
      <c r="B4865" s="126">
        <f>IFERROR(__xludf.DUMMYFUNCTION("""COMPUTED_VALUE"""),46187.0)</f>
        <v>46187</v>
      </c>
      <c r="C4865" s="122" t="str">
        <f>IFERROR(__xludf.DUMMYFUNCTION("""COMPUTED_VALUE"""),"TBIL")</f>
        <v>TBIL</v>
      </c>
      <c r="D4865" s="122" t="str">
        <f>IFERROR(__xludf.DUMMYFUNCTION("""COMPUTED_VALUE"""),"Treasury Bill")</f>
        <v>Treasury Bill</v>
      </c>
      <c r="E4865" s="122">
        <f>IFERROR(__xludf.DUMMYFUNCTION("""COMPUTED_VALUE"""),98.11)</f>
        <v>98.11</v>
      </c>
      <c r="F4865" s="122">
        <f>IFERROR(__xludf.DUMMYFUNCTION("""COMPUTED_VALUE"""),-3.0E-4)</f>
        <v>-0.0003</v>
      </c>
    </row>
    <row r="4866">
      <c r="A4866" s="131">
        <f>IFERROR(__xludf.DUMMYFUNCTION("""COMPUTED_VALUE"""),46187.494791666664)</f>
        <v>46187.49479</v>
      </c>
      <c r="B4866" s="126">
        <f>IFERROR(__xludf.DUMMYFUNCTION("""COMPUTED_VALUE"""),46187.0)</f>
        <v>46187</v>
      </c>
      <c r="C4866" s="122" t="str">
        <f>IFERROR(__xludf.DUMMYFUNCTION("""COMPUTED_VALUE"""),"IBND")</f>
        <v>IBND</v>
      </c>
      <c r="D4866" s="122" t="str">
        <f>IFERROR(__xludf.DUMMYFUNCTION("""COMPUTED_VALUE"""),"Inflation Protected Bond")</f>
        <v>Inflation Protected Bond</v>
      </c>
      <c r="E4866" s="122">
        <f>IFERROR(__xludf.DUMMYFUNCTION("""COMPUTED_VALUE"""),100.68)</f>
        <v>100.68</v>
      </c>
      <c r="F4866" s="122">
        <f>IFERROR(__xludf.DUMMYFUNCTION("""COMPUTED_VALUE"""),-5.0E-4)</f>
        <v>-0.0005</v>
      </c>
    </row>
    <row r="4867">
      <c r="A4867" s="131">
        <f>IFERROR(__xludf.DUMMYFUNCTION("""COMPUTED_VALUE"""),46187.49862268518)</f>
        <v>46187.49862</v>
      </c>
      <c r="B4867" s="126">
        <f>IFERROR(__xludf.DUMMYFUNCTION("""COMPUTED_VALUE"""),46187.0)</f>
        <v>46187</v>
      </c>
      <c r="C4867" s="122" t="str">
        <f>IFERROR(__xludf.DUMMYFUNCTION("""COMPUTED_VALUE"""),"SNAX")</f>
        <v>SNAX</v>
      </c>
      <c r="D4867" s="122" t="str">
        <f>IFERROR(__xludf.DUMMYFUNCTION("""COMPUTED_VALUE"""),"MICA Snacks")</f>
        <v>MICA Snacks</v>
      </c>
      <c r="E4867" s="122">
        <f>IFERROR(__xludf.DUMMYFUNCTION("""COMPUTED_VALUE"""),121.51)</f>
        <v>121.51</v>
      </c>
      <c r="F4867" s="122">
        <f>IFERROR(__xludf.DUMMYFUNCTION("""COMPUTED_VALUE"""),0.0065)</f>
        <v>0.0065</v>
      </c>
    </row>
    <row r="4868">
      <c r="A4868" s="131">
        <f>IFERROR(__xludf.DUMMYFUNCTION("""COMPUTED_VALUE"""),46187.49862268518)</f>
        <v>46187.49862</v>
      </c>
      <c r="B4868" s="126">
        <f>IFERROR(__xludf.DUMMYFUNCTION("""COMPUTED_VALUE"""),46187.0)</f>
        <v>46187</v>
      </c>
      <c r="C4868" s="122" t="str">
        <f>IFERROR(__xludf.DUMMYFUNCTION("""COMPUTED_VALUE"""),"RAMN")</f>
        <v>RAMN</v>
      </c>
      <c r="D4868" s="122" t="str">
        <f>IFERROR(__xludf.DUMMYFUNCTION("""COMPUTED_VALUE"""),"Ramen Republic")</f>
        <v>Ramen Republic</v>
      </c>
      <c r="E4868" s="122">
        <f>IFERROR(__xludf.DUMMYFUNCTION("""COMPUTED_VALUE"""),68.96)</f>
        <v>68.96</v>
      </c>
      <c r="F4868" s="122">
        <f>IFERROR(__xludf.DUMMYFUNCTION("""COMPUTED_VALUE"""),-0.0046)</f>
        <v>-0.0046</v>
      </c>
    </row>
    <row r="4869">
      <c r="A4869" s="131">
        <f>IFERROR(__xludf.DUMMYFUNCTION("""COMPUTED_VALUE"""),46187.49862268518)</f>
        <v>46187.49862</v>
      </c>
      <c r="B4869" s="126">
        <f>IFERROR(__xludf.DUMMYFUNCTION("""COMPUTED_VALUE"""),46187.0)</f>
        <v>46187</v>
      </c>
      <c r="C4869" s="122" t="str">
        <f>IFERROR(__xludf.DUMMYFUNCTION("""COMPUTED_VALUE"""),"COLA")</f>
        <v>COLA</v>
      </c>
      <c r="D4869" s="122" t="str">
        <f>IFERROR(__xludf.DUMMYFUNCTION("""COMPUTED_VALUE"""),"K-Pop Cola")</f>
        <v>K-Pop Cola</v>
      </c>
      <c r="E4869" s="122">
        <f>IFERROR(__xludf.DUMMYFUNCTION("""COMPUTED_VALUE"""),113.57)</f>
        <v>113.57</v>
      </c>
      <c r="F4869" s="122">
        <f>IFERROR(__xludf.DUMMYFUNCTION("""COMPUTED_VALUE"""),0.0082)</f>
        <v>0.0082</v>
      </c>
    </row>
    <row r="4870">
      <c r="A4870" s="131">
        <f>IFERROR(__xludf.DUMMYFUNCTION("""COMPUTED_VALUE"""),46187.49862268518)</f>
        <v>46187.49862</v>
      </c>
      <c r="B4870" s="126">
        <f>IFERROR(__xludf.DUMMYFUNCTION("""COMPUTED_VALUE"""),46187.0)</f>
        <v>46187</v>
      </c>
      <c r="C4870" s="122" t="str">
        <f>IFERROR(__xludf.DUMMYFUNCTION("""COMPUTED_VALUE"""),"CHIP")</f>
        <v>CHIP</v>
      </c>
      <c r="D4870" s="122" t="str">
        <f>IFERROR(__xludf.DUMMYFUNCTION("""COMPUTED_VALUE"""),"Chip Empire")</f>
        <v>Chip Empire</v>
      </c>
      <c r="E4870" s="122">
        <f>IFERROR(__xludf.DUMMYFUNCTION("""COMPUTED_VALUE"""),85.97)</f>
        <v>85.97</v>
      </c>
      <c r="F4870" s="122">
        <f>IFERROR(__xludf.DUMMYFUNCTION("""COMPUTED_VALUE"""),-0.0062)</f>
        <v>-0.0062</v>
      </c>
    </row>
    <row r="4871">
      <c r="A4871" s="131">
        <f>IFERROR(__xludf.DUMMYFUNCTION("""COMPUTED_VALUE"""),46187.49862268518)</f>
        <v>46187.49862</v>
      </c>
      <c r="B4871" s="126">
        <f>IFERROR(__xludf.DUMMYFUNCTION("""COMPUTED_VALUE"""),46187.0)</f>
        <v>46187</v>
      </c>
      <c r="C4871" s="122" t="str">
        <f>IFERROR(__xludf.DUMMYFUNCTION("""COMPUTED_VALUE"""),"CAND")</f>
        <v>CAND</v>
      </c>
      <c r="D4871" s="122" t="str">
        <f>IFERROR(__xludf.DUMMYFUNCTION("""COMPUTED_VALUE"""),"Candy Capital")</f>
        <v>Candy Capital</v>
      </c>
      <c r="E4871" s="122">
        <f>IFERROR(__xludf.DUMMYFUNCTION("""COMPUTED_VALUE"""),76.77)</f>
        <v>76.77</v>
      </c>
      <c r="F4871" s="122">
        <f>IFERROR(__xludf.DUMMYFUNCTION("""COMPUTED_VALUE"""),-0.0058)</f>
        <v>-0.0058</v>
      </c>
    </row>
    <row r="4872">
      <c r="A4872" s="131">
        <f>IFERROR(__xludf.DUMMYFUNCTION("""COMPUTED_VALUE"""),46187.49862268518)</f>
        <v>46187.49862</v>
      </c>
      <c r="B4872" s="126">
        <f>IFERROR(__xludf.DUMMYFUNCTION("""COMPUTED_VALUE"""),46187.0)</f>
        <v>46187</v>
      </c>
      <c r="C4872" s="122" t="str">
        <f>IFERROR(__xludf.DUMMYFUNCTION("""COMPUTED_VALUE"""),"TECH")</f>
        <v>TECH</v>
      </c>
      <c r="D4872" s="122" t="str">
        <f>IFERROR(__xludf.DUMMYFUNCTION("""COMPUTED_VALUE"""),"Dragon Tech")</f>
        <v>Dragon Tech</v>
      </c>
      <c r="E4872" s="122">
        <f>IFERROR(__xludf.DUMMYFUNCTION("""COMPUTED_VALUE"""),245.96)</f>
        <v>245.96</v>
      </c>
      <c r="F4872" s="122">
        <f>IFERROR(__xludf.DUMMYFUNCTION("""COMPUTED_VALUE"""),0.0111)</f>
        <v>0.0111</v>
      </c>
    </row>
    <row r="4873">
      <c r="A4873" s="131">
        <f>IFERROR(__xludf.DUMMYFUNCTION("""COMPUTED_VALUE"""),46187.49862268518)</f>
        <v>46187.49862</v>
      </c>
      <c r="B4873" s="126">
        <f>IFERROR(__xludf.DUMMYFUNCTION("""COMPUTED_VALUE"""),46187.0)</f>
        <v>46187</v>
      </c>
      <c r="C4873" s="122" t="str">
        <f>IFERROR(__xludf.DUMMYFUNCTION("""COMPUTED_VALUE"""),"AIBO")</f>
        <v>AIBO</v>
      </c>
      <c r="D4873" s="122" t="str">
        <f>IFERROR(__xludf.DUMMYFUNCTION("""COMPUTED_VALUE"""),"Homework AI")</f>
        <v>Homework AI</v>
      </c>
      <c r="E4873" s="122">
        <f>IFERROR(__xludf.DUMMYFUNCTION("""COMPUTED_VALUE"""),179.91)</f>
        <v>179.91</v>
      </c>
      <c r="F4873" s="122">
        <f>IFERROR(__xludf.DUMMYFUNCTION("""COMPUTED_VALUE"""),-1.0E-4)</f>
        <v>-0.0001</v>
      </c>
    </row>
    <row r="4874">
      <c r="A4874" s="131">
        <f>IFERROR(__xludf.DUMMYFUNCTION("""COMPUTED_VALUE"""),46187.49862268518)</f>
        <v>46187.49862</v>
      </c>
      <c r="B4874" s="126">
        <f>IFERROR(__xludf.DUMMYFUNCTION("""COMPUTED_VALUE"""),46187.0)</f>
        <v>46187</v>
      </c>
      <c r="C4874" s="122" t="str">
        <f>IFERROR(__xludf.DUMMYFUNCTION("""COMPUTED_VALUE"""),"GAME")</f>
        <v>GAME</v>
      </c>
      <c r="D4874" s="122" t="str">
        <f>IFERROR(__xludf.DUMMYFUNCTION("""COMPUTED_VALUE"""),"GameBox Media")</f>
        <v>GameBox Media</v>
      </c>
      <c r="E4874" s="122">
        <f>IFERROR(__xludf.DUMMYFUNCTION("""COMPUTED_VALUE"""),97.41)</f>
        <v>97.41</v>
      </c>
      <c r="F4874" s="122">
        <f>IFERROR(__xludf.DUMMYFUNCTION("""COMPUTED_VALUE"""),0.0067)</f>
        <v>0.0067</v>
      </c>
    </row>
    <row r="4875">
      <c r="A4875" s="131">
        <f>IFERROR(__xludf.DUMMYFUNCTION("""COMPUTED_VALUE"""),46187.49862268518)</f>
        <v>46187.49862</v>
      </c>
      <c r="B4875" s="126">
        <f>IFERROR(__xludf.DUMMYFUNCTION("""COMPUTED_VALUE"""),46187.0)</f>
        <v>46187</v>
      </c>
      <c r="C4875" s="122" t="str">
        <f>IFERROR(__xludf.DUMMYFUNCTION("""COMPUTED_VALUE"""),"VRSE")</f>
        <v>VRSE</v>
      </c>
      <c r="D4875" s="122" t="str">
        <f>IFERROR(__xludf.DUMMYFUNCTION("""COMPUTED_VALUE"""),"VerseVR")</f>
        <v>VerseVR</v>
      </c>
      <c r="E4875" s="122">
        <f>IFERROR(__xludf.DUMMYFUNCTION("""COMPUTED_VALUE"""),154.64)</f>
        <v>154.64</v>
      </c>
      <c r="F4875" s="122">
        <f>IFERROR(__xludf.DUMMYFUNCTION("""COMPUTED_VALUE"""),0.0019)</f>
        <v>0.0019</v>
      </c>
    </row>
    <row r="4876">
      <c r="A4876" s="131">
        <f>IFERROR(__xludf.DUMMYFUNCTION("""COMPUTED_VALUE"""),46187.49862268518)</f>
        <v>46187.49862</v>
      </c>
      <c r="B4876" s="126">
        <f>IFERROR(__xludf.DUMMYFUNCTION("""COMPUTED_VALUE"""),46187.0)</f>
        <v>46187</v>
      </c>
      <c r="C4876" s="122" t="str">
        <f>IFERROR(__xludf.DUMMYFUNCTION("""COMPUTED_VALUE"""),"BYTE")</f>
        <v>BYTE</v>
      </c>
      <c r="D4876" s="122" t="str">
        <f>IFERROR(__xludf.DUMMYFUNCTION("""COMPUTED_VALUE"""),"ByteWorks")</f>
        <v>ByteWorks</v>
      </c>
      <c r="E4876" s="122">
        <f>IFERROR(__xludf.DUMMYFUNCTION("""COMPUTED_VALUE"""),110.32)</f>
        <v>110.32</v>
      </c>
      <c r="F4876" s="122">
        <f>IFERROR(__xludf.DUMMYFUNCTION("""COMPUTED_VALUE"""),0.0014)</f>
        <v>0.0014</v>
      </c>
    </row>
    <row r="4877">
      <c r="A4877" s="131">
        <f>IFERROR(__xludf.DUMMYFUNCTION("""COMPUTED_VALUE"""),46187.49862268518)</f>
        <v>46187.49862</v>
      </c>
      <c r="B4877" s="126">
        <f>IFERROR(__xludf.DUMMYFUNCTION("""COMPUTED_VALUE"""),46187.0)</f>
        <v>46187</v>
      </c>
      <c r="C4877" s="122" t="str">
        <f>IFERROR(__xludf.DUMMYFUNCTION("""COMPUTED_VALUE"""),"BANK")</f>
        <v>BANK</v>
      </c>
      <c r="D4877" s="122" t="str">
        <f>IFERROR(__xludf.DUMMYFUNCTION("""COMPUTED_VALUE"""),"Tiger Bank")</f>
        <v>Tiger Bank</v>
      </c>
      <c r="E4877" s="122">
        <f>IFERROR(__xludf.DUMMYFUNCTION("""COMPUTED_VALUE"""),128.87)</f>
        <v>128.87</v>
      </c>
      <c r="F4877" s="122">
        <f>IFERROR(__xludf.DUMMYFUNCTION("""COMPUTED_VALUE"""),-2.0E-4)</f>
        <v>-0.0002</v>
      </c>
    </row>
    <row r="4878">
      <c r="A4878" s="131">
        <f>IFERROR(__xludf.DUMMYFUNCTION("""COMPUTED_VALUE"""),46187.49862268518)</f>
        <v>46187.49862</v>
      </c>
      <c r="B4878" s="126">
        <f>IFERROR(__xludf.DUMMYFUNCTION("""COMPUTED_VALUE"""),46187.0)</f>
        <v>46187</v>
      </c>
      <c r="C4878" s="122" t="str">
        <f>IFERROR(__xludf.DUMMYFUNCTION("""COMPUTED_VALUE"""),"CRED")</f>
        <v>CRED</v>
      </c>
      <c r="D4878" s="122" t="str">
        <f>IFERROR(__xludf.DUMMYFUNCTION("""COMPUTED_VALUE"""),"Credit Castle")</f>
        <v>Credit Castle</v>
      </c>
      <c r="E4878" s="122">
        <f>IFERROR(__xludf.DUMMYFUNCTION("""COMPUTED_VALUE"""),66.2)</f>
        <v>66.2</v>
      </c>
      <c r="F4878" s="122">
        <f>IFERROR(__xludf.DUMMYFUNCTION("""COMPUTED_VALUE"""),-0.0033)</f>
        <v>-0.0033</v>
      </c>
    </row>
    <row r="4879">
      <c r="A4879" s="131">
        <f>IFERROR(__xludf.DUMMYFUNCTION("""COMPUTED_VALUE"""),46187.49862268518)</f>
        <v>46187.49862</v>
      </c>
      <c r="B4879" s="126">
        <f>IFERROR(__xludf.DUMMYFUNCTION("""COMPUTED_VALUE"""),46187.0)</f>
        <v>46187</v>
      </c>
      <c r="C4879" s="122" t="str">
        <f>IFERROR(__xludf.DUMMYFUNCTION("""COMPUTED_VALUE"""),"BOND")</f>
        <v>BOND</v>
      </c>
      <c r="D4879" s="122" t="str">
        <f>IFERROR(__xludf.DUMMYFUNCTION("""COMPUTED_VALUE"""),"BondBridge")</f>
        <v>BondBridge</v>
      </c>
      <c r="E4879" s="122">
        <f>IFERROR(__xludf.DUMMYFUNCTION("""COMPUTED_VALUE"""),100.29)</f>
        <v>100.29</v>
      </c>
      <c r="F4879" s="122">
        <f>IFERROR(__xludf.DUMMYFUNCTION("""COMPUTED_VALUE"""),-5.0E-4)</f>
        <v>-0.0005</v>
      </c>
    </row>
    <row r="4880">
      <c r="A4880" s="131">
        <f>IFERROR(__xludf.DUMMYFUNCTION("""COMPUTED_VALUE"""),46187.49862268518)</f>
        <v>46187.49862</v>
      </c>
      <c r="B4880" s="126">
        <f>IFERROR(__xludf.DUMMYFUNCTION("""COMPUTED_VALUE"""),46187.0)</f>
        <v>46187</v>
      </c>
      <c r="C4880" s="122" t="str">
        <f>IFERROR(__xludf.DUMMYFUNCTION("""COMPUTED_VALUE"""),"INSR")</f>
        <v>INSR</v>
      </c>
      <c r="D4880" s="122" t="str">
        <f>IFERROR(__xludf.DUMMYFUNCTION("""COMPUTED_VALUE"""),"Shield Insurance")</f>
        <v>Shield Insurance</v>
      </c>
      <c r="E4880" s="122">
        <f>IFERROR(__xludf.DUMMYFUNCTION("""COMPUTED_VALUE"""),160.02)</f>
        <v>160.02</v>
      </c>
      <c r="F4880" s="122">
        <f>IFERROR(__xludf.DUMMYFUNCTION("""COMPUTED_VALUE"""),0.0014)</f>
        <v>0.0014</v>
      </c>
    </row>
    <row r="4881">
      <c r="A4881" s="131">
        <f>IFERROR(__xludf.DUMMYFUNCTION("""COMPUTED_VALUE"""),46187.49862268518)</f>
        <v>46187.49862</v>
      </c>
      <c r="B4881" s="126">
        <f>IFERROR(__xludf.DUMMYFUNCTION("""COMPUTED_VALUE"""),46187.0)</f>
        <v>46187</v>
      </c>
      <c r="C4881" s="122" t="str">
        <f>IFERROR(__xludf.DUMMYFUNCTION("""COMPUTED_VALUE"""),"LOAN")</f>
        <v>LOAN</v>
      </c>
      <c r="D4881" s="122" t="str">
        <f>IFERROR(__xludf.DUMMYFUNCTION("""COMPUTED_VALUE"""),"LoanLab")</f>
        <v>LoanLab</v>
      </c>
      <c r="E4881" s="122">
        <f>IFERROR(__xludf.DUMMYFUNCTION("""COMPUTED_VALUE"""),65.19)</f>
        <v>65.19</v>
      </c>
      <c r="F4881" s="122">
        <f>IFERROR(__xludf.DUMMYFUNCTION("""COMPUTED_VALUE"""),8.0E-4)</f>
        <v>0.0008</v>
      </c>
    </row>
    <row r="4882">
      <c r="A4882" s="131">
        <f>IFERROR(__xludf.DUMMYFUNCTION("""COMPUTED_VALUE"""),46187.49862268518)</f>
        <v>46187.49862</v>
      </c>
      <c r="B4882" s="126">
        <f>IFERROR(__xludf.DUMMYFUNCTION("""COMPUTED_VALUE"""),46187.0)</f>
        <v>46187</v>
      </c>
      <c r="C4882" s="122" t="str">
        <f>IFERROR(__xludf.DUMMYFUNCTION("""COMPUTED_VALUE"""),"LUXE")</f>
        <v>LUXE</v>
      </c>
      <c r="D4882" s="122" t="str">
        <f>IFERROR(__xludf.DUMMYFUNCTION("""COMPUTED_VALUE"""),"Luxury Locker")</f>
        <v>Luxury Locker</v>
      </c>
      <c r="E4882" s="122">
        <f>IFERROR(__xludf.DUMMYFUNCTION("""COMPUTED_VALUE"""),264.04)</f>
        <v>264.04</v>
      </c>
      <c r="F4882" s="122">
        <f>IFERROR(__xludf.DUMMYFUNCTION("""COMPUTED_VALUE"""),-0.0052)</f>
        <v>-0.0052</v>
      </c>
    </row>
    <row r="4883">
      <c r="A4883" s="131">
        <f>IFERROR(__xludf.DUMMYFUNCTION("""COMPUTED_VALUE"""),46187.49862268518)</f>
        <v>46187.49862</v>
      </c>
      <c r="B4883" s="126">
        <f>IFERROR(__xludf.DUMMYFUNCTION("""COMPUTED_VALUE"""),46187.0)</f>
        <v>46187</v>
      </c>
      <c r="C4883" s="122" t="str">
        <f>IFERROR(__xludf.DUMMYFUNCTION("""COMPUTED_VALUE"""),"DRIP")</f>
        <v>DRIP</v>
      </c>
      <c r="D4883" s="122" t="str">
        <f>IFERROR(__xludf.DUMMYFUNCTION("""COMPUTED_VALUE"""),"Drip Streetwear")</f>
        <v>Drip Streetwear</v>
      </c>
      <c r="E4883" s="122">
        <f>IFERROR(__xludf.DUMMYFUNCTION("""COMPUTED_VALUE"""),195.26)</f>
        <v>195.26</v>
      </c>
      <c r="F4883" s="122">
        <f>IFERROR(__xludf.DUMMYFUNCTION("""COMPUTED_VALUE"""),0.0104)</f>
        <v>0.0104</v>
      </c>
    </row>
    <row r="4884">
      <c r="A4884" s="131">
        <f>IFERROR(__xludf.DUMMYFUNCTION("""COMPUTED_VALUE"""),46187.49862268518)</f>
        <v>46187.49862</v>
      </c>
      <c r="B4884" s="126">
        <f>IFERROR(__xludf.DUMMYFUNCTION("""COMPUTED_VALUE"""),46187.0)</f>
        <v>46187</v>
      </c>
      <c r="C4884" s="122" t="str">
        <f>IFERROR(__xludf.DUMMYFUNCTION("""COMPUTED_VALUE"""),"KICK")</f>
        <v>KICK</v>
      </c>
      <c r="D4884" s="122" t="str">
        <f>IFERROR(__xludf.DUMMYFUNCTION("""COMPUTED_VALUE"""),"KickDrop Sneakers")</f>
        <v>KickDrop Sneakers</v>
      </c>
      <c r="E4884" s="122">
        <f>IFERROR(__xludf.DUMMYFUNCTION("""COMPUTED_VALUE"""),171.52)</f>
        <v>171.52</v>
      </c>
      <c r="F4884" s="122">
        <f>IFERROR(__xludf.DUMMYFUNCTION("""COMPUTED_VALUE"""),-0.0094)</f>
        <v>-0.0094</v>
      </c>
    </row>
    <row r="4885">
      <c r="A4885" s="131">
        <f>IFERROR(__xludf.DUMMYFUNCTION("""COMPUTED_VALUE"""),46187.49862268518)</f>
        <v>46187.49862</v>
      </c>
      <c r="B4885" s="126">
        <f>IFERROR(__xludf.DUMMYFUNCTION("""COMPUTED_VALUE"""),46187.0)</f>
        <v>46187</v>
      </c>
      <c r="C4885" s="122" t="str">
        <f>IFERROR(__xludf.DUMMYFUNCTION("""COMPUTED_VALUE"""),"GLAM")</f>
        <v>GLAM</v>
      </c>
      <c r="D4885" s="122" t="str">
        <f>IFERROR(__xludf.DUMMYFUNCTION("""COMPUTED_VALUE"""),"Glow Cosmetics")</f>
        <v>Glow Cosmetics</v>
      </c>
      <c r="E4885" s="122">
        <f>IFERROR(__xludf.DUMMYFUNCTION("""COMPUTED_VALUE"""),104.81)</f>
        <v>104.81</v>
      </c>
      <c r="F4885" s="122">
        <f>IFERROR(__xludf.DUMMYFUNCTION("""COMPUTED_VALUE"""),-0.0038)</f>
        <v>-0.0038</v>
      </c>
    </row>
    <row r="4886">
      <c r="A4886" s="131">
        <f>IFERROR(__xludf.DUMMYFUNCTION("""COMPUTED_VALUE"""),46187.49862268518)</f>
        <v>46187.49862</v>
      </c>
      <c r="B4886" s="126">
        <f>IFERROR(__xludf.DUMMYFUNCTION("""COMPUTED_VALUE"""),46187.0)</f>
        <v>46187</v>
      </c>
      <c r="C4886" s="122" t="str">
        <f>IFERROR(__xludf.DUMMYFUNCTION("""COMPUTED_VALUE"""),"BAGG")</f>
        <v>BAGG</v>
      </c>
      <c r="D4886" s="122" t="str">
        <f>IFERROR(__xludf.DUMMYFUNCTION("""COMPUTED_VALUE"""),"BagVault")</f>
        <v>BagVault</v>
      </c>
      <c r="E4886" s="122">
        <f>IFERROR(__xludf.DUMMYFUNCTION("""COMPUTED_VALUE"""),251.13)</f>
        <v>251.13</v>
      </c>
      <c r="F4886" s="122">
        <f>IFERROR(__xludf.DUMMYFUNCTION("""COMPUTED_VALUE"""),0.005)</f>
        <v>0.005</v>
      </c>
    </row>
    <row r="4887">
      <c r="A4887" s="131">
        <f>IFERROR(__xludf.DUMMYFUNCTION("""COMPUTED_VALUE"""),46187.49862268518)</f>
        <v>46187.49862</v>
      </c>
      <c r="B4887" s="126">
        <f>IFERROR(__xludf.DUMMYFUNCTION("""COMPUTED_VALUE"""),46187.0)</f>
        <v>46187</v>
      </c>
      <c r="C4887" s="122" t="str">
        <f>IFERROR(__xludf.DUMMYFUNCTION("""COMPUTED_VALUE"""),"FAST")</f>
        <v>FAST</v>
      </c>
      <c r="D4887" s="122" t="str">
        <f>IFERROR(__xludf.DUMMYFUNCTION("""COMPUTED_VALUE"""),"Flash Logistics")</f>
        <v>Flash Logistics</v>
      </c>
      <c r="E4887" s="122">
        <f>IFERROR(__xludf.DUMMYFUNCTION("""COMPUTED_VALUE"""),104.63)</f>
        <v>104.63</v>
      </c>
      <c r="F4887" s="122">
        <f>IFERROR(__xludf.DUMMYFUNCTION("""COMPUTED_VALUE"""),5.0E-4)</f>
        <v>0.0005</v>
      </c>
    </row>
    <row r="4888">
      <c r="A4888" s="131">
        <f>IFERROR(__xludf.DUMMYFUNCTION("""COMPUTED_VALUE"""),46187.49862268518)</f>
        <v>46187.49862</v>
      </c>
      <c r="B4888" s="126">
        <f>IFERROR(__xludf.DUMMYFUNCTION("""COMPUTED_VALUE"""),46187.0)</f>
        <v>46187</v>
      </c>
      <c r="C4888" s="122" t="str">
        <f>IFERROR(__xludf.DUMMYFUNCTION("""COMPUTED_VALUE"""),"SHIP")</f>
        <v>SHIP</v>
      </c>
      <c r="D4888" s="122" t="str">
        <f>IFERROR(__xludf.DUMMYFUNCTION("""COMPUTED_VALUE"""),"Seoul Shipping")</f>
        <v>Seoul Shipping</v>
      </c>
      <c r="E4888" s="122">
        <f>IFERROR(__xludf.DUMMYFUNCTION("""COMPUTED_VALUE"""),126.54)</f>
        <v>126.54</v>
      </c>
      <c r="F4888" s="122">
        <f>IFERROR(__xludf.DUMMYFUNCTION("""COMPUTED_VALUE"""),-2.0E-4)</f>
        <v>-0.0002</v>
      </c>
    </row>
    <row r="4889">
      <c r="A4889" s="131">
        <f>IFERROR(__xludf.DUMMYFUNCTION("""COMPUTED_VALUE"""),46187.49862268518)</f>
        <v>46187.49862</v>
      </c>
      <c r="B4889" s="126">
        <f>IFERROR(__xludf.DUMMYFUNCTION("""COMPUTED_VALUE"""),46187.0)</f>
        <v>46187</v>
      </c>
      <c r="C4889" s="122" t="str">
        <f>IFERROR(__xludf.DUMMYFUNCTION("""COMPUTED_VALUE"""),"DRON")</f>
        <v>DRON</v>
      </c>
      <c r="D4889" s="122" t="str">
        <f>IFERROR(__xludf.DUMMYFUNCTION("""COMPUTED_VALUE"""),"DroneDrop")</f>
        <v>DroneDrop</v>
      </c>
      <c r="E4889" s="122">
        <f>IFERROR(__xludf.DUMMYFUNCTION("""COMPUTED_VALUE"""),127.41)</f>
        <v>127.41</v>
      </c>
      <c r="F4889" s="122">
        <f>IFERROR(__xludf.DUMMYFUNCTION("""COMPUTED_VALUE"""),0.0116)</f>
        <v>0.0116</v>
      </c>
    </row>
    <row r="4890">
      <c r="A4890" s="131">
        <f>IFERROR(__xludf.DUMMYFUNCTION("""COMPUTED_VALUE"""),46187.49862268518)</f>
        <v>46187.49862</v>
      </c>
      <c r="B4890" s="126">
        <f>IFERROR(__xludf.DUMMYFUNCTION("""COMPUTED_VALUE"""),46187.0)</f>
        <v>46187</v>
      </c>
      <c r="C4890" s="122" t="str">
        <f>IFERROR(__xludf.DUMMYFUNCTION("""COMPUTED_VALUE"""),"RIDE")</f>
        <v>RIDE</v>
      </c>
      <c r="D4890" s="122" t="str">
        <f>IFERROR(__xludf.DUMMYFUNCTION("""COMPUTED_VALUE"""),"QuickRide")</f>
        <v>QuickRide</v>
      </c>
      <c r="E4890" s="122">
        <f>IFERROR(__xludf.DUMMYFUNCTION("""COMPUTED_VALUE"""),95.93)</f>
        <v>95.93</v>
      </c>
      <c r="F4890" s="122">
        <f>IFERROR(__xludf.DUMMYFUNCTION("""COMPUTED_VALUE"""),7.0E-4)</f>
        <v>0.0007</v>
      </c>
    </row>
    <row r="4891">
      <c r="A4891" s="131">
        <f>IFERROR(__xludf.DUMMYFUNCTION("""COMPUTED_VALUE"""),46187.49862268518)</f>
        <v>46187.49862</v>
      </c>
      <c r="B4891" s="126">
        <f>IFERROR(__xludf.DUMMYFUNCTION("""COMPUTED_VALUE"""),46187.0)</f>
        <v>46187</v>
      </c>
      <c r="C4891" s="122" t="str">
        <f>IFERROR(__xludf.DUMMYFUNCTION("""COMPUTED_VALUE"""),"RAIL")</f>
        <v>RAIL</v>
      </c>
      <c r="D4891" s="122" t="str">
        <f>IFERROR(__xludf.DUMMYFUNCTION("""COMPUTED_VALUE"""),"MetroRail Corp")</f>
        <v>MetroRail Corp</v>
      </c>
      <c r="E4891" s="122">
        <f>IFERROR(__xludf.DUMMYFUNCTION("""COMPUTED_VALUE"""),134.19)</f>
        <v>134.19</v>
      </c>
      <c r="F4891" s="122">
        <f>IFERROR(__xludf.DUMMYFUNCTION("""COMPUTED_VALUE"""),-0.003)</f>
        <v>-0.003</v>
      </c>
    </row>
    <row r="4892">
      <c r="A4892" s="131">
        <f>IFERROR(__xludf.DUMMYFUNCTION("""COMPUTED_VALUE"""),46187.49862268518)</f>
        <v>46187.49862</v>
      </c>
      <c r="B4892" s="126">
        <f>IFERROR(__xludf.DUMMYFUNCTION("""COMPUTED_VALUE"""),46187.0)</f>
        <v>46187</v>
      </c>
      <c r="C4892" s="122" t="str">
        <f>IFERROR(__xludf.DUMMYFUNCTION("""COMPUTED_VALUE"""),"MEDX")</f>
        <v>MEDX</v>
      </c>
      <c r="D4892" s="122" t="str">
        <f>IFERROR(__xludf.DUMMYFUNCTION("""COMPUTED_VALUE"""),"MediCore")</f>
        <v>MediCore</v>
      </c>
      <c r="E4892" s="122">
        <f>IFERROR(__xludf.DUMMYFUNCTION("""COMPUTED_VALUE"""),138.04)</f>
        <v>138.04</v>
      </c>
      <c r="F4892" s="122">
        <f>IFERROR(__xludf.DUMMYFUNCTION("""COMPUTED_VALUE"""),5.0E-4)</f>
        <v>0.0005</v>
      </c>
    </row>
    <row r="4893">
      <c r="A4893" s="131">
        <f>IFERROR(__xludf.DUMMYFUNCTION("""COMPUTED_VALUE"""),46187.49862268518)</f>
        <v>46187.49862</v>
      </c>
      <c r="B4893" s="126">
        <f>IFERROR(__xludf.DUMMYFUNCTION("""COMPUTED_VALUE"""),46187.0)</f>
        <v>46187</v>
      </c>
      <c r="C4893" s="122" t="str">
        <f>IFERROR(__xludf.DUMMYFUNCTION("""COMPUTED_VALUE"""),"GYMX")</f>
        <v>GYMX</v>
      </c>
      <c r="D4893" s="122" t="str">
        <f>IFERROR(__xludf.DUMMYFUNCTION("""COMPUTED_VALUE"""),"GymX Fitness")</f>
        <v>GymX Fitness</v>
      </c>
      <c r="E4893" s="122">
        <f>IFERROR(__xludf.DUMMYFUNCTION("""COMPUTED_VALUE"""),87.1)</f>
        <v>87.1</v>
      </c>
      <c r="F4893" s="122">
        <f>IFERROR(__xludf.DUMMYFUNCTION("""COMPUTED_VALUE"""),-0.0013)</f>
        <v>-0.0013</v>
      </c>
    </row>
    <row r="4894">
      <c r="A4894" s="131">
        <f>IFERROR(__xludf.DUMMYFUNCTION("""COMPUTED_VALUE"""),46187.49862268518)</f>
        <v>46187.49862</v>
      </c>
      <c r="B4894" s="126">
        <f>IFERROR(__xludf.DUMMYFUNCTION("""COMPUTED_VALUE"""),46187.0)</f>
        <v>46187</v>
      </c>
      <c r="C4894" s="122" t="str">
        <f>IFERROR(__xludf.DUMMYFUNCTION("""COMPUTED_VALUE"""),"VITA")</f>
        <v>VITA</v>
      </c>
      <c r="D4894" s="122" t="str">
        <f>IFERROR(__xludf.DUMMYFUNCTION("""COMPUTED_VALUE"""),"VitaPlus")</f>
        <v>VitaPlus</v>
      </c>
      <c r="E4894" s="122">
        <f>IFERROR(__xludf.DUMMYFUNCTION("""COMPUTED_VALUE"""),72.5)</f>
        <v>72.5</v>
      </c>
      <c r="F4894" s="122">
        <f>IFERROR(__xludf.DUMMYFUNCTION("""COMPUTED_VALUE"""),-3.0E-4)</f>
        <v>-0.0003</v>
      </c>
    </row>
    <row r="4895">
      <c r="A4895" s="131">
        <f>IFERROR(__xludf.DUMMYFUNCTION("""COMPUTED_VALUE"""),46187.49862268518)</f>
        <v>46187.49862</v>
      </c>
      <c r="B4895" s="126">
        <f>IFERROR(__xludf.DUMMYFUNCTION("""COMPUTED_VALUE"""),46187.0)</f>
        <v>46187</v>
      </c>
      <c r="C4895" s="122" t="str">
        <f>IFERROR(__xludf.DUMMYFUNCTION("""COMPUTED_VALUE"""),"CARE")</f>
        <v>CARE</v>
      </c>
      <c r="D4895" s="122" t="str">
        <f>IFERROR(__xludf.DUMMYFUNCTION("""COMPUTED_VALUE"""),"CareCloud")</f>
        <v>CareCloud</v>
      </c>
      <c r="E4895" s="122">
        <f>IFERROR(__xludf.DUMMYFUNCTION("""COMPUTED_VALUE"""),178.22)</f>
        <v>178.22</v>
      </c>
      <c r="F4895" s="122">
        <f>IFERROR(__xludf.DUMMYFUNCTION("""COMPUTED_VALUE"""),-0.0024)</f>
        <v>-0.0024</v>
      </c>
    </row>
    <row r="4896">
      <c r="A4896" s="131">
        <f>IFERROR(__xludf.DUMMYFUNCTION("""COMPUTED_VALUE"""),46187.49862268518)</f>
        <v>46187.49862</v>
      </c>
      <c r="B4896" s="126">
        <f>IFERROR(__xludf.DUMMYFUNCTION("""COMPUTED_VALUE"""),46187.0)</f>
        <v>46187</v>
      </c>
      <c r="C4896" s="122" t="str">
        <f>IFERROR(__xludf.DUMMYFUNCTION("""COMPUTED_VALUE"""),"DENT")</f>
        <v>DENT</v>
      </c>
      <c r="D4896" s="122" t="str">
        <f>IFERROR(__xludf.DUMMYFUNCTION("""COMPUTED_VALUE"""),"SmileWorks")</f>
        <v>SmileWorks</v>
      </c>
      <c r="E4896" s="122">
        <f>IFERROR(__xludf.DUMMYFUNCTION("""COMPUTED_VALUE"""),87.91)</f>
        <v>87.91</v>
      </c>
      <c r="F4896" s="122">
        <f>IFERROR(__xludf.DUMMYFUNCTION("""COMPUTED_VALUE"""),-0.0022)</f>
        <v>-0.0022</v>
      </c>
    </row>
    <row r="4897">
      <c r="A4897" s="131">
        <f>IFERROR(__xludf.DUMMYFUNCTION("""COMPUTED_VALUE"""),46187.49862268518)</f>
        <v>46187.49862</v>
      </c>
      <c r="B4897" s="126">
        <f>IFERROR(__xludf.DUMMYFUNCTION("""COMPUTED_VALUE"""),46187.0)</f>
        <v>46187</v>
      </c>
      <c r="C4897" s="122" t="str">
        <f>IFERROR(__xludf.DUMMYFUNCTION("""COMPUTED_VALUE"""),"EDUX")</f>
        <v>EDUX</v>
      </c>
      <c r="D4897" s="122" t="str">
        <f>IFERROR(__xludf.DUMMYFUNCTION("""COMPUTED_VALUE"""),"EduMax Learning")</f>
        <v>EduMax Learning</v>
      </c>
      <c r="E4897" s="122">
        <f>IFERROR(__xludf.DUMMYFUNCTION("""COMPUTED_VALUE"""),138.0)</f>
        <v>138</v>
      </c>
      <c r="F4897" s="122">
        <f>IFERROR(__xludf.DUMMYFUNCTION("""COMPUTED_VALUE"""),0.0061)</f>
        <v>0.0061</v>
      </c>
    </row>
    <row r="4898">
      <c r="A4898" s="131">
        <f>IFERROR(__xludf.DUMMYFUNCTION("""COMPUTED_VALUE"""),46187.49862268518)</f>
        <v>46187.49862</v>
      </c>
      <c r="B4898" s="126">
        <f>IFERROR(__xludf.DUMMYFUNCTION("""COMPUTED_VALUE"""),46187.0)</f>
        <v>46187</v>
      </c>
      <c r="C4898" s="122" t="str">
        <f>IFERROR(__xludf.DUMMYFUNCTION("""COMPUTED_VALUE"""),"BOOK")</f>
        <v>BOOK</v>
      </c>
      <c r="D4898" s="122" t="str">
        <f>IFERROR(__xludf.DUMMYFUNCTION("""COMPUTED_VALUE"""),"BookBridge")</f>
        <v>BookBridge</v>
      </c>
      <c r="E4898" s="122">
        <f>IFERROR(__xludf.DUMMYFUNCTION("""COMPUTED_VALUE"""),119.97)</f>
        <v>119.97</v>
      </c>
      <c r="F4898" s="122">
        <f>IFERROR(__xludf.DUMMYFUNCTION("""COMPUTED_VALUE"""),0.0057)</f>
        <v>0.0057</v>
      </c>
    </row>
    <row r="4899">
      <c r="A4899" s="131">
        <f>IFERROR(__xludf.DUMMYFUNCTION("""COMPUTED_VALUE"""),46187.49862268518)</f>
        <v>46187.49862</v>
      </c>
      <c r="B4899" s="126">
        <f>IFERROR(__xludf.DUMMYFUNCTION("""COMPUTED_VALUE"""),46187.0)</f>
        <v>46187</v>
      </c>
      <c r="C4899" s="122" t="str">
        <f>IFERROR(__xludf.DUMMYFUNCTION("""COMPUTED_VALUE"""),"TUTR")</f>
        <v>TUTR</v>
      </c>
      <c r="D4899" s="122" t="str">
        <f>IFERROR(__xludf.DUMMYFUNCTION("""COMPUTED_VALUE"""),"TutorTown")</f>
        <v>TutorTown</v>
      </c>
      <c r="E4899" s="122">
        <f>IFERROR(__xludf.DUMMYFUNCTION("""COMPUTED_VALUE"""),90.48)</f>
        <v>90.48</v>
      </c>
      <c r="F4899" s="122">
        <f>IFERROR(__xludf.DUMMYFUNCTION("""COMPUTED_VALUE"""),-0.0029)</f>
        <v>-0.0029</v>
      </c>
    </row>
    <row r="4900">
      <c r="A4900" s="131">
        <f>IFERROR(__xludf.DUMMYFUNCTION("""COMPUTED_VALUE"""),46187.49862268518)</f>
        <v>46187.49862</v>
      </c>
      <c r="B4900" s="126">
        <f>IFERROR(__xludf.DUMMYFUNCTION("""COMPUTED_VALUE"""),46187.0)</f>
        <v>46187</v>
      </c>
      <c r="C4900" s="122" t="str">
        <f>IFERROR(__xludf.DUMMYFUNCTION("""COMPUTED_VALUE"""),"LANG")</f>
        <v>LANG</v>
      </c>
      <c r="D4900" s="122" t="str">
        <f>IFERROR(__xludf.DUMMYFUNCTION("""COMPUTED_VALUE"""),"LinguaLab")</f>
        <v>LinguaLab</v>
      </c>
      <c r="E4900" s="122">
        <f>IFERROR(__xludf.DUMMYFUNCTION("""COMPUTED_VALUE"""),99.08)</f>
        <v>99.08</v>
      </c>
      <c r="F4900" s="122">
        <f>IFERROR(__xludf.DUMMYFUNCTION("""COMPUTED_VALUE"""),-0.0013)</f>
        <v>-0.0013</v>
      </c>
    </row>
    <row r="4901">
      <c r="A4901" s="131">
        <f>IFERROR(__xludf.DUMMYFUNCTION("""COMPUTED_VALUE"""),46187.49862268518)</f>
        <v>46187.49862</v>
      </c>
      <c r="B4901" s="126">
        <f>IFERROR(__xludf.DUMMYFUNCTION("""COMPUTED_VALUE"""),46187.0)</f>
        <v>46187</v>
      </c>
      <c r="C4901" s="122" t="str">
        <f>IFERROR(__xludf.DUMMYFUNCTION("""COMPUTED_VALUE"""),"TEST")</f>
        <v>TEST</v>
      </c>
      <c r="D4901" s="122" t="str">
        <f>IFERROR(__xludf.DUMMYFUNCTION("""COMPUTED_VALUE"""),"TestPrep Pro")</f>
        <v>TestPrep Pro</v>
      </c>
      <c r="E4901" s="122">
        <f>IFERROR(__xludf.DUMMYFUNCTION("""COMPUTED_VALUE"""),95.19)</f>
        <v>95.19</v>
      </c>
      <c r="F4901" s="122">
        <f>IFERROR(__xludf.DUMMYFUNCTION("""COMPUTED_VALUE"""),0.0058)</f>
        <v>0.0058</v>
      </c>
    </row>
    <row r="4902">
      <c r="A4902" s="131">
        <f>IFERROR(__xludf.DUMMYFUNCTION("""COMPUTED_VALUE"""),46187.49862268518)</f>
        <v>46187.49862</v>
      </c>
      <c r="B4902" s="126">
        <f>IFERROR(__xludf.DUMMYFUNCTION("""COMPUTED_VALUE"""),46187.0)</f>
        <v>46187</v>
      </c>
      <c r="C4902" s="122" t="str">
        <f>IFERROR(__xludf.DUMMYFUNCTION("""COMPUTED_VALUE"""),"MOVI")</f>
        <v>MOVI</v>
      </c>
      <c r="D4902" s="122" t="str">
        <f>IFERROR(__xludf.DUMMYFUNCTION("""COMPUTED_VALUE"""),"MovieBox")</f>
        <v>MovieBox</v>
      </c>
      <c r="E4902" s="122">
        <f>IFERROR(__xludf.DUMMYFUNCTION("""COMPUTED_VALUE"""),81.88)</f>
        <v>81.88</v>
      </c>
      <c r="F4902" s="122">
        <f>IFERROR(__xludf.DUMMYFUNCTION("""COMPUTED_VALUE"""),0.0015)</f>
        <v>0.0015</v>
      </c>
    </row>
    <row r="4903">
      <c r="A4903" s="131">
        <f>IFERROR(__xludf.DUMMYFUNCTION("""COMPUTED_VALUE"""),46187.49862268518)</f>
        <v>46187.49862</v>
      </c>
      <c r="B4903" s="126">
        <f>IFERROR(__xludf.DUMMYFUNCTION("""COMPUTED_VALUE"""),46187.0)</f>
        <v>46187</v>
      </c>
      <c r="C4903" s="122" t="str">
        <f>IFERROR(__xludf.DUMMYFUNCTION("""COMPUTED_VALUE"""),"MUSC")</f>
        <v>MUSC</v>
      </c>
      <c r="D4903" s="122" t="str">
        <f>IFERROR(__xludf.DUMMYFUNCTION("""COMPUTED_VALUE"""),"MusicWave")</f>
        <v>MusicWave</v>
      </c>
      <c r="E4903" s="122">
        <f>IFERROR(__xludf.DUMMYFUNCTION("""COMPUTED_VALUE"""),98.62)</f>
        <v>98.62</v>
      </c>
      <c r="F4903" s="122">
        <f>IFERROR(__xludf.DUMMYFUNCTION("""COMPUTED_VALUE"""),-0.0067)</f>
        <v>-0.0067</v>
      </c>
    </row>
    <row r="4904">
      <c r="A4904" s="131">
        <f>IFERROR(__xludf.DUMMYFUNCTION("""COMPUTED_VALUE"""),46187.49862268518)</f>
        <v>46187.49862</v>
      </c>
      <c r="B4904" s="126">
        <f>IFERROR(__xludf.DUMMYFUNCTION("""COMPUTED_VALUE"""),46187.0)</f>
        <v>46187</v>
      </c>
      <c r="C4904" s="122" t="str">
        <f>IFERROR(__xludf.DUMMYFUNCTION("""COMPUTED_VALUE"""),"IDOL")</f>
        <v>IDOL</v>
      </c>
      <c r="D4904" s="122" t="str">
        <f>IFERROR(__xludf.DUMMYFUNCTION("""COMPUTED_VALUE"""),"Idol Agency")</f>
        <v>Idol Agency</v>
      </c>
      <c r="E4904" s="122">
        <f>IFERROR(__xludf.DUMMYFUNCTION("""COMPUTED_VALUE"""),188.8)</f>
        <v>188.8</v>
      </c>
      <c r="F4904" s="122">
        <f>IFERROR(__xludf.DUMMYFUNCTION("""COMPUTED_VALUE"""),-0.0135)</f>
        <v>-0.0135</v>
      </c>
    </row>
    <row r="4905">
      <c r="A4905" s="131">
        <f>IFERROR(__xludf.DUMMYFUNCTION("""COMPUTED_VALUE"""),46187.49862268518)</f>
        <v>46187.49862</v>
      </c>
      <c r="B4905" s="126">
        <f>IFERROR(__xludf.DUMMYFUNCTION("""COMPUTED_VALUE"""),46187.0)</f>
        <v>46187</v>
      </c>
      <c r="C4905" s="122" t="str">
        <f>IFERROR(__xludf.DUMMYFUNCTION("""COMPUTED_VALUE"""),"MEME")</f>
        <v>MEME</v>
      </c>
      <c r="D4905" s="122" t="str">
        <f>IFERROR(__xludf.DUMMYFUNCTION("""COMPUTED_VALUE"""),"Meme Media")</f>
        <v>Meme Media</v>
      </c>
      <c r="E4905" s="122">
        <f>IFERROR(__xludf.DUMMYFUNCTION("""COMPUTED_VALUE"""),71.62)</f>
        <v>71.62</v>
      </c>
      <c r="F4905" s="122">
        <f>IFERROR(__xludf.DUMMYFUNCTION("""COMPUTED_VALUE"""),0.0029)</f>
        <v>0.0029</v>
      </c>
    </row>
    <row r="4906">
      <c r="A4906" s="131">
        <f>IFERROR(__xludf.DUMMYFUNCTION("""COMPUTED_VALUE"""),46187.49862268518)</f>
        <v>46187.49862</v>
      </c>
      <c r="B4906" s="126">
        <f>IFERROR(__xludf.DUMMYFUNCTION("""COMPUTED_VALUE"""),46187.0)</f>
        <v>46187</v>
      </c>
      <c r="C4906" s="122" t="str">
        <f>IFERROR(__xludf.DUMMYFUNCTION("""COMPUTED_VALUE"""),"STRM")</f>
        <v>STRM</v>
      </c>
      <c r="D4906" s="122" t="str">
        <f>IFERROR(__xludf.DUMMYFUNCTION("""COMPUTED_VALUE"""),"Streamly")</f>
        <v>Streamly</v>
      </c>
      <c r="E4906" s="122">
        <f>IFERROR(__xludf.DUMMYFUNCTION("""COMPUTED_VALUE"""),138.76)</f>
        <v>138.76</v>
      </c>
      <c r="F4906" s="122">
        <f>IFERROR(__xludf.DUMMYFUNCTION("""COMPUTED_VALUE"""),0.0)</f>
        <v>0</v>
      </c>
    </row>
    <row r="4907">
      <c r="A4907" s="131">
        <f>IFERROR(__xludf.DUMMYFUNCTION("""COMPUTED_VALUE"""),46187.49862268518)</f>
        <v>46187.49862</v>
      </c>
      <c r="B4907" s="126">
        <f>IFERROR(__xludf.DUMMYFUNCTION("""COMPUTED_VALUE"""),46187.0)</f>
        <v>46187</v>
      </c>
      <c r="C4907" s="122" t="str">
        <f>IFERROR(__xludf.DUMMYFUNCTION("""COMPUTED_VALUE"""),"FARM")</f>
        <v>FARM</v>
      </c>
      <c r="D4907" s="122" t="str">
        <f>IFERROR(__xludf.DUMMYFUNCTION("""COMPUTED_VALUE"""),"Future Farms")</f>
        <v>Future Farms</v>
      </c>
      <c r="E4907" s="122">
        <f>IFERROR(__xludf.DUMMYFUNCTION("""COMPUTED_VALUE"""),89.51)</f>
        <v>89.51</v>
      </c>
      <c r="F4907" s="122">
        <f>IFERROR(__xludf.DUMMYFUNCTION("""COMPUTED_VALUE"""),0.0024)</f>
        <v>0.0024</v>
      </c>
    </row>
    <row r="4908">
      <c r="A4908" s="131">
        <f>IFERROR(__xludf.DUMMYFUNCTION("""COMPUTED_VALUE"""),46187.49862268518)</f>
        <v>46187.49862</v>
      </c>
      <c r="B4908" s="126">
        <f>IFERROR(__xludf.DUMMYFUNCTION("""COMPUTED_VALUE"""),46187.0)</f>
        <v>46187</v>
      </c>
      <c r="C4908" s="122" t="str">
        <f>IFERROR(__xludf.DUMMYFUNCTION("""COMPUTED_VALUE"""),"MEAT")</f>
        <v>MEAT</v>
      </c>
      <c r="D4908" s="122" t="str">
        <f>IFERROR(__xludf.DUMMYFUNCTION("""COMPUTED_VALUE"""),"MeatWorks")</f>
        <v>MeatWorks</v>
      </c>
      <c r="E4908" s="122">
        <f>IFERROR(__xludf.DUMMYFUNCTION("""COMPUTED_VALUE"""),104.14)</f>
        <v>104.14</v>
      </c>
      <c r="F4908" s="122">
        <f>IFERROR(__xludf.DUMMYFUNCTION("""COMPUTED_VALUE"""),0.0045)</f>
        <v>0.0045</v>
      </c>
    </row>
    <row r="4909">
      <c r="A4909" s="131">
        <f>IFERROR(__xludf.DUMMYFUNCTION("""COMPUTED_VALUE"""),46187.49862268518)</f>
        <v>46187.49862</v>
      </c>
      <c r="B4909" s="126">
        <f>IFERROR(__xludf.DUMMYFUNCTION("""COMPUTED_VALUE"""),46187.0)</f>
        <v>46187</v>
      </c>
      <c r="C4909" s="122" t="str">
        <f>IFERROR(__xludf.DUMMYFUNCTION("""COMPUTED_VALUE"""),"VEGI")</f>
        <v>VEGI</v>
      </c>
      <c r="D4909" s="122" t="str">
        <f>IFERROR(__xludf.DUMMYFUNCTION("""COMPUTED_VALUE"""),"Green Basket")</f>
        <v>Green Basket</v>
      </c>
      <c r="E4909" s="122">
        <f>IFERROR(__xludf.DUMMYFUNCTION("""COMPUTED_VALUE"""),79.73)</f>
        <v>79.73</v>
      </c>
      <c r="F4909" s="122">
        <f>IFERROR(__xludf.DUMMYFUNCTION("""COMPUTED_VALUE"""),-1.0E-4)</f>
        <v>-0.0001</v>
      </c>
    </row>
    <row r="4910">
      <c r="A4910" s="131">
        <f>IFERROR(__xludf.DUMMYFUNCTION("""COMPUTED_VALUE"""),46187.49862268518)</f>
        <v>46187.49862</v>
      </c>
      <c r="B4910" s="126">
        <f>IFERROR(__xludf.DUMMYFUNCTION("""COMPUTED_VALUE"""),46187.0)</f>
        <v>46187</v>
      </c>
      <c r="C4910" s="122" t="str">
        <f>IFERROR(__xludf.DUMMYFUNCTION("""COMPUTED_VALUE"""),"CAFE")</f>
        <v>CAFE</v>
      </c>
      <c r="D4910" s="122" t="str">
        <f>IFERROR(__xludf.DUMMYFUNCTION("""COMPUTED_VALUE"""),"Cafe Cloud")</f>
        <v>Cafe Cloud</v>
      </c>
      <c r="E4910" s="122">
        <f>IFERROR(__xludf.DUMMYFUNCTION("""COMPUTED_VALUE"""),100.21)</f>
        <v>100.21</v>
      </c>
      <c r="F4910" s="122">
        <f>IFERROR(__xludf.DUMMYFUNCTION("""COMPUTED_VALUE"""),-0.0077)</f>
        <v>-0.0077</v>
      </c>
    </row>
    <row r="4911">
      <c r="A4911" s="131">
        <f>IFERROR(__xludf.DUMMYFUNCTION("""COMPUTED_VALUE"""),46187.49862268518)</f>
        <v>46187.49862</v>
      </c>
      <c r="B4911" s="126">
        <f>IFERROR(__xludf.DUMMYFUNCTION("""COMPUTED_VALUE"""),46187.0)</f>
        <v>46187</v>
      </c>
      <c r="C4911" s="122" t="str">
        <f>IFERROR(__xludf.DUMMYFUNCTION("""COMPUTED_VALUE"""),"BAKE")</f>
        <v>BAKE</v>
      </c>
      <c r="D4911" s="122" t="str">
        <f>IFERROR(__xludf.DUMMYFUNCTION("""COMPUTED_VALUE"""),"BakeHouse")</f>
        <v>BakeHouse</v>
      </c>
      <c r="E4911" s="122">
        <f>IFERROR(__xludf.DUMMYFUNCTION("""COMPUTED_VALUE"""),101.68)</f>
        <v>101.68</v>
      </c>
      <c r="F4911" s="122">
        <f>IFERROR(__xludf.DUMMYFUNCTION("""COMPUTED_VALUE"""),0.0025)</f>
        <v>0.0025</v>
      </c>
    </row>
    <row r="4912">
      <c r="A4912" s="131">
        <f>IFERROR(__xludf.DUMMYFUNCTION("""COMPUTED_VALUE"""),46187.49862268518)</f>
        <v>46187.49862</v>
      </c>
      <c r="B4912" s="126">
        <f>IFERROR(__xludf.DUMMYFUNCTION("""COMPUTED_VALUE"""),46187.0)</f>
        <v>46187</v>
      </c>
      <c r="C4912" s="122" t="str">
        <f>IFERROR(__xludf.DUMMYFUNCTION("""COMPUTED_VALUE"""),"OILX")</f>
        <v>OILX</v>
      </c>
      <c r="D4912" s="122" t="str">
        <f>IFERROR(__xludf.DUMMYFUNCTION("""COMPUTED_VALUE"""),"OilMax Energy")</f>
        <v>OilMax Energy</v>
      </c>
      <c r="E4912" s="122">
        <f>IFERROR(__xludf.DUMMYFUNCTION("""COMPUTED_VALUE"""),129.95)</f>
        <v>129.95</v>
      </c>
      <c r="F4912" s="122">
        <f>IFERROR(__xludf.DUMMYFUNCTION("""COMPUTED_VALUE"""),-0.0103)</f>
        <v>-0.0103</v>
      </c>
    </row>
    <row r="4913">
      <c r="A4913" s="131">
        <f>IFERROR(__xludf.DUMMYFUNCTION("""COMPUTED_VALUE"""),46187.49862268518)</f>
        <v>46187.49862</v>
      </c>
      <c r="B4913" s="126">
        <f>IFERROR(__xludf.DUMMYFUNCTION("""COMPUTED_VALUE"""),46187.0)</f>
        <v>46187</v>
      </c>
      <c r="C4913" s="122" t="str">
        <f>IFERROR(__xludf.DUMMYFUNCTION("""COMPUTED_VALUE"""),"SOLR")</f>
        <v>SOLR</v>
      </c>
      <c r="D4913" s="122" t="str">
        <f>IFERROR(__xludf.DUMMYFUNCTION("""COMPUTED_VALUE"""),"SolarSpark")</f>
        <v>SolarSpark</v>
      </c>
      <c r="E4913" s="122">
        <f>IFERROR(__xludf.DUMMYFUNCTION("""COMPUTED_VALUE"""),96.58)</f>
        <v>96.58</v>
      </c>
      <c r="F4913" s="122">
        <f>IFERROR(__xludf.DUMMYFUNCTION("""COMPUTED_VALUE"""),9.0E-4)</f>
        <v>0.0009</v>
      </c>
    </row>
    <row r="4914">
      <c r="A4914" s="131">
        <f>IFERROR(__xludf.DUMMYFUNCTION("""COMPUTED_VALUE"""),46187.49862268518)</f>
        <v>46187.49862</v>
      </c>
      <c r="B4914" s="126">
        <f>IFERROR(__xludf.DUMMYFUNCTION("""COMPUTED_VALUE"""),46187.0)</f>
        <v>46187</v>
      </c>
      <c r="C4914" s="122" t="str">
        <f>IFERROR(__xludf.DUMMYFUNCTION("""COMPUTED_VALUE"""),"BATT")</f>
        <v>BATT</v>
      </c>
      <c r="D4914" s="122" t="str">
        <f>IFERROR(__xludf.DUMMYFUNCTION("""COMPUTED_VALUE"""),"BatteryBox")</f>
        <v>BatteryBox</v>
      </c>
      <c r="E4914" s="122">
        <f>IFERROR(__xludf.DUMMYFUNCTION("""COMPUTED_VALUE"""),121.17)</f>
        <v>121.17</v>
      </c>
      <c r="F4914" s="122">
        <f>IFERROR(__xludf.DUMMYFUNCTION("""COMPUTED_VALUE"""),0.0089)</f>
        <v>0.0089</v>
      </c>
    </row>
    <row r="4915">
      <c r="A4915" s="131">
        <f>IFERROR(__xludf.DUMMYFUNCTION("""COMPUTED_VALUE"""),46187.49862268518)</f>
        <v>46187.49862</v>
      </c>
      <c r="B4915" s="126">
        <f>IFERROR(__xludf.DUMMYFUNCTION("""COMPUTED_VALUE"""),46187.0)</f>
        <v>46187</v>
      </c>
      <c r="C4915" s="122" t="str">
        <f>IFERROR(__xludf.DUMMYFUNCTION("""COMPUTED_VALUE"""),"WIND")</f>
        <v>WIND</v>
      </c>
      <c r="D4915" s="122" t="str">
        <f>IFERROR(__xludf.DUMMYFUNCTION("""COMPUTED_VALUE"""),"WindWorks")</f>
        <v>WindWorks</v>
      </c>
      <c r="E4915" s="122">
        <f>IFERROR(__xludf.DUMMYFUNCTION("""COMPUTED_VALUE"""),87.55)</f>
        <v>87.55</v>
      </c>
      <c r="F4915" s="122">
        <f>IFERROR(__xludf.DUMMYFUNCTION("""COMPUTED_VALUE"""),0.0042)</f>
        <v>0.0042</v>
      </c>
    </row>
    <row r="4916">
      <c r="A4916" s="131">
        <f>IFERROR(__xludf.DUMMYFUNCTION("""COMPUTED_VALUE"""),46187.49862268518)</f>
        <v>46187.49862</v>
      </c>
      <c r="B4916" s="126">
        <f>IFERROR(__xludf.DUMMYFUNCTION("""COMPUTED_VALUE"""),46187.0)</f>
        <v>46187</v>
      </c>
      <c r="C4916" s="122" t="str">
        <f>IFERROR(__xludf.DUMMYFUNCTION("""COMPUTED_VALUE"""),"GRID")</f>
        <v>GRID</v>
      </c>
      <c r="D4916" s="122" t="str">
        <f>IFERROR(__xludf.DUMMYFUNCTION("""COMPUTED_VALUE"""),"GridPower")</f>
        <v>GridPower</v>
      </c>
      <c r="E4916" s="122">
        <f>IFERROR(__xludf.DUMMYFUNCTION("""COMPUTED_VALUE"""),137.63)</f>
        <v>137.63</v>
      </c>
      <c r="F4916" s="122">
        <f>IFERROR(__xludf.DUMMYFUNCTION("""COMPUTED_VALUE"""),-0.0071)</f>
        <v>-0.0071</v>
      </c>
    </row>
    <row r="4917">
      <c r="A4917" s="131">
        <f>IFERROR(__xludf.DUMMYFUNCTION("""COMPUTED_VALUE"""),46187.49862268518)</f>
        <v>46187.49862</v>
      </c>
      <c r="B4917" s="126">
        <f>IFERROR(__xludf.DUMMYFUNCTION("""COMPUTED_VALUE"""),46187.0)</f>
        <v>46187</v>
      </c>
      <c r="C4917" s="122" t="str">
        <f>IFERROR(__xludf.DUMMYFUNCTION("""COMPUTED_VALUE"""),"HOME")</f>
        <v>HOME</v>
      </c>
      <c r="D4917" s="122" t="str">
        <f>IFERROR(__xludf.DUMMYFUNCTION("""COMPUTED_VALUE"""),"HomeHub")</f>
        <v>HomeHub</v>
      </c>
      <c r="E4917" s="122">
        <f>IFERROR(__xludf.DUMMYFUNCTION("""COMPUTED_VALUE"""),152.04)</f>
        <v>152.04</v>
      </c>
      <c r="F4917" s="122">
        <f>IFERROR(__xludf.DUMMYFUNCTION("""COMPUTED_VALUE"""),-7.0E-4)</f>
        <v>-0.0007</v>
      </c>
    </row>
    <row r="4918">
      <c r="A4918" s="131">
        <f>IFERROR(__xludf.DUMMYFUNCTION("""COMPUTED_VALUE"""),46187.49862268518)</f>
        <v>46187.49862</v>
      </c>
      <c r="B4918" s="126">
        <f>IFERROR(__xludf.DUMMYFUNCTION("""COMPUTED_VALUE"""),46187.0)</f>
        <v>46187</v>
      </c>
      <c r="C4918" s="122" t="str">
        <f>IFERROR(__xludf.DUMMYFUNCTION("""COMPUTED_VALUE"""),"RENT")</f>
        <v>RENT</v>
      </c>
      <c r="D4918" s="122" t="str">
        <f>IFERROR(__xludf.DUMMYFUNCTION("""COMPUTED_VALUE"""),"RentRight")</f>
        <v>RentRight</v>
      </c>
      <c r="E4918" s="122">
        <f>IFERROR(__xludf.DUMMYFUNCTION("""COMPUTED_VALUE"""),92.14)</f>
        <v>92.14</v>
      </c>
      <c r="F4918" s="122">
        <f>IFERROR(__xludf.DUMMYFUNCTION("""COMPUTED_VALUE"""),-0.0034)</f>
        <v>-0.0034</v>
      </c>
    </row>
    <row r="4919">
      <c r="A4919" s="131">
        <f>IFERROR(__xludf.DUMMYFUNCTION("""COMPUTED_VALUE"""),46187.49862268518)</f>
        <v>46187.49862</v>
      </c>
      <c r="B4919" s="126">
        <f>IFERROR(__xludf.DUMMYFUNCTION("""COMPUTED_VALUE"""),46187.0)</f>
        <v>46187</v>
      </c>
      <c r="C4919" s="122" t="str">
        <f>IFERROR(__xludf.DUMMYFUNCTION("""COMPUTED_VALUE"""),"MALL")</f>
        <v>MALL</v>
      </c>
      <c r="D4919" s="122" t="str">
        <f>IFERROR(__xludf.DUMMYFUNCTION("""COMPUTED_VALUE"""),"MegaMall")</f>
        <v>MegaMall</v>
      </c>
      <c r="E4919" s="122">
        <f>IFERROR(__xludf.DUMMYFUNCTION("""COMPUTED_VALUE"""),100.19)</f>
        <v>100.19</v>
      </c>
      <c r="F4919" s="122">
        <f>IFERROR(__xludf.DUMMYFUNCTION("""COMPUTED_VALUE"""),-0.0055)</f>
        <v>-0.0055</v>
      </c>
    </row>
    <row r="4920">
      <c r="A4920" s="131">
        <f>IFERROR(__xludf.DUMMYFUNCTION("""COMPUTED_VALUE"""),46187.49862268518)</f>
        <v>46187.49862</v>
      </c>
      <c r="B4920" s="126">
        <f>IFERROR(__xludf.DUMMYFUNCTION("""COMPUTED_VALUE"""),46187.0)</f>
        <v>46187</v>
      </c>
      <c r="C4920" s="122" t="str">
        <f>IFERROR(__xludf.DUMMYFUNCTION("""COMPUTED_VALUE"""),"HOTL")</f>
        <v>HOTL</v>
      </c>
      <c r="D4920" s="122" t="str">
        <f>IFERROR(__xludf.DUMMYFUNCTION("""COMPUTED_VALUE"""),"HotelHive")</f>
        <v>HotelHive</v>
      </c>
      <c r="E4920" s="122">
        <f>IFERROR(__xludf.DUMMYFUNCTION("""COMPUTED_VALUE"""),126.4)</f>
        <v>126.4</v>
      </c>
      <c r="F4920" s="122">
        <f>IFERROR(__xludf.DUMMYFUNCTION("""COMPUTED_VALUE"""),-0.0072)</f>
        <v>-0.0072</v>
      </c>
    </row>
    <row r="4921">
      <c r="A4921" s="131">
        <f>IFERROR(__xludf.DUMMYFUNCTION("""COMPUTED_VALUE"""),46187.49862268518)</f>
        <v>46187.49862</v>
      </c>
      <c r="B4921" s="126">
        <f>IFERROR(__xludf.DUMMYFUNCTION("""COMPUTED_VALUE"""),46187.0)</f>
        <v>46187</v>
      </c>
      <c r="C4921" s="122" t="str">
        <f>IFERROR(__xludf.DUMMYFUNCTION("""COMPUTED_VALUE"""),"LAND")</f>
        <v>LAND</v>
      </c>
      <c r="D4921" s="122" t="str">
        <f>IFERROR(__xludf.DUMMYFUNCTION("""COMPUTED_VALUE"""),"LandLink")</f>
        <v>LandLink</v>
      </c>
      <c r="E4921" s="122">
        <f>IFERROR(__xludf.DUMMYFUNCTION("""COMPUTED_VALUE"""),183.69)</f>
        <v>183.69</v>
      </c>
      <c r="F4921" s="122">
        <f>IFERROR(__xludf.DUMMYFUNCTION("""COMPUTED_VALUE"""),-5.0E-4)</f>
        <v>-0.0005</v>
      </c>
    </row>
    <row r="4922">
      <c r="A4922" s="131">
        <f>IFERROR(__xludf.DUMMYFUNCTION("""COMPUTED_VALUE"""),46187.49862268518)</f>
        <v>46187.49862</v>
      </c>
      <c r="B4922" s="126">
        <f>IFERROR(__xludf.DUMMYFUNCTION("""COMPUTED_VALUE"""),46187.0)</f>
        <v>46187</v>
      </c>
      <c r="C4922" s="122" t="str">
        <f>IFERROR(__xludf.DUMMYFUNCTION("""COMPUTED_VALUE"""),"CARS")</f>
        <v>CARS</v>
      </c>
      <c r="D4922" s="122" t="str">
        <f>IFERROR(__xludf.DUMMYFUNCTION("""COMPUTED_VALUE"""),"AutoArena")</f>
        <v>AutoArena</v>
      </c>
      <c r="E4922" s="122">
        <f>IFERROR(__xludf.DUMMYFUNCTION("""COMPUTED_VALUE"""),82.97)</f>
        <v>82.97</v>
      </c>
      <c r="F4922" s="122">
        <f>IFERROR(__xludf.DUMMYFUNCTION("""COMPUTED_VALUE"""),0.0061)</f>
        <v>0.0061</v>
      </c>
    </row>
    <row r="4923">
      <c r="A4923" s="131">
        <f>IFERROR(__xludf.DUMMYFUNCTION("""COMPUTED_VALUE"""),46187.49862268518)</f>
        <v>46187.49862</v>
      </c>
      <c r="B4923" s="126">
        <f>IFERROR(__xludf.DUMMYFUNCTION("""COMPUTED_VALUE"""),46187.0)</f>
        <v>46187</v>
      </c>
      <c r="C4923" s="122" t="str">
        <f>IFERROR(__xludf.DUMMYFUNCTION("""COMPUTED_VALUE"""),"EVGO")</f>
        <v>EVGO</v>
      </c>
      <c r="D4923" s="122" t="str">
        <f>IFERROR(__xludf.DUMMYFUNCTION("""COMPUTED_VALUE"""),"EVGo Motors")</f>
        <v>EVGo Motors</v>
      </c>
      <c r="E4923" s="122">
        <f>IFERROR(__xludf.DUMMYFUNCTION("""COMPUTED_VALUE"""),188.49)</f>
        <v>188.49</v>
      </c>
      <c r="F4923" s="122">
        <f>IFERROR(__xludf.DUMMYFUNCTION("""COMPUTED_VALUE"""),-0.0098)</f>
        <v>-0.0098</v>
      </c>
    </row>
    <row r="4924">
      <c r="A4924" s="131">
        <f>IFERROR(__xludf.DUMMYFUNCTION("""COMPUTED_VALUE"""),46187.49862268518)</f>
        <v>46187.49862</v>
      </c>
      <c r="B4924" s="126">
        <f>IFERROR(__xludf.DUMMYFUNCTION("""COMPUTED_VALUE"""),46187.0)</f>
        <v>46187</v>
      </c>
      <c r="C4924" s="122" t="str">
        <f>IFERROR(__xludf.DUMMYFUNCTION("""COMPUTED_VALUE"""),"TIRE")</f>
        <v>TIRE</v>
      </c>
      <c r="D4924" s="122" t="str">
        <f>IFERROR(__xludf.DUMMYFUNCTION("""COMPUTED_VALUE"""),"TireTown")</f>
        <v>TireTown</v>
      </c>
      <c r="E4924" s="122">
        <f>IFERROR(__xludf.DUMMYFUNCTION("""COMPUTED_VALUE"""),96.02)</f>
        <v>96.02</v>
      </c>
      <c r="F4924" s="122">
        <f>IFERROR(__xludf.DUMMYFUNCTION("""COMPUTED_VALUE"""),-0.0027)</f>
        <v>-0.0027</v>
      </c>
    </row>
    <row r="4925">
      <c r="A4925" s="131">
        <f>IFERROR(__xludf.DUMMYFUNCTION("""COMPUTED_VALUE"""),46187.49862268518)</f>
        <v>46187.49862</v>
      </c>
      <c r="B4925" s="126">
        <f>IFERROR(__xludf.DUMMYFUNCTION("""COMPUTED_VALUE"""),46187.0)</f>
        <v>46187</v>
      </c>
      <c r="C4925" s="122" t="str">
        <f>IFERROR(__xludf.DUMMYFUNCTION("""COMPUTED_VALUE"""),"BIKE")</f>
        <v>BIKE</v>
      </c>
      <c r="D4925" s="122" t="str">
        <f>IFERROR(__xludf.DUMMYFUNCTION("""COMPUTED_VALUE"""),"BikeBox")</f>
        <v>BikeBox</v>
      </c>
      <c r="E4925" s="122">
        <f>IFERROR(__xludf.DUMMYFUNCTION("""COMPUTED_VALUE"""),52.94)</f>
        <v>52.94</v>
      </c>
      <c r="F4925" s="122">
        <f>IFERROR(__xludf.DUMMYFUNCTION("""COMPUTED_VALUE"""),-0.0026)</f>
        <v>-0.0026</v>
      </c>
    </row>
    <row r="4926">
      <c r="A4926" s="131">
        <f>IFERROR(__xludf.DUMMYFUNCTION("""COMPUTED_VALUE"""),46187.49862268518)</f>
        <v>46187.49862</v>
      </c>
      <c r="B4926" s="126">
        <f>IFERROR(__xludf.DUMMYFUNCTION("""COMPUTED_VALUE"""),46187.0)</f>
        <v>46187</v>
      </c>
      <c r="C4926" s="122" t="str">
        <f>IFERROR(__xludf.DUMMYFUNCTION("""COMPUTED_VALUE"""),"WASH")</f>
        <v>WASH</v>
      </c>
      <c r="D4926" s="122" t="str">
        <f>IFERROR(__xludf.DUMMYFUNCTION("""COMPUTED_VALUE"""),"CarWash Co")</f>
        <v>CarWash Co</v>
      </c>
      <c r="E4926" s="122">
        <f>IFERROR(__xludf.DUMMYFUNCTION("""COMPUTED_VALUE"""),119.0)</f>
        <v>119</v>
      </c>
      <c r="F4926" s="122">
        <f>IFERROR(__xludf.DUMMYFUNCTION("""COMPUTED_VALUE"""),-0.0011)</f>
        <v>-0.0011</v>
      </c>
    </row>
    <row r="4927">
      <c r="A4927" s="131">
        <f>IFERROR(__xludf.DUMMYFUNCTION("""COMPUTED_VALUE"""),46187.49862268518)</f>
        <v>46187.49862</v>
      </c>
      <c r="B4927" s="126">
        <f>IFERROR(__xludf.DUMMYFUNCTION("""COMPUTED_VALUE"""),46187.0)</f>
        <v>46187</v>
      </c>
      <c r="C4927" s="122" t="str">
        <f>IFERROR(__xludf.DUMMYFUNCTION("""COMPUTED_VALUE"""),"GBND")</f>
        <v>GBND</v>
      </c>
      <c r="D4927" s="122" t="str">
        <f>IFERROR(__xludf.DUMMYFUNCTION("""COMPUTED_VALUE"""),"Classroom Government Bond")</f>
        <v>Classroom Government Bond</v>
      </c>
      <c r="E4927" s="122">
        <f>IFERROR(__xludf.DUMMYFUNCTION("""COMPUTED_VALUE"""),101.01)</f>
        <v>101.01</v>
      </c>
      <c r="F4927" s="122">
        <f>IFERROR(__xludf.DUMMYFUNCTION("""COMPUTED_VALUE"""),4.0E-4)</f>
        <v>0.0004</v>
      </c>
    </row>
    <row r="4928">
      <c r="A4928" s="131">
        <f>IFERROR(__xludf.DUMMYFUNCTION("""COMPUTED_VALUE"""),46187.49862268518)</f>
        <v>46187.49862</v>
      </c>
      <c r="B4928" s="126">
        <f>IFERROR(__xludf.DUMMYFUNCTION("""COMPUTED_VALUE"""),46187.0)</f>
        <v>46187</v>
      </c>
      <c r="C4928" s="122" t="str">
        <f>IFERROR(__xludf.DUMMYFUNCTION("""COMPUTED_VALUE"""),"SBND")</f>
        <v>SBND</v>
      </c>
      <c r="D4928" s="122" t="str">
        <f>IFERROR(__xludf.DUMMYFUNCTION("""COMPUTED_VALUE"""),"School Savings Bond")</f>
        <v>School Savings Bond</v>
      </c>
      <c r="E4928" s="122">
        <f>IFERROR(__xludf.DUMMYFUNCTION("""COMPUTED_VALUE"""),99.45)</f>
        <v>99.45</v>
      </c>
      <c r="F4928" s="122">
        <f>IFERROR(__xludf.DUMMYFUNCTION("""COMPUTED_VALUE"""),0.0)</f>
        <v>0</v>
      </c>
    </row>
    <row r="4929">
      <c r="A4929" s="131">
        <f>IFERROR(__xludf.DUMMYFUNCTION("""COMPUTED_VALUE"""),46187.49862268518)</f>
        <v>46187.49862</v>
      </c>
      <c r="B4929" s="126">
        <f>IFERROR(__xludf.DUMMYFUNCTION("""COMPUTED_VALUE"""),46187.0)</f>
        <v>46187</v>
      </c>
      <c r="C4929" s="122" t="str">
        <f>IFERROR(__xludf.DUMMYFUNCTION("""COMPUTED_VALUE"""),"CBND")</f>
        <v>CBND</v>
      </c>
      <c r="D4929" s="122" t="str">
        <f>IFERROR(__xludf.DUMMYFUNCTION("""COMPUTED_VALUE"""),"Corporate Classroom Bond")</f>
        <v>Corporate Classroom Bond</v>
      </c>
      <c r="E4929" s="122">
        <f>IFERROR(__xludf.DUMMYFUNCTION("""COMPUTED_VALUE"""),97.84)</f>
        <v>97.84</v>
      </c>
      <c r="F4929" s="122">
        <f>IFERROR(__xludf.DUMMYFUNCTION("""COMPUTED_VALUE"""),-5.0E-4)</f>
        <v>-0.0005</v>
      </c>
    </row>
    <row r="4930">
      <c r="A4930" s="131">
        <f>IFERROR(__xludf.DUMMYFUNCTION("""COMPUTED_VALUE"""),46187.49862268518)</f>
        <v>46187.49862</v>
      </c>
      <c r="B4930" s="126">
        <f>IFERROR(__xludf.DUMMYFUNCTION("""COMPUTED_VALUE"""),46187.0)</f>
        <v>46187</v>
      </c>
      <c r="C4930" s="122" t="str">
        <f>IFERROR(__xludf.DUMMYFUNCTION("""COMPUTED_VALUE"""),"TBIL")</f>
        <v>TBIL</v>
      </c>
      <c r="D4930" s="122" t="str">
        <f>IFERROR(__xludf.DUMMYFUNCTION("""COMPUTED_VALUE"""),"Treasury Bill")</f>
        <v>Treasury Bill</v>
      </c>
      <c r="E4930" s="122">
        <f>IFERROR(__xludf.DUMMYFUNCTION("""COMPUTED_VALUE"""),98.14)</f>
        <v>98.14</v>
      </c>
      <c r="F4930" s="122">
        <f>IFERROR(__xludf.DUMMYFUNCTION("""COMPUTED_VALUE"""),3.0E-4)</f>
        <v>0.0003</v>
      </c>
    </row>
    <row r="4931">
      <c r="A4931" s="131">
        <f>IFERROR(__xludf.DUMMYFUNCTION("""COMPUTED_VALUE"""),46187.49862268518)</f>
        <v>46187.49862</v>
      </c>
      <c r="B4931" s="126">
        <f>IFERROR(__xludf.DUMMYFUNCTION("""COMPUTED_VALUE"""),46187.0)</f>
        <v>46187</v>
      </c>
      <c r="C4931" s="122" t="str">
        <f>IFERROR(__xludf.DUMMYFUNCTION("""COMPUTED_VALUE"""),"IBND")</f>
        <v>IBND</v>
      </c>
      <c r="D4931" s="122" t="str">
        <f>IFERROR(__xludf.DUMMYFUNCTION("""COMPUTED_VALUE"""),"Inflation Protected Bond")</f>
        <v>Inflation Protected Bond</v>
      </c>
      <c r="E4931" s="122">
        <f>IFERROR(__xludf.DUMMYFUNCTION("""COMPUTED_VALUE"""),100.69)</f>
        <v>100.69</v>
      </c>
      <c r="F4931" s="122">
        <f>IFERROR(__xludf.DUMMYFUNCTION("""COMPUTED_VALUE"""),1.0E-4)</f>
        <v>0.0001</v>
      </c>
    </row>
    <row r="4932">
      <c r="A4932" s="131">
        <f>IFERROR(__xludf.DUMMYFUNCTION("""COMPUTED_VALUE"""),46187.50150462963)</f>
        <v>46187.5015</v>
      </c>
      <c r="B4932" s="126">
        <f>IFERROR(__xludf.DUMMYFUNCTION("""COMPUTED_VALUE"""),46187.0)</f>
        <v>46187</v>
      </c>
      <c r="C4932" s="122" t="str">
        <f>IFERROR(__xludf.DUMMYFUNCTION("""COMPUTED_VALUE"""),"SNAX")</f>
        <v>SNAX</v>
      </c>
      <c r="D4932" s="122" t="str">
        <f>IFERROR(__xludf.DUMMYFUNCTION("""COMPUTED_VALUE"""),"MICA Snacks")</f>
        <v>MICA Snacks</v>
      </c>
      <c r="E4932" s="122">
        <f>IFERROR(__xludf.DUMMYFUNCTION("""COMPUTED_VALUE"""),121.22)</f>
        <v>121.22</v>
      </c>
      <c r="F4932" s="122">
        <f>IFERROR(__xludf.DUMMYFUNCTION("""COMPUTED_VALUE"""),-0.0024)</f>
        <v>-0.0024</v>
      </c>
    </row>
    <row r="4933">
      <c r="A4933" s="131">
        <f>IFERROR(__xludf.DUMMYFUNCTION("""COMPUTED_VALUE"""),46187.50150462963)</f>
        <v>46187.5015</v>
      </c>
      <c r="B4933" s="126">
        <f>IFERROR(__xludf.DUMMYFUNCTION("""COMPUTED_VALUE"""),46187.0)</f>
        <v>46187</v>
      </c>
      <c r="C4933" s="122" t="str">
        <f>IFERROR(__xludf.DUMMYFUNCTION("""COMPUTED_VALUE"""),"RAMN")</f>
        <v>RAMN</v>
      </c>
      <c r="D4933" s="122" t="str">
        <f>IFERROR(__xludf.DUMMYFUNCTION("""COMPUTED_VALUE"""),"Ramen Republic")</f>
        <v>Ramen Republic</v>
      </c>
      <c r="E4933" s="122">
        <f>IFERROR(__xludf.DUMMYFUNCTION("""COMPUTED_VALUE"""),68.46)</f>
        <v>68.46</v>
      </c>
      <c r="F4933" s="122">
        <f>IFERROR(__xludf.DUMMYFUNCTION("""COMPUTED_VALUE"""),-0.0073)</f>
        <v>-0.0073</v>
      </c>
    </row>
    <row r="4934">
      <c r="A4934" s="131">
        <f>IFERROR(__xludf.DUMMYFUNCTION("""COMPUTED_VALUE"""),46187.50150462963)</f>
        <v>46187.5015</v>
      </c>
      <c r="B4934" s="126">
        <f>IFERROR(__xludf.DUMMYFUNCTION("""COMPUTED_VALUE"""),46187.0)</f>
        <v>46187</v>
      </c>
      <c r="C4934" s="122" t="str">
        <f>IFERROR(__xludf.DUMMYFUNCTION("""COMPUTED_VALUE"""),"COLA")</f>
        <v>COLA</v>
      </c>
      <c r="D4934" s="122" t="str">
        <f>IFERROR(__xludf.DUMMYFUNCTION("""COMPUTED_VALUE"""),"K-Pop Cola")</f>
        <v>K-Pop Cola</v>
      </c>
      <c r="E4934" s="122">
        <f>IFERROR(__xludf.DUMMYFUNCTION("""COMPUTED_VALUE"""),113.63)</f>
        <v>113.63</v>
      </c>
      <c r="F4934" s="122">
        <f>IFERROR(__xludf.DUMMYFUNCTION("""COMPUTED_VALUE"""),5.0E-4)</f>
        <v>0.0005</v>
      </c>
    </row>
    <row r="4935">
      <c r="A4935" s="131">
        <f>IFERROR(__xludf.DUMMYFUNCTION("""COMPUTED_VALUE"""),46187.50150462963)</f>
        <v>46187.5015</v>
      </c>
      <c r="B4935" s="126">
        <f>IFERROR(__xludf.DUMMYFUNCTION("""COMPUTED_VALUE"""),46187.0)</f>
        <v>46187</v>
      </c>
      <c r="C4935" s="122" t="str">
        <f>IFERROR(__xludf.DUMMYFUNCTION("""COMPUTED_VALUE"""),"CHIP")</f>
        <v>CHIP</v>
      </c>
      <c r="D4935" s="122" t="str">
        <f>IFERROR(__xludf.DUMMYFUNCTION("""COMPUTED_VALUE"""),"Chip Empire")</f>
        <v>Chip Empire</v>
      </c>
      <c r="E4935" s="122">
        <f>IFERROR(__xludf.DUMMYFUNCTION("""COMPUTED_VALUE"""),85.99)</f>
        <v>85.99</v>
      </c>
      <c r="F4935" s="122">
        <f>IFERROR(__xludf.DUMMYFUNCTION("""COMPUTED_VALUE"""),2.0E-4)</f>
        <v>0.0002</v>
      </c>
    </row>
    <row r="4936">
      <c r="A4936" s="131">
        <f>IFERROR(__xludf.DUMMYFUNCTION("""COMPUTED_VALUE"""),46187.50150462963)</f>
        <v>46187.5015</v>
      </c>
      <c r="B4936" s="126">
        <f>IFERROR(__xludf.DUMMYFUNCTION("""COMPUTED_VALUE"""),46187.0)</f>
        <v>46187</v>
      </c>
      <c r="C4936" s="122" t="str">
        <f>IFERROR(__xludf.DUMMYFUNCTION("""COMPUTED_VALUE"""),"CAND")</f>
        <v>CAND</v>
      </c>
      <c r="D4936" s="122" t="str">
        <f>IFERROR(__xludf.DUMMYFUNCTION("""COMPUTED_VALUE"""),"Candy Capital")</f>
        <v>Candy Capital</v>
      </c>
      <c r="E4936" s="122">
        <f>IFERROR(__xludf.DUMMYFUNCTION("""COMPUTED_VALUE"""),76.78)</f>
        <v>76.78</v>
      </c>
      <c r="F4936" s="122">
        <f>IFERROR(__xludf.DUMMYFUNCTION("""COMPUTED_VALUE"""),1.0E-4)</f>
        <v>0.0001</v>
      </c>
    </row>
    <row r="4937">
      <c r="A4937" s="131">
        <f>IFERROR(__xludf.DUMMYFUNCTION("""COMPUTED_VALUE"""),46187.50150462963)</f>
        <v>46187.5015</v>
      </c>
      <c r="B4937" s="126">
        <f>IFERROR(__xludf.DUMMYFUNCTION("""COMPUTED_VALUE"""),46187.0)</f>
        <v>46187</v>
      </c>
      <c r="C4937" s="122" t="str">
        <f>IFERROR(__xludf.DUMMYFUNCTION("""COMPUTED_VALUE"""),"TECH")</f>
        <v>TECH</v>
      </c>
      <c r="D4937" s="122" t="str">
        <f>IFERROR(__xludf.DUMMYFUNCTION("""COMPUTED_VALUE"""),"Dragon Tech")</f>
        <v>Dragon Tech</v>
      </c>
      <c r="E4937" s="122">
        <f>IFERROR(__xludf.DUMMYFUNCTION("""COMPUTED_VALUE"""),243.84)</f>
        <v>243.84</v>
      </c>
      <c r="F4937" s="122">
        <f>IFERROR(__xludf.DUMMYFUNCTION("""COMPUTED_VALUE"""),-0.0086)</f>
        <v>-0.0086</v>
      </c>
    </row>
    <row r="4938">
      <c r="A4938" s="131">
        <f>IFERROR(__xludf.DUMMYFUNCTION("""COMPUTED_VALUE"""),46187.50150462963)</f>
        <v>46187.5015</v>
      </c>
      <c r="B4938" s="126">
        <f>IFERROR(__xludf.DUMMYFUNCTION("""COMPUTED_VALUE"""),46187.0)</f>
        <v>46187</v>
      </c>
      <c r="C4938" s="122" t="str">
        <f>IFERROR(__xludf.DUMMYFUNCTION("""COMPUTED_VALUE"""),"AIBO")</f>
        <v>AIBO</v>
      </c>
      <c r="D4938" s="122" t="str">
        <f>IFERROR(__xludf.DUMMYFUNCTION("""COMPUTED_VALUE"""),"Homework AI")</f>
        <v>Homework AI</v>
      </c>
      <c r="E4938" s="122">
        <f>IFERROR(__xludf.DUMMYFUNCTION("""COMPUTED_VALUE"""),180.62)</f>
        <v>180.62</v>
      </c>
      <c r="F4938" s="122">
        <f>IFERROR(__xludf.DUMMYFUNCTION("""COMPUTED_VALUE"""),0.0039)</f>
        <v>0.0039</v>
      </c>
    </row>
    <row r="4939">
      <c r="A4939" s="131">
        <f>IFERROR(__xludf.DUMMYFUNCTION("""COMPUTED_VALUE"""),46187.50150462963)</f>
        <v>46187.5015</v>
      </c>
      <c r="B4939" s="126">
        <f>IFERROR(__xludf.DUMMYFUNCTION("""COMPUTED_VALUE"""),46187.0)</f>
        <v>46187</v>
      </c>
      <c r="C4939" s="122" t="str">
        <f>IFERROR(__xludf.DUMMYFUNCTION("""COMPUTED_VALUE"""),"GAME")</f>
        <v>GAME</v>
      </c>
      <c r="D4939" s="122" t="str">
        <f>IFERROR(__xludf.DUMMYFUNCTION("""COMPUTED_VALUE"""),"GameBox Media")</f>
        <v>GameBox Media</v>
      </c>
      <c r="E4939" s="122">
        <f>IFERROR(__xludf.DUMMYFUNCTION("""COMPUTED_VALUE"""),96.85)</f>
        <v>96.85</v>
      </c>
      <c r="F4939" s="122">
        <f>IFERROR(__xludf.DUMMYFUNCTION("""COMPUTED_VALUE"""),-0.0057)</f>
        <v>-0.0057</v>
      </c>
    </row>
    <row r="4940">
      <c r="A4940" s="131">
        <f>IFERROR(__xludf.DUMMYFUNCTION("""COMPUTED_VALUE"""),46187.50150462963)</f>
        <v>46187.5015</v>
      </c>
      <c r="B4940" s="126">
        <f>IFERROR(__xludf.DUMMYFUNCTION("""COMPUTED_VALUE"""),46187.0)</f>
        <v>46187</v>
      </c>
      <c r="C4940" s="122" t="str">
        <f>IFERROR(__xludf.DUMMYFUNCTION("""COMPUTED_VALUE"""),"VRSE")</f>
        <v>VRSE</v>
      </c>
      <c r="D4940" s="122" t="str">
        <f>IFERROR(__xludf.DUMMYFUNCTION("""COMPUTED_VALUE"""),"VerseVR")</f>
        <v>VerseVR</v>
      </c>
      <c r="E4940" s="122">
        <f>IFERROR(__xludf.DUMMYFUNCTION("""COMPUTED_VALUE"""),155.45)</f>
        <v>155.45</v>
      </c>
      <c r="F4940" s="122">
        <f>IFERROR(__xludf.DUMMYFUNCTION("""COMPUTED_VALUE"""),0.0052)</f>
        <v>0.0052</v>
      </c>
    </row>
    <row r="4941">
      <c r="A4941" s="131">
        <f>IFERROR(__xludf.DUMMYFUNCTION("""COMPUTED_VALUE"""),46187.50150462963)</f>
        <v>46187.5015</v>
      </c>
      <c r="B4941" s="126">
        <f>IFERROR(__xludf.DUMMYFUNCTION("""COMPUTED_VALUE"""),46187.0)</f>
        <v>46187</v>
      </c>
      <c r="C4941" s="122" t="str">
        <f>IFERROR(__xludf.DUMMYFUNCTION("""COMPUTED_VALUE"""),"BYTE")</f>
        <v>BYTE</v>
      </c>
      <c r="D4941" s="122" t="str">
        <f>IFERROR(__xludf.DUMMYFUNCTION("""COMPUTED_VALUE"""),"ByteWorks")</f>
        <v>ByteWorks</v>
      </c>
      <c r="E4941" s="122">
        <f>IFERROR(__xludf.DUMMYFUNCTION("""COMPUTED_VALUE"""),110.08)</f>
        <v>110.08</v>
      </c>
      <c r="F4941" s="122">
        <f>IFERROR(__xludf.DUMMYFUNCTION("""COMPUTED_VALUE"""),-0.0022)</f>
        <v>-0.0022</v>
      </c>
    </row>
    <row r="4942">
      <c r="A4942" s="131">
        <f>IFERROR(__xludf.DUMMYFUNCTION("""COMPUTED_VALUE"""),46187.50150462963)</f>
        <v>46187.5015</v>
      </c>
      <c r="B4942" s="126">
        <f>IFERROR(__xludf.DUMMYFUNCTION("""COMPUTED_VALUE"""),46187.0)</f>
        <v>46187</v>
      </c>
      <c r="C4942" s="122" t="str">
        <f>IFERROR(__xludf.DUMMYFUNCTION("""COMPUTED_VALUE"""),"BANK")</f>
        <v>BANK</v>
      </c>
      <c r="D4942" s="122" t="str">
        <f>IFERROR(__xludf.DUMMYFUNCTION("""COMPUTED_VALUE"""),"Tiger Bank")</f>
        <v>Tiger Bank</v>
      </c>
      <c r="E4942" s="122">
        <f>IFERROR(__xludf.DUMMYFUNCTION("""COMPUTED_VALUE"""),129.27)</f>
        <v>129.27</v>
      </c>
      <c r="F4942" s="122">
        <f>IFERROR(__xludf.DUMMYFUNCTION("""COMPUTED_VALUE"""),0.0031)</f>
        <v>0.0031</v>
      </c>
    </row>
    <row r="4943">
      <c r="A4943" s="131">
        <f>IFERROR(__xludf.DUMMYFUNCTION("""COMPUTED_VALUE"""),46187.50150462963)</f>
        <v>46187.5015</v>
      </c>
      <c r="B4943" s="126">
        <f>IFERROR(__xludf.DUMMYFUNCTION("""COMPUTED_VALUE"""),46187.0)</f>
        <v>46187</v>
      </c>
      <c r="C4943" s="122" t="str">
        <f>IFERROR(__xludf.DUMMYFUNCTION("""COMPUTED_VALUE"""),"CRED")</f>
        <v>CRED</v>
      </c>
      <c r="D4943" s="122" t="str">
        <f>IFERROR(__xludf.DUMMYFUNCTION("""COMPUTED_VALUE"""),"Credit Castle")</f>
        <v>Credit Castle</v>
      </c>
      <c r="E4943" s="122">
        <f>IFERROR(__xludf.DUMMYFUNCTION("""COMPUTED_VALUE"""),66.42)</f>
        <v>66.42</v>
      </c>
      <c r="F4943" s="122">
        <f>IFERROR(__xludf.DUMMYFUNCTION("""COMPUTED_VALUE"""),0.0033)</f>
        <v>0.0033</v>
      </c>
    </row>
    <row r="4944">
      <c r="A4944" s="131">
        <f>IFERROR(__xludf.DUMMYFUNCTION("""COMPUTED_VALUE"""),46187.50150462963)</f>
        <v>46187.5015</v>
      </c>
      <c r="B4944" s="126">
        <f>IFERROR(__xludf.DUMMYFUNCTION("""COMPUTED_VALUE"""),46187.0)</f>
        <v>46187</v>
      </c>
      <c r="C4944" s="122" t="str">
        <f>IFERROR(__xludf.DUMMYFUNCTION("""COMPUTED_VALUE"""),"BOND")</f>
        <v>BOND</v>
      </c>
      <c r="D4944" s="122" t="str">
        <f>IFERROR(__xludf.DUMMYFUNCTION("""COMPUTED_VALUE"""),"BondBridge")</f>
        <v>BondBridge</v>
      </c>
      <c r="E4944" s="122">
        <f>IFERROR(__xludf.DUMMYFUNCTION("""COMPUTED_VALUE"""),100.32)</f>
        <v>100.32</v>
      </c>
      <c r="F4944" s="122">
        <f>IFERROR(__xludf.DUMMYFUNCTION("""COMPUTED_VALUE"""),3.0E-4)</f>
        <v>0.0003</v>
      </c>
    </row>
    <row r="4945">
      <c r="A4945" s="131">
        <f>IFERROR(__xludf.DUMMYFUNCTION("""COMPUTED_VALUE"""),46187.50150462963)</f>
        <v>46187.5015</v>
      </c>
      <c r="B4945" s="126">
        <f>IFERROR(__xludf.DUMMYFUNCTION("""COMPUTED_VALUE"""),46187.0)</f>
        <v>46187</v>
      </c>
      <c r="C4945" s="122" t="str">
        <f>IFERROR(__xludf.DUMMYFUNCTION("""COMPUTED_VALUE"""),"INSR")</f>
        <v>INSR</v>
      </c>
      <c r="D4945" s="122" t="str">
        <f>IFERROR(__xludf.DUMMYFUNCTION("""COMPUTED_VALUE"""),"Shield Insurance")</f>
        <v>Shield Insurance</v>
      </c>
      <c r="E4945" s="122">
        <f>IFERROR(__xludf.DUMMYFUNCTION("""COMPUTED_VALUE"""),160.2)</f>
        <v>160.2</v>
      </c>
      <c r="F4945" s="122">
        <f>IFERROR(__xludf.DUMMYFUNCTION("""COMPUTED_VALUE"""),0.0011)</f>
        <v>0.0011</v>
      </c>
    </row>
    <row r="4946">
      <c r="A4946" s="131">
        <f>IFERROR(__xludf.DUMMYFUNCTION("""COMPUTED_VALUE"""),46187.50150462963)</f>
        <v>46187.5015</v>
      </c>
      <c r="B4946" s="126">
        <f>IFERROR(__xludf.DUMMYFUNCTION("""COMPUTED_VALUE"""),46187.0)</f>
        <v>46187</v>
      </c>
      <c r="C4946" s="122" t="str">
        <f>IFERROR(__xludf.DUMMYFUNCTION("""COMPUTED_VALUE"""),"LOAN")</f>
        <v>LOAN</v>
      </c>
      <c r="D4946" s="122" t="str">
        <f>IFERROR(__xludf.DUMMYFUNCTION("""COMPUTED_VALUE"""),"LoanLab")</f>
        <v>LoanLab</v>
      </c>
      <c r="E4946" s="122">
        <f>IFERROR(__xludf.DUMMYFUNCTION("""COMPUTED_VALUE"""),65.18)</f>
        <v>65.18</v>
      </c>
      <c r="F4946" s="122">
        <f>IFERROR(__xludf.DUMMYFUNCTION("""COMPUTED_VALUE"""),-2.0E-4)</f>
        <v>-0.0002</v>
      </c>
    </row>
    <row r="4947">
      <c r="A4947" s="131">
        <f>IFERROR(__xludf.DUMMYFUNCTION("""COMPUTED_VALUE"""),46187.50150462963)</f>
        <v>46187.5015</v>
      </c>
      <c r="B4947" s="126">
        <f>IFERROR(__xludf.DUMMYFUNCTION("""COMPUTED_VALUE"""),46187.0)</f>
        <v>46187</v>
      </c>
      <c r="C4947" s="122" t="str">
        <f>IFERROR(__xludf.DUMMYFUNCTION("""COMPUTED_VALUE"""),"LUXE")</f>
        <v>LUXE</v>
      </c>
      <c r="D4947" s="122" t="str">
        <f>IFERROR(__xludf.DUMMYFUNCTION("""COMPUTED_VALUE"""),"Luxury Locker")</f>
        <v>Luxury Locker</v>
      </c>
      <c r="E4947" s="122">
        <f>IFERROR(__xludf.DUMMYFUNCTION("""COMPUTED_VALUE"""),262.66)</f>
        <v>262.66</v>
      </c>
      <c r="F4947" s="122">
        <f>IFERROR(__xludf.DUMMYFUNCTION("""COMPUTED_VALUE"""),-0.0052)</f>
        <v>-0.0052</v>
      </c>
    </row>
    <row r="4948">
      <c r="A4948" s="131">
        <f>IFERROR(__xludf.DUMMYFUNCTION("""COMPUTED_VALUE"""),46187.50150462963)</f>
        <v>46187.5015</v>
      </c>
      <c r="B4948" s="126">
        <f>IFERROR(__xludf.DUMMYFUNCTION("""COMPUTED_VALUE"""),46187.0)</f>
        <v>46187</v>
      </c>
      <c r="C4948" s="122" t="str">
        <f>IFERROR(__xludf.DUMMYFUNCTION("""COMPUTED_VALUE"""),"DRIP")</f>
        <v>DRIP</v>
      </c>
      <c r="D4948" s="122" t="str">
        <f>IFERROR(__xludf.DUMMYFUNCTION("""COMPUTED_VALUE"""),"Drip Streetwear")</f>
        <v>Drip Streetwear</v>
      </c>
      <c r="E4948" s="122">
        <f>IFERROR(__xludf.DUMMYFUNCTION("""COMPUTED_VALUE"""),196.36)</f>
        <v>196.36</v>
      </c>
      <c r="F4948" s="122">
        <f>IFERROR(__xludf.DUMMYFUNCTION("""COMPUTED_VALUE"""),0.0056)</f>
        <v>0.0056</v>
      </c>
    </row>
    <row r="4949">
      <c r="A4949" s="131">
        <f>IFERROR(__xludf.DUMMYFUNCTION("""COMPUTED_VALUE"""),46187.50150462963)</f>
        <v>46187.5015</v>
      </c>
      <c r="B4949" s="126">
        <f>IFERROR(__xludf.DUMMYFUNCTION("""COMPUTED_VALUE"""),46187.0)</f>
        <v>46187</v>
      </c>
      <c r="C4949" s="122" t="str">
        <f>IFERROR(__xludf.DUMMYFUNCTION("""COMPUTED_VALUE"""),"KICK")</f>
        <v>KICK</v>
      </c>
      <c r="D4949" s="122" t="str">
        <f>IFERROR(__xludf.DUMMYFUNCTION("""COMPUTED_VALUE"""),"KickDrop Sneakers")</f>
        <v>KickDrop Sneakers</v>
      </c>
      <c r="E4949" s="122">
        <f>IFERROR(__xludf.DUMMYFUNCTION("""COMPUTED_VALUE"""),170.61)</f>
        <v>170.61</v>
      </c>
      <c r="F4949" s="122">
        <f>IFERROR(__xludf.DUMMYFUNCTION("""COMPUTED_VALUE"""),-0.0053)</f>
        <v>-0.0053</v>
      </c>
    </row>
    <row r="4950">
      <c r="A4950" s="131">
        <f>IFERROR(__xludf.DUMMYFUNCTION("""COMPUTED_VALUE"""),46187.50150462963)</f>
        <v>46187.5015</v>
      </c>
      <c r="B4950" s="126">
        <f>IFERROR(__xludf.DUMMYFUNCTION("""COMPUTED_VALUE"""),46187.0)</f>
        <v>46187</v>
      </c>
      <c r="C4950" s="122" t="str">
        <f>IFERROR(__xludf.DUMMYFUNCTION("""COMPUTED_VALUE"""),"GLAM")</f>
        <v>GLAM</v>
      </c>
      <c r="D4950" s="122" t="str">
        <f>IFERROR(__xludf.DUMMYFUNCTION("""COMPUTED_VALUE"""),"Glow Cosmetics")</f>
        <v>Glow Cosmetics</v>
      </c>
      <c r="E4950" s="122">
        <f>IFERROR(__xludf.DUMMYFUNCTION("""COMPUTED_VALUE"""),104.48)</f>
        <v>104.48</v>
      </c>
      <c r="F4950" s="122">
        <f>IFERROR(__xludf.DUMMYFUNCTION("""COMPUTED_VALUE"""),-0.0031)</f>
        <v>-0.0031</v>
      </c>
    </row>
    <row r="4951">
      <c r="A4951" s="131">
        <f>IFERROR(__xludf.DUMMYFUNCTION("""COMPUTED_VALUE"""),46187.50150462963)</f>
        <v>46187.5015</v>
      </c>
      <c r="B4951" s="126">
        <f>IFERROR(__xludf.DUMMYFUNCTION("""COMPUTED_VALUE"""),46187.0)</f>
        <v>46187</v>
      </c>
      <c r="C4951" s="122" t="str">
        <f>IFERROR(__xludf.DUMMYFUNCTION("""COMPUTED_VALUE"""),"BAGG")</f>
        <v>BAGG</v>
      </c>
      <c r="D4951" s="122" t="str">
        <f>IFERROR(__xludf.DUMMYFUNCTION("""COMPUTED_VALUE"""),"BagVault")</f>
        <v>BagVault</v>
      </c>
      <c r="E4951" s="122">
        <f>IFERROR(__xludf.DUMMYFUNCTION("""COMPUTED_VALUE"""),249.21)</f>
        <v>249.21</v>
      </c>
      <c r="F4951" s="122">
        <f>IFERROR(__xludf.DUMMYFUNCTION("""COMPUTED_VALUE"""),-0.0076)</f>
        <v>-0.0076</v>
      </c>
    </row>
    <row r="4952">
      <c r="A4952" s="131">
        <f>IFERROR(__xludf.DUMMYFUNCTION("""COMPUTED_VALUE"""),46187.50150462963)</f>
        <v>46187.5015</v>
      </c>
      <c r="B4952" s="126">
        <f>IFERROR(__xludf.DUMMYFUNCTION("""COMPUTED_VALUE"""),46187.0)</f>
        <v>46187</v>
      </c>
      <c r="C4952" s="122" t="str">
        <f>IFERROR(__xludf.DUMMYFUNCTION("""COMPUTED_VALUE"""),"FAST")</f>
        <v>FAST</v>
      </c>
      <c r="D4952" s="122" t="str">
        <f>IFERROR(__xludf.DUMMYFUNCTION("""COMPUTED_VALUE"""),"Flash Logistics")</f>
        <v>Flash Logistics</v>
      </c>
      <c r="E4952" s="122">
        <f>IFERROR(__xludf.DUMMYFUNCTION("""COMPUTED_VALUE"""),104.58)</f>
        <v>104.58</v>
      </c>
      <c r="F4952" s="122">
        <f>IFERROR(__xludf.DUMMYFUNCTION("""COMPUTED_VALUE"""),-5.0E-4)</f>
        <v>-0.0005</v>
      </c>
    </row>
    <row r="4953">
      <c r="A4953" s="131">
        <f>IFERROR(__xludf.DUMMYFUNCTION("""COMPUTED_VALUE"""),46187.50150462963)</f>
        <v>46187.5015</v>
      </c>
      <c r="B4953" s="126">
        <f>IFERROR(__xludf.DUMMYFUNCTION("""COMPUTED_VALUE"""),46187.0)</f>
        <v>46187</v>
      </c>
      <c r="C4953" s="122" t="str">
        <f>IFERROR(__xludf.DUMMYFUNCTION("""COMPUTED_VALUE"""),"SHIP")</f>
        <v>SHIP</v>
      </c>
      <c r="D4953" s="122" t="str">
        <f>IFERROR(__xludf.DUMMYFUNCTION("""COMPUTED_VALUE"""),"Seoul Shipping")</f>
        <v>Seoul Shipping</v>
      </c>
      <c r="E4953" s="122">
        <f>IFERROR(__xludf.DUMMYFUNCTION("""COMPUTED_VALUE"""),127.48)</f>
        <v>127.48</v>
      </c>
      <c r="F4953" s="122">
        <f>IFERROR(__xludf.DUMMYFUNCTION("""COMPUTED_VALUE"""),0.0074)</f>
        <v>0.0074</v>
      </c>
    </row>
    <row r="4954">
      <c r="A4954" s="131">
        <f>IFERROR(__xludf.DUMMYFUNCTION("""COMPUTED_VALUE"""),46187.50150462963)</f>
        <v>46187.5015</v>
      </c>
      <c r="B4954" s="126">
        <f>IFERROR(__xludf.DUMMYFUNCTION("""COMPUTED_VALUE"""),46187.0)</f>
        <v>46187</v>
      </c>
      <c r="C4954" s="122" t="str">
        <f>IFERROR(__xludf.DUMMYFUNCTION("""COMPUTED_VALUE"""),"DRON")</f>
        <v>DRON</v>
      </c>
      <c r="D4954" s="122" t="str">
        <f>IFERROR(__xludf.DUMMYFUNCTION("""COMPUTED_VALUE"""),"DroneDrop")</f>
        <v>DroneDrop</v>
      </c>
      <c r="E4954" s="122">
        <f>IFERROR(__xludf.DUMMYFUNCTION("""COMPUTED_VALUE"""),127.91)</f>
        <v>127.91</v>
      </c>
      <c r="F4954" s="122">
        <f>IFERROR(__xludf.DUMMYFUNCTION("""COMPUTED_VALUE"""),0.0039)</f>
        <v>0.0039</v>
      </c>
    </row>
    <row r="4955">
      <c r="A4955" s="131">
        <f>IFERROR(__xludf.DUMMYFUNCTION("""COMPUTED_VALUE"""),46187.50150462963)</f>
        <v>46187.5015</v>
      </c>
      <c r="B4955" s="126">
        <f>IFERROR(__xludf.DUMMYFUNCTION("""COMPUTED_VALUE"""),46187.0)</f>
        <v>46187</v>
      </c>
      <c r="C4955" s="122" t="str">
        <f>IFERROR(__xludf.DUMMYFUNCTION("""COMPUTED_VALUE"""),"RIDE")</f>
        <v>RIDE</v>
      </c>
      <c r="D4955" s="122" t="str">
        <f>IFERROR(__xludf.DUMMYFUNCTION("""COMPUTED_VALUE"""),"QuickRide")</f>
        <v>QuickRide</v>
      </c>
      <c r="E4955" s="122">
        <f>IFERROR(__xludf.DUMMYFUNCTION("""COMPUTED_VALUE"""),96.41)</f>
        <v>96.41</v>
      </c>
      <c r="F4955" s="122">
        <f>IFERROR(__xludf.DUMMYFUNCTION("""COMPUTED_VALUE"""),0.005)</f>
        <v>0.005</v>
      </c>
    </row>
    <row r="4956">
      <c r="A4956" s="131">
        <f>IFERROR(__xludf.DUMMYFUNCTION("""COMPUTED_VALUE"""),46187.50150462963)</f>
        <v>46187.5015</v>
      </c>
      <c r="B4956" s="126">
        <f>IFERROR(__xludf.DUMMYFUNCTION("""COMPUTED_VALUE"""),46187.0)</f>
        <v>46187</v>
      </c>
      <c r="C4956" s="122" t="str">
        <f>IFERROR(__xludf.DUMMYFUNCTION("""COMPUTED_VALUE"""),"RAIL")</f>
        <v>RAIL</v>
      </c>
      <c r="D4956" s="122" t="str">
        <f>IFERROR(__xludf.DUMMYFUNCTION("""COMPUTED_VALUE"""),"MetroRail Corp")</f>
        <v>MetroRail Corp</v>
      </c>
      <c r="E4956" s="122">
        <f>IFERROR(__xludf.DUMMYFUNCTION("""COMPUTED_VALUE"""),134.04)</f>
        <v>134.04</v>
      </c>
      <c r="F4956" s="122">
        <f>IFERROR(__xludf.DUMMYFUNCTION("""COMPUTED_VALUE"""),-0.0011)</f>
        <v>-0.0011</v>
      </c>
    </row>
    <row r="4957">
      <c r="A4957" s="131">
        <f>IFERROR(__xludf.DUMMYFUNCTION("""COMPUTED_VALUE"""),46187.50150462963)</f>
        <v>46187.5015</v>
      </c>
      <c r="B4957" s="126">
        <f>IFERROR(__xludf.DUMMYFUNCTION("""COMPUTED_VALUE"""),46187.0)</f>
        <v>46187</v>
      </c>
      <c r="C4957" s="122" t="str">
        <f>IFERROR(__xludf.DUMMYFUNCTION("""COMPUTED_VALUE"""),"MEDX")</f>
        <v>MEDX</v>
      </c>
      <c r="D4957" s="122" t="str">
        <f>IFERROR(__xludf.DUMMYFUNCTION("""COMPUTED_VALUE"""),"MediCore")</f>
        <v>MediCore</v>
      </c>
      <c r="E4957" s="122">
        <f>IFERROR(__xludf.DUMMYFUNCTION("""COMPUTED_VALUE"""),137.65)</f>
        <v>137.65</v>
      </c>
      <c r="F4957" s="122">
        <f>IFERROR(__xludf.DUMMYFUNCTION("""COMPUTED_VALUE"""),-0.0028)</f>
        <v>-0.0028</v>
      </c>
    </row>
    <row r="4958">
      <c r="A4958" s="131">
        <f>IFERROR(__xludf.DUMMYFUNCTION("""COMPUTED_VALUE"""),46187.50150462963)</f>
        <v>46187.5015</v>
      </c>
      <c r="B4958" s="126">
        <f>IFERROR(__xludf.DUMMYFUNCTION("""COMPUTED_VALUE"""),46187.0)</f>
        <v>46187</v>
      </c>
      <c r="C4958" s="122" t="str">
        <f>IFERROR(__xludf.DUMMYFUNCTION("""COMPUTED_VALUE"""),"GYMX")</f>
        <v>GYMX</v>
      </c>
      <c r="D4958" s="122" t="str">
        <f>IFERROR(__xludf.DUMMYFUNCTION("""COMPUTED_VALUE"""),"GymX Fitness")</f>
        <v>GymX Fitness</v>
      </c>
      <c r="E4958" s="122">
        <f>IFERROR(__xludf.DUMMYFUNCTION("""COMPUTED_VALUE"""),86.7)</f>
        <v>86.7</v>
      </c>
      <c r="F4958" s="122">
        <f>IFERROR(__xludf.DUMMYFUNCTION("""COMPUTED_VALUE"""),-0.0046)</f>
        <v>-0.0046</v>
      </c>
    </row>
    <row r="4959">
      <c r="A4959" s="131">
        <f>IFERROR(__xludf.DUMMYFUNCTION("""COMPUTED_VALUE"""),46187.50150462963)</f>
        <v>46187.5015</v>
      </c>
      <c r="B4959" s="126">
        <f>IFERROR(__xludf.DUMMYFUNCTION("""COMPUTED_VALUE"""),46187.0)</f>
        <v>46187</v>
      </c>
      <c r="C4959" s="122" t="str">
        <f>IFERROR(__xludf.DUMMYFUNCTION("""COMPUTED_VALUE"""),"VITA")</f>
        <v>VITA</v>
      </c>
      <c r="D4959" s="122" t="str">
        <f>IFERROR(__xludf.DUMMYFUNCTION("""COMPUTED_VALUE"""),"VitaPlus")</f>
        <v>VitaPlus</v>
      </c>
      <c r="E4959" s="122">
        <f>IFERROR(__xludf.DUMMYFUNCTION("""COMPUTED_VALUE"""),72.38)</f>
        <v>72.38</v>
      </c>
      <c r="F4959" s="122">
        <f>IFERROR(__xludf.DUMMYFUNCTION("""COMPUTED_VALUE"""),-0.0017)</f>
        <v>-0.0017</v>
      </c>
    </row>
    <row r="4960">
      <c r="A4960" s="131">
        <f>IFERROR(__xludf.DUMMYFUNCTION("""COMPUTED_VALUE"""),46187.50150462963)</f>
        <v>46187.5015</v>
      </c>
      <c r="B4960" s="126">
        <f>IFERROR(__xludf.DUMMYFUNCTION("""COMPUTED_VALUE"""),46187.0)</f>
        <v>46187</v>
      </c>
      <c r="C4960" s="122" t="str">
        <f>IFERROR(__xludf.DUMMYFUNCTION("""COMPUTED_VALUE"""),"CARE")</f>
        <v>CARE</v>
      </c>
      <c r="D4960" s="122" t="str">
        <f>IFERROR(__xludf.DUMMYFUNCTION("""COMPUTED_VALUE"""),"CareCloud")</f>
        <v>CareCloud</v>
      </c>
      <c r="E4960" s="122">
        <f>IFERROR(__xludf.DUMMYFUNCTION("""COMPUTED_VALUE"""),177.38)</f>
        <v>177.38</v>
      </c>
      <c r="F4960" s="122">
        <f>IFERROR(__xludf.DUMMYFUNCTION("""COMPUTED_VALUE"""),-0.0047)</f>
        <v>-0.0047</v>
      </c>
    </row>
    <row r="4961">
      <c r="A4961" s="131">
        <f>IFERROR(__xludf.DUMMYFUNCTION("""COMPUTED_VALUE"""),46187.50150462963)</f>
        <v>46187.5015</v>
      </c>
      <c r="B4961" s="126">
        <f>IFERROR(__xludf.DUMMYFUNCTION("""COMPUTED_VALUE"""),46187.0)</f>
        <v>46187</v>
      </c>
      <c r="C4961" s="122" t="str">
        <f>IFERROR(__xludf.DUMMYFUNCTION("""COMPUTED_VALUE"""),"DENT")</f>
        <v>DENT</v>
      </c>
      <c r="D4961" s="122" t="str">
        <f>IFERROR(__xludf.DUMMYFUNCTION("""COMPUTED_VALUE"""),"SmileWorks")</f>
        <v>SmileWorks</v>
      </c>
      <c r="E4961" s="122">
        <f>IFERROR(__xludf.DUMMYFUNCTION("""COMPUTED_VALUE"""),88.52)</f>
        <v>88.52</v>
      </c>
      <c r="F4961" s="122">
        <f>IFERROR(__xludf.DUMMYFUNCTION("""COMPUTED_VALUE"""),0.0069)</f>
        <v>0.0069</v>
      </c>
    </row>
    <row r="4962">
      <c r="A4962" s="131">
        <f>IFERROR(__xludf.DUMMYFUNCTION("""COMPUTED_VALUE"""),46187.50150462963)</f>
        <v>46187.5015</v>
      </c>
      <c r="B4962" s="126">
        <f>IFERROR(__xludf.DUMMYFUNCTION("""COMPUTED_VALUE"""),46187.0)</f>
        <v>46187</v>
      </c>
      <c r="C4962" s="122" t="str">
        <f>IFERROR(__xludf.DUMMYFUNCTION("""COMPUTED_VALUE"""),"EDUX")</f>
        <v>EDUX</v>
      </c>
      <c r="D4962" s="122" t="str">
        <f>IFERROR(__xludf.DUMMYFUNCTION("""COMPUTED_VALUE"""),"EduMax Learning")</f>
        <v>EduMax Learning</v>
      </c>
      <c r="E4962" s="122">
        <f>IFERROR(__xludf.DUMMYFUNCTION("""COMPUTED_VALUE"""),138.29)</f>
        <v>138.29</v>
      </c>
      <c r="F4962" s="122">
        <f>IFERROR(__xludf.DUMMYFUNCTION("""COMPUTED_VALUE"""),0.0021)</f>
        <v>0.0021</v>
      </c>
    </row>
    <row r="4963">
      <c r="A4963" s="131">
        <f>IFERROR(__xludf.DUMMYFUNCTION("""COMPUTED_VALUE"""),46187.50150462963)</f>
        <v>46187.5015</v>
      </c>
      <c r="B4963" s="126">
        <f>IFERROR(__xludf.DUMMYFUNCTION("""COMPUTED_VALUE"""),46187.0)</f>
        <v>46187</v>
      </c>
      <c r="C4963" s="122" t="str">
        <f>IFERROR(__xludf.DUMMYFUNCTION("""COMPUTED_VALUE"""),"BOOK")</f>
        <v>BOOK</v>
      </c>
      <c r="D4963" s="122" t="str">
        <f>IFERROR(__xludf.DUMMYFUNCTION("""COMPUTED_VALUE"""),"BookBridge")</f>
        <v>BookBridge</v>
      </c>
      <c r="E4963" s="122">
        <f>IFERROR(__xludf.DUMMYFUNCTION("""COMPUTED_VALUE"""),120.14)</f>
        <v>120.14</v>
      </c>
      <c r="F4963" s="122">
        <f>IFERROR(__xludf.DUMMYFUNCTION("""COMPUTED_VALUE"""),0.0014)</f>
        <v>0.0014</v>
      </c>
    </row>
    <row r="4964">
      <c r="A4964" s="131">
        <f>IFERROR(__xludf.DUMMYFUNCTION("""COMPUTED_VALUE"""),46187.50150462963)</f>
        <v>46187.5015</v>
      </c>
      <c r="B4964" s="126">
        <f>IFERROR(__xludf.DUMMYFUNCTION("""COMPUTED_VALUE"""),46187.0)</f>
        <v>46187</v>
      </c>
      <c r="C4964" s="122" t="str">
        <f>IFERROR(__xludf.DUMMYFUNCTION("""COMPUTED_VALUE"""),"TUTR")</f>
        <v>TUTR</v>
      </c>
      <c r="D4964" s="122" t="str">
        <f>IFERROR(__xludf.DUMMYFUNCTION("""COMPUTED_VALUE"""),"TutorTown")</f>
        <v>TutorTown</v>
      </c>
      <c r="E4964" s="122">
        <f>IFERROR(__xludf.DUMMYFUNCTION("""COMPUTED_VALUE"""),90.23)</f>
        <v>90.23</v>
      </c>
      <c r="F4964" s="122">
        <f>IFERROR(__xludf.DUMMYFUNCTION("""COMPUTED_VALUE"""),-0.0028)</f>
        <v>-0.0028</v>
      </c>
    </row>
    <row r="4965">
      <c r="A4965" s="131">
        <f>IFERROR(__xludf.DUMMYFUNCTION("""COMPUTED_VALUE"""),46187.50150462963)</f>
        <v>46187.5015</v>
      </c>
      <c r="B4965" s="126">
        <f>IFERROR(__xludf.DUMMYFUNCTION("""COMPUTED_VALUE"""),46187.0)</f>
        <v>46187</v>
      </c>
      <c r="C4965" s="122" t="str">
        <f>IFERROR(__xludf.DUMMYFUNCTION("""COMPUTED_VALUE"""),"LANG")</f>
        <v>LANG</v>
      </c>
      <c r="D4965" s="122" t="str">
        <f>IFERROR(__xludf.DUMMYFUNCTION("""COMPUTED_VALUE"""),"LinguaLab")</f>
        <v>LinguaLab</v>
      </c>
      <c r="E4965" s="122">
        <f>IFERROR(__xludf.DUMMYFUNCTION("""COMPUTED_VALUE"""),99.01)</f>
        <v>99.01</v>
      </c>
      <c r="F4965" s="122">
        <f>IFERROR(__xludf.DUMMYFUNCTION("""COMPUTED_VALUE"""),-7.0E-4)</f>
        <v>-0.0007</v>
      </c>
    </row>
    <row r="4966">
      <c r="A4966" s="131">
        <f>IFERROR(__xludf.DUMMYFUNCTION("""COMPUTED_VALUE"""),46187.50150462963)</f>
        <v>46187.5015</v>
      </c>
      <c r="B4966" s="126">
        <f>IFERROR(__xludf.DUMMYFUNCTION("""COMPUTED_VALUE"""),46187.0)</f>
        <v>46187</v>
      </c>
      <c r="C4966" s="122" t="str">
        <f>IFERROR(__xludf.DUMMYFUNCTION("""COMPUTED_VALUE"""),"TEST")</f>
        <v>TEST</v>
      </c>
      <c r="D4966" s="122" t="str">
        <f>IFERROR(__xludf.DUMMYFUNCTION("""COMPUTED_VALUE"""),"TestPrep Pro")</f>
        <v>TestPrep Pro</v>
      </c>
      <c r="E4966" s="122">
        <f>IFERROR(__xludf.DUMMYFUNCTION("""COMPUTED_VALUE"""),94.69)</f>
        <v>94.69</v>
      </c>
      <c r="F4966" s="122">
        <f>IFERROR(__xludf.DUMMYFUNCTION("""COMPUTED_VALUE"""),-0.0053)</f>
        <v>-0.0053</v>
      </c>
    </row>
    <row r="4967">
      <c r="A4967" s="131">
        <f>IFERROR(__xludf.DUMMYFUNCTION("""COMPUTED_VALUE"""),46187.50150462963)</f>
        <v>46187.5015</v>
      </c>
      <c r="B4967" s="126">
        <f>IFERROR(__xludf.DUMMYFUNCTION("""COMPUTED_VALUE"""),46187.0)</f>
        <v>46187</v>
      </c>
      <c r="C4967" s="122" t="str">
        <f>IFERROR(__xludf.DUMMYFUNCTION("""COMPUTED_VALUE"""),"MOVI")</f>
        <v>MOVI</v>
      </c>
      <c r="D4967" s="122" t="str">
        <f>IFERROR(__xludf.DUMMYFUNCTION("""COMPUTED_VALUE"""),"MovieBox")</f>
        <v>MovieBox</v>
      </c>
      <c r="E4967" s="122">
        <f>IFERROR(__xludf.DUMMYFUNCTION("""COMPUTED_VALUE"""),81.62)</f>
        <v>81.62</v>
      </c>
      <c r="F4967" s="122">
        <f>IFERROR(__xludf.DUMMYFUNCTION("""COMPUTED_VALUE"""),-0.0032)</f>
        <v>-0.0032</v>
      </c>
    </row>
    <row r="4968">
      <c r="A4968" s="131">
        <f>IFERROR(__xludf.DUMMYFUNCTION("""COMPUTED_VALUE"""),46187.50150462963)</f>
        <v>46187.5015</v>
      </c>
      <c r="B4968" s="126">
        <f>IFERROR(__xludf.DUMMYFUNCTION("""COMPUTED_VALUE"""),46187.0)</f>
        <v>46187</v>
      </c>
      <c r="C4968" s="122" t="str">
        <f>IFERROR(__xludf.DUMMYFUNCTION("""COMPUTED_VALUE"""),"MUSC")</f>
        <v>MUSC</v>
      </c>
      <c r="D4968" s="122" t="str">
        <f>IFERROR(__xludf.DUMMYFUNCTION("""COMPUTED_VALUE"""),"MusicWave")</f>
        <v>MusicWave</v>
      </c>
      <c r="E4968" s="122">
        <f>IFERROR(__xludf.DUMMYFUNCTION("""COMPUTED_VALUE"""),99.47)</f>
        <v>99.47</v>
      </c>
      <c r="F4968" s="122">
        <f>IFERROR(__xludf.DUMMYFUNCTION("""COMPUTED_VALUE"""),0.0086)</f>
        <v>0.0086</v>
      </c>
    </row>
    <row r="4969">
      <c r="A4969" s="131">
        <f>IFERROR(__xludf.DUMMYFUNCTION("""COMPUTED_VALUE"""),46187.50150462963)</f>
        <v>46187.5015</v>
      </c>
      <c r="B4969" s="126">
        <f>IFERROR(__xludf.DUMMYFUNCTION("""COMPUTED_VALUE"""),46187.0)</f>
        <v>46187</v>
      </c>
      <c r="C4969" s="122" t="str">
        <f>IFERROR(__xludf.DUMMYFUNCTION("""COMPUTED_VALUE"""),"IDOL")</f>
        <v>IDOL</v>
      </c>
      <c r="D4969" s="122" t="str">
        <f>IFERROR(__xludf.DUMMYFUNCTION("""COMPUTED_VALUE"""),"Idol Agency")</f>
        <v>Idol Agency</v>
      </c>
      <c r="E4969" s="122">
        <f>IFERROR(__xludf.DUMMYFUNCTION("""COMPUTED_VALUE"""),189.88)</f>
        <v>189.88</v>
      </c>
      <c r="F4969" s="122">
        <f>IFERROR(__xludf.DUMMYFUNCTION("""COMPUTED_VALUE"""),0.0057)</f>
        <v>0.0057</v>
      </c>
    </row>
    <row r="4970">
      <c r="A4970" s="131">
        <f>IFERROR(__xludf.DUMMYFUNCTION("""COMPUTED_VALUE"""),46187.50150462963)</f>
        <v>46187.5015</v>
      </c>
      <c r="B4970" s="126">
        <f>IFERROR(__xludf.DUMMYFUNCTION("""COMPUTED_VALUE"""),46187.0)</f>
        <v>46187</v>
      </c>
      <c r="C4970" s="122" t="str">
        <f>IFERROR(__xludf.DUMMYFUNCTION("""COMPUTED_VALUE"""),"MEME")</f>
        <v>MEME</v>
      </c>
      <c r="D4970" s="122" t="str">
        <f>IFERROR(__xludf.DUMMYFUNCTION("""COMPUTED_VALUE"""),"Meme Media")</f>
        <v>Meme Media</v>
      </c>
      <c r="E4970" s="122">
        <f>IFERROR(__xludf.DUMMYFUNCTION("""COMPUTED_VALUE"""),71.91)</f>
        <v>71.91</v>
      </c>
      <c r="F4970" s="122">
        <f>IFERROR(__xludf.DUMMYFUNCTION("""COMPUTED_VALUE"""),0.004)</f>
        <v>0.004</v>
      </c>
    </row>
    <row r="4971">
      <c r="A4971" s="131">
        <f>IFERROR(__xludf.DUMMYFUNCTION("""COMPUTED_VALUE"""),46187.50150462963)</f>
        <v>46187.5015</v>
      </c>
      <c r="B4971" s="126">
        <f>IFERROR(__xludf.DUMMYFUNCTION("""COMPUTED_VALUE"""),46187.0)</f>
        <v>46187</v>
      </c>
      <c r="C4971" s="122" t="str">
        <f>IFERROR(__xludf.DUMMYFUNCTION("""COMPUTED_VALUE"""),"STRM")</f>
        <v>STRM</v>
      </c>
      <c r="D4971" s="122" t="str">
        <f>IFERROR(__xludf.DUMMYFUNCTION("""COMPUTED_VALUE"""),"Streamly")</f>
        <v>Streamly</v>
      </c>
      <c r="E4971" s="122">
        <f>IFERROR(__xludf.DUMMYFUNCTION("""COMPUTED_VALUE"""),139.19)</f>
        <v>139.19</v>
      </c>
      <c r="F4971" s="122">
        <f>IFERROR(__xludf.DUMMYFUNCTION("""COMPUTED_VALUE"""),0.0031)</f>
        <v>0.0031</v>
      </c>
    </row>
    <row r="4972">
      <c r="A4972" s="131">
        <f>IFERROR(__xludf.DUMMYFUNCTION("""COMPUTED_VALUE"""),46187.50150462963)</f>
        <v>46187.5015</v>
      </c>
      <c r="B4972" s="126">
        <f>IFERROR(__xludf.DUMMYFUNCTION("""COMPUTED_VALUE"""),46187.0)</f>
        <v>46187</v>
      </c>
      <c r="C4972" s="122" t="str">
        <f>IFERROR(__xludf.DUMMYFUNCTION("""COMPUTED_VALUE"""),"FARM")</f>
        <v>FARM</v>
      </c>
      <c r="D4972" s="122" t="str">
        <f>IFERROR(__xludf.DUMMYFUNCTION("""COMPUTED_VALUE"""),"Future Farms")</f>
        <v>Future Farms</v>
      </c>
      <c r="E4972" s="122">
        <f>IFERROR(__xludf.DUMMYFUNCTION("""COMPUTED_VALUE"""),89.64)</f>
        <v>89.64</v>
      </c>
      <c r="F4972" s="122">
        <f>IFERROR(__xludf.DUMMYFUNCTION("""COMPUTED_VALUE"""),0.0015)</f>
        <v>0.0015</v>
      </c>
    </row>
    <row r="4973">
      <c r="A4973" s="131">
        <f>IFERROR(__xludf.DUMMYFUNCTION("""COMPUTED_VALUE"""),46187.50150462963)</f>
        <v>46187.5015</v>
      </c>
      <c r="B4973" s="126">
        <f>IFERROR(__xludf.DUMMYFUNCTION("""COMPUTED_VALUE"""),46187.0)</f>
        <v>46187</v>
      </c>
      <c r="C4973" s="122" t="str">
        <f>IFERROR(__xludf.DUMMYFUNCTION("""COMPUTED_VALUE"""),"MEAT")</f>
        <v>MEAT</v>
      </c>
      <c r="D4973" s="122" t="str">
        <f>IFERROR(__xludf.DUMMYFUNCTION("""COMPUTED_VALUE"""),"MeatWorks")</f>
        <v>MeatWorks</v>
      </c>
      <c r="E4973" s="122">
        <f>IFERROR(__xludf.DUMMYFUNCTION("""COMPUTED_VALUE"""),103.72)</f>
        <v>103.72</v>
      </c>
      <c r="F4973" s="122">
        <f>IFERROR(__xludf.DUMMYFUNCTION("""COMPUTED_VALUE"""),-0.004)</f>
        <v>-0.004</v>
      </c>
    </row>
    <row r="4974">
      <c r="A4974" s="131">
        <f>IFERROR(__xludf.DUMMYFUNCTION("""COMPUTED_VALUE"""),46187.50150462963)</f>
        <v>46187.5015</v>
      </c>
      <c r="B4974" s="126">
        <f>IFERROR(__xludf.DUMMYFUNCTION("""COMPUTED_VALUE"""),46187.0)</f>
        <v>46187</v>
      </c>
      <c r="C4974" s="122" t="str">
        <f>IFERROR(__xludf.DUMMYFUNCTION("""COMPUTED_VALUE"""),"VEGI")</f>
        <v>VEGI</v>
      </c>
      <c r="D4974" s="122" t="str">
        <f>IFERROR(__xludf.DUMMYFUNCTION("""COMPUTED_VALUE"""),"Green Basket")</f>
        <v>Green Basket</v>
      </c>
      <c r="E4974" s="122">
        <f>IFERROR(__xludf.DUMMYFUNCTION("""COMPUTED_VALUE"""),79.37)</f>
        <v>79.37</v>
      </c>
      <c r="F4974" s="122">
        <f>IFERROR(__xludf.DUMMYFUNCTION("""COMPUTED_VALUE"""),-0.0045)</f>
        <v>-0.0045</v>
      </c>
    </row>
    <row r="4975">
      <c r="A4975" s="131">
        <f>IFERROR(__xludf.DUMMYFUNCTION("""COMPUTED_VALUE"""),46187.50150462963)</f>
        <v>46187.5015</v>
      </c>
      <c r="B4975" s="126">
        <f>IFERROR(__xludf.DUMMYFUNCTION("""COMPUTED_VALUE"""),46187.0)</f>
        <v>46187</v>
      </c>
      <c r="C4975" s="122" t="str">
        <f>IFERROR(__xludf.DUMMYFUNCTION("""COMPUTED_VALUE"""),"CAFE")</f>
        <v>CAFE</v>
      </c>
      <c r="D4975" s="122" t="str">
        <f>IFERROR(__xludf.DUMMYFUNCTION("""COMPUTED_VALUE"""),"Cafe Cloud")</f>
        <v>Cafe Cloud</v>
      </c>
      <c r="E4975" s="122">
        <f>IFERROR(__xludf.DUMMYFUNCTION("""COMPUTED_VALUE"""),100.7)</f>
        <v>100.7</v>
      </c>
      <c r="F4975" s="122">
        <f>IFERROR(__xludf.DUMMYFUNCTION("""COMPUTED_VALUE"""),0.0049)</f>
        <v>0.0049</v>
      </c>
    </row>
    <row r="4976">
      <c r="A4976" s="131">
        <f>IFERROR(__xludf.DUMMYFUNCTION("""COMPUTED_VALUE"""),46187.50150462963)</f>
        <v>46187.5015</v>
      </c>
      <c r="B4976" s="126">
        <f>IFERROR(__xludf.DUMMYFUNCTION("""COMPUTED_VALUE"""),46187.0)</f>
        <v>46187</v>
      </c>
      <c r="C4976" s="122" t="str">
        <f>IFERROR(__xludf.DUMMYFUNCTION("""COMPUTED_VALUE"""),"BAKE")</f>
        <v>BAKE</v>
      </c>
      <c r="D4976" s="122" t="str">
        <f>IFERROR(__xludf.DUMMYFUNCTION("""COMPUTED_VALUE"""),"BakeHouse")</f>
        <v>BakeHouse</v>
      </c>
      <c r="E4976" s="122">
        <f>IFERROR(__xludf.DUMMYFUNCTION("""COMPUTED_VALUE"""),101.62)</f>
        <v>101.62</v>
      </c>
      <c r="F4976" s="122">
        <f>IFERROR(__xludf.DUMMYFUNCTION("""COMPUTED_VALUE"""),-6.0E-4)</f>
        <v>-0.0006</v>
      </c>
    </row>
    <row r="4977">
      <c r="A4977" s="131">
        <f>IFERROR(__xludf.DUMMYFUNCTION("""COMPUTED_VALUE"""),46187.50150462963)</f>
        <v>46187.5015</v>
      </c>
      <c r="B4977" s="126">
        <f>IFERROR(__xludf.DUMMYFUNCTION("""COMPUTED_VALUE"""),46187.0)</f>
        <v>46187</v>
      </c>
      <c r="C4977" s="122" t="str">
        <f>IFERROR(__xludf.DUMMYFUNCTION("""COMPUTED_VALUE"""),"OILX")</f>
        <v>OILX</v>
      </c>
      <c r="D4977" s="122" t="str">
        <f>IFERROR(__xludf.DUMMYFUNCTION("""COMPUTED_VALUE"""),"OilMax Energy")</f>
        <v>OilMax Energy</v>
      </c>
      <c r="E4977" s="122">
        <f>IFERROR(__xludf.DUMMYFUNCTION("""COMPUTED_VALUE"""),129.11)</f>
        <v>129.11</v>
      </c>
      <c r="F4977" s="122">
        <f>IFERROR(__xludf.DUMMYFUNCTION("""COMPUTED_VALUE"""),-0.0065)</f>
        <v>-0.0065</v>
      </c>
    </row>
    <row r="4978">
      <c r="A4978" s="131">
        <f>IFERROR(__xludf.DUMMYFUNCTION("""COMPUTED_VALUE"""),46187.50150462963)</f>
        <v>46187.5015</v>
      </c>
      <c r="B4978" s="126">
        <f>IFERROR(__xludf.DUMMYFUNCTION("""COMPUTED_VALUE"""),46187.0)</f>
        <v>46187</v>
      </c>
      <c r="C4978" s="122" t="str">
        <f>IFERROR(__xludf.DUMMYFUNCTION("""COMPUTED_VALUE"""),"SOLR")</f>
        <v>SOLR</v>
      </c>
      <c r="D4978" s="122" t="str">
        <f>IFERROR(__xludf.DUMMYFUNCTION("""COMPUTED_VALUE"""),"SolarSpark")</f>
        <v>SolarSpark</v>
      </c>
      <c r="E4978" s="122">
        <f>IFERROR(__xludf.DUMMYFUNCTION("""COMPUTED_VALUE"""),97.33)</f>
        <v>97.33</v>
      </c>
      <c r="F4978" s="122">
        <f>IFERROR(__xludf.DUMMYFUNCTION("""COMPUTED_VALUE"""),0.0078)</f>
        <v>0.0078</v>
      </c>
    </row>
    <row r="4979">
      <c r="A4979" s="131">
        <f>IFERROR(__xludf.DUMMYFUNCTION("""COMPUTED_VALUE"""),46187.50150462963)</f>
        <v>46187.5015</v>
      </c>
      <c r="B4979" s="126">
        <f>IFERROR(__xludf.DUMMYFUNCTION("""COMPUTED_VALUE"""),46187.0)</f>
        <v>46187</v>
      </c>
      <c r="C4979" s="122" t="str">
        <f>IFERROR(__xludf.DUMMYFUNCTION("""COMPUTED_VALUE"""),"BATT")</f>
        <v>BATT</v>
      </c>
      <c r="D4979" s="122" t="str">
        <f>IFERROR(__xludf.DUMMYFUNCTION("""COMPUTED_VALUE"""),"BatteryBox")</f>
        <v>BatteryBox</v>
      </c>
      <c r="E4979" s="122">
        <f>IFERROR(__xludf.DUMMYFUNCTION("""COMPUTED_VALUE"""),119.91)</f>
        <v>119.91</v>
      </c>
      <c r="F4979" s="122">
        <f>IFERROR(__xludf.DUMMYFUNCTION("""COMPUTED_VALUE"""),-0.0104)</f>
        <v>-0.0104</v>
      </c>
    </row>
    <row r="4980">
      <c r="A4980" s="131">
        <f>IFERROR(__xludf.DUMMYFUNCTION("""COMPUTED_VALUE"""),46187.50150462963)</f>
        <v>46187.5015</v>
      </c>
      <c r="B4980" s="126">
        <f>IFERROR(__xludf.DUMMYFUNCTION("""COMPUTED_VALUE"""),46187.0)</f>
        <v>46187</v>
      </c>
      <c r="C4980" s="122" t="str">
        <f>IFERROR(__xludf.DUMMYFUNCTION("""COMPUTED_VALUE"""),"WIND")</f>
        <v>WIND</v>
      </c>
      <c r="D4980" s="122" t="str">
        <f>IFERROR(__xludf.DUMMYFUNCTION("""COMPUTED_VALUE"""),"WindWorks")</f>
        <v>WindWorks</v>
      </c>
      <c r="E4980" s="122">
        <f>IFERROR(__xludf.DUMMYFUNCTION("""COMPUTED_VALUE"""),87.29)</f>
        <v>87.29</v>
      </c>
      <c r="F4980" s="122">
        <f>IFERROR(__xludf.DUMMYFUNCTION("""COMPUTED_VALUE"""),-0.003)</f>
        <v>-0.003</v>
      </c>
    </row>
    <row r="4981">
      <c r="A4981" s="131">
        <f>IFERROR(__xludf.DUMMYFUNCTION("""COMPUTED_VALUE"""),46187.50150462963)</f>
        <v>46187.5015</v>
      </c>
      <c r="B4981" s="126">
        <f>IFERROR(__xludf.DUMMYFUNCTION("""COMPUTED_VALUE"""),46187.0)</f>
        <v>46187</v>
      </c>
      <c r="C4981" s="122" t="str">
        <f>IFERROR(__xludf.DUMMYFUNCTION("""COMPUTED_VALUE"""),"GRID")</f>
        <v>GRID</v>
      </c>
      <c r="D4981" s="122" t="str">
        <f>IFERROR(__xludf.DUMMYFUNCTION("""COMPUTED_VALUE"""),"GridPower")</f>
        <v>GridPower</v>
      </c>
      <c r="E4981" s="122">
        <f>IFERROR(__xludf.DUMMYFUNCTION("""COMPUTED_VALUE"""),137.73)</f>
        <v>137.73</v>
      </c>
      <c r="F4981" s="122">
        <f>IFERROR(__xludf.DUMMYFUNCTION("""COMPUTED_VALUE"""),7.0E-4)</f>
        <v>0.0007</v>
      </c>
    </row>
    <row r="4982">
      <c r="A4982" s="131">
        <f>IFERROR(__xludf.DUMMYFUNCTION("""COMPUTED_VALUE"""),46187.50150462963)</f>
        <v>46187.5015</v>
      </c>
      <c r="B4982" s="126">
        <f>IFERROR(__xludf.DUMMYFUNCTION("""COMPUTED_VALUE"""),46187.0)</f>
        <v>46187</v>
      </c>
      <c r="C4982" s="122" t="str">
        <f>IFERROR(__xludf.DUMMYFUNCTION("""COMPUTED_VALUE"""),"HOME")</f>
        <v>HOME</v>
      </c>
      <c r="D4982" s="122" t="str">
        <f>IFERROR(__xludf.DUMMYFUNCTION("""COMPUTED_VALUE"""),"HomeHub")</f>
        <v>HomeHub</v>
      </c>
      <c r="E4982" s="122">
        <f>IFERROR(__xludf.DUMMYFUNCTION("""COMPUTED_VALUE"""),152.15)</f>
        <v>152.15</v>
      </c>
      <c r="F4982" s="122">
        <f>IFERROR(__xludf.DUMMYFUNCTION("""COMPUTED_VALUE"""),7.0E-4)</f>
        <v>0.0007</v>
      </c>
    </row>
    <row r="4983">
      <c r="A4983" s="131">
        <f>IFERROR(__xludf.DUMMYFUNCTION("""COMPUTED_VALUE"""),46187.50150462963)</f>
        <v>46187.5015</v>
      </c>
      <c r="B4983" s="126">
        <f>IFERROR(__xludf.DUMMYFUNCTION("""COMPUTED_VALUE"""),46187.0)</f>
        <v>46187</v>
      </c>
      <c r="C4983" s="122" t="str">
        <f>IFERROR(__xludf.DUMMYFUNCTION("""COMPUTED_VALUE"""),"RENT")</f>
        <v>RENT</v>
      </c>
      <c r="D4983" s="122" t="str">
        <f>IFERROR(__xludf.DUMMYFUNCTION("""COMPUTED_VALUE"""),"RentRight")</f>
        <v>RentRight</v>
      </c>
      <c r="E4983" s="122">
        <f>IFERROR(__xludf.DUMMYFUNCTION("""COMPUTED_VALUE"""),92.14)</f>
        <v>92.14</v>
      </c>
      <c r="F4983" s="122">
        <f>IFERROR(__xludf.DUMMYFUNCTION("""COMPUTED_VALUE"""),0.0)</f>
        <v>0</v>
      </c>
    </row>
    <row r="4984">
      <c r="A4984" s="131">
        <f>IFERROR(__xludf.DUMMYFUNCTION("""COMPUTED_VALUE"""),46187.50150462963)</f>
        <v>46187.5015</v>
      </c>
      <c r="B4984" s="126">
        <f>IFERROR(__xludf.DUMMYFUNCTION("""COMPUTED_VALUE"""),46187.0)</f>
        <v>46187</v>
      </c>
      <c r="C4984" s="122" t="str">
        <f>IFERROR(__xludf.DUMMYFUNCTION("""COMPUTED_VALUE"""),"MALL")</f>
        <v>MALL</v>
      </c>
      <c r="D4984" s="122" t="str">
        <f>IFERROR(__xludf.DUMMYFUNCTION("""COMPUTED_VALUE"""),"MegaMall")</f>
        <v>MegaMall</v>
      </c>
      <c r="E4984" s="122">
        <f>IFERROR(__xludf.DUMMYFUNCTION("""COMPUTED_VALUE"""),100.08)</f>
        <v>100.08</v>
      </c>
      <c r="F4984" s="122">
        <f>IFERROR(__xludf.DUMMYFUNCTION("""COMPUTED_VALUE"""),-0.0011)</f>
        <v>-0.0011</v>
      </c>
    </row>
    <row r="4985">
      <c r="A4985" s="131">
        <f>IFERROR(__xludf.DUMMYFUNCTION("""COMPUTED_VALUE"""),46187.50150462963)</f>
        <v>46187.5015</v>
      </c>
      <c r="B4985" s="126">
        <f>IFERROR(__xludf.DUMMYFUNCTION("""COMPUTED_VALUE"""),46187.0)</f>
        <v>46187</v>
      </c>
      <c r="C4985" s="122" t="str">
        <f>IFERROR(__xludf.DUMMYFUNCTION("""COMPUTED_VALUE"""),"HOTL")</f>
        <v>HOTL</v>
      </c>
      <c r="D4985" s="122" t="str">
        <f>IFERROR(__xludf.DUMMYFUNCTION("""COMPUTED_VALUE"""),"HotelHive")</f>
        <v>HotelHive</v>
      </c>
      <c r="E4985" s="122">
        <f>IFERROR(__xludf.DUMMYFUNCTION("""COMPUTED_VALUE"""),125.57)</f>
        <v>125.57</v>
      </c>
      <c r="F4985" s="122">
        <f>IFERROR(__xludf.DUMMYFUNCTION("""COMPUTED_VALUE"""),-0.0066)</f>
        <v>-0.0066</v>
      </c>
    </row>
    <row r="4986">
      <c r="A4986" s="131">
        <f>IFERROR(__xludf.DUMMYFUNCTION("""COMPUTED_VALUE"""),46187.50150462963)</f>
        <v>46187.5015</v>
      </c>
      <c r="B4986" s="126">
        <f>IFERROR(__xludf.DUMMYFUNCTION("""COMPUTED_VALUE"""),46187.0)</f>
        <v>46187</v>
      </c>
      <c r="C4986" s="122" t="str">
        <f>IFERROR(__xludf.DUMMYFUNCTION("""COMPUTED_VALUE"""),"LAND")</f>
        <v>LAND</v>
      </c>
      <c r="D4986" s="122" t="str">
        <f>IFERROR(__xludf.DUMMYFUNCTION("""COMPUTED_VALUE"""),"LandLink")</f>
        <v>LandLink</v>
      </c>
      <c r="E4986" s="122">
        <f>IFERROR(__xludf.DUMMYFUNCTION("""COMPUTED_VALUE"""),183.14)</f>
        <v>183.14</v>
      </c>
      <c r="F4986" s="122">
        <f>IFERROR(__xludf.DUMMYFUNCTION("""COMPUTED_VALUE"""),-0.003)</f>
        <v>-0.003</v>
      </c>
    </row>
    <row r="4987">
      <c r="A4987" s="131">
        <f>IFERROR(__xludf.DUMMYFUNCTION("""COMPUTED_VALUE"""),46187.50150462963)</f>
        <v>46187.5015</v>
      </c>
      <c r="B4987" s="126">
        <f>IFERROR(__xludf.DUMMYFUNCTION("""COMPUTED_VALUE"""),46187.0)</f>
        <v>46187</v>
      </c>
      <c r="C4987" s="122" t="str">
        <f>IFERROR(__xludf.DUMMYFUNCTION("""COMPUTED_VALUE"""),"CARS")</f>
        <v>CARS</v>
      </c>
      <c r="D4987" s="122" t="str">
        <f>IFERROR(__xludf.DUMMYFUNCTION("""COMPUTED_VALUE"""),"AutoArena")</f>
        <v>AutoArena</v>
      </c>
      <c r="E4987" s="122">
        <f>IFERROR(__xludf.DUMMYFUNCTION("""COMPUTED_VALUE"""),83.28)</f>
        <v>83.28</v>
      </c>
      <c r="F4987" s="122">
        <f>IFERROR(__xludf.DUMMYFUNCTION("""COMPUTED_VALUE"""),0.0037)</f>
        <v>0.0037</v>
      </c>
    </row>
    <row r="4988">
      <c r="A4988" s="131">
        <f>IFERROR(__xludf.DUMMYFUNCTION("""COMPUTED_VALUE"""),46187.50150462963)</f>
        <v>46187.5015</v>
      </c>
      <c r="B4988" s="126">
        <f>IFERROR(__xludf.DUMMYFUNCTION("""COMPUTED_VALUE"""),46187.0)</f>
        <v>46187</v>
      </c>
      <c r="C4988" s="122" t="str">
        <f>IFERROR(__xludf.DUMMYFUNCTION("""COMPUTED_VALUE"""),"EVGO")</f>
        <v>EVGO</v>
      </c>
      <c r="D4988" s="122" t="str">
        <f>IFERROR(__xludf.DUMMYFUNCTION("""COMPUTED_VALUE"""),"EVGo Motors")</f>
        <v>EVGo Motors</v>
      </c>
      <c r="E4988" s="122">
        <f>IFERROR(__xludf.DUMMYFUNCTION("""COMPUTED_VALUE"""),187.52)</f>
        <v>187.52</v>
      </c>
      <c r="F4988" s="122">
        <f>IFERROR(__xludf.DUMMYFUNCTION("""COMPUTED_VALUE"""),-0.0051)</f>
        <v>-0.0051</v>
      </c>
    </row>
    <row r="4989">
      <c r="A4989" s="131">
        <f>IFERROR(__xludf.DUMMYFUNCTION("""COMPUTED_VALUE"""),46187.50150462963)</f>
        <v>46187.5015</v>
      </c>
      <c r="B4989" s="126">
        <f>IFERROR(__xludf.DUMMYFUNCTION("""COMPUTED_VALUE"""),46187.0)</f>
        <v>46187</v>
      </c>
      <c r="C4989" s="122" t="str">
        <f>IFERROR(__xludf.DUMMYFUNCTION("""COMPUTED_VALUE"""),"TIRE")</f>
        <v>TIRE</v>
      </c>
      <c r="D4989" s="122" t="str">
        <f>IFERROR(__xludf.DUMMYFUNCTION("""COMPUTED_VALUE"""),"TireTown")</f>
        <v>TireTown</v>
      </c>
      <c r="E4989" s="122">
        <f>IFERROR(__xludf.DUMMYFUNCTION("""COMPUTED_VALUE"""),96.02)</f>
        <v>96.02</v>
      </c>
      <c r="F4989" s="122">
        <f>IFERROR(__xludf.DUMMYFUNCTION("""COMPUTED_VALUE"""),0.0)</f>
        <v>0</v>
      </c>
    </row>
    <row r="4990">
      <c r="A4990" s="131">
        <f>IFERROR(__xludf.DUMMYFUNCTION("""COMPUTED_VALUE"""),46187.50150462963)</f>
        <v>46187.5015</v>
      </c>
      <c r="B4990" s="126">
        <f>IFERROR(__xludf.DUMMYFUNCTION("""COMPUTED_VALUE"""),46187.0)</f>
        <v>46187</v>
      </c>
      <c r="C4990" s="122" t="str">
        <f>IFERROR(__xludf.DUMMYFUNCTION("""COMPUTED_VALUE"""),"BIKE")</f>
        <v>BIKE</v>
      </c>
      <c r="D4990" s="122" t="str">
        <f>IFERROR(__xludf.DUMMYFUNCTION("""COMPUTED_VALUE"""),"BikeBox")</f>
        <v>BikeBox</v>
      </c>
      <c r="E4990" s="122">
        <f>IFERROR(__xludf.DUMMYFUNCTION("""COMPUTED_VALUE"""),52.96)</f>
        <v>52.96</v>
      </c>
      <c r="F4990" s="122">
        <f>IFERROR(__xludf.DUMMYFUNCTION("""COMPUTED_VALUE"""),4.0E-4)</f>
        <v>0.0004</v>
      </c>
    </row>
    <row r="4991">
      <c r="A4991" s="131">
        <f>IFERROR(__xludf.DUMMYFUNCTION("""COMPUTED_VALUE"""),46187.50150462963)</f>
        <v>46187.5015</v>
      </c>
      <c r="B4991" s="126">
        <f>IFERROR(__xludf.DUMMYFUNCTION("""COMPUTED_VALUE"""),46187.0)</f>
        <v>46187</v>
      </c>
      <c r="C4991" s="122" t="str">
        <f>IFERROR(__xludf.DUMMYFUNCTION("""COMPUTED_VALUE"""),"WASH")</f>
        <v>WASH</v>
      </c>
      <c r="D4991" s="122" t="str">
        <f>IFERROR(__xludf.DUMMYFUNCTION("""COMPUTED_VALUE"""),"CarWash Co")</f>
        <v>CarWash Co</v>
      </c>
      <c r="E4991" s="122">
        <f>IFERROR(__xludf.DUMMYFUNCTION("""COMPUTED_VALUE"""),118.79)</f>
        <v>118.79</v>
      </c>
      <c r="F4991" s="122">
        <f>IFERROR(__xludf.DUMMYFUNCTION("""COMPUTED_VALUE"""),-0.0018)</f>
        <v>-0.0018</v>
      </c>
    </row>
    <row r="4992">
      <c r="A4992" s="131">
        <f>IFERROR(__xludf.DUMMYFUNCTION("""COMPUTED_VALUE"""),46187.50150462963)</f>
        <v>46187.5015</v>
      </c>
      <c r="B4992" s="126">
        <f>IFERROR(__xludf.DUMMYFUNCTION("""COMPUTED_VALUE"""),46187.0)</f>
        <v>46187</v>
      </c>
      <c r="C4992" s="122" t="str">
        <f>IFERROR(__xludf.DUMMYFUNCTION("""COMPUTED_VALUE"""),"GBND")</f>
        <v>GBND</v>
      </c>
      <c r="D4992" s="122" t="str">
        <f>IFERROR(__xludf.DUMMYFUNCTION("""COMPUTED_VALUE"""),"Classroom Government Bond")</f>
        <v>Classroom Government Bond</v>
      </c>
      <c r="E4992" s="122">
        <f>IFERROR(__xludf.DUMMYFUNCTION("""COMPUTED_VALUE"""),101.0)</f>
        <v>101</v>
      </c>
      <c r="F4992" s="122">
        <f>IFERROR(__xludf.DUMMYFUNCTION("""COMPUTED_VALUE"""),-1.0E-4)</f>
        <v>-0.0001</v>
      </c>
    </row>
    <row r="4993">
      <c r="A4993" s="131">
        <f>IFERROR(__xludf.DUMMYFUNCTION("""COMPUTED_VALUE"""),46187.50150462963)</f>
        <v>46187.5015</v>
      </c>
      <c r="B4993" s="126">
        <f>IFERROR(__xludf.DUMMYFUNCTION("""COMPUTED_VALUE"""),46187.0)</f>
        <v>46187</v>
      </c>
      <c r="C4993" s="122" t="str">
        <f>IFERROR(__xludf.DUMMYFUNCTION("""COMPUTED_VALUE"""),"SBND")</f>
        <v>SBND</v>
      </c>
      <c r="D4993" s="122" t="str">
        <f>IFERROR(__xludf.DUMMYFUNCTION("""COMPUTED_VALUE"""),"School Savings Bond")</f>
        <v>School Savings Bond</v>
      </c>
      <c r="E4993" s="122">
        <f>IFERROR(__xludf.DUMMYFUNCTION("""COMPUTED_VALUE"""),99.45)</f>
        <v>99.45</v>
      </c>
      <c r="F4993" s="122">
        <f>IFERROR(__xludf.DUMMYFUNCTION("""COMPUTED_VALUE"""),0.0)</f>
        <v>0</v>
      </c>
    </row>
    <row r="4994">
      <c r="A4994" s="131">
        <f>IFERROR(__xludf.DUMMYFUNCTION("""COMPUTED_VALUE"""),46187.50150462963)</f>
        <v>46187.5015</v>
      </c>
      <c r="B4994" s="126">
        <f>IFERROR(__xludf.DUMMYFUNCTION("""COMPUTED_VALUE"""),46187.0)</f>
        <v>46187</v>
      </c>
      <c r="C4994" s="122" t="str">
        <f>IFERROR(__xludf.DUMMYFUNCTION("""COMPUTED_VALUE"""),"CBND")</f>
        <v>CBND</v>
      </c>
      <c r="D4994" s="122" t="str">
        <f>IFERROR(__xludf.DUMMYFUNCTION("""COMPUTED_VALUE"""),"Corporate Classroom Bond")</f>
        <v>Corporate Classroom Bond</v>
      </c>
      <c r="E4994" s="122">
        <f>IFERROR(__xludf.DUMMYFUNCTION("""COMPUTED_VALUE"""),97.79)</f>
        <v>97.79</v>
      </c>
      <c r="F4994" s="122">
        <f>IFERROR(__xludf.DUMMYFUNCTION("""COMPUTED_VALUE"""),-5.0E-4)</f>
        <v>-0.0005</v>
      </c>
    </row>
    <row r="4995">
      <c r="A4995" s="131">
        <f>IFERROR(__xludf.DUMMYFUNCTION("""COMPUTED_VALUE"""),46187.50150462963)</f>
        <v>46187.5015</v>
      </c>
      <c r="B4995" s="126">
        <f>IFERROR(__xludf.DUMMYFUNCTION("""COMPUTED_VALUE"""),46187.0)</f>
        <v>46187</v>
      </c>
      <c r="C4995" s="122" t="str">
        <f>IFERROR(__xludf.DUMMYFUNCTION("""COMPUTED_VALUE"""),"TBIL")</f>
        <v>TBIL</v>
      </c>
      <c r="D4995" s="122" t="str">
        <f>IFERROR(__xludf.DUMMYFUNCTION("""COMPUTED_VALUE"""),"Treasury Bill")</f>
        <v>Treasury Bill</v>
      </c>
      <c r="E4995" s="122">
        <f>IFERROR(__xludf.DUMMYFUNCTION("""COMPUTED_VALUE"""),98.13)</f>
        <v>98.13</v>
      </c>
      <c r="F4995" s="122">
        <f>IFERROR(__xludf.DUMMYFUNCTION("""COMPUTED_VALUE"""),-1.0E-4)</f>
        <v>-0.0001</v>
      </c>
    </row>
    <row r="4996">
      <c r="A4996" s="131">
        <f>IFERROR(__xludf.DUMMYFUNCTION("""COMPUTED_VALUE"""),46187.50150462963)</f>
        <v>46187.5015</v>
      </c>
      <c r="B4996" s="126">
        <f>IFERROR(__xludf.DUMMYFUNCTION("""COMPUTED_VALUE"""),46187.0)</f>
        <v>46187</v>
      </c>
      <c r="C4996" s="122" t="str">
        <f>IFERROR(__xludf.DUMMYFUNCTION("""COMPUTED_VALUE"""),"IBND")</f>
        <v>IBND</v>
      </c>
      <c r="D4996" s="122" t="str">
        <f>IFERROR(__xludf.DUMMYFUNCTION("""COMPUTED_VALUE"""),"Inflation Protected Bond")</f>
        <v>Inflation Protected Bond</v>
      </c>
      <c r="E4996" s="122">
        <f>IFERROR(__xludf.DUMMYFUNCTION("""COMPUTED_VALUE"""),100.73)</f>
        <v>100.73</v>
      </c>
      <c r="F4996" s="122">
        <f>IFERROR(__xludf.DUMMYFUNCTION("""COMPUTED_VALUE"""),4.0E-4)</f>
        <v>0.0004</v>
      </c>
    </row>
    <row r="4997">
      <c r="A4997" s="131">
        <f>IFERROR(__xludf.DUMMYFUNCTION("""COMPUTED_VALUE"""),46187.50298611111)</f>
        <v>46187.50299</v>
      </c>
      <c r="B4997" s="126">
        <f>IFERROR(__xludf.DUMMYFUNCTION("""COMPUTED_VALUE"""),46187.0)</f>
        <v>46187</v>
      </c>
      <c r="C4997" s="130">
        <f>IFERROR(__xludf.DUMMYFUNCTION("""COMPUTED_VALUE"""),0.5029861111111111)</f>
        <v>0.5029861111</v>
      </c>
      <c r="D4997" s="122" t="str">
        <f>IFERROR(__xludf.DUMMYFUNCTION("""COMPUTED_VALUE"""),"SNAX")</f>
        <v>SNAX</v>
      </c>
      <c r="E4997" s="122" t="str">
        <f>IFERROR(__xludf.DUMMYFUNCTION("""COMPUTED_VALUE"""),"MICA Snacks")</f>
        <v>MICA Snacks</v>
      </c>
      <c r="F4997" s="122" t="str">
        <f>IFERROR(__xludf.DUMMYFUNCTION("""COMPUTED_VALUE"""),"Consumer Goods")</f>
        <v>Consumer Goods</v>
      </c>
    </row>
    <row r="4998">
      <c r="A4998" s="131">
        <f>IFERROR(__xludf.DUMMYFUNCTION("""COMPUTED_VALUE"""),46187.50298611111)</f>
        <v>46187.50299</v>
      </c>
      <c r="B4998" s="126">
        <f>IFERROR(__xludf.DUMMYFUNCTION("""COMPUTED_VALUE"""),46187.0)</f>
        <v>46187</v>
      </c>
      <c r="C4998" s="130">
        <f>IFERROR(__xludf.DUMMYFUNCTION("""COMPUTED_VALUE"""),0.5029861111111111)</f>
        <v>0.5029861111</v>
      </c>
      <c r="D4998" s="122" t="str">
        <f>IFERROR(__xludf.DUMMYFUNCTION("""COMPUTED_VALUE"""),"RAMN")</f>
        <v>RAMN</v>
      </c>
      <c r="E4998" s="122" t="str">
        <f>IFERROR(__xludf.DUMMYFUNCTION("""COMPUTED_VALUE"""),"Ramen Republic")</f>
        <v>Ramen Republic</v>
      </c>
      <c r="F4998" s="122" t="str">
        <f>IFERROR(__xludf.DUMMYFUNCTION("""COMPUTED_VALUE"""),"Food")</f>
        <v>Food</v>
      </c>
    </row>
    <row r="4999">
      <c r="A4999" s="131">
        <f>IFERROR(__xludf.DUMMYFUNCTION("""COMPUTED_VALUE"""),46187.50298611111)</f>
        <v>46187.50299</v>
      </c>
      <c r="B4999" s="126">
        <f>IFERROR(__xludf.DUMMYFUNCTION("""COMPUTED_VALUE"""),46187.0)</f>
        <v>46187</v>
      </c>
      <c r="C4999" s="130">
        <f>IFERROR(__xludf.DUMMYFUNCTION("""COMPUTED_VALUE"""),0.5029861111111111)</f>
        <v>0.5029861111</v>
      </c>
      <c r="D4999" s="122" t="str">
        <f>IFERROR(__xludf.DUMMYFUNCTION("""COMPUTED_VALUE"""),"COLA")</f>
        <v>COLA</v>
      </c>
      <c r="E4999" s="122" t="str">
        <f>IFERROR(__xludf.DUMMYFUNCTION("""COMPUTED_VALUE"""),"K-Pop Cola")</f>
        <v>K-Pop Cola</v>
      </c>
      <c r="F4999" s="122" t="str">
        <f>IFERROR(__xludf.DUMMYFUNCTION("""COMPUTED_VALUE"""),"Beverage")</f>
        <v>Beverage</v>
      </c>
    </row>
    <row r="5000">
      <c r="A5000" s="131">
        <f>IFERROR(__xludf.DUMMYFUNCTION("""COMPUTED_VALUE"""),46187.50298611111)</f>
        <v>46187.50299</v>
      </c>
      <c r="B5000" s="126">
        <f>IFERROR(__xludf.DUMMYFUNCTION("""COMPUTED_VALUE"""),46187.0)</f>
        <v>46187</v>
      </c>
      <c r="C5000" s="130">
        <f>IFERROR(__xludf.DUMMYFUNCTION("""COMPUTED_VALUE"""),0.5029861111111111)</f>
        <v>0.5029861111</v>
      </c>
      <c r="D5000" s="122" t="str">
        <f>IFERROR(__xludf.DUMMYFUNCTION("""COMPUTED_VALUE"""),"CHIP")</f>
        <v>CHIP</v>
      </c>
      <c r="E5000" s="122" t="str">
        <f>IFERROR(__xludf.DUMMYFUNCTION("""COMPUTED_VALUE"""),"Chip Empire")</f>
        <v>Chip Empire</v>
      </c>
      <c r="F5000" s="122" t="str">
        <f>IFERROR(__xludf.DUMMYFUNCTION("""COMPUTED_VALUE"""),"Consumer Goods")</f>
        <v>Consumer Goods</v>
      </c>
    </row>
    <row r="5001">
      <c r="A5001" s="131">
        <f>IFERROR(__xludf.DUMMYFUNCTION("""COMPUTED_VALUE"""),46187.50298611111)</f>
        <v>46187.50299</v>
      </c>
      <c r="B5001" s="126">
        <f>IFERROR(__xludf.DUMMYFUNCTION("""COMPUTED_VALUE"""),46187.0)</f>
        <v>46187</v>
      </c>
      <c r="C5001" s="130">
        <f>IFERROR(__xludf.DUMMYFUNCTION("""COMPUTED_VALUE"""),0.5029861111111111)</f>
        <v>0.5029861111</v>
      </c>
      <c r="D5001" s="122" t="str">
        <f>IFERROR(__xludf.DUMMYFUNCTION("""COMPUTED_VALUE"""),"CAND")</f>
        <v>CAND</v>
      </c>
      <c r="E5001" s="122" t="str">
        <f>IFERROR(__xludf.DUMMYFUNCTION("""COMPUTED_VALUE"""),"Candy Capital")</f>
        <v>Candy Capital</v>
      </c>
      <c r="F5001" s="122" t="str">
        <f>IFERROR(__xludf.DUMMYFUNCTION("""COMPUTED_VALUE"""),"Consumer Goods")</f>
        <v>Consumer Goods</v>
      </c>
    </row>
    <row r="5002">
      <c r="A5002" s="131">
        <f>IFERROR(__xludf.DUMMYFUNCTION("""COMPUTED_VALUE"""),46187.50298611111)</f>
        <v>46187.50299</v>
      </c>
      <c r="B5002" s="126">
        <f>IFERROR(__xludf.DUMMYFUNCTION("""COMPUTED_VALUE"""),46187.0)</f>
        <v>46187</v>
      </c>
      <c r="C5002" s="130">
        <f>IFERROR(__xludf.DUMMYFUNCTION("""COMPUTED_VALUE"""),0.5029861111111111)</f>
        <v>0.5029861111</v>
      </c>
      <c r="D5002" s="122" t="str">
        <f>IFERROR(__xludf.DUMMYFUNCTION("""COMPUTED_VALUE"""),"TECH")</f>
        <v>TECH</v>
      </c>
      <c r="E5002" s="122" t="str">
        <f>IFERROR(__xludf.DUMMYFUNCTION("""COMPUTED_VALUE"""),"Dragon Tech")</f>
        <v>Dragon Tech</v>
      </c>
      <c r="F5002" s="122" t="str">
        <f>IFERROR(__xludf.DUMMYFUNCTION("""COMPUTED_VALUE"""),"Technology")</f>
        <v>Technology</v>
      </c>
    </row>
    <row r="5003">
      <c r="A5003" s="131">
        <f>IFERROR(__xludf.DUMMYFUNCTION("""COMPUTED_VALUE"""),46187.50298611111)</f>
        <v>46187.50299</v>
      </c>
      <c r="B5003" s="126">
        <f>IFERROR(__xludf.DUMMYFUNCTION("""COMPUTED_VALUE"""),46187.0)</f>
        <v>46187</v>
      </c>
      <c r="C5003" s="130">
        <f>IFERROR(__xludf.DUMMYFUNCTION("""COMPUTED_VALUE"""),0.5029861111111111)</f>
        <v>0.5029861111</v>
      </c>
      <c r="D5003" s="122" t="str">
        <f>IFERROR(__xludf.DUMMYFUNCTION("""COMPUTED_VALUE"""),"AIBO")</f>
        <v>AIBO</v>
      </c>
      <c r="E5003" s="122" t="str">
        <f>IFERROR(__xludf.DUMMYFUNCTION("""COMPUTED_VALUE"""),"Homework AI")</f>
        <v>Homework AI</v>
      </c>
      <c r="F5003" s="122" t="str">
        <f>IFERROR(__xludf.DUMMYFUNCTION("""COMPUTED_VALUE"""),"Technology")</f>
        <v>Technology</v>
      </c>
    </row>
    <row r="5004">
      <c r="A5004" s="131">
        <f>IFERROR(__xludf.DUMMYFUNCTION("""COMPUTED_VALUE"""),46187.50298611111)</f>
        <v>46187.50299</v>
      </c>
      <c r="B5004" s="126">
        <f>IFERROR(__xludf.DUMMYFUNCTION("""COMPUTED_VALUE"""),46187.0)</f>
        <v>46187</v>
      </c>
      <c r="C5004" s="130">
        <f>IFERROR(__xludf.DUMMYFUNCTION("""COMPUTED_VALUE"""),0.5029861111111111)</f>
        <v>0.5029861111</v>
      </c>
      <c r="D5004" s="122" t="str">
        <f>IFERROR(__xludf.DUMMYFUNCTION("""COMPUTED_VALUE"""),"GAME")</f>
        <v>GAME</v>
      </c>
      <c r="E5004" s="122" t="str">
        <f>IFERROR(__xludf.DUMMYFUNCTION("""COMPUTED_VALUE"""),"GameBox Media")</f>
        <v>GameBox Media</v>
      </c>
      <c r="F5004" s="122" t="str">
        <f>IFERROR(__xludf.DUMMYFUNCTION("""COMPUTED_VALUE"""),"Entertainment")</f>
        <v>Entertainment</v>
      </c>
    </row>
    <row r="5005">
      <c r="A5005" s="131">
        <f>IFERROR(__xludf.DUMMYFUNCTION("""COMPUTED_VALUE"""),46187.50298611111)</f>
        <v>46187.50299</v>
      </c>
      <c r="B5005" s="126">
        <f>IFERROR(__xludf.DUMMYFUNCTION("""COMPUTED_VALUE"""),46187.0)</f>
        <v>46187</v>
      </c>
      <c r="C5005" s="130">
        <f>IFERROR(__xludf.DUMMYFUNCTION("""COMPUTED_VALUE"""),0.5029861111111111)</f>
        <v>0.5029861111</v>
      </c>
      <c r="D5005" s="122" t="str">
        <f>IFERROR(__xludf.DUMMYFUNCTION("""COMPUTED_VALUE"""),"VRSE")</f>
        <v>VRSE</v>
      </c>
      <c r="E5005" s="122" t="str">
        <f>IFERROR(__xludf.DUMMYFUNCTION("""COMPUTED_VALUE"""),"VerseVR")</f>
        <v>VerseVR</v>
      </c>
      <c r="F5005" s="122" t="str">
        <f>IFERROR(__xludf.DUMMYFUNCTION("""COMPUTED_VALUE"""),"Technology")</f>
        <v>Technology</v>
      </c>
    </row>
    <row r="5006">
      <c r="A5006" s="131">
        <f>IFERROR(__xludf.DUMMYFUNCTION("""COMPUTED_VALUE"""),46187.50298611111)</f>
        <v>46187.50299</v>
      </c>
      <c r="B5006" s="126">
        <f>IFERROR(__xludf.DUMMYFUNCTION("""COMPUTED_VALUE"""),46187.0)</f>
        <v>46187</v>
      </c>
      <c r="C5006" s="130">
        <f>IFERROR(__xludf.DUMMYFUNCTION("""COMPUTED_VALUE"""),0.5029861111111111)</f>
        <v>0.5029861111</v>
      </c>
      <c r="D5006" s="122" t="str">
        <f>IFERROR(__xludf.DUMMYFUNCTION("""COMPUTED_VALUE"""),"BYTE")</f>
        <v>BYTE</v>
      </c>
      <c r="E5006" s="122" t="str">
        <f>IFERROR(__xludf.DUMMYFUNCTION("""COMPUTED_VALUE"""),"ByteWorks")</f>
        <v>ByteWorks</v>
      </c>
      <c r="F5006" s="122" t="str">
        <f>IFERROR(__xludf.DUMMYFUNCTION("""COMPUTED_VALUE"""),"Technology")</f>
        <v>Technology</v>
      </c>
    </row>
    <row r="5007">
      <c r="A5007" s="131">
        <f>IFERROR(__xludf.DUMMYFUNCTION("""COMPUTED_VALUE"""),46187.50298611111)</f>
        <v>46187.50299</v>
      </c>
      <c r="B5007" s="126">
        <f>IFERROR(__xludf.DUMMYFUNCTION("""COMPUTED_VALUE"""),46187.0)</f>
        <v>46187</v>
      </c>
      <c r="C5007" s="130">
        <f>IFERROR(__xludf.DUMMYFUNCTION("""COMPUTED_VALUE"""),0.5029861111111111)</f>
        <v>0.5029861111</v>
      </c>
      <c r="D5007" s="122" t="str">
        <f>IFERROR(__xludf.DUMMYFUNCTION("""COMPUTED_VALUE"""),"BANK")</f>
        <v>BANK</v>
      </c>
      <c r="E5007" s="122" t="str">
        <f>IFERROR(__xludf.DUMMYFUNCTION("""COMPUTED_VALUE"""),"Tiger Bank")</f>
        <v>Tiger Bank</v>
      </c>
      <c r="F5007" s="122" t="str">
        <f>IFERROR(__xludf.DUMMYFUNCTION("""COMPUTED_VALUE"""),"Finance")</f>
        <v>Finance</v>
      </c>
    </row>
    <row r="5008">
      <c r="A5008" s="131">
        <f>IFERROR(__xludf.DUMMYFUNCTION("""COMPUTED_VALUE"""),46187.50298611111)</f>
        <v>46187.50299</v>
      </c>
      <c r="B5008" s="126">
        <f>IFERROR(__xludf.DUMMYFUNCTION("""COMPUTED_VALUE"""),46187.0)</f>
        <v>46187</v>
      </c>
      <c r="C5008" s="130">
        <f>IFERROR(__xludf.DUMMYFUNCTION("""COMPUTED_VALUE"""),0.5029861111111111)</f>
        <v>0.5029861111</v>
      </c>
      <c r="D5008" s="122" t="str">
        <f>IFERROR(__xludf.DUMMYFUNCTION("""COMPUTED_VALUE"""),"CRED")</f>
        <v>CRED</v>
      </c>
      <c r="E5008" s="122" t="str">
        <f>IFERROR(__xludf.DUMMYFUNCTION("""COMPUTED_VALUE"""),"Credit Castle")</f>
        <v>Credit Castle</v>
      </c>
      <c r="F5008" s="122" t="str">
        <f>IFERROR(__xludf.DUMMYFUNCTION("""COMPUTED_VALUE"""),"Finance")</f>
        <v>Finance</v>
      </c>
    </row>
    <row r="5009">
      <c r="A5009" s="131">
        <f>IFERROR(__xludf.DUMMYFUNCTION("""COMPUTED_VALUE"""),46187.50298611111)</f>
        <v>46187.50299</v>
      </c>
      <c r="B5009" s="126">
        <f>IFERROR(__xludf.DUMMYFUNCTION("""COMPUTED_VALUE"""),46187.0)</f>
        <v>46187</v>
      </c>
      <c r="C5009" s="130">
        <f>IFERROR(__xludf.DUMMYFUNCTION("""COMPUTED_VALUE"""),0.5029861111111111)</f>
        <v>0.5029861111</v>
      </c>
      <c r="D5009" s="122" t="str">
        <f>IFERROR(__xludf.DUMMYFUNCTION("""COMPUTED_VALUE"""),"BOND")</f>
        <v>BOND</v>
      </c>
      <c r="E5009" s="122" t="str">
        <f>IFERROR(__xludf.DUMMYFUNCTION("""COMPUTED_VALUE"""),"BondBridge")</f>
        <v>BondBridge</v>
      </c>
      <c r="F5009" s="122" t="str">
        <f>IFERROR(__xludf.DUMMYFUNCTION("""COMPUTED_VALUE"""),"Finance")</f>
        <v>Finance</v>
      </c>
    </row>
    <row r="5010">
      <c r="A5010" s="131">
        <f>IFERROR(__xludf.DUMMYFUNCTION("""COMPUTED_VALUE"""),46187.50298611111)</f>
        <v>46187.50299</v>
      </c>
      <c r="B5010" s="126">
        <f>IFERROR(__xludf.DUMMYFUNCTION("""COMPUTED_VALUE"""),46187.0)</f>
        <v>46187</v>
      </c>
      <c r="C5010" s="130">
        <f>IFERROR(__xludf.DUMMYFUNCTION("""COMPUTED_VALUE"""),0.5029861111111111)</f>
        <v>0.5029861111</v>
      </c>
      <c r="D5010" s="122" t="str">
        <f>IFERROR(__xludf.DUMMYFUNCTION("""COMPUTED_VALUE"""),"INSR")</f>
        <v>INSR</v>
      </c>
      <c r="E5010" s="122" t="str">
        <f>IFERROR(__xludf.DUMMYFUNCTION("""COMPUTED_VALUE"""),"Shield Insurance")</f>
        <v>Shield Insurance</v>
      </c>
      <c r="F5010" s="122" t="str">
        <f>IFERROR(__xludf.DUMMYFUNCTION("""COMPUTED_VALUE"""),"Finance")</f>
        <v>Finance</v>
      </c>
    </row>
    <row r="5011">
      <c r="A5011" s="131">
        <f>IFERROR(__xludf.DUMMYFUNCTION("""COMPUTED_VALUE"""),46187.50298611111)</f>
        <v>46187.50299</v>
      </c>
      <c r="B5011" s="126">
        <f>IFERROR(__xludf.DUMMYFUNCTION("""COMPUTED_VALUE"""),46187.0)</f>
        <v>46187</v>
      </c>
      <c r="C5011" s="130">
        <f>IFERROR(__xludf.DUMMYFUNCTION("""COMPUTED_VALUE"""),0.5029861111111111)</f>
        <v>0.5029861111</v>
      </c>
      <c r="D5011" s="122" t="str">
        <f>IFERROR(__xludf.DUMMYFUNCTION("""COMPUTED_VALUE"""),"LOAN")</f>
        <v>LOAN</v>
      </c>
      <c r="E5011" s="122" t="str">
        <f>IFERROR(__xludf.DUMMYFUNCTION("""COMPUTED_VALUE"""),"LoanLab")</f>
        <v>LoanLab</v>
      </c>
      <c r="F5011" s="122" t="str">
        <f>IFERROR(__xludf.DUMMYFUNCTION("""COMPUTED_VALUE"""),"Finance")</f>
        <v>Finance</v>
      </c>
    </row>
    <row r="5012">
      <c r="A5012" s="131">
        <f>IFERROR(__xludf.DUMMYFUNCTION("""COMPUTED_VALUE"""),46187.50298611111)</f>
        <v>46187.50299</v>
      </c>
      <c r="B5012" s="126">
        <f>IFERROR(__xludf.DUMMYFUNCTION("""COMPUTED_VALUE"""),46187.0)</f>
        <v>46187</v>
      </c>
      <c r="C5012" s="130">
        <f>IFERROR(__xludf.DUMMYFUNCTION("""COMPUTED_VALUE"""),0.5029861111111111)</f>
        <v>0.5029861111</v>
      </c>
      <c r="D5012" s="122" t="str">
        <f>IFERROR(__xludf.DUMMYFUNCTION("""COMPUTED_VALUE"""),"LUXE")</f>
        <v>LUXE</v>
      </c>
      <c r="E5012" s="122" t="str">
        <f>IFERROR(__xludf.DUMMYFUNCTION("""COMPUTED_VALUE"""),"Luxury Locker")</f>
        <v>Luxury Locker</v>
      </c>
      <c r="F5012" s="122" t="str">
        <f>IFERROR(__xludf.DUMMYFUNCTION("""COMPUTED_VALUE"""),"Luxury Goods")</f>
        <v>Luxury Goods</v>
      </c>
    </row>
    <row r="5013">
      <c r="A5013" s="131">
        <f>IFERROR(__xludf.DUMMYFUNCTION("""COMPUTED_VALUE"""),46187.50298611111)</f>
        <v>46187.50299</v>
      </c>
      <c r="B5013" s="126">
        <f>IFERROR(__xludf.DUMMYFUNCTION("""COMPUTED_VALUE"""),46187.0)</f>
        <v>46187</v>
      </c>
      <c r="C5013" s="130">
        <f>IFERROR(__xludf.DUMMYFUNCTION("""COMPUTED_VALUE"""),0.5029861111111111)</f>
        <v>0.5029861111</v>
      </c>
      <c r="D5013" s="122" t="str">
        <f>IFERROR(__xludf.DUMMYFUNCTION("""COMPUTED_VALUE"""),"DRIP")</f>
        <v>DRIP</v>
      </c>
      <c r="E5013" s="122" t="str">
        <f>IFERROR(__xludf.DUMMYFUNCTION("""COMPUTED_VALUE"""),"Drip Streetwear")</f>
        <v>Drip Streetwear</v>
      </c>
      <c r="F5013" s="122" t="str">
        <f>IFERROR(__xludf.DUMMYFUNCTION("""COMPUTED_VALUE"""),"Fashion")</f>
        <v>Fashion</v>
      </c>
    </row>
    <row r="5014">
      <c r="A5014" s="131">
        <f>IFERROR(__xludf.DUMMYFUNCTION("""COMPUTED_VALUE"""),46187.50298611111)</f>
        <v>46187.50299</v>
      </c>
      <c r="B5014" s="126">
        <f>IFERROR(__xludf.DUMMYFUNCTION("""COMPUTED_VALUE"""),46187.0)</f>
        <v>46187</v>
      </c>
      <c r="C5014" s="130">
        <f>IFERROR(__xludf.DUMMYFUNCTION("""COMPUTED_VALUE"""),0.5029861111111111)</f>
        <v>0.5029861111</v>
      </c>
      <c r="D5014" s="122" t="str">
        <f>IFERROR(__xludf.DUMMYFUNCTION("""COMPUTED_VALUE"""),"KICK")</f>
        <v>KICK</v>
      </c>
      <c r="E5014" s="122" t="str">
        <f>IFERROR(__xludf.DUMMYFUNCTION("""COMPUTED_VALUE"""),"KickDrop Sneakers")</f>
        <v>KickDrop Sneakers</v>
      </c>
      <c r="F5014" s="122" t="str">
        <f>IFERROR(__xludf.DUMMYFUNCTION("""COMPUTED_VALUE"""),"Fashion")</f>
        <v>Fashion</v>
      </c>
    </row>
    <row r="5015">
      <c r="A5015" s="131">
        <f>IFERROR(__xludf.DUMMYFUNCTION("""COMPUTED_VALUE"""),46187.50298611111)</f>
        <v>46187.50299</v>
      </c>
      <c r="B5015" s="126">
        <f>IFERROR(__xludf.DUMMYFUNCTION("""COMPUTED_VALUE"""),46187.0)</f>
        <v>46187</v>
      </c>
      <c r="C5015" s="130">
        <f>IFERROR(__xludf.DUMMYFUNCTION("""COMPUTED_VALUE"""),0.5029861111111111)</f>
        <v>0.5029861111</v>
      </c>
      <c r="D5015" s="122" t="str">
        <f>IFERROR(__xludf.DUMMYFUNCTION("""COMPUTED_VALUE"""),"GLAM")</f>
        <v>GLAM</v>
      </c>
      <c r="E5015" s="122" t="str">
        <f>IFERROR(__xludf.DUMMYFUNCTION("""COMPUTED_VALUE"""),"Glow Cosmetics")</f>
        <v>Glow Cosmetics</v>
      </c>
      <c r="F5015" s="122" t="str">
        <f>IFERROR(__xludf.DUMMYFUNCTION("""COMPUTED_VALUE"""),"Fashion")</f>
        <v>Fashion</v>
      </c>
    </row>
    <row r="5016">
      <c r="A5016" s="131">
        <f>IFERROR(__xludf.DUMMYFUNCTION("""COMPUTED_VALUE"""),46187.50298611111)</f>
        <v>46187.50299</v>
      </c>
      <c r="B5016" s="126">
        <f>IFERROR(__xludf.DUMMYFUNCTION("""COMPUTED_VALUE"""),46187.0)</f>
        <v>46187</v>
      </c>
      <c r="C5016" s="130">
        <f>IFERROR(__xludf.DUMMYFUNCTION("""COMPUTED_VALUE"""),0.5029861111111111)</f>
        <v>0.5029861111</v>
      </c>
      <c r="D5016" s="122" t="str">
        <f>IFERROR(__xludf.DUMMYFUNCTION("""COMPUTED_VALUE"""),"BAGG")</f>
        <v>BAGG</v>
      </c>
      <c r="E5016" s="122" t="str">
        <f>IFERROR(__xludf.DUMMYFUNCTION("""COMPUTED_VALUE"""),"BagVault")</f>
        <v>BagVault</v>
      </c>
      <c r="F5016" s="122" t="str">
        <f>IFERROR(__xludf.DUMMYFUNCTION("""COMPUTED_VALUE"""),"Fashion")</f>
        <v>Fashion</v>
      </c>
    </row>
    <row r="5017">
      <c r="A5017" s="131">
        <f>IFERROR(__xludf.DUMMYFUNCTION("""COMPUTED_VALUE"""),46187.50298611111)</f>
        <v>46187.50299</v>
      </c>
      <c r="B5017" s="126">
        <f>IFERROR(__xludf.DUMMYFUNCTION("""COMPUTED_VALUE"""),46187.0)</f>
        <v>46187</v>
      </c>
      <c r="C5017" s="130">
        <f>IFERROR(__xludf.DUMMYFUNCTION("""COMPUTED_VALUE"""),0.5029861111111111)</f>
        <v>0.5029861111</v>
      </c>
      <c r="D5017" s="122" t="str">
        <f>IFERROR(__xludf.DUMMYFUNCTION("""COMPUTED_VALUE"""),"FAST")</f>
        <v>FAST</v>
      </c>
      <c r="E5017" s="122" t="str">
        <f>IFERROR(__xludf.DUMMYFUNCTION("""COMPUTED_VALUE"""),"Flash Logistics")</f>
        <v>Flash Logistics</v>
      </c>
      <c r="F5017" s="122" t="str">
        <f>IFERROR(__xludf.DUMMYFUNCTION("""COMPUTED_VALUE"""),"Logistics")</f>
        <v>Logistics</v>
      </c>
    </row>
    <row r="5018">
      <c r="A5018" s="131">
        <f>IFERROR(__xludf.DUMMYFUNCTION("""COMPUTED_VALUE"""),46187.50298611111)</f>
        <v>46187.50299</v>
      </c>
      <c r="B5018" s="126">
        <f>IFERROR(__xludf.DUMMYFUNCTION("""COMPUTED_VALUE"""),46187.0)</f>
        <v>46187</v>
      </c>
      <c r="C5018" s="130">
        <f>IFERROR(__xludf.DUMMYFUNCTION("""COMPUTED_VALUE"""),0.5029861111111111)</f>
        <v>0.5029861111</v>
      </c>
      <c r="D5018" s="122" t="str">
        <f>IFERROR(__xludf.DUMMYFUNCTION("""COMPUTED_VALUE"""),"SHIP")</f>
        <v>SHIP</v>
      </c>
      <c r="E5018" s="122" t="str">
        <f>IFERROR(__xludf.DUMMYFUNCTION("""COMPUTED_VALUE"""),"Seoul Shipping")</f>
        <v>Seoul Shipping</v>
      </c>
      <c r="F5018" s="122" t="str">
        <f>IFERROR(__xludf.DUMMYFUNCTION("""COMPUTED_VALUE"""),"Logistics")</f>
        <v>Logistics</v>
      </c>
    </row>
    <row r="5019">
      <c r="A5019" s="131">
        <f>IFERROR(__xludf.DUMMYFUNCTION("""COMPUTED_VALUE"""),46187.50298611111)</f>
        <v>46187.50299</v>
      </c>
      <c r="B5019" s="126">
        <f>IFERROR(__xludf.DUMMYFUNCTION("""COMPUTED_VALUE"""),46187.0)</f>
        <v>46187</v>
      </c>
      <c r="C5019" s="130">
        <f>IFERROR(__xludf.DUMMYFUNCTION("""COMPUTED_VALUE"""),0.5029861111111111)</f>
        <v>0.5029861111</v>
      </c>
      <c r="D5019" s="122" t="str">
        <f>IFERROR(__xludf.DUMMYFUNCTION("""COMPUTED_VALUE"""),"DRON")</f>
        <v>DRON</v>
      </c>
      <c r="E5019" s="122" t="str">
        <f>IFERROR(__xludf.DUMMYFUNCTION("""COMPUTED_VALUE"""),"DroneDrop")</f>
        <v>DroneDrop</v>
      </c>
      <c r="F5019" s="122" t="str">
        <f>IFERROR(__xludf.DUMMYFUNCTION("""COMPUTED_VALUE"""),"Logistics")</f>
        <v>Logistics</v>
      </c>
    </row>
    <row r="5020">
      <c r="A5020" s="131">
        <f>IFERROR(__xludf.DUMMYFUNCTION("""COMPUTED_VALUE"""),46187.50298611111)</f>
        <v>46187.50299</v>
      </c>
      <c r="B5020" s="126">
        <f>IFERROR(__xludf.DUMMYFUNCTION("""COMPUTED_VALUE"""),46187.0)</f>
        <v>46187</v>
      </c>
      <c r="C5020" s="130">
        <f>IFERROR(__xludf.DUMMYFUNCTION("""COMPUTED_VALUE"""),0.5029861111111111)</f>
        <v>0.5029861111</v>
      </c>
      <c r="D5020" s="122" t="str">
        <f>IFERROR(__xludf.DUMMYFUNCTION("""COMPUTED_VALUE"""),"RIDE")</f>
        <v>RIDE</v>
      </c>
      <c r="E5020" s="122" t="str">
        <f>IFERROR(__xludf.DUMMYFUNCTION("""COMPUTED_VALUE"""),"QuickRide")</f>
        <v>QuickRide</v>
      </c>
      <c r="F5020" s="122" t="str">
        <f>IFERROR(__xludf.DUMMYFUNCTION("""COMPUTED_VALUE"""),"Transportation")</f>
        <v>Transportation</v>
      </c>
    </row>
    <row r="5021">
      <c r="A5021" s="131">
        <f>IFERROR(__xludf.DUMMYFUNCTION("""COMPUTED_VALUE"""),46187.50298611111)</f>
        <v>46187.50299</v>
      </c>
      <c r="B5021" s="126">
        <f>IFERROR(__xludf.DUMMYFUNCTION("""COMPUTED_VALUE"""),46187.0)</f>
        <v>46187</v>
      </c>
      <c r="C5021" s="130">
        <f>IFERROR(__xludf.DUMMYFUNCTION("""COMPUTED_VALUE"""),0.5029861111111111)</f>
        <v>0.5029861111</v>
      </c>
      <c r="D5021" s="122" t="str">
        <f>IFERROR(__xludf.DUMMYFUNCTION("""COMPUTED_VALUE"""),"RAIL")</f>
        <v>RAIL</v>
      </c>
      <c r="E5021" s="122" t="str">
        <f>IFERROR(__xludf.DUMMYFUNCTION("""COMPUTED_VALUE"""),"MetroRail Corp")</f>
        <v>MetroRail Corp</v>
      </c>
      <c r="F5021" s="122" t="str">
        <f>IFERROR(__xludf.DUMMYFUNCTION("""COMPUTED_VALUE"""),"Transportation")</f>
        <v>Transportation</v>
      </c>
    </row>
    <row r="5022">
      <c r="A5022" s="131">
        <f>IFERROR(__xludf.DUMMYFUNCTION("""COMPUTED_VALUE"""),46187.50298611111)</f>
        <v>46187.50299</v>
      </c>
      <c r="B5022" s="126">
        <f>IFERROR(__xludf.DUMMYFUNCTION("""COMPUTED_VALUE"""),46187.0)</f>
        <v>46187</v>
      </c>
      <c r="C5022" s="130">
        <f>IFERROR(__xludf.DUMMYFUNCTION("""COMPUTED_VALUE"""),0.5029861111111111)</f>
        <v>0.5029861111</v>
      </c>
      <c r="D5022" s="122" t="str">
        <f>IFERROR(__xludf.DUMMYFUNCTION("""COMPUTED_VALUE"""),"MEDX")</f>
        <v>MEDX</v>
      </c>
      <c r="E5022" s="122" t="str">
        <f>IFERROR(__xludf.DUMMYFUNCTION("""COMPUTED_VALUE"""),"MediCore")</f>
        <v>MediCore</v>
      </c>
      <c r="F5022" s="122" t="str">
        <f>IFERROR(__xludf.DUMMYFUNCTION("""COMPUTED_VALUE"""),"Healthcare")</f>
        <v>Healthcare</v>
      </c>
    </row>
    <row r="5023">
      <c r="A5023" s="131">
        <f>IFERROR(__xludf.DUMMYFUNCTION("""COMPUTED_VALUE"""),46187.50298611111)</f>
        <v>46187.50299</v>
      </c>
      <c r="B5023" s="126">
        <f>IFERROR(__xludf.DUMMYFUNCTION("""COMPUTED_VALUE"""),46187.0)</f>
        <v>46187</v>
      </c>
      <c r="C5023" s="130">
        <f>IFERROR(__xludf.DUMMYFUNCTION("""COMPUTED_VALUE"""),0.5029861111111111)</f>
        <v>0.5029861111</v>
      </c>
      <c r="D5023" s="122" t="str">
        <f>IFERROR(__xludf.DUMMYFUNCTION("""COMPUTED_VALUE"""),"GYMX")</f>
        <v>GYMX</v>
      </c>
      <c r="E5023" s="122" t="str">
        <f>IFERROR(__xludf.DUMMYFUNCTION("""COMPUTED_VALUE"""),"GymX Fitness")</f>
        <v>GymX Fitness</v>
      </c>
      <c r="F5023" s="122" t="str">
        <f>IFERROR(__xludf.DUMMYFUNCTION("""COMPUTED_VALUE"""),"Healthcare")</f>
        <v>Healthcare</v>
      </c>
    </row>
    <row r="5024">
      <c r="A5024" s="131">
        <f>IFERROR(__xludf.DUMMYFUNCTION("""COMPUTED_VALUE"""),46187.50298611111)</f>
        <v>46187.50299</v>
      </c>
      <c r="B5024" s="126">
        <f>IFERROR(__xludf.DUMMYFUNCTION("""COMPUTED_VALUE"""),46187.0)</f>
        <v>46187</v>
      </c>
      <c r="C5024" s="130">
        <f>IFERROR(__xludf.DUMMYFUNCTION("""COMPUTED_VALUE"""),0.5029861111111111)</f>
        <v>0.5029861111</v>
      </c>
      <c r="D5024" s="122" t="str">
        <f>IFERROR(__xludf.DUMMYFUNCTION("""COMPUTED_VALUE"""),"VITA")</f>
        <v>VITA</v>
      </c>
      <c r="E5024" s="122" t="str">
        <f>IFERROR(__xludf.DUMMYFUNCTION("""COMPUTED_VALUE"""),"VitaPlus")</f>
        <v>VitaPlus</v>
      </c>
      <c r="F5024" s="122" t="str">
        <f>IFERROR(__xludf.DUMMYFUNCTION("""COMPUTED_VALUE"""),"Healthcare")</f>
        <v>Healthcare</v>
      </c>
    </row>
    <row r="5025">
      <c r="A5025" s="131">
        <f>IFERROR(__xludf.DUMMYFUNCTION("""COMPUTED_VALUE"""),46187.50298611111)</f>
        <v>46187.50299</v>
      </c>
      <c r="B5025" s="126">
        <f>IFERROR(__xludf.DUMMYFUNCTION("""COMPUTED_VALUE"""),46187.0)</f>
        <v>46187</v>
      </c>
      <c r="C5025" s="130">
        <f>IFERROR(__xludf.DUMMYFUNCTION("""COMPUTED_VALUE"""),0.5029861111111111)</f>
        <v>0.5029861111</v>
      </c>
      <c r="D5025" s="122" t="str">
        <f>IFERROR(__xludf.DUMMYFUNCTION("""COMPUTED_VALUE"""),"CARE")</f>
        <v>CARE</v>
      </c>
      <c r="E5025" s="122" t="str">
        <f>IFERROR(__xludf.DUMMYFUNCTION("""COMPUTED_VALUE"""),"CareCloud")</f>
        <v>CareCloud</v>
      </c>
      <c r="F5025" s="122" t="str">
        <f>IFERROR(__xludf.DUMMYFUNCTION("""COMPUTED_VALUE"""),"Healthcare")</f>
        <v>Healthcare</v>
      </c>
    </row>
    <row r="5026">
      <c r="A5026" s="131">
        <f>IFERROR(__xludf.DUMMYFUNCTION("""COMPUTED_VALUE"""),46187.50298611111)</f>
        <v>46187.50299</v>
      </c>
      <c r="B5026" s="126">
        <f>IFERROR(__xludf.DUMMYFUNCTION("""COMPUTED_VALUE"""),46187.0)</f>
        <v>46187</v>
      </c>
      <c r="C5026" s="130">
        <f>IFERROR(__xludf.DUMMYFUNCTION("""COMPUTED_VALUE"""),0.5029861111111111)</f>
        <v>0.5029861111</v>
      </c>
      <c r="D5026" s="122" t="str">
        <f>IFERROR(__xludf.DUMMYFUNCTION("""COMPUTED_VALUE"""),"DENT")</f>
        <v>DENT</v>
      </c>
      <c r="E5026" s="122" t="str">
        <f>IFERROR(__xludf.DUMMYFUNCTION("""COMPUTED_VALUE"""),"SmileWorks")</f>
        <v>SmileWorks</v>
      </c>
      <c r="F5026" s="122" t="str">
        <f>IFERROR(__xludf.DUMMYFUNCTION("""COMPUTED_VALUE"""),"Healthcare")</f>
        <v>Healthcare</v>
      </c>
    </row>
    <row r="5027">
      <c r="A5027" s="131">
        <f>IFERROR(__xludf.DUMMYFUNCTION("""COMPUTED_VALUE"""),46187.50298611111)</f>
        <v>46187.50299</v>
      </c>
      <c r="B5027" s="126">
        <f>IFERROR(__xludf.DUMMYFUNCTION("""COMPUTED_VALUE"""),46187.0)</f>
        <v>46187</v>
      </c>
      <c r="C5027" s="130">
        <f>IFERROR(__xludf.DUMMYFUNCTION("""COMPUTED_VALUE"""),0.5029861111111111)</f>
        <v>0.5029861111</v>
      </c>
      <c r="D5027" s="122" t="str">
        <f>IFERROR(__xludf.DUMMYFUNCTION("""COMPUTED_VALUE"""),"EDUX")</f>
        <v>EDUX</v>
      </c>
      <c r="E5027" s="122" t="str">
        <f>IFERROR(__xludf.DUMMYFUNCTION("""COMPUTED_VALUE"""),"EduMax Learning")</f>
        <v>EduMax Learning</v>
      </c>
      <c r="F5027" s="122" t="str">
        <f>IFERROR(__xludf.DUMMYFUNCTION("""COMPUTED_VALUE"""),"Education")</f>
        <v>Education</v>
      </c>
    </row>
    <row r="5028">
      <c r="A5028" s="131">
        <f>IFERROR(__xludf.DUMMYFUNCTION("""COMPUTED_VALUE"""),46187.50298611111)</f>
        <v>46187.50299</v>
      </c>
      <c r="B5028" s="126">
        <f>IFERROR(__xludf.DUMMYFUNCTION("""COMPUTED_VALUE"""),46187.0)</f>
        <v>46187</v>
      </c>
      <c r="C5028" s="130">
        <f>IFERROR(__xludf.DUMMYFUNCTION("""COMPUTED_VALUE"""),0.5029861111111111)</f>
        <v>0.5029861111</v>
      </c>
      <c r="D5028" s="122" t="str">
        <f>IFERROR(__xludf.DUMMYFUNCTION("""COMPUTED_VALUE"""),"BOOK")</f>
        <v>BOOK</v>
      </c>
      <c r="E5028" s="122" t="str">
        <f>IFERROR(__xludf.DUMMYFUNCTION("""COMPUTED_VALUE"""),"BookBridge")</f>
        <v>BookBridge</v>
      </c>
      <c r="F5028" s="122" t="str">
        <f>IFERROR(__xludf.DUMMYFUNCTION("""COMPUTED_VALUE"""),"Education")</f>
        <v>Education</v>
      </c>
    </row>
    <row r="5029">
      <c r="A5029" s="131">
        <f>IFERROR(__xludf.DUMMYFUNCTION("""COMPUTED_VALUE"""),46187.50298611111)</f>
        <v>46187.50299</v>
      </c>
      <c r="B5029" s="126">
        <f>IFERROR(__xludf.DUMMYFUNCTION("""COMPUTED_VALUE"""),46187.0)</f>
        <v>46187</v>
      </c>
      <c r="C5029" s="130">
        <f>IFERROR(__xludf.DUMMYFUNCTION("""COMPUTED_VALUE"""),0.5029861111111111)</f>
        <v>0.5029861111</v>
      </c>
      <c r="D5029" s="122" t="str">
        <f>IFERROR(__xludf.DUMMYFUNCTION("""COMPUTED_VALUE"""),"TUTR")</f>
        <v>TUTR</v>
      </c>
      <c r="E5029" s="122" t="str">
        <f>IFERROR(__xludf.DUMMYFUNCTION("""COMPUTED_VALUE"""),"TutorTown")</f>
        <v>TutorTown</v>
      </c>
      <c r="F5029" s="122" t="str">
        <f>IFERROR(__xludf.DUMMYFUNCTION("""COMPUTED_VALUE"""),"Education")</f>
        <v>Education</v>
      </c>
    </row>
    <row r="5030">
      <c r="A5030" s="131">
        <f>IFERROR(__xludf.DUMMYFUNCTION("""COMPUTED_VALUE"""),46187.50298611111)</f>
        <v>46187.50299</v>
      </c>
      <c r="B5030" s="126">
        <f>IFERROR(__xludf.DUMMYFUNCTION("""COMPUTED_VALUE"""),46187.0)</f>
        <v>46187</v>
      </c>
      <c r="C5030" s="130">
        <f>IFERROR(__xludf.DUMMYFUNCTION("""COMPUTED_VALUE"""),0.5029861111111111)</f>
        <v>0.5029861111</v>
      </c>
      <c r="D5030" s="122" t="str">
        <f>IFERROR(__xludf.DUMMYFUNCTION("""COMPUTED_VALUE"""),"LANG")</f>
        <v>LANG</v>
      </c>
      <c r="E5030" s="122" t="str">
        <f>IFERROR(__xludf.DUMMYFUNCTION("""COMPUTED_VALUE"""),"LinguaLab")</f>
        <v>LinguaLab</v>
      </c>
      <c r="F5030" s="122" t="str">
        <f>IFERROR(__xludf.DUMMYFUNCTION("""COMPUTED_VALUE"""),"Education")</f>
        <v>Education</v>
      </c>
    </row>
    <row r="5031">
      <c r="A5031" s="131">
        <f>IFERROR(__xludf.DUMMYFUNCTION("""COMPUTED_VALUE"""),46187.50298611111)</f>
        <v>46187.50299</v>
      </c>
      <c r="B5031" s="126">
        <f>IFERROR(__xludf.DUMMYFUNCTION("""COMPUTED_VALUE"""),46187.0)</f>
        <v>46187</v>
      </c>
      <c r="C5031" s="130">
        <f>IFERROR(__xludf.DUMMYFUNCTION("""COMPUTED_VALUE"""),0.5029861111111111)</f>
        <v>0.5029861111</v>
      </c>
      <c r="D5031" s="122" t="str">
        <f>IFERROR(__xludf.DUMMYFUNCTION("""COMPUTED_VALUE"""),"TEST")</f>
        <v>TEST</v>
      </c>
      <c r="E5031" s="122" t="str">
        <f>IFERROR(__xludf.DUMMYFUNCTION("""COMPUTED_VALUE"""),"TestPrep Pro")</f>
        <v>TestPrep Pro</v>
      </c>
      <c r="F5031" s="122" t="str">
        <f>IFERROR(__xludf.DUMMYFUNCTION("""COMPUTED_VALUE"""),"Education")</f>
        <v>Education</v>
      </c>
    </row>
    <row r="5032">
      <c r="A5032" s="131">
        <f>IFERROR(__xludf.DUMMYFUNCTION("""COMPUTED_VALUE"""),46187.50298611111)</f>
        <v>46187.50299</v>
      </c>
      <c r="B5032" s="126">
        <f>IFERROR(__xludf.DUMMYFUNCTION("""COMPUTED_VALUE"""),46187.0)</f>
        <v>46187</v>
      </c>
      <c r="C5032" s="130">
        <f>IFERROR(__xludf.DUMMYFUNCTION("""COMPUTED_VALUE"""),0.5029861111111111)</f>
        <v>0.5029861111</v>
      </c>
      <c r="D5032" s="122" t="str">
        <f>IFERROR(__xludf.DUMMYFUNCTION("""COMPUTED_VALUE"""),"MOVI")</f>
        <v>MOVI</v>
      </c>
      <c r="E5032" s="122" t="str">
        <f>IFERROR(__xludf.DUMMYFUNCTION("""COMPUTED_VALUE"""),"MovieBox")</f>
        <v>MovieBox</v>
      </c>
      <c r="F5032" s="122" t="str">
        <f>IFERROR(__xludf.DUMMYFUNCTION("""COMPUTED_VALUE"""),"Entertainment")</f>
        <v>Entertainment</v>
      </c>
    </row>
    <row r="5033">
      <c r="A5033" s="131">
        <f>IFERROR(__xludf.DUMMYFUNCTION("""COMPUTED_VALUE"""),46187.50298611111)</f>
        <v>46187.50299</v>
      </c>
      <c r="B5033" s="126">
        <f>IFERROR(__xludf.DUMMYFUNCTION("""COMPUTED_VALUE"""),46187.0)</f>
        <v>46187</v>
      </c>
      <c r="C5033" s="130">
        <f>IFERROR(__xludf.DUMMYFUNCTION("""COMPUTED_VALUE"""),0.5029861111111111)</f>
        <v>0.5029861111</v>
      </c>
      <c r="D5033" s="122" t="str">
        <f>IFERROR(__xludf.DUMMYFUNCTION("""COMPUTED_VALUE"""),"MUSC")</f>
        <v>MUSC</v>
      </c>
      <c r="E5033" s="122" t="str">
        <f>IFERROR(__xludf.DUMMYFUNCTION("""COMPUTED_VALUE"""),"MusicWave")</f>
        <v>MusicWave</v>
      </c>
      <c r="F5033" s="122" t="str">
        <f>IFERROR(__xludf.DUMMYFUNCTION("""COMPUTED_VALUE"""),"Entertainment")</f>
        <v>Entertainment</v>
      </c>
    </row>
    <row r="5034">
      <c r="A5034" s="131">
        <f>IFERROR(__xludf.DUMMYFUNCTION("""COMPUTED_VALUE"""),46187.50298611111)</f>
        <v>46187.50299</v>
      </c>
      <c r="B5034" s="126">
        <f>IFERROR(__xludf.DUMMYFUNCTION("""COMPUTED_VALUE"""),46187.0)</f>
        <v>46187</v>
      </c>
      <c r="C5034" s="130">
        <f>IFERROR(__xludf.DUMMYFUNCTION("""COMPUTED_VALUE"""),0.5029861111111111)</f>
        <v>0.5029861111</v>
      </c>
      <c r="D5034" s="122" t="str">
        <f>IFERROR(__xludf.DUMMYFUNCTION("""COMPUTED_VALUE"""),"IDOL")</f>
        <v>IDOL</v>
      </c>
      <c r="E5034" s="122" t="str">
        <f>IFERROR(__xludf.DUMMYFUNCTION("""COMPUTED_VALUE"""),"Idol Agency")</f>
        <v>Idol Agency</v>
      </c>
      <c r="F5034" s="122" t="str">
        <f>IFERROR(__xludf.DUMMYFUNCTION("""COMPUTED_VALUE"""),"Entertainment")</f>
        <v>Entertainment</v>
      </c>
    </row>
    <row r="5035">
      <c r="A5035" s="131">
        <f>IFERROR(__xludf.DUMMYFUNCTION("""COMPUTED_VALUE"""),46187.50298611111)</f>
        <v>46187.50299</v>
      </c>
      <c r="B5035" s="126">
        <f>IFERROR(__xludf.DUMMYFUNCTION("""COMPUTED_VALUE"""),46187.0)</f>
        <v>46187</v>
      </c>
      <c r="C5035" s="130">
        <f>IFERROR(__xludf.DUMMYFUNCTION("""COMPUTED_VALUE"""),0.5029861111111111)</f>
        <v>0.5029861111</v>
      </c>
      <c r="D5035" s="122" t="str">
        <f>IFERROR(__xludf.DUMMYFUNCTION("""COMPUTED_VALUE"""),"MEME")</f>
        <v>MEME</v>
      </c>
      <c r="E5035" s="122" t="str">
        <f>IFERROR(__xludf.DUMMYFUNCTION("""COMPUTED_VALUE"""),"Meme Media")</f>
        <v>Meme Media</v>
      </c>
      <c r="F5035" s="122" t="str">
        <f>IFERROR(__xludf.DUMMYFUNCTION("""COMPUTED_VALUE"""),"Entertainment")</f>
        <v>Entertainment</v>
      </c>
    </row>
    <row r="5036">
      <c r="A5036" s="131">
        <f>IFERROR(__xludf.DUMMYFUNCTION("""COMPUTED_VALUE"""),46187.50298611111)</f>
        <v>46187.50299</v>
      </c>
      <c r="B5036" s="126">
        <f>IFERROR(__xludf.DUMMYFUNCTION("""COMPUTED_VALUE"""),46187.0)</f>
        <v>46187</v>
      </c>
      <c r="C5036" s="130">
        <f>IFERROR(__xludf.DUMMYFUNCTION("""COMPUTED_VALUE"""),0.5029861111111111)</f>
        <v>0.5029861111</v>
      </c>
      <c r="D5036" s="122" t="str">
        <f>IFERROR(__xludf.DUMMYFUNCTION("""COMPUTED_VALUE"""),"STRM")</f>
        <v>STRM</v>
      </c>
      <c r="E5036" s="122" t="str">
        <f>IFERROR(__xludf.DUMMYFUNCTION("""COMPUTED_VALUE"""),"Streamly")</f>
        <v>Streamly</v>
      </c>
      <c r="F5036" s="122" t="str">
        <f>IFERROR(__xludf.DUMMYFUNCTION("""COMPUTED_VALUE"""),"Entertainment")</f>
        <v>Entertainment</v>
      </c>
    </row>
    <row r="5037">
      <c r="A5037" s="131">
        <f>IFERROR(__xludf.DUMMYFUNCTION("""COMPUTED_VALUE"""),46187.50298611111)</f>
        <v>46187.50299</v>
      </c>
      <c r="B5037" s="126">
        <f>IFERROR(__xludf.DUMMYFUNCTION("""COMPUTED_VALUE"""),46187.0)</f>
        <v>46187</v>
      </c>
      <c r="C5037" s="130">
        <f>IFERROR(__xludf.DUMMYFUNCTION("""COMPUTED_VALUE"""),0.5029861111111111)</f>
        <v>0.5029861111</v>
      </c>
      <c r="D5037" s="122" t="str">
        <f>IFERROR(__xludf.DUMMYFUNCTION("""COMPUTED_VALUE"""),"FARM")</f>
        <v>FARM</v>
      </c>
      <c r="E5037" s="122" t="str">
        <f>IFERROR(__xludf.DUMMYFUNCTION("""COMPUTED_VALUE"""),"Future Farms")</f>
        <v>Future Farms</v>
      </c>
      <c r="F5037" s="122" t="str">
        <f>IFERROR(__xludf.DUMMYFUNCTION("""COMPUTED_VALUE"""),"Agriculture")</f>
        <v>Agriculture</v>
      </c>
    </row>
    <row r="5038">
      <c r="A5038" s="131">
        <f>IFERROR(__xludf.DUMMYFUNCTION("""COMPUTED_VALUE"""),46187.50298611111)</f>
        <v>46187.50299</v>
      </c>
      <c r="B5038" s="126">
        <f>IFERROR(__xludf.DUMMYFUNCTION("""COMPUTED_VALUE"""),46187.0)</f>
        <v>46187</v>
      </c>
      <c r="C5038" s="130">
        <f>IFERROR(__xludf.DUMMYFUNCTION("""COMPUTED_VALUE"""),0.5029861111111111)</f>
        <v>0.5029861111</v>
      </c>
      <c r="D5038" s="122" t="str">
        <f>IFERROR(__xludf.DUMMYFUNCTION("""COMPUTED_VALUE"""),"MEAT")</f>
        <v>MEAT</v>
      </c>
      <c r="E5038" s="122" t="str">
        <f>IFERROR(__xludf.DUMMYFUNCTION("""COMPUTED_VALUE"""),"MeatWorks")</f>
        <v>MeatWorks</v>
      </c>
      <c r="F5038" s="122" t="str">
        <f>IFERROR(__xludf.DUMMYFUNCTION("""COMPUTED_VALUE"""),"Food")</f>
        <v>Food</v>
      </c>
    </row>
    <row r="5039">
      <c r="A5039" s="131">
        <f>IFERROR(__xludf.DUMMYFUNCTION("""COMPUTED_VALUE"""),46187.50298611111)</f>
        <v>46187.50299</v>
      </c>
      <c r="B5039" s="126">
        <f>IFERROR(__xludf.DUMMYFUNCTION("""COMPUTED_VALUE"""),46187.0)</f>
        <v>46187</v>
      </c>
      <c r="C5039" s="130">
        <f>IFERROR(__xludf.DUMMYFUNCTION("""COMPUTED_VALUE"""),0.5029861111111111)</f>
        <v>0.5029861111</v>
      </c>
      <c r="D5039" s="122" t="str">
        <f>IFERROR(__xludf.DUMMYFUNCTION("""COMPUTED_VALUE"""),"VEGI")</f>
        <v>VEGI</v>
      </c>
      <c r="E5039" s="122" t="str">
        <f>IFERROR(__xludf.DUMMYFUNCTION("""COMPUTED_VALUE"""),"Green Basket")</f>
        <v>Green Basket</v>
      </c>
      <c r="F5039" s="122" t="str">
        <f>IFERROR(__xludf.DUMMYFUNCTION("""COMPUTED_VALUE"""),"Food")</f>
        <v>Food</v>
      </c>
    </row>
    <row r="5040">
      <c r="A5040" s="131">
        <f>IFERROR(__xludf.DUMMYFUNCTION("""COMPUTED_VALUE"""),46187.50298611111)</f>
        <v>46187.50299</v>
      </c>
      <c r="B5040" s="126">
        <f>IFERROR(__xludf.DUMMYFUNCTION("""COMPUTED_VALUE"""),46187.0)</f>
        <v>46187</v>
      </c>
      <c r="C5040" s="130">
        <f>IFERROR(__xludf.DUMMYFUNCTION("""COMPUTED_VALUE"""),0.5029861111111111)</f>
        <v>0.5029861111</v>
      </c>
      <c r="D5040" s="122" t="str">
        <f>IFERROR(__xludf.DUMMYFUNCTION("""COMPUTED_VALUE"""),"CAFE")</f>
        <v>CAFE</v>
      </c>
      <c r="E5040" s="122" t="str">
        <f>IFERROR(__xludf.DUMMYFUNCTION("""COMPUTED_VALUE"""),"Cafe Cloud")</f>
        <v>Cafe Cloud</v>
      </c>
      <c r="F5040" s="122" t="str">
        <f>IFERROR(__xludf.DUMMYFUNCTION("""COMPUTED_VALUE"""),"Food")</f>
        <v>Food</v>
      </c>
    </row>
    <row r="5041">
      <c r="A5041" s="131">
        <f>IFERROR(__xludf.DUMMYFUNCTION("""COMPUTED_VALUE"""),46187.50298611111)</f>
        <v>46187.50299</v>
      </c>
      <c r="B5041" s="126">
        <f>IFERROR(__xludf.DUMMYFUNCTION("""COMPUTED_VALUE"""),46187.0)</f>
        <v>46187</v>
      </c>
      <c r="C5041" s="130">
        <f>IFERROR(__xludf.DUMMYFUNCTION("""COMPUTED_VALUE"""),0.5029861111111111)</f>
        <v>0.5029861111</v>
      </c>
      <c r="D5041" s="122" t="str">
        <f>IFERROR(__xludf.DUMMYFUNCTION("""COMPUTED_VALUE"""),"BAKE")</f>
        <v>BAKE</v>
      </c>
      <c r="E5041" s="122" t="str">
        <f>IFERROR(__xludf.DUMMYFUNCTION("""COMPUTED_VALUE"""),"BakeHouse")</f>
        <v>BakeHouse</v>
      </c>
      <c r="F5041" s="122" t="str">
        <f>IFERROR(__xludf.DUMMYFUNCTION("""COMPUTED_VALUE"""),"Food")</f>
        <v>Food</v>
      </c>
    </row>
    <row r="5042">
      <c r="A5042" s="131">
        <f>IFERROR(__xludf.DUMMYFUNCTION("""COMPUTED_VALUE"""),46187.50298611111)</f>
        <v>46187.50299</v>
      </c>
      <c r="B5042" s="126">
        <f>IFERROR(__xludf.DUMMYFUNCTION("""COMPUTED_VALUE"""),46187.0)</f>
        <v>46187</v>
      </c>
      <c r="C5042" s="130">
        <f>IFERROR(__xludf.DUMMYFUNCTION("""COMPUTED_VALUE"""),0.5029861111111111)</f>
        <v>0.5029861111</v>
      </c>
      <c r="D5042" s="122" t="str">
        <f>IFERROR(__xludf.DUMMYFUNCTION("""COMPUTED_VALUE"""),"OILX")</f>
        <v>OILX</v>
      </c>
      <c r="E5042" s="122" t="str">
        <f>IFERROR(__xludf.DUMMYFUNCTION("""COMPUTED_VALUE"""),"OilMax Energy")</f>
        <v>OilMax Energy</v>
      </c>
      <c r="F5042" s="122" t="str">
        <f>IFERROR(__xludf.DUMMYFUNCTION("""COMPUTED_VALUE"""),"Energy")</f>
        <v>Energy</v>
      </c>
    </row>
    <row r="5043">
      <c r="A5043" s="131">
        <f>IFERROR(__xludf.DUMMYFUNCTION("""COMPUTED_VALUE"""),46187.50298611111)</f>
        <v>46187.50299</v>
      </c>
      <c r="B5043" s="126">
        <f>IFERROR(__xludf.DUMMYFUNCTION("""COMPUTED_VALUE"""),46187.0)</f>
        <v>46187</v>
      </c>
      <c r="C5043" s="130">
        <f>IFERROR(__xludf.DUMMYFUNCTION("""COMPUTED_VALUE"""),0.5029861111111111)</f>
        <v>0.5029861111</v>
      </c>
      <c r="D5043" s="122" t="str">
        <f>IFERROR(__xludf.DUMMYFUNCTION("""COMPUTED_VALUE"""),"SOLR")</f>
        <v>SOLR</v>
      </c>
      <c r="E5043" s="122" t="str">
        <f>IFERROR(__xludf.DUMMYFUNCTION("""COMPUTED_VALUE"""),"SolarSpark")</f>
        <v>SolarSpark</v>
      </c>
      <c r="F5043" s="122" t="str">
        <f>IFERROR(__xludf.DUMMYFUNCTION("""COMPUTED_VALUE"""),"Energy")</f>
        <v>Energy</v>
      </c>
    </row>
    <row r="5044">
      <c r="A5044" s="131">
        <f>IFERROR(__xludf.DUMMYFUNCTION("""COMPUTED_VALUE"""),46187.50298611111)</f>
        <v>46187.50299</v>
      </c>
      <c r="B5044" s="126">
        <f>IFERROR(__xludf.DUMMYFUNCTION("""COMPUTED_VALUE"""),46187.0)</f>
        <v>46187</v>
      </c>
      <c r="C5044" s="130">
        <f>IFERROR(__xludf.DUMMYFUNCTION("""COMPUTED_VALUE"""),0.5029861111111111)</f>
        <v>0.5029861111</v>
      </c>
      <c r="D5044" s="122" t="str">
        <f>IFERROR(__xludf.DUMMYFUNCTION("""COMPUTED_VALUE"""),"BATT")</f>
        <v>BATT</v>
      </c>
      <c r="E5044" s="122" t="str">
        <f>IFERROR(__xludf.DUMMYFUNCTION("""COMPUTED_VALUE"""),"BatteryBox")</f>
        <v>BatteryBox</v>
      </c>
      <c r="F5044" s="122" t="str">
        <f>IFERROR(__xludf.DUMMYFUNCTION("""COMPUTED_VALUE"""),"Energy")</f>
        <v>Energy</v>
      </c>
    </row>
    <row r="5045">
      <c r="A5045" s="131">
        <f>IFERROR(__xludf.DUMMYFUNCTION("""COMPUTED_VALUE"""),46187.50298611111)</f>
        <v>46187.50299</v>
      </c>
      <c r="B5045" s="126">
        <f>IFERROR(__xludf.DUMMYFUNCTION("""COMPUTED_VALUE"""),46187.0)</f>
        <v>46187</v>
      </c>
      <c r="C5045" s="130">
        <f>IFERROR(__xludf.DUMMYFUNCTION("""COMPUTED_VALUE"""),0.5029861111111111)</f>
        <v>0.5029861111</v>
      </c>
      <c r="D5045" s="122" t="str">
        <f>IFERROR(__xludf.DUMMYFUNCTION("""COMPUTED_VALUE"""),"WIND")</f>
        <v>WIND</v>
      </c>
      <c r="E5045" s="122" t="str">
        <f>IFERROR(__xludf.DUMMYFUNCTION("""COMPUTED_VALUE"""),"WindWorks")</f>
        <v>WindWorks</v>
      </c>
      <c r="F5045" s="122" t="str">
        <f>IFERROR(__xludf.DUMMYFUNCTION("""COMPUTED_VALUE"""),"Energy")</f>
        <v>Energy</v>
      </c>
    </row>
    <row r="5046">
      <c r="A5046" s="131">
        <f>IFERROR(__xludf.DUMMYFUNCTION("""COMPUTED_VALUE"""),46187.50298611111)</f>
        <v>46187.50299</v>
      </c>
      <c r="B5046" s="126">
        <f>IFERROR(__xludf.DUMMYFUNCTION("""COMPUTED_VALUE"""),46187.0)</f>
        <v>46187</v>
      </c>
      <c r="C5046" s="130">
        <f>IFERROR(__xludf.DUMMYFUNCTION("""COMPUTED_VALUE"""),0.5029861111111111)</f>
        <v>0.5029861111</v>
      </c>
      <c r="D5046" s="122" t="str">
        <f>IFERROR(__xludf.DUMMYFUNCTION("""COMPUTED_VALUE"""),"GRID")</f>
        <v>GRID</v>
      </c>
      <c r="E5046" s="122" t="str">
        <f>IFERROR(__xludf.DUMMYFUNCTION("""COMPUTED_VALUE"""),"GridPower")</f>
        <v>GridPower</v>
      </c>
      <c r="F5046" s="122" t="str">
        <f>IFERROR(__xludf.DUMMYFUNCTION("""COMPUTED_VALUE"""),"Energy")</f>
        <v>Energy</v>
      </c>
    </row>
    <row r="5047">
      <c r="A5047" s="131">
        <f>IFERROR(__xludf.DUMMYFUNCTION("""COMPUTED_VALUE"""),46187.50298611111)</f>
        <v>46187.50299</v>
      </c>
      <c r="B5047" s="126">
        <f>IFERROR(__xludf.DUMMYFUNCTION("""COMPUTED_VALUE"""),46187.0)</f>
        <v>46187</v>
      </c>
      <c r="C5047" s="130">
        <f>IFERROR(__xludf.DUMMYFUNCTION("""COMPUTED_VALUE"""),0.5029861111111111)</f>
        <v>0.5029861111</v>
      </c>
      <c r="D5047" s="122" t="str">
        <f>IFERROR(__xludf.DUMMYFUNCTION("""COMPUTED_VALUE"""),"HOME")</f>
        <v>HOME</v>
      </c>
      <c r="E5047" s="122" t="str">
        <f>IFERROR(__xludf.DUMMYFUNCTION("""COMPUTED_VALUE"""),"HomeHub")</f>
        <v>HomeHub</v>
      </c>
      <c r="F5047" s="122" t="str">
        <f>IFERROR(__xludf.DUMMYFUNCTION("""COMPUTED_VALUE"""),"Real Estate")</f>
        <v>Real Estate</v>
      </c>
    </row>
    <row r="5048">
      <c r="A5048" s="131">
        <f>IFERROR(__xludf.DUMMYFUNCTION("""COMPUTED_VALUE"""),46187.50298611111)</f>
        <v>46187.50299</v>
      </c>
      <c r="B5048" s="126">
        <f>IFERROR(__xludf.DUMMYFUNCTION("""COMPUTED_VALUE"""),46187.0)</f>
        <v>46187</v>
      </c>
      <c r="C5048" s="130">
        <f>IFERROR(__xludf.DUMMYFUNCTION("""COMPUTED_VALUE"""),0.5029861111111111)</f>
        <v>0.5029861111</v>
      </c>
      <c r="D5048" s="122" t="str">
        <f>IFERROR(__xludf.DUMMYFUNCTION("""COMPUTED_VALUE"""),"RENT")</f>
        <v>RENT</v>
      </c>
      <c r="E5048" s="122" t="str">
        <f>IFERROR(__xludf.DUMMYFUNCTION("""COMPUTED_VALUE"""),"RentRight")</f>
        <v>RentRight</v>
      </c>
      <c r="F5048" s="122" t="str">
        <f>IFERROR(__xludf.DUMMYFUNCTION("""COMPUTED_VALUE"""),"Real Estate")</f>
        <v>Real Estate</v>
      </c>
    </row>
    <row r="5049">
      <c r="A5049" s="131">
        <f>IFERROR(__xludf.DUMMYFUNCTION("""COMPUTED_VALUE"""),46187.50298611111)</f>
        <v>46187.50299</v>
      </c>
      <c r="B5049" s="126">
        <f>IFERROR(__xludf.DUMMYFUNCTION("""COMPUTED_VALUE"""),46187.0)</f>
        <v>46187</v>
      </c>
      <c r="C5049" s="130">
        <f>IFERROR(__xludf.DUMMYFUNCTION("""COMPUTED_VALUE"""),0.5029861111111111)</f>
        <v>0.5029861111</v>
      </c>
      <c r="D5049" s="122" t="str">
        <f>IFERROR(__xludf.DUMMYFUNCTION("""COMPUTED_VALUE"""),"MALL")</f>
        <v>MALL</v>
      </c>
      <c r="E5049" s="122" t="str">
        <f>IFERROR(__xludf.DUMMYFUNCTION("""COMPUTED_VALUE"""),"MegaMall")</f>
        <v>MegaMall</v>
      </c>
      <c r="F5049" s="122" t="str">
        <f>IFERROR(__xludf.DUMMYFUNCTION("""COMPUTED_VALUE"""),"Real Estate")</f>
        <v>Real Estate</v>
      </c>
    </row>
    <row r="5050">
      <c r="A5050" s="131">
        <f>IFERROR(__xludf.DUMMYFUNCTION("""COMPUTED_VALUE"""),46187.50298611111)</f>
        <v>46187.50299</v>
      </c>
      <c r="B5050" s="126">
        <f>IFERROR(__xludf.DUMMYFUNCTION("""COMPUTED_VALUE"""),46187.0)</f>
        <v>46187</v>
      </c>
      <c r="C5050" s="130">
        <f>IFERROR(__xludf.DUMMYFUNCTION("""COMPUTED_VALUE"""),0.5029861111111111)</f>
        <v>0.5029861111</v>
      </c>
      <c r="D5050" s="122" t="str">
        <f>IFERROR(__xludf.DUMMYFUNCTION("""COMPUTED_VALUE"""),"HOTL")</f>
        <v>HOTL</v>
      </c>
      <c r="E5050" s="122" t="str">
        <f>IFERROR(__xludf.DUMMYFUNCTION("""COMPUTED_VALUE"""),"HotelHive")</f>
        <v>HotelHive</v>
      </c>
      <c r="F5050" s="122" t="str">
        <f>IFERROR(__xludf.DUMMYFUNCTION("""COMPUTED_VALUE"""),"Real Estate")</f>
        <v>Real Estate</v>
      </c>
    </row>
    <row r="5051">
      <c r="A5051" s="131">
        <f>IFERROR(__xludf.DUMMYFUNCTION("""COMPUTED_VALUE"""),46187.50298611111)</f>
        <v>46187.50299</v>
      </c>
      <c r="B5051" s="126">
        <f>IFERROR(__xludf.DUMMYFUNCTION("""COMPUTED_VALUE"""),46187.0)</f>
        <v>46187</v>
      </c>
      <c r="C5051" s="130">
        <f>IFERROR(__xludf.DUMMYFUNCTION("""COMPUTED_VALUE"""),0.5029861111111111)</f>
        <v>0.5029861111</v>
      </c>
      <c r="D5051" s="122" t="str">
        <f>IFERROR(__xludf.DUMMYFUNCTION("""COMPUTED_VALUE"""),"LAND")</f>
        <v>LAND</v>
      </c>
      <c r="E5051" s="122" t="str">
        <f>IFERROR(__xludf.DUMMYFUNCTION("""COMPUTED_VALUE"""),"LandLink")</f>
        <v>LandLink</v>
      </c>
      <c r="F5051" s="122" t="str">
        <f>IFERROR(__xludf.DUMMYFUNCTION("""COMPUTED_VALUE"""),"Real Estate")</f>
        <v>Real Estate</v>
      </c>
    </row>
    <row r="5052">
      <c r="A5052" s="131">
        <f>IFERROR(__xludf.DUMMYFUNCTION("""COMPUTED_VALUE"""),46187.50298611111)</f>
        <v>46187.50299</v>
      </c>
      <c r="B5052" s="126">
        <f>IFERROR(__xludf.DUMMYFUNCTION("""COMPUTED_VALUE"""),46187.0)</f>
        <v>46187</v>
      </c>
      <c r="C5052" s="130">
        <f>IFERROR(__xludf.DUMMYFUNCTION("""COMPUTED_VALUE"""),0.5029861111111111)</f>
        <v>0.5029861111</v>
      </c>
      <c r="D5052" s="122" t="str">
        <f>IFERROR(__xludf.DUMMYFUNCTION("""COMPUTED_VALUE"""),"CARS")</f>
        <v>CARS</v>
      </c>
      <c r="E5052" s="122" t="str">
        <f>IFERROR(__xludf.DUMMYFUNCTION("""COMPUTED_VALUE"""),"AutoArena")</f>
        <v>AutoArena</v>
      </c>
      <c r="F5052" s="122" t="str">
        <f>IFERROR(__xludf.DUMMYFUNCTION("""COMPUTED_VALUE"""),"Automotive")</f>
        <v>Automotive</v>
      </c>
    </row>
    <row r="5053">
      <c r="A5053" s="131">
        <f>IFERROR(__xludf.DUMMYFUNCTION("""COMPUTED_VALUE"""),46187.50298611111)</f>
        <v>46187.50299</v>
      </c>
      <c r="B5053" s="126">
        <f>IFERROR(__xludf.DUMMYFUNCTION("""COMPUTED_VALUE"""),46187.0)</f>
        <v>46187</v>
      </c>
      <c r="C5053" s="130">
        <f>IFERROR(__xludf.DUMMYFUNCTION("""COMPUTED_VALUE"""),0.5029861111111111)</f>
        <v>0.5029861111</v>
      </c>
      <c r="D5053" s="122" t="str">
        <f>IFERROR(__xludf.DUMMYFUNCTION("""COMPUTED_VALUE"""),"EVGO")</f>
        <v>EVGO</v>
      </c>
      <c r="E5053" s="122" t="str">
        <f>IFERROR(__xludf.DUMMYFUNCTION("""COMPUTED_VALUE"""),"EVGo Motors")</f>
        <v>EVGo Motors</v>
      </c>
      <c r="F5053" s="122" t="str">
        <f>IFERROR(__xludf.DUMMYFUNCTION("""COMPUTED_VALUE"""),"Automotive")</f>
        <v>Automotive</v>
      </c>
    </row>
    <row r="5054">
      <c r="A5054" s="131">
        <f>IFERROR(__xludf.DUMMYFUNCTION("""COMPUTED_VALUE"""),46187.50298611111)</f>
        <v>46187.50299</v>
      </c>
      <c r="B5054" s="126">
        <f>IFERROR(__xludf.DUMMYFUNCTION("""COMPUTED_VALUE"""),46187.0)</f>
        <v>46187</v>
      </c>
      <c r="C5054" s="130">
        <f>IFERROR(__xludf.DUMMYFUNCTION("""COMPUTED_VALUE"""),0.5029861111111111)</f>
        <v>0.5029861111</v>
      </c>
      <c r="D5054" s="122" t="str">
        <f>IFERROR(__xludf.DUMMYFUNCTION("""COMPUTED_VALUE"""),"TIRE")</f>
        <v>TIRE</v>
      </c>
      <c r="E5054" s="122" t="str">
        <f>IFERROR(__xludf.DUMMYFUNCTION("""COMPUTED_VALUE"""),"TireTown")</f>
        <v>TireTown</v>
      </c>
      <c r="F5054" s="122" t="str">
        <f>IFERROR(__xludf.DUMMYFUNCTION("""COMPUTED_VALUE"""),"Automotive")</f>
        <v>Automotive</v>
      </c>
    </row>
    <row r="5055">
      <c r="A5055" s="131">
        <f>IFERROR(__xludf.DUMMYFUNCTION("""COMPUTED_VALUE"""),46187.50298611111)</f>
        <v>46187.50299</v>
      </c>
      <c r="B5055" s="126">
        <f>IFERROR(__xludf.DUMMYFUNCTION("""COMPUTED_VALUE"""),46187.0)</f>
        <v>46187</v>
      </c>
      <c r="C5055" s="130">
        <f>IFERROR(__xludf.DUMMYFUNCTION("""COMPUTED_VALUE"""),0.5029861111111111)</f>
        <v>0.5029861111</v>
      </c>
      <c r="D5055" s="122" t="str">
        <f>IFERROR(__xludf.DUMMYFUNCTION("""COMPUTED_VALUE"""),"BIKE")</f>
        <v>BIKE</v>
      </c>
      <c r="E5055" s="122" t="str">
        <f>IFERROR(__xludf.DUMMYFUNCTION("""COMPUTED_VALUE"""),"BikeBox")</f>
        <v>BikeBox</v>
      </c>
      <c r="F5055" s="122" t="str">
        <f>IFERROR(__xludf.DUMMYFUNCTION("""COMPUTED_VALUE"""),"Automotive")</f>
        <v>Automotive</v>
      </c>
    </row>
    <row r="5056">
      <c r="A5056" s="131">
        <f>IFERROR(__xludf.DUMMYFUNCTION("""COMPUTED_VALUE"""),46187.50298611111)</f>
        <v>46187.50299</v>
      </c>
      <c r="B5056" s="126">
        <f>IFERROR(__xludf.DUMMYFUNCTION("""COMPUTED_VALUE"""),46187.0)</f>
        <v>46187</v>
      </c>
      <c r="C5056" s="130">
        <f>IFERROR(__xludf.DUMMYFUNCTION("""COMPUTED_VALUE"""),0.5029861111111111)</f>
        <v>0.5029861111</v>
      </c>
      <c r="D5056" s="122" t="str">
        <f>IFERROR(__xludf.DUMMYFUNCTION("""COMPUTED_VALUE"""),"WASH")</f>
        <v>WASH</v>
      </c>
      <c r="E5056" s="122" t="str">
        <f>IFERROR(__xludf.DUMMYFUNCTION("""COMPUTED_VALUE"""),"CarWash Co")</f>
        <v>CarWash Co</v>
      </c>
      <c r="F5056" s="122" t="str">
        <f>IFERROR(__xludf.DUMMYFUNCTION("""COMPUTED_VALUE"""),"Automotive")</f>
        <v>Automotive</v>
      </c>
    </row>
    <row r="5057">
      <c r="A5057" s="131">
        <f>IFERROR(__xludf.DUMMYFUNCTION("""COMPUTED_VALUE"""),46187.50298611111)</f>
        <v>46187.50299</v>
      </c>
      <c r="B5057" s="126">
        <f>IFERROR(__xludf.DUMMYFUNCTION("""COMPUTED_VALUE"""),46187.0)</f>
        <v>46187</v>
      </c>
      <c r="C5057" s="130">
        <f>IFERROR(__xludf.DUMMYFUNCTION("""COMPUTED_VALUE"""),0.5029861111111111)</f>
        <v>0.5029861111</v>
      </c>
      <c r="D5057" s="122" t="str">
        <f>IFERROR(__xludf.DUMMYFUNCTION("""COMPUTED_VALUE"""),"GBND")</f>
        <v>GBND</v>
      </c>
      <c r="E5057" s="122" t="str">
        <f>IFERROR(__xludf.DUMMYFUNCTION("""COMPUTED_VALUE"""),"Classroom Government Bond")</f>
        <v>Classroom Government Bond</v>
      </c>
      <c r="F5057" s="122" t="str">
        <f>IFERROR(__xludf.DUMMYFUNCTION("""COMPUTED_VALUE"""),"Bond")</f>
        <v>Bond</v>
      </c>
    </row>
    <row r="5058">
      <c r="A5058" s="131">
        <f>IFERROR(__xludf.DUMMYFUNCTION("""COMPUTED_VALUE"""),46187.50298611111)</f>
        <v>46187.50299</v>
      </c>
      <c r="B5058" s="126">
        <f>IFERROR(__xludf.DUMMYFUNCTION("""COMPUTED_VALUE"""),46187.0)</f>
        <v>46187</v>
      </c>
      <c r="C5058" s="130">
        <f>IFERROR(__xludf.DUMMYFUNCTION("""COMPUTED_VALUE"""),0.5029861111111111)</f>
        <v>0.5029861111</v>
      </c>
      <c r="D5058" s="122" t="str">
        <f>IFERROR(__xludf.DUMMYFUNCTION("""COMPUTED_VALUE"""),"SBND")</f>
        <v>SBND</v>
      </c>
      <c r="E5058" s="122" t="str">
        <f>IFERROR(__xludf.DUMMYFUNCTION("""COMPUTED_VALUE"""),"School Savings Bond")</f>
        <v>School Savings Bond</v>
      </c>
      <c r="F5058" s="122" t="str">
        <f>IFERROR(__xludf.DUMMYFUNCTION("""COMPUTED_VALUE"""),"Bond")</f>
        <v>Bond</v>
      </c>
    </row>
    <row r="5059">
      <c r="A5059" s="131">
        <f>IFERROR(__xludf.DUMMYFUNCTION("""COMPUTED_VALUE"""),46187.50298611111)</f>
        <v>46187.50299</v>
      </c>
      <c r="B5059" s="126">
        <f>IFERROR(__xludf.DUMMYFUNCTION("""COMPUTED_VALUE"""),46187.0)</f>
        <v>46187</v>
      </c>
      <c r="C5059" s="130">
        <f>IFERROR(__xludf.DUMMYFUNCTION("""COMPUTED_VALUE"""),0.5029861111111111)</f>
        <v>0.5029861111</v>
      </c>
      <c r="D5059" s="122" t="str">
        <f>IFERROR(__xludf.DUMMYFUNCTION("""COMPUTED_VALUE"""),"CBND")</f>
        <v>CBND</v>
      </c>
      <c r="E5059" s="122" t="str">
        <f>IFERROR(__xludf.DUMMYFUNCTION("""COMPUTED_VALUE"""),"Corporate Classroom Bond")</f>
        <v>Corporate Classroom Bond</v>
      </c>
      <c r="F5059" s="122" t="str">
        <f>IFERROR(__xludf.DUMMYFUNCTION("""COMPUTED_VALUE"""),"Bond")</f>
        <v>Bond</v>
      </c>
    </row>
    <row r="5060">
      <c r="A5060" s="131">
        <f>IFERROR(__xludf.DUMMYFUNCTION("""COMPUTED_VALUE"""),46187.50298611111)</f>
        <v>46187.50299</v>
      </c>
      <c r="B5060" s="126">
        <f>IFERROR(__xludf.DUMMYFUNCTION("""COMPUTED_VALUE"""),46187.0)</f>
        <v>46187</v>
      </c>
      <c r="C5060" s="130">
        <f>IFERROR(__xludf.DUMMYFUNCTION("""COMPUTED_VALUE"""),0.5029861111111111)</f>
        <v>0.5029861111</v>
      </c>
      <c r="D5060" s="122" t="str">
        <f>IFERROR(__xludf.DUMMYFUNCTION("""COMPUTED_VALUE"""),"TBIL")</f>
        <v>TBIL</v>
      </c>
      <c r="E5060" s="122" t="str">
        <f>IFERROR(__xludf.DUMMYFUNCTION("""COMPUTED_VALUE"""),"Treasury Bill")</f>
        <v>Treasury Bill</v>
      </c>
      <c r="F5060" s="122" t="str">
        <f>IFERROR(__xludf.DUMMYFUNCTION("""COMPUTED_VALUE"""),"Bond")</f>
        <v>Bond</v>
      </c>
    </row>
    <row r="5061">
      <c r="A5061" s="131">
        <f>IFERROR(__xludf.DUMMYFUNCTION("""COMPUTED_VALUE"""),46187.50298611111)</f>
        <v>46187.50299</v>
      </c>
      <c r="B5061" s="126">
        <f>IFERROR(__xludf.DUMMYFUNCTION("""COMPUTED_VALUE"""),46187.0)</f>
        <v>46187</v>
      </c>
      <c r="C5061" s="130">
        <f>IFERROR(__xludf.DUMMYFUNCTION("""COMPUTED_VALUE"""),0.5029861111111111)</f>
        <v>0.5029861111</v>
      </c>
      <c r="D5061" s="122" t="str">
        <f>IFERROR(__xludf.DUMMYFUNCTION("""COMPUTED_VALUE"""),"IBND")</f>
        <v>IBND</v>
      </c>
      <c r="E5061" s="122" t="str">
        <f>IFERROR(__xludf.DUMMYFUNCTION("""COMPUTED_VALUE"""),"Inflation Protected Bond")</f>
        <v>Inflation Protected Bond</v>
      </c>
      <c r="F5061" s="122" t="str">
        <f>IFERROR(__xludf.DUMMYFUNCTION("""COMPUTED_VALUE"""),"Bond")</f>
        <v>Bond</v>
      </c>
    </row>
    <row r="5062">
      <c r="A5062" s="131">
        <f>IFERROR(__xludf.DUMMYFUNCTION("""COMPUTED_VALUE"""),46187.505219907405)</f>
        <v>46187.50522</v>
      </c>
      <c r="B5062" s="126">
        <f>IFERROR(__xludf.DUMMYFUNCTION("""COMPUTED_VALUE"""),46187.0)</f>
        <v>46187</v>
      </c>
      <c r="C5062" s="122" t="str">
        <f>IFERROR(__xludf.DUMMYFUNCTION("""COMPUTED_VALUE"""),"SNAX")</f>
        <v>SNAX</v>
      </c>
      <c r="D5062" s="122" t="str">
        <f>IFERROR(__xludf.DUMMYFUNCTION("""COMPUTED_VALUE"""),"MICA Snacks")</f>
        <v>MICA Snacks</v>
      </c>
      <c r="E5062" s="122">
        <f>IFERROR(__xludf.DUMMYFUNCTION("""COMPUTED_VALUE"""),120.42)</f>
        <v>120.42</v>
      </c>
      <c r="F5062" s="122">
        <f>IFERROR(__xludf.DUMMYFUNCTION("""COMPUTED_VALUE"""),-0.0066)</f>
        <v>-0.0066</v>
      </c>
    </row>
    <row r="5063">
      <c r="A5063" s="131">
        <f>IFERROR(__xludf.DUMMYFUNCTION("""COMPUTED_VALUE"""),46187.505219907405)</f>
        <v>46187.50522</v>
      </c>
      <c r="B5063" s="126">
        <f>IFERROR(__xludf.DUMMYFUNCTION("""COMPUTED_VALUE"""),46187.0)</f>
        <v>46187</v>
      </c>
      <c r="C5063" s="122" t="str">
        <f>IFERROR(__xludf.DUMMYFUNCTION("""COMPUTED_VALUE"""),"RAMN")</f>
        <v>RAMN</v>
      </c>
      <c r="D5063" s="122" t="str">
        <f>IFERROR(__xludf.DUMMYFUNCTION("""COMPUTED_VALUE"""),"Ramen Republic")</f>
        <v>Ramen Republic</v>
      </c>
      <c r="E5063" s="122">
        <f>IFERROR(__xludf.DUMMYFUNCTION("""COMPUTED_VALUE"""),67.97)</f>
        <v>67.97</v>
      </c>
      <c r="F5063" s="122">
        <f>IFERROR(__xludf.DUMMYFUNCTION("""COMPUTED_VALUE"""),-0.0072)</f>
        <v>-0.0072</v>
      </c>
    </row>
    <row r="5064">
      <c r="A5064" s="131">
        <f>IFERROR(__xludf.DUMMYFUNCTION("""COMPUTED_VALUE"""),46187.505219907405)</f>
        <v>46187.50522</v>
      </c>
      <c r="B5064" s="126">
        <f>IFERROR(__xludf.DUMMYFUNCTION("""COMPUTED_VALUE"""),46187.0)</f>
        <v>46187</v>
      </c>
      <c r="C5064" s="122" t="str">
        <f>IFERROR(__xludf.DUMMYFUNCTION("""COMPUTED_VALUE"""),"COLA")</f>
        <v>COLA</v>
      </c>
      <c r="D5064" s="122" t="str">
        <f>IFERROR(__xludf.DUMMYFUNCTION("""COMPUTED_VALUE"""),"K-Pop Cola")</f>
        <v>K-Pop Cola</v>
      </c>
      <c r="E5064" s="122">
        <f>IFERROR(__xludf.DUMMYFUNCTION("""COMPUTED_VALUE"""),112.98)</f>
        <v>112.98</v>
      </c>
      <c r="F5064" s="122">
        <f>IFERROR(__xludf.DUMMYFUNCTION("""COMPUTED_VALUE"""),-0.0057)</f>
        <v>-0.0057</v>
      </c>
    </row>
    <row r="5065">
      <c r="A5065" s="131">
        <f>IFERROR(__xludf.DUMMYFUNCTION("""COMPUTED_VALUE"""),46187.505219907405)</f>
        <v>46187.50522</v>
      </c>
      <c r="B5065" s="126">
        <f>IFERROR(__xludf.DUMMYFUNCTION("""COMPUTED_VALUE"""),46187.0)</f>
        <v>46187</v>
      </c>
      <c r="C5065" s="122" t="str">
        <f>IFERROR(__xludf.DUMMYFUNCTION("""COMPUTED_VALUE"""),"CHIP")</f>
        <v>CHIP</v>
      </c>
      <c r="D5065" s="122" t="str">
        <f>IFERROR(__xludf.DUMMYFUNCTION("""COMPUTED_VALUE"""),"Chip Empire")</f>
        <v>Chip Empire</v>
      </c>
      <c r="E5065" s="122">
        <f>IFERROR(__xludf.DUMMYFUNCTION("""COMPUTED_VALUE"""),85.5)</f>
        <v>85.5</v>
      </c>
      <c r="F5065" s="122">
        <f>IFERROR(__xludf.DUMMYFUNCTION("""COMPUTED_VALUE"""),-0.0057)</f>
        <v>-0.0057</v>
      </c>
    </row>
    <row r="5066">
      <c r="A5066" s="131">
        <f>IFERROR(__xludf.DUMMYFUNCTION("""COMPUTED_VALUE"""),46187.505219907405)</f>
        <v>46187.50522</v>
      </c>
      <c r="B5066" s="126">
        <f>IFERROR(__xludf.DUMMYFUNCTION("""COMPUTED_VALUE"""),46187.0)</f>
        <v>46187</v>
      </c>
      <c r="C5066" s="122" t="str">
        <f>IFERROR(__xludf.DUMMYFUNCTION("""COMPUTED_VALUE"""),"CAND")</f>
        <v>CAND</v>
      </c>
      <c r="D5066" s="122" t="str">
        <f>IFERROR(__xludf.DUMMYFUNCTION("""COMPUTED_VALUE"""),"Candy Capital")</f>
        <v>Candy Capital</v>
      </c>
      <c r="E5066" s="122">
        <f>IFERROR(__xludf.DUMMYFUNCTION("""COMPUTED_VALUE"""),77.12)</f>
        <v>77.12</v>
      </c>
      <c r="F5066" s="122">
        <f>IFERROR(__xludf.DUMMYFUNCTION("""COMPUTED_VALUE"""),0.0044)</f>
        <v>0.0044</v>
      </c>
    </row>
    <row r="5067">
      <c r="A5067" s="131">
        <f>IFERROR(__xludf.DUMMYFUNCTION("""COMPUTED_VALUE"""),46187.505219907405)</f>
        <v>46187.50522</v>
      </c>
      <c r="B5067" s="126">
        <f>IFERROR(__xludf.DUMMYFUNCTION("""COMPUTED_VALUE"""),46187.0)</f>
        <v>46187</v>
      </c>
      <c r="C5067" s="122" t="str">
        <f>IFERROR(__xludf.DUMMYFUNCTION("""COMPUTED_VALUE"""),"TECH")</f>
        <v>TECH</v>
      </c>
      <c r="D5067" s="122" t="str">
        <f>IFERROR(__xludf.DUMMYFUNCTION("""COMPUTED_VALUE"""),"Dragon Tech")</f>
        <v>Dragon Tech</v>
      </c>
      <c r="E5067" s="122">
        <f>IFERROR(__xludf.DUMMYFUNCTION("""COMPUTED_VALUE"""),242.55)</f>
        <v>242.55</v>
      </c>
      <c r="F5067" s="122">
        <f>IFERROR(__xludf.DUMMYFUNCTION("""COMPUTED_VALUE"""),-0.0053)</f>
        <v>-0.0053</v>
      </c>
    </row>
    <row r="5068">
      <c r="A5068" s="131">
        <f>IFERROR(__xludf.DUMMYFUNCTION("""COMPUTED_VALUE"""),46187.505219907405)</f>
        <v>46187.50522</v>
      </c>
      <c r="B5068" s="126">
        <f>IFERROR(__xludf.DUMMYFUNCTION("""COMPUTED_VALUE"""),46187.0)</f>
        <v>46187</v>
      </c>
      <c r="C5068" s="122" t="str">
        <f>IFERROR(__xludf.DUMMYFUNCTION("""COMPUTED_VALUE"""),"AIBO")</f>
        <v>AIBO</v>
      </c>
      <c r="D5068" s="122" t="str">
        <f>IFERROR(__xludf.DUMMYFUNCTION("""COMPUTED_VALUE"""),"Homework AI")</f>
        <v>Homework AI</v>
      </c>
      <c r="E5068" s="122">
        <f>IFERROR(__xludf.DUMMYFUNCTION("""COMPUTED_VALUE"""),180.4)</f>
        <v>180.4</v>
      </c>
      <c r="F5068" s="122">
        <f>IFERROR(__xludf.DUMMYFUNCTION("""COMPUTED_VALUE"""),-0.0012)</f>
        <v>-0.0012</v>
      </c>
    </row>
    <row r="5069">
      <c r="A5069" s="131">
        <f>IFERROR(__xludf.DUMMYFUNCTION("""COMPUTED_VALUE"""),46187.505219907405)</f>
        <v>46187.50522</v>
      </c>
      <c r="B5069" s="126">
        <f>IFERROR(__xludf.DUMMYFUNCTION("""COMPUTED_VALUE"""),46187.0)</f>
        <v>46187</v>
      </c>
      <c r="C5069" s="122" t="str">
        <f>IFERROR(__xludf.DUMMYFUNCTION("""COMPUTED_VALUE"""),"GAME")</f>
        <v>GAME</v>
      </c>
      <c r="D5069" s="122" t="str">
        <f>IFERROR(__xludf.DUMMYFUNCTION("""COMPUTED_VALUE"""),"GameBox Media")</f>
        <v>GameBox Media</v>
      </c>
      <c r="E5069" s="122">
        <f>IFERROR(__xludf.DUMMYFUNCTION("""COMPUTED_VALUE"""),97.59)</f>
        <v>97.59</v>
      </c>
      <c r="F5069" s="122">
        <f>IFERROR(__xludf.DUMMYFUNCTION("""COMPUTED_VALUE"""),0.0076)</f>
        <v>0.0076</v>
      </c>
    </row>
    <row r="5070">
      <c r="A5070" s="131">
        <f>IFERROR(__xludf.DUMMYFUNCTION("""COMPUTED_VALUE"""),46187.505219907405)</f>
        <v>46187.50522</v>
      </c>
      <c r="B5070" s="126">
        <f>IFERROR(__xludf.DUMMYFUNCTION("""COMPUTED_VALUE"""),46187.0)</f>
        <v>46187</v>
      </c>
      <c r="C5070" s="122" t="str">
        <f>IFERROR(__xludf.DUMMYFUNCTION("""COMPUTED_VALUE"""),"VRSE")</f>
        <v>VRSE</v>
      </c>
      <c r="D5070" s="122" t="str">
        <f>IFERROR(__xludf.DUMMYFUNCTION("""COMPUTED_VALUE"""),"VerseVR")</f>
        <v>VerseVR</v>
      </c>
      <c r="E5070" s="122">
        <f>IFERROR(__xludf.DUMMYFUNCTION("""COMPUTED_VALUE"""),153.95)</f>
        <v>153.95</v>
      </c>
      <c r="F5070" s="122">
        <f>IFERROR(__xludf.DUMMYFUNCTION("""COMPUTED_VALUE"""),-0.0096)</f>
        <v>-0.0096</v>
      </c>
    </row>
    <row r="5071">
      <c r="A5071" s="131">
        <f>IFERROR(__xludf.DUMMYFUNCTION("""COMPUTED_VALUE"""),46187.505219907405)</f>
        <v>46187.50522</v>
      </c>
      <c r="B5071" s="126">
        <f>IFERROR(__xludf.DUMMYFUNCTION("""COMPUTED_VALUE"""),46187.0)</f>
        <v>46187</v>
      </c>
      <c r="C5071" s="122" t="str">
        <f>IFERROR(__xludf.DUMMYFUNCTION("""COMPUTED_VALUE"""),"BYTE")</f>
        <v>BYTE</v>
      </c>
      <c r="D5071" s="122" t="str">
        <f>IFERROR(__xludf.DUMMYFUNCTION("""COMPUTED_VALUE"""),"ByteWorks")</f>
        <v>ByteWorks</v>
      </c>
      <c r="E5071" s="122">
        <f>IFERROR(__xludf.DUMMYFUNCTION("""COMPUTED_VALUE"""),111.04)</f>
        <v>111.04</v>
      </c>
      <c r="F5071" s="122">
        <f>IFERROR(__xludf.DUMMYFUNCTION("""COMPUTED_VALUE"""),0.0087)</f>
        <v>0.0087</v>
      </c>
    </row>
    <row r="5072">
      <c r="A5072" s="131">
        <f>IFERROR(__xludf.DUMMYFUNCTION("""COMPUTED_VALUE"""),46187.505219907405)</f>
        <v>46187.50522</v>
      </c>
      <c r="B5072" s="126">
        <f>IFERROR(__xludf.DUMMYFUNCTION("""COMPUTED_VALUE"""),46187.0)</f>
        <v>46187</v>
      </c>
      <c r="C5072" s="122" t="str">
        <f>IFERROR(__xludf.DUMMYFUNCTION("""COMPUTED_VALUE"""),"BANK")</f>
        <v>BANK</v>
      </c>
      <c r="D5072" s="122" t="str">
        <f>IFERROR(__xludf.DUMMYFUNCTION("""COMPUTED_VALUE"""),"Tiger Bank")</f>
        <v>Tiger Bank</v>
      </c>
      <c r="E5072" s="122">
        <f>IFERROR(__xludf.DUMMYFUNCTION("""COMPUTED_VALUE"""),128.97)</f>
        <v>128.97</v>
      </c>
      <c r="F5072" s="122">
        <f>IFERROR(__xludf.DUMMYFUNCTION("""COMPUTED_VALUE"""),-0.0023)</f>
        <v>-0.0023</v>
      </c>
    </row>
    <row r="5073">
      <c r="A5073" s="131">
        <f>IFERROR(__xludf.DUMMYFUNCTION("""COMPUTED_VALUE"""),46187.505219907405)</f>
        <v>46187.50522</v>
      </c>
      <c r="B5073" s="126">
        <f>IFERROR(__xludf.DUMMYFUNCTION("""COMPUTED_VALUE"""),46187.0)</f>
        <v>46187</v>
      </c>
      <c r="C5073" s="122" t="str">
        <f>IFERROR(__xludf.DUMMYFUNCTION("""COMPUTED_VALUE"""),"CRED")</f>
        <v>CRED</v>
      </c>
      <c r="D5073" s="122" t="str">
        <f>IFERROR(__xludf.DUMMYFUNCTION("""COMPUTED_VALUE"""),"Credit Castle")</f>
        <v>Credit Castle</v>
      </c>
      <c r="E5073" s="122">
        <f>IFERROR(__xludf.DUMMYFUNCTION("""COMPUTED_VALUE"""),66.76)</f>
        <v>66.76</v>
      </c>
      <c r="F5073" s="122">
        <f>IFERROR(__xludf.DUMMYFUNCTION("""COMPUTED_VALUE"""),0.0051)</f>
        <v>0.0051</v>
      </c>
    </row>
    <row r="5074">
      <c r="A5074" s="131">
        <f>IFERROR(__xludf.DUMMYFUNCTION("""COMPUTED_VALUE"""),46187.505219907405)</f>
        <v>46187.50522</v>
      </c>
      <c r="B5074" s="126">
        <f>IFERROR(__xludf.DUMMYFUNCTION("""COMPUTED_VALUE"""),46187.0)</f>
        <v>46187</v>
      </c>
      <c r="C5074" s="122" t="str">
        <f>IFERROR(__xludf.DUMMYFUNCTION("""COMPUTED_VALUE"""),"BOND")</f>
        <v>BOND</v>
      </c>
      <c r="D5074" s="122" t="str">
        <f>IFERROR(__xludf.DUMMYFUNCTION("""COMPUTED_VALUE"""),"BondBridge")</f>
        <v>BondBridge</v>
      </c>
      <c r="E5074" s="122">
        <f>IFERROR(__xludf.DUMMYFUNCTION("""COMPUTED_VALUE"""),100.3)</f>
        <v>100.3</v>
      </c>
      <c r="F5074" s="122">
        <f>IFERROR(__xludf.DUMMYFUNCTION("""COMPUTED_VALUE"""),-2.0E-4)</f>
        <v>-0.0002</v>
      </c>
    </row>
    <row r="5075">
      <c r="A5075" s="131">
        <f>IFERROR(__xludf.DUMMYFUNCTION("""COMPUTED_VALUE"""),46187.505219907405)</f>
        <v>46187.50522</v>
      </c>
      <c r="B5075" s="126">
        <f>IFERROR(__xludf.DUMMYFUNCTION("""COMPUTED_VALUE"""),46187.0)</f>
        <v>46187</v>
      </c>
      <c r="C5075" s="122" t="str">
        <f>IFERROR(__xludf.DUMMYFUNCTION("""COMPUTED_VALUE"""),"INSR")</f>
        <v>INSR</v>
      </c>
      <c r="D5075" s="122" t="str">
        <f>IFERROR(__xludf.DUMMYFUNCTION("""COMPUTED_VALUE"""),"Shield Insurance")</f>
        <v>Shield Insurance</v>
      </c>
      <c r="E5075" s="122">
        <f>IFERROR(__xludf.DUMMYFUNCTION("""COMPUTED_VALUE"""),159.71)</f>
        <v>159.71</v>
      </c>
      <c r="F5075" s="122">
        <f>IFERROR(__xludf.DUMMYFUNCTION("""COMPUTED_VALUE"""),-0.0031)</f>
        <v>-0.0031</v>
      </c>
    </row>
    <row r="5076">
      <c r="A5076" s="131">
        <f>IFERROR(__xludf.DUMMYFUNCTION("""COMPUTED_VALUE"""),46187.505219907405)</f>
        <v>46187.50522</v>
      </c>
      <c r="B5076" s="126">
        <f>IFERROR(__xludf.DUMMYFUNCTION("""COMPUTED_VALUE"""),46187.0)</f>
        <v>46187</v>
      </c>
      <c r="C5076" s="122" t="str">
        <f>IFERROR(__xludf.DUMMYFUNCTION("""COMPUTED_VALUE"""),"LOAN")</f>
        <v>LOAN</v>
      </c>
      <c r="D5076" s="122" t="str">
        <f>IFERROR(__xludf.DUMMYFUNCTION("""COMPUTED_VALUE"""),"LoanLab")</f>
        <v>LoanLab</v>
      </c>
      <c r="E5076" s="122">
        <f>IFERROR(__xludf.DUMMYFUNCTION("""COMPUTED_VALUE"""),65.48)</f>
        <v>65.48</v>
      </c>
      <c r="F5076" s="122">
        <f>IFERROR(__xludf.DUMMYFUNCTION("""COMPUTED_VALUE"""),0.0046)</f>
        <v>0.0046</v>
      </c>
    </row>
    <row r="5077">
      <c r="A5077" s="131">
        <f>IFERROR(__xludf.DUMMYFUNCTION("""COMPUTED_VALUE"""),46187.505219907405)</f>
        <v>46187.50522</v>
      </c>
      <c r="B5077" s="126">
        <f>IFERROR(__xludf.DUMMYFUNCTION("""COMPUTED_VALUE"""),46187.0)</f>
        <v>46187</v>
      </c>
      <c r="C5077" s="122" t="str">
        <f>IFERROR(__xludf.DUMMYFUNCTION("""COMPUTED_VALUE"""),"LUXE")</f>
        <v>LUXE</v>
      </c>
      <c r="D5077" s="122" t="str">
        <f>IFERROR(__xludf.DUMMYFUNCTION("""COMPUTED_VALUE"""),"Luxury Locker")</f>
        <v>Luxury Locker</v>
      </c>
      <c r="E5077" s="122">
        <f>IFERROR(__xludf.DUMMYFUNCTION("""COMPUTED_VALUE"""),263.86)</f>
        <v>263.86</v>
      </c>
      <c r="F5077" s="122">
        <f>IFERROR(__xludf.DUMMYFUNCTION("""COMPUTED_VALUE"""),0.0046)</f>
        <v>0.0046</v>
      </c>
    </row>
    <row r="5078">
      <c r="A5078" s="131">
        <f>IFERROR(__xludf.DUMMYFUNCTION("""COMPUTED_VALUE"""),46187.505219907405)</f>
        <v>46187.50522</v>
      </c>
      <c r="B5078" s="126">
        <f>IFERROR(__xludf.DUMMYFUNCTION("""COMPUTED_VALUE"""),46187.0)</f>
        <v>46187</v>
      </c>
      <c r="C5078" s="122" t="str">
        <f>IFERROR(__xludf.DUMMYFUNCTION("""COMPUTED_VALUE"""),"DRIP")</f>
        <v>DRIP</v>
      </c>
      <c r="D5078" s="122" t="str">
        <f>IFERROR(__xludf.DUMMYFUNCTION("""COMPUTED_VALUE"""),"Drip Streetwear")</f>
        <v>Drip Streetwear</v>
      </c>
      <c r="E5078" s="122">
        <f>IFERROR(__xludf.DUMMYFUNCTION("""COMPUTED_VALUE"""),195.6)</f>
        <v>195.6</v>
      </c>
      <c r="F5078" s="122">
        <f>IFERROR(__xludf.DUMMYFUNCTION("""COMPUTED_VALUE"""),-0.0039)</f>
        <v>-0.0039</v>
      </c>
    </row>
    <row r="5079">
      <c r="A5079" s="131">
        <f>IFERROR(__xludf.DUMMYFUNCTION("""COMPUTED_VALUE"""),46187.505219907405)</f>
        <v>46187.50522</v>
      </c>
      <c r="B5079" s="126">
        <f>IFERROR(__xludf.DUMMYFUNCTION("""COMPUTED_VALUE"""),46187.0)</f>
        <v>46187</v>
      </c>
      <c r="C5079" s="122" t="str">
        <f>IFERROR(__xludf.DUMMYFUNCTION("""COMPUTED_VALUE"""),"KICK")</f>
        <v>KICK</v>
      </c>
      <c r="D5079" s="122" t="str">
        <f>IFERROR(__xludf.DUMMYFUNCTION("""COMPUTED_VALUE"""),"KickDrop Sneakers")</f>
        <v>KickDrop Sneakers</v>
      </c>
      <c r="E5079" s="122">
        <f>IFERROR(__xludf.DUMMYFUNCTION("""COMPUTED_VALUE"""),170.29)</f>
        <v>170.29</v>
      </c>
      <c r="F5079" s="122">
        <f>IFERROR(__xludf.DUMMYFUNCTION("""COMPUTED_VALUE"""),-0.0019)</f>
        <v>-0.0019</v>
      </c>
    </row>
    <row r="5080">
      <c r="A5080" s="131">
        <f>IFERROR(__xludf.DUMMYFUNCTION("""COMPUTED_VALUE"""),46187.505219907405)</f>
        <v>46187.50522</v>
      </c>
      <c r="B5080" s="126">
        <f>IFERROR(__xludf.DUMMYFUNCTION("""COMPUTED_VALUE"""),46187.0)</f>
        <v>46187</v>
      </c>
      <c r="C5080" s="122" t="str">
        <f>IFERROR(__xludf.DUMMYFUNCTION("""COMPUTED_VALUE"""),"GLAM")</f>
        <v>GLAM</v>
      </c>
      <c r="D5080" s="122" t="str">
        <f>IFERROR(__xludf.DUMMYFUNCTION("""COMPUTED_VALUE"""),"Glow Cosmetics")</f>
        <v>Glow Cosmetics</v>
      </c>
      <c r="E5080" s="122">
        <f>IFERROR(__xludf.DUMMYFUNCTION("""COMPUTED_VALUE"""),105.34)</f>
        <v>105.34</v>
      </c>
      <c r="F5080" s="122">
        <f>IFERROR(__xludf.DUMMYFUNCTION("""COMPUTED_VALUE"""),0.0082)</f>
        <v>0.0082</v>
      </c>
    </row>
    <row r="5081">
      <c r="A5081" s="131">
        <f>IFERROR(__xludf.DUMMYFUNCTION("""COMPUTED_VALUE"""),46187.505219907405)</f>
        <v>46187.50522</v>
      </c>
      <c r="B5081" s="126">
        <f>IFERROR(__xludf.DUMMYFUNCTION("""COMPUTED_VALUE"""),46187.0)</f>
        <v>46187</v>
      </c>
      <c r="C5081" s="122" t="str">
        <f>IFERROR(__xludf.DUMMYFUNCTION("""COMPUTED_VALUE"""),"BAGG")</f>
        <v>BAGG</v>
      </c>
      <c r="D5081" s="122" t="str">
        <f>IFERROR(__xludf.DUMMYFUNCTION("""COMPUTED_VALUE"""),"BagVault")</f>
        <v>BagVault</v>
      </c>
      <c r="E5081" s="122">
        <f>IFERROR(__xludf.DUMMYFUNCTION("""COMPUTED_VALUE"""),250.71)</f>
        <v>250.71</v>
      </c>
      <c r="F5081" s="122">
        <f>IFERROR(__xludf.DUMMYFUNCTION("""COMPUTED_VALUE"""),0.006)</f>
        <v>0.006</v>
      </c>
    </row>
    <row r="5082">
      <c r="A5082" s="131">
        <f>IFERROR(__xludf.DUMMYFUNCTION("""COMPUTED_VALUE"""),46187.505219907405)</f>
        <v>46187.50522</v>
      </c>
      <c r="B5082" s="126">
        <f>IFERROR(__xludf.DUMMYFUNCTION("""COMPUTED_VALUE"""),46187.0)</f>
        <v>46187</v>
      </c>
      <c r="C5082" s="122" t="str">
        <f>IFERROR(__xludf.DUMMYFUNCTION("""COMPUTED_VALUE"""),"FAST")</f>
        <v>FAST</v>
      </c>
      <c r="D5082" s="122" t="str">
        <f>IFERROR(__xludf.DUMMYFUNCTION("""COMPUTED_VALUE"""),"Flash Logistics")</f>
        <v>Flash Logistics</v>
      </c>
      <c r="E5082" s="122">
        <f>IFERROR(__xludf.DUMMYFUNCTION("""COMPUTED_VALUE"""),104.42)</f>
        <v>104.42</v>
      </c>
      <c r="F5082" s="122">
        <f>IFERROR(__xludf.DUMMYFUNCTION("""COMPUTED_VALUE"""),-0.0015)</f>
        <v>-0.0015</v>
      </c>
    </row>
    <row r="5083">
      <c r="A5083" s="131">
        <f>IFERROR(__xludf.DUMMYFUNCTION("""COMPUTED_VALUE"""),46187.505219907405)</f>
        <v>46187.50522</v>
      </c>
      <c r="B5083" s="126">
        <f>IFERROR(__xludf.DUMMYFUNCTION("""COMPUTED_VALUE"""),46187.0)</f>
        <v>46187</v>
      </c>
      <c r="C5083" s="122" t="str">
        <f>IFERROR(__xludf.DUMMYFUNCTION("""COMPUTED_VALUE"""),"SHIP")</f>
        <v>SHIP</v>
      </c>
      <c r="D5083" s="122" t="str">
        <f>IFERROR(__xludf.DUMMYFUNCTION("""COMPUTED_VALUE"""),"Seoul Shipping")</f>
        <v>Seoul Shipping</v>
      </c>
      <c r="E5083" s="122">
        <f>IFERROR(__xludf.DUMMYFUNCTION("""COMPUTED_VALUE"""),128.08)</f>
        <v>128.08</v>
      </c>
      <c r="F5083" s="122">
        <f>IFERROR(__xludf.DUMMYFUNCTION("""COMPUTED_VALUE"""),0.0047)</f>
        <v>0.0047</v>
      </c>
    </row>
    <row r="5084">
      <c r="A5084" s="131">
        <f>IFERROR(__xludf.DUMMYFUNCTION("""COMPUTED_VALUE"""),46187.505219907405)</f>
        <v>46187.50522</v>
      </c>
      <c r="B5084" s="126">
        <f>IFERROR(__xludf.DUMMYFUNCTION("""COMPUTED_VALUE"""),46187.0)</f>
        <v>46187</v>
      </c>
      <c r="C5084" s="122" t="str">
        <f>IFERROR(__xludf.DUMMYFUNCTION("""COMPUTED_VALUE"""),"DRON")</f>
        <v>DRON</v>
      </c>
      <c r="D5084" s="122" t="str">
        <f>IFERROR(__xludf.DUMMYFUNCTION("""COMPUTED_VALUE"""),"DroneDrop")</f>
        <v>DroneDrop</v>
      </c>
      <c r="E5084" s="122">
        <f>IFERROR(__xludf.DUMMYFUNCTION("""COMPUTED_VALUE"""),128.35)</f>
        <v>128.35</v>
      </c>
      <c r="F5084" s="122">
        <f>IFERROR(__xludf.DUMMYFUNCTION("""COMPUTED_VALUE"""),0.0034)</f>
        <v>0.0034</v>
      </c>
    </row>
    <row r="5085">
      <c r="A5085" s="131">
        <f>IFERROR(__xludf.DUMMYFUNCTION("""COMPUTED_VALUE"""),46187.505219907405)</f>
        <v>46187.50522</v>
      </c>
      <c r="B5085" s="126">
        <f>IFERROR(__xludf.DUMMYFUNCTION("""COMPUTED_VALUE"""),46187.0)</f>
        <v>46187</v>
      </c>
      <c r="C5085" s="122" t="str">
        <f>IFERROR(__xludf.DUMMYFUNCTION("""COMPUTED_VALUE"""),"RIDE")</f>
        <v>RIDE</v>
      </c>
      <c r="D5085" s="122" t="str">
        <f>IFERROR(__xludf.DUMMYFUNCTION("""COMPUTED_VALUE"""),"QuickRide")</f>
        <v>QuickRide</v>
      </c>
      <c r="E5085" s="122">
        <f>IFERROR(__xludf.DUMMYFUNCTION("""COMPUTED_VALUE"""),97.07)</f>
        <v>97.07</v>
      </c>
      <c r="F5085" s="122">
        <f>IFERROR(__xludf.DUMMYFUNCTION("""COMPUTED_VALUE"""),0.0068)</f>
        <v>0.0068</v>
      </c>
    </row>
    <row r="5086">
      <c r="A5086" s="131">
        <f>IFERROR(__xludf.DUMMYFUNCTION("""COMPUTED_VALUE"""),46187.505219907405)</f>
        <v>46187.50522</v>
      </c>
      <c r="B5086" s="126">
        <f>IFERROR(__xludf.DUMMYFUNCTION("""COMPUTED_VALUE"""),46187.0)</f>
        <v>46187</v>
      </c>
      <c r="C5086" s="122" t="str">
        <f>IFERROR(__xludf.DUMMYFUNCTION("""COMPUTED_VALUE"""),"RAIL")</f>
        <v>RAIL</v>
      </c>
      <c r="D5086" s="122" t="str">
        <f>IFERROR(__xludf.DUMMYFUNCTION("""COMPUTED_VALUE"""),"MetroRail Corp")</f>
        <v>MetroRail Corp</v>
      </c>
      <c r="E5086" s="122">
        <f>IFERROR(__xludf.DUMMYFUNCTION("""COMPUTED_VALUE"""),134.06)</f>
        <v>134.06</v>
      </c>
      <c r="F5086" s="122">
        <f>IFERROR(__xludf.DUMMYFUNCTION("""COMPUTED_VALUE"""),1.0E-4)</f>
        <v>0.0001</v>
      </c>
    </row>
    <row r="5087">
      <c r="A5087" s="131">
        <f>IFERROR(__xludf.DUMMYFUNCTION("""COMPUTED_VALUE"""),46187.505219907405)</f>
        <v>46187.50522</v>
      </c>
      <c r="B5087" s="126">
        <f>IFERROR(__xludf.DUMMYFUNCTION("""COMPUTED_VALUE"""),46187.0)</f>
        <v>46187</v>
      </c>
      <c r="C5087" s="122" t="str">
        <f>IFERROR(__xludf.DUMMYFUNCTION("""COMPUTED_VALUE"""),"MEDX")</f>
        <v>MEDX</v>
      </c>
      <c r="D5087" s="122" t="str">
        <f>IFERROR(__xludf.DUMMYFUNCTION("""COMPUTED_VALUE"""),"MediCore")</f>
        <v>MediCore</v>
      </c>
      <c r="E5087" s="122">
        <f>IFERROR(__xludf.DUMMYFUNCTION("""COMPUTED_VALUE"""),137.21)</f>
        <v>137.21</v>
      </c>
      <c r="F5087" s="122">
        <f>IFERROR(__xludf.DUMMYFUNCTION("""COMPUTED_VALUE"""),-0.0032)</f>
        <v>-0.0032</v>
      </c>
    </row>
    <row r="5088">
      <c r="A5088" s="131">
        <f>IFERROR(__xludf.DUMMYFUNCTION("""COMPUTED_VALUE"""),46187.505219907405)</f>
        <v>46187.50522</v>
      </c>
      <c r="B5088" s="126">
        <f>IFERROR(__xludf.DUMMYFUNCTION("""COMPUTED_VALUE"""),46187.0)</f>
        <v>46187</v>
      </c>
      <c r="C5088" s="122" t="str">
        <f>IFERROR(__xludf.DUMMYFUNCTION("""COMPUTED_VALUE"""),"GYMX")</f>
        <v>GYMX</v>
      </c>
      <c r="D5088" s="122" t="str">
        <f>IFERROR(__xludf.DUMMYFUNCTION("""COMPUTED_VALUE"""),"GymX Fitness")</f>
        <v>GymX Fitness</v>
      </c>
      <c r="E5088" s="122">
        <f>IFERROR(__xludf.DUMMYFUNCTION("""COMPUTED_VALUE"""),87.29)</f>
        <v>87.29</v>
      </c>
      <c r="F5088" s="122">
        <f>IFERROR(__xludf.DUMMYFUNCTION("""COMPUTED_VALUE"""),0.0068)</f>
        <v>0.0068</v>
      </c>
    </row>
    <row r="5089">
      <c r="A5089" s="131">
        <f>IFERROR(__xludf.DUMMYFUNCTION("""COMPUTED_VALUE"""),46187.505219907405)</f>
        <v>46187.50522</v>
      </c>
      <c r="B5089" s="126">
        <f>IFERROR(__xludf.DUMMYFUNCTION("""COMPUTED_VALUE"""),46187.0)</f>
        <v>46187</v>
      </c>
      <c r="C5089" s="122" t="str">
        <f>IFERROR(__xludf.DUMMYFUNCTION("""COMPUTED_VALUE"""),"VITA")</f>
        <v>VITA</v>
      </c>
      <c r="D5089" s="122" t="str">
        <f>IFERROR(__xludf.DUMMYFUNCTION("""COMPUTED_VALUE"""),"VitaPlus")</f>
        <v>VitaPlus</v>
      </c>
      <c r="E5089" s="122">
        <f>IFERROR(__xludf.DUMMYFUNCTION("""COMPUTED_VALUE"""),72.52)</f>
        <v>72.52</v>
      </c>
      <c r="F5089" s="122">
        <f>IFERROR(__xludf.DUMMYFUNCTION("""COMPUTED_VALUE"""),0.0019)</f>
        <v>0.0019</v>
      </c>
    </row>
    <row r="5090">
      <c r="A5090" s="131">
        <f>IFERROR(__xludf.DUMMYFUNCTION("""COMPUTED_VALUE"""),46187.505219907405)</f>
        <v>46187.50522</v>
      </c>
      <c r="B5090" s="126">
        <f>IFERROR(__xludf.DUMMYFUNCTION("""COMPUTED_VALUE"""),46187.0)</f>
        <v>46187</v>
      </c>
      <c r="C5090" s="122" t="str">
        <f>IFERROR(__xludf.DUMMYFUNCTION("""COMPUTED_VALUE"""),"CARE")</f>
        <v>CARE</v>
      </c>
      <c r="D5090" s="122" t="str">
        <f>IFERROR(__xludf.DUMMYFUNCTION("""COMPUTED_VALUE"""),"CareCloud")</f>
        <v>CareCloud</v>
      </c>
      <c r="E5090" s="122">
        <f>IFERROR(__xludf.DUMMYFUNCTION("""COMPUTED_VALUE"""),178.78)</f>
        <v>178.78</v>
      </c>
      <c r="F5090" s="122">
        <f>IFERROR(__xludf.DUMMYFUNCTION("""COMPUTED_VALUE"""),0.0079)</f>
        <v>0.0079</v>
      </c>
    </row>
    <row r="5091">
      <c r="A5091" s="131">
        <f>IFERROR(__xludf.DUMMYFUNCTION("""COMPUTED_VALUE"""),46187.505219907405)</f>
        <v>46187.50522</v>
      </c>
      <c r="B5091" s="126">
        <f>IFERROR(__xludf.DUMMYFUNCTION("""COMPUTED_VALUE"""),46187.0)</f>
        <v>46187</v>
      </c>
      <c r="C5091" s="122" t="str">
        <f>IFERROR(__xludf.DUMMYFUNCTION("""COMPUTED_VALUE"""),"DENT")</f>
        <v>DENT</v>
      </c>
      <c r="D5091" s="122" t="str">
        <f>IFERROR(__xludf.DUMMYFUNCTION("""COMPUTED_VALUE"""),"SmileWorks")</f>
        <v>SmileWorks</v>
      </c>
      <c r="E5091" s="122">
        <f>IFERROR(__xludf.DUMMYFUNCTION("""COMPUTED_VALUE"""),88.87)</f>
        <v>88.87</v>
      </c>
      <c r="F5091" s="122">
        <f>IFERROR(__xludf.DUMMYFUNCTION("""COMPUTED_VALUE"""),0.004)</f>
        <v>0.004</v>
      </c>
    </row>
    <row r="5092">
      <c r="A5092" s="131">
        <f>IFERROR(__xludf.DUMMYFUNCTION("""COMPUTED_VALUE"""),46187.505219907405)</f>
        <v>46187.50522</v>
      </c>
      <c r="B5092" s="126">
        <f>IFERROR(__xludf.DUMMYFUNCTION("""COMPUTED_VALUE"""),46187.0)</f>
        <v>46187</v>
      </c>
      <c r="C5092" s="122" t="str">
        <f>IFERROR(__xludf.DUMMYFUNCTION("""COMPUTED_VALUE"""),"EDUX")</f>
        <v>EDUX</v>
      </c>
      <c r="D5092" s="122" t="str">
        <f>IFERROR(__xludf.DUMMYFUNCTION("""COMPUTED_VALUE"""),"EduMax Learning")</f>
        <v>EduMax Learning</v>
      </c>
      <c r="E5092" s="122">
        <f>IFERROR(__xludf.DUMMYFUNCTION("""COMPUTED_VALUE"""),139.15)</f>
        <v>139.15</v>
      </c>
      <c r="F5092" s="122">
        <f>IFERROR(__xludf.DUMMYFUNCTION("""COMPUTED_VALUE"""),0.0062)</f>
        <v>0.0062</v>
      </c>
    </row>
    <row r="5093">
      <c r="A5093" s="131">
        <f>IFERROR(__xludf.DUMMYFUNCTION("""COMPUTED_VALUE"""),46187.505219907405)</f>
        <v>46187.50522</v>
      </c>
      <c r="B5093" s="126">
        <f>IFERROR(__xludf.DUMMYFUNCTION("""COMPUTED_VALUE"""),46187.0)</f>
        <v>46187</v>
      </c>
      <c r="C5093" s="122" t="str">
        <f>IFERROR(__xludf.DUMMYFUNCTION("""COMPUTED_VALUE"""),"BOOK")</f>
        <v>BOOK</v>
      </c>
      <c r="D5093" s="122" t="str">
        <f>IFERROR(__xludf.DUMMYFUNCTION("""COMPUTED_VALUE"""),"BookBridge")</f>
        <v>BookBridge</v>
      </c>
      <c r="E5093" s="122">
        <f>IFERROR(__xludf.DUMMYFUNCTION("""COMPUTED_VALUE"""),119.97)</f>
        <v>119.97</v>
      </c>
      <c r="F5093" s="122">
        <f>IFERROR(__xludf.DUMMYFUNCTION("""COMPUTED_VALUE"""),-0.0014)</f>
        <v>-0.0014</v>
      </c>
    </row>
    <row r="5094">
      <c r="A5094" s="131">
        <f>IFERROR(__xludf.DUMMYFUNCTION("""COMPUTED_VALUE"""),46187.505219907405)</f>
        <v>46187.50522</v>
      </c>
      <c r="B5094" s="126">
        <f>IFERROR(__xludf.DUMMYFUNCTION("""COMPUTED_VALUE"""),46187.0)</f>
        <v>46187</v>
      </c>
      <c r="C5094" s="122" t="str">
        <f>IFERROR(__xludf.DUMMYFUNCTION("""COMPUTED_VALUE"""),"TUTR")</f>
        <v>TUTR</v>
      </c>
      <c r="D5094" s="122" t="str">
        <f>IFERROR(__xludf.DUMMYFUNCTION("""COMPUTED_VALUE"""),"TutorTown")</f>
        <v>TutorTown</v>
      </c>
      <c r="E5094" s="122">
        <f>IFERROR(__xludf.DUMMYFUNCTION("""COMPUTED_VALUE"""),90.15)</f>
        <v>90.15</v>
      </c>
      <c r="F5094" s="122">
        <f>IFERROR(__xludf.DUMMYFUNCTION("""COMPUTED_VALUE"""),-9.0E-4)</f>
        <v>-0.0009</v>
      </c>
    </row>
    <row r="5095">
      <c r="A5095" s="131">
        <f>IFERROR(__xludf.DUMMYFUNCTION("""COMPUTED_VALUE"""),46187.505219907405)</f>
        <v>46187.50522</v>
      </c>
      <c r="B5095" s="126">
        <f>IFERROR(__xludf.DUMMYFUNCTION("""COMPUTED_VALUE"""),46187.0)</f>
        <v>46187</v>
      </c>
      <c r="C5095" s="122" t="str">
        <f>IFERROR(__xludf.DUMMYFUNCTION("""COMPUTED_VALUE"""),"LANG")</f>
        <v>LANG</v>
      </c>
      <c r="D5095" s="122" t="str">
        <f>IFERROR(__xludf.DUMMYFUNCTION("""COMPUTED_VALUE"""),"LinguaLab")</f>
        <v>LinguaLab</v>
      </c>
      <c r="E5095" s="122">
        <f>IFERROR(__xludf.DUMMYFUNCTION("""COMPUTED_VALUE"""),99.21)</f>
        <v>99.21</v>
      </c>
      <c r="F5095" s="122">
        <f>IFERROR(__xludf.DUMMYFUNCTION("""COMPUTED_VALUE"""),0.002)</f>
        <v>0.002</v>
      </c>
    </row>
    <row r="5096">
      <c r="A5096" s="131">
        <f>IFERROR(__xludf.DUMMYFUNCTION("""COMPUTED_VALUE"""),46187.505219907405)</f>
        <v>46187.50522</v>
      </c>
      <c r="B5096" s="126">
        <f>IFERROR(__xludf.DUMMYFUNCTION("""COMPUTED_VALUE"""),46187.0)</f>
        <v>46187</v>
      </c>
      <c r="C5096" s="122" t="str">
        <f>IFERROR(__xludf.DUMMYFUNCTION("""COMPUTED_VALUE"""),"TEST")</f>
        <v>TEST</v>
      </c>
      <c r="D5096" s="122" t="str">
        <f>IFERROR(__xludf.DUMMYFUNCTION("""COMPUTED_VALUE"""),"TestPrep Pro")</f>
        <v>TestPrep Pro</v>
      </c>
      <c r="E5096" s="122">
        <f>IFERROR(__xludf.DUMMYFUNCTION("""COMPUTED_VALUE"""),94.12)</f>
        <v>94.12</v>
      </c>
      <c r="F5096" s="122">
        <f>IFERROR(__xludf.DUMMYFUNCTION("""COMPUTED_VALUE"""),-0.006)</f>
        <v>-0.006</v>
      </c>
    </row>
    <row r="5097">
      <c r="A5097" s="131">
        <f>IFERROR(__xludf.DUMMYFUNCTION("""COMPUTED_VALUE"""),46187.505219907405)</f>
        <v>46187.50522</v>
      </c>
      <c r="B5097" s="126">
        <f>IFERROR(__xludf.DUMMYFUNCTION("""COMPUTED_VALUE"""),46187.0)</f>
        <v>46187</v>
      </c>
      <c r="C5097" s="122" t="str">
        <f>IFERROR(__xludf.DUMMYFUNCTION("""COMPUTED_VALUE"""),"MOVI")</f>
        <v>MOVI</v>
      </c>
      <c r="D5097" s="122" t="str">
        <f>IFERROR(__xludf.DUMMYFUNCTION("""COMPUTED_VALUE"""),"MovieBox")</f>
        <v>MovieBox</v>
      </c>
      <c r="E5097" s="122">
        <f>IFERROR(__xludf.DUMMYFUNCTION("""COMPUTED_VALUE"""),81.32)</f>
        <v>81.32</v>
      </c>
      <c r="F5097" s="122">
        <f>IFERROR(__xludf.DUMMYFUNCTION("""COMPUTED_VALUE"""),-0.0037)</f>
        <v>-0.0037</v>
      </c>
    </row>
    <row r="5098">
      <c r="A5098" s="131">
        <f>IFERROR(__xludf.DUMMYFUNCTION("""COMPUTED_VALUE"""),46187.505219907405)</f>
        <v>46187.50522</v>
      </c>
      <c r="B5098" s="126">
        <f>IFERROR(__xludf.DUMMYFUNCTION("""COMPUTED_VALUE"""),46187.0)</f>
        <v>46187</v>
      </c>
      <c r="C5098" s="122" t="str">
        <f>IFERROR(__xludf.DUMMYFUNCTION("""COMPUTED_VALUE"""),"MUSC")</f>
        <v>MUSC</v>
      </c>
      <c r="D5098" s="122" t="str">
        <f>IFERROR(__xludf.DUMMYFUNCTION("""COMPUTED_VALUE"""),"MusicWave")</f>
        <v>MusicWave</v>
      </c>
      <c r="E5098" s="122">
        <f>IFERROR(__xludf.DUMMYFUNCTION("""COMPUTED_VALUE"""),100.0)</f>
        <v>100</v>
      </c>
      <c r="F5098" s="122">
        <f>IFERROR(__xludf.DUMMYFUNCTION("""COMPUTED_VALUE"""),0.0053)</f>
        <v>0.0053</v>
      </c>
    </row>
    <row r="5099">
      <c r="A5099" s="131">
        <f>IFERROR(__xludf.DUMMYFUNCTION("""COMPUTED_VALUE"""),46187.505219907405)</f>
        <v>46187.50522</v>
      </c>
      <c r="B5099" s="126">
        <f>IFERROR(__xludf.DUMMYFUNCTION("""COMPUTED_VALUE"""),46187.0)</f>
        <v>46187</v>
      </c>
      <c r="C5099" s="122" t="str">
        <f>IFERROR(__xludf.DUMMYFUNCTION("""COMPUTED_VALUE"""),"IDOL")</f>
        <v>IDOL</v>
      </c>
      <c r="D5099" s="122" t="str">
        <f>IFERROR(__xludf.DUMMYFUNCTION("""COMPUTED_VALUE"""),"Idol Agency")</f>
        <v>Idol Agency</v>
      </c>
      <c r="E5099" s="122">
        <f>IFERROR(__xludf.DUMMYFUNCTION("""COMPUTED_VALUE"""),188.27)</f>
        <v>188.27</v>
      </c>
      <c r="F5099" s="122">
        <f>IFERROR(__xludf.DUMMYFUNCTION("""COMPUTED_VALUE"""),-0.0085)</f>
        <v>-0.0085</v>
      </c>
    </row>
    <row r="5100">
      <c r="A5100" s="131">
        <f>IFERROR(__xludf.DUMMYFUNCTION("""COMPUTED_VALUE"""),46187.505219907405)</f>
        <v>46187.50522</v>
      </c>
      <c r="B5100" s="126">
        <f>IFERROR(__xludf.DUMMYFUNCTION("""COMPUTED_VALUE"""),46187.0)</f>
        <v>46187</v>
      </c>
      <c r="C5100" s="122" t="str">
        <f>IFERROR(__xludf.DUMMYFUNCTION("""COMPUTED_VALUE"""),"MEME")</f>
        <v>MEME</v>
      </c>
      <c r="D5100" s="122" t="str">
        <f>IFERROR(__xludf.DUMMYFUNCTION("""COMPUTED_VALUE"""),"Meme Media")</f>
        <v>Meme Media</v>
      </c>
      <c r="E5100" s="122">
        <f>IFERROR(__xludf.DUMMYFUNCTION("""COMPUTED_VALUE"""),72.26)</f>
        <v>72.26</v>
      </c>
      <c r="F5100" s="122">
        <f>IFERROR(__xludf.DUMMYFUNCTION("""COMPUTED_VALUE"""),0.0049)</f>
        <v>0.0049</v>
      </c>
    </row>
    <row r="5101">
      <c r="A5101" s="131">
        <f>IFERROR(__xludf.DUMMYFUNCTION("""COMPUTED_VALUE"""),46187.505219907405)</f>
        <v>46187.50522</v>
      </c>
      <c r="B5101" s="126">
        <f>IFERROR(__xludf.DUMMYFUNCTION("""COMPUTED_VALUE"""),46187.0)</f>
        <v>46187</v>
      </c>
      <c r="C5101" s="122" t="str">
        <f>IFERROR(__xludf.DUMMYFUNCTION("""COMPUTED_VALUE"""),"STRM")</f>
        <v>STRM</v>
      </c>
      <c r="D5101" s="122" t="str">
        <f>IFERROR(__xludf.DUMMYFUNCTION("""COMPUTED_VALUE"""),"Streamly")</f>
        <v>Streamly</v>
      </c>
      <c r="E5101" s="122">
        <f>IFERROR(__xludf.DUMMYFUNCTION("""COMPUTED_VALUE"""),140.36)</f>
        <v>140.36</v>
      </c>
      <c r="F5101" s="122">
        <f>IFERROR(__xludf.DUMMYFUNCTION("""COMPUTED_VALUE"""),0.0084)</f>
        <v>0.0084</v>
      </c>
    </row>
    <row r="5102">
      <c r="A5102" s="131">
        <f>IFERROR(__xludf.DUMMYFUNCTION("""COMPUTED_VALUE"""),46187.505219907405)</f>
        <v>46187.50522</v>
      </c>
      <c r="B5102" s="126">
        <f>IFERROR(__xludf.DUMMYFUNCTION("""COMPUTED_VALUE"""),46187.0)</f>
        <v>46187</v>
      </c>
      <c r="C5102" s="122" t="str">
        <f>IFERROR(__xludf.DUMMYFUNCTION("""COMPUTED_VALUE"""),"FARM")</f>
        <v>FARM</v>
      </c>
      <c r="D5102" s="122" t="str">
        <f>IFERROR(__xludf.DUMMYFUNCTION("""COMPUTED_VALUE"""),"Future Farms")</f>
        <v>Future Farms</v>
      </c>
      <c r="E5102" s="122">
        <f>IFERROR(__xludf.DUMMYFUNCTION("""COMPUTED_VALUE"""),90.13)</f>
        <v>90.13</v>
      </c>
      <c r="F5102" s="122">
        <f>IFERROR(__xludf.DUMMYFUNCTION("""COMPUTED_VALUE"""),0.0055)</f>
        <v>0.0055</v>
      </c>
    </row>
    <row r="5103">
      <c r="A5103" s="131">
        <f>IFERROR(__xludf.DUMMYFUNCTION("""COMPUTED_VALUE"""),46187.505219907405)</f>
        <v>46187.50522</v>
      </c>
      <c r="B5103" s="126">
        <f>IFERROR(__xludf.DUMMYFUNCTION("""COMPUTED_VALUE"""),46187.0)</f>
        <v>46187</v>
      </c>
      <c r="C5103" s="122" t="str">
        <f>IFERROR(__xludf.DUMMYFUNCTION("""COMPUTED_VALUE"""),"MEAT")</f>
        <v>MEAT</v>
      </c>
      <c r="D5103" s="122" t="str">
        <f>IFERROR(__xludf.DUMMYFUNCTION("""COMPUTED_VALUE"""),"MeatWorks")</f>
        <v>MeatWorks</v>
      </c>
      <c r="E5103" s="122">
        <f>IFERROR(__xludf.DUMMYFUNCTION("""COMPUTED_VALUE"""),103.96)</f>
        <v>103.96</v>
      </c>
      <c r="F5103" s="122">
        <f>IFERROR(__xludf.DUMMYFUNCTION("""COMPUTED_VALUE"""),0.0023)</f>
        <v>0.0023</v>
      </c>
    </row>
    <row r="5104">
      <c r="A5104" s="131">
        <f>IFERROR(__xludf.DUMMYFUNCTION("""COMPUTED_VALUE"""),46187.505219907405)</f>
        <v>46187.50522</v>
      </c>
      <c r="B5104" s="126">
        <f>IFERROR(__xludf.DUMMYFUNCTION("""COMPUTED_VALUE"""),46187.0)</f>
        <v>46187</v>
      </c>
      <c r="C5104" s="122" t="str">
        <f>IFERROR(__xludf.DUMMYFUNCTION("""COMPUTED_VALUE"""),"VEGI")</f>
        <v>VEGI</v>
      </c>
      <c r="D5104" s="122" t="str">
        <f>IFERROR(__xludf.DUMMYFUNCTION("""COMPUTED_VALUE"""),"Green Basket")</f>
        <v>Green Basket</v>
      </c>
      <c r="E5104" s="122">
        <f>IFERROR(__xludf.DUMMYFUNCTION("""COMPUTED_VALUE"""),79.24)</f>
        <v>79.24</v>
      </c>
      <c r="F5104" s="122">
        <f>IFERROR(__xludf.DUMMYFUNCTION("""COMPUTED_VALUE"""),-0.0016)</f>
        <v>-0.0016</v>
      </c>
    </row>
    <row r="5105">
      <c r="A5105" s="131">
        <f>IFERROR(__xludf.DUMMYFUNCTION("""COMPUTED_VALUE"""),46187.505219907405)</f>
        <v>46187.50522</v>
      </c>
      <c r="B5105" s="126">
        <f>IFERROR(__xludf.DUMMYFUNCTION("""COMPUTED_VALUE"""),46187.0)</f>
        <v>46187</v>
      </c>
      <c r="C5105" s="122" t="str">
        <f>IFERROR(__xludf.DUMMYFUNCTION("""COMPUTED_VALUE"""),"CAFE")</f>
        <v>CAFE</v>
      </c>
      <c r="D5105" s="122" t="str">
        <f>IFERROR(__xludf.DUMMYFUNCTION("""COMPUTED_VALUE"""),"Cafe Cloud")</f>
        <v>Cafe Cloud</v>
      </c>
      <c r="E5105" s="122">
        <f>IFERROR(__xludf.DUMMYFUNCTION("""COMPUTED_VALUE"""),100.16)</f>
        <v>100.16</v>
      </c>
      <c r="F5105" s="122">
        <f>IFERROR(__xludf.DUMMYFUNCTION("""COMPUTED_VALUE"""),-0.0054)</f>
        <v>-0.0054</v>
      </c>
    </row>
    <row r="5106">
      <c r="A5106" s="131">
        <f>IFERROR(__xludf.DUMMYFUNCTION("""COMPUTED_VALUE"""),46187.505219907405)</f>
        <v>46187.50522</v>
      </c>
      <c r="B5106" s="126">
        <f>IFERROR(__xludf.DUMMYFUNCTION("""COMPUTED_VALUE"""),46187.0)</f>
        <v>46187</v>
      </c>
      <c r="C5106" s="122" t="str">
        <f>IFERROR(__xludf.DUMMYFUNCTION("""COMPUTED_VALUE"""),"BAKE")</f>
        <v>BAKE</v>
      </c>
      <c r="D5106" s="122" t="str">
        <f>IFERROR(__xludf.DUMMYFUNCTION("""COMPUTED_VALUE"""),"BakeHouse")</f>
        <v>BakeHouse</v>
      </c>
      <c r="E5106" s="122">
        <f>IFERROR(__xludf.DUMMYFUNCTION("""COMPUTED_VALUE"""),102.07)</f>
        <v>102.07</v>
      </c>
      <c r="F5106" s="122">
        <f>IFERROR(__xludf.DUMMYFUNCTION("""COMPUTED_VALUE"""),0.0044)</f>
        <v>0.0044</v>
      </c>
    </row>
    <row r="5107">
      <c r="A5107" s="131">
        <f>IFERROR(__xludf.DUMMYFUNCTION("""COMPUTED_VALUE"""),46187.505219907405)</f>
        <v>46187.50522</v>
      </c>
      <c r="B5107" s="126">
        <f>IFERROR(__xludf.DUMMYFUNCTION("""COMPUTED_VALUE"""),46187.0)</f>
        <v>46187</v>
      </c>
      <c r="C5107" s="122" t="str">
        <f>IFERROR(__xludf.DUMMYFUNCTION("""COMPUTED_VALUE"""),"OILX")</f>
        <v>OILX</v>
      </c>
      <c r="D5107" s="122" t="str">
        <f>IFERROR(__xludf.DUMMYFUNCTION("""COMPUTED_VALUE"""),"OilMax Energy")</f>
        <v>OilMax Energy</v>
      </c>
      <c r="E5107" s="122">
        <f>IFERROR(__xludf.DUMMYFUNCTION("""COMPUTED_VALUE"""),128.23)</f>
        <v>128.23</v>
      </c>
      <c r="F5107" s="122">
        <f>IFERROR(__xludf.DUMMYFUNCTION("""COMPUTED_VALUE"""),-0.0068)</f>
        <v>-0.0068</v>
      </c>
    </row>
    <row r="5108">
      <c r="A5108" s="131">
        <f>IFERROR(__xludf.DUMMYFUNCTION("""COMPUTED_VALUE"""),46187.505219907405)</f>
        <v>46187.50522</v>
      </c>
      <c r="B5108" s="126">
        <f>IFERROR(__xludf.DUMMYFUNCTION("""COMPUTED_VALUE"""),46187.0)</f>
        <v>46187</v>
      </c>
      <c r="C5108" s="122" t="str">
        <f>IFERROR(__xludf.DUMMYFUNCTION("""COMPUTED_VALUE"""),"SOLR")</f>
        <v>SOLR</v>
      </c>
      <c r="D5108" s="122" t="str">
        <f>IFERROR(__xludf.DUMMYFUNCTION("""COMPUTED_VALUE"""),"SolarSpark")</f>
        <v>SolarSpark</v>
      </c>
      <c r="E5108" s="122">
        <f>IFERROR(__xludf.DUMMYFUNCTION("""COMPUTED_VALUE"""),97.64)</f>
        <v>97.64</v>
      </c>
      <c r="F5108" s="122">
        <f>IFERROR(__xludf.DUMMYFUNCTION("""COMPUTED_VALUE"""),0.0032)</f>
        <v>0.0032</v>
      </c>
    </row>
    <row r="5109">
      <c r="A5109" s="131">
        <f>IFERROR(__xludf.DUMMYFUNCTION("""COMPUTED_VALUE"""),46187.505219907405)</f>
        <v>46187.50522</v>
      </c>
      <c r="B5109" s="126">
        <f>IFERROR(__xludf.DUMMYFUNCTION("""COMPUTED_VALUE"""),46187.0)</f>
        <v>46187</v>
      </c>
      <c r="C5109" s="122" t="str">
        <f>IFERROR(__xludf.DUMMYFUNCTION("""COMPUTED_VALUE"""),"BATT")</f>
        <v>BATT</v>
      </c>
      <c r="D5109" s="122" t="str">
        <f>IFERROR(__xludf.DUMMYFUNCTION("""COMPUTED_VALUE"""),"BatteryBox")</f>
        <v>BatteryBox</v>
      </c>
      <c r="E5109" s="122">
        <f>IFERROR(__xludf.DUMMYFUNCTION("""COMPUTED_VALUE"""),120.17)</f>
        <v>120.17</v>
      </c>
      <c r="F5109" s="122">
        <f>IFERROR(__xludf.DUMMYFUNCTION("""COMPUTED_VALUE"""),0.0022)</f>
        <v>0.0022</v>
      </c>
    </row>
    <row r="5110">
      <c r="A5110" s="131">
        <f>IFERROR(__xludf.DUMMYFUNCTION("""COMPUTED_VALUE"""),46187.505219907405)</f>
        <v>46187.50522</v>
      </c>
      <c r="B5110" s="126">
        <f>IFERROR(__xludf.DUMMYFUNCTION("""COMPUTED_VALUE"""),46187.0)</f>
        <v>46187</v>
      </c>
      <c r="C5110" s="122" t="str">
        <f>IFERROR(__xludf.DUMMYFUNCTION("""COMPUTED_VALUE"""),"WIND")</f>
        <v>WIND</v>
      </c>
      <c r="D5110" s="122" t="str">
        <f>IFERROR(__xludf.DUMMYFUNCTION("""COMPUTED_VALUE"""),"WindWorks")</f>
        <v>WindWorks</v>
      </c>
      <c r="E5110" s="122">
        <f>IFERROR(__xludf.DUMMYFUNCTION("""COMPUTED_VALUE"""),87.34)</f>
        <v>87.34</v>
      </c>
      <c r="F5110" s="122">
        <f>IFERROR(__xludf.DUMMYFUNCTION("""COMPUTED_VALUE"""),6.0E-4)</f>
        <v>0.0006</v>
      </c>
    </row>
    <row r="5111">
      <c r="A5111" s="131">
        <f>IFERROR(__xludf.DUMMYFUNCTION("""COMPUTED_VALUE"""),46187.505219907405)</f>
        <v>46187.50522</v>
      </c>
      <c r="B5111" s="126">
        <f>IFERROR(__xludf.DUMMYFUNCTION("""COMPUTED_VALUE"""),46187.0)</f>
        <v>46187</v>
      </c>
      <c r="C5111" s="122" t="str">
        <f>IFERROR(__xludf.DUMMYFUNCTION("""COMPUTED_VALUE"""),"GRID")</f>
        <v>GRID</v>
      </c>
      <c r="D5111" s="122" t="str">
        <f>IFERROR(__xludf.DUMMYFUNCTION("""COMPUTED_VALUE"""),"GridPower")</f>
        <v>GridPower</v>
      </c>
      <c r="E5111" s="122">
        <f>IFERROR(__xludf.DUMMYFUNCTION("""COMPUTED_VALUE"""),137.34)</f>
        <v>137.34</v>
      </c>
      <c r="F5111" s="122">
        <f>IFERROR(__xludf.DUMMYFUNCTION("""COMPUTED_VALUE"""),-0.0028)</f>
        <v>-0.0028</v>
      </c>
    </row>
    <row r="5112">
      <c r="A5112" s="131">
        <f>IFERROR(__xludf.DUMMYFUNCTION("""COMPUTED_VALUE"""),46187.505219907405)</f>
        <v>46187.50522</v>
      </c>
      <c r="B5112" s="126">
        <f>IFERROR(__xludf.DUMMYFUNCTION("""COMPUTED_VALUE"""),46187.0)</f>
        <v>46187</v>
      </c>
      <c r="C5112" s="122" t="str">
        <f>IFERROR(__xludf.DUMMYFUNCTION("""COMPUTED_VALUE"""),"HOME")</f>
        <v>HOME</v>
      </c>
      <c r="D5112" s="122" t="str">
        <f>IFERROR(__xludf.DUMMYFUNCTION("""COMPUTED_VALUE"""),"HomeHub")</f>
        <v>HomeHub</v>
      </c>
      <c r="E5112" s="122">
        <f>IFERROR(__xludf.DUMMYFUNCTION("""COMPUTED_VALUE"""),152.58)</f>
        <v>152.58</v>
      </c>
      <c r="F5112" s="122">
        <f>IFERROR(__xludf.DUMMYFUNCTION("""COMPUTED_VALUE"""),0.0028)</f>
        <v>0.0028</v>
      </c>
    </row>
    <row r="5113">
      <c r="A5113" s="131">
        <f>IFERROR(__xludf.DUMMYFUNCTION("""COMPUTED_VALUE"""),46187.505219907405)</f>
        <v>46187.50522</v>
      </c>
      <c r="B5113" s="126">
        <f>IFERROR(__xludf.DUMMYFUNCTION("""COMPUTED_VALUE"""),46187.0)</f>
        <v>46187</v>
      </c>
      <c r="C5113" s="122" t="str">
        <f>IFERROR(__xludf.DUMMYFUNCTION("""COMPUTED_VALUE"""),"RENT")</f>
        <v>RENT</v>
      </c>
      <c r="D5113" s="122" t="str">
        <f>IFERROR(__xludf.DUMMYFUNCTION("""COMPUTED_VALUE"""),"RentRight")</f>
        <v>RentRight</v>
      </c>
      <c r="E5113" s="122">
        <f>IFERROR(__xludf.DUMMYFUNCTION("""COMPUTED_VALUE"""),91.69)</f>
        <v>91.69</v>
      </c>
      <c r="F5113" s="122">
        <f>IFERROR(__xludf.DUMMYFUNCTION("""COMPUTED_VALUE"""),-0.0049)</f>
        <v>-0.0049</v>
      </c>
    </row>
    <row r="5114">
      <c r="A5114" s="131">
        <f>IFERROR(__xludf.DUMMYFUNCTION("""COMPUTED_VALUE"""),46187.505219907405)</f>
        <v>46187.50522</v>
      </c>
      <c r="B5114" s="126">
        <f>IFERROR(__xludf.DUMMYFUNCTION("""COMPUTED_VALUE"""),46187.0)</f>
        <v>46187</v>
      </c>
      <c r="C5114" s="122" t="str">
        <f>IFERROR(__xludf.DUMMYFUNCTION("""COMPUTED_VALUE"""),"MALL")</f>
        <v>MALL</v>
      </c>
      <c r="D5114" s="122" t="str">
        <f>IFERROR(__xludf.DUMMYFUNCTION("""COMPUTED_VALUE"""),"MegaMall")</f>
        <v>MegaMall</v>
      </c>
      <c r="E5114" s="122">
        <f>IFERROR(__xludf.DUMMYFUNCTION("""COMPUTED_VALUE"""),100.31)</f>
        <v>100.31</v>
      </c>
      <c r="F5114" s="122">
        <f>IFERROR(__xludf.DUMMYFUNCTION("""COMPUTED_VALUE"""),0.0023)</f>
        <v>0.0023</v>
      </c>
    </row>
    <row r="5115">
      <c r="A5115" s="131">
        <f>IFERROR(__xludf.DUMMYFUNCTION("""COMPUTED_VALUE"""),46187.505219907405)</f>
        <v>46187.50522</v>
      </c>
      <c r="B5115" s="126">
        <f>IFERROR(__xludf.DUMMYFUNCTION("""COMPUTED_VALUE"""),46187.0)</f>
        <v>46187</v>
      </c>
      <c r="C5115" s="122" t="str">
        <f>IFERROR(__xludf.DUMMYFUNCTION("""COMPUTED_VALUE"""),"HOTL")</f>
        <v>HOTL</v>
      </c>
      <c r="D5115" s="122" t="str">
        <f>IFERROR(__xludf.DUMMYFUNCTION("""COMPUTED_VALUE"""),"HotelHive")</f>
        <v>HotelHive</v>
      </c>
      <c r="E5115" s="122">
        <f>IFERROR(__xludf.DUMMYFUNCTION("""COMPUTED_VALUE"""),126.53)</f>
        <v>126.53</v>
      </c>
      <c r="F5115" s="122">
        <f>IFERROR(__xludf.DUMMYFUNCTION("""COMPUTED_VALUE"""),0.0076)</f>
        <v>0.0076</v>
      </c>
    </row>
    <row r="5116">
      <c r="A5116" s="131">
        <f>IFERROR(__xludf.DUMMYFUNCTION("""COMPUTED_VALUE"""),46187.505219907405)</f>
        <v>46187.50522</v>
      </c>
      <c r="B5116" s="126">
        <f>IFERROR(__xludf.DUMMYFUNCTION("""COMPUTED_VALUE"""),46187.0)</f>
        <v>46187</v>
      </c>
      <c r="C5116" s="122" t="str">
        <f>IFERROR(__xludf.DUMMYFUNCTION("""COMPUTED_VALUE"""),"LAND")</f>
        <v>LAND</v>
      </c>
      <c r="D5116" s="122" t="str">
        <f>IFERROR(__xludf.DUMMYFUNCTION("""COMPUTED_VALUE"""),"LandLink")</f>
        <v>LandLink</v>
      </c>
      <c r="E5116" s="122">
        <f>IFERROR(__xludf.DUMMYFUNCTION("""COMPUTED_VALUE"""),182.44)</f>
        <v>182.44</v>
      </c>
      <c r="F5116" s="122">
        <f>IFERROR(__xludf.DUMMYFUNCTION("""COMPUTED_VALUE"""),-0.0038)</f>
        <v>-0.0038</v>
      </c>
    </row>
    <row r="5117">
      <c r="A5117" s="131">
        <f>IFERROR(__xludf.DUMMYFUNCTION("""COMPUTED_VALUE"""),46187.505219907405)</f>
        <v>46187.50522</v>
      </c>
      <c r="B5117" s="126">
        <f>IFERROR(__xludf.DUMMYFUNCTION("""COMPUTED_VALUE"""),46187.0)</f>
        <v>46187</v>
      </c>
      <c r="C5117" s="122" t="str">
        <f>IFERROR(__xludf.DUMMYFUNCTION("""COMPUTED_VALUE"""),"CARS")</f>
        <v>CARS</v>
      </c>
      <c r="D5117" s="122" t="str">
        <f>IFERROR(__xludf.DUMMYFUNCTION("""COMPUTED_VALUE"""),"AutoArena")</f>
        <v>AutoArena</v>
      </c>
      <c r="E5117" s="122">
        <f>IFERROR(__xludf.DUMMYFUNCTION("""COMPUTED_VALUE"""),82.75)</f>
        <v>82.75</v>
      </c>
      <c r="F5117" s="122">
        <f>IFERROR(__xludf.DUMMYFUNCTION("""COMPUTED_VALUE"""),-0.0064)</f>
        <v>-0.0064</v>
      </c>
    </row>
    <row r="5118">
      <c r="A5118" s="131">
        <f>IFERROR(__xludf.DUMMYFUNCTION("""COMPUTED_VALUE"""),46187.505219907405)</f>
        <v>46187.50522</v>
      </c>
      <c r="B5118" s="126">
        <f>IFERROR(__xludf.DUMMYFUNCTION("""COMPUTED_VALUE"""),46187.0)</f>
        <v>46187</v>
      </c>
      <c r="C5118" s="122" t="str">
        <f>IFERROR(__xludf.DUMMYFUNCTION("""COMPUTED_VALUE"""),"EVGO")</f>
        <v>EVGO</v>
      </c>
      <c r="D5118" s="122" t="str">
        <f>IFERROR(__xludf.DUMMYFUNCTION("""COMPUTED_VALUE"""),"EVGo Motors")</f>
        <v>EVGo Motors</v>
      </c>
      <c r="E5118" s="122">
        <f>IFERROR(__xludf.DUMMYFUNCTION("""COMPUTED_VALUE"""),187.06)</f>
        <v>187.06</v>
      </c>
      <c r="F5118" s="122">
        <f>IFERROR(__xludf.DUMMYFUNCTION("""COMPUTED_VALUE"""),-0.0025)</f>
        <v>-0.0025</v>
      </c>
    </row>
    <row r="5119">
      <c r="A5119" s="131">
        <f>IFERROR(__xludf.DUMMYFUNCTION("""COMPUTED_VALUE"""),46187.505219907405)</f>
        <v>46187.50522</v>
      </c>
      <c r="B5119" s="126">
        <f>IFERROR(__xludf.DUMMYFUNCTION("""COMPUTED_VALUE"""),46187.0)</f>
        <v>46187</v>
      </c>
      <c r="C5119" s="122" t="str">
        <f>IFERROR(__xludf.DUMMYFUNCTION("""COMPUTED_VALUE"""),"TIRE")</f>
        <v>TIRE</v>
      </c>
      <c r="D5119" s="122" t="str">
        <f>IFERROR(__xludf.DUMMYFUNCTION("""COMPUTED_VALUE"""),"TireTown")</f>
        <v>TireTown</v>
      </c>
      <c r="E5119" s="122">
        <f>IFERROR(__xludf.DUMMYFUNCTION("""COMPUTED_VALUE"""),95.94)</f>
        <v>95.94</v>
      </c>
      <c r="F5119" s="122">
        <f>IFERROR(__xludf.DUMMYFUNCTION("""COMPUTED_VALUE"""),-8.0E-4)</f>
        <v>-0.0008</v>
      </c>
    </row>
    <row r="5120">
      <c r="A5120" s="131">
        <f>IFERROR(__xludf.DUMMYFUNCTION("""COMPUTED_VALUE"""),46187.505219907405)</f>
        <v>46187.50522</v>
      </c>
      <c r="B5120" s="126">
        <f>IFERROR(__xludf.DUMMYFUNCTION("""COMPUTED_VALUE"""),46187.0)</f>
        <v>46187</v>
      </c>
      <c r="C5120" s="122" t="str">
        <f>IFERROR(__xludf.DUMMYFUNCTION("""COMPUTED_VALUE"""),"BIKE")</f>
        <v>BIKE</v>
      </c>
      <c r="D5120" s="122" t="str">
        <f>IFERROR(__xludf.DUMMYFUNCTION("""COMPUTED_VALUE"""),"BikeBox")</f>
        <v>BikeBox</v>
      </c>
      <c r="E5120" s="122">
        <f>IFERROR(__xludf.DUMMYFUNCTION("""COMPUTED_VALUE"""),53.21)</f>
        <v>53.21</v>
      </c>
      <c r="F5120" s="122">
        <f>IFERROR(__xludf.DUMMYFUNCTION("""COMPUTED_VALUE"""),0.0047)</f>
        <v>0.0047</v>
      </c>
    </row>
    <row r="5121">
      <c r="A5121" s="131">
        <f>IFERROR(__xludf.DUMMYFUNCTION("""COMPUTED_VALUE"""),46187.505219907405)</f>
        <v>46187.50522</v>
      </c>
      <c r="B5121" s="126">
        <f>IFERROR(__xludf.DUMMYFUNCTION("""COMPUTED_VALUE"""),46187.0)</f>
        <v>46187</v>
      </c>
      <c r="C5121" s="122" t="str">
        <f>IFERROR(__xludf.DUMMYFUNCTION("""COMPUTED_VALUE"""),"WASH")</f>
        <v>WASH</v>
      </c>
      <c r="D5121" s="122" t="str">
        <f>IFERROR(__xludf.DUMMYFUNCTION("""COMPUTED_VALUE"""),"CarWash Co")</f>
        <v>CarWash Co</v>
      </c>
      <c r="E5121" s="122">
        <f>IFERROR(__xludf.DUMMYFUNCTION("""COMPUTED_VALUE"""),118.98)</f>
        <v>118.98</v>
      </c>
      <c r="F5121" s="122">
        <f>IFERROR(__xludf.DUMMYFUNCTION("""COMPUTED_VALUE"""),0.0016)</f>
        <v>0.0016</v>
      </c>
    </row>
    <row r="5122">
      <c r="A5122" s="131">
        <f>IFERROR(__xludf.DUMMYFUNCTION("""COMPUTED_VALUE"""),46187.505219907405)</f>
        <v>46187.50522</v>
      </c>
      <c r="B5122" s="126">
        <f>IFERROR(__xludf.DUMMYFUNCTION("""COMPUTED_VALUE"""),46187.0)</f>
        <v>46187</v>
      </c>
      <c r="C5122" s="122" t="str">
        <f>IFERROR(__xludf.DUMMYFUNCTION("""COMPUTED_VALUE"""),"GBND")</f>
        <v>GBND</v>
      </c>
      <c r="D5122" s="122" t="str">
        <f>IFERROR(__xludf.DUMMYFUNCTION("""COMPUTED_VALUE"""),"Classroom Government Bond")</f>
        <v>Classroom Government Bond</v>
      </c>
      <c r="E5122" s="122">
        <f>IFERROR(__xludf.DUMMYFUNCTION("""COMPUTED_VALUE"""),100.96)</f>
        <v>100.96</v>
      </c>
      <c r="F5122" s="122">
        <f>IFERROR(__xludf.DUMMYFUNCTION("""COMPUTED_VALUE"""),-4.0E-4)</f>
        <v>-0.0004</v>
      </c>
    </row>
    <row r="5123">
      <c r="A5123" s="131">
        <f>IFERROR(__xludf.DUMMYFUNCTION("""COMPUTED_VALUE"""),46187.505219907405)</f>
        <v>46187.50522</v>
      </c>
      <c r="B5123" s="126">
        <f>IFERROR(__xludf.DUMMYFUNCTION("""COMPUTED_VALUE"""),46187.0)</f>
        <v>46187</v>
      </c>
      <c r="C5123" s="122" t="str">
        <f>IFERROR(__xludf.DUMMYFUNCTION("""COMPUTED_VALUE"""),"SBND")</f>
        <v>SBND</v>
      </c>
      <c r="D5123" s="122" t="str">
        <f>IFERROR(__xludf.DUMMYFUNCTION("""COMPUTED_VALUE"""),"School Savings Bond")</f>
        <v>School Savings Bond</v>
      </c>
      <c r="E5123" s="122">
        <f>IFERROR(__xludf.DUMMYFUNCTION("""COMPUTED_VALUE"""),99.41)</f>
        <v>99.41</v>
      </c>
      <c r="F5123" s="122">
        <f>IFERROR(__xludf.DUMMYFUNCTION("""COMPUTED_VALUE"""),-4.0E-4)</f>
        <v>-0.0004</v>
      </c>
    </row>
    <row r="5124">
      <c r="A5124" s="131">
        <f>IFERROR(__xludf.DUMMYFUNCTION("""COMPUTED_VALUE"""),46187.505219907405)</f>
        <v>46187.50522</v>
      </c>
      <c r="B5124" s="126">
        <f>IFERROR(__xludf.DUMMYFUNCTION("""COMPUTED_VALUE"""),46187.0)</f>
        <v>46187</v>
      </c>
      <c r="C5124" s="122" t="str">
        <f>IFERROR(__xludf.DUMMYFUNCTION("""COMPUTED_VALUE"""),"CBND")</f>
        <v>CBND</v>
      </c>
      <c r="D5124" s="122" t="str">
        <f>IFERROR(__xludf.DUMMYFUNCTION("""COMPUTED_VALUE"""),"Corporate Classroom Bond")</f>
        <v>Corporate Classroom Bond</v>
      </c>
      <c r="E5124" s="122">
        <f>IFERROR(__xludf.DUMMYFUNCTION("""COMPUTED_VALUE"""),97.81)</f>
        <v>97.81</v>
      </c>
      <c r="F5124" s="122">
        <f>IFERROR(__xludf.DUMMYFUNCTION("""COMPUTED_VALUE"""),2.0E-4)</f>
        <v>0.0002</v>
      </c>
    </row>
    <row r="5125">
      <c r="A5125" s="131">
        <f>IFERROR(__xludf.DUMMYFUNCTION("""COMPUTED_VALUE"""),46187.505219907405)</f>
        <v>46187.50522</v>
      </c>
      <c r="B5125" s="126">
        <f>IFERROR(__xludf.DUMMYFUNCTION("""COMPUTED_VALUE"""),46187.0)</f>
        <v>46187</v>
      </c>
      <c r="C5125" s="122" t="str">
        <f>IFERROR(__xludf.DUMMYFUNCTION("""COMPUTED_VALUE"""),"TBIL")</f>
        <v>TBIL</v>
      </c>
      <c r="D5125" s="122" t="str">
        <f>IFERROR(__xludf.DUMMYFUNCTION("""COMPUTED_VALUE"""),"Treasury Bill")</f>
        <v>Treasury Bill</v>
      </c>
      <c r="E5125" s="122">
        <f>IFERROR(__xludf.DUMMYFUNCTION("""COMPUTED_VALUE"""),98.16)</f>
        <v>98.16</v>
      </c>
      <c r="F5125" s="122">
        <f>IFERROR(__xludf.DUMMYFUNCTION("""COMPUTED_VALUE"""),3.0E-4)</f>
        <v>0.0003</v>
      </c>
    </row>
    <row r="5126">
      <c r="A5126" s="131">
        <f>IFERROR(__xludf.DUMMYFUNCTION("""COMPUTED_VALUE"""),46187.505219907405)</f>
        <v>46187.50522</v>
      </c>
      <c r="B5126" s="126">
        <f>IFERROR(__xludf.DUMMYFUNCTION("""COMPUTED_VALUE"""),46187.0)</f>
        <v>46187</v>
      </c>
      <c r="C5126" s="122" t="str">
        <f>IFERROR(__xludf.DUMMYFUNCTION("""COMPUTED_VALUE"""),"IBND")</f>
        <v>IBND</v>
      </c>
      <c r="D5126" s="122" t="str">
        <f>IFERROR(__xludf.DUMMYFUNCTION("""COMPUTED_VALUE"""),"Inflation Protected Bond")</f>
        <v>Inflation Protected Bond</v>
      </c>
      <c r="E5126" s="122">
        <f>IFERROR(__xludf.DUMMYFUNCTION("""COMPUTED_VALUE"""),100.73)</f>
        <v>100.73</v>
      </c>
      <c r="F5126" s="122">
        <f>IFERROR(__xludf.DUMMYFUNCTION("""COMPUTED_VALUE"""),0.0)</f>
        <v>0</v>
      </c>
    </row>
    <row r="5127">
      <c r="A5127" s="131">
        <f>IFERROR(__xludf.DUMMYFUNCTION("""COMPUTED_VALUE"""),46187.508414351854)</f>
        <v>46187.50841</v>
      </c>
      <c r="B5127" s="126">
        <f>IFERROR(__xludf.DUMMYFUNCTION("""COMPUTED_VALUE"""),46187.0)</f>
        <v>46187</v>
      </c>
      <c r="C5127" s="122" t="str">
        <f>IFERROR(__xludf.DUMMYFUNCTION("""COMPUTED_VALUE"""),"SNAX")</f>
        <v>SNAX</v>
      </c>
      <c r="D5127" s="122" t="str">
        <f>IFERROR(__xludf.DUMMYFUNCTION("""COMPUTED_VALUE"""),"MICA Snacks")</f>
        <v>MICA Snacks</v>
      </c>
      <c r="E5127" s="122">
        <f>IFERROR(__xludf.DUMMYFUNCTION("""COMPUTED_VALUE"""),120.19)</f>
        <v>120.19</v>
      </c>
      <c r="F5127" s="122">
        <f>IFERROR(__xludf.DUMMYFUNCTION("""COMPUTED_VALUE"""),-0.0019)</f>
        <v>-0.0019</v>
      </c>
    </row>
    <row r="5128">
      <c r="A5128" s="131">
        <f>IFERROR(__xludf.DUMMYFUNCTION("""COMPUTED_VALUE"""),46187.508414351854)</f>
        <v>46187.50841</v>
      </c>
      <c r="B5128" s="126">
        <f>IFERROR(__xludf.DUMMYFUNCTION("""COMPUTED_VALUE"""),46187.0)</f>
        <v>46187</v>
      </c>
      <c r="C5128" s="122" t="str">
        <f>IFERROR(__xludf.DUMMYFUNCTION("""COMPUTED_VALUE"""),"RAMN")</f>
        <v>RAMN</v>
      </c>
      <c r="D5128" s="122" t="str">
        <f>IFERROR(__xludf.DUMMYFUNCTION("""COMPUTED_VALUE"""),"Ramen Republic")</f>
        <v>Ramen Republic</v>
      </c>
      <c r="E5128" s="122">
        <f>IFERROR(__xludf.DUMMYFUNCTION("""COMPUTED_VALUE"""),68.14)</f>
        <v>68.14</v>
      </c>
      <c r="F5128" s="122">
        <f>IFERROR(__xludf.DUMMYFUNCTION("""COMPUTED_VALUE"""),0.0025)</f>
        <v>0.0025</v>
      </c>
    </row>
    <row r="5129">
      <c r="A5129" s="131">
        <f>IFERROR(__xludf.DUMMYFUNCTION("""COMPUTED_VALUE"""),46187.508414351854)</f>
        <v>46187.50841</v>
      </c>
      <c r="B5129" s="126">
        <f>IFERROR(__xludf.DUMMYFUNCTION("""COMPUTED_VALUE"""),46187.0)</f>
        <v>46187</v>
      </c>
      <c r="C5129" s="122" t="str">
        <f>IFERROR(__xludf.DUMMYFUNCTION("""COMPUTED_VALUE"""),"COLA")</f>
        <v>COLA</v>
      </c>
      <c r="D5129" s="122" t="str">
        <f>IFERROR(__xludf.DUMMYFUNCTION("""COMPUTED_VALUE"""),"K-Pop Cola")</f>
        <v>K-Pop Cola</v>
      </c>
      <c r="E5129" s="122">
        <f>IFERROR(__xludf.DUMMYFUNCTION("""COMPUTED_VALUE"""),113.46)</f>
        <v>113.46</v>
      </c>
      <c r="F5129" s="122">
        <f>IFERROR(__xludf.DUMMYFUNCTION("""COMPUTED_VALUE"""),0.0042)</f>
        <v>0.0042</v>
      </c>
    </row>
    <row r="5130">
      <c r="A5130" s="131">
        <f>IFERROR(__xludf.DUMMYFUNCTION("""COMPUTED_VALUE"""),46187.508414351854)</f>
        <v>46187.50841</v>
      </c>
      <c r="B5130" s="126">
        <f>IFERROR(__xludf.DUMMYFUNCTION("""COMPUTED_VALUE"""),46187.0)</f>
        <v>46187</v>
      </c>
      <c r="C5130" s="122" t="str">
        <f>IFERROR(__xludf.DUMMYFUNCTION("""COMPUTED_VALUE"""),"CHIP")</f>
        <v>CHIP</v>
      </c>
      <c r="D5130" s="122" t="str">
        <f>IFERROR(__xludf.DUMMYFUNCTION("""COMPUTED_VALUE"""),"Chip Empire")</f>
        <v>Chip Empire</v>
      </c>
      <c r="E5130" s="122">
        <f>IFERROR(__xludf.DUMMYFUNCTION("""COMPUTED_VALUE"""),86.14)</f>
        <v>86.14</v>
      </c>
      <c r="F5130" s="122">
        <f>IFERROR(__xludf.DUMMYFUNCTION("""COMPUTED_VALUE"""),0.0075)</f>
        <v>0.0075</v>
      </c>
    </row>
    <row r="5131">
      <c r="A5131" s="131">
        <f>IFERROR(__xludf.DUMMYFUNCTION("""COMPUTED_VALUE"""),46187.508414351854)</f>
        <v>46187.50841</v>
      </c>
      <c r="B5131" s="126">
        <f>IFERROR(__xludf.DUMMYFUNCTION("""COMPUTED_VALUE"""),46187.0)</f>
        <v>46187</v>
      </c>
      <c r="C5131" s="122" t="str">
        <f>IFERROR(__xludf.DUMMYFUNCTION("""COMPUTED_VALUE"""),"CAND")</f>
        <v>CAND</v>
      </c>
      <c r="D5131" s="122" t="str">
        <f>IFERROR(__xludf.DUMMYFUNCTION("""COMPUTED_VALUE"""),"Candy Capital")</f>
        <v>Candy Capital</v>
      </c>
      <c r="E5131" s="122">
        <f>IFERROR(__xludf.DUMMYFUNCTION("""COMPUTED_VALUE"""),76.81)</f>
        <v>76.81</v>
      </c>
      <c r="F5131" s="122">
        <f>IFERROR(__xludf.DUMMYFUNCTION("""COMPUTED_VALUE"""),-0.004)</f>
        <v>-0.004</v>
      </c>
    </row>
    <row r="5132">
      <c r="A5132" s="131">
        <f>IFERROR(__xludf.DUMMYFUNCTION("""COMPUTED_VALUE"""),46187.508414351854)</f>
        <v>46187.50841</v>
      </c>
      <c r="B5132" s="126">
        <f>IFERROR(__xludf.DUMMYFUNCTION("""COMPUTED_VALUE"""),46187.0)</f>
        <v>46187</v>
      </c>
      <c r="C5132" s="122" t="str">
        <f>IFERROR(__xludf.DUMMYFUNCTION("""COMPUTED_VALUE"""),"TECH")</f>
        <v>TECH</v>
      </c>
      <c r="D5132" s="122" t="str">
        <f>IFERROR(__xludf.DUMMYFUNCTION("""COMPUTED_VALUE"""),"Dragon Tech")</f>
        <v>Dragon Tech</v>
      </c>
      <c r="E5132" s="122">
        <f>IFERROR(__xludf.DUMMYFUNCTION("""COMPUTED_VALUE"""),242.06)</f>
        <v>242.06</v>
      </c>
      <c r="F5132" s="122">
        <f>IFERROR(__xludf.DUMMYFUNCTION("""COMPUTED_VALUE"""),-0.002)</f>
        <v>-0.002</v>
      </c>
    </row>
    <row r="5133">
      <c r="A5133" s="131">
        <f>IFERROR(__xludf.DUMMYFUNCTION("""COMPUTED_VALUE"""),46187.508414351854)</f>
        <v>46187.50841</v>
      </c>
      <c r="B5133" s="126">
        <f>IFERROR(__xludf.DUMMYFUNCTION("""COMPUTED_VALUE"""),46187.0)</f>
        <v>46187</v>
      </c>
      <c r="C5133" s="122" t="str">
        <f>IFERROR(__xludf.DUMMYFUNCTION("""COMPUTED_VALUE"""),"AIBO")</f>
        <v>AIBO</v>
      </c>
      <c r="D5133" s="122" t="str">
        <f>IFERROR(__xludf.DUMMYFUNCTION("""COMPUTED_VALUE"""),"Homework AI")</f>
        <v>Homework AI</v>
      </c>
      <c r="E5133" s="122">
        <f>IFERROR(__xludf.DUMMYFUNCTION("""COMPUTED_VALUE"""),179.55)</f>
        <v>179.55</v>
      </c>
      <c r="F5133" s="122">
        <f>IFERROR(__xludf.DUMMYFUNCTION("""COMPUTED_VALUE"""),-0.0047)</f>
        <v>-0.0047</v>
      </c>
    </row>
    <row r="5134">
      <c r="A5134" s="131">
        <f>IFERROR(__xludf.DUMMYFUNCTION("""COMPUTED_VALUE"""),46187.508414351854)</f>
        <v>46187.50841</v>
      </c>
      <c r="B5134" s="126">
        <f>IFERROR(__xludf.DUMMYFUNCTION("""COMPUTED_VALUE"""),46187.0)</f>
        <v>46187</v>
      </c>
      <c r="C5134" s="122" t="str">
        <f>IFERROR(__xludf.DUMMYFUNCTION("""COMPUTED_VALUE"""),"GAME")</f>
        <v>GAME</v>
      </c>
      <c r="D5134" s="122" t="str">
        <f>IFERROR(__xludf.DUMMYFUNCTION("""COMPUTED_VALUE"""),"GameBox Media")</f>
        <v>GameBox Media</v>
      </c>
      <c r="E5134" s="122">
        <f>IFERROR(__xludf.DUMMYFUNCTION("""COMPUTED_VALUE"""),98.71)</f>
        <v>98.71</v>
      </c>
      <c r="F5134" s="122">
        <f>IFERROR(__xludf.DUMMYFUNCTION("""COMPUTED_VALUE"""),0.0115)</f>
        <v>0.0115</v>
      </c>
    </row>
    <row r="5135">
      <c r="A5135" s="131">
        <f>IFERROR(__xludf.DUMMYFUNCTION("""COMPUTED_VALUE"""),46187.508414351854)</f>
        <v>46187.50841</v>
      </c>
      <c r="B5135" s="126">
        <f>IFERROR(__xludf.DUMMYFUNCTION("""COMPUTED_VALUE"""),46187.0)</f>
        <v>46187</v>
      </c>
      <c r="C5135" s="122" t="str">
        <f>IFERROR(__xludf.DUMMYFUNCTION("""COMPUTED_VALUE"""),"VRSE")</f>
        <v>VRSE</v>
      </c>
      <c r="D5135" s="122" t="str">
        <f>IFERROR(__xludf.DUMMYFUNCTION("""COMPUTED_VALUE"""),"VerseVR")</f>
        <v>VerseVR</v>
      </c>
      <c r="E5135" s="122">
        <f>IFERROR(__xludf.DUMMYFUNCTION("""COMPUTED_VALUE"""),154.03)</f>
        <v>154.03</v>
      </c>
      <c r="F5135" s="122">
        <f>IFERROR(__xludf.DUMMYFUNCTION("""COMPUTED_VALUE"""),5.0E-4)</f>
        <v>0.0005</v>
      </c>
    </row>
    <row r="5136">
      <c r="A5136" s="131">
        <f>IFERROR(__xludf.DUMMYFUNCTION("""COMPUTED_VALUE"""),46187.508414351854)</f>
        <v>46187.50841</v>
      </c>
      <c r="B5136" s="126">
        <f>IFERROR(__xludf.DUMMYFUNCTION("""COMPUTED_VALUE"""),46187.0)</f>
        <v>46187</v>
      </c>
      <c r="C5136" s="122" t="str">
        <f>IFERROR(__xludf.DUMMYFUNCTION("""COMPUTED_VALUE"""),"BYTE")</f>
        <v>BYTE</v>
      </c>
      <c r="D5136" s="122" t="str">
        <f>IFERROR(__xludf.DUMMYFUNCTION("""COMPUTED_VALUE"""),"ByteWorks")</f>
        <v>ByteWorks</v>
      </c>
      <c r="E5136" s="122">
        <f>IFERROR(__xludf.DUMMYFUNCTION("""COMPUTED_VALUE"""),109.96)</f>
        <v>109.96</v>
      </c>
      <c r="F5136" s="122">
        <f>IFERROR(__xludf.DUMMYFUNCTION("""COMPUTED_VALUE"""),-0.0097)</f>
        <v>-0.0097</v>
      </c>
    </row>
    <row r="5137">
      <c r="A5137" s="131">
        <f>IFERROR(__xludf.DUMMYFUNCTION("""COMPUTED_VALUE"""),46187.508414351854)</f>
        <v>46187.50841</v>
      </c>
      <c r="B5137" s="126">
        <f>IFERROR(__xludf.DUMMYFUNCTION("""COMPUTED_VALUE"""),46187.0)</f>
        <v>46187</v>
      </c>
      <c r="C5137" s="122" t="str">
        <f>IFERROR(__xludf.DUMMYFUNCTION("""COMPUTED_VALUE"""),"BANK")</f>
        <v>BANK</v>
      </c>
      <c r="D5137" s="122" t="str">
        <f>IFERROR(__xludf.DUMMYFUNCTION("""COMPUTED_VALUE"""),"Tiger Bank")</f>
        <v>Tiger Bank</v>
      </c>
      <c r="E5137" s="122">
        <f>IFERROR(__xludf.DUMMYFUNCTION("""COMPUTED_VALUE"""),129.45)</f>
        <v>129.45</v>
      </c>
      <c r="F5137" s="122">
        <f>IFERROR(__xludf.DUMMYFUNCTION("""COMPUTED_VALUE"""),0.0037)</f>
        <v>0.0037</v>
      </c>
    </row>
    <row r="5138">
      <c r="A5138" s="131">
        <f>IFERROR(__xludf.DUMMYFUNCTION("""COMPUTED_VALUE"""),46187.508414351854)</f>
        <v>46187.50841</v>
      </c>
      <c r="B5138" s="126">
        <f>IFERROR(__xludf.DUMMYFUNCTION("""COMPUTED_VALUE"""),46187.0)</f>
        <v>46187</v>
      </c>
      <c r="C5138" s="122" t="str">
        <f>IFERROR(__xludf.DUMMYFUNCTION("""COMPUTED_VALUE"""),"CRED")</f>
        <v>CRED</v>
      </c>
      <c r="D5138" s="122" t="str">
        <f>IFERROR(__xludf.DUMMYFUNCTION("""COMPUTED_VALUE"""),"Credit Castle")</f>
        <v>Credit Castle</v>
      </c>
      <c r="E5138" s="122">
        <f>IFERROR(__xludf.DUMMYFUNCTION("""COMPUTED_VALUE"""),66.59)</f>
        <v>66.59</v>
      </c>
      <c r="F5138" s="122">
        <f>IFERROR(__xludf.DUMMYFUNCTION("""COMPUTED_VALUE"""),-0.0025)</f>
        <v>-0.0025</v>
      </c>
    </row>
    <row r="5139">
      <c r="A5139" s="131">
        <f>IFERROR(__xludf.DUMMYFUNCTION("""COMPUTED_VALUE"""),46187.508414351854)</f>
        <v>46187.50841</v>
      </c>
      <c r="B5139" s="126">
        <f>IFERROR(__xludf.DUMMYFUNCTION("""COMPUTED_VALUE"""),46187.0)</f>
        <v>46187</v>
      </c>
      <c r="C5139" s="122" t="str">
        <f>IFERROR(__xludf.DUMMYFUNCTION("""COMPUTED_VALUE"""),"BOND")</f>
        <v>BOND</v>
      </c>
      <c r="D5139" s="122" t="str">
        <f>IFERROR(__xludf.DUMMYFUNCTION("""COMPUTED_VALUE"""),"BondBridge")</f>
        <v>BondBridge</v>
      </c>
      <c r="E5139" s="122">
        <f>IFERROR(__xludf.DUMMYFUNCTION("""COMPUTED_VALUE"""),100.6)</f>
        <v>100.6</v>
      </c>
      <c r="F5139" s="122">
        <f>IFERROR(__xludf.DUMMYFUNCTION("""COMPUTED_VALUE"""),0.003)</f>
        <v>0.003</v>
      </c>
    </row>
    <row r="5140">
      <c r="A5140" s="131">
        <f>IFERROR(__xludf.DUMMYFUNCTION("""COMPUTED_VALUE"""),46187.508414351854)</f>
        <v>46187.50841</v>
      </c>
      <c r="B5140" s="126">
        <f>IFERROR(__xludf.DUMMYFUNCTION("""COMPUTED_VALUE"""),46187.0)</f>
        <v>46187</v>
      </c>
      <c r="C5140" s="122" t="str">
        <f>IFERROR(__xludf.DUMMYFUNCTION("""COMPUTED_VALUE"""),"INSR")</f>
        <v>INSR</v>
      </c>
      <c r="D5140" s="122" t="str">
        <f>IFERROR(__xludf.DUMMYFUNCTION("""COMPUTED_VALUE"""),"Shield Insurance")</f>
        <v>Shield Insurance</v>
      </c>
      <c r="E5140" s="122">
        <f>IFERROR(__xludf.DUMMYFUNCTION("""COMPUTED_VALUE"""),160.1)</f>
        <v>160.1</v>
      </c>
      <c r="F5140" s="122">
        <f>IFERROR(__xludf.DUMMYFUNCTION("""COMPUTED_VALUE"""),0.0024)</f>
        <v>0.0024</v>
      </c>
    </row>
    <row r="5141">
      <c r="A5141" s="131">
        <f>IFERROR(__xludf.DUMMYFUNCTION("""COMPUTED_VALUE"""),46187.508414351854)</f>
        <v>46187.50841</v>
      </c>
      <c r="B5141" s="126">
        <f>IFERROR(__xludf.DUMMYFUNCTION("""COMPUTED_VALUE"""),46187.0)</f>
        <v>46187</v>
      </c>
      <c r="C5141" s="122" t="str">
        <f>IFERROR(__xludf.DUMMYFUNCTION("""COMPUTED_VALUE"""),"LOAN")</f>
        <v>LOAN</v>
      </c>
      <c r="D5141" s="122" t="str">
        <f>IFERROR(__xludf.DUMMYFUNCTION("""COMPUTED_VALUE"""),"LoanLab")</f>
        <v>LoanLab</v>
      </c>
      <c r="E5141" s="122">
        <f>IFERROR(__xludf.DUMMYFUNCTION("""COMPUTED_VALUE"""),65.41)</f>
        <v>65.41</v>
      </c>
      <c r="F5141" s="122">
        <f>IFERROR(__xludf.DUMMYFUNCTION("""COMPUTED_VALUE"""),-0.0011)</f>
        <v>-0.0011</v>
      </c>
    </row>
    <row r="5142">
      <c r="A5142" s="131">
        <f>IFERROR(__xludf.DUMMYFUNCTION("""COMPUTED_VALUE"""),46187.508414351854)</f>
        <v>46187.50841</v>
      </c>
      <c r="B5142" s="126">
        <f>IFERROR(__xludf.DUMMYFUNCTION("""COMPUTED_VALUE"""),46187.0)</f>
        <v>46187</v>
      </c>
      <c r="C5142" s="122" t="str">
        <f>IFERROR(__xludf.DUMMYFUNCTION("""COMPUTED_VALUE"""),"LUXE")</f>
        <v>LUXE</v>
      </c>
      <c r="D5142" s="122" t="str">
        <f>IFERROR(__xludf.DUMMYFUNCTION("""COMPUTED_VALUE"""),"Luxury Locker")</f>
        <v>Luxury Locker</v>
      </c>
      <c r="E5142" s="122">
        <f>IFERROR(__xludf.DUMMYFUNCTION("""COMPUTED_VALUE"""),262.72)</f>
        <v>262.72</v>
      </c>
      <c r="F5142" s="122">
        <f>IFERROR(__xludf.DUMMYFUNCTION("""COMPUTED_VALUE"""),-0.0043)</f>
        <v>-0.0043</v>
      </c>
    </row>
    <row r="5143">
      <c r="A5143" s="131">
        <f>IFERROR(__xludf.DUMMYFUNCTION("""COMPUTED_VALUE"""),46187.508414351854)</f>
        <v>46187.50841</v>
      </c>
      <c r="B5143" s="126">
        <f>IFERROR(__xludf.DUMMYFUNCTION("""COMPUTED_VALUE"""),46187.0)</f>
        <v>46187</v>
      </c>
      <c r="C5143" s="122" t="str">
        <f>IFERROR(__xludf.DUMMYFUNCTION("""COMPUTED_VALUE"""),"DRIP")</f>
        <v>DRIP</v>
      </c>
      <c r="D5143" s="122" t="str">
        <f>IFERROR(__xludf.DUMMYFUNCTION("""COMPUTED_VALUE"""),"Drip Streetwear")</f>
        <v>Drip Streetwear</v>
      </c>
      <c r="E5143" s="122">
        <f>IFERROR(__xludf.DUMMYFUNCTION("""COMPUTED_VALUE"""),196.3)</f>
        <v>196.3</v>
      </c>
      <c r="F5143" s="122">
        <f>IFERROR(__xludf.DUMMYFUNCTION("""COMPUTED_VALUE"""),0.0036)</f>
        <v>0.0036</v>
      </c>
    </row>
    <row r="5144">
      <c r="A5144" s="131">
        <f>IFERROR(__xludf.DUMMYFUNCTION("""COMPUTED_VALUE"""),46187.508414351854)</f>
        <v>46187.50841</v>
      </c>
      <c r="B5144" s="126">
        <f>IFERROR(__xludf.DUMMYFUNCTION("""COMPUTED_VALUE"""),46187.0)</f>
        <v>46187</v>
      </c>
      <c r="C5144" s="122" t="str">
        <f>IFERROR(__xludf.DUMMYFUNCTION("""COMPUTED_VALUE"""),"KICK")</f>
        <v>KICK</v>
      </c>
      <c r="D5144" s="122" t="str">
        <f>IFERROR(__xludf.DUMMYFUNCTION("""COMPUTED_VALUE"""),"KickDrop Sneakers")</f>
        <v>KickDrop Sneakers</v>
      </c>
      <c r="E5144" s="122">
        <f>IFERROR(__xludf.DUMMYFUNCTION("""COMPUTED_VALUE"""),169.37)</f>
        <v>169.37</v>
      </c>
      <c r="F5144" s="122">
        <f>IFERROR(__xludf.DUMMYFUNCTION("""COMPUTED_VALUE"""),-0.0054)</f>
        <v>-0.0054</v>
      </c>
    </row>
    <row r="5145">
      <c r="A5145" s="131">
        <f>IFERROR(__xludf.DUMMYFUNCTION("""COMPUTED_VALUE"""),46187.508414351854)</f>
        <v>46187.50841</v>
      </c>
      <c r="B5145" s="126">
        <f>IFERROR(__xludf.DUMMYFUNCTION("""COMPUTED_VALUE"""),46187.0)</f>
        <v>46187</v>
      </c>
      <c r="C5145" s="122" t="str">
        <f>IFERROR(__xludf.DUMMYFUNCTION("""COMPUTED_VALUE"""),"GLAM")</f>
        <v>GLAM</v>
      </c>
      <c r="D5145" s="122" t="str">
        <f>IFERROR(__xludf.DUMMYFUNCTION("""COMPUTED_VALUE"""),"Glow Cosmetics")</f>
        <v>Glow Cosmetics</v>
      </c>
      <c r="E5145" s="122">
        <f>IFERROR(__xludf.DUMMYFUNCTION("""COMPUTED_VALUE"""),105.28)</f>
        <v>105.28</v>
      </c>
      <c r="F5145" s="122">
        <f>IFERROR(__xludf.DUMMYFUNCTION("""COMPUTED_VALUE"""),-6.0E-4)</f>
        <v>-0.0006</v>
      </c>
    </row>
    <row r="5146">
      <c r="A5146" s="131">
        <f>IFERROR(__xludf.DUMMYFUNCTION("""COMPUTED_VALUE"""),46187.508414351854)</f>
        <v>46187.50841</v>
      </c>
      <c r="B5146" s="126">
        <f>IFERROR(__xludf.DUMMYFUNCTION("""COMPUTED_VALUE"""),46187.0)</f>
        <v>46187</v>
      </c>
      <c r="C5146" s="122" t="str">
        <f>IFERROR(__xludf.DUMMYFUNCTION("""COMPUTED_VALUE"""),"BAGG")</f>
        <v>BAGG</v>
      </c>
      <c r="D5146" s="122" t="str">
        <f>IFERROR(__xludf.DUMMYFUNCTION("""COMPUTED_VALUE"""),"BagVault")</f>
        <v>BagVault</v>
      </c>
      <c r="E5146" s="122">
        <f>IFERROR(__xludf.DUMMYFUNCTION("""COMPUTED_VALUE"""),251.9)</f>
        <v>251.9</v>
      </c>
      <c r="F5146" s="122">
        <f>IFERROR(__xludf.DUMMYFUNCTION("""COMPUTED_VALUE"""),0.0047)</f>
        <v>0.0047</v>
      </c>
    </row>
    <row r="5147">
      <c r="A5147" s="131">
        <f>IFERROR(__xludf.DUMMYFUNCTION("""COMPUTED_VALUE"""),46187.508414351854)</f>
        <v>46187.50841</v>
      </c>
      <c r="B5147" s="126">
        <f>IFERROR(__xludf.DUMMYFUNCTION("""COMPUTED_VALUE"""),46187.0)</f>
        <v>46187</v>
      </c>
      <c r="C5147" s="122" t="str">
        <f>IFERROR(__xludf.DUMMYFUNCTION("""COMPUTED_VALUE"""),"FAST")</f>
        <v>FAST</v>
      </c>
      <c r="D5147" s="122" t="str">
        <f>IFERROR(__xludf.DUMMYFUNCTION("""COMPUTED_VALUE"""),"Flash Logistics")</f>
        <v>Flash Logistics</v>
      </c>
      <c r="E5147" s="122">
        <f>IFERROR(__xludf.DUMMYFUNCTION("""COMPUTED_VALUE"""),104.87)</f>
        <v>104.87</v>
      </c>
      <c r="F5147" s="122">
        <f>IFERROR(__xludf.DUMMYFUNCTION("""COMPUTED_VALUE"""),0.0043)</f>
        <v>0.0043</v>
      </c>
    </row>
    <row r="5148">
      <c r="A5148" s="131">
        <f>IFERROR(__xludf.DUMMYFUNCTION("""COMPUTED_VALUE"""),46187.508414351854)</f>
        <v>46187.50841</v>
      </c>
      <c r="B5148" s="126">
        <f>IFERROR(__xludf.DUMMYFUNCTION("""COMPUTED_VALUE"""),46187.0)</f>
        <v>46187</v>
      </c>
      <c r="C5148" s="122" t="str">
        <f>IFERROR(__xludf.DUMMYFUNCTION("""COMPUTED_VALUE"""),"SHIP")</f>
        <v>SHIP</v>
      </c>
      <c r="D5148" s="122" t="str">
        <f>IFERROR(__xludf.DUMMYFUNCTION("""COMPUTED_VALUE"""),"Seoul Shipping")</f>
        <v>Seoul Shipping</v>
      </c>
      <c r="E5148" s="122">
        <f>IFERROR(__xludf.DUMMYFUNCTION("""COMPUTED_VALUE"""),127.88)</f>
        <v>127.88</v>
      </c>
      <c r="F5148" s="122">
        <f>IFERROR(__xludf.DUMMYFUNCTION("""COMPUTED_VALUE"""),-0.0016)</f>
        <v>-0.0016</v>
      </c>
    </row>
    <row r="5149">
      <c r="A5149" s="131">
        <f>IFERROR(__xludf.DUMMYFUNCTION("""COMPUTED_VALUE"""),46187.508414351854)</f>
        <v>46187.50841</v>
      </c>
      <c r="B5149" s="126">
        <f>IFERROR(__xludf.DUMMYFUNCTION("""COMPUTED_VALUE"""),46187.0)</f>
        <v>46187</v>
      </c>
      <c r="C5149" s="122" t="str">
        <f>IFERROR(__xludf.DUMMYFUNCTION("""COMPUTED_VALUE"""),"DRON")</f>
        <v>DRON</v>
      </c>
      <c r="D5149" s="122" t="str">
        <f>IFERROR(__xludf.DUMMYFUNCTION("""COMPUTED_VALUE"""),"DroneDrop")</f>
        <v>DroneDrop</v>
      </c>
      <c r="E5149" s="122">
        <f>IFERROR(__xludf.DUMMYFUNCTION("""COMPUTED_VALUE"""),128.83)</f>
        <v>128.83</v>
      </c>
      <c r="F5149" s="122">
        <f>IFERROR(__xludf.DUMMYFUNCTION("""COMPUTED_VALUE"""),0.0037)</f>
        <v>0.0037</v>
      </c>
    </row>
    <row r="5150">
      <c r="A5150" s="131">
        <f>IFERROR(__xludf.DUMMYFUNCTION("""COMPUTED_VALUE"""),46187.508414351854)</f>
        <v>46187.50841</v>
      </c>
      <c r="B5150" s="126">
        <f>IFERROR(__xludf.DUMMYFUNCTION("""COMPUTED_VALUE"""),46187.0)</f>
        <v>46187</v>
      </c>
      <c r="C5150" s="122" t="str">
        <f>IFERROR(__xludf.DUMMYFUNCTION("""COMPUTED_VALUE"""),"RIDE")</f>
        <v>RIDE</v>
      </c>
      <c r="D5150" s="122" t="str">
        <f>IFERROR(__xludf.DUMMYFUNCTION("""COMPUTED_VALUE"""),"QuickRide")</f>
        <v>QuickRide</v>
      </c>
      <c r="E5150" s="122">
        <f>IFERROR(__xludf.DUMMYFUNCTION("""COMPUTED_VALUE"""),96.89)</f>
        <v>96.89</v>
      </c>
      <c r="F5150" s="122">
        <f>IFERROR(__xludf.DUMMYFUNCTION("""COMPUTED_VALUE"""),-0.0019)</f>
        <v>-0.0019</v>
      </c>
    </row>
    <row r="5151">
      <c r="A5151" s="131">
        <f>IFERROR(__xludf.DUMMYFUNCTION("""COMPUTED_VALUE"""),46187.508414351854)</f>
        <v>46187.50841</v>
      </c>
      <c r="B5151" s="126">
        <f>IFERROR(__xludf.DUMMYFUNCTION("""COMPUTED_VALUE"""),46187.0)</f>
        <v>46187</v>
      </c>
      <c r="C5151" s="122" t="str">
        <f>IFERROR(__xludf.DUMMYFUNCTION("""COMPUTED_VALUE"""),"RAIL")</f>
        <v>RAIL</v>
      </c>
      <c r="D5151" s="122" t="str">
        <f>IFERROR(__xludf.DUMMYFUNCTION("""COMPUTED_VALUE"""),"MetroRail Corp")</f>
        <v>MetroRail Corp</v>
      </c>
      <c r="E5151" s="122">
        <f>IFERROR(__xludf.DUMMYFUNCTION("""COMPUTED_VALUE"""),134.37)</f>
        <v>134.37</v>
      </c>
      <c r="F5151" s="122">
        <f>IFERROR(__xludf.DUMMYFUNCTION("""COMPUTED_VALUE"""),0.0023)</f>
        <v>0.0023</v>
      </c>
    </row>
    <row r="5152">
      <c r="A5152" s="131">
        <f>IFERROR(__xludf.DUMMYFUNCTION("""COMPUTED_VALUE"""),46187.508414351854)</f>
        <v>46187.50841</v>
      </c>
      <c r="B5152" s="126">
        <f>IFERROR(__xludf.DUMMYFUNCTION("""COMPUTED_VALUE"""),46187.0)</f>
        <v>46187</v>
      </c>
      <c r="C5152" s="122" t="str">
        <f>IFERROR(__xludf.DUMMYFUNCTION("""COMPUTED_VALUE"""),"MEDX")</f>
        <v>MEDX</v>
      </c>
      <c r="D5152" s="122" t="str">
        <f>IFERROR(__xludf.DUMMYFUNCTION("""COMPUTED_VALUE"""),"MediCore")</f>
        <v>MediCore</v>
      </c>
      <c r="E5152" s="122">
        <f>IFERROR(__xludf.DUMMYFUNCTION("""COMPUTED_VALUE"""),137.02)</f>
        <v>137.02</v>
      </c>
      <c r="F5152" s="122">
        <f>IFERROR(__xludf.DUMMYFUNCTION("""COMPUTED_VALUE"""),-0.0014)</f>
        <v>-0.0014</v>
      </c>
    </row>
    <row r="5153">
      <c r="A5153" s="131">
        <f>IFERROR(__xludf.DUMMYFUNCTION("""COMPUTED_VALUE"""),46187.508414351854)</f>
        <v>46187.50841</v>
      </c>
      <c r="B5153" s="126">
        <f>IFERROR(__xludf.DUMMYFUNCTION("""COMPUTED_VALUE"""),46187.0)</f>
        <v>46187</v>
      </c>
      <c r="C5153" s="122" t="str">
        <f>IFERROR(__xludf.DUMMYFUNCTION("""COMPUTED_VALUE"""),"GYMX")</f>
        <v>GYMX</v>
      </c>
      <c r="D5153" s="122" t="str">
        <f>IFERROR(__xludf.DUMMYFUNCTION("""COMPUTED_VALUE"""),"GymX Fitness")</f>
        <v>GymX Fitness</v>
      </c>
      <c r="E5153" s="122">
        <f>IFERROR(__xludf.DUMMYFUNCTION("""COMPUTED_VALUE"""),87.58)</f>
        <v>87.58</v>
      </c>
      <c r="F5153" s="122">
        <f>IFERROR(__xludf.DUMMYFUNCTION("""COMPUTED_VALUE"""),0.0033)</f>
        <v>0.0033</v>
      </c>
    </row>
    <row r="5154">
      <c r="A5154" s="131">
        <f>IFERROR(__xludf.DUMMYFUNCTION("""COMPUTED_VALUE"""),46187.508414351854)</f>
        <v>46187.50841</v>
      </c>
      <c r="B5154" s="126">
        <f>IFERROR(__xludf.DUMMYFUNCTION("""COMPUTED_VALUE"""),46187.0)</f>
        <v>46187</v>
      </c>
      <c r="C5154" s="122" t="str">
        <f>IFERROR(__xludf.DUMMYFUNCTION("""COMPUTED_VALUE"""),"VITA")</f>
        <v>VITA</v>
      </c>
      <c r="D5154" s="122" t="str">
        <f>IFERROR(__xludf.DUMMYFUNCTION("""COMPUTED_VALUE"""),"VitaPlus")</f>
        <v>VitaPlus</v>
      </c>
      <c r="E5154" s="122">
        <f>IFERROR(__xludf.DUMMYFUNCTION("""COMPUTED_VALUE"""),72.18)</f>
        <v>72.18</v>
      </c>
      <c r="F5154" s="122">
        <f>IFERROR(__xludf.DUMMYFUNCTION("""COMPUTED_VALUE"""),-0.0047)</f>
        <v>-0.0047</v>
      </c>
    </row>
    <row r="5155">
      <c r="A5155" s="131">
        <f>IFERROR(__xludf.DUMMYFUNCTION("""COMPUTED_VALUE"""),46187.508414351854)</f>
        <v>46187.50841</v>
      </c>
      <c r="B5155" s="126">
        <f>IFERROR(__xludf.DUMMYFUNCTION("""COMPUTED_VALUE"""),46187.0)</f>
        <v>46187</v>
      </c>
      <c r="C5155" s="122" t="str">
        <f>IFERROR(__xludf.DUMMYFUNCTION("""COMPUTED_VALUE"""),"CARE")</f>
        <v>CARE</v>
      </c>
      <c r="D5155" s="122" t="str">
        <f>IFERROR(__xludf.DUMMYFUNCTION("""COMPUTED_VALUE"""),"CareCloud")</f>
        <v>CareCloud</v>
      </c>
      <c r="E5155" s="122">
        <f>IFERROR(__xludf.DUMMYFUNCTION("""COMPUTED_VALUE"""),179.02)</f>
        <v>179.02</v>
      </c>
      <c r="F5155" s="122">
        <f>IFERROR(__xludf.DUMMYFUNCTION("""COMPUTED_VALUE"""),0.0013)</f>
        <v>0.0013</v>
      </c>
    </row>
    <row r="5156">
      <c r="A5156" s="131">
        <f>IFERROR(__xludf.DUMMYFUNCTION("""COMPUTED_VALUE"""),46187.508414351854)</f>
        <v>46187.50841</v>
      </c>
      <c r="B5156" s="126">
        <f>IFERROR(__xludf.DUMMYFUNCTION("""COMPUTED_VALUE"""),46187.0)</f>
        <v>46187</v>
      </c>
      <c r="C5156" s="122" t="str">
        <f>IFERROR(__xludf.DUMMYFUNCTION("""COMPUTED_VALUE"""),"DENT")</f>
        <v>DENT</v>
      </c>
      <c r="D5156" s="122" t="str">
        <f>IFERROR(__xludf.DUMMYFUNCTION("""COMPUTED_VALUE"""),"SmileWorks")</f>
        <v>SmileWorks</v>
      </c>
      <c r="E5156" s="122">
        <f>IFERROR(__xludf.DUMMYFUNCTION("""COMPUTED_VALUE"""),89.09)</f>
        <v>89.09</v>
      </c>
      <c r="F5156" s="122">
        <f>IFERROR(__xludf.DUMMYFUNCTION("""COMPUTED_VALUE"""),0.0025)</f>
        <v>0.0025</v>
      </c>
    </row>
    <row r="5157">
      <c r="A5157" s="131">
        <f>IFERROR(__xludf.DUMMYFUNCTION("""COMPUTED_VALUE"""),46187.508414351854)</f>
        <v>46187.50841</v>
      </c>
      <c r="B5157" s="126">
        <f>IFERROR(__xludf.DUMMYFUNCTION("""COMPUTED_VALUE"""),46187.0)</f>
        <v>46187</v>
      </c>
      <c r="C5157" s="122" t="str">
        <f>IFERROR(__xludf.DUMMYFUNCTION("""COMPUTED_VALUE"""),"EDUX")</f>
        <v>EDUX</v>
      </c>
      <c r="D5157" s="122" t="str">
        <f>IFERROR(__xludf.DUMMYFUNCTION("""COMPUTED_VALUE"""),"EduMax Learning")</f>
        <v>EduMax Learning</v>
      </c>
      <c r="E5157" s="122">
        <f>IFERROR(__xludf.DUMMYFUNCTION("""COMPUTED_VALUE"""),139.47)</f>
        <v>139.47</v>
      </c>
      <c r="F5157" s="122">
        <f>IFERROR(__xludf.DUMMYFUNCTION("""COMPUTED_VALUE"""),0.0023)</f>
        <v>0.0023</v>
      </c>
    </row>
    <row r="5158">
      <c r="A5158" s="131">
        <f>IFERROR(__xludf.DUMMYFUNCTION("""COMPUTED_VALUE"""),46187.508414351854)</f>
        <v>46187.50841</v>
      </c>
      <c r="B5158" s="126">
        <f>IFERROR(__xludf.DUMMYFUNCTION("""COMPUTED_VALUE"""),46187.0)</f>
        <v>46187</v>
      </c>
      <c r="C5158" s="122" t="str">
        <f>IFERROR(__xludf.DUMMYFUNCTION("""COMPUTED_VALUE"""),"BOOK")</f>
        <v>BOOK</v>
      </c>
      <c r="D5158" s="122" t="str">
        <f>IFERROR(__xludf.DUMMYFUNCTION("""COMPUTED_VALUE"""),"BookBridge")</f>
        <v>BookBridge</v>
      </c>
      <c r="E5158" s="122">
        <f>IFERROR(__xludf.DUMMYFUNCTION("""COMPUTED_VALUE"""),119.72)</f>
        <v>119.72</v>
      </c>
      <c r="F5158" s="122">
        <f>IFERROR(__xludf.DUMMYFUNCTION("""COMPUTED_VALUE"""),-0.0021)</f>
        <v>-0.0021</v>
      </c>
    </row>
    <row r="5159">
      <c r="A5159" s="131">
        <f>IFERROR(__xludf.DUMMYFUNCTION("""COMPUTED_VALUE"""),46187.508414351854)</f>
        <v>46187.50841</v>
      </c>
      <c r="B5159" s="126">
        <f>IFERROR(__xludf.DUMMYFUNCTION("""COMPUTED_VALUE"""),46187.0)</f>
        <v>46187</v>
      </c>
      <c r="C5159" s="122" t="str">
        <f>IFERROR(__xludf.DUMMYFUNCTION("""COMPUTED_VALUE"""),"TUTR")</f>
        <v>TUTR</v>
      </c>
      <c r="D5159" s="122" t="str">
        <f>IFERROR(__xludf.DUMMYFUNCTION("""COMPUTED_VALUE"""),"TutorTown")</f>
        <v>TutorTown</v>
      </c>
      <c r="E5159" s="122">
        <f>IFERROR(__xludf.DUMMYFUNCTION("""COMPUTED_VALUE"""),90.26)</f>
        <v>90.26</v>
      </c>
      <c r="F5159" s="122">
        <f>IFERROR(__xludf.DUMMYFUNCTION("""COMPUTED_VALUE"""),0.0012)</f>
        <v>0.0012</v>
      </c>
    </row>
    <row r="5160">
      <c r="A5160" s="131">
        <f>IFERROR(__xludf.DUMMYFUNCTION("""COMPUTED_VALUE"""),46187.508414351854)</f>
        <v>46187.50841</v>
      </c>
      <c r="B5160" s="126">
        <f>IFERROR(__xludf.DUMMYFUNCTION("""COMPUTED_VALUE"""),46187.0)</f>
        <v>46187</v>
      </c>
      <c r="C5160" s="122" t="str">
        <f>IFERROR(__xludf.DUMMYFUNCTION("""COMPUTED_VALUE"""),"LANG")</f>
        <v>LANG</v>
      </c>
      <c r="D5160" s="122" t="str">
        <f>IFERROR(__xludf.DUMMYFUNCTION("""COMPUTED_VALUE"""),"LinguaLab")</f>
        <v>LinguaLab</v>
      </c>
      <c r="E5160" s="122">
        <f>IFERROR(__xludf.DUMMYFUNCTION("""COMPUTED_VALUE"""),99.13)</f>
        <v>99.13</v>
      </c>
      <c r="F5160" s="122">
        <f>IFERROR(__xludf.DUMMYFUNCTION("""COMPUTED_VALUE"""),-8.0E-4)</f>
        <v>-0.0008</v>
      </c>
    </row>
    <row r="5161">
      <c r="A5161" s="131">
        <f>IFERROR(__xludf.DUMMYFUNCTION("""COMPUTED_VALUE"""),46187.508414351854)</f>
        <v>46187.50841</v>
      </c>
      <c r="B5161" s="126">
        <f>IFERROR(__xludf.DUMMYFUNCTION("""COMPUTED_VALUE"""),46187.0)</f>
        <v>46187</v>
      </c>
      <c r="C5161" s="122" t="str">
        <f>IFERROR(__xludf.DUMMYFUNCTION("""COMPUTED_VALUE"""),"TEST")</f>
        <v>TEST</v>
      </c>
      <c r="D5161" s="122" t="str">
        <f>IFERROR(__xludf.DUMMYFUNCTION("""COMPUTED_VALUE"""),"TestPrep Pro")</f>
        <v>TestPrep Pro</v>
      </c>
      <c r="E5161" s="122">
        <f>IFERROR(__xludf.DUMMYFUNCTION("""COMPUTED_VALUE"""),94.31)</f>
        <v>94.31</v>
      </c>
      <c r="F5161" s="122">
        <f>IFERROR(__xludf.DUMMYFUNCTION("""COMPUTED_VALUE"""),0.002)</f>
        <v>0.002</v>
      </c>
    </row>
    <row r="5162">
      <c r="A5162" s="131">
        <f>IFERROR(__xludf.DUMMYFUNCTION("""COMPUTED_VALUE"""),46187.508414351854)</f>
        <v>46187.50841</v>
      </c>
      <c r="B5162" s="126">
        <f>IFERROR(__xludf.DUMMYFUNCTION("""COMPUTED_VALUE"""),46187.0)</f>
        <v>46187</v>
      </c>
      <c r="C5162" s="122" t="str">
        <f>IFERROR(__xludf.DUMMYFUNCTION("""COMPUTED_VALUE"""),"MOVI")</f>
        <v>MOVI</v>
      </c>
      <c r="D5162" s="122" t="str">
        <f>IFERROR(__xludf.DUMMYFUNCTION("""COMPUTED_VALUE"""),"MovieBox")</f>
        <v>MovieBox</v>
      </c>
      <c r="E5162" s="122">
        <f>IFERROR(__xludf.DUMMYFUNCTION("""COMPUTED_VALUE"""),81.76)</f>
        <v>81.76</v>
      </c>
      <c r="F5162" s="122">
        <f>IFERROR(__xludf.DUMMYFUNCTION("""COMPUTED_VALUE"""),0.0054)</f>
        <v>0.0054</v>
      </c>
    </row>
    <row r="5163">
      <c r="A5163" s="131">
        <f>IFERROR(__xludf.DUMMYFUNCTION("""COMPUTED_VALUE"""),46187.508414351854)</f>
        <v>46187.50841</v>
      </c>
      <c r="B5163" s="126">
        <f>IFERROR(__xludf.DUMMYFUNCTION("""COMPUTED_VALUE"""),46187.0)</f>
        <v>46187</v>
      </c>
      <c r="C5163" s="122" t="str">
        <f>IFERROR(__xludf.DUMMYFUNCTION("""COMPUTED_VALUE"""),"MUSC")</f>
        <v>MUSC</v>
      </c>
      <c r="D5163" s="122" t="str">
        <f>IFERROR(__xludf.DUMMYFUNCTION("""COMPUTED_VALUE"""),"MusicWave")</f>
        <v>MusicWave</v>
      </c>
      <c r="E5163" s="122">
        <f>IFERROR(__xludf.DUMMYFUNCTION("""COMPUTED_VALUE"""),99.7)</f>
        <v>99.7</v>
      </c>
      <c r="F5163" s="122">
        <f>IFERROR(__xludf.DUMMYFUNCTION("""COMPUTED_VALUE"""),-0.003)</f>
        <v>-0.003</v>
      </c>
    </row>
    <row r="5164">
      <c r="A5164" s="131">
        <f>IFERROR(__xludf.DUMMYFUNCTION("""COMPUTED_VALUE"""),46187.508414351854)</f>
        <v>46187.50841</v>
      </c>
      <c r="B5164" s="126">
        <f>IFERROR(__xludf.DUMMYFUNCTION("""COMPUTED_VALUE"""),46187.0)</f>
        <v>46187</v>
      </c>
      <c r="C5164" s="122" t="str">
        <f>IFERROR(__xludf.DUMMYFUNCTION("""COMPUTED_VALUE"""),"IDOL")</f>
        <v>IDOL</v>
      </c>
      <c r="D5164" s="122" t="str">
        <f>IFERROR(__xludf.DUMMYFUNCTION("""COMPUTED_VALUE"""),"Idol Agency")</f>
        <v>Idol Agency</v>
      </c>
      <c r="E5164" s="122">
        <f>IFERROR(__xludf.DUMMYFUNCTION("""COMPUTED_VALUE"""),189.38)</f>
        <v>189.38</v>
      </c>
      <c r="F5164" s="122">
        <f>IFERROR(__xludf.DUMMYFUNCTION("""COMPUTED_VALUE"""),0.0059)</f>
        <v>0.0059</v>
      </c>
    </row>
    <row r="5165">
      <c r="A5165" s="131">
        <f>IFERROR(__xludf.DUMMYFUNCTION("""COMPUTED_VALUE"""),46187.508414351854)</f>
        <v>46187.50841</v>
      </c>
      <c r="B5165" s="126">
        <f>IFERROR(__xludf.DUMMYFUNCTION("""COMPUTED_VALUE"""),46187.0)</f>
        <v>46187</v>
      </c>
      <c r="C5165" s="122" t="str">
        <f>IFERROR(__xludf.DUMMYFUNCTION("""COMPUTED_VALUE"""),"MEME")</f>
        <v>MEME</v>
      </c>
      <c r="D5165" s="122" t="str">
        <f>IFERROR(__xludf.DUMMYFUNCTION("""COMPUTED_VALUE"""),"Meme Media")</f>
        <v>Meme Media</v>
      </c>
      <c r="E5165" s="122">
        <f>IFERROR(__xludf.DUMMYFUNCTION("""COMPUTED_VALUE"""),71.81)</f>
        <v>71.81</v>
      </c>
      <c r="F5165" s="122">
        <f>IFERROR(__xludf.DUMMYFUNCTION("""COMPUTED_VALUE"""),-0.0062)</f>
        <v>-0.0062</v>
      </c>
    </row>
    <row r="5166">
      <c r="A5166" s="131">
        <f>IFERROR(__xludf.DUMMYFUNCTION("""COMPUTED_VALUE"""),46187.508414351854)</f>
        <v>46187.50841</v>
      </c>
      <c r="B5166" s="126">
        <f>IFERROR(__xludf.DUMMYFUNCTION("""COMPUTED_VALUE"""),46187.0)</f>
        <v>46187</v>
      </c>
      <c r="C5166" s="122" t="str">
        <f>IFERROR(__xludf.DUMMYFUNCTION("""COMPUTED_VALUE"""),"STRM")</f>
        <v>STRM</v>
      </c>
      <c r="D5166" s="122" t="str">
        <f>IFERROR(__xludf.DUMMYFUNCTION("""COMPUTED_VALUE"""),"Streamly")</f>
        <v>Streamly</v>
      </c>
      <c r="E5166" s="122">
        <f>IFERROR(__xludf.DUMMYFUNCTION("""COMPUTED_VALUE"""),139.78)</f>
        <v>139.78</v>
      </c>
      <c r="F5166" s="122">
        <f>IFERROR(__xludf.DUMMYFUNCTION("""COMPUTED_VALUE"""),-0.0041)</f>
        <v>-0.0041</v>
      </c>
    </row>
    <row r="5167">
      <c r="A5167" s="131">
        <f>IFERROR(__xludf.DUMMYFUNCTION("""COMPUTED_VALUE"""),46187.508414351854)</f>
        <v>46187.50841</v>
      </c>
      <c r="B5167" s="126">
        <f>IFERROR(__xludf.DUMMYFUNCTION("""COMPUTED_VALUE"""),46187.0)</f>
        <v>46187</v>
      </c>
      <c r="C5167" s="122" t="str">
        <f>IFERROR(__xludf.DUMMYFUNCTION("""COMPUTED_VALUE"""),"FARM")</f>
        <v>FARM</v>
      </c>
      <c r="D5167" s="122" t="str">
        <f>IFERROR(__xludf.DUMMYFUNCTION("""COMPUTED_VALUE"""),"Future Farms")</f>
        <v>Future Farms</v>
      </c>
      <c r="E5167" s="122">
        <f>IFERROR(__xludf.DUMMYFUNCTION("""COMPUTED_VALUE"""),90.62)</f>
        <v>90.62</v>
      </c>
      <c r="F5167" s="122">
        <f>IFERROR(__xludf.DUMMYFUNCTION("""COMPUTED_VALUE"""),0.0054)</f>
        <v>0.0054</v>
      </c>
    </row>
    <row r="5168">
      <c r="A5168" s="131">
        <f>IFERROR(__xludf.DUMMYFUNCTION("""COMPUTED_VALUE"""),46187.508414351854)</f>
        <v>46187.50841</v>
      </c>
      <c r="B5168" s="126">
        <f>IFERROR(__xludf.DUMMYFUNCTION("""COMPUTED_VALUE"""),46187.0)</f>
        <v>46187</v>
      </c>
      <c r="C5168" s="122" t="str">
        <f>IFERROR(__xludf.DUMMYFUNCTION("""COMPUTED_VALUE"""),"MEAT")</f>
        <v>MEAT</v>
      </c>
      <c r="D5168" s="122" t="str">
        <f>IFERROR(__xludf.DUMMYFUNCTION("""COMPUTED_VALUE"""),"MeatWorks")</f>
        <v>MeatWorks</v>
      </c>
      <c r="E5168" s="122">
        <f>IFERROR(__xludf.DUMMYFUNCTION("""COMPUTED_VALUE"""),104.14)</f>
        <v>104.14</v>
      </c>
      <c r="F5168" s="122">
        <f>IFERROR(__xludf.DUMMYFUNCTION("""COMPUTED_VALUE"""),0.0017)</f>
        <v>0.0017</v>
      </c>
    </row>
    <row r="5169">
      <c r="A5169" s="131">
        <f>IFERROR(__xludf.DUMMYFUNCTION("""COMPUTED_VALUE"""),46187.508414351854)</f>
        <v>46187.50841</v>
      </c>
      <c r="B5169" s="126">
        <f>IFERROR(__xludf.DUMMYFUNCTION("""COMPUTED_VALUE"""),46187.0)</f>
        <v>46187</v>
      </c>
      <c r="C5169" s="122" t="str">
        <f>IFERROR(__xludf.DUMMYFUNCTION("""COMPUTED_VALUE"""),"VEGI")</f>
        <v>VEGI</v>
      </c>
      <c r="D5169" s="122" t="str">
        <f>IFERROR(__xludf.DUMMYFUNCTION("""COMPUTED_VALUE"""),"Green Basket")</f>
        <v>Green Basket</v>
      </c>
      <c r="E5169" s="122">
        <f>IFERROR(__xludf.DUMMYFUNCTION("""COMPUTED_VALUE"""),78.97)</f>
        <v>78.97</v>
      </c>
      <c r="F5169" s="122">
        <f>IFERROR(__xludf.DUMMYFUNCTION("""COMPUTED_VALUE"""),-0.0034)</f>
        <v>-0.0034</v>
      </c>
    </row>
    <row r="5170">
      <c r="A5170" s="131">
        <f>IFERROR(__xludf.DUMMYFUNCTION("""COMPUTED_VALUE"""),46187.508414351854)</f>
        <v>46187.50841</v>
      </c>
      <c r="B5170" s="126">
        <f>IFERROR(__xludf.DUMMYFUNCTION("""COMPUTED_VALUE"""),46187.0)</f>
        <v>46187</v>
      </c>
      <c r="C5170" s="122" t="str">
        <f>IFERROR(__xludf.DUMMYFUNCTION("""COMPUTED_VALUE"""),"CAFE")</f>
        <v>CAFE</v>
      </c>
      <c r="D5170" s="122" t="str">
        <f>IFERROR(__xludf.DUMMYFUNCTION("""COMPUTED_VALUE"""),"Cafe Cloud")</f>
        <v>Cafe Cloud</v>
      </c>
      <c r="E5170" s="122">
        <f>IFERROR(__xludf.DUMMYFUNCTION("""COMPUTED_VALUE"""),100.71)</f>
        <v>100.71</v>
      </c>
      <c r="F5170" s="122">
        <f>IFERROR(__xludf.DUMMYFUNCTION("""COMPUTED_VALUE"""),0.0055)</f>
        <v>0.0055</v>
      </c>
    </row>
    <row r="5171">
      <c r="A5171" s="131">
        <f>IFERROR(__xludf.DUMMYFUNCTION("""COMPUTED_VALUE"""),46187.508414351854)</f>
        <v>46187.50841</v>
      </c>
      <c r="B5171" s="126">
        <f>IFERROR(__xludf.DUMMYFUNCTION("""COMPUTED_VALUE"""),46187.0)</f>
        <v>46187</v>
      </c>
      <c r="C5171" s="122" t="str">
        <f>IFERROR(__xludf.DUMMYFUNCTION("""COMPUTED_VALUE"""),"BAKE")</f>
        <v>BAKE</v>
      </c>
      <c r="D5171" s="122" t="str">
        <f>IFERROR(__xludf.DUMMYFUNCTION("""COMPUTED_VALUE"""),"BakeHouse")</f>
        <v>BakeHouse</v>
      </c>
      <c r="E5171" s="122">
        <f>IFERROR(__xludf.DUMMYFUNCTION("""COMPUTED_VALUE"""),101.84)</f>
        <v>101.84</v>
      </c>
      <c r="F5171" s="122">
        <f>IFERROR(__xludf.DUMMYFUNCTION("""COMPUTED_VALUE"""),-0.0023)</f>
        <v>-0.0023</v>
      </c>
    </row>
    <row r="5172">
      <c r="A5172" s="131">
        <f>IFERROR(__xludf.DUMMYFUNCTION("""COMPUTED_VALUE"""),46187.508414351854)</f>
        <v>46187.50841</v>
      </c>
      <c r="B5172" s="126">
        <f>IFERROR(__xludf.DUMMYFUNCTION("""COMPUTED_VALUE"""),46187.0)</f>
        <v>46187</v>
      </c>
      <c r="C5172" s="122" t="str">
        <f>IFERROR(__xludf.DUMMYFUNCTION("""COMPUTED_VALUE"""),"OILX")</f>
        <v>OILX</v>
      </c>
      <c r="D5172" s="122" t="str">
        <f>IFERROR(__xludf.DUMMYFUNCTION("""COMPUTED_VALUE"""),"OilMax Energy")</f>
        <v>OilMax Energy</v>
      </c>
      <c r="E5172" s="122">
        <f>IFERROR(__xludf.DUMMYFUNCTION("""COMPUTED_VALUE"""),127.41)</f>
        <v>127.41</v>
      </c>
      <c r="F5172" s="122">
        <f>IFERROR(__xludf.DUMMYFUNCTION("""COMPUTED_VALUE"""),-0.0064)</f>
        <v>-0.0064</v>
      </c>
    </row>
    <row r="5173">
      <c r="A5173" s="131">
        <f>IFERROR(__xludf.DUMMYFUNCTION("""COMPUTED_VALUE"""),46187.508414351854)</f>
        <v>46187.50841</v>
      </c>
      <c r="B5173" s="126">
        <f>IFERROR(__xludf.DUMMYFUNCTION("""COMPUTED_VALUE"""),46187.0)</f>
        <v>46187</v>
      </c>
      <c r="C5173" s="122" t="str">
        <f>IFERROR(__xludf.DUMMYFUNCTION("""COMPUTED_VALUE"""),"SOLR")</f>
        <v>SOLR</v>
      </c>
      <c r="D5173" s="122" t="str">
        <f>IFERROR(__xludf.DUMMYFUNCTION("""COMPUTED_VALUE"""),"SolarSpark")</f>
        <v>SolarSpark</v>
      </c>
      <c r="E5173" s="122">
        <f>IFERROR(__xludf.DUMMYFUNCTION("""COMPUTED_VALUE"""),97.57)</f>
        <v>97.57</v>
      </c>
      <c r="F5173" s="122">
        <f>IFERROR(__xludf.DUMMYFUNCTION("""COMPUTED_VALUE"""),-7.0E-4)</f>
        <v>-0.0007</v>
      </c>
    </row>
    <row r="5174">
      <c r="A5174" s="131">
        <f>IFERROR(__xludf.DUMMYFUNCTION("""COMPUTED_VALUE"""),46187.508414351854)</f>
        <v>46187.50841</v>
      </c>
      <c r="B5174" s="126">
        <f>IFERROR(__xludf.DUMMYFUNCTION("""COMPUTED_VALUE"""),46187.0)</f>
        <v>46187</v>
      </c>
      <c r="C5174" s="122" t="str">
        <f>IFERROR(__xludf.DUMMYFUNCTION("""COMPUTED_VALUE"""),"BATT")</f>
        <v>BATT</v>
      </c>
      <c r="D5174" s="122" t="str">
        <f>IFERROR(__xludf.DUMMYFUNCTION("""COMPUTED_VALUE"""),"BatteryBox")</f>
        <v>BatteryBox</v>
      </c>
      <c r="E5174" s="122">
        <f>IFERROR(__xludf.DUMMYFUNCTION("""COMPUTED_VALUE"""),119.1)</f>
        <v>119.1</v>
      </c>
      <c r="F5174" s="122">
        <f>IFERROR(__xludf.DUMMYFUNCTION("""COMPUTED_VALUE"""),-0.0089)</f>
        <v>-0.0089</v>
      </c>
    </row>
    <row r="5175">
      <c r="A5175" s="131">
        <f>IFERROR(__xludf.DUMMYFUNCTION("""COMPUTED_VALUE"""),46187.508414351854)</f>
        <v>46187.50841</v>
      </c>
      <c r="B5175" s="126">
        <f>IFERROR(__xludf.DUMMYFUNCTION("""COMPUTED_VALUE"""),46187.0)</f>
        <v>46187</v>
      </c>
      <c r="C5175" s="122" t="str">
        <f>IFERROR(__xludf.DUMMYFUNCTION("""COMPUTED_VALUE"""),"WIND")</f>
        <v>WIND</v>
      </c>
      <c r="D5175" s="122" t="str">
        <f>IFERROR(__xludf.DUMMYFUNCTION("""COMPUTED_VALUE"""),"WindWorks")</f>
        <v>WindWorks</v>
      </c>
      <c r="E5175" s="122">
        <f>IFERROR(__xludf.DUMMYFUNCTION("""COMPUTED_VALUE"""),86.79)</f>
        <v>86.79</v>
      </c>
      <c r="F5175" s="122">
        <f>IFERROR(__xludf.DUMMYFUNCTION("""COMPUTED_VALUE"""),-0.0063)</f>
        <v>-0.0063</v>
      </c>
    </row>
    <row r="5176">
      <c r="A5176" s="131">
        <f>IFERROR(__xludf.DUMMYFUNCTION("""COMPUTED_VALUE"""),46187.508414351854)</f>
        <v>46187.50841</v>
      </c>
      <c r="B5176" s="126">
        <f>IFERROR(__xludf.DUMMYFUNCTION("""COMPUTED_VALUE"""),46187.0)</f>
        <v>46187</v>
      </c>
      <c r="C5176" s="122" t="str">
        <f>IFERROR(__xludf.DUMMYFUNCTION("""COMPUTED_VALUE"""),"GRID")</f>
        <v>GRID</v>
      </c>
      <c r="D5176" s="122" t="str">
        <f>IFERROR(__xludf.DUMMYFUNCTION("""COMPUTED_VALUE"""),"GridPower")</f>
        <v>GridPower</v>
      </c>
      <c r="E5176" s="122">
        <f>IFERROR(__xludf.DUMMYFUNCTION("""COMPUTED_VALUE"""),136.33)</f>
        <v>136.33</v>
      </c>
      <c r="F5176" s="122">
        <f>IFERROR(__xludf.DUMMYFUNCTION("""COMPUTED_VALUE"""),-0.0074)</f>
        <v>-0.0074</v>
      </c>
    </row>
    <row r="5177">
      <c r="A5177" s="131">
        <f>IFERROR(__xludf.DUMMYFUNCTION("""COMPUTED_VALUE"""),46187.508414351854)</f>
        <v>46187.50841</v>
      </c>
      <c r="B5177" s="126">
        <f>IFERROR(__xludf.DUMMYFUNCTION("""COMPUTED_VALUE"""),46187.0)</f>
        <v>46187</v>
      </c>
      <c r="C5177" s="122" t="str">
        <f>IFERROR(__xludf.DUMMYFUNCTION("""COMPUTED_VALUE"""),"HOME")</f>
        <v>HOME</v>
      </c>
      <c r="D5177" s="122" t="str">
        <f>IFERROR(__xludf.DUMMYFUNCTION("""COMPUTED_VALUE"""),"HomeHub")</f>
        <v>HomeHub</v>
      </c>
      <c r="E5177" s="122">
        <f>IFERROR(__xludf.DUMMYFUNCTION("""COMPUTED_VALUE"""),152.5)</f>
        <v>152.5</v>
      </c>
      <c r="F5177" s="122">
        <f>IFERROR(__xludf.DUMMYFUNCTION("""COMPUTED_VALUE"""),-5.0E-4)</f>
        <v>-0.0005</v>
      </c>
    </row>
    <row r="5178">
      <c r="A5178" s="131">
        <f>IFERROR(__xludf.DUMMYFUNCTION("""COMPUTED_VALUE"""),46187.508414351854)</f>
        <v>46187.50841</v>
      </c>
      <c r="B5178" s="126">
        <f>IFERROR(__xludf.DUMMYFUNCTION("""COMPUTED_VALUE"""),46187.0)</f>
        <v>46187</v>
      </c>
      <c r="C5178" s="122" t="str">
        <f>IFERROR(__xludf.DUMMYFUNCTION("""COMPUTED_VALUE"""),"RENT")</f>
        <v>RENT</v>
      </c>
      <c r="D5178" s="122" t="str">
        <f>IFERROR(__xludf.DUMMYFUNCTION("""COMPUTED_VALUE"""),"RentRight")</f>
        <v>RentRight</v>
      </c>
      <c r="E5178" s="122">
        <f>IFERROR(__xludf.DUMMYFUNCTION("""COMPUTED_VALUE"""),91.18)</f>
        <v>91.18</v>
      </c>
      <c r="F5178" s="122">
        <f>IFERROR(__xludf.DUMMYFUNCTION("""COMPUTED_VALUE"""),-0.0056)</f>
        <v>-0.0056</v>
      </c>
    </row>
    <row r="5179">
      <c r="A5179" s="131">
        <f>IFERROR(__xludf.DUMMYFUNCTION("""COMPUTED_VALUE"""),46187.508414351854)</f>
        <v>46187.50841</v>
      </c>
      <c r="B5179" s="126">
        <f>IFERROR(__xludf.DUMMYFUNCTION("""COMPUTED_VALUE"""),46187.0)</f>
        <v>46187</v>
      </c>
      <c r="C5179" s="122" t="str">
        <f>IFERROR(__xludf.DUMMYFUNCTION("""COMPUTED_VALUE"""),"MALL")</f>
        <v>MALL</v>
      </c>
      <c r="D5179" s="122" t="str">
        <f>IFERROR(__xludf.DUMMYFUNCTION("""COMPUTED_VALUE"""),"MegaMall")</f>
        <v>MegaMall</v>
      </c>
      <c r="E5179" s="122">
        <f>IFERROR(__xludf.DUMMYFUNCTION("""COMPUTED_VALUE"""),100.86)</f>
        <v>100.86</v>
      </c>
      <c r="F5179" s="122">
        <f>IFERROR(__xludf.DUMMYFUNCTION("""COMPUTED_VALUE"""),0.0055)</f>
        <v>0.0055</v>
      </c>
    </row>
    <row r="5180">
      <c r="A5180" s="131">
        <f>IFERROR(__xludf.DUMMYFUNCTION("""COMPUTED_VALUE"""),46187.508414351854)</f>
        <v>46187.50841</v>
      </c>
      <c r="B5180" s="126">
        <f>IFERROR(__xludf.DUMMYFUNCTION("""COMPUTED_VALUE"""),46187.0)</f>
        <v>46187</v>
      </c>
      <c r="C5180" s="122" t="str">
        <f>IFERROR(__xludf.DUMMYFUNCTION("""COMPUTED_VALUE"""),"HOTL")</f>
        <v>HOTL</v>
      </c>
      <c r="D5180" s="122" t="str">
        <f>IFERROR(__xludf.DUMMYFUNCTION("""COMPUTED_VALUE"""),"HotelHive")</f>
        <v>HotelHive</v>
      </c>
      <c r="E5180" s="122">
        <f>IFERROR(__xludf.DUMMYFUNCTION("""COMPUTED_VALUE"""),126.75)</f>
        <v>126.75</v>
      </c>
      <c r="F5180" s="122">
        <f>IFERROR(__xludf.DUMMYFUNCTION("""COMPUTED_VALUE"""),0.0017)</f>
        <v>0.0017</v>
      </c>
    </row>
    <row r="5181">
      <c r="A5181" s="131">
        <f>IFERROR(__xludf.DUMMYFUNCTION("""COMPUTED_VALUE"""),46187.508414351854)</f>
        <v>46187.50841</v>
      </c>
      <c r="B5181" s="126">
        <f>IFERROR(__xludf.DUMMYFUNCTION("""COMPUTED_VALUE"""),46187.0)</f>
        <v>46187</v>
      </c>
      <c r="C5181" s="122" t="str">
        <f>IFERROR(__xludf.DUMMYFUNCTION("""COMPUTED_VALUE"""),"LAND")</f>
        <v>LAND</v>
      </c>
      <c r="D5181" s="122" t="str">
        <f>IFERROR(__xludf.DUMMYFUNCTION("""COMPUTED_VALUE"""),"LandLink")</f>
        <v>LandLink</v>
      </c>
      <c r="E5181" s="122">
        <f>IFERROR(__xludf.DUMMYFUNCTION("""COMPUTED_VALUE"""),182.33)</f>
        <v>182.33</v>
      </c>
      <c r="F5181" s="122">
        <f>IFERROR(__xludf.DUMMYFUNCTION("""COMPUTED_VALUE"""),-6.0E-4)</f>
        <v>-0.0006</v>
      </c>
    </row>
    <row r="5182">
      <c r="A5182" s="131">
        <f>IFERROR(__xludf.DUMMYFUNCTION("""COMPUTED_VALUE"""),46187.508414351854)</f>
        <v>46187.50841</v>
      </c>
      <c r="B5182" s="126">
        <f>IFERROR(__xludf.DUMMYFUNCTION("""COMPUTED_VALUE"""),46187.0)</f>
        <v>46187</v>
      </c>
      <c r="C5182" s="122" t="str">
        <f>IFERROR(__xludf.DUMMYFUNCTION("""COMPUTED_VALUE"""),"CARS")</f>
        <v>CARS</v>
      </c>
      <c r="D5182" s="122" t="str">
        <f>IFERROR(__xludf.DUMMYFUNCTION("""COMPUTED_VALUE"""),"AutoArena")</f>
        <v>AutoArena</v>
      </c>
      <c r="E5182" s="122">
        <f>IFERROR(__xludf.DUMMYFUNCTION("""COMPUTED_VALUE"""),83.17)</f>
        <v>83.17</v>
      </c>
      <c r="F5182" s="122">
        <f>IFERROR(__xludf.DUMMYFUNCTION("""COMPUTED_VALUE"""),0.0051)</f>
        <v>0.0051</v>
      </c>
    </row>
    <row r="5183">
      <c r="A5183" s="131">
        <f>IFERROR(__xludf.DUMMYFUNCTION("""COMPUTED_VALUE"""),46187.508414351854)</f>
        <v>46187.50841</v>
      </c>
      <c r="B5183" s="126">
        <f>IFERROR(__xludf.DUMMYFUNCTION("""COMPUTED_VALUE"""),46187.0)</f>
        <v>46187</v>
      </c>
      <c r="C5183" s="122" t="str">
        <f>IFERROR(__xludf.DUMMYFUNCTION("""COMPUTED_VALUE"""),"EVGO")</f>
        <v>EVGO</v>
      </c>
      <c r="D5183" s="122" t="str">
        <f>IFERROR(__xludf.DUMMYFUNCTION("""COMPUTED_VALUE"""),"EVGo Motors")</f>
        <v>EVGo Motors</v>
      </c>
      <c r="E5183" s="122">
        <f>IFERROR(__xludf.DUMMYFUNCTION("""COMPUTED_VALUE"""),185.0)</f>
        <v>185</v>
      </c>
      <c r="F5183" s="122">
        <f>IFERROR(__xludf.DUMMYFUNCTION("""COMPUTED_VALUE"""),-0.011)</f>
        <v>-0.011</v>
      </c>
    </row>
    <row r="5184">
      <c r="A5184" s="131">
        <f>IFERROR(__xludf.DUMMYFUNCTION("""COMPUTED_VALUE"""),46187.508414351854)</f>
        <v>46187.50841</v>
      </c>
      <c r="B5184" s="126">
        <f>IFERROR(__xludf.DUMMYFUNCTION("""COMPUTED_VALUE"""),46187.0)</f>
        <v>46187</v>
      </c>
      <c r="C5184" s="122" t="str">
        <f>IFERROR(__xludf.DUMMYFUNCTION("""COMPUTED_VALUE"""),"TIRE")</f>
        <v>TIRE</v>
      </c>
      <c r="D5184" s="122" t="str">
        <f>IFERROR(__xludf.DUMMYFUNCTION("""COMPUTED_VALUE"""),"TireTown")</f>
        <v>TireTown</v>
      </c>
      <c r="E5184" s="122">
        <f>IFERROR(__xludf.DUMMYFUNCTION("""COMPUTED_VALUE"""),95.66)</f>
        <v>95.66</v>
      </c>
      <c r="F5184" s="122">
        <f>IFERROR(__xludf.DUMMYFUNCTION("""COMPUTED_VALUE"""),-0.0029)</f>
        <v>-0.0029</v>
      </c>
    </row>
    <row r="5185">
      <c r="A5185" s="131">
        <f>IFERROR(__xludf.DUMMYFUNCTION("""COMPUTED_VALUE"""),46187.508414351854)</f>
        <v>46187.50841</v>
      </c>
      <c r="B5185" s="126">
        <f>IFERROR(__xludf.DUMMYFUNCTION("""COMPUTED_VALUE"""),46187.0)</f>
        <v>46187</v>
      </c>
      <c r="C5185" s="122" t="str">
        <f>IFERROR(__xludf.DUMMYFUNCTION("""COMPUTED_VALUE"""),"BIKE")</f>
        <v>BIKE</v>
      </c>
      <c r="D5185" s="122" t="str">
        <f>IFERROR(__xludf.DUMMYFUNCTION("""COMPUTED_VALUE"""),"BikeBox")</f>
        <v>BikeBox</v>
      </c>
      <c r="E5185" s="122">
        <f>IFERROR(__xludf.DUMMYFUNCTION("""COMPUTED_VALUE"""),53.31)</f>
        <v>53.31</v>
      </c>
      <c r="F5185" s="122">
        <f>IFERROR(__xludf.DUMMYFUNCTION("""COMPUTED_VALUE"""),0.0019)</f>
        <v>0.0019</v>
      </c>
    </row>
    <row r="5186">
      <c r="A5186" s="131">
        <f>IFERROR(__xludf.DUMMYFUNCTION("""COMPUTED_VALUE"""),46187.508414351854)</f>
        <v>46187.50841</v>
      </c>
      <c r="B5186" s="126">
        <f>IFERROR(__xludf.DUMMYFUNCTION("""COMPUTED_VALUE"""),46187.0)</f>
        <v>46187</v>
      </c>
      <c r="C5186" s="122" t="str">
        <f>IFERROR(__xludf.DUMMYFUNCTION("""COMPUTED_VALUE"""),"WASH")</f>
        <v>WASH</v>
      </c>
      <c r="D5186" s="122" t="str">
        <f>IFERROR(__xludf.DUMMYFUNCTION("""COMPUTED_VALUE"""),"CarWash Co")</f>
        <v>CarWash Co</v>
      </c>
      <c r="E5186" s="122">
        <f>IFERROR(__xludf.DUMMYFUNCTION("""COMPUTED_VALUE"""),119.35)</f>
        <v>119.35</v>
      </c>
      <c r="F5186" s="122">
        <f>IFERROR(__xludf.DUMMYFUNCTION("""COMPUTED_VALUE"""),0.0031)</f>
        <v>0.0031</v>
      </c>
    </row>
    <row r="5187">
      <c r="A5187" s="131">
        <f>IFERROR(__xludf.DUMMYFUNCTION("""COMPUTED_VALUE"""),46187.508414351854)</f>
        <v>46187.50841</v>
      </c>
      <c r="B5187" s="126">
        <f>IFERROR(__xludf.DUMMYFUNCTION("""COMPUTED_VALUE"""),46187.0)</f>
        <v>46187</v>
      </c>
      <c r="C5187" s="122" t="str">
        <f>IFERROR(__xludf.DUMMYFUNCTION("""COMPUTED_VALUE"""),"GBND")</f>
        <v>GBND</v>
      </c>
      <c r="D5187" s="122" t="str">
        <f>IFERROR(__xludf.DUMMYFUNCTION("""COMPUTED_VALUE"""),"Classroom Government Bond")</f>
        <v>Classroom Government Bond</v>
      </c>
      <c r="E5187" s="122">
        <f>IFERROR(__xludf.DUMMYFUNCTION("""COMPUTED_VALUE"""),100.95)</f>
        <v>100.95</v>
      </c>
      <c r="F5187" s="122">
        <f>IFERROR(__xludf.DUMMYFUNCTION("""COMPUTED_VALUE"""),-1.0E-4)</f>
        <v>-0.0001</v>
      </c>
    </row>
    <row r="5188">
      <c r="A5188" s="131">
        <f>IFERROR(__xludf.DUMMYFUNCTION("""COMPUTED_VALUE"""),46187.508414351854)</f>
        <v>46187.50841</v>
      </c>
      <c r="B5188" s="126">
        <f>IFERROR(__xludf.DUMMYFUNCTION("""COMPUTED_VALUE"""),46187.0)</f>
        <v>46187</v>
      </c>
      <c r="C5188" s="122" t="str">
        <f>IFERROR(__xludf.DUMMYFUNCTION("""COMPUTED_VALUE"""),"SBND")</f>
        <v>SBND</v>
      </c>
      <c r="D5188" s="122" t="str">
        <f>IFERROR(__xludf.DUMMYFUNCTION("""COMPUTED_VALUE"""),"School Savings Bond")</f>
        <v>School Savings Bond</v>
      </c>
      <c r="E5188" s="122">
        <f>IFERROR(__xludf.DUMMYFUNCTION("""COMPUTED_VALUE"""),99.42)</f>
        <v>99.42</v>
      </c>
      <c r="F5188" s="122">
        <f>IFERROR(__xludf.DUMMYFUNCTION("""COMPUTED_VALUE"""),1.0E-4)</f>
        <v>0.0001</v>
      </c>
    </row>
    <row r="5189">
      <c r="A5189" s="131">
        <f>IFERROR(__xludf.DUMMYFUNCTION("""COMPUTED_VALUE"""),46187.508414351854)</f>
        <v>46187.50841</v>
      </c>
      <c r="B5189" s="126">
        <f>IFERROR(__xludf.DUMMYFUNCTION("""COMPUTED_VALUE"""),46187.0)</f>
        <v>46187</v>
      </c>
      <c r="C5189" s="122" t="str">
        <f>IFERROR(__xludf.DUMMYFUNCTION("""COMPUTED_VALUE"""),"CBND")</f>
        <v>CBND</v>
      </c>
      <c r="D5189" s="122" t="str">
        <f>IFERROR(__xludf.DUMMYFUNCTION("""COMPUTED_VALUE"""),"Corporate Classroom Bond")</f>
        <v>Corporate Classroom Bond</v>
      </c>
      <c r="E5189" s="122">
        <f>IFERROR(__xludf.DUMMYFUNCTION("""COMPUTED_VALUE"""),97.85)</f>
        <v>97.85</v>
      </c>
      <c r="F5189" s="122">
        <f>IFERROR(__xludf.DUMMYFUNCTION("""COMPUTED_VALUE"""),4.0E-4)</f>
        <v>0.0004</v>
      </c>
    </row>
    <row r="5190">
      <c r="A5190" s="131">
        <f>IFERROR(__xludf.DUMMYFUNCTION("""COMPUTED_VALUE"""),46187.508414351854)</f>
        <v>46187.50841</v>
      </c>
      <c r="B5190" s="126">
        <f>IFERROR(__xludf.DUMMYFUNCTION("""COMPUTED_VALUE"""),46187.0)</f>
        <v>46187</v>
      </c>
      <c r="C5190" s="122" t="str">
        <f>IFERROR(__xludf.DUMMYFUNCTION("""COMPUTED_VALUE"""),"TBIL")</f>
        <v>TBIL</v>
      </c>
      <c r="D5190" s="122" t="str">
        <f>IFERROR(__xludf.DUMMYFUNCTION("""COMPUTED_VALUE"""),"Treasury Bill")</f>
        <v>Treasury Bill</v>
      </c>
      <c r="E5190" s="122">
        <f>IFERROR(__xludf.DUMMYFUNCTION("""COMPUTED_VALUE"""),98.15)</f>
        <v>98.15</v>
      </c>
      <c r="F5190" s="122">
        <f>IFERROR(__xludf.DUMMYFUNCTION("""COMPUTED_VALUE"""),-1.0E-4)</f>
        <v>-0.0001</v>
      </c>
    </row>
    <row r="5191">
      <c r="A5191" s="131">
        <f>IFERROR(__xludf.DUMMYFUNCTION("""COMPUTED_VALUE"""),46187.508414351854)</f>
        <v>46187.50841</v>
      </c>
      <c r="B5191" s="126">
        <f>IFERROR(__xludf.DUMMYFUNCTION("""COMPUTED_VALUE"""),46187.0)</f>
        <v>46187</v>
      </c>
      <c r="C5191" s="122" t="str">
        <f>IFERROR(__xludf.DUMMYFUNCTION("""COMPUTED_VALUE"""),"IBND")</f>
        <v>IBND</v>
      </c>
      <c r="D5191" s="122" t="str">
        <f>IFERROR(__xludf.DUMMYFUNCTION("""COMPUTED_VALUE"""),"Inflation Protected Bond")</f>
        <v>Inflation Protected Bond</v>
      </c>
      <c r="E5191" s="122">
        <f>IFERROR(__xludf.DUMMYFUNCTION("""COMPUTED_VALUE"""),100.73)</f>
        <v>100.73</v>
      </c>
      <c r="F5191" s="122">
        <f>IFERROR(__xludf.DUMMYFUNCTION("""COMPUTED_VALUE"""),0.0)</f>
        <v>0</v>
      </c>
    </row>
    <row r="5192">
      <c r="A5192" s="131">
        <f>IFERROR(__xludf.DUMMYFUNCTION("""COMPUTED_VALUE"""),46187.512094907404)</f>
        <v>46187.51209</v>
      </c>
      <c r="B5192" s="126">
        <f>IFERROR(__xludf.DUMMYFUNCTION("""COMPUTED_VALUE"""),46187.0)</f>
        <v>46187</v>
      </c>
      <c r="C5192" s="122" t="str">
        <f>IFERROR(__xludf.DUMMYFUNCTION("""COMPUTED_VALUE"""),"SNAX")</f>
        <v>SNAX</v>
      </c>
      <c r="D5192" s="122" t="str">
        <f>IFERROR(__xludf.DUMMYFUNCTION("""COMPUTED_VALUE"""),"MICA Snacks")</f>
        <v>MICA Snacks</v>
      </c>
      <c r="E5192" s="122">
        <f>IFERROR(__xludf.DUMMYFUNCTION("""COMPUTED_VALUE"""),120.0)</f>
        <v>120</v>
      </c>
      <c r="F5192" s="122">
        <f>IFERROR(__xludf.DUMMYFUNCTION("""COMPUTED_VALUE"""),-0.0016)</f>
        <v>-0.0016</v>
      </c>
    </row>
    <row r="5193">
      <c r="A5193" s="131">
        <f>IFERROR(__xludf.DUMMYFUNCTION("""COMPUTED_VALUE"""),46187.512094907404)</f>
        <v>46187.51209</v>
      </c>
      <c r="B5193" s="126">
        <f>IFERROR(__xludf.DUMMYFUNCTION("""COMPUTED_VALUE"""),46187.0)</f>
        <v>46187</v>
      </c>
      <c r="C5193" s="122" t="str">
        <f>IFERROR(__xludf.DUMMYFUNCTION("""COMPUTED_VALUE"""),"RAMN")</f>
        <v>RAMN</v>
      </c>
      <c r="D5193" s="122" t="str">
        <f>IFERROR(__xludf.DUMMYFUNCTION("""COMPUTED_VALUE"""),"Ramen Republic")</f>
        <v>Ramen Republic</v>
      </c>
      <c r="E5193" s="122">
        <f>IFERROR(__xludf.DUMMYFUNCTION("""COMPUTED_VALUE"""),67.78)</f>
        <v>67.78</v>
      </c>
      <c r="F5193" s="122">
        <f>IFERROR(__xludf.DUMMYFUNCTION("""COMPUTED_VALUE"""),-0.0053)</f>
        <v>-0.0053</v>
      </c>
    </row>
    <row r="5194">
      <c r="A5194" s="131">
        <f>IFERROR(__xludf.DUMMYFUNCTION("""COMPUTED_VALUE"""),46187.512094907404)</f>
        <v>46187.51209</v>
      </c>
      <c r="B5194" s="126">
        <f>IFERROR(__xludf.DUMMYFUNCTION("""COMPUTED_VALUE"""),46187.0)</f>
        <v>46187</v>
      </c>
      <c r="C5194" s="122" t="str">
        <f>IFERROR(__xludf.DUMMYFUNCTION("""COMPUTED_VALUE"""),"COLA")</f>
        <v>COLA</v>
      </c>
      <c r="D5194" s="122" t="str">
        <f>IFERROR(__xludf.DUMMYFUNCTION("""COMPUTED_VALUE"""),"K-Pop Cola")</f>
        <v>K-Pop Cola</v>
      </c>
      <c r="E5194" s="122">
        <f>IFERROR(__xludf.DUMMYFUNCTION("""COMPUTED_VALUE"""),114.14)</f>
        <v>114.14</v>
      </c>
      <c r="F5194" s="122">
        <f>IFERROR(__xludf.DUMMYFUNCTION("""COMPUTED_VALUE"""),0.006)</f>
        <v>0.006</v>
      </c>
    </row>
    <row r="5195">
      <c r="A5195" s="131">
        <f>IFERROR(__xludf.DUMMYFUNCTION("""COMPUTED_VALUE"""),46187.512094907404)</f>
        <v>46187.51209</v>
      </c>
      <c r="B5195" s="126">
        <f>IFERROR(__xludf.DUMMYFUNCTION("""COMPUTED_VALUE"""),46187.0)</f>
        <v>46187</v>
      </c>
      <c r="C5195" s="122" t="str">
        <f>IFERROR(__xludf.DUMMYFUNCTION("""COMPUTED_VALUE"""),"CHIP")</f>
        <v>CHIP</v>
      </c>
      <c r="D5195" s="122" t="str">
        <f>IFERROR(__xludf.DUMMYFUNCTION("""COMPUTED_VALUE"""),"Chip Empire")</f>
        <v>Chip Empire</v>
      </c>
      <c r="E5195" s="122">
        <f>IFERROR(__xludf.DUMMYFUNCTION("""COMPUTED_VALUE"""),86.32)</f>
        <v>86.32</v>
      </c>
      <c r="F5195" s="122">
        <f>IFERROR(__xludf.DUMMYFUNCTION("""COMPUTED_VALUE"""),0.0021)</f>
        <v>0.0021</v>
      </c>
    </row>
    <row r="5196">
      <c r="A5196" s="131">
        <f>IFERROR(__xludf.DUMMYFUNCTION("""COMPUTED_VALUE"""),46187.512094907404)</f>
        <v>46187.51209</v>
      </c>
      <c r="B5196" s="126">
        <f>IFERROR(__xludf.DUMMYFUNCTION("""COMPUTED_VALUE"""),46187.0)</f>
        <v>46187</v>
      </c>
      <c r="C5196" s="122" t="str">
        <f>IFERROR(__xludf.DUMMYFUNCTION("""COMPUTED_VALUE"""),"CAND")</f>
        <v>CAND</v>
      </c>
      <c r="D5196" s="122" t="str">
        <f>IFERROR(__xludf.DUMMYFUNCTION("""COMPUTED_VALUE"""),"Candy Capital")</f>
        <v>Candy Capital</v>
      </c>
      <c r="E5196" s="122">
        <f>IFERROR(__xludf.DUMMYFUNCTION("""COMPUTED_VALUE"""),76.55)</f>
        <v>76.55</v>
      </c>
      <c r="F5196" s="122">
        <f>IFERROR(__xludf.DUMMYFUNCTION("""COMPUTED_VALUE"""),-0.0034)</f>
        <v>-0.0034</v>
      </c>
    </row>
    <row r="5197">
      <c r="A5197" s="131">
        <f>IFERROR(__xludf.DUMMYFUNCTION("""COMPUTED_VALUE"""),46187.512094907404)</f>
        <v>46187.51209</v>
      </c>
      <c r="B5197" s="126">
        <f>IFERROR(__xludf.DUMMYFUNCTION("""COMPUTED_VALUE"""),46187.0)</f>
        <v>46187</v>
      </c>
      <c r="C5197" s="122" t="str">
        <f>IFERROR(__xludf.DUMMYFUNCTION("""COMPUTED_VALUE"""),"TECH")</f>
        <v>TECH</v>
      </c>
      <c r="D5197" s="122" t="str">
        <f>IFERROR(__xludf.DUMMYFUNCTION("""COMPUTED_VALUE"""),"Dragon Tech")</f>
        <v>Dragon Tech</v>
      </c>
      <c r="E5197" s="122">
        <f>IFERROR(__xludf.DUMMYFUNCTION("""COMPUTED_VALUE"""),241.71)</f>
        <v>241.71</v>
      </c>
      <c r="F5197" s="122">
        <f>IFERROR(__xludf.DUMMYFUNCTION("""COMPUTED_VALUE"""),-0.0014)</f>
        <v>-0.0014</v>
      </c>
    </row>
    <row r="5198">
      <c r="A5198" s="131">
        <f>IFERROR(__xludf.DUMMYFUNCTION("""COMPUTED_VALUE"""),46187.512094907404)</f>
        <v>46187.51209</v>
      </c>
      <c r="B5198" s="126">
        <f>IFERROR(__xludf.DUMMYFUNCTION("""COMPUTED_VALUE"""),46187.0)</f>
        <v>46187</v>
      </c>
      <c r="C5198" s="122" t="str">
        <f>IFERROR(__xludf.DUMMYFUNCTION("""COMPUTED_VALUE"""),"AIBO")</f>
        <v>AIBO</v>
      </c>
      <c r="D5198" s="122" t="str">
        <f>IFERROR(__xludf.DUMMYFUNCTION("""COMPUTED_VALUE"""),"Homework AI")</f>
        <v>Homework AI</v>
      </c>
      <c r="E5198" s="122">
        <f>IFERROR(__xludf.DUMMYFUNCTION("""COMPUTED_VALUE"""),181.76)</f>
        <v>181.76</v>
      </c>
      <c r="F5198" s="122">
        <f>IFERROR(__xludf.DUMMYFUNCTION("""COMPUTED_VALUE"""),0.0123)</f>
        <v>0.0123</v>
      </c>
    </row>
    <row r="5199">
      <c r="A5199" s="131">
        <f>IFERROR(__xludf.DUMMYFUNCTION("""COMPUTED_VALUE"""),46187.512094907404)</f>
        <v>46187.51209</v>
      </c>
      <c r="B5199" s="126">
        <f>IFERROR(__xludf.DUMMYFUNCTION("""COMPUTED_VALUE"""),46187.0)</f>
        <v>46187</v>
      </c>
      <c r="C5199" s="122" t="str">
        <f>IFERROR(__xludf.DUMMYFUNCTION("""COMPUTED_VALUE"""),"GAME")</f>
        <v>GAME</v>
      </c>
      <c r="D5199" s="122" t="str">
        <f>IFERROR(__xludf.DUMMYFUNCTION("""COMPUTED_VALUE"""),"GameBox Media")</f>
        <v>GameBox Media</v>
      </c>
      <c r="E5199" s="122">
        <f>IFERROR(__xludf.DUMMYFUNCTION("""COMPUTED_VALUE"""),99.04)</f>
        <v>99.04</v>
      </c>
      <c r="F5199" s="122">
        <f>IFERROR(__xludf.DUMMYFUNCTION("""COMPUTED_VALUE"""),0.0033)</f>
        <v>0.0033</v>
      </c>
    </row>
    <row r="5200">
      <c r="A5200" s="131">
        <f>IFERROR(__xludf.DUMMYFUNCTION("""COMPUTED_VALUE"""),46187.512094907404)</f>
        <v>46187.51209</v>
      </c>
      <c r="B5200" s="126">
        <f>IFERROR(__xludf.DUMMYFUNCTION("""COMPUTED_VALUE"""),46187.0)</f>
        <v>46187</v>
      </c>
      <c r="C5200" s="122" t="str">
        <f>IFERROR(__xludf.DUMMYFUNCTION("""COMPUTED_VALUE"""),"VRSE")</f>
        <v>VRSE</v>
      </c>
      <c r="D5200" s="122" t="str">
        <f>IFERROR(__xludf.DUMMYFUNCTION("""COMPUTED_VALUE"""),"VerseVR")</f>
        <v>VerseVR</v>
      </c>
      <c r="E5200" s="122">
        <f>IFERROR(__xludf.DUMMYFUNCTION("""COMPUTED_VALUE"""),153.17)</f>
        <v>153.17</v>
      </c>
      <c r="F5200" s="122">
        <f>IFERROR(__xludf.DUMMYFUNCTION("""COMPUTED_VALUE"""),-0.0056)</f>
        <v>-0.0056</v>
      </c>
    </row>
    <row r="5201">
      <c r="A5201" s="131">
        <f>IFERROR(__xludf.DUMMYFUNCTION("""COMPUTED_VALUE"""),46187.512094907404)</f>
        <v>46187.51209</v>
      </c>
      <c r="B5201" s="126">
        <f>IFERROR(__xludf.DUMMYFUNCTION("""COMPUTED_VALUE"""),46187.0)</f>
        <v>46187</v>
      </c>
      <c r="C5201" s="122" t="str">
        <f>IFERROR(__xludf.DUMMYFUNCTION("""COMPUTED_VALUE"""),"BYTE")</f>
        <v>BYTE</v>
      </c>
      <c r="D5201" s="122" t="str">
        <f>IFERROR(__xludf.DUMMYFUNCTION("""COMPUTED_VALUE"""),"ByteWorks")</f>
        <v>ByteWorks</v>
      </c>
      <c r="E5201" s="122">
        <f>IFERROR(__xludf.DUMMYFUNCTION("""COMPUTED_VALUE"""),110.9)</f>
        <v>110.9</v>
      </c>
      <c r="F5201" s="122">
        <f>IFERROR(__xludf.DUMMYFUNCTION("""COMPUTED_VALUE"""),0.0085)</f>
        <v>0.0085</v>
      </c>
    </row>
    <row r="5202">
      <c r="A5202" s="131">
        <f>IFERROR(__xludf.DUMMYFUNCTION("""COMPUTED_VALUE"""),46187.512094907404)</f>
        <v>46187.51209</v>
      </c>
      <c r="B5202" s="126">
        <f>IFERROR(__xludf.DUMMYFUNCTION("""COMPUTED_VALUE"""),46187.0)</f>
        <v>46187</v>
      </c>
      <c r="C5202" s="122" t="str">
        <f>IFERROR(__xludf.DUMMYFUNCTION("""COMPUTED_VALUE"""),"BANK")</f>
        <v>BANK</v>
      </c>
      <c r="D5202" s="122" t="str">
        <f>IFERROR(__xludf.DUMMYFUNCTION("""COMPUTED_VALUE"""),"Tiger Bank")</f>
        <v>Tiger Bank</v>
      </c>
      <c r="E5202" s="122">
        <f>IFERROR(__xludf.DUMMYFUNCTION("""COMPUTED_VALUE"""),129.25)</f>
        <v>129.25</v>
      </c>
      <c r="F5202" s="122">
        <f>IFERROR(__xludf.DUMMYFUNCTION("""COMPUTED_VALUE"""),-0.0015)</f>
        <v>-0.0015</v>
      </c>
    </row>
    <row r="5203">
      <c r="A5203" s="131">
        <f>IFERROR(__xludf.DUMMYFUNCTION("""COMPUTED_VALUE"""),46187.512094907404)</f>
        <v>46187.51209</v>
      </c>
      <c r="B5203" s="126">
        <f>IFERROR(__xludf.DUMMYFUNCTION("""COMPUTED_VALUE"""),46187.0)</f>
        <v>46187</v>
      </c>
      <c r="C5203" s="122" t="str">
        <f>IFERROR(__xludf.DUMMYFUNCTION("""COMPUTED_VALUE"""),"CRED")</f>
        <v>CRED</v>
      </c>
      <c r="D5203" s="122" t="str">
        <f>IFERROR(__xludf.DUMMYFUNCTION("""COMPUTED_VALUE"""),"Credit Castle")</f>
        <v>Credit Castle</v>
      </c>
      <c r="E5203" s="122">
        <f>IFERROR(__xludf.DUMMYFUNCTION("""COMPUTED_VALUE"""),66.61)</f>
        <v>66.61</v>
      </c>
      <c r="F5203" s="122">
        <f>IFERROR(__xludf.DUMMYFUNCTION("""COMPUTED_VALUE"""),3.0E-4)</f>
        <v>0.0003</v>
      </c>
    </row>
    <row r="5204">
      <c r="A5204" s="131">
        <f>IFERROR(__xludf.DUMMYFUNCTION("""COMPUTED_VALUE"""),46187.512094907404)</f>
        <v>46187.51209</v>
      </c>
      <c r="B5204" s="126">
        <f>IFERROR(__xludf.DUMMYFUNCTION("""COMPUTED_VALUE"""),46187.0)</f>
        <v>46187</v>
      </c>
      <c r="C5204" s="122" t="str">
        <f>IFERROR(__xludf.DUMMYFUNCTION("""COMPUTED_VALUE"""),"BOND")</f>
        <v>BOND</v>
      </c>
      <c r="D5204" s="122" t="str">
        <f>IFERROR(__xludf.DUMMYFUNCTION("""COMPUTED_VALUE"""),"BondBridge")</f>
        <v>BondBridge</v>
      </c>
      <c r="E5204" s="122">
        <f>IFERROR(__xludf.DUMMYFUNCTION("""COMPUTED_VALUE"""),100.56)</f>
        <v>100.56</v>
      </c>
      <c r="F5204" s="122">
        <f>IFERROR(__xludf.DUMMYFUNCTION("""COMPUTED_VALUE"""),-4.0E-4)</f>
        <v>-0.0004</v>
      </c>
    </row>
    <row r="5205">
      <c r="A5205" s="131">
        <f>IFERROR(__xludf.DUMMYFUNCTION("""COMPUTED_VALUE"""),46187.512094907404)</f>
        <v>46187.51209</v>
      </c>
      <c r="B5205" s="126">
        <f>IFERROR(__xludf.DUMMYFUNCTION("""COMPUTED_VALUE"""),46187.0)</f>
        <v>46187</v>
      </c>
      <c r="C5205" s="122" t="str">
        <f>IFERROR(__xludf.DUMMYFUNCTION("""COMPUTED_VALUE"""),"INSR")</f>
        <v>INSR</v>
      </c>
      <c r="D5205" s="122" t="str">
        <f>IFERROR(__xludf.DUMMYFUNCTION("""COMPUTED_VALUE"""),"Shield Insurance")</f>
        <v>Shield Insurance</v>
      </c>
      <c r="E5205" s="122">
        <f>IFERROR(__xludf.DUMMYFUNCTION("""COMPUTED_VALUE"""),160.23)</f>
        <v>160.23</v>
      </c>
      <c r="F5205" s="122">
        <f>IFERROR(__xludf.DUMMYFUNCTION("""COMPUTED_VALUE"""),8.0E-4)</f>
        <v>0.0008</v>
      </c>
    </row>
    <row r="5206">
      <c r="A5206" s="131">
        <f>IFERROR(__xludf.DUMMYFUNCTION("""COMPUTED_VALUE"""),46187.512094907404)</f>
        <v>46187.51209</v>
      </c>
      <c r="B5206" s="126">
        <f>IFERROR(__xludf.DUMMYFUNCTION("""COMPUTED_VALUE"""),46187.0)</f>
        <v>46187</v>
      </c>
      <c r="C5206" s="122" t="str">
        <f>IFERROR(__xludf.DUMMYFUNCTION("""COMPUTED_VALUE"""),"LOAN")</f>
        <v>LOAN</v>
      </c>
      <c r="D5206" s="122" t="str">
        <f>IFERROR(__xludf.DUMMYFUNCTION("""COMPUTED_VALUE"""),"LoanLab")</f>
        <v>LoanLab</v>
      </c>
      <c r="E5206" s="122">
        <f>IFERROR(__xludf.DUMMYFUNCTION("""COMPUTED_VALUE"""),65.12)</f>
        <v>65.12</v>
      </c>
      <c r="F5206" s="122">
        <f>IFERROR(__xludf.DUMMYFUNCTION("""COMPUTED_VALUE"""),-0.0044)</f>
        <v>-0.0044</v>
      </c>
    </row>
    <row r="5207">
      <c r="A5207" s="131">
        <f>IFERROR(__xludf.DUMMYFUNCTION("""COMPUTED_VALUE"""),46187.512094907404)</f>
        <v>46187.51209</v>
      </c>
      <c r="B5207" s="126">
        <f>IFERROR(__xludf.DUMMYFUNCTION("""COMPUTED_VALUE"""),46187.0)</f>
        <v>46187</v>
      </c>
      <c r="C5207" s="122" t="str">
        <f>IFERROR(__xludf.DUMMYFUNCTION("""COMPUTED_VALUE"""),"LUXE")</f>
        <v>LUXE</v>
      </c>
      <c r="D5207" s="122" t="str">
        <f>IFERROR(__xludf.DUMMYFUNCTION("""COMPUTED_VALUE"""),"Luxury Locker")</f>
        <v>Luxury Locker</v>
      </c>
      <c r="E5207" s="122">
        <f>IFERROR(__xludf.DUMMYFUNCTION("""COMPUTED_VALUE"""),263.8)</f>
        <v>263.8</v>
      </c>
      <c r="F5207" s="122">
        <f>IFERROR(__xludf.DUMMYFUNCTION("""COMPUTED_VALUE"""),0.0041)</f>
        <v>0.0041</v>
      </c>
    </row>
    <row r="5208">
      <c r="A5208" s="131">
        <f>IFERROR(__xludf.DUMMYFUNCTION("""COMPUTED_VALUE"""),46187.512094907404)</f>
        <v>46187.51209</v>
      </c>
      <c r="B5208" s="126">
        <f>IFERROR(__xludf.DUMMYFUNCTION("""COMPUTED_VALUE"""),46187.0)</f>
        <v>46187</v>
      </c>
      <c r="C5208" s="122" t="str">
        <f>IFERROR(__xludf.DUMMYFUNCTION("""COMPUTED_VALUE"""),"DRIP")</f>
        <v>DRIP</v>
      </c>
      <c r="D5208" s="122" t="str">
        <f>IFERROR(__xludf.DUMMYFUNCTION("""COMPUTED_VALUE"""),"Drip Streetwear")</f>
        <v>Drip Streetwear</v>
      </c>
      <c r="E5208" s="122">
        <f>IFERROR(__xludf.DUMMYFUNCTION("""COMPUTED_VALUE"""),198.02)</f>
        <v>198.02</v>
      </c>
      <c r="F5208" s="122">
        <f>IFERROR(__xludf.DUMMYFUNCTION("""COMPUTED_VALUE"""),0.0088)</f>
        <v>0.0088</v>
      </c>
    </row>
    <row r="5209">
      <c r="A5209" s="131">
        <f>IFERROR(__xludf.DUMMYFUNCTION("""COMPUTED_VALUE"""),46187.512094907404)</f>
        <v>46187.51209</v>
      </c>
      <c r="B5209" s="126">
        <f>IFERROR(__xludf.DUMMYFUNCTION("""COMPUTED_VALUE"""),46187.0)</f>
        <v>46187</v>
      </c>
      <c r="C5209" s="122" t="str">
        <f>IFERROR(__xludf.DUMMYFUNCTION("""COMPUTED_VALUE"""),"KICK")</f>
        <v>KICK</v>
      </c>
      <c r="D5209" s="122" t="str">
        <f>IFERROR(__xludf.DUMMYFUNCTION("""COMPUTED_VALUE"""),"KickDrop Sneakers")</f>
        <v>KickDrop Sneakers</v>
      </c>
      <c r="E5209" s="122">
        <f>IFERROR(__xludf.DUMMYFUNCTION("""COMPUTED_VALUE"""),170.12)</f>
        <v>170.12</v>
      </c>
      <c r="F5209" s="122">
        <f>IFERROR(__xludf.DUMMYFUNCTION("""COMPUTED_VALUE"""),0.0044)</f>
        <v>0.0044</v>
      </c>
    </row>
    <row r="5210">
      <c r="A5210" s="131">
        <f>IFERROR(__xludf.DUMMYFUNCTION("""COMPUTED_VALUE"""),46187.512094907404)</f>
        <v>46187.51209</v>
      </c>
      <c r="B5210" s="126">
        <f>IFERROR(__xludf.DUMMYFUNCTION("""COMPUTED_VALUE"""),46187.0)</f>
        <v>46187</v>
      </c>
      <c r="C5210" s="122" t="str">
        <f>IFERROR(__xludf.DUMMYFUNCTION("""COMPUTED_VALUE"""),"GLAM")</f>
        <v>GLAM</v>
      </c>
      <c r="D5210" s="122" t="str">
        <f>IFERROR(__xludf.DUMMYFUNCTION("""COMPUTED_VALUE"""),"Glow Cosmetics")</f>
        <v>Glow Cosmetics</v>
      </c>
      <c r="E5210" s="122">
        <f>IFERROR(__xludf.DUMMYFUNCTION("""COMPUTED_VALUE"""),106.04)</f>
        <v>106.04</v>
      </c>
      <c r="F5210" s="122">
        <f>IFERROR(__xludf.DUMMYFUNCTION("""COMPUTED_VALUE"""),0.0072)</f>
        <v>0.0072</v>
      </c>
    </row>
    <row r="5211">
      <c r="A5211" s="131">
        <f>IFERROR(__xludf.DUMMYFUNCTION("""COMPUTED_VALUE"""),46187.512094907404)</f>
        <v>46187.51209</v>
      </c>
      <c r="B5211" s="126">
        <f>IFERROR(__xludf.DUMMYFUNCTION("""COMPUTED_VALUE"""),46187.0)</f>
        <v>46187</v>
      </c>
      <c r="C5211" s="122" t="str">
        <f>IFERROR(__xludf.DUMMYFUNCTION("""COMPUTED_VALUE"""),"BAGG")</f>
        <v>BAGG</v>
      </c>
      <c r="D5211" s="122" t="str">
        <f>IFERROR(__xludf.DUMMYFUNCTION("""COMPUTED_VALUE"""),"BagVault")</f>
        <v>BagVault</v>
      </c>
      <c r="E5211" s="122">
        <f>IFERROR(__xludf.DUMMYFUNCTION("""COMPUTED_VALUE"""),251.69)</f>
        <v>251.69</v>
      </c>
      <c r="F5211" s="122">
        <f>IFERROR(__xludf.DUMMYFUNCTION("""COMPUTED_VALUE"""),-8.0E-4)</f>
        <v>-0.0008</v>
      </c>
    </row>
    <row r="5212">
      <c r="A5212" s="131">
        <f>IFERROR(__xludf.DUMMYFUNCTION("""COMPUTED_VALUE"""),46187.512094907404)</f>
        <v>46187.51209</v>
      </c>
      <c r="B5212" s="126">
        <f>IFERROR(__xludf.DUMMYFUNCTION("""COMPUTED_VALUE"""),46187.0)</f>
        <v>46187</v>
      </c>
      <c r="C5212" s="122" t="str">
        <f>IFERROR(__xludf.DUMMYFUNCTION("""COMPUTED_VALUE"""),"FAST")</f>
        <v>FAST</v>
      </c>
      <c r="D5212" s="122" t="str">
        <f>IFERROR(__xludf.DUMMYFUNCTION("""COMPUTED_VALUE"""),"Flash Logistics")</f>
        <v>Flash Logistics</v>
      </c>
      <c r="E5212" s="122">
        <f>IFERROR(__xludf.DUMMYFUNCTION("""COMPUTED_VALUE"""),104.82)</f>
        <v>104.82</v>
      </c>
      <c r="F5212" s="122">
        <f>IFERROR(__xludf.DUMMYFUNCTION("""COMPUTED_VALUE"""),-5.0E-4)</f>
        <v>-0.0005</v>
      </c>
    </row>
    <row r="5213">
      <c r="A5213" s="131">
        <f>IFERROR(__xludf.DUMMYFUNCTION("""COMPUTED_VALUE"""),46187.512094907404)</f>
        <v>46187.51209</v>
      </c>
      <c r="B5213" s="126">
        <f>IFERROR(__xludf.DUMMYFUNCTION("""COMPUTED_VALUE"""),46187.0)</f>
        <v>46187</v>
      </c>
      <c r="C5213" s="122" t="str">
        <f>IFERROR(__xludf.DUMMYFUNCTION("""COMPUTED_VALUE"""),"SHIP")</f>
        <v>SHIP</v>
      </c>
      <c r="D5213" s="122" t="str">
        <f>IFERROR(__xludf.DUMMYFUNCTION("""COMPUTED_VALUE"""),"Seoul Shipping")</f>
        <v>Seoul Shipping</v>
      </c>
      <c r="E5213" s="122">
        <f>IFERROR(__xludf.DUMMYFUNCTION("""COMPUTED_VALUE"""),128.59)</f>
        <v>128.59</v>
      </c>
      <c r="F5213" s="122">
        <f>IFERROR(__xludf.DUMMYFUNCTION("""COMPUTED_VALUE"""),0.0056)</f>
        <v>0.0056</v>
      </c>
    </row>
    <row r="5214">
      <c r="A5214" s="131">
        <f>IFERROR(__xludf.DUMMYFUNCTION("""COMPUTED_VALUE"""),46187.512094907404)</f>
        <v>46187.51209</v>
      </c>
      <c r="B5214" s="126">
        <f>IFERROR(__xludf.DUMMYFUNCTION("""COMPUTED_VALUE"""),46187.0)</f>
        <v>46187</v>
      </c>
      <c r="C5214" s="122" t="str">
        <f>IFERROR(__xludf.DUMMYFUNCTION("""COMPUTED_VALUE"""),"DRON")</f>
        <v>DRON</v>
      </c>
      <c r="D5214" s="122" t="str">
        <f>IFERROR(__xludf.DUMMYFUNCTION("""COMPUTED_VALUE"""),"DroneDrop")</f>
        <v>DroneDrop</v>
      </c>
      <c r="E5214" s="122">
        <f>IFERROR(__xludf.DUMMYFUNCTION("""COMPUTED_VALUE"""),127.61)</f>
        <v>127.61</v>
      </c>
      <c r="F5214" s="122">
        <f>IFERROR(__xludf.DUMMYFUNCTION("""COMPUTED_VALUE"""),-0.0095)</f>
        <v>-0.0095</v>
      </c>
    </row>
    <row r="5215">
      <c r="A5215" s="131">
        <f>IFERROR(__xludf.DUMMYFUNCTION("""COMPUTED_VALUE"""),46187.512094907404)</f>
        <v>46187.51209</v>
      </c>
      <c r="B5215" s="126">
        <f>IFERROR(__xludf.DUMMYFUNCTION("""COMPUTED_VALUE"""),46187.0)</f>
        <v>46187</v>
      </c>
      <c r="C5215" s="122" t="str">
        <f>IFERROR(__xludf.DUMMYFUNCTION("""COMPUTED_VALUE"""),"RIDE")</f>
        <v>RIDE</v>
      </c>
      <c r="D5215" s="122" t="str">
        <f>IFERROR(__xludf.DUMMYFUNCTION("""COMPUTED_VALUE"""),"QuickRide")</f>
        <v>QuickRide</v>
      </c>
      <c r="E5215" s="122">
        <f>IFERROR(__xludf.DUMMYFUNCTION("""COMPUTED_VALUE"""),97.19)</f>
        <v>97.19</v>
      </c>
      <c r="F5215" s="122">
        <f>IFERROR(__xludf.DUMMYFUNCTION("""COMPUTED_VALUE"""),0.0031)</f>
        <v>0.0031</v>
      </c>
    </row>
    <row r="5216">
      <c r="A5216" s="131">
        <f>IFERROR(__xludf.DUMMYFUNCTION("""COMPUTED_VALUE"""),46187.512094907404)</f>
        <v>46187.51209</v>
      </c>
      <c r="B5216" s="126">
        <f>IFERROR(__xludf.DUMMYFUNCTION("""COMPUTED_VALUE"""),46187.0)</f>
        <v>46187</v>
      </c>
      <c r="C5216" s="122" t="str">
        <f>IFERROR(__xludf.DUMMYFUNCTION("""COMPUTED_VALUE"""),"RAIL")</f>
        <v>RAIL</v>
      </c>
      <c r="D5216" s="122" t="str">
        <f>IFERROR(__xludf.DUMMYFUNCTION("""COMPUTED_VALUE"""),"MetroRail Corp")</f>
        <v>MetroRail Corp</v>
      </c>
      <c r="E5216" s="122">
        <f>IFERROR(__xludf.DUMMYFUNCTION("""COMPUTED_VALUE"""),134.71)</f>
        <v>134.71</v>
      </c>
      <c r="F5216" s="122">
        <f>IFERROR(__xludf.DUMMYFUNCTION("""COMPUTED_VALUE"""),0.0025)</f>
        <v>0.0025</v>
      </c>
    </row>
    <row r="5217">
      <c r="A5217" s="131">
        <f>IFERROR(__xludf.DUMMYFUNCTION("""COMPUTED_VALUE"""),46187.512094907404)</f>
        <v>46187.51209</v>
      </c>
      <c r="B5217" s="126">
        <f>IFERROR(__xludf.DUMMYFUNCTION("""COMPUTED_VALUE"""),46187.0)</f>
        <v>46187</v>
      </c>
      <c r="C5217" s="122" t="str">
        <f>IFERROR(__xludf.DUMMYFUNCTION("""COMPUTED_VALUE"""),"MEDX")</f>
        <v>MEDX</v>
      </c>
      <c r="D5217" s="122" t="str">
        <f>IFERROR(__xludf.DUMMYFUNCTION("""COMPUTED_VALUE"""),"MediCore")</f>
        <v>MediCore</v>
      </c>
      <c r="E5217" s="122">
        <f>IFERROR(__xludf.DUMMYFUNCTION("""COMPUTED_VALUE"""),137.45)</f>
        <v>137.45</v>
      </c>
      <c r="F5217" s="122">
        <f>IFERROR(__xludf.DUMMYFUNCTION("""COMPUTED_VALUE"""),0.0031)</f>
        <v>0.0031</v>
      </c>
    </row>
    <row r="5218">
      <c r="A5218" s="131">
        <f>IFERROR(__xludf.DUMMYFUNCTION("""COMPUTED_VALUE"""),46187.512094907404)</f>
        <v>46187.51209</v>
      </c>
      <c r="B5218" s="126">
        <f>IFERROR(__xludf.DUMMYFUNCTION("""COMPUTED_VALUE"""),46187.0)</f>
        <v>46187</v>
      </c>
      <c r="C5218" s="122" t="str">
        <f>IFERROR(__xludf.DUMMYFUNCTION("""COMPUTED_VALUE"""),"GYMX")</f>
        <v>GYMX</v>
      </c>
      <c r="D5218" s="122" t="str">
        <f>IFERROR(__xludf.DUMMYFUNCTION("""COMPUTED_VALUE"""),"GymX Fitness")</f>
        <v>GymX Fitness</v>
      </c>
      <c r="E5218" s="122">
        <f>IFERROR(__xludf.DUMMYFUNCTION("""COMPUTED_VALUE"""),87.23)</f>
        <v>87.23</v>
      </c>
      <c r="F5218" s="122">
        <f>IFERROR(__xludf.DUMMYFUNCTION("""COMPUTED_VALUE"""),-0.004)</f>
        <v>-0.004</v>
      </c>
    </row>
    <row r="5219">
      <c r="A5219" s="131">
        <f>IFERROR(__xludf.DUMMYFUNCTION("""COMPUTED_VALUE"""),46187.512094907404)</f>
        <v>46187.51209</v>
      </c>
      <c r="B5219" s="126">
        <f>IFERROR(__xludf.DUMMYFUNCTION("""COMPUTED_VALUE"""),46187.0)</f>
        <v>46187</v>
      </c>
      <c r="C5219" s="122" t="str">
        <f>IFERROR(__xludf.DUMMYFUNCTION("""COMPUTED_VALUE"""),"VITA")</f>
        <v>VITA</v>
      </c>
      <c r="D5219" s="122" t="str">
        <f>IFERROR(__xludf.DUMMYFUNCTION("""COMPUTED_VALUE"""),"VitaPlus")</f>
        <v>VitaPlus</v>
      </c>
      <c r="E5219" s="122">
        <f>IFERROR(__xludf.DUMMYFUNCTION("""COMPUTED_VALUE"""),72.33)</f>
        <v>72.33</v>
      </c>
      <c r="F5219" s="122">
        <f>IFERROR(__xludf.DUMMYFUNCTION("""COMPUTED_VALUE"""),0.0021)</f>
        <v>0.0021</v>
      </c>
    </row>
    <row r="5220">
      <c r="A5220" s="131">
        <f>IFERROR(__xludf.DUMMYFUNCTION("""COMPUTED_VALUE"""),46187.512094907404)</f>
        <v>46187.51209</v>
      </c>
      <c r="B5220" s="126">
        <f>IFERROR(__xludf.DUMMYFUNCTION("""COMPUTED_VALUE"""),46187.0)</f>
        <v>46187</v>
      </c>
      <c r="C5220" s="122" t="str">
        <f>IFERROR(__xludf.DUMMYFUNCTION("""COMPUTED_VALUE"""),"CARE")</f>
        <v>CARE</v>
      </c>
      <c r="D5220" s="122" t="str">
        <f>IFERROR(__xludf.DUMMYFUNCTION("""COMPUTED_VALUE"""),"CareCloud")</f>
        <v>CareCloud</v>
      </c>
      <c r="E5220" s="122">
        <f>IFERROR(__xludf.DUMMYFUNCTION("""COMPUTED_VALUE"""),179.74)</f>
        <v>179.74</v>
      </c>
      <c r="F5220" s="122">
        <f>IFERROR(__xludf.DUMMYFUNCTION("""COMPUTED_VALUE"""),0.004)</f>
        <v>0.004</v>
      </c>
    </row>
    <row r="5221">
      <c r="A5221" s="131">
        <f>IFERROR(__xludf.DUMMYFUNCTION("""COMPUTED_VALUE"""),46187.512094907404)</f>
        <v>46187.51209</v>
      </c>
      <c r="B5221" s="126">
        <f>IFERROR(__xludf.DUMMYFUNCTION("""COMPUTED_VALUE"""),46187.0)</f>
        <v>46187</v>
      </c>
      <c r="C5221" s="122" t="str">
        <f>IFERROR(__xludf.DUMMYFUNCTION("""COMPUTED_VALUE"""),"DENT")</f>
        <v>DENT</v>
      </c>
      <c r="D5221" s="122" t="str">
        <f>IFERROR(__xludf.DUMMYFUNCTION("""COMPUTED_VALUE"""),"SmileWorks")</f>
        <v>SmileWorks</v>
      </c>
      <c r="E5221" s="122">
        <f>IFERROR(__xludf.DUMMYFUNCTION("""COMPUTED_VALUE"""),89.05)</f>
        <v>89.05</v>
      </c>
      <c r="F5221" s="122">
        <f>IFERROR(__xludf.DUMMYFUNCTION("""COMPUTED_VALUE"""),-4.0E-4)</f>
        <v>-0.0004</v>
      </c>
    </row>
    <row r="5222">
      <c r="A5222" s="131">
        <f>IFERROR(__xludf.DUMMYFUNCTION("""COMPUTED_VALUE"""),46187.512094907404)</f>
        <v>46187.51209</v>
      </c>
      <c r="B5222" s="126">
        <f>IFERROR(__xludf.DUMMYFUNCTION("""COMPUTED_VALUE"""),46187.0)</f>
        <v>46187</v>
      </c>
      <c r="C5222" s="122" t="str">
        <f>IFERROR(__xludf.DUMMYFUNCTION("""COMPUTED_VALUE"""),"EDUX")</f>
        <v>EDUX</v>
      </c>
      <c r="D5222" s="122" t="str">
        <f>IFERROR(__xludf.DUMMYFUNCTION("""COMPUTED_VALUE"""),"EduMax Learning")</f>
        <v>EduMax Learning</v>
      </c>
      <c r="E5222" s="122">
        <f>IFERROR(__xludf.DUMMYFUNCTION("""COMPUTED_VALUE"""),139.96)</f>
        <v>139.96</v>
      </c>
      <c r="F5222" s="122">
        <f>IFERROR(__xludf.DUMMYFUNCTION("""COMPUTED_VALUE"""),0.0035)</f>
        <v>0.0035</v>
      </c>
    </row>
    <row r="5223">
      <c r="A5223" s="131">
        <f>IFERROR(__xludf.DUMMYFUNCTION("""COMPUTED_VALUE"""),46187.512094907404)</f>
        <v>46187.51209</v>
      </c>
      <c r="B5223" s="126">
        <f>IFERROR(__xludf.DUMMYFUNCTION("""COMPUTED_VALUE"""),46187.0)</f>
        <v>46187</v>
      </c>
      <c r="C5223" s="122" t="str">
        <f>IFERROR(__xludf.DUMMYFUNCTION("""COMPUTED_VALUE"""),"BOOK")</f>
        <v>BOOK</v>
      </c>
      <c r="D5223" s="122" t="str">
        <f>IFERROR(__xludf.DUMMYFUNCTION("""COMPUTED_VALUE"""),"BookBridge")</f>
        <v>BookBridge</v>
      </c>
      <c r="E5223" s="122">
        <f>IFERROR(__xludf.DUMMYFUNCTION("""COMPUTED_VALUE"""),119.83)</f>
        <v>119.83</v>
      </c>
      <c r="F5223" s="122">
        <f>IFERROR(__xludf.DUMMYFUNCTION("""COMPUTED_VALUE"""),9.0E-4)</f>
        <v>0.0009</v>
      </c>
    </row>
    <row r="5224">
      <c r="A5224" s="131">
        <f>IFERROR(__xludf.DUMMYFUNCTION("""COMPUTED_VALUE"""),46187.512094907404)</f>
        <v>46187.51209</v>
      </c>
      <c r="B5224" s="126">
        <f>IFERROR(__xludf.DUMMYFUNCTION("""COMPUTED_VALUE"""),46187.0)</f>
        <v>46187</v>
      </c>
      <c r="C5224" s="122" t="str">
        <f>IFERROR(__xludf.DUMMYFUNCTION("""COMPUTED_VALUE"""),"TUTR")</f>
        <v>TUTR</v>
      </c>
      <c r="D5224" s="122" t="str">
        <f>IFERROR(__xludf.DUMMYFUNCTION("""COMPUTED_VALUE"""),"TutorTown")</f>
        <v>TutorTown</v>
      </c>
      <c r="E5224" s="122">
        <f>IFERROR(__xludf.DUMMYFUNCTION("""COMPUTED_VALUE"""),90.65)</f>
        <v>90.65</v>
      </c>
      <c r="F5224" s="122">
        <f>IFERROR(__xludf.DUMMYFUNCTION("""COMPUTED_VALUE"""),0.0043)</f>
        <v>0.0043</v>
      </c>
    </row>
    <row r="5225">
      <c r="A5225" s="131">
        <f>IFERROR(__xludf.DUMMYFUNCTION("""COMPUTED_VALUE"""),46187.512094907404)</f>
        <v>46187.51209</v>
      </c>
      <c r="B5225" s="126">
        <f>IFERROR(__xludf.DUMMYFUNCTION("""COMPUTED_VALUE"""),46187.0)</f>
        <v>46187</v>
      </c>
      <c r="C5225" s="122" t="str">
        <f>IFERROR(__xludf.DUMMYFUNCTION("""COMPUTED_VALUE"""),"LANG")</f>
        <v>LANG</v>
      </c>
      <c r="D5225" s="122" t="str">
        <f>IFERROR(__xludf.DUMMYFUNCTION("""COMPUTED_VALUE"""),"LinguaLab")</f>
        <v>LinguaLab</v>
      </c>
      <c r="E5225" s="122">
        <f>IFERROR(__xludf.DUMMYFUNCTION("""COMPUTED_VALUE"""),99.65)</f>
        <v>99.65</v>
      </c>
      <c r="F5225" s="122">
        <f>IFERROR(__xludf.DUMMYFUNCTION("""COMPUTED_VALUE"""),0.0052)</f>
        <v>0.0052</v>
      </c>
    </row>
    <row r="5226">
      <c r="A5226" s="131">
        <f>IFERROR(__xludf.DUMMYFUNCTION("""COMPUTED_VALUE"""),46187.512094907404)</f>
        <v>46187.51209</v>
      </c>
      <c r="B5226" s="126">
        <f>IFERROR(__xludf.DUMMYFUNCTION("""COMPUTED_VALUE"""),46187.0)</f>
        <v>46187</v>
      </c>
      <c r="C5226" s="122" t="str">
        <f>IFERROR(__xludf.DUMMYFUNCTION("""COMPUTED_VALUE"""),"TEST")</f>
        <v>TEST</v>
      </c>
      <c r="D5226" s="122" t="str">
        <f>IFERROR(__xludf.DUMMYFUNCTION("""COMPUTED_VALUE"""),"TestPrep Pro")</f>
        <v>TestPrep Pro</v>
      </c>
      <c r="E5226" s="122">
        <f>IFERROR(__xludf.DUMMYFUNCTION("""COMPUTED_VALUE"""),94.56)</f>
        <v>94.56</v>
      </c>
      <c r="F5226" s="122">
        <f>IFERROR(__xludf.DUMMYFUNCTION("""COMPUTED_VALUE"""),0.0027)</f>
        <v>0.0027</v>
      </c>
    </row>
    <row r="5227">
      <c r="A5227" s="131">
        <f>IFERROR(__xludf.DUMMYFUNCTION("""COMPUTED_VALUE"""),46187.512094907404)</f>
        <v>46187.51209</v>
      </c>
      <c r="B5227" s="126">
        <f>IFERROR(__xludf.DUMMYFUNCTION("""COMPUTED_VALUE"""),46187.0)</f>
        <v>46187</v>
      </c>
      <c r="C5227" s="122" t="str">
        <f>IFERROR(__xludf.DUMMYFUNCTION("""COMPUTED_VALUE"""),"MOVI")</f>
        <v>MOVI</v>
      </c>
      <c r="D5227" s="122" t="str">
        <f>IFERROR(__xludf.DUMMYFUNCTION("""COMPUTED_VALUE"""),"MovieBox")</f>
        <v>MovieBox</v>
      </c>
      <c r="E5227" s="122">
        <f>IFERROR(__xludf.DUMMYFUNCTION("""COMPUTED_VALUE"""),81.57)</f>
        <v>81.57</v>
      </c>
      <c r="F5227" s="122">
        <f>IFERROR(__xludf.DUMMYFUNCTION("""COMPUTED_VALUE"""),-0.0023)</f>
        <v>-0.0023</v>
      </c>
    </row>
    <row r="5228">
      <c r="A5228" s="131">
        <f>IFERROR(__xludf.DUMMYFUNCTION("""COMPUTED_VALUE"""),46187.512094907404)</f>
        <v>46187.51209</v>
      </c>
      <c r="B5228" s="126">
        <f>IFERROR(__xludf.DUMMYFUNCTION("""COMPUTED_VALUE"""),46187.0)</f>
        <v>46187</v>
      </c>
      <c r="C5228" s="122" t="str">
        <f>IFERROR(__xludf.DUMMYFUNCTION("""COMPUTED_VALUE"""),"MUSC")</f>
        <v>MUSC</v>
      </c>
      <c r="D5228" s="122" t="str">
        <f>IFERROR(__xludf.DUMMYFUNCTION("""COMPUTED_VALUE"""),"MusicWave")</f>
        <v>MusicWave</v>
      </c>
      <c r="E5228" s="122">
        <f>IFERROR(__xludf.DUMMYFUNCTION("""COMPUTED_VALUE"""),99.47)</f>
        <v>99.47</v>
      </c>
      <c r="F5228" s="122">
        <f>IFERROR(__xludf.DUMMYFUNCTION("""COMPUTED_VALUE"""),-0.0023)</f>
        <v>-0.0023</v>
      </c>
    </row>
    <row r="5229">
      <c r="A5229" s="131">
        <f>IFERROR(__xludf.DUMMYFUNCTION("""COMPUTED_VALUE"""),46187.512094907404)</f>
        <v>46187.51209</v>
      </c>
      <c r="B5229" s="126">
        <f>IFERROR(__xludf.DUMMYFUNCTION("""COMPUTED_VALUE"""),46187.0)</f>
        <v>46187</v>
      </c>
      <c r="C5229" s="122" t="str">
        <f>IFERROR(__xludf.DUMMYFUNCTION("""COMPUTED_VALUE"""),"IDOL")</f>
        <v>IDOL</v>
      </c>
      <c r="D5229" s="122" t="str">
        <f>IFERROR(__xludf.DUMMYFUNCTION("""COMPUTED_VALUE"""),"Idol Agency")</f>
        <v>Idol Agency</v>
      </c>
      <c r="E5229" s="122">
        <f>IFERROR(__xludf.DUMMYFUNCTION("""COMPUTED_VALUE"""),191.13)</f>
        <v>191.13</v>
      </c>
      <c r="F5229" s="122">
        <f>IFERROR(__xludf.DUMMYFUNCTION("""COMPUTED_VALUE"""),0.0092)</f>
        <v>0.0092</v>
      </c>
    </row>
    <row r="5230">
      <c r="A5230" s="131">
        <f>IFERROR(__xludf.DUMMYFUNCTION("""COMPUTED_VALUE"""),46187.512094907404)</f>
        <v>46187.51209</v>
      </c>
      <c r="B5230" s="126">
        <f>IFERROR(__xludf.DUMMYFUNCTION("""COMPUTED_VALUE"""),46187.0)</f>
        <v>46187</v>
      </c>
      <c r="C5230" s="122" t="str">
        <f>IFERROR(__xludf.DUMMYFUNCTION("""COMPUTED_VALUE"""),"MEME")</f>
        <v>MEME</v>
      </c>
      <c r="D5230" s="122" t="str">
        <f>IFERROR(__xludf.DUMMYFUNCTION("""COMPUTED_VALUE"""),"Meme Media")</f>
        <v>Meme Media</v>
      </c>
      <c r="E5230" s="122">
        <f>IFERROR(__xludf.DUMMYFUNCTION("""COMPUTED_VALUE"""),72.08)</f>
        <v>72.08</v>
      </c>
      <c r="F5230" s="122">
        <f>IFERROR(__xludf.DUMMYFUNCTION("""COMPUTED_VALUE"""),0.0038)</f>
        <v>0.0038</v>
      </c>
    </row>
    <row r="5231">
      <c r="A5231" s="131">
        <f>IFERROR(__xludf.DUMMYFUNCTION("""COMPUTED_VALUE"""),46187.512094907404)</f>
        <v>46187.51209</v>
      </c>
      <c r="B5231" s="126">
        <f>IFERROR(__xludf.DUMMYFUNCTION("""COMPUTED_VALUE"""),46187.0)</f>
        <v>46187</v>
      </c>
      <c r="C5231" s="122" t="str">
        <f>IFERROR(__xludf.DUMMYFUNCTION("""COMPUTED_VALUE"""),"STRM")</f>
        <v>STRM</v>
      </c>
      <c r="D5231" s="122" t="str">
        <f>IFERROR(__xludf.DUMMYFUNCTION("""COMPUTED_VALUE"""),"Streamly")</f>
        <v>Streamly</v>
      </c>
      <c r="E5231" s="122">
        <f>IFERROR(__xludf.DUMMYFUNCTION("""COMPUTED_VALUE"""),140.48)</f>
        <v>140.48</v>
      </c>
      <c r="F5231" s="122">
        <f>IFERROR(__xludf.DUMMYFUNCTION("""COMPUTED_VALUE"""),0.005)</f>
        <v>0.005</v>
      </c>
    </row>
    <row r="5232">
      <c r="A5232" s="131">
        <f>IFERROR(__xludf.DUMMYFUNCTION("""COMPUTED_VALUE"""),46187.512094907404)</f>
        <v>46187.51209</v>
      </c>
      <c r="B5232" s="126">
        <f>IFERROR(__xludf.DUMMYFUNCTION("""COMPUTED_VALUE"""),46187.0)</f>
        <v>46187</v>
      </c>
      <c r="C5232" s="122" t="str">
        <f>IFERROR(__xludf.DUMMYFUNCTION("""COMPUTED_VALUE"""),"FARM")</f>
        <v>FARM</v>
      </c>
      <c r="D5232" s="122" t="str">
        <f>IFERROR(__xludf.DUMMYFUNCTION("""COMPUTED_VALUE"""),"Future Farms")</f>
        <v>Future Farms</v>
      </c>
      <c r="E5232" s="122">
        <f>IFERROR(__xludf.DUMMYFUNCTION("""COMPUTED_VALUE"""),90.82)</f>
        <v>90.82</v>
      </c>
      <c r="F5232" s="122">
        <f>IFERROR(__xludf.DUMMYFUNCTION("""COMPUTED_VALUE"""),0.0022)</f>
        <v>0.0022</v>
      </c>
    </row>
    <row r="5233">
      <c r="A5233" s="131">
        <f>IFERROR(__xludf.DUMMYFUNCTION("""COMPUTED_VALUE"""),46187.512094907404)</f>
        <v>46187.51209</v>
      </c>
      <c r="B5233" s="126">
        <f>IFERROR(__xludf.DUMMYFUNCTION("""COMPUTED_VALUE"""),46187.0)</f>
        <v>46187</v>
      </c>
      <c r="C5233" s="122" t="str">
        <f>IFERROR(__xludf.DUMMYFUNCTION("""COMPUTED_VALUE"""),"MEAT")</f>
        <v>MEAT</v>
      </c>
      <c r="D5233" s="122" t="str">
        <f>IFERROR(__xludf.DUMMYFUNCTION("""COMPUTED_VALUE"""),"MeatWorks")</f>
        <v>MeatWorks</v>
      </c>
      <c r="E5233" s="122">
        <f>IFERROR(__xludf.DUMMYFUNCTION("""COMPUTED_VALUE"""),103.84)</f>
        <v>103.84</v>
      </c>
      <c r="F5233" s="122">
        <f>IFERROR(__xludf.DUMMYFUNCTION("""COMPUTED_VALUE"""),-0.0029)</f>
        <v>-0.0029</v>
      </c>
    </row>
    <row r="5234">
      <c r="A5234" s="131">
        <f>IFERROR(__xludf.DUMMYFUNCTION("""COMPUTED_VALUE"""),46187.512094907404)</f>
        <v>46187.51209</v>
      </c>
      <c r="B5234" s="126">
        <f>IFERROR(__xludf.DUMMYFUNCTION("""COMPUTED_VALUE"""),46187.0)</f>
        <v>46187</v>
      </c>
      <c r="C5234" s="122" t="str">
        <f>IFERROR(__xludf.DUMMYFUNCTION("""COMPUTED_VALUE"""),"VEGI")</f>
        <v>VEGI</v>
      </c>
      <c r="D5234" s="122" t="str">
        <f>IFERROR(__xludf.DUMMYFUNCTION("""COMPUTED_VALUE"""),"Green Basket")</f>
        <v>Green Basket</v>
      </c>
      <c r="E5234" s="122">
        <f>IFERROR(__xludf.DUMMYFUNCTION("""COMPUTED_VALUE"""),78.83)</f>
        <v>78.83</v>
      </c>
      <c r="F5234" s="122">
        <f>IFERROR(__xludf.DUMMYFUNCTION("""COMPUTED_VALUE"""),-0.0018)</f>
        <v>-0.0018</v>
      </c>
    </row>
    <row r="5235">
      <c r="A5235" s="131">
        <f>IFERROR(__xludf.DUMMYFUNCTION("""COMPUTED_VALUE"""),46187.512094907404)</f>
        <v>46187.51209</v>
      </c>
      <c r="B5235" s="126">
        <f>IFERROR(__xludf.DUMMYFUNCTION("""COMPUTED_VALUE"""),46187.0)</f>
        <v>46187</v>
      </c>
      <c r="C5235" s="122" t="str">
        <f>IFERROR(__xludf.DUMMYFUNCTION("""COMPUTED_VALUE"""),"CAFE")</f>
        <v>CAFE</v>
      </c>
      <c r="D5235" s="122" t="str">
        <f>IFERROR(__xludf.DUMMYFUNCTION("""COMPUTED_VALUE"""),"Cafe Cloud")</f>
        <v>Cafe Cloud</v>
      </c>
      <c r="E5235" s="122">
        <f>IFERROR(__xludf.DUMMYFUNCTION("""COMPUTED_VALUE"""),100.83)</f>
        <v>100.83</v>
      </c>
      <c r="F5235" s="122">
        <f>IFERROR(__xludf.DUMMYFUNCTION("""COMPUTED_VALUE"""),0.0012)</f>
        <v>0.0012</v>
      </c>
    </row>
    <row r="5236">
      <c r="A5236" s="131">
        <f>IFERROR(__xludf.DUMMYFUNCTION("""COMPUTED_VALUE"""),46187.512094907404)</f>
        <v>46187.51209</v>
      </c>
      <c r="B5236" s="126">
        <f>IFERROR(__xludf.DUMMYFUNCTION("""COMPUTED_VALUE"""),46187.0)</f>
        <v>46187</v>
      </c>
      <c r="C5236" s="122" t="str">
        <f>IFERROR(__xludf.DUMMYFUNCTION("""COMPUTED_VALUE"""),"BAKE")</f>
        <v>BAKE</v>
      </c>
      <c r="D5236" s="122" t="str">
        <f>IFERROR(__xludf.DUMMYFUNCTION("""COMPUTED_VALUE"""),"BakeHouse")</f>
        <v>BakeHouse</v>
      </c>
      <c r="E5236" s="122">
        <f>IFERROR(__xludf.DUMMYFUNCTION("""COMPUTED_VALUE"""),102.18)</f>
        <v>102.18</v>
      </c>
      <c r="F5236" s="122">
        <f>IFERROR(__xludf.DUMMYFUNCTION("""COMPUTED_VALUE"""),0.0033)</f>
        <v>0.0033</v>
      </c>
    </row>
    <row r="5237">
      <c r="A5237" s="131">
        <f>IFERROR(__xludf.DUMMYFUNCTION("""COMPUTED_VALUE"""),46187.512094907404)</f>
        <v>46187.51209</v>
      </c>
      <c r="B5237" s="126">
        <f>IFERROR(__xludf.DUMMYFUNCTION("""COMPUTED_VALUE"""),46187.0)</f>
        <v>46187</v>
      </c>
      <c r="C5237" s="122" t="str">
        <f>IFERROR(__xludf.DUMMYFUNCTION("""COMPUTED_VALUE"""),"OILX")</f>
        <v>OILX</v>
      </c>
      <c r="D5237" s="122" t="str">
        <f>IFERROR(__xludf.DUMMYFUNCTION("""COMPUTED_VALUE"""),"OilMax Energy")</f>
        <v>OilMax Energy</v>
      </c>
      <c r="E5237" s="122">
        <f>IFERROR(__xludf.DUMMYFUNCTION("""COMPUTED_VALUE"""),126.67)</f>
        <v>126.67</v>
      </c>
      <c r="F5237" s="122">
        <f>IFERROR(__xludf.DUMMYFUNCTION("""COMPUTED_VALUE"""),-0.0058)</f>
        <v>-0.0058</v>
      </c>
    </row>
    <row r="5238">
      <c r="A5238" s="131">
        <f>IFERROR(__xludf.DUMMYFUNCTION("""COMPUTED_VALUE"""),46187.512094907404)</f>
        <v>46187.51209</v>
      </c>
      <c r="B5238" s="126">
        <f>IFERROR(__xludf.DUMMYFUNCTION("""COMPUTED_VALUE"""),46187.0)</f>
        <v>46187</v>
      </c>
      <c r="C5238" s="122" t="str">
        <f>IFERROR(__xludf.DUMMYFUNCTION("""COMPUTED_VALUE"""),"SOLR")</f>
        <v>SOLR</v>
      </c>
      <c r="D5238" s="122" t="str">
        <f>IFERROR(__xludf.DUMMYFUNCTION("""COMPUTED_VALUE"""),"SolarSpark")</f>
        <v>SolarSpark</v>
      </c>
      <c r="E5238" s="122">
        <f>IFERROR(__xludf.DUMMYFUNCTION("""COMPUTED_VALUE"""),98.54)</f>
        <v>98.54</v>
      </c>
      <c r="F5238" s="122">
        <f>IFERROR(__xludf.DUMMYFUNCTION("""COMPUTED_VALUE"""),0.0099)</f>
        <v>0.0099</v>
      </c>
    </row>
    <row r="5239">
      <c r="A5239" s="131">
        <f>IFERROR(__xludf.DUMMYFUNCTION("""COMPUTED_VALUE"""),46187.512094907404)</f>
        <v>46187.51209</v>
      </c>
      <c r="B5239" s="126">
        <f>IFERROR(__xludf.DUMMYFUNCTION("""COMPUTED_VALUE"""),46187.0)</f>
        <v>46187</v>
      </c>
      <c r="C5239" s="122" t="str">
        <f>IFERROR(__xludf.DUMMYFUNCTION("""COMPUTED_VALUE"""),"BATT")</f>
        <v>BATT</v>
      </c>
      <c r="D5239" s="122" t="str">
        <f>IFERROR(__xludf.DUMMYFUNCTION("""COMPUTED_VALUE"""),"BatteryBox")</f>
        <v>BatteryBox</v>
      </c>
      <c r="E5239" s="122">
        <f>IFERROR(__xludf.DUMMYFUNCTION("""COMPUTED_VALUE"""),120.03)</f>
        <v>120.03</v>
      </c>
      <c r="F5239" s="122">
        <f>IFERROR(__xludf.DUMMYFUNCTION("""COMPUTED_VALUE"""),0.0078)</f>
        <v>0.0078</v>
      </c>
    </row>
    <row r="5240">
      <c r="A5240" s="131">
        <f>IFERROR(__xludf.DUMMYFUNCTION("""COMPUTED_VALUE"""),46187.512094907404)</f>
        <v>46187.51209</v>
      </c>
      <c r="B5240" s="126">
        <f>IFERROR(__xludf.DUMMYFUNCTION("""COMPUTED_VALUE"""),46187.0)</f>
        <v>46187</v>
      </c>
      <c r="C5240" s="122" t="str">
        <f>IFERROR(__xludf.DUMMYFUNCTION("""COMPUTED_VALUE"""),"WIND")</f>
        <v>WIND</v>
      </c>
      <c r="D5240" s="122" t="str">
        <f>IFERROR(__xludf.DUMMYFUNCTION("""COMPUTED_VALUE"""),"WindWorks")</f>
        <v>WindWorks</v>
      </c>
      <c r="E5240" s="122">
        <f>IFERROR(__xludf.DUMMYFUNCTION("""COMPUTED_VALUE"""),87.37)</f>
        <v>87.37</v>
      </c>
      <c r="F5240" s="122">
        <f>IFERROR(__xludf.DUMMYFUNCTION("""COMPUTED_VALUE"""),0.0067)</f>
        <v>0.0067</v>
      </c>
    </row>
    <row r="5241">
      <c r="A5241" s="131">
        <f>IFERROR(__xludf.DUMMYFUNCTION("""COMPUTED_VALUE"""),46187.512094907404)</f>
        <v>46187.51209</v>
      </c>
      <c r="B5241" s="126">
        <f>IFERROR(__xludf.DUMMYFUNCTION("""COMPUTED_VALUE"""),46187.0)</f>
        <v>46187</v>
      </c>
      <c r="C5241" s="122" t="str">
        <f>IFERROR(__xludf.DUMMYFUNCTION("""COMPUTED_VALUE"""),"GRID")</f>
        <v>GRID</v>
      </c>
      <c r="D5241" s="122" t="str">
        <f>IFERROR(__xludf.DUMMYFUNCTION("""COMPUTED_VALUE"""),"GridPower")</f>
        <v>GridPower</v>
      </c>
      <c r="E5241" s="122">
        <f>IFERROR(__xludf.DUMMYFUNCTION("""COMPUTED_VALUE"""),136.51)</f>
        <v>136.51</v>
      </c>
      <c r="F5241" s="122">
        <f>IFERROR(__xludf.DUMMYFUNCTION("""COMPUTED_VALUE"""),0.0013)</f>
        <v>0.0013</v>
      </c>
    </row>
    <row r="5242">
      <c r="A5242" s="131">
        <f>IFERROR(__xludf.DUMMYFUNCTION("""COMPUTED_VALUE"""),46187.512094907404)</f>
        <v>46187.51209</v>
      </c>
      <c r="B5242" s="126">
        <f>IFERROR(__xludf.DUMMYFUNCTION("""COMPUTED_VALUE"""),46187.0)</f>
        <v>46187</v>
      </c>
      <c r="C5242" s="122" t="str">
        <f>IFERROR(__xludf.DUMMYFUNCTION("""COMPUTED_VALUE"""),"HOME")</f>
        <v>HOME</v>
      </c>
      <c r="D5242" s="122" t="str">
        <f>IFERROR(__xludf.DUMMYFUNCTION("""COMPUTED_VALUE"""),"HomeHub")</f>
        <v>HomeHub</v>
      </c>
      <c r="E5242" s="122">
        <f>IFERROR(__xludf.DUMMYFUNCTION("""COMPUTED_VALUE"""),152.12)</f>
        <v>152.12</v>
      </c>
      <c r="F5242" s="122">
        <f>IFERROR(__xludf.DUMMYFUNCTION("""COMPUTED_VALUE"""),-0.0025)</f>
        <v>-0.0025</v>
      </c>
    </row>
    <row r="5243">
      <c r="A5243" s="131">
        <f>IFERROR(__xludf.DUMMYFUNCTION("""COMPUTED_VALUE"""),46187.512094907404)</f>
        <v>46187.51209</v>
      </c>
      <c r="B5243" s="126">
        <f>IFERROR(__xludf.DUMMYFUNCTION("""COMPUTED_VALUE"""),46187.0)</f>
        <v>46187</v>
      </c>
      <c r="C5243" s="122" t="str">
        <f>IFERROR(__xludf.DUMMYFUNCTION("""COMPUTED_VALUE"""),"RENT")</f>
        <v>RENT</v>
      </c>
      <c r="D5243" s="122" t="str">
        <f>IFERROR(__xludf.DUMMYFUNCTION("""COMPUTED_VALUE"""),"RentRight")</f>
        <v>RentRight</v>
      </c>
      <c r="E5243" s="122">
        <f>IFERROR(__xludf.DUMMYFUNCTION("""COMPUTED_VALUE"""),91.13)</f>
        <v>91.13</v>
      </c>
      <c r="F5243" s="122">
        <f>IFERROR(__xludf.DUMMYFUNCTION("""COMPUTED_VALUE"""),-5.0E-4)</f>
        <v>-0.0005</v>
      </c>
    </row>
    <row r="5244">
      <c r="A5244" s="131">
        <f>IFERROR(__xludf.DUMMYFUNCTION("""COMPUTED_VALUE"""),46187.512094907404)</f>
        <v>46187.51209</v>
      </c>
      <c r="B5244" s="126">
        <f>IFERROR(__xludf.DUMMYFUNCTION("""COMPUTED_VALUE"""),46187.0)</f>
        <v>46187</v>
      </c>
      <c r="C5244" s="122" t="str">
        <f>IFERROR(__xludf.DUMMYFUNCTION("""COMPUTED_VALUE"""),"MALL")</f>
        <v>MALL</v>
      </c>
      <c r="D5244" s="122" t="str">
        <f>IFERROR(__xludf.DUMMYFUNCTION("""COMPUTED_VALUE"""),"MegaMall")</f>
        <v>MegaMall</v>
      </c>
      <c r="E5244" s="122">
        <f>IFERROR(__xludf.DUMMYFUNCTION("""COMPUTED_VALUE"""),100.79)</f>
        <v>100.79</v>
      </c>
      <c r="F5244" s="122">
        <f>IFERROR(__xludf.DUMMYFUNCTION("""COMPUTED_VALUE"""),-7.0E-4)</f>
        <v>-0.0007</v>
      </c>
    </row>
    <row r="5245">
      <c r="A5245" s="131">
        <f>IFERROR(__xludf.DUMMYFUNCTION("""COMPUTED_VALUE"""),46187.512094907404)</f>
        <v>46187.51209</v>
      </c>
      <c r="B5245" s="126">
        <f>IFERROR(__xludf.DUMMYFUNCTION("""COMPUTED_VALUE"""),46187.0)</f>
        <v>46187</v>
      </c>
      <c r="C5245" s="122" t="str">
        <f>IFERROR(__xludf.DUMMYFUNCTION("""COMPUTED_VALUE"""),"HOTL")</f>
        <v>HOTL</v>
      </c>
      <c r="D5245" s="122" t="str">
        <f>IFERROR(__xludf.DUMMYFUNCTION("""COMPUTED_VALUE"""),"HotelHive")</f>
        <v>HotelHive</v>
      </c>
      <c r="E5245" s="122">
        <f>IFERROR(__xludf.DUMMYFUNCTION("""COMPUTED_VALUE"""),127.49)</f>
        <v>127.49</v>
      </c>
      <c r="F5245" s="122">
        <f>IFERROR(__xludf.DUMMYFUNCTION("""COMPUTED_VALUE"""),0.0058)</f>
        <v>0.0058</v>
      </c>
    </row>
    <row r="5246">
      <c r="A5246" s="131">
        <f>IFERROR(__xludf.DUMMYFUNCTION("""COMPUTED_VALUE"""),46187.512094907404)</f>
        <v>46187.51209</v>
      </c>
      <c r="B5246" s="126">
        <f>IFERROR(__xludf.DUMMYFUNCTION("""COMPUTED_VALUE"""),46187.0)</f>
        <v>46187</v>
      </c>
      <c r="C5246" s="122" t="str">
        <f>IFERROR(__xludf.DUMMYFUNCTION("""COMPUTED_VALUE"""),"LAND")</f>
        <v>LAND</v>
      </c>
      <c r="D5246" s="122" t="str">
        <f>IFERROR(__xludf.DUMMYFUNCTION("""COMPUTED_VALUE"""),"LandLink")</f>
        <v>LandLink</v>
      </c>
      <c r="E5246" s="122">
        <f>IFERROR(__xludf.DUMMYFUNCTION("""COMPUTED_VALUE"""),181.47)</f>
        <v>181.47</v>
      </c>
      <c r="F5246" s="122">
        <f>IFERROR(__xludf.DUMMYFUNCTION("""COMPUTED_VALUE"""),-0.0047)</f>
        <v>-0.0047</v>
      </c>
    </row>
    <row r="5247">
      <c r="A5247" s="131">
        <f>IFERROR(__xludf.DUMMYFUNCTION("""COMPUTED_VALUE"""),46187.512094907404)</f>
        <v>46187.51209</v>
      </c>
      <c r="B5247" s="126">
        <f>IFERROR(__xludf.DUMMYFUNCTION("""COMPUTED_VALUE"""),46187.0)</f>
        <v>46187</v>
      </c>
      <c r="C5247" s="122" t="str">
        <f>IFERROR(__xludf.DUMMYFUNCTION("""COMPUTED_VALUE"""),"CARS")</f>
        <v>CARS</v>
      </c>
      <c r="D5247" s="122" t="str">
        <f>IFERROR(__xludf.DUMMYFUNCTION("""COMPUTED_VALUE"""),"AutoArena")</f>
        <v>AutoArena</v>
      </c>
      <c r="E5247" s="122">
        <f>IFERROR(__xludf.DUMMYFUNCTION("""COMPUTED_VALUE"""),83.29)</f>
        <v>83.29</v>
      </c>
      <c r="F5247" s="122">
        <f>IFERROR(__xludf.DUMMYFUNCTION("""COMPUTED_VALUE"""),0.0014)</f>
        <v>0.0014</v>
      </c>
    </row>
    <row r="5248">
      <c r="A5248" s="131">
        <f>IFERROR(__xludf.DUMMYFUNCTION("""COMPUTED_VALUE"""),46187.512094907404)</f>
        <v>46187.51209</v>
      </c>
      <c r="B5248" s="126">
        <f>IFERROR(__xludf.DUMMYFUNCTION("""COMPUTED_VALUE"""),46187.0)</f>
        <v>46187</v>
      </c>
      <c r="C5248" s="122" t="str">
        <f>IFERROR(__xludf.DUMMYFUNCTION("""COMPUTED_VALUE"""),"EVGO")</f>
        <v>EVGO</v>
      </c>
      <c r="D5248" s="122" t="str">
        <f>IFERROR(__xludf.DUMMYFUNCTION("""COMPUTED_VALUE"""),"EVGo Motors")</f>
        <v>EVGo Motors</v>
      </c>
      <c r="E5248" s="122">
        <f>IFERROR(__xludf.DUMMYFUNCTION("""COMPUTED_VALUE"""),186.12)</f>
        <v>186.12</v>
      </c>
      <c r="F5248" s="122">
        <f>IFERROR(__xludf.DUMMYFUNCTION("""COMPUTED_VALUE"""),0.0061)</f>
        <v>0.0061</v>
      </c>
    </row>
    <row r="5249">
      <c r="A5249" s="131">
        <f>IFERROR(__xludf.DUMMYFUNCTION("""COMPUTED_VALUE"""),46187.512094907404)</f>
        <v>46187.51209</v>
      </c>
      <c r="B5249" s="126">
        <f>IFERROR(__xludf.DUMMYFUNCTION("""COMPUTED_VALUE"""),46187.0)</f>
        <v>46187</v>
      </c>
      <c r="C5249" s="122" t="str">
        <f>IFERROR(__xludf.DUMMYFUNCTION("""COMPUTED_VALUE"""),"TIRE")</f>
        <v>TIRE</v>
      </c>
      <c r="D5249" s="122" t="str">
        <f>IFERROR(__xludf.DUMMYFUNCTION("""COMPUTED_VALUE"""),"TireTown")</f>
        <v>TireTown</v>
      </c>
      <c r="E5249" s="122">
        <f>IFERROR(__xludf.DUMMYFUNCTION("""COMPUTED_VALUE"""),96.09)</f>
        <v>96.09</v>
      </c>
      <c r="F5249" s="122">
        <f>IFERROR(__xludf.DUMMYFUNCTION("""COMPUTED_VALUE"""),0.0045)</f>
        <v>0.0045</v>
      </c>
    </row>
    <row r="5250">
      <c r="A5250" s="131">
        <f>IFERROR(__xludf.DUMMYFUNCTION("""COMPUTED_VALUE"""),46187.512094907404)</f>
        <v>46187.51209</v>
      </c>
      <c r="B5250" s="126">
        <f>IFERROR(__xludf.DUMMYFUNCTION("""COMPUTED_VALUE"""),46187.0)</f>
        <v>46187</v>
      </c>
      <c r="C5250" s="122" t="str">
        <f>IFERROR(__xludf.DUMMYFUNCTION("""COMPUTED_VALUE"""),"BIKE")</f>
        <v>BIKE</v>
      </c>
      <c r="D5250" s="122" t="str">
        <f>IFERROR(__xludf.DUMMYFUNCTION("""COMPUTED_VALUE"""),"BikeBox")</f>
        <v>BikeBox</v>
      </c>
      <c r="E5250" s="122">
        <f>IFERROR(__xludf.DUMMYFUNCTION("""COMPUTED_VALUE"""),53.08)</f>
        <v>53.08</v>
      </c>
      <c r="F5250" s="122">
        <f>IFERROR(__xludf.DUMMYFUNCTION("""COMPUTED_VALUE"""),-0.0043)</f>
        <v>-0.0043</v>
      </c>
    </row>
    <row r="5251">
      <c r="A5251" s="131">
        <f>IFERROR(__xludf.DUMMYFUNCTION("""COMPUTED_VALUE"""),46187.512094907404)</f>
        <v>46187.51209</v>
      </c>
      <c r="B5251" s="126">
        <f>IFERROR(__xludf.DUMMYFUNCTION("""COMPUTED_VALUE"""),46187.0)</f>
        <v>46187</v>
      </c>
      <c r="C5251" s="122" t="str">
        <f>IFERROR(__xludf.DUMMYFUNCTION("""COMPUTED_VALUE"""),"WASH")</f>
        <v>WASH</v>
      </c>
      <c r="D5251" s="122" t="str">
        <f>IFERROR(__xludf.DUMMYFUNCTION("""COMPUTED_VALUE"""),"CarWash Co")</f>
        <v>CarWash Co</v>
      </c>
      <c r="E5251" s="122">
        <f>IFERROR(__xludf.DUMMYFUNCTION("""COMPUTED_VALUE"""),119.26)</f>
        <v>119.26</v>
      </c>
      <c r="F5251" s="122">
        <f>IFERROR(__xludf.DUMMYFUNCTION("""COMPUTED_VALUE"""),-8.0E-4)</f>
        <v>-0.0008</v>
      </c>
    </row>
    <row r="5252">
      <c r="A5252" s="131">
        <f>IFERROR(__xludf.DUMMYFUNCTION("""COMPUTED_VALUE"""),46187.512094907404)</f>
        <v>46187.51209</v>
      </c>
      <c r="B5252" s="126">
        <f>IFERROR(__xludf.DUMMYFUNCTION("""COMPUTED_VALUE"""),46187.0)</f>
        <v>46187</v>
      </c>
      <c r="C5252" s="122" t="str">
        <f>IFERROR(__xludf.DUMMYFUNCTION("""COMPUTED_VALUE"""),"GBND")</f>
        <v>GBND</v>
      </c>
      <c r="D5252" s="122" t="str">
        <f>IFERROR(__xludf.DUMMYFUNCTION("""COMPUTED_VALUE"""),"Classroom Government Bond")</f>
        <v>Classroom Government Bond</v>
      </c>
      <c r="E5252" s="122">
        <f>IFERROR(__xludf.DUMMYFUNCTION("""COMPUTED_VALUE"""),100.96)</f>
        <v>100.96</v>
      </c>
      <c r="F5252" s="122">
        <f>IFERROR(__xludf.DUMMYFUNCTION("""COMPUTED_VALUE"""),1.0E-4)</f>
        <v>0.0001</v>
      </c>
    </row>
    <row r="5253">
      <c r="A5253" s="131">
        <f>IFERROR(__xludf.DUMMYFUNCTION("""COMPUTED_VALUE"""),46187.512094907404)</f>
        <v>46187.51209</v>
      </c>
      <c r="B5253" s="126">
        <f>IFERROR(__xludf.DUMMYFUNCTION("""COMPUTED_VALUE"""),46187.0)</f>
        <v>46187</v>
      </c>
      <c r="C5253" s="122" t="str">
        <f>IFERROR(__xludf.DUMMYFUNCTION("""COMPUTED_VALUE"""),"SBND")</f>
        <v>SBND</v>
      </c>
      <c r="D5253" s="122" t="str">
        <f>IFERROR(__xludf.DUMMYFUNCTION("""COMPUTED_VALUE"""),"School Savings Bond")</f>
        <v>School Savings Bond</v>
      </c>
      <c r="E5253" s="122">
        <f>IFERROR(__xludf.DUMMYFUNCTION("""COMPUTED_VALUE"""),99.42)</f>
        <v>99.42</v>
      </c>
      <c r="F5253" s="122">
        <f>IFERROR(__xludf.DUMMYFUNCTION("""COMPUTED_VALUE"""),0.0)</f>
        <v>0</v>
      </c>
    </row>
    <row r="5254">
      <c r="A5254" s="131">
        <f>IFERROR(__xludf.DUMMYFUNCTION("""COMPUTED_VALUE"""),46187.512094907404)</f>
        <v>46187.51209</v>
      </c>
      <c r="B5254" s="126">
        <f>IFERROR(__xludf.DUMMYFUNCTION("""COMPUTED_VALUE"""),46187.0)</f>
        <v>46187</v>
      </c>
      <c r="C5254" s="122" t="str">
        <f>IFERROR(__xludf.DUMMYFUNCTION("""COMPUTED_VALUE"""),"CBND")</f>
        <v>CBND</v>
      </c>
      <c r="D5254" s="122" t="str">
        <f>IFERROR(__xludf.DUMMYFUNCTION("""COMPUTED_VALUE"""),"Corporate Classroom Bond")</f>
        <v>Corporate Classroom Bond</v>
      </c>
      <c r="E5254" s="122">
        <f>IFERROR(__xludf.DUMMYFUNCTION("""COMPUTED_VALUE"""),97.8)</f>
        <v>97.8</v>
      </c>
      <c r="F5254" s="122">
        <f>IFERROR(__xludf.DUMMYFUNCTION("""COMPUTED_VALUE"""),-5.0E-4)</f>
        <v>-0.0005</v>
      </c>
    </row>
    <row r="5255">
      <c r="A5255" s="131">
        <f>IFERROR(__xludf.DUMMYFUNCTION("""COMPUTED_VALUE"""),46187.512094907404)</f>
        <v>46187.51209</v>
      </c>
      <c r="B5255" s="126">
        <f>IFERROR(__xludf.DUMMYFUNCTION("""COMPUTED_VALUE"""),46187.0)</f>
        <v>46187</v>
      </c>
      <c r="C5255" s="122" t="str">
        <f>IFERROR(__xludf.DUMMYFUNCTION("""COMPUTED_VALUE"""),"TBIL")</f>
        <v>TBIL</v>
      </c>
      <c r="D5255" s="122" t="str">
        <f>IFERROR(__xludf.DUMMYFUNCTION("""COMPUTED_VALUE"""),"Treasury Bill")</f>
        <v>Treasury Bill</v>
      </c>
      <c r="E5255" s="122">
        <f>IFERROR(__xludf.DUMMYFUNCTION("""COMPUTED_VALUE"""),98.15)</f>
        <v>98.15</v>
      </c>
      <c r="F5255" s="122">
        <f>IFERROR(__xludf.DUMMYFUNCTION("""COMPUTED_VALUE"""),0.0)</f>
        <v>0</v>
      </c>
    </row>
    <row r="5256">
      <c r="A5256" s="131">
        <f>IFERROR(__xludf.DUMMYFUNCTION("""COMPUTED_VALUE"""),46187.512094907404)</f>
        <v>46187.51209</v>
      </c>
      <c r="B5256" s="126">
        <f>IFERROR(__xludf.DUMMYFUNCTION("""COMPUTED_VALUE"""),46187.0)</f>
        <v>46187</v>
      </c>
      <c r="C5256" s="122" t="str">
        <f>IFERROR(__xludf.DUMMYFUNCTION("""COMPUTED_VALUE"""),"IBND")</f>
        <v>IBND</v>
      </c>
      <c r="D5256" s="122" t="str">
        <f>IFERROR(__xludf.DUMMYFUNCTION("""COMPUTED_VALUE"""),"Inflation Protected Bond")</f>
        <v>Inflation Protected Bond</v>
      </c>
      <c r="E5256" s="122">
        <f>IFERROR(__xludf.DUMMYFUNCTION("""COMPUTED_VALUE"""),100.77)</f>
        <v>100.77</v>
      </c>
      <c r="F5256" s="122">
        <f>IFERROR(__xludf.DUMMYFUNCTION("""COMPUTED_VALUE"""),4.0E-4)</f>
        <v>0.0004</v>
      </c>
    </row>
    <row r="5257">
      <c r="A5257" s="131">
        <f>IFERROR(__xludf.DUMMYFUNCTION("""COMPUTED_VALUE"""),46187.513402777775)</f>
        <v>46187.5134</v>
      </c>
      <c r="B5257" s="126">
        <f>IFERROR(__xludf.DUMMYFUNCTION("""COMPUTED_VALUE"""),46187.0)</f>
        <v>46187</v>
      </c>
      <c r="C5257" s="130">
        <f>IFERROR(__xludf.DUMMYFUNCTION("""COMPUTED_VALUE"""),0.5134027777777778)</f>
        <v>0.5134027778</v>
      </c>
      <c r="D5257" s="122" t="str">
        <f>IFERROR(__xludf.DUMMYFUNCTION("""COMPUTED_VALUE"""),"SNAX")</f>
        <v>SNAX</v>
      </c>
      <c r="E5257" s="122" t="str">
        <f>IFERROR(__xludf.DUMMYFUNCTION("""COMPUTED_VALUE"""),"MICA Snacks")</f>
        <v>MICA Snacks</v>
      </c>
      <c r="F5257" s="122" t="str">
        <f>IFERROR(__xludf.DUMMYFUNCTION("""COMPUTED_VALUE"""),"Consumer Goods")</f>
        <v>Consumer Goods</v>
      </c>
    </row>
    <row r="5258">
      <c r="A5258" s="131">
        <f>IFERROR(__xludf.DUMMYFUNCTION("""COMPUTED_VALUE"""),46187.513402777775)</f>
        <v>46187.5134</v>
      </c>
      <c r="B5258" s="126">
        <f>IFERROR(__xludf.DUMMYFUNCTION("""COMPUTED_VALUE"""),46187.0)</f>
        <v>46187</v>
      </c>
      <c r="C5258" s="130">
        <f>IFERROR(__xludf.DUMMYFUNCTION("""COMPUTED_VALUE"""),0.5134027777777778)</f>
        <v>0.5134027778</v>
      </c>
      <c r="D5258" s="122" t="str">
        <f>IFERROR(__xludf.DUMMYFUNCTION("""COMPUTED_VALUE"""),"RAMN")</f>
        <v>RAMN</v>
      </c>
      <c r="E5258" s="122" t="str">
        <f>IFERROR(__xludf.DUMMYFUNCTION("""COMPUTED_VALUE"""),"Ramen Republic")</f>
        <v>Ramen Republic</v>
      </c>
      <c r="F5258" s="122" t="str">
        <f>IFERROR(__xludf.DUMMYFUNCTION("""COMPUTED_VALUE"""),"Food")</f>
        <v>Food</v>
      </c>
    </row>
    <row r="5259">
      <c r="A5259" s="131">
        <f>IFERROR(__xludf.DUMMYFUNCTION("""COMPUTED_VALUE"""),46187.513402777775)</f>
        <v>46187.5134</v>
      </c>
      <c r="B5259" s="126">
        <f>IFERROR(__xludf.DUMMYFUNCTION("""COMPUTED_VALUE"""),46187.0)</f>
        <v>46187</v>
      </c>
      <c r="C5259" s="130">
        <f>IFERROR(__xludf.DUMMYFUNCTION("""COMPUTED_VALUE"""),0.5134027777777778)</f>
        <v>0.5134027778</v>
      </c>
      <c r="D5259" s="122" t="str">
        <f>IFERROR(__xludf.DUMMYFUNCTION("""COMPUTED_VALUE"""),"COLA")</f>
        <v>COLA</v>
      </c>
      <c r="E5259" s="122" t="str">
        <f>IFERROR(__xludf.DUMMYFUNCTION("""COMPUTED_VALUE"""),"K-Pop Cola")</f>
        <v>K-Pop Cola</v>
      </c>
      <c r="F5259" s="122" t="str">
        <f>IFERROR(__xludf.DUMMYFUNCTION("""COMPUTED_VALUE"""),"Beverage")</f>
        <v>Beverage</v>
      </c>
    </row>
    <row r="5260">
      <c r="A5260" s="131">
        <f>IFERROR(__xludf.DUMMYFUNCTION("""COMPUTED_VALUE"""),46187.513402777775)</f>
        <v>46187.5134</v>
      </c>
      <c r="B5260" s="126">
        <f>IFERROR(__xludf.DUMMYFUNCTION("""COMPUTED_VALUE"""),46187.0)</f>
        <v>46187</v>
      </c>
      <c r="C5260" s="130">
        <f>IFERROR(__xludf.DUMMYFUNCTION("""COMPUTED_VALUE"""),0.5134027777777778)</f>
        <v>0.5134027778</v>
      </c>
      <c r="D5260" s="122" t="str">
        <f>IFERROR(__xludf.DUMMYFUNCTION("""COMPUTED_VALUE"""),"CHIP")</f>
        <v>CHIP</v>
      </c>
      <c r="E5260" s="122" t="str">
        <f>IFERROR(__xludf.DUMMYFUNCTION("""COMPUTED_VALUE"""),"Chip Empire")</f>
        <v>Chip Empire</v>
      </c>
      <c r="F5260" s="122" t="str">
        <f>IFERROR(__xludf.DUMMYFUNCTION("""COMPUTED_VALUE"""),"Consumer Goods")</f>
        <v>Consumer Goods</v>
      </c>
    </row>
    <row r="5261">
      <c r="A5261" s="131">
        <f>IFERROR(__xludf.DUMMYFUNCTION("""COMPUTED_VALUE"""),46187.513402777775)</f>
        <v>46187.5134</v>
      </c>
      <c r="B5261" s="126">
        <f>IFERROR(__xludf.DUMMYFUNCTION("""COMPUTED_VALUE"""),46187.0)</f>
        <v>46187</v>
      </c>
      <c r="C5261" s="130">
        <f>IFERROR(__xludf.DUMMYFUNCTION("""COMPUTED_VALUE"""),0.5134027777777778)</f>
        <v>0.5134027778</v>
      </c>
      <c r="D5261" s="122" t="str">
        <f>IFERROR(__xludf.DUMMYFUNCTION("""COMPUTED_VALUE"""),"CAND")</f>
        <v>CAND</v>
      </c>
      <c r="E5261" s="122" t="str">
        <f>IFERROR(__xludf.DUMMYFUNCTION("""COMPUTED_VALUE"""),"Candy Capital")</f>
        <v>Candy Capital</v>
      </c>
      <c r="F5261" s="122" t="str">
        <f>IFERROR(__xludf.DUMMYFUNCTION("""COMPUTED_VALUE"""),"Consumer Goods")</f>
        <v>Consumer Goods</v>
      </c>
    </row>
    <row r="5262">
      <c r="A5262" s="131">
        <f>IFERROR(__xludf.DUMMYFUNCTION("""COMPUTED_VALUE"""),46187.513402777775)</f>
        <v>46187.5134</v>
      </c>
      <c r="B5262" s="126">
        <f>IFERROR(__xludf.DUMMYFUNCTION("""COMPUTED_VALUE"""),46187.0)</f>
        <v>46187</v>
      </c>
      <c r="C5262" s="130">
        <f>IFERROR(__xludf.DUMMYFUNCTION("""COMPUTED_VALUE"""),0.5134027777777778)</f>
        <v>0.5134027778</v>
      </c>
      <c r="D5262" s="122" t="str">
        <f>IFERROR(__xludf.DUMMYFUNCTION("""COMPUTED_VALUE"""),"TECH")</f>
        <v>TECH</v>
      </c>
      <c r="E5262" s="122" t="str">
        <f>IFERROR(__xludf.DUMMYFUNCTION("""COMPUTED_VALUE"""),"Dragon Tech")</f>
        <v>Dragon Tech</v>
      </c>
      <c r="F5262" s="122" t="str">
        <f>IFERROR(__xludf.DUMMYFUNCTION("""COMPUTED_VALUE"""),"Technology")</f>
        <v>Technology</v>
      </c>
    </row>
    <row r="5263">
      <c r="A5263" s="131">
        <f>IFERROR(__xludf.DUMMYFUNCTION("""COMPUTED_VALUE"""),46187.513402777775)</f>
        <v>46187.5134</v>
      </c>
      <c r="B5263" s="126">
        <f>IFERROR(__xludf.DUMMYFUNCTION("""COMPUTED_VALUE"""),46187.0)</f>
        <v>46187</v>
      </c>
      <c r="C5263" s="130">
        <f>IFERROR(__xludf.DUMMYFUNCTION("""COMPUTED_VALUE"""),0.5134027777777778)</f>
        <v>0.5134027778</v>
      </c>
      <c r="D5263" s="122" t="str">
        <f>IFERROR(__xludf.DUMMYFUNCTION("""COMPUTED_VALUE"""),"AIBO")</f>
        <v>AIBO</v>
      </c>
      <c r="E5263" s="122" t="str">
        <f>IFERROR(__xludf.DUMMYFUNCTION("""COMPUTED_VALUE"""),"Homework AI")</f>
        <v>Homework AI</v>
      </c>
      <c r="F5263" s="122" t="str">
        <f>IFERROR(__xludf.DUMMYFUNCTION("""COMPUTED_VALUE"""),"Technology")</f>
        <v>Technology</v>
      </c>
    </row>
    <row r="5264">
      <c r="A5264" s="131">
        <f>IFERROR(__xludf.DUMMYFUNCTION("""COMPUTED_VALUE"""),46187.513402777775)</f>
        <v>46187.5134</v>
      </c>
      <c r="B5264" s="126">
        <f>IFERROR(__xludf.DUMMYFUNCTION("""COMPUTED_VALUE"""),46187.0)</f>
        <v>46187</v>
      </c>
      <c r="C5264" s="130">
        <f>IFERROR(__xludf.DUMMYFUNCTION("""COMPUTED_VALUE"""),0.5134027777777778)</f>
        <v>0.5134027778</v>
      </c>
      <c r="D5264" s="122" t="str">
        <f>IFERROR(__xludf.DUMMYFUNCTION("""COMPUTED_VALUE"""),"GAME")</f>
        <v>GAME</v>
      </c>
      <c r="E5264" s="122" t="str">
        <f>IFERROR(__xludf.DUMMYFUNCTION("""COMPUTED_VALUE"""),"GameBox Media")</f>
        <v>GameBox Media</v>
      </c>
      <c r="F5264" s="122" t="str">
        <f>IFERROR(__xludf.DUMMYFUNCTION("""COMPUTED_VALUE"""),"Entertainment")</f>
        <v>Entertainment</v>
      </c>
    </row>
    <row r="5265">
      <c r="A5265" s="131">
        <f>IFERROR(__xludf.DUMMYFUNCTION("""COMPUTED_VALUE"""),46187.513402777775)</f>
        <v>46187.5134</v>
      </c>
      <c r="B5265" s="126">
        <f>IFERROR(__xludf.DUMMYFUNCTION("""COMPUTED_VALUE"""),46187.0)</f>
        <v>46187</v>
      </c>
      <c r="C5265" s="130">
        <f>IFERROR(__xludf.DUMMYFUNCTION("""COMPUTED_VALUE"""),0.5134027777777778)</f>
        <v>0.5134027778</v>
      </c>
      <c r="D5265" s="122" t="str">
        <f>IFERROR(__xludf.DUMMYFUNCTION("""COMPUTED_VALUE"""),"VRSE")</f>
        <v>VRSE</v>
      </c>
      <c r="E5265" s="122" t="str">
        <f>IFERROR(__xludf.DUMMYFUNCTION("""COMPUTED_VALUE"""),"VerseVR")</f>
        <v>VerseVR</v>
      </c>
      <c r="F5265" s="122" t="str">
        <f>IFERROR(__xludf.DUMMYFUNCTION("""COMPUTED_VALUE"""),"Technology")</f>
        <v>Technology</v>
      </c>
    </row>
    <row r="5266">
      <c r="A5266" s="131">
        <f>IFERROR(__xludf.DUMMYFUNCTION("""COMPUTED_VALUE"""),46187.513402777775)</f>
        <v>46187.5134</v>
      </c>
      <c r="B5266" s="126">
        <f>IFERROR(__xludf.DUMMYFUNCTION("""COMPUTED_VALUE"""),46187.0)</f>
        <v>46187</v>
      </c>
      <c r="C5266" s="130">
        <f>IFERROR(__xludf.DUMMYFUNCTION("""COMPUTED_VALUE"""),0.5134027777777778)</f>
        <v>0.5134027778</v>
      </c>
      <c r="D5266" s="122" t="str">
        <f>IFERROR(__xludf.DUMMYFUNCTION("""COMPUTED_VALUE"""),"BYTE")</f>
        <v>BYTE</v>
      </c>
      <c r="E5266" s="122" t="str">
        <f>IFERROR(__xludf.DUMMYFUNCTION("""COMPUTED_VALUE"""),"ByteWorks")</f>
        <v>ByteWorks</v>
      </c>
      <c r="F5266" s="122" t="str">
        <f>IFERROR(__xludf.DUMMYFUNCTION("""COMPUTED_VALUE"""),"Technology")</f>
        <v>Technology</v>
      </c>
    </row>
    <row r="5267">
      <c r="A5267" s="131">
        <f>IFERROR(__xludf.DUMMYFUNCTION("""COMPUTED_VALUE"""),46187.513402777775)</f>
        <v>46187.5134</v>
      </c>
      <c r="B5267" s="126">
        <f>IFERROR(__xludf.DUMMYFUNCTION("""COMPUTED_VALUE"""),46187.0)</f>
        <v>46187</v>
      </c>
      <c r="C5267" s="130">
        <f>IFERROR(__xludf.DUMMYFUNCTION("""COMPUTED_VALUE"""),0.5134027777777778)</f>
        <v>0.5134027778</v>
      </c>
      <c r="D5267" s="122" t="str">
        <f>IFERROR(__xludf.DUMMYFUNCTION("""COMPUTED_VALUE"""),"BANK")</f>
        <v>BANK</v>
      </c>
      <c r="E5267" s="122" t="str">
        <f>IFERROR(__xludf.DUMMYFUNCTION("""COMPUTED_VALUE"""),"Tiger Bank")</f>
        <v>Tiger Bank</v>
      </c>
      <c r="F5267" s="122" t="str">
        <f>IFERROR(__xludf.DUMMYFUNCTION("""COMPUTED_VALUE"""),"Finance")</f>
        <v>Finance</v>
      </c>
    </row>
    <row r="5268">
      <c r="A5268" s="131">
        <f>IFERROR(__xludf.DUMMYFUNCTION("""COMPUTED_VALUE"""),46187.513402777775)</f>
        <v>46187.5134</v>
      </c>
      <c r="B5268" s="126">
        <f>IFERROR(__xludf.DUMMYFUNCTION("""COMPUTED_VALUE"""),46187.0)</f>
        <v>46187</v>
      </c>
      <c r="C5268" s="130">
        <f>IFERROR(__xludf.DUMMYFUNCTION("""COMPUTED_VALUE"""),0.5134027777777778)</f>
        <v>0.5134027778</v>
      </c>
      <c r="D5268" s="122" t="str">
        <f>IFERROR(__xludf.DUMMYFUNCTION("""COMPUTED_VALUE"""),"CRED")</f>
        <v>CRED</v>
      </c>
      <c r="E5268" s="122" t="str">
        <f>IFERROR(__xludf.DUMMYFUNCTION("""COMPUTED_VALUE"""),"Credit Castle")</f>
        <v>Credit Castle</v>
      </c>
      <c r="F5268" s="122" t="str">
        <f>IFERROR(__xludf.DUMMYFUNCTION("""COMPUTED_VALUE"""),"Finance")</f>
        <v>Finance</v>
      </c>
    </row>
    <row r="5269">
      <c r="A5269" s="131">
        <f>IFERROR(__xludf.DUMMYFUNCTION("""COMPUTED_VALUE"""),46187.513402777775)</f>
        <v>46187.5134</v>
      </c>
      <c r="B5269" s="126">
        <f>IFERROR(__xludf.DUMMYFUNCTION("""COMPUTED_VALUE"""),46187.0)</f>
        <v>46187</v>
      </c>
      <c r="C5269" s="130">
        <f>IFERROR(__xludf.DUMMYFUNCTION("""COMPUTED_VALUE"""),0.5134027777777778)</f>
        <v>0.5134027778</v>
      </c>
      <c r="D5269" s="122" t="str">
        <f>IFERROR(__xludf.DUMMYFUNCTION("""COMPUTED_VALUE"""),"BOND")</f>
        <v>BOND</v>
      </c>
      <c r="E5269" s="122" t="str">
        <f>IFERROR(__xludf.DUMMYFUNCTION("""COMPUTED_VALUE"""),"BondBridge")</f>
        <v>BondBridge</v>
      </c>
      <c r="F5269" s="122" t="str">
        <f>IFERROR(__xludf.DUMMYFUNCTION("""COMPUTED_VALUE"""),"Finance")</f>
        <v>Finance</v>
      </c>
    </row>
    <row r="5270">
      <c r="A5270" s="131">
        <f>IFERROR(__xludf.DUMMYFUNCTION("""COMPUTED_VALUE"""),46187.513402777775)</f>
        <v>46187.5134</v>
      </c>
      <c r="B5270" s="126">
        <f>IFERROR(__xludf.DUMMYFUNCTION("""COMPUTED_VALUE"""),46187.0)</f>
        <v>46187</v>
      </c>
      <c r="C5270" s="130">
        <f>IFERROR(__xludf.DUMMYFUNCTION("""COMPUTED_VALUE"""),0.5134027777777778)</f>
        <v>0.5134027778</v>
      </c>
      <c r="D5270" s="122" t="str">
        <f>IFERROR(__xludf.DUMMYFUNCTION("""COMPUTED_VALUE"""),"INSR")</f>
        <v>INSR</v>
      </c>
      <c r="E5270" s="122" t="str">
        <f>IFERROR(__xludf.DUMMYFUNCTION("""COMPUTED_VALUE"""),"Shield Insurance")</f>
        <v>Shield Insurance</v>
      </c>
      <c r="F5270" s="122" t="str">
        <f>IFERROR(__xludf.DUMMYFUNCTION("""COMPUTED_VALUE"""),"Finance")</f>
        <v>Finance</v>
      </c>
    </row>
    <row r="5271">
      <c r="A5271" s="131">
        <f>IFERROR(__xludf.DUMMYFUNCTION("""COMPUTED_VALUE"""),46187.513402777775)</f>
        <v>46187.5134</v>
      </c>
      <c r="B5271" s="126">
        <f>IFERROR(__xludf.DUMMYFUNCTION("""COMPUTED_VALUE"""),46187.0)</f>
        <v>46187</v>
      </c>
      <c r="C5271" s="130">
        <f>IFERROR(__xludf.DUMMYFUNCTION("""COMPUTED_VALUE"""),0.5134027777777778)</f>
        <v>0.5134027778</v>
      </c>
      <c r="D5271" s="122" t="str">
        <f>IFERROR(__xludf.DUMMYFUNCTION("""COMPUTED_VALUE"""),"LOAN")</f>
        <v>LOAN</v>
      </c>
      <c r="E5271" s="122" t="str">
        <f>IFERROR(__xludf.DUMMYFUNCTION("""COMPUTED_VALUE"""),"LoanLab")</f>
        <v>LoanLab</v>
      </c>
      <c r="F5271" s="122" t="str">
        <f>IFERROR(__xludf.DUMMYFUNCTION("""COMPUTED_VALUE"""),"Finance")</f>
        <v>Finance</v>
      </c>
    </row>
    <row r="5272">
      <c r="A5272" s="131">
        <f>IFERROR(__xludf.DUMMYFUNCTION("""COMPUTED_VALUE"""),46187.513402777775)</f>
        <v>46187.5134</v>
      </c>
      <c r="B5272" s="126">
        <f>IFERROR(__xludf.DUMMYFUNCTION("""COMPUTED_VALUE"""),46187.0)</f>
        <v>46187</v>
      </c>
      <c r="C5272" s="130">
        <f>IFERROR(__xludf.DUMMYFUNCTION("""COMPUTED_VALUE"""),0.5134027777777778)</f>
        <v>0.5134027778</v>
      </c>
      <c r="D5272" s="122" t="str">
        <f>IFERROR(__xludf.DUMMYFUNCTION("""COMPUTED_VALUE"""),"LUXE")</f>
        <v>LUXE</v>
      </c>
      <c r="E5272" s="122" t="str">
        <f>IFERROR(__xludf.DUMMYFUNCTION("""COMPUTED_VALUE"""),"Luxury Locker")</f>
        <v>Luxury Locker</v>
      </c>
      <c r="F5272" s="122" t="str">
        <f>IFERROR(__xludf.DUMMYFUNCTION("""COMPUTED_VALUE"""),"Luxury Goods")</f>
        <v>Luxury Goods</v>
      </c>
    </row>
    <row r="5273">
      <c r="A5273" s="131">
        <f>IFERROR(__xludf.DUMMYFUNCTION("""COMPUTED_VALUE"""),46187.513402777775)</f>
        <v>46187.5134</v>
      </c>
      <c r="B5273" s="126">
        <f>IFERROR(__xludf.DUMMYFUNCTION("""COMPUTED_VALUE"""),46187.0)</f>
        <v>46187</v>
      </c>
      <c r="C5273" s="130">
        <f>IFERROR(__xludf.DUMMYFUNCTION("""COMPUTED_VALUE"""),0.5134027777777778)</f>
        <v>0.5134027778</v>
      </c>
      <c r="D5273" s="122" t="str">
        <f>IFERROR(__xludf.DUMMYFUNCTION("""COMPUTED_VALUE"""),"DRIP")</f>
        <v>DRIP</v>
      </c>
      <c r="E5273" s="122" t="str">
        <f>IFERROR(__xludf.DUMMYFUNCTION("""COMPUTED_VALUE"""),"Drip Streetwear")</f>
        <v>Drip Streetwear</v>
      </c>
      <c r="F5273" s="122" t="str">
        <f>IFERROR(__xludf.DUMMYFUNCTION("""COMPUTED_VALUE"""),"Fashion")</f>
        <v>Fashion</v>
      </c>
    </row>
    <row r="5274">
      <c r="A5274" s="131">
        <f>IFERROR(__xludf.DUMMYFUNCTION("""COMPUTED_VALUE"""),46187.513402777775)</f>
        <v>46187.5134</v>
      </c>
      <c r="B5274" s="126">
        <f>IFERROR(__xludf.DUMMYFUNCTION("""COMPUTED_VALUE"""),46187.0)</f>
        <v>46187</v>
      </c>
      <c r="C5274" s="130">
        <f>IFERROR(__xludf.DUMMYFUNCTION("""COMPUTED_VALUE"""),0.5134027777777778)</f>
        <v>0.5134027778</v>
      </c>
      <c r="D5274" s="122" t="str">
        <f>IFERROR(__xludf.DUMMYFUNCTION("""COMPUTED_VALUE"""),"KICK")</f>
        <v>KICK</v>
      </c>
      <c r="E5274" s="122" t="str">
        <f>IFERROR(__xludf.DUMMYFUNCTION("""COMPUTED_VALUE"""),"KickDrop Sneakers")</f>
        <v>KickDrop Sneakers</v>
      </c>
      <c r="F5274" s="122" t="str">
        <f>IFERROR(__xludf.DUMMYFUNCTION("""COMPUTED_VALUE"""),"Fashion")</f>
        <v>Fashion</v>
      </c>
    </row>
    <row r="5275">
      <c r="A5275" s="131">
        <f>IFERROR(__xludf.DUMMYFUNCTION("""COMPUTED_VALUE"""),46187.513402777775)</f>
        <v>46187.5134</v>
      </c>
      <c r="B5275" s="126">
        <f>IFERROR(__xludf.DUMMYFUNCTION("""COMPUTED_VALUE"""),46187.0)</f>
        <v>46187</v>
      </c>
      <c r="C5275" s="130">
        <f>IFERROR(__xludf.DUMMYFUNCTION("""COMPUTED_VALUE"""),0.5134027777777778)</f>
        <v>0.5134027778</v>
      </c>
      <c r="D5275" s="122" t="str">
        <f>IFERROR(__xludf.DUMMYFUNCTION("""COMPUTED_VALUE"""),"GLAM")</f>
        <v>GLAM</v>
      </c>
      <c r="E5275" s="122" t="str">
        <f>IFERROR(__xludf.DUMMYFUNCTION("""COMPUTED_VALUE"""),"Glow Cosmetics")</f>
        <v>Glow Cosmetics</v>
      </c>
      <c r="F5275" s="122" t="str">
        <f>IFERROR(__xludf.DUMMYFUNCTION("""COMPUTED_VALUE"""),"Fashion")</f>
        <v>Fashion</v>
      </c>
    </row>
    <row r="5276">
      <c r="A5276" s="131">
        <f>IFERROR(__xludf.DUMMYFUNCTION("""COMPUTED_VALUE"""),46187.513402777775)</f>
        <v>46187.5134</v>
      </c>
      <c r="B5276" s="126">
        <f>IFERROR(__xludf.DUMMYFUNCTION("""COMPUTED_VALUE"""),46187.0)</f>
        <v>46187</v>
      </c>
      <c r="C5276" s="130">
        <f>IFERROR(__xludf.DUMMYFUNCTION("""COMPUTED_VALUE"""),0.5134027777777778)</f>
        <v>0.5134027778</v>
      </c>
      <c r="D5276" s="122" t="str">
        <f>IFERROR(__xludf.DUMMYFUNCTION("""COMPUTED_VALUE"""),"BAGG")</f>
        <v>BAGG</v>
      </c>
      <c r="E5276" s="122" t="str">
        <f>IFERROR(__xludf.DUMMYFUNCTION("""COMPUTED_VALUE"""),"BagVault")</f>
        <v>BagVault</v>
      </c>
      <c r="F5276" s="122" t="str">
        <f>IFERROR(__xludf.DUMMYFUNCTION("""COMPUTED_VALUE"""),"Fashion")</f>
        <v>Fashion</v>
      </c>
    </row>
    <row r="5277">
      <c r="A5277" s="131">
        <f>IFERROR(__xludf.DUMMYFUNCTION("""COMPUTED_VALUE"""),46187.513402777775)</f>
        <v>46187.5134</v>
      </c>
      <c r="B5277" s="126">
        <f>IFERROR(__xludf.DUMMYFUNCTION("""COMPUTED_VALUE"""),46187.0)</f>
        <v>46187</v>
      </c>
      <c r="C5277" s="130">
        <f>IFERROR(__xludf.DUMMYFUNCTION("""COMPUTED_VALUE"""),0.5134027777777778)</f>
        <v>0.5134027778</v>
      </c>
      <c r="D5277" s="122" t="str">
        <f>IFERROR(__xludf.DUMMYFUNCTION("""COMPUTED_VALUE"""),"FAST")</f>
        <v>FAST</v>
      </c>
      <c r="E5277" s="122" t="str">
        <f>IFERROR(__xludf.DUMMYFUNCTION("""COMPUTED_VALUE"""),"Flash Logistics")</f>
        <v>Flash Logistics</v>
      </c>
      <c r="F5277" s="122" t="str">
        <f>IFERROR(__xludf.DUMMYFUNCTION("""COMPUTED_VALUE"""),"Logistics")</f>
        <v>Logistics</v>
      </c>
    </row>
    <row r="5278">
      <c r="A5278" s="131">
        <f>IFERROR(__xludf.DUMMYFUNCTION("""COMPUTED_VALUE"""),46187.513402777775)</f>
        <v>46187.5134</v>
      </c>
      <c r="B5278" s="126">
        <f>IFERROR(__xludf.DUMMYFUNCTION("""COMPUTED_VALUE"""),46187.0)</f>
        <v>46187</v>
      </c>
      <c r="C5278" s="130">
        <f>IFERROR(__xludf.DUMMYFUNCTION("""COMPUTED_VALUE"""),0.5134027777777778)</f>
        <v>0.5134027778</v>
      </c>
      <c r="D5278" s="122" t="str">
        <f>IFERROR(__xludf.DUMMYFUNCTION("""COMPUTED_VALUE"""),"SHIP")</f>
        <v>SHIP</v>
      </c>
      <c r="E5278" s="122" t="str">
        <f>IFERROR(__xludf.DUMMYFUNCTION("""COMPUTED_VALUE"""),"Seoul Shipping")</f>
        <v>Seoul Shipping</v>
      </c>
      <c r="F5278" s="122" t="str">
        <f>IFERROR(__xludf.DUMMYFUNCTION("""COMPUTED_VALUE"""),"Logistics")</f>
        <v>Logistics</v>
      </c>
    </row>
    <row r="5279">
      <c r="A5279" s="131">
        <f>IFERROR(__xludf.DUMMYFUNCTION("""COMPUTED_VALUE"""),46187.513402777775)</f>
        <v>46187.5134</v>
      </c>
      <c r="B5279" s="126">
        <f>IFERROR(__xludf.DUMMYFUNCTION("""COMPUTED_VALUE"""),46187.0)</f>
        <v>46187</v>
      </c>
      <c r="C5279" s="130">
        <f>IFERROR(__xludf.DUMMYFUNCTION("""COMPUTED_VALUE"""),0.5134027777777778)</f>
        <v>0.5134027778</v>
      </c>
      <c r="D5279" s="122" t="str">
        <f>IFERROR(__xludf.DUMMYFUNCTION("""COMPUTED_VALUE"""),"DRON")</f>
        <v>DRON</v>
      </c>
      <c r="E5279" s="122" t="str">
        <f>IFERROR(__xludf.DUMMYFUNCTION("""COMPUTED_VALUE"""),"DroneDrop")</f>
        <v>DroneDrop</v>
      </c>
      <c r="F5279" s="122" t="str">
        <f>IFERROR(__xludf.DUMMYFUNCTION("""COMPUTED_VALUE"""),"Logistics")</f>
        <v>Logistics</v>
      </c>
    </row>
    <row r="5280">
      <c r="A5280" s="131">
        <f>IFERROR(__xludf.DUMMYFUNCTION("""COMPUTED_VALUE"""),46187.513402777775)</f>
        <v>46187.5134</v>
      </c>
      <c r="B5280" s="126">
        <f>IFERROR(__xludf.DUMMYFUNCTION("""COMPUTED_VALUE"""),46187.0)</f>
        <v>46187</v>
      </c>
      <c r="C5280" s="130">
        <f>IFERROR(__xludf.DUMMYFUNCTION("""COMPUTED_VALUE"""),0.5134027777777778)</f>
        <v>0.5134027778</v>
      </c>
      <c r="D5280" s="122" t="str">
        <f>IFERROR(__xludf.DUMMYFUNCTION("""COMPUTED_VALUE"""),"RIDE")</f>
        <v>RIDE</v>
      </c>
      <c r="E5280" s="122" t="str">
        <f>IFERROR(__xludf.DUMMYFUNCTION("""COMPUTED_VALUE"""),"QuickRide")</f>
        <v>QuickRide</v>
      </c>
      <c r="F5280" s="122" t="str">
        <f>IFERROR(__xludf.DUMMYFUNCTION("""COMPUTED_VALUE"""),"Transportation")</f>
        <v>Transportation</v>
      </c>
    </row>
    <row r="5281">
      <c r="A5281" s="131">
        <f>IFERROR(__xludf.DUMMYFUNCTION("""COMPUTED_VALUE"""),46187.513402777775)</f>
        <v>46187.5134</v>
      </c>
      <c r="B5281" s="126">
        <f>IFERROR(__xludf.DUMMYFUNCTION("""COMPUTED_VALUE"""),46187.0)</f>
        <v>46187</v>
      </c>
      <c r="C5281" s="130">
        <f>IFERROR(__xludf.DUMMYFUNCTION("""COMPUTED_VALUE"""),0.5134027777777778)</f>
        <v>0.5134027778</v>
      </c>
      <c r="D5281" s="122" t="str">
        <f>IFERROR(__xludf.DUMMYFUNCTION("""COMPUTED_VALUE"""),"RAIL")</f>
        <v>RAIL</v>
      </c>
      <c r="E5281" s="122" t="str">
        <f>IFERROR(__xludf.DUMMYFUNCTION("""COMPUTED_VALUE"""),"MetroRail Corp")</f>
        <v>MetroRail Corp</v>
      </c>
      <c r="F5281" s="122" t="str">
        <f>IFERROR(__xludf.DUMMYFUNCTION("""COMPUTED_VALUE"""),"Transportation")</f>
        <v>Transportation</v>
      </c>
    </row>
    <row r="5282">
      <c r="A5282" s="131">
        <f>IFERROR(__xludf.DUMMYFUNCTION("""COMPUTED_VALUE"""),46187.513402777775)</f>
        <v>46187.5134</v>
      </c>
      <c r="B5282" s="126">
        <f>IFERROR(__xludf.DUMMYFUNCTION("""COMPUTED_VALUE"""),46187.0)</f>
        <v>46187</v>
      </c>
      <c r="C5282" s="130">
        <f>IFERROR(__xludf.DUMMYFUNCTION("""COMPUTED_VALUE"""),0.5134027777777778)</f>
        <v>0.5134027778</v>
      </c>
      <c r="D5282" s="122" t="str">
        <f>IFERROR(__xludf.DUMMYFUNCTION("""COMPUTED_VALUE"""),"MEDX")</f>
        <v>MEDX</v>
      </c>
      <c r="E5282" s="122" t="str">
        <f>IFERROR(__xludf.DUMMYFUNCTION("""COMPUTED_VALUE"""),"MediCore")</f>
        <v>MediCore</v>
      </c>
      <c r="F5282" s="122" t="str">
        <f>IFERROR(__xludf.DUMMYFUNCTION("""COMPUTED_VALUE"""),"Healthcare")</f>
        <v>Healthcare</v>
      </c>
    </row>
    <row r="5283">
      <c r="A5283" s="131">
        <f>IFERROR(__xludf.DUMMYFUNCTION("""COMPUTED_VALUE"""),46187.513402777775)</f>
        <v>46187.5134</v>
      </c>
      <c r="B5283" s="126">
        <f>IFERROR(__xludf.DUMMYFUNCTION("""COMPUTED_VALUE"""),46187.0)</f>
        <v>46187</v>
      </c>
      <c r="C5283" s="130">
        <f>IFERROR(__xludf.DUMMYFUNCTION("""COMPUTED_VALUE"""),0.5134027777777778)</f>
        <v>0.5134027778</v>
      </c>
      <c r="D5283" s="122" t="str">
        <f>IFERROR(__xludf.DUMMYFUNCTION("""COMPUTED_VALUE"""),"GYMX")</f>
        <v>GYMX</v>
      </c>
      <c r="E5283" s="122" t="str">
        <f>IFERROR(__xludf.DUMMYFUNCTION("""COMPUTED_VALUE"""),"GymX Fitness")</f>
        <v>GymX Fitness</v>
      </c>
      <c r="F5283" s="122" t="str">
        <f>IFERROR(__xludf.DUMMYFUNCTION("""COMPUTED_VALUE"""),"Healthcare")</f>
        <v>Healthcare</v>
      </c>
    </row>
    <row r="5284">
      <c r="A5284" s="131">
        <f>IFERROR(__xludf.DUMMYFUNCTION("""COMPUTED_VALUE"""),46187.513402777775)</f>
        <v>46187.5134</v>
      </c>
      <c r="B5284" s="126">
        <f>IFERROR(__xludf.DUMMYFUNCTION("""COMPUTED_VALUE"""),46187.0)</f>
        <v>46187</v>
      </c>
      <c r="C5284" s="130">
        <f>IFERROR(__xludf.DUMMYFUNCTION("""COMPUTED_VALUE"""),0.5134027777777778)</f>
        <v>0.5134027778</v>
      </c>
      <c r="D5284" s="122" t="str">
        <f>IFERROR(__xludf.DUMMYFUNCTION("""COMPUTED_VALUE"""),"VITA")</f>
        <v>VITA</v>
      </c>
      <c r="E5284" s="122" t="str">
        <f>IFERROR(__xludf.DUMMYFUNCTION("""COMPUTED_VALUE"""),"VitaPlus")</f>
        <v>VitaPlus</v>
      </c>
      <c r="F5284" s="122" t="str">
        <f>IFERROR(__xludf.DUMMYFUNCTION("""COMPUTED_VALUE"""),"Healthcare")</f>
        <v>Healthcare</v>
      </c>
    </row>
    <row r="5285">
      <c r="A5285" s="131">
        <f>IFERROR(__xludf.DUMMYFUNCTION("""COMPUTED_VALUE"""),46187.513402777775)</f>
        <v>46187.5134</v>
      </c>
      <c r="B5285" s="126">
        <f>IFERROR(__xludf.DUMMYFUNCTION("""COMPUTED_VALUE"""),46187.0)</f>
        <v>46187</v>
      </c>
      <c r="C5285" s="130">
        <f>IFERROR(__xludf.DUMMYFUNCTION("""COMPUTED_VALUE"""),0.5134027777777778)</f>
        <v>0.5134027778</v>
      </c>
      <c r="D5285" s="122" t="str">
        <f>IFERROR(__xludf.DUMMYFUNCTION("""COMPUTED_VALUE"""),"CARE")</f>
        <v>CARE</v>
      </c>
      <c r="E5285" s="122" t="str">
        <f>IFERROR(__xludf.DUMMYFUNCTION("""COMPUTED_VALUE"""),"CareCloud")</f>
        <v>CareCloud</v>
      </c>
      <c r="F5285" s="122" t="str">
        <f>IFERROR(__xludf.DUMMYFUNCTION("""COMPUTED_VALUE"""),"Healthcare")</f>
        <v>Healthcare</v>
      </c>
    </row>
    <row r="5286">
      <c r="A5286" s="131">
        <f>IFERROR(__xludf.DUMMYFUNCTION("""COMPUTED_VALUE"""),46187.513402777775)</f>
        <v>46187.5134</v>
      </c>
      <c r="B5286" s="126">
        <f>IFERROR(__xludf.DUMMYFUNCTION("""COMPUTED_VALUE"""),46187.0)</f>
        <v>46187</v>
      </c>
      <c r="C5286" s="130">
        <f>IFERROR(__xludf.DUMMYFUNCTION("""COMPUTED_VALUE"""),0.5134027777777778)</f>
        <v>0.5134027778</v>
      </c>
      <c r="D5286" s="122" t="str">
        <f>IFERROR(__xludf.DUMMYFUNCTION("""COMPUTED_VALUE"""),"DENT")</f>
        <v>DENT</v>
      </c>
      <c r="E5286" s="122" t="str">
        <f>IFERROR(__xludf.DUMMYFUNCTION("""COMPUTED_VALUE"""),"SmileWorks")</f>
        <v>SmileWorks</v>
      </c>
      <c r="F5286" s="122" t="str">
        <f>IFERROR(__xludf.DUMMYFUNCTION("""COMPUTED_VALUE"""),"Healthcare")</f>
        <v>Healthcare</v>
      </c>
    </row>
    <row r="5287">
      <c r="A5287" s="131">
        <f>IFERROR(__xludf.DUMMYFUNCTION("""COMPUTED_VALUE"""),46187.513402777775)</f>
        <v>46187.5134</v>
      </c>
      <c r="B5287" s="126">
        <f>IFERROR(__xludf.DUMMYFUNCTION("""COMPUTED_VALUE"""),46187.0)</f>
        <v>46187</v>
      </c>
      <c r="C5287" s="130">
        <f>IFERROR(__xludf.DUMMYFUNCTION("""COMPUTED_VALUE"""),0.5134027777777778)</f>
        <v>0.5134027778</v>
      </c>
      <c r="D5287" s="122" t="str">
        <f>IFERROR(__xludf.DUMMYFUNCTION("""COMPUTED_VALUE"""),"EDUX")</f>
        <v>EDUX</v>
      </c>
      <c r="E5287" s="122" t="str">
        <f>IFERROR(__xludf.DUMMYFUNCTION("""COMPUTED_VALUE"""),"EduMax Learning")</f>
        <v>EduMax Learning</v>
      </c>
      <c r="F5287" s="122" t="str">
        <f>IFERROR(__xludf.DUMMYFUNCTION("""COMPUTED_VALUE"""),"Education")</f>
        <v>Education</v>
      </c>
    </row>
    <row r="5288">
      <c r="A5288" s="131">
        <f>IFERROR(__xludf.DUMMYFUNCTION("""COMPUTED_VALUE"""),46187.513402777775)</f>
        <v>46187.5134</v>
      </c>
      <c r="B5288" s="126">
        <f>IFERROR(__xludf.DUMMYFUNCTION("""COMPUTED_VALUE"""),46187.0)</f>
        <v>46187</v>
      </c>
      <c r="C5288" s="130">
        <f>IFERROR(__xludf.DUMMYFUNCTION("""COMPUTED_VALUE"""),0.5134027777777778)</f>
        <v>0.5134027778</v>
      </c>
      <c r="D5288" s="122" t="str">
        <f>IFERROR(__xludf.DUMMYFUNCTION("""COMPUTED_VALUE"""),"BOOK")</f>
        <v>BOOK</v>
      </c>
      <c r="E5288" s="122" t="str">
        <f>IFERROR(__xludf.DUMMYFUNCTION("""COMPUTED_VALUE"""),"BookBridge")</f>
        <v>BookBridge</v>
      </c>
      <c r="F5288" s="122" t="str">
        <f>IFERROR(__xludf.DUMMYFUNCTION("""COMPUTED_VALUE"""),"Education")</f>
        <v>Education</v>
      </c>
    </row>
    <row r="5289">
      <c r="A5289" s="131">
        <f>IFERROR(__xludf.DUMMYFUNCTION("""COMPUTED_VALUE"""),46187.513402777775)</f>
        <v>46187.5134</v>
      </c>
      <c r="B5289" s="126">
        <f>IFERROR(__xludf.DUMMYFUNCTION("""COMPUTED_VALUE"""),46187.0)</f>
        <v>46187</v>
      </c>
      <c r="C5289" s="130">
        <f>IFERROR(__xludf.DUMMYFUNCTION("""COMPUTED_VALUE"""),0.5134027777777778)</f>
        <v>0.5134027778</v>
      </c>
      <c r="D5289" s="122" t="str">
        <f>IFERROR(__xludf.DUMMYFUNCTION("""COMPUTED_VALUE"""),"TUTR")</f>
        <v>TUTR</v>
      </c>
      <c r="E5289" s="122" t="str">
        <f>IFERROR(__xludf.DUMMYFUNCTION("""COMPUTED_VALUE"""),"TutorTown")</f>
        <v>TutorTown</v>
      </c>
      <c r="F5289" s="122" t="str">
        <f>IFERROR(__xludf.DUMMYFUNCTION("""COMPUTED_VALUE"""),"Education")</f>
        <v>Education</v>
      </c>
    </row>
    <row r="5290">
      <c r="A5290" s="131">
        <f>IFERROR(__xludf.DUMMYFUNCTION("""COMPUTED_VALUE"""),46187.513402777775)</f>
        <v>46187.5134</v>
      </c>
      <c r="B5290" s="126">
        <f>IFERROR(__xludf.DUMMYFUNCTION("""COMPUTED_VALUE"""),46187.0)</f>
        <v>46187</v>
      </c>
      <c r="C5290" s="130">
        <f>IFERROR(__xludf.DUMMYFUNCTION("""COMPUTED_VALUE"""),0.5134027777777778)</f>
        <v>0.5134027778</v>
      </c>
      <c r="D5290" s="122" t="str">
        <f>IFERROR(__xludf.DUMMYFUNCTION("""COMPUTED_VALUE"""),"LANG")</f>
        <v>LANG</v>
      </c>
      <c r="E5290" s="122" t="str">
        <f>IFERROR(__xludf.DUMMYFUNCTION("""COMPUTED_VALUE"""),"LinguaLab")</f>
        <v>LinguaLab</v>
      </c>
      <c r="F5290" s="122" t="str">
        <f>IFERROR(__xludf.DUMMYFUNCTION("""COMPUTED_VALUE"""),"Education")</f>
        <v>Education</v>
      </c>
    </row>
    <row r="5291">
      <c r="A5291" s="131">
        <f>IFERROR(__xludf.DUMMYFUNCTION("""COMPUTED_VALUE"""),46187.513402777775)</f>
        <v>46187.5134</v>
      </c>
      <c r="B5291" s="126">
        <f>IFERROR(__xludf.DUMMYFUNCTION("""COMPUTED_VALUE"""),46187.0)</f>
        <v>46187</v>
      </c>
      <c r="C5291" s="130">
        <f>IFERROR(__xludf.DUMMYFUNCTION("""COMPUTED_VALUE"""),0.5134027777777778)</f>
        <v>0.5134027778</v>
      </c>
      <c r="D5291" s="122" t="str">
        <f>IFERROR(__xludf.DUMMYFUNCTION("""COMPUTED_VALUE"""),"TEST")</f>
        <v>TEST</v>
      </c>
      <c r="E5291" s="122" t="str">
        <f>IFERROR(__xludf.DUMMYFUNCTION("""COMPUTED_VALUE"""),"TestPrep Pro")</f>
        <v>TestPrep Pro</v>
      </c>
      <c r="F5291" s="122" t="str">
        <f>IFERROR(__xludf.DUMMYFUNCTION("""COMPUTED_VALUE"""),"Education")</f>
        <v>Education</v>
      </c>
    </row>
    <row r="5292">
      <c r="A5292" s="131">
        <f>IFERROR(__xludf.DUMMYFUNCTION("""COMPUTED_VALUE"""),46187.513402777775)</f>
        <v>46187.5134</v>
      </c>
      <c r="B5292" s="126">
        <f>IFERROR(__xludf.DUMMYFUNCTION("""COMPUTED_VALUE"""),46187.0)</f>
        <v>46187</v>
      </c>
      <c r="C5292" s="130">
        <f>IFERROR(__xludf.DUMMYFUNCTION("""COMPUTED_VALUE"""),0.5134027777777778)</f>
        <v>0.5134027778</v>
      </c>
      <c r="D5292" s="122" t="str">
        <f>IFERROR(__xludf.DUMMYFUNCTION("""COMPUTED_VALUE"""),"MOVI")</f>
        <v>MOVI</v>
      </c>
      <c r="E5292" s="122" t="str">
        <f>IFERROR(__xludf.DUMMYFUNCTION("""COMPUTED_VALUE"""),"MovieBox")</f>
        <v>MovieBox</v>
      </c>
      <c r="F5292" s="122" t="str">
        <f>IFERROR(__xludf.DUMMYFUNCTION("""COMPUTED_VALUE"""),"Entertainment")</f>
        <v>Entertainment</v>
      </c>
    </row>
    <row r="5293">
      <c r="A5293" s="131">
        <f>IFERROR(__xludf.DUMMYFUNCTION("""COMPUTED_VALUE"""),46187.513402777775)</f>
        <v>46187.5134</v>
      </c>
      <c r="B5293" s="126">
        <f>IFERROR(__xludf.DUMMYFUNCTION("""COMPUTED_VALUE"""),46187.0)</f>
        <v>46187</v>
      </c>
      <c r="C5293" s="130">
        <f>IFERROR(__xludf.DUMMYFUNCTION("""COMPUTED_VALUE"""),0.5134027777777778)</f>
        <v>0.5134027778</v>
      </c>
      <c r="D5293" s="122" t="str">
        <f>IFERROR(__xludf.DUMMYFUNCTION("""COMPUTED_VALUE"""),"MUSC")</f>
        <v>MUSC</v>
      </c>
      <c r="E5293" s="122" t="str">
        <f>IFERROR(__xludf.DUMMYFUNCTION("""COMPUTED_VALUE"""),"MusicWave")</f>
        <v>MusicWave</v>
      </c>
      <c r="F5293" s="122" t="str">
        <f>IFERROR(__xludf.DUMMYFUNCTION("""COMPUTED_VALUE"""),"Entertainment")</f>
        <v>Entertainment</v>
      </c>
    </row>
    <row r="5294">
      <c r="A5294" s="131">
        <f>IFERROR(__xludf.DUMMYFUNCTION("""COMPUTED_VALUE"""),46187.513402777775)</f>
        <v>46187.5134</v>
      </c>
      <c r="B5294" s="126">
        <f>IFERROR(__xludf.DUMMYFUNCTION("""COMPUTED_VALUE"""),46187.0)</f>
        <v>46187</v>
      </c>
      <c r="C5294" s="130">
        <f>IFERROR(__xludf.DUMMYFUNCTION("""COMPUTED_VALUE"""),0.5134027777777778)</f>
        <v>0.5134027778</v>
      </c>
      <c r="D5294" s="122" t="str">
        <f>IFERROR(__xludf.DUMMYFUNCTION("""COMPUTED_VALUE"""),"IDOL")</f>
        <v>IDOL</v>
      </c>
      <c r="E5294" s="122" t="str">
        <f>IFERROR(__xludf.DUMMYFUNCTION("""COMPUTED_VALUE"""),"Idol Agency")</f>
        <v>Idol Agency</v>
      </c>
      <c r="F5294" s="122" t="str">
        <f>IFERROR(__xludf.DUMMYFUNCTION("""COMPUTED_VALUE"""),"Entertainment")</f>
        <v>Entertainment</v>
      </c>
    </row>
    <row r="5295">
      <c r="A5295" s="131">
        <f>IFERROR(__xludf.DUMMYFUNCTION("""COMPUTED_VALUE"""),46187.513402777775)</f>
        <v>46187.5134</v>
      </c>
      <c r="B5295" s="126">
        <f>IFERROR(__xludf.DUMMYFUNCTION("""COMPUTED_VALUE"""),46187.0)</f>
        <v>46187</v>
      </c>
      <c r="C5295" s="130">
        <f>IFERROR(__xludf.DUMMYFUNCTION("""COMPUTED_VALUE"""),0.5134027777777778)</f>
        <v>0.5134027778</v>
      </c>
      <c r="D5295" s="122" t="str">
        <f>IFERROR(__xludf.DUMMYFUNCTION("""COMPUTED_VALUE"""),"MEME")</f>
        <v>MEME</v>
      </c>
      <c r="E5295" s="122" t="str">
        <f>IFERROR(__xludf.DUMMYFUNCTION("""COMPUTED_VALUE"""),"Meme Media")</f>
        <v>Meme Media</v>
      </c>
      <c r="F5295" s="122" t="str">
        <f>IFERROR(__xludf.DUMMYFUNCTION("""COMPUTED_VALUE"""),"Entertainment")</f>
        <v>Entertainment</v>
      </c>
    </row>
    <row r="5296">
      <c r="A5296" s="131">
        <f>IFERROR(__xludf.DUMMYFUNCTION("""COMPUTED_VALUE"""),46187.513402777775)</f>
        <v>46187.5134</v>
      </c>
      <c r="B5296" s="126">
        <f>IFERROR(__xludf.DUMMYFUNCTION("""COMPUTED_VALUE"""),46187.0)</f>
        <v>46187</v>
      </c>
      <c r="C5296" s="130">
        <f>IFERROR(__xludf.DUMMYFUNCTION("""COMPUTED_VALUE"""),0.5134027777777778)</f>
        <v>0.5134027778</v>
      </c>
      <c r="D5296" s="122" t="str">
        <f>IFERROR(__xludf.DUMMYFUNCTION("""COMPUTED_VALUE"""),"STRM")</f>
        <v>STRM</v>
      </c>
      <c r="E5296" s="122" t="str">
        <f>IFERROR(__xludf.DUMMYFUNCTION("""COMPUTED_VALUE"""),"Streamly")</f>
        <v>Streamly</v>
      </c>
      <c r="F5296" s="122" t="str">
        <f>IFERROR(__xludf.DUMMYFUNCTION("""COMPUTED_VALUE"""),"Entertainment")</f>
        <v>Entertainment</v>
      </c>
    </row>
    <row r="5297">
      <c r="A5297" s="131">
        <f>IFERROR(__xludf.DUMMYFUNCTION("""COMPUTED_VALUE"""),46187.513402777775)</f>
        <v>46187.5134</v>
      </c>
      <c r="B5297" s="126">
        <f>IFERROR(__xludf.DUMMYFUNCTION("""COMPUTED_VALUE"""),46187.0)</f>
        <v>46187</v>
      </c>
      <c r="C5297" s="130">
        <f>IFERROR(__xludf.DUMMYFUNCTION("""COMPUTED_VALUE"""),0.5134027777777778)</f>
        <v>0.5134027778</v>
      </c>
      <c r="D5297" s="122" t="str">
        <f>IFERROR(__xludf.DUMMYFUNCTION("""COMPUTED_VALUE"""),"FARM")</f>
        <v>FARM</v>
      </c>
      <c r="E5297" s="122" t="str">
        <f>IFERROR(__xludf.DUMMYFUNCTION("""COMPUTED_VALUE"""),"Future Farms")</f>
        <v>Future Farms</v>
      </c>
      <c r="F5297" s="122" t="str">
        <f>IFERROR(__xludf.DUMMYFUNCTION("""COMPUTED_VALUE"""),"Agriculture")</f>
        <v>Agriculture</v>
      </c>
    </row>
    <row r="5298">
      <c r="A5298" s="131">
        <f>IFERROR(__xludf.DUMMYFUNCTION("""COMPUTED_VALUE"""),46187.513402777775)</f>
        <v>46187.5134</v>
      </c>
      <c r="B5298" s="126">
        <f>IFERROR(__xludf.DUMMYFUNCTION("""COMPUTED_VALUE"""),46187.0)</f>
        <v>46187</v>
      </c>
      <c r="C5298" s="130">
        <f>IFERROR(__xludf.DUMMYFUNCTION("""COMPUTED_VALUE"""),0.5134027777777778)</f>
        <v>0.5134027778</v>
      </c>
      <c r="D5298" s="122" t="str">
        <f>IFERROR(__xludf.DUMMYFUNCTION("""COMPUTED_VALUE"""),"MEAT")</f>
        <v>MEAT</v>
      </c>
      <c r="E5298" s="122" t="str">
        <f>IFERROR(__xludf.DUMMYFUNCTION("""COMPUTED_VALUE"""),"MeatWorks")</f>
        <v>MeatWorks</v>
      </c>
      <c r="F5298" s="122" t="str">
        <f>IFERROR(__xludf.DUMMYFUNCTION("""COMPUTED_VALUE"""),"Food")</f>
        <v>Food</v>
      </c>
    </row>
    <row r="5299">
      <c r="A5299" s="131">
        <f>IFERROR(__xludf.DUMMYFUNCTION("""COMPUTED_VALUE"""),46187.513402777775)</f>
        <v>46187.5134</v>
      </c>
      <c r="B5299" s="126">
        <f>IFERROR(__xludf.DUMMYFUNCTION("""COMPUTED_VALUE"""),46187.0)</f>
        <v>46187</v>
      </c>
      <c r="C5299" s="130">
        <f>IFERROR(__xludf.DUMMYFUNCTION("""COMPUTED_VALUE"""),0.5134027777777778)</f>
        <v>0.5134027778</v>
      </c>
      <c r="D5299" s="122" t="str">
        <f>IFERROR(__xludf.DUMMYFUNCTION("""COMPUTED_VALUE"""),"VEGI")</f>
        <v>VEGI</v>
      </c>
      <c r="E5299" s="122" t="str">
        <f>IFERROR(__xludf.DUMMYFUNCTION("""COMPUTED_VALUE"""),"Green Basket")</f>
        <v>Green Basket</v>
      </c>
      <c r="F5299" s="122" t="str">
        <f>IFERROR(__xludf.DUMMYFUNCTION("""COMPUTED_VALUE"""),"Food")</f>
        <v>Food</v>
      </c>
    </row>
    <row r="5300">
      <c r="A5300" s="131">
        <f>IFERROR(__xludf.DUMMYFUNCTION("""COMPUTED_VALUE"""),46187.513402777775)</f>
        <v>46187.5134</v>
      </c>
      <c r="B5300" s="126">
        <f>IFERROR(__xludf.DUMMYFUNCTION("""COMPUTED_VALUE"""),46187.0)</f>
        <v>46187</v>
      </c>
      <c r="C5300" s="130">
        <f>IFERROR(__xludf.DUMMYFUNCTION("""COMPUTED_VALUE"""),0.5134027777777778)</f>
        <v>0.5134027778</v>
      </c>
      <c r="D5300" s="122" t="str">
        <f>IFERROR(__xludf.DUMMYFUNCTION("""COMPUTED_VALUE"""),"CAFE")</f>
        <v>CAFE</v>
      </c>
      <c r="E5300" s="122" t="str">
        <f>IFERROR(__xludf.DUMMYFUNCTION("""COMPUTED_VALUE"""),"Cafe Cloud")</f>
        <v>Cafe Cloud</v>
      </c>
      <c r="F5300" s="122" t="str">
        <f>IFERROR(__xludf.DUMMYFUNCTION("""COMPUTED_VALUE"""),"Food")</f>
        <v>Food</v>
      </c>
    </row>
    <row r="5301">
      <c r="A5301" s="131">
        <f>IFERROR(__xludf.DUMMYFUNCTION("""COMPUTED_VALUE"""),46187.513402777775)</f>
        <v>46187.5134</v>
      </c>
      <c r="B5301" s="126">
        <f>IFERROR(__xludf.DUMMYFUNCTION("""COMPUTED_VALUE"""),46187.0)</f>
        <v>46187</v>
      </c>
      <c r="C5301" s="130">
        <f>IFERROR(__xludf.DUMMYFUNCTION("""COMPUTED_VALUE"""),0.5134027777777778)</f>
        <v>0.5134027778</v>
      </c>
      <c r="D5301" s="122" t="str">
        <f>IFERROR(__xludf.DUMMYFUNCTION("""COMPUTED_VALUE"""),"BAKE")</f>
        <v>BAKE</v>
      </c>
      <c r="E5301" s="122" t="str">
        <f>IFERROR(__xludf.DUMMYFUNCTION("""COMPUTED_VALUE"""),"BakeHouse")</f>
        <v>BakeHouse</v>
      </c>
      <c r="F5301" s="122" t="str">
        <f>IFERROR(__xludf.DUMMYFUNCTION("""COMPUTED_VALUE"""),"Food")</f>
        <v>Food</v>
      </c>
    </row>
    <row r="5302">
      <c r="A5302" s="131">
        <f>IFERROR(__xludf.DUMMYFUNCTION("""COMPUTED_VALUE"""),46187.513402777775)</f>
        <v>46187.5134</v>
      </c>
      <c r="B5302" s="126">
        <f>IFERROR(__xludf.DUMMYFUNCTION("""COMPUTED_VALUE"""),46187.0)</f>
        <v>46187</v>
      </c>
      <c r="C5302" s="130">
        <f>IFERROR(__xludf.DUMMYFUNCTION("""COMPUTED_VALUE"""),0.5134027777777778)</f>
        <v>0.5134027778</v>
      </c>
      <c r="D5302" s="122" t="str">
        <f>IFERROR(__xludf.DUMMYFUNCTION("""COMPUTED_VALUE"""),"OILX")</f>
        <v>OILX</v>
      </c>
      <c r="E5302" s="122" t="str">
        <f>IFERROR(__xludf.DUMMYFUNCTION("""COMPUTED_VALUE"""),"OilMax Energy")</f>
        <v>OilMax Energy</v>
      </c>
      <c r="F5302" s="122" t="str">
        <f>IFERROR(__xludf.DUMMYFUNCTION("""COMPUTED_VALUE"""),"Energy")</f>
        <v>Energy</v>
      </c>
    </row>
    <row r="5303">
      <c r="A5303" s="131">
        <f>IFERROR(__xludf.DUMMYFUNCTION("""COMPUTED_VALUE"""),46187.513402777775)</f>
        <v>46187.5134</v>
      </c>
      <c r="B5303" s="126">
        <f>IFERROR(__xludf.DUMMYFUNCTION("""COMPUTED_VALUE"""),46187.0)</f>
        <v>46187</v>
      </c>
      <c r="C5303" s="130">
        <f>IFERROR(__xludf.DUMMYFUNCTION("""COMPUTED_VALUE"""),0.5134027777777778)</f>
        <v>0.5134027778</v>
      </c>
      <c r="D5303" s="122" t="str">
        <f>IFERROR(__xludf.DUMMYFUNCTION("""COMPUTED_VALUE"""),"SOLR")</f>
        <v>SOLR</v>
      </c>
      <c r="E5303" s="122" t="str">
        <f>IFERROR(__xludf.DUMMYFUNCTION("""COMPUTED_VALUE"""),"SolarSpark")</f>
        <v>SolarSpark</v>
      </c>
      <c r="F5303" s="122" t="str">
        <f>IFERROR(__xludf.DUMMYFUNCTION("""COMPUTED_VALUE"""),"Energy")</f>
        <v>Energy</v>
      </c>
    </row>
    <row r="5304">
      <c r="A5304" s="131">
        <f>IFERROR(__xludf.DUMMYFUNCTION("""COMPUTED_VALUE"""),46187.513402777775)</f>
        <v>46187.5134</v>
      </c>
      <c r="B5304" s="126">
        <f>IFERROR(__xludf.DUMMYFUNCTION("""COMPUTED_VALUE"""),46187.0)</f>
        <v>46187</v>
      </c>
      <c r="C5304" s="130">
        <f>IFERROR(__xludf.DUMMYFUNCTION("""COMPUTED_VALUE"""),0.5134027777777778)</f>
        <v>0.5134027778</v>
      </c>
      <c r="D5304" s="122" t="str">
        <f>IFERROR(__xludf.DUMMYFUNCTION("""COMPUTED_VALUE"""),"BATT")</f>
        <v>BATT</v>
      </c>
      <c r="E5304" s="122" t="str">
        <f>IFERROR(__xludf.DUMMYFUNCTION("""COMPUTED_VALUE"""),"BatteryBox")</f>
        <v>BatteryBox</v>
      </c>
      <c r="F5304" s="122" t="str">
        <f>IFERROR(__xludf.DUMMYFUNCTION("""COMPUTED_VALUE"""),"Energy")</f>
        <v>Energy</v>
      </c>
    </row>
    <row r="5305">
      <c r="A5305" s="131">
        <f>IFERROR(__xludf.DUMMYFUNCTION("""COMPUTED_VALUE"""),46187.513402777775)</f>
        <v>46187.5134</v>
      </c>
      <c r="B5305" s="126">
        <f>IFERROR(__xludf.DUMMYFUNCTION("""COMPUTED_VALUE"""),46187.0)</f>
        <v>46187</v>
      </c>
      <c r="C5305" s="130">
        <f>IFERROR(__xludf.DUMMYFUNCTION("""COMPUTED_VALUE"""),0.5134027777777778)</f>
        <v>0.5134027778</v>
      </c>
      <c r="D5305" s="122" t="str">
        <f>IFERROR(__xludf.DUMMYFUNCTION("""COMPUTED_VALUE"""),"WIND")</f>
        <v>WIND</v>
      </c>
      <c r="E5305" s="122" t="str">
        <f>IFERROR(__xludf.DUMMYFUNCTION("""COMPUTED_VALUE"""),"WindWorks")</f>
        <v>WindWorks</v>
      </c>
      <c r="F5305" s="122" t="str">
        <f>IFERROR(__xludf.DUMMYFUNCTION("""COMPUTED_VALUE"""),"Energy")</f>
        <v>Energy</v>
      </c>
    </row>
    <row r="5306">
      <c r="A5306" s="131">
        <f>IFERROR(__xludf.DUMMYFUNCTION("""COMPUTED_VALUE"""),46187.513402777775)</f>
        <v>46187.5134</v>
      </c>
      <c r="B5306" s="126">
        <f>IFERROR(__xludf.DUMMYFUNCTION("""COMPUTED_VALUE"""),46187.0)</f>
        <v>46187</v>
      </c>
      <c r="C5306" s="130">
        <f>IFERROR(__xludf.DUMMYFUNCTION("""COMPUTED_VALUE"""),0.5134027777777778)</f>
        <v>0.5134027778</v>
      </c>
      <c r="D5306" s="122" t="str">
        <f>IFERROR(__xludf.DUMMYFUNCTION("""COMPUTED_VALUE"""),"GRID")</f>
        <v>GRID</v>
      </c>
      <c r="E5306" s="122" t="str">
        <f>IFERROR(__xludf.DUMMYFUNCTION("""COMPUTED_VALUE"""),"GridPower")</f>
        <v>GridPower</v>
      </c>
      <c r="F5306" s="122" t="str">
        <f>IFERROR(__xludf.DUMMYFUNCTION("""COMPUTED_VALUE"""),"Energy")</f>
        <v>Energy</v>
      </c>
    </row>
    <row r="5307">
      <c r="A5307" s="131">
        <f>IFERROR(__xludf.DUMMYFUNCTION("""COMPUTED_VALUE"""),46187.513402777775)</f>
        <v>46187.5134</v>
      </c>
      <c r="B5307" s="126">
        <f>IFERROR(__xludf.DUMMYFUNCTION("""COMPUTED_VALUE"""),46187.0)</f>
        <v>46187</v>
      </c>
      <c r="C5307" s="130">
        <f>IFERROR(__xludf.DUMMYFUNCTION("""COMPUTED_VALUE"""),0.5134027777777778)</f>
        <v>0.5134027778</v>
      </c>
      <c r="D5307" s="122" t="str">
        <f>IFERROR(__xludf.DUMMYFUNCTION("""COMPUTED_VALUE"""),"HOME")</f>
        <v>HOME</v>
      </c>
      <c r="E5307" s="122" t="str">
        <f>IFERROR(__xludf.DUMMYFUNCTION("""COMPUTED_VALUE"""),"HomeHub")</f>
        <v>HomeHub</v>
      </c>
      <c r="F5307" s="122" t="str">
        <f>IFERROR(__xludf.DUMMYFUNCTION("""COMPUTED_VALUE"""),"Real Estate")</f>
        <v>Real Estate</v>
      </c>
    </row>
    <row r="5308">
      <c r="A5308" s="131">
        <f>IFERROR(__xludf.DUMMYFUNCTION("""COMPUTED_VALUE"""),46187.513402777775)</f>
        <v>46187.5134</v>
      </c>
      <c r="B5308" s="126">
        <f>IFERROR(__xludf.DUMMYFUNCTION("""COMPUTED_VALUE"""),46187.0)</f>
        <v>46187</v>
      </c>
      <c r="C5308" s="130">
        <f>IFERROR(__xludf.DUMMYFUNCTION("""COMPUTED_VALUE"""),0.5134027777777778)</f>
        <v>0.5134027778</v>
      </c>
      <c r="D5308" s="122" t="str">
        <f>IFERROR(__xludf.DUMMYFUNCTION("""COMPUTED_VALUE"""),"RENT")</f>
        <v>RENT</v>
      </c>
      <c r="E5308" s="122" t="str">
        <f>IFERROR(__xludf.DUMMYFUNCTION("""COMPUTED_VALUE"""),"RentRight")</f>
        <v>RentRight</v>
      </c>
      <c r="F5308" s="122" t="str">
        <f>IFERROR(__xludf.DUMMYFUNCTION("""COMPUTED_VALUE"""),"Real Estate")</f>
        <v>Real Estate</v>
      </c>
    </row>
    <row r="5309">
      <c r="A5309" s="131">
        <f>IFERROR(__xludf.DUMMYFUNCTION("""COMPUTED_VALUE"""),46187.513402777775)</f>
        <v>46187.5134</v>
      </c>
      <c r="B5309" s="126">
        <f>IFERROR(__xludf.DUMMYFUNCTION("""COMPUTED_VALUE"""),46187.0)</f>
        <v>46187</v>
      </c>
      <c r="C5309" s="130">
        <f>IFERROR(__xludf.DUMMYFUNCTION("""COMPUTED_VALUE"""),0.5134027777777778)</f>
        <v>0.5134027778</v>
      </c>
      <c r="D5309" s="122" t="str">
        <f>IFERROR(__xludf.DUMMYFUNCTION("""COMPUTED_VALUE"""),"MALL")</f>
        <v>MALL</v>
      </c>
      <c r="E5309" s="122" t="str">
        <f>IFERROR(__xludf.DUMMYFUNCTION("""COMPUTED_VALUE"""),"MegaMall")</f>
        <v>MegaMall</v>
      </c>
      <c r="F5309" s="122" t="str">
        <f>IFERROR(__xludf.DUMMYFUNCTION("""COMPUTED_VALUE"""),"Real Estate")</f>
        <v>Real Estate</v>
      </c>
    </row>
    <row r="5310">
      <c r="A5310" s="131">
        <f>IFERROR(__xludf.DUMMYFUNCTION("""COMPUTED_VALUE"""),46187.513402777775)</f>
        <v>46187.5134</v>
      </c>
      <c r="B5310" s="126">
        <f>IFERROR(__xludf.DUMMYFUNCTION("""COMPUTED_VALUE"""),46187.0)</f>
        <v>46187</v>
      </c>
      <c r="C5310" s="130">
        <f>IFERROR(__xludf.DUMMYFUNCTION("""COMPUTED_VALUE"""),0.5134027777777778)</f>
        <v>0.5134027778</v>
      </c>
      <c r="D5310" s="122" t="str">
        <f>IFERROR(__xludf.DUMMYFUNCTION("""COMPUTED_VALUE"""),"HOTL")</f>
        <v>HOTL</v>
      </c>
      <c r="E5310" s="122" t="str">
        <f>IFERROR(__xludf.DUMMYFUNCTION("""COMPUTED_VALUE"""),"HotelHive")</f>
        <v>HotelHive</v>
      </c>
      <c r="F5310" s="122" t="str">
        <f>IFERROR(__xludf.DUMMYFUNCTION("""COMPUTED_VALUE"""),"Real Estate")</f>
        <v>Real Estate</v>
      </c>
    </row>
    <row r="5311">
      <c r="A5311" s="131">
        <f>IFERROR(__xludf.DUMMYFUNCTION("""COMPUTED_VALUE"""),46187.513402777775)</f>
        <v>46187.5134</v>
      </c>
      <c r="B5311" s="126">
        <f>IFERROR(__xludf.DUMMYFUNCTION("""COMPUTED_VALUE"""),46187.0)</f>
        <v>46187</v>
      </c>
      <c r="C5311" s="130">
        <f>IFERROR(__xludf.DUMMYFUNCTION("""COMPUTED_VALUE"""),0.5134027777777778)</f>
        <v>0.5134027778</v>
      </c>
      <c r="D5311" s="122" t="str">
        <f>IFERROR(__xludf.DUMMYFUNCTION("""COMPUTED_VALUE"""),"LAND")</f>
        <v>LAND</v>
      </c>
      <c r="E5311" s="122" t="str">
        <f>IFERROR(__xludf.DUMMYFUNCTION("""COMPUTED_VALUE"""),"LandLink")</f>
        <v>LandLink</v>
      </c>
      <c r="F5311" s="122" t="str">
        <f>IFERROR(__xludf.DUMMYFUNCTION("""COMPUTED_VALUE"""),"Real Estate")</f>
        <v>Real Estate</v>
      </c>
    </row>
    <row r="5312">
      <c r="A5312" s="131">
        <f>IFERROR(__xludf.DUMMYFUNCTION("""COMPUTED_VALUE"""),46187.513402777775)</f>
        <v>46187.5134</v>
      </c>
      <c r="B5312" s="126">
        <f>IFERROR(__xludf.DUMMYFUNCTION("""COMPUTED_VALUE"""),46187.0)</f>
        <v>46187</v>
      </c>
      <c r="C5312" s="130">
        <f>IFERROR(__xludf.DUMMYFUNCTION("""COMPUTED_VALUE"""),0.5134027777777778)</f>
        <v>0.5134027778</v>
      </c>
      <c r="D5312" s="122" t="str">
        <f>IFERROR(__xludf.DUMMYFUNCTION("""COMPUTED_VALUE"""),"CARS")</f>
        <v>CARS</v>
      </c>
      <c r="E5312" s="122" t="str">
        <f>IFERROR(__xludf.DUMMYFUNCTION("""COMPUTED_VALUE"""),"AutoArena")</f>
        <v>AutoArena</v>
      </c>
      <c r="F5312" s="122" t="str">
        <f>IFERROR(__xludf.DUMMYFUNCTION("""COMPUTED_VALUE"""),"Automotive")</f>
        <v>Automotive</v>
      </c>
    </row>
    <row r="5313">
      <c r="A5313" s="131">
        <f>IFERROR(__xludf.DUMMYFUNCTION("""COMPUTED_VALUE"""),46187.513402777775)</f>
        <v>46187.5134</v>
      </c>
      <c r="B5313" s="126">
        <f>IFERROR(__xludf.DUMMYFUNCTION("""COMPUTED_VALUE"""),46187.0)</f>
        <v>46187</v>
      </c>
      <c r="C5313" s="130">
        <f>IFERROR(__xludf.DUMMYFUNCTION("""COMPUTED_VALUE"""),0.5134027777777778)</f>
        <v>0.5134027778</v>
      </c>
      <c r="D5313" s="122" t="str">
        <f>IFERROR(__xludf.DUMMYFUNCTION("""COMPUTED_VALUE"""),"EVGO")</f>
        <v>EVGO</v>
      </c>
      <c r="E5313" s="122" t="str">
        <f>IFERROR(__xludf.DUMMYFUNCTION("""COMPUTED_VALUE"""),"EVGo Motors")</f>
        <v>EVGo Motors</v>
      </c>
      <c r="F5313" s="122" t="str">
        <f>IFERROR(__xludf.DUMMYFUNCTION("""COMPUTED_VALUE"""),"Automotive")</f>
        <v>Automotive</v>
      </c>
    </row>
    <row r="5314">
      <c r="A5314" s="131">
        <f>IFERROR(__xludf.DUMMYFUNCTION("""COMPUTED_VALUE"""),46187.513402777775)</f>
        <v>46187.5134</v>
      </c>
      <c r="B5314" s="126">
        <f>IFERROR(__xludf.DUMMYFUNCTION("""COMPUTED_VALUE"""),46187.0)</f>
        <v>46187</v>
      </c>
      <c r="C5314" s="130">
        <f>IFERROR(__xludf.DUMMYFUNCTION("""COMPUTED_VALUE"""),0.5134027777777778)</f>
        <v>0.5134027778</v>
      </c>
      <c r="D5314" s="122" t="str">
        <f>IFERROR(__xludf.DUMMYFUNCTION("""COMPUTED_VALUE"""),"TIRE")</f>
        <v>TIRE</v>
      </c>
      <c r="E5314" s="122" t="str">
        <f>IFERROR(__xludf.DUMMYFUNCTION("""COMPUTED_VALUE"""),"TireTown")</f>
        <v>TireTown</v>
      </c>
      <c r="F5314" s="122" t="str">
        <f>IFERROR(__xludf.DUMMYFUNCTION("""COMPUTED_VALUE"""),"Automotive")</f>
        <v>Automotive</v>
      </c>
    </row>
    <row r="5315">
      <c r="A5315" s="131">
        <f>IFERROR(__xludf.DUMMYFUNCTION("""COMPUTED_VALUE"""),46187.513402777775)</f>
        <v>46187.5134</v>
      </c>
      <c r="B5315" s="126">
        <f>IFERROR(__xludf.DUMMYFUNCTION("""COMPUTED_VALUE"""),46187.0)</f>
        <v>46187</v>
      </c>
      <c r="C5315" s="130">
        <f>IFERROR(__xludf.DUMMYFUNCTION("""COMPUTED_VALUE"""),0.5134027777777778)</f>
        <v>0.5134027778</v>
      </c>
      <c r="D5315" s="122" t="str">
        <f>IFERROR(__xludf.DUMMYFUNCTION("""COMPUTED_VALUE"""),"BIKE")</f>
        <v>BIKE</v>
      </c>
      <c r="E5315" s="122" t="str">
        <f>IFERROR(__xludf.DUMMYFUNCTION("""COMPUTED_VALUE"""),"BikeBox")</f>
        <v>BikeBox</v>
      </c>
      <c r="F5315" s="122" t="str">
        <f>IFERROR(__xludf.DUMMYFUNCTION("""COMPUTED_VALUE"""),"Automotive")</f>
        <v>Automotive</v>
      </c>
    </row>
    <row r="5316">
      <c r="A5316" s="131">
        <f>IFERROR(__xludf.DUMMYFUNCTION("""COMPUTED_VALUE"""),46187.513402777775)</f>
        <v>46187.5134</v>
      </c>
      <c r="B5316" s="126">
        <f>IFERROR(__xludf.DUMMYFUNCTION("""COMPUTED_VALUE"""),46187.0)</f>
        <v>46187</v>
      </c>
      <c r="C5316" s="130">
        <f>IFERROR(__xludf.DUMMYFUNCTION("""COMPUTED_VALUE"""),0.5134027777777778)</f>
        <v>0.5134027778</v>
      </c>
      <c r="D5316" s="122" t="str">
        <f>IFERROR(__xludf.DUMMYFUNCTION("""COMPUTED_VALUE"""),"WASH")</f>
        <v>WASH</v>
      </c>
      <c r="E5316" s="122" t="str">
        <f>IFERROR(__xludf.DUMMYFUNCTION("""COMPUTED_VALUE"""),"CarWash Co")</f>
        <v>CarWash Co</v>
      </c>
      <c r="F5316" s="122" t="str">
        <f>IFERROR(__xludf.DUMMYFUNCTION("""COMPUTED_VALUE"""),"Automotive")</f>
        <v>Automotive</v>
      </c>
    </row>
    <row r="5317">
      <c r="A5317" s="131">
        <f>IFERROR(__xludf.DUMMYFUNCTION("""COMPUTED_VALUE"""),46187.513402777775)</f>
        <v>46187.5134</v>
      </c>
      <c r="B5317" s="126">
        <f>IFERROR(__xludf.DUMMYFUNCTION("""COMPUTED_VALUE"""),46187.0)</f>
        <v>46187</v>
      </c>
      <c r="C5317" s="130">
        <f>IFERROR(__xludf.DUMMYFUNCTION("""COMPUTED_VALUE"""),0.5134027777777778)</f>
        <v>0.5134027778</v>
      </c>
      <c r="D5317" s="122" t="str">
        <f>IFERROR(__xludf.DUMMYFUNCTION("""COMPUTED_VALUE"""),"GBND")</f>
        <v>GBND</v>
      </c>
      <c r="E5317" s="122" t="str">
        <f>IFERROR(__xludf.DUMMYFUNCTION("""COMPUTED_VALUE"""),"Classroom Government Bond")</f>
        <v>Classroom Government Bond</v>
      </c>
      <c r="F5317" s="122" t="str">
        <f>IFERROR(__xludf.DUMMYFUNCTION("""COMPUTED_VALUE"""),"Bond")</f>
        <v>Bond</v>
      </c>
    </row>
    <row r="5318">
      <c r="A5318" s="131">
        <f>IFERROR(__xludf.DUMMYFUNCTION("""COMPUTED_VALUE"""),46187.513402777775)</f>
        <v>46187.5134</v>
      </c>
      <c r="B5318" s="126">
        <f>IFERROR(__xludf.DUMMYFUNCTION("""COMPUTED_VALUE"""),46187.0)</f>
        <v>46187</v>
      </c>
      <c r="C5318" s="130">
        <f>IFERROR(__xludf.DUMMYFUNCTION("""COMPUTED_VALUE"""),0.5134027777777778)</f>
        <v>0.5134027778</v>
      </c>
      <c r="D5318" s="122" t="str">
        <f>IFERROR(__xludf.DUMMYFUNCTION("""COMPUTED_VALUE"""),"SBND")</f>
        <v>SBND</v>
      </c>
      <c r="E5318" s="122" t="str">
        <f>IFERROR(__xludf.DUMMYFUNCTION("""COMPUTED_VALUE"""),"School Savings Bond")</f>
        <v>School Savings Bond</v>
      </c>
      <c r="F5318" s="122" t="str">
        <f>IFERROR(__xludf.DUMMYFUNCTION("""COMPUTED_VALUE"""),"Bond")</f>
        <v>Bond</v>
      </c>
    </row>
    <row r="5319">
      <c r="A5319" s="131">
        <f>IFERROR(__xludf.DUMMYFUNCTION("""COMPUTED_VALUE"""),46187.513402777775)</f>
        <v>46187.5134</v>
      </c>
      <c r="B5319" s="126">
        <f>IFERROR(__xludf.DUMMYFUNCTION("""COMPUTED_VALUE"""),46187.0)</f>
        <v>46187</v>
      </c>
      <c r="C5319" s="130">
        <f>IFERROR(__xludf.DUMMYFUNCTION("""COMPUTED_VALUE"""),0.5134027777777778)</f>
        <v>0.5134027778</v>
      </c>
      <c r="D5319" s="122" t="str">
        <f>IFERROR(__xludf.DUMMYFUNCTION("""COMPUTED_VALUE"""),"CBND")</f>
        <v>CBND</v>
      </c>
      <c r="E5319" s="122" t="str">
        <f>IFERROR(__xludf.DUMMYFUNCTION("""COMPUTED_VALUE"""),"Corporate Classroom Bond")</f>
        <v>Corporate Classroom Bond</v>
      </c>
      <c r="F5319" s="122" t="str">
        <f>IFERROR(__xludf.DUMMYFUNCTION("""COMPUTED_VALUE"""),"Bond")</f>
        <v>Bond</v>
      </c>
    </row>
    <row r="5320">
      <c r="A5320" s="131">
        <f>IFERROR(__xludf.DUMMYFUNCTION("""COMPUTED_VALUE"""),46187.513402777775)</f>
        <v>46187.5134</v>
      </c>
      <c r="B5320" s="126">
        <f>IFERROR(__xludf.DUMMYFUNCTION("""COMPUTED_VALUE"""),46187.0)</f>
        <v>46187</v>
      </c>
      <c r="C5320" s="130">
        <f>IFERROR(__xludf.DUMMYFUNCTION("""COMPUTED_VALUE"""),0.5134027777777778)</f>
        <v>0.5134027778</v>
      </c>
      <c r="D5320" s="122" t="str">
        <f>IFERROR(__xludf.DUMMYFUNCTION("""COMPUTED_VALUE"""),"TBIL")</f>
        <v>TBIL</v>
      </c>
      <c r="E5320" s="122" t="str">
        <f>IFERROR(__xludf.DUMMYFUNCTION("""COMPUTED_VALUE"""),"Treasury Bill")</f>
        <v>Treasury Bill</v>
      </c>
      <c r="F5320" s="122" t="str">
        <f>IFERROR(__xludf.DUMMYFUNCTION("""COMPUTED_VALUE"""),"Bond")</f>
        <v>Bond</v>
      </c>
    </row>
    <row r="5321">
      <c r="A5321" s="131">
        <f>IFERROR(__xludf.DUMMYFUNCTION("""COMPUTED_VALUE"""),46187.513402777775)</f>
        <v>46187.5134</v>
      </c>
      <c r="B5321" s="126">
        <f>IFERROR(__xludf.DUMMYFUNCTION("""COMPUTED_VALUE"""),46187.0)</f>
        <v>46187</v>
      </c>
      <c r="C5321" s="130">
        <f>IFERROR(__xludf.DUMMYFUNCTION("""COMPUTED_VALUE"""),0.5134027777777778)</f>
        <v>0.5134027778</v>
      </c>
      <c r="D5321" s="122" t="str">
        <f>IFERROR(__xludf.DUMMYFUNCTION("""COMPUTED_VALUE"""),"IBND")</f>
        <v>IBND</v>
      </c>
      <c r="E5321" s="122" t="str">
        <f>IFERROR(__xludf.DUMMYFUNCTION("""COMPUTED_VALUE"""),"Inflation Protected Bond")</f>
        <v>Inflation Protected Bond</v>
      </c>
      <c r="F5321" s="122" t="str">
        <f>IFERROR(__xludf.DUMMYFUNCTION("""COMPUTED_VALUE"""),"Bond")</f>
        <v>Bond</v>
      </c>
    </row>
    <row r="5322">
      <c r="A5322" s="131">
        <f>IFERROR(__xludf.DUMMYFUNCTION("""COMPUTED_VALUE"""),46187.51537037037)</f>
        <v>46187.51537</v>
      </c>
      <c r="B5322" s="126">
        <f>IFERROR(__xludf.DUMMYFUNCTION("""COMPUTED_VALUE"""),46187.0)</f>
        <v>46187</v>
      </c>
      <c r="C5322" s="122" t="str">
        <f>IFERROR(__xludf.DUMMYFUNCTION("""COMPUTED_VALUE"""),"SNAX")</f>
        <v>SNAX</v>
      </c>
      <c r="D5322" s="122" t="str">
        <f>IFERROR(__xludf.DUMMYFUNCTION("""COMPUTED_VALUE"""),"MICA Snacks")</f>
        <v>MICA Snacks</v>
      </c>
      <c r="E5322" s="122">
        <f>IFERROR(__xludf.DUMMYFUNCTION("""COMPUTED_VALUE"""),119.99)</f>
        <v>119.99</v>
      </c>
      <c r="F5322" s="122">
        <f>IFERROR(__xludf.DUMMYFUNCTION("""COMPUTED_VALUE"""),-1.0E-4)</f>
        <v>-0.0001</v>
      </c>
    </row>
    <row r="5323">
      <c r="A5323" s="131">
        <f>IFERROR(__xludf.DUMMYFUNCTION("""COMPUTED_VALUE"""),46187.51537037037)</f>
        <v>46187.51537</v>
      </c>
      <c r="B5323" s="126">
        <f>IFERROR(__xludf.DUMMYFUNCTION("""COMPUTED_VALUE"""),46187.0)</f>
        <v>46187</v>
      </c>
      <c r="C5323" s="122" t="str">
        <f>IFERROR(__xludf.DUMMYFUNCTION("""COMPUTED_VALUE"""),"RAMN")</f>
        <v>RAMN</v>
      </c>
      <c r="D5323" s="122" t="str">
        <f>IFERROR(__xludf.DUMMYFUNCTION("""COMPUTED_VALUE"""),"Ramen Republic")</f>
        <v>Ramen Republic</v>
      </c>
      <c r="E5323" s="122">
        <f>IFERROR(__xludf.DUMMYFUNCTION("""COMPUTED_VALUE"""),67.88)</f>
        <v>67.88</v>
      </c>
      <c r="F5323" s="122">
        <f>IFERROR(__xludf.DUMMYFUNCTION("""COMPUTED_VALUE"""),0.0015)</f>
        <v>0.0015</v>
      </c>
    </row>
    <row r="5324">
      <c r="A5324" s="131">
        <f>IFERROR(__xludf.DUMMYFUNCTION("""COMPUTED_VALUE"""),46187.51537037037)</f>
        <v>46187.51537</v>
      </c>
      <c r="B5324" s="126">
        <f>IFERROR(__xludf.DUMMYFUNCTION("""COMPUTED_VALUE"""),46187.0)</f>
        <v>46187</v>
      </c>
      <c r="C5324" s="122" t="str">
        <f>IFERROR(__xludf.DUMMYFUNCTION("""COMPUTED_VALUE"""),"COLA")</f>
        <v>COLA</v>
      </c>
      <c r="D5324" s="122" t="str">
        <f>IFERROR(__xludf.DUMMYFUNCTION("""COMPUTED_VALUE"""),"K-Pop Cola")</f>
        <v>K-Pop Cola</v>
      </c>
      <c r="E5324" s="122">
        <f>IFERROR(__xludf.DUMMYFUNCTION("""COMPUTED_VALUE"""),113.6)</f>
        <v>113.6</v>
      </c>
      <c r="F5324" s="122">
        <f>IFERROR(__xludf.DUMMYFUNCTION("""COMPUTED_VALUE"""),-0.0047)</f>
        <v>-0.0047</v>
      </c>
    </row>
    <row r="5325">
      <c r="A5325" s="131">
        <f>IFERROR(__xludf.DUMMYFUNCTION("""COMPUTED_VALUE"""),46187.51537037037)</f>
        <v>46187.51537</v>
      </c>
      <c r="B5325" s="126">
        <f>IFERROR(__xludf.DUMMYFUNCTION("""COMPUTED_VALUE"""),46187.0)</f>
        <v>46187</v>
      </c>
      <c r="C5325" s="122" t="str">
        <f>IFERROR(__xludf.DUMMYFUNCTION("""COMPUTED_VALUE"""),"CHIP")</f>
        <v>CHIP</v>
      </c>
      <c r="D5325" s="122" t="str">
        <f>IFERROR(__xludf.DUMMYFUNCTION("""COMPUTED_VALUE"""),"Chip Empire")</f>
        <v>Chip Empire</v>
      </c>
      <c r="E5325" s="122">
        <f>IFERROR(__xludf.DUMMYFUNCTION("""COMPUTED_VALUE"""),86.18)</f>
        <v>86.18</v>
      </c>
      <c r="F5325" s="122">
        <f>IFERROR(__xludf.DUMMYFUNCTION("""COMPUTED_VALUE"""),-0.0016)</f>
        <v>-0.0016</v>
      </c>
    </row>
    <row r="5326">
      <c r="A5326" s="131">
        <f>IFERROR(__xludf.DUMMYFUNCTION("""COMPUTED_VALUE"""),46187.51537037037)</f>
        <v>46187.51537</v>
      </c>
      <c r="B5326" s="126">
        <f>IFERROR(__xludf.DUMMYFUNCTION("""COMPUTED_VALUE"""),46187.0)</f>
        <v>46187</v>
      </c>
      <c r="C5326" s="122" t="str">
        <f>IFERROR(__xludf.DUMMYFUNCTION("""COMPUTED_VALUE"""),"CAND")</f>
        <v>CAND</v>
      </c>
      <c r="D5326" s="122" t="str">
        <f>IFERROR(__xludf.DUMMYFUNCTION("""COMPUTED_VALUE"""),"Candy Capital")</f>
        <v>Candy Capital</v>
      </c>
      <c r="E5326" s="122">
        <f>IFERROR(__xludf.DUMMYFUNCTION("""COMPUTED_VALUE"""),76.08)</f>
        <v>76.08</v>
      </c>
      <c r="F5326" s="122">
        <f>IFERROR(__xludf.DUMMYFUNCTION("""COMPUTED_VALUE"""),-0.0061)</f>
        <v>-0.0061</v>
      </c>
    </row>
    <row r="5327">
      <c r="A5327" s="131">
        <f>IFERROR(__xludf.DUMMYFUNCTION("""COMPUTED_VALUE"""),46187.51537037037)</f>
        <v>46187.51537</v>
      </c>
      <c r="B5327" s="126">
        <f>IFERROR(__xludf.DUMMYFUNCTION("""COMPUTED_VALUE"""),46187.0)</f>
        <v>46187</v>
      </c>
      <c r="C5327" s="122" t="str">
        <f>IFERROR(__xludf.DUMMYFUNCTION("""COMPUTED_VALUE"""),"TECH")</f>
        <v>TECH</v>
      </c>
      <c r="D5327" s="122" t="str">
        <f>IFERROR(__xludf.DUMMYFUNCTION("""COMPUTED_VALUE"""),"Dragon Tech")</f>
        <v>Dragon Tech</v>
      </c>
      <c r="E5327" s="122">
        <f>IFERROR(__xludf.DUMMYFUNCTION("""COMPUTED_VALUE"""),242.95)</f>
        <v>242.95</v>
      </c>
      <c r="F5327" s="122">
        <f>IFERROR(__xludf.DUMMYFUNCTION("""COMPUTED_VALUE"""),0.0051)</f>
        <v>0.0051</v>
      </c>
    </row>
    <row r="5328">
      <c r="A5328" s="131">
        <f>IFERROR(__xludf.DUMMYFUNCTION("""COMPUTED_VALUE"""),46187.51537037037)</f>
        <v>46187.51537</v>
      </c>
      <c r="B5328" s="126">
        <f>IFERROR(__xludf.DUMMYFUNCTION("""COMPUTED_VALUE"""),46187.0)</f>
        <v>46187</v>
      </c>
      <c r="C5328" s="122" t="str">
        <f>IFERROR(__xludf.DUMMYFUNCTION("""COMPUTED_VALUE"""),"AIBO")</f>
        <v>AIBO</v>
      </c>
      <c r="D5328" s="122" t="str">
        <f>IFERROR(__xludf.DUMMYFUNCTION("""COMPUTED_VALUE"""),"Homework AI")</f>
        <v>Homework AI</v>
      </c>
      <c r="E5328" s="122">
        <f>IFERROR(__xludf.DUMMYFUNCTION("""COMPUTED_VALUE"""),179.8)</f>
        <v>179.8</v>
      </c>
      <c r="F5328" s="122">
        <f>IFERROR(__xludf.DUMMYFUNCTION("""COMPUTED_VALUE"""),-0.0108)</f>
        <v>-0.0108</v>
      </c>
    </row>
    <row r="5329">
      <c r="A5329" s="131">
        <f>IFERROR(__xludf.DUMMYFUNCTION("""COMPUTED_VALUE"""),46187.51537037037)</f>
        <v>46187.51537</v>
      </c>
      <c r="B5329" s="126">
        <f>IFERROR(__xludf.DUMMYFUNCTION("""COMPUTED_VALUE"""),46187.0)</f>
        <v>46187</v>
      </c>
      <c r="C5329" s="122" t="str">
        <f>IFERROR(__xludf.DUMMYFUNCTION("""COMPUTED_VALUE"""),"GAME")</f>
        <v>GAME</v>
      </c>
      <c r="D5329" s="122" t="str">
        <f>IFERROR(__xludf.DUMMYFUNCTION("""COMPUTED_VALUE"""),"GameBox Media")</f>
        <v>GameBox Media</v>
      </c>
      <c r="E5329" s="122">
        <f>IFERROR(__xludf.DUMMYFUNCTION("""COMPUTED_VALUE"""),98.41)</f>
        <v>98.41</v>
      </c>
      <c r="F5329" s="122">
        <f>IFERROR(__xludf.DUMMYFUNCTION("""COMPUTED_VALUE"""),-0.0064)</f>
        <v>-0.0064</v>
      </c>
    </row>
    <row r="5330">
      <c r="A5330" s="131">
        <f>IFERROR(__xludf.DUMMYFUNCTION("""COMPUTED_VALUE"""),46187.51537037037)</f>
        <v>46187.51537</v>
      </c>
      <c r="B5330" s="126">
        <f>IFERROR(__xludf.DUMMYFUNCTION("""COMPUTED_VALUE"""),46187.0)</f>
        <v>46187</v>
      </c>
      <c r="C5330" s="122" t="str">
        <f>IFERROR(__xludf.DUMMYFUNCTION("""COMPUTED_VALUE"""),"VRSE")</f>
        <v>VRSE</v>
      </c>
      <c r="D5330" s="122" t="str">
        <f>IFERROR(__xludf.DUMMYFUNCTION("""COMPUTED_VALUE"""),"VerseVR")</f>
        <v>VerseVR</v>
      </c>
      <c r="E5330" s="122">
        <f>IFERROR(__xludf.DUMMYFUNCTION("""COMPUTED_VALUE"""),152.26)</f>
        <v>152.26</v>
      </c>
      <c r="F5330" s="122">
        <f>IFERROR(__xludf.DUMMYFUNCTION("""COMPUTED_VALUE"""),-0.0059)</f>
        <v>-0.0059</v>
      </c>
    </row>
    <row r="5331">
      <c r="A5331" s="131">
        <f>IFERROR(__xludf.DUMMYFUNCTION("""COMPUTED_VALUE"""),46187.51537037037)</f>
        <v>46187.51537</v>
      </c>
      <c r="B5331" s="126">
        <f>IFERROR(__xludf.DUMMYFUNCTION("""COMPUTED_VALUE"""),46187.0)</f>
        <v>46187</v>
      </c>
      <c r="C5331" s="122" t="str">
        <f>IFERROR(__xludf.DUMMYFUNCTION("""COMPUTED_VALUE"""),"BYTE")</f>
        <v>BYTE</v>
      </c>
      <c r="D5331" s="122" t="str">
        <f>IFERROR(__xludf.DUMMYFUNCTION("""COMPUTED_VALUE"""),"ByteWorks")</f>
        <v>ByteWorks</v>
      </c>
      <c r="E5331" s="122">
        <f>IFERROR(__xludf.DUMMYFUNCTION("""COMPUTED_VALUE"""),111.64)</f>
        <v>111.64</v>
      </c>
      <c r="F5331" s="122">
        <f>IFERROR(__xludf.DUMMYFUNCTION("""COMPUTED_VALUE"""),0.0067)</f>
        <v>0.0067</v>
      </c>
    </row>
    <row r="5332">
      <c r="A5332" s="131">
        <f>IFERROR(__xludf.DUMMYFUNCTION("""COMPUTED_VALUE"""),46187.51537037037)</f>
        <v>46187.51537</v>
      </c>
      <c r="B5332" s="126">
        <f>IFERROR(__xludf.DUMMYFUNCTION("""COMPUTED_VALUE"""),46187.0)</f>
        <v>46187</v>
      </c>
      <c r="C5332" s="122" t="str">
        <f>IFERROR(__xludf.DUMMYFUNCTION("""COMPUTED_VALUE"""),"BANK")</f>
        <v>BANK</v>
      </c>
      <c r="D5332" s="122" t="str">
        <f>IFERROR(__xludf.DUMMYFUNCTION("""COMPUTED_VALUE"""),"Tiger Bank")</f>
        <v>Tiger Bank</v>
      </c>
      <c r="E5332" s="122">
        <f>IFERROR(__xludf.DUMMYFUNCTION("""COMPUTED_VALUE"""),129.07)</f>
        <v>129.07</v>
      </c>
      <c r="F5332" s="122">
        <f>IFERROR(__xludf.DUMMYFUNCTION("""COMPUTED_VALUE"""),-0.0014)</f>
        <v>-0.0014</v>
      </c>
    </row>
    <row r="5333">
      <c r="A5333" s="131">
        <f>IFERROR(__xludf.DUMMYFUNCTION("""COMPUTED_VALUE"""),46187.51537037037)</f>
        <v>46187.51537</v>
      </c>
      <c r="B5333" s="126">
        <f>IFERROR(__xludf.DUMMYFUNCTION("""COMPUTED_VALUE"""),46187.0)</f>
        <v>46187</v>
      </c>
      <c r="C5333" s="122" t="str">
        <f>IFERROR(__xludf.DUMMYFUNCTION("""COMPUTED_VALUE"""),"CRED")</f>
        <v>CRED</v>
      </c>
      <c r="D5333" s="122" t="str">
        <f>IFERROR(__xludf.DUMMYFUNCTION("""COMPUTED_VALUE"""),"Credit Castle")</f>
        <v>Credit Castle</v>
      </c>
      <c r="E5333" s="122">
        <f>IFERROR(__xludf.DUMMYFUNCTION("""COMPUTED_VALUE"""),66.58)</f>
        <v>66.58</v>
      </c>
      <c r="F5333" s="122">
        <f>IFERROR(__xludf.DUMMYFUNCTION("""COMPUTED_VALUE"""),-5.0E-4)</f>
        <v>-0.0005</v>
      </c>
    </row>
    <row r="5334">
      <c r="A5334" s="131">
        <f>IFERROR(__xludf.DUMMYFUNCTION("""COMPUTED_VALUE"""),46187.51537037037)</f>
        <v>46187.51537</v>
      </c>
      <c r="B5334" s="126">
        <f>IFERROR(__xludf.DUMMYFUNCTION("""COMPUTED_VALUE"""),46187.0)</f>
        <v>46187</v>
      </c>
      <c r="C5334" s="122" t="str">
        <f>IFERROR(__xludf.DUMMYFUNCTION("""COMPUTED_VALUE"""),"BOND")</f>
        <v>BOND</v>
      </c>
      <c r="D5334" s="122" t="str">
        <f>IFERROR(__xludf.DUMMYFUNCTION("""COMPUTED_VALUE"""),"BondBridge")</f>
        <v>BondBridge</v>
      </c>
      <c r="E5334" s="122">
        <f>IFERROR(__xludf.DUMMYFUNCTION("""COMPUTED_VALUE"""),100.54)</f>
        <v>100.54</v>
      </c>
      <c r="F5334" s="122">
        <f>IFERROR(__xludf.DUMMYFUNCTION("""COMPUTED_VALUE"""),-2.0E-4)</f>
        <v>-0.0002</v>
      </c>
    </row>
    <row r="5335">
      <c r="A5335" s="131">
        <f>IFERROR(__xludf.DUMMYFUNCTION("""COMPUTED_VALUE"""),46187.51537037037)</f>
        <v>46187.51537</v>
      </c>
      <c r="B5335" s="126">
        <f>IFERROR(__xludf.DUMMYFUNCTION("""COMPUTED_VALUE"""),46187.0)</f>
        <v>46187</v>
      </c>
      <c r="C5335" s="122" t="str">
        <f>IFERROR(__xludf.DUMMYFUNCTION("""COMPUTED_VALUE"""),"INSR")</f>
        <v>INSR</v>
      </c>
      <c r="D5335" s="122" t="str">
        <f>IFERROR(__xludf.DUMMYFUNCTION("""COMPUTED_VALUE"""),"Shield Insurance")</f>
        <v>Shield Insurance</v>
      </c>
      <c r="E5335" s="122">
        <f>IFERROR(__xludf.DUMMYFUNCTION("""COMPUTED_VALUE"""),159.83)</f>
        <v>159.83</v>
      </c>
      <c r="F5335" s="122">
        <f>IFERROR(__xludf.DUMMYFUNCTION("""COMPUTED_VALUE"""),-0.0025)</f>
        <v>-0.0025</v>
      </c>
    </row>
    <row r="5336">
      <c r="A5336" s="131">
        <f>IFERROR(__xludf.DUMMYFUNCTION("""COMPUTED_VALUE"""),46187.51537037037)</f>
        <v>46187.51537</v>
      </c>
      <c r="B5336" s="126">
        <f>IFERROR(__xludf.DUMMYFUNCTION("""COMPUTED_VALUE"""),46187.0)</f>
        <v>46187</v>
      </c>
      <c r="C5336" s="122" t="str">
        <f>IFERROR(__xludf.DUMMYFUNCTION("""COMPUTED_VALUE"""),"LOAN")</f>
        <v>LOAN</v>
      </c>
      <c r="D5336" s="122" t="str">
        <f>IFERROR(__xludf.DUMMYFUNCTION("""COMPUTED_VALUE"""),"LoanLab")</f>
        <v>LoanLab</v>
      </c>
      <c r="E5336" s="122">
        <f>IFERROR(__xludf.DUMMYFUNCTION("""COMPUTED_VALUE"""),65.49)</f>
        <v>65.49</v>
      </c>
      <c r="F5336" s="122">
        <f>IFERROR(__xludf.DUMMYFUNCTION("""COMPUTED_VALUE"""),0.0057)</f>
        <v>0.0057</v>
      </c>
    </row>
    <row r="5337">
      <c r="A5337" s="131">
        <f>IFERROR(__xludf.DUMMYFUNCTION("""COMPUTED_VALUE"""),46187.51537037037)</f>
        <v>46187.51537</v>
      </c>
      <c r="B5337" s="126">
        <f>IFERROR(__xludf.DUMMYFUNCTION("""COMPUTED_VALUE"""),46187.0)</f>
        <v>46187</v>
      </c>
      <c r="C5337" s="122" t="str">
        <f>IFERROR(__xludf.DUMMYFUNCTION("""COMPUTED_VALUE"""),"LUXE")</f>
        <v>LUXE</v>
      </c>
      <c r="D5337" s="122" t="str">
        <f>IFERROR(__xludf.DUMMYFUNCTION("""COMPUTED_VALUE"""),"Luxury Locker")</f>
        <v>Luxury Locker</v>
      </c>
      <c r="E5337" s="122">
        <f>IFERROR(__xludf.DUMMYFUNCTION("""COMPUTED_VALUE"""),265.16)</f>
        <v>265.16</v>
      </c>
      <c r="F5337" s="122">
        <f>IFERROR(__xludf.DUMMYFUNCTION("""COMPUTED_VALUE"""),0.0052)</f>
        <v>0.0052</v>
      </c>
    </row>
    <row r="5338">
      <c r="A5338" s="131">
        <f>IFERROR(__xludf.DUMMYFUNCTION("""COMPUTED_VALUE"""),46187.51537037037)</f>
        <v>46187.51537</v>
      </c>
      <c r="B5338" s="126">
        <f>IFERROR(__xludf.DUMMYFUNCTION("""COMPUTED_VALUE"""),46187.0)</f>
        <v>46187</v>
      </c>
      <c r="C5338" s="122" t="str">
        <f>IFERROR(__xludf.DUMMYFUNCTION("""COMPUTED_VALUE"""),"DRIP")</f>
        <v>DRIP</v>
      </c>
      <c r="D5338" s="122" t="str">
        <f>IFERROR(__xludf.DUMMYFUNCTION("""COMPUTED_VALUE"""),"Drip Streetwear")</f>
        <v>Drip Streetwear</v>
      </c>
      <c r="E5338" s="122">
        <f>IFERROR(__xludf.DUMMYFUNCTION("""COMPUTED_VALUE"""),199.73)</f>
        <v>199.73</v>
      </c>
      <c r="F5338" s="122">
        <f>IFERROR(__xludf.DUMMYFUNCTION("""COMPUTED_VALUE"""),0.0086)</f>
        <v>0.0086</v>
      </c>
    </row>
    <row r="5339">
      <c r="A5339" s="131">
        <f>IFERROR(__xludf.DUMMYFUNCTION("""COMPUTED_VALUE"""),46187.51537037037)</f>
        <v>46187.51537</v>
      </c>
      <c r="B5339" s="126">
        <f>IFERROR(__xludf.DUMMYFUNCTION("""COMPUTED_VALUE"""),46187.0)</f>
        <v>46187</v>
      </c>
      <c r="C5339" s="122" t="str">
        <f>IFERROR(__xludf.DUMMYFUNCTION("""COMPUTED_VALUE"""),"KICK")</f>
        <v>KICK</v>
      </c>
      <c r="D5339" s="122" t="str">
        <f>IFERROR(__xludf.DUMMYFUNCTION("""COMPUTED_VALUE"""),"KickDrop Sneakers")</f>
        <v>KickDrop Sneakers</v>
      </c>
      <c r="E5339" s="122">
        <f>IFERROR(__xludf.DUMMYFUNCTION("""COMPUTED_VALUE"""),169.15)</f>
        <v>169.15</v>
      </c>
      <c r="F5339" s="122">
        <f>IFERROR(__xludf.DUMMYFUNCTION("""COMPUTED_VALUE"""),-0.0057)</f>
        <v>-0.0057</v>
      </c>
    </row>
    <row r="5340">
      <c r="A5340" s="131">
        <f>IFERROR(__xludf.DUMMYFUNCTION("""COMPUTED_VALUE"""),46187.51537037037)</f>
        <v>46187.51537</v>
      </c>
      <c r="B5340" s="126">
        <f>IFERROR(__xludf.DUMMYFUNCTION("""COMPUTED_VALUE"""),46187.0)</f>
        <v>46187</v>
      </c>
      <c r="C5340" s="122" t="str">
        <f>IFERROR(__xludf.DUMMYFUNCTION("""COMPUTED_VALUE"""),"GLAM")</f>
        <v>GLAM</v>
      </c>
      <c r="D5340" s="122" t="str">
        <f>IFERROR(__xludf.DUMMYFUNCTION("""COMPUTED_VALUE"""),"Glow Cosmetics")</f>
        <v>Glow Cosmetics</v>
      </c>
      <c r="E5340" s="122">
        <f>IFERROR(__xludf.DUMMYFUNCTION("""COMPUTED_VALUE"""),106.07)</f>
        <v>106.07</v>
      </c>
      <c r="F5340" s="122">
        <f>IFERROR(__xludf.DUMMYFUNCTION("""COMPUTED_VALUE"""),3.0E-4)</f>
        <v>0.0003</v>
      </c>
    </row>
    <row r="5341">
      <c r="A5341" s="131">
        <f>IFERROR(__xludf.DUMMYFUNCTION("""COMPUTED_VALUE"""),46187.51537037037)</f>
        <v>46187.51537</v>
      </c>
      <c r="B5341" s="126">
        <f>IFERROR(__xludf.DUMMYFUNCTION("""COMPUTED_VALUE"""),46187.0)</f>
        <v>46187</v>
      </c>
      <c r="C5341" s="122" t="str">
        <f>IFERROR(__xludf.DUMMYFUNCTION("""COMPUTED_VALUE"""),"BAGG")</f>
        <v>BAGG</v>
      </c>
      <c r="D5341" s="122" t="str">
        <f>IFERROR(__xludf.DUMMYFUNCTION("""COMPUTED_VALUE"""),"BagVault")</f>
        <v>BagVault</v>
      </c>
      <c r="E5341" s="122">
        <f>IFERROR(__xludf.DUMMYFUNCTION("""COMPUTED_VALUE"""),253.58)</f>
        <v>253.58</v>
      </c>
      <c r="F5341" s="122">
        <f>IFERROR(__xludf.DUMMYFUNCTION("""COMPUTED_VALUE"""),0.0075)</f>
        <v>0.0075</v>
      </c>
    </row>
    <row r="5342">
      <c r="A5342" s="131">
        <f>IFERROR(__xludf.DUMMYFUNCTION("""COMPUTED_VALUE"""),46187.51537037037)</f>
        <v>46187.51537</v>
      </c>
      <c r="B5342" s="126">
        <f>IFERROR(__xludf.DUMMYFUNCTION("""COMPUTED_VALUE"""),46187.0)</f>
        <v>46187</v>
      </c>
      <c r="C5342" s="122" t="str">
        <f>IFERROR(__xludf.DUMMYFUNCTION("""COMPUTED_VALUE"""),"FAST")</f>
        <v>FAST</v>
      </c>
      <c r="D5342" s="122" t="str">
        <f>IFERROR(__xludf.DUMMYFUNCTION("""COMPUTED_VALUE"""),"Flash Logistics")</f>
        <v>Flash Logistics</v>
      </c>
      <c r="E5342" s="122">
        <f>IFERROR(__xludf.DUMMYFUNCTION("""COMPUTED_VALUE"""),105.41)</f>
        <v>105.41</v>
      </c>
      <c r="F5342" s="122">
        <f>IFERROR(__xludf.DUMMYFUNCTION("""COMPUTED_VALUE"""),0.0056)</f>
        <v>0.0056</v>
      </c>
    </row>
    <row r="5343">
      <c r="A5343" s="131">
        <f>IFERROR(__xludf.DUMMYFUNCTION("""COMPUTED_VALUE"""),46187.51537037037)</f>
        <v>46187.51537</v>
      </c>
      <c r="B5343" s="126">
        <f>IFERROR(__xludf.DUMMYFUNCTION("""COMPUTED_VALUE"""),46187.0)</f>
        <v>46187</v>
      </c>
      <c r="C5343" s="122" t="str">
        <f>IFERROR(__xludf.DUMMYFUNCTION("""COMPUTED_VALUE"""),"SHIP")</f>
        <v>SHIP</v>
      </c>
      <c r="D5343" s="122" t="str">
        <f>IFERROR(__xludf.DUMMYFUNCTION("""COMPUTED_VALUE"""),"Seoul Shipping")</f>
        <v>Seoul Shipping</v>
      </c>
      <c r="E5343" s="122">
        <f>IFERROR(__xludf.DUMMYFUNCTION("""COMPUTED_VALUE"""),128.19)</f>
        <v>128.19</v>
      </c>
      <c r="F5343" s="122">
        <f>IFERROR(__xludf.DUMMYFUNCTION("""COMPUTED_VALUE"""),-0.0031)</f>
        <v>-0.0031</v>
      </c>
    </row>
    <row r="5344">
      <c r="A5344" s="131">
        <f>IFERROR(__xludf.DUMMYFUNCTION("""COMPUTED_VALUE"""),46187.51537037037)</f>
        <v>46187.51537</v>
      </c>
      <c r="B5344" s="126">
        <f>IFERROR(__xludf.DUMMYFUNCTION("""COMPUTED_VALUE"""),46187.0)</f>
        <v>46187</v>
      </c>
      <c r="C5344" s="122" t="str">
        <f>IFERROR(__xludf.DUMMYFUNCTION("""COMPUTED_VALUE"""),"DRON")</f>
        <v>DRON</v>
      </c>
      <c r="D5344" s="122" t="str">
        <f>IFERROR(__xludf.DUMMYFUNCTION("""COMPUTED_VALUE"""),"DroneDrop")</f>
        <v>DroneDrop</v>
      </c>
      <c r="E5344" s="122">
        <f>IFERROR(__xludf.DUMMYFUNCTION("""COMPUTED_VALUE"""),127.72)</f>
        <v>127.72</v>
      </c>
      <c r="F5344" s="122">
        <f>IFERROR(__xludf.DUMMYFUNCTION("""COMPUTED_VALUE"""),9.0E-4)</f>
        <v>0.0009</v>
      </c>
    </row>
    <row r="5345">
      <c r="A5345" s="131">
        <f>IFERROR(__xludf.DUMMYFUNCTION("""COMPUTED_VALUE"""),46187.51537037037)</f>
        <v>46187.51537</v>
      </c>
      <c r="B5345" s="126">
        <f>IFERROR(__xludf.DUMMYFUNCTION("""COMPUTED_VALUE"""),46187.0)</f>
        <v>46187</v>
      </c>
      <c r="C5345" s="122" t="str">
        <f>IFERROR(__xludf.DUMMYFUNCTION("""COMPUTED_VALUE"""),"RIDE")</f>
        <v>RIDE</v>
      </c>
      <c r="D5345" s="122" t="str">
        <f>IFERROR(__xludf.DUMMYFUNCTION("""COMPUTED_VALUE"""),"QuickRide")</f>
        <v>QuickRide</v>
      </c>
      <c r="E5345" s="122">
        <f>IFERROR(__xludf.DUMMYFUNCTION("""COMPUTED_VALUE"""),97.09)</f>
        <v>97.09</v>
      </c>
      <c r="F5345" s="122">
        <f>IFERROR(__xludf.DUMMYFUNCTION("""COMPUTED_VALUE"""),-0.001)</f>
        <v>-0.001</v>
      </c>
    </row>
    <row r="5346">
      <c r="A5346" s="131">
        <f>IFERROR(__xludf.DUMMYFUNCTION("""COMPUTED_VALUE"""),46187.51537037037)</f>
        <v>46187.51537</v>
      </c>
      <c r="B5346" s="126">
        <f>IFERROR(__xludf.DUMMYFUNCTION("""COMPUTED_VALUE"""),46187.0)</f>
        <v>46187</v>
      </c>
      <c r="C5346" s="122" t="str">
        <f>IFERROR(__xludf.DUMMYFUNCTION("""COMPUTED_VALUE"""),"RAIL")</f>
        <v>RAIL</v>
      </c>
      <c r="D5346" s="122" t="str">
        <f>IFERROR(__xludf.DUMMYFUNCTION("""COMPUTED_VALUE"""),"MetroRail Corp")</f>
        <v>MetroRail Corp</v>
      </c>
      <c r="E5346" s="122">
        <f>IFERROR(__xludf.DUMMYFUNCTION("""COMPUTED_VALUE"""),134.39)</f>
        <v>134.39</v>
      </c>
      <c r="F5346" s="122">
        <f>IFERROR(__xludf.DUMMYFUNCTION("""COMPUTED_VALUE"""),-0.0024)</f>
        <v>-0.0024</v>
      </c>
    </row>
    <row r="5347">
      <c r="A5347" s="131">
        <f>IFERROR(__xludf.DUMMYFUNCTION("""COMPUTED_VALUE"""),46187.51537037037)</f>
        <v>46187.51537</v>
      </c>
      <c r="B5347" s="126">
        <f>IFERROR(__xludf.DUMMYFUNCTION("""COMPUTED_VALUE"""),46187.0)</f>
        <v>46187</v>
      </c>
      <c r="C5347" s="122" t="str">
        <f>IFERROR(__xludf.DUMMYFUNCTION("""COMPUTED_VALUE"""),"MEDX")</f>
        <v>MEDX</v>
      </c>
      <c r="D5347" s="122" t="str">
        <f>IFERROR(__xludf.DUMMYFUNCTION("""COMPUTED_VALUE"""),"MediCore")</f>
        <v>MediCore</v>
      </c>
      <c r="E5347" s="122">
        <f>IFERROR(__xludf.DUMMYFUNCTION("""COMPUTED_VALUE"""),137.6)</f>
        <v>137.6</v>
      </c>
      <c r="F5347" s="122">
        <f>IFERROR(__xludf.DUMMYFUNCTION("""COMPUTED_VALUE"""),0.0011)</f>
        <v>0.0011</v>
      </c>
    </row>
    <row r="5348">
      <c r="A5348" s="131">
        <f>IFERROR(__xludf.DUMMYFUNCTION("""COMPUTED_VALUE"""),46187.51537037037)</f>
        <v>46187.51537</v>
      </c>
      <c r="B5348" s="126">
        <f>IFERROR(__xludf.DUMMYFUNCTION("""COMPUTED_VALUE"""),46187.0)</f>
        <v>46187</v>
      </c>
      <c r="C5348" s="122" t="str">
        <f>IFERROR(__xludf.DUMMYFUNCTION("""COMPUTED_VALUE"""),"GYMX")</f>
        <v>GYMX</v>
      </c>
      <c r="D5348" s="122" t="str">
        <f>IFERROR(__xludf.DUMMYFUNCTION("""COMPUTED_VALUE"""),"GymX Fitness")</f>
        <v>GymX Fitness</v>
      </c>
      <c r="E5348" s="122">
        <f>IFERROR(__xludf.DUMMYFUNCTION("""COMPUTED_VALUE"""),87.26)</f>
        <v>87.26</v>
      </c>
      <c r="F5348" s="122">
        <f>IFERROR(__xludf.DUMMYFUNCTION("""COMPUTED_VALUE"""),3.0E-4)</f>
        <v>0.0003</v>
      </c>
    </row>
    <row r="5349">
      <c r="A5349" s="131">
        <f>IFERROR(__xludf.DUMMYFUNCTION("""COMPUTED_VALUE"""),46187.51537037037)</f>
        <v>46187.51537</v>
      </c>
      <c r="B5349" s="126">
        <f>IFERROR(__xludf.DUMMYFUNCTION("""COMPUTED_VALUE"""),46187.0)</f>
        <v>46187</v>
      </c>
      <c r="C5349" s="122" t="str">
        <f>IFERROR(__xludf.DUMMYFUNCTION("""COMPUTED_VALUE"""),"VITA")</f>
        <v>VITA</v>
      </c>
      <c r="D5349" s="122" t="str">
        <f>IFERROR(__xludf.DUMMYFUNCTION("""COMPUTED_VALUE"""),"VitaPlus")</f>
        <v>VitaPlus</v>
      </c>
      <c r="E5349" s="122">
        <f>IFERROR(__xludf.DUMMYFUNCTION("""COMPUTED_VALUE"""),72.36)</f>
        <v>72.36</v>
      </c>
      <c r="F5349" s="122">
        <f>IFERROR(__xludf.DUMMYFUNCTION("""COMPUTED_VALUE"""),4.0E-4)</f>
        <v>0.0004</v>
      </c>
    </row>
    <row r="5350">
      <c r="A5350" s="131">
        <f>IFERROR(__xludf.DUMMYFUNCTION("""COMPUTED_VALUE"""),46187.51537037037)</f>
        <v>46187.51537</v>
      </c>
      <c r="B5350" s="126">
        <f>IFERROR(__xludf.DUMMYFUNCTION("""COMPUTED_VALUE"""),46187.0)</f>
        <v>46187</v>
      </c>
      <c r="C5350" s="122" t="str">
        <f>IFERROR(__xludf.DUMMYFUNCTION("""COMPUTED_VALUE"""),"CARE")</f>
        <v>CARE</v>
      </c>
      <c r="D5350" s="122" t="str">
        <f>IFERROR(__xludf.DUMMYFUNCTION("""COMPUTED_VALUE"""),"CareCloud")</f>
        <v>CareCloud</v>
      </c>
      <c r="E5350" s="122">
        <f>IFERROR(__xludf.DUMMYFUNCTION("""COMPUTED_VALUE"""),178.43)</f>
        <v>178.43</v>
      </c>
      <c r="F5350" s="122">
        <f>IFERROR(__xludf.DUMMYFUNCTION("""COMPUTED_VALUE"""),-0.0073)</f>
        <v>-0.0073</v>
      </c>
    </row>
    <row r="5351">
      <c r="A5351" s="131">
        <f>IFERROR(__xludf.DUMMYFUNCTION("""COMPUTED_VALUE"""),46187.51537037037)</f>
        <v>46187.51537</v>
      </c>
      <c r="B5351" s="126">
        <f>IFERROR(__xludf.DUMMYFUNCTION("""COMPUTED_VALUE"""),46187.0)</f>
        <v>46187</v>
      </c>
      <c r="C5351" s="122" t="str">
        <f>IFERROR(__xludf.DUMMYFUNCTION("""COMPUTED_VALUE"""),"DENT")</f>
        <v>DENT</v>
      </c>
      <c r="D5351" s="122" t="str">
        <f>IFERROR(__xludf.DUMMYFUNCTION("""COMPUTED_VALUE"""),"SmileWorks")</f>
        <v>SmileWorks</v>
      </c>
      <c r="E5351" s="122">
        <f>IFERROR(__xludf.DUMMYFUNCTION("""COMPUTED_VALUE"""),89.03)</f>
        <v>89.03</v>
      </c>
      <c r="F5351" s="122">
        <f>IFERROR(__xludf.DUMMYFUNCTION("""COMPUTED_VALUE"""),-2.0E-4)</f>
        <v>-0.0002</v>
      </c>
    </row>
    <row r="5352">
      <c r="A5352" s="131">
        <f>IFERROR(__xludf.DUMMYFUNCTION("""COMPUTED_VALUE"""),46187.51537037037)</f>
        <v>46187.51537</v>
      </c>
      <c r="B5352" s="126">
        <f>IFERROR(__xludf.DUMMYFUNCTION("""COMPUTED_VALUE"""),46187.0)</f>
        <v>46187</v>
      </c>
      <c r="C5352" s="122" t="str">
        <f>IFERROR(__xludf.DUMMYFUNCTION("""COMPUTED_VALUE"""),"EDUX")</f>
        <v>EDUX</v>
      </c>
      <c r="D5352" s="122" t="str">
        <f>IFERROR(__xludf.DUMMYFUNCTION("""COMPUTED_VALUE"""),"EduMax Learning")</f>
        <v>EduMax Learning</v>
      </c>
      <c r="E5352" s="122">
        <f>IFERROR(__xludf.DUMMYFUNCTION("""COMPUTED_VALUE"""),140.82)</f>
        <v>140.82</v>
      </c>
      <c r="F5352" s="122">
        <f>IFERROR(__xludf.DUMMYFUNCTION("""COMPUTED_VALUE"""),0.0061)</f>
        <v>0.0061</v>
      </c>
    </row>
    <row r="5353">
      <c r="A5353" s="131">
        <f>IFERROR(__xludf.DUMMYFUNCTION("""COMPUTED_VALUE"""),46187.51537037037)</f>
        <v>46187.51537</v>
      </c>
      <c r="B5353" s="126">
        <f>IFERROR(__xludf.DUMMYFUNCTION("""COMPUTED_VALUE"""),46187.0)</f>
        <v>46187</v>
      </c>
      <c r="C5353" s="122" t="str">
        <f>IFERROR(__xludf.DUMMYFUNCTION("""COMPUTED_VALUE"""),"BOOK")</f>
        <v>BOOK</v>
      </c>
      <c r="D5353" s="122" t="str">
        <f>IFERROR(__xludf.DUMMYFUNCTION("""COMPUTED_VALUE"""),"BookBridge")</f>
        <v>BookBridge</v>
      </c>
      <c r="E5353" s="122">
        <f>IFERROR(__xludf.DUMMYFUNCTION("""COMPUTED_VALUE"""),119.72)</f>
        <v>119.72</v>
      </c>
      <c r="F5353" s="122">
        <f>IFERROR(__xludf.DUMMYFUNCTION("""COMPUTED_VALUE"""),-9.0E-4)</f>
        <v>-0.0009</v>
      </c>
    </row>
    <row r="5354">
      <c r="A5354" s="131">
        <f>IFERROR(__xludf.DUMMYFUNCTION("""COMPUTED_VALUE"""),46187.51537037037)</f>
        <v>46187.51537</v>
      </c>
      <c r="B5354" s="126">
        <f>IFERROR(__xludf.DUMMYFUNCTION("""COMPUTED_VALUE"""),46187.0)</f>
        <v>46187</v>
      </c>
      <c r="C5354" s="122" t="str">
        <f>IFERROR(__xludf.DUMMYFUNCTION("""COMPUTED_VALUE"""),"TUTR")</f>
        <v>TUTR</v>
      </c>
      <c r="D5354" s="122" t="str">
        <f>IFERROR(__xludf.DUMMYFUNCTION("""COMPUTED_VALUE"""),"TutorTown")</f>
        <v>TutorTown</v>
      </c>
      <c r="E5354" s="122">
        <f>IFERROR(__xludf.DUMMYFUNCTION("""COMPUTED_VALUE"""),90.69)</f>
        <v>90.69</v>
      </c>
      <c r="F5354" s="122">
        <f>IFERROR(__xludf.DUMMYFUNCTION("""COMPUTED_VALUE"""),4.0E-4)</f>
        <v>0.0004</v>
      </c>
    </row>
    <row r="5355">
      <c r="A5355" s="131">
        <f>IFERROR(__xludf.DUMMYFUNCTION("""COMPUTED_VALUE"""),46187.51537037037)</f>
        <v>46187.51537</v>
      </c>
      <c r="B5355" s="126">
        <f>IFERROR(__xludf.DUMMYFUNCTION("""COMPUTED_VALUE"""),46187.0)</f>
        <v>46187</v>
      </c>
      <c r="C5355" s="122" t="str">
        <f>IFERROR(__xludf.DUMMYFUNCTION("""COMPUTED_VALUE"""),"LANG")</f>
        <v>LANG</v>
      </c>
      <c r="D5355" s="122" t="str">
        <f>IFERROR(__xludf.DUMMYFUNCTION("""COMPUTED_VALUE"""),"LinguaLab")</f>
        <v>LinguaLab</v>
      </c>
      <c r="E5355" s="122">
        <f>IFERROR(__xludf.DUMMYFUNCTION("""COMPUTED_VALUE"""),99.77)</f>
        <v>99.77</v>
      </c>
      <c r="F5355" s="122">
        <f>IFERROR(__xludf.DUMMYFUNCTION("""COMPUTED_VALUE"""),0.0012)</f>
        <v>0.0012</v>
      </c>
    </row>
    <row r="5356">
      <c r="A5356" s="131">
        <f>IFERROR(__xludf.DUMMYFUNCTION("""COMPUTED_VALUE"""),46187.51537037037)</f>
        <v>46187.51537</v>
      </c>
      <c r="B5356" s="126">
        <f>IFERROR(__xludf.DUMMYFUNCTION("""COMPUTED_VALUE"""),46187.0)</f>
        <v>46187</v>
      </c>
      <c r="C5356" s="122" t="str">
        <f>IFERROR(__xludf.DUMMYFUNCTION("""COMPUTED_VALUE"""),"TEST")</f>
        <v>TEST</v>
      </c>
      <c r="D5356" s="122" t="str">
        <f>IFERROR(__xludf.DUMMYFUNCTION("""COMPUTED_VALUE"""),"TestPrep Pro")</f>
        <v>TestPrep Pro</v>
      </c>
      <c r="E5356" s="122">
        <f>IFERROR(__xludf.DUMMYFUNCTION("""COMPUTED_VALUE"""),94.23)</f>
        <v>94.23</v>
      </c>
      <c r="F5356" s="122">
        <f>IFERROR(__xludf.DUMMYFUNCTION("""COMPUTED_VALUE"""),-0.0035)</f>
        <v>-0.0035</v>
      </c>
    </row>
    <row r="5357">
      <c r="A5357" s="131">
        <f>IFERROR(__xludf.DUMMYFUNCTION("""COMPUTED_VALUE"""),46187.51537037037)</f>
        <v>46187.51537</v>
      </c>
      <c r="B5357" s="126">
        <f>IFERROR(__xludf.DUMMYFUNCTION("""COMPUTED_VALUE"""),46187.0)</f>
        <v>46187</v>
      </c>
      <c r="C5357" s="122" t="str">
        <f>IFERROR(__xludf.DUMMYFUNCTION("""COMPUTED_VALUE"""),"MOVI")</f>
        <v>MOVI</v>
      </c>
      <c r="D5357" s="122" t="str">
        <f>IFERROR(__xludf.DUMMYFUNCTION("""COMPUTED_VALUE"""),"MovieBox")</f>
        <v>MovieBox</v>
      </c>
      <c r="E5357" s="122">
        <f>IFERROR(__xludf.DUMMYFUNCTION("""COMPUTED_VALUE"""),81.07)</f>
        <v>81.07</v>
      </c>
      <c r="F5357" s="122">
        <f>IFERROR(__xludf.DUMMYFUNCTION("""COMPUTED_VALUE"""),-0.0061)</f>
        <v>-0.0061</v>
      </c>
    </row>
    <row r="5358">
      <c r="A5358" s="131">
        <f>IFERROR(__xludf.DUMMYFUNCTION("""COMPUTED_VALUE"""),46187.51537037037)</f>
        <v>46187.51537</v>
      </c>
      <c r="B5358" s="126">
        <f>IFERROR(__xludf.DUMMYFUNCTION("""COMPUTED_VALUE"""),46187.0)</f>
        <v>46187</v>
      </c>
      <c r="C5358" s="122" t="str">
        <f>IFERROR(__xludf.DUMMYFUNCTION("""COMPUTED_VALUE"""),"MUSC")</f>
        <v>MUSC</v>
      </c>
      <c r="D5358" s="122" t="str">
        <f>IFERROR(__xludf.DUMMYFUNCTION("""COMPUTED_VALUE"""),"MusicWave")</f>
        <v>MusicWave</v>
      </c>
      <c r="E5358" s="122">
        <f>IFERROR(__xludf.DUMMYFUNCTION("""COMPUTED_VALUE"""),99.84)</f>
        <v>99.84</v>
      </c>
      <c r="F5358" s="122">
        <f>IFERROR(__xludf.DUMMYFUNCTION("""COMPUTED_VALUE"""),0.0037)</f>
        <v>0.0037</v>
      </c>
    </row>
    <row r="5359">
      <c r="A5359" s="131">
        <f>IFERROR(__xludf.DUMMYFUNCTION("""COMPUTED_VALUE"""),46187.51537037037)</f>
        <v>46187.51537</v>
      </c>
      <c r="B5359" s="126">
        <f>IFERROR(__xludf.DUMMYFUNCTION("""COMPUTED_VALUE"""),46187.0)</f>
        <v>46187</v>
      </c>
      <c r="C5359" s="122" t="str">
        <f>IFERROR(__xludf.DUMMYFUNCTION("""COMPUTED_VALUE"""),"IDOL")</f>
        <v>IDOL</v>
      </c>
      <c r="D5359" s="122" t="str">
        <f>IFERROR(__xludf.DUMMYFUNCTION("""COMPUTED_VALUE"""),"Idol Agency")</f>
        <v>Idol Agency</v>
      </c>
      <c r="E5359" s="122">
        <f>IFERROR(__xludf.DUMMYFUNCTION("""COMPUTED_VALUE"""),188.58)</f>
        <v>188.58</v>
      </c>
      <c r="F5359" s="122">
        <f>IFERROR(__xludf.DUMMYFUNCTION("""COMPUTED_VALUE"""),-0.0133)</f>
        <v>-0.0133</v>
      </c>
    </row>
    <row r="5360">
      <c r="A5360" s="131">
        <f>IFERROR(__xludf.DUMMYFUNCTION("""COMPUTED_VALUE"""),46187.51537037037)</f>
        <v>46187.51537</v>
      </c>
      <c r="B5360" s="126">
        <f>IFERROR(__xludf.DUMMYFUNCTION("""COMPUTED_VALUE"""),46187.0)</f>
        <v>46187</v>
      </c>
      <c r="C5360" s="122" t="str">
        <f>IFERROR(__xludf.DUMMYFUNCTION("""COMPUTED_VALUE"""),"MEME")</f>
        <v>MEME</v>
      </c>
      <c r="D5360" s="122" t="str">
        <f>IFERROR(__xludf.DUMMYFUNCTION("""COMPUTED_VALUE"""),"Meme Media")</f>
        <v>Meme Media</v>
      </c>
      <c r="E5360" s="122">
        <f>IFERROR(__xludf.DUMMYFUNCTION("""COMPUTED_VALUE"""),72.02)</f>
        <v>72.02</v>
      </c>
      <c r="F5360" s="122">
        <f>IFERROR(__xludf.DUMMYFUNCTION("""COMPUTED_VALUE"""),-8.0E-4)</f>
        <v>-0.0008</v>
      </c>
    </row>
    <row r="5361">
      <c r="A5361" s="131">
        <f>IFERROR(__xludf.DUMMYFUNCTION("""COMPUTED_VALUE"""),46187.51537037037)</f>
        <v>46187.51537</v>
      </c>
      <c r="B5361" s="126">
        <f>IFERROR(__xludf.DUMMYFUNCTION("""COMPUTED_VALUE"""),46187.0)</f>
        <v>46187</v>
      </c>
      <c r="C5361" s="122" t="str">
        <f>IFERROR(__xludf.DUMMYFUNCTION("""COMPUTED_VALUE"""),"STRM")</f>
        <v>STRM</v>
      </c>
      <c r="D5361" s="122" t="str">
        <f>IFERROR(__xludf.DUMMYFUNCTION("""COMPUTED_VALUE"""),"Streamly")</f>
        <v>Streamly</v>
      </c>
      <c r="E5361" s="122">
        <f>IFERROR(__xludf.DUMMYFUNCTION("""COMPUTED_VALUE"""),139.81)</f>
        <v>139.81</v>
      </c>
      <c r="F5361" s="122">
        <f>IFERROR(__xludf.DUMMYFUNCTION("""COMPUTED_VALUE"""),-0.0048)</f>
        <v>-0.0048</v>
      </c>
    </row>
    <row r="5362">
      <c r="A5362" s="131">
        <f>IFERROR(__xludf.DUMMYFUNCTION("""COMPUTED_VALUE"""),46187.51537037037)</f>
        <v>46187.51537</v>
      </c>
      <c r="B5362" s="126">
        <f>IFERROR(__xludf.DUMMYFUNCTION("""COMPUTED_VALUE"""),46187.0)</f>
        <v>46187</v>
      </c>
      <c r="C5362" s="122" t="str">
        <f>IFERROR(__xludf.DUMMYFUNCTION("""COMPUTED_VALUE"""),"FARM")</f>
        <v>FARM</v>
      </c>
      <c r="D5362" s="122" t="str">
        <f>IFERROR(__xludf.DUMMYFUNCTION("""COMPUTED_VALUE"""),"Future Farms")</f>
        <v>Future Farms</v>
      </c>
      <c r="E5362" s="122">
        <f>IFERROR(__xludf.DUMMYFUNCTION("""COMPUTED_VALUE"""),91.14)</f>
        <v>91.14</v>
      </c>
      <c r="F5362" s="122">
        <f>IFERROR(__xludf.DUMMYFUNCTION("""COMPUTED_VALUE"""),0.0035)</f>
        <v>0.0035</v>
      </c>
    </row>
    <row r="5363">
      <c r="A5363" s="131">
        <f>IFERROR(__xludf.DUMMYFUNCTION("""COMPUTED_VALUE"""),46187.51537037037)</f>
        <v>46187.51537</v>
      </c>
      <c r="B5363" s="126">
        <f>IFERROR(__xludf.DUMMYFUNCTION("""COMPUTED_VALUE"""),46187.0)</f>
        <v>46187</v>
      </c>
      <c r="C5363" s="122" t="str">
        <f>IFERROR(__xludf.DUMMYFUNCTION("""COMPUTED_VALUE"""),"MEAT")</f>
        <v>MEAT</v>
      </c>
      <c r="D5363" s="122" t="str">
        <f>IFERROR(__xludf.DUMMYFUNCTION("""COMPUTED_VALUE"""),"MeatWorks")</f>
        <v>MeatWorks</v>
      </c>
      <c r="E5363" s="122">
        <f>IFERROR(__xludf.DUMMYFUNCTION("""COMPUTED_VALUE"""),103.95)</f>
        <v>103.95</v>
      </c>
      <c r="F5363" s="122">
        <f>IFERROR(__xludf.DUMMYFUNCTION("""COMPUTED_VALUE"""),0.0011)</f>
        <v>0.0011</v>
      </c>
    </row>
    <row r="5364">
      <c r="A5364" s="131">
        <f>IFERROR(__xludf.DUMMYFUNCTION("""COMPUTED_VALUE"""),46187.51537037037)</f>
        <v>46187.51537</v>
      </c>
      <c r="B5364" s="126">
        <f>IFERROR(__xludf.DUMMYFUNCTION("""COMPUTED_VALUE"""),46187.0)</f>
        <v>46187</v>
      </c>
      <c r="C5364" s="122" t="str">
        <f>IFERROR(__xludf.DUMMYFUNCTION("""COMPUTED_VALUE"""),"VEGI")</f>
        <v>VEGI</v>
      </c>
      <c r="D5364" s="122" t="str">
        <f>IFERROR(__xludf.DUMMYFUNCTION("""COMPUTED_VALUE"""),"Green Basket")</f>
        <v>Green Basket</v>
      </c>
      <c r="E5364" s="122">
        <f>IFERROR(__xludf.DUMMYFUNCTION("""COMPUTED_VALUE"""),78.8)</f>
        <v>78.8</v>
      </c>
      <c r="F5364" s="122">
        <f>IFERROR(__xludf.DUMMYFUNCTION("""COMPUTED_VALUE"""),-4.0E-4)</f>
        <v>-0.0004</v>
      </c>
    </row>
    <row r="5365">
      <c r="A5365" s="131">
        <f>IFERROR(__xludf.DUMMYFUNCTION("""COMPUTED_VALUE"""),46187.51537037037)</f>
        <v>46187.51537</v>
      </c>
      <c r="B5365" s="126">
        <f>IFERROR(__xludf.DUMMYFUNCTION("""COMPUTED_VALUE"""),46187.0)</f>
        <v>46187</v>
      </c>
      <c r="C5365" s="122" t="str">
        <f>IFERROR(__xludf.DUMMYFUNCTION("""COMPUTED_VALUE"""),"CAFE")</f>
        <v>CAFE</v>
      </c>
      <c r="D5365" s="122" t="str">
        <f>IFERROR(__xludf.DUMMYFUNCTION("""COMPUTED_VALUE"""),"Cafe Cloud")</f>
        <v>Cafe Cloud</v>
      </c>
      <c r="E5365" s="122">
        <f>IFERROR(__xludf.DUMMYFUNCTION("""COMPUTED_VALUE"""),101.66)</f>
        <v>101.66</v>
      </c>
      <c r="F5365" s="122">
        <f>IFERROR(__xludf.DUMMYFUNCTION("""COMPUTED_VALUE"""),0.0082)</f>
        <v>0.0082</v>
      </c>
    </row>
    <row r="5366">
      <c r="A5366" s="131">
        <f>IFERROR(__xludf.DUMMYFUNCTION("""COMPUTED_VALUE"""),46187.51537037037)</f>
        <v>46187.51537</v>
      </c>
      <c r="B5366" s="126">
        <f>IFERROR(__xludf.DUMMYFUNCTION("""COMPUTED_VALUE"""),46187.0)</f>
        <v>46187</v>
      </c>
      <c r="C5366" s="122" t="str">
        <f>IFERROR(__xludf.DUMMYFUNCTION("""COMPUTED_VALUE"""),"BAKE")</f>
        <v>BAKE</v>
      </c>
      <c r="D5366" s="122" t="str">
        <f>IFERROR(__xludf.DUMMYFUNCTION("""COMPUTED_VALUE"""),"BakeHouse")</f>
        <v>BakeHouse</v>
      </c>
      <c r="E5366" s="122">
        <f>IFERROR(__xludf.DUMMYFUNCTION("""COMPUTED_VALUE"""),101.87)</f>
        <v>101.87</v>
      </c>
      <c r="F5366" s="122">
        <f>IFERROR(__xludf.DUMMYFUNCTION("""COMPUTED_VALUE"""),-0.003)</f>
        <v>-0.003</v>
      </c>
    </row>
    <row r="5367">
      <c r="A5367" s="131">
        <f>IFERROR(__xludf.DUMMYFUNCTION("""COMPUTED_VALUE"""),46187.51537037037)</f>
        <v>46187.51537</v>
      </c>
      <c r="B5367" s="126">
        <f>IFERROR(__xludf.DUMMYFUNCTION("""COMPUTED_VALUE"""),46187.0)</f>
        <v>46187</v>
      </c>
      <c r="C5367" s="122" t="str">
        <f>IFERROR(__xludf.DUMMYFUNCTION("""COMPUTED_VALUE"""),"OILX")</f>
        <v>OILX</v>
      </c>
      <c r="D5367" s="122" t="str">
        <f>IFERROR(__xludf.DUMMYFUNCTION("""COMPUTED_VALUE"""),"OilMax Energy")</f>
        <v>OilMax Energy</v>
      </c>
      <c r="E5367" s="122">
        <f>IFERROR(__xludf.DUMMYFUNCTION("""COMPUTED_VALUE"""),127.61)</f>
        <v>127.61</v>
      </c>
      <c r="F5367" s="122">
        <f>IFERROR(__xludf.DUMMYFUNCTION("""COMPUTED_VALUE"""),0.0074)</f>
        <v>0.0074</v>
      </c>
    </row>
    <row r="5368">
      <c r="A5368" s="131">
        <f>IFERROR(__xludf.DUMMYFUNCTION("""COMPUTED_VALUE"""),46187.51537037037)</f>
        <v>46187.51537</v>
      </c>
      <c r="B5368" s="126">
        <f>IFERROR(__xludf.DUMMYFUNCTION("""COMPUTED_VALUE"""),46187.0)</f>
        <v>46187</v>
      </c>
      <c r="C5368" s="122" t="str">
        <f>IFERROR(__xludf.DUMMYFUNCTION("""COMPUTED_VALUE"""),"SOLR")</f>
        <v>SOLR</v>
      </c>
      <c r="D5368" s="122" t="str">
        <f>IFERROR(__xludf.DUMMYFUNCTION("""COMPUTED_VALUE"""),"SolarSpark")</f>
        <v>SolarSpark</v>
      </c>
      <c r="E5368" s="122">
        <f>IFERROR(__xludf.DUMMYFUNCTION("""COMPUTED_VALUE"""),98.21)</f>
        <v>98.21</v>
      </c>
      <c r="F5368" s="122">
        <f>IFERROR(__xludf.DUMMYFUNCTION("""COMPUTED_VALUE"""),-0.0033)</f>
        <v>-0.0033</v>
      </c>
    </row>
    <row r="5369">
      <c r="A5369" s="131">
        <f>IFERROR(__xludf.DUMMYFUNCTION("""COMPUTED_VALUE"""),46187.51537037037)</f>
        <v>46187.51537</v>
      </c>
      <c r="B5369" s="126">
        <f>IFERROR(__xludf.DUMMYFUNCTION("""COMPUTED_VALUE"""),46187.0)</f>
        <v>46187</v>
      </c>
      <c r="C5369" s="122" t="str">
        <f>IFERROR(__xludf.DUMMYFUNCTION("""COMPUTED_VALUE"""),"BATT")</f>
        <v>BATT</v>
      </c>
      <c r="D5369" s="122" t="str">
        <f>IFERROR(__xludf.DUMMYFUNCTION("""COMPUTED_VALUE"""),"BatteryBox")</f>
        <v>BatteryBox</v>
      </c>
      <c r="E5369" s="122">
        <f>IFERROR(__xludf.DUMMYFUNCTION("""COMPUTED_VALUE"""),119.19)</f>
        <v>119.19</v>
      </c>
      <c r="F5369" s="122">
        <f>IFERROR(__xludf.DUMMYFUNCTION("""COMPUTED_VALUE"""),-0.007)</f>
        <v>-0.007</v>
      </c>
    </row>
    <row r="5370">
      <c r="A5370" s="131">
        <f>IFERROR(__xludf.DUMMYFUNCTION("""COMPUTED_VALUE"""),46187.51537037037)</f>
        <v>46187.51537</v>
      </c>
      <c r="B5370" s="126">
        <f>IFERROR(__xludf.DUMMYFUNCTION("""COMPUTED_VALUE"""),46187.0)</f>
        <v>46187</v>
      </c>
      <c r="C5370" s="122" t="str">
        <f>IFERROR(__xludf.DUMMYFUNCTION("""COMPUTED_VALUE"""),"WIND")</f>
        <v>WIND</v>
      </c>
      <c r="D5370" s="122" t="str">
        <f>IFERROR(__xludf.DUMMYFUNCTION("""COMPUTED_VALUE"""),"WindWorks")</f>
        <v>WindWorks</v>
      </c>
      <c r="E5370" s="122">
        <f>IFERROR(__xludf.DUMMYFUNCTION("""COMPUTED_VALUE"""),87.27)</f>
        <v>87.27</v>
      </c>
      <c r="F5370" s="122">
        <f>IFERROR(__xludf.DUMMYFUNCTION("""COMPUTED_VALUE"""),-0.0011)</f>
        <v>-0.0011</v>
      </c>
    </row>
    <row r="5371">
      <c r="A5371" s="131">
        <f>IFERROR(__xludf.DUMMYFUNCTION("""COMPUTED_VALUE"""),46187.51537037037)</f>
        <v>46187.51537</v>
      </c>
      <c r="B5371" s="126">
        <f>IFERROR(__xludf.DUMMYFUNCTION("""COMPUTED_VALUE"""),46187.0)</f>
        <v>46187</v>
      </c>
      <c r="C5371" s="122" t="str">
        <f>IFERROR(__xludf.DUMMYFUNCTION("""COMPUTED_VALUE"""),"GRID")</f>
        <v>GRID</v>
      </c>
      <c r="D5371" s="122" t="str">
        <f>IFERROR(__xludf.DUMMYFUNCTION("""COMPUTED_VALUE"""),"GridPower")</f>
        <v>GridPower</v>
      </c>
      <c r="E5371" s="122">
        <f>IFERROR(__xludf.DUMMYFUNCTION("""COMPUTED_VALUE"""),136.64)</f>
        <v>136.64</v>
      </c>
      <c r="F5371" s="122">
        <f>IFERROR(__xludf.DUMMYFUNCTION("""COMPUTED_VALUE"""),0.001)</f>
        <v>0.001</v>
      </c>
    </row>
    <row r="5372">
      <c r="A5372" s="131">
        <f>IFERROR(__xludf.DUMMYFUNCTION("""COMPUTED_VALUE"""),46187.51537037037)</f>
        <v>46187.51537</v>
      </c>
      <c r="B5372" s="126">
        <f>IFERROR(__xludf.DUMMYFUNCTION("""COMPUTED_VALUE"""),46187.0)</f>
        <v>46187</v>
      </c>
      <c r="C5372" s="122" t="str">
        <f>IFERROR(__xludf.DUMMYFUNCTION("""COMPUTED_VALUE"""),"HOME")</f>
        <v>HOME</v>
      </c>
      <c r="D5372" s="122" t="str">
        <f>IFERROR(__xludf.DUMMYFUNCTION("""COMPUTED_VALUE"""),"HomeHub")</f>
        <v>HomeHub</v>
      </c>
      <c r="E5372" s="122">
        <f>IFERROR(__xludf.DUMMYFUNCTION("""COMPUTED_VALUE"""),152.42)</f>
        <v>152.42</v>
      </c>
      <c r="F5372" s="122">
        <f>IFERROR(__xludf.DUMMYFUNCTION("""COMPUTED_VALUE"""),0.002)</f>
        <v>0.002</v>
      </c>
    </row>
    <row r="5373">
      <c r="A5373" s="131">
        <f>IFERROR(__xludf.DUMMYFUNCTION("""COMPUTED_VALUE"""),46187.51537037037)</f>
        <v>46187.51537</v>
      </c>
      <c r="B5373" s="126">
        <f>IFERROR(__xludf.DUMMYFUNCTION("""COMPUTED_VALUE"""),46187.0)</f>
        <v>46187</v>
      </c>
      <c r="C5373" s="122" t="str">
        <f>IFERROR(__xludf.DUMMYFUNCTION("""COMPUTED_VALUE"""),"RENT")</f>
        <v>RENT</v>
      </c>
      <c r="D5373" s="122" t="str">
        <f>IFERROR(__xludf.DUMMYFUNCTION("""COMPUTED_VALUE"""),"RentRight")</f>
        <v>RentRight</v>
      </c>
      <c r="E5373" s="122">
        <f>IFERROR(__xludf.DUMMYFUNCTION("""COMPUTED_VALUE"""),90.64)</f>
        <v>90.64</v>
      </c>
      <c r="F5373" s="122">
        <f>IFERROR(__xludf.DUMMYFUNCTION("""COMPUTED_VALUE"""),-0.0054)</f>
        <v>-0.0054</v>
      </c>
    </row>
    <row r="5374">
      <c r="A5374" s="131">
        <f>IFERROR(__xludf.DUMMYFUNCTION("""COMPUTED_VALUE"""),46187.51537037037)</f>
        <v>46187.51537</v>
      </c>
      <c r="B5374" s="126">
        <f>IFERROR(__xludf.DUMMYFUNCTION("""COMPUTED_VALUE"""),46187.0)</f>
        <v>46187</v>
      </c>
      <c r="C5374" s="122" t="str">
        <f>IFERROR(__xludf.DUMMYFUNCTION("""COMPUTED_VALUE"""),"MALL")</f>
        <v>MALL</v>
      </c>
      <c r="D5374" s="122" t="str">
        <f>IFERROR(__xludf.DUMMYFUNCTION("""COMPUTED_VALUE"""),"MegaMall")</f>
        <v>MegaMall</v>
      </c>
      <c r="E5374" s="122">
        <f>IFERROR(__xludf.DUMMYFUNCTION("""COMPUTED_VALUE"""),100.95)</f>
        <v>100.95</v>
      </c>
      <c r="F5374" s="122">
        <f>IFERROR(__xludf.DUMMYFUNCTION("""COMPUTED_VALUE"""),0.0016)</f>
        <v>0.0016</v>
      </c>
    </row>
    <row r="5375">
      <c r="A5375" s="131">
        <f>IFERROR(__xludf.DUMMYFUNCTION("""COMPUTED_VALUE"""),46187.51537037037)</f>
        <v>46187.51537</v>
      </c>
      <c r="B5375" s="126">
        <f>IFERROR(__xludf.DUMMYFUNCTION("""COMPUTED_VALUE"""),46187.0)</f>
        <v>46187</v>
      </c>
      <c r="C5375" s="122" t="str">
        <f>IFERROR(__xludf.DUMMYFUNCTION("""COMPUTED_VALUE"""),"HOTL")</f>
        <v>HOTL</v>
      </c>
      <c r="D5375" s="122" t="str">
        <f>IFERROR(__xludf.DUMMYFUNCTION("""COMPUTED_VALUE"""),"HotelHive")</f>
        <v>HotelHive</v>
      </c>
      <c r="E5375" s="122">
        <f>IFERROR(__xludf.DUMMYFUNCTION("""COMPUTED_VALUE"""),127.87)</f>
        <v>127.87</v>
      </c>
      <c r="F5375" s="122">
        <f>IFERROR(__xludf.DUMMYFUNCTION("""COMPUTED_VALUE"""),0.003)</f>
        <v>0.003</v>
      </c>
    </row>
    <row r="5376">
      <c r="A5376" s="131">
        <f>IFERROR(__xludf.DUMMYFUNCTION("""COMPUTED_VALUE"""),46187.51537037037)</f>
        <v>46187.51537</v>
      </c>
      <c r="B5376" s="126">
        <f>IFERROR(__xludf.DUMMYFUNCTION("""COMPUTED_VALUE"""),46187.0)</f>
        <v>46187</v>
      </c>
      <c r="C5376" s="122" t="str">
        <f>IFERROR(__xludf.DUMMYFUNCTION("""COMPUTED_VALUE"""),"LAND")</f>
        <v>LAND</v>
      </c>
      <c r="D5376" s="122" t="str">
        <f>IFERROR(__xludf.DUMMYFUNCTION("""COMPUTED_VALUE"""),"LandLink")</f>
        <v>LandLink</v>
      </c>
      <c r="E5376" s="122">
        <f>IFERROR(__xludf.DUMMYFUNCTION("""COMPUTED_VALUE"""),181.03)</f>
        <v>181.03</v>
      </c>
      <c r="F5376" s="122">
        <f>IFERROR(__xludf.DUMMYFUNCTION("""COMPUTED_VALUE"""),-0.0024)</f>
        <v>-0.0024</v>
      </c>
    </row>
    <row r="5377">
      <c r="A5377" s="131">
        <f>IFERROR(__xludf.DUMMYFUNCTION("""COMPUTED_VALUE"""),46187.51537037037)</f>
        <v>46187.51537</v>
      </c>
      <c r="B5377" s="126">
        <f>IFERROR(__xludf.DUMMYFUNCTION("""COMPUTED_VALUE"""),46187.0)</f>
        <v>46187</v>
      </c>
      <c r="C5377" s="122" t="str">
        <f>IFERROR(__xludf.DUMMYFUNCTION("""COMPUTED_VALUE"""),"CARS")</f>
        <v>CARS</v>
      </c>
      <c r="D5377" s="122" t="str">
        <f>IFERROR(__xludf.DUMMYFUNCTION("""COMPUTED_VALUE"""),"AutoArena")</f>
        <v>AutoArena</v>
      </c>
      <c r="E5377" s="122">
        <f>IFERROR(__xludf.DUMMYFUNCTION("""COMPUTED_VALUE"""),82.48)</f>
        <v>82.48</v>
      </c>
      <c r="F5377" s="122">
        <f>IFERROR(__xludf.DUMMYFUNCTION("""COMPUTED_VALUE"""),-0.0097)</f>
        <v>-0.0097</v>
      </c>
    </row>
    <row r="5378">
      <c r="A5378" s="131">
        <f>IFERROR(__xludf.DUMMYFUNCTION("""COMPUTED_VALUE"""),46187.51537037037)</f>
        <v>46187.51537</v>
      </c>
      <c r="B5378" s="126">
        <f>IFERROR(__xludf.DUMMYFUNCTION("""COMPUTED_VALUE"""),46187.0)</f>
        <v>46187</v>
      </c>
      <c r="C5378" s="122" t="str">
        <f>IFERROR(__xludf.DUMMYFUNCTION("""COMPUTED_VALUE"""),"EVGO")</f>
        <v>EVGO</v>
      </c>
      <c r="D5378" s="122" t="str">
        <f>IFERROR(__xludf.DUMMYFUNCTION("""COMPUTED_VALUE"""),"EVGo Motors")</f>
        <v>EVGo Motors</v>
      </c>
      <c r="E5378" s="122">
        <f>IFERROR(__xludf.DUMMYFUNCTION("""COMPUTED_VALUE"""),185.14)</f>
        <v>185.14</v>
      </c>
      <c r="F5378" s="122">
        <f>IFERROR(__xludf.DUMMYFUNCTION("""COMPUTED_VALUE"""),-0.0053)</f>
        <v>-0.0053</v>
      </c>
    </row>
    <row r="5379">
      <c r="A5379" s="131">
        <f>IFERROR(__xludf.DUMMYFUNCTION("""COMPUTED_VALUE"""),46187.51537037037)</f>
        <v>46187.51537</v>
      </c>
      <c r="B5379" s="126">
        <f>IFERROR(__xludf.DUMMYFUNCTION("""COMPUTED_VALUE"""),46187.0)</f>
        <v>46187</v>
      </c>
      <c r="C5379" s="122" t="str">
        <f>IFERROR(__xludf.DUMMYFUNCTION("""COMPUTED_VALUE"""),"TIRE")</f>
        <v>TIRE</v>
      </c>
      <c r="D5379" s="122" t="str">
        <f>IFERROR(__xludf.DUMMYFUNCTION("""COMPUTED_VALUE"""),"TireTown")</f>
        <v>TireTown</v>
      </c>
      <c r="E5379" s="122">
        <f>IFERROR(__xludf.DUMMYFUNCTION("""COMPUTED_VALUE"""),96.17)</f>
        <v>96.17</v>
      </c>
      <c r="F5379" s="122">
        <f>IFERROR(__xludf.DUMMYFUNCTION("""COMPUTED_VALUE"""),8.0E-4)</f>
        <v>0.0008</v>
      </c>
    </row>
    <row r="5380">
      <c r="A5380" s="131">
        <f>IFERROR(__xludf.DUMMYFUNCTION("""COMPUTED_VALUE"""),46187.51537037037)</f>
        <v>46187.51537</v>
      </c>
      <c r="B5380" s="126">
        <f>IFERROR(__xludf.DUMMYFUNCTION("""COMPUTED_VALUE"""),46187.0)</f>
        <v>46187</v>
      </c>
      <c r="C5380" s="122" t="str">
        <f>IFERROR(__xludf.DUMMYFUNCTION("""COMPUTED_VALUE"""),"BIKE")</f>
        <v>BIKE</v>
      </c>
      <c r="D5380" s="122" t="str">
        <f>IFERROR(__xludf.DUMMYFUNCTION("""COMPUTED_VALUE"""),"BikeBox")</f>
        <v>BikeBox</v>
      </c>
      <c r="E5380" s="122">
        <f>IFERROR(__xludf.DUMMYFUNCTION("""COMPUTED_VALUE"""),53.33)</f>
        <v>53.33</v>
      </c>
      <c r="F5380" s="122">
        <f>IFERROR(__xludf.DUMMYFUNCTION("""COMPUTED_VALUE"""),0.0047)</f>
        <v>0.0047</v>
      </c>
    </row>
    <row r="5381">
      <c r="A5381" s="131">
        <f>IFERROR(__xludf.DUMMYFUNCTION("""COMPUTED_VALUE"""),46187.51537037037)</f>
        <v>46187.51537</v>
      </c>
      <c r="B5381" s="126">
        <f>IFERROR(__xludf.DUMMYFUNCTION("""COMPUTED_VALUE"""),46187.0)</f>
        <v>46187</v>
      </c>
      <c r="C5381" s="122" t="str">
        <f>IFERROR(__xludf.DUMMYFUNCTION("""COMPUTED_VALUE"""),"WASH")</f>
        <v>WASH</v>
      </c>
      <c r="D5381" s="122" t="str">
        <f>IFERROR(__xludf.DUMMYFUNCTION("""COMPUTED_VALUE"""),"CarWash Co")</f>
        <v>CarWash Co</v>
      </c>
      <c r="E5381" s="122">
        <f>IFERROR(__xludf.DUMMYFUNCTION("""COMPUTED_VALUE"""),119.22)</f>
        <v>119.22</v>
      </c>
      <c r="F5381" s="122">
        <f>IFERROR(__xludf.DUMMYFUNCTION("""COMPUTED_VALUE"""),-3.0E-4)</f>
        <v>-0.0003</v>
      </c>
    </row>
    <row r="5382">
      <c r="A5382" s="131">
        <f>IFERROR(__xludf.DUMMYFUNCTION("""COMPUTED_VALUE"""),46187.51537037037)</f>
        <v>46187.51537</v>
      </c>
      <c r="B5382" s="126">
        <f>IFERROR(__xludf.DUMMYFUNCTION("""COMPUTED_VALUE"""),46187.0)</f>
        <v>46187</v>
      </c>
      <c r="C5382" s="122" t="str">
        <f>IFERROR(__xludf.DUMMYFUNCTION("""COMPUTED_VALUE"""),"GBND")</f>
        <v>GBND</v>
      </c>
      <c r="D5382" s="122" t="str">
        <f>IFERROR(__xludf.DUMMYFUNCTION("""COMPUTED_VALUE"""),"Classroom Government Bond")</f>
        <v>Classroom Government Bond</v>
      </c>
      <c r="E5382" s="122">
        <f>IFERROR(__xludf.DUMMYFUNCTION("""COMPUTED_VALUE"""),100.97)</f>
        <v>100.97</v>
      </c>
      <c r="F5382" s="122">
        <f>IFERROR(__xludf.DUMMYFUNCTION("""COMPUTED_VALUE"""),1.0E-4)</f>
        <v>0.0001</v>
      </c>
    </row>
    <row r="5383">
      <c r="A5383" s="131">
        <f>IFERROR(__xludf.DUMMYFUNCTION("""COMPUTED_VALUE"""),46187.51537037037)</f>
        <v>46187.51537</v>
      </c>
      <c r="B5383" s="126">
        <f>IFERROR(__xludf.DUMMYFUNCTION("""COMPUTED_VALUE"""),46187.0)</f>
        <v>46187</v>
      </c>
      <c r="C5383" s="122" t="str">
        <f>IFERROR(__xludf.DUMMYFUNCTION("""COMPUTED_VALUE"""),"SBND")</f>
        <v>SBND</v>
      </c>
      <c r="D5383" s="122" t="str">
        <f>IFERROR(__xludf.DUMMYFUNCTION("""COMPUTED_VALUE"""),"School Savings Bond")</f>
        <v>School Savings Bond</v>
      </c>
      <c r="E5383" s="122">
        <f>IFERROR(__xludf.DUMMYFUNCTION("""COMPUTED_VALUE"""),99.45)</f>
        <v>99.45</v>
      </c>
      <c r="F5383" s="122">
        <f>IFERROR(__xludf.DUMMYFUNCTION("""COMPUTED_VALUE"""),3.0E-4)</f>
        <v>0.0003</v>
      </c>
    </row>
    <row r="5384">
      <c r="A5384" s="131">
        <f>IFERROR(__xludf.DUMMYFUNCTION("""COMPUTED_VALUE"""),46187.51537037037)</f>
        <v>46187.51537</v>
      </c>
      <c r="B5384" s="126">
        <f>IFERROR(__xludf.DUMMYFUNCTION("""COMPUTED_VALUE"""),46187.0)</f>
        <v>46187</v>
      </c>
      <c r="C5384" s="122" t="str">
        <f>IFERROR(__xludf.DUMMYFUNCTION("""COMPUTED_VALUE"""),"CBND")</f>
        <v>CBND</v>
      </c>
      <c r="D5384" s="122" t="str">
        <f>IFERROR(__xludf.DUMMYFUNCTION("""COMPUTED_VALUE"""),"Corporate Classroom Bond")</f>
        <v>Corporate Classroom Bond</v>
      </c>
      <c r="E5384" s="122">
        <f>IFERROR(__xludf.DUMMYFUNCTION("""COMPUTED_VALUE"""),97.8)</f>
        <v>97.8</v>
      </c>
      <c r="F5384" s="122">
        <f>IFERROR(__xludf.DUMMYFUNCTION("""COMPUTED_VALUE"""),0.0)</f>
        <v>0</v>
      </c>
    </row>
    <row r="5385">
      <c r="A5385" s="131">
        <f>IFERROR(__xludf.DUMMYFUNCTION("""COMPUTED_VALUE"""),46187.51537037037)</f>
        <v>46187.51537</v>
      </c>
      <c r="B5385" s="126">
        <f>IFERROR(__xludf.DUMMYFUNCTION("""COMPUTED_VALUE"""),46187.0)</f>
        <v>46187</v>
      </c>
      <c r="C5385" s="122" t="str">
        <f>IFERROR(__xludf.DUMMYFUNCTION("""COMPUTED_VALUE"""),"TBIL")</f>
        <v>TBIL</v>
      </c>
      <c r="D5385" s="122" t="str">
        <f>IFERROR(__xludf.DUMMYFUNCTION("""COMPUTED_VALUE"""),"Treasury Bill")</f>
        <v>Treasury Bill</v>
      </c>
      <c r="E5385" s="122">
        <f>IFERROR(__xludf.DUMMYFUNCTION("""COMPUTED_VALUE"""),98.12)</f>
        <v>98.12</v>
      </c>
      <c r="F5385" s="122">
        <f>IFERROR(__xludf.DUMMYFUNCTION("""COMPUTED_VALUE"""),-3.0E-4)</f>
        <v>-0.0003</v>
      </c>
    </row>
    <row r="5386">
      <c r="A5386" s="131">
        <f>IFERROR(__xludf.DUMMYFUNCTION("""COMPUTED_VALUE"""),46187.51537037037)</f>
        <v>46187.51537</v>
      </c>
      <c r="B5386" s="126">
        <f>IFERROR(__xludf.DUMMYFUNCTION("""COMPUTED_VALUE"""),46187.0)</f>
        <v>46187</v>
      </c>
      <c r="C5386" s="122" t="str">
        <f>IFERROR(__xludf.DUMMYFUNCTION("""COMPUTED_VALUE"""),"IBND")</f>
        <v>IBND</v>
      </c>
      <c r="D5386" s="122" t="str">
        <f>IFERROR(__xludf.DUMMYFUNCTION("""COMPUTED_VALUE"""),"Inflation Protected Bond")</f>
        <v>Inflation Protected Bond</v>
      </c>
      <c r="E5386" s="122">
        <f>IFERROR(__xludf.DUMMYFUNCTION("""COMPUTED_VALUE"""),100.76)</f>
        <v>100.76</v>
      </c>
      <c r="F5386" s="122">
        <f>IFERROR(__xludf.DUMMYFUNCTION("""COMPUTED_VALUE"""),-1.0E-4)</f>
        <v>-0.0001</v>
      </c>
    </row>
    <row r="5387">
      <c r="A5387" s="131">
        <f>IFERROR(__xludf.DUMMYFUNCTION("""COMPUTED_VALUE"""),46187.51900462963)</f>
        <v>46187.519</v>
      </c>
      <c r="B5387" s="126">
        <f>IFERROR(__xludf.DUMMYFUNCTION("""COMPUTED_VALUE"""),46187.0)</f>
        <v>46187</v>
      </c>
      <c r="C5387" s="122" t="str">
        <f>IFERROR(__xludf.DUMMYFUNCTION("""COMPUTED_VALUE"""),"SNAX")</f>
        <v>SNAX</v>
      </c>
      <c r="D5387" s="122" t="str">
        <f>IFERROR(__xludf.DUMMYFUNCTION("""COMPUTED_VALUE"""),"MICA Snacks")</f>
        <v>MICA Snacks</v>
      </c>
      <c r="E5387" s="122">
        <f>IFERROR(__xludf.DUMMYFUNCTION("""COMPUTED_VALUE"""),119.81)</f>
        <v>119.81</v>
      </c>
      <c r="F5387" s="122">
        <f>IFERROR(__xludf.DUMMYFUNCTION("""COMPUTED_VALUE"""),-0.0015)</f>
        <v>-0.0015</v>
      </c>
    </row>
    <row r="5388">
      <c r="A5388" s="131">
        <f>IFERROR(__xludf.DUMMYFUNCTION("""COMPUTED_VALUE"""),46187.51900462963)</f>
        <v>46187.519</v>
      </c>
      <c r="B5388" s="126">
        <f>IFERROR(__xludf.DUMMYFUNCTION("""COMPUTED_VALUE"""),46187.0)</f>
        <v>46187</v>
      </c>
      <c r="C5388" s="122" t="str">
        <f>IFERROR(__xludf.DUMMYFUNCTION("""COMPUTED_VALUE"""),"RAMN")</f>
        <v>RAMN</v>
      </c>
      <c r="D5388" s="122" t="str">
        <f>IFERROR(__xludf.DUMMYFUNCTION("""COMPUTED_VALUE"""),"Ramen Republic")</f>
        <v>Ramen Republic</v>
      </c>
      <c r="E5388" s="122">
        <f>IFERROR(__xludf.DUMMYFUNCTION("""COMPUTED_VALUE"""),67.97)</f>
        <v>67.97</v>
      </c>
      <c r="F5388" s="122">
        <f>IFERROR(__xludf.DUMMYFUNCTION("""COMPUTED_VALUE"""),0.0013)</f>
        <v>0.0013</v>
      </c>
    </row>
    <row r="5389">
      <c r="A5389" s="131">
        <f>IFERROR(__xludf.DUMMYFUNCTION("""COMPUTED_VALUE"""),46187.51900462963)</f>
        <v>46187.519</v>
      </c>
      <c r="B5389" s="126">
        <f>IFERROR(__xludf.DUMMYFUNCTION("""COMPUTED_VALUE"""),46187.0)</f>
        <v>46187</v>
      </c>
      <c r="C5389" s="122" t="str">
        <f>IFERROR(__xludf.DUMMYFUNCTION("""COMPUTED_VALUE"""),"COLA")</f>
        <v>COLA</v>
      </c>
      <c r="D5389" s="122" t="str">
        <f>IFERROR(__xludf.DUMMYFUNCTION("""COMPUTED_VALUE"""),"K-Pop Cola")</f>
        <v>K-Pop Cola</v>
      </c>
      <c r="E5389" s="122">
        <f>IFERROR(__xludf.DUMMYFUNCTION("""COMPUTED_VALUE"""),114.23)</f>
        <v>114.23</v>
      </c>
      <c r="F5389" s="122">
        <f>IFERROR(__xludf.DUMMYFUNCTION("""COMPUTED_VALUE"""),0.0055)</f>
        <v>0.0055</v>
      </c>
    </row>
    <row r="5390">
      <c r="A5390" s="131">
        <f>IFERROR(__xludf.DUMMYFUNCTION("""COMPUTED_VALUE"""),46187.51900462963)</f>
        <v>46187.519</v>
      </c>
      <c r="B5390" s="126">
        <f>IFERROR(__xludf.DUMMYFUNCTION("""COMPUTED_VALUE"""),46187.0)</f>
        <v>46187</v>
      </c>
      <c r="C5390" s="122" t="str">
        <f>IFERROR(__xludf.DUMMYFUNCTION("""COMPUTED_VALUE"""),"CHIP")</f>
        <v>CHIP</v>
      </c>
      <c r="D5390" s="122" t="str">
        <f>IFERROR(__xludf.DUMMYFUNCTION("""COMPUTED_VALUE"""),"Chip Empire")</f>
        <v>Chip Empire</v>
      </c>
      <c r="E5390" s="122">
        <f>IFERROR(__xludf.DUMMYFUNCTION("""COMPUTED_VALUE"""),86.08)</f>
        <v>86.08</v>
      </c>
      <c r="F5390" s="122">
        <f>IFERROR(__xludf.DUMMYFUNCTION("""COMPUTED_VALUE"""),-0.0012)</f>
        <v>-0.0012</v>
      </c>
    </row>
    <row r="5391">
      <c r="A5391" s="131">
        <f>IFERROR(__xludf.DUMMYFUNCTION("""COMPUTED_VALUE"""),46187.51900462963)</f>
        <v>46187.519</v>
      </c>
      <c r="B5391" s="126">
        <f>IFERROR(__xludf.DUMMYFUNCTION("""COMPUTED_VALUE"""),46187.0)</f>
        <v>46187</v>
      </c>
      <c r="C5391" s="122" t="str">
        <f>IFERROR(__xludf.DUMMYFUNCTION("""COMPUTED_VALUE"""),"CAND")</f>
        <v>CAND</v>
      </c>
      <c r="D5391" s="122" t="str">
        <f>IFERROR(__xludf.DUMMYFUNCTION("""COMPUTED_VALUE"""),"Candy Capital")</f>
        <v>Candy Capital</v>
      </c>
      <c r="E5391" s="122">
        <f>IFERROR(__xludf.DUMMYFUNCTION("""COMPUTED_VALUE"""),76.57)</f>
        <v>76.57</v>
      </c>
      <c r="F5391" s="122">
        <f>IFERROR(__xludf.DUMMYFUNCTION("""COMPUTED_VALUE"""),0.0064)</f>
        <v>0.0064</v>
      </c>
    </row>
    <row r="5392">
      <c r="A5392" s="131">
        <f>IFERROR(__xludf.DUMMYFUNCTION("""COMPUTED_VALUE"""),46187.51900462963)</f>
        <v>46187.519</v>
      </c>
      <c r="B5392" s="126">
        <f>IFERROR(__xludf.DUMMYFUNCTION("""COMPUTED_VALUE"""),46187.0)</f>
        <v>46187</v>
      </c>
      <c r="C5392" s="122" t="str">
        <f>IFERROR(__xludf.DUMMYFUNCTION("""COMPUTED_VALUE"""),"TECH")</f>
        <v>TECH</v>
      </c>
      <c r="D5392" s="122" t="str">
        <f>IFERROR(__xludf.DUMMYFUNCTION("""COMPUTED_VALUE"""),"Dragon Tech")</f>
        <v>Dragon Tech</v>
      </c>
      <c r="E5392" s="122">
        <f>IFERROR(__xludf.DUMMYFUNCTION("""COMPUTED_VALUE"""),243.21)</f>
        <v>243.21</v>
      </c>
      <c r="F5392" s="122">
        <f>IFERROR(__xludf.DUMMYFUNCTION("""COMPUTED_VALUE"""),0.0011)</f>
        <v>0.0011</v>
      </c>
    </row>
    <row r="5393">
      <c r="A5393" s="131">
        <f>IFERROR(__xludf.DUMMYFUNCTION("""COMPUTED_VALUE"""),46187.51900462963)</f>
        <v>46187.519</v>
      </c>
      <c r="B5393" s="126">
        <f>IFERROR(__xludf.DUMMYFUNCTION("""COMPUTED_VALUE"""),46187.0)</f>
        <v>46187</v>
      </c>
      <c r="C5393" s="122" t="str">
        <f>IFERROR(__xludf.DUMMYFUNCTION("""COMPUTED_VALUE"""),"AIBO")</f>
        <v>AIBO</v>
      </c>
      <c r="D5393" s="122" t="str">
        <f>IFERROR(__xludf.DUMMYFUNCTION("""COMPUTED_VALUE"""),"Homework AI")</f>
        <v>Homework AI</v>
      </c>
      <c r="E5393" s="122">
        <f>IFERROR(__xludf.DUMMYFUNCTION("""COMPUTED_VALUE"""),180.03)</f>
        <v>180.03</v>
      </c>
      <c r="F5393" s="122">
        <f>IFERROR(__xludf.DUMMYFUNCTION("""COMPUTED_VALUE"""),0.0013)</f>
        <v>0.0013</v>
      </c>
    </row>
    <row r="5394">
      <c r="A5394" s="131">
        <f>IFERROR(__xludf.DUMMYFUNCTION("""COMPUTED_VALUE"""),46187.51900462963)</f>
        <v>46187.519</v>
      </c>
      <c r="B5394" s="126">
        <f>IFERROR(__xludf.DUMMYFUNCTION("""COMPUTED_VALUE"""),46187.0)</f>
        <v>46187</v>
      </c>
      <c r="C5394" s="122" t="str">
        <f>IFERROR(__xludf.DUMMYFUNCTION("""COMPUTED_VALUE"""),"GAME")</f>
        <v>GAME</v>
      </c>
      <c r="D5394" s="122" t="str">
        <f>IFERROR(__xludf.DUMMYFUNCTION("""COMPUTED_VALUE"""),"GameBox Media")</f>
        <v>GameBox Media</v>
      </c>
      <c r="E5394" s="122">
        <f>IFERROR(__xludf.DUMMYFUNCTION("""COMPUTED_VALUE"""),99.02)</f>
        <v>99.02</v>
      </c>
      <c r="F5394" s="122">
        <f>IFERROR(__xludf.DUMMYFUNCTION("""COMPUTED_VALUE"""),0.0062)</f>
        <v>0.0062</v>
      </c>
    </row>
    <row r="5395">
      <c r="A5395" s="131">
        <f>IFERROR(__xludf.DUMMYFUNCTION("""COMPUTED_VALUE"""),46187.51900462963)</f>
        <v>46187.519</v>
      </c>
      <c r="B5395" s="126">
        <f>IFERROR(__xludf.DUMMYFUNCTION("""COMPUTED_VALUE"""),46187.0)</f>
        <v>46187</v>
      </c>
      <c r="C5395" s="122" t="str">
        <f>IFERROR(__xludf.DUMMYFUNCTION("""COMPUTED_VALUE"""),"VRSE")</f>
        <v>VRSE</v>
      </c>
      <c r="D5395" s="122" t="str">
        <f>IFERROR(__xludf.DUMMYFUNCTION("""COMPUTED_VALUE"""),"VerseVR")</f>
        <v>VerseVR</v>
      </c>
      <c r="E5395" s="122">
        <f>IFERROR(__xludf.DUMMYFUNCTION("""COMPUTED_VALUE"""),150.77)</f>
        <v>150.77</v>
      </c>
      <c r="F5395" s="122">
        <f>IFERROR(__xludf.DUMMYFUNCTION("""COMPUTED_VALUE"""),-0.0098)</f>
        <v>-0.0098</v>
      </c>
    </row>
    <row r="5396">
      <c r="A5396" s="131">
        <f>IFERROR(__xludf.DUMMYFUNCTION("""COMPUTED_VALUE"""),46187.51900462963)</f>
        <v>46187.519</v>
      </c>
      <c r="B5396" s="126">
        <f>IFERROR(__xludf.DUMMYFUNCTION("""COMPUTED_VALUE"""),46187.0)</f>
        <v>46187</v>
      </c>
      <c r="C5396" s="122" t="str">
        <f>IFERROR(__xludf.DUMMYFUNCTION("""COMPUTED_VALUE"""),"BYTE")</f>
        <v>BYTE</v>
      </c>
      <c r="D5396" s="122" t="str">
        <f>IFERROR(__xludf.DUMMYFUNCTION("""COMPUTED_VALUE"""),"ByteWorks")</f>
        <v>ByteWorks</v>
      </c>
      <c r="E5396" s="122">
        <f>IFERROR(__xludf.DUMMYFUNCTION("""COMPUTED_VALUE"""),112.26)</f>
        <v>112.26</v>
      </c>
      <c r="F5396" s="122">
        <f>IFERROR(__xludf.DUMMYFUNCTION("""COMPUTED_VALUE"""),0.0056)</f>
        <v>0.0056</v>
      </c>
    </row>
    <row r="5397">
      <c r="A5397" s="131">
        <f>IFERROR(__xludf.DUMMYFUNCTION("""COMPUTED_VALUE"""),46187.51900462963)</f>
        <v>46187.519</v>
      </c>
      <c r="B5397" s="126">
        <f>IFERROR(__xludf.DUMMYFUNCTION("""COMPUTED_VALUE"""),46187.0)</f>
        <v>46187</v>
      </c>
      <c r="C5397" s="122" t="str">
        <f>IFERROR(__xludf.DUMMYFUNCTION("""COMPUTED_VALUE"""),"BANK")</f>
        <v>BANK</v>
      </c>
      <c r="D5397" s="122" t="str">
        <f>IFERROR(__xludf.DUMMYFUNCTION("""COMPUTED_VALUE"""),"Tiger Bank")</f>
        <v>Tiger Bank</v>
      </c>
      <c r="E5397" s="122">
        <f>IFERROR(__xludf.DUMMYFUNCTION("""COMPUTED_VALUE"""),128.82)</f>
        <v>128.82</v>
      </c>
      <c r="F5397" s="122">
        <f>IFERROR(__xludf.DUMMYFUNCTION("""COMPUTED_VALUE"""),-0.0019)</f>
        <v>-0.0019</v>
      </c>
    </row>
    <row r="5398">
      <c r="A5398" s="131">
        <f>IFERROR(__xludf.DUMMYFUNCTION("""COMPUTED_VALUE"""),46187.51900462963)</f>
        <v>46187.519</v>
      </c>
      <c r="B5398" s="126">
        <f>IFERROR(__xludf.DUMMYFUNCTION("""COMPUTED_VALUE"""),46187.0)</f>
        <v>46187</v>
      </c>
      <c r="C5398" s="122" t="str">
        <f>IFERROR(__xludf.DUMMYFUNCTION("""COMPUTED_VALUE"""),"CRED")</f>
        <v>CRED</v>
      </c>
      <c r="D5398" s="122" t="str">
        <f>IFERROR(__xludf.DUMMYFUNCTION("""COMPUTED_VALUE"""),"Credit Castle")</f>
        <v>Credit Castle</v>
      </c>
      <c r="E5398" s="122">
        <f>IFERROR(__xludf.DUMMYFUNCTION("""COMPUTED_VALUE"""),66.76)</f>
        <v>66.76</v>
      </c>
      <c r="F5398" s="122">
        <f>IFERROR(__xludf.DUMMYFUNCTION("""COMPUTED_VALUE"""),0.0027)</f>
        <v>0.0027</v>
      </c>
    </row>
    <row r="5399">
      <c r="A5399" s="131">
        <f>IFERROR(__xludf.DUMMYFUNCTION("""COMPUTED_VALUE"""),46187.51900462963)</f>
        <v>46187.519</v>
      </c>
      <c r="B5399" s="126">
        <f>IFERROR(__xludf.DUMMYFUNCTION("""COMPUTED_VALUE"""),46187.0)</f>
        <v>46187</v>
      </c>
      <c r="C5399" s="122" t="str">
        <f>IFERROR(__xludf.DUMMYFUNCTION("""COMPUTED_VALUE"""),"BOND")</f>
        <v>BOND</v>
      </c>
      <c r="D5399" s="122" t="str">
        <f>IFERROR(__xludf.DUMMYFUNCTION("""COMPUTED_VALUE"""),"BondBridge")</f>
        <v>BondBridge</v>
      </c>
      <c r="E5399" s="122">
        <f>IFERROR(__xludf.DUMMYFUNCTION("""COMPUTED_VALUE"""),100.55)</f>
        <v>100.55</v>
      </c>
      <c r="F5399" s="122">
        <f>IFERROR(__xludf.DUMMYFUNCTION("""COMPUTED_VALUE"""),1.0E-4)</f>
        <v>0.0001</v>
      </c>
    </row>
    <row r="5400">
      <c r="A5400" s="131">
        <f>IFERROR(__xludf.DUMMYFUNCTION("""COMPUTED_VALUE"""),46187.51900462963)</f>
        <v>46187.519</v>
      </c>
      <c r="B5400" s="126">
        <f>IFERROR(__xludf.DUMMYFUNCTION("""COMPUTED_VALUE"""),46187.0)</f>
        <v>46187</v>
      </c>
      <c r="C5400" s="122" t="str">
        <f>IFERROR(__xludf.DUMMYFUNCTION("""COMPUTED_VALUE"""),"INSR")</f>
        <v>INSR</v>
      </c>
      <c r="D5400" s="122" t="str">
        <f>IFERROR(__xludf.DUMMYFUNCTION("""COMPUTED_VALUE"""),"Shield Insurance")</f>
        <v>Shield Insurance</v>
      </c>
      <c r="E5400" s="122">
        <f>IFERROR(__xludf.DUMMYFUNCTION("""COMPUTED_VALUE"""),160.14)</f>
        <v>160.14</v>
      </c>
      <c r="F5400" s="122">
        <f>IFERROR(__xludf.DUMMYFUNCTION("""COMPUTED_VALUE"""),0.0019)</f>
        <v>0.0019</v>
      </c>
    </row>
    <row r="5401">
      <c r="A5401" s="131">
        <f>IFERROR(__xludf.DUMMYFUNCTION("""COMPUTED_VALUE"""),46187.51900462963)</f>
        <v>46187.519</v>
      </c>
      <c r="B5401" s="126">
        <f>IFERROR(__xludf.DUMMYFUNCTION("""COMPUTED_VALUE"""),46187.0)</f>
        <v>46187</v>
      </c>
      <c r="C5401" s="122" t="str">
        <f>IFERROR(__xludf.DUMMYFUNCTION("""COMPUTED_VALUE"""),"LOAN")</f>
        <v>LOAN</v>
      </c>
      <c r="D5401" s="122" t="str">
        <f>IFERROR(__xludf.DUMMYFUNCTION("""COMPUTED_VALUE"""),"LoanLab")</f>
        <v>LoanLab</v>
      </c>
      <c r="E5401" s="122">
        <f>IFERROR(__xludf.DUMMYFUNCTION("""COMPUTED_VALUE"""),65.62)</f>
        <v>65.62</v>
      </c>
      <c r="F5401" s="122">
        <f>IFERROR(__xludf.DUMMYFUNCTION("""COMPUTED_VALUE"""),0.002)</f>
        <v>0.002</v>
      </c>
    </row>
    <row r="5402">
      <c r="A5402" s="131">
        <f>IFERROR(__xludf.DUMMYFUNCTION("""COMPUTED_VALUE"""),46187.51900462963)</f>
        <v>46187.519</v>
      </c>
      <c r="B5402" s="126">
        <f>IFERROR(__xludf.DUMMYFUNCTION("""COMPUTED_VALUE"""),46187.0)</f>
        <v>46187</v>
      </c>
      <c r="C5402" s="122" t="str">
        <f>IFERROR(__xludf.DUMMYFUNCTION("""COMPUTED_VALUE"""),"LUXE")</f>
        <v>LUXE</v>
      </c>
      <c r="D5402" s="122" t="str">
        <f>IFERROR(__xludf.DUMMYFUNCTION("""COMPUTED_VALUE"""),"Luxury Locker")</f>
        <v>Luxury Locker</v>
      </c>
      <c r="E5402" s="122">
        <f>IFERROR(__xludf.DUMMYFUNCTION("""COMPUTED_VALUE"""),266.29)</f>
        <v>266.29</v>
      </c>
      <c r="F5402" s="122">
        <f>IFERROR(__xludf.DUMMYFUNCTION("""COMPUTED_VALUE"""),0.0043)</f>
        <v>0.0043</v>
      </c>
    </row>
    <row r="5403">
      <c r="A5403" s="131">
        <f>IFERROR(__xludf.DUMMYFUNCTION("""COMPUTED_VALUE"""),46187.51900462963)</f>
        <v>46187.519</v>
      </c>
      <c r="B5403" s="126">
        <f>IFERROR(__xludf.DUMMYFUNCTION("""COMPUTED_VALUE"""),46187.0)</f>
        <v>46187</v>
      </c>
      <c r="C5403" s="122" t="str">
        <f>IFERROR(__xludf.DUMMYFUNCTION("""COMPUTED_VALUE"""),"DRIP")</f>
        <v>DRIP</v>
      </c>
      <c r="D5403" s="122" t="str">
        <f>IFERROR(__xludf.DUMMYFUNCTION("""COMPUTED_VALUE"""),"Drip Streetwear")</f>
        <v>Drip Streetwear</v>
      </c>
      <c r="E5403" s="122">
        <f>IFERROR(__xludf.DUMMYFUNCTION("""COMPUTED_VALUE"""),200.07)</f>
        <v>200.07</v>
      </c>
      <c r="F5403" s="122">
        <f>IFERROR(__xludf.DUMMYFUNCTION("""COMPUTED_VALUE"""),0.0017)</f>
        <v>0.0017</v>
      </c>
    </row>
    <row r="5404">
      <c r="A5404" s="131">
        <f>IFERROR(__xludf.DUMMYFUNCTION("""COMPUTED_VALUE"""),46187.51900462963)</f>
        <v>46187.519</v>
      </c>
      <c r="B5404" s="126">
        <f>IFERROR(__xludf.DUMMYFUNCTION("""COMPUTED_VALUE"""),46187.0)</f>
        <v>46187</v>
      </c>
      <c r="C5404" s="122" t="str">
        <f>IFERROR(__xludf.DUMMYFUNCTION("""COMPUTED_VALUE"""),"KICK")</f>
        <v>KICK</v>
      </c>
      <c r="D5404" s="122" t="str">
        <f>IFERROR(__xludf.DUMMYFUNCTION("""COMPUTED_VALUE"""),"KickDrop Sneakers")</f>
        <v>KickDrop Sneakers</v>
      </c>
      <c r="E5404" s="122">
        <f>IFERROR(__xludf.DUMMYFUNCTION("""COMPUTED_VALUE"""),169.83)</f>
        <v>169.83</v>
      </c>
      <c r="F5404" s="122">
        <f>IFERROR(__xludf.DUMMYFUNCTION("""COMPUTED_VALUE"""),0.004)</f>
        <v>0.004</v>
      </c>
    </row>
    <row r="5405">
      <c r="A5405" s="131">
        <f>IFERROR(__xludf.DUMMYFUNCTION("""COMPUTED_VALUE"""),46187.51900462963)</f>
        <v>46187.519</v>
      </c>
      <c r="B5405" s="126">
        <f>IFERROR(__xludf.DUMMYFUNCTION("""COMPUTED_VALUE"""),46187.0)</f>
        <v>46187</v>
      </c>
      <c r="C5405" s="122" t="str">
        <f>IFERROR(__xludf.DUMMYFUNCTION("""COMPUTED_VALUE"""),"GLAM")</f>
        <v>GLAM</v>
      </c>
      <c r="D5405" s="122" t="str">
        <f>IFERROR(__xludf.DUMMYFUNCTION("""COMPUTED_VALUE"""),"Glow Cosmetics")</f>
        <v>Glow Cosmetics</v>
      </c>
      <c r="E5405" s="122">
        <f>IFERROR(__xludf.DUMMYFUNCTION("""COMPUTED_VALUE"""),106.95)</f>
        <v>106.95</v>
      </c>
      <c r="F5405" s="122">
        <f>IFERROR(__xludf.DUMMYFUNCTION("""COMPUTED_VALUE"""),0.0083)</f>
        <v>0.0083</v>
      </c>
    </row>
    <row r="5406">
      <c r="A5406" s="131">
        <f>IFERROR(__xludf.DUMMYFUNCTION("""COMPUTED_VALUE"""),46187.51900462963)</f>
        <v>46187.519</v>
      </c>
      <c r="B5406" s="126">
        <f>IFERROR(__xludf.DUMMYFUNCTION("""COMPUTED_VALUE"""),46187.0)</f>
        <v>46187</v>
      </c>
      <c r="C5406" s="122" t="str">
        <f>IFERROR(__xludf.DUMMYFUNCTION("""COMPUTED_VALUE"""),"BAGG")</f>
        <v>BAGG</v>
      </c>
      <c r="D5406" s="122" t="str">
        <f>IFERROR(__xludf.DUMMYFUNCTION("""COMPUTED_VALUE"""),"BagVault")</f>
        <v>BagVault</v>
      </c>
      <c r="E5406" s="122">
        <f>IFERROR(__xludf.DUMMYFUNCTION("""COMPUTED_VALUE"""),254.01)</f>
        <v>254.01</v>
      </c>
      <c r="F5406" s="122">
        <f>IFERROR(__xludf.DUMMYFUNCTION("""COMPUTED_VALUE"""),0.0017)</f>
        <v>0.0017</v>
      </c>
    </row>
    <row r="5407">
      <c r="A5407" s="131">
        <f>IFERROR(__xludf.DUMMYFUNCTION("""COMPUTED_VALUE"""),46187.51900462963)</f>
        <v>46187.519</v>
      </c>
      <c r="B5407" s="126">
        <f>IFERROR(__xludf.DUMMYFUNCTION("""COMPUTED_VALUE"""),46187.0)</f>
        <v>46187</v>
      </c>
      <c r="C5407" s="122" t="str">
        <f>IFERROR(__xludf.DUMMYFUNCTION("""COMPUTED_VALUE"""),"FAST")</f>
        <v>FAST</v>
      </c>
      <c r="D5407" s="122" t="str">
        <f>IFERROR(__xludf.DUMMYFUNCTION("""COMPUTED_VALUE"""),"Flash Logistics")</f>
        <v>Flash Logistics</v>
      </c>
      <c r="E5407" s="122">
        <f>IFERROR(__xludf.DUMMYFUNCTION("""COMPUTED_VALUE"""),105.21)</f>
        <v>105.21</v>
      </c>
      <c r="F5407" s="122">
        <f>IFERROR(__xludf.DUMMYFUNCTION("""COMPUTED_VALUE"""),-0.0019)</f>
        <v>-0.0019</v>
      </c>
    </row>
    <row r="5408">
      <c r="A5408" s="131">
        <f>IFERROR(__xludf.DUMMYFUNCTION("""COMPUTED_VALUE"""),46187.51900462963)</f>
        <v>46187.519</v>
      </c>
      <c r="B5408" s="126">
        <f>IFERROR(__xludf.DUMMYFUNCTION("""COMPUTED_VALUE"""),46187.0)</f>
        <v>46187</v>
      </c>
      <c r="C5408" s="122" t="str">
        <f>IFERROR(__xludf.DUMMYFUNCTION("""COMPUTED_VALUE"""),"SHIP")</f>
        <v>SHIP</v>
      </c>
      <c r="D5408" s="122" t="str">
        <f>IFERROR(__xludf.DUMMYFUNCTION("""COMPUTED_VALUE"""),"Seoul Shipping")</f>
        <v>Seoul Shipping</v>
      </c>
      <c r="E5408" s="122">
        <f>IFERROR(__xludf.DUMMYFUNCTION("""COMPUTED_VALUE"""),128.84)</f>
        <v>128.84</v>
      </c>
      <c r="F5408" s="122">
        <f>IFERROR(__xludf.DUMMYFUNCTION("""COMPUTED_VALUE"""),0.0051)</f>
        <v>0.0051</v>
      </c>
    </row>
    <row r="5409">
      <c r="A5409" s="131">
        <f>IFERROR(__xludf.DUMMYFUNCTION("""COMPUTED_VALUE"""),46187.51900462963)</f>
        <v>46187.519</v>
      </c>
      <c r="B5409" s="126">
        <f>IFERROR(__xludf.DUMMYFUNCTION("""COMPUTED_VALUE"""),46187.0)</f>
        <v>46187</v>
      </c>
      <c r="C5409" s="122" t="str">
        <f>IFERROR(__xludf.DUMMYFUNCTION("""COMPUTED_VALUE"""),"DRON")</f>
        <v>DRON</v>
      </c>
      <c r="D5409" s="122" t="str">
        <f>IFERROR(__xludf.DUMMYFUNCTION("""COMPUTED_VALUE"""),"DroneDrop")</f>
        <v>DroneDrop</v>
      </c>
      <c r="E5409" s="122">
        <f>IFERROR(__xludf.DUMMYFUNCTION("""COMPUTED_VALUE"""),126.4)</f>
        <v>126.4</v>
      </c>
      <c r="F5409" s="122">
        <f>IFERROR(__xludf.DUMMYFUNCTION("""COMPUTED_VALUE"""),-0.0103)</f>
        <v>-0.0103</v>
      </c>
    </row>
    <row r="5410">
      <c r="A5410" s="131">
        <f>IFERROR(__xludf.DUMMYFUNCTION("""COMPUTED_VALUE"""),46187.51900462963)</f>
        <v>46187.519</v>
      </c>
      <c r="B5410" s="126">
        <f>IFERROR(__xludf.DUMMYFUNCTION("""COMPUTED_VALUE"""),46187.0)</f>
        <v>46187</v>
      </c>
      <c r="C5410" s="122" t="str">
        <f>IFERROR(__xludf.DUMMYFUNCTION("""COMPUTED_VALUE"""),"RIDE")</f>
        <v>RIDE</v>
      </c>
      <c r="D5410" s="122" t="str">
        <f>IFERROR(__xludf.DUMMYFUNCTION("""COMPUTED_VALUE"""),"QuickRide")</f>
        <v>QuickRide</v>
      </c>
      <c r="E5410" s="122">
        <f>IFERROR(__xludf.DUMMYFUNCTION("""COMPUTED_VALUE"""),96.03)</f>
        <v>96.03</v>
      </c>
      <c r="F5410" s="122">
        <f>IFERROR(__xludf.DUMMYFUNCTION("""COMPUTED_VALUE"""),-0.0109)</f>
        <v>-0.0109</v>
      </c>
    </row>
    <row r="5411">
      <c r="A5411" s="131">
        <f>IFERROR(__xludf.DUMMYFUNCTION("""COMPUTED_VALUE"""),46187.51900462963)</f>
        <v>46187.519</v>
      </c>
      <c r="B5411" s="126">
        <f>IFERROR(__xludf.DUMMYFUNCTION("""COMPUTED_VALUE"""),46187.0)</f>
        <v>46187</v>
      </c>
      <c r="C5411" s="122" t="str">
        <f>IFERROR(__xludf.DUMMYFUNCTION("""COMPUTED_VALUE"""),"RAIL")</f>
        <v>RAIL</v>
      </c>
      <c r="D5411" s="122" t="str">
        <f>IFERROR(__xludf.DUMMYFUNCTION("""COMPUTED_VALUE"""),"MetroRail Corp")</f>
        <v>MetroRail Corp</v>
      </c>
      <c r="E5411" s="122">
        <f>IFERROR(__xludf.DUMMYFUNCTION("""COMPUTED_VALUE"""),133.89)</f>
        <v>133.89</v>
      </c>
      <c r="F5411" s="122">
        <f>IFERROR(__xludf.DUMMYFUNCTION("""COMPUTED_VALUE"""),-0.0037)</f>
        <v>-0.0037</v>
      </c>
    </row>
    <row r="5412">
      <c r="A5412" s="131">
        <f>IFERROR(__xludf.DUMMYFUNCTION("""COMPUTED_VALUE"""),46187.51900462963)</f>
        <v>46187.519</v>
      </c>
      <c r="B5412" s="126">
        <f>IFERROR(__xludf.DUMMYFUNCTION("""COMPUTED_VALUE"""),46187.0)</f>
        <v>46187</v>
      </c>
      <c r="C5412" s="122" t="str">
        <f>IFERROR(__xludf.DUMMYFUNCTION("""COMPUTED_VALUE"""),"MEDX")</f>
        <v>MEDX</v>
      </c>
      <c r="D5412" s="122" t="str">
        <f>IFERROR(__xludf.DUMMYFUNCTION("""COMPUTED_VALUE"""),"MediCore")</f>
        <v>MediCore</v>
      </c>
      <c r="E5412" s="122">
        <f>IFERROR(__xludf.DUMMYFUNCTION("""COMPUTED_VALUE"""),137.88)</f>
        <v>137.88</v>
      </c>
      <c r="F5412" s="122">
        <f>IFERROR(__xludf.DUMMYFUNCTION("""COMPUTED_VALUE"""),0.002)</f>
        <v>0.002</v>
      </c>
    </row>
    <row r="5413">
      <c r="A5413" s="131">
        <f>IFERROR(__xludf.DUMMYFUNCTION("""COMPUTED_VALUE"""),46187.51900462963)</f>
        <v>46187.519</v>
      </c>
      <c r="B5413" s="126">
        <f>IFERROR(__xludf.DUMMYFUNCTION("""COMPUTED_VALUE"""),46187.0)</f>
        <v>46187</v>
      </c>
      <c r="C5413" s="122" t="str">
        <f>IFERROR(__xludf.DUMMYFUNCTION("""COMPUTED_VALUE"""),"GYMX")</f>
        <v>GYMX</v>
      </c>
      <c r="D5413" s="122" t="str">
        <f>IFERROR(__xludf.DUMMYFUNCTION("""COMPUTED_VALUE"""),"GymX Fitness")</f>
        <v>GymX Fitness</v>
      </c>
      <c r="E5413" s="122">
        <f>IFERROR(__xludf.DUMMYFUNCTION("""COMPUTED_VALUE"""),87.3)</f>
        <v>87.3</v>
      </c>
      <c r="F5413" s="122">
        <f>IFERROR(__xludf.DUMMYFUNCTION("""COMPUTED_VALUE"""),5.0E-4)</f>
        <v>0.0005</v>
      </c>
    </row>
    <row r="5414">
      <c r="A5414" s="131">
        <f>IFERROR(__xludf.DUMMYFUNCTION("""COMPUTED_VALUE"""),46187.51900462963)</f>
        <v>46187.519</v>
      </c>
      <c r="B5414" s="126">
        <f>IFERROR(__xludf.DUMMYFUNCTION("""COMPUTED_VALUE"""),46187.0)</f>
        <v>46187</v>
      </c>
      <c r="C5414" s="122" t="str">
        <f>IFERROR(__xludf.DUMMYFUNCTION("""COMPUTED_VALUE"""),"VITA")</f>
        <v>VITA</v>
      </c>
      <c r="D5414" s="122" t="str">
        <f>IFERROR(__xludf.DUMMYFUNCTION("""COMPUTED_VALUE"""),"VitaPlus")</f>
        <v>VitaPlus</v>
      </c>
      <c r="E5414" s="122">
        <f>IFERROR(__xludf.DUMMYFUNCTION("""COMPUTED_VALUE"""),71.94)</f>
        <v>71.94</v>
      </c>
      <c r="F5414" s="122">
        <f>IFERROR(__xludf.DUMMYFUNCTION("""COMPUTED_VALUE"""),-0.0058)</f>
        <v>-0.0058</v>
      </c>
    </row>
    <row r="5415">
      <c r="A5415" s="131">
        <f>IFERROR(__xludf.DUMMYFUNCTION("""COMPUTED_VALUE"""),46187.51900462963)</f>
        <v>46187.519</v>
      </c>
      <c r="B5415" s="126">
        <f>IFERROR(__xludf.DUMMYFUNCTION("""COMPUTED_VALUE"""),46187.0)</f>
        <v>46187</v>
      </c>
      <c r="C5415" s="122" t="str">
        <f>IFERROR(__xludf.DUMMYFUNCTION("""COMPUTED_VALUE"""),"CARE")</f>
        <v>CARE</v>
      </c>
      <c r="D5415" s="122" t="str">
        <f>IFERROR(__xludf.DUMMYFUNCTION("""COMPUTED_VALUE"""),"CareCloud")</f>
        <v>CareCloud</v>
      </c>
      <c r="E5415" s="122">
        <f>IFERROR(__xludf.DUMMYFUNCTION("""COMPUTED_VALUE"""),179.9)</f>
        <v>179.9</v>
      </c>
      <c r="F5415" s="122">
        <f>IFERROR(__xludf.DUMMYFUNCTION("""COMPUTED_VALUE"""),0.0082)</f>
        <v>0.0082</v>
      </c>
    </row>
    <row r="5416">
      <c r="A5416" s="131">
        <f>IFERROR(__xludf.DUMMYFUNCTION("""COMPUTED_VALUE"""),46187.51900462963)</f>
        <v>46187.519</v>
      </c>
      <c r="B5416" s="126">
        <f>IFERROR(__xludf.DUMMYFUNCTION("""COMPUTED_VALUE"""),46187.0)</f>
        <v>46187</v>
      </c>
      <c r="C5416" s="122" t="str">
        <f>IFERROR(__xludf.DUMMYFUNCTION("""COMPUTED_VALUE"""),"DENT")</f>
        <v>DENT</v>
      </c>
      <c r="D5416" s="122" t="str">
        <f>IFERROR(__xludf.DUMMYFUNCTION("""COMPUTED_VALUE"""),"SmileWorks")</f>
        <v>SmileWorks</v>
      </c>
      <c r="E5416" s="122">
        <f>IFERROR(__xludf.DUMMYFUNCTION("""COMPUTED_VALUE"""),89.55)</f>
        <v>89.55</v>
      </c>
      <c r="F5416" s="122">
        <f>IFERROR(__xludf.DUMMYFUNCTION("""COMPUTED_VALUE"""),0.0058)</f>
        <v>0.0058</v>
      </c>
    </row>
    <row r="5417">
      <c r="A5417" s="131">
        <f>IFERROR(__xludf.DUMMYFUNCTION("""COMPUTED_VALUE"""),46187.51900462963)</f>
        <v>46187.519</v>
      </c>
      <c r="B5417" s="126">
        <f>IFERROR(__xludf.DUMMYFUNCTION("""COMPUTED_VALUE"""),46187.0)</f>
        <v>46187</v>
      </c>
      <c r="C5417" s="122" t="str">
        <f>IFERROR(__xludf.DUMMYFUNCTION("""COMPUTED_VALUE"""),"EDUX")</f>
        <v>EDUX</v>
      </c>
      <c r="D5417" s="122" t="str">
        <f>IFERROR(__xludf.DUMMYFUNCTION("""COMPUTED_VALUE"""),"EduMax Learning")</f>
        <v>EduMax Learning</v>
      </c>
      <c r="E5417" s="122">
        <f>IFERROR(__xludf.DUMMYFUNCTION("""COMPUTED_VALUE"""),141.76)</f>
        <v>141.76</v>
      </c>
      <c r="F5417" s="122">
        <f>IFERROR(__xludf.DUMMYFUNCTION("""COMPUTED_VALUE"""),0.0067)</f>
        <v>0.0067</v>
      </c>
    </row>
    <row r="5418">
      <c r="A5418" s="131">
        <f>IFERROR(__xludf.DUMMYFUNCTION("""COMPUTED_VALUE"""),46187.51900462963)</f>
        <v>46187.519</v>
      </c>
      <c r="B5418" s="126">
        <f>IFERROR(__xludf.DUMMYFUNCTION("""COMPUTED_VALUE"""),46187.0)</f>
        <v>46187</v>
      </c>
      <c r="C5418" s="122" t="str">
        <f>IFERROR(__xludf.DUMMYFUNCTION("""COMPUTED_VALUE"""),"BOOK")</f>
        <v>BOOK</v>
      </c>
      <c r="D5418" s="122" t="str">
        <f>IFERROR(__xludf.DUMMYFUNCTION("""COMPUTED_VALUE"""),"BookBridge")</f>
        <v>BookBridge</v>
      </c>
      <c r="E5418" s="122">
        <f>IFERROR(__xludf.DUMMYFUNCTION("""COMPUTED_VALUE"""),119.41)</f>
        <v>119.41</v>
      </c>
      <c r="F5418" s="122">
        <f>IFERROR(__xludf.DUMMYFUNCTION("""COMPUTED_VALUE"""),-0.0026)</f>
        <v>-0.0026</v>
      </c>
    </row>
    <row r="5419">
      <c r="A5419" s="131">
        <f>IFERROR(__xludf.DUMMYFUNCTION("""COMPUTED_VALUE"""),46187.51900462963)</f>
        <v>46187.519</v>
      </c>
      <c r="B5419" s="126">
        <f>IFERROR(__xludf.DUMMYFUNCTION("""COMPUTED_VALUE"""),46187.0)</f>
        <v>46187</v>
      </c>
      <c r="C5419" s="122" t="str">
        <f>IFERROR(__xludf.DUMMYFUNCTION("""COMPUTED_VALUE"""),"TUTR")</f>
        <v>TUTR</v>
      </c>
      <c r="D5419" s="122" t="str">
        <f>IFERROR(__xludf.DUMMYFUNCTION("""COMPUTED_VALUE"""),"TutorTown")</f>
        <v>TutorTown</v>
      </c>
      <c r="E5419" s="122">
        <f>IFERROR(__xludf.DUMMYFUNCTION("""COMPUTED_VALUE"""),90.19)</f>
        <v>90.19</v>
      </c>
      <c r="F5419" s="122">
        <f>IFERROR(__xludf.DUMMYFUNCTION("""COMPUTED_VALUE"""),-0.0055)</f>
        <v>-0.0055</v>
      </c>
    </row>
    <row r="5420">
      <c r="A5420" s="131">
        <f>IFERROR(__xludf.DUMMYFUNCTION("""COMPUTED_VALUE"""),46187.51900462963)</f>
        <v>46187.519</v>
      </c>
      <c r="B5420" s="126">
        <f>IFERROR(__xludf.DUMMYFUNCTION("""COMPUTED_VALUE"""),46187.0)</f>
        <v>46187</v>
      </c>
      <c r="C5420" s="122" t="str">
        <f>IFERROR(__xludf.DUMMYFUNCTION("""COMPUTED_VALUE"""),"LANG")</f>
        <v>LANG</v>
      </c>
      <c r="D5420" s="122" t="str">
        <f>IFERROR(__xludf.DUMMYFUNCTION("""COMPUTED_VALUE"""),"LinguaLab")</f>
        <v>LinguaLab</v>
      </c>
      <c r="E5420" s="122">
        <f>IFERROR(__xludf.DUMMYFUNCTION("""COMPUTED_VALUE"""),99.98)</f>
        <v>99.98</v>
      </c>
      <c r="F5420" s="122">
        <f>IFERROR(__xludf.DUMMYFUNCTION("""COMPUTED_VALUE"""),0.0021)</f>
        <v>0.0021</v>
      </c>
    </row>
    <row r="5421">
      <c r="A5421" s="131">
        <f>IFERROR(__xludf.DUMMYFUNCTION("""COMPUTED_VALUE"""),46187.51900462963)</f>
        <v>46187.519</v>
      </c>
      <c r="B5421" s="126">
        <f>IFERROR(__xludf.DUMMYFUNCTION("""COMPUTED_VALUE"""),46187.0)</f>
        <v>46187</v>
      </c>
      <c r="C5421" s="122" t="str">
        <f>IFERROR(__xludf.DUMMYFUNCTION("""COMPUTED_VALUE"""),"TEST")</f>
        <v>TEST</v>
      </c>
      <c r="D5421" s="122" t="str">
        <f>IFERROR(__xludf.DUMMYFUNCTION("""COMPUTED_VALUE"""),"TestPrep Pro")</f>
        <v>TestPrep Pro</v>
      </c>
      <c r="E5421" s="122">
        <f>IFERROR(__xludf.DUMMYFUNCTION("""COMPUTED_VALUE"""),94.69)</f>
        <v>94.69</v>
      </c>
      <c r="F5421" s="122">
        <f>IFERROR(__xludf.DUMMYFUNCTION("""COMPUTED_VALUE"""),0.0049)</f>
        <v>0.0049</v>
      </c>
    </row>
    <row r="5422">
      <c r="A5422" s="131">
        <f>IFERROR(__xludf.DUMMYFUNCTION("""COMPUTED_VALUE"""),46187.51900462963)</f>
        <v>46187.519</v>
      </c>
      <c r="B5422" s="126">
        <f>IFERROR(__xludf.DUMMYFUNCTION("""COMPUTED_VALUE"""),46187.0)</f>
        <v>46187</v>
      </c>
      <c r="C5422" s="122" t="str">
        <f>IFERROR(__xludf.DUMMYFUNCTION("""COMPUTED_VALUE"""),"MOVI")</f>
        <v>MOVI</v>
      </c>
      <c r="D5422" s="122" t="str">
        <f>IFERROR(__xludf.DUMMYFUNCTION("""COMPUTED_VALUE"""),"MovieBox")</f>
        <v>MovieBox</v>
      </c>
      <c r="E5422" s="122">
        <f>IFERROR(__xludf.DUMMYFUNCTION("""COMPUTED_VALUE"""),80.88)</f>
        <v>80.88</v>
      </c>
      <c r="F5422" s="122">
        <f>IFERROR(__xludf.DUMMYFUNCTION("""COMPUTED_VALUE"""),-0.0023)</f>
        <v>-0.0023</v>
      </c>
    </row>
    <row r="5423">
      <c r="A5423" s="131">
        <f>IFERROR(__xludf.DUMMYFUNCTION("""COMPUTED_VALUE"""),46187.51900462963)</f>
        <v>46187.519</v>
      </c>
      <c r="B5423" s="126">
        <f>IFERROR(__xludf.DUMMYFUNCTION("""COMPUTED_VALUE"""),46187.0)</f>
        <v>46187</v>
      </c>
      <c r="C5423" s="122" t="str">
        <f>IFERROR(__xludf.DUMMYFUNCTION("""COMPUTED_VALUE"""),"MUSC")</f>
        <v>MUSC</v>
      </c>
      <c r="D5423" s="122" t="str">
        <f>IFERROR(__xludf.DUMMYFUNCTION("""COMPUTED_VALUE"""),"MusicWave")</f>
        <v>MusicWave</v>
      </c>
      <c r="E5423" s="122">
        <f>IFERROR(__xludf.DUMMYFUNCTION("""COMPUTED_VALUE"""),100.6)</f>
        <v>100.6</v>
      </c>
      <c r="F5423" s="122">
        <f>IFERROR(__xludf.DUMMYFUNCTION("""COMPUTED_VALUE"""),0.0076)</f>
        <v>0.0076</v>
      </c>
    </row>
    <row r="5424">
      <c r="A5424" s="131">
        <f>IFERROR(__xludf.DUMMYFUNCTION("""COMPUTED_VALUE"""),46187.51900462963)</f>
        <v>46187.519</v>
      </c>
      <c r="B5424" s="126">
        <f>IFERROR(__xludf.DUMMYFUNCTION("""COMPUTED_VALUE"""),46187.0)</f>
        <v>46187</v>
      </c>
      <c r="C5424" s="122" t="str">
        <f>IFERROR(__xludf.DUMMYFUNCTION("""COMPUTED_VALUE"""),"IDOL")</f>
        <v>IDOL</v>
      </c>
      <c r="D5424" s="122" t="str">
        <f>IFERROR(__xludf.DUMMYFUNCTION("""COMPUTED_VALUE"""),"Idol Agency")</f>
        <v>Idol Agency</v>
      </c>
      <c r="E5424" s="122">
        <f>IFERROR(__xludf.DUMMYFUNCTION("""COMPUTED_VALUE"""),190.71)</f>
        <v>190.71</v>
      </c>
      <c r="F5424" s="122">
        <f>IFERROR(__xludf.DUMMYFUNCTION("""COMPUTED_VALUE"""),0.0113)</f>
        <v>0.0113</v>
      </c>
    </row>
    <row r="5425">
      <c r="A5425" s="131">
        <f>IFERROR(__xludf.DUMMYFUNCTION("""COMPUTED_VALUE"""),46187.51900462963)</f>
        <v>46187.519</v>
      </c>
      <c r="B5425" s="126">
        <f>IFERROR(__xludf.DUMMYFUNCTION("""COMPUTED_VALUE"""),46187.0)</f>
        <v>46187</v>
      </c>
      <c r="C5425" s="122" t="str">
        <f>IFERROR(__xludf.DUMMYFUNCTION("""COMPUTED_VALUE"""),"MEME")</f>
        <v>MEME</v>
      </c>
      <c r="D5425" s="122" t="str">
        <f>IFERROR(__xludf.DUMMYFUNCTION("""COMPUTED_VALUE"""),"Meme Media")</f>
        <v>Meme Media</v>
      </c>
      <c r="E5425" s="122">
        <f>IFERROR(__xludf.DUMMYFUNCTION("""COMPUTED_VALUE"""),71.3)</f>
        <v>71.3</v>
      </c>
      <c r="F5425" s="122">
        <f>IFERROR(__xludf.DUMMYFUNCTION("""COMPUTED_VALUE"""),-0.01)</f>
        <v>-0.01</v>
      </c>
    </row>
    <row r="5426">
      <c r="A5426" s="131">
        <f>IFERROR(__xludf.DUMMYFUNCTION("""COMPUTED_VALUE"""),46187.51900462963)</f>
        <v>46187.519</v>
      </c>
      <c r="B5426" s="126">
        <f>IFERROR(__xludf.DUMMYFUNCTION("""COMPUTED_VALUE"""),46187.0)</f>
        <v>46187</v>
      </c>
      <c r="C5426" s="122" t="str">
        <f>IFERROR(__xludf.DUMMYFUNCTION("""COMPUTED_VALUE"""),"STRM")</f>
        <v>STRM</v>
      </c>
      <c r="D5426" s="122" t="str">
        <f>IFERROR(__xludf.DUMMYFUNCTION("""COMPUTED_VALUE"""),"Streamly")</f>
        <v>Streamly</v>
      </c>
      <c r="E5426" s="122">
        <f>IFERROR(__xludf.DUMMYFUNCTION("""COMPUTED_VALUE"""),139.77)</f>
        <v>139.77</v>
      </c>
      <c r="F5426" s="122">
        <f>IFERROR(__xludf.DUMMYFUNCTION("""COMPUTED_VALUE"""),-3.0E-4)</f>
        <v>-0.0003</v>
      </c>
    </row>
    <row r="5427">
      <c r="A5427" s="131">
        <f>IFERROR(__xludf.DUMMYFUNCTION("""COMPUTED_VALUE"""),46187.51900462963)</f>
        <v>46187.519</v>
      </c>
      <c r="B5427" s="126">
        <f>IFERROR(__xludf.DUMMYFUNCTION("""COMPUTED_VALUE"""),46187.0)</f>
        <v>46187</v>
      </c>
      <c r="C5427" s="122" t="str">
        <f>IFERROR(__xludf.DUMMYFUNCTION("""COMPUTED_VALUE"""),"FARM")</f>
        <v>FARM</v>
      </c>
      <c r="D5427" s="122" t="str">
        <f>IFERROR(__xludf.DUMMYFUNCTION("""COMPUTED_VALUE"""),"Future Farms")</f>
        <v>Future Farms</v>
      </c>
      <c r="E5427" s="122">
        <f>IFERROR(__xludf.DUMMYFUNCTION("""COMPUTED_VALUE"""),91.0)</f>
        <v>91</v>
      </c>
      <c r="F5427" s="122">
        <f>IFERROR(__xludf.DUMMYFUNCTION("""COMPUTED_VALUE"""),-0.0015)</f>
        <v>-0.0015</v>
      </c>
    </row>
    <row r="5428">
      <c r="A5428" s="131">
        <f>IFERROR(__xludf.DUMMYFUNCTION("""COMPUTED_VALUE"""),46187.51900462963)</f>
        <v>46187.519</v>
      </c>
      <c r="B5428" s="126">
        <f>IFERROR(__xludf.DUMMYFUNCTION("""COMPUTED_VALUE"""),46187.0)</f>
        <v>46187</v>
      </c>
      <c r="C5428" s="122" t="str">
        <f>IFERROR(__xludf.DUMMYFUNCTION("""COMPUTED_VALUE"""),"MEAT")</f>
        <v>MEAT</v>
      </c>
      <c r="D5428" s="122" t="str">
        <f>IFERROR(__xludf.DUMMYFUNCTION("""COMPUTED_VALUE"""),"MeatWorks")</f>
        <v>MeatWorks</v>
      </c>
      <c r="E5428" s="122">
        <f>IFERROR(__xludf.DUMMYFUNCTION("""COMPUTED_VALUE"""),103.55)</f>
        <v>103.55</v>
      </c>
      <c r="F5428" s="122">
        <f>IFERROR(__xludf.DUMMYFUNCTION("""COMPUTED_VALUE"""),-0.0038)</f>
        <v>-0.0038</v>
      </c>
    </row>
    <row r="5429">
      <c r="A5429" s="131">
        <f>IFERROR(__xludf.DUMMYFUNCTION("""COMPUTED_VALUE"""),46187.51900462963)</f>
        <v>46187.519</v>
      </c>
      <c r="B5429" s="126">
        <f>IFERROR(__xludf.DUMMYFUNCTION("""COMPUTED_VALUE"""),46187.0)</f>
        <v>46187</v>
      </c>
      <c r="C5429" s="122" t="str">
        <f>IFERROR(__xludf.DUMMYFUNCTION("""COMPUTED_VALUE"""),"VEGI")</f>
        <v>VEGI</v>
      </c>
      <c r="D5429" s="122" t="str">
        <f>IFERROR(__xludf.DUMMYFUNCTION("""COMPUTED_VALUE"""),"Green Basket")</f>
        <v>Green Basket</v>
      </c>
      <c r="E5429" s="122">
        <f>IFERROR(__xludf.DUMMYFUNCTION("""COMPUTED_VALUE"""),78.55)</f>
        <v>78.55</v>
      </c>
      <c r="F5429" s="122">
        <f>IFERROR(__xludf.DUMMYFUNCTION("""COMPUTED_VALUE"""),-0.0032)</f>
        <v>-0.0032</v>
      </c>
    </row>
    <row r="5430">
      <c r="A5430" s="131">
        <f>IFERROR(__xludf.DUMMYFUNCTION("""COMPUTED_VALUE"""),46187.51900462963)</f>
        <v>46187.519</v>
      </c>
      <c r="B5430" s="126">
        <f>IFERROR(__xludf.DUMMYFUNCTION("""COMPUTED_VALUE"""),46187.0)</f>
        <v>46187</v>
      </c>
      <c r="C5430" s="122" t="str">
        <f>IFERROR(__xludf.DUMMYFUNCTION("""COMPUTED_VALUE"""),"CAFE")</f>
        <v>CAFE</v>
      </c>
      <c r="D5430" s="122" t="str">
        <f>IFERROR(__xludf.DUMMYFUNCTION("""COMPUTED_VALUE"""),"Cafe Cloud")</f>
        <v>Cafe Cloud</v>
      </c>
      <c r="E5430" s="122">
        <f>IFERROR(__xludf.DUMMYFUNCTION("""COMPUTED_VALUE"""),101.09)</f>
        <v>101.09</v>
      </c>
      <c r="F5430" s="122">
        <f>IFERROR(__xludf.DUMMYFUNCTION("""COMPUTED_VALUE"""),-0.0056)</f>
        <v>-0.0056</v>
      </c>
    </row>
    <row r="5431">
      <c r="A5431" s="131">
        <f>IFERROR(__xludf.DUMMYFUNCTION("""COMPUTED_VALUE"""),46187.51900462963)</f>
        <v>46187.519</v>
      </c>
      <c r="B5431" s="126">
        <f>IFERROR(__xludf.DUMMYFUNCTION("""COMPUTED_VALUE"""),46187.0)</f>
        <v>46187</v>
      </c>
      <c r="C5431" s="122" t="str">
        <f>IFERROR(__xludf.DUMMYFUNCTION("""COMPUTED_VALUE"""),"BAKE")</f>
        <v>BAKE</v>
      </c>
      <c r="D5431" s="122" t="str">
        <f>IFERROR(__xludf.DUMMYFUNCTION("""COMPUTED_VALUE"""),"BakeHouse")</f>
        <v>BakeHouse</v>
      </c>
      <c r="E5431" s="122">
        <f>IFERROR(__xludf.DUMMYFUNCTION("""COMPUTED_VALUE"""),102.24)</f>
        <v>102.24</v>
      </c>
      <c r="F5431" s="122">
        <f>IFERROR(__xludf.DUMMYFUNCTION("""COMPUTED_VALUE"""),0.0036)</f>
        <v>0.0036</v>
      </c>
    </row>
    <row r="5432">
      <c r="A5432" s="131">
        <f>IFERROR(__xludf.DUMMYFUNCTION("""COMPUTED_VALUE"""),46187.51900462963)</f>
        <v>46187.519</v>
      </c>
      <c r="B5432" s="126">
        <f>IFERROR(__xludf.DUMMYFUNCTION("""COMPUTED_VALUE"""),46187.0)</f>
        <v>46187</v>
      </c>
      <c r="C5432" s="122" t="str">
        <f>IFERROR(__xludf.DUMMYFUNCTION("""COMPUTED_VALUE"""),"OILX")</f>
        <v>OILX</v>
      </c>
      <c r="D5432" s="122" t="str">
        <f>IFERROR(__xludf.DUMMYFUNCTION("""COMPUTED_VALUE"""),"OilMax Energy")</f>
        <v>OilMax Energy</v>
      </c>
      <c r="E5432" s="122">
        <f>IFERROR(__xludf.DUMMYFUNCTION("""COMPUTED_VALUE"""),127.08)</f>
        <v>127.08</v>
      </c>
      <c r="F5432" s="122">
        <f>IFERROR(__xludf.DUMMYFUNCTION("""COMPUTED_VALUE"""),-0.0042)</f>
        <v>-0.0042</v>
      </c>
    </row>
    <row r="5433">
      <c r="A5433" s="131">
        <f>IFERROR(__xludf.DUMMYFUNCTION("""COMPUTED_VALUE"""),46187.51900462963)</f>
        <v>46187.519</v>
      </c>
      <c r="B5433" s="126">
        <f>IFERROR(__xludf.DUMMYFUNCTION("""COMPUTED_VALUE"""),46187.0)</f>
        <v>46187</v>
      </c>
      <c r="C5433" s="122" t="str">
        <f>IFERROR(__xludf.DUMMYFUNCTION("""COMPUTED_VALUE"""),"SOLR")</f>
        <v>SOLR</v>
      </c>
      <c r="D5433" s="122" t="str">
        <f>IFERROR(__xludf.DUMMYFUNCTION("""COMPUTED_VALUE"""),"SolarSpark")</f>
        <v>SolarSpark</v>
      </c>
      <c r="E5433" s="122">
        <f>IFERROR(__xludf.DUMMYFUNCTION("""COMPUTED_VALUE"""),98.89)</f>
        <v>98.89</v>
      </c>
      <c r="F5433" s="122">
        <f>IFERROR(__xludf.DUMMYFUNCTION("""COMPUTED_VALUE"""),0.0069)</f>
        <v>0.0069</v>
      </c>
    </row>
    <row r="5434">
      <c r="A5434" s="131">
        <f>IFERROR(__xludf.DUMMYFUNCTION("""COMPUTED_VALUE"""),46187.51900462963)</f>
        <v>46187.519</v>
      </c>
      <c r="B5434" s="126">
        <f>IFERROR(__xludf.DUMMYFUNCTION("""COMPUTED_VALUE"""),46187.0)</f>
        <v>46187</v>
      </c>
      <c r="C5434" s="122" t="str">
        <f>IFERROR(__xludf.DUMMYFUNCTION("""COMPUTED_VALUE"""),"BATT")</f>
        <v>BATT</v>
      </c>
      <c r="D5434" s="122" t="str">
        <f>IFERROR(__xludf.DUMMYFUNCTION("""COMPUTED_VALUE"""),"BatteryBox")</f>
        <v>BatteryBox</v>
      </c>
      <c r="E5434" s="122">
        <f>IFERROR(__xludf.DUMMYFUNCTION("""COMPUTED_VALUE"""),120.04)</f>
        <v>120.04</v>
      </c>
      <c r="F5434" s="122">
        <f>IFERROR(__xludf.DUMMYFUNCTION("""COMPUTED_VALUE"""),0.0071)</f>
        <v>0.0071</v>
      </c>
    </row>
    <row r="5435">
      <c r="A5435" s="131">
        <f>IFERROR(__xludf.DUMMYFUNCTION("""COMPUTED_VALUE"""),46187.51900462963)</f>
        <v>46187.519</v>
      </c>
      <c r="B5435" s="126">
        <f>IFERROR(__xludf.DUMMYFUNCTION("""COMPUTED_VALUE"""),46187.0)</f>
        <v>46187</v>
      </c>
      <c r="C5435" s="122" t="str">
        <f>IFERROR(__xludf.DUMMYFUNCTION("""COMPUTED_VALUE"""),"WIND")</f>
        <v>WIND</v>
      </c>
      <c r="D5435" s="122" t="str">
        <f>IFERROR(__xludf.DUMMYFUNCTION("""COMPUTED_VALUE"""),"WindWorks")</f>
        <v>WindWorks</v>
      </c>
      <c r="E5435" s="122">
        <f>IFERROR(__xludf.DUMMYFUNCTION("""COMPUTED_VALUE"""),87.6)</f>
        <v>87.6</v>
      </c>
      <c r="F5435" s="122">
        <f>IFERROR(__xludf.DUMMYFUNCTION("""COMPUTED_VALUE"""),0.0038)</f>
        <v>0.0038</v>
      </c>
    </row>
    <row r="5436">
      <c r="A5436" s="131">
        <f>IFERROR(__xludf.DUMMYFUNCTION("""COMPUTED_VALUE"""),46187.51900462963)</f>
        <v>46187.519</v>
      </c>
      <c r="B5436" s="126">
        <f>IFERROR(__xludf.DUMMYFUNCTION("""COMPUTED_VALUE"""),46187.0)</f>
        <v>46187</v>
      </c>
      <c r="C5436" s="122" t="str">
        <f>IFERROR(__xludf.DUMMYFUNCTION("""COMPUTED_VALUE"""),"GRID")</f>
        <v>GRID</v>
      </c>
      <c r="D5436" s="122" t="str">
        <f>IFERROR(__xludf.DUMMYFUNCTION("""COMPUTED_VALUE"""),"GridPower")</f>
        <v>GridPower</v>
      </c>
      <c r="E5436" s="122">
        <f>IFERROR(__xludf.DUMMYFUNCTION("""COMPUTED_VALUE"""),136.6)</f>
        <v>136.6</v>
      </c>
      <c r="F5436" s="122">
        <f>IFERROR(__xludf.DUMMYFUNCTION("""COMPUTED_VALUE"""),-3.0E-4)</f>
        <v>-0.0003</v>
      </c>
    </row>
    <row r="5437">
      <c r="A5437" s="131">
        <f>IFERROR(__xludf.DUMMYFUNCTION("""COMPUTED_VALUE"""),46187.51900462963)</f>
        <v>46187.519</v>
      </c>
      <c r="B5437" s="126">
        <f>IFERROR(__xludf.DUMMYFUNCTION("""COMPUTED_VALUE"""),46187.0)</f>
        <v>46187</v>
      </c>
      <c r="C5437" s="122" t="str">
        <f>IFERROR(__xludf.DUMMYFUNCTION("""COMPUTED_VALUE"""),"HOME")</f>
        <v>HOME</v>
      </c>
      <c r="D5437" s="122" t="str">
        <f>IFERROR(__xludf.DUMMYFUNCTION("""COMPUTED_VALUE"""),"HomeHub")</f>
        <v>HomeHub</v>
      </c>
      <c r="E5437" s="122">
        <f>IFERROR(__xludf.DUMMYFUNCTION("""COMPUTED_VALUE"""),153.1)</f>
        <v>153.1</v>
      </c>
      <c r="F5437" s="122">
        <f>IFERROR(__xludf.DUMMYFUNCTION("""COMPUTED_VALUE"""),0.0045)</f>
        <v>0.0045</v>
      </c>
    </row>
    <row r="5438">
      <c r="A5438" s="131">
        <f>IFERROR(__xludf.DUMMYFUNCTION("""COMPUTED_VALUE"""),46187.51900462963)</f>
        <v>46187.519</v>
      </c>
      <c r="B5438" s="126">
        <f>IFERROR(__xludf.DUMMYFUNCTION("""COMPUTED_VALUE"""),46187.0)</f>
        <v>46187</v>
      </c>
      <c r="C5438" s="122" t="str">
        <f>IFERROR(__xludf.DUMMYFUNCTION("""COMPUTED_VALUE"""),"RENT")</f>
        <v>RENT</v>
      </c>
      <c r="D5438" s="122" t="str">
        <f>IFERROR(__xludf.DUMMYFUNCTION("""COMPUTED_VALUE"""),"RentRight")</f>
        <v>RentRight</v>
      </c>
      <c r="E5438" s="122">
        <f>IFERROR(__xludf.DUMMYFUNCTION("""COMPUTED_VALUE"""),90.47)</f>
        <v>90.47</v>
      </c>
      <c r="F5438" s="122">
        <f>IFERROR(__xludf.DUMMYFUNCTION("""COMPUTED_VALUE"""),-0.0019)</f>
        <v>-0.0019</v>
      </c>
    </row>
    <row r="5439">
      <c r="A5439" s="131">
        <f>IFERROR(__xludf.DUMMYFUNCTION("""COMPUTED_VALUE"""),46187.51900462963)</f>
        <v>46187.519</v>
      </c>
      <c r="B5439" s="126">
        <f>IFERROR(__xludf.DUMMYFUNCTION("""COMPUTED_VALUE"""),46187.0)</f>
        <v>46187</v>
      </c>
      <c r="C5439" s="122" t="str">
        <f>IFERROR(__xludf.DUMMYFUNCTION("""COMPUTED_VALUE"""),"MALL")</f>
        <v>MALL</v>
      </c>
      <c r="D5439" s="122" t="str">
        <f>IFERROR(__xludf.DUMMYFUNCTION("""COMPUTED_VALUE"""),"MegaMall")</f>
        <v>MegaMall</v>
      </c>
      <c r="E5439" s="122">
        <f>IFERROR(__xludf.DUMMYFUNCTION("""COMPUTED_VALUE"""),100.49)</f>
        <v>100.49</v>
      </c>
      <c r="F5439" s="122">
        <f>IFERROR(__xludf.DUMMYFUNCTION("""COMPUTED_VALUE"""),-0.0046)</f>
        <v>-0.0046</v>
      </c>
    </row>
    <row r="5440">
      <c r="A5440" s="131">
        <f>IFERROR(__xludf.DUMMYFUNCTION("""COMPUTED_VALUE"""),46187.51900462963)</f>
        <v>46187.519</v>
      </c>
      <c r="B5440" s="126">
        <f>IFERROR(__xludf.DUMMYFUNCTION("""COMPUTED_VALUE"""),46187.0)</f>
        <v>46187</v>
      </c>
      <c r="C5440" s="122" t="str">
        <f>IFERROR(__xludf.DUMMYFUNCTION("""COMPUTED_VALUE"""),"HOTL")</f>
        <v>HOTL</v>
      </c>
      <c r="D5440" s="122" t="str">
        <f>IFERROR(__xludf.DUMMYFUNCTION("""COMPUTED_VALUE"""),"HotelHive")</f>
        <v>HotelHive</v>
      </c>
      <c r="E5440" s="122">
        <f>IFERROR(__xludf.DUMMYFUNCTION("""COMPUTED_VALUE"""),127.1)</f>
        <v>127.1</v>
      </c>
      <c r="F5440" s="122">
        <f>IFERROR(__xludf.DUMMYFUNCTION("""COMPUTED_VALUE"""),-0.006)</f>
        <v>-0.006</v>
      </c>
    </row>
    <row r="5441">
      <c r="A5441" s="131">
        <f>IFERROR(__xludf.DUMMYFUNCTION("""COMPUTED_VALUE"""),46187.51900462963)</f>
        <v>46187.519</v>
      </c>
      <c r="B5441" s="126">
        <f>IFERROR(__xludf.DUMMYFUNCTION("""COMPUTED_VALUE"""),46187.0)</f>
        <v>46187</v>
      </c>
      <c r="C5441" s="122" t="str">
        <f>IFERROR(__xludf.DUMMYFUNCTION("""COMPUTED_VALUE"""),"LAND")</f>
        <v>LAND</v>
      </c>
      <c r="D5441" s="122" t="str">
        <f>IFERROR(__xludf.DUMMYFUNCTION("""COMPUTED_VALUE"""),"LandLink")</f>
        <v>LandLink</v>
      </c>
      <c r="E5441" s="122">
        <f>IFERROR(__xludf.DUMMYFUNCTION("""COMPUTED_VALUE"""),181.63)</f>
        <v>181.63</v>
      </c>
      <c r="F5441" s="122">
        <f>IFERROR(__xludf.DUMMYFUNCTION("""COMPUTED_VALUE"""),0.0033)</f>
        <v>0.0033</v>
      </c>
    </row>
    <row r="5442">
      <c r="A5442" s="131">
        <f>IFERROR(__xludf.DUMMYFUNCTION("""COMPUTED_VALUE"""),46187.51900462963)</f>
        <v>46187.519</v>
      </c>
      <c r="B5442" s="126">
        <f>IFERROR(__xludf.DUMMYFUNCTION("""COMPUTED_VALUE"""),46187.0)</f>
        <v>46187</v>
      </c>
      <c r="C5442" s="122" t="str">
        <f>IFERROR(__xludf.DUMMYFUNCTION("""COMPUTED_VALUE"""),"CARS")</f>
        <v>CARS</v>
      </c>
      <c r="D5442" s="122" t="str">
        <f>IFERROR(__xludf.DUMMYFUNCTION("""COMPUTED_VALUE"""),"AutoArena")</f>
        <v>AutoArena</v>
      </c>
      <c r="E5442" s="122">
        <f>IFERROR(__xludf.DUMMYFUNCTION("""COMPUTED_VALUE"""),81.94)</f>
        <v>81.94</v>
      </c>
      <c r="F5442" s="122">
        <f>IFERROR(__xludf.DUMMYFUNCTION("""COMPUTED_VALUE"""),-0.0065)</f>
        <v>-0.0065</v>
      </c>
    </row>
    <row r="5443">
      <c r="A5443" s="131">
        <f>IFERROR(__xludf.DUMMYFUNCTION("""COMPUTED_VALUE"""),46187.51900462963)</f>
        <v>46187.519</v>
      </c>
      <c r="B5443" s="126">
        <f>IFERROR(__xludf.DUMMYFUNCTION("""COMPUTED_VALUE"""),46187.0)</f>
        <v>46187</v>
      </c>
      <c r="C5443" s="122" t="str">
        <f>IFERROR(__xludf.DUMMYFUNCTION("""COMPUTED_VALUE"""),"EVGO")</f>
        <v>EVGO</v>
      </c>
      <c r="D5443" s="122" t="str">
        <f>IFERROR(__xludf.DUMMYFUNCTION("""COMPUTED_VALUE"""),"EVGo Motors")</f>
        <v>EVGo Motors</v>
      </c>
      <c r="E5443" s="122">
        <f>IFERROR(__xludf.DUMMYFUNCTION("""COMPUTED_VALUE"""),182.95)</f>
        <v>182.95</v>
      </c>
      <c r="F5443" s="122">
        <f>IFERROR(__xludf.DUMMYFUNCTION("""COMPUTED_VALUE"""),-0.0118)</f>
        <v>-0.0118</v>
      </c>
    </row>
    <row r="5444">
      <c r="A5444" s="131">
        <f>IFERROR(__xludf.DUMMYFUNCTION("""COMPUTED_VALUE"""),46187.51900462963)</f>
        <v>46187.519</v>
      </c>
      <c r="B5444" s="126">
        <f>IFERROR(__xludf.DUMMYFUNCTION("""COMPUTED_VALUE"""),46187.0)</f>
        <v>46187</v>
      </c>
      <c r="C5444" s="122" t="str">
        <f>IFERROR(__xludf.DUMMYFUNCTION("""COMPUTED_VALUE"""),"TIRE")</f>
        <v>TIRE</v>
      </c>
      <c r="D5444" s="122" t="str">
        <f>IFERROR(__xludf.DUMMYFUNCTION("""COMPUTED_VALUE"""),"TireTown")</f>
        <v>TireTown</v>
      </c>
      <c r="E5444" s="122">
        <f>IFERROR(__xludf.DUMMYFUNCTION("""COMPUTED_VALUE"""),96.27)</f>
        <v>96.27</v>
      </c>
      <c r="F5444" s="122">
        <f>IFERROR(__xludf.DUMMYFUNCTION("""COMPUTED_VALUE"""),0.001)</f>
        <v>0.001</v>
      </c>
    </row>
    <row r="5445">
      <c r="A5445" s="131">
        <f>IFERROR(__xludf.DUMMYFUNCTION("""COMPUTED_VALUE"""),46187.51900462963)</f>
        <v>46187.519</v>
      </c>
      <c r="B5445" s="126">
        <f>IFERROR(__xludf.DUMMYFUNCTION("""COMPUTED_VALUE"""),46187.0)</f>
        <v>46187</v>
      </c>
      <c r="C5445" s="122" t="str">
        <f>IFERROR(__xludf.DUMMYFUNCTION("""COMPUTED_VALUE"""),"BIKE")</f>
        <v>BIKE</v>
      </c>
      <c r="D5445" s="122" t="str">
        <f>IFERROR(__xludf.DUMMYFUNCTION("""COMPUTED_VALUE"""),"BikeBox")</f>
        <v>BikeBox</v>
      </c>
      <c r="E5445" s="122">
        <f>IFERROR(__xludf.DUMMYFUNCTION("""COMPUTED_VALUE"""),53.38)</f>
        <v>53.38</v>
      </c>
      <c r="F5445" s="122">
        <f>IFERROR(__xludf.DUMMYFUNCTION("""COMPUTED_VALUE"""),9.0E-4)</f>
        <v>0.0009</v>
      </c>
    </row>
    <row r="5446">
      <c r="A5446" s="131">
        <f>IFERROR(__xludf.DUMMYFUNCTION("""COMPUTED_VALUE"""),46187.51900462963)</f>
        <v>46187.519</v>
      </c>
      <c r="B5446" s="126">
        <f>IFERROR(__xludf.DUMMYFUNCTION("""COMPUTED_VALUE"""),46187.0)</f>
        <v>46187</v>
      </c>
      <c r="C5446" s="122" t="str">
        <f>IFERROR(__xludf.DUMMYFUNCTION("""COMPUTED_VALUE"""),"WASH")</f>
        <v>WASH</v>
      </c>
      <c r="D5446" s="122" t="str">
        <f>IFERROR(__xludf.DUMMYFUNCTION("""COMPUTED_VALUE"""),"CarWash Co")</f>
        <v>CarWash Co</v>
      </c>
      <c r="E5446" s="122">
        <f>IFERROR(__xludf.DUMMYFUNCTION("""COMPUTED_VALUE"""),118.92)</f>
        <v>118.92</v>
      </c>
      <c r="F5446" s="122">
        <f>IFERROR(__xludf.DUMMYFUNCTION("""COMPUTED_VALUE"""),-0.0025)</f>
        <v>-0.0025</v>
      </c>
    </row>
    <row r="5447">
      <c r="A5447" s="131">
        <f>IFERROR(__xludf.DUMMYFUNCTION("""COMPUTED_VALUE"""),46187.51900462963)</f>
        <v>46187.519</v>
      </c>
      <c r="B5447" s="126">
        <f>IFERROR(__xludf.DUMMYFUNCTION("""COMPUTED_VALUE"""),46187.0)</f>
        <v>46187</v>
      </c>
      <c r="C5447" s="122" t="str">
        <f>IFERROR(__xludf.DUMMYFUNCTION("""COMPUTED_VALUE"""),"GBND")</f>
        <v>GBND</v>
      </c>
      <c r="D5447" s="122" t="str">
        <f>IFERROR(__xludf.DUMMYFUNCTION("""COMPUTED_VALUE"""),"Classroom Government Bond")</f>
        <v>Classroom Government Bond</v>
      </c>
      <c r="E5447" s="122">
        <f>IFERROR(__xludf.DUMMYFUNCTION("""COMPUTED_VALUE"""),101.01)</f>
        <v>101.01</v>
      </c>
      <c r="F5447" s="122">
        <f>IFERROR(__xludf.DUMMYFUNCTION("""COMPUTED_VALUE"""),4.0E-4)</f>
        <v>0.0004</v>
      </c>
    </row>
    <row r="5448">
      <c r="A5448" s="131">
        <f>IFERROR(__xludf.DUMMYFUNCTION("""COMPUTED_VALUE"""),46187.51900462963)</f>
        <v>46187.519</v>
      </c>
      <c r="B5448" s="126">
        <f>IFERROR(__xludf.DUMMYFUNCTION("""COMPUTED_VALUE"""),46187.0)</f>
        <v>46187</v>
      </c>
      <c r="C5448" s="122" t="str">
        <f>IFERROR(__xludf.DUMMYFUNCTION("""COMPUTED_VALUE"""),"SBND")</f>
        <v>SBND</v>
      </c>
      <c r="D5448" s="122" t="str">
        <f>IFERROR(__xludf.DUMMYFUNCTION("""COMPUTED_VALUE"""),"School Savings Bond")</f>
        <v>School Savings Bond</v>
      </c>
      <c r="E5448" s="122">
        <f>IFERROR(__xludf.DUMMYFUNCTION("""COMPUTED_VALUE"""),99.43)</f>
        <v>99.43</v>
      </c>
      <c r="F5448" s="122">
        <f>IFERROR(__xludf.DUMMYFUNCTION("""COMPUTED_VALUE"""),-2.0E-4)</f>
        <v>-0.0002</v>
      </c>
    </row>
    <row r="5449">
      <c r="A5449" s="131">
        <f>IFERROR(__xludf.DUMMYFUNCTION("""COMPUTED_VALUE"""),46187.51900462963)</f>
        <v>46187.519</v>
      </c>
      <c r="B5449" s="126">
        <f>IFERROR(__xludf.DUMMYFUNCTION("""COMPUTED_VALUE"""),46187.0)</f>
        <v>46187</v>
      </c>
      <c r="C5449" s="122" t="str">
        <f>IFERROR(__xludf.DUMMYFUNCTION("""COMPUTED_VALUE"""),"CBND")</f>
        <v>CBND</v>
      </c>
      <c r="D5449" s="122" t="str">
        <f>IFERROR(__xludf.DUMMYFUNCTION("""COMPUTED_VALUE"""),"Corporate Classroom Bond")</f>
        <v>Corporate Classroom Bond</v>
      </c>
      <c r="E5449" s="122">
        <f>IFERROR(__xludf.DUMMYFUNCTION("""COMPUTED_VALUE"""),97.76)</f>
        <v>97.76</v>
      </c>
      <c r="F5449" s="122">
        <f>IFERROR(__xludf.DUMMYFUNCTION("""COMPUTED_VALUE"""),-4.0E-4)</f>
        <v>-0.0004</v>
      </c>
    </row>
    <row r="5450">
      <c r="A5450" s="131">
        <f>IFERROR(__xludf.DUMMYFUNCTION("""COMPUTED_VALUE"""),46187.51900462963)</f>
        <v>46187.519</v>
      </c>
      <c r="B5450" s="126">
        <f>IFERROR(__xludf.DUMMYFUNCTION("""COMPUTED_VALUE"""),46187.0)</f>
        <v>46187</v>
      </c>
      <c r="C5450" s="122" t="str">
        <f>IFERROR(__xludf.DUMMYFUNCTION("""COMPUTED_VALUE"""),"TBIL")</f>
        <v>TBIL</v>
      </c>
      <c r="D5450" s="122" t="str">
        <f>IFERROR(__xludf.DUMMYFUNCTION("""COMPUTED_VALUE"""),"Treasury Bill")</f>
        <v>Treasury Bill</v>
      </c>
      <c r="E5450" s="122">
        <f>IFERROR(__xludf.DUMMYFUNCTION("""COMPUTED_VALUE"""),98.08)</f>
        <v>98.08</v>
      </c>
      <c r="F5450" s="122">
        <f>IFERROR(__xludf.DUMMYFUNCTION("""COMPUTED_VALUE"""),-4.0E-4)</f>
        <v>-0.0004</v>
      </c>
    </row>
    <row r="5451">
      <c r="A5451" s="131">
        <f>IFERROR(__xludf.DUMMYFUNCTION("""COMPUTED_VALUE"""),46187.51900462963)</f>
        <v>46187.519</v>
      </c>
      <c r="B5451" s="126">
        <f>IFERROR(__xludf.DUMMYFUNCTION("""COMPUTED_VALUE"""),46187.0)</f>
        <v>46187</v>
      </c>
      <c r="C5451" s="122" t="str">
        <f>IFERROR(__xludf.DUMMYFUNCTION("""COMPUTED_VALUE"""),"IBND")</f>
        <v>IBND</v>
      </c>
      <c r="D5451" s="122" t="str">
        <f>IFERROR(__xludf.DUMMYFUNCTION("""COMPUTED_VALUE"""),"Inflation Protected Bond")</f>
        <v>Inflation Protected Bond</v>
      </c>
      <c r="E5451" s="122">
        <f>IFERROR(__xludf.DUMMYFUNCTION("""COMPUTED_VALUE"""),100.78)</f>
        <v>100.78</v>
      </c>
      <c r="F5451" s="122">
        <f>IFERROR(__xludf.DUMMYFUNCTION("""COMPUTED_VALUE"""),2.0E-4)</f>
        <v>0.0002</v>
      </c>
    </row>
    <row r="5452">
      <c r="A5452" s="131">
        <f>IFERROR(__xludf.DUMMYFUNCTION("""COMPUTED_VALUE"""),46187.52275462963)</f>
        <v>46187.52275</v>
      </c>
      <c r="B5452" s="126">
        <f>IFERROR(__xludf.DUMMYFUNCTION("""COMPUTED_VALUE"""),46187.0)</f>
        <v>46187</v>
      </c>
      <c r="C5452" s="122" t="str">
        <f>IFERROR(__xludf.DUMMYFUNCTION("""COMPUTED_VALUE"""),"SNAX")</f>
        <v>SNAX</v>
      </c>
      <c r="D5452" s="122" t="str">
        <f>IFERROR(__xludf.DUMMYFUNCTION("""COMPUTED_VALUE"""),"MICA Snacks")</f>
        <v>MICA Snacks</v>
      </c>
      <c r="E5452" s="122">
        <f>IFERROR(__xludf.DUMMYFUNCTION("""COMPUTED_VALUE"""),120.5)</f>
        <v>120.5</v>
      </c>
      <c r="F5452" s="122">
        <f>IFERROR(__xludf.DUMMYFUNCTION("""COMPUTED_VALUE"""),0.0058)</f>
        <v>0.0058</v>
      </c>
    </row>
    <row r="5453">
      <c r="A5453" s="131">
        <f>IFERROR(__xludf.DUMMYFUNCTION("""COMPUTED_VALUE"""),46187.52275462963)</f>
        <v>46187.52275</v>
      </c>
      <c r="B5453" s="126">
        <f>IFERROR(__xludf.DUMMYFUNCTION("""COMPUTED_VALUE"""),46187.0)</f>
        <v>46187</v>
      </c>
      <c r="C5453" s="122" t="str">
        <f>IFERROR(__xludf.DUMMYFUNCTION("""COMPUTED_VALUE"""),"RAMN")</f>
        <v>RAMN</v>
      </c>
      <c r="D5453" s="122" t="str">
        <f>IFERROR(__xludf.DUMMYFUNCTION("""COMPUTED_VALUE"""),"Ramen Republic")</f>
        <v>Ramen Republic</v>
      </c>
      <c r="E5453" s="122">
        <f>IFERROR(__xludf.DUMMYFUNCTION("""COMPUTED_VALUE"""),67.97)</f>
        <v>67.97</v>
      </c>
      <c r="F5453" s="122">
        <f>IFERROR(__xludf.DUMMYFUNCTION("""COMPUTED_VALUE"""),0.0)</f>
        <v>0</v>
      </c>
    </row>
    <row r="5454">
      <c r="A5454" s="131">
        <f>IFERROR(__xludf.DUMMYFUNCTION("""COMPUTED_VALUE"""),46187.52275462963)</f>
        <v>46187.52275</v>
      </c>
      <c r="B5454" s="126">
        <f>IFERROR(__xludf.DUMMYFUNCTION("""COMPUTED_VALUE"""),46187.0)</f>
        <v>46187</v>
      </c>
      <c r="C5454" s="122" t="str">
        <f>IFERROR(__xludf.DUMMYFUNCTION("""COMPUTED_VALUE"""),"COLA")</f>
        <v>COLA</v>
      </c>
      <c r="D5454" s="122" t="str">
        <f>IFERROR(__xludf.DUMMYFUNCTION("""COMPUTED_VALUE"""),"K-Pop Cola")</f>
        <v>K-Pop Cola</v>
      </c>
      <c r="E5454" s="122">
        <f>IFERROR(__xludf.DUMMYFUNCTION("""COMPUTED_VALUE"""),114.07)</f>
        <v>114.07</v>
      </c>
      <c r="F5454" s="122">
        <f>IFERROR(__xludf.DUMMYFUNCTION("""COMPUTED_VALUE"""),-0.0014)</f>
        <v>-0.0014</v>
      </c>
    </row>
    <row r="5455">
      <c r="A5455" s="131">
        <f>IFERROR(__xludf.DUMMYFUNCTION("""COMPUTED_VALUE"""),46187.52275462963)</f>
        <v>46187.52275</v>
      </c>
      <c r="B5455" s="126">
        <f>IFERROR(__xludf.DUMMYFUNCTION("""COMPUTED_VALUE"""),46187.0)</f>
        <v>46187</v>
      </c>
      <c r="C5455" s="122" t="str">
        <f>IFERROR(__xludf.DUMMYFUNCTION("""COMPUTED_VALUE"""),"CHIP")</f>
        <v>CHIP</v>
      </c>
      <c r="D5455" s="122" t="str">
        <f>IFERROR(__xludf.DUMMYFUNCTION("""COMPUTED_VALUE"""),"Chip Empire")</f>
        <v>Chip Empire</v>
      </c>
      <c r="E5455" s="122">
        <f>IFERROR(__xludf.DUMMYFUNCTION("""COMPUTED_VALUE"""),85.92)</f>
        <v>85.92</v>
      </c>
      <c r="F5455" s="122">
        <f>IFERROR(__xludf.DUMMYFUNCTION("""COMPUTED_VALUE"""),-0.0019)</f>
        <v>-0.0019</v>
      </c>
    </row>
    <row r="5456">
      <c r="A5456" s="131">
        <f>IFERROR(__xludf.DUMMYFUNCTION("""COMPUTED_VALUE"""),46187.52275462963)</f>
        <v>46187.52275</v>
      </c>
      <c r="B5456" s="126">
        <f>IFERROR(__xludf.DUMMYFUNCTION("""COMPUTED_VALUE"""),46187.0)</f>
        <v>46187</v>
      </c>
      <c r="C5456" s="122" t="str">
        <f>IFERROR(__xludf.DUMMYFUNCTION("""COMPUTED_VALUE"""),"CAND")</f>
        <v>CAND</v>
      </c>
      <c r="D5456" s="122" t="str">
        <f>IFERROR(__xludf.DUMMYFUNCTION("""COMPUTED_VALUE"""),"Candy Capital")</f>
        <v>Candy Capital</v>
      </c>
      <c r="E5456" s="122">
        <f>IFERROR(__xludf.DUMMYFUNCTION("""COMPUTED_VALUE"""),76.74)</f>
        <v>76.74</v>
      </c>
      <c r="F5456" s="122">
        <f>IFERROR(__xludf.DUMMYFUNCTION("""COMPUTED_VALUE"""),0.0022)</f>
        <v>0.0022</v>
      </c>
    </row>
    <row r="5457">
      <c r="A5457" s="131">
        <f>IFERROR(__xludf.DUMMYFUNCTION("""COMPUTED_VALUE"""),46187.52275462963)</f>
        <v>46187.52275</v>
      </c>
      <c r="B5457" s="126">
        <f>IFERROR(__xludf.DUMMYFUNCTION("""COMPUTED_VALUE"""),46187.0)</f>
        <v>46187</v>
      </c>
      <c r="C5457" s="122" t="str">
        <f>IFERROR(__xludf.DUMMYFUNCTION("""COMPUTED_VALUE"""),"TECH")</f>
        <v>TECH</v>
      </c>
      <c r="D5457" s="122" t="str">
        <f>IFERROR(__xludf.DUMMYFUNCTION("""COMPUTED_VALUE"""),"Dragon Tech")</f>
        <v>Dragon Tech</v>
      </c>
      <c r="E5457" s="122">
        <f>IFERROR(__xludf.DUMMYFUNCTION("""COMPUTED_VALUE"""),243.54)</f>
        <v>243.54</v>
      </c>
      <c r="F5457" s="122">
        <f>IFERROR(__xludf.DUMMYFUNCTION("""COMPUTED_VALUE"""),0.0014)</f>
        <v>0.0014</v>
      </c>
    </row>
    <row r="5458">
      <c r="A5458" s="131">
        <f>IFERROR(__xludf.DUMMYFUNCTION("""COMPUTED_VALUE"""),46187.52275462963)</f>
        <v>46187.52275</v>
      </c>
      <c r="B5458" s="126">
        <f>IFERROR(__xludf.DUMMYFUNCTION("""COMPUTED_VALUE"""),46187.0)</f>
        <v>46187</v>
      </c>
      <c r="C5458" s="122" t="str">
        <f>IFERROR(__xludf.DUMMYFUNCTION("""COMPUTED_VALUE"""),"AIBO")</f>
        <v>AIBO</v>
      </c>
      <c r="D5458" s="122" t="str">
        <f>IFERROR(__xludf.DUMMYFUNCTION("""COMPUTED_VALUE"""),"Homework AI")</f>
        <v>Homework AI</v>
      </c>
      <c r="E5458" s="122">
        <f>IFERROR(__xludf.DUMMYFUNCTION("""COMPUTED_VALUE"""),178.37)</f>
        <v>178.37</v>
      </c>
      <c r="F5458" s="122">
        <f>IFERROR(__xludf.DUMMYFUNCTION("""COMPUTED_VALUE"""),-0.0092)</f>
        <v>-0.0092</v>
      </c>
    </row>
    <row r="5459">
      <c r="A5459" s="131">
        <f>IFERROR(__xludf.DUMMYFUNCTION("""COMPUTED_VALUE"""),46187.52275462963)</f>
        <v>46187.52275</v>
      </c>
      <c r="B5459" s="126">
        <f>IFERROR(__xludf.DUMMYFUNCTION("""COMPUTED_VALUE"""),46187.0)</f>
        <v>46187</v>
      </c>
      <c r="C5459" s="122" t="str">
        <f>IFERROR(__xludf.DUMMYFUNCTION("""COMPUTED_VALUE"""),"GAME")</f>
        <v>GAME</v>
      </c>
      <c r="D5459" s="122" t="str">
        <f>IFERROR(__xludf.DUMMYFUNCTION("""COMPUTED_VALUE"""),"GameBox Media")</f>
        <v>GameBox Media</v>
      </c>
      <c r="E5459" s="122">
        <f>IFERROR(__xludf.DUMMYFUNCTION("""COMPUTED_VALUE"""),98.39)</f>
        <v>98.39</v>
      </c>
      <c r="F5459" s="122">
        <f>IFERROR(__xludf.DUMMYFUNCTION("""COMPUTED_VALUE"""),-0.0064)</f>
        <v>-0.0064</v>
      </c>
    </row>
    <row r="5460">
      <c r="A5460" s="131">
        <f>IFERROR(__xludf.DUMMYFUNCTION("""COMPUTED_VALUE"""),46187.52275462963)</f>
        <v>46187.52275</v>
      </c>
      <c r="B5460" s="126">
        <f>IFERROR(__xludf.DUMMYFUNCTION("""COMPUTED_VALUE"""),46187.0)</f>
        <v>46187</v>
      </c>
      <c r="C5460" s="122" t="str">
        <f>IFERROR(__xludf.DUMMYFUNCTION("""COMPUTED_VALUE"""),"VRSE")</f>
        <v>VRSE</v>
      </c>
      <c r="D5460" s="122" t="str">
        <f>IFERROR(__xludf.DUMMYFUNCTION("""COMPUTED_VALUE"""),"VerseVR")</f>
        <v>VerseVR</v>
      </c>
      <c r="E5460" s="122">
        <f>IFERROR(__xludf.DUMMYFUNCTION("""COMPUTED_VALUE"""),149.54)</f>
        <v>149.54</v>
      </c>
      <c r="F5460" s="122">
        <f>IFERROR(__xludf.DUMMYFUNCTION("""COMPUTED_VALUE"""),-0.0082)</f>
        <v>-0.0082</v>
      </c>
    </row>
    <row r="5461">
      <c r="A5461" s="131">
        <f>IFERROR(__xludf.DUMMYFUNCTION("""COMPUTED_VALUE"""),46187.52275462963)</f>
        <v>46187.52275</v>
      </c>
      <c r="B5461" s="126">
        <f>IFERROR(__xludf.DUMMYFUNCTION("""COMPUTED_VALUE"""),46187.0)</f>
        <v>46187</v>
      </c>
      <c r="C5461" s="122" t="str">
        <f>IFERROR(__xludf.DUMMYFUNCTION("""COMPUTED_VALUE"""),"BYTE")</f>
        <v>BYTE</v>
      </c>
      <c r="D5461" s="122" t="str">
        <f>IFERROR(__xludf.DUMMYFUNCTION("""COMPUTED_VALUE"""),"ByteWorks")</f>
        <v>ByteWorks</v>
      </c>
      <c r="E5461" s="122">
        <f>IFERROR(__xludf.DUMMYFUNCTION("""COMPUTED_VALUE"""),112.01)</f>
        <v>112.01</v>
      </c>
      <c r="F5461" s="122">
        <f>IFERROR(__xludf.DUMMYFUNCTION("""COMPUTED_VALUE"""),-0.0022)</f>
        <v>-0.0022</v>
      </c>
    </row>
    <row r="5462">
      <c r="A5462" s="131">
        <f>IFERROR(__xludf.DUMMYFUNCTION("""COMPUTED_VALUE"""),46187.52275462963)</f>
        <v>46187.52275</v>
      </c>
      <c r="B5462" s="126">
        <f>IFERROR(__xludf.DUMMYFUNCTION("""COMPUTED_VALUE"""),46187.0)</f>
        <v>46187</v>
      </c>
      <c r="C5462" s="122" t="str">
        <f>IFERROR(__xludf.DUMMYFUNCTION("""COMPUTED_VALUE"""),"BANK")</f>
        <v>BANK</v>
      </c>
      <c r="D5462" s="122" t="str">
        <f>IFERROR(__xludf.DUMMYFUNCTION("""COMPUTED_VALUE"""),"Tiger Bank")</f>
        <v>Tiger Bank</v>
      </c>
      <c r="E5462" s="122">
        <f>IFERROR(__xludf.DUMMYFUNCTION("""COMPUTED_VALUE"""),128.73)</f>
        <v>128.73</v>
      </c>
      <c r="F5462" s="122">
        <f>IFERROR(__xludf.DUMMYFUNCTION("""COMPUTED_VALUE"""),-7.0E-4)</f>
        <v>-0.0007</v>
      </c>
    </row>
    <row r="5463">
      <c r="A5463" s="131">
        <f>IFERROR(__xludf.DUMMYFUNCTION("""COMPUTED_VALUE"""),46187.52275462963)</f>
        <v>46187.52275</v>
      </c>
      <c r="B5463" s="126">
        <f>IFERROR(__xludf.DUMMYFUNCTION("""COMPUTED_VALUE"""),46187.0)</f>
        <v>46187</v>
      </c>
      <c r="C5463" s="122" t="str">
        <f>IFERROR(__xludf.DUMMYFUNCTION("""COMPUTED_VALUE"""),"CRED")</f>
        <v>CRED</v>
      </c>
      <c r="D5463" s="122" t="str">
        <f>IFERROR(__xludf.DUMMYFUNCTION("""COMPUTED_VALUE"""),"Credit Castle")</f>
        <v>Credit Castle</v>
      </c>
      <c r="E5463" s="122">
        <f>IFERROR(__xludf.DUMMYFUNCTION("""COMPUTED_VALUE"""),66.55)</f>
        <v>66.55</v>
      </c>
      <c r="F5463" s="122">
        <f>IFERROR(__xludf.DUMMYFUNCTION("""COMPUTED_VALUE"""),-0.0031)</f>
        <v>-0.0031</v>
      </c>
    </row>
    <row r="5464">
      <c r="A5464" s="131">
        <f>IFERROR(__xludf.DUMMYFUNCTION("""COMPUTED_VALUE"""),46187.52275462963)</f>
        <v>46187.52275</v>
      </c>
      <c r="B5464" s="126">
        <f>IFERROR(__xludf.DUMMYFUNCTION("""COMPUTED_VALUE"""),46187.0)</f>
        <v>46187</v>
      </c>
      <c r="C5464" s="122" t="str">
        <f>IFERROR(__xludf.DUMMYFUNCTION("""COMPUTED_VALUE"""),"BOND")</f>
        <v>BOND</v>
      </c>
      <c r="D5464" s="122" t="str">
        <f>IFERROR(__xludf.DUMMYFUNCTION("""COMPUTED_VALUE"""),"BondBridge")</f>
        <v>BondBridge</v>
      </c>
      <c r="E5464" s="122">
        <f>IFERROR(__xludf.DUMMYFUNCTION("""COMPUTED_VALUE"""),100.53)</f>
        <v>100.53</v>
      </c>
      <c r="F5464" s="122">
        <f>IFERROR(__xludf.DUMMYFUNCTION("""COMPUTED_VALUE"""),-2.0E-4)</f>
        <v>-0.0002</v>
      </c>
    </row>
    <row r="5465">
      <c r="A5465" s="131">
        <f>IFERROR(__xludf.DUMMYFUNCTION("""COMPUTED_VALUE"""),46187.52275462963)</f>
        <v>46187.52275</v>
      </c>
      <c r="B5465" s="126">
        <f>IFERROR(__xludf.DUMMYFUNCTION("""COMPUTED_VALUE"""),46187.0)</f>
        <v>46187</v>
      </c>
      <c r="C5465" s="122" t="str">
        <f>IFERROR(__xludf.DUMMYFUNCTION("""COMPUTED_VALUE"""),"INSR")</f>
        <v>INSR</v>
      </c>
      <c r="D5465" s="122" t="str">
        <f>IFERROR(__xludf.DUMMYFUNCTION("""COMPUTED_VALUE"""),"Shield Insurance")</f>
        <v>Shield Insurance</v>
      </c>
      <c r="E5465" s="122">
        <f>IFERROR(__xludf.DUMMYFUNCTION("""COMPUTED_VALUE"""),159.92)</f>
        <v>159.92</v>
      </c>
      <c r="F5465" s="122">
        <f>IFERROR(__xludf.DUMMYFUNCTION("""COMPUTED_VALUE"""),-0.0014)</f>
        <v>-0.0014</v>
      </c>
    </row>
    <row r="5466">
      <c r="A5466" s="131">
        <f>IFERROR(__xludf.DUMMYFUNCTION("""COMPUTED_VALUE"""),46187.52275462963)</f>
        <v>46187.52275</v>
      </c>
      <c r="B5466" s="126">
        <f>IFERROR(__xludf.DUMMYFUNCTION("""COMPUTED_VALUE"""),46187.0)</f>
        <v>46187</v>
      </c>
      <c r="C5466" s="122" t="str">
        <f>IFERROR(__xludf.DUMMYFUNCTION("""COMPUTED_VALUE"""),"LOAN")</f>
        <v>LOAN</v>
      </c>
      <c r="D5466" s="122" t="str">
        <f>IFERROR(__xludf.DUMMYFUNCTION("""COMPUTED_VALUE"""),"LoanLab")</f>
        <v>LoanLab</v>
      </c>
      <c r="E5466" s="122">
        <f>IFERROR(__xludf.DUMMYFUNCTION("""COMPUTED_VALUE"""),65.56)</f>
        <v>65.56</v>
      </c>
      <c r="F5466" s="122">
        <f>IFERROR(__xludf.DUMMYFUNCTION("""COMPUTED_VALUE"""),-9.0E-4)</f>
        <v>-0.0009</v>
      </c>
    </row>
    <row r="5467">
      <c r="A5467" s="131">
        <f>IFERROR(__xludf.DUMMYFUNCTION("""COMPUTED_VALUE"""),46187.52275462963)</f>
        <v>46187.52275</v>
      </c>
      <c r="B5467" s="126">
        <f>IFERROR(__xludf.DUMMYFUNCTION("""COMPUTED_VALUE"""),46187.0)</f>
        <v>46187</v>
      </c>
      <c r="C5467" s="122" t="str">
        <f>IFERROR(__xludf.DUMMYFUNCTION("""COMPUTED_VALUE"""),"LUXE")</f>
        <v>LUXE</v>
      </c>
      <c r="D5467" s="122" t="str">
        <f>IFERROR(__xludf.DUMMYFUNCTION("""COMPUTED_VALUE"""),"Luxury Locker")</f>
        <v>Luxury Locker</v>
      </c>
      <c r="E5467" s="122">
        <f>IFERROR(__xludf.DUMMYFUNCTION("""COMPUTED_VALUE"""),268.15)</f>
        <v>268.15</v>
      </c>
      <c r="F5467" s="122">
        <f>IFERROR(__xludf.DUMMYFUNCTION("""COMPUTED_VALUE"""),0.007)</f>
        <v>0.007</v>
      </c>
    </row>
    <row r="5468">
      <c r="A5468" s="131">
        <f>IFERROR(__xludf.DUMMYFUNCTION("""COMPUTED_VALUE"""),46187.52275462963)</f>
        <v>46187.52275</v>
      </c>
      <c r="B5468" s="126">
        <f>IFERROR(__xludf.DUMMYFUNCTION("""COMPUTED_VALUE"""),46187.0)</f>
        <v>46187</v>
      </c>
      <c r="C5468" s="122" t="str">
        <f>IFERROR(__xludf.DUMMYFUNCTION("""COMPUTED_VALUE"""),"DRIP")</f>
        <v>DRIP</v>
      </c>
      <c r="D5468" s="122" t="str">
        <f>IFERROR(__xludf.DUMMYFUNCTION("""COMPUTED_VALUE"""),"Drip Streetwear")</f>
        <v>Drip Streetwear</v>
      </c>
      <c r="E5468" s="122">
        <f>IFERROR(__xludf.DUMMYFUNCTION("""COMPUTED_VALUE"""),198.64)</f>
        <v>198.64</v>
      </c>
      <c r="F5468" s="122">
        <f>IFERROR(__xludf.DUMMYFUNCTION("""COMPUTED_VALUE"""),-0.0071)</f>
        <v>-0.0071</v>
      </c>
    </row>
    <row r="5469">
      <c r="A5469" s="131">
        <f>IFERROR(__xludf.DUMMYFUNCTION("""COMPUTED_VALUE"""),46187.52275462963)</f>
        <v>46187.52275</v>
      </c>
      <c r="B5469" s="126">
        <f>IFERROR(__xludf.DUMMYFUNCTION("""COMPUTED_VALUE"""),46187.0)</f>
        <v>46187</v>
      </c>
      <c r="C5469" s="122" t="str">
        <f>IFERROR(__xludf.DUMMYFUNCTION("""COMPUTED_VALUE"""),"KICK")</f>
        <v>KICK</v>
      </c>
      <c r="D5469" s="122" t="str">
        <f>IFERROR(__xludf.DUMMYFUNCTION("""COMPUTED_VALUE"""),"KickDrop Sneakers")</f>
        <v>KickDrop Sneakers</v>
      </c>
      <c r="E5469" s="122">
        <f>IFERROR(__xludf.DUMMYFUNCTION("""COMPUTED_VALUE"""),168.78)</f>
        <v>168.78</v>
      </c>
      <c r="F5469" s="122">
        <f>IFERROR(__xludf.DUMMYFUNCTION("""COMPUTED_VALUE"""),-0.0062)</f>
        <v>-0.0062</v>
      </c>
    </row>
    <row r="5470">
      <c r="A5470" s="131">
        <f>IFERROR(__xludf.DUMMYFUNCTION("""COMPUTED_VALUE"""),46187.52275462963)</f>
        <v>46187.52275</v>
      </c>
      <c r="B5470" s="126">
        <f>IFERROR(__xludf.DUMMYFUNCTION("""COMPUTED_VALUE"""),46187.0)</f>
        <v>46187</v>
      </c>
      <c r="C5470" s="122" t="str">
        <f>IFERROR(__xludf.DUMMYFUNCTION("""COMPUTED_VALUE"""),"GLAM")</f>
        <v>GLAM</v>
      </c>
      <c r="D5470" s="122" t="str">
        <f>IFERROR(__xludf.DUMMYFUNCTION("""COMPUTED_VALUE"""),"Glow Cosmetics")</f>
        <v>Glow Cosmetics</v>
      </c>
      <c r="E5470" s="122">
        <f>IFERROR(__xludf.DUMMYFUNCTION("""COMPUTED_VALUE"""),107.79)</f>
        <v>107.79</v>
      </c>
      <c r="F5470" s="122">
        <f>IFERROR(__xludf.DUMMYFUNCTION("""COMPUTED_VALUE"""),0.0079)</f>
        <v>0.0079</v>
      </c>
    </row>
    <row r="5471">
      <c r="A5471" s="131">
        <f>IFERROR(__xludf.DUMMYFUNCTION("""COMPUTED_VALUE"""),46187.52275462963)</f>
        <v>46187.52275</v>
      </c>
      <c r="B5471" s="126">
        <f>IFERROR(__xludf.DUMMYFUNCTION("""COMPUTED_VALUE"""),46187.0)</f>
        <v>46187</v>
      </c>
      <c r="C5471" s="122" t="str">
        <f>IFERROR(__xludf.DUMMYFUNCTION("""COMPUTED_VALUE"""),"BAGG")</f>
        <v>BAGG</v>
      </c>
      <c r="D5471" s="122" t="str">
        <f>IFERROR(__xludf.DUMMYFUNCTION("""COMPUTED_VALUE"""),"BagVault")</f>
        <v>BagVault</v>
      </c>
      <c r="E5471" s="122">
        <f>IFERROR(__xludf.DUMMYFUNCTION("""COMPUTED_VALUE"""),252.16)</f>
        <v>252.16</v>
      </c>
      <c r="F5471" s="122">
        <f>IFERROR(__xludf.DUMMYFUNCTION("""COMPUTED_VALUE"""),-0.0073)</f>
        <v>-0.0073</v>
      </c>
    </row>
    <row r="5472">
      <c r="A5472" s="131">
        <f>IFERROR(__xludf.DUMMYFUNCTION("""COMPUTED_VALUE"""),46187.52275462963)</f>
        <v>46187.52275</v>
      </c>
      <c r="B5472" s="126">
        <f>IFERROR(__xludf.DUMMYFUNCTION("""COMPUTED_VALUE"""),46187.0)</f>
        <v>46187</v>
      </c>
      <c r="C5472" s="122" t="str">
        <f>IFERROR(__xludf.DUMMYFUNCTION("""COMPUTED_VALUE"""),"FAST")</f>
        <v>FAST</v>
      </c>
      <c r="D5472" s="122" t="str">
        <f>IFERROR(__xludf.DUMMYFUNCTION("""COMPUTED_VALUE"""),"Flash Logistics")</f>
        <v>Flash Logistics</v>
      </c>
      <c r="E5472" s="122">
        <f>IFERROR(__xludf.DUMMYFUNCTION("""COMPUTED_VALUE"""),104.88)</f>
        <v>104.88</v>
      </c>
      <c r="F5472" s="122">
        <f>IFERROR(__xludf.DUMMYFUNCTION("""COMPUTED_VALUE"""),-0.0031)</f>
        <v>-0.0031</v>
      </c>
    </row>
    <row r="5473">
      <c r="A5473" s="131">
        <f>IFERROR(__xludf.DUMMYFUNCTION("""COMPUTED_VALUE"""),46187.52275462963)</f>
        <v>46187.52275</v>
      </c>
      <c r="B5473" s="126">
        <f>IFERROR(__xludf.DUMMYFUNCTION("""COMPUTED_VALUE"""),46187.0)</f>
        <v>46187</v>
      </c>
      <c r="C5473" s="122" t="str">
        <f>IFERROR(__xludf.DUMMYFUNCTION("""COMPUTED_VALUE"""),"SHIP")</f>
        <v>SHIP</v>
      </c>
      <c r="D5473" s="122" t="str">
        <f>IFERROR(__xludf.DUMMYFUNCTION("""COMPUTED_VALUE"""),"Seoul Shipping")</f>
        <v>Seoul Shipping</v>
      </c>
      <c r="E5473" s="122">
        <f>IFERROR(__xludf.DUMMYFUNCTION("""COMPUTED_VALUE"""),127.96)</f>
        <v>127.96</v>
      </c>
      <c r="F5473" s="122">
        <f>IFERROR(__xludf.DUMMYFUNCTION("""COMPUTED_VALUE"""),-0.0068)</f>
        <v>-0.0068</v>
      </c>
    </row>
    <row r="5474">
      <c r="A5474" s="131">
        <f>IFERROR(__xludf.DUMMYFUNCTION("""COMPUTED_VALUE"""),46187.52275462963)</f>
        <v>46187.52275</v>
      </c>
      <c r="B5474" s="126">
        <f>IFERROR(__xludf.DUMMYFUNCTION("""COMPUTED_VALUE"""),46187.0)</f>
        <v>46187</v>
      </c>
      <c r="C5474" s="122" t="str">
        <f>IFERROR(__xludf.DUMMYFUNCTION("""COMPUTED_VALUE"""),"DRON")</f>
        <v>DRON</v>
      </c>
      <c r="D5474" s="122" t="str">
        <f>IFERROR(__xludf.DUMMYFUNCTION("""COMPUTED_VALUE"""),"DroneDrop")</f>
        <v>DroneDrop</v>
      </c>
      <c r="E5474" s="122">
        <f>IFERROR(__xludf.DUMMYFUNCTION("""COMPUTED_VALUE"""),127.69)</f>
        <v>127.69</v>
      </c>
      <c r="F5474" s="122">
        <f>IFERROR(__xludf.DUMMYFUNCTION("""COMPUTED_VALUE"""),0.0102)</f>
        <v>0.0102</v>
      </c>
    </row>
    <row r="5475">
      <c r="A5475" s="131">
        <f>IFERROR(__xludf.DUMMYFUNCTION("""COMPUTED_VALUE"""),46187.52275462963)</f>
        <v>46187.52275</v>
      </c>
      <c r="B5475" s="126">
        <f>IFERROR(__xludf.DUMMYFUNCTION("""COMPUTED_VALUE"""),46187.0)</f>
        <v>46187</v>
      </c>
      <c r="C5475" s="122" t="str">
        <f>IFERROR(__xludf.DUMMYFUNCTION("""COMPUTED_VALUE"""),"RIDE")</f>
        <v>RIDE</v>
      </c>
      <c r="D5475" s="122" t="str">
        <f>IFERROR(__xludf.DUMMYFUNCTION("""COMPUTED_VALUE"""),"QuickRide")</f>
        <v>QuickRide</v>
      </c>
      <c r="E5475" s="122">
        <f>IFERROR(__xludf.DUMMYFUNCTION("""COMPUTED_VALUE"""),96.93)</f>
        <v>96.93</v>
      </c>
      <c r="F5475" s="122">
        <f>IFERROR(__xludf.DUMMYFUNCTION("""COMPUTED_VALUE"""),0.0094)</f>
        <v>0.0094</v>
      </c>
    </row>
    <row r="5476">
      <c r="A5476" s="131">
        <f>IFERROR(__xludf.DUMMYFUNCTION("""COMPUTED_VALUE"""),46187.52275462963)</f>
        <v>46187.52275</v>
      </c>
      <c r="B5476" s="126">
        <f>IFERROR(__xludf.DUMMYFUNCTION("""COMPUTED_VALUE"""),46187.0)</f>
        <v>46187</v>
      </c>
      <c r="C5476" s="122" t="str">
        <f>IFERROR(__xludf.DUMMYFUNCTION("""COMPUTED_VALUE"""),"RAIL")</f>
        <v>RAIL</v>
      </c>
      <c r="D5476" s="122" t="str">
        <f>IFERROR(__xludf.DUMMYFUNCTION("""COMPUTED_VALUE"""),"MetroRail Corp")</f>
        <v>MetroRail Corp</v>
      </c>
      <c r="E5476" s="122">
        <f>IFERROR(__xludf.DUMMYFUNCTION("""COMPUTED_VALUE"""),133.5)</f>
        <v>133.5</v>
      </c>
      <c r="F5476" s="122">
        <f>IFERROR(__xludf.DUMMYFUNCTION("""COMPUTED_VALUE"""),-0.0029)</f>
        <v>-0.0029</v>
      </c>
    </row>
    <row r="5477">
      <c r="A5477" s="131">
        <f>IFERROR(__xludf.DUMMYFUNCTION("""COMPUTED_VALUE"""),46187.52275462963)</f>
        <v>46187.52275</v>
      </c>
      <c r="B5477" s="126">
        <f>IFERROR(__xludf.DUMMYFUNCTION("""COMPUTED_VALUE"""),46187.0)</f>
        <v>46187</v>
      </c>
      <c r="C5477" s="122" t="str">
        <f>IFERROR(__xludf.DUMMYFUNCTION("""COMPUTED_VALUE"""),"MEDX")</f>
        <v>MEDX</v>
      </c>
      <c r="D5477" s="122" t="str">
        <f>IFERROR(__xludf.DUMMYFUNCTION("""COMPUTED_VALUE"""),"MediCore")</f>
        <v>MediCore</v>
      </c>
      <c r="E5477" s="122">
        <f>IFERROR(__xludf.DUMMYFUNCTION("""COMPUTED_VALUE"""),138.22)</f>
        <v>138.22</v>
      </c>
      <c r="F5477" s="122">
        <f>IFERROR(__xludf.DUMMYFUNCTION("""COMPUTED_VALUE"""),0.0025)</f>
        <v>0.0025</v>
      </c>
    </row>
    <row r="5478">
      <c r="A5478" s="131">
        <f>IFERROR(__xludf.DUMMYFUNCTION("""COMPUTED_VALUE"""),46187.52275462963)</f>
        <v>46187.52275</v>
      </c>
      <c r="B5478" s="126">
        <f>IFERROR(__xludf.DUMMYFUNCTION("""COMPUTED_VALUE"""),46187.0)</f>
        <v>46187</v>
      </c>
      <c r="C5478" s="122" t="str">
        <f>IFERROR(__xludf.DUMMYFUNCTION("""COMPUTED_VALUE"""),"GYMX")</f>
        <v>GYMX</v>
      </c>
      <c r="D5478" s="122" t="str">
        <f>IFERROR(__xludf.DUMMYFUNCTION("""COMPUTED_VALUE"""),"GymX Fitness")</f>
        <v>GymX Fitness</v>
      </c>
      <c r="E5478" s="122">
        <f>IFERROR(__xludf.DUMMYFUNCTION("""COMPUTED_VALUE"""),87.09)</f>
        <v>87.09</v>
      </c>
      <c r="F5478" s="122">
        <f>IFERROR(__xludf.DUMMYFUNCTION("""COMPUTED_VALUE"""),-0.0024)</f>
        <v>-0.0024</v>
      </c>
    </row>
    <row r="5479">
      <c r="A5479" s="131">
        <f>IFERROR(__xludf.DUMMYFUNCTION("""COMPUTED_VALUE"""),46187.52275462963)</f>
        <v>46187.52275</v>
      </c>
      <c r="B5479" s="126">
        <f>IFERROR(__xludf.DUMMYFUNCTION("""COMPUTED_VALUE"""),46187.0)</f>
        <v>46187</v>
      </c>
      <c r="C5479" s="122" t="str">
        <f>IFERROR(__xludf.DUMMYFUNCTION("""COMPUTED_VALUE"""),"VITA")</f>
        <v>VITA</v>
      </c>
      <c r="D5479" s="122" t="str">
        <f>IFERROR(__xludf.DUMMYFUNCTION("""COMPUTED_VALUE"""),"VitaPlus")</f>
        <v>VitaPlus</v>
      </c>
      <c r="E5479" s="122">
        <f>IFERROR(__xludf.DUMMYFUNCTION("""COMPUTED_VALUE"""),72.26)</f>
        <v>72.26</v>
      </c>
      <c r="F5479" s="122">
        <f>IFERROR(__xludf.DUMMYFUNCTION("""COMPUTED_VALUE"""),0.0044)</f>
        <v>0.0044</v>
      </c>
    </row>
    <row r="5480">
      <c r="A5480" s="131">
        <f>IFERROR(__xludf.DUMMYFUNCTION("""COMPUTED_VALUE"""),46187.52275462963)</f>
        <v>46187.52275</v>
      </c>
      <c r="B5480" s="126">
        <f>IFERROR(__xludf.DUMMYFUNCTION("""COMPUTED_VALUE"""),46187.0)</f>
        <v>46187</v>
      </c>
      <c r="C5480" s="122" t="str">
        <f>IFERROR(__xludf.DUMMYFUNCTION("""COMPUTED_VALUE"""),"CARE")</f>
        <v>CARE</v>
      </c>
      <c r="D5480" s="122" t="str">
        <f>IFERROR(__xludf.DUMMYFUNCTION("""COMPUTED_VALUE"""),"CareCloud")</f>
        <v>CareCloud</v>
      </c>
      <c r="E5480" s="122">
        <f>IFERROR(__xludf.DUMMYFUNCTION("""COMPUTED_VALUE"""),180.51)</f>
        <v>180.51</v>
      </c>
      <c r="F5480" s="122">
        <f>IFERROR(__xludf.DUMMYFUNCTION("""COMPUTED_VALUE"""),0.0034)</f>
        <v>0.0034</v>
      </c>
    </row>
    <row r="5481">
      <c r="A5481" s="131">
        <f>IFERROR(__xludf.DUMMYFUNCTION("""COMPUTED_VALUE"""),46187.52275462963)</f>
        <v>46187.52275</v>
      </c>
      <c r="B5481" s="126">
        <f>IFERROR(__xludf.DUMMYFUNCTION("""COMPUTED_VALUE"""),46187.0)</f>
        <v>46187</v>
      </c>
      <c r="C5481" s="122" t="str">
        <f>IFERROR(__xludf.DUMMYFUNCTION("""COMPUTED_VALUE"""),"DENT")</f>
        <v>DENT</v>
      </c>
      <c r="D5481" s="122" t="str">
        <f>IFERROR(__xludf.DUMMYFUNCTION("""COMPUTED_VALUE"""),"SmileWorks")</f>
        <v>SmileWorks</v>
      </c>
      <c r="E5481" s="122">
        <f>IFERROR(__xludf.DUMMYFUNCTION("""COMPUTED_VALUE"""),89.7)</f>
        <v>89.7</v>
      </c>
      <c r="F5481" s="122">
        <f>IFERROR(__xludf.DUMMYFUNCTION("""COMPUTED_VALUE"""),0.0017)</f>
        <v>0.0017</v>
      </c>
    </row>
    <row r="5482">
      <c r="A5482" s="131">
        <f>IFERROR(__xludf.DUMMYFUNCTION("""COMPUTED_VALUE"""),46187.52275462963)</f>
        <v>46187.52275</v>
      </c>
      <c r="B5482" s="126">
        <f>IFERROR(__xludf.DUMMYFUNCTION("""COMPUTED_VALUE"""),46187.0)</f>
        <v>46187</v>
      </c>
      <c r="C5482" s="122" t="str">
        <f>IFERROR(__xludf.DUMMYFUNCTION("""COMPUTED_VALUE"""),"EDUX")</f>
        <v>EDUX</v>
      </c>
      <c r="D5482" s="122" t="str">
        <f>IFERROR(__xludf.DUMMYFUNCTION("""COMPUTED_VALUE"""),"EduMax Learning")</f>
        <v>EduMax Learning</v>
      </c>
      <c r="E5482" s="122">
        <f>IFERROR(__xludf.DUMMYFUNCTION("""COMPUTED_VALUE"""),141.23)</f>
        <v>141.23</v>
      </c>
      <c r="F5482" s="122">
        <f>IFERROR(__xludf.DUMMYFUNCTION("""COMPUTED_VALUE"""),-0.0037)</f>
        <v>-0.0037</v>
      </c>
    </row>
    <row r="5483">
      <c r="A5483" s="131">
        <f>IFERROR(__xludf.DUMMYFUNCTION("""COMPUTED_VALUE"""),46187.52275462963)</f>
        <v>46187.52275</v>
      </c>
      <c r="B5483" s="126">
        <f>IFERROR(__xludf.DUMMYFUNCTION("""COMPUTED_VALUE"""),46187.0)</f>
        <v>46187</v>
      </c>
      <c r="C5483" s="122" t="str">
        <f>IFERROR(__xludf.DUMMYFUNCTION("""COMPUTED_VALUE"""),"BOOK")</f>
        <v>BOOK</v>
      </c>
      <c r="D5483" s="122" t="str">
        <f>IFERROR(__xludf.DUMMYFUNCTION("""COMPUTED_VALUE"""),"BookBridge")</f>
        <v>BookBridge</v>
      </c>
      <c r="E5483" s="122">
        <f>IFERROR(__xludf.DUMMYFUNCTION("""COMPUTED_VALUE"""),119.02)</f>
        <v>119.02</v>
      </c>
      <c r="F5483" s="122">
        <f>IFERROR(__xludf.DUMMYFUNCTION("""COMPUTED_VALUE"""),-0.0033)</f>
        <v>-0.0033</v>
      </c>
    </row>
    <row r="5484">
      <c r="A5484" s="131">
        <f>IFERROR(__xludf.DUMMYFUNCTION("""COMPUTED_VALUE"""),46187.52275462963)</f>
        <v>46187.52275</v>
      </c>
      <c r="B5484" s="126">
        <f>IFERROR(__xludf.DUMMYFUNCTION("""COMPUTED_VALUE"""),46187.0)</f>
        <v>46187</v>
      </c>
      <c r="C5484" s="122" t="str">
        <f>IFERROR(__xludf.DUMMYFUNCTION("""COMPUTED_VALUE"""),"TUTR")</f>
        <v>TUTR</v>
      </c>
      <c r="D5484" s="122" t="str">
        <f>IFERROR(__xludf.DUMMYFUNCTION("""COMPUTED_VALUE"""),"TutorTown")</f>
        <v>TutorTown</v>
      </c>
      <c r="E5484" s="122">
        <f>IFERROR(__xludf.DUMMYFUNCTION("""COMPUTED_VALUE"""),90.27)</f>
        <v>90.27</v>
      </c>
      <c r="F5484" s="122">
        <f>IFERROR(__xludf.DUMMYFUNCTION("""COMPUTED_VALUE"""),9.0E-4)</f>
        <v>0.0009</v>
      </c>
    </row>
    <row r="5485">
      <c r="A5485" s="131">
        <f>IFERROR(__xludf.DUMMYFUNCTION("""COMPUTED_VALUE"""),46187.52275462963)</f>
        <v>46187.52275</v>
      </c>
      <c r="B5485" s="126">
        <f>IFERROR(__xludf.DUMMYFUNCTION("""COMPUTED_VALUE"""),46187.0)</f>
        <v>46187</v>
      </c>
      <c r="C5485" s="122" t="str">
        <f>IFERROR(__xludf.DUMMYFUNCTION("""COMPUTED_VALUE"""),"LANG")</f>
        <v>LANG</v>
      </c>
      <c r="D5485" s="122" t="str">
        <f>IFERROR(__xludf.DUMMYFUNCTION("""COMPUTED_VALUE"""),"LinguaLab")</f>
        <v>LinguaLab</v>
      </c>
      <c r="E5485" s="122">
        <f>IFERROR(__xludf.DUMMYFUNCTION("""COMPUTED_VALUE"""),99.72)</f>
        <v>99.72</v>
      </c>
      <c r="F5485" s="122">
        <f>IFERROR(__xludf.DUMMYFUNCTION("""COMPUTED_VALUE"""),-0.0026)</f>
        <v>-0.0026</v>
      </c>
    </row>
    <row r="5486">
      <c r="A5486" s="131">
        <f>IFERROR(__xludf.DUMMYFUNCTION("""COMPUTED_VALUE"""),46187.52275462963)</f>
        <v>46187.52275</v>
      </c>
      <c r="B5486" s="126">
        <f>IFERROR(__xludf.DUMMYFUNCTION("""COMPUTED_VALUE"""),46187.0)</f>
        <v>46187</v>
      </c>
      <c r="C5486" s="122" t="str">
        <f>IFERROR(__xludf.DUMMYFUNCTION("""COMPUTED_VALUE"""),"TEST")</f>
        <v>TEST</v>
      </c>
      <c r="D5486" s="122" t="str">
        <f>IFERROR(__xludf.DUMMYFUNCTION("""COMPUTED_VALUE"""),"TestPrep Pro")</f>
        <v>TestPrep Pro</v>
      </c>
      <c r="E5486" s="122">
        <f>IFERROR(__xludf.DUMMYFUNCTION("""COMPUTED_VALUE"""),94.76)</f>
        <v>94.76</v>
      </c>
      <c r="F5486" s="122">
        <f>IFERROR(__xludf.DUMMYFUNCTION("""COMPUTED_VALUE"""),7.0E-4)</f>
        <v>0.0007</v>
      </c>
    </row>
    <row r="5487">
      <c r="A5487" s="131">
        <f>IFERROR(__xludf.DUMMYFUNCTION("""COMPUTED_VALUE"""),46187.52275462963)</f>
        <v>46187.52275</v>
      </c>
      <c r="B5487" s="126">
        <f>IFERROR(__xludf.DUMMYFUNCTION("""COMPUTED_VALUE"""),46187.0)</f>
        <v>46187</v>
      </c>
      <c r="C5487" s="122" t="str">
        <f>IFERROR(__xludf.DUMMYFUNCTION("""COMPUTED_VALUE"""),"MOVI")</f>
        <v>MOVI</v>
      </c>
      <c r="D5487" s="122" t="str">
        <f>IFERROR(__xludf.DUMMYFUNCTION("""COMPUTED_VALUE"""),"MovieBox")</f>
        <v>MovieBox</v>
      </c>
      <c r="E5487" s="122">
        <f>IFERROR(__xludf.DUMMYFUNCTION("""COMPUTED_VALUE"""),81.44)</f>
        <v>81.44</v>
      </c>
      <c r="F5487" s="122">
        <f>IFERROR(__xludf.DUMMYFUNCTION("""COMPUTED_VALUE"""),0.0069)</f>
        <v>0.0069</v>
      </c>
    </row>
    <row r="5488">
      <c r="A5488" s="131">
        <f>IFERROR(__xludf.DUMMYFUNCTION("""COMPUTED_VALUE"""),46187.52275462963)</f>
        <v>46187.52275</v>
      </c>
      <c r="B5488" s="126">
        <f>IFERROR(__xludf.DUMMYFUNCTION("""COMPUTED_VALUE"""),46187.0)</f>
        <v>46187</v>
      </c>
      <c r="C5488" s="122" t="str">
        <f>IFERROR(__xludf.DUMMYFUNCTION("""COMPUTED_VALUE"""),"MUSC")</f>
        <v>MUSC</v>
      </c>
      <c r="D5488" s="122" t="str">
        <f>IFERROR(__xludf.DUMMYFUNCTION("""COMPUTED_VALUE"""),"MusicWave")</f>
        <v>MusicWave</v>
      </c>
      <c r="E5488" s="122">
        <f>IFERROR(__xludf.DUMMYFUNCTION("""COMPUTED_VALUE"""),100.91)</f>
        <v>100.91</v>
      </c>
      <c r="F5488" s="122">
        <f>IFERROR(__xludf.DUMMYFUNCTION("""COMPUTED_VALUE"""),0.0031)</f>
        <v>0.0031</v>
      </c>
    </row>
    <row r="5489">
      <c r="A5489" s="131">
        <f>IFERROR(__xludf.DUMMYFUNCTION("""COMPUTED_VALUE"""),46187.52275462963)</f>
        <v>46187.52275</v>
      </c>
      <c r="B5489" s="126">
        <f>IFERROR(__xludf.DUMMYFUNCTION("""COMPUTED_VALUE"""),46187.0)</f>
        <v>46187</v>
      </c>
      <c r="C5489" s="122" t="str">
        <f>IFERROR(__xludf.DUMMYFUNCTION("""COMPUTED_VALUE"""),"IDOL")</f>
        <v>IDOL</v>
      </c>
      <c r="D5489" s="122" t="str">
        <f>IFERROR(__xludf.DUMMYFUNCTION("""COMPUTED_VALUE"""),"Idol Agency")</f>
        <v>Idol Agency</v>
      </c>
      <c r="E5489" s="122">
        <f>IFERROR(__xludf.DUMMYFUNCTION("""COMPUTED_VALUE"""),192.31)</f>
        <v>192.31</v>
      </c>
      <c r="F5489" s="122">
        <f>IFERROR(__xludf.DUMMYFUNCTION("""COMPUTED_VALUE"""),0.0084)</f>
        <v>0.0084</v>
      </c>
    </row>
    <row r="5490">
      <c r="A5490" s="131">
        <f>IFERROR(__xludf.DUMMYFUNCTION("""COMPUTED_VALUE"""),46187.52275462963)</f>
        <v>46187.52275</v>
      </c>
      <c r="B5490" s="126">
        <f>IFERROR(__xludf.DUMMYFUNCTION("""COMPUTED_VALUE"""),46187.0)</f>
        <v>46187</v>
      </c>
      <c r="C5490" s="122" t="str">
        <f>IFERROR(__xludf.DUMMYFUNCTION("""COMPUTED_VALUE"""),"MEME")</f>
        <v>MEME</v>
      </c>
      <c r="D5490" s="122" t="str">
        <f>IFERROR(__xludf.DUMMYFUNCTION("""COMPUTED_VALUE"""),"Meme Media")</f>
        <v>Meme Media</v>
      </c>
      <c r="E5490" s="122">
        <f>IFERROR(__xludf.DUMMYFUNCTION("""COMPUTED_VALUE"""),71.27)</f>
        <v>71.27</v>
      </c>
      <c r="F5490" s="122">
        <f>IFERROR(__xludf.DUMMYFUNCTION("""COMPUTED_VALUE"""),-4.0E-4)</f>
        <v>-0.0004</v>
      </c>
    </row>
    <row r="5491">
      <c r="A5491" s="131">
        <f>IFERROR(__xludf.DUMMYFUNCTION("""COMPUTED_VALUE"""),46187.52275462963)</f>
        <v>46187.52275</v>
      </c>
      <c r="B5491" s="126">
        <f>IFERROR(__xludf.DUMMYFUNCTION("""COMPUTED_VALUE"""),46187.0)</f>
        <v>46187</v>
      </c>
      <c r="C5491" s="122" t="str">
        <f>IFERROR(__xludf.DUMMYFUNCTION("""COMPUTED_VALUE"""),"STRM")</f>
        <v>STRM</v>
      </c>
      <c r="D5491" s="122" t="str">
        <f>IFERROR(__xludf.DUMMYFUNCTION("""COMPUTED_VALUE"""),"Streamly")</f>
        <v>Streamly</v>
      </c>
      <c r="E5491" s="122">
        <f>IFERROR(__xludf.DUMMYFUNCTION("""COMPUTED_VALUE"""),138.41)</f>
        <v>138.41</v>
      </c>
      <c r="F5491" s="122">
        <f>IFERROR(__xludf.DUMMYFUNCTION("""COMPUTED_VALUE"""),-0.0097)</f>
        <v>-0.0097</v>
      </c>
    </row>
    <row r="5492">
      <c r="A5492" s="131">
        <f>IFERROR(__xludf.DUMMYFUNCTION("""COMPUTED_VALUE"""),46187.52275462963)</f>
        <v>46187.52275</v>
      </c>
      <c r="B5492" s="126">
        <f>IFERROR(__xludf.DUMMYFUNCTION("""COMPUTED_VALUE"""),46187.0)</f>
        <v>46187</v>
      </c>
      <c r="C5492" s="122" t="str">
        <f>IFERROR(__xludf.DUMMYFUNCTION("""COMPUTED_VALUE"""),"FARM")</f>
        <v>FARM</v>
      </c>
      <c r="D5492" s="122" t="str">
        <f>IFERROR(__xludf.DUMMYFUNCTION("""COMPUTED_VALUE"""),"Future Farms")</f>
        <v>Future Farms</v>
      </c>
      <c r="E5492" s="122">
        <f>IFERROR(__xludf.DUMMYFUNCTION("""COMPUTED_VALUE"""),91.3)</f>
        <v>91.3</v>
      </c>
      <c r="F5492" s="122">
        <f>IFERROR(__xludf.DUMMYFUNCTION("""COMPUTED_VALUE"""),0.0033)</f>
        <v>0.0033</v>
      </c>
    </row>
    <row r="5493">
      <c r="A5493" s="131">
        <f>IFERROR(__xludf.DUMMYFUNCTION("""COMPUTED_VALUE"""),46187.52275462963)</f>
        <v>46187.52275</v>
      </c>
      <c r="B5493" s="126">
        <f>IFERROR(__xludf.DUMMYFUNCTION("""COMPUTED_VALUE"""),46187.0)</f>
        <v>46187</v>
      </c>
      <c r="C5493" s="122" t="str">
        <f>IFERROR(__xludf.DUMMYFUNCTION("""COMPUTED_VALUE"""),"MEAT")</f>
        <v>MEAT</v>
      </c>
      <c r="D5493" s="122" t="str">
        <f>IFERROR(__xludf.DUMMYFUNCTION("""COMPUTED_VALUE"""),"MeatWorks")</f>
        <v>MeatWorks</v>
      </c>
      <c r="E5493" s="122">
        <f>IFERROR(__xludf.DUMMYFUNCTION("""COMPUTED_VALUE"""),104.03)</f>
        <v>104.03</v>
      </c>
      <c r="F5493" s="122">
        <f>IFERROR(__xludf.DUMMYFUNCTION("""COMPUTED_VALUE"""),0.0046)</f>
        <v>0.0046</v>
      </c>
    </row>
    <row r="5494">
      <c r="A5494" s="131">
        <f>IFERROR(__xludf.DUMMYFUNCTION("""COMPUTED_VALUE"""),46187.52275462963)</f>
        <v>46187.52275</v>
      </c>
      <c r="B5494" s="126">
        <f>IFERROR(__xludf.DUMMYFUNCTION("""COMPUTED_VALUE"""),46187.0)</f>
        <v>46187</v>
      </c>
      <c r="C5494" s="122" t="str">
        <f>IFERROR(__xludf.DUMMYFUNCTION("""COMPUTED_VALUE"""),"VEGI")</f>
        <v>VEGI</v>
      </c>
      <c r="D5494" s="122" t="str">
        <f>IFERROR(__xludf.DUMMYFUNCTION("""COMPUTED_VALUE"""),"Green Basket")</f>
        <v>Green Basket</v>
      </c>
      <c r="E5494" s="122">
        <f>IFERROR(__xludf.DUMMYFUNCTION("""COMPUTED_VALUE"""),78.45)</f>
        <v>78.45</v>
      </c>
      <c r="F5494" s="122">
        <f>IFERROR(__xludf.DUMMYFUNCTION("""COMPUTED_VALUE"""),-0.0013)</f>
        <v>-0.0013</v>
      </c>
    </row>
    <row r="5495">
      <c r="A5495" s="131">
        <f>IFERROR(__xludf.DUMMYFUNCTION("""COMPUTED_VALUE"""),46187.52275462963)</f>
        <v>46187.52275</v>
      </c>
      <c r="B5495" s="126">
        <f>IFERROR(__xludf.DUMMYFUNCTION("""COMPUTED_VALUE"""),46187.0)</f>
        <v>46187</v>
      </c>
      <c r="C5495" s="122" t="str">
        <f>IFERROR(__xludf.DUMMYFUNCTION("""COMPUTED_VALUE"""),"CAFE")</f>
        <v>CAFE</v>
      </c>
      <c r="D5495" s="122" t="str">
        <f>IFERROR(__xludf.DUMMYFUNCTION("""COMPUTED_VALUE"""),"Cafe Cloud")</f>
        <v>Cafe Cloud</v>
      </c>
      <c r="E5495" s="122">
        <f>IFERROR(__xludf.DUMMYFUNCTION("""COMPUTED_VALUE"""),100.68)</f>
        <v>100.68</v>
      </c>
      <c r="F5495" s="122">
        <f>IFERROR(__xludf.DUMMYFUNCTION("""COMPUTED_VALUE"""),-0.0041)</f>
        <v>-0.0041</v>
      </c>
    </row>
    <row r="5496">
      <c r="A5496" s="131">
        <f>IFERROR(__xludf.DUMMYFUNCTION("""COMPUTED_VALUE"""),46187.52275462963)</f>
        <v>46187.52275</v>
      </c>
      <c r="B5496" s="126">
        <f>IFERROR(__xludf.DUMMYFUNCTION("""COMPUTED_VALUE"""),46187.0)</f>
        <v>46187</v>
      </c>
      <c r="C5496" s="122" t="str">
        <f>IFERROR(__xludf.DUMMYFUNCTION("""COMPUTED_VALUE"""),"BAKE")</f>
        <v>BAKE</v>
      </c>
      <c r="D5496" s="122" t="str">
        <f>IFERROR(__xludf.DUMMYFUNCTION("""COMPUTED_VALUE"""),"BakeHouse")</f>
        <v>BakeHouse</v>
      </c>
      <c r="E5496" s="122">
        <f>IFERROR(__xludf.DUMMYFUNCTION("""COMPUTED_VALUE"""),101.96)</f>
        <v>101.96</v>
      </c>
      <c r="F5496" s="122">
        <f>IFERROR(__xludf.DUMMYFUNCTION("""COMPUTED_VALUE"""),-0.0027)</f>
        <v>-0.0027</v>
      </c>
    </row>
    <row r="5497">
      <c r="A5497" s="131">
        <f>IFERROR(__xludf.DUMMYFUNCTION("""COMPUTED_VALUE"""),46187.52275462963)</f>
        <v>46187.52275</v>
      </c>
      <c r="B5497" s="126">
        <f>IFERROR(__xludf.DUMMYFUNCTION("""COMPUTED_VALUE"""),46187.0)</f>
        <v>46187</v>
      </c>
      <c r="C5497" s="122" t="str">
        <f>IFERROR(__xludf.DUMMYFUNCTION("""COMPUTED_VALUE"""),"OILX")</f>
        <v>OILX</v>
      </c>
      <c r="D5497" s="122" t="str">
        <f>IFERROR(__xludf.DUMMYFUNCTION("""COMPUTED_VALUE"""),"OilMax Energy")</f>
        <v>OilMax Energy</v>
      </c>
      <c r="E5497" s="122">
        <f>IFERROR(__xludf.DUMMYFUNCTION("""COMPUTED_VALUE"""),128.39)</f>
        <v>128.39</v>
      </c>
      <c r="F5497" s="122">
        <f>IFERROR(__xludf.DUMMYFUNCTION("""COMPUTED_VALUE"""),0.0103)</f>
        <v>0.0103</v>
      </c>
    </row>
    <row r="5498">
      <c r="A5498" s="131">
        <f>IFERROR(__xludf.DUMMYFUNCTION("""COMPUTED_VALUE"""),46187.52275462963)</f>
        <v>46187.52275</v>
      </c>
      <c r="B5498" s="126">
        <f>IFERROR(__xludf.DUMMYFUNCTION("""COMPUTED_VALUE"""),46187.0)</f>
        <v>46187</v>
      </c>
      <c r="C5498" s="122" t="str">
        <f>IFERROR(__xludf.DUMMYFUNCTION("""COMPUTED_VALUE"""),"SOLR")</f>
        <v>SOLR</v>
      </c>
      <c r="D5498" s="122" t="str">
        <f>IFERROR(__xludf.DUMMYFUNCTION("""COMPUTED_VALUE"""),"SolarSpark")</f>
        <v>SolarSpark</v>
      </c>
      <c r="E5498" s="122">
        <f>IFERROR(__xludf.DUMMYFUNCTION("""COMPUTED_VALUE"""),99.09)</f>
        <v>99.09</v>
      </c>
      <c r="F5498" s="122">
        <f>IFERROR(__xludf.DUMMYFUNCTION("""COMPUTED_VALUE"""),0.002)</f>
        <v>0.002</v>
      </c>
    </row>
    <row r="5499">
      <c r="A5499" s="131">
        <f>IFERROR(__xludf.DUMMYFUNCTION("""COMPUTED_VALUE"""),46187.52275462963)</f>
        <v>46187.52275</v>
      </c>
      <c r="B5499" s="126">
        <f>IFERROR(__xludf.DUMMYFUNCTION("""COMPUTED_VALUE"""),46187.0)</f>
        <v>46187</v>
      </c>
      <c r="C5499" s="122" t="str">
        <f>IFERROR(__xludf.DUMMYFUNCTION("""COMPUTED_VALUE"""),"BATT")</f>
        <v>BATT</v>
      </c>
      <c r="D5499" s="122" t="str">
        <f>IFERROR(__xludf.DUMMYFUNCTION("""COMPUTED_VALUE"""),"BatteryBox")</f>
        <v>BatteryBox</v>
      </c>
      <c r="E5499" s="122">
        <f>IFERROR(__xludf.DUMMYFUNCTION("""COMPUTED_VALUE"""),120.71)</f>
        <v>120.71</v>
      </c>
      <c r="F5499" s="122">
        <f>IFERROR(__xludf.DUMMYFUNCTION("""COMPUTED_VALUE"""),0.0056)</f>
        <v>0.0056</v>
      </c>
    </row>
    <row r="5500">
      <c r="A5500" s="131">
        <f>IFERROR(__xludf.DUMMYFUNCTION("""COMPUTED_VALUE"""),46187.52275462963)</f>
        <v>46187.52275</v>
      </c>
      <c r="B5500" s="126">
        <f>IFERROR(__xludf.DUMMYFUNCTION("""COMPUTED_VALUE"""),46187.0)</f>
        <v>46187</v>
      </c>
      <c r="C5500" s="122" t="str">
        <f>IFERROR(__xludf.DUMMYFUNCTION("""COMPUTED_VALUE"""),"WIND")</f>
        <v>WIND</v>
      </c>
      <c r="D5500" s="122" t="str">
        <f>IFERROR(__xludf.DUMMYFUNCTION("""COMPUTED_VALUE"""),"WindWorks")</f>
        <v>WindWorks</v>
      </c>
      <c r="E5500" s="122">
        <f>IFERROR(__xludf.DUMMYFUNCTION("""COMPUTED_VALUE"""),87.9)</f>
        <v>87.9</v>
      </c>
      <c r="F5500" s="122">
        <f>IFERROR(__xludf.DUMMYFUNCTION("""COMPUTED_VALUE"""),0.0034)</f>
        <v>0.0034</v>
      </c>
    </row>
    <row r="5501">
      <c r="A5501" s="131">
        <f>IFERROR(__xludf.DUMMYFUNCTION("""COMPUTED_VALUE"""),46187.52275462963)</f>
        <v>46187.52275</v>
      </c>
      <c r="B5501" s="126">
        <f>IFERROR(__xludf.DUMMYFUNCTION("""COMPUTED_VALUE"""),46187.0)</f>
        <v>46187</v>
      </c>
      <c r="C5501" s="122" t="str">
        <f>IFERROR(__xludf.DUMMYFUNCTION("""COMPUTED_VALUE"""),"GRID")</f>
        <v>GRID</v>
      </c>
      <c r="D5501" s="122" t="str">
        <f>IFERROR(__xludf.DUMMYFUNCTION("""COMPUTED_VALUE"""),"GridPower")</f>
        <v>GridPower</v>
      </c>
      <c r="E5501" s="122">
        <f>IFERROR(__xludf.DUMMYFUNCTION("""COMPUTED_VALUE"""),136.37)</f>
        <v>136.37</v>
      </c>
      <c r="F5501" s="122">
        <f>IFERROR(__xludf.DUMMYFUNCTION("""COMPUTED_VALUE"""),-0.0017)</f>
        <v>-0.0017</v>
      </c>
    </row>
    <row r="5502">
      <c r="A5502" s="131">
        <f>IFERROR(__xludf.DUMMYFUNCTION("""COMPUTED_VALUE"""),46187.52275462963)</f>
        <v>46187.52275</v>
      </c>
      <c r="B5502" s="126">
        <f>IFERROR(__xludf.DUMMYFUNCTION("""COMPUTED_VALUE"""),46187.0)</f>
        <v>46187</v>
      </c>
      <c r="C5502" s="122" t="str">
        <f>IFERROR(__xludf.DUMMYFUNCTION("""COMPUTED_VALUE"""),"HOME")</f>
        <v>HOME</v>
      </c>
      <c r="D5502" s="122" t="str">
        <f>IFERROR(__xludf.DUMMYFUNCTION("""COMPUTED_VALUE"""),"HomeHub")</f>
        <v>HomeHub</v>
      </c>
      <c r="E5502" s="122">
        <f>IFERROR(__xludf.DUMMYFUNCTION("""COMPUTED_VALUE"""),153.63)</f>
        <v>153.63</v>
      </c>
      <c r="F5502" s="122">
        <f>IFERROR(__xludf.DUMMYFUNCTION("""COMPUTED_VALUE"""),0.0035)</f>
        <v>0.0035</v>
      </c>
    </row>
    <row r="5503">
      <c r="A5503" s="131">
        <f>IFERROR(__xludf.DUMMYFUNCTION("""COMPUTED_VALUE"""),46187.52275462963)</f>
        <v>46187.52275</v>
      </c>
      <c r="B5503" s="126">
        <f>IFERROR(__xludf.DUMMYFUNCTION("""COMPUTED_VALUE"""),46187.0)</f>
        <v>46187</v>
      </c>
      <c r="C5503" s="122" t="str">
        <f>IFERROR(__xludf.DUMMYFUNCTION("""COMPUTED_VALUE"""),"RENT")</f>
        <v>RENT</v>
      </c>
      <c r="D5503" s="122" t="str">
        <f>IFERROR(__xludf.DUMMYFUNCTION("""COMPUTED_VALUE"""),"RentRight")</f>
        <v>RentRight</v>
      </c>
      <c r="E5503" s="122">
        <f>IFERROR(__xludf.DUMMYFUNCTION("""COMPUTED_VALUE"""),90.15)</f>
        <v>90.15</v>
      </c>
      <c r="F5503" s="122">
        <f>IFERROR(__xludf.DUMMYFUNCTION("""COMPUTED_VALUE"""),-0.0035)</f>
        <v>-0.0035</v>
      </c>
    </row>
    <row r="5504">
      <c r="A5504" s="131">
        <f>IFERROR(__xludf.DUMMYFUNCTION("""COMPUTED_VALUE"""),46187.52275462963)</f>
        <v>46187.52275</v>
      </c>
      <c r="B5504" s="126">
        <f>IFERROR(__xludf.DUMMYFUNCTION("""COMPUTED_VALUE"""),46187.0)</f>
        <v>46187</v>
      </c>
      <c r="C5504" s="122" t="str">
        <f>IFERROR(__xludf.DUMMYFUNCTION("""COMPUTED_VALUE"""),"MALL")</f>
        <v>MALL</v>
      </c>
      <c r="D5504" s="122" t="str">
        <f>IFERROR(__xludf.DUMMYFUNCTION("""COMPUTED_VALUE"""),"MegaMall")</f>
        <v>MegaMall</v>
      </c>
      <c r="E5504" s="122">
        <f>IFERROR(__xludf.DUMMYFUNCTION("""COMPUTED_VALUE"""),100.07)</f>
        <v>100.07</v>
      </c>
      <c r="F5504" s="122">
        <f>IFERROR(__xludf.DUMMYFUNCTION("""COMPUTED_VALUE"""),-0.0042)</f>
        <v>-0.0042</v>
      </c>
    </row>
    <row r="5505">
      <c r="A5505" s="131">
        <f>IFERROR(__xludf.DUMMYFUNCTION("""COMPUTED_VALUE"""),46187.52275462963)</f>
        <v>46187.52275</v>
      </c>
      <c r="B5505" s="126">
        <f>IFERROR(__xludf.DUMMYFUNCTION("""COMPUTED_VALUE"""),46187.0)</f>
        <v>46187</v>
      </c>
      <c r="C5505" s="122" t="str">
        <f>IFERROR(__xludf.DUMMYFUNCTION("""COMPUTED_VALUE"""),"HOTL")</f>
        <v>HOTL</v>
      </c>
      <c r="D5505" s="122" t="str">
        <f>IFERROR(__xludf.DUMMYFUNCTION("""COMPUTED_VALUE"""),"HotelHive")</f>
        <v>HotelHive</v>
      </c>
      <c r="E5505" s="122">
        <f>IFERROR(__xludf.DUMMYFUNCTION("""COMPUTED_VALUE"""),126.82)</f>
        <v>126.82</v>
      </c>
      <c r="F5505" s="122">
        <f>IFERROR(__xludf.DUMMYFUNCTION("""COMPUTED_VALUE"""),-0.0022)</f>
        <v>-0.0022</v>
      </c>
    </row>
    <row r="5506">
      <c r="A5506" s="131">
        <f>IFERROR(__xludf.DUMMYFUNCTION("""COMPUTED_VALUE"""),46187.52275462963)</f>
        <v>46187.52275</v>
      </c>
      <c r="B5506" s="126">
        <f>IFERROR(__xludf.DUMMYFUNCTION("""COMPUTED_VALUE"""),46187.0)</f>
        <v>46187</v>
      </c>
      <c r="C5506" s="122" t="str">
        <f>IFERROR(__xludf.DUMMYFUNCTION("""COMPUTED_VALUE"""),"LAND")</f>
        <v>LAND</v>
      </c>
      <c r="D5506" s="122" t="str">
        <f>IFERROR(__xludf.DUMMYFUNCTION("""COMPUTED_VALUE"""),"LandLink")</f>
        <v>LandLink</v>
      </c>
      <c r="E5506" s="122">
        <f>IFERROR(__xludf.DUMMYFUNCTION("""COMPUTED_VALUE"""),182.17)</f>
        <v>182.17</v>
      </c>
      <c r="F5506" s="122">
        <f>IFERROR(__xludf.DUMMYFUNCTION("""COMPUTED_VALUE"""),0.003)</f>
        <v>0.003</v>
      </c>
    </row>
    <row r="5507">
      <c r="A5507" s="131">
        <f>IFERROR(__xludf.DUMMYFUNCTION("""COMPUTED_VALUE"""),46187.52275462963)</f>
        <v>46187.52275</v>
      </c>
      <c r="B5507" s="126">
        <f>IFERROR(__xludf.DUMMYFUNCTION("""COMPUTED_VALUE"""),46187.0)</f>
        <v>46187</v>
      </c>
      <c r="C5507" s="122" t="str">
        <f>IFERROR(__xludf.DUMMYFUNCTION("""COMPUTED_VALUE"""),"CARS")</f>
        <v>CARS</v>
      </c>
      <c r="D5507" s="122" t="str">
        <f>IFERROR(__xludf.DUMMYFUNCTION("""COMPUTED_VALUE"""),"AutoArena")</f>
        <v>AutoArena</v>
      </c>
      <c r="E5507" s="122">
        <f>IFERROR(__xludf.DUMMYFUNCTION("""COMPUTED_VALUE"""),81.79)</f>
        <v>81.79</v>
      </c>
      <c r="F5507" s="122">
        <f>IFERROR(__xludf.DUMMYFUNCTION("""COMPUTED_VALUE"""),-0.0018)</f>
        <v>-0.0018</v>
      </c>
    </row>
    <row r="5508">
      <c r="A5508" s="131">
        <f>IFERROR(__xludf.DUMMYFUNCTION("""COMPUTED_VALUE"""),46187.52275462963)</f>
        <v>46187.52275</v>
      </c>
      <c r="B5508" s="126">
        <f>IFERROR(__xludf.DUMMYFUNCTION("""COMPUTED_VALUE"""),46187.0)</f>
        <v>46187</v>
      </c>
      <c r="C5508" s="122" t="str">
        <f>IFERROR(__xludf.DUMMYFUNCTION("""COMPUTED_VALUE"""),"EVGO")</f>
        <v>EVGO</v>
      </c>
      <c r="D5508" s="122" t="str">
        <f>IFERROR(__xludf.DUMMYFUNCTION("""COMPUTED_VALUE"""),"EVGo Motors")</f>
        <v>EVGo Motors</v>
      </c>
      <c r="E5508" s="122">
        <f>IFERROR(__xludf.DUMMYFUNCTION("""COMPUTED_VALUE"""),183.34)</f>
        <v>183.34</v>
      </c>
      <c r="F5508" s="122">
        <f>IFERROR(__xludf.DUMMYFUNCTION("""COMPUTED_VALUE"""),0.0021)</f>
        <v>0.0021</v>
      </c>
    </row>
    <row r="5509">
      <c r="A5509" s="131">
        <f>IFERROR(__xludf.DUMMYFUNCTION("""COMPUTED_VALUE"""),46187.52275462963)</f>
        <v>46187.52275</v>
      </c>
      <c r="B5509" s="126">
        <f>IFERROR(__xludf.DUMMYFUNCTION("""COMPUTED_VALUE"""),46187.0)</f>
        <v>46187</v>
      </c>
      <c r="C5509" s="122" t="str">
        <f>IFERROR(__xludf.DUMMYFUNCTION("""COMPUTED_VALUE"""),"TIRE")</f>
        <v>TIRE</v>
      </c>
      <c r="D5509" s="122" t="str">
        <f>IFERROR(__xludf.DUMMYFUNCTION("""COMPUTED_VALUE"""),"TireTown")</f>
        <v>TireTown</v>
      </c>
      <c r="E5509" s="122">
        <f>IFERROR(__xludf.DUMMYFUNCTION("""COMPUTED_VALUE"""),95.98)</f>
        <v>95.98</v>
      </c>
      <c r="F5509" s="122">
        <f>IFERROR(__xludf.DUMMYFUNCTION("""COMPUTED_VALUE"""),-0.003)</f>
        <v>-0.003</v>
      </c>
    </row>
    <row r="5510">
      <c r="A5510" s="131">
        <f>IFERROR(__xludf.DUMMYFUNCTION("""COMPUTED_VALUE"""),46187.52275462963)</f>
        <v>46187.52275</v>
      </c>
      <c r="B5510" s="126">
        <f>IFERROR(__xludf.DUMMYFUNCTION("""COMPUTED_VALUE"""),46187.0)</f>
        <v>46187</v>
      </c>
      <c r="C5510" s="122" t="str">
        <f>IFERROR(__xludf.DUMMYFUNCTION("""COMPUTED_VALUE"""),"BIKE")</f>
        <v>BIKE</v>
      </c>
      <c r="D5510" s="122" t="str">
        <f>IFERROR(__xludf.DUMMYFUNCTION("""COMPUTED_VALUE"""),"BikeBox")</f>
        <v>BikeBox</v>
      </c>
      <c r="E5510" s="122">
        <f>IFERROR(__xludf.DUMMYFUNCTION("""COMPUTED_VALUE"""),53.45)</f>
        <v>53.45</v>
      </c>
      <c r="F5510" s="122">
        <f>IFERROR(__xludf.DUMMYFUNCTION("""COMPUTED_VALUE"""),0.0013)</f>
        <v>0.0013</v>
      </c>
    </row>
    <row r="5511">
      <c r="A5511" s="131">
        <f>IFERROR(__xludf.DUMMYFUNCTION("""COMPUTED_VALUE"""),46187.52275462963)</f>
        <v>46187.52275</v>
      </c>
      <c r="B5511" s="126">
        <f>IFERROR(__xludf.DUMMYFUNCTION("""COMPUTED_VALUE"""),46187.0)</f>
        <v>46187</v>
      </c>
      <c r="C5511" s="122" t="str">
        <f>IFERROR(__xludf.DUMMYFUNCTION("""COMPUTED_VALUE"""),"WASH")</f>
        <v>WASH</v>
      </c>
      <c r="D5511" s="122" t="str">
        <f>IFERROR(__xludf.DUMMYFUNCTION("""COMPUTED_VALUE"""),"CarWash Co")</f>
        <v>CarWash Co</v>
      </c>
      <c r="E5511" s="122">
        <f>IFERROR(__xludf.DUMMYFUNCTION("""COMPUTED_VALUE"""),118.69)</f>
        <v>118.69</v>
      </c>
      <c r="F5511" s="122">
        <f>IFERROR(__xludf.DUMMYFUNCTION("""COMPUTED_VALUE"""),-0.0019)</f>
        <v>-0.0019</v>
      </c>
    </row>
    <row r="5512">
      <c r="A5512" s="131">
        <f>IFERROR(__xludf.DUMMYFUNCTION("""COMPUTED_VALUE"""),46187.52275462963)</f>
        <v>46187.52275</v>
      </c>
      <c r="B5512" s="126">
        <f>IFERROR(__xludf.DUMMYFUNCTION("""COMPUTED_VALUE"""),46187.0)</f>
        <v>46187</v>
      </c>
      <c r="C5512" s="122" t="str">
        <f>IFERROR(__xludf.DUMMYFUNCTION("""COMPUTED_VALUE"""),"GBND")</f>
        <v>GBND</v>
      </c>
      <c r="D5512" s="122" t="str">
        <f>IFERROR(__xludf.DUMMYFUNCTION("""COMPUTED_VALUE"""),"Classroom Government Bond")</f>
        <v>Classroom Government Bond</v>
      </c>
      <c r="E5512" s="122">
        <f>IFERROR(__xludf.DUMMYFUNCTION("""COMPUTED_VALUE"""),100.98)</f>
        <v>100.98</v>
      </c>
      <c r="F5512" s="122">
        <f>IFERROR(__xludf.DUMMYFUNCTION("""COMPUTED_VALUE"""),-3.0E-4)</f>
        <v>-0.0003</v>
      </c>
    </row>
    <row r="5513">
      <c r="A5513" s="131">
        <f>IFERROR(__xludf.DUMMYFUNCTION("""COMPUTED_VALUE"""),46187.52275462963)</f>
        <v>46187.52275</v>
      </c>
      <c r="B5513" s="126">
        <f>IFERROR(__xludf.DUMMYFUNCTION("""COMPUTED_VALUE"""),46187.0)</f>
        <v>46187</v>
      </c>
      <c r="C5513" s="122" t="str">
        <f>IFERROR(__xludf.DUMMYFUNCTION("""COMPUTED_VALUE"""),"SBND")</f>
        <v>SBND</v>
      </c>
      <c r="D5513" s="122" t="str">
        <f>IFERROR(__xludf.DUMMYFUNCTION("""COMPUTED_VALUE"""),"School Savings Bond")</f>
        <v>School Savings Bond</v>
      </c>
      <c r="E5513" s="122">
        <f>IFERROR(__xludf.DUMMYFUNCTION("""COMPUTED_VALUE"""),99.42)</f>
        <v>99.42</v>
      </c>
      <c r="F5513" s="122">
        <f>IFERROR(__xludf.DUMMYFUNCTION("""COMPUTED_VALUE"""),-1.0E-4)</f>
        <v>-0.0001</v>
      </c>
    </row>
    <row r="5514">
      <c r="A5514" s="131">
        <f>IFERROR(__xludf.DUMMYFUNCTION("""COMPUTED_VALUE"""),46187.52275462963)</f>
        <v>46187.52275</v>
      </c>
      <c r="B5514" s="126">
        <f>IFERROR(__xludf.DUMMYFUNCTION("""COMPUTED_VALUE"""),46187.0)</f>
        <v>46187</v>
      </c>
      <c r="C5514" s="122" t="str">
        <f>IFERROR(__xludf.DUMMYFUNCTION("""COMPUTED_VALUE"""),"CBND")</f>
        <v>CBND</v>
      </c>
      <c r="D5514" s="122" t="str">
        <f>IFERROR(__xludf.DUMMYFUNCTION("""COMPUTED_VALUE"""),"Corporate Classroom Bond")</f>
        <v>Corporate Classroom Bond</v>
      </c>
      <c r="E5514" s="122">
        <f>IFERROR(__xludf.DUMMYFUNCTION("""COMPUTED_VALUE"""),97.81)</f>
        <v>97.81</v>
      </c>
      <c r="F5514" s="122">
        <f>IFERROR(__xludf.DUMMYFUNCTION("""COMPUTED_VALUE"""),5.0E-4)</f>
        <v>0.0005</v>
      </c>
    </row>
    <row r="5515">
      <c r="A5515" s="131">
        <f>IFERROR(__xludf.DUMMYFUNCTION("""COMPUTED_VALUE"""),46187.52275462963)</f>
        <v>46187.52275</v>
      </c>
      <c r="B5515" s="126">
        <f>IFERROR(__xludf.DUMMYFUNCTION("""COMPUTED_VALUE"""),46187.0)</f>
        <v>46187</v>
      </c>
      <c r="C5515" s="122" t="str">
        <f>IFERROR(__xludf.DUMMYFUNCTION("""COMPUTED_VALUE"""),"TBIL")</f>
        <v>TBIL</v>
      </c>
      <c r="D5515" s="122" t="str">
        <f>IFERROR(__xludf.DUMMYFUNCTION("""COMPUTED_VALUE"""),"Treasury Bill")</f>
        <v>Treasury Bill</v>
      </c>
      <c r="E5515" s="122">
        <f>IFERROR(__xludf.DUMMYFUNCTION("""COMPUTED_VALUE"""),98.08)</f>
        <v>98.08</v>
      </c>
      <c r="F5515" s="122">
        <f>IFERROR(__xludf.DUMMYFUNCTION("""COMPUTED_VALUE"""),0.0)</f>
        <v>0</v>
      </c>
    </row>
    <row r="5516">
      <c r="A5516" s="131">
        <f>IFERROR(__xludf.DUMMYFUNCTION("""COMPUTED_VALUE"""),46187.52275462963)</f>
        <v>46187.52275</v>
      </c>
      <c r="B5516" s="126">
        <f>IFERROR(__xludf.DUMMYFUNCTION("""COMPUTED_VALUE"""),46187.0)</f>
        <v>46187</v>
      </c>
      <c r="C5516" s="122" t="str">
        <f>IFERROR(__xludf.DUMMYFUNCTION("""COMPUTED_VALUE"""),"IBND")</f>
        <v>IBND</v>
      </c>
      <c r="D5516" s="122" t="str">
        <f>IFERROR(__xludf.DUMMYFUNCTION("""COMPUTED_VALUE"""),"Inflation Protected Bond")</f>
        <v>Inflation Protected Bond</v>
      </c>
      <c r="E5516" s="122">
        <f>IFERROR(__xludf.DUMMYFUNCTION("""COMPUTED_VALUE"""),100.83)</f>
        <v>100.83</v>
      </c>
      <c r="F5516" s="122">
        <f>IFERROR(__xludf.DUMMYFUNCTION("""COMPUTED_VALUE"""),5.0E-4)</f>
        <v>0.0005</v>
      </c>
    </row>
    <row r="5517">
      <c r="A5517" s="131">
        <f>IFERROR(__xludf.DUMMYFUNCTION("""COMPUTED_VALUE"""),46187.52380787037)</f>
        <v>46187.52381</v>
      </c>
      <c r="B5517" s="126">
        <f>IFERROR(__xludf.DUMMYFUNCTION("""COMPUTED_VALUE"""),46187.0)</f>
        <v>46187</v>
      </c>
      <c r="C5517" s="130">
        <f>IFERROR(__xludf.DUMMYFUNCTION("""COMPUTED_VALUE"""),0.5238078703703704)</f>
        <v>0.5238078704</v>
      </c>
      <c r="D5517" s="122" t="str">
        <f>IFERROR(__xludf.DUMMYFUNCTION("""COMPUTED_VALUE"""),"SNAX")</f>
        <v>SNAX</v>
      </c>
      <c r="E5517" s="122" t="str">
        <f>IFERROR(__xludf.DUMMYFUNCTION("""COMPUTED_VALUE"""),"MICA Snacks")</f>
        <v>MICA Snacks</v>
      </c>
      <c r="F5517" s="122" t="str">
        <f>IFERROR(__xludf.DUMMYFUNCTION("""COMPUTED_VALUE"""),"Consumer Goods")</f>
        <v>Consumer Goods</v>
      </c>
    </row>
    <row r="5518">
      <c r="A5518" s="131">
        <f>IFERROR(__xludf.DUMMYFUNCTION("""COMPUTED_VALUE"""),46187.52380787037)</f>
        <v>46187.52381</v>
      </c>
      <c r="B5518" s="126">
        <f>IFERROR(__xludf.DUMMYFUNCTION("""COMPUTED_VALUE"""),46187.0)</f>
        <v>46187</v>
      </c>
      <c r="C5518" s="130">
        <f>IFERROR(__xludf.DUMMYFUNCTION("""COMPUTED_VALUE"""),0.5238078703703704)</f>
        <v>0.5238078704</v>
      </c>
      <c r="D5518" s="122" t="str">
        <f>IFERROR(__xludf.DUMMYFUNCTION("""COMPUTED_VALUE"""),"RAMN")</f>
        <v>RAMN</v>
      </c>
      <c r="E5518" s="122" t="str">
        <f>IFERROR(__xludf.DUMMYFUNCTION("""COMPUTED_VALUE"""),"Ramen Republic")</f>
        <v>Ramen Republic</v>
      </c>
      <c r="F5518" s="122" t="str">
        <f>IFERROR(__xludf.DUMMYFUNCTION("""COMPUTED_VALUE"""),"Food")</f>
        <v>Food</v>
      </c>
    </row>
    <row r="5519">
      <c r="A5519" s="131">
        <f>IFERROR(__xludf.DUMMYFUNCTION("""COMPUTED_VALUE"""),46187.52380787037)</f>
        <v>46187.52381</v>
      </c>
      <c r="B5519" s="126">
        <f>IFERROR(__xludf.DUMMYFUNCTION("""COMPUTED_VALUE"""),46187.0)</f>
        <v>46187</v>
      </c>
      <c r="C5519" s="130">
        <f>IFERROR(__xludf.DUMMYFUNCTION("""COMPUTED_VALUE"""),0.5238078703703704)</f>
        <v>0.5238078704</v>
      </c>
      <c r="D5519" s="122" t="str">
        <f>IFERROR(__xludf.DUMMYFUNCTION("""COMPUTED_VALUE"""),"COLA")</f>
        <v>COLA</v>
      </c>
      <c r="E5519" s="122" t="str">
        <f>IFERROR(__xludf.DUMMYFUNCTION("""COMPUTED_VALUE"""),"K-Pop Cola")</f>
        <v>K-Pop Cola</v>
      </c>
      <c r="F5519" s="122" t="str">
        <f>IFERROR(__xludf.DUMMYFUNCTION("""COMPUTED_VALUE"""),"Beverage")</f>
        <v>Beverage</v>
      </c>
    </row>
    <row r="5520">
      <c r="A5520" s="131">
        <f>IFERROR(__xludf.DUMMYFUNCTION("""COMPUTED_VALUE"""),46187.52380787037)</f>
        <v>46187.52381</v>
      </c>
      <c r="B5520" s="126">
        <f>IFERROR(__xludf.DUMMYFUNCTION("""COMPUTED_VALUE"""),46187.0)</f>
        <v>46187</v>
      </c>
      <c r="C5520" s="130">
        <f>IFERROR(__xludf.DUMMYFUNCTION("""COMPUTED_VALUE"""),0.5238078703703704)</f>
        <v>0.5238078704</v>
      </c>
      <c r="D5520" s="122" t="str">
        <f>IFERROR(__xludf.DUMMYFUNCTION("""COMPUTED_VALUE"""),"CHIP")</f>
        <v>CHIP</v>
      </c>
      <c r="E5520" s="122" t="str">
        <f>IFERROR(__xludf.DUMMYFUNCTION("""COMPUTED_VALUE"""),"Chip Empire")</f>
        <v>Chip Empire</v>
      </c>
      <c r="F5520" s="122" t="str">
        <f>IFERROR(__xludf.DUMMYFUNCTION("""COMPUTED_VALUE"""),"Consumer Goods")</f>
        <v>Consumer Goods</v>
      </c>
    </row>
    <row r="5521">
      <c r="A5521" s="131">
        <f>IFERROR(__xludf.DUMMYFUNCTION("""COMPUTED_VALUE"""),46187.52380787037)</f>
        <v>46187.52381</v>
      </c>
      <c r="B5521" s="126">
        <f>IFERROR(__xludf.DUMMYFUNCTION("""COMPUTED_VALUE"""),46187.0)</f>
        <v>46187</v>
      </c>
      <c r="C5521" s="130">
        <f>IFERROR(__xludf.DUMMYFUNCTION("""COMPUTED_VALUE"""),0.5238078703703704)</f>
        <v>0.5238078704</v>
      </c>
      <c r="D5521" s="122" t="str">
        <f>IFERROR(__xludf.DUMMYFUNCTION("""COMPUTED_VALUE"""),"CAND")</f>
        <v>CAND</v>
      </c>
      <c r="E5521" s="122" t="str">
        <f>IFERROR(__xludf.DUMMYFUNCTION("""COMPUTED_VALUE"""),"Candy Capital")</f>
        <v>Candy Capital</v>
      </c>
      <c r="F5521" s="122" t="str">
        <f>IFERROR(__xludf.DUMMYFUNCTION("""COMPUTED_VALUE"""),"Consumer Goods")</f>
        <v>Consumer Goods</v>
      </c>
    </row>
    <row r="5522">
      <c r="A5522" s="131">
        <f>IFERROR(__xludf.DUMMYFUNCTION("""COMPUTED_VALUE"""),46187.52380787037)</f>
        <v>46187.52381</v>
      </c>
      <c r="B5522" s="126">
        <f>IFERROR(__xludf.DUMMYFUNCTION("""COMPUTED_VALUE"""),46187.0)</f>
        <v>46187</v>
      </c>
      <c r="C5522" s="130">
        <f>IFERROR(__xludf.DUMMYFUNCTION("""COMPUTED_VALUE"""),0.5238078703703704)</f>
        <v>0.5238078704</v>
      </c>
      <c r="D5522" s="122" t="str">
        <f>IFERROR(__xludf.DUMMYFUNCTION("""COMPUTED_VALUE"""),"TECH")</f>
        <v>TECH</v>
      </c>
      <c r="E5522" s="122" t="str">
        <f>IFERROR(__xludf.DUMMYFUNCTION("""COMPUTED_VALUE"""),"Dragon Tech")</f>
        <v>Dragon Tech</v>
      </c>
      <c r="F5522" s="122" t="str">
        <f>IFERROR(__xludf.DUMMYFUNCTION("""COMPUTED_VALUE"""),"Technology")</f>
        <v>Technology</v>
      </c>
    </row>
    <row r="5523">
      <c r="A5523" s="131">
        <f>IFERROR(__xludf.DUMMYFUNCTION("""COMPUTED_VALUE"""),46187.52380787037)</f>
        <v>46187.52381</v>
      </c>
      <c r="B5523" s="126">
        <f>IFERROR(__xludf.DUMMYFUNCTION("""COMPUTED_VALUE"""),46187.0)</f>
        <v>46187</v>
      </c>
      <c r="C5523" s="130">
        <f>IFERROR(__xludf.DUMMYFUNCTION("""COMPUTED_VALUE"""),0.5238078703703704)</f>
        <v>0.5238078704</v>
      </c>
      <c r="D5523" s="122" t="str">
        <f>IFERROR(__xludf.DUMMYFUNCTION("""COMPUTED_VALUE"""),"AIBO")</f>
        <v>AIBO</v>
      </c>
      <c r="E5523" s="122" t="str">
        <f>IFERROR(__xludf.DUMMYFUNCTION("""COMPUTED_VALUE"""),"Homework AI")</f>
        <v>Homework AI</v>
      </c>
      <c r="F5523" s="122" t="str">
        <f>IFERROR(__xludf.DUMMYFUNCTION("""COMPUTED_VALUE"""),"Technology")</f>
        <v>Technology</v>
      </c>
    </row>
    <row r="5524">
      <c r="A5524" s="131">
        <f>IFERROR(__xludf.DUMMYFUNCTION("""COMPUTED_VALUE"""),46187.52380787037)</f>
        <v>46187.52381</v>
      </c>
      <c r="B5524" s="126">
        <f>IFERROR(__xludf.DUMMYFUNCTION("""COMPUTED_VALUE"""),46187.0)</f>
        <v>46187</v>
      </c>
      <c r="C5524" s="130">
        <f>IFERROR(__xludf.DUMMYFUNCTION("""COMPUTED_VALUE"""),0.5238078703703704)</f>
        <v>0.5238078704</v>
      </c>
      <c r="D5524" s="122" t="str">
        <f>IFERROR(__xludf.DUMMYFUNCTION("""COMPUTED_VALUE"""),"GAME")</f>
        <v>GAME</v>
      </c>
      <c r="E5524" s="122" t="str">
        <f>IFERROR(__xludf.DUMMYFUNCTION("""COMPUTED_VALUE"""),"GameBox Media")</f>
        <v>GameBox Media</v>
      </c>
      <c r="F5524" s="122" t="str">
        <f>IFERROR(__xludf.DUMMYFUNCTION("""COMPUTED_VALUE"""),"Entertainment")</f>
        <v>Entertainment</v>
      </c>
    </row>
    <row r="5525">
      <c r="A5525" s="131">
        <f>IFERROR(__xludf.DUMMYFUNCTION("""COMPUTED_VALUE"""),46187.52380787037)</f>
        <v>46187.52381</v>
      </c>
      <c r="B5525" s="126">
        <f>IFERROR(__xludf.DUMMYFUNCTION("""COMPUTED_VALUE"""),46187.0)</f>
        <v>46187</v>
      </c>
      <c r="C5525" s="130">
        <f>IFERROR(__xludf.DUMMYFUNCTION("""COMPUTED_VALUE"""),0.5238078703703704)</f>
        <v>0.5238078704</v>
      </c>
      <c r="D5525" s="122" t="str">
        <f>IFERROR(__xludf.DUMMYFUNCTION("""COMPUTED_VALUE"""),"VRSE")</f>
        <v>VRSE</v>
      </c>
      <c r="E5525" s="122" t="str">
        <f>IFERROR(__xludf.DUMMYFUNCTION("""COMPUTED_VALUE"""),"VerseVR")</f>
        <v>VerseVR</v>
      </c>
      <c r="F5525" s="122" t="str">
        <f>IFERROR(__xludf.DUMMYFUNCTION("""COMPUTED_VALUE"""),"Technology")</f>
        <v>Technology</v>
      </c>
    </row>
    <row r="5526">
      <c r="A5526" s="131">
        <f>IFERROR(__xludf.DUMMYFUNCTION("""COMPUTED_VALUE"""),46187.52380787037)</f>
        <v>46187.52381</v>
      </c>
      <c r="B5526" s="126">
        <f>IFERROR(__xludf.DUMMYFUNCTION("""COMPUTED_VALUE"""),46187.0)</f>
        <v>46187</v>
      </c>
      <c r="C5526" s="130">
        <f>IFERROR(__xludf.DUMMYFUNCTION("""COMPUTED_VALUE"""),0.5238078703703704)</f>
        <v>0.5238078704</v>
      </c>
      <c r="D5526" s="122" t="str">
        <f>IFERROR(__xludf.DUMMYFUNCTION("""COMPUTED_VALUE"""),"BYTE")</f>
        <v>BYTE</v>
      </c>
      <c r="E5526" s="122" t="str">
        <f>IFERROR(__xludf.DUMMYFUNCTION("""COMPUTED_VALUE"""),"ByteWorks")</f>
        <v>ByteWorks</v>
      </c>
      <c r="F5526" s="122" t="str">
        <f>IFERROR(__xludf.DUMMYFUNCTION("""COMPUTED_VALUE"""),"Technology")</f>
        <v>Technology</v>
      </c>
    </row>
    <row r="5527">
      <c r="A5527" s="131">
        <f>IFERROR(__xludf.DUMMYFUNCTION("""COMPUTED_VALUE"""),46187.52380787037)</f>
        <v>46187.52381</v>
      </c>
      <c r="B5527" s="126">
        <f>IFERROR(__xludf.DUMMYFUNCTION("""COMPUTED_VALUE"""),46187.0)</f>
        <v>46187</v>
      </c>
      <c r="C5527" s="130">
        <f>IFERROR(__xludf.DUMMYFUNCTION("""COMPUTED_VALUE"""),0.5238078703703704)</f>
        <v>0.5238078704</v>
      </c>
      <c r="D5527" s="122" t="str">
        <f>IFERROR(__xludf.DUMMYFUNCTION("""COMPUTED_VALUE"""),"BANK")</f>
        <v>BANK</v>
      </c>
      <c r="E5527" s="122" t="str">
        <f>IFERROR(__xludf.DUMMYFUNCTION("""COMPUTED_VALUE"""),"Tiger Bank")</f>
        <v>Tiger Bank</v>
      </c>
      <c r="F5527" s="122" t="str">
        <f>IFERROR(__xludf.DUMMYFUNCTION("""COMPUTED_VALUE"""),"Finance")</f>
        <v>Finance</v>
      </c>
    </row>
    <row r="5528">
      <c r="A5528" s="131">
        <f>IFERROR(__xludf.DUMMYFUNCTION("""COMPUTED_VALUE"""),46187.52380787037)</f>
        <v>46187.52381</v>
      </c>
      <c r="B5528" s="126">
        <f>IFERROR(__xludf.DUMMYFUNCTION("""COMPUTED_VALUE"""),46187.0)</f>
        <v>46187</v>
      </c>
      <c r="C5528" s="130">
        <f>IFERROR(__xludf.DUMMYFUNCTION("""COMPUTED_VALUE"""),0.5238078703703704)</f>
        <v>0.5238078704</v>
      </c>
      <c r="D5528" s="122" t="str">
        <f>IFERROR(__xludf.DUMMYFUNCTION("""COMPUTED_VALUE"""),"CRED")</f>
        <v>CRED</v>
      </c>
      <c r="E5528" s="122" t="str">
        <f>IFERROR(__xludf.DUMMYFUNCTION("""COMPUTED_VALUE"""),"Credit Castle")</f>
        <v>Credit Castle</v>
      </c>
      <c r="F5528" s="122" t="str">
        <f>IFERROR(__xludf.DUMMYFUNCTION("""COMPUTED_VALUE"""),"Finance")</f>
        <v>Finance</v>
      </c>
    </row>
    <row r="5529">
      <c r="A5529" s="131">
        <f>IFERROR(__xludf.DUMMYFUNCTION("""COMPUTED_VALUE"""),46187.52380787037)</f>
        <v>46187.52381</v>
      </c>
      <c r="B5529" s="126">
        <f>IFERROR(__xludf.DUMMYFUNCTION("""COMPUTED_VALUE"""),46187.0)</f>
        <v>46187</v>
      </c>
      <c r="C5529" s="130">
        <f>IFERROR(__xludf.DUMMYFUNCTION("""COMPUTED_VALUE"""),0.5238078703703704)</f>
        <v>0.5238078704</v>
      </c>
      <c r="D5529" s="122" t="str">
        <f>IFERROR(__xludf.DUMMYFUNCTION("""COMPUTED_VALUE"""),"BOND")</f>
        <v>BOND</v>
      </c>
      <c r="E5529" s="122" t="str">
        <f>IFERROR(__xludf.DUMMYFUNCTION("""COMPUTED_VALUE"""),"BondBridge")</f>
        <v>BondBridge</v>
      </c>
      <c r="F5529" s="122" t="str">
        <f>IFERROR(__xludf.DUMMYFUNCTION("""COMPUTED_VALUE"""),"Finance")</f>
        <v>Finance</v>
      </c>
    </row>
    <row r="5530">
      <c r="A5530" s="131">
        <f>IFERROR(__xludf.DUMMYFUNCTION("""COMPUTED_VALUE"""),46187.52380787037)</f>
        <v>46187.52381</v>
      </c>
      <c r="B5530" s="126">
        <f>IFERROR(__xludf.DUMMYFUNCTION("""COMPUTED_VALUE"""),46187.0)</f>
        <v>46187</v>
      </c>
      <c r="C5530" s="130">
        <f>IFERROR(__xludf.DUMMYFUNCTION("""COMPUTED_VALUE"""),0.5238078703703704)</f>
        <v>0.5238078704</v>
      </c>
      <c r="D5530" s="122" t="str">
        <f>IFERROR(__xludf.DUMMYFUNCTION("""COMPUTED_VALUE"""),"INSR")</f>
        <v>INSR</v>
      </c>
      <c r="E5530" s="122" t="str">
        <f>IFERROR(__xludf.DUMMYFUNCTION("""COMPUTED_VALUE"""),"Shield Insurance")</f>
        <v>Shield Insurance</v>
      </c>
      <c r="F5530" s="122" t="str">
        <f>IFERROR(__xludf.DUMMYFUNCTION("""COMPUTED_VALUE"""),"Finance")</f>
        <v>Finance</v>
      </c>
    </row>
    <row r="5531">
      <c r="A5531" s="131">
        <f>IFERROR(__xludf.DUMMYFUNCTION("""COMPUTED_VALUE"""),46187.52380787037)</f>
        <v>46187.52381</v>
      </c>
      <c r="B5531" s="126">
        <f>IFERROR(__xludf.DUMMYFUNCTION("""COMPUTED_VALUE"""),46187.0)</f>
        <v>46187</v>
      </c>
      <c r="C5531" s="130">
        <f>IFERROR(__xludf.DUMMYFUNCTION("""COMPUTED_VALUE"""),0.5238078703703704)</f>
        <v>0.5238078704</v>
      </c>
      <c r="D5531" s="122" t="str">
        <f>IFERROR(__xludf.DUMMYFUNCTION("""COMPUTED_VALUE"""),"LOAN")</f>
        <v>LOAN</v>
      </c>
      <c r="E5531" s="122" t="str">
        <f>IFERROR(__xludf.DUMMYFUNCTION("""COMPUTED_VALUE"""),"LoanLab")</f>
        <v>LoanLab</v>
      </c>
      <c r="F5531" s="122" t="str">
        <f>IFERROR(__xludf.DUMMYFUNCTION("""COMPUTED_VALUE"""),"Finance")</f>
        <v>Finance</v>
      </c>
    </row>
    <row r="5532">
      <c r="A5532" s="131">
        <f>IFERROR(__xludf.DUMMYFUNCTION("""COMPUTED_VALUE"""),46187.52380787037)</f>
        <v>46187.52381</v>
      </c>
      <c r="B5532" s="126">
        <f>IFERROR(__xludf.DUMMYFUNCTION("""COMPUTED_VALUE"""),46187.0)</f>
        <v>46187</v>
      </c>
      <c r="C5532" s="130">
        <f>IFERROR(__xludf.DUMMYFUNCTION("""COMPUTED_VALUE"""),0.5238078703703704)</f>
        <v>0.5238078704</v>
      </c>
      <c r="D5532" s="122" t="str">
        <f>IFERROR(__xludf.DUMMYFUNCTION("""COMPUTED_VALUE"""),"LUXE")</f>
        <v>LUXE</v>
      </c>
      <c r="E5532" s="122" t="str">
        <f>IFERROR(__xludf.DUMMYFUNCTION("""COMPUTED_VALUE"""),"Luxury Locker")</f>
        <v>Luxury Locker</v>
      </c>
      <c r="F5532" s="122" t="str">
        <f>IFERROR(__xludf.DUMMYFUNCTION("""COMPUTED_VALUE"""),"Luxury Goods")</f>
        <v>Luxury Goods</v>
      </c>
    </row>
    <row r="5533">
      <c r="A5533" s="131">
        <f>IFERROR(__xludf.DUMMYFUNCTION("""COMPUTED_VALUE"""),46187.52380787037)</f>
        <v>46187.52381</v>
      </c>
      <c r="B5533" s="126">
        <f>IFERROR(__xludf.DUMMYFUNCTION("""COMPUTED_VALUE"""),46187.0)</f>
        <v>46187</v>
      </c>
      <c r="C5533" s="130">
        <f>IFERROR(__xludf.DUMMYFUNCTION("""COMPUTED_VALUE"""),0.5238078703703704)</f>
        <v>0.5238078704</v>
      </c>
      <c r="D5533" s="122" t="str">
        <f>IFERROR(__xludf.DUMMYFUNCTION("""COMPUTED_VALUE"""),"DRIP")</f>
        <v>DRIP</v>
      </c>
      <c r="E5533" s="122" t="str">
        <f>IFERROR(__xludf.DUMMYFUNCTION("""COMPUTED_VALUE"""),"Drip Streetwear")</f>
        <v>Drip Streetwear</v>
      </c>
      <c r="F5533" s="122" t="str">
        <f>IFERROR(__xludf.DUMMYFUNCTION("""COMPUTED_VALUE"""),"Fashion")</f>
        <v>Fashion</v>
      </c>
    </row>
    <row r="5534">
      <c r="A5534" s="131">
        <f>IFERROR(__xludf.DUMMYFUNCTION("""COMPUTED_VALUE"""),46187.52380787037)</f>
        <v>46187.52381</v>
      </c>
      <c r="B5534" s="126">
        <f>IFERROR(__xludf.DUMMYFUNCTION("""COMPUTED_VALUE"""),46187.0)</f>
        <v>46187</v>
      </c>
      <c r="C5534" s="130">
        <f>IFERROR(__xludf.DUMMYFUNCTION("""COMPUTED_VALUE"""),0.5238078703703704)</f>
        <v>0.5238078704</v>
      </c>
      <c r="D5534" s="122" t="str">
        <f>IFERROR(__xludf.DUMMYFUNCTION("""COMPUTED_VALUE"""),"KICK")</f>
        <v>KICK</v>
      </c>
      <c r="E5534" s="122" t="str">
        <f>IFERROR(__xludf.DUMMYFUNCTION("""COMPUTED_VALUE"""),"KickDrop Sneakers")</f>
        <v>KickDrop Sneakers</v>
      </c>
      <c r="F5534" s="122" t="str">
        <f>IFERROR(__xludf.DUMMYFUNCTION("""COMPUTED_VALUE"""),"Fashion")</f>
        <v>Fashion</v>
      </c>
    </row>
    <row r="5535">
      <c r="A5535" s="131">
        <f>IFERROR(__xludf.DUMMYFUNCTION("""COMPUTED_VALUE"""),46187.52380787037)</f>
        <v>46187.52381</v>
      </c>
      <c r="B5535" s="126">
        <f>IFERROR(__xludf.DUMMYFUNCTION("""COMPUTED_VALUE"""),46187.0)</f>
        <v>46187</v>
      </c>
      <c r="C5535" s="130">
        <f>IFERROR(__xludf.DUMMYFUNCTION("""COMPUTED_VALUE"""),0.5238078703703704)</f>
        <v>0.5238078704</v>
      </c>
      <c r="D5535" s="122" t="str">
        <f>IFERROR(__xludf.DUMMYFUNCTION("""COMPUTED_VALUE"""),"GLAM")</f>
        <v>GLAM</v>
      </c>
      <c r="E5535" s="122" t="str">
        <f>IFERROR(__xludf.DUMMYFUNCTION("""COMPUTED_VALUE"""),"Glow Cosmetics")</f>
        <v>Glow Cosmetics</v>
      </c>
      <c r="F5535" s="122" t="str">
        <f>IFERROR(__xludf.DUMMYFUNCTION("""COMPUTED_VALUE"""),"Fashion")</f>
        <v>Fashion</v>
      </c>
    </row>
    <row r="5536">
      <c r="A5536" s="131">
        <f>IFERROR(__xludf.DUMMYFUNCTION("""COMPUTED_VALUE"""),46187.52380787037)</f>
        <v>46187.52381</v>
      </c>
      <c r="B5536" s="126">
        <f>IFERROR(__xludf.DUMMYFUNCTION("""COMPUTED_VALUE"""),46187.0)</f>
        <v>46187</v>
      </c>
      <c r="C5536" s="130">
        <f>IFERROR(__xludf.DUMMYFUNCTION("""COMPUTED_VALUE"""),0.5238078703703704)</f>
        <v>0.5238078704</v>
      </c>
      <c r="D5536" s="122" t="str">
        <f>IFERROR(__xludf.DUMMYFUNCTION("""COMPUTED_VALUE"""),"BAGG")</f>
        <v>BAGG</v>
      </c>
      <c r="E5536" s="122" t="str">
        <f>IFERROR(__xludf.DUMMYFUNCTION("""COMPUTED_VALUE"""),"BagVault")</f>
        <v>BagVault</v>
      </c>
      <c r="F5536" s="122" t="str">
        <f>IFERROR(__xludf.DUMMYFUNCTION("""COMPUTED_VALUE"""),"Fashion")</f>
        <v>Fashion</v>
      </c>
    </row>
    <row r="5537">
      <c r="A5537" s="131">
        <f>IFERROR(__xludf.DUMMYFUNCTION("""COMPUTED_VALUE"""),46187.52380787037)</f>
        <v>46187.52381</v>
      </c>
      <c r="B5537" s="126">
        <f>IFERROR(__xludf.DUMMYFUNCTION("""COMPUTED_VALUE"""),46187.0)</f>
        <v>46187</v>
      </c>
      <c r="C5537" s="130">
        <f>IFERROR(__xludf.DUMMYFUNCTION("""COMPUTED_VALUE"""),0.5238078703703704)</f>
        <v>0.5238078704</v>
      </c>
      <c r="D5537" s="122" t="str">
        <f>IFERROR(__xludf.DUMMYFUNCTION("""COMPUTED_VALUE"""),"FAST")</f>
        <v>FAST</v>
      </c>
      <c r="E5537" s="122" t="str">
        <f>IFERROR(__xludf.DUMMYFUNCTION("""COMPUTED_VALUE"""),"Flash Logistics")</f>
        <v>Flash Logistics</v>
      </c>
      <c r="F5537" s="122" t="str">
        <f>IFERROR(__xludf.DUMMYFUNCTION("""COMPUTED_VALUE"""),"Logistics")</f>
        <v>Logistics</v>
      </c>
    </row>
    <row r="5538">
      <c r="A5538" s="131">
        <f>IFERROR(__xludf.DUMMYFUNCTION("""COMPUTED_VALUE"""),46187.52380787037)</f>
        <v>46187.52381</v>
      </c>
      <c r="B5538" s="126">
        <f>IFERROR(__xludf.DUMMYFUNCTION("""COMPUTED_VALUE"""),46187.0)</f>
        <v>46187</v>
      </c>
      <c r="C5538" s="130">
        <f>IFERROR(__xludf.DUMMYFUNCTION("""COMPUTED_VALUE"""),0.5238078703703704)</f>
        <v>0.5238078704</v>
      </c>
      <c r="D5538" s="122" t="str">
        <f>IFERROR(__xludf.DUMMYFUNCTION("""COMPUTED_VALUE"""),"SHIP")</f>
        <v>SHIP</v>
      </c>
      <c r="E5538" s="122" t="str">
        <f>IFERROR(__xludf.DUMMYFUNCTION("""COMPUTED_VALUE"""),"Seoul Shipping")</f>
        <v>Seoul Shipping</v>
      </c>
      <c r="F5538" s="122" t="str">
        <f>IFERROR(__xludf.DUMMYFUNCTION("""COMPUTED_VALUE"""),"Logistics")</f>
        <v>Logistics</v>
      </c>
    </row>
    <row r="5539">
      <c r="A5539" s="131">
        <f>IFERROR(__xludf.DUMMYFUNCTION("""COMPUTED_VALUE"""),46187.52380787037)</f>
        <v>46187.52381</v>
      </c>
      <c r="B5539" s="126">
        <f>IFERROR(__xludf.DUMMYFUNCTION("""COMPUTED_VALUE"""),46187.0)</f>
        <v>46187</v>
      </c>
      <c r="C5539" s="130">
        <f>IFERROR(__xludf.DUMMYFUNCTION("""COMPUTED_VALUE"""),0.5238078703703704)</f>
        <v>0.5238078704</v>
      </c>
      <c r="D5539" s="122" t="str">
        <f>IFERROR(__xludf.DUMMYFUNCTION("""COMPUTED_VALUE"""),"DRON")</f>
        <v>DRON</v>
      </c>
      <c r="E5539" s="122" t="str">
        <f>IFERROR(__xludf.DUMMYFUNCTION("""COMPUTED_VALUE"""),"DroneDrop")</f>
        <v>DroneDrop</v>
      </c>
      <c r="F5539" s="122" t="str">
        <f>IFERROR(__xludf.DUMMYFUNCTION("""COMPUTED_VALUE"""),"Logistics")</f>
        <v>Logistics</v>
      </c>
    </row>
    <row r="5540">
      <c r="A5540" s="131">
        <f>IFERROR(__xludf.DUMMYFUNCTION("""COMPUTED_VALUE"""),46187.52380787037)</f>
        <v>46187.52381</v>
      </c>
      <c r="B5540" s="126">
        <f>IFERROR(__xludf.DUMMYFUNCTION("""COMPUTED_VALUE"""),46187.0)</f>
        <v>46187</v>
      </c>
      <c r="C5540" s="130">
        <f>IFERROR(__xludf.DUMMYFUNCTION("""COMPUTED_VALUE"""),0.5238078703703704)</f>
        <v>0.5238078704</v>
      </c>
      <c r="D5540" s="122" t="str">
        <f>IFERROR(__xludf.DUMMYFUNCTION("""COMPUTED_VALUE"""),"RIDE")</f>
        <v>RIDE</v>
      </c>
      <c r="E5540" s="122" t="str">
        <f>IFERROR(__xludf.DUMMYFUNCTION("""COMPUTED_VALUE"""),"QuickRide")</f>
        <v>QuickRide</v>
      </c>
      <c r="F5540" s="122" t="str">
        <f>IFERROR(__xludf.DUMMYFUNCTION("""COMPUTED_VALUE"""),"Transportation")</f>
        <v>Transportation</v>
      </c>
    </row>
    <row r="5541">
      <c r="A5541" s="131">
        <f>IFERROR(__xludf.DUMMYFUNCTION("""COMPUTED_VALUE"""),46187.52380787037)</f>
        <v>46187.52381</v>
      </c>
      <c r="B5541" s="126">
        <f>IFERROR(__xludf.DUMMYFUNCTION("""COMPUTED_VALUE"""),46187.0)</f>
        <v>46187</v>
      </c>
      <c r="C5541" s="130">
        <f>IFERROR(__xludf.DUMMYFUNCTION("""COMPUTED_VALUE"""),0.5238078703703704)</f>
        <v>0.5238078704</v>
      </c>
      <c r="D5541" s="122" t="str">
        <f>IFERROR(__xludf.DUMMYFUNCTION("""COMPUTED_VALUE"""),"RAIL")</f>
        <v>RAIL</v>
      </c>
      <c r="E5541" s="122" t="str">
        <f>IFERROR(__xludf.DUMMYFUNCTION("""COMPUTED_VALUE"""),"MetroRail Corp")</f>
        <v>MetroRail Corp</v>
      </c>
      <c r="F5541" s="122" t="str">
        <f>IFERROR(__xludf.DUMMYFUNCTION("""COMPUTED_VALUE"""),"Transportation")</f>
        <v>Transportation</v>
      </c>
    </row>
    <row r="5542">
      <c r="A5542" s="131">
        <f>IFERROR(__xludf.DUMMYFUNCTION("""COMPUTED_VALUE"""),46187.52380787037)</f>
        <v>46187.52381</v>
      </c>
      <c r="B5542" s="126">
        <f>IFERROR(__xludf.DUMMYFUNCTION("""COMPUTED_VALUE"""),46187.0)</f>
        <v>46187</v>
      </c>
      <c r="C5542" s="130">
        <f>IFERROR(__xludf.DUMMYFUNCTION("""COMPUTED_VALUE"""),0.5238078703703704)</f>
        <v>0.5238078704</v>
      </c>
      <c r="D5542" s="122" t="str">
        <f>IFERROR(__xludf.DUMMYFUNCTION("""COMPUTED_VALUE"""),"MEDX")</f>
        <v>MEDX</v>
      </c>
      <c r="E5542" s="122" t="str">
        <f>IFERROR(__xludf.DUMMYFUNCTION("""COMPUTED_VALUE"""),"MediCore")</f>
        <v>MediCore</v>
      </c>
      <c r="F5542" s="122" t="str">
        <f>IFERROR(__xludf.DUMMYFUNCTION("""COMPUTED_VALUE"""),"Healthcare")</f>
        <v>Healthcare</v>
      </c>
    </row>
    <row r="5543">
      <c r="A5543" s="131">
        <f>IFERROR(__xludf.DUMMYFUNCTION("""COMPUTED_VALUE"""),46187.52380787037)</f>
        <v>46187.52381</v>
      </c>
      <c r="B5543" s="126">
        <f>IFERROR(__xludf.DUMMYFUNCTION("""COMPUTED_VALUE"""),46187.0)</f>
        <v>46187</v>
      </c>
      <c r="C5543" s="130">
        <f>IFERROR(__xludf.DUMMYFUNCTION("""COMPUTED_VALUE"""),0.5238078703703704)</f>
        <v>0.5238078704</v>
      </c>
      <c r="D5543" s="122" t="str">
        <f>IFERROR(__xludf.DUMMYFUNCTION("""COMPUTED_VALUE"""),"GYMX")</f>
        <v>GYMX</v>
      </c>
      <c r="E5543" s="122" t="str">
        <f>IFERROR(__xludf.DUMMYFUNCTION("""COMPUTED_VALUE"""),"GymX Fitness")</f>
        <v>GymX Fitness</v>
      </c>
      <c r="F5543" s="122" t="str">
        <f>IFERROR(__xludf.DUMMYFUNCTION("""COMPUTED_VALUE"""),"Healthcare")</f>
        <v>Healthcare</v>
      </c>
    </row>
    <row r="5544">
      <c r="A5544" s="131">
        <f>IFERROR(__xludf.DUMMYFUNCTION("""COMPUTED_VALUE"""),46187.52380787037)</f>
        <v>46187.52381</v>
      </c>
      <c r="B5544" s="126">
        <f>IFERROR(__xludf.DUMMYFUNCTION("""COMPUTED_VALUE"""),46187.0)</f>
        <v>46187</v>
      </c>
      <c r="C5544" s="130">
        <f>IFERROR(__xludf.DUMMYFUNCTION("""COMPUTED_VALUE"""),0.5238078703703704)</f>
        <v>0.5238078704</v>
      </c>
      <c r="D5544" s="122" t="str">
        <f>IFERROR(__xludf.DUMMYFUNCTION("""COMPUTED_VALUE"""),"VITA")</f>
        <v>VITA</v>
      </c>
      <c r="E5544" s="122" t="str">
        <f>IFERROR(__xludf.DUMMYFUNCTION("""COMPUTED_VALUE"""),"VitaPlus")</f>
        <v>VitaPlus</v>
      </c>
      <c r="F5544" s="122" t="str">
        <f>IFERROR(__xludf.DUMMYFUNCTION("""COMPUTED_VALUE"""),"Healthcare")</f>
        <v>Healthcare</v>
      </c>
    </row>
    <row r="5545">
      <c r="A5545" s="131">
        <f>IFERROR(__xludf.DUMMYFUNCTION("""COMPUTED_VALUE"""),46187.52380787037)</f>
        <v>46187.52381</v>
      </c>
      <c r="B5545" s="126">
        <f>IFERROR(__xludf.DUMMYFUNCTION("""COMPUTED_VALUE"""),46187.0)</f>
        <v>46187</v>
      </c>
      <c r="C5545" s="130">
        <f>IFERROR(__xludf.DUMMYFUNCTION("""COMPUTED_VALUE"""),0.5238078703703704)</f>
        <v>0.5238078704</v>
      </c>
      <c r="D5545" s="122" t="str">
        <f>IFERROR(__xludf.DUMMYFUNCTION("""COMPUTED_VALUE"""),"CARE")</f>
        <v>CARE</v>
      </c>
      <c r="E5545" s="122" t="str">
        <f>IFERROR(__xludf.DUMMYFUNCTION("""COMPUTED_VALUE"""),"CareCloud")</f>
        <v>CareCloud</v>
      </c>
      <c r="F5545" s="122" t="str">
        <f>IFERROR(__xludf.DUMMYFUNCTION("""COMPUTED_VALUE"""),"Healthcare")</f>
        <v>Healthcare</v>
      </c>
    </row>
    <row r="5546">
      <c r="A5546" s="131">
        <f>IFERROR(__xludf.DUMMYFUNCTION("""COMPUTED_VALUE"""),46187.52380787037)</f>
        <v>46187.52381</v>
      </c>
      <c r="B5546" s="126">
        <f>IFERROR(__xludf.DUMMYFUNCTION("""COMPUTED_VALUE"""),46187.0)</f>
        <v>46187</v>
      </c>
      <c r="C5546" s="130">
        <f>IFERROR(__xludf.DUMMYFUNCTION("""COMPUTED_VALUE"""),0.5238078703703704)</f>
        <v>0.5238078704</v>
      </c>
      <c r="D5546" s="122" t="str">
        <f>IFERROR(__xludf.DUMMYFUNCTION("""COMPUTED_VALUE"""),"DENT")</f>
        <v>DENT</v>
      </c>
      <c r="E5546" s="122" t="str">
        <f>IFERROR(__xludf.DUMMYFUNCTION("""COMPUTED_VALUE"""),"SmileWorks")</f>
        <v>SmileWorks</v>
      </c>
      <c r="F5546" s="122" t="str">
        <f>IFERROR(__xludf.DUMMYFUNCTION("""COMPUTED_VALUE"""),"Healthcare")</f>
        <v>Healthcare</v>
      </c>
    </row>
    <row r="5547">
      <c r="A5547" s="131">
        <f>IFERROR(__xludf.DUMMYFUNCTION("""COMPUTED_VALUE"""),46187.52380787037)</f>
        <v>46187.52381</v>
      </c>
      <c r="B5547" s="126">
        <f>IFERROR(__xludf.DUMMYFUNCTION("""COMPUTED_VALUE"""),46187.0)</f>
        <v>46187</v>
      </c>
      <c r="C5547" s="130">
        <f>IFERROR(__xludf.DUMMYFUNCTION("""COMPUTED_VALUE"""),0.5238078703703704)</f>
        <v>0.5238078704</v>
      </c>
      <c r="D5547" s="122" t="str">
        <f>IFERROR(__xludf.DUMMYFUNCTION("""COMPUTED_VALUE"""),"EDUX")</f>
        <v>EDUX</v>
      </c>
      <c r="E5547" s="122" t="str">
        <f>IFERROR(__xludf.DUMMYFUNCTION("""COMPUTED_VALUE"""),"EduMax Learning")</f>
        <v>EduMax Learning</v>
      </c>
      <c r="F5547" s="122" t="str">
        <f>IFERROR(__xludf.DUMMYFUNCTION("""COMPUTED_VALUE"""),"Education")</f>
        <v>Education</v>
      </c>
    </row>
    <row r="5548">
      <c r="A5548" s="131">
        <f>IFERROR(__xludf.DUMMYFUNCTION("""COMPUTED_VALUE"""),46187.52380787037)</f>
        <v>46187.52381</v>
      </c>
      <c r="B5548" s="126">
        <f>IFERROR(__xludf.DUMMYFUNCTION("""COMPUTED_VALUE"""),46187.0)</f>
        <v>46187</v>
      </c>
      <c r="C5548" s="130">
        <f>IFERROR(__xludf.DUMMYFUNCTION("""COMPUTED_VALUE"""),0.5238078703703704)</f>
        <v>0.5238078704</v>
      </c>
      <c r="D5548" s="122" t="str">
        <f>IFERROR(__xludf.DUMMYFUNCTION("""COMPUTED_VALUE"""),"BOOK")</f>
        <v>BOOK</v>
      </c>
      <c r="E5548" s="122" t="str">
        <f>IFERROR(__xludf.DUMMYFUNCTION("""COMPUTED_VALUE"""),"BookBridge")</f>
        <v>BookBridge</v>
      </c>
      <c r="F5548" s="122" t="str">
        <f>IFERROR(__xludf.DUMMYFUNCTION("""COMPUTED_VALUE"""),"Education")</f>
        <v>Education</v>
      </c>
    </row>
    <row r="5549">
      <c r="A5549" s="131">
        <f>IFERROR(__xludf.DUMMYFUNCTION("""COMPUTED_VALUE"""),46187.52380787037)</f>
        <v>46187.52381</v>
      </c>
      <c r="B5549" s="126">
        <f>IFERROR(__xludf.DUMMYFUNCTION("""COMPUTED_VALUE"""),46187.0)</f>
        <v>46187</v>
      </c>
      <c r="C5549" s="130">
        <f>IFERROR(__xludf.DUMMYFUNCTION("""COMPUTED_VALUE"""),0.5238078703703704)</f>
        <v>0.5238078704</v>
      </c>
      <c r="D5549" s="122" t="str">
        <f>IFERROR(__xludf.DUMMYFUNCTION("""COMPUTED_VALUE"""),"TUTR")</f>
        <v>TUTR</v>
      </c>
      <c r="E5549" s="122" t="str">
        <f>IFERROR(__xludf.DUMMYFUNCTION("""COMPUTED_VALUE"""),"TutorTown")</f>
        <v>TutorTown</v>
      </c>
      <c r="F5549" s="122" t="str">
        <f>IFERROR(__xludf.DUMMYFUNCTION("""COMPUTED_VALUE"""),"Education")</f>
        <v>Education</v>
      </c>
    </row>
    <row r="5550">
      <c r="A5550" s="131">
        <f>IFERROR(__xludf.DUMMYFUNCTION("""COMPUTED_VALUE"""),46187.52380787037)</f>
        <v>46187.52381</v>
      </c>
      <c r="B5550" s="126">
        <f>IFERROR(__xludf.DUMMYFUNCTION("""COMPUTED_VALUE"""),46187.0)</f>
        <v>46187</v>
      </c>
      <c r="C5550" s="130">
        <f>IFERROR(__xludf.DUMMYFUNCTION("""COMPUTED_VALUE"""),0.5238078703703704)</f>
        <v>0.5238078704</v>
      </c>
      <c r="D5550" s="122" t="str">
        <f>IFERROR(__xludf.DUMMYFUNCTION("""COMPUTED_VALUE"""),"LANG")</f>
        <v>LANG</v>
      </c>
      <c r="E5550" s="122" t="str">
        <f>IFERROR(__xludf.DUMMYFUNCTION("""COMPUTED_VALUE"""),"LinguaLab")</f>
        <v>LinguaLab</v>
      </c>
      <c r="F5550" s="122" t="str">
        <f>IFERROR(__xludf.DUMMYFUNCTION("""COMPUTED_VALUE"""),"Education")</f>
        <v>Education</v>
      </c>
    </row>
    <row r="5551">
      <c r="A5551" s="131">
        <f>IFERROR(__xludf.DUMMYFUNCTION("""COMPUTED_VALUE"""),46187.52380787037)</f>
        <v>46187.52381</v>
      </c>
      <c r="B5551" s="126">
        <f>IFERROR(__xludf.DUMMYFUNCTION("""COMPUTED_VALUE"""),46187.0)</f>
        <v>46187</v>
      </c>
      <c r="C5551" s="130">
        <f>IFERROR(__xludf.DUMMYFUNCTION("""COMPUTED_VALUE"""),0.5238078703703704)</f>
        <v>0.5238078704</v>
      </c>
      <c r="D5551" s="122" t="str">
        <f>IFERROR(__xludf.DUMMYFUNCTION("""COMPUTED_VALUE"""),"TEST")</f>
        <v>TEST</v>
      </c>
      <c r="E5551" s="122" t="str">
        <f>IFERROR(__xludf.DUMMYFUNCTION("""COMPUTED_VALUE"""),"TestPrep Pro")</f>
        <v>TestPrep Pro</v>
      </c>
      <c r="F5551" s="122" t="str">
        <f>IFERROR(__xludf.DUMMYFUNCTION("""COMPUTED_VALUE"""),"Education")</f>
        <v>Education</v>
      </c>
    </row>
    <row r="5552">
      <c r="A5552" s="131">
        <f>IFERROR(__xludf.DUMMYFUNCTION("""COMPUTED_VALUE"""),46187.52380787037)</f>
        <v>46187.52381</v>
      </c>
      <c r="B5552" s="126">
        <f>IFERROR(__xludf.DUMMYFUNCTION("""COMPUTED_VALUE"""),46187.0)</f>
        <v>46187</v>
      </c>
      <c r="C5552" s="130">
        <f>IFERROR(__xludf.DUMMYFUNCTION("""COMPUTED_VALUE"""),0.5238078703703704)</f>
        <v>0.5238078704</v>
      </c>
      <c r="D5552" s="122" t="str">
        <f>IFERROR(__xludf.DUMMYFUNCTION("""COMPUTED_VALUE"""),"MOVI")</f>
        <v>MOVI</v>
      </c>
      <c r="E5552" s="122" t="str">
        <f>IFERROR(__xludf.DUMMYFUNCTION("""COMPUTED_VALUE"""),"MovieBox")</f>
        <v>MovieBox</v>
      </c>
      <c r="F5552" s="122" t="str">
        <f>IFERROR(__xludf.DUMMYFUNCTION("""COMPUTED_VALUE"""),"Entertainment")</f>
        <v>Entertainment</v>
      </c>
    </row>
    <row r="5553">
      <c r="A5553" s="131">
        <f>IFERROR(__xludf.DUMMYFUNCTION("""COMPUTED_VALUE"""),46187.52380787037)</f>
        <v>46187.52381</v>
      </c>
      <c r="B5553" s="126">
        <f>IFERROR(__xludf.DUMMYFUNCTION("""COMPUTED_VALUE"""),46187.0)</f>
        <v>46187</v>
      </c>
      <c r="C5553" s="130">
        <f>IFERROR(__xludf.DUMMYFUNCTION("""COMPUTED_VALUE"""),0.5238078703703704)</f>
        <v>0.5238078704</v>
      </c>
      <c r="D5553" s="122" t="str">
        <f>IFERROR(__xludf.DUMMYFUNCTION("""COMPUTED_VALUE"""),"MUSC")</f>
        <v>MUSC</v>
      </c>
      <c r="E5553" s="122" t="str">
        <f>IFERROR(__xludf.DUMMYFUNCTION("""COMPUTED_VALUE"""),"MusicWave")</f>
        <v>MusicWave</v>
      </c>
      <c r="F5553" s="122" t="str">
        <f>IFERROR(__xludf.DUMMYFUNCTION("""COMPUTED_VALUE"""),"Entertainment")</f>
        <v>Entertainment</v>
      </c>
    </row>
    <row r="5554">
      <c r="A5554" s="131">
        <f>IFERROR(__xludf.DUMMYFUNCTION("""COMPUTED_VALUE"""),46187.52380787037)</f>
        <v>46187.52381</v>
      </c>
      <c r="B5554" s="126">
        <f>IFERROR(__xludf.DUMMYFUNCTION("""COMPUTED_VALUE"""),46187.0)</f>
        <v>46187</v>
      </c>
      <c r="C5554" s="130">
        <f>IFERROR(__xludf.DUMMYFUNCTION("""COMPUTED_VALUE"""),0.5238078703703704)</f>
        <v>0.5238078704</v>
      </c>
      <c r="D5554" s="122" t="str">
        <f>IFERROR(__xludf.DUMMYFUNCTION("""COMPUTED_VALUE"""),"IDOL")</f>
        <v>IDOL</v>
      </c>
      <c r="E5554" s="122" t="str">
        <f>IFERROR(__xludf.DUMMYFUNCTION("""COMPUTED_VALUE"""),"Idol Agency")</f>
        <v>Idol Agency</v>
      </c>
      <c r="F5554" s="122" t="str">
        <f>IFERROR(__xludf.DUMMYFUNCTION("""COMPUTED_VALUE"""),"Entertainment")</f>
        <v>Entertainment</v>
      </c>
    </row>
    <row r="5555">
      <c r="A5555" s="131">
        <f>IFERROR(__xludf.DUMMYFUNCTION("""COMPUTED_VALUE"""),46187.52380787037)</f>
        <v>46187.52381</v>
      </c>
      <c r="B5555" s="126">
        <f>IFERROR(__xludf.DUMMYFUNCTION("""COMPUTED_VALUE"""),46187.0)</f>
        <v>46187</v>
      </c>
      <c r="C5555" s="130">
        <f>IFERROR(__xludf.DUMMYFUNCTION("""COMPUTED_VALUE"""),0.5238078703703704)</f>
        <v>0.5238078704</v>
      </c>
      <c r="D5555" s="122" t="str">
        <f>IFERROR(__xludf.DUMMYFUNCTION("""COMPUTED_VALUE"""),"MEME")</f>
        <v>MEME</v>
      </c>
      <c r="E5555" s="122" t="str">
        <f>IFERROR(__xludf.DUMMYFUNCTION("""COMPUTED_VALUE"""),"Meme Media")</f>
        <v>Meme Media</v>
      </c>
      <c r="F5555" s="122" t="str">
        <f>IFERROR(__xludf.DUMMYFUNCTION("""COMPUTED_VALUE"""),"Entertainment")</f>
        <v>Entertainment</v>
      </c>
    </row>
    <row r="5556">
      <c r="A5556" s="131">
        <f>IFERROR(__xludf.DUMMYFUNCTION("""COMPUTED_VALUE"""),46187.52380787037)</f>
        <v>46187.52381</v>
      </c>
      <c r="B5556" s="126">
        <f>IFERROR(__xludf.DUMMYFUNCTION("""COMPUTED_VALUE"""),46187.0)</f>
        <v>46187</v>
      </c>
      <c r="C5556" s="130">
        <f>IFERROR(__xludf.DUMMYFUNCTION("""COMPUTED_VALUE"""),0.5238078703703704)</f>
        <v>0.5238078704</v>
      </c>
      <c r="D5556" s="122" t="str">
        <f>IFERROR(__xludf.DUMMYFUNCTION("""COMPUTED_VALUE"""),"STRM")</f>
        <v>STRM</v>
      </c>
      <c r="E5556" s="122" t="str">
        <f>IFERROR(__xludf.DUMMYFUNCTION("""COMPUTED_VALUE"""),"Streamly")</f>
        <v>Streamly</v>
      </c>
      <c r="F5556" s="122" t="str">
        <f>IFERROR(__xludf.DUMMYFUNCTION("""COMPUTED_VALUE"""),"Entertainment")</f>
        <v>Entertainment</v>
      </c>
    </row>
    <row r="5557">
      <c r="A5557" s="131">
        <f>IFERROR(__xludf.DUMMYFUNCTION("""COMPUTED_VALUE"""),46187.52380787037)</f>
        <v>46187.52381</v>
      </c>
      <c r="B5557" s="126">
        <f>IFERROR(__xludf.DUMMYFUNCTION("""COMPUTED_VALUE"""),46187.0)</f>
        <v>46187</v>
      </c>
      <c r="C5557" s="130">
        <f>IFERROR(__xludf.DUMMYFUNCTION("""COMPUTED_VALUE"""),0.5238078703703704)</f>
        <v>0.5238078704</v>
      </c>
      <c r="D5557" s="122" t="str">
        <f>IFERROR(__xludf.DUMMYFUNCTION("""COMPUTED_VALUE"""),"FARM")</f>
        <v>FARM</v>
      </c>
      <c r="E5557" s="122" t="str">
        <f>IFERROR(__xludf.DUMMYFUNCTION("""COMPUTED_VALUE"""),"Future Farms")</f>
        <v>Future Farms</v>
      </c>
      <c r="F5557" s="122" t="str">
        <f>IFERROR(__xludf.DUMMYFUNCTION("""COMPUTED_VALUE"""),"Agriculture")</f>
        <v>Agriculture</v>
      </c>
    </row>
    <row r="5558">
      <c r="A5558" s="131">
        <f>IFERROR(__xludf.DUMMYFUNCTION("""COMPUTED_VALUE"""),46187.52380787037)</f>
        <v>46187.52381</v>
      </c>
      <c r="B5558" s="126">
        <f>IFERROR(__xludf.DUMMYFUNCTION("""COMPUTED_VALUE"""),46187.0)</f>
        <v>46187</v>
      </c>
      <c r="C5558" s="130">
        <f>IFERROR(__xludf.DUMMYFUNCTION("""COMPUTED_VALUE"""),0.5238078703703704)</f>
        <v>0.5238078704</v>
      </c>
      <c r="D5558" s="122" t="str">
        <f>IFERROR(__xludf.DUMMYFUNCTION("""COMPUTED_VALUE"""),"MEAT")</f>
        <v>MEAT</v>
      </c>
      <c r="E5558" s="122" t="str">
        <f>IFERROR(__xludf.DUMMYFUNCTION("""COMPUTED_VALUE"""),"MeatWorks")</f>
        <v>MeatWorks</v>
      </c>
      <c r="F5558" s="122" t="str">
        <f>IFERROR(__xludf.DUMMYFUNCTION("""COMPUTED_VALUE"""),"Food")</f>
        <v>Food</v>
      </c>
    </row>
    <row r="5559">
      <c r="A5559" s="131">
        <f>IFERROR(__xludf.DUMMYFUNCTION("""COMPUTED_VALUE"""),46187.52380787037)</f>
        <v>46187.52381</v>
      </c>
      <c r="B5559" s="126">
        <f>IFERROR(__xludf.DUMMYFUNCTION("""COMPUTED_VALUE"""),46187.0)</f>
        <v>46187</v>
      </c>
      <c r="C5559" s="130">
        <f>IFERROR(__xludf.DUMMYFUNCTION("""COMPUTED_VALUE"""),0.5238078703703704)</f>
        <v>0.5238078704</v>
      </c>
      <c r="D5559" s="122" t="str">
        <f>IFERROR(__xludf.DUMMYFUNCTION("""COMPUTED_VALUE"""),"VEGI")</f>
        <v>VEGI</v>
      </c>
      <c r="E5559" s="122" t="str">
        <f>IFERROR(__xludf.DUMMYFUNCTION("""COMPUTED_VALUE"""),"Green Basket")</f>
        <v>Green Basket</v>
      </c>
      <c r="F5559" s="122" t="str">
        <f>IFERROR(__xludf.DUMMYFUNCTION("""COMPUTED_VALUE"""),"Food")</f>
        <v>Food</v>
      </c>
    </row>
    <row r="5560">
      <c r="A5560" s="131">
        <f>IFERROR(__xludf.DUMMYFUNCTION("""COMPUTED_VALUE"""),46187.52380787037)</f>
        <v>46187.52381</v>
      </c>
      <c r="B5560" s="126">
        <f>IFERROR(__xludf.DUMMYFUNCTION("""COMPUTED_VALUE"""),46187.0)</f>
        <v>46187</v>
      </c>
      <c r="C5560" s="130">
        <f>IFERROR(__xludf.DUMMYFUNCTION("""COMPUTED_VALUE"""),0.5238078703703704)</f>
        <v>0.5238078704</v>
      </c>
      <c r="D5560" s="122" t="str">
        <f>IFERROR(__xludf.DUMMYFUNCTION("""COMPUTED_VALUE"""),"CAFE")</f>
        <v>CAFE</v>
      </c>
      <c r="E5560" s="122" t="str">
        <f>IFERROR(__xludf.DUMMYFUNCTION("""COMPUTED_VALUE"""),"Cafe Cloud")</f>
        <v>Cafe Cloud</v>
      </c>
      <c r="F5560" s="122" t="str">
        <f>IFERROR(__xludf.DUMMYFUNCTION("""COMPUTED_VALUE"""),"Food")</f>
        <v>Food</v>
      </c>
    </row>
    <row r="5561">
      <c r="A5561" s="131">
        <f>IFERROR(__xludf.DUMMYFUNCTION("""COMPUTED_VALUE"""),46187.52380787037)</f>
        <v>46187.52381</v>
      </c>
      <c r="B5561" s="126">
        <f>IFERROR(__xludf.DUMMYFUNCTION("""COMPUTED_VALUE"""),46187.0)</f>
        <v>46187</v>
      </c>
      <c r="C5561" s="130">
        <f>IFERROR(__xludf.DUMMYFUNCTION("""COMPUTED_VALUE"""),0.5238078703703704)</f>
        <v>0.5238078704</v>
      </c>
      <c r="D5561" s="122" t="str">
        <f>IFERROR(__xludf.DUMMYFUNCTION("""COMPUTED_VALUE"""),"BAKE")</f>
        <v>BAKE</v>
      </c>
      <c r="E5561" s="122" t="str">
        <f>IFERROR(__xludf.DUMMYFUNCTION("""COMPUTED_VALUE"""),"BakeHouse")</f>
        <v>BakeHouse</v>
      </c>
      <c r="F5561" s="122" t="str">
        <f>IFERROR(__xludf.DUMMYFUNCTION("""COMPUTED_VALUE"""),"Food")</f>
        <v>Food</v>
      </c>
    </row>
    <row r="5562">
      <c r="A5562" s="131">
        <f>IFERROR(__xludf.DUMMYFUNCTION("""COMPUTED_VALUE"""),46187.52380787037)</f>
        <v>46187.52381</v>
      </c>
      <c r="B5562" s="126">
        <f>IFERROR(__xludf.DUMMYFUNCTION("""COMPUTED_VALUE"""),46187.0)</f>
        <v>46187</v>
      </c>
      <c r="C5562" s="130">
        <f>IFERROR(__xludf.DUMMYFUNCTION("""COMPUTED_VALUE"""),0.5238078703703704)</f>
        <v>0.5238078704</v>
      </c>
      <c r="D5562" s="122" t="str">
        <f>IFERROR(__xludf.DUMMYFUNCTION("""COMPUTED_VALUE"""),"OILX")</f>
        <v>OILX</v>
      </c>
      <c r="E5562" s="122" t="str">
        <f>IFERROR(__xludf.DUMMYFUNCTION("""COMPUTED_VALUE"""),"OilMax Energy")</f>
        <v>OilMax Energy</v>
      </c>
      <c r="F5562" s="122" t="str">
        <f>IFERROR(__xludf.DUMMYFUNCTION("""COMPUTED_VALUE"""),"Energy")</f>
        <v>Energy</v>
      </c>
    </row>
    <row r="5563">
      <c r="A5563" s="131">
        <f>IFERROR(__xludf.DUMMYFUNCTION("""COMPUTED_VALUE"""),46187.52380787037)</f>
        <v>46187.52381</v>
      </c>
      <c r="B5563" s="126">
        <f>IFERROR(__xludf.DUMMYFUNCTION("""COMPUTED_VALUE"""),46187.0)</f>
        <v>46187</v>
      </c>
      <c r="C5563" s="130">
        <f>IFERROR(__xludf.DUMMYFUNCTION("""COMPUTED_VALUE"""),0.5238078703703704)</f>
        <v>0.5238078704</v>
      </c>
      <c r="D5563" s="122" t="str">
        <f>IFERROR(__xludf.DUMMYFUNCTION("""COMPUTED_VALUE"""),"SOLR")</f>
        <v>SOLR</v>
      </c>
      <c r="E5563" s="122" t="str">
        <f>IFERROR(__xludf.DUMMYFUNCTION("""COMPUTED_VALUE"""),"SolarSpark")</f>
        <v>SolarSpark</v>
      </c>
      <c r="F5563" s="122" t="str">
        <f>IFERROR(__xludf.DUMMYFUNCTION("""COMPUTED_VALUE"""),"Energy")</f>
        <v>Energy</v>
      </c>
    </row>
    <row r="5564">
      <c r="A5564" s="131">
        <f>IFERROR(__xludf.DUMMYFUNCTION("""COMPUTED_VALUE"""),46187.52380787037)</f>
        <v>46187.52381</v>
      </c>
      <c r="B5564" s="126">
        <f>IFERROR(__xludf.DUMMYFUNCTION("""COMPUTED_VALUE"""),46187.0)</f>
        <v>46187</v>
      </c>
      <c r="C5564" s="130">
        <f>IFERROR(__xludf.DUMMYFUNCTION("""COMPUTED_VALUE"""),0.5238078703703704)</f>
        <v>0.5238078704</v>
      </c>
      <c r="D5564" s="122" t="str">
        <f>IFERROR(__xludf.DUMMYFUNCTION("""COMPUTED_VALUE"""),"BATT")</f>
        <v>BATT</v>
      </c>
      <c r="E5564" s="122" t="str">
        <f>IFERROR(__xludf.DUMMYFUNCTION("""COMPUTED_VALUE"""),"BatteryBox")</f>
        <v>BatteryBox</v>
      </c>
      <c r="F5564" s="122" t="str">
        <f>IFERROR(__xludf.DUMMYFUNCTION("""COMPUTED_VALUE"""),"Energy")</f>
        <v>Energy</v>
      </c>
    </row>
    <row r="5565">
      <c r="A5565" s="131">
        <f>IFERROR(__xludf.DUMMYFUNCTION("""COMPUTED_VALUE"""),46187.52380787037)</f>
        <v>46187.52381</v>
      </c>
      <c r="B5565" s="126">
        <f>IFERROR(__xludf.DUMMYFUNCTION("""COMPUTED_VALUE"""),46187.0)</f>
        <v>46187</v>
      </c>
      <c r="C5565" s="130">
        <f>IFERROR(__xludf.DUMMYFUNCTION("""COMPUTED_VALUE"""),0.5238078703703704)</f>
        <v>0.5238078704</v>
      </c>
      <c r="D5565" s="122" t="str">
        <f>IFERROR(__xludf.DUMMYFUNCTION("""COMPUTED_VALUE"""),"WIND")</f>
        <v>WIND</v>
      </c>
      <c r="E5565" s="122" t="str">
        <f>IFERROR(__xludf.DUMMYFUNCTION("""COMPUTED_VALUE"""),"WindWorks")</f>
        <v>WindWorks</v>
      </c>
      <c r="F5565" s="122" t="str">
        <f>IFERROR(__xludf.DUMMYFUNCTION("""COMPUTED_VALUE"""),"Energy")</f>
        <v>Energy</v>
      </c>
    </row>
    <row r="5566">
      <c r="A5566" s="131">
        <f>IFERROR(__xludf.DUMMYFUNCTION("""COMPUTED_VALUE"""),46187.52380787037)</f>
        <v>46187.52381</v>
      </c>
      <c r="B5566" s="126">
        <f>IFERROR(__xludf.DUMMYFUNCTION("""COMPUTED_VALUE"""),46187.0)</f>
        <v>46187</v>
      </c>
      <c r="C5566" s="130">
        <f>IFERROR(__xludf.DUMMYFUNCTION("""COMPUTED_VALUE"""),0.5238078703703704)</f>
        <v>0.5238078704</v>
      </c>
      <c r="D5566" s="122" t="str">
        <f>IFERROR(__xludf.DUMMYFUNCTION("""COMPUTED_VALUE"""),"GRID")</f>
        <v>GRID</v>
      </c>
      <c r="E5566" s="122" t="str">
        <f>IFERROR(__xludf.DUMMYFUNCTION("""COMPUTED_VALUE"""),"GridPower")</f>
        <v>GridPower</v>
      </c>
      <c r="F5566" s="122" t="str">
        <f>IFERROR(__xludf.DUMMYFUNCTION("""COMPUTED_VALUE"""),"Energy")</f>
        <v>Energy</v>
      </c>
    </row>
    <row r="5567">
      <c r="A5567" s="131">
        <f>IFERROR(__xludf.DUMMYFUNCTION("""COMPUTED_VALUE"""),46187.52380787037)</f>
        <v>46187.52381</v>
      </c>
      <c r="B5567" s="126">
        <f>IFERROR(__xludf.DUMMYFUNCTION("""COMPUTED_VALUE"""),46187.0)</f>
        <v>46187</v>
      </c>
      <c r="C5567" s="130">
        <f>IFERROR(__xludf.DUMMYFUNCTION("""COMPUTED_VALUE"""),0.5238078703703704)</f>
        <v>0.5238078704</v>
      </c>
      <c r="D5567" s="122" t="str">
        <f>IFERROR(__xludf.DUMMYFUNCTION("""COMPUTED_VALUE"""),"HOME")</f>
        <v>HOME</v>
      </c>
      <c r="E5567" s="122" t="str">
        <f>IFERROR(__xludf.DUMMYFUNCTION("""COMPUTED_VALUE"""),"HomeHub")</f>
        <v>HomeHub</v>
      </c>
      <c r="F5567" s="122" t="str">
        <f>IFERROR(__xludf.DUMMYFUNCTION("""COMPUTED_VALUE"""),"Real Estate")</f>
        <v>Real Estate</v>
      </c>
    </row>
    <row r="5568">
      <c r="A5568" s="131">
        <f>IFERROR(__xludf.DUMMYFUNCTION("""COMPUTED_VALUE"""),46187.52380787037)</f>
        <v>46187.52381</v>
      </c>
      <c r="B5568" s="126">
        <f>IFERROR(__xludf.DUMMYFUNCTION("""COMPUTED_VALUE"""),46187.0)</f>
        <v>46187</v>
      </c>
      <c r="C5568" s="130">
        <f>IFERROR(__xludf.DUMMYFUNCTION("""COMPUTED_VALUE"""),0.5238078703703704)</f>
        <v>0.5238078704</v>
      </c>
      <c r="D5568" s="122" t="str">
        <f>IFERROR(__xludf.DUMMYFUNCTION("""COMPUTED_VALUE"""),"RENT")</f>
        <v>RENT</v>
      </c>
      <c r="E5568" s="122" t="str">
        <f>IFERROR(__xludf.DUMMYFUNCTION("""COMPUTED_VALUE"""),"RentRight")</f>
        <v>RentRight</v>
      </c>
      <c r="F5568" s="122" t="str">
        <f>IFERROR(__xludf.DUMMYFUNCTION("""COMPUTED_VALUE"""),"Real Estate")</f>
        <v>Real Estate</v>
      </c>
    </row>
    <row r="5569">
      <c r="A5569" s="131">
        <f>IFERROR(__xludf.DUMMYFUNCTION("""COMPUTED_VALUE"""),46187.52380787037)</f>
        <v>46187.52381</v>
      </c>
      <c r="B5569" s="126">
        <f>IFERROR(__xludf.DUMMYFUNCTION("""COMPUTED_VALUE"""),46187.0)</f>
        <v>46187</v>
      </c>
      <c r="C5569" s="130">
        <f>IFERROR(__xludf.DUMMYFUNCTION("""COMPUTED_VALUE"""),0.5238078703703704)</f>
        <v>0.5238078704</v>
      </c>
      <c r="D5569" s="122" t="str">
        <f>IFERROR(__xludf.DUMMYFUNCTION("""COMPUTED_VALUE"""),"MALL")</f>
        <v>MALL</v>
      </c>
      <c r="E5569" s="122" t="str">
        <f>IFERROR(__xludf.DUMMYFUNCTION("""COMPUTED_VALUE"""),"MegaMall")</f>
        <v>MegaMall</v>
      </c>
      <c r="F5569" s="122" t="str">
        <f>IFERROR(__xludf.DUMMYFUNCTION("""COMPUTED_VALUE"""),"Real Estate")</f>
        <v>Real Estate</v>
      </c>
    </row>
    <row r="5570">
      <c r="A5570" s="131">
        <f>IFERROR(__xludf.DUMMYFUNCTION("""COMPUTED_VALUE"""),46187.52380787037)</f>
        <v>46187.52381</v>
      </c>
      <c r="B5570" s="126">
        <f>IFERROR(__xludf.DUMMYFUNCTION("""COMPUTED_VALUE"""),46187.0)</f>
        <v>46187</v>
      </c>
      <c r="C5570" s="130">
        <f>IFERROR(__xludf.DUMMYFUNCTION("""COMPUTED_VALUE"""),0.5238078703703704)</f>
        <v>0.5238078704</v>
      </c>
      <c r="D5570" s="122" t="str">
        <f>IFERROR(__xludf.DUMMYFUNCTION("""COMPUTED_VALUE"""),"HOTL")</f>
        <v>HOTL</v>
      </c>
      <c r="E5570" s="122" t="str">
        <f>IFERROR(__xludf.DUMMYFUNCTION("""COMPUTED_VALUE"""),"HotelHive")</f>
        <v>HotelHive</v>
      </c>
      <c r="F5570" s="122" t="str">
        <f>IFERROR(__xludf.DUMMYFUNCTION("""COMPUTED_VALUE"""),"Real Estate")</f>
        <v>Real Estate</v>
      </c>
    </row>
    <row r="5571">
      <c r="A5571" s="131">
        <f>IFERROR(__xludf.DUMMYFUNCTION("""COMPUTED_VALUE"""),46187.52380787037)</f>
        <v>46187.52381</v>
      </c>
      <c r="B5571" s="126">
        <f>IFERROR(__xludf.DUMMYFUNCTION("""COMPUTED_VALUE"""),46187.0)</f>
        <v>46187</v>
      </c>
      <c r="C5571" s="130">
        <f>IFERROR(__xludf.DUMMYFUNCTION("""COMPUTED_VALUE"""),0.5238078703703704)</f>
        <v>0.5238078704</v>
      </c>
      <c r="D5571" s="122" t="str">
        <f>IFERROR(__xludf.DUMMYFUNCTION("""COMPUTED_VALUE"""),"LAND")</f>
        <v>LAND</v>
      </c>
      <c r="E5571" s="122" t="str">
        <f>IFERROR(__xludf.DUMMYFUNCTION("""COMPUTED_VALUE"""),"LandLink")</f>
        <v>LandLink</v>
      </c>
      <c r="F5571" s="122" t="str">
        <f>IFERROR(__xludf.DUMMYFUNCTION("""COMPUTED_VALUE"""),"Real Estate")</f>
        <v>Real Estate</v>
      </c>
    </row>
    <row r="5572">
      <c r="A5572" s="131">
        <f>IFERROR(__xludf.DUMMYFUNCTION("""COMPUTED_VALUE"""),46187.52380787037)</f>
        <v>46187.52381</v>
      </c>
      <c r="B5572" s="126">
        <f>IFERROR(__xludf.DUMMYFUNCTION("""COMPUTED_VALUE"""),46187.0)</f>
        <v>46187</v>
      </c>
      <c r="C5572" s="130">
        <f>IFERROR(__xludf.DUMMYFUNCTION("""COMPUTED_VALUE"""),0.5238078703703704)</f>
        <v>0.5238078704</v>
      </c>
      <c r="D5572" s="122" t="str">
        <f>IFERROR(__xludf.DUMMYFUNCTION("""COMPUTED_VALUE"""),"CARS")</f>
        <v>CARS</v>
      </c>
      <c r="E5572" s="122" t="str">
        <f>IFERROR(__xludf.DUMMYFUNCTION("""COMPUTED_VALUE"""),"AutoArena")</f>
        <v>AutoArena</v>
      </c>
      <c r="F5572" s="122" t="str">
        <f>IFERROR(__xludf.DUMMYFUNCTION("""COMPUTED_VALUE"""),"Automotive")</f>
        <v>Automotive</v>
      </c>
    </row>
    <row r="5573">
      <c r="A5573" s="131">
        <f>IFERROR(__xludf.DUMMYFUNCTION("""COMPUTED_VALUE"""),46187.52380787037)</f>
        <v>46187.52381</v>
      </c>
      <c r="B5573" s="126">
        <f>IFERROR(__xludf.DUMMYFUNCTION("""COMPUTED_VALUE"""),46187.0)</f>
        <v>46187</v>
      </c>
      <c r="C5573" s="130">
        <f>IFERROR(__xludf.DUMMYFUNCTION("""COMPUTED_VALUE"""),0.5238078703703704)</f>
        <v>0.5238078704</v>
      </c>
      <c r="D5573" s="122" t="str">
        <f>IFERROR(__xludf.DUMMYFUNCTION("""COMPUTED_VALUE"""),"EVGO")</f>
        <v>EVGO</v>
      </c>
      <c r="E5573" s="122" t="str">
        <f>IFERROR(__xludf.DUMMYFUNCTION("""COMPUTED_VALUE"""),"EVGo Motors")</f>
        <v>EVGo Motors</v>
      </c>
      <c r="F5573" s="122" t="str">
        <f>IFERROR(__xludf.DUMMYFUNCTION("""COMPUTED_VALUE"""),"Automotive")</f>
        <v>Automotive</v>
      </c>
    </row>
    <row r="5574">
      <c r="A5574" s="131">
        <f>IFERROR(__xludf.DUMMYFUNCTION("""COMPUTED_VALUE"""),46187.52380787037)</f>
        <v>46187.52381</v>
      </c>
      <c r="B5574" s="126">
        <f>IFERROR(__xludf.DUMMYFUNCTION("""COMPUTED_VALUE"""),46187.0)</f>
        <v>46187</v>
      </c>
      <c r="C5574" s="130">
        <f>IFERROR(__xludf.DUMMYFUNCTION("""COMPUTED_VALUE"""),0.5238078703703704)</f>
        <v>0.5238078704</v>
      </c>
      <c r="D5574" s="122" t="str">
        <f>IFERROR(__xludf.DUMMYFUNCTION("""COMPUTED_VALUE"""),"TIRE")</f>
        <v>TIRE</v>
      </c>
      <c r="E5574" s="122" t="str">
        <f>IFERROR(__xludf.DUMMYFUNCTION("""COMPUTED_VALUE"""),"TireTown")</f>
        <v>TireTown</v>
      </c>
      <c r="F5574" s="122" t="str">
        <f>IFERROR(__xludf.DUMMYFUNCTION("""COMPUTED_VALUE"""),"Automotive")</f>
        <v>Automotive</v>
      </c>
    </row>
    <row r="5575">
      <c r="A5575" s="131">
        <f>IFERROR(__xludf.DUMMYFUNCTION("""COMPUTED_VALUE"""),46187.52380787037)</f>
        <v>46187.52381</v>
      </c>
      <c r="B5575" s="126">
        <f>IFERROR(__xludf.DUMMYFUNCTION("""COMPUTED_VALUE"""),46187.0)</f>
        <v>46187</v>
      </c>
      <c r="C5575" s="130">
        <f>IFERROR(__xludf.DUMMYFUNCTION("""COMPUTED_VALUE"""),0.5238078703703704)</f>
        <v>0.5238078704</v>
      </c>
      <c r="D5575" s="122" t="str">
        <f>IFERROR(__xludf.DUMMYFUNCTION("""COMPUTED_VALUE"""),"BIKE")</f>
        <v>BIKE</v>
      </c>
      <c r="E5575" s="122" t="str">
        <f>IFERROR(__xludf.DUMMYFUNCTION("""COMPUTED_VALUE"""),"BikeBox")</f>
        <v>BikeBox</v>
      </c>
      <c r="F5575" s="122" t="str">
        <f>IFERROR(__xludf.DUMMYFUNCTION("""COMPUTED_VALUE"""),"Automotive")</f>
        <v>Automotive</v>
      </c>
    </row>
    <row r="5576">
      <c r="A5576" s="131">
        <f>IFERROR(__xludf.DUMMYFUNCTION("""COMPUTED_VALUE"""),46187.52380787037)</f>
        <v>46187.52381</v>
      </c>
      <c r="B5576" s="126">
        <f>IFERROR(__xludf.DUMMYFUNCTION("""COMPUTED_VALUE"""),46187.0)</f>
        <v>46187</v>
      </c>
      <c r="C5576" s="130">
        <f>IFERROR(__xludf.DUMMYFUNCTION("""COMPUTED_VALUE"""),0.5238078703703704)</f>
        <v>0.5238078704</v>
      </c>
      <c r="D5576" s="122" t="str">
        <f>IFERROR(__xludf.DUMMYFUNCTION("""COMPUTED_VALUE"""),"WASH")</f>
        <v>WASH</v>
      </c>
      <c r="E5576" s="122" t="str">
        <f>IFERROR(__xludf.DUMMYFUNCTION("""COMPUTED_VALUE"""),"CarWash Co")</f>
        <v>CarWash Co</v>
      </c>
      <c r="F5576" s="122" t="str">
        <f>IFERROR(__xludf.DUMMYFUNCTION("""COMPUTED_VALUE"""),"Automotive")</f>
        <v>Automotive</v>
      </c>
    </row>
    <row r="5577">
      <c r="A5577" s="131">
        <f>IFERROR(__xludf.DUMMYFUNCTION("""COMPUTED_VALUE"""),46187.52380787037)</f>
        <v>46187.52381</v>
      </c>
      <c r="B5577" s="126">
        <f>IFERROR(__xludf.DUMMYFUNCTION("""COMPUTED_VALUE"""),46187.0)</f>
        <v>46187</v>
      </c>
      <c r="C5577" s="130">
        <f>IFERROR(__xludf.DUMMYFUNCTION("""COMPUTED_VALUE"""),0.5238078703703704)</f>
        <v>0.5238078704</v>
      </c>
      <c r="D5577" s="122" t="str">
        <f>IFERROR(__xludf.DUMMYFUNCTION("""COMPUTED_VALUE"""),"GBND")</f>
        <v>GBND</v>
      </c>
      <c r="E5577" s="122" t="str">
        <f>IFERROR(__xludf.DUMMYFUNCTION("""COMPUTED_VALUE"""),"Classroom Government Bond")</f>
        <v>Classroom Government Bond</v>
      </c>
      <c r="F5577" s="122" t="str">
        <f>IFERROR(__xludf.DUMMYFUNCTION("""COMPUTED_VALUE"""),"Bond")</f>
        <v>Bond</v>
      </c>
    </row>
    <row r="5578">
      <c r="A5578" s="131">
        <f>IFERROR(__xludf.DUMMYFUNCTION("""COMPUTED_VALUE"""),46187.52380787037)</f>
        <v>46187.52381</v>
      </c>
      <c r="B5578" s="126">
        <f>IFERROR(__xludf.DUMMYFUNCTION("""COMPUTED_VALUE"""),46187.0)</f>
        <v>46187</v>
      </c>
      <c r="C5578" s="130">
        <f>IFERROR(__xludf.DUMMYFUNCTION("""COMPUTED_VALUE"""),0.5238078703703704)</f>
        <v>0.5238078704</v>
      </c>
      <c r="D5578" s="122" t="str">
        <f>IFERROR(__xludf.DUMMYFUNCTION("""COMPUTED_VALUE"""),"SBND")</f>
        <v>SBND</v>
      </c>
      <c r="E5578" s="122" t="str">
        <f>IFERROR(__xludf.DUMMYFUNCTION("""COMPUTED_VALUE"""),"School Savings Bond")</f>
        <v>School Savings Bond</v>
      </c>
      <c r="F5578" s="122" t="str">
        <f>IFERROR(__xludf.DUMMYFUNCTION("""COMPUTED_VALUE"""),"Bond")</f>
        <v>Bond</v>
      </c>
    </row>
    <row r="5579">
      <c r="A5579" s="131">
        <f>IFERROR(__xludf.DUMMYFUNCTION("""COMPUTED_VALUE"""),46187.52380787037)</f>
        <v>46187.52381</v>
      </c>
      <c r="B5579" s="126">
        <f>IFERROR(__xludf.DUMMYFUNCTION("""COMPUTED_VALUE"""),46187.0)</f>
        <v>46187</v>
      </c>
      <c r="C5579" s="130">
        <f>IFERROR(__xludf.DUMMYFUNCTION("""COMPUTED_VALUE"""),0.5238078703703704)</f>
        <v>0.5238078704</v>
      </c>
      <c r="D5579" s="122" t="str">
        <f>IFERROR(__xludf.DUMMYFUNCTION("""COMPUTED_VALUE"""),"CBND")</f>
        <v>CBND</v>
      </c>
      <c r="E5579" s="122" t="str">
        <f>IFERROR(__xludf.DUMMYFUNCTION("""COMPUTED_VALUE"""),"Corporate Classroom Bond")</f>
        <v>Corporate Classroom Bond</v>
      </c>
      <c r="F5579" s="122" t="str">
        <f>IFERROR(__xludf.DUMMYFUNCTION("""COMPUTED_VALUE"""),"Bond")</f>
        <v>Bond</v>
      </c>
    </row>
    <row r="5580">
      <c r="A5580" s="131">
        <f>IFERROR(__xludf.DUMMYFUNCTION("""COMPUTED_VALUE"""),46187.52380787037)</f>
        <v>46187.52381</v>
      </c>
      <c r="B5580" s="126">
        <f>IFERROR(__xludf.DUMMYFUNCTION("""COMPUTED_VALUE"""),46187.0)</f>
        <v>46187</v>
      </c>
      <c r="C5580" s="130">
        <f>IFERROR(__xludf.DUMMYFUNCTION("""COMPUTED_VALUE"""),0.5238078703703704)</f>
        <v>0.5238078704</v>
      </c>
      <c r="D5580" s="122" t="str">
        <f>IFERROR(__xludf.DUMMYFUNCTION("""COMPUTED_VALUE"""),"TBIL")</f>
        <v>TBIL</v>
      </c>
      <c r="E5580" s="122" t="str">
        <f>IFERROR(__xludf.DUMMYFUNCTION("""COMPUTED_VALUE"""),"Treasury Bill")</f>
        <v>Treasury Bill</v>
      </c>
      <c r="F5580" s="122" t="str">
        <f>IFERROR(__xludf.DUMMYFUNCTION("""COMPUTED_VALUE"""),"Bond")</f>
        <v>Bond</v>
      </c>
    </row>
    <row r="5581">
      <c r="A5581" s="131">
        <f>IFERROR(__xludf.DUMMYFUNCTION("""COMPUTED_VALUE"""),46187.52380787037)</f>
        <v>46187.52381</v>
      </c>
      <c r="B5581" s="126">
        <f>IFERROR(__xludf.DUMMYFUNCTION("""COMPUTED_VALUE"""),46187.0)</f>
        <v>46187</v>
      </c>
      <c r="C5581" s="130">
        <f>IFERROR(__xludf.DUMMYFUNCTION("""COMPUTED_VALUE"""),0.5238078703703704)</f>
        <v>0.5238078704</v>
      </c>
      <c r="D5581" s="122" t="str">
        <f>IFERROR(__xludf.DUMMYFUNCTION("""COMPUTED_VALUE"""),"IBND")</f>
        <v>IBND</v>
      </c>
      <c r="E5581" s="122" t="str">
        <f>IFERROR(__xludf.DUMMYFUNCTION("""COMPUTED_VALUE"""),"Inflation Protected Bond")</f>
        <v>Inflation Protected Bond</v>
      </c>
      <c r="F5581" s="122" t="str">
        <f>IFERROR(__xludf.DUMMYFUNCTION("""COMPUTED_VALUE"""),"Bond")</f>
        <v>Bond</v>
      </c>
    </row>
    <row r="5582">
      <c r="A5582" s="131">
        <f>IFERROR(__xludf.DUMMYFUNCTION("""COMPUTED_VALUE"""),46187.52579861111)</f>
        <v>46187.5258</v>
      </c>
      <c r="B5582" s="126">
        <f>IFERROR(__xludf.DUMMYFUNCTION("""COMPUTED_VALUE"""),46187.0)</f>
        <v>46187</v>
      </c>
      <c r="C5582" s="122" t="str">
        <f>IFERROR(__xludf.DUMMYFUNCTION("""COMPUTED_VALUE"""),"SNAX")</f>
        <v>SNAX</v>
      </c>
      <c r="D5582" s="122" t="str">
        <f>IFERROR(__xludf.DUMMYFUNCTION("""COMPUTED_VALUE"""),"MICA Snacks")</f>
        <v>MICA Snacks</v>
      </c>
      <c r="E5582" s="122">
        <f>IFERROR(__xludf.DUMMYFUNCTION("""COMPUTED_VALUE"""),120.19)</f>
        <v>120.19</v>
      </c>
      <c r="F5582" s="122">
        <f>IFERROR(__xludf.DUMMYFUNCTION("""COMPUTED_VALUE"""),-0.0026)</f>
        <v>-0.0026</v>
      </c>
    </row>
    <row r="5583">
      <c r="A5583" s="131">
        <f>IFERROR(__xludf.DUMMYFUNCTION("""COMPUTED_VALUE"""),46187.52579861111)</f>
        <v>46187.5258</v>
      </c>
      <c r="B5583" s="126">
        <f>IFERROR(__xludf.DUMMYFUNCTION("""COMPUTED_VALUE"""),46187.0)</f>
        <v>46187</v>
      </c>
      <c r="C5583" s="122" t="str">
        <f>IFERROR(__xludf.DUMMYFUNCTION("""COMPUTED_VALUE"""),"RAMN")</f>
        <v>RAMN</v>
      </c>
      <c r="D5583" s="122" t="str">
        <f>IFERROR(__xludf.DUMMYFUNCTION("""COMPUTED_VALUE"""),"Ramen Republic")</f>
        <v>Ramen Republic</v>
      </c>
      <c r="E5583" s="122">
        <f>IFERROR(__xludf.DUMMYFUNCTION("""COMPUTED_VALUE"""),68.0)</f>
        <v>68</v>
      </c>
      <c r="F5583" s="122">
        <f>IFERROR(__xludf.DUMMYFUNCTION("""COMPUTED_VALUE"""),4.0E-4)</f>
        <v>0.0004</v>
      </c>
    </row>
    <row r="5584">
      <c r="A5584" s="131">
        <f>IFERROR(__xludf.DUMMYFUNCTION("""COMPUTED_VALUE"""),46187.52579861111)</f>
        <v>46187.5258</v>
      </c>
      <c r="B5584" s="126">
        <f>IFERROR(__xludf.DUMMYFUNCTION("""COMPUTED_VALUE"""),46187.0)</f>
        <v>46187</v>
      </c>
      <c r="C5584" s="122" t="str">
        <f>IFERROR(__xludf.DUMMYFUNCTION("""COMPUTED_VALUE"""),"COLA")</f>
        <v>COLA</v>
      </c>
      <c r="D5584" s="122" t="str">
        <f>IFERROR(__xludf.DUMMYFUNCTION("""COMPUTED_VALUE"""),"K-Pop Cola")</f>
        <v>K-Pop Cola</v>
      </c>
      <c r="E5584" s="122">
        <f>IFERROR(__xludf.DUMMYFUNCTION("""COMPUTED_VALUE"""),114.55)</f>
        <v>114.55</v>
      </c>
      <c r="F5584" s="122">
        <f>IFERROR(__xludf.DUMMYFUNCTION("""COMPUTED_VALUE"""),0.0042)</f>
        <v>0.0042</v>
      </c>
    </row>
    <row r="5585">
      <c r="A5585" s="131">
        <f>IFERROR(__xludf.DUMMYFUNCTION("""COMPUTED_VALUE"""),46187.52579861111)</f>
        <v>46187.5258</v>
      </c>
      <c r="B5585" s="126">
        <f>IFERROR(__xludf.DUMMYFUNCTION("""COMPUTED_VALUE"""),46187.0)</f>
        <v>46187</v>
      </c>
      <c r="C5585" s="122" t="str">
        <f>IFERROR(__xludf.DUMMYFUNCTION("""COMPUTED_VALUE"""),"CHIP")</f>
        <v>CHIP</v>
      </c>
      <c r="D5585" s="122" t="str">
        <f>IFERROR(__xludf.DUMMYFUNCTION("""COMPUTED_VALUE"""),"Chip Empire")</f>
        <v>Chip Empire</v>
      </c>
      <c r="E5585" s="122">
        <f>IFERROR(__xludf.DUMMYFUNCTION("""COMPUTED_VALUE"""),85.38)</f>
        <v>85.38</v>
      </c>
      <c r="F5585" s="122">
        <f>IFERROR(__xludf.DUMMYFUNCTION("""COMPUTED_VALUE"""),-0.0063)</f>
        <v>-0.0063</v>
      </c>
    </row>
    <row r="5586">
      <c r="A5586" s="131">
        <f>IFERROR(__xludf.DUMMYFUNCTION("""COMPUTED_VALUE"""),46187.52579861111)</f>
        <v>46187.5258</v>
      </c>
      <c r="B5586" s="126">
        <f>IFERROR(__xludf.DUMMYFUNCTION("""COMPUTED_VALUE"""),46187.0)</f>
        <v>46187</v>
      </c>
      <c r="C5586" s="122" t="str">
        <f>IFERROR(__xludf.DUMMYFUNCTION("""COMPUTED_VALUE"""),"CAND")</f>
        <v>CAND</v>
      </c>
      <c r="D5586" s="122" t="str">
        <f>IFERROR(__xludf.DUMMYFUNCTION("""COMPUTED_VALUE"""),"Candy Capital")</f>
        <v>Candy Capital</v>
      </c>
      <c r="E5586" s="122">
        <f>IFERROR(__xludf.DUMMYFUNCTION("""COMPUTED_VALUE"""),77.42)</f>
        <v>77.42</v>
      </c>
      <c r="F5586" s="122">
        <f>IFERROR(__xludf.DUMMYFUNCTION("""COMPUTED_VALUE"""),0.0089)</f>
        <v>0.0089</v>
      </c>
    </row>
    <row r="5587">
      <c r="A5587" s="131">
        <f>IFERROR(__xludf.DUMMYFUNCTION("""COMPUTED_VALUE"""),46187.52579861111)</f>
        <v>46187.5258</v>
      </c>
      <c r="B5587" s="126">
        <f>IFERROR(__xludf.DUMMYFUNCTION("""COMPUTED_VALUE"""),46187.0)</f>
        <v>46187</v>
      </c>
      <c r="C5587" s="122" t="str">
        <f>IFERROR(__xludf.DUMMYFUNCTION("""COMPUTED_VALUE"""),"TECH")</f>
        <v>TECH</v>
      </c>
      <c r="D5587" s="122" t="str">
        <f>IFERROR(__xludf.DUMMYFUNCTION("""COMPUTED_VALUE"""),"Dragon Tech")</f>
        <v>Dragon Tech</v>
      </c>
      <c r="E5587" s="122">
        <f>IFERROR(__xludf.DUMMYFUNCTION("""COMPUTED_VALUE"""),242.42)</f>
        <v>242.42</v>
      </c>
      <c r="F5587" s="122">
        <f>IFERROR(__xludf.DUMMYFUNCTION("""COMPUTED_VALUE"""),-0.0046)</f>
        <v>-0.0046</v>
      </c>
    </row>
    <row r="5588">
      <c r="A5588" s="131">
        <f>IFERROR(__xludf.DUMMYFUNCTION("""COMPUTED_VALUE"""),46187.52579861111)</f>
        <v>46187.5258</v>
      </c>
      <c r="B5588" s="126">
        <f>IFERROR(__xludf.DUMMYFUNCTION("""COMPUTED_VALUE"""),46187.0)</f>
        <v>46187</v>
      </c>
      <c r="C5588" s="122" t="str">
        <f>IFERROR(__xludf.DUMMYFUNCTION("""COMPUTED_VALUE"""),"AIBO")</f>
        <v>AIBO</v>
      </c>
      <c r="D5588" s="122" t="str">
        <f>IFERROR(__xludf.DUMMYFUNCTION("""COMPUTED_VALUE"""),"Homework AI")</f>
        <v>Homework AI</v>
      </c>
      <c r="E5588" s="122">
        <f>IFERROR(__xludf.DUMMYFUNCTION("""COMPUTED_VALUE"""),181.0)</f>
        <v>181</v>
      </c>
      <c r="F5588" s="122">
        <f>IFERROR(__xludf.DUMMYFUNCTION("""COMPUTED_VALUE"""),0.0147)</f>
        <v>0.0147</v>
      </c>
    </row>
    <row r="5589">
      <c r="A5589" s="131">
        <f>IFERROR(__xludf.DUMMYFUNCTION("""COMPUTED_VALUE"""),46187.52579861111)</f>
        <v>46187.5258</v>
      </c>
      <c r="B5589" s="126">
        <f>IFERROR(__xludf.DUMMYFUNCTION("""COMPUTED_VALUE"""),46187.0)</f>
        <v>46187</v>
      </c>
      <c r="C5589" s="122" t="str">
        <f>IFERROR(__xludf.DUMMYFUNCTION("""COMPUTED_VALUE"""),"GAME")</f>
        <v>GAME</v>
      </c>
      <c r="D5589" s="122" t="str">
        <f>IFERROR(__xludf.DUMMYFUNCTION("""COMPUTED_VALUE"""),"GameBox Media")</f>
        <v>GameBox Media</v>
      </c>
      <c r="E5589" s="122">
        <f>IFERROR(__xludf.DUMMYFUNCTION("""COMPUTED_VALUE"""),99.37)</f>
        <v>99.37</v>
      </c>
      <c r="F5589" s="122">
        <f>IFERROR(__xludf.DUMMYFUNCTION("""COMPUTED_VALUE"""),0.01)</f>
        <v>0.01</v>
      </c>
    </row>
    <row r="5590">
      <c r="A5590" s="131">
        <f>IFERROR(__xludf.DUMMYFUNCTION("""COMPUTED_VALUE"""),46187.52579861111)</f>
        <v>46187.5258</v>
      </c>
      <c r="B5590" s="126">
        <f>IFERROR(__xludf.DUMMYFUNCTION("""COMPUTED_VALUE"""),46187.0)</f>
        <v>46187</v>
      </c>
      <c r="C5590" s="122" t="str">
        <f>IFERROR(__xludf.DUMMYFUNCTION("""COMPUTED_VALUE"""),"VRSE")</f>
        <v>VRSE</v>
      </c>
      <c r="D5590" s="122" t="str">
        <f>IFERROR(__xludf.DUMMYFUNCTION("""COMPUTED_VALUE"""),"VerseVR")</f>
        <v>VerseVR</v>
      </c>
      <c r="E5590" s="122">
        <f>IFERROR(__xludf.DUMMYFUNCTION("""COMPUTED_VALUE"""),149.79)</f>
        <v>149.79</v>
      </c>
      <c r="F5590" s="122">
        <f>IFERROR(__xludf.DUMMYFUNCTION("""COMPUTED_VALUE"""),0.0017)</f>
        <v>0.0017</v>
      </c>
    </row>
    <row r="5591">
      <c r="A5591" s="131">
        <f>IFERROR(__xludf.DUMMYFUNCTION("""COMPUTED_VALUE"""),46187.52579861111)</f>
        <v>46187.5258</v>
      </c>
      <c r="B5591" s="126">
        <f>IFERROR(__xludf.DUMMYFUNCTION("""COMPUTED_VALUE"""),46187.0)</f>
        <v>46187</v>
      </c>
      <c r="C5591" s="122" t="str">
        <f>IFERROR(__xludf.DUMMYFUNCTION("""COMPUTED_VALUE"""),"BYTE")</f>
        <v>BYTE</v>
      </c>
      <c r="D5591" s="122" t="str">
        <f>IFERROR(__xludf.DUMMYFUNCTION("""COMPUTED_VALUE"""),"ByteWorks")</f>
        <v>ByteWorks</v>
      </c>
      <c r="E5591" s="122">
        <f>IFERROR(__xludf.DUMMYFUNCTION("""COMPUTED_VALUE"""),113.05)</f>
        <v>113.05</v>
      </c>
      <c r="F5591" s="122">
        <f>IFERROR(__xludf.DUMMYFUNCTION("""COMPUTED_VALUE"""),0.0093)</f>
        <v>0.0093</v>
      </c>
    </row>
    <row r="5592">
      <c r="A5592" s="131">
        <f>IFERROR(__xludf.DUMMYFUNCTION("""COMPUTED_VALUE"""),46187.52579861111)</f>
        <v>46187.5258</v>
      </c>
      <c r="B5592" s="126">
        <f>IFERROR(__xludf.DUMMYFUNCTION("""COMPUTED_VALUE"""),46187.0)</f>
        <v>46187</v>
      </c>
      <c r="C5592" s="122" t="str">
        <f>IFERROR(__xludf.DUMMYFUNCTION("""COMPUTED_VALUE"""),"BANK")</f>
        <v>BANK</v>
      </c>
      <c r="D5592" s="122" t="str">
        <f>IFERROR(__xludf.DUMMYFUNCTION("""COMPUTED_VALUE"""),"Tiger Bank")</f>
        <v>Tiger Bank</v>
      </c>
      <c r="E5592" s="122">
        <f>IFERROR(__xludf.DUMMYFUNCTION("""COMPUTED_VALUE"""),128.6)</f>
        <v>128.6</v>
      </c>
      <c r="F5592" s="122">
        <f>IFERROR(__xludf.DUMMYFUNCTION("""COMPUTED_VALUE"""),-0.001)</f>
        <v>-0.001</v>
      </c>
    </row>
    <row r="5593">
      <c r="A5593" s="131">
        <f>IFERROR(__xludf.DUMMYFUNCTION("""COMPUTED_VALUE"""),46187.52579861111)</f>
        <v>46187.5258</v>
      </c>
      <c r="B5593" s="126">
        <f>IFERROR(__xludf.DUMMYFUNCTION("""COMPUTED_VALUE"""),46187.0)</f>
        <v>46187</v>
      </c>
      <c r="C5593" s="122" t="str">
        <f>IFERROR(__xludf.DUMMYFUNCTION("""COMPUTED_VALUE"""),"CRED")</f>
        <v>CRED</v>
      </c>
      <c r="D5593" s="122" t="str">
        <f>IFERROR(__xludf.DUMMYFUNCTION("""COMPUTED_VALUE"""),"Credit Castle")</f>
        <v>Credit Castle</v>
      </c>
      <c r="E5593" s="122">
        <f>IFERROR(__xludf.DUMMYFUNCTION("""COMPUTED_VALUE"""),66.55)</f>
        <v>66.55</v>
      </c>
      <c r="F5593" s="122">
        <f>IFERROR(__xludf.DUMMYFUNCTION("""COMPUTED_VALUE"""),0.0)</f>
        <v>0</v>
      </c>
    </row>
    <row r="5594">
      <c r="A5594" s="131">
        <f>IFERROR(__xludf.DUMMYFUNCTION("""COMPUTED_VALUE"""),46187.52579861111)</f>
        <v>46187.5258</v>
      </c>
      <c r="B5594" s="126">
        <f>IFERROR(__xludf.DUMMYFUNCTION("""COMPUTED_VALUE"""),46187.0)</f>
        <v>46187</v>
      </c>
      <c r="C5594" s="122" t="str">
        <f>IFERROR(__xludf.DUMMYFUNCTION("""COMPUTED_VALUE"""),"BOND")</f>
        <v>BOND</v>
      </c>
      <c r="D5594" s="122" t="str">
        <f>IFERROR(__xludf.DUMMYFUNCTION("""COMPUTED_VALUE"""),"BondBridge")</f>
        <v>BondBridge</v>
      </c>
      <c r="E5594" s="122">
        <f>IFERROR(__xludf.DUMMYFUNCTION("""COMPUTED_VALUE"""),100.57)</f>
        <v>100.57</v>
      </c>
      <c r="F5594" s="122">
        <f>IFERROR(__xludf.DUMMYFUNCTION("""COMPUTED_VALUE"""),4.0E-4)</f>
        <v>0.0004</v>
      </c>
    </row>
    <row r="5595">
      <c r="A5595" s="131">
        <f>IFERROR(__xludf.DUMMYFUNCTION("""COMPUTED_VALUE"""),46187.52579861111)</f>
        <v>46187.5258</v>
      </c>
      <c r="B5595" s="126">
        <f>IFERROR(__xludf.DUMMYFUNCTION("""COMPUTED_VALUE"""),46187.0)</f>
        <v>46187</v>
      </c>
      <c r="C5595" s="122" t="str">
        <f>IFERROR(__xludf.DUMMYFUNCTION("""COMPUTED_VALUE"""),"INSR")</f>
        <v>INSR</v>
      </c>
      <c r="D5595" s="122" t="str">
        <f>IFERROR(__xludf.DUMMYFUNCTION("""COMPUTED_VALUE"""),"Shield Insurance")</f>
        <v>Shield Insurance</v>
      </c>
      <c r="E5595" s="122">
        <f>IFERROR(__xludf.DUMMYFUNCTION("""COMPUTED_VALUE"""),159.87)</f>
        <v>159.87</v>
      </c>
      <c r="F5595" s="122">
        <f>IFERROR(__xludf.DUMMYFUNCTION("""COMPUTED_VALUE"""),-3.0E-4)</f>
        <v>-0.0003</v>
      </c>
    </row>
    <row r="5596">
      <c r="A5596" s="131">
        <f>IFERROR(__xludf.DUMMYFUNCTION("""COMPUTED_VALUE"""),46187.52579861111)</f>
        <v>46187.5258</v>
      </c>
      <c r="B5596" s="126">
        <f>IFERROR(__xludf.DUMMYFUNCTION("""COMPUTED_VALUE"""),46187.0)</f>
        <v>46187</v>
      </c>
      <c r="C5596" s="122" t="str">
        <f>IFERROR(__xludf.DUMMYFUNCTION("""COMPUTED_VALUE"""),"LOAN")</f>
        <v>LOAN</v>
      </c>
      <c r="D5596" s="122" t="str">
        <f>IFERROR(__xludf.DUMMYFUNCTION("""COMPUTED_VALUE"""),"LoanLab")</f>
        <v>LoanLab</v>
      </c>
      <c r="E5596" s="122">
        <f>IFERROR(__xludf.DUMMYFUNCTION("""COMPUTED_VALUE"""),66.02)</f>
        <v>66.02</v>
      </c>
      <c r="F5596" s="122">
        <f>IFERROR(__xludf.DUMMYFUNCTION("""COMPUTED_VALUE"""),0.007)</f>
        <v>0.007</v>
      </c>
    </row>
    <row r="5597">
      <c r="A5597" s="131">
        <f>IFERROR(__xludf.DUMMYFUNCTION("""COMPUTED_VALUE"""),46187.52579861111)</f>
        <v>46187.5258</v>
      </c>
      <c r="B5597" s="126">
        <f>IFERROR(__xludf.DUMMYFUNCTION("""COMPUTED_VALUE"""),46187.0)</f>
        <v>46187</v>
      </c>
      <c r="C5597" s="122" t="str">
        <f>IFERROR(__xludf.DUMMYFUNCTION("""COMPUTED_VALUE"""),"LUXE")</f>
        <v>LUXE</v>
      </c>
      <c r="D5597" s="122" t="str">
        <f>IFERROR(__xludf.DUMMYFUNCTION("""COMPUTED_VALUE"""),"Luxury Locker")</f>
        <v>Luxury Locker</v>
      </c>
      <c r="E5597" s="122">
        <f>IFERROR(__xludf.DUMMYFUNCTION("""COMPUTED_VALUE"""),266.77)</f>
        <v>266.77</v>
      </c>
      <c r="F5597" s="122">
        <f>IFERROR(__xludf.DUMMYFUNCTION("""COMPUTED_VALUE"""),-0.0051)</f>
        <v>-0.0051</v>
      </c>
    </row>
    <row r="5598">
      <c r="A5598" s="131">
        <f>IFERROR(__xludf.DUMMYFUNCTION("""COMPUTED_VALUE"""),46187.52579861111)</f>
        <v>46187.5258</v>
      </c>
      <c r="B5598" s="126">
        <f>IFERROR(__xludf.DUMMYFUNCTION("""COMPUTED_VALUE"""),46187.0)</f>
        <v>46187</v>
      </c>
      <c r="C5598" s="122" t="str">
        <f>IFERROR(__xludf.DUMMYFUNCTION("""COMPUTED_VALUE"""),"DRIP")</f>
        <v>DRIP</v>
      </c>
      <c r="D5598" s="122" t="str">
        <f>IFERROR(__xludf.DUMMYFUNCTION("""COMPUTED_VALUE"""),"Drip Streetwear")</f>
        <v>Drip Streetwear</v>
      </c>
      <c r="E5598" s="122">
        <f>IFERROR(__xludf.DUMMYFUNCTION("""COMPUTED_VALUE"""),198.25)</f>
        <v>198.25</v>
      </c>
      <c r="F5598" s="122">
        <f>IFERROR(__xludf.DUMMYFUNCTION("""COMPUTED_VALUE"""),-0.002)</f>
        <v>-0.002</v>
      </c>
    </row>
    <row r="5599">
      <c r="A5599" s="131">
        <f>IFERROR(__xludf.DUMMYFUNCTION("""COMPUTED_VALUE"""),46187.52579861111)</f>
        <v>46187.5258</v>
      </c>
      <c r="B5599" s="126">
        <f>IFERROR(__xludf.DUMMYFUNCTION("""COMPUTED_VALUE"""),46187.0)</f>
        <v>46187</v>
      </c>
      <c r="C5599" s="122" t="str">
        <f>IFERROR(__xludf.DUMMYFUNCTION("""COMPUTED_VALUE"""),"KICK")</f>
        <v>KICK</v>
      </c>
      <c r="D5599" s="122" t="str">
        <f>IFERROR(__xludf.DUMMYFUNCTION("""COMPUTED_VALUE"""),"KickDrop Sneakers")</f>
        <v>KickDrop Sneakers</v>
      </c>
      <c r="E5599" s="122">
        <f>IFERROR(__xludf.DUMMYFUNCTION("""COMPUTED_VALUE"""),169.5)</f>
        <v>169.5</v>
      </c>
      <c r="F5599" s="122">
        <f>IFERROR(__xludf.DUMMYFUNCTION("""COMPUTED_VALUE"""),0.0043)</f>
        <v>0.0043</v>
      </c>
    </row>
    <row r="5600">
      <c r="A5600" s="131">
        <f>IFERROR(__xludf.DUMMYFUNCTION("""COMPUTED_VALUE"""),46187.52579861111)</f>
        <v>46187.5258</v>
      </c>
      <c r="B5600" s="126">
        <f>IFERROR(__xludf.DUMMYFUNCTION("""COMPUTED_VALUE"""),46187.0)</f>
        <v>46187</v>
      </c>
      <c r="C5600" s="122" t="str">
        <f>IFERROR(__xludf.DUMMYFUNCTION("""COMPUTED_VALUE"""),"GLAM")</f>
        <v>GLAM</v>
      </c>
      <c r="D5600" s="122" t="str">
        <f>IFERROR(__xludf.DUMMYFUNCTION("""COMPUTED_VALUE"""),"Glow Cosmetics")</f>
        <v>Glow Cosmetics</v>
      </c>
      <c r="E5600" s="122">
        <f>IFERROR(__xludf.DUMMYFUNCTION("""COMPUTED_VALUE"""),107.97)</f>
        <v>107.97</v>
      </c>
      <c r="F5600" s="122">
        <f>IFERROR(__xludf.DUMMYFUNCTION("""COMPUTED_VALUE"""),0.0017)</f>
        <v>0.0017</v>
      </c>
    </row>
    <row r="5601">
      <c r="A5601" s="131">
        <f>IFERROR(__xludf.DUMMYFUNCTION("""COMPUTED_VALUE"""),46187.52579861111)</f>
        <v>46187.5258</v>
      </c>
      <c r="B5601" s="126">
        <f>IFERROR(__xludf.DUMMYFUNCTION("""COMPUTED_VALUE"""),46187.0)</f>
        <v>46187</v>
      </c>
      <c r="C5601" s="122" t="str">
        <f>IFERROR(__xludf.DUMMYFUNCTION("""COMPUTED_VALUE"""),"BAGG")</f>
        <v>BAGG</v>
      </c>
      <c r="D5601" s="122" t="str">
        <f>IFERROR(__xludf.DUMMYFUNCTION("""COMPUTED_VALUE"""),"BagVault")</f>
        <v>BagVault</v>
      </c>
      <c r="E5601" s="122">
        <f>IFERROR(__xludf.DUMMYFUNCTION("""COMPUTED_VALUE"""),251.85)</f>
        <v>251.85</v>
      </c>
      <c r="F5601" s="122">
        <f>IFERROR(__xludf.DUMMYFUNCTION("""COMPUTED_VALUE"""),-0.0012)</f>
        <v>-0.0012</v>
      </c>
    </row>
    <row r="5602">
      <c r="A5602" s="131">
        <f>IFERROR(__xludf.DUMMYFUNCTION("""COMPUTED_VALUE"""),46187.52579861111)</f>
        <v>46187.5258</v>
      </c>
      <c r="B5602" s="126">
        <f>IFERROR(__xludf.DUMMYFUNCTION("""COMPUTED_VALUE"""),46187.0)</f>
        <v>46187</v>
      </c>
      <c r="C5602" s="122" t="str">
        <f>IFERROR(__xludf.DUMMYFUNCTION("""COMPUTED_VALUE"""),"FAST")</f>
        <v>FAST</v>
      </c>
      <c r="D5602" s="122" t="str">
        <f>IFERROR(__xludf.DUMMYFUNCTION("""COMPUTED_VALUE"""),"Flash Logistics")</f>
        <v>Flash Logistics</v>
      </c>
      <c r="E5602" s="122">
        <f>IFERROR(__xludf.DUMMYFUNCTION("""COMPUTED_VALUE"""),104.85)</f>
        <v>104.85</v>
      </c>
      <c r="F5602" s="122">
        <f>IFERROR(__xludf.DUMMYFUNCTION("""COMPUTED_VALUE"""),-3.0E-4)</f>
        <v>-0.0003</v>
      </c>
    </row>
    <row r="5603">
      <c r="A5603" s="131">
        <f>IFERROR(__xludf.DUMMYFUNCTION("""COMPUTED_VALUE"""),46187.52579861111)</f>
        <v>46187.5258</v>
      </c>
      <c r="B5603" s="126">
        <f>IFERROR(__xludf.DUMMYFUNCTION("""COMPUTED_VALUE"""),46187.0)</f>
        <v>46187</v>
      </c>
      <c r="C5603" s="122" t="str">
        <f>IFERROR(__xludf.DUMMYFUNCTION("""COMPUTED_VALUE"""),"SHIP")</f>
        <v>SHIP</v>
      </c>
      <c r="D5603" s="122" t="str">
        <f>IFERROR(__xludf.DUMMYFUNCTION("""COMPUTED_VALUE"""),"Seoul Shipping")</f>
        <v>Seoul Shipping</v>
      </c>
      <c r="E5603" s="122">
        <f>IFERROR(__xludf.DUMMYFUNCTION("""COMPUTED_VALUE"""),127.84)</f>
        <v>127.84</v>
      </c>
      <c r="F5603" s="122">
        <f>IFERROR(__xludf.DUMMYFUNCTION("""COMPUTED_VALUE"""),-9.0E-4)</f>
        <v>-0.0009</v>
      </c>
    </row>
    <row r="5604">
      <c r="A5604" s="131">
        <f>IFERROR(__xludf.DUMMYFUNCTION("""COMPUTED_VALUE"""),46187.52579861111)</f>
        <v>46187.5258</v>
      </c>
      <c r="B5604" s="126">
        <f>IFERROR(__xludf.DUMMYFUNCTION("""COMPUTED_VALUE"""),46187.0)</f>
        <v>46187</v>
      </c>
      <c r="C5604" s="122" t="str">
        <f>IFERROR(__xludf.DUMMYFUNCTION("""COMPUTED_VALUE"""),"DRON")</f>
        <v>DRON</v>
      </c>
      <c r="D5604" s="122" t="str">
        <f>IFERROR(__xludf.DUMMYFUNCTION("""COMPUTED_VALUE"""),"DroneDrop")</f>
        <v>DroneDrop</v>
      </c>
      <c r="E5604" s="122">
        <f>IFERROR(__xludf.DUMMYFUNCTION("""COMPUTED_VALUE"""),128.4)</f>
        <v>128.4</v>
      </c>
      <c r="F5604" s="122">
        <f>IFERROR(__xludf.DUMMYFUNCTION("""COMPUTED_VALUE"""),0.0056)</f>
        <v>0.0056</v>
      </c>
    </row>
    <row r="5605">
      <c r="A5605" s="131">
        <f>IFERROR(__xludf.DUMMYFUNCTION("""COMPUTED_VALUE"""),46187.52579861111)</f>
        <v>46187.5258</v>
      </c>
      <c r="B5605" s="126">
        <f>IFERROR(__xludf.DUMMYFUNCTION("""COMPUTED_VALUE"""),46187.0)</f>
        <v>46187</v>
      </c>
      <c r="C5605" s="122" t="str">
        <f>IFERROR(__xludf.DUMMYFUNCTION("""COMPUTED_VALUE"""),"RIDE")</f>
        <v>RIDE</v>
      </c>
      <c r="D5605" s="122" t="str">
        <f>IFERROR(__xludf.DUMMYFUNCTION("""COMPUTED_VALUE"""),"QuickRide")</f>
        <v>QuickRide</v>
      </c>
      <c r="E5605" s="122">
        <f>IFERROR(__xludf.DUMMYFUNCTION("""COMPUTED_VALUE"""),97.55)</f>
        <v>97.55</v>
      </c>
      <c r="F5605" s="122">
        <f>IFERROR(__xludf.DUMMYFUNCTION("""COMPUTED_VALUE"""),0.0064)</f>
        <v>0.0064</v>
      </c>
    </row>
    <row r="5606">
      <c r="A5606" s="131">
        <f>IFERROR(__xludf.DUMMYFUNCTION("""COMPUTED_VALUE"""),46187.52579861111)</f>
        <v>46187.5258</v>
      </c>
      <c r="B5606" s="126">
        <f>IFERROR(__xludf.DUMMYFUNCTION("""COMPUTED_VALUE"""),46187.0)</f>
        <v>46187</v>
      </c>
      <c r="C5606" s="122" t="str">
        <f>IFERROR(__xludf.DUMMYFUNCTION("""COMPUTED_VALUE"""),"RAIL")</f>
        <v>RAIL</v>
      </c>
      <c r="D5606" s="122" t="str">
        <f>IFERROR(__xludf.DUMMYFUNCTION("""COMPUTED_VALUE"""),"MetroRail Corp")</f>
        <v>MetroRail Corp</v>
      </c>
      <c r="E5606" s="122">
        <f>IFERROR(__xludf.DUMMYFUNCTION("""COMPUTED_VALUE"""),133.19)</f>
        <v>133.19</v>
      </c>
      <c r="F5606" s="122">
        <f>IFERROR(__xludf.DUMMYFUNCTION("""COMPUTED_VALUE"""),-0.0023)</f>
        <v>-0.0023</v>
      </c>
    </row>
    <row r="5607">
      <c r="A5607" s="131">
        <f>IFERROR(__xludf.DUMMYFUNCTION("""COMPUTED_VALUE"""),46187.52579861111)</f>
        <v>46187.5258</v>
      </c>
      <c r="B5607" s="126">
        <f>IFERROR(__xludf.DUMMYFUNCTION("""COMPUTED_VALUE"""),46187.0)</f>
        <v>46187</v>
      </c>
      <c r="C5607" s="122" t="str">
        <f>IFERROR(__xludf.DUMMYFUNCTION("""COMPUTED_VALUE"""),"MEDX")</f>
        <v>MEDX</v>
      </c>
      <c r="D5607" s="122" t="str">
        <f>IFERROR(__xludf.DUMMYFUNCTION("""COMPUTED_VALUE"""),"MediCore")</f>
        <v>MediCore</v>
      </c>
      <c r="E5607" s="122">
        <f>IFERROR(__xludf.DUMMYFUNCTION("""COMPUTED_VALUE"""),137.88)</f>
        <v>137.88</v>
      </c>
      <c r="F5607" s="122">
        <f>IFERROR(__xludf.DUMMYFUNCTION("""COMPUTED_VALUE"""),-0.0025)</f>
        <v>-0.0025</v>
      </c>
    </row>
    <row r="5608">
      <c r="A5608" s="131">
        <f>IFERROR(__xludf.DUMMYFUNCTION("""COMPUTED_VALUE"""),46187.52579861111)</f>
        <v>46187.5258</v>
      </c>
      <c r="B5608" s="126">
        <f>IFERROR(__xludf.DUMMYFUNCTION("""COMPUTED_VALUE"""),46187.0)</f>
        <v>46187</v>
      </c>
      <c r="C5608" s="122" t="str">
        <f>IFERROR(__xludf.DUMMYFUNCTION("""COMPUTED_VALUE"""),"GYMX")</f>
        <v>GYMX</v>
      </c>
      <c r="D5608" s="122" t="str">
        <f>IFERROR(__xludf.DUMMYFUNCTION("""COMPUTED_VALUE"""),"GymX Fitness")</f>
        <v>GymX Fitness</v>
      </c>
      <c r="E5608" s="122">
        <f>IFERROR(__xludf.DUMMYFUNCTION("""COMPUTED_VALUE"""),86.66)</f>
        <v>86.66</v>
      </c>
      <c r="F5608" s="122">
        <f>IFERROR(__xludf.DUMMYFUNCTION("""COMPUTED_VALUE"""),-0.0049)</f>
        <v>-0.0049</v>
      </c>
    </row>
    <row r="5609">
      <c r="A5609" s="131">
        <f>IFERROR(__xludf.DUMMYFUNCTION("""COMPUTED_VALUE"""),46187.52579861111)</f>
        <v>46187.5258</v>
      </c>
      <c r="B5609" s="126">
        <f>IFERROR(__xludf.DUMMYFUNCTION("""COMPUTED_VALUE"""),46187.0)</f>
        <v>46187</v>
      </c>
      <c r="C5609" s="122" t="str">
        <f>IFERROR(__xludf.DUMMYFUNCTION("""COMPUTED_VALUE"""),"VITA")</f>
        <v>VITA</v>
      </c>
      <c r="D5609" s="122" t="str">
        <f>IFERROR(__xludf.DUMMYFUNCTION("""COMPUTED_VALUE"""),"VitaPlus")</f>
        <v>VitaPlus</v>
      </c>
      <c r="E5609" s="122">
        <f>IFERROR(__xludf.DUMMYFUNCTION("""COMPUTED_VALUE"""),72.23)</f>
        <v>72.23</v>
      </c>
      <c r="F5609" s="122">
        <f>IFERROR(__xludf.DUMMYFUNCTION("""COMPUTED_VALUE"""),-4.0E-4)</f>
        <v>-0.0004</v>
      </c>
    </row>
    <row r="5610">
      <c r="A5610" s="131">
        <f>IFERROR(__xludf.DUMMYFUNCTION("""COMPUTED_VALUE"""),46187.52579861111)</f>
        <v>46187.5258</v>
      </c>
      <c r="B5610" s="126">
        <f>IFERROR(__xludf.DUMMYFUNCTION("""COMPUTED_VALUE"""),46187.0)</f>
        <v>46187</v>
      </c>
      <c r="C5610" s="122" t="str">
        <f>IFERROR(__xludf.DUMMYFUNCTION("""COMPUTED_VALUE"""),"CARE")</f>
        <v>CARE</v>
      </c>
      <c r="D5610" s="122" t="str">
        <f>IFERROR(__xludf.DUMMYFUNCTION("""COMPUTED_VALUE"""),"CareCloud")</f>
        <v>CareCloud</v>
      </c>
      <c r="E5610" s="122">
        <f>IFERROR(__xludf.DUMMYFUNCTION("""COMPUTED_VALUE"""),181.1)</f>
        <v>181.1</v>
      </c>
      <c r="F5610" s="122">
        <f>IFERROR(__xludf.DUMMYFUNCTION("""COMPUTED_VALUE"""),0.0033)</f>
        <v>0.0033</v>
      </c>
    </row>
    <row r="5611">
      <c r="A5611" s="131">
        <f>IFERROR(__xludf.DUMMYFUNCTION("""COMPUTED_VALUE"""),46187.52579861111)</f>
        <v>46187.5258</v>
      </c>
      <c r="B5611" s="126">
        <f>IFERROR(__xludf.DUMMYFUNCTION("""COMPUTED_VALUE"""),46187.0)</f>
        <v>46187</v>
      </c>
      <c r="C5611" s="122" t="str">
        <f>IFERROR(__xludf.DUMMYFUNCTION("""COMPUTED_VALUE"""),"DENT")</f>
        <v>DENT</v>
      </c>
      <c r="D5611" s="122" t="str">
        <f>IFERROR(__xludf.DUMMYFUNCTION("""COMPUTED_VALUE"""),"SmileWorks")</f>
        <v>SmileWorks</v>
      </c>
      <c r="E5611" s="122">
        <f>IFERROR(__xludf.DUMMYFUNCTION("""COMPUTED_VALUE"""),90.24)</f>
        <v>90.24</v>
      </c>
      <c r="F5611" s="122">
        <f>IFERROR(__xludf.DUMMYFUNCTION("""COMPUTED_VALUE"""),0.006)</f>
        <v>0.006</v>
      </c>
    </row>
    <row r="5612">
      <c r="A5612" s="131">
        <f>IFERROR(__xludf.DUMMYFUNCTION("""COMPUTED_VALUE"""),46187.52579861111)</f>
        <v>46187.5258</v>
      </c>
      <c r="B5612" s="126">
        <f>IFERROR(__xludf.DUMMYFUNCTION("""COMPUTED_VALUE"""),46187.0)</f>
        <v>46187</v>
      </c>
      <c r="C5612" s="122" t="str">
        <f>IFERROR(__xludf.DUMMYFUNCTION("""COMPUTED_VALUE"""),"EDUX")</f>
        <v>EDUX</v>
      </c>
      <c r="D5612" s="122" t="str">
        <f>IFERROR(__xludf.DUMMYFUNCTION("""COMPUTED_VALUE"""),"EduMax Learning")</f>
        <v>EduMax Learning</v>
      </c>
      <c r="E5612" s="122">
        <f>IFERROR(__xludf.DUMMYFUNCTION("""COMPUTED_VALUE"""),142.09)</f>
        <v>142.09</v>
      </c>
      <c r="F5612" s="122">
        <f>IFERROR(__xludf.DUMMYFUNCTION("""COMPUTED_VALUE"""),0.0061)</f>
        <v>0.0061</v>
      </c>
    </row>
    <row r="5613">
      <c r="A5613" s="131">
        <f>IFERROR(__xludf.DUMMYFUNCTION("""COMPUTED_VALUE"""),46187.52579861111)</f>
        <v>46187.5258</v>
      </c>
      <c r="B5613" s="126">
        <f>IFERROR(__xludf.DUMMYFUNCTION("""COMPUTED_VALUE"""),46187.0)</f>
        <v>46187</v>
      </c>
      <c r="C5613" s="122" t="str">
        <f>IFERROR(__xludf.DUMMYFUNCTION("""COMPUTED_VALUE"""),"BOOK")</f>
        <v>BOOK</v>
      </c>
      <c r="D5613" s="122" t="str">
        <f>IFERROR(__xludf.DUMMYFUNCTION("""COMPUTED_VALUE"""),"BookBridge")</f>
        <v>BookBridge</v>
      </c>
      <c r="E5613" s="122">
        <f>IFERROR(__xludf.DUMMYFUNCTION("""COMPUTED_VALUE"""),118.62)</f>
        <v>118.62</v>
      </c>
      <c r="F5613" s="122">
        <f>IFERROR(__xludf.DUMMYFUNCTION("""COMPUTED_VALUE"""),-0.0034)</f>
        <v>-0.0034</v>
      </c>
    </row>
    <row r="5614">
      <c r="A5614" s="131">
        <f>IFERROR(__xludf.DUMMYFUNCTION("""COMPUTED_VALUE"""),46187.52579861111)</f>
        <v>46187.5258</v>
      </c>
      <c r="B5614" s="126">
        <f>IFERROR(__xludf.DUMMYFUNCTION("""COMPUTED_VALUE"""),46187.0)</f>
        <v>46187</v>
      </c>
      <c r="C5614" s="122" t="str">
        <f>IFERROR(__xludf.DUMMYFUNCTION("""COMPUTED_VALUE"""),"TUTR")</f>
        <v>TUTR</v>
      </c>
      <c r="D5614" s="122" t="str">
        <f>IFERROR(__xludf.DUMMYFUNCTION("""COMPUTED_VALUE"""),"TutorTown")</f>
        <v>TutorTown</v>
      </c>
      <c r="E5614" s="122">
        <f>IFERROR(__xludf.DUMMYFUNCTION("""COMPUTED_VALUE"""),90.29)</f>
        <v>90.29</v>
      </c>
      <c r="F5614" s="122">
        <f>IFERROR(__xludf.DUMMYFUNCTION("""COMPUTED_VALUE"""),2.0E-4)</f>
        <v>0.0002</v>
      </c>
    </row>
    <row r="5615">
      <c r="A5615" s="131">
        <f>IFERROR(__xludf.DUMMYFUNCTION("""COMPUTED_VALUE"""),46187.52579861111)</f>
        <v>46187.5258</v>
      </c>
      <c r="B5615" s="126">
        <f>IFERROR(__xludf.DUMMYFUNCTION("""COMPUTED_VALUE"""),46187.0)</f>
        <v>46187</v>
      </c>
      <c r="C5615" s="122" t="str">
        <f>IFERROR(__xludf.DUMMYFUNCTION("""COMPUTED_VALUE"""),"LANG")</f>
        <v>LANG</v>
      </c>
      <c r="D5615" s="122" t="str">
        <f>IFERROR(__xludf.DUMMYFUNCTION("""COMPUTED_VALUE"""),"LinguaLab")</f>
        <v>LinguaLab</v>
      </c>
      <c r="E5615" s="122">
        <f>IFERROR(__xludf.DUMMYFUNCTION("""COMPUTED_VALUE"""),100.22)</f>
        <v>100.22</v>
      </c>
      <c r="F5615" s="122">
        <f>IFERROR(__xludf.DUMMYFUNCTION("""COMPUTED_VALUE"""),0.005)</f>
        <v>0.005</v>
      </c>
    </row>
    <row r="5616">
      <c r="A5616" s="131">
        <f>IFERROR(__xludf.DUMMYFUNCTION("""COMPUTED_VALUE"""),46187.52579861111)</f>
        <v>46187.5258</v>
      </c>
      <c r="B5616" s="126">
        <f>IFERROR(__xludf.DUMMYFUNCTION("""COMPUTED_VALUE"""),46187.0)</f>
        <v>46187</v>
      </c>
      <c r="C5616" s="122" t="str">
        <f>IFERROR(__xludf.DUMMYFUNCTION("""COMPUTED_VALUE"""),"TEST")</f>
        <v>TEST</v>
      </c>
      <c r="D5616" s="122" t="str">
        <f>IFERROR(__xludf.DUMMYFUNCTION("""COMPUTED_VALUE"""),"TestPrep Pro")</f>
        <v>TestPrep Pro</v>
      </c>
      <c r="E5616" s="122">
        <f>IFERROR(__xludf.DUMMYFUNCTION("""COMPUTED_VALUE"""),94.69)</f>
        <v>94.69</v>
      </c>
      <c r="F5616" s="122">
        <f>IFERROR(__xludf.DUMMYFUNCTION("""COMPUTED_VALUE"""),-7.0E-4)</f>
        <v>-0.0007</v>
      </c>
    </row>
    <row r="5617">
      <c r="A5617" s="131">
        <f>IFERROR(__xludf.DUMMYFUNCTION("""COMPUTED_VALUE"""),46187.52579861111)</f>
        <v>46187.5258</v>
      </c>
      <c r="B5617" s="126">
        <f>IFERROR(__xludf.DUMMYFUNCTION("""COMPUTED_VALUE"""),46187.0)</f>
        <v>46187</v>
      </c>
      <c r="C5617" s="122" t="str">
        <f>IFERROR(__xludf.DUMMYFUNCTION("""COMPUTED_VALUE"""),"MOVI")</f>
        <v>MOVI</v>
      </c>
      <c r="D5617" s="122" t="str">
        <f>IFERROR(__xludf.DUMMYFUNCTION("""COMPUTED_VALUE"""),"MovieBox")</f>
        <v>MovieBox</v>
      </c>
      <c r="E5617" s="122">
        <f>IFERROR(__xludf.DUMMYFUNCTION("""COMPUTED_VALUE"""),81.1)</f>
        <v>81.1</v>
      </c>
      <c r="F5617" s="122">
        <f>IFERROR(__xludf.DUMMYFUNCTION("""COMPUTED_VALUE"""),-0.0042)</f>
        <v>-0.0042</v>
      </c>
    </row>
    <row r="5618">
      <c r="A5618" s="131">
        <f>IFERROR(__xludf.DUMMYFUNCTION("""COMPUTED_VALUE"""),46187.52579861111)</f>
        <v>46187.5258</v>
      </c>
      <c r="B5618" s="126">
        <f>IFERROR(__xludf.DUMMYFUNCTION("""COMPUTED_VALUE"""),46187.0)</f>
        <v>46187</v>
      </c>
      <c r="C5618" s="122" t="str">
        <f>IFERROR(__xludf.DUMMYFUNCTION("""COMPUTED_VALUE"""),"MUSC")</f>
        <v>MUSC</v>
      </c>
      <c r="D5618" s="122" t="str">
        <f>IFERROR(__xludf.DUMMYFUNCTION("""COMPUTED_VALUE"""),"MusicWave")</f>
        <v>MusicWave</v>
      </c>
      <c r="E5618" s="122">
        <f>IFERROR(__xludf.DUMMYFUNCTION("""COMPUTED_VALUE"""),101.13)</f>
        <v>101.13</v>
      </c>
      <c r="F5618" s="122">
        <f>IFERROR(__xludf.DUMMYFUNCTION("""COMPUTED_VALUE"""),0.0022)</f>
        <v>0.0022</v>
      </c>
    </row>
    <row r="5619">
      <c r="A5619" s="131">
        <f>IFERROR(__xludf.DUMMYFUNCTION("""COMPUTED_VALUE"""),46187.52579861111)</f>
        <v>46187.5258</v>
      </c>
      <c r="B5619" s="126">
        <f>IFERROR(__xludf.DUMMYFUNCTION("""COMPUTED_VALUE"""),46187.0)</f>
        <v>46187</v>
      </c>
      <c r="C5619" s="122" t="str">
        <f>IFERROR(__xludf.DUMMYFUNCTION("""COMPUTED_VALUE"""),"IDOL")</f>
        <v>IDOL</v>
      </c>
      <c r="D5619" s="122" t="str">
        <f>IFERROR(__xludf.DUMMYFUNCTION("""COMPUTED_VALUE"""),"Idol Agency")</f>
        <v>Idol Agency</v>
      </c>
      <c r="E5619" s="122">
        <f>IFERROR(__xludf.DUMMYFUNCTION("""COMPUTED_VALUE"""),192.29)</f>
        <v>192.29</v>
      </c>
      <c r="F5619" s="122">
        <f>IFERROR(__xludf.DUMMYFUNCTION("""COMPUTED_VALUE"""),-1.0E-4)</f>
        <v>-0.0001</v>
      </c>
    </row>
    <row r="5620">
      <c r="A5620" s="131">
        <f>IFERROR(__xludf.DUMMYFUNCTION("""COMPUTED_VALUE"""),46187.52579861111)</f>
        <v>46187.5258</v>
      </c>
      <c r="B5620" s="126">
        <f>IFERROR(__xludf.DUMMYFUNCTION("""COMPUTED_VALUE"""),46187.0)</f>
        <v>46187</v>
      </c>
      <c r="C5620" s="122" t="str">
        <f>IFERROR(__xludf.DUMMYFUNCTION("""COMPUTED_VALUE"""),"MEME")</f>
        <v>MEME</v>
      </c>
      <c r="D5620" s="122" t="str">
        <f>IFERROR(__xludf.DUMMYFUNCTION("""COMPUTED_VALUE"""),"Meme Media")</f>
        <v>Meme Media</v>
      </c>
      <c r="E5620" s="122">
        <f>IFERROR(__xludf.DUMMYFUNCTION("""COMPUTED_VALUE"""),72.29)</f>
        <v>72.29</v>
      </c>
      <c r="F5620" s="122">
        <f>IFERROR(__xludf.DUMMYFUNCTION("""COMPUTED_VALUE"""),0.0143)</f>
        <v>0.0143</v>
      </c>
    </row>
    <row r="5621">
      <c r="A5621" s="131">
        <f>IFERROR(__xludf.DUMMYFUNCTION("""COMPUTED_VALUE"""),46187.52579861111)</f>
        <v>46187.5258</v>
      </c>
      <c r="B5621" s="126">
        <f>IFERROR(__xludf.DUMMYFUNCTION("""COMPUTED_VALUE"""),46187.0)</f>
        <v>46187</v>
      </c>
      <c r="C5621" s="122" t="str">
        <f>IFERROR(__xludf.DUMMYFUNCTION("""COMPUTED_VALUE"""),"STRM")</f>
        <v>STRM</v>
      </c>
      <c r="D5621" s="122" t="str">
        <f>IFERROR(__xludf.DUMMYFUNCTION("""COMPUTED_VALUE"""),"Streamly")</f>
        <v>Streamly</v>
      </c>
      <c r="E5621" s="122">
        <f>IFERROR(__xludf.DUMMYFUNCTION("""COMPUTED_VALUE"""),137.46)</f>
        <v>137.46</v>
      </c>
      <c r="F5621" s="122">
        <f>IFERROR(__xludf.DUMMYFUNCTION("""COMPUTED_VALUE"""),-0.0069)</f>
        <v>-0.0069</v>
      </c>
    </row>
    <row r="5622">
      <c r="A5622" s="131">
        <f>IFERROR(__xludf.DUMMYFUNCTION("""COMPUTED_VALUE"""),46187.52579861111)</f>
        <v>46187.5258</v>
      </c>
      <c r="B5622" s="126">
        <f>IFERROR(__xludf.DUMMYFUNCTION("""COMPUTED_VALUE"""),46187.0)</f>
        <v>46187</v>
      </c>
      <c r="C5622" s="122" t="str">
        <f>IFERROR(__xludf.DUMMYFUNCTION("""COMPUTED_VALUE"""),"FARM")</f>
        <v>FARM</v>
      </c>
      <c r="D5622" s="122" t="str">
        <f>IFERROR(__xludf.DUMMYFUNCTION("""COMPUTED_VALUE"""),"Future Farms")</f>
        <v>Future Farms</v>
      </c>
      <c r="E5622" s="122">
        <f>IFERROR(__xludf.DUMMYFUNCTION("""COMPUTED_VALUE"""),91.32)</f>
        <v>91.32</v>
      </c>
      <c r="F5622" s="122">
        <f>IFERROR(__xludf.DUMMYFUNCTION("""COMPUTED_VALUE"""),2.0E-4)</f>
        <v>0.0002</v>
      </c>
    </row>
    <row r="5623">
      <c r="A5623" s="131">
        <f>IFERROR(__xludf.DUMMYFUNCTION("""COMPUTED_VALUE"""),46187.52579861111)</f>
        <v>46187.5258</v>
      </c>
      <c r="B5623" s="126">
        <f>IFERROR(__xludf.DUMMYFUNCTION("""COMPUTED_VALUE"""),46187.0)</f>
        <v>46187</v>
      </c>
      <c r="C5623" s="122" t="str">
        <f>IFERROR(__xludf.DUMMYFUNCTION("""COMPUTED_VALUE"""),"MEAT")</f>
        <v>MEAT</v>
      </c>
      <c r="D5623" s="122" t="str">
        <f>IFERROR(__xludf.DUMMYFUNCTION("""COMPUTED_VALUE"""),"MeatWorks")</f>
        <v>MeatWorks</v>
      </c>
      <c r="E5623" s="122">
        <f>IFERROR(__xludf.DUMMYFUNCTION("""COMPUTED_VALUE"""),104.07)</f>
        <v>104.07</v>
      </c>
      <c r="F5623" s="122">
        <f>IFERROR(__xludf.DUMMYFUNCTION("""COMPUTED_VALUE"""),4.0E-4)</f>
        <v>0.0004</v>
      </c>
    </row>
    <row r="5624">
      <c r="A5624" s="131">
        <f>IFERROR(__xludf.DUMMYFUNCTION("""COMPUTED_VALUE"""),46187.52579861111)</f>
        <v>46187.5258</v>
      </c>
      <c r="B5624" s="126">
        <f>IFERROR(__xludf.DUMMYFUNCTION("""COMPUTED_VALUE"""),46187.0)</f>
        <v>46187</v>
      </c>
      <c r="C5624" s="122" t="str">
        <f>IFERROR(__xludf.DUMMYFUNCTION("""COMPUTED_VALUE"""),"VEGI")</f>
        <v>VEGI</v>
      </c>
      <c r="D5624" s="122" t="str">
        <f>IFERROR(__xludf.DUMMYFUNCTION("""COMPUTED_VALUE"""),"Green Basket")</f>
        <v>Green Basket</v>
      </c>
      <c r="E5624" s="122">
        <f>IFERROR(__xludf.DUMMYFUNCTION("""COMPUTED_VALUE"""),78.46)</f>
        <v>78.46</v>
      </c>
      <c r="F5624" s="122">
        <f>IFERROR(__xludf.DUMMYFUNCTION("""COMPUTED_VALUE"""),1.0E-4)</f>
        <v>0.0001</v>
      </c>
    </row>
    <row r="5625">
      <c r="A5625" s="131">
        <f>IFERROR(__xludf.DUMMYFUNCTION("""COMPUTED_VALUE"""),46187.52579861111)</f>
        <v>46187.5258</v>
      </c>
      <c r="B5625" s="126">
        <f>IFERROR(__xludf.DUMMYFUNCTION("""COMPUTED_VALUE"""),46187.0)</f>
        <v>46187</v>
      </c>
      <c r="C5625" s="122" t="str">
        <f>IFERROR(__xludf.DUMMYFUNCTION("""COMPUTED_VALUE"""),"CAFE")</f>
        <v>CAFE</v>
      </c>
      <c r="D5625" s="122" t="str">
        <f>IFERROR(__xludf.DUMMYFUNCTION("""COMPUTED_VALUE"""),"Cafe Cloud")</f>
        <v>Cafe Cloud</v>
      </c>
      <c r="E5625" s="122">
        <f>IFERROR(__xludf.DUMMYFUNCTION("""COMPUTED_VALUE"""),99.73)</f>
        <v>99.73</v>
      </c>
      <c r="F5625" s="122">
        <f>IFERROR(__xludf.DUMMYFUNCTION("""COMPUTED_VALUE"""),-0.0094)</f>
        <v>-0.0094</v>
      </c>
    </row>
    <row r="5626">
      <c r="A5626" s="131">
        <f>IFERROR(__xludf.DUMMYFUNCTION("""COMPUTED_VALUE"""),46187.52579861111)</f>
        <v>46187.5258</v>
      </c>
      <c r="B5626" s="126">
        <f>IFERROR(__xludf.DUMMYFUNCTION("""COMPUTED_VALUE"""),46187.0)</f>
        <v>46187</v>
      </c>
      <c r="C5626" s="122" t="str">
        <f>IFERROR(__xludf.DUMMYFUNCTION("""COMPUTED_VALUE"""),"BAKE")</f>
        <v>BAKE</v>
      </c>
      <c r="D5626" s="122" t="str">
        <f>IFERROR(__xludf.DUMMYFUNCTION("""COMPUTED_VALUE"""),"BakeHouse")</f>
        <v>BakeHouse</v>
      </c>
      <c r="E5626" s="122">
        <f>IFERROR(__xludf.DUMMYFUNCTION("""COMPUTED_VALUE"""),102.45)</f>
        <v>102.45</v>
      </c>
      <c r="F5626" s="122">
        <f>IFERROR(__xludf.DUMMYFUNCTION("""COMPUTED_VALUE"""),0.0048)</f>
        <v>0.0048</v>
      </c>
    </row>
    <row r="5627">
      <c r="A5627" s="131">
        <f>IFERROR(__xludf.DUMMYFUNCTION("""COMPUTED_VALUE"""),46187.52579861111)</f>
        <v>46187.5258</v>
      </c>
      <c r="B5627" s="126">
        <f>IFERROR(__xludf.DUMMYFUNCTION("""COMPUTED_VALUE"""),46187.0)</f>
        <v>46187</v>
      </c>
      <c r="C5627" s="122" t="str">
        <f>IFERROR(__xludf.DUMMYFUNCTION("""COMPUTED_VALUE"""),"OILX")</f>
        <v>OILX</v>
      </c>
      <c r="D5627" s="122" t="str">
        <f>IFERROR(__xludf.DUMMYFUNCTION("""COMPUTED_VALUE"""),"OilMax Energy")</f>
        <v>OilMax Energy</v>
      </c>
      <c r="E5627" s="122">
        <f>IFERROR(__xludf.DUMMYFUNCTION("""COMPUTED_VALUE"""),129.63)</f>
        <v>129.63</v>
      </c>
      <c r="F5627" s="122">
        <f>IFERROR(__xludf.DUMMYFUNCTION("""COMPUTED_VALUE"""),0.0097)</f>
        <v>0.0097</v>
      </c>
    </row>
    <row r="5628">
      <c r="A5628" s="131">
        <f>IFERROR(__xludf.DUMMYFUNCTION("""COMPUTED_VALUE"""),46187.52579861111)</f>
        <v>46187.5258</v>
      </c>
      <c r="B5628" s="126">
        <f>IFERROR(__xludf.DUMMYFUNCTION("""COMPUTED_VALUE"""),46187.0)</f>
        <v>46187</v>
      </c>
      <c r="C5628" s="122" t="str">
        <f>IFERROR(__xludf.DUMMYFUNCTION("""COMPUTED_VALUE"""),"SOLR")</f>
        <v>SOLR</v>
      </c>
      <c r="D5628" s="122" t="str">
        <f>IFERROR(__xludf.DUMMYFUNCTION("""COMPUTED_VALUE"""),"SolarSpark")</f>
        <v>SolarSpark</v>
      </c>
      <c r="E5628" s="122">
        <f>IFERROR(__xludf.DUMMYFUNCTION("""COMPUTED_VALUE"""),99.75)</f>
        <v>99.75</v>
      </c>
      <c r="F5628" s="122">
        <f>IFERROR(__xludf.DUMMYFUNCTION("""COMPUTED_VALUE"""),0.0067)</f>
        <v>0.0067</v>
      </c>
    </row>
    <row r="5629">
      <c r="A5629" s="131">
        <f>IFERROR(__xludf.DUMMYFUNCTION("""COMPUTED_VALUE"""),46187.52579861111)</f>
        <v>46187.5258</v>
      </c>
      <c r="B5629" s="126">
        <f>IFERROR(__xludf.DUMMYFUNCTION("""COMPUTED_VALUE"""),46187.0)</f>
        <v>46187</v>
      </c>
      <c r="C5629" s="122" t="str">
        <f>IFERROR(__xludf.DUMMYFUNCTION("""COMPUTED_VALUE"""),"BATT")</f>
        <v>BATT</v>
      </c>
      <c r="D5629" s="122" t="str">
        <f>IFERROR(__xludf.DUMMYFUNCTION("""COMPUTED_VALUE"""),"BatteryBox")</f>
        <v>BatteryBox</v>
      </c>
      <c r="E5629" s="122">
        <f>IFERROR(__xludf.DUMMYFUNCTION("""COMPUTED_VALUE"""),120.87)</f>
        <v>120.87</v>
      </c>
      <c r="F5629" s="122">
        <f>IFERROR(__xludf.DUMMYFUNCTION("""COMPUTED_VALUE"""),0.0013)</f>
        <v>0.0013</v>
      </c>
    </row>
    <row r="5630">
      <c r="A5630" s="131">
        <f>IFERROR(__xludf.DUMMYFUNCTION("""COMPUTED_VALUE"""),46187.52579861111)</f>
        <v>46187.5258</v>
      </c>
      <c r="B5630" s="126">
        <f>IFERROR(__xludf.DUMMYFUNCTION("""COMPUTED_VALUE"""),46187.0)</f>
        <v>46187</v>
      </c>
      <c r="C5630" s="122" t="str">
        <f>IFERROR(__xludf.DUMMYFUNCTION("""COMPUTED_VALUE"""),"WIND")</f>
        <v>WIND</v>
      </c>
      <c r="D5630" s="122" t="str">
        <f>IFERROR(__xludf.DUMMYFUNCTION("""COMPUTED_VALUE"""),"WindWorks")</f>
        <v>WindWorks</v>
      </c>
      <c r="E5630" s="122">
        <f>IFERROR(__xludf.DUMMYFUNCTION("""COMPUTED_VALUE"""),88.09)</f>
        <v>88.09</v>
      </c>
      <c r="F5630" s="122">
        <f>IFERROR(__xludf.DUMMYFUNCTION("""COMPUTED_VALUE"""),0.0022)</f>
        <v>0.0022</v>
      </c>
    </row>
    <row r="5631">
      <c r="A5631" s="131">
        <f>IFERROR(__xludf.DUMMYFUNCTION("""COMPUTED_VALUE"""),46187.52579861111)</f>
        <v>46187.5258</v>
      </c>
      <c r="B5631" s="126">
        <f>IFERROR(__xludf.DUMMYFUNCTION("""COMPUTED_VALUE"""),46187.0)</f>
        <v>46187</v>
      </c>
      <c r="C5631" s="122" t="str">
        <f>IFERROR(__xludf.DUMMYFUNCTION("""COMPUTED_VALUE"""),"GRID")</f>
        <v>GRID</v>
      </c>
      <c r="D5631" s="122" t="str">
        <f>IFERROR(__xludf.DUMMYFUNCTION("""COMPUTED_VALUE"""),"GridPower")</f>
        <v>GridPower</v>
      </c>
      <c r="E5631" s="122">
        <f>IFERROR(__xludf.DUMMYFUNCTION("""COMPUTED_VALUE"""),136.54)</f>
        <v>136.54</v>
      </c>
      <c r="F5631" s="122">
        <f>IFERROR(__xludf.DUMMYFUNCTION("""COMPUTED_VALUE"""),0.0012)</f>
        <v>0.0012</v>
      </c>
    </row>
    <row r="5632">
      <c r="A5632" s="131">
        <f>IFERROR(__xludf.DUMMYFUNCTION("""COMPUTED_VALUE"""),46187.52579861111)</f>
        <v>46187.5258</v>
      </c>
      <c r="B5632" s="126">
        <f>IFERROR(__xludf.DUMMYFUNCTION("""COMPUTED_VALUE"""),46187.0)</f>
        <v>46187</v>
      </c>
      <c r="C5632" s="122" t="str">
        <f>IFERROR(__xludf.DUMMYFUNCTION("""COMPUTED_VALUE"""),"HOME")</f>
        <v>HOME</v>
      </c>
      <c r="D5632" s="122" t="str">
        <f>IFERROR(__xludf.DUMMYFUNCTION("""COMPUTED_VALUE"""),"HomeHub")</f>
        <v>HomeHub</v>
      </c>
      <c r="E5632" s="122">
        <f>IFERROR(__xludf.DUMMYFUNCTION("""COMPUTED_VALUE"""),154.21)</f>
        <v>154.21</v>
      </c>
      <c r="F5632" s="122">
        <f>IFERROR(__xludf.DUMMYFUNCTION("""COMPUTED_VALUE"""),0.0038)</f>
        <v>0.0038</v>
      </c>
    </row>
    <row r="5633">
      <c r="A5633" s="131">
        <f>IFERROR(__xludf.DUMMYFUNCTION("""COMPUTED_VALUE"""),46187.52579861111)</f>
        <v>46187.5258</v>
      </c>
      <c r="B5633" s="126">
        <f>IFERROR(__xludf.DUMMYFUNCTION("""COMPUTED_VALUE"""),46187.0)</f>
        <v>46187</v>
      </c>
      <c r="C5633" s="122" t="str">
        <f>IFERROR(__xludf.DUMMYFUNCTION("""COMPUTED_VALUE"""),"RENT")</f>
        <v>RENT</v>
      </c>
      <c r="D5633" s="122" t="str">
        <f>IFERROR(__xludf.DUMMYFUNCTION("""COMPUTED_VALUE"""),"RentRight")</f>
        <v>RentRight</v>
      </c>
      <c r="E5633" s="122">
        <f>IFERROR(__xludf.DUMMYFUNCTION("""COMPUTED_VALUE"""),90.27)</f>
        <v>90.27</v>
      </c>
      <c r="F5633" s="122">
        <f>IFERROR(__xludf.DUMMYFUNCTION("""COMPUTED_VALUE"""),0.0013)</f>
        <v>0.0013</v>
      </c>
    </row>
    <row r="5634">
      <c r="A5634" s="131">
        <f>IFERROR(__xludf.DUMMYFUNCTION("""COMPUTED_VALUE"""),46187.52579861111)</f>
        <v>46187.5258</v>
      </c>
      <c r="B5634" s="126">
        <f>IFERROR(__xludf.DUMMYFUNCTION("""COMPUTED_VALUE"""),46187.0)</f>
        <v>46187</v>
      </c>
      <c r="C5634" s="122" t="str">
        <f>IFERROR(__xludf.DUMMYFUNCTION("""COMPUTED_VALUE"""),"MALL")</f>
        <v>MALL</v>
      </c>
      <c r="D5634" s="122" t="str">
        <f>IFERROR(__xludf.DUMMYFUNCTION("""COMPUTED_VALUE"""),"MegaMall")</f>
        <v>MegaMall</v>
      </c>
      <c r="E5634" s="122">
        <f>IFERROR(__xludf.DUMMYFUNCTION("""COMPUTED_VALUE"""),99.86)</f>
        <v>99.86</v>
      </c>
      <c r="F5634" s="122">
        <f>IFERROR(__xludf.DUMMYFUNCTION("""COMPUTED_VALUE"""),-0.0021)</f>
        <v>-0.0021</v>
      </c>
    </row>
    <row r="5635">
      <c r="A5635" s="131">
        <f>IFERROR(__xludf.DUMMYFUNCTION("""COMPUTED_VALUE"""),46187.52579861111)</f>
        <v>46187.5258</v>
      </c>
      <c r="B5635" s="126">
        <f>IFERROR(__xludf.DUMMYFUNCTION("""COMPUTED_VALUE"""),46187.0)</f>
        <v>46187</v>
      </c>
      <c r="C5635" s="122" t="str">
        <f>IFERROR(__xludf.DUMMYFUNCTION("""COMPUTED_VALUE"""),"HOTL")</f>
        <v>HOTL</v>
      </c>
      <c r="D5635" s="122" t="str">
        <f>IFERROR(__xludf.DUMMYFUNCTION("""COMPUTED_VALUE"""),"HotelHive")</f>
        <v>HotelHive</v>
      </c>
      <c r="E5635" s="122">
        <f>IFERROR(__xludf.DUMMYFUNCTION("""COMPUTED_VALUE"""),127.83)</f>
        <v>127.83</v>
      </c>
      <c r="F5635" s="122">
        <f>IFERROR(__xludf.DUMMYFUNCTION("""COMPUTED_VALUE"""),0.008)</f>
        <v>0.008</v>
      </c>
    </row>
    <row r="5636">
      <c r="A5636" s="131">
        <f>IFERROR(__xludf.DUMMYFUNCTION("""COMPUTED_VALUE"""),46187.52579861111)</f>
        <v>46187.5258</v>
      </c>
      <c r="B5636" s="126">
        <f>IFERROR(__xludf.DUMMYFUNCTION("""COMPUTED_VALUE"""),46187.0)</f>
        <v>46187</v>
      </c>
      <c r="C5636" s="122" t="str">
        <f>IFERROR(__xludf.DUMMYFUNCTION("""COMPUTED_VALUE"""),"LAND")</f>
        <v>LAND</v>
      </c>
      <c r="D5636" s="122" t="str">
        <f>IFERROR(__xludf.DUMMYFUNCTION("""COMPUTED_VALUE"""),"LandLink")</f>
        <v>LandLink</v>
      </c>
      <c r="E5636" s="122">
        <f>IFERROR(__xludf.DUMMYFUNCTION("""COMPUTED_VALUE"""),181.7)</f>
        <v>181.7</v>
      </c>
      <c r="F5636" s="122">
        <f>IFERROR(__xludf.DUMMYFUNCTION("""COMPUTED_VALUE"""),-0.0026)</f>
        <v>-0.0026</v>
      </c>
    </row>
    <row r="5637">
      <c r="A5637" s="131">
        <f>IFERROR(__xludf.DUMMYFUNCTION("""COMPUTED_VALUE"""),46187.52579861111)</f>
        <v>46187.5258</v>
      </c>
      <c r="B5637" s="126">
        <f>IFERROR(__xludf.DUMMYFUNCTION("""COMPUTED_VALUE"""),46187.0)</f>
        <v>46187</v>
      </c>
      <c r="C5637" s="122" t="str">
        <f>IFERROR(__xludf.DUMMYFUNCTION("""COMPUTED_VALUE"""),"CARS")</f>
        <v>CARS</v>
      </c>
      <c r="D5637" s="122" t="str">
        <f>IFERROR(__xludf.DUMMYFUNCTION("""COMPUTED_VALUE"""),"AutoArena")</f>
        <v>AutoArena</v>
      </c>
      <c r="E5637" s="122">
        <f>IFERROR(__xludf.DUMMYFUNCTION("""COMPUTED_VALUE"""),80.94)</f>
        <v>80.94</v>
      </c>
      <c r="F5637" s="122">
        <f>IFERROR(__xludf.DUMMYFUNCTION("""COMPUTED_VALUE"""),-0.0104)</f>
        <v>-0.0104</v>
      </c>
    </row>
    <row r="5638">
      <c r="A5638" s="131">
        <f>IFERROR(__xludf.DUMMYFUNCTION("""COMPUTED_VALUE"""),46187.52579861111)</f>
        <v>46187.5258</v>
      </c>
      <c r="B5638" s="126">
        <f>IFERROR(__xludf.DUMMYFUNCTION("""COMPUTED_VALUE"""),46187.0)</f>
        <v>46187</v>
      </c>
      <c r="C5638" s="122" t="str">
        <f>IFERROR(__xludf.DUMMYFUNCTION("""COMPUTED_VALUE"""),"EVGO")</f>
        <v>EVGO</v>
      </c>
      <c r="D5638" s="122" t="str">
        <f>IFERROR(__xludf.DUMMYFUNCTION("""COMPUTED_VALUE"""),"EVGo Motors")</f>
        <v>EVGo Motors</v>
      </c>
      <c r="E5638" s="122">
        <f>IFERROR(__xludf.DUMMYFUNCTION("""COMPUTED_VALUE"""),182.89)</f>
        <v>182.89</v>
      </c>
      <c r="F5638" s="122">
        <f>IFERROR(__xludf.DUMMYFUNCTION("""COMPUTED_VALUE"""),-0.0025)</f>
        <v>-0.0025</v>
      </c>
    </row>
    <row r="5639">
      <c r="A5639" s="131">
        <f>IFERROR(__xludf.DUMMYFUNCTION("""COMPUTED_VALUE"""),46187.52579861111)</f>
        <v>46187.5258</v>
      </c>
      <c r="B5639" s="126">
        <f>IFERROR(__xludf.DUMMYFUNCTION("""COMPUTED_VALUE"""),46187.0)</f>
        <v>46187</v>
      </c>
      <c r="C5639" s="122" t="str">
        <f>IFERROR(__xludf.DUMMYFUNCTION("""COMPUTED_VALUE"""),"TIRE")</f>
        <v>TIRE</v>
      </c>
      <c r="D5639" s="122" t="str">
        <f>IFERROR(__xludf.DUMMYFUNCTION("""COMPUTED_VALUE"""),"TireTown")</f>
        <v>TireTown</v>
      </c>
      <c r="E5639" s="122">
        <f>IFERROR(__xludf.DUMMYFUNCTION("""COMPUTED_VALUE"""),95.92)</f>
        <v>95.92</v>
      </c>
      <c r="F5639" s="122">
        <f>IFERROR(__xludf.DUMMYFUNCTION("""COMPUTED_VALUE"""),-6.0E-4)</f>
        <v>-0.0006</v>
      </c>
    </row>
    <row r="5640">
      <c r="A5640" s="131">
        <f>IFERROR(__xludf.DUMMYFUNCTION("""COMPUTED_VALUE"""),46187.52579861111)</f>
        <v>46187.5258</v>
      </c>
      <c r="B5640" s="126">
        <f>IFERROR(__xludf.DUMMYFUNCTION("""COMPUTED_VALUE"""),46187.0)</f>
        <v>46187</v>
      </c>
      <c r="C5640" s="122" t="str">
        <f>IFERROR(__xludf.DUMMYFUNCTION("""COMPUTED_VALUE"""),"BIKE")</f>
        <v>BIKE</v>
      </c>
      <c r="D5640" s="122" t="str">
        <f>IFERROR(__xludf.DUMMYFUNCTION("""COMPUTED_VALUE"""),"BikeBox")</f>
        <v>BikeBox</v>
      </c>
      <c r="E5640" s="122">
        <f>IFERROR(__xludf.DUMMYFUNCTION("""COMPUTED_VALUE"""),53.36)</f>
        <v>53.36</v>
      </c>
      <c r="F5640" s="122">
        <f>IFERROR(__xludf.DUMMYFUNCTION("""COMPUTED_VALUE"""),-0.0017)</f>
        <v>-0.0017</v>
      </c>
    </row>
    <row r="5641">
      <c r="A5641" s="131">
        <f>IFERROR(__xludf.DUMMYFUNCTION("""COMPUTED_VALUE"""),46187.52579861111)</f>
        <v>46187.5258</v>
      </c>
      <c r="B5641" s="126">
        <f>IFERROR(__xludf.DUMMYFUNCTION("""COMPUTED_VALUE"""),46187.0)</f>
        <v>46187</v>
      </c>
      <c r="C5641" s="122" t="str">
        <f>IFERROR(__xludf.DUMMYFUNCTION("""COMPUTED_VALUE"""),"WASH")</f>
        <v>WASH</v>
      </c>
      <c r="D5641" s="122" t="str">
        <f>IFERROR(__xludf.DUMMYFUNCTION("""COMPUTED_VALUE"""),"CarWash Co")</f>
        <v>CarWash Co</v>
      </c>
      <c r="E5641" s="122">
        <f>IFERROR(__xludf.DUMMYFUNCTION("""COMPUTED_VALUE"""),118.57)</f>
        <v>118.57</v>
      </c>
      <c r="F5641" s="122">
        <f>IFERROR(__xludf.DUMMYFUNCTION("""COMPUTED_VALUE"""),-0.001)</f>
        <v>-0.001</v>
      </c>
    </row>
    <row r="5642">
      <c r="A5642" s="131">
        <f>IFERROR(__xludf.DUMMYFUNCTION("""COMPUTED_VALUE"""),46187.52579861111)</f>
        <v>46187.5258</v>
      </c>
      <c r="B5642" s="126">
        <f>IFERROR(__xludf.DUMMYFUNCTION("""COMPUTED_VALUE"""),46187.0)</f>
        <v>46187</v>
      </c>
      <c r="C5642" s="122" t="str">
        <f>IFERROR(__xludf.DUMMYFUNCTION("""COMPUTED_VALUE"""),"GBND")</f>
        <v>GBND</v>
      </c>
      <c r="D5642" s="122" t="str">
        <f>IFERROR(__xludf.DUMMYFUNCTION("""COMPUTED_VALUE"""),"Classroom Government Bond")</f>
        <v>Classroom Government Bond</v>
      </c>
      <c r="E5642" s="122">
        <f>IFERROR(__xludf.DUMMYFUNCTION("""COMPUTED_VALUE"""),101.02)</f>
        <v>101.02</v>
      </c>
      <c r="F5642" s="122">
        <f>IFERROR(__xludf.DUMMYFUNCTION("""COMPUTED_VALUE"""),4.0E-4)</f>
        <v>0.0004</v>
      </c>
    </row>
    <row r="5643">
      <c r="A5643" s="131">
        <f>IFERROR(__xludf.DUMMYFUNCTION("""COMPUTED_VALUE"""),46187.52579861111)</f>
        <v>46187.5258</v>
      </c>
      <c r="B5643" s="126">
        <f>IFERROR(__xludf.DUMMYFUNCTION("""COMPUTED_VALUE"""),46187.0)</f>
        <v>46187</v>
      </c>
      <c r="C5643" s="122" t="str">
        <f>IFERROR(__xludf.DUMMYFUNCTION("""COMPUTED_VALUE"""),"SBND")</f>
        <v>SBND</v>
      </c>
      <c r="D5643" s="122" t="str">
        <f>IFERROR(__xludf.DUMMYFUNCTION("""COMPUTED_VALUE"""),"School Savings Bond")</f>
        <v>School Savings Bond</v>
      </c>
      <c r="E5643" s="122">
        <f>IFERROR(__xludf.DUMMYFUNCTION("""COMPUTED_VALUE"""),99.39)</f>
        <v>99.39</v>
      </c>
      <c r="F5643" s="122">
        <f>IFERROR(__xludf.DUMMYFUNCTION("""COMPUTED_VALUE"""),-3.0E-4)</f>
        <v>-0.0003</v>
      </c>
    </row>
    <row r="5644">
      <c r="A5644" s="131">
        <f>IFERROR(__xludf.DUMMYFUNCTION("""COMPUTED_VALUE"""),46187.52579861111)</f>
        <v>46187.5258</v>
      </c>
      <c r="B5644" s="126">
        <f>IFERROR(__xludf.DUMMYFUNCTION("""COMPUTED_VALUE"""),46187.0)</f>
        <v>46187</v>
      </c>
      <c r="C5644" s="122" t="str">
        <f>IFERROR(__xludf.DUMMYFUNCTION("""COMPUTED_VALUE"""),"CBND")</f>
        <v>CBND</v>
      </c>
      <c r="D5644" s="122" t="str">
        <f>IFERROR(__xludf.DUMMYFUNCTION("""COMPUTED_VALUE"""),"Corporate Classroom Bond")</f>
        <v>Corporate Classroom Bond</v>
      </c>
      <c r="E5644" s="122">
        <f>IFERROR(__xludf.DUMMYFUNCTION("""COMPUTED_VALUE"""),97.79)</f>
        <v>97.79</v>
      </c>
      <c r="F5644" s="122">
        <f>IFERROR(__xludf.DUMMYFUNCTION("""COMPUTED_VALUE"""),-2.0E-4)</f>
        <v>-0.0002</v>
      </c>
    </row>
    <row r="5645">
      <c r="A5645" s="131">
        <f>IFERROR(__xludf.DUMMYFUNCTION("""COMPUTED_VALUE"""),46187.52579861111)</f>
        <v>46187.5258</v>
      </c>
      <c r="B5645" s="126">
        <f>IFERROR(__xludf.DUMMYFUNCTION("""COMPUTED_VALUE"""),46187.0)</f>
        <v>46187</v>
      </c>
      <c r="C5645" s="122" t="str">
        <f>IFERROR(__xludf.DUMMYFUNCTION("""COMPUTED_VALUE"""),"TBIL")</f>
        <v>TBIL</v>
      </c>
      <c r="D5645" s="122" t="str">
        <f>IFERROR(__xludf.DUMMYFUNCTION("""COMPUTED_VALUE"""),"Treasury Bill")</f>
        <v>Treasury Bill</v>
      </c>
      <c r="E5645" s="122">
        <f>IFERROR(__xludf.DUMMYFUNCTION("""COMPUTED_VALUE"""),98.09)</f>
        <v>98.09</v>
      </c>
      <c r="F5645" s="122">
        <f>IFERROR(__xludf.DUMMYFUNCTION("""COMPUTED_VALUE"""),1.0E-4)</f>
        <v>0.0001</v>
      </c>
    </row>
    <row r="5646">
      <c r="A5646" s="131">
        <f>IFERROR(__xludf.DUMMYFUNCTION("""COMPUTED_VALUE"""),46187.52579861111)</f>
        <v>46187.5258</v>
      </c>
      <c r="B5646" s="126">
        <f>IFERROR(__xludf.DUMMYFUNCTION("""COMPUTED_VALUE"""),46187.0)</f>
        <v>46187</v>
      </c>
      <c r="C5646" s="122" t="str">
        <f>IFERROR(__xludf.DUMMYFUNCTION("""COMPUTED_VALUE"""),"IBND")</f>
        <v>IBND</v>
      </c>
      <c r="D5646" s="122" t="str">
        <f>IFERROR(__xludf.DUMMYFUNCTION("""COMPUTED_VALUE"""),"Inflation Protected Bond")</f>
        <v>Inflation Protected Bond</v>
      </c>
      <c r="E5646" s="122">
        <f>IFERROR(__xludf.DUMMYFUNCTION("""COMPUTED_VALUE"""),100.79)</f>
        <v>100.79</v>
      </c>
      <c r="F5646" s="122">
        <f>IFERROR(__xludf.DUMMYFUNCTION("""COMPUTED_VALUE"""),-4.0E-4)</f>
        <v>-0.0004</v>
      </c>
    </row>
    <row r="5647">
      <c r="A5647" s="131">
        <f>IFERROR(__xludf.DUMMYFUNCTION("""COMPUTED_VALUE"""),46187.529270833336)</f>
        <v>46187.52927</v>
      </c>
      <c r="B5647" s="126">
        <f>IFERROR(__xludf.DUMMYFUNCTION("""COMPUTED_VALUE"""),46187.0)</f>
        <v>46187</v>
      </c>
      <c r="C5647" s="122" t="str">
        <f>IFERROR(__xludf.DUMMYFUNCTION("""COMPUTED_VALUE"""),"SNAX")</f>
        <v>SNAX</v>
      </c>
      <c r="D5647" s="122" t="str">
        <f>IFERROR(__xludf.DUMMYFUNCTION("""COMPUTED_VALUE"""),"MICA Snacks")</f>
        <v>MICA Snacks</v>
      </c>
      <c r="E5647" s="122">
        <f>IFERROR(__xludf.DUMMYFUNCTION("""COMPUTED_VALUE"""),119.62)</f>
        <v>119.62</v>
      </c>
      <c r="F5647" s="122">
        <f>IFERROR(__xludf.DUMMYFUNCTION("""COMPUTED_VALUE"""),-0.0047)</f>
        <v>-0.0047</v>
      </c>
    </row>
    <row r="5648">
      <c r="A5648" s="131">
        <f>IFERROR(__xludf.DUMMYFUNCTION("""COMPUTED_VALUE"""),46187.529270833336)</f>
        <v>46187.52927</v>
      </c>
      <c r="B5648" s="126">
        <f>IFERROR(__xludf.DUMMYFUNCTION("""COMPUTED_VALUE"""),46187.0)</f>
        <v>46187</v>
      </c>
      <c r="C5648" s="122" t="str">
        <f>IFERROR(__xludf.DUMMYFUNCTION("""COMPUTED_VALUE"""),"RAMN")</f>
        <v>RAMN</v>
      </c>
      <c r="D5648" s="122" t="str">
        <f>IFERROR(__xludf.DUMMYFUNCTION("""COMPUTED_VALUE"""),"Ramen Republic")</f>
        <v>Ramen Republic</v>
      </c>
      <c r="E5648" s="122">
        <f>IFERROR(__xludf.DUMMYFUNCTION("""COMPUTED_VALUE"""),67.49)</f>
        <v>67.49</v>
      </c>
      <c r="F5648" s="122">
        <f>IFERROR(__xludf.DUMMYFUNCTION("""COMPUTED_VALUE"""),-0.0075)</f>
        <v>-0.0075</v>
      </c>
    </row>
    <row r="5649">
      <c r="A5649" s="131">
        <f>IFERROR(__xludf.DUMMYFUNCTION("""COMPUTED_VALUE"""),46187.529270833336)</f>
        <v>46187.52927</v>
      </c>
      <c r="B5649" s="126">
        <f>IFERROR(__xludf.DUMMYFUNCTION("""COMPUTED_VALUE"""),46187.0)</f>
        <v>46187</v>
      </c>
      <c r="C5649" s="122" t="str">
        <f>IFERROR(__xludf.DUMMYFUNCTION("""COMPUTED_VALUE"""),"COLA")</f>
        <v>COLA</v>
      </c>
      <c r="D5649" s="122" t="str">
        <f>IFERROR(__xludf.DUMMYFUNCTION("""COMPUTED_VALUE"""),"K-Pop Cola")</f>
        <v>K-Pop Cola</v>
      </c>
      <c r="E5649" s="122">
        <f>IFERROR(__xludf.DUMMYFUNCTION("""COMPUTED_VALUE"""),115.39)</f>
        <v>115.39</v>
      </c>
      <c r="F5649" s="122">
        <f>IFERROR(__xludf.DUMMYFUNCTION("""COMPUTED_VALUE"""),0.0073)</f>
        <v>0.0073</v>
      </c>
    </row>
    <row r="5650">
      <c r="A5650" s="131">
        <f>IFERROR(__xludf.DUMMYFUNCTION("""COMPUTED_VALUE"""),46187.529270833336)</f>
        <v>46187.52927</v>
      </c>
      <c r="B5650" s="126">
        <f>IFERROR(__xludf.DUMMYFUNCTION("""COMPUTED_VALUE"""),46187.0)</f>
        <v>46187</v>
      </c>
      <c r="C5650" s="122" t="str">
        <f>IFERROR(__xludf.DUMMYFUNCTION("""COMPUTED_VALUE"""),"CHIP")</f>
        <v>CHIP</v>
      </c>
      <c r="D5650" s="122" t="str">
        <f>IFERROR(__xludf.DUMMYFUNCTION("""COMPUTED_VALUE"""),"Chip Empire")</f>
        <v>Chip Empire</v>
      </c>
      <c r="E5650" s="122">
        <f>IFERROR(__xludf.DUMMYFUNCTION("""COMPUTED_VALUE"""),85.15)</f>
        <v>85.15</v>
      </c>
      <c r="F5650" s="122">
        <f>IFERROR(__xludf.DUMMYFUNCTION("""COMPUTED_VALUE"""),-0.0027)</f>
        <v>-0.0027</v>
      </c>
    </row>
    <row r="5651">
      <c r="A5651" s="131">
        <f>IFERROR(__xludf.DUMMYFUNCTION("""COMPUTED_VALUE"""),46187.529270833336)</f>
        <v>46187.52927</v>
      </c>
      <c r="B5651" s="126">
        <f>IFERROR(__xludf.DUMMYFUNCTION("""COMPUTED_VALUE"""),46187.0)</f>
        <v>46187</v>
      </c>
      <c r="C5651" s="122" t="str">
        <f>IFERROR(__xludf.DUMMYFUNCTION("""COMPUTED_VALUE"""),"CAND")</f>
        <v>CAND</v>
      </c>
      <c r="D5651" s="122" t="str">
        <f>IFERROR(__xludf.DUMMYFUNCTION("""COMPUTED_VALUE"""),"Candy Capital")</f>
        <v>Candy Capital</v>
      </c>
      <c r="E5651" s="122">
        <f>IFERROR(__xludf.DUMMYFUNCTION("""COMPUTED_VALUE"""),77.95)</f>
        <v>77.95</v>
      </c>
      <c r="F5651" s="122">
        <f>IFERROR(__xludf.DUMMYFUNCTION("""COMPUTED_VALUE"""),0.0068)</f>
        <v>0.0068</v>
      </c>
    </row>
    <row r="5652">
      <c r="A5652" s="131">
        <f>IFERROR(__xludf.DUMMYFUNCTION("""COMPUTED_VALUE"""),46187.529270833336)</f>
        <v>46187.52927</v>
      </c>
      <c r="B5652" s="126">
        <f>IFERROR(__xludf.DUMMYFUNCTION("""COMPUTED_VALUE"""),46187.0)</f>
        <v>46187</v>
      </c>
      <c r="C5652" s="122" t="str">
        <f>IFERROR(__xludf.DUMMYFUNCTION("""COMPUTED_VALUE"""),"TECH")</f>
        <v>TECH</v>
      </c>
      <c r="D5652" s="122" t="str">
        <f>IFERROR(__xludf.DUMMYFUNCTION("""COMPUTED_VALUE"""),"Dragon Tech")</f>
        <v>Dragon Tech</v>
      </c>
      <c r="E5652" s="122">
        <f>IFERROR(__xludf.DUMMYFUNCTION("""COMPUTED_VALUE"""),243.91)</f>
        <v>243.91</v>
      </c>
      <c r="F5652" s="122">
        <f>IFERROR(__xludf.DUMMYFUNCTION("""COMPUTED_VALUE"""),0.0061)</f>
        <v>0.0061</v>
      </c>
    </row>
    <row r="5653">
      <c r="A5653" s="131">
        <f>IFERROR(__xludf.DUMMYFUNCTION("""COMPUTED_VALUE"""),46187.529270833336)</f>
        <v>46187.52927</v>
      </c>
      <c r="B5653" s="126">
        <f>IFERROR(__xludf.DUMMYFUNCTION("""COMPUTED_VALUE"""),46187.0)</f>
        <v>46187</v>
      </c>
      <c r="C5653" s="122" t="str">
        <f>IFERROR(__xludf.DUMMYFUNCTION("""COMPUTED_VALUE"""),"AIBO")</f>
        <v>AIBO</v>
      </c>
      <c r="D5653" s="122" t="str">
        <f>IFERROR(__xludf.DUMMYFUNCTION("""COMPUTED_VALUE"""),"Homework AI")</f>
        <v>Homework AI</v>
      </c>
      <c r="E5653" s="122">
        <f>IFERROR(__xludf.DUMMYFUNCTION("""COMPUTED_VALUE"""),181.37)</f>
        <v>181.37</v>
      </c>
      <c r="F5653" s="122">
        <f>IFERROR(__xludf.DUMMYFUNCTION("""COMPUTED_VALUE"""),0.002)</f>
        <v>0.002</v>
      </c>
    </row>
    <row r="5654">
      <c r="A5654" s="131">
        <f>IFERROR(__xludf.DUMMYFUNCTION("""COMPUTED_VALUE"""),46187.529270833336)</f>
        <v>46187.52927</v>
      </c>
      <c r="B5654" s="126">
        <f>IFERROR(__xludf.DUMMYFUNCTION("""COMPUTED_VALUE"""),46187.0)</f>
        <v>46187</v>
      </c>
      <c r="C5654" s="122" t="str">
        <f>IFERROR(__xludf.DUMMYFUNCTION("""COMPUTED_VALUE"""),"GAME")</f>
        <v>GAME</v>
      </c>
      <c r="D5654" s="122" t="str">
        <f>IFERROR(__xludf.DUMMYFUNCTION("""COMPUTED_VALUE"""),"GameBox Media")</f>
        <v>GameBox Media</v>
      </c>
      <c r="E5654" s="122">
        <f>IFERROR(__xludf.DUMMYFUNCTION("""COMPUTED_VALUE"""),99.57)</f>
        <v>99.57</v>
      </c>
      <c r="F5654" s="122">
        <f>IFERROR(__xludf.DUMMYFUNCTION("""COMPUTED_VALUE"""),0.002)</f>
        <v>0.002</v>
      </c>
    </row>
    <row r="5655">
      <c r="A5655" s="131">
        <f>IFERROR(__xludf.DUMMYFUNCTION("""COMPUTED_VALUE"""),46187.529270833336)</f>
        <v>46187.52927</v>
      </c>
      <c r="B5655" s="126">
        <f>IFERROR(__xludf.DUMMYFUNCTION("""COMPUTED_VALUE"""),46187.0)</f>
        <v>46187</v>
      </c>
      <c r="C5655" s="122" t="str">
        <f>IFERROR(__xludf.DUMMYFUNCTION("""COMPUTED_VALUE"""),"VRSE")</f>
        <v>VRSE</v>
      </c>
      <c r="D5655" s="122" t="str">
        <f>IFERROR(__xludf.DUMMYFUNCTION("""COMPUTED_VALUE"""),"VerseVR")</f>
        <v>VerseVR</v>
      </c>
      <c r="E5655" s="122">
        <f>IFERROR(__xludf.DUMMYFUNCTION("""COMPUTED_VALUE"""),148.73)</f>
        <v>148.73</v>
      </c>
      <c r="F5655" s="122">
        <f>IFERROR(__xludf.DUMMYFUNCTION("""COMPUTED_VALUE"""),-0.0071)</f>
        <v>-0.0071</v>
      </c>
    </row>
    <row r="5656">
      <c r="A5656" s="131">
        <f>IFERROR(__xludf.DUMMYFUNCTION("""COMPUTED_VALUE"""),46187.529270833336)</f>
        <v>46187.52927</v>
      </c>
      <c r="B5656" s="126">
        <f>IFERROR(__xludf.DUMMYFUNCTION("""COMPUTED_VALUE"""),46187.0)</f>
        <v>46187</v>
      </c>
      <c r="C5656" s="122" t="str">
        <f>IFERROR(__xludf.DUMMYFUNCTION("""COMPUTED_VALUE"""),"BYTE")</f>
        <v>BYTE</v>
      </c>
      <c r="D5656" s="122" t="str">
        <f>IFERROR(__xludf.DUMMYFUNCTION("""COMPUTED_VALUE"""),"ByteWorks")</f>
        <v>ByteWorks</v>
      </c>
      <c r="E5656" s="122">
        <f>IFERROR(__xludf.DUMMYFUNCTION("""COMPUTED_VALUE"""),112.96)</f>
        <v>112.96</v>
      </c>
      <c r="F5656" s="122">
        <f>IFERROR(__xludf.DUMMYFUNCTION("""COMPUTED_VALUE"""),-8.0E-4)</f>
        <v>-0.0008</v>
      </c>
    </row>
    <row r="5657">
      <c r="A5657" s="131">
        <f>IFERROR(__xludf.DUMMYFUNCTION("""COMPUTED_VALUE"""),46187.529270833336)</f>
        <v>46187.52927</v>
      </c>
      <c r="B5657" s="126">
        <f>IFERROR(__xludf.DUMMYFUNCTION("""COMPUTED_VALUE"""),46187.0)</f>
        <v>46187</v>
      </c>
      <c r="C5657" s="122" t="str">
        <f>IFERROR(__xludf.DUMMYFUNCTION("""COMPUTED_VALUE"""),"BANK")</f>
        <v>BANK</v>
      </c>
      <c r="D5657" s="122" t="str">
        <f>IFERROR(__xludf.DUMMYFUNCTION("""COMPUTED_VALUE"""),"Tiger Bank")</f>
        <v>Tiger Bank</v>
      </c>
      <c r="E5657" s="122">
        <f>IFERROR(__xludf.DUMMYFUNCTION("""COMPUTED_VALUE"""),128.79)</f>
        <v>128.79</v>
      </c>
      <c r="F5657" s="122">
        <f>IFERROR(__xludf.DUMMYFUNCTION("""COMPUTED_VALUE"""),0.0015)</f>
        <v>0.0015</v>
      </c>
    </row>
    <row r="5658">
      <c r="A5658" s="131">
        <f>IFERROR(__xludf.DUMMYFUNCTION("""COMPUTED_VALUE"""),46187.529270833336)</f>
        <v>46187.52927</v>
      </c>
      <c r="B5658" s="126">
        <f>IFERROR(__xludf.DUMMYFUNCTION("""COMPUTED_VALUE"""),46187.0)</f>
        <v>46187</v>
      </c>
      <c r="C5658" s="122" t="str">
        <f>IFERROR(__xludf.DUMMYFUNCTION("""COMPUTED_VALUE"""),"CRED")</f>
        <v>CRED</v>
      </c>
      <c r="D5658" s="122" t="str">
        <f>IFERROR(__xludf.DUMMYFUNCTION("""COMPUTED_VALUE"""),"Credit Castle")</f>
        <v>Credit Castle</v>
      </c>
      <c r="E5658" s="122">
        <f>IFERROR(__xludf.DUMMYFUNCTION("""COMPUTED_VALUE"""),66.5)</f>
        <v>66.5</v>
      </c>
      <c r="F5658" s="122">
        <f>IFERROR(__xludf.DUMMYFUNCTION("""COMPUTED_VALUE"""),-8.0E-4)</f>
        <v>-0.0008</v>
      </c>
    </row>
    <row r="5659">
      <c r="A5659" s="131">
        <f>IFERROR(__xludf.DUMMYFUNCTION("""COMPUTED_VALUE"""),46187.529270833336)</f>
        <v>46187.52927</v>
      </c>
      <c r="B5659" s="126">
        <f>IFERROR(__xludf.DUMMYFUNCTION("""COMPUTED_VALUE"""),46187.0)</f>
        <v>46187</v>
      </c>
      <c r="C5659" s="122" t="str">
        <f>IFERROR(__xludf.DUMMYFUNCTION("""COMPUTED_VALUE"""),"BOND")</f>
        <v>BOND</v>
      </c>
      <c r="D5659" s="122" t="str">
        <f>IFERROR(__xludf.DUMMYFUNCTION("""COMPUTED_VALUE"""),"BondBridge")</f>
        <v>BondBridge</v>
      </c>
      <c r="E5659" s="122">
        <f>IFERROR(__xludf.DUMMYFUNCTION("""COMPUTED_VALUE"""),100.79)</f>
        <v>100.79</v>
      </c>
      <c r="F5659" s="122">
        <f>IFERROR(__xludf.DUMMYFUNCTION("""COMPUTED_VALUE"""),0.0022)</f>
        <v>0.0022</v>
      </c>
    </row>
    <row r="5660">
      <c r="A5660" s="131">
        <f>IFERROR(__xludf.DUMMYFUNCTION("""COMPUTED_VALUE"""),46187.529270833336)</f>
        <v>46187.52927</v>
      </c>
      <c r="B5660" s="126">
        <f>IFERROR(__xludf.DUMMYFUNCTION("""COMPUTED_VALUE"""),46187.0)</f>
        <v>46187</v>
      </c>
      <c r="C5660" s="122" t="str">
        <f>IFERROR(__xludf.DUMMYFUNCTION("""COMPUTED_VALUE"""),"INSR")</f>
        <v>INSR</v>
      </c>
      <c r="D5660" s="122" t="str">
        <f>IFERROR(__xludf.DUMMYFUNCTION("""COMPUTED_VALUE"""),"Shield Insurance")</f>
        <v>Shield Insurance</v>
      </c>
      <c r="E5660" s="122">
        <f>IFERROR(__xludf.DUMMYFUNCTION("""COMPUTED_VALUE"""),160.18)</f>
        <v>160.18</v>
      </c>
      <c r="F5660" s="122">
        <f>IFERROR(__xludf.DUMMYFUNCTION("""COMPUTED_VALUE"""),0.0019)</f>
        <v>0.0019</v>
      </c>
    </row>
    <row r="5661">
      <c r="A5661" s="131">
        <f>IFERROR(__xludf.DUMMYFUNCTION("""COMPUTED_VALUE"""),46187.529270833336)</f>
        <v>46187.52927</v>
      </c>
      <c r="B5661" s="126">
        <f>IFERROR(__xludf.DUMMYFUNCTION("""COMPUTED_VALUE"""),46187.0)</f>
        <v>46187</v>
      </c>
      <c r="C5661" s="122" t="str">
        <f>IFERROR(__xludf.DUMMYFUNCTION("""COMPUTED_VALUE"""),"LOAN")</f>
        <v>LOAN</v>
      </c>
      <c r="D5661" s="122" t="str">
        <f>IFERROR(__xludf.DUMMYFUNCTION("""COMPUTED_VALUE"""),"LoanLab")</f>
        <v>LoanLab</v>
      </c>
      <c r="E5661" s="122">
        <f>IFERROR(__xludf.DUMMYFUNCTION("""COMPUTED_VALUE"""),65.86)</f>
        <v>65.86</v>
      </c>
      <c r="F5661" s="122">
        <f>IFERROR(__xludf.DUMMYFUNCTION("""COMPUTED_VALUE"""),-0.0024)</f>
        <v>-0.0024</v>
      </c>
    </row>
    <row r="5662">
      <c r="A5662" s="131">
        <f>IFERROR(__xludf.DUMMYFUNCTION("""COMPUTED_VALUE"""),46187.529270833336)</f>
        <v>46187.52927</v>
      </c>
      <c r="B5662" s="126">
        <f>IFERROR(__xludf.DUMMYFUNCTION("""COMPUTED_VALUE"""),46187.0)</f>
        <v>46187</v>
      </c>
      <c r="C5662" s="122" t="str">
        <f>IFERROR(__xludf.DUMMYFUNCTION("""COMPUTED_VALUE"""),"LUXE")</f>
        <v>LUXE</v>
      </c>
      <c r="D5662" s="122" t="str">
        <f>IFERROR(__xludf.DUMMYFUNCTION("""COMPUTED_VALUE"""),"Luxury Locker")</f>
        <v>Luxury Locker</v>
      </c>
      <c r="E5662" s="122">
        <f>IFERROR(__xludf.DUMMYFUNCTION("""COMPUTED_VALUE"""),268.26)</f>
        <v>268.26</v>
      </c>
      <c r="F5662" s="122">
        <f>IFERROR(__xludf.DUMMYFUNCTION("""COMPUTED_VALUE"""),0.0056)</f>
        <v>0.0056</v>
      </c>
    </row>
    <row r="5663">
      <c r="A5663" s="131">
        <f>IFERROR(__xludf.DUMMYFUNCTION("""COMPUTED_VALUE"""),46187.529270833336)</f>
        <v>46187.52927</v>
      </c>
      <c r="B5663" s="126">
        <f>IFERROR(__xludf.DUMMYFUNCTION("""COMPUTED_VALUE"""),46187.0)</f>
        <v>46187</v>
      </c>
      <c r="C5663" s="122" t="str">
        <f>IFERROR(__xludf.DUMMYFUNCTION("""COMPUTED_VALUE"""),"DRIP")</f>
        <v>DRIP</v>
      </c>
      <c r="D5663" s="122" t="str">
        <f>IFERROR(__xludf.DUMMYFUNCTION("""COMPUTED_VALUE"""),"Drip Streetwear")</f>
        <v>Drip Streetwear</v>
      </c>
      <c r="E5663" s="122">
        <f>IFERROR(__xludf.DUMMYFUNCTION("""COMPUTED_VALUE"""),198.48)</f>
        <v>198.48</v>
      </c>
      <c r="F5663" s="122">
        <f>IFERROR(__xludf.DUMMYFUNCTION("""COMPUTED_VALUE"""),0.0012)</f>
        <v>0.0012</v>
      </c>
    </row>
    <row r="5664">
      <c r="A5664" s="131">
        <f>IFERROR(__xludf.DUMMYFUNCTION("""COMPUTED_VALUE"""),46187.529270833336)</f>
        <v>46187.52927</v>
      </c>
      <c r="B5664" s="126">
        <f>IFERROR(__xludf.DUMMYFUNCTION("""COMPUTED_VALUE"""),46187.0)</f>
        <v>46187</v>
      </c>
      <c r="C5664" s="122" t="str">
        <f>IFERROR(__xludf.DUMMYFUNCTION("""COMPUTED_VALUE"""),"KICK")</f>
        <v>KICK</v>
      </c>
      <c r="D5664" s="122" t="str">
        <f>IFERROR(__xludf.DUMMYFUNCTION("""COMPUTED_VALUE"""),"KickDrop Sneakers")</f>
        <v>KickDrop Sneakers</v>
      </c>
      <c r="E5664" s="122">
        <f>IFERROR(__xludf.DUMMYFUNCTION("""COMPUTED_VALUE"""),168.98)</f>
        <v>168.98</v>
      </c>
      <c r="F5664" s="122">
        <f>IFERROR(__xludf.DUMMYFUNCTION("""COMPUTED_VALUE"""),-0.0031)</f>
        <v>-0.0031</v>
      </c>
    </row>
    <row r="5665">
      <c r="A5665" s="131">
        <f>IFERROR(__xludf.DUMMYFUNCTION("""COMPUTED_VALUE"""),46187.529270833336)</f>
        <v>46187.52927</v>
      </c>
      <c r="B5665" s="126">
        <f>IFERROR(__xludf.DUMMYFUNCTION("""COMPUTED_VALUE"""),46187.0)</f>
        <v>46187</v>
      </c>
      <c r="C5665" s="122" t="str">
        <f>IFERROR(__xludf.DUMMYFUNCTION("""COMPUTED_VALUE"""),"GLAM")</f>
        <v>GLAM</v>
      </c>
      <c r="D5665" s="122" t="str">
        <f>IFERROR(__xludf.DUMMYFUNCTION("""COMPUTED_VALUE"""),"Glow Cosmetics")</f>
        <v>Glow Cosmetics</v>
      </c>
      <c r="E5665" s="122">
        <f>IFERROR(__xludf.DUMMYFUNCTION("""COMPUTED_VALUE"""),107.8)</f>
        <v>107.8</v>
      </c>
      <c r="F5665" s="122">
        <f>IFERROR(__xludf.DUMMYFUNCTION("""COMPUTED_VALUE"""),-0.0016)</f>
        <v>-0.0016</v>
      </c>
    </row>
    <row r="5666">
      <c r="A5666" s="131">
        <f>IFERROR(__xludf.DUMMYFUNCTION("""COMPUTED_VALUE"""),46187.529270833336)</f>
        <v>46187.52927</v>
      </c>
      <c r="B5666" s="126">
        <f>IFERROR(__xludf.DUMMYFUNCTION("""COMPUTED_VALUE"""),46187.0)</f>
        <v>46187</v>
      </c>
      <c r="C5666" s="122" t="str">
        <f>IFERROR(__xludf.DUMMYFUNCTION("""COMPUTED_VALUE"""),"BAGG")</f>
        <v>BAGG</v>
      </c>
      <c r="D5666" s="122" t="str">
        <f>IFERROR(__xludf.DUMMYFUNCTION("""COMPUTED_VALUE"""),"BagVault")</f>
        <v>BagVault</v>
      </c>
      <c r="E5666" s="122">
        <f>IFERROR(__xludf.DUMMYFUNCTION("""COMPUTED_VALUE"""),253.13)</f>
        <v>253.13</v>
      </c>
      <c r="F5666" s="122">
        <f>IFERROR(__xludf.DUMMYFUNCTION("""COMPUTED_VALUE"""),0.0051)</f>
        <v>0.0051</v>
      </c>
    </row>
    <row r="5667">
      <c r="A5667" s="131">
        <f>IFERROR(__xludf.DUMMYFUNCTION("""COMPUTED_VALUE"""),46187.529270833336)</f>
        <v>46187.52927</v>
      </c>
      <c r="B5667" s="126">
        <f>IFERROR(__xludf.DUMMYFUNCTION("""COMPUTED_VALUE"""),46187.0)</f>
        <v>46187</v>
      </c>
      <c r="C5667" s="122" t="str">
        <f>IFERROR(__xludf.DUMMYFUNCTION("""COMPUTED_VALUE"""),"FAST")</f>
        <v>FAST</v>
      </c>
      <c r="D5667" s="122" t="str">
        <f>IFERROR(__xludf.DUMMYFUNCTION("""COMPUTED_VALUE"""),"Flash Logistics")</f>
        <v>Flash Logistics</v>
      </c>
      <c r="E5667" s="122">
        <f>IFERROR(__xludf.DUMMYFUNCTION("""COMPUTED_VALUE"""),105.41)</f>
        <v>105.41</v>
      </c>
      <c r="F5667" s="122">
        <f>IFERROR(__xludf.DUMMYFUNCTION("""COMPUTED_VALUE"""),0.0053)</f>
        <v>0.0053</v>
      </c>
    </row>
    <row r="5668">
      <c r="A5668" s="131">
        <f>IFERROR(__xludf.DUMMYFUNCTION("""COMPUTED_VALUE"""),46187.529270833336)</f>
        <v>46187.52927</v>
      </c>
      <c r="B5668" s="126">
        <f>IFERROR(__xludf.DUMMYFUNCTION("""COMPUTED_VALUE"""),46187.0)</f>
        <v>46187</v>
      </c>
      <c r="C5668" s="122" t="str">
        <f>IFERROR(__xludf.DUMMYFUNCTION("""COMPUTED_VALUE"""),"SHIP")</f>
        <v>SHIP</v>
      </c>
      <c r="D5668" s="122" t="str">
        <f>IFERROR(__xludf.DUMMYFUNCTION("""COMPUTED_VALUE"""),"Seoul Shipping")</f>
        <v>Seoul Shipping</v>
      </c>
      <c r="E5668" s="122">
        <f>IFERROR(__xludf.DUMMYFUNCTION("""COMPUTED_VALUE"""),127.81)</f>
        <v>127.81</v>
      </c>
      <c r="F5668" s="122">
        <f>IFERROR(__xludf.DUMMYFUNCTION("""COMPUTED_VALUE"""),-2.0E-4)</f>
        <v>-0.0002</v>
      </c>
    </row>
    <row r="5669">
      <c r="A5669" s="131">
        <f>IFERROR(__xludf.DUMMYFUNCTION("""COMPUTED_VALUE"""),46187.529270833336)</f>
        <v>46187.52927</v>
      </c>
      <c r="B5669" s="126">
        <f>IFERROR(__xludf.DUMMYFUNCTION("""COMPUTED_VALUE"""),46187.0)</f>
        <v>46187</v>
      </c>
      <c r="C5669" s="122" t="str">
        <f>IFERROR(__xludf.DUMMYFUNCTION("""COMPUTED_VALUE"""),"DRON")</f>
        <v>DRON</v>
      </c>
      <c r="D5669" s="122" t="str">
        <f>IFERROR(__xludf.DUMMYFUNCTION("""COMPUTED_VALUE"""),"DroneDrop")</f>
        <v>DroneDrop</v>
      </c>
      <c r="E5669" s="122">
        <f>IFERROR(__xludf.DUMMYFUNCTION("""COMPUTED_VALUE"""),127.31)</f>
        <v>127.31</v>
      </c>
      <c r="F5669" s="122">
        <f>IFERROR(__xludf.DUMMYFUNCTION("""COMPUTED_VALUE"""),-0.0085)</f>
        <v>-0.0085</v>
      </c>
    </row>
    <row r="5670">
      <c r="A5670" s="131">
        <f>IFERROR(__xludf.DUMMYFUNCTION("""COMPUTED_VALUE"""),46187.529270833336)</f>
        <v>46187.52927</v>
      </c>
      <c r="B5670" s="126">
        <f>IFERROR(__xludf.DUMMYFUNCTION("""COMPUTED_VALUE"""),46187.0)</f>
        <v>46187</v>
      </c>
      <c r="C5670" s="122" t="str">
        <f>IFERROR(__xludf.DUMMYFUNCTION("""COMPUTED_VALUE"""),"RIDE")</f>
        <v>RIDE</v>
      </c>
      <c r="D5670" s="122" t="str">
        <f>IFERROR(__xludf.DUMMYFUNCTION("""COMPUTED_VALUE"""),"QuickRide")</f>
        <v>QuickRide</v>
      </c>
      <c r="E5670" s="122">
        <f>IFERROR(__xludf.DUMMYFUNCTION("""COMPUTED_VALUE"""),98.01)</f>
        <v>98.01</v>
      </c>
      <c r="F5670" s="122">
        <f>IFERROR(__xludf.DUMMYFUNCTION("""COMPUTED_VALUE"""),0.0047)</f>
        <v>0.0047</v>
      </c>
    </row>
    <row r="5671">
      <c r="A5671" s="131">
        <f>IFERROR(__xludf.DUMMYFUNCTION("""COMPUTED_VALUE"""),46187.529270833336)</f>
        <v>46187.52927</v>
      </c>
      <c r="B5671" s="126">
        <f>IFERROR(__xludf.DUMMYFUNCTION("""COMPUTED_VALUE"""),46187.0)</f>
        <v>46187</v>
      </c>
      <c r="C5671" s="122" t="str">
        <f>IFERROR(__xludf.DUMMYFUNCTION("""COMPUTED_VALUE"""),"RAIL")</f>
        <v>RAIL</v>
      </c>
      <c r="D5671" s="122" t="str">
        <f>IFERROR(__xludf.DUMMYFUNCTION("""COMPUTED_VALUE"""),"MetroRail Corp")</f>
        <v>MetroRail Corp</v>
      </c>
      <c r="E5671" s="122">
        <f>IFERROR(__xludf.DUMMYFUNCTION("""COMPUTED_VALUE"""),132.66)</f>
        <v>132.66</v>
      </c>
      <c r="F5671" s="122">
        <f>IFERROR(__xludf.DUMMYFUNCTION("""COMPUTED_VALUE"""),-0.004)</f>
        <v>-0.004</v>
      </c>
    </row>
    <row r="5672">
      <c r="A5672" s="131">
        <f>IFERROR(__xludf.DUMMYFUNCTION("""COMPUTED_VALUE"""),46187.529270833336)</f>
        <v>46187.52927</v>
      </c>
      <c r="B5672" s="126">
        <f>IFERROR(__xludf.DUMMYFUNCTION("""COMPUTED_VALUE"""),46187.0)</f>
        <v>46187</v>
      </c>
      <c r="C5672" s="122" t="str">
        <f>IFERROR(__xludf.DUMMYFUNCTION("""COMPUTED_VALUE"""),"MEDX")</f>
        <v>MEDX</v>
      </c>
      <c r="D5672" s="122" t="str">
        <f>IFERROR(__xludf.DUMMYFUNCTION("""COMPUTED_VALUE"""),"MediCore")</f>
        <v>MediCore</v>
      </c>
      <c r="E5672" s="122">
        <f>IFERROR(__xludf.DUMMYFUNCTION("""COMPUTED_VALUE"""),138.12)</f>
        <v>138.12</v>
      </c>
      <c r="F5672" s="122">
        <f>IFERROR(__xludf.DUMMYFUNCTION("""COMPUTED_VALUE"""),0.0017)</f>
        <v>0.0017</v>
      </c>
    </row>
    <row r="5673">
      <c r="A5673" s="131">
        <f>IFERROR(__xludf.DUMMYFUNCTION("""COMPUTED_VALUE"""),46187.529270833336)</f>
        <v>46187.52927</v>
      </c>
      <c r="B5673" s="126">
        <f>IFERROR(__xludf.DUMMYFUNCTION("""COMPUTED_VALUE"""),46187.0)</f>
        <v>46187</v>
      </c>
      <c r="C5673" s="122" t="str">
        <f>IFERROR(__xludf.DUMMYFUNCTION("""COMPUTED_VALUE"""),"GYMX")</f>
        <v>GYMX</v>
      </c>
      <c r="D5673" s="122" t="str">
        <f>IFERROR(__xludf.DUMMYFUNCTION("""COMPUTED_VALUE"""),"GymX Fitness")</f>
        <v>GymX Fitness</v>
      </c>
      <c r="E5673" s="122">
        <f>IFERROR(__xludf.DUMMYFUNCTION("""COMPUTED_VALUE"""),86.53)</f>
        <v>86.53</v>
      </c>
      <c r="F5673" s="122">
        <f>IFERROR(__xludf.DUMMYFUNCTION("""COMPUTED_VALUE"""),-0.0015)</f>
        <v>-0.0015</v>
      </c>
    </row>
    <row r="5674">
      <c r="A5674" s="131">
        <f>IFERROR(__xludf.DUMMYFUNCTION("""COMPUTED_VALUE"""),46187.529270833336)</f>
        <v>46187.52927</v>
      </c>
      <c r="B5674" s="126">
        <f>IFERROR(__xludf.DUMMYFUNCTION("""COMPUTED_VALUE"""),46187.0)</f>
        <v>46187</v>
      </c>
      <c r="C5674" s="122" t="str">
        <f>IFERROR(__xludf.DUMMYFUNCTION("""COMPUTED_VALUE"""),"VITA")</f>
        <v>VITA</v>
      </c>
      <c r="D5674" s="122" t="str">
        <f>IFERROR(__xludf.DUMMYFUNCTION("""COMPUTED_VALUE"""),"VitaPlus")</f>
        <v>VitaPlus</v>
      </c>
      <c r="E5674" s="122">
        <f>IFERROR(__xludf.DUMMYFUNCTION("""COMPUTED_VALUE"""),72.22)</f>
        <v>72.22</v>
      </c>
      <c r="F5674" s="122">
        <f>IFERROR(__xludf.DUMMYFUNCTION("""COMPUTED_VALUE"""),-1.0E-4)</f>
        <v>-0.0001</v>
      </c>
    </row>
    <row r="5675">
      <c r="A5675" s="131">
        <f>IFERROR(__xludf.DUMMYFUNCTION("""COMPUTED_VALUE"""),46187.529270833336)</f>
        <v>46187.52927</v>
      </c>
      <c r="B5675" s="126">
        <f>IFERROR(__xludf.DUMMYFUNCTION("""COMPUTED_VALUE"""),46187.0)</f>
        <v>46187</v>
      </c>
      <c r="C5675" s="122" t="str">
        <f>IFERROR(__xludf.DUMMYFUNCTION("""COMPUTED_VALUE"""),"CARE")</f>
        <v>CARE</v>
      </c>
      <c r="D5675" s="122" t="str">
        <f>IFERROR(__xludf.DUMMYFUNCTION("""COMPUTED_VALUE"""),"CareCloud")</f>
        <v>CareCloud</v>
      </c>
      <c r="E5675" s="122">
        <f>IFERROR(__xludf.DUMMYFUNCTION("""COMPUTED_VALUE"""),180.1)</f>
        <v>180.1</v>
      </c>
      <c r="F5675" s="122">
        <f>IFERROR(__xludf.DUMMYFUNCTION("""COMPUTED_VALUE"""),-0.0055)</f>
        <v>-0.0055</v>
      </c>
    </row>
    <row r="5676">
      <c r="A5676" s="131">
        <f>IFERROR(__xludf.DUMMYFUNCTION("""COMPUTED_VALUE"""),46187.529270833336)</f>
        <v>46187.52927</v>
      </c>
      <c r="B5676" s="126">
        <f>IFERROR(__xludf.DUMMYFUNCTION("""COMPUTED_VALUE"""),46187.0)</f>
        <v>46187</v>
      </c>
      <c r="C5676" s="122" t="str">
        <f>IFERROR(__xludf.DUMMYFUNCTION("""COMPUTED_VALUE"""),"DENT")</f>
        <v>DENT</v>
      </c>
      <c r="D5676" s="122" t="str">
        <f>IFERROR(__xludf.DUMMYFUNCTION("""COMPUTED_VALUE"""),"SmileWorks")</f>
        <v>SmileWorks</v>
      </c>
      <c r="E5676" s="122">
        <f>IFERROR(__xludf.DUMMYFUNCTION("""COMPUTED_VALUE"""),90.25)</f>
        <v>90.25</v>
      </c>
      <c r="F5676" s="122">
        <f>IFERROR(__xludf.DUMMYFUNCTION("""COMPUTED_VALUE"""),1.0E-4)</f>
        <v>0.0001</v>
      </c>
    </row>
    <row r="5677">
      <c r="A5677" s="131">
        <f>IFERROR(__xludf.DUMMYFUNCTION("""COMPUTED_VALUE"""),46187.529270833336)</f>
        <v>46187.52927</v>
      </c>
      <c r="B5677" s="126">
        <f>IFERROR(__xludf.DUMMYFUNCTION("""COMPUTED_VALUE"""),46187.0)</f>
        <v>46187</v>
      </c>
      <c r="C5677" s="122" t="str">
        <f>IFERROR(__xludf.DUMMYFUNCTION("""COMPUTED_VALUE"""),"EDUX")</f>
        <v>EDUX</v>
      </c>
      <c r="D5677" s="122" t="str">
        <f>IFERROR(__xludf.DUMMYFUNCTION("""COMPUTED_VALUE"""),"EduMax Learning")</f>
        <v>EduMax Learning</v>
      </c>
      <c r="E5677" s="122">
        <f>IFERROR(__xludf.DUMMYFUNCTION("""COMPUTED_VALUE"""),142.28)</f>
        <v>142.28</v>
      </c>
      <c r="F5677" s="122">
        <f>IFERROR(__xludf.DUMMYFUNCTION("""COMPUTED_VALUE"""),0.0013)</f>
        <v>0.0013</v>
      </c>
    </row>
    <row r="5678">
      <c r="A5678" s="131">
        <f>IFERROR(__xludf.DUMMYFUNCTION("""COMPUTED_VALUE"""),46187.529270833336)</f>
        <v>46187.52927</v>
      </c>
      <c r="B5678" s="126">
        <f>IFERROR(__xludf.DUMMYFUNCTION("""COMPUTED_VALUE"""),46187.0)</f>
        <v>46187</v>
      </c>
      <c r="C5678" s="122" t="str">
        <f>IFERROR(__xludf.DUMMYFUNCTION("""COMPUTED_VALUE"""),"BOOK")</f>
        <v>BOOK</v>
      </c>
      <c r="D5678" s="122" t="str">
        <f>IFERROR(__xludf.DUMMYFUNCTION("""COMPUTED_VALUE"""),"BookBridge")</f>
        <v>BookBridge</v>
      </c>
      <c r="E5678" s="122">
        <f>IFERROR(__xludf.DUMMYFUNCTION("""COMPUTED_VALUE"""),118.21)</f>
        <v>118.21</v>
      </c>
      <c r="F5678" s="122">
        <f>IFERROR(__xludf.DUMMYFUNCTION("""COMPUTED_VALUE"""),-0.0035)</f>
        <v>-0.0035</v>
      </c>
    </row>
    <row r="5679">
      <c r="A5679" s="131">
        <f>IFERROR(__xludf.DUMMYFUNCTION("""COMPUTED_VALUE"""),46187.529270833336)</f>
        <v>46187.52927</v>
      </c>
      <c r="B5679" s="126">
        <f>IFERROR(__xludf.DUMMYFUNCTION("""COMPUTED_VALUE"""),46187.0)</f>
        <v>46187</v>
      </c>
      <c r="C5679" s="122" t="str">
        <f>IFERROR(__xludf.DUMMYFUNCTION("""COMPUTED_VALUE"""),"TUTR")</f>
        <v>TUTR</v>
      </c>
      <c r="D5679" s="122" t="str">
        <f>IFERROR(__xludf.DUMMYFUNCTION("""COMPUTED_VALUE"""),"TutorTown")</f>
        <v>TutorTown</v>
      </c>
      <c r="E5679" s="122">
        <f>IFERROR(__xludf.DUMMYFUNCTION("""COMPUTED_VALUE"""),90.88)</f>
        <v>90.88</v>
      </c>
      <c r="F5679" s="122">
        <f>IFERROR(__xludf.DUMMYFUNCTION("""COMPUTED_VALUE"""),0.0065)</f>
        <v>0.0065</v>
      </c>
    </row>
    <row r="5680">
      <c r="A5680" s="131">
        <f>IFERROR(__xludf.DUMMYFUNCTION("""COMPUTED_VALUE"""),46187.529270833336)</f>
        <v>46187.52927</v>
      </c>
      <c r="B5680" s="126">
        <f>IFERROR(__xludf.DUMMYFUNCTION("""COMPUTED_VALUE"""),46187.0)</f>
        <v>46187</v>
      </c>
      <c r="C5680" s="122" t="str">
        <f>IFERROR(__xludf.DUMMYFUNCTION("""COMPUTED_VALUE"""),"LANG")</f>
        <v>LANG</v>
      </c>
      <c r="D5680" s="122" t="str">
        <f>IFERROR(__xludf.DUMMYFUNCTION("""COMPUTED_VALUE"""),"LinguaLab")</f>
        <v>LinguaLab</v>
      </c>
      <c r="E5680" s="122">
        <f>IFERROR(__xludf.DUMMYFUNCTION("""COMPUTED_VALUE"""),100.25)</f>
        <v>100.25</v>
      </c>
      <c r="F5680" s="122">
        <f>IFERROR(__xludf.DUMMYFUNCTION("""COMPUTED_VALUE"""),3.0E-4)</f>
        <v>0.0003</v>
      </c>
    </row>
    <row r="5681">
      <c r="A5681" s="131">
        <f>IFERROR(__xludf.DUMMYFUNCTION("""COMPUTED_VALUE"""),46187.529270833336)</f>
        <v>46187.52927</v>
      </c>
      <c r="B5681" s="126">
        <f>IFERROR(__xludf.DUMMYFUNCTION("""COMPUTED_VALUE"""),46187.0)</f>
        <v>46187</v>
      </c>
      <c r="C5681" s="122" t="str">
        <f>IFERROR(__xludf.DUMMYFUNCTION("""COMPUTED_VALUE"""),"TEST")</f>
        <v>TEST</v>
      </c>
      <c r="D5681" s="122" t="str">
        <f>IFERROR(__xludf.DUMMYFUNCTION("""COMPUTED_VALUE"""),"TestPrep Pro")</f>
        <v>TestPrep Pro</v>
      </c>
      <c r="E5681" s="122">
        <f>IFERROR(__xludf.DUMMYFUNCTION("""COMPUTED_VALUE"""),94.22)</f>
        <v>94.22</v>
      </c>
      <c r="F5681" s="122">
        <f>IFERROR(__xludf.DUMMYFUNCTION("""COMPUTED_VALUE"""),-0.005)</f>
        <v>-0.005</v>
      </c>
    </row>
    <row r="5682">
      <c r="A5682" s="131">
        <f>IFERROR(__xludf.DUMMYFUNCTION("""COMPUTED_VALUE"""),46187.529270833336)</f>
        <v>46187.52927</v>
      </c>
      <c r="B5682" s="126">
        <f>IFERROR(__xludf.DUMMYFUNCTION("""COMPUTED_VALUE"""),46187.0)</f>
        <v>46187</v>
      </c>
      <c r="C5682" s="122" t="str">
        <f>IFERROR(__xludf.DUMMYFUNCTION("""COMPUTED_VALUE"""),"MOVI")</f>
        <v>MOVI</v>
      </c>
      <c r="D5682" s="122" t="str">
        <f>IFERROR(__xludf.DUMMYFUNCTION("""COMPUTED_VALUE"""),"MovieBox")</f>
        <v>MovieBox</v>
      </c>
      <c r="E5682" s="122">
        <f>IFERROR(__xludf.DUMMYFUNCTION("""COMPUTED_VALUE"""),80.87)</f>
        <v>80.87</v>
      </c>
      <c r="F5682" s="122">
        <f>IFERROR(__xludf.DUMMYFUNCTION("""COMPUTED_VALUE"""),-0.0028)</f>
        <v>-0.0028</v>
      </c>
    </row>
    <row r="5683">
      <c r="A5683" s="131">
        <f>IFERROR(__xludf.DUMMYFUNCTION("""COMPUTED_VALUE"""),46187.529270833336)</f>
        <v>46187.52927</v>
      </c>
      <c r="B5683" s="126">
        <f>IFERROR(__xludf.DUMMYFUNCTION("""COMPUTED_VALUE"""),46187.0)</f>
        <v>46187</v>
      </c>
      <c r="C5683" s="122" t="str">
        <f>IFERROR(__xludf.DUMMYFUNCTION("""COMPUTED_VALUE"""),"MUSC")</f>
        <v>MUSC</v>
      </c>
      <c r="D5683" s="122" t="str">
        <f>IFERROR(__xludf.DUMMYFUNCTION("""COMPUTED_VALUE"""),"MusicWave")</f>
        <v>MusicWave</v>
      </c>
      <c r="E5683" s="122">
        <f>IFERROR(__xludf.DUMMYFUNCTION("""COMPUTED_VALUE"""),100.54)</f>
        <v>100.54</v>
      </c>
      <c r="F5683" s="122">
        <f>IFERROR(__xludf.DUMMYFUNCTION("""COMPUTED_VALUE"""),-0.0058)</f>
        <v>-0.0058</v>
      </c>
    </row>
    <row r="5684">
      <c r="A5684" s="131">
        <f>IFERROR(__xludf.DUMMYFUNCTION("""COMPUTED_VALUE"""),46187.529270833336)</f>
        <v>46187.52927</v>
      </c>
      <c r="B5684" s="126">
        <f>IFERROR(__xludf.DUMMYFUNCTION("""COMPUTED_VALUE"""),46187.0)</f>
        <v>46187</v>
      </c>
      <c r="C5684" s="122" t="str">
        <f>IFERROR(__xludf.DUMMYFUNCTION("""COMPUTED_VALUE"""),"IDOL")</f>
        <v>IDOL</v>
      </c>
      <c r="D5684" s="122" t="str">
        <f>IFERROR(__xludf.DUMMYFUNCTION("""COMPUTED_VALUE"""),"Idol Agency")</f>
        <v>Idol Agency</v>
      </c>
      <c r="E5684" s="122">
        <f>IFERROR(__xludf.DUMMYFUNCTION("""COMPUTED_VALUE"""),190.57)</f>
        <v>190.57</v>
      </c>
      <c r="F5684" s="122">
        <f>IFERROR(__xludf.DUMMYFUNCTION("""COMPUTED_VALUE"""),-0.0089)</f>
        <v>-0.0089</v>
      </c>
    </row>
    <row r="5685">
      <c r="A5685" s="131">
        <f>IFERROR(__xludf.DUMMYFUNCTION("""COMPUTED_VALUE"""),46187.529270833336)</f>
        <v>46187.52927</v>
      </c>
      <c r="B5685" s="126">
        <f>IFERROR(__xludf.DUMMYFUNCTION("""COMPUTED_VALUE"""),46187.0)</f>
        <v>46187</v>
      </c>
      <c r="C5685" s="122" t="str">
        <f>IFERROR(__xludf.DUMMYFUNCTION("""COMPUTED_VALUE"""),"MEME")</f>
        <v>MEME</v>
      </c>
      <c r="D5685" s="122" t="str">
        <f>IFERROR(__xludf.DUMMYFUNCTION("""COMPUTED_VALUE"""),"Meme Media")</f>
        <v>Meme Media</v>
      </c>
      <c r="E5685" s="122">
        <f>IFERROR(__xludf.DUMMYFUNCTION("""COMPUTED_VALUE"""),72.39)</f>
        <v>72.39</v>
      </c>
      <c r="F5685" s="122">
        <f>IFERROR(__xludf.DUMMYFUNCTION("""COMPUTED_VALUE"""),0.0014)</f>
        <v>0.0014</v>
      </c>
    </row>
    <row r="5686">
      <c r="A5686" s="131">
        <f>IFERROR(__xludf.DUMMYFUNCTION("""COMPUTED_VALUE"""),46187.529270833336)</f>
        <v>46187.52927</v>
      </c>
      <c r="B5686" s="126">
        <f>IFERROR(__xludf.DUMMYFUNCTION("""COMPUTED_VALUE"""),46187.0)</f>
        <v>46187</v>
      </c>
      <c r="C5686" s="122" t="str">
        <f>IFERROR(__xludf.DUMMYFUNCTION("""COMPUTED_VALUE"""),"STRM")</f>
        <v>STRM</v>
      </c>
      <c r="D5686" s="122" t="str">
        <f>IFERROR(__xludf.DUMMYFUNCTION("""COMPUTED_VALUE"""),"Streamly")</f>
        <v>Streamly</v>
      </c>
      <c r="E5686" s="122">
        <f>IFERROR(__xludf.DUMMYFUNCTION("""COMPUTED_VALUE"""),137.33)</f>
        <v>137.33</v>
      </c>
      <c r="F5686" s="122">
        <f>IFERROR(__xludf.DUMMYFUNCTION("""COMPUTED_VALUE"""),-9.0E-4)</f>
        <v>-0.0009</v>
      </c>
    </row>
    <row r="5687">
      <c r="A5687" s="131">
        <f>IFERROR(__xludf.DUMMYFUNCTION("""COMPUTED_VALUE"""),46187.529270833336)</f>
        <v>46187.52927</v>
      </c>
      <c r="B5687" s="126">
        <f>IFERROR(__xludf.DUMMYFUNCTION("""COMPUTED_VALUE"""),46187.0)</f>
        <v>46187</v>
      </c>
      <c r="C5687" s="122" t="str">
        <f>IFERROR(__xludf.DUMMYFUNCTION("""COMPUTED_VALUE"""),"FARM")</f>
        <v>FARM</v>
      </c>
      <c r="D5687" s="122" t="str">
        <f>IFERROR(__xludf.DUMMYFUNCTION("""COMPUTED_VALUE"""),"Future Farms")</f>
        <v>Future Farms</v>
      </c>
      <c r="E5687" s="122">
        <f>IFERROR(__xludf.DUMMYFUNCTION("""COMPUTED_VALUE"""),91.2)</f>
        <v>91.2</v>
      </c>
      <c r="F5687" s="122">
        <f>IFERROR(__xludf.DUMMYFUNCTION("""COMPUTED_VALUE"""),-0.0013)</f>
        <v>-0.0013</v>
      </c>
    </row>
    <row r="5688">
      <c r="A5688" s="131">
        <f>IFERROR(__xludf.DUMMYFUNCTION("""COMPUTED_VALUE"""),46187.529270833336)</f>
        <v>46187.52927</v>
      </c>
      <c r="B5688" s="126">
        <f>IFERROR(__xludf.DUMMYFUNCTION("""COMPUTED_VALUE"""),46187.0)</f>
        <v>46187</v>
      </c>
      <c r="C5688" s="122" t="str">
        <f>IFERROR(__xludf.DUMMYFUNCTION("""COMPUTED_VALUE"""),"MEAT")</f>
        <v>MEAT</v>
      </c>
      <c r="D5688" s="122" t="str">
        <f>IFERROR(__xludf.DUMMYFUNCTION("""COMPUTED_VALUE"""),"MeatWorks")</f>
        <v>MeatWorks</v>
      </c>
      <c r="E5688" s="122">
        <f>IFERROR(__xludf.DUMMYFUNCTION("""COMPUTED_VALUE"""),104.79)</f>
        <v>104.79</v>
      </c>
      <c r="F5688" s="122">
        <f>IFERROR(__xludf.DUMMYFUNCTION("""COMPUTED_VALUE"""),0.0069)</f>
        <v>0.0069</v>
      </c>
    </row>
    <row r="5689">
      <c r="A5689" s="131">
        <f>IFERROR(__xludf.DUMMYFUNCTION("""COMPUTED_VALUE"""),46187.529270833336)</f>
        <v>46187.52927</v>
      </c>
      <c r="B5689" s="126">
        <f>IFERROR(__xludf.DUMMYFUNCTION("""COMPUTED_VALUE"""),46187.0)</f>
        <v>46187</v>
      </c>
      <c r="C5689" s="122" t="str">
        <f>IFERROR(__xludf.DUMMYFUNCTION("""COMPUTED_VALUE"""),"VEGI")</f>
        <v>VEGI</v>
      </c>
      <c r="D5689" s="122" t="str">
        <f>IFERROR(__xludf.DUMMYFUNCTION("""COMPUTED_VALUE"""),"Green Basket")</f>
        <v>Green Basket</v>
      </c>
      <c r="E5689" s="122">
        <f>IFERROR(__xludf.DUMMYFUNCTION("""COMPUTED_VALUE"""),78.7)</f>
        <v>78.7</v>
      </c>
      <c r="F5689" s="122">
        <f>IFERROR(__xludf.DUMMYFUNCTION("""COMPUTED_VALUE"""),0.0031)</f>
        <v>0.0031</v>
      </c>
    </row>
    <row r="5690">
      <c r="A5690" s="131">
        <f>IFERROR(__xludf.DUMMYFUNCTION("""COMPUTED_VALUE"""),46187.529270833336)</f>
        <v>46187.52927</v>
      </c>
      <c r="B5690" s="126">
        <f>IFERROR(__xludf.DUMMYFUNCTION("""COMPUTED_VALUE"""),46187.0)</f>
        <v>46187</v>
      </c>
      <c r="C5690" s="122" t="str">
        <f>IFERROR(__xludf.DUMMYFUNCTION("""COMPUTED_VALUE"""),"CAFE")</f>
        <v>CAFE</v>
      </c>
      <c r="D5690" s="122" t="str">
        <f>IFERROR(__xludf.DUMMYFUNCTION("""COMPUTED_VALUE"""),"Cafe Cloud")</f>
        <v>Cafe Cloud</v>
      </c>
      <c r="E5690" s="122">
        <f>IFERROR(__xludf.DUMMYFUNCTION("""COMPUTED_VALUE"""),100.16)</f>
        <v>100.16</v>
      </c>
      <c r="F5690" s="122">
        <f>IFERROR(__xludf.DUMMYFUNCTION("""COMPUTED_VALUE"""),0.0043)</f>
        <v>0.0043</v>
      </c>
    </row>
    <row r="5691">
      <c r="A5691" s="131">
        <f>IFERROR(__xludf.DUMMYFUNCTION("""COMPUTED_VALUE"""),46187.529270833336)</f>
        <v>46187.52927</v>
      </c>
      <c r="B5691" s="126">
        <f>IFERROR(__xludf.DUMMYFUNCTION("""COMPUTED_VALUE"""),46187.0)</f>
        <v>46187</v>
      </c>
      <c r="C5691" s="122" t="str">
        <f>IFERROR(__xludf.DUMMYFUNCTION("""COMPUTED_VALUE"""),"BAKE")</f>
        <v>BAKE</v>
      </c>
      <c r="D5691" s="122" t="str">
        <f>IFERROR(__xludf.DUMMYFUNCTION("""COMPUTED_VALUE"""),"BakeHouse")</f>
        <v>BakeHouse</v>
      </c>
      <c r="E5691" s="122">
        <f>IFERROR(__xludf.DUMMYFUNCTION("""COMPUTED_VALUE"""),102.72)</f>
        <v>102.72</v>
      </c>
      <c r="F5691" s="122">
        <f>IFERROR(__xludf.DUMMYFUNCTION("""COMPUTED_VALUE"""),0.0026)</f>
        <v>0.0026</v>
      </c>
    </row>
    <row r="5692">
      <c r="A5692" s="131">
        <f>IFERROR(__xludf.DUMMYFUNCTION("""COMPUTED_VALUE"""),46187.529270833336)</f>
        <v>46187.52927</v>
      </c>
      <c r="B5692" s="126">
        <f>IFERROR(__xludf.DUMMYFUNCTION("""COMPUTED_VALUE"""),46187.0)</f>
        <v>46187</v>
      </c>
      <c r="C5692" s="122" t="str">
        <f>IFERROR(__xludf.DUMMYFUNCTION("""COMPUTED_VALUE"""),"OILX")</f>
        <v>OILX</v>
      </c>
      <c r="D5692" s="122" t="str">
        <f>IFERROR(__xludf.DUMMYFUNCTION("""COMPUTED_VALUE"""),"OilMax Energy")</f>
        <v>OilMax Energy</v>
      </c>
      <c r="E5692" s="122">
        <f>IFERROR(__xludf.DUMMYFUNCTION("""COMPUTED_VALUE"""),129.26)</f>
        <v>129.26</v>
      </c>
      <c r="F5692" s="122">
        <f>IFERROR(__xludf.DUMMYFUNCTION("""COMPUTED_VALUE"""),-0.0029)</f>
        <v>-0.0029</v>
      </c>
    </row>
    <row r="5693">
      <c r="A5693" s="131">
        <f>IFERROR(__xludf.DUMMYFUNCTION("""COMPUTED_VALUE"""),46187.529270833336)</f>
        <v>46187.52927</v>
      </c>
      <c r="B5693" s="126">
        <f>IFERROR(__xludf.DUMMYFUNCTION("""COMPUTED_VALUE"""),46187.0)</f>
        <v>46187</v>
      </c>
      <c r="C5693" s="122" t="str">
        <f>IFERROR(__xludf.DUMMYFUNCTION("""COMPUTED_VALUE"""),"SOLR")</f>
        <v>SOLR</v>
      </c>
      <c r="D5693" s="122" t="str">
        <f>IFERROR(__xludf.DUMMYFUNCTION("""COMPUTED_VALUE"""),"SolarSpark")</f>
        <v>SolarSpark</v>
      </c>
      <c r="E5693" s="122">
        <f>IFERROR(__xludf.DUMMYFUNCTION("""COMPUTED_VALUE"""),99.57)</f>
        <v>99.57</v>
      </c>
      <c r="F5693" s="122">
        <f>IFERROR(__xludf.DUMMYFUNCTION("""COMPUTED_VALUE"""),-0.0018)</f>
        <v>-0.0018</v>
      </c>
    </row>
    <row r="5694">
      <c r="A5694" s="131">
        <f>IFERROR(__xludf.DUMMYFUNCTION("""COMPUTED_VALUE"""),46187.529270833336)</f>
        <v>46187.52927</v>
      </c>
      <c r="B5694" s="126">
        <f>IFERROR(__xludf.DUMMYFUNCTION("""COMPUTED_VALUE"""),46187.0)</f>
        <v>46187</v>
      </c>
      <c r="C5694" s="122" t="str">
        <f>IFERROR(__xludf.DUMMYFUNCTION("""COMPUTED_VALUE"""),"BATT")</f>
        <v>BATT</v>
      </c>
      <c r="D5694" s="122" t="str">
        <f>IFERROR(__xludf.DUMMYFUNCTION("""COMPUTED_VALUE"""),"BatteryBox")</f>
        <v>BatteryBox</v>
      </c>
      <c r="E5694" s="122">
        <f>IFERROR(__xludf.DUMMYFUNCTION("""COMPUTED_VALUE"""),119.93)</f>
        <v>119.93</v>
      </c>
      <c r="F5694" s="122">
        <f>IFERROR(__xludf.DUMMYFUNCTION("""COMPUTED_VALUE"""),-0.0078)</f>
        <v>-0.0078</v>
      </c>
    </row>
    <row r="5695">
      <c r="A5695" s="131">
        <f>IFERROR(__xludf.DUMMYFUNCTION("""COMPUTED_VALUE"""),46187.529270833336)</f>
        <v>46187.52927</v>
      </c>
      <c r="B5695" s="126">
        <f>IFERROR(__xludf.DUMMYFUNCTION("""COMPUTED_VALUE"""),46187.0)</f>
        <v>46187</v>
      </c>
      <c r="C5695" s="122" t="str">
        <f>IFERROR(__xludf.DUMMYFUNCTION("""COMPUTED_VALUE"""),"WIND")</f>
        <v>WIND</v>
      </c>
      <c r="D5695" s="122" t="str">
        <f>IFERROR(__xludf.DUMMYFUNCTION("""COMPUTED_VALUE"""),"WindWorks")</f>
        <v>WindWorks</v>
      </c>
      <c r="E5695" s="122">
        <f>IFERROR(__xludf.DUMMYFUNCTION("""COMPUTED_VALUE"""),87.69)</f>
        <v>87.69</v>
      </c>
      <c r="F5695" s="122">
        <f>IFERROR(__xludf.DUMMYFUNCTION("""COMPUTED_VALUE"""),-0.0045)</f>
        <v>-0.0045</v>
      </c>
    </row>
    <row r="5696">
      <c r="A5696" s="131">
        <f>IFERROR(__xludf.DUMMYFUNCTION("""COMPUTED_VALUE"""),46187.529270833336)</f>
        <v>46187.52927</v>
      </c>
      <c r="B5696" s="126">
        <f>IFERROR(__xludf.DUMMYFUNCTION("""COMPUTED_VALUE"""),46187.0)</f>
        <v>46187</v>
      </c>
      <c r="C5696" s="122" t="str">
        <f>IFERROR(__xludf.DUMMYFUNCTION("""COMPUTED_VALUE"""),"GRID")</f>
        <v>GRID</v>
      </c>
      <c r="D5696" s="122" t="str">
        <f>IFERROR(__xludf.DUMMYFUNCTION("""COMPUTED_VALUE"""),"GridPower")</f>
        <v>GridPower</v>
      </c>
      <c r="E5696" s="122">
        <f>IFERROR(__xludf.DUMMYFUNCTION("""COMPUTED_VALUE"""),137.04)</f>
        <v>137.04</v>
      </c>
      <c r="F5696" s="122">
        <f>IFERROR(__xludf.DUMMYFUNCTION("""COMPUTED_VALUE"""),0.0037)</f>
        <v>0.0037</v>
      </c>
    </row>
    <row r="5697">
      <c r="A5697" s="131">
        <f>IFERROR(__xludf.DUMMYFUNCTION("""COMPUTED_VALUE"""),46187.529270833336)</f>
        <v>46187.52927</v>
      </c>
      <c r="B5697" s="126">
        <f>IFERROR(__xludf.DUMMYFUNCTION("""COMPUTED_VALUE"""),46187.0)</f>
        <v>46187</v>
      </c>
      <c r="C5697" s="122" t="str">
        <f>IFERROR(__xludf.DUMMYFUNCTION("""COMPUTED_VALUE"""),"HOME")</f>
        <v>HOME</v>
      </c>
      <c r="D5697" s="122" t="str">
        <f>IFERROR(__xludf.DUMMYFUNCTION("""COMPUTED_VALUE"""),"HomeHub")</f>
        <v>HomeHub</v>
      </c>
      <c r="E5697" s="122">
        <f>IFERROR(__xludf.DUMMYFUNCTION("""COMPUTED_VALUE"""),154.98)</f>
        <v>154.98</v>
      </c>
      <c r="F5697" s="122">
        <f>IFERROR(__xludf.DUMMYFUNCTION("""COMPUTED_VALUE"""),0.005)</f>
        <v>0.005</v>
      </c>
    </row>
    <row r="5698">
      <c r="A5698" s="131">
        <f>IFERROR(__xludf.DUMMYFUNCTION("""COMPUTED_VALUE"""),46187.529270833336)</f>
        <v>46187.52927</v>
      </c>
      <c r="B5698" s="126">
        <f>IFERROR(__xludf.DUMMYFUNCTION("""COMPUTED_VALUE"""),46187.0)</f>
        <v>46187</v>
      </c>
      <c r="C5698" s="122" t="str">
        <f>IFERROR(__xludf.DUMMYFUNCTION("""COMPUTED_VALUE"""),"RENT")</f>
        <v>RENT</v>
      </c>
      <c r="D5698" s="122" t="str">
        <f>IFERROR(__xludf.DUMMYFUNCTION("""COMPUTED_VALUE"""),"RentRight")</f>
        <v>RentRight</v>
      </c>
      <c r="E5698" s="122">
        <f>IFERROR(__xludf.DUMMYFUNCTION("""COMPUTED_VALUE"""),90.83)</f>
        <v>90.83</v>
      </c>
      <c r="F5698" s="122">
        <f>IFERROR(__xludf.DUMMYFUNCTION("""COMPUTED_VALUE"""),0.0062)</f>
        <v>0.0062</v>
      </c>
    </row>
    <row r="5699">
      <c r="A5699" s="131">
        <f>IFERROR(__xludf.DUMMYFUNCTION("""COMPUTED_VALUE"""),46187.529270833336)</f>
        <v>46187.52927</v>
      </c>
      <c r="B5699" s="126">
        <f>IFERROR(__xludf.DUMMYFUNCTION("""COMPUTED_VALUE"""),46187.0)</f>
        <v>46187</v>
      </c>
      <c r="C5699" s="122" t="str">
        <f>IFERROR(__xludf.DUMMYFUNCTION("""COMPUTED_VALUE"""),"MALL")</f>
        <v>MALL</v>
      </c>
      <c r="D5699" s="122" t="str">
        <f>IFERROR(__xludf.DUMMYFUNCTION("""COMPUTED_VALUE"""),"MegaMall")</f>
        <v>MegaMall</v>
      </c>
      <c r="E5699" s="122">
        <f>IFERROR(__xludf.DUMMYFUNCTION("""COMPUTED_VALUE"""),99.76)</f>
        <v>99.76</v>
      </c>
      <c r="F5699" s="122">
        <f>IFERROR(__xludf.DUMMYFUNCTION("""COMPUTED_VALUE"""),-0.001)</f>
        <v>-0.001</v>
      </c>
    </row>
    <row r="5700">
      <c r="A5700" s="131">
        <f>IFERROR(__xludf.DUMMYFUNCTION("""COMPUTED_VALUE"""),46187.529270833336)</f>
        <v>46187.52927</v>
      </c>
      <c r="B5700" s="126">
        <f>IFERROR(__xludf.DUMMYFUNCTION("""COMPUTED_VALUE"""),46187.0)</f>
        <v>46187</v>
      </c>
      <c r="C5700" s="122" t="str">
        <f>IFERROR(__xludf.DUMMYFUNCTION("""COMPUTED_VALUE"""),"HOTL")</f>
        <v>HOTL</v>
      </c>
      <c r="D5700" s="122" t="str">
        <f>IFERROR(__xludf.DUMMYFUNCTION("""COMPUTED_VALUE"""),"HotelHive")</f>
        <v>HotelHive</v>
      </c>
      <c r="E5700" s="122">
        <f>IFERROR(__xludf.DUMMYFUNCTION("""COMPUTED_VALUE"""),126.72)</f>
        <v>126.72</v>
      </c>
      <c r="F5700" s="122">
        <f>IFERROR(__xludf.DUMMYFUNCTION("""COMPUTED_VALUE"""),-0.0087)</f>
        <v>-0.0087</v>
      </c>
    </row>
    <row r="5701">
      <c r="A5701" s="131">
        <f>IFERROR(__xludf.DUMMYFUNCTION("""COMPUTED_VALUE"""),46187.529270833336)</f>
        <v>46187.52927</v>
      </c>
      <c r="B5701" s="126">
        <f>IFERROR(__xludf.DUMMYFUNCTION("""COMPUTED_VALUE"""),46187.0)</f>
        <v>46187</v>
      </c>
      <c r="C5701" s="122" t="str">
        <f>IFERROR(__xludf.DUMMYFUNCTION("""COMPUTED_VALUE"""),"LAND")</f>
        <v>LAND</v>
      </c>
      <c r="D5701" s="122" t="str">
        <f>IFERROR(__xludf.DUMMYFUNCTION("""COMPUTED_VALUE"""),"LandLink")</f>
        <v>LandLink</v>
      </c>
      <c r="E5701" s="122">
        <f>IFERROR(__xludf.DUMMYFUNCTION("""COMPUTED_VALUE"""),180.99)</f>
        <v>180.99</v>
      </c>
      <c r="F5701" s="122">
        <f>IFERROR(__xludf.DUMMYFUNCTION("""COMPUTED_VALUE"""),-0.0039)</f>
        <v>-0.0039</v>
      </c>
    </row>
    <row r="5702">
      <c r="A5702" s="131">
        <f>IFERROR(__xludf.DUMMYFUNCTION("""COMPUTED_VALUE"""),46187.529270833336)</f>
        <v>46187.52927</v>
      </c>
      <c r="B5702" s="126">
        <f>IFERROR(__xludf.DUMMYFUNCTION("""COMPUTED_VALUE"""),46187.0)</f>
        <v>46187</v>
      </c>
      <c r="C5702" s="122" t="str">
        <f>IFERROR(__xludf.DUMMYFUNCTION("""COMPUTED_VALUE"""),"CARS")</f>
        <v>CARS</v>
      </c>
      <c r="D5702" s="122" t="str">
        <f>IFERROR(__xludf.DUMMYFUNCTION("""COMPUTED_VALUE"""),"AutoArena")</f>
        <v>AutoArena</v>
      </c>
      <c r="E5702" s="122">
        <f>IFERROR(__xludf.DUMMYFUNCTION("""COMPUTED_VALUE"""),80.14)</f>
        <v>80.14</v>
      </c>
      <c r="F5702" s="122">
        <f>IFERROR(__xludf.DUMMYFUNCTION("""COMPUTED_VALUE"""),-0.0099)</f>
        <v>-0.0099</v>
      </c>
    </row>
    <row r="5703">
      <c r="A5703" s="131">
        <f>IFERROR(__xludf.DUMMYFUNCTION("""COMPUTED_VALUE"""),46187.529270833336)</f>
        <v>46187.52927</v>
      </c>
      <c r="B5703" s="126">
        <f>IFERROR(__xludf.DUMMYFUNCTION("""COMPUTED_VALUE"""),46187.0)</f>
        <v>46187</v>
      </c>
      <c r="C5703" s="122" t="str">
        <f>IFERROR(__xludf.DUMMYFUNCTION("""COMPUTED_VALUE"""),"EVGO")</f>
        <v>EVGO</v>
      </c>
      <c r="D5703" s="122" t="str">
        <f>IFERROR(__xludf.DUMMYFUNCTION("""COMPUTED_VALUE"""),"EVGo Motors")</f>
        <v>EVGo Motors</v>
      </c>
      <c r="E5703" s="122">
        <f>IFERROR(__xludf.DUMMYFUNCTION("""COMPUTED_VALUE"""),180.67)</f>
        <v>180.67</v>
      </c>
      <c r="F5703" s="122">
        <f>IFERROR(__xludf.DUMMYFUNCTION("""COMPUTED_VALUE"""),-0.0121)</f>
        <v>-0.0121</v>
      </c>
    </row>
    <row r="5704">
      <c r="A5704" s="131">
        <f>IFERROR(__xludf.DUMMYFUNCTION("""COMPUTED_VALUE"""),46187.529270833336)</f>
        <v>46187.52927</v>
      </c>
      <c r="B5704" s="126">
        <f>IFERROR(__xludf.DUMMYFUNCTION("""COMPUTED_VALUE"""),46187.0)</f>
        <v>46187</v>
      </c>
      <c r="C5704" s="122" t="str">
        <f>IFERROR(__xludf.DUMMYFUNCTION("""COMPUTED_VALUE"""),"TIRE")</f>
        <v>TIRE</v>
      </c>
      <c r="D5704" s="122" t="str">
        <f>IFERROR(__xludf.DUMMYFUNCTION("""COMPUTED_VALUE"""),"TireTown")</f>
        <v>TireTown</v>
      </c>
      <c r="E5704" s="122">
        <f>IFERROR(__xludf.DUMMYFUNCTION("""COMPUTED_VALUE"""),96.53)</f>
        <v>96.53</v>
      </c>
      <c r="F5704" s="122">
        <f>IFERROR(__xludf.DUMMYFUNCTION("""COMPUTED_VALUE"""),0.0064)</f>
        <v>0.0064</v>
      </c>
    </row>
    <row r="5705">
      <c r="A5705" s="131">
        <f>IFERROR(__xludf.DUMMYFUNCTION("""COMPUTED_VALUE"""),46187.529270833336)</f>
        <v>46187.52927</v>
      </c>
      <c r="B5705" s="126">
        <f>IFERROR(__xludf.DUMMYFUNCTION("""COMPUTED_VALUE"""),46187.0)</f>
        <v>46187</v>
      </c>
      <c r="C5705" s="122" t="str">
        <f>IFERROR(__xludf.DUMMYFUNCTION("""COMPUTED_VALUE"""),"BIKE")</f>
        <v>BIKE</v>
      </c>
      <c r="D5705" s="122" t="str">
        <f>IFERROR(__xludf.DUMMYFUNCTION("""COMPUTED_VALUE"""),"BikeBox")</f>
        <v>BikeBox</v>
      </c>
      <c r="E5705" s="122">
        <f>IFERROR(__xludf.DUMMYFUNCTION("""COMPUTED_VALUE"""),53.25)</f>
        <v>53.25</v>
      </c>
      <c r="F5705" s="122">
        <f>IFERROR(__xludf.DUMMYFUNCTION("""COMPUTED_VALUE"""),-0.0021)</f>
        <v>-0.0021</v>
      </c>
    </row>
    <row r="5706">
      <c r="A5706" s="131">
        <f>IFERROR(__xludf.DUMMYFUNCTION("""COMPUTED_VALUE"""),46187.529270833336)</f>
        <v>46187.52927</v>
      </c>
      <c r="B5706" s="126">
        <f>IFERROR(__xludf.DUMMYFUNCTION("""COMPUTED_VALUE"""),46187.0)</f>
        <v>46187</v>
      </c>
      <c r="C5706" s="122" t="str">
        <f>IFERROR(__xludf.DUMMYFUNCTION("""COMPUTED_VALUE"""),"WASH")</f>
        <v>WASH</v>
      </c>
      <c r="D5706" s="122" t="str">
        <f>IFERROR(__xludf.DUMMYFUNCTION("""COMPUTED_VALUE"""),"CarWash Co")</f>
        <v>CarWash Co</v>
      </c>
      <c r="E5706" s="122">
        <f>IFERROR(__xludf.DUMMYFUNCTION("""COMPUTED_VALUE"""),118.51)</f>
        <v>118.51</v>
      </c>
      <c r="F5706" s="122">
        <f>IFERROR(__xludf.DUMMYFUNCTION("""COMPUTED_VALUE"""),-5.0E-4)</f>
        <v>-0.0005</v>
      </c>
    </row>
    <row r="5707">
      <c r="A5707" s="131">
        <f>IFERROR(__xludf.DUMMYFUNCTION("""COMPUTED_VALUE"""),46187.529270833336)</f>
        <v>46187.52927</v>
      </c>
      <c r="B5707" s="126">
        <f>IFERROR(__xludf.DUMMYFUNCTION("""COMPUTED_VALUE"""),46187.0)</f>
        <v>46187</v>
      </c>
      <c r="C5707" s="122" t="str">
        <f>IFERROR(__xludf.DUMMYFUNCTION("""COMPUTED_VALUE"""),"GBND")</f>
        <v>GBND</v>
      </c>
      <c r="D5707" s="122" t="str">
        <f>IFERROR(__xludf.DUMMYFUNCTION("""COMPUTED_VALUE"""),"Classroom Government Bond")</f>
        <v>Classroom Government Bond</v>
      </c>
      <c r="E5707" s="122">
        <f>IFERROR(__xludf.DUMMYFUNCTION("""COMPUTED_VALUE"""),101.06)</f>
        <v>101.06</v>
      </c>
      <c r="F5707" s="122">
        <f>IFERROR(__xludf.DUMMYFUNCTION("""COMPUTED_VALUE"""),4.0E-4)</f>
        <v>0.0004</v>
      </c>
    </row>
    <row r="5708">
      <c r="A5708" s="131">
        <f>IFERROR(__xludf.DUMMYFUNCTION("""COMPUTED_VALUE"""),46187.529270833336)</f>
        <v>46187.52927</v>
      </c>
      <c r="B5708" s="126">
        <f>IFERROR(__xludf.DUMMYFUNCTION("""COMPUTED_VALUE"""),46187.0)</f>
        <v>46187</v>
      </c>
      <c r="C5708" s="122" t="str">
        <f>IFERROR(__xludf.DUMMYFUNCTION("""COMPUTED_VALUE"""),"SBND")</f>
        <v>SBND</v>
      </c>
      <c r="D5708" s="122" t="str">
        <f>IFERROR(__xludf.DUMMYFUNCTION("""COMPUTED_VALUE"""),"School Savings Bond")</f>
        <v>School Savings Bond</v>
      </c>
      <c r="E5708" s="122">
        <f>IFERROR(__xludf.DUMMYFUNCTION("""COMPUTED_VALUE"""),99.38)</f>
        <v>99.38</v>
      </c>
      <c r="F5708" s="122">
        <f>IFERROR(__xludf.DUMMYFUNCTION("""COMPUTED_VALUE"""),-1.0E-4)</f>
        <v>-0.0001</v>
      </c>
    </row>
    <row r="5709">
      <c r="A5709" s="131">
        <f>IFERROR(__xludf.DUMMYFUNCTION("""COMPUTED_VALUE"""),46187.529270833336)</f>
        <v>46187.52927</v>
      </c>
      <c r="B5709" s="126">
        <f>IFERROR(__xludf.DUMMYFUNCTION("""COMPUTED_VALUE"""),46187.0)</f>
        <v>46187</v>
      </c>
      <c r="C5709" s="122" t="str">
        <f>IFERROR(__xludf.DUMMYFUNCTION("""COMPUTED_VALUE"""),"CBND")</f>
        <v>CBND</v>
      </c>
      <c r="D5709" s="122" t="str">
        <f>IFERROR(__xludf.DUMMYFUNCTION("""COMPUTED_VALUE"""),"Corporate Classroom Bond")</f>
        <v>Corporate Classroom Bond</v>
      </c>
      <c r="E5709" s="122">
        <f>IFERROR(__xludf.DUMMYFUNCTION("""COMPUTED_VALUE"""),97.78)</f>
        <v>97.78</v>
      </c>
      <c r="F5709" s="122">
        <f>IFERROR(__xludf.DUMMYFUNCTION("""COMPUTED_VALUE"""),-1.0E-4)</f>
        <v>-0.0001</v>
      </c>
    </row>
    <row r="5710">
      <c r="A5710" s="131">
        <f>IFERROR(__xludf.DUMMYFUNCTION("""COMPUTED_VALUE"""),46187.529270833336)</f>
        <v>46187.52927</v>
      </c>
      <c r="B5710" s="126">
        <f>IFERROR(__xludf.DUMMYFUNCTION("""COMPUTED_VALUE"""),46187.0)</f>
        <v>46187</v>
      </c>
      <c r="C5710" s="122" t="str">
        <f>IFERROR(__xludf.DUMMYFUNCTION("""COMPUTED_VALUE"""),"TBIL")</f>
        <v>TBIL</v>
      </c>
      <c r="D5710" s="122" t="str">
        <f>IFERROR(__xludf.DUMMYFUNCTION("""COMPUTED_VALUE"""),"Treasury Bill")</f>
        <v>Treasury Bill</v>
      </c>
      <c r="E5710" s="122">
        <f>IFERROR(__xludf.DUMMYFUNCTION("""COMPUTED_VALUE"""),98.07)</f>
        <v>98.07</v>
      </c>
      <c r="F5710" s="122">
        <f>IFERROR(__xludf.DUMMYFUNCTION("""COMPUTED_VALUE"""),-2.0E-4)</f>
        <v>-0.0002</v>
      </c>
    </row>
    <row r="5711">
      <c r="A5711" s="131">
        <f>IFERROR(__xludf.DUMMYFUNCTION("""COMPUTED_VALUE"""),46187.529270833336)</f>
        <v>46187.52927</v>
      </c>
      <c r="B5711" s="126">
        <f>IFERROR(__xludf.DUMMYFUNCTION("""COMPUTED_VALUE"""),46187.0)</f>
        <v>46187</v>
      </c>
      <c r="C5711" s="122" t="str">
        <f>IFERROR(__xludf.DUMMYFUNCTION("""COMPUTED_VALUE"""),"IBND")</f>
        <v>IBND</v>
      </c>
      <c r="D5711" s="122" t="str">
        <f>IFERROR(__xludf.DUMMYFUNCTION("""COMPUTED_VALUE"""),"Inflation Protected Bond")</f>
        <v>Inflation Protected Bond</v>
      </c>
      <c r="E5711" s="122">
        <f>IFERROR(__xludf.DUMMYFUNCTION("""COMPUTED_VALUE"""),100.84)</f>
        <v>100.84</v>
      </c>
      <c r="F5711" s="122">
        <f>IFERROR(__xludf.DUMMYFUNCTION("""COMPUTED_VALUE"""),5.0E-4)</f>
        <v>0.0005</v>
      </c>
    </row>
    <row r="5712">
      <c r="A5712" s="131">
        <f>IFERROR(__xludf.DUMMYFUNCTION("""COMPUTED_VALUE"""),46187.532905092594)</f>
        <v>46187.53291</v>
      </c>
      <c r="B5712" s="126">
        <f>IFERROR(__xludf.DUMMYFUNCTION("""COMPUTED_VALUE"""),46187.0)</f>
        <v>46187</v>
      </c>
      <c r="C5712" s="122" t="str">
        <f>IFERROR(__xludf.DUMMYFUNCTION("""COMPUTED_VALUE"""),"SNAX")</f>
        <v>SNAX</v>
      </c>
      <c r="D5712" s="122" t="str">
        <f>IFERROR(__xludf.DUMMYFUNCTION("""COMPUTED_VALUE"""),"MICA Snacks")</f>
        <v>MICA Snacks</v>
      </c>
      <c r="E5712" s="122">
        <f>IFERROR(__xludf.DUMMYFUNCTION("""COMPUTED_VALUE"""),120.07)</f>
        <v>120.07</v>
      </c>
      <c r="F5712" s="122">
        <f>IFERROR(__xludf.DUMMYFUNCTION("""COMPUTED_VALUE"""),0.0038)</f>
        <v>0.0038</v>
      </c>
    </row>
    <row r="5713">
      <c r="A5713" s="131">
        <f>IFERROR(__xludf.DUMMYFUNCTION("""COMPUTED_VALUE"""),46187.532905092594)</f>
        <v>46187.53291</v>
      </c>
      <c r="B5713" s="126">
        <f>IFERROR(__xludf.DUMMYFUNCTION("""COMPUTED_VALUE"""),46187.0)</f>
        <v>46187</v>
      </c>
      <c r="C5713" s="122" t="str">
        <f>IFERROR(__xludf.DUMMYFUNCTION("""COMPUTED_VALUE"""),"RAMN")</f>
        <v>RAMN</v>
      </c>
      <c r="D5713" s="122" t="str">
        <f>IFERROR(__xludf.DUMMYFUNCTION("""COMPUTED_VALUE"""),"Ramen Republic")</f>
        <v>Ramen Republic</v>
      </c>
      <c r="E5713" s="122">
        <f>IFERROR(__xludf.DUMMYFUNCTION("""COMPUTED_VALUE"""),67.56)</f>
        <v>67.56</v>
      </c>
      <c r="F5713" s="122">
        <f>IFERROR(__xludf.DUMMYFUNCTION("""COMPUTED_VALUE"""),0.001)</f>
        <v>0.001</v>
      </c>
    </row>
    <row r="5714">
      <c r="A5714" s="131">
        <f>IFERROR(__xludf.DUMMYFUNCTION("""COMPUTED_VALUE"""),46187.532905092594)</f>
        <v>46187.53291</v>
      </c>
      <c r="B5714" s="126">
        <f>IFERROR(__xludf.DUMMYFUNCTION("""COMPUTED_VALUE"""),46187.0)</f>
        <v>46187</v>
      </c>
      <c r="C5714" s="122" t="str">
        <f>IFERROR(__xludf.DUMMYFUNCTION("""COMPUTED_VALUE"""),"COLA")</f>
        <v>COLA</v>
      </c>
      <c r="D5714" s="122" t="str">
        <f>IFERROR(__xludf.DUMMYFUNCTION("""COMPUTED_VALUE"""),"K-Pop Cola")</f>
        <v>K-Pop Cola</v>
      </c>
      <c r="E5714" s="122">
        <f>IFERROR(__xludf.DUMMYFUNCTION("""COMPUTED_VALUE"""),114.99)</f>
        <v>114.99</v>
      </c>
      <c r="F5714" s="122">
        <f>IFERROR(__xludf.DUMMYFUNCTION("""COMPUTED_VALUE"""),-0.0035)</f>
        <v>-0.0035</v>
      </c>
    </row>
    <row r="5715">
      <c r="A5715" s="131">
        <f>IFERROR(__xludf.DUMMYFUNCTION("""COMPUTED_VALUE"""),46187.532905092594)</f>
        <v>46187.53291</v>
      </c>
      <c r="B5715" s="126">
        <f>IFERROR(__xludf.DUMMYFUNCTION("""COMPUTED_VALUE"""),46187.0)</f>
        <v>46187</v>
      </c>
      <c r="C5715" s="122" t="str">
        <f>IFERROR(__xludf.DUMMYFUNCTION("""COMPUTED_VALUE"""),"CHIP")</f>
        <v>CHIP</v>
      </c>
      <c r="D5715" s="122" t="str">
        <f>IFERROR(__xludf.DUMMYFUNCTION("""COMPUTED_VALUE"""),"Chip Empire")</f>
        <v>Chip Empire</v>
      </c>
      <c r="E5715" s="122">
        <f>IFERROR(__xludf.DUMMYFUNCTION("""COMPUTED_VALUE"""),85.07)</f>
        <v>85.07</v>
      </c>
      <c r="F5715" s="122">
        <f>IFERROR(__xludf.DUMMYFUNCTION("""COMPUTED_VALUE"""),-9.0E-4)</f>
        <v>-0.0009</v>
      </c>
    </row>
    <row r="5716">
      <c r="A5716" s="131">
        <f>IFERROR(__xludf.DUMMYFUNCTION("""COMPUTED_VALUE"""),46187.532905092594)</f>
        <v>46187.53291</v>
      </c>
      <c r="B5716" s="126">
        <f>IFERROR(__xludf.DUMMYFUNCTION("""COMPUTED_VALUE"""),46187.0)</f>
        <v>46187</v>
      </c>
      <c r="C5716" s="122" t="str">
        <f>IFERROR(__xludf.DUMMYFUNCTION("""COMPUTED_VALUE"""),"CAND")</f>
        <v>CAND</v>
      </c>
      <c r="D5716" s="122" t="str">
        <f>IFERROR(__xludf.DUMMYFUNCTION("""COMPUTED_VALUE"""),"Candy Capital")</f>
        <v>Candy Capital</v>
      </c>
      <c r="E5716" s="122">
        <f>IFERROR(__xludf.DUMMYFUNCTION("""COMPUTED_VALUE"""),78.17)</f>
        <v>78.17</v>
      </c>
      <c r="F5716" s="122">
        <f>IFERROR(__xludf.DUMMYFUNCTION("""COMPUTED_VALUE"""),0.0028)</f>
        <v>0.0028</v>
      </c>
    </row>
    <row r="5717">
      <c r="A5717" s="131">
        <f>IFERROR(__xludf.DUMMYFUNCTION("""COMPUTED_VALUE"""),46187.532905092594)</f>
        <v>46187.53291</v>
      </c>
      <c r="B5717" s="126">
        <f>IFERROR(__xludf.DUMMYFUNCTION("""COMPUTED_VALUE"""),46187.0)</f>
        <v>46187</v>
      </c>
      <c r="C5717" s="122" t="str">
        <f>IFERROR(__xludf.DUMMYFUNCTION("""COMPUTED_VALUE"""),"TECH")</f>
        <v>TECH</v>
      </c>
      <c r="D5717" s="122" t="str">
        <f>IFERROR(__xludf.DUMMYFUNCTION("""COMPUTED_VALUE"""),"Dragon Tech")</f>
        <v>Dragon Tech</v>
      </c>
      <c r="E5717" s="122">
        <f>IFERROR(__xludf.DUMMYFUNCTION("""COMPUTED_VALUE"""),243.83)</f>
        <v>243.83</v>
      </c>
      <c r="F5717" s="122">
        <f>IFERROR(__xludf.DUMMYFUNCTION("""COMPUTED_VALUE"""),-3.0E-4)</f>
        <v>-0.0003</v>
      </c>
    </row>
    <row r="5718">
      <c r="A5718" s="131">
        <f>IFERROR(__xludf.DUMMYFUNCTION("""COMPUTED_VALUE"""),46187.532905092594)</f>
        <v>46187.53291</v>
      </c>
      <c r="B5718" s="126">
        <f>IFERROR(__xludf.DUMMYFUNCTION("""COMPUTED_VALUE"""),46187.0)</f>
        <v>46187</v>
      </c>
      <c r="C5718" s="122" t="str">
        <f>IFERROR(__xludf.DUMMYFUNCTION("""COMPUTED_VALUE"""),"AIBO")</f>
        <v>AIBO</v>
      </c>
      <c r="D5718" s="122" t="str">
        <f>IFERROR(__xludf.DUMMYFUNCTION("""COMPUTED_VALUE"""),"Homework AI")</f>
        <v>Homework AI</v>
      </c>
      <c r="E5718" s="122">
        <f>IFERROR(__xludf.DUMMYFUNCTION("""COMPUTED_VALUE"""),181.64)</f>
        <v>181.64</v>
      </c>
      <c r="F5718" s="122">
        <f>IFERROR(__xludf.DUMMYFUNCTION("""COMPUTED_VALUE"""),0.0015)</f>
        <v>0.0015</v>
      </c>
    </row>
    <row r="5719">
      <c r="A5719" s="131">
        <f>IFERROR(__xludf.DUMMYFUNCTION("""COMPUTED_VALUE"""),46187.532905092594)</f>
        <v>46187.53291</v>
      </c>
      <c r="B5719" s="126">
        <f>IFERROR(__xludf.DUMMYFUNCTION("""COMPUTED_VALUE"""),46187.0)</f>
        <v>46187</v>
      </c>
      <c r="C5719" s="122" t="str">
        <f>IFERROR(__xludf.DUMMYFUNCTION("""COMPUTED_VALUE"""),"GAME")</f>
        <v>GAME</v>
      </c>
      <c r="D5719" s="122" t="str">
        <f>IFERROR(__xludf.DUMMYFUNCTION("""COMPUTED_VALUE"""),"GameBox Media")</f>
        <v>GameBox Media</v>
      </c>
      <c r="E5719" s="122">
        <f>IFERROR(__xludf.DUMMYFUNCTION("""COMPUTED_VALUE"""),100.66)</f>
        <v>100.66</v>
      </c>
      <c r="F5719" s="122">
        <f>IFERROR(__xludf.DUMMYFUNCTION("""COMPUTED_VALUE"""),0.0109)</f>
        <v>0.0109</v>
      </c>
    </row>
    <row r="5720">
      <c r="A5720" s="131">
        <f>IFERROR(__xludf.DUMMYFUNCTION("""COMPUTED_VALUE"""),46187.532905092594)</f>
        <v>46187.53291</v>
      </c>
      <c r="B5720" s="126">
        <f>IFERROR(__xludf.DUMMYFUNCTION("""COMPUTED_VALUE"""),46187.0)</f>
        <v>46187</v>
      </c>
      <c r="C5720" s="122" t="str">
        <f>IFERROR(__xludf.DUMMYFUNCTION("""COMPUTED_VALUE"""),"VRSE")</f>
        <v>VRSE</v>
      </c>
      <c r="D5720" s="122" t="str">
        <f>IFERROR(__xludf.DUMMYFUNCTION("""COMPUTED_VALUE"""),"VerseVR")</f>
        <v>VerseVR</v>
      </c>
      <c r="E5720" s="122">
        <f>IFERROR(__xludf.DUMMYFUNCTION("""COMPUTED_VALUE"""),149.86)</f>
        <v>149.86</v>
      </c>
      <c r="F5720" s="122">
        <f>IFERROR(__xludf.DUMMYFUNCTION("""COMPUTED_VALUE"""),0.0076)</f>
        <v>0.0076</v>
      </c>
    </row>
    <row r="5721">
      <c r="A5721" s="131">
        <f>IFERROR(__xludf.DUMMYFUNCTION("""COMPUTED_VALUE"""),46187.532905092594)</f>
        <v>46187.53291</v>
      </c>
      <c r="B5721" s="126">
        <f>IFERROR(__xludf.DUMMYFUNCTION("""COMPUTED_VALUE"""),46187.0)</f>
        <v>46187</v>
      </c>
      <c r="C5721" s="122" t="str">
        <f>IFERROR(__xludf.DUMMYFUNCTION("""COMPUTED_VALUE"""),"BYTE")</f>
        <v>BYTE</v>
      </c>
      <c r="D5721" s="122" t="str">
        <f>IFERROR(__xludf.DUMMYFUNCTION("""COMPUTED_VALUE"""),"ByteWorks")</f>
        <v>ByteWorks</v>
      </c>
      <c r="E5721" s="122">
        <f>IFERROR(__xludf.DUMMYFUNCTION("""COMPUTED_VALUE"""),112.63)</f>
        <v>112.63</v>
      </c>
      <c r="F5721" s="122">
        <f>IFERROR(__xludf.DUMMYFUNCTION("""COMPUTED_VALUE"""),-0.0029)</f>
        <v>-0.0029</v>
      </c>
    </row>
    <row r="5722">
      <c r="A5722" s="131">
        <f>IFERROR(__xludf.DUMMYFUNCTION("""COMPUTED_VALUE"""),46187.532905092594)</f>
        <v>46187.53291</v>
      </c>
      <c r="B5722" s="126">
        <f>IFERROR(__xludf.DUMMYFUNCTION("""COMPUTED_VALUE"""),46187.0)</f>
        <v>46187</v>
      </c>
      <c r="C5722" s="122" t="str">
        <f>IFERROR(__xludf.DUMMYFUNCTION("""COMPUTED_VALUE"""),"BANK")</f>
        <v>BANK</v>
      </c>
      <c r="D5722" s="122" t="str">
        <f>IFERROR(__xludf.DUMMYFUNCTION("""COMPUTED_VALUE"""),"Tiger Bank")</f>
        <v>Tiger Bank</v>
      </c>
      <c r="E5722" s="122">
        <f>IFERROR(__xludf.DUMMYFUNCTION("""COMPUTED_VALUE"""),129.11)</f>
        <v>129.11</v>
      </c>
      <c r="F5722" s="122">
        <f>IFERROR(__xludf.DUMMYFUNCTION("""COMPUTED_VALUE"""),0.0025)</f>
        <v>0.0025</v>
      </c>
    </row>
    <row r="5723">
      <c r="A5723" s="131">
        <f>IFERROR(__xludf.DUMMYFUNCTION("""COMPUTED_VALUE"""),46187.532905092594)</f>
        <v>46187.53291</v>
      </c>
      <c r="B5723" s="126">
        <f>IFERROR(__xludf.DUMMYFUNCTION("""COMPUTED_VALUE"""),46187.0)</f>
        <v>46187</v>
      </c>
      <c r="C5723" s="122" t="str">
        <f>IFERROR(__xludf.DUMMYFUNCTION("""COMPUTED_VALUE"""),"CRED")</f>
        <v>CRED</v>
      </c>
      <c r="D5723" s="122" t="str">
        <f>IFERROR(__xludf.DUMMYFUNCTION("""COMPUTED_VALUE"""),"Credit Castle")</f>
        <v>Credit Castle</v>
      </c>
      <c r="E5723" s="122">
        <f>IFERROR(__xludf.DUMMYFUNCTION("""COMPUTED_VALUE"""),66.78)</f>
        <v>66.78</v>
      </c>
      <c r="F5723" s="122">
        <f>IFERROR(__xludf.DUMMYFUNCTION("""COMPUTED_VALUE"""),0.0042)</f>
        <v>0.0042</v>
      </c>
    </row>
    <row r="5724">
      <c r="A5724" s="131">
        <f>IFERROR(__xludf.DUMMYFUNCTION("""COMPUTED_VALUE"""),46187.532905092594)</f>
        <v>46187.53291</v>
      </c>
      <c r="B5724" s="126">
        <f>IFERROR(__xludf.DUMMYFUNCTION("""COMPUTED_VALUE"""),46187.0)</f>
        <v>46187</v>
      </c>
      <c r="C5724" s="122" t="str">
        <f>IFERROR(__xludf.DUMMYFUNCTION("""COMPUTED_VALUE"""),"BOND")</f>
        <v>BOND</v>
      </c>
      <c r="D5724" s="122" t="str">
        <f>IFERROR(__xludf.DUMMYFUNCTION("""COMPUTED_VALUE"""),"BondBridge")</f>
        <v>BondBridge</v>
      </c>
      <c r="E5724" s="122">
        <f>IFERROR(__xludf.DUMMYFUNCTION("""COMPUTED_VALUE"""),100.99)</f>
        <v>100.99</v>
      </c>
      <c r="F5724" s="122">
        <f>IFERROR(__xludf.DUMMYFUNCTION("""COMPUTED_VALUE"""),0.002)</f>
        <v>0.002</v>
      </c>
    </row>
    <row r="5725">
      <c r="A5725" s="131">
        <f>IFERROR(__xludf.DUMMYFUNCTION("""COMPUTED_VALUE"""),46187.532905092594)</f>
        <v>46187.53291</v>
      </c>
      <c r="B5725" s="126">
        <f>IFERROR(__xludf.DUMMYFUNCTION("""COMPUTED_VALUE"""),46187.0)</f>
        <v>46187</v>
      </c>
      <c r="C5725" s="122" t="str">
        <f>IFERROR(__xludf.DUMMYFUNCTION("""COMPUTED_VALUE"""),"INSR")</f>
        <v>INSR</v>
      </c>
      <c r="D5725" s="122" t="str">
        <f>IFERROR(__xludf.DUMMYFUNCTION("""COMPUTED_VALUE"""),"Shield Insurance")</f>
        <v>Shield Insurance</v>
      </c>
      <c r="E5725" s="122">
        <f>IFERROR(__xludf.DUMMYFUNCTION("""COMPUTED_VALUE"""),159.87)</f>
        <v>159.87</v>
      </c>
      <c r="F5725" s="122">
        <f>IFERROR(__xludf.DUMMYFUNCTION("""COMPUTED_VALUE"""),-0.0019)</f>
        <v>-0.0019</v>
      </c>
    </row>
    <row r="5726">
      <c r="A5726" s="131">
        <f>IFERROR(__xludf.DUMMYFUNCTION("""COMPUTED_VALUE"""),46187.532905092594)</f>
        <v>46187.53291</v>
      </c>
      <c r="B5726" s="126">
        <f>IFERROR(__xludf.DUMMYFUNCTION("""COMPUTED_VALUE"""),46187.0)</f>
        <v>46187</v>
      </c>
      <c r="C5726" s="122" t="str">
        <f>IFERROR(__xludf.DUMMYFUNCTION("""COMPUTED_VALUE"""),"LOAN")</f>
        <v>LOAN</v>
      </c>
      <c r="D5726" s="122" t="str">
        <f>IFERROR(__xludf.DUMMYFUNCTION("""COMPUTED_VALUE"""),"LoanLab")</f>
        <v>LoanLab</v>
      </c>
      <c r="E5726" s="122">
        <f>IFERROR(__xludf.DUMMYFUNCTION("""COMPUTED_VALUE"""),65.7)</f>
        <v>65.7</v>
      </c>
      <c r="F5726" s="122">
        <f>IFERROR(__xludf.DUMMYFUNCTION("""COMPUTED_VALUE"""),-0.0024)</f>
        <v>-0.0024</v>
      </c>
    </row>
    <row r="5727">
      <c r="A5727" s="131">
        <f>IFERROR(__xludf.DUMMYFUNCTION("""COMPUTED_VALUE"""),46187.532905092594)</f>
        <v>46187.53291</v>
      </c>
      <c r="B5727" s="126">
        <f>IFERROR(__xludf.DUMMYFUNCTION("""COMPUTED_VALUE"""),46187.0)</f>
        <v>46187</v>
      </c>
      <c r="C5727" s="122" t="str">
        <f>IFERROR(__xludf.DUMMYFUNCTION("""COMPUTED_VALUE"""),"LUXE")</f>
        <v>LUXE</v>
      </c>
      <c r="D5727" s="122" t="str">
        <f>IFERROR(__xludf.DUMMYFUNCTION("""COMPUTED_VALUE"""),"Luxury Locker")</f>
        <v>Luxury Locker</v>
      </c>
      <c r="E5727" s="122">
        <f>IFERROR(__xludf.DUMMYFUNCTION("""COMPUTED_VALUE"""),268.28)</f>
        <v>268.28</v>
      </c>
      <c r="F5727" s="122">
        <f>IFERROR(__xludf.DUMMYFUNCTION("""COMPUTED_VALUE"""),1.0E-4)</f>
        <v>0.0001</v>
      </c>
    </row>
    <row r="5728">
      <c r="A5728" s="131">
        <f>IFERROR(__xludf.DUMMYFUNCTION("""COMPUTED_VALUE"""),46187.532905092594)</f>
        <v>46187.53291</v>
      </c>
      <c r="B5728" s="126">
        <f>IFERROR(__xludf.DUMMYFUNCTION("""COMPUTED_VALUE"""),46187.0)</f>
        <v>46187</v>
      </c>
      <c r="C5728" s="122" t="str">
        <f>IFERROR(__xludf.DUMMYFUNCTION("""COMPUTED_VALUE"""),"DRIP")</f>
        <v>DRIP</v>
      </c>
      <c r="D5728" s="122" t="str">
        <f>IFERROR(__xludf.DUMMYFUNCTION("""COMPUTED_VALUE"""),"Drip Streetwear")</f>
        <v>Drip Streetwear</v>
      </c>
      <c r="E5728" s="122">
        <f>IFERROR(__xludf.DUMMYFUNCTION("""COMPUTED_VALUE"""),198.34)</f>
        <v>198.34</v>
      </c>
      <c r="F5728" s="122">
        <f>IFERROR(__xludf.DUMMYFUNCTION("""COMPUTED_VALUE"""),-7.0E-4)</f>
        <v>-0.0007</v>
      </c>
    </row>
    <row r="5729">
      <c r="A5729" s="131">
        <f>IFERROR(__xludf.DUMMYFUNCTION("""COMPUTED_VALUE"""),46187.532905092594)</f>
        <v>46187.53291</v>
      </c>
      <c r="B5729" s="126">
        <f>IFERROR(__xludf.DUMMYFUNCTION("""COMPUTED_VALUE"""),46187.0)</f>
        <v>46187</v>
      </c>
      <c r="C5729" s="122" t="str">
        <f>IFERROR(__xludf.DUMMYFUNCTION("""COMPUTED_VALUE"""),"KICK")</f>
        <v>KICK</v>
      </c>
      <c r="D5729" s="122" t="str">
        <f>IFERROR(__xludf.DUMMYFUNCTION("""COMPUTED_VALUE"""),"KickDrop Sneakers")</f>
        <v>KickDrop Sneakers</v>
      </c>
      <c r="E5729" s="122">
        <f>IFERROR(__xludf.DUMMYFUNCTION("""COMPUTED_VALUE"""),170.3)</f>
        <v>170.3</v>
      </c>
      <c r="F5729" s="122">
        <f>IFERROR(__xludf.DUMMYFUNCTION("""COMPUTED_VALUE"""),0.0078)</f>
        <v>0.0078</v>
      </c>
    </row>
    <row r="5730">
      <c r="A5730" s="131">
        <f>IFERROR(__xludf.DUMMYFUNCTION("""COMPUTED_VALUE"""),46187.532905092594)</f>
        <v>46187.53291</v>
      </c>
      <c r="B5730" s="126">
        <f>IFERROR(__xludf.DUMMYFUNCTION("""COMPUTED_VALUE"""),46187.0)</f>
        <v>46187</v>
      </c>
      <c r="C5730" s="122" t="str">
        <f>IFERROR(__xludf.DUMMYFUNCTION("""COMPUTED_VALUE"""),"GLAM")</f>
        <v>GLAM</v>
      </c>
      <c r="D5730" s="122" t="str">
        <f>IFERROR(__xludf.DUMMYFUNCTION("""COMPUTED_VALUE"""),"Glow Cosmetics")</f>
        <v>Glow Cosmetics</v>
      </c>
      <c r="E5730" s="122">
        <f>IFERROR(__xludf.DUMMYFUNCTION("""COMPUTED_VALUE"""),107.43)</f>
        <v>107.43</v>
      </c>
      <c r="F5730" s="122">
        <f>IFERROR(__xludf.DUMMYFUNCTION("""COMPUTED_VALUE"""),-0.0034)</f>
        <v>-0.0034</v>
      </c>
    </row>
    <row r="5731">
      <c r="A5731" s="131">
        <f>IFERROR(__xludf.DUMMYFUNCTION("""COMPUTED_VALUE"""),46187.532905092594)</f>
        <v>46187.53291</v>
      </c>
      <c r="B5731" s="126">
        <f>IFERROR(__xludf.DUMMYFUNCTION("""COMPUTED_VALUE"""),46187.0)</f>
        <v>46187</v>
      </c>
      <c r="C5731" s="122" t="str">
        <f>IFERROR(__xludf.DUMMYFUNCTION("""COMPUTED_VALUE"""),"BAGG")</f>
        <v>BAGG</v>
      </c>
      <c r="D5731" s="122" t="str">
        <f>IFERROR(__xludf.DUMMYFUNCTION("""COMPUTED_VALUE"""),"BagVault")</f>
        <v>BagVault</v>
      </c>
      <c r="E5731" s="122">
        <f>IFERROR(__xludf.DUMMYFUNCTION("""COMPUTED_VALUE"""),255.1)</f>
        <v>255.1</v>
      </c>
      <c r="F5731" s="122">
        <f>IFERROR(__xludf.DUMMYFUNCTION("""COMPUTED_VALUE"""),0.0078)</f>
        <v>0.0078</v>
      </c>
    </row>
    <row r="5732">
      <c r="A5732" s="131">
        <f>IFERROR(__xludf.DUMMYFUNCTION("""COMPUTED_VALUE"""),46187.532905092594)</f>
        <v>46187.53291</v>
      </c>
      <c r="B5732" s="126">
        <f>IFERROR(__xludf.DUMMYFUNCTION("""COMPUTED_VALUE"""),46187.0)</f>
        <v>46187</v>
      </c>
      <c r="C5732" s="122" t="str">
        <f>IFERROR(__xludf.DUMMYFUNCTION("""COMPUTED_VALUE"""),"FAST")</f>
        <v>FAST</v>
      </c>
      <c r="D5732" s="122" t="str">
        <f>IFERROR(__xludf.DUMMYFUNCTION("""COMPUTED_VALUE"""),"Flash Logistics")</f>
        <v>Flash Logistics</v>
      </c>
      <c r="E5732" s="122">
        <f>IFERROR(__xludf.DUMMYFUNCTION("""COMPUTED_VALUE"""),105.01)</f>
        <v>105.01</v>
      </c>
      <c r="F5732" s="122">
        <f>IFERROR(__xludf.DUMMYFUNCTION("""COMPUTED_VALUE"""),-0.0038)</f>
        <v>-0.0038</v>
      </c>
    </row>
    <row r="5733">
      <c r="A5733" s="131">
        <f>IFERROR(__xludf.DUMMYFUNCTION("""COMPUTED_VALUE"""),46187.532905092594)</f>
        <v>46187.53291</v>
      </c>
      <c r="B5733" s="126">
        <f>IFERROR(__xludf.DUMMYFUNCTION("""COMPUTED_VALUE"""),46187.0)</f>
        <v>46187</v>
      </c>
      <c r="C5733" s="122" t="str">
        <f>IFERROR(__xludf.DUMMYFUNCTION("""COMPUTED_VALUE"""),"SHIP")</f>
        <v>SHIP</v>
      </c>
      <c r="D5733" s="122" t="str">
        <f>IFERROR(__xludf.DUMMYFUNCTION("""COMPUTED_VALUE"""),"Seoul Shipping")</f>
        <v>Seoul Shipping</v>
      </c>
      <c r="E5733" s="122">
        <f>IFERROR(__xludf.DUMMYFUNCTION("""COMPUTED_VALUE"""),128.27)</f>
        <v>128.27</v>
      </c>
      <c r="F5733" s="122">
        <f>IFERROR(__xludf.DUMMYFUNCTION("""COMPUTED_VALUE"""),0.0036)</f>
        <v>0.0036</v>
      </c>
    </row>
    <row r="5734">
      <c r="A5734" s="131">
        <f>IFERROR(__xludf.DUMMYFUNCTION("""COMPUTED_VALUE"""),46187.532905092594)</f>
        <v>46187.53291</v>
      </c>
      <c r="B5734" s="126">
        <f>IFERROR(__xludf.DUMMYFUNCTION("""COMPUTED_VALUE"""),46187.0)</f>
        <v>46187</v>
      </c>
      <c r="C5734" s="122" t="str">
        <f>IFERROR(__xludf.DUMMYFUNCTION("""COMPUTED_VALUE"""),"DRON")</f>
        <v>DRON</v>
      </c>
      <c r="D5734" s="122" t="str">
        <f>IFERROR(__xludf.DUMMYFUNCTION("""COMPUTED_VALUE"""),"DroneDrop")</f>
        <v>DroneDrop</v>
      </c>
      <c r="E5734" s="122">
        <f>IFERROR(__xludf.DUMMYFUNCTION("""COMPUTED_VALUE"""),127.82)</f>
        <v>127.82</v>
      </c>
      <c r="F5734" s="122">
        <f>IFERROR(__xludf.DUMMYFUNCTION("""COMPUTED_VALUE"""),0.004)</f>
        <v>0.004</v>
      </c>
    </row>
    <row r="5735">
      <c r="A5735" s="131">
        <f>IFERROR(__xludf.DUMMYFUNCTION("""COMPUTED_VALUE"""),46187.532905092594)</f>
        <v>46187.53291</v>
      </c>
      <c r="B5735" s="126">
        <f>IFERROR(__xludf.DUMMYFUNCTION("""COMPUTED_VALUE"""),46187.0)</f>
        <v>46187</v>
      </c>
      <c r="C5735" s="122" t="str">
        <f>IFERROR(__xludf.DUMMYFUNCTION("""COMPUTED_VALUE"""),"RIDE")</f>
        <v>RIDE</v>
      </c>
      <c r="D5735" s="122" t="str">
        <f>IFERROR(__xludf.DUMMYFUNCTION("""COMPUTED_VALUE"""),"QuickRide")</f>
        <v>QuickRide</v>
      </c>
      <c r="E5735" s="122">
        <f>IFERROR(__xludf.DUMMYFUNCTION("""COMPUTED_VALUE"""),98.85)</f>
        <v>98.85</v>
      </c>
      <c r="F5735" s="122">
        <f>IFERROR(__xludf.DUMMYFUNCTION("""COMPUTED_VALUE"""),0.0086)</f>
        <v>0.0086</v>
      </c>
    </row>
    <row r="5736">
      <c r="A5736" s="131">
        <f>IFERROR(__xludf.DUMMYFUNCTION("""COMPUTED_VALUE"""),46187.532905092594)</f>
        <v>46187.53291</v>
      </c>
      <c r="B5736" s="126">
        <f>IFERROR(__xludf.DUMMYFUNCTION("""COMPUTED_VALUE"""),46187.0)</f>
        <v>46187</v>
      </c>
      <c r="C5736" s="122" t="str">
        <f>IFERROR(__xludf.DUMMYFUNCTION("""COMPUTED_VALUE"""),"RAIL")</f>
        <v>RAIL</v>
      </c>
      <c r="D5736" s="122" t="str">
        <f>IFERROR(__xludf.DUMMYFUNCTION("""COMPUTED_VALUE"""),"MetroRail Corp")</f>
        <v>MetroRail Corp</v>
      </c>
      <c r="E5736" s="122">
        <f>IFERROR(__xludf.DUMMYFUNCTION("""COMPUTED_VALUE"""),132.67)</f>
        <v>132.67</v>
      </c>
      <c r="F5736" s="122">
        <f>IFERROR(__xludf.DUMMYFUNCTION("""COMPUTED_VALUE"""),1.0E-4)</f>
        <v>0.0001</v>
      </c>
    </row>
    <row r="5737">
      <c r="A5737" s="131">
        <f>IFERROR(__xludf.DUMMYFUNCTION("""COMPUTED_VALUE"""),46187.532905092594)</f>
        <v>46187.53291</v>
      </c>
      <c r="B5737" s="126">
        <f>IFERROR(__xludf.DUMMYFUNCTION("""COMPUTED_VALUE"""),46187.0)</f>
        <v>46187</v>
      </c>
      <c r="C5737" s="122" t="str">
        <f>IFERROR(__xludf.DUMMYFUNCTION("""COMPUTED_VALUE"""),"MEDX")</f>
        <v>MEDX</v>
      </c>
      <c r="D5737" s="122" t="str">
        <f>IFERROR(__xludf.DUMMYFUNCTION("""COMPUTED_VALUE"""),"MediCore")</f>
        <v>MediCore</v>
      </c>
      <c r="E5737" s="122">
        <f>IFERROR(__xludf.DUMMYFUNCTION("""COMPUTED_VALUE"""),138.25)</f>
        <v>138.25</v>
      </c>
      <c r="F5737" s="122">
        <f>IFERROR(__xludf.DUMMYFUNCTION("""COMPUTED_VALUE"""),9.0E-4)</f>
        <v>0.0009</v>
      </c>
    </row>
    <row r="5738">
      <c r="A5738" s="131">
        <f>IFERROR(__xludf.DUMMYFUNCTION("""COMPUTED_VALUE"""),46187.532905092594)</f>
        <v>46187.53291</v>
      </c>
      <c r="B5738" s="126">
        <f>IFERROR(__xludf.DUMMYFUNCTION("""COMPUTED_VALUE"""),46187.0)</f>
        <v>46187</v>
      </c>
      <c r="C5738" s="122" t="str">
        <f>IFERROR(__xludf.DUMMYFUNCTION("""COMPUTED_VALUE"""),"GYMX")</f>
        <v>GYMX</v>
      </c>
      <c r="D5738" s="122" t="str">
        <f>IFERROR(__xludf.DUMMYFUNCTION("""COMPUTED_VALUE"""),"GymX Fitness")</f>
        <v>GymX Fitness</v>
      </c>
      <c r="E5738" s="122">
        <f>IFERROR(__xludf.DUMMYFUNCTION("""COMPUTED_VALUE"""),86.0)</f>
        <v>86</v>
      </c>
      <c r="F5738" s="122">
        <f>IFERROR(__xludf.DUMMYFUNCTION("""COMPUTED_VALUE"""),-0.0061)</f>
        <v>-0.0061</v>
      </c>
    </row>
    <row r="5739">
      <c r="A5739" s="131">
        <f>IFERROR(__xludf.DUMMYFUNCTION("""COMPUTED_VALUE"""),46187.532905092594)</f>
        <v>46187.53291</v>
      </c>
      <c r="B5739" s="126">
        <f>IFERROR(__xludf.DUMMYFUNCTION("""COMPUTED_VALUE"""),46187.0)</f>
        <v>46187</v>
      </c>
      <c r="C5739" s="122" t="str">
        <f>IFERROR(__xludf.DUMMYFUNCTION("""COMPUTED_VALUE"""),"VITA")</f>
        <v>VITA</v>
      </c>
      <c r="D5739" s="122" t="str">
        <f>IFERROR(__xludf.DUMMYFUNCTION("""COMPUTED_VALUE"""),"VitaPlus")</f>
        <v>VitaPlus</v>
      </c>
      <c r="E5739" s="122">
        <f>IFERROR(__xludf.DUMMYFUNCTION("""COMPUTED_VALUE"""),72.21)</f>
        <v>72.21</v>
      </c>
      <c r="F5739" s="122">
        <f>IFERROR(__xludf.DUMMYFUNCTION("""COMPUTED_VALUE"""),-1.0E-4)</f>
        <v>-0.0001</v>
      </c>
    </row>
    <row r="5740">
      <c r="A5740" s="131">
        <f>IFERROR(__xludf.DUMMYFUNCTION("""COMPUTED_VALUE"""),46187.532905092594)</f>
        <v>46187.53291</v>
      </c>
      <c r="B5740" s="126">
        <f>IFERROR(__xludf.DUMMYFUNCTION("""COMPUTED_VALUE"""),46187.0)</f>
        <v>46187</v>
      </c>
      <c r="C5740" s="122" t="str">
        <f>IFERROR(__xludf.DUMMYFUNCTION("""COMPUTED_VALUE"""),"CARE")</f>
        <v>CARE</v>
      </c>
      <c r="D5740" s="122" t="str">
        <f>IFERROR(__xludf.DUMMYFUNCTION("""COMPUTED_VALUE"""),"CareCloud")</f>
        <v>CareCloud</v>
      </c>
      <c r="E5740" s="122">
        <f>IFERROR(__xludf.DUMMYFUNCTION("""COMPUTED_VALUE"""),179.76)</f>
        <v>179.76</v>
      </c>
      <c r="F5740" s="122">
        <f>IFERROR(__xludf.DUMMYFUNCTION("""COMPUTED_VALUE"""),-0.0019)</f>
        <v>-0.0019</v>
      </c>
    </row>
    <row r="5741">
      <c r="A5741" s="131">
        <f>IFERROR(__xludf.DUMMYFUNCTION("""COMPUTED_VALUE"""),46187.532905092594)</f>
        <v>46187.53291</v>
      </c>
      <c r="B5741" s="126">
        <f>IFERROR(__xludf.DUMMYFUNCTION("""COMPUTED_VALUE"""),46187.0)</f>
        <v>46187</v>
      </c>
      <c r="C5741" s="122" t="str">
        <f>IFERROR(__xludf.DUMMYFUNCTION("""COMPUTED_VALUE"""),"DENT")</f>
        <v>DENT</v>
      </c>
      <c r="D5741" s="122" t="str">
        <f>IFERROR(__xludf.DUMMYFUNCTION("""COMPUTED_VALUE"""),"SmileWorks")</f>
        <v>SmileWorks</v>
      </c>
      <c r="E5741" s="122">
        <f>IFERROR(__xludf.DUMMYFUNCTION("""COMPUTED_VALUE"""),90.51)</f>
        <v>90.51</v>
      </c>
      <c r="F5741" s="122">
        <f>IFERROR(__xludf.DUMMYFUNCTION("""COMPUTED_VALUE"""),0.0029)</f>
        <v>0.0029</v>
      </c>
    </row>
    <row r="5742">
      <c r="A5742" s="131">
        <f>IFERROR(__xludf.DUMMYFUNCTION("""COMPUTED_VALUE"""),46187.532905092594)</f>
        <v>46187.53291</v>
      </c>
      <c r="B5742" s="126">
        <f>IFERROR(__xludf.DUMMYFUNCTION("""COMPUTED_VALUE"""),46187.0)</f>
        <v>46187</v>
      </c>
      <c r="C5742" s="122" t="str">
        <f>IFERROR(__xludf.DUMMYFUNCTION("""COMPUTED_VALUE"""),"EDUX")</f>
        <v>EDUX</v>
      </c>
      <c r="D5742" s="122" t="str">
        <f>IFERROR(__xludf.DUMMYFUNCTION("""COMPUTED_VALUE"""),"EduMax Learning")</f>
        <v>EduMax Learning</v>
      </c>
      <c r="E5742" s="122">
        <f>IFERROR(__xludf.DUMMYFUNCTION("""COMPUTED_VALUE"""),142.44)</f>
        <v>142.44</v>
      </c>
      <c r="F5742" s="122">
        <f>IFERROR(__xludf.DUMMYFUNCTION("""COMPUTED_VALUE"""),0.0011)</f>
        <v>0.0011</v>
      </c>
    </row>
    <row r="5743">
      <c r="A5743" s="131">
        <f>IFERROR(__xludf.DUMMYFUNCTION("""COMPUTED_VALUE"""),46187.532905092594)</f>
        <v>46187.53291</v>
      </c>
      <c r="B5743" s="126">
        <f>IFERROR(__xludf.DUMMYFUNCTION("""COMPUTED_VALUE"""),46187.0)</f>
        <v>46187</v>
      </c>
      <c r="C5743" s="122" t="str">
        <f>IFERROR(__xludf.DUMMYFUNCTION("""COMPUTED_VALUE"""),"BOOK")</f>
        <v>BOOK</v>
      </c>
      <c r="D5743" s="122" t="str">
        <f>IFERROR(__xludf.DUMMYFUNCTION("""COMPUTED_VALUE"""),"BookBridge")</f>
        <v>BookBridge</v>
      </c>
      <c r="E5743" s="122">
        <f>IFERROR(__xludf.DUMMYFUNCTION("""COMPUTED_VALUE"""),118.4)</f>
        <v>118.4</v>
      </c>
      <c r="F5743" s="122">
        <f>IFERROR(__xludf.DUMMYFUNCTION("""COMPUTED_VALUE"""),0.0016)</f>
        <v>0.0016</v>
      </c>
    </row>
    <row r="5744">
      <c r="A5744" s="131">
        <f>IFERROR(__xludf.DUMMYFUNCTION("""COMPUTED_VALUE"""),46187.532905092594)</f>
        <v>46187.53291</v>
      </c>
      <c r="B5744" s="126">
        <f>IFERROR(__xludf.DUMMYFUNCTION("""COMPUTED_VALUE"""),46187.0)</f>
        <v>46187</v>
      </c>
      <c r="C5744" s="122" t="str">
        <f>IFERROR(__xludf.DUMMYFUNCTION("""COMPUTED_VALUE"""),"TUTR")</f>
        <v>TUTR</v>
      </c>
      <c r="D5744" s="122" t="str">
        <f>IFERROR(__xludf.DUMMYFUNCTION("""COMPUTED_VALUE"""),"TutorTown")</f>
        <v>TutorTown</v>
      </c>
      <c r="E5744" s="122">
        <f>IFERROR(__xludf.DUMMYFUNCTION("""COMPUTED_VALUE"""),90.6)</f>
        <v>90.6</v>
      </c>
      <c r="F5744" s="122">
        <f>IFERROR(__xludf.DUMMYFUNCTION("""COMPUTED_VALUE"""),-0.0031)</f>
        <v>-0.0031</v>
      </c>
    </row>
    <row r="5745">
      <c r="A5745" s="131">
        <f>IFERROR(__xludf.DUMMYFUNCTION("""COMPUTED_VALUE"""),46187.532905092594)</f>
        <v>46187.53291</v>
      </c>
      <c r="B5745" s="126">
        <f>IFERROR(__xludf.DUMMYFUNCTION("""COMPUTED_VALUE"""),46187.0)</f>
        <v>46187</v>
      </c>
      <c r="C5745" s="122" t="str">
        <f>IFERROR(__xludf.DUMMYFUNCTION("""COMPUTED_VALUE"""),"LANG")</f>
        <v>LANG</v>
      </c>
      <c r="D5745" s="122" t="str">
        <f>IFERROR(__xludf.DUMMYFUNCTION("""COMPUTED_VALUE"""),"LinguaLab")</f>
        <v>LinguaLab</v>
      </c>
      <c r="E5745" s="122">
        <f>IFERROR(__xludf.DUMMYFUNCTION("""COMPUTED_VALUE"""),100.43)</f>
        <v>100.43</v>
      </c>
      <c r="F5745" s="122">
        <f>IFERROR(__xludf.DUMMYFUNCTION("""COMPUTED_VALUE"""),0.0018)</f>
        <v>0.0018</v>
      </c>
    </row>
    <row r="5746">
      <c r="A5746" s="131">
        <f>IFERROR(__xludf.DUMMYFUNCTION("""COMPUTED_VALUE"""),46187.532905092594)</f>
        <v>46187.53291</v>
      </c>
      <c r="B5746" s="126">
        <f>IFERROR(__xludf.DUMMYFUNCTION("""COMPUTED_VALUE"""),46187.0)</f>
        <v>46187</v>
      </c>
      <c r="C5746" s="122" t="str">
        <f>IFERROR(__xludf.DUMMYFUNCTION("""COMPUTED_VALUE"""),"TEST")</f>
        <v>TEST</v>
      </c>
      <c r="D5746" s="122" t="str">
        <f>IFERROR(__xludf.DUMMYFUNCTION("""COMPUTED_VALUE"""),"TestPrep Pro")</f>
        <v>TestPrep Pro</v>
      </c>
      <c r="E5746" s="122">
        <f>IFERROR(__xludf.DUMMYFUNCTION("""COMPUTED_VALUE"""),94.38)</f>
        <v>94.38</v>
      </c>
      <c r="F5746" s="122">
        <f>IFERROR(__xludf.DUMMYFUNCTION("""COMPUTED_VALUE"""),0.0017)</f>
        <v>0.0017</v>
      </c>
    </row>
    <row r="5747">
      <c r="A5747" s="131">
        <f>IFERROR(__xludf.DUMMYFUNCTION("""COMPUTED_VALUE"""),46187.532905092594)</f>
        <v>46187.53291</v>
      </c>
      <c r="B5747" s="126">
        <f>IFERROR(__xludf.DUMMYFUNCTION("""COMPUTED_VALUE"""),46187.0)</f>
        <v>46187</v>
      </c>
      <c r="C5747" s="122" t="str">
        <f>IFERROR(__xludf.DUMMYFUNCTION("""COMPUTED_VALUE"""),"MOVI")</f>
        <v>MOVI</v>
      </c>
      <c r="D5747" s="122" t="str">
        <f>IFERROR(__xludf.DUMMYFUNCTION("""COMPUTED_VALUE"""),"MovieBox")</f>
        <v>MovieBox</v>
      </c>
      <c r="E5747" s="122">
        <f>IFERROR(__xludf.DUMMYFUNCTION("""COMPUTED_VALUE"""),81.12)</f>
        <v>81.12</v>
      </c>
      <c r="F5747" s="122">
        <f>IFERROR(__xludf.DUMMYFUNCTION("""COMPUTED_VALUE"""),0.0031)</f>
        <v>0.0031</v>
      </c>
    </row>
    <row r="5748">
      <c r="A5748" s="131">
        <f>IFERROR(__xludf.DUMMYFUNCTION("""COMPUTED_VALUE"""),46187.532905092594)</f>
        <v>46187.53291</v>
      </c>
      <c r="B5748" s="126">
        <f>IFERROR(__xludf.DUMMYFUNCTION("""COMPUTED_VALUE"""),46187.0)</f>
        <v>46187</v>
      </c>
      <c r="C5748" s="122" t="str">
        <f>IFERROR(__xludf.DUMMYFUNCTION("""COMPUTED_VALUE"""),"MUSC")</f>
        <v>MUSC</v>
      </c>
      <c r="D5748" s="122" t="str">
        <f>IFERROR(__xludf.DUMMYFUNCTION("""COMPUTED_VALUE"""),"MusicWave")</f>
        <v>MusicWave</v>
      </c>
      <c r="E5748" s="122">
        <f>IFERROR(__xludf.DUMMYFUNCTION("""COMPUTED_VALUE"""),100.83)</f>
        <v>100.83</v>
      </c>
      <c r="F5748" s="122">
        <f>IFERROR(__xludf.DUMMYFUNCTION("""COMPUTED_VALUE"""),0.0029)</f>
        <v>0.0029</v>
      </c>
    </row>
    <row r="5749">
      <c r="A5749" s="131">
        <f>IFERROR(__xludf.DUMMYFUNCTION("""COMPUTED_VALUE"""),46187.532905092594)</f>
        <v>46187.53291</v>
      </c>
      <c r="B5749" s="126">
        <f>IFERROR(__xludf.DUMMYFUNCTION("""COMPUTED_VALUE"""),46187.0)</f>
        <v>46187</v>
      </c>
      <c r="C5749" s="122" t="str">
        <f>IFERROR(__xludf.DUMMYFUNCTION("""COMPUTED_VALUE"""),"IDOL")</f>
        <v>IDOL</v>
      </c>
      <c r="D5749" s="122" t="str">
        <f>IFERROR(__xludf.DUMMYFUNCTION("""COMPUTED_VALUE"""),"Idol Agency")</f>
        <v>Idol Agency</v>
      </c>
      <c r="E5749" s="122">
        <f>IFERROR(__xludf.DUMMYFUNCTION("""COMPUTED_VALUE"""),190.91)</f>
        <v>190.91</v>
      </c>
      <c r="F5749" s="122">
        <f>IFERROR(__xludf.DUMMYFUNCTION("""COMPUTED_VALUE"""),0.0018)</f>
        <v>0.0018</v>
      </c>
    </row>
    <row r="5750">
      <c r="A5750" s="131">
        <f>IFERROR(__xludf.DUMMYFUNCTION("""COMPUTED_VALUE"""),46187.532905092594)</f>
        <v>46187.53291</v>
      </c>
      <c r="B5750" s="126">
        <f>IFERROR(__xludf.DUMMYFUNCTION("""COMPUTED_VALUE"""),46187.0)</f>
        <v>46187</v>
      </c>
      <c r="C5750" s="122" t="str">
        <f>IFERROR(__xludf.DUMMYFUNCTION("""COMPUTED_VALUE"""),"MEME")</f>
        <v>MEME</v>
      </c>
      <c r="D5750" s="122" t="str">
        <f>IFERROR(__xludf.DUMMYFUNCTION("""COMPUTED_VALUE"""),"Meme Media")</f>
        <v>Meme Media</v>
      </c>
      <c r="E5750" s="122">
        <f>IFERROR(__xludf.DUMMYFUNCTION("""COMPUTED_VALUE"""),73.02)</f>
        <v>73.02</v>
      </c>
      <c r="F5750" s="122">
        <f>IFERROR(__xludf.DUMMYFUNCTION("""COMPUTED_VALUE"""),0.0087)</f>
        <v>0.0087</v>
      </c>
    </row>
    <row r="5751">
      <c r="A5751" s="131">
        <f>IFERROR(__xludf.DUMMYFUNCTION("""COMPUTED_VALUE"""),46187.532905092594)</f>
        <v>46187.53291</v>
      </c>
      <c r="B5751" s="126">
        <f>IFERROR(__xludf.DUMMYFUNCTION("""COMPUTED_VALUE"""),46187.0)</f>
        <v>46187</v>
      </c>
      <c r="C5751" s="122" t="str">
        <f>IFERROR(__xludf.DUMMYFUNCTION("""COMPUTED_VALUE"""),"STRM")</f>
        <v>STRM</v>
      </c>
      <c r="D5751" s="122" t="str">
        <f>IFERROR(__xludf.DUMMYFUNCTION("""COMPUTED_VALUE"""),"Streamly")</f>
        <v>Streamly</v>
      </c>
      <c r="E5751" s="122">
        <f>IFERROR(__xludf.DUMMYFUNCTION("""COMPUTED_VALUE"""),138.19)</f>
        <v>138.19</v>
      </c>
      <c r="F5751" s="122">
        <f>IFERROR(__xludf.DUMMYFUNCTION("""COMPUTED_VALUE"""),0.0063)</f>
        <v>0.0063</v>
      </c>
    </row>
    <row r="5752">
      <c r="A5752" s="131">
        <f>IFERROR(__xludf.DUMMYFUNCTION("""COMPUTED_VALUE"""),46187.532905092594)</f>
        <v>46187.53291</v>
      </c>
      <c r="B5752" s="126">
        <f>IFERROR(__xludf.DUMMYFUNCTION("""COMPUTED_VALUE"""),46187.0)</f>
        <v>46187</v>
      </c>
      <c r="C5752" s="122" t="str">
        <f>IFERROR(__xludf.DUMMYFUNCTION("""COMPUTED_VALUE"""),"FARM")</f>
        <v>FARM</v>
      </c>
      <c r="D5752" s="122" t="str">
        <f>IFERROR(__xludf.DUMMYFUNCTION("""COMPUTED_VALUE"""),"Future Farms")</f>
        <v>Future Farms</v>
      </c>
      <c r="E5752" s="122">
        <f>IFERROR(__xludf.DUMMYFUNCTION("""COMPUTED_VALUE"""),91.18)</f>
        <v>91.18</v>
      </c>
      <c r="F5752" s="122">
        <f>IFERROR(__xludf.DUMMYFUNCTION("""COMPUTED_VALUE"""),-2.0E-4)</f>
        <v>-0.0002</v>
      </c>
    </row>
    <row r="5753">
      <c r="A5753" s="131">
        <f>IFERROR(__xludf.DUMMYFUNCTION("""COMPUTED_VALUE"""),46187.532905092594)</f>
        <v>46187.53291</v>
      </c>
      <c r="B5753" s="126">
        <f>IFERROR(__xludf.DUMMYFUNCTION("""COMPUTED_VALUE"""),46187.0)</f>
        <v>46187</v>
      </c>
      <c r="C5753" s="122" t="str">
        <f>IFERROR(__xludf.DUMMYFUNCTION("""COMPUTED_VALUE"""),"MEAT")</f>
        <v>MEAT</v>
      </c>
      <c r="D5753" s="122" t="str">
        <f>IFERROR(__xludf.DUMMYFUNCTION("""COMPUTED_VALUE"""),"MeatWorks")</f>
        <v>MeatWorks</v>
      </c>
      <c r="E5753" s="122">
        <f>IFERROR(__xludf.DUMMYFUNCTION("""COMPUTED_VALUE"""),104.84)</f>
        <v>104.84</v>
      </c>
      <c r="F5753" s="122">
        <f>IFERROR(__xludf.DUMMYFUNCTION("""COMPUTED_VALUE"""),5.0E-4)</f>
        <v>0.0005</v>
      </c>
    </row>
    <row r="5754">
      <c r="A5754" s="131">
        <f>IFERROR(__xludf.DUMMYFUNCTION("""COMPUTED_VALUE"""),46187.532905092594)</f>
        <v>46187.53291</v>
      </c>
      <c r="B5754" s="126">
        <f>IFERROR(__xludf.DUMMYFUNCTION("""COMPUTED_VALUE"""),46187.0)</f>
        <v>46187</v>
      </c>
      <c r="C5754" s="122" t="str">
        <f>IFERROR(__xludf.DUMMYFUNCTION("""COMPUTED_VALUE"""),"VEGI")</f>
        <v>VEGI</v>
      </c>
      <c r="D5754" s="122" t="str">
        <f>IFERROR(__xludf.DUMMYFUNCTION("""COMPUTED_VALUE"""),"Green Basket")</f>
        <v>Green Basket</v>
      </c>
      <c r="E5754" s="122">
        <f>IFERROR(__xludf.DUMMYFUNCTION("""COMPUTED_VALUE"""),78.5)</f>
        <v>78.5</v>
      </c>
      <c r="F5754" s="122">
        <f>IFERROR(__xludf.DUMMYFUNCTION("""COMPUTED_VALUE"""),-0.0025)</f>
        <v>-0.0025</v>
      </c>
    </row>
    <row r="5755">
      <c r="A5755" s="131">
        <f>IFERROR(__xludf.DUMMYFUNCTION("""COMPUTED_VALUE"""),46187.532905092594)</f>
        <v>46187.53291</v>
      </c>
      <c r="B5755" s="126">
        <f>IFERROR(__xludf.DUMMYFUNCTION("""COMPUTED_VALUE"""),46187.0)</f>
        <v>46187</v>
      </c>
      <c r="C5755" s="122" t="str">
        <f>IFERROR(__xludf.DUMMYFUNCTION("""COMPUTED_VALUE"""),"CAFE")</f>
        <v>CAFE</v>
      </c>
      <c r="D5755" s="122" t="str">
        <f>IFERROR(__xludf.DUMMYFUNCTION("""COMPUTED_VALUE"""),"Cafe Cloud")</f>
        <v>Cafe Cloud</v>
      </c>
      <c r="E5755" s="122">
        <f>IFERROR(__xludf.DUMMYFUNCTION("""COMPUTED_VALUE"""),100.61)</f>
        <v>100.61</v>
      </c>
      <c r="F5755" s="122">
        <f>IFERROR(__xludf.DUMMYFUNCTION("""COMPUTED_VALUE"""),0.0045)</f>
        <v>0.0045</v>
      </c>
    </row>
    <row r="5756">
      <c r="A5756" s="131">
        <f>IFERROR(__xludf.DUMMYFUNCTION("""COMPUTED_VALUE"""),46187.532905092594)</f>
        <v>46187.53291</v>
      </c>
      <c r="B5756" s="126">
        <f>IFERROR(__xludf.DUMMYFUNCTION("""COMPUTED_VALUE"""),46187.0)</f>
        <v>46187</v>
      </c>
      <c r="C5756" s="122" t="str">
        <f>IFERROR(__xludf.DUMMYFUNCTION("""COMPUTED_VALUE"""),"BAKE")</f>
        <v>BAKE</v>
      </c>
      <c r="D5756" s="122" t="str">
        <f>IFERROR(__xludf.DUMMYFUNCTION("""COMPUTED_VALUE"""),"BakeHouse")</f>
        <v>BakeHouse</v>
      </c>
      <c r="E5756" s="122">
        <f>IFERROR(__xludf.DUMMYFUNCTION("""COMPUTED_VALUE"""),102.96)</f>
        <v>102.96</v>
      </c>
      <c r="F5756" s="122">
        <f>IFERROR(__xludf.DUMMYFUNCTION("""COMPUTED_VALUE"""),0.0023)</f>
        <v>0.0023</v>
      </c>
    </row>
    <row r="5757">
      <c r="A5757" s="131">
        <f>IFERROR(__xludf.DUMMYFUNCTION("""COMPUTED_VALUE"""),46187.532905092594)</f>
        <v>46187.53291</v>
      </c>
      <c r="B5757" s="126">
        <f>IFERROR(__xludf.DUMMYFUNCTION("""COMPUTED_VALUE"""),46187.0)</f>
        <v>46187</v>
      </c>
      <c r="C5757" s="122" t="str">
        <f>IFERROR(__xludf.DUMMYFUNCTION("""COMPUTED_VALUE"""),"OILX")</f>
        <v>OILX</v>
      </c>
      <c r="D5757" s="122" t="str">
        <f>IFERROR(__xludf.DUMMYFUNCTION("""COMPUTED_VALUE"""),"OilMax Energy")</f>
        <v>OilMax Energy</v>
      </c>
      <c r="E5757" s="122">
        <f>IFERROR(__xludf.DUMMYFUNCTION("""COMPUTED_VALUE"""),128.15)</f>
        <v>128.15</v>
      </c>
      <c r="F5757" s="122">
        <f>IFERROR(__xludf.DUMMYFUNCTION("""COMPUTED_VALUE"""),-0.0086)</f>
        <v>-0.0086</v>
      </c>
    </row>
    <row r="5758">
      <c r="A5758" s="131">
        <f>IFERROR(__xludf.DUMMYFUNCTION("""COMPUTED_VALUE"""),46187.532905092594)</f>
        <v>46187.53291</v>
      </c>
      <c r="B5758" s="126">
        <f>IFERROR(__xludf.DUMMYFUNCTION("""COMPUTED_VALUE"""),46187.0)</f>
        <v>46187</v>
      </c>
      <c r="C5758" s="122" t="str">
        <f>IFERROR(__xludf.DUMMYFUNCTION("""COMPUTED_VALUE"""),"SOLR")</f>
        <v>SOLR</v>
      </c>
      <c r="D5758" s="122" t="str">
        <f>IFERROR(__xludf.DUMMYFUNCTION("""COMPUTED_VALUE"""),"SolarSpark")</f>
        <v>SolarSpark</v>
      </c>
      <c r="E5758" s="122">
        <f>IFERROR(__xludf.DUMMYFUNCTION("""COMPUTED_VALUE"""),100.5)</f>
        <v>100.5</v>
      </c>
      <c r="F5758" s="122">
        <f>IFERROR(__xludf.DUMMYFUNCTION("""COMPUTED_VALUE"""),0.0093)</f>
        <v>0.0093</v>
      </c>
    </row>
    <row r="5759">
      <c r="A5759" s="131">
        <f>IFERROR(__xludf.DUMMYFUNCTION("""COMPUTED_VALUE"""),46187.532905092594)</f>
        <v>46187.53291</v>
      </c>
      <c r="B5759" s="126">
        <f>IFERROR(__xludf.DUMMYFUNCTION("""COMPUTED_VALUE"""),46187.0)</f>
        <v>46187</v>
      </c>
      <c r="C5759" s="122" t="str">
        <f>IFERROR(__xludf.DUMMYFUNCTION("""COMPUTED_VALUE"""),"BATT")</f>
        <v>BATT</v>
      </c>
      <c r="D5759" s="122" t="str">
        <f>IFERROR(__xludf.DUMMYFUNCTION("""COMPUTED_VALUE"""),"BatteryBox")</f>
        <v>BatteryBox</v>
      </c>
      <c r="E5759" s="122">
        <f>IFERROR(__xludf.DUMMYFUNCTION("""COMPUTED_VALUE"""),118.59)</f>
        <v>118.59</v>
      </c>
      <c r="F5759" s="122">
        <f>IFERROR(__xludf.DUMMYFUNCTION("""COMPUTED_VALUE"""),-0.0112)</f>
        <v>-0.0112</v>
      </c>
    </row>
    <row r="5760">
      <c r="A5760" s="131">
        <f>IFERROR(__xludf.DUMMYFUNCTION("""COMPUTED_VALUE"""),46187.532905092594)</f>
        <v>46187.53291</v>
      </c>
      <c r="B5760" s="126">
        <f>IFERROR(__xludf.DUMMYFUNCTION("""COMPUTED_VALUE"""),46187.0)</f>
        <v>46187</v>
      </c>
      <c r="C5760" s="122" t="str">
        <f>IFERROR(__xludf.DUMMYFUNCTION("""COMPUTED_VALUE"""),"WIND")</f>
        <v>WIND</v>
      </c>
      <c r="D5760" s="122" t="str">
        <f>IFERROR(__xludf.DUMMYFUNCTION("""COMPUTED_VALUE"""),"WindWorks")</f>
        <v>WindWorks</v>
      </c>
      <c r="E5760" s="122">
        <f>IFERROR(__xludf.DUMMYFUNCTION("""COMPUTED_VALUE"""),87.91)</f>
        <v>87.91</v>
      </c>
      <c r="F5760" s="122">
        <f>IFERROR(__xludf.DUMMYFUNCTION("""COMPUTED_VALUE"""),0.0025)</f>
        <v>0.0025</v>
      </c>
    </row>
    <row r="5761">
      <c r="A5761" s="131">
        <f>IFERROR(__xludf.DUMMYFUNCTION("""COMPUTED_VALUE"""),46187.532905092594)</f>
        <v>46187.53291</v>
      </c>
      <c r="B5761" s="126">
        <f>IFERROR(__xludf.DUMMYFUNCTION("""COMPUTED_VALUE"""),46187.0)</f>
        <v>46187</v>
      </c>
      <c r="C5761" s="122" t="str">
        <f>IFERROR(__xludf.DUMMYFUNCTION("""COMPUTED_VALUE"""),"GRID")</f>
        <v>GRID</v>
      </c>
      <c r="D5761" s="122" t="str">
        <f>IFERROR(__xludf.DUMMYFUNCTION("""COMPUTED_VALUE"""),"GridPower")</f>
        <v>GridPower</v>
      </c>
      <c r="E5761" s="122">
        <f>IFERROR(__xludf.DUMMYFUNCTION("""COMPUTED_VALUE"""),136.12)</f>
        <v>136.12</v>
      </c>
      <c r="F5761" s="122">
        <f>IFERROR(__xludf.DUMMYFUNCTION("""COMPUTED_VALUE"""),-0.0067)</f>
        <v>-0.0067</v>
      </c>
    </row>
    <row r="5762">
      <c r="A5762" s="131">
        <f>IFERROR(__xludf.DUMMYFUNCTION("""COMPUTED_VALUE"""),46187.532905092594)</f>
        <v>46187.53291</v>
      </c>
      <c r="B5762" s="126">
        <f>IFERROR(__xludf.DUMMYFUNCTION("""COMPUTED_VALUE"""),46187.0)</f>
        <v>46187</v>
      </c>
      <c r="C5762" s="122" t="str">
        <f>IFERROR(__xludf.DUMMYFUNCTION("""COMPUTED_VALUE"""),"HOME")</f>
        <v>HOME</v>
      </c>
      <c r="D5762" s="122" t="str">
        <f>IFERROR(__xludf.DUMMYFUNCTION("""COMPUTED_VALUE"""),"HomeHub")</f>
        <v>HomeHub</v>
      </c>
      <c r="E5762" s="122">
        <f>IFERROR(__xludf.DUMMYFUNCTION("""COMPUTED_VALUE"""),155.09)</f>
        <v>155.09</v>
      </c>
      <c r="F5762" s="122">
        <f>IFERROR(__xludf.DUMMYFUNCTION("""COMPUTED_VALUE"""),7.0E-4)</f>
        <v>0.0007</v>
      </c>
    </row>
    <row r="5763">
      <c r="A5763" s="131">
        <f>IFERROR(__xludf.DUMMYFUNCTION("""COMPUTED_VALUE"""),46187.532905092594)</f>
        <v>46187.53291</v>
      </c>
      <c r="B5763" s="126">
        <f>IFERROR(__xludf.DUMMYFUNCTION("""COMPUTED_VALUE"""),46187.0)</f>
        <v>46187</v>
      </c>
      <c r="C5763" s="122" t="str">
        <f>IFERROR(__xludf.DUMMYFUNCTION("""COMPUTED_VALUE"""),"RENT")</f>
        <v>RENT</v>
      </c>
      <c r="D5763" s="122" t="str">
        <f>IFERROR(__xludf.DUMMYFUNCTION("""COMPUTED_VALUE"""),"RentRight")</f>
        <v>RentRight</v>
      </c>
      <c r="E5763" s="122">
        <f>IFERROR(__xludf.DUMMYFUNCTION("""COMPUTED_VALUE"""),91.33)</f>
        <v>91.33</v>
      </c>
      <c r="F5763" s="122">
        <f>IFERROR(__xludf.DUMMYFUNCTION("""COMPUTED_VALUE"""),0.0055)</f>
        <v>0.0055</v>
      </c>
    </row>
    <row r="5764">
      <c r="A5764" s="131">
        <f>IFERROR(__xludf.DUMMYFUNCTION("""COMPUTED_VALUE"""),46187.532905092594)</f>
        <v>46187.53291</v>
      </c>
      <c r="B5764" s="126">
        <f>IFERROR(__xludf.DUMMYFUNCTION("""COMPUTED_VALUE"""),46187.0)</f>
        <v>46187</v>
      </c>
      <c r="C5764" s="122" t="str">
        <f>IFERROR(__xludf.DUMMYFUNCTION("""COMPUTED_VALUE"""),"MALL")</f>
        <v>MALL</v>
      </c>
      <c r="D5764" s="122" t="str">
        <f>IFERROR(__xludf.DUMMYFUNCTION("""COMPUTED_VALUE"""),"MegaMall")</f>
        <v>MegaMall</v>
      </c>
      <c r="E5764" s="122">
        <f>IFERROR(__xludf.DUMMYFUNCTION("""COMPUTED_VALUE"""),99.35)</f>
        <v>99.35</v>
      </c>
      <c r="F5764" s="122">
        <f>IFERROR(__xludf.DUMMYFUNCTION("""COMPUTED_VALUE"""),-0.0041)</f>
        <v>-0.0041</v>
      </c>
    </row>
    <row r="5765">
      <c r="A5765" s="131">
        <f>IFERROR(__xludf.DUMMYFUNCTION("""COMPUTED_VALUE"""),46187.532905092594)</f>
        <v>46187.53291</v>
      </c>
      <c r="B5765" s="126">
        <f>IFERROR(__xludf.DUMMYFUNCTION("""COMPUTED_VALUE"""),46187.0)</f>
        <v>46187</v>
      </c>
      <c r="C5765" s="122" t="str">
        <f>IFERROR(__xludf.DUMMYFUNCTION("""COMPUTED_VALUE"""),"HOTL")</f>
        <v>HOTL</v>
      </c>
      <c r="D5765" s="122" t="str">
        <f>IFERROR(__xludf.DUMMYFUNCTION("""COMPUTED_VALUE"""),"HotelHive")</f>
        <v>HotelHive</v>
      </c>
      <c r="E5765" s="122">
        <f>IFERROR(__xludf.DUMMYFUNCTION("""COMPUTED_VALUE"""),126.18)</f>
        <v>126.18</v>
      </c>
      <c r="F5765" s="122">
        <f>IFERROR(__xludf.DUMMYFUNCTION("""COMPUTED_VALUE"""),-0.0043)</f>
        <v>-0.0043</v>
      </c>
    </row>
    <row r="5766">
      <c r="A5766" s="131">
        <f>IFERROR(__xludf.DUMMYFUNCTION("""COMPUTED_VALUE"""),46187.532905092594)</f>
        <v>46187.53291</v>
      </c>
      <c r="B5766" s="126">
        <f>IFERROR(__xludf.DUMMYFUNCTION("""COMPUTED_VALUE"""),46187.0)</f>
        <v>46187</v>
      </c>
      <c r="C5766" s="122" t="str">
        <f>IFERROR(__xludf.DUMMYFUNCTION("""COMPUTED_VALUE"""),"LAND")</f>
        <v>LAND</v>
      </c>
      <c r="D5766" s="122" t="str">
        <f>IFERROR(__xludf.DUMMYFUNCTION("""COMPUTED_VALUE"""),"LandLink")</f>
        <v>LandLink</v>
      </c>
      <c r="E5766" s="122">
        <f>IFERROR(__xludf.DUMMYFUNCTION("""COMPUTED_VALUE"""),181.84)</f>
        <v>181.84</v>
      </c>
      <c r="F5766" s="122">
        <f>IFERROR(__xludf.DUMMYFUNCTION("""COMPUTED_VALUE"""),0.0047)</f>
        <v>0.0047</v>
      </c>
    </row>
    <row r="5767">
      <c r="A5767" s="131">
        <f>IFERROR(__xludf.DUMMYFUNCTION("""COMPUTED_VALUE"""),46187.532905092594)</f>
        <v>46187.53291</v>
      </c>
      <c r="B5767" s="126">
        <f>IFERROR(__xludf.DUMMYFUNCTION("""COMPUTED_VALUE"""),46187.0)</f>
        <v>46187</v>
      </c>
      <c r="C5767" s="122" t="str">
        <f>IFERROR(__xludf.DUMMYFUNCTION("""COMPUTED_VALUE"""),"CARS")</f>
        <v>CARS</v>
      </c>
      <c r="D5767" s="122" t="str">
        <f>IFERROR(__xludf.DUMMYFUNCTION("""COMPUTED_VALUE"""),"AutoArena")</f>
        <v>AutoArena</v>
      </c>
      <c r="E5767" s="122">
        <f>IFERROR(__xludf.DUMMYFUNCTION("""COMPUTED_VALUE"""),79.38)</f>
        <v>79.38</v>
      </c>
      <c r="F5767" s="122">
        <f>IFERROR(__xludf.DUMMYFUNCTION("""COMPUTED_VALUE"""),-0.0095)</f>
        <v>-0.0095</v>
      </c>
    </row>
    <row r="5768">
      <c r="A5768" s="131">
        <f>IFERROR(__xludf.DUMMYFUNCTION("""COMPUTED_VALUE"""),46187.532905092594)</f>
        <v>46187.53291</v>
      </c>
      <c r="B5768" s="126">
        <f>IFERROR(__xludf.DUMMYFUNCTION("""COMPUTED_VALUE"""),46187.0)</f>
        <v>46187</v>
      </c>
      <c r="C5768" s="122" t="str">
        <f>IFERROR(__xludf.DUMMYFUNCTION("""COMPUTED_VALUE"""),"EVGO")</f>
        <v>EVGO</v>
      </c>
      <c r="D5768" s="122" t="str">
        <f>IFERROR(__xludf.DUMMYFUNCTION("""COMPUTED_VALUE"""),"EVGo Motors")</f>
        <v>EVGo Motors</v>
      </c>
      <c r="E5768" s="122">
        <f>IFERROR(__xludf.DUMMYFUNCTION("""COMPUTED_VALUE"""),178.55)</f>
        <v>178.55</v>
      </c>
      <c r="F5768" s="122">
        <f>IFERROR(__xludf.DUMMYFUNCTION("""COMPUTED_VALUE"""),-0.0117)</f>
        <v>-0.0117</v>
      </c>
    </row>
    <row r="5769">
      <c r="A5769" s="131">
        <f>IFERROR(__xludf.DUMMYFUNCTION("""COMPUTED_VALUE"""),46187.532905092594)</f>
        <v>46187.53291</v>
      </c>
      <c r="B5769" s="126">
        <f>IFERROR(__xludf.DUMMYFUNCTION("""COMPUTED_VALUE"""),46187.0)</f>
        <v>46187</v>
      </c>
      <c r="C5769" s="122" t="str">
        <f>IFERROR(__xludf.DUMMYFUNCTION("""COMPUTED_VALUE"""),"TIRE")</f>
        <v>TIRE</v>
      </c>
      <c r="D5769" s="122" t="str">
        <f>IFERROR(__xludf.DUMMYFUNCTION("""COMPUTED_VALUE"""),"TireTown")</f>
        <v>TireTown</v>
      </c>
      <c r="E5769" s="122">
        <f>IFERROR(__xludf.DUMMYFUNCTION("""COMPUTED_VALUE"""),96.25)</f>
        <v>96.25</v>
      </c>
      <c r="F5769" s="122">
        <f>IFERROR(__xludf.DUMMYFUNCTION("""COMPUTED_VALUE"""),-0.0029)</f>
        <v>-0.0029</v>
      </c>
    </row>
    <row r="5770">
      <c r="A5770" s="131">
        <f>IFERROR(__xludf.DUMMYFUNCTION("""COMPUTED_VALUE"""),46187.532905092594)</f>
        <v>46187.53291</v>
      </c>
      <c r="B5770" s="126">
        <f>IFERROR(__xludf.DUMMYFUNCTION("""COMPUTED_VALUE"""),46187.0)</f>
        <v>46187</v>
      </c>
      <c r="C5770" s="122" t="str">
        <f>IFERROR(__xludf.DUMMYFUNCTION("""COMPUTED_VALUE"""),"BIKE")</f>
        <v>BIKE</v>
      </c>
      <c r="D5770" s="122" t="str">
        <f>IFERROR(__xludf.DUMMYFUNCTION("""COMPUTED_VALUE"""),"BikeBox")</f>
        <v>BikeBox</v>
      </c>
      <c r="E5770" s="122">
        <f>IFERROR(__xludf.DUMMYFUNCTION("""COMPUTED_VALUE"""),53.24)</f>
        <v>53.24</v>
      </c>
      <c r="F5770" s="122">
        <f>IFERROR(__xludf.DUMMYFUNCTION("""COMPUTED_VALUE"""),-2.0E-4)</f>
        <v>-0.0002</v>
      </c>
    </row>
    <row r="5771">
      <c r="A5771" s="131">
        <f>IFERROR(__xludf.DUMMYFUNCTION("""COMPUTED_VALUE"""),46187.532905092594)</f>
        <v>46187.53291</v>
      </c>
      <c r="B5771" s="126">
        <f>IFERROR(__xludf.DUMMYFUNCTION("""COMPUTED_VALUE"""),46187.0)</f>
        <v>46187</v>
      </c>
      <c r="C5771" s="122" t="str">
        <f>IFERROR(__xludf.DUMMYFUNCTION("""COMPUTED_VALUE"""),"WASH")</f>
        <v>WASH</v>
      </c>
      <c r="D5771" s="122" t="str">
        <f>IFERROR(__xludf.DUMMYFUNCTION("""COMPUTED_VALUE"""),"CarWash Co")</f>
        <v>CarWash Co</v>
      </c>
      <c r="E5771" s="122">
        <f>IFERROR(__xludf.DUMMYFUNCTION("""COMPUTED_VALUE"""),118.66)</f>
        <v>118.66</v>
      </c>
      <c r="F5771" s="122">
        <f>IFERROR(__xludf.DUMMYFUNCTION("""COMPUTED_VALUE"""),0.0013)</f>
        <v>0.0013</v>
      </c>
    </row>
    <row r="5772">
      <c r="A5772" s="131">
        <f>IFERROR(__xludf.DUMMYFUNCTION("""COMPUTED_VALUE"""),46187.532905092594)</f>
        <v>46187.53291</v>
      </c>
      <c r="B5772" s="126">
        <f>IFERROR(__xludf.DUMMYFUNCTION("""COMPUTED_VALUE"""),46187.0)</f>
        <v>46187</v>
      </c>
      <c r="C5772" s="122" t="str">
        <f>IFERROR(__xludf.DUMMYFUNCTION("""COMPUTED_VALUE"""),"GBND")</f>
        <v>GBND</v>
      </c>
      <c r="D5772" s="122" t="str">
        <f>IFERROR(__xludf.DUMMYFUNCTION("""COMPUTED_VALUE"""),"Classroom Government Bond")</f>
        <v>Classroom Government Bond</v>
      </c>
      <c r="E5772" s="122">
        <f>IFERROR(__xludf.DUMMYFUNCTION("""COMPUTED_VALUE"""),101.09)</f>
        <v>101.09</v>
      </c>
      <c r="F5772" s="122">
        <f>IFERROR(__xludf.DUMMYFUNCTION("""COMPUTED_VALUE"""),3.0E-4)</f>
        <v>0.0003</v>
      </c>
    </row>
    <row r="5773">
      <c r="A5773" s="131">
        <f>IFERROR(__xludf.DUMMYFUNCTION("""COMPUTED_VALUE"""),46187.532905092594)</f>
        <v>46187.53291</v>
      </c>
      <c r="B5773" s="126">
        <f>IFERROR(__xludf.DUMMYFUNCTION("""COMPUTED_VALUE"""),46187.0)</f>
        <v>46187</v>
      </c>
      <c r="C5773" s="122" t="str">
        <f>IFERROR(__xludf.DUMMYFUNCTION("""COMPUTED_VALUE"""),"SBND")</f>
        <v>SBND</v>
      </c>
      <c r="D5773" s="122" t="str">
        <f>IFERROR(__xludf.DUMMYFUNCTION("""COMPUTED_VALUE"""),"School Savings Bond")</f>
        <v>School Savings Bond</v>
      </c>
      <c r="E5773" s="122">
        <f>IFERROR(__xludf.DUMMYFUNCTION("""COMPUTED_VALUE"""),99.38)</f>
        <v>99.38</v>
      </c>
      <c r="F5773" s="122">
        <f>IFERROR(__xludf.DUMMYFUNCTION("""COMPUTED_VALUE"""),0.0)</f>
        <v>0</v>
      </c>
    </row>
    <row r="5774">
      <c r="A5774" s="131">
        <f>IFERROR(__xludf.DUMMYFUNCTION("""COMPUTED_VALUE"""),46187.532905092594)</f>
        <v>46187.53291</v>
      </c>
      <c r="B5774" s="126">
        <f>IFERROR(__xludf.DUMMYFUNCTION("""COMPUTED_VALUE"""),46187.0)</f>
        <v>46187</v>
      </c>
      <c r="C5774" s="122" t="str">
        <f>IFERROR(__xludf.DUMMYFUNCTION("""COMPUTED_VALUE"""),"CBND")</f>
        <v>CBND</v>
      </c>
      <c r="D5774" s="122" t="str">
        <f>IFERROR(__xludf.DUMMYFUNCTION("""COMPUTED_VALUE"""),"Corporate Classroom Bond")</f>
        <v>Corporate Classroom Bond</v>
      </c>
      <c r="E5774" s="122">
        <f>IFERROR(__xludf.DUMMYFUNCTION("""COMPUTED_VALUE"""),97.82)</f>
        <v>97.82</v>
      </c>
      <c r="F5774" s="122">
        <f>IFERROR(__xludf.DUMMYFUNCTION("""COMPUTED_VALUE"""),4.0E-4)</f>
        <v>0.0004</v>
      </c>
    </row>
    <row r="5775">
      <c r="A5775" s="131">
        <f>IFERROR(__xludf.DUMMYFUNCTION("""COMPUTED_VALUE"""),46187.532905092594)</f>
        <v>46187.53291</v>
      </c>
      <c r="B5775" s="126">
        <f>IFERROR(__xludf.DUMMYFUNCTION("""COMPUTED_VALUE"""),46187.0)</f>
        <v>46187</v>
      </c>
      <c r="C5775" s="122" t="str">
        <f>IFERROR(__xludf.DUMMYFUNCTION("""COMPUTED_VALUE"""),"TBIL")</f>
        <v>TBIL</v>
      </c>
      <c r="D5775" s="122" t="str">
        <f>IFERROR(__xludf.DUMMYFUNCTION("""COMPUTED_VALUE"""),"Treasury Bill")</f>
        <v>Treasury Bill</v>
      </c>
      <c r="E5775" s="122">
        <f>IFERROR(__xludf.DUMMYFUNCTION("""COMPUTED_VALUE"""),98.07)</f>
        <v>98.07</v>
      </c>
      <c r="F5775" s="122">
        <f>IFERROR(__xludf.DUMMYFUNCTION("""COMPUTED_VALUE"""),0.0)</f>
        <v>0</v>
      </c>
    </row>
    <row r="5776">
      <c r="A5776" s="131">
        <f>IFERROR(__xludf.DUMMYFUNCTION("""COMPUTED_VALUE"""),46187.532905092594)</f>
        <v>46187.53291</v>
      </c>
      <c r="B5776" s="126">
        <f>IFERROR(__xludf.DUMMYFUNCTION("""COMPUTED_VALUE"""),46187.0)</f>
        <v>46187</v>
      </c>
      <c r="C5776" s="122" t="str">
        <f>IFERROR(__xludf.DUMMYFUNCTION("""COMPUTED_VALUE"""),"IBND")</f>
        <v>IBND</v>
      </c>
      <c r="D5776" s="122" t="str">
        <f>IFERROR(__xludf.DUMMYFUNCTION("""COMPUTED_VALUE"""),"Inflation Protected Bond")</f>
        <v>Inflation Protected Bond</v>
      </c>
      <c r="E5776" s="122">
        <f>IFERROR(__xludf.DUMMYFUNCTION("""COMPUTED_VALUE"""),100.82)</f>
        <v>100.82</v>
      </c>
      <c r="F5776" s="122">
        <f>IFERROR(__xludf.DUMMYFUNCTION("""COMPUTED_VALUE"""),-2.0E-4)</f>
        <v>-0.0002</v>
      </c>
    </row>
    <row r="5777">
      <c r="A5777" s="131">
        <f>IFERROR(__xludf.DUMMYFUNCTION("""COMPUTED_VALUE"""),46187.534224537034)</f>
        <v>46187.53422</v>
      </c>
      <c r="B5777" s="126">
        <f>IFERROR(__xludf.DUMMYFUNCTION("""COMPUTED_VALUE"""),46187.0)</f>
        <v>46187</v>
      </c>
      <c r="C5777" s="130">
        <f>IFERROR(__xludf.DUMMYFUNCTION("""COMPUTED_VALUE"""),0.534224537037037)</f>
        <v>0.534224537</v>
      </c>
      <c r="D5777" s="122" t="str">
        <f>IFERROR(__xludf.DUMMYFUNCTION("""COMPUTED_VALUE"""),"SNAX")</f>
        <v>SNAX</v>
      </c>
      <c r="E5777" s="122" t="str">
        <f>IFERROR(__xludf.DUMMYFUNCTION("""COMPUTED_VALUE"""),"MICA Snacks")</f>
        <v>MICA Snacks</v>
      </c>
      <c r="F5777" s="122" t="str">
        <f>IFERROR(__xludf.DUMMYFUNCTION("""COMPUTED_VALUE"""),"Consumer Goods")</f>
        <v>Consumer Goods</v>
      </c>
    </row>
    <row r="5778">
      <c r="A5778" s="131">
        <f>IFERROR(__xludf.DUMMYFUNCTION("""COMPUTED_VALUE"""),46187.534224537034)</f>
        <v>46187.53422</v>
      </c>
      <c r="B5778" s="126">
        <f>IFERROR(__xludf.DUMMYFUNCTION("""COMPUTED_VALUE"""),46187.0)</f>
        <v>46187</v>
      </c>
      <c r="C5778" s="130">
        <f>IFERROR(__xludf.DUMMYFUNCTION("""COMPUTED_VALUE"""),0.534224537037037)</f>
        <v>0.534224537</v>
      </c>
      <c r="D5778" s="122" t="str">
        <f>IFERROR(__xludf.DUMMYFUNCTION("""COMPUTED_VALUE"""),"RAMN")</f>
        <v>RAMN</v>
      </c>
      <c r="E5778" s="122" t="str">
        <f>IFERROR(__xludf.DUMMYFUNCTION("""COMPUTED_VALUE"""),"Ramen Republic")</f>
        <v>Ramen Republic</v>
      </c>
      <c r="F5778" s="122" t="str">
        <f>IFERROR(__xludf.DUMMYFUNCTION("""COMPUTED_VALUE"""),"Food")</f>
        <v>Food</v>
      </c>
    </row>
    <row r="5779">
      <c r="A5779" s="131">
        <f>IFERROR(__xludf.DUMMYFUNCTION("""COMPUTED_VALUE"""),46187.534224537034)</f>
        <v>46187.53422</v>
      </c>
      <c r="B5779" s="126">
        <f>IFERROR(__xludf.DUMMYFUNCTION("""COMPUTED_VALUE"""),46187.0)</f>
        <v>46187</v>
      </c>
      <c r="C5779" s="130">
        <f>IFERROR(__xludf.DUMMYFUNCTION("""COMPUTED_VALUE"""),0.534224537037037)</f>
        <v>0.534224537</v>
      </c>
      <c r="D5779" s="122" t="str">
        <f>IFERROR(__xludf.DUMMYFUNCTION("""COMPUTED_VALUE"""),"COLA")</f>
        <v>COLA</v>
      </c>
      <c r="E5779" s="122" t="str">
        <f>IFERROR(__xludf.DUMMYFUNCTION("""COMPUTED_VALUE"""),"K-Pop Cola")</f>
        <v>K-Pop Cola</v>
      </c>
      <c r="F5779" s="122" t="str">
        <f>IFERROR(__xludf.DUMMYFUNCTION("""COMPUTED_VALUE"""),"Beverage")</f>
        <v>Beverage</v>
      </c>
    </row>
    <row r="5780">
      <c r="A5780" s="131">
        <f>IFERROR(__xludf.DUMMYFUNCTION("""COMPUTED_VALUE"""),46187.534224537034)</f>
        <v>46187.53422</v>
      </c>
      <c r="B5780" s="126">
        <f>IFERROR(__xludf.DUMMYFUNCTION("""COMPUTED_VALUE"""),46187.0)</f>
        <v>46187</v>
      </c>
      <c r="C5780" s="130">
        <f>IFERROR(__xludf.DUMMYFUNCTION("""COMPUTED_VALUE"""),0.534224537037037)</f>
        <v>0.534224537</v>
      </c>
      <c r="D5780" s="122" t="str">
        <f>IFERROR(__xludf.DUMMYFUNCTION("""COMPUTED_VALUE"""),"CHIP")</f>
        <v>CHIP</v>
      </c>
      <c r="E5780" s="122" t="str">
        <f>IFERROR(__xludf.DUMMYFUNCTION("""COMPUTED_VALUE"""),"Chip Empire")</f>
        <v>Chip Empire</v>
      </c>
      <c r="F5780" s="122" t="str">
        <f>IFERROR(__xludf.DUMMYFUNCTION("""COMPUTED_VALUE"""),"Consumer Goods")</f>
        <v>Consumer Goods</v>
      </c>
    </row>
    <row r="5781">
      <c r="A5781" s="131">
        <f>IFERROR(__xludf.DUMMYFUNCTION("""COMPUTED_VALUE"""),46187.534224537034)</f>
        <v>46187.53422</v>
      </c>
      <c r="B5781" s="126">
        <f>IFERROR(__xludf.DUMMYFUNCTION("""COMPUTED_VALUE"""),46187.0)</f>
        <v>46187</v>
      </c>
      <c r="C5781" s="130">
        <f>IFERROR(__xludf.DUMMYFUNCTION("""COMPUTED_VALUE"""),0.534224537037037)</f>
        <v>0.534224537</v>
      </c>
      <c r="D5781" s="122" t="str">
        <f>IFERROR(__xludf.DUMMYFUNCTION("""COMPUTED_VALUE"""),"CAND")</f>
        <v>CAND</v>
      </c>
      <c r="E5781" s="122" t="str">
        <f>IFERROR(__xludf.DUMMYFUNCTION("""COMPUTED_VALUE"""),"Candy Capital")</f>
        <v>Candy Capital</v>
      </c>
      <c r="F5781" s="122" t="str">
        <f>IFERROR(__xludf.DUMMYFUNCTION("""COMPUTED_VALUE"""),"Consumer Goods")</f>
        <v>Consumer Goods</v>
      </c>
    </row>
    <row r="5782">
      <c r="A5782" s="131">
        <f>IFERROR(__xludf.DUMMYFUNCTION("""COMPUTED_VALUE"""),46187.534224537034)</f>
        <v>46187.53422</v>
      </c>
      <c r="B5782" s="126">
        <f>IFERROR(__xludf.DUMMYFUNCTION("""COMPUTED_VALUE"""),46187.0)</f>
        <v>46187</v>
      </c>
      <c r="C5782" s="130">
        <f>IFERROR(__xludf.DUMMYFUNCTION("""COMPUTED_VALUE"""),0.534224537037037)</f>
        <v>0.534224537</v>
      </c>
      <c r="D5782" s="122" t="str">
        <f>IFERROR(__xludf.DUMMYFUNCTION("""COMPUTED_VALUE"""),"TECH")</f>
        <v>TECH</v>
      </c>
      <c r="E5782" s="122" t="str">
        <f>IFERROR(__xludf.DUMMYFUNCTION("""COMPUTED_VALUE"""),"Dragon Tech")</f>
        <v>Dragon Tech</v>
      </c>
      <c r="F5782" s="122" t="str">
        <f>IFERROR(__xludf.DUMMYFUNCTION("""COMPUTED_VALUE"""),"Technology")</f>
        <v>Technology</v>
      </c>
    </row>
    <row r="5783">
      <c r="A5783" s="131">
        <f>IFERROR(__xludf.DUMMYFUNCTION("""COMPUTED_VALUE"""),46187.534224537034)</f>
        <v>46187.53422</v>
      </c>
      <c r="B5783" s="126">
        <f>IFERROR(__xludf.DUMMYFUNCTION("""COMPUTED_VALUE"""),46187.0)</f>
        <v>46187</v>
      </c>
      <c r="C5783" s="130">
        <f>IFERROR(__xludf.DUMMYFUNCTION("""COMPUTED_VALUE"""),0.534224537037037)</f>
        <v>0.534224537</v>
      </c>
      <c r="D5783" s="122" t="str">
        <f>IFERROR(__xludf.DUMMYFUNCTION("""COMPUTED_VALUE"""),"AIBO")</f>
        <v>AIBO</v>
      </c>
      <c r="E5783" s="122" t="str">
        <f>IFERROR(__xludf.DUMMYFUNCTION("""COMPUTED_VALUE"""),"Homework AI")</f>
        <v>Homework AI</v>
      </c>
      <c r="F5783" s="122" t="str">
        <f>IFERROR(__xludf.DUMMYFUNCTION("""COMPUTED_VALUE"""),"Technology")</f>
        <v>Technology</v>
      </c>
    </row>
    <row r="5784">
      <c r="A5784" s="131">
        <f>IFERROR(__xludf.DUMMYFUNCTION("""COMPUTED_VALUE"""),46187.534224537034)</f>
        <v>46187.53422</v>
      </c>
      <c r="B5784" s="126">
        <f>IFERROR(__xludf.DUMMYFUNCTION("""COMPUTED_VALUE"""),46187.0)</f>
        <v>46187</v>
      </c>
      <c r="C5784" s="130">
        <f>IFERROR(__xludf.DUMMYFUNCTION("""COMPUTED_VALUE"""),0.534224537037037)</f>
        <v>0.534224537</v>
      </c>
      <c r="D5784" s="122" t="str">
        <f>IFERROR(__xludf.DUMMYFUNCTION("""COMPUTED_VALUE"""),"GAME")</f>
        <v>GAME</v>
      </c>
      <c r="E5784" s="122" t="str">
        <f>IFERROR(__xludf.DUMMYFUNCTION("""COMPUTED_VALUE"""),"GameBox Media")</f>
        <v>GameBox Media</v>
      </c>
      <c r="F5784" s="122" t="str">
        <f>IFERROR(__xludf.DUMMYFUNCTION("""COMPUTED_VALUE"""),"Entertainment")</f>
        <v>Entertainment</v>
      </c>
    </row>
    <row r="5785">
      <c r="A5785" s="131">
        <f>IFERROR(__xludf.DUMMYFUNCTION("""COMPUTED_VALUE"""),46187.534224537034)</f>
        <v>46187.53422</v>
      </c>
      <c r="B5785" s="126">
        <f>IFERROR(__xludf.DUMMYFUNCTION("""COMPUTED_VALUE"""),46187.0)</f>
        <v>46187</v>
      </c>
      <c r="C5785" s="130">
        <f>IFERROR(__xludf.DUMMYFUNCTION("""COMPUTED_VALUE"""),0.534224537037037)</f>
        <v>0.534224537</v>
      </c>
      <c r="D5785" s="122" t="str">
        <f>IFERROR(__xludf.DUMMYFUNCTION("""COMPUTED_VALUE"""),"VRSE")</f>
        <v>VRSE</v>
      </c>
      <c r="E5785" s="122" t="str">
        <f>IFERROR(__xludf.DUMMYFUNCTION("""COMPUTED_VALUE"""),"VerseVR")</f>
        <v>VerseVR</v>
      </c>
      <c r="F5785" s="122" t="str">
        <f>IFERROR(__xludf.DUMMYFUNCTION("""COMPUTED_VALUE"""),"Technology")</f>
        <v>Technology</v>
      </c>
    </row>
    <row r="5786">
      <c r="A5786" s="131">
        <f>IFERROR(__xludf.DUMMYFUNCTION("""COMPUTED_VALUE"""),46187.534224537034)</f>
        <v>46187.53422</v>
      </c>
      <c r="B5786" s="126">
        <f>IFERROR(__xludf.DUMMYFUNCTION("""COMPUTED_VALUE"""),46187.0)</f>
        <v>46187</v>
      </c>
      <c r="C5786" s="130">
        <f>IFERROR(__xludf.DUMMYFUNCTION("""COMPUTED_VALUE"""),0.534224537037037)</f>
        <v>0.534224537</v>
      </c>
      <c r="D5786" s="122" t="str">
        <f>IFERROR(__xludf.DUMMYFUNCTION("""COMPUTED_VALUE"""),"BYTE")</f>
        <v>BYTE</v>
      </c>
      <c r="E5786" s="122" t="str">
        <f>IFERROR(__xludf.DUMMYFUNCTION("""COMPUTED_VALUE"""),"ByteWorks")</f>
        <v>ByteWorks</v>
      </c>
      <c r="F5786" s="122" t="str">
        <f>IFERROR(__xludf.DUMMYFUNCTION("""COMPUTED_VALUE"""),"Technology")</f>
        <v>Technology</v>
      </c>
    </row>
    <row r="5787">
      <c r="A5787" s="131">
        <f>IFERROR(__xludf.DUMMYFUNCTION("""COMPUTED_VALUE"""),46187.534224537034)</f>
        <v>46187.53422</v>
      </c>
      <c r="B5787" s="126">
        <f>IFERROR(__xludf.DUMMYFUNCTION("""COMPUTED_VALUE"""),46187.0)</f>
        <v>46187</v>
      </c>
      <c r="C5787" s="130">
        <f>IFERROR(__xludf.DUMMYFUNCTION("""COMPUTED_VALUE"""),0.534224537037037)</f>
        <v>0.534224537</v>
      </c>
      <c r="D5787" s="122" t="str">
        <f>IFERROR(__xludf.DUMMYFUNCTION("""COMPUTED_VALUE"""),"BANK")</f>
        <v>BANK</v>
      </c>
      <c r="E5787" s="122" t="str">
        <f>IFERROR(__xludf.DUMMYFUNCTION("""COMPUTED_VALUE"""),"Tiger Bank")</f>
        <v>Tiger Bank</v>
      </c>
      <c r="F5787" s="122" t="str">
        <f>IFERROR(__xludf.DUMMYFUNCTION("""COMPUTED_VALUE"""),"Finance")</f>
        <v>Finance</v>
      </c>
    </row>
    <row r="5788">
      <c r="A5788" s="131">
        <f>IFERROR(__xludf.DUMMYFUNCTION("""COMPUTED_VALUE"""),46187.534224537034)</f>
        <v>46187.53422</v>
      </c>
      <c r="B5788" s="126">
        <f>IFERROR(__xludf.DUMMYFUNCTION("""COMPUTED_VALUE"""),46187.0)</f>
        <v>46187</v>
      </c>
      <c r="C5788" s="130">
        <f>IFERROR(__xludf.DUMMYFUNCTION("""COMPUTED_VALUE"""),0.534224537037037)</f>
        <v>0.534224537</v>
      </c>
      <c r="D5788" s="122" t="str">
        <f>IFERROR(__xludf.DUMMYFUNCTION("""COMPUTED_VALUE"""),"CRED")</f>
        <v>CRED</v>
      </c>
      <c r="E5788" s="122" t="str">
        <f>IFERROR(__xludf.DUMMYFUNCTION("""COMPUTED_VALUE"""),"Credit Castle")</f>
        <v>Credit Castle</v>
      </c>
      <c r="F5788" s="122" t="str">
        <f>IFERROR(__xludf.DUMMYFUNCTION("""COMPUTED_VALUE"""),"Finance")</f>
        <v>Finance</v>
      </c>
    </row>
    <row r="5789">
      <c r="A5789" s="131">
        <f>IFERROR(__xludf.DUMMYFUNCTION("""COMPUTED_VALUE"""),46187.534224537034)</f>
        <v>46187.53422</v>
      </c>
      <c r="B5789" s="126">
        <f>IFERROR(__xludf.DUMMYFUNCTION("""COMPUTED_VALUE"""),46187.0)</f>
        <v>46187</v>
      </c>
      <c r="C5789" s="130">
        <f>IFERROR(__xludf.DUMMYFUNCTION("""COMPUTED_VALUE"""),0.534224537037037)</f>
        <v>0.534224537</v>
      </c>
      <c r="D5789" s="122" t="str">
        <f>IFERROR(__xludf.DUMMYFUNCTION("""COMPUTED_VALUE"""),"BOND")</f>
        <v>BOND</v>
      </c>
      <c r="E5789" s="122" t="str">
        <f>IFERROR(__xludf.DUMMYFUNCTION("""COMPUTED_VALUE"""),"BondBridge")</f>
        <v>BondBridge</v>
      </c>
      <c r="F5789" s="122" t="str">
        <f>IFERROR(__xludf.DUMMYFUNCTION("""COMPUTED_VALUE"""),"Finance")</f>
        <v>Finance</v>
      </c>
    </row>
    <row r="5790">
      <c r="A5790" s="131">
        <f>IFERROR(__xludf.DUMMYFUNCTION("""COMPUTED_VALUE"""),46187.534224537034)</f>
        <v>46187.53422</v>
      </c>
      <c r="B5790" s="126">
        <f>IFERROR(__xludf.DUMMYFUNCTION("""COMPUTED_VALUE"""),46187.0)</f>
        <v>46187</v>
      </c>
      <c r="C5790" s="130">
        <f>IFERROR(__xludf.DUMMYFUNCTION("""COMPUTED_VALUE"""),0.534224537037037)</f>
        <v>0.534224537</v>
      </c>
      <c r="D5790" s="122" t="str">
        <f>IFERROR(__xludf.DUMMYFUNCTION("""COMPUTED_VALUE"""),"INSR")</f>
        <v>INSR</v>
      </c>
      <c r="E5790" s="122" t="str">
        <f>IFERROR(__xludf.DUMMYFUNCTION("""COMPUTED_VALUE"""),"Shield Insurance")</f>
        <v>Shield Insurance</v>
      </c>
      <c r="F5790" s="122" t="str">
        <f>IFERROR(__xludf.DUMMYFUNCTION("""COMPUTED_VALUE"""),"Finance")</f>
        <v>Finance</v>
      </c>
    </row>
    <row r="5791">
      <c r="A5791" s="131">
        <f>IFERROR(__xludf.DUMMYFUNCTION("""COMPUTED_VALUE"""),46187.534224537034)</f>
        <v>46187.53422</v>
      </c>
      <c r="B5791" s="126">
        <f>IFERROR(__xludf.DUMMYFUNCTION("""COMPUTED_VALUE"""),46187.0)</f>
        <v>46187</v>
      </c>
      <c r="C5791" s="130">
        <f>IFERROR(__xludf.DUMMYFUNCTION("""COMPUTED_VALUE"""),0.534224537037037)</f>
        <v>0.534224537</v>
      </c>
      <c r="D5791" s="122" t="str">
        <f>IFERROR(__xludf.DUMMYFUNCTION("""COMPUTED_VALUE"""),"LOAN")</f>
        <v>LOAN</v>
      </c>
      <c r="E5791" s="122" t="str">
        <f>IFERROR(__xludf.DUMMYFUNCTION("""COMPUTED_VALUE"""),"LoanLab")</f>
        <v>LoanLab</v>
      </c>
      <c r="F5791" s="122" t="str">
        <f>IFERROR(__xludf.DUMMYFUNCTION("""COMPUTED_VALUE"""),"Finance")</f>
        <v>Finance</v>
      </c>
    </row>
    <row r="5792">
      <c r="A5792" s="131">
        <f>IFERROR(__xludf.DUMMYFUNCTION("""COMPUTED_VALUE"""),46187.534224537034)</f>
        <v>46187.53422</v>
      </c>
      <c r="B5792" s="126">
        <f>IFERROR(__xludf.DUMMYFUNCTION("""COMPUTED_VALUE"""),46187.0)</f>
        <v>46187</v>
      </c>
      <c r="C5792" s="130">
        <f>IFERROR(__xludf.DUMMYFUNCTION("""COMPUTED_VALUE"""),0.534224537037037)</f>
        <v>0.534224537</v>
      </c>
      <c r="D5792" s="122" t="str">
        <f>IFERROR(__xludf.DUMMYFUNCTION("""COMPUTED_VALUE"""),"LUXE")</f>
        <v>LUXE</v>
      </c>
      <c r="E5792" s="122" t="str">
        <f>IFERROR(__xludf.DUMMYFUNCTION("""COMPUTED_VALUE"""),"Luxury Locker")</f>
        <v>Luxury Locker</v>
      </c>
      <c r="F5792" s="122" t="str">
        <f>IFERROR(__xludf.DUMMYFUNCTION("""COMPUTED_VALUE"""),"Luxury Goods")</f>
        <v>Luxury Goods</v>
      </c>
    </row>
    <row r="5793">
      <c r="A5793" s="131">
        <f>IFERROR(__xludf.DUMMYFUNCTION("""COMPUTED_VALUE"""),46187.534224537034)</f>
        <v>46187.53422</v>
      </c>
      <c r="B5793" s="126">
        <f>IFERROR(__xludf.DUMMYFUNCTION("""COMPUTED_VALUE"""),46187.0)</f>
        <v>46187</v>
      </c>
      <c r="C5793" s="130">
        <f>IFERROR(__xludf.DUMMYFUNCTION("""COMPUTED_VALUE"""),0.534224537037037)</f>
        <v>0.534224537</v>
      </c>
      <c r="D5793" s="122" t="str">
        <f>IFERROR(__xludf.DUMMYFUNCTION("""COMPUTED_VALUE"""),"DRIP")</f>
        <v>DRIP</v>
      </c>
      <c r="E5793" s="122" t="str">
        <f>IFERROR(__xludf.DUMMYFUNCTION("""COMPUTED_VALUE"""),"Drip Streetwear")</f>
        <v>Drip Streetwear</v>
      </c>
      <c r="F5793" s="122" t="str">
        <f>IFERROR(__xludf.DUMMYFUNCTION("""COMPUTED_VALUE"""),"Fashion")</f>
        <v>Fashion</v>
      </c>
    </row>
    <row r="5794">
      <c r="A5794" s="131">
        <f>IFERROR(__xludf.DUMMYFUNCTION("""COMPUTED_VALUE"""),46187.534224537034)</f>
        <v>46187.53422</v>
      </c>
      <c r="B5794" s="126">
        <f>IFERROR(__xludf.DUMMYFUNCTION("""COMPUTED_VALUE"""),46187.0)</f>
        <v>46187</v>
      </c>
      <c r="C5794" s="130">
        <f>IFERROR(__xludf.DUMMYFUNCTION("""COMPUTED_VALUE"""),0.534224537037037)</f>
        <v>0.534224537</v>
      </c>
      <c r="D5794" s="122" t="str">
        <f>IFERROR(__xludf.DUMMYFUNCTION("""COMPUTED_VALUE"""),"KICK")</f>
        <v>KICK</v>
      </c>
      <c r="E5794" s="122" t="str">
        <f>IFERROR(__xludf.DUMMYFUNCTION("""COMPUTED_VALUE"""),"KickDrop Sneakers")</f>
        <v>KickDrop Sneakers</v>
      </c>
      <c r="F5794" s="122" t="str">
        <f>IFERROR(__xludf.DUMMYFUNCTION("""COMPUTED_VALUE"""),"Fashion")</f>
        <v>Fashion</v>
      </c>
    </row>
    <row r="5795">
      <c r="A5795" s="131">
        <f>IFERROR(__xludf.DUMMYFUNCTION("""COMPUTED_VALUE"""),46187.534224537034)</f>
        <v>46187.53422</v>
      </c>
      <c r="B5795" s="126">
        <f>IFERROR(__xludf.DUMMYFUNCTION("""COMPUTED_VALUE"""),46187.0)</f>
        <v>46187</v>
      </c>
      <c r="C5795" s="130">
        <f>IFERROR(__xludf.DUMMYFUNCTION("""COMPUTED_VALUE"""),0.534224537037037)</f>
        <v>0.534224537</v>
      </c>
      <c r="D5795" s="122" t="str">
        <f>IFERROR(__xludf.DUMMYFUNCTION("""COMPUTED_VALUE"""),"GLAM")</f>
        <v>GLAM</v>
      </c>
      <c r="E5795" s="122" t="str">
        <f>IFERROR(__xludf.DUMMYFUNCTION("""COMPUTED_VALUE"""),"Glow Cosmetics")</f>
        <v>Glow Cosmetics</v>
      </c>
      <c r="F5795" s="122" t="str">
        <f>IFERROR(__xludf.DUMMYFUNCTION("""COMPUTED_VALUE"""),"Fashion")</f>
        <v>Fashion</v>
      </c>
    </row>
    <row r="5796">
      <c r="A5796" s="131">
        <f>IFERROR(__xludf.DUMMYFUNCTION("""COMPUTED_VALUE"""),46187.534224537034)</f>
        <v>46187.53422</v>
      </c>
      <c r="B5796" s="126">
        <f>IFERROR(__xludf.DUMMYFUNCTION("""COMPUTED_VALUE"""),46187.0)</f>
        <v>46187</v>
      </c>
      <c r="C5796" s="130">
        <f>IFERROR(__xludf.DUMMYFUNCTION("""COMPUTED_VALUE"""),0.534224537037037)</f>
        <v>0.534224537</v>
      </c>
      <c r="D5796" s="122" t="str">
        <f>IFERROR(__xludf.DUMMYFUNCTION("""COMPUTED_VALUE"""),"BAGG")</f>
        <v>BAGG</v>
      </c>
      <c r="E5796" s="122" t="str">
        <f>IFERROR(__xludf.DUMMYFUNCTION("""COMPUTED_VALUE"""),"BagVault")</f>
        <v>BagVault</v>
      </c>
      <c r="F5796" s="122" t="str">
        <f>IFERROR(__xludf.DUMMYFUNCTION("""COMPUTED_VALUE"""),"Fashion")</f>
        <v>Fashion</v>
      </c>
    </row>
    <row r="5797">
      <c r="A5797" s="131">
        <f>IFERROR(__xludf.DUMMYFUNCTION("""COMPUTED_VALUE"""),46187.534224537034)</f>
        <v>46187.53422</v>
      </c>
      <c r="B5797" s="126">
        <f>IFERROR(__xludf.DUMMYFUNCTION("""COMPUTED_VALUE"""),46187.0)</f>
        <v>46187</v>
      </c>
      <c r="C5797" s="130">
        <f>IFERROR(__xludf.DUMMYFUNCTION("""COMPUTED_VALUE"""),0.534224537037037)</f>
        <v>0.534224537</v>
      </c>
      <c r="D5797" s="122" t="str">
        <f>IFERROR(__xludf.DUMMYFUNCTION("""COMPUTED_VALUE"""),"FAST")</f>
        <v>FAST</v>
      </c>
      <c r="E5797" s="122" t="str">
        <f>IFERROR(__xludf.DUMMYFUNCTION("""COMPUTED_VALUE"""),"Flash Logistics")</f>
        <v>Flash Logistics</v>
      </c>
      <c r="F5797" s="122" t="str">
        <f>IFERROR(__xludf.DUMMYFUNCTION("""COMPUTED_VALUE"""),"Logistics")</f>
        <v>Logistics</v>
      </c>
    </row>
    <row r="5798">
      <c r="A5798" s="131">
        <f>IFERROR(__xludf.DUMMYFUNCTION("""COMPUTED_VALUE"""),46187.534224537034)</f>
        <v>46187.53422</v>
      </c>
      <c r="B5798" s="126">
        <f>IFERROR(__xludf.DUMMYFUNCTION("""COMPUTED_VALUE"""),46187.0)</f>
        <v>46187</v>
      </c>
      <c r="C5798" s="130">
        <f>IFERROR(__xludf.DUMMYFUNCTION("""COMPUTED_VALUE"""),0.534224537037037)</f>
        <v>0.534224537</v>
      </c>
      <c r="D5798" s="122" t="str">
        <f>IFERROR(__xludf.DUMMYFUNCTION("""COMPUTED_VALUE"""),"SHIP")</f>
        <v>SHIP</v>
      </c>
      <c r="E5798" s="122" t="str">
        <f>IFERROR(__xludf.DUMMYFUNCTION("""COMPUTED_VALUE"""),"Seoul Shipping")</f>
        <v>Seoul Shipping</v>
      </c>
      <c r="F5798" s="122" t="str">
        <f>IFERROR(__xludf.DUMMYFUNCTION("""COMPUTED_VALUE"""),"Logistics")</f>
        <v>Logistics</v>
      </c>
    </row>
    <row r="5799">
      <c r="A5799" s="131">
        <f>IFERROR(__xludf.DUMMYFUNCTION("""COMPUTED_VALUE"""),46187.534224537034)</f>
        <v>46187.53422</v>
      </c>
      <c r="B5799" s="126">
        <f>IFERROR(__xludf.DUMMYFUNCTION("""COMPUTED_VALUE"""),46187.0)</f>
        <v>46187</v>
      </c>
      <c r="C5799" s="130">
        <f>IFERROR(__xludf.DUMMYFUNCTION("""COMPUTED_VALUE"""),0.534224537037037)</f>
        <v>0.534224537</v>
      </c>
      <c r="D5799" s="122" t="str">
        <f>IFERROR(__xludf.DUMMYFUNCTION("""COMPUTED_VALUE"""),"DRON")</f>
        <v>DRON</v>
      </c>
      <c r="E5799" s="122" t="str">
        <f>IFERROR(__xludf.DUMMYFUNCTION("""COMPUTED_VALUE"""),"DroneDrop")</f>
        <v>DroneDrop</v>
      </c>
      <c r="F5799" s="122" t="str">
        <f>IFERROR(__xludf.DUMMYFUNCTION("""COMPUTED_VALUE"""),"Logistics")</f>
        <v>Logistics</v>
      </c>
    </row>
    <row r="5800">
      <c r="A5800" s="131">
        <f>IFERROR(__xludf.DUMMYFUNCTION("""COMPUTED_VALUE"""),46187.534224537034)</f>
        <v>46187.53422</v>
      </c>
      <c r="B5800" s="126">
        <f>IFERROR(__xludf.DUMMYFUNCTION("""COMPUTED_VALUE"""),46187.0)</f>
        <v>46187</v>
      </c>
      <c r="C5800" s="130">
        <f>IFERROR(__xludf.DUMMYFUNCTION("""COMPUTED_VALUE"""),0.534224537037037)</f>
        <v>0.534224537</v>
      </c>
      <c r="D5800" s="122" t="str">
        <f>IFERROR(__xludf.DUMMYFUNCTION("""COMPUTED_VALUE"""),"RIDE")</f>
        <v>RIDE</v>
      </c>
      <c r="E5800" s="122" t="str">
        <f>IFERROR(__xludf.DUMMYFUNCTION("""COMPUTED_VALUE"""),"QuickRide")</f>
        <v>QuickRide</v>
      </c>
      <c r="F5800" s="122" t="str">
        <f>IFERROR(__xludf.DUMMYFUNCTION("""COMPUTED_VALUE"""),"Transportation")</f>
        <v>Transportation</v>
      </c>
    </row>
    <row r="5801">
      <c r="A5801" s="131">
        <f>IFERROR(__xludf.DUMMYFUNCTION("""COMPUTED_VALUE"""),46187.534224537034)</f>
        <v>46187.53422</v>
      </c>
      <c r="B5801" s="126">
        <f>IFERROR(__xludf.DUMMYFUNCTION("""COMPUTED_VALUE"""),46187.0)</f>
        <v>46187</v>
      </c>
      <c r="C5801" s="130">
        <f>IFERROR(__xludf.DUMMYFUNCTION("""COMPUTED_VALUE"""),0.534224537037037)</f>
        <v>0.534224537</v>
      </c>
      <c r="D5801" s="122" t="str">
        <f>IFERROR(__xludf.DUMMYFUNCTION("""COMPUTED_VALUE"""),"RAIL")</f>
        <v>RAIL</v>
      </c>
      <c r="E5801" s="122" t="str">
        <f>IFERROR(__xludf.DUMMYFUNCTION("""COMPUTED_VALUE"""),"MetroRail Corp")</f>
        <v>MetroRail Corp</v>
      </c>
      <c r="F5801" s="122" t="str">
        <f>IFERROR(__xludf.DUMMYFUNCTION("""COMPUTED_VALUE"""),"Transportation")</f>
        <v>Transportation</v>
      </c>
    </row>
    <row r="5802">
      <c r="A5802" s="131">
        <f>IFERROR(__xludf.DUMMYFUNCTION("""COMPUTED_VALUE"""),46187.534224537034)</f>
        <v>46187.53422</v>
      </c>
      <c r="B5802" s="126">
        <f>IFERROR(__xludf.DUMMYFUNCTION("""COMPUTED_VALUE"""),46187.0)</f>
        <v>46187</v>
      </c>
      <c r="C5802" s="130">
        <f>IFERROR(__xludf.DUMMYFUNCTION("""COMPUTED_VALUE"""),0.534224537037037)</f>
        <v>0.534224537</v>
      </c>
      <c r="D5802" s="122" t="str">
        <f>IFERROR(__xludf.DUMMYFUNCTION("""COMPUTED_VALUE"""),"MEDX")</f>
        <v>MEDX</v>
      </c>
      <c r="E5802" s="122" t="str">
        <f>IFERROR(__xludf.DUMMYFUNCTION("""COMPUTED_VALUE"""),"MediCore")</f>
        <v>MediCore</v>
      </c>
      <c r="F5802" s="122" t="str">
        <f>IFERROR(__xludf.DUMMYFUNCTION("""COMPUTED_VALUE"""),"Healthcare")</f>
        <v>Healthcare</v>
      </c>
    </row>
    <row r="5803">
      <c r="A5803" s="131">
        <f>IFERROR(__xludf.DUMMYFUNCTION("""COMPUTED_VALUE"""),46187.534224537034)</f>
        <v>46187.53422</v>
      </c>
      <c r="B5803" s="126">
        <f>IFERROR(__xludf.DUMMYFUNCTION("""COMPUTED_VALUE"""),46187.0)</f>
        <v>46187</v>
      </c>
      <c r="C5803" s="130">
        <f>IFERROR(__xludf.DUMMYFUNCTION("""COMPUTED_VALUE"""),0.534224537037037)</f>
        <v>0.534224537</v>
      </c>
      <c r="D5803" s="122" t="str">
        <f>IFERROR(__xludf.DUMMYFUNCTION("""COMPUTED_VALUE"""),"GYMX")</f>
        <v>GYMX</v>
      </c>
      <c r="E5803" s="122" t="str">
        <f>IFERROR(__xludf.DUMMYFUNCTION("""COMPUTED_VALUE"""),"GymX Fitness")</f>
        <v>GymX Fitness</v>
      </c>
      <c r="F5803" s="122" t="str">
        <f>IFERROR(__xludf.DUMMYFUNCTION("""COMPUTED_VALUE"""),"Healthcare")</f>
        <v>Healthcare</v>
      </c>
    </row>
    <row r="5804">
      <c r="A5804" s="131">
        <f>IFERROR(__xludf.DUMMYFUNCTION("""COMPUTED_VALUE"""),46187.534224537034)</f>
        <v>46187.53422</v>
      </c>
      <c r="B5804" s="126">
        <f>IFERROR(__xludf.DUMMYFUNCTION("""COMPUTED_VALUE"""),46187.0)</f>
        <v>46187</v>
      </c>
      <c r="C5804" s="130">
        <f>IFERROR(__xludf.DUMMYFUNCTION("""COMPUTED_VALUE"""),0.534224537037037)</f>
        <v>0.534224537</v>
      </c>
      <c r="D5804" s="122" t="str">
        <f>IFERROR(__xludf.DUMMYFUNCTION("""COMPUTED_VALUE"""),"VITA")</f>
        <v>VITA</v>
      </c>
      <c r="E5804" s="122" t="str">
        <f>IFERROR(__xludf.DUMMYFUNCTION("""COMPUTED_VALUE"""),"VitaPlus")</f>
        <v>VitaPlus</v>
      </c>
      <c r="F5804" s="122" t="str">
        <f>IFERROR(__xludf.DUMMYFUNCTION("""COMPUTED_VALUE"""),"Healthcare")</f>
        <v>Healthcare</v>
      </c>
    </row>
    <row r="5805">
      <c r="A5805" s="131">
        <f>IFERROR(__xludf.DUMMYFUNCTION("""COMPUTED_VALUE"""),46187.534224537034)</f>
        <v>46187.53422</v>
      </c>
      <c r="B5805" s="126">
        <f>IFERROR(__xludf.DUMMYFUNCTION("""COMPUTED_VALUE"""),46187.0)</f>
        <v>46187</v>
      </c>
      <c r="C5805" s="130">
        <f>IFERROR(__xludf.DUMMYFUNCTION("""COMPUTED_VALUE"""),0.534224537037037)</f>
        <v>0.534224537</v>
      </c>
      <c r="D5805" s="122" t="str">
        <f>IFERROR(__xludf.DUMMYFUNCTION("""COMPUTED_VALUE"""),"CARE")</f>
        <v>CARE</v>
      </c>
      <c r="E5805" s="122" t="str">
        <f>IFERROR(__xludf.DUMMYFUNCTION("""COMPUTED_VALUE"""),"CareCloud")</f>
        <v>CareCloud</v>
      </c>
      <c r="F5805" s="122" t="str">
        <f>IFERROR(__xludf.DUMMYFUNCTION("""COMPUTED_VALUE"""),"Healthcare")</f>
        <v>Healthcare</v>
      </c>
    </row>
    <row r="5806">
      <c r="A5806" s="131">
        <f>IFERROR(__xludf.DUMMYFUNCTION("""COMPUTED_VALUE"""),46187.534224537034)</f>
        <v>46187.53422</v>
      </c>
      <c r="B5806" s="126">
        <f>IFERROR(__xludf.DUMMYFUNCTION("""COMPUTED_VALUE"""),46187.0)</f>
        <v>46187</v>
      </c>
      <c r="C5806" s="130">
        <f>IFERROR(__xludf.DUMMYFUNCTION("""COMPUTED_VALUE"""),0.534224537037037)</f>
        <v>0.534224537</v>
      </c>
      <c r="D5806" s="122" t="str">
        <f>IFERROR(__xludf.DUMMYFUNCTION("""COMPUTED_VALUE"""),"DENT")</f>
        <v>DENT</v>
      </c>
      <c r="E5806" s="122" t="str">
        <f>IFERROR(__xludf.DUMMYFUNCTION("""COMPUTED_VALUE"""),"SmileWorks")</f>
        <v>SmileWorks</v>
      </c>
      <c r="F5806" s="122" t="str">
        <f>IFERROR(__xludf.DUMMYFUNCTION("""COMPUTED_VALUE"""),"Healthcare")</f>
        <v>Healthcare</v>
      </c>
    </row>
    <row r="5807">
      <c r="A5807" s="131">
        <f>IFERROR(__xludf.DUMMYFUNCTION("""COMPUTED_VALUE"""),46187.534224537034)</f>
        <v>46187.53422</v>
      </c>
      <c r="B5807" s="126">
        <f>IFERROR(__xludf.DUMMYFUNCTION("""COMPUTED_VALUE"""),46187.0)</f>
        <v>46187</v>
      </c>
      <c r="C5807" s="130">
        <f>IFERROR(__xludf.DUMMYFUNCTION("""COMPUTED_VALUE"""),0.534224537037037)</f>
        <v>0.534224537</v>
      </c>
      <c r="D5807" s="122" t="str">
        <f>IFERROR(__xludf.DUMMYFUNCTION("""COMPUTED_VALUE"""),"EDUX")</f>
        <v>EDUX</v>
      </c>
      <c r="E5807" s="122" t="str">
        <f>IFERROR(__xludf.DUMMYFUNCTION("""COMPUTED_VALUE"""),"EduMax Learning")</f>
        <v>EduMax Learning</v>
      </c>
      <c r="F5807" s="122" t="str">
        <f>IFERROR(__xludf.DUMMYFUNCTION("""COMPUTED_VALUE"""),"Education")</f>
        <v>Education</v>
      </c>
    </row>
    <row r="5808">
      <c r="A5808" s="131">
        <f>IFERROR(__xludf.DUMMYFUNCTION("""COMPUTED_VALUE"""),46187.534224537034)</f>
        <v>46187.53422</v>
      </c>
      <c r="B5808" s="126">
        <f>IFERROR(__xludf.DUMMYFUNCTION("""COMPUTED_VALUE"""),46187.0)</f>
        <v>46187</v>
      </c>
      <c r="C5808" s="130">
        <f>IFERROR(__xludf.DUMMYFUNCTION("""COMPUTED_VALUE"""),0.534224537037037)</f>
        <v>0.534224537</v>
      </c>
      <c r="D5808" s="122" t="str">
        <f>IFERROR(__xludf.DUMMYFUNCTION("""COMPUTED_VALUE"""),"BOOK")</f>
        <v>BOOK</v>
      </c>
      <c r="E5808" s="122" t="str">
        <f>IFERROR(__xludf.DUMMYFUNCTION("""COMPUTED_VALUE"""),"BookBridge")</f>
        <v>BookBridge</v>
      </c>
      <c r="F5808" s="122" t="str">
        <f>IFERROR(__xludf.DUMMYFUNCTION("""COMPUTED_VALUE"""),"Education")</f>
        <v>Education</v>
      </c>
    </row>
    <row r="5809">
      <c r="A5809" s="131">
        <f>IFERROR(__xludf.DUMMYFUNCTION("""COMPUTED_VALUE"""),46187.534224537034)</f>
        <v>46187.53422</v>
      </c>
      <c r="B5809" s="126">
        <f>IFERROR(__xludf.DUMMYFUNCTION("""COMPUTED_VALUE"""),46187.0)</f>
        <v>46187</v>
      </c>
      <c r="C5809" s="130">
        <f>IFERROR(__xludf.DUMMYFUNCTION("""COMPUTED_VALUE"""),0.534224537037037)</f>
        <v>0.534224537</v>
      </c>
      <c r="D5809" s="122" t="str">
        <f>IFERROR(__xludf.DUMMYFUNCTION("""COMPUTED_VALUE"""),"TUTR")</f>
        <v>TUTR</v>
      </c>
      <c r="E5809" s="122" t="str">
        <f>IFERROR(__xludf.DUMMYFUNCTION("""COMPUTED_VALUE"""),"TutorTown")</f>
        <v>TutorTown</v>
      </c>
      <c r="F5809" s="122" t="str">
        <f>IFERROR(__xludf.DUMMYFUNCTION("""COMPUTED_VALUE"""),"Education")</f>
        <v>Education</v>
      </c>
    </row>
    <row r="5810">
      <c r="A5810" s="131">
        <f>IFERROR(__xludf.DUMMYFUNCTION("""COMPUTED_VALUE"""),46187.534224537034)</f>
        <v>46187.53422</v>
      </c>
      <c r="B5810" s="126">
        <f>IFERROR(__xludf.DUMMYFUNCTION("""COMPUTED_VALUE"""),46187.0)</f>
        <v>46187</v>
      </c>
      <c r="C5810" s="130">
        <f>IFERROR(__xludf.DUMMYFUNCTION("""COMPUTED_VALUE"""),0.534224537037037)</f>
        <v>0.534224537</v>
      </c>
      <c r="D5810" s="122" t="str">
        <f>IFERROR(__xludf.DUMMYFUNCTION("""COMPUTED_VALUE"""),"LANG")</f>
        <v>LANG</v>
      </c>
      <c r="E5810" s="122" t="str">
        <f>IFERROR(__xludf.DUMMYFUNCTION("""COMPUTED_VALUE"""),"LinguaLab")</f>
        <v>LinguaLab</v>
      </c>
      <c r="F5810" s="122" t="str">
        <f>IFERROR(__xludf.DUMMYFUNCTION("""COMPUTED_VALUE"""),"Education")</f>
        <v>Education</v>
      </c>
    </row>
    <row r="5811">
      <c r="A5811" s="131">
        <f>IFERROR(__xludf.DUMMYFUNCTION("""COMPUTED_VALUE"""),46187.534224537034)</f>
        <v>46187.53422</v>
      </c>
      <c r="B5811" s="126">
        <f>IFERROR(__xludf.DUMMYFUNCTION("""COMPUTED_VALUE"""),46187.0)</f>
        <v>46187</v>
      </c>
      <c r="C5811" s="130">
        <f>IFERROR(__xludf.DUMMYFUNCTION("""COMPUTED_VALUE"""),0.534224537037037)</f>
        <v>0.534224537</v>
      </c>
      <c r="D5811" s="122" t="str">
        <f>IFERROR(__xludf.DUMMYFUNCTION("""COMPUTED_VALUE"""),"TEST")</f>
        <v>TEST</v>
      </c>
      <c r="E5811" s="122" t="str">
        <f>IFERROR(__xludf.DUMMYFUNCTION("""COMPUTED_VALUE"""),"TestPrep Pro")</f>
        <v>TestPrep Pro</v>
      </c>
      <c r="F5811" s="122" t="str">
        <f>IFERROR(__xludf.DUMMYFUNCTION("""COMPUTED_VALUE"""),"Education")</f>
        <v>Education</v>
      </c>
    </row>
    <row r="5812">
      <c r="A5812" s="131">
        <f>IFERROR(__xludf.DUMMYFUNCTION("""COMPUTED_VALUE"""),46187.534224537034)</f>
        <v>46187.53422</v>
      </c>
      <c r="B5812" s="126">
        <f>IFERROR(__xludf.DUMMYFUNCTION("""COMPUTED_VALUE"""),46187.0)</f>
        <v>46187</v>
      </c>
      <c r="C5812" s="130">
        <f>IFERROR(__xludf.DUMMYFUNCTION("""COMPUTED_VALUE"""),0.534224537037037)</f>
        <v>0.534224537</v>
      </c>
      <c r="D5812" s="122" t="str">
        <f>IFERROR(__xludf.DUMMYFUNCTION("""COMPUTED_VALUE"""),"MOVI")</f>
        <v>MOVI</v>
      </c>
      <c r="E5812" s="122" t="str">
        <f>IFERROR(__xludf.DUMMYFUNCTION("""COMPUTED_VALUE"""),"MovieBox")</f>
        <v>MovieBox</v>
      </c>
      <c r="F5812" s="122" t="str">
        <f>IFERROR(__xludf.DUMMYFUNCTION("""COMPUTED_VALUE"""),"Entertainment")</f>
        <v>Entertainment</v>
      </c>
    </row>
    <row r="5813">
      <c r="A5813" s="131">
        <f>IFERROR(__xludf.DUMMYFUNCTION("""COMPUTED_VALUE"""),46187.534224537034)</f>
        <v>46187.53422</v>
      </c>
      <c r="B5813" s="126">
        <f>IFERROR(__xludf.DUMMYFUNCTION("""COMPUTED_VALUE"""),46187.0)</f>
        <v>46187</v>
      </c>
      <c r="C5813" s="130">
        <f>IFERROR(__xludf.DUMMYFUNCTION("""COMPUTED_VALUE"""),0.534224537037037)</f>
        <v>0.534224537</v>
      </c>
      <c r="D5813" s="122" t="str">
        <f>IFERROR(__xludf.DUMMYFUNCTION("""COMPUTED_VALUE"""),"MUSC")</f>
        <v>MUSC</v>
      </c>
      <c r="E5813" s="122" t="str">
        <f>IFERROR(__xludf.DUMMYFUNCTION("""COMPUTED_VALUE"""),"MusicWave")</f>
        <v>MusicWave</v>
      </c>
      <c r="F5813" s="122" t="str">
        <f>IFERROR(__xludf.DUMMYFUNCTION("""COMPUTED_VALUE"""),"Entertainment")</f>
        <v>Entertainment</v>
      </c>
    </row>
    <row r="5814">
      <c r="A5814" s="131">
        <f>IFERROR(__xludf.DUMMYFUNCTION("""COMPUTED_VALUE"""),46187.534224537034)</f>
        <v>46187.53422</v>
      </c>
      <c r="B5814" s="126">
        <f>IFERROR(__xludf.DUMMYFUNCTION("""COMPUTED_VALUE"""),46187.0)</f>
        <v>46187</v>
      </c>
      <c r="C5814" s="130">
        <f>IFERROR(__xludf.DUMMYFUNCTION("""COMPUTED_VALUE"""),0.534224537037037)</f>
        <v>0.534224537</v>
      </c>
      <c r="D5814" s="122" t="str">
        <f>IFERROR(__xludf.DUMMYFUNCTION("""COMPUTED_VALUE"""),"IDOL")</f>
        <v>IDOL</v>
      </c>
      <c r="E5814" s="122" t="str">
        <f>IFERROR(__xludf.DUMMYFUNCTION("""COMPUTED_VALUE"""),"Idol Agency")</f>
        <v>Idol Agency</v>
      </c>
      <c r="F5814" s="122" t="str">
        <f>IFERROR(__xludf.DUMMYFUNCTION("""COMPUTED_VALUE"""),"Entertainment")</f>
        <v>Entertainment</v>
      </c>
    </row>
    <row r="5815">
      <c r="A5815" s="131">
        <f>IFERROR(__xludf.DUMMYFUNCTION("""COMPUTED_VALUE"""),46187.534224537034)</f>
        <v>46187.53422</v>
      </c>
      <c r="B5815" s="126">
        <f>IFERROR(__xludf.DUMMYFUNCTION("""COMPUTED_VALUE"""),46187.0)</f>
        <v>46187</v>
      </c>
      <c r="C5815" s="130">
        <f>IFERROR(__xludf.DUMMYFUNCTION("""COMPUTED_VALUE"""),0.534224537037037)</f>
        <v>0.534224537</v>
      </c>
      <c r="D5815" s="122" t="str">
        <f>IFERROR(__xludf.DUMMYFUNCTION("""COMPUTED_VALUE"""),"MEME")</f>
        <v>MEME</v>
      </c>
      <c r="E5815" s="122" t="str">
        <f>IFERROR(__xludf.DUMMYFUNCTION("""COMPUTED_VALUE"""),"Meme Media")</f>
        <v>Meme Media</v>
      </c>
      <c r="F5815" s="122" t="str">
        <f>IFERROR(__xludf.DUMMYFUNCTION("""COMPUTED_VALUE"""),"Entertainment")</f>
        <v>Entertainment</v>
      </c>
    </row>
    <row r="5816">
      <c r="A5816" s="131">
        <f>IFERROR(__xludf.DUMMYFUNCTION("""COMPUTED_VALUE"""),46187.534224537034)</f>
        <v>46187.53422</v>
      </c>
      <c r="B5816" s="126">
        <f>IFERROR(__xludf.DUMMYFUNCTION("""COMPUTED_VALUE"""),46187.0)</f>
        <v>46187</v>
      </c>
      <c r="C5816" s="130">
        <f>IFERROR(__xludf.DUMMYFUNCTION("""COMPUTED_VALUE"""),0.534224537037037)</f>
        <v>0.534224537</v>
      </c>
      <c r="D5816" s="122" t="str">
        <f>IFERROR(__xludf.DUMMYFUNCTION("""COMPUTED_VALUE"""),"STRM")</f>
        <v>STRM</v>
      </c>
      <c r="E5816" s="122" t="str">
        <f>IFERROR(__xludf.DUMMYFUNCTION("""COMPUTED_VALUE"""),"Streamly")</f>
        <v>Streamly</v>
      </c>
      <c r="F5816" s="122" t="str">
        <f>IFERROR(__xludf.DUMMYFUNCTION("""COMPUTED_VALUE"""),"Entertainment")</f>
        <v>Entertainment</v>
      </c>
    </row>
    <row r="5817">
      <c r="A5817" s="131">
        <f>IFERROR(__xludf.DUMMYFUNCTION("""COMPUTED_VALUE"""),46187.534224537034)</f>
        <v>46187.53422</v>
      </c>
      <c r="B5817" s="126">
        <f>IFERROR(__xludf.DUMMYFUNCTION("""COMPUTED_VALUE"""),46187.0)</f>
        <v>46187</v>
      </c>
      <c r="C5817" s="130">
        <f>IFERROR(__xludf.DUMMYFUNCTION("""COMPUTED_VALUE"""),0.534224537037037)</f>
        <v>0.534224537</v>
      </c>
      <c r="D5817" s="122" t="str">
        <f>IFERROR(__xludf.DUMMYFUNCTION("""COMPUTED_VALUE"""),"FARM")</f>
        <v>FARM</v>
      </c>
      <c r="E5817" s="122" t="str">
        <f>IFERROR(__xludf.DUMMYFUNCTION("""COMPUTED_VALUE"""),"Future Farms")</f>
        <v>Future Farms</v>
      </c>
      <c r="F5817" s="122" t="str">
        <f>IFERROR(__xludf.DUMMYFUNCTION("""COMPUTED_VALUE"""),"Agriculture")</f>
        <v>Agriculture</v>
      </c>
    </row>
    <row r="5818">
      <c r="A5818" s="131">
        <f>IFERROR(__xludf.DUMMYFUNCTION("""COMPUTED_VALUE"""),46187.534224537034)</f>
        <v>46187.53422</v>
      </c>
      <c r="B5818" s="126">
        <f>IFERROR(__xludf.DUMMYFUNCTION("""COMPUTED_VALUE"""),46187.0)</f>
        <v>46187</v>
      </c>
      <c r="C5818" s="130">
        <f>IFERROR(__xludf.DUMMYFUNCTION("""COMPUTED_VALUE"""),0.534224537037037)</f>
        <v>0.534224537</v>
      </c>
      <c r="D5818" s="122" t="str">
        <f>IFERROR(__xludf.DUMMYFUNCTION("""COMPUTED_VALUE"""),"MEAT")</f>
        <v>MEAT</v>
      </c>
      <c r="E5818" s="122" t="str">
        <f>IFERROR(__xludf.DUMMYFUNCTION("""COMPUTED_VALUE"""),"MeatWorks")</f>
        <v>MeatWorks</v>
      </c>
      <c r="F5818" s="122" t="str">
        <f>IFERROR(__xludf.DUMMYFUNCTION("""COMPUTED_VALUE"""),"Food")</f>
        <v>Food</v>
      </c>
    </row>
    <row r="5819">
      <c r="A5819" s="131">
        <f>IFERROR(__xludf.DUMMYFUNCTION("""COMPUTED_VALUE"""),46187.534224537034)</f>
        <v>46187.53422</v>
      </c>
      <c r="B5819" s="126">
        <f>IFERROR(__xludf.DUMMYFUNCTION("""COMPUTED_VALUE"""),46187.0)</f>
        <v>46187</v>
      </c>
      <c r="C5819" s="130">
        <f>IFERROR(__xludf.DUMMYFUNCTION("""COMPUTED_VALUE"""),0.534224537037037)</f>
        <v>0.534224537</v>
      </c>
      <c r="D5819" s="122" t="str">
        <f>IFERROR(__xludf.DUMMYFUNCTION("""COMPUTED_VALUE"""),"VEGI")</f>
        <v>VEGI</v>
      </c>
      <c r="E5819" s="122" t="str">
        <f>IFERROR(__xludf.DUMMYFUNCTION("""COMPUTED_VALUE"""),"Green Basket")</f>
        <v>Green Basket</v>
      </c>
      <c r="F5819" s="122" t="str">
        <f>IFERROR(__xludf.DUMMYFUNCTION("""COMPUTED_VALUE"""),"Food")</f>
        <v>Food</v>
      </c>
    </row>
    <row r="5820">
      <c r="A5820" s="131">
        <f>IFERROR(__xludf.DUMMYFUNCTION("""COMPUTED_VALUE"""),46187.534224537034)</f>
        <v>46187.53422</v>
      </c>
      <c r="B5820" s="126">
        <f>IFERROR(__xludf.DUMMYFUNCTION("""COMPUTED_VALUE"""),46187.0)</f>
        <v>46187</v>
      </c>
      <c r="C5820" s="130">
        <f>IFERROR(__xludf.DUMMYFUNCTION("""COMPUTED_VALUE"""),0.534224537037037)</f>
        <v>0.534224537</v>
      </c>
      <c r="D5820" s="122" t="str">
        <f>IFERROR(__xludf.DUMMYFUNCTION("""COMPUTED_VALUE"""),"CAFE")</f>
        <v>CAFE</v>
      </c>
      <c r="E5820" s="122" t="str">
        <f>IFERROR(__xludf.DUMMYFUNCTION("""COMPUTED_VALUE"""),"Cafe Cloud")</f>
        <v>Cafe Cloud</v>
      </c>
      <c r="F5820" s="122" t="str">
        <f>IFERROR(__xludf.DUMMYFUNCTION("""COMPUTED_VALUE"""),"Food")</f>
        <v>Food</v>
      </c>
    </row>
    <row r="5821">
      <c r="A5821" s="131">
        <f>IFERROR(__xludf.DUMMYFUNCTION("""COMPUTED_VALUE"""),46187.534224537034)</f>
        <v>46187.53422</v>
      </c>
      <c r="B5821" s="126">
        <f>IFERROR(__xludf.DUMMYFUNCTION("""COMPUTED_VALUE"""),46187.0)</f>
        <v>46187</v>
      </c>
      <c r="C5821" s="130">
        <f>IFERROR(__xludf.DUMMYFUNCTION("""COMPUTED_VALUE"""),0.534224537037037)</f>
        <v>0.534224537</v>
      </c>
      <c r="D5821" s="122" t="str">
        <f>IFERROR(__xludf.DUMMYFUNCTION("""COMPUTED_VALUE"""),"BAKE")</f>
        <v>BAKE</v>
      </c>
      <c r="E5821" s="122" t="str">
        <f>IFERROR(__xludf.DUMMYFUNCTION("""COMPUTED_VALUE"""),"BakeHouse")</f>
        <v>BakeHouse</v>
      </c>
      <c r="F5821" s="122" t="str">
        <f>IFERROR(__xludf.DUMMYFUNCTION("""COMPUTED_VALUE"""),"Food")</f>
        <v>Food</v>
      </c>
    </row>
    <row r="5822">
      <c r="A5822" s="131">
        <f>IFERROR(__xludf.DUMMYFUNCTION("""COMPUTED_VALUE"""),46187.534224537034)</f>
        <v>46187.53422</v>
      </c>
      <c r="B5822" s="126">
        <f>IFERROR(__xludf.DUMMYFUNCTION("""COMPUTED_VALUE"""),46187.0)</f>
        <v>46187</v>
      </c>
      <c r="C5822" s="130">
        <f>IFERROR(__xludf.DUMMYFUNCTION("""COMPUTED_VALUE"""),0.534224537037037)</f>
        <v>0.534224537</v>
      </c>
      <c r="D5822" s="122" t="str">
        <f>IFERROR(__xludf.DUMMYFUNCTION("""COMPUTED_VALUE"""),"OILX")</f>
        <v>OILX</v>
      </c>
      <c r="E5822" s="122" t="str">
        <f>IFERROR(__xludf.DUMMYFUNCTION("""COMPUTED_VALUE"""),"OilMax Energy")</f>
        <v>OilMax Energy</v>
      </c>
      <c r="F5822" s="122" t="str">
        <f>IFERROR(__xludf.DUMMYFUNCTION("""COMPUTED_VALUE"""),"Energy")</f>
        <v>Energy</v>
      </c>
    </row>
    <row r="5823">
      <c r="A5823" s="131">
        <f>IFERROR(__xludf.DUMMYFUNCTION("""COMPUTED_VALUE"""),46187.534224537034)</f>
        <v>46187.53422</v>
      </c>
      <c r="B5823" s="126">
        <f>IFERROR(__xludf.DUMMYFUNCTION("""COMPUTED_VALUE"""),46187.0)</f>
        <v>46187</v>
      </c>
      <c r="C5823" s="130">
        <f>IFERROR(__xludf.DUMMYFUNCTION("""COMPUTED_VALUE"""),0.534224537037037)</f>
        <v>0.534224537</v>
      </c>
      <c r="D5823" s="122" t="str">
        <f>IFERROR(__xludf.DUMMYFUNCTION("""COMPUTED_VALUE"""),"SOLR")</f>
        <v>SOLR</v>
      </c>
      <c r="E5823" s="122" t="str">
        <f>IFERROR(__xludf.DUMMYFUNCTION("""COMPUTED_VALUE"""),"SolarSpark")</f>
        <v>SolarSpark</v>
      </c>
      <c r="F5823" s="122" t="str">
        <f>IFERROR(__xludf.DUMMYFUNCTION("""COMPUTED_VALUE"""),"Energy")</f>
        <v>Energy</v>
      </c>
    </row>
    <row r="5824">
      <c r="A5824" s="131">
        <f>IFERROR(__xludf.DUMMYFUNCTION("""COMPUTED_VALUE"""),46187.534224537034)</f>
        <v>46187.53422</v>
      </c>
      <c r="B5824" s="126">
        <f>IFERROR(__xludf.DUMMYFUNCTION("""COMPUTED_VALUE"""),46187.0)</f>
        <v>46187</v>
      </c>
      <c r="C5824" s="130">
        <f>IFERROR(__xludf.DUMMYFUNCTION("""COMPUTED_VALUE"""),0.534224537037037)</f>
        <v>0.534224537</v>
      </c>
      <c r="D5824" s="122" t="str">
        <f>IFERROR(__xludf.DUMMYFUNCTION("""COMPUTED_VALUE"""),"BATT")</f>
        <v>BATT</v>
      </c>
      <c r="E5824" s="122" t="str">
        <f>IFERROR(__xludf.DUMMYFUNCTION("""COMPUTED_VALUE"""),"BatteryBox")</f>
        <v>BatteryBox</v>
      </c>
      <c r="F5824" s="122" t="str">
        <f>IFERROR(__xludf.DUMMYFUNCTION("""COMPUTED_VALUE"""),"Energy")</f>
        <v>Energy</v>
      </c>
    </row>
    <row r="5825">
      <c r="A5825" s="131">
        <f>IFERROR(__xludf.DUMMYFUNCTION("""COMPUTED_VALUE"""),46187.534224537034)</f>
        <v>46187.53422</v>
      </c>
      <c r="B5825" s="126">
        <f>IFERROR(__xludf.DUMMYFUNCTION("""COMPUTED_VALUE"""),46187.0)</f>
        <v>46187</v>
      </c>
      <c r="C5825" s="130">
        <f>IFERROR(__xludf.DUMMYFUNCTION("""COMPUTED_VALUE"""),0.534224537037037)</f>
        <v>0.534224537</v>
      </c>
      <c r="D5825" s="122" t="str">
        <f>IFERROR(__xludf.DUMMYFUNCTION("""COMPUTED_VALUE"""),"WIND")</f>
        <v>WIND</v>
      </c>
      <c r="E5825" s="122" t="str">
        <f>IFERROR(__xludf.DUMMYFUNCTION("""COMPUTED_VALUE"""),"WindWorks")</f>
        <v>WindWorks</v>
      </c>
      <c r="F5825" s="122" t="str">
        <f>IFERROR(__xludf.DUMMYFUNCTION("""COMPUTED_VALUE"""),"Energy")</f>
        <v>Energy</v>
      </c>
    </row>
    <row r="5826">
      <c r="A5826" s="131">
        <f>IFERROR(__xludf.DUMMYFUNCTION("""COMPUTED_VALUE"""),46187.534224537034)</f>
        <v>46187.53422</v>
      </c>
      <c r="B5826" s="126">
        <f>IFERROR(__xludf.DUMMYFUNCTION("""COMPUTED_VALUE"""),46187.0)</f>
        <v>46187</v>
      </c>
      <c r="C5826" s="130">
        <f>IFERROR(__xludf.DUMMYFUNCTION("""COMPUTED_VALUE"""),0.534224537037037)</f>
        <v>0.534224537</v>
      </c>
      <c r="D5826" s="122" t="str">
        <f>IFERROR(__xludf.DUMMYFUNCTION("""COMPUTED_VALUE"""),"GRID")</f>
        <v>GRID</v>
      </c>
      <c r="E5826" s="122" t="str">
        <f>IFERROR(__xludf.DUMMYFUNCTION("""COMPUTED_VALUE"""),"GridPower")</f>
        <v>GridPower</v>
      </c>
      <c r="F5826" s="122" t="str">
        <f>IFERROR(__xludf.DUMMYFUNCTION("""COMPUTED_VALUE"""),"Energy")</f>
        <v>Energy</v>
      </c>
    </row>
    <row r="5827">
      <c r="A5827" s="131">
        <f>IFERROR(__xludf.DUMMYFUNCTION("""COMPUTED_VALUE"""),46187.534224537034)</f>
        <v>46187.53422</v>
      </c>
      <c r="B5827" s="126">
        <f>IFERROR(__xludf.DUMMYFUNCTION("""COMPUTED_VALUE"""),46187.0)</f>
        <v>46187</v>
      </c>
      <c r="C5827" s="130">
        <f>IFERROR(__xludf.DUMMYFUNCTION("""COMPUTED_VALUE"""),0.534224537037037)</f>
        <v>0.534224537</v>
      </c>
      <c r="D5827" s="122" t="str">
        <f>IFERROR(__xludf.DUMMYFUNCTION("""COMPUTED_VALUE"""),"HOME")</f>
        <v>HOME</v>
      </c>
      <c r="E5827" s="122" t="str">
        <f>IFERROR(__xludf.DUMMYFUNCTION("""COMPUTED_VALUE"""),"HomeHub")</f>
        <v>HomeHub</v>
      </c>
      <c r="F5827" s="122" t="str">
        <f>IFERROR(__xludf.DUMMYFUNCTION("""COMPUTED_VALUE"""),"Real Estate")</f>
        <v>Real Estate</v>
      </c>
    </row>
    <row r="5828">
      <c r="A5828" s="131">
        <f>IFERROR(__xludf.DUMMYFUNCTION("""COMPUTED_VALUE"""),46187.534224537034)</f>
        <v>46187.53422</v>
      </c>
      <c r="B5828" s="126">
        <f>IFERROR(__xludf.DUMMYFUNCTION("""COMPUTED_VALUE"""),46187.0)</f>
        <v>46187</v>
      </c>
      <c r="C5828" s="130">
        <f>IFERROR(__xludf.DUMMYFUNCTION("""COMPUTED_VALUE"""),0.534224537037037)</f>
        <v>0.534224537</v>
      </c>
      <c r="D5828" s="122" t="str">
        <f>IFERROR(__xludf.DUMMYFUNCTION("""COMPUTED_VALUE"""),"RENT")</f>
        <v>RENT</v>
      </c>
      <c r="E5828" s="122" t="str">
        <f>IFERROR(__xludf.DUMMYFUNCTION("""COMPUTED_VALUE"""),"RentRight")</f>
        <v>RentRight</v>
      </c>
      <c r="F5828" s="122" t="str">
        <f>IFERROR(__xludf.DUMMYFUNCTION("""COMPUTED_VALUE"""),"Real Estate")</f>
        <v>Real Estate</v>
      </c>
    </row>
    <row r="5829">
      <c r="A5829" s="131">
        <f>IFERROR(__xludf.DUMMYFUNCTION("""COMPUTED_VALUE"""),46187.534224537034)</f>
        <v>46187.53422</v>
      </c>
      <c r="B5829" s="126">
        <f>IFERROR(__xludf.DUMMYFUNCTION("""COMPUTED_VALUE"""),46187.0)</f>
        <v>46187</v>
      </c>
      <c r="C5829" s="130">
        <f>IFERROR(__xludf.DUMMYFUNCTION("""COMPUTED_VALUE"""),0.534224537037037)</f>
        <v>0.534224537</v>
      </c>
      <c r="D5829" s="122" t="str">
        <f>IFERROR(__xludf.DUMMYFUNCTION("""COMPUTED_VALUE"""),"MALL")</f>
        <v>MALL</v>
      </c>
      <c r="E5829" s="122" t="str">
        <f>IFERROR(__xludf.DUMMYFUNCTION("""COMPUTED_VALUE"""),"MegaMall")</f>
        <v>MegaMall</v>
      </c>
      <c r="F5829" s="122" t="str">
        <f>IFERROR(__xludf.DUMMYFUNCTION("""COMPUTED_VALUE"""),"Real Estate")</f>
        <v>Real Estate</v>
      </c>
    </row>
    <row r="5830">
      <c r="A5830" s="131">
        <f>IFERROR(__xludf.DUMMYFUNCTION("""COMPUTED_VALUE"""),46187.534224537034)</f>
        <v>46187.53422</v>
      </c>
      <c r="B5830" s="126">
        <f>IFERROR(__xludf.DUMMYFUNCTION("""COMPUTED_VALUE"""),46187.0)</f>
        <v>46187</v>
      </c>
      <c r="C5830" s="130">
        <f>IFERROR(__xludf.DUMMYFUNCTION("""COMPUTED_VALUE"""),0.534224537037037)</f>
        <v>0.534224537</v>
      </c>
      <c r="D5830" s="122" t="str">
        <f>IFERROR(__xludf.DUMMYFUNCTION("""COMPUTED_VALUE"""),"HOTL")</f>
        <v>HOTL</v>
      </c>
      <c r="E5830" s="122" t="str">
        <f>IFERROR(__xludf.DUMMYFUNCTION("""COMPUTED_VALUE"""),"HotelHive")</f>
        <v>HotelHive</v>
      </c>
      <c r="F5830" s="122" t="str">
        <f>IFERROR(__xludf.DUMMYFUNCTION("""COMPUTED_VALUE"""),"Real Estate")</f>
        <v>Real Estate</v>
      </c>
    </row>
    <row r="5831">
      <c r="A5831" s="131">
        <f>IFERROR(__xludf.DUMMYFUNCTION("""COMPUTED_VALUE"""),46187.534224537034)</f>
        <v>46187.53422</v>
      </c>
      <c r="B5831" s="126">
        <f>IFERROR(__xludf.DUMMYFUNCTION("""COMPUTED_VALUE"""),46187.0)</f>
        <v>46187</v>
      </c>
      <c r="C5831" s="130">
        <f>IFERROR(__xludf.DUMMYFUNCTION("""COMPUTED_VALUE"""),0.534224537037037)</f>
        <v>0.534224537</v>
      </c>
      <c r="D5831" s="122" t="str">
        <f>IFERROR(__xludf.DUMMYFUNCTION("""COMPUTED_VALUE"""),"LAND")</f>
        <v>LAND</v>
      </c>
      <c r="E5831" s="122" t="str">
        <f>IFERROR(__xludf.DUMMYFUNCTION("""COMPUTED_VALUE"""),"LandLink")</f>
        <v>LandLink</v>
      </c>
      <c r="F5831" s="122" t="str">
        <f>IFERROR(__xludf.DUMMYFUNCTION("""COMPUTED_VALUE"""),"Real Estate")</f>
        <v>Real Estate</v>
      </c>
    </row>
    <row r="5832">
      <c r="A5832" s="131">
        <f>IFERROR(__xludf.DUMMYFUNCTION("""COMPUTED_VALUE"""),46187.534224537034)</f>
        <v>46187.53422</v>
      </c>
      <c r="B5832" s="126">
        <f>IFERROR(__xludf.DUMMYFUNCTION("""COMPUTED_VALUE"""),46187.0)</f>
        <v>46187</v>
      </c>
      <c r="C5832" s="130">
        <f>IFERROR(__xludf.DUMMYFUNCTION("""COMPUTED_VALUE"""),0.534224537037037)</f>
        <v>0.534224537</v>
      </c>
      <c r="D5832" s="122" t="str">
        <f>IFERROR(__xludf.DUMMYFUNCTION("""COMPUTED_VALUE"""),"CARS")</f>
        <v>CARS</v>
      </c>
      <c r="E5832" s="122" t="str">
        <f>IFERROR(__xludf.DUMMYFUNCTION("""COMPUTED_VALUE"""),"AutoArena")</f>
        <v>AutoArena</v>
      </c>
      <c r="F5832" s="122" t="str">
        <f>IFERROR(__xludf.DUMMYFUNCTION("""COMPUTED_VALUE"""),"Automotive")</f>
        <v>Automotive</v>
      </c>
    </row>
    <row r="5833">
      <c r="A5833" s="131">
        <f>IFERROR(__xludf.DUMMYFUNCTION("""COMPUTED_VALUE"""),46187.534224537034)</f>
        <v>46187.53422</v>
      </c>
      <c r="B5833" s="126">
        <f>IFERROR(__xludf.DUMMYFUNCTION("""COMPUTED_VALUE"""),46187.0)</f>
        <v>46187</v>
      </c>
      <c r="C5833" s="130">
        <f>IFERROR(__xludf.DUMMYFUNCTION("""COMPUTED_VALUE"""),0.534224537037037)</f>
        <v>0.534224537</v>
      </c>
      <c r="D5833" s="122" t="str">
        <f>IFERROR(__xludf.DUMMYFUNCTION("""COMPUTED_VALUE"""),"EVGO")</f>
        <v>EVGO</v>
      </c>
      <c r="E5833" s="122" t="str">
        <f>IFERROR(__xludf.DUMMYFUNCTION("""COMPUTED_VALUE"""),"EVGo Motors")</f>
        <v>EVGo Motors</v>
      </c>
      <c r="F5833" s="122" t="str">
        <f>IFERROR(__xludf.DUMMYFUNCTION("""COMPUTED_VALUE"""),"Automotive")</f>
        <v>Automotive</v>
      </c>
    </row>
    <row r="5834">
      <c r="A5834" s="131">
        <f>IFERROR(__xludf.DUMMYFUNCTION("""COMPUTED_VALUE"""),46187.534224537034)</f>
        <v>46187.53422</v>
      </c>
      <c r="B5834" s="126">
        <f>IFERROR(__xludf.DUMMYFUNCTION("""COMPUTED_VALUE"""),46187.0)</f>
        <v>46187</v>
      </c>
      <c r="C5834" s="130">
        <f>IFERROR(__xludf.DUMMYFUNCTION("""COMPUTED_VALUE"""),0.534224537037037)</f>
        <v>0.534224537</v>
      </c>
      <c r="D5834" s="122" t="str">
        <f>IFERROR(__xludf.DUMMYFUNCTION("""COMPUTED_VALUE"""),"TIRE")</f>
        <v>TIRE</v>
      </c>
      <c r="E5834" s="122" t="str">
        <f>IFERROR(__xludf.DUMMYFUNCTION("""COMPUTED_VALUE"""),"TireTown")</f>
        <v>TireTown</v>
      </c>
      <c r="F5834" s="122" t="str">
        <f>IFERROR(__xludf.DUMMYFUNCTION("""COMPUTED_VALUE"""),"Automotive")</f>
        <v>Automotive</v>
      </c>
    </row>
    <row r="5835">
      <c r="A5835" s="131">
        <f>IFERROR(__xludf.DUMMYFUNCTION("""COMPUTED_VALUE"""),46187.534224537034)</f>
        <v>46187.53422</v>
      </c>
      <c r="B5835" s="126">
        <f>IFERROR(__xludf.DUMMYFUNCTION("""COMPUTED_VALUE"""),46187.0)</f>
        <v>46187</v>
      </c>
      <c r="C5835" s="130">
        <f>IFERROR(__xludf.DUMMYFUNCTION("""COMPUTED_VALUE"""),0.534224537037037)</f>
        <v>0.534224537</v>
      </c>
      <c r="D5835" s="122" t="str">
        <f>IFERROR(__xludf.DUMMYFUNCTION("""COMPUTED_VALUE"""),"BIKE")</f>
        <v>BIKE</v>
      </c>
      <c r="E5835" s="122" t="str">
        <f>IFERROR(__xludf.DUMMYFUNCTION("""COMPUTED_VALUE"""),"BikeBox")</f>
        <v>BikeBox</v>
      </c>
      <c r="F5835" s="122" t="str">
        <f>IFERROR(__xludf.DUMMYFUNCTION("""COMPUTED_VALUE"""),"Automotive")</f>
        <v>Automotive</v>
      </c>
    </row>
    <row r="5836">
      <c r="A5836" s="131">
        <f>IFERROR(__xludf.DUMMYFUNCTION("""COMPUTED_VALUE"""),46187.534224537034)</f>
        <v>46187.53422</v>
      </c>
      <c r="B5836" s="126">
        <f>IFERROR(__xludf.DUMMYFUNCTION("""COMPUTED_VALUE"""),46187.0)</f>
        <v>46187</v>
      </c>
      <c r="C5836" s="130">
        <f>IFERROR(__xludf.DUMMYFUNCTION("""COMPUTED_VALUE"""),0.534224537037037)</f>
        <v>0.534224537</v>
      </c>
      <c r="D5836" s="122" t="str">
        <f>IFERROR(__xludf.DUMMYFUNCTION("""COMPUTED_VALUE"""),"WASH")</f>
        <v>WASH</v>
      </c>
      <c r="E5836" s="122" t="str">
        <f>IFERROR(__xludf.DUMMYFUNCTION("""COMPUTED_VALUE"""),"CarWash Co")</f>
        <v>CarWash Co</v>
      </c>
      <c r="F5836" s="122" t="str">
        <f>IFERROR(__xludf.DUMMYFUNCTION("""COMPUTED_VALUE"""),"Automotive")</f>
        <v>Automotive</v>
      </c>
    </row>
    <row r="5837">
      <c r="A5837" s="131">
        <f>IFERROR(__xludf.DUMMYFUNCTION("""COMPUTED_VALUE"""),46187.534224537034)</f>
        <v>46187.53422</v>
      </c>
      <c r="B5837" s="126">
        <f>IFERROR(__xludf.DUMMYFUNCTION("""COMPUTED_VALUE"""),46187.0)</f>
        <v>46187</v>
      </c>
      <c r="C5837" s="130">
        <f>IFERROR(__xludf.DUMMYFUNCTION("""COMPUTED_VALUE"""),0.534224537037037)</f>
        <v>0.534224537</v>
      </c>
      <c r="D5837" s="122" t="str">
        <f>IFERROR(__xludf.DUMMYFUNCTION("""COMPUTED_VALUE"""),"GBND")</f>
        <v>GBND</v>
      </c>
      <c r="E5837" s="122" t="str">
        <f>IFERROR(__xludf.DUMMYFUNCTION("""COMPUTED_VALUE"""),"Classroom Government Bond")</f>
        <v>Classroom Government Bond</v>
      </c>
      <c r="F5837" s="122" t="str">
        <f>IFERROR(__xludf.DUMMYFUNCTION("""COMPUTED_VALUE"""),"Bond")</f>
        <v>Bond</v>
      </c>
    </row>
    <row r="5838">
      <c r="A5838" s="131">
        <f>IFERROR(__xludf.DUMMYFUNCTION("""COMPUTED_VALUE"""),46187.534224537034)</f>
        <v>46187.53422</v>
      </c>
      <c r="B5838" s="126">
        <f>IFERROR(__xludf.DUMMYFUNCTION("""COMPUTED_VALUE"""),46187.0)</f>
        <v>46187</v>
      </c>
      <c r="C5838" s="130">
        <f>IFERROR(__xludf.DUMMYFUNCTION("""COMPUTED_VALUE"""),0.534224537037037)</f>
        <v>0.534224537</v>
      </c>
      <c r="D5838" s="122" t="str">
        <f>IFERROR(__xludf.DUMMYFUNCTION("""COMPUTED_VALUE"""),"SBND")</f>
        <v>SBND</v>
      </c>
      <c r="E5838" s="122" t="str">
        <f>IFERROR(__xludf.DUMMYFUNCTION("""COMPUTED_VALUE"""),"School Savings Bond")</f>
        <v>School Savings Bond</v>
      </c>
      <c r="F5838" s="122" t="str">
        <f>IFERROR(__xludf.DUMMYFUNCTION("""COMPUTED_VALUE"""),"Bond")</f>
        <v>Bond</v>
      </c>
    </row>
    <row r="5839">
      <c r="A5839" s="131">
        <f>IFERROR(__xludf.DUMMYFUNCTION("""COMPUTED_VALUE"""),46187.534224537034)</f>
        <v>46187.53422</v>
      </c>
      <c r="B5839" s="126">
        <f>IFERROR(__xludf.DUMMYFUNCTION("""COMPUTED_VALUE"""),46187.0)</f>
        <v>46187</v>
      </c>
      <c r="C5839" s="130">
        <f>IFERROR(__xludf.DUMMYFUNCTION("""COMPUTED_VALUE"""),0.534224537037037)</f>
        <v>0.534224537</v>
      </c>
      <c r="D5839" s="122" t="str">
        <f>IFERROR(__xludf.DUMMYFUNCTION("""COMPUTED_VALUE"""),"CBND")</f>
        <v>CBND</v>
      </c>
      <c r="E5839" s="122" t="str">
        <f>IFERROR(__xludf.DUMMYFUNCTION("""COMPUTED_VALUE"""),"Corporate Classroom Bond")</f>
        <v>Corporate Classroom Bond</v>
      </c>
      <c r="F5839" s="122" t="str">
        <f>IFERROR(__xludf.DUMMYFUNCTION("""COMPUTED_VALUE"""),"Bond")</f>
        <v>Bond</v>
      </c>
    </row>
    <row r="5840">
      <c r="A5840" s="131">
        <f>IFERROR(__xludf.DUMMYFUNCTION("""COMPUTED_VALUE"""),46187.534224537034)</f>
        <v>46187.53422</v>
      </c>
      <c r="B5840" s="126">
        <f>IFERROR(__xludf.DUMMYFUNCTION("""COMPUTED_VALUE"""),46187.0)</f>
        <v>46187</v>
      </c>
      <c r="C5840" s="130">
        <f>IFERROR(__xludf.DUMMYFUNCTION("""COMPUTED_VALUE"""),0.534224537037037)</f>
        <v>0.534224537</v>
      </c>
      <c r="D5840" s="122" t="str">
        <f>IFERROR(__xludf.DUMMYFUNCTION("""COMPUTED_VALUE"""),"TBIL")</f>
        <v>TBIL</v>
      </c>
      <c r="E5840" s="122" t="str">
        <f>IFERROR(__xludf.DUMMYFUNCTION("""COMPUTED_VALUE"""),"Treasury Bill")</f>
        <v>Treasury Bill</v>
      </c>
      <c r="F5840" s="122" t="str">
        <f>IFERROR(__xludf.DUMMYFUNCTION("""COMPUTED_VALUE"""),"Bond")</f>
        <v>Bond</v>
      </c>
    </row>
    <row r="5841">
      <c r="A5841" s="131">
        <f>IFERROR(__xludf.DUMMYFUNCTION("""COMPUTED_VALUE"""),46187.534224537034)</f>
        <v>46187.53422</v>
      </c>
      <c r="B5841" s="126">
        <f>IFERROR(__xludf.DUMMYFUNCTION("""COMPUTED_VALUE"""),46187.0)</f>
        <v>46187</v>
      </c>
      <c r="C5841" s="130">
        <f>IFERROR(__xludf.DUMMYFUNCTION("""COMPUTED_VALUE"""),0.534224537037037)</f>
        <v>0.534224537</v>
      </c>
      <c r="D5841" s="122" t="str">
        <f>IFERROR(__xludf.DUMMYFUNCTION("""COMPUTED_VALUE"""),"IBND")</f>
        <v>IBND</v>
      </c>
      <c r="E5841" s="122" t="str">
        <f>IFERROR(__xludf.DUMMYFUNCTION("""COMPUTED_VALUE"""),"Inflation Protected Bond")</f>
        <v>Inflation Protected Bond</v>
      </c>
      <c r="F5841" s="122" t="str">
        <f>IFERROR(__xludf.DUMMYFUNCTION("""COMPUTED_VALUE"""),"Bond")</f>
        <v>Bond</v>
      </c>
    </row>
    <row r="5842">
      <c r="A5842" s="131">
        <f>IFERROR(__xludf.DUMMYFUNCTION("""COMPUTED_VALUE"""),46187.53622685185)</f>
        <v>46187.53623</v>
      </c>
      <c r="B5842" s="126">
        <f>IFERROR(__xludf.DUMMYFUNCTION("""COMPUTED_VALUE"""),46187.0)</f>
        <v>46187</v>
      </c>
      <c r="C5842" s="122" t="str">
        <f>IFERROR(__xludf.DUMMYFUNCTION("""COMPUTED_VALUE"""),"SNAX")</f>
        <v>SNAX</v>
      </c>
      <c r="D5842" s="122" t="str">
        <f>IFERROR(__xludf.DUMMYFUNCTION("""COMPUTED_VALUE"""),"MICA Snacks")</f>
        <v>MICA Snacks</v>
      </c>
      <c r="E5842" s="122">
        <f>IFERROR(__xludf.DUMMYFUNCTION("""COMPUTED_VALUE"""),120.3)</f>
        <v>120.3</v>
      </c>
      <c r="F5842" s="122">
        <f>IFERROR(__xludf.DUMMYFUNCTION("""COMPUTED_VALUE"""),0.0019)</f>
        <v>0.0019</v>
      </c>
    </row>
    <row r="5843">
      <c r="A5843" s="131">
        <f>IFERROR(__xludf.DUMMYFUNCTION("""COMPUTED_VALUE"""),46187.53622685185)</f>
        <v>46187.53623</v>
      </c>
      <c r="B5843" s="126">
        <f>IFERROR(__xludf.DUMMYFUNCTION("""COMPUTED_VALUE"""),46187.0)</f>
        <v>46187</v>
      </c>
      <c r="C5843" s="122" t="str">
        <f>IFERROR(__xludf.DUMMYFUNCTION("""COMPUTED_VALUE"""),"RAMN")</f>
        <v>RAMN</v>
      </c>
      <c r="D5843" s="122" t="str">
        <f>IFERROR(__xludf.DUMMYFUNCTION("""COMPUTED_VALUE"""),"Ramen Republic")</f>
        <v>Ramen Republic</v>
      </c>
      <c r="E5843" s="122">
        <f>IFERROR(__xludf.DUMMYFUNCTION("""COMPUTED_VALUE"""),67.5)</f>
        <v>67.5</v>
      </c>
      <c r="F5843" s="122">
        <f>IFERROR(__xludf.DUMMYFUNCTION("""COMPUTED_VALUE"""),-9.0E-4)</f>
        <v>-0.0009</v>
      </c>
    </row>
    <row r="5844">
      <c r="A5844" s="131">
        <f>IFERROR(__xludf.DUMMYFUNCTION("""COMPUTED_VALUE"""),46187.53622685185)</f>
        <v>46187.53623</v>
      </c>
      <c r="B5844" s="126">
        <f>IFERROR(__xludf.DUMMYFUNCTION("""COMPUTED_VALUE"""),46187.0)</f>
        <v>46187</v>
      </c>
      <c r="C5844" s="122" t="str">
        <f>IFERROR(__xludf.DUMMYFUNCTION("""COMPUTED_VALUE"""),"COLA")</f>
        <v>COLA</v>
      </c>
      <c r="D5844" s="122" t="str">
        <f>IFERROR(__xludf.DUMMYFUNCTION("""COMPUTED_VALUE"""),"K-Pop Cola")</f>
        <v>K-Pop Cola</v>
      </c>
      <c r="E5844" s="122">
        <f>IFERROR(__xludf.DUMMYFUNCTION("""COMPUTED_VALUE"""),115.02)</f>
        <v>115.02</v>
      </c>
      <c r="F5844" s="122">
        <f>IFERROR(__xludf.DUMMYFUNCTION("""COMPUTED_VALUE"""),3.0E-4)</f>
        <v>0.0003</v>
      </c>
    </row>
    <row r="5845">
      <c r="A5845" s="131">
        <f>IFERROR(__xludf.DUMMYFUNCTION("""COMPUTED_VALUE"""),46187.53622685185)</f>
        <v>46187.53623</v>
      </c>
      <c r="B5845" s="126">
        <f>IFERROR(__xludf.DUMMYFUNCTION("""COMPUTED_VALUE"""),46187.0)</f>
        <v>46187</v>
      </c>
      <c r="C5845" s="122" t="str">
        <f>IFERROR(__xludf.DUMMYFUNCTION("""COMPUTED_VALUE"""),"CHIP")</f>
        <v>CHIP</v>
      </c>
      <c r="D5845" s="122" t="str">
        <f>IFERROR(__xludf.DUMMYFUNCTION("""COMPUTED_VALUE"""),"Chip Empire")</f>
        <v>Chip Empire</v>
      </c>
      <c r="E5845" s="122">
        <f>IFERROR(__xludf.DUMMYFUNCTION("""COMPUTED_VALUE"""),84.81)</f>
        <v>84.81</v>
      </c>
      <c r="F5845" s="122">
        <f>IFERROR(__xludf.DUMMYFUNCTION("""COMPUTED_VALUE"""),-0.0031)</f>
        <v>-0.0031</v>
      </c>
    </row>
    <row r="5846">
      <c r="A5846" s="131">
        <f>IFERROR(__xludf.DUMMYFUNCTION("""COMPUTED_VALUE"""),46187.53622685185)</f>
        <v>46187.53623</v>
      </c>
      <c r="B5846" s="126">
        <f>IFERROR(__xludf.DUMMYFUNCTION("""COMPUTED_VALUE"""),46187.0)</f>
        <v>46187</v>
      </c>
      <c r="C5846" s="122" t="str">
        <f>IFERROR(__xludf.DUMMYFUNCTION("""COMPUTED_VALUE"""),"CAND")</f>
        <v>CAND</v>
      </c>
      <c r="D5846" s="122" t="str">
        <f>IFERROR(__xludf.DUMMYFUNCTION("""COMPUTED_VALUE"""),"Candy Capital")</f>
        <v>Candy Capital</v>
      </c>
      <c r="E5846" s="122">
        <f>IFERROR(__xludf.DUMMYFUNCTION("""COMPUTED_VALUE"""),77.57)</f>
        <v>77.57</v>
      </c>
      <c r="F5846" s="122">
        <f>IFERROR(__xludf.DUMMYFUNCTION("""COMPUTED_VALUE"""),-0.0077)</f>
        <v>-0.0077</v>
      </c>
    </row>
    <row r="5847">
      <c r="A5847" s="131">
        <f>IFERROR(__xludf.DUMMYFUNCTION("""COMPUTED_VALUE"""),46187.53622685185)</f>
        <v>46187.53623</v>
      </c>
      <c r="B5847" s="126">
        <f>IFERROR(__xludf.DUMMYFUNCTION("""COMPUTED_VALUE"""),46187.0)</f>
        <v>46187</v>
      </c>
      <c r="C5847" s="122" t="str">
        <f>IFERROR(__xludf.DUMMYFUNCTION("""COMPUTED_VALUE"""),"TECH")</f>
        <v>TECH</v>
      </c>
      <c r="D5847" s="122" t="str">
        <f>IFERROR(__xludf.DUMMYFUNCTION("""COMPUTED_VALUE"""),"Dragon Tech")</f>
        <v>Dragon Tech</v>
      </c>
      <c r="E5847" s="122">
        <f>IFERROR(__xludf.DUMMYFUNCTION("""COMPUTED_VALUE"""),242.87)</f>
        <v>242.87</v>
      </c>
      <c r="F5847" s="122">
        <f>IFERROR(__xludf.DUMMYFUNCTION("""COMPUTED_VALUE"""),-0.0039)</f>
        <v>-0.0039</v>
      </c>
    </row>
    <row r="5848">
      <c r="A5848" s="131">
        <f>IFERROR(__xludf.DUMMYFUNCTION("""COMPUTED_VALUE"""),46187.53622685185)</f>
        <v>46187.53623</v>
      </c>
      <c r="B5848" s="126">
        <f>IFERROR(__xludf.DUMMYFUNCTION("""COMPUTED_VALUE"""),46187.0)</f>
        <v>46187</v>
      </c>
      <c r="C5848" s="122" t="str">
        <f>IFERROR(__xludf.DUMMYFUNCTION("""COMPUTED_VALUE"""),"AIBO")</f>
        <v>AIBO</v>
      </c>
      <c r="D5848" s="122" t="str">
        <f>IFERROR(__xludf.DUMMYFUNCTION("""COMPUTED_VALUE"""),"Homework AI")</f>
        <v>Homework AI</v>
      </c>
      <c r="E5848" s="122">
        <f>IFERROR(__xludf.DUMMYFUNCTION("""COMPUTED_VALUE"""),180.63)</f>
        <v>180.63</v>
      </c>
      <c r="F5848" s="122">
        <f>IFERROR(__xludf.DUMMYFUNCTION("""COMPUTED_VALUE"""),-0.0056)</f>
        <v>-0.0056</v>
      </c>
    </row>
    <row r="5849">
      <c r="A5849" s="131">
        <f>IFERROR(__xludf.DUMMYFUNCTION("""COMPUTED_VALUE"""),46187.53622685185)</f>
        <v>46187.53623</v>
      </c>
      <c r="B5849" s="126">
        <f>IFERROR(__xludf.DUMMYFUNCTION("""COMPUTED_VALUE"""),46187.0)</f>
        <v>46187</v>
      </c>
      <c r="C5849" s="122" t="str">
        <f>IFERROR(__xludf.DUMMYFUNCTION("""COMPUTED_VALUE"""),"GAME")</f>
        <v>GAME</v>
      </c>
      <c r="D5849" s="122" t="str">
        <f>IFERROR(__xludf.DUMMYFUNCTION("""COMPUTED_VALUE"""),"GameBox Media")</f>
        <v>GameBox Media</v>
      </c>
      <c r="E5849" s="122">
        <f>IFERROR(__xludf.DUMMYFUNCTION("""COMPUTED_VALUE"""),100.24)</f>
        <v>100.24</v>
      </c>
      <c r="F5849" s="122">
        <f>IFERROR(__xludf.DUMMYFUNCTION("""COMPUTED_VALUE"""),-0.0042)</f>
        <v>-0.0042</v>
      </c>
    </row>
    <row r="5850">
      <c r="A5850" s="131">
        <f>IFERROR(__xludf.DUMMYFUNCTION("""COMPUTED_VALUE"""),46187.53622685185)</f>
        <v>46187.53623</v>
      </c>
      <c r="B5850" s="126">
        <f>IFERROR(__xludf.DUMMYFUNCTION("""COMPUTED_VALUE"""),46187.0)</f>
        <v>46187</v>
      </c>
      <c r="C5850" s="122" t="str">
        <f>IFERROR(__xludf.DUMMYFUNCTION("""COMPUTED_VALUE"""),"VRSE")</f>
        <v>VRSE</v>
      </c>
      <c r="D5850" s="122" t="str">
        <f>IFERROR(__xludf.DUMMYFUNCTION("""COMPUTED_VALUE"""),"VerseVR")</f>
        <v>VerseVR</v>
      </c>
      <c r="E5850" s="122">
        <f>IFERROR(__xludf.DUMMYFUNCTION("""COMPUTED_VALUE"""),148.89)</f>
        <v>148.89</v>
      </c>
      <c r="F5850" s="122">
        <f>IFERROR(__xludf.DUMMYFUNCTION("""COMPUTED_VALUE"""),-0.0065)</f>
        <v>-0.0065</v>
      </c>
    </row>
    <row r="5851">
      <c r="A5851" s="131">
        <f>IFERROR(__xludf.DUMMYFUNCTION("""COMPUTED_VALUE"""),46187.53622685185)</f>
        <v>46187.53623</v>
      </c>
      <c r="B5851" s="126">
        <f>IFERROR(__xludf.DUMMYFUNCTION("""COMPUTED_VALUE"""),46187.0)</f>
        <v>46187</v>
      </c>
      <c r="C5851" s="122" t="str">
        <f>IFERROR(__xludf.DUMMYFUNCTION("""COMPUTED_VALUE"""),"BYTE")</f>
        <v>BYTE</v>
      </c>
      <c r="D5851" s="122" t="str">
        <f>IFERROR(__xludf.DUMMYFUNCTION("""COMPUTED_VALUE"""),"ByteWorks")</f>
        <v>ByteWorks</v>
      </c>
      <c r="E5851" s="122">
        <f>IFERROR(__xludf.DUMMYFUNCTION("""COMPUTED_VALUE"""),113.5)</f>
        <v>113.5</v>
      </c>
      <c r="F5851" s="122">
        <f>IFERROR(__xludf.DUMMYFUNCTION("""COMPUTED_VALUE"""),0.0077)</f>
        <v>0.0077</v>
      </c>
    </row>
    <row r="5852">
      <c r="A5852" s="131">
        <f>IFERROR(__xludf.DUMMYFUNCTION("""COMPUTED_VALUE"""),46187.53622685185)</f>
        <v>46187.53623</v>
      </c>
      <c r="B5852" s="126">
        <f>IFERROR(__xludf.DUMMYFUNCTION("""COMPUTED_VALUE"""),46187.0)</f>
        <v>46187</v>
      </c>
      <c r="C5852" s="122" t="str">
        <f>IFERROR(__xludf.DUMMYFUNCTION("""COMPUTED_VALUE"""),"BANK")</f>
        <v>BANK</v>
      </c>
      <c r="D5852" s="122" t="str">
        <f>IFERROR(__xludf.DUMMYFUNCTION("""COMPUTED_VALUE"""),"Tiger Bank")</f>
        <v>Tiger Bank</v>
      </c>
      <c r="E5852" s="122">
        <f>IFERROR(__xludf.DUMMYFUNCTION("""COMPUTED_VALUE"""),128.88)</f>
        <v>128.88</v>
      </c>
      <c r="F5852" s="122">
        <f>IFERROR(__xludf.DUMMYFUNCTION("""COMPUTED_VALUE"""),-0.0018)</f>
        <v>-0.0018</v>
      </c>
    </row>
    <row r="5853">
      <c r="A5853" s="131">
        <f>IFERROR(__xludf.DUMMYFUNCTION("""COMPUTED_VALUE"""),46187.53622685185)</f>
        <v>46187.53623</v>
      </c>
      <c r="B5853" s="126">
        <f>IFERROR(__xludf.DUMMYFUNCTION("""COMPUTED_VALUE"""),46187.0)</f>
        <v>46187</v>
      </c>
      <c r="C5853" s="122" t="str">
        <f>IFERROR(__xludf.DUMMYFUNCTION("""COMPUTED_VALUE"""),"CRED")</f>
        <v>CRED</v>
      </c>
      <c r="D5853" s="122" t="str">
        <f>IFERROR(__xludf.DUMMYFUNCTION("""COMPUTED_VALUE"""),"Credit Castle")</f>
        <v>Credit Castle</v>
      </c>
      <c r="E5853" s="122">
        <f>IFERROR(__xludf.DUMMYFUNCTION("""COMPUTED_VALUE"""),66.85)</f>
        <v>66.85</v>
      </c>
      <c r="F5853" s="122">
        <f>IFERROR(__xludf.DUMMYFUNCTION("""COMPUTED_VALUE"""),0.001)</f>
        <v>0.001</v>
      </c>
    </row>
    <row r="5854">
      <c r="A5854" s="131">
        <f>IFERROR(__xludf.DUMMYFUNCTION("""COMPUTED_VALUE"""),46187.53622685185)</f>
        <v>46187.53623</v>
      </c>
      <c r="B5854" s="126">
        <f>IFERROR(__xludf.DUMMYFUNCTION("""COMPUTED_VALUE"""),46187.0)</f>
        <v>46187</v>
      </c>
      <c r="C5854" s="122" t="str">
        <f>IFERROR(__xludf.DUMMYFUNCTION("""COMPUTED_VALUE"""),"BOND")</f>
        <v>BOND</v>
      </c>
      <c r="D5854" s="122" t="str">
        <f>IFERROR(__xludf.DUMMYFUNCTION("""COMPUTED_VALUE"""),"BondBridge")</f>
        <v>BondBridge</v>
      </c>
      <c r="E5854" s="122">
        <f>IFERROR(__xludf.DUMMYFUNCTION("""COMPUTED_VALUE"""),101.07)</f>
        <v>101.07</v>
      </c>
      <c r="F5854" s="122">
        <f>IFERROR(__xludf.DUMMYFUNCTION("""COMPUTED_VALUE"""),8.0E-4)</f>
        <v>0.0008</v>
      </c>
    </row>
    <row r="5855">
      <c r="A5855" s="131">
        <f>IFERROR(__xludf.DUMMYFUNCTION("""COMPUTED_VALUE"""),46187.53622685185)</f>
        <v>46187.53623</v>
      </c>
      <c r="B5855" s="126">
        <f>IFERROR(__xludf.DUMMYFUNCTION("""COMPUTED_VALUE"""),46187.0)</f>
        <v>46187</v>
      </c>
      <c r="C5855" s="122" t="str">
        <f>IFERROR(__xludf.DUMMYFUNCTION("""COMPUTED_VALUE"""),"INSR")</f>
        <v>INSR</v>
      </c>
      <c r="D5855" s="122" t="str">
        <f>IFERROR(__xludf.DUMMYFUNCTION("""COMPUTED_VALUE"""),"Shield Insurance")</f>
        <v>Shield Insurance</v>
      </c>
      <c r="E5855" s="122">
        <f>IFERROR(__xludf.DUMMYFUNCTION("""COMPUTED_VALUE"""),159.7)</f>
        <v>159.7</v>
      </c>
      <c r="F5855" s="122">
        <f>IFERROR(__xludf.DUMMYFUNCTION("""COMPUTED_VALUE"""),-0.0011)</f>
        <v>-0.0011</v>
      </c>
    </row>
    <row r="5856">
      <c r="A5856" s="131">
        <f>IFERROR(__xludf.DUMMYFUNCTION("""COMPUTED_VALUE"""),46187.53622685185)</f>
        <v>46187.53623</v>
      </c>
      <c r="B5856" s="126">
        <f>IFERROR(__xludf.DUMMYFUNCTION("""COMPUTED_VALUE"""),46187.0)</f>
        <v>46187</v>
      </c>
      <c r="C5856" s="122" t="str">
        <f>IFERROR(__xludf.DUMMYFUNCTION("""COMPUTED_VALUE"""),"LOAN")</f>
        <v>LOAN</v>
      </c>
      <c r="D5856" s="122" t="str">
        <f>IFERROR(__xludf.DUMMYFUNCTION("""COMPUTED_VALUE"""),"LoanLab")</f>
        <v>LoanLab</v>
      </c>
      <c r="E5856" s="122">
        <f>IFERROR(__xludf.DUMMYFUNCTION("""COMPUTED_VALUE"""),65.93)</f>
        <v>65.93</v>
      </c>
      <c r="F5856" s="122">
        <f>IFERROR(__xludf.DUMMYFUNCTION("""COMPUTED_VALUE"""),0.0035)</f>
        <v>0.0035</v>
      </c>
    </row>
    <row r="5857">
      <c r="A5857" s="131">
        <f>IFERROR(__xludf.DUMMYFUNCTION("""COMPUTED_VALUE"""),46187.53622685185)</f>
        <v>46187.53623</v>
      </c>
      <c r="B5857" s="126">
        <f>IFERROR(__xludf.DUMMYFUNCTION("""COMPUTED_VALUE"""),46187.0)</f>
        <v>46187</v>
      </c>
      <c r="C5857" s="122" t="str">
        <f>IFERROR(__xludf.DUMMYFUNCTION("""COMPUTED_VALUE"""),"LUXE")</f>
        <v>LUXE</v>
      </c>
      <c r="D5857" s="122" t="str">
        <f>IFERROR(__xludf.DUMMYFUNCTION("""COMPUTED_VALUE"""),"Luxury Locker")</f>
        <v>Luxury Locker</v>
      </c>
      <c r="E5857" s="122">
        <f>IFERROR(__xludf.DUMMYFUNCTION("""COMPUTED_VALUE"""),269.73)</f>
        <v>269.73</v>
      </c>
      <c r="F5857" s="122">
        <f>IFERROR(__xludf.DUMMYFUNCTION("""COMPUTED_VALUE"""),0.0054)</f>
        <v>0.0054</v>
      </c>
    </row>
    <row r="5858">
      <c r="A5858" s="131">
        <f>IFERROR(__xludf.DUMMYFUNCTION("""COMPUTED_VALUE"""),46187.53622685185)</f>
        <v>46187.53623</v>
      </c>
      <c r="B5858" s="126">
        <f>IFERROR(__xludf.DUMMYFUNCTION("""COMPUTED_VALUE"""),46187.0)</f>
        <v>46187</v>
      </c>
      <c r="C5858" s="122" t="str">
        <f>IFERROR(__xludf.DUMMYFUNCTION("""COMPUTED_VALUE"""),"DRIP")</f>
        <v>DRIP</v>
      </c>
      <c r="D5858" s="122" t="str">
        <f>IFERROR(__xludf.DUMMYFUNCTION("""COMPUTED_VALUE"""),"Drip Streetwear")</f>
        <v>Drip Streetwear</v>
      </c>
      <c r="E5858" s="122">
        <f>IFERROR(__xludf.DUMMYFUNCTION("""COMPUTED_VALUE"""),196.59)</f>
        <v>196.59</v>
      </c>
      <c r="F5858" s="122">
        <f>IFERROR(__xludf.DUMMYFUNCTION("""COMPUTED_VALUE"""),-0.0088)</f>
        <v>-0.0088</v>
      </c>
    </row>
    <row r="5859">
      <c r="A5859" s="131">
        <f>IFERROR(__xludf.DUMMYFUNCTION("""COMPUTED_VALUE"""),46187.53622685185)</f>
        <v>46187.53623</v>
      </c>
      <c r="B5859" s="126">
        <f>IFERROR(__xludf.DUMMYFUNCTION("""COMPUTED_VALUE"""),46187.0)</f>
        <v>46187</v>
      </c>
      <c r="C5859" s="122" t="str">
        <f>IFERROR(__xludf.DUMMYFUNCTION("""COMPUTED_VALUE"""),"KICK")</f>
        <v>KICK</v>
      </c>
      <c r="D5859" s="122" t="str">
        <f>IFERROR(__xludf.DUMMYFUNCTION("""COMPUTED_VALUE"""),"KickDrop Sneakers")</f>
        <v>KickDrop Sneakers</v>
      </c>
      <c r="E5859" s="122">
        <f>IFERROR(__xludf.DUMMYFUNCTION("""COMPUTED_VALUE"""),168.92)</f>
        <v>168.92</v>
      </c>
      <c r="F5859" s="122">
        <f>IFERROR(__xludf.DUMMYFUNCTION("""COMPUTED_VALUE"""),-0.0081)</f>
        <v>-0.0081</v>
      </c>
    </row>
    <row r="5860">
      <c r="A5860" s="131">
        <f>IFERROR(__xludf.DUMMYFUNCTION("""COMPUTED_VALUE"""),46187.53622685185)</f>
        <v>46187.53623</v>
      </c>
      <c r="B5860" s="126">
        <f>IFERROR(__xludf.DUMMYFUNCTION("""COMPUTED_VALUE"""),46187.0)</f>
        <v>46187</v>
      </c>
      <c r="C5860" s="122" t="str">
        <f>IFERROR(__xludf.DUMMYFUNCTION("""COMPUTED_VALUE"""),"GLAM")</f>
        <v>GLAM</v>
      </c>
      <c r="D5860" s="122" t="str">
        <f>IFERROR(__xludf.DUMMYFUNCTION("""COMPUTED_VALUE"""),"Glow Cosmetics")</f>
        <v>Glow Cosmetics</v>
      </c>
      <c r="E5860" s="122">
        <f>IFERROR(__xludf.DUMMYFUNCTION("""COMPUTED_VALUE"""),107.95)</f>
        <v>107.95</v>
      </c>
      <c r="F5860" s="122">
        <f>IFERROR(__xludf.DUMMYFUNCTION("""COMPUTED_VALUE"""),0.0048)</f>
        <v>0.0048</v>
      </c>
    </row>
    <row r="5861">
      <c r="A5861" s="131">
        <f>IFERROR(__xludf.DUMMYFUNCTION("""COMPUTED_VALUE"""),46187.53622685185)</f>
        <v>46187.53623</v>
      </c>
      <c r="B5861" s="126">
        <f>IFERROR(__xludf.DUMMYFUNCTION("""COMPUTED_VALUE"""),46187.0)</f>
        <v>46187</v>
      </c>
      <c r="C5861" s="122" t="str">
        <f>IFERROR(__xludf.DUMMYFUNCTION("""COMPUTED_VALUE"""),"BAGG")</f>
        <v>BAGG</v>
      </c>
      <c r="D5861" s="122" t="str">
        <f>IFERROR(__xludf.DUMMYFUNCTION("""COMPUTED_VALUE"""),"BagVault")</f>
        <v>BagVault</v>
      </c>
      <c r="E5861" s="122">
        <f>IFERROR(__xludf.DUMMYFUNCTION("""COMPUTED_VALUE"""),257.45)</f>
        <v>257.45</v>
      </c>
      <c r="F5861" s="122">
        <f>IFERROR(__xludf.DUMMYFUNCTION("""COMPUTED_VALUE"""),0.0092)</f>
        <v>0.0092</v>
      </c>
    </row>
    <row r="5862">
      <c r="A5862" s="131">
        <f>IFERROR(__xludf.DUMMYFUNCTION("""COMPUTED_VALUE"""),46187.53622685185)</f>
        <v>46187.53623</v>
      </c>
      <c r="B5862" s="126">
        <f>IFERROR(__xludf.DUMMYFUNCTION("""COMPUTED_VALUE"""),46187.0)</f>
        <v>46187</v>
      </c>
      <c r="C5862" s="122" t="str">
        <f>IFERROR(__xludf.DUMMYFUNCTION("""COMPUTED_VALUE"""),"FAST")</f>
        <v>FAST</v>
      </c>
      <c r="D5862" s="122" t="str">
        <f>IFERROR(__xludf.DUMMYFUNCTION("""COMPUTED_VALUE"""),"Flash Logistics")</f>
        <v>Flash Logistics</v>
      </c>
      <c r="E5862" s="122">
        <f>IFERROR(__xludf.DUMMYFUNCTION("""COMPUTED_VALUE"""),105.21)</f>
        <v>105.21</v>
      </c>
      <c r="F5862" s="122">
        <f>IFERROR(__xludf.DUMMYFUNCTION("""COMPUTED_VALUE"""),0.0019)</f>
        <v>0.0019</v>
      </c>
    </row>
    <row r="5863">
      <c r="A5863" s="131">
        <f>IFERROR(__xludf.DUMMYFUNCTION("""COMPUTED_VALUE"""),46187.53622685185)</f>
        <v>46187.53623</v>
      </c>
      <c r="B5863" s="126">
        <f>IFERROR(__xludf.DUMMYFUNCTION("""COMPUTED_VALUE"""),46187.0)</f>
        <v>46187</v>
      </c>
      <c r="C5863" s="122" t="str">
        <f>IFERROR(__xludf.DUMMYFUNCTION("""COMPUTED_VALUE"""),"SHIP")</f>
        <v>SHIP</v>
      </c>
      <c r="D5863" s="122" t="str">
        <f>IFERROR(__xludf.DUMMYFUNCTION("""COMPUTED_VALUE"""),"Seoul Shipping")</f>
        <v>Seoul Shipping</v>
      </c>
      <c r="E5863" s="122">
        <f>IFERROR(__xludf.DUMMYFUNCTION("""COMPUTED_VALUE"""),127.74)</f>
        <v>127.74</v>
      </c>
      <c r="F5863" s="122">
        <f>IFERROR(__xludf.DUMMYFUNCTION("""COMPUTED_VALUE"""),-0.0041)</f>
        <v>-0.0041</v>
      </c>
    </row>
    <row r="5864">
      <c r="A5864" s="131">
        <f>IFERROR(__xludf.DUMMYFUNCTION("""COMPUTED_VALUE"""),46187.53622685185)</f>
        <v>46187.53623</v>
      </c>
      <c r="B5864" s="126">
        <f>IFERROR(__xludf.DUMMYFUNCTION("""COMPUTED_VALUE"""),46187.0)</f>
        <v>46187</v>
      </c>
      <c r="C5864" s="122" t="str">
        <f>IFERROR(__xludf.DUMMYFUNCTION("""COMPUTED_VALUE"""),"DRON")</f>
        <v>DRON</v>
      </c>
      <c r="D5864" s="122" t="str">
        <f>IFERROR(__xludf.DUMMYFUNCTION("""COMPUTED_VALUE"""),"DroneDrop")</f>
        <v>DroneDrop</v>
      </c>
      <c r="E5864" s="122">
        <f>IFERROR(__xludf.DUMMYFUNCTION("""COMPUTED_VALUE"""),127.83)</f>
        <v>127.83</v>
      </c>
      <c r="F5864" s="122">
        <f>IFERROR(__xludf.DUMMYFUNCTION("""COMPUTED_VALUE"""),1.0E-4)</f>
        <v>0.0001</v>
      </c>
    </row>
    <row r="5865">
      <c r="A5865" s="131">
        <f>IFERROR(__xludf.DUMMYFUNCTION("""COMPUTED_VALUE"""),46187.53622685185)</f>
        <v>46187.53623</v>
      </c>
      <c r="B5865" s="126">
        <f>IFERROR(__xludf.DUMMYFUNCTION("""COMPUTED_VALUE"""),46187.0)</f>
        <v>46187</v>
      </c>
      <c r="C5865" s="122" t="str">
        <f>IFERROR(__xludf.DUMMYFUNCTION("""COMPUTED_VALUE"""),"RIDE")</f>
        <v>RIDE</v>
      </c>
      <c r="D5865" s="122" t="str">
        <f>IFERROR(__xludf.DUMMYFUNCTION("""COMPUTED_VALUE"""),"QuickRide")</f>
        <v>QuickRide</v>
      </c>
      <c r="E5865" s="122">
        <f>IFERROR(__xludf.DUMMYFUNCTION("""COMPUTED_VALUE"""),99.96)</f>
        <v>99.96</v>
      </c>
      <c r="F5865" s="122">
        <f>IFERROR(__xludf.DUMMYFUNCTION("""COMPUTED_VALUE"""),0.0112)</f>
        <v>0.0112</v>
      </c>
    </row>
    <row r="5866">
      <c r="A5866" s="131">
        <f>IFERROR(__xludf.DUMMYFUNCTION("""COMPUTED_VALUE"""),46187.53622685185)</f>
        <v>46187.53623</v>
      </c>
      <c r="B5866" s="126">
        <f>IFERROR(__xludf.DUMMYFUNCTION("""COMPUTED_VALUE"""),46187.0)</f>
        <v>46187</v>
      </c>
      <c r="C5866" s="122" t="str">
        <f>IFERROR(__xludf.DUMMYFUNCTION("""COMPUTED_VALUE"""),"RAIL")</f>
        <v>RAIL</v>
      </c>
      <c r="D5866" s="122" t="str">
        <f>IFERROR(__xludf.DUMMYFUNCTION("""COMPUTED_VALUE"""),"MetroRail Corp")</f>
        <v>MetroRail Corp</v>
      </c>
      <c r="E5866" s="122">
        <f>IFERROR(__xludf.DUMMYFUNCTION("""COMPUTED_VALUE"""),132.65)</f>
        <v>132.65</v>
      </c>
      <c r="F5866" s="122">
        <f>IFERROR(__xludf.DUMMYFUNCTION("""COMPUTED_VALUE"""),-2.0E-4)</f>
        <v>-0.0002</v>
      </c>
    </row>
    <row r="5867">
      <c r="A5867" s="131">
        <f>IFERROR(__xludf.DUMMYFUNCTION("""COMPUTED_VALUE"""),46187.53622685185)</f>
        <v>46187.53623</v>
      </c>
      <c r="B5867" s="126">
        <f>IFERROR(__xludf.DUMMYFUNCTION("""COMPUTED_VALUE"""),46187.0)</f>
        <v>46187</v>
      </c>
      <c r="C5867" s="122" t="str">
        <f>IFERROR(__xludf.DUMMYFUNCTION("""COMPUTED_VALUE"""),"MEDX")</f>
        <v>MEDX</v>
      </c>
      <c r="D5867" s="122" t="str">
        <f>IFERROR(__xludf.DUMMYFUNCTION("""COMPUTED_VALUE"""),"MediCore")</f>
        <v>MediCore</v>
      </c>
      <c r="E5867" s="122">
        <f>IFERROR(__xludf.DUMMYFUNCTION("""COMPUTED_VALUE"""),137.93)</f>
        <v>137.93</v>
      </c>
      <c r="F5867" s="122">
        <f>IFERROR(__xludf.DUMMYFUNCTION("""COMPUTED_VALUE"""),-0.0023)</f>
        <v>-0.0023</v>
      </c>
    </row>
    <row r="5868">
      <c r="A5868" s="131">
        <f>IFERROR(__xludf.DUMMYFUNCTION("""COMPUTED_VALUE"""),46187.53622685185)</f>
        <v>46187.53623</v>
      </c>
      <c r="B5868" s="126">
        <f>IFERROR(__xludf.DUMMYFUNCTION("""COMPUTED_VALUE"""),46187.0)</f>
        <v>46187</v>
      </c>
      <c r="C5868" s="122" t="str">
        <f>IFERROR(__xludf.DUMMYFUNCTION("""COMPUTED_VALUE"""),"GYMX")</f>
        <v>GYMX</v>
      </c>
      <c r="D5868" s="122" t="str">
        <f>IFERROR(__xludf.DUMMYFUNCTION("""COMPUTED_VALUE"""),"GymX Fitness")</f>
        <v>GymX Fitness</v>
      </c>
      <c r="E5868" s="122">
        <f>IFERROR(__xludf.DUMMYFUNCTION("""COMPUTED_VALUE"""),86.08)</f>
        <v>86.08</v>
      </c>
      <c r="F5868" s="122">
        <f>IFERROR(__xludf.DUMMYFUNCTION("""COMPUTED_VALUE"""),9.0E-4)</f>
        <v>0.0009</v>
      </c>
    </row>
    <row r="5869">
      <c r="A5869" s="131">
        <f>IFERROR(__xludf.DUMMYFUNCTION("""COMPUTED_VALUE"""),46187.53622685185)</f>
        <v>46187.53623</v>
      </c>
      <c r="B5869" s="126">
        <f>IFERROR(__xludf.DUMMYFUNCTION("""COMPUTED_VALUE"""),46187.0)</f>
        <v>46187</v>
      </c>
      <c r="C5869" s="122" t="str">
        <f>IFERROR(__xludf.DUMMYFUNCTION("""COMPUTED_VALUE"""),"VITA")</f>
        <v>VITA</v>
      </c>
      <c r="D5869" s="122" t="str">
        <f>IFERROR(__xludf.DUMMYFUNCTION("""COMPUTED_VALUE"""),"VitaPlus")</f>
        <v>VitaPlus</v>
      </c>
      <c r="E5869" s="122">
        <f>IFERROR(__xludf.DUMMYFUNCTION("""COMPUTED_VALUE"""),71.94)</f>
        <v>71.94</v>
      </c>
      <c r="F5869" s="122">
        <f>IFERROR(__xludf.DUMMYFUNCTION("""COMPUTED_VALUE"""),-0.0037)</f>
        <v>-0.0037</v>
      </c>
    </row>
    <row r="5870">
      <c r="A5870" s="131">
        <f>IFERROR(__xludf.DUMMYFUNCTION("""COMPUTED_VALUE"""),46187.53622685185)</f>
        <v>46187.53623</v>
      </c>
      <c r="B5870" s="126">
        <f>IFERROR(__xludf.DUMMYFUNCTION("""COMPUTED_VALUE"""),46187.0)</f>
        <v>46187</v>
      </c>
      <c r="C5870" s="122" t="str">
        <f>IFERROR(__xludf.DUMMYFUNCTION("""COMPUTED_VALUE"""),"CARE")</f>
        <v>CARE</v>
      </c>
      <c r="D5870" s="122" t="str">
        <f>IFERROR(__xludf.DUMMYFUNCTION("""COMPUTED_VALUE"""),"CareCloud")</f>
        <v>CareCloud</v>
      </c>
      <c r="E5870" s="122">
        <f>IFERROR(__xludf.DUMMYFUNCTION("""COMPUTED_VALUE"""),180.19)</f>
        <v>180.19</v>
      </c>
      <c r="F5870" s="122">
        <f>IFERROR(__xludf.DUMMYFUNCTION("""COMPUTED_VALUE"""),0.0024)</f>
        <v>0.0024</v>
      </c>
    </row>
    <row r="5871">
      <c r="A5871" s="131">
        <f>IFERROR(__xludf.DUMMYFUNCTION("""COMPUTED_VALUE"""),46187.53622685185)</f>
        <v>46187.53623</v>
      </c>
      <c r="B5871" s="126">
        <f>IFERROR(__xludf.DUMMYFUNCTION("""COMPUTED_VALUE"""),46187.0)</f>
        <v>46187</v>
      </c>
      <c r="C5871" s="122" t="str">
        <f>IFERROR(__xludf.DUMMYFUNCTION("""COMPUTED_VALUE"""),"DENT")</f>
        <v>DENT</v>
      </c>
      <c r="D5871" s="122" t="str">
        <f>IFERROR(__xludf.DUMMYFUNCTION("""COMPUTED_VALUE"""),"SmileWorks")</f>
        <v>SmileWorks</v>
      </c>
      <c r="E5871" s="122">
        <f>IFERROR(__xludf.DUMMYFUNCTION("""COMPUTED_VALUE"""),90.89)</f>
        <v>90.89</v>
      </c>
      <c r="F5871" s="122">
        <f>IFERROR(__xludf.DUMMYFUNCTION("""COMPUTED_VALUE"""),0.0042)</f>
        <v>0.0042</v>
      </c>
    </row>
    <row r="5872">
      <c r="A5872" s="131">
        <f>IFERROR(__xludf.DUMMYFUNCTION("""COMPUTED_VALUE"""),46187.53622685185)</f>
        <v>46187.53623</v>
      </c>
      <c r="B5872" s="126">
        <f>IFERROR(__xludf.DUMMYFUNCTION("""COMPUTED_VALUE"""),46187.0)</f>
        <v>46187</v>
      </c>
      <c r="C5872" s="122" t="str">
        <f>IFERROR(__xludf.DUMMYFUNCTION("""COMPUTED_VALUE"""),"EDUX")</f>
        <v>EDUX</v>
      </c>
      <c r="D5872" s="122" t="str">
        <f>IFERROR(__xludf.DUMMYFUNCTION("""COMPUTED_VALUE"""),"EduMax Learning")</f>
        <v>EduMax Learning</v>
      </c>
      <c r="E5872" s="122">
        <f>IFERROR(__xludf.DUMMYFUNCTION("""COMPUTED_VALUE"""),142.45)</f>
        <v>142.45</v>
      </c>
      <c r="F5872" s="122">
        <f>IFERROR(__xludf.DUMMYFUNCTION("""COMPUTED_VALUE"""),1.0E-4)</f>
        <v>0.0001</v>
      </c>
    </row>
    <row r="5873">
      <c r="A5873" s="131">
        <f>IFERROR(__xludf.DUMMYFUNCTION("""COMPUTED_VALUE"""),46187.53622685185)</f>
        <v>46187.53623</v>
      </c>
      <c r="B5873" s="126">
        <f>IFERROR(__xludf.DUMMYFUNCTION("""COMPUTED_VALUE"""),46187.0)</f>
        <v>46187</v>
      </c>
      <c r="C5873" s="122" t="str">
        <f>IFERROR(__xludf.DUMMYFUNCTION("""COMPUTED_VALUE"""),"BOOK")</f>
        <v>BOOK</v>
      </c>
      <c r="D5873" s="122" t="str">
        <f>IFERROR(__xludf.DUMMYFUNCTION("""COMPUTED_VALUE"""),"BookBridge")</f>
        <v>BookBridge</v>
      </c>
      <c r="E5873" s="122">
        <f>IFERROR(__xludf.DUMMYFUNCTION("""COMPUTED_VALUE"""),118.16)</f>
        <v>118.16</v>
      </c>
      <c r="F5873" s="122">
        <f>IFERROR(__xludf.DUMMYFUNCTION("""COMPUTED_VALUE"""),-0.002)</f>
        <v>-0.002</v>
      </c>
    </row>
    <row r="5874">
      <c r="A5874" s="131">
        <f>IFERROR(__xludf.DUMMYFUNCTION("""COMPUTED_VALUE"""),46187.53622685185)</f>
        <v>46187.53623</v>
      </c>
      <c r="B5874" s="126">
        <f>IFERROR(__xludf.DUMMYFUNCTION("""COMPUTED_VALUE"""),46187.0)</f>
        <v>46187</v>
      </c>
      <c r="C5874" s="122" t="str">
        <f>IFERROR(__xludf.DUMMYFUNCTION("""COMPUTED_VALUE"""),"TUTR")</f>
        <v>TUTR</v>
      </c>
      <c r="D5874" s="122" t="str">
        <f>IFERROR(__xludf.DUMMYFUNCTION("""COMPUTED_VALUE"""),"TutorTown")</f>
        <v>TutorTown</v>
      </c>
      <c r="E5874" s="122">
        <f>IFERROR(__xludf.DUMMYFUNCTION("""COMPUTED_VALUE"""),90.15)</f>
        <v>90.15</v>
      </c>
      <c r="F5874" s="122">
        <f>IFERROR(__xludf.DUMMYFUNCTION("""COMPUTED_VALUE"""),-0.005)</f>
        <v>-0.005</v>
      </c>
    </row>
    <row r="5875">
      <c r="A5875" s="131">
        <f>IFERROR(__xludf.DUMMYFUNCTION("""COMPUTED_VALUE"""),46187.53622685185)</f>
        <v>46187.53623</v>
      </c>
      <c r="B5875" s="126">
        <f>IFERROR(__xludf.DUMMYFUNCTION("""COMPUTED_VALUE"""),46187.0)</f>
        <v>46187</v>
      </c>
      <c r="C5875" s="122" t="str">
        <f>IFERROR(__xludf.DUMMYFUNCTION("""COMPUTED_VALUE"""),"LANG")</f>
        <v>LANG</v>
      </c>
      <c r="D5875" s="122" t="str">
        <f>IFERROR(__xludf.DUMMYFUNCTION("""COMPUTED_VALUE"""),"LinguaLab")</f>
        <v>LinguaLab</v>
      </c>
      <c r="E5875" s="122">
        <f>IFERROR(__xludf.DUMMYFUNCTION("""COMPUTED_VALUE"""),100.51)</f>
        <v>100.51</v>
      </c>
      <c r="F5875" s="122">
        <f>IFERROR(__xludf.DUMMYFUNCTION("""COMPUTED_VALUE"""),8.0E-4)</f>
        <v>0.0008</v>
      </c>
    </row>
    <row r="5876">
      <c r="A5876" s="131">
        <f>IFERROR(__xludf.DUMMYFUNCTION("""COMPUTED_VALUE"""),46187.53622685185)</f>
        <v>46187.53623</v>
      </c>
      <c r="B5876" s="126">
        <f>IFERROR(__xludf.DUMMYFUNCTION("""COMPUTED_VALUE"""),46187.0)</f>
        <v>46187</v>
      </c>
      <c r="C5876" s="122" t="str">
        <f>IFERROR(__xludf.DUMMYFUNCTION("""COMPUTED_VALUE"""),"TEST")</f>
        <v>TEST</v>
      </c>
      <c r="D5876" s="122" t="str">
        <f>IFERROR(__xludf.DUMMYFUNCTION("""COMPUTED_VALUE"""),"TestPrep Pro")</f>
        <v>TestPrep Pro</v>
      </c>
      <c r="E5876" s="122">
        <f>IFERROR(__xludf.DUMMYFUNCTION("""COMPUTED_VALUE"""),93.51)</f>
        <v>93.51</v>
      </c>
      <c r="F5876" s="122">
        <f>IFERROR(__xludf.DUMMYFUNCTION("""COMPUTED_VALUE"""),-0.0092)</f>
        <v>-0.0092</v>
      </c>
    </row>
    <row r="5877">
      <c r="A5877" s="131">
        <f>IFERROR(__xludf.DUMMYFUNCTION("""COMPUTED_VALUE"""),46187.53622685185)</f>
        <v>46187.53623</v>
      </c>
      <c r="B5877" s="126">
        <f>IFERROR(__xludf.DUMMYFUNCTION("""COMPUTED_VALUE"""),46187.0)</f>
        <v>46187</v>
      </c>
      <c r="C5877" s="122" t="str">
        <f>IFERROR(__xludf.DUMMYFUNCTION("""COMPUTED_VALUE"""),"MOVI")</f>
        <v>MOVI</v>
      </c>
      <c r="D5877" s="122" t="str">
        <f>IFERROR(__xludf.DUMMYFUNCTION("""COMPUTED_VALUE"""),"MovieBox")</f>
        <v>MovieBox</v>
      </c>
      <c r="E5877" s="122">
        <f>IFERROR(__xludf.DUMMYFUNCTION("""COMPUTED_VALUE"""),81.67)</f>
        <v>81.67</v>
      </c>
      <c r="F5877" s="122">
        <f>IFERROR(__xludf.DUMMYFUNCTION("""COMPUTED_VALUE"""),0.0068)</f>
        <v>0.0068</v>
      </c>
    </row>
    <row r="5878">
      <c r="A5878" s="131">
        <f>IFERROR(__xludf.DUMMYFUNCTION("""COMPUTED_VALUE"""),46187.53622685185)</f>
        <v>46187.53623</v>
      </c>
      <c r="B5878" s="126">
        <f>IFERROR(__xludf.DUMMYFUNCTION("""COMPUTED_VALUE"""),46187.0)</f>
        <v>46187</v>
      </c>
      <c r="C5878" s="122" t="str">
        <f>IFERROR(__xludf.DUMMYFUNCTION("""COMPUTED_VALUE"""),"MUSC")</f>
        <v>MUSC</v>
      </c>
      <c r="D5878" s="122" t="str">
        <f>IFERROR(__xludf.DUMMYFUNCTION("""COMPUTED_VALUE"""),"MusicWave")</f>
        <v>MusicWave</v>
      </c>
      <c r="E5878" s="122">
        <f>IFERROR(__xludf.DUMMYFUNCTION("""COMPUTED_VALUE"""),101.05)</f>
        <v>101.05</v>
      </c>
      <c r="F5878" s="122">
        <f>IFERROR(__xludf.DUMMYFUNCTION("""COMPUTED_VALUE"""),0.0022)</f>
        <v>0.0022</v>
      </c>
    </row>
    <row r="5879">
      <c r="A5879" s="131">
        <f>IFERROR(__xludf.DUMMYFUNCTION("""COMPUTED_VALUE"""),46187.53622685185)</f>
        <v>46187.53623</v>
      </c>
      <c r="B5879" s="126">
        <f>IFERROR(__xludf.DUMMYFUNCTION("""COMPUTED_VALUE"""),46187.0)</f>
        <v>46187</v>
      </c>
      <c r="C5879" s="122" t="str">
        <f>IFERROR(__xludf.DUMMYFUNCTION("""COMPUTED_VALUE"""),"IDOL")</f>
        <v>IDOL</v>
      </c>
      <c r="D5879" s="122" t="str">
        <f>IFERROR(__xludf.DUMMYFUNCTION("""COMPUTED_VALUE"""),"Idol Agency")</f>
        <v>Idol Agency</v>
      </c>
      <c r="E5879" s="122">
        <f>IFERROR(__xludf.DUMMYFUNCTION("""COMPUTED_VALUE"""),189.29)</f>
        <v>189.29</v>
      </c>
      <c r="F5879" s="122">
        <f>IFERROR(__xludf.DUMMYFUNCTION("""COMPUTED_VALUE"""),-0.0085)</f>
        <v>-0.0085</v>
      </c>
    </row>
    <row r="5880">
      <c r="A5880" s="131">
        <f>IFERROR(__xludf.DUMMYFUNCTION("""COMPUTED_VALUE"""),46187.53622685185)</f>
        <v>46187.53623</v>
      </c>
      <c r="B5880" s="126">
        <f>IFERROR(__xludf.DUMMYFUNCTION("""COMPUTED_VALUE"""),46187.0)</f>
        <v>46187</v>
      </c>
      <c r="C5880" s="122" t="str">
        <f>IFERROR(__xludf.DUMMYFUNCTION("""COMPUTED_VALUE"""),"MEME")</f>
        <v>MEME</v>
      </c>
      <c r="D5880" s="122" t="str">
        <f>IFERROR(__xludf.DUMMYFUNCTION("""COMPUTED_VALUE"""),"Meme Media")</f>
        <v>Meme Media</v>
      </c>
      <c r="E5880" s="122">
        <f>IFERROR(__xludf.DUMMYFUNCTION("""COMPUTED_VALUE"""),72.16)</f>
        <v>72.16</v>
      </c>
      <c r="F5880" s="122">
        <f>IFERROR(__xludf.DUMMYFUNCTION("""COMPUTED_VALUE"""),-0.0118)</f>
        <v>-0.0118</v>
      </c>
    </row>
    <row r="5881">
      <c r="A5881" s="131">
        <f>IFERROR(__xludf.DUMMYFUNCTION("""COMPUTED_VALUE"""),46187.53622685185)</f>
        <v>46187.53623</v>
      </c>
      <c r="B5881" s="126">
        <f>IFERROR(__xludf.DUMMYFUNCTION("""COMPUTED_VALUE"""),46187.0)</f>
        <v>46187</v>
      </c>
      <c r="C5881" s="122" t="str">
        <f>IFERROR(__xludf.DUMMYFUNCTION("""COMPUTED_VALUE"""),"STRM")</f>
        <v>STRM</v>
      </c>
      <c r="D5881" s="122" t="str">
        <f>IFERROR(__xludf.DUMMYFUNCTION("""COMPUTED_VALUE"""),"Streamly")</f>
        <v>Streamly</v>
      </c>
      <c r="E5881" s="122">
        <f>IFERROR(__xludf.DUMMYFUNCTION("""COMPUTED_VALUE"""),138.47)</f>
        <v>138.47</v>
      </c>
      <c r="F5881" s="122">
        <f>IFERROR(__xludf.DUMMYFUNCTION("""COMPUTED_VALUE"""),0.002)</f>
        <v>0.002</v>
      </c>
    </row>
    <row r="5882">
      <c r="A5882" s="131">
        <f>IFERROR(__xludf.DUMMYFUNCTION("""COMPUTED_VALUE"""),46187.53622685185)</f>
        <v>46187.53623</v>
      </c>
      <c r="B5882" s="126">
        <f>IFERROR(__xludf.DUMMYFUNCTION("""COMPUTED_VALUE"""),46187.0)</f>
        <v>46187</v>
      </c>
      <c r="C5882" s="122" t="str">
        <f>IFERROR(__xludf.DUMMYFUNCTION("""COMPUTED_VALUE"""),"FARM")</f>
        <v>FARM</v>
      </c>
      <c r="D5882" s="122" t="str">
        <f>IFERROR(__xludf.DUMMYFUNCTION("""COMPUTED_VALUE"""),"Future Farms")</f>
        <v>Future Farms</v>
      </c>
      <c r="E5882" s="122">
        <f>IFERROR(__xludf.DUMMYFUNCTION("""COMPUTED_VALUE"""),91.26)</f>
        <v>91.26</v>
      </c>
      <c r="F5882" s="122">
        <f>IFERROR(__xludf.DUMMYFUNCTION("""COMPUTED_VALUE"""),9.0E-4)</f>
        <v>0.0009</v>
      </c>
    </row>
    <row r="5883">
      <c r="A5883" s="131">
        <f>IFERROR(__xludf.DUMMYFUNCTION("""COMPUTED_VALUE"""),46187.53622685185)</f>
        <v>46187.53623</v>
      </c>
      <c r="B5883" s="126">
        <f>IFERROR(__xludf.DUMMYFUNCTION("""COMPUTED_VALUE"""),46187.0)</f>
        <v>46187</v>
      </c>
      <c r="C5883" s="122" t="str">
        <f>IFERROR(__xludf.DUMMYFUNCTION("""COMPUTED_VALUE"""),"MEAT")</f>
        <v>MEAT</v>
      </c>
      <c r="D5883" s="122" t="str">
        <f>IFERROR(__xludf.DUMMYFUNCTION("""COMPUTED_VALUE"""),"MeatWorks")</f>
        <v>MeatWorks</v>
      </c>
      <c r="E5883" s="122">
        <f>IFERROR(__xludf.DUMMYFUNCTION("""COMPUTED_VALUE"""),105.05)</f>
        <v>105.05</v>
      </c>
      <c r="F5883" s="122">
        <f>IFERROR(__xludf.DUMMYFUNCTION("""COMPUTED_VALUE"""),0.002)</f>
        <v>0.002</v>
      </c>
    </row>
    <row r="5884">
      <c r="A5884" s="131">
        <f>IFERROR(__xludf.DUMMYFUNCTION("""COMPUTED_VALUE"""),46187.53622685185)</f>
        <v>46187.53623</v>
      </c>
      <c r="B5884" s="126">
        <f>IFERROR(__xludf.DUMMYFUNCTION("""COMPUTED_VALUE"""),46187.0)</f>
        <v>46187</v>
      </c>
      <c r="C5884" s="122" t="str">
        <f>IFERROR(__xludf.DUMMYFUNCTION("""COMPUTED_VALUE"""),"VEGI")</f>
        <v>VEGI</v>
      </c>
      <c r="D5884" s="122" t="str">
        <f>IFERROR(__xludf.DUMMYFUNCTION("""COMPUTED_VALUE"""),"Green Basket")</f>
        <v>Green Basket</v>
      </c>
      <c r="E5884" s="122">
        <f>IFERROR(__xludf.DUMMYFUNCTION("""COMPUTED_VALUE"""),78.7)</f>
        <v>78.7</v>
      </c>
      <c r="F5884" s="122">
        <f>IFERROR(__xludf.DUMMYFUNCTION("""COMPUTED_VALUE"""),0.0025)</f>
        <v>0.0025</v>
      </c>
    </row>
    <row r="5885">
      <c r="A5885" s="131">
        <f>IFERROR(__xludf.DUMMYFUNCTION("""COMPUTED_VALUE"""),46187.53622685185)</f>
        <v>46187.53623</v>
      </c>
      <c r="B5885" s="126">
        <f>IFERROR(__xludf.DUMMYFUNCTION("""COMPUTED_VALUE"""),46187.0)</f>
        <v>46187</v>
      </c>
      <c r="C5885" s="122" t="str">
        <f>IFERROR(__xludf.DUMMYFUNCTION("""COMPUTED_VALUE"""),"CAFE")</f>
        <v>CAFE</v>
      </c>
      <c r="D5885" s="122" t="str">
        <f>IFERROR(__xludf.DUMMYFUNCTION("""COMPUTED_VALUE"""),"Cafe Cloud")</f>
        <v>Cafe Cloud</v>
      </c>
      <c r="E5885" s="122">
        <f>IFERROR(__xludf.DUMMYFUNCTION("""COMPUTED_VALUE"""),100.03)</f>
        <v>100.03</v>
      </c>
      <c r="F5885" s="122">
        <f>IFERROR(__xludf.DUMMYFUNCTION("""COMPUTED_VALUE"""),-0.0058)</f>
        <v>-0.0058</v>
      </c>
    </row>
    <row r="5886">
      <c r="A5886" s="131">
        <f>IFERROR(__xludf.DUMMYFUNCTION("""COMPUTED_VALUE"""),46187.53622685185)</f>
        <v>46187.53623</v>
      </c>
      <c r="B5886" s="126">
        <f>IFERROR(__xludf.DUMMYFUNCTION("""COMPUTED_VALUE"""),46187.0)</f>
        <v>46187</v>
      </c>
      <c r="C5886" s="122" t="str">
        <f>IFERROR(__xludf.DUMMYFUNCTION("""COMPUTED_VALUE"""),"BAKE")</f>
        <v>BAKE</v>
      </c>
      <c r="D5886" s="122" t="str">
        <f>IFERROR(__xludf.DUMMYFUNCTION("""COMPUTED_VALUE"""),"BakeHouse")</f>
        <v>BakeHouse</v>
      </c>
      <c r="E5886" s="122">
        <f>IFERROR(__xludf.DUMMYFUNCTION("""COMPUTED_VALUE"""),102.62)</f>
        <v>102.62</v>
      </c>
      <c r="F5886" s="122">
        <f>IFERROR(__xludf.DUMMYFUNCTION("""COMPUTED_VALUE"""),-0.0033)</f>
        <v>-0.0033</v>
      </c>
    </row>
    <row r="5887">
      <c r="A5887" s="131">
        <f>IFERROR(__xludf.DUMMYFUNCTION("""COMPUTED_VALUE"""),46187.53622685185)</f>
        <v>46187.53623</v>
      </c>
      <c r="B5887" s="126">
        <f>IFERROR(__xludf.DUMMYFUNCTION("""COMPUTED_VALUE"""),46187.0)</f>
        <v>46187</v>
      </c>
      <c r="C5887" s="122" t="str">
        <f>IFERROR(__xludf.DUMMYFUNCTION("""COMPUTED_VALUE"""),"OILX")</f>
        <v>OILX</v>
      </c>
      <c r="D5887" s="122" t="str">
        <f>IFERROR(__xludf.DUMMYFUNCTION("""COMPUTED_VALUE"""),"OilMax Energy")</f>
        <v>OilMax Energy</v>
      </c>
      <c r="E5887" s="122">
        <f>IFERROR(__xludf.DUMMYFUNCTION("""COMPUTED_VALUE"""),129.28)</f>
        <v>129.28</v>
      </c>
      <c r="F5887" s="122">
        <f>IFERROR(__xludf.DUMMYFUNCTION("""COMPUTED_VALUE"""),0.0088)</f>
        <v>0.0088</v>
      </c>
    </row>
    <row r="5888">
      <c r="A5888" s="131">
        <f>IFERROR(__xludf.DUMMYFUNCTION("""COMPUTED_VALUE"""),46187.53622685185)</f>
        <v>46187.53623</v>
      </c>
      <c r="B5888" s="126">
        <f>IFERROR(__xludf.DUMMYFUNCTION("""COMPUTED_VALUE"""),46187.0)</f>
        <v>46187</v>
      </c>
      <c r="C5888" s="122" t="str">
        <f>IFERROR(__xludf.DUMMYFUNCTION("""COMPUTED_VALUE"""),"SOLR")</f>
        <v>SOLR</v>
      </c>
      <c r="D5888" s="122" t="str">
        <f>IFERROR(__xludf.DUMMYFUNCTION("""COMPUTED_VALUE"""),"SolarSpark")</f>
        <v>SolarSpark</v>
      </c>
      <c r="E5888" s="122">
        <f>IFERROR(__xludf.DUMMYFUNCTION("""COMPUTED_VALUE"""),100.6)</f>
        <v>100.6</v>
      </c>
      <c r="F5888" s="122">
        <f>IFERROR(__xludf.DUMMYFUNCTION("""COMPUTED_VALUE"""),0.001)</f>
        <v>0.001</v>
      </c>
    </row>
    <row r="5889">
      <c r="A5889" s="131">
        <f>IFERROR(__xludf.DUMMYFUNCTION("""COMPUTED_VALUE"""),46187.53622685185)</f>
        <v>46187.53623</v>
      </c>
      <c r="B5889" s="126">
        <f>IFERROR(__xludf.DUMMYFUNCTION("""COMPUTED_VALUE"""),46187.0)</f>
        <v>46187</v>
      </c>
      <c r="C5889" s="122" t="str">
        <f>IFERROR(__xludf.DUMMYFUNCTION("""COMPUTED_VALUE"""),"BATT")</f>
        <v>BATT</v>
      </c>
      <c r="D5889" s="122" t="str">
        <f>IFERROR(__xludf.DUMMYFUNCTION("""COMPUTED_VALUE"""),"BatteryBox")</f>
        <v>BatteryBox</v>
      </c>
      <c r="E5889" s="122">
        <f>IFERROR(__xludf.DUMMYFUNCTION("""COMPUTED_VALUE"""),117.42)</f>
        <v>117.42</v>
      </c>
      <c r="F5889" s="122">
        <f>IFERROR(__xludf.DUMMYFUNCTION("""COMPUTED_VALUE"""),-0.0099)</f>
        <v>-0.0099</v>
      </c>
    </row>
    <row r="5890">
      <c r="A5890" s="131">
        <f>IFERROR(__xludf.DUMMYFUNCTION("""COMPUTED_VALUE"""),46187.53622685185)</f>
        <v>46187.53623</v>
      </c>
      <c r="B5890" s="126">
        <f>IFERROR(__xludf.DUMMYFUNCTION("""COMPUTED_VALUE"""),46187.0)</f>
        <v>46187</v>
      </c>
      <c r="C5890" s="122" t="str">
        <f>IFERROR(__xludf.DUMMYFUNCTION("""COMPUTED_VALUE"""),"WIND")</f>
        <v>WIND</v>
      </c>
      <c r="D5890" s="122" t="str">
        <f>IFERROR(__xludf.DUMMYFUNCTION("""COMPUTED_VALUE"""),"WindWorks")</f>
        <v>WindWorks</v>
      </c>
      <c r="E5890" s="122">
        <f>IFERROR(__xludf.DUMMYFUNCTION("""COMPUTED_VALUE"""),88.22)</f>
        <v>88.22</v>
      </c>
      <c r="F5890" s="122">
        <f>IFERROR(__xludf.DUMMYFUNCTION("""COMPUTED_VALUE"""),0.0035)</f>
        <v>0.0035</v>
      </c>
    </row>
    <row r="5891">
      <c r="A5891" s="131">
        <f>IFERROR(__xludf.DUMMYFUNCTION("""COMPUTED_VALUE"""),46187.53622685185)</f>
        <v>46187.53623</v>
      </c>
      <c r="B5891" s="126">
        <f>IFERROR(__xludf.DUMMYFUNCTION("""COMPUTED_VALUE"""),46187.0)</f>
        <v>46187</v>
      </c>
      <c r="C5891" s="122" t="str">
        <f>IFERROR(__xludf.DUMMYFUNCTION("""COMPUTED_VALUE"""),"GRID")</f>
        <v>GRID</v>
      </c>
      <c r="D5891" s="122" t="str">
        <f>IFERROR(__xludf.DUMMYFUNCTION("""COMPUTED_VALUE"""),"GridPower")</f>
        <v>GridPower</v>
      </c>
      <c r="E5891" s="122">
        <f>IFERROR(__xludf.DUMMYFUNCTION("""COMPUTED_VALUE"""),135.31)</f>
        <v>135.31</v>
      </c>
      <c r="F5891" s="122">
        <f>IFERROR(__xludf.DUMMYFUNCTION("""COMPUTED_VALUE"""),-0.006)</f>
        <v>-0.006</v>
      </c>
    </row>
    <row r="5892">
      <c r="A5892" s="131">
        <f>IFERROR(__xludf.DUMMYFUNCTION("""COMPUTED_VALUE"""),46187.53622685185)</f>
        <v>46187.53623</v>
      </c>
      <c r="B5892" s="126">
        <f>IFERROR(__xludf.DUMMYFUNCTION("""COMPUTED_VALUE"""),46187.0)</f>
        <v>46187</v>
      </c>
      <c r="C5892" s="122" t="str">
        <f>IFERROR(__xludf.DUMMYFUNCTION("""COMPUTED_VALUE"""),"HOME")</f>
        <v>HOME</v>
      </c>
      <c r="D5892" s="122" t="str">
        <f>IFERROR(__xludf.DUMMYFUNCTION("""COMPUTED_VALUE"""),"HomeHub")</f>
        <v>HomeHub</v>
      </c>
      <c r="E5892" s="122">
        <f>IFERROR(__xludf.DUMMYFUNCTION("""COMPUTED_VALUE"""),154.98)</f>
        <v>154.98</v>
      </c>
      <c r="F5892" s="122">
        <f>IFERROR(__xludf.DUMMYFUNCTION("""COMPUTED_VALUE"""),-7.0E-4)</f>
        <v>-0.0007</v>
      </c>
    </row>
    <row r="5893">
      <c r="A5893" s="131">
        <f>IFERROR(__xludf.DUMMYFUNCTION("""COMPUTED_VALUE"""),46187.53622685185)</f>
        <v>46187.53623</v>
      </c>
      <c r="B5893" s="126">
        <f>IFERROR(__xludf.DUMMYFUNCTION("""COMPUTED_VALUE"""),46187.0)</f>
        <v>46187</v>
      </c>
      <c r="C5893" s="122" t="str">
        <f>IFERROR(__xludf.DUMMYFUNCTION("""COMPUTED_VALUE"""),"RENT")</f>
        <v>RENT</v>
      </c>
      <c r="D5893" s="122" t="str">
        <f>IFERROR(__xludf.DUMMYFUNCTION("""COMPUTED_VALUE"""),"RentRight")</f>
        <v>RentRight</v>
      </c>
      <c r="E5893" s="122">
        <f>IFERROR(__xludf.DUMMYFUNCTION("""COMPUTED_VALUE"""),91.79)</f>
        <v>91.79</v>
      </c>
      <c r="F5893" s="122">
        <f>IFERROR(__xludf.DUMMYFUNCTION("""COMPUTED_VALUE"""),0.005)</f>
        <v>0.005</v>
      </c>
    </row>
    <row r="5894">
      <c r="A5894" s="131">
        <f>IFERROR(__xludf.DUMMYFUNCTION("""COMPUTED_VALUE"""),46187.53622685185)</f>
        <v>46187.53623</v>
      </c>
      <c r="B5894" s="126">
        <f>IFERROR(__xludf.DUMMYFUNCTION("""COMPUTED_VALUE"""),46187.0)</f>
        <v>46187</v>
      </c>
      <c r="C5894" s="122" t="str">
        <f>IFERROR(__xludf.DUMMYFUNCTION("""COMPUTED_VALUE"""),"MALL")</f>
        <v>MALL</v>
      </c>
      <c r="D5894" s="122" t="str">
        <f>IFERROR(__xludf.DUMMYFUNCTION("""COMPUTED_VALUE"""),"MegaMall")</f>
        <v>MegaMall</v>
      </c>
      <c r="E5894" s="122">
        <f>IFERROR(__xludf.DUMMYFUNCTION("""COMPUTED_VALUE"""),98.95)</f>
        <v>98.95</v>
      </c>
      <c r="F5894" s="122">
        <f>IFERROR(__xludf.DUMMYFUNCTION("""COMPUTED_VALUE"""),-0.004)</f>
        <v>-0.004</v>
      </c>
    </row>
    <row r="5895">
      <c r="A5895" s="131">
        <f>IFERROR(__xludf.DUMMYFUNCTION("""COMPUTED_VALUE"""),46187.53622685185)</f>
        <v>46187.53623</v>
      </c>
      <c r="B5895" s="126">
        <f>IFERROR(__xludf.DUMMYFUNCTION("""COMPUTED_VALUE"""),46187.0)</f>
        <v>46187</v>
      </c>
      <c r="C5895" s="122" t="str">
        <f>IFERROR(__xludf.DUMMYFUNCTION("""COMPUTED_VALUE"""),"HOTL")</f>
        <v>HOTL</v>
      </c>
      <c r="D5895" s="122" t="str">
        <f>IFERROR(__xludf.DUMMYFUNCTION("""COMPUTED_VALUE"""),"HotelHive")</f>
        <v>HotelHive</v>
      </c>
      <c r="E5895" s="122">
        <f>IFERROR(__xludf.DUMMYFUNCTION("""COMPUTED_VALUE"""),126.99)</f>
        <v>126.99</v>
      </c>
      <c r="F5895" s="122">
        <f>IFERROR(__xludf.DUMMYFUNCTION("""COMPUTED_VALUE"""),0.0064)</f>
        <v>0.0064</v>
      </c>
    </row>
    <row r="5896">
      <c r="A5896" s="131">
        <f>IFERROR(__xludf.DUMMYFUNCTION("""COMPUTED_VALUE"""),46187.53622685185)</f>
        <v>46187.53623</v>
      </c>
      <c r="B5896" s="126">
        <f>IFERROR(__xludf.DUMMYFUNCTION("""COMPUTED_VALUE"""),46187.0)</f>
        <v>46187</v>
      </c>
      <c r="C5896" s="122" t="str">
        <f>IFERROR(__xludf.DUMMYFUNCTION("""COMPUTED_VALUE"""),"LAND")</f>
        <v>LAND</v>
      </c>
      <c r="D5896" s="122" t="str">
        <f>IFERROR(__xludf.DUMMYFUNCTION("""COMPUTED_VALUE"""),"LandLink")</f>
        <v>LandLink</v>
      </c>
      <c r="E5896" s="122">
        <f>IFERROR(__xludf.DUMMYFUNCTION("""COMPUTED_VALUE"""),182.22)</f>
        <v>182.22</v>
      </c>
      <c r="F5896" s="122">
        <f>IFERROR(__xludf.DUMMYFUNCTION("""COMPUTED_VALUE"""),0.0021)</f>
        <v>0.0021</v>
      </c>
    </row>
    <row r="5897">
      <c r="A5897" s="131">
        <f>IFERROR(__xludf.DUMMYFUNCTION("""COMPUTED_VALUE"""),46187.53622685185)</f>
        <v>46187.53623</v>
      </c>
      <c r="B5897" s="126">
        <f>IFERROR(__xludf.DUMMYFUNCTION("""COMPUTED_VALUE"""),46187.0)</f>
        <v>46187</v>
      </c>
      <c r="C5897" s="122" t="str">
        <f>IFERROR(__xludf.DUMMYFUNCTION("""COMPUTED_VALUE"""),"CARS")</f>
        <v>CARS</v>
      </c>
      <c r="D5897" s="122" t="str">
        <f>IFERROR(__xludf.DUMMYFUNCTION("""COMPUTED_VALUE"""),"AutoArena")</f>
        <v>AutoArena</v>
      </c>
      <c r="E5897" s="122">
        <f>IFERROR(__xludf.DUMMYFUNCTION("""COMPUTED_VALUE"""),78.86)</f>
        <v>78.86</v>
      </c>
      <c r="F5897" s="122">
        <f>IFERROR(__xludf.DUMMYFUNCTION("""COMPUTED_VALUE"""),-0.0066)</f>
        <v>-0.0066</v>
      </c>
    </row>
    <row r="5898">
      <c r="A5898" s="131">
        <f>IFERROR(__xludf.DUMMYFUNCTION("""COMPUTED_VALUE"""),46187.53622685185)</f>
        <v>46187.53623</v>
      </c>
      <c r="B5898" s="126">
        <f>IFERROR(__xludf.DUMMYFUNCTION("""COMPUTED_VALUE"""),46187.0)</f>
        <v>46187</v>
      </c>
      <c r="C5898" s="122" t="str">
        <f>IFERROR(__xludf.DUMMYFUNCTION("""COMPUTED_VALUE"""),"EVGO")</f>
        <v>EVGO</v>
      </c>
      <c r="D5898" s="122" t="str">
        <f>IFERROR(__xludf.DUMMYFUNCTION("""COMPUTED_VALUE"""),"EVGo Motors")</f>
        <v>EVGo Motors</v>
      </c>
      <c r="E5898" s="122">
        <f>IFERROR(__xludf.DUMMYFUNCTION("""COMPUTED_VALUE"""),176.82)</f>
        <v>176.82</v>
      </c>
      <c r="F5898" s="122">
        <f>IFERROR(__xludf.DUMMYFUNCTION("""COMPUTED_VALUE"""),-0.0097)</f>
        <v>-0.0097</v>
      </c>
    </row>
    <row r="5899">
      <c r="A5899" s="131">
        <f>IFERROR(__xludf.DUMMYFUNCTION("""COMPUTED_VALUE"""),46187.53622685185)</f>
        <v>46187.53623</v>
      </c>
      <c r="B5899" s="126">
        <f>IFERROR(__xludf.DUMMYFUNCTION("""COMPUTED_VALUE"""),46187.0)</f>
        <v>46187</v>
      </c>
      <c r="C5899" s="122" t="str">
        <f>IFERROR(__xludf.DUMMYFUNCTION("""COMPUTED_VALUE"""),"TIRE")</f>
        <v>TIRE</v>
      </c>
      <c r="D5899" s="122" t="str">
        <f>IFERROR(__xludf.DUMMYFUNCTION("""COMPUTED_VALUE"""),"TireTown")</f>
        <v>TireTown</v>
      </c>
      <c r="E5899" s="122">
        <f>IFERROR(__xludf.DUMMYFUNCTION("""COMPUTED_VALUE"""),96.53)</f>
        <v>96.53</v>
      </c>
      <c r="F5899" s="122">
        <f>IFERROR(__xludf.DUMMYFUNCTION("""COMPUTED_VALUE"""),0.0029)</f>
        <v>0.0029</v>
      </c>
    </row>
    <row r="5900">
      <c r="A5900" s="131">
        <f>IFERROR(__xludf.DUMMYFUNCTION("""COMPUTED_VALUE"""),46187.53622685185)</f>
        <v>46187.53623</v>
      </c>
      <c r="B5900" s="126">
        <f>IFERROR(__xludf.DUMMYFUNCTION("""COMPUTED_VALUE"""),46187.0)</f>
        <v>46187</v>
      </c>
      <c r="C5900" s="122" t="str">
        <f>IFERROR(__xludf.DUMMYFUNCTION("""COMPUTED_VALUE"""),"BIKE")</f>
        <v>BIKE</v>
      </c>
      <c r="D5900" s="122" t="str">
        <f>IFERROR(__xludf.DUMMYFUNCTION("""COMPUTED_VALUE"""),"BikeBox")</f>
        <v>BikeBox</v>
      </c>
      <c r="E5900" s="122">
        <f>IFERROR(__xludf.DUMMYFUNCTION("""COMPUTED_VALUE"""),52.94)</f>
        <v>52.94</v>
      </c>
      <c r="F5900" s="122">
        <f>IFERROR(__xludf.DUMMYFUNCTION("""COMPUTED_VALUE"""),-0.0056)</f>
        <v>-0.0056</v>
      </c>
    </row>
    <row r="5901">
      <c r="A5901" s="131">
        <f>IFERROR(__xludf.DUMMYFUNCTION("""COMPUTED_VALUE"""),46187.53622685185)</f>
        <v>46187.53623</v>
      </c>
      <c r="B5901" s="126">
        <f>IFERROR(__xludf.DUMMYFUNCTION("""COMPUTED_VALUE"""),46187.0)</f>
        <v>46187</v>
      </c>
      <c r="C5901" s="122" t="str">
        <f>IFERROR(__xludf.DUMMYFUNCTION("""COMPUTED_VALUE"""),"WASH")</f>
        <v>WASH</v>
      </c>
      <c r="D5901" s="122" t="str">
        <f>IFERROR(__xludf.DUMMYFUNCTION("""COMPUTED_VALUE"""),"CarWash Co")</f>
        <v>CarWash Co</v>
      </c>
      <c r="E5901" s="122">
        <f>IFERROR(__xludf.DUMMYFUNCTION("""COMPUTED_VALUE"""),119.06)</f>
        <v>119.06</v>
      </c>
      <c r="F5901" s="122">
        <f>IFERROR(__xludf.DUMMYFUNCTION("""COMPUTED_VALUE"""),0.0034)</f>
        <v>0.0034</v>
      </c>
    </row>
    <row r="5902">
      <c r="A5902" s="131">
        <f>IFERROR(__xludf.DUMMYFUNCTION("""COMPUTED_VALUE"""),46187.53622685185)</f>
        <v>46187.53623</v>
      </c>
      <c r="B5902" s="126">
        <f>IFERROR(__xludf.DUMMYFUNCTION("""COMPUTED_VALUE"""),46187.0)</f>
        <v>46187</v>
      </c>
      <c r="C5902" s="122" t="str">
        <f>IFERROR(__xludf.DUMMYFUNCTION("""COMPUTED_VALUE"""),"GBND")</f>
        <v>GBND</v>
      </c>
      <c r="D5902" s="122" t="str">
        <f>IFERROR(__xludf.DUMMYFUNCTION("""COMPUTED_VALUE"""),"Classroom Government Bond")</f>
        <v>Classroom Government Bond</v>
      </c>
      <c r="E5902" s="122">
        <f>IFERROR(__xludf.DUMMYFUNCTION("""COMPUTED_VALUE"""),101.08)</f>
        <v>101.08</v>
      </c>
      <c r="F5902" s="122">
        <f>IFERROR(__xludf.DUMMYFUNCTION("""COMPUTED_VALUE"""),-1.0E-4)</f>
        <v>-0.0001</v>
      </c>
    </row>
    <row r="5903">
      <c r="A5903" s="131">
        <f>IFERROR(__xludf.DUMMYFUNCTION("""COMPUTED_VALUE"""),46187.53622685185)</f>
        <v>46187.53623</v>
      </c>
      <c r="B5903" s="126">
        <f>IFERROR(__xludf.DUMMYFUNCTION("""COMPUTED_VALUE"""),46187.0)</f>
        <v>46187</v>
      </c>
      <c r="C5903" s="122" t="str">
        <f>IFERROR(__xludf.DUMMYFUNCTION("""COMPUTED_VALUE"""),"SBND")</f>
        <v>SBND</v>
      </c>
      <c r="D5903" s="122" t="str">
        <f>IFERROR(__xludf.DUMMYFUNCTION("""COMPUTED_VALUE"""),"School Savings Bond")</f>
        <v>School Savings Bond</v>
      </c>
      <c r="E5903" s="122">
        <f>IFERROR(__xludf.DUMMYFUNCTION("""COMPUTED_VALUE"""),99.34)</f>
        <v>99.34</v>
      </c>
      <c r="F5903" s="122">
        <f>IFERROR(__xludf.DUMMYFUNCTION("""COMPUTED_VALUE"""),-4.0E-4)</f>
        <v>-0.0004</v>
      </c>
    </row>
    <row r="5904">
      <c r="A5904" s="131">
        <f>IFERROR(__xludf.DUMMYFUNCTION("""COMPUTED_VALUE"""),46187.53622685185)</f>
        <v>46187.53623</v>
      </c>
      <c r="B5904" s="126">
        <f>IFERROR(__xludf.DUMMYFUNCTION("""COMPUTED_VALUE"""),46187.0)</f>
        <v>46187</v>
      </c>
      <c r="C5904" s="122" t="str">
        <f>IFERROR(__xludf.DUMMYFUNCTION("""COMPUTED_VALUE"""),"CBND")</f>
        <v>CBND</v>
      </c>
      <c r="D5904" s="122" t="str">
        <f>IFERROR(__xludf.DUMMYFUNCTION("""COMPUTED_VALUE"""),"Corporate Classroom Bond")</f>
        <v>Corporate Classroom Bond</v>
      </c>
      <c r="E5904" s="122">
        <f>IFERROR(__xludf.DUMMYFUNCTION("""COMPUTED_VALUE"""),97.83)</f>
        <v>97.83</v>
      </c>
      <c r="F5904" s="122">
        <f>IFERROR(__xludf.DUMMYFUNCTION("""COMPUTED_VALUE"""),1.0E-4)</f>
        <v>0.0001</v>
      </c>
    </row>
    <row r="5905">
      <c r="A5905" s="131">
        <f>IFERROR(__xludf.DUMMYFUNCTION("""COMPUTED_VALUE"""),46187.53622685185)</f>
        <v>46187.53623</v>
      </c>
      <c r="B5905" s="126">
        <f>IFERROR(__xludf.DUMMYFUNCTION("""COMPUTED_VALUE"""),46187.0)</f>
        <v>46187</v>
      </c>
      <c r="C5905" s="122" t="str">
        <f>IFERROR(__xludf.DUMMYFUNCTION("""COMPUTED_VALUE"""),"TBIL")</f>
        <v>TBIL</v>
      </c>
      <c r="D5905" s="122" t="str">
        <f>IFERROR(__xludf.DUMMYFUNCTION("""COMPUTED_VALUE"""),"Treasury Bill")</f>
        <v>Treasury Bill</v>
      </c>
      <c r="E5905" s="122">
        <f>IFERROR(__xludf.DUMMYFUNCTION("""COMPUTED_VALUE"""),98.08)</f>
        <v>98.08</v>
      </c>
      <c r="F5905" s="122">
        <f>IFERROR(__xludf.DUMMYFUNCTION("""COMPUTED_VALUE"""),1.0E-4)</f>
        <v>0.0001</v>
      </c>
    </row>
    <row r="5906">
      <c r="A5906" s="131">
        <f>IFERROR(__xludf.DUMMYFUNCTION("""COMPUTED_VALUE"""),46187.53622685185)</f>
        <v>46187.53623</v>
      </c>
      <c r="B5906" s="126">
        <f>IFERROR(__xludf.DUMMYFUNCTION("""COMPUTED_VALUE"""),46187.0)</f>
        <v>46187</v>
      </c>
      <c r="C5906" s="122" t="str">
        <f>IFERROR(__xludf.DUMMYFUNCTION("""COMPUTED_VALUE"""),"IBND")</f>
        <v>IBND</v>
      </c>
      <c r="D5906" s="122" t="str">
        <f>IFERROR(__xludf.DUMMYFUNCTION("""COMPUTED_VALUE"""),"Inflation Protected Bond")</f>
        <v>Inflation Protected Bond</v>
      </c>
      <c r="E5906" s="122">
        <f>IFERROR(__xludf.DUMMYFUNCTION("""COMPUTED_VALUE"""),100.81)</f>
        <v>100.81</v>
      </c>
      <c r="F5906" s="122">
        <f>IFERROR(__xludf.DUMMYFUNCTION("""COMPUTED_VALUE"""),-1.0E-4)</f>
        <v>-0.0001</v>
      </c>
    </row>
    <row r="5907">
      <c r="A5907" s="131">
        <f>IFERROR(__xludf.DUMMYFUNCTION("""COMPUTED_VALUE"""),46187.53994212963)</f>
        <v>46187.53994</v>
      </c>
      <c r="B5907" s="126">
        <f>IFERROR(__xludf.DUMMYFUNCTION("""COMPUTED_VALUE"""),46187.0)</f>
        <v>46187</v>
      </c>
      <c r="C5907" s="122" t="str">
        <f>IFERROR(__xludf.DUMMYFUNCTION("""COMPUTED_VALUE"""),"SNAX")</f>
        <v>SNAX</v>
      </c>
      <c r="D5907" s="122" t="str">
        <f>IFERROR(__xludf.DUMMYFUNCTION("""COMPUTED_VALUE"""),"MICA Snacks")</f>
        <v>MICA Snacks</v>
      </c>
      <c r="E5907" s="122">
        <f>IFERROR(__xludf.DUMMYFUNCTION("""COMPUTED_VALUE"""),120.78)</f>
        <v>120.78</v>
      </c>
      <c r="F5907" s="122">
        <f>IFERROR(__xludf.DUMMYFUNCTION("""COMPUTED_VALUE"""),0.004)</f>
        <v>0.004</v>
      </c>
    </row>
    <row r="5908">
      <c r="A5908" s="131">
        <f>IFERROR(__xludf.DUMMYFUNCTION("""COMPUTED_VALUE"""),46187.53994212963)</f>
        <v>46187.53994</v>
      </c>
      <c r="B5908" s="126">
        <f>IFERROR(__xludf.DUMMYFUNCTION("""COMPUTED_VALUE"""),46187.0)</f>
        <v>46187</v>
      </c>
      <c r="C5908" s="122" t="str">
        <f>IFERROR(__xludf.DUMMYFUNCTION("""COMPUTED_VALUE"""),"RAMN")</f>
        <v>RAMN</v>
      </c>
      <c r="D5908" s="122" t="str">
        <f>IFERROR(__xludf.DUMMYFUNCTION("""COMPUTED_VALUE"""),"Ramen Republic")</f>
        <v>Ramen Republic</v>
      </c>
      <c r="E5908" s="122">
        <f>IFERROR(__xludf.DUMMYFUNCTION("""COMPUTED_VALUE"""),67.36)</f>
        <v>67.36</v>
      </c>
      <c r="F5908" s="122">
        <f>IFERROR(__xludf.DUMMYFUNCTION("""COMPUTED_VALUE"""),-0.0021)</f>
        <v>-0.0021</v>
      </c>
    </row>
    <row r="5909">
      <c r="A5909" s="131">
        <f>IFERROR(__xludf.DUMMYFUNCTION("""COMPUTED_VALUE"""),46187.53994212963)</f>
        <v>46187.53994</v>
      </c>
      <c r="B5909" s="126">
        <f>IFERROR(__xludf.DUMMYFUNCTION("""COMPUTED_VALUE"""),46187.0)</f>
        <v>46187</v>
      </c>
      <c r="C5909" s="122" t="str">
        <f>IFERROR(__xludf.DUMMYFUNCTION("""COMPUTED_VALUE"""),"COLA")</f>
        <v>COLA</v>
      </c>
      <c r="D5909" s="122" t="str">
        <f>IFERROR(__xludf.DUMMYFUNCTION("""COMPUTED_VALUE"""),"K-Pop Cola")</f>
        <v>K-Pop Cola</v>
      </c>
      <c r="E5909" s="122">
        <f>IFERROR(__xludf.DUMMYFUNCTION("""COMPUTED_VALUE"""),114.8)</f>
        <v>114.8</v>
      </c>
      <c r="F5909" s="122">
        <f>IFERROR(__xludf.DUMMYFUNCTION("""COMPUTED_VALUE"""),-0.0019)</f>
        <v>-0.0019</v>
      </c>
    </row>
    <row r="5910">
      <c r="A5910" s="131">
        <f>IFERROR(__xludf.DUMMYFUNCTION("""COMPUTED_VALUE"""),46187.53994212963)</f>
        <v>46187.53994</v>
      </c>
      <c r="B5910" s="126">
        <f>IFERROR(__xludf.DUMMYFUNCTION("""COMPUTED_VALUE"""),46187.0)</f>
        <v>46187</v>
      </c>
      <c r="C5910" s="122" t="str">
        <f>IFERROR(__xludf.DUMMYFUNCTION("""COMPUTED_VALUE"""),"CHIP")</f>
        <v>CHIP</v>
      </c>
      <c r="D5910" s="122" t="str">
        <f>IFERROR(__xludf.DUMMYFUNCTION("""COMPUTED_VALUE"""),"Chip Empire")</f>
        <v>Chip Empire</v>
      </c>
      <c r="E5910" s="122">
        <f>IFERROR(__xludf.DUMMYFUNCTION("""COMPUTED_VALUE"""),84.51)</f>
        <v>84.51</v>
      </c>
      <c r="F5910" s="122">
        <f>IFERROR(__xludf.DUMMYFUNCTION("""COMPUTED_VALUE"""),-0.0035)</f>
        <v>-0.0035</v>
      </c>
    </row>
    <row r="5911">
      <c r="A5911" s="131">
        <f>IFERROR(__xludf.DUMMYFUNCTION("""COMPUTED_VALUE"""),46187.53994212963)</f>
        <v>46187.53994</v>
      </c>
      <c r="B5911" s="126">
        <f>IFERROR(__xludf.DUMMYFUNCTION("""COMPUTED_VALUE"""),46187.0)</f>
        <v>46187</v>
      </c>
      <c r="C5911" s="122" t="str">
        <f>IFERROR(__xludf.DUMMYFUNCTION("""COMPUTED_VALUE"""),"CAND")</f>
        <v>CAND</v>
      </c>
      <c r="D5911" s="122" t="str">
        <f>IFERROR(__xludf.DUMMYFUNCTION("""COMPUTED_VALUE"""),"Candy Capital")</f>
        <v>Candy Capital</v>
      </c>
      <c r="E5911" s="122">
        <f>IFERROR(__xludf.DUMMYFUNCTION("""COMPUTED_VALUE"""),77.02)</f>
        <v>77.02</v>
      </c>
      <c r="F5911" s="122">
        <f>IFERROR(__xludf.DUMMYFUNCTION("""COMPUTED_VALUE"""),-0.0071)</f>
        <v>-0.0071</v>
      </c>
    </row>
    <row r="5912">
      <c r="A5912" s="131">
        <f>IFERROR(__xludf.DUMMYFUNCTION("""COMPUTED_VALUE"""),46187.53994212963)</f>
        <v>46187.53994</v>
      </c>
      <c r="B5912" s="126">
        <f>IFERROR(__xludf.DUMMYFUNCTION("""COMPUTED_VALUE"""),46187.0)</f>
        <v>46187</v>
      </c>
      <c r="C5912" s="122" t="str">
        <f>IFERROR(__xludf.DUMMYFUNCTION("""COMPUTED_VALUE"""),"TECH")</f>
        <v>TECH</v>
      </c>
      <c r="D5912" s="122" t="str">
        <f>IFERROR(__xludf.DUMMYFUNCTION("""COMPUTED_VALUE"""),"Dragon Tech")</f>
        <v>Dragon Tech</v>
      </c>
      <c r="E5912" s="122">
        <f>IFERROR(__xludf.DUMMYFUNCTION("""COMPUTED_VALUE"""),245.76)</f>
        <v>245.76</v>
      </c>
      <c r="F5912" s="122">
        <f>IFERROR(__xludf.DUMMYFUNCTION("""COMPUTED_VALUE"""),0.0119)</f>
        <v>0.0119</v>
      </c>
    </row>
    <row r="5913">
      <c r="A5913" s="131">
        <f>IFERROR(__xludf.DUMMYFUNCTION("""COMPUTED_VALUE"""),46187.53994212963)</f>
        <v>46187.53994</v>
      </c>
      <c r="B5913" s="126">
        <f>IFERROR(__xludf.DUMMYFUNCTION("""COMPUTED_VALUE"""),46187.0)</f>
        <v>46187</v>
      </c>
      <c r="C5913" s="122" t="str">
        <f>IFERROR(__xludf.DUMMYFUNCTION("""COMPUTED_VALUE"""),"AIBO")</f>
        <v>AIBO</v>
      </c>
      <c r="D5913" s="122" t="str">
        <f>IFERROR(__xludf.DUMMYFUNCTION("""COMPUTED_VALUE"""),"Homework AI")</f>
        <v>Homework AI</v>
      </c>
      <c r="E5913" s="122">
        <f>IFERROR(__xludf.DUMMYFUNCTION("""COMPUTED_VALUE"""),181.34)</f>
        <v>181.34</v>
      </c>
      <c r="F5913" s="122">
        <f>IFERROR(__xludf.DUMMYFUNCTION("""COMPUTED_VALUE"""),0.0039)</f>
        <v>0.0039</v>
      </c>
    </row>
    <row r="5914">
      <c r="A5914" s="131">
        <f>IFERROR(__xludf.DUMMYFUNCTION("""COMPUTED_VALUE"""),46187.53994212963)</f>
        <v>46187.53994</v>
      </c>
      <c r="B5914" s="126">
        <f>IFERROR(__xludf.DUMMYFUNCTION("""COMPUTED_VALUE"""),46187.0)</f>
        <v>46187</v>
      </c>
      <c r="C5914" s="122" t="str">
        <f>IFERROR(__xludf.DUMMYFUNCTION("""COMPUTED_VALUE"""),"GAME")</f>
        <v>GAME</v>
      </c>
      <c r="D5914" s="122" t="str">
        <f>IFERROR(__xludf.DUMMYFUNCTION("""COMPUTED_VALUE"""),"GameBox Media")</f>
        <v>GameBox Media</v>
      </c>
      <c r="E5914" s="122">
        <f>IFERROR(__xludf.DUMMYFUNCTION("""COMPUTED_VALUE"""),99.63)</f>
        <v>99.63</v>
      </c>
      <c r="F5914" s="122">
        <f>IFERROR(__xludf.DUMMYFUNCTION("""COMPUTED_VALUE"""),-0.0061)</f>
        <v>-0.0061</v>
      </c>
    </row>
    <row r="5915">
      <c r="A5915" s="131">
        <f>IFERROR(__xludf.DUMMYFUNCTION("""COMPUTED_VALUE"""),46187.53994212963)</f>
        <v>46187.53994</v>
      </c>
      <c r="B5915" s="126">
        <f>IFERROR(__xludf.DUMMYFUNCTION("""COMPUTED_VALUE"""),46187.0)</f>
        <v>46187</v>
      </c>
      <c r="C5915" s="122" t="str">
        <f>IFERROR(__xludf.DUMMYFUNCTION("""COMPUTED_VALUE"""),"VRSE")</f>
        <v>VRSE</v>
      </c>
      <c r="D5915" s="122" t="str">
        <f>IFERROR(__xludf.DUMMYFUNCTION("""COMPUTED_VALUE"""),"VerseVR")</f>
        <v>VerseVR</v>
      </c>
      <c r="E5915" s="122">
        <f>IFERROR(__xludf.DUMMYFUNCTION("""COMPUTED_VALUE"""),150.36)</f>
        <v>150.36</v>
      </c>
      <c r="F5915" s="122">
        <f>IFERROR(__xludf.DUMMYFUNCTION("""COMPUTED_VALUE"""),0.0099)</f>
        <v>0.0099</v>
      </c>
    </row>
    <row r="5916">
      <c r="A5916" s="131">
        <f>IFERROR(__xludf.DUMMYFUNCTION("""COMPUTED_VALUE"""),46187.53994212963)</f>
        <v>46187.53994</v>
      </c>
      <c r="B5916" s="126">
        <f>IFERROR(__xludf.DUMMYFUNCTION("""COMPUTED_VALUE"""),46187.0)</f>
        <v>46187</v>
      </c>
      <c r="C5916" s="122" t="str">
        <f>IFERROR(__xludf.DUMMYFUNCTION("""COMPUTED_VALUE"""),"BYTE")</f>
        <v>BYTE</v>
      </c>
      <c r="D5916" s="122" t="str">
        <f>IFERROR(__xludf.DUMMYFUNCTION("""COMPUTED_VALUE"""),"ByteWorks")</f>
        <v>ByteWorks</v>
      </c>
      <c r="E5916" s="122">
        <f>IFERROR(__xludf.DUMMYFUNCTION("""COMPUTED_VALUE"""),112.95)</f>
        <v>112.95</v>
      </c>
      <c r="F5916" s="122">
        <f>IFERROR(__xludf.DUMMYFUNCTION("""COMPUTED_VALUE"""),-0.0048)</f>
        <v>-0.0048</v>
      </c>
    </row>
    <row r="5917">
      <c r="A5917" s="131">
        <f>IFERROR(__xludf.DUMMYFUNCTION("""COMPUTED_VALUE"""),46187.53994212963)</f>
        <v>46187.53994</v>
      </c>
      <c r="B5917" s="126">
        <f>IFERROR(__xludf.DUMMYFUNCTION("""COMPUTED_VALUE"""),46187.0)</f>
        <v>46187</v>
      </c>
      <c r="C5917" s="122" t="str">
        <f>IFERROR(__xludf.DUMMYFUNCTION("""COMPUTED_VALUE"""),"BANK")</f>
        <v>BANK</v>
      </c>
      <c r="D5917" s="122" t="str">
        <f>IFERROR(__xludf.DUMMYFUNCTION("""COMPUTED_VALUE"""),"Tiger Bank")</f>
        <v>Tiger Bank</v>
      </c>
      <c r="E5917" s="122">
        <f>IFERROR(__xludf.DUMMYFUNCTION("""COMPUTED_VALUE"""),129.22)</f>
        <v>129.22</v>
      </c>
      <c r="F5917" s="122">
        <f>IFERROR(__xludf.DUMMYFUNCTION("""COMPUTED_VALUE"""),0.0026)</f>
        <v>0.0026</v>
      </c>
    </row>
    <row r="5918">
      <c r="A5918" s="131">
        <f>IFERROR(__xludf.DUMMYFUNCTION("""COMPUTED_VALUE"""),46187.53994212963)</f>
        <v>46187.53994</v>
      </c>
      <c r="B5918" s="126">
        <f>IFERROR(__xludf.DUMMYFUNCTION("""COMPUTED_VALUE"""),46187.0)</f>
        <v>46187</v>
      </c>
      <c r="C5918" s="122" t="str">
        <f>IFERROR(__xludf.DUMMYFUNCTION("""COMPUTED_VALUE"""),"CRED")</f>
        <v>CRED</v>
      </c>
      <c r="D5918" s="122" t="str">
        <f>IFERROR(__xludf.DUMMYFUNCTION("""COMPUTED_VALUE"""),"Credit Castle")</f>
        <v>Credit Castle</v>
      </c>
      <c r="E5918" s="122">
        <f>IFERROR(__xludf.DUMMYFUNCTION("""COMPUTED_VALUE"""),66.91)</f>
        <v>66.91</v>
      </c>
      <c r="F5918" s="122">
        <f>IFERROR(__xludf.DUMMYFUNCTION("""COMPUTED_VALUE"""),9.0E-4)</f>
        <v>0.0009</v>
      </c>
    </row>
    <row r="5919">
      <c r="A5919" s="131">
        <f>IFERROR(__xludf.DUMMYFUNCTION("""COMPUTED_VALUE"""),46187.53994212963)</f>
        <v>46187.53994</v>
      </c>
      <c r="B5919" s="126">
        <f>IFERROR(__xludf.DUMMYFUNCTION("""COMPUTED_VALUE"""),46187.0)</f>
        <v>46187</v>
      </c>
      <c r="C5919" s="122" t="str">
        <f>IFERROR(__xludf.DUMMYFUNCTION("""COMPUTED_VALUE"""),"BOND")</f>
        <v>BOND</v>
      </c>
      <c r="D5919" s="122" t="str">
        <f>IFERROR(__xludf.DUMMYFUNCTION("""COMPUTED_VALUE"""),"BondBridge")</f>
        <v>BondBridge</v>
      </c>
      <c r="E5919" s="122">
        <f>IFERROR(__xludf.DUMMYFUNCTION("""COMPUTED_VALUE"""),101.39)</f>
        <v>101.39</v>
      </c>
      <c r="F5919" s="122">
        <f>IFERROR(__xludf.DUMMYFUNCTION("""COMPUTED_VALUE"""),0.0032)</f>
        <v>0.0032</v>
      </c>
    </row>
    <row r="5920">
      <c r="A5920" s="131">
        <f>IFERROR(__xludf.DUMMYFUNCTION("""COMPUTED_VALUE"""),46187.53994212963)</f>
        <v>46187.53994</v>
      </c>
      <c r="B5920" s="126">
        <f>IFERROR(__xludf.DUMMYFUNCTION("""COMPUTED_VALUE"""),46187.0)</f>
        <v>46187</v>
      </c>
      <c r="C5920" s="122" t="str">
        <f>IFERROR(__xludf.DUMMYFUNCTION("""COMPUTED_VALUE"""),"INSR")</f>
        <v>INSR</v>
      </c>
      <c r="D5920" s="122" t="str">
        <f>IFERROR(__xludf.DUMMYFUNCTION("""COMPUTED_VALUE"""),"Shield Insurance")</f>
        <v>Shield Insurance</v>
      </c>
      <c r="E5920" s="122">
        <f>IFERROR(__xludf.DUMMYFUNCTION("""COMPUTED_VALUE"""),159.86)</f>
        <v>159.86</v>
      </c>
      <c r="F5920" s="122">
        <f>IFERROR(__xludf.DUMMYFUNCTION("""COMPUTED_VALUE"""),0.001)</f>
        <v>0.001</v>
      </c>
    </row>
    <row r="5921">
      <c r="A5921" s="131">
        <f>IFERROR(__xludf.DUMMYFUNCTION("""COMPUTED_VALUE"""),46187.53994212963)</f>
        <v>46187.53994</v>
      </c>
      <c r="B5921" s="126">
        <f>IFERROR(__xludf.DUMMYFUNCTION("""COMPUTED_VALUE"""),46187.0)</f>
        <v>46187</v>
      </c>
      <c r="C5921" s="122" t="str">
        <f>IFERROR(__xludf.DUMMYFUNCTION("""COMPUTED_VALUE"""),"LOAN")</f>
        <v>LOAN</v>
      </c>
      <c r="D5921" s="122" t="str">
        <f>IFERROR(__xludf.DUMMYFUNCTION("""COMPUTED_VALUE"""),"LoanLab")</f>
        <v>LoanLab</v>
      </c>
      <c r="E5921" s="122">
        <f>IFERROR(__xludf.DUMMYFUNCTION("""COMPUTED_VALUE"""),65.92)</f>
        <v>65.92</v>
      </c>
      <c r="F5921" s="122">
        <f>IFERROR(__xludf.DUMMYFUNCTION("""COMPUTED_VALUE"""),-2.0E-4)</f>
        <v>-0.0002</v>
      </c>
    </row>
    <row r="5922">
      <c r="A5922" s="131">
        <f>IFERROR(__xludf.DUMMYFUNCTION("""COMPUTED_VALUE"""),46187.53994212963)</f>
        <v>46187.53994</v>
      </c>
      <c r="B5922" s="126">
        <f>IFERROR(__xludf.DUMMYFUNCTION("""COMPUTED_VALUE"""),46187.0)</f>
        <v>46187</v>
      </c>
      <c r="C5922" s="122" t="str">
        <f>IFERROR(__xludf.DUMMYFUNCTION("""COMPUTED_VALUE"""),"LUXE")</f>
        <v>LUXE</v>
      </c>
      <c r="D5922" s="122" t="str">
        <f>IFERROR(__xludf.DUMMYFUNCTION("""COMPUTED_VALUE"""),"Luxury Locker")</f>
        <v>Luxury Locker</v>
      </c>
      <c r="E5922" s="122">
        <f>IFERROR(__xludf.DUMMYFUNCTION("""COMPUTED_VALUE"""),269.6)</f>
        <v>269.6</v>
      </c>
      <c r="F5922" s="122">
        <f>IFERROR(__xludf.DUMMYFUNCTION("""COMPUTED_VALUE"""),-5.0E-4)</f>
        <v>-0.0005</v>
      </c>
    </row>
    <row r="5923">
      <c r="A5923" s="131">
        <f>IFERROR(__xludf.DUMMYFUNCTION("""COMPUTED_VALUE"""),46187.53994212963)</f>
        <v>46187.53994</v>
      </c>
      <c r="B5923" s="126">
        <f>IFERROR(__xludf.DUMMYFUNCTION("""COMPUTED_VALUE"""),46187.0)</f>
        <v>46187</v>
      </c>
      <c r="C5923" s="122" t="str">
        <f>IFERROR(__xludf.DUMMYFUNCTION("""COMPUTED_VALUE"""),"DRIP")</f>
        <v>DRIP</v>
      </c>
      <c r="D5923" s="122" t="str">
        <f>IFERROR(__xludf.DUMMYFUNCTION("""COMPUTED_VALUE"""),"Drip Streetwear")</f>
        <v>Drip Streetwear</v>
      </c>
      <c r="E5923" s="122">
        <f>IFERROR(__xludf.DUMMYFUNCTION("""COMPUTED_VALUE"""),196.15)</f>
        <v>196.15</v>
      </c>
      <c r="F5923" s="122">
        <f>IFERROR(__xludf.DUMMYFUNCTION("""COMPUTED_VALUE"""),-0.0022)</f>
        <v>-0.0022</v>
      </c>
    </row>
    <row r="5924">
      <c r="A5924" s="131">
        <f>IFERROR(__xludf.DUMMYFUNCTION("""COMPUTED_VALUE"""),46187.53994212963)</f>
        <v>46187.53994</v>
      </c>
      <c r="B5924" s="126">
        <f>IFERROR(__xludf.DUMMYFUNCTION("""COMPUTED_VALUE"""),46187.0)</f>
        <v>46187</v>
      </c>
      <c r="C5924" s="122" t="str">
        <f>IFERROR(__xludf.DUMMYFUNCTION("""COMPUTED_VALUE"""),"KICK")</f>
        <v>KICK</v>
      </c>
      <c r="D5924" s="122" t="str">
        <f>IFERROR(__xludf.DUMMYFUNCTION("""COMPUTED_VALUE"""),"KickDrop Sneakers")</f>
        <v>KickDrop Sneakers</v>
      </c>
      <c r="E5924" s="122">
        <f>IFERROR(__xludf.DUMMYFUNCTION("""COMPUTED_VALUE"""),167.74)</f>
        <v>167.74</v>
      </c>
      <c r="F5924" s="122">
        <f>IFERROR(__xludf.DUMMYFUNCTION("""COMPUTED_VALUE"""),-0.007)</f>
        <v>-0.007</v>
      </c>
    </row>
    <row r="5925">
      <c r="A5925" s="131">
        <f>IFERROR(__xludf.DUMMYFUNCTION("""COMPUTED_VALUE"""),46187.53994212963)</f>
        <v>46187.53994</v>
      </c>
      <c r="B5925" s="126">
        <f>IFERROR(__xludf.DUMMYFUNCTION("""COMPUTED_VALUE"""),46187.0)</f>
        <v>46187</v>
      </c>
      <c r="C5925" s="122" t="str">
        <f>IFERROR(__xludf.DUMMYFUNCTION("""COMPUTED_VALUE"""),"GLAM")</f>
        <v>GLAM</v>
      </c>
      <c r="D5925" s="122" t="str">
        <f>IFERROR(__xludf.DUMMYFUNCTION("""COMPUTED_VALUE"""),"Glow Cosmetics")</f>
        <v>Glow Cosmetics</v>
      </c>
      <c r="E5925" s="122">
        <f>IFERROR(__xludf.DUMMYFUNCTION("""COMPUTED_VALUE"""),107.89)</f>
        <v>107.89</v>
      </c>
      <c r="F5925" s="122">
        <f>IFERROR(__xludf.DUMMYFUNCTION("""COMPUTED_VALUE"""),-6.0E-4)</f>
        <v>-0.0006</v>
      </c>
    </row>
    <row r="5926">
      <c r="A5926" s="131">
        <f>IFERROR(__xludf.DUMMYFUNCTION("""COMPUTED_VALUE"""),46187.53994212963)</f>
        <v>46187.53994</v>
      </c>
      <c r="B5926" s="126">
        <f>IFERROR(__xludf.DUMMYFUNCTION("""COMPUTED_VALUE"""),46187.0)</f>
        <v>46187</v>
      </c>
      <c r="C5926" s="122" t="str">
        <f>IFERROR(__xludf.DUMMYFUNCTION("""COMPUTED_VALUE"""),"BAGG")</f>
        <v>BAGG</v>
      </c>
      <c r="D5926" s="122" t="str">
        <f>IFERROR(__xludf.DUMMYFUNCTION("""COMPUTED_VALUE"""),"BagVault")</f>
        <v>BagVault</v>
      </c>
      <c r="E5926" s="122">
        <f>IFERROR(__xludf.DUMMYFUNCTION("""COMPUTED_VALUE"""),256.35)</f>
        <v>256.35</v>
      </c>
      <c r="F5926" s="122">
        <f>IFERROR(__xludf.DUMMYFUNCTION("""COMPUTED_VALUE"""),-0.0043)</f>
        <v>-0.0043</v>
      </c>
    </row>
    <row r="5927">
      <c r="A5927" s="131">
        <f>IFERROR(__xludf.DUMMYFUNCTION("""COMPUTED_VALUE"""),46187.53994212963)</f>
        <v>46187.53994</v>
      </c>
      <c r="B5927" s="126">
        <f>IFERROR(__xludf.DUMMYFUNCTION("""COMPUTED_VALUE"""),46187.0)</f>
        <v>46187</v>
      </c>
      <c r="C5927" s="122" t="str">
        <f>IFERROR(__xludf.DUMMYFUNCTION("""COMPUTED_VALUE"""),"FAST")</f>
        <v>FAST</v>
      </c>
      <c r="D5927" s="122" t="str">
        <f>IFERROR(__xludf.DUMMYFUNCTION("""COMPUTED_VALUE"""),"Flash Logistics")</f>
        <v>Flash Logistics</v>
      </c>
      <c r="E5927" s="122">
        <f>IFERROR(__xludf.DUMMYFUNCTION("""COMPUTED_VALUE"""),105.1)</f>
        <v>105.1</v>
      </c>
      <c r="F5927" s="122">
        <f>IFERROR(__xludf.DUMMYFUNCTION("""COMPUTED_VALUE"""),-0.001)</f>
        <v>-0.001</v>
      </c>
    </row>
    <row r="5928">
      <c r="A5928" s="131">
        <f>IFERROR(__xludf.DUMMYFUNCTION("""COMPUTED_VALUE"""),46187.53994212963)</f>
        <v>46187.53994</v>
      </c>
      <c r="B5928" s="126">
        <f>IFERROR(__xludf.DUMMYFUNCTION("""COMPUTED_VALUE"""),46187.0)</f>
        <v>46187</v>
      </c>
      <c r="C5928" s="122" t="str">
        <f>IFERROR(__xludf.DUMMYFUNCTION("""COMPUTED_VALUE"""),"SHIP")</f>
        <v>SHIP</v>
      </c>
      <c r="D5928" s="122" t="str">
        <f>IFERROR(__xludf.DUMMYFUNCTION("""COMPUTED_VALUE"""),"Seoul Shipping")</f>
        <v>Seoul Shipping</v>
      </c>
      <c r="E5928" s="122">
        <f>IFERROR(__xludf.DUMMYFUNCTION("""COMPUTED_VALUE"""),127.34)</f>
        <v>127.34</v>
      </c>
      <c r="F5928" s="122">
        <f>IFERROR(__xludf.DUMMYFUNCTION("""COMPUTED_VALUE"""),-0.0031)</f>
        <v>-0.0031</v>
      </c>
    </row>
    <row r="5929">
      <c r="A5929" s="131">
        <f>IFERROR(__xludf.DUMMYFUNCTION("""COMPUTED_VALUE"""),46187.53994212963)</f>
        <v>46187.53994</v>
      </c>
      <c r="B5929" s="126">
        <f>IFERROR(__xludf.DUMMYFUNCTION("""COMPUTED_VALUE"""),46187.0)</f>
        <v>46187</v>
      </c>
      <c r="C5929" s="122" t="str">
        <f>IFERROR(__xludf.DUMMYFUNCTION("""COMPUTED_VALUE"""),"DRON")</f>
        <v>DRON</v>
      </c>
      <c r="D5929" s="122" t="str">
        <f>IFERROR(__xludf.DUMMYFUNCTION("""COMPUTED_VALUE"""),"DroneDrop")</f>
        <v>DroneDrop</v>
      </c>
      <c r="E5929" s="122">
        <f>IFERROR(__xludf.DUMMYFUNCTION("""COMPUTED_VALUE"""),127.42)</f>
        <v>127.42</v>
      </c>
      <c r="F5929" s="122">
        <f>IFERROR(__xludf.DUMMYFUNCTION("""COMPUTED_VALUE"""),-0.0032)</f>
        <v>-0.0032</v>
      </c>
    </row>
    <row r="5930">
      <c r="A5930" s="131">
        <f>IFERROR(__xludf.DUMMYFUNCTION("""COMPUTED_VALUE"""),46187.53994212963)</f>
        <v>46187.53994</v>
      </c>
      <c r="B5930" s="126">
        <f>IFERROR(__xludf.DUMMYFUNCTION("""COMPUTED_VALUE"""),46187.0)</f>
        <v>46187</v>
      </c>
      <c r="C5930" s="122" t="str">
        <f>IFERROR(__xludf.DUMMYFUNCTION("""COMPUTED_VALUE"""),"RIDE")</f>
        <v>RIDE</v>
      </c>
      <c r="D5930" s="122" t="str">
        <f>IFERROR(__xludf.DUMMYFUNCTION("""COMPUTED_VALUE"""),"QuickRide")</f>
        <v>QuickRide</v>
      </c>
      <c r="E5930" s="122">
        <f>IFERROR(__xludf.DUMMYFUNCTION("""COMPUTED_VALUE"""),99.34)</f>
        <v>99.34</v>
      </c>
      <c r="F5930" s="122">
        <f>IFERROR(__xludf.DUMMYFUNCTION("""COMPUTED_VALUE"""),-0.0062)</f>
        <v>-0.0062</v>
      </c>
    </row>
    <row r="5931">
      <c r="A5931" s="131">
        <f>IFERROR(__xludf.DUMMYFUNCTION("""COMPUTED_VALUE"""),46187.53994212963)</f>
        <v>46187.53994</v>
      </c>
      <c r="B5931" s="126">
        <f>IFERROR(__xludf.DUMMYFUNCTION("""COMPUTED_VALUE"""),46187.0)</f>
        <v>46187</v>
      </c>
      <c r="C5931" s="122" t="str">
        <f>IFERROR(__xludf.DUMMYFUNCTION("""COMPUTED_VALUE"""),"RAIL")</f>
        <v>RAIL</v>
      </c>
      <c r="D5931" s="122" t="str">
        <f>IFERROR(__xludf.DUMMYFUNCTION("""COMPUTED_VALUE"""),"MetroRail Corp")</f>
        <v>MetroRail Corp</v>
      </c>
      <c r="E5931" s="122">
        <f>IFERROR(__xludf.DUMMYFUNCTION("""COMPUTED_VALUE"""),132.38)</f>
        <v>132.38</v>
      </c>
      <c r="F5931" s="122">
        <f>IFERROR(__xludf.DUMMYFUNCTION("""COMPUTED_VALUE"""),-0.002)</f>
        <v>-0.002</v>
      </c>
    </row>
    <row r="5932">
      <c r="A5932" s="131">
        <f>IFERROR(__xludf.DUMMYFUNCTION("""COMPUTED_VALUE"""),46187.53994212963)</f>
        <v>46187.53994</v>
      </c>
      <c r="B5932" s="126">
        <f>IFERROR(__xludf.DUMMYFUNCTION("""COMPUTED_VALUE"""),46187.0)</f>
        <v>46187</v>
      </c>
      <c r="C5932" s="122" t="str">
        <f>IFERROR(__xludf.DUMMYFUNCTION("""COMPUTED_VALUE"""),"MEDX")</f>
        <v>MEDX</v>
      </c>
      <c r="D5932" s="122" t="str">
        <f>IFERROR(__xludf.DUMMYFUNCTION("""COMPUTED_VALUE"""),"MediCore")</f>
        <v>MediCore</v>
      </c>
      <c r="E5932" s="122">
        <f>IFERROR(__xludf.DUMMYFUNCTION("""COMPUTED_VALUE"""),137.44)</f>
        <v>137.44</v>
      </c>
      <c r="F5932" s="122">
        <f>IFERROR(__xludf.DUMMYFUNCTION("""COMPUTED_VALUE"""),-0.0036)</f>
        <v>-0.0036</v>
      </c>
    </row>
    <row r="5933">
      <c r="A5933" s="131">
        <f>IFERROR(__xludf.DUMMYFUNCTION("""COMPUTED_VALUE"""),46187.53994212963)</f>
        <v>46187.53994</v>
      </c>
      <c r="B5933" s="126">
        <f>IFERROR(__xludf.DUMMYFUNCTION("""COMPUTED_VALUE"""),46187.0)</f>
        <v>46187</v>
      </c>
      <c r="C5933" s="122" t="str">
        <f>IFERROR(__xludf.DUMMYFUNCTION("""COMPUTED_VALUE"""),"GYMX")</f>
        <v>GYMX</v>
      </c>
      <c r="D5933" s="122" t="str">
        <f>IFERROR(__xludf.DUMMYFUNCTION("""COMPUTED_VALUE"""),"GymX Fitness")</f>
        <v>GymX Fitness</v>
      </c>
      <c r="E5933" s="122">
        <f>IFERROR(__xludf.DUMMYFUNCTION("""COMPUTED_VALUE"""),85.63)</f>
        <v>85.63</v>
      </c>
      <c r="F5933" s="122">
        <f>IFERROR(__xludf.DUMMYFUNCTION("""COMPUTED_VALUE"""),-0.0052)</f>
        <v>-0.0052</v>
      </c>
    </row>
    <row r="5934">
      <c r="A5934" s="131">
        <f>IFERROR(__xludf.DUMMYFUNCTION("""COMPUTED_VALUE"""),46187.53994212963)</f>
        <v>46187.53994</v>
      </c>
      <c r="B5934" s="126">
        <f>IFERROR(__xludf.DUMMYFUNCTION("""COMPUTED_VALUE"""),46187.0)</f>
        <v>46187</v>
      </c>
      <c r="C5934" s="122" t="str">
        <f>IFERROR(__xludf.DUMMYFUNCTION("""COMPUTED_VALUE"""),"VITA")</f>
        <v>VITA</v>
      </c>
      <c r="D5934" s="122" t="str">
        <f>IFERROR(__xludf.DUMMYFUNCTION("""COMPUTED_VALUE"""),"VitaPlus")</f>
        <v>VitaPlus</v>
      </c>
      <c r="E5934" s="122">
        <f>IFERROR(__xludf.DUMMYFUNCTION("""COMPUTED_VALUE"""),71.74)</f>
        <v>71.74</v>
      </c>
      <c r="F5934" s="122">
        <f>IFERROR(__xludf.DUMMYFUNCTION("""COMPUTED_VALUE"""),-0.0028)</f>
        <v>-0.0028</v>
      </c>
    </row>
    <row r="5935">
      <c r="A5935" s="131">
        <f>IFERROR(__xludf.DUMMYFUNCTION("""COMPUTED_VALUE"""),46187.53994212963)</f>
        <v>46187.53994</v>
      </c>
      <c r="B5935" s="126">
        <f>IFERROR(__xludf.DUMMYFUNCTION("""COMPUTED_VALUE"""),46187.0)</f>
        <v>46187</v>
      </c>
      <c r="C5935" s="122" t="str">
        <f>IFERROR(__xludf.DUMMYFUNCTION("""COMPUTED_VALUE"""),"CARE")</f>
        <v>CARE</v>
      </c>
      <c r="D5935" s="122" t="str">
        <f>IFERROR(__xludf.DUMMYFUNCTION("""COMPUTED_VALUE"""),"CareCloud")</f>
        <v>CareCloud</v>
      </c>
      <c r="E5935" s="122">
        <f>IFERROR(__xludf.DUMMYFUNCTION("""COMPUTED_VALUE"""),179.48)</f>
        <v>179.48</v>
      </c>
      <c r="F5935" s="122">
        <f>IFERROR(__xludf.DUMMYFUNCTION("""COMPUTED_VALUE"""),-0.0039)</f>
        <v>-0.0039</v>
      </c>
    </row>
    <row r="5936">
      <c r="A5936" s="131">
        <f>IFERROR(__xludf.DUMMYFUNCTION("""COMPUTED_VALUE"""),46187.53994212963)</f>
        <v>46187.53994</v>
      </c>
      <c r="B5936" s="126">
        <f>IFERROR(__xludf.DUMMYFUNCTION("""COMPUTED_VALUE"""),46187.0)</f>
        <v>46187</v>
      </c>
      <c r="C5936" s="122" t="str">
        <f>IFERROR(__xludf.DUMMYFUNCTION("""COMPUTED_VALUE"""),"DENT")</f>
        <v>DENT</v>
      </c>
      <c r="D5936" s="122" t="str">
        <f>IFERROR(__xludf.DUMMYFUNCTION("""COMPUTED_VALUE"""),"SmileWorks")</f>
        <v>SmileWorks</v>
      </c>
      <c r="E5936" s="122">
        <f>IFERROR(__xludf.DUMMYFUNCTION("""COMPUTED_VALUE"""),91.44)</f>
        <v>91.44</v>
      </c>
      <c r="F5936" s="122">
        <f>IFERROR(__xludf.DUMMYFUNCTION("""COMPUTED_VALUE"""),0.0061)</f>
        <v>0.0061</v>
      </c>
    </row>
    <row r="5937">
      <c r="A5937" s="131">
        <f>IFERROR(__xludf.DUMMYFUNCTION("""COMPUTED_VALUE"""),46187.53994212963)</f>
        <v>46187.53994</v>
      </c>
      <c r="B5937" s="126">
        <f>IFERROR(__xludf.DUMMYFUNCTION("""COMPUTED_VALUE"""),46187.0)</f>
        <v>46187</v>
      </c>
      <c r="C5937" s="122" t="str">
        <f>IFERROR(__xludf.DUMMYFUNCTION("""COMPUTED_VALUE"""),"EDUX")</f>
        <v>EDUX</v>
      </c>
      <c r="D5937" s="122" t="str">
        <f>IFERROR(__xludf.DUMMYFUNCTION("""COMPUTED_VALUE"""),"EduMax Learning")</f>
        <v>EduMax Learning</v>
      </c>
      <c r="E5937" s="122">
        <f>IFERROR(__xludf.DUMMYFUNCTION("""COMPUTED_VALUE"""),143.43)</f>
        <v>143.43</v>
      </c>
      <c r="F5937" s="122">
        <f>IFERROR(__xludf.DUMMYFUNCTION("""COMPUTED_VALUE"""),0.0069)</f>
        <v>0.0069</v>
      </c>
    </row>
    <row r="5938">
      <c r="A5938" s="131">
        <f>IFERROR(__xludf.DUMMYFUNCTION("""COMPUTED_VALUE"""),46187.53994212963)</f>
        <v>46187.53994</v>
      </c>
      <c r="B5938" s="126">
        <f>IFERROR(__xludf.DUMMYFUNCTION("""COMPUTED_VALUE"""),46187.0)</f>
        <v>46187</v>
      </c>
      <c r="C5938" s="122" t="str">
        <f>IFERROR(__xludf.DUMMYFUNCTION("""COMPUTED_VALUE"""),"BOOK")</f>
        <v>BOOK</v>
      </c>
      <c r="D5938" s="122" t="str">
        <f>IFERROR(__xludf.DUMMYFUNCTION("""COMPUTED_VALUE"""),"BookBridge")</f>
        <v>BookBridge</v>
      </c>
      <c r="E5938" s="122">
        <f>IFERROR(__xludf.DUMMYFUNCTION("""COMPUTED_VALUE"""),118.52)</f>
        <v>118.52</v>
      </c>
      <c r="F5938" s="122">
        <f>IFERROR(__xludf.DUMMYFUNCTION("""COMPUTED_VALUE"""),0.003)</f>
        <v>0.003</v>
      </c>
    </row>
    <row r="5939">
      <c r="A5939" s="131">
        <f>IFERROR(__xludf.DUMMYFUNCTION("""COMPUTED_VALUE"""),46187.53994212963)</f>
        <v>46187.53994</v>
      </c>
      <c r="B5939" s="126">
        <f>IFERROR(__xludf.DUMMYFUNCTION("""COMPUTED_VALUE"""),46187.0)</f>
        <v>46187</v>
      </c>
      <c r="C5939" s="122" t="str">
        <f>IFERROR(__xludf.DUMMYFUNCTION("""COMPUTED_VALUE"""),"TUTR")</f>
        <v>TUTR</v>
      </c>
      <c r="D5939" s="122" t="str">
        <f>IFERROR(__xludf.DUMMYFUNCTION("""COMPUTED_VALUE"""),"TutorTown")</f>
        <v>TutorTown</v>
      </c>
      <c r="E5939" s="122">
        <f>IFERROR(__xludf.DUMMYFUNCTION("""COMPUTED_VALUE"""),90.06)</f>
        <v>90.06</v>
      </c>
      <c r="F5939" s="122">
        <f>IFERROR(__xludf.DUMMYFUNCTION("""COMPUTED_VALUE"""),-0.001)</f>
        <v>-0.001</v>
      </c>
    </row>
    <row r="5940">
      <c r="A5940" s="131">
        <f>IFERROR(__xludf.DUMMYFUNCTION("""COMPUTED_VALUE"""),46187.53994212963)</f>
        <v>46187.53994</v>
      </c>
      <c r="B5940" s="126">
        <f>IFERROR(__xludf.DUMMYFUNCTION("""COMPUTED_VALUE"""),46187.0)</f>
        <v>46187</v>
      </c>
      <c r="C5940" s="122" t="str">
        <f>IFERROR(__xludf.DUMMYFUNCTION("""COMPUTED_VALUE"""),"LANG")</f>
        <v>LANG</v>
      </c>
      <c r="D5940" s="122" t="str">
        <f>IFERROR(__xludf.DUMMYFUNCTION("""COMPUTED_VALUE"""),"LinguaLab")</f>
        <v>LinguaLab</v>
      </c>
      <c r="E5940" s="122">
        <f>IFERROR(__xludf.DUMMYFUNCTION("""COMPUTED_VALUE"""),100.93)</f>
        <v>100.93</v>
      </c>
      <c r="F5940" s="122">
        <f>IFERROR(__xludf.DUMMYFUNCTION("""COMPUTED_VALUE"""),0.0042)</f>
        <v>0.0042</v>
      </c>
    </row>
    <row r="5941">
      <c r="A5941" s="131">
        <f>IFERROR(__xludf.DUMMYFUNCTION("""COMPUTED_VALUE"""),46187.53994212963)</f>
        <v>46187.53994</v>
      </c>
      <c r="B5941" s="126">
        <f>IFERROR(__xludf.DUMMYFUNCTION("""COMPUTED_VALUE"""),46187.0)</f>
        <v>46187</v>
      </c>
      <c r="C5941" s="122" t="str">
        <f>IFERROR(__xludf.DUMMYFUNCTION("""COMPUTED_VALUE"""),"TEST")</f>
        <v>TEST</v>
      </c>
      <c r="D5941" s="122" t="str">
        <f>IFERROR(__xludf.DUMMYFUNCTION("""COMPUTED_VALUE"""),"TestPrep Pro")</f>
        <v>TestPrep Pro</v>
      </c>
      <c r="E5941" s="122">
        <f>IFERROR(__xludf.DUMMYFUNCTION("""COMPUTED_VALUE"""),93.35)</f>
        <v>93.35</v>
      </c>
      <c r="F5941" s="122">
        <f>IFERROR(__xludf.DUMMYFUNCTION("""COMPUTED_VALUE"""),-0.0017)</f>
        <v>-0.0017</v>
      </c>
    </row>
    <row r="5942">
      <c r="A5942" s="131">
        <f>IFERROR(__xludf.DUMMYFUNCTION("""COMPUTED_VALUE"""),46187.53994212963)</f>
        <v>46187.53994</v>
      </c>
      <c r="B5942" s="126">
        <f>IFERROR(__xludf.DUMMYFUNCTION("""COMPUTED_VALUE"""),46187.0)</f>
        <v>46187</v>
      </c>
      <c r="C5942" s="122" t="str">
        <f>IFERROR(__xludf.DUMMYFUNCTION("""COMPUTED_VALUE"""),"MOVI")</f>
        <v>MOVI</v>
      </c>
      <c r="D5942" s="122" t="str">
        <f>IFERROR(__xludf.DUMMYFUNCTION("""COMPUTED_VALUE"""),"MovieBox")</f>
        <v>MovieBox</v>
      </c>
      <c r="E5942" s="122">
        <f>IFERROR(__xludf.DUMMYFUNCTION("""COMPUTED_VALUE"""),82.24)</f>
        <v>82.24</v>
      </c>
      <c r="F5942" s="122">
        <f>IFERROR(__xludf.DUMMYFUNCTION("""COMPUTED_VALUE"""),0.007)</f>
        <v>0.007</v>
      </c>
    </row>
    <row r="5943">
      <c r="A5943" s="131">
        <f>IFERROR(__xludf.DUMMYFUNCTION("""COMPUTED_VALUE"""),46187.53994212963)</f>
        <v>46187.53994</v>
      </c>
      <c r="B5943" s="126">
        <f>IFERROR(__xludf.DUMMYFUNCTION("""COMPUTED_VALUE"""),46187.0)</f>
        <v>46187</v>
      </c>
      <c r="C5943" s="122" t="str">
        <f>IFERROR(__xludf.DUMMYFUNCTION("""COMPUTED_VALUE"""),"MUSC")</f>
        <v>MUSC</v>
      </c>
      <c r="D5943" s="122" t="str">
        <f>IFERROR(__xludf.DUMMYFUNCTION("""COMPUTED_VALUE"""),"MusicWave")</f>
        <v>MusicWave</v>
      </c>
      <c r="E5943" s="122">
        <f>IFERROR(__xludf.DUMMYFUNCTION("""COMPUTED_VALUE"""),101.8)</f>
        <v>101.8</v>
      </c>
      <c r="F5943" s="122">
        <f>IFERROR(__xludf.DUMMYFUNCTION("""COMPUTED_VALUE"""),0.0074)</f>
        <v>0.0074</v>
      </c>
    </row>
    <row r="5944">
      <c r="A5944" s="131">
        <f>IFERROR(__xludf.DUMMYFUNCTION("""COMPUTED_VALUE"""),46187.53994212963)</f>
        <v>46187.53994</v>
      </c>
      <c r="B5944" s="126">
        <f>IFERROR(__xludf.DUMMYFUNCTION("""COMPUTED_VALUE"""),46187.0)</f>
        <v>46187</v>
      </c>
      <c r="C5944" s="122" t="str">
        <f>IFERROR(__xludf.DUMMYFUNCTION("""COMPUTED_VALUE"""),"IDOL")</f>
        <v>IDOL</v>
      </c>
      <c r="D5944" s="122" t="str">
        <f>IFERROR(__xludf.DUMMYFUNCTION("""COMPUTED_VALUE"""),"Idol Agency")</f>
        <v>Idol Agency</v>
      </c>
      <c r="E5944" s="122">
        <f>IFERROR(__xludf.DUMMYFUNCTION("""COMPUTED_VALUE"""),188.1)</f>
        <v>188.1</v>
      </c>
      <c r="F5944" s="122">
        <f>IFERROR(__xludf.DUMMYFUNCTION("""COMPUTED_VALUE"""),-0.0063)</f>
        <v>-0.0063</v>
      </c>
    </row>
    <row r="5945">
      <c r="A5945" s="131">
        <f>IFERROR(__xludf.DUMMYFUNCTION("""COMPUTED_VALUE"""),46187.53994212963)</f>
        <v>46187.53994</v>
      </c>
      <c r="B5945" s="126">
        <f>IFERROR(__xludf.DUMMYFUNCTION("""COMPUTED_VALUE"""),46187.0)</f>
        <v>46187</v>
      </c>
      <c r="C5945" s="122" t="str">
        <f>IFERROR(__xludf.DUMMYFUNCTION("""COMPUTED_VALUE"""),"MEME")</f>
        <v>MEME</v>
      </c>
      <c r="D5945" s="122" t="str">
        <f>IFERROR(__xludf.DUMMYFUNCTION("""COMPUTED_VALUE"""),"Meme Media")</f>
        <v>Meme Media</v>
      </c>
      <c r="E5945" s="122">
        <f>IFERROR(__xludf.DUMMYFUNCTION("""COMPUTED_VALUE"""),73.05)</f>
        <v>73.05</v>
      </c>
      <c r="F5945" s="122">
        <f>IFERROR(__xludf.DUMMYFUNCTION("""COMPUTED_VALUE"""),0.0123)</f>
        <v>0.0123</v>
      </c>
    </row>
    <row r="5946">
      <c r="A5946" s="131">
        <f>IFERROR(__xludf.DUMMYFUNCTION("""COMPUTED_VALUE"""),46187.53994212963)</f>
        <v>46187.53994</v>
      </c>
      <c r="B5946" s="126">
        <f>IFERROR(__xludf.DUMMYFUNCTION("""COMPUTED_VALUE"""),46187.0)</f>
        <v>46187</v>
      </c>
      <c r="C5946" s="122" t="str">
        <f>IFERROR(__xludf.DUMMYFUNCTION("""COMPUTED_VALUE"""),"STRM")</f>
        <v>STRM</v>
      </c>
      <c r="D5946" s="122" t="str">
        <f>IFERROR(__xludf.DUMMYFUNCTION("""COMPUTED_VALUE"""),"Streamly")</f>
        <v>Streamly</v>
      </c>
      <c r="E5946" s="122">
        <f>IFERROR(__xludf.DUMMYFUNCTION("""COMPUTED_VALUE"""),139.5)</f>
        <v>139.5</v>
      </c>
      <c r="F5946" s="122">
        <f>IFERROR(__xludf.DUMMYFUNCTION("""COMPUTED_VALUE"""),0.0074)</f>
        <v>0.0074</v>
      </c>
    </row>
    <row r="5947">
      <c r="A5947" s="131">
        <f>IFERROR(__xludf.DUMMYFUNCTION("""COMPUTED_VALUE"""),46187.53994212963)</f>
        <v>46187.53994</v>
      </c>
      <c r="B5947" s="126">
        <f>IFERROR(__xludf.DUMMYFUNCTION("""COMPUTED_VALUE"""),46187.0)</f>
        <v>46187</v>
      </c>
      <c r="C5947" s="122" t="str">
        <f>IFERROR(__xludf.DUMMYFUNCTION("""COMPUTED_VALUE"""),"FARM")</f>
        <v>FARM</v>
      </c>
      <c r="D5947" s="122" t="str">
        <f>IFERROR(__xludf.DUMMYFUNCTION("""COMPUTED_VALUE"""),"Future Farms")</f>
        <v>Future Farms</v>
      </c>
      <c r="E5947" s="122">
        <f>IFERROR(__xludf.DUMMYFUNCTION("""COMPUTED_VALUE"""),91.8)</f>
        <v>91.8</v>
      </c>
      <c r="F5947" s="122">
        <f>IFERROR(__xludf.DUMMYFUNCTION("""COMPUTED_VALUE"""),0.0059)</f>
        <v>0.0059</v>
      </c>
    </row>
    <row r="5948">
      <c r="A5948" s="131">
        <f>IFERROR(__xludf.DUMMYFUNCTION("""COMPUTED_VALUE"""),46187.53994212963)</f>
        <v>46187.53994</v>
      </c>
      <c r="B5948" s="126">
        <f>IFERROR(__xludf.DUMMYFUNCTION("""COMPUTED_VALUE"""),46187.0)</f>
        <v>46187</v>
      </c>
      <c r="C5948" s="122" t="str">
        <f>IFERROR(__xludf.DUMMYFUNCTION("""COMPUTED_VALUE"""),"MEAT")</f>
        <v>MEAT</v>
      </c>
      <c r="D5948" s="122" t="str">
        <f>IFERROR(__xludf.DUMMYFUNCTION("""COMPUTED_VALUE"""),"MeatWorks")</f>
        <v>MeatWorks</v>
      </c>
      <c r="E5948" s="122">
        <f>IFERROR(__xludf.DUMMYFUNCTION("""COMPUTED_VALUE"""),105.88)</f>
        <v>105.88</v>
      </c>
      <c r="F5948" s="122">
        <f>IFERROR(__xludf.DUMMYFUNCTION("""COMPUTED_VALUE"""),0.0079)</f>
        <v>0.0079</v>
      </c>
    </row>
    <row r="5949">
      <c r="A5949" s="131">
        <f>IFERROR(__xludf.DUMMYFUNCTION("""COMPUTED_VALUE"""),46187.53994212963)</f>
        <v>46187.53994</v>
      </c>
      <c r="B5949" s="126">
        <f>IFERROR(__xludf.DUMMYFUNCTION("""COMPUTED_VALUE"""),46187.0)</f>
        <v>46187</v>
      </c>
      <c r="C5949" s="122" t="str">
        <f>IFERROR(__xludf.DUMMYFUNCTION("""COMPUTED_VALUE"""),"VEGI")</f>
        <v>VEGI</v>
      </c>
      <c r="D5949" s="122" t="str">
        <f>IFERROR(__xludf.DUMMYFUNCTION("""COMPUTED_VALUE"""),"Green Basket")</f>
        <v>Green Basket</v>
      </c>
      <c r="E5949" s="122">
        <f>IFERROR(__xludf.DUMMYFUNCTION("""COMPUTED_VALUE"""),78.94)</f>
        <v>78.94</v>
      </c>
      <c r="F5949" s="122">
        <f>IFERROR(__xludf.DUMMYFUNCTION("""COMPUTED_VALUE"""),0.003)</f>
        <v>0.003</v>
      </c>
    </row>
    <row r="5950">
      <c r="A5950" s="131">
        <f>IFERROR(__xludf.DUMMYFUNCTION("""COMPUTED_VALUE"""),46187.53994212963)</f>
        <v>46187.53994</v>
      </c>
      <c r="B5950" s="126">
        <f>IFERROR(__xludf.DUMMYFUNCTION("""COMPUTED_VALUE"""),46187.0)</f>
        <v>46187</v>
      </c>
      <c r="C5950" s="122" t="str">
        <f>IFERROR(__xludf.DUMMYFUNCTION("""COMPUTED_VALUE"""),"CAFE")</f>
        <v>CAFE</v>
      </c>
      <c r="D5950" s="122" t="str">
        <f>IFERROR(__xludf.DUMMYFUNCTION("""COMPUTED_VALUE"""),"Cafe Cloud")</f>
        <v>Cafe Cloud</v>
      </c>
      <c r="E5950" s="122">
        <f>IFERROR(__xludf.DUMMYFUNCTION("""COMPUTED_VALUE"""),100.19)</f>
        <v>100.19</v>
      </c>
      <c r="F5950" s="122">
        <f>IFERROR(__xludf.DUMMYFUNCTION("""COMPUTED_VALUE"""),0.0016)</f>
        <v>0.0016</v>
      </c>
    </row>
    <row r="5951">
      <c r="A5951" s="131">
        <f>IFERROR(__xludf.DUMMYFUNCTION("""COMPUTED_VALUE"""),46187.53994212963)</f>
        <v>46187.53994</v>
      </c>
      <c r="B5951" s="126">
        <f>IFERROR(__xludf.DUMMYFUNCTION("""COMPUTED_VALUE"""),46187.0)</f>
        <v>46187</v>
      </c>
      <c r="C5951" s="122" t="str">
        <f>IFERROR(__xludf.DUMMYFUNCTION("""COMPUTED_VALUE"""),"BAKE")</f>
        <v>BAKE</v>
      </c>
      <c r="D5951" s="122" t="str">
        <f>IFERROR(__xludf.DUMMYFUNCTION("""COMPUTED_VALUE"""),"BakeHouse")</f>
        <v>BakeHouse</v>
      </c>
      <c r="E5951" s="122">
        <f>IFERROR(__xludf.DUMMYFUNCTION("""COMPUTED_VALUE"""),102.15)</f>
        <v>102.15</v>
      </c>
      <c r="F5951" s="122">
        <f>IFERROR(__xludf.DUMMYFUNCTION("""COMPUTED_VALUE"""),-0.0046)</f>
        <v>-0.0046</v>
      </c>
    </row>
    <row r="5952">
      <c r="A5952" s="131">
        <f>IFERROR(__xludf.DUMMYFUNCTION("""COMPUTED_VALUE"""),46187.53994212963)</f>
        <v>46187.53994</v>
      </c>
      <c r="B5952" s="126">
        <f>IFERROR(__xludf.DUMMYFUNCTION("""COMPUTED_VALUE"""),46187.0)</f>
        <v>46187</v>
      </c>
      <c r="C5952" s="122" t="str">
        <f>IFERROR(__xludf.DUMMYFUNCTION("""COMPUTED_VALUE"""),"OILX")</f>
        <v>OILX</v>
      </c>
      <c r="D5952" s="122" t="str">
        <f>IFERROR(__xludf.DUMMYFUNCTION("""COMPUTED_VALUE"""),"OilMax Energy")</f>
        <v>OilMax Energy</v>
      </c>
      <c r="E5952" s="122">
        <f>IFERROR(__xludf.DUMMYFUNCTION("""COMPUTED_VALUE"""),129.43)</f>
        <v>129.43</v>
      </c>
      <c r="F5952" s="122">
        <f>IFERROR(__xludf.DUMMYFUNCTION("""COMPUTED_VALUE"""),0.0012)</f>
        <v>0.0012</v>
      </c>
    </row>
    <row r="5953">
      <c r="A5953" s="131">
        <f>IFERROR(__xludf.DUMMYFUNCTION("""COMPUTED_VALUE"""),46187.53994212963)</f>
        <v>46187.53994</v>
      </c>
      <c r="B5953" s="126">
        <f>IFERROR(__xludf.DUMMYFUNCTION("""COMPUTED_VALUE"""),46187.0)</f>
        <v>46187</v>
      </c>
      <c r="C5953" s="122" t="str">
        <f>IFERROR(__xludf.DUMMYFUNCTION("""COMPUTED_VALUE"""),"SOLR")</f>
        <v>SOLR</v>
      </c>
      <c r="D5953" s="122" t="str">
        <f>IFERROR(__xludf.DUMMYFUNCTION("""COMPUTED_VALUE"""),"SolarSpark")</f>
        <v>SolarSpark</v>
      </c>
      <c r="E5953" s="122">
        <f>IFERROR(__xludf.DUMMYFUNCTION("""COMPUTED_VALUE"""),100.1)</f>
        <v>100.1</v>
      </c>
      <c r="F5953" s="122">
        <f>IFERROR(__xludf.DUMMYFUNCTION("""COMPUTED_VALUE"""),-0.005)</f>
        <v>-0.005</v>
      </c>
    </row>
    <row r="5954">
      <c r="A5954" s="131">
        <f>IFERROR(__xludf.DUMMYFUNCTION("""COMPUTED_VALUE"""),46187.53994212963)</f>
        <v>46187.53994</v>
      </c>
      <c r="B5954" s="126">
        <f>IFERROR(__xludf.DUMMYFUNCTION("""COMPUTED_VALUE"""),46187.0)</f>
        <v>46187</v>
      </c>
      <c r="C5954" s="122" t="str">
        <f>IFERROR(__xludf.DUMMYFUNCTION("""COMPUTED_VALUE"""),"BATT")</f>
        <v>BATT</v>
      </c>
      <c r="D5954" s="122" t="str">
        <f>IFERROR(__xludf.DUMMYFUNCTION("""COMPUTED_VALUE"""),"BatteryBox")</f>
        <v>BatteryBox</v>
      </c>
      <c r="E5954" s="122">
        <f>IFERROR(__xludf.DUMMYFUNCTION("""COMPUTED_VALUE"""),116.47)</f>
        <v>116.47</v>
      </c>
      <c r="F5954" s="122">
        <f>IFERROR(__xludf.DUMMYFUNCTION("""COMPUTED_VALUE"""),-0.0081)</f>
        <v>-0.0081</v>
      </c>
    </row>
    <row r="5955">
      <c r="A5955" s="131">
        <f>IFERROR(__xludf.DUMMYFUNCTION("""COMPUTED_VALUE"""),46187.53994212963)</f>
        <v>46187.53994</v>
      </c>
      <c r="B5955" s="126">
        <f>IFERROR(__xludf.DUMMYFUNCTION("""COMPUTED_VALUE"""),46187.0)</f>
        <v>46187</v>
      </c>
      <c r="C5955" s="122" t="str">
        <f>IFERROR(__xludf.DUMMYFUNCTION("""COMPUTED_VALUE"""),"WIND")</f>
        <v>WIND</v>
      </c>
      <c r="D5955" s="122" t="str">
        <f>IFERROR(__xludf.DUMMYFUNCTION("""COMPUTED_VALUE"""),"WindWorks")</f>
        <v>WindWorks</v>
      </c>
      <c r="E5955" s="122">
        <f>IFERROR(__xludf.DUMMYFUNCTION("""COMPUTED_VALUE"""),88.8)</f>
        <v>88.8</v>
      </c>
      <c r="F5955" s="122">
        <f>IFERROR(__xludf.DUMMYFUNCTION("""COMPUTED_VALUE"""),0.0066)</f>
        <v>0.0066</v>
      </c>
    </row>
    <row r="5956">
      <c r="A5956" s="131">
        <f>IFERROR(__xludf.DUMMYFUNCTION("""COMPUTED_VALUE"""),46187.53994212963)</f>
        <v>46187.53994</v>
      </c>
      <c r="B5956" s="126">
        <f>IFERROR(__xludf.DUMMYFUNCTION("""COMPUTED_VALUE"""),46187.0)</f>
        <v>46187</v>
      </c>
      <c r="C5956" s="122" t="str">
        <f>IFERROR(__xludf.DUMMYFUNCTION("""COMPUTED_VALUE"""),"GRID")</f>
        <v>GRID</v>
      </c>
      <c r="D5956" s="122" t="str">
        <f>IFERROR(__xludf.DUMMYFUNCTION("""COMPUTED_VALUE"""),"GridPower")</f>
        <v>GridPower</v>
      </c>
      <c r="E5956" s="122">
        <f>IFERROR(__xludf.DUMMYFUNCTION("""COMPUTED_VALUE"""),134.33)</f>
        <v>134.33</v>
      </c>
      <c r="F5956" s="122">
        <f>IFERROR(__xludf.DUMMYFUNCTION("""COMPUTED_VALUE"""),-0.0072)</f>
        <v>-0.0072</v>
      </c>
    </row>
    <row r="5957">
      <c r="A5957" s="131">
        <f>IFERROR(__xludf.DUMMYFUNCTION("""COMPUTED_VALUE"""),46187.53994212963)</f>
        <v>46187.53994</v>
      </c>
      <c r="B5957" s="126">
        <f>IFERROR(__xludf.DUMMYFUNCTION("""COMPUTED_VALUE"""),46187.0)</f>
        <v>46187</v>
      </c>
      <c r="C5957" s="122" t="str">
        <f>IFERROR(__xludf.DUMMYFUNCTION("""COMPUTED_VALUE"""),"HOME")</f>
        <v>HOME</v>
      </c>
      <c r="D5957" s="122" t="str">
        <f>IFERROR(__xludf.DUMMYFUNCTION("""COMPUTED_VALUE"""),"HomeHub")</f>
        <v>HomeHub</v>
      </c>
      <c r="E5957" s="122">
        <f>IFERROR(__xludf.DUMMYFUNCTION("""COMPUTED_VALUE"""),154.87)</f>
        <v>154.87</v>
      </c>
      <c r="F5957" s="122">
        <f>IFERROR(__xludf.DUMMYFUNCTION("""COMPUTED_VALUE"""),-7.0E-4)</f>
        <v>-0.0007</v>
      </c>
    </row>
    <row r="5958">
      <c r="A5958" s="131">
        <f>IFERROR(__xludf.DUMMYFUNCTION("""COMPUTED_VALUE"""),46187.53994212963)</f>
        <v>46187.53994</v>
      </c>
      <c r="B5958" s="126">
        <f>IFERROR(__xludf.DUMMYFUNCTION("""COMPUTED_VALUE"""),46187.0)</f>
        <v>46187</v>
      </c>
      <c r="C5958" s="122" t="str">
        <f>IFERROR(__xludf.DUMMYFUNCTION("""COMPUTED_VALUE"""),"RENT")</f>
        <v>RENT</v>
      </c>
      <c r="D5958" s="122" t="str">
        <f>IFERROR(__xludf.DUMMYFUNCTION("""COMPUTED_VALUE"""),"RentRight")</f>
        <v>RentRight</v>
      </c>
      <c r="E5958" s="122">
        <f>IFERROR(__xludf.DUMMYFUNCTION("""COMPUTED_VALUE"""),92.13)</f>
        <v>92.13</v>
      </c>
      <c r="F5958" s="122">
        <f>IFERROR(__xludf.DUMMYFUNCTION("""COMPUTED_VALUE"""),0.0037)</f>
        <v>0.0037</v>
      </c>
    </row>
    <row r="5959">
      <c r="A5959" s="131">
        <f>IFERROR(__xludf.DUMMYFUNCTION("""COMPUTED_VALUE"""),46187.53994212963)</f>
        <v>46187.53994</v>
      </c>
      <c r="B5959" s="126">
        <f>IFERROR(__xludf.DUMMYFUNCTION("""COMPUTED_VALUE"""),46187.0)</f>
        <v>46187</v>
      </c>
      <c r="C5959" s="122" t="str">
        <f>IFERROR(__xludf.DUMMYFUNCTION("""COMPUTED_VALUE"""),"MALL")</f>
        <v>MALL</v>
      </c>
      <c r="D5959" s="122" t="str">
        <f>IFERROR(__xludf.DUMMYFUNCTION("""COMPUTED_VALUE"""),"MegaMall")</f>
        <v>MegaMall</v>
      </c>
      <c r="E5959" s="122">
        <f>IFERROR(__xludf.DUMMYFUNCTION("""COMPUTED_VALUE"""),99.16)</f>
        <v>99.16</v>
      </c>
      <c r="F5959" s="122">
        <f>IFERROR(__xludf.DUMMYFUNCTION("""COMPUTED_VALUE"""),0.0021)</f>
        <v>0.0021</v>
      </c>
    </row>
    <row r="5960">
      <c r="A5960" s="131">
        <f>IFERROR(__xludf.DUMMYFUNCTION("""COMPUTED_VALUE"""),46187.53994212963)</f>
        <v>46187.53994</v>
      </c>
      <c r="B5960" s="126">
        <f>IFERROR(__xludf.DUMMYFUNCTION("""COMPUTED_VALUE"""),46187.0)</f>
        <v>46187</v>
      </c>
      <c r="C5960" s="122" t="str">
        <f>IFERROR(__xludf.DUMMYFUNCTION("""COMPUTED_VALUE"""),"HOTL")</f>
        <v>HOTL</v>
      </c>
      <c r="D5960" s="122" t="str">
        <f>IFERROR(__xludf.DUMMYFUNCTION("""COMPUTED_VALUE"""),"HotelHive")</f>
        <v>HotelHive</v>
      </c>
      <c r="E5960" s="122">
        <f>IFERROR(__xludf.DUMMYFUNCTION("""COMPUTED_VALUE"""),126.78)</f>
        <v>126.78</v>
      </c>
      <c r="F5960" s="122">
        <f>IFERROR(__xludf.DUMMYFUNCTION("""COMPUTED_VALUE"""),-0.0017)</f>
        <v>-0.0017</v>
      </c>
    </row>
    <row r="5961">
      <c r="A5961" s="131">
        <f>IFERROR(__xludf.DUMMYFUNCTION("""COMPUTED_VALUE"""),46187.53994212963)</f>
        <v>46187.53994</v>
      </c>
      <c r="B5961" s="126">
        <f>IFERROR(__xludf.DUMMYFUNCTION("""COMPUTED_VALUE"""),46187.0)</f>
        <v>46187</v>
      </c>
      <c r="C5961" s="122" t="str">
        <f>IFERROR(__xludf.DUMMYFUNCTION("""COMPUTED_VALUE"""),"LAND")</f>
        <v>LAND</v>
      </c>
      <c r="D5961" s="122" t="str">
        <f>IFERROR(__xludf.DUMMYFUNCTION("""COMPUTED_VALUE"""),"LandLink")</f>
        <v>LandLink</v>
      </c>
      <c r="E5961" s="122">
        <f>IFERROR(__xludf.DUMMYFUNCTION("""COMPUTED_VALUE"""),182.59)</f>
        <v>182.59</v>
      </c>
      <c r="F5961" s="122">
        <f>IFERROR(__xludf.DUMMYFUNCTION("""COMPUTED_VALUE"""),0.002)</f>
        <v>0.002</v>
      </c>
    </row>
    <row r="5962">
      <c r="A5962" s="131">
        <f>IFERROR(__xludf.DUMMYFUNCTION("""COMPUTED_VALUE"""),46187.53994212963)</f>
        <v>46187.53994</v>
      </c>
      <c r="B5962" s="126">
        <f>IFERROR(__xludf.DUMMYFUNCTION("""COMPUTED_VALUE"""),46187.0)</f>
        <v>46187</v>
      </c>
      <c r="C5962" s="122" t="str">
        <f>IFERROR(__xludf.DUMMYFUNCTION("""COMPUTED_VALUE"""),"CARS")</f>
        <v>CARS</v>
      </c>
      <c r="D5962" s="122" t="str">
        <f>IFERROR(__xludf.DUMMYFUNCTION("""COMPUTED_VALUE"""),"AutoArena")</f>
        <v>AutoArena</v>
      </c>
      <c r="E5962" s="122">
        <f>IFERROR(__xludf.DUMMYFUNCTION("""COMPUTED_VALUE"""),79.14)</f>
        <v>79.14</v>
      </c>
      <c r="F5962" s="122">
        <f>IFERROR(__xludf.DUMMYFUNCTION("""COMPUTED_VALUE"""),0.0036)</f>
        <v>0.0036</v>
      </c>
    </row>
    <row r="5963">
      <c r="A5963" s="131">
        <f>IFERROR(__xludf.DUMMYFUNCTION("""COMPUTED_VALUE"""),46187.53994212963)</f>
        <v>46187.53994</v>
      </c>
      <c r="B5963" s="126">
        <f>IFERROR(__xludf.DUMMYFUNCTION("""COMPUTED_VALUE"""),46187.0)</f>
        <v>46187</v>
      </c>
      <c r="C5963" s="122" t="str">
        <f>IFERROR(__xludf.DUMMYFUNCTION("""COMPUTED_VALUE"""),"EVGO")</f>
        <v>EVGO</v>
      </c>
      <c r="D5963" s="122" t="str">
        <f>IFERROR(__xludf.DUMMYFUNCTION("""COMPUTED_VALUE"""),"EVGo Motors")</f>
        <v>EVGo Motors</v>
      </c>
      <c r="E5963" s="122">
        <f>IFERROR(__xludf.DUMMYFUNCTION("""COMPUTED_VALUE"""),178.23)</f>
        <v>178.23</v>
      </c>
      <c r="F5963" s="122">
        <f>IFERROR(__xludf.DUMMYFUNCTION("""COMPUTED_VALUE"""),0.008)</f>
        <v>0.008</v>
      </c>
    </row>
    <row r="5964">
      <c r="A5964" s="131">
        <f>IFERROR(__xludf.DUMMYFUNCTION("""COMPUTED_VALUE"""),46187.53994212963)</f>
        <v>46187.53994</v>
      </c>
      <c r="B5964" s="126">
        <f>IFERROR(__xludf.DUMMYFUNCTION("""COMPUTED_VALUE"""),46187.0)</f>
        <v>46187</v>
      </c>
      <c r="C5964" s="122" t="str">
        <f>IFERROR(__xludf.DUMMYFUNCTION("""COMPUTED_VALUE"""),"TIRE")</f>
        <v>TIRE</v>
      </c>
      <c r="D5964" s="122" t="str">
        <f>IFERROR(__xludf.DUMMYFUNCTION("""COMPUTED_VALUE"""),"TireTown")</f>
        <v>TireTown</v>
      </c>
      <c r="E5964" s="122">
        <f>IFERROR(__xludf.DUMMYFUNCTION("""COMPUTED_VALUE"""),96.23)</f>
        <v>96.23</v>
      </c>
      <c r="F5964" s="122">
        <f>IFERROR(__xludf.DUMMYFUNCTION("""COMPUTED_VALUE"""),-0.0031)</f>
        <v>-0.0031</v>
      </c>
    </row>
    <row r="5965">
      <c r="A5965" s="131">
        <f>IFERROR(__xludf.DUMMYFUNCTION("""COMPUTED_VALUE"""),46187.53994212963)</f>
        <v>46187.53994</v>
      </c>
      <c r="B5965" s="126">
        <f>IFERROR(__xludf.DUMMYFUNCTION("""COMPUTED_VALUE"""),46187.0)</f>
        <v>46187</v>
      </c>
      <c r="C5965" s="122" t="str">
        <f>IFERROR(__xludf.DUMMYFUNCTION("""COMPUTED_VALUE"""),"BIKE")</f>
        <v>BIKE</v>
      </c>
      <c r="D5965" s="122" t="str">
        <f>IFERROR(__xludf.DUMMYFUNCTION("""COMPUTED_VALUE"""),"BikeBox")</f>
        <v>BikeBox</v>
      </c>
      <c r="E5965" s="122">
        <f>IFERROR(__xludf.DUMMYFUNCTION("""COMPUTED_VALUE"""),52.84)</f>
        <v>52.84</v>
      </c>
      <c r="F5965" s="122">
        <f>IFERROR(__xludf.DUMMYFUNCTION("""COMPUTED_VALUE"""),-0.0019)</f>
        <v>-0.0019</v>
      </c>
    </row>
    <row r="5966">
      <c r="A5966" s="131">
        <f>IFERROR(__xludf.DUMMYFUNCTION("""COMPUTED_VALUE"""),46187.53994212963)</f>
        <v>46187.53994</v>
      </c>
      <c r="B5966" s="126">
        <f>IFERROR(__xludf.DUMMYFUNCTION("""COMPUTED_VALUE"""),46187.0)</f>
        <v>46187</v>
      </c>
      <c r="C5966" s="122" t="str">
        <f>IFERROR(__xludf.DUMMYFUNCTION("""COMPUTED_VALUE"""),"WASH")</f>
        <v>WASH</v>
      </c>
      <c r="D5966" s="122" t="str">
        <f>IFERROR(__xludf.DUMMYFUNCTION("""COMPUTED_VALUE"""),"CarWash Co")</f>
        <v>CarWash Co</v>
      </c>
      <c r="E5966" s="122">
        <f>IFERROR(__xludf.DUMMYFUNCTION("""COMPUTED_VALUE"""),118.82)</f>
        <v>118.82</v>
      </c>
      <c r="F5966" s="122">
        <f>IFERROR(__xludf.DUMMYFUNCTION("""COMPUTED_VALUE"""),-0.002)</f>
        <v>-0.002</v>
      </c>
    </row>
    <row r="5967">
      <c r="A5967" s="131">
        <f>IFERROR(__xludf.DUMMYFUNCTION("""COMPUTED_VALUE"""),46187.53994212963)</f>
        <v>46187.53994</v>
      </c>
      <c r="B5967" s="126">
        <f>IFERROR(__xludf.DUMMYFUNCTION("""COMPUTED_VALUE"""),46187.0)</f>
        <v>46187</v>
      </c>
      <c r="C5967" s="122" t="str">
        <f>IFERROR(__xludf.DUMMYFUNCTION("""COMPUTED_VALUE"""),"GBND")</f>
        <v>GBND</v>
      </c>
      <c r="D5967" s="122" t="str">
        <f>IFERROR(__xludf.DUMMYFUNCTION("""COMPUTED_VALUE"""),"Classroom Government Bond")</f>
        <v>Classroom Government Bond</v>
      </c>
      <c r="E5967" s="122">
        <f>IFERROR(__xludf.DUMMYFUNCTION("""COMPUTED_VALUE"""),101.13)</f>
        <v>101.13</v>
      </c>
      <c r="F5967" s="122">
        <f>IFERROR(__xludf.DUMMYFUNCTION("""COMPUTED_VALUE"""),5.0E-4)</f>
        <v>0.0005</v>
      </c>
    </row>
    <row r="5968">
      <c r="A5968" s="131">
        <f>IFERROR(__xludf.DUMMYFUNCTION("""COMPUTED_VALUE"""),46187.53994212963)</f>
        <v>46187.53994</v>
      </c>
      <c r="B5968" s="126">
        <f>IFERROR(__xludf.DUMMYFUNCTION("""COMPUTED_VALUE"""),46187.0)</f>
        <v>46187</v>
      </c>
      <c r="C5968" s="122" t="str">
        <f>IFERROR(__xludf.DUMMYFUNCTION("""COMPUTED_VALUE"""),"SBND")</f>
        <v>SBND</v>
      </c>
      <c r="D5968" s="122" t="str">
        <f>IFERROR(__xludf.DUMMYFUNCTION("""COMPUTED_VALUE"""),"School Savings Bond")</f>
        <v>School Savings Bond</v>
      </c>
      <c r="E5968" s="122">
        <f>IFERROR(__xludf.DUMMYFUNCTION("""COMPUTED_VALUE"""),99.35)</f>
        <v>99.35</v>
      </c>
      <c r="F5968" s="122">
        <f>IFERROR(__xludf.DUMMYFUNCTION("""COMPUTED_VALUE"""),1.0E-4)</f>
        <v>0.0001</v>
      </c>
    </row>
    <row r="5969">
      <c r="A5969" s="131">
        <f>IFERROR(__xludf.DUMMYFUNCTION("""COMPUTED_VALUE"""),46187.53994212963)</f>
        <v>46187.53994</v>
      </c>
      <c r="B5969" s="126">
        <f>IFERROR(__xludf.DUMMYFUNCTION("""COMPUTED_VALUE"""),46187.0)</f>
        <v>46187</v>
      </c>
      <c r="C5969" s="122" t="str">
        <f>IFERROR(__xludf.DUMMYFUNCTION("""COMPUTED_VALUE"""),"CBND")</f>
        <v>CBND</v>
      </c>
      <c r="D5969" s="122" t="str">
        <f>IFERROR(__xludf.DUMMYFUNCTION("""COMPUTED_VALUE"""),"Corporate Classroom Bond")</f>
        <v>Corporate Classroom Bond</v>
      </c>
      <c r="E5969" s="122">
        <f>IFERROR(__xludf.DUMMYFUNCTION("""COMPUTED_VALUE"""),97.81)</f>
        <v>97.81</v>
      </c>
      <c r="F5969" s="122">
        <f>IFERROR(__xludf.DUMMYFUNCTION("""COMPUTED_VALUE"""),-2.0E-4)</f>
        <v>-0.0002</v>
      </c>
    </row>
    <row r="5970">
      <c r="A5970" s="131">
        <f>IFERROR(__xludf.DUMMYFUNCTION("""COMPUTED_VALUE"""),46187.53994212963)</f>
        <v>46187.53994</v>
      </c>
      <c r="B5970" s="126">
        <f>IFERROR(__xludf.DUMMYFUNCTION("""COMPUTED_VALUE"""),46187.0)</f>
        <v>46187</v>
      </c>
      <c r="C5970" s="122" t="str">
        <f>IFERROR(__xludf.DUMMYFUNCTION("""COMPUTED_VALUE"""),"TBIL")</f>
        <v>TBIL</v>
      </c>
      <c r="D5970" s="122" t="str">
        <f>IFERROR(__xludf.DUMMYFUNCTION("""COMPUTED_VALUE"""),"Treasury Bill")</f>
        <v>Treasury Bill</v>
      </c>
      <c r="E5970" s="122">
        <f>IFERROR(__xludf.DUMMYFUNCTION("""COMPUTED_VALUE"""),98.04)</f>
        <v>98.04</v>
      </c>
      <c r="F5970" s="122">
        <f>IFERROR(__xludf.DUMMYFUNCTION("""COMPUTED_VALUE"""),-4.0E-4)</f>
        <v>-0.0004</v>
      </c>
    </row>
    <row r="5971">
      <c r="A5971" s="131">
        <f>IFERROR(__xludf.DUMMYFUNCTION("""COMPUTED_VALUE"""),46187.53994212963)</f>
        <v>46187.53994</v>
      </c>
      <c r="B5971" s="126">
        <f>IFERROR(__xludf.DUMMYFUNCTION("""COMPUTED_VALUE"""),46187.0)</f>
        <v>46187</v>
      </c>
      <c r="C5971" s="122" t="str">
        <f>IFERROR(__xludf.DUMMYFUNCTION("""COMPUTED_VALUE"""),"IBND")</f>
        <v>IBND</v>
      </c>
      <c r="D5971" s="122" t="str">
        <f>IFERROR(__xludf.DUMMYFUNCTION("""COMPUTED_VALUE"""),"Inflation Protected Bond")</f>
        <v>Inflation Protected Bond</v>
      </c>
      <c r="E5971" s="122">
        <f>IFERROR(__xludf.DUMMYFUNCTION("""COMPUTED_VALUE"""),100.82)</f>
        <v>100.82</v>
      </c>
      <c r="F5971" s="122">
        <f>IFERROR(__xludf.DUMMYFUNCTION("""COMPUTED_VALUE"""),1.0E-4)</f>
        <v>0.0001</v>
      </c>
    </row>
    <row r="5972">
      <c r="A5972" s="131">
        <f>IFERROR(__xludf.DUMMYFUNCTION("""COMPUTED_VALUE"""),46187.54318287037)</f>
        <v>46187.54318</v>
      </c>
      <c r="B5972" s="126">
        <f>IFERROR(__xludf.DUMMYFUNCTION("""COMPUTED_VALUE"""),46187.0)</f>
        <v>46187</v>
      </c>
      <c r="C5972" s="122" t="str">
        <f>IFERROR(__xludf.DUMMYFUNCTION("""COMPUTED_VALUE"""),"SNAX")</f>
        <v>SNAX</v>
      </c>
      <c r="D5972" s="122" t="str">
        <f>IFERROR(__xludf.DUMMYFUNCTION("""COMPUTED_VALUE"""),"MICA Snacks")</f>
        <v>MICA Snacks</v>
      </c>
      <c r="E5972" s="122">
        <f>IFERROR(__xludf.DUMMYFUNCTION("""COMPUTED_VALUE"""),121.07)</f>
        <v>121.07</v>
      </c>
      <c r="F5972" s="122">
        <f>IFERROR(__xludf.DUMMYFUNCTION("""COMPUTED_VALUE"""),0.0024)</f>
        <v>0.0024</v>
      </c>
    </row>
    <row r="5973">
      <c r="A5973" s="131">
        <f>IFERROR(__xludf.DUMMYFUNCTION("""COMPUTED_VALUE"""),46187.54318287037)</f>
        <v>46187.54318</v>
      </c>
      <c r="B5973" s="126">
        <f>IFERROR(__xludf.DUMMYFUNCTION("""COMPUTED_VALUE"""),46187.0)</f>
        <v>46187</v>
      </c>
      <c r="C5973" s="122" t="str">
        <f>IFERROR(__xludf.DUMMYFUNCTION("""COMPUTED_VALUE"""),"RAMN")</f>
        <v>RAMN</v>
      </c>
      <c r="D5973" s="122" t="str">
        <f>IFERROR(__xludf.DUMMYFUNCTION("""COMPUTED_VALUE"""),"Ramen Republic")</f>
        <v>Ramen Republic</v>
      </c>
      <c r="E5973" s="122">
        <f>IFERROR(__xludf.DUMMYFUNCTION("""COMPUTED_VALUE"""),66.95)</f>
        <v>66.95</v>
      </c>
      <c r="F5973" s="122">
        <f>IFERROR(__xludf.DUMMYFUNCTION("""COMPUTED_VALUE"""),-0.0061)</f>
        <v>-0.0061</v>
      </c>
    </row>
    <row r="5974">
      <c r="A5974" s="131">
        <f>IFERROR(__xludf.DUMMYFUNCTION("""COMPUTED_VALUE"""),46187.54318287037)</f>
        <v>46187.54318</v>
      </c>
      <c r="B5974" s="126">
        <f>IFERROR(__xludf.DUMMYFUNCTION("""COMPUTED_VALUE"""),46187.0)</f>
        <v>46187</v>
      </c>
      <c r="C5974" s="122" t="str">
        <f>IFERROR(__xludf.DUMMYFUNCTION("""COMPUTED_VALUE"""),"COLA")</f>
        <v>COLA</v>
      </c>
      <c r="D5974" s="122" t="str">
        <f>IFERROR(__xludf.DUMMYFUNCTION("""COMPUTED_VALUE"""),"K-Pop Cola")</f>
        <v>K-Pop Cola</v>
      </c>
      <c r="E5974" s="122">
        <f>IFERROR(__xludf.DUMMYFUNCTION("""COMPUTED_VALUE"""),114.52)</f>
        <v>114.52</v>
      </c>
      <c r="F5974" s="122">
        <f>IFERROR(__xludf.DUMMYFUNCTION("""COMPUTED_VALUE"""),-0.0024)</f>
        <v>-0.0024</v>
      </c>
    </row>
    <row r="5975">
      <c r="A5975" s="131">
        <f>IFERROR(__xludf.DUMMYFUNCTION("""COMPUTED_VALUE"""),46187.54318287037)</f>
        <v>46187.54318</v>
      </c>
      <c r="B5975" s="126">
        <f>IFERROR(__xludf.DUMMYFUNCTION("""COMPUTED_VALUE"""),46187.0)</f>
        <v>46187</v>
      </c>
      <c r="C5975" s="122" t="str">
        <f>IFERROR(__xludf.DUMMYFUNCTION("""COMPUTED_VALUE"""),"CHIP")</f>
        <v>CHIP</v>
      </c>
      <c r="D5975" s="122" t="str">
        <f>IFERROR(__xludf.DUMMYFUNCTION("""COMPUTED_VALUE"""),"Chip Empire")</f>
        <v>Chip Empire</v>
      </c>
      <c r="E5975" s="122">
        <f>IFERROR(__xludf.DUMMYFUNCTION("""COMPUTED_VALUE"""),84.69)</f>
        <v>84.69</v>
      </c>
      <c r="F5975" s="122">
        <f>IFERROR(__xludf.DUMMYFUNCTION("""COMPUTED_VALUE"""),0.0021)</f>
        <v>0.0021</v>
      </c>
    </row>
    <row r="5976">
      <c r="A5976" s="131">
        <f>IFERROR(__xludf.DUMMYFUNCTION("""COMPUTED_VALUE"""),46187.54318287037)</f>
        <v>46187.54318</v>
      </c>
      <c r="B5976" s="126">
        <f>IFERROR(__xludf.DUMMYFUNCTION("""COMPUTED_VALUE"""),46187.0)</f>
        <v>46187</v>
      </c>
      <c r="C5976" s="122" t="str">
        <f>IFERROR(__xludf.DUMMYFUNCTION("""COMPUTED_VALUE"""),"CAND")</f>
        <v>CAND</v>
      </c>
      <c r="D5976" s="122" t="str">
        <f>IFERROR(__xludf.DUMMYFUNCTION("""COMPUTED_VALUE"""),"Candy Capital")</f>
        <v>Candy Capital</v>
      </c>
      <c r="E5976" s="122">
        <f>IFERROR(__xludf.DUMMYFUNCTION("""COMPUTED_VALUE"""),77.48)</f>
        <v>77.48</v>
      </c>
      <c r="F5976" s="122">
        <f>IFERROR(__xludf.DUMMYFUNCTION("""COMPUTED_VALUE"""),0.006)</f>
        <v>0.006</v>
      </c>
    </row>
    <row r="5977">
      <c r="A5977" s="131">
        <f>IFERROR(__xludf.DUMMYFUNCTION("""COMPUTED_VALUE"""),46187.54318287037)</f>
        <v>46187.54318</v>
      </c>
      <c r="B5977" s="126">
        <f>IFERROR(__xludf.DUMMYFUNCTION("""COMPUTED_VALUE"""),46187.0)</f>
        <v>46187</v>
      </c>
      <c r="C5977" s="122" t="str">
        <f>IFERROR(__xludf.DUMMYFUNCTION("""COMPUTED_VALUE"""),"TECH")</f>
        <v>TECH</v>
      </c>
      <c r="D5977" s="122" t="str">
        <f>IFERROR(__xludf.DUMMYFUNCTION("""COMPUTED_VALUE"""),"Dragon Tech")</f>
        <v>Dragon Tech</v>
      </c>
      <c r="E5977" s="122">
        <f>IFERROR(__xludf.DUMMYFUNCTION("""COMPUTED_VALUE"""),244.06)</f>
        <v>244.06</v>
      </c>
      <c r="F5977" s="122">
        <f>IFERROR(__xludf.DUMMYFUNCTION("""COMPUTED_VALUE"""),-0.0069)</f>
        <v>-0.0069</v>
      </c>
    </row>
    <row r="5978">
      <c r="A5978" s="131">
        <f>IFERROR(__xludf.DUMMYFUNCTION("""COMPUTED_VALUE"""),46187.54318287037)</f>
        <v>46187.54318</v>
      </c>
      <c r="B5978" s="126">
        <f>IFERROR(__xludf.DUMMYFUNCTION("""COMPUTED_VALUE"""),46187.0)</f>
        <v>46187</v>
      </c>
      <c r="C5978" s="122" t="str">
        <f>IFERROR(__xludf.DUMMYFUNCTION("""COMPUTED_VALUE"""),"AIBO")</f>
        <v>AIBO</v>
      </c>
      <c r="D5978" s="122" t="str">
        <f>IFERROR(__xludf.DUMMYFUNCTION("""COMPUTED_VALUE"""),"Homework AI")</f>
        <v>Homework AI</v>
      </c>
      <c r="E5978" s="122">
        <f>IFERROR(__xludf.DUMMYFUNCTION("""COMPUTED_VALUE"""),179.94)</f>
        <v>179.94</v>
      </c>
      <c r="F5978" s="122">
        <f>IFERROR(__xludf.DUMMYFUNCTION("""COMPUTED_VALUE"""),-0.0077)</f>
        <v>-0.0077</v>
      </c>
    </row>
    <row r="5979">
      <c r="A5979" s="131">
        <f>IFERROR(__xludf.DUMMYFUNCTION("""COMPUTED_VALUE"""),46187.54318287037)</f>
        <v>46187.54318</v>
      </c>
      <c r="B5979" s="126">
        <f>IFERROR(__xludf.DUMMYFUNCTION("""COMPUTED_VALUE"""),46187.0)</f>
        <v>46187</v>
      </c>
      <c r="C5979" s="122" t="str">
        <f>IFERROR(__xludf.DUMMYFUNCTION("""COMPUTED_VALUE"""),"GAME")</f>
        <v>GAME</v>
      </c>
      <c r="D5979" s="122" t="str">
        <f>IFERROR(__xludf.DUMMYFUNCTION("""COMPUTED_VALUE"""),"GameBox Media")</f>
        <v>GameBox Media</v>
      </c>
      <c r="E5979" s="122">
        <f>IFERROR(__xludf.DUMMYFUNCTION("""COMPUTED_VALUE"""),99.24)</f>
        <v>99.24</v>
      </c>
      <c r="F5979" s="122">
        <f>IFERROR(__xludf.DUMMYFUNCTION("""COMPUTED_VALUE"""),-0.0039)</f>
        <v>-0.0039</v>
      </c>
    </row>
    <row r="5980">
      <c r="A5980" s="131">
        <f>IFERROR(__xludf.DUMMYFUNCTION("""COMPUTED_VALUE"""),46187.54318287037)</f>
        <v>46187.54318</v>
      </c>
      <c r="B5980" s="126">
        <f>IFERROR(__xludf.DUMMYFUNCTION("""COMPUTED_VALUE"""),46187.0)</f>
        <v>46187</v>
      </c>
      <c r="C5980" s="122" t="str">
        <f>IFERROR(__xludf.DUMMYFUNCTION("""COMPUTED_VALUE"""),"VRSE")</f>
        <v>VRSE</v>
      </c>
      <c r="D5980" s="122" t="str">
        <f>IFERROR(__xludf.DUMMYFUNCTION("""COMPUTED_VALUE"""),"VerseVR")</f>
        <v>VerseVR</v>
      </c>
      <c r="E5980" s="122">
        <f>IFERROR(__xludf.DUMMYFUNCTION("""COMPUTED_VALUE"""),151.12)</f>
        <v>151.12</v>
      </c>
      <c r="F5980" s="122">
        <f>IFERROR(__xludf.DUMMYFUNCTION("""COMPUTED_VALUE"""),0.0051)</f>
        <v>0.0051</v>
      </c>
    </row>
    <row r="5981">
      <c r="A5981" s="131">
        <f>IFERROR(__xludf.DUMMYFUNCTION("""COMPUTED_VALUE"""),46187.54318287037)</f>
        <v>46187.54318</v>
      </c>
      <c r="B5981" s="126">
        <f>IFERROR(__xludf.DUMMYFUNCTION("""COMPUTED_VALUE"""),46187.0)</f>
        <v>46187</v>
      </c>
      <c r="C5981" s="122" t="str">
        <f>IFERROR(__xludf.DUMMYFUNCTION("""COMPUTED_VALUE"""),"BYTE")</f>
        <v>BYTE</v>
      </c>
      <c r="D5981" s="122" t="str">
        <f>IFERROR(__xludf.DUMMYFUNCTION("""COMPUTED_VALUE"""),"ByteWorks")</f>
        <v>ByteWorks</v>
      </c>
      <c r="E5981" s="122">
        <f>IFERROR(__xludf.DUMMYFUNCTION("""COMPUTED_VALUE"""),113.12)</f>
        <v>113.12</v>
      </c>
      <c r="F5981" s="122">
        <f>IFERROR(__xludf.DUMMYFUNCTION("""COMPUTED_VALUE"""),0.0015)</f>
        <v>0.0015</v>
      </c>
    </row>
    <row r="5982">
      <c r="A5982" s="131">
        <f>IFERROR(__xludf.DUMMYFUNCTION("""COMPUTED_VALUE"""),46187.54318287037)</f>
        <v>46187.54318</v>
      </c>
      <c r="B5982" s="126">
        <f>IFERROR(__xludf.DUMMYFUNCTION("""COMPUTED_VALUE"""),46187.0)</f>
        <v>46187</v>
      </c>
      <c r="C5982" s="122" t="str">
        <f>IFERROR(__xludf.DUMMYFUNCTION("""COMPUTED_VALUE"""),"BANK")</f>
        <v>BANK</v>
      </c>
      <c r="D5982" s="122" t="str">
        <f>IFERROR(__xludf.DUMMYFUNCTION("""COMPUTED_VALUE"""),"Tiger Bank")</f>
        <v>Tiger Bank</v>
      </c>
      <c r="E5982" s="122">
        <f>IFERROR(__xludf.DUMMYFUNCTION("""COMPUTED_VALUE"""),129.63)</f>
        <v>129.63</v>
      </c>
      <c r="F5982" s="122">
        <f>IFERROR(__xludf.DUMMYFUNCTION("""COMPUTED_VALUE"""),0.0032)</f>
        <v>0.0032</v>
      </c>
    </row>
    <row r="5983">
      <c r="A5983" s="131">
        <f>IFERROR(__xludf.DUMMYFUNCTION("""COMPUTED_VALUE"""),46187.54318287037)</f>
        <v>46187.54318</v>
      </c>
      <c r="B5983" s="126">
        <f>IFERROR(__xludf.DUMMYFUNCTION("""COMPUTED_VALUE"""),46187.0)</f>
        <v>46187</v>
      </c>
      <c r="C5983" s="122" t="str">
        <f>IFERROR(__xludf.DUMMYFUNCTION("""COMPUTED_VALUE"""),"CRED")</f>
        <v>CRED</v>
      </c>
      <c r="D5983" s="122" t="str">
        <f>IFERROR(__xludf.DUMMYFUNCTION("""COMPUTED_VALUE"""),"Credit Castle")</f>
        <v>Credit Castle</v>
      </c>
      <c r="E5983" s="122">
        <f>IFERROR(__xludf.DUMMYFUNCTION("""COMPUTED_VALUE"""),66.63)</f>
        <v>66.63</v>
      </c>
      <c r="F5983" s="122">
        <f>IFERROR(__xludf.DUMMYFUNCTION("""COMPUTED_VALUE"""),-0.0042)</f>
        <v>-0.0042</v>
      </c>
    </row>
    <row r="5984">
      <c r="A5984" s="131">
        <f>IFERROR(__xludf.DUMMYFUNCTION("""COMPUTED_VALUE"""),46187.54318287037)</f>
        <v>46187.54318</v>
      </c>
      <c r="B5984" s="126">
        <f>IFERROR(__xludf.DUMMYFUNCTION("""COMPUTED_VALUE"""),46187.0)</f>
        <v>46187</v>
      </c>
      <c r="C5984" s="122" t="str">
        <f>IFERROR(__xludf.DUMMYFUNCTION("""COMPUTED_VALUE"""),"BOND")</f>
        <v>BOND</v>
      </c>
      <c r="D5984" s="122" t="str">
        <f>IFERROR(__xludf.DUMMYFUNCTION("""COMPUTED_VALUE"""),"BondBridge")</f>
        <v>BondBridge</v>
      </c>
      <c r="E5984" s="122">
        <f>IFERROR(__xludf.DUMMYFUNCTION("""COMPUTED_VALUE"""),101.43)</f>
        <v>101.43</v>
      </c>
      <c r="F5984" s="122">
        <f>IFERROR(__xludf.DUMMYFUNCTION("""COMPUTED_VALUE"""),4.0E-4)</f>
        <v>0.0004</v>
      </c>
    </row>
    <row r="5985">
      <c r="A5985" s="131">
        <f>IFERROR(__xludf.DUMMYFUNCTION("""COMPUTED_VALUE"""),46187.54318287037)</f>
        <v>46187.54318</v>
      </c>
      <c r="B5985" s="126">
        <f>IFERROR(__xludf.DUMMYFUNCTION("""COMPUTED_VALUE"""),46187.0)</f>
        <v>46187</v>
      </c>
      <c r="C5985" s="122" t="str">
        <f>IFERROR(__xludf.DUMMYFUNCTION("""COMPUTED_VALUE"""),"INSR")</f>
        <v>INSR</v>
      </c>
      <c r="D5985" s="122" t="str">
        <f>IFERROR(__xludf.DUMMYFUNCTION("""COMPUTED_VALUE"""),"Shield Insurance")</f>
        <v>Shield Insurance</v>
      </c>
      <c r="E5985" s="122">
        <f>IFERROR(__xludf.DUMMYFUNCTION("""COMPUTED_VALUE"""),159.45)</f>
        <v>159.45</v>
      </c>
      <c r="F5985" s="122">
        <f>IFERROR(__xludf.DUMMYFUNCTION("""COMPUTED_VALUE"""),-0.0026)</f>
        <v>-0.0026</v>
      </c>
    </row>
    <row r="5986">
      <c r="A5986" s="131">
        <f>IFERROR(__xludf.DUMMYFUNCTION("""COMPUTED_VALUE"""),46187.54318287037)</f>
        <v>46187.54318</v>
      </c>
      <c r="B5986" s="126">
        <f>IFERROR(__xludf.DUMMYFUNCTION("""COMPUTED_VALUE"""),46187.0)</f>
        <v>46187</v>
      </c>
      <c r="C5986" s="122" t="str">
        <f>IFERROR(__xludf.DUMMYFUNCTION("""COMPUTED_VALUE"""),"LOAN")</f>
        <v>LOAN</v>
      </c>
      <c r="D5986" s="122" t="str">
        <f>IFERROR(__xludf.DUMMYFUNCTION("""COMPUTED_VALUE"""),"LoanLab")</f>
        <v>LoanLab</v>
      </c>
      <c r="E5986" s="122">
        <f>IFERROR(__xludf.DUMMYFUNCTION("""COMPUTED_VALUE"""),66.43)</f>
        <v>66.43</v>
      </c>
      <c r="F5986" s="122">
        <f>IFERROR(__xludf.DUMMYFUNCTION("""COMPUTED_VALUE"""),0.0077)</f>
        <v>0.0077</v>
      </c>
    </row>
    <row r="5987">
      <c r="A5987" s="131">
        <f>IFERROR(__xludf.DUMMYFUNCTION("""COMPUTED_VALUE"""),46187.54318287037)</f>
        <v>46187.54318</v>
      </c>
      <c r="B5987" s="126">
        <f>IFERROR(__xludf.DUMMYFUNCTION("""COMPUTED_VALUE"""),46187.0)</f>
        <v>46187</v>
      </c>
      <c r="C5987" s="122" t="str">
        <f>IFERROR(__xludf.DUMMYFUNCTION("""COMPUTED_VALUE"""),"LUXE")</f>
        <v>LUXE</v>
      </c>
      <c r="D5987" s="122" t="str">
        <f>IFERROR(__xludf.DUMMYFUNCTION("""COMPUTED_VALUE"""),"Luxury Locker")</f>
        <v>Luxury Locker</v>
      </c>
      <c r="E5987" s="122">
        <f>IFERROR(__xludf.DUMMYFUNCTION("""COMPUTED_VALUE"""),268.2)</f>
        <v>268.2</v>
      </c>
      <c r="F5987" s="122">
        <f>IFERROR(__xludf.DUMMYFUNCTION("""COMPUTED_VALUE"""),-0.0052)</f>
        <v>-0.0052</v>
      </c>
    </row>
    <row r="5988">
      <c r="A5988" s="131">
        <f>IFERROR(__xludf.DUMMYFUNCTION("""COMPUTED_VALUE"""),46187.54318287037)</f>
        <v>46187.54318</v>
      </c>
      <c r="B5988" s="126">
        <f>IFERROR(__xludf.DUMMYFUNCTION("""COMPUTED_VALUE"""),46187.0)</f>
        <v>46187</v>
      </c>
      <c r="C5988" s="122" t="str">
        <f>IFERROR(__xludf.DUMMYFUNCTION("""COMPUTED_VALUE"""),"DRIP")</f>
        <v>DRIP</v>
      </c>
      <c r="D5988" s="122" t="str">
        <f>IFERROR(__xludf.DUMMYFUNCTION("""COMPUTED_VALUE"""),"Drip Streetwear")</f>
        <v>Drip Streetwear</v>
      </c>
      <c r="E5988" s="122">
        <f>IFERROR(__xludf.DUMMYFUNCTION("""COMPUTED_VALUE"""),195.12)</f>
        <v>195.12</v>
      </c>
      <c r="F5988" s="122">
        <f>IFERROR(__xludf.DUMMYFUNCTION("""COMPUTED_VALUE"""),-0.0053)</f>
        <v>-0.0053</v>
      </c>
    </row>
    <row r="5989">
      <c r="A5989" s="131">
        <f>IFERROR(__xludf.DUMMYFUNCTION("""COMPUTED_VALUE"""),46187.54318287037)</f>
        <v>46187.54318</v>
      </c>
      <c r="B5989" s="126">
        <f>IFERROR(__xludf.DUMMYFUNCTION("""COMPUTED_VALUE"""),46187.0)</f>
        <v>46187</v>
      </c>
      <c r="C5989" s="122" t="str">
        <f>IFERROR(__xludf.DUMMYFUNCTION("""COMPUTED_VALUE"""),"KICK")</f>
        <v>KICK</v>
      </c>
      <c r="D5989" s="122" t="str">
        <f>IFERROR(__xludf.DUMMYFUNCTION("""COMPUTED_VALUE"""),"KickDrop Sneakers")</f>
        <v>KickDrop Sneakers</v>
      </c>
      <c r="E5989" s="122">
        <f>IFERROR(__xludf.DUMMYFUNCTION("""COMPUTED_VALUE"""),168.29)</f>
        <v>168.29</v>
      </c>
      <c r="F5989" s="122">
        <f>IFERROR(__xludf.DUMMYFUNCTION("""COMPUTED_VALUE"""),0.0033)</f>
        <v>0.0033</v>
      </c>
    </row>
    <row r="5990">
      <c r="A5990" s="131">
        <f>IFERROR(__xludf.DUMMYFUNCTION("""COMPUTED_VALUE"""),46187.54318287037)</f>
        <v>46187.54318</v>
      </c>
      <c r="B5990" s="126">
        <f>IFERROR(__xludf.DUMMYFUNCTION("""COMPUTED_VALUE"""),46187.0)</f>
        <v>46187</v>
      </c>
      <c r="C5990" s="122" t="str">
        <f>IFERROR(__xludf.DUMMYFUNCTION("""COMPUTED_VALUE"""),"GLAM")</f>
        <v>GLAM</v>
      </c>
      <c r="D5990" s="122" t="str">
        <f>IFERROR(__xludf.DUMMYFUNCTION("""COMPUTED_VALUE"""),"Glow Cosmetics")</f>
        <v>Glow Cosmetics</v>
      </c>
      <c r="E5990" s="122">
        <f>IFERROR(__xludf.DUMMYFUNCTION("""COMPUTED_VALUE"""),107.69)</f>
        <v>107.69</v>
      </c>
      <c r="F5990" s="122">
        <f>IFERROR(__xludf.DUMMYFUNCTION("""COMPUTED_VALUE"""),-0.0019)</f>
        <v>-0.0019</v>
      </c>
    </row>
    <row r="5991">
      <c r="A5991" s="131">
        <f>IFERROR(__xludf.DUMMYFUNCTION("""COMPUTED_VALUE"""),46187.54318287037)</f>
        <v>46187.54318</v>
      </c>
      <c r="B5991" s="126">
        <f>IFERROR(__xludf.DUMMYFUNCTION("""COMPUTED_VALUE"""),46187.0)</f>
        <v>46187</v>
      </c>
      <c r="C5991" s="122" t="str">
        <f>IFERROR(__xludf.DUMMYFUNCTION("""COMPUTED_VALUE"""),"BAGG")</f>
        <v>BAGG</v>
      </c>
      <c r="D5991" s="122" t="str">
        <f>IFERROR(__xludf.DUMMYFUNCTION("""COMPUTED_VALUE"""),"BagVault")</f>
        <v>BagVault</v>
      </c>
      <c r="E5991" s="122">
        <f>IFERROR(__xludf.DUMMYFUNCTION("""COMPUTED_VALUE"""),257.91)</f>
        <v>257.91</v>
      </c>
      <c r="F5991" s="122">
        <f>IFERROR(__xludf.DUMMYFUNCTION("""COMPUTED_VALUE"""),0.0061)</f>
        <v>0.0061</v>
      </c>
    </row>
    <row r="5992">
      <c r="A5992" s="131">
        <f>IFERROR(__xludf.DUMMYFUNCTION("""COMPUTED_VALUE"""),46187.54318287037)</f>
        <v>46187.54318</v>
      </c>
      <c r="B5992" s="126">
        <f>IFERROR(__xludf.DUMMYFUNCTION("""COMPUTED_VALUE"""),46187.0)</f>
        <v>46187</v>
      </c>
      <c r="C5992" s="122" t="str">
        <f>IFERROR(__xludf.DUMMYFUNCTION("""COMPUTED_VALUE"""),"FAST")</f>
        <v>FAST</v>
      </c>
      <c r="D5992" s="122" t="str">
        <f>IFERROR(__xludf.DUMMYFUNCTION("""COMPUTED_VALUE"""),"Flash Logistics")</f>
        <v>Flash Logistics</v>
      </c>
      <c r="E5992" s="122">
        <f>IFERROR(__xludf.DUMMYFUNCTION("""COMPUTED_VALUE"""),105.01)</f>
        <v>105.01</v>
      </c>
      <c r="F5992" s="122">
        <f>IFERROR(__xludf.DUMMYFUNCTION("""COMPUTED_VALUE"""),-9.0E-4)</f>
        <v>-0.0009</v>
      </c>
    </row>
    <row r="5993">
      <c r="A5993" s="131">
        <f>IFERROR(__xludf.DUMMYFUNCTION("""COMPUTED_VALUE"""),46187.54318287037)</f>
        <v>46187.54318</v>
      </c>
      <c r="B5993" s="126">
        <f>IFERROR(__xludf.DUMMYFUNCTION("""COMPUTED_VALUE"""),46187.0)</f>
        <v>46187</v>
      </c>
      <c r="C5993" s="122" t="str">
        <f>IFERROR(__xludf.DUMMYFUNCTION("""COMPUTED_VALUE"""),"SHIP")</f>
        <v>SHIP</v>
      </c>
      <c r="D5993" s="122" t="str">
        <f>IFERROR(__xludf.DUMMYFUNCTION("""COMPUTED_VALUE"""),"Seoul Shipping")</f>
        <v>Seoul Shipping</v>
      </c>
      <c r="E5993" s="122">
        <f>IFERROR(__xludf.DUMMYFUNCTION("""COMPUTED_VALUE"""),128.14)</f>
        <v>128.14</v>
      </c>
      <c r="F5993" s="122">
        <f>IFERROR(__xludf.DUMMYFUNCTION("""COMPUTED_VALUE"""),0.0063)</f>
        <v>0.0063</v>
      </c>
    </row>
    <row r="5994">
      <c r="A5994" s="131">
        <f>IFERROR(__xludf.DUMMYFUNCTION("""COMPUTED_VALUE"""),46187.54318287037)</f>
        <v>46187.54318</v>
      </c>
      <c r="B5994" s="126">
        <f>IFERROR(__xludf.DUMMYFUNCTION("""COMPUTED_VALUE"""),46187.0)</f>
        <v>46187</v>
      </c>
      <c r="C5994" s="122" t="str">
        <f>IFERROR(__xludf.DUMMYFUNCTION("""COMPUTED_VALUE"""),"DRON")</f>
        <v>DRON</v>
      </c>
      <c r="D5994" s="122" t="str">
        <f>IFERROR(__xludf.DUMMYFUNCTION("""COMPUTED_VALUE"""),"DroneDrop")</f>
        <v>DroneDrop</v>
      </c>
      <c r="E5994" s="122">
        <f>IFERROR(__xludf.DUMMYFUNCTION("""COMPUTED_VALUE"""),127.83)</f>
        <v>127.83</v>
      </c>
      <c r="F5994" s="122">
        <f>IFERROR(__xludf.DUMMYFUNCTION("""COMPUTED_VALUE"""),0.0032)</f>
        <v>0.0032</v>
      </c>
    </row>
    <row r="5995">
      <c r="A5995" s="131">
        <f>IFERROR(__xludf.DUMMYFUNCTION("""COMPUTED_VALUE"""),46187.54318287037)</f>
        <v>46187.54318</v>
      </c>
      <c r="B5995" s="126">
        <f>IFERROR(__xludf.DUMMYFUNCTION("""COMPUTED_VALUE"""),46187.0)</f>
        <v>46187</v>
      </c>
      <c r="C5995" s="122" t="str">
        <f>IFERROR(__xludf.DUMMYFUNCTION("""COMPUTED_VALUE"""),"RIDE")</f>
        <v>RIDE</v>
      </c>
      <c r="D5995" s="122" t="str">
        <f>IFERROR(__xludf.DUMMYFUNCTION("""COMPUTED_VALUE"""),"QuickRide")</f>
        <v>QuickRide</v>
      </c>
      <c r="E5995" s="122">
        <f>IFERROR(__xludf.DUMMYFUNCTION("""COMPUTED_VALUE"""),100.22)</f>
        <v>100.22</v>
      </c>
      <c r="F5995" s="122">
        <f>IFERROR(__xludf.DUMMYFUNCTION("""COMPUTED_VALUE"""),0.0089)</f>
        <v>0.0089</v>
      </c>
    </row>
    <row r="5996">
      <c r="A5996" s="131">
        <f>IFERROR(__xludf.DUMMYFUNCTION("""COMPUTED_VALUE"""),46187.54318287037)</f>
        <v>46187.54318</v>
      </c>
      <c r="B5996" s="126">
        <f>IFERROR(__xludf.DUMMYFUNCTION("""COMPUTED_VALUE"""),46187.0)</f>
        <v>46187</v>
      </c>
      <c r="C5996" s="122" t="str">
        <f>IFERROR(__xludf.DUMMYFUNCTION("""COMPUTED_VALUE"""),"RAIL")</f>
        <v>RAIL</v>
      </c>
      <c r="D5996" s="122" t="str">
        <f>IFERROR(__xludf.DUMMYFUNCTION("""COMPUTED_VALUE"""),"MetroRail Corp")</f>
        <v>MetroRail Corp</v>
      </c>
      <c r="E5996" s="122">
        <f>IFERROR(__xludf.DUMMYFUNCTION("""COMPUTED_VALUE"""),131.97)</f>
        <v>131.97</v>
      </c>
      <c r="F5996" s="122">
        <f>IFERROR(__xludf.DUMMYFUNCTION("""COMPUTED_VALUE"""),-0.0031)</f>
        <v>-0.0031</v>
      </c>
    </row>
    <row r="5997">
      <c r="A5997" s="131">
        <f>IFERROR(__xludf.DUMMYFUNCTION("""COMPUTED_VALUE"""),46187.54318287037)</f>
        <v>46187.54318</v>
      </c>
      <c r="B5997" s="126">
        <f>IFERROR(__xludf.DUMMYFUNCTION("""COMPUTED_VALUE"""),46187.0)</f>
        <v>46187</v>
      </c>
      <c r="C5997" s="122" t="str">
        <f>IFERROR(__xludf.DUMMYFUNCTION("""COMPUTED_VALUE"""),"MEDX")</f>
        <v>MEDX</v>
      </c>
      <c r="D5997" s="122" t="str">
        <f>IFERROR(__xludf.DUMMYFUNCTION("""COMPUTED_VALUE"""),"MediCore")</f>
        <v>MediCore</v>
      </c>
      <c r="E5997" s="122">
        <f>IFERROR(__xludf.DUMMYFUNCTION("""COMPUTED_VALUE"""),137.3)</f>
        <v>137.3</v>
      </c>
      <c r="F5997" s="122">
        <f>IFERROR(__xludf.DUMMYFUNCTION("""COMPUTED_VALUE"""),-0.001)</f>
        <v>-0.001</v>
      </c>
    </row>
    <row r="5998">
      <c r="A5998" s="131">
        <f>IFERROR(__xludf.DUMMYFUNCTION("""COMPUTED_VALUE"""),46187.54318287037)</f>
        <v>46187.54318</v>
      </c>
      <c r="B5998" s="126">
        <f>IFERROR(__xludf.DUMMYFUNCTION("""COMPUTED_VALUE"""),46187.0)</f>
        <v>46187</v>
      </c>
      <c r="C5998" s="122" t="str">
        <f>IFERROR(__xludf.DUMMYFUNCTION("""COMPUTED_VALUE"""),"GYMX")</f>
        <v>GYMX</v>
      </c>
      <c r="D5998" s="122" t="str">
        <f>IFERROR(__xludf.DUMMYFUNCTION("""COMPUTED_VALUE"""),"GymX Fitness")</f>
        <v>GymX Fitness</v>
      </c>
      <c r="E5998" s="122">
        <f>IFERROR(__xludf.DUMMYFUNCTION("""COMPUTED_VALUE"""),86.02)</f>
        <v>86.02</v>
      </c>
      <c r="F5998" s="122">
        <f>IFERROR(__xludf.DUMMYFUNCTION("""COMPUTED_VALUE"""),0.0046)</f>
        <v>0.0046</v>
      </c>
    </row>
    <row r="5999">
      <c r="A5999" s="131">
        <f>IFERROR(__xludf.DUMMYFUNCTION("""COMPUTED_VALUE"""),46187.54318287037)</f>
        <v>46187.54318</v>
      </c>
      <c r="B5999" s="126">
        <f>IFERROR(__xludf.DUMMYFUNCTION("""COMPUTED_VALUE"""),46187.0)</f>
        <v>46187</v>
      </c>
      <c r="C5999" s="122" t="str">
        <f>IFERROR(__xludf.DUMMYFUNCTION("""COMPUTED_VALUE"""),"VITA")</f>
        <v>VITA</v>
      </c>
      <c r="D5999" s="122" t="str">
        <f>IFERROR(__xludf.DUMMYFUNCTION("""COMPUTED_VALUE"""),"VitaPlus")</f>
        <v>VitaPlus</v>
      </c>
      <c r="E5999" s="122">
        <f>IFERROR(__xludf.DUMMYFUNCTION("""COMPUTED_VALUE"""),71.59)</f>
        <v>71.59</v>
      </c>
      <c r="F5999" s="122">
        <f>IFERROR(__xludf.DUMMYFUNCTION("""COMPUTED_VALUE"""),-0.0021)</f>
        <v>-0.0021</v>
      </c>
    </row>
    <row r="6000">
      <c r="A6000" s="131">
        <f>IFERROR(__xludf.DUMMYFUNCTION("""COMPUTED_VALUE"""),46187.54318287037)</f>
        <v>46187.54318</v>
      </c>
      <c r="B6000" s="126">
        <f>IFERROR(__xludf.DUMMYFUNCTION("""COMPUTED_VALUE"""),46187.0)</f>
        <v>46187</v>
      </c>
      <c r="C6000" s="122" t="str">
        <f>IFERROR(__xludf.DUMMYFUNCTION("""COMPUTED_VALUE"""),"CARE")</f>
        <v>CARE</v>
      </c>
      <c r="D6000" s="122" t="str">
        <f>IFERROR(__xludf.DUMMYFUNCTION("""COMPUTED_VALUE"""),"CareCloud")</f>
        <v>CareCloud</v>
      </c>
      <c r="E6000" s="122">
        <f>IFERROR(__xludf.DUMMYFUNCTION("""COMPUTED_VALUE"""),179.33)</f>
        <v>179.33</v>
      </c>
      <c r="F6000" s="122">
        <f>IFERROR(__xludf.DUMMYFUNCTION("""COMPUTED_VALUE"""),-8.0E-4)</f>
        <v>-0.0008</v>
      </c>
    </row>
    <row r="6001">
      <c r="A6001" s="131">
        <f>IFERROR(__xludf.DUMMYFUNCTION("""COMPUTED_VALUE"""),46187.54318287037)</f>
        <v>46187.54318</v>
      </c>
      <c r="B6001" s="126">
        <f>IFERROR(__xludf.DUMMYFUNCTION("""COMPUTED_VALUE"""),46187.0)</f>
        <v>46187</v>
      </c>
      <c r="C6001" s="122" t="str">
        <f>IFERROR(__xludf.DUMMYFUNCTION("""COMPUTED_VALUE"""),"DENT")</f>
        <v>DENT</v>
      </c>
      <c r="D6001" s="122" t="str">
        <f>IFERROR(__xludf.DUMMYFUNCTION("""COMPUTED_VALUE"""),"SmileWorks")</f>
        <v>SmileWorks</v>
      </c>
      <c r="E6001" s="122">
        <f>IFERROR(__xludf.DUMMYFUNCTION("""COMPUTED_VALUE"""),91.67)</f>
        <v>91.67</v>
      </c>
      <c r="F6001" s="122">
        <f>IFERROR(__xludf.DUMMYFUNCTION("""COMPUTED_VALUE"""),0.0025)</f>
        <v>0.0025</v>
      </c>
    </row>
    <row r="6002">
      <c r="A6002" s="131">
        <f>IFERROR(__xludf.DUMMYFUNCTION("""COMPUTED_VALUE"""),46187.54318287037)</f>
        <v>46187.54318</v>
      </c>
      <c r="B6002" s="126">
        <f>IFERROR(__xludf.DUMMYFUNCTION("""COMPUTED_VALUE"""),46187.0)</f>
        <v>46187</v>
      </c>
      <c r="C6002" s="122" t="str">
        <f>IFERROR(__xludf.DUMMYFUNCTION("""COMPUTED_VALUE"""),"EDUX")</f>
        <v>EDUX</v>
      </c>
      <c r="D6002" s="122" t="str">
        <f>IFERROR(__xludf.DUMMYFUNCTION("""COMPUTED_VALUE"""),"EduMax Learning")</f>
        <v>EduMax Learning</v>
      </c>
      <c r="E6002" s="122">
        <f>IFERROR(__xludf.DUMMYFUNCTION("""COMPUTED_VALUE"""),144.51)</f>
        <v>144.51</v>
      </c>
      <c r="F6002" s="122">
        <f>IFERROR(__xludf.DUMMYFUNCTION("""COMPUTED_VALUE"""),0.0075)</f>
        <v>0.0075</v>
      </c>
    </row>
    <row r="6003">
      <c r="A6003" s="131">
        <f>IFERROR(__xludf.DUMMYFUNCTION("""COMPUTED_VALUE"""),46187.54318287037)</f>
        <v>46187.54318</v>
      </c>
      <c r="B6003" s="126">
        <f>IFERROR(__xludf.DUMMYFUNCTION("""COMPUTED_VALUE"""),46187.0)</f>
        <v>46187</v>
      </c>
      <c r="C6003" s="122" t="str">
        <f>IFERROR(__xludf.DUMMYFUNCTION("""COMPUTED_VALUE"""),"BOOK")</f>
        <v>BOOK</v>
      </c>
      <c r="D6003" s="122" t="str">
        <f>IFERROR(__xludf.DUMMYFUNCTION("""COMPUTED_VALUE"""),"BookBridge")</f>
        <v>BookBridge</v>
      </c>
      <c r="E6003" s="122">
        <f>IFERROR(__xludf.DUMMYFUNCTION("""COMPUTED_VALUE"""),118.43)</f>
        <v>118.43</v>
      </c>
      <c r="F6003" s="122">
        <f>IFERROR(__xludf.DUMMYFUNCTION("""COMPUTED_VALUE"""),-8.0E-4)</f>
        <v>-0.0008</v>
      </c>
    </row>
    <row r="6004">
      <c r="A6004" s="131">
        <f>IFERROR(__xludf.DUMMYFUNCTION("""COMPUTED_VALUE"""),46187.54318287037)</f>
        <v>46187.54318</v>
      </c>
      <c r="B6004" s="126">
        <f>IFERROR(__xludf.DUMMYFUNCTION("""COMPUTED_VALUE"""),46187.0)</f>
        <v>46187</v>
      </c>
      <c r="C6004" s="122" t="str">
        <f>IFERROR(__xludf.DUMMYFUNCTION("""COMPUTED_VALUE"""),"TUTR")</f>
        <v>TUTR</v>
      </c>
      <c r="D6004" s="122" t="str">
        <f>IFERROR(__xludf.DUMMYFUNCTION("""COMPUTED_VALUE"""),"TutorTown")</f>
        <v>TutorTown</v>
      </c>
      <c r="E6004" s="122">
        <f>IFERROR(__xludf.DUMMYFUNCTION("""COMPUTED_VALUE"""),89.73)</f>
        <v>89.73</v>
      </c>
      <c r="F6004" s="122">
        <f>IFERROR(__xludf.DUMMYFUNCTION("""COMPUTED_VALUE"""),-0.0037)</f>
        <v>-0.0037</v>
      </c>
    </row>
    <row r="6005">
      <c r="A6005" s="131">
        <f>IFERROR(__xludf.DUMMYFUNCTION("""COMPUTED_VALUE"""),46187.54318287037)</f>
        <v>46187.54318</v>
      </c>
      <c r="B6005" s="126">
        <f>IFERROR(__xludf.DUMMYFUNCTION("""COMPUTED_VALUE"""),46187.0)</f>
        <v>46187</v>
      </c>
      <c r="C6005" s="122" t="str">
        <f>IFERROR(__xludf.DUMMYFUNCTION("""COMPUTED_VALUE"""),"LANG")</f>
        <v>LANG</v>
      </c>
      <c r="D6005" s="122" t="str">
        <f>IFERROR(__xludf.DUMMYFUNCTION("""COMPUTED_VALUE"""),"LinguaLab")</f>
        <v>LinguaLab</v>
      </c>
      <c r="E6005" s="122">
        <f>IFERROR(__xludf.DUMMYFUNCTION("""COMPUTED_VALUE"""),101.11)</f>
        <v>101.11</v>
      </c>
      <c r="F6005" s="122">
        <f>IFERROR(__xludf.DUMMYFUNCTION("""COMPUTED_VALUE"""),0.0018)</f>
        <v>0.0018</v>
      </c>
    </row>
    <row r="6006">
      <c r="A6006" s="131">
        <f>IFERROR(__xludf.DUMMYFUNCTION("""COMPUTED_VALUE"""),46187.54318287037)</f>
        <v>46187.54318</v>
      </c>
      <c r="B6006" s="126">
        <f>IFERROR(__xludf.DUMMYFUNCTION("""COMPUTED_VALUE"""),46187.0)</f>
        <v>46187</v>
      </c>
      <c r="C6006" s="122" t="str">
        <f>IFERROR(__xludf.DUMMYFUNCTION("""COMPUTED_VALUE"""),"TEST")</f>
        <v>TEST</v>
      </c>
      <c r="D6006" s="122" t="str">
        <f>IFERROR(__xludf.DUMMYFUNCTION("""COMPUTED_VALUE"""),"TestPrep Pro")</f>
        <v>TestPrep Pro</v>
      </c>
      <c r="E6006" s="122">
        <f>IFERROR(__xludf.DUMMYFUNCTION("""COMPUTED_VALUE"""),92.88)</f>
        <v>92.88</v>
      </c>
      <c r="F6006" s="122">
        <f>IFERROR(__xludf.DUMMYFUNCTION("""COMPUTED_VALUE"""),-0.005)</f>
        <v>-0.005</v>
      </c>
    </row>
    <row r="6007">
      <c r="A6007" s="131">
        <f>IFERROR(__xludf.DUMMYFUNCTION("""COMPUTED_VALUE"""),46187.54318287037)</f>
        <v>46187.54318</v>
      </c>
      <c r="B6007" s="126">
        <f>IFERROR(__xludf.DUMMYFUNCTION("""COMPUTED_VALUE"""),46187.0)</f>
        <v>46187</v>
      </c>
      <c r="C6007" s="122" t="str">
        <f>IFERROR(__xludf.DUMMYFUNCTION("""COMPUTED_VALUE"""),"MOVI")</f>
        <v>MOVI</v>
      </c>
      <c r="D6007" s="122" t="str">
        <f>IFERROR(__xludf.DUMMYFUNCTION("""COMPUTED_VALUE"""),"MovieBox")</f>
        <v>MovieBox</v>
      </c>
      <c r="E6007" s="122">
        <f>IFERROR(__xludf.DUMMYFUNCTION("""COMPUTED_VALUE"""),82.84)</f>
        <v>82.84</v>
      </c>
      <c r="F6007" s="122">
        <f>IFERROR(__xludf.DUMMYFUNCTION("""COMPUTED_VALUE"""),0.0073)</f>
        <v>0.0073</v>
      </c>
    </row>
    <row r="6008">
      <c r="A6008" s="131">
        <f>IFERROR(__xludf.DUMMYFUNCTION("""COMPUTED_VALUE"""),46187.54318287037)</f>
        <v>46187.54318</v>
      </c>
      <c r="B6008" s="126">
        <f>IFERROR(__xludf.DUMMYFUNCTION("""COMPUTED_VALUE"""),46187.0)</f>
        <v>46187</v>
      </c>
      <c r="C6008" s="122" t="str">
        <f>IFERROR(__xludf.DUMMYFUNCTION("""COMPUTED_VALUE"""),"MUSC")</f>
        <v>MUSC</v>
      </c>
      <c r="D6008" s="122" t="str">
        <f>IFERROR(__xludf.DUMMYFUNCTION("""COMPUTED_VALUE"""),"MusicWave")</f>
        <v>MusicWave</v>
      </c>
      <c r="E6008" s="122">
        <f>IFERROR(__xludf.DUMMYFUNCTION("""COMPUTED_VALUE"""),101.48)</f>
        <v>101.48</v>
      </c>
      <c r="F6008" s="122">
        <f>IFERROR(__xludf.DUMMYFUNCTION("""COMPUTED_VALUE"""),-0.0031)</f>
        <v>-0.0031</v>
      </c>
    </row>
    <row r="6009">
      <c r="A6009" s="131">
        <f>IFERROR(__xludf.DUMMYFUNCTION("""COMPUTED_VALUE"""),46187.54318287037)</f>
        <v>46187.54318</v>
      </c>
      <c r="B6009" s="126">
        <f>IFERROR(__xludf.DUMMYFUNCTION("""COMPUTED_VALUE"""),46187.0)</f>
        <v>46187</v>
      </c>
      <c r="C6009" s="122" t="str">
        <f>IFERROR(__xludf.DUMMYFUNCTION("""COMPUTED_VALUE"""),"IDOL")</f>
        <v>IDOL</v>
      </c>
      <c r="D6009" s="122" t="str">
        <f>IFERROR(__xludf.DUMMYFUNCTION("""COMPUTED_VALUE"""),"Idol Agency")</f>
        <v>Idol Agency</v>
      </c>
      <c r="E6009" s="122">
        <f>IFERROR(__xludf.DUMMYFUNCTION("""COMPUTED_VALUE"""),188.53)</f>
        <v>188.53</v>
      </c>
      <c r="F6009" s="122">
        <f>IFERROR(__xludf.DUMMYFUNCTION("""COMPUTED_VALUE"""),0.0023)</f>
        <v>0.0023</v>
      </c>
    </row>
    <row r="6010">
      <c r="A6010" s="131">
        <f>IFERROR(__xludf.DUMMYFUNCTION("""COMPUTED_VALUE"""),46187.54318287037)</f>
        <v>46187.54318</v>
      </c>
      <c r="B6010" s="126">
        <f>IFERROR(__xludf.DUMMYFUNCTION("""COMPUTED_VALUE"""),46187.0)</f>
        <v>46187</v>
      </c>
      <c r="C6010" s="122" t="str">
        <f>IFERROR(__xludf.DUMMYFUNCTION("""COMPUTED_VALUE"""),"MEME")</f>
        <v>MEME</v>
      </c>
      <c r="D6010" s="122" t="str">
        <f>IFERROR(__xludf.DUMMYFUNCTION("""COMPUTED_VALUE"""),"Meme Media")</f>
        <v>Meme Media</v>
      </c>
      <c r="E6010" s="122">
        <f>IFERROR(__xludf.DUMMYFUNCTION("""COMPUTED_VALUE"""),73.41)</f>
        <v>73.41</v>
      </c>
      <c r="F6010" s="122">
        <f>IFERROR(__xludf.DUMMYFUNCTION("""COMPUTED_VALUE"""),0.0049)</f>
        <v>0.0049</v>
      </c>
    </row>
    <row r="6011">
      <c r="A6011" s="131">
        <f>IFERROR(__xludf.DUMMYFUNCTION("""COMPUTED_VALUE"""),46187.54318287037)</f>
        <v>46187.54318</v>
      </c>
      <c r="B6011" s="126">
        <f>IFERROR(__xludf.DUMMYFUNCTION("""COMPUTED_VALUE"""),46187.0)</f>
        <v>46187</v>
      </c>
      <c r="C6011" s="122" t="str">
        <f>IFERROR(__xludf.DUMMYFUNCTION("""COMPUTED_VALUE"""),"STRM")</f>
        <v>STRM</v>
      </c>
      <c r="D6011" s="122" t="str">
        <f>IFERROR(__xludf.DUMMYFUNCTION("""COMPUTED_VALUE"""),"Streamly")</f>
        <v>Streamly</v>
      </c>
      <c r="E6011" s="122">
        <f>IFERROR(__xludf.DUMMYFUNCTION("""COMPUTED_VALUE"""),138.78)</f>
        <v>138.78</v>
      </c>
      <c r="F6011" s="122">
        <f>IFERROR(__xludf.DUMMYFUNCTION("""COMPUTED_VALUE"""),-0.0052)</f>
        <v>-0.0052</v>
      </c>
    </row>
    <row r="6012">
      <c r="A6012" s="131">
        <f>IFERROR(__xludf.DUMMYFUNCTION("""COMPUTED_VALUE"""),46187.54318287037)</f>
        <v>46187.54318</v>
      </c>
      <c r="B6012" s="126">
        <f>IFERROR(__xludf.DUMMYFUNCTION("""COMPUTED_VALUE"""),46187.0)</f>
        <v>46187</v>
      </c>
      <c r="C6012" s="122" t="str">
        <f>IFERROR(__xludf.DUMMYFUNCTION("""COMPUTED_VALUE"""),"FARM")</f>
        <v>FARM</v>
      </c>
      <c r="D6012" s="122" t="str">
        <f>IFERROR(__xludf.DUMMYFUNCTION("""COMPUTED_VALUE"""),"Future Farms")</f>
        <v>Future Farms</v>
      </c>
      <c r="E6012" s="122">
        <f>IFERROR(__xludf.DUMMYFUNCTION("""COMPUTED_VALUE"""),92.22)</f>
        <v>92.22</v>
      </c>
      <c r="F6012" s="122">
        <f>IFERROR(__xludf.DUMMYFUNCTION("""COMPUTED_VALUE"""),0.0046)</f>
        <v>0.0046</v>
      </c>
    </row>
    <row r="6013">
      <c r="A6013" s="131">
        <f>IFERROR(__xludf.DUMMYFUNCTION("""COMPUTED_VALUE"""),46187.54318287037)</f>
        <v>46187.54318</v>
      </c>
      <c r="B6013" s="126">
        <f>IFERROR(__xludf.DUMMYFUNCTION("""COMPUTED_VALUE"""),46187.0)</f>
        <v>46187</v>
      </c>
      <c r="C6013" s="122" t="str">
        <f>IFERROR(__xludf.DUMMYFUNCTION("""COMPUTED_VALUE"""),"MEAT")</f>
        <v>MEAT</v>
      </c>
      <c r="D6013" s="122" t="str">
        <f>IFERROR(__xludf.DUMMYFUNCTION("""COMPUTED_VALUE"""),"MeatWorks")</f>
        <v>MeatWorks</v>
      </c>
      <c r="E6013" s="122">
        <f>IFERROR(__xludf.DUMMYFUNCTION("""COMPUTED_VALUE"""),105.97)</f>
        <v>105.97</v>
      </c>
      <c r="F6013" s="122">
        <f>IFERROR(__xludf.DUMMYFUNCTION("""COMPUTED_VALUE"""),9.0E-4)</f>
        <v>0.0009</v>
      </c>
    </row>
    <row r="6014">
      <c r="A6014" s="131">
        <f>IFERROR(__xludf.DUMMYFUNCTION("""COMPUTED_VALUE"""),46187.54318287037)</f>
        <v>46187.54318</v>
      </c>
      <c r="B6014" s="126">
        <f>IFERROR(__xludf.DUMMYFUNCTION("""COMPUTED_VALUE"""),46187.0)</f>
        <v>46187</v>
      </c>
      <c r="C6014" s="122" t="str">
        <f>IFERROR(__xludf.DUMMYFUNCTION("""COMPUTED_VALUE"""),"VEGI")</f>
        <v>VEGI</v>
      </c>
      <c r="D6014" s="122" t="str">
        <f>IFERROR(__xludf.DUMMYFUNCTION("""COMPUTED_VALUE"""),"Green Basket")</f>
        <v>Green Basket</v>
      </c>
      <c r="E6014" s="122">
        <f>IFERROR(__xludf.DUMMYFUNCTION("""COMPUTED_VALUE"""),78.92)</f>
        <v>78.92</v>
      </c>
      <c r="F6014" s="122">
        <f>IFERROR(__xludf.DUMMYFUNCTION("""COMPUTED_VALUE"""),-3.0E-4)</f>
        <v>-0.0003</v>
      </c>
    </row>
    <row r="6015">
      <c r="A6015" s="131">
        <f>IFERROR(__xludf.DUMMYFUNCTION("""COMPUTED_VALUE"""),46187.54318287037)</f>
        <v>46187.54318</v>
      </c>
      <c r="B6015" s="126">
        <f>IFERROR(__xludf.DUMMYFUNCTION("""COMPUTED_VALUE"""),46187.0)</f>
        <v>46187</v>
      </c>
      <c r="C6015" s="122" t="str">
        <f>IFERROR(__xludf.DUMMYFUNCTION("""COMPUTED_VALUE"""),"CAFE")</f>
        <v>CAFE</v>
      </c>
      <c r="D6015" s="122" t="str">
        <f>IFERROR(__xludf.DUMMYFUNCTION("""COMPUTED_VALUE"""),"Cafe Cloud")</f>
        <v>Cafe Cloud</v>
      </c>
      <c r="E6015" s="122">
        <f>IFERROR(__xludf.DUMMYFUNCTION("""COMPUTED_VALUE"""),100.18)</f>
        <v>100.18</v>
      </c>
      <c r="F6015" s="122">
        <f>IFERROR(__xludf.DUMMYFUNCTION("""COMPUTED_VALUE"""),-1.0E-4)</f>
        <v>-0.0001</v>
      </c>
    </row>
    <row r="6016">
      <c r="A6016" s="131">
        <f>IFERROR(__xludf.DUMMYFUNCTION("""COMPUTED_VALUE"""),46187.54318287037)</f>
        <v>46187.54318</v>
      </c>
      <c r="B6016" s="126">
        <f>IFERROR(__xludf.DUMMYFUNCTION("""COMPUTED_VALUE"""),46187.0)</f>
        <v>46187</v>
      </c>
      <c r="C6016" s="122" t="str">
        <f>IFERROR(__xludf.DUMMYFUNCTION("""COMPUTED_VALUE"""),"BAKE")</f>
        <v>BAKE</v>
      </c>
      <c r="D6016" s="122" t="str">
        <f>IFERROR(__xludf.DUMMYFUNCTION("""COMPUTED_VALUE"""),"BakeHouse")</f>
        <v>BakeHouse</v>
      </c>
      <c r="E6016" s="122">
        <f>IFERROR(__xludf.DUMMYFUNCTION("""COMPUTED_VALUE"""),102.02)</f>
        <v>102.02</v>
      </c>
      <c r="F6016" s="122">
        <f>IFERROR(__xludf.DUMMYFUNCTION("""COMPUTED_VALUE"""),-0.0013)</f>
        <v>-0.0013</v>
      </c>
    </row>
    <row r="6017">
      <c r="A6017" s="131">
        <f>IFERROR(__xludf.DUMMYFUNCTION("""COMPUTED_VALUE"""),46187.54318287037)</f>
        <v>46187.54318</v>
      </c>
      <c r="B6017" s="126">
        <f>IFERROR(__xludf.DUMMYFUNCTION("""COMPUTED_VALUE"""),46187.0)</f>
        <v>46187</v>
      </c>
      <c r="C6017" s="122" t="str">
        <f>IFERROR(__xludf.DUMMYFUNCTION("""COMPUTED_VALUE"""),"OILX")</f>
        <v>OILX</v>
      </c>
      <c r="D6017" s="122" t="str">
        <f>IFERROR(__xludf.DUMMYFUNCTION("""COMPUTED_VALUE"""),"OilMax Energy")</f>
        <v>OilMax Energy</v>
      </c>
      <c r="E6017" s="122">
        <f>IFERROR(__xludf.DUMMYFUNCTION("""COMPUTED_VALUE"""),130.58)</f>
        <v>130.58</v>
      </c>
      <c r="F6017" s="122">
        <f>IFERROR(__xludf.DUMMYFUNCTION("""COMPUTED_VALUE"""),0.0089)</f>
        <v>0.0089</v>
      </c>
    </row>
    <row r="6018">
      <c r="A6018" s="131">
        <f>IFERROR(__xludf.DUMMYFUNCTION("""COMPUTED_VALUE"""),46187.54318287037)</f>
        <v>46187.54318</v>
      </c>
      <c r="B6018" s="126">
        <f>IFERROR(__xludf.DUMMYFUNCTION("""COMPUTED_VALUE"""),46187.0)</f>
        <v>46187</v>
      </c>
      <c r="C6018" s="122" t="str">
        <f>IFERROR(__xludf.DUMMYFUNCTION("""COMPUTED_VALUE"""),"SOLR")</f>
        <v>SOLR</v>
      </c>
      <c r="D6018" s="122" t="str">
        <f>IFERROR(__xludf.DUMMYFUNCTION("""COMPUTED_VALUE"""),"SolarSpark")</f>
        <v>SolarSpark</v>
      </c>
      <c r="E6018" s="122">
        <f>IFERROR(__xludf.DUMMYFUNCTION("""COMPUTED_VALUE"""),100.36)</f>
        <v>100.36</v>
      </c>
      <c r="F6018" s="122">
        <f>IFERROR(__xludf.DUMMYFUNCTION("""COMPUTED_VALUE"""),0.0026)</f>
        <v>0.0026</v>
      </c>
    </row>
    <row r="6019">
      <c r="A6019" s="131">
        <f>IFERROR(__xludf.DUMMYFUNCTION("""COMPUTED_VALUE"""),46187.54318287037)</f>
        <v>46187.54318</v>
      </c>
      <c r="B6019" s="126">
        <f>IFERROR(__xludf.DUMMYFUNCTION("""COMPUTED_VALUE"""),46187.0)</f>
        <v>46187</v>
      </c>
      <c r="C6019" s="122" t="str">
        <f>IFERROR(__xludf.DUMMYFUNCTION("""COMPUTED_VALUE"""),"BATT")</f>
        <v>BATT</v>
      </c>
      <c r="D6019" s="122" t="str">
        <f>IFERROR(__xludf.DUMMYFUNCTION("""COMPUTED_VALUE"""),"BatteryBox")</f>
        <v>BatteryBox</v>
      </c>
      <c r="E6019" s="122">
        <f>IFERROR(__xludf.DUMMYFUNCTION("""COMPUTED_VALUE"""),117.08)</f>
        <v>117.08</v>
      </c>
      <c r="F6019" s="122">
        <f>IFERROR(__xludf.DUMMYFUNCTION("""COMPUTED_VALUE"""),0.0052)</f>
        <v>0.0052</v>
      </c>
    </row>
    <row r="6020">
      <c r="A6020" s="131">
        <f>IFERROR(__xludf.DUMMYFUNCTION("""COMPUTED_VALUE"""),46187.54318287037)</f>
        <v>46187.54318</v>
      </c>
      <c r="B6020" s="126">
        <f>IFERROR(__xludf.DUMMYFUNCTION("""COMPUTED_VALUE"""),46187.0)</f>
        <v>46187</v>
      </c>
      <c r="C6020" s="122" t="str">
        <f>IFERROR(__xludf.DUMMYFUNCTION("""COMPUTED_VALUE"""),"WIND")</f>
        <v>WIND</v>
      </c>
      <c r="D6020" s="122" t="str">
        <f>IFERROR(__xludf.DUMMYFUNCTION("""COMPUTED_VALUE"""),"WindWorks")</f>
        <v>WindWorks</v>
      </c>
      <c r="E6020" s="122">
        <f>IFERROR(__xludf.DUMMYFUNCTION("""COMPUTED_VALUE"""),88.31)</f>
        <v>88.31</v>
      </c>
      <c r="F6020" s="122">
        <f>IFERROR(__xludf.DUMMYFUNCTION("""COMPUTED_VALUE"""),-0.0055)</f>
        <v>-0.0055</v>
      </c>
    </row>
    <row r="6021">
      <c r="A6021" s="131">
        <f>IFERROR(__xludf.DUMMYFUNCTION("""COMPUTED_VALUE"""),46187.54318287037)</f>
        <v>46187.54318</v>
      </c>
      <c r="B6021" s="126">
        <f>IFERROR(__xludf.DUMMYFUNCTION("""COMPUTED_VALUE"""),46187.0)</f>
        <v>46187</v>
      </c>
      <c r="C6021" s="122" t="str">
        <f>IFERROR(__xludf.DUMMYFUNCTION("""COMPUTED_VALUE"""),"GRID")</f>
        <v>GRID</v>
      </c>
      <c r="D6021" s="122" t="str">
        <f>IFERROR(__xludf.DUMMYFUNCTION("""COMPUTED_VALUE"""),"GridPower")</f>
        <v>GridPower</v>
      </c>
      <c r="E6021" s="122">
        <f>IFERROR(__xludf.DUMMYFUNCTION("""COMPUTED_VALUE"""),134.06)</f>
        <v>134.06</v>
      </c>
      <c r="F6021" s="122">
        <f>IFERROR(__xludf.DUMMYFUNCTION("""COMPUTED_VALUE"""),-0.002)</f>
        <v>-0.002</v>
      </c>
    </row>
    <row r="6022">
      <c r="A6022" s="131">
        <f>IFERROR(__xludf.DUMMYFUNCTION("""COMPUTED_VALUE"""),46187.54318287037)</f>
        <v>46187.54318</v>
      </c>
      <c r="B6022" s="126">
        <f>IFERROR(__xludf.DUMMYFUNCTION("""COMPUTED_VALUE"""),46187.0)</f>
        <v>46187</v>
      </c>
      <c r="C6022" s="122" t="str">
        <f>IFERROR(__xludf.DUMMYFUNCTION("""COMPUTED_VALUE"""),"HOME")</f>
        <v>HOME</v>
      </c>
      <c r="D6022" s="122" t="str">
        <f>IFERROR(__xludf.DUMMYFUNCTION("""COMPUTED_VALUE"""),"HomeHub")</f>
        <v>HomeHub</v>
      </c>
      <c r="E6022" s="122">
        <f>IFERROR(__xludf.DUMMYFUNCTION("""COMPUTED_VALUE"""),154.44)</f>
        <v>154.44</v>
      </c>
      <c r="F6022" s="122">
        <f>IFERROR(__xludf.DUMMYFUNCTION("""COMPUTED_VALUE"""),-0.0028)</f>
        <v>-0.0028</v>
      </c>
    </row>
    <row r="6023">
      <c r="A6023" s="131">
        <f>IFERROR(__xludf.DUMMYFUNCTION("""COMPUTED_VALUE"""),46187.54318287037)</f>
        <v>46187.54318</v>
      </c>
      <c r="B6023" s="126">
        <f>IFERROR(__xludf.DUMMYFUNCTION("""COMPUTED_VALUE"""),46187.0)</f>
        <v>46187</v>
      </c>
      <c r="C6023" s="122" t="str">
        <f>IFERROR(__xludf.DUMMYFUNCTION("""COMPUTED_VALUE"""),"RENT")</f>
        <v>RENT</v>
      </c>
      <c r="D6023" s="122" t="str">
        <f>IFERROR(__xludf.DUMMYFUNCTION("""COMPUTED_VALUE"""),"RentRight")</f>
        <v>RentRight</v>
      </c>
      <c r="E6023" s="122">
        <f>IFERROR(__xludf.DUMMYFUNCTION("""COMPUTED_VALUE"""),92.23)</f>
        <v>92.23</v>
      </c>
      <c r="F6023" s="122">
        <f>IFERROR(__xludf.DUMMYFUNCTION("""COMPUTED_VALUE"""),0.0011)</f>
        <v>0.0011</v>
      </c>
    </row>
    <row r="6024">
      <c r="A6024" s="131">
        <f>IFERROR(__xludf.DUMMYFUNCTION("""COMPUTED_VALUE"""),46187.54318287037)</f>
        <v>46187.54318</v>
      </c>
      <c r="B6024" s="126">
        <f>IFERROR(__xludf.DUMMYFUNCTION("""COMPUTED_VALUE"""),46187.0)</f>
        <v>46187</v>
      </c>
      <c r="C6024" s="122" t="str">
        <f>IFERROR(__xludf.DUMMYFUNCTION("""COMPUTED_VALUE"""),"MALL")</f>
        <v>MALL</v>
      </c>
      <c r="D6024" s="122" t="str">
        <f>IFERROR(__xludf.DUMMYFUNCTION("""COMPUTED_VALUE"""),"MegaMall")</f>
        <v>MegaMall</v>
      </c>
      <c r="E6024" s="122">
        <f>IFERROR(__xludf.DUMMYFUNCTION("""COMPUTED_VALUE"""),99.5)</f>
        <v>99.5</v>
      </c>
      <c r="F6024" s="122">
        <f>IFERROR(__xludf.DUMMYFUNCTION("""COMPUTED_VALUE"""),0.0034)</f>
        <v>0.0034</v>
      </c>
    </row>
    <row r="6025">
      <c r="A6025" s="131">
        <f>IFERROR(__xludf.DUMMYFUNCTION("""COMPUTED_VALUE"""),46187.54318287037)</f>
        <v>46187.54318</v>
      </c>
      <c r="B6025" s="126">
        <f>IFERROR(__xludf.DUMMYFUNCTION("""COMPUTED_VALUE"""),46187.0)</f>
        <v>46187</v>
      </c>
      <c r="C6025" s="122" t="str">
        <f>IFERROR(__xludf.DUMMYFUNCTION("""COMPUTED_VALUE"""),"HOTL")</f>
        <v>HOTL</v>
      </c>
      <c r="D6025" s="122" t="str">
        <f>IFERROR(__xludf.DUMMYFUNCTION("""COMPUTED_VALUE"""),"HotelHive")</f>
        <v>HotelHive</v>
      </c>
      <c r="E6025" s="122">
        <f>IFERROR(__xludf.DUMMYFUNCTION("""COMPUTED_VALUE"""),127.35)</f>
        <v>127.35</v>
      </c>
      <c r="F6025" s="122">
        <f>IFERROR(__xludf.DUMMYFUNCTION("""COMPUTED_VALUE"""),0.0045)</f>
        <v>0.0045</v>
      </c>
    </row>
    <row r="6026">
      <c r="A6026" s="131">
        <f>IFERROR(__xludf.DUMMYFUNCTION("""COMPUTED_VALUE"""),46187.54318287037)</f>
        <v>46187.54318</v>
      </c>
      <c r="B6026" s="126">
        <f>IFERROR(__xludf.DUMMYFUNCTION("""COMPUTED_VALUE"""),46187.0)</f>
        <v>46187</v>
      </c>
      <c r="C6026" s="122" t="str">
        <f>IFERROR(__xludf.DUMMYFUNCTION("""COMPUTED_VALUE"""),"LAND")</f>
        <v>LAND</v>
      </c>
      <c r="D6026" s="122" t="str">
        <f>IFERROR(__xludf.DUMMYFUNCTION("""COMPUTED_VALUE"""),"LandLink")</f>
        <v>LandLink</v>
      </c>
      <c r="E6026" s="122">
        <f>IFERROR(__xludf.DUMMYFUNCTION("""COMPUTED_VALUE"""),183.41)</f>
        <v>183.41</v>
      </c>
      <c r="F6026" s="122">
        <f>IFERROR(__xludf.DUMMYFUNCTION("""COMPUTED_VALUE"""),0.0045)</f>
        <v>0.0045</v>
      </c>
    </row>
    <row r="6027">
      <c r="A6027" s="131">
        <f>IFERROR(__xludf.DUMMYFUNCTION("""COMPUTED_VALUE"""),46187.54318287037)</f>
        <v>46187.54318</v>
      </c>
      <c r="B6027" s="126">
        <f>IFERROR(__xludf.DUMMYFUNCTION("""COMPUTED_VALUE"""),46187.0)</f>
        <v>46187</v>
      </c>
      <c r="C6027" s="122" t="str">
        <f>IFERROR(__xludf.DUMMYFUNCTION("""COMPUTED_VALUE"""),"CARS")</f>
        <v>CARS</v>
      </c>
      <c r="D6027" s="122" t="str">
        <f>IFERROR(__xludf.DUMMYFUNCTION("""COMPUTED_VALUE"""),"AutoArena")</f>
        <v>AutoArena</v>
      </c>
      <c r="E6027" s="122">
        <f>IFERROR(__xludf.DUMMYFUNCTION("""COMPUTED_VALUE"""),79.62)</f>
        <v>79.62</v>
      </c>
      <c r="F6027" s="122">
        <f>IFERROR(__xludf.DUMMYFUNCTION("""COMPUTED_VALUE"""),0.0061)</f>
        <v>0.0061</v>
      </c>
    </row>
    <row r="6028">
      <c r="A6028" s="131">
        <f>IFERROR(__xludf.DUMMYFUNCTION("""COMPUTED_VALUE"""),46187.54318287037)</f>
        <v>46187.54318</v>
      </c>
      <c r="B6028" s="126">
        <f>IFERROR(__xludf.DUMMYFUNCTION("""COMPUTED_VALUE"""),46187.0)</f>
        <v>46187</v>
      </c>
      <c r="C6028" s="122" t="str">
        <f>IFERROR(__xludf.DUMMYFUNCTION("""COMPUTED_VALUE"""),"EVGO")</f>
        <v>EVGO</v>
      </c>
      <c r="D6028" s="122" t="str">
        <f>IFERROR(__xludf.DUMMYFUNCTION("""COMPUTED_VALUE"""),"EVGo Motors")</f>
        <v>EVGo Motors</v>
      </c>
      <c r="E6028" s="122">
        <f>IFERROR(__xludf.DUMMYFUNCTION("""COMPUTED_VALUE"""),177.82)</f>
        <v>177.82</v>
      </c>
      <c r="F6028" s="122">
        <f>IFERROR(__xludf.DUMMYFUNCTION("""COMPUTED_VALUE"""),-0.0023)</f>
        <v>-0.0023</v>
      </c>
    </row>
    <row r="6029">
      <c r="A6029" s="131">
        <f>IFERROR(__xludf.DUMMYFUNCTION("""COMPUTED_VALUE"""),46187.54318287037)</f>
        <v>46187.54318</v>
      </c>
      <c r="B6029" s="126">
        <f>IFERROR(__xludf.DUMMYFUNCTION("""COMPUTED_VALUE"""),46187.0)</f>
        <v>46187</v>
      </c>
      <c r="C6029" s="122" t="str">
        <f>IFERROR(__xludf.DUMMYFUNCTION("""COMPUTED_VALUE"""),"TIRE")</f>
        <v>TIRE</v>
      </c>
      <c r="D6029" s="122" t="str">
        <f>IFERROR(__xludf.DUMMYFUNCTION("""COMPUTED_VALUE"""),"TireTown")</f>
        <v>TireTown</v>
      </c>
      <c r="E6029" s="122">
        <f>IFERROR(__xludf.DUMMYFUNCTION("""COMPUTED_VALUE"""),95.94)</f>
        <v>95.94</v>
      </c>
      <c r="F6029" s="122">
        <f>IFERROR(__xludf.DUMMYFUNCTION("""COMPUTED_VALUE"""),-0.003)</f>
        <v>-0.003</v>
      </c>
    </row>
    <row r="6030">
      <c r="A6030" s="131">
        <f>IFERROR(__xludf.DUMMYFUNCTION("""COMPUTED_VALUE"""),46187.54318287037)</f>
        <v>46187.54318</v>
      </c>
      <c r="B6030" s="126">
        <f>IFERROR(__xludf.DUMMYFUNCTION("""COMPUTED_VALUE"""),46187.0)</f>
        <v>46187</v>
      </c>
      <c r="C6030" s="122" t="str">
        <f>IFERROR(__xludf.DUMMYFUNCTION("""COMPUTED_VALUE"""),"BIKE")</f>
        <v>BIKE</v>
      </c>
      <c r="D6030" s="122" t="str">
        <f>IFERROR(__xludf.DUMMYFUNCTION("""COMPUTED_VALUE"""),"BikeBox")</f>
        <v>BikeBox</v>
      </c>
      <c r="E6030" s="122">
        <f>IFERROR(__xludf.DUMMYFUNCTION("""COMPUTED_VALUE"""),52.78)</f>
        <v>52.78</v>
      </c>
      <c r="F6030" s="122">
        <f>IFERROR(__xludf.DUMMYFUNCTION("""COMPUTED_VALUE"""),-0.0011)</f>
        <v>-0.0011</v>
      </c>
    </row>
    <row r="6031">
      <c r="A6031" s="131">
        <f>IFERROR(__xludf.DUMMYFUNCTION("""COMPUTED_VALUE"""),46187.54318287037)</f>
        <v>46187.54318</v>
      </c>
      <c r="B6031" s="126">
        <f>IFERROR(__xludf.DUMMYFUNCTION("""COMPUTED_VALUE"""),46187.0)</f>
        <v>46187</v>
      </c>
      <c r="C6031" s="122" t="str">
        <f>IFERROR(__xludf.DUMMYFUNCTION("""COMPUTED_VALUE"""),"WASH")</f>
        <v>WASH</v>
      </c>
      <c r="D6031" s="122" t="str">
        <f>IFERROR(__xludf.DUMMYFUNCTION("""COMPUTED_VALUE"""),"CarWash Co")</f>
        <v>CarWash Co</v>
      </c>
      <c r="E6031" s="122">
        <f>IFERROR(__xludf.DUMMYFUNCTION("""COMPUTED_VALUE"""),119.13)</f>
        <v>119.13</v>
      </c>
      <c r="F6031" s="122">
        <f>IFERROR(__xludf.DUMMYFUNCTION("""COMPUTED_VALUE"""),0.0026)</f>
        <v>0.0026</v>
      </c>
    </row>
    <row r="6032">
      <c r="A6032" s="131">
        <f>IFERROR(__xludf.DUMMYFUNCTION("""COMPUTED_VALUE"""),46187.54318287037)</f>
        <v>46187.54318</v>
      </c>
      <c r="B6032" s="126">
        <f>IFERROR(__xludf.DUMMYFUNCTION("""COMPUTED_VALUE"""),46187.0)</f>
        <v>46187</v>
      </c>
      <c r="C6032" s="122" t="str">
        <f>IFERROR(__xludf.DUMMYFUNCTION("""COMPUTED_VALUE"""),"GBND")</f>
        <v>GBND</v>
      </c>
      <c r="D6032" s="122" t="str">
        <f>IFERROR(__xludf.DUMMYFUNCTION("""COMPUTED_VALUE"""),"Classroom Government Bond")</f>
        <v>Classroom Government Bond</v>
      </c>
      <c r="E6032" s="122">
        <f>IFERROR(__xludf.DUMMYFUNCTION("""COMPUTED_VALUE"""),101.12)</f>
        <v>101.12</v>
      </c>
      <c r="F6032" s="122">
        <f>IFERROR(__xludf.DUMMYFUNCTION("""COMPUTED_VALUE"""),-1.0E-4)</f>
        <v>-0.0001</v>
      </c>
    </row>
    <row r="6033">
      <c r="A6033" s="131">
        <f>IFERROR(__xludf.DUMMYFUNCTION("""COMPUTED_VALUE"""),46187.54318287037)</f>
        <v>46187.54318</v>
      </c>
      <c r="B6033" s="126">
        <f>IFERROR(__xludf.DUMMYFUNCTION("""COMPUTED_VALUE"""),46187.0)</f>
        <v>46187</v>
      </c>
      <c r="C6033" s="122" t="str">
        <f>IFERROR(__xludf.DUMMYFUNCTION("""COMPUTED_VALUE"""),"SBND")</f>
        <v>SBND</v>
      </c>
      <c r="D6033" s="122" t="str">
        <f>IFERROR(__xludf.DUMMYFUNCTION("""COMPUTED_VALUE"""),"School Savings Bond")</f>
        <v>School Savings Bond</v>
      </c>
      <c r="E6033" s="122">
        <f>IFERROR(__xludf.DUMMYFUNCTION("""COMPUTED_VALUE"""),99.31)</f>
        <v>99.31</v>
      </c>
      <c r="F6033" s="122">
        <f>IFERROR(__xludf.DUMMYFUNCTION("""COMPUTED_VALUE"""),-4.0E-4)</f>
        <v>-0.0004</v>
      </c>
    </row>
    <row r="6034">
      <c r="A6034" s="131">
        <f>IFERROR(__xludf.DUMMYFUNCTION("""COMPUTED_VALUE"""),46187.54318287037)</f>
        <v>46187.54318</v>
      </c>
      <c r="B6034" s="126">
        <f>IFERROR(__xludf.DUMMYFUNCTION("""COMPUTED_VALUE"""),46187.0)</f>
        <v>46187</v>
      </c>
      <c r="C6034" s="122" t="str">
        <f>IFERROR(__xludf.DUMMYFUNCTION("""COMPUTED_VALUE"""),"CBND")</f>
        <v>CBND</v>
      </c>
      <c r="D6034" s="122" t="str">
        <f>IFERROR(__xludf.DUMMYFUNCTION("""COMPUTED_VALUE"""),"Corporate Classroom Bond")</f>
        <v>Corporate Classroom Bond</v>
      </c>
      <c r="E6034" s="122">
        <f>IFERROR(__xludf.DUMMYFUNCTION("""COMPUTED_VALUE"""),97.77)</f>
        <v>97.77</v>
      </c>
      <c r="F6034" s="122">
        <f>IFERROR(__xludf.DUMMYFUNCTION("""COMPUTED_VALUE"""),-4.0E-4)</f>
        <v>-0.0004</v>
      </c>
    </row>
    <row r="6035">
      <c r="A6035" s="131">
        <f>IFERROR(__xludf.DUMMYFUNCTION("""COMPUTED_VALUE"""),46187.54318287037)</f>
        <v>46187.54318</v>
      </c>
      <c r="B6035" s="126">
        <f>IFERROR(__xludf.DUMMYFUNCTION("""COMPUTED_VALUE"""),46187.0)</f>
        <v>46187</v>
      </c>
      <c r="C6035" s="122" t="str">
        <f>IFERROR(__xludf.DUMMYFUNCTION("""COMPUTED_VALUE"""),"TBIL")</f>
        <v>TBIL</v>
      </c>
      <c r="D6035" s="122" t="str">
        <f>IFERROR(__xludf.DUMMYFUNCTION("""COMPUTED_VALUE"""),"Treasury Bill")</f>
        <v>Treasury Bill</v>
      </c>
      <c r="E6035" s="122">
        <f>IFERROR(__xludf.DUMMYFUNCTION("""COMPUTED_VALUE"""),98.04)</f>
        <v>98.04</v>
      </c>
      <c r="F6035" s="122">
        <f>IFERROR(__xludf.DUMMYFUNCTION("""COMPUTED_VALUE"""),0.0)</f>
        <v>0</v>
      </c>
    </row>
    <row r="6036">
      <c r="A6036" s="131">
        <f>IFERROR(__xludf.DUMMYFUNCTION("""COMPUTED_VALUE"""),46187.54318287037)</f>
        <v>46187.54318</v>
      </c>
      <c r="B6036" s="126">
        <f>IFERROR(__xludf.DUMMYFUNCTION("""COMPUTED_VALUE"""),46187.0)</f>
        <v>46187</v>
      </c>
      <c r="C6036" s="122" t="str">
        <f>IFERROR(__xludf.DUMMYFUNCTION("""COMPUTED_VALUE"""),"IBND")</f>
        <v>IBND</v>
      </c>
      <c r="D6036" s="122" t="str">
        <f>IFERROR(__xludf.DUMMYFUNCTION("""COMPUTED_VALUE"""),"Inflation Protected Bond")</f>
        <v>Inflation Protected Bond</v>
      </c>
      <c r="E6036" s="122">
        <f>IFERROR(__xludf.DUMMYFUNCTION("""COMPUTED_VALUE"""),100.82)</f>
        <v>100.82</v>
      </c>
      <c r="F6036" s="122">
        <f>IFERROR(__xludf.DUMMYFUNCTION("""COMPUTED_VALUE"""),0.0)</f>
        <v>0</v>
      </c>
    </row>
    <row r="6037">
      <c r="A6037" s="131">
        <f>IFERROR(__xludf.DUMMYFUNCTION("""COMPUTED_VALUE"""),46187.544641203705)</f>
        <v>46187.54464</v>
      </c>
      <c r="B6037" s="126">
        <f>IFERROR(__xludf.DUMMYFUNCTION("""COMPUTED_VALUE"""),46187.0)</f>
        <v>46187</v>
      </c>
      <c r="C6037" s="130">
        <f>IFERROR(__xludf.DUMMYFUNCTION("""COMPUTED_VALUE"""),0.5446412037037037)</f>
        <v>0.5446412037</v>
      </c>
      <c r="D6037" s="122" t="str">
        <f>IFERROR(__xludf.DUMMYFUNCTION("""COMPUTED_VALUE"""),"SNAX")</f>
        <v>SNAX</v>
      </c>
      <c r="E6037" s="122" t="str">
        <f>IFERROR(__xludf.DUMMYFUNCTION("""COMPUTED_VALUE"""),"MICA Snacks")</f>
        <v>MICA Snacks</v>
      </c>
      <c r="F6037" s="122" t="str">
        <f>IFERROR(__xludf.DUMMYFUNCTION("""COMPUTED_VALUE"""),"Consumer Goods")</f>
        <v>Consumer Goods</v>
      </c>
    </row>
    <row r="6038">
      <c r="A6038" s="131">
        <f>IFERROR(__xludf.DUMMYFUNCTION("""COMPUTED_VALUE"""),46187.544641203705)</f>
        <v>46187.54464</v>
      </c>
      <c r="B6038" s="126">
        <f>IFERROR(__xludf.DUMMYFUNCTION("""COMPUTED_VALUE"""),46187.0)</f>
        <v>46187</v>
      </c>
      <c r="C6038" s="130">
        <f>IFERROR(__xludf.DUMMYFUNCTION("""COMPUTED_VALUE"""),0.5446412037037037)</f>
        <v>0.5446412037</v>
      </c>
      <c r="D6038" s="122" t="str">
        <f>IFERROR(__xludf.DUMMYFUNCTION("""COMPUTED_VALUE"""),"RAMN")</f>
        <v>RAMN</v>
      </c>
      <c r="E6038" s="122" t="str">
        <f>IFERROR(__xludf.DUMMYFUNCTION("""COMPUTED_VALUE"""),"Ramen Republic")</f>
        <v>Ramen Republic</v>
      </c>
      <c r="F6038" s="122" t="str">
        <f>IFERROR(__xludf.DUMMYFUNCTION("""COMPUTED_VALUE"""),"Food")</f>
        <v>Food</v>
      </c>
    </row>
    <row r="6039">
      <c r="A6039" s="131">
        <f>IFERROR(__xludf.DUMMYFUNCTION("""COMPUTED_VALUE"""),46187.544641203705)</f>
        <v>46187.54464</v>
      </c>
      <c r="B6039" s="126">
        <f>IFERROR(__xludf.DUMMYFUNCTION("""COMPUTED_VALUE"""),46187.0)</f>
        <v>46187</v>
      </c>
      <c r="C6039" s="130">
        <f>IFERROR(__xludf.DUMMYFUNCTION("""COMPUTED_VALUE"""),0.5446412037037037)</f>
        <v>0.5446412037</v>
      </c>
      <c r="D6039" s="122" t="str">
        <f>IFERROR(__xludf.DUMMYFUNCTION("""COMPUTED_VALUE"""),"COLA")</f>
        <v>COLA</v>
      </c>
      <c r="E6039" s="122" t="str">
        <f>IFERROR(__xludf.DUMMYFUNCTION("""COMPUTED_VALUE"""),"K-Pop Cola")</f>
        <v>K-Pop Cola</v>
      </c>
      <c r="F6039" s="122" t="str">
        <f>IFERROR(__xludf.DUMMYFUNCTION("""COMPUTED_VALUE"""),"Beverage")</f>
        <v>Beverage</v>
      </c>
    </row>
    <row r="6040">
      <c r="A6040" s="131">
        <f>IFERROR(__xludf.DUMMYFUNCTION("""COMPUTED_VALUE"""),46187.544641203705)</f>
        <v>46187.54464</v>
      </c>
      <c r="B6040" s="126">
        <f>IFERROR(__xludf.DUMMYFUNCTION("""COMPUTED_VALUE"""),46187.0)</f>
        <v>46187</v>
      </c>
      <c r="C6040" s="130">
        <f>IFERROR(__xludf.DUMMYFUNCTION("""COMPUTED_VALUE"""),0.5446412037037037)</f>
        <v>0.5446412037</v>
      </c>
      <c r="D6040" s="122" t="str">
        <f>IFERROR(__xludf.DUMMYFUNCTION("""COMPUTED_VALUE"""),"CHIP")</f>
        <v>CHIP</v>
      </c>
      <c r="E6040" s="122" t="str">
        <f>IFERROR(__xludf.DUMMYFUNCTION("""COMPUTED_VALUE"""),"Chip Empire")</f>
        <v>Chip Empire</v>
      </c>
      <c r="F6040" s="122" t="str">
        <f>IFERROR(__xludf.DUMMYFUNCTION("""COMPUTED_VALUE"""),"Consumer Goods")</f>
        <v>Consumer Goods</v>
      </c>
    </row>
    <row r="6041">
      <c r="A6041" s="131">
        <f>IFERROR(__xludf.DUMMYFUNCTION("""COMPUTED_VALUE"""),46187.544641203705)</f>
        <v>46187.54464</v>
      </c>
      <c r="B6041" s="126">
        <f>IFERROR(__xludf.DUMMYFUNCTION("""COMPUTED_VALUE"""),46187.0)</f>
        <v>46187</v>
      </c>
      <c r="C6041" s="130">
        <f>IFERROR(__xludf.DUMMYFUNCTION("""COMPUTED_VALUE"""),0.5446412037037037)</f>
        <v>0.5446412037</v>
      </c>
      <c r="D6041" s="122" t="str">
        <f>IFERROR(__xludf.DUMMYFUNCTION("""COMPUTED_VALUE"""),"CAND")</f>
        <v>CAND</v>
      </c>
      <c r="E6041" s="122" t="str">
        <f>IFERROR(__xludf.DUMMYFUNCTION("""COMPUTED_VALUE"""),"Candy Capital")</f>
        <v>Candy Capital</v>
      </c>
      <c r="F6041" s="122" t="str">
        <f>IFERROR(__xludf.DUMMYFUNCTION("""COMPUTED_VALUE"""),"Consumer Goods")</f>
        <v>Consumer Goods</v>
      </c>
    </row>
    <row r="6042">
      <c r="A6042" s="131">
        <f>IFERROR(__xludf.DUMMYFUNCTION("""COMPUTED_VALUE"""),46187.544641203705)</f>
        <v>46187.54464</v>
      </c>
      <c r="B6042" s="126">
        <f>IFERROR(__xludf.DUMMYFUNCTION("""COMPUTED_VALUE"""),46187.0)</f>
        <v>46187</v>
      </c>
      <c r="C6042" s="130">
        <f>IFERROR(__xludf.DUMMYFUNCTION("""COMPUTED_VALUE"""),0.5446412037037037)</f>
        <v>0.5446412037</v>
      </c>
      <c r="D6042" s="122" t="str">
        <f>IFERROR(__xludf.DUMMYFUNCTION("""COMPUTED_VALUE"""),"TECH")</f>
        <v>TECH</v>
      </c>
      <c r="E6042" s="122" t="str">
        <f>IFERROR(__xludf.DUMMYFUNCTION("""COMPUTED_VALUE"""),"Dragon Tech")</f>
        <v>Dragon Tech</v>
      </c>
      <c r="F6042" s="122" t="str">
        <f>IFERROR(__xludf.DUMMYFUNCTION("""COMPUTED_VALUE"""),"Technology")</f>
        <v>Technology</v>
      </c>
    </row>
    <row r="6043">
      <c r="A6043" s="131">
        <f>IFERROR(__xludf.DUMMYFUNCTION("""COMPUTED_VALUE"""),46187.544641203705)</f>
        <v>46187.54464</v>
      </c>
      <c r="B6043" s="126">
        <f>IFERROR(__xludf.DUMMYFUNCTION("""COMPUTED_VALUE"""),46187.0)</f>
        <v>46187</v>
      </c>
      <c r="C6043" s="130">
        <f>IFERROR(__xludf.DUMMYFUNCTION("""COMPUTED_VALUE"""),0.5446412037037037)</f>
        <v>0.5446412037</v>
      </c>
      <c r="D6043" s="122" t="str">
        <f>IFERROR(__xludf.DUMMYFUNCTION("""COMPUTED_VALUE"""),"AIBO")</f>
        <v>AIBO</v>
      </c>
      <c r="E6043" s="122" t="str">
        <f>IFERROR(__xludf.DUMMYFUNCTION("""COMPUTED_VALUE"""),"Homework AI")</f>
        <v>Homework AI</v>
      </c>
      <c r="F6043" s="122" t="str">
        <f>IFERROR(__xludf.DUMMYFUNCTION("""COMPUTED_VALUE"""),"Technology")</f>
        <v>Technology</v>
      </c>
    </row>
    <row r="6044">
      <c r="A6044" s="131">
        <f>IFERROR(__xludf.DUMMYFUNCTION("""COMPUTED_VALUE"""),46187.544641203705)</f>
        <v>46187.54464</v>
      </c>
      <c r="B6044" s="126">
        <f>IFERROR(__xludf.DUMMYFUNCTION("""COMPUTED_VALUE"""),46187.0)</f>
        <v>46187</v>
      </c>
      <c r="C6044" s="130">
        <f>IFERROR(__xludf.DUMMYFUNCTION("""COMPUTED_VALUE"""),0.5446412037037037)</f>
        <v>0.5446412037</v>
      </c>
      <c r="D6044" s="122" t="str">
        <f>IFERROR(__xludf.DUMMYFUNCTION("""COMPUTED_VALUE"""),"GAME")</f>
        <v>GAME</v>
      </c>
      <c r="E6044" s="122" t="str">
        <f>IFERROR(__xludf.DUMMYFUNCTION("""COMPUTED_VALUE"""),"GameBox Media")</f>
        <v>GameBox Media</v>
      </c>
      <c r="F6044" s="122" t="str">
        <f>IFERROR(__xludf.DUMMYFUNCTION("""COMPUTED_VALUE"""),"Entertainment")</f>
        <v>Entertainment</v>
      </c>
    </row>
    <row r="6045">
      <c r="A6045" s="131">
        <f>IFERROR(__xludf.DUMMYFUNCTION("""COMPUTED_VALUE"""),46187.544641203705)</f>
        <v>46187.54464</v>
      </c>
      <c r="B6045" s="126">
        <f>IFERROR(__xludf.DUMMYFUNCTION("""COMPUTED_VALUE"""),46187.0)</f>
        <v>46187</v>
      </c>
      <c r="C6045" s="130">
        <f>IFERROR(__xludf.DUMMYFUNCTION("""COMPUTED_VALUE"""),0.5446412037037037)</f>
        <v>0.5446412037</v>
      </c>
      <c r="D6045" s="122" t="str">
        <f>IFERROR(__xludf.DUMMYFUNCTION("""COMPUTED_VALUE"""),"VRSE")</f>
        <v>VRSE</v>
      </c>
      <c r="E6045" s="122" t="str">
        <f>IFERROR(__xludf.DUMMYFUNCTION("""COMPUTED_VALUE"""),"VerseVR")</f>
        <v>VerseVR</v>
      </c>
      <c r="F6045" s="122" t="str">
        <f>IFERROR(__xludf.DUMMYFUNCTION("""COMPUTED_VALUE"""),"Technology")</f>
        <v>Technology</v>
      </c>
    </row>
    <row r="6046">
      <c r="A6046" s="131">
        <f>IFERROR(__xludf.DUMMYFUNCTION("""COMPUTED_VALUE"""),46187.544641203705)</f>
        <v>46187.54464</v>
      </c>
      <c r="B6046" s="126">
        <f>IFERROR(__xludf.DUMMYFUNCTION("""COMPUTED_VALUE"""),46187.0)</f>
        <v>46187</v>
      </c>
      <c r="C6046" s="130">
        <f>IFERROR(__xludf.DUMMYFUNCTION("""COMPUTED_VALUE"""),0.5446412037037037)</f>
        <v>0.5446412037</v>
      </c>
      <c r="D6046" s="122" t="str">
        <f>IFERROR(__xludf.DUMMYFUNCTION("""COMPUTED_VALUE"""),"BYTE")</f>
        <v>BYTE</v>
      </c>
      <c r="E6046" s="122" t="str">
        <f>IFERROR(__xludf.DUMMYFUNCTION("""COMPUTED_VALUE"""),"ByteWorks")</f>
        <v>ByteWorks</v>
      </c>
      <c r="F6046" s="122" t="str">
        <f>IFERROR(__xludf.DUMMYFUNCTION("""COMPUTED_VALUE"""),"Technology")</f>
        <v>Technology</v>
      </c>
    </row>
    <row r="6047">
      <c r="A6047" s="131">
        <f>IFERROR(__xludf.DUMMYFUNCTION("""COMPUTED_VALUE"""),46187.544641203705)</f>
        <v>46187.54464</v>
      </c>
      <c r="B6047" s="126">
        <f>IFERROR(__xludf.DUMMYFUNCTION("""COMPUTED_VALUE"""),46187.0)</f>
        <v>46187</v>
      </c>
      <c r="C6047" s="130">
        <f>IFERROR(__xludf.DUMMYFUNCTION("""COMPUTED_VALUE"""),0.5446412037037037)</f>
        <v>0.5446412037</v>
      </c>
      <c r="D6047" s="122" t="str">
        <f>IFERROR(__xludf.DUMMYFUNCTION("""COMPUTED_VALUE"""),"BANK")</f>
        <v>BANK</v>
      </c>
      <c r="E6047" s="122" t="str">
        <f>IFERROR(__xludf.DUMMYFUNCTION("""COMPUTED_VALUE"""),"Tiger Bank")</f>
        <v>Tiger Bank</v>
      </c>
      <c r="F6047" s="122" t="str">
        <f>IFERROR(__xludf.DUMMYFUNCTION("""COMPUTED_VALUE"""),"Finance")</f>
        <v>Finance</v>
      </c>
    </row>
    <row r="6048">
      <c r="A6048" s="131">
        <f>IFERROR(__xludf.DUMMYFUNCTION("""COMPUTED_VALUE"""),46187.544641203705)</f>
        <v>46187.54464</v>
      </c>
      <c r="B6048" s="126">
        <f>IFERROR(__xludf.DUMMYFUNCTION("""COMPUTED_VALUE"""),46187.0)</f>
        <v>46187</v>
      </c>
      <c r="C6048" s="130">
        <f>IFERROR(__xludf.DUMMYFUNCTION("""COMPUTED_VALUE"""),0.5446412037037037)</f>
        <v>0.5446412037</v>
      </c>
      <c r="D6048" s="122" t="str">
        <f>IFERROR(__xludf.DUMMYFUNCTION("""COMPUTED_VALUE"""),"CRED")</f>
        <v>CRED</v>
      </c>
      <c r="E6048" s="122" t="str">
        <f>IFERROR(__xludf.DUMMYFUNCTION("""COMPUTED_VALUE"""),"Credit Castle")</f>
        <v>Credit Castle</v>
      </c>
      <c r="F6048" s="122" t="str">
        <f>IFERROR(__xludf.DUMMYFUNCTION("""COMPUTED_VALUE"""),"Finance")</f>
        <v>Finance</v>
      </c>
    </row>
    <row r="6049">
      <c r="A6049" s="131">
        <f>IFERROR(__xludf.DUMMYFUNCTION("""COMPUTED_VALUE"""),46187.544641203705)</f>
        <v>46187.54464</v>
      </c>
      <c r="B6049" s="126">
        <f>IFERROR(__xludf.DUMMYFUNCTION("""COMPUTED_VALUE"""),46187.0)</f>
        <v>46187</v>
      </c>
      <c r="C6049" s="130">
        <f>IFERROR(__xludf.DUMMYFUNCTION("""COMPUTED_VALUE"""),0.5446412037037037)</f>
        <v>0.5446412037</v>
      </c>
      <c r="D6049" s="122" t="str">
        <f>IFERROR(__xludf.DUMMYFUNCTION("""COMPUTED_VALUE"""),"BOND")</f>
        <v>BOND</v>
      </c>
      <c r="E6049" s="122" t="str">
        <f>IFERROR(__xludf.DUMMYFUNCTION("""COMPUTED_VALUE"""),"BondBridge")</f>
        <v>BondBridge</v>
      </c>
      <c r="F6049" s="122" t="str">
        <f>IFERROR(__xludf.DUMMYFUNCTION("""COMPUTED_VALUE"""),"Finance")</f>
        <v>Finance</v>
      </c>
    </row>
    <row r="6050">
      <c r="A6050" s="131">
        <f>IFERROR(__xludf.DUMMYFUNCTION("""COMPUTED_VALUE"""),46187.544641203705)</f>
        <v>46187.54464</v>
      </c>
      <c r="B6050" s="126">
        <f>IFERROR(__xludf.DUMMYFUNCTION("""COMPUTED_VALUE"""),46187.0)</f>
        <v>46187</v>
      </c>
      <c r="C6050" s="130">
        <f>IFERROR(__xludf.DUMMYFUNCTION("""COMPUTED_VALUE"""),0.5446412037037037)</f>
        <v>0.5446412037</v>
      </c>
      <c r="D6050" s="122" t="str">
        <f>IFERROR(__xludf.DUMMYFUNCTION("""COMPUTED_VALUE"""),"INSR")</f>
        <v>INSR</v>
      </c>
      <c r="E6050" s="122" t="str">
        <f>IFERROR(__xludf.DUMMYFUNCTION("""COMPUTED_VALUE"""),"Shield Insurance")</f>
        <v>Shield Insurance</v>
      </c>
      <c r="F6050" s="122" t="str">
        <f>IFERROR(__xludf.DUMMYFUNCTION("""COMPUTED_VALUE"""),"Finance")</f>
        <v>Finance</v>
      </c>
    </row>
    <row r="6051">
      <c r="A6051" s="131">
        <f>IFERROR(__xludf.DUMMYFUNCTION("""COMPUTED_VALUE"""),46187.544641203705)</f>
        <v>46187.54464</v>
      </c>
      <c r="B6051" s="126">
        <f>IFERROR(__xludf.DUMMYFUNCTION("""COMPUTED_VALUE"""),46187.0)</f>
        <v>46187</v>
      </c>
      <c r="C6051" s="130">
        <f>IFERROR(__xludf.DUMMYFUNCTION("""COMPUTED_VALUE"""),0.5446412037037037)</f>
        <v>0.5446412037</v>
      </c>
      <c r="D6051" s="122" t="str">
        <f>IFERROR(__xludf.DUMMYFUNCTION("""COMPUTED_VALUE"""),"LOAN")</f>
        <v>LOAN</v>
      </c>
      <c r="E6051" s="122" t="str">
        <f>IFERROR(__xludf.DUMMYFUNCTION("""COMPUTED_VALUE"""),"LoanLab")</f>
        <v>LoanLab</v>
      </c>
      <c r="F6051" s="122" t="str">
        <f>IFERROR(__xludf.DUMMYFUNCTION("""COMPUTED_VALUE"""),"Finance")</f>
        <v>Finance</v>
      </c>
    </row>
    <row r="6052">
      <c r="A6052" s="131">
        <f>IFERROR(__xludf.DUMMYFUNCTION("""COMPUTED_VALUE"""),46187.544641203705)</f>
        <v>46187.54464</v>
      </c>
      <c r="B6052" s="126">
        <f>IFERROR(__xludf.DUMMYFUNCTION("""COMPUTED_VALUE"""),46187.0)</f>
        <v>46187</v>
      </c>
      <c r="C6052" s="130">
        <f>IFERROR(__xludf.DUMMYFUNCTION("""COMPUTED_VALUE"""),0.5446412037037037)</f>
        <v>0.5446412037</v>
      </c>
      <c r="D6052" s="122" t="str">
        <f>IFERROR(__xludf.DUMMYFUNCTION("""COMPUTED_VALUE"""),"LUXE")</f>
        <v>LUXE</v>
      </c>
      <c r="E6052" s="122" t="str">
        <f>IFERROR(__xludf.DUMMYFUNCTION("""COMPUTED_VALUE"""),"Luxury Locker")</f>
        <v>Luxury Locker</v>
      </c>
      <c r="F6052" s="122" t="str">
        <f>IFERROR(__xludf.DUMMYFUNCTION("""COMPUTED_VALUE"""),"Luxury Goods")</f>
        <v>Luxury Goods</v>
      </c>
    </row>
    <row r="6053">
      <c r="A6053" s="131">
        <f>IFERROR(__xludf.DUMMYFUNCTION("""COMPUTED_VALUE"""),46187.544641203705)</f>
        <v>46187.54464</v>
      </c>
      <c r="B6053" s="126">
        <f>IFERROR(__xludf.DUMMYFUNCTION("""COMPUTED_VALUE"""),46187.0)</f>
        <v>46187</v>
      </c>
      <c r="C6053" s="130">
        <f>IFERROR(__xludf.DUMMYFUNCTION("""COMPUTED_VALUE"""),0.5446412037037037)</f>
        <v>0.5446412037</v>
      </c>
      <c r="D6053" s="122" t="str">
        <f>IFERROR(__xludf.DUMMYFUNCTION("""COMPUTED_VALUE"""),"DRIP")</f>
        <v>DRIP</v>
      </c>
      <c r="E6053" s="122" t="str">
        <f>IFERROR(__xludf.DUMMYFUNCTION("""COMPUTED_VALUE"""),"Drip Streetwear")</f>
        <v>Drip Streetwear</v>
      </c>
      <c r="F6053" s="122" t="str">
        <f>IFERROR(__xludf.DUMMYFUNCTION("""COMPUTED_VALUE"""),"Fashion")</f>
        <v>Fashion</v>
      </c>
    </row>
    <row r="6054">
      <c r="A6054" s="131">
        <f>IFERROR(__xludf.DUMMYFUNCTION("""COMPUTED_VALUE"""),46187.544641203705)</f>
        <v>46187.54464</v>
      </c>
      <c r="B6054" s="126">
        <f>IFERROR(__xludf.DUMMYFUNCTION("""COMPUTED_VALUE"""),46187.0)</f>
        <v>46187</v>
      </c>
      <c r="C6054" s="130">
        <f>IFERROR(__xludf.DUMMYFUNCTION("""COMPUTED_VALUE"""),0.5446412037037037)</f>
        <v>0.5446412037</v>
      </c>
      <c r="D6054" s="122" t="str">
        <f>IFERROR(__xludf.DUMMYFUNCTION("""COMPUTED_VALUE"""),"KICK")</f>
        <v>KICK</v>
      </c>
      <c r="E6054" s="122" t="str">
        <f>IFERROR(__xludf.DUMMYFUNCTION("""COMPUTED_VALUE"""),"KickDrop Sneakers")</f>
        <v>KickDrop Sneakers</v>
      </c>
      <c r="F6054" s="122" t="str">
        <f>IFERROR(__xludf.DUMMYFUNCTION("""COMPUTED_VALUE"""),"Fashion")</f>
        <v>Fashion</v>
      </c>
    </row>
    <row r="6055">
      <c r="A6055" s="131">
        <f>IFERROR(__xludf.DUMMYFUNCTION("""COMPUTED_VALUE"""),46187.544641203705)</f>
        <v>46187.54464</v>
      </c>
      <c r="B6055" s="126">
        <f>IFERROR(__xludf.DUMMYFUNCTION("""COMPUTED_VALUE"""),46187.0)</f>
        <v>46187</v>
      </c>
      <c r="C6055" s="130">
        <f>IFERROR(__xludf.DUMMYFUNCTION("""COMPUTED_VALUE"""),0.5446412037037037)</f>
        <v>0.5446412037</v>
      </c>
      <c r="D6055" s="122" t="str">
        <f>IFERROR(__xludf.DUMMYFUNCTION("""COMPUTED_VALUE"""),"GLAM")</f>
        <v>GLAM</v>
      </c>
      <c r="E6055" s="122" t="str">
        <f>IFERROR(__xludf.DUMMYFUNCTION("""COMPUTED_VALUE"""),"Glow Cosmetics")</f>
        <v>Glow Cosmetics</v>
      </c>
      <c r="F6055" s="122" t="str">
        <f>IFERROR(__xludf.DUMMYFUNCTION("""COMPUTED_VALUE"""),"Fashion")</f>
        <v>Fashion</v>
      </c>
    </row>
    <row r="6056">
      <c r="A6056" s="131">
        <f>IFERROR(__xludf.DUMMYFUNCTION("""COMPUTED_VALUE"""),46187.544641203705)</f>
        <v>46187.54464</v>
      </c>
      <c r="B6056" s="126">
        <f>IFERROR(__xludf.DUMMYFUNCTION("""COMPUTED_VALUE"""),46187.0)</f>
        <v>46187</v>
      </c>
      <c r="C6056" s="130">
        <f>IFERROR(__xludf.DUMMYFUNCTION("""COMPUTED_VALUE"""),0.5446412037037037)</f>
        <v>0.5446412037</v>
      </c>
      <c r="D6056" s="122" t="str">
        <f>IFERROR(__xludf.DUMMYFUNCTION("""COMPUTED_VALUE"""),"BAGG")</f>
        <v>BAGG</v>
      </c>
      <c r="E6056" s="122" t="str">
        <f>IFERROR(__xludf.DUMMYFUNCTION("""COMPUTED_VALUE"""),"BagVault")</f>
        <v>BagVault</v>
      </c>
      <c r="F6056" s="122" t="str">
        <f>IFERROR(__xludf.DUMMYFUNCTION("""COMPUTED_VALUE"""),"Fashion")</f>
        <v>Fashion</v>
      </c>
    </row>
    <row r="6057">
      <c r="A6057" s="131">
        <f>IFERROR(__xludf.DUMMYFUNCTION("""COMPUTED_VALUE"""),46187.544641203705)</f>
        <v>46187.54464</v>
      </c>
      <c r="B6057" s="126">
        <f>IFERROR(__xludf.DUMMYFUNCTION("""COMPUTED_VALUE"""),46187.0)</f>
        <v>46187</v>
      </c>
      <c r="C6057" s="130">
        <f>IFERROR(__xludf.DUMMYFUNCTION("""COMPUTED_VALUE"""),0.5446412037037037)</f>
        <v>0.5446412037</v>
      </c>
      <c r="D6057" s="122" t="str">
        <f>IFERROR(__xludf.DUMMYFUNCTION("""COMPUTED_VALUE"""),"FAST")</f>
        <v>FAST</v>
      </c>
      <c r="E6057" s="122" t="str">
        <f>IFERROR(__xludf.DUMMYFUNCTION("""COMPUTED_VALUE"""),"Flash Logistics")</f>
        <v>Flash Logistics</v>
      </c>
      <c r="F6057" s="122" t="str">
        <f>IFERROR(__xludf.DUMMYFUNCTION("""COMPUTED_VALUE"""),"Logistics")</f>
        <v>Logistics</v>
      </c>
    </row>
    <row r="6058">
      <c r="A6058" s="131">
        <f>IFERROR(__xludf.DUMMYFUNCTION("""COMPUTED_VALUE"""),46187.544641203705)</f>
        <v>46187.54464</v>
      </c>
      <c r="B6058" s="126">
        <f>IFERROR(__xludf.DUMMYFUNCTION("""COMPUTED_VALUE"""),46187.0)</f>
        <v>46187</v>
      </c>
      <c r="C6058" s="130">
        <f>IFERROR(__xludf.DUMMYFUNCTION("""COMPUTED_VALUE"""),0.5446412037037037)</f>
        <v>0.5446412037</v>
      </c>
      <c r="D6058" s="122" t="str">
        <f>IFERROR(__xludf.DUMMYFUNCTION("""COMPUTED_VALUE"""),"SHIP")</f>
        <v>SHIP</v>
      </c>
      <c r="E6058" s="122" t="str">
        <f>IFERROR(__xludf.DUMMYFUNCTION("""COMPUTED_VALUE"""),"Seoul Shipping")</f>
        <v>Seoul Shipping</v>
      </c>
      <c r="F6058" s="122" t="str">
        <f>IFERROR(__xludf.DUMMYFUNCTION("""COMPUTED_VALUE"""),"Logistics")</f>
        <v>Logistics</v>
      </c>
    </row>
    <row r="6059">
      <c r="A6059" s="131">
        <f>IFERROR(__xludf.DUMMYFUNCTION("""COMPUTED_VALUE"""),46187.544641203705)</f>
        <v>46187.54464</v>
      </c>
      <c r="B6059" s="126">
        <f>IFERROR(__xludf.DUMMYFUNCTION("""COMPUTED_VALUE"""),46187.0)</f>
        <v>46187</v>
      </c>
      <c r="C6059" s="130">
        <f>IFERROR(__xludf.DUMMYFUNCTION("""COMPUTED_VALUE"""),0.5446412037037037)</f>
        <v>0.5446412037</v>
      </c>
      <c r="D6059" s="122" t="str">
        <f>IFERROR(__xludf.DUMMYFUNCTION("""COMPUTED_VALUE"""),"DRON")</f>
        <v>DRON</v>
      </c>
      <c r="E6059" s="122" t="str">
        <f>IFERROR(__xludf.DUMMYFUNCTION("""COMPUTED_VALUE"""),"DroneDrop")</f>
        <v>DroneDrop</v>
      </c>
      <c r="F6059" s="122" t="str">
        <f>IFERROR(__xludf.DUMMYFUNCTION("""COMPUTED_VALUE"""),"Logistics")</f>
        <v>Logistics</v>
      </c>
    </row>
    <row r="6060">
      <c r="A6060" s="131">
        <f>IFERROR(__xludf.DUMMYFUNCTION("""COMPUTED_VALUE"""),46187.544641203705)</f>
        <v>46187.54464</v>
      </c>
      <c r="B6060" s="126">
        <f>IFERROR(__xludf.DUMMYFUNCTION("""COMPUTED_VALUE"""),46187.0)</f>
        <v>46187</v>
      </c>
      <c r="C6060" s="130">
        <f>IFERROR(__xludf.DUMMYFUNCTION("""COMPUTED_VALUE"""),0.5446412037037037)</f>
        <v>0.5446412037</v>
      </c>
      <c r="D6060" s="122" t="str">
        <f>IFERROR(__xludf.DUMMYFUNCTION("""COMPUTED_VALUE"""),"RIDE")</f>
        <v>RIDE</v>
      </c>
      <c r="E6060" s="122" t="str">
        <f>IFERROR(__xludf.DUMMYFUNCTION("""COMPUTED_VALUE"""),"QuickRide")</f>
        <v>QuickRide</v>
      </c>
      <c r="F6060" s="122" t="str">
        <f>IFERROR(__xludf.DUMMYFUNCTION("""COMPUTED_VALUE"""),"Transportation")</f>
        <v>Transportation</v>
      </c>
    </row>
    <row r="6061">
      <c r="A6061" s="131">
        <f>IFERROR(__xludf.DUMMYFUNCTION("""COMPUTED_VALUE"""),46187.544641203705)</f>
        <v>46187.54464</v>
      </c>
      <c r="B6061" s="126">
        <f>IFERROR(__xludf.DUMMYFUNCTION("""COMPUTED_VALUE"""),46187.0)</f>
        <v>46187</v>
      </c>
      <c r="C6061" s="130">
        <f>IFERROR(__xludf.DUMMYFUNCTION("""COMPUTED_VALUE"""),0.5446412037037037)</f>
        <v>0.5446412037</v>
      </c>
      <c r="D6061" s="122" t="str">
        <f>IFERROR(__xludf.DUMMYFUNCTION("""COMPUTED_VALUE"""),"RAIL")</f>
        <v>RAIL</v>
      </c>
      <c r="E6061" s="122" t="str">
        <f>IFERROR(__xludf.DUMMYFUNCTION("""COMPUTED_VALUE"""),"MetroRail Corp")</f>
        <v>MetroRail Corp</v>
      </c>
      <c r="F6061" s="122" t="str">
        <f>IFERROR(__xludf.DUMMYFUNCTION("""COMPUTED_VALUE"""),"Transportation")</f>
        <v>Transportation</v>
      </c>
    </row>
    <row r="6062">
      <c r="A6062" s="131">
        <f>IFERROR(__xludf.DUMMYFUNCTION("""COMPUTED_VALUE"""),46187.544641203705)</f>
        <v>46187.54464</v>
      </c>
      <c r="B6062" s="126">
        <f>IFERROR(__xludf.DUMMYFUNCTION("""COMPUTED_VALUE"""),46187.0)</f>
        <v>46187</v>
      </c>
      <c r="C6062" s="130">
        <f>IFERROR(__xludf.DUMMYFUNCTION("""COMPUTED_VALUE"""),0.5446412037037037)</f>
        <v>0.5446412037</v>
      </c>
      <c r="D6062" s="122" t="str">
        <f>IFERROR(__xludf.DUMMYFUNCTION("""COMPUTED_VALUE"""),"MEDX")</f>
        <v>MEDX</v>
      </c>
      <c r="E6062" s="122" t="str">
        <f>IFERROR(__xludf.DUMMYFUNCTION("""COMPUTED_VALUE"""),"MediCore")</f>
        <v>MediCore</v>
      </c>
      <c r="F6062" s="122" t="str">
        <f>IFERROR(__xludf.DUMMYFUNCTION("""COMPUTED_VALUE"""),"Healthcare")</f>
        <v>Healthcare</v>
      </c>
    </row>
    <row r="6063">
      <c r="A6063" s="131">
        <f>IFERROR(__xludf.DUMMYFUNCTION("""COMPUTED_VALUE"""),46187.544641203705)</f>
        <v>46187.54464</v>
      </c>
      <c r="B6063" s="126">
        <f>IFERROR(__xludf.DUMMYFUNCTION("""COMPUTED_VALUE"""),46187.0)</f>
        <v>46187</v>
      </c>
      <c r="C6063" s="130">
        <f>IFERROR(__xludf.DUMMYFUNCTION("""COMPUTED_VALUE"""),0.5446412037037037)</f>
        <v>0.5446412037</v>
      </c>
      <c r="D6063" s="122" t="str">
        <f>IFERROR(__xludf.DUMMYFUNCTION("""COMPUTED_VALUE"""),"GYMX")</f>
        <v>GYMX</v>
      </c>
      <c r="E6063" s="122" t="str">
        <f>IFERROR(__xludf.DUMMYFUNCTION("""COMPUTED_VALUE"""),"GymX Fitness")</f>
        <v>GymX Fitness</v>
      </c>
      <c r="F6063" s="122" t="str">
        <f>IFERROR(__xludf.DUMMYFUNCTION("""COMPUTED_VALUE"""),"Healthcare")</f>
        <v>Healthcare</v>
      </c>
    </row>
    <row r="6064">
      <c r="A6064" s="131">
        <f>IFERROR(__xludf.DUMMYFUNCTION("""COMPUTED_VALUE"""),46187.544641203705)</f>
        <v>46187.54464</v>
      </c>
      <c r="B6064" s="126">
        <f>IFERROR(__xludf.DUMMYFUNCTION("""COMPUTED_VALUE"""),46187.0)</f>
        <v>46187</v>
      </c>
      <c r="C6064" s="130">
        <f>IFERROR(__xludf.DUMMYFUNCTION("""COMPUTED_VALUE"""),0.5446412037037037)</f>
        <v>0.5446412037</v>
      </c>
      <c r="D6064" s="122" t="str">
        <f>IFERROR(__xludf.DUMMYFUNCTION("""COMPUTED_VALUE"""),"VITA")</f>
        <v>VITA</v>
      </c>
      <c r="E6064" s="122" t="str">
        <f>IFERROR(__xludf.DUMMYFUNCTION("""COMPUTED_VALUE"""),"VitaPlus")</f>
        <v>VitaPlus</v>
      </c>
      <c r="F6064" s="122" t="str">
        <f>IFERROR(__xludf.DUMMYFUNCTION("""COMPUTED_VALUE"""),"Healthcare")</f>
        <v>Healthcare</v>
      </c>
    </row>
    <row r="6065">
      <c r="A6065" s="131">
        <f>IFERROR(__xludf.DUMMYFUNCTION("""COMPUTED_VALUE"""),46187.544641203705)</f>
        <v>46187.54464</v>
      </c>
      <c r="B6065" s="126">
        <f>IFERROR(__xludf.DUMMYFUNCTION("""COMPUTED_VALUE"""),46187.0)</f>
        <v>46187</v>
      </c>
      <c r="C6065" s="130">
        <f>IFERROR(__xludf.DUMMYFUNCTION("""COMPUTED_VALUE"""),0.5446412037037037)</f>
        <v>0.5446412037</v>
      </c>
      <c r="D6065" s="122" t="str">
        <f>IFERROR(__xludf.DUMMYFUNCTION("""COMPUTED_VALUE"""),"CARE")</f>
        <v>CARE</v>
      </c>
      <c r="E6065" s="122" t="str">
        <f>IFERROR(__xludf.DUMMYFUNCTION("""COMPUTED_VALUE"""),"CareCloud")</f>
        <v>CareCloud</v>
      </c>
      <c r="F6065" s="122" t="str">
        <f>IFERROR(__xludf.DUMMYFUNCTION("""COMPUTED_VALUE"""),"Healthcare")</f>
        <v>Healthcare</v>
      </c>
    </row>
    <row r="6066">
      <c r="A6066" s="131">
        <f>IFERROR(__xludf.DUMMYFUNCTION("""COMPUTED_VALUE"""),46187.544641203705)</f>
        <v>46187.54464</v>
      </c>
      <c r="B6066" s="126">
        <f>IFERROR(__xludf.DUMMYFUNCTION("""COMPUTED_VALUE"""),46187.0)</f>
        <v>46187</v>
      </c>
      <c r="C6066" s="130">
        <f>IFERROR(__xludf.DUMMYFUNCTION("""COMPUTED_VALUE"""),0.5446412037037037)</f>
        <v>0.5446412037</v>
      </c>
      <c r="D6066" s="122" t="str">
        <f>IFERROR(__xludf.DUMMYFUNCTION("""COMPUTED_VALUE"""),"DENT")</f>
        <v>DENT</v>
      </c>
      <c r="E6066" s="122" t="str">
        <f>IFERROR(__xludf.DUMMYFUNCTION("""COMPUTED_VALUE"""),"SmileWorks")</f>
        <v>SmileWorks</v>
      </c>
      <c r="F6066" s="122" t="str">
        <f>IFERROR(__xludf.DUMMYFUNCTION("""COMPUTED_VALUE"""),"Healthcare")</f>
        <v>Healthcare</v>
      </c>
    </row>
    <row r="6067">
      <c r="A6067" s="131">
        <f>IFERROR(__xludf.DUMMYFUNCTION("""COMPUTED_VALUE"""),46187.544641203705)</f>
        <v>46187.54464</v>
      </c>
      <c r="B6067" s="126">
        <f>IFERROR(__xludf.DUMMYFUNCTION("""COMPUTED_VALUE"""),46187.0)</f>
        <v>46187</v>
      </c>
      <c r="C6067" s="130">
        <f>IFERROR(__xludf.DUMMYFUNCTION("""COMPUTED_VALUE"""),0.5446412037037037)</f>
        <v>0.5446412037</v>
      </c>
      <c r="D6067" s="122" t="str">
        <f>IFERROR(__xludf.DUMMYFUNCTION("""COMPUTED_VALUE"""),"EDUX")</f>
        <v>EDUX</v>
      </c>
      <c r="E6067" s="122" t="str">
        <f>IFERROR(__xludf.DUMMYFUNCTION("""COMPUTED_VALUE"""),"EduMax Learning")</f>
        <v>EduMax Learning</v>
      </c>
      <c r="F6067" s="122" t="str">
        <f>IFERROR(__xludf.DUMMYFUNCTION("""COMPUTED_VALUE"""),"Education")</f>
        <v>Education</v>
      </c>
    </row>
    <row r="6068">
      <c r="A6068" s="131">
        <f>IFERROR(__xludf.DUMMYFUNCTION("""COMPUTED_VALUE"""),46187.544641203705)</f>
        <v>46187.54464</v>
      </c>
      <c r="B6068" s="126">
        <f>IFERROR(__xludf.DUMMYFUNCTION("""COMPUTED_VALUE"""),46187.0)</f>
        <v>46187</v>
      </c>
      <c r="C6068" s="130">
        <f>IFERROR(__xludf.DUMMYFUNCTION("""COMPUTED_VALUE"""),0.5446412037037037)</f>
        <v>0.5446412037</v>
      </c>
      <c r="D6068" s="122" t="str">
        <f>IFERROR(__xludf.DUMMYFUNCTION("""COMPUTED_VALUE"""),"BOOK")</f>
        <v>BOOK</v>
      </c>
      <c r="E6068" s="122" t="str">
        <f>IFERROR(__xludf.DUMMYFUNCTION("""COMPUTED_VALUE"""),"BookBridge")</f>
        <v>BookBridge</v>
      </c>
      <c r="F6068" s="122" t="str">
        <f>IFERROR(__xludf.DUMMYFUNCTION("""COMPUTED_VALUE"""),"Education")</f>
        <v>Education</v>
      </c>
    </row>
    <row r="6069">
      <c r="A6069" s="131">
        <f>IFERROR(__xludf.DUMMYFUNCTION("""COMPUTED_VALUE"""),46187.544641203705)</f>
        <v>46187.54464</v>
      </c>
      <c r="B6069" s="126">
        <f>IFERROR(__xludf.DUMMYFUNCTION("""COMPUTED_VALUE"""),46187.0)</f>
        <v>46187</v>
      </c>
      <c r="C6069" s="130">
        <f>IFERROR(__xludf.DUMMYFUNCTION("""COMPUTED_VALUE"""),0.5446412037037037)</f>
        <v>0.5446412037</v>
      </c>
      <c r="D6069" s="122" t="str">
        <f>IFERROR(__xludf.DUMMYFUNCTION("""COMPUTED_VALUE"""),"TUTR")</f>
        <v>TUTR</v>
      </c>
      <c r="E6069" s="122" t="str">
        <f>IFERROR(__xludf.DUMMYFUNCTION("""COMPUTED_VALUE"""),"TutorTown")</f>
        <v>TutorTown</v>
      </c>
      <c r="F6069" s="122" t="str">
        <f>IFERROR(__xludf.DUMMYFUNCTION("""COMPUTED_VALUE"""),"Education")</f>
        <v>Education</v>
      </c>
    </row>
    <row r="6070">
      <c r="A6070" s="131">
        <f>IFERROR(__xludf.DUMMYFUNCTION("""COMPUTED_VALUE"""),46187.544641203705)</f>
        <v>46187.54464</v>
      </c>
      <c r="B6070" s="126">
        <f>IFERROR(__xludf.DUMMYFUNCTION("""COMPUTED_VALUE"""),46187.0)</f>
        <v>46187</v>
      </c>
      <c r="C6070" s="130">
        <f>IFERROR(__xludf.DUMMYFUNCTION("""COMPUTED_VALUE"""),0.5446412037037037)</f>
        <v>0.5446412037</v>
      </c>
      <c r="D6070" s="122" t="str">
        <f>IFERROR(__xludf.DUMMYFUNCTION("""COMPUTED_VALUE"""),"LANG")</f>
        <v>LANG</v>
      </c>
      <c r="E6070" s="122" t="str">
        <f>IFERROR(__xludf.DUMMYFUNCTION("""COMPUTED_VALUE"""),"LinguaLab")</f>
        <v>LinguaLab</v>
      </c>
      <c r="F6070" s="122" t="str">
        <f>IFERROR(__xludf.DUMMYFUNCTION("""COMPUTED_VALUE"""),"Education")</f>
        <v>Education</v>
      </c>
    </row>
    <row r="6071">
      <c r="A6071" s="131">
        <f>IFERROR(__xludf.DUMMYFUNCTION("""COMPUTED_VALUE"""),46187.544641203705)</f>
        <v>46187.54464</v>
      </c>
      <c r="B6071" s="126">
        <f>IFERROR(__xludf.DUMMYFUNCTION("""COMPUTED_VALUE"""),46187.0)</f>
        <v>46187</v>
      </c>
      <c r="C6071" s="130">
        <f>IFERROR(__xludf.DUMMYFUNCTION("""COMPUTED_VALUE"""),0.5446412037037037)</f>
        <v>0.5446412037</v>
      </c>
      <c r="D6071" s="122" t="str">
        <f>IFERROR(__xludf.DUMMYFUNCTION("""COMPUTED_VALUE"""),"TEST")</f>
        <v>TEST</v>
      </c>
      <c r="E6071" s="122" t="str">
        <f>IFERROR(__xludf.DUMMYFUNCTION("""COMPUTED_VALUE"""),"TestPrep Pro")</f>
        <v>TestPrep Pro</v>
      </c>
      <c r="F6071" s="122" t="str">
        <f>IFERROR(__xludf.DUMMYFUNCTION("""COMPUTED_VALUE"""),"Education")</f>
        <v>Education</v>
      </c>
    </row>
    <row r="6072">
      <c r="A6072" s="131">
        <f>IFERROR(__xludf.DUMMYFUNCTION("""COMPUTED_VALUE"""),46187.544641203705)</f>
        <v>46187.54464</v>
      </c>
      <c r="B6072" s="126">
        <f>IFERROR(__xludf.DUMMYFUNCTION("""COMPUTED_VALUE"""),46187.0)</f>
        <v>46187</v>
      </c>
      <c r="C6072" s="130">
        <f>IFERROR(__xludf.DUMMYFUNCTION("""COMPUTED_VALUE"""),0.5446412037037037)</f>
        <v>0.5446412037</v>
      </c>
      <c r="D6072" s="122" t="str">
        <f>IFERROR(__xludf.DUMMYFUNCTION("""COMPUTED_VALUE"""),"MOVI")</f>
        <v>MOVI</v>
      </c>
      <c r="E6072" s="122" t="str">
        <f>IFERROR(__xludf.DUMMYFUNCTION("""COMPUTED_VALUE"""),"MovieBox")</f>
        <v>MovieBox</v>
      </c>
      <c r="F6072" s="122" t="str">
        <f>IFERROR(__xludf.DUMMYFUNCTION("""COMPUTED_VALUE"""),"Entertainment")</f>
        <v>Entertainment</v>
      </c>
    </row>
    <row r="6073">
      <c r="A6073" s="131">
        <f>IFERROR(__xludf.DUMMYFUNCTION("""COMPUTED_VALUE"""),46187.544641203705)</f>
        <v>46187.54464</v>
      </c>
      <c r="B6073" s="126">
        <f>IFERROR(__xludf.DUMMYFUNCTION("""COMPUTED_VALUE"""),46187.0)</f>
        <v>46187</v>
      </c>
      <c r="C6073" s="130">
        <f>IFERROR(__xludf.DUMMYFUNCTION("""COMPUTED_VALUE"""),0.5446412037037037)</f>
        <v>0.5446412037</v>
      </c>
      <c r="D6073" s="122" t="str">
        <f>IFERROR(__xludf.DUMMYFUNCTION("""COMPUTED_VALUE"""),"MUSC")</f>
        <v>MUSC</v>
      </c>
      <c r="E6073" s="122" t="str">
        <f>IFERROR(__xludf.DUMMYFUNCTION("""COMPUTED_VALUE"""),"MusicWave")</f>
        <v>MusicWave</v>
      </c>
      <c r="F6073" s="122" t="str">
        <f>IFERROR(__xludf.DUMMYFUNCTION("""COMPUTED_VALUE"""),"Entertainment")</f>
        <v>Entertainment</v>
      </c>
    </row>
    <row r="6074">
      <c r="A6074" s="131">
        <f>IFERROR(__xludf.DUMMYFUNCTION("""COMPUTED_VALUE"""),46187.544641203705)</f>
        <v>46187.54464</v>
      </c>
      <c r="B6074" s="126">
        <f>IFERROR(__xludf.DUMMYFUNCTION("""COMPUTED_VALUE"""),46187.0)</f>
        <v>46187</v>
      </c>
      <c r="C6074" s="130">
        <f>IFERROR(__xludf.DUMMYFUNCTION("""COMPUTED_VALUE"""),0.5446412037037037)</f>
        <v>0.5446412037</v>
      </c>
      <c r="D6074" s="122" t="str">
        <f>IFERROR(__xludf.DUMMYFUNCTION("""COMPUTED_VALUE"""),"IDOL")</f>
        <v>IDOL</v>
      </c>
      <c r="E6074" s="122" t="str">
        <f>IFERROR(__xludf.DUMMYFUNCTION("""COMPUTED_VALUE"""),"Idol Agency")</f>
        <v>Idol Agency</v>
      </c>
      <c r="F6074" s="122" t="str">
        <f>IFERROR(__xludf.DUMMYFUNCTION("""COMPUTED_VALUE"""),"Entertainment")</f>
        <v>Entertainment</v>
      </c>
    </row>
    <row r="6075">
      <c r="A6075" s="131">
        <f>IFERROR(__xludf.DUMMYFUNCTION("""COMPUTED_VALUE"""),46187.544641203705)</f>
        <v>46187.54464</v>
      </c>
      <c r="B6075" s="126">
        <f>IFERROR(__xludf.DUMMYFUNCTION("""COMPUTED_VALUE"""),46187.0)</f>
        <v>46187</v>
      </c>
      <c r="C6075" s="130">
        <f>IFERROR(__xludf.DUMMYFUNCTION("""COMPUTED_VALUE"""),0.5446412037037037)</f>
        <v>0.5446412037</v>
      </c>
      <c r="D6075" s="122" t="str">
        <f>IFERROR(__xludf.DUMMYFUNCTION("""COMPUTED_VALUE"""),"MEME")</f>
        <v>MEME</v>
      </c>
      <c r="E6075" s="122" t="str">
        <f>IFERROR(__xludf.DUMMYFUNCTION("""COMPUTED_VALUE"""),"Meme Media")</f>
        <v>Meme Media</v>
      </c>
      <c r="F6075" s="122" t="str">
        <f>IFERROR(__xludf.DUMMYFUNCTION("""COMPUTED_VALUE"""),"Entertainment")</f>
        <v>Entertainment</v>
      </c>
    </row>
    <row r="6076">
      <c r="A6076" s="131">
        <f>IFERROR(__xludf.DUMMYFUNCTION("""COMPUTED_VALUE"""),46187.544641203705)</f>
        <v>46187.54464</v>
      </c>
      <c r="B6076" s="126">
        <f>IFERROR(__xludf.DUMMYFUNCTION("""COMPUTED_VALUE"""),46187.0)</f>
        <v>46187</v>
      </c>
      <c r="C6076" s="130">
        <f>IFERROR(__xludf.DUMMYFUNCTION("""COMPUTED_VALUE"""),0.5446412037037037)</f>
        <v>0.5446412037</v>
      </c>
      <c r="D6076" s="122" t="str">
        <f>IFERROR(__xludf.DUMMYFUNCTION("""COMPUTED_VALUE"""),"STRM")</f>
        <v>STRM</v>
      </c>
      <c r="E6076" s="122" t="str">
        <f>IFERROR(__xludf.DUMMYFUNCTION("""COMPUTED_VALUE"""),"Streamly")</f>
        <v>Streamly</v>
      </c>
      <c r="F6076" s="122" t="str">
        <f>IFERROR(__xludf.DUMMYFUNCTION("""COMPUTED_VALUE"""),"Entertainment")</f>
        <v>Entertainment</v>
      </c>
    </row>
    <row r="6077">
      <c r="A6077" s="131">
        <f>IFERROR(__xludf.DUMMYFUNCTION("""COMPUTED_VALUE"""),46187.544641203705)</f>
        <v>46187.54464</v>
      </c>
      <c r="B6077" s="126">
        <f>IFERROR(__xludf.DUMMYFUNCTION("""COMPUTED_VALUE"""),46187.0)</f>
        <v>46187</v>
      </c>
      <c r="C6077" s="130">
        <f>IFERROR(__xludf.DUMMYFUNCTION("""COMPUTED_VALUE"""),0.5446412037037037)</f>
        <v>0.5446412037</v>
      </c>
      <c r="D6077" s="122" t="str">
        <f>IFERROR(__xludf.DUMMYFUNCTION("""COMPUTED_VALUE"""),"FARM")</f>
        <v>FARM</v>
      </c>
      <c r="E6077" s="122" t="str">
        <f>IFERROR(__xludf.DUMMYFUNCTION("""COMPUTED_VALUE"""),"Future Farms")</f>
        <v>Future Farms</v>
      </c>
      <c r="F6077" s="122" t="str">
        <f>IFERROR(__xludf.DUMMYFUNCTION("""COMPUTED_VALUE"""),"Agriculture")</f>
        <v>Agriculture</v>
      </c>
    </row>
    <row r="6078">
      <c r="A6078" s="131">
        <f>IFERROR(__xludf.DUMMYFUNCTION("""COMPUTED_VALUE"""),46187.544641203705)</f>
        <v>46187.54464</v>
      </c>
      <c r="B6078" s="126">
        <f>IFERROR(__xludf.DUMMYFUNCTION("""COMPUTED_VALUE"""),46187.0)</f>
        <v>46187</v>
      </c>
      <c r="C6078" s="130">
        <f>IFERROR(__xludf.DUMMYFUNCTION("""COMPUTED_VALUE"""),0.5446412037037037)</f>
        <v>0.5446412037</v>
      </c>
      <c r="D6078" s="122" t="str">
        <f>IFERROR(__xludf.DUMMYFUNCTION("""COMPUTED_VALUE"""),"MEAT")</f>
        <v>MEAT</v>
      </c>
      <c r="E6078" s="122" t="str">
        <f>IFERROR(__xludf.DUMMYFUNCTION("""COMPUTED_VALUE"""),"MeatWorks")</f>
        <v>MeatWorks</v>
      </c>
      <c r="F6078" s="122" t="str">
        <f>IFERROR(__xludf.DUMMYFUNCTION("""COMPUTED_VALUE"""),"Food")</f>
        <v>Food</v>
      </c>
    </row>
    <row r="6079">
      <c r="A6079" s="131">
        <f>IFERROR(__xludf.DUMMYFUNCTION("""COMPUTED_VALUE"""),46187.544641203705)</f>
        <v>46187.54464</v>
      </c>
      <c r="B6079" s="126">
        <f>IFERROR(__xludf.DUMMYFUNCTION("""COMPUTED_VALUE"""),46187.0)</f>
        <v>46187</v>
      </c>
      <c r="C6079" s="130">
        <f>IFERROR(__xludf.DUMMYFUNCTION("""COMPUTED_VALUE"""),0.5446412037037037)</f>
        <v>0.5446412037</v>
      </c>
      <c r="D6079" s="122" t="str">
        <f>IFERROR(__xludf.DUMMYFUNCTION("""COMPUTED_VALUE"""),"VEGI")</f>
        <v>VEGI</v>
      </c>
      <c r="E6079" s="122" t="str">
        <f>IFERROR(__xludf.DUMMYFUNCTION("""COMPUTED_VALUE"""),"Green Basket")</f>
        <v>Green Basket</v>
      </c>
      <c r="F6079" s="122" t="str">
        <f>IFERROR(__xludf.DUMMYFUNCTION("""COMPUTED_VALUE"""),"Food")</f>
        <v>Food</v>
      </c>
    </row>
    <row r="6080">
      <c r="A6080" s="131">
        <f>IFERROR(__xludf.DUMMYFUNCTION("""COMPUTED_VALUE"""),46187.544641203705)</f>
        <v>46187.54464</v>
      </c>
      <c r="B6080" s="126">
        <f>IFERROR(__xludf.DUMMYFUNCTION("""COMPUTED_VALUE"""),46187.0)</f>
        <v>46187</v>
      </c>
      <c r="C6080" s="130">
        <f>IFERROR(__xludf.DUMMYFUNCTION("""COMPUTED_VALUE"""),0.5446412037037037)</f>
        <v>0.5446412037</v>
      </c>
      <c r="D6080" s="122" t="str">
        <f>IFERROR(__xludf.DUMMYFUNCTION("""COMPUTED_VALUE"""),"CAFE")</f>
        <v>CAFE</v>
      </c>
      <c r="E6080" s="122" t="str">
        <f>IFERROR(__xludf.DUMMYFUNCTION("""COMPUTED_VALUE"""),"Cafe Cloud")</f>
        <v>Cafe Cloud</v>
      </c>
      <c r="F6080" s="122" t="str">
        <f>IFERROR(__xludf.DUMMYFUNCTION("""COMPUTED_VALUE"""),"Food")</f>
        <v>Food</v>
      </c>
    </row>
    <row r="6081">
      <c r="A6081" s="131">
        <f>IFERROR(__xludf.DUMMYFUNCTION("""COMPUTED_VALUE"""),46187.544641203705)</f>
        <v>46187.54464</v>
      </c>
      <c r="B6081" s="126">
        <f>IFERROR(__xludf.DUMMYFUNCTION("""COMPUTED_VALUE"""),46187.0)</f>
        <v>46187</v>
      </c>
      <c r="C6081" s="130">
        <f>IFERROR(__xludf.DUMMYFUNCTION("""COMPUTED_VALUE"""),0.5446412037037037)</f>
        <v>0.5446412037</v>
      </c>
      <c r="D6081" s="122" t="str">
        <f>IFERROR(__xludf.DUMMYFUNCTION("""COMPUTED_VALUE"""),"BAKE")</f>
        <v>BAKE</v>
      </c>
      <c r="E6081" s="122" t="str">
        <f>IFERROR(__xludf.DUMMYFUNCTION("""COMPUTED_VALUE"""),"BakeHouse")</f>
        <v>BakeHouse</v>
      </c>
      <c r="F6081" s="122" t="str">
        <f>IFERROR(__xludf.DUMMYFUNCTION("""COMPUTED_VALUE"""),"Food")</f>
        <v>Food</v>
      </c>
    </row>
    <row r="6082">
      <c r="A6082" s="131">
        <f>IFERROR(__xludf.DUMMYFUNCTION("""COMPUTED_VALUE"""),46187.544641203705)</f>
        <v>46187.54464</v>
      </c>
      <c r="B6082" s="126">
        <f>IFERROR(__xludf.DUMMYFUNCTION("""COMPUTED_VALUE"""),46187.0)</f>
        <v>46187</v>
      </c>
      <c r="C6082" s="130">
        <f>IFERROR(__xludf.DUMMYFUNCTION("""COMPUTED_VALUE"""),0.5446412037037037)</f>
        <v>0.5446412037</v>
      </c>
      <c r="D6082" s="122" t="str">
        <f>IFERROR(__xludf.DUMMYFUNCTION("""COMPUTED_VALUE"""),"OILX")</f>
        <v>OILX</v>
      </c>
      <c r="E6082" s="122" t="str">
        <f>IFERROR(__xludf.DUMMYFUNCTION("""COMPUTED_VALUE"""),"OilMax Energy")</f>
        <v>OilMax Energy</v>
      </c>
      <c r="F6082" s="122" t="str">
        <f>IFERROR(__xludf.DUMMYFUNCTION("""COMPUTED_VALUE"""),"Energy")</f>
        <v>Energy</v>
      </c>
    </row>
    <row r="6083">
      <c r="A6083" s="131">
        <f>IFERROR(__xludf.DUMMYFUNCTION("""COMPUTED_VALUE"""),46187.544641203705)</f>
        <v>46187.54464</v>
      </c>
      <c r="B6083" s="126">
        <f>IFERROR(__xludf.DUMMYFUNCTION("""COMPUTED_VALUE"""),46187.0)</f>
        <v>46187</v>
      </c>
      <c r="C6083" s="130">
        <f>IFERROR(__xludf.DUMMYFUNCTION("""COMPUTED_VALUE"""),0.5446412037037037)</f>
        <v>0.5446412037</v>
      </c>
      <c r="D6083" s="122" t="str">
        <f>IFERROR(__xludf.DUMMYFUNCTION("""COMPUTED_VALUE"""),"SOLR")</f>
        <v>SOLR</v>
      </c>
      <c r="E6083" s="122" t="str">
        <f>IFERROR(__xludf.DUMMYFUNCTION("""COMPUTED_VALUE"""),"SolarSpark")</f>
        <v>SolarSpark</v>
      </c>
      <c r="F6083" s="122" t="str">
        <f>IFERROR(__xludf.DUMMYFUNCTION("""COMPUTED_VALUE"""),"Energy")</f>
        <v>Energy</v>
      </c>
    </row>
    <row r="6084">
      <c r="A6084" s="131">
        <f>IFERROR(__xludf.DUMMYFUNCTION("""COMPUTED_VALUE"""),46187.544641203705)</f>
        <v>46187.54464</v>
      </c>
      <c r="B6084" s="126">
        <f>IFERROR(__xludf.DUMMYFUNCTION("""COMPUTED_VALUE"""),46187.0)</f>
        <v>46187</v>
      </c>
      <c r="C6084" s="130">
        <f>IFERROR(__xludf.DUMMYFUNCTION("""COMPUTED_VALUE"""),0.5446412037037037)</f>
        <v>0.5446412037</v>
      </c>
      <c r="D6084" s="122" t="str">
        <f>IFERROR(__xludf.DUMMYFUNCTION("""COMPUTED_VALUE"""),"BATT")</f>
        <v>BATT</v>
      </c>
      <c r="E6084" s="122" t="str">
        <f>IFERROR(__xludf.DUMMYFUNCTION("""COMPUTED_VALUE"""),"BatteryBox")</f>
        <v>BatteryBox</v>
      </c>
      <c r="F6084" s="122" t="str">
        <f>IFERROR(__xludf.DUMMYFUNCTION("""COMPUTED_VALUE"""),"Energy")</f>
        <v>Energy</v>
      </c>
    </row>
    <row r="6085">
      <c r="A6085" s="131">
        <f>IFERROR(__xludf.DUMMYFUNCTION("""COMPUTED_VALUE"""),46187.544641203705)</f>
        <v>46187.54464</v>
      </c>
      <c r="B6085" s="126">
        <f>IFERROR(__xludf.DUMMYFUNCTION("""COMPUTED_VALUE"""),46187.0)</f>
        <v>46187</v>
      </c>
      <c r="C6085" s="130">
        <f>IFERROR(__xludf.DUMMYFUNCTION("""COMPUTED_VALUE"""),0.5446412037037037)</f>
        <v>0.5446412037</v>
      </c>
      <c r="D6085" s="122" t="str">
        <f>IFERROR(__xludf.DUMMYFUNCTION("""COMPUTED_VALUE"""),"WIND")</f>
        <v>WIND</v>
      </c>
      <c r="E6085" s="122" t="str">
        <f>IFERROR(__xludf.DUMMYFUNCTION("""COMPUTED_VALUE"""),"WindWorks")</f>
        <v>WindWorks</v>
      </c>
      <c r="F6085" s="122" t="str">
        <f>IFERROR(__xludf.DUMMYFUNCTION("""COMPUTED_VALUE"""),"Energy")</f>
        <v>Energy</v>
      </c>
    </row>
    <row r="6086">
      <c r="A6086" s="131">
        <f>IFERROR(__xludf.DUMMYFUNCTION("""COMPUTED_VALUE"""),46187.544641203705)</f>
        <v>46187.54464</v>
      </c>
      <c r="B6086" s="126">
        <f>IFERROR(__xludf.DUMMYFUNCTION("""COMPUTED_VALUE"""),46187.0)</f>
        <v>46187</v>
      </c>
      <c r="C6086" s="130">
        <f>IFERROR(__xludf.DUMMYFUNCTION("""COMPUTED_VALUE"""),0.5446412037037037)</f>
        <v>0.5446412037</v>
      </c>
      <c r="D6086" s="122" t="str">
        <f>IFERROR(__xludf.DUMMYFUNCTION("""COMPUTED_VALUE"""),"GRID")</f>
        <v>GRID</v>
      </c>
      <c r="E6086" s="122" t="str">
        <f>IFERROR(__xludf.DUMMYFUNCTION("""COMPUTED_VALUE"""),"GridPower")</f>
        <v>GridPower</v>
      </c>
      <c r="F6086" s="122" t="str">
        <f>IFERROR(__xludf.DUMMYFUNCTION("""COMPUTED_VALUE"""),"Energy")</f>
        <v>Energy</v>
      </c>
    </row>
    <row r="6087">
      <c r="A6087" s="131">
        <f>IFERROR(__xludf.DUMMYFUNCTION("""COMPUTED_VALUE"""),46187.544641203705)</f>
        <v>46187.54464</v>
      </c>
      <c r="B6087" s="126">
        <f>IFERROR(__xludf.DUMMYFUNCTION("""COMPUTED_VALUE"""),46187.0)</f>
        <v>46187</v>
      </c>
      <c r="C6087" s="130">
        <f>IFERROR(__xludf.DUMMYFUNCTION("""COMPUTED_VALUE"""),0.5446412037037037)</f>
        <v>0.5446412037</v>
      </c>
      <c r="D6087" s="122" t="str">
        <f>IFERROR(__xludf.DUMMYFUNCTION("""COMPUTED_VALUE"""),"HOME")</f>
        <v>HOME</v>
      </c>
      <c r="E6087" s="122" t="str">
        <f>IFERROR(__xludf.DUMMYFUNCTION("""COMPUTED_VALUE"""),"HomeHub")</f>
        <v>HomeHub</v>
      </c>
      <c r="F6087" s="122" t="str">
        <f>IFERROR(__xludf.DUMMYFUNCTION("""COMPUTED_VALUE"""),"Real Estate")</f>
        <v>Real Estate</v>
      </c>
    </row>
    <row r="6088">
      <c r="A6088" s="131">
        <f>IFERROR(__xludf.DUMMYFUNCTION("""COMPUTED_VALUE"""),46187.544641203705)</f>
        <v>46187.54464</v>
      </c>
      <c r="B6088" s="126">
        <f>IFERROR(__xludf.DUMMYFUNCTION("""COMPUTED_VALUE"""),46187.0)</f>
        <v>46187</v>
      </c>
      <c r="C6088" s="130">
        <f>IFERROR(__xludf.DUMMYFUNCTION("""COMPUTED_VALUE"""),0.5446412037037037)</f>
        <v>0.5446412037</v>
      </c>
      <c r="D6088" s="122" t="str">
        <f>IFERROR(__xludf.DUMMYFUNCTION("""COMPUTED_VALUE"""),"RENT")</f>
        <v>RENT</v>
      </c>
      <c r="E6088" s="122" t="str">
        <f>IFERROR(__xludf.DUMMYFUNCTION("""COMPUTED_VALUE"""),"RentRight")</f>
        <v>RentRight</v>
      </c>
      <c r="F6088" s="122" t="str">
        <f>IFERROR(__xludf.DUMMYFUNCTION("""COMPUTED_VALUE"""),"Real Estate")</f>
        <v>Real Estate</v>
      </c>
    </row>
    <row r="6089">
      <c r="A6089" s="131">
        <f>IFERROR(__xludf.DUMMYFUNCTION("""COMPUTED_VALUE"""),46187.544641203705)</f>
        <v>46187.54464</v>
      </c>
      <c r="B6089" s="126">
        <f>IFERROR(__xludf.DUMMYFUNCTION("""COMPUTED_VALUE"""),46187.0)</f>
        <v>46187</v>
      </c>
      <c r="C6089" s="130">
        <f>IFERROR(__xludf.DUMMYFUNCTION("""COMPUTED_VALUE"""),0.5446412037037037)</f>
        <v>0.5446412037</v>
      </c>
      <c r="D6089" s="122" t="str">
        <f>IFERROR(__xludf.DUMMYFUNCTION("""COMPUTED_VALUE"""),"MALL")</f>
        <v>MALL</v>
      </c>
      <c r="E6089" s="122" t="str">
        <f>IFERROR(__xludf.DUMMYFUNCTION("""COMPUTED_VALUE"""),"MegaMall")</f>
        <v>MegaMall</v>
      </c>
      <c r="F6089" s="122" t="str">
        <f>IFERROR(__xludf.DUMMYFUNCTION("""COMPUTED_VALUE"""),"Real Estate")</f>
        <v>Real Estate</v>
      </c>
    </row>
    <row r="6090">
      <c r="A6090" s="131">
        <f>IFERROR(__xludf.DUMMYFUNCTION("""COMPUTED_VALUE"""),46187.544641203705)</f>
        <v>46187.54464</v>
      </c>
      <c r="B6090" s="126">
        <f>IFERROR(__xludf.DUMMYFUNCTION("""COMPUTED_VALUE"""),46187.0)</f>
        <v>46187</v>
      </c>
      <c r="C6090" s="130">
        <f>IFERROR(__xludf.DUMMYFUNCTION("""COMPUTED_VALUE"""),0.5446412037037037)</f>
        <v>0.5446412037</v>
      </c>
      <c r="D6090" s="122" t="str">
        <f>IFERROR(__xludf.DUMMYFUNCTION("""COMPUTED_VALUE"""),"HOTL")</f>
        <v>HOTL</v>
      </c>
      <c r="E6090" s="122" t="str">
        <f>IFERROR(__xludf.DUMMYFUNCTION("""COMPUTED_VALUE"""),"HotelHive")</f>
        <v>HotelHive</v>
      </c>
      <c r="F6090" s="122" t="str">
        <f>IFERROR(__xludf.DUMMYFUNCTION("""COMPUTED_VALUE"""),"Real Estate")</f>
        <v>Real Estate</v>
      </c>
    </row>
    <row r="6091">
      <c r="A6091" s="131">
        <f>IFERROR(__xludf.DUMMYFUNCTION("""COMPUTED_VALUE"""),46187.544641203705)</f>
        <v>46187.54464</v>
      </c>
      <c r="B6091" s="126">
        <f>IFERROR(__xludf.DUMMYFUNCTION("""COMPUTED_VALUE"""),46187.0)</f>
        <v>46187</v>
      </c>
      <c r="C6091" s="130">
        <f>IFERROR(__xludf.DUMMYFUNCTION("""COMPUTED_VALUE"""),0.5446412037037037)</f>
        <v>0.5446412037</v>
      </c>
      <c r="D6091" s="122" t="str">
        <f>IFERROR(__xludf.DUMMYFUNCTION("""COMPUTED_VALUE"""),"LAND")</f>
        <v>LAND</v>
      </c>
      <c r="E6091" s="122" t="str">
        <f>IFERROR(__xludf.DUMMYFUNCTION("""COMPUTED_VALUE"""),"LandLink")</f>
        <v>LandLink</v>
      </c>
      <c r="F6091" s="122" t="str">
        <f>IFERROR(__xludf.DUMMYFUNCTION("""COMPUTED_VALUE"""),"Real Estate")</f>
        <v>Real Estate</v>
      </c>
    </row>
    <row r="6092">
      <c r="A6092" s="131">
        <f>IFERROR(__xludf.DUMMYFUNCTION("""COMPUTED_VALUE"""),46187.544641203705)</f>
        <v>46187.54464</v>
      </c>
      <c r="B6092" s="126">
        <f>IFERROR(__xludf.DUMMYFUNCTION("""COMPUTED_VALUE"""),46187.0)</f>
        <v>46187</v>
      </c>
      <c r="C6092" s="130">
        <f>IFERROR(__xludf.DUMMYFUNCTION("""COMPUTED_VALUE"""),0.5446412037037037)</f>
        <v>0.5446412037</v>
      </c>
      <c r="D6092" s="122" t="str">
        <f>IFERROR(__xludf.DUMMYFUNCTION("""COMPUTED_VALUE"""),"CARS")</f>
        <v>CARS</v>
      </c>
      <c r="E6092" s="122" t="str">
        <f>IFERROR(__xludf.DUMMYFUNCTION("""COMPUTED_VALUE"""),"AutoArena")</f>
        <v>AutoArena</v>
      </c>
      <c r="F6092" s="122" t="str">
        <f>IFERROR(__xludf.DUMMYFUNCTION("""COMPUTED_VALUE"""),"Automotive")</f>
        <v>Automotive</v>
      </c>
    </row>
    <row r="6093">
      <c r="A6093" s="131">
        <f>IFERROR(__xludf.DUMMYFUNCTION("""COMPUTED_VALUE"""),46187.544641203705)</f>
        <v>46187.54464</v>
      </c>
      <c r="B6093" s="126">
        <f>IFERROR(__xludf.DUMMYFUNCTION("""COMPUTED_VALUE"""),46187.0)</f>
        <v>46187</v>
      </c>
      <c r="C6093" s="130">
        <f>IFERROR(__xludf.DUMMYFUNCTION("""COMPUTED_VALUE"""),0.5446412037037037)</f>
        <v>0.5446412037</v>
      </c>
      <c r="D6093" s="122" t="str">
        <f>IFERROR(__xludf.DUMMYFUNCTION("""COMPUTED_VALUE"""),"EVGO")</f>
        <v>EVGO</v>
      </c>
      <c r="E6093" s="122" t="str">
        <f>IFERROR(__xludf.DUMMYFUNCTION("""COMPUTED_VALUE"""),"EVGo Motors")</f>
        <v>EVGo Motors</v>
      </c>
      <c r="F6093" s="122" t="str">
        <f>IFERROR(__xludf.DUMMYFUNCTION("""COMPUTED_VALUE"""),"Automotive")</f>
        <v>Automotive</v>
      </c>
    </row>
    <row r="6094">
      <c r="A6094" s="131">
        <f>IFERROR(__xludf.DUMMYFUNCTION("""COMPUTED_VALUE"""),46187.544641203705)</f>
        <v>46187.54464</v>
      </c>
      <c r="B6094" s="126">
        <f>IFERROR(__xludf.DUMMYFUNCTION("""COMPUTED_VALUE"""),46187.0)</f>
        <v>46187</v>
      </c>
      <c r="C6094" s="130">
        <f>IFERROR(__xludf.DUMMYFUNCTION("""COMPUTED_VALUE"""),0.5446412037037037)</f>
        <v>0.5446412037</v>
      </c>
      <c r="D6094" s="122" t="str">
        <f>IFERROR(__xludf.DUMMYFUNCTION("""COMPUTED_VALUE"""),"TIRE")</f>
        <v>TIRE</v>
      </c>
      <c r="E6094" s="122" t="str">
        <f>IFERROR(__xludf.DUMMYFUNCTION("""COMPUTED_VALUE"""),"TireTown")</f>
        <v>TireTown</v>
      </c>
      <c r="F6094" s="122" t="str">
        <f>IFERROR(__xludf.DUMMYFUNCTION("""COMPUTED_VALUE"""),"Automotive")</f>
        <v>Automotive</v>
      </c>
    </row>
    <row r="6095">
      <c r="A6095" s="131">
        <f>IFERROR(__xludf.DUMMYFUNCTION("""COMPUTED_VALUE"""),46187.544641203705)</f>
        <v>46187.54464</v>
      </c>
      <c r="B6095" s="126">
        <f>IFERROR(__xludf.DUMMYFUNCTION("""COMPUTED_VALUE"""),46187.0)</f>
        <v>46187</v>
      </c>
      <c r="C6095" s="130">
        <f>IFERROR(__xludf.DUMMYFUNCTION("""COMPUTED_VALUE"""),0.5446412037037037)</f>
        <v>0.5446412037</v>
      </c>
      <c r="D6095" s="122" t="str">
        <f>IFERROR(__xludf.DUMMYFUNCTION("""COMPUTED_VALUE"""),"BIKE")</f>
        <v>BIKE</v>
      </c>
      <c r="E6095" s="122" t="str">
        <f>IFERROR(__xludf.DUMMYFUNCTION("""COMPUTED_VALUE"""),"BikeBox")</f>
        <v>BikeBox</v>
      </c>
      <c r="F6095" s="122" t="str">
        <f>IFERROR(__xludf.DUMMYFUNCTION("""COMPUTED_VALUE"""),"Automotive")</f>
        <v>Automotive</v>
      </c>
    </row>
    <row r="6096">
      <c r="A6096" s="131">
        <f>IFERROR(__xludf.DUMMYFUNCTION("""COMPUTED_VALUE"""),46187.544641203705)</f>
        <v>46187.54464</v>
      </c>
      <c r="B6096" s="126">
        <f>IFERROR(__xludf.DUMMYFUNCTION("""COMPUTED_VALUE"""),46187.0)</f>
        <v>46187</v>
      </c>
      <c r="C6096" s="130">
        <f>IFERROR(__xludf.DUMMYFUNCTION("""COMPUTED_VALUE"""),0.5446412037037037)</f>
        <v>0.5446412037</v>
      </c>
      <c r="D6096" s="122" t="str">
        <f>IFERROR(__xludf.DUMMYFUNCTION("""COMPUTED_VALUE"""),"WASH")</f>
        <v>WASH</v>
      </c>
      <c r="E6096" s="122" t="str">
        <f>IFERROR(__xludf.DUMMYFUNCTION("""COMPUTED_VALUE"""),"CarWash Co")</f>
        <v>CarWash Co</v>
      </c>
      <c r="F6096" s="122" t="str">
        <f>IFERROR(__xludf.DUMMYFUNCTION("""COMPUTED_VALUE"""),"Automotive")</f>
        <v>Automotive</v>
      </c>
    </row>
    <row r="6097">
      <c r="A6097" s="131">
        <f>IFERROR(__xludf.DUMMYFUNCTION("""COMPUTED_VALUE"""),46187.544641203705)</f>
        <v>46187.54464</v>
      </c>
      <c r="B6097" s="126">
        <f>IFERROR(__xludf.DUMMYFUNCTION("""COMPUTED_VALUE"""),46187.0)</f>
        <v>46187</v>
      </c>
      <c r="C6097" s="130">
        <f>IFERROR(__xludf.DUMMYFUNCTION("""COMPUTED_VALUE"""),0.5446412037037037)</f>
        <v>0.5446412037</v>
      </c>
      <c r="D6097" s="122" t="str">
        <f>IFERROR(__xludf.DUMMYFUNCTION("""COMPUTED_VALUE"""),"GBND")</f>
        <v>GBND</v>
      </c>
      <c r="E6097" s="122" t="str">
        <f>IFERROR(__xludf.DUMMYFUNCTION("""COMPUTED_VALUE"""),"Classroom Government Bond")</f>
        <v>Classroom Government Bond</v>
      </c>
      <c r="F6097" s="122" t="str">
        <f>IFERROR(__xludf.DUMMYFUNCTION("""COMPUTED_VALUE"""),"Bond")</f>
        <v>Bond</v>
      </c>
    </row>
    <row r="6098">
      <c r="A6098" s="131">
        <f>IFERROR(__xludf.DUMMYFUNCTION("""COMPUTED_VALUE"""),46187.544641203705)</f>
        <v>46187.54464</v>
      </c>
      <c r="B6098" s="126">
        <f>IFERROR(__xludf.DUMMYFUNCTION("""COMPUTED_VALUE"""),46187.0)</f>
        <v>46187</v>
      </c>
      <c r="C6098" s="130">
        <f>IFERROR(__xludf.DUMMYFUNCTION("""COMPUTED_VALUE"""),0.5446412037037037)</f>
        <v>0.5446412037</v>
      </c>
      <c r="D6098" s="122" t="str">
        <f>IFERROR(__xludf.DUMMYFUNCTION("""COMPUTED_VALUE"""),"SBND")</f>
        <v>SBND</v>
      </c>
      <c r="E6098" s="122" t="str">
        <f>IFERROR(__xludf.DUMMYFUNCTION("""COMPUTED_VALUE"""),"School Savings Bond")</f>
        <v>School Savings Bond</v>
      </c>
      <c r="F6098" s="122" t="str">
        <f>IFERROR(__xludf.DUMMYFUNCTION("""COMPUTED_VALUE"""),"Bond")</f>
        <v>Bond</v>
      </c>
    </row>
    <row r="6099">
      <c r="A6099" s="131">
        <f>IFERROR(__xludf.DUMMYFUNCTION("""COMPUTED_VALUE"""),46187.544641203705)</f>
        <v>46187.54464</v>
      </c>
      <c r="B6099" s="126">
        <f>IFERROR(__xludf.DUMMYFUNCTION("""COMPUTED_VALUE"""),46187.0)</f>
        <v>46187</v>
      </c>
      <c r="C6099" s="130">
        <f>IFERROR(__xludf.DUMMYFUNCTION("""COMPUTED_VALUE"""),0.5446412037037037)</f>
        <v>0.5446412037</v>
      </c>
      <c r="D6099" s="122" t="str">
        <f>IFERROR(__xludf.DUMMYFUNCTION("""COMPUTED_VALUE"""),"CBND")</f>
        <v>CBND</v>
      </c>
      <c r="E6099" s="122" t="str">
        <f>IFERROR(__xludf.DUMMYFUNCTION("""COMPUTED_VALUE"""),"Corporate Classroom Bond")</f>
        <v>Corporate Classroom Bond</v>
      </c>
      <c r="F6099" s="122" t="str">
        <f>IFERROR(__xludf.DUMMYFUNCTION("""COMPUTED_VALUE"""),"Bond")</f>
        <v>Bond</v>
      </c>
    </row>
    <row r="6100">
      <c r="A6100" s="131">
        <f>IFERROR(__xludf.DUMMYFUNCTION("""COMPUTED_VALUE"""),46187.544641203705)</f>
        <v>46187.54464</v>
      </c>
      <c r="B6100" s="126">
        <f>IFERROR(__xludf.DUMMYFUNCTION("""COMPUTED_VALUE"""),46187.0)</f>
        <v>46187</v>
      </c>
      <c r="C6100" s="130">
        <f>IFERROR(__xludf.DUMMYFUNCTION("""COMPUTED_VALUE"""),0.5446412037037037)</f>
        <v>0.5446412037</v>
      </c>
      <c r="D6100" s="122" t="str">
        <f>IFERROR(__xludf.DUMMYFUNCTION("""COMPUTED_VALUE"""),"TBIL")</f>
        <v>TBIL</v>
      </c>
      <c r="E6100" s="122" t="str">
        <f>IFERROR(__xludf.DUMMYFUNCTION("""COMPUTED_VALUE"""),"Treasury Bill")</f>
        <v>Treasury Bill</v>
      </c>
      <c r="F6100" s="122" t="str">
        <f>IFERROR(__xludf.DUMMYFUNCTION("""COMPUTED_VALUE"""),"Bond")</f>
        <v>Bond</v>
      </c>
    </row>
    <row r="6101">
      <c r="A6101" s="131">
        <f>IFERROR(__xludf.DUMMYFUNCTION("""COMPUTED_VALUE"""),46187.544641203705)</f>
        <v>46187.54464</v>
      </c>
      <c r="B6101" s="126">
        <f>IFERROR(__xludf.DUMMYFUNCTION("""COMPUTED_VALUE"""),46187.0)</f>
        <v>46187</v>
      </c>
      <c r="C6101" s="130">
        <f>IFERROR(__xludf.DUMMYFUNCTION("""COMPUTED_VALUE"""),0.5446412037037037)</f>
        <v>0.5446412037</v>
      </c>
      <c r="D6101" s="122" t="str">
        <f>IFERROR(__xludf.DUMMYFUNCTION("""COMPUTED_VALUE"""),"IBND")</f>
        <v>IBND</v>
      </c>
      <c r="E6101" s="122" t="str">
        <f>IFERROR(__xludf.DUMMYFUNCTION("""COMPUTED_VALUE"""),"Inflation Protected Bond")</f>
        <v>Inflation Protected Bond</v>
      </c>
      <c r="F6101" s="122" t="str">
        <f>IFERROR(__xludf.DUMMYFUNCTION("""COMPUTED_VALUE"""),"Bond")</f>
        <v>Bond</v>
      </c>
    </row>
    <row r="6102">
      <c r="A6102" s="131">
        <f>IFERROR(__xludf.DUMMYFUNCTION("""COMPUTED_VALUE"""),46187.54662037037)</f>
        <v>46187.54662</v>
      </c>
      <c r="B6102" s="126">
        <f>IFERROR(__xludf.DUMMYFUNCTION("""COMPUTED_VALUE"""),46187.0)</f>
        <v>46187</v>
      </c>
      <c r="C6102" s="122" t="str">
        <f>IFERROR(__xludf.DUMMYFUNCTION("""COMPUTED_VALUE"""),"SNAX")</f>
        <v>SNAX</v>
      </c>
      <c r="D6102" s="122" t="str">
        <f>IFERROR(__xludf.DUMMYFUNCTION("""COMPUTED_VALUE"""),"MICA Snacks")</f>
        <v>MICA Snacks</v>
      </c>
      <c r="E6102" s="122">
        <f>IFERROR(__xludf.DUMMYFUNCTION("""COMPUTED_VALUE"""),121.12)</f>
        <v>121.12</v>
      </c>
      <c r="F6102" s="122">
        <f>IFERROR(__xludf.DUMMYFUNCTION("""COMPUTED_VALUE"""),4.0E-4)</f>
        <v>0.0004</v>
      </c>
    </row>
    <row r="6103">
      <c r="A6103" s="131">
        <f>IFERROR(__xludf.DUMMYFUNCTION("""COMPUTED_VALUE"""),46187.54662037037)</f>
        <v>46187.54662</v>
      </c>
      <c r="B6103" s="126">
        <f>IFERROR(__xludf.DUMMYFUNCTION("""COMPUTED_VALUE"""),46187.0)</f>
        <v>46187</v>
      </c>
      <c r="C6103" s="122" t="str">
        <f>IFERROR(__xludf.DUMMYFUNCTION("""COMPUTED_VALUE"""),"RAMN")</f>
        <v>RAMN</v>
      </c>
      <c r="D6103" s="122" t="str">
        <f>IFERROR(__xludf.DUMMYFUNCTION("""COMPUTED_VALUE"""),"Ramen Republic")</f>
        <v>Ramen Republic</v>
      </c>
      <c r="E6103" s="122">
        <f>IFERROR(__xludf.DUMMYFUNCTION("""COMPUTED_VALUE"""),66.49)</f>
        <v>66.49</v>
      </c>
      <c r="F6103" s="122">
        <f>IFERROR(__xludf.DUMMYFUNCTION("""COMPUTED_VALUE"""),-0.0069)</f>
        <v>-0.0069</v>
      </c>
    </row>
    <row r="6104">
      <c r="A6104" s="131">
        <f>IFERROR(__xludf.DUMMYFUNCTION("""COMPUTED_VALUE"""),46187.54662037037)</f>
        <v>46187.54662</v>
      </c>
      <c r="B6104" s="126">
        <f>IFERROR(__xludf.DUMMYFUNCTION("""COMPUTED_VALUE"""),46187.0)</f>
        <v>46187</v>
      </c>
      <c r="C6104" s="122" t="str">
        <f>IFERROR(__xludf.DUMMYFUNCTION("""COMPUTED_VALUE"""),"COLA")</f>
        <v>COLA</v>
      </c>
      <c r="D6104" s="122" t="str">
        <f>IFERROR(__xludf.DUMMYFUNCTION("""COMPUTED_VALUE"""),"K-Pop Cola")</f>
        <v>K-Pop Cola</v>
      </c>
      <c r="E6104" s="122">
        <f>IFERROR(__xludf.DUMMYFUNCTION("""COMPUTED_VALUE"""),114.09)</f>
        <v>114.09</v>
      </c>
      <c r="F6104" s="122">
        <f>IFERROR(__xludf.DUMMYFUNCTION("""COMPUTED_VALUE"""),-0.0038)</f>
        <v>-0.0038</v>
      </c>
    </row>
    <row r="6105">
      <c r="A6105" s="131">
        <f>IFERROR(__xludf.DUMMYFUNCTION("""COMPUTED_VALUE"""),46187.54662037037)</f>
        <v>46187.54662</v>
      </c>
      <c r="B6105" s="126">
        <f>IFERROR(__xludf.DUMMYFUNCTION("""COMPUTED_VALUE"""),46187.0)</f>
        <v>46187</v>
      </c>
      <c r="C6105" s="122" t="str">
        <f>IFERROR(__xludf.DUMMYFUNCTION("""COMPUTED_VALUE"""),"CHIP")</f>
        <v>CHIP</v>
      </c>
      <c r="D6105" s="122" t="str">
        <f>IFERROR(__xludf.DUMMYFUNCTION("""COMPUTED_VALUE"""),"Chip Empire")</f>
        <v>Chip Empire</v>
      </c>
      <c r="E6105" s="122">
        <f>IFERROR(__xludf.DUMMYFUNCTION("""COMPUTED_VALUE"""),85.41)</f>
        <v>85.41</v>
      </c>
      <c r="F6105" s="122">
        <f>IFERROR(__xludf.DUMMYFUNCTION("""COMPUTED_VALUE"""),0.0085)</f>
        <v>0.0085</v>
      </c>
    </row>
    <row r="6106">
      <c r="A6106" s="131">
        <f>IFERROR(__xludf.DUMMYFUNCTION("""COMPUTED_VALUE"""),46187.54662037037)</f>
        <v>46187.54662</v>
      </c>
      <c r="B6106" s="126">
        <f>IFERROR(__xludf.DUMMYFUNCTION("""COMPUTED_VALUE"""),46187.0)</f>
        <v>46187</v>
      </c>
      <c r="C6106" s="122" t="str">
        <f>IFERROR(__xludf.DUMMYFUNCTION("""COMPUTED_VALUE"""),"CAND")</f>
        <v>CAND</v>
      </c>
      <c r="D6106" s="122" t="str">
        <f>IFERROR(__xludf.DUMMYFUNCTION("""COMPUTED_VALUE"""),"Candy Capital")</f>
        <v>Candy Capital</v>
      </c>
      <c r="E6106" s="122">
        <f>IFERROR(__xludf.DUMMYFUNCTION("""COMPUTED_VALUE"""),77.04)</f>
        <v>77.04</v>
      </c>
      <c r="F6106" s="122">
        <f>IFERROR(__xludf.DUMMYFUNCTION("""COMPUTED_VALUE"""),-0.0057)</f>
        <v>-0.0057</v>
      </c>
    </row>
    <row r="6107">
      <c r="A6107" s="131">
        <f>IFERROR(__xludf.DUMMYFUNCTION("""COMPUTED_VALUE"""),46187.54662037037)</f>
        <v>46187.54662</v>
      </c>
      <c r="B6107" s="126">
        <f>IFERROR(__xludf.DUMMYFUNCTION("""COMPUTED_VALUE"""),46187.0)</f>
        <v>46187</v>
      </c>
      <c r="C6107" s="122" t="str">
        <f>IFERROR(__xludf.DUMMYFUNCTION("""COMPUTED_VALUE"""),"TECH")</f>
        <v>TECH</v>
      </c>
      <c r="D6107" s="122" t="str">
        <f>IFERROR(__xludf.DUMMYFUNCTION("""COMPUTED_VALUE"""),"Dragon Tech")</f>
        <v>Dragon Tech</v>
      </c>
      <c r="E6107" s="122">
        <f>IFERROR(__xludf.DUMMYFUNCTION("""COMPUTED_VALUE"""),245.26)</f>
        <v>245.26</v>
      </c>
      <c r="F6107" s="122">
        <f>IFERROR(__xludf.DUMMYFUNCTION("""COMPUTED_VALUE"""),0.0049)</f>
        <v>0.0049</v>
      </c>
    </row>
    <row r="6108">
      <c r="A6108" s="131">
        <f>IFERROR(__xludf.DUMMYFUNCTION("""COMPUTED_VALUE"""),46187.54662037037)</f>
        <v>46187.54662</v>
      </c>
      <c r="B6108" s="126">
        <f>IFERROR(__xludf.DUMMYFUNCTION("""COMPUTED_VALUE"""),46187.0)</f>
        <v>46187</v>
      </c>
      <c r="C6108" s="122" t="str">
        <f>IFERROR(__xludf.DUMMYFUNCTION("""COMPUTED_VALUE"""),"AIBO")</f>
        <v>AIBO</v>
      </c>
      <c r="D6108" s="122" t="str">
        <f>IFERROR(__xludf.DUMMYFUNCTION("""COMPUTED_VALUE"""),"Homework AI")</f>
        <v>Homework AI</v>
      </c>
      <c r="E6108" s="122">
        <f>IFERROR(__xludf.DUMMYFUNCTION("""COMPUTED_VALUE"""),181.23)</f>
        <v>181.23</v>
      </c>
      <c r="F6108" s="122">
        <f>IFERROR(__xludf.DUMMYFUNCTION("""COMPUTED_VALUE"""),0.0072)</f>
        <v>0.0072</v>
      </c>
    </row>
    <row r="6109">
      <c r="A6109" s="131">
        <f>IFERROR(__xludf.DUMMYFUNCTION("""COMPUTED_VALUE"""),46187.54662037037)</f>
        <v>46187.54662</v>
      </c>
      <c r="B6109" s="126">
        <f>IFERROR(__xludf.DUMMYFUNCTION("""COMPUTED_VALUE"""),46187.0)</f>
        <v>46187</v>
      </c>
      <c r="C6109" s="122" t="str">
        <f>IFERROR(__xludf.DUMMYFUNCTION("""COMPUTED_VALUE"""),"GAME")</f>
        <v>GAME</v>
      </c>
      <c r="D6109" s="122" t="str">
        <f>IFERROR(__xludf.DUMMYFUNCTION("""COMPUTED_VALUE"""),"GameBox Media")</f>
        <v>GameBox Media</v>
      </c>
      <c r="E6109" s="122">
        <f>IFERROR(__xludf.DUMMYFUNCTION("""COMPUTED_VALUE"""),100.36)</f>
        <v>100.36</v>
      </c>
      <c r="F6109" s="122">
        <f>IFERROR(__xludf.DUMMYFUNCTION("""COMPUTED_VALUE"""),0.0113)</f>
        <v>0.0113</v>
      </c>
    </row>
    <row r="6110">
      <c r="A6110" s="131">
        <f>IFERROR(__xludf.DUMMYFUNCTION("""COMPUTED_VALUE"""),46187.54662037037)</f>
        <v>46187.54662</v>
      </c>
      <c r="B6110" s="126">
        <f>IFERROR(__xludf.DUMMYFUNCTION("""COMPUTED_VALUE"""),46187.0)</f>
        <v>46187</v>
      </c>
      <c r="C6110" s="122" t="str">
        <f>IFERROR(__xludf.DUMMYFUNCTION("""COMPUTED_VALUE"""),"VRSE")</f>
        <v>VRSE</v>
      </c>
      <c r="D6110" s="122" t="str">
        <f>IFERROR(__xludf.DUMMYFUNCTION("""COMPUTED_VALUE"""),"VerseVR")</f>
        <v>VerseVR</v>
      </c>
      <c r="E6110" s="122">
        <f>IFERROR(__xludf.DUMMYFUNCTION("""COMPUTED_VALUE"""),149.55)</f>
        <v>149.55</v>
      </c>
      <c r="F6110" s="122">
        <f>IFERROR(__xludf.DUMMYFUNCTION("""COMPUTED_VALUE"""),-0.0104)</f>
        <v>-0.0104</v>
      </c>
    </row>
    <row r="6111">
      <c r="A6111" s="131">
        <f>IFERROR(__xludf.DUMMYFUNCTION("""COMPUTED_VALUE"""),46187.54662037037)</f>
        <v>46187.54662</v>
      </c>
      <c r="B6111" s="126">
        <f>IFERROR(__xludf.DUMMYFUNCTION("""COMPUTED_VALUE"""),46187.0)</f>
        <v>46187</v>
      </c>
      <c r="C6111" s="122" t="str">
        <f>IFERROR(__xludf.DUMMYFUNCTION("""COMPUTED_VALUE"""),"BYTE")</f>
        <v>BYTE</v>
      </c>
      <c r="D6111" s="122" t="str">
        <f>IFERROR(__xludf.DUMMYFUNCTION("""COMPUTED_VALUE"""),"ByteWorks")</f>
        <v>ByteWorks</v>
      </c>
      <c r="E6111" s="122">
        <f>IFERROR(__xludf.DUMMYFUNCTION("""COMPUTED_VALUE"""),114.18)</f>
        <v>114.18</v>
      </c>
      <c r="F6111" s="122">
        <f>IFERROR(__xludf.DUMMYFUNCTION("""COMPUTED_VALUE"""),0.0094)</f>
        <v>0.0094</v>
      </c>
    </row>
    <row r="6112">
      <c r="A6112" s="131">
        <f>IFERROR(__xludf.DUMMYFUNCTION("""COMPUTED_VALUE"""),46187.54662037037)</f>
        <v>46187.54662</v>
      </c>
      <c r="B6112" s="126">
        <f>IFERROR(__xludf.DUMMYFUNCTION("""COMPUTED_VALUE"""),46187.0)</f>
        <v>46187</v>
      </c>
      <c r="C6112" s="122" t="str">
        <f>IFERROR(__xludf.DUMMYFUNCTION("""COMPUTED_VALUE"""),"BANK")</f>
        <v>BANK</v>
      </c>
      <c r="D6112" s="122" t="str">
        <f>IFERROR(__xludf.DUMMYFUNCTION("""COMPUTED_VALUE"""),"Tiger Bank")</f>
        <v>Tiger Bank</v>
      </c>
      <c r="E6112" s="122">
        <f>IFERROR(__xludf.DUMMYFUNCTION("""COMPUTED_VALUE"""),129.85)</f>
        <v>129.85</v>
      </c>
      <c r="F6112" s="122">
        <f>IFERROR(__xludf.DUMMYFUNCTION("""COMPUTED_VALUE"""),0.0017)</f>
        <v>0.0017</v>
      </c>
    </row>
    <row r="6113">
      <c r="A6113" s="131">
        <f>IFERROR(__xludf.DUMMYFUNCTION("""COMPUTED_VALUE"""),46187.54662037037)</f>
        <v>46187.54662</v>
      </c>
      <c r="B6113" s="126">
        <f>IFERROR(__xludf.DUMMYFUNCTION("""COMPUTED_VALUE"""),46187.0)</f>
        <v>46187</v>
      </c>
      <c r="C6113" s="122" t="str">
        <f>IFERROR(__xludf.DUMMYFUNCTION("""COMPUTED_VALUE"""),"CRED")</f>
        <v>CRED</v>
      </c>
      <c r="D6113" s="122" t="str">
        <f>IFERROR(__xludf.DUMMYFUNCTION("""COMPUTED_VALUE"""),"Credit Castle")</f>
        <v>Credit Castle</v>
      </c>
      <c r="E6113" s="122">
        <f>IFERROR(__xludf.DUMMYFUNCTION("""COMPUTED_VALUE"""),66.74)</f>
        <v>66.74</v>
      </c>
      <c r="F6113" s="122">
        <f>IFERROR(__xludf.DUMMYFUNCTION("""COMPUTED_VALUE"""),0.0017)</f>
        <v>0.0017</v>
      </c>
    </row>
    <row r="6114">
      <c r="A6114" s="131">
        <f>IFERROR(__xludf.DUMMYFUNCTION("""COMPUTED_VALUE"""),46187.54662037037)</f>
        <v>46187.54662</v>
      </c>
      <c r="B6114" s="126">
        <f>IFERROR(__xludf.DUMMYFUNCTION("""COMPUTED_VALUE"""),46187.0)</f>
        <v>46187</v>
      </c>
      <c r="C6114" s="122" t="str">
        <f>IFERROR(__xludf.DUMMYFUNCTION("""COMPUTED_VALUE"""),"BOND")</f>
        <v>BOND</v>
      </c>
      <c r="D6114" s="122" t="str">
        <f>IFERROR(__xludf.DUMMYFUNCTION("""COMPUTED_VALUE"""),"BondBridge")</f>
        <v>BondBridge</v>
      </c>
      <c r="E6114" s="122">
        <f>IFERROR(__xludf.DUMMYFUNCTION("""COMPUTED_VALUE"""),101.75)</f>
        <v>101.75</v>
      </c>
      <c r="F6114" s="122">
        <f>IFERROR(__xludf.DUMMYFUNCTION("""COMPUTED_VALUE"""),0.0032)</f>
        <v>0.0032</v>
      </c>
    </row>
    <row r="6115">
      <c r="A6115" s="131">
        <f>IFERROR(__xludf.DUMMYFUNCTION("""COMPUTED_VALUE"""),46187.54662037037)</f>
        <v>46187.54662</v>
      </c>
      <c r="B6115" s="126">
        <f>IFERROR(__xludf.DUMMYFUNCTION("""COMPUTED_VALUE"""),46187.0)</f>
        <v>46187</v>
      </c>
      <c r="C6115" s="122" t="str">
        <f>IFERROR(__xludf.DUMMYFUNCTION("""COMPUTED_VALUE"""),"INSR")</f>
        <v>INSR</v>
      </c>
      <c r="D6115" s="122" t="str">
        <f>IFERROR(__xludf.DUMMYFUNCTION("""COMPUTED_VALUE"""),"Shield Insurance")</f>
        <v>Shield Insurance</v>
      </c>
      <c r="E6115" s="122">
        <f>IFERROR(__xludf.DUMMYFUNCTION("""COMPUTED_VALUE"""),158.85)</f>
        <v>158.85</v>
      </c>
      <c r="F6115" s="122">
        <f>IFERROR(__xludf.DUMMYFUNCTION("""COMPUTED_VALUE"""),-0.0038)</f>
        <v>-0.0038</v>
      </c>
    </row>
    <row r="6116">
      <c r="A6116" s="131">
        <f>IFERROR(__xludf.DUMMYFUNCTION("""COMPUTED_VALUE"""),46187.54662037037)</f>
        <v>46187.54662</v>
      </c>
      <c r="B6116" s="126">
        <f>IFERROR(__xludf.DUMMYFUNCTION("""COMPUTED_VALUE"""),46187.0)</f>
        <v>46187</v>
      </c>
      <c r="C6116" s="122" t="str">
        <f>IFERROR(__xludf.DUMMYFUNCTION("""COMPUTED_VALUE"""),"LOAN")</f>
        <v>LOAN</v>
      </c>
      <c r="D6116" s="122" t="str">
        <f>IFERROR(__xludf.DUMMYFUNCTION("""COMPUTED_VALUE"""),"LoanLab")</f>
        <v>LoanLab</v>
      </c>
      <c r="E6116" s="122">
        <f>IFERROR(__xludf.DUMMYFUNCTION("""COMPUTED_VALUE"""),66.22)</f>
        <v>66.22</v>
      </c>
      <c r="F6116" s="122">
        <f>IFERROR(__xludf.DUMMYFUNCTION("""COMPUTED_VALUE"""),-0.0032)</f>
        <v>-0.0032</v>
      </c>
    </row>
    <row r="6117">
      <c r="A6117" s="131">
        <f>IFERROR(__xludf.DUMMYFUNCTION("""COMPUTED_VALUE"""),46187.54662037037)</f>
        <v>46187.54662</v>
      </c>
      <c r="B6117" s="126">
        <f>IFERROR(__xludf.DUMMYFUNCTION("""COMPUTED_VALUE"""),46187.0)</f>
        <v>46187</v>
      </c>
      <c r="C6117" s="122" t="str">
        <f>IFERROR(__xludf.DUMMYFUNCTION("""COMPUTED_VALUE"""),"LUXE")</f>
        <v>LUXE</v>
      </c>
      <c r="D6117" s="122" t="str">
        <f>IFERROR(__xludf.DUMMYFUNCTION("""COMPUTED_VALUE"""),"Luxury Locker")</f>
        <v>Luxury Locker</v>
      </c>
      <c r="E6117" s="122">
        <f>IFERROR(__xludf.DUMMYFUNCTION("""COMPUTED_VALUE"""),268.63)</f>
        <v>268.63</v>
      </c>
      <c r="F6117" s="122">
        <f>IFERROR(__xludf.DUMMYFUNCTION("""COMPUTED_VALUE"""),0.0016)</f>
        <v>0.0016</v>
      </c>
    </row>
    <row r="6118">
      <c r="A6118" s="131">
        <f>IFERROR(__xludf.DUMMYFUNCTION("""COMPUTED_VALUE"""),46187.54662037037)</f>
        <v>46187.54662</v>
      </c>
      <c r="B6118" s="126">
        <f>IFERROR(__xludf.DUMMYFUNCTION("""COMPUTED_VALUE"""),46187.0)</f>
        <v>46187</v>
      </c>
      <c r="C6118" s="122" t="str">
        <f>IFERROR(__xludf.DUMMYFUNCTION("""COMPUTED_VALUE"""),"DRIP")</f>
        <v>DRIP</v>
      </c>
      <c r="D6118" s="122" t="str">
        <f>IFERROR(__xludf.DUMMYFUNCTION("""COMPUTED_VALUE"""),"Drip Streetwear")</f>
        <v>Drip Streetwear</v>
      </c>
      <c r="E6118" s="122">
        <f>IFERROR(__xludf.DUMMYFUNCTION("""COMPUTED_VALUE"""),194.12)</f>
        <v>194.12</v>
      </c>
      <c r="F6118" s="122">
        <f>IFERROR(__xludf.DUMMYFUNCTION("""COMPUTED_VALUE"""),-0.0051)</f>
        <v>-0.0051</v>
      </c>
    </row>
    <row r="6119">
      <c r="A6119" s="131">
        <f>IFERROR(__xludf.DUMMYFUNCTION("""COMPUTED_VALUE"""),46187.54662037037)</f>
        <v>46187.54662</v>
      </c>
      <c r="B6119" s="126">
        <f>IFERROR(__xludf.DUMMYFUNCTION("""COMPUTED_VALUE"""),46187.0)</f>
        <v>46187</v>
      </c>
      <c r="C6119" s="122" t="str">
        <f>IFERROR(__xludf.DUMMYFUNCTION("""COMPUTED_VALUE"""),"KICK")</f>
        <v>KICK</v>
      </c>
      <c r="D6119" s="122" t="str">
        <f>IFERROR(__xludf.DUMMYFUNCTION("""COMPUTED_VALUE"""),"KickDrop Sneakers")</f>
        <v>KickDrop Sneakers</v>
      </c>
      <c r="E6119" s="122">
        <f>IFERROR(__xludf.DUMMYFUNCTION("""COMPUTED_VALUE"""),167.14)</f>
        <v>167.14</v>
      </c>
      <c r="F6119" s="122">
        <f>IFERROR(__xludf.DUMMYFUNCTION("""COMPUTED_VALUE"""),-0.0068)</f>
        <v>-0.0068</v>
      </c>
    </row>
    <row r="6120">
      <c r="A6120" s="131">
        <f>IFERROR(__xludf.DUMMYFUNCTION("""COMPUTED_VALUE"""),46187.54662037037)</f>
        <v>46187.54662</v>
      </c>
      <c r="B6120" s="126">
        <f>IFERROR(__xludf.DUMMYFUNCTION("""COMPUTED_VALUE"""),46187.0)</f>
        <v>46187</v>
      </c>
      <c r="C6120" s="122" t="str">
        <f>IFERROR(__xludf.DUMMYFUNCTION("""COMPUTED_VALUE"""),"GLAM")</f>
        <v>GLAM</v>
      </c>
      <c r="D6120" s="122" t="str">
        <f>IFERROR(__xludf.DUMMYFUNCTION("""COMPUTED_VALUE"""),"Glow Cosmetics")</f>
        <v>Glow Cosmetics</v>
      </c>
      <c r="E6120" s="122">
        <f>IFERROR(__xludf.DUMMYFUNCTION("""COMPUTED_VALUE"""),107.85)</f>
        <v>107.85</v>
      </c>
      <c r="F6120" s="122">
        <f>IFERROR(__xludf.DUMMYFUNCTION("""COMPUTED_VALUE"""),0.0015)</f>
        <v>0.0015</v>
      </c>
    </row>
    <row r="6121">
      <c r="A6121" s="131">
        <f>IFERROR(__xludf.DUMMYFUNCTION("""COMPUTED_VALUE"""),46187.54662037037)</f>
        <v>46187.54662</v>
      </c>
      <c r="B6121" s="126">
        <f>IFERROR(__xludf.DUMMYFUNCTION("""COMPUTED_VALUE"""),46187.0)</f>
        <v>46187</v>
      </c>
      <c r="C6121" s="122" t="str">
        <f>IFERROR(__xludf.DUMMYFUNCTION("""COMPUTED_VALUE"""),"BAGG")</f>
        <v>BAGG</v>
      </c>
      <c r="D6121" s="122" t="str">
        <f>IFERROR(__xludf.DUMMYFUNCTION("""COMPUTED_VALUE"""),"BagVault")</f>
        <v>BagVault</v>
      </c>
      <c r="E6121" s="122">
        <f>IFERROR(__xludf.DUMMYFUNCTION("""COMPUTED_VALUE"""),258.82)</f>
        <v>258.82</v>
      </c>
      <c r="F6121" s="122">
        <f>IFERROR(__xludf.DUMMYFUNCTION("""COMPUTED_VALUE"""),0.0035)</f>
        <v>0.0035</v>
      </c>
    </row>
    <row r="6122">
      <c r="A6122" s="131">
        <f>IFERROR(__xludf.DUMMYFUNCTION("""COMPUTED_VALUE"""),46187.54662037037)</f>
        <v>46187.54662</v>
      </c>
      <c r="B6122" s="126">
        <f>IFERROR(__xludf.DUMMYFUNCTION("""COMPUTED_VALUE"""),46187.0)</f>
        <v>46187</v>
      </c>
      <c r="C6122" s="122" t="str">
        <f>IFERROR(__xludf.DUMMYFUNCTION("""COMPUTED_VALUE"""),"FAST")</f>
        <v>FAST</v>
      </c>
      <c r="D6122" s="122" t="str">
        <f>IFERROR(__xludf.DUMMYFUNCTION("""COMPUTED_VALUE"""),"Flash Logistics")</f>
        <v>Flash Logistics</v>
      </c>
      <c r="E6122" s="122">
        <f>IFERROR(__xludf.DUMMYFUNCTION("""COMPUTED_VALUE"""),105.33)</f>
        <v>105.33</v>
      </c>
      <c r="F6122" s="122">
        <f>IFERROR(__xludf.DUMMYFUNCTION("""COMPUTED_VALUE"""),0.003)</f>
        <v>0.003</v>
      </c>
    </row>
    <row r="6123">
      <c r="A6123" s="131">
        <f>IFERROR(__xludf.DUMMYFUNCTION("""COMPUTED_VALUE"""),46187.54662037037)</f>
        <v>46187.54662</v>
      </c>
      <c r="B6123" s="126">
        <f>IFERROR(__xludf.DUMMYFUNCTION("""COMPUTED_VALUE"""),46187.0)</f>
        <v>46187</v>
      </c>
      <c r="C6123" s="122" t="str">
        <f>IFERROR(__xludf.DUMMYFUNCTION("""COMPUTED_VALUE"""),"SHIP")</f>
        <v>SHIP</v>
      </c>
      <c r="D6123" s="122" t="str">
        <f>IFERROR(__xludf.DUMMYFUNCTION("""COMPUTED_VALUE"""),"Seoul Shipping")</f>
        <v>Seoul Shipping</v>
      </c>
      <c r="E6123" s="122">
        <f>IFERROR(__xludf.DUMMYFUNCTION("""COMPUTED_VALUE"""),128.52)</f>
        <v>128.52</v>
      </c>
      <c r="F6123" s="122">
        <f>IFERROR(__xludf.DUMMYFUNCTION("""COMPUTED_VALUE"""),0.003)</f>
        <v>0.003</v>
      </c>
    </row>
    <row r="6124">
      <c r="A6124" s="131">
        <f>IFERROR(__xludf.DUMMYFUNCTION("""COMPUTED_VALUE"""),46187.54662037037)</f>
        <v>46187.54662</v>
      </c>
      <c r="B6124" s="126">
        <f>IFERROR(__xludf.DUMMYFUNCTION("""COMPUTED_VALUE"""),46187.0)</f>
        <v>46187</v>
      </c>
      <c r="C6124" s="122" t="str">
        <f>IFERROR(__xludf.DUMMYFUNCTION("""COMPUTED_VALUE"""),"DRON")</f>
        <v>DRON</v>
      </c>
      <c r="D6124" s="122" t="str">
        <f>IFERROR(__xludf.DUMMYFUNCTION("""COMPUTED_VALUE"""),"DroneDrop")</f>
        <v>DroneDrop</v>
      </c>
      <c r="E6124" s="122">
        <f>IFERROR(__xludf.DUMMYFUNCTION("""COMPUTED_VALUE"""),127.92)</f>
        <v>127.92</v>
      </c>
      <c r="F6124" s="122">
        <f>IFERROR(__xludf.DUMMYFUNCTION("""COMPUTED_VALUE"""),7.0E-4)</f>
        <v>0.0007</v>
      </c>
    </row>
    <row r="6125">
      <c r="A6125" s="131">
        <f>IFERROR(__xludf.DUMMYFUNCTION("""COMPUTED_VALUE"""),46187.54662037037)</f>
        <v>46187.54662</v>
      </c>
      <c r="B6125" s="126">
        <f>IFERROR(__xludf.DUMMYFUNCTION("""COMPUTED_VALUE"""),46187.0)</f>
        <v>46187</v>
      </c>
      <c r="C6125" s="122" t="str">
        <f>IFERROR(__xludf.DUMMYFUNCTION("""COMPUTED_VALUE"""),"RIDE")</f>
        <v>RIDE</v>
      </c>
      <c r="D6125" s="122" t="str">
        <f>IFERROR(__xludf.DUMMYFUNCTION("""COMPUTED_VALUE"""),"QuickRide")</f>
        <v>QuickRide</v>
      </c>
      <c r="E6125" s="122">
        <f>IFERROR(__xludf.DUMMYFUNCTION("""COMPUTED_VALUE"""),100.63)</f>
        <v>100.63</v>
      </c>
      <c r="F6125" s="122">
        <f>IFERROR(__xludf.DUMMYFUNCTION("""COMPUTED_VALUE"""),0.0041)</f>
        <v>0.0041</v>
      </c>
    </row>
    <row r="6126">
      <c r="A6126" s="131">
        <f>IFERROR(__xludf.DUMMYFUNCTION("""COMPUTED_VALUE"""),46187.54662037037)</f>
        <v>46187.54662</v>
      </c>
      <c r="B6126" s="126">
        <f>IFERROR(__xludf.DUMMYFUNCTION("""COMPUTED_VALUE"""),46187.0)</f>
        <v>46187</v>
      </c>
      <c r="C6126" s="122" t="str">
        <f>IFERROR(__xludf.DUMMYFUNCTION("""COMPUTED_VALUE"""),"RAIL")</f>
        <v>RAIL</v>
      </c>
      <c r="D6126" s="122" t="str">
        <f>IFERROR(__xludf.DUMMYFUNCTION("""COMPUTED_VALUE"""),"MetroRail Corp")</f>
        <v>MetroRail Corp</v>
      </c>
      <c r="E6126" s="122">
        <f>IFERROR(__xludf.DUMMYFUNCTION("""COMPUTED_VALUE"""),131.99)</f>
        <v>131.99</v>
      </c>
      <c r="F6126" s="122">
        <f>IFERROR(__xludf.DUMMYFUNCTION("""COMPUTED_VALUE"""),2.0E-4)</f>
        <v>0.0002</v>
      </c>
    </row>
    <row r="6127">
      <c r="A6127" s="131">
        <f>IFERROR(__xludf.DUMMYFUNCTION("""COMPUTED_VALUE"""),46187.54662037037)</f>
        <v>46187.54662</v>
      </c>
      <c r="B6127" s="126">
        <f>IFERROR(__xludf.DUMMYFUNCTION("""COMPUTED_VALUE"""),46187.0)</f>
        <v>46187</v>
      </c>
      <c r="C6127" s="122" t="str">
        <f>IFERROR(__xludf.DUMMYFUNCTION("""COMPUTED_VALUE"""),"MEDX")</f>
        <v>MEDX</v>
      </c>
      <c r="D6127" s="122" t="str">
        <f>IFERROR(__xludf.DUMMYFUNCTION("""COMPUTED_VALUE"""),"MediCore")</f>
        <v>MediCore</v>
      </c>
      <c r="E6127" s="122">
        <f>IFERROR(__xludf.DUMMYFUNCTION("""COMPUTED_VALUE"""),137.74)</f>
        <v>137.74</v>
      </c>
      <c r="F6127" s="122">
        <f>IFERROR(__xludf.DUMMYFUNCTION("""COMPUTED_VALUE"""),0.0032)</f>
        <v>0.0032</v>
      </c>
    </row>
    <row r="6128">
      <c r="A6128" s="131">
        <f>IFERROR(__xludf.DUMMYFUNCTION("""COMPUTED_VALUE"""),46187.54662037037)</f>
        <v>46187.54662</v>
      </c>
      <c r="B6128" s="126">
        <f>IFERROR(__xludf.DUMMYFUNCTION("""COMPUTED_VALUE"""),46187.0)</f>
        <v>46187</v>
      </c>
      <c r="C6128" s="122" t="str">
        <f>IFERROR(__xludf.DUMMYFUNCTION("""COMPUTED_VALUE"""),"GYMX")</f>
        <v>GYMX</v>
      </c>
      <c r="D6128" s="122" t="str">
        <f>IFERROR(__xludf.DUMMYFUNCTION("""COMPUTED_VALUE"""),"GymX Fitness")</f>
        <v>GymX Fitness</v>
      </c>
      <c r="E6128" s="122">
        <f>IFERROR(__xludf.DUMMYFUNCTION("""COMPUTED_VALUE"""),86.09)</f>
        <v>86.09</v>
      </c>
      <c r="F6128" s="122">
        <f>IFERROR(__xludf.DUMMYFUNCTION("""COMPUTED_VALUE"""),8.0E-4)</f>
        <v>0.0008</v>
      </c>
    </row>
    <row r="6129">
      <c r="A6129" s="131">
        <f>IFERROR(__xludf.DUMMYFUNCTION("""COMPUTED_VALUE"""),46187.54662037037)</f>
        <v>46187.54662</v>
      </c>
      <c r="B6129" s="126">
        <f>IFERROR(__xludf.DUMMYFUNCTION("""COMPUTED_VALUE"""),46187.0)</f>
        <v>46187</v>
      </c>
      <c r="C6129" s="122" t="str">
        <f>IFERROR(__xludf.DUMMYFUNCTION("""COMPUTED_VALUE"""),"VITA")</f>
        <v>VITA</v>
      </c>
      <c r="D6129" s="122" t="str">
        <f>IFERROR(__xludf.DUMMYFUNCTION("""COMPUTED_VALUE"""),"VitaPlus")</f>
        <v>VitaPlus</v>
      </c>
      <c r="E6129" s="122">
        <f>IFERROR(__xludf.DUMMYFUNCTION("""COMPUTED_VALUE"""),71.69)</f>
        <v>71.69</v>
      </c>
      <c r="F6129" s="122">
        <f>IFERROR(__xludf.DUMMYFUNCTION("""COMPUTED_VALUE"""),0.0014)</f>
        <v>0.0014</v>
      </c>
    </row>
    <row r="6130">
      <c r="A6130" s="131">
        <f>IFERROR(__xludf.DUMMYFUNCTION("""COMPUTED_VALUE"""),46187.54662037037)</f>
        <v>46187.54662</v>
      </c>
      <c r="B6130" s="126">
        <f>IFERROR(__xludf.DUMMYFUNCTION("""COMPUTED_VALUE"""),46187.0)</f>
        <v>46187</v>
      </c>
      <c r="C6130" s="122" t="str">
        <f>IFERROR(__xludf.DUMMYFUNCTION("""COMPUTED_VALUE"""),"CARE")</f>
        <v>CARE</v>
      </c>
      <c r="D6130" s="122" t="str">
        <f>IFERROR(__xludf.DUMMYFUNCTION("""COMPUTED_VALUE"""),"CareCloud")</f>
        <v>CareCloud</v>
      </c>
      <c r="E6130" s="122">
        <f>IFERROR(__xludf.DUMMYFUNCTION("""COMPUTED_VALUE"""),179.12)</f>
        <v>179.12</v>
      </c>
      <c r="F6130" s="122">
        <f>IFERROR(__xludf.DUMMYFUNCTION("""COMPUTED_VALUE"""),-0.0012)</f>
        <v>-0.0012</v>
      </c>
    </row>
    <row r="6131">
      <c r="A6131" s="131">
        <f>IFERROR(__xludf.DUMMYFUNCTION("""COMPUTED_VALUE"""),46187.54662037037)</f>
        <v>46187.54662</v>
      </c>
      <c r="B6131" s="126">
        <f>IFERROR(__xludf.DUMMYFUNCTION("""COMPUTED_VALUE"""),46187.0)</f>
        <v>46187</v>
      </c>
      <c r="C6131" s="122" t="str">
        <f>IFERROR(__xludf.DUMMYFUNCTION("""COMPUTED_VALUE"""),"DENT")</f>
        <v>DENT</v>
      </c>
      <c r="D6131" s="122" t="str">
        <f>IFERROR(__xludf.DUMMYFUNCTION("""COMPUTED_VALUE"""),"SmileWorks")</f>
        <v>SmileWorks</v>
      </c>
      <c r="E6131" s="122">
        <f>IFERROR(__xludf.DUMMYFUNCTION("""COMPUTED_VALUE"""),92.17)</f>
        <v>92.17</v>
      </c>
      <c r="F6131" s="122">
        <f>IFERROR(__xludf.DUMMYFUNCTION("""COMPUTED_VALUE"""),0.0055)</f>
        <v>0.0055</v>
      </c>
    </row>
    <row r="6132">
      <c r="A6132" s="131">
        <f>IFERROR(__xludf.DUMMYFUNCTION("""COMPUTED_VALUE"""),46187.54662037037)</f>
        <v>46187.54662</v>
      </c>
      <c r="B6132" s="126">
        <f>IFERROR(__xludf.DUMMYFUNCTION("""COMPUTED_VALUE"""),46187.0)</f>
        <v>46187</v>
      </c>
      <c r="C6132" s="122" t="str">
        <f>IFERROR(__xludf.DUMMYFUNCTION("""COMPUTED_VALUE"""),"EDUX")</f>
        <v>EDUX</v>
      </c>
      <c r="D6132" s="122" t="str">
        <f>IFERROR(__xludf.DUMMYFUNCTION("""COMPUTED_VALUE"""),"EduMax Learning")</f>
        <v>EduMax Learning</v>
      </c>
      <c r="E6132" s="122">
        <f>IFERROR(__xludf.DUMMYFUNCTION("""COMPUTED_VALUE"""),144.73)</f>
        <v>144.73</v>
      </c>
      <c r="F6132" s="122">
        <f>IFERROR(__xludf.DUMMYFUNCTION("""COMPUTED_VALUE"""),0.0015)</f>
        <v>0.0015</v>
      </c>
    </row>
    <row r="6133">
      <c r="A6133" s="131">
        <f>IFERROR(__xludf.DUMMYFUNCTION("""COMPUTED_VALUE"""),46187.54662037037)</f>
        <v>46187.54662</v>
      </c>
      <c r="B6133" s="126">
        <f>IFERROR(__xludf.DUMMYFUNCTION("""COMPUTED_VALUE"""),46187.0)</f>
        <v>46187</v>
      </c>
      <c r="C6133" s="122" t="str">
        <f>IFERROR(__xludf.DUMMYFUNCTION("""COMPUTED_VALUE"""),"BOOK")</f>
        <v>BOOK</v>
      </c>
      <c r="D6133" s="122" t="str">
        <f>IFERROR(__xludf.DUMMYFUNCTION("""COMPUTED_VALUE"""),"BookBridge")</f>
        <v>BookBridge</v>
      </c>
      <c r="E6133" s="122">
        <f>IFERROR(__xludf.DUMMYFUNCTION("""COMPUTED_VALUE"""),118.56)</f>
        <v>118.56</v>
      </c>
      <c r="F6133" s="122">
        <f>IFERROR(__xludf.DUMMYFUNCTION("""COMPUTED_VALUE"""),0.0011)</f>
        <v>0.0011</v>
      </c>
    </row>
    <row r="6134">
      <c r="A6134" s="131">
        <f>IFERROR(__xludf.DUMMYFUNCTION("""COMPUTED_VALUE"""),46187.54662037037)</f>
        <v>46187.54662</v>
      </c>
      <c r="B6134" s="126">
        <f>IFERROR(__xludf.DUMMYFUNCTION("""COMPUTED_VALUE"""),46187.0)</f>
        <v>46187</v>
      </c>
      <c r="C6134" s="122" t="str">
        <f>IFERROR(__xludf.DUMMYFUNCTION("""COMPUTED_VALUE"""),"TUTR")</f>
        <v>TUTR</v>
      </c>
      <c r="D6134" s="122" t="str">
        <f>IFERROR(__xludf.DUMMYFUNCTION("""COMPUTED_VALUE"""),"TutorTown")</f>
        <v>TutorTown</v>
      </c>
      <c r="E6134" s="122">
        <f>IFERROR(__xludf.DUMMYFUNCTION("""COMPUTED_VALUE"""),89.35)</f>
        <v>89.35</v>
      </c>
      <c r="F6134" s="122">
        <f>IFERROR(__xludf.DUMMYFUNCTION("""COMPUTED_VALUE"""),-0.0042)</f>
        <v>-0.0042</v>
      </c>
    </row>
    <row r="6135">
      <c r="A6135" s="131">
        <f>IFERROR(__xludf.DUMMYFUNCTION("""COMPUTED_VALUE"""),46187.54662037037)</f>
        <v>46187.54662</v>
      </c>
      <c r="B6135" s="126">
        <f>IFERROR(__xludf.DUMMYFUNCTION("""COMPUTED_VALUE"""),46187.0)</f>
        <v>46187</v>
      </c>
      <c r="C6135" s="122" t="str">
        <f>IFERROR(__xludf.DUMMYFUNCTION("""COMPUTED_VALUE"""),"LANG")</f>
        <v>LANG</v>
      </c>
      <c r="D6135" s="122" t="str">
        <f>IFERROR(__xludf.DUMMYFUNCTION("""COMPUTED_VALUE"""),"LinguaLab")</f>
        <v>LinguaLab</v>
      </c>
      <c r="E6135" s="122">
        <f>IFERROR(__xludf.DUMMYFUNCTION("""COMPUTED_VALUE"""),101.1)</f>
        <v>101.1</v>
      </c>
      <c r="F6135" s="122">
        <f>IFERROR(__xludf.DUMMYFUNCTION("""COMPUTED_VALUE"""),-1.0E-4)</f>
        <v>-0.0001</v>
      </c>
    </row>
    <row r="6136">
      <c r="A6136" s="131">
        <f>IFERROR(__xludf.DUMMYFUNCTION("""COMPUTED_VALUE"""),46187.54662037037)</f>
        <v>46187.54662</v>
      </c>
      <c r="B6136" s="126">
        <f>IFERROR(__xludf.DUMMYFUNCTION("""COMPUTED_VALUE"""),46187.0)</f>
        <v>46187</v>
      </c>
      <c r="C6136" s="122" t="str">
        <f>IFERROR(__xludf.DUMMYFUNCTION("""COMPUTED_VALUE"""),"TEST")</f>
        <v>TEST</v>
      </c>
      <c r="D6136" s="122" t="str">
        <f>IFERROR(__xludf.DUMMYFUNCTION("""COMPUTED_VALUE"""),"TestPrep Pro")</f>
        <v>TestPrep Pro</v>
      </c>
      <c r="E6136" s="122">
        <f>IFERROR(__xludf.DUMMYFUNCTION("""COMPUTED_VALUE"""),93.48)</f>
        <v>93.48</v>
      </c>
      <c r="F6136" s="122">
        <f>IFERROR(__xludf.DUMMYFUNCTION("""COMPUTED_VALUE"""),0.0065)</f>
        <v>0.0065</v>
      </c>
    </row>
    <row r="6137">
      <c r="A6137" s="131">
        <f>IFERROR(__xludf.DUMMYFUNCTION("""COMPUTED_VALUE"""),46187.54662037037)</f>
        <v>46187.54662</v>
      </c>
      <c r="B6137" s="126">
        <f>IFERROR(__xludf.DUMMYFUNCTION("""COMPUTED_VALUE"""),46187.0)</f>
        <v>46187</v>
      </c>
      <c r="C6137" s="122" t="str">
        <f>IFERROR(__xludf.DUMMYFUNCTION("""COMPUTED_VALUE"""),"MOVI")</f>
        <v>MOVI</v>
      </c>
      <c r="D6137" s="122" t="str">
        <f>IFERROR(__xludf.DUMMYFUNCTION("""COMPUTED_VALUE"""),"MovieBox")</f>
        <v>MovieBox</v>
      </c>
      <c r="E6137" s="122">
        <f>IFERROR(__xludf.DUMMYFUNCTION("""COMPUTED_VALUE"""),82.39)</f>
        <v>82.39</v>
      </c>
      <c r="F6137" s="122">
        <f>IFERROR(__xludf.DUMMYFUNCTION("""COMPUTED_VALUE"""),-0.0054)</f>
        <v>-0.0054</v>
      </c>
    </row>
    <row r="6138">
      <c r="A6138" s="131">
        <f>IFERROR(__xludf.DUMMYFUNCTION("""COMPUTED_VALUE"""),46187.54662037037)</f>
        <v>46187.54662</v>
      </c>
      <c r="B6138" s="126">
        <f>IFERROR(__xludf.DUMMYFUNCTION("""COMPUTED_VALUE"""),46187.0)</f>
        <v>46187</v>
      </c>
      <c r="C6138" s="122" t="str">
        <f>IFERROR(__xludf.DUMMYFUNCTION("""COMPUTED_VALUE"""),"MUSC")</f>
        <v>MUSC</v>
      </c>
      <c r="D6138" s="122" t="str">
        <f>IFERROR(__xludf.DUMMYFUNCTION("""COMPUTED_VALUE"""),"MusicWave")</f>
        <v>MusicWave</v>
      </c>
      <c r="E6138" s="122">
        <f>IFERROR(__xludf.DUMMYFUNCTION("""COMPUTED_VALUE"""),101.33)</f>
        <v>101.33</v>
      </c>
      <c r="F6138" s="122">
        <f>IFERROR(__xludf.DUMMYFUNCTION("""COMPUTED_VALUE"""),-0.0015)</f>
        <v>-0.0015</v>
      </c>
    </row>
    <row r="6139">
      <c r="A6139" s="131">
        <f>IFERROR(__xludf.DUMMYFUNCTION("""COMPUTED_VALUE"""),46187.54662037037)</f>
        <v>46187.54662</v>
      </c>
      <c r="B6139" s="126">
        <f>IFERROR(__xludf.DUMMYFUNCTION("""COMPUTED_VALUE"""),46187.0)</f>
        <v>46187</v>
      </c>
      <c r="C6139" s="122" t="str">
        <f>IFERROR(__xludf.DUMMYFUNCTION("""COMPUTED_VALUE"""),"IDOL")</f>
        <v>IDOL</v>
      </c>
      <c r="D6139" s="122" t="str">
        <f>IFERROR(__xludf.DUMMYFUNCTION("""COMPUTED_VALUE"""),"Idol Agency")</f>
        <v>Idol Agency</v>
      </c>
      <c r="E6139" s="122">
        <f>IFERROR(__xludf.DUMMYFUNCTION("""COMPUTED_VALUE"""),187.04)</f>
        <v>187.04</v>
      </c>
      <c r="F6139" s="122">
        <f>IFERROR(__xludf.DUMMYFUNCTION("""COMPUTED_VALUE"""),-0.0079)</f>
        <v>-0.0079</v>
      </c>
    </row>
    <row r="6140">
      <c r="A6140" s="131">
        <f>IFERROR(__xludf.DUMMYFUNCTION("""COMPUTED_VALUE"""),46187.54662037037)</f>
        <v>46187.54662</v>
      </c>
      <c r="B6140" s="126">
        <f>IFERROR(__xludf.DUMMYFUNCTION("""COMPUTED_VALUE"""),46187.0)</f>
        <v>46187</v>
      </c>
      <c r="C6140" s="122" t="str">
        <f>IFERROR(__xludf.DUMMYFUNCTION("""COMPUTED_VALUE"""),"MEME")</f>
        <v>MEME</v>
      </c>
      <c r="D6140" s="122" t="str">
        <f>IFERROR(__xludf.DUMMYFUNCTION("""COMPUTED_VALUE"""),"Meme Media")</f>
        <v>Meme Media</v>
      </c>
      <c r="E6140" s="122">
        <f>IFERROR(__xludf.DUMMYFUNCTION("""COMPUTED_VALUE"""),72.45)</f>
        <v>72.45</v>
      </c>
      <c r="F6140" s="122">
        <f>IFERROR(__xludf.DUMMYFUNCTION("""COMPUTED_VALUE"""),-0.0131)</f>
        <v>-0.0131</v>
      </c>
    </row>
    <row r="6141">
      <c r="A6141" s="131">
        <f>IFERROR(__xludf.DUMMYFUNCTION("""COMPUTED_VALUE"""),46187.54662037037)</f>
        <v>46187.54662</v>
      </c>
      <c r="B6141" s="126">
        <f>IFERROR(__xludf.DUMMYFUNCTION("""COMPUTED_VALUE"""),46187.0)</f>
        <v>46187</v>
      </c>
      <c r="C6141" s="122" t="str">
        <f>IFERROR(__xludf.DUMMYFUNCTION("""COMPUTED_VALUE"""),"STRM")</f>
        <v>STRM</v>
      </c>
      <c r="D6141" s="122" t="str">
        <f>IFERROR(__xludf.DUMMYFUNCTION("""COMPUTED_VALUE"""),"Streamly")</f>
        <v>Streamly</v>
      </c>
      <c r="E6141" s="122">
        <f>IFERROR(__xludf.DUMMYFUNCTION("""COMPUTED_VALUE"""),137.8)</f>
        <v>137.8</v>
      </c>
      <c r="F6141" s="122">
        <f>IFERROR(__xludf.DUMMYFUNCTION("""COMPUTED_VALUE"""),-0.0071)</f>
        <v>-0.0071</v>
      </c>
    </row>
    <row r="6142">
      <c r="A6142" s="131">
        <f>IFERROR(__xludf.DUMMYFUNCTION("""COMPUTED_VALUE"""),46187.54662037037)</f>
        <v>46187.54662</v>
      </c>
      <c r="B6142" s="126">
        <f>IFERROR(__xludf.DUMMYFUNCTION("""COMPUTED_VALUE"""),46187.0)</f>
        <v>46187</v>
      </c>
      <c r="C6142" s="122" t="str">
        <f>IFERROR(__xludf.DUMMYFUNCTION("""COMPUTED_VALUE"""),"FARM")</f>
        <v>FARM</v>
      </c>
      <c r="D6142" s="122" t="str">
        <f>IFERROR(__xludf.DUMMYFUNCTION("""COMPUTED_VALUE"""),"Future Farms")</f>
        <v>Future Farms</v>
      </c>
      <c r="E6142" s="122">
        <f>IFERROR(__xludf.DUMMYFUNCTION("""COMPUTED_VALUE"""),92.1)</f>
        <v>92.1</v>
      </c>
      <c r="F6142" s="122">
        <f>IFERROR(__xludf.DUMMYFUNCTION("""COMPUTED_VALUE"""),-0.0013)</f>
        <v>-0.0013</v>
      </c>
    </row>
    <row r="6143">
      <c r="A6143" s="131">
        <f>IFERROR(__xludf.DUMMYFUNCTION("""COMPUTED_VALUE"""),46187.54662037037)</f>
        <v>46187.54662</v>
      </c>
      <c r="B6143" s="126">
        <f>IFERROR(__xludf.DUMMYFUNCTION("""COMPUTED_VALUE"""),46187.0)</f>
        <v>46187</v>
      </c>
      <c r="C6143" s="122" t="str">
        <f>IFERROR(__xludf.DUMMYFUNCTION("""COMPUTED_VALUE"""),"MEAT")</f>
        <v>MEAT</v>
      </c>
      <c r="D6143" s="122" t="str">
        <f>IFERROR(__xludf.DUMMYFUNCTION("""COMPUTED_VALUE"""),"MeatWorks")</f>
        <v>MeatWorks</v>
      </c>
      <c r="E6143" s="122">
        <f>IFERROR(__xludf.DUMMYFUNCTION("""COMPUTED_VALUE"""),106.04)</f>
        <v>106.04</v>
      </c>
      <c r="F6143" s="122">
        <f>IFERROR(__xludf.DUMMYFUNCTION("""COMPUTED_VALUE"""),7.0E-4)</f>
        <v>0.0007</v>
      </c>
    </row>
    <row r="6144">
      <c r="A6144" s="131">
        <f>IFERROR(__xludf.DUMMYFUNCTION("""COMPUTED_VALUE"""),46187.54662037037)</f>
        <v>46187.54662</v>
      </c>
      <c r="B6144" s="126">
        <f>IFERROR(__xludf.DUMMYFUNCTION("""COMPUTED_VALUE"""),46187.0)</f>
        <v>46187</v>
      </c>
      <c r="C6144" s="122" t="str">
        <f>IFERROR(__xludf.DUMMYFUNCTION("""COMPUTED_VALUE"""),"VEGI")</f>
        <v>VEGI</v>
      </c>
      <c r="D6144" s="122" t="str">
        <f>IFERROR(__xludf.DUMMYFUNCTION("""COMPUTED_VALUE"""),"Green Basket")</f>
        <v>Green Basket</v>
      </c>
      <c r="E6144" s="122">
        <f>IFERROR(__xludf.DUMMYFUNCTION("""COMPUTED_VALUE"""),78.71)</f>
        <v>78.71</v>
      </c>
      <c r="F6144" s="122">
        <f>IFERROR(__xludf.DUMMYFUNCTION("""COMPUTED_VALUE"""),-0.0027)</f>
        <v>-0.0027</v>
      </c>
    </row>
    <row r="6145">
      <c r="A6145" s="131">
        <f>IFERROR(__xludf.DUMMYFUNCTION("""COMPUTED_VALUE"""),46187.54662037037)</f>
        <v>46187.54662</v>
      </c>
      <c r="B6145" s="126">
        <f>IFERROR(__xludf.DUMMYFUNCTION("""COMPUTED_VALUE"""),46187.0)</f>
        <v>46187</v>
      </c>
      <c r="C6145" s="122" t="str">
        <f>IFERROR(__xludf.DUMMYFUNCTION("""COMPUTED_VALUE"""),"CAFE")</f>
        <v>CAFE</v>
      </c>
      <c r="D6145" s="122" t="str">
        <f>IFERROR(__xludf.DUMMYFUNCTION("""COMPUTED_VALUE"""),"Cafe Cloud")</f>
        <v>Cafe Cloud</v>
      </c>
      <c r="E6145" s="122">
        <f>IFERROR(__xludf.DUMMYFUNCTION("""COMPUTED_VALUE"""),99.91)</f>
        <v>99.91</v>
      </c>
      <c r="F6145" s="122">
        <f>IFERROR(__xludf.DUMMYFUNCTION("""COMPUTED_VALUE"""),-0.0027)</f>
        <v>-0.0027</v>
      </c>
    </row>
    <row r="6146">
      <c r="A6146" s="131">
        <f>IFERROR(__xludf.DUMMYFUNCTION("""COMPUTED_VALUE"""),46187.54662037037)</f>
        <v>46187.54662</v>
      </c>
      <c r="B6146" s="126">
        <f>IFERROR(__xludf.DUMMYFUNCTION("""COMPUTED_VALUE"""),46187.0)</f>
        <v>46187</v>
      </c>
      <c r="C6146" s="122" t="str">
        <f>IFERROR(__xludf.DUMMYFUNCTION("""COMPUTED_VALUE"""),"BAKE")</f>
        <v>BAKE</v>
      </c>
      <c r="D6146" s="122" t="str">
        <f>IFERROR(__xludf.DUMMYFUNCTION("""COMPUTED_VALUE"""),"BakeHouse")</f>
        <v>BakeHouse</v>
      </c>
      <c r="E6146" s="122">
        <f>IFERROR(__xludf.DUMMYFUNCTION("""COMPUTED_VALUE"""),101.85)</f>
        <v>101.85</v>
      </c>
      <c r="F6146" s="122">
        <f>IFERROR(__xludf.DUMMYFUNCTION("""COMPUTED_VALUE"""),-0.0017)</f>
        <v>-0.0017</v>
      </c>
    </row>
    <row r="6147">
      <c r="A6147" s="131">
        <f>IFERROR(__xludf.DUMMYFUNCTION("""COMPUTED_VALUE"""),46187.54662037037)</f>
        <v>46187.54662</v>
      </c>
      <c r="B6147" s="126">
        <f>IFERROR(__xludf.DUMMYFUNCTION("""COMPUTED_VALUE"""),46187.0)</f>
        <v>46187</v>
      </c>
      <c r="C6147" s="122" t="str">
        <f>IFERROR(__xludf.DUMMYFUNCTION("""COMPUTED_VALUE"""),"OILX")</f>
        <v>OILX</v>
      </c>
      <c r="D6147" s="122" t="str">
        <f>IFERROR(__xludf.DUMMYFUNCTION("""COMPUTED_VALUE"""),"OilMax Energy")</f>
        <v>OilMax Energy</v>
      </c>
      <c r="E6147" s="122">
        <f>IFERROR(__xludf.DUMMYFUNCTION("""COMPUTED_VALUE"""),131.48)</f>
        <v>131.48</v>
      </c>
      <c r="F6147" s="122">
        <f>IFERROR(__xludf.DUMMYFUNCTION("""COMPUTED_VALUE"""),0.0069)</f>
        <v>0.0069</v>
      </c>
    </row>
    <row r="6148">
      <c r="A6148" s="131">
        <f>IFERROR(__xludf.DUMMYFUNCTION("""COMPUTED_VALUE"""),46187.54662037037)</f>
        <v>46187.54662</v>
      </c>
      <c r="B6148" s="126">
        <f>IFERROR(__xludf.DUMMYFUNCTION("""COMPUTED_VALUE"""),46187.0)</f>
        <v>46187</v>
      </c>
      <c r="C6148" s="122" t="str">
        <f>IFERROR(__xludf.DUMMYFUNCTION("""COMPUTED_VALUE"""),"SOLR")</f>
        <v>SOLR</v>
      </c>
      <c r="D6148" s="122" t="str">
        <f>IFERROR(__xludf.DUMMYFUNCTION("""COMPUTED_VALUE"""),"SolarSpark")</f>
        <v>SolarSpark</v>
      </c>
      <c r="E6148" s="122">
        <f>IFERROR(__xludf.DUMMYFUNCTION("""COMPUTED_VALUE"""),100.37)</f>
        <v>100.37</v>
      </c>
      <c r="F6148" s="122">
        <f>IFERROR(__xludf.DUMMYFUNCTION("""COMPUTED_VALUE"""),1.0E-4)</f>
        <v>0.0001</v>
      </c>
    </row>
    <row r="6149">
      <c r="A6149" s="131">
        <f>IFERROR(__xludf.DUMMYFUNCTION("""COMPUTED_VALUE"""),46187.54662037037)</f>
        <v>46187.54662</v>
      </c>
      <c r="B6149" s="126">
        <f>IFERROR(__xludf.DUMMYFUNCTION("""COMPUTED_VALUE"""),46187.0)</f>
        <v>46187</v>
      </c>
      <c r="C6149" s="122" t="str">
        <f>IFERROR(__xludf.DUMMYFUNCTION("""COMPUTED_VALUE"""),"BATT")</f>
        <v>BATT</v>
      </c>
      <c r="D6149" s="122" t="str">
        <f>IFERROR(__xludf.DUMMYFUNCTION("""COMPUTED_VALUE"""),"BatteryBox")</f>
        <v>BatteryBox</v>
      </c>
      <c r="E6149" s="122">
        <f>IFERROR(__xludf.DUMMYFUNCTION("""COMPUTED_VALUE"""),117.49)</f>
        <v>117.49</v>
      </c>
      <c r="F6149" s="122">
        <f>IFERROR(__xludf.DUMMYFUNCTION("""COMPUTED_VALUE"""),0.0035)</f>
        <v>0.0035</v>
      </c>
    </row>
    <row r="6150">
      <c r="A6150" s="131">
        <f>IFERROR(__xludf.DUMMYFUNCTION("""COMPUTED_VALUE"""),46187.54662037037)</f>
        <v>46187.54662</v>
      </c>
      <c r="B6150" s="126">
        <f>IFERROR(__xludf.DUMMYFUNCTION("""COMPUTED_VALUE"""),46187.0)</f>
        <v>46187</v>
      </c>
      <c r="C6150" s="122" t="str">
        <f>IFERROR(__xludf.DUMMYFUNCTION("""COMPUTED_VALUE"""),"WIND")</f>
        <v>WIND</v>
      </c>
      <c r="D6150" s="122" t="str">
        <f>IFERROR(__xludf.DUMMYFUNCTION("""COMPUTED_VALUE"""),"WindWorks")</f>
        <v>WindWorks</v>
      </c>
      <c r="E6150" s="122">
        <f>IFERROR(__xludf.DUMMYFUNCTION("""COMPUTED_VALUE"""),88.2)</f>
        <v>88.2</v>
      </c>
      <c r="F6150" s="122">
        <f>IFERROR(__xludf.DUMMYFUNCTION("""COMPUTED_VALUE"""),-0.0012)</f>
        <v>-0.0012</v>
      </c>
    </row>
    <row r="6151">
      <c r="A6151" s="131">
        <f>IFERROR(__xludf.DUMMYFUNCTION("""COMPUTED_VALUE"""),46187.54662037037)</f>
        <v>46187.54662</v>
      </c>
      <c r="B6151" s="126">
        <f>IFERROR(__xludf.DUMMYFUNCTION("""COMPUTED_VALUE"""),46187.0)</f>
        <v>46187</v>
      </c>
      <c r="C6151" s="122" t="str">
        <f>IFERROR(__xludf.DUMMYFUNCTION("""COMPUTED_VALUE"""),"GRID")</f>
        <v>GRID</v>
      </c>
      <c r="D6151" s="122" t="str">
        <f>IFERROR(__xludf.DUMMYFUNCTION("""COMPUTED_VALUE"""),"GridPower")</f>
        <v>GridPower</v>
      </c>
      <c r="E6151" s="122">
        <f>IFERROR(__xludf.DUMMYFUNCTION("""COMPUTED_VALUE"""),133.21)</f>
        <v>133.21</v>
      </c>
      <c r="F6151" s="122">
        <f>IFERROR(__xludf.DUMMYFUNCTION("""COMPUTED_VALUE"""),-0.0063)</f>
        <v>-0.0063</v>
      </c>
    </row>
    <row r="6152">
      <c r="A6152" s="131">
        <f>IFERROR(__xludf.DUMMYFUNCTION("""COMPUTED_VALUE"""),46187.54662037037)</f>
        <v>46187.54662</v>
      </c>
      <c r="B6152" s="126">
        <f>IFERROR(__xludf.DUMMYFUNCTION("""COMPUTED_VALUE"""),46187.0)</f>
        <v>46187</v>
      </c>
      <c r="C6152" s="122" t="str">
        <f>IFERROR(__xludf.DUMMYFUNCTION("""COMPUTED_VALUE"""),"HOME")</f>
        <v>HOME</v>
      </c>
      <c r="D6152" s="122" t="str">
        <f>IFERROR(__xludf.DUMMYFUNCTION("""COMPUTED_VALUE"""),"HomeHub")</f>
        <v>HomeHub</v>
      </c>
      <c r="E6152" s="122">
        <f>IFERROR(__xludf.DUMMYFUNCTION("""COMPUTED_VALUE"""),155.02)</f>
        <v>155.02</v>
      </c>
      <c r="F6152" s="122">
        <f>IFERROR(__xludf.DUMMYFUNCTION("""COMPUTED_VALUE"""),0.0038)</f>
        <v>0.0038</v>
      </c>
    </row>
    <row r="6153">
      <c r="A6153" s="131">
        <f>IFERROR(__xludf.DUMMYFUNCTION("""COMPUTED_VALUE"""),46187.54662037037)</f>
        <v>46187.54662</v>
      </c>
      <c r="B6153" s="126">
        <f>IFERROR(__xludf.DUMMYFUNCTION("""COMPUTED_VALUE"""),46187.0)</f>
        <v>46187</v>
      </c>
      <c r="C6153" s="122" t="str">
        <f>IFERROR(__xludf.DUMMYFUNCTION("""COMPUTED_VALUE"""),"RENT")</f>
        <v>RENT</v>
      </c>
      <c r="D6153" s="122" t="str">
        <f>IFERROR(__xludf.DUMMYFUNCTION("""COMPUTED_VALUE"""),"RentRight")</f>
        <v>RentRight</v>
      </c>
      <c r="E6153" s="122">
        <f>IFERROR(__xludf.DUMMYFUNCTION("""COMPUTED_VALUE"""),91.81)</f>
        <v>91.81</v>
      </c>
      <c r="F6153" s="122">
        <f>IFERROR(__xludf.DUMMYFUNCTION("""COMPUTED_VALUE"""),-0.0046)</f>
        <v>-0.0046</v>
      </c>
    </row>
    <row r="6154">
      <c r="A6154" s="131">
        <f>IFERROR(__xludf.DUMMYFUNCTION("""COMPUTED_VALUE"""),46187.54662037037)</f>
        <v>46187.54662</v>
      </c>
      <c r="B6154" s="126">
        <f>IFERROR(__xludf.DUMMYFUNCTION("""COMPUTED_VALUE"""),46187.0)</f>
        <v>46187</v>
      </c>
      <c r="C6154" s="122" t="str">
        <f>IFERROR(__xludf.DUMMYFUNCTION("""COMPUTED_VALUE"""),"MALL")</f>
        <v>MALL</v>
      </c>
      <c r="D6154" s="122" t="str">
        <f>IFERROR(__xludf.DUMMYFUNCTION("""COMPUTED_VALUE"""),"MegaMall")</f>
        <v>MegaMall</v>
      </c>
      <c r="E6154" s="122">
        <f>IFERROR(__xludf.DUMMYFUNCTION("""COMPUTED_VALUE"""),99.89)</f>
        <v>99.89</v>
      </c>
      <c r="F6154" s="122">
        <f>IFERROR(__xludf.DUMMYFUNCTION("""COMPUTED_VALUE"""),0.0039)</f>
        <v>0.0039</v>
      </c>
    </row>
    <row r="6155">
      <c r="A6155" s="131">
        <f>IFERROR(__xludf.DUMMYFUNCTION("""COMPUTED_VALUE"""),46187.54662037037)</f>
        <v>46187.54662</v>
      </c>
      <c r="B6155" s="126">
        <f>IFERROR(__xludf.DUMMYFUNCTION("""COMPUTED_VALUE"""),46187.0)</f>
        <v>46187</v>
      </c>
      <c r="C6155" s="122" t="str">
        <f>IFERROR(__xludf.DUMMYFUNCTION("""COMPUTED_VALUE"""),"HOTL")</f>
        <v>HOTL</v>
      </c>
      <c r="D6155" s="122" t="str">
        <f>IFERROR(__xludf.DUMMYFUNCTION("""COMPUTED_VALUE"""),"HotelHive")</f>
        <v>HotelHive</v>
      </c>
      <c r="E6155" s="122">
        <f>IFERROR(__xludf.DUMMYFUNCTION("""COMPUTED_VALUE"""),127.32)</f>
        <v>127.32</v>
      </c>
      <c r="F6155" s="122">
        <f>IFERROR(__xludf.DUMMYFUNCTION("""COMPUTED_VALUE"""),-2.0E-4)</f>
        <v>-0.0002</v>
      </c>
    </row>
    <row r="6156">
      <c r="A6156" s="131">
        <f>IFERROR(__xludf.DUMMYFUNCTION("""COMPUTED_VALUE"""),46187.54662037037)</f>
        <v>46187.54662</v>
      </c>
      <c r="B6156" s="126">
        <f>IFERROR(__xludf.DUMMYFUNCTION("""COMPUTED_VALUE"""),46187.0)</f>
        <v>46187</v>
      </c>
      <c r="C6156" s="122" t="str">
        <f>IFERROR(__xludf.DUMMYFUNCTION("""COMPUTED_VALUE"""),"LAND")</f>
        <v>LAND</v>
      </c>
      <c r="D6156" s="122" t="str">
        <f>IFERROR(__xludf.DUMMYFUNCTION("""COMPUTED_VALUE"""),"LandLink")</f>
        <v>LandLink</v>
      </c>
      <c r="E6156" s="122">
        <f>IFERROR(__xludf.DUMMYFUNCTION("""COMPUTED_VALUE"""),183.48)</f>
        <v>183.48</v>
      </c>
      <c r="F6156" s="122">
        <f>IFERROR(__xludf.DUMMYFUNCTION("""COMPUTED_VALUE"""),4.0E-4)</f>
        <v>0.0004</v>
      </c>
    </row>
    <row r="6157">
      <c r="A6157" s="131">
        <f>IFERROR(__xludf.DUMMYFUNCTION("""COMPUTED_VALUE"""),46187.54662037037)</f>
        <v>46187.54662</v>
      </c>
      <c r="B6157" s="126">
        <f>IFERROR(__xludf.DUMMYFUNCTION("""COMPUTED_VALUE"""),46187.0)</f>
        <v>46187</v>
      </c>
      <c r="C6157" s="122" t="str">
        <f>IFERROR(__xludf.DUMMYFUNCTION("""COMPUTED_VALUE"""),"CARS")</f>
        <v>CARS</v>
      </c>
      <c r="D6157" s="122" t="str">
        <f>IFERROR(__xludf.DUMMYFUNCTION("""COMPUTED_VALUE"""),"AutoArena")</f>
        <v>AutoArena</v>
      </c>
      <c r="E6157" s="122">
        <f>IFERROR(__xludf.DUMMYFUNCTION("""COMPUTED_VALUE"""),80.24)</f>
        <v>80.24</v>
      </c>
      <c r="F6157" s="122">
        <f>IFERROR(__xludf.DUMMYFUNCTION("""COMPUTED_VALUE"""),0.0078)</f>
        <v>0.0078</v>
      </c>
    </row>
    <row r="6158">
      <c r="A6158" s="131">
        <f>IFERROR(__xludf.DUMMYFUNCTION("""COMPUTED_VALUE"""),46187.54662037037)</f>
        <v>46187.54662</v>
      </c>
      <c r="B6158" s="126">
        <f>IFERROR(__xludf.DUMMYFUNCTION("""COMPUTED_VALUE"""),46187.0)</f>
        <v>46187</v>
      </c>
      <c r="C6158" s="122" t="str">
        <f>IFERROR(__xludf.DUMMYFUNCTION("""COMPUTED_VALUE"""),"EVGO")</f>
        <v>EVGO</v>
      </c>
      <c r="D6158" s="122" t="str">
        <f>IFERROR(__xludf.DUMMYFUNCTION("""COMPUTED_VALUE"""),"EVGo Motors")</f>
        <v>EVGo Motors</v>
      </c>
      <c r="E6158" s="122">
        <f>IFERROR(__xludf.DUMMYFUNCTION("""COMPUTED_VALUE"""),178.19)</f>
        <v>178.19</v>
      </c>
      <c r="F6158" s="122">
        <f>IFERROR(__xludf.DUMMYFUNCTION("""COMPUTED_VALUE"""),0.0021)</f>
        <v>0.0021</v>
      </c>
    </row>
    <row r="6159">
      <c r="A6159" s="131">
        <f>IFERROR(__xludf.DUMMYFUNCTION("""COMPUTED_VALUE"""),46187.54662037037)</f>
        <v>46187.54662</v>
      </c>
      <c r="B6159" s="126">
        <f>IFERROR(__xludf.DUMMYFUNCTION("""COMPUTED_VALUE"""),46187.0)</f>
        <v>46187</v>
      </c>
      <c r="C6159" s="122" t="str">
        <f>IFERROR(__xludf.DUMMYFUNCTION("""COMPUTED_VALUE"""),"TIRE")</f>
        <v>TIRE</v>
      </c>
      <c r="D6159" s="122" t="str">
        <f>IFERROR(__xludf.DUMMYFUNCTION("""COMPUTED_VALUE"""),"TireTown")</f>
        <v>TireTown</v>
      </c>
      <c r="E6159" s="122">
        <f>IFERROR(__xludf.DUMMYFUNCTION("""COMPUTED_VALUE"""),96.35)</f>
        <v>96.35</v>
      </c>
      <c r="F6159" s="122">
        <f>IFERROR(__xludf.DUMMYFUNCTION("""COMPUTED_VALUE"""),0.0043)</f>
        <v>0.0043</v>
      </c>
    </row>
    <row r="6160">
      <c r="A6160" s="131">
        <f>IFERROR(__xludf.DUMMYFUNCTION("""COMPUTED_VALUE"""),46187.54662037037)</f>
        <v>46187.54662</v>
      </c>
      <c r="B6160" s="126">
        <f>IFERROR(__xludf.DUMMYFUNCTION("""COMPUTED_VALUE"""),46187.0)</f>
        <v>46187</v>
      </c>
      <c r="C6160" s="122" t="str">
        <f>IFERROR(__xludf.DUMMYFUNCTION("""COMPUTED_VALUE"""),"BIKE")</f>
        <v>BIKE</v>
      </c>
      <c r="D6160" s="122" t="str">
        <f>IFERROR(__xludf.DUMMYFUNCTION("""COMPUTED_VALUE"""),"BikeBox")</f>
        <v>BikeBox</v>
      </c>
      <c r="E6160" s="122">
        <f>IFERROR(__xludf.DUMMYFUNCTION("""COMPUTED_VALUE"""),52.4)</f>
        <v>52.4</v>
      </c>
      <c r="F6160" s="122">
        <f>IFERROR(__xludf.DUMMYFUNCTION("""COMPUTED_VALUE"""),-0.0072)</f>
        <v>-0.0072</v>
      </c>
    </row>
    <row r="6161">
      <c r="A6161" s="131">
        <f>IFERROR(__xludf.DUMMYFUNCTION("""COMPUTED_VALUE"""),46187.54662037037)</f>
        <v>46187.54662</v>
      </c>
      <c r="B6161" s="126">
        <f>IFERROR(__xludf.DUMMYFUNCTION("""COMPUTED_VALUE"""),46187.0)</f>
        <v>46187</v>
      </c>
      <c r="C6161" s="122" t="str">
        <f>IFERROR(__xludf.DUMMYFUNCTION("""COMPUTED_VALUE"""),"WASH")</f>
        <v>WASH</v>
      </c>
      <c r="D6161" s="122" t="str">
        <f>IFERROR(__xludf.DUMMYFUNCTION("""COMPUTED_VALUE"""),"CarWash Co")</f>
        <v>CarWash Co</v>
      </c>
      <c r="E6161" s="122">
        <f>IFERROR(__xludf.DUMMYFUNCTION("""COMPUTED_VALUE"""),119.02)</f>
        <v>119.02</v>
      </c>
      <c r="F6161" s="122">
        <f>IFERROR(__xludf.DUMMYFUNCTION("""COMPUTED_VALUE"""),-9.0E-4)</f>
        <v>-0.0009</v>
      </c>
    </row>
    <row r="6162">
      <c r="A6162" s="131">
        <f>IFERROR(__xludf.DUMMYFUNCTION("""COMPUTED_VALUE"""),46187.54662037037)</f>
        <v>46187.54662</v>
      </c>
      <c r="B6162" s="126">
        <f>IFERROR(__xludf.DUMMYFUNCTION("""COMPUTED_VALUE"""),46187.0)</f>
        <v>46187</v>
      </c>
      <c r="C6162" s="122" t="str">
        <f>IFERROR(__xludf.DUMMYFUNCTION("""COMPUTED_VALUE"""),"GBND")</f>
        <v>GBND</v>
      </c>
      <c r="D6162" s="122" t="str">
        <f>IFERROR(__xludf.DUMMYFUNCTION("""COMPUTED_VALUE"""),"Classroom Government Bond")</f>
        <v>Classroom Government Bond</v>
      </c>
      <c r="E6162" s="122">
        <f>IFERROR(__xludf.DUMMYFUNCTION("""COMPUTED_VALUE"""),101.14)</f>
        <v>101.14</v>
      </c>
      <c r="F6162" s="122">
        <f>IFERROR(__xludf.DUMMYFUNCTION("""COMPUTED_VALUE"""),2.0E-4)</f>
        <v>0.0002</v>
      </c>
    </row>
    <row r="6163">
      <c r="A6163" s="131">
        <f>IFERROR(__xludf.DUMMYFUNCTION("""COMPUTED_VALUE"""),46187.54662037037)</f>
        <v>46187.54662</v>
      </c>
      <c r="B6163" s="126">
        <f>IFERROR(__xludf.DUMMYFUNCTION("""COMPUTED_VALUE"""),46187.0)</f>
        <v>46187</v>
      </c>
      <c r="C6163" s="122" t="str">
        <f>IFERROR(__xludf.DUMMYFUNCTION("""COMPUTED_VALUE"""),"SBND")</f>
        <v>SBND</v>
      </c>
      <c r="D6163" s="122" t="str">
        <f>IFERROR(__xludf.DUMMYFUNCTION("""COMPUTED_VALUE"""),"School Savings Bond")</f>
        <v>School Savings Bond</v>
      </c>
      <c r="E6163" s="122">
        <f>IFERROR(__xludf.DUMMYFUNCTION("""COMPUTED_VALUE"""),99.27)</f>
        <v>99.27</v>
      </c>
      <c r="F6163" s="122">
        <f>IFERROR(__xludf.DUMMYFUNCTION("""COMPUTED_VALUE"""),-4.0E-4)</f>
        <v>-0.0004</v>
      </c>
    </row>
    <row r="6164">
      <c r="A6164" s="131">
        <f>IFERROR(__xludf.DUMMYFUNCTION("""COMPUTED_VALUE"""),46187.54662037037)</f>
        <v>46187.54662</v>
      </c>
      <c r="B6164" s="126">
        <f>IFERROR(__xludf.DUMMYFUNCTION("""COMPUTED_VALUE"""),46187.0)</f>
        <v>46187</v>
      </c>
      <c r="C6164" s="122" t="str">
        <f>IFERROR(__xludf.DUMMYFUNCTION("""COMPUTED_VALUE"""),"CBND")</f>
        <v>CBND</v>
      </c>
      <c r="D6164" s="122" t="str">
        <f>IFERROR(__xludf.DUMMYFUNCTION("""COMPUTED_VALUE"""),"Corporate Classroom Bond")</f>
        <v>Corporate Classroom Bond</v>
      </c>
      <c r="E6164" s="122">
        <f>IFERROR(__xludf.DUMMYFUNCTION("""COMPUTED_VALUE"""),97.75)</f>
        <v>97.75</v>
      </c>
      <c r="F6164" s="122">
        <f>IFERROR(__xludf.DUMMYFUNCTION("""COMPUTED_VALUE"""),-2.0E-4)</f>
        <v>-0.0002</v>
      </c>
    </row>
    <row r="6165">
      <c r="A6165" s="131">
        <f>IFERROR(__xludf.DUMMYFUNCTION("""COMPUTED_VALUE"""),46187.54662037037)</f>
        <v>46187.54662</v>
      </c>
      <c r="B6165" s="126">
        <f>IFERROR(__xludf.DUMMYFUNCTION("""COMPUTED_VALUE"""),46187.0)</f>
        <v>46187</v>
      </c>
      <c r="C6165" s="122" t="str">
        <f>IFERROR(__xludf.DUMMYFUNCTION("""COMPUTED_VALUE"""),"TBIL")</f>
        <v>TBIL</v>
      </c>
      <c r="D6165" s="122" t="str">
        <f>IFERROR(__xludf.DUMMYFUNCTION("""COMPUTED_VALUE"""),"Treasury Bill")</f>
        <v>Treasury Bill</v>
      </c>
      <c r="E6165" s="122">
        <f>IFERROR(__xludf.DUMMYFUNCTION("""COMPUTED_VALUE"""),98.04)</f>
        <v>98.04</v>
      </c>
      <c r="F6165" s="122">
        <f>IFERROR(__xludf.DUMMYFUNCTION("""COMPUTED_VALUE"""),0.0)</f>
        <v>0</v>
      </c>
    </row>
    <row r="6166">
      <c r="A6166" s="131">
        <f>IFERROR(__xludf.DUMMYFUNCTION("""COMPUTED_VALUE"""),46187.54662037037)</f>
        <v>46187.54662</v>
      </c>
      <c r="B6166" s="126">
        <f>IFERROR(__xludf.DUMMYFUNCTION("""COMPUTED_VALUE"""),46187.0)</f>
        <v>46187</v>
      </c>
      <c r="C6166" s="122" t="str">
        <f>IFERROR(__xludf.DUMMYFUNCTION("""COMPUTED_VALUE"""),"IBND")</f>
        <v>IBND</v>
      </c>
      <c r="D6166" s="122" t="str">
        <f>IFERROR(__xludf.DUMMYFUNCTION("""COMPUTED_VALUE"""),"Inflation Protected Bond")</f>
        <v>Inflation Protected Bond</v>
      </c>
      <c r="E6166" s="122">
        <f>IFERROR(__xludf.DUMMYFUNCTION("""COMPUTED_VALUE"""),100.81)</f>
        <v>100.81</v>
      </c>
      <c r="F6166" s="122">
        <f>IFERROR(__xludf.DUMMYFUNCTION("""COMPUTED_VALUE"""),-1.0E-4)</f>
        <v>-0.0001</v>
      </c>
    </row>
    <row r="6167">
      <c r="A6167" s="131">
        <f>IFERROR(__xludf.DUMMYFUNCTION("""COMPUTED_VALUE"""),46187.550104166665)</f>
        <v>46187.5501</v>
      </c>
      <c r="B6167" s="126">
        <f>IFERROR(__xludf.DUMMYFUNCTION("""COMPUTED_VALUE"""),46187.0)</f>
        <v>46187</v>
      </c>
      <c r="C6167" s="122" t="str">
        <f>IFERROR(__xludf.DUMMYFUNCTION("""COMPUTED_VALUE"""),"SNAX")</f>
        <v>SNAX</v>
      </c>
      <c r="D6167" s="122" t="str">
        <f>IFERROR(__xludf.DUMMYFUNCTION("""COMPUTED_VALUE"""),"MICA Snacks")</f>
        <v>MICA Snacks</v>
      </c>
      <c r="E6167" s="122">
        <f>IFERROR(__xludf.DUMMYFUNCTION("""COMPUTED_VALUE"""),121.47)</f>
        <v>121.47</v>
      </c>
      <c r="F6167" s="122">
        <f>IFERROR(__xludf.DUMMYFUNCTION("""COMPUTED_VALUE"""),0.0029)</f>
        <v>0.0029</v>
      </c>
    </row>
    <row r="6168">
      <c r="A6168" s="131">
        <f>IFERROR(__xludf.DUMMYFUNCTION("""COMPUTED_VALUE"""),46187.550104166665)</f>
        <v>46187.5501</v>
      </c>
      <c r="B6168" s="126">
        <f>IFERROR(__xludf.DUMMYFUNCTION("""COMPUTED_VALUE"""),46187.0)</f>
        <v>46187</v>
      </c>
      <c r="C6168" s="122" t="str">
        <f>IFERROR(__xludf.DUMMYFUNCTION("""COMPUTED_VALUE"""),"RAMN")</f>
        <v>RAMN</v>
      </c>
      <c r="D6168" s="122" t="str">
        <f>IFERROR(__xludf.DUMMYFUNCTION("""COMPUTED_VALUE"""),"Ramen Republic")</f>
        <v>Ramen Republic</v>
      </c>
      <c r="E6168" s="122">
        <f>IFERROR(__xludf.DUMMYFUNCTION("""COMPUTED_VALUE"""),66.15)</f>
        <v>66.15</v>
      </c>
      <c r="F6168" s="122">
        <f>IFERROR(__xludf.DUMMYFUNCTION("""COMPUTED_VALUE"""),-0.0051)</f>
        <v>-0.0051</v>
      </c>
    </row>
    <row r="6169">
      <c r="A6169" s="131">
        <f>IFERROR(__xludf.DUMMYFUNCTION("""COMPUTED_VALUE"""),46187.550104166665)</f>
        <v>46187.5501</v>
      </c>
      <c r="B6169" s="126">
        <f>IFERROR(__xludf.DUMMYFUNCTION("""COMPUTED_VALUE"""),46187.0)</f>
        <v>46187</v>
      </c>
      <c r="C6169" s="122" t="str">
        <f>IFERROR(__xludf.DUMMYFUNCTION("""COMPUTED_VALUE"""),"COLA")</f>
        <v>COLA</v>
      </c>
      <c r="D6169" s="122" t="str">
        <f>IFERROR(__xludf.DUMMYFUNCTION("""COMPUTED_VALUE"""),"K-Pop Cola")</f>
        <v>K-Pop Cola</v>
      </c>
      <c r="E6169" s="122">
        <f>IFERROR(__xludf.DUMMYFUNCTION("""COMPUTED_VALUE"""),114.19)</f>
        <v>114.19</v>
      </c>
      <c r="F6169" s="122">
        <f>IFERROR(__xludf.DUMMYFUNCTION("""COMPUTED_VALUE"""),9.0E-4)</f>
        <v>0.0009</v>
      </c>
    </row>
    <row r="6170">
      <c r="A6170" s="131">
        <f>IFERROR(__xludf.DUMMYFUNCTION("""COMPUTED_VALUE"""),46187.550104166665)</f>
        <v>46187.5501</v>
      </c>
      <c r="B6170" s="126">
        <f>IFERROR(__xludf.DUMMYFUNCTION("""COMPUTED_VALUE"""),46187.0)</f>
        <v>46187</v>
      </c>
      <c r="C6170" s="122" t="str">
        <f>IFERROR(__xludf.DUMMYFUNCTION("""COMPUTED_VALUE"""),"CHIP")</f>
        <v>CHIP</v>
      </c>
      <c r="D6170" s="122" t="str">
        <f>IFERROR(__xludf.DUMMYFUNCTION("""COMPUTED_VALUE"""),"Chip Empire")</f>
        <v>Chip Empire</v>
      </c>
      <c r="E6170" s="122">
        <f>IFERROR(__xludf.DUMMYFUNCTION("""COMPUTED_VALUE"""),84.9)</f>
        <v>84.9</v>
      </c>
      <c r="F6170" s="122">
        <f>IFERROR(__xludf.DUMMYFUNCTION("""COMPUTED_VALUE"""),-0.006)</f>
        <v>-0.006</v>
      </c>
    </row>
    <row r="6171">
      <c r="A6171" s="131">
        <f>IFERROR(__xludf.DUMMYFUNCTION("""COMPUTED_VALUE"""),46187.550104166665)</f>
        <v>46187.5501</v>
      </c>
      <c r="B6171" s="126">
        <f>IFERROR(__xludf.DUMMYFUNCTION("""COMPUTED_VALUE"""),46187.0)</f>
        <v>46187</v>
      </c>
      <c r="C6171" s="122" t="str">
        <f>IFERROR(__xludf.DUMMYFUNCTION("""COMPUTED_VALUE"""),"CAND")</f>
        <v>CAND</v>
      </c>
      <c r="D6171" s="122" t="str">
        <f>IFERROR(__xludf.DUMMYFUNCTION("""COMPUTED_VALUE"""),"Candy Capital")</f>
        <v>Candy Capital</v>
      </c>
      <c r="E6171" s="122">
        <f>IFERROR(__xludf.DUMMYFUNCTION("""COMPUTED_VALUE"""),76.65)</f>
        <v>76.65</v>
      </c>
      <c r="F6171" s="122">
        <f>IFERROR(__xludf.DUMMYFUNCTION("""COMPUTED_VALUE"""),-0.0051)</f>
        <v>-0.0051</v>
      </c>
    </row>
    <row r="6172">
      <c r="A6172" s="131">
        <f>IFERROR(__xludf.DUMMYFUNCTION("""COMPUTED_VALUE"""),46187.550104166665)</f>
        <v>46187.5501</v>
      </c>
      <c r="B6172" s="126">
        <f>IFERROR(__xludf.DUMMYFUNCTION("""COMPUTED_VALUE"""),46187.0)</f>
        <v>46187</v>
      </c>
      <c r="C6172" s="122" t="str">
        <f>IFERROR(__xludf.DUMMYFUNCTION("""COMPUTED_VALUE"""),"TECH")</f>
        <v>TECH</v>
      </c>
      <c r="D6172" s="122" t="str">
        <f>IFERROR(__xludf.DUMMYFUNCTION("""COMPUTED_VALUE"""),"Dragon Tech")</f>
        <v>Dragon Tech</v>
      </c>
      <c r="E6172" s="122">
        <f>IFERROR(__xludf.DUMMYFUNCTION("""COMPUTED_VALUE"""),248.08)</f>
        <v>248.08</v>
      </c>
      <c r="F6172" s="122">
        <f>IFERROR(__xludf.DUMMYFUNCTION("""COMPUTED_VALUE"""),0.0115)</f>
        <v>0.0115</v>
      </c>
    </row>
    <row r="6173">
      <c r="A6173" s="131">
        <f>IFERROR(__xludf.DUMMYFUNCTION("""COMPUTED_VALUE"""),46187.550104166665)</f>
        <v>46187.5501</v>
      </c>
      <c r="B6173" s="126">
        <f>IFERROR(__xludf.DUMMYFUNCTION("""COMPUTED_VALUE"""),46187.0)</f>
        <v>46187</v>
      </c>
      <c r="C6173" s="122" t="str">
        <f>IFERROR(__xludf.DUMMYFUNCTION("""COMPUTED_VALUE"""),"AIBO")</f>
        <v>AIBO</v>
      </c>
      <c r="D6173" s="122" t="str">
        <f>IFERROR(__xludf.DUMMYFUNCTION("""COMPUTED_VALUE"""),"Homework AI")</f>
        <v>Homework AI</v>
      </c>
      <c r="E6173" s="122">
        <f>IFERROR(__xludf.DUMMYFUNCTION("""COMPUTED_VALUE"""),181.36)</f>
        <v>181.36</v>
      </c>
      <c r="F6173" s="122">
        <f>IFERROR(__xludf.DUMMYFUNCTION("""COMPUTED_VALUE"""),7.0E-4)</f>
        <v>0.0007</v>
      </c>
    </row>
    <row r="6174">
      <c r="A6174" s="131">
        <f>IFERROR(__xludf.DUMMYFUNCTION("""COMPUTED_VALUE"""),46187.550104166665)</f>
        <v>46187.5501</v>
      </c>
      <c r="B6174" s="126">
        <f>IFERROR(__xludf.DUMMYFUNCTION("""COMPUTED_VALUE"""),46187.0)</f>
        <v>46187</v>
      </c>
      <c r="C6174" s="122" t="str">
        <f>IFERROR(__xludf.DUMMYFUNCTION("""COMPUTED_VALUE"""),"GAME")</f>
        <v>GAME</v>
      </c>
      <c r="D6174" s="122" t="str">
        <f>IFERROR(__xludf.DUMMYFUNCTION("""COMPUTED_VALUE"""),"GameBox Media")</f>
        <v>GameBox Media</v>
      </c>
      <c r="E6174" s="122">
        <f>IFERROR(__xludf.DUMMYFUNCTION("""COMPUTED_VALUE"""),101.46)</f>
        <v>101.46</v>
      </c>
      <c r="F6174" s="122">
        <f>IFERROR(__xludf.DUMMYFUNCTION("""COMPUTED_VALUE"""),0.011)</f>
        <v>0.011</v>
      </c>
    </row>
    <row r="6175">
      <c r="A6175" s="131">
        <f>IFERROR(__xludf.DUMMYFUNCTION("""COMPUTED_VALUE"""),46187.550104166665)</f>
        <v>46187.5501</v>
      </c>
      <c r="B6175" s="126">
        <f>IFERROR(__xludf.DUMMYFUNCTION("""COMPUTED_VALUE"""),46187.0)</f>
        <v>46187</v>
      </c>
      <c r="C6175" s="122" t="str">
        <f>IFERROR(__xludf.DUMMYFUNCTION("""COMPUTED_VALUE"""),"VRSE")</f>
        <v>VRSE</v>
      </c>
      <c r="D6175" s="122" t="str">
        <f>IFERROR(__xludf.DUMMYFUNCTION("""COMPUTED_VALUE"""),"VerseVR")</f>
        <v>VerseVR</v>
      </c>
      <c r="E6175" s="122">
        <f>IFERROR(__xludf.DUMMYFUNCTION("""COMPUTED_VALUE"""),148.26)</f>
        <v>148.26</v>
      </c>
      <c r="F6175" s="122">
        <f>IFERROR(__xludf.DUMMYFUNCTION("""COMPUTED_VALUE"""),-0.0086)</f>
        <v>-0.0086</v>
      </c>
    </row>
    <row r="6176">
      <c r="A6176" s="131">
        <f>IFERROR(__xludf.DUMMYFUNCTION("""COMPUTED_VALUE"""),46187.550104166665)</f>
        <v>46187.5501</v>
      </c>
      <c r="B6176" s="126">
        <f>IFERROR(__xludf.DUMMYFUNCTION("""COMPUTED_VALUE"""),46187.0)</f>
        <v>46187</v>
      </c>
      <c r="C6176" s="122" t="str">
        <f>IFERROR(__xludf.DUMMYFUNCTION("""COMPUTED_VALUE"""),"BYTE")</f>
        <v>BYTE</v>
      </c>
      <c r="D6176" s="122" t="str">
        <f>IFERROR(__xludf.DUMMYFUNCTION("""COMPUTED_VALUE"""),"ByteWorks")</f>
        <v>ByteWorks</v>
      </c>
      <c r="E6176" s="122">
        <f>IFERROR(__xludf.DUMMYFUNCTION("""COMPUTED_VALUE"""),115.22)</f>
        <v>115.22</v>
      </c>
      <c r="F6176" s="122">
        <f>IFERROR(__xludf.DUMMYFUNCTION("""COMPUTED_VALUE"""),0.0091)</f>
        <v>0.0091</v>
      </c>
    </row>
    <row r="6177">
      <c r="A6177" s="131">
        <f>IFERROR(__xludf.DUMMYFUNCTION("""COMPUTED_VALUE"""),46187.550104166665)</f>
        <v>46187.5501</v>
      </c>
      <c r="B6177" s="126">
        <f>IFERROR(__xludf.DUMMYFUNCTION("""COMPUTED_VALUE"""),46187.0)</f>
        <v>46187</v>
      </c>
      <c r="C6177" s="122" t="str">
        <f>IFERROR(__xludf.DUMMYFUNCTION("""COMPUTED_VALUE"""),"BANK")</f>
        <v>BANK</v>
      </c>
      <c r="D6177" s="122" t="str">
        <f>IFERROR(__xludf.DUMMYFUNCTION("""COMPUTED_VALUE"""),"Tiger Bank")</f>
        <v>Tiger Bank</v>
      </c>
      <c r="E6177" s="122">
        <f>IFERROR(__xludf.DUMMYFUNCTION("""COMPUTED_VALUE"""),129.76)</f>
        <v>129.76</v>
      </c>
      <c r="F6177" s="122">
        <f>IFERROR(__xludf.DUMMYFUNCTION("""COMPUTED_VALUE"""),-7.0E-4)</f>
        <v>-0.0007</v>
      </c>
    </row>
    <row r="6178">
      <c r="A6178" s="131">
        <f>IFERROR(__xludf.DUMMYFUNCTION("""COMPUTED_VALUE"""),46187.550104166665)</f>
        <v>46187.5501</v>
      </c>
      <c r="B6178" s="126">
        <f>IFERROR(__xludf.DUMMYFUNCTION("""COMPUTED_VALUE"""),46187.0)</f>
        <v>46187</v>
      </c>
      <c r="C6178" s="122" t="str">
        <f>IFERROR(__xludf.DUMMYFUNCTION("""COMPUTED_VALUE"""),"CRED")</f>
        <v>CRED</v>
      </c>
      <c r="D6178" s="122" t="str">
        <f>IFERROR(__xludf.DUMMYFUNCTION("""COMPUTED_VALUE"""),"Credit Castle")</f>
        <v>Credit Castle</v>
      </c>
      <c r="E6178" s="122">
        <f>IFERROR(__xludf.DUMMYFUNCTION("""COMPUTED_VALUE"""),66.96)</f>
        <v>66.96</v>
      </c>
      <c r="F6178" s="122">
        <f>IFERROR(__xludf.DUMMYFUNCTION("""COMPUTED_VALUE"""),0.0033)</f>
        <v>0.0033</v>
      </c>
    </row>
    <row r="6179">
      <c r="A6179" s="131">
        <f>IFERROR(__xludf.DUMMYFUNCTION("""COMPUTED_VALUE"""),46187.550104166665)</f>
        <v>46187.5501</v>
      </c>
      <c r="B6179" s="126">
        <f>IFERROR(__xludf.DUMMYFUNCTION("""COMPUTED_VALUE"""),46187.0)</f>
        <v>46187</v>
      </c>
      <c r="C6179" s="122" t="str">
        <f>IFERROR(__xludf.DUMMYFUNCTION("""COMPUTED_VALUE"""),"BOND")</f>
        <v>BOND</v>
      </c>
      <c r="D6179" s="122" t="str">
        <f>IFERROR(__xludf.DUMMYFUNCTION("""COMPUTED_VALUE"""),"BondBridge")</f>
        <v>BondBridge</v>
      </c>
      <c r="E6179" s="122">
        <f>IFERROR(__xludf.DUMMYFUNCTION("""COMPUTED_VALUE"""),101.77)</f>
        <v>101.77</v>
      </c>
      <c r="F6179" s="122">
        <f>IFERROR(__xludf.DUMMYFUNCTION("""COMPUTED_VALUE"""),2.0E-4)</f>
        <v>0.0002</v>
      </c>
    </row>
    <row r="6180">
      <c r="A6180" s="131">
        <f>IFERROR(__xludf.DUMMYFUNCTION("""COMPUTED_VALUE"""),46187.550104166665)</f>
        <v>46187.5501</v>
      </c>
      <c r="B6180" s="126">
        <f>IFERROR(__xludf.DUMMYFUNCTION("""COMPUTED_VALUE"""),46187.0)</f>
        <v>46187</v>
      </c>
      <c r="C6180" s="122" t="str">
        <f>IFERROR(__xludf.DUMMYFUNCTION("""COMPUTED_VALUE"""),"INSR")</f>
        <v>INSR</v>
      </c>
      <c r="D6180" s="122" t="str">
        <f>IFERROR(__xludf.DUMMYFUNCTION("""COMPUTED_VALUE"""),"Shield Insurance")</f>
        <v>Shield Insurance</v>
      </c>
      <c r="E6180" s="122">
        <f>IFERROR(__xludf.DUMMYFUNCTION("""COMPUTED_VALUE"""),158.4)</f>
        <v>158.4</v>
      </c>
      <c r="F6180" s="122">
        <f>IFERROR(__xludf.DUMMYFUNCTION("""COMPUTED_VALUE"""),-0.0028)</f>
        <v>-0.0028</v>
      </c>
    </row>
    <row r="6181">
      <c r="A6181" s="131">
        <f>IFERROR(__xludf.DUMMYFUNCTION("""COMPUTED_VALUE"""),46187.550104166665)</f>
        <v>46187.5501</v>
      </c>
      <c r="B6181" s="126">
        <f>IFERROR(__xludf.DUMMYFUNCTION("""COMPUTED_VALUE"""),46187.0)</f>
        <v>46187</v>
      </c>
      <c r="C6181" s="122" t="str">
        <f>IFERROR(__xludf.DUMMYFUNCTION("""COMPUTED_VALUE"""),"LOAN")</f>
        <v>LOAN</v>
      </c>
      <c r="D6181" s="122" t="str">
        <f>IFERROR(__xludf.DUMMYFUNCTION("""COMPUTED_VALUE"""),"LoanLab")</f>
        <v>LoanLab</v>
      </c>
      <c r="E6181" s="122">
        <f>IFERROR(__xludf.DUMMYFUNCTION("""COMPUTED_VALUE"""),66.78)</f>
        <v>66.78</v>
      </c>
      <c r="F6181" s="122">
        <f>IFERROR(__xludf.DUMMYFUNCTION("""COMPUTED_VALUE"""),0.0085)</f>
        <v>0.0085</v>
      </c>
    </row>
    <row r="6182">
      <c r="A6182" s="131">
        <f>IFERROR(__xludf.DUMMYFUNCTION("""COMPUTED_VALUE"""),46187.550104166665)</f>
        <v>46187.5501</v>
      </c>
      <c r="B6182" s="126">
        <f>IFERROR(__xludf.DUMMYFUNCTION("""COMPUTED_VALUE"""),46187.0)</f>
        <v>46187</v>
      </c>
      <c r="C6182" s="122" t="str">
        <f>IFERROR(__xludf.DUMMYFUNCTION("""COMPUTED_VALUE"""),"LUXE")</f>
        <v>LUXE</v>
      </c>
      <c r="D6182" s="122" t="str">
        <f>IFERROR(__xludf.DUMMYFUNCTION("""COMPUTED_VALUE"""),"Luxury Locker")</f>
        <v>Luxury Locker</v>
      </c>
      <c r="E6182" s="122">
        <f>IFERROR(__xludf.DUMMYFUNCTION("""COMPUTED_VALUE"""),270.34)</f>
        <v>270.34</v>
      </c>
      <c r="F6182" s="122">
        <f>IFERROR(__xludf.DUMMYFUNCTION("""COMPUTED_VALUE"""),0.0064)</f>
        <v>0.0064</v>
      </c>
    </row>
    <row r="6183">
      <c r="A6183" s="131">
        <f>IFERROR(__xludf.DUMMYFUNCTION("""COMPUTED_VALUE"""),46187.550104166665)</f>
        <v>46187.5501</v>
      </c>
      <c r="B6183" s="126">
        <f>IFERROR(__xludf.DUMMYFUNCTION("""COMPUTED_VALUE"""),46187.0)</f>
        <v>46187</v>
      </c>
      <c r="C6183" s="122" t="str">
        <f>IFERROR(__xludf.DUMMYFUNCTION("""COMPUTED_VALUE"""),"DRIP")</f>
        <v>DRIP</v>
      </c>
      <c r="D6183" s="122" t="str">
        <f>IFERROR(__xludf.DUMMYFUNCTION("""COMPUTED_VALUE"""),"Drip Streetwear")</f>
        <v>Drip Streetwear</v>
      </c>
      <c r="E6183" s="122">
        <f>IFERROR(__xludf.DUMMYFUNCTION("""COMPUTED_VALUE"""),192.73)</f>
        <v>192.73</v>
      </c>
      <c r="F6183" s="122">
        <f>IFERROR(__xludf.DUMMYFUNCTION("""COMPUTED_VALUE"""),-0.0072)</f>
        <v>-0.0072</v>
      </c>
    </row>
    <row r="6184">
      <c r="A6184" s="131">
        <f>IFERROR(__xludf.DUMMYFUNCTION("""COMPUTED_VALUE"""),46187.550104166665)</f>
        <v>46187.5501</v>
      </c>
      <c r="B6184" s="126">
        <f>IFERROR(__xludf.DUMMYFUNCTION("""COMPUTED_VALUE"""),46187.0)</f>
        <v>46187</v>
      </c>
      <c r="C6184" s="122" t="str">
        <f>IFERROR(__xludf.DUMMYFUNCTION("""COMPUTED_VALUE"""),"KICK")</f>
        <v>KICK</v>
      </c>
      <c r="D6184" s="122" t="str">
        <f>IFERROR(__xludf.DUMMYFUNCTION("""COMPUTED_VALUE"""),"KickDrop Sneakers")</f>
        <v>KickDrop Sneakers</v>
      </c>
      <c r="E6184" s="122">
        <f>IFERROR(__xludf.DUMMYFUNCTION("""COMPUTED_VALUE"""),168.48)</f>
        <v>168.48</v>
      </c>
      <c r="F6184" s="122">
        <f>IFERROR(__xludf.DUMMYFUNCTION("""COMPUTED_VALUE"""),0.008)</f>
        <v>0.008</v>
      </c>
    </row>
    <row r="6185">
      <c r="A6185" s="131">
        <f>IFERROR(__xludf.DUMMYFUNCTION("""COMPUTED_VALUE"""),46187.550104166665)</f>
        <v>46187.5501</v>
      </c>
      <c r="B6185" s="126">
        <f>IFERROR(__xludf.DUMMYFUNCTION("""COMPUTED_VALUE"""),46187.0)</f>
        <v>46187</v>
      </c>
      <c r="C6185" s="122" t="str">
        <f>IFERROR(__xludf.DUMMYFUNCTION("""COMPUTED_VALUE"""),"GLAM")</f>
        <v>GLAM</v>
      </c>
      <c r="D6185" s="122" t="str">
        <f>IFERROR(__xludf.DUMMYFUNCTION("""COMPUTED_VALUE"""),"Glow Cosmetics")</f>
        <v>Glow Cosmetics</v>
      </c>
      <c r="E6185" s="122">
        <f>IFERROR(__xludf.DUMMYFUNCTION("""COMPUTED_VALUE"""),107.98)</f>
        <v>107.98</v>
      </c>
      <c r="F6185" s="122">
        <f>IFERROR(__xludf.DUMMYFUNCTION("""COMPUTED_VALUE"""),0.0012)</f>
        <v>0.0012</v>
      </c>
    </row>
    <row r="6186">
      <c r="A6186" s="131">
        <f>IFERROR(__xludf.DUMMYFUNCTION("""COMPUTED_VALUE"""),46187.550104166665)</f>
        <v>46187.5501</v>
      </c>
      <c r="B6186" s="126">
        <f>IFERROR(__xludf.DUMMYFUNCTION("""COMPUTED_VALUE"""),46187.0)</f>
        <v>46187</v>
      </c>
      <c r="C6186" s="122" t="str">
        <f>IFERROR(__xludf.DUMMYFUNCTION("""COMPUTED_VALUE"""),"BAGG")</f>
        <v>BAGG</v>
      </c>
      <c r="D6186" s="122" t="str">
        <f>IFERROR(__xludf.DUMMYFUNCTION("""COMPUTED_VALUE"""),"BagVault")</f>
        <v>BagVault</v>
      </c>
      <c r="E6186" s="122">
        <f>IFERROR(__xludf.DUMMYFUNCTION("""COMPUTED_VALUE"""),261.15)</f>
        <v>261.15</v>
      </c>
      <c r="F6186" s="122">
        <f>IFERROR(__xludf.DUMMYFUNCTION("""COMPUTED_VALUE"""),0.009)</f>
        <v>0.009</v>
      </c>
    </row>
    <row r="6187">
      <c r="A6187" s="131">
        <f>IFERROR(__xludf.DUMMYFUNCTION("""COMPUTED_VALUE"""),46187.550104166665)</f>
        <v>46187.5501</v>
      </c>
      <c r="B6187" s="126">
        <f>IFERROR(__xludf.DUMMYFUNCTION("""COMPUTED_VALUE"""),46187.0)</f>
        <v>46187</v>
      </c>
      <c r="C6187" s="122" t="str">
        <f>IFERROR(__xludf.DUMMYFUNCTION("""COMPUTED_VALUE"""),"FAST")</f>
        <v>FAST</v>
      </c>
      <c r="D6187" s="122" t="str">
        <f>IFERROR(__xludf.DUMMYFUNCTION("""COMPUTED_VALUE"""),"Flash Logistics")</f>
        <v>Flash Logistics</v>
      </c>
      <c r="E6187" s="122">
        <f>IFERROR(__xludf.DUMMYFUNCTION("""COMPUTED_VALUE"""),105.11)</f>
        <v>105.11</v>
      </c>
      <c r="F6187" s="122">
        <f>IFERROR(__xludf.DUMMYFUNCTION("""COMPUTED_VALUE"""),-0.0021)</f>
        <v>-0.0021</v>
      </c>
    </row>
    <row r="6188">
      <c r="A6188" s="131">
        <f>IFERROR(__xludf.DUMMYFUNCTION("""COMPUTED_VALUE"""),46187.550104166665)</f>
        <v>46187.5501</v>
      </c>
      <c r="B6188" s="126">
        <f>IFERROR(__xludf.DUMMYFUNCTION("""COMPUTED_VALUE"""),46187.0)</f>
        <v>46187</v>
      </c>
      <c r="C6188" s="122" t="str">
        <f>IFERROR(__xludf.DUMMYFUNCTION("""COMPUTED_VALUE"""),"SHIP")</f>
        <v>SHIP</v>
      </c>
      <c r="D6188" s="122" t="str">
        <f>IFERROR(__xludf.DUMMYFUNCTION("""COMPUTED_VALUE"""),"Seoul Shipping")</f>
        <v>Seoul Shipping</v>
      </c>
      <c r="E6188" s="122">
        <f>IFERROR(__xludf.DUMMYFUNCTION("""COMPUTED_VALUE"""),127.84)</f>
        <v>127.84</v>
      </c>
      <c r="F6188" s="122">
        <f>IFERROR(__xludf.DUMMYFUNCTION("""COMPUTED_VALUE"""),-0.0053)</f>
        <v>-0.0053</v>
      </c>
    </row>
    <row r="6189">
      <c r="A6189" s="131">
        <f>IFERROR(__xludf.DUMMYFUNCTION("""COMPUTED_VALUE"""),46187.550104166665)</f>
        <v>46187.5501</v>
      </c>
      <c r="B6189" s="126">
        <f>IFERROR(__xludf.DUMMYFUNCTION("""COMPUTED_VALUE"""),46187.0)</f>
        <v>46187</v>
      </c>
      <c r="C6189" s="122" t="str">
        <f>IFERROR(__xludf.DUMMYFUNCTION("""COMPUTED_VALUE"""),"DRON")</f>
        <v>DRON</v>
      </c>
      <c r="D6189" s="122" t="str">
        <f>IFERROR(__xludf.DUMMYFUNCTION("""COMPUTED_VALUE"""),"DroneDrop")</f>
        <v>DroneDrop</v>
      </c>
      <c r="E6189" s="122">
        <f>IFERROR(__xludf.DUMMYFUNCTION("""COMPUTED_VALUE"""),128.16)</f>
        <v>128.16</v>
      </c>
      <c r="F6189" s="122">
        <f>IFERROR(__xludf.DUMMYFUNCTION("""COMPUTED_VALUE"""),0.0019)</f>
        <v>0.0019</v>
      </c>
    </row>
    <row r="6190">
      <c r="A6190" s="131">
        <f>IFERROR(__xludf.DUMMYFUNCTION("""COMPUTED_VALUE"""),46187.550104166665)</f>
        <v>46187.5501</v>
      </c>
      <c r="B6190" s="126">
        <f>IFERROR(__xludf.DUMMYFUNCTION("""COMPUTED_VALUE"""),46187.0)</f>
        <v>46187</v>
      </c>
      <c r="C6190" s="122" t="str">
        <f>IFERROR(__xludf.DUMMYFUNCTION("""COMPUTED_VALUE"""),"RIDE")</f>
        <v>RIDE</v>
      </c>
      <c r="D6190" s="122" t="str">
        <f>IFERROR(__xludf.DUMMYFUNCTION("""COMPUTED_VALUE"""),"QuickRide")</f>
        <v>QuickRide</v>
      </c>
      <c r="E6190" s="122">
        <f>IFERROR(__xludf.DUMMYFUNCTION("""COMPUTED_VALUE"""),100.19)</f>
        <v>100.19</v>
      </c>
      <c r="F6190" s="122">
        <f>IFERROR(__xludf.DUMMYFUNCTION("""COMPUTED_VALUE"""),-0.0044)</f>
        <v>-0.0044</v>
      </c>
    </row>
    <row r="6191">
      <c r="A6191" s="131">
        <f>IFERROR(__xludf.DUMMYFUNCTION("""COMPUTED_VALUE"""),46187.550104166665)</f>
        <v>46187.5501</v>
      </c>
      <c r="B6191" s="126">
        <f>IFERROR(__xludf.DUMMYFUNCTION("""COMPUTED_VALUE"""),46187.0)</f>
        <v>46187</v>
      </c>
      <c r="C6191" s="122" t="str">
        <f>IFERROR(__xludf.DUMMYFUNCTION("""COMPUTED_VALUE"""),"RAIL")</f>
        <v>RAIL</v>
      </c>
      <c r="D6191" s="122" t="str">
        <f>IFERROR(__xludf.DUMMYFUNCTION("""COMPUTED_VALUE"""),"MetroRail Corp")</f>
        <v>MetroRail Corp</v>
      </c>
      <c r="E6191" s="122">
        <f>IFERROR(__xludf.DUMMYFUNCTION("""COMPUTED_VALUE"""),131.57)</f>
        <v>131.57</v>
      </c>
      <c r="F6191" s="122">
        <f>IFERROR(__xludf.DUMMYFUNCTION("""COMPUTED_VALUE"""),-0.0032)</f>
        <v>-0.0032</v>
      </c>
    </row>
    <row r="6192">
      <c r="A6192" s="131">
        <f>IFERROR(__xludf.DUMMYFUNCTION("""COMPUTED_VALUE"""),46187.550104166665)</f>
        <v>46187.5501</v>
      </c>
      <c r="B6192" s="126">
        <f>IFERROR(__xludf.DUMMYFUNCTION("""COMPUTED_VALUE"""),46187.0)</f>
        <v>46187</v>
      </c>
      <c r="C6192" s="122" t="str">
        <f>IFERROR(__xludf.DUMMYFUNCTION("""COMPUTED_VALUE"""),"MEDX")</f>
        <v>MEDX</v>
      </c>
      <c r="D6192" s="122" t="str">
        <f>IFERROR(__xludf.DUMMYFUNCTION("""COMPUTED_VALUE"""),"MediCore")</f>
        <v>MediCore</v>
      </c>
      <c r="E6192" s="122">
        <f>IFERROR(__xludf.DUMMYFUNCTION("""COMPUTED_VALUE"""),138.13)</f>
        <v>138.13</v>
      </c>
      <c r="F6192" s="122">
        <f>IFERROR(__xludf.DUMMYFUNCTION("""COMPUTED_VALUE"""),0.0028)</f>
        <v>0.0028</v>
      </c>
    </row>
    <row r="6193">
      <c r="A6193" s="131">
        <f>IFERROR(__xludf.DUMMYFUNCTION("""COMPUTED_VALUE"""),46187.550104166665)</f>
        <v>46187.5501</v>
      </c>
      <c r="B6193" s="126">
        <f>IFERROR(__xludf.DUMMYFUNCTION("""COMPUTED_VALUE"""),46187.0)</f>
        <v>46187</v>
      </c>
      <c r="C6193" s="122" t="str">
        <f>IFERROR(__xludf.DUMMYFUNCTION("""COMPUTED_VALUE"""),"GYMX")</f>
        <v>GYMX</v>
      </c>
      <c r="D6193" s="122" t="str">
        <f>IFERROR(__xludf.DUMMYFUNCTION("""COMPUTED_VALUE"""),"GymX Fitness")</f>
        <v>GymX Fitness</v>
      </c>
      <c r="E6193" s="122">
        <f>IFERROR(__xludf.DUMMYFUNCTION("""COMPUTED_VALUE"""),86.14)</f>
        <v>86.14</v>
      </c>
      <c r="F6193" s="122">
        <f>IFERROR(__xludf.DUMMYFUNCTION("""COMPUTED_VALUE"""),6.0E-4)</f>
        <v>0.0006</v>
      </c>
    </row>
    <row r="6194">
      <c r="A6194" s="131">
        <f>IFERROR(__xludf.DUMMYFUNCTION("""COMPUTED_VALUE"""),46187.550104166665)</f>
        <v>46187.5501</v>
      </c>
      <c r="B6194" s="126">
        <f>IFERROR(__xludf.DUMMYFUNCTION("""COMPUTED_VALUE"""),46187.0)</f>
        <v>46187</v>
      </c>
      <c r="C6194" s="122" t="str">
        <f>IFERROR(__xludf.DUMMYFUNCTION("""COMPUTED_VALUE"""),"VITA")</f>
        <v>VITA</v>
      </c>
      <c r="D6194" s="122" t="str">
        <f>IFERROR(__xludf.DUMMYFUNCTION("""COMPUTED_VALUE"""),"VitaPlus")</f>
        <v>VitaPlus</v>
      </c>
      <c r="E6194" s="122">
        <f>IFERROR(__xludf.DUMMYFUNCTION("""COMPUTED_VALUE"""),71.89)</f>
        <v>71.89</v>
      </c>
      <c r="F6194" s="122">
        <f>IFERROR(__xludf.DUMMYFUNCTION("""COMPUTED_VALUE"""),0.0028)</f>
        <v>0.0028</v>
      </c>
    </row>
    <row r="6195">
      <c r="A6195" s="131">
        <f>IFERROR(__xludf.DUMMYFUNCTION("""COMPUTED_VALUE"""),46187.550104166665)</f>
        <v>46187.5501</v>
      </c>
      <c r="B6195" s="126">
        <f>IFERROR(__xludf.DUMMYFUNCTION("""COMPUTED_VALUE"""),46187.0)</f>
        <v>46187</v>
      </c>
      <c r="C6195" s="122" t="str">
        <f>IFERROR(__xludf.DUMMYFUNCTION("""COMPUTED_VALUE"""),"CARE")</f>
        <v>CARE</v>
      </c>
      <c r="D6195" s="122" t="str">
        <f>IFERROR(__xludf.DUMMYFUNCTION("""COMPUTED_VALUE"""),"CareCloud")</f>
        <v>CareCloud</v>
      </c>
      <c r="E6195" s="122">
        <f>IFERROR(__xludf.DUMMYFUNCTION("""COMPUTED_VALUE"""),180.35)</f>
        <v>180.35</v>
      </c>
      <c r="F6195" s="122">
        <f>IFERROR(__xludf.DUMMYFUNCTION("""COMPUTED_VALUE"""),0.0069)</f>
        <v>0.0069</v>
      </c>
    </row>
    <row r="6196">
      <c r="A6196" s="131">
        <f>IFERROR(__xludf.DUMMYFUNCTION("""COMPUTED_VALUE"""),46187.550104166665)</f>
        <v>46187.5501</v>
      </c>
      <c r="B6196" s="126">
        <f>IFERROR(__xludf.DUMMYFUNCTION("""COMPUTED_VALUE"""),46187.0)</f>
        <v>46187</v>
      </c>
      <c r="C6196" s="122" t="str">
        <f>IFERROR(__xludf.DUMMYFUNCTION("""COMPUTED_VALUE"""),"DENT")</f>
        <v>DENT</v>
      </c>
      <c r="D6196" s="122" t="str">
        <f>IFERROR(__xludf.DUMMYFUNCTION("""COMPUTED_VALUE"""),"SmileWorks")</f>
        <v>SmileWorks</v>
      </c>
      <c r="E6196" s="122">
        <f>IFERROR(__xludf.DUMMYFUNCTION("""COMPUTED_VALUE"""),92.79)</f>
        <v>92.79</v>
      </c>
      <c r="F6196" s="122">
        <f>IFERROR(__xludf.DUMMYFUNCTION("""COMPUTED_VALUE"""),0.0067)</f>
        <v>0.0067</v>
      </c>
    </row>
    <row r="6197">
      <c r="A6197" s="131">
        <f>IFERROR(__xludf.DUMMYFUNCTION("""COMPUTED_VALUE"""),46187.550104166665)</f>
        <v>46187.5501</v>
      </c>
      <c r="B6197" s="126">
        <f>IFERROR(__xludf.DUMMYFUNCTION("""COMPUTED_VALUE"""),46187.0)</f>
        <v>46187</v>
      </c>
      <c r="C6197" s="122" t="str">
        <f>IFERROR(__xludf.DUMMYFUNCTION("""COMPUTED_VALUE"""),"EDUX")</f>
        <v>EDUX</v>
      </c>
      <c r="D6197" s="122" t="str">
        <f>IFERROR(__xludf.DUMMYFUNCTION("""COMPUTED_VALUE"""),"EduMax Learning")</f>
        <v>EduMax Learning</v>
      </c>
      <c r="E6197" s="122">
        <f>IFERROR(__xludf.DUMMYFUNCTION("""COMPUTED_VALUE"""),144.45)</f>
        <v>144.45</v>
      </c>
      <c r="F6197" s="122">
        <f>IFERROR(__xludf.DUMMYFUNCTION("""COMPUTED_VALUE"""),-0.0019)</f>
        <v>-0.0019</v>
      </c>
    </row>
    <row r="6198">
      <c r="A6198" s="131">
        <f>IFERROR(__xludf.DUMMYFUNCTION("""COMPUTED_VALUE"""),46187.550104166665)</f>
        <v>46187.5501</v>
      </c>
      <c r="B6198" s="126">
        <f>IFERROR(__xludf.DUMMYFUNCTION("""COMPUTED_VALUE"""),46187.0)</f>
        <v>46187</v>
      </c>
      <c r="C6198" s="122" t="str">
        <f>IFERROR(__xludf.DUMMYFUNCTION("""COMPUTED_VALUE"""),"BOOK")</f>
        <v>BOOK</v>
      </c>
      <c r="D6198" s="122" t="str">
        <f>IFERROR(__xludf.DUMMYFUNCTION("""COMPUTED_VALUE"""),"BookBridge")</f>
        <v>BookBridge</v>
      </c>
      <c r="E6198" s="122">
        <f>IFERROR(__xludf.DUMMYFUNCTION("""COMPUTED_VALUE"""),118.89)</f>
        <v>118.89</v>
      </c>
      <c r="F6198" s="122">
        <f>IFERROR(__xludf.DUMMYFUNCTION("""COMPUTED_VALUE"""),0.0028)</f>
        <v>0.0028</v>
      </c>
    </row>
    <row r="6199">
      <c r="A6199" s="131">
        <f>IFERROR(__xludf.DUMMYFUNCTION("""COMPUTED_VALUE"""),46187.550104166665)</f>
        <v>46187.5501</v>
      </c>
      <c r="B6199" s="126">
        <f>IFERROR(__xludf.DUMMYFUNCTION("""COMPUTED_VALUE"""),46187.0)</f>
        <v>46187</v>
      </c>
      <c r="C6199" s="122" t="str">
        <f>IFERROR(__xludf.DUMMYFUNCTION("""COMPUTED_VALUE"""),"TUTR")</f>
        <v>TUTR</v>
      </c>
      <c r="D6199" s="122" t="str">
        <f>IFERROR(__xludf.DUMMYFUNCTION("""COMPUTED_VALUE"""),"TutorTown")</f>
        <v>TutorTown</v>
      </c>
      <c r="E6199" s="122">
        <f>IFERROR(__xludf.DUMMYFUNCTION("""COMPUTED_VALUE"""),89.8)</f>
        <v>89.8</v>
      </c>
      <c r="F6199" s="122">
        <f>IFERROR(__xludf.DUMMYFUNCTION("""COMPUTED_VALUE"""),0.005)</f>
        <v>0.005</v>
      </c>
    </row>
    <row r="6200">
      <c r="A6200" s="131">
        <f>IFERROR(__xludf.DUMMYFUNCTION("""COMPUTED_VALUE"""),46187.550104166665)</f>
        <v>46187.5501</v>
      </c>
      <c r="B6200" s="126">
        <f>IFERROR(__xludf.DUMMYFUNCTION("""COMPUTED_VALUE"""),46187.0)</f>
        <v>46187</v>
      </c>
      <c r="C6200" s="122" t="str">
        <f>IFERROR(__xludf.DUMMYFUNCTION("""COMPUTED_VALUE"""),"LANG")</f>
        <v>LANG</v>
      </c>
      <c r="D6200" s="122" t="str">
        <f>IFERROR(__xludf.DUMMYFUNCTION("""COMPUTED_VALUE"""),"LinguaLab")</f>
        <v>LinguaLab</v>
      </c>
      <c r="E6200" s="122">
        <f>IFERROR(__xludf.DUMMYFUNCTION("""COMPUTED_VALUE"""),100.78)</f>
        <v>100.78</v>
      </c>
      <c r="F6200" s="122">
        <f>IFERROR(__xludf.DUMMYFUNCTION("""COMPUTED_VALUE"""),-0.0032)</f>
        <v>-0.0032</v>
      </c>
    </row>
    <row r="6201">
      <c r="A6201" s="131">
        <f>IFERROR(__xludf.DUMMYFUNCTION("""COMPUTED_VALUE"""),46187.550104166665)</f>
        <v>46187.5501</v>
      </c>
      <c r="B6201" s="126">
        <f>IFERROR(__xludf.DUMMYFUNCTION("""COMPUTED_VALUE"""),46187.0)</f>
        <v>46187</v>
      </c>
      <c r="C6201" s="122" t="str">
        <f>IFERROR(__xludf.DUMMYFUNCTION("""COMPUTED_VALUE"""),"TEST")</f>
        <v>TEST</v>
      </c>
      <c r="D6201" s="122" t="str">
        <f>IFERROR(__xludf.DUMMYFUNCTION("""COMPUTED_VALUE"""),"TestPrep Pro")</f>
        <v>TestPrep Pro</v>
      </c>
      <c r="E6201" s="122">
        <f>IFERROR(__xludf.DUMMYFUNCTION("""COMPUTED_VALUE"""),93.02)</f>
        <v>93.02</v>
      </c>
      <c r="F6201" s="122">
        <f>IFERROR(__xludf.DUMMYFUNCTION("""COMPUTED_VALUE"""),-0.0049)</f>
        <v>-0.0049</v>
      </c>
    </row>
    <row r="6202">
      <c r="A6202" s="131">
        <f>IFERROR(__xludf.DUMMYFUNCTION("""COMPUTED_VALUE"""),46187.550104166665)</f>
        <v>46187.5501</v>
      </c>
      <c r="B6202" s="126">
        <f>IFERROR(__xludf.DUMMYFUNCTION("""COMPUTED_VALUE"""),46187.0)</f>
        <v>46187</v>
      </c>
      <c r="C6202" s="122" t="str">
        <f>IFERROR(__xludf.DUMMYFUNCTION("""COMPUTED_VALUE"""),"MOVI")</f>
        <v>MOVI</v>
      </c>
      <c r="D6202" s="122" t="str">
        <f>IFERROR(__xludf.DUMMYFUNCTION("""COMPUTED_VALUE"""),"MovieBox")</f>
        <v>MovieBox</v>
      </c>
      <c r="E6202" s="122">
        <f>IFERROR(__xludf.DUMMYFUNCTION("""COMPUTED_VALUE"""),83.08)</f>
        <v>83.08</v>
      </c>
      <c r="F6202" s="122">
        <f>IFERROR(__xludf.DUMMYFUNCTION("""COMPUTED_VALUE"""),0.0084)</f>
        <v>0.0084</v>
      </c>
    </row>
    <row r="6203">
      <c r="A6203" s="131">
        <f>IFERROR(__xludf.DUMMYFUNCTION("""COMPUTED_VALUE"""),46187.550104166665)</f>
        <v>46187.5501</v>
      </c>
      <c r="B6203" s="126">
        <f>IFERROR(__xludf.DUMMYFUNCTION("""COMPUTED_VALUE"""),46187.0)</f>
        <v>46187</v>
      </c>
      <c r="C6203" s="122" t="str">
        <f>IFERROR(__xludf.DUMMYFUNCTION("""COMPUTED_VALUE"""),"MUSC")</f>
        <v>MUSC</v>
      </c>
      <c r="D6203" s="122" t="str">
        <f>IFERROR(__xludf.DUMMYFUNCTION("""COMPUTED_VALUE"""),"MusicWave")</f>
        <v>MusicWave</v>
      </c>
      <c r="E6203" s="122">
        <f>IFERROR(__xludf.DUMMYFUNCTION("""COMPUTED_VALUE"""),101.45)</f>
        <v>101.45</v>
      </c>
      <c r="F6203" s="122">
        <f>IFERROR(__xludf.DUMMYFUNCTION("""COMPUTED_VALUE"""),0.0012)</f>
        <v>0.0012</v>
      </c>
    </row>
    <row r="6204">
      <c r="A6204" s="131">
        <f>IFERROR(__xludf.DUMMYFUNCTION("""COMPUTED_VALUE"""),46187.550104166665)</f>
        <v>46187.5501</v>
      </c>
      <c r="B6204" s="126">
        <f>IFERROR(__xludf.DUMMYFUNCTION("""COMPUTED_VALUE"""),46187.0)</f>
        <v>46187</v>
      </c>
      <c r="C6204" s="122" t="str">
        <f>IFERROR(__xludf.DUMMYFUNCTION("""COMPUTED_VALUE"""),"IDOL")</f>
        <v>IDOL</v>
      </c>
      <c r="D6204" s="122" t="str">
        <f>IFERROR(__xludf.DUMMYFUNCTION("""COMPUTED_VALUE"""),"Idol Agency")</f>
        <v>Idol Agency</v>
      </c>
      <c r="E6204" s="122">
        <f>IFERROR(__xludf.DUMMYFUNCTION("""COMPUTED_VALUE"""),184.9)</f>
        <v>184.9</v>
      </c>
      <c r="F6204" s="122">
        <f>IFERROR(__xludf.DUMMYFUNCTION("""COMPUTED_VALUE"""),-0.0114)</f>
        <v>-0.0114</v>
      </c>
    </row>
    <row r="6205">
      <c r="A6205" s="131">
        <f>IFERROR(__xludf.DUMMYFUNCTION("""COMPUTED_VALUE"""),46187.550104166665)</f>
        <v>46187.5501</v>
      </c>
      <c r="B6205" s="126">
        <f>IFERROR(__xludf.DUMMYFUNCTION("""COMPUTED_VALUE"""),46187.0)</f>
        <v>46187</v>
      </c>
      <c r="C6205" s="122" t="str">
        <f>IFERROR(__xludf.DUMMYFUNCTION("""COMPUTED_VALUE"""),"MEME")</f>
        <v>MEME</v>
      </c>
      <c r="D6205" s="122" t="str">
        <f>IFERROR(__xludf.DUMMYFUNCTION("""COMPUTED_VALUE"""),"Meme Media")</f>
        <v>Meme Media</v>
      </c>
      <c r="E6205" s="122">
        <f>IFERROR(__xludf.DUMMYFUNCTION("""COMPUTED_VALUE"""),72.26)</f>
        <v>72.26</v>
      </c>
      <c r="F6205" s="122">
        <f>IFERROR(__xludf.DUMMYFUNCTION("""COMPUTED_VALUE"""),-0.0026)</f>
        <v>-0.0026</v>
      </c>
    </row>
    <row r="6206">
      <c r="A6206" s="131">
        <f>IFERROR(__xludf.DUMMYFUNCTION("""COMPUTED_VALUE"""),46187.550104166665)</f>
        <v>46187.5501</v>
      </c>
      <c r="B6206" s="126">
        <f>IFERROR(__xludf.DUMMYFUNCTION("""COMPUTED_VALUE"""),46187.0)</f>
        <v>46187</v>
      </c>
      <c r="C6206" s="122" t="str">
        <f>IFERROR(__xludf.DUMMYFUNCTION("""COMPUTED_VALUE"""),"STRM")</f>
        <v>STRM</v>
      </c>
      <c r="D6206" s="122" t="str">
        <f>IFERROR(__xludf.DUMMYFUNCTION("""COMPUTED_VALUE"""),"Streamly")</f>
        <v>Streamly</v>
      </c>
      <c r="E6206" s="122">
        <f>IFERROR(__xludf.DUMMYFUNCTION("""COMPUTED_VALUE"""),137.62)</f>
        <v>137.62</v>
      </c>
      <c r="F6206" s="122">
        <f>IFERROR(__xludf.DUMMYFUNCTION("""COMPUTED_VALUE"""),-0.0013)</f>
        <v>-0.0013</v>
      </c>
    </row>
    <row r="6207">
      <c r="A6207" s="131">
        <f>IFERROR(__xludf.DUMMYFUNCTION("""COMPUTED_VALUE"""),46187.550104166665)</f>
        <v>46187.5501</v>
      </c>
      <c r="B6207" s="126">
        <f>IFERROR(__xludf.DUMMYFUNCTION("""COMPUTED_VALUE"""),46187.0)</f>
        <v>46187</v>
      </c>
      <c r="C6207" s="122" t="str">
        <f>IFERROR(__xludf.DUMMYFUNCTION("""COMPUTED_VALUE"""),"FARM")</f>
        <v>FARM</v>
      </c>
      <c r="D6207" s="122" t="str">
        <f>IFERROR(__xludf.DUMMYFUNCTION("""COMPUTED_VALUE"""),"Future Farms")</f>
        <v>Future Farms</v>
      </c>
      <c r="E6207" s="122">
        <f>IFERROR(__xludf.DUMMYFUNCTION("""COMPUTED_VALUE"""),92.23)</f>
        <v>92.23</v>
      </c>
      <c r="F6207" s="122">
        <f>IFERROR(__xludf.DUMMYFUNCTION("""COMPUTED_VALUE"""),0.0014)</f>
        <v>0.0014</v>
      </c>
    </row>
    <row r="6208">
      <c r="A6208" s="131">
        <f>IFERROR(__xludf.DUMMYFUNCTION("""COMPUTED_VALUE"""),46187.550104166665)</f>
        <v>46187.5501</v>
      </c>
      <c r="B6208" s="126">
        <f>IFERROR(__xludf.DUMMYFUNCTION("""COMPUTED_VALUE"""),46187.0)</f>
        <v>46187</v>
      </c>
      <c r="C6208" s="122" t="str">
        <f>IFERROR(__xludf.DUMMYFUNCTION("""COMPUTED_VALUE"""),"MEAT")</f>
        <v>MEAT</v>
      </c>
      <c r="D6208" s="122" t="str">
        <f>IFERROR(__xludf.DUMMYFUNCTION("""COMPUTED_VALUE"""),"MeatWorks")</f>
        <v>MeatWorks</v>
      </c>
      <c r="E6208" s="122">
        <f>IFERROR(__xludf.DUMMYFUNCTION("""COMPUTED_VALUE"""),105.68)</f>
        <v>105.68</v>
      </c>
      <c r="F6208" s="122">
        <f>IFERROR(__xludf.DUMMYFUNCTION("""COMPUTED_VALUE"""),-0.0034)</f>
        <v>-0.0034</v>
      </c>
    </row>
    <row r="6209">
      <c r="A6209" s="131">
        <f>IFERROR(__xludf.DUMMYFUNCTION("""COMPUTED_VALUE"""),46187.550104166665)</f>
        <v>46187.5501</v>
      </c>
      <c r="B6209" s="126">
        <f>IFERROR(__xludf.DUMMYFUNCTION("""COMPUTED_VALUE"""),46187.0)</f>
        <v>46187</v>
      </c>
      <c r="C6209" s="122" t="str">
        <f>IFERROR(__xludf.DUMMYFUNCTION("""COMPUTED_VALUE"""),"VEGI")</f>
        <v>VEGI</v>
      </c>
      <c r="D6209" s="122" t="str">
        <f>IFERROR(__xludf.DUMMYFUNCTION("""COMPUTED_VALUE"""),"Green Basket")</f>
        <v>Green Basket</v>
      </c>
      <c r="E6209" s="122">
        <f>IFERROR(__xludf.DUMMYFUNCTION("""COMPUTED_VALUE"""),78.42)</f>
        <v>78.42</v>
      </c>
      <c r="F6209" s="122">
        <f>IFERROR(__xludf.DUMMYFUNCTION("""COMPUTED_VALUE"""),-0.0037)</f>
        <v>-0.0037</v>
      </c>
    </row>
    <row r="6210">
      <c r="A6210" s="131">
        <f>IFERROR(__xludf.DUMMYFUNCTION("""COMPUTED_VALUE"""),46187.550104166665)</f>
        <v>46187.5501</v>
      </c>
      <c r="B6210" s="126">
        <f>IFERROR(__xludf.DUMMYFUNCTION("""COMPUTED_VALUE"""),46187.0)</f>
        <v>46187</v>
      </c>
      <c r="C6210" s="122" t="str">
        <f>IFERROR(__xludf.DUMMYFUNCTION("""COMPUTED_VALUE"""),"CAFE")</f>
        <v>CAFE</v>
      </c>
      <c r="D6210" s="122" t="str">
        <f>IFERROR(__xludf.DUMMYFUNCTION("""COMPUTED_VALUE"""),"Cafe Cloud")</f>
        <v>Cafe Cloud</v>
      </c>
      <c r="E6210" s="122">
        <f>IFERROR(__xludf.DUMMYFUNCTION("""COMPUTED_VALUE"""),100.56)</f>
        <v>100.56</v>
      </c>
      <c r="F6210" s="122">
        <f>IFERROR(__xludf.DUMMYFUNCTION("""COMPUTED_VALUE"""),0.0065)</f>
        <v>0.0065</v>
      </c>
    </row>
    <row r="6211">
      <c r="A6211" s="131">
        <f>IFERROR(__xludf.DUMMYFUNCTION("""COMPUTED_VALUE"""),46187.550104166665)</f>
        <v>46187.5501</v>
      </c>
      <c r="B6211" s="126">
        <f>IFERROR(__xludf.DUMMYFUNCTION("""COMPUTED_VALUE"""),46187.0)</f>
        <v>46187</v>
      </c>
      <c r="C6211" s="122" t="str">
        <f>IFERROR(__xludf.DUMMYFUNCTION("""COMPUTED_VALUE"""),"BAKE")</f>
        <v>BAKE</v>
      </c>
      <c r="D6211" s="122" t="str">
        <f>IFERROR(__xludf.DUMMYFUNCTION("""COMPUTED_VALUE"""),"BakeHouse")</f>
        <v>BakeHouse</v>
      </c>
      <c r="E6211" s="122">
        <f>IFERROR(__xludf.DUMMYFUNCTION("""COMPUTED_VALUE"""),101.82)</f>
        <v>101.82</v>
      </c>
      <c r="F6211" s="122">
        <f>IFERROR(__xludf.DUMMYFUNCTION("""COMPUTED_VALUE"""),-3.0E-4)</f>
        <v>-0.0003</v>
      </c>
    </row>
    <row r="6212">
      <c r="A6212" s="131">
        <f>IFERROR(__xludf.DUMMYFUNCTION("""COMPUTED_VALUE"""),46187.550104166665)</f>
        <v>46187.5501</v>
      </c>
      <c r="B6212" s="126">
        <f>IFERROR(__xludf.DUMMYFUNCTION("""COMPUTED_VALUE"""),46187.0)</f>
        <v>46187</v>
      </c>
      <c r="C6212" s="122" t="str">
        <f>IFERROR(__xludf.DUMMYFUNCTION("""COMPUTED_VALUE"""),"OILX")</f>
        <v>OILX</v>
      </c>
      <c r="D6212" s="122" t="str">
        <f>IFERROR(__xludf.DUMMYFUNCTION("""COMPUTED_VALUE"""),"OilMax Energy")</f>
        <v>OilMax Energy</v>
      </c>
      <c r="E6212" s="122">
        <f>IFERROR(__xludf.DUMMYFUNCTION("""COMPUTED_VALUE"""),130.91)</f>
        <v>130.91</v>
      </c>
      <c r="F6212" s="122">
        <f>IFERROR(__xludf.DUMMYFUNCTION("""COMPUTED_VALUE"""),-0.0043)</f>
        <v>-0.0043</v>
      </c>
    </row>
    <row r="6213">
      <c r="A6213" s="131">
        <f>IFERROR(__xludf.DUMMYFUNCTION("""COMPUTED_VALUE"""),46187.550104166665)</f>
        <v>46187.5501</v>
      </c>
      <c r="B6213" s="126">
        <f>IFERROR(__xludf.DUMMYFUNCTION("""COMPUTED_VALUE"""),46187.0)</f>
        <v>46187</v>
      </c>
      <c r="C6213" s="122" t="str">
        <f>IFERROR(__xludf.DUMMYFUNCTION("""COMPUTED_VALUE"""),"SOLR")</f>
        <v>SOLR</v>
      </c>
      <c r="D6213" s="122" t="str">
        <f>IFERROR(__xludf.DUMMYFUNCTION("""COMPUTED_VALUE"""),"SolarSpark")</f>
        <v>SolarSpark</v>
      </c>
      <c r="E6213" s="122">
        <f>IFERROR(__xludf.DUMMYFUNCTION("""COMPUTED_VALUE"""),100.32)</f>
        <v>100.32</v>
      </c>
      <c r="F6213" s="122">
        <f>IFERROR(__xludf.DUMMYFUNCTION("""COMPUTED_VALUE"""),-5.0E-4)</f>
        <v>-0.0005</v>
      </c>
    </row>
    <row r="6214">
      <c r="A6214" s="131">
        <f>IFERROR(__xludf.DUMMYFUNCTION("""COMPUTED_VALUE"""),46187.550104166665)</f>
        <v>46187.5501</v>
      </c>
      <c r="B6214" s="126">
        <f>IFERROR(__xludf.DUMMYFUNCTION("""COMPUTED_VALUE"""),46187.0)</f>
        <v>46187</v>
      </c>
      <c r="C6214" s="122" t="str">
        <f>IFERROR(__xludf.DUMMYFUNCTION("""COMPUTED_VALUE"""),"BATT")</f>
        <v>BATT</v>
      </c>
      <c r="D6214" s="122" t="str">
        <f>IFERROR(__xludf.DUMMYFUNCTION("""COMPUTED_VALUE"""),"BatteryBox")</f>
        <v>BatteryBox</v>
      </c>
      <c r="E6214" s="122">
        <f>IFERROR(__xludf.DUMMYFUNCTION("""COMPUTED_VALUE"""),117.14)</f>
        <v>117.14</v>
      </c>
      <c r="F6214" s="122">
        <f>IFERROR(__xludf.DUMMYFUNCTION("""COMPUTED_VALUE"""),-0.003)</f>
        <v>-0.003</v>
      </c>
    </row>
    <row r="6215">
      <c r="A6215" s="131">
        <f>IFERROR(__xludf.DUMMYFUNCTION("""COMPUTED_VALUE"""),46187.550104166665)</f>
        <v>46187.5501</v>
      </c>
      <c r="B6215" s="126">
        <f>IFERROR(__xludf.DUMMYFUNCTION("""COMPUTED_VALUE"""),46187.0)</f>
        <v>46187</v>
      </c>
      <c r="C6215" s="122" t="str">
        <f>IFERROR(__xludf.DUMMYFUNCTION("""COMPUTED_VALUE"""),"WIND")</f>
        <v>WIND</v>
      </c>
      <c r="D6215" s="122" t="str">
        <f>IFERROR(__xludf.DUMMYFUNCTION("""COMPUTED_VALUE"""),"WindWorks")</f>
        <v>WindWorks</v>
      </c>
      <c r="E6215" s="122">
        <f>IFERROR(__xludf.DUMMYFUNCTION("""COMPUTED_VALUE"""),87.85)</f>
        <v>87.85</v>
      </c>
      <c r="F6215" s="122">
        <f>IFERROR(__xludf.DUMMYFUNCTION("""COMPUTED_VALUE"""),-0.004)</f>
        <v>-0.004</v>
      </c>
    </row>
    <row r="6216">
      <c r="A6216" s="131">
        <f>IFERROR(__xludf.DUMMYFUNCTION("""COMPUTED_VALUE"""),46187.550104166665)</f>
        <v>46187.5501</v>
      </c>
      <c r="B6216" s="126">
        <f>IFERROR(__xludf.DUMMYFUNCTION("""COMPUTED_VALUE"""),46187.0)</f>
        <v>46187</v>
      </c>
      <c r="C6216" s="122" t="str">
        <f>IFERROR(__xludf.DUMMYFUNCTION("""COMPUTED_VALUE"""),"GRID")</f>
        <v>GRID</v>
      </c>
      <c r="D6216" s="122" t="str">
        <f>IFERROR(__xludf.DUMMYFUNCTION("""COMPUTED_VALUE"""),"GridPower")</f>
        <v>GridPower</v>
      </c>
      <c r="E6216" s="122">
        <f>IFERROR(__xludf.DUMMYFUNCTION("""COMPUTED_VALUE"""),132.24)</f>
        <v>132.24</v>
      </c>
      <c r="F6216" s="122">
        <f>IFERROR(__xludf.DUMMYFUNCTION("""COMPUTED_VALUE"""),-0.0073)</f>
        <v>-0.0073</v>
      </c>
    </row>
    <row r="6217">
      <c r="A6217" s="131">
        <f>IFERROR(__xludf.DUMMYFUNCTION("""COMPUTED_VALUE"""),46187.550104166665)</f>
        <v>46187.5501</v>
      </c>
      <c r="B6217" s="126">
        <f>IFERROR(__xludf.DUMMYFUNCTION("""COMPUTED_VALUE"""),46187.0)</f>
        <v>46187</v>
      </c>
      <c r="C6217" s="122" t="str">
        <f>IFERROR(__xludf.DUMMYFUNCTION("""COMPUTED_VALUE"""),"HOME")</f>
        <v>HOME</v>
      </c>
      <c r="D6217" s="122" t="str">
        <f>IFERROR(__xludf.DUMMYFUNCTION("""COMPUTED_VALUE"""),"HomeHub")</f>
        <v>HomeHub</v>
      </c>
      <c r="E6217" s="122">
        <f>IFERROR(__xludf.DUMMYFUNCTION("""COMPUTED_VALUE"""),155.29)</f>
        <v>155.29</v>
      </c>
      <c r="F6217" s="122">
        <f>IFERROR(__xludf.DUMMYFUNCTION("""COMPUTED_VALUE"""),0.0017)</f>
        <v>0.0017</v>
      </c>
    </row>
    <row r="6218">
      <c r="A6218" s="131">
        <f>IFERROR(__xludf.DUMMYFUNCTION("""COMPUTED_VALUE"""),46187.550104166665)</f>
        <v>46187.5501</v>
      </c>
      <c r="B6218" s="126">
        <f>IFERROR(__xludf.DUMMYFUNCTION("""COMPUTED_VALUE"""),46187.0)</f>
        <v>46187</v>
      </c>
      <c r="C6218" s="122" t="str">
        <f>IFERROR(__xludf.DUMMYFUNCTION("""COMPUTED_VALUE"""),"RENT")</f>
        <v>RENT</v>
      </c>
      <c r="D6218" s="122" t="str">
        <f>IFERROR(__xludf.DUMMYFUNCTION("""COMPUTED_VALUE"""),"RentRight")</f>
        <v>RentRight</v>
      </c>
      <c r="E6218" s="122">
        <f>IFERROR(__xludf.DUMMYFUNCTION("""COMPUTED_VALUE"""),91.48)</f>
        <v>91.48</v>
      </c>
      <c r="F6218" s="122">
        <f>IFERROR(__xludf.DUMMYFUNCTION("""COMPUTED_VALUE"""),-0.0036)</f>
        <v>-0.0036</v>
      </c>
    </row>
    <row r="6219">
      <c r="A6219" s="131">
        <f>IFERROR(__xludf.DUMMYFUNCTION("""COMPUTED_VALUE"""),46187.550104166665)</f>
        <v>46187.5501</v>
      </c>
      <c r="B6219" s="126">
        <f>IFERROR(__xludf.DUMMYFUNCTION("""COMPUTED_VALUE"""),46187.0)</f>
        <v>46187</v>
      </c>
      <c r="C6219" s="122" t="str">
        <f>IFERROR(__xludf.DUMMYFUNCTION("""COMPUTED_VALUE"""),"MALL")</f>
        <v>MALL</v>
      </c>
      <c r="D6219" s="122" t="str">
        <f>IFERROR(__xludf.DUMMYFUNCTION("""COMPUTED_VALUE"""),"MegaMall")</f>
        <v>MegaMall</v>
      </c>
      <c r="E6219" s="122">
        <f>IFERROR(__xludf.DUMMYFUNCTION("""COMPUTED_VALUE"""),100.09)</f>
        <v>100.09</v>
      </c>
      <c r="F6219" s="122">
        <f>IFERROR(__xludf.DUMMYFUNCTION("""COMPUTED_VALUE"""),0.002)</f>
        <v>0.002</v>
      </c>
    </row>
    <row r="6220">
      <c r="A6220" s="131">
        <f>IFERROR(__xludf.DUMMYFUNCTION("""COMPUTED_VALUE"""),46187.550104166665)</f>
        <v>46187.5501</v>
      </c>
      <c r="B6220" s="126">
        <f>IFERROR(__xludf.DUMMYFUNCTION("""COMPUTED_VALUE"""),46187.0)</f>
        <v>46187</v>
      </c>
      <c r="C6220" s="122" t="str">
        <f>IFERROR(__xludf.DUMMYFUNCTION("""COMPUTED_VALUE"""),"HOTL")</f>
        <v>HOTL</v>
      </c>
      <c r="D6220" s="122" t="str">
        <f>IFERROR(__xludf.DUMMYFUNCTION("""COMPUTED_VALUE"""),"HotelHive")</f>
        <v>HotelHive</v>
      </c>
      <c r="E6220" s="122">
        <f>IFERROR(__xludf.DUMMYFUNCTION("""COMPUTED_VALUE"""),128.21)</f>
        <v>128.21</v>
      </c>
      <c r="F6220" s="122">
        <f>IFERROR(__xludf.DUMMYFUNCTION("""COMPUTED_VALUE"""),0.007)</f>
        <v>0.007</v>
      </c>
    </row>
    <row r="6221">
      <c r="A6221" s="131">
        <f>IFERROR(__xludf.DUMMYFUNCTION("""COMPUTED_VALUE"""),46187.550104166665)</f>
        <v>46187.5501</v>
      </c>
      <c r="B6221" s="126">
        <f>IFERROR(__xludf.DUMMYFUNCTION("""COMPUTED_VALUE"""),46187.0)</f>
        <v>46187</v>
      </c>
      <c r="C6221" s="122" t="str">
        <f>IFERROR(__xludf.DUMMYFUNCTION("""COMPUTED_VALUE"""),"LAND")</f>
        <v>LAND</v>
      </c>
      <c r="D6221" s="122" t="str">
        <f>IFERROR(__xludf.DUMMYFUNCTION("""COMPUTED_VALUE"""),"LandLink")</f>
        <v>LandLink</v>
      </c>
      <c r="E6221" s="122">
        <f>IFERROR(__xludf.DUMMYFUNCTION("""COMPUTED_VALUE"""),183.59)</f>
        <v>183.59</v>
      </c>
      <c r="F6221" s="122">
        <f>IFERROR(__xludf.DUMMYFUNCTION("""COMPUTED_VALUE"""),6.0E-4)</f>
        <v>0.0006</v>
      </c>
    </row>
    <row r="6222">
      <c r="A6222" s="131">
        <f>IFERROR(__xludf.DUMMYFUNCTION("""COMPUTED_VALUE"""),46187.550104166665)</f>
        <v>46187.5501</v>
      </c>
      <c r="B6222" s="126">
        <f>IFERROR(__xludf.DUMMYFUNCTION("""COMPUTED_VALUE"""),46187.0)</f>
        <v>46187</v>
      </c>
      <c r="C6222" s="122" t="str">
        <f>IFERROR(__xludf.DUMMYFUNCTION("""COMPUTED_VALUE"""),"CARS")</f>
        <v>CARS</v>
      </c>
      <c r="D6222" s="122" t="str">
        <f>IFERROR(__xludf.DUMMYFUNCTION("""COMPUTED_VALUE"""),"AutoArena")</f>
        <v>AutoArena</v>
      </c>
      <c r="E6222" s="122">
        <f>IFERROR(__xludf.DUMMYFUNCTION("""COMPUTED_VALUE"""),80.2)</f>
        <v>80.2</v>
      </c>
      <c r="F6222" s="122">
        <f>IFERROR(__xludf.DUMMYFUNCTION("""COMPUTED_VALUE"""),-5.0E-4)</f>
        <v>-0.0005</v>
      </c>
    </row>
    <row r="6223">
      <c r="A6223" s="131">
        <f>IFERROR(__xludf.DUMMYFUNCTION("""COMPUTED_VALUE"""),46187.550104166665)</f>
        <v>46187.5501</v>
      </c>
      <c r="B6223" s="126">
        <f>IFERROR(__xludf.DUMMYFUNCTION("""COMPUTED_VALUE"""),46187.0)</f>
        <v>46187</v>
      </c>
      <c r="C6223" s="122" t="str">
        <f>IFERROR(__xludf.DUMMYFUNCTION("""COMPUTED_VALUE"""),"EVGO")</f>
        <v>EVGO</v>
      </c>
      <c r="D6223" s="122" t="str">
        <f>IFERROR(__xludf.DUMMYFUNCTION("""COMPUTED_VALUE"""),"EVGo Motors")</f>
        <v>EVGo Motors</v>
      </c>
      <c r="E6223" s="122">
        <f>IFERROR(__xludf.DUMMYFUNCTION("""COMPUTED_VALUE"""),180.07)</f>
        <v>180.07</v>
      </c>
      <c r="F6223" s="122">
        <f>IFERROR(__xludf.DUMMYFUNCTION("""COMPUTED_VALUE"""),0.0106)</f>
        <v>0.0106</v>
      </c>
    </row>
    <row r="6224">
      <c r="A6224" s="131">
        <f>IFERROR(__xludf.DUMMYFUNCTION("""COMPUTED_VALUE"""),46187.550104166665)</f>
        <v>46187.5501</v>
      </c>
      <c r="B6224" s="126">
        <f>IFERROR(__xludf.DUMMYFUNCTION("""COMPUTED_VALUE"""),46187.0)</f>
        <v>46187</v>
      </c>
      <c r="C6224" s="122" t="str">
        <f>IFERROR(__xludf.DUMMYFUNCTION("""COMPUTED_VALUE"""),"TIRE")</f>
        <v>TIRE</v>
      </c>
      <c r="D6224" s="122" t="str">
        <f>IFERROR(__xludf.DUMMYFUNCTION("""COMPUTED_VALUE"""),"TireTown")</f>
        <v>TireTown</v>
      </c>
      <c r="E6224" s="122">
        <f>IFERROR(__xludf.DUMMYFUNCTION("""COMPUTED_VALUE"""),96.39)</f>
        <v>96.39</v>
      </c>
      <c r="F6224" s="122">
        <f>IFERROR(__xludf.DUMMYFUNCTION("""COMPUTED_VALUE"""),4.0E-4)</f>
        <v>0.0004</v>
      </c>
    </row>
    <row r="6225">
      <c r="A6225" s="131">
        <f>IFERROR(__xludf.DUMMYFUNCTION("""COMPUTED_VALUE"""),46187.550104166665)</f>
        <v>46187.5501</v>
      </c>
      <c r="B6225" s="126">
        <f>IFERROR(__xludf.DUMMYFUNCTION("""COMPUTED_VALUE"""),46187.0)</f>
        <v>46187</v>
      </c>
      <c r="C6225" s="122" t="str">
        <f>IFERROR(__xludf.DUMMYFUNCTION("""COMPUTED_VALUE"""),"BIKE")</f>
        <v>BIKE</v>
      </c>
      <c r="D6225" s="122" t="str">
        <f>IFERROR(__xludf.DUMMYFUNCTION("""COMPUTED_VALUE"""),"BikeBox")</f>
        <v>BikeBox</v>
      </c>
      <c r="E6225" s="122">
        <f>IFERROR(__xludf.DUMMYFUNCTION("""COMPUTED_VALUE"""),52.2)</f>
        <v>52.2</v>
      </c>
      <c r="F6225" s="122">
        <f>IFERROR(__xludf.DUMMYFUNCTION("""COMPUTED_VALUE"""),-0.0038)</f>
        <v>-0.0038</v>
      </c>
    </row>
    <row r="6226">
      <c r="A6226" s="131">
        <f>IFERROR(__xludf.DUMMYFUNCTION("""COMPUTED_VALUE"""),46187.550104166665)</f>
        <v>46187.5501</v>
      </c>
      <c r="B6226" s="126">
        <f>IFERROR(__xludf.DUMMYFUNCTION("""COMPUTED_VALUE"""),46187.0)</f>
        <v>46187</v>
      </c>
      <c r="C6226" s="122" t="str">
        <f>IFERROR(__xludf.DUMMYFUNCTION("""COMPUTED_VALUE"""),"WASH")</f>
        <v>WASH</v>
      </c>
      <c r="D6226" s="122" t="str">
        <f>IFERROR(__xludf.DUMMYFUNCTION("""COMPUTED_VALUE"""),"CarWash Co")</f>
        <v>CarWash Co</v>
      </c>
      <c r="E6226" s="122">
        <f>IFERROR(__xludf.DUMMYFUNCTION("""COMPUTED_VALUE"""),118.84)</f>
        <v>118.84</v>
      </c>
      <c r="F6226" s="122">
        <f>IFERROR(__xludf.DUMMYFUNCTION("""COMPUTED_VALUE"""),-0.0015)</f>
        <v>-0.0015</v>
      </c>
    </row>
    <row r="6227">
      <c r="A6227" s="131">
        <f>IFERROR(__xludf.DUMMYFUNCTION("""COMPUTED_VALUE"""),46187.550104166665)</f>
        <v>46187.5501</v>
      </c>
      <c r="B6227" s="126">
        <f>IFERROR(__xludf.DUMMYFUNCTION("""COMPUTED_VALUE"""),46187.0)</f>
        <v>46187</v>
      </c>
      <c r="C6227" s="122" t="str">
        <f>IFERROR(__xludf.DUMMYFUNCTION("""COMPUTED_VALUE"""),"GBND")</f>
        <v>GBND</v>
      </c>
      <c r="D6227" s="122" t="str">
        <f>IFERROR(__xludf.DUMMYFUNCTION("""COMPUTED_VALUE"""),"Classroom Government Bond")</f>
        <v>Classroom Government Bond</v>
      </c>
      <c r="E6227" s="122">
        <f>IFERROR(__xludf.DUMMYFUNCTION("""COMPUTED_VALUE"""),101.16)</f>
        <v>101.16</v>
      </c>
      <c r="F6227" s="122">
        <f>IFERROR(__xludf.DUMMYFUNCTION("""COMPUTED_VALUE"""),2.0E-4)</f>
        <v>0.0002</v>
      </c>
    </row>
    <row r="6228">
      <c r="A6228" s="131">
        <f>IFERROR(__xludf.DUMMYFUNCTION("""COMPUTED_VALUE"""),46187.550104166665)</f>
        <v>46187.5501</v>
      </c>
      <c r="B6228" s="126">
        <f>IFERROR(__xludf.DUMMYFUNCTION("""COMPUTED_VALUE"""),46187.0)</f>
        <v>46187</v>
      </c>
      <c r="C6228" s="122" t="str">
        <f>IFERROR(__xludf.DUMMYFUNCTION("""COMPUTED_VALUE"""),"SBND")</f>
        <v>SBND</v>
      </c>
      <c r="D6228" s="122" t="str">
        <f>IFERROR(__xludf.DUMMYFUNCTION("""COMPUTED_VALUE"""),"School Savings Bond")</f>
        <v>School Savings Bond</v>
      </c>
      <c r="E6228" s="122">
        <f>IFERROR(__xludf.DUMMYFUNCTION("""COMPUTED_VALUE"""),99.24)</f>
        <v>99.24</v>
      </c>
      <c r="F6228" s="122">
        <f>IFERROR(__xludf.DUMMYFUNCTION("""COMPUTED_VALUE"""),-3.0E-4)</f>
        <v>-0.0003</v>
      </c>
    </row>
    <row r="6229">
      <c r="A6229" s="131">
        <f>IFERROR(__xludf.DUMMYFUNCTION("""COMPUTED_VALUE"""),46187.550104166665)</f>
        <v>46187.5501</v>
      </c>
      <c r="B6229" s="126">
        <f>IFERROR(__xludf.DUMMYFUNCTION("""COMPUTED_VALUE"""),46187.0)</f>
        <v>46187</v>
      </c>
      <c r="C6229" s="122" t="str">
        <f>IFERROR(__xludf.DUMMYFUNCTION("""COMPUTED_VALUE"""),"CBND")</f>
        <v>CBND</v>
      </c>
      <c r="D6229" s="122" t="str">
        <f>IFERROR(__xludf.DUMMYFUNCTION("""COMPUTED_VALUE"""),"Corporate Classroom Bond")</f>
        <v>Corporate Classroom Bond</v>
      </c>
      <c r="E6229" s="122">
        <f>IFERROR(__xludf.DUMMYFUNCTION("""COMPUTED_VALUE"""),97.76)</f>
        <v>97.76</v>
      </c>
      <c r="F6229" s="122">
        <f>IFERROR(__xludf.DUMMYFUNCTION("""COMPUTED_VALUE"""),1.0E-4)</f>
        <v>0.0001</v>
      </c>
    </row>
    <row r="6230">
      <c r="A6230" s="131">
        <f>IFERROR(__xludf.DUMMYFUNCTION("""COMPUTED_VALUE"""),46187.550104166665)</f>
        <v>46187.5501</v>
      </c>
      <c r="B6230" s="126">
        <f>IFERROR(__xludf.DUMMYFUNCTION("""COMPUTED_VALUE"""),46187.0)</f>
        <v>46187</v>
      </c>
      <c r="C6230" s="122" t="str">
        <f>IFERROR(__xludf.DUMMYFUNCTION("""COMPUTED_VALUE"""),"TBIL")</f>
        <v>TBIL</v>
      </c>
      <c r="D6230" s="122" t="str">
        <f>IFERROR(__xludf.DUMMYFUNCTION("""COMPUTED_VALUE"""),"Treasury Bill")</f>
        <v>Treasury Bill</v>
      </c>
      <c r="E6230" s="122">
        <f>IFERROR(__xludf.DUMMYFUNCTION("""COMPUTED_VALUE"""),98.03)</f>
        <v>98.03</v>
      </c>
      <c r="F6230" s="122">
        <f>IFERROR(__xludf.DUMMYFUNCTION("""COMPUTED_VALUE"""),-1.0E-4)</f>
        <v>-0.0001</v>
      </c>
    </row>
    <row r="6231">
      <c r="A6231" s="131">
        <f>IFERROR(__xludf.DUMMYFUNCTION("""COMPUTED_VALUE"""),46187.550104166665)</f>
        <v>46187.5501</v>
      </c>
      <c r="B6231" s="126">
        <f>IFERROR(__xludf.DUMMYFUNCTION("""COMPUTED_VALUE"""),46187.0)</f>
        <v>46187</v>
      </c>
      <c r="C6231" s="122" t="str">
        <f>IFERROR(__xludf.DUMMYFUNCTION("""COMPUTED_VALUE"""),"IBND")</f>
        <v>IBND</v>
      </c>
      <c r="D6231" s="122" t="str">
        <f>IFERROR(__xludf.DUMMYFUNCTION("""COMPUTED_VALUE"""),"Inflation Protected Bond")</f>
        <v>Inflation Protected Bond</v>
      </c>
      <c r="E6231" s="122">
        <f>IFERROR(__xludf.DUMMYFUNCTION("""COMPUTED_VALUE"""),100.86)</f>
        <v>100.86</v>
      </c>
      <c r="F6231" s="122">
        <f>IFERROR(__xludf.DUMMYFUNCTION("""COMPUTED_VALUE"""),5.0E-4)</f>
        <v>0.0005</v>
      </c>
    </row>
    <row r="6232">
      <c r="A6232" s="131">
        <f>IFERROR(__xludf.DUMMYFUNCTION("""COMPUTED_VALUE"""),46187.554027777776)</f>
        <v>46187.55403</v>
      </c>
      <c r="B6232" s="126">
        <f>IFERROR(__xludf.DUMMYFUNCTION("""COMPUTED_VALUE"""),46187.0)</f>
        <v>46187</v>
      </c>
      <c r="C6232" s="122" t="str">
        <f>IFERROR(__xludf.DUMMYFUNCTION("""COMPUTED_VALUE"""),"SNAX")</f>
        <v>SNAX</v>
      </c>
      <c r="D6232" s="122" t="str">
        <f>IFERROR(__xludf.DUMMYFUNCTION("""COMPUTED_VALUE"""),"MICA Snacks")</f>
        <v>MICA Snacks</v>
      </c>
      <c r="E6232" s="122">
        <f>IFERROR(__xludf.DUMMYFUNCTION("""COMPUTED_VALUE"""),120.89)</f>
        <v>120.89</v>
      </c>
      <c r="F6232" s="122">
        <f>IFERROR(__xludf.DUMMYFUNCTION("""COMPUTED_VALUE"""),-0.0048)</f>
        <v>-0.0048</v>
      </c>
    </row>
    <row r="6233">
      <c r="A6233" s="131">
        <f>IFERROR(__xludf.DUMMYFUNCTION("""COMPUTED_VALUE"""),46187.554027777776)</f>
        <v>46187.55403</v>
      </c>
      <c r="B6233" s="126">
        <f>IFERROR(__xludf.DUMMYFUNCTION("""COMPUTED_VALUE"""),46187.0)</f>
        <v>46187</v>
      </c>
      <c r="C6233" s="122" t="str">
        <f>IFERROR(__xludf.DUMMYFUNCTION("""COMPUTED_VALUE"""),"RAMN")</f>
        <v>RAMN</v>
      </c>
      <c r="D6233" s="122" t="str">
        <f>IFERROR(__xludf.DUMMYFUNCTION("""COMPUTED_VALUE"""),"Ramen Republic")</f>
        <v>Ramen Republic</v>
      </c>
      <c r="E6233" s="122">
        <f>IFERROR(__xludf.DUMMYFUNCTION("""COMPUTED_VALUE"""),65.91)</f>
        <v>65.91</v>
      </c>
      <c r="F6233" s="122">
        <f>IFERROR(__xludf.DUMMYFUNCTION("""COMPUTED_VALUE"""),-0.0036)</f>
        <v>-0.0036</v>
      </c>
    </row>
    <row r="6234">
      <c r="A6234" s="131">
        <f>IFERROR(__xludf.DUMMYFUNCTION("""COMPUTED_VALUE"""),46187.554027777776)</f>
        <v>46187.55403</v>
      </c>
      <c r="B6234" s="126">
        <f>IFERROR(__xludf.DUMMYFUNCTION("""COMPUTED_VALUE"""),46187.0)</f>
        <v>46187</v>
      </c>
      <c r="C6234" s="122" t="str">
        <f>IFERROR(__xludf.DUMMYFUNCTION("""COMPUTED_VALUE"""),"COLA")</f>
        <v>COLA</v>
      </c>
      <c r="D6234" s="122" t="str">
        <f>IFERROR(__xludf.DUMMYFUNCTION("""COMPUTED_VALUE"""),"K-Pop Cola")</f>
        <v>K-Pop Cola</v>
      </c>
      <c r="E6234" s="122">
        <f>IFERROR(__xludf.DUMMYFUNCTION("""COMPUTED_VALUE"""),114.38)</f>
        <v>114.38</v>
      </c>
      <c r="F6234" s="122">
        <f>IFERROR(__xludf.DUMMYFUNCTION("""COMPUTED_VALUE"""),0.0017)</f>
        <v>0.0017</v>
      </c>
    </row>
    <row r="6235">
      <c r="A6235" s="131">
        <f>IFERROR(__xludf.DUMMYFUNCTION("""COMPUTED_VALUE"""),46187.554027777776)</f>
        <v>46187.55403</v>
      </c>
      <c r="B6235" s="126">
        <f>IFERROR(__xludf.DUMMYFUNCTION("""COMPUTED_VALUE"""),46187.0)</f>
        <v>46187</v>
      </c>
      <c r="C6235" s="122" t="str">
        <f>IFERROR(__xludf.DUMMYFUNCTION("""COMPUTED_VALUE"""),"CHIP")</f>
        <v>CHIP</v>
      </c>
      <c r="D6235" s="122" t="str">
        <f>IFERROR(__xludf.DUMMYFUNCTION("""COMPUTED_VALUE"""),"Chip Empire")</f>
        <v>Chip Empire</v>
      </c>
      <c r="E6235" s="122">
        <f>IFERROR(__xludf.DUMMYFUNCTION("""COMPUTED_VALUE"""),84.11)</f>
        <v>84.11</v>
      </c>
      <c r="F6235" s="122">
        <f>IFERROR(__xludf.DUMMYFUNCTION("""COMPUTED_VALUE"""),-0.0093)</f>
        <v>-0.0093</v>
      </c>
    </row>
    <row r="6236">
      <c r="A6236" s="131">
        <f>IFERROR(__xludf.DUMMYFUNCTION("""COMPUTED_VALUE"""),46187.554027777776)</f>
        <v>46187.55403</v>
      </c>
      <c r="B6236" s="126">
        <f>IFERROR(__xludf.DUMMYFUNCTION("""COMPUTED_VALUE"""),46187.0)</f>
        <v>46187</v>
      </c>
      <c r="C6236" s="122" t="str">
        <f>IFERROR(__xludf.DUMMYFUNCTION("""COMPUTED_VALUE"""),"CAND")</f>
        <v>CAND</v>
      </c>
      <c r="D6236" s="122" t="str">
        <f>IFERROR(__xludf.DUMMYFUNCTION("""COMPUTED_VALUE"""),"Candy Capital")</f>
        <v>Candy Capital</v>
      </c>
      <c r="E6236" s="122">
        <f>IFERROR(__xludf.DUMMYFUNCTION("""COMPUTED_VALUE"""),76.81)</f>
        <v>76.81</v>
      </c>
      <c r="F6236" s="122">
        <f>IFERROR(__xludf.DUMMYFUNCTION("""COMPUTED_VALUE"""),0.0021)</f>
        <v>0.0021</v>
      </c>
    </row>
    <row r="6237">
      <c r="A6237" s="131">
        <f>IFERROR(__xludf.DUMMYFUNCTION("""COMPUTED_VALUE"""),46187.554027777776)</f>
        <v>46187.55403</v>
      </c>
      <c r="B6237" s="126">
        <f>IFERROR(__xludf.DUMMYFUNCTION("""COMPUTED_VALUE"""),46187.0)</f>
        <v>46187</v>
      </c>
      <c r="C6237" s="122" t="str">
        <f>IFERROR(__xludf.DUMMYFUNCTION("""COMPUTED_VALUE"""),"TECH")</f>
        <v>TECH</v>
      </c>
      <c r="D6237" s="122" t="str">
        <f>IFERROR(__xludf.DUMMYFUNCTION("""COMPUTED_VALUE"""),"Dragon Tech")</f>
        <v>Dragon Tech</v>
      </c>
      <c r="E6237" s="122">
        <f>IFERROR(__xludf.DUMMYFUNCTION("""COMPUTED_VALUE"""),247.95)</f>
        <v>247.95</v>
      </c>
      <c r="F6237" s="122">
        <f>IFERROR(__xludf.DUMMYFUNCTION("""COMPUTED_VALUE"""),-5.0E-4)</f>
        <v>-0.0005</v>
      </c>
    </row>
    <row r="6238">
      <c r="A6238" s="131">
        <f>IFERROR(__xludf.DUMMYFUNCTION("""COMPUTED_VALUE"""),46187.554027777776)</f>
        <v>46187.55403</v>
      </c>
      <c r="B6238" s="126">
        <f>IFERROR(__xludf.DUMMYFUNCTION("""COMPUTED_VALUE"""),46187.0)</f>
        <v>46187</v>
      </c>
      <c r="C6238" s="122" t="str">
        <f>IFERROR(__xludf.DUMMYFUNCTION("""COMPUTED_VALUE"""),"AIBO")</f>
        <v>AIBO</v>
      </c>
      <c r="D6238" s="122" t="str">
        <f>IFERROR(__xludf.DUMMYFUNCTION("""COMPUTED_VALUE"""),"Homework AI")</f>
        <v>Homework AI</v>
      </c>
      <c r="E6238" s="122">
        <f>IFERROR(__xludf.DUMMYFUNCTION("""COMPUTED_VALUE"""),180.29)</f>
        <v>180.29</v>
      </c>
      <c r="F6238" s="122">
        <f>IFERROR(__xludf.DUMMYFUNCTION("""COMPUTED_VALUE"""),-0.0059)</f>
        <v>-0.0059</v>
      </c>
    </row>
    <row r="6239">
      <c r="A6239" s="131">
        <f>IFERROR(__xludf.DUMMYFUNCTION("""COMPUTED_VALUE"""),46187.554027777776)</f>
        <v>46187.55403</v>
      </c>
      <c r="B6239" s="126">
        <f>IFERROR(__xludf.DUMMYFUNCTION("""COMPUTED_VALUE"""),46187.0)</f>
        <v>46187</v>
      </c>
      <c r="C6239" s="122" t="str">
        <f>IFERROR(__xludf.DUMMYFUNCTION("""COMPUTED_VALUE"""),"GAME")</f>
        <v>GAME</v>
      </c>
      <c r="D6239" s="122" t="str">
        <f>IFERROR(__xludf.DUMMYFUNCTION("""COMPUTED_VALUE"""),"GameBox Media")</f>
        <v>GameBox Media</v>
      </c>
      <c r="E6239" s="122">
        <f>IFERROR(__xludf.DUMMYFUNCTION("""COMPUTED_VALUE"""),101.49)</f>
        <v>101.49</v>
      </c>
      <c r="F6239" s="122">
        <f>IFERROR(__xludf.DUMMYFUNCTION("""COMPUTED_VALUE"""),3.0E-4)</f>
        <v>0.0003</v>
      </c>
    </row>
    <row r="6240">
      <c r="A6240" s="131">
        <f>IFERROR(__xludf.DUMMYFUNCTION("""COMPUTED_VALUE"""),46187.554027777776)</f>
        <v>46187.55403</v>
      </c>
      <c r="B6240" s="126">
        <f>IFERROR(__xludf.DUMMYFUNCTION("""COMPUTED_VALUE"""),46187.0)</f>
        <v>46187</v>
      </c>
      <c r="C6240" s="122" t="str">
        <f>IFERROR(__xludf.DUMMYFUNCTION("""COMPUTED_VALUE"""),"VRSE")</f>
        <v>VRSE</v>
      </c>
      <c r="D6240" s="122" t="str">
        <f>IFERROR(__xludf.DUMMYFUNCTION("""COMPUTED_VALUE"""),"VerseVR")</f>
        <v>VerseVR</v>
      </c>
      <c r="E6240" s="122">
        <f>IFERROR(__xludf.DUMMYFUNCTION("""COMPUTED_VALUE"""),149.45)</f>
        <v>149.45</v>
      </c>
      <c r="F6240" s="122">
        <f>IFERROR(__xludf.DUMMYFUNCTION("""COMPUTED_VALUE"""),0.008)</f>
        <v>0.008</v>
      </c>
    </row>
    <row r="6241">
      <c r="A6241" s="131">
        <f>IFERROR(__xludf.DUMMYFUNCTION("""COMPUTED_VALUE"""),46187.554027777776)</f>
        <v>46187.55403</v>
      </c>
      <c r="B6241" s="126">
        <f>IFERROR(__xludf.DUMMYFUNCTION("""COMPUTED_VALUE"""),46187.0)</f>
        <v>46187</v>
      </c>
      <c r="C6241" s="122" t="str">
        <f>IFERROR(__xludf.DUMMYFUNCTION("""COMPUTED_VALUE"""),"BYTE")</f>
        <v>BYTE</v>
      </c>
      <c r="D6241" s="122" t="str">
        <f>IFERROR(__xludf.DUMMYFUNCTION("""COMPUTED_VALUE"""),"ByteWorks")</f>
        <v>ByteWorks</v>
      </c>
      <c r="E6241" s="122">
        <f>IFERROR(__xludf.DUMMYFUNCTION("""COMPUTED_VALUE"""),114.86)</f>
        <v>114.86</v>
      </c>
      <c r="F6241" s="122">
        <f>IFERROR(__xludf.DUMMYFUNCTION("""COMPUTED_VALUE"""),-0.0031)</f>
        <v>-0.0031</v>
      </c>
    </row>
    <row r="6242">
      <c r="A6242" s="131">
        <f>IFERROR(__xludf.DUMMYFUNCTION("""COMPUTED_VALUE"""),46187.554027777776)</f>
        <v>46187.55403</v>
      </c>
      <c r="B6242" s="126">
        <f>IFERROR(__xludf.DUMMYFUNCTION("""COMPUTED_VALUE"""),46187.0)</f>
        <v>46187</v>
      </c>
      <c r="C6242" s="122" t="str">
        <f>IFERROR(__xludf.DUMMYFUNCTION("""COMPUTED_VALUE"""),"BANK")</f>
        <v>BANK</v>
      </c>
      <c r="D6242" s="122" t="str">
        <f>IFERROR(__xludf.DUMMYFUNCTION("""COMPUTED_VALUE"""),"Tiger Bank")</f>
        <v>Tiger Bank</v>
      </c>
      <c r="E6242" s="122">
        <f>IFERROR(__xludf.DUMMYFUNCTION("""COMPUTED_VALUE"""),129.71)</f>
        <v>129.71</v>
      </c>
      <c r="F6242" s="122">
        <f>IFERROR(__xludf.DUMMYFUNCTION("""COMPUTED_VALUE"""),-4.0E-4)</f>
        <v>-0.0004</v>
      </c>
    </row>
    <row r="6243">
      <c r="A6243" s="131">
        <f>IFERROR(__xludf.DUMMYFUNCTION("""COMPUTED_VALUE"""),46187.554027777776)</f>
        <v>46187.55403</v>
      </c>
      <c r="B6243" s="126">
        <f>IFERROR(__xludf.DUMMYFUNCTION("""COMPUTED_VALUE"""),46187.0)</f>
        <v>46187</v>
      </c>
      <c r="C6243" s="122" t="str">
        <f>IFERROR(__xludf.DUMMYFUNCTION("""COMPUTED_VALUE"""),"CRED")</f>
        <v>CRED</v>
      </c>
      <c r="D6243" s="122" t="str">
        <f>IFERROR(__xludf.DUMMYFUNCTION("""COMPUTED_VALUE"""),"Credit Castle")</f>
        <v>Credit Castle</v>
      </c>
      <c r="E6243" s="122">
        <f>IFERROR(__xludf.DUMMYFUNCTION("""COMPUTED_VALUE"""),66.74)</f>
        <v>66.74</v>
      </c>
      <c r="F6243" s="122">
        <f>IFERROR(__xludf.DUMMYFUNCTION("""COMPUTED_VALUE"""),-0.0033)</f>
        <v>-0.0033</v>
      </c>
    </row>
    <row r="6244">
      <c r="A6244" s="131">
        <f>IFERROR(__xludf.DUMMYFUNCTION("""COMPUTED_VALUE"""),46187.554027777776)</f>
        <v>46187.55403</v>
      </c>
      <c r="B6244" s="126">
        <f>IFERROR(__xludf.DUMMYFUNCTION("""COMPUTED_VALUE"""),46187.0)</f>
        <v>46187</v>
      </c>
      <c r="C6244" s="122" t="str">
        <f>IFERROR(__xludf.DUMMYFUNCTION("""COMPUTED_VALUE"""),"BOND")</f>
        <v>BOND</v>
      </c>
      <c r="D6244" s="122" t="str">
        <f>IFERROR(__xludf.DUMMYFUNCTION("""COMPUTED_VALUE"""),"BondBridge")</f>
        <v>BondBridge</v>
      </c>
      <c r="E6244" s="122">
        <f>IFERROR(__xludf.DUMMYFUNCTION("""COMPUTED_VALUE"""),102.02)</f>
        <v>102.02</v>
      </c>
      <c r="F6244" s="122">
        <f>IFERROR(__xludf.DUMMYFUNCTION("""COMPUTED_VALUE"""),0.0025)</f>
        <v>0.0025</v>
      </c>
    </row>
    <row r="6245">
      <c r="A6245" s="131">
        <f>IFERROR(__xludf.DUMMYFUNCTION("""COMPUTED_VALUE"""),46187.554027777776)</f>
        <v>46187.55403</v>
      </c>
      <c r="B6245" s="126">
        <f>IFERROR(__xludf.DUMMYFUNCTION("""COMPUTED_VALUE"""),46187.0)</f>
        <v>46187</v>
      </c>
      <c r="C6245" s="122" t="str">
        <f>IFERROR(__xludf.DUMMYFUNCTION("""COMPUTED_VALUE"""),"INSR")</f>
        <v>INSR</v>
      </c>
      <c r="D6245" s="122" t="str">
        <f>IFERROR(__xludf.DUMMYFUNCTION("""COMPUTED_VALUE"""),"Shield Insurance")</f>
        <v>Shield Insurance</v>
      </c>
      <c r="E6245" s="122">
        <f>IFERROR(__xludf.DUMMYFUNCTION("""COMPUTED_VALUE"""),157.95)</f>
        <v>157.95</v>
      </c>
      <c r="F6245" s="122">
        <f>IFERROR(__xludf.DUMMYFUNCTION("""COMPUTED_VALUE"""),-0.0028)</f>
        <v>-0.0028</v>
      </c>
    </row>
    <row r="6246">
      <c r="A6246" s="131">
        <f>IFERROR(__xludf.DUMMYFUNCTION("""COMPUTED_VALUE"""),46187.554027777776)</f>
        <v>46187.55403</v>
      </c>
      <c r="B6246" s="126">
        <f>IFERROR(__xludf.DUMMYFUNCTION("""COMPUTED_VALUE"""),46187.0)</f>
        <v>46187</v>
      </c>
      <c r="C6246" s="122" t="str">
        <f>IFERROR(__xludf.DUMMYFUNCTION("""COMPUTED_VALUE"""),"LOAN")</f>
        <v>LOAN</v>
      </c>
      <c r="D6246" s="122" t="str">
        <f>IFERROR(__xludf.DUMMYFUNCTION("""COMPUTED_VALUE"""),"LoanLab")</f>
        <v>LoanLab</v>
      </c>
      <c r="E6246" s="122">
        <f>IFERROR(__xludf.DUMMYFUNCTION("""COMPUTED_VALUE"""),67.24)</f>
        <v>67.24</v>
      </c>
      <c r="F6246" s="122">
        <f>IFERROR(__xludf.DUMMYFUNCTION("""COMPUTED_VALUE"""),0.0069)</f>
        <v>0.0069</v>
      </c>
    </row>
    <row r="6247">
      <c r="A6247" s="131">
        <f>IFERROR(__xludf.DUMMYFUNCTION("""COMPUTED_VALUE"""),46187.554027777776)</f>
        <v>46187.55403</v>
      </c>
      <c r="B6247" s="126">
        <f>IFERROR(__xludf.DUMMYFUNCTION("""COMPUTED_VALUE"""),46187.0)</f>
        <v>46187</v>
      </c>
      <c r="C6247" s="122" t="str">
        <f>IFERROR(__xludf.DUMMYFUNCTION("""COMPUTED_VALUE"""),"LUXE")</f>
        <v>LUXE</v>
      </c>
      <c r="D6247" s="122" t="str">
        <f>IFERROR(__xludf.DUMMYFUNCTION("""COMPUTED_VALUE"""),"Luxury Locker")</f>
        <v>Luxury Locker</v>
      </c>
      <c r="E6247" s="122">
        <f>IFERROR(__xludf.DUMMYFUNCTION("""COMPUTED_VALUE"""),270.45)</f>
        <v>270.45</v>
      </c>
      <c r="F6247" s="122">
        <f>IFERROR(__xludf.DUMMYFUNCTION("""COMPUTED_VALUE"""),4.0E-4)</f>
        <v>0.0004</v>
      </c>
    </row>
    <row r="6248">
      <c r="A6248" s="131">
        <f>IFERROR(__xludf.DUMMYFUNCTION("""COMPUTED_VALUE"""),46187.554027777776)</f>
        <v>46187.55403</v>
      </c>
      <c r="B6248" s="126">
        <f>IFERROR(__xludf.DUMMYFUNCTION("""COMPUTED_VALUE"""),46187.0)</f>
        <v>46187</v>
      </c>
      <c r="C6248" s="122" t="str">
        <f>IFERROR(__xludf.DUMMYFUNCTION("""COMPUTED_VALUE"""),"DRIP")</f>
        <v>DRIP</v>
      </c>
      <c r="D6248" s="122" t="str">
        <f>IFERROR(__xludf.DUMMYFUNCTION("""COMPUTED_VALUE"""),"Drip Streetwear")</f>
        <v>Drip Streetwear</v>
      </c>
      <c r="E6248" s="122">
        <f>IFERROR(__xludf.DUMMYFUNCTION("""COMPUTED_VALUE"""),191.23)</f>
        <v>191.23</v>
      </c>
      <c r="F6248" s="122">
        <f>IFERROR(__xludf.DUMMYFUNCTION("""COMPUTED_VALUE"""),-0.0078)</f>
        <v>-0.0078</v>
      </c>
    </row>
    <row r="6249">
      <c r="A6249" s="131">
        <f>IFERROR(__xludf.DUMMYFUNCTION("""COMPUTED_VALUE"""),46187.554027777776)</f>
        <v>46187.55403</v>
      </c>
      <c r="B6249" s="126">
        <f>IFERROR(__xludf.DUMMYFUNCTION("""COMPUTED_VALUE"""),46187.0)</f>
        <v>46187</v>
      </c>
      <c r="C6249" s="122" t="str">
        <f>IFERROR(__xludf.DUMMYFUNCTION("""COMPUTED_VALUE"""),"KICK")</f>
        <v>KICK</v>
      </c>
      <c r="D6249" s="122" t="str">
        <f>IFERROR(__xludf.DUMMYFUNCTION("""COMPUTED_VALUE"""),"KickDrop Sneakers")</f>
        <v>KickDrop Sneakers</v>
      </c>
      <c r="E6249" s="122">
        <f>IFERROR(__xludf.DUMMYFUNCTION("""COMPUTED_VALUE"""),167.32)</f>
        <v>167.32</v>
      </c>
      <c r="F6249" s="122">
        <f>IFERROR(__xludf.DUMMYFUNCTION("""COMPUTED_VALUE"""),-0.0069)</f>
        <v>-0.0069</v>
      </c>
    </row>
    <row r="6250">
      <c r="A6250" s="131">
        <f>IFERROR(__xludf.DUMMYFUNCTION("""COMPUTED_VALUE"""),46187.554027777776)</f>
        <v>46187.55403</v>
      </c>
      <c r="B6250" s="126">
        <f>IFERROR(__xludf.DUMMYFUNCTION("""COMPUTED_VALUE"""),46187.0)</f>
        <v>46187</v>
      </c>
      <c r="C6250" s="122" t="str">
        <f>IFERROR(__xludf.DUMMYFUNCTION("""COMPUTED_VALUE"""),"GLAM")</f>
        <v>GLAM</v>
      </c>
      <c r="D6250" s="122" t="str">
        <f>IFERROR(__xludf.DUMMYFUNCTION("""COMPUTED_VALUE"""),"Glow Cosmetics")</f>
        <v>Glow Cosmetics</v>
      </c>
      <c r="E6250" s="122">
        <f>IFERROR(__xludf.DUMMYFUNCTION("""COMPUTED_VALUE"""),108.52)</f>
        <v>108.52</v>
      </c>
      <c r="F6250" s="122">
        <f>IFERROR(__xludf.DUMMYFUNCTION("""COMPUTED_VALUE"""),0.005)</f>
        <v>0.005</v>
      </c>
    </row>
    <row r="6251">
      <c r="A6251" s="131">
        <f>IFERROR(__xludf.DUMMYFUNCTION("""COMPUTED_VALUE"""),46187.554027777776)</f>
        <v>46187.55403</v>
      </c>
      <c r="B6251" s="126">
        <f>IFERROR(__xludf.DUMMYFUNCTION("""COMPUTED_VALUE"""),46187.0)</f>
        <v>46187</v>
      </c>
      <c r="C6251" s="122" t="str">
        <f>IFERROR(__xludf.DUMMYFUNCTION("""COMPUTED_VALUE"""),"BAGG")</f>
        <v>BAGG</v>
      </c>
      <c r="D6251" s="122" t="str">
        <f>IFERROR(__xludf.DUMMYFUNCTION("""COMPUTED_VALUE"""),"BagVault")</f>
        <v>BagVault</v>
      </c>
      <c r="E6251" s="122">
        <f>IFERROR(__xludf.DUMMYFUNCTION("""COMPUTED_VALUE"""),263.78)</f>
        <v>263.78</v>
      </c>
      <c r="F6251" s="122">
        <f>IFERROR(__xludf.DUMMYFUNCTION("""COMPUTED_VALUE"""),0.0101)</f>
        <v>0.0101</v>
      </c>
    </row>
    <row r="6252">
      <c r="A6252" s="131">
        <f>IFERROR(__xludf.DUMMYFUNCTION("""COMPUTED_VALUE"""),46187.554027777776)</f>
        <v>46187.55403</v>
      </c>
      <c r="B6252" s="126">
        <f>IFERROR(__xludf.DUMMYFUNCTION("""COMPUTED_VALUE"""),46187.0)</f>
        <v>46187</v>
      </c>
      <c r="C6252" s="122" t="str">
        <f>IFERROR(__xludf.DUMMYFUNCTION("""COMPUTED_VALUE"""),"FAST")</f>
        <v>FAST</v>
      </c>
      <c r="D6252" s="122" t="str">
        <f>IFERROR(__xludf.DUMMYFUNCTION("""COMPUTED_VALUE"""),"Flash Logistics")</f>
        <v>Flash Logistics</v>
      </c>
      <c r="E6252" s="122">
        <f>IFERROR(__xludf.DUMMYFUNCTION("""COMPUTED_VALUE"""),105.48)</f>
        <v>105.48</v>
      </c>
      <c r="F6252" s="122">
        <f>IFERROR(__xludf.DUMMYFUNCTION("""COMPUTED_VALUE"""),0.0035)</f>
        <v>0.0035</v>
      </c>
    </row>
    <row r="6253">
      <c r="A6253" s="131">
        <f>IFERROR(__xludf.DUMMYFUNCTION("""COMPUTED_VALUE"""),46187.554027777776)</f>
        <v>46187.55403</v>
      </c>
      <c r="B6253" s="126">
        <f>IFERROR(__xludf.DUMMYFUNCTION("""COMPUTED_VALUE"""),46187.0)</f>
        <v>46187</v>
      </c>
      <c r="C6253" s="122" t="str">
        <f>IFERROR(__xludf.DUMMYFUNCTION("""COMPUTED_VALUE"""),"SHIP")</f>
        <v>SHIP</v>
      </c>
      <c r="D6253" s="122" t="str">
        <f>IFERROR(__xludf.DUMMYFUNCTION("""COMPUTED_VALUE"""),"Seoul Shipping")</f>
        <v>Seoul Shipping</v>
      </c>
      <c r="E6253" s="122">
        <f>IFERROR(__xludf.DUMMYFUNCTION("""COMPUTED_VALUE"""),127.42)</f>
        <v>127.42</v>
      </c>
      <c r="F6253" s="122">
        <f>IFERROR(__xludf.DUMMYFUNCTION("""COMPUTED_VALUE"""),-0.0033)</f>
        <v>-0.0033</v>
      </c>
    </row>
    <row r="6254">
      <c r="A6254" s="131">
        <f>IFERROR(__xludf.DUMMYFUNCTION("""COMPUTED_VALUE"""),46187.554027777776)</f>
        <v>46187.55403</v>
      </c>
      <c r="B6254" s="126">
        <f>IFERROR(__xludf.DUMMYFUNCTION("""COMPUTED_VALUE"""),46187.0)</f>
        <v>46187</v>
      </c>
      <c r="C6254" s="122" t="str">
        <f>IFERROR(__xludf.DUMMYFUNCTION("""COMPUTED_VALUE"""),"DRON")</f>
        <v>DRON</v>
      </c>
      <c r="D6254" s="122" t="str">
        <f>IFERROR(__xludf.DUMMYFUNCTION("""COMPUTED_VALUE"""),"DroneDrop")</f>
        <v>DroneDrop</v>
      </c>
      <c r="E6254" s="122">
        <f>IFERROR(__xludf.DUMMYFUNCTION("""COMPUTED_VALUE"""),129.48)</f>
        <v>129.48</v>
      </c>
      <c r="F6254" s="122">
        <f>IFERROR(__xludf.DUMMYFUNCTION("""COMPUTED_VALUE"""),0.0103)</f>
        <v>0.0103</v>
      </c>
    </row>
    <row r="6255">
      <c r="A6255" s="131">
        <f>IFERROR(__xludf.DUMMYFUNCTION("""COMPUTED_VALUE"""),46187.554027777776)</f>
        <v>46187.55403</v>
      </c>
      <c r="B6255" s="126">
        <f>IFERROR(__xludf.DUMMYFUNCTION("""COMPUTED_VALUE"""),46187.0)</f>
        <v>46187</v>
      </c>
      <c r="C6255" s="122" t="str">
        <f>IFERROR(__xludf.DUMMYFUNCTION("""COMPUTED_VALUE"""),"RIDE")</f>
        <v>RIDE</v>
      </c>
      <c r="D6255" s="122" t="str">
        <f>IFERROR(__xludf.DUMMYFUNCTION("""COMPUTED_VALUE"""),"QuickRide")</f>
        <v>QuickRide</v>
      </c>
      <c r="E6255" s="122">
        <f>IFERROR(__xludf.DUMMYFUNCTION("""COMPUTED_VALUE"""),100.22)</f>
        <v>100.22</v>
      </c>
      <c r="F6255" s="122">
        <f>IFERROR(__xludf.DUMMYFUNCTION("""COMPUTED_VALUE"""),3.0E-4)</f>
        <v>0.0003</v>
      </c>
    </row>
    <row r="6256">
      <c r="A6256" s="131">
        <f>IFERROR(__xludf.DUMMYFUNCTION("""COMPUTED_VALUE"""),46187.554027777776)</f>
        <v>46187.55403</v>
      </c>
      <c r="B6256" s="126">
        <f>IFERROR(__xludf.DUMMYFUNCTION("""COMPUTED_VALUE"""),46187.0)</f>
        <v>46187</v>
      </c>
      <c r="C6256" s="122" t="str">
        <f>IFERROR(__xludf.DUMMYFUNCTION("""COMPUTED_VALUE"""),"RAIL")</f>
        <v>RAIL</v>
      </c>
      <c r="D6256" s="122" t="str">
        <f>IFERROR(__xludf.DUMMYFUNCTION("""COMPUTED_VALUE"""),"MetroRail Corp")</f>
        <v>MetroRail Corp</v>
      </c>
      <c r="E6256" s="122">
        <f>IFERROR(__xludf.DUMMYFUNCTION("""COMPUTED_VALUE"""),131.05)</f>
        <v>131.05</v>
      </c>
      <c r="F6256" s="122">
        <f>IFERROR(__xludf.DUMMYFUNCTION("""COMPUTED_VALUE"""),-0.004)</f>
        <v>-0.004</v>
      </c>
    </row>
    <row r="6257">
      <c r="A6257" s="131">
        <f>IFERROR(__xludf.DUMMYFUNCTION("""COMPUTED_VALUE"""),46187.554027777776)</f>
        <v>46187.55403</v>
      </c>
      <c r="B6257" s="126">
        <f>IFERROR(__xludf.DUMMYFUNCTION("""COMPUTED_VALUE"""),46187.0)</f>
        <v>46187</v>
      </c>
      <c r="C6257" s="122" t="str">
        <f>IFERROR(__xludf.DUMMYFUNCTION("""COMPUTED_VALUE"""),"MEDX")</f>
        <v>MEDX</v>
      </c>
      <c r="D6257" s="122" t="str">
        <f>IFERROR(__xludf.DUMMYFUNCTION("""COMPUTED_VALUE"""),"MediCore")</f>
        <v>MediCore</v>
      </c>
      <c r="E6257" s="122">
        <f>IFERROR(__xludf.DUMMYFUNCTION("""COMPUTED_VALUE"""),138.45)</f>
        <v>138.45</v>
      </c>
      <c r="F6257" s="122">
        <f>IFERROR(__xludf.DUMMYFUNCTION("""COMPUTED_VALUE"""),0.0023)</f>
        <v>0.0023</v>
      </c>
    </row>
    <row r="6258">
      <c r="A6258" s="131">
        <f>IFERROR(__xludf.DUMMYFUNCTION("""COMPUTED_VALUE"""),46187.554027777776)</f>
        <v>46187.55403</v>
      </c>
      <c r="B6258" s="126">
        <f>IFERROR(__xludf.DUMMYFUNCTION("""COMPUTED_VALUE"""),46187.0)</f>
        <v>46187</v>
      </c>
      <c r="C6258" s="122" t="str">
        <f>IFERROR(__xludf.DUMMYFUNCTION("""COMPUTED_VALUE"""),"GYMX")</f>
        <v>GYMX</v>
      </c>
      <c r="D6258" s="122" t="str">
        <f>IFERROR(__xludf.DUMMYFUNCTION("""COMPUTED_VALUE"""),"GymX Fitness")</f>
        <v>GymX Fitness</v>
      </c>
      <c r="E6258" s="122">
        <f>IFERROR(__xludf.DUMMYFUNCTION("""COMPUTED_VALUE"""),86.28)</f>
        <v>86.28</v>
      </c>
      <c r="F6258" s="122">
        <f>IFERROR(__xludf.DUMMYFUNCTION("""COMPUTED_VALUE"""),0.0016)</f>
        <v>0.0016</v>
      </c>
    </row>
    <row r="6259">
      <c r="A6259" s="131">
        <f>IFERROR(__xludf.DUMMYFUNCTION("""COMPUTED_VALUE"""),46187.554027777776)</f>
        <v>46187.55403</v>
      </c>
      <c r="B6259" s="126">
        <f>IFERROR(__xludf.DUMMYFUNCTION("""COMPUTED_VALUE"""),46187.0)</f>
        <v>46187</v>
      </c>
      <c r="C6259" s="122" t="str">
        <f>IFERROR(__xludf.DUMMYFUNCTION("""COMPUTED_VALUE"""),"VITA")</f>
        <v>VITA</v>
      </c>
      <c r="D6259" s="122" t="str">
        <f>IFERROR(__xludf.DUMMYFUNCTION("""COMPUTED_VALUE"""),"VitaPlus")</f>
        <v>VitaPlus</v>
      </c>
      <c r="E6259" s="122">
        <f>IFERROR(__xludf.DUMMYFUNCTION("""COMPUTED_VALUE"""),71.68)</f>
        <v>71.68</v>
      </c>
      <c r="F6259" s="122">
        <f>IFERROR(__xludf.DUMMYFUNCTION("""COMPUTED_VALUE"""),-0.0029)</f>
        <v>-0.0029</v>
      </c>
    </row>
    <row r="6260">
      <c r="A6260" s="131">
        <f>IFERROR(__xludf.DUMMYFUNCTION("""COMPUTED_VALUE"""),46187.554027777776)</f>
        <v>46187.55403</v>
      </c>
      <c r="B6260" s="126">
        <f>IFERROR(__xludf.DUMMYFUNCTION("""COMPUTED_VALUE"""),46187.0)</f>
        <v>46187</v>
      </c>
      <c r="C6260" s="122" t="str">
        <f>IFERROR(__xludf.DUMMYFUNCTION("""COMPUTED_VALUE"""),"CARE")</f>
        <v>CARE</v>
      </c>
      <c r="D6260" s="122" t="str">
        <f>IFERROR(__xludf.DUMMYFUNCTION("""COMPUTED_VALUE"""),"CareCloud")</f>
        <v>CareCloud</v>
      </c>
      <c r="E6260" s="122">
        <f>IFERROR(__xludf.DUMMYFUNCTION("""COMPUTED_VALUE"""),179.62)</f>
        <v>179.62</v>
      </c>
      <c r="F6260" s="122">
        <f>IFERROR(__xludf.DUMMYFUNCTION("""COMPUTED_VALUE"""),-0.004)</f>
        <v>-0.004</v>
      </c>
    </row>
    <row r="6261">
      <c r="A6261" s="131">
        <f>IFERROR(__xludf.DUMMYFUNCTION("""COMPUTED_VALUE"""),46187.554027777776)</f>
        <v>46187.55403</v>
      </c>
      <c r="B6261" s="126">
        <f>IFERROR(__xludf.DUMMYFUNCTION("""COMPUTED_VALUE"""),46187.0)</f>
        <v>46187</v>
      </c>
      <c r="C6261" s="122" t="str">
        <f>IFERROR(__xludf.DUMMYFUNCTION("""COMPUTED_VALUE"""),"DENT")</f>
        <v>DENT</v>
      </c>
      <c r="D6261" s="122" t="str">
        <f>IFERROR(__xludf.DUMMYFUNCTION("""COMPUTED_VALUE"""),"SmileWorks")</f>
        <v>SmileWorks</v>
      </c>
      <c r="E6261" s="122">
        <f>IFERROR(__xludf.DUMMYFUNCTION("""COMPUTED_VALUE"""),93.07)</f>
        <v>93.07</v>
      </c>
      <c r="F6261" s="122">
        <f>IFERROR(__xludf.DUMMYFUNCTION("""COMPUTED_VALUE"""),0.003)</f>
        <v>0.003</v>
      </c>
    </row>
    <row r="6262">
      <c r="A6262" s="131">
        <f>IFERROR(__xludf.DUMMYFUNCTION("""COMPUTED_VALUE"""),46187.554027777776)</f>
        <v>46187.55403</v>
      </c>
      <c r="B6262" s="126">
        <f>IFERROR(__xludf.DUMMYFUNCTION("""COMPUTED_VALUE"""),46187.0)</f>
        <v>46187</v>
      </c>
      <c r="C6262" s="122" t="str">
        <f>IFERROR(__xludf.DUMMYFUNCTION("""COMPUTED_VALUE"""),"EDUX")</f>
        <v>EDUX</v>
      </c>
      <c r="D6262" s="122" t="str">
        <f>IFERROR(__xludf.DUMMYFUNCTION("""COMPUTED_VALUE"""),"EduMax Learning")</f>
        <v>EduMax Learning</v>
      </c>
      <c r="E6262" s="122">
        <f>IFERROR(__xludf.DUMMYFUNCTION("""COMPUTED_VALUE"""),143.84)</f>
        <v>143.84</v>
      </c>
      <c r="F6262" s="122">
        <f>IFERROR(__xludf.DUMMYFUNCTION("""COMPUTED_VALUE"""),-0.0042)</f>
        <v>-0.0042</v>
      </c>
    </row>
    <row r="6263">
      <c r="A6263" s="131">
        <f>IFERROR(__xludf.DUMMYFUNCTION("""COMPUTED_VALUE"""),46187.554027777776)</f>
        <v>46187.55403</v>
      </c>
      <c r="B6263" s="126">
        <f>IFERROR(__xludf.DUMMYFUNCTION("""COMPUTED_VALUE"""),46187.0)</f>
        <v>46187</v>
      </c>
      <c r="C6263" s="122" t="str">
        <f>IFERROR(__xludf.DUMMYFUNCTION("""COMPUTED_VALUE"""),"BOOK")</f>
        <v>BOOK</v>
      </c>
      <c r="D6263" s="122" t="str">
        <f>IFERROR(__xludf.DUMMYFUNCTION("""COMPUTED_VALUE"""),"BookBridge")</f>
        <v>BookBridge</v>
      </c>
      <c r="E6263" s="122">
        <f>IFERROR(__xludf.DUMMYFUNCTION("""COMPUTED_VALUE"""),118.56)</f>
        <v>118.56</v>
      </c>
      <c r="F6263" s="122">
        <f>IFERROR(__xludf.DUMMYFUNCTION("""COMPUTED_VALUE"""),-0.0028)</f>
        <v>-0.0028</v>
      </c>
    </row>
    <row r="6264">
      <c r="A6264" s="131">
        <f>IFERROR(__xludf.DUMMYFUNCTION("""COMPUTED_VALUE"""),46187.554027777776)</f>
        <v>46187.55403</v>
      </c>
      <c r="B6264" s="126">
        <f>IFERROR(__xludf.DUMMYFUNCTION("""COMPUTED_VALUE"""),46187.0)</f>
        <v>46187</v>
      </c>
      <c r="C6264" s="122" t="str">
        <f>IFERROR(__xludf.DUMMYFUNCTION("""COMPUTED_VALUE"""),"TUTR")</f>
        <v>TUTR</v>
      </c>
      <c r="D6264" s="122" t="str">
        <f>IFERROR(__xludf.DUMMYFUNCTION("""COMPUTED_VALUE"""),"TutorTown")</f>
        <v>TutorTown</v>
      </c>
      <c r="E6264" s="122">
        <f>IFERROR(__xludf.DUMMYFUNCTION("""COMPUTED_VALUE"""),90.33)</f>
        <v>90.33</v>
      </c>
      <c r="F6264" s="122">
        <f>IFERROR(__xludf.DUMMYFUNCTION("""COMPUTED_VALUE"""),0.0059)</f>
        <v>0.0059</v>
      </c>
    </row>
    <row r="6265">
      <c r="A6265" s="131">
        <f>IFERROR(__xludf.DUMMYFUNCTION("""COMPUTED_VALUE"""),46187.554027777776)</f>
        <v>46187.55403</v>
      </c>
      <c r="B6265" s="126">
        <f>IFERROR(__xludf.DUMMYFUNCTION("""COMPUTED_VALUE"""),46187.0)</f>
        <v>46187</v>
      </c>
      <c r="C6265" s="122" t="str">
        <f>IFERROR(__xludf.DUMMYFUNCTION("""COMPUTED_VALUE"""),"LANG")</f>
        <v>LANG</v>
      </c>
      <c r="D6265" s="122" t="str">
        <f>IFERROR(__xludf.DUMMYFUNCTION("""COMPUTED_VALUE"""),"LinguaLab")</f>
        <v>LinguaLab</v>
      </c>
      <c r="E6265" s="122">
        <f>IFERROR(__xludf.DUMMYFUNCTION("""COMPUTED_VALUE"""),100.51)</f>
        <v>100.51</v>
      </c>
      <c r="F6265" s="122">
        <f>IFERROR(__xludf.DUMMYFUNCTION("""COMPUTED_VALUE"""),-0.0027)</f>
        <v>-0.0027</v>
      </c>
    </row>
    <row r="6266">
      <c r="A6266" s="131">
        <f>IFERROR(__xludf.DUMMYFUNCTION("""COMPUTED_VALUE"""),46187.554027777776)</f>
        <v>46187.55403</v>
      </c>
      <c r="B6266" s="126">
        <f>IFERROR(__xludf.DUMMYFUNCTION("""COMPUTED_VALUE"""),46187.0)</f>
        <v>46187</v>
      </c>
      <c r="C6266" s="122" t="str">
        <f>IFERROR(__xludf.DUMMYFUNCTION("""COMPUTED_VALUE"""),"TEST")</f>
        <v>TEST</v>
      </c>
      <c r="D6266" s="122" t="str">
        <f>IFERROR(__xludf.DUMMYFUNCTION("""COMPUTED_VALUE"""),"TestPrep Pro")</f>
        <v>TestPrep Pro</v>
      </c>
      <c r="E6266" s="122">
        <f>IFERROR(__xludf.DUMMYFUNCTION("""COMPUTED_VALUE"""),93.56)</f>
        <v>93.56</v>
      </c>
      <c r="F6266" s="122">
        <f>IFERROR(__xludf.DUMMYFUNCTION("""COMPUTED_VALUE"""),0.0058)</f>
        <v>0.0058</v>
      </c>
    </row>
    <row r="6267">
      <c r="A6267" s="131">
        <f>IFERROR(__xludf.DUMMYFUNCTION("""COMPUTED_VALUE"""),46187.554027777776)</f>
        <v>46187.55403</v>
      </c>
      <c r="B6267" s="126">
        <f>IFERROR(__xludf.DUMMYFUNCTION("""COMPUTED_VALUE"""),46187.0)</f>
        <v>46187</v>
      </c>
      <c r="C6267" s="122" t="str">
        <f>IFERROR(__xludf.DUMMYFUNCTION("""COMPUTED_VALUE"""),"MOVI")</f>
        <v>MOVI</v>
      </c>
      <c r="D6267" s="122" t="str">
        <f>IFERROR(__xludf.DUMMYFUNCTION("""COMPUTED_VALUE"""),"MovieBox")</f>
        <v>MovieBox</v>
      </c>
      <c r="E6267" s="122">
        <f>IFERROR(__xludf.DUMMYFUNCTION("""COMPUTED_VALUE"""),83.69)</f>
        <v>83.69</v>
      </c>
      <c r="F6267" s="122">
        <f>IFERROR(__xludf.DUMMYFUNCTION("""COMPUTED_VALUE"""),0.0073)</f>
        <v>0.0073</v>
      </c>
    </row>
    <row r="6268">
      <c r="A6268" s="131">
        <f>IFERROR(__xludf.DUMMYFUNCTION("""COMPUTED_VALUE"""),46187.554027777776)</f>
        <v>46187.55403</v>
      </c>
      <c r="B6268" s="126">
        <f>IFERROR(__xludf.DUMMYFUNCTION("""COMPUTED_VALUE"""),46187.0)</f>
        <v>46187</v>
      </c>
      <c r="C6268" s="122" t="str">
        <f>IFERROR(__xludf.DUMMYFUNCTION("""COMPUTED_VALUE"""),"MUSC")</f>
        <v>MUSC</v>
      </c>
      <c r="D6268" s="122" t="str">
        <f>IFERROR(__xludf.DUMMYFUNCTION("""COMPUTED_VALUE"""),"MusicWave")</f>
        <v>MusicWave</v>
      </c>
      <c r="E6268" s="122">
        <f>IFERROR(__xludf.DUMMYFUNCTION("""COMPUTED_VALUE"""),100.81)</f>
        <v>100.81</v>
      </c>
      <c r="F6268" s="122">
        <f>IFERROR(__xludf.DUMMYFUNCTION("""COMPUTED_VALUE"""),-0.0063)</f>
        <v>-0.0063</v>
      </c>
    </row>
    <row r="6269">
      <c r="A6269" s="131">
        <f>IFERROR(__xludf.DUMMYFUNCTION("""COMPUTED_VALUE"""),46187.554027777776)</f>
        <v>46187.55403</v>
      </c>
      <c r="B6269" s="126">
        <f>IFERROR(__xludf.DUMMYFUNCTION("""COMPUTED_VALUE"""),46187.0)</f>
        <v>46187</v>
      </c>
      <c r="C6269" s="122" t="str">
        <f>IFERROR(__xludf.DUMMYFUNCTION("""COMPUTED_VALUE"""),"IDOL")</f>
        <v>IDOL</v>
      </c>
      <c r="D6269" s="122" t="str">
        <f>IFERROR(__xludf.DUMMYFUNCTION("""COMPUTED_VALUE"""),"Idol Agency")</f>
        <v>Idol Agency</v>
      </c>
      <c r="E6269" s="122">
        <f>IFERROR(__xludf.DUMMYFUNCTION("""COMPUTED_VALUE"""),187.11)</f>
        <v>187.11</v>
      </c>
      <c r="F6269" s="122">
        <f>IFERROR(__xludf.DUMMYFUNCTION("""COMPUTED_VALUE"""),0.012)</f>
        <v>0.012</v>
      </c>
    </row>
    <row r="6270">
      <c r="A6270" s="131">
        <f>IFERROR(__xludf.DUMMYFUNCTION("""COMPUTED_VALUE"""),46187.554027777776)</f>
        <v>46187.55403</v>
      </c>
      <c r="B6270" s="126">
        <f>IFERROR(__xludf.DUMMYFUNCTION("""COMPUTED_VALUE"""),46187.0)</f>
        <v>46187</v>
      </c>
      <c r="C6270" s="122" t="str">
        <f>IFERROR(__xludf.DUMMYFUNCTION("""COMPUTED_VALUE"""),"MEME")</f>
        <v>MEME</v>
      </c>
      <c r="D6270" s="122" t="str">
        <f>IFERROR(__xludf.DUMMYFUNCTION("""COMPUTED_VALUE"""),"Meme Media")</f>
        <v>Meme Media</v>
      </c>
      <c r="E6270" s="122">
        <f>IFERROR(__xludf.DUMMYFUNCTION("""COMPUTED_VALUE"""),73.31)</f>
        <v>73.31</v>
      </c>
      <c r="F6270" s="122">
        <f>IFERROR(__xludf.DUMMYFUNCTION("""COMPUTED_VALUE"""),0.0145)</f>
        <v>0.0145</v>
      </c>
    </row>
    <row r="6271">
      <c r="A6271" s="131">
        <f>IFERROR(__xludf.DUMMYFUNCTION("""COMPUTED_VALUE"""),46187.554027777776)</f>
        <v>46187.55403</v>
      </c>
      <c r="B6271" s="126">
        <f>IFERROR(__xludf.DUMMYFUNCTION("""COMPUTED_VALUE"""),46187.0)</f>
        <v>46187</v>
      </c>
      <c r="C6271" s="122" t="str">
        <f>IFERROR(__xludf.DUMMYFUNCTION("""COMPUTED_VALUE"""),"STRM")</f>
        <v>STRM</v>
      </c>
      <c r="D6271" s="122" t="str">
        <f>IFERROR(__xludf.DUMMYFUNCTION("""COMPUTED_VALUE"""),"Streamly")</f>
        <v>Streamly</v>
      </c>
      <c r="E6271" s="122">
        <f>IFERROR(__xludf.DUMMYFUNCTION("""COMPUTED_VALUE"""),138.21)</f>
        <v>138.21</v>
      </c>
      <c r="F6271" s="122">
        <f>IFERROR(__xludf.DUMMYFUNCTION("""COMPUTED_VALUE"""),0.0043)</f>
        <v>0.0043</v>
      </c>
    </row>
    <row r="6272">
      <c r="A6272" s="131">
        <f>IFERROR(__xludf.DUMMYFUNCTION("""COMPUTED_VALUE"""),46187.554027777776)</f>
        <v>46187.55403</v>
      </c>
      <c r="B6272" s="126">
        <f>IFERROR(__xludf.DUMMYFUNCTION("""COMPUTED_VALUE"""),46187.0)</f>
        <v>46187</v>
      </c>
      <c r="C6272" s="122" t="str">
        <f>IFERROR(__xludf.DUMMYFUNCTION("""COMPUTED_VALUE"""),"FARM")</f>
        <v>FARM</v>
      </c>
      <c r="D6272" s="122" t="str">
        <f>IFERROR(__xludf.DUMMYFUNCTION("""COMPUTED_VALUE"""),"Future Farms")</f>
        <v>Future Farms</v>
      </c>
      <c r="E6272" s="122">
        <f>IFERROR(__xludf.DUMMYFUNCTION("""COMPUTED_VALUE"""),92.57)</f>
        <v>92.57</v>
      </c>
      <c r="F6272" s="122">
        <f>IFERROR(__xludf.DUMMYFUNCTION("""COMPUTED_VALUE"""),0.0037)</f>
        <v>0.0037</v>
      </c>
    </row>
    <row r="6273">
      <c r="A6273" s="131">
        <f>IFERROR(__xludf.DUMMYFUNCTION("""COMPUTED_VALUE"""),46187.554027777776)</f>
        <v>46187.55403</v>
      </c>
      <c r="B6273" s="126">
        <f>IFERROR(__xludf.DUMMYFUNCTION("""COMPUTED_VALUE"""),46187.0)</f>
        <v>46187</v>
      </c>
      <c r="C6273" s="122" t="str">
        <f>IFERROR(__xludf.DUMMYFUNCTION("""COMPUTED_VALUE"""),"MEAT")</f>
        <v>MEAT</v>
      </c>
      <c r="D6273" s="122" t="str">
        <f>IFERROR(__xludf.DUMMYFUNCTION("""COMPUTED_VALUE"""),"MeatWorks")</f>
        <v>MeatWorks</v>
      </c>
      <c r="E6273" s="122">
        <f>IFERROR(__xludf.DUMMYFUNCTION("""COMPUTED_VALUE"""),106.44)</f>
        <v>106.44</v>
      </c>
      <c r="F6273" s="122">
        <f>IFERROR(__xludf.DUMMYFUNCTION("""COMPUTED_VALUE"""),0.0072)</f>
        <v>0.0072</v>
      </c>
    </row>
    <row r="6274">
      <c r="A6274" s="131">
        <f>IFERROR(__xludf.DUMMYFUNCTION("""COMPUTED_VALUE"""),46187.554027777776)</f>
        <v>46187.55403</v>
      </c>
      <c r="B6274" s="126">
        <f>IFERROR(__xludf.DUMMYFUNCTION("""COMPUTED_VALUE"""),46187.0)</f>
        <v>46187</v>
      </c>
      <c r="C6274" s="122" t="str">
        <f>IFERROR(__xludf.DUMMYFUNCTION("""COMPUTED_VALUE"""),"VEGI")</f>
        <v>VEGI</v>
      </c>
      <c r="D6274" s="122" t="str">
        <f>IFERROR(__xludf.DUMMYFUNCTION("""COMPUTED_VALUE"""),"Green Basket")</f>
        <v>Green Basket</v>
      </c>
      <c r="E6274" s="122">
        <f>IFERROR(__xludf.DUMMYFUNCTION("""COMPUTED_VALUE"""),78.23)</f>
        <v>78.23</v>
      </c>
      <c r="F6274" s="122">
        <f>IFERROR(__xludf.DUMMYFUNCTION("""COMPUTED_VALUE"""),-0.0024)</f>
        <v>-0.0024</v>
      </c>
    </row>
    <row r="6275">
      <c r="A6275" s="131">
        <f>IFERROR(__xludf.DUMMYFUNCTION("""COMPUTED_VALUE"""),46187.554027777776)</f>
        <v>46187.55403</v>
      </c>
      <c r="B6275" s="126">
        <f>IFERROR(__xludf.DUMMYFUNCTION("""COMPUTED_VALUE"""),46187.0)</f>
        <v>46187</v>
      </c>
      <c r="C6275" s="122" t="str">
        <f>IFERROR(__xludf.DUMMYFUNCTION("""COMPUTED_VALUE"""),"CAFE")</f>
        <v>CAFE</v>
      </c>
      <c r="D6275" s="122" t="str">
        <f>IFERROR(__xludf.DUMMYFUNCTION("""COMPUTED_VALUE"""),"Cafe Cloud")</f>
        <v>Cafe Cloud</v>
      </c>
      <c r="E6275" s="122">
        <f>IFERROR(__xludf.DUMMYFUNCTION("""COMPUTED_VALUE"""),100.15)</f>
        <v>100.15</v>
      </c>
      <c r="F6275" s="122">
        <f>IFERROR(__xludf.DUMMYFUNCTION("""COMPUTED_VALUE"""),-0.0041)</f>
        <v>-0.0041</v>
      </c>
    </row>
    <row r="6276">
      <c r="A6276" s="131">
        <f>IFERROR(__xludf.DUMMYFUNCTION("""COMPUTED_VALUE"""),46187.554027777776)</f>
        <v>46187.55403</v>
      </c>
      <c r="B6276" s="126">
        <f>IFERROR(__xludf.DUMMYFUNCTION("""COMPUTED_VALUE"""),46187.0)</f>
        <v>46187</v>
      </c>
      <c r="C6276" s="122" t="str">
        <f>IFERROR(__xludf.DUMMYFUNCTION("""COMPUTED_VALUE"""),"BAKE")</f>
        <v>BAKE</v>
      </c>
      <c r="D6276" s="122" t="str">
        <f>IFERROR(__xludf.DUMMYFUNCTION("""COMPUTED_VALUE"""),"BakeHouse")</f>
        <v>BakeHouse</v>
      </c>
      <c r="E6276" s="122">
        <f>IFERROR(__xludf.DUMMYFUNCTION("""COMPUTED_VALUE"""),101.69)</f>
        <v>101.69</v>
      </c>
      <c r="F6276" s="122">
        <f>IFERROR(__xludf.DUMMYFUNCTION("""COMPUTED_VALUE"""),-0.0013)</f>
        <v>-0.0013</v>
      </c>
    </row>
    <row r="6277">
      <c r="A6277" s="131">
        <f>IFERROR(__xludf.DUMMYFUNCTION("""COMPUTED_VALUE"""),46187.554027777776)</f>
        <v>46187.55403</v>
      </c>
      <c r="B6277" s="126">
        <f>IFERROR(__xludf.DUMMYFUNCTION("""COMPUTED_VALUE"""),46187.0)</f>
        <v>46187</v>
      </c>
      <c r="C6277" s="122" t="str">
        <f>IFERROR(__xludf.DUMMYFUNCTION("""COMPUTED_VALUE"""),"OILX")</f>
        <v>OILX</v>
      </c>
      <c r="D6277" s="122" t="str">
        <f>IFERROR(__xludf.DUMMYFUNCTION("""COMPUTED_VALUE"""),"OilMax Energy")</f>
        <v>OilMax Energy</v>
      </c>
      <c r="E6277" s="122">
        <f>IFERROR(__xludf.DUMMYFUNCTION("""COMPUTED_VALUE"""),130.16)</f>
        <v>130.16</v>
      </c>
      <c r="F6277" s="122">
        <f>IFERROR(__xludf.DUMMYFUNCTION("""COMPUTED_VALUE"""),-0.0057)</f>
        <v>-0.0057</v>
      </c>
    </row>
    <row r="6278">
      <c r="A6278" s="131">
        <f>IFERROR(__xludf.DUMMYFUNCTION("""COMPUTED_VALUE"""),46187.554027777776)</f>
        <v>46187.55403</v>
      </c>
      <c r="B6278" s="126">
        <f>IFERROR(__xludf.DUMMYFUNCTION("""COMPUTED_VALUE"""),46187.0)</f>
        <v>46187</v>
      </c>
      <c r="C6278" s="122" t="str">
        <f>IFERROR(__xludf.DUMMYFUNCTION("""COMPUTED_VALUE"""),"SOLR")</f>
        <v>SOLR</v>
      </c>
      <c r="D6278" s="122" t="str">
        <f>IFERROR(__xludf.DUMMYFUNCTION("""COMPUTED_VALUE"""),"SolarSpark")</f>
        <v>SolarSpark</v>
      </c>
      <c r="E6278" s="122">
        <f>IFERROR(__xludf.DUMMYFUNCTION("""COMPUTED_VALUE"""),101.01)</f>
        <v>101.01</v>
      </c>
      <c r="F6278" s="122">
        <f>IFERROR(__xludf.DUMMYFUNCTION("""COMPUTED_VALUE"""),0.0069)</f>
        <v>0.0069</v>
      </c>
    </row>
    <row r="6279">
      <c r="A6279" s="131">
        <f>IFERROR(__xludf.DUMMYFUNCTION("""COMPUTED_VALUE"""),46187.554027777776)</f>
        <v>46187.55403</v>
      </c>
      <c r="B6279" s="126">
        <f>IFERROR(__xludf.DUMMYFUNCTION("""COMPUTED_VALUE"""),46187.0)</f>
        <v>46187</v>
      </c>
      <c r="C6279" s="122" t="str">
        <f>IFERROR(__xludf.DUMMYFUNCTION("""COMPUTED_VALUE"""),"BATT")</f>
        <v>BATT</v>
      </c>
      <c r="D6279" s="122" t="str">
        <f>IFERROR(__xludf.DUMMYFUNCTION("""COMPUTED_VALUE"""),"BatteryBox")</f>
        <v>BatteryBox</v>
      </c>
      <c r="E6279" s="122">
        <f>IFERROR(__xludf.DUMMYFUNCTION("""COMPUTED_VALUE"""),117.91)</f>
        <v>117.91</v>
      </c>
      <c r="F6279" s="122">
        <f>IFERROR(__xludf.DUMMYFUNCTION("""COMPUTED_VALUE"""),0.0066)</f>
        <v>0.0066</v>
      </c>
    </row>
    <row r="6280">
      <c r="A6280" s="131">
        <f>IFERROR(__xludf.DUMMYFUNCTION("""COMPUTED_VALUE"""),46187.554027777776)</f>
        <v>46187.55403</v>
      </c>
      <c r="B6280" s="126">
        <f>IFERROR(__xludf.DUMMYFUNCTION("""COMPUTED_VALUE"""),46187.0)</f>
        <v>46187</v>
      </c>
      <c r="C6280" s="122" t="str">
        <f>IFERROR(__xludf.DUMMYFUNCTION("""COMPUTED_VALUE"""),"WIND")</f>
        <v>WIND</v>
      </c>
      <c r="D6280" s="122" t="str">
        <f>IFERROR(__xludf.DUMMYFUNCTION("""COMPUTED_VALUE"""),"WindWorks")</f>
        <v>WindWorks</v>
      </c>
      <c r="E6280" s="122">
        <f>IFERROR(__xludf.DUMMYFUNCTION("""COMPUTED_VALUE"""),87.31)</f>
        <v>87.31</v>
      </c>
      <c r="F6280" s="122">
        <f>IFERROR(__xludf.DUMMYFUNCTION("""COMPUTED_VALUE"""),-0.0061)</f>
        <v>-0.0061</v>
      </c>
    </row>
    <row r="6281">
      <c r="A6281" s="131">
        <f>IFERROR(__xludf.DUMMYFUNCTION("""COMPUTED_VALUE"""),46187.554027777776)</f>
        <v>46187.55403</v>
      </c>
      <c r="B6281" s="126">
        <f>IFERROR(__xludf.DUMMYFUNCTION("""COMPUTED_VALUE"""),46187.0)</f>
        <v>46187</v>
      </c>
      <c r="C6281" s="122" t="str">
        <f>IFERROR(__xludf.DUMMYFUNCTION("""COMPUTED_VALUE"""),"GRID")</f>
        <v>GRID</v>
      </c>
      <c r="D6281" s="122" t="str">
        <f>IFERROR(__xludf.DUMMYFUNCTION("""COMPUTED_VALUE"""),"GridPower")</f>
        <v>GridPower</v>
      </c>
      <c r="E6281" s="122">
        <f>IFERROR(__xludf.DUMMYFUNCTION("""COMPUTED_VALUE"""),132.78)</f>
        <v>132.78</v>
      </c>
      <c r="F6281" s="122">
        <f>IFERROR(__xludf.DUMMYFUNCTION("""COMPUTED_VALUE"""),0.0041)</f>
        <v>0.0041</v>
      </c>
    </row>
    <row r="6282">
      <c r="A6282" s="131">
        <f>IFERROR(__xludf.DUMMYFUNCTION("""COMPUTED_VALUE"""),46187.554027777776)</f>
        <v>46187.55403</v>
      </c>
      <c r="B6282" s="126">
        <f>IFERROR(__xludf.DUMMYFUNCTION("""COMPUTED_VALUE"""),46187.0)</f>
        <v>46187</v>
      </c>
      <c r="C6282" s="122" t="str">
        <f>IFERROR(__xludf.DUMMYFUNCTION("""COMPUTED_VALUE"""),"HOME")</f>
        <v>HOME</v>
      </c>
      <c r="D6282" s="122" t="str">
        <f>IFERROR(__xludf.DUMMYFUNCTION("""COMPUTED_VALUE"""),"HomeHub")</f>
        <v>HomeHub</v>
      </c>
      <c r="E6282" s="122">
        <f>IFERROR(__xludf.DUMMYFUNCTION("""COMPUTED_VALUE"""),154.98)</f>
        <v>154.98</v>
      </c>
      <c r="F6282" s="122">
        <f>IFERROR(__xludf.DUMMYFUNCTION("""COMPUTED_VALUE"""),-0.002)</f>
        <v>-0.002</v>
      </c>
    </row>
    <row r="6283">
      <c r="A6283" s="131">
        <f>IFERROR(__xludf.DUMMYFUNCTION("""COMPUTED_VALUE"""),46187.554027777776)</f>
        <v>46187.55403</v>
      </c>
      <c r="B6283" s="126">
        <f>IFERROR(__xludf.DUMMYFUNCTION("""COMPUTED_VALUE"""),46187.0)</f>
        <v>46187</v>
      </c>
      <c r="C6283" s="122" t="str">
        <f>IFERROR(__xludf.DUMMYFUNCTION("""COMPUTED_VALUE"""),"RENT")</f>
        <v>RENT</v>
      </c>
      <c r="D6283" s="122" t="str">
        <f>IFERROR(__xludf.DUMMYFUNCTION("""COMPUTED_VALUE"""),"RentRight")</f>
        <v>RentRight</v>
      </c>
      <c r="E6283" s="122">
        <f>IFERROR(__xludf.DUMMYFUNCTION("""COMPUTED_VALUE"""),91.07)</f>
        <v>91.07</v>
      </c>
      <c r="F6283" s="122">
        <f>IFERROR(__xludf.DUMMYFUNCTION("""COMPUTED_VALUE"""),-0.0045)</f>
        <v>-0.0045</v>
      </c>
    </row>
    <row r="6284">
      <c r="A6284" s="131">
        <f>IFERROR(__xludf.DUMMYFUNCTION("""COMPUTED_VALUE"""),46187.554027777776)</f>
        <v>46187.55403</v>
      </c>
      <c r="B6284" s="126">
        <f>IFERROR(__xludf.DUMMYFUNCTION("""COMPUTED_VALUE"""),46187.0)</f>
        <v>46187</v>
      </c>
      <c r="C6284" s="122" t="str">
        <f>IFERROR(__xludf.DUMMYFUNCTION("""COMPUTED_VALUE"""),"MALL")</f>
        <v>MALL</v>
      </c>
      <c r="D6284" s="122" t="str">
        <f>IFERROR(__xludf.DUMMYFUNCTION("""COMPUTED_VALUE"""),"MegaMall")</f>
        <v>MegaMall</v>
      </c>
      <c r="E6284" s="122">
        <f>IFERROR(__xludf.DUMMYFUNCTION("""COMPUTED_VALUE"""),100.57)</f>
        <v>100.57</v>
      </c>
      <c r="F6284" s="122">
        <f>IFERROR(__xludf.DUMMYFUNCTION("""COMPUTED_VALUE"""),0.0048)</f>
        <v>0.0048</v>
      </c>
    </row>
    <row r="6285">
      <c r="A6285" s="131">
        <f>IFERROR(__xludf.DUMMYFUNCTION("""COMPUTED_VALUE"""),46187.554027777776)</f>
        <v>46187.55403</v>
      </c>
      <c r="B6285" s="126">
        <f>IFERROR(__xludf.DUMMYFUNCTION("""COMPUTED_VALUE"""),46187.0)</f>
        <v>46187</v>
      </c>
      <c r="C6285" s="122" t="str">
        <f>IFERROR(__xludf.DUMMYFUNCTION("""COMPUTED_VALUE"""),"HOTL")</f>
        <v>HOTL</v>
      </c>
      <c r="D6285" s="122" t="str">
        <f>IFERROR(__xludf.DUMMYFUNCTION("""COMPUTED_VALUE"""),"HotelHive")</f>
        <v>HotelHive</v>
      </c>
      <c r="E6285" s="122">
        <f>IFERROR(__xludf.DUMMYFUNCTION("""COMPUTED_VALUE"""),127.22)</f>
        <v>127.22</v>
      </c>
      <c r="F6285" s="122">
        <f>IFERROR(__xludf.DUMMYFUNCTION("""COMPUTED_VALUE"""),-0.0077)</f>
        <v>-0.0077</v>
      </c>
    </row>
    <row r="6286">
      <c r="A6286" s="131">
        <f>IFERROR(__xludf.DUMMYFUNCTION("""COMPUTED_VALUE"""),46187.554027777776)</f>
        <v>46187.55403</v>
      </c>
      <c r="B6286" s="126">
        <f>IFERROR(__xludf.DUMMYFUNCTION("""COMPUTED_VALUE"""),46187.0)</f>
        <v>46187</v>
      </c>
      <c r="C6286" s="122" t="str">
        <f>IFERROR(__xludf.DUMMYFUNCTION("""COMPUTED_VALUE"""),"LAND")</f>
        <v>LAND</v>
      </c>
      <c r="D6286" s="122" t="str">
        <f>IFERROR(__xludf.DUMMYFUNCTION("""COMPUTED_VALUE"""),"LandLink")</f>
        <v>LandLink</v>
      </c>
      <c r="E6286" s="122">
        <f>IFERROR(__xludf.DUMMYFUNCTION("""COMPUTED_VALUE"""),183.48)</f>
        <v>183.48</v>
      </c>
      <c r="F6286" s="122">
        <f>IFERROR(__xludf.DUMMYFUNCTION("""COMPUTED_VALUE"""),-6.0E-4)</f>
        <v>-0.0006</v>
      </c>
    </row>
    <row r="6287">
      <c r="A6287" s="131">
        <f>IFERROR(__xludf.DUMMYFUNCTION("""COMPUTED_VALUE"""),46187.554027777776)</f>
        <v>46187.55403</v>
      </c>
      <c r="B6287" s="126">
        <f>IFERROR(__xludf.DUMMYFUNCTION("""COMPUTED_VALUE"""),46187.0)</f>
        <v>46187</v>
      </c>
      <c r="C6287" s="122" t="str">
        <f>IFERROR(__xludf.DUMMYFUNCTION("""COMPUTED_VALUE"""),"CARS")</f>
        <v>CARS</v>
      </c>
      <c r="D6287" s="122" t="str">
        <f>IFERROR(__xludf.DUMMYFUNCTION("""COMPUTED_VALUE"""),"AutoArena")</f>
        <v>AutoArena</v>
      </c>
      <c r="E6287" s="122">
        <f>IFERROR(__xludf.DUMMYFUNCTION("""COMPUTED_VALUE"""),80.98)</f>
        <v>80.98</v>
      </c>
      <c r="F6287" s="122">
        <f>IFERROR(__xludf.DUMMYFUNCTION("""COMPUTED_VALUE"""),0.0097)</f>
        <v>0.0097</v>
      </c>
    </row>
    <row r="6288">
      <c r="A6288" s="131">
        <f>IFERROR(__xludf.DUMMYFUNCTION("""COMPUTED_VALUE"""),46187.554027777776)</f>
        <v>46187.55403</v>
      </c>
      <c r="B6288" s="126">
        <f>IFERROR(__xludf.DUMMYFUNCTION("""COMPUTED_VALUE"""),46187.0)</f>
        <v>46187</v>
      </c>
      <c r="C6288" s="122" t="str">
        <f>IFERROR(__xludf.DUMMYFUNCTION("""COMPUTED_VALUE"""),"EVGO")</f>
        <v>EVGO</v>
      </c>
      <c r="D6288" s="122" t="str">
        <f>IFERROR(__xludf.DUMMYFUNCTION("""COMPUTED_VALUE"""),"EVGo Motors")</f>
        <v>EVGo Motors</v>
      </c>
      <c r="E6288" s="122">
        <f>IFERROR(__xludf.DUMMYFUNCTION("""COMPUTED_VALUE"""),181.6)</f>
        <v>181.6</v>
      </c>
      <c r="F6288" s="122">
        <f>IFERROR(__xludf.DUMMYFUNCTION("""COMPUTED_VALUE"""),0.0085)</f>
        <v>0.0085</v>
      </c>
    </row>
    <row r="6289">
      <c r="A6289" s="131">
        <f>IFERROR(__xludf.DUMMYFUNCTION("""COMPUTED_VALUE"""),46187.554027777776)</f>
        <v>46187.55403</v>
      </c>
      <c r="B6289" s="126">
        <f>IFERROR(__xludf.DUMMYFUNCTION("""COMPUTED_VALUE"""),46187.0)</f>
        <v>46187</v>
      </c>
      <c r="C6289" s="122" t="str">
        <f>IFERROR(__xludf.DUMMYFUNCTION("""COMPUTED_VALUE"""),"TIRE")</f>
        <v>TIRE</v>
      </c>
      <c r="D6289" s="122" t="str">
        <f>IFERROR(__xludf.DUMMYFUNCTION("""COMPUTED_VALUE"""),"TireTown")</f>
        <v>TireTown</v>
      </c>
      <c r="E6289" s="122">
        <f>IFERROR(__xludf.DUMMYFUNCTION("""COMPUTED_VALUE"""),96.49)</f>
        <v>96.49</v>
      </c>
      <c r="F6289" s="122">
        <f>IFERROR(__xludf.DUMMYFUNCTION("""COMPUTED_VALUE"""),0.001)</f>
        <v>0.001</v>
      </c>
    </row>
    <row r="6290">
      <c r="A6290" s="131">
        <f>IFERROR(__xludf.DUMMYFUNCTION("""COMPUTED_VALUE"""),46187.554027777776)</f>
        <v>46187.55403</v>
      </c>
      <c r="B6290" s="126">
        <f>IFERROR(__xludf.DUMMYFUNCTION("""COMPUTED_VALUE"""),46187.0)</f>
        <v>46187</v>
      </c>
      <c r="C6290" s="122" t="str">
        <f>IFERROR(__xludf.DUMMYFUNCTION("""COMPUTED_VALUE"""),"BIKE")</f>
        <v>BIKE</v>
      </c>
      <c r="D6290" s="122" t="str">
        <f>IFERROR(__xludf.DUMMYFUNCTION("""COMPUTED_VALUE"""),"BikeBox")</f>
        <v>BikeBox</v>
      </c>
      <c r="E6290" s="122">
        <f>IFERROR(__xludf.DUMMYFUNCTION("""COMPUTED_VALUE"""),51.98)</f>
        <v>51.98</v>
      </c>
      <c r="F6290" s="122">
        <f>IFERROR(__xludf.DUMMYFUNCTION("""COMPUTED_VALUE"""),-0.0042)</f>
        <v>-0.0042</v>
      </c>
    </row>
    <row r="6291">
      <c r="A6291" s="131">
        <f>IFERROR(__xludf.DUMMYFUNCTION("""COMPUTED_VALUE"""),46187.554027777776)</f>
        <v>46187.55403</v>
      </c>
      <c r="B6291" s="126">
        <f>IFERROR(__xludf.DUMMYFUNCTION("""COMPUTED_VALUE"""),46187.0)</f>
        <v>46187</v>
      </c>
      <c r="C6291" s="122" t="str">
        <f>IFERROR(__xludf.DUMMYFUNCTION("""COMPUTED_VALUE"""),"WASH")</f>
        <v>WASH</v>
      </c>
      <c r="D6291" s="122" t="str">
        <f>IFERROR(__xludf.DUMMYFUNCTION("""COMPUTED_VALUE"""),"CarWash Co")</f>
        <v>CarWash Co</v>
      </c>
      <c r="E6291" s="122">
        <f>IFERROR(__xludf.DUMMYFUNCTION("""COMPUTED_VALUE"""),119.29)</f>
        <v>119.29</v>
      </c>
      <c r="F6291" s="122">
        <f>IFERROR(__xludf.DUMMYFUNCTION("""COMPUTED_VALUE"""),0.0038)</f>
        <v>0.0038</v>
      </c>
    </row>
    <row r="6292">
      <c r="A6292" s="131">
        <f>IFERROR(__xludf.DUMMYFUNCTION("""COMPUTED_VALUE"""),46187.554027777776)</f>
        <v>46187.55403</v>
      </c>
      <c r="B6292" s="126">
        <f>IFERROR(__xludf.DUMMYFUNCTION("""COMPUTED_VALUE"""),46187.0)</f>
        <v>46187</v>
      </c>
      <c r="C6292" s="122" t="str">
        <f>IFERROR(__xludf.DUMMYFUNCTION("""COMPUTED_VALUE"""),"GBND")</f>
        <v>GBND</v>
      </c>
      <c r="D6292" s="122" t="str">
        <f>IFERROR(__xludf.DUMMYFUNCTION("""COMPUTED_VALUE"""),"Classroom Government Bond")</f>
        <v>Classroom Government Bond</v>
      </c>
      <c r="E6292" s="122">
        <f>IFERROR(__xludf.DUMMYFUNCTION("""COMPUTED_VALUE"""),101.12)</f>
        <v>101.12</v>
      </c>
      <c r="F6292" s="122">
        <f>IFERROR(__xludf.DUMMYFUNCTION("""COMPUTED_VALUE"""),-4.0E-4)</f>
        <v>-0.0004</v>
      </c>
    </row>
    <row r="6293">
      <c r="A6293" s="131">
        <f>IFERROR(__xludf.DUMMYFUNCTION("""COMPUTED_VALUE"""),46187.554027777776)</f>
        <v>46187.55403</v>
      </c>
      <c r="B6293" s="126">
        <f>IFERROR(__xludf.DUMMYFUNCTION("""COMPUTED_VALUE"""),46187.0)</f>
        <v>46187</v>
      </c>
      <c r="C6293" s="122" t="str">
        <f>IFERROR(__xludf.DUMMYFUNCTION("""COMPUTED_VALUE"""),"SBND")</f>
        <v>SBND</v>
      </c>
      <c r="D6293" s="122" t="str">
        <f>IFERROR(__xludf.DUMMYFUNCTION("""COMPUTED_VALUE"""),"School Savings Bond")</f>
        <v>School Savings Bond</v>
      </c>
      <c r="E6293" s="122">
        <f>IFERROR(__xludf.DUMMYFUNCTION("""COMPUTED_VALUE"""),99.26)</f>
        <v>99.26</v>
      </c>
      <c r="F6293" s="122">
        <f>IFERROR(__xludf.DUMMYFUNCTION("""COMPUTED_VALUE"""),2.0E-4)</f>
        <v>0.0002</v>
      </c>
    </row>
    <row r="6294">
      <c r="A6294" s="131">
        <f>IFERROR(__xludf.DUMMYFUNCTION("""COMPUTED_VALUE"""),46187.554027777776)</f>
        <v>46187.55403</v>
      </c>
      <c r="B6294" s="126">
        <f>IFERROR(__xludf.DUMMYFUNCTION("""COMPUTED_VALUE"""),46187.0)</f>
        <v>46187</v>
      </c>
      <c r="C6294" s="122" t="str">
        <f>IFERROR(__xludf.DUMMYFUNCTION("""COMPUTED_VALUE"""),"CBND")</f>
        <v>CBND</v>
      </c>
      <c r="D6294" s="122" t="str">
        <f>IFERROR(__xludf.DUMMYFUNCTION("""COMPUTED_VALUE"""),"Corporate Classroom Bond")</f>
        <v>Corporate Classroom Bond</v>
      </c>
      <c r="E6294" s="122">
        <f>IFERROR(__xludf.DUMMYFUNCTION("""COMPUTED_VALUE"""),97.79)</f>
        <v>97.79</v>
      </c>
      <c r="F6294" s="122">
        <f>IFERROR(__xludf.DUMMYFUNCTION("""COMPUTED_VALUE"""),3.0E-4)</f>
        <v>0.0003</v>
      </c>
    </row>
    <row r="6295">
      <c r="A6295" s="131">
        <f>IFERROR(__xludf.DUMMYFUNCTION("""COMPUTED_VALUE"""),46187.554027777776)</f>
        <v>46187.55403</v>
      </c>
      <c r="B6295" s="126">
        <f>IFERROR(__xludf.DUMMYFUNCTION("""COMPUTED_VALUE"""),46187.0)</f>
        <v>46187</v>
      </c>
      <c r="C6295" s="122" t="str">
        <f>IFERROR(__xludf.DUMMYFUNCTION("""COMPUTED_VALUE"""),"TBIL")</f>
        <v>TBIL</v>
      </c>
      <c r="D6295" s="122" t="str">
        <f>IFERROR(__xludf.DUMMYFUNCTION("""COMPUTED_VALUE"""),"Treasury Bill")</f>
        <v>Treasury Bill</v>
      </c>
      <c r="E6295" s="122">
        <f>IFERROR(__xludf.DUMMYFUNCTION("""COMPUTED_VALUE"""),97.99)</f>
        <v>97.99</v>
      </c>
      <c r="F6295" s="122">
        <f>IFERROR(__xludf.DUMMYFUNCTION("""COMPUTED_VALUE"""),-4.0E-4)</f>
        <v>-0.0004</v>
      </c>
    </row>
    <row r="6296">
      <c r="A6296" s="131">
        <f>IFERROR(__xludf.DUMMYFUNCTION("""COMPUTED_VALUE"""),46187.554027777776)</f>
        <v>46187.55403</v>
      </c>
      <c r="B6296" s="126">
        <f>IFERROR(__xludf.DUMMYFUNCTION("""COMPUTED_VALUE"""),46187.0)</f>
        <v>46187</v>
      </c>
      <c r="C6296" s="122" t="str">
        <f>IFERROR(__xludf.DUMMYFUNCTION("""COMPUTED_VALUE"""),"IBND")</f>
        <v>IBND</v>
      </c>
      <c r="D6296" s="122" t="str">
        <f>IFERROR(__xludf.DUMMYFUNCTION("""COMPUTED_VALUE"""),"Inflation Protected Bond")</f>
        <v>Inflation Protected Bond</v>
      </c>
      <c r="E6296" s="122">
        <f>IFERROR(__xludf.DUMMYFUNCTION("""COMPUTED_VALUE"""),100.84)</f>
        <v>100.84</v>
      </c>
      <c r="F6296" s="122">
        <f>IFERROR(__xludf.DUMMYFUNCTION("""COMPUTED_VALUE"""),-2.0E-4)</f>
        <v>-0.0002</v>
      </c>
    </row>
    <row r="6297">
      <c r="A6297" s="131">
        <f>IFERROR(__xludf.DUMMYFUNCTION("""COMPUTED_VALUE"""),46187.55515046296)</f>
        <v>46187.55515</v>
      </c>
      <c r="B6297" s="126">
        <f>IFERROR(__xludf.DUMMYFUNCTION("""COMPUTED_VALUE"""),46187.0)</f>
        <v>46187</v>
      </c>
      <c r="C6297" s="130">
        <f>IFERROR(__xludf.DUMMYFUNCTION("""COMPUTED_VALUE"""),0.555150462962963)</f>
        <v>0.555150463</v>
      </c>
      <c r="D6297" s="122" t="str">
        <f>IFERROR(__xludf.DUMMYFUNCTION("""COMPUTED_VALUE"""),"SNAX")</f>
        <v>SNAX</v>
      </c>
      <c r="E6297" s="122" t="str">
        <f>IFERROR(__xludf.DUMMYFUNCTION("""COMPUTED_VALUE"""),"MICA Snacks")</f>
        <v>MICA Snacks</v>
      </c>
      <c r="F6297" s="122" t="str">
        <f>IFERROR(__xludf.DUMMYFUNCTION("""COMPUTED_VALUE"""),"Consumer Goods")</f>
        <v>Consumer Goods</v>
      </c>
    </row>
    <row r="6298">
      <c r="A6298" s="131">
        <f>IFERROR(__xludf.DUMMYFUNCTION("""COMPUTED_VALUE"""),46187.55515046296)</f>
        <v>46187.55515</v>
      </c>
      <c r="B6298" s="126">
        <f>IFERROR(__xludf.DUMMYFUNCTION("""COMPUTED_VALUE"""),46187.0)</f>
        <v>46187</v>
      </c>
      <c r="C6298" s="130">
        <f>IFERROR(__xludf.DUMMYFUNCTION("""COMPUTED_VALUE"""),0.555150462962963)</f>
        <v>0.555150463</v>
      </c>
      <c r="D6298" s="122" t="str">
        <f>IFERROR(__xludf.DUMMYFUNCTION("""COMPUTED_VALUE"""),"RAMN")</f>
        <v>RAMN</v>
      </c>
      <c r="E6298" s="122" t="str">
        <f>IFERROR(__xludf.DUMMYFUNCTION("""COMPUTED_VALUE"""),"Ramen Republic")</f>
        <v>Ramen Republic</v>
      </c>
      <c r="F6298" s="122" t="str">
        <f>IFERROR(__xludf.DUMMYFUNCTION("""COMPUTED_VALUE"""),"Food")</f>
        <v>Food</v>
      </c>
    </row>
    <row r="6299">
      <c r="A6299" s="131">
        <f>IFERROR(__xludf.DUMMYFUNCTION("""COMPUTED_VALUE"""),46187.55515046296)</f>
        <v>46187.55515</v>
      </c>
      <c r="B6299" s="126">
        <f>IFERROR(__xludf.DUMMYFUNCTION("""COMPUTED_VALUE"""),46187.0)</f>
        <v>46187</v>
      </c>
      <c r="C6299" s="130">
        <f>IFERROR(__xludf.DUMMYFUNCTION("""COMPUTED_VALUE"""),0.555150462962963)</f>
        <v>0.555150463</v>
      </c>
      <c r="D6299" s="122" t="str">
        <f>IFERROR(__xludf.DUMMYFUNCTION("""COMPUTED_VALUE"""),"COLA")</f>
        <v>COLA</v>
      </c>
      <c r="E6299" s="122" t="str">
        <f>IFERROR(__xludf.DUMMYFUNCTION("""COMPUTED_VALUE"""),"K-Pop Cola")</f>
        <v>K-Pop Cola</v>
      </c>
      <c r="F6299" s="122" t="str">
        <f>IFERROR(__xludf.DUMMYFUNCTION("""COMPUTED_VALUE"""),"Beverage")</f>
        <v>Beverage</v>
      </c>
    </row>
    <row r="6300">
      <c r="A6300" s="131">
        <f>IFERROR(__xludf.DUMMYFUNCTION("""COMPUTED_VALUE"""),46187.55515046296)</f>
        <v>46187.55515</v>
      </c>
      <c r="B6300" s="126">
        <f>IFERROR(__xludf.DUMMYFUNCTION("""COMPUTED_VALUE"""),46187.0)</f>
        <v>46187</v>
      </c>
      <c r="C6300" s="130">
        <f>IFERROR(__xludf.DUMMYFUNCTION("""COMPUTED_VALUE"""),0.555150462962963)</f>
        <v>0.555150463</v>
      </c>
      <c r="D6300" s="122" t="str">
        <f>IFERROR(__xludf.DUMMYFUNCTION("""COMPUTED_VALUE"""),"CHIP")</f>
        <v>CHIP</v>
      </c>
      <c r="E6300" s="122" t="str">
        <f>IFERROR(__xludf.DUMMYFUNCTION("""COMPUTED_VALUE"""),"Chip Empire")</f>
        <v>Chip Empire</v>
      </c>
      <c r="F6300" s="122" t="str">
        <f>IFERROR(__xludf.DUMMYFUNCTION("""COMPUTED_VALUE"""),"Consumer Goods")</f>
        <v>Consumer Goods</v>
      </c>
    </row>
    <row r="6301">
      <c r="A6301" s="131">
        <f>IFERROR(__xludf.DUMMYFUNCTION("""COMPUTED_VALUE"""),46187.55515046296)</f>
        <v>46187.55515</v>
      </c>
      <c r="B6301" s="126">
        <f>IFERROR(__xludf.DUMMYFUNCTION("""COMPUTED_VALUE"""),46187.0)</f>
        <v>46187</v>
      </c>
      <c r="C6301" s="130">
        <f>IFERROR(__xludf.DUMMYFUNCTION("""COMPUTED_VALUE"""),0.555150462962963)</f>
        <v>0.555150463</v>
      </c>
      <c r="D6301" s="122" t="str">
        <f>IFERROR(__xludf.DUMMYFUNCTION("""COMPUTED_VALUE"""),"CAND")</f>
        <v>CAND</v>
      </c>
      <c r="E6301" s="122" t="str">
        <f>IFERROR(__xludf.DUMMYFUNCTION("""COMPUTED_VALUE"""),"Candy Capital")</f>
        <v>Candy Capital</v>
      </c>
      <c r="F6301" s="122" t="str">
        <f>IFERROR(__xludf.DUMMYFUNCTION("""COMPUTED_VALUE"""),"Consumer Goods")</f>
        <v>Consumer Goods</v>
      </c>
    </row>
    <row r="6302">
      <c r="A6302" s="131">
        <f>IFERROR(__xludf.DUMMYFUNCTION("""COMPUTED_VALUE"""),46187.55515046296)</f>
        <v>46187.55515</v>
      </c>
      <c r="B6302" s="126">
        <f>IFERROR(__xludf.DUMMYFUNCTION("""COMPUTED_VALUE"""),46187.0)</f>
        <v>46187</v>
      </c>
      <c r="C6302" s="130">
        <f>IFERROR(__xludf.DUMMYFUNCTION("""COMPUTED_VALUE"""),0.555150462962963)</f>
        <v>0.555150463</v>
      </c>
      <c r="D6302" s="122" t="str">
        <f>IFERROR(__xludf.DUMMYFUNCTION("""COMPUTED_VALUE"""),"TECH")</f>
        <v>TECH</v>
      </c>
      <c r="E6302" s="122" t="str">
        <f>IFERROR(__xludf.DUMMYFUNCTION("""COMPUTED_VALUE"""),"Dragon Tech")</f>
        <v>Dragon Tech</v>
      </c>
      <c r="F6302" s="122" t="str">
        <f>IFERROR(__xludf.DUMMYFUNCTION("""COMPUTED_VALUE"""),"Technology")</f>
        <v>Technology</v>
      </c>
    </row>
    <row r="6303">
      <c r="A6303" s="131">
        <f>IFERROR(__xludf.DUMMYFUNCTION("""COMPUTED_VALUE"""),46187.55515046296)</f>
        <v>46187.55515</v>
      </c>
      <c r="B6303" s="126">
        <f>IFERROR(__xludf.DUMMYFUNCTION("""COMPUTED_VALUE"""),46187.0)</f>
        <v>46187</v>
      </c>
      <c r="C6303" s="130">
        <f>IFERROR(__xludf.DUMMYFUNCTION("""COMPUTED_VALUE"""),0.555150462962963)</f>
        <v>0.555150463</v>
      </c>
      <c r="D6303" s="122" t="str">
        <f>IFERROR(__xludf.DUMMYFUNCTION("""COMPUTED_VALUE"""),"AIBO")</f>
        <v>AIBO</v>
      </c>
      <c r="E6303" s="122" t="str">
        <f>IFERROR(__xludf.DUMMYFUNCTION("""COMPUTED_VALUE"""),"Homework AI")</f>
        <v>Homework AI</v>
      </c>
      <c r="F6303" s="122" t="str">
        <f>IFERROR(__xludf.DUMMYFUNCTION("""COMPUTED_VALUE"""),"Technology")</f>
        <v>Technology</v>
      </c>
    </row>
    <row r="6304">
      <c r="A6304" s="131">
        <f>IFERROR(__xludf.DUMMYFUNCTION("""COMPUTED_VALUE"""),46187.55515046296)</f>
        <v>46187.55515</v>
      </c>
      <c r="B6304" s="126">
        <f>IFERROR(__xludf.DUMMYFUNCTION("""COMPUTED_VALUE"""),46187.0)</f>
        <v>46187</v>
      </c>
      <c r="C6304" s="130">
        <f>IFERROR(__xludf.DUMMYFUNCTION("""COMPUTED_VALUE"""),0.555150462962963)</f>
        <v>0.555150463</v>
      </c>
      <c r="D6304" s="122" t="str">
        <f>IFERROR(__xludf.DUMMYFUNCTION("""COMPUTED_VALUE"""),"GAME")</f>
        <v>GAME</v>
      </c>
      <c r="E6304" s="122" t="str">
        <f>IFERROR(__xludf.DUMMYFUNCTION("""COMPUTED_VALUE"""),"GameBox Media")</f>
        <v>GameBox Media</v>
      </c>
      <c r="F6304" s="122" t="str">
        <f>IFERROR(__xludf.DUMMYFUNCTION("""COMPUTED_VALUE"""),"Entertainment")</f>
        <v>Entertainment</v>
      </c>
    </row>
    <row r="6305">
      <c r="A6305" s="131">
        <f>IFERROR(__xludf.DUMMYFUNCTION("""COMPUTED_VALUE"""),46187.55515046296)</f>
        <v>46187.55515</v>
      </c>
      <c r="B6305" s="126">
        <f>IFERROR(__xludf.DUMMYFUNCTION("""COMPUTED_VALUE"""),46187.0)</f>
        <v>46187</v>
      </c>
      <c r="C6305" s="130">
        <f>IFERROR(__xludf.DUMMYFUNCTION("""COMPUTED_VALUE"""),0.555150462962963)</f>
        <v>0.555150463</v>
      </c>
      <c r="D6305" s="122" t="str">
        <f>IFERROR(__xludf.DUMMYFUNCTION("""COMPUTED_VALUE"""),"VRSE")</f>
        <v>VRSE</v>
      </c>
      <c r="E6305" s="122" t="str">
        <f>IFERROR(__xludf.DUMMYFUNCTION("""COMPUTED_VALUE"""),"VerseVR")</f>
        <v>VerseVR</v>
      </c>
      <c r="F6305" s="122" t="str">
        <f>IFERROR(__xludf.DUMMYFUNCTION("""COMPUTED_VALUE"""),"Technology")</f>
        <v>Technology</v>
      </c>
    </row>
    <row r="6306">
      <c r="A6306" s="131">
        <f>IFERROR(__xludf.DUMMYFUNCTION("""COMPUTED_VALUE"""),46187.55515046296)</f>
        <v>46187.55515</v>
      </c>
      <c r="B6306" s="126">
        <f>IFERROR(__xludf.DUMMYFUNCTION("""COMPUTED_VALUE"""),46187.0)</f>
        <v>46187</v>
      </c>
      <c r="C6306" s="130">
        <f>IFERROR(__xludf.DUMMYFUNCTION("""COMPUTED_VALUE"""),0.555150462962963)</f>
        <v>0.555150463</v>
      </c>
      <c r="D6306" s="122" t="str">
        <f>IFERROR(__xludf.DUMMYFUNCTION("""COMPUTED_VALUE"""),"BYTE")</f>
        <v>BYTE</v>
      </c>
      <c r="E6306" s="122" t="str">
        <f>IFERROR(__xludf.DUMMYFUNCTION("""COMPUTED_VALUE"""),"ByteWorks")</f>
        <v>ByteWorks</v>
      </c>
      <c r="F6306" s="122" t="str">
        <f>IFERROR(__xludf.DUMMYFUNCTION("""COMPUTED_VALUE"""),"Technology")</f>
        <v>Technology</v>
      </c>
    </row>
    <row r="6307">
      <c r="A6307" s="131">
        <f>IFERROR(__xludf.DUMMYFUNCTION("""COMPUTED_VALUE"""),46187.55515046296)</f>
        <v>46187.55515</v>
      </c>
      <c r="B6307" s="126">
        <f>IFERROR(__xludf.DUMMYFUNCTION("""COMPUTED_VALUE"""),46187.0)</f>
        <v>46187</v>
      </c>
      <c r="C6307" s="130">
        <f>IFERROR(__xludf.DUMMYFUNCTION("""COMPUTED_VALUE"""),0.555150462962963)</f>
        <v>0.555150463</v>
      </c>
      <c r="D6307" s="122" t="str">
        <f>IFERROR(__xludf.DUMMYFUNCTION("""COMPUTED_VALUE"""),"BANK")</f>
        <v>BANK</v>
      </c>
      <c r="E6307" s="122" t="str">
        <f>IFERROR(__xludf.DUMMYFUNCTION("""COMPUTED_VALUE"""),"Tiger Bank")</f>
        <v>Tiger Bank</v>
      </c>
      <c r="F6307" s="122" t="str">
        <f>IFERROR(__xludf.DUMMYFUNCTION("""COMPUTED_VALUE"""),"Finance")</f>
        <v>Finance</v>
      </c>
    </row>
    <row r="6308">
      <c r="A6308" s="131">
        <f>IFERROR(__xludf.DUMMYFUNCTION("""COMPUTED_VALUE"""),46187.55515046296)</f>
        <v>46187.55515</v>
      </c>
      <c r="B6308" s="126">
        <f>IFERROR(__xludf.DUMMYFUNCTION("""COMPUTED_VALUE"""),46187.0)</f>
        <v>46187</v>
      </c>
      <c r="C6308" s="130">
        <f>IFERROR(__xludf.DUMMYFUNCTION("""COMPUTED_VALUE"""),0.555150462962963)</f>
        <v>0.555150463</v>
      </c>
      <c r="D6308" s="122" t="str">
        <f>IFERROR(__xludf.DUMMYFUNCTION("""COMPUTED_VALUE"""),"CRED")</f>
        <v>CRED</v>
      </c>
      <c r="E6308" s="122" t="str">
        <f>IFERROR(__xludf.DUMMYFUNCTION("""COMPUTED_VALUE"""),"Credit Castle")</f>
        <v>Credit Castle</v>
      </c>
      <c r="F6308" s="122" t="str">
        <f>IFERROR(__xludf.DUMMYFUNCTION("""COMPUTED_VALUE"""),"Finance")</f>
        <v>Finance</v>
      </c>
    </row>
    <row r="6309">
      <c r="A6309" s="131">
        <f>IFERROR(__xludf.DUMMYFUNCTION("""COMPUTED_VALUE"""),46187.55515046296)</f>
        <v>46187.55515</v>
      </c>
      <c r="B6309" s="126">
        <f>IFERROR(__xludf.DUMMYFUNCTION("""COMPUTED_VALUE"""),46187.0)</f>
        <v>46187</v>
      </c>
      <c r="C6309" s="130">
        <f>IFERROR(__xludf.DUMMYFUNCTION("""COMPUTED_VALUE"""),0.555150462962963)</f>
        <v>0.555150463</v>
      </c>
      <c r="D6309" s="122" t="str">
        <f>IFERROR(__xludf.DUMMYFUNCTION("""COMPUTED_VALUE"""),"BOND")</f>
        <v>BOND</v>
      </c>
      <c r="E6309" s="122" t="str">
        <f>IFERROR(__xludf.DUMMYFUNCTION("""COMPUTED_VALUE"""),"BondBridge")</f>
        <v>BondBridge</v>
      </c>
      <c r="F6309" s="122" t="str">
        <f>IFERROR(__xludf.DUMMYFUNCTION("""COMPUTED_VALUE"""),"Finance")</f>
        <v>Finance</v>
      </c>
    </row>
    <row r="6310">
      <c r="A6310" s="131">
        <f>IFERROR(__xludf.DUMMYFUNCTION("""COMPUTED_VALUE"""),46187.55515046296)</f>
        <v>46187.55515</v>
      </c>
      <c r="B6310" s="126">
        <f>IFERROR(__xludf.DUMMYFUNCTION("""COMPUTED_VALUE"""),46187.0)</f>
        <v>46187</v>
      </c>
      <c r="C6310" s="130">
        <f>IFERROR(__xludf.DUMMYFUNCTION("""COMPUTED_VALUE"""),0.555150462962963)</f>
        <v>0.555150463</v>
      </c>
      <c r="D6310" s="122" t="str">
        <f>IFERROR(__xludf.DUMMYFUNCTION("""COMPUTED_VALUE"""),"INSR")</f>
        <v>INSR</v>
      </c>
      <c r="E6310" s="122" t="str">
        <f>IFERROR(__xludf.DUMMYFUNCTION("""COMPUTED_VALUE"""),"Shield Insurance")</f>
        <v>Shield Insurance</v>
      </c>
      <c r="F6310" s="122" t="str">
        <f>IFERROR(__xludf.DUMMYFUNCTION("""COMPUTED_VALUE"""),"Finance")</f>
        <v>Finance</v>
      </c>
    </row>
    <row r="6311">
      <c r="A6311" s="131">
        <f>IFERROR(__xludf.DUMMYFUNCTION("""COMPUTED_VALUE"""),46187.55515046296)</f>
        <v>46187.55515</v>
      </c>
      <c r="B6311" s="126">
        <f>IFERROR(__xludf.DUMMYFUNCTION("""COMPUTED_VALUE"""),46187.0)</f>
        <v>46187</v>
      </c>
      <c r="C6311" s="130">
        <f>IFERROR(__xludf.DUMMYFUNCTION("""COMPUTED_VALUE"""),0.555150462962963)</f>
        <v>0.555150463</v>
      </c>
      <c r="D6311" s="122" t="str">
        <f>IFERROR(__xludf.DUMMYFUNCTION("""COMPUTED_VALUE"""),"LOAN")</f>
        <v>LOAN</v>
      </c>
      <c r="E6311" s="122" t="str">
        <f>IFERROR(__xludf.DUMMYFUNCTION("""COMPUTED_VALUE"""),"LoanLab")</f>
        <v>LoanLab</v>
      </c>
      <c r="F6311" s="122" t="str">
        <f>IFERROR(__xludf.DUMMYFUNCTION("""COMPUTED_VALUE"""),"Finance")</f>
        <v>Finance</v>
      </c>
    </row>
    <row r="6312">
      <c r="A6312" s="131">
        <f>IFERROR(__xludf.DUMMYFUNCTION("""COMPUTED_VALUE"""),46187.55515046296)</f>
        <v>46187.55515</v>
      </c>
      <c r="B6312" s="126">
        <f>IFERROR(__xludf.DUMMYFUNCTION("""COMPUTED_VALUE"""),46187.0)</f>
        <v>46187</v>
      </c>
      <c r="C6312" s="130">
        <f>IFERROR(__xludf.DUMMYFUNCTION("""COMPUTED_VALUE"""),0.555150462962963)</f>
        <v>0.555150463</v>
      </c>
      <c r="D6312" s="122" t="str">
        <f>IFERROR(__xludf.DUMMYFUNCTION("""COMPUTED_VALUE"""),"LUXE")</f>
        <v>LUXE</v>
      </c>
      <c r="E6312" s="122" t="str">
        <f>IFERROR(__xludf.DUMMYFUNCTION("""COMPUTED_VALUE"""),"Luxury Locker")</f>
        <v>Luxury Locker</v>
      </c>
      <c r="F6312" s="122" t="str">
        <f>IFERROR(__xludf.DUMMYFUNCTION("""COMPUTED_VALUE"""),"Luxury Goods")</f>
        <v>Luxury Goods</v>
      </c>
    </row>
    <row r="6313">
      <c r="A6313" s="131">
        <f>IFERROR(__xludf.DUMMYFUNCTION("""COMPUTED_VALUE"""),46187.55515046296)</f>
        <v>46187.55515</v>
      </c>
      <c r="B6313" s="126">
        <f>IFERROR(__xludf.DUMMYFUNCTION("""COMPUTED_VALUE"""),46187.0)</f>
        <v>46187</v>
      </c>
      <c r="C6313" s="130">
        <f>IFERROR(__xludf.DUMMYFUNCTION("""COMPUTED_VALUE"""),0.555150462962963)</f>
        <v>0.555150463</v>
      </c>
      <c r="D6313" s="122" t="str">
        <f>IFERROR(__xludf.DUMMYFUNCTION("""COMPUTED_VALUE"""),"DRIP")</f>
        <v>DRIP</v>
      </c>
      <c r="E6313" s="122" t="str">
        <f>IFERROR(__xludf.DUMMYFUNCTION("""COMPUTED_VALUE"""),"Drip Streetwear")</f>
        <v>Drip Streetwear</v>
      </c>
      <c r="F6313" s="122" t="str">
        <f>IFERROR(__xludf.DUMMYFUNCTION("""COMPUTED_VALUE"""),"Fashion")</f>
        <v>Fashion</v>
      </c>
    </row>
    <row r="6314">
      <c r="A6314" s="131">
        <f>IFERROR(__xludf.DUMMYFUNCTION("""COMPUTED_VALUE"""),46187.55515046296)</f>
        <v>46187.55515</v>
      </c>
      <c r="B6314" s="126">
        <f>IFERROR(__xludf.DUMMYFUNCTION("""COMPUTED_VALUE"""),46187.0)</f>
        <v>46187</v>
      </c>
      <c r="C6314" s="130">
        <f>IFERROR(__xludf.DUMMYFUNCTION("""COMPUTED_VALUE"""),0.555150462962963)</f>
        <v>0.555150463</v>
      </c>
      <c r="D6314" s="122" t="str">
        <f>IFERROR(__xludf.DUMMYFUNCTION("""COMPUTED_VALUE"""),"KICK")</f>
        <v>KICK</v>
      </c>
      <c r="E6314" s="122" t="str">
        <f>IFERROR(__xludf.DUMMYFUNCTION("""COMPUTED_VALUE"""),"KickDrop Sneakers")</f>
        <v>KickDrop Sneakers</v>
      </c>
      <c r="F6314" s="122" t="str">
        <f>IFERROR(__xludf.DUMMYFUNCTION("""COMPUTED_VALUE"""),"Fashion")</f>
        <v>Fashion</v>
      </c>
    </row>
    <row r="6315">
      <c r="A6315" s="131">
        <f>IFERROR(__xludf.DUMMYFUNCTION("""COMPUTED_VALUE"""),46187.55515046296)</f>
        <v>46187.55515</v>
      </c>
      <c r="B6315" s="126">
        <f>IFERROR(__xludf.DUMMYFUNCTION("""COMPUTED_VALUE"""),46187.0)</f>
        <v>46187</v>
      </c>
      <c r="C6315" s="130">
        <f>IFERROR(__xludf.DUMMYFUNCTION("""COMPUTED_VALUE"""),0.555150462962963)</f>
        <v>0.555150463</v>
      </c>
      <c r="D6315" s="122" t="str">
        <f>IFERROR(__xludf.DUMMYFUNCTION("""COMPUTED_VALUE"""),"GLAM")</f>
        <v>GLAM</v>
      </c>
      <c r="E6315" s="122" t="str">
        <f>IFERROR(__xludf.DUMMYFUNCTION("""COMPUTED_VALUE"""),"Glow Cosmetics")</f>
        <v>Glow Cosmetics</v>
      </c>
      <c r="F6315" s="122" t="str">
        <f>IFERROR(__xludf.DUMMYFUNCTION("""COMPUTED_VALUE"""),"Fashion")</f>
        <v>Fashion</v>
      </c>
    </row>
    <row r="6316">
      <c r="A6316" s="131">
        <f>IFERROR(__xludf.DUMMYFUNCTION("""COMPUTED_VALUE"""),46187.55515046296)</f>
        <v>46187.55515</v>
      </c>
      <c r="B6316" s="126">
        <f>IFERROR(__xludf.DUMMYFUNCTION("""COMPUTED_VALUE"""),46187.0)</f>
        <v>46187</v>
      </c>
      <c r="C6316" s="130">
        <f>IFERROR(__xludf.DUMMYFUNCTION("""COMPUTED_VALUE"""),0.555150462962963)</f>
        <v>0.555150463</v>
      </c>
      <c r="D6316" s="122" t="str">
        <f>IFERROR(__xludf.DUMMYFUNCTION("""COMPUTED_VALUE"""),"BAGG")</f>
        <v>BAGG</v>
      </c>
      <c r="E6316" s="122" t="str">
        <f>IFERROR(__xludf.DUMMYFUNCTION("""COMPUTED_VALUE"""),"BagVault")</f>
        <v>BagVault</v>
      </c>
      <c r="F6316" s="122" t="str">
        <f>IFERROR(__xludf.DUMMYFUNCTION("""COMPUTED_VALUE"""),"Fashion")</f>
        <v>Fashion</v>
      </c>
    </row>
    <row r="6317">
      <c r="A6317" s="131">
        <f>IFERROR(__xludf.DUMMYFUNCTION("""COMPUTED_VALUE"""),46187.55515046296)</f>
        <v>46187.55515</v>
      </c>
      <c r="B6317" s="126">
        <f>IFERROR(__xludf.DUMMYFUNCTION("""COMPUTED_VALUE"""),46187.0)</f>
        <v>46187</v>
      </c>
      <c r="C6317" s="130">
        <f>IFERROR(__xludf.DUMMYFUNCTION("""COMPUTED_VALUE"""),0.555150462962963)</f>
        <v>0.555150463</v>
      </c>
      <c r="D6317" s="122" t="str">
        <f>IFERROR(__xludf.DUMMYFUNCTION("""COMPUTED_VALUE"""),"FAST")</f>
        <v>FAST</v>
      </c>
      <c r="E6317" s="122" t="str">
        <f>IFERROR(__xludf.DUMMYFUNCTION("""COMPUTED_VALUE"""),"Flash Logistics")</f>
        <v>Flash Logistics</v>
      </c>
      <c r="F6317" s="122" t="str">
        <f>IFERROR(__xludf.DUMMYFUNCTION("""COMPUTED_VALUE"""),"Logistics")</f>
        <v>Logistics</v>
      </c>
    </row>
    <row r="6318">
      <c r="A6318" s="131">
        <f>IFERROR(__xludf.DUMMYFUNCTION("""COMPUTED_VALUE"""),46187.55515046296)</f>
        <v>46187.55515</v>
      </c>
      <c r="B6318" s="126">
        <f>IFERROR(__xludf.DUMMYFUNCTION("""COMPUTED_VALUE"""),46187.0)</f>
        <v>46187</v>
      </c>
      <c r="C6318" s="130">
        <f>IFERROR(__xludf.DUMMYFUNCTION("""COMPUTED_VALUE"""),0.555150462962963)</f>
        <v>0.555150463</v>
      </c>
      <c r="D6318" s="122" t="str">
        <f>IFERROR(__xludf.DUMMYFUNCTION("""COMPUTED_VALUE"""),"SHIP")</f>
        <v>SHIP</v>
      </c>
      <c r="E6318" s="122" t="str">
        <f>IFERROR(__xludf.DUMMYFUNCTION("""COMPUTED_VALUE"""),"Seoul Shipping")</f>
        <v>Seoul Shipping</v>
      </c>
      <c r="F6318" s="122" t="str">
        <f>IFERROR(__xludf.DUMMYFUNCTION("""COMPUTED_VALUE"""),"Logistics")</f>
        <v>Logistics</v>
      </c>
    </row>
    <row r="6319">
      <c r="A6319" s="131">
        <f>IFERROR(__xludf.DUMMYFUNCTION("""COMPUTED_VALUE"""),46187.55515046296)</f>
        <v>46187.55515</v>
      </c>
      <c r="B6319" s="126">
        <f>IFERROR(__xludf.DUMMYFUNCTION("""COMPUTED_VALUE"""),46187.0)</f>
        <v>46187</v>
      </c>
      <c r="C6319" s="130">
        <f>IFERROR(__xludf.DUMMYFUNCTION("""COMPUTED_VALUE"""),0.555150462962963)</f>
        <v>0.555150463</v>
      </c>
      <c r="D6319" s="122" t="str">
        <f>IFERROR(__xludf.DUMMYFUNCTION("""COMPUTED_VALUE"""),"DRON")</f>
        <v>DRON</v>
      </c>
      <c r="E6319" s="122" t="str">
        <f>IFERROR(__xludf.DUMMYFUNCTION("""COMPUTED_VALUE"""),"DroneDrop")</f>
        <v>DroneDrop</v>
      </c>
      <c r="F6319" s="122" t="str">
        <f>IFERROR(__xludf.DUMMYFUNCTION("""COMPUTED_VALUE"""),"Logistics")</f>
        <v>Logistics</v>
      </c>
    </row>
    <row r="6320">
      <c r="A6320" s="131">
        <f>IFERROR(__xludf.DUMMYFUNCTION("""COMPUTED_VALUE"""),46187.55515046296)</f>
        <v>46187.55515</v>
      </c>
      <c r="B6320" s="126">
        <f>IFERROR(__xludf.DUMMYFUNCTION("""COMPUTED_VALUE"""),46187.0)</f>
        <v>46187</v>
      </c>
      <c r="C6320" s="130">
        <f>IFERROR(__xludf.DUMMYFUNCTION("""COMPUTED_VALUE"""),0.555150462962963)</f>
        <v>0.555150463</v>
      </c>
      <c r="D6320" s="122" t="str">
        <f>IFERROR(__xludf.DUMMYFUNCTION("""COMPUTED_VALUE"""),"RIDE")</f>
        <v>RIDE</v>
      </c>
      <c r="E6320" s="122" t="str">
        <f>IFERROR(__xludf.DUMMYFUNCTION("""COMPUTED_VALUE"""),"QuickRide")</f>
        <v>QuickRide</v>
      </c>
      <c r="F6320" s="122" t="str">
        <f>IFERROR(__xludf.DUMMYFUNCTION("""COMPUTED_VALUE"""),"Transportation")</f>
        <v>Transportation</v>
      </c>
    </row>
    <row r="6321">
      <c r="A6321" s="131">
        <f>IFERROR(__xludf.DUMMYFUNCTION("""COMPUTED_VALUE"""),46187.55515046296)</f>
        <v>46187.55515</v>
      </c>
      <c r="B6321" s="126">
        <f>IFERROR(__xludf.DUMMYFUNCTION("""COMPUTED_VALUE"""),46187.0)</f>
        <v>46187</v>
      </c>
      <c r="C6321" s="130">
        <f>IFERROR(__xludf.DUMMYFUNCTION("""COMPUTED_VALUE"""),0.555150462962963)</f>
        <v>0.555150463</v>
      </c>
      <c r="D6321" s="122" t="str">
        <f>IFERROR(__xludf.DUMMYFUNCTION("""COMPUTED_VALUE"""),"RAIL")</f>
        <v>RAIL</v>
      </c>
      <c r="E6321" s="122" t="str">
        <f>IFERROR(__xludf.DUMMYFUNCTION("""COMPUTED_VALUE"""),"MetroRail Corp")</f>
        <v>MetroRail Corp</v>
      </c>
      <c r="F6321" s="122" t="str">
        <f>IFERROR(__xludf.DUMMYFUNCTION("""COMPUTED_VALUE"""),"Transportation")</f>
        <v>Transportation</v>
      </c>
    </row>
    <row r="6322">
      <c r="A6322" s="131">
        <f>IFERROR(__xludf.DUMMYFUNCTION("""COMPUTED_VALUE"""),46187.55515046296)</f>
        <v>46187.55515</v>
      </c>
      <c r="B6322" s="126">
        <f>IFERROR(__xludf.DUMMYFUNCTION("""COMPUTED_VALUE"""),46187.0)</f>
        <v>46187</v>
      </c>
      <c r="C6322" s="130">
        <f>IFERROR(__xludf.DUMMYFUNCTION("""COMPUTED_VALUE"""),0.555150462962963)</f>
        <v>0.555150463</v>
      </c>
      <c r="D6322" s="122" t="str">
        <f>IFERROR(__xludf.DUMMYFUNCTION("""COMPUTED_VALUE"""),"MEDX")</f>
        <v>MEDX</v>
      </c>
      <c r="E6322" s="122" t="str">
        <f>IFERROR(__xludf.DUMMYFUNCTION("""COMPUTED_VALUE"""),"MediCore")</f>
        <v>MediCore</v>
      </c>
      <c r="F6322" s="122" t="str">
        <f>IFERROR(__xludf.DUMMYFUNCTION("""COMPUTED_VALUE"""),"Healthcare")</f>
        <v>Healthcare</v>
      </c>
    </row>
    <row r="6323">
      <c r="A6323" s="131">
        <f>IFERROR(__xludf.DUMMYFUNCTION("""COMPUTED_VALUE"""),46187.55515046296)</f>
        <v>46187.55515</v>
      </c>
      <c r="B6323" s="126">
        <f>IFERROR(__xludf.DUMMYFUNCTION("""COMPUTED_VALUE"""),46187.0)</f>
        <v>46187</v>
      </c>
      <c r="C6323" s="130">
        <f>IFERROR(__xludf.DUMMYFUNCTION("""COMPUTED_VALUE"""),0.555150462962963)</f>
        <v>0.555150463</v>
      </c>
      <c r="D6323" s="122" t="str">
        <f>IFERROR(__xludf.DUMMYFUNCTION("""COMPUTED_VALUE"""),"GYMX")</f>
        <v>GYMX</v>
      </c>
      <c r="E6323" s="122" t="str">
        <f>IFERROR(__xludf.DUMMYFUNCTION("""COMPUTED_VALUE"""),"GymX Fitness")</f>
        <v>GymX Fitness</v>
      </c>
      <c r="F6323" s="122" t="str">
        <f>IFERROR(__xludf.DUMMYFUNCTION("""COMPUTED_VALUE"""),"Healthcare")</f>
        <v>Healthcare</v>
      </c>
    </row>
    <row r="6324">
      <c r="A6324" s="131">
        <f>IFERROR(__xludf.DUMMYFUNCTION("""COMPUTED_VALUE"""),46187.55515046296)</f>
        <v>46187.55515</v>
      </c>
      <c r="B6324" s="126">
        <f>IFERROR(__xludf.DUMMYFUNCTION("""COMPUTED_VALUE"""),46187.0)</f>
        <v>46187</v>
      </c>
      <c r="C6324" s="130">
        <f>IFERROR(__xludf.DUMMYFUNCTION("""COMPUTED_VALUE"""),0.555150462962963)</f>
        <v>0.555150463</v>
      </c>
      <c r="D6324" s="122" t="str">
        <f>IFERROR(__xludf.DUMMYFUNCTION("""COMPUTED_VALUE"""),"VITA")</f>
        <v>VITA</v>
      </c>
      <c r="E6324" s="122" t="str">
        <f>IFERROR(__xludf.DUMMYFUNCTION("""COMPUTED_VALUE"""),"VitaPlus")</f>
        <v>VitaPlus</v>
      </c>
      <c r="F6324" s="122" t="str">
        <f>IFERROR(__xludf.DUMMYFUNCTION("""COMPUTED_VALUE"""),"Healthcare")</f>
        <v>Healthcare</v>
      </c>
    </row>
    <row r="6325">
      <c r="A6325" s="131">
        <f>IFERROR(__xludf.DUMMYFUNCTION("""COMPUTED_VALUE"""),46187.55515046296)</f>
        <v>46187.55515</v>
      </c>
      <c r="B6325" s="126">
        <f>IFERROR(__xludf.DUMMYFUNCTION("""COMPUTED_VALUE"""),46187.0)</f>
        <v>46187</v>
      </c>
      <c r="C6325" s="130">
        <f>IFERROR(__xludf.DUMMYFUNCTION("""COMPUTED_VALUE"""),0.555150462962963)</f>
        <v>0.555150463</v>
      </c>
      <c r="D6325" s="122" t="str">
        <f>IFERROR(__xludf.DUMMYFUNCTION("""COMPUTED_VALUE"""),"CARE")</f>
        <v>CARE</v>
      </c>
      <c r="E6325" s="122" t="str">
        <f>IFERROR(__xludf.DUMMYFUNCTION("""COMPUTED_VALUE"""),"CareCloud")</f>
        <v>CareCloud</v>
      </c>
      <c r="F6325" s="122" t="str">
        <f>IFERROR(__xludf.DUMMYFUNCTION("""COMPUTED_VALUE"""),"Healthcare")</f>
        <v>Healthcare</v>
      </c>
    </row>
    <row r="6326">
      <c r="A6326" s="131">
        <f>IFERROR(__xludf.DUMMYFUNCTION("""COMPUTED_VALUE"""),46187.55515046296)</f>
        <v>46187.55515</v>
      </c>
      <c r="B6326" s="126">
        <f>IFERROR(__xludf.DUMMYFUNCTION("""COMPUTED_VALUE"""),46187.0)</f>
        <v>46187</v>
      </c>
      <c r="C6326" s="130">
        <f>IFERROR(__xludf.DUMMYFUNCTION("""COMPUTED_VALUE"""),0.555150462962963)</f>
        <v>0.555150463</v>
      </c>
      <c r="D6326" s="122" t="str">
        <f>IFERROR(__xludf.DUMMYFUNCTION("""COMPUTED_VALUE"""),"DENT")</f>
        <v>DENT</v>
      </c>
      <c r="E6326" s="122" t="str">
        <f>IFERROR(__xludf.DUMMYFUNCTION("""COMPUTED_VALUE"""),"SmileWorks")</f>
        <v>SmileWorks</v>
      </c>
      <c r="F6326" s="122" t="str">
        <f>IFERROR(__xludf.DUMMYFUNCTION("""COMPUTED_VALUE"""),"Healthcare")</f>
        <v>Healthcare</v>
      </c>
    </row>
    <row r="6327">
      <c r="A6327" s="131">
        <f>IFERROR(__xludf.DUMMYFUNCTION("""COMPUTED_VALUE"""),46187.55515046296)</f>
        <v>46187.55515</v>
      </c>
      <c r="B6327" s="126">
        <f>IFERROR(__xludf.DUMMYFUNCTION("""COMPUTED_VALUE"""),46187.0)</f>
        <v>46187</v>
      </c>
      <c r="C6327" s="130">
        <f>IFERROR(__xludf.DUMMYFUNCTION("""COMPUTED_VALUE"""),0.555150462962963)</f>
        <v>0.555150463</v>
      </c>
      <c r="D6327" s="122" t="str">
        <f>IFERROR(__xludf.DUMMYFUNCTION("""COMPUTED_VALUE"""),"EDUX")</f>
        <v>EDUX</v>
      </c>
      <c r="E6327" s="122" t="str">
        <f>IFERROR(__xludf.DUMMYFUNCTION("""COMPUTED_VALUE"""),"EduMax Learning")</f>
        <v>EduMax Learning</v>
      </c>
      <c r="F6327" s="122" t="str">
        <f>IFERROR(__xludf.DUMMYFUNCTION("""COMPUTED_VALUE"""),"Education")</f>
        <v>Education</v>
      </c>
    </row>
    <row r="6328">
      <c r="A6328" s="131">
        <f>IFERROR(__xludf.DUMMYFUNCTION("""COMPUTED_VALUE"""),46187.55515046296)</f>
        <v>46187.55515</v>
      </c>
      <c r="B6328" s="126">
        <f>IFERROR(__xludf.DUMMYFUNCTION("""COMPUTED_VALUE"""),46187.0)</f>
        <v>46187</v>
      </c>
      <c r="C6328" s="130">
        <f>IFERROR(__xludf.DUMMYFUNCTION("""COMPUTED_VALUE"""),0.555150462962963)</f>
        <v>0.555150463</v>
      </c>
      <c r="D6328" s="122" t="str">
        <f>IFERROR(__xludf.DUMMYFUNCTION("""COMPUTED_VALUE"""),"BOOK")</f>
        <v>BOOK</v>
      </c>
      <c r="E6328" s="122" t="str">
        <f>IFERROR(__xludf.DUMMYFUNCTION("""COMPUTED_VALUE"""),"BookBridge")</f>
        <v>BookBridge</v>
      </c>
      <c r="F6328" s="122" t="str">
        <f>IFERROR(__xludf.DUMMYFUNCTION("""COMPUTED_VALUE"""),"Education")</f>
        <v>Education</v>
      </c>
    </row>
    <row r="6329">
      <c r="A6329" s="131">
        <f>IFERROR(__xludf.DUMMYFUNCTION("""COMPUTED_VALUE"""),46187.55515046296)</f>
        <v>46187.55515</v>
      </c>
      <c r="B6329" s="126">
        <f>IFERROR(__xludf.DUMMYFUNCTION("""COMPUTED_VALUE"""),46187.0)</f>
        <v>46187</v>
      </c>
      <c r="C6329" s="130">
        <f>IFERROR(__xludf.DUMMYFUNCTION("""COMPUTED_VALUE"""),0.555150462962963)</f>
        <v>0.555150463</v>
      </c>
      <c r="D6329" s="122" t="str">
        <f>IFERROR(__xludf.DUMMYFUNCTION("""COMPUTED_VALUE"""),"TUTR")</f>
        <v>TUTR</v>
      </c>
      <c r="E6329" s="122" t="str">
        <f>IFERROR(__xludf.DUMMYFUNCTION("""COMPUTED_VALUE"""),"TutorTown")</f>
        <v>TutorTown</v>
      </c>
      <c r="F6329" s="122" t="str">
        <f>IFERROR(__xludf.DUMMYFUNCTION("""COMPUTED_VALUE"""),"Education")</f>
        <v>Education</v>
      </c>
    </row>
    <row r="6330">
      <c r="A6330" s="131">
        <f>IFERROR(__xludf.DUMMYFUNCTION("""COMPUTED_VALUE"""),46187.55515046296)</f>
        <v>46187.55515</v>
      </c>
      <c r="B6330" s="126">
        <f>IFERROR(__xludf.DUMMYFUNCTION("""COMPUTED_VALUE"""),46187.0)</f>
        <v>46187</v>
      </c>
      <c r="C6330" s="130">
        <f>IFERROR(__xludf.DUMMYFUNCTION("""COMPUTED_VALUE"""),0.555150462962963)</f>
        <v>0.555150463</v>
      </c>
      <c r="D6330" s="122" t="str">
        <f>IFERROR(__xludf.DUMMYFUNCTION("""COMPUTED_VALUE"""),"LANG")</f>
        <v>LANG</v>
      </c>
      <c r="E6330" s="122" t="str">
        <f>IFERROR(__xludf.DUMMYFUNCTION("""COMPUTED_VALUE"""),"LinguaLab")</f>
        <v>LinguaLab</v>
      </c>
      <c r="F6330" s="122" t="str">
        <f>IFERROR(__xludf.DUMMYFUNCTION("""COMPUTED_VALUE"""),"Education")</f>
        <v>Education</v>
      </c>
    </row>
    <row r="6331">
      <c r="A6331" s="131">
        <f>IFERROR(__xludf.DUMMYFUNCTION("""COMPUTED_VALUE"""),46187.55515046296)</f>
        <v>46187.55515</v>
      </c>
      <c r="B6331" s="126">
        <f>IFERROR(__xludf.DUMMYFUNCTION("""COMPUTED_VALUE"""),46187.0)</f>
        <v>46187</v>
      </c>
      <c r="C6331" s="130">
        <f>IFERROR(__xludf.DUMMYFUNCTION("""COMPUTED_VALUE"""),0.555150462962963)</f>
        <v>0.555150463</v>
      </c>
      <c r="D6331" s="122" t="str">
        <f>IFERROR(__xludf.DUMMYFUNCTION("""COMPUTED_VALUE"""),"TEST")</f>
        <v>TEST</v>
      </c>
      <c r="E6331" s="122" t="str">
        <f>IFERROR(__xludf.DUMMYFUNCTION("""COMPUTED_VALUE"""),"TestPrep Pro")</f>
        <v>TestPrep Pro</v>
      </c>
      <c r="F6331" s="122" t="str">
        <f>IFERROR(__xludf.DUMMYFUNCTION("""COMPUTED_VALUE"""),"Education")</f>
        <v>Education</v>
      </c>
    </row>
    <row r="6332">
      <c r="A6332" s="131">
        <f>IFERROR(__xludf.DUMMYFUNCTION("""COMPUTED_VALUE"""),46187.55515046296)</f>
        <v>46187.55515</v>
      </c>
      <c r="B6332" s="126">
        <f>IFERROR(__xludf.DUMMYFUNCTION("""COMPUTED_VALUE"""),46187.0)</f>
        <v>46187</v>
      </c>
      <c r="C6332" s="130">
        <f>IFERROR(__xludf.DUMMYFUNCTION("""COMPUTED_VALUE"""),0.555150462962963)</f>
        <v>0.555150463</v>
      </c>
      <c r="D6332" s="122" t="str">
        <f>IFERROR(__xludf.DUMMYFUNCTION("""COMPUTED_VALUE"""),"MOVI")</f>
        <v>MOVI</v>
      </c>
      <c r="E6332" s="122" t="str">
        <f>IFERROR(__xludf.DUMMYFUNCTION("""COMPUTED_VALUE"""),"MovieBox")</f>
        <v>MovieBox</v>
      </c>
      <c r="F6332" s="122" t="str">
        <f>IFERROR(__xludf.DUMMYFUNCTION("""COMPUTED_VALUE"""),"Entertainment")</f>
        <v>Entertainment</v>
      </c>
    </row>
    <row r="6333">
      <c r="A6333" s="131">
        <f>IFERROR(__xludf.DUMMYFUNCTION("""COMPUTED_VALUE"""),46187.55515046296)</f>
        <v>46187.55515</v>
      </c>
      <c r="B6333" s="126">
        <f>IFERROR(__xludf.DUMMYFUNCTION("""COMPUTED_VALUE"""),46187.0)</f>
        <v>46187</v>
      </c>
      <c r="C6333" s="130">
        <f>IFERROR(__xludf.DUMMYFUNCTION("""COMPUTED_VALUE"""),0.555150462962963)</f>
        <v>0.555150463</v>
      </c>
      <c r="D6333" s="122" t="str">
        <f>IFERROR(__xludf.DUMMYFUNCTION("""COMPUTED_VALUE"""),"MUSC")</f>
        <v>MUSC</v>
      </c>
      <c r="E6333" s="122" t="str">
        <f>IFERROR(__xludf.DUMMYFUNCTION("""COMPUTED_VALUE"""),"MusicWave")</f>
        <v>MusicWave</v>
      </c>
      <c r="F6333" s="122" t="str">
        <f>IFERROR(__xludf.DUMMYFUNCTION("""COMPUTED_VALUE"""),"Entertainment")</f>
        <v>Entertainment</v>
      </c>
    </row>
    <row r="6334">
      <c r="A6334" s="131">
        <f>IFERROR(__xludf.DUMMYFUNCTION("""COMPUTED_VALUE"""),46187.55515046296)</f>
        <v>46187.55515</v>
      </c>
      <c r="B6334" s="126">
        <f>IFERROR(__xludf.DUMMYFUNCTION("""COMPUTED_VALUE"""),46187.0)</f>
        <v>46187</v>
      </c>
      <c r="C6334" s="130">
        <f>IFERROR(__xludf.DUMMYFUNCTION("""COMPUTED_VALUE"""),0.555150462962963)</f>
        <v>0.555150463</v>
      </c>
      <c r="D6334" s="122" t="str">
        <f>IFERROR(__xludf.DUMMYFUNCTION("""COMPUTED_VALUE"""),"IDOL")</f>
        <v>IDOL</v>
      </c>
      <c r="E6334" s="122" t="str">
        <f>IFERROR(__xludf.DUMMYFUNCTION("""COMPUTED_VALUE"""),"Idol Agency")</f>
        <v>Idol Agency</v>
      </c>
      <c r="F6334" s="122" t="str">
        <f>IFERROR(__xludf.DUMMYFUNCTION("""COMPUTED_VALUE"""),"Entertainment")</f>
        <v>Entertainment</v>
      </c>
    </row>
    <row r="6335">
      <c r="A6335" s="131">
        <f>IFERROR(__xludf.DUMMYFUNCTION("""COMPUTED_VALUE"""),46187.55515046296)</f>
        <v>46187.55515</v>
      </c>
      <c r="B6335" s="126">
        <f>IFERROR(__xludf.DUMMYFUNCTION("""COMPUTED_VALUE"""),46187.0)</f>
        <v>46187</v>
      </c>
      <c r="C6335" s="130">
        <f>IFERROR(__xludf.DUMMYFUNCTION("""COMPUTED_VALUE"""),0.555150462962963)</f>
        <v>0.555150463</v>
      </c>
      <c r="D6335" s="122" t="str">
        <f>IFERROR(__xludf.DUMMYFUNCTION("""COMPUTED_VALUE"""),"MEME")</f>
        <v>MEME</v>
      </c>
      <c r="E6335" s="122" t="str">
        <f>IFERROR(__xludf.DUMMYFUNCTION("""COMPUTED_VALUE"""),"Meme Media")</f>
        <v>Meme Media</v>
      </c>
      <c r="F6335" s="122" t="str">
        <f>IFERROR(__xludf.DUMMYFUNCTION("""COMPUTED_VALUE"""),"Entertainment")</f>
        <v>Entertainment</v>
      </c>
    </row>
    <row r="6336">
      <c r="A6336" s="131">
        <f>IFERROR(__xludf.DUMMYFUNCTION("""COMPUTED_VALUE"""),46187.55515046296)</f>
        <v>46187.55515</v>
      </c>
      <c r="B6336" s="126">
        <f>IFERROR(__xludf.DUMMYFUNCTION("""COMPUTED_VALUE"""),46187.0)</f>
        <v>46187</v>
      </c>
      <c r="C6336" s="130">
        <f>IFERROR(__xludf.DUMMYFUNCTION("""COMPUTED_VALUE"""),0.555150462962963)</f>
        <v>0.555150463</v>
      </c>
      <c r="D6336" s="122" t="str">
        <f>IFERROR(__xludf.DUMMYFUNCTION("""COMPUTED_VALUE"""),"STRM")</f>
        <v>STRM</v>
      </c>
      <c r="E6336" s="122" t="str">
        <f>IFERROR(__xludf.DUMMYFUNCTION("""COMPUTED_VALUE"""),"Streamly")</f>
        <v>Streamly</v>
      </c>
      <c r="F6336" s="122" t="str">
        <f>IFERROR(__xludf.DUMMYFUNCTION("""COMPUTED_VALUE"""),"Entertainment")</f>
        <v>Entertainment</v>
      </c>
    </row>
    <row r="6337">
      <c r="A6337" s="131">
        <f>IFERROR(__xludf.DUMMYFUNCTION("""COMPUTED_VALUE"""),46187.55515046296)</f>
        <v>46187.55515</v>
      </c>
      <c r="B6337" s="126">
        <f>IFERROR(__xludf.DUMMYFUNCTION("""COMPUTED_VALUE"""),46187.0)</f>
        <v>46187</v>
      </c>
      <c r="C6337" s="130">
        <f>IFERROR(__xludf.DUMMYFUNCTION("""COMPUTED_VALUE"""),0.555150462962963)</f>
        <v>0.555150463</v>
      </c>
      <c r="D6337" s="122" t="str">
        <f>IFERROR(__xludf.DUMMYFUNCTION("""COMPUTED_VALUE"""),"FARM")</f>
        <v>FARM</v>
      </c>
      <c r="E6337" s="122" t="str">
        <f>IFERROR(__xludf.DUMMYFUNCTION("""COMPUTED_VALUE"""),"Future Farms")</f>
        <v>Future Farms</v>
      </c>
      <c r="F6337" s="122" t="str">
        <f>IFERROR(__xludf.DUMMYFUNCTION("""COMPUTED_VALUE"""),"Agriculture")</f>
        <v>Agriculture</v>
      </c>
    </row>
    <row r="6338">
      <c r="A6338" s="131">
        <f>IFERROR(__xludf.DUMMYFUNCTION("""COMPUTED_VALUE"""),46187.55515046296)</f>
        <v>46187.55515</v>
      </c>
      <c r="B6338" s="126">
        <f>IFERROR(__xludf.DUMMYFUNCTION("""COMPUTED_VALUE"""),46187.0)</f>
        <v>46187</v>
      </c>
      <c r="C6338" s="130">
        <f>IFERROR(__xludf.DUMMYFUNCTION("""COMPUTED_VALUE"""),0.555150462962963)</f>
        <v>0.555150463</v>
      </c>
      <c r="D6338" s="122" t="str">
        <f>IFERROR(__xludf.DUMMYFUNCTION("""COMPUTED_VALUE"""),"MEAT")</f>
        <v>MEAT</v>
      </c>
      <c r="E6338" s="122" t="str">
        <f>IFERROR(__xludf.DUMMYFUNCTION("""COMPUTED_VALUE"""),"MeatWorks")</f>
        <v>MeatWorks</v>
      </c>
      <c r="F6338" s="122" t="str">
        <f>IFERROR(__xludf.DUMMYFUNCTION("""COMPUTED_VALUE"""),"Food")</f>
        <v>Food</v>
      </c>
    </row>
    <row r="6339">
      <c r="A6339" s="131">
        <f>IFERROR(__xludf.DUMMYFUNCTION("""COMPUTED_VALUE"""),46187.55515046296)</f>
        <v>46187.55515</v>
      </c>
      <c r="B6339" s="126">
        <f>IFERROR(__xludf.DUMMYFUNCTION("""COMPUTED_VALUE"""),46187.0)</f>
        <v>46187</v>
      </c>
      <c r="C6339" s="130">
        <f>IFERROR(__xludf.DUMMYFUNCTION("""COMPUTED_VALUE"""),0.555150462962963)</f>
        <v>0.555150463</v>
      </c>
      <c r="D6339" s="122" t="str">
        <f>IFERROR(__xludf.DUMMYFUNCTION("""COMPUTED_VALUE"""),"VEGI")</f>
        <v>VEGI</v>
      </c>
      <c r="E6339" s="122" t="str">
        <f>IFERROR(__xludf.DUMMYFUNCTION("""COMPUTED_VALUE"""),"Green Basket")</f>
        <v>Green Basket</v>
      </c>
      <c r="F6339" s="122" t="str">
        <f>IFERROR(__xludf.DUMMYFUNCTION("""COMPUTED_VALUE"""),"Food")</f>
        <v>Food</v>
      </c>
    </row>
    <row r="6340">
      <c r="A6340" s="131">
        <f>IFERROR(__xludf.DUMMYFUNCTION("""COMPUTED_VALUE"""),46187.55515046296)</f>
        <v>46187.55515</v>
      </c>
      <c r="B6340" s="126">
        <f>IFERROR(__xludf.DUMMYFUNCTION("""COMPUTED_VALUE"""),46187.0)</f>
        <v>46187</v>
      </c>
      <c r="C6340" s="130">
        <f>IFERROR(__xludf.DUMMYFUNCTION("""COMPUTED_VALUE"""),0.555150462962963)</f>
        <v>0.555150463</v>
      </c>
      <c r="D6340" s="122" t="str">
        <f>IFERROR(__xludf.DUMMYFUNCTION("""COMPUTED_VALUE"""),"CAFE")</f>
        <v>CAFE</v>
      </c>
      <c r="E6340" s="122" t="str">
        <f>IFERROR(__xludf.DUMMYFUNCTION("""COMPUTED_VALUE"""),"Cafe Cloud")</f>
        <v>Cafe Cloud</v>
      </c>
      <c r="F6340" s="122" t="str">
        <f>IFERROR(__xludf.DUMMYFUNCTION("""COMPUTED_VALUE"""),"Food")</f>
        <v>Food</v>
      </c>
    </row>
    <row r="6341">
      <c r="A6341" s="131">
        <f>IFERROR(__xludf.DUMMYFUNCTION("""COMPUTED_VALUE"""),46187.55515046296)</f>
        <v>46187.55515</v>
      </c>
      <c r="B6341" s="126">
        <f>IFERROR(__xludf.DUMMYFUNCTION("""COMPUTED_VALUE"""),46187.0)</f>
        <v>46187</v>
      </c>
      <c r="C6341" s="130">
        <f>IFERROR(__xludf.DUMMYFUNCTION("""COMPUTED_VALUE"""),0.555150462962963)</f>
        <v>0.555150463</v>
      </c>
      <c r="D6341" s="122" t="str">
        <f>IFERROR(__xludf.DUMMYFUNCTION("""COMPUTED_VALUE"""),"BAKE")</f>
        <v>BAKE</v>
      </c>
      <c r="E6341" s="122" t="str">
        <f>IFERROR(__xludf.DUMMYFUNCTION("""COMPUTED_VALUE"""),"BakeHouse")</f>
        <v>BakeHouse</v>
      </c>
      <c r="F6341" s="122" t="str">
        <f>IFERROR(__xludf.DUMMYFUNCTION("""COMPUTED_VALUE"""),"Food")</f>
        <v>Food</v>
      </c>
    </row>
    <row r="6342">
      <c r="A6342" s="131">
        <f>IFERROR(__xludf.DUMMYFUNCTION("""COMPUTED_VALUE"""),46187.55515046296)</f>
        <v>46187.55515</v>
      </c>
      <c r="B6342" s="126">
        <f>IFERROR(__xludf.DUMMYFUNCTION("""COMPUTED_VALUE"""),46187.0)</f>
        <v>46187</v>
      </c>
      <c r="C6342" s="130">
        <f>IFERROR(__xludf.DUMMYFUNCTION("""COMPUTED_VALUE"""),0.555150462962963)</f>
        <v>0.555150463</v>
      </c>
      <c r="D6342" s="122" t="str">
        <f>IFERROR(__xludf.DUMMYFUNCTION("""COMPUTED_VALUE"""),"OILX")</f>
        <v>OILX</v>
      </c>
      <c r="E6342" s="122" t="str">
        <f>IFERROR(__xludf.DUMMYFUNCTION("""COMPUTED_VALUE"""),"OilMax Energy")</f>
        <v>OilMax Energy</v>
      </c>
      <c r="F6342" s="122" t="str">
        <f>IFERROR(__xludf.DUMMYFUNCTION("""COMPUTED_VALUE"""),"Energy")</f>
        <v>Energy</v>
      </c>
    </row>
    <row r="6343">
      <c r="A6343" s="131">
        <f>IFERROR(__xludf.DUMMYFUNCTION("""COMPUTED_VALUE"""),46187.55515046296)</f>
        <v>46187.55515</v>
      </c>
      <c r="B6343" s="126">
        <f>IFERROR(__xludf.DUMMYFUNCTION("""COMPUTED_VALUE"""),46187.0)</f>
        <v>46187</v>
      </c>
      <c r="C6343" s="130">
        <f>IFERROR(__xludf.DUMMYFUNCTION("""COMPUTED_VALUE"""),0.555150462962963)</f>
        <v>0.555150463</v>
      </c>
      <c r="D6343" s="122" t="str">
        <f>IFERROR(__xludf.DUMMYFUNCTION("""COMPUTED_VALUE"""),"SOLR")</f>
        <v>SOLR</v>
      </c>
      <c r="E6343" s="122" t="str">
        <f>IFERROR(__xludf.DUMMYFUNCTION("""COMPUTED_VALUE"""),"SolarSpark")</f>
        <v>SolarSpark</v>
      </c>
      <c r="F6343" s="122" t="str">
        <f>IFERROR(__xludf.DUMMYFUNCTION("""COMPUTED_VALUE"""),"Energy")</f>
        <v>Energy</v>
      </c>
    </row>
    <row r="6344">
      <c r="A6344" s="131">
        <f>IFERROR(__xludf.DUMMYFUNCTION("""COMPUTED_VALUE"""),46187.55515046296)</f>
        <v>46187.55515</v>
      </c>
      <c r="B6344" s="126">
        <f>IFERROR(__xludf.DUMMYFUNCTION("""COMPUTED_VALUE"""),46187.0)</f>
        <v>46187</v>
      </c>
      <c r="C6344" s="130">
        <f>IFERROR(__xludf.DUMMYFUNCTION("""COMPUTED_VALUE"""),0.555150462962963)</f>
        <v>0.555150463</v>
      </c>
      <c r="D6344" s="122" t="str">
        <f>IFERROR(__xludf.DUMMYFUNCTION("""COMPUTED_VALUE"""),"BATT")</f>
        <v>BATT</v>
      </c>
      <c r="E6344" s="122" t="str">
        <f>IFERROR(__xludf.DUMMYFUNCTION("""COMPUTED_VALUE"""),"BatteryBox")</f>
        <v>BatteryBox</v>
      </c>
      <c r="F6344" s="122" t="str">
        <f>IFERROR(__xludf.DUMMYFUNCTION("""COMPUTED_VALUE"""),"Energy")</f>
        <v>Energy</v>
      </c>
    </row>
    <row r="6345">
      <c r="A6345" s="131">
        <f>IFERROR(__xludf.DUMMYFUNCTION("""COMPUTED_VALUE"""),46187.55515046296)</f>
        <v>46187.55515</v>
      </c>
      <c r="B6345" s="126">
        <f>IFERROR(__xludf.DUMMYFUNCTION("""COMPUTED_VALUE"""),46187.0)</f>
        <v>46187</v>
      </c>
      <c r="C6345" s="130">
        <f>IFERROR(__xludf.DUMMYFUNCTION("""COMPUTED_VALUE"""),0.555150462962963)</f>
        <v>0.555150463</v>
      </c>
      <c r="D6345" s="122" t="str">
        <f>IFERROR(__xludf.DUMMYFUNCTION("""COMPUTED_VALUE"""),"WIND")</f>
        <v>WIND</v>
      </c>
      <c r="E6345" s="122" t="str">
        <f>IFERROR(__xludf.DUMMYFUNCTION("""COMPUTED_VALUE"""),"WindWorks")</f>
        <v>WindWorks</v>
      </c>
      <c r="F6345" s="122" t="str">
        <f>IFERROR(__xludf.DUMMYFUNCTION("""COMPUTED_VALUE"""),"Energy")</f>
        <v>Energy</v>
      </c>
    </row>
    <row r="6346">
      <c r="A6346" s="131">
        <f>IFERROR(__xludf.DUMMYFUNCTION("""COMPUTED_VALUE"""),46187.55515046296)</f>
        <v>46187.55515</v>
      </c>
      <c r="B6346" s="126">
        <f>IFERROR(__xludf.DUMMYFUNCTION("""COMPUTED_VALUE"""),46187.0)</f>
        <v>46187</v>
      </c>
      <c r="C6346" s="130">
        <f>IFERROR(__xludf.DUMMYFUNCTION("""COMPUTED_VALUE"""),0.555150462962963)</f>
        <v>0.555150463</v>
      </c>
      <c r="D6346" s="122" t="str">
        <f>IFERROR(__xludf.DUMMYFUNCTION("""COMPUTED_VALUE"""),"GRID")</f>
        <v>GRID</v>
      </c>
      <c r="E6346" s="122" t="str">
        <f>IFERROR(__xludf.DUMMYFUNCTION("""COMPUTED_VALUE"""),"GridPower")</f>
        <v>GridPower</v>
      </c>
      <c r="F6346" s="122" t="str">
        <f>IFERROR(__xludf.DUMMYFUNCTION("""COMPUTED_VALUE"""),"Energy")</f>
        <v>Energy</v>
      </c>
    </row>
    <row r="6347">
      <c r="A6347" s="131">
        <f>IFERROR(__xludf.DUMMYFUNCTION("""COMPUTED_VALUE"""),46187.55515046296)</f>
        <v>46187.55515</v>
      </c>
      <c r="B6347" s="126">
        <f>IFERROR(__xludf.DUMMYFUNCTION("""COMPUTED_VALUE"""),46187.0)</f>
        <v>46187</v>
      </c>
      <c r="C6347" s="130">
        <f>IFERROR(__xludf.DUMMYFUNCTION("""COMPUTED_VALUE"""),0.555150462962963)</f>
        <v>0.555150463</v>
      </c>
      <c r="D6347" s="122" t="str">
        <f>IFERROR(__xludf.DUMMYFUNCTION("""COMPUTED_VALUE"""),"HOME")</f>
        <v>HOME</v>
      </c>
      <c r="E6347" s="122" t="str">
        <f>IFERROR(__xludf.DUMMYFUNCTION("""COMPUTED_VALUE"""),"HomeHub")</f>
        <v>HomeHub</v>
      </c>
      <c r="F6347" s="122" t="str">
        <f>IFERROR(__xludf.DUMMYFUNCTION("""COMPUTED_VALUE"""),"Real Estate")</f>
        <v>Real Estate</v>
      </c>
    </row>
    <row r="6348">
      <c r="A6348" s="131">
        <f>IFERROR(__xludf.DUMMYFUNCTION("""COMPUTED_VALUE"""),46187.55515046296)</f>
        <v>46187.55515</v>
      </c>
      <c r="B6348" s="126">
        <f>IFERROR(__xludf.DUMMYFUNCTION("""COMPUTED_VALUE"""),46187.0)</f>
        <v>46187</v>
      </c>
      <c r="C6348" s="130">
        <f>IFERROR(__xludf.DUMMYFUNCTION("""COMPUTED_VALUE"""),0.555150462962963)</f>
        <v>0.555150463</v>
      </c>
      <c r="D6348" s="122" t="str">
        <f>IFERROR(__xludf.DUMMYFUNCTION("""COMPUTED_VALUE"""),"RENT")</f>
        <v>RENT</v>
      </c>
      <c r="E6348" s="122" t="str">
        <f>IFERROR(__xludf.DUMMYFUNCTION("""COMPUTED_VALUE"""),"RentRight")</f>
        <v>RentRight</v>
      </c>
      <c r="F6348" s="122" t="str">
        <f>IFERROR(__xludf.DUMMYFUNCTION("""COMPUTED_VALUE"""),"Real Estate")</f>
        <v>Real Estate</v>
      </c>
    </row>
    <row r="6349">
      <c r="A6349" s="131">
        <f>IFERROR(__xludf.DUMMYFUNCTION("""COMPUTED_VALUE"""),46187.55515046296)</f>
        <v>46187.55515</v>
      </c>
      <c r="B6349" s="126">
        <f>IFERROR(__xludf.DUMMYFUNCTION("""COMPUTED_VALUE"""),46187.0)</f>
        <v>46187</v>
      </c>
      <c r="C6349" s="130">
        <f>IFERROR(__xludf.DUMMYFUNCTION("""COMPUTED_VALUE"""),0.555150462962963)</f>
        <v>0.555150463</v>
      </c>
      <c r="D6349" s="122" t="str">
        <f>IFERROR(__xludf.DUMMYFUNCTION("""COMPUTED_VALUE"""),"MALL")</f>
        <v>MALL</v>
      </c>
      <c r="E6349" s="122" t="str">
        <f>IFERROR(__xludf.DUMMYFUNCTION("""COMPUTED_VALUE"""),"MegaMall")</f>
        <v>MegaMall</v>
      </c>
      <c r="F6349" s="122" t="str">
        <f>IFERROR(__xludf.DUMMYFUNCTION("""COMPUTED_VALUE"""),"Real Estate")</f>
        <v>Real Estate</v>
      </c>
    </row>
    <row r="6350">
      <c r="A6350" s="131">
        <f>IFERROR(__xludf.DUMMYFUNCTION("""COMPUTED_VALUE"""),46187.55515046296)</f>
        <v>46187.55515</v>
      </c>
      <c r="B6350" s="126">
        <f>IFERROR(__xludf.DUMMYFUNCTION("""COMPUTED_VALUE"""),46187.0)</f>
        <v>46187</v>
      </c>
      <c r="C6350" s="130">
        <f>IFERROR(__xludf.DUMMYFUNCTION("""COMPUTED_VALUE"""),0.555150462962963)</f>
        <v>0.555150463</v>
      </c>
      <c r="D6350" s="122" t="str">
        <f>IFERROR(__xludf.DUMMYFUNCTION("""COMPUTED_VALUE"""),"HOTL")</f>
        <v>HOTL</v>
      </c>
      <c r="E6350" s="122" t="str">
        <f>IFERROR(__xludf.DUMMYFUNCTION("""COMPUTED_VALUE"""),"HotelHive")</f>
        <v>HotelHive</v>
      </c>
      <c r="F6350" s="122" t="str">
        <f>IFERROR(__xludf.DUMMYFUNCTION("""COMPUTED_VALUE"""),"Real Estate")</f>
        <v>Real Estate</v>
      </c>
    </row>
    <row r="6351">
      <c r="A6351" s="131">
        <f>IFERROR(__xludf.DUMMYFUNCTION("""COMPUTED_VALUE"""),46187.55515046296)</f>
        <v>46187.55515</v>
      </c>
      <c r="B6351" s="126">
        <f>IFERROR(__xludf.DUMMYFUNCTION("""COMPUTED_VALUE"""),46187.0)</f>
        <v>46187</v>
      </c>
      <c r="C6351" s="130">
        <f>IFERROR(__xludf.DUMMYFUNCTION("""COMPUTED_VALUE"""),0.555150462962963)</f>
        <v>0.555150463</v>
      </c>
      <c r="D6351" s="122" t="str">
        <f>IFERROR(__xludf.DUMMYFUNCTION("""COMPUTED_VALUE"""),"LAND")</f>
        <v>LAND</v>
      </c>
      <c r="E6351" s="122" t="str">
        <f>IFERROR(__xludf.DUMMYFUNCTION("""COMPUTED_VALUE"""),"LandLink")</f>
        <v>LandLink</v>
      </c>
      <c r="F6351" s="122" t="str">
        <f>IFERROR(__xludf.DUMMYFUNCTION("""COMPUTED_VALUE"""),"Real Estate")</f>
        <v>Real Estate</v>
      </c>
    </row>
    <row r="6352">
      <c r="A6352" s="131">
        <f>IFERROR(__xludf.DUMMYFUNCTION("""COMPUTED_VALUE"""),46187.55515046296)</f>
        <v>46187.55515</v>
      </c>
      <c r="B6352" s="126">
        <f>IFERROR(__xludf.DUMMYFUNCTION("""COMPUTED_VALUE"""),46187.0)</f>
        <v>46187</v>
      </c>
      <c r="C6352" s="130">
        <f>IFERROR(__xludf.DUMMYFUNCTION("""COMPUTED_VALUE"""),0.555150462962963)</f>
        <v>0.555150463</v>
      </c>
      <c r="D6352" s="122" t="str">
        <f>IFERROR(__xludf.DUMMYFUNCTION("""COMPUTED_VALUE"""),"CARS")</f>
        <v>CARS</v>
      </c>
      <c r="E6352" s="122" t="str">
        <f>IFERROR(__xludf.DUMMYFUNCTION("""COMPUTED_VALUE"""),"AutoArena")</f>
        <v>AutoArena</v>
      </c>
      <c r="F6352" s="122" t="str">
        <f>IFERROR(__xludf.DUMMYFUNCTION("""COMPUTED_VALUE"""),"Automotive")</f>
        <v>Automotive</v>
      </c>
    </row>
    <row r="6353">
      <c r="A6353" s="131">
        <f>IFERROR(__xludf.DUMMYFUNCTION("""COMPUTED_VALUE"""),46187.55515046296)</f>
        <v>46187.55515</v>
      </c>
      <c r="B6353" s="126">
        <f>IFERROR(__xludf.DUMMYFUNCTION("""COMPUTED_VALUE"""),46187.0)</f>
        <v>46187</v>
      </c>
      <c r="C6353" s="130">
        <f>IFERROR(__xludf.DUMMYFUNCTION("""COMPUTED_VALUE"""),0.555150462962963)</f>
        <v>0.555150463</v>
      </c>
      <c r="D6353" s="122" t="str">
        <f>IFERROR(__xludf.DUMMYFUNCTION("""COMPUTED_VALUE"""),"EVGO")</f>
        <v>EVGO</v>
      </c>
      <c r="E6353" s="122" t="str">
        <f>IFERROR(__xludf.DUMMYFUNCTION("""COMPUTED_VALUE"""),"EVGo Motors")</f>
        <v>EVGo Motors</v>
      </c>
      <c r="F6353" s="122" t="str">
        <f>IFERROR(__xludf.DUMMYFUNCTION("""COMPUTED_VALUE"""),"Automotive")</f>
        <v>Automotive</v>
      </c>
    </row>
    <row r="6354">
      <c r="A6354" s="131">
        <f>IFERROR(__xludf.DUMMYFUNCTION("""COMPUTED_VALUE"""),46187.55515046296)</f>
        <v>46187.55515</v>
      </c>
      <c r="B6354" s="126">
        <f>IFERROR(__xludf.DUMMYFUNCTION("""COMPUTED_VALUE"""),46187.0)</f>
        <v>46187</v>
      </c>
      <c r="C6354" s="130">
        <f>IFERROR(__xludf.DUMMYFUNCTION("""COMPUTED_VALUE"""),0.555150462962963)</f>
        <v>0.555150463</v>
      </c>
      <c r="D6354" s="122" t="str">
        <f>IFERROR(__xludf.DUMMYFUNCTION("""COMPUTED_VALUE"""),"TIRE")</f>
        <v>TIRE</v>
      </c>
      <c r="E6354" s="122" t="str">
        <f>IFERROR(__xludf.DUMMYFUNCTION("""COMPUTED_VALUE"""),"TireTown")</f>
        <v>TireTown</v>
      </c>
      <c r="F6354" s="122" t="str">
        <f>IFERROR(__xludf.DUMMYFUNCTION("""COMPUTED_VALUE"""),"Automotive")</f>
        <v>Automotive</v>
      </c>
    </row>
    <row r="6355">
      <c r="A6355" s="131">
        <f>IFERROR(__xludf.DUMMYFUNCTION("""COMPUTED_VALUE"""),46187.55515046296)</f>
        <v>46187.55515</v>
      </c>
      <c r="B6355" s="126">
        <f>IFERROR(__xludf.DUMMYFUNCTION("""COMPUTED_VALUE"""),46187.0)</f>
        <v>46187</v>
      </c>
      <c r="C6355" s="130">
        <f>IFERROR(__xludf.DUMMYFUNCTION("""COMPUTED_VALUE"""),0.555150462962963)</f>
        <v>0.555150463</v>
      </c>
      <c r="D6355" s="122" t="str">
        <f>IFERROR(__xludf.DUMMYFUNCTION("""COMPUTED_VALUE"""),"BIKE")</f>
        <v>BIKE</v>
      </c>
      <c r="E6355" s="122" t="str">
        <f>IFERROR(__xludf.DUMMYFUNCTION("""COMPUTED_VALUE"""),"BikeBox")</f>
        <v>BikeBox</v>
      </c>
      <c r="F6355" s="122" t="str">
        <f>IFERROR(__xludf.DUMMYFUNCTION("""COMPUTED_VALUE"""),"Automotive")</f>
        <v>Automotive</v>
      </c>
    </row>
    <row r="6356">
      <c r="A6356" s="131">
        <f>IFERROR(__xludf.DUMMYFUNCTION("""COMPUTED_VALUE"""),46187.55515046296)</f>
        <v>46187.55515</v>
      </c>
      <c r="B6356" s="126">
        <f>IFERROR(__xludf.DUMMYFUNCTION("""COMPUTED_VALUE"""),46187.0)</f>
        <v>46187</v>
      </c>
      <c r="C6356" s="130">
        <f>IFERROR(__xludf.DUMMYFUNCTION("""COMPUTED_VALUE"""),0.555150462962963)</f>
        <v>0.555150463</v>
      </c>
      <c r="D6356" s="122" t="str">
        <f>IFERROR(__xludf.DUMMYFUNCTION("""COMPUTED_VALUE"""),"WASH")</f>
        <v>WASH</v>
      </c>
      <c r="E6356" s="122" t="str">
        <f>IFERROR(__xludf.DUMMYFUNCTION("""COMPUTED_VALUE"""),"CarWash Co")</f>
        <v>CarWash Co</v>
      </c>
      <c r="F6356" s="122" t="str">
        <f>IFERROR(__xludf.DUMMYFUNCTION("""COMPUTED_VALUE"""),"Automotive")</f>
        <v>Automotive</v>
      </c>
    </row>
    <row r="6357">
      <c r="A6357" s="131">
        <f>IFERROR(__xludf.DUMMYFUNCTION("""COMPUTED_VALUE"""),46187.55515046296)</f>
        <v>46187.55515</v>
      </c>
      <c r="B6357" s="126">
        <f>IFERROR(__xludf.DUMMYFUNCTION("""COMPUTED_VALUE"""),46187.0)</f>
        <v>46187</v>
      </c>
      <c r="C6357" s="130">
        <f>IFERROR(__xludf.DUMMYFUNCTION("""COMPUTED_VALUE"""),0.555150462962963)</f>
        <v>0.555150463</v>
      </c>
      <c r="D6357" s="122" t="str">
        <f>IFERROR(__xludf.DUMMYFUNCTION("""COMPUTED_VALUE"""),"GBND")</f>
        <v>GBND</v>
      </c>
      <c r="E6357" s="122" t="str">
        <f>IFERROR(__xludf.DUMMYFUNCTION("""COMPUTED_VALUE"""),"Classroom Government Bond")</f>
        <v>Classroom Government Bond</v>
      </c>
      <c r="F6357" s="122" t="str">
        <f>IFERROR(__xludf.DUMMYFUNCTION("""COMPUTED_VALUE"""),"Bond")</f>
        <v>Bond</v>
      </c>
    </row>
    <row r="6358">
      <c r="A6358" s="131">
        <f>IFERROR(__xludf.DUMMYFUNCTION("""COMPUTED_VALUE"""),46187.55515046296)</f>
        <v>46187.55515</v>
      </c>
      <c r="B6358" s="126">
        <f>IFERROR(__xludf.DUMMYFUNCTION("""COMPUTED_VALUE"""),46187.0)</f>
        <v>46187</v>
      </c>
      <c r="C6358" s="130">
        <f>IFERROR(__xludf.DUMMYFUNCTION("""COMPUTED_VALUE"""),0.555150462962963)</f>
        <v>0.555150463</v>
      </c>
      <c r="D6358" s="122" t="str">
        <f>IFERROR(__xludf.DUMMYFUNCTION("""COMPUTED_VALUE"""),"SBND")</f>
        <v>SBND</v>
      </c>
      <c r="E6358" s="122" t="str">
        <f>IFERROR(__xludf.DUMMYFUNCTION("""COMPUTED_VALUE"""),"School Savings Bond")</f>
        <v>School Savings Bond</v>
      </c>
      <c r="F6358" s="122" t="str">
        <f>IFERROR(__xludf.DUMMYFUNCTION("""COMPUTED_VALUE"""),"Bond")</f>
        <v>Bond</v>
      </c>
    </row>
    <row r="6359">
      <c r="A6359" s="131">
        <f>IFERROR(__xludf.DUMMYFUNCTION("""COMPUTED_VALUE"""),46187.55515046296)</f>
        <v>46187.55515</v>
      </c>
      <c r="B6359" s="126">
        <f>IFERROR(__xludf.DUMMYFUNCTION("""COMPUTED_VALUE"""),46187.0)</f>
        <v>46187</v>
      </c>
      <c r="C6359" s="130">
        <f>IFERROR(__xludf.DUMMYFUNCTION("""COMPUTED_VALUE"""),0.555150462962963)</f>
        <v>0.555150463</v>
      </c>
      <c r="D6359" s="122" t="str">
        <f>IFERROR(__xludf.DUMMYFUNCTION("""COMPUTED_VALUE"""),"CBND")</f>
        <v>CBND</v>
      </c>
      <c r="E6359" s="122" t="str">
        <f>IFERROR(__xludf.DUMMYFUNCTION("""COMPUTED_VALUE"""),"Corporate Classroom Bond")</f>
        <v>Corporate Classroom Bond</v>
      </c>
      <c r="F6359" s="122" t="str">
        <f>IFERROR(__xludf.DUMMYFUNCTION("""COMPUTED_VALUE"""),"Bond")</f>
        <v>Bond</v>
      </c>
    </row>
    <row r="6360">
      <c r="A6360" s="131">
        <f>IFERROR(__xludf.DUMMYFUNCTION("""COMPUTED_VALUE"""),46187.55515046296)</f>
        <v>46187.55515</v>
      </c>
      <c r="B6360" s="126">
        <f>IFERROR(__xludf.DUMMYFUNCTION("""COMPUTED_VALUE"""),46187.0)</f>
        <v>46187</v>
      </c>
      <c r="C6360" s="130">
        <f>IFERROR(__xludf.DUMMYFUNCTION("""COMPUTED_VALUE"""),0.555150462962963)</f>
        <v>0.555150463</v>
      </c>
      <c r="D6360" s="122" t="str">
        <f>IFERROR(__xludf.DUMMYFUNCTION("""COMPUTED_VALUE"""),"TBIL")</f>
        <v>TBIL</v>
      </c>
      <c r="E6360" s="122" t="str">
        <f>IFERROR(__xludf.DUMMYFUNCTION("""COMPUTED_VALUE"""),"Treasury Bill")</f>
        <v>Treasury Bill</v>
      </c>
      <c r="F6360" s="122" t="str">
        <f>IFERROR(__xludf.DUMMYFUNCTION("""COMPUTED_VALUE"""),"Bond")</f>
        <v>Bond</v>
      </c>
    </row>
    <row r="6361">
      <c r="A6361" s="131">
        <f>IFERROR(__xludf.DUMMYFUNCTION("""COMPUTED_VALUE"""),46187.55515046296)</f>
        <v>46187.55515</v>
      </c>
      <c r="B6361" s="126">
        <f>IFERROR(__xludf.DUMMYFUNCTION("""COMPUTED_VALUE"""),46187.0)</f>
        <v>46187</v>
      </c>
      <c r="C6361" s="130">
        <f>IFERROR(__xludf.DUMMYFUNCTION("""COMPUTED_VALUE"""),0.555150462962963)</f>
        <v>0.555150463</v>
      </c>
      <c r="D6361" s="122" t="str">
        <f>IFERROR(__xludf.DUMMYFUNCTION("""COMPUTED_VALUE"""),"IBND")</f>
        <v>IBND</v>
      </c>
      <c r="E6361" s="122" t="str">
        <f>IFERROR(__xludf.DUMMYFUNCTION("""COMPUTED_VALUE"""),"Inflation Protected Bond")</f>
        <v>Inflation Protected Bond</v>
      </c>
      <c r="F6361" s="122" t="str">
        <f>IFERROR(__xludf.DUMMYFUNCTION("""COMPUTED_VALUE"""),"Bond")</f>
        <v>Bond</v>
      </c>
    </row>
    <row r="6362">
      <c r="A6362" s="131">
        <f>IFERROR(__xludf.DUMMYFUNCTION("""COMPUTED_VALUE"""),46187.55719907407)</f>
        <v>46187.5572</v>
      </c>
      <c r="B6362" s="126">
        <f>IFERROR(__xludf.DUMMYFUNCTION("""COMPUTED_VALUE"""),46187.0)</f>
        <v>46187</v>
      </c>
      <c r="C6362" s="122" t="str">
        <f>IFERROR(__xludf.DUMMYFUNCTION("""COMPUTED_VALUE"""),"SNAX")</f>
        <v>SNAX</v>
      </c>
      <c r="D6362" s="122" t="str">
        <f>IFERROR(__xludf.DUMMYFUNCTION("""COMPUTED_VALUE"""),"MICA Snacks")</f>
        <v>MICA Snacks</v>
      </c>
      <c r="E6362" s="122">
        <f>IFERROR(__xludf.DUMMYFUNCTION("""COMPUTED_VALUE"""),120.41)</f>
        <v>120.41</v>
      </c>
      <c r="F6362" s="122">
        <f>IFERROR(__xludf.DUMMYFUNCTION("""COMPUTED_VALUE"""),-0.004)</f>
        <v>-0.004</v>
      </c>
    </row>
    <row r="6363">
      <c r="A6363" s="131">
        <f>IFERROR(__xludf.DUMMYFUNCTION("""COMPUTED_VALUE"""),46187.55719907407)</f>
        <v>46187.5572</v>
      </c>
      <c r="B6363" s="126">
        <f>IFERROR(__xludf.DUMMYFUNCTION("""COMPUTED_VALUE"""),46187.0)</f>
        <v>46187</v>
      </c>
      <c r="C6363" s="122" t="str">
        <f>IFERROR(__xludf.DUMMYFUNCTION("""COMPUTED_VALUE"""),"RAMN")</f>
        <v>RAMN</v>
      </c>
      <c r="D6363" s="122" t="str">
        <f>IFERROR(__xludf.DUMMYFUNCTION("""COMPUTED_VALUE"""),"Ramen Republic")</f>
        <v>Ramen Republic</v>
      </c>
      <c r="E6363" s="122">
        <f>IFERROR(__xludf.DUMMYFUNCTION("""COMPUTED_VALUE"""),65.72)</f>
        <v>65.72</v>
      </c>
      <c r="F6363" s="122">
        <f>IFERROR(__xludf.DUMMYFUNCTION("""COMPUTED_VALUE"""),-0.0029)</f>
        <v>-0.0029</v>
      </c>
    </row>
    <row r="6364">
      <c r="A6364" s="131">
        <f>IFERROR(__xludf.DUMMYFUNCTION("""COMPUTED_VALUE"""),46187.55719907407)</f>
        <v>46187.5572</v>
      </c>
      <c r="B6364" s="126">
        <f>IFERROR(__xludf.DUMMYFUNCTION("""COMPUTED_VALUE"""),46187.0)</f>
        <v>46187</v>
      </c>
      <c r="C6364" s="122" t="str">
        <f>IFERROR(__xludf.DUMMYFUNCTION("""COMPUTED_VALUE"""),"COLA")</f>
        <v>COLA</v>
      </c>
      <c r="D6364" s="122" t="str">
        <f>IFERROR(__xludf.DUMMYFUNCTION("""COMPUTED_VALUE"""),"K-Pop Cola")</f>
        <v>K-Pop Cola</v>
      </c>
      <c r="E6364" s="122">
        <f>IFERROR(__xludf.DUMMYFUNCTION("""COMPUTED_VALUE"""),114.06)</f>
        <v>114.06</v>
      </c>
      <c r="F6364" s="122">
        <f>IFERROR(__xludf.DUMMYFUNCTION("""COMPUTED_VALUE"""),-0.0028)</f>
        <v>-0.0028</v>
      </c>
    </row>
    <row r="6365">
      <c r="A6365" s="131">
        <f>IFERROR(__xludf.DUMMYFUNCTION("""COMPUTED_VALUE"""),46187.55719907407)</f>
        <v>46187.5572</v>
      </c>
      <c r="B6365" s="126">
        <f>IFERROR(__xludf.DUMMYFUNCTION("""COMPUTED_VALUE"""),46187.0)</f>
        <v>46187</v>
      </c>
      <c r="C6365" s="122" t="str">
        <f>IFERROR(__xludf.DUMMYFUNCTION("""COMPUTED_VALUE"""),"CHIP")</f>
        <v>CHIP</v>
      </c>
      <c r="D6365" s="122" t="str">
        <f>IFERROR(__xludf.DUMMYFUNCTION("""COMPUTED_VALUE"""),"Chip Empire")</f>
        <v>Chip Empire</v>
      </c>
      <c r="E6365" s="122">
        <f>IFERROR(__xludf.DUMMYFUNCTION("""COMPUTED_VALUE"""),84.33)</f>
        <v>84.33</v>
      </c>
      <c r="F6365" s="122">
        <f>IFERROR(__xludf.DUMMYFUNCTION("""COMPUTED_VALUE"""),0.0026)</f>
        <v>0.0026</v>
      </c>
    </row>
    <row r="6366">
      <c r="A6366" s="131">
        <f>IFERROR(__xludf.DUMMYFUNCTION("""COMPUTED_VALUE"""),46187.55719907407)</f>
        <v>46187.5572</v>
      </c>
      <c r="B6366" s="126">
        <f>IFERROR(__xludf.DUMMYFUNCTION("""COMPUTED_VALUE"""),46187.0)</f>
        <v>46187</v>
      </c>
      <c r="C6366" s="122" t="str">
        <f>IFERROR(__xludf.DUMMYFUNCTION("""COMPUTED_VALUE"""),"CAND")</f>
        <v>CAND</v>
      </c>
      <c r="D6366" s="122" t="str">
        <f>IFERROR(__xludf.DUMMYFUNCTION("""COMPUTED_VALUE"""),"Candy Capital")</f>
        <v>Candy Capital</v>
      </c>
      <c r="E6366" s="122">
        <f>IFERROR(__xludf.DUMMYFUNCTION("""COMPUTED_VALUE"""),76.49)</f>
        <v>76.49</v>
      </c>
      <c r="F6366" s="122">
        <f>IFERROR(__xludf.DUMMYFUNCTION("""COMPUTED_VALUE"""),-0.0042)</f>
        <v>-0.0042</v>
      </c>
    </row>
    <row r="6367">
      <c r="A6367" s="131">
        <f>IFERROR(__xludf.DUMMYFUNCTION("""COMPUTED_VALUE"""),46187.55719907407)</f>
        <v>46187.5572</v>
      </c>
      <c r="B6367" s="126">
        <f>IFERROR(__xludf.DUMMYFUNCTION("""COMPUTED_VALUE"""),46187.0)</f>
        <v>46187</v>
      </c>
      <c r="C6367" s="122" t="str">
        <f>IFERROR(__xludf.DUMMYFUNCTION("""COMPUTED_VALUE"""),"TECH")</f>
        <v>TECH</v>
      </c>
      <c r="D6367" s="122" t="str">
        <f>IFERROR(__xludf.DUMMYFUNCTION("""COMPUTED_VALUE"""),"Dragon Tech")</f>
        <v>Dragon Tech</v>
      </c>
      <c r="E6367" s="122">
        <f>IFERROR(__xludf.DUMMYFUNCTION("""COMPUTED_VALUE"""),246.73)</f>
        <v>246.73</v>
      </c>
      <c r="F6367" s="122">
        <f>IFERROR(__xludf.DUMMYFUNCTION("""COMPUTED_VALUE"""),-0.0049)</f>
        <v>-0.0049</v>
      </c>
    </row>
    <row r="6368">
      <c r="A6368" s="131">
        <f>IFERROR(__xludf.DUMMYFUNCTION("""COMPUTED_VALUE"""),46187.55719907407)</f>
        <v>46187.5572</v>
      </c>
      <c r="B6368" s="126">
        <f>IFERROR(__xludf.DUMMYFUNCTION("""COMPUTED_VALUE"""),46187.0)</f>
        <v>46187</v>
      </c>
      <c r="C6368" s="122" t="str">
        <f>IFERROR(__xludf.DUMMYFUNCTION("""COMPUTED_VALUE"""),"AIBO")</f>
        <v>AIBO</v>
      </c>
      <c r="D6368" s="122" t="str">
        <f>IFERROR(__xludf.DUMMYFUNCTION("""COMPUTED_VALUE"""),"Homework AI")</f>
        <v>Homework AI</v>
      </c>
      <c r="E6368" s="122">
        <f>IFERROR(__xludf.DUMMYFUNCTION("""COMPUTED_VALUE"""),182.62)</f>
        <v>182.62</v>
      </c>
      <c r="F6368" s="122">
        <f>IFERROR(__xludf.DUMMYFUNCTION("""COMPUTED_VALUE"""),0.0129)</f>
        <v>0.0129</v>
      </c>
    </row>
    <row r="6369">
      <c r="A6369" s="131">
        <f>IFERROR(__xludf.DUMMYFUNCTION("""COMPUTED_VALUE"""),46187.55719907407)</f>
        <v>46187.5572</v>
      </c>
      <c r="B6369" s="126">
        <f>IFERROR(__xludf.DUMMYFUNCTION("""COMPUTED_VALUE"""),46187.0)</f>
        <v>46187</v>
      </c>
      <c r="C6369" s="122" t="str">
        <f>IFERROR(__xludf.DUMMYFUNCTION("""COMPUTED_VALUE"""),"GAME")</f>
        <v>GAME</v>
      </c>
      <c r="D6369" s="122" t="str">
        <f>IFERROR(__xludf.DUMMYFUNCTION("""COMPUTED_VALUE"""),"GameBox Media")</f>
        <v>GameBox Media</v>
      </c>
      <c r="E6369" s="122">
        <f>IFERROR(__xludf.DUMMYFUNCTION("""COMPUTED_VALUE"""),102.64)</f>
        <v>102.64</v>
      </c>
      <c r="F6369" s="122">
        <f>IFERROR(__xludf.DUMMYFUNCTION("""COMPUTED_VALUE"""),0.0113)</f>
        <v>0.0113</v>
      </c>
    </row>
    <row r="6370">
      <c r="A6370" s="131">
        <f>IFERROR(__xludf.DUMMYFUNCTION("""COMPUTED_VALUE"""),46187.55719907407)</f>
        <v>46187.5572</v>
      </c>
      <c r="B6370" s="126">
        <f>IFERROR(__xludf.DUMMYFUNCTION("""COMPUTED_VALUE"""),46187.0)</f>
        <v>46187</v>
      </c>
      <c r="C6370" s="122" t="str">
        <f>IFERROR(__xludf.DUMMYFUNCTION("""COMPUTED_VALUE"""),"VRSE")</f>
        <v>VRSE</v>
      </c>
      <c r="D6370" s="122" t="str">
        <f>IFERROR(__xludf.DUMMYFUNCTION("""COMPUTED_VALUE"""),"VerseVR")</f>
        <v>VerseVR</v>
      </c>
      <c r="E6370" s="122">
        <f>IFERROR(__xludf.DUMMYFUNCTION("""COMPUTED_VALUE"""),148.25)</f>
        <v>148.25</v>
      </c>
      <c r="F6370" s="122">
        <f>IFERROR(__xludf.DUMMYFUNCTION("""COMPUTED_VALUE"""),-0.008)</f>
        <v>-0.008</v>
      </c>
    </row>
    <row r="6371">
      <c r="A6371" s="131">
        <f>IFERROR(__xludf.DUMMYFUNCTION("""COMPUTED_VALUE"""),46187.55719907407)</f>
        <v>46187.5572</v>
      </c>
      <c r="B6371" s="126">
        <f>IFERROR(__xludf.DUMMYFUNCTION("""COMPUTED_VALUE"""),46187.0)</f>
        <v>46187</v>
      </c>
      <c r="C6371" s="122" t="str">
        <f>IFERROR(__xludf.DUMMYFUNCTION("""COMPUTED_VALUE"""),"BYTE")</f>
        <v>BYTE</v>
      </c>
      <c r="D6371" s="122" t="str">
        <f>IFERROR(__xludf.DUMMYFUNCTION("""COMPUTED_VALUE"""),"ByteWorks")</f>
        <v>ByteWorks</v>
      </c>
      <c r="E6371" s="122">
        <f>IFERROR(__xludf.DUMMYFUNCTION("""COMPUTED_VALUE"""),115.33)</f>
        <v>115.33</v>
      </c>
      <c r="F6371" s="122">
        <f>IFERROR(__xludf.DUMMYFUNCTION("""COMPUTED_VALUE"""),0.0041)</f>
        <v>0.0041</v>
      </c>
    </row>
    <row r="6372">
      <c r="A6372" s="131">
        <f>IFERROR(__xludf.DUMMYFUNCTION("""COMPUTED_VALUE"""),46187.55719907407)</f>
        <v>46187.5572</v>
      </c>
      <c r="B6372" s="126">
        <f>IFERROR(__xludf.DUMMYFUNCTION("""COMPUTED_VALUE"""),46187.0)</f>
        <v>46187</v>
      </c>
      <c r="C6372" s="122" t="str">
        <f>IFERROR(__xludf.DUMMYFUNCTION("""COMPUTED_VALUE"""),"BANK")</f>
        <v>BANK</v>
      </c>
      <c r="D6372" s="122" t="str">
        <f>IFERROR(__xludf.DUMMYFUNCTION("""COMPUTED_VALUE"""),"Tiger Bank")</f>
        <v>Tiger Bank</v>
      </c>
      <c r="E6372" s="122">
        <f>IFERROR(__xludf.DUMMYFUNCTION("""COMPUTED_VALUE"""),129.89)</f>
        <v>129.89</v>
      </c>
      <c r="F6372" s="122">
        <f>IFERROR(__xludf.DUMMYFUNCTION("""COMPUTED_VALUE"""),0.0014)</f>
        <v>0.0014</v>
      </c>
    </row>
    <row r="6373">
      <c r="A6373" s="131">
        <f>IFERROR(__xludf.DUMMYFUNCTION("""COMPUTED_VALUE"""),46187.55719907407)</f>
        <v>46187.5572</v>
      </c>
      <c r="B6373" s="126">
        <f>IFERROR(__xludf.DUMMYFUNCTION("""COMPUTED_VALUE"""),46187.0)</f>
        <v>46187</v>
      </c>
      <c r="C6373" s="122" t="str">
        <f>IFERROR(__xludf.DUMMYFUNCTION("""COMPUTED_VALUE"""),"CRED")</f>
        <v>CRED</v>
      </c>
      <c r="D6373" s="122" t="str">
        <f>IFERROR(__xludf.DUMMYFUNCTION("""COMPUTED_VALUE"""),"Credit Castle")</f>
        <v>Credit Castle</v>
      </c>
      <c r="E6373" s="122">
        <f>IFERROR(__xludf.DUMMYFUNCTION("""COMPUTED_VALUE"""),67.06)</f>
        <v>67.06</v>
      </c>
      <c r="F6373" s="122">
        <f>IFERROR(__xludf.DUMMYFUNCTION("""COMPUTED_VALUE"""),0.0048)</f>
        <v>0.0048</v>
      </c>
    </row>
    <row r="6374">
      <c r="A6374" s="131">
        <f>IFERROR(__xludf.DUMMYFUNCTION("""COMPUTED_VALUE"""),46187.55719907407)</f>
        <v>46187.5572</v>
      </c>
      <c r="B6374" s="126">
        <f>IFERROR(__xludf.DUMMYFUNCTION("""COMPUTED_VALUE"""),46187.0)</f>
        <v>46187</v>
      </c>
      <c r="C6374" s="122" t="str">
        <f>IFERROR(__xludf.DUMMYFUNCTION("""COMPUTED_VALUE"""),"BOND")</f>
        <v>BOND</v>
      </c>
      <c r="D6374" s="122" t="str">
        <f>IFERROR(__xludf.DUMMYFUNCTION("""COMPUTED_VALUE"""),"BondBridge")</f>
        <v>BondBridge</v>
      </c>
      <c r="E6374" s="122">
        <f>IFERROR(__xludf.DUMMYFUNCTION("""COMPUTED_VALUE"""),102.18)</f>
        <v>102.18</v>
      </c>
      <c r="F6374" s="122">
        <f>IFERROR(__xludf.DUMMYFUNCTION("""COMPUTED_VALUE"""),0.0016)</f>
        <v>0.0016</v>
      </c>
    </row>
    <row r="6375">
      <c r="A6375" s="131">
        <f>IFERROR(__xludf.DUMMYFUNCTION("""COMPUTED_VALUE"""),46187.55719907407)</f>
        <v>46187.5572</v>
      </c>
      <c r="B6375" s="126">
        <f>IFERROR(__xludf.DUMMYFUNCTION("""COMPUTED_VALUE"""),46187.0)</f>
        <v>46187</v>
      </c>
      <c r="C6375" s="122" t="str">
        <f>IFERROR(__xludf.DUMMYFUNCTION("""COMPUTED_VALUE"""),"INSR")</f>
        <v>INSR</v>
      </c>
      <c r="D6375" s="122" t="str">
        <f>IFERROR(__xludf.DUMMYFUNCTION("""COMPUTED_VALUE"""),"Shield Insurance")</f>
        <v>Shield Insurance</v>
      </c>
      <c r="E6375" s="122">
        <f>IFERROR(__xludf.DUMMYFUNCTION("""COMPUTED_VALUE"""),157.52)</f>
        <v>157.52</v>
      </c>
      <c r="F6375" s="122">
        <f>IFERROR(__xludf.DUMMYFUNCTION("""COMPUTED_VALUE"""),-0.0027)</f>
        <v>-0.0027</v>
      </c>
    </row>
    <row r="6376">
      <c r="A6376" s="131">
        <f>IFERROR(__xludf.DUMMYFUNCTION("""COMPUTED_VALUE"""),46187.55719907407)</f>
        <v>46187.5572</v>
      </c>
      <c r="B6376" s="126">
        <f>IFERROR(__xludf.DUMMYFUNCTION("""COMPUTED_VALUE"""),46187.0)</f>
        <v>46187</v>
      </c>
      <c r="C6376" s="122" t="str">
        <f>IFERROR(__xludf.DUMMYFUNCTION("""COMPUTED_VALUE"""),"LOAN")</f>
        <v>LOAN</v>
      </c>
      <c r="D6376" s="122" t="str">
        <f>IFERROR(__xludf.DUMMYFUNCTION("""COMPUTED_VALUE"""),"LoanLab")</f>
        <v>LoanLab</v>
      </c>
      <c r="E6376" s="122">
        <f>IFERROR(__xludf.DUMMYFUNCTION("""COMPUTED_VALUE"""),67.46)</f>
        <v>67.46</v>
      </c>
      <c r="F6376" s="122">
        <f>IFERROR(__xludf.DUMMYFUNCTION("""COMPUTED_VALUE"""),0.0033)</f>
        <v>0.0033</v>
      </c>
    </row>
    <row r="6377">
      <c r="A6377" s="131">
        <f>IFERROR(__xludf.DUMMYFUNCTION("""COMPUTED_VALUE"""),46187.55719907407)</f>
        <v>46187.5572</v>
      </c>
      <c r="B6377" s="126">
        <f>IFERROR(__xludf.DUMMYFUNCTION("""COMPUTED_VALUE"""),46187.0)</f>
        <v>46187</v>
      </c>
      <c r="C6377" s="122" t="str">
        <f>IFERROR(__xludf.DUMMYFUNCTION("""COMPUTED_VALUE"""),"LUXE")</f>
        <v>LUXE</v>
      </c>
      <c r="D6377" s="122" t="str">
        <f>IFERROR(__xludf.DUMMYFUNCTION("""COMPUTED_VALUE"""),"Luxury Locker")</f>
        <v>Luxury Locker</v>
      </c>
      <c r="E6377" s="122">
        <f>IFERROR(__xludf.DUMMYFUNCTION("""COMPUTED_VALUE"""),269.25)</f>
        <v>269.25</v>
      </c>
      <c r="F6377" s="122">
        <f>IFERROR(__xludf.DUMMYFUNCTION("""COMPUTED_VALUE"""),-0.0044)</f>
        <v>-0.0044</v>
      </c>
    </row>
    <row r="6378">
      <c r="A6378" s="131">
        <f>IFERROR(__xludf.DUMMYFUNCTION("""COMPUTED_VALUE"""),46187.55719907407)</f>
        <v>46187.5572</v>
      </c>
      <c r="B6378" s="126">
        <f>IFERROR(__xludf.DUMMYFUNCTION("""COMPUTED_VALUE"""),46187.0)</f>
        <v>46187</v>
      </c>
      <c r="C6378" s="122" t="str">
        <f>IFERROR(__xludf.DUMMYFUNCTION("""COMPUTED_VALUE"""),"DRIP")</f>
        <v>DRIP</v>
      </c>
      <c r="D6378" s="122" t="str">
        <f>IFERROR(__xludf.DUMMYFUNCTION("""COMPUTED_VALUE"""),"Drip Streetwear")</f>
        <v>Drip Streetwear</v>
      </c>
      <c r="E6378" s="122">
        <f>IFERROR(__xludf.DUMMYFUNCTION("""COMPUTED_VALUE"""),192.88)</f>
        <v>192.88</v>
      </c>
      <c r="F6378" s="122">
        <f>IFERROR(__xludf.DUMMYFUNCTION("""COMPUTED_VALUE"""),0.0086)</f>
        <v>0.0086</v>
      </c>
    </row>
    <row r="6379">
      <c r="A6379" s="131">
        <f>IFERROR(__xludf.DUMMYFUNCTION("""COMPUTED_VALUE"""),46187.55719907407)</f>
        <v>46187.5572</v>
      </c>
      <c r="B6379" s="126">
        <f>IFERROR(__xludf.DUMMYFUNCTION("""COMPUTED_VALUE"""),46187.0)</f>
        <v>46187</v>
      </c>
      <c r="C6379" s="122" t="str">
        <f>IFERROR(__xludf.DUMMYFUNCTION("""COMPUTED_VALUE"""),"KICK")</f>
        <v>KICK</v>
      </c>
      <c r="D6379" s="122" t="str">
        <f>IFERROR(__xludf.DUMMYFUNCTION("""COMPUTED_VALUE"""),"KickDrop Sneakers")</f>
        <v>KickDrop Sneakers</v>
      </c>
      <c r="E6379" s="122">
        <f>IFERROR(__xludf.DUMMYFUNCTION("""COMPUTED_VALUE"""),168.28)</f>
        <v>168.28</v>
      </c>
      <c r="F6379" s="122">
        <f>IFERROR(__xludf.DUMMYFUNCTION("""COMPUTED_VALUE"""),0.0057)</f>
        <v>0.0057</v>
      </c>
    </row>
    <row r="6380">
      <c r="A6380" s="131">
        <f>IFERROR(__xludf.DUMMYFUNCTION("""COMPUTED_VALUE"""),46187.55719907407)</f>
        <v>46187.5572</v>
      </c>
      <c r="B6380" s="126">
        <f>IFERROR(__xludf.DUMMYFUNCTION("""COMPUTED_VALUE"""),46187.0)</f>
        <v>46187</v>
      </c>
      <c r="C6380" s="122" t="str">
        <f>IFERROR(__xludf.DUMMYFUNCTION("""COMPUTED_VALUE"""),"GLAM")</f>
        <v>GLAM</v>
      </c>
      <c r="D6380" s="122" t="str">
        <f>IFERROR(__xludf.DUMMYFUNCTION("""COMPUTED_VALUE"""),"Glow Cosmetics")</f>
        <v>Glow Cosmetics</v>
      </c>
      <c r="E6380" s="122">
        <f>IFERROR(__xludf.DUMMYFUNCTION("""COMPUTED_VALUE"""),109.45)</f>
        <v>109.45</v>
      </c>
      <c r="F6380" s="122">
        <f>IFERROR(__xludf.DUMMYFUNCTION("""COMPUTED_VALUE"""),0.0086)</f>
        <v>0.0086</v>
      </c>
    </row>
    <row r="6381">
      <c r="A6381" s="131">
        <f>IFERROR(__xludf.DUMMYFUNCTION("""COMPUTED_VALUE"""),46187.55719907407)</f>
        <v>46187.5572</v>
      </c>
      <c r="B6381" s="126">
        <f>IFERROR(__xludf.DUMMYFUNCTION("""COMPUTED_VALUE"""),46187.0)</f>
        <v>46187</v>
      </c>
      <c r="C6381" s="122" t="str">
        <f>IFERROR(__xludf.DUMMYFUNCTION("""COMPUTED_VALUE"""),"BAGG")</f>
        <v>BAGG</v>
      </c>
      <c r="D6381" s="122" t="str">
        <f>IFERROR(__xludf.DUMMYFUNCTION("""COMPUTED_VALUE"""),"BagVault")</f>
        <v>BagVault</v>
      </c>
      <c r="E6381" s="122">
        <f>IFERROR(__xludf.DUMMYFUNCTION("""COMPUTED_VALUE"""),265.17)</f>
        <v>265.17</v>
      </c>
      <c r="F6381" s="122">
        <f>IFERROR(__xludf.DUMMYFUNCTION("""COMPUTED_VALUE"""),0.0053)</f>
        <v>0.0053</v>
      </c>
    </row>
    <row r="6382">
      <c r="A6382" s="131">
        <f>IFERROR(__xludf.DUMMYFUNCTION("""COMPUTED_VALUE"""),46187.55719907407)</f>
        <v>46187.5572</v>
      </c>
      <c r="B6382" s="126">
        <f>IFERROR(__xludf.DUMMYFUNCTION("""COMPUTED_VALUE"""),46187.0)</f>
        <v>46187</v>
      </c>
      <c r="C6382" s="122" t="str">
        <f>IFERROR(__xludf.DUMMYFUNCTION("""COMPUTED_VALUE"""),"FAST")</f>
        <v>FAST</v>
      </c>
      <c r="D6382" s="122" t="str">
        <f>IFERROR(__xludf.DUMMYFUNCTION("""COMPUTED_VALUE"""),"Flash Logistics")</f>
        <v>Flash Logistics</v>
      </c>
      <c r="E6382" s="122">
        <f>IFERROR(__xludf.DUMMYFUNCTION("""COMPUTED_VALUE"""),105.9)</f>
        <v>105.9</v>
      </c>
      <c r="F6382" s="122">
        <f>IFERROR(__xludf.DUMMYFUNCTION("""COMPUTED_VALUE"""),0.004)</f>
        <v>0.004</v>
      </c>
    </row>
    <row r="6383">
      <c r="A6383" s="131">
        <f>IFERROR(__xludf.DUMMYFUNCTION("""COMPUTED_VALUE"""),46187.55719907407)</f>
        <v>46187.5572</v>
      </c>
      <c r="B6383" s="126">
        <f>IFERROR(__xludf.DUMMYFUNCTION("""COMPUTED_VALUE"""),46187.0)</f>
        <v>46187</v>
      </c>
      <c r="C6383" s="122" t="str">
        <f>IFERROR(__xludf.DUMMYFUNCTION("""COMPUTED_VALUE"""),"SHIP")</f>
        <v>SHIP</v>
      </c>
      <c r="D6383" s="122" t="str">
        <f>IFERROR(__xludf.DUMMYFUNCTION("""COMPUTED_VALUE"""),"Seoul Shipping")</f>
        <v>Seoul Shipping</v>
      </c>
      <c r="E6383" s="122">
        <f>IFERROR(__xludf.DUMMYFUNCTION("""COMPUTED_VALUE"""),127.95)</f>
        <v>127.95</v>
      </c>
      <c r="F6383" s="122">
        <f>IFERROR(__xludf.DUMMYFUNCTION("""COMPUTED_VALUE"""),0.0042)</f>
        <v>0.0042</v>
      </c>
    </row>
    <row r="6384">
      <c r="A6384" s="131">
        <f>IFERROR(__xludf.DUMMYFUNCTION("""COMPUTED_VALUE"""),46187.55719907407)</f>
        <v>46187.5572</v>
      </c>
      <c r="B6384" s="126">
        <f>IFERROR(__xludf.DUMMYFUNCTION("""COMPUTED_VALUE"""),46187.0)</f>
        <v>46187</v>
      </c>
      <c r="C6384" s="122" t="str">
        <f>IFERROR(__xludf.DUMMYFUNCTION("""COMPUTED_VALUE"""),"DRON")</f>
        <v>DRON</v>
      </c>
      <c r="D6384" s="122" t="str">
        <f>IFERROR(__xludf.DUMMYFUNCTION("""COMPUTED_VALUE"""),"DroneDrop")</f>
        <v>DroneDrop</v>
      </c>
      <c r="E6384" s="122">
        <f>IFERROR(__xludf.DUMMYFUNCTION("""COMPUTED_VALUE"""),128.07)</f>
        <v>128.07</v>
      </c>
      <c r="F6384" s="122">
        <f>IFERROR(__xludf.DUMMYFUNCTION("""COMPUTED_VALUE"""),-0.0109)</f>
        <v>-0.0109</v>
      </c>
    </row>
    <row r="6385">
      <c r="A6385" s="131">
        <f>IFERROR(__xludf.DUMMYFUNCTION("""COMPUTED_VALUE"""),46187.55719907407)</f>
        <v>46187.5572</v>
      </c>
      <c r="B6385" s="126">
        <f>IFERROR(__xludf.DUMMYFUNCTION("""COMPUTED_VALUE"""),46187.0)</f>
        <v>46187</v>
      </c>
      <c r="C6385" s="122" t="str">
        <f>IFERROR(__xludf.DUMMYFUNCTION("""COMPUTED_VALUE"""),"RIDE")</f>
        <v>RIDE</v>
      </c>
      <c r="D6385" s="122" t="str">
        <f>IFERROR(__xludf.DUMMYFUNCTION("""COMPUTED_VALUE"""),"QuickRide")</f>
        <v>QuickRide</v>
      </c>
      <c r="E6385" s="122">
        <f>IFERROR(__xludf.DUMMYFUNCTION("""COMPUTED_VALUE"""),101.32)</f>
        <v>101.32</v>
      </c>
      <c r="F6385" s="122">
        <f>IFERROR(__xludf.DUMMYFUNCTION("""COMPUTED_VALUE"""),0.011)</f>
        <v>0.011</v>
      </c>
    </row>
    <row r="6386">
      <c r="A6386" s="131">
        <f>IFERROR(__xludf.DUMMYFUNCTION("""COMPUTED_VALUE"""),46187.55719907407)</f>
        <v>46187.5572</v>
      </c>
      <c r="B6386" s="126">
        <f>IFERROR(__xludf.DUMMYFUNCTION("""COMPUTED_VALUE"""),46187.0)</f>
        <v>46187</v>
      </c>
      <c r="C6386" s="122" t="str">
        <f>IFERROR(__xludf.DUMMYFUNCTION("""COMPUTED_VALUE"""),"RAIL")</f>
        <v>RAIL</v>
      </c>
      <c r="D6386" s="122" t="str">
        <f>IFERROR(__xludf.DUMMYFUNCTION("""COMPUTED_VALUE"""),"MetroRail Corp")</f>
        <v>MetroRail Corp</v>
      </c>
      <c r="E6386" s="122">
        <f>IFERROR(__xludf.DUMMYFUNCTION("""COMPUTED_VALUE"""),131.05)</f>
        <v>131.05</v>
      </c>
      <c r="F6386" s="122">
        <f>IFERROR(__xludf.DUMMYFUNCTION("""COMPUTED_VALUE"""),0.0)</f>
        <v>0</v>
      </c>
    </row>
    <row r="6387">
      <c r="A6387" s="131">
        <f>IFERROR(__xludf.DUMMYFUNCTION("""COMPUTED_VALUE"""),46187.55719907407)</f>
        <v>46187.5572</v>
      </c>
      <c r="B6387" s="126">
        <f>IFERROR(__xludf.DUMMYFUNCTION("""COMPUTED_VALUE"""),46187.0)</f>
        <v>46187</v>
      </c>
      <c r="C6387" s="122" t="str">
        <f>IFERROR(__xludf.DUMMYFUNCTION("""COMPUTED_VALUE"""),"MEDX")</f>
        <v>MEDX</v>
      </c>
      <c r="D6387" s="122" t="str">
        <f>IFERROR(__xludf.DUMMYFUNCTION("""COMPUTED_VALUE"""),"MediCore")</f>
        <v>MediCore</v>
      </c>
      <c r="E6387" s="122">
        <f>IFERROR(__xludf.DUMMYFUNCTION("""COMPUTED_VALUE"""),138.72)</f>
        <v>138.72</v>
      </c>
      <c r="F6387" s="122">
        <f>IFERROR(__xludf.DUMMYFUNCTION("""COMPUTED_VALUE"""),0.002)</f>
        <v>0.002</v>
      </c>
    </row>
    <row r="6388">
      <c r="A6388" s="131">
        <f>IFERROR(__xludf.DUMMYFUNCTION("""COMPUTED_VALUE"""),46187.55719907407)</f>
        <v>46187.5572</v>
      </c>
      <c r="B6388" s="126">
        <f>IFERROR(__xludf.DUMMYFUNCTION("""COMPUTED_VALUE"""),46187.0)</f>
        <v>46187</v>
      </c>
      <c r="C6388" s="122" t="str">
        <f>IFERROR(__xludf.DUMMYFUNCTION("""COMPUTED_VALUE"""),"GYMX")</f>
        <v>GYMX</v>
      </c>
      <c r="D6388" s="122" t="str">
        <f>IFERROR(__xludf.DUMMYFUNCTION("""COMPUTED_VALUE"""),"GymX Fitness")</f>
        <v>GymX Fitness</v>
      </c>
      <c r="E6388" s="122">
        <f>IFERROR(__xludf.DUMMYFUNCTION("""COMPUTED_VALUE"""),85.9)</f>
        <v>85.9</v>
      </c>
      <c r="F6388" s="122">
        <f>IFERROR(__xludf.DUMMYFUNCTION("""COMPUTED_VALUE"""),-0.0044)</f>
        <v>-0.0044</v>
      </c>
    </row>
    <row r="6389">
      <c r="A6389" s="131">
        <f>IFERROR(__xludf.DUMMYFUNCTION("""COMPUTED_VALUE"""),46187.55719907407)</f>
        <v>46187.5572</v>
      </c>
      <c r="B6389" s="126">
        <f>IFERROR(__xludf.DUMMYFUNCTION("""COMPUTED_VALUE"""),46187.0)</f>
        <v>46187</v>
      </c>
      <c r="C6389" s="122" t="str">
        <f>IFERROR(__xludf.DUMMYFUNCTION("""COMPUTED_VALUE"""),"VITA")</f>
        <v>VITA</v>
      </c>
      <c r="D6389" s="122" t="str">
        <f>IFERROR(__xludf.DUMMYFUNCTION("""COMPUTED_VALUE"""),"VitaPlus")</f>
        <v>VitaPlus</v>
      </c>
      <c r="E6389" s="122">
        <f>IFERROR(__xludf.DUMMYFUNCTION("""COMPUTED_VALUE"""),72.01)</f>
        <v>72.01</v>
      </c>
      <c r="F6389" s="122">
        <f>IFERROR(__xludf.DUMMYFUNCTION("""COMPUTED_VALUE"""),0.0046)</f>
        <v>0.0046</v>
      </c>
    </row>
    <row r="6390">
      <c r="A6390" s="131">
        <f>IFERROR(__xludf.DUMMYFUNCTION("""COMPUTED_VALUE"""),46187.55719907407)</f>
        <v>46187.5572</v>
      </c>
      <c r="B6390" s="126">
        <f>IFERROR(__xludf.DUMMYFUNCTION("""COMPUTED_VALUE"""),46187.0)</f>
        <v>46187</v>
      </c>
      <c r="C6390" s="122" t="str">
        <f>IFERROR(__xludf.DUMMYFUNCTION("""COMPUTED_VALUE"""),"CARE")</f>
        <v>CARE</v>
      </c>
      <c r="D6390" s="122" t="str">
        <f>IFERROR(__xludf.DUMMYFUNCTION("""COMPUTED_VALUE"""),"CareCloud")</f>
        <v>CareCloud</v>
      </c>
      <c r="E6390" s="122">
        <f>IFERROR(__xludf.DUMMYFUNCTION("""COMPUTED_VALUE"""),179.39)</f>
        <v>179.39</v>
      </c>
      <c r="F6390" s="122">
        <f>IFERROR(__xludf.DUMMYFUNCTION("""COMPUTED_VALUE"""),-0.0013)</f>
        <v>-0.0013</v>
      </c>
    </row>
    <row r="6391">
      <c r="A6391" s="131">
        <f>IFERROR(__xludf.DUMMYFUNCTION("""COMPUTED_VALUE"""),46187.55719907407)</f>
        <v>46187.5572</v>
      </c>
      <c r="B6391" s="126">
        <f>IFERROR(__xludf.DUMMYFUNCTION("""COMPUTED_VALUE"""),46187.0)</f>
        <v>46187</v>
      </c>
      <c r="C6391" s="122" t="str">
        <f>IFERROR(__xludf.DUMMYFUNCTION("""COMPUTED_VALUE"""),"DENT")</f>
        <v>DENT</v>
      </c>
      <c r="D6391" s="122" t="str">
        <f>IFERROR(__xludf.DUMMYFUNCTION("""COMPUTED_VALUE"""),"SmileWorks")</f>
        <v>SmileWorks</v>
      </c>
      <c r="E6391" s="122">
        <f>IFERROR(__xludf.DUMMYFUNCTION("""COMPUTED_VALUE"""),92.89)</f>
        <v>92.89</v>
      </c>
      <c r="F6391" s="122">
        <f>IFERROR(__xludf.DUMMYFUNCTION("""COMPUTED_VALUE"""),-0.0019)</f>
        <v>-0.0019</v>
      </c>
    </row>
    <row r="6392">
      <c r="A6392" s="131">
        <f>IFERROR(__xludf.DUMMYFUNCTION("""COMPUTED_VALUE"""),46187.55719907407)</f>
        <v>46187.5572</v>
      </c>
      <c r="B6392" s="126">
        <f>IFERROR(__xludf.DUMMYFUNCTION("""COMPUTED_VALUE"""),46187.0)</f>
        <v>46187</v>
      </c>
      <c r="C6392" s="122" t="str">
        <f>IFERROR(__xludf.DUMMYFUNCTION("""COMPUTED_VALUE"""),"EDUX")</f>
        <v>EDUX</v>
      </c>
      <c r="D6392" s="122" t="str">
        <f>IFERROR(__xludf.DUMMYFUNCTION("""COMPUTED_VALUE"""),"EduMax Learning")</f>
        <v>EduMax Learning</v>
      </c>
      <c r="E6392" s="122">
        <f>IFERROR(__xludf.DUMMYFUNCTION("""COMPUTED_VALUE"""),144.5)</f>
        <v>144.5</v>
      </c>
      <c r="F6392" s="122">
        <f>IFERROR(__xludf.DUMMYFUNCTION("""COMPUTED_VALUE"""),0.0046)</f>
        <v>0.0046</v>
      </c>
    </row>
    <row r="6393">
      <c r="A6393" s="131">
        <f>IFERROR(__xludf.DUMMYFUNCTION("""COMPUTED_VALUE"""),46187.55719907407)</f>
        <v>46187.5572</v>
      </c>
      <c r="B6393" s="126">
        <f>IFERROR(__xludf.DUMMYFUNCTION("""COMPUTED_VALUE"""),46187.0)</f>
        <v>46187</v>
      </c>
      <c r="C6393" s="122" t="str">
        <f>IFERROR(__xludf.DUMMYFUNCTION("""COMPUTED_VALUE"""),"BOOK")</f>
        <v>BOOK</v>
      </c>
      <c r="D6393" s="122" t="str">
        <f>IFERROR(__xludf.DUMMYFUNCTION("""COMPUTED_VALUE"""),"BookBridge")</f>
        <v>BookBridge</v>
      </c>
      <c r="E6393" s="122">
        <f>IFERROR(__xludf.DUMMYFUNCTION("""COMPUTED_VALUE"""),118.49)</f>
        <v>118.49</v>
      </c>
      <c r="F6393" s="122">
        <f>IFERROR(__xludf.DUMMYFUNCTION("""COMPUTED_VALUE"""),-6.0E-4)</f>
        <v>-0.0006</v>
      </c>
    </row>
    <row r="6394">
      <c r="A6394" s="131">
        <f>IFERROR(__xludf.DUMMYFUNCTION("""COMPUTED_VALUE"""),46187.55719907407)</f>
        <v>46187.5572</v>
      </c>
      <c r="B6394" s="126">
        <f>IFERROR(__xludf.DUMMYFUNCTION("""COMPUTED_VALUE"""),46187.0)</f>
        <v>46187</v>
      </c>
      <c r="C6394" s="122" t="str">
        <f>IFERROR(__xludf.DUMMYFUNCTION("""COMPUTED_VALUE"""),"TUTR")</f>
        <v>TUTR</v>
      </c>
      <c r="D6394" s="122" t="str">
        <f>IFERROR(__xludf.DUMMYFUNCTION("""COMPUTED_VALUE"""),"TutorTown")</f>
        <v>TutorTown</v>
      </c>
      <c r="E6394" s="122">
        <f>IFERROR(__xludf.DUMMYFUNCTION("""COMPUTED_VALUE"""),90.02)</f>
        <v>90.02</v>
      </c>
      <c r="F6394" s="122">
        <f>IFERROR(__xludf.DUMMYFUNCTION("""COMPUTED_VALUE"""),-0.0034)</f>
        <v>-0.0034</v>
      </c>
    </row>
    <row r="6395">
      <c r="A6395" s="131">
        <f>IFERROR(__xludf.DUMMYFUNCTION("""COMPUTED_VALUE"""),46187.55719907407)</f>
        <v>46187.5572</v>
      </c>
      <c r="B6395" s="126">
        <f>IFERROR(__xludf.DUMMYFUNCTION("""COMPUTED_VALUE"""),46187.0)</f>
        <v>46187</v>
      </c>
      <c r="C6395" s="122" t="str">
        <f>IFERROR(__xludf.DUMMYFUNCTION("""COMPUTED_VALUE"""),"LANG")</f>
        <v>LANG</v>
      </c>
      <c r="D6395" s="122" t="str">
        <f>IFERROR(__xludf.DUMMYFUNCTION("""COMPUTED_VALUE"""),"LinguaLab")</f>
        <v>LinguaLab</v>
      </c>
      <c r="E6395" s="122">
        <f>IFERROR(__xludf.DUMMYFUNCTION("""COMPUTED_VALUE"""),100.18)</f>
        <v>100.18</v>
      </c>
      <c r="F6395" s="122">
        <f>IFERROR(__xludf.DUMMYFUNCTION("""COMPUTED_VALUE"""),-0.0033)</f>
        <v>-0.0033</v>
      </c>
    </row>
    <row r="6396">
      <c r="A6396" s="131">
        <f>IFERROR(__xludf.DUMMYFUNCTION("""COMPUTED_VALUE"""),46187.55719907407)</f>
        <v>46187.5572</v>
      </c>
      <c r="B6396" s="126">
        <f>IFERROR(__xludf.DUMMYFUNCTION("""COMPUTED_VALUE"""),46187.0)</f>
        <v>46187</v>
      </c>
      <c r="C6396" s="122" t="str">
        <f>IFERROR(__xludf.DUMMYFUNCTION("""COMPUTED_VALUE"""),"TEST")</f>
        <v>TEST</v>
      </c>
      <c r="D6396" s="122" t="str">
        <f>IFERROR(__xludf.DUMMYFUNCTION("""COMPUTED_VALUE"""),"TestPrep Pro")</f>
        <v>TestPrep Pro</v>
      </c>
      <c r="E6396" s="122">
        <f>IFERROR(__xludf.DUMMYFUNCTION("""COMPUTED_VALUE"""),92.89)</f>
        <v>92.89</v>
      </c>
      <c r="F6396" s="122">
        <f>IFERROR(__xludf.DUMMYFUNCTION("""COMPUTED_VALUE"""),-0.0072)</f>
        <v>-0.0072</v>
      </c>
    </row>
    <row r="6397">
      <c r="A6397" s="131">
        <f>IFERROR(__xludf.DUMMYFUNCTION("""COMPUTED_VALUE"""),46187.55719907407)</f>
        <v>46187.5572</v>
      </c>
      <c r="B6397" s="126">
        <f>IFERROR(__xludf.DUMMYFUNCTION("""COMPUTED_VALUE"""),46187.0)</f>
        <v>46187</v>
      </c>
      <c r="C6397" s="122" t="str">
        <f>IFERROR(__xludf.DUMMYFUNCTION("""COMPUTED_VALUE"""),"MOVI")</f>
        <v>MOVI</v>
      </c>
      <c r="D6397" s="122" t="str">
        <f>IFERROR(__xludf.DUMMYFUNCTION("""COMPUTED_VALUE"""),"MovieBox")</f>
        <v>MovieBox</v>
      </c>
      <c r="E6397" s="122">
        <f>IFERROR(__xludf.DUMMYFUNCTION("""COMPUTED_VALUE"""),83.16)</f>
        <v>83.16</v>
      </c>
      <c r="F6397" s="122">
        <f>IFERROR(__xludf.DUMMYFUNCTION("""COMPUTED_VALUE"""),-0.0063)</f>
        <v>-0.0063</v>
      </c>
    </row>
    <row r="6398">
      <c r="A6398" s="131">
        <f>IFERROR(__xludf.DUMMYFUNCTION("""COMPUTED_VALUE"""),46187.55719907407)</f>
        <v>46187.5572</v>
      </c>
      <c r="B6398" s="126">
        <f>IFERROR(__xludf.DUMMYFUNCTION("""COMPUTED_VALUE"""),46187.0)</f>
        <v>46187</v>
      </c>
      <c r="C6398" s="122" t="str">
        <f>IFERROR(__xludf.DUMMYFUNCTION("""COMPUTED_VALUE"""),"MUSC")</f>
        <v>MUSC</v>
      </c>
      <c r="D6398" s="122" t="str">
        <f>IFERROR(__xludf.DUMMYFUNCTION("""COMPUTED_VALUE"""),"MusicWave")</f>
        <v>MusicWave</v>
      </c>
      <c r="E6398" s="122">
        <f>IFERROR(__xludf.DUMMYFUNCTION("""COMPUTED_VALUE"""),100.4)</f>
        <v>100.4</v>
      </c>
      <c r="F6398" s="122">
        <f>IFERROR(__xludf.DUMMYFUNCTION("""COMPUTED_VALUE"""),-0.0041)</f>
        <v>-0.0041</v>
      </c>
    </row>
    <row r="6399">
      <c r="A6399" s="131">
        <f>IFERROR(__xludf.DUMMYFUNCTION("""COMPUTED_VALUE"""),46187.55719907407)</f>
        <v>46187.5572</v>
      </c>
      <c r="B6399" s="126">
        <f>IFERROR(__xludf.DUMMYFUNCTION("""COMPUTED_VALUE"""),46187.0)</f>
        <v>46187</v>
      </c>
      <c r="C6399" s="122" t="str">
        <f>IFERROR(__xludf.DUMMYFUNCTION("""COMPUTED_VALUE"""),"IDOL")</f>
        <v>IDOL</v>
      </c>
      <c r="D6399" s="122" t="str">
        <f>IFERROR(__xludf.DUMMYFUNCTION("""COMPUTED_VALUE"""),"Idol Agency")</f>
        <v>Idol Agency</v>
      </c>
      <c r="E6399" s="122">
        <f>IFERROR(__xludf.DUMMYFUNCTION("""COMPUTED_VALUE"""),186.16)</f>
        <v>186.16</v>
      </c>
      <c r="F6399" s="122">
        <f>IFERROR(__xludf.DUMMYFUNCTION("""COMPUTED_VALUE"""),-0.0051)</f>
        <v>-0.0051</v>
      </c>
    </row>
    <row r="6400">
      <c r="A6400" s="131">
        <f>IFERROR(__xludf.DUMMYFUNCTION("""COMPUTED_VALUE"""),46187.55719907407)</f>
        <v>46187.5572</v>
      </c>
      <c r="B6400" s="126">
        <f>IFERROR(__xludf.DUMMYFUNCTION("""COMPUTED_VALUE"""),46187.0)</f>
        <v>46187</v>
      </c>
      <c r="C6400" s="122" t="str">
        <f>IFERROR(__xludf.DUMMYFUNCTION("""COMPUTED_VALUE"""),"MEME")</f>
        <v>MEME</v>
      </c>
      <c r="D6400" s="122" t="str">
        <f>IFERROR(__xludf.DUMMYFUNCTION("""COMPUTED_VALUE"""),"Meme Media")</f>
        <v>Meme Media</v>
      </c>
      <c r="E6400" s="122">
        <f>IFERROR(__xludf.DUMMYFUNCTION("""COMPUTED_VALUE"""),72.98)</f>
        <v>72.98</v>
      </c>
      <c r="F6400" s="122">
        <f>IFERROR(__xludf.DUMMYFUNCTION("""COMPUTED_VALUE"""),-0.0045)</f>
        <v>-0.0045</v>
      </c>
    </row>
    <row r="6401">
      <c r="A6401" s="131">
        <f>IFERROR(__xludf.DUMMYFUNCTION("""COMPUTED_VALUE"""),46187.55719907407)</f>
        <v>46187.5572</v>
      </c>
      <c r="B6401" s="126">
        <f>IFERROR(__xludf.DUMMYFUNCTION("""COMPUTED_VALUE"""),46187.0)</f>
        <v>46187</v>
      </c>
      <c r="C6401" s="122" t="str">
        <f>IFERROR(__xludf.DUMMYFUNCTION("""COMPUTED_VALUE"""),"STRM")</f>
        <v>STRM</v>
      </c>
      <c r="D6401" s="122" t="str">
        <f>IFERROR(__xludf.DUMMYFUNCTION("""COMPUTED_VALUE"""),"Streamly")</f>
        <v>Streamly</v>
      </c>
      <c r="E6401" s="122">
        <f>IFERROR(__xludf.DUMMYFUNCTION("""COMPUTED_VALUE"""),138.2)</f>
        <v>138.2</v>
      </c>
      <c r="F6401" s="122">
        <f>IFERROR(__xludf.DUMMYFUNCTION("""COMPUTED_VALUE"""),-1.0E-4)</f>
        <v>-0.0001</v>
      </c>
    </row>
    <row r="6402">
      <c r="A6402" s="131">
        <f>IFERROR(__xludf.DUMMYFUNCTION("""COMPUTED_VALUE"""),46187.55719907407)</f>
        <v>46187.5572</v>
      </c>
      <c r="B6402" s="126">
        <f>IFERROR(__xludf.DUMMYFUNCTION("""COMPUTED_VALUE"""),46187.0)</f>
        <v>46187</v>
      </c>
      <c r="C6402" s="122" t="str">
        <f>IFERROR(__xludf.DUMMYFUNCTION("""COMPUTED_VALUE"""),"FARM")</f>
        <v>FARM</v>
      </c>
      <c r="D6402" s="122" t="str">
        <f>IFERROR(__xludf.DUMMYFUNCTION("""COMPUTED_VALUE"""),"Future Farms")</f>
        <v>Future Farms</v>
      </c>
      <c r="E6402" s="122">
        <f>IFERROR(__xludf.DUMMYFUNCTION("""COMPUTED_VALUE"""),92.76)</f>
        <v>92.76</v>
      </c>
      <c r="F6402" s="122">
        <f>IFERROR(__xludf.DUMMYFUNCTION("""COMPUTED_VALUE"""),0.0021)</f>
        <v>0.0021</v>
      </c>
    </row>
    <row r="6403">
      <c r="A6403" s="131">
        <f>IFERROR(__xludf.DUMMYFUNCTION("""COMPUTED_VALUE"""),46187.55719907407)</f>
        <v>46187.5572</v>
      </c>
      <c r="B6403" s="126">
        <f>IFERROR(__xludf.DUMMYFUNCTION("""COMPUTED_VALUE"""),46187.0)</f>
        <v>46187</v>
      </c>
      <c r="C6403" s="122" t="str">
        <f>IFERROR(__xludf.DUMMYFUNCTION("""COMPUTED_VALUE"""),"MEAT")</f>
        <v>MEAT</v>
      </c>
      <c r="D6403" s="122" t="str">
        <f>IFERROR(__xludf.DUMMYFUNCTION("""COMPUTED_VALUE"""),"MeatWorks")</f>
        <v>MeatWorks</v>
      </c>
      <c r="E6403" s="122">
        <f>IFERROR(__xludf.DUMMYFUNCTION("""COMPUTED_VALUE"""),106.79)</f>
        <v>106.79</v>
      </c>
      <c r="F6403" s="122">
        <f>IFERROR(__xludf.DUMMYFUNCTION("""COMPUTED_VALUE"""),0.0033)</f>
        <v>0.0033</v>
      </c>
    </row>
    <row r="6404">
      <c r="A6404" s="131">
        <f>IFERROR(__xludf.DUMMYFUNCTION("""COMPUTED_VALUE"""),46187.55719907407)</f>
        <v>46187.5572</v>
      </c>
      <c r="B6404" s="126">
        <f>IFERROR(__xludf.DUMMYFUNCTION("""COMPUTED_VALUE"""),46187.0)</f>
        <v>46187</v>
      </c>
      <c r="C6404" s="122" t="str">
        <f>IFERROR(__xludf.DUMMYFUNCTION("""COMPUTED_VALUE"""),"VEGI")</f>
        <v>VEGI</v>
      </c>
      <c r="D6404" s="122" t="str">
        <f>IFERROR(__xludf.DUMMYFUNCTION("""COMPUTED_VALUE"""),"Green Basket")</f>
        <v>Green Basket</v>
      </c>
      <c r="E6404" s="122">
        <f>IFERROR(__xludf.DUMMYFUNCTION("""COMPUTED_VALUE"""),78.08)</f>
        <v>78.08</v>
      </c>
      <c r="F6404" s="122">
        <f>IFERROR(__xludf.DUMMYFUNCTION("""COMPUTED_VALUE"""),-0.0019)</f>
        <v>-0.0019</v>
      </c>
    </row>
    <row r="6405">
      <c r="A6405" s="131">
        <f>IFERROR(__xludf.DUMMYFUNCTION("""COMPUTED_VALUE"""),46187.55719907407)</f>
        <v>46187.5572</v>
      </c>
      <c r="B6405" s="126">
        <f>IFERROR(__xludf.DUMMYFUNCTION("""COMPUTED_VALUE"""),46187.0)</f>
        <v>46187</v>
      </c>
      <c r="C6405" s="122" t="str">
        <f>IFERROR(__xludf.DUMMYFUNCTION("""COMPUTED_VALUE"""),"CAFE")</f>
        <v>CAFE</v>
      </c>
      <c r="D6405" s="122" t="str">
        <f>IFERROR(__xludf.DUMMYFUNCTION("""COMPUTED_VALUE"""),"Cafe Cloud")</f>
        <v>Cafe Cloud</v>
      </c>
      <c r="E6405" s="122">
        <f>IFERROR(__xludf.DUMMYFUNCTION("""COMPUTED_VALUE"""),100.87)</f>
        <v>100.87</v>
      </c>
      <c r="F6405" s="122">
        <f>IFERROR(__xludf.DUMMYFUNCTION("""COMPUTED_VALUE"""),0.0072)</f>
        <v>0.0072</v>
      </c>
    </row>
    <row r="6406">
      <c r="A6406" s="131">
        <f>IFERROR(__xludf.DUMMYFUNCTION("""COMPUTED_VALUE"""),46187.55719907407)</f>
        <v>46187.5572</v>
      </c>
      <c r="B6406" s="126">
        <f>IFERROR(__xludf.DUMMYFUNCTION("""COMPUTED_VALUE"""),46187.0)</f>
        <v>46187</v>
      </c>
      <c r="C6406" s="122" t="str">
        <f>IFERROR(__xludf.DUMMYFUNCTION("""COMPUTED_VALUE"""),"BAKE")</f>
        <v>BAKE</v>
      </c>
      <c r="D6406" s="122" t="str">
        <f>IFERROR(__xludf.DUMMYFUNCTION("""COMPUTED_VALUE"""),"BakeHouse")</f>
        <v>BakeHouse</v>
      </c>
      <c r="E6406" s="122">
        <f>IFERROR(__xludf.DUMMYFUNCTION("""COMPUTED_VALUE"""),101.45)</f>
        <v>101.45</v>
      </c>
      <c r="F6406" s="122">
        <f>IFERROR(__xludf.DUMMYFUNCTION("""COMPUTED_VALUE"""),-0.0024)</f>
        <v>-0.0024</v>
      </c>
    </row>
    <row r="6407">
      <c r="A6407" s="131">
        <f>IFERROR(__xludf.DUMMYFUNCTION("""COMPUTED_VALUE"""),46187.55719907407)</f>
        <v>46187.5572</v>
      </c>
      <c r="B6407" s="126">
        <f>IFERROR(__xludf.DUMMYFUNCTION("""COMPUTED_VALUE"""),46187.0)</f>
        <v>46187</v>
      </c>
      <c r="C6407" s="122" t="str">
        <f>IFERROR(__xludf.DUMMYFUNCTION("""COMPUTED_VALUE"""),"OILX")</f>
        <v>OILX</v>
      </c>
      <c r="D6407" s="122" t="str">
        <f>IFERROR(__xludf.DUMMYFUNCTION("""COMPUTED_VALUE"""),"OilMax Energy")</f>
        <v>OilMax Energy</v>
      </c>
      <c r="E6407" s="122">
        <f>IFERROR(__xludf.DUMMYFUNCTION("""COMPUTED_VALUE"""),130.16)</f>
        <v>130.16</v>
      </c>
      <c r="F6407" s="122">
        <f>IFERROR(__xludf.DUMMYFUNCTION("""COMPUTED_VALUE"""),0.0)</f>
        <v>0</v>
      </c>
    </row>
    <row r="6408">
      <c r="A6408" s="131">
        <f>IFERROR(__xludf.DUMMYFUNCTION("""COMPUTED_VALUE"""),46187.55719907407)</f>
        <v>46187.5572</v>
      </c>
      <c r="B6408" s="126">
        <f>IFERROR(__xludf.DUMMYFUNCTION("""COMPUTED_VALUE"""),46187.0)</f>
        <v>46187</v>
      </c>
      <c r="C6408" s="122" t="str">
        <f>IFERROR(__xludf.DUMMYFUNCTION("""COMPUTED_VALUE"""),"SOLR")</f>
        <v>SOLR</v>
      </c>
      <c r="D6408" s="122" t="str">
        <f>IFERROR(__xludf.DUMMYFUNCTION("""COMPUTED_VALUE"""),"SolarSpark")</f>
        <v>SolarSpark</v>
      </c>
      <c r="E6408" s="122">
        <f>IFERROR(__xludf.DUMMYFUNCTION("""COMPUTED_VALUE"""),100.51)</f>
        <v>100.51</v>
      </c>
      <c r="F6408" s="122">
        <f>IFERROR(__xludf.DUMMYFUNCTION("""COMPUTED_VALUE"""),-0.005)</f>
        <v>-0.005</v>
      </c>
    </row>
    <row r="6409">
      <c r="A6409" s="131">
        <f>IFERROR(__xludf.DUMMYFUNCTION("""COMPUTED_VALUE"""),46187.55719907407)</f>
        <v>46187.5572</v>
      </c>
      <c r="B6409" s="126">
        <f>IFERROR(__xludf.DUMMYFUNCTION("""COMPUTED_VALUE"""),46187.0)</f>
        <v>46187</v>
      </c>
      <c r="C6409" s="122" t="str">
        <f>IFERROR(__xludf.DUMMYFUNCTION("""COMPUTED_VALUE"""),"BATT")</f>
        <v>BATT</v>
      </c>
      <c r="D6409" s="122" t="str">
        <f>IFERROR(__xludf.DUMMYFUNCTION("""COMPUTED_VALUE"""),"BatteryBox")</f>
        <v>BatteryBox</v>
      </c>
      <c r="E6409" s="122">
        <f>IFERROR(__xludf.DUMMYFUNCTION("""COMPUTED_VALUE"""),118.4)</f>
        <v>118.4</v>
      </c>
      <c r="F6409" s="122">
        <f>IFERROR(__xludf.DUMMYFUNCTION("""COMPUTED_VALUE"""),0.0042)</f>
        <v>0.0042</v>
      </c>
    </row>
    <row r="6410">
      <c r="A6410" s="131">
        <f>IFERROR(__xludf.DUMMYFUNCTION("""COMPUTED_VALUE"""),46187.55719907407)</f>
        <v>46187.5572</v>
      </c>
      <c r="B6410" s="126">
        <f>IFERROR(__xludf.DUMMYFUNCTION("""COMPUTED_VALUE"""),46187.0)</f>
        <v>46187</v>
      </c>
      <c r="C6410" s="122" t="str">
        <f>IFERROR(__xludf.DUMMYFUNCTION("""COMPUTED_VALUE"""),"WIND")</f>
        <v>WIND</v>
      </c>
      <c r="D6410" s="122" t="str">
        <f>IFERROR(__xludf.DUMMYFUNCTION("""COMPUTED_VALUE"""),"WindWorks")</f>
        <v>WindWorks</v>
      </c>
      <c r="E6410" s="122">
        <f>IFERROR(__xludf.DUMMYFUNCTION("""COMPUTED_VALUE"""),87.32)</f>
        <v>87.32</v>
      </c>
      <c r="F6410" s="122">
        <f>IFERROR(__xludf.DUMMYFUNCTION("""COMPUTED_VALUE"""),1.0E-4)</f>
        <v>0.0001</v>
      </c>
    </row>
    <row r="6411">
      <c r="A6411" s="131">
        <f>IFERROR(__xludf.DUMMYFUNCTION("""COMPUTED_VALUE"""),46187.55719907407)</f>
        <v>46187.5572</v>
      </c>
      <c r="B6411" s="126">
        <f>IFERROR(__xludf.DUMMYFUNCTION("""COMPUTED_VALUE"""),46187.0)</f>
        <v>46187</v>
      </c>
      <c r="C6411" s="122" t="str">
        <f>IFERROR(__xludf.DUMMYFUNCTION("""COMPUTED_VALUE"""),"GRID")</f>
        <v>GRID</v>
      </c>
      <c r="D6411" s="122" t="str">
        <f>IFERROR(__xludf.DUMMYFUNCTION("""COMPUTED_VALUE"""),"GridPower")</f>
        <v>GridPower</v>
      </c>
      <c r="E6411" s="122">
        <f>IFERROR(__xludf.DUMMYFUNCTION("""COMPUTED_VALUE"""),132.88)</f>
        <v>132.88</v>
      </c>
      <c r="F6411" s="122">
        <f>IFERROR(__xludf.DUMMYFUNCTION("""COMPUTED_VALUE"""),8.0E-4)</f>
        <v>0.0008</v>
      </c>
    </row>
    <row r="6412">
      <c r="A6412" s="131">
        <f>IFERROR(__xludf.DUMMYFUNCTION("""COMPUTED_VALUE"""),46187.55719907407)</f>
        <v>46187.5572</v>
      </c>
      <c r="B6412" s="126">
        <f>IFERROR(__xludf.DUMMYFUNCTION("""COMPUTED_VALUE"""),46187.0)</f>
        <v>46187</v>
      </c>
      <c r="C6412" s="122" t="str">
        <f>IFERROR(__xludf.DUMMYFUNCTION("""COMPUTED_VALUE"""),"HOME")</f>
        <v>HOME</v>
      </c>
      <c r="D6412" s="122" t="str">
        <f>IFERROR(__xludf.DUMMYFUNCTION("""COMPUTED_VALUE"""),"HomeHub")</f>
        <v>HomeHub</v>
      </c>
      <c r="E6412" s="122">
        <f>IFERROR(__xludf.DUMMYFUNCTION("""COMPUTED_VALUE"""),155.04)</f>
        <v>155.04</v>
      </c>
      <c r="F6412" s="122">
        <f>IFERROR(__xludf.DUMMYFUNCTION("""COMPUTED_VALUE"""),4.0E-4)</f>
        <v>0.0004</v>
      </c>
    </row>
    <row r="6413">
      <c r="A6413" s="131">
        <f>IFERROR(__xludf.DUMMYFUNCTION("""COMPUTED_VALUE"""),46187.55719907407)</f>
        <v>46187.5572</v>
      </c>
      <c r="B6413" s="126">
        <f>IFERROR(__xludf.DUMMYFUNCTION("""COMPUTED_VALUE"""),46187.0)</f>
        <v>46187</v>
      </c>
      <c r="C6413" s="122" t="str">
        <f>IFERROR(__xludf.DUMMYFUNCTION("""COMPUTED_VALUE"""),"RENT")</f>
        <v>RENT</v>
      </c>
      <c r="D6413" s="122" t="str">
        <f>IFERROR(__xludf.DUMMYFUNCTION("""COMPUTED_VALUE"""),"RentRight")</f>
        <v>RentRight</v>
      </c>
      <c r="E6413" s="122">
        <f>IFERROR(__xludf.DUMMYFUNCTION("""COMPUTED_VALUE"""),90.65)</f>
        <v>90.65</v>
      </c>
      <c r="F6413" s="122">
        <f>IFERROR(__xludf.DUMMYFUNCTION("""COMPUTED_VALUE"""),-0.0046)</f>
        <v>-0.0046</v>
      </c>
    </row>
    <row r="6414">
      <c r="A6414" s="131">
        <f>IFERROR(__xludf.DUMMYFUNCTION("""COMPUTED_VALUE"""),46187.55719907407)</f>
        <v>46187.5572</v>
      </c>
      <c r="B6414" s="126">
        <f>IFERROR(__xludf.DUMMYFUNCTION("""COMPUTED_VALUE"""),46187.0)</f>
        <v>46187</v>
      </c>
      <c r="C6414" s="122" t="str">
        <f>IFERROR(__xludf.DUMMYFUNCTION("""COMPUTED_VALUE"""),"MALL")</f>
        <v>MALL</v>
      </c>
      <c r="D6414" s="122" t="str">
        <f>IFERROR(__xludf.DUMMYFUNCTION("""COMPUTED_VALUE"""),"MegaMall")</f>
        <v>MegaMall</v>
      </c>
      <c r="E6414" s="122">
        <f>IFERROR(__xludf.DUMMYFUNCTION("""COMPUTED_VALUE"""),100.99)</f>
        <v>100.99</v>
      </c>
      <c r="F6414" s="122">
        <f>IFERROR(__xludf.DUMMYFUNCTION("""COMPUTED_VALUE"""),0.0042)</f>
        <v>0.0042</v>
      </c>
    </row>
    <row r="6415">
      <c r="A6415" s="131">
        <f>IFERROR(__xludf.DUMMYFUNCTION("""COMPUTED_VALUE"""),46187.55719907407)</f>
        <v>46187.5572</v>
      </c>
      <c r="B6415" s="126">
        <f>IFERROR(__xludf.DUMMYFUNCTION("""COMPUTED_VALUE"""),46187.0)</f>
        <v>46187</v>
      </c>
      <c r="C6415" s="122" t="str">
        <f>IFERROR(__xludf.DUMMYFUNCTION("""COMPUTED_VALUE"""),"HOTL")</f>
        <v>HOTL</v>
      </c>
      <c r="D6415" s="122" t="str">
        <f>IFERROR(__xludf.DUMMYFUNCTION("""COMPUTED_VALUE"""),"HotelHive")</f>
        <v>HotelHive</v>
      </c>
      <c r="E6415" s="122">
        <f>IFERROR(__xludf.DUMMYFUNCTION("""COMPUTED_VALUE"""),126.97)</f>
        <v>126.97</v>
      </c>
      <c r="F6415" s="122">
        <f>IFERROR(__xludf.DUMMYFUNCTION("""COMPUTED_VALUE"""),-0.002)</f>
        <v>-0.002</v>
      </c>
    </row>
    <row r="6416">
      <c r="A6416" s="131">
        <f>IFERROR(__xludf.DUMMYFUNCTION("""COMPUTED_VALUE"""),46187.55719907407)</f>
        <v>46187.5572</v>
      </c>
      <c r="B6416" s="126">
        <f>IFERROR(__xludf.DUMMYFUNCTION("""COMPUTED_VALUE"""),46187.0)</f>
        <v>46187</v>
      </c>
      <c r="C6416" s="122" t="str">
        <f>IFERROR(__xludf.DUMMYFUNCTION("""COMPUTED_VALUE"""),"LAND")</f>
        <v>LAND</v>
      </c>
      <c r="D6416" s="122" t="str">
        <f>IFERROR(__xludf.DUMMYFUNCTION("""COMPUTED_VALUE"""),"LandLink")</f>
        <v>LandLink</v>
      </c>
      <c r="E6416" s="122">
        <f>IFERROR(__xludf.DUMMYFUNCTION("""COMPUTED_VALUE"""),183.64)</f>
        <v>183.64</v>
      </c>
      <c r="F6416" s="122">
        <f>IFERROR(__xludf.DUMMYFUNCTION("""COMPUTED_VALUE"""),9.0E-4)</f>
        <v>0.0009</v>
      </c>
    </row>
    <row r="6417">
      <c r="A6417" s="131">
        <f>IFERROR(__xludf.DUMMYFUNCTION("""COMPUTED_VALUE"""),46187.55719907407)</f>
        <v>46187.5572</v>
      </c>
      <c r="B6417" s="126">
        <f>IFERROR(__xludf.DUMMYFUNCTION("""COMPUTED_VALUE"""),46187.0)</f>
        <v>46187</v>
      </c>
      <c r="C6417" s="122" t="str">
        <f>IFERROR(__xludf.DUMMYFUNCTION("""COMPUTED_VALUE"""),"CARS")</f>
        <v>CARS</v>
      </c>
      <c r="D6417" s="122" t="str">
        <f>IFERROR(__xludf.DUMMYFUNCTION("""COMPUTED_VALUE"""),"AutoArena")</f>
        <v>AutoArena</v>
      </c>
      <c r="E6417" s="122">
        <f>IFERROR(__xludf.DUMMYFUNCTION("""COMPUTED_VALUE"""),81.5)</f>
        <v>81.5</v>
      </c>
      <c r="F6417" s="122">
        <f>IFERROR(__xludf.DUMMYFUNCTION("""COMPUTED_VALUE"""),0.0064)</f>
        <v>0.0064</v>
      </c>
    </row>
    <row r="6418">
      <c r="A6418" s="131">
        <f>IFERROR(__xludf.DUMMYFUNCTION("""COMPUTED_VALUE"""),46187.55719907407)</f>
        <v>46187.5572</v>
      </c>
      <c r="B6418" s="126">
        <f>IFERROR(__xludf.DUMMYFUNCTION("""COMPUTED_VALUE"""),46187.0)</f>
        <v>46187</v>
      </c>
      <c r="C6418" s="122" t="str">
        <f>IFERROR(__xludf.DUMMYFUNCTION("""COMPUTED_VALUE"""),"EVGO")</f>
        <v>EVGO</v>
      </c>
      <c r="D6418" s="122" t="str">
        <f>IFERROR(__xludf.DUMMYFUNCTION("""COMPUTED_VALUE"""),"EVGo Motors")</f>
        <v>EVGo Motors</v>
      </c>
      <c r="E6418" s="122">
        <f>IFERROR(__xludf.DUMMYFUNCTION("""COMPUTED_VALUE"""),182.92)</f>
        <v>182.92</v>
      </c>
      <c r="F6418" s="122">
        <f>IFERROR(__xludf.DUMMYFUNCTION("""COMPUTED_VALUE"""),0.0073)</f>
        <v>0.0073</v>
      </c>
    </row>
    <row r="6419">
      <c r="A6419" s="131">
        <f>IFERROR(__xludf.DUMMYFUNCTION("""COMPUTED_VALUE"""),46187.55719907407)</f>
        <v>46187.5572</v>
      </c>
      <c r="B6419" s="126">
        <f>IFERROR(__xludf.DUMMYFUNCTION("""COMPUTED_VALUE"""),46187.0)</f>
        <v>46187</v>
      </c>
      <c r="C6419" s="122" t="str">
        <f>IFERROR(__xludf.DUMMYFUNCTION("""COMPUTED_VALUE"""),"TIRE")</f>
        <v>TIRE</v>
      </c>
      <c r="D6419" s="122" t="str">
        <f>IFERROR(__xludf.DUMMYFUNCTION("""COMPUTED_VALUE"""),"TireTown")</f>
        <v>TireTown</v>
      </c>
      <c r="E6419" s="122">
        <f>IFERROR(__xludf.DUMMYFUNCTION("""COMPUTED_VALUE"""),96.97)</f>
        <v>96.97</v>
      </c>
      <c r="F6419" s="122">
        <f>IFERROR(__xludf.DUMMYFUNCTION("""COMPUTED_VALUE"""),0.005)</f>
        <v>0.005</v>
      </c>
    </row>
    <row r="6420">
      <c r="A6420" s="131">
        <f>IFERROR(__xludf.DUMMYFUNCTION("""COMPUTED_VALUE"""),46187.55719907407)</f>
        <v>46187.5572</v>
      </c>
      <c r="B6420" s="126">
        <f>IFERROR(__xludf.DUMMYFUNCTION("""COMPUTED_VALUE"""),46187.0)</f>
        <v>46187</v>
      </c>
      <c r="C6420" s="122" t="str">
        <f>IFERROR(__xludf.DUMMYFUNCTION("""COMPUTED_VALUE"""),"BIKE")</f>
        <v>BIKE</v>
      </c>
      <c r="D6420" s="122" t="str">
        <f>IFERROR(__xludf.DUMMYFUNCTION("""COMPUTED_VALUE"""),"BikeBox")</f>
        <v>BikeBox</v>
      </c>
      <c r="E6420" s="122">
        <f>IFERROR(__xludf.DUMMYFUNCTION("""COMPUTED_VALUE"""),51.94)</f>
        <v>51.94</v>
      </c>
      <c r="F6420" s="122">
        <f>IFERROR(__xludf.DUMMYFUNCTION("""COMPUTED_VALUE"""),-8.0E-4)</f>
        <v>-0.0008</v>
      </c>
    </row>
    <row r="6421">
      <c r="A6421" s="131">
        <f>IFERROR(__xludf.DUMMYFUNCTION("""COMPUTED_VALUE"""),46187.55719907407)</f>
        <v>46187.5572</v>
      </c>
      <c r="B6421" s="126">
        <f>IFERROR(__xludf.DUMMYFUNCTION("""COMPUTED_VALUE"""),46187.0)</f>
        <v>46187</v>
      </c>
      <c r="C6421" s="122" t="str">
        <f>IFERROR(__xludf.DUMMYFUNCTION("""COMPUTED_VALUE"""),"WASH")</f>
        <v>WASH</v>
      </c>
      <c r="D6421" s="122" t="str">
        <f>IFERROR(__xludf.DUMMYFUNCTION("""COMPUTED_VALUE"""),"CarWash Co")</f>
        <v>CarWash Co</v>
      </c>
      <c r="E6421" s="122">
        <f>IFERROR(__xludf.DUMMYFUNCTION("""COMPUTED_VALUE"""),119.31)</f>
        <v>119.31</v>
      </c>
      <c r="F6421" s="122">
        <f>IFERROR(__xludf.DUMMYFUNCTION("""COMPUTED_VALUE"""),2.0E-4)</f>
        <v>0.0002</v>
      </c>
    </row>
    <row r="6422">
      <c r="A6422" s="131">
        <f>IFERROR(__xludf.DUMMYFUNCTION("""COMPUTED_VALUE"""),46187.55719907407)</f>
        <v>46187.5572</v>
      </c>
      <c r="B6422" s="126">
        <f>IFERROR(__xludf.DUMMYFUNCTION("""COMPUTED_VALUE"""),46187.0)</f>
        <v>46187</v>
      </c>
      <c r="C6422" s="122" t="str">
        <f>IFERROR(__xludf.DUMMYFUNCTION("""COMPUTED_VALUE"""),"GBND")</f>
        <v>GBND</v>
      </c>
      <c r="D6422" s="122" t="str">
        <f>IFERROR(__xludf.DUMMYFUNCTION("""COMPUTED_VALUE"""),"Classroom Government Bond")</f>
        <v>Classroom Government Bond</v>
      </c>
      <c r="E6422" s="122">
        <f>IFERROR(__xludf.DUMMYFUNCTION("""COMPUTED_VALUE"""),101.17)</f>
        <v>101.17</v>
      </c>
      <c r="F6422" s="122">
        <f>IFERROR(__xludf.DUMMYFUNCTION("""COMPUTED_VALUE"""),5.0E-4)</f>
        <v>0.0005</v>
      </c>
    </row>
    <row r="6423">
      <c r="A6423" s="131">
        <f>IFERROR(__xludf.DUMMYFUNCTION("""COMPUTED_VALUE"""),46187.55719907407)</f>
        <v>46187.5572</v>
      </c>
      <c r="B6423" s="126">
        <f>IFERROR(__xludf.DUMMYFUNCTION("""COMPUTED_VALUE"""),46187.0)</f>
        <v>46187</v>
      </c>
      <c r="C6423" s="122" t="str">
        <f>IFERROR(__xludf.DUMMYFUNCTION("""COMPUTED_VALUE"""),"SBND")</f>
        <v>SBND</v>
      </c>
      <c r="D6423" s="122" t="str">
        <f>IFERROR(__xludf.DUMMYFUNCTION("""COMPUTED_VALUE"""),"School Savings Bond")</f>
        <v>School Savings Bond</v>
      </c>
      <c r="E6423" s="122">
        <f>IFERROR(__xludf.DUMMYFUNCTION("""COMPUTED_VALUE"""),99.27)</f>
        <v>99.27</v>
      </c>
      <c r="F6423" s="122">
        <f>IFERROR(__xludf.DUMMYFUNCTION("""COMPUTED_VALUE"""),1.0E-4)</f>
        <v>0.0001</v>
      </c>
    </row>
    <row r="6424">
      <c r="A6424" s="131">
        <f>IFERROR(__xludf.DUMMYFUNCTION("""COMPUTED_VALUE"""),46187.55719907407)</f>
        <v>46187.5572</v>
      </c>
      <c r="B6424" s="126">
        <f>IFERROR(__xludf.DUMMYFUNCTION("""COMPUTED_VALUE"""),46187.0)</f>
        <v>46187</v>
      </c>
      <c r="C6424" s="122" t="str">
        <f>IFERROR(__xludf.DUMMYFUNCTION("""COMPUTED_VALUE"""),"CBND")</f>
        <v>CBND</v>
      </c>
      <c r="D6424" s="122" t="str">
        <f>IFERROR(__xludf.DUMMYFUNCTION("""COMPUTED_VALUE"""),"Corporate Classroom Bond")</f>
        <v>Corporate Classroom Bond</v>
      </c>
      <c r="E6424" s="122">
        <f>IFERROR(__xludf.DUMMYFUNCTION("""COMPUTED_VALUE"""),97.8)</f>
        <v>97.8</v>
      </c>
      <c r="F6424" s="122">
        <f>IFERROR(__xludf.DUMMYFUNCTION("""COMPUTED_VALUE"""),1.0E-4)</f>
        <v>0.0001</v>
      </c>
    </row>
    <row r="6425">
      <c r="A6425" s="131">
        <f>IFERROR(__xludf.DUMMYFUNCTION("""COMPUTED_VALUE"""),46187.55719907407)</f>
        <v>46187.5572</v>
      </c>
      <c r="B6425" s="126">
        <f>IFERROR(__xludf.DUMMYFUNCTION("""COMPUTED_VALUE"""),46187.0)</f>
        <v>46187</v>
      </c>
      <c r="C6425" s="122" t="str">
        <f>IFERROR(__xludf.DUMMYFUNCTION("""COMPUTED_VALUE"""),"TBIL")</f>
        <v>TBIL</v>
      </c>
      <c r="D6425" s="122" t="str">
        <f>IFERROR(__xludf.DUMMYFUNCTION("""COMPUTED_VALUE"""),"Treasury Bill")</f>
        <v>Treasury Bill</v>
      </c>
      <c r="E6425" s="122">
        <f>IFERROR(__xludf.DUMMYFUNCTION("""COMPUTED_VALUE"""),97.99)</f>
        <v>97.99</v>
      </c>
      <c r="F6425" s="122">
        <f>IFERROR(__xludf.DUMMYFUNCTION("""COMPUTED_VALUE"""),0.0)</f>
        <v>0</v>
      </c>
    </row>
    <row r="6426">
      <c r="A6426" s="131">
        <f>IFERROR(__xludf.DUMMYFUNCTION("""COMPUTED_VALUE"""),46187.55719907407)</f>
        <v>46187.5572</v>
      </c>
      <c r="B6426" s="126">
        <f>IFERROR(__xludf.DUMMYFUNCTION("""COMPUTED_VALUE"""),46187.0)</f>
        <v>46187</v>
      </c>
      <c r="C6426" s="122" t="str">
        <f>IFERROR(__xludf.DUMMYFUNCTION("""COMPUTED_VALUE"""),"IBND")</f>
        <v>IBND</v>
      </c>
      <c r="D6426" s="122" t="str">
        <f>IFERROR(__xludf.DUMMYFUNCTION("""COMPUTED_VALUE"""),"Inflation Protected Bond")</f>
        <v>Inflation Protected Bond</v>
      </c>
      <c r="E6426" s="122">
        <f>IFERROR(__xludf.DUMMYFUNCTION("""COMPUTED_VALUE"""),100.86)</f>
        <v>100.86</v>
      </c>
      <c r="F6426" s="122">
        <f>IFERROR(__xludf.DUMMYFUNCTION("""COMPUTED_VALUE"""),2.0E-4)</f>
        <v>0.0002</v>
      </c>
    </row>
    <row r="6427">
      <c r="A6427" s="131">
        <f>IFERROR(__xludf.DUMMYFUNCTION("""COMPUTED_VALUE"""),46187.56119212963)</f>
        <v>46187.56119</v>
      </c>
      <c r="B6427" s="126">
        <f>IFERROR(__xludf.DUMMYFUNCTION("""COMPUTED_VALUE"""),46187.0)</f>
        <v>46187</v>
      </c>
      <c r="C6427" s="122" t="str">
        <f>IFERROR(__xludf.DUMMYFUNCTION("""COMPUTED_VALUE"""),"SNAX")</f>
        <v>SNAX</v>
      </c>
      <c r="D6427" s="122" t="str">
        <f>IFERROR(__xludf.DUMMYFUNCTION("""COMPUTED_VALUE"""),"MICA Snacks")</f>
        <v>MICA Snacks</v>
      </c>
      <c r="E6427" s="122">
        <f>IFERROR(__xludf.DUMMYFUNCTION("""COMPUTED_VALUE"""),120.48)</f>
        <v>120.48</v>
      </c>
      <c r="F6427" s="122">
        <f>IFERROR(__xludf.DUMMYFUNCTION("""COMPUTED_VALUE"""),6.0E-4)</f>
        <v>0.0006</v>
      </c>
    </row>
    <row r="6428">
      <c r="A6428" s="131">
        <f>IFERROR(__xludf.DUMMYFUNCTION("""COMPUTED_VALUE"""),46187.56119212963)</f>
        <v>46187.56119</v>
      </c>
      <c r="B6428" s="126">
        <f>IFERROR(__xludf.DUMMYFUNCTION("""COMPUTED_VALUE"""),46187.0)</f>
        <v>46187</v>
      </c>
      <c r="C6428" s="122" t="str">
        <f>IFERROR(__xludf.DUMMYFUNCTION("""COMPUTED_VALUE"""),"RAMN")</f>
        <v>RAMN</v>
      </c>
      <c r="D6428" s="122" t="str">
        <f>IFERROR(__xludf.DUMMYFUNCTION("""COMPUTED_VALUE"""),"Ramen Republic")</f>
        <v>Ramen Republic</v>
      </c>
      <c r="E6428" s="122">
        <f>IFERROR(__xludf.DUMMYFUNCTION("""COMPUTED_VALUE"""),65.85)</f>
        <v>65.85</v>
      </c>
      <c r="F6428" s="122">
        <f>IFERROR(__xludf.DUMMYFUNCTION("""COMPUTED_VALUE"""),0.002)</f>
        <v>0.002</v>
      </c>
    </row>
    <row r="6429">
      <c r="A6429" s="131">
        <f>IFERROR(__xludf.DUMMYFUNCTION("""COMPUTED_VALUE"""),46187.56119212963)</f>
        <v>46187.56119</v>
      </c>
      <c r="B6429" s="126">
        <f>IFERROR(__xludf.DUMMYFUNCTION("""COMPUTED_VALUE"""),46187.0)</f>
        <v>46187</v>
      </c>
      <c r="C6429" s="122" t="str">
        <f>IFERROR(__xludf.DUMMYFUNCTION("""COMPUTED_VALUE"""),"COLA")</f>
        <v>COLA</v>
      </c>
      <c r="D6429" s="122" t="str">
        <f>IFERROR(__xludf.DUMMYFUNCTION("""COMPUTED_VALUE"""),"K-Pop Cola")</f>
        <v>K-Pop Cola</v>
      </c>
      <c r="E6429" s="122">
        <f>IFERROR(__xludf.DUMMYFUNCTION("""COMPUTED_VALUE"""),114.2)</f>
        <v>114.2</v>
      </c>
      <c r="F6429" s="122">
        <f>IFERROR(__xludf.DUMMYFUNCTION("""COMPUTED_VALUE"""),0.0012)</f>
        <v>0.0012</v>
      </c>
    </row>
    <row r="6430">
      <c r="A6430" s="131">
        <f>IFERROR(__xludf.DUMMYFUNCTION("""COMPUTED_VALUE"""),46187.56119212963)</f>
        <v>46187.56119</v>
      </c>
      <c r="B6430" s="126">
        <f>IFERROR(__xludf.DUMMYFUNCTION("""COMPUTED_VALUE"""),46187.0)</f>
        <v>46187</v>
      </c>
      <c r="C6430" s="122" t="str">
        <f>IFERROR(__xludf.DUMMYFUNCTION("""COMPUTED_VALUE"""),"CHIP")</f>
        <v>CHIP</v>
      </c>
      <c r="D6430" s="122" t="str">
        <f>IFERROR(__xludf.DUMMYFUNCTION("""COMPUTED_VALUE"""),"Chip Empire")</f>
        <v>Chip Empire</v>
      </c>
      <c r="E6430" s="122">
        <f>IFERROR(__xludf.DUMMYFUNCTION("""COMPUTED_VALUE"""),83.63)</f>
        <v>83.63</v>
      </c>
      <c r="F6430" s="122">
        <f>IFERROR(__xludf.DUMMYFUNCTION("""COMPUTED_VALUE"""),-0.0083)</f>
        <v>-0.0083</v>
      </c>
    </row>
    <row r="6431">
      <c r="A6431" s="131">
        <f>IFERROR(__xludf.DUMMYFUNCTION("""COMPUTED_VALUE"""),46187.56119212963)</f>
        <v>46187.56119</v>
      </c>
      <c r="B6431" s="126">
        <f>IFERROR(__xludf.DUMMYFUNCTION("""COMPUTED_VALUE"""),46187.0)</f>
        <v>46187</v>
      </c>
      <c r="C6431" s="122" t="str">
        <f>IFERROR(__xludf.DUMMYFUNCTION("""COMPUTED_VALUE"""),"CAND")</f>
        <v>CAND</v>
      </c>
      <c r="D6431" s="122" t="str">
        <f>IFERROR(__xludf.DUMMYFUNCTION("""COMPUTED_VALUE"""),"Candy Capital")</f>
        <v>Candy Capital</v>
      </c>
      <c r="E6431" s="122">
        <f>IFERROR(__xludf.DUMMYFUNCTION("""COMPUTED_VALUE"""),76.94)</f>
        <v>76.94</v>
      </c>
      <c r="F6431" s="122">
        <f>IFERROR(__xludf.DUMMYFUNCTION("""COMPUTED_VALUE"""),0.0059)</f>
        <v>0.0059</v>
      </c>
    </row>
    <row r="6432">
      <c r="A6432" s="131">
        <f>IFERROR(__xludf.DUMMYFUNCTION("""COMPUTED_VALUE"""),46187.56119212963)</f>
        <v>46187.56119</v>
      </c>
      <c r="B6432" s="126">
        <f>IFERROR(__xludf.DUMMYFUNCTION("""COMPUTED_VALUE"""),46187.0)</f>
        <v>46187</v>
      </c>
      <c r="C6432" s="122" t="str">
        <f>IFERROR(__xludf.DUMMYFUNCTION("""COMPUTED_VALUE"""),"TECH")</f>
        <v>TECH</v>
      </c>
      <c r="D6432" s="122" t="str">
        <f>IFERROR(__xludf.DUMMYFUNCTION("""COMPUTED_VALUE"""),"Dragon Tech")</f>
        <v>Dragon Tech</v>
      </c>
      <c r="E6432" s="122">
        <f>IFERROR(__xludf.DUMMYFUNCTION("""COMPUTED_VALUE"""),248.58)</f>
        <v>248.58</v>
      </c>
      <c r="F6432" s="122">
        <f>IFERROR(__xludf.DUMMYFUNCTION("""COMPUTED_VALUE"""),0.0075)</f>
        <v>0.0075</v>
      </c>
    </row>
    <row r="6433">
      <c r="A6433" s="131">
        <f>IFERROR(__xludf.DUMMYFUNCTION("""COMPUTED_VALUE"""),46187.56119212963)</f>
        <v>46187.56119</v>
      </c>
      <c r="B6433" s="126">
        <f>IFERROR(__xludf.DUMMYFUNCTION("""COMPUTED_VALUE"""),46187.0)</f>
        <v>46187</v>
      </c>
      <c r="C6433" s="122" t="str">
        <f>IFERROR(__xludf.DUMMYFUNCTION("""COMPUTED_VALUE"""),"AIBO")</f>
        <v>AIBO</v>
      </c>
      <c r="D6433" s="122" t="str">
        <f>IFERROR(__xludf.DUMMYFUNCTION("""COMPUTED_VALUE"""),"Homework AI")</f>
        <v>Homework AI</v>
      </c>
      <c r="E6433" s="122">
        <f>IFERROR(__xludf.DUMMYFUNCTION("""COMPUTED_VALUE"""),185.06)</f>
        <v>185.06</v>
      </c>
      <c r="F6433" s="122">
        <f>IFERROR(__xludf.DUMMYFUNCTION("""COMPUTED_VALUE"""),0.0134)</f>
        <v>0.0134</v>
      </c>
    </row>
    <row r="6434">
      <c r="A6434" s="131">
        <f>IFERROR(__xludf.DUMMYFUNCTION("""COMPUTED_VALUE"""),46187.56119212963)</f>
        <v>46187.56119</v>
      </c>
      <c r="B6434" s="126">
        <f>IFERROR(__xludf.DUMMYFUNCTION("""COMPUTED_VALUE"""),46187.0)</f>
        <v>46187</v>
      </c>
      <c r="C6434" s="122" t="str">
        <f>IFERROR(__xludf.DUMMYFUNCTION("""COMPUTED_VALUE"""),"GAME")</f>
        <v>GAME</v>
      </c>
      <c r="D6434" s="122" t="str">
        <f>IFERROR(__xludf.DUMMYFUNCTION("""COMPUTED_VALUE"""),"GameBox Media")</f>
        <v>GameBox Media</v>
      </c>
      <c r="E6434" s="122">
        <f>IFERROR(__xludf.DUMMYFUNCTION("""COMPUTED_VALUE"""),102.5)</f>
        <v>102.5</v>
      </c>
      <c r="F6434" s="122">
        <f>IFERROR(__xludf.DUMMYFUNCTION("""COMPUTED_VALUE"""),-0.0014)</f>
        <v>-0.0014</v>
      </c>
    </row>
    <row r="6435">
      <c r="A6435" s="131">
        <f>IFERROR(__xludf.DUMMYFUNCTION("""COMPUTED_VALUE"""),46187.56119212963)</f>
        <v>46187.56119</v>
      </c>
      <c r="B6435" s="126">
        <f>IFERROR(__xludf.DUMMYFUNCTION("""COMPUTED_VALUE"""),46187.0)</f>
        <v>46187</v>
      </c>
      <c r="C6435" s="122" t="str">
        <f>IFERROR(__xludf.DUMMYFUNCTION("""COMPUTED_VALUE"""),"VRSE")</f>
        <v>VRSE</v>
      </c>
      <c r="D6435" s="122" t="str">
        <f>IFERROR(__xludf.DUMMYFUNCTION("""COMPUTED_VALUE"""),"VerseVR")</f>
        <v>VerseVR</v>
      </c>
      <c r="E6435" s="122">
        <f>IFERROR(__xludf.DUMMYFUNCTION("""COMPUTED_VALUE"""),147.12)</f>
        <v>147.12</v>
      </c>
      <c r="F6435" s="122">
        <f>IFERROR(__xludf.DUMMYFUNCTION("""COMPUTED_VALUE"""),-0.0076)</f>
        <v>-0.0076</v>
      </c>
    </row>
    <row r="6436">
      <c r="A6436" s="131">
        <f>IFERROR(__xludf.DUMMYFUNCTION("""COMPUTED_VALUE"""),46187.56119212963)</f>
        <v>46187.56119</v>
      </c>
      <c r="B6436" s="126">
        <f>IFERROR(__xludf.DUMMYFUNCTION("""COMPUTED_VALUE"""),46187.0)</f>
        <v>46187</v>
      </c>
      <c r="C6436" s="122" t="str">
        <f>IFERROR(__xludf.DUMMYFUNCTION("""COMPUTED_VALUE"""),"BYTE")</f>
        <v>BYTE</v>
      </c>
      <c r="D6436" s="122" t="str">
        <f>IFERROR(__xludf.DUMMYFUNCTION("""COMPUTED_VALUE"""),"ByteWorks")</f>
        <v>ByteWorks</v>
      </c>
      <c r="E6436" s="122">
        <f>IFERROR(__xludf.DUMMYFUNCTION("""COMPUTED_VALUE"""),116.43)</f>
        <v>116.43</v>
      </c>
      <c r="F6436" s="122">
        <f>IFERROR(__xludf.DUMMYFUNCTION("""COMPUTED_VALUE"""),0.0095)</f>
        <v>0.0095</v>
      </c>
    </row>
    <row r="6437">
      <c r="A6437" s="131">
        <f>IFERROR(__xludf.DUMMYFUNCTION("""COMPUTED_VALUE"""),46187.56119212963)</f>
        <v>46187.56119</v>
      </c>
      <c r="B6437" s="126">
        <f>IFERROR(__xludf.DUMMYFUNCTION("""COMPUTED_VALUE"""),46187.0)</f>
        <v>46187</v>
      </c>
      <c r="C6437" s="122" t="str">
        <f>IFERROR(__xludf.DUMMYFUNCTION("""COMPUTED_VALUE"""),"BANK")</f>
        <v>BANK</v>
      </c>
      <c r="D6437" s="122" t="str">
        <f>IFERROR(__xludf.DUMMYFUNCTION("""COMPUTED_VALUE"""),"Tiger Bank")</f>
        <v>Tiger Bank</v>
      </c>
      <c r="E6437" s="122">
        <f>IFERROR(__xludf.DUMMYFUNCTION("""COMPUTED_VALUE"""),130.0)</f>
        <v>130</v>
      </c>
      <c r="F6437" s="122">
        <f>IFERROR(__xludf.DUMMYFUNCTION("""COMPUTED_VALUE"""),8.0E-4)</f>
        <v>0.0008</v>
      </c>
    </row>
    <row r="6438">
      <c r="A6438" s="131">
        <f>IFERROR(__xludf.DUMMYFUNCTION("""COMPUTED_VALUE"""),46187.56119212963)</f>
        <v>46187.56119</v>
      </c>
      <c r="B6438" s="126">
        <f>IFERROR(__xludf.DUMMYFUNCTION("""COMPUTED_VALUE"""),46187.0)</f>
        <v>46187</v>
      </c>
      <c r="C6438" s="122" t="str">
        <f>IFERROR(__xludf.DUMMYFUNCTION("""COMPUTED_VALUE"""),"CRED")</f>
        <v>CRED</v>
      </c>
      <c r="D6438" s="122" t="str">
        <f>IFERROR(__xludf.DUMMYFUNCTION("""COMPUTED_VALUE"""),"Credit Castle")</f>
        <v>Credit Castle</v>
      </c>
      <c r="E6438" s="122">
        <f>IFERROR(__xludf.DUMMYFUNCTION("""COMPUTED_VALUE"""),66.77)</f>
        <v>66.77</v>
      </c>
      <c r="F6438" s="122">
        <f>IFERROR(__xludf.DUMMYFUNCTION("""COMPUTED_VALUE"""),-0.0043)</f>
        <v>-0.0043</v>
      </c>
    </row>
    <row r="6439">
      <c r="A6439" s="131">
        <f>IFERROR(__xludf.DUMMYFUNCTION("""COMPUTED_VALUE"""),46187.56119212963)</f>
        <v>46187.56119</v>
      </c>
      <c r="B6439" s="126">
        <f>IFERROR(__xludf.DUMMYFUNCTION("""COMPUTED_VALUE"""),46187.0)</f>
        <v>46187</v>
      </c>
      <c r="C6439" s="122" t="str">
        <f>IFERROR(__xludf.DUMMYFUNCTION("""COMPUTED_VALUE"""),"BOND")</f>
        <v>BOND</v>
      </c>
      <c r="D6439" s="122" t="str">
        <f>IFERROR(__xludf.DUMMYFUNCTION("""COMPUTED_VALUE"""),"BondBridge")</f>
        <v>BondBridge</v>
      </c>
      <c r="E6439" s="122">
        <f>IFERROR(__xludf.DUMMYFUNCTION("""COMPUTED_VALUE"""),102.36)</f>
        <v>102.36</v>
      </c>
      <c r="F6439" s="122">
        <f>IFERROR(__xludf.DUMMYFUNCTION("""COMPUTED_VALUE"""),0.0018)</f>
        <v>0.0018</v>
      </c>
    </row>
    <row r="6440">
      <c r="A6440" s="131">
        <f>IFERROR(__xludf.DUMMYFUNCTION("""COMPUTED_VALUE"""),46187.56119212963)</f>
        <v>46187.56119</v>
      </c>
      <c r="B6440" s="126">
        <f>IFERROR(__xludf.DUMMYFUNCTION("""COMPUTED_VALUE"""),46187.0)</f>
        <v>46187</v>
      </c>
      <c r="C6440" s="122" t="str">
        <f>IFERROR(__xludf.DUMMYFUNCTION("""COMPUTED_VALUE"""),"INSR")</f>
        <v>INSR</v>
      </c>
      <c r="D6440" s="122" t="str">
        <f>IFERROR(__xludf.DUMMYFUNCTION("""COMPUTED_VALUE"""),"Shield Insurance")</f>
        <v>Shield Insurance</v>
      </c>
      <c r="E6440" s="122">
        <f>IFERROR(__xludf.DUMMYFUNCTION("""COMPUTED_VALUE"""),158.19)</f>
        <v>158.19</v>
      </c>
      <c r="F6440" s="122">
        <f>IFERROR(__xludf.DUMMYFUNCTION("""COMPUTED_VALUE"""),0.0043)</f>
        <v>0.0043</v>
      </c>
    </row>
    <row r="6441">
      <c r="A6441" s="131">
        <f>IFERROR(__xludf.DUMMYFUNCTION("""COMPUTED_VALUE"""),46187.56119212963)</f>
        <v>46187.56119</v>
      </c>
      <c r="B6441" s="126">
        <f>IFERROR(__xludf.DUMMYFUNCTION("""COMPUTED_VALUE"""),46187.0)</f>
        <v>46187</v>
      </c>
      <c r="C6441" s="122" t="str">
        <f>IFERROR(__xludf.DUMMYFUNCTION("""COMPUTED_VALUE"""),"LOAN")</f>
        <v>LOAN</v>
      </c>
      <c r="D6441" s="122" t="str">
        <f>IFERROR(__xludf.DUMMYFUNCTION("""COMPUTED_VALUE"""),"LoanLab")</f>
        <v>LoanLab</v>
      </c>
      <c r="E6441" s="122">
        <f>IFERROR(__xludf.DUMMYFUNCTION("""COMPUTED_VALUE"""),67.98)</f>
        <v>67.98</v>
      </c>
      <c r="F6441" s="122">
        <f>IFERROR(__xludf.DUMMYFUNCTION("""COMPUTED_VALUE"""),0.0077)</f>
        <v>0.0077</v>
      </c>
    </row>
    <row r="6442">
      <c r="A6442" s="131">
        <f>IFERROR(__xludf.DUMMYFUNCTION("""COMPUTED_VALUE"""),46187.56119212963)</f>
        <v>46187.56119</v>
      </c>
      <c r="B6442" s="126">
        <f>IFERROR(__xludf.DUMMYFUNCTION("""COMPUTED_VALUE"""),46187.0)</f>
        <v>46187</v>
      </c>
      <c r="C6442" s="122" t="str">
        <f>IFERROR(__xludf.DUMMYFUNCTION("""COMPUTED_VALUE"""),"LUXE")</f>
        <v>LUXE</v>
      </c>
      <c r="D6442" s="122" t="str">
        <f>IFERROR(__xludf.DUMMYFUNCTION("""COMPUTED_VALUE"""),"Luxury Locker")</f>
        <v>Luxury Locker</v>
      </c>
      <c r="E6442" s="122">
        <f>IFERROR(__xludf.DUMMYFUNCTION("""COMPUTED_VALUE"""),269.75)</f>
        <v>269.75</v>
      </c>
      <c r="F6442" s="122">
        <f>IFERROR(__xludf.DUMMYFUNCTION("""COMPUTED_VALUE"""),0.0019)</f>
        <v>0.0019</v>
      </c>
    </row>
    <row r="6443">
      <c r="A6443" s="131">
        <f>IFERROR(__xludf.DUMMYFUNCTION("""COMPUTED_VALUE"""),46187.56119212963)</f>
        <v>46187.56119</v>
      </c>
      <c r="B6443" s="126">
        <f>IFERROR(__xludf.DUMMYFUNCTION("""COMPUTED_VALUE"""),46187.0)</f>
        <v>46187</v>
      </c>
      <c r="C6443" s="122" t="str">
        <f>IFERROR(__xludf.DUMMYFUNCTION("""COMPUTED_VALUE"""),"DRIP")</f>
        <v>DRIP</v>
      </c>
      <c r="D6443" s="122" t="str">
        <f>IFERROR(__xludf.DUMMYFUNCTION("""COMPUTED_VALUE"""),"Drip Streetwear")</f>
        <v>Drip Streetwear</v>
      </c>
      <c r="E6443" s="122">
        <f>IFERROR(__xludf.DUMMYFUNCTION("""COMPUTED_VALUE"""),191.36)</f>
        <v>191.36</v>
      </c>
      <c r="F6443" s="122">
        <f>IFERROR(__xludf.DUMMYFUNCTION("""COMPUTED_VALUE"""),-0.0079)</f>
        <v>-0.0079</v>
      </c>
    </row>
    <row r="6444">
      <c r="A6444" s="131">
        <f>IFERROR(__xludf.DUMMYFUNCTION("""COMPUTED_VALUE"""),46187.56119212963)</f>
        <v>46187.56119</v>
      </c>
      <c r="B6444" s="126">
        <f>IFERROR(__xludf.DUMMYFUNCTION("""COMPUTED_VALUE"""),46187.0)</f>
        <v>46187</v>
      </c>
      <c r="C6444" s="122" t="str">
        <f>IFERROR(__xludf.DUMMYFUNCTION("""COMPUTED_VALUE"""),"KICK")</f>
        <v>KICK</v>
      </c>
      <c r="D6444" s="122" t="str">
        <f>IFERROR(__xludf.DUMMYFUNCTION("""COMPUTED_VALUE"""),"KickDrop Sneakers")</f>
        <v>KickDrop Sneakers</v>
      </c>
      <c r="E6444" s="122">
        <f>IFERROR(__xludf.DUMMYFUNCTION("""COMPUTED_VALUE"""),168.83)</f>
        <v>168.83</v>
      </c>
      <c r="F6444" s="122">
        <f>IFERROR(__xludf.DUMMYFUNCTION("""COMPUTED_VALUE"""),0.0033)</f>
        <v>0.0033</v>
      </c>
    </row>
    <row r="6445">
      <c r="A6445" s="131">
        <f>IFERROR(__xludf.DUMMYFUNCTION("""COMPUTED_VALUE"""),46187.56119212963)</f>
        <v>46187.56119</v>
      </c>
      <c r="B6445" s="126">
        <f>IFERROR(__xludf.DUMMYFUNCTION("""COMPUTED_VALUE"""),46187.0)</f>
        <v>46187</v>
      </c>
      <c r="C6445" s="122" t="str">
        <f>IFERROR(__xludf.DUMMYFUNCTION("""COMPUTED_VALUE"""),"GLAM")</f>
        <v>GLAM</v>
      </c>
      <c r="D6445" s="122" t="str">
        <f>IFERROR(__xludf.DUMMYFUNCTION("""COMPUTED_VALUE"""),"Glow Cosmetics")</f>
        <v>Glow Cosmetics</v>
      </c>
      <c r="E6445" s="122">
        <f>IFERROR(__xludf.DUMMYFUNCTION("""COMPUTED_VALUE"""),109.45)</f>
        <v>109.45</v>
      </c>
      <c r="F6445" s="122">
        <f>IFERROR(__xludf.DUMMYFUNCTION("""COMPUTED_VALUE"""),0.0)</f>
        <v>0</v>
      </c>
    </row>
    <row r="6446">
      <c r="A6446" s="131">
        <f>IFERROR(__xludf.DUMMYFUNCTION("""COMPUTED_VALUE"""),46187.56119212963)</f>
        <v>46187.56119</v>
      </c>
      <c r="B6446" s="126">
        <f>IFERROR(__xludf.DUMMYFUNCTION("""COMPUTED_VALUE"""),46187.0)</f>
        <v>46187</v>
      </c>
      <c r="C6446" s="122" t="str">
        <f>IFERROR(__xludf.DUMMYFUNCTION("""COMPUTED_VALUE"""),"BAGG")</f>
        <v>BAGG</v>
      </c>
      <c r="D6446" s="122" t="str">
        <f>IFERROR(__xludf.DUMMYFUNCTION("""COMPUTED_VALUE"""),"BagVault")</f>
        <v>BagVault</v>
      </c>
      <c r="E6446" s="122">
        <f>IFERROR(__xludf.DUMMYFUNCTION("""COMPUTED_VALUE"""),265.8)</f>
        <v>265.8</v>
      </c>
      <c r="F6446" s="122">
        <f>IFERROR(__xludf.DUMMYFUNCTION("""COMPUTED_VALUE"""),0.0024)</f>
        <v>0.0024</v>
      </c>
    </row>
    <row r="6447">
      <c r="A6447" s="131">
        <f>IFERROR(__xludf.DUMMYFUNCTION("""COMPUTED_VALUE"""),46187.56119212963)</f>
        <v>46187.56119</v>
      </c>
      <c r="B6447" s="126">
        <f>IFERROR(__xludf.DUMMYFUNCTION("""COMPUTED_VALUE"""),46187.0)</f>
        <v>46187</v>
      </c>
      <c r="C6447" s="122" t="str">
        <f>IFERROR(__xludf.DUMMYFUNCTION("""COMPUTED_VALUE"""),"FAST")</f>
        <v>FAST</v>
      </c>
      <c r="D6447" s="122" t="str">
        <f>IFERROR(__xludf.DUMMYFUNCTION("""COMPUTED_VALUE"""),"Flash Logistics")</f>
        <v>Flash Logistics</v>
      </c>
      <c r="E6447" s="122">
        <f>IFERROR(__xludf.DUMMYFUNCTION("""COMPUTED_VALUE"""),106.46)</f>
        <v>106.46</v>
      </c>
      <c r="F6447" s="122">
        <f>IFERROR(__xludf.DUMMYFUNCTION("""COMPUTED_VALUE"""),0.0053)</f>
        <v>0.0053</v>
      </c>
    </row>
    <row r="6448">
      <c r="A6448" s="131">
        <f>IFERROR(__xludf.DUMMYFUNCTION("""COMPUTED_VALUE"""),46187.56119212963)</f>
        <v>46187.56119</v>
      </c>
      <c r="B6448" s="126">
        <f>IFERROR(__xludf.DUMMYFUNCTION("""COMPUTED_VALUE"""),46187.0)</f>
        <v>46187</v>
      </c>
      <c r="C6448" s="122" t="str">
        <f>IFERROR(__xludf.DUMMYFUNCTION("""COMPUTED_VALUE"""),"SHIP")</f>
        <v>SHIP</v>
      </c>
      <c r="D6448" s="122" t="str">
        <f>IFERROR(__xludf.DUMMYFUNCTION("""COMPUTED_VALUE"""),"Seoul Shipping")</f>
        <v>Seoul Shipping</v>
      </c>
      <c r="E6448" s="122">
        <f>IFERROR(__xludf.DUMMYFUNCTION("""COMPUTED_VALUE"""),127.29)</f>
        <v>127.29</v>
      </c>
      <c r="F6448" s="122">
        <f>IFERROR(__xludf.DUMMYFUNCTION("""COMPUTED_VALUE"""),-0.0052)</f>
        <v>-0.0052</v>
      </c>
    </row>
    <row r="6449">
      <c r="A6449" s="131">
        <f>IFERROR(__xludf.DUMMYFUNCTION("""COMPUTED_VALUE"""),46187.56119212963)</f>
        <v>46187.56119</v>
      </c>
      <c r="B6449" s="126">
        <f>IFERROR(__xludf.DUMMYFUNCTION("""COMPUTED_VALUE"""),46187.0)</f>
        <v>46187</v>
      </c>
      <c r="C6449" s="122" t="str">
        <f>IFERROR(__xludf.DUMMYFUNCTION("""COMPUTED_VALUE"""),"DRON")</f>
        <v>DRON</v>
      </c>
      <c r="D6449" s="122" t="str">
        <f>IFERROR(__xludf.DUMMYFUNCTION("""COMPUTED_VALUE"""),"DroneDrop")</f>
        <v>DroneDrop</v>
      </c>
      <c r="E6449" s="122">
        <f>IFERROR(__xludf.DUMMYFUNCTION("""COMPUTED_VALUE"""),127.39)</f>
        <v>127.39</v>
      </c>
      <c r="F6449" s="122">
        <f>IFERROR(__xludf.DUMMYFUNCTION("""COMPUTED_VALUE"""),-0.0053)</f>
        <v>-0.0053</v>
      </c>
    </row>
    <row r="6450">
      <c r="A6450" s="131">
        <f>IFERROR(__xludf.DUMMYFUNCTION("""COMPUTED_VALUE"""),46187.56119212963)</f>
        <v>46187.56119</v>
      </c>
      <c r="B6450" s="126">
        <f>IFERROR(__xludf.DUMMYFUNCTION("""COMPUTED_VALUE"""),46187.0)</f>
        <v>46187</v>
      </c>
      <c r="C6450" s="122" t="str">
        <f>IFERROR(__xludf.DUMMYFUNCTION("""COMPUTED_VALUE"""),"RIDE")</f>
        <v>RIDE</v>
      </c>
      <c r="D6450" s="122" t="str">
        <f>IFERROR(__xludf.DUMMYFUNCTION("""COMPUTED_VALUE"""),"QuickRide")</f>
        <v>QuickRide</v>
      </c>
      <c r="E6450" s="122">
        <f>IFERROR(__xludf.DUMMYFUNCTION("""COMPUTED_VALUE"""),101.59)</f>
        <v>101.59</v>
      </c>
      <c r="F6450" s="122">
        <f>IFERROR(__xludf.DUMMYFUNCTION("""COMPUTED_VALUE"""),0.0027)</f>
        <v>0.0027</v>
      </c>
    </row>
    <row r="6451">
      <c r="A6451" s="131">
        <f>IFERROR(__xludf.DUMMYFUNCTION("""COMPUTED_VALUE"""),46187.56119212963)</f>
        <v>46187.56119</v>
      </c>
      <c r="B6451" s="126">
        <f>IFERROR(__xludf.DUMMYFUNCTION("""COMPUTED_VALUE"""),46187.0)</f>
        <v>46187</v>
      </c>
      <c r="C6451" s="122" t="str">
        <f>IFERROR(__xludf.DUMMYFUNCTION("""COMPUTED_VALUE"""),"RAIL")</f>
        <v>RAIL</v>
      </c>
      <c r="D6451" s="122" t="str">
        <f>IFERROR(__xludf.DUMMYFUNCTION("""COMPUTED_VALUE"""),"MetroRail Corp")</f>
        <v>MetroRail Corp</v>
      </c>
      <c r="E6451" s="122">
        <f>IFERROR(__xludf.DUMMYFUNCTION("""COMPUTED_VALUE"""),131.05)</f>
        <v>131.05</v>
      </c>
      <c r="F6451" s="122">
        <f>IFERROR(__xludf.DUMMYFUNCTION("""COMPUTED_VALUE"""),0.0)</f>
        <v>0</v>
      </c>
    </row>
    <row r="6452">
      <c r="A6452" s="131">
        <f>IFERROR(__xludf.DUMMYFUNCTION("""COMPUTED_VALUE"""),46187.56119212963)</f>
        <v>46187.56119</v>
      </c>
      <c r="B6452" s="126">
        <f>IFERROR(__xludf.DUMMYFUNCTION("""COMPUTED_VALUE"""),46187.0)</f>
        <v>46187</v>
      </c>
      <c r="C6452" s="122" t="str">
        <f>IFERROR(__xludf.DUMMYFUNCTION("""COMPUTED_VALUE"""),"MEDX")</f>
        <v>MEDX</v>
      </c>
      <c r="D6452" s="122" t="str">
        <f>IFERROR(__xludf.DUMMYFUNCTION("""COMPUTED_VALUE"""),"MediCore")</f>
        <v>MediCore</v>
      </c>
      <c r="E6452" s="122">
        <f>IFERROR(__xludf.DUMMYFUNCTION("""COMPUTED_VALUE"""),138.83)</f>
        <v>138.83</v>
      </c>
      <c r="F6452" s="122">
        <f>IFERROR(__xludf.DUMMYFUNCTION("""COMPUTED_VALUE"""),8.0E-4)</f>
        <v>0.0008</v>
      </c>
    </row>
    <row r="6453">
      <c r="A6453" s="131">
        <f>IFERROR(__xludf.DUMMYFUNCTION("""COMPUTED_VALUE"""),46187.56119212963)</f>
        <v>46187.56119</v>
      </c>
      <c r="B6453" s="126">
        <f>IFERROR(__xludf.DUMMYFUNCTION("""COMPUTED_VALUE"""),46187.0)</f>
        <v>46187</v>
      </c>
      <c r="C6453" s="122" t="str">
        <f>IFERROR(__xludf.DUMMYFUNCTION("""COMPUTED_VALUE"""),"GYMX")</f>
        <v>GYMX</v>
      </c>
      <c r="D6453" s="122" t="str">
        <f>IFERROR(__xludf.DUMMYFUNCTION("""COMPUTED_VALUE"""),"GymX Fitness")</f>
        <v>GymX Fitness</v>
      </c>
      <c r="E6453" s="122">
        <f>IFERROR(__xludf.DUMMYFUNCTION("""COMPUTED_VALUE"""),85.73)</f>
        <v>85.73</v>
      </c>
      <c r="F6453" s="122">
        <f>IFERROR(__xludf.DUMMYFUNCTION("""COMPUTED_VALUE"""),-0.002)</f>
        <v>-0.002</v>
      </c>
    </row>
    <row r="6454">
      <c r="A6454" s="131">
        <f>IFERROR(__xludf.DUMMYFUNCTION("""COMPUTED_VALUE"""),46187.56119212963)</f>
        <v>46187.56119</v>
      </c>
      <c r="B6454" s="126">
        <f>IFERROR(__xludf.DUMMYFUNCTION("""COMPUTED_VALUE"""),46187.0)</f>
        <v>46187</v>
      </c>
      <c r="C6454" s="122" t="str">
        <f>IFERROR(__xludf.DUMMYFUNCTION("""COMPUTED_VALUE"""),"VITA")</f>
        <v>VITA</v>
      </c>
      <c r="D6454" s="122" t="str">
        <f>IFERROR(__xludf.DUMMYFUNCTION("""COMPUTED_VALUE"""),"VitaPlus")</f>
        <v>VitaPlus</v>
      </c>
      <c r="E6454" s="122">
        <f>IFERROR(__xludf.DUMMYFUNCTION("""COMPUTED_VALUE"""),72.24)</f>
        <v>72.24</v>
      </c>
      <c r="F6454" s="122">
        <f>IFERROR(__xludf.DUMMYFUNCTION("""COMPUTED_VALUE"""),0.0032)</f>
        <v>0.0032</v>
      </c>
    </row>
    <row r="6455">
      <c r="A6455" s="131">
        <f>IFERROR(__xludf.DUMMYFUNCTION("""COMPUTED_VALUE"""),46187.56119212963)</f>
        <v>46187.56119</v>
      </c>
      <c r="B6455" s="126">
        <f>IFERROR(__xludf.DUMMYFUNCTION("""COMPUTED_VALUE"""),46187.0)</f>
        <v>46187</v>
      </c>
      <c r="C6455" s="122" t="str">
        <f>IFERROR(__xludf.DUMMYFUNCTION("""COMPUTED_VALUE"""),"CARE")</f>
        <v>CARE</v>
      </c>
      <c r="D6455" s="122" t="str">
        <f>IFERROR(__xludf.DUMMYFUNCTION("""COMPUTED_VALUE"""),"CareCloud")</f>
        <v>CareCloud</v>
      </c>
      <c r="E6455" s="122">
        <f>IFERROR(__xludf.DUMMYFUNCTION("""COMPUTED_VALUE"""),180.04)</f>
        <v>180.04</v>
      </c>
      <c r="F6455" s="122">
        <f>IFERROR(__xludf.DUMMYFUNCTION("""COMPUTED_VALUE"""),0.0036)</f>
        <v>0.0036</v>
      </c>
    </row>
    <row r="6456">
      <c r="A6456" s="131">
        <f>IFERROR(__xludf.DUMMYFUNCTION("""COMPUTED_VALUE"""),46187.56119212963)</f>
        <v>46187.56119</v>
      </c>
      <c r="B6456" s="126">
        <f>IFERROR(__xludf.DUMMYFUNCTION("""COMPUTED_VALUE"""),46187.0)</f>
        <v>46187</v>
      </c>
      <c r="C6456" s="122" t="str">
        <f>IFERROR(__xludf.DUMMYFUNCTION("""COMPUTED_VALUE"""),"DENT")</f>
        <v>DENT</v>
      </c>
      <c r="D6456" s="122" t="str">
        <f>IFERROR(__xludf.DUMMYFUNCTION("""COMPUTED_VALUE"""),"SmileWorks")</f>
        <v>SmileWorks</v>
      </c>
      <c r="E6456" s="122">
        <f>IFERROR(__xludf.DUMMYFUNCTION("""COMPUTED_VALUE"""),92.67)</f>
        <v>92.67</v>
      </c>
      <c r="F6456" s="122">
        <f>IFERROR(__xludf.DUMMYFUNCTION("""COMPUTED_VALUE"""),-0.0024)</f>
        <v>-0.0024</v>
      </c>
    </row>
    <row r="6457">
      <c r="A6457" s="131">
        <f>IFERROR(__xludf.DUMMYFUNCTION("""COMPUTED_VALUE"""),46187.56119212963)</f>
        <v>46187.56119</v>
      </c>
      <c r="B6457" s="126">
        <f>IFERROR(__xludf.DUMMYFUNCTION("""COMPUTED_VALUE"""),46187.0)</f>
        <v>46187</v>
      </c>
      <c r="C6457" s="122" t="str">
        <f>IFERROR(__xludf.DUMMYFUNCTION("""COMPUTED_VALUE"""),"EDUX")</f>
        <v>EDUX</v>
      </c>
      <c r="D6457" s="122" t="str">
        <f>IFERROR(__xludf.DUMMYFUNCTION("""COMPUTED_VALUE"""),"EduMax Learning")</f>
        <v>EduMax Learning</v>
      </c>
      <c r="E6457" s="122">
        <f>IFERROR(__xludf.DUMMYFUNCTION("""COMPUTED_VALUE"""),144.18)</f>
        <v>144.18</v>
      </c>
      <c r="F6457" s="122">
        <f>IFERROR(__xludf.DUMMYFUNCTION("""COMPUTED_VALUE"""),-0.0022)</f>
        <v>-0.0022</v>
      </c>
    </row>
    <row r="6458">
      <c r="A6458" s="131">
        <f>IFERROR(__xludf.DUMMYFUNCTION("""COMPUTED_VALUE"""),46187.56119212963)</f>
        <v>46187.56119</v>
      </c>
      <c r="B6458" s="126">
        <f>IFERROR(__xludf.DUMMYFUNCTION("""COMPUTED_VALUE"""),46187.0)</f>
        <v>46187</v>
      </c>
      <c r="C6458" s="122" t="str">
        <f>IFERROR(__xludf.DUMMYFUNCTION("""COMPUTED_VALUE"""),"BOOK")</f>
        <v>BOOK</v>
      </c>
      <c r="D6458" s="122" t="str">
        <f>IFERROR(__xludf.DUMMYFUNCTION("""COMPUTED_VALUE"""),"BookBridge")</f>
        <v>BookBridge</v>
      </c>
      <c r="E6458" s="122">
        <f>IFERROR(__xludf.DUMMYFUNCTION("""COMPUTED_VALUE"""),118.84)</f>
        <v>118.84</v>
      </c>
      <c r="F6458" s="122">
        <f>IFERROR(__xludf.DUMMYFUNCTION("""COMPUTED_VALUE"""),0.003)</f>
        <v>0.003</v>
      </c>
    </row>
    <row r="6459">
      <c r="A6459" s="131">
        <f>IFERROR(__xludf.DUMMYFUNCTION("""COMPUTED_VALUE"""),46187.56119212963)</f>
        <v>46187.56119</v>
      </c>
      <c r="B6459" s="126">
        <f>IFERROR(__xludf.DUMMYFUNCTION("""COMPUTED_VALUE"""),46187.0)</f>
        <v>46187</v>
      </c>
      <c r="C6459" s="122" t="str">
        <f>IFERROR(__xludf.DUMMYFUNCTION("""COMPUTED_VALUE"""),"TUTR")</f>
        <v>TUTR</v>
      </c>
      <c r="D6459" s="122" t="str">
        <f>IFERROR(__xludf.DUMMYFUNCTION("""COMPUTED_VALUE"""),"TutorTown")</f>
        <v>TutorTown</v>
      </c>
      <c r="E6459" s="122">
        <f>IFERROR(__xludf.DUMMYFUNCTION("""COMPUTED_VALUE"""),90.38)</f>
        <v>90.38</v>
      </c>
      <c r="F6459" s="122">
        <f>IFERROR(__xludf.DUMMYFUNCTION("""COMPUTED_VALUE"""),0.004)</f>
        <v>0.004</v>
      </c>
    </row>
    <row r="6460">
      <c r="A6460" s="131">
        <f>IFERROR(__xludf.DUMMYFUNCTION("""COMPUTED_VALUE"""),46187.56119212963)</f>
        <v>46187.56119</v>
      </c>
      <c r="B6460" s="126">
        <f>IFERROR(__xludf.DUMMYFUNCTION("""COMPUTED_VALUE"""),46187.0)</f>
        <v>46187</v>
      </c>
      <c r="C6460" s="122" t="str">
        <f>IFERROR(__xludf.DUMMYFUNCTION("""COMPUTED_VALUE"""),"LANG")</f>
        <v>LANG</v>
      </c>
      <c r="D6460" s="122" t="str">
        <f>IFERROR(__xludf.DUMMYFUNCTION("""COMPUTED_VALUE"""),"LinguaLab")</f>
        <v>LinguaLab</v>
      </c>
      <c r="E6460" s="122">
        <f>IFERROR(__xludf.DUMMYFUNCTION("""COMPUTED_VALUE"""),99.87)</f>
        <v>99.87</v>
      </c>
      <c r="F6460" s="122">
        <f>IFERROR(__xludf.DUMMYFUNCTION("""COMPUTED_VALUE"""),-0.0031)</f>
        <v>-0.0031</v>
      </c>
    </row>
    <row r="6461">
      <c r="A6461" s="131">
        <f>IFERROR(__xludf.DUMMYFUNCTION("""COMPUTED_VALUE"""),46187.56119212963)</f>
        <v>46187.56119</v>
      </c>
      <c r="B6461" s="126">
        <f>IFERROR(__xludf.DUMMYFUNCTION("""COMPUTED_VALUE"""),46187.0)</f>
        <v>46187</v>
      </c>
      <c r="C6461" s="122" t="str">
        <f>IFERROR(__xludf.DUMMYFUNCTION("""COMPUTED_VALUE"""),"TEST")</f>
        <v>TEST</v>
      </c>
      <c r="D6461" s="122" t="str">
        <f>IFERROR(__xludf.DUMMYFUNCTION("""COMPUTED_VALUE"""),"TestPrep Pro")</f>
        <v>TestPrep Pro</v>
      </c>
      <c r="E6461" s="122">
        <f>IFERROR(__xludf.DUMMYFUNCTION("""COMPUTED_VALUE"""),92.28)</f>
        <v>92.28</v>
      </c>
      <c r="F6461" s="122">
        <f>IFERROR(__xludf.DUMMYFUNCTION("""COMPUTED_VALUE"""),-0.0066)</f>
        <v>-0.0066</v>
      </c>
    </row>
    <row r="6462">
      <c r="A6462" s="131">
        <f>IFERROR(__xludf.DUMMYFUNCTION("""COMPUTED_VALUE"""),46187.56119212963)</f>
        <v>46187.56119</v>
      </c>
      <c r="B6462" s="126">
        <f>IFERROR(__xludf.DUMMYFUNCTION("""COMPUTED_VALUE"""),46187.0)</f>
        <v>46187</v>
      </c>
      <c r="C6462" s="122" t="str">
        <f>IFERROR(__xludf.DUMMYFUNCTION("""COMPUTED_VALUE"""),"MOVI")</f>
        <v>MOVI</v>
      </c>
      <c r="D6462" s="122" t="str">
        <f>IFERROR(__xludf.DUMMYFUNCTION("""COMPUTED_VALUE"""),"MovieBox")</f>
        <v>MovieBox</v>
      </c>
      <c r="E6462" s="122">
        <f>IFERROR(__xludf.DUMMYFUNCTION("""COMPUTED_VALUE"""),83.38)</f>
        <v>83.38</v>
      </c>
      <c r="F6462" s="122">
        <f>IFERROR(__xludf.DUMMYFUNCTION("""COMPUTED_VALUE"""),0.0026)</f>
        <v>0.0026</v>
      </c>
    </row>
    <row r="6463">
      <c r="A6463" s="131">
        <f>IFERROR(__xludf.DUMMYFUNCTION("""COMPUTED_VALUE"""),46187.56119212963)</f>
        <v>46187.56119</v>
      </c>
      <c r="B6463" s="126">
        <f>IFERROR(__xludf.DUMMYFUNCTION("""COMPUTED_VALUE"""),46187.0)</f>
        <v>46187</v>
      </c>
      <c r="C6463" s="122" t="str">
        <f>IFERROR(__xludf.DUMMYFUNCTION("""COMPUTED_VALUE"""),"MUSC")</f>
        <v>MUSC</v>
      </c>
      <c r="D6463" s="122" t="str">
        <f>IFERROR(__xludf.DUMMYFUNCTION("""COMPUTED_VALUE"""),"MusicWave")</f>
        <v>MusicWave</v>
      </c>
      <c r="E6463" s="122">
        <f>IFERROR(__xludf.DUMMYFUNCTION("""COMPUTED_VALUE"""),100.91)</f>
        <v>100.91</v>
      </c>
      <c r="F6463" s="122">
        <f>IFERROR(__xludf.DUMMYFUNCTION("""COMPUTED_VALUE"""),0.0051)</f>
        <v>0.0051</v>
      </c>
    </row>
    <row r="6464">
      <c r="A6464" s="131">
        <f>IFERROR(__xludf.DUMMYFUNCTION("""COMPUTED_VALUE"""),46187.56119212963)</f>
        <v>46187.56119</v>
      </c>
      <c r="B6464" s="126">
        <f>IFERROR(__xludf.DUMMYFUNCTION("""COMPUTED_VALUE"""),46187.0)</f>
        <v>46187</v>
      </c>
      <c r="C6464" s="122" t="str">
        <f>IFERROR(__xludf.DUMMYFUNCTION("""COMPUTED_VALUE"""),"IDOL")</f>
        <v>IDOL</v>
      </c>
      <c r="D6464" s="122" t="str">
        <f>IFERROR(__xludf.DUMMYFUNCTION("""COMPUTED_VALUE"""),"Idol Agency")</f>
        <v>Idol Agency</v>
      </c>
      <c r="E6464" s="122">
        <f>IFERROR(__xludf.DUMMYFUNCTION("""COMPUTED_VALUE"""),186.51)</f>
        <v>186.51</v>
      </c>
      <c r="F6464" s="122">
        <f>IFERROR(__xludf.DUMMYFUNCTION("""COMPUTED_VALUE"""),0.0019)</f>
        <v>0.0019</v>
      </c>
    </row>
    <row r="6465">
      <c r="A6465" s="131">
        <f>IFERROR(__xludf.DUMMYFUNCTION("""COMPUTED_VALUE"""),46187.56119212963)</f>
        <v>46187.56119</v>
      </c>
      <c r="B6465" s="126">
        <f>IFERROR(__xludf.DUMMYFUNCTION("""COMPUTED_VALUE"""),46187.0)</f>
        <v>46187</v>
      </c>
      <c r="C6465" s="122" t="str">
        <f>IFERROR(__xludf.DUMMYFUNCTION("""COMPUTED_VALUE"""),"MEME")</f>
        <v>MEME</v>
      </c>
      <c r="D6465" s="122" t="str">
        <f>IFERROR(__xludf.DUMMYFUNCTION("""COMPUTED_VALUE"""),"Meme Media")</f>
        <v>Meme Media</v>
      </c>
      <c r="E6465" s="122">
        <f>IFERROR(__xludf.DUMMYFUNCTION("""COMPUTED_VALUE"""),73.99)</f>
        <v>73.99</v>
      </c>
      <c r="F6465" s="122">
        <f>IFERROR(__xludf.DUMMYFUNCTION("""COMPUTED_VALUE"""),0.0138)</f>
        <v>0.0138</v>
      </c>
    </row>
    <row r="6466">
      <c r="A6466" s="131">
        <f>IFERROR(__xludf.DUMMYFUNCTION("""COMPUTED_VALUE"""),46187.56119212963)</f>
        <v>46187.56119</v>
      </c>
      <c r="B6466" s="126">
        <f>IFERROR(__xludf.DUMMYFUNCTION("""COMPUTED_VALUE"""),46187.0)</f>
        <v>46187</v>
      </c>
      <c r="C6466" s="122" t="str">
        <f>IFERROR(__xludf.DUMMYFUNCTION("""COMPUTED_VALUE"""),"STRM")</f>
        <v>STRM</v>
      </c>
      <c r="D6466" s="122" t="str">
        <f>IFERROR(__xludf.DUMMYFUNCTION("""COMPUTED_VALUE"""),"Streamly")</f>
        <v>Streamly</v>
      </c>
      <c r="E6466" s="122">
        <f>IFERROR(__xludf.DUMMYFUNCTION("""COMPUTED_VALUE"""),137.44)</f>
        <v>137.44</v>
      </c>
      <c r="F6466" s="122">
        <f>IFERROR(__xludf.DUMMYFUNCTION("""COMPUTED_VALUE"""),-0.0055)</f>
        <v>-0.0055</v>
      </c>
    </row>
    <row r="6467">
      <c r="A6467" s="131">
        <f>IFERROR(__xludf.DUMMYFUNCTION("""COMPUTED_VALUE"""),46187.56119212963)</f>
        <v>46187.56119</v>
      </c>
      <c r="B6467" s="126">
        <f>IFERROR(__xludf.DUMMYFUNCTION("""COMPUTED_VALUE"""),46187.0)</f>
        <v>46187</v>
      </c>
      <c r="C6467" s="122" t="str">
        <f>IFERROR(__xludf.DUMMYFUNCTION("""COMPUTED_VALUE"""),"FARM")</f>
        <v>FARM</v>
      </c>
      <c r="D6467" s="122" t="str">
        <f>IFERROR(__xludf.DUMMYFUNCTION("""COMPUTED_VALUE"""),"Future Farms")</f>
        <v>Future Farms</v>
      </c>
      <c r="E6467" s="122">
        <f>IFERROR(__xludf.DUMMYFUNCTION("""COMPUTED_VALUE"""),92.72)</f>
        <v>92.72</v>
      </c>
      <c r="F6467" s="122">
        <f>IFERROR(__xludf.DUMMYFUNCTION("""COMPUTED_VALUE"""),-4.0E-4)</f>
        <v>-0.0004</v>
      </c>
    </row>
    <row r="6468">
      <c r="A6468" s="131">
        <f>IFERROR(__xludf.DUMMYFUNCTION("""COMPUTED_VALUE"""),46187.56119212963)</f>
        <v>46187.56119</v>
      </c>
      <c r="B6468" s="126">
        <f>IFERROR(__xludf.DUMMYFUNCTION("""COMPUTED_VALUE"""),46187.0)</f>
        <v>46187</v>
      </c>
      <c r="C6468" s="122" t="str">
        <f>IFERROR(__xludf.DUMMYFUNCTION("""COMPUTED_VALUE"""),"MEAT")</f>
        <v>MEAT</v>
      </c>
      <c r="D6468" s="122" t="str">
        <f>IFERROR(__xludf.DUMMYFUNCTION("""COMPUTED_VALUE"""),"MeatWorks")</f>
        <v>MeatWorks</v>
      </c>
      <c r="E6468" s="122">
        <f>IFERROR(__xludf.DUMMYFUNCTION("""COMPUTED_VALUE"""),107.62)</f>
        <v>107.62</v>
      </c>
      <c r="F6468" s="122">
        <f>IFERROR(__xludf.DUMMYFUNCTION("""COMPUTED_VALUE"""),0.0078)</f>
        <v>0.0078</v>
      </c>
    </row>
    <row r="6469">
      <c r="A6469" s="131">
        <f>IFERROR(__xludf.DUMMYFUNCTION("""COMPUTED_VALUE"""),46187.56119212963)</f>
        <v>46187.56119</v>
      </c>
      <c r="B6469" s="126">
        <f>IFERROR(__xludf.DUMMYFUNCTION("""COMPUTED_VALUE"""),46187.0)</f>
        <v>46187</v>
      </c>
      <c r="C6469" s="122" t="str">
        <f>IFERROR(__xludf.DUMMYFUNCTION("""COMPUTED_VALUE"""),"VEGI")</f>
        <v>VEGI</v>
      </c>
      <c r="D6469" s="122" t="str">
        <f>IFERROR(__xludf.DUMMYFUNCTION("""COMPUTED_VALUE"""),"Green Basket")</f>
        <v>Green Basket</v>
      </c>
      <c r="E6469" s="122">
        <f>IFERROR(__xludf.DUMMYFUNCTION("""COMPUTED_VALUE"""),78.13)</f>
        <v>78.13</v>
      </c>
      <c r="F6469" s="122">
        <f>IFERROR(__xludf.DUMMYFUNCTION("""COMPUTED_VALUE"""),6.0E-4)</f>
        <v>0.0006</v>
      </c>
    </row>
    <row r="6470">
      <c r="A6470" s="131">
        <f>IFERROR(__xludf.DUMMYFUNCTION("""COMPUTED_VALUE"""),46187.56119212963)</f>
        <v>46187.56119</v>
      </c>
      <c r="B6470" s="126">
        <f>IFERROR(__xludf.DUMMYFUNCTION("""COMPUTED_VALUE"""),46187.0)</f>
        <v>46187</v>
      </c>
      <c r="C6470" s="122" t="str">
        <f>IFERROR(__xludf.DUMMYFUNCTION("""COMPUTED_VALUE"""),"CAFE")</f>
        <v>CAFE</v>
      </c>
      <c r="D6470" s="122" t="str">
        <f>IFERROR(__xludf.DUMMYFUNCTION("""COMPUTED_VALUE"""),"Cafe Cloud")</f>
        <v>Cafe Cloud</v>
      </c>
      <c r="E6470" s="122">
        <f>IFERROR(__xludf.DUMMYFUNCTION("""COMPUTED_VALUE"""),100.69)</f>
        <v>100.69</v>
      </c>
      <c r="F6470" s="122">
        <f>IFERROR(__xludf.DUMMYFUNCTION("""COMPUTED_VALUE"""),-0.0018)</f>
        <v>-0.0018</v>
      </c>
    </row>
    <row r="6471">
      <c r="A6471" s="131">
        <f>IFERROR(__xludf.DUMMYFUNCTION("""COMPUTED_VALUE"""),46187.56119212963)</f>
        <v>46187.56119</v>
      </c>
      <c r="B6471" s="126">
        <f>IFERROR(__xludf.DUMMYFUNCTION("""COMPUTED_VALUE"""),46187.0)</f>
        <v>46187</v>
      </c>
      <c r="C6471" s="122" t="str">
        <f>IFERROR(__xludf.DUMMYFUNCTION("""COMPUTED_VALUE"""),"BAKE")</f>
        <v>BAKE</v>
      </c>
      <c r="D6471" s="122" t="str">
        <f>IFERROR(__xludf.DUMMYFUNCTION("""COMPUTED_VALUE"""),"BakeHouse")</f>
        <v>BakeHouse</v>
      </c>
      <c r="E6471" s="122">
        <f>IFERROR(__xludf.DUMMYFUNCTION("""COMPUTED_VALUE"""),101.92)</f>
        <v>101.92</v>
      </c>
      <c r="F6471" s="122">
        <f>IFERROR(__xludf.DUMMYFUNCTION("""COMPUTED_VALUE"""),0.0046)</f>
        <v>0.0046</v>
      </c>
    </row>
    <row r="6472">
      <c r="A6472" s="131">
        <f>IFERROR(__xludf.DUMMYFUNCTION("""COMPUTED_VALUE"""),46187.56119212963)</f>
        <v>46187.56119</v>
      </c>
      <c r="B6472" s="126">
        <f>IFERROR(__xludf.DUMMYFUNCTION("""COMPUTED_VALUE"""),46187.0)</f>
        <v>46187</v>
      </c>
      <c r="C6472" s="122" t="str">
        <f>IFERROR(__xludf.DUMMYFUNCTION("""COMPUTED_VALUE"""),"OILX")</f>
        <v>OILX</v>
      </c>
      <c r="D6472" s="122" t="str">
        <f>IFERROR(__xludf.DUMMYFUNCTION("""COMPUTED_VALUE"""),"OilMax Energy")</f>
        <v>OilMax Energy</v>
      </c>
      <c r="E6472" s="122">
        <f>IFERROR(__xludf.DUMMYFUNCTION("""COMPUTED_VALUE"""),130.97)</f>
        <v>130.97</v>
      </c>
      <c r="F6472" s="122">
        <f>IFERROR(__xludf.DUMMYFUNCTION("""COMPUTED_VALUE"""),0.0062)</f>
        <v>0.0062</v>
      </c>
    </row>
    <row r="6473">
      <c r="A6473" s="131">
        <f>IFERROR(__xludf.DUMMYFUNCTION("""COMPUTED_VALUE"""),46187.56119212963)</f>
        <v>46187.56119</v>
      </c>
      <c r="B6473" s="126">
        <f>IFERROR(__xludf.DUMMYFUNCTION("""COMPUTED_VALUE"""),46187.0)</f>
        <v>46187</v>
      </c>
      <c r="C6473" s="122" t="str">
        <f>IFERROR(__xludf.DUMMYFUNCTION("""COMPUTED_VALUE"""),"SOLR")</f>
        <v>SOLR</v>
      </c>
      <c r="D6473" s="122" t="str">
        <f>IFERROR(__xludf.DUMMYFUNCTION("""COMPUTED_VALUE"""),"SolarSpark")</f>
        <v>SolarSpark</v>
      </c>
      <c r="E6473" s="122">
        <f>IFERROR(__xludf.DUMMYFUNCTION("""COMPUTED_VALUE"""),100.98)</f>
        <v>100.98</v>
      </c>
      <c r="F6473" s="122">
        <f>IFERROR(__xludf.DUMMYFUNCTION("""COMPUTED_VALUE"""),0.0047)</f>
        <v>0.0047</v>
      </c>
    </row>
    <row r="6474">
      <c r="A6474" s="131">
        <f>IFERROR(__xludf.DUMMYFUNCTION("""COMPUTED_VALUE"""),46187.56119212963)</f>
        <v>46187.56119</v>
      </c>
      <c r="B6474" s="126">
        <f>IFERROR(__xludf.DUMMYFUNCTION("""COMPUTED_VALUE"""),46187.0)</f>
        <v>46187</v>
      </c>
      <c r="C6474" s="122" t="str">
        <f>IFERROR(__xludf.DUMMYFUNCTION("""COMPUTED_VALUE"""),"BATT")</f>
        <v>BATT</v>
      </c>
      <c r="D6474" s="122" t="str">
        <f>IFERROR(__xludf.DUMMYFUNCTION("""COMPUTED_VALUE"""),"BatteryBox")</f>
        <v>BatteryBox</v>
      </c>
      <c r="E6474" s="122">
        <f>IFERROR(__xludf.DUMMYFUNCTION("""COMPUTED_VALUE"""),119.58)</f>
        <v>119.58</v>
      </c>
      <c r="F6474" s="122">
        <f>IFERROR(__xludf.DUMMYFUNCTION("""COMPUTED_VALUE"""),0.01)</f>
        <v>0.01</v>
      </c>
    </row>
    <row r="6475">
      <c r="A6475" s="131">
        <f>IFERROR(__xludf.DUMMYFUNCTION("""COMPUTED_VALUE"""),46187.56119212963)</f>
        <v>46187.56119</v>
      </c>
      <c r="B6475" s="126">
        <f>IFERROR(__xludf.DUMMYFUNCTION("""COMPUTED_VALUE"""),46187.0)</f>
        <v>46187</v>
      </c>
      <c r="C6475" s="122" t="str">
        <f>IFERROR(__xludf.DUMMYFUNCTION("""COMPUTED_VALUE"""),"WIND")</f>
        <v>WIND</v>
      </c>
      <c r="D6475" s="122" t="str">
        <f>IFERROR(__xludf.DUMMYFUNCTION("""COMPUTED_VALUE"""),"WindWorks")</f>
        <v>WindWorks</v>
      </c>
      <c r="E6475" s="122">
        <f>IFERROR(__xludf.DUMMYFUNCTION("""COMPUTED_VALUE"""),87.73)</f>
        <v>87.73</v>
      </c>
      <c r="F6475" s="122">
        <f>IFERROR(__xludf.DUMMYFUNCTION("""COMPUTED_VALUE"""),0.0047)</f>
        <v>0.0047</v>
      </c>
    </row>
    <row r="6476">
      <c r="A6476" s="131">
        <f>IFERROR(__xludf.DUMMYFUNCTION("""COMPUTED_VALUE"""),46187.56119212963)</f>
        <v>46187.56119</v>
      </c>
      <c r="B6476" s="126">
        <f>IFERROR(__xludf.DUMMYFUNCTION("""COMPUTED_VALUE"""),46187.0)</f>
        <v>46187</v>
      </c>
      <c r="C6476" s="122" t="str">
        <f>IFERROR(__xludf.DUMMYFUNCTION("""COMPUTED_VALUE"""),"GRID")</f>
        <v>GRID</v>
      </c>
      <c r="D6476" s="122" t="str">
        <f>IFERROR(__xludf.DUMMYFUNCTION("""COMPUTED_VALUE"""),"GridPower")</f>
        <v>GridPower</v>
      </c>
      <c r="E6476" s="122">
        <f>IFERROR(__xludf.DUMMYFUNCTION("""COMPUTED_VALUE"""),132.26)</f>
        <v>132.26</v>
      </c>
      <c r="F6476" s="122">
        <f>IFERROR(__xludf.DUMMYFUNCTION("""COMPUTED_VALUE"""),-0.0047)</f>
        <v>-0.0047</v>
      </c>
    </row>
    <row r="6477">
      <c r="A6477" s="131">
        <f>IFERROR(__xludf.DUMMYFUNCTION("""COMPUTED_VALUE"""),46187.56119212963)</f>
        <v>46187.56119</v>
      </c>
      <c r="B6477" s="126">
        <f>IFERROR(__xludf.DUMMYFUNCTION("""COMPUTED_VALUE"""),46187.0)</f>
        <v>46187</v>
      </c>
      <c r="C6477" s="122" t="str">
        <f>IFERROR(__xludf.DUMMYFUNCTION("""COMPUTED_VALUE"""),"HOME")</f>
        <v>HOME</v>
      </c>
      <c r="D6477" s="122" t="str">
        <f>IFERROR(__xludf.DUMMYFUNCTION("""COMPUTED_VALUE"""),"HomeHub")</f>
        <v>HomeHub</v>
      </c>
      <c r="E6477" s="122">
        <f>IFERROR(__xludf.DUMMYFUNCTION("""COMPUTED_VALUE"""),155.58)</f>
        <v>155.58</v>
      </c>
      <c r="F6477" s="122">
        <f>IFERROR(__xludf.DUMMYFUNCTION("""COMPUTED_VALUE"""),0.0035)</f>
        <v>0.0035</v>
      </c>
    </row>
    <row r="6478">
      <c r="A6478" s="131">
        <f>IFERROR(__xludf.DUMMYFUNCTION("""COMPUTED_VALUE"""),46187.56119212963)</f>
        <v>46187.56119</v>
      </c>
      <c r="B6478" s="126">
        <f>IFERROR(__xludf.DUMMYFUNCTION("""COMPUTED_VALUE"""),46187.0)</f>
        <v>46187</v>
      </c>
      <c r="C6478" s="122" t="str">
        <f>IFERROR(__xludf.DUMMYFUNCTION("""COMPUTED_VALUE"""),"RENT")</f>
        <v>RENT</v>
      </c>
      <c r="D6478" s="122" t="str">
        <f>IFERROR(__xludf.DUMMYFUNCTION("""COMPUTED_VALUE"""),"RentRight")</f>
        <v>RentRight</v>
      </c>
      <c r="E6478" s="122">
        <f>IFERROR(__xludf.DUMMYFUNCTION("""COMPUTED_VALUE"""),90.6)</f>
        <v>90.6</v>
      </c>
      <c r="F6478" s="122">
        <f>IFERROR(__xludf.DUMMYFUNCTION("""COMPUTED_VALUE"""),-6.0E-4)</f>
        <v>-0.0006</v>
      </c>
    </row>
    <row r="6479">
      <c r="A6479" s="131">
        <f>IFERROR(__xludf.DUMMYFUNCTION("""COMPUTED_VALUE"""),46187.56119212963)</f>
        <v>46187.56119</v>
      </c>
      <c r="B6479" s="126">
        <f>IFERROR(__xludf.DUMMYFUNCTION("""COMPUTED_VALUE"""),46187.0)</f>
        <v>46187</v>
      </c>
      <c r="C6479" s="122" t="str">
        <f>IFERROR(__xludf.DUMMYFUNCTION("""COMPUTED_VALUE"""),"MALL")</f>
        <v>MALL</v>
      </c>
      <c r="D6479" s="122" t="str">
        <f>IFERROR(__xludf.DUMMYFUNCTION("""COMPUTED_VALUE"""),"MegaMall")</f>
        <v>MegaMall</v>
      </c>
      <c r="E6479" s="122">
        <f>IFERROR(__xludf.DUMMYFUNCTION("""COMPUTED_VALUE"""),100.48)</f>
        <v>100.48</v>
      </c>
      <c r="F6479" s="122">
        <f>IFERROR(__xludf.DUMMYFUNCTION("""COMPUTED_VALUE"""),-0.0051)</f>
        <v>-0.0051</v>
      </c>
    </row>
    <row r="6480">
      <c r="A6480" s="131">
        <f>IFERROR(__xludf.DUMMYFUNCTION("""COMPUTED_VALUE"""),46187.56119212963)</f>
        <v>46187.56119</v>
      </c>
      <c r="B6480" s="126">
        <f>IFERROR(__xludf.DUMMYFUNCTION("""COMPUTED_VALUE"""),46187.0)</f>
        <v>46187</v>
      </c>
      <c r="C6480" s="122" t="str">
        <f>IFERROR(__xludf.DUMMYFUNCTION("""COMPUTED_VALUE"""),"HOTL")</f>
        <v>HOTL</v>
      </c>
      <c r="D6480" s="122" t="str">
        <f>IFERROR(__xludf.DUMMYFUNCTION("""COMPUTED_VALUE"""),"HotelHive")</f>
        <v>HotelHive</v>
      </c>
      <c r="E6480" s="122">
        <f>IFERROR(__xludf.DUMMYFUNCTION("""COMPUTED_VALUE"""),127.15)</f>
        <v>127.15</v>
      </c>
      <c r="F6480" s="122">
        <f>IFERROR(__xludf.DUMMYFUNCTION("""COMPUTED_VALUE"""),0.0014)</f>
        <v>0.0014</v>
      </c>
    </row>
    <row r="6481">
      <c r="A6481" s="131">
        <f>IFERROR(__xludf.DUMMYFUNCTION("""COMPUTED_VALUE"""),46187.56119212963)</f>
        <v>46187.56119</v>
      </c>
      <c r="B6481" s="126">
        <f>IFERROR(__xludf.DUMMYFUNCTION("""COMPUTED_VALUE"""),46187.0)</f>
        <v>46187</v>
      </c>
      <c r="C6481" s="122" t="str">
        <f>IFERROR(__xludf.DUMMYFUNCTION("""COMPUTED_VALUE"""),"LAND")</f>
        <v>LAND</v>
      </c>
      <c r="D6481" s="122" t="str">
        <f>IFERROR(__xludf.DUMMYFUNCTION("""COMPUTED_VALUE"""),"LandLink")</f>
        <v>LandLink</v>
      </c>
      <c r="E6481" s="122">
        <f>IFERROR(__xludf.DUMMYFUNCTION("""COMPUTED_VALUE"""),184.59)</f>
        <v>184.59</v>
      </c>
      <c r="F6481" s="122">
        <f>IFERROR(__xludf.DUMMYFUNCTION("""COMPUTED_VALUE"""),0.0052)</f>
        <v>0.0052</v>
      </c>
    </row>
    <row r="6482">
      <c r="A6482" s="131">
        <f>IFERROR(__xludf.DUMMYFUNCTION("""COMPUTED_VALUE"""),46187.56119212963)</f>
        <v>46187.56119</v>
      </c>
      <c r="B6482" s="126">
        <f>IFERROR(__xludf.DUMMYFUNCTION("""COMPUTED_VALUE"""),46187.0)</f>
        <v>46187</v>
      </c>
      <c r="C6482" s="122" t="str">
        <f>IFERROR(__xludf.DUMMYFUNCTION("""COMPUTED_VALUE"""),"CARS")</f>
        <v>CARS</v>
      </c>
      <c r="D6482" s="122" t="str">
        <f>IFERROR(__xludf.DUMMYFUNCTION("""COMPUTED_VALUE"""),"AutoArena")</f>
        <v>AutoArena</v>
      </c>
      <c r="E6482" s="122">
        <f>IFERROR(__xludf.DUMMYFUNCTION("""COMPUTED_VALUE"""),82.36)</f>
        <v>82.36</v>
      </c>
      <c r="F6482" s="122">
        <f>IFERROR(__xludf.DUMMYFUNCTION("""COMPUTED_VALUE"""),0.0106)</f>
        <v>0.0106</v>
      </c>
    </row>
    <row r="6483">
      <c r="A6483" s="131">
        <f>IFERROR(__xludf.DUMMYFUNCTION("""COMPUTED_VALUE"""),46187.56119212963)</f>
        <v>46187.56119</v>
      </c>
      <c r="B6483" s="126">
        <f>IFERROR(__xludf.DUMMYFUNCTION("""COMPUTED_VALUE"""),46187.0)</f>
        <v>46187</v>
      </c>
      <c r="C6483" s="122" t="str">
        <f>IFERROR(__xludf.DUMMYFUNCTION("""COMPUTED_VALUE"""),"EVGO")</f>
        <v>EVGO</v>
      </c>
      <c r="D6483" s="122" t="str">
        <f>IFERROR(__xludf.DUMMYFUNCTION("""COMPUTED_VALUE"""),"EVGo Motors")</f>
        <v>EVGo Motors</v>
      </c>
      <c r="E6483" s="122">
        <f>IFERROR(__xludf.DUMMYFUNCTION("""COMPUTED_VALUE"""),181.35)</f>
        <v>181.35</v>
      </c>
      <c r="F6483" s="122">
        <f>IFERROR(__xludf.DUMMYFUNCTION("""COMPUTED_VALUE"""),-0.0086)</f>
        <v>-0.0086</v>
      </c>
    </row>
    <row r="6484">
      <c r="A6484" s="131">
        <f>IFERROR(__xludf.DUMMYFUNCTION("""COMPUTED_VALUE"""),46187.56119212963)</f>
        <v>46187.56119</v>
      </c>
      <c r="B6484" s="126">
        <f>IFERROR(__xludf.DUMMYFUNCTION("""COMPUTED_VALUE"""),46187.0)</f>
        <v>46187</v>
      </c>
      <c r="C6484" s="122" t="str">
        <f>IFERROR(__xludf.DUMMYFUNCTION("""COMPUTED_VALUE"""),"TIRE")</f>
        <v>TIRE</v>
      </c>
      <c r="D6484" s="122" t="str">
        <f>IFERROR(__xludf.DUMMYFUNCTION("""COMPUTED_VALUE"""),"TireTown")</f>
        <v>TireTown</v>
      </c>
      <c r="E6484" s="122">
        <f>IFERROR(__xludf.DUMMYFUNCTION("""COMPUTED_VALUE"""),96.87)</f>
        <v>96.87</v>
      </c>
      <c r="F6484" s="122">
        <f>IFERROR(__xludf.DUMMYFUNCTION("""COMPUTED_VALUE"""),-0.001)</f>
        <v>-0.001</v>
      </c>
    </row>
    <row r="6485">
      <c r="A6485" s="131">
        <f>IFERROR(__xludf.DUMMYFUNCTION("""COMPUTED_VALUE"""),46187.56119212963)</f>
        <v>46187.56119</v>
      </c>
      <c r="B6485" s="126">
        <f>IFERROR(__xludf.DUMMYFUNCTION("""COMPUTED_VALUE"""),46187.0)</f>
        <v>46187</v>
      </c>
      <c r="C6485" s="122" t="str">
        <f>IFERROR(__xludf.DUMMYFUNCTION("""COMPUTED_VALUE"""),"BIKE")</f>
        <v>BIKE</v>
      </c>
      <c r="D6485" s="122" t="str">
        <f>IFERROR(__xludf.DUMMYFUNCTION("""COMPUTED_VALUE"""),"BikeBox")</f>
        <v>BikeBox</v>
      </c>
      <c r="E6485" s="122">
        <f>IFERROR(__xludf.DUMMYFUNCTION("""COMPUTED_VALUE"""),51.88)</f>
        <v>51.88</v>
      </c>
      <c r="F6485" s="122">
        <f>IFERROR(__xludf.DUMMYFUNCTION("""COMPUTED_VALUE"""),-0.0012)</f>
        <v>-0.0012</v>
      </c>
    </row>
    <row r="6486">
      <c r="A6486" s="131">
        <f>IFERROR(__xludf.DUMMYFUNCTION("""COMPUTED_VALUE"""),46187.56119212963)</f>
        <v>46187.56119</v>
      </c>
      <c r="B6486" s="126">
        <f>IFERROR(__xludf.DUMMYFUNCTION("""COMPUTED_VALUE"""),46187.0)</f>
        <v>46187</v>
      </c>
      <c r="C6486" s="122" t="str">
        <f>IFERROR(__xludf.DUMMYFUNCTION("""COMPUTED_VALUE"""),"WASH")</f>
        <v>WASH</v>
      </c>
      <c r="D6486" s="122" t="str">
        <f>IFERROR(__xludf.DUMMYFUNCTION("""COMPUTED_VALUE"""),"CarWash Co")</f>
        <v>CarWash Co</v>
      </c>
      <c r="E6486" s="122">
        <f>IFERROR(__xludf.DUMMYFUNCTION("""COMPUTED_VALUE"""),119.54)</f>
        <v>119.54</v>
      </c>
      <c r="F6486" s="122">
        <f>IFERROR(__xludf.DUMMYFUNCTION("""COMPUTED_VALUE"""),0.0019)</f>
        <v>0.0019</v>
      </c>
    </row>
    <row r="6487">
      <c r="A6487" s="131">
        <f>IFERROR(__xludf.DUMMYFUNCTION("""COMPUTED_VALUE"""),46187.56119212963)</f>
        <v>46187.56119</v>
      </c>
      <c r="B6487" s="126">
        <f>IFERROR(__xludf.DUMMYFUNCTION("""COMPUTED_VALUE"""),46187.0)</f>
        <v>46187</v>
      </c>
      <c r="C6487" s="122" t="str">
        <f>IFERROR(__xludf.DUMMYFUNCTION("""COMPUTED_VALUE"""),"GBND")</f>
        <v>GBND</v>
      </c>
      <c r="D6487" s="122" t="str">
        <f>IFERROR(__xludf.DUMMYFUNCTION("""COMPUTED_VALUE"""),"Classroom Government Bond")</f>
        <v>Classroom Government Bond</v>
      </c>
      <c r="E6487" s="122">
        <f>IFERROR(__xludf.DUMMYFUNCTION("""COMPUTED_VALUE"""),101.13)</f>
        <v>101.13</v>
      </c>
      <c r="F6487" s="122">
        <f>IFERROR(__xludf.DUMMYFUNCTION("""COMPUTED_VALUE"""),-4.0E-4)</f>
        <v>-0.0004</v>
      </c>
    </row>
    <row r="6488">
      <c r="A6488" s="131">
        <f>IFERROR(__xludf.DUMMYFUNCTION("""COMPUTED_VALUE"""),46187.56119212963)</f>
        <v>46187.56119</v>
      </c>
      <c r="B6488" s="126">
        <f>IFERROR(__xludf.DUMMYFUNCTION("""COMPUTED_VALUE"""),46187.0)</f>
        <v>46187</v>
      </c>
      <c r="C6488" s="122" t="str">
        <f>IFERROR(__xludf.DUMMYFUNCTION("""COMPUTED_VALUE"""),"SBND")</f>
        <v>SBND</v>
      </c>
      <c r="D6488" s="122" t="str">
        <f>IFERROR(__xludf.DUMMYFUNCTION("""COMPUTED_VALUE"""),"School Savings Bond")</f>
        <v>School Savings Bond</v>
      </c>
      <c r="E6488" s="122">
        <f>IFERROR(__xludf.DUMMYFUNCTION("""COMPUTED_VALUE"""),99.31)</f>
        <v>99.31</v>
      </c>
      <c r="F6488" s="122">
        <f>IFERROR(__xludf.DUMMYFUNCTION("""COMPUTED_VALUE"""),4.0E-4)</f>
        <v>0.0004</v>
      </c>
    </row>
    <row r="6489">
      <c r="A6489" s="131">
        <f>IFERROR(__xludf.DUMMYFUNCTION("""COMPUTED_VALUE"""),46187.56119212963)</f>
        <v>46187.56119</v>
      </c>
      <c r="B6489" s="126">
        <f>IFERROR(__xludf.DUMMYFUNCTION("""COMPUTED_VALUE"""),46187.0)</f>
        <v>46187</v>
      </c>
      <c r="C6489" s="122" t="str">
        <f>IFERROR(__xludf.DUMMYFUNCTION("""COMPUTED_VALUE"""),"CBND")</f>
        <v>CBND</v>
      </c>
      <c r="D6489" s="122" t="str">
        <f>IFERROR(__xludf.DUMMYFUNCTION("""COMPUTED_VALUE"""),"Corporate Classroom Bond")</f>
        <v>Corporate Classroom Bond</v>
      </c>
      <c r="E6489" s="122">
        <f>IFERROR(__xludf.DUMMYFUNCTION("""COMPUTED_VALUE"""),97.83)</f>
        <v>97.83</v>
      </c>
      <c r="F6489" s="122">
        <f>IFERROR(__xludf.DUMMYFUNCTION("""COMPUTED_VALUE"""),3.0E-4)</f>
        <v>0.0003</v>
      </c>
    </row>
    <row r="6490">
      <c r="A6490" s="131">
        <f>IFERROR(__xludf.DUMMYFUNCTION("""COMPUTED_VALUE"""),46187.56119212963)</f>
        <v>46187.56119</v>
      </c>
      <c r="B6490" s="126">
        <f>IFERROR(__xludf.DUMMYFUNCTION("""COMPUTED_VALUE"""),46187.0)</f>
        <v>46187</v>
      </c>
      <c r="C6490" s="122" t="str">
        <f>IFERROR(__xludf.DUMMYFUNCTION("""COMPUTED_VALUE"""),"TBIL")</f>
        <v>TBIL</v>
      </c>
      <c r="D6490" s="122" t="str">
        <f>IFERROR(__xludf.DUMMYFUNCTION("""COMPUTED_VALUE"""),"Treasury Bill")</f>
        <v>Treasury Bill</v>
      </c>
      <c r="E6490" s="122">
        <f>IFERROR(__xludf.DUMMYFUNCTION("""COMPUTED_VALUE"""),97.96)</f>
        <v>97.96</v>
      </c>
      <c r="F6490" s="122">
        <f>IFERROR(__xludf.DUMMYFUNCTION("""COMPUTED_VALUE"""),-3.0E-4)</f>
        <v>-0.0003</v>
      </c>
    </row>
    <row r="6491">
      <c r="A6491" s="131">
        <f>IFERROR(__xludf.DUMMYFUNCTION("""COMPUTED_VALUE"""),46187.56119212963)</f>
        <v>46187.56119</v>
      </c>
      <c r="B6491" s="126">
        <f>IFERROR(__xludf.DUMMYFUNCTION("""COMPUTED_VALUE"""),46187.0)</f>
        <v>46187</v>
      </c>
      <c r="C6491" s="122" t="str">
        <f>IFERROR(__xludf.DUMMYFUNCTION("""COMPUTED_VALUE"""),"IBND")</f>
        <v>IBND</v>
      </c>
      <c r="D6491" s="122" t="str">
        <f>IFERROR(__xludf.DUMMYFUNCTION("""COMPUTED_VALUE"""),"Inflation Protected Bond")</f>
        <v>Inflation Protected Bond</v>
      </c>
      <c r="E6491" s="122">
        <f>IFERROR(__xludf.DUMMYFUNCTION("""COMPUTED_VALUE"""),100.86)</f>
        <v>100.86</v>
      </c>
      <c r="F6491" s="122">
        <f>IFERROR(__xludf.DUMMYFUNCTION("""COMPUTED_VALUE"""),0.0)</f>
        <v>0</v>
      </c>
    </row>
    <row r="6492">
      <c r="A6492" s="131">
        <f>IFERROR(__xludf.DUMMYFUNCTION("""COMPUTED_VALUE"""),46187.564155092594)</f>
        <v>46187.56416</v>
      </c>
      <c r="B6492" s="126">
        <f>IFERROR(__xludf.DUMMYFUNCTION("""COMPUTED_VALUE"""),46187.0)</f>
        <v>46187</v>
      </c>
      <c r="C6492" s="122" t="str">
        <f>IFERROR(__xludf.DUMMYFUNCTION("""COMPUTED_VALUE"""),"SNAX")</f>
        <v>SNAX</v>
      </c>
      <c r="D6492" s="122" t="str">
        <f>IFERROR(__xludf.DUMMYFUNCTION("""COMPUTED_VALUE"""),"MICA Snacks")</f>
        <v>MICA Snacks</v>
      </c>
      <c r="E6492" s="122">
        <f>IFERROR(__xludf.DUMMYFUNCTION("""COMPUTED_VALUE"""),120.79)</f>
        <v>120.79</v>
      </c>
      <c r="F6492" s="122">
        <f>IFERROR(__xludf.DUMMYFUNCTION("""COMPUTED_VALUE"""),0.0026)</f>
        <v>0.0026</v>
      </c>
    </row>
    <row r="6493">
      <c r="A6493" s="131">
        <f>IFERROR(__xludf.DUMMYFUNCTION("""COMPUTED_VALUE"""),46187.564155092594)</f>
        <v>46187.56416</v>
      </c>
      <c r="B6493" s="126">
        <f>IFERROR(__xludf.DUMMYFUNCTION("""COMPUTED_VALUE"""),46187.0)</f>
        <v>46187</v>
      </c>
      <c r="C6493" s="122" t="str">
        <f>IFERROR(__xludf.DUMMYFUNCTION("""COMPUTED_VALUE"""),"RAMN")</f>
        <v>RAMN</v>
      </c>
      <c r="D6493" s="122" t="str">
        <f>IFERROR(__xludf.DUMMYFUNCTION("""COMPUTED_VALUE"""),"Ramen Republic")</f>
        <v>Ramen Republic</v>
      </c>
      <c r="E6493" s="122">
        <f>IFERROR(__xludf.DUMMYFUNCTION("""COMPUTED_VALUE"""),65.48)</f>
        <v>65.48</v>
      </c>
      <c r="F6493" s="122">
        <f>IFERROR(__xludf.DUMMYFUNCTION("""COMPUTED_VALUE"""),-0.0056)</f>
        <v>-0.0056</v>
      </c>
    </row>
    <row r="6494">
      <c r="A6494" s="131">
        <f>IFERROR(__xludf.DUMMYFUNCTION("""COMPUTED_VALUE"""),46187.564155092594)</f>
        <v>46187.56416</v>
      </c>
      <c r="B6494" s="126">
        <f>IFERROR(__xludf.DUMMYFUNCTION("""COMPUTED_VALUE"""),46187.0)</f>
        <v>46187</v>
      </c>
      <c r="C6494" s="122" t="str">
        <f>IFERROR(__xludf.DUMMYFUNCTION("""COMPUTED_VALUE"""),"COLA")</f>
        <v>COLA</v>
      </c>
      <c r="D6494" s="122" t="str">
        <f>IFERROR(__xludf.DUMMYFUNCTION("""COMPUTED_VALUE"""),"K-Pop Cola")</f>
        <v>K-Pop Cola</v>
      </c>
      <c r="E6494" s="122">
        <f>IFERROR(__xludf.DUMMYFUNCTION("""COMPUTED_VALUE"""),114.82)</f>
        <v>114.82</v>
      </c>
      <c r="F6494" s="122">
        <f>IFERROR(__xludf.DUMMYFUNCTION("""COMPUTED_VALUE"""),0.0054)</f>
        <v>0.0054</v>
      </c>
    </row>
    <row r="6495">
      <c r="A6495" s="131">
        <f>IFERROR(__xludf.DUMMYFUNCTION("""COMPUTED_VALUE"""),46187.564155092594)</f>
        <v>46187.56416</v>
      </c>
      <c r="B6495" s="126">
        <f>IFERROR(__xludf.DUMMYFUNCTION("""COMPUTED_VALUE"""),46187.0)</f>
        <v>46187</v>
      </c>
      <c r="C6495" s="122" t="str">
        <f>IFERROR(__xludf.DUMMYFUNCTION("""COMPUTED_VALUE"""),"CHIP")</f>
        <v>CHIP</v>
      </c>
      <c r="D6495" s="122" t="str">
        <f>IFERROR(__xludf.DUMMYFUNCTION("""COMPUTED_VALUE"""),"Chip Empire")</f>
        <v>Chip Empire</v>
      </c>
      <c r="E6495" s="122">
        <f>IFERROR(__xludf.DUMMYFUNCTION("""COMPUTED_VALUE"""),82.99)</f>
        <v>82.99</v>
      </c>
      <c r="F6495" s="122">
        <f>IFERROR(__xludf.DUMMYFUNCTION("""COMPUTED_VALUE"""),-0.0077)</f>
        <v>-0.0077</v>
      </c>
    </row>
    <row r="6496">
      <c r="A6496" s="131">
        <f>IFERROR(__xludf.DUMMYFUNCTION("""COMPUTED_VALUE"""),46187.564155092594)</f>
        <v>46187.56416</v>
      </c>
      <c r="B6496" s="126">
        <f>IFERROR(__xludf.DUMMYFUNCTION("""COMPUTED_VALUE"""),46187.0)</f>
        <v>46187</v>
      </c>
      <c r="C6496" s="122" t="str">
        <f>IFERROR(__xludf.DUMMYFUNCTION("""COMPUTED_VALUE"""),"CAND")</f>
        <v>CAND</v>
      </c>
      <c r="D6496" s="122" t="str">
        <f>IFERROR(__xludf.DUMMYFUNCTION("""COMPUTED_VALUE"""),"Candy Capital")</f>
        <v>Candy Capital</v>
      </c>
      <c r="E6496" s="122">
        <f>IFERROR(__xludf.DUMMYFUNCTION("""COMPUTED_VALUE"""),76.49)</f>
        <v>76.49</v>
      </c>
      <c r="F6496" s="122">
        <f>IFERROR(__xludf.DUMMYFUNCTION("""COMPUTED_VALUE"""),-0.0058)</f>
        <v>-0.0058</v>
      </c>
    </row>
    <row r="6497">
      <c r="A6497" s="131">
        <f>IFERROR(__xludf.DUMMYFUNCTION("""COMPUTED_VALUE"""),46187.564155092594)</f>
        <v>46187.56416</v>
      </c>
      <c r="B6497" s="126">
        <f>IFERROR(__xludf.DUMMYFUNCTION("""COMPUTED_VALUE"""),46187.0)</f>
        <v>46187</v>
      </c>
      <c r="C6497" s="122" t="str">
        <f>IFERROR(__xludf.DUMMYFUNCTION("""COMPUTED_VALUE"""),"TECH")</f>
        <v>TECH</v>
      </c>
      <c r="D6497" s="122" t="str">
        <f>IFERROR(__xludf.DUMMYFUNCTION("""COMPUTED_VALUE"""),"Dragon Tech")</f>
        <v>Dragon Tech</v>
      </c>
      <c r="E6497" s="122">
        <f>IFERROR(__xludf.DUMMYFUNCTION("""COMPUTED_VALUE"""),250.39)</f>
        <v>250.39</v>
      </c>
      <c r="F6497" s="122">
        <f>IFERROR(__xludf.DUMMYFUNCTION("""COMPUTED_VALUE"""),0.0073)</f>
        <v>0.0073</v>
      </c>
    </row>
    <row r="6498">
      <c r="A6498" s="131">
        <f>IFERROR(__xludf.DUMMYFUNCTION("""COMPUTED_VALUE"""),46187.564155092594)</f>
        <v>46187.56416</v>
      </c>
      <c r="B6498" s="126">
        <f>IFERROR(__xludf.DUMMYFUNCTION("""COMPUTED_VALUE"""),46187.0)</f>
        <v>46187</v>
      </c>
      <c r="C6498" s="122" t="str">
        <f>IFERROR(__xludf.DUMMYFUNCTION("""COMPUTED_VALUE"""),"AIBO")</f>
        <v>AIBO</v>
      </c>
      <c r="D6498" s="122" t="str">
        <f>IFERROR(__xludf.DUMMYFUNCTION("""COMPUTED_VALUE"""),"Homework AI")</f>
        <v>Homework AI</v>
      </c>
      <c r="E6498" s="122">
        <f>IFERROR(__xludf.DUMMYFUNCTION("""COMPUTED_VALUE"""),183.99)</f>
        <v>183.99</v>
      </c>
      <c r="F6498" s="122">
        <f>IFERROR(__xludf.DUMMYFUNCTION("""COMPUTED_VALUE"""),-0.0058)</f>
        <v>-0.0058</v>
      </c>
    </row>
    <row r="6499">
      <c r="A6499" s="131">
        <f>IFERROR(__xludf.DUMMYFUNCTION("""COMPUTED_VALUE"""),46187.564155092594)</f>
        <v>46187.56416</v>
      </c>
      <c r="B6499" s="126">
        <f>IFERROR(__xludf.DUMMYFUNCTION("""COMPUTED_VALUE"""),46187.0)</f>
        <v>46187</v>
      </c>
      <c r="C6499" s="122" t="str">
        <f>IFERROR(__xludf.DUMMYFUNCTION("""COMPUTED_VALUE"""),"GAME")</f>
        <v>GAME</v>
      </c>
      <c r="D6499" s="122" t="str">
        <f>IFERROR(__xludf.DUMMYFUNCTION("""COMPUTED_VALUE"""),"GameBox Media")</f>
        <v>GameBox Media</v>
      </c>
      <c r="E6499" s="122">
        <f>IFERROR(__xludf.DUMMYFUNCTION("""COMPUTED_VALUE"""),102.56)</f>
        <v>102.56</v>
      </c>
      <c r="F6499" s="122">
        <f>IFERROR(__xludf.DUMMYFUNCTION("""COMPUTED_VALUE"""),6.0E-4)</f>
        <v>0.0006</v>
      </c>
    </row>
    <row r="6500">
      <c r="A6500" s="131">
        <f>IFERROR(__xludf.DUMMYFUNCTION("""COMPUTED_VALUE"""),46187.564155092594)</f>
        <v>46187.56416</v>
      </c>
      <c r="B6500" s="126">
        <f>IFERROR(__xludf.DUMMYFUNCTION("""COMPUTED_VALUE"""),46187.0)</f>
        <v>46187</v>
      </c>
      <c r="C6500" s="122" t="str">
        <f>IFERROR(__xludf.DUMMYFUNCTION("""COMPUTED_VALUE"""),"VRSE")</f>
        <v>VRSE</v>
      </c>
      <c r="D6500" s="122" t="str">
        <f>IFERROR(__xludf.DUMMYFUNCTION("""COMPUTED_VALUE"""),"VerseVR")</f>
        <v>VerseVR</v>
      </c>
      <c r="E6500" s="122">
        <f>IFERROR(__xludf.DUMMYFUNCTION("""COMPUTED_VALUE"""),148.19)</f>
        <v>148.19</v>
      </c>
      <c r="F6500" s="122">
        <f>IFERROR(__xludf.DUMMYFUNCTION("""COMPUTED_VALUE"""),0.0073)</f>
        <v>0.0073</v>
      </c>
    </row>
    <row r="6501">
      <c r="A6501" s="131">
        <f>IFERROR(__xludf.DUMMYFUNCTION("""COMPUTED_VALUE"""),46187.564155092594)</f>
        <v>46187.56416</v>
      </c>
      <c r="B6501" s="126">
        <f>IFERROR(__xludf.DUMMYFUNCTION("""COMPUTED_VALUE"""),46187.0)</f>
        <v>46187</v>
      </c>
      <c r="C6501" s="122" t="str">
        <f>IFERROR(__xludf.DUMMYFUNCTION("""COMPUTED_VALUE"""),"BYTE")</f>
        <v>BYTE</v>
      </c>
      <c r="D6501" s="122" t="str">
        <f>IFERROR(__xludf.DUMMYFUNCTION("""COMPUTED_VALUE"""),"ByteWorks")</f>
        <v>ByteWorks</v>
      </c>
      <c r="E6501" s="122">
        <f>IFERROR(__xludf.DUMMYFUNCTION("""COMPUTED_VALUE"""),115.99)</f>
        <v>115.99</v>
      </c>
      <c r="F6501" s="122">
        <f>IFERROR(__xludf.DUMMYFUNCTION("""COMPUTED_VALUE"""),-0.0038)</f>
        <v>-0.0038</v>
      </c>
    </row>
    <row r="6502">
      <c r="A6502" s="131">
        <f>IFERROR(__xludf.DUMMYFUNCTION("""COMPUTED_VALUE"""),46187.564155092594)</f>
        <v>46187.56416</v>
      </c>
      <c r="B6502" s="126">
        <f>IFERROR(__xludf.DUMMYFUNCTION("""COMPUTED_VALUE"""),46187.0)</f>
        <v>46187</v>
      </c>
      <c r="C6502" s="122" t="str">
        <f>IFERROR(__xludf.DUMMYFUNCTION("""COMPUTED_VALUE"""),"BANK")</f>
        <v>BANK</v>
      </c>
      <c r="D6502" s="122" t="str">
        <f>IFERROR(__xludf.DUMMYFUNCTION("""COMPUTED_VALUE"""),"Tiger Bank")</f>
        <v>Tiger Bank</v>
      </c>
      <c r="E6502" s="122">
        <f>IFERROR(__xludf.DUMMYFUNCTION("""COMPUTED_VALUE"""),129.67)</f>
        <v>129.67</v>
      </c>
      <c r="F6502" s="122">
        <f>IFERROR(__xludf.DUMMYFUNCTION("""COMPUTED_VALUE"""),-0.0025)</f>
        <v>-0.0025</v>
      </c>
    </row>
    <row r="6503">
      <c r="A6503" s="131">
        <f>IFERROR(__xludf.DUMMYFUNCTION("""COMPUTED_VALUE"""),46187.564155092594)</f>
        <v>46187.56416</v>
      </c>
      <c r="B6503" s="126">
        <f>IFERROR(__xludf.DUMMYFUNCTION("""COMPUTED_VALUE"""),46187.0)</f>
        <v>46187</v>
      </c>
      <c r="C6503" s="122" t="str">
        <f>IFERROR(__xludf.DUMMYFUNCTION("""COMPUTED_VALUE"""),"CRED")</f>
        <v>CRED</v>
      </c>
      <c r="D6503" s="122" t="str">
        <f>IFERROR(__xludf.DUMMYFUNCTION("""COMPUTED_VALUE"""),"Credit Castle")</f>
        <v>Credit Castle</v>
      </c>
      <c r="E6503" s="122">
        <f>IFERROR(__xludf.DUMMYFUNCTION("""COMPUTED_VALUE"""),67.0)</f>
        <v>67</v>
      </c>
      <c r="F6503" s="122">
        <f>IFERROR(__xludf.DUMMYFUNCTION("""COMPUTED_VALUE"""),0.0034)</f>
        <v>0.0034</v>
      </c>
    </row>
    <row r="6504">
      <c r="A6504" s="131">
        <f>IFERROR(__xludf.DUMMYFUNCTION("""COMPUTED_VALUE"""),46187.564155092594)</f>
        <v>46187.56416</v>
      </c>
      <c r="B6504" s="126">
        <f>IFERROR(__xludf.DUMMYFUNCTION("""COMPUTED_VALUE"""),46187.0)</f>
        <v>46187</v>
      </c>
      <c r="C6504" s="122" t="str">
        <f>IFERROR(__xludf.DUMMYFUNCTION("""COMPUTED_VALUE"""),"BOND")</f>
        <v>BOND</v>
      </c>
      <c r="D6504" s="122" t="str">
        <f>IFERROR(__xludf.DUMMYFUNCTION("""COMPUTED_VALUE"""),"BondBridge")</f>
        <v>BondBridge</v>
      </c>
      <c r="E6504" s="122">
        <f>IFERROR(__xludf.DUMMYFUNCTION("""COMPUTED_VALUE"""),102.68)</f>
        <v>102.68</v>
      </c>
      <c r="F6504" s="122">
        <f>IFERROR(__xludf.DUMMYFUNCTION("""COMPUTED_VALUE"""),0.0031)</f>
        <v>0.0031</v>
      </c>
    </row>
    <row r="6505">
      <c r="A6505" s="131">
        <f>IFERROR(__xludf.DUMMYFUNCTION("""COMPUTED_VALUE"""),46187.564155092594)</f>
        <v>46187.56416</v>
      </c>
      <c r="B6505" s="126">
        <f>IFERROR(__xludf.DUMMYFUNCTION("""COMPUTED_VALUE"""),46187.0)</f>
        <v>46187</v>
      </c>
      <c r="C6505" s="122" t="str">
        <f>IFERROR(__xludf.DUMMYFUNCTION("""COMPUTED_VALUE"""),"INSR")</f>
        <v>INSR</v>
      </c>
      <c r="D6505" s="122" t="str">
        <f>IFERROR(__xludf.DUMMYFUNCTION("""COMPUTED_VALUE"""),"Shield Insurance")</f>
        <v>Shield Insurance</v>
      </c>
      <c r="E6505" s="122">
        <f>IFERROR(__xludf.DUMMYFUNCTION("""COMPUTED_VALUE"""),158.79)</f>
        <v>158.79</v>
      </c>
      <c r="F6505" s="122">
        <f>IFERROR(__xludf.DUMMYFUNCTION("""COMPUTED_VALUE"""),0.0038)</f>
        <v>0.0038</v>
      </c>
    </row>
    <row r="6506">
      <c r="A6506" s="131">
        <f>IFERROR(__xludf.DUMMYFUNCTION("""COMPUTED_VALUE"""),46187.564155092594)</f>
        <v>46187.56416</v>
      </c>
      <c r="B6506" s="126">
        <f>IFERROR(__xludf.DUMMYFUNCTION("""COMPUTED_VALUE"""),46187.0)</f>
        <v>46187</v>
      </c>
      <c r="C6506" s="122" t="str">
        <f>IFERROR(__xludf.DUMMYFUNCTION("""COMPUTED_VALUE"""),"LOAN")</f>
        <v>LOAN</v>
      </c>
      <c r="D6506" s="122" t="str">
        <f>IFERROR(__xludf.DUMMYFUNCTION("""COMPUTED_VALUE"""),"LoanLab")</f>
        <v>LoanLab</v>
      </c>
      <c r="E6506" s="122">
        <f>IFERROR(__xludf.DUMMYFUNCTION("""COMPUTED_VALUE"""),68.47)</f>
        <v>68.47</v>
      </c>
      <c r="F6506" s="122">
        <f>IFERROR(__xludf.DUMMYFUNCTION("""COMPUTED_VALUE"""),0.0072)</f>
        <v>0.0072</v>
      </c>
    </row>
    <row r="6507">
      <c r="A6507" s="131">
        <f>IFERROR(__xludf.DUMMYFUNCTION("""COMPUTED_VALUE"""),46187.564155092594)</f>
        <v>46187.56416</v>
      </c>
      <c r="B6507" s="126">
        <f>IFERROR(__xludf.DUMMYFUNCTION("""COMPUTED_VALUE"""),46187.0)</f>
        <v>46187</v>
      </c>
      <c r="C6507" s="122" t="str">
        <f>IFERROR(__xludf.DUMMYFUNCTION("""COMPUTED_VALUE"""),"LUXE")</f>
        <v>LUXE</v>
      </c>
      <c r="D6507" s="122" t="str">
        <f>IFERROR(__xludf.DUMMYFUNCTION("""COMPUTED_VALUE"""),"Luxury Locker")</f>
        <v>Luxury Locker</v>
      </c>
      <c r="E6507" s="122">
        <f>IFERROR(__xludf.DUMMYFUNCTION("""COMPUTED_VALUE"""),269.43)</f>
        <v>269.43</v>
      </c>
      <c r="F6507" s="122">
        <f>IFERROR(__xludf.DUMMYFUNCTION("""COMPUTED_VALUE"""),-0.0012)</f>
        <v>-0.0012</v>
      </c>
    </row>
    <row r="6508">
      <c r="A6508" s="131">
        <f>IFERROR(__xludf.DUMMYFUNCTION("""COMPUTED_VALUE"""),46187.564155092594)</f>
        <v>46187.56416</v>
      </c>
      <c r="B6508" s="126">
        <f>IFERROR(__xludf.DUMMYFUNCTION("""COMPUTED_VALUE"""),46187.0)</f>
        <v>46187</v>
      </c>
      <c r="C6508" s="122" t="str">
        <f>IFERROR(__xludf.DUMMYFUNCTION("""COMPUTED_VALUE"""),"DRIP")</f>
        <v>DRIP</v>
      </c>
      <c r="D6508" s="122" t="str">
        <f>IFERROR(__xludf.DUMMYFUNCTION("""COMPUTED_VALUE"""),"Drip Streetwear")</f>
        <v>Drip Streetwear</v>
      </c>
      <c r="E6508" s="122">
        <f>IFERROR(__xludf.DUMMYFUNCTION("""COMPUTED_VALUE"""),190.62)</f>
        <v>190.62</v>
      </c>
      <c r="F6508" s="122">
        <f>IFERROR(__xludf.DUMMYFUNCTION("""COMPUTED_VALUE"""),-0.0039)</f>
        <v>-0.0039</v>
      </c>
    </row>
    <row r="6509">
      <c r="A6509" s="131">
        <f>IFERROR(__xludf.DUMMYFUNCTION("""COMPUTED_VALUE"""),46187.564155092594)</f>
        <v>46187.56416</v>
      </c>
      <c r="B6509" s="126">
        <f>IFERROR(__xludf.DUMMYFUNCTION("""COMPUTED_VALUE"""),46187.0)</f>
        <v>46187</v>
      </c>
      <c r="C6509" s="122" t="str">
        <f>IFERROR(__xludf.DUMMYFUNCTION("""COMPUTED_VALUE"""),"KICK")</f>
        <v>KICK</v>
      </c>
      <c r="D6509" s="122" t="str">
        <f>IFERROR(__xludf.DUMMYFUNCTION("""COMPUTED_VALUE"""),"KickDrop Sneakers")</f>
        <v>KickDrop Sneakers</v>
      </c>
      <c r="E6509" s="122">
        <f>IFERROR(__xludf.DUMMYFUNCTION("""COMPUTED_VALUE"""),170.13)</f>
        <v>170.13</v>
      </c>
      <c r="F6509" s="122">
        <f>IFERROR(__xludf.DUMMYFUNCTION("""COMPUTED_VALUE"""),0.0077)</f>
        <v>0.0077</v>
      </c>
    </row>
    <row r="6510">
      <c r="A6510" s="131">
        <f>IFERROR(__xludf.DUMMYFUNCTION("""COMPUTED_VALUE"""),46187.564155092594)</f>
        <v>46187.56416</v>
      </c>
      <c r="B6510" s="126">
        <f>IFERROR(__xludf.DUMMYFUNCTION("""COMPUTED_VALUE"""),46187.0)</f>
        <v>46187</v>
      </c>
      <c r="C6510" s="122" t="str">
        <f>IFERROR(__xludf.DUMMYFUNCTION("""COMPUTED_VALUE"""),"GLAM")</f>
        <v>GLAM</v>
      </c>
      <c r="D6510" s="122" t="str">
        <f>IFERROR(__xludf.DUMMYFUNCTION("""COMPUTED_VALUE"""),"Glow Cosmetics")</f>
        <v>Glow Cosmetics</v>
      </c>
      <c r="E6510" s="122">
        <f>IFERROR(__xludf.DUMMYFUNCTION("""COMPUTED_VALUE"""),108.92)</f>
        <v>108.92</v>
      </c>
      <c r="F6510" s="122">
        <f>IFERROR(__xludf.DUMMYFUNCTION("""COMPUTED_VALUE"""),-0.0048)</f>
        <v>-0.0048</v>
      </c>
    </row>
    <row r="6511">
      <c r="A6511" s="131">
        <f>IFERROR(__xludf.DUMMYFUNCTION("""COMPUTED_VALUE"""),46187.564155092594)</f>
        <v>46187.56416</v>
      </c>
      <c r="B6511" s="126">
        <f>IFERROR(__xludf.DUMMYFUNCTION("""COMPUTED_VALUE"""),46187.0)</f>
        <v>46187</v>
      </c>
      <c r="C6511" s="122" t="str">
        <f>IFERROR(__xludf.DUMMYFUNCTION("""COMPUTED_VALUE"""),"BAGG")</f>
        <v>BAGG</v>
      </c>
      <c r="D6511" s="122" t="str">
        <f>IFERROR(__xludf.DUMMYFUNCTION("""COMPUTED_VALUE"""),"BagVault")</f>
        <v>BagVault</v>
      </c>
      <c r="E6511" s="122">
        <f>IFERROR(__xludf.DUMMYFUNCTION("""COMPUTED_VALUE"""),266.87)</f>
        <v>266.87</v>
      </c>
      <c r="F6511" s="122">
        <f>IFERROR(__xludf.DUMMYFUNCTION("""COMPUTED_VALUE"""),0.004)</f>
        <v>0.004</v>
      </c>
    </row>
    <row r="6512">
      <c r="A6512" s="131">
        <f>IFERROR(__xludf.DUMMYFUNCTION("""COMPUTED_VALUE"""),46187.564155092594)</f>
        <v>46187.56416</v>
      </c>
      <c r="B6512" s="126">
        <f>IFERROR(__xludf.DUMMYFUNCTION("""COMPUTED_VALUE"""),46187.0)</f>
        <v>46187</v>
      </c>
      <c r="C6512" s="122" t="str">
        <f>IFERROR(__xludf.DUMMYFUNCTION("""COMPUTED_VALUE"""),"FAST")</f>
        <v>FAST</v>
      </c>
      <c r="D6512" s="122" t="str">
        <f>IFERROR(__xludf.DUMMYFUNCTION("""COMPUTED_VALUE"""),"Flash Logistics")</f>
        <v>Flash Logistics</v>
      </c>
      <c r="E6512" s="122">
        <f>IFERROR(__xludf.DUMMYFUNCTION("""COMPUTED_VALUE"""),107.02)</f>
        <v>107.02</v>
      </c>
      <c r="F6512" s="122">
        <f>IFERROR(__xludf.DUMMYFUNCTION("""COMPUTED_VALUE"""),0.0053)</f>
        <v>0.0053</v>
      </c>
    </row>
    <row r="6513">
      <c r="A6513" s="131">
        <f>IFERROR(__xludf.DUMMYFUNCTION("""COMPUTED_VALUE"""),46187.564155092594)</f>
        <v>46187.56416</v>
      </c>
      <c r="B6513" s="126">
        <f>IFERROR(__xludf.DUMMYFUNCTION("""COMPUTED_VALUE"""),46187.0)</f>
        <v>46187</v>
      </c>
      <c r="C6513" s="122" t="str">
        <f>IFERROR(__xludf.DUMMYFUNCTION("""COMPUTED_VALUE"""),"SHIP")</f>
        <v>SHIP</v>
      </c>
      <c r="D6513" s="122" t="str">
        <f>IFERROR(__xludf.DUMMYFUNCTION("""COMPUTED_VALUE"""),"Seoul Shipping")</f>
        <v>Seoul Shipping</v>
      </c>
      <c r="E6513" s="122">
        <f>IFERROR(__xludf.DUMMYFUNCTION("""COMPUTED_VALUE"""),127.17)</f>
        <v>127.17</v>
      </c>
      <c r="F6513" s="122">
        <f>IFERROR(__xludf.DUMMYFUNCTION("""COMPUTED_VALUE"""),-9.0E-4)</f>
        <v>-0.0009</v>
      </c>
    </row>
    <row r="6514">
      <c r="A6514" s="131">
        <f>IFERROR(__xludf.DUMMYFUNCTION("""COMPUTED_VALUE"""),46187.564155092594)</f>
        <v>46187.56416</v>
      </c>
      <c r="B6514" s="126">
        <f>IFERROR(__xludf.DUMMYFUNCTION("""COMPUTED_VALUE"""),46187.0)</f>
        <v>46187</v>
      </c>
      <c r="C6514" s="122" t="str">
        <f>IFERROR(__xludf.DUMMYFUNCTION("""COMPUTED_VALUE"""),"DRON")</f>
        <v>DRON</v>
      </c>
      <c r="D6514" s="122" t="str">
        <f>IFERROR(__xludf.DUMMYFUNCTION("""COMPUTED_VALUE"""),"DroneDrop")</f>
        <v>DroneDrop</v>
      </c>
      <c r="E6514" s="122">
        <f>IFERROR(__xludf.DUMMYFUNCTION("""COMPUTED_VALUE"""),126.04)</f>
        <v>126.04</v>
      </c>
      <c r="F6514" s="122">
        <f>IFERROR(__xludf.DUMMYFUNCTION("""COMPUTED_VALUE"""),-0.0106)</f>
        <v>-0.0106</v>
      </c>
    </row>
    <row r="6515">
      <c r="A6515" s="131">
        <f>IFERROR(__xludf.DUMMYFUNCTION("""COMPUTED_VALUE"""),46187.564155092594)</f>
        <v>46187.56416</v>
      </c>
      <c r="B6515" s="126">
        <f>IFERROR(__xludf.DUMMYFUNCTION("""COMPUTED_VALUE"""),46187.0)</f>
        <v>46187</v>
      </c>
      <c r="C6515" s="122" t="str">
        <f>IFERROR(__xludf.DUMMYFUNCTION("""COMPUTED_VALUE"""),"RIDE")</f>
        <v>RIDE</v>
      </c>
      <c r="D6515" s="122" t="str">
        <f>IFERROR(__xludf.DUMMYFUNCTION("""COMPUTED_VALUE"""),"QuickRide")</f>
        <v>QuickRide</v>
      </c>
      <c r="E6515" s="122">
        <f>IFERROR(__xludf.DUMMYFUNCTION("""COMPUTED_VALUE"""),101.41)</f>
        <v>101.41</v>
      </c>
      <c r="F6515" s="122">
        <f>IFERROR(__xludf.DUMMYFUNCTION("""COMPUTED_VALUE"""),-0.0018)</f>
        <v>-0.0018</v>
      </c>
    </row>
    <row r="6516">
      <c r="A6516" s="131">
        <f>IFERROR(__xludf.DUMMYFUNCTION("""COMPUTED_VALUE"""),46187.564155092594)</f>
        <v>46187.56416</v>
      </c>
      <c r="B6516" s="126">
        <f>IFERROR(__xludf.DUMMYFUNCTION("""COMPUTED_VALUE"""),46187.0)</f>
        <v>46187</v>
      </c>
      <c r="C6516" s="122" t="str">
        <f>IFERROR(__xludf.DUMMYFUNCTION("""COMPUTED_VALUE"""),"RAIL")</f>
        <v>RAIL</v>
      </c>
      <c r="D6516" s="122" t="str">
        <f>IFERROR(__xludf.DUMMYFUNCTION("""COMPUTED_VALUE"""),"MetroRail Corp")</f>
        <v>MetroRail Corp</v>
      </c>
      <c r="E6516" s="122">
        <f>IFERROR(__xludf.DUMMYFUNCTION("""COMPUTED_VALUE"""),131.17)</f>
        <v>131.17</v>
      </c>
      <c r="F6516" s="122">
        <f>IFERROR(__xludf.DUMMYFUNCTION("""COMPUTED_VALUE"""),9.0E-4)</f>
        <v>0.0009</v>
      </c>
    </row>
    <row r="6517">
      <c r="A6517" s="131">
        <f>IFERROR(__xludf.DUMMYFUNCTION("""COMPUTED_VALUE"""),46187.564155092594)</f>
        <v>46187.56416</v>
      </c>
      <c r="B6517" s="126">
        <f>IFERROR(__xludf.DUMMYFUNCTION("""COMPUTED_VALUE"""),46187.0)</f>
        <v>46187</v>
      </c>
      <c r="C6517" s="122" t="str">
        <f>IFERROR(__xludf.DUMMYFUNCTION("""COMPUTED_VALUE"""),"MEDX")</f>
        <v>MEDX</v>
      </c>
      <c r="D6517" s="122" t="str">
        <f>IFERROR(__xludf.DUMMYFUNCTION("""COMPUTED_VALUE"""),"MediCore")</f>
        <v>MediCore</v>
      </c>
      <c r="E6517" s="122">
        <f>IFERROR(__xludf.DUMMYFUNCTION("""COMPUTED_VALUE"""),139.06)</f>
        <v>139.06</v>
      </c>
      <c r="F6517" s="122">
        <f>IFERROR(__xludf.DUMMYFUNCTION("""COMPUTED_VALUE"""),0.0017)</f>
        <v>0.0017</v>
      </c>
    </row>
    <row r="6518">
      <c r="A6518" s="131">
        <f>IFERROR(__xludf.DUMMYFUNCTION("""COMPUTED_VALUE"""),46187.564155092594)</f>
        <v>46187.56416</v>
      </c>
      <c r="B6518" s="126">
        <f>IFERROR(__xludf.DUMMYFUNCTION("""COMPUTED_VALUE"""),46187.0)</f>
        <v>46187</v>
      </c>
      <c r="C6518" s="122" t="str">
        <f>IFERROR(__xludf.DUMMYFUNCTION("""COMPUTED_VALUE"""),"GYMX")</f>
        <v>GYMX</v>
      </c>
      <c r="D6518" s="122" t="str">
        <f>IFERROR(__xludf.DUMMYFUNCTION("""COMPUTED_VALUE"""),"GymX Fitness")</f>
        <v>GymX Fitness</v>
      </c>
      <c r="E6518" s="122">
        <f>IFERROR(__xludf.DUMMYFUNCTION("""COMPUTED_VALUE"""),86.1)</f>
        <v>86.1</v>
      </c>
      <c r="F6518" s="122">
        <f>IFERROR(__xludf.DUMMYFUNCTION("""COMPUTED_VALUE"""),0.0043)</f>
        <v>0.0043</v>
      </c>
    </row>
    <row r="6519">
      <c r="A6519" s="131">
        <f>IFERROR(__xludf.DUMMYFUNCTION("""COMPUTED_VALUE"""),46187.564155092594)</f>
        <v>46187.56416</v>
      </c>
      <c r="B6519" s="126">
        <f>IFERROR(__xludf.DUMMYFUNCTION("""COMPUTED_VALUE"""),46187.0)</f>
        <v>46187</v>
      </c>
      <c r="C6519" s="122" t="str">
        <f>IFERROR(__xludf.DUMMYFUNCTION("""COMPUTED_VALUE"""),"VITA")</f>
        <v>VITA</v>
      </c>
      <c r="D6519" s="122" t="str">
        <f>IFERROR(__xludf.DUMMYFUNCTION("""COMPUTED_VALUE"""),"VitaPlus")</f>
        <v>VitaPlus</v>
      </c>
      <c r="E6519" s="122">
        <f>IFERROR(__xludf.DUMMYFUNCTION("""COMPUTED_VALUE"""),72.46)</f>
        <v>72.46</v>
      </c>
      <c r="F6519" s="122">
        <f>IFERROR(__xludf.DUMMYFUNCTION("""COMPUTED_VALUE"""),0.003)</f>
        <v>0.003</v>
      </c>
    </row>
    <row r="6520">
      <c r="A6520" s="131">
        <f>IFERROR(__xludf.DUMMYFUNCTION("""COMPUTED_VALUE"""),46187.564155092594)</f>
        <v>46187.56416</v>
      </c>
      <c r="B6520" s="126">
        <f>IFERROR(__xludf.DUMMYFUNCTION("""COMPUTED_VALUE"""),46187.0)</f>
        <v>46187</v>
      </c>
      <c r="C6520" s="122" t="str">
        <f>IFERROR(__xludf.DUMMYFUNCTION("""COMPUTED_VALUE"""),"CARE")</f>
        <v>CARE</v>
      </c>
      <c r="D6520" s="122" t="str">
        <f>IFERROR(__xludf.DUMMYFUNCTION("""COMPUTED_VALUE"""),"CareCloud")</f>
        <v>CareCloud</v>
      </c>
      <c r="E6520" s="122">
        <f>IFERROR(__xludf.DUMMYFUNCTION("""COMPUTED_VALUE"""),178.99)</f>
        <v>178.99</v>
      </c>
      <c r="F6520" s="122">
        <f>IFERROR(__xludf.DUMMYFUNCTION("""COMPUTED_VALUE"""),-0.0058)</f>
        <v>-0.0058</v>
      </c>
    </row>
    <row r="6521">
      <c r="A6521" s="131">
        <f>IFERROR(__xludf.DUMMYFUNCTION("""COMPUTED_VALUE"""),46187.564155092594)</f>
        <v>46187.56416</v>
      </c>
      <c r="B6521" s="126">
        <f>IFERROR(__xludf.DUMMYFUNCTION("""COMPUTED_VALUE"""),46187.0)</f>
        <v>46187</v>
      </c>
      <c r="C6521" s="122" t="str">
        <f>IFERROR(__xludf.DUMMYFUNCTION("""COMPUTED_VALUE"""),"DENT")</f>
        <v>DENT</v>
      </c>
      <c r="D6521" s="122" t="str">
        <f>IFERROR(__xludf.DUMMYFUNCTION("""COMPUTED_VALUE"""),"SmileWorks")</f>
        <v>SmileWorks</v>
      </c>
      <c r="E6521" s="122">
        <f>IFERROR(__xludf.DUMMYFUNCTION("""COMPUTED_VALUE"""),92.89)</f>
        <v>92.89</v>
      </c>
      <c r="F6521" s="122">
        <f>IFERROR(__xludf.DUMMYFUNCTION("""COMPUTED_VALUE"""),0.0024)</f>
        <v>0.0024</v>
      </c>
    </row>
    <row r="6522">
      <c r="A6522" s="131">
        <f>IFERROR(__xludf.DUMMYFUNCTION("""COMPUTED_VALUE"""),46187.564155092594)</f>
        <v>46187.56416</v>
      </c>
      <c r="B6522" s="126">
        <f>IFERROR(__xludf.DUMMYFUNCTION("""COMPUTED_VALUE"""),46187.0)</f>
        <v>46187</v>
      </c>
      <c r="C6522" s="122" t="str">
        <f>IFERROR(__xludf.DUMMYFUNCTION("""COMPUTED_VALUE"""),"EDUX")</f>
        <v>EDUX</v>
      </c>
      <c r="D6522" s="122" t="str">
        <f>IFERROR(__xludf.DUMMYFUNCTION("""COMPUTED_VALUE"""),"EduMax Learning")</f>
        <v>EduMax Learning</v>
      </c>
      <c r="E6522" s="122">
        <f>IFERROR(__xludf.DUMMYFUNCTION("""COMPUTED_VALUE"""),144.19)</f>
        <v>144.19</v>
      </c>
      <c r="F6522" s="122">
        <f>IFERROR(__xludf.DUMMYFUNCTION("""COMPUTED_VALUE"""),1.0E-4)</f>
        <v>0.0001</v>
      </c>
    </row>
    <row r="6523">
      <c r="A6523" s="131">
        <f>IFERROR(__xludf.DUMMYFUNCTION("""COMPUTED_VALUE"""),46187.564155092594)</f>
        <v>46187.56416</v>
      </c>
      <c r="B6523" s="126">
        <f>IFERROR(__xludf.DUMMYFUNCTION("""COMPUTED_VALUE"""),46187.0)</f>
        <v>46187</v>
      </c>
      <c r="C6523" s="122" t="str">
        <f>IFERROR(__xludf.DUMMYFUNCTION("""COMPUTED_VALUE"""),"BOOK")</f>
        <v>BOOK</v>
      </c>
      <c r="D6523" s="122" t="str">
        <f>IFERROR(__xludf.DUMMYFUNCTION("""COMPUTED_VALUE"""),"BookBridge")</f>
        <v>BookBridge</v>
      </c>
      <c r="E6523" s="122">
        <f>IFERROR(__xludf.DUMMYFUNCTION("""COMPUTED_VALUE"""),118.91)</f>
        <v>118.91</v>
      </c>
      <c r="F6523" s="122">
        <f>IFERROR(__xludf.DUMMYFUNCTION("""COMPUTED_VALUE"""),6.0E-4)</f>
        <v>0.0006</v>
      </c>
    </row>
    <row r="6524">
      <c r="A6524" s="131">
        <f>IFERROR(__xludf.DUMMYFUNCTION("""COMPUTED_VALUE"""),46187.564155092594)</f>
        <v>46187.56416</v>
      </c>
      <c r="B6524" s="126">
        <f>IFERROR(__xludf.DUMMYFUNCTION("""COMPUTED_VALUE"""),46187.0)</f>
        <v>46187</v>
      </c>
      <c r="C6524" s="122" t="str">
        <f>IFERROR(__xludf.DUMMYFUNCTION("""COMPUTED_VALUE"""),"TUTR")</f>
        <v>TUTR</v>
      </c>
      <c r="D6524" s="122" t="str">
        <f>IFERROR(__xludf.DUMMYFUNCTION("""COMPUTED_VALUE"""),"TutorTown")</f>
        <v>TutorTown</v>
      </c>
      <c r="E6524" s="122">
        <f>IFERROR(__xludf.DUMMYFUNCTION("""COMPUTED_VALUE"""),90.17)</f>
        <v>90.17</v>
      </c>
      <c r="F6524" s="122">
        <f>IFERROR(__xludf.DUMMYFUNCTION("""COMPUTED_VALUE"""),-0.0023)</f>
        <v>-0.0023</v>
      </c>
    </row>
    <row r="6525">
      <c r="A6525" s="131">
        <f>IFERROR(__xludf.DUMMYFUNCTION("""COMPUTED_VALUE"""),46187.564155092594)</f>
        <v>46187.56416</v>
      </c>
      <c r="B6525" s="126">
        <f>IFERROR(__xludf.DUMMYFUNCTION("""COMPUTED_VALUE"""),46187.0)</f>
        <v>46187</v>
      </c>
      <c r="C6525" s="122" t="str">
        <f>IFERROR(__xludf.DUMMYFUNCTION("""COMPUTED_VALUE"""),"LANG")</f>
        <v>LANG</v>
      </c>
      <c r="D6525" s="122" t="str">
        <f>IFERROR(__xludf.DUMMYFUNCTION("""COMPUTED_VALUE"""),"LinguaLab")</f>
        <v>LinguaLab</v>
      </c>
      <c r="E6525" s="122">
        <f>IFERROR(__xludf.DUMMYFUNCTION("""COMPUTED_VALUE"""),99.6)</f>
        <v>99.6</v>
      </c>
      <c r="F6525" s="122">
        <f>IFERROR(__xludf.DUMMYFUNCTION("""COMPUTED_VALUE"""),-0.0027)</f>
        <v>-0.0027</v>
      </c>
    </row>
    <row r="6526">
      <c r="A6526" s="131">
        <f>IFERROR(__xludf.DUMMYFUNCTION("""COMPUTED_VALUE"""),46187.564155092594)</f>
        <v>46187.56416</v>
      </c>
      <c r="B6526" s="126">
        <f>IFERROR(__xludf.DUMMYFUNCTION("""COMPUTED_VALUE"""),46187.0)</f>
        <v>46187</v>
      </c>
      <c r="C6526" s="122" t="str">
        <f>IFERROR(__xludf.DUMMYFUNCTION("""COMPUTED_VALUE"""),"TEST")</f>
        <v>TEST</v>
      </c>
      <c r="D6526" s="122" t="str">
        <f>IFERROR(__xludf.DUMMYFUNCTION("""COMPUTED_VALUE"""),"TestPrep Pro")</f>
        <v>TestPrep Pro</v>
      </c>
      <c r="E6526" s="122">
        <f>IFERROR(__xludf.DUMMYFUNCTION("""COMPUTED_VALUE"""),92.49)</f>
        <v>92.49</v>
      </c>
      <c r="F6526" s="122">
        <f>IFERROR(__xludf.DUMMYFUNCTION("""COMPUTED_VALUE"""),0.0023)</f>
        <v>0.0023</v>
      </c>
    </row>
    <row r="6527">
      <c r="A6527" s="131">
        <f>IFERROR(__xludf.DUMMYFUNCTION("""COMPUTED_VALUE"""),46187.564155092594)</f>
        <v>46187.56416</v>
      </c>
      <c r="B6527" s="126">
        <f>IFERROR(__xludf.DUMMYFUNCTION("""COMPUTED_VALUE"""),46187.0)</f>
        <v>46187</v>
      </c>
      <c r="C6527" s="122" t="str">
        <f>IFERROR(__xludf.DUMMYFUNCTION("""COMPUTED_VALUE"""),"MOVI")</f>
        <v>MOVI</v>
      </c>
      <c r="D6527" s="122" t="str">
        <f>IFERROR(__xludf.DUMMYFUNCTION("""COMPUTED_VALUE"""),"MovieBox")</f>
        <v>MovieBox</v>
      </c>
      <c r="E6527" s="122">
        <f>IFERROR(__xludf.DUMMYFUNCTION("""COMPUTED_VALUE"""),83.42)</f>
        <v>83.42</v>
      </c>
      <c r="F6527" s="122">
        <f>IFERROR(__xludf.DUMMYFUNCTION("""COMPUTED_VALUE"""),5.0E-4)</f>
        <v>0.0005</v>
      </c>
    </row>
    <row r="6528">
      <c r="A6528" s="131">
        <f>IFERROR(__xludf.DUMMYFUNCTION("""COMPUTED_VALUE"""),46187.564155092594)</f>
        <v>46187.56416</v>
      </c>
      <c r="B6528" s="126">
        <f>IFERROR(__xludf.DUMMYFUNCTION("""COMPUTED_VALUE"""),46187.0)</f>
        <v>46187</v>
      </c>
      <c r="C6528" s="122" t="str">
        <f>IFERROR(__xludf.DUMMYFUNCTION("""COMPUTED_VALUE"""),"MUSC")</f>
        <v>MUSC</v>
      </c>
      <c r="D6528" s="122" t="str">
        <f>IFERROR(__xludf.DUMMYFUNCTION("""COMPUTED_VALUE"""),"MusicWave")</f>
        <v>MusicWave</v>
      </c>
      <c r="E6528" s="122">
        <f>IFERROR(__xludf.DUMMYFUNCTION("""COMPUTED_VALUE"""),100.5)</f>
        <v>100.5</v>
      </c>
      <c r="F6528" s="122">
        <f>IFERROR(__xludf.DUMMYFUNCTION("""COMPUTED_VALUE"""),-0.0041)</f>
        <v>-0.0041</v>
      </c>
    </row>
    <row r="6529">
      <c r="A6529" s="131">
        <f>IFERROR(__xludf.DUMMYFUNCTION("""COMPUTED_VALUE"""),46187.564155092594)</f>
        <v>46187.56416</v>
      </c>
      <c r="B6529" s="126">
        <f>IFERROR(__xludf.DUMMYFUNCTION("""COMPUTED_VALUE"""),46187.0)</f>
        <v>46187</v>
      </c>
      <c r="C6529" s="122" t="str">
        <f>IFERROR(__xludf.DUMMYFUNCTION("""COMPUTED_VALUE"""),"IDOL")</f>
        <v>IDOL</v>
      </c>
      <c r="D6529" s="122" t="str">
        <f>IFERROR(__xludf.DUMMYFUNCTION("""COMPUTED_VALUE"""),"Idol Agency")</f>
        <v>Idol Agency</v>
      </c>
      <c r="E6529" s="122">
        <f>IFERROR(__xludf.DUMMYFUNCTION("""COMPUTED_VALUE"""),185.26)</f>
        <v>185.26</v>
      </c>
      <c r="F6529" s="122">
        <f>IFERROR(__xludf.DUMMYFUNCTION("""COMPUTED_VALUE"""),-0.0067)</f>
        <v>-0.0067</v>
      </c>
    </row>
    <row r="6530">
      <c r="A6530" s="131">
        <f>IFERROR(__xludf.DUMMYFUNCTION("""COMPUTED_VALUE"""),46187.564155092594)</f>
        <v>46187.56416</v>
      </c>
      <c r="B6530" s="126">
        <f>IFERROR(__xludf.DUMMYFUNCTION("""COMPUTED_VALUE"""),46187.0)</f>
        <v>46187</v>
      </c>
      <c r="C6530" s="122" t="str">
        <f>IFERROR(__xludf.DUMMYFUNCTION("""COMPUTED_VALUE"""),"MEME")</f>
        <v>MEME</v>
      </c>
      <c r="D6530" s="122" t="str">
        <f>IFERROR(__xludf.DUMMYFUNCTION("""COMPUTED_VALUE"""),"Meme Media")</f>
        <v>Meme Media</v>
      </c>
      <c r="E6530" s="122">
        <f>IFERROR(__xludf.DUMMYFUNCTION("""COMPUTED_VALUE"""),75.08)</f>
        <v>75.08</v>
      </c>
      <c r="F6530" s="122">
        <f>IFERROR(__xludf.DUMMYFUNCTION("""COMPUTED_VALUE"""),0.0147)</f>
        <v>0.0147</v>
      </c>
    </row>
    <row r="6531">
      <c r="A6531" s="131">
        <f>IFERROR(__xludf.DUMMYFUNCTION("""COMPUTED_VALUE"""),46187.564155092594)</f>
        <v>46187.56416</v>
      </c>
      <c r="B6531" s="126">
        <f>IFERROR(__xludf.DUMMYFUNCTION("""COMPUTED_VALUE"""),46187.0)</f>
        <v>46187</v>
      </c>
      <c r="C6531" s="122" t="str">
        <f>IFERROR(__xludf.DUMMYFUNCTION("""COMPUTED_VALUE"""),"STRM")</f>
        <v>STRM</v>
      </c>
      <c r="D6531" s="122" t="str">
        <f>IFERROR(__xludf.DUMMYFUNCTION("""COMPUTED_VALUE"""),"Streamly")</f>
        <v>Streamly</v>
      </c>
      <c r="E6531" s="122">
        <f>IFERROR(__xludf.DUMMYFUNCTION("""COMPUTED_VALUE"""),136.51)</f>
        <v>136.51</v>
      </c>
      <c r="F6531" s="122">
        <f>IFERROR(__xludf.DUMMYFUNCTION("""COMPUTED_VALUE"""),-0.0068)</f>
        <v>-0.0068</v>
      </c>
    </row>
    <row r="6532">
      <c r="A6532" s="131">
        <f>IFERROR(__xludf.DUMMYFUNCTION("""COMPUTED_VALUE"""),46187.564155092594)</f>
        <v>46187.56416</v>
      </c>
      <c r="B6532" s="126">
        <f>IFERROR(__xludf.DUMMYFUNCTION("""COMPUTED_VALUE"""),46187.0)</f>
        <v>46187</v>
      </c>
      <c r="C6532" s="122" t="str">
        <f>IFERROR(__xludf.DUMMYFUNCTION("""COMPUTED_VALUE"""),"FARM")</f>
        <v>FARM</v>
      </c>
      <c r="D6532" s="122" t="str">
        <f>IFERROR(__xludf.DUMMYFUNCTION("""COMPUTED_VALUE"""),"Future Farms")</f>
        <v>Future Farms</v>
      </c>
      <c r="E6532" s="122">
        <f>IFERROR(__xludf.DUMMYFUNCTION("""COMPUTED_VALUE"""),93.0)</f>
        <v>93</v>
      </c>
      <c r="F6532" s="122">
        <f>IFERROR(__xludf.DUMMYFUNCTION("""COMPUTED_VALUE"""),0.003)</f>
        <v>0.003</v>
      </c>
    </row>
    <row r="6533">
      <c r="A6533" s="131">
        <f>IFERROR(__xludf.DUMMYFUNCTION("""COMPUTED_VALUE"""),46187.564155092594)</f>
        <v>46187.56416</v>
      </c>
      <c r="B6533" s="126">
        <f>IFERROR(__xludf.DUMMYFUNCTION("""COMPUTED_VALUE"""),46187.0)</f>
        <v>46187</v>
      </c>
      <c r="C6533" s="122" t="str">
        <f>IFERROR(__xludf.DUMMYFUNCTION("""COMPUTED_VALUE"""),"MEAT")</f>
        <v>MEAT</v>
      </c>
      <c r="D6533" s="122" t="str">
        <f>IFERROR(__xludf.DUMMYFUNCTION("""COMPUTED_VALUE"""),"MeatWorks")</f>
        <v>MeatWorks</v>
      </c>
      <c r="E6533" s="122">
        <f>IFERROR(__xludf.DUMMYFUNCTION("""COMPUTED_VALUE"""),107.05)</f>
        <v>107.05</v>
      </c>
      <c r="F6533" s="122">
        <f>IFERROR(__xludf.DUMMYFUNCTION("""COMPUTED_VALUE"""),-0.0053)</f>
        <v>-0.0053</v>
      </c>
    </row>
    <row r="6534">
      <c r="A6534" s="131">
        <f>IFERROR(__xludf.DUMMYFUNCTION("""COMPUTED_VALUE"""),46187.564155092594)</f>
        <v>46187.56416</v>
      </c>
      <c r="B6534" s="126">
        <f>IFERROR(__xludf.DUMMYFUNCTION("""COMPUTED_VALUE"""),46187.0)</f>
        <v>46187</v>
      </c>
      <c r="C6534" s="122" t="str">
        <f>IFERROR(__xludf.DUMMYFUNCTION("""COMPUTED_VALUE"""),"VEGI")</f>
        <v>VEGI</v>
      </c>
      <c r="D6534" s="122" t="str">
        <f>IFERROR(__xludf.DUMMYFUNCTION("""COMPUTED_VALUE"""),"Green Basket")</f>
        <v>Green Basket</v>
      </c>
      <c r="E6534" s="122">
        <f>IFERROR(__xludf.DUMMYFUNCTION("""COMPUTED_VALUE"""),78.03)</f>
        <v>78.03</v>
      </c>
      <c r="F6534" s="122">
        <f>IFERROR(__xludf.DUMMYFUNCTION("""COMPUTED_VALUE"""),-0.0013)</f>
        <v>-0.0013</v>
      </c>
    </row>
    <row r="6535">
      <c r="A6535" s="131">
        <f>IFERROR(__xludf.DUMMYFUNCTION("""COMPUTED_VALUE"""),46187.564155092594)</f>
        <v>46187.56416</v>
      </c>
      <c r="B6535" s="126">
        <f>IFERROR(__xludf.DUMMYFUNCTION("""COMPUTED_VALUE"""),46187.0)</f>
        <v>46187</v>
      </c>
      <c r="C6535" s="122" t="str">
        <f>IFERROR(__xludf.DUMMYFUNCTION("""COMPUTED_VALUE"""),"CAFE")</f>
        <v>CAFE</v>
      </c>
      <c r="D6535" s="122" t="str">
        <f>IFERROR(__xludf.DUMMYFUNCTION("""COMPUTED_VALUE"""),"Cafe Cloud")</f>
        <v>Cafe Cloud</v>
      </c>
      <c r="E6535" s="122">
        <f>IFERROR(__xludf.DUMMYFUNCTION("""COMPUTED_VALUE"""),101.68)</f>
        <v>101.68</v>
      </c>
      <c r="F6535" s="122">
        <f>IFERROR(__xludf.DUMMYFUNCTION("""COMPUTED_VALUE"""),0.0098)</f>
        <v>0.0098</v>
      </c>
    </row>
    <row r="6536">
      <c r="A6536" s="131">
        <f>IFERROR(__xludf.DUMMYFUNCTION("""COMPUTED_VALUE"""),46187.564155092594)</f>
        <v>46187.56416</v>
      </c>
      <c r="B6536" s="126">
        <f>IFERROR(__xludf.DUMMYFUNCTION("""COMPUTED_VALUE"""),46187.0)</f>
        <v>46187</v>
      </c>
      <c r="C6536" s="122" t="str">
        <f>IFERROR(__xludf.DUMMYFUNCTION("""COMPUTED_VALUE"""),"BAKE")</f>
        <v>BAKE</v>
      </c>
      <c r="D6536" s="122" t="str">
        <f>IFERROR(__xludf.DUMMYFUNCTION("""COMPUTED_VALUE"""),"BakeHouse")</f>
        <v>BakeHouse</v>
      </c>
      <c r="E6536" s="122">
        <f>IFERROR(__xludf.DUMMYFUNCTION("""COMPUTED_VALUE"""),101.58)</f>
        <v>101.58</v>
      </c>
      <c r="F6536" s="122">
        <f>IFERROR(__xludf.DUMMYFUNCTION("""COMPUTED_VALUE"""),-0.0033)</f>
        <v>-0.0033</v>
      </c>
    </row>
    <row r="6537">
      <c r="A6537" s="131">
        <f>IFERROR(__xludf.DUMMYFUNCTION("""COMPUTED_VALUE"""),46187.564155092594)</f>
        <v>46187.56416</v>
      </c>
      <c r="B6537" s="126">
        <f>IFERROR(__xludf.DUMMYFUNCTION("""COMPUTED_VALUE"""),46187.0)</f>
        <v>46187</v>
      </c>
      <c r="C6537" s="122" t="str">
        <f>IFERROR(__xludf.DUMMYFUNCTION("""COMPUTED_VALUE"""),"OILX")</f>
        <v>OILX</v>
      </c>
      <c r="D6537" s="122" t="str">
        <f>IFERROR(__xludf.DUMMYFUNCTION("""COMPUTED_VALUE"""),"OilMax Energy")</f>
        <v>OilMax Energy</v>
      </c>
      <c r="E6537" s="122">
        <f>IFERROR(__xludf.DUMMYFUNCTION("""COMPUTED_VALUE"""),130.75)</f>
        <v>130.75</v>
      </c>
      <c r="F6537" s="122">
        <f>IFERROR(__xludf.DUMMYFUNCTION("""COMPUTED_VALUE"""),-0.0017)</f>
        <v>-0.0017</v>
      </c>
    </row>
    <row r="6538">
      <c r="A6538" s="131">
        <f>IFERROR(__xludf.DUMMYFUNCTION("""COMPUTED_VALUE"""),46187.564155092594)</f>
        <v>46187.56416</v>
      </c>
      <c r="B6538" s="126">
        <f>IFERROR(__xludf.DUMMYFUNCTION("""COMPUTED_VALUE"""),46187.0)</f>
        <v>46187</v>
      </c>
      <c r="C6538" s="122" t="str">
        <f>IFERROR(__xludf.DUMMYFUNCTION("""COMPUTED_VALUE"""),"SOLR")</f>
        <v>SOLR</v>
      </c>
      <c r="D6538" s="122" t="str">
        <f>IFERROR(__xludf.DUMMYFUNCTION("""COMPUTED_VALUE"""),"SolarSpark")</f>
        <v>SolarSpark</v>
      </c>
      <c r="E6538" s="122">
        <f>IFERROR(__xludf.DUMMYFUNCTION("""COMPUTED_VALUE"""),101.07)</f>
        <v>101.07</v>
      </c>
      <c r="F6538" s="122">
        <f>IFERROR(__xludf.DUMMYFUNCTION("""COMPUTED_VALUE"""),9.0E-4)</f>
        <v>0.0009</v>
      </c>
    </row>
    <row r="6539">
      <c r="A6539" s="131">
        <f>IFERROR(__xludf.DUMMYFUNCTION("""COMPUTED_VALUE"""),46187.564155092594)</f>
        <v>46187.56416</v>
      </c>
      <c r="B6539" s="126">
        <f>IFERROR(__xludf.DUMMYFUNCTION("""COMPUTED_VALUE"""),46187.0)</f>
        <v>46187</v>
      </c>
      <c r="C6539" s="122" t="str">
        <f>IFERROR(__xludf.DUMMYFUNCTION("""COMPUTED_VALUE"""),"BATT")</f>
        <v>BATT</v>
      </c>
      <c r="D6539" s="122" t="str">
        <f>IFERROR(__xludf.DUMMYFUNCTION("""COMPUTED_VALUE"""),"BatteryBox")</f>
        <v>BatteryBox</v>
      </c>
      <c r="E6539" s="122">
        <f>IFERROR(__xludf.DUMMYFUNCTION("""COMPUTED_VALUE"""),119.19)</f>
        <v>119.19</v>
      </c>
      <c r="F6539" s="122">
        <f>IFERROR(__xludf.DUMMYFUNCTION("""COMPUTED_VALUE"""),-0.0033)</f>
        <v>-0.0033</v>
      </c>
    </row>
    <row r="6540">
      <c r="A6540" s="131">
        <f>IFERROR(__xludf.DUMMYFUNCTION("""COMPUTED_VALUE"""),46187.564155092594)</f>
        <v>46187.56416</v>
      </c>
      <c r="B6540" s="126">
        <f>IFERROR(__xludf.DUMMYFUNCTION("""COMPUTED_VALUE"""),46187.0)</f>
        <v>46187</v>
      </c>
      <c r="C6540" s="122" t="str">
        <f>IFERROR(__xludf.DUMMYFUNCTION("""COMPUTED_VALUE"""),"WIND")</f>
        <v>WIND</v>
      </c>
      <c r="D6540" s="122" t="str">
        <f>IFERROR(__xludf.DUMMYFUNCTION("""COMPUTED_VALUE"""),"WindWorks")</f>
        <v>WindWorks</v>
      </c>
      <c r="E6540" s="122">
        <f>IFERROR(__xludf.DUMMYFUNCTION("""COMPUTED_VALUE"""),87.39)</f>
        <v>87.39</v>
      </c>
      <c r="F6540" s="122">
        <f>IFERROR(__xludf.DUMMYFUNCTION("""COMPUTED_VALUE"""),-0.0039)</f>
        <v>-0.0039</v>
      </c>
    </row>
    <row r="6541">
      <c r="A6541" s="131">
        <f>IFERROR(__xludf.DUMMYFUNCTION("""COMPUTED_VALUE"""),46187.564155092594)</f>
        <v>46187.56416</v>
      </c>
      <c r="B6541" s="126">
        <f>IFERROR(__xludf.DUMMYFUNCTION("""COMPUTED_VALUE"""),46187.0)</f>
        <v>46187</v>
      </c>
      <c r="C6541" s="122" t="str">
        <f>IFERROR(__xludf.DUMMYFUNCTION("""COMPUTED_VALUE"""),"GRID")</f>
        <v>GRID</v>
      </c>
      <c r="D6541" s="122" t="str">
        <f>IFERROR(__xludf.DUMMYFUNCTION("""COMPUTED_VALUE"""),"GridPower")</f>
        <v>GridPower</v>
      </c>
      <c r="E6541" s="122">
        <f>IFERROR(__xludf.DUMMYFUNCTION("""COMPUTED_VALUE"""),131.32)</f>
        <v>131.32</v>
      </c>
      <c r="F6541" s="122">
        <f>IFERROR(__xludf.DUMMYFUNCTION("""COMPUTED_VALUE"""),-0.0071)</f>
        <v>-0.0071</v>
      </c>
    </row>
    <row r="6542">
      <c r="A6542" s="131">
        <f>IFERROR(__xludf.DUMMYFUNCTION("""COMPUTED_VALUE"""),46187.564155092594)</f>
        <v>46187.56416</v>
      </c>
      <c r="B6542" s="126">
        <f>IFERROR(__xludf.DUMMYFUNCTION("""COMPUTED_VALUE"""),46187.0)</f>
        <v>46187</v>
      </c>
      <c r="C6542" s="122" t="str">
        <f>IFERROR(__xludf.DUMMYFUNCTION("""COMPUTED_VALUE"""),"HOME")</f>
        <v>HOME</v>
      </c>
      <c r="D6542" s="122" t="str">
        <f>IFERROR(__xludf.DUMMYFUNCTION("""COMPUTED_VALUE"""),"HomeHub")</f>
        <v>HomeHub</v>
      </c>
      <c r="E6542" s="122">
        <f>IFERROR(__xludf.DUMMYFUNCTION("""COMPUTED_VALUE"""),155.92)</f>
        <v>155.92</v>
      </c>
      <c r="F6542" s="122">
        <f>IFERROR(__xludf.DUMMYFUNCTION("""COMPUTED_VALUE"""),0.0022)</f>
        <v>0.0022</v>
      </c>
    </row>
    <row r="6543">
      <c r="A6543" s="131">
        <f>IFERROR(__xludf.DUMMYFUNCTION("""COMPUTED_VALUE"""),46187.564155092594)</f>
        <v>46187.56416</v>
      </c>
      <c r="B6543" s="126">
        <f>IFERROR(__xludf.DUMMYFUNCTION("""COMPUTED_VALUE"""),46187.0)</f>
        <v>46187</v>
      </c>
      <c r="C6543" s="122" t="str">
        <f>IFERROR(__xludf.DUMMYFUNCTION("""COMPUTED_VALUE"""),"RENT")</f>
        <v>RENT</v>
      </c>
      <c r="D6543" s="122" t="str">
        <f>IFERROR(__xludf.DUMMYFUNCTION("""COMPUTED_VALUE"""),"RentRight")</f>
        <v>RentRight</v>
      </c>
      <c r="E6543" s="122">
        <f>IFERROR(__xludf.DUMMYFUNCTION("""COMPUTED_VALUE"""),91.07)</f>
        <v>91.07</v>
      </c>
      <c r="F6543" s="122">
        <f>IFERROR(__xludf.DUMMYFUNCTION("""COMPUTED_VALUE"""),0.0052)</f>
        <v>0.0052</v>
      </c>
    </row>
    <row r="6544">
      <c r="A6544" s="131">
        <f>IFERROR(__xludf.DUMMYFUNCTION("""COMPUTED_VALUE"""),46187.564155092594)</f>
        <v>46187.56416</v>
      </c>
      <c r="B6544" s="126">
        <f>IFERROR(__xludf.DUMMYFUNCTION("""COMPUTED_VALUE"""),46187.0)</f>
        <v>46187</v>
      </c>
      <c r="C6544" s="122" t="str">
        <f>IFERROR(__xludf.DUMMYFUNCTION("""COMPUTED_VALUE"""),"MALL")</f>
        <v>MALL</v>
      </c>
      <c r="D6544" s="122" t="str">
        <f>IFERROR(__xludf.DUMMYFUNCTION("""COMPUTED_VALUE"""),"MegaMall")</f>
        <v>MegaMall</v>
      </c>
      <c r="E6544" s="122">
        <f>IFERROR(__xludf.DUMMYFUNCTION("""COMPUTED_VALUE"""),101.06)</f>
        <v>101.06</v>
      </c>
      <c r="F6544" s="122">
        <f>IFERROR(__xludf.DUMMYFUNCTION("""COMPUTED_VALUE"""),0.0058)</f>
        <v>0.0058</v>
      </c>
    </row>
    <row r="6545">
      <c r="A6545" s="131">
        <f>IFERROR(__xludf.DUMMYFUNCTION("""COMPUTED_VALUE"""),46187.564155092594)</f>
        <v>46187.56416</v>
      </c>
      <c r="B6545" s="126">
        <f>IFERROR(__xludf.DUMMYFUNCTION("""COMPUTED_VALUE"""),46187.0)</f>
        <v>46187</v>
      </c>
      <c r="C6545" s="122" t="str">
        <f>IFERROR(__xludf.DUMMYFUNCTION("""COMPUTED_VALUE"""),"HOTL")</f>
        <v>HOTL</v>
      </c>
      <c r="D6545" s="122" t="str">
        <f>IFERROR(__xludf.DUMMYFUNCTION("""COMPUTED_VALUE"""),"HotelHive")</f>
        <v>HotelHive</v>
      </c>
      <c r="E6545" s="122">
        <f>IFERROR(__xludf.DUMMYFUNCTION("""COMPUTED_VALUE"""),126.86)</f>
        <v>126.86</v>
      </c>
      <c r="F6545" s="122">
        <f>IFERROR(__xludf.DUMMYFUNCTION("""COMPUTED_VALUE"""),-0.0023)</f>
        <v>-0.0023</v>
      </c>
    </row>
    <row r="6546">
      <c r="A6546" s="131">
        <f>IFERROR(__xludf.DUMMYFUNCTION("""COMPUTED_VALUE"""),46187.564155092594)</f>
        <v>46187.56416</v>
      </c>
      <c r="B6546" s="126">
        <f>IFERROR(__xludf.DUMMYFUNCTION("""COMPUTED_VALUE"""),46187.0)</f>
        <v>46187</v>
      </c>
      <c r="C6546" s="122" t="str">
        <f>IFERROR(__xludf.DUMMYFUNCTION("""COMPUTED_VALUE"""),"LAND")</f>
        <v>LAND</v>
      </c>
      <c r="D6546" s="122" t="str">
        <f>IFERROR(__xludf.DUMMYFUNCTION("""COMPUTED_VALUE"""),"LandLink")</f>
        <v>LandLink</v>
      </c>
      <c r="E6546" s="122">
        <f>IFERROR(__xludf.DUMMYFUNCTION("""COMPUTED_VALUE"""),184.23)</f>
        <v>184.23</v>
      </c>
      <c r="F6546" s="122">
        <f>IFERROR(__xludf.DUMMYFUNCTION("""COMPUTED_VALUE"""),-0.002)</f>
        <v>-0.002</v>
      </c>
    </row>
    <row r="6547">
      <c r="A6547" s="131">
        <f>IFERROR(__xludf.DUMMYFUNCTION("""COMPUTED_VALUE"""),46187.564155092594)</f>
        <v>46187.56416</v>
      </c>
      <c r="B6547" s="126">
        <f>IFERROR(__xludf.DUMMYFUNCTION("""COMPUTED_VALUE"""),46187.0)</f>
        <v>46187</v>
      </c>
      <c r="C6547" s="122" t="str">
        <f>IFERROR(__xludf.DUMMYFUNCTION("""COMPUTED_VALUE"""),"CARS")</f>
        <v>CARS</v>
      </c>
      <c r="D6547" s="122" t="str">
        <f>IFERROR(__xludf.DUMMYFUNCTION("""COMPUTED_VALUE"""),"AutoArena")</f>
        <v>AutoArena</v>
      </c>
      <c r="E6547" s="122">
        <f>IFERROR(__xludf.DUMMYFUNCTION("""COMPUTED_VALUE"""),82.54)</f>
        <v>82.54</v>
      </c>
      <c r="F6547" s="122">
        <f>IFERROR(__xludf.DUMMYFUNCTION("""COMPUTED_VALUE"""),0.0022)</f>
        <v>0.0022</v>
      </c>
    </row>
    <row r="6548">
      <c r="A6548" s="131">
        <f>IFERROR(__xludf.DUMMYFUNCTION("""COMPUTED_VALUE"""),46187.564155092594)</f>
        <v>46187.56416</v>
      </c>
      <c r="B6548" s="126">
        <f>IFERROR(__xludf.DUMMYFUNCTION("""COMPUTED_VALUE"""),46187.0)</f>
        <v>46187</v>
      </c>
      <c r="C6548" s="122" t="str">
        <f>IFERROR(__xludf.DUMMYFUNCTION("""COMPUTED_VALUE"""),"EVGO")</f>
        <v>EVGO</v>
      </c>
      <c r="D6548" s="122" t="str">
        <f>IFERROR(__xludf.DUMMYFUNCTION("""COMPUTED_VALUE"""),"EVGo Motors")</f>
        <v>EVGo Motors</v>
      </c>
      <c r="E6548" s="122">
        <f>IFERROR(__xludf.DUMMYFUNCTION("""COMPUTED_VALUE"""),182.29)</f>
        <v>182.29</v>
      </c>
      <c r="F6548" s="122">
        <f>IFERROR(__xludf.DUMMYFUNCTION("""COMPUTED_VALUE"""),0.0052)</f>
        <v>0.0052</v>
      </c>
    </row>
    <row r="6549">
      <c r="A6549" s="131">
        <f>IFERROR(__xludf.DUMMYFUNCTION("""COMPUTED_VALUE"""),46187.564155092594)</f>
        <v>46187.56416</v>
      </c>
      <c r="B6549" s="126">
        <f>IFERROR(__xludf.DUMMYFUNCTION("""COMPUTED_VALUE"""),46187.0)</f>
        <v>46187</v>
      </c>
      <c r="C6549" s="122" t="str">
        <f>IFERROR(__xludf.DUMMYFUNCTION("""COMPUTED_VALUE"""),"TIRE")</f>
        <v>TIRE</v>
      </c>
      <c r="D6549" s="122" t="str">
        <f>IFERROR(__xludf.DUMMYFUNCTION("""COMPUTED_VALUE"""),"TireTown")</f>
        <v>TireTown</v>
      </c>
      <c r="E6549" s="122">
        <f>IFERROR(__xludf.DUMMYFUNCTION("""COMPUTED_VALUE"""),96.86)</f>
        <v>96.86</v>
      </c>
      <c r="F6549" s="122">
        <f>IFERROR(__xludf.DUMMYFUNCTION("""COMPUTED_VALUE"""),-1.0E-4)</f>
        <v>-0.0001</v>
      </c>
    </row>
    <row r="6550">
      <c r="A6550" s="131">
        <f>IFERROR(__xludf.DUMMYFUNCTION("""COMPUTED_VALUE"""),46187.564155092594)</f>
        <v>46187.56416</v>
      </c>
      <c r="B6550" s="126">
        <f>IFERROR(__xludf.DUMMYFUNCTION("""COMPUTED_VALUE"""),46187.0)</f>
        <v>46187</v>
      </c>
      <c r="C6550" s="122" t="str">
        <f>IFERROR(__xludf.DUMMYFUNCTION("""COMPUTED_VALUE"""),"BIKE")</f>
        <v>BIKE</v>
      </c>
      <c r="D6550" s="122" t="str">
        <f>IFERROR(__xludf.DUMMYFUNCTION("""COMPUTED_VALUE"""),"BikeBox")</f>
        <v>BikeBox</v>
      </c>
      <c r="E6550" s="122">
        <f>IFERROR(__xludf.DUMMYFUNCTION("""COMPUTED_VALUE"""),51.95)</f>
        <v>51.95</v>
      </c>
      <c r="F6550" s="122">
        <f>IFERROR(__xludf.DUMMYFUNCTION("""COMPUTED_VALUE"""),0.0013)</f>
        <v>0.0013</v>
      </c>
    </row>
    <row r="6551">
      <c r="A6551" s="131">
        <f>IFERROR(__xludf.DUMMYFUNCTION("""COMPUTED_VALUE"""),46187.564155092594)</f>
        <v>46187.56416</v>
      </c>
      <c r="B6551" s="126">
        <f>IFERROR(__xludf.DUMMYFUNCTION("""COMPUTED_VALUE"""),46187.0)</f>
        <v>46187</v>
      </c>
      <c r="C6551" s="122" t="str">
        <f>IFERROR(__xludf.DUMMYFUNCTION("""COMPUTED_VALUE"""),"WASH")</f>
        <v>WASH</v>
      </c>
      <c r="D6551" s="122" t="str">
        <f>IFERROR(__xludf.DUMMYFUNCTION("""COMPUTED_VALUE"""),"CarWash Co")</f>
        <v>CarWash Co</v>
      </c>
      <c r="E6551" s="122">
        <f>IFERROR(__xludf.DUMMYFUNCTION("""COMPUTED_VALUE"""),119.55)</f>
        <v>119.55</v>
      </c>
      <c r="F6551" s="122">
        <f>IFERROR(__xludf.DUMMYFUNCTION("""COMPUTED_VALUE"""),1.0E-4)</f>
        <v>0.0001</v>
      </c>
    </row>
    <row r="6552">
      <c r="A6552" s="131">
        <f>IFERROR(__xludf.DUMMYFUNCTION("""COMPUTED_VALUE"""),46187.564155092594)</f>
        <v>46187.56416</v>
      </c>
      <c r="B6552" s="126">
        <f>IFERROR(__xludf.DUMMYFUNCTION("""COMPUTED_VALUE"""),46187.0)</f>
        <v>46187</v>
      </c>
      <c r="C6552" s="122" t="str">
        <f>IFERROR(__xludf.DUMMYFUNCTION("""COMPUTED_VALUE"""),"GBND")</f>
        <v>GBND</v>
      </c>
      <c r="D6552" s="122" t="str">
        <f>IFERROR(__xludf.DUMMYFUNCTION("""COMPUTED_VALUE"""),"Classroom Government Bond")</f>
        <v>Classroom Government Bond</v>
      </c>
      <c r="E6552" s="122">
        <f>IFERROR(__xludf.DUMMYFUNCTION("""COMPUTED_VALUE"""),101.13)</f>
        <v>101.13</v>
      </c>
      <c r="F6552" s="122">
        <f>IFERROR(__xludf.DUMMYFUNCTION("""COMPUTED_VALUE"""),0.0)</f>
        <v>0</v>
      </c>
    </row>
    <row r="6553">
      <c r="A6553" s="131">
        <f>IFERROR(__xludf.DUMMYFUNCTION("""COMPUTED_VALUE"""),46187.564155092594)</f>
        <v>46187.56416</v>
      </c>
      <c r="B6553" s="126">
        <f>IFERROR(__xludf.DUMMYFUNCTION("""COMPUTED_VALUE"""),46187.0)</f>
        <v>46187</v>
      </c>
      <c r="C6553" s="122" t="str">
        <f>IFERROR(__xludf.DUMMYFUNCTION("""COMPUTED_VALUE"""),"SBND")</f>
        <v>SBND</v>
      </c>
      <c r="D6553" s="122" t="str">
        <f>IFERROR(__xludf.DUMMYFUNCTION("""COMPUTED_VALUE"""),"School Savings Bond")</f>
        <v>School Savings Bond</v>
      </c>
      <c r="E6553" s="122">
        <f>IFERROR(__xludf.DUMMYFUNCTION("""COMPUTED_VALUE"""),99.29)</f>
        <v>99.29</v>
      </c>
      <c r="F6553" s="122">
        <f>IFERROR(__xludf.DUMMYFUNCTION("""COMPUTED_VALUE"""),-2.0E-4)</f>
        <v>-0.0002</v>
      </c>
    </row>
    <row r="6554">
      <c r="A6554" s="131">
        <f>IFERROR(__xludf.DUMMYFUNCTION("""COMPUTED_VALUE"""),46187.564155092594)</f>
        <v>46187.56416</v>
      </c>
      <c r="B6554" s="126">
        <f>IFERROR(__xludf.DUMMYFUNCTION("""COMPUTED_VALUE"""),46187.0)</f>
        <v>46187</v>
      </c>
      <c r="C6554" s="122" t="str">
        <f>IFERROR(__xludf.DUMMYFUNCTION("""COMPUTED_VALUE"""),"CBND")</f>
        <v>CBND</v>
      </c>
      <c r="D6554" s="122" t="str">
        <f>IFERROR(__xludf.DUMMYFUNCTION("""COMPUTED_VALUE"""),"Corporate Classroom Bond")</f>
        <v>Corporate Classroom Bond</v>
      </c>
      <c r="E6554" s="122">
        <f>IFERROR(__xludf.DUMMYFUNCTION("""COMPUTED_VALUE"""),97.8)</f>
        <v>97.8</v>
      </c>
      <c r="F6554" s="122">
        <f>IFERROR(__xludf.DUMMYFUNCTION("""COMPUTED_VALUE"""),-3.0E-4)</f>
        <v>-0.0003</v>
      </c>
    </row>
    <row r="6555">
      <c r="A6555" s="131">
        <f>IFERROR(__xludf.DUMMYFUNCTION("""COMPUTED_VALUE"""),46187.564155092594)</f>
        <v>46187.56416</v>
      </c>
      <c r="B6555" s="126">
        <f>IFERROR(__xludf.DUMMYFUNCTION("""COMPUTED_VALUE"""),46187.0)</f>
        <v>46187</v>
      </c>
      <c r="C6555" s="122" t="str">
        <f>IFERROR(__xludf.DUMMYFUNCTION("""COMPUTED_VALUE"""),"TBIL")</f>
        <v>TBIL</v>
      </c>
      <c r="D6555" s="122" t="str">
        <f>IFERROR(__xludf.DUMMYFUNCTION("""COMPUTED_VALUE"""),"Treasury Bill")</f>
        <v>Treasury Bill</v>
      </c>
      <c r="E6555" s="122">
        <f>IFERROR(__xludf.DUMMYFUNCTION("""COMPUTED_VALUE"""),97.95)</f>
        <v>97.95</v>
      </c>
      <c r="F6555" s="122">
        <f>IFERROR(__xludf.DUMMYFUNCTION("""COMPUTED_VALUE"""),-1.0E-4)</f>
        <v>-0.0001</v>
      </c>
    </row>
    <row r="6556">
      <c r="A6556" s="131">
        <f>IFERROR(__xludf.DUMMYFUNCTION("""COMPUTED_VALUE"""),46187.564155092594)</f>
        <v>46187.56416</v>
      </c>
      <c r="B6556" s="126">
        <f>IFERROR(__xludf.DUMMYFUNCTION("""COMPUTED_VALUE"""),46187.0)</f>
        <v>46187</v>
      </c>
      <c r="C6556" s="122" t="str">
        <f>IFERROR(__xludf.DUMMYFUNCTION("""COMPUTED_VALUE"""),"IBND")</f>
        <v>IBND</v>
      </c>
      <c r="D6556" s="122" t="str">
        <f>IFERROR(__xludf.DUMMYFUNCTION("""COMPUTED_VALUE"""),"Inflation Protected Bond")</f>
        <v>Inflation Protected Bond</v>
      </c>
      <c r="E6556" s="122">
        <f>IFERROR(__xludf.DUMMYFUNCTION("""COMPUTED_VALUE"""),100.84)</f>
        <v>100.84</v>
      </c>
      <c r="F6556" s="122">
        <f>IFERROR(__xludf.DUMMYFUNCTION("""COMPUTED_VALUE"""),-2.0E-4)</f>
        <v>-0.0002</v>
      </c>
    </row>
    <row r="6557">
      <c r="A6557" s="131">
        <f>IFERROR(__xludf.DUMMYFUNCTION("""COMPUTED_VALUE"""),46187.565474537034)</f>
        <v>46187.56547</v>
      </c>
      <c r="B6557" s="126">
        <f>IFERROR(__xludf.DUMMYFUNCTION("""COMPUTED_VALUE"""),46187.0)</f>
        <v>46187</v>
      </c>
      <c r="C6557" s="130">
        <f>IFERROR(__xludf.DUMMYFUNCTION("""COMPUTED_VALUE"""),0.565474537037037)</f>
        <v>0.565474537</v>
      </c>
      <c r="D6557" s="122" t="str">
        <f>IFERROR(__xludf.DUMMYFUNCTION("""COMPUTED_VALUE"""),"SNAX")</f>
        <v>SNAX</v>
      </c>
      <c r="E6557" s="122" t="str">
        <f>IFERROR(__xludf.DUMMYFUNCTION("""COMPUTED_VALUE"""),"MICA Snacks")</f>
        <v>MICA Snacks</v>
      </c>
      <c r="F6557" s="122" t="str">
        <f>IFERROR(__xludf.DUMMYFUNCTION("""COMPUTED_VALUE"""),"Consumer Goods")</f>
        <v>Consumer Goods</v>
      </c>
    </row>
    <row r="6558">
      <c r="A6558" s="131">
        <f>IFERROR(__xludf.DUMMYFUNCTION("""COMPUTED_VALUE"""),46187.565474537034)</f>
        <v>46187.56547</v>
      </c>
      <c r="B6558" s="126">
        <f>IFERROR(__xludf.DUMMYFUNCTION("""COMPUTED_VALUE"""),46187.0)</f>
        <v>46187</v>
      </c>
      <c r="C6558" s="130">
        <f>IFERROR(__xludf.DUMMYFUNCTION("""COMPUTED_VALUE"""),0.565474537037037)</f>
        <v>0.565474537</v>
      </c>
      <c r="D6558" s="122" t="str">
        <f>IFERROR(__xludf.DUMMYFUNCTION("""COMPUTED_VALUE"""),"RAMN")</f>
        <v>RAMN</v>
      </c>
      <c r="E6558" s="122" t="str">
        <f>IFERROR(__xludf.DUMMYFUNCTION("""COMPUTED_VALUE"""),"Ramen Republic")</f>
        <v>Ramen Republic</v>
      </c>
      <c r="F6558" s="122" t="str">
        <f>IFERROR(__xludf.DUMMYFUNCTION("""COMPUTED_VALUE"""),"Food")</f>
        <v>Food</v>
      </c>
    </row>
    <row r="6559">
      <c r="A6559" s="131">
        <f>IFERROR(__xludf.DUMMYFUNCTION("""COMPUTED_VALUE"""),46187.565474537034)</f>
        <v>46187.56547</v>
      </c>
      <c r="B6559" s="126">
        <f>IFERROR(__xludf.DUMMYFUNCTION("""COMPUTED_VALUE"""),46187.0)</f>
        <v>46187</v>
      </c>
      <c r="C6559" s="130">
        <f>IFERROR(__xludf.DUMMYFUNCTION("""COMPUTED_VALUE"""),0.565474537037037)</f>
        <v>0.565474537</v>
      </c>
      <c r="D6559" s="122" t="str">
        <f>IFERROR(__xludf.DUMMYFUNCTION("""COMPUTED_VALUE"""),"COLA")</f>
        <v>COLA</v>
      </c>
      <c r="E6559" s="122" t="str">
        <f>IFERROR(__xludf.DUMMYFUNCTION("""COMPUTED_VALUE"""),"K-Pop Cola")</f>
        <v>K-Pop Cola</v>
      </c>
      <c r="F6559" s="122" t="str">
        <f>IFERROR(__xludf.DUMMYFUNCTION("""COMPUTED_VALUE"""),"Beverage")</f>
        <v>Beverage</v>
      </c>
    </row>
    <row r="6560">
      <c r="A6560" s="131">
        <f>IFERROR(__xludf.DUMMYFUNCTION("""COMPUTED_VALUE"""),46187.565474537034)</f>
        <v>46187.56547</v>
      </c>
      <c r="B6560" s="126">
        <f>IFERROR(__xludf.DUMMYFUNCTION("""COMPUTED_VALUE"""),46187.0)</f>
        <v>46187</v>
      </c>
      <c r="C6560" s="130">
        <f>IFERROR(__xludf.DUMMYFUNCTION("""COMPUTED_VALUE"""),0.565474537037037)</f>
        <v>0.565474537</v>
      </c>
      <c r="D6560" s="122" t="str">
        <f>IFERROR(__xludf.DUMMYFUNCTION("""COMPUTED_VALUE"""),"CHIP")</f>
        <v>CHIP</v>
      </c>
      <c r="E6560" s="122" t="str">
        <f>IFERROR(__xludf.DUMMYFUNCTION("""COMPUTED_VALUE"""),"Chip Empire")</f>
        <v>Chip Empire</v>
      </c>
      <c r="F6560" s="122" t="str">
        <f>IFERROR(__xludf.DUMMYFUNCTION("""COMPUTED_VALUE"""),"Consumer Goods")</f>
        <v>Consumer Goods</v>
      </c>
    </row>
    <row r="6561">
      <c r="A6561" s="131">
        <f>IFERROR(__xludf.DUMMYFUNCTION("""COMPUTED_VALUE"""),46187.565474537034)</f>
        <v>46187.56547</v>
      </c>
      <c r="B6561" s="126">
        <f>IFERROR(__xludf.DUMMYFUNCTION("""COMPUTED_VALUE"""),46187.0)</f>
        <v>46187</v>
      </c>
      <c r="C6561" s="130">
        <f>IFERROR(__xludf.DUMMYFUNCTION("""COMPUTED_VALUE"""),0.565474537037037)</f>
        <v>0.565474537</v>
      </c>
      <c r="D6561" s="122" t="str">
        <f>IFERROR(__xludf.DUMMYFUNCTION("""COMPUTED_VALUE"""),"CAND")</f>
        <v>CAND</v>
      </c>
      <c r="E6561" s="122" t="str">
        <f>IFERROR(__xludf.DUMMYFUNCTION("""COMPUTED_VALUE"""),"Candy Capital")</f>
        <v>Candy Capital</v>
      </c>
      <c r="F6561" s="122" t="str">
        <f>IFERROR(__xludf.DUMMYFUNCTION("""COMPUTED_VALUE"""),"Consumer Goods")</f>
        <v>Consumer Goods</v>
      </c>
    </row>
    <row r="6562">
      <c r="A6562" s="131">
        <f>IFERROR(__xludf.DUMMYFUNCTION("""COMPUTED_VALUE"""),46187.565474537034)</f>
        <v>46187.56547</v>
      </c>
      <c r="B6562" s="126">
        <f>IFERROR(__xludf.DUMMYFUNCTION("""COMPUTED_VALUE"""),46187.0)</f>
        <v>46187</v>
      </c>
      <c r="C6562" s="130">
        <f>IFERROR(__xludf.DUMMYFUNCTION("""COMPUTED_VALUE"""),0.565474537037037)</f>
        <v>0.565474537</v>
      </c>
      <c r="D6562" s="122" t="str">
        <f>IFERROR(__xludf.DUMMYFUNCTION("""COMPUTED_VALUE"""),"TECH")</f>
        <v>TECH</v>
      </c>
      <c r="E6562" s="122" t="str">
        <f>IFERROR(__xludf.DUMMYFUNCTION("""COMPUTED_VALUE"""),"Dragon Tech")</f>
        <v>Dragon Tech</v>
      </c>
      <c r="F6562" s="122" t="str">
        <f>IFERROR(__xludf.DUMMYFUNCTION("""COMPUTED_VALUE"""),"Technology")</f>
        <v>Technology</v>
      </c>
    </row>
    <row r="6563">
      <c r="A6563" s="131">
        <f>IFERROR(__xludf.DUMMYFUNCTION("""COMPUTED_VALUE"""),46187.565474537034)</f>
        <v>46187.56547</v>
      </c>
      <c r="B6563" s="126">
        <f>IFERROR(__xludf.DUMMYFUNCTION("""COMPUTED_VALUE"""),46187.0)</f>
        <v>46187</v>
      </c>
      <c r="C6563" s="130">
        <f>IFERROR(__xludf.DUMMYFUNCTION("""COMPUTED_VALUE"""),0.565474537037037)</f>
        <v>0.565474537</v>
      </c>
      <c r="D6563" s="122" t="str">
        <f>IFERROR(__xludf.DUMMYFUNCTION("""COMPUTED_VALUE"""),"AIBO")</f>
        <v>AIBO</v>
      </c>
      <c r="E6563" s="122" t="str">
        <f>IFERROR(__xludf.DUMMYFUNCTION("""COMPUTED_VALUE"""),"Homework AI")</f>
        <v>Homework AI</v>
      </c>
      <c r="F6563" s="122" t="str">
        <f>IFERROR(__xludf.DUMMYFUNCTION("""COMPUTED_VALUE"""),"Technology")</f>
        <v>Technology</v>
      </c>
    </row>
    <row r="6564">
      <c r="A6564" s="131">
        <f>IFERROR(__xludf.DUMMYFUNCTION("""COMPUTED_VALUE"""),46187.565474537034)</f>
        <v>46187.56547</v>
      </c>
      <c r="B6564" s="126">
        <f>IFERROR(__xludf.DUMMYFUNCTION("""COMPUTED_VALUE"""),46187.0)</f>
        <v>46187</v>
      </c>
      <c r="C6564" s="130">
        <f>IFERROR(__xludf.DUMMYFUNCTION("""COMPUTED_VALUE"""),0.565474537037037)</f>
        <v>0.565474537</v>
      </c>
      <c r="D6564" s="122" t="str">
        <f>IFERROR(__xludf.DUMMYFUNCTION("""COMPUTED_VALUE"""),"GAME")</f>
        <v>GAME</v>
      </c>
      <c r="E6564" s="122" t="str">
        <f>IFERROR(__xludf.DUMMYFUNCTION("""COMPUTED_VALUE"""),"GameBox Media")</f>
        <v>GameBox Media</v>
      </c>
      <c r="F6564" s="122" t="str">
        <f>IFERROR(__xludf.DUMMYFUNCTION("""COMPUTED_VALUE"""),"Entertainment")</f>
        <v>Entertainment</v>
      </c>
    </row>
    <row r="6565">
      <c r="A6565" s="131">
        <f>IFERROR(__xludf.DUMMYFUNCTION("""COMPUTED_VALUE"""),46187.565474537034)</f>
        <v>46187.56547</v>
      </c>
      <c r="B6565" s="126">
        <f>IFERROR(__xludf.DUMMYFUNCTION("""COMPUTED_VALUE"""),46187.0)</f>
        <v>46187</v>
      </c>
      <c r="C6565" s="130">
        <f>IFERROR(__xludf.DUMMYFUNCTION("""COMPUTED_VALUE"""),0.565474537037037)</f>
        <v>0.565474537</v>
      </c>
      <c r="D6565" s="122" t="str">
        <f>IFERROR(__xludf.DUMMYFUNCTION("""COMPUTED_VALUE"""),"VRSE")</f>
        <v>VRSE</v>
      </c>
      <c r="E6565" s="122" t="str">
        <f>IFERROR(__xludf.DUMMYFUNCTION("""COMPUTED_VALUE"""),"VerseVR")</f>
        <v>VerseVR</v>
      </c>
      <c r="F6565" s="122" t="str">
        <f>IFERROR(__xludf.DUMMYFUNCTION("""COMPUTED_VALUE"""),"Technology")</f>
        <v>Technology</v>
      </c>
    </row>
    <row r="6566">
      <c r="A6566" s="131">
        <f>IFERROR(__xludf.DUMMYFUNCTION("""COMPUTED_VALUE"""),46187.565474537034)</f>
        <v>46187.56547</v>
      </c>
      <c r="B6566" s="126">
        <f>IFERROR(__xludf.DUMMYFUNCTION("""COMPUTED_VALUE"""),46187.0)</f>
        <v>46187</v>
      </c>
      <c r="C6566" s="130">
        <f>IFERROR(__xludf.DUMMYFUNCTION("""COMPUTED_VALUE"""),0.565474537037037)</f>
        <v>0.565474537</v>
      </c>
      <c r="D6566" s="122" t="str">
        <f>IFERROR(__xludf.DUMMYFUNCTION("""COMPUTED_VALUE"""),"BYTE")</f>
        <v>BYTE</v>
      </c>
      <c r="E6566" s="122" t="str">
        <f>IFERROR(__xludf.DUMMYFUNCTION("""COMPUTED_VALUE"""),"ByteWorks")</f>
        <v>ByteWorks</v>
      </c>
      <c r="F6566" s="122" t="str">
        <f>IFERROR(__xludf.DUMMYFUNCTION("""COMPUTED_VALUE"""),"Technology")</f>
        <v>Technology</v>
      </c>
    </row>
    <row r="6567">
      <c r="A6567" s="131">
        <f>IFERROR(__xludf.DUMMYFUNCTION("""COMPUTED_VALUE"""),46187.565474537034)</f>
        <v>46187.56547</v>
      </c>
      <c r="B6567" s="126">
        <f>IFERROR(__xludf.DUMMYFUNCTION("""COMPUTED_VALUE"""),46187.0)</f>
        <v>46187</v>
      </c>
      <c r="C6567" s="130">
        <f>IFERROR(__xludf.DUMMYFUNCTION("""COMPUTED_VALUE"""),0.565474537037037)</f>
        <v>0.565474537</v>
      </c>
      <c r="D6567" s="122" t="str">
        <f>IFERROR(__xludf.DUMMYFUNCTION("""COMPUTED_VALUE"""),"BANK")</f>
        <v>BANK</v>
      </c>
      <c r="E6567" s="122" t="str">
        <f>IFERROR(__xludf.DUMMYFUNCTION("""COMPUTED_VALUE"""),"Tiger Bank")</f>
        <v>Tiger Bank</v>
      </c>
      <c r="F6567" s="122" t="str">
        <f>IFERROR(__xludf.DUMMYFUNCTION("""COMPUTED_VALUE"""),"Finance")</f>
        <v>Finance</v>
      </c>
    </row>
    <row r="6568">
      <c r="A6568" s="131">
        <f>IFERROR(__xludf.DUMMYFUNCTION("""COMPUTED_VALUE"""),46187.565474537034)</f>
        <v>46187.56547</v>
      </c>
      <c r="B6568" s="126">
        <f>IFERROR(__xludf.DUMMYFUNCTION("""COMPUTED_VALUE"""),46187.0)</f>
        <v>46187</v>
      </c>
      <c r="C6568" s="130">
        <f>IFERROR(__xludf.DUMMYFUNCTION("""COMPUTED_VALUE"""),0.565474537037037)</f>
        <v>0.565474537</v>
      </c>
      <c r="D6568" s="122" t="str">
        <f>IFERROR(__xludf.DUMMYFUNCTION("""COMPUTED_VALUE"""),"CRED")</f>
        <v>CRED</v>
      </c>
      <c r="E6568" s="122" t="str">
        <f>IFERROR(__xludf.DUMMYFUNCTION("""COMPUTED_VALUE"""),"Credit Castle")</f>
        <v>Credit Castle</v>
      </c>
      <c r="F6568" s="122" t="str">
        <f>IFERROR(__xludf.DUMMYFUNCTION("""COMPUTED_VALUE"""),"Finance")</f>
        <v>Finance</v>
      </c>
    </row>
    <row r="6569">
      <c r="A6569" s="131">
        <f>IFERROR(__xludf.DUMMYFUNCTION("""COMPUTED_VALUE"""),46187.565474537034)</f>
        <v>46187.56547</v>
      </c>
      <c r="B6569" s="126">
        <f>IFERROR(__xludf.DUMMYFUNCTION("""COMPUTED_VALUE"""),46187.0)</f>
        <v>46187</v>
      </c>
      <c r="C6569" s="130">
        <f>IFERROR(__xludf.DUMMYFUNCTION("""COMPUTED_VALUE"""),0.565474537037037)</f>
        <v>0.565474537</v>
      </c>
      <c r="D6569" s="122" t="str">
        <f>IFERROR(__xludf.DUMMYFUNCTION("""COMPUTED_VALUE"""),"BOND")</f>
        <v>BOND</v>
      </c>
      <c r="E6569" s="122" t="str">
        <f>IFERROR(__xludf.DUMMYFUNCTION("""COMPUTED_VALUE"""),"BondBridge")</f>
        <v>BondBridge</v>
      </c>
      <c r="F6569" s="122" t="str">
        <f>IFERROR(__xludf.DUMMYFUNCTION("""COMPUTED_VALUE"""),"Finance")</f>
        <v>Finance</v>
      </c>
    </row>
    <row r="6570">
      <c r="A6570" s="131">
        <f>IFERROR(__xludf.DUMMYFUNCTION("""COMPUTED_VALUE"""),46187.565474537034)</f>
        <v>46187.56547</v>
      </c>
      <c r="B6570" s="126">
        <f>IFERROR(__xludf.DUMMYFUNCTION("""COMPUTED_VALUE"""),46187.0)</f>
        <v>46187</v>
      </c>
      <c r="C6570" s="130">
        <f>IFERROR(__xludf.DUMMYFUNCTION("""COMPUTED_VALUE"""),0.565474537037037)</f>
        <v>0.565474537</v>
      </c>
      <c r="D6570" s="122" t="str">
        <f>IFERROR(__xludf.DUMMYFUNCTION("""COMPUTED_VALUE"""),"INSR")</f>
        <v>INSR</v>
      </c>
      <c r="E6570" s="122" t="str">
        <f>IFERROR(__xludf.DUMMYFUNCTION("""COMPUTED_VALUE"""),"Shield Insurance")</f>
        <v>Shield Insurance</v>
      </c>
      <c r="F6570" s="122" t="str">
        <f>IFERROR(__xludf.DUMMYFUNCTION("""COMPUTED_VALUE"""),"Finance")</f>
        <v>Finance</v>
      </c>
    </row>
    <row r="6571">
      <c r="A6571" s="131">
        <f>IFERROR(__xludf.DUMMYFUNCTION("""COMPUTED_VALUE"""),46187.565474537034)</f>
        <v>46187.56547</v>
      </c>
      <c r="B6571" s="126">
        <f>IFERROR(__xludf.DUMMYFUNCTION("""COMPUTED_VALUE"""),46187.0)</f>
        <v>46187</v>
      </c>
      <c r="C6571" s="130">
        <f>IFERROR(__xludf.DUMMYFUNCTION("""COMPUTED_VALUE"""),0.565474537037037)</f>
        <v>0.565474537</v>
      </c>
      <c r="D6571" s="122" t="str">
        <f>IFERROR(__xludf.DUMMYFUNCTION("""COMPUTED_VALUE"""),"LOAN")</f>
        <v>LOAN</v>
      </c>
      <c r="E6571" s="122" t="str">
        <f>IFERROR(__xludf.DUMMYFUNCTION("""COMPUTED_VALUE"""),"LoanLab")</f>
        <v>LoanLab</v>
      </c>
      <c r="F6571" s="122" t="str">
        <f>IFERROR(__xludf.DUMMYFUNCTION("""COMPUTED_VALUE"""),"Finance")</f>
        <v>Finance</v>
      </c>
    </row>
    <row r="6572">
      <c r="A6572" s="131">
        <f>IFERROR(__xludf.DUMMYFUNCTION("""COMPUTED_VALUE"""),46187.565474537034)</f>
        <v>46187.56547</v>
      </c>
      <c r="B6572" s="126">
        <f>IFERROR(__xludf.DUMMYFUNCTION("""COMPUTED_VALUE"""),46187.0)</f>
        <v>46187</v>
      </c>
      <c r="C6572" s="130">
        <f>IFERROR(__xludf.DUMMYFUNCTION("""COMPUTED_VALUE"""),0.565474537037037)</f>
        <v>0.565474537</v>
      </c>
      <c r="D6572" s="122" t="str">
        <f>IFERROR(__xludf.DUMMYFUNCTION("""COMPUTED_VALUE"""),"LUXE")</f>
        <v>LUXE</v>
      </c>
      <c r="E6572" s="122" t="str">
        <f>IFERROR(__xludf.DUMMYFUNCTION("""COMPUTED_VALUE"""),"Luxury Locker")</f>
        <v>Luxury Locker</v>
      </c>
      <c r="F6572" s="122" t="str">
        <f>IFERROR(__xludf.DUMMYFUNCTION("""COMPUTED_VALUE"""),"Luxury Goods")</f>
        <v>Luxury Goods</v>
      </c>
    </row>
    <row r="6573">
      <c r="A6573" s="131">
        <f>IFERROR(__xludf.DUMMYFUNCTION("""COMPUTED_VALUE"""),46187.565474537034)</f>
        <v>46187.56547</v>
      </c>
      <c r="B6573" s="126">
        <f>IFERROR(__xludf.DUMMYFUNCTION("""COMPUTED_VALUE"""),46187.0)</f>
        <v>46187</v>
      </c>
      <c r="C6573" s="130">
        <f>IFERROR(__xludf.DUMMYFUNCTION("""COMPUTED_VALUE"""),0.565474537037037)</f>
        <v>0.565474537</v>
      </c>
      <c r="D6573" s="122" t="str">
        <f>IFERROR(__xludf.DUMMYFUNCTION("""COMPUTED_VALUE"""),"DRIP")</f>
        <v>DRIP</v>
      </c>
      <c r="E6573" s="122" t="str">
        <f>IFERROR(__xludf.DUMMYFUNCTION("""COMPUTED_VALUE"""),"Drip Streetwear")</f>
        <v>Drip Streetwear</v>
      </c>
      <c r="F6573" s="122" t="str">
        <f>IFERROR(__xludf.DUMMYFUNCTION("""COMPUTED_VALUE"""),"Fashion")</f>
        <v>Fashion</v>
      </c>
    </row>
    <row r="6574">
      <c r="A6574" s="131">
        <f>IFERROR(__xludf.DUMMYFUNCTION("""COMPUTED_VALUE"""),46187.565474537034)</f>
        <v>46187.56547</v>
      </c>
      <c r="B6574" s="126">
        <f>IFERROR(__xludf.DUMMYFUNCTION("""COMPUTED_VALUE"""),46187.0)</f>
        <v>46187</v>
      </c>
      <c r="C6574" s="130">
        <f>IFERROR(__xludf.DUMMYFUNCTION("""COMPUTED_VALUE"""),0.565474537037037)</f>
        <v>0.565474537</v>
      </c>
      <c r="D6574" s="122" t="str">
        <f>IFERROR(__xludf.DUMMYFUNCTION("""COMPUTED_VALUE"""),"KICK")</f>
        <v>KICK</v>
      </c>
      <c r="E6574" s="122" t="str">
        <f>IFERROR(__xludf.DUMMYFUNCTION("""COMPUTED_VALUE"""),"KickDrop Sneakers")</f>
        <v>KickDrop Sneakers</v>
      </c>
      <c r="F6574" s="122" t="str">
        <f>IFERROR(__xludf.DUMMYFUNCTION("""COMPUTED_VALUE"""),"Fashion")</f>
        <v>Fashion</v>
      </c>
    </row>
    <row r="6575">
      <c r="A6575" s="131">
        <f>IFERROR(__xludf.DUMMYFUNCTION("""COMPUTED_VALUE"""),46187.565474537034)</f>
        <v>46187.56547</v>
      </c>
      <c r="B6575" s="126">
        <f>IFERROR(__xludf.DUMMYFUNCTION("""COMPUTED_VALUE"""),46187.0)</f>
        <v>46187</v>
      </c>
      <c r="C6575" s="130">
        <f>IFERROR(__xludf.DUMMYFUNCTION("""COMPUTED_VALUE"""),0.565474537037037)</f>
        <v>0.565474537</v>
      </c>
      <c r="D6575" s="122" t="str">
        <f>IFERROR(__xludf.DUMMYFUNCTION("""COMPUTED_VALUE"""),"GLAM")</f>
        <v>GLAM</v>
      </c>
      <c r="E6575" s="122" t="str">
        <f>IFERROR(__xludf.DUMMYFUNCTION("""COMPUTED_VALUE"""),"Glow Cosmetics")</f>
        <v>Glow Cosmetics</v>
      </c>
      <c r="F6575" s="122" t="str">
        <f>IFERROR(__xludf.DUMMYFUNCTION("""COMPUTED_VALUE"""),"Fashion")</f>
        <v>Fashion</v>
      </c>
    </row>
    <row r="6576">
      <c r="A6576" s="131">
        <f>IFERROR(__xludf.DUMMYFUNCTION("""COMPUTED_VALUE"""),46187.565474537034)</f>
        <v>46187.56547</v>
      </c>
      <c r="B6576" s="126">
        <f>IFERROR(__xludf.DUMMYFUNCTION("""COMPUTED_VALUE"""),46187.0)</f>
        <v>46187</v>
      </c>
      <c r="C6576" s="130">
        <f>IFERROR(__xludf.DUMMYFUNCTION("""COMPUTED_VALUE"""),0.565474537037037)</f>
        <v>0.565474537</v>
      </c>
      <c r="D6576" s="122" t="str">
        <f>IFERROR(__xludf.DUMMYFUNCTION("""COMPUTED_VALUE"""),"BAGG")</f>
        <v>BAGG</v>
      </c>
      <c r="E6576" s="122" t="str">
        <f>IFERROR(__xludf.DUMMYFUNCTION("""COMPUTED_VALUE"""),"BagVault")</f>
        <v>BagVault</v>
      </c>
      <c r="F6576" s="122" t="str">
        <f>IFERROR(__xludf.DUMMYFUNCTION("""COMPUTED_VALUE"""),"Fashion")</f>
        <v>Fashion</v>
      </c>
    </row>
    <row r="6577">
      <c r="A6577" s="131">
        <f>IFERROR(__xludf.DUMMYFUNCTION("""COMPUTED_VALUE"""),46187.565474537034)</f>
        <v>46187.56547</v>
      </c>
      <c r="B6577" s="126">
        <f>IFERROR(__xludf.DUMMYFUNCTION("""COMPUTED_VALUE"""),46187.0)</f>
        <v>46187</v>
      </c>
      <c r="C6577" s="130">
        <f>IFERROR(__xludf.DUMMYFUNCTION("""COMPUTED_VALUE"""),0.565474537037037)</f>
        <v>0.565474537</v>
      </c>
      <c r="D6577" s="122" t="str">
        <f>IFERROR(__xludf.DUMMYFUNCTION("""COMPUTED_VALUE"""),"FAST")</f>
        <v>FAST</v>
      </c>
      <c r="E6577" s="122" t="str">
        <f>IFERROR(__xludf.DUMMYFUNCTION("""COMPUTED_VALUE"""),"Flash Logistics")</f>
        <v>Flash Logistics</v>
      </c>
      <c r="F6577" s="122" t="str">
        <f>IFERROR(__xludf.DUMMYFUNCTION("""COMPUTED_VALUE"""),"Logistics")</f>
        <v>Logistics</v>
      </c>
    </row>
    <row r="6578">
      <c r="A6578" s="131">
        <f>IFERROR(__xludf.DUMMYFUNCTION("""COMPUTED_VALUE"""),46187.565474537034)</f>
        <v>46187.56547</v>
      </c>
      <c r="B6578" s="126">
        <f>IFERROR(__xludf.DUMMYFUNCTION("""COMPUTED_VALUE"""),46187.0)</f>
        <v>46187</v>
      </c>
      <c r="C6578" s="130">
        <f>IFERROR(__xludf.DUMMYFUNCTION("""COMPUTED_VALUE"""),0.565474537037037)</f>
        <v>0.565474537</v>
      </c>
      <c r="D6578" s="122" t="str">
        <f>IFERROR(__xludf.DUMMYFUNCTION("""COMPUTED_VALUE"""),"SHIP")</f>
        <v>SHIP</v>
      </c>
      <c r="E6578" s="122" t="str">
        <f>IFERROR(__xludf.DUMMYFUNCTION("""COMPUTED_VALUE"""),"Seoul Shipping")</f>
        <v>Seoul Shipping</v>
      </c>
      <c r="F6578" s="122" t="str">
        <f>IFERROR(__xludf.DUMMYFUNCTION("""COMPUTED_VALUE"""),"Logistics")</f>
        <v>Logistics</v>
      </c>
    </row>
    <row r="6579">
      <c r="A6579" s="131">
        <f>IFERROR(__xludf.DUMMYFUNCTION("""COMPUTED_VALUE"""),46187.565474537034)</f>
        <v>46187.56547</v>
      </c>
      <c r="B6579" s="126">
        <f>IFERROR(__xludf.DUMMYFUNCTION("""COMPUTED_VALUE"""),46187.0)</f>
        <v>46187</v>
      </c>
      <c r="C6579" s="130">
        <f>IFERROR(__xludf.DUMMYFUNCTION("""COMPUTED_VALUE"""),0.565474537037037)</f>
        <v>0.565474537</v>
      </c>
      <c r="D6579" s="122" t="str">
        <f>IFERROR(__xludf.DUMMYFUNCTION("""COMPUTED_VALUE"""),"DRON")</f>
        <v>DRON</v>
      </c>
      <c r="E6579" s="122" t="str">
        <f>IFERROR(__xludf.DUMMYFUNCTION("""COMPUTED_VALUE"""),"DroneDrop")</f>
        <v>DroneDrop</v>
      </c>
      <c r="F6579" s="122" t="str">
        <f>IFERROR(__xludf.DUMMYFUNCTION("""COMPUTED_VALUE"""),"Logistics")</f>
        <v>Logistics</v>
      </c>
    </row>
    <row r="6580">
      <c r="A6580" s="131">
        <f>IFERROR(__xludf.DUMMYFUNCTION("""COMPUTED_VALUE"""),46187.565474537034)</f>
        <v>46187.56547</v>
      </c>
      <c r="B6580" s="126">
        <f>IFERROR(__xludf.DUMMYFUNCTION("""COMPUTED_VALUE"""),46187.0)</f>
        <v>46187</v>
      </c>
      <c r="C6580" s="130">
        <f>IFERROR(__xludf.DUMMYFUNCTION("""COMPUTED_VALUE"""),0.565474537037037)</f>
        <v>0.565474537</v>
      </c>
      <c r="D6580" s="122" t="str">
        <f>IFERROR(__xludf.DUMMYFUNCTION("""COMPUTED_VALUE"""),"RIDE")</f>
        <v>RIDE</v>
      </c>
      <c r="E6580" s="122" t="str">
        <f>IFERROR(__xludf.DUMMYFUNCTION("""COMPUTED_VALUE"""),"QuickRide")</f>
        <v>QuickRide</v>
      </c>
      <c r="F6580" s="122" t="str">
        <f>IFERROR(__xludf.DUMMYFUNCTION("""COMPUTED_VALUE"""),"Transportation")</f>
        <v>Transportation</v>
      </c>
    </row>
    <row r="6581">
      <c r="A6581" s="131">
        <f>IFERROR(__xludf.DUMMYFUNCTION("""COMPUTED_VALUE"""),46187.565474537034)</f>
        <v>46187.56547</v>
      </c>
      <c r="B6581" s="126">
        <f>IFERROR(__xludf.DUMMYFUNCTION("""COMPUTED_VALUE"""),46187.0)</f>
        <v>46187</v>
      </c>
      <c r="C6581" s="130">
        <f>IFERROR(__xludf.DUMMYFUNCTION("""COMPUTED_VALUE"""),0.565474537037037)</f>
        <v>0.565474537</v>
      </c>
      <c r="D6581" s="122" t="str">
        <f>IFERROR(__xludf.DUMMYFUNCTION("""COMPUTED_VALUE"""),"RAIL")</f>
        <v>RAIL</v>
      </c>
      <c r="E6581" s="122" t="str">
        <f>IFERROR(__xludf.DUMMYFUNCTION("""COMPUTED_VALUE"""),"MetroRail Corp")</f>
        <v>MetroRail Corp</v>
      </c>
      <c r="F6581" s="122" t="str">
        <f>IFERROR(__xludf.DUMMYFUNCTION("""COMPUTED_VALUE"""),"Transportation")</f>
        <v>Transportation</v>
      </c>
    </row>
    <row r="6582">
      <c r="A6582" s="131">
        <f>IFERROR(__xludf.DUMMYFUNCTION("""COMPUTED_VALUE"""),46187.565474537034)</f>
        <v>46187.56547</v>
      </c>
      <c r="B6582" s="126">
        <f>IFERROR(__xludf.DUMMYFUNCTION("""COMPUTED_VALUE"""),46187.0)</f>
        <v>46187</v>
      </c>
      <c r="C6582" s="130">
        <f>IFERROR(__xludf.DUMMYFUNCTION("""COMPUTED_VALUE"""),0.565474537037037)</f>
        <v>0.565474537</v>
      </c>
      <c r="D6582" s="122" t="str">
        <f>IFERROR(__xludf.DUMMYFUNCTION("""COMPUTED_VALUE"""),"MEDX")</f>
        <v>MEDX</v>
      </c>
      <c r="E6582" s="122" t="str">
        <f>IFERROR(__xludf.DUMMYFUNCTION("""COMPUTED_VALUE"""),"MediCore")</f>
        <v>MediCore</v>
      </c>
      <c r="F6582" s="122" t="str">
        <f>IFERROR(__xludf.DUMMYFUNCTION("""COMPUTED_VALUE"""),"Healthcare")</f>
        <v>Healthcare</v>
      </c>
    </row>
    <row r="6583">
      <c r="A6583" s="131">
        <f>IFERROR(__xludf.DUMMYFUNCTION("""COMPUTED_VALUE"""),46187.565474537034)</f>
        <v>46187.56547</v>
      </c>
      <c r="B6583" s="126">
        <f>IFERROR(__xludf.DUMMYFUNCTION("""COMPUTED_VALUE"""),46187.0)</f>
        <v>46187</v>
      </c>
      <c r="C6583" s="130">
        <f>IFERROR(__xludf.DUMMYFUNCTION("""COMPUTED_VALUE"""),0.565474537037037)</f>
        <v>0.565474537</v>
      </c>
      <c r="D6583" s="122" t="str">
        <f>IFERROR(__xludf.DUMMYFUNCTION("""COMPUTED_VALUE"""),"GYMX")</f>
        <v>GYMX</v>
      </c>
      <c r="E6583" s="122" t="str">
        <f>IFERROR(__xludf.DUMMYFUNCTION("""COMPUTED_VALUE"""),"GymX Fitness")</f>
        <v>GymX Fitness</v>
      </c>
      <c r="F6583" s="122" t="str">
        <f>IFERROR(__xludf.DUMMYFUNCTION("""COMPUTED_VALUE"""),"Healthcare")</f>
        <v>Healthcare</v>
      </c>
    </row>
    <row r="6584">
      <c r="A6584" s="131">
        <f>IFERROR(__xludf.DUMMYFUNCTION("""COMPUTED_VALUE"""),46187.565474537034)</f>
        <v>46187.56547</v>
      </c>
      <c r="B6584" s="126">
        <f>IFERROR(__xludf.DUMMYFUNCTION("""COMPUTED_VALUE"""),46187.0)</f>
        <v>46187</v>
      </c>
      <c r="C6584" s="130">
        <f>IFERROR(__xludf.DUMMYFUNCTION("""COMPUTED_VALUE"""),0.565474537037037)</f>
        <v>0.565474537</v>
      </c>
      <c r="D6584" s="122" t="str">
        <f>IFERROR(__xludf.DUMMYFUNCTION("""COMPUTED_VALUE"""),"VITA")</f>
        <v>VITA</v>
      </c>
      <c r="E6584" s="122" t="str">
        <f>IFERROR(__xludf.DUMMYFUNCTION("""COMPUTED_VALUE"""),"VitaPlus")</f>
        <v>VitaPlus</v>
      </c>
      <c r="F6584" s="122" t="str">
        <f>IFERROR(__xludf.DUMMYFUNCTION("""COMPUTED_VALUE"""),"Healthcare")</f>
        <v>Healthcare</v>
      </c>
    </row>
    <row r="6585">
      <c r="A6585" s="131">
        <f>IFERROR(__xludf.DUMMYFUNCTION("""COMPUTED_VALUE"""),46187.565474537034)</f>
        <v>46187.56547</v>
      </c>
      <c r="B6585" s="126">
        <f>IFERROR(__xludf.DUMMYFUNCTION("""COMPUTED_VALUE"""),46187.0)</f>
        <v>46187</v>
      </c>
      <c r="C6585" s="130">
        <f>IFERROR(__xludf.DUMMYFUNCTION("""COMPUTED_VALUE"""),0.565474537037037)</f>
        <v>0.565474537</v>
      </c>
      <c r="D6585" s="122" t="str">
        <f>IFERROR(__xludf.DUMMYFUNCTION("""COMPUTED_VALUE"""),"CARE")</f>
        <v>CARE</v>
      </c>
      <c r="E6585" s="122" t="str">
        <f>IFERROR(__xludf.DUMMYFUNCTION("""COMPUTED_VALUE"""),"CareCloud")</f>
        <v>CareCloud</v>
      </c>
      <c r="F6585" s="122" t="str">
        <f>IFERROR(__xludf.DUMMYFUNCTION("""COMPUTED_VALUE"""),"Healthcare")</f>
        <v>Healthcare</v>
      </c>
    </row>
    <row r="6586">
      <c r="A6586" s="131">
        <f>IFERROR(__xludf.DUMMYFUNCTION("""COMPUTED_VALUE"""),46187.565474537034)</f>
        <v>46187.56547</v>
      </c>
      <c r="B6586" s="126">
        <f>IFERROR(__xludf.DUMMYFUNCTION("""COMPUTED_VALUE"""),46187.0)</f>
        <v>46187</v>
      </c>
      <c r="C6586" s="130">
        <f>IFERROR(__xludf.DUMMYFUNCTION("""COMPUTED_VALUE"""),0.565474537037037)</f>
        <v>0.565474537</v>
      </c>
      <c r="D6586" s="122" t="str">
        <f>IFERROR(__xludf.DUMMYFUNCTION("""COMPUTED_VALUE"""),"DENT")</f>
        <v>DENT</v>
      </c>
      <c r="E6586" s="122" t="str">
        <f>IFERROR(__xludf.DUMMYFUNCTION("""COMPUTED_VALUE"""),"SmileWorks")</f>
        <v>SmileWorks</v>
      </c>
      <c r="F6586" s="122" t="str">
        <f>IFERROR(__xludf.DUMMYFUNCTION("""COMPUTED_VALUE"""),"Healthcare")</f>
        <v>Healthcare</v>
      </c>
    </row>
    <row r="6587">
      <c r="A6587" s="131">
        <f>IFERROR(__xludf.DUMMYFUNCTION("""COMPUTED_VALUE"""),46187.565474537034)</f>
        <v>46187.56547</v>
      </c>
      <c r="B6587" s="126">
        <f>IFERROR(__xludf.DUMMYFUNCTION("""COMPUTED_VALUE"""),46187.0)</f>
        <v>46187</v>
      </c>
      <c r="C6587" s="130">
        <f>IFERROR(__xludf.DUMMYFUNCTION("""COMPUTED_VALUE"""),0.565474537037037)</f>
        <v>0.565474537</v>
      </c>
      <c r="D6587" s="122" t="str">
        <f>IFERROR(__xludf.DUMMYFUNCTION("""COMPUTED_VALUE"""),"EDUX")</f>
        <v>EDUX</v>
      </c>
      <c r="E6587" s="122" t="str">
        <f>IFERROR(__xludf.DUMMYFUNCTION("""COMPUTED_VALUE"""),"EduMax Learning")</f>
        <v>EduMax Learning</v>
      </c>
      <c r="F6587" s="122" t="str">
        <f>IFERROR(__xludf.DUMMYFUNCTION("""COMPUTED_VALUE"""),"Education")</f>
        <v>Education</v>
      </c>
    </row>
    <row r="6588">
      <c r="A6588" s="131">
        <f>IFERROR(__xludf.DUMMYFUNCTION("""COMPUTED_VALUE"""),46187.565474537034)</f>
        <v>46187.56547</v>
      </c>
      <c r="B6588" s="126">
        <f>IFERROR(__xludf.DUMMYFUNCTION("""COMPUTED_VALUE"""),46187.0)</f>
        <v>46187</v>
      </c>
      <c r="C6588" s="130">
        <f>IFERROR(__xludf.DUMMYFUNCTION("""COMPUTED_VALUE"""),0.565474537037037)</f>
        <v>0.565474537</v>
      </c>
      <c r="D6588" s="122" t="str">
        <f>IFERROR(__xludf.DUMMYFUNCTION("""COMPUTED_VALUE"""),"BOOK")</f>
        <v>BOOK</v>
      </c>
      <c r="E6588" s="122" t="str">
        <f>IFERROR(__xludf.DUMMYFUNCTION("""COMPUTED_VALUE"""),"BookBridge")</f>
        <v>BookBridge</v>
      </c>
      <c r="F6588" s="122" t="str">
        <f>IFERROR(__xludf.DUMMYFUNCTION("""COMPUTED_VALUE"""),"Education")</f>
        <v>Education</v>
      </c>
    </row>
    <row r="6589">
      <c r="A6589" s="131">
        <f>IFERROR(__xludf.DUMMYFUNCTION("""COMPUTED_VALUE"""),46187.565474537034)</f>
        <v>46187.56547</v>
      </c>
      <c r="B6589" s="126">
        <f>IFERROR(__xludf.DUMMYFUNCTION("""COMPUTED_VALUE"""),46187.0)</f>
        <v>46187</v>
      </c>
      <c r="C6589" s="130">
        <f>IFERROR(__xludf.DUMMYFUNCTION("""COMPUTED_VALUE"""),0.565474537037037)</f>
        <v>0.565474537</v>
      </c>
      <c r="D6589" s="122" t="str">
        <f>IFERROR(__xludf.DUMMYFUNCTION("""COMPUTED_VALUE"""),"TUTR")</f>
        <v>TUTR</v>
      </c>
      <c r="E6589" s="122" t="str">
        <f>IFERROR(__xludf.DUMMYFUNCTION("""COMPUTED_VALUE"""),"TutorTown")</f>
        <v>TutorTown</v>
      </c>
      <c r="F6589" s="122" t="str">
        <f>IFERROR(__xludf.DUMMYFUNCTION("""COMPUTED_VALUE"""),"Education")</f>
        <v>Education</v>
      </c>
    </row>
    <row r="6590">
      <c r="A6590" s="131">
        <f>IFERROR(__xludf.DUMMYFUNCTION("""COMPUTED_VALUE"""),46187.565474537034)</f>
        <v>46187.56547</v>
      </c>
      <c r="B6590" s="126">
        <f>IFERROR(__xludf.DUMMYFUNCTION("""COMPUTED_VALUE"""),46187.0)</f>
        <v>46187</v>
      </c>
      <c r="C6590" s="130">
        <f>IFERROR(__xludf.DUMMYFUNCTION("""COMPUTED_VALUE"""),0.565474537037037)</f>
        <v>0.565474537</v>
      </c>
      <c r="D6590" s="122" t="str">
        <f>IFERROR(__xludf.DUMMYFUNCTION("""COMPUTED_VALUE"""),"LANG")</f>
        <v>LANG</v>
      </c>
      <c r="E6590" s="122" t="str">
        <f>IFERROR(__xludf.DUMMYFUNCTION("""COMPUTED_VALUE"""),"LinguaLab")</f>
        <v>LinguaLab</v>
      </c>
      <c r="F6590" s="122" t="str">
        <f>IFERROR(__xludf.DUMMYFUNCTION("""COMPUTED_VALUE"""),"Education")</f>
        <v>Education</v>
      </c>
    </row>
    <row r="6591">
      <c r="A6591" s="131">
        <f>IFERROR(__xludf.DUMMYFUNCTION("""COMPUTED_VALUE"""),46187.565474537034)</f>
        <v>46187.56547</v>
      </c>
      <c r="B6591" s="126">
        <f>IFERROR(__xludf.DUMMYFUNCTION("""COMPUTED_VALUE"""),46187.0)</f>
        <v>46187</v>
      </c>
      <c r="C6591" s="130">
        <f>IFERROR(__xludf.DUMMYFUNCTION("""COMPUTED_VALUE"""),0.565474537037037)</f>
        <v>0.565474537</v>
      </c>
      <c r="D6591" s="122" t="str">
        <f>IFERROR(__xludf.DUMMYFUNCTION("""COMPUTED_VALUE"""),"TEST")</f>
        <v>TEST</v>
      </c>
      <c r="E6591" s="122" t="str">
        <f>IFERROR(__xludf.DUMMYFUNCTION("""COMPUTED_VALUE"""),"TestPrep Pro")</f>
        <v>TestPrep Pro</v>
      </c>
      <c r="F6591" s="122" t="str">
        <f>IFERROR(__xludf.DUMMYFUNCTION("""COMPUTED_VALUE"""),"Education")</f>
        <v>Education</v>
      </c>
    </row>
    <row r="6592">
      <c r="A6592" s="131">
        <f>IFERROR(__xludf.DUMMYFUNCTION("""COMPUTED_VALUE"""),46187.565474537034)</f>
        <v>46187.56547</v>
      </c>
      <c r="B6592" s="126">
        <f>IFERROR(__xludf.DUMMYFUNCTION("""COMPUTED_VALUE"""),46187.0)</f>
        <v>46187</v>
      </c>
      <c r="C6592" s="130">
        <f>IFERROR(__xludf.DUMMYFUNCTION("""COMPUTED_VALUE"""),0.565474537037037)</f>
        <v>0.565474537</v>
      </c>
      <c r="D6592" s="122" t="str">
        <f>IFERROR(__xludf.DUMMYFUNCTION("""COMPUTED_VALUE"""),"MOVI")</f>
        <v>MOVI</v>
      </c>
      <c r="E6592" s="122" t="str">
        <f>IFERROR(__xludf.DUMMYFUNCTION("""COMPUTED_VALUE"""),"MovieBox")</f>
        <v>MovieBox</v>
      </c>
      <c r="F6592" s="122" t="str">
        <f>IFERROR(__xludf.DUMMYFUNCTION("""COMPUTED_VALUE"""),"Entertainment")</f>
        <v>Entertainment</v>
      </c>
    </row>
    <row r="6593">
      <c r="A6593" s="131">
        <f>IFERROR(__xludf.DUMMYFUNCTION("""COMPUTED_VALUE"""),46187.565474537034)</f>
        <v>46187.56547</v>
      </c>
      <c r="B6593" s="126">
        <f>IFERROR(__xludf.DUMMYFUNCTION("""COMPUTED_VALUE"""),46187.0)</f>
        <v>46187</v>
      </c>
      <c r="C6593" s="130">
        <f>IFERROR(__xludf.DUMMYFUNCTION("""COMPUTED_VALUE"""),0.565474537037037)</f>
        <v>0.565474537</v>
      </c>
      <c r="D6593" s="122" t="str">
        <f>IFERROR(__xludf.DUMMYFUNCTION("""COMPUTED_VALUE"""),"MUSC")</f>
        <v>MUSC</v>
      </c>
      <c r="E6593" s="122" t="str">
        <f>IFERROR(__xludf.DUMMYFUNCTION("""COMPUTED_VALUE"""),"MusicWave")</f>
        <v>MusicWave</v>
      </c>
      <c r="F6593" s="122" t="str">
        <f>IFERROR(__xludf.DUMMYFUNCTION("""COMPUTED_VALUE"""),"Entertainment")</f>
        <v>Entertainment</v>
      </c>
    </row>
    <row r="6594">
      <c r="A6594" s="131">
        <f>IFERROR(__xludf.DUMMYFUNCTION("""COMPUTED_VALUE"""),46187.565474537034)</f>
        <v>46187.56547</v>
      </c>
      <c r="B6594" s="126">
        <f>IFERROR(__xludf.DUMMYFUNCTION("""COMPUTED_VALUE"""),46187.0)</f>
        <v>46187</v>
      </c>
      <c r="C6594" s="130">
        <f>IFERROR(__xludf.DUMMYFUNCTION("""COMPUTED_VALUE"""),0.565474537037037)</f>
        <v>0.565474537</v>
      </c>
      <c r="D6594" s="122" t="str">
        <f>IFERROR(__xludf.DUMMYFUNCTION("""COMPUTED_VALUE"""),"IDOL")</f>
        <v>IDOL</v>
      </c>
      <c r="E6594" s="122" t="str">
        <f>IFERROR(__xludf.DUMMYFUNCTION("""COMPUTED_VALUE"""),"Idol Agency")</f>
        <v>Idol Agency</v>
      </c>
      <c r="F6594" s="122" t="str">
        <f>IFERROR(__xludf.DUMMYFUNCTION("""COMPUTED_VALUE"""),"Entertainment")</f>
        <v>Entertainment</v>
      </c>
    </row>
    <row r="6595">
      <c r="A6595" s="131">
        <f>IFERROR(__xludf.DUMMYFUNCTION("""COMPUTED_VALUE"""),46187.565474537034)</f>
        <v>46187.56547</v>
      </c>
      <c r="B6595" s="126">
        <f>IFERROR(__xludf.DUMMYFUNCTION("""COMPUTED_VALUE"""),46187.0)</f>
        <v>46187</v>
      </c>
      <c r="C6595" s="130">
        <f>IFERROR(__xludf.DUMMYFUNCTION("""COMPUTED_VALUE"""),0.565474537037037)</f>
        <v>0.565474537</v>
      </c>
      <c r="D6595" s="122" t="str">
        <f>IFERROR(__xludf.DUMMYFUNCTION("""COMPUTED_VALUE"""),"MEME")</f>
        <v>MEME</v>
      </c>
      <c r="E6595" s="122" t="str">
        <f>IFERROR(__xludf.DUMMYFUNCTION("""COMPUTED_VALUE"""),"Meme Media")</f>
        <v>Meme Media</v>
      </c>
      <c r="F6595" s="122" t="str">
        <f>IFERROR(__xludf.DUMMYFUNCTION("""COMPUTED_VALUE"""),"Entertainment")</f>
        <v>Entertainment</v>
      </c>
    </row>
    <row r="6596">
      <c r="A6596" s="131">
        <f>IFERROR(__xludf.DUMMYFUNCTION("""COMPUTED_VALUE"""),46187.565474537034)</f>
        <v>46187.56547</v>
      </c>
      <c r="B6596" s="126">
        <f>IFERROR(__xludf.DUMMYFUNCTION("""COMPUTED_VALUE"""),46187.0)</f>
        <v>46187</v>
      </c>
      <c r="C6596" s="130">
        <f>IFERROR(__xludf.DUMMYFUNCTION("""COMPUTED_VALUE"""),0.565474537037037)</f>
        <v>0.565474537</v>
      </c>
      <c r="D6596" s="122" t="str">
        <f>IFERROR(__xludf.DUMMYFUNCTION("""COMPUTED_VALUE"""),"STRM")</f>
        <v>STRM</v>
      </c>
      <c r="E6596" s="122" t="str">
        <f>IFERROR(__xludf.DUMMYFUNCTION("""COMPUTED_VALUE"""),"Streamly")</f>
        <v>Streamly</v>
      </c>
      <c r="F6596" s="122" t="str">
        <f>IFERROR(__xludf.DUMMYFUNCTION("""COMPUTED_VALUE"""),"Entertainment")</f>
        <v>Entertainment</v>
      </c>
    </row>
    <row r="6597">
      <c r="A6597" s="131">
        <f>IFERROR(__xludf.DUMMYFUNCTION("""COMPUTED_VALUE"""),46187.565474537034)</f>
        <v>46187.56547</v>
      </c>
      <c r="B6597" s="126">
        <f>IFERROR(__xludf.DUMMYFUNCTION("""COMPUTED_VALUE"""),46187.0)</f>
        <v>46187</v>
      </c>
      <c r="C6597" s="130">
        <f>IFERROR(__xludf.DUMMYFUNCTION("""COMPUTED_VALUE"""),0.565474537037037)</f>
        <v>0.565474537</v>
      </c>
      <c r="D6597" s="122" t="str">
        <f>IFERROR(__xludf.DUMMYFUNCTION("""COMPUTED_VALUE"""),"FARM")</f>
        <v>FARM</v>
      </c>
      <c r="E6597" s="122" t="str">
        <f>IFERROR(__xludf.DUMMYFUNCTION("""COMPUTED_VALUE"""),"Future Farms")</f>
        <v>Future Farms</v>
      </c>
      <c r="F6597" s="122" t="str">
        <f>IFERROR(__xludf.DUMMYFUNCTION("""COMPUTED_VALUE"""),"Agriculture")</f>
        <v>Agriculture</v>
      </c>
    </row>
    <row r="6598">
      <c r="A6598" s="131">
        <f>IFERROR(__xludf.DUMMYFUNCTION("""COMPUTED_VALUE"""),46187.565474537034)</f>
        <v>46187.56547</v>
      </c>
      <c r="B6598" s="126">
        <f>IFERROR(__xludf.DUMMYFUNCTION("""COMPUTED_VALUE"""),46187.0)</f>
        <v>46187</v>
      </c>
      <c r="C6598" s="130">
        <f>IFERROR(__xludf.DUMMYFUNCTION("""COMPUTED_VALUE"""),0.565474537037037)</f>
        <v>0.565474537</v>
      </c>
      <c r="D6598" s="122" t="str">
        <f>IFERROR(__xludf.DUMMYFUNCTION("""COMPUTED_VALUE"""),"MEAT")</f>
        <v>MEAT</v>
      </c>
      <c r="E6598" s="122" t="str">
        <f>IFERROR(__xludf.DUMMYFUNCTION("""COMPUTED_VALUE"""),"MeatWorks")</f>
        <v>MeatWorks</v>
      </c>
      <c r="F6598" s="122" t="str">
        <f>IFERROR(__xludf.DUMMYFUNCTION("""COMPUTED_VALUE"""),"Food")</f>
        <v>Food</v>
      </c>
    </row>
    <row r="6599">
      <c r="A6599" s="131">
        <f>IFERROR(__xludf.DUMMYFUNCTION("""COMPUTED_VALUE"""),46187.565474537034)</f>
        <v>46187.56547</v>
      </c>
      <c r="B6599" s="126">
        <f>IFERROR(__xludf.DUMMYFUNCTION("""COMPUTED_VALUE"""),46187.0)</f>
        <v>46187</v>
      </c>
      <c r="C6599" s="130">
        <f>IFERROR(__xludf.DUMMYFUNCTION("""COMPUTED_VALUE"""),0.565474537037037)</f>
        <v>0.565474537</v>
      </c>
      <c r="D6599" s="122" t="str">
        <f>IFERROR(__xludf.DUMMYFUNCTION("""COMPUTED_VALUE"""),"VEGI")</f>
        <v>VEGI</v>
      </c>
      <c r="E6599" s="122" t="str">
        <f>IFERROR(__xludf.DUMMYFUNCTION("""COMPUTED_VALUE"""),"Green Basket")</f>
        <v>Green Basket</v>
      </c>
      <c r="F6599" s="122" t="str">
        <f>IFERROR(__xludf.DUMMYFUNCTION("""COMPUTED_VALUE"""),"Food")</f>
        <v>Food</v>
      </c>
    </row>
    <row r="6600">
      <c r="A6600" s="131">
        <f>IFERROR(__xludf.DUMMYFUNCTION("""COMPUTED_VALUE"""),46187.565474537034)</f>
        <v>46187.56547</v>
      </c>
      <c r="B6600" s="126">
        <f>IFERROR(__xludf.DUMMYFUNCTION("""COMPUTED_VALUE"""),46187.0)</f>
        <v>46187</v>
      </c>
      <c r="C6600" s="130">
        <f>IFERROR(__xludf.DUMMYFUNCTION("""COMPUTED_VALUE"""),0.565474537037037)</f>
        <v>0.565474537</v>
      </c>
      <c r="D6600" s="122" t="str">
        <f>IFERROR(__xludf.DUMMYFUNCTION("""COMPUTED_VALUE"""),"CAFE")</f>
        <v>CAFE</v>
      </c>
      <c r="E6600" s="122" t="str">
        <f>IFERROR(__xludf.DUMMYFUNCTION("""COMPUTED_VALUE"""),"Cafe Cloud")</f>
        <v>Cafe Cloud</v>
      </c>
      <c r="F6600" s="122" t="str">
        <f>IFERROR(__xludf.DUMMYFUNCTION("""COMPUTED_VALUE"""),"Food")</f>
        <v>Food</v>
      </c>
    </row>
    <row r="6601">
      <c r="A6601" s="131">
        <f>IFERROR(__xludf.DUMMYFUNCTION("""COMPUTED_VALUE"""),46187.565474537034)</f>
        <v>46187.56547</v>
      </c>
      <c r="B6601" s="126">
        <f>IFERROR(__xludf.DUMMYFUNCTION("""COMPUTED_VALUE"""),46187.0)</f>
        <v>46187</v>
      </c>
      <c r="C6601" s="130">
        <f>IFERROR(__xludf.DUMMYFUNCTION("""COMPUTED_VALUE"""),0.565474537037037)</f>
        <v>0.565474537</v>
      </c>
      <c r="D6601" s="122" t="str">
        <f>IFERROR(__xludf.DUMMYFUNCTION("""COMPUTED_VALUE"""),"BAKE")</f>
        <v>BAKE</v>
      </c>
      <c r="E6601" s="122" t="str">
        <f>IFERROR(__xludf.DUMMYFUNCTION("""COMPUTED_VALUE"""),"BakeHouse")</f>
        <v>BakeHouse</v>
      </c>
      <c r="F6601" s="122" t="str">
        <f>IFERROR(__xludf.DUMMYFUNCTION("""COMPUTED_VALUE"""),"Food")</f>
        <v>Food</v>
      </c>
    </row>
    <row r="6602">
      <c r="A6602" s="131">
        <f>IFERROR(__xludf.DUMMYFUNCTION("""COMPUTED_VALUE"""),46187.565474537034)</f>
        <v>46187.56547</v>
      </c>
      <c r="B6602" s="126">
        <f>IFERROR(__xludf.DUMMYFUNCTION("""COMPUTED_VALUE"""),46187.0)</f>
        <v>46187</v>
      </c>
      <c r="C6602" s="130">
        <f>IFERROR(__xludf.DUMMYFUNCTION("""COMPUTED_VALUE"""),0.565474537037037)</f>
        <v>0.565474537</v>
      </c>
      <c r="D6602" s="122" t="str">
        <f>IFERROR(__xludf.DUMMYFUNCTION("""COMPUTED_VALUE"""),"OILX")</f>
        <v>OILX</v>
      </c>
      <c r="E6602" s="122" t="str">
        <f>IFERROR(__xludf.DUMMYFUNCTION("""COMPUTED_VALUE"""),"OilMax Energy")</f>
        <v>OilMax Energy</v>
      </c>
      <c r="F6602" s="122" t="str">
        <f>IFERROR(__xludf.DUMMYFUNCTION("""COMPUTED_VALUE"""),"Energy")</f>
        <v>Energy</v>
      </c>
    </row>
    <row r="6603">
      <c r="A6603" s="131">
        <f>IFERROR(__xludf.DUMMYFUNCTION("""COMPUTED_VALUE"""),46187.565474537034)</f>
        <v>46187.56547</v>
      </c>
      <c r="B6603" s="126">
        <f>IFERROR(__xludf.DUMMYFUNCTION("""COMPUTED_VALUE"""),46187.0)</f>
        <v>46187</v>
      </c>
      <c r="C6603" s="130">
        <f>IFERROR(__xludf.DUMMYFUNCTION("""COMPUTED_VALUE"""),0.565474537037037)</f>
        <v>0.565474537</v>
      </c>
      <c r="D6603" s="122" t="str">
        <f>IFERROR(__xludf.DUMMYFUNCTION("""COMPUTED_VALUE"""),"SOLR")</f>
        <v>SOLR</v>
      </c>
      <c r="E6603" s="122" t="str">
        <f>IFERROR(__xludf.DUMMYFUNCTION("""COMPUTED_VALUE"""),"SolarSpark")</f>
        <v>SolarSpark</v>
      </c>
      <c r="F6603" s="122" t="str">
        <f>IFERROR(__xludf.DUMMYFUNCTION("""COMPUTED_VALUE"""),"Energy")</f>
        <v>Energy</v>
      </c>
    </row>
    <row r="6604">
      <c r="A6604" s="131">
        <f>IFERROR(__xludf.DUMMYFUNCTION("""COMPUTED_VALUE"""),46187.565474537034)</f>
        <v>46187.56547</v>
      </c>
      <c r="B6604" s="126">
        <f>IFERROR(__xludf.DUMMYFUNCTION("""COMPUTED_VALUE"""),46187.0)</f>
        <v>46187</v>
      </c>
      <c r="C6604" s="130">
        <f>IFERROR(__xludf.DUMMYFUNCTION("""COMPUTED_VALUE"""),0.565474537037037)</f>
        <v>0.565474537</v>
      </c>
      <c r="D6604" s="122" t="str">
        <f>IFERROR(__xludf.DUMMYFUNCTION("""COMPUTED_VALUE"""),"BATT")</f>
        <v>BATT</v>
      </c>
      <c r="E6604" s="122" t="str">
        <f>IFERROR(__xludf.DUMMYFUNCTION("""COMPUTED_VALUE"""),"BatteryBox")</f>
        <v>BatteryBox</v>
      </c>
      <c r="F6604" s="122" t="str">
        <f>IFERROR(__xludf.DUMMYFUNCTION("""COMPUTED_VALUE"""),"Energy")</f>
        <v>Energy</v>
      </c>
    </row>
    <row r="6605">
      <c r="A6605" s="131">
        <f>IFERROR(__xludf.DUMMYFUNCTION("""COMPUTED_VALUE"""),46187.565474537034)</f>
        <v>46187.56547</v>
      </c>
      <c r="B6605" s="126">
        <f>IFERROR(__xludf.DUMMYFUNCTION("""COMPUTED_VALUE"""),46187.0)</f>
        <v>46187</v>
      </c>
      <c r="C6605" s="130">
        <f>IFERROR(__xludf.DUMMYFUNCTION("""COMPUTED_VALUE"""),0.565474537037037)</f>
        <v>0.565474537</v>
      </c>
      <c r="D6605" s="122" t="str">
        <f>IFERROR(__xludf.DUMMYFUNCTION("""COMPUTED_VALUE"""),"WIND")</f>
        <v>WIND</v>
      </c>
      <c r="E6605" s="122" t="str">
        <f>IFERROR(__xludf.DUMMYFUNCTION("""COMPUTED_VALUE"""),"WindWorks")</f>
        <v>WindWorks</v>
      </c>
      <c r="F6605" s="122" t="str">
        <f>IFERROR(__xludf.DUMMYFUNCTION("""COMPUTED_VALUE"""),"Energy")</f>
        <v>Energy</v>
      </c>
    </row>
    <row r="6606">
      <c r="A6606" s="131">
        <f>IFERROR(__xludf.DUMMYFUNCTION("""COMPUTED_VALUE"""),46187.565474537034)</f>
        <v>46187.56547</v>
      </c>
      <c r="B6606" s="126">
        <f>IFERROR(__xludf.DUMMYFUNCTION("""COMPUTED_VALUE"""),46187.0)</f>
        <v>46187</v>
      </c>
      <c r="C6606" s="130">
        <f>IFERROR(__xludf.DUMMYFUNCTION("""COMPUTED_VALUE"""),0.565474537037037)</f>
        <v>0.565474537</v>
      </c>
      <c r="D6606" s="122" t="str">
        <f>IFERROR(__xludf.DUMMYFUNCTION("""COMPUTED_VALUE"""),"GRID")</f>
        <v>GRID</v>
      </c>
      <c r="E6606" s="122" t="str">
        <f>IFERROR(__xludf.DUMMYFUNCTION("""COMPUTED_VALUE"""),"GridPower")</f>
        <v>GridPower</v>
      </c>
      <c r="F6606" s="122" t="str">
        <f>IFERROR(__xludf.DUMMYFUNCTION("""COMPUTED_VALUE"""),"Energy")</f>
        <v>Energy</v>
      </c>
    </row>
    <row r="6607">
      <c r="A6607" s="131">
        <f>IFERROR(__xludf.DUMMYFUNCTION("""COMPUTED_VALUE"""),46187.565474537034)</f>
        <v>46187.56547</v>
      </c>
      <c r="B6607" s="126">
        <f>IFERROR(__xludf.DUMMYFUNCTION("""COMPUTED_VALUE"""),46187.0)</f>
        <v>46187</v>
      </c>
      <c r="C6607" s="130">
        <f>IFERROR(__xludf.DUMMYFUNCTION("""COMPUTED_VALUE"""),0.565474537037037)</f>
        <v>0.565474537</v>
      </c>
      <c r="D6607" s="122" t="str">
        <f>IFERROR(__xludf.DUMMYFUNCTION("""COMPUTED_VALUE"""),"HOME")</f>
        <v>HOME</v>
      </c>
      <c r="E6607" s="122" t="str">
        <f>IFERROR(__xludf.DUMMYFUNCTION("""COMPUTED_VALUE"""),"HomeHub")</f>
        <v>HomeHub</v>
      </c>
      <c r="F6607" s="122" t="str">
        <f>IFERROR(__xludf.DUMMYFUNCTION("""COMPUTED_VALUE"""),"Real Estate")</f>
        <v>Real Estate</v>
      </c>
    </row>
    <row r="6608">
      <c r="A6608" s="131">
        <f>IFERROR(__xludf.DUMMYFUNCTION("""COMPUTED_VALUE"""),46187.565474537034)</f>
        <v>46187.56547</v>
      </c>
      <c r="B6608" s="126">
        <f>IFERROR(__xludf.DUMMYFUNCTION("""COMPUTED_VALUE"""),46187.0)</f>
        <v>46187</v>
      </c>
      <c r="C6608" s="130">
        <f>IFERROR(__xludf.DUMMYFUNCTION("""COMPUTED_VALUE"""),0.565474537037037)</f>
        <v>0.565474537</v>
      </c>
      <c r="D6608" s="122" t="str">
        <f>IFERROR(__xludf.DUMMYFUNCTION("""COMPUTED_VALUE"""),"RENT")</f>
        <v>RENT</v>
      </c>
      <c r="E6608" s="122" t="str">
        <f>IFERROR(__xludf.DUMMYFUNCTION("""COMPUTED_VALUE"""),"RentRight")</f>
        <v>RentRight</v>
      </c>
      <c r="F6608" s="122" t="str">
        <f>IFERROR(__xludf.DUMMYFUNCTION("""COMPUTED_VALUE"""),"Real Estate")</f>
        <v>Real Estate</v>
      </c>
    </row>
    <row r="6609">
      <c r="A6609" s="131">
        <f>IFERROR(__xludf.DUMMYFUNCTION("""COMPUTED_VALUE"""),46187.565474537034)</f>
        <v>46187.56547</v>
      </c>
      <c r="B6609" s="126">
        <f>IFERROR(__xludf.DUMMYFUNCTION("""COMPUTED_VALUE"""),46187.0)</f>
        <v>46187</v>
      </c>
      <c r="C6609" s="130">
        <f>IFERROR(__xludf.DUMMYFUNCTION("""COMPUTED_VALUE"""),0.565474537037037)</f>
        <v>0.565474537</v>
      </c>
      <c r="D6609" s="122" t="str">
        <f>IFERROR(__xludf.DUMMYFUNCTION("""COMPUTED_VALUE"""),"MALL")</f>
        <v>MALL</v>
      </c>
      <c r="E6609" s="122" t="str">
        <f>IFERROR(__xludf.DUMMYFUNCTION("""COMPUTED_VALUE"""),"MegaMall")</f>
        <v>MegaMall</v>
      </c>
      <c r="F6609" s="122" t="str">
        <f>IFERROR(__xludf.DUMMYFUNCTION("""COMPUTED_VALUE"""),"Real Estate")</f>
        <v>Real Estate</v>
      </c>
    </row>
    <row r="6610">
      <c r="A6610" s="131">
        <f>IFERROR(__xludf.DUMMYFUNCTION("""COMPUTED_VALUE"""),46187.565474537034)</f>
        <v>46187.56547</v>
      </c>
      <c r="B6610" s="126">
        <f>IFERROR(__xludf.DUMMYFUNCTION("""COMPUTED_VALUE"""),46187.0)</f>
        <v>46187</v>
      </c>
      <c r="C6610" s="130">
        <f>IFERROR(__xludf.DUMMYFUNCTION("""COMPUTED_VALUE"""),0.565474537037037)</f>
        <v>0.565474537</v>
      </c>
      <c r="D6610" s="122" t="str">
        <f>IFERROR(__xludf.DUMMYFUNCTION("""COMPUTED_VALUE"""),"HOTL")</f>
        <v>HOTL</v>
      </c>
      <c r="E6610" s="122" t="str">
        <f>IFERROR(__xludf.DUMMYFUNCTION("""COMPUTED_VALUE"""),"HotelHive")</f>
        <v>HotelHive</v>
      </c>
      <c r="F6610" s="122" t="str">
        <f>IFERROR(__xludf.DUMMYFUNCTION("""COMPUTED_VALUE"""),"Real Estate")</f>
        <v>Real Estate</v>
      </c>
    </row>
    <row r="6611">
      <c r="A6611" s="131">
        <f>IFERROR(__xludf.DUMMYFUNCTION("""COMPUTED_VALUE"""),46187.565474537034)</f>
        <v>46187.56547</v>
      </c>
      <c r="B6611" s="126">
        <f>IFERROR(__xludf.DUMMYFUNCTION("""COMPUTED_VALUE"""),46187.0)</f>
        <v>46187</v>
      </c>
      <c r="C6611" s="130">
        <f>IFERROR(__xludf.DUMMYFUNCTION("""COMPUTED_VALUE"""),0.565474537037037)</f>
        <v>0.565474537</v>
      </c>
      <c r="D6611" s="122" t="str">
        <f>IFERROR(__xludf.DUMMYFUNCTION("""COMPUTED_VALUE"""),"LAND")</f>
        <v>LAND</v>
      </c>
      <c r="E6611" s="122" t="str">
        <f>IFERROR(__xludf.DUMMYFUNCTION("""COMPUTED_VALUE"""),"LandLink")</f>
        <v>LandLink</v>
      </c>
      <c r="F6611" s="122" t="str">
        <f>IFERROR(__xludf.DUMMYFUNCTION("""COMPUTED_VALUE"""),"Real Estate")</f>
        <v>Real Estate</v>
      </c>
    </row>
    <row r="6612">
      <c r="A6612" s="131">
        <f>IFERROR(__xludf.DUMMYFUNCTION("""COMPUTED_VALUE"""),46187.565474537034)</f>
        <v>46187.56547</v>
      </c>
      <c r="B6612" s="126">
        <f>IFERROR(__xludf.DUMMYFUNCTION("""COMPUTED_VALUE"""),46187.0)</f>
        <v>46187</v>
      </c>
      <c r="C6612" s="130">
        <f>IFERROR(__xludf.DUMMYFUNCTION("""COMPUTED_VALUE"""),0.565474537037037)</f>
        <v>0.565474537</v>
      </c>
      <c r="D6612" s="122" t="str">
        <f>IFERROR(__xludf.DUMMYFUNCTION("""COMPUTED_VALUE"""),"CARS")</f>
        <v>CARS</v>
      </c>
      <c r="E6612" s="122" t="str">
        <f>IFERROR(__xludf.DUMMYFUNCTION("""COMPUTED_VALUE"""),"AutoArena")</f>
        <v>AutoArena</v>
      </c>
      <c r="F6612" s="122" t="str">
        <f>IFERROR(__xludf.DUMMYFUNCTION("""COMPUTED_VALUE"""),"Automotive")</f>
        <v>Automotive</v>
      </c>
    </row>
    <row r="6613">
      <c r="A6613" s="131">
        <f>IFERROR(__xludf.DUMMYFUNCTION("""COMPUTED_VALUE"""),46187.565474537034)</f>
        <v>46187.56547</v>
      </c>
      <c r="B6613" s="126">
        <f>IFERROR(__xludf.DUMMYFUNCTION("""COMPUTED_VALUE"""),46187.0)</f>
        <v>46187</v>
      </c>
      <c r="C6613" s="130">
        <f>IFERROR(__xludf.DUMMYFUNCTION("""COMPUTED_VALUE"""),0.565474537037037)</f>
        <v>0.565474537</v>
      </c>
      <c r="D6613" s="122" t="str">
        <f>IFERROR(__xludf.DUMMYFUNCTION("""COMPUTED_VALUE"""),"EVGO")</f>
        <v>EVGO</v>
      </c>
      <c r="E6613" s="122" t="str">
        <f>IFERROR(__xludf.DUMMYFUNCTION("""COMPUTED_VALUE"""),"EVGo Motors")</f>
        <v>EVGo Motors</v>
      </c>
      <c r="F6613" s="122" t="str">
        <f>IFERROR(__xludf.DUMMYFUNCTION("""COMPUTED_VALUE"""),"Automotive")</f>
        <v>Automotive</v>
      </c>
    </row>
    <row r="6614">
      <c r="A6614" s="131">
        <f>IFERROR(__xludf.DUMMYFUNCTION("""COMPUTED_VALUE"""),46187.565474537034)</f>
        <v>46187.56547</v>
      </c>
      <c r="B6614" s="126">
        <f>IFERROR(__xludf.DUMMYFUNCTION("""COMPUTED_VALUE"""),46187.0)</f>
        <v>46187</v>
      </c>
      <c r="C6614" s="130">
        <f>IFERROR(__xludf.DUMMYFUNCTION("""COMPUTED_VALUE"""),0.565474537037037)</f>
        <v>0.565474537</v>
      </c>
      <c r="D6614" s="122" t="str">
        <f>IFERROR(__xludf.DUMMYFUNCTION("""COMPUTED_VALUE"""),"TIRE")</f>
        <v>TIRE</v>
      </c>
      <c r="E6614" s="122" t="str">
        <f>IFERROR(__xludf.DUMMYFUNCTION("""COMPUTED_VALUE"""),"TireTown")</f>
        <v>TireTown</v>
      </c>
      <c r="F6614" s="122" t="str">
        <f>IFERROR(__xludf.DUMMYFUNCTION("""COMPUTED_VALUE"""),"Automotive")</f>
        <v>Automotive</v>
      </c>
    </row>
    <row r="6615">
      <c r="A6615" s="131">
        <f>IFERROR(__xludf.DUMMYFUNCTION("""COMPUTED_VALUE"""),46187.565474537034)</f>
        <v>46187.56547</v>
      </c>
      <c r="B6615" s="126">
        <f>IFERROR(__xludf.DUMMYFUNCTION("""COMPUTED_VALUE"""),46187.0)</f>
        <v>46187</v>
      </c>
      <c r="C6615" s="130">
        <f>IFERROR(__xludf.DUMMYFUNCTION("""COMPUTED_VALUE"""),0.565474537037037)</f>
        <v>0.565474537</v>
      </c>
      <c r="D6615" s="122" t="str">
        <f>IFERROR(__xludf.DUMMYFUNCTION("""COMPUTED_VALUE"""),"BIKE")</f>
        <v>BIKE</v>
      </c>
      <c r="E6615" s="122" t="str">
        <f>IFERROR(__xludf.DUMMYFUNCTION("""COMPUTED_VALUE"""),"BikeBox")</f>
        <v>BikeBox</v>
      </c>
      <c r="F6615" s="122" t="str">
        <f>IFERROR(__xludf.DUMMYFUNCTION("""COMPUTED_VALUE"""),"Automotive")</f>
        <v>Automotive</v>
      </c>
    </row>
    <row r="6616">
      <c r="A6616" s="131">
        <f>IFERROR(__xludf.DUMMYFUNCTION("""COMPUTED_VALUE"""),46187.565474537034)</f>
        <v>46187.56547</v>
      </c>
      <c r="B6616" s="126">
        <f>IFERROR(__xludf.DUMMYFUNCTION("""COMPUTED_VALUE"""),46187.0)</f>
        <v>46187</v>
      </c>
      <c r="C6616" s="130">
        <f>IFERROR(__xludf.DUMMYFUNCTION("""COMPUTED_VALUE"""),0.565474537037037)</f>
        <v>0.565474537</v>
      </c>
      <c r="D6616" s="122" t="str">
        <f>IFERROR(__xludf.DUMMYFUNCTION("""COMPUTED_VALUE"""),"WASH")</f>
        <v>WASH</v>
      </c>
      <c r="E6616" s="122" t="str">
        <f>IFERROR(__xludf.DUMMYFUNCTION("""COMPUTED_VALUE"""),"CarWash Co")</f>
        <v>CarWash Co</v>
      </c>
      <c r="F6616" s="122" t="str">
        <f>IFERROR(__xludf.DUMMYFUNCTION("""COMPUTED_VALUE"""),"Automotive")</f>
        <v>Automotive</v>
      </c>
    </row>
    <row r="6617">
      <c r="A6617" s="131">
        <f>IFERROR(__xludf.DUMMYFUNCTION("""COMPUTED_VALUE"""),46187.565474537034)</f>
        <v>46187.56547</v>
      </c>
      <c r="B6617" s="126">
        <f>IFERROR(__xludf.DUMMYFUNCTION("""COMPUTED_VALUE"""),46187.0)</f>
        <v>46187</v>
      </c>
      <c r="C6617" s="130">
        <f>IFERROR(__xludf.DUMMYFUNCTION("""COMPUTED_VALUE"""),0.565474537037037)</f>
        <v>0.565474537</v>
      </c>
      <c r="D6617" s="122" t="str">
        <f>IFERROR(__xludf.DUMMYFUNCTION("""COMPUTED_VALUE"""),"GBND")</f>
        <v>GBND</v>
      </c>
      <c r="E6617" s="122" t="str">
        <f>IFERROR(__xludf.DUMMYFUNCTION("""COMPUTED_VALUE"""),"Classroom Government Bond")</f>
        <v>Classroom Government Bond</v>
      </c>
      <c r="F6617" s="122" t="str">
        <f>IFERROR(__xludf.DUMMYFUNCTION("""COMPUTED_VALUE"""),"Bond")</f>
        <v>Bond</v>
      </c>
    </row>
    <row r="6618">
      <c r="A6618" s="131">
        <f>IFERROR(__xludf.DUMMYFUNCTION("""COMPUTED_VALUE"""),46187.565474537034)</f>
        <v>46187.56547</v>
      </c>
      <c r="B6618" s="126">
        <f>IFERROR(__xludf.DUMMYFUNCTION("""COMPUTED_VALUE"""),46187.0)</f>
        <v>46187</v>
      </c>
      <c r="C6618" s="130">
        <f>IFERROR(__xludf.DUMMYFUNCTION("""COMPUTED_VALUE"""),0.565474537037037)</f>
        <v>0.565474537</v>
      </c>
      <c r="D6618" s="122" t="str">
        <f>IFERROR(__xludf.DUMMYFUNCTION("""COMPUTED_VALUE"""),"SBND")</f>
        <v>SBND</v>
      </c>
      <c r="E6618" s="122" t="str">
        <f>IFERROR(__xludf.DUMMYFUNCTION("""COMPUTED_VALUE"""),"School Savings Bond")</f>
        <v>School Savings Bond</v>
      </c>
      <c r="F6618" s="122" t="str">
        <f>IFERROR(__xludf.DUMMYFUNCTION("""COMPUTED_VALUE"""),"Bond")</f>
        <v>Bond</v>
      </c>
    </row>
    <row r="6619">
      <c r="A6619" s="131">
        <f>IFERROR(__xludf.DUMMYFUNCTION("""COMPUTED_VALUE"""),46187.565474537034)</f>
        <v>46187.56547</v>
      </c>
      <c r="B6619" s="126">
        <f>IFERROR(__xludf.DUMMYFUNCTION("""COMPUTED_VALUE"""),46187.0)</f>
        <v>46187</v>
      </c>
      <c r="C6619" s="130">
        <f>IFERROR(__xludf.DUMMYFUNCTION("""COMPUTED_VALUE"""),0.565474537037037)</f>
        <v>0.565474537</v>
      </c>
      <c r="D6619" s="122" t="str">
        <f>IFERROR(__xludf.DUMMYFUNCTION("""COMPUTED_VALUE"""),"CBND")</f>
        <v>CBND</v>
      </c>
      <c r="E6619" s="122" t="str">
        <f>IFERROR(__xludf.DUMMYFUNCTION("""COMPUTED_VALUE"""),"Corporate Classroom Bond")</f>
        <v>Corporate Classroom Bond</v>
      </c>
      <c r="F6619" s="122" t="str">
        <f>IFERROR(__xludf.DUMMYFUNCTION("""COMPUTED_VALUE"""),"Bond")</f>
        <v>Bond</v>
      </c>
    </row>
    <row r="6620">
      <c r="A6620" s="131">
        <f>IFERROR(__xludf.DUMMYFUNCTION("""COMPUTED_VALUE"""),46187.565474537034)</f>
        <v>46187.56547</v>
      </c>
      <c r="B6620" s="126">
        <f>IFERROR(__xludf.DUMMYFUNCTION("""COMPUTED_VALUE"""),46187.0)</f>
        <v>46187</v>
      </c>
      <c r="C6620" s="130">
        <f>IFERROR(__xludf.DUMMYFUNCTION("""COMPUTED_VALUE"""),0.565474537037037)</f>
        <v>0.565474537</v>
      </c>
      <c r="D6620" s="122" t="str">
        <f>IFERROR(__xludf.DUMMYFUNCTION("""COMPUTED_VALUE"""),"TBIL")</f>
        <v>TBIL</v>
      </c>
      <c r="E6620" s="122" t="str">
        <f>IFERROR(__xludf.DUMMYFUNCTION("""COMPUTED_VALUE"""),"Treasury Bill")</f>
        <v>Treasury Bill</v>
      </c>
      <c r="F6620" s="122" t="str">
        <f>IFERROR(__xludf.DUMMYFUNCTION("""COMPUTED_VALUE"""),"Bond")</f>
        <v>Bond</v>
      </c>
    </row>
    <row r="6621">
      <c r="A6621" s="131">
        <f>IFERROR(__xludf.DUMMYFUNCTION("""COMPUTED_VALUE"""),46187.565474537034)</f>
        <v>46187.56547</v>
      </c>
      <c r="B6621" s="126">
        <f>IFERROR(__xludf.DUMMYFUNCTION("""COMPUTED_VALUE"""),46187.0)</f>
        <v>46187</v>
      </c>
      <c r="C6621" s="130">
        <f>IFERROR(__xludf.DUMMYFUNCTION("""COMPUTED_VALUE"""),0.565474537037037)</f>
        <v>0.565474537</v>
      </c>
      <c r="D6621" s="122" t="str">
        <f>IFERROR(__xludf.DUMMYFUNCTION("""COMPUTED_VALUE"""),"IBND")</f>
        <v>IBND</v>
      </c>
      <c r="E6621" s="122" t="str">
        <f>IFERROR(__xludf.DUMMYFUNCTION("""COMPUTED_VALUE"""),"Inflation Protected Bond")</f>
        <v>Inflation Protected Bond</v>
      </c>
      <c r="F6621" s="122" t="str">
        <f>IFERROR(__xludf.DUMMYFUNCTION("""COMPUTED_VALUE"""),"Bond")</f>
        <v>Bond</v>
      </c>
    </row>
    <row r="6622">
      <c r="A6622" s="131">
        <f>IFERROR(__xludf.DUMMYFUNCTION("""COMPUTED_VALUE"""),46187.56747685185)</f>
        <v>46187.56748</v>
      </c>
      <c r="B6622" s="126">
        <f>IFERROR(__xludf.DUMMYFUNCTION("""COMPUTED_VALUE"""),46187.0)</f>
        <v>46187</v>
      </c>
      <c r="C6622" s="122" t="str">
        <f>IFERROR(__xludf.DUMMYFUNCTION("""COMPUTED_VALUE"""),"SNAX")</f>
        <v>SNAX</v>
      </c>
      <c r="D6622" s="122" t="str">
        <f>IFERROR(__xludf.DUMMYFUNCTION("""COMPUTED_VALUE"""),"MICA Snacks")</f>
        <v>MICA Snacks</v>
      </c>
      <c r="E6622" s="122">
        <f>IFERROR(__xludf.DUMMYFUNCTION("""COMPUTED_VALUE"""),121.31)</f>
        <v>121.31</v>
      </c>
      <c r="F6622" s="122">
        <f>IFERROR(__xludf.DUMMYFUNCTION("""COMPUTED_VALUE"""),0.0043)</f>
        <v>0.0043</v>
      </c>
    </row>
    <row r="6623">
      <c r="A6623" s="131">
        <f>IFERROR(__xludf.DUMMYFUNCTION("""COMPUTED_VALUE"""),46187.56747685185)</f>
        <v>46187.56748</v>
      </c>
      <c r="B6623" s="126">
        <f>IFERROR(__xludf.DUMMYFUNCTION("""COMPUTED_VALUE"""),46187.0)</f>
        <v>46187</v>
      </c>
      <c r="C6623" s="122" t="str">
        <f>IFERROR(__xludf.DUMMYFUNCTION("""COMPUTED_VALUE"""),"RAMN")</f>
        <v>RAMN</v>
      </c>
      <c r="D6623" s="122" t="str">
        <f>IFERROR(__xludf.DUMMYFUNCTION("""COMPUTED_VALUE"""),"Ramen Republic")</f>
        <v>Ramen Republic</v>
      </c>
      <c r="E6623" s="122">
        <f>IFERROR(__xludf.DUMMYFUNCTION("""COMPUTED_VALUE"""),65.26)</f>
        <v>65.26</v>
      </c>
      <c r="F6623" s="122">
        <f>IFERROR(__xludf.DUMMYFUNCTION("""COMPUTED_VALUE"""),-0.0034)</f>
        <v>-0.0034</v>
      </c>
    </row>
    <row r="6624">
      <c r="A6624" s="131">
        <f>IFERROR(__xludf.DUMMYFUNCTION("""COMPUTED_VALUE"""),46187.56747685185)</f>
        <v>46187.56748</v>
      </c>
      <c r="B6624" s="126">
        <f>IFERROR(__xludf.DUMMYFUNCTION("""COMPUTED_VALUE"""),46187.0)</f>
        <v>46187</v>
      </c>
      <c r="C6624" s="122" t="str">
        <f>IFERROR(__xludf.DUMMYFUNCTION("""COMPUTED_VALUE"""),"COLA")</f>
        <v>COLA</v>
      </c>
      <c r="D6624" s="122" t="str">
        <f>IFERROR(__xludf.DUMMYFUNCTION("""COMPUTED_VALUE"""),"K-Pop Cola")</f>
        <v>K-Pop Cola</v>
      </c>
      <c r="E6624" s="122">
        <f>IFERROR(__xludf.DUMMYFUNCTION("""COMPUTED_VALUE"""),114.39)</f>
        <v>114.39</v>
      </c>
      <c r="F6624" s="122">
        <f>IFERROR(__xludf.DUMMYFUNCTION("""COMPUTED_VALUE"""),-0.0037)</f>
        <v>-0.0037</v>
      </c>
    </row>
    <row r="6625">
      <c r="A6625" s="131">
        <f>IFERROR(__xludf.DUMMYFUNCTION("""COMPUTED_VALUE"""),46187.56747685185)</f>
        <v>46187.56748</v>
      </c>
      <c r="B6625" s="126">
        <f>IFERROR(__xludf.DUMMYFUNCTION("""COMPUTED_VALUE"""),46187.0)</f>
        <v>46187</v>
      </c>
      <c r="C6625" s="122" t="str">
        <f>IFERROR(__xludf.DUMMYFUNCTION("""COMPUTED_VALUE"""),"CHIP")</f>
        <v>CHIP</v>
      </c>
      <c r="D6625" s="122" t="str">
        <f>IFERROR(__xludf.DUMMYFUNCTION("""COMPUTED_VALUE"""),"Chip Empire")</f>
        <v>Chip Empire</v>
      </c>
      <c r="E6625" s="122">
        <f>IFERROR(__xludf.DUMMYFUNCTION("""COMPUTED_VALUE"""),83.74)</f>
        <v>83.74</v>
      </c>
      <c r="F6625" s="122">
        <f>IFERROR(__xludf.DUMMYFUNCTION("""COMPUTED_VALUE"""),0.009)</f>
        <v>0.009</v>
      </c>
    </row>
    <row r="6626">
      <c r="A6626" s="131">
        <f>IFERROR(__xludf.DUMMYFUNCTION("""COMPUTED_VALUE"""),46187.56747685185)</f>
        <v>46187.56748</v>
      </c>
      <c r="B6626" s="126">
        <f>IFERROR(__xludf.DUMMYFUNCTION("""COMPUTED_VALUE"""),46187.0)</f>
        <v>46187</v>
      </c>
      <c r="C6626" s="122" t="str">
        <f>IFERROR(__xludf.DUMMYFUNCTION("""COMPUTED_VALUE"""),"CAND")</f>
        <v>CAND</v>
      </c>
      <c r="D6626" s="122" t="str">
        <f>IFERROR(__xludf.DUMMYFUNCTION("""COMPUTED_VALUE"""),"Candy Capital")</f>
        <v>Candy Capital</v>
      </c>
      <c r="E6626" s="122">
        <f>IFERROR(__xludf.DUMMYFUNCTION("""COMPUTED_VALUE"""),76.05)</f>
        <v>76.05</v>
      </c>
      <c r="F6626" s="122">
        <f>IFERROR(__xludf.DUMMYFUNCTION("""COMPUTED_VALUE"""),-0.0058)</f>
        <v>-0.0058</v>
      </c>
    </row>
    <row r="6627">
      <c r="A6627" s="131">
        <f>IFERROR(__xludf.DUMMYFUNCTION("""COMPUTED_VALUE"""),46187.56747685185)</f>
        <v>46187.56748</v>
      </c>
      <c r="B6627" s="126">
        <f>IFERROR(__xludf.DUMMYFUNCTION("""COMPUTED_VALUE"""),46187.0)</f>
        <v>46187</v>
      </c>
      <c r="C6627" s="122" t="str">
        <f>IFERROR(__xludf.DUMMYFUNCTION("""COMPUTED_VALUE"""),"TECH")</f>
        <v>TECH</v>
      </c>
      <c r="D6627" s="122" t="str">
        <f>IFERROR(__xludf.DUMMYFUNCTION("""COMPUTED_VALUE"""),"Dragon Tech")</f>
        <v>Dragon Tech</v>
      </c>
      <c r="E6627" s="122">
        <f>IFERROR(__xludf.DUMMYFUNCTION("""COMPUTED_VALUE"""),251.21)</f>
        <v>251.21</v>
      </c>
      <c r="F6627" s="122">
        <f>IFERROR(__xludf.DUMMYFUNCTION("""COMPUTED_VALUE"""),0.0033)</f>
        <v>0.0033</v>
      </c>
    </row>
    <row r="6628">
      <c r="A6628" s="131">
        <f>IFERROR(__xludf.DUMMYFUNCTION("""COMPUTED_VALUE"""),46187.56747685185)</f>
        <v>46187.56748</v>
      </c>
      <c r="B6628" s="126">
        <f>IFERROR(__xludf.DUMMYFUNCTION("""COMPUTED_VALUE"""),46187.0)</f>
        <v>46187</v>
      </c>
      <c r="C6628" s="122" t="str">
        <f>IFERROR(__xludf.DUMMYFUNCTION("""COMPUTED_VALUE"""),"AIBO")</f>
        <v>AIBO</v>
      </c>
      <c r="D6628" s="122" t="str">
        <f>IFERROR(__xludf.DUMMYFUNCTION("""COMPUTED_VALUE"""),"Homework AI")</f>
        <v>Homework AI</v>
      </c>
      <c r="E6628" s="122">
        <f>IFERROR(__xludf.DUMMYFUNCTION("""COMPUTED_VALUE"""),185.91)</f>
        <v>185.91</v>
      </c>
      <c r="F6628" s="122">
        <f>IFERROR(__xludf.DUMMYFUNCTION("""COMPUTED_VALUE"""),0.0104)</f>
        <v>0.0104</v>
      </c>
    </row>
    <row r="6629">
      <c r="A6629" s="131">
        <f>IFERROR(__xludf.DUMMYFUNCTION("""COMPUTED_VALUE"""),46187.56747685185)</f>
        <v>46187.56748</v>
      </c>
      <c r="B6629" s="126">
        <f>IFERROR(__xludf.DUMMYFUNCTION("""COMPUTED_VALUE"""),46187.0)</f>
        <v>46187</v>
      </c>
      <c r="C6629" s="122" t="str">
        <f>IFERROR(__xludf.DUMMYFUNCTION("""COMPUTED_VALUE"""),"GAME")</f>
        <v>GAME</v>
      </c>
      <c r="D6629" s="122" t="str">
        <f>IFERROR(__xludf.DUMMYFUNCTION("""COMPUTED_VALUE"""),"GameBox Media")</f>
        <v>GameBox Media</v>
      </c>
      <c r="E6629" s="122">
        <f>IFERROR(__xludf.DUMMYFUNCTION("""COMPUTED_VALUE"""),102.52)</f>
        <v>102.52</v>
      </c>
      <c r="F6629" s="122">
        <f>IFERROR(__xludf.DUMMYFUNCTION("""COMPUTED_VALUE"""),-4.0E-4)</f>
        <v>-0.0004</v>
      </c>
    </row>
    <row r="6630">
      <c r="A6630" s="131">
        <f>IFERROR(__xludf.DUMMYFUNCTION("""COMPUTED_VALUE"""),46187.56747685185)</f>
        <v>46187.56748</v>
      </c>
      <c r="B6630" s="126">
        <f>IFERROR(__xludf.DUMMYFUNCTION("""COMPUTED_VALUE"""),46187.0)</f>
        <v>46187</v>
      </c>
      <c r="C6630" s="122" t="str">
        <f>IFERROR(__xludf.DUMMYFUNCTION("""COMPUTED_VALUE"""),"VRSE")</f>
        <v>VRSE</v>
      </c>
      <c r="D6630" s="122" t="str">
        <f>IFERROR(__xludf.DUMMYFUNCTION("""COMPUTED_VALUE"""),"VerseVR")</f>
        <v>VerseVR</v>
      </c>
      <c r="E6630" s="122">
        <f>IFERROR(__xludf.DUMMYFUNCTION("""COMPUTED_VALUE"""),147.5)</f>
        <v>147.5</v>
      </c>
      <c r="F6630" s="122">
        <f>IFERROR(__xludf.DUMMYFUNCTION("""COMPUTED_VALUE"""),-0.0047)</f>
        <v>-0.0047</v>
      </c>
    </row>
    <row r="6631">
      <c r="A6631" s="131">
        <f>IFERROR(__xludf.DUMMYFUNCTION("""COMPUTED_VALUE"""),46187.56747685185)</f>
        <v>46187.56748</v>
      </c>
      <c r="B6631" s="126">
        <f>IFERROR(__xludf.DUMMYFUNCTION("""COMPUTED_VALUE"""),46187.0)</f>
        <v>46187</v>
      </c>
      <c r="C6631" s="122" t="str">
        <f>IFERROR(__xludf.DUMMYFUNCTION("""COMPUTED_VALUE"""),"BYTE")</f>
        <v>BYTE</v>
      </c>
      <c r="D6631" s="122" t="str">
        <f>IFERROR(__xludf.DUMMYFUNCTION("""COMPUTED_VALUE"""),"ByteWorks")</f>
        <v>ByteWorks</v>
      </c>
      <c r="E6631" s="122">
        <f>IFERROR(__xludf.DUMMYFUNCTION("""COMPUTED_VALUE"""),116.31)</f>
        <v>116.31</v>
      </c>
      <c r="F6631" s="122">
        <f>IFERROR(__xludf.DUMMYFUNCTION("""COMPUTED_VALUE"""),0.0028)</f>
        <v>0.0028</v>
      </c>
    </row>
    <row r="6632">
      <c r="A6632" s="131">
        <f>IFERROR(__xludf.DUMMYFUNCTION("""COMPUTED_VALUE"""),46187.56747685185)</f>
        <v>46187.56748</v>
      </c>
      <c r="B6632" s="126">
        <f>IFERROR(__xludf.DUMMYFUNCTION("""COMPUTED_VALUE"""),46187.0)</f>
        <v>46187</v>
      </c>
      <c r="C6632" s="122" t="str">
        <f>IFERROR(__xludf.DUMMYFUNCTION("""COMPUTED_VALUE"""),"BANK")</f>
        <v>BANK</v>
      </c>
      <c r="D6632" s="122" t="str">
        <f>IFERROR(__xludf.DUMMYFUNCTION("""COMPUTED_VALUE"""),"Tiger Bank")</f>
        <v>Tiger Bank</v>
      </c>
      <c r="E6632" s="122">
        <f>IFERROR(__xludf.DUMMYFUNCTION("""COMPUTED_VALUE"""),130.06)</f>
        <v>130.06</v>
      </c>
      <c r="F6632" s="122">
        <f>IFERROR(__xludf.DUMMYFUNCTION("""COMPUTED_VALUE"""),0.003)</f>
        <v>0.003</v>
      </c>
    </row>
    <row r="6633">
      <c r="A6633" s="131">
        <f>IFERROR(__xludf.DUMMYFUNCTION("""COMPUTED_VALUE"""),46187.56747685185)</f>
        <v>46187.56748</v>
      </c>
      <c r="B6633" s="126">
        <f>IFERROR(__xludf.DUMMYFUNCTION("""COMPUTED_VALUE"""),46187.0)</f>
        <v>46187</v>
      </c>
      <c r="C6633" s="122" t="str">
        <f>IFERROR(__xludf.DUMMYFUNCTION("""COMPUTED_VALUE"""),"CRED")</f>
        <v>CRED</v>
      </c>
      <c r="D6633" s="122" t="str">
        <f>IFERROR(__xludf.DUMMYFUNCTION("""COMPUTED_VALUE"""),"Credit Castle")</f>
        <v>Credit Castle</v>
      </c>
      <c r="E6633" s="122">
        <f>IFERROR(__xludf.DUMMYFUNCTION("""COMPUTED_VALUE"""),67.16)</f>
        <v>67.16</v>
      </c>
      <c r="F6633" s="122">
        <f>IFERROR(__xludf.DUMMYFUNCTION("""COMPUTED_VALUE"""),0.0024)</f>
        <v>0.0024</v>
      </c>
    </row>
    <row r="6634">
      <c r="A6634" s="131">
        <f>IFERROR(__xludf.DUMMYFUNCTION("""COMPUTED_VALUE"""),46187.56747685185)</f>
        <v>46187.56748</v>
      </c>
      <c r="B6634" s="126">
        <f>IFERROR(__xludf.DUMMYFUNCTION("""COMPUTED_VALUE"""),46187.0)</f>
        <v>46187</v>
      </c>
      <c r="C6634" s="122" t="str">
        <f>IFERROR(__xludf.DUMMYFUNCTION("""COMPUTED_VALUE"""),"BOND")</f>
        <v>BOND</v>
      </c>
      <c r="D6634" s="122" t="str">
        <f>IFERROR(__xludf.DUMMYFUNCTION("""COMPUTED_VALUE"""),"BondBridge")</f>
        <v>BondBridge</v>
      </c>
      <c r="E6634" s="122">
        <f>IFERROR(__xludf.DUMMYFUNCTION("""COMPUTED_VALUE"""),102.58)</f>
        <v>102.58</v>
      </c>
      <c r="F6634" s="122">
        <f>IFERROR(__xludf.DUMMYFUNCTION("""COMPUTED_VALUE"""),-0.001)</f>
        <v>-0.001</v>
      </c>
    </row>
    <row r="6635">
      <c r="A6635" s="131">
        <f>IFERROR(__xludf.DUMMYFUNCTION("""COMPUTED_VALUE"""),46187.56747685185)</f>
        <v>46187.56748</v>
      </c>
      <c r="B6635" s="126">
        <f>IFERROR(__xludf.DUMMYFUNCTION("""COMPUTED_VALUE"""),46187.0)</f>
        <v>46187</v>
      </c>
      <c r="C6635" s="122" t="str">
        <f>IFERROR(__xludf.DUMMYFUNCTION("""COMPUTED_VALUE"""),"INSR")</f>
        <v>INSR</v>
      </c>
      <c r="D6635" s="122" t="str">
        <f>IFERROR(__xludf.DUMMYFUNCTION("""COMPUTED_VALUE"""),"Shield Insurance")</f>
        <v>Shield Insurance</v>
      </c>
      <c r="E6635" s="122">
        <f>IFERROR(__xludf.DUMMYFUNCTION("""COMPUTED_VALUE"""),159.04)</f>
        <v>159.04</v>
      </c>
      <c r="F6635" s="122">
        <f>IFERROR(__xludf.DUMMYFUNCTION("""COMPUTED_VALUE"""),0.0016)</f>
        <v>0.0016</v>
      </c>
    </row>
    <row r="6636">
      <c r="A6636" s="131">
        <f>IFERROR(__xludf.DUMMYFUNCTION("""COMPUTED_VALUE"""),46187.56747685185)</f>
        <v>46187.56748</v>
      </c>
      <c r="B6636" s="126">
        <f>IFERROR(__xludf.DUMMYFUNCTION("""COMPUTED_VALUE"""),46187.0)</f>
        <v>46187</v>
      </c>
      <c r="C6636" s="122" t="str">
        <f>IFERROR(__xludf.DUMMYFUNCTION("""COMPUTED_VALUE"""),"LOAN")</f>
        <v>LOAN</v>
      </c>
      <c r="D6636" s="122" t="str">
        <f>IFERROR(__xludf.DUMMYFUNCTION("""COMPUTED_VALUE"""),"LoanLab")</f>
        <v>LoanLab</v>
      </c>
      <c r="E6636" s="122">
        <f>IFERROR(__xludf.DUMMYFUNCTION("""COMPUTED_VALUE"""),68.91)</f>
        <v>68.91</v>
      </c>
      <c r="F6636" s="122">
        <f>IFERROR(__xludf.DUMMYFUNCTION("""COMPUTED_VALUE"""),0.0064)</f>
        <v>0.0064</v>
      </c>
    </row>
    <row r="6637">
      <c r="A6637" s="131">
        <f>IFERROR(__xludf.DUMMYFUNCTION("""COMPUTED_VALUE"""),46187.56747685185)</f>
        <v>46187.56748</v>
      </c>
      <c r="B6637" s="126">
        <f>IFERROR(__xludf.DUMMYFUNCTION("""COMPUTED_VALUE"""),46187.0)</f>
        <v>46187</v>
      </c>
      <c r="C6637" s="122" t="str">
        <f>IFERROR(__xludf.DUMMYFUNCTION("""COMPUTED_VALUE"""),"LUXE")</f>
        <v>LUXE</v>
      </c>
      <c r="D6637" s="122" t="str">
        <f>IFERROR(__xludf.DUMMYFUNCTION("""COMPUTED_VALUE"""),"Luxury Locker")</f>
        <v>Luxury Locker</v>
      </c>
      <c r="E6637" s="122">
        <f>IFERROR(__xludf.DUMMYFUNCTION("""COMPUTED_VALUE"""),269.03)</f>
        <v>269.03</v>
      </c>
      <c r="F6637" s="122">
        <f>IFERROR(__xludf.DUMMYFUNCTION("""COMPUTED_VALUE"""),-0.0015)</f>
        <v>-0.0015</v>
      </c>
    </row>
    <row r="6638">
      <c r="A6638" s="131">
        <f>IFERROR(__xludf.DUMMYFUNCTION("""COMPUTED_VALUE"""),46187.56747685185)</f>
        <v>46187.56748</v>
      </c>
      <c r="B6638" s="126">
        <f>IFERROR(__xludf.DUMMYFUNCTION("""COMPUTED_VALUE"""),46187.0)</f>
        <v>46187</v>
      </c>
      <c r="C6638" s="122" t="str">
        <f>IFERROR(__xludf.DUMMYFUNCTION("""COMPUTED_VALUE"""),"DRIP")</f>
        <v>DRIP</v>
      </c>
      <c r="D6638" s="122" t="str">
        <f>IFERROR(__xludf.DUMMYFUNCTION("""COMPUTED_VALUE"""),"Drip Streetwear")</f>
        <v>Drip Streetwear</v>
      </c>
      <c r="E6638" s="122">
        <f>IFERROR(__xludf.DUMMYFUNCTION("""COMPUTED_VALUE"""),191.77)</f>
        <v>191.77</v>
      </c>
      <c r="F6638" s="122">
        <f>IFERROR(__xludf.DUMMYFUNCTION("""COMPUTED_VALUE"""),0.006)</f>
        <v>0.006</v>
      </c>
    </row>
    <row r="6639">
      <c r="A6639" s="131">
        <f>IFERROR(__xludf.DUMMYFUNCTION("""COMPUTED_VALUE"""),46187.56747685185)</f>
        <v>46187.56748</v>
      </c>
      <c r="B6639" s="126">
        <f>IFERROR(__xludf.DUMMYFUNCTION("""COMPUTED_VALUE"""),46187.0)</f>
        <v>46187</v>
      </c>
      <c r="C6639" s="122" t="str">
        <f>IFERROR(__xludf.DUMMYFUNCTION("""COMPUTED_VALUE"""),"KICK")</f>
        <v>KICK</v>
      </c>
      <c r="D6639" s="122" t="str">
        <f>IFERROR(__xludf.DUMMYFUNCTION("""COMPUTED_VALUE"""),"KickDrop Sneakers")</f>
        <v>KickDrop Sneakers</v>
      </c>
      <c r="E6639" s="122">
        <f>IFERROR(__xludf.DUMMYFUNCTION("""COMPUTED_VALUE"""),168.74)</f>
        <v>168.74</v>
      </c>
      <c r="F6639" s="122">
        <f>IFERROR(__xludf.DUMMYFUNCTION("""COMPUTED_VALUE"""),-0.0082)</f>
        <v>-0.0082</v>
      </c>
    </row>
    <row r="6640">
      <c r="A6640" s="131">
        <f>IFERROR(__xludf.DUMMYFUNCTION("""COMPUTED_VALUE"""),46187.56747685185)</f>
        <v>46187.56748</v>
      </c>
      <c r="B6640" s="126">
        <f>IFERROR(__xludf.DUMMYFUNCTION("""COMPUTED_VALUE"""),46187.0)</f>
        <v>46187</v>
      </c>
      <c r="C6640" s="122" t="str">
        <f>IFERROR(__xludf.DUMMYFUNCTION("""COMPUTED_VALUE"""),"GLAM")</f>
        <v>GLAM</v>
      </c>
      <c r="D6640" s="122" t="str">
        <f>IFERROR(__xludf.DUMMYFUNCTION("""COMPUTED_VALUE"""),"Glow Cosmetics")</f>
        <v>Glow Cosmetics</v>
      </c>
      <c r="E6640" s="122">
        <f>IFERROR(__xludf.DUMMYFUNCTION("""COMPUTED_VALUE"""),109.29)</f>
        <v>109.29</v>
      </c>
      <c r="F6640" s="122">
        <f>IFERROR(__xludf.DUMMYFUNCTION("""COMPUTED_VALUE"""),0.0034)</f>
        <v>0.0034</v>
      </c>
    </row>
    <row r="6641">
      <c r="A6641" s="131">
        <f>IFERROR(__xludf.DUMMYFUNCTION("""COMPUTED_VALUE"""),46187.56747685185)</f>
        <v>46187.56748</v>
      </c>
      <c r="B6641" s="126">
        <f>IFERROR(__xludf.DUMMYFUNCTION("""COMPUTED_VALUE"""),46187.0)</f>
        <v>46187</v>
      </c>
      <c r="C6641" s="122" t="str">
        <f>IFERROR(__xludf.DUMMYFUNCTION("""COMPUTED_VALUE"""),"BAGG")</f>
        <v>BAGG</v>
      </c>
      <c r="D6641" s="122" t="str">
        <f>IFERROR(__xludf.DUMMYFUNCTION("""COMPUTED_VALUE"""),"BagVault")</f>
        <v>BagVault</v>
      </c>
      <c r="E6641" s="122">
        <f>IFERROR(__xludf.DUMMYFUNCTION("""COMPUTED_VALUE"""),266.34)</f>
        <v>266.34</v>
      </c>
      <c r="F6641" s="122">
        <f>IFERROR(__xludf.DUMMYFUNCTION("""COMPUTED_VALUE"""),-0.002)</f>
        <v>-0.002</v>
      </c>
    </row>
    <row r="6642">
      <c r="A6642" s="131">
        <f>IFERROR(__xludf.DUMMYFUNCTION("""COMPUTED_VALUE"""),46187.56747685185)</f>
        <v>46187.56748</v>
      </c>
      <c r="B6642" s="126">
        <f>IFERROR(__xludf.DUMMYFUNCTION("""COMPUTED_VALUE"""),46187.0)</f>
        <v>46187</v>
      </c>
      <c r="C6642" s="122" t="str">
        <f>IFERROR(__xludf.DUMMYFUNCTION("""COMPUTED_VALUE"""),"FAST")</f>
        <v>FAST</v>
      </c>
      <c r="D6642" s="122" t="str">
        <f>IFERROR(__xludf.DUMMYFUNCTION("""COMPUTED_VALUE"""),"Flash Logistics")</f>
        <v>Flash Logistics</v>
      </c>
      <c r="E6642" s="122">
        <f>IFERROR(__xludf.DUMMYFUNCTION("""COMPUTED_VALUE"""),106.67)</f>
        <v>106.67</v>
      </c>
      <c r="F6642" s="122">
        <f>IFERROR(__xludf.DUMMYFUNCTION("""COMPUTED_VALUE"""),-0.0033)</f>
        <v>-0.0033</v>
      </c>
    </row>
    <row r="6643">
      <c r="A6643" s="131">
        <f>IFERROR(__xludf.DUMMYFUNCTION("""COMPUTED_VALUE"""),46187.56747685185)</f>
        <v>46187.56748</v>
      </c>
      <c r="B6643" s="126">
        <f>IFERROR(__xludf.DUMMYFUNCTION("""COMPUTED_VALUE"""),46187.0)</f>
        <v>46187</v>
      </c>
      <c r="C6643" s="122" t="str">
        <f>IFERROR(__xludf.DUMMYFUNCTION("""COMPUTED_VALUE"""),"SHIP")</f>
        <v>SHIP</v>
      </c>
      <c r="D6643" s="122" t="str">
        <f>IFERROR(__xludf.DUMMYFUNCTION("""COMPUTED_VALUE"""),"Seoul Shipping")</f>
        <v>Seoul Shipping</v>
      </c>
      <c r="E6643" s="122">
        <f>IFERROR(__xludf.DUMMYFUNCTION("""COMPUTED_VALUE"""),128.08)</f>
        <v>128.08</v>
      </c>
      <c r="F6643" s="122">
        <f>IFERROR(__xludf.DUMMYFUNCTION("""COMPUTED_VALUE"""),0.0072)</f>
        <v>0.0072</v>
      </c>
    </row>
    <row r="6644">
      <c r="A6644" s="131">
        <f>IFERROR(__xludf.DUMMYFUNCTION("""COMPUTED_VALUE"""),46187.56747685185)</f>
        <v>46187.56748</v>
      </c>
      <c r="B6644" s="126">
        <f>IFERROR(__xludf.DUMMYFUNCTION("""COMPUTED_VALUE"""),46187.0)</f>
        <v>46187</v>
      </c>
      <c r="C6644" s="122" t="str">
        <f>IFERROR(__xludf.DUMMYFUNCTION("""COMPUTED_VALUE"""),"DRON")</f>
        <v>DRON</v>
      </c>
      <c r="D6644" s="122" t="str">
        <f>IFERROR(__xludf.DUMMYFUNCTION("""COMPUTED_VALUE"""),"DroneDrop")</f>
        <v>DroneDrop</v>
      </c>
      <c r="E6644" s="122">
        <f>IFERROR(__xludf.DUMMYFUNCTION("""COMPUTED_VALUE"""),127.06)</f>
        <v>127.06</v>
      </c>
      <c r="F6644" s="122">
        <f>IFERROR(__xludf.DUMMYFUNCTION("""COMPUTED_VALUE"""),0.0081)</f>
        <v>0.0081</v>
      </c>
    </row>
    <row r="6645">
      <c r="A6645" s="131">
        <f>IFERROR(__xludf.DUMMYFUNCTION("""COMPUTED_VALUE"""),46187.56747685185)</f>
        <v>46187.56748</v>
      </c>
      <c r="B6645" s="126">
        <f>IFERROR(__xludf.DUMMYFUNCTION("""COMPUTED_VALUE"""),46187.0)</f>
        <v>46187</v>
      </c>
      <c r="C6645" s="122" t="str">
        <f>IFERROR(__xludf.DUMMYFUNCTION("""COMPUTED_VALUE"""),"RIDE")</f>
        <v>RIDE</v>
      </c>
      <c r="D6645" s="122" t="str">
        <f>IFERROR(__xludf.DUMMYFUNCTION("""COMPUTED_VALUE"""),"QuickRide")</f>
        <v>QuickRide</v>
      </c>
      <c r="E6645" s="122">
        <f>IFERROR(__xludf.DUMMYFUNCTION("""COMPUTED_VALUE"""),100.68)</f>
        <v>100.68</v>
      </c>
      <c r="F6645" s="122">
        <f>IFERROR(__xludf.DUMMYFUNCTION("""COMPUTED_VALUE"""),-0.0072)</f>
        <v>-0.0072</v>
      </c>
    </row>
    <row r="6646">
      <c r="A6646" s="131">
        <f>IFERROR(__xludf.DUMMYFUNCTION("""COMPUTED_VALUE"""),46187.56747685185)</f>
        <v>46187.56748</v>
      </c>
      <c r="B6646" s="126">
        <f>IFERROR(__xludf.DUMMYFUNCTION("""COMPUTED_VALUE"""),46187.0)</f>
        <v>46187</v>
      </c>
      <c r="C6646" s="122" t="str">
        <f>IFERROR(__xludf.DUMMYFUNCTION("""COMPUTED_VALUE"""),"RAIL")</f>
        <v>RAIL</v>
      </c>
      <c r="D6646" s="122" t="str">
        <f>IFERROR(__xludf.DUMMYFUNCTION("""COMPUTED_VALUE"""),"MetroRail Corp")</f>
        <v>MetroRail Corp</v>
      </c>
      <c r="E6646" s="122">
        <f>IFERROR(__xludf.DUMMYFUNCTION("""COMPUTED_VALUE"""),131.25)</f>
        <v>131.25</v>
      </c>
      <c r="F6646" s="122">
        <f>IFERROR(__xludf.DUMMYFUNCTION("""COMPUTED_VALUE"""),6.0E-4)</f>
        <v>0.0006</v>
      </c>
    </row>
    <row r="6647">
      <c r="A6647" s="131">
        <f>IFERROR(__xludf.DUMMYFUNCTION("""COMPUTED_VALUE"""),46187.56747685185)</f>
        <v>46187.56748</v>
      </c>
      <c r="B6647" s="126">
        <f>IFERROR(__xludf.DUMMYFUNCTION("""COMPUTED_VALUE"""),46187.0)</f>
        <v>46187</v>
      </c>
      <c r="C6647" s="122" t="str">
        <f>IFERROR(__xludf.DUMMYFUNCTION("""COMPUTED_VALUE"""),"MEDX")</f>
        <v>MEDX</v>
      </c>
      <c r="D6647" s="122" t="str">
        <f>IFERROR(__xludf.DUMMYFUNCTION("""COMPUTED_VALUE"""),"MediCore")</f>
        <v>MediCore</v>
      </c>
      <c r="E6647" s="122">
        <f>IFERROR(__xludf.DUMMYFUNCTION("""COMPUTED_VALUE"""),139.25)</f>
        <v>139.25</v>
      </c>
      <c r="F6647" s="122">
        <f>IFERROR(__xludf.DUMMYFUNCTION("""COMPUTED_VALUE"""),0.0014)</f>
        <v>0.0014</v>
      </c>
    </row>
    <row r="6648">
      <c r="A6648" s="131">
        <f>IFERROR(__xludf.DUMMYFUNCTION("""COMPUTED_VALUE"""),46187.56747685185)</f>
        <v>46187.56748</v>
      </c>
      <c r="B6648" s="126">
        <f>IFERROR(__xludf.DUMMYFUNCTION("""COMPUTED_VALUE"""),46187.0)</f>
        <v>46187</v>
      </c>
      <c r="C6648" s="122" t="str">
        <f>IFERROR(__xludf.DUMMYFUNCTION("""COMPUTED_VALUE"""),"GYMX")</f>
        <v>GYMX</v>
      </c>
      <c r="D6648" s="122" t="str">
        <f>IFERROR(__xludf.DUMMYFUNCTION("""COMPUTED_VALUE"""),"GymX Fitness")</f>
        <v>GymX Fitness</v>
      </c>
      <c r="E6648" s="122">
        <f>IFERROR(__xludf.DUMMYFUNCTION("""COMPUTED_VALUE"""),85.63)</f>
        <v>85.63</v>
      </c>
      <c r="F6648" s="122">
        <f>IFERROR(__xludf.DUMMYFUNCTION("""COMPUTED_VALUE"""),-0.0055)</f>
        <v>-0.0055</v>
      </c>
    </row>
    <row r="6649">
      <c r="A6649" s="131">
        <f>IFERROR(__xludf.DUMMYFUNCTION("""COMPUTED_VALUE"""),46187.56747685185)</f>
        <v>46187.56748</v>
      </c>
      <c r="B6649" s="126">
        <f>IFERROR(__xludf.DUMMYFUNCTION("""COMPUTED_VALUE"""),46187.0)</f>
        <v>46187</v>
      </c>
      <c r="C6649" s="122" t="str">
        <f>IFERROR(__xludf.DUMMYFUNCTION("""COMPUTED_VALUE"""),"VITA")</f>
        <v>VITA</v>
      </c>
      <c r="D6649" s="122" t="str">
        <f>IFERROR(__xludf.DUMMYFUNCTION("""COMPUTED_VALUE"""),"VitaPlus")</f>
        <v>VitaPlus</v>
      </c>
      <c r="E6649" s="122">
        <f>IFERROR(__xludf.DUMMYFUNCTION("""COMPUTED_VALUE"""),72.87)</f>
        <v>72.87</v>
      </c>
      <c r="F6649" s="122">
        <f>IFERROR(__xludf.DUMMYFUNCTION("""COMPUTED_VALUE"""),0.0057)</f>
        <v>0.0057</v>
      </c>
    </row>
    <row r="6650">
      <c r="A6650" s="131">
        <f>IFERROR(__xludf.DUMMYFUNCTION("""COMPUTED_VALUE"""),46187.56747685185)</f>
        <v>46187.56748</v>
      </c>
      <c r="B6650" s="126">
        <f>IFERROR(__xludf.DUMMYFUNCTION("""COMPUTED_VALUE"""),46187.0)</f>
        <v>46187</v>
      </c>
      <c r="C6650" s="122" t="str">
        <f>IFERROR(__xludf.DUMMYFUNCTION("""COMPUTED_VALUE"""),"CARE")</f>
        <v>CARE</v>
      </c>
      <c r="D6650" s="122" t="str">
        <f>IFERROR(__xludf.DUMMYFUNCTION("""COMPUTED_VALUE"""),"CareCloud")</f>
        <v>CareCloud</v>
      </c>
      <c r="E6650" s="122">
        <f>IFERROR(__xludf.DUMMYFUNCTION("""COMPUTED_VALUE"""),179.72)</f>
        <v>179.72</v>
      </c>
      <c r="F6650" s="122">
        <f>IFERROR(__xludf.DUMMYFUNCTION("""COMPUTED_VALUE"""),0.0041)</f>
        <v>0.0041</v>
      </c>
    </row>
    <row r="6651">
      <c r="A6651" s="131">
        <f>IFERROR(__xludf.DUMMYFUNCTION("""COMPUTED_VALUE"""),46187.56747685185)</f>
        <v>46187.56748</v>
      </c>
      <c r="B6651" s="126">
        <f>IFERROR(__xludf.DUMMYFUNCTION("""COMPUTED_VALUE"""),46187.0)</f>
        <v>46187</v>
      </c>
      <c r="C6651" s="122" t="str">
        <f>IFERROR(__xludf.DUMMYFUNCTION("""COMPUTED_VALUE"""),"DENT")</f>
        <v>DENT</v>
      </c>
      <c r="D6651" s="122" t="str">
        <f>IFERROR(__xludf.DUMMYFUNCTION("""COMPUTED_VALUE"""),"SmileWorks")</f>
        <v>SmileWorks</v>
      </c>
      <c r="E6651" s="122">
        <f>IFERROR(__xludf.DUMMYFUNCTION("""COMPUTED_VALUE"""),93.25)</f>
        <v>93.25</v>
      </c>
      <c r="F6651" s="122">
        <f>IFERROR(__xludf.DUMMYFUNCTION("""COMPUTED_VALUE"""),0.0039)</f>
        <v>0.0039</v>
      </c>
    </row>
    <row r="6652">
      <c r="A6652" s="131">
        <f>IFERROR(__xludf.DUMMYFUNCTION("""COMPUTED_VALUE"""),46187.56747685185)</f>
        <v>46187.56748</v>
      </c>
      <c r="B6652" s="126">
        <f>IFERROR(__xludf.DUMMYFUNCTION("""COMPUTED_VALUE"""),46187.0)</f>
        <v>46187</v>
      </c>
      <c r="C6652" s="122" t="str">
        <f>IFERROR(__xludf.DUMMYFUNCTION("""COMPUTED_VALUE"""),"EDUX")</f>
        <v>EDUX</v>
      </c>
      <c r="D6652" s="122" t="str">
        <f>IFERROR(__xludf.DUMMYFUNCTION("""COMPUTED_VALUE"""),"EduMax Learning")</f>
        <v>EduMax Learning</v>
      </c>
      <c r="E6652" s="122">
        <f>IFERROR(__xludf.DUMMYFUNCTION("""COMPUTED_VALUE"""),144.07)</f>
        <v>144.07</v>
      </c>
      <c r="F6652" s="122">
        <f>IFERROR(__xludf.DUMMYFUNCTION("""COMPUTED_VALUE"""),-8.0E-4)</f>
        <v>-0.0008</v>
      </c>
    </row>
    <row r="6653">
      <c r="A6653" s="131">
        <f>IFERROR(__xludf.DUMMYFUNCTION("""COMPUTED_VALUE"""),46187.56747685185)</f>
        <v>46187.56748</v>
      </c>
      <c r="B6653" s="126">
        <f>IFERROR(__xludf.DUMMYFUNCTION("""COMPUTED_VALUE"""),46187.0)</f>
        <v>46187</v>
      </c>
      <c r="C6653" s="122" t="str">
        <f>IFERROR(__xludf.DUMMYFUNCTION("""COMPUTED_VALUE"""),"BOOK")</f>
        <v>BOOK</v>
      </c>
      <c r="D6653" s="122" t="str">
        <f>IFERROR(__xludf.DUMMYFUNCTION("""COMPUTED_VALUE"""),"BookBridge")</f>
        <v>BookBridge</v>
      </c>
      <c r="E6653" s="122">
        <f>IFERROR(__xludf.DUMMYFUNCTION("""COMPUTED_VALUE"""),119.07)</f>
        <v>119.07</v>
      </c>
      <c r="F6653" s="122">
        <f>IFERROR(__xludf.DUMMYFUNCTION("""COMPUTED_VALUE"""),0.0013)</f>
        <v>0.0013</v>
      </c>
    </row>
    <row r="6654">
      <c r="A6654" s="131">
        <f>IFERROR(__xludf.DUMMYFUNCTION("""COMPUTED_VALUE"""),46187.56747685185)</f>
        <v>46187.56748</v>
      </c>
      <c r="B6654" s="126">
        <f>IFERROR(__xludf.DUMMYFUNCTION("""COMPUTED_VALUE"""),46187.0)</f>
        <v>46187</v>
      </c>
      <c r="C6654" s="122" t="str">
        <f>IFERROR(__xludf.DUMMYFUNCTION("""COMPUTED_VALUE"""),"TUTR")</f>
        <v>TUTR</v>
      </c>
      <c r="D6654" s="122" t="str">
        <f>IFERROR(__xludf.DUMMYFUNCTION("""COMPUTED_VALUE"""),"TutorTown")</f>
        <v>TutorTown</v>
      </c>
      <c r="E6654" s="122">
        <f>IFERROR(__xludf.DUMMYFUNCTION("""COMPUTED_VALUE"""),90.44)</f>
        <v>90.44</v>
      </c>
      <c r="F6654" s="122">
        <f>IFERROR(__xludf.DUMMYFUNCTION("""COMPUTED_VALUE"""),0.003)</f>
        <v>0.003</v>
      </c>
    </row>
    <row r="6655">
      <c r="A6655" s="131">
        <f>IFERROR(__xludf.DUMMYFUNCTION("""COMPUTED_VALUE"""),46187.56747685185)</f>
        <v>46187.56748</v>
      </c>
      <c r="B6655" s="126">
        <f>IFERROR(__xludf.DUMMYFUNCTION("""COMPUTED_VALUE"""),46187.0)</f>
        <v>46187</v>
      </c>
      <c r="C6655" s="122" t="str">
        <f>IFERROR(__xludf.DUMMYFUNCTION("""COMPUTED_VALUE"""),"LANG")</f>
        <v>LANG</v>
      </c>
      <c r="D6655" s="122" t="str">
        <f>IFERROR(__xludf.DUMMYFUNCTION("""COMPUTED_VALUE"""),"LinguaLab")</f>
        <v>LinguaLab</v>
      </c>
      <c r="E6655" s="122">
        <f>IFERROR(__xludf.DUMMYFUNCTION("""COMPUTED_VALUE"""),99.94)</f>
        <v>99.94</v>
      </c>
      <c r="F6655" s="122">
        <f>IFERROR(__xludf.DUMMYFUNCTION("""COMPUTED_VALUE"""),0.0034)</f>
        <v>0.0034</v>
      </c>
    </row>
    <row r="6656">
      <c r="A6656" s="131">
        <f>IFERROR(__xludf.DUMMYFUNCTION("""COMPUTED_VALUE"""),46187.56747685185)</f>
        <v>46187.56748</v>
      </c>
      <c r="B6656" s="126">
        <f>IFERROR(__xludf.DUMMYFUNCTION("""COMPUTED_VALUE"""),46187.0)</f>
        <v>46187</v>
      </c>
      <c r="C6656" s="122" t="str">
        <f>IFERROR(__xludf.DUMMYFUNCTION("""COMPUTED_VALUE"""),"TEST")</f>
        <v>TEST</v>
      </c>
      <c r="D6656" s="122" t="str">
        <f>IFERROR(__xludf.DUMMYFUNCTION("""COMPUTED_VALUE"""),"TestPrep Pro")</f>
        <v>TestPrep Pro</v>
      </c>
      <c r="E6656" s="122">
        <f>IFERROR(__xludf.DUMMYFUNCTION("""COMPUTED_VALUE"""),91.64)</f>
        <v>91.64</v>
      </c>
      <c r="F6656" s="122">
        <f>IFERROR(__xludf.DUMMYFUNCTION("""COMPUTED_VALUE"""),-0.0092)</f>
        <v>-0.0092</v>
      </c>
    </row>
    <row r="6657">
      <c r="A6657" s="131">
        <f>IFERROR(__xludf.DUMMYFUNCTION("""COMPUTED_VALUE"""),46187.56747685185)</f>
        <v>46187.56748</v>
      </c>
      <c r="B6657" s="126">
        <f>IFERROR(__xludf.DUMMYFUNCTION("""COMPUTED_VALUE"""),46187.0)</f>
        <v>46187</v>
      </c>
      <c r="C6657" s="122" t="str">
        <f>IFERROR(__xludf.DUMMYFUNCTION("""COMPUTED_VALUE"""),"MOVI")</f>
        <v>MOVI</v>
      </c>
      <c r="D6657" s="122" t="str">
        <f>IFERROR(__xludf.DUMMYFUNCTION("""COMPUTED_VALUE"""),"MovieBox")</f>
        <v>MovieBox</v>
      </c>
      <c r="E6657" s="122">
        <f>IFERROR(__xludf.DUMMYFUNCTION("""COMPUTED_VALUE"""),83.72)</f>
        <v>83.72</v>
      </c>
      <c r="F6657" s="122">
        <f>IFERROR(__xludf.DUMMYFUNCTION("""COMPUTED_VALUE"""),0.0036)</f>
        <v>0.0036</v>
      </c>
    </row>
    <row r="6658">
      <c r="A6658" s="131">
        <f>IFERROR(__xludf.DUMMYFUNCTION("""COMPUTED_VALUE"""),46187.56747685185)</f>
        <v>46187.56748</v>
      </c>
      <c r="B6658" s="126">
        <f>IFERROR(__xludf.DUMMYFUNCTION("""COMPUTED_VALUE"""),46187.0)</f>
        <v>46187</v>
      </c>
      <c r="C6658" s="122" t="str">
        <f>IFERROR(__xludf.DUMMYFUNCTION("""COMPUTED_VALUE"""),"MUSC")</f>
        <v>MUSC</v>
      </c>
      <c r="D6658" s="122" t="str">
        <f>IFERROR(__xludf.DUMMYFUNCTION("""COMPUTED_VALUE"""),"MusicWave")</f>
        <v>MusicWave</v>
      </c>
      <c r="E6658" s="122">
        <f>IFERROR(__xludf.DUMMYFUNCTION("""COMPUTED_VALUE"""),101.33)</f>
        <v>101.33</v>
      </c>
      <c r="F6658" s="122">
        <f>IFERROR(__xludf.DUMMYFUNCTION("""COMPUTED_VALUE"""),0.0083)</f>
        <v>0.0083</v>
      </c>
    </row>
    <row r="6659">
      <c r="A6659" s="131">
        <f>IFERROR(__xludf.DUMMYFUNCTION("""COMPUTED_VALUE"""),46187.56747685185)</f>
        <v>46187.56748</v>
      </c>
      <c r="B6659" s="126">
        <f>IFERROR(__xludf.DUMMYFUNCTION("""COMPUTED_VALUE"""),46187.0)</f>
        <v>46187</v>
      </c>
      <c r="C6659" s="122" t="str">
        <f>IFERROR(__xludf.DUMMYFUNCTION("""COMPUTED_VALUE"""),"IDOL")</f>
        <v>IDOL</v>
      </c>
      <c r="D6659" s="122" t="str">
        <f>IFERROR(__xludf.DUMMYFUNCTION("""COMPUTED_VALUE"""),"Idol Agency")</f>
        <v>Idol Agency</v>
      </c>
      <c r="E6659" s="122">
        <f>IFERROR(__xludf.DUMMYFUNCTION("""COMPUTED_VALUE"""),185.96)</f>
        <v>185.96</v>
      </c>
      <c r="F6659" s="122">
        <f>IFERROR(__xludf.DUMMYFUNCTION("""COMPUTED_VALUE"""),0.0038)</f>
        <v>0.0038</v>
      </c>
    </row>
    <row r="6660">
      <c r="A6660" s="131">
        <f>IFERROR(__xludf.DUMMYFUNCTION("""COMPUTED_VALUE"""),46187.56747685185)</f>
        <v>46187.56748</v>
      </c>
      <c r="B6660" s="126">
        <f>IFERROR(__xludf.DUMMYFUNCTION("""COMPUTED_VALUE"""),46187.0)</f>
        <v>46187</v>
      </c>
      <c r="C6660" s="122" t="str">
        <f>IFERROR(__xludf.DUMMYFUNCTION("""COMPUTED_VALUE"""),"MEME")</f>
        <v>MEME</v>
      </c>
      <c r="D6660" s="122" t="str">
        <f>IFERROR(__xludf.DUMMYFUNCTION("""COMPUTED_VALUE"""),"Meme Media")</f>
        <v>Meme Media</v>
      </c>
      <c r="E6660" s="122">
        <f>IFERROR(__xludf.DUMMYFUNCTION("""COMPUTED_VALUE"""),74.87)</f>
        <v>74.87</v>
      </c>
      <c r="F6660" s="122">
        <f>IFERROR(__xludf.DUMMYFUNCTION("""COMPUTED_VALUE"""),-0.0028)</f>
        <v>-0.0028</v>
      </c>
    </row>
    <row r="6661">
      <c r="A6661" s="131">
        <f>IFERROR(__xludf.DUMMYFUNCTION("""COMPUTED_VALUE"""),46187.56747685185)</f>
        <v>46187.56748</v>
      </c>
      <c r="B6661" s="126">
        <f>IFERROR(__xludf.DUMMYFUNCTION("""COMPUTED_VALUE"""),46187.0)</f>
        <v>46187</v>
      </c>
      <c r="C6661" s="122" t="str">
        <f>IFERROR(__xludf.DUMMYFUNCTION("""COMPUTED_VALUE"""),"STRM")</f>
        <v>STRM</v>
      </c>
      <c r="D6661" s="122" t="str">
        <f>IFERROR(__xludf.DUMMYFUNCTION("""COMPUTED_VALUE"""),"Streamly")</f>
        <v>Streamly</v>
      </c>
      <c r="E6661" s="122">
        <f>IFERROR(__xludf.DUMMYFUNCTION("""COMPUTED_VALUE"""),136.07)</f>
        <v>136.07</v>
      </c>
      <c r="F6661" s="122">
        <f>IFERROR(__xludf.DUMMYFUNCTION("""COMPUTED_VALUE"""),-0.0032)</f>
        <v>-0.0032</v>
      </c>
    </row>
    <row r="6662">
      <c r="A6662" s="131">
        <f>IFERROR(__xludf.DUMMYFUNCTION("""COMPUTED_VALUE"""),46187.56747685185)</f>
        <v>46187.56748</v>
      </c>
      <c r="B6662" s="126">
        <f>IFERROR(__xludf.DUMMYFUNCTION("""COMPUTED_VALUE"""),46187.0)</f>
        <v>46187</v>
      </c>
      <c r="C6662" s="122" t="str">
        <f>IFERROR(__xludf.DUMMYFUNCTION("""COMPUTED_VALUE"""),"FARM")</f>
        <v>FARM</v>
      </c>
      <c r="D6662" s="122" t="str">
        <f>IFERROR(__xludf.DUMMYFUNCTION("""COMPUTED_VALUE"""),"Future Farms")</f>
        <v>Future Farms</v>
      </c>
      <c r="E6662" s="122">
        <f>IFERROR(__xludf.DUMMYFUNCTION("""COMPUTED_VALUE"""),93.12)</f>
        <v>93.12</v>
      </c>
      <c r="F6662" s="122">
        <f>IFERROR(__xludf.DUMMYFUNCTION("""COMPUTED_VALUE"""),0.0013)</f>
        <v>0.0013</v>
      </c>
    </row>
    <row r="6663">
      <c r="A6663" s="131">
        <f>IFERROR(__xludf.DUMMYFUNCTION("""COMPUTED_VALUE"""),46187.56747685185)</f>
        <v>46187.56748</v>
      </c>
      <c r="B6663" s="126">
        <f>IFERROR(__xludf.DUMMYFUNCTION("""COMPUTED_VALUE"""),46187.0)</f>
        <v>46187</v>
      </c>
      <c r="C6663" s="122" t="str">
        <f>IFERROR(__xludf.DUMMYFUNCTION("""COMPUTED_VALUE"""),"MEAT")</f>
        <v>MEAT</v>
      </c>
      <c r="D6663" s="122" t="str">
        <f>IFERROR(__xludf.DUMMYFUNCTION("""COMPUTED_VALUE"""),"MeatWorks")</f>
        <v>MeatWorks</v>
      </c>
      <c r="E6663" s="122">
        <f>IFERROR(__xludf.DUMMYFUNCTION("""COMPUTED_VALUE"""),107.49)</f>
        <v>107.49</v>
      </c>
      <c r="F6663" s="122">
        <f>IFERROR(__xludf.DUMMYFUNCTION("""COMPUTED_VALUE"""),0.0041)</f>
        <v>0.0041</v>
      </c>
    </row>
    <row r="6664">
      <c r="A6664" s="131">
        <f>IFERROR(__xludf.DUMMYFUNCTION("""COMPUTED_VALUE"""),46187.56747685185)</f>
        <v>46187.56748</v>
      </c>
      <c r="B6664" s="126">
        <f>IFERROR(__xludf.DUMMYFUNCTION("""COMPUTED_VALUE"""),46187.0)</f>
        <v>46187</v>
      </c>
      <c r="C6664" s="122" t="str">
        <f>IFERROR(__xludf.DUMMYFUNCTION("""COMPUTED_VALUE"""),"VEGI")</f>
        <v>VEGI</v>
      </c>
      <c r="D6664" s="122" t="str">
        <f>IFERROR(__xludf.DUMMYFUNCTION("""COMPUTED_VALUE"""),"Green Basket")</f>
        <v>Green Basket</v>
      </c>
      <c r="E6664" s="122">
        <f>IFERROR(__xludf.DUMMYFUNCTION("""COMPUTED_VALUE"""),77.75)</f>
        <v>77.75</v>
      </c>
      <c r="F6664" s="122">
        <f>IFERROR(__xludf.DUMMYFUNCTION("""COMPUTED_VALUE"""),-0.0036)</f>
        <v>-0.0036</v>
      </c>
    </row>
    <row r="6665">
      <c r="A6665" s="131">
        <f>IFERROR(__xludf.DUMMYFUNCTION("""COMPUTED_VALUE"""),46187.56747685185)</f>
        <v>46187.56748</v>
      </c>
      <c r="B6665" s="126">
        <f>IFERROR(__xludf.DUMMYFUNCTION("""COMPUTED_VALUE"""),46187.0)</f>
        <v>46187</v>
      </c>
      <c r="C6665" s="122" t="str">
        <f>IFERROR(__xludf.DUMMYFUNCTION("""COMPUTED_VALUE"""),"CAFE")</f>
        <v>CAFE</v>
      </c>
      <c r="D6665" s="122" t="str">
        <f>IFERROR(__xludf.DUMMYFUNCTION("""COMPUTED_VALUE"""),"Cafe Cloud")</f>
        <v>Cafe Cloud</v>
      </c>
      <c r="E6665" s="122">
        <f>IFERROR(__xludf.DUMMYFUNCTION("""COMPUTED_VALUE"""),101.53)</f>
        <v>101.53</v>
      </c>
      <c r="F6665" s="122">
        <f>IFERROR(__xludf.DUMMYFUNCTION("""COMPUTED_VALUE"""),-0.0015)</f>
        <v>-0.0015</v>
      </c>
    </row>
    <row r="6666">
      <c r="A6666" s="131">
        <f>IFERROR(__xludf.DUMMYFUNCTION("""COMPUTED_VALUE"""),46187.56747685185)</f>
        <v>46187.56748</v>
      </c>
      <c r="B6666" s="126">
        <f>IFERROR(__xludf.DUMMYFUNCTION("""COMPUTED_VALUE"""),46187.0)</f>
        <v>46187</v>
      </c>
      <c r="C6666" s="122" t="str">
        <f>IFERROR(__xludf.DUMMYFUNCTION("""COMPUTED_VALUE"""),"BAKE")</f>
        <v>BAKE</v>
      </c>
      <c r="D6666" s="122" t="str">
        <f>IFERROR(__xludf.DUMMYFUNCTION("""COMPUTED_VALUE"""),"BakeHouse")</f>
        <v>BakeHouse</v>
      </c>
      <c r="E6666" s="122">
        <f>IFERROR(__xludf.DUMMYFUNCTION("""COMPUTED_VALUE"""),101.75)</f>
        <v>101.75</v>
      </c>
      <c r="F6666" s="122">
        <f>IFERROR(__xludf.DUMMYFUNCTION("""COMPUTED_VALUE"""),0.0017)</f>
        <v>0.0017</v>
      </c>
    </row>
    <row r="6667">
      <c r="A6667" s="131">
        <f>IFERROR(__xludf.DUMMYFUNCTION("""COMPUTED_VALUE"""),46187.56747685185)</f>
        <v>46187.56748</v>
      </c>
      <c r="B6667" s="126">
        <f>IFERROR(__xludf.DUMMYFUNCTION("""COMPUTED_VALUE"""),46187.0)</f>
        <v>46187</v>
      </c>
      <c r="C6667" s="122" t="str">
        <f>IFERROR(__xludf.DUMMYFUNCTION("""COMPUTED_VALUE"""),"OILX")</f>
        <v>OILX</v>
      </c>
      <c r="D6667" s="122" t="str">
        <f>IFERROR(__xludf.DUMMYFUNCTION("""COMPUTED_VALUE"""),"OilMax Energy")</f>
        <v>OilMax Energy</v>
      </c>
      <c r="E6667" s="122">
        <f>IFERROR(__xludf.DUMMYFUNCTION("""COMPUTED_VALUE"""),130.42)</f>
        <v>130.42</v>
      </c>
      <c r="F6667" s="122">
        <f>IFERROR(__xludf.DUMMYFUNCTION("""COMPUTED_VALUE"""),-0.0025)</f>
        <v>-0.0025</v>
      </c>
    </row>
    <row r="6668">
      <c r="A6668" s="131">
        <f>IFERROR(__xludf.DUMMYFUNCTION("""COMPUTED_VALUE"""),46187.56747685185)</f>
        <v>46187.56748</v>
      </c>
      <c r="B6668" s="126">
        <f>IFERROR(__xludf.DUMMYFUNCTION("""COMPUTED_VALUE"""),46187.0)</f>
        <v>46187</v>
      </c>
      <c r="C6668" s="122" t="str">
        <f>IFERROR(__xludf.DUMMYFUNCTION("""COMPUTED_VALUE"""),"SOLR")</f>
        <v>SOLR</v>
      </c>
      <c r="D6668" s="122" t="str">
        <f>IFERROR(__xludf.DUMMYFUNCTION("""COMPUTED_VALUE"""),"SolarSpark")</f>
        <v>SolarSpark</v>
      </c>
      <c r="E6668" s="122">
        <f>IFERROR(__xludf.DUMMYFUNCTION("""COMPUTED_VALUE"""),100.99)</f>
        <v>100.99</v>
      </c>
      <c r="F6668" s="122">
        <f>IFERROR(__xludf.DUMMYFUNCTION("""COMPUTED_VALUE"""),-8.0E-4)</f>
        <v>-0.0008</v>
      </c>
    </row>
    <row r="6669">
      <c r="A6669" s="131">
        <f>IFERROR(__xludf.DUMMYFUNCTION("""COMPUTED_VALUE"""),46187.56747685185)</f>
        <v>46187.56748</v>
      </c>
      <c r="B6669" s="126">
        <f>IFERROR(__xludf.DUMMYFUNCTION("""COMPUTED_VALUE"""),46187.0)</f>
        <v>46187</v>
      </c>
      <c r="C6669" s="122" t="str">
        <f>IFERROR(__xludf.DUMMYFUNCTION("""COMPUTED_VALUE"""),"BATT")</f>
        <v>BATT</v>
      </c>
      <c r="D6669" s="122" t="str">
        <f>IFERROR(__xludf.DUMMYFUNCTION("""COMPUTED_VALUE"""),"BatteryBox")</f>
        <v>BatteryBox</v>
      </c>
      <c r="E6669" s="122">
        <f>IFERROR(__xludf.DUMMYFUNCTION("""COMPUTED_VALUE"""),117.93)</f>
        <v>117.93</v>
      </c>
      <c r="F6669" s="122">
        <f>IFERROR(__xludf.DUMMYFUNCTION("""COMPUTED_VALUE"""),-0.0106)</f>
        <v>-0.0106</v>
      </c>
    </row>
    <row r="6670">
      <c r="A6670" s="131">
        <f>IFERROR(__xludf.DUMMYFUNCTION("""COMPUTED_VALUE"""),46187.56747685185)</f>
        <v>46187.56748</v>
      </c>
      <c r="B6670" s="126">
        <f>IFERROR(__xludf.DUMMYFUNCTION("""COMPUTED_VALUE"""),46187.0)</f>
        <v>46187</v>
      </c>
      <c r="C6670" s="122" t="str">
        <f>IFERROR(__xludf.DUMMYFUNCTION("""COMPUTED_VALUE"""),"WIND")</f>
        <v>WIND</v>
      </c>
      <c r="D6670" s="122" t="str">
        <f>IFERROR(__xludf.DUMMYFUNCTION("""COMPUTED_VALUE"""),"WindWorks")</f>
        <v>WindWorks</v>
      </c>
      <c r="E6670" s="122">
        <f>IFERROR(__xludf.DUMMYFUNCTION("""COMPUTED_VALUE"""),87.05)</f>
        <v>87.05</v>
      </c>
      <c r="F6670" s="122">
        <f>IFERROR(__xludf.DUMMYFUNCTION("""COMPUTED_VALUE"""),-0.0039)</f>
        <v>-0.0039</v>
      </c>
    </row>
    <row r="6671">
      <c r="A6671" s="131">
        <f>IFERROR(__xludf.DUMMYFUNCTION("""COMPUTED_VALUE"""),46187.56747685185)</f>
        <v>46187.56748</v>
      </c>
      <c r="B6671" s="126">
        <f>IFERROR(__xludf.DUMMYFUNCTION("""COMPUTED_VALUE"""),46187.0)</f>
        <v>46187</v>
      </c>
      <c r="C6671" s="122" t="str">
        <f>IFERROR(__xludf.DUMMYFUNCTION("""COMPUTED_VALUE"""),"GRID")</f>
        <v>GRID</v>
      </c>
      <c r="D6671" s="122" t="str">
        <f>IFERROR(__xludf.DUMMYFUNCTION("""COMPUTED_VALUE"""),"GridPower")</f>
        <v>GridPower</v>
      </c>
      <c r="E6671" s="122">
        <f>IFERROR(__xludf.DUMMYFUNCTION("""COMPUTED_VALUE"""),131.3)</f>
        <v>131.3</v>
      </c>
      <c r="F6671" s="122">
        <f>IFERROR(__xludf.DUMMYFUNCTION("""COMPUTED_VALUE"""),-2.0E-4)</f>
        <v>-0.0002</v>
      </c>
    </row>
    <row r="6672">
      <c r="A6672" s="131">
        <f>IFERROR(__xludf.DUMMYFUNCTION("""COMPUTED_VALUE"""),46187.56747685185)</f>
        <v>46187.56748</v>
      </c>
      <c r="B6672" s="126">
        <f>IFERROR(__xludf.DUMMYFUNCTION("""COMPUTED_VALUE"""),46187.0)</f>
        <v>46187</v>
      </c>
      <c r="C6672" s="122" t="str">
        <f>IFERROR(__xludf.DUMMYFUNCTION("""COMPUTED_VALUE"""),"HOME")</f>
        <v>HOME</v>
      </c>
      <c r="D6672" s="122" t="str">
        <f>IFERROR(__xludf.DUMMYFUNCTION("""COMPUTED_VALUE"""),"HomeHub")</f>
        <v>HomeHub</v>
      </c>
      <c r="E6672" s="122">
        <f>IFERROR(__xludf.DUMMYFUNCTION("""COMPUTED_VALUE"""),156.31)</f>
        <v>156.31</v>
      </c>
      <c r="F6672" s="122">
        <f>IFERROR(__xludf.DUMMYFUNCTION("""COMPUTED_VALUE"""),0.0025)</f>
        <v>0.0025</v>
      </c>
    </row>
    <row r="6673">
      <c r="A6673" s="131">
        <f>IFERROR(__xludf.DUMMYFUNCTION("""COMPUTED_VALUE"""),46187.56747685185)</f>
        <v>46187.56748</v>
      </c>
      <c r="B6673" s="126">
        <f>IFERROR(__xludf.DUMMYFUNCTION("""COMPUTED_VALUE"""),46187.0)</f>
        <v>46187</v>
      </c>
      <c r="C6673" s="122" t="str">
        <f>IFERROR(__xludf.DUMMYFUNCTION("""COMPUTED_VALUE"""),"RENT")</f>
        <v>RENT</v>
      </c>
      <c r="D6673" s="122" t="str">
        <f>IFERROR(__xludf.DUMMYFUNCTION("""COMPUTED_VALUE"""),"RentRight")</f>
        <v>RentRight</v>
      </c>
      <c r="E6673" s="122">
        <f>IFERROR(__xludf.DUMMYFUNCTION("""COMPUTED_VALUE"""),91.05)</f>
        <v>91.05</v>
      </c>
      <c r="F6673" s="122">
        <f>IFERROR(__xludf.DUMMYFUNCTION("""COMPUTED_VALUE"""),-2.0E-4)</f>
        <v>-0.0002</v>
      </c>
    </row>
    <row r="6674">
      <c r="A6674" s="131">
        <f>IFERROR(__xludf.DUMMYFUNCTION("""COMPUTED_VALUE"""),46187.56747685185)</f>
        <v>46187.56748</v>
      </c>
      <c r="B6674" s="126">
        <f>IFERROR(__xludf.DUMMYFUNCTION("""COMPUTED_VALUE"""),46187.0)</f>
        <v>46187</v>
      </c>
      <c r="C6674" s="122" t="str">
        <f>IFERROR(__xludf.DUMMYFUNCTION("""COMPUTED_VALUE"""),"MALL")</f>
        <v>MALL</v>
      </c>
      <c r="D6674" s="122" t="str">
        <f>IFERROR(__xludf.DUMMYFUNCTION("""COMPUTED_VALUE"""),"MegaMall")</f>
        <v>MegaMall</v>
      </c>
      <c r="E6674" s="122">
        <f>IFERROR(__xludf.DUMMYFUNCTION("""COMPUTED_VALUE"""),100.92)</f>
        <v>100.92</v>
      </c>
      <c r="F6674" s="122">
        <f>IFERROR(__xludf.DUMMYFUNCTION("""COMPUTED_VALUE"""),-0.0014)</f>
        <v>-0.0014</v>
      </c>
    </row>
    <row r="6675">
      <c r="A6675" s="131">
        <f>IFERROR(__xludf.DUMMYFUNCTION("""COMPUTED_VALUE"""),46187.56747685185)</f>
        <v>46187.56748</v>
      </c>
      <c r="B6675" s="126">
        <f>IFERROR(__xludf.DUMMYFUNCTION("""COMPUTED_VALUE"""),46187.0)</f>
        <v>46187</v>
      </c>
      <c r="C6675" s="122" t="str">
        <f>IFERROR(__xludf.DUMMYFUNCTION("""COMPUTED_VALUE"""),"HOTL")</f>
        <v>HOTL</v>
      </c>
      <c r="D6675" s="122" t="str">
        <f>IFERROR(__xludf.DUMMYFUNCTION("""COMPUTED_VALUE"""),"HotelHive")</f>
        <v>HotelHive</v>
      </c>
      <c r="E6675" s="122">
        <f>IFERROR(__xludf.DUMMYFUNCTION("""COMPUTED_VALUE"""),126.87)</f>
        <v>126.87</v>
      </c>
      <c r="F6675" s="122">
        <f>IFERROR(__xludf.DUMMYFUNCTION("""COMPUTED_VALUE"""),1.0E-4)</f>
        <v>0.0001</v>
      </c>
    </row>
    <row r="6676">
      <c r="A6676" s="131">
        <f>IFERROR(__xludf.DUMMYFUNCTION("""COMPUTED_VALUE"""),46187.56747685185)</f>
        <v>46187.56748</v>
      </c>
      <c r="B6676" s="126">
        <f>IFERROR(__xludf.DUMMYFUNCTION("""COMPUTED_VALUE"""),46187.0)</f>
        <v>46187</v>
      </c>
      <c r="C6676" s="122" t="str">
        <f>IFERROR(__xludf.DUMMYFUNCTION("""COMPUTED_VALUE"""),"LAND")</f>
        <v>LAND</v>
      </c>
      <c r="D6676" s="122" t="str">
        <f>IFERROR(__xludf.DUMMYFUNCTION("""COMPUTED_VALUE"""),"LandLink")</f>
        <v>LandLink</v>
      </c>
      <c r="E6676" s="122">
        <f>IFERROR(__xludf.DUMMYFUNCTION("""COMPUTED_VALUE"""),183.6)</f>
        <v>183.6</v>
      </c>
      <c r="F6676" s="122">
        <f>IFERROR(__xludf.DUMMYFUNCTION("""COMPUTED_VALUE"""),-0.0034)</f>
        <v>-0.0034</v>
      </c>
    </row>
    <row r="6677">
      <c r="A6677" s="131">
        <f>IFERROR(__xludf.DUMMYFUNCTION("""COMPUTED_VALUE"""),46187.56747685185)</f>
        <v>46187.56748</v>
      </c>
      <c r="B6677" s="126">
        <f>IFERROR(__xludf.DUMMYFUNCTION("""COMPUTED_VALUE"""),46187.0)</f>
        <v>46187</v>
      </c>
      <c r="C6677" s="122" t="str">
        <f>IFERROR(__xludf.DUMMYFUNCTION("""COMPUTED_VALUE"""),"CARS")</f>
        <v>CARS</v>
      </c>
      <c r="D6677" s="122" t="str">
        <f>IFERROR(__xludf.DUMMYFUNCTION("""COMPUTED_VALUE"""),"AutoArena")</f>
        <v>AutoArena</v>
      </c>
      <c r="E6677" s="122">
        <f>IFERROR(__xludf.DUMMYFUNCTION("""COMPUTED_VALUE"""),82.21)</f>
        <v>82.21</v>
      </c>
      <c r="F6677" s="122">
        <f>IFERROR(__xludf.DUMMYFUNCTION("""COMPUTED_VALUE"""),-0.004)</f>
        <v>-0.004</v>
      </c>
    </row>
    <row r="6678">
      <c r="A6678" s="131">
        <f>IFERROR(__xludf.DUMMYFUNCTION("""COMPUTED_VALUE"""),46187.56747685185)</f>
        <v>46187.56748</v>
      </c>
      <c r="B6678" s="126">
        <f>IFERROR(__xludf.DUMMYFUNCTION("""COMPUTED_VALUE"""),46187.0)</f>
        <v>46187</v>
      </c>
      <c r="C6678" s="122" t="str">
        <f>IFERROR(__xludf.DUMMYFUNCTION("""COMPUTED_VALUE"""),"EVGO")</f>
        <v>EVGO</v>
      </c>
      <c r="D6678" s="122" t="str">
        <f>IFERROR(__xludf.DUMMYFUNCTION("""COMPUTED_VALUE"""),"EVGo Motors")</f>
        <v>EVGo Motors</v>
      </c>
      <c r="E6678" s="122">
        <f>IFERROR(__xludf.DUMMYFUNCTION("""COMPUTED_VALUE"""),183.5)</f>
        <v>183.5</v>
      </c>
      <c r="F6678" s="122">
        <f>IFERROR(__xludf.DUMMYFUNCTION("""COMPUTED_VALUE"""),0.0066)</f>
        <v>0.0066</v>
      </c>
    </row>
    <row r="6679">
      <c r="A6679" s="131">
        <f>IFERROR(__xludf.DUMMYFUNCTION("""COMPUTED_VALUE"""),46187.56747685185)</f>
        <v>46187.56748</v>
      </c>
      <c r="B6679" s="126">
        <f>IFERROR(__xludf.DUMMYFUNCTION("""COMPUTED_VALUE"""),46187.0)</f>
        <v>46187</v>
      </c>
      <c r="C6679" s="122" t="str">
        <f>IFERROR(__xludf.DUMMYFUNCTION("""COMPUTED_VALUE"""),"TIRE")</f>
        <v>TIRE</v>
      </c>
      <c r="D6679" s="122" t="str">
        <f>IFERROR(__xludf.DUMMYFUNCTION("""COMPUTED_VALUE"""),"TireTown")</f>
        <v>TireTown</v>
      </c>
      <c r="E6679" s="122">
        <f>IFERROR(__xludf.DUMMYFUNCTION("""COMPUTED_VALUE"""),96.93)</f>
        <v>96.93</v>
      </c>
      <c r="F6679" s="122">
        <f>IFERROR(__xludf.DUMMYFUNCTION("""COMPUTED_VALUE"""),7.0E-4)</f>
        <v>0.0007</v>
      </c>
    </row>
    <row r="6680">
      <c r="A6680" s="131">
        <f>IFERROR(__xludf.DUMMYFUNCTION("""COMPUTED_VALUE"""),46187.56747685185)</f>
        <v>46187.56748</v>
      </c>
      <c r="B6680" s="126">
        <f>IFERROR(__xludf.DUMMYFUNCTION("""COMPUTED_VALUE"""),46187.0)</f>
        <v>46187</v>
      </c>
      <c r="C6680" s="122" t="str">
        <f>IFERROR(__xludf.DUMMYFUNCTION("""COMPUTED_VALUE"""),"BIKE")</f>
        <v>BIKE</v>
      </c>
      <c r="D6680" s="122" t="str">
        <f>IFERROR(__xludf.DUMMYFUNCTION("""COMPUTED_VALUE"""),"BikeBox")</f>
        <v>BikeBox</v>
      </c>
      <c r="E6680" s="122">
        <f>IFERROR(__xludf.DUMMYFUNCTION("""COMPUTED_VALUE"""),52.09)</f>
        <v>52.09</v>
      </c>
      <c r="F6680" s="122">
        <f>IFERROR(__xludf.DUMMYFUNCTION("""COMPUTED_VALUE"""),0.0027)</f>
        <v>0.0027</v>
      </c>
    </row>
    <row r="6681">
      <c r="A6681" s="131">
        <f>IFERROR(__xludf.DUMMYFUNCTION("""COMPUTED_VALUE"""),46187.56747685185)</f>
        <v>46187.56748</v>
      </c>
      <c r="B6681" s="126">
        <f>IFERROR(__xludf.DUMMYFUNCTION("""COMPUTED_VALUE"""),46187.0)</f>
        <v>46187</v>
      </c>
      <c r="C6681" s="122" t="str">
        <f>IFERROR(__xludf.DUMMYFUNCTION("""COMPUTED_VALUE"""),"WASH")</f>
        <v>WASH</v>
      </c>
      <c r="D6681" s="122" t="str">
        <f>IFERROR(__xludf.DUMMYFUNCTION("""COMPUTED_VALUE"""),"CarWash Co")</f>
        <v>CarWash Co</v>
      </c>
      <c r="E6681" s="122">
        <f>IFERROR(__xludf.DUMMYFUNCTION("""COMPUTED_VALUE"""),119.91)</f>
        <v>119.91</v>
      </c>
      <c r="F6681" s="122">
        <f>IFERROR(__xludf.DUMMYFUNCTION("""COMPUTED_VALUE"""),0.003)</f>
        <v>0.003</v>
      </c>
    </row>
    <row r="6682">
      <c r="A6682" s="131">
        <f>IFERROR(__xludf.DUMMYFUNCTION("""COMPUTED_VALUE"""),46187.56747685185)</f>
        <v>46187.56748</v>
      </c>
      <c r="B6682" s="126">
        <f>IFERROR(__xludf.DUMMYFUNCTION("""COMPUTED_VALUE"""),46187.0)</f>
        <v>46187</v>
      </c>
      <c r="C6682" s="122" t="str">
        <f>IFERROR(__xludf.DUMMYFUNCTION("""COMPUTED_VALUE"""),"GBND")</f>
        <v>GBND</v>
      </c>
      <c r="D6682" s="122" t="str">
        <f>IFERROR(__xludf.DUMMYFUNCTION("""COMPUTED_VALUE"""),"Classroom Government Bond")</f>
        <v>Classroom Government Bond</v>
      </c>
      <c r="E6682" s="122">
        <f>IFERROR(__xludf.DUMMYFUNCTION("""COMPUTED_VALUE"""),101.13)</f>
        <v>101.13</v>
      </c>
      <c r="F6682" s="122">
        <f>IFERROR(__xludf.DUMMYFUNCTION("""COMPUTED_VALUE"""),0.0)</f>
        <v>0</v>
      </c>
    </row>
    <row r="6683">
      <c r="A6683" s="131">
        <f>IFERROR(__xludf.DUMMYFUNCTION("""COMPUTED_VALUE"""),46187.56747685185)</f>
        <v>46187.56748</v>
      </c>
      <c r="B6683" s="126">
        <f>IFERROR(__xludf.DUMMYFUNCTION("""COMPUTED_VALUE"""),46187.0)</f>
        <v>46187</v>
      </c>
      <c r="C6683" s="122" t="str">
        <f>IFERROR(__xludf.DUMMYFUNCTION("""COMPUTED_VALUE"""),"SBND")</f>
        <v>SBND</v>
      </c>
      <c r="D6683" s="122" t="str">
        <f>IFERROR(__xludf.DUMMYFUNCTION("""COMPUTED_VALUE"""),"School Savings Bond")</f>
        <v>School Savings Bond</v>
      </c>
      <c r="E6683" s="122">
        <f>IFERROR(__xludf.DUMMYFUNCTION("""COMPUTED_VALUE"""),99.26)</f>
        <v>99.26</v>
      </c>
      <c r="F6683" s="122">
        <f>IFERROR(__xludf.DUMMYFUNCTION("""COMPUTED_VALUE"""),-3.0E-4)</f>
        <v>-0.0003</v>
      </c>
    </row>
    <row r="6684">
      <c r="A6684" s="131">
        <f>IFERROR(__xludf.DUMMYFUNCTION("""COMPUTED_VALUE"""),46187.56747685185)</f>
        <v>46187.56748</v>
      </c>
      <c r="B6684" s="126">
        <f>IFERROR(__xludf.DUMMYFUNCTION("""COMPUTED_VALUE"""),46187.0)</f>
        <v>46187</v>
      </c>
      <c r="C6684" s="122" t="str">
        <f>IFERROR(__xludf.DUMMYFUNCTION("""COMPUTED_VALUE"""),"CBND")</f>
        <v>CBND</v>
      </c>
      <c r="D6684" s="122" t="str">
        <f>IFERROR(__xludf.DUMMYFUNCTION("""COMPUTED_VALUE"""),"Corporate Classroom Bond")</f>
        <v>Corporate Classroom Bond</v>
      </c>
      <c r="E6684" s="122">
        <f>IFERROR(__xludf.DUMMYFUNCTION("""COMPUTED_VALUE"""),97.84)</f>
        <v>97.84</v>
      </c>
      <c r="F6684" s="122">
        <f>IFERROR(__xludf.DUMMYFUNCTION("""COMPUTED_VALUE"""),4.0E-4)</f>
        <v>0.0004</v>
      </c>
    </row>
    <row r="6685">
      <c r="A6685" s="131">
        <f>IFERROR(__xludf.DUMMYFUNCTION("""COMPUTED_VALUE"""),46187.56747685185)</f>
        <v>46187.56748</v>
      </c>
      <c r="B6685" s="126">
        <f>IFERROR(__xludf.DUMMYFUNCTION("""COMPUTED_VALUE"""),46187.0)</f>
        <v>46187</v>
      </c>
      <c r="C6685" s="122" t="str">
        <f>IFERROR(__xludf.DUMMYFUNCTION("""COMPUTED_VALUE"""),"TBIL")</f>
        <v>TBIL</v>
      </c>
      <c r="D6685" s="122" t="str">
        <f>IFERROR(__xludf.DUMMYFUNCTION("""COMPUTED_VALUE"""),"Treasury Bill")</f>
        <v>Treasury Bill</v>
      </c>
      <c r="E6685" s="122">
        <f>IFERROR(__xludf.DUMMYFUNCTION("""COMPUTED_VALUE"""),97.92)</f>
        <v>97.92</v>
      </c>
      <c r="F6685" s="122">
        <f>IFERROR(__xludf.DUMMYFUNCTION("""COMPUTED_VALUE"""),-3.0E-4)</f>
        <v>-0.0003</v>
      </c>
    </row>
    <row r="6686">
      <c r="A6686" s="131">
        <f>IFERROR(__xludf.DUMMYFUNCTION("""COMPUTED_VALUE"""),46187.56747685185)</f>
        <v>46187.56748</v>
      </c>
      <c r="B6686" s="126">
        <f>IFERROR(__xludf.DUMMYFUNCTION("""COMPUTED_VALUE"""),46187.0)</f>
        <v>46187</v>
      </c>
      <c r="C6686" s="122" t="str">
        <f>IFERROR(__xludf.DUMMYFUNCTION("""COMPUTED_VALUE"""),"IBND")</f>
        <v>IBND</v>
      </c>
      <c r="D6686" s="122" t="str">
        <f>IFERROR(__xludf.DUMMYFUNCTION("""COMPUTED_VALUE"""),"Inflation Protected Bond")</f>
        <v>Inflation Protected Bond</v>
      </c>
      <c r="E6686" s="122">
        <f>IFERROR(__xludf.DUMMYFUNCTION("""COMPUTED_VALUE"""),100.8)</f>
        <v>100.8</v>
      </c>
      <c r="F6686" s="122">
        <f>IFERROR(__xludf.DUMMYFUNCTION("""COMPUTED_VALUE"""),-4.0E-4)</f>
        <v>-0.0004</v>
      </c>
    </row>
    <row r="6687">
      <c r="A6687" s="131">
        <f>IFERROR(__xludf.DUMMYFUNCTION("""COMPUTED_VALUE"""),46187.57136574074)</f>
        <v>46187.57137</v>
      </c>
      <c r="B6687" s="126">
        <f>IFERROR(__xludf.DUMMYFUNCTION("""COMPUTED_VALUE"""),46187.0)</f>
        <v>46187</v>
      </c>
      <c r="C6687" s="122" t="str">
        <f>IFERROR(__xludf.DUMMYFUNCTION("""COMPUTED_VALUE"""),"SNAX")</f>
        <v>SNAX</v>
      </c>
      <c r="D6687" s="122" t="str">
        <f>IFERROR(__xludf.DUMMYFUNCTION("""COMPUTED_VALUE"""),"MICA Snacks")</f>
        <v>MICA Snacks</v>
      </c>
      <c r="E6687" s="122">
        <f>IFERROR(__xludf.DUMMYFUNCTION("""COMPUTED_VALUE"""),121.63)</f>
        <v>121.63</v>
      </c>
      <c r="F6687" s="122">
        <f>IFERROR(__xludf.DUMMYFUNCTION("""COMPUTED_VALUE"""),0.0026)</f>
        <v>0.0026</v>
      </c>
    </row>
    <row r="6688">
      <c r="A6688" s="131">
        <f>IFERROR(__xludf.DUMMYFUNCTION("""COMPUTED_VALUE"""),46187.57136574074)</f>
        <v>46187.57137</v>
      </c>
      <c r="B6688" s="126">
        <f>IFERROR(__xludf.DUMMYFUNCTION("""COMPUTED_VALUE"""),46187.0)</f>
        <v>46187</v>
      </c>
      <c r="C6688" s="122" t="str">
        <f>IFERROR(__xludf.DUMMYFUNCTION("""COMPUTED_VALUE"""),"RAMN")</f>
        <v>RAMN</v>
      </c>
      <c r="D6688" s="122" t="str">
        <f>IFERROR(__xludf.DUMMYFUNCTION("""COMPUTED_VALUE"""),"Ramen Republic")</f>
        <v>Ramen Republic</v>
      </c>
      <c r="E6688" s="122">
        <f>IFERROR(__xludf.DUMMYFUNCTION("""COMPUTED_VALUE"""),65.38)</f>
        <v>65.38</v>
      </c>
      <c r="F6688" s="122">
        <f>IFERROR(__xludf.DUMMYFUNCTION("""COMPUTED_VALUE"""),0.0018)</f>
        <v>0.0018</v>
      </c>
    </row>
    <row r="6689">
      <c r="A6689" s="131">
        <f>IFERROR(__xludf.DUMMYFUNCTION("""COMPUTED_VALUE"""),46187.57136574074)</f>
        <v>46187.57137</v>
      </c>
      <c r="B6689" s="126">
        <f>IFERROR(__xludf.DUMMYFUNCTION("""COMPUTED_VALUE"""),46187.0)</f>
        <v>46187</v>
      </c>
      <c r="C6689" s="122" t="str">
        <f>IFERROR(__xludf.DUMMYFUNCTION("""COMPUTED_VALUE"""),"COLA")</f>
        <v>COLA</v>
      </c>
      <c r="D6689" s="122" t="str">
        <f>IFERROR(__xludf.DUMMYFUNCTION("""COMPUTED_VALUE"""),"K-Pop Cola")</f>
        <v>K-Pop Cola</v>
      </c>
      <c r="E6689" s="122">
        <f>IFERROR(__xludf.DUMMYFUNCTION("""COMPUTED_VALUE"""),113.75)</f>
        <v>113.75</v>
      </c>
      <c r="F6689" s="122">
        <f>IFERROR(__xludf.DUMMYFUNCTION("""COMPUTED_VALUE"""),-0.0056)</f>
        <v>-0.0056</v>
      </c>
    </row>
    <row r="6690">
      <c r="A6690" s="131">
        <f>IFERROR(__xludf.DUMMYFUNCTION("""COMPUTED_VALUE"""),46187.57136574074)</f>
        <v>46187.57137</v>
      </c>
      <c r="B6690" s="126">
        <f>IFERROR(__xludf.DUMMYFUNCTION("""COMPUTED_VALUE"""),46187.0)</f>
        <v>46187</v>
      </c>
      <c r="C6690" s="122" t="str">
        <f>IFERROR(__xludf.DUMMYFUNCTION("""COMPUTED_VALUE"""),"CHIP")</f>
        <v>CHIP</v>
      </c>
      <c r="D6690" s="122" t="str">
        <f>IFERROR(__xludf.DUMMYFUNCTION("""COMPUTED_VALUE"""),"Chip Empire")</f>
        <v>Chip Empire</v>
      </c>
      <c r="E6690" s="122">
        <f>IFERROR(__xludf.DUMMYFUNCTION("""COMPUTED_VALUE"""),83.59)</f>
        <v>83.59</v>
      </c>
      <c r="F6690" s="122">
        <f>IFERROR(__xludf.DUMMYFUNCTION("""COMPUTED_VALUE"""),-0.0018)</f>
        <v>-0.0018</v>
      </c>
    </row>
    <row r="6691">
      <c r="A6691" s="131">
        <f>IFERROR(__xludf.DUMMYFUNCTION("""COMPUTED_VALUE"""),46187.57136574074)</f>
        <v>46187.57137</v>
      </c>
      <c r="B6691" s="126">
        <f>IFERROR(__xludf.DUMMYFUNCTION("""COMPUTED_VALUE"""),46187.0)</f>
        <v>46187</v>
      </c>
      <c r="C6691" s="122" t="str">
        <f>IFERROR(__xludf.DUMMYFUNCTION("""COMPUTED_VALUE"""),"CAND")</f>
        <v>CAND</v>
      </c>
      <c r="D6691" s="122" t="str">
        <f>IFERROR(__xludf.DUMMYFUNCTION("""COMPUTED_VALUE"""),"Candy Capital")</f>
        <v>Candy Capital</v>
      </c>
      <c r="E6691" s="122">
        <f>IFERROR(__xludf.DUMMYFUNCTION("""COMPUTED_VALUE"""),76.25)</f>
        <v>76.25</v>
      </c>
      <c r="F6691" s="122">
        <f>IFERROR(__xludf.DUMMYFUNCTION("""COMPUTED_VALUE"""),0.0026)</f>
        <v>0.0026</v>
      </c>
    </row>
    <row r="6692">
      <c r="A6692" s="131">
        <f>IFERROR(__xludf.DUMMYFUNCTION("""COMPUTED_VALUE"""),46187.57136574074)</f>
        <v>46187.57137</v>
      </c>
      <c r="B6692" s="126">
        <f>IFERROR(__xludf.DUMMYFUNCTION("""COMPUTED_VALUE"""),46187.0)</f>
        <v>46187</v>
      </c>
      <c r="C6692" s="122" t="str">
        <f>IFERROR(__xludf.DUMMYFUNCTION("""COMPUTED_VALUE"""),"TECH")</f>
        <v>TECH</v>
      </c>
      <c r="D6692" s="122" t="str">
        <f>IFERROR(__xludf.DUMMYFUNCTION("""COMPUTED_VALUE"""),"Dragon Tech")</f>
        <v>Dragon Tech</v>
      </c>
      <c r="E6692" s="122">
        <f>IFERROR(__xludf.DUMMYFUNCTION("""COMPUTED_VALUE"""),254.17)</f>
        <v>254.17</v>
      </c>
      <c r="F6692" s="122">
        <f>IFERROR(__xludf.DUMMYFUNCTION("""COMPUTED_VALUE"""),0.0118)</f>
        <v>0.0118</v>
      </c>
    </row>
    <row r="6693">
      <c r="A6693" s="131">
        <f>IFERROR(__xludf.DUMMYFUNCTION("""COMPUTED_VALUE"""),46187.57136574074)</f>
        <v>46187.57137</v>
      </c>
      <c r="B6693" s="126">
        <f>IFERROR(__xludf.DUMMYFUNCTION("""COMPUTED_VALUE"""),46187.0)</f>
        <v>46187</v>
      </c>
      <c r="C6693" s="122" t="str">
        <f>IFERROR(__xludf.DUMMYFUNCTION("""COMPUTED_VALUE"""),"AIBO")</f>
        <v>AIBO</v>
      </c>
      <c r="D6693" s="122" t="str">
        <f>IFERROR(__xludf.DUMMYFUNCTION("""COMPUTED_VALUE"""),"Homework AI")</f>
        <v>Homework AI</v>
      </c>
      <c r="E6693" s="122">
        <f>IFERROR(__xludf.DUMMYFUNCTION("""COMPUTED_VALUE"""),187.54)</f>
        <v>187.54</v>
      </c>
      <c r="F6693" s="122">
        <f>IFERROR(__xludf.DUMMYFUNCTION("""COMPUTED_VALUE"""),0.0088)</f>
        <v>0.0088</v>
      </c>
    </row>
    <row r="6694">
      <c r="A6694" s="131">
        <f>IFERROR(__xludf.DUMMYFUNCTION("""COMPUTED_VALUE"""),46187.57136574074)</f>
        <v>46187.57137</v>
      </c>
      <c r="B6694" s="126">
        <f>IFERROR(__xludf.DUMMYFUNCTION("""COMPUTED_VALUE"""),46187.0)</f>
        <v>46187</v>
      </c>
      <c r="C6694" s="122" t="str">
        <f>IFERROR(__xludf.DUMMYFUNCTION("""COMPUTED_VALUE"""),"GAME")</f>
        <v>GAME</v>
      </c>
      <c r="D6694" s="122" t="str">
        <f>IFERROR(__xludf.DUMMYFUNCTION("""COMPUTED_VALUE"""),"GameBox Media")</f>
        <v>GameBox Media</v>
      </c>
      <c r="E6694" s="122">
        <f>IFERROR(__xludf.DUMMYFUNCTION("""COMPUTED_VALUE"""),102.43)</f>
        <v>102.43</v>
      </c>
      <c r="F6694" s="122">
        <f>IFERROR(__xludf.DUMMYFUNCTION("""COMPUTED_VALUE"""),-9.0E-4)</f>
        <v>-0.0009</v>
      </c>
    </row>
    <row r="6695">
      <c r="A6695" s="131">
        <f>IFERROR(__xludf.DUMMYFUNCTION("""COMPUTED_VALUE"""),46187.57136574074)</f>
        <v>46187.57137</v>
      </c>
      <c r="B6695" s="126">
        <f>IFERROR(__xludf.DUMMYFUNCTION("""COMPUTED_VALUE"""),46187.0)</f>
        <v>46187</v>
      </c>
      <c r="C6695" s="122" t="str">
        <f>IFERROR(__xludf.DUMMYFUNCTION("""COMPUTED_VALUE"""),"VRSE")</f>
        <v>VRSE</v>
      </c>
      <c r="D6695" s="122" t="str">
        <f>IFERROR(__xludf.DUMMYFUNCTION("""COMPUTED_VALUE"""),"VerseVR")</f>
        <v>VerseVR</v>
      </c>
      <c r="E6695" s="122">
        <f>IFERROR(__xludf.DUMMYFUNCTION("""COMPUTED_VALUE"""),146.46)</f>
        <v>146.46</v>
      </c>
      <c r="F6695" s="122">
        <f>IFERROR(__xludf.DUMMYFUNCTION("""COMPUTED_VALUE"""),-0.0071)</f>
        <v>-0.0071</v>
      </c>
    </row>
    <row r="6696">
      <c r="A6696" s="131">
        <f>IFERROR(__xludf.DUMMYFUNCTION("""COMPUTED_VALUE"""),46187.57136574074)</f>
        <v>46187.57137</v>
      </c>
      <c r="B6696" s="126">
        <f>IFERROR(__xludf.DUMMYFUNCTION("""COMPUTED_VALUE"""),46187.0)</f>
        <v>46187</v>
      </c>
      <c r="C6696" s="122" t="str">
        <f>IFERROR(__xludf.DUMMYFUNCTION("""COMPUTED_VALUE"""),"BYTE")</f>
        <v>BYTE</v>
      </c>
      <c r="D6696" s="122" t="str">
        <f>IFERROR(__xludf.DUMMYFUNCTION("""COMPUTED_VALUE"""),"ByteWorks")</f>
        <v>ByteWorks</v>
      </c>
      <c r="E6696" s="122">
        <f>IFERROR(__xludf.DUMMYFUNCTION("""COMPUTED_VALUE"""),115.72)</f>
        <v>115.72</v>
      </c>
      <c r="F6696" s="122">
        <f>IFERROR(__xludf.DUMMYFUNCTION("""COMPUTED_VALUE"""),-0.0051)</f>
        <v>-0.0051</v>
      </c>
    </row>
    <row r="6697">
      <c r="A6697" s="131">
        <f>IFERROR(__xludf.DUMMYFUNCTION("""COMPUTED_VALUE"""),46187.57136574074)</f>
        <v>46187.57137</v>
      </c>
      <c r="B6697" s="126">
        <f>IFERROR(__xludf.DUMMYFUNCTION("""COMPUTED_VALUE"""),46187.0)</f>
        <v>46187</v>
      </c>
      <c r="C6697" s="122" t="str">
        <f>IFERROR(__xludf.DUMMYFUNCTION("""COMPUTED_VALUE"""),"BANK")</f>
        <v>BANK</v>
      </c>
      <c r="D6697" s="122" t="str">
        <f>IFERROR(__xludf.DUMMYFUNCTION("""COMPUTED_VALUE"""),"Tiger Bank")</f>
        <v>Tiger Bank</v>
      </c>
      <c r="E6697" s="122">
        <f>IFERROR(__xludf.DUMMYFUNCTION("""COMPUTED_VALUE"""),130.43)</f>
        <v>130.43</v>
      </c>
      <c r="F6697" s="122">
        <f>IFERROR(__xludf.DUMMYFUNCTION("""COMPUTED_VALUE"""),0.0028)</f>
        <v>0.0028</v>
      </c>
    </row>
    <row r="6698">
      <c r="A6698" s="131">
        <f>IFERROR(__xludf.DUMMYFUNCTION("""COMPUTED_VALUE"""),46187.57136574074)</f>
        <v>46187.57137</v>
      </c>
      <c r="B6698" s="126">
        <f>IFERROR(__xludf.DUMMYFUNCTION("""COMPUTED_VALUE"""),46187.0)</f>
        <v>46187</v>
      </c>
      <c r="C6698" s="122" t="str">
        <f>IFERROR(__xludf.DUMMYFUNCTION("""COMPUTED_VALUE"""),"CRED")</f>
        <v>CRED</v>
      </c>
      <c r="D6698" s="122" t="str">
        <f>IFERROR(__xludf.DUMMYFUNCTION("""COMPUTED_VALUE"""),"Credit Castle")</f>
        <v>Credit Castle</v>
      </c>
      <c r="E6698" s="122">
        <f>IFERROR(__xludf.DUMMYFUNCTION("""COMPUTED_VALUE"""),67.54)</f>
        <v>67.54</v>
      </c>
      <c r="F6698" s="122">
        <f>IFERROR(__xludf.DUMMYFUNCTION("""COMPUTED_VALUE"""),0.0057)</f>
        <v>0.0057</v>
      </c>
    </row>
    <row r="6699">
      <c r="A6699" s="131">
        <f>IFERROR(__xludf.DUMMYFUNCTION("""COMPUTED_VALUE"""),46187.57136574074)</f>
        <v>46187.57137</v>
      </c>
      <c r="B6699" s="126">
        <f>IFERROR(__xludf.DUMMYFUNCTION("""COMPUTED_VALUE"""),46187.0)</f>
        <v>46187</v>
      </c>
      <c r="C6699" s="122" t="str">
        <f>IFERROR(__xludf.DUMMYFUNCTION("""COMPUTED_VALUE"""),"BOND")</f>
        <v>BOND</v>
      </c>
      <c r="D6699" s="122" t="str">
        <f>IFERROR(__xludf.DUMMYFUNCTION("""COMPUTED_VALUE"""),"BondBridge")</f>
        <v>BondBridge</v>
      </c>
      <c r="E6699" s="122">
        <f>IFERROR(__xludf.DUMMYFUNCTION("""COMPUTED_VALUE"""),102.75)</f>
        <v>102.75</v>
      </c>
      <c r="F6699" s="122">
        <f>IFERROR(__xludf.DUMMYFUNCTION("""COMPUTED_VALUE"""),0.0017)</f>
        <v>0.0017</v>
      </c>
    </row>
    <row r="6700">
      <c r="A6700" s="131">
        <f>IFERROR(__xludf.DUMMYFUNCTION("""COMPUTED_VALUE"""),46187.57136574074)</f>
        <v>46187.57137</v>
      </c>
      <c r="B6700" s="126">
        <f>IFERROR(__xludf.DUMMYFUNCTION("""COMPUTED_VALUE"""),46187.0)</f>
        <v>46187</v>
      </c>
      <c r="C6700" s="122" t="str">
        <f>IFERROR(__xludf.DUMMYFUNCTION("""COMPUTED_VALUE"""),"INSR")</f>
        <v>INSR</v>
      </c>
      <c r="D6700" s="122" t="str">
        <f>IFERROR(__xludf.DUMMYFUNCTION("""COMPUTED_VALUE"""),"Shield Insurance")</f>
        <v>Shield Insurance</v>
      </c>
      <c r="E6700" s="122">
        <f>IFERROR(__xludf.DUMMYFUNCTION("""COMPUTED_VALUE"""),159.42)</f>
        <v>159.42</v>
      </c>
      <c r="F6700" s="122">
        <f>IFERROR(__xludf.DUMMYFUNCTION("""COMPUTED_VALUE"""),0.0024)</f>
        <v>0.0024</v>
      </c>
    </row>
    <row r="6701">
      <c r="A6701" s="131">
        <f>IFERROR(__xludf.DUMMYFUNCTION("""COMPUTED_VALUE"""),46187.57136574074)</f>
        <v>46187.57137</v>
      </c>
      <c r="B6701" s="126">
        <f>IFERROR(__xludf.DUMMYFUNCTION("""COMPUTED_VALUE"""),46187.0)</f>
        <v>46187</v>
      </c>
      <c r="C6701" s="122" t="str">
        <f>IFERROR(__xludf.DUMMYFUNCTION("""COMPUTED_VALUE"""),"LOAN")</f>
        <v>LOAN</v>
      </c>
      <c r="D6701" s="122" t="str">
        <f>IFERROR(__xludf.DUMMYFUNCTION("""COMPUTED_VALUE"""),"LoanLab")</f>
        <v>LoanLab</v>
      </c>
      <c r="E6701" s="122">
        <f>IFERROR(__xludf.DUMMYFUNCTION("""COMPUTED_VALUE"""),68.63)</f>
        <v>68.63</v>
      </c>
      <c r="F6701" s="122">
        <f>IFERROR(__xludf.DUMMYFUNCTION("""COMPUTED_VALUE"""),-0.0041)</f>
        <v>-0.0041</v>
      </c>
    </row>
    <row r="6702">
      <c r="A6702" s="131">
        <f>IFERROR(__xludf.DUMMYFUNCTION("""COMPUTED_VALUE"""),46187.57136574074)</f>
        <v>46187.57137</v>
      </c>
      <c r="B6702" s="126">
        <f>IFERROR(__xludf.DUMMYFUNCTION("""COMPUTED_VALUE"""),46187.0)</f>
        <v>46187</v>
      </c>
      <c r="C6702" s="122" t="str">
        <f>IFERROR(__xludf.DUMMYFUNCTION("""COMPUTED_VALUE"""),"LUXE")</f>
        <v>LUXE</v>
      </c>
      <c r="D6702" s="122" t="str">
        <f>IFERROR(__xludf.DUMMYFUNCTION("""COMPUTED_VALUE"""),"Luxury Locker")</f>
        <v>Luxury Locker</v>
      </c>
      <c r="E6702" s="122">
        <f>IFERROR(__xludf.DUMMYFUNCTION("""COMPUTED_VALUE"""),267.72)</f>
        <v>267.72</v>
      </c>
      <c r="F6702" s="122">
        <f>IFERROR(__xludf.DUMMYFUNCTION("""COMPUTED_VALUE"""),-0.0049)</f>
        <v>-0.0049</v>
      </c>
    </row>
    <row r="6703">
      <c r="A6703" s="131">
        <f>IFERROR(__xludf.DUMMYFUNCTION("""COMPUTED_VALUE"""),46187.57136574074)</f>
        <v>46187.57137</v>
      </c>
      <c r="B6703" s="126">
        <f>IFERROR(__xludf.DUMMYFUNCTION("""COMPUTED_VALUE"""),46187.0)</f>
        <v>46187</v>
      </c>
      <c r="C6703" s="122" t="str">
        <f>IFERROR(__xludf.DUMMYFUNCTION("""COMPUTED_VALUE"""),"DRIP")</f>
        <v>DRIP</v>
      </c>
      <c r="D6703" s="122" t="str">
        <f>IFERROR(__xludf.DUMMYFUNCTION("""COMPUTED_VALUE"""),"Drip Streetwear")</f>
        <v>Drip Streetwear</v>
      </c>
      <c r="E6703" s="122">
        <f>IFERROR(__xludf.DUMMYFUNCTION("""COMPUTED_VALUE"""),192.0)</f>
        <v>192</v>
      </c>
      <c r="F6703" s="122">
        <f>IFERROR(__xludf.DUMMYFUNCTION("""COMPUTED_VALUE"""),0.0012)</f>
        <v>0.0012</v>
      </c>
    </row>
    <row r="6704">
      <c r="A6704" s="131">
        <f>IFERROR(__xludf.DUMMYFUNCTION("""COMPUTED_VALUE"""),46187.57136574074)</f>
        <v>46187.57137</v>
      </c>
      <c r="B6704" s="126">
        <f>IFERROR(__xludf.DUMMYFUNCTION("""COMPUTED_VALUE"""),46187.0)</f>
        <v>46187</v>
      </c>
      <c r="C6704" s="122" t="str">
        <f>IFERROR(__xludf.DUMMYFUNCTION("""COMPUTED_VALUE"""),"KICK")</f>
        <v>KICK</v>
      </c>
      <c r="D6704" s="122" t="str">
        <f>IFERROR(__xludf.DUMMYFUNCTION("""COMPUTED_VALUE"""),"KickDrop Sneakers")</f>
        <v>KickDrop Sneakers</v>
      </c>
      <c r="E6704" s="122">
        <f>IFERROR(__xludf.DUMMYFUNCTION("""COMPUTED_VALUE"""),169.96)</f>
        <v>169.96</v>
      </c>
      <c r="F6704" s="122">
        <f>IFERROR(__xludf.DUMMYFUNCTION("""COMPUTED_VALUE"""),0.0072)</f>
        <v>0.0072</v>
      </c>
    </row>
    <row r="6705">
      <c r="A6705" s="131">
        <f>IFERROR(__xludf.DUMMYFUNCTION("""COMPUTED_VALUE"""),46187.57136574074)</f>
        <v>46187.57137</v>
      </c>
      <c r="B6705" s="126">
        <f>IFERROR(__xludf.DUMMYFUNCTION("""COMPUTED_VALUE"""),46187.0)</f>
        <v>46187</v>
      </c>
      <c r="C6705" s="122" t="str">
        <f>IFERROR(__xludf.DUMMYFUNCTION("""COMPUTED_VALUE"""),"GLAM")</f>
        <v>GLAM</v>
      </c>
      <c r="D6705" s="122" t="str">
        <f>IFERROR(__xludf.DUMMYFUNCTION("""COMPUTED_VALUE"""),"Glow Cosmetics")</f>
        <v>Glow Cosmetics</v>
      </c>
      <c r="E6705" s="122">
        <f>IFERROR(__xludf.DUMMYFUNCTION("""COMPUTED_VALUE"""),109.62)</f>
        <v>109.62</v>
      </c>
      <c r="F6705" s="122">
        <f>IFERROR(__xludf.DUMMYFUNCTION("""COMPUTED_VALUE"""),0.003)</f>
        <v>0.003</v>
      </c>
    </row>
    <row r="6706">
      <c r="A6706" s="131">
        <f>IFERROR(__xludf.DUMMYFUNCTION("""COMPUTED_VALUE"""),46187.57136574074)</f>
        <v>46187.57137</v>
      </c>
      <c r="B6706" s="126">
        <f>IFERROR(__xludf.DUMMYFUNCTION("""COMPUTED_VALUE"""),46187.0)</f>
        <v>46187</v>
      </c>
      <c r="C6706" s="122" t="str">
        <f>IFERROR(__xludf.DUMMYFUNCTION("""COMPUTED_VALUE"""),"BAGG")</f>
        <v>BAGG</v>
      </c>
      <c r="D6706" s="122" t="str">
        <f>IFERROR(__xludf.DUMMYFUNCTION("""COMPUTED_VALUE"""),"BagVault")</f>
        <v>BagVault</v>
      </c>
      <c r="E6706" s="122">
        <f>IFERROR(__xludf.DUMMYFUNCTION("""COMPUTED_VALUE"""),269.01)</f>
        <v>269.01</v>
      </c>
      <c r="F6706" s="122">
        <f>IFERROR(__xludf.DUMMYFUNCTION("""COMPUTED_VALUE"""),0.01)</f>
        <v>0.01</v>
      </c>
    </row>
    <row r="6707">
      <c r="A6707" s="131">
        <f>IFERROR(__xludf.DUMMYFUNCTION("""COMPUTED_VALUE"""),46187.57136574074)</f>
        <v>46187.57137</v>
      </c>
      <c r="B6707" s="126">
        <f>IFERROR(__xludf.DUMMYFUNCTION("""COMPUTED_VALUE"""),46187.0)</f>
        <v>46187</v>
      </c>
      <c r="C6707" s="122" t="str">
        <f>IFERROR(__xludf.DUMMYFUNCTION("""COMPUTED_VALUE"""),"FAST")</f>
        <v>FAST</v>
      </c>
      <c r="D6707" s="122" t="str">
        <f>IFERROR(__xludf.DUMMYFUNCTION("""COMPUTED_VALUE"""),"Flash Logistics")</f>
        <v>Flash Logistics</v>
      </c>
      <c r="E6707" s="122">
        <f>IFERROR(__xludf.DUMMYFUNCTION("""COMPUTED_VALUE"""),107.26)</f>
        <v>107.26</v>
      </c>
      <c r="F6707" s="122">
        <f>IFERROR(__xludf.DUMMYFUNCTION("""COMPUTED_VALUE"""),0.0055)</f>
        <v>0.0055</v>
      </c>
    </row>
    <row r="6708">
      <c r="A6708" s="131">
        <f>IFERROR(__xludf.DUMMYFUNCTION("""COMPUTED_VALUE"""),46187.57136574074)</f>
        <v>46187.57137</v>
      </c>
      <c r="B6708" s="126">
        <f>IFERROR(__xludf.DUMMYFUNCTION("""COMPUTED_VALUE"""),46187.0)</f>
        <v>46187</v>
      </c>
      <c r="C6708" s="122" t="str">
        <f>IFERROR(__xludf.DUMMYFUNCTION("""COMPUTED_VALUE"""),"SHIP")</f>
        <v>SHIP</v>
      </c>
      <c r="D6708" s="122" t="str">
        <f>IFERROR(__xludf.DUMMYFUNCTION("""COMPUTED_VALUE"""),"Seoul Shipping")</f>
        <v>Seoul Shipping</v>
      </c>
      <c r="E6708" s="122">
        <f>IFERROR(__xludf.DUMMYFUNCTION("""COMPUTED_VALUE"""),128.79)</f>
        <v>128.79</v>
      </c>
      <c r="F6708" s="122">
        <f>IFERROR(__xludf.DUMMYFUNCTION("""COMPUTED_VALUE"""),0.0055)</f>
        <v>0.0055</v>
      </c>
    </row>
    <row r="6709">
      <c r="A6709" s="131">
        <f>IFERROR(__xludf.DUMMYFUNCTION("""COMPUTED_VALUE"""),46187.57136574074)</f>
        <v>46187.57137</v>
      </c>
      <c r="B6709" s="126">
        <f>IFERROR(__xludf.DUMMYFUNCTION("""COMPUTED_VALUE"""),46187.0)</f>
        <v>46187</v>
      </c>
      <c r="C6709" s="122" t="str">
        <f>IFERROR(__xludf.DUMMYFUNCTION("""COMPUTED_VALUE"""),"DRON")</f>
        <v>DRON</v>
      </c>
      <c r="D6709" s="122" t="str">
        <f>IFERROR(__xludf.DUMMYFUNCTION("""COMPUTED_VALUE"""),"DroneDrop")</f>
        <v>DroneDrop</v>
      </c>
      <c r="E6709" s="122">
        <f>IFERROR(__xludf.DUMMYFUNCTION("""COMPUTED_VALUE"""),126.56)</f>
        <v>126.56</v>
      </c>
      <c r="F6709" s="122">
        <f>IFERROR(__xludf.DUMMYFUNCTION("""COMPUTED_VALUE"""),-0.0039)</f>
        <v>-0.0039</v>
      </c>
    </row>
    <row r="6710">
      <c r="A6710" s="131">
        <f>IFERROR(__xludf.DUMMYFUNCTION("""COMPUTED_VALUE"""),46187.57136574074)</f>
        <v>46187.57137</v>
      </c>
      <c r="B6710" s="126">
        <f>IFERROR(__xludf.DUMMYFUNCTION("""COMPUTED_VALUE"""),46187.0)</f>
        <v>46187</v>
      </c>
      <c r="C6710" s="122" t="str">
        <f>IFERROR(__xludf.DUMMYFUNCTION("""COMPUTED_VALUE"""),"RIDE")</f>
        <v>RIDE</v>
      </c>
      <c r="D6710" s="122" t="str">
        <f>IFERROR(__xludf.DUMMYFUNCTION("""COMPUTED_VALUE"""),"QuickRide")</f>
        <v>QuickRide</v>
      </c>
      <c r="E6710" s="122">
        <f>IFERROR(__xludf.DUMMYFUNCTION("""COMPUTED_VALUE"""),100.7)</f>
        <v>100.7</v>
      </c>
      <c r="F6710" s="122">
        <f>IFERROR(__xludf.DUMMYFUNCTION("""COMPUTED_VALUE"""),2.0E-4)</f>
        <v>0.0002</v>
      </c>
    </row>
    <row r="6711">
      <c r="A6711" s="131">
        <f>IFERROR(__xludf.DUMMYFUNCTION("""COMPUTED_VALUE"""),46187.57136574074)</f>
        <v>46187.57137</v>
      </c>
      <c r="B6711" s="126">
        <f>IFERROR(__xludf.DUMMYFUNCTION("""COMPUTED_VALUE"""),46187.0)</f>
        <v>46187</v>
      </c>
      <c r="C6711" s="122" t="str">
        <f>IFERROR(__xludf.DUMMYFUNCTION("""COMPUTED_VALUE"""),"RAIL")</f>
        <v>RAIL</v>
      </c>
      <c r="D6711" s="122" t="str">
        <f>IFERROR(__xludf.DUMMYFUNCTION("""COMPUTED_VALUE"""),"MetroRail Corp")</f>
        <v>MetroRail Corp</v>
      </c>
      <c r="E6711" s="122">
        <f>IFERROR(__xludf.DUMMYFUNCTION("""COMPUTED_VALUE"""),131.45)</f>
        <v>131.45</v>
      </c>
      <c r="F6711" s="122">
        <f>IFERROR(__xludf.DUMMYFUNCTION("""COMPUTED_VALUE"""),0.0015)</f>
        <v>0.0015</v>
      </c>
    </row>
    <row r="6712">
      <c r="A6712" s="131">
        <f>IFERROR(__xludf.DUMMYFUNCTION("""COMPUTED_VALUE"""),46187.57136574074)</f>
        <v>46187.57137</v>
      </c>
      <c r="B6712" s="126">
        <f>IFERROR(__xludf.DUMMYFUNCTION("""COMPUTED_VALUE"""),46187.0)</f>
        <v>46187</v>
      </c>
      <c r="C6712" s="122" t="str">
        <f>IFERROR(__xludf.DUMMYFUNCTION("""COMPUTED_VALUE"""),"MEDX")</f>
        <v>MEDX</v>
      </c>
      <c r="D6712" s="122" t="str">
        <f>IFERROR(__xludf.DUMMYFUNCTION("""COMPUTED_VALUE"""),"MediCore")</f>
        <v>MediCore</v>
      </c>
      <c r="E6712" s="122">
        <f>IFERROR(__xludf.DUMMYFUNCTION("""COMPUTED_VALUE"""),138.99)</f>
        <v>138.99</v>
      </c>
      <c r="F6712" s="122">
        <f>IFERROR(__xludf.DUMMYFUNCTION("""COMPUTED_VALUE"""),-0.0019)</f>
        <v>-0.0019</v>
      </c>
    </row>
    <row r="6713">
      <c r="A6713" s="131">
        <f>IFERROR(__xludf.DUMMYFUNCTION("""COMPUTED_VALUE"""),46187.57136574074)</f>
        <v>46187.57137</v>
      </c>
      <c r="B6713" s="126">
        <f>IFERROR(__xludf.DUMMYFUNCTION("""COMPUTED_VALUE"""),46187.0)</f>
        <v>46187</v>
      </c>
      <c r="C6713" s="122" t="str">
        <f>IFERROR(__xludf.DUMMYFUNCTION("""COMPUTED_VALUE"""),"GYMX")</f>
        <v>GYMX</v>
      </c>
      <c r="D6713" s="122" t="str">
        <f>IFERROR(__xludf.DUMMYFUNCTION("""COMPUTED_VALUE"""),"GymX Fitness")</f>
        <v>GymX Fitness</v>
      </c>
      <c r="E6713" s="122">
        <f>IFERROR(__xludf.DUMMYFUNCTION("""COMPUTED_VALUE"""),85.79)</f>
        <v>85.79</v>
      </c>
      <c r="F6713" s="122">
        <f>IFERROR(__xludf.DUMMYFUNCTION("""COMPUTED_VALUE"""),0.0019)</f>
        <v>0.0019</v>
      </c>
    </row>
    <row r="6714">
      <c r="A6714" s="131">
        <f>IFERROR(__xludf.DUMMYFUNCTION("""COMPUTED_VALUE"""),46187.57136574074)</f>
        <v>46187.57137</v>
      </c>
      <c r="B6714" s="126">
        <f>IFERROR(__xludf.DUMMYFUNCTION("""COMPUTED_VALUE"""),46187.0)</f>
        <v>46187</v>
      </c>
      <c r="C6714" s="122" t="str">
        <f>IFERROR(__xludf.DUMMYFUNCTION("""COMPUTED_VALUE"""),"VITA")</f>
        <v>VITA</v>
      </c>
      <c r="D6714" s="122" t="str">
        <f>IFERROR(__xludf.DUMMYFUNCTION("""COMPUTED_VALUE"""),"VitaPlus")</f>
        <v>VitaPlus</v>
      </c>
      <c r="E6714" s="122">
        <f>IFERROR(__xludf.DUMMYFUNCTION("""COMPUTED_VALUE"""),73.04)</f>
        <v>73.04</v>
      </c>
      <c r="F6714" s="122">
        <f>IFERROR(__xludf.DUMMYFUNCTION("""COMPUTED_VALUE"""),0.0023)</f>
        <v>0.0023</v>
      </c>
    </row>
    <row r="6715">
      <c r="A6715" s="131">
        <f>IFERROR(__xludf.DUMMYFUNCTION("""COMPUTED_VALUE"""),46187.57136574074)</f>
        <v>46187.57137</v>
      </c>
      <c r="B6715" s="126">
        <f>IFERROR(__xludf.DUMMYFUNCTION("""COMPUTED_VALUE"""),46187.0)</f>
        <v>46187</v>
      </c>
      <c r="C6715" s="122" t="str">
        <f>IFERROR(__xludf.DUMMYFUNCTION("""COMPUTED_VALUE"""),"CARE")</f>
        <v>CARE</v>
      </c>
      <c r="D6715" s="122" t="str">
        <f>IFERROR(__xludf.DUMMYFUNCTION("""COMPUTED_VALUE"""),"CareCloud")</f>
        <v>CareCloud</v>
      </c>
      <c r="E6715" s="122">
        <f>IFERROR(__xludf.DUMMYFUNCTION("""COMPUTED_VALUE"""),180.02)</f>
        <v>180.02</v>
      </c>
      <c r="F6715" s="122">
        <f>IFERROR(__xludf.DUMMYFUNCTION("""COMPUTED_VALUE"""),0.0017)</f>
        <v>0.0017</v>
      </c>
    </row>
    <row r="6716">
      <c r="A6716" s="131">
        <f>IFERROR(__xludf.DUMMYFUNCTION("""COMPUTED_VALUE"""),46187.57136574074)</f>
        <v>46187.57137</v>
      </c>
      <c r="B6716" s="126">
        <f>IFERROR(__xludf.DUMMYFUNCTION("""COMPUTED_VALUE"""),46187.0)</f>
        <v>46187</v>
      </c>
      <c r="C6716" s="122" t="str">
        <f>IFERROR(__xludf.DUMMYFUNCTION("""COMPUTED_VALUE"""),"DENT")</f>
        <v>DENT</v>
      </c>
      <c r="D6716" s="122" t="str">
        <f>IFERROR(__xludf.DUMMYFUNCTION("""COMPUTED_VALUE"""),"SmileWorks")</f>
        <v>SmileWorks</v>
      </c>
      <c r="E6716" s="122">
        <f>IFERROR(__xludf.DUMMYFUNCTION("""COMPUTED_VALUE"""),93.76)</f>
        <v>93.76</v>
      </c>
      <c r="F6716" s="122">
        <f>IFERROR(__xludf.DUMMYFUNCTION("""COMPUTED_VALUE"""),0.0055)</f>
        <v>0.0055</v>
      </c>
    </row>
    <row r="6717">
      <c r="A6717" s="131">
        <f>IFERROR(__xludf.DUMMYFUNCTION("""COMPUTED_VALUE"""),46187.57136574074)</f>
        <v>46187.57137</v>
      </c>
      <c r="B6717" s="126">
        <f>IFERROR(__xludf.DUMMYFUNCTION("""COMPUTED_VALUE"""),46187.0)</f>
        <v>46187</v>
      </c>
      <c r="C6717" s="122" t="str">
        <f>IFERROR(__xludf.DUMMYFUNCTION("""COMPUTED_VALUE"""),"EDUX")</f>
        <v>EDUX</v>
      </c>
      <c r="D6717" s="122" t="str">
        <f>IFERROR(__xludf.DUMMYFUNCTION("""COMPUTED_VALUE"""),"EduMax Learning")</f>
        <v>EduMax Learning</v>
      </c>
      <c r="E6717" s="122">
        <f>IFERROR(__xludf.DUMMYFUNCTION("""COMPUTED_VALUE"""),144.91)</f>
        <v>144.91</v>
      </c>
      <c r="F6717" s="122">
        <f>IFERROR(__xludf.DUMMYFUNCTION("""COMPUTED_VALUE"""),0.0058)</f>
        <v>0.0058</v>
      </c>
    </row>
    <row r="6718">
      <c r="A6718" s="131">
        <f>IFERROR(__xludf.DUMMYFUNCTION("""COMPUTED_VALUE"""),46187.57136574074)</f>
        <v>46187.57137</v>
      </c>
      <c r="B6718" s="126">
        <f>IFERROR(__xludf.DUMMYFUNCTION("""COMPUTED_VALUE"""),46187.0)</f>
        <v>46187</v>
      </c>
      <c r="C6718" s="122" t="str">
        <f>IFERROR(__xludf.DUMMYFUNCTION("""COMPUTED_VALUE"""),"BOOK")</f>
        <v>BOOK</v>
      </c>
      <c r="D6718" s="122" t="str">
        <f>IFERROR(__xludf.DUMMYFUNCTION("""COMPUTED_VALUE"""),"BookBridge")</f>
        <v>BookBridge</v>
      </c>
      <c r="E6718" s="122">
        <f>IFERROR(__xludf.DUMMYFUNCTION("""COMPUTED_VALUE"""),118.81)</f>
        <v>118.81</v>
      </c>
      <c r="F6718" s="122">
        <f>IFERROR(__xludf.DUMMYFUNCTION("""COMPUTED_VALUE"""),-0.0022)</f>
        <v>-0.0022</v>
      </c>
    </row>
    <row r="6719">
      <c r="A6719" s="131">
        <f>IFERROR(__xludf.DUMMYFUNCTION("""COMPUTED_VALUE"""),46187.57136574074)</f>
        <v>46187.57137</v>
      </c>
      <c r="B6719" s="126">
        <f>IFERROR(__xludf.DUMMYFUNCTION("""COMPUTED_VALUE"""),46187.0)</f>
        <v>46187</v>
      </c>
      <c r="C6719" s="122" t="str">
        <f>IFERROR(__xludf.DUMMYFUNCTION("""COMPUTED_VALUE"""),"TUTR")</f>
        <v>TUTR</v>
      </c>
      <c r="D6719" s="122" t="str">
        <f>IFERROR(__xludf.DUMMYFUNCTION("""COMPUTED_VALUE"""),"TutorTown")</f>
        <v>TutorTown</v>
      </c>
      <c r="E6719" s="122">
        <f>IFERROR(__xludf.DUMMYFUNCTION("""COMPUTED_VALUE"""),89.85)</f>
        <v>89.85</v>
      </c>
      <c r="F6719" s="122">
        <f>IFERROR(__xludf.DUMMYFUNCTION("""COMPUTED_VALUE"""),-0.0065)</f>
        <v>-0.0065</v>
      </c>
    </row>
    <row r="6720">
      <c r="A6720" s="131">
        <f>IFERROR(__xludf.DUMMYFUNCTION("""COMPUTED_VALUE"""),46187.57136574074)</f>
        <v>46187.57137</v>
      </c>
      <c r="B6720" s="126">
        <f>IFERROR(__xludf.DUMMYFUNCTION("""COMPUTED_VALUE"""),46187.0)</f>
        <v>46187</v>
      </c>
      <c r="C6720" s="122" t="str">
        <f>IFERROR(__xludf.DUMMYFUNCTION("""COMPUTED_VALUE"""),"LANG")</f>
        <v>LANG</v>
      </c>
      <c r="D6720" s="122" t="str">
        <f>IFERROR(__xludf.DUMMYFUNCTION("""COMPUTED_VALUE"""),"LinguaLab")</f>
        <v>LinguaLab</v>
      </c>
      <c r="E6720" s="122">
        <f>IFERROR(__xludf.DUMMYFUNCTION("""COMPUTED_VALUE"""),100.06)</f>
        <v>100.06</v>
      </c>
      <c r="F6720" s="122">
        <f>IFERROR(__xludf.DUMMYFUNCTION("""COMPUTED_VALUE"""),0.0012)</f>
        <v>0.0012</v>
      </c>
    </row>
    <row r="6721">
      <c r="A6721" s="131">
        <f>IFERROR(__xludf.DUMMYFUNCTION("""COMPUTED_VALUE"""),46187.57136574074)</f>
        <v>46187.57137</v>
      </c>
      <c r="B6721" s="126">
        <f>IFERROR(__xludf.DUMMYFUNCTION("""COMPUTED_VALUE"""),46187.0)</f>
        <v>46187</v>
      </c>
      <c r="C6721" s="122" t="str">
        <f>IFERROR(__xludf.DUMMYFUNCTION("""COMPUTED_VALUE"""),"TEST")</f>
        <v>TEST</v>
      </c>
      <c r="D6721" s="122" t="str">
        <f>IFERROR(__xludf.DUMMYFUNCTION("""COMPUTED_VALUE"""),"TestPrep Pro")</f>
        <v>TestPrep Pro</v>
      </c>
      <c r="E6721" s="122">
        <f>IFERROR(__xludf.DUMMYFUNCTION("""COMPUTED_VALUE"""),90.75)</f>
        <v>90.75</v>
      </c>
      <c r="F6721" s="122">
        <f>IFERROR(__xludf.DUMMYFUNCTION("""COMPUTED_VALUE"""),-0.0097)</f>
        <v>-0.0097</v>
      </c>
    </row>
    <row r="6722">
      <c r="A6722" s="131">
        <f>IFERROR(__xludf.DUMMYFUNCTION("""COMPUTED_VALUE"""),46187.57136574074)</f>
        <v>46187.57137</v>
      </c>
      <c r="B6722" s="126">
        <f>IFERROR(__xludf.DUMMYFUNCTION("""COMPUTED_VALUE"""),46187.0)</f>
        <v>46187</v>
      </c>
      <c r="C6722" s="122" t="str">
        <f>IFERROR(__xludf.DUMMYFUNCTION("""COMPUTED_VALUE"""),"MOVI")</f>
        <v>MOVI</v>
      </c>
      <c r="D6722" s="122" t="str">
        <f>IFERROR(__xludf.DUMMYFUNCTION("""COMPUTED_VALUE"""),"MovieBox")</f>
        <v>MovieBox</v>
      </c>
      <c r="E6722" s="122">
        <f>IFERROR(__xludf.DUMMYFUNCTION("""COMPUTED_VALUE"""),84.06)</f>
        <v>84.06</v>
      </c>
      <c r="F6722" s="122">
        <f>IFERROR(__xludf.DUMMYFUNCTION("""COMPUTED_VALUE"""),0.0041)</f>
        <v>0.0041</v>
      </c>
    </row>
    <row r="6723">
      <c r="A6723" s="131">
        <f>IFERROR(__xludf.DUMMYFUNCTION("""COMPUTED_VALUE"""),46187.57136574074)</f>
        <v>46187.57137</v>
      </c>
      <c r="B6723" s="126">
        <f>IFERROR(__xludf.DUMMYFUNCTION("""COMPUTED_VALUE"""),46187.0)</f>
        <v>46187</v>
      </c>
      <c r="C6723" s="122" t="str">
        <f>IFERROR(__xludf.DUMMYFUNCTION("""COMPUTED_VALUE"""),"MUSC")</f>
        <v>MUSC</v>
      </c>
      <c r="D6723" s="122" t="str">
        <f>IFERROR(__xludf.DUMMYFUNCTION("""COMPUTED_VALUE"""),"MusicWave")</f>
        <v>MusicWave</v>
      </c>
      <c r="E6723" s="122">
        <f>IFERROR(__xludf.DUMMYFUNCTION("""COMPUTED_VALUE"""),101.07)</f>
        <v>101.07</v>
      </c>
      <c r="F6723" s="122">
        <f>IFERROR(__xludf.DUMMYFUNCTION("""COMPUTED_VALUE"""),-0.0026)</f>
        <v>-0.0026</v>
      </c>
    </row>
    <row r="6724">
      <c r="A6724" s="131">
        <f>IFERROR(__xludf.DUMMYFUNCTION("""COMPUTED_VALUE"""),46187.57136574074)</f>
        <v>46187.57137</v>
      </c>
      <c r="B6724" s="126">
        <f>IFERROR(__xludf.DUMMYFUNCTION("""COMPUTED_VALUE"""),46187.0)</f>
        <v>46187</v>
      </c>
      <c r="C6724" s="122" t="str">
        <f>IFERROR(__xludf.DUMMYFUNCTION("""COMPUTED_VALUE"""),"IDOL")</f>
        <v>IDOL</v>
      </c>
      <c r="D6724" s="122" t="str">
        <f>IFERROR(__xludf.DUMMYFUNCTION("""COMPUTED_VALUE"""),"Idol Agency")</f>
        <v>Idol Agency</v>
      </c>
      <c r="E6724" s="122">
        <f>IFERROR(__xludf.DUMMYFUNCTION("""COMPUTED_VALUE"""),186.53)</f>
        <v>186.53</v>
      </c>
      <c r="F6724" s="122">
        <f>IFERROR(__xludf.DUMMYFUNCTION("""COMPUTED_VALUE"""),0.0031)</f>
        <v>0.0031</v>
      </c>
    </row>
    <row r="6725">
      <c r="A6725" s="131">
        <f>IFERROR(__xludf.DUMMYFUNCTION("""COMPUTED_VALUE"""),46187.57136574074)</f>
        <v>46187.57137</v>
      </c>
      <c r="B6725" s="126">
        <f>IFERROR(__xludf.DUMMYFUNCTION("""COMPUTED_VALUE"""),46187.0)</f>
        <v>46187</v>
      </c>
      <c r="C6725" s="122" t="str">
        <f>IFERROR(__xludf.DUMMYFUNCTION("""COMPUTED_VALUE"""),"MEME")</f>
        <v>MEME</v>
      </c>
      <c r="D6725" s="122" t="str">
        <f>IFERROR(__xludf.DUMMYFUNCTION("""COMPUTED_VALUE"""),"Meme Media")</f>
        <v>Meme Media</v>
      </c>
      <c r="E6725" s="122">
        <f>IFERROR(__xludf.DUMMYFUNCTION("""COMPUTED_VALUE"""),74.08)</f>
        <v>74.08</v>
      </c>
      <c r="F6725" s="122">
        <f>IFERROR(__xludf.DUMMYFUNCTION("""COMPUTED_VALUE"""),-0.0106)</f>
        <v>-0.0106</v>
      </c>
    </row>
    <row r="6726">
      <c r="A6726" s="131">
        <f>IFERROR(__xludf.DUMMYFUNCTION("""COMPUTED_VALUE"""),46187.57136574074)</f>
        <v>46187.57137</v>
      </c>
      <c r="B6726" s="126">
        <f>IFERROR(__xludf.DUMMYFUNCTION("""COMPUTED_VALUE"""),46187.0)</f>
        <v>46187</v>
      </c>
      <c r="C6726" s="122" t="str">
        <f>IFERROR(__xludf.DUMMYFUNCTION("""COMPUTED_VALUE"""),"STRM")</f>
        <v>STRM</v>
      </c>
      <c r="D6726" s="122" t="str">
        <f>IFERROR(__xludf.DUMMYFUNCTION("""COMPUTED_VALUE"""),"Streamly")</f>
        <v>Streamly</v>
      </c>
      <c r="E6726" s="122">
        <f>IFERROR(__xludf.DUMMYFUNCTION("""COMPUTED_VALUE"""),136.89)</f>
        <v>136.89</v>
      </c>
      <c r="F6726" s="122">
        <f>IFERROR(__xludf.DUMMYFUNCTION("""COMPUTED_VALUE"""),0.006)</f>
        <v>0.006</v>
      </c>
    </row>
    <row r="6727">
      <c r="A6727" s="131">
        <f>IFERROR(__xludf.DUMMYFUNCTION("""COMPUTED_VALUE"""),46187.57136574074)</f>
        <v>46187.57137</v>
      </c>
      <c r="B6727" s="126">
        <f>IFERROR(__xludf.DUMMYFUNCTION("""COMPUTED_VALUE"""),46187.0)</f>
        <v>46187</v>
      </c>
      <c r="C6727" s="122" t="str">
        <f>IFERROR(__xludf.DUMMYFUNCTION("""COMPUTED_VALUE"""),"FARM")</f>
        <v>FARM</v>
      </c>
      <c r="D6727" s="122" t="str">
        <f>IFERROR(__xludf.DUMMYFUNCTION("""COMPUTED_VALUE"""),"Future Farms")</f>
        <v>Future Farms</v>
      </c>
      <c r="E6727" s="122">
        <f>IFERROR(__xludf.DUMMYFUNCTION("""COMPUTED_VALUE"""),93.46)</f>
        <v>93.46</v>
      </c>
      <c r="F6727" s="122">
        <f>IFERROR(__xludf.DUMMYFUNCTION("""COMPUTED_VALUE"""),0.0037)</f>
        <v>0.0037</v>
      </c>
    </row>
    <row r="6728">
      <c r="A6728" s="131">
        <f>IFERROR(__xludf.DUMMYFUNCTION("""COMPUTED_VALUE"""),46187.57136574074)</f>
        <v>46187.57137</v>
      </c>
      <c r="B6728" s="126">
        <f>IFERROR(__xludf.DUMMYFUNCTION("""COMPUTED_VALUE"""),46187.0)</f>
        <v>46187</v>
      </c>
      <c r="C6728" s="122" t="str">
        <f>IFERROR(__xludf.DUMMYFUNCTION("""COMPUTED_VALUE"""),"MEAT")</f>
        <v>MEAT</v>
      </c>
      <c r="D6728" s="122" t="str">
        <f>IFERROR(__xludf.DUMMYFUNCTION("""COMPUTED_VALUE"""),"MeatWorks")</f>
        <v>MeatWorks</v>
      </c>
      <c r="E6728" s="122">
        <f>IFERROR(__xludf.DUMMYFUNCTION("""COMPUTED_VALUE"""),107.4)</f>
        <v>107.4</v>
      </c>
      <c r="F6728" s="122">
        <f>IFERROR(__xludf.DUMMYFUNCTION("""COMPUTED_VALUE"""),-8.0E-4)</f>
        <v>-0.0008</v>
      </c>
    </row>
    <row r="6729">
      <c r="A6729" s="131">
        <f>IFERROR(__xludf.DUMMYFUNCTION("""COMPUTED_VALUE"""),46187.57136574074)</f>
        <v>46187.57137</v>
      </c>
      <c r="B6729" s="126">
        <f>IFERROR(__xludf.DUMMYFUNCTION("""COMPUTED_VALUE"""),46187.0)</f>
        <v>46187</v>
      </c>
      <c r="C6729" s="122" t="str">
        <f>IFERROR(__xludf.DUMMYFUNCTION("""COMPUTED_VALUE"""),"VEGI")</f>
        <v>VEGI</v>
      </c>
      <c r="D6729" s="122" t="str">
        <f>IFERROR(__xludf.DUMMYFUNCTION("""COMPUTED_VALUE"""),"Green Basket")</f>
        <v>Green Basket</v>
      </c>
      <c r="E6729" s="122">
        <f>IFERROR(__xludf.DUMMYFUNCTION("""COMPUTED_VALUE"""),77.78)</f>
        <v>77.78</v>
      </c>
      <c r="F6729" s="122">
        <f>IFERROR(__xludf.DUMMYFUNCTION("""COMPUTED_VALUE"""),4.0E-4)</f>
        <v>0.0004</v>
      </c>
    </row>
    <row r="6730">
      <c r="A6730" s="131">
        <f>IFERROR(__xludf.DUMMYFUNCTION("""COMPUTED_VALUE"""),46187.57136574074)</f>
        <v>46187.57137</v>
      </c>
      <c r="B6730" s="126">
        <f>IFERROR(__xludf.DUMMYFUNCTION("""COMPUTED_VALUE"""),46187.0)</f>
        <v>46187</v>
      </c>
      <c r="C6730" s="122" t="str">
        <f>IFERROR(__xludf.DUMMYFUNCTION("""COMPUTED_VALUE"""),"CAFE")</f>
        <v>CAFE</v>
      </c>
      <c r="D6730" s="122" t="str">
        <f>IFERROR(__xludf.DUMMYFUNCTION("""COMPUTED_VALUE"""),"Cafe Cloud")</f>
        <v>Cafe Cloud</v>
      </c>
      <c r="E6730" s="122">
        <f>IFERROR(__xludf.DUMMYFUNCTION("""COMPUTED_VALUE"""),100.74)</f>
        <v>100.74</v>
      </c>
      <c r="F6730" s="122">
        <f>IFERROR(__xludf.DUMMYFUNCTION("""COMPUTED_VALUE"""),-0.0078)</f>
        <v>-0.0078</v>
      </c>
    </row>
    <row r="6731">
      <c r="A6731" s="131">
        <f>IFERROR(__xludf.DUMMYFUNCTION("""COMPUTED_VALUE"""),46187.57136574074)</f>
        <v>46187.57137</v>
      </c>
      <c r="B6731" s="126">
        <f>IFERROR(__xludf.DUMMYFUNCTION("""COMPUTED_VALUE"""),46187.0)</f>
        <v>46187</v>
      </c>
      <c r="C6731" s="122" t="str">
        <f>IFERROR(__xludf.DUMMYFUNCTION("""COMPUTED_VALUE"""),"BAKE")</f>
        <v>BAKE</v>
      </c>
      <c r="D6731" s="122" t="str">
        <f>IFERROR(__xludf.DUMMYFUNCTION("""COMPUTED_VALUE"""),"BakeHouse")</f>
        <v>BakeHouse</v>
      </c>
      <c r="E6731" s="122">
        <f>IFERROR(__xludf.DUMMYFUNCTION("""COMPUTED_VALUE"""),101.35)</f>
        <v>101.35</v>
      </c>
      <c r="F6731" s="122">
        <f>IFERROR(__xludf.DUMMYFUNCTION("""COMPUTED_VALUE"""),-0.0039)</f>
        <v>-0.0039</v>
      </c>
    </row>
    <row r="6732">
      <c r="A6732" s="131">
        <f>IFERROR(__xludf.DUMMYFUNCTION("""COMPUTED_VALUE"""),46187.57136574074)</f>
        <v>46187.57137</v>
      </c>
      <c r="B6732" s="126">
        <f>IFERROR(__xludf.DUMMYFUNCTION("""COMPUTED_VALUE"""),46187.0)</f>
        <v>46187</v>
      </c>
      <c r="C6732" s="122" t="str">
        <f>IFERROR(__xludf.DUMMYFUNCTION("""COMPUTED_VALUE"""),"OILX")</f>
        <v>OILX</v>
      </c>
      <c r="D6732" s="122" t="str">
        <f>IFERROR(__xludf.DUMMYFUNCTION("""COMPUTED_VALUE"""),"OilMax Energy")</f>
        <v>OilMax Energy</v>
      </c>
      <c r="E6732" s="122">
        <f>IFERROR(__xludf.DUMMYFUNCTION("""COMPUTED_VALUE"""),131.59)</f>
        <v>131.59</v>
      </c>
      <c r="F6732" s="122">
        <f>IFERROR(__xludf.DUMMYFUNCTION("""COMPUTED_VALUE"""),0.009)</f>
        <v>0.009</v>
      </c>
    </row>
    <row r="6733">
      <c r="A6733" s="131">
        <f>IFERROR(__xludf.DUMMYFUNCTION("""COMPUTED_VALUE"""),46187.57136574074)</f>
        <v>46187.57137</v>
      </c>
      <c r="B6733" s="126">
        <f>IFERROR(__xludf.DUMMYFUNCTION("""COMPUTED_VALUE"""),46187.0)</f>
        <v>46187</v>
      </c>
      <c r="C6733" s="122" t="str">
        <f>IFERROR(__xludf.DUMMYFUNCTION("""COMPUTED_VALUE"""),"SOLR")</f>
        <v>SOLR</v>
      </c>
      <c r="D6733" s="122" t="str">
        <f>IFERROR(__xludf.DUMMYFUNCTION("""COMPUTED_VALUE"""),"SolarSpark")</f>
        <v>SolarSpark</v>
      </c>
      <c r="E6733" s="122">
        <f>IFERROR(__xludf.DUMMYFUNCTION("""COMPUTED_VALUE"""),101.96)</f>
        <v>101.96</v>
      </c>
      <c r="F6733" s="122">
        <f>IFERROR(__xludf.DUMMYFUNCTION("""COMPUTED_VALUE"""),0.0096)</f>
        <v>0.0096</v>
      </c>
    </row>
    <row r="6734">
      <c r="A6734" s="131">
        <f>IFERROR(__xludf.DUMMYFUNCTION("""COMPUTED_VALUE"""),46187.57136574074)</f>
        <v>46187.57137</v>
      </c>
      <c r="B6734" s="126">
        <f>IFERROR(__xludf.DUMMYFUNCTION("""COMPUTED_VALUE"""),46187.0)</f>
        <v>46187</v>
      </c>
      <c r="C6734" s="122" t="str">
        <f>IFERROR(__xludf.DUMMYFUNCTION("""COMPUTED_VALUE"""),"BATT")</f>
        <v>BATT</v>
      </c>
      <c r="D6734" s="122" t="str">
        <f>IFERROR(__xludf.DUMMYFUNCTION("""COMPUTED_VALUE"""),"BatteryBox")</f>
        <v>BatteryBox</v>
      </c>
      <c r="E6734" s="122">
        <f>IFERROR(__xludf.DUMMYFUNCTION("""COMPUTED_VALUE"""),117.44)</f>
        <v>117.44</v>
      </c>
      <c r="F6734" s="122">
        <f>IFERROR(__xludf.DUMMYFUNCTION("""COMPUTED_VALUE"""),-0.0042)</f>
        <v>-0.0042</v>
      </c>
    </row>
    <row r="6735">
      <c r="A6735" s="131">
        <f>IFERROR(__xludf.DUMMYFUNCTION("""COMPUTED_VALUE"""),46187.57136574074)</f>
        <v>46187.57137</v>
      </c>
      <c r="B6735" s="126">
        <f>IFERROR(__xludf.DUMMYFUNCTION("""COMPUTED_VALUE"""),46187.0)</f>
        <v>46187</v>
      </c>
      <c r="C6735" s="122" t="str">
        <f>IFERROR(__xludf.DUMMYFUNCTION("""COMPUTED_VALUE"""),"WIND")</f>
        <v>WIND</v>
      </c>
      <c r="D6735" s="122" t="str">
        <f>IFERROR(__xludf.DUMMYFUNCTION("""COMPUTED_VALUE"""),"WindWorks")</f>
        <v>WindWorks</v>
      </c>
      <c r="E6735" s="122">
        <f>IFERROR(__xludf.DUMMYFUNCTION("""COMPUTED_VALUE"""),86.79)</f>
        <v>86.79</v>
      </c>
      <c r="F6735" s="122">
        <f>IFERROR(__xludf.DUMMYFUNCTION("""COMPUTED_VALUE"""),-0.003)</f>
        <v>-0.003</v>
      </c>
    </row>
    <row r="6736">
      <c r="A6736" s="131">
        <f>IFERROR(__xludf.DUMMYFUNCTION("""COMPUTED_VALUE"""),46187.57136574074)</f>
        <v>46187.57137</v>
      </c>
      <c r="B6736" s="126">
        <f>IFERROR(__xludf.DUMMYFUNCTION("""COMPUTED_VALUE"""),46187.0)</f>
        <v>46187</v>
      </c>
      <c r="C6736" s="122" t="str">
        <f>IFERROR(__xludf.DUMMYFUNCTION("""COMPUTED_VALUE"""),"GRID")</f>
        <v>GRID</v>
      </c>
      <c r="D6736" s="122" t="str">
        <f>IFERROR(__xludf.DUMMYFUNCTION("""COMPUTED_VALUE"""),"GridPower")</f>
        <v>GridPower</v>
      </c>
      <c r="E6736" s="122">
        <f>IFERROR(__xludf.DUMMYFUNCTION("""COMPUTED_VALUE"""),130.86)</f>
        <v>130.86</v>
      </c>
      <c r="F6736" s="122">
        <f>IFERROR(__xludf.DUMMYFUNCTION("""COMPUTED_VALUE"""),-0.0034)</f>
        <v>-0.0034</v>
      </c>
    </row>
    <row r="6737">
      <c r="A6737" s="131">
        <f>IFERROR(__xludf.DUMMYFUNCTION("""COMPUTED_VALUE"""),46187.57136574074)</f>
        <v>46187.57137</v>
      </c>
      <c r="B6737" s="126">
        <f>IFERROR(__xludf.DUMMYFUNCTION("""COMPUTED_VALUE"""),46187.0)</f>
        <v>46187</v>
      </c>
      <c r="C6737" s="122" t="str">
        <f>IFERROR(__xludf.DUMMYFUNCTION("""COMPUTED_VALUE"""),"HOME")</f>
        <v>HOME</v>
      </c>
      <c r="D6737" s="122" t="str">
        <f>IFERROR(__xludf.DUMMYFUNCTION("""COMPUTED_VALUE"""),"HomeHub")</f>
        <v>HomeHub</v>
      </c>
      <c r="E6737" s="122">
        <f>IFERROR(__xludf.DUMMYFUNCTION("""COMPUTED_VALUE"""),156.67)</f>
        <v>156.67</v>
      </c>
      <c r="F6737" s="122">
        <f>IFERROR(__xludf.DUMMYFUNCTION("""COMPUTED_VALUE"""),0.0023)</f>
        <v>0.0023</v>
      </c>
    </row>
    <row r="6738">
      <c r="A6738" s="131">
        <f>IFERROR(__xludf.DUMMYFUNCTION("""COMPUTED_VALUE"""),46187.57136574074)</f>
        <v>46187.57137</v>
      </c>
      <c r="B6738" s="126">
        <f>IFERROR(__xludf.DUMMYFUNCTION("""COMPUTED_VALUE"""),46187.0)</f>
        <v>46187</v>
      </c>
      <c r="C6738" s="122" t="str">
        <f>IFERROR(__xludf.DUMMYFUNCTION("""COMPUTED_VALUE"""),"RENT")</f>
        <v>RENT</v>
      </c>
      <c r="D6738" s="122" t="str">
        <f>IFERROR(__xludf.DUMMYFUNCTION("""COMPUTED_VALUE"""),"RentRight")</f>
        <v>RentRight</v>
      </c>
      <c r="E6738" s="122">
        <f>IFERROR(__xludf.DUMMYFUNCTION("""COMPUTED_VALUE"""),91.32)</f>
        <v>91.32</v>
      </c>
      <c r="F6738" s="122">
        <f>IFERROR(__xludf.DUMMYFUNCTION("""COMPUTED_VALUE"""),0.003)</f>
        <v>0.003</v>
      </c>
    </row>
    <row r="6739">
      <c r="A6739" s="131">
        <f>IFERROR(__xludf.DUMMYFUNCTION("""COMPUTED_VALUE"""),46187.57136574074)</f>
        <v>46187.57137</v>
      </c>
      <c r="B6739" s="126">
        <f>IFERROR(__xludf.DUMMYFUNCTION("""COMPUTED_VALUE"""),46187.0)</f>
        <v>46187</v>
      </c>
      <c r="C6739" s="122" t="str">
        <f>IFERROR(__xludf.DUMMYFUNCTION("""COMPUTED_VALUE"""),"MALL")</f>
        <v>MALL</v>
      </c>
      <c r="D6739" s="122" t="str">
        <f>IFERROR(__xludf.DUMMYFUNCTION("""COMPUTED_VALUE"""),"MegaMall")</f>
        <v>MegaMall</v>
      </c>
      <c r="E6739" s="122">
        <f>IFERROR(__xludf.DUMMYFUNCTION("""COMPUTED_VALUE"""),100.95)</f>
        <v>100.95</v>
      </c>
      <c r="F6739" s="122">
        <f>IFERROR(__xludf.DUMMYFUNCTION("""COMPUTED_VALUE"""),3.0E-4)</f>
        <v>0.0003</v>
      </c>
    </row>
    <row r="6740">
      <c r="A6740" s="131">
        <f>IFERROR(__xludf.DUMMYFUNCTION("""COMPUTED_VALUE"""),46187.57136574074)</f>
        <v>46187.57137</v>
      </c>
      <c r="B6740" s="126">
        <f>IFERROR(__xludf.DUMMYFUNCTION("""COMPUTED_VALUE"""),46187.0)</f>
        <v>46187</v>
      </c>
      <c r="C6740" s="122" t="str">
        <f>IFERROR(__xludf.DUMMYFUNCTION("""COMPUTED_VALUE"""),"HOTL")</f>
        <v>HOTL</v>
      </c>
      <c r="D6740" s="122" t="str">
        <f>IFERROR(__xludf.DUMMYFUNCTION("""COMPUTED_VALUE"""),"HotelHive")</f>
        <v>HotelHive</v>
      </c>
      <c r="E6740" s="122">
        <f>IFERROR(__xludf.DUMMYFUNCTION("""COMPUTED_VALUE"""),127.48)</f>
        <v>127.48</v>
      </c>
      <c r="F6740" s="122">
        <f>IFERROR(__xludf.DUMMYFUNCTION("""COMPUTED_VALUE"""),0.0048)</f>
        <v>0.0048</v>
      </c>
    </row>
    <row r="6741">
      <c r="A6741" s="131">
        <f>IFERROR(__xludf.DUMMYFUNCTION("""COMPUTED_VALUE"""),46187.57136574074)</f>
        <v>46187.57137</v>
      </c>
      <c r="B6741" s="126">
        <f>IFERROR(__xludf.DUMMYFUNCTION("""COMPUTED_VALUE"""),46187.0)</f>
        <v>46187</v>
      </c>
      <c r="C6741" s="122" t="str">
        <f>IFERROR(__xludf.DUMMYFUNCTION("""COMPUTED_VALUE"""),"LAND")</f>
        <v>LAND</v>
      </c>
      <c r="D6741" s="122" t="str">
        <f>IFERROR(__xludf.DUMMYFUNCTION("""COMPUTED_VALUE"""),"LandLink")</f>
        <v>LandLink</v>
      </c>
      <c r="E6741" s="122">
        <f>IFERROR(__xludf.DUMMYFUNCTION("""COMPUTED_VALUE"""),183.22)</f>
        <v>183.22</v>
      </c>
      <c r="F6741" s="122">
        <f>IFERROR(__xludf.DUMMYFUNCTION("""COMPUTED_VALUE"""),-0.0021)</f>
        <v>-0.0021</v>
      </c>
    </row>
    <row r="6742">
      <c r="A6742" s="131">
        <f>IFERROR(__xludf.DUMMYFUNCTION("""COMPUTED_VALUE"""),46187.57136574074)</f>
        <v>46187.57137</v>
      </c>
      <c r="B6742" s="126">
        <f>IFERROR(__xludf.DUMMYFUNCTION("""COMPUTED_VALUE"""),46187.0)</f>
        <v>46187</v>
      </c>
      <c r="C6742" s="122" t="str">
        <f>IFERROR(__xludf.DUMMYFUNCTION("""COMPUTED_VALUE"""),"CARS")</f>
        <v>CARS</v>
      </c>
      <c r="D6742" s="122" t="str">
        <f>IFERROR(__xludf.DUMMYFUNCTION("""COMPUTED_VALUE"""),"AutoArena")</f>
        <v>AutoArena</v>
      </c>
      <c r="E6742" s="122">
        <f>IFERROR(__xludf.DUMMYFUNCTION("""COMPUTED_VALUE"""),81.28)</f>
        <v>81.28</v>
      </c>
      <c r="F6742" s="122">
        <f>IFERROR(__xludf.DUMMYFUNCTION("""COMPUTED_VALUE"""),-0.0113)</f>
        <v>-0.0113</v>
      </c>
    </row>
    <row r="6743">
      <c r="A6743" s="131">
        <f>IFERROR(__xludf.DUMMYFUNCTION("""COMPUTED_VALUE"""),46187.57136574074)</f>
        <v>46187.57137</v>
      </c>
      <c r="B6743" s="126">
        <f>IFERROR(__xludf.DUMMYFUNCTION("""COMPUTED_VALUE"""),46187.0)</f>
        <v>46187</v>
      </c>
      <c r="C6743" s="122" t="str">
        <f>IFERROR(__xludf.DUMMYFUNCTION("""COMPUTED_VALUE"""),"EVGO")</f>
        <v>EVGO</v>
      </c>
      <c r="D6743" s="122" t="str">
        <f>IFERROR(__xludf.DUMMYFUNCTION("""COMPUTED_VALUE"""),"EVGo Motors")</f>
        <v>EVGo Motors</v>
      </c>
      <c r="E6743" s="122">
        <f>IFERROR(__xludf.DUMMYFUNCTION("""COMPUTED_VALUE"""),183.45)</f>
        <v>183.45</v>
      </c>
      <c r="F6743" s="122">
        <f>IFERROR(__xludf.DUMMYFUNCTION("""COMPUTED_VALUE"""),-3.0E-4)</f>
        <v>-0.0003</v>
      </c>
    </row>
    <row r="6744">
      <c r="A6744" s="131">
        <f>IFERROR(__xludf.DUMMYFUNCTION("""COMPUTED_VALUE"""),46187.57136574074)</f>
        <v>46187.57137</v>
      </c>
      <c r="B6744" s="126">
        <f>IFERROR(__xludf.DUMMYFUNCTION("""COMPUTED_VALUE"""),46187.0)</f>
        <v>46187</v>
      </c>
      <c r="C6744" s="122" t="str">
        <f>IFERROR(__xludf.DUMMYFUNCTION("""COMPUTED_VALUE"""),"TIRE")</f>
        <v>TIRE</v>
      </c>
      <c r="D6744" s="122" t="str">
        <f>IFERROR(__xludf.DUMMYFUNCTION("""COMPUTED_VALUE"""),"TireTown")</f>
        <v>TireTown</v>
      </c>
      <c r="E6744" s="122">
        <f>IFERROR(__xludf.DUMMYFUNCTION("""COMPUTED_VALUE"""),96.98)</f>
        <v>96.98</v>
      </c>
      <c r="F6744" s="122">
        <f>IFERROR(__xludf.DUMMYFUNCTION("""COMPUTED_VALUE"""),5.0E-4)</f>
        <v>0.0005</v>
      </c>
    </row>
    <row r="6745">
      <c r="A6745" s="131">
        <f>IFERROR(__xludf.DUMMYFUNCTION("""COMPUTED_VALUE"""),46187.57136574074)</f>
        <v>46187.57137</v>
      </c>
      <c r="B6745" s="126">
        <f>IFERROR(__xludf.DUMMYFUNCTION("""COMPUTED_VALUE"""),46187.0)</f>
        <v>46187</v>
      </c>
      <c r="C6745" s="122" t="str">
        <f>IFERROR(__xludf.DUMMYFUNCTION("""COMPUTED_VALUE"""),"BIKE")</f>
        <v>BIKE</v>
      </c>
      <c r="D6745" s="122" t="str">
        <f>IFERROR(__xludf.DUMMYFUNCTION("""COMPUTED_VALUE"""),"BikeBox")</f>
        <v>BikeBox</v>
      </c>
      <c r="E6745" s="122">
        <f>IFERROR(__xludf.DUMMYFUNCTION("""COMPUTED_VALUE"""),52.36)</f>
        <v>52.36</v>
      </c>
      <c r="F6745" s="122">
        <f>IFERROR(__xludf.DUMMYFUNCTION("""COMPUTED_VALUE"""),0.0052)</f>
        <v>0.0052</v>
      </c>
    </row>
    <row r="6746">
      <c r="A6746" s="131">
        <f>IFERROR(__xludf.DUMMYFUNCTION("""COMPUTED_VALUE"""),46187.57136574074)</f>
        <v>46187.57137</v>
      </c>
      <c r="B6746" s="126">
        <f>IFERROR(__xludf.DUMMYFUNCTION("""COMPUTED_VALUE"""),46187.0)</f>
        <v>46187</v>
      </c>
      <c r="C6746" s="122" t="str">
        <f>IFERROR(__xludf.DUMMYFUNCTION("""COMPUTED_VALUE"""),"WASH")</f>
        <v>WASH</v>
      </c>
      <c r="D6746" s="122" t="str">
        <f>IFERROR(__xludf.DUMMYFUNCTION("""COMPUTED_VALUE"""),"CarWash Co")</f>
        <v>CarWash Co</v>
      </c>
      <c r="E6746" s="122">
        <f>IFERROR(__xludf.DUMMYFUNCTION("""COMPUTED_VALUE"""),120.13)</f>
        <v>120.13</v>
      </c>
      <c r="F6746" s="122">
        <f>IFERROR(__xludf.DUMMYFUNCTION("""COMPUTED_VALUE"""),0.0018)</f>
        <v>0.0018</v>
      </c>
    </row>
    <row r="6747">
      <c r="A6747" s="131">
        <f>IFERROR(__xludf.DUMMYFUNCTION("""COMPUTED_VALUE"""),46187.57136574074)</f>
        <v>46187.57137</v>
      </c>
      <c r="B6747" s="126">
        <f>IFERROR(__xludf.DUMMYFUNCTION("""COMPUTED_VALUE"""),46187.0)</f>
        <v>46187</v>
      </c>
      <c r="C6747" s="122" t="str">
        <f>IFERROR(__xludf.DUMMYFUNCTION("""COMPUTED_VALUE"""),"GBND")</f>
        <v>GBND</v>
      </c>
      <c r="D6747" s="122" t="str">
        <f>IFERROR(__xludf.DUMMYFUNCTION("""COMPUTED_VALUE"""),"Classroom Government Bond")</f>
        <v>Classroom Government Bond</v>
      </c>
      <c r="E6747" s="122">
        <f>IFERROR(__xludf.DUMMYFUNCTION("""COMPUTED_VALUE"""),101.13)</f>
        <v>101.13</v>
      </c>
      <c r="F6747" s="122">
        <f>IFERROR(__xludf.DUMMYFUNCTION("""COMPUTED_VALUE"""),0.0)</f>
        <v>0</v>
      </c>
    </row>
    <row r="6748">
      <c r="A6748" s="131">
        <f>IFERROR(__xludf.DUMMYFUNCTION("""COMPUTED_VALUE"""),46187.57136574074)</f>
        <v>46187.57137</v>
      </c>
      <c r="B6748" s="126">
        <f>IFERROR(__xludf.DUMMYFUNCTION("""COMPUTED_VALUE"""),46187.0)</f>
        <v>46187</v>
      </c>
      <c r="C6748" s="122" t="str">
        <f>IFERROR(__xludf.DUMMYFUNCTION("""COMPUTED_VALUE"""),"SBND")</f>
        <v>SBND</v>
      </c>
      <c r="D6748" s="122" t="str">
        <f>IFERROR(__xludf.DUMMYFUNCTION("""COMPUTED_VALUE"""),"School Savings Bond")</f>
        <v>School Savings Bond</v>
      </c>
      <c r="E6748" s="122">
        <f>IFERROR(__xludf.DUMMYFUNCTION("""COMPUTED_VALUE"""),99.3)</f>
        <v>99.3</v>
      </c>
      <c r="F6748" s="122">
        <f>IFERROR(__xludf.DUMMYFUNCTION("""COMPUTED_VALUE"""),4.0E-4)</f>
        <v>0.0004</v>
      </c>
    </row>
    <row r="6749">
      <c r="A6749" s="131">
        <f>IFERROR(__xludf.DUMMYFUNCTION("""COMPUTED_VALUE"""),46187.57136574074)</f>
        <v>46187.57137</v>
      </c>
      <c r="B6749" s="126">
        <f>IFERROR(__xludf.DUMMYFUNCTION("""COMPUTED_VALUE"""),46187.0)</f>
        <v>46187</v>
      </c>
      <c r="C6749" s="122" t="str">
        <f>IFERROR(__xludf.DUMMYFUNCTION("""COMPUTED_VALUE"""),"CBND")</f>
        <v>CBND</v>
      </c>
      <c r="D6749" s="122" t="str">
        <f>IFERROR(__xludf.DUMMYFUNCTION("""COMPUTED_VALUE"""),"Corporate Classroom Bond")</f>
        <v>Corporate Classroom Bond</v>
      </c>
      <c r="E6749" s="122">
        <f>IFERROR(__xludf.DUMMYFUNCTION("""COMPUTED_VALUE"""),97.83)</f>
        <v>97.83</v>
      </c>
      <c r="F6749" s="122">
        <f>IFERROR(__xludf.DUMMYFUNCTION("""COMPUTED_VALUE"""),-1.0E-4)</f>
        <v>-0.0001</v>
      </c>
    </row>
    <row r="6750">
      <c r="A6750" s="131">
        <f>IFERROR(__xludf.DUMMYFUNCTION("""COMPUTED_VALUE"""),46187.57136574074)</f>
        <v>46187.57137</v>
      </c>
      <c r="B6750" s="126">
        <f>IFERROR(__xludf.DUMMYFUNCTION("""COMPUTED_VALUE"""),46187.0)</f>
        <v>46187</v>
      </c>
      <c r="C6750" s="122" t="str">
        <f>IFERROR(__xludf.DUMMYFUNCTION("""COMPUTED_VALUE"""),"TBIL")</f>
        <v>TBIL</v>
      </c>
      <c r="D6750" s="122" t="str">
        <f>IFERROR(__xludf.DUMMYFUNCTION("""COMPUTED_VALUE"""),"Treasury Bill")</f>
        <v>Treasury Bill</v>
      </c>
      <c r="E6750" s="122">
        <f>IFERROR(__xludf.DUMMYFUNCTION("""COMPUTED_VALUE"""),97.87)</f>
        <v>97.87</v>
      </c>
      <c r="F6750" s="122">
        <f>IFERROR(__xludf.DUMMYFUNCTION("""COMPUTED_VALUE"""),-5.0E-4)</f>
        <v>-0.0005</v>
      </c>
    </row>
    <row r="6751">
      <c r="A6751" s="131">
        <f>IFERROR(__xludf.DUMMYFUNCTION("""COMPUTED_VALUE"""),46187.57136574074)</f>
        <v>46187.57137</v>
      </c>
      <c r="B6751" s="126">
        <f>IFERROR(__xludf.DUMMYFUNCTION("""COMPUTED_VALUE"""),46187.0)</f>
        <v>46187</v>
      </c>
      <c r="C6751" s="122" t="str">
        <f>IFERROR(__xludf.DUMMYFUNCTION("""COMPUTED_VALUE"""),"IBND")</f>
        <v>IBND</v>
      </c>
      <c r="D6751" s="122" t="str">
        <f>IFERROR(__xludf.DUMMYFUNCTION("""COMPUTED_VALUE"""),"Inflation Protected Bond")</f>
        <v>Inflation Protected Bond</v>
      </c>
      <c r="E6751" s="122">
        <f>IFERROR(__xludf.DUMMYFUNCTION("""COMPUTED_VALUE"""),100.77)</f>
        <v>100.77</v>
      </c>
      <c r="F6751" s="122">
        <f>IFERROR(__xludf.DUMMYFUNCTION("""COMPUTED_VALUE"""),-3.0E-4)</f>
        <v>-0.0003</v>
      </c>
    </row>
    <row r="6752">
      <c r="A6752" s="131">
        <f>IFERROR(__xludf.DUMMYFUNCTION("""COMPUTED_VALUE"""),46187.57503472222)</f>
        <v>46187.57503</v>
      </c>
      <c r="B6752" s="126">
        <f>IFERROR(__xludf.DUMMYFUNCTION("""COMPUTED_VALUE"""),46187.0)</f>
        <v>46187</v>
      </c>
      <c r="C6752" s="122" t="str">
        <f>IFERROR(__xludf.DUMMYFUNCTION("""COMPUTED_VALUE"""),"SNAX")</f>
        <v>SNAX</v>
      </c>
      <c r="D6752" s="122" t="str">
        <f>IFERROR(__xludf.DUMMYFUNCTION("""COMPUTED_VALUE"""),"MICA Snacks")</f>
        <v>MICA Snacks</v>
      </c>
      <c r="E6752" s="122">
        <f>IFERROR(__xludf.DUMMYFUNCTION("""COMPUTED_VALUE"""),121.33)</f>
        <v>121.33</v>
      </c>
      <c r="F6752" s="122">
        <f>IFERROR(__xludf.DUMMYFUNCTION("""COMPUTED_VALUE"""),-0.0025)</f>
        <v>-0.0025</v>
      </c>
    </row>
    <row r="6753">
      <c r="A6753" s="131">
        <f>IFERROR(__xludf.DUMMYFUNCTION("""COMPUTED_VALUE"""),46187.57503472222)</f>
        <v>46187.57503</v>
      </c>
      <c r="B6753" s="126">
        <f>IFERROR(__xludf.DUMMYFUNCTION("""COMPUTED_VALUE"""),46187.0)</f>
        <v>46187</v>
      </c>
      <c r="C6753" s="122" t="str">
        <f>IFERROR(__xludf.DUMMYFUNCTION("""COMPUTED_VALUE"""),"RAMN")</f>
        <v>RAMN</v>
      </c>
      <c r="D6753" s="122" t="str">
        <f>IFERROR(__xludf.DUMMYFUNCTION("""COMPUTED_VALUE"""),"Ramen Republic")</f>
        <v>Ramen Republic</v>
      </c>
      <c r="E6753" s="122">
        <f>IFERROR(__xludf.DUMMYFUNCTION("""COMPUTED_VALUE"""),65.48)</f>
        <v>65.48</v>
      </c>
      <c r="F6753" s="122">
        <f>IFERROR(__xludf.DUMMYFUNCTION("""COMPUTED_VALUE"""),0.0015)</f>
        <v>0.0015</v>
      </c>
    </row>
    <row r="6754">
      <c r="A6754" s="131">
        <f>IFERROR(__xludf.DUMMYFUNCTION("""COMPUTED_VALUE"""),46187.57503472222)</f>
        <v>46187.57503</v>
      </c>
      <c r="B6754" s="126">
        <f>IFERROR(__xludf.DUMMYFUNCTION("""COMPUTED_VALUE"""),46187.0)</f>
        <v>46187</v>
      </c>
      <c r="C6754" s="122" t="str">
        <f>IFERROR(__xludf.DUMMYFUNCTION("""COMPUTED_VALUE"""),"COLA")</f>
        <v>COLA</v>
      </c>
      <c r="D6754" s="122" t="str">
        <f>IFERROR(__xludf.DUMMYFUNCTION("""COMPUTED_VALUE"""),"K-Pop Cola")</f>
        <v>K-Pop Cola</v>
      </c>
      <c r="E6754" s="122">
        <f>IFERROR(__xludf.DUMMYFUNCTION("""COMPUTED_VALUE"""),113.66)</f>
        <v>113.66</v>
      </c>
      <c r="F6754" s="122">
        <f>IFERROR(__xludf.DUMMYFUNCTION("""COMPUTED_VALUE"""),-8.0E-4)</f>
        <v>-0.0008</v>
      </c>
    </row>
    <row r="6755">
      <c r="A6755" s="131">
        <f>IFERROR(__xludf.DUMMYFUNCTION("""COMPUTED_VALUE"""),46187.57503472222)</f>
        <v>46187.57503</v>
      </c>
      <c r="B6755" s="126">
        <f>IFERROR(__xludf.DUMMYFUNCTION("""COMPUTED_VALUE"""),46187.0)</f>
        <v>46187</v>
      </c>
      <c r="C6755" s="122" t="str">
        <f>IFERROR(__xludf.DUMMYFUNCTION("""COMPUTED_VALUE"""),"CHIP")</f>
        <v>CHIP</v>
      </c>
      <c r="D6755" s="122" t="str">
        <f>IFERROR(__xludf.DUMMYFUNCTION("""COMPUTED_VALUE"""),"Chip Empire")</f>
        <v>Chip Empire</v>
      </c>
      <c r="E6755" s="122">
        <f>IFERROR(__xludf.DUMMYFUNCTION("""COMPUTED_VALUE"""),83.39)</f>
        <v>83.39</v>
      </c>
      <c r="F6755" s="122">
        <f>IFERROR(__xludf.DUMMYFUNCTION("""COMPUTED_VALUE"""),-0.0024)</f>
        <v>-0.0024</v>
      </c>
    </row>
    <row r="6756">
      <c r="A6756" s="131">
        <f>IFERROR(__xludf.DUMMYFUNCTION("""COMPUTED_VALUE"""),46187.57503472222)</f>
        <v>46187.57503</v>
      </c>
      <c r="B6756" s="126">
        <f>IFERROR(__xludf.DUMMYFUNCTION("""COMPUTED_VALUE"""),46187.0)</f>
        <v>46187</v>
      </c>
      <c r="C6756" s="122" t="str">
        <f>IFERROR(__xludf.DUMMYFUNCTION("""COMPUTED_VALUE"""),"CAND")</f>
        <v>CAND</v>
      </c>
      <c r="D6756" s="122" t="str">
        <f>IFERROR(__xludf.DUMMYFUNCTION("""COMPUTED_VALUE"""),"Candy Capital")</f>
        <v>Candy Capital</v>
      </c>
      <c r="E6756" s="122">
        <f>IFERROR(__xludf.DUMMYFUNCTION("""COMPUTED_VALUE"""),76.82)</f>
        <v>76.82</v>
      </c>
      <c r="F6756" s="122">
        <f>IFERROR(__xludf.DUMMYFUNCTION("""COMPUTED_VALUE"""),0.0075)</f>
        <v>0.0075</v>
      </c>
    </row>
    <row r="6757">
      <c r="A6757" s="131">
        <f>IFERROR(__xludf.DUMMYFUNCTION("""COMPUTED_VALUE"""),46187.57503472222)</f>
        <v>46187.57503</v>
      </c>
      <c r="B6757" s="126">
        <f>IFERROR(__xludf.DUMMYFUNCTION("""COMPUTED_VALUE"""),46187.0)</f>
        <v>46187</v>
      </c>
      <c r="C6757" s="122" t="str">
        <f>IFERROR(__xludf.DUMMYFUNCTION("""COMPUTED_VALUE"""),"TECH")</f>
        <v>TECH</v>
      </c>
      <c r="D6757" s="122" t="str">
        <f>IFERROR(__xludf.DUMMYFUNCTION("""COMPUTED_VALUE"""),"Dragon Tech")</f>
        <v>Dragon Tech</v>
      </c>
      <c r="E6757" s="122">
        <f>IFERROR(__xludf.DUMMYFUNCTION("""COMPUTED_VALUE"""),251.56)</f>
        <v>251.56</v>
      </c>
      <c r="F6757" s="122">
        <f>IFERROR(__xludf.DUMMYFUNCTION("""COMPUTED_VALUE"""),-0.0103)</f>
        <v>-0.0103</v>
      </c>
    </row>
    <row r="6758">
      <c r="A6758" s="131">
        <f>IFERROR(__xludf.DUMMYFUNCTION("""COMPUTED_VALUE"""),46187.57503472222)</f>
        <v>46187.57503</v>
      </c>
      <c r="B6758" s="126">
        <f>IFERROR(__xludf.DUMMYFUNCTION("""COMPUTED_VALUE"""),46187.0)</f>
        <v>46187</v>
      </c>
      <c r="C6758" s="122" t="str">
        <f>IFERROR(__xludf.DUMMYFUNCTION("""COMPUTED_VALUE"""),"AIBO")</f>
        <v>AIBO</v>
      </c>
      <c r="D6758" s="122" t="str">
        <f>IFERROR(__xludf.DUMMYFUNCTION("""COMPUTED_VALUE"""),"Homework AI")</f>
        <v>Homework AI</v>
      </c>
      <c r="E6758" s="122">
        <f>IFERROR(__xludf.DUMMYFUNCTION("""COMPUTED_VALUE"""),189.57)</f>
        <v>189.57</v>
      </c>
      <c r="F6758" s="122">
        <f>IFERROR(__xludf.DUMMYFUNCTION("""COMPUTED_VALUE"""),0.0108)</f>
        <v>0.0108</v>
      </c>
    </row>
    <row r="6759">
      <c r="A6759" s="131">
        <f>IFERROR(__xludf.DUMMYFUNCTION("""COMPUTED_VALUE"""),46187.57503472222)</f>
        <v>46187.57503</v>
      </c>
      <c r="B6759" s="126">
        <f>IFERROR(__xludf.DUMMYFUNCTION("""COMPUTED_VALUE"""),46187.0)</f>
        <v>46187</v>
      </c>
      <c r="C6759" s="122" t="str">
        <f>IFERROR(__xludf.DUMMYFUNCTION("""COMPUTED_VALUE"""),"GAME")</f>
        <v>GAME</v>
      </c>
      <c r="D6759" s="122" t="str">
        <f>IFERROR(__xludf.DUMMYFUNCTION("""COMPUTED_VALUE"""),"GameBox Media")</f>
        <v>GameBox Media</v>
      </c>
      <c r="E6759" s="122">
        <f>IFERROR(__xludf.DUMMYFUNCTION("""COMPUTED_VALUE"""),101.75)</f>
        <v>101.75</v>
      </c>
      <c r="F6759" s="122">
        <f>IFERROR(__xludf.DUMMYFUNCTION("""COMPUTED_VALUE"""),-0.0066)</f>
        <v>-0.0066</v>
      </c>
    </row>
    <row r="6760">
      <c r="A6760" s="131">
        <f>IFERROR(__xludf.DUMMYFUNCTION("""COMPUTED_VALUE"""),46187.57503472222)</f>
        <v>46187.57503</v>
      </c>
      <c r="B6760" s="126">
        <f>IFERROR(__xludf.DUMMYFUNCTION("""COMPUTED_VALUE"""),46187.0)</f>
        <v>46187</v>
      </c>
      <c r="C6760" s="122" t="str">
        <f>IFERROR(__xludf.DUMMYFUNCTION("""COMPUTED_VALUE"""),"VRSE")</f>
        <v>VRSE</v>
      </c>
      <c r="D6760" s="122" t="str">
        <f>IFERROR(__xludf.DUMMYFUNCTION("""COMPUTED_VALUE"""),"VerseVR")</f>
        <v>VerseVR</v>
      </c>
      <c r="E6760" s="122">
        <f>IFERROR(__xludf.DUMMYFUNCTION("""COMPUTED_VALUE"""),147.01)</f>
        <v>147.01</v>
      </c>
      <c r="F6760" s="122">
        <f>IFERROR(__xludf.DUMMYFUNCTION("""COMPUTED_VALUE"""),0.0038)</f>
        <v>0.0038</v>
      </c>
    </row>
    <row r="6761">
      <c r="A6761" s="131">
        <f>IFERROR(__xludf.DUMMYFUNCTION("""COMPUTED_VALUE"""),46187.57503472222)</f>
        <v>46187.57503</v>
      </c>
      <c r="B6761" s="126">
        <f>IFERROR(__xludf.DUMMYFUNCTION("""COMPUTED_VALUE"""),46187.0)</f>
        <v>46187</v>
      </c>
      <c r="C6761" s="122" t="str">
        <f>IFERROR(__xludf.DUMMYFUNCTION("""COMPUTED_VALUE"""),"BYTE")</f>
        <v>BYTE</v>
      </c>
      <c r="D6761" s="122" t="str">
        <f>IFERROR(__xludf.DUMMYFUNCTION("""COMPUTED_VALUE"""),"ByteWorks")</f>
        <v>ByteWorks</v>
      </c>
      <c r="E6761" s="122">
        <f>IFERROR(__xludf.DUMMYFUNCTION("""COMPUTED_VALUE"""),116.12)</f>
        <v>116.12</v>
      </c>
      <c r="F6761" s="122">
        <f>IFERROR(__xludf.DUMMYFUNCTION("""COMPUTED_VALUE"""),0.0035)</f>
        <v>0.0035</v>
      </c>
    </row>
    <row r="6762">
      <c r="A6762" s="131">
        <f>IFERROR(__xludf.DUMMYFUNCTION("""COMPUTED_VALUE"""),46187.57503472222)</f>
        <v>46187.57503</v>
      </c>
      <c r="B6762" s="126">
        <f>IFERROR(__xludf.DUMMYFUNCTION("""COMPUTED_VALUE"""),46187.0)</f>
        <v>46187</v>
      </c>
      <c r="C6762" s="122" t="str">
        <f>IFERROR(__xludf.DUMMYFUNCTION("""COMPUTED_VALUE"""),"BANK")</f>
        <v>BANK</v>
      </c>
      <c r="D6762" s="122" t="str">
        <f>IFERROR(__xludf.DUMMYFUNCTION("""COMPUTED_VALUE"""),"Tiger Bank")</f>
        <v>Tiger Bank</v>
      </c>
      <c r="E6762" s="122">
        <f>IFERROR(__xludf.DUMMYFUNCTION("""COMPUTED_VALUE"""),130.67)</f>
        <v>130.67</v>
      </c>
      <c r="F6762" s="122">
        <f>IFERROR(__xludf.DUMMYFUNCTION("""COMPUTED_VALUE"""),0.0018)</f>
        <v>0.0018</v>
      </c>
    </row>
    <row r="6763">
      <c r="A6763" s="131">
        <f>IFERROR(__xludf.DUMMYFUNCTION("""COMPUTED_VALUE"""),46187.57503472222)</f>
        <v>46187.57503</v>
      </c>
      <c r="B6763" s="126">
        <f>IFERROR(__xludf.DUMMYFUNCTION("""COMPUTED_VALUE"""),46187.0)</f>
        <v>46187</v>
      </c>
      <c r="C6763" s="122" t="str">
        <f>IFERROR(__xludf.DUMMYFUNCTION("""COMPUTED_VALUE"""),"CRED")</f>
        <v>CRED</v>
      </c>
      <c r="D6763" s="122" t="str">
        <f>IFERROR(__xludf.DUMMYFUNCTION("""COMPUTED_VALUE"""),"Credit Castle")</f>
        <v>Credit Castle</v>
      </c>
      <c r="E6763" s="122">
        <f>IFERROR(__xludf.DUMMYFUNCTION("""COMPUTED_VALUE"""),67.37)</f>
        <v>67.37</v>
      </c>
      <c r="F6763" s="122">
        <f>IFERROR(__xludf.DUMMYFUNCTION("""COMPUTED_VALUE"""),-0.0025)</f>
        <v>-0.0025</v>
      </c>
    </row>
    <row r="6764">
      <c r="A6764" s="131">
        <f>IFERROR(__xludf.DUMMYFUNCTION("""COMPUTED_VALUE"""),46187.57503472222)</f>
        <v>46187.57503</v>
      </c>
      <c r="B6764" s="126">
        <f>IFERROR(__xludf.DUMMYFUNCTION("""COMPUTED_VALUE"""),46187.0)</f>
        <v>46187</v>
      </c>
      <c r="C6764" s="122" t="str">
        <f>IFERROR(__xludf.DUMMYFUNCTION("""COMPUTED_VALUE"""),"BOND")</f>
        <v>BOND</v>
      </c>
      <c r="D6764" s="122" t="str">
        <f>IFERROR(__xludf.DUMMYFUNCTION("""COMPUTED_VALUE"""),"BondBridge")</f>
        <v>BondBridge</v>
      </c>
      <c r="E6764" s="122">
        <f>IFERROR(__xludf.DUMMYFUNCTION("""COMPUTED_VALUE"""),103.0)</f>
        <v>103</v>
      </c>
      <c r="F6764" s="122">
        <f>IFERROR(__xludf.DUMMYFUNCTION("""COMPUTED_VALUE"""),0.0024)</f>
        <v>0.0024</v>
      </c>
    </row>
    <row r="6765">
      <c r="A6765" s="131">
        <f>IFERROR(__xludf.DUMMYFUNCTION("""COMPUTED_VALUE"""),46187.57503472222)</f>
        <v>46187.57503</v>
      </c>
      <c r="B6765" s="126">
        <f>IFERROR(__xludf.DUMMYFUNCTION("""COMPUTED_VALUE"""),46187.0)</f>
        <v>46187</v>
      </c>
      <c r="C6765" s="122" t="str">
        <f>IFERROR(__xludf.DUMMYFUNCTION("""COMPUTED_VALUE"""),"INSR")</f>
        <v>INSR</v>
      </c>
      <c r="D6765" s="122" t="str">
        <f>IFERROR(__xludf.DUMMYFUNCTION("""COMPUTED_VALUE"""),"Shield Insurance")</f>
        <v>Shield Insurance</v>
      </c>
      <c r="E6765" s="122">
        <f>IFERROR(__xludf.DUMMYFUNCTION("""COMPUTED_VALUE"""),159.01)</f>
        <v>159.01</v>
      </c>
      <c r="F6765" s="122">
        <f>IFERROR(__xludf.DUMMYFUNCTION("""COMPUTED_VALUE"""),-0.0026)</f>
        <v>-0.0026</v>
      </c>
    </row>
    <row r="6766">
      <c r="A6766" s="131">
        <f>IFERROR(__xludf.DUMMYFUNCTION("""COMPUTED_VALUE"""),46187.57503472222)</f>
        <v>46187.57503</v>
      </c>
      <c r="B6766" s="126">
        <f>IFERROR(__xludf.DUMMYFUNCTION("""COMPUTED_VALUE"""),46187.0)</f>
        <v>46187</v>
      </c>
      <c r="C6766" s="122" t="str">
        <f>IFERROR(__xludf.DUMMYFUNCTION("""COMPUTED_VALUE"""),"LOAN")</f>
        <v>LOAN</v>
      </c>
      <c r="D6766" s="122" t="str">
        <f>IFERROR(__xludf.DUMMYFUNCTION("""COMPUTED_VALUE"""),"LoanLab")</f>
        <v>LoanLab</v>
      </c>
      <c r="E6766" s="122">
        <f>IFERROR(__xludf.DUMMYFUNCTION("""COMPUTED_VALUE"""),68.79)</f>
        <v>68.79</v>
      </c>
      <c r="F6766" s="122">
        <f>IFERROR(__xludf.DUMMYFUNCTION("""COMPUTED_VALUE"""),0.0023)</f>
        <v>0.0023</v>
      </c>
    </row>
    <row r="6767">
      <c r="A6767" s="131">
        <f>IFERROR(__xludf.DUMMYFUNCTION("""COMPUTED_VALUE"""),46187.57503472222)</f>
        <v>46187.57503</v>
      </c>
      <c r="B6767" s="126">
        <f>IFERROR(__xludf.DUMMYFUNCTION("""COMPUTED_VALUE"""),46187.0)</f>
        <v>46187</v>
      </c>
      <c r="C6767" s="122" t="str">
        <f>IFERROR(__xludf.DUMMYFUNCTION("""COMPUTED_VALUE"""),"LUXE")</f>
        <v>LUXE</v>
      </c>
      <c r="D6767" s="122" t="str">
        <f>IFERROR(__xludf.DUMMYFUNCTION("""COMPUTED_VALUE"""),"Luxury Locker")</f>
        <v>Luxury Locker</v>
      </c>
      <c r="E6767" s="122">
        <f>IFERROR(__xludf.DUMMYFUNCTION("""COMPUTED_VALUE"""),267.78)</f>
        <v>267.78</v>
      </c>
      <c r="F6767" s="122">
        <f>IFERROR(__xludf.DUMMYFUNCTION("""COMPUTED_VALUE"""),2.0E-4)</f>
        <v>0.0002</v>
      </c>
    </row>
    <row r="6768">
      <c r="A6768" s="131">
        <f>IFERROR(__xludf.DUMMYFUNCTION("""COMPUTED_VALUE"""),46187.57503472222)</f>
        <v>46187.57503</v>
      </c>
      <c r="B6768" s="126">
        <f>IFERROR(__xludf.DUMMYFUNCTION("""COMPUTED_VALUE"""),46187.0)</f>
        <v>46187</v>
      </c>
      <c r="C6768" s="122" t="str">
        <f>IFERROR(__xludf.DUMMYFUNCTION("""COMPUTED_VALUE"""),"DRIP")</f>
        <v>DRIP</v>
      </c>
      <c r="D6768" s="122" t="str">
        <f>IFERROR(__xludf.DUMMYFUNCTION("""COMPUTED_VALUE"""),"Drip Streetwear")</f>
        <v>Drip Streetwear</v>
      </c>
      <c r="E6768" s="122">
        <f>IFERROR(__xludf.DUMMYFUNCTION("""COMPUTED_VALUE"""),192.78)</f>
        <v>192.78</v>
      </c>
      <c r="F6768" s="122">
        <f>IFERROR(__xludf.DUMMYFUNCTION("""COMPUTED_VALUE"""),0.0041)</f>
        <v>0.0041</v>
      </c>
    </row>
    <row r="6769">
      <c r="A6769" s="131">
        <f>IFERROR(__xludf.DUMMYFUNCTION("""COMPUTED_VALUE"""),46187.57503472222)</f>
        <v>46187.57503</v>
      </c>
      <c r="B6769" s="126">
        <f>IFERROR(__xludf.DUMMYFUNCTION("""COMPUTED_VALUE"""),46187.0)</f>
        <v>46187</v>
      </c>
      <c r="C6769" s="122" t="str">
        <f>IFERROR(__xludf.DUMMYFUNCTION("""COMPUTED_VALUE"""),"KICK")</f>
        <v>KICK</v>
      </c>
      <c r="D6769" s="122" t="str">
        <f>IFERROR(__xludf.DUMMYFUNCTION("""COMPUTED_VALUE"""),"KickDrop Sneakers")</f>
        <v>KickDrop Sneakers</v>
      </c>
      <c r="E6769" s="122">
        <f>IFERROR(__xludf.DUMMYFUNCTION("""COMPUTED_VALUE"""),168.4)</f>
        <v>168.4</v>
      </c>
      <c r="F6769" s="122">
        <f>IFERROR(__xludf.DUMMYFUNCTION("""COMPUTED_VALUE"""),-0.0092)</f>
        <v>-0.0092</v>
      </c>
    </row>
    <row r="6770">
      <c r="A6770" s="131">
        <f>IFERROR(__xludf.DUMMYFUNCTION("""COMPUTED_VALUE"""),46187.57503472222)</f>
        <v>46187.57503</v>
      </c>
      <c r="B6770" s="126">
        <f>IFERROR(__xludf.DUMMYFUNCTION("""COMPUTED_VALUE"""),46187.0)</f>
        <v>46187</v>
      </c>
      <c r="C6770" s="122" t="str">
        <f>IFERROR(__xludf.DUMMYFUNCTION("""COMPUTED_VALUE"""),"GLAM")</f>
        <v>GLAM</v>
      </c>
      <c r="D6770" s="122" t="str">
        <f>IFERROR(__xludf.DUMMYFUNCTION("""COMPUTED_VALUE"""),"Glow Cosmetics")</f>
        <v>Glow Cosmetics</v>
      </c>
      <c r="E6770" s="122">
        <f>IFERROR(__xludf.DUMMYFUNCTION("""COMPUTED_VALUE"""),110.16)</f>
        <v>110.16</v>
      </c>
      <c r="F6770" s="122">
        <f>IFERROR(__xludf.DUMMYFUNCTION("""COMPUTED_VALUE"""),0.0049)</f>
        <v>0.0049</v>
      </c>
    </row>
    <row r="6771">
      <c r="A6771" s="131">
        <f>IFERROR(__xludf.DUMMYFUNCTION("""COMPUTED_VALUE"""),46187.57503472222)</f>
        <v>46187.57503</v>
      </c>
      <c r="B6771" s="126">
        <f>IFERROR(__xludf.DUMMYFUNCTION("""COMPUTED_VALUE"""),46187.0)</f>
        <v>46187</v>
      </c>
      <c r="C6771" s="122" t="str">
        <f>IFERROR(__xludf.DUMMYFUNCTION("""COMPUTED_VALUE"""),"BAGG")</f>
        <v>BAGG</v>
      </c>
      <c r="D6771" s="122" t="str">
        <f>IFERROR(__xludf.DUMMYFUNCTION("""COMPUTED_VALUE"""),"BagVault")</f>
        <v>BagVault</v>
      </c>
      <c r="E6771" s="122">
        <f>IFERROR(__xludf.DUMMYFUNCTION("""COMPUTED_VALUE"""),270.97)</f>
        <v>270.97</v>
      </c>
      <c r="F6771" s="122">
        <f>IFERROR(__xludf.DUMMYFUNCTION("""COMPUTED_VALUE"""),0.0073)</f>
        <v>0.0073</v>
      </c>
    </row>
    <row r="6772">
      <c r="A6772" s="131">
        <f>IFERROR(__xludf.DUMMYFUNCTION("""COMPUTED_VALUE"""),46187.57503472222)</f>
        <v>46187.57503</v>
      </c>
      <c r="B6772" s="126">
        <f>IFERROR(__xludf.DUMMYFUNCTION("""COMPUTED_VALUE"""),46187.0)</f>
        <v>46187</v>
      </c>
      <c r="C6772" s="122" t="str">
        <f>IFERROR(__xludf.DUMMYFUNCTION("""COMPUTED_VALUE"""),"FAST")</f>
        <v>FAST</v>
      </c>
      <c r="D6772" s="122" t="str">
        <f>IFERROR(__xludf.DUMMYFUNCTION("""COMPUTED_VALUE"""),"Flash Logistics")</f>
        <v>Flash Logistics</v>
      </c>
      <c r="E6772" s="122">
        <f>IFERROR(__xludf.DUMMYFUNCTION("""COMPUTED_VALUE"""),107.26)</f>
        <v>107.26</v>
      </c>
      <c r="F6772" s="122">
        <f>IFERROR(__xludf.DUMMYFUNCTION("""COMPUTED_VALUE"""),0.0)</f>
        <v>0</v>
      </c>
    </row>
    <row r="6773">
      <c r="A6773" s="131">
        <f>IFERROR(__xludf.DUMMYFUNCTION("""COMPUTED_VALUE"""),46187.57503472222)</f>
        <v>46187.57503</v>
      </c>
      <c r="B6773" s="126">
        <f>IFERROR(__xludf.DUMMYFUNCTION("""COMPUTED_VALUE"""),46187.0)</f>
        <v>46187</v>
      </c>
      <c r="C6773" s="122" t="str">
        <f>IFERROR(__xludf.DUMMYFUNCTION("""COMPUTED_VALUE"""),"SHIP")</f>
        <v>SHIP</v>
      </c>
      <c r="D6773" s="122" t="str">
        <f>IFERROR(__xludf.DUMMYFUNCTION("""COMPUTED_VALUE"""),"Seoul Shipping")</f>
        <v>Seoul Shipping</v>
      </c>
      <c r="E6773" s="122">
        <f>IFERROR(__xludf.DUMMYFUNCTION("""COMPUTED_VALUE"""),128.83)</f>
        <v>128.83</v>
      </c>
      <c r="F6773" s="122">
        <f>IFERROR(__xludf.DUMMYFUNCTION("""COMPUTED_VALUE"""),3.0E-4)</f>
        <v>0.0003</v>
      </c>
    </row>
    <row r="6774">
      <c r="A6774" s="131">
        <f>IFERROR(__xludf.DUMMYFUNCTION("""COMPUTED_VALUE"""),46187.57503472222)</f>
        <v>46187.57503</v>
      </c>
      <c r="B6774" s="126">
        <f>IFERROR(__xludf.DUMMYFUNCTION("""COMPUTED_VALUE"""),46187.0)</f>
        <v>46187</v>
      </c>
      <c r="C6774" s="122" t="str">
        <f>IFERROR(__xludf.DUMMYFUNCTION("""COMPUTED_VALUE"""),"DRON")</f>
        <v>DRON</v>
      </c>
      <c r="D6774" s="122" t="str">
        <f>IFERROR(__xludf.DUMMYFUNCTION("""COMPUTED_VALUE"""),"DroneDrop")</f>
        <v>DroneDrop</v>
      </c>
      <c r="E6774" s="122">
        <f>IFERROR(__xludf.DUMMYFUNCTION("""COMPUTED_VALUE"""),127.72)</f>
        <v>127.72</v>
      </c>
      <c r="F6774" s="122">
        <f>IFERROR(__xludf.DUMMYFUNCTION("""COMPUTED_VALUE"""),0.0092)</f>
        <v>0.0092</v>
      </c>
    </row>
    <row r="6775">
      <c r="A6775" s="131">
        <f>IFERROR(__xludf.DUMMYFUNCTION("""COMPUTED_VALUE"""),46187.57503472222)</f>
        <v>46187.57503</v>
      </c>
      <c r="B6775" s="126">
        <f>IFERROR(__xludf.DUMMYFUNCTION("""COMPUTED_VALUE"""),46187.0)</f>
        <v>46187</v>
      </c>
      <c r="C6775" s="122" t="str">
        <f>IFERROR(__xludf.DUMMYFUNCTION("""COMPUTED_VALUE"""),"RIDE")</f>
        <v>RIDE</v>
      </c>
      <c r="D6775" s="122" t="str">
        <f>IFERROR(__xludf.DUMMYFUNCTION("""COMPUTED_VALUE"""),"QuickRide")</f>
        <v>QuickRide</v>
      </c>
      <c r="E6775" s="122">
        <f>IFERROR(__xludf.DUMMYFUNCTION("""COMPUTED_VALUE"""),100.85)</f>
        <v>100.85</v>
      </c>
      <c r="F6775" s="122">
        <f>IFERROR(__xludf.DUMMYFUNCTION("""COMPUTED_VALUE"""),0.0015)</f>
        <v>0.0015</v>
      </c>
    </row>
    <row r="6776">
      <c r="A6776" s="131">
        <f>IFERROR(__xludf.DUMMYFUNCTION("""COMPUTED_VALUE"""),46187.57503472222)</f>
        <v>46187.57503</v>
      </c>
      <c r="B6776" s="126">
        <f>IFERROR(__xludf.DUMMYFUNCTION("""COMPUTED_VALUE"""),46187.0)</f>
        <v>46187</v>
      </c>
      <c r="C6776" s="122" t="str">
        <f>IFERROR(__xludf.DUMMYFUNCTION("""COMPUTED_VALUE"""),"RAIL")</f>
        <v>RAIL</v>
      </c>
      <c r="D6776" s="122" t="str">
        <f>IFERROR(__xludf.DUMMYFUNCTION("""COMPUTED_VALUE"""),"MetroRail Corp")</f>
        <v>MetroRail Corp</v>
      </c>
      <c r="E6776" s="122">
        <f>IFERROR(__xludf.DUMMYFUNCTION("""COMPUTED_VALUE"""),131.21)</f>
        <v>131.21</v>
      </c>
      <c r="F6776" s="122">
        <f>IFERROR(__xludf.DUMMYFUNCTION("""COMPUTED_VALUE"""),-0.0018)</f>
        <v>-0.0018</v>
      </c>
    </row>
    <row r="6777">
      <c r="A6777" s="131">
        <f>IFERROR(__xludf.DUMMYFUNCTION("""COMPUTED_VALUE"""),46187.57503472222)</f>
        <v>46187.57503</v>
      </c>
      <c r="B6777" s="126">
        <f>IFERROR(__xludf.DUMMYFUNCTION("""COMPUTED_VALUE"""),46187.0)</f>
        <v>46187</v>
      </c>
      <c r="C6777" s="122" t="str">
        <f>IFERROR(__xludf.DUMMYFUNCTION("""COMPUTED_VALUE"""),"MEDX")</f>
        <v>MEDX</v>
      </c>
      <c r="D6777" s="122" t="str">
        <f>IFERROR(__xludf.DUMMYFUNCTION("""COMPUTED_VALUE"""),"MediCore")</f>
        <v>MediCore</v>
      </c>
      <c r="E6777" s="122">
        <f>IFERROR(__xludf.DUMMYFUNCTION("""COMPUTED_VALUE"""),139.12)</f>
        <v>139.12</v>
      </c>
      <c r="F6777" s="122">
        <f>IFERROR(__xludf.DUMMYFUNCTION("""COMPUTED_VALUE"""),9.0E-4)</f>
        <v>0.0009</v>
      </c>
    </row>
    <row r="6778">
      <c r="A6778" s="131">
        <f>IFERROR(__xludf.DUMMYFUNCTION("""COMPUTED_VALUE"""),46187.57503472222)</f>
        <v>46187.57503</v>
      </c>
      <c r="B6778" s="126">
        <f>IFERROR(__xludf.DUMMYFUNCTION("""COMPUTED_VALUE"""),46187.0)</f>
        <v>46187</v>
      </c>
      <c r="C6778" s="122" t="str">
        <f>IFERROR(__xludf.DUMMYFUNCTION("""COMPUTED_VALUE"""),"GYMX")</f>
        <v>GYMX</v>
      </c>
      <c r="D6778" s="122" t="str">
        <f>IFERROR(__xludf.DUMMYFUNCTION("""COMPUTED_VALUE"""),"GymX Fitness")</f>
        <v>GymX Fitness</v>
      </c>
      <c r="E6778" s="122">
        <f>IFERROR(__xludf.DUMMYFUNCTION("""COMPUTED_VALUE"""),85.45)</f>
        <v>85.45</v>
      </c>
      <c r="F6778" s="122">
        <f>IFERROR(__xludf.DUMMYFUNCTION("""COMPUTED_VALUE"""),-0.004)</f>
        <v>-0.004</v>
      </c>
    </row>
    <row r="6779">
      <c r="A6779" s="131">
        <f>IFERROR(__xludf.DUMMYFUNCTION("""COMPUTED_VALUE"""),46187.57503472222)</f>
        <v>46187.57503</v>
      </c>
      <c r="B6779" s="126">
        <f>IFERROR(__xludf.DUMMYFUNCTION("""COMPUTED_VALUE"""),46187.0)</f>
        <v>46187</v>
      </c>
      <c r="C6779" s="122" t="str">
        <f>IFERROR(__xludf.DUMMYFUNCTION("""COMPUTED_VALUE"""),"VITA")</f>
        <v>VITA</v>
      </c>
      <c r="D6779" s="122" t="str">
        <f>IFERROR(__xludf.DUMMYFUNCTION("""COMPUTED_VALUE"""),"VitaPlus")</f>
        <v>VitaPlus</v>
      </c>
      <c r="E6779" s="122">
        <f>IFERROR(__xludf.DUMMYFUNCTION("""COMPUTED_VALUE"""),72.6)</f>
        <v>72.6</v>
      </c>
      <c r="F6779" s="122">
        <f>IFERROR(__xludf.DUMMYFUNCTION("""COMPUTED_VALUE"""),-0.006)</f>
        <v>-0.006</v>
      </c>
    </row>
    <row r="6780">
      <c r="A6780" s="131">
        <f>IFERROR(__xludf.DUMMYFUNCTION("""COMPUTED_VALUE"""),46187.57503472222)</f>
        <v>46187.57503</v>
      </c>
      <c r="B6780" s="126">
        <f>IFERROR(__xludf.DUMMYFUNCTION("""COMPUTED_VALUE"""),46187.0)</f>
        <v>46187</v>
      </c>
      <c r="C6780" s="122" t="str">
        <f>IFERROR(__xludf.DUMMYFUNCTION("""COMPUTED_VALUE"""),"CARE")</f>
        <v>CARE</v>
      </c>
      <c r="D6780" s="122" t="str">
        <f>IFERROR(__xludf.DUMMYFUNCTION("""COMPUTED_VALUE"""),"CareCloud")</f>
        <v>CareCloud</v>
      </c>
      <c r="E6780" s="122">
        <f>IFERROR(__xludf.DUMMYFUNCTION("""COMPUTED_VALUE"""),179.57)</f>
        <v>179.57</v>
      </c>
      <c r="F6780" s="122">
        <f>IFERROR(__xludf.DUMMYFUNCTION("""COMPUTED_VALUE"""),-0.0025)</f>
        <v>-0.0025</v>
      </c>
    </row>
    <row r="6781">
      <c r="A6781" s="131">
        <f>IFERROR(__xludf.DUMMYFUNCTION("""COMPUTED_VALUE"""),46187.57503472222)</f>
        <v>46187.57503</v>
      </c>
      <c r="B6781" s="126">
        <f>IFERROR(__xludf.DUMMYFUNCTION("""COMPUTED_VALUE"""),46187.0)</f>
        <v>46187</v>
      </c>
      <c r="C6781" s="122" t="str">
        <f>IFERROR(__xludf.DUMMYFUNCTION("""COMPUTED_VALUE"""),"DENT")</f>
        <v>DENT</v>
      </c>
      <c r="D6781" s="122" t="str">
        <f>IFERROR(__xludf.DUMMYFUNCTION("""COMPUTED_VALUE"""),"SmileWorks")</f>
        <v>SmileWorks</v>
      </c>
      <c r="E6781" s="122">
        <f>IFERROR(__xludf.DUMMYFUNCTION("""COMPUTED_VALUE"""),93.62)</f>
        <v>93.62</v>
      </c>
      <c r="F6781" s="122">
        <f>IFERROR(__xludf.DUMMYFUNCTION("""COMPUTED_VALUE"""),-0.0015)</f>
        <v>-0.0015</v>
      </c>
    </row>
    <row r="6782">
      <c r="A6782" s="131">
        <f>IFERROR(__xludf.DUMMYFUNCTION("""COMPUTED_VALUE"""),46187.57503472222)</f>
        <v>46187.57503</v>
      </c>
      <c r="B6782" s="126">
        <f>IFERROR(__xludf.DUMMYFUNCTION("""COMPUTED_VALUE"""),46187.0)</f>
        <v>46187</v>
      </c>
      <c r="C6782" s="122" t="str">
        <f>IFERROR(__xludf.DUMMYFUNCTION("""COMPUTED_VALUE"""),"EDUX")</f>
        <v>EDUX</v>
      </c>
      <c r="D6782" s="122" t="str">
        <f>IFERROR(__xludf.DUMMYFUNCTION("""COMPUTED_VALUE"""),"EduMax Learning")</f>
        <v>EduMax Learning</v>
      </c>
      <c r="E6782" s="122">
        <f>IFERROR(__xludf.DUMMYFUNCTION("""COMPUTED_VALUE"""),145.85)</f>
        <v>145.85</v>
      </c>
      <c r="F6782" s="122">
        <f>IFERROR(__xludf.DUMMYFUNCTION("""COMPUTED_VALUE"""),0.0065)</f>
        <v>0.0065</v>
      </c>
    </row>
    <row r="6783">
      <c r="A6783" s="131">
        <f>IFERROR(__xludf.DUMMYFUNCTION("""COMPUTED_VALUE"""),46187.57503472222)</f>
        <v>46187.57503</v>
      </c>
      <c r="B6783" s="126">
        <f>IFERROR(__xludf.DUMMYFUNCTION("""COMPUTED_VALUE"""),46187.0)</f>
        <v>46187</v>
      </c>
      <c r="C6783" s="122" t="str">
        <f>IFERROR(__xludf.DUMMYFUNCTION("""COMPUTED_VALUE"""),"BOOK")</f>
        <v>BOOK</v>
      </c>
      <c r="D6783" s="122" t="str">
        <f>IFERROR(__xludf.DUMMYFUNCTION("""COMPUTED_VALUE"""),"BookBridge")</f>
        <v>BookBridge</v>
      </c>
      <c r="E6783" s="122">
        <f>IFERROR(__xludf.DUMMYFUNCTION("""COMPUTED_VALUE"""),119.1)</f>
        <v>119.1</v>
      </c>
      <c r="F6783" s="122">
        <f>IFERROR(__xludf.DUMMYFUNCTION("""COMPUTED_VALUE"""),0.0024)</f>
        <v>0.0024</v>
      </c>
    </row>
    <row r="6784">
      <c r="A6784" s="131">
        <f>IFERROR(__xludf.DUMMYFUNCTION("""COMPUTED_VALUE"""),46187.57503472222)</f>
        <v>46187.57503</v>
      </c>
      <c r="B6784" s="126">
        <f>IFERROR(__xludf.DUMMYFUNCTION("""COMPUTED_VALUE"""),46187.0)</f>
        <v>46187</v>
      </c>
      <c r="C6784" s="122" t="str">
        <f>IFERROR(__xludf.DUMMYFUNCTION("""COMPUTED_VALUE"""),"TUTR")</f>
        <v>TUTR</v>
      </c>
      <c r="D6784" s="122" t="str">
        <f>IFERROR(__xludf.DUMMYFUNCTION("""COMPUTED_VALUE"""),"TutorTown")</f>
        <v>TutorTown</v>
      </c>
      <c r="E6784" s="122">
        <f>IFERROR(__xludf.DUMMYFUNCTION("""COMPUTED_VALUE"""),89.94)</f>
        <v>89.94</v>
      </c>
      <c r="F6784" s="122">
        <f>IFERROR(__xludf.DUMMYFUNCTION("""COMPUTED_VALUE"""),0.001)</f>
        <v>0.001</v>
      </c>
    </row>
    <row r="6785">
      <c r="A6785" s="131">
        <f>IFERROR(__xludf.DUMMYFUNCTION("""COMPUTED_VALUE"""),46187.57503472222)</f>
        <v>46187.57503</v>
      </c>
      <c r="B6785" s="126">
        <f>IFERROR(__xludf.DUMMYFUNCTION("""COMPUTED_VALUE"""),46187.0)</f>
        <v>46187</v>
      </c>
      <c r="C6785" s="122" t="str">
        <f>IFERROR(__xludf.DUMMYFUNCTION("""COMPUTED_VALUE"""),"LANG")</f>
        <v>LANG</v>
      </c>
      <c r="D6785" s="122" t="str">
        <f>IFERROR(__xludf.DUMMYFUNCTION("""COMPUTED_VALUE"""),"LinguaLab")</f>
        <v>LinguaLab</v>
      </c>
      <c r="E6785" s="122">
        <f>IFERROR(__xludf.DUMMYFUNCTION("""COMPUTED_VALUE"""),99.99)</f>
        <v>99.99</v>
      </c>
      <c r="F6785" s="122">
        <f>IFERROR(__xludf.DUMMYFUNCTION("""COMPUTED_VALUE"""),-7.0E-4)</f>
        <v>-0.0007</v>
      </c>
    </row>
    <row r="6786">
      <c r="A6786" s="131">
        <f>IFERROR(__xludf.DUMMYFUNCTION("""COMPUTED_VALUE"""),46187.57503472222)</f>
        <v>46187.57503</v>
      </c>
      <c r="B6786" s="126">
        <f>IFERROR(__xludf.DUMMYFUNCTION("""COMPUTED_VALUE"""),46187.0)</f>
        <v>46187</v>
      </c>
      <c r="C6786" s="122" t="str">
        <f>IFERROR(__xludf.DUMMYFUNCTION("""COMPUTED_VALUE"""),"TEST")</f>
        <v>TEST</v>
      </c>
      <c r="D6786" s="122" t="str">
        <f>IFERROR(__xludf.DUMMYFUNCTION("""COMPUTED_VALUE"""),"TestPrep Pro")</f>
        <v>TestPrep Pro</v>
      </c>
      <c r="E6786" s="122">
        <f>IFERROR(__xludf.DUMMYFUNCTION("""COMPUTED_VALUE"""),91.41)</f>
        <v>91.41</v>
      </c>
      <c r="F6786" s="122">
        <f>IFERROR(__xludf.DUMMYFUNCTION("""COMPUTED_VALUE"""),0.0073)</f>
        <v>0.0073</v>
      </c>
    </row>
    <row r="6787">
      <c r="A6787" s="131">
        <f>IFERROR(__xludf.DUMMYFUNCTION("""COMPUTED_VALUE"""),46187.57503472222)</f>
        <v>46187.57503</v>
      </c>
      <c r="B6787" s="126">
        <f>IFERROR(__xludf.DUMMYFUNCTION("""COMPUTED_VALUE"""),46187.0)</f>
        <v>46187</v>
      </c>
      <c r="C6787" s="122" t="str">
        <f>IFERROR(__xludf.DUMMYFUNCTION("""COMPUTED_VALUE"""),"MOVI")</f>
        <v>MOVI</v>
      </c>
      <c r="D6787" s="122" t="str">
        <f>IFERROR(__xludf.DUMMYFUNCTION("""COMPUTED_VALUE"""),"MovieBox")</f>
        <v>MovieBox</v>
      </c>
      <c r="E6787" s="122">
        <f>IFERROR(__xludf.DUMMYFUNCTION("""COMPUTED_VALUE"""),83.76)</f>
        <v>83.76</v>
      </c>
      <c r="F6787" s="122">
        <f>IFERROR(__xludf.DUMMYFUNCTION("""COMPUTED_VALUE"""),-0.0036)</f>
        <v>-0.0036</v>
      </c>
    </row>
    <row r="6788">
      <c r="A6788" s="131">
        <f>IFERROR(__xludf.DUMMYFUNCTION("""COMPUTED_VALUE"""),46187.57503472222)</f>
        <v>46187.57503</v>
      </c>
      <c r="B6788" s="126">
        <f>IFERROR(__xludf.DUMMYFUNCTION("""COMPUTED_VALUE"""),46187.0)</f>
        <v>46187</v>
      </c>
      <c r="C6788" s="122" t="str">
        <f>IFERROR(__xludf.DUMMYFUNCTION("""COMPUTED_VALUE"""),"MUSC")</f>
        <v>MUSC</v>
      </c>
      <c r="D6788" s="122" t="str">
        <f>IFERROR(__xludf.DUMMYFUNCTION("""COMPUTED_VALUE"""),"MusicWave")</f>
        <v>MusicWave</v>
      </c>
      <c r="E6788" s="122">
        <f>IFERROR(__xludf.DUMMYFUNCTION("""COMPUTED_VALUE"""),101.51)</f>
        <v>101.51</v>
      </c>
      <c r="F6788" s="122">
        <f>IFERROR(__xludf.DUMMYFUNCTION("""COMPUTED_VALUE"""),0.0044)</f>
        <v>0.0044</v>
      </c>
    </row>
    <row r="6789">
      <c r="A6789" s="131">
        <f>IFERROR(__xludf.DUMMYFUNCTION("""COMPUTED_VALUE"""),46187.57503472222)</f>
        <v>46187.57503</v>
      </c>
      <c r="B6789" s="126">
        <f>IFERROR(__xludf.DUMMYFUNCTION("""COMPUTED_VALUE"""),46187.0)</f>
        <v>46187</v>
      </c>
      <c r="C6789" s="122" t="str">
        <f>IFERROR(__xludf.DUMMYFUNCTION("""COMPUTED_VALUE"""),"IDOL")</f>
        <v>IDOL</v>
      </c>
      <c r="D6789" s="122" t="str">
        <f>IFERROR(__xludf.DUMMYFUNCTION("""COMPUTED_VALUE"""),"Idol Agency")</f>
        <v>Idol Agency</v>
      </c>
      <c r="E6789" s="122">
        <f>IFERROR(__xludf.DUMMYFUNCTION("""COMPUTED_VALUE"""),186.88)</f>
        <v>186.88</v>
      </c>
      <c r="F6789" s="122">
        <f>IFERROR(__xludf.DUMMYFUNCTION("""COMPUTED_VALUE"""),0.0019)</f>
        <v>0.0019</v>
      </c>
    </row>
    <row r="6790">
      <c r="A6790" s="131">
        <f>IFERROR(__xludf.DUMMYFUNCTION("""COMPUTED_VALUE"""),46187.57503472222)</f>
        <v>46187.57503</v>
      </c>
      <c r="B6790" s="126">
        <f>IFERROR(__xludf.DUMMYFUNCTION("""COMPUTED_VALUE"""),46187.0)</f>
        <v>46187</v>
      </c>
      <c r="C6790" s="122" t="str">
        <f>IFERROR(__xludf.DUMMYFUNCTION("""COMPUTED_VALUE"""),"MEME")</f>
        <v>MEME</v>
      </c>
      <c r="D6790" s="122" t="str">
        <f>IFERROR(__xludf.DUMMYFUNCTION("""COMPUTED_VALUE"""),"Meme Media")</f>
        <v>Meme Media</v>
      </c>
      <c r="E6790" s="122">
        <f>IFERROR(__xludf.DUMMYFUNCTION("""COMPUTED_VALUE"""),73.91)</f>
        <v>73.91</v>
      </c>
      <c r="F6790" s="122">
        <f>IFERROR(__xludf.DUMMYFUNCTION("""COMPUTED_VALUE"""),-0.0023)</f>
        <v>-0.0023</v>
      </c>
    </row>
    <row r="6791">
      <c r="A6791" s="131">
        <f>IFERROR(__xludf.DUMMYFUNCTION("""COMPUTED_VALUE"""),46187.57503472222)</f>
        <v>46187.57503</v>
      </c>
      <c r="B6791" s="126">
        <f>IFERROR(__xludf.DUMMYFUNCTION("""COMPUTED_VALUE"""),46187.0)</f>
        <v>46187</v>
      </c>
      <c r="C6791" s="122" t="str">
        <f>IFERROR(__xludf.DUMMYFUNCTION("""COMPUTED_VALUE"""),"STRM")</f>
        <v>STRM</v>
      </c>
      <c r="D6791" s="122" t="str">
        <f>IFERROR(__xludf.DUMMYFUNCTION("""COMPUTED_VALUE"""),"Streamly")</f>
        <v>Streamly</v>
      </c>
      <c r="E6791" s="122">
        <f>IFERROR(__xludf.DUMMYFUNCTION("""COMPUTED_VALUE"""),136.79)</f>
        <v>136.79</v>
      </c>
      <c r="F6791" s="122">
        <f>IFERROR(__xludf.DUMMYFUNCTION("""COMPUTED_VALUE"""),-7.0E-4)</f>
        <v>-0.0007</v>
      </c>
    </row>
    <row r="6792">
      <c r="A6792" s="131">
        <f>IFERROR(__xludf.DUMMYFUNCTION("""COMPUTED_VALUE"""),46187.57503472222)</f>
        <v>46187.57503</v>
      </c>
      <c r="B6792" s="126">
        <f>IFERROR(__xludf.DUMMYFUNCTION("""COMPUTED_VALUE"""),46187.0)</f>
        <v>46187</v>
      </c>
      <c r="C6792" s="122" t="str">
        <f>IFERROR(__xludf.DUMMYFUNCTION("""COMPUTED_VALUE"""),"FARM")</f>
        <v>FARM</v>
      </c>
      <c r="D6792" s="122" t="str">
        <f>IFERROR(__xludf.DUMMYFUNCTION("""COMPUTED_VALUE"""),"Future Farms")</f>
        <v>Future Farms</v>
      </c>
      <c r="E6792" s="122">
        <f>IFERROR(__xludf.DUMMYFUNCTION("""COMPUTED_VALUE"""),93.62)</f>
        <v>93.62</v>
      </c>
      <c r="F6792" s="122">
        <f>IFERROR(__xludf.DUMMYFUNCTION("""COMPUTED_VALUE"""),0.0017)</f>
        <v>0.0017</v>
      </c>
    </row>
    <row r="6793">
      <c r="A6793" s="131">
        <f>IFERROR(__xludf.DUMMYFUNCTION("""COMPUTED_VALUE"""),46187.57503472222)</f>
        <v>46187.57503</v>
      </c>
      <c r="B6793" s="126">
        <f>IFERROR(__xludf.DUMMYFUNCTION("""COMPUTED_VALUE"""),46187.0)</f>
        <v>46187</v>
      </c>
      <c r="C6793" s="122" t="str">
        <f>IFERROR(__xludf.DUMMYFUNCTION("""COMPUTED_VALUE"""),"MEAT")</f>
        <v>MEAT</v>
      </c>
      <c r="D6793" s="122" t="str">
        <f>IFERROR(__xludf.DUMMYFUNCTION("""COMPUTED_VALUE"""),"MeatWorks")</f>
        <v>MeatWorks</v>
      </c>
      <c r="E6793" s="122">
        <f>IFERROR(__xludf.DUMMYFUNCTION("""COMPUTED_VALUE"""),106.95)</f>
        <v>106.95</v>
      </c>
      <c r="F6793" s="122">
        <f>IFERROR(__xludf.DUMMYFUNCTION("""COMPUTED_VALUE"""),-0.0042)</f>
        <v>-0.0042</v>
      </c>
    </row>
    <row r="6794">
      <c r="A6794" s="131">
        <f>IFERROR(__xludf.DUMMYFUNCTION("""COMPUTED_VALUE"""),46187.57503472222)</f>
        <v>46187.57503</v>
      </c>
      <c r="B6794" s="126">
        <f>IFERROR(__xludf.DUMMYFUNCTION("""COMPUTED_VALUE"""),46187.0)</f>
        <v>46187</v>
      </c>
      <c r="C6794" s="122" t="str">
        <f>IFERROR(__xludf.DUMMYFUNCTION("""COMPUTED_VALUE"""),"VEGI")</f>
        <v>VEGI</v>
      </c>
      <c r="D6794" s="122" t="str">
        <f>IFERROR(__xludf.DUMMYFUNCTION("""COMPUTED_VALUE"""),"Green Basket")</f>
        <v>Green Basket</v>
      </c>
      <c r="E6794" s="122">
        <f>IFERROR(__xludf.DUMMYFUNCTION("""COMPUTED_VALUE"""),77.41)</f>
        <v>77.41</v>
      </c>
      <c r="F6794" s="122">
        <f>IFERROR(__xludf.DUMMYFUNCTION("""COMPUTED_VALUE"""),-0.0048)</f>
        <v>-0.0048</v>
      </c>
    </row>
    <row r="6795">
      <c r="A6795" s="131">
        <f>IFERROR(__xludf.DUMMYFUNCTION("""COMPUTED_VALUE"""),46187.57503472222)</f>
        <v>46187.57503</v>
      </c>
      <c r="B6795" s="126">
        <f>IFERROR(__xludf.DUMMYFUNCTION("""COMPUTED_VALUE"""),46187.0)</f>
        <v>46187</v>
      </c>
      <c r="C6795" s="122" t="str">
        <f>IFERROR(__xludf.DUMMYFUNCTION("""COMPUTED_VALUE"""),"CAFE")</f>
        <v>CAFE</v>
      </c>
      <c r="D6795" s="122" t="str">
        <f>IFERROR(__xludf.DUMMYFUNCTION("""COMPUTED_VALUE"""),"Cafe Cloud")</f>
        <v>Cafe Cloud</v>
      </c>
      <c r="E6795" s="122">
        <f>IFERROR(__xludf.DUMMYFUNCTION("""COMPUTED_VALUE"""),101.31)</f>
        <v>101.31</v>
      </c>
      <c r="F6795" s="122">
        <f>IFERROR(__xludf.DUMMYFUNCTION("""COMPUTED_VALUE"""),0.0057)</f>
        <v>0.0057</v>
      </c>
    </row>
    <row r="6796">
      <c r="A6796" s="131">
        <f>IFERROR(__xludf.DUMMYFUNCTION("""COMPUTED_VALUE"""),46187.57503472222)</f>
        <v>46187.57503</v>
      </c>
      <c r="B6796" s="126">
        <f>IFERROR(__xludf.DUMMYFUNCTION("""COMPUTED_VALUE"""),46187.0)</f>
        <v>46187</v>
      </c>
      <c r="C6796" s="122" t="str">
        <f>IFERROR(__xludf.DUMMYFUNCTION("""COMPUTED_VALUE"""),"BAKE")</f>
        <v>BAKE</v>
      </c>
      <c r="D6796" s="122" t="str">
        <f>IFERROR(__xludf.DUMMYFUNCTION("""COMPUTED_VALUE"""),"BakeHouse")</f>
        <v>BakeHouse</v>
      </c>
      <c r="E6796" s="122">
        <f>IFERROR(__xludf.DUMMYFUNCTION("""COMPUTED_VALUE"""),100.87)</f>
        <v>100.87</v>
      </c>
      <c r="F6796" s="122">
        <f>IFERROR(__xludf.DUMMYFUNCTION("""COMPUTED_VALUE"""),-0.0047)</f>
        <v>-0.0047</v>
      </c>
    </row>
    <row r="6797">
      <c r="A6797" s="131">
        <f>IFERROR(__xludf.DUMMYFUNCTION("""COMPUTED_VALUE"""),46187.57503472222)</f>
        <v>46187.57503</v>
      </c>
      <c r="B6797" s="126">
        <f>IFERROR(__xludf.DUMMYFUNCTION("""COMPUTED_VALUE"""),46187.0)</f>
        <v>46187</v>
      </c>
      <c r="C6797" s="122" t="str">
        <f>IFERROR(__xludf.DUMMYFUNCTION("""COMPUTED_VALUE"""),"OILX")</f>
        <v>OILX</v>
      </c>
      <c r="D6797" s="122" t="str">
        <f>IFERROR(__xludf.DUMMYFUNCTION("""COMPUTED_VALUE"""),"OilMax Energy")</f>
        <v>OilMax Energy</v>
      </c>
      <c r="E6797" s="122">
        <f>IFERROR(__xludf.DUMMYFUNCTION("""COMPUTED_VALUE"""),131.56)</f>
        <v>131.56</v>
      </c>
      <c r="F6797" s="122">
        <f>IFERROR(__xludf.DUMMYFUNCTION("""COMPUTED_VALUE"""),-2.0E-4)</f>
        <v>-0.0002</v>
      </c>
    </row>
    <row r="6798">
      <c r="A6798" s="131">
        <f>IFERROR(__xludf.DUMMYFUNCTION("""COMPUTED_VALUE"""),46187.57503472222)</f>
        <v>46187.57503</v>
      </c>
      <c r="B6798" s="126">
        <f>IFERROR(__xludf.DUMMYFUNCTION("""COMPUTED_VALUE"""),46187.0)</f>
        <v>46187</v>
      </c>
      <c r="C6798" s="122" t="str">
        <f>IFERROR(__xludf.DUMMYFUNCTION("""COMPUTED_VALUE"""),"SOLR")</f>
        <v>SOLR</v>
      </c>
      <c r="D6798" s="122" t="str">
        <f>IFERROR(__xludf.DUMMYFUNCTION("""COMPUTED_VALUE"""),"SolarSpark")</f>
        <v>SolarSpark</v>
      </c>
      <c r="E6798" s="122">
        <f>IFERROR(__xludf.DUMMYFUNCTION("""COMPUTED_VALUE"""),102.89)</f>
        <v>102.89</v>
      </c>
      <c r="F6798" s="122">
        <f>IFERROR(__xludf.DUMMYFUNCTION("""COMPUTED_VALUE"""),0.0091)</f>
        <v>0.0091</v>
      </c>
    </row>
    <row r="6799">
      <c r="A6799" s="131">
        <f>IFERROR(__xludf.DUMMYFUNCTION("""COMPUTED_VALUE"""),46187.57503472222)</f>
        <v>46187.57503</v>
      </c>
      <c r="B6799" s="126">
        <f>IFERROR(__xludf.DUMMYFUNCTION("""COMPUTED_VALUE"""),46187.0)</f>
        <v>46187</v>
      </c>
      <c r="C6799" s="122" t="str">
        <f>IFERROR(__xludf.DUMMYFUNCTION("""COMPUTED_VALUE"""),"BATT")</f>
        <v>BATT</v>
      </c>
      <c r="D6799" s="122" t="str">
        <f>IFERROR(__xludf.DUMMYFUNCTION("""COMPUTED_VALUE"""),"BatteryBox")</f>
        <v>BatteryBox</v>
      </c>
      <c r="E6799" s="122">
        <f>IFERROR(__xludf.DUMMYFUNCTION("""COMPUTED_VALUE"""),118.61)</f>
        <v>118.61</v>
      </c>
      <c r="F6799" s="122">
        <f>IFERROR(__xludf.DUMMYFUNCTION("""COMPUTED_VALUE"""),0.01)</f>
        <v>0.01</v>
      </c>
    </row>
    <row r="6800">
      <c r="A6800" s="131">
        <f>IFERROR(__xludf.DUMMYFUNCTION("""COMPUTED_VALUE"""),46187.57503472222)</f>
        <v>46187.57503</v>
      </c>
      <c r="B6800" s="126">
        <f>IFERROR(__xludf.DUMMYFUNCTION("""COMPUTED_VALUE"""),46187.0)</f>
        <v>46187</v>
      </c>
      <c r="C6800" s="122" t="str">
        <f>IFERROR(__xludf.DUMMYFUNCTION("""COMPUTED_VALUE"""),"WIND")</f>
        <v>WIND</v>
      </c>
      <c r="D6800" s="122" t="str">
        <f>IFERROR(__xludf.DUMMYFUNCTION("""COMPUTED_VALUE"""),"WindWorks")</f>
        <v>WindWorks</v>
      </c>
      <c r="E6800" s="122">
        <f>IFERROR(__xludf.DUMMYFUNCTION("""COMPUTED_VALUE"""),86.95)</f>
        <v>86.95</v>
      </c>
      <c r="F6800" s="122">
        <f>IFERROR(__xludf.DUMMYFUNCTION("""COMPUTED_VALUE"""),0.0018)</f>
        <v>0.0018</v>
      </c>
    </row>
    <row r="6801">
      <c r="A6801" s="131">
        <f>IFERROR(__xludf.DUMMYFUNCTION("""COMPUTED_VALUE"""),46187.57503472222)</f>
        <v>46187.57503</v>
      </c>
      <c r="B6801" s="126">
        <f>IFERROR(__xludf.DUMMYFUNCTION("""COMPUTED_VALUE"""),46187.0)</f>
        <v>46187</v>
      </c>
      <c r="C6801" s="122" t="str">
        <f>IFERROR(__xludf.DUMMYFUNCTION("""COMPUTED_VALUE"""),"GRID")</f>
        <v>GRID</v>
      </c>
      <c r="D6801" s="122" t="str">
        <f>IFERROR(__xludf.DUMMYFUNCTION("""COMPUTED_VALUE"""),"GridPower")</f>
        <v>GridPower</v>
      </c>
      <c r="E6801" s="122">
        <f>IFERROR(__xludf.DUMMYFUNCTION("""COMPUTED_VALUE"""),130.66)</f>
        <v>130.66</v>
      </c>
      <c r="F6801" s="122">
        <f>IFERROR(__xludf.DUMMYFUNCTION("""COMPUTED_VALUE"""),-0.0015)</f>
        <v>-0.0015</v>
      </c>
    </row>
    <row r="6802">
      <c r="A6802" s="131">
        <f>IFERROR(__xludf.DUMMYFUNCTION("""COMPUTED_VALUE"""),46187.57503472222)</f>
        <v>46187.57503</v>
      </c>
      <c r="B6802" s="126">
        <f>IFERROR(__xludf.DUMMYFUNCTION("""COMPUTED_VALUE"""),46187.0)</f>
        <v>46187</v>
      </c>
      <c r="C6802" s="122" t="str">
        <f>IFERROR(__xludf.DUMMYFUNCTION("""COMPUTED_VALUE"""),"HOME")</f>
        <v>HOME</v>
      </c>
      <c r="D6802" s="122" t="str">
        <f>IFERROR(__xludf.DUMMYFUNCTION("""COMPUTED_VALUE"""),"HomeHub")</f>
        <v>HomeHub</v>
      </c>
      <c r="E6802" s="122">
        <f>IFERROR(__xludf.DUMMYFUNCTION("""COMPUTED_VALUE"""),157.49)</f>
        <v>157.49</v>
      </c>
      <c r="F6802" s="122">
        <f>IFERROR(__xludf.DUMMYFUNCTION("""COMPUTED_VALUE"""),0.0052)</f>
        <v>0.0052</v>
      </c>
    </row>
    <row r="6803">
      <c r="A6803" s="131">
        <f>IFERROR(__xludf.DUMMYFUNCTION("""COMPUTED_VALUE"""),46187.57503472222)</f>
        <v>46187.57503</v>
      </c>
      <c r="B6803" s="126">
        <f>IFERROR(__xludf.DUMMYFUNCTION("""COMPUTED_VALUE"""),46187.0)</f>
        <v>46187</v>
      </c>
      <c r="C6803" s="122" t="str">
        <f>IFERROR(__xludf.DUMMYFUNCTION("""COMPUTED_VALUE"""),"RENT")</f>
        <v>RENT</v>
      </c>
      <c r="D6803" s="122" t="str">
        <f>IFERROR(__xludf.DUMMYFUNCTION("""COMPUTED_VALUE"""),"RentRight")</f>
        <v>RentRight</v>
      </c>
      <c r="E6803" s="122">
        <f>IFERROR(__xludf.DUMMYFUNCTION("""COMPUTED_VALUE"""),91.62)</f>
        <v>91.62</v>
      </c>
      <c r="F6803" s="122">
        <f>IFERROR(__xludf.DUMMYFUNCTION("""COMPUTED_VALUE"""),0.0033)</f>
        <v>0.0033</v>
      </c>
    </row>
    <row r="6804">
      <c r="A6804" s="131">
        <f>IFERROR(__xludf.DUMMYFUNCTION("""COMPUTED_VALUE"""),46187.57503472222)</f>
        <v>46187.57503</v>
      </c>
      <c r="B6804" s="126">
        <f>IFERROR(__xludf.DUMMYFUNCTION("""COMPUTED_VALUE"""),46187.0)</f>
        <v>46187</v>
      </c>
      <c r="C6804" s="122" t="str">
        <f>IFERROR(__xludf.DUMMYFUNCTION("""COMPUTED_VALUE"""),"MALL")</f>
        <v>MALL</v>
      </c>
      <c r="D6804" s="122" t="str">
        <f>IFERROR(__xludf.DUMMYFUNCTION("""COMPUTED_VALUE"""),"MegaMall")</f>
        <v>MegaMall</v>
      </c>
      <c r="E6804" s="122">
        <f>IFERROR(__xludf.DUMMYFUNCTION("""COMPUTED_VALUE"""),100.88)</f>
        <v>100.88</v>
      </c>
      <c r="F6804" s="122">
        <f>IFERROR(__xludf.DUMMYFUNCTION("""COMPUTED_VALUE"""),-7.0E-4)</f>
        <v>-0.0007</v>
      </c>
    </row>
    <row r="6805">
      <c r="A6805" s="131">
        <f>IFERROR(__xludf.DUMMYFUNCTION("""COMPUTED_VALUE"""),46187.57503472222)</f>
        <v>46187.57503</v>
      </c>
      <c r="B6805" s="126">
        <f>IFERROR(__xludf.DUMMYFUNCTION("""COMPUTED_VALUE"""),46187.0)</f>
        <v>46187</v>
      </c>
      <c r="C6805" s="122" t="str">
        <f>IFERROR(__xludf.DUMMYFUNCTION("""COMPUTED_VALUE"""),"HOTL")</f>
        <v>HOTL</v>
      </c>
      <c r="D6805" s="122" t="str">
        <f>IFERROR(__xludf.DUMMYFUNCTION("""COMPUTED_VALUE"""),"HotelHive")</f>
        <v>HotelHive</v>
      </c>
      <c r="E6805" s="122">
        <f>IFERROR(__xludf.DUMMYFUNCTION("""COMPUTED_VALUE"""),126.43)</f>
        <v>126.43</v>
      </c>
      <c r="F6805" s="122">
        <f>IFERROR(__xludf.DUMMYFUNCTION("""COMPUTED_VALUE"""),-0.0082)</f>
        <v>-0.0082</v>
      </c>
    </row>
    <row r="6806">
      <c r="A6806" s="131">
        <f>IFERROR(__xludf.DUMMYFUNCTION("""COMPUTED_VALUE"""),46187.57503472222)</f>
        <v>46187.57503</v>
      </c>
      <c r="B6806" s="126">
        <f>IFERROR(__xludf.DUMMYFUNCTION("""COMPUTED_VALUE"""),46187.0)</f>
        <v>46187</v>
      </c>
      <c r="C6806" s="122" t="str">
        <f>IFERROR(__xludf.DUMMYFUNCTION("""COMPUTED_VALUE"""),"LAND")</f>
        <v>LAND</v>
      </c>
      <c r="D6806" s="122" t="str">
        <f>IFERROR(__xludf.DUMMYFUNCTION("""COMPUTED_VALUE"""),"LandLink")</f>
        <v>LandLink</v>
      </c>
      <c r="E6806" s="122">
        <f>IFERROR(__xludf.DUMMYFUNCTION("""COMPUTED_VALUE"""),183.72)</f>
        <v>183.72</v>
      </c>
      <c r="F6806" s="122">
        <f>IFERROR(__xludf.DUMMYFUNCTION("""COMPUTED_VALUE"""),0.0027)</f>
        <v>0.0027</v>
      </c>
    </row>
    <row r="6807">
      <c r="A6807" s="131">
        <f>IFERROR(__xludf.DUMMYFUNCTION("""COMPUTED_VALUE"""),46187.57503472222)</f>
        <v>46187.57503</v>
      </c>
      <c r="B6807" s="126">
        <f>IFERROR(__xludf.DUMMYFUNCTION("""COMPUTED_VALUE"""),46187.0)</f>
        <v>46187</v>
      </c>
      <c r="C6807" s="122" t="str">
        <f>IFERROR(__xludf.DUMMYFUNCTION("""COMPUTED_VALUE"""),"CARS")</f>
        <v>CARS</v>
      </c>
      <c r="D6807" s="122" t="str">
        <f>IFERROR(__xludf.DUMMYFUNCTION("""COMPUTED_VALUE"""),"AutoArena")</f>
        <v>AutoArena</v>
      </c>
      <c r="E6807" s="122">
        <f>IFERROR(__xludf.DUMMYFUNCTION("""COMPUTED_VALUE"""),81.16)</f>
        <v>81.16</v>
      </c>
      <c r="F6807" s="122">
        <f>IFERROR(__xludf.DUMMYFUNCTION("""COMPUTED_VALUE"""),-0.0015)</f>
        <v>-0.0015</v>
      </c>
    </row>
    <row r="6808">
      <c r="A6808" s="131">
        <f>IFERROR(__xludf.DUMMYFUNCTION("""COMPUTED_VALUE"""),46187.57503472222)</f>
        <v>46187.57503</v>
      </c>
      <c r="B6808" s="126">
        <f>IFERROR(__xludf.DUMMYFUNCTION("""COMPUTED_VALUE"""),46187.0)</f>
        <v>46187</v>
      </c>
      <c r="C6808" s="122" t="str">
        <f>IFERROR(__xludf.DUMMYFUNCTION("""COMPUTED_VALUE"""),"EVGO")</f>
        <v>EVGO</v>
      </c>
      <c r="D6808" s="122" t="str">
        <f>IFERROR(__xludf.DUMMYFUNCTION("""COMPUTED_VALUE"""),"EVGo Motors")</f>
        <v>EVGo Motors</v>
      </c>
      <c r="E6808" s="122">
        <f>IFERROR(__xludf.DUMMYFUNCTION("""COMPUTED_VALUE"""),184.65)</f>
        <v>184.65</v>
      </c>
      <c r="F6808" s="122">
        <f>IFERROR(__xludf.DUMMYFUNCTION("""COMPUTED_VALUE"""),0.0065)</f>
        <v>0.0065</v>
      </c>
    </row>
    <row r="6809">
      <c r="A6809" s="131">
        <f>IFERROR(__xludf.DUMMYFUNCTION("""COMPUTED_VALUE"""),46187.57503472222)</f>
        <v>46187.57503</v>
      </c>
      <c r="B6809" s="126">
        <f>IFERROR(__xludf.DUMMYFUNCTION("""COMPUTED_VALUE"""),46187.0)</f>
        <v>46187</v>
      </c>
      <c r="C6809" s="122" t="str">
        <f>IFERROR(__xludf.DUMMYFUNCTION("""COMPUTED_VALUE"""),"TIRE")</f>
        <v>TIRE</v>
      </c>
      <c r="D6809" s="122" t="str">
        <f>IFERROR(__xludf.DUMMYFUNCTION("""COMPUTED_VALUE"""),"TireTown")</f>
        <v>TireTown</v>
      </c>
      <c r="E6809" s="122">
        <f>IFERROR(__xludf.DUMMYFUNCTION("""COMPUTED_VALUE"""),96.78)</f>
        <v>96.78</v>
      </c>
      <c r="F6809" s="122">
        <f>IFERROR(__xludf.DUMMYFUNCTION("""COMPUTED_VALUE"""),-0.0021)</f>
        <v>-0.0021</v>
      </c>
    </row>
    <row r="6810">
      <c r="A6810" s="131">
        <f>IFERROR(__xludf.DUMMYFUNCTION("""COMPUTED_VALUE"""),46187.57503472222)</f>
        <v>46187.57503</v>
      </c>
      <c r="B6810" s="126">
        <f>IFERROR(__xludf.DUMMYFUNCTION("""COMPUTED_VALUE"""),46187.0)</f>
        <v>46187</v>
      </c>
      <c r="C6810" s="122" t="str">
        <f>IFERROR(__xludf.DUMMYFUNCTION("""COMPUTED_VALUE"""),"BIKE")</f>
        <v>BIKE</v>
      </c>
      <c r="D6810" s="122" t="str">
        <f>IFERROR(__xludf.DUMMYFUNCTION("""COMPUTED_VALUE"""),"BikeBox")</f>
        <v>BikeBox</v>
      </c>
      <c r="E6810" s="122">
        <f>IFERROR(__xludf.DUMMYFUNCTION("""COMPUTED_VALUE"""),52.61)</f>
        <v>52.61</v>
      </c>
      <c r="F6810" s="122">
        <f>IFERROR(__xludf.DUMMYFUNCTION("""COMPUTED_VALUE"""),0.0048)</f>
        <v>0.0048</v>
      </c>
    </row>
    <row r="6811">
      <c r="A6811" s="131">
        <f>IFERROR(__xludf.DUMMYFUNCTION("""COMPUTED_VALUE"""),46187.57503472222)</f>
        <v>46187.57503</v>
      </c>
      <c r="B6811" s="126">
        <f>IFERROR(__xludf.DUMMYFUNCTION("""COMPUTED_VALUE"""),46187.0)</f>
        <v>46187</v>
      </c>
      <c r="C6811" s="122" t="str">
        <f>IFERROR(__xludf.DUMMYFUNCTION("""COMPUTED_VALUE"""),"WASH")</f>
        <v>WASH</v>
      </c>
      <c r="D6811" s="122" t="str">
        <f>IFERROR(__xludf.DUMMYFUNCTION("""COMPUTED_VALUE"""),"CarWash Co")</f>
        <v>CarWash Co</v>
      </c>
      <c r="E6811" s="122">
        <f>IFERROR(__xludf.DUMMYFUNCTION("""COMPUTED_VALUE"""),120.56)</f>
        <v>120.56</v>
      </c>
      <c r="F6811" s="122">
        <f>IFERROR(__xludf.DUMMYFUNCTION("""COMPUTED_VALUE"""),0.0036)</f>
        <v>0.0036</v>
      </c>
    </row>
    <row r="6812">
      <c r="A6812" s="131">
        <f>IFERROR(__xludf.DUMMYFUNCTION("""COMPUTED_VALUE"""),46187.57503472222)</f>
        <v>46187.57503</v>
      </c>
      <c r="B6812" s="126">
        <f>IFERROR(__xludf.DUMMYFUNCTION("""COMPUTED_VALUE"""),46187.0)</f>
        <v>46187</v>
      </c>
      <c r="C6812" s="122" t="str">
        <f>IFERROR(__xludf.DUMMYFUNCTION("""COMPUTED_VALUE"""),"GBND")</f>
        <v>GBND</v>
      </c>
      <c r="D6812" s="122" t="str">
        <f>IFERROR(__xludf.DUMMYFUNCTION("""COMPUTED_VALUE"""),"Classroom Government Bond")</f>
        <v>Classroom Government Bond</v>
      </c>
      <c r="E6812" s="122">
        <f>IFERROR(__xludf.DUMMYFUNCTION("""COMPUTED_VALUE"""),101.11)</f>
        <v>101.11</v>
      </c>
      <c r="F6812" s="122">
        <f>IFERROR(__xludf.DUMMYFUNCTION("""COMPUTED_VALUE"""),-2.0E-4)</f>
        <v>-0.0002</v>
      </c>
    </row>
    <row r="6813">
      <c r="A6813" s="131">
        <f>IFERROR(__xludf.DUMMYFUNCTION("""COMPUTED_VALUE"""),46187.57503472222)</f>
        <v>46187.57503</v>
      </c>
      <c r="B6813" s="126">
        <f>IFERROR(__xludf.DUMMYFUNCTION("""COMPUTED_VALUE"""),46187.0)</f>
        <v>46187</v>
      </c>
      <c r="C6813" s="122" t="str">
        <f>IFERROR(__xludf.DUMMYFUNCTION("""COMPUTED_VALUE"""),"SBND")</f>
        <v>SBND</v>
      </c>
      <c r="D6813" s="122" t="str">
        <f>IFERROR(__xludf.DUMMYFUNCTION("""COMPUTED_VALUE"""),"School Savings Bond")</f>
        <v>School Savings Bond</v>
      </c>
      <c r="E6813" s="122">
        <f>IFERROR(__xludf.DUMMYFUNCTION("""COMPUTED_VALUE"""),99.26)</f>
        <v>99.26</v>
      </c>
      <c r="F6813" s="122">
        <f>IFERROR(__xludf.DUMMYFUNCTION("""COMPUTED_VALUE"""),-4.0E-4)</f>
        <v>-0.0004</v>
      </c>
    </row>
    <row r="6814">
      <c r="A6814" s="131">
        <f>IFERROR(__xludf.DUMMYFUNCTION("""COMPUTED_VALUE"""),46187.57503472222)</f>
        <v>46187.57503</v>
      </c>
      <c r="B6814" s="126">
        <f>IFERROR(__xludf.DUMMYFUNCTION("""COMPUTED_VALUE"""),46187.0)</f>
        <v>46187</v>
      </c>
      <c r="C6814" s="122" t="str">
        <f>IFERROR(__xludf.DUMMYFUNCTION("""COMPUTED_VALUE"""),"CBND")</f>
        <v>CBND</v>
      </c>
      <c r="D6814" s="122" t="str">
        <f>IFERROR(__xludf.DUMMYFUNCTION("""COMPUTED_VALUE"""),"Corporate Classroom Bond")</f>
        <v>Corporate Classroom Bond</v>
      </c>
      <c r="E6814" s="122">
        <f>IFERROR(__xludf.DUMMYFUNCTION("""COMPUTED_VALUE"""),97.8)</f>
        <v>97.8</v>
      </c>
      <c r="F6814" s="122">
        <f>IFERROR(__xludf.DUMMYFUNCTION("""COMPUTED_VALUE"""),-3.0E-4)</f>
        <v>-0.0003</v>
      </c>
    </row>
    <row r="6815">
      <c r="A6815" s="131">
        <f>IFERROR(__xludf.DUMMYFUNCTION("""COMPUTED_VALUE"""),46187.57503472222)</f>
        <v>46187.57503</v>
      </c>
      <c r="B6815" s="126">
        <f>IFERROR(__xludf.DUMMYFUNCTION("""COMPUTED_VALUE"""),46187.0)</f>
        <v>46187</v>
      </c>
      <c r="C6815" s="122" t="str">
        <f>IFERROR(__xludf.DUMMYFUNCTION("""COMPUTED_VALUE"""),"TBIL")</f>
        <v>TBIL</v>
      </c>
      <c r="D6815" s="122" t="str">
        <f>IFERROR(__xludf.DUMMYFUNCTION("""COMPUTED_VALUE"""),"Treasury Bill")</f>
        <v>Treasury Bill</v>
      </c>
      <c r="E6815" s="122">
        <f>IFERROR(__xludf.DUMMYFUNCTION("""COMPUTED_VALUE"""),97.87)</f>
        <v>97.87</v>
      </c>
      <c r="F6815" s="122">
        <f>IFERROR(__xludf.DUMMYFUNCTION("""COMPUTED_VALUE"""),0.0)</f>
        <v>0</v>
      </c>
    </row>
    <row r="6816">
      <c r="A6816" s="131">
        <f>IFERROR(__xludf.DUMMYFUNCTION("""COMPUTED_VALUE"""),46187.57503472222)</f>
        <v>46187.57503</v>
      </c>
      <c r="B6816" s="126">
        <f>IFERROR(__xludf.DUMMYFUNCTION("""COMPUTED_VALUE"""),46187.0)</f>
        <v>46187</v>
      </c>
      <c r="C6816" s="122" t="str">
        <f>IFERROR(__xludf.DUMMYFUNCTION("""COMPUTED_VALUE"""),"IBND")</f>
        <v>IBND</v>
      </c>
      <c r="D6816" s="122" t="str">
        <f>IFERROR(__xludf.DUMMYFUNCTION("""COMPUTED_VALUE"""),"Inflation Protected Bond")</f>
        <v>Inflation Protected Bond</v>
      </c>
      <c r="E6816" s="122">
        <f>IFERROR(__xludf.DUMMYFUNCTION("""COMPUTED_VALUE"""),100.77)</f>
        <v>100.77</v>
      </c>
      <c r="F6816" s="122">
        <f>IFERROR(__xludf.DUMMYFUNCTION("""COMPUTED_VALUE"""),0.0)</f>
        <v>0</v>
      </c>
    </row>
    <row r="6817">
      <c r="A6817" s="131">
        <f>IFERROR(__xludf.DUMMYFUNCTION("""COMPUTED_VALUE"""),46187.575891203705)</f>
        <v>46187.57589</v>
      </c>
      <c r="B6817" s="126">
        <f>IFERROR(__xludf.DUMMYFUNCTION("""COMPUTED_VALUE"""),46187.0)</f>
        <v>46187</v>
      </c>
      <c r="C6817" s="130">
        <f>IFERROR(__xludf.DUMMYFUNCTION("""COMPUTED_VALUE"""),0.5758912037037037)</f>
        <v>0.5758912037</v>
      </c>
      <c r="D6817" s="122" t="str">
        <f>IFERROR(__xludf.DUMMYFUNCTION("""COMPUTED_VALUE"""),"SNAX")</f>
        <v>SNAX</v>
      </c>
      <c r="E6817" s="122" t="str">
        <f>IFERROR(__xludf.DUMMYFUNCTION("""COMPUTED_VALUE"""),"MICA Snacks")</f>
        <v>MICA Snacks</v>
      </c>
      <c r="F6817" s="122" t="str">
        <f>IFERROR(__xludf.DUMMYFUNCTION("""COMPUTED_VALUE"""),"Consumer Goods")</f>
        <v>Consumer Goods</v>
      </c>
    </row>
    <row r="6818">
      <c r="A6818" s="131">
        <f>IFERROR(__xludf.DUMMYFUNCTION("""COMPUTED_VALUE"""),46187.575891203705)</f>
        <v>46187.57589</v>
      </c>
      <c r="B6818" s="126">
        <f>IFERROR(__xludf.DUMMYFUNCTION("""COMPUTED_VALUE"""),46187.0)</f>
        <v>46187</v>
      </c>
      <c r="C6818" s="130">
        <f>IFERROR(__xludf.DUMMYFUNCTION("""COMPUTED_VALUE"""),0.5758912037037037)</f>
        <v>0.5758912037</v>
      </c>
      <c r="D6818" s="122" t="str">
        <f>IFERROR(__xludf.DUMMYFUNCTION("""COMPUTED_VALUE"""),"RAMN")</f>
        <v>RAMN</v>
      </c>
      <c r="E6818" s="122" t="str">
        <f>IFERROR(__xludf.DUMMYFUNCTION("""COMPUTED_VALUE"""),"Ramen Republic")</f>
        <v>Ramen Republic</v>
      </c>
      <c r="F6818" s="122" t="str">
        <f>IFERROR(__xludf.DUMMYFUNCTION("""COMPUTED_VALUE"""),"Food")</f>
        <v>Food</v>
      </c>
    </row>
    <row r="6819">
      <c r="A6819" s="131">
        <f>IFERROR(__xludf.DUMMYFUNCTION("""COMPUTED_VALUE"""),46187.575891203705)</f>
        <v>46187.57589</v>
      </c>
      <c r="B6819" s="126">
        <f>IFERROR(__xludf.DUMMYFUNCTION("""COMPUTED_VALUE"""),46187.0)</f>
        <v>46187</v>
      </c>
      <c r="C6819" s="130">
        <f>IFERROR(__xludf.DUMMYFUNCTION("""COMPUTED_VALUE"""),0.5758912037037037)</f>
        <v>0.5758912037</v>
      </c>
      <c r="D6819" s="122" t="str">
        <f>IFERROR(__xludf.DUMMYFUNCTION("""COMPUTED_VALUE"""),"COLA")</f>
        <v>COLA</v>
      </c>
      <c r="E6819" s="122" t="str">
        <f>IFERROR(__xludf.DUMMYFUNCTION("""COMPUTED_VALUE"""),"K-Pop Cola")</f>
        <v>K-Pop Cola</v>
      </c>
      <c r="F6819" s="122" t="str">
        <f>IFERROR(__xludf.DUMMYFUNCTION("""COMPUTED_VALUE"""),"Beverage")</f>
        <v>Beverage</v>
      </c>
    </row>
    <row r="6820">
      <c r="A6820" s="131">
        <f>IFERROR(__xludf.DUMMYFUNCTION("""COMPUTED_VALUE"""),46187.575891203705)</f>
        <v>46187.57589</v>
      </c>
      <c r="B6820" s="126">
        <f>IFERROR(__xludf.DUMMYFUNCTION("""COMPUTED_VALUE"""),46187.0)</f>
        <v>46187</v>
      </c>
      <c r="C6820" s="130">
        <f>IFERROR(__xludf.DUMMYFUNCTION("""COMPUTED_VALUE"""),0.5758912037037037)</f>
        <v>0.5758912037</v>
      </c>
      <c r="D6820" s="122" t="str">
        <f>IFERROR(__xludf.DUMMYFUNCTION("""COMPUTED_VALUE"""),"CHIP")</f>
        <v>CHIP</v>
      </c>
      <c r="E6820" s="122" t="str">
        <f>IFERROR(__xludf.DUMMYFUNCTION("""COMPUTED_VALUE"""),"Chip Empire")</f>
        <v>Chip Empire</v>
      </c>
      <c r="F6820" s="122" t="str">
        <f>IFERROR(__xludf.DUMMYFUNCTION("""COMPUTED_VALUE"""),"Consumer Goods")</f>
        <v>Consumer Goods</v>
      </c>
    </row>
    <row r="6821">
      <c r="A6821" s="131">
        <f>IFERROR(__xludf.DUMMYFUNCTION("""COMPUTED_VALUE"""),46187.575891203705)</f>
        <v>46187.57589</v>
      </c>
      <c r="B6821" s="126">
        <f>IFERROR(__xludf.DUMMYFUNCTION("""COMPUTED_VALUE"""),46187.0)</f>
        <v>46187</v>
      </c>
      <c r="C6821" s="130">
        <f>IFERROR(__xludf.DUMMYFUNCTION("""COMPUTED_VALUE"""),0.5758912037037037)</f>
        <v>0.5758912037</v>
      </c>
      <c r="D6821" s="122" t="str">
        <f>IFERROR(__xludf.DUMMYFUNCTION("""COMPUTED_VALUE"""),"CAND")</f>
        <v>CAND</v>
      </c>
      <c r="E6821" s="122" t="str">
        <f>IFERROR(__xludf.DUMMYFUNCTION("""COMPUTED_VALUE"""),"Candy Capital")</f>
        <v>Candy Capital</v>
      </c>
      <c r="F6821" s="122" t="str">
        <f>IFERROR(__xludf.DUMMYFUNCTION("""COMPUTED_VALUE"""),"Consumer Goods")</f>
        <v>Consumer Goods</v>
      </c>
    </row>
    <row r="6822">
      <c r="A6822" s="131">
        <f>IFERROR(__xludf.DUMMYFUNCTION("""COMPUTED_VALUE"""),46187.575891203705)</f>
        <v>46187.57589</v>
      </c>
      <c r="B6822" s="126">
        <f>IFERROR(__xludf.DUMMYFUNCTION("""COMPUTED_VALUE"""),46187.0)</f>
        <v>46187</v>
      </c>
      <c r="C6822" s="130">
        <f>IFERROR(__xludf.DUMMYFUNCTION("""COMPUTED_VALUE"""),0.5758912037037037)</f>
        <v>0.5758912037</v>
      </c>
      <c r="D6822" s="122" t="str">
        <f>IFERROR(__xludf.DUMMYFUNCTION("""COMPUTED_VALUE"""),"TECH")</f>
        <v>TECH</v>
      </c>
      <c r="E6822" s="122" t="str">
        <f>IFERROR(__xludf.DUMMYFUNCTION("""COMPUTED_VALUE"""),"Dragon Tech")</f>
        <v>Dragon Tech</v>
      </c>
      <c r="F6822" s="122" t="str">
        <f>IFERROR(__xludf.DUMMYFUNCTION("""COMPUTED_VALUE"""),"Technology")</f>
        <v>Technology</v>
      </c>
    </row>
    <row r="6823">
      <c r="A6823" s="131">
        <f>IFERROR(__xludf.DUMMYFUNCTION("""COMPUTED_VALUE"""),46187.575891203705)</f>
        <v>46187.57589</v>
      </c>
      <c r="B6823" s="126">
        <f>IFERROR(__xludf.DUMMYFUNCTION("""COMPUTED_VALUE"""),46187.0)</f>
        <v>46187</v>
      </c>
      <c r="C6823" s="130">
        <f>IFERROR(__xludf.DUMMYFUNCTION("""COMPUTED_VALUE"""),0.5758912037037037)</f>
        <v>0.5758912037</v>
      </c>
      <c r="D6823" s="122" t="str">
        <f>IFERROR(__xludf.DUMMYFUNCTION("""COMPUTED_VALUE"""),"AIBO")</f>
        <v>AIBO</v>
      </c>
      <c r="E6823" s="122" t="str">
        <f>IFERROR(__xludf.DUMMYFUNCTION("""COMPUTED_VALUE"""),"Homework AI")</f>
        <v>Homework AI</v>
      </c>
      <c r="F6823" s="122" t="str">
        <f>IFERROR(__xludf.DUMMYFUNCTION("""COMPUTED_VALUE"""),"Technology")</f>
        <v>Technology</v>
      </c>
    </row>
    <row r="6824">
      <c r="A6824" s="131">
        <f>IFERROR(__xludf.DUMMYFUNCTION("""COMPUTED_VALUE"""),46187.575891203705)</f>
        <v>46187.57589</v>
      </c>
      <c r="B6824" s="126">
        <f>IFERROR(__xludf.DUMMYFUNCTION("""COMPUTED_VALUE"""),46187.0)</f>
        <v>46187</v>
      </c>
      <c r="C6824" s="130">
        <f>IFERROR(__xludf.DUMMYFUNCTION("""COMPUTED_VALUE"""),0.5758912037037037)</f>
        <v>0.5758912037</v>
      </c>
      <c r="D6824" s="122" t="str">
        <f>IFERROR(__xludf.DUMMYFUNCTION("""COMPUTED_VALUE"""),"GAME")</f>
        <v>GAME</v>
      </c>
      <c r="E6824" s="122" t="str">
        <f>IFERROR(__xludf.DUMMYFUNCTION("""COMPUTED_VALUE"""),"GameBox Media")</f>
        <v>GameBox Media</v>
      </c>
      <c r="F6824" s="122" t="str">
        <f>IFERROR(__xludf.DUMMYFUNCTION("""COMPUTED_VALUE"""),"Entertainment")</f>
        <v>Entertainment</v>
      </c>
    </row>
    <row r="6825">
      <c r="A6825" s="131">
        <f>IFERROR(__xludf.DUMMYFUNCTION("""COMPUTED_VALUE"""),46187.575891203705)</f>
        <v>46187.57589</v>
      </c>
      <c r="B6825" s="126">
        <f>IFERROR(__xludf.DUMMYFUNCTION("""COMPUTED_VALUE"""),46187.0)</f>
        <v>46187</v>
      </c>
      <c r="C6825" s="130">
        <f>IFERROR(__xludf.DUMMYFUNCTION("""COMPUTED_VALUE"""),0.5758912037037037)</f>
        <v>0.5758912037</v>
      </c>
      <c r="D6825" s="122" t="str">
        <f>IFERROR(__xludf.DUMMYFUNCTION("""COMPUTED_VALUE"""),"VRSE")</f>
        <v>VRSE</v>
      </c>
      <c r="E6825" s="122" t="str">
        <f>IFERROR(__xludf.DUMMYFUNCTION("""COMPUTED_VALUE"""),"VerseVR")</f>
        <v>VerseVR</v>
      </c>
      <c r="F6825" s="122" t="str">
        <f>IFERROR(__xludf.DUMMYFUNCTION("""COMPUTED_VALUE"""),"Technology")</f>
        <v>Technology</v>
      </c>
    </row>
    <row r="6826">
      <c r="A6826" s="131">
        <f>IFERROR(__xludf.DUMMYFUNCTION("""COMPUTED_VALUE"""),46187.575891203705)</f>
        <v>46187.57589</v>
      </c>
      <c r="B6826" s="126">
        <f>IFERROR(__xludf.DUMMYFUNCTION("""COMPUTED_VALUE"""),46187.0)</f>
        <v>46187</v>
      </c>
      <c r="C6826" s="130">
        <f>IFERROR(__xludf.DUMMYFUNCTION("""COMPUTED_VALUE"""),0.5758912037037037)</f>
        <v>0.5758912037</v>
      </c>
      <c r="D6826" s="122" t="str">
        <f>IFERROR(__xludf.DUMMYFUNCTION("""COMPUTED_VALUE"""),"BYTE")</f>
        <v>BYTE</v>
      </c>
      <c r="E6826" s="122" t="str">
        <f>IFERROR(__xludf.DUMMYFUNCTION("""COMPUTED_VALUE"""),"ByteWorks")</f>
        <v>ByteWorks</v>
      </c>
      <c r="F6826" s="122" t="str">
        <f>IFERROR(__xludf.DUMMYFUNCTION("""COMPUTED_VALUE"""),"Technology")</f>
        <v>Technology</v>
      </c>
    </row>
    <row r="6827">
      <c r="A6827" s="131">
        <f>IFERROR(__xludf.DUMMYFUNCTION("""COMPUTED_VALUE"""),46187.575891203705)</f>
        <v>46187.57589</v>
      </c>
      <c r="B6827" s="126">
        <f>IFERROR(__xludf.DUMMYFUNCTION("""COMPUTED_VALUE"""),46187.0)</f>
        <v>46187</v>
      </c>
      <c r="C6827" s="130">
        <f>IFERROR(__xludf.DUMMYFUNCTION("""COMPUTED_VALUE"""),0.5758912037037037)</f>
        <v>0.5758912037</v>
      </c>
      <c r="D6827" s="122" t="str">
        <f>IFERROR(__xludf.DUMMYFUNCTION("""COMPUTED_VALUE"""),"BANK")</f>
        <v>BANK</v>
      </c>
      <c r="E6827" s="122" t="str">
        <f>IFERROR(__xludf.DUMMYFUNCTION("""COMPUTED_VALUE"""),"Tiger Bank")</f>
        <v>Tiger Bank</v>
      </c>
      <c r="F6827" s="122" t="str">
        <f>IFERROR(__xludf.DUMMYFUNCTION("""COMPUTED_VALUE"""),"Finance")</f>
        <v>Finance</v>
      </c>
    </row>
    <row r="6828">
      <c r="A6828" s="131">
        <f>IFERROR(__xludf.DUMMYFUNCTION("""COMPUTED_VALUE"""),46187.575891203705)</f>
        <v>46187.57589</v>
      </c>
      <c r="B6828" s="126">
        <f>IFERROR(__xludf.DUMMYFUNCTION("""COMPUTED_VALUE"""),46187.0)</f>
        <v>46187</v>
      </c>
      <c r="C6828" s="130">
        <f>IFERROR(__xludf.DUMMYFUNCTION("""COMPUTED_VALUE"""),0.5758912037037037)</f>
        <v>0.5758912037</v>
      </c>
      <c r="D6828" s="122" t="str">
        <f>IFERROR(__xludf.DUMMYFUNCTION("""COMPUTED_VALUE"""),"CRED")</f>
        <v>CRED</v>
      </c>
      <c r="E6828" s="122" t="str">
        <f>IFERROR(__xludf.DUMMYFUNCTION("""COMPUTED_VALUE"""),"Credit Castle")</f>
        <v>Credit Castle</v>
      </c>
      <c r="F6828" s="122" t="str">
        <f>IFERROR(__xludf.DUMMYFUNCTION("""COMPUTED_VALUE"""),"Finance")</f>
        <v>Finance</v>
      </c>
    </row>
    <row r="6829">
      <c r="A6829" s="131">
        <f>IFERROR(__xludf.DUMMYFUNCTION("""COMPUTED_VALUE"""),46187.575891203705)</f>
        <v>46187.57589</v>
      </c>
      <c r="B6829" s="126">
        <f>IFERROR(__xludf.DUMMYFUNCTION("""COMPUTED_VALUE"""),46187.0)</f>
        <v>46187</v>
      </c>
      <c r="C6829" s="130">
        <f>IFERROR(__xludf.DUMMYFUNCTION("""COMPUTED_VALUE"""),0.5758912037037037)</f>
        <v>0.5758912037</v>
      </c>
      <c r="D6829" s="122" t="str">
        <f>IFERROR(__xludf.DUMMYFUNCTION("""COMPUTED_VALUE"""),"BOND")</f>
        <v>BOND</v>
      </c>
      <c r="E6829" s="122" t="str">
        <f>IFERROR(__xludf.DUMMYFUNCTION("""COMPUTED_VALUE"""),"BondBridge")</f>
        <v>BondBridge</v>
      </c>
      <c r="F6829" s="122" t="str">
        <f>IFERROR(__xludf.DUMMYFUNCTION("""COMPUTED_VALUE"""),"Finance")</f>
        <v>Finance</v>
      </c>
    </row>
    <row r="6830">
      <c r="A6830" s="131">
        <f>IFERROR(__xludf.DUMMYFUNCTION("""COMPUTED_VALUE"""),46187.575891203705)</f>
        <v>46187.57589</v>
      </c>
      <c r="B6830" s="126">
        <f>IFERROR(__xludf.DUMMYFUNCTION("""COMPUTED_VALUE"""),46187.0)</f>
        <v>46187</v>
      </c>
      <c r="C6830" s="130">
        <f>IFERROR(__xludf.DUMMYFUNCTION("""COMPUTED_VALUE"""),0.5758912037037037)</f>
        <v>0.5758912037</v>
      </c>
      <c r="D6830" s="122" t="str">
        <f>IFERROR(__xludf.DUMMYFUNCTION("""COMPUTED_VALUE"""),"INSR")</f>
        <v>INSR</v>
      </c>
      <c r="E6830" s="122" t="str">
        <f>IFERROR(__xludf.DUMMYFUNCTION("""COMPUTED_VALUE"""),"Shield Insurance")</f>
        <v>Shield Insurance</v>
      </c>
      <c r="F6830" s="122" t="str">
        <f>IFERROR(__xludf.DUMMYFUNCTION("""COMPUTED_VALUE"""),"Finance")</f>
        <v>Finance</v>
      </c>
    </row>
    <row r="6831">
      <c r="A6831" s="131">
        <f>IFERROR(__xludf.DUMMYFUNCTION("""COMPUTED_VALUE"""),46187.575891203705)</f>
        <v>46187.57589</v>
      </c>
      <c r="B6831" s="126">
        <f>IFERROR(__xludf.DUMMYFUNCTION("""COMPUTED_VALUE"""),46187.0)</f>
        <v>46187</v>
      </c>
      <c r="C6831" s="130">
        <f>IFERROR(__xludf.DUMMYFUNCTION("""COMPUTED_VALUE"""),0.5758912037037037)</f>
        <v>0.5758912037</v>
      </c>
      <c r="D6831" s="122" t="str">
        <f>IFERROR(__xludf.DUMMYFUNCTION("""COMPUTED_VALUE"""),"LOAN")</f>
        <v>LOAN</v>
      </c>
      <c r="E6831" s="122" t="str">
        <f>IFERROR(__xludf.DUMMYFUNCTION("""COMPUTED_VALUE"""),"LoanLab")</f>
        <v>LoanLab</v>
      </c>
      <c r="F6831" s="122" t="str">
        <f>IFERROR(__xludf.DUMMYFUNCTION("""COMPUTED_VALUE"""),"Finance")</f>
        <v>Finance</v>
      </c>
    </row>
    <row r="6832">
      <c r="A6832" s="131">
        <f>IFERROR(__xludf.DUMMYFUNCTION("""COMPUTED_VALUE"""),46187.575891203705)</f>
        <v>46187.57589</v>
      </c>
      <c r="B6832" s="126">
        <f>IFERROR(__xludf.DUMMYFUNCTION("""COMPUTED_VALUE"""),46187.0)</f>
        <v>46187</v>
      </c>
      <c r="C6832" s="130">
        <f>IFERROR(__xludf.DUMMYFUNCTION("""COMPUTED_VALUE"""),0.5758912037037037)</f>
        <v>0.5758912037</v>
      </c>
      <c r="D6832" s="122" t="str">
        <f>IFERROR(__xludf.DUMMYFUNCTION("""COMPUTED_VALUE"""),"LUXE")</f>
        <v>LUXE</v>
      </c>
      <c r="E6832" s="122" t="str">
        <f>IFERROR(__xludf.DUMMYFUNCTION("""COMPUTED_VALUE"""),"Luxury Locker")</f>
        <v>Luxury Locker</v>
      </c>
      <c r="F6832" s="122" t="str">
        <f>IFERROR(__xludf.DUMMYFUNCTION("""COMPUTED_VALUE"""),"Luxury Goods")</f>
        <v>Luxury Goods</v>
      </c>
    </row>
    <row r="6833">
      <c r="A6833" s="131">
        <f>IFERROR(__xludf.DUMMYFUNCTION("""COMPUTED_VALUE"""),46187.575891203705)</f>
        <v>46187.57589</v>
      </c>
      <c r="B6833" s="126">
        <f>IFERROR(__xludf.DUMMYFUNCTION("""COMPUTED_VALUE"""),46187.0)</f>
        <v>46187</v>
      </c>
      <c r="C6833" s="130">
        <f>IFERROR(__xludf.DUMMYFUNCTION("""COMPUTED_VALUE"""),0.5758912037037037)</f>
        <v>0.5758912037</v>
      </c>
      <c r="D6833" s="122" t="str">
        <f>IFERROR(__xludf.DUMMYFUNCTION("""COMPUTED_VALUE"""),"DRIP")</f>
        <v>DRIP</v>
      </c>
      <c r="E6833" s="122" t="str">
        <f>IFERROR(__xludf.DUMMYFUNCTION("""COMPUTED_VALUE"""),"Drip Streetwear")</f>
        <v>Drip Streetwear</v>
      </c>
      <c r="F6833" s="122" t="str">
        <f>IFERROR(__xludf.DUMMYFUNCTION("""COMPUTED_VALUE"""),"Fashion")</f>
        <v>Fashion</v>
      </c>
    </row>
    <row r="6834">
      <c r="A6834" s="131">
        <f>IFERROR(__xludf.DUMMYFUNCTION("""COMPUTED_VALUE"""),46187.575891203705)</f>
        <v>46187.57589</v>
      </c>
      <c r="B6834" s="126">
        <f>IFERROR(__xludf.DUMMYFUNCTION("""COMPUTED_VALUE"""),46187.0)</f>
        <v>46187</v>
      </c>
      <c r="C6834" s="130">
        <f>IFERROR(__xludf.DUMMYFUNCTION("""COMPUTED_VALUE"""),0.5758912037037037)</f>
        <v>0.5758912037</v>
      </c>
      <c r="D6834" s="122" t="str">
        <f>IFERROR(__xludf.DUMMYFUNCTION("""COMPUTED_VALUE"""),"KICK")</f>
        <v>KICK</v>
      </c>
      <c r="E6834" s="122" t="str">
        <f>IFERROR(__xludf.DUMMYFUNCTION("""COMPUTED_VALUE"""),"KickDrop Sneakers")</f>
        <v>KickDrop Sneakers</v>
      </c>
      <c r="F6834" s="122" t="str">
        <f>IFERROR(__xludf.DUMMYFUNCTION("""COMPUTED_VALUE"""),"Fashion")</f>
        <v>Fashion</v>
      </c>
    </row>
    <row r="6835">
      <c r="A6835" s="131">
        <f>IFERROR(__xludf.DUMMYFUNCTION("""COMPUTED_VALUE"""),46187.575891203705)</f>
        <v>46187.57589</v>
      </c>
      <c r="B6835" s="126">
        <f>IFERROR(__xludf.DUMMYFUNCTION("""COMPUTED_VALUE"""),46187.0)</f>
        <v>46187</v>
      </c>
      <c r="C6835" s="130">
        <f>IFERROR(__xludf.DUMMYFUNCTION("""COMPUTED_VALUE"""),0.5758912037037037)</f>
        <v>0.5758912037</v>
      </c>
      <c r="D6835" s="122" t="str">
        <f>IFERROR(__xludf.DUMMYFUNCTION("""COMPUTED_VALUE"""),"GLAM")</f>
        <v>GLAM</v>
      </c>
      <c r="E6835" s="122" t="str">
        <f>IFERROR(__xludf.DUMMYFUNCTION("""COMPUTED_VALUE"""),"Glow Cosmetics")</f>
        <v>Glow Cosmetics</v>
      </c>
      <c r="F6835" s="122" t="str">
        <f>IFERROR(__xludf.DUMMYFUNCTION("""COMPUTED_VALUE"""),"Fashion")</f>
        <v>Fashion</v>
      </c>
    </row>
    <row r="6836">
      <c r="A6836" s="131">
        <f>IFERROR(__xludf.DUMMYFUNCTION("""COMPUTED_VALUE"""),46187.575891203705)</f>
        <v>46187.57589</v>
      </c>
      <c r="B6836" s="126">
        <f>IFERROR(__xludf.DUMMYFUNCTION("""COMPUTED_VALUE"""),46187.0)</f>
        <v>46187</v>
      </c>
      <c r="C6836" s="130">
        <f>IFERROR(__xludf.DUMMYFUNCTION("""COMPUTED_VALUE"""),0.5758912037037037)</f>
        <v>0.5758912037</v>
      </c>
      <c r="D6836" s="122" t="str">
        <f>IFERROR(__xludf.DUMMYFUNCTION("""COMPUTED_VALUE"""),"BAGG")</f>
        <v>BAGG</v>
      </c>
      <c r="E6836" s="122" t="str">
        <f>IFERROR(__xludf.DUMMYFUNCTION("""COMPUTED_VALUE"""),"BagVault")</f>
        <v>BagVault</v>
      </c>
      <c r="F6836" s="122" t="str">
        <f>IFERROR(__xludf.DUMMYFUNCTION("""COMPUTED_VALUE"""),"Fashion")</f>
        <v>Fashion</v>
      </c>
    </row>
    <row r="6837">
      <c r="A6837" s="131">
        <f>IFERROR(__xludf.DUMMYFUNCTION("""COMPUTED_VALUE"""),46187.575891203705)</f>
        <v>46187.57589</v>
      </c>
      <c r="B6837" s="126">
        <f>IFERROR(__xludf.DUMMYFUNCTION("""COMPUTED_VALUE"""),46187.0)</f>
        <v>46187</v>
      </c>
      <c r="C6837" s="130">
        <f>IFERROR(__xludf.DUMMYFUNCTION("""COMPUTED_VALUE"""),0.5758912037037037)</f>
        <v>0.5758912037</v>
      </c>
      <c r="D6837" s="122" t="str">
        <f>IFERROR(__xludf.DUMMYFUNCTION("""COMPUTED_VALUE"""),"FAST")</f>
        <v>FAST</v>
      </c>
      <c r="E6837" s="122" t="str">
        <f>IFERROR(__xludf.DUMMYFUNCTION("""COMPUTED_VALUE"""),"Flash Logistics")</f>
        <v>Flash Logistics</v>
      </c>
      <c r="F6837" s="122" t="str">
        <f>IFERROR(__xludf.DUMMYFUNCTION("""COMPUTED_VALUE"""),"Logistics")</f>
        <v>Logistics</v>
      </c>
    </row>
    <row r="6838">
      <c r="A6838" s="131">
        <f>IFERROR(__xludf.DUMMYFUNCTION("""COMPUTED_VALUE"""),46187.575891203705)</f>
        <v>46187.57589</v>
      </c>
      <c r="B6838" s="126">
        <f>IFERROR(__xludf.DUMMYFUNCTION("""COMPUTED_VALUE"""),46187.0)</f>
        <v>46187</v>
      </c>
      <c r="C6838" s="130">
        <f>IFERROR(__xludf.DUMMYFUNCTION("""COMPUTED_VALUE"""),0.5758912037037037)</f>
        <v>0.5758912037</v>
      </c>
      <c r="D6838" s="122" t="str">
        <f>IFERROR(__xludf.DUMMYFUNCTION("""COMPUTED_VALUE"""),"SHIP")</f>
        <v>SHIP</v>
      </c>
      <c r="E6838" s="122" t="str">
        <f>IFERROR(__xludf.DUMMYFUNCTION("""COMPUTED_VALUE"""),"Seoul Shipping")</f>
        <v>Seoul Shipping</v>
      </c>
      <c r="F6838" s="122" t="str">
        <f>IFERROR(__xludf.DUMMYFUNCTION("""COMPUTED_VALUE"""),"Logistics")</f>
        <v>Logistics</v>
      </c>
    </row>
    <row r="6839">
      <c r="A6839" s="131">
        <f>IFERROR(__xludf.DUMMYFUNCTION("""COMPUTED_VALUE"""),46187.575891203705)</f>
        <v>46187.57589</v>
      </c>
      <c r="B6839" s="126">
        <f>IFERROR(__xludf.DUMMYFUNCTION("""COMPUTED_VALUE"""),46187.0)</f>
        <v>46187</v>
      </c>
      <c r="C6839" s="130">
        <f>IFERROR(__xludf.DUMMYFUNCTION("""COMPUTED_VALUE"""),0.5758912037037037)</f>
        <v>0.5758912037</v>
      </c>
      <c r="D6839" s="122" t="str">
        <f>IFERROR(__xludf.DUMMYFUNCTION("""COMPUTED_VALUE"""),"DRON")</f>
        <v>DRON</v>
      </c>
      <c r="E6839" s="122" t="str">
        <f>IFERROR(__xludf.DUMMYFUNCTION("""COMPUTED_VALUE"""),"DroneDrop")</f>
        <v>DroneDrop</v>
      </c>
      <c r="F6839" s="122" t="str">
        <f>IFERROR(__xludf.DUMMYFUNCTION("""COMPUTED_VALUE"""),"Logistics")</f>
        <v>Logistics</v>
      </c>
    </row>
    <row r="6840">
      <c r="A6840" s="131">
        <f>IFERROR(__xludf.DUMMYFUNCTION("""COMPUTED_VALUE"""),46187.575891203705)</f>
        <v>46187.57589</v>
      </c>
      <c r="B6840" s="126">
        <f>IFERROR(__xludf.DUMMYFUNCTION("""COMPUTED_VALUE"""),46187.0)</f>
        <v>46187</v>
      </c>
      <c r="C6840" s="130">
        <f>IFERROR(__xludf.DUMMYFUNCTION("""COMPUTED_VALUE"""),0.5758912037037037)</f>
        <v>0.5758912037</v>
      </c>
      <c r="D6840" s="122" t="str">
        <f>IFERROR(__xludf.DUMMYFUNCTION("""COMPUTED_VALUE"""),"RIDE")</f>
        <v>RIDE</v>
      </c>
      <c r="E6840" s="122" t="str">
        <f>IFERROR(__xludf.DUMMYFUNCTION("""COMPUTED_VALUE"""),"QuickRide")</f>
        <v>QuickRide</v>
      </c>
      <c r="F6840" s="122" t="str">
        <f>IFERROR(__xludf.DUMMYFUNCTION("""COMPUTED_VALUE"""),"Transportation")</f>
        <v>Transportation</v>
      </c>
    </row>
    <row r="6841">
      <c r="A6841" s="131">
        <f>IFERROR(__xludf.DUMMYFUNCTION("""COMPUTED_VALUE"""),46187.575891203705)</f>
        <v>46187.57589</v>
      </c>
      <c r="B6841" s="126">
        <f>IFERROR(__xludf.DUMMYFUNCTION("""COMPUTED_VALUE"""),46187.0)</f>
        <v>46187</v>
      </c>
      <c r="C6841" s="130">
        <f>IFERROR(__xludf.DUMMYFUNCTION("""COMPUTED_VALUE"""),0.5758912037037037)</f>
        <v>0.5758912037</v>
      </c>
      <c r="D6841" s="122" t="str">
        <f>IFERROR(__xludf.DUMMYFUNCTION("""COMPUTED_VALUE"""),"RAIL")</f>
        <v>RAIL</v>
      </c>
      <c r="E6841" s="122" t="str">
        <f>IFERROR(__xludf.DUMMYFUNCTION("""COMPUTED_VALUE"""),"MetroRail Corp")</f>
        <v>MetroRail Corp</v>
      </c>
      <c r="F6841" s="122" t="str">
        <f>IFERROR(__xludf.DUMMYFUNCTION("""COMPUTED_VALUE"""),"Transportation")</f>
        <v>Transportation</v>
      </c>
    </row>
    <row r="6842">
      <c r="A6842" s="131">
        <f>IFERROR(__xludf.DUMMYFUNCTION("""COMPUTED_VALUE"""),46187.575891203705)</f>
        <v>46187.57589</v>
      </c>
      <c r="B6842" s="126">
        <f>IFERROR(__xludf.DUMMYFUNCTION("""COMPUTED_VALUE"""),46187.0)</f>
        <v>46187</v>
      </c>
      <c r="C6842" s="130">
        <f>IFERROR(__xludf.DUMMYFUNCTION("""COMPUTED_VALUE"""),0.5758912037037037)</f>
        <v>0.5758912037</v>
      </c>
      <c r="D6842" s="122" t="str">
        <f>IFERROR(__xludf.DUMMYFUNCTION("""COMPUTED_VALUE"""),"MEDX")</f>
        <v>MEDX</v>
      </c>
      <c r="E6842" s="122" t="str">
        <f>IFERROR(__xludf.DUMMYFUNCTION("""COMPUTED_VALUE"""),"MediCore")</f>
        <v>MediCore</v>
      </c>
      <c r="F6842" s="122" t="str">
        <f>IFERROR(__xludf.DUMMYFUNCTION("""COMPUTED_VALUE"""),"Healthcare")</f>
        <v>Healthcare</v>
      </c>
    </row>
    <row r="6843">
      <c r="A6843" s="131">
        <f>IFERROR(__xludf.DUMMYFUNCTION("""COMPUTED_VALUE"""),46187.575891203705)</f>
        <v>46187.57589</v>
      </c>
      <c r="B6843" s="126">
        <f>IFERROR(__xludf.DUMMYFUNCTION("""COMPUTED_VALUE"""),46187.0)</f>
        <v>46187</v>
      </c>
      <c r="C6843" s="130">
        <f>IFERROR(__xludf.DUMMYFUNCTION("""COMPUTED_VALUE"""),0.5758912037037037)</f>
        <v>0.5758912037</v>
      </c>
      <c r="D6843" s="122" t="str">
        <f>IFERROR(__xludf.DUMMYFUNCTION("""COMPUTED_VALUE"""),"GYMX")</f>
        <v>GYMX</v>
      </c>
      <c r="E6843" s="122" t="str">
        <f>IFERROR(__xludf.DUMMYFUNCTION("""COMPUTED_VALUE"""),"GymX Fitness")</f>
        <v>GymX Fitness</v>
      </c>
      <c r="F6843" s="122" t="str">
        <f>IFERROR(__xludf.DUMMYFUNCTION("""COMPUTED_VALUE"""),"Healthcare")</f>
        <v>Healthcare</v>
      </c>
    </row>
    <row r="6844">
      <c r="A6844" s="131">
        <f>IFERROR(__xludf.DUMMYFUNCTION("""COMPUTED_VALUE"""),46187.575891203705)</f>
        <v>46187.57589</v>
      </c>
      <c r="B6844" s="126">
        <f>IFERROR(__xludf.DUMMYFUNCTION("""COMPUTED_VALUE"""),46187.0)</f>
        <v>46187</v>
      </c>
      <c r="C6844" s="130">
        <f>IFERROR(__xludf.DUMMYFUNCTION("""COMPUTED_VALUE"""),0.5758912037037037)</f>
        <v>0.5758912037</v>
      </c>
      <c r="D6844" s="122" t="str">
        <f>IFERROR(__xludf.DUMMYFUNCTION("""COMPUTED_VALUE"""),"VITA")</f>
        <v>VITA</v>
      </c>
      <c r="E6844" s="122" t="str">
        <f>IFERROR(__xludf.DUMMYFUNCTION("""COMPUTED_VALUE"""),"VitaPlus")</f>
        <v>VitaPlus</v>
      </c>
      <c r="F6844" s="122" t="str">
        <f>IFERROR(__xludf.DUMMYFUNCTION("""COMPUTED_VALUE"""),"Healthcare")</f>
        <v>Healthcare</v>
      </c>
    </row>
    <row r="6845">
      <c r="A6845" s="131">
        <f>IFERROR(__xludf.DUMMYFUNCTION("""COMPUTED_VALUE"""),46187.575891203705)</f>
        <v>46187.57589</v>
      </c>
      <c r="B6845" s="126">
        <f>IFERROR(__xludf.DUMMYFUNCTION("""COMPUTED_VALUE"""),46187.0)</f>
        <v>46187</v>
      </c>
      <c r="C6845" s="130">
        <f>IFERROR(__xludf.DUMMYFUNCTION("""COMPUTED_VALUE"""),0.5758912037037037)</f>
        <v>0.5758912037</v>
      </c>
      <c r="D6845" s="122" t="str">
        <f>IFERROR(__xludf.DUMMYFUNCTION("""COMPUTED_VALUE"""),"CARE")</f>
        <v>CARE</v>
      </c>
      <c r="E6845" s="122" t="str">
        <f>IFERROR(__xludf.DUMMYFUNCTION("""COMPUTED_VALUE"""),"CareCloud")</f>
        <v>CareCloud</v>
      </c>
      <c r="F6845" s="122" t="str">
        <f>IFERROR(__xludf.DUMMYFUNCTION("""COMPUTED_VALUE"""),"Healthcare")</f>
        <v>Healthcare</v>
      </c>
    </row>
    <row r="6846">
      <c r="A6846" s="131">
        <f>IFERROR(__xludf.DUMMYFUNCTION("""COMPUTED_VALUE"""),46187.575891203705)</f>
        <v>46187.57589</v>
      </c>
      <c r="B6846" s="126">
        <f>IFERROR(__xludf.DUMMYFUNCTION("""COMPUTED_VALUE"""),46187.0)</f>
        <v>46187</v>
      </c>
      <c r="C6846" s="130">
        <f>IFERROR(__xludf.DUMMYFUNCTION("""COMPUTED_VALUE"""),0.5758912037037037)</f>
        <v>0.5758912037</v>
      </c>
      <c r="D6846" s="122" t="str">
        <f>IFERROR(__xludf.DUMMYFUNCTION("""COMPUTED_VALUE"""),"DENT")</f>
        <v>DENT</v>
      </c>
      <c r="E6846" s="122" t="str">
        <f>IFERROR(__xludf.DUMMYFUNCTION("""COMPUTED_VALUE"""),"SmileWorks")</f>
        <v>SmileWorks</v>
      </c>
      <c r="F6846" s="122" t="str">
        <f>IFERROR(__xludf.DUMMYFUNCTION("""COMPUTED_VALUE"""),"Healthcare")</f>
        <v>Healthcare</v>
      </c>
    </row>
    <row r="6847">
      <c r="A6847" s="131">
        <f>IFERROR(__xludf.DUMMYFUNCTION("""COMPUTED_VALUE"""),46187.575891203705)</f>
        <v>46187.57589</v>
      </c>
      <c r="B6847" s="126">
        <f>IFERROR(__xludf.DUMMYFUNCTION("""COMPUTED_VALUE"""),46187.0)</f>
        <v>46187</v>
      </c>
      <c r="C6847" s="130">
        <f>IFERROR(__xludf.DUMMYFUNCTION("""COMPUTED_VALUE"""),0.5758912037037037)</f>
        <v>0.5758912037</v>
      </c>
      <c r="D6847" s="122" t="str">
        <f>IFERROR(__xludf.DUMMYFUNCTION("""COMPUTED_VALUE"""),"EDUX")</f>
        <v>EDUX</v>
      </c>
      <c r="E6847" s="122" t="str">
        <f>IFERROR(__xludf.DUMMYFUNCTION("""COMPUTED_VALUE"""),"EduMax Learning")</f>
        <v>EduMax Learning</v>
      </c>
      <c r="F6847" s="122" t="str">
        <f>IFERROR(__xludf.DUMMYFUNCTION("""COMPUTED_VALUE"""),"Education")</f>
        <v>Education</v>
      </c>
    </row>
    <row r="6848">
      <c r="A6848" s="131">
        <f>IFERROR(__xludf.DUMMYFUNCTION("""COMPUTED_VALUE"""),46187.575891203705)</f>
        <v>46187.57589</v>
      </c>
      <c r="B6848" s="126">
        <f>IFERROR(__xludf.DUMMYFUNCTION("""COMPUTED_VALUE"""),46187.0)</f>
        <v>46187</v>
      </c>
      <c r="C6848" s="130">
        <f>IFERROR(__xludf.DUMMYFUNCTION("""COMPUTED_VALUE"""),0.5758912037037037)</f>
        <v>0.5758912037</v>
      </c>
      <c r="D6848" s="122" t="str">
        <f>IFERROR(__xludf.DUMMYFUNCTION("""COMPUTED_VALUE"""),"BOOK")</f>
        <v>BOOK</v>
      </c>
      <c r="E6848" s="122" t="str">
        <f>IFERROR(__xludf.DUMMYFUNCTION("""COMPUTED_VALUE"""),"BookBridge")</f>
        <v>BookBridge</v>
      </c>
      <c r="F6848" s="122" t="str">
        <f>IFERROR(__xludf.DUMMYFUNCTION("""COMPUTED_VALUE"""),"Education")</f>
        <v>Education</v>
      </c>
    </row>
    <row r="6849">
      <c r="A6849" s="131">
        <f>IFERROR(__xludf.DUMMYFUNCTION("""COMPUTED_VALUE"""),46187.575891203705)</f>
        <v>46187.57589</v>
      </c>
      <c r="B6849" s="126">
        <f>IFERROR(__xludf.DUMMYFUNCTION("""COMPUTED_VALUE"""),46187.0)</f>
        <v>46187</v>
      </c>
      <c r="C6849" s="130">
        <f>IFERROR(__xludf.DUMMYFUNCTION("""COMPUTED_VALUE"""),0.5758912037037037)</f>
        <v>0.5758912037</v>
      </c>
      <c r="D6849" s="122" t="str">
        <f>IFERROR(__xludf.DUMMYFUNCTION("""COMPUTED_VALUE"""),"TUTR")</f>
        <v>TUTR</v>
      </c>
      <c r="E6849" s="122" t="str">
        <f>IFERROR(__xludf.DUMMYFUNCTION("""COMPUTED_VALUE"""),"TutorTown")</f>
        <v>TutorTown</v>
      </c>
      <c r="F6849" s="122" t="str">
        <f>IFERROR(__xludf.DUMMYFUNCTION("""COMPUTED_VALUE"""),"Education")</f>
        <v>Education</v>
      </c>
    </row>
    <row r="6850">
      <c r="A6850" s="131">
        <f>IFERROR(__xludf.DUMMYFUNCTION("""COMPUTED_VALUE"""),46187.575891203705)</f>
        <v>46187.57589</v>
      </c>
      <c r="B6850" s="126">
        <f>IFERROR(__xludf.DUMMYFUNCTION("""COMPUTED_VALUE"""),46187.0)</f>
        <v>46187</v>
      </c>
      <c r="C6850" s="130">
        <f>IFERROR(__xludf.DUMMYFUNCTION("""COMPUTED_VALUE"""),0.5758912037037037)</f>
        <v>0.5758912037</v>
      </c>
      <c r="D6850" s="122" t="str">
        <f>IFERROR(__xludf.DUMMYFUNCTION("""COMPUTED_VALUE"""),"LANG")</f>
        <v>LANG</v>
      </c>
      <c r="E6850" s="122" t="str">
        <f>IFERROR(__xludf.DUMMYFUNCTION("""COMPUTED_VALUE"""),"LinguaLab")</f>
        <v>LinguaLab</v>
      </c>
      <c r="F6850" s="122" t="str">
        <f>IFERROR(__xludf.DUMMYFUNCTION("""COMPUTED_VALUE"""),"Education")</f>
        <v>Education</v>
      </c>
    </row>
    <row r="6851">
      <c r="A6851" s="131">
        <f>IFERROR(__xludf.DUMMYFUNCTION("""COMPUTED_VALUE"""),46187.575891203705)</f>
        <v>46187.57589</v>
      </c>
      <c r="B6851" s="126">
        <f>IFERROR(__xludf.DUMMYFUNCTION("""COMPUTED_VALUE"""),46187.0)</f>
        <v>46187</v>
      </c>
      <c r="C6851" s="130">
        <f>IFERROR(__xludf.DUMMYFUNCTION("""COMPUTED_VALUE"""),0.5758912037037037)</f>
        <v>0.5758912037</v>
      </c>
      <c r="D6851" s="122" t="str">
        <f>IFERROR(__xludf.DUMMYFUNCTION("""COMPUTED_VALUE"""),"TEST")</f>
        <v>TEST</v>
      </c>
      <c r="E6851" s="122" t="str">
        <f>IFERROR(__xludf.DUMMYFUNCTION("""COMPUTED_VALUE"""),"TestPrep Pro")</f>
        <v>TestPrep Pro</v>
      </c>
      <c r="F6851" s="122" t="str">
        <f>IFERROR(__xludf.DUMMYFUNCTION("""COMPUTED_VALUE"""),"Education")</f>
        <v>Education</v>
      </c>
    </row>
    <row r="6852">
      <c r="A6852" s="131">
        <f>IFERROR(__xludf.DUMMYFUNCTION("""COMPUTED_VALUE"""),46187.575891203705)</f>
        <v>46187.57589</v>
      </c>
      <c r="B6852" s="126">
        <f>IFERROR(__xludf.DUMMYFUNCTION("""COMPUTED_VALUE"""),46187.0)</f>
        <v>46187</v>
      </c>
      <c r="C6852" s="130">
        <f>IFERROR(__xludf.DUMMYFUNCTION("""COMPUTED_VALUE"""),0.5758912037037037)</f>
        <v>0.5758912037</v>
      </c>
      <c r="D6852" s="122" t="str">
        <f>IFERROR(__xludf.DUMMYFUNCTION("""COMPUTED_VALUE"""),"MOVI")</f>
        <v>MOVI</v>
      </c>
      <c r="E6852" s="122" t="str">
        <f>IFERROR(__xludf.DUMMYFUNCTION("""COMPUTED_VALUE"""),"MovieBox")</f>
        <v>MovieBox</v>
      </c>
      <c r="F6852" s="122" t="str">
        <f>IFERROR(__xludf.DUMMYFUNCTION("""COMPUTED_VALUE"""),"Entertainment")</f>
        <v>Entertainment</v>
      </c>
    </row>
    <row r="6853">
      <c r="A6853" s="131">
        <f>IFERROR(__xludf.DUMMYFUNCTION("""COMPUTED_VALUE"""),46187.575891203705)</f>
        <v>46187.57589</v>
      </c>
      <c r="B6853" s="126">
        <f>IFERROR(__xludf.DUMMYFUNCTION("""COMPUTED_VALUE"""),46187.0)</f>
        <v>46187</v>
      </c>
      <c r="C6853" s="130">
        <f>IFERROR(__xludf.DUMMYFUNCTION("""COMPUTED_VALUE"""),0.5758912037037037)</f>
        <v>0.5758912037</v>
      </c>
      <c r="D6853" s="122" t="str">
        <f>IFERROR(__xludf.DUMMYFUNCTION("""COMPUTED_VALUE"""),"MUSC")</f>
        <v>MUSC</v>
      </c>
      <c r="E6853" s="122" t="str">
        <f>IFERROR(__xludf.DUMMYFUNCTION("""COMPUTED_VALUE"""),"MusicWave")</f>
        <v>MusicWave</v>
      </c>
      <c r="F6853" s="122" t="str">
        <f>IFERROR(__xludf.DUMMYFUNCTION("""COMPUTED_VALUE"""),"Entertainment")</f>
        <v>Entertainment</v>
      </c>
    </row>
    <row r="6854">
      <c r="A6854" s="131">
        <f>IFERROR(__xludf.DUMMYFUNCTION("""COMPUTED_VALUE"""),46187.575891203705)</f>
        <v>46187.57589</v>
      </c>
      <c r="B6854" s="126">
        <f>IFERROR(__xludf.DUMMYFUNCTION("""COMPUTED_VALUE"""),46187.0)</f>
        <v>46187</v>
      </c>
      <c r="C6854" s="130">
        <f>IFERROR(__xludf.DUMMYFUNCTION("""COMPUTED_VALUE"""),0.5758912037037037)</f>
        <v>0.5758912037</v>
      </c>
      <c r="D6854" s="122" t="str">
        <f>IFERROR(__xludf.DUMMYFUNCTION("""COMPUTED_VALUE"""),"IDOL")</f>
        <v>IDOL</v>
      </c>
      <c r="E6854" s="122" t="str">
        <f>IFERROR(__xludf.DUMMYFUNCTION("""COMPUTED_VALUE"""),"Idol Agency")</f>
        <v>Idol Agency</v>
      </c>
      <c r="F6854" s="122" t="str">
        <f>IFERROR(__xludf.DUMMYFUNCTION("""COMPUTED_VALUE"""),"Entertainment")</f>
        <v>Entertainment</v>
      </c>
    </row>
    <row r="6855">
      <c r="A6855" s="131">
        <f>IFERROR(__xludf.DUMMYFUNCTION("""COMPUTED_VALUE"""),46187.575891203705)</f>
        <v>46187.57589</v>
      </c>
      <c r="B6855" s="126">
        <f>IFERROR(__xludf.DUMMYFUNCTION("""COMPUTED_VALUE"""),46187.0)</f>
        <v>46187</v>
      </c>
      <c r="C6855" s="130">
        <f>IFERROR(__xludf.DUMMYFUNCTION("""COMPUTED_VALUE"""),0.5758912037037037)</f>
        <v>0.5758912037</v>
      </c>
      <c r="D6855" s="122" t="str">
        <f>IFERROR(__xludf.DUMMYFUNCTION("""COMPUTED_VALUE"""),"MEME")</f>
        <v>MEME</v>
      </c>
      <c r="E6855" s="122" t="str">
        <f>IFERROR(__xludf.DUMMYFUNCTION("""COMPUTED_VALUE"""),"Meme Media")</f>
        <v>Meme Media</v>
      </c>
      <c r="F6855" s="122" t="str">
        <f>IFERROR(__xludf.DUMMYFUNCTION("""COMPUTED_VALUE"""),"Entertainment")</f>
        <v>Entertainment</v>
      </c>
    </row>
    <row r="6856">
      <c r="A6856" s="131">
        <f>IFERROR(__xludf.DUMMYFUNCTION("""COMPUTED_VALUE"""),46187.575891203705)</f>
        <v>46187.57589</v>
      </c>
      <c r="B6856" s="126">
        <f>IFERROR(__xludf.DUMMYFUNCTION("""COMPUTED_VALUE"""),46187.0)</f>
        <v>46187</v>
      </c>
      <c r="C6856" s="130">
        <f>IFERROR(__xludf.DUMMYFUNCTION("""COMPUTED_VALUE"""),0.5758912037037037)</f>
        <v>0.5758912037</v>
      </c>
      <c r="D6856" s="122" t="str">
        <f>IFERROR(__xludf.DUMMYFUNCTION("""COMPUTED_VALUE"""),"STRM")</f>
        <v>STRM</v>
      </c>
      <c r="E6856" s="122" t="str">
        <f>IFERROR(__xludf.DUMMYFUNCTION("""COMPUTED_VALUE"""),"Streamly")</f>
        <v>Streamly</v>
      </c>
      <c r="F6856" s="122" t="str">
        <f>IFERROR(__xludf.DUMMYFUNCTION("""COMPUTED_VALUE"""),"Entertainment")</f>
        <v>Entertainment</v>
      </c>
    </row>
    <row r="6857">
      <c r="A6857" s="131">
        <f>IFERROR(__xludf.DUMMYFUNCTION("""COMPUTED_VALUE"""),46187.575891203705)</f>
        <v>46187.57589</v>
      </c>
      <c r="B6857" s="126">
        <f>IFERROR(__xludf.DUMMYFUNCTION("""COMPUTED_VALUE"""),46187.0)</f>
        <v>46187</v>
      </c>
      <c r="C6857" s="130">
        <f>IFERROR(__xludf.DUMMYFUNCTION("""COMPUTED_VALUE"""),0.5758912037037037)</f>
        <v>0.5758912037</v>
      </c>
      <c r="D6857" s="122" t="str">
        <f>IFERROR(__xludf.DUMMYFUNCTION("""COMPUTED_VALUE"""),"FARM")</f>
        <v>FARM</v>
      </c>
      <c r="E6857" s="122" t="str">
        <f>IFERROR(__xludf.DUMMYFUNCTION("""COMPUTED_VALUE"""),"Future Farms")</f>
        <v>Future Farms</v>
      </c>
      <c r="F6857" s="122" t="str">
        <f>IFERROR(__xludf.DUMMYFUNCTION("""COMPUTED_VALUE"""),"Agriculture")</f>
        <v>Agriculture</v>
      </c>
    </row>
    <row r="6858">
      <c r="A6858" s="131">
        <f>IFERROR(__xludf.DUMMYFUNCTION("""COMPUTED_VALUE"""),46187.575891203705)</f>
        <v>46187.57589</v>
      </c>
      <c r="B6858" s="126">
        <f>IFERROR(__xludf.DUMMYFUNCTION("""COMPUTED_VALUE"""),46187.0)</f>
        <v>46187</v>
      </c>
      <c r="C6858" s="130">
        <f>IFERROR(__xludf.DUMMYFUNCTION("""COMPUTED_VALUE"""),0.5758912037037037)</f>
        <v>0.5758912037</v>
      </c>
      <c r="D6858" s="122" t="str">
        <f>IFERROR(__xludf.DUMMYFUNCTION("""COMPUTED_VALUE"""),"MEAT")</f>
        <v>MEAT</v>
      </c>
      <c r="E6858" s="122" t="str">
        <f>IFERROR(__xludf.DUMMYFUNCTION("""COMPUTED_VALUE"""),"MeatWorks")</f>
        <v>MeatWorks</v>
      </c>
      <c r="F6858" s="122" t="str">
        <f>IFERROR(__xludf.DUMMYFUNCTION("""COMPUTED_VALUE"""),"Food")</f>
        <v>Food</v>
      </c>
    </row>
    <row r="6859">
      <c r="A6859" s="131">
        <f>IFERROR(__xludf.DUMMYFUNCTION("""COMPUTED_VALUE"""),46187.575891203705)</f>
        <v>46187.57589</v>
      </c>
      <c r="B6859" s="126">
        <f>IFERROR(__xludf.DUMMYFUNCTION("""COMPUTED_VALUE"""),46187.0)</f>
        <v>46187</v>
      </c>
      <c r="C6859" s="130">
        <f>IFERROR(__xludf.DUMMYFUNCTION("""COMPUTED_VALUE"""),0.5758912037037037)</f>
        <v>0.5758912037</v>
      </c>
      <c r="D6859" s="122" t="str">
        <f>IFERROR(__xludf.DUMMYFUNCTION("""COMPUTED_VALUE"""),"VEGI")</f>
        <v>VEGI</v>
      </c>
      <c r="E6859" s="122" t="str">
        <f>IFERROR(__xludf.DUMMYFUNCTION("""COMPUTED_VALUE"""),"Green Basket")</f>
        <v>Green Basket</v>
      </c>
      <c r="F6859" s="122" t="str">
        <f>IFERROR(__xludf.DUMMYFUNCTION("""COMPUTED_VALUE"""),"Food")</f>
        <v>Food</v>
      </c>
    </row>
    <row r="6860">
      <c r="A6860" s="131">
        <f>IFERROR(__xludf.DUMMYFUNCTION("""COMPUTED_VALUE"""),46187.575891203705)</f>
        <v>46187.57589</v>
      </c>
      <c r="B6860" s="126">
        <f>IFERROR(__xludf.DUMMYFUNCTION("""COMPUTED_VALUE"""),46187.0)</f>
        <v>46187</v>
      </c>
      <c r="C6860" s="130">
        <f>IFERROR(__xludf.DUMMYFUNCTION("""COMPUTED_VALUE"""),0.5758912037037037)</f>
        <v>0.5758912037</v>
      </c>
      <c r="D6860" s="122" t="str">
        <f>IFERROR(__xludf.DUMMYFUNCTION("""COMPUTED_VALUE"""),"CAFE")</f>
        <v>CAFE</v>
      </c>
      <c r="E6860" s="122" t="str">
        <f>IFERROR(__xludf.DUMMYFUNCTION("""COMPUTED_VALUE"""),"Cafe Cloud")</f>
        <v>Cafe Cloud</v>
      </c>
      <c r="F6860" s="122" t="str">
        <f>IFERROR(__xludf.DUMMYFUNCTION("""COMPUTED_VALUE"""),"Food")</f>
        <v>Food</v>
      </c>
    </row>
    <row r="6861">
      <c r="A6861" s="131">
        <f>IFERROR(__xludf.DUMMYFUNCTION("""COMPUTED_VALUE"""),46187.575891203705)</f>
        <v>46187.57589</v>
      </c>
      <c r="B6861" s="126">
        <f>IFERROR(__xludf.DUMMYFUNCTION("""COMPUTED_VALUE"""),46187.0)</f>
        <v>46187</v>
      </c>
      <c r="C6861" s="130">
        <f>IFERROR(__xludf.DUMMYFUNCTION("""COMPUTED_VALUE"""),0.5758912037037037)</f>
        <v>0.5758912037</v>
      </c>
      <c r="D6861" s="122" t="str">
        <f>IFERROR(__xludf.DUMMYFUNCTION("""COMPUTED_VALUE"""),"BAKE")</f>
        <v>BAKE</v>
      </c>
      <c r="E6861" s="122" t="str">
        <f>IFERROR(__xludf.DUMMYFUNCTION("""COMPUTED_VALUE"""),"BakeHouse")</f>
        <v>BakeHouse</v>
      </c>
      <c r="F6861" s="122" t="str">
        <f>IFERROR(__xludf.DUMMYFUNCTION("""COMPUTED_VALUE"""),"Food")</f>
        <v>Food</v>
      </c>
    </row>
    <row r="6862">
      <c r="A6862" s="131">
        <f>IFERROR(__xludf.DUMMYFUNCTION("""COMPUTED_VALUE"""),46187.575891203705)</f>
        <v>46187.57589</v>
      </c>
      <c r="B6862" s="126">
        <f>IFERROR(__xludf.DUMMYFUNCTION("""COMPUTED_VALUE"""),46187.0)</f>
        <v>46187</v>
      </c>
      <c r="C6862" s="130">
        <f>IFERROR(__xludf.DUMMYFUNCTION("""COMPUTED_VALUE"""),0.5758912037037037)</f>
        <v>0.5758912037</v>
      </c>
      <c r="D6862" s="122" t="str">
        <f>IFERROR(__xludf.DUMMYFUNCTION("""COMPUTED_VALUE"""),"OILX")</f>
        <v>OILX</v>
      </c>
      <c r="E6862" s="122" t="str">
        <f>IFERROR(__xludf.DUMMYFUNCTION("""COMPUTED_VALUE"""),"OilMax Energy")</f>
        <v>OilMax Energy</v>
      </c>
      <c r="F6862" s="122" t="str">
        <f>IFERROR(__xludf.DUMMYFUNCTION("""COMPUTED_VALUE"""),"Energy")</f>
        <v>Energy</v>
      </c>
    </row>
    <row r="6863">
      <c r="A6863" s="131">
        <f>IFERROR(__xludf.DUMMYFUNCTION("""COMPUTED_VALUE"""),46187.575891203705)</f>
        <v>46187.57589</v>
      </c>
      <c r="B6863" s="126">
        <f>IFERROR(__xludf.DUMMYFUNCTION("""COMPUTED_VALUE"""),46187.0)</f>
        <v>46187</v>
      </c>
      <c r="C6863" s="130">
        <f>IFERROR(__xludf.DUMMYFUNCTION("""COMPUTED_VALUE"""),0.5758912037037037)</f>
        <v>0.5758912037</v>
      </c>
      <c r="D6863" s="122" t="str">
        <f>IFERROR(__xludf.DUMMYFUNCTION("""COMPUTED_VALUE"""),"SOLR")</f>
        <v>SOLR</v>
      </c>
      <c r="E6863" s="122" t="str">
        <f>IFERROR(__xludf.DUMMYFUNCTION("""COMPUTED_VALUE"""),"SolarSpark")</f>
        <v>SolarSpark</v>
      </c>
      <c r="F6863" s="122" t="str">
        <f>IFERROR(__xludf.DUMMYFUNCTION("""COMPUTED_VALUE"""),"Energy")</f>
        <v>Energy</v>
      </c>
    </row>
    <row r="6864">
      <c r="A6864" s="131">
        <f>IFERROR(__xludf.DUMMYFUNCTION("""COMPUTED_VALUE"""),46187.575891203705)</f>
        <v>46187.57589</v>
      </c>
      <c r="B6864" s="126">
        <f>IFERROR(__xludf.DUMMYFUNCTION("""COMPUTED_VALUE"""),46187.0)</f>
        <v>46187</v>
      </c>
      <c r="C6864" s="130">
        <f>IFERROR(__xludf.DUMMYFUNCTION("""COMPUTED_VALUE"""),0.5758912037037037)</f>
        <v>0.5758912037</v>
      </c>
      <c r="D6864" s="122" t="str">
        <f>IFERROR(__xludf.DUMMYFUNCTION("""COMPUTED_VALUE"""),"BATT")</f>
        <v>BATT</v>
      </c>
      <c r="E6864" s="122" t="str">
        <f>IFERROR(__xludf.DUMMYFUNCTION("""COMPUTED_VALUE"""),"BatteryBox")</f>
        <v>BatteryBox</v>
      </c>
      <c r="F6864" s="122" t="str">
        <f>IFERROR(__xludf.DUMMYFUNCTION("""COMPUTED_VALUE"""),"Energy")</f>
        <v>Energy</v>
      </c>
    </row>
    <row r="6865">
      <c r="A6865" s="131">
        <f>IFERROR(__xludf.DUMMYFUNCTION("""COMPUTED_VALUE"""),46187.575891203705)</f>
        <v>46187.57589</v>
      </c>
      <c r="B6865" s="126">
        <f>IFERROR(__xludf.DUMMYFUNCTION("""COMPUTED_VALUE"""),46187.0)</f>
        <v>46187</v>
      </c>
      <c r="C6865" s="130">
        <f>IFERROR(__xludf.DUMMYFUNCTION("""COMPUTED_VALUE"""),0.5758912037037037)</f>
        <v>0.5758912037</v>
      </c>
      <c r="D6865" s="122" t="str">
        <f>IFERROR(__xludf.DUMMYFUNCTION("""COMPUTED_VALUE"""),"WIND")</f>
        <v>WIND</v>
      </c>
      <c r="E6865" s="122" t="str">
        <f>IFERROR(__xludf.DUMMYFUNCTION("""COMPUTED_VALUE"""),"WindWorks")</f>
        <v>WindWorks</v>
      </c>
      <c r="F6865" s="122" t="str">
        <f>IFERROR(__xludf.DUMMYFUNCTION("""COMPUTED_VALUE"""),"Energy")</f>
        <v>Energy</v>
      </c>
    </row>
    <row r="6866">
      <c r="A6866" s="131">
        <f>IFERROR(__xludf.DUMMYFUNCTION("""COMPUTED_VALUE"""),46187.575891203705)</f>
        <v>46187.57589</v>
      </c>
      <c r="B6866" s="126">
        <f>IFERROR(__xludf.DUMMYFUNCTION("""COMPUTED_VALUE"""),46187.0)</f>
        <v>46187</v>
      </c>
      <c r="C6866" s="130">
        <f>IFERROR(__xludf.DUMMYFUNCTION("""COMPUTED_VALUE"""),0.5758912037037037)</f>
        <v>0.5758912037</v>
      </c>
      <c r="D6866" s="122" t="str">
        <f>IFERROR(__xludf.DUMMYFUNCTION("""COMPUTED_VALUE"""),"GRID")</f>
        <v>GRID</v>
      </c>
      <c r="E6866" s="122" t="str">
        <f>IFERROR(__xludf.DUMMYFUNCTION("""COMPUTED_VALUE"""),"GridPower")</f>
        <v>GridPower</v>
      </c>
      <c r="F6866" s="122" t="str">
        <f>IFERROR(__xludf.DUMMYFUNCTION("""COMPUTED_VALUE"""),"Energy")</f>
        <v>Energy</v>
      </c>
    </row>
    <row r="6867">
      <c r="A6867" s="131">
        <f>IFERROR(__xludf.DUMMYFUNCTION("""COMPUTED_VALUE"""),46187.575891203705)</f>
        <v>46187.57589</v>
      </c>
      <c r="B6867" s="126">
        <f>IFERROR(__xludf.DUMMYFUNCTION("""COMPUTED_VALUE"""),46187.0)</f>
        <v>46187</v>
      </c>
      <c r="C6867" s="130">
        <f>IFERROR(__xludf.DUMMYFUNCTION("""COMPUTED_VALUE"""),0.5758912037037037)</f>
        <v>0.5758912037</v>
      </c>
      <c r="D6867" s="122" t="str">
        <f>IFERROR(__xludf.DUMMYFUNCTION("""COMPUTED_VALUE"""),"HOME")</f>
        <v>HOME</v>
      </c>
      <c r="E6867" s="122" t="str">
        <f>IFERROR(__xludf.DUMMYFUNCTION("""COMPUTED_VALUE"""),"HomeHub")</f>
        <v>HomeHub</v>
      </c>
      <c r="F6867" s="122" t="str">
        <f>IFERROR(__xludf.DUMMYFUNCTION("""COMPUTED_VALUE"""),"Real Estate")</f>
        <v>Real Estate</v>
      </c>
    </row>
    <row r="6868">
      <c r="A6868" s="131">
        <f>IFERROR(__xludf.DUMMYFUNCTION("""COMPUTED_VALUE"""),46187.575891203705)</f>
        <v>46187.57589</v>
      </c>
      <c r="B6868" s="126">
        <f>IFERROR(__xludf.DUMMYFUNCTION("""COMPUTED_VALUE"""),46187.0)</f>
        <v>46187</v>
      </c>
      <c r="C6868" s="130">
        <f>IFERROR(__xludf.DUMMYFUNCTION("""COMPUTED_VALUE"""),0.5758912037037037)</f>
        <v>0.5758912037</v>
      </c>
      <c r="D6868" s="122" t="str">
        <f>IFERROR(__xludf.DUMMYFUNCTION("""COMPUTED_VALUE"""),"RENT")</f>
        <v>RENT</v>
      </c>
      <c r="E6868" s="122" t="str">
        <f>IFERROR(__xludf.DUMMYFUNCTION("""COMPUTED_VALUE"""),"RentRight")</f>
        <v>RentRight</v>
      </c>
      <c r="F6868" s="122" t="str">
        <f>IFERROR(__xludf.DUMMYFUNCTION("""COMPUTED_VALUE"""),"Real Estate")</f>
        <v>Real Estate</v>
      </c>
    </row>
    <row r="6869">
      <c r="A6869" s="131">
        <f>IFERROR(__xludf.DUMMYFUNCTION("""COMPUTED_VALUE"""),46187.575891203705)</f>
        <v>46187.57589</v>
      </c>
      <c r="B6869" s="126">
        <f>IFERROR(__xludf.DUMMYFUNCTION("""COMPUTED_VALUE"""),46187.0)</f>
        <v>46187</v>
      </c>
      <c r="C6869" s="130">
        <f>IFERROR(__xludf.DUMMYFUNCTION("""COMPUTED_VALUE"""),0.5758912037037037)</f>
        <v>0.5758912037</v>
      </c>
      <c r="D6869" s="122" t="str">
        <f>IFERROR(__xludf.DUMMYFUNCTION("""COMPUTED_VALUE"""),"MALL")</f>
        <v>MALL</v>
      </c>
      <c r="E6869" s="122" t="str">
        <f>IFERROR(__xludf.DUMMYFUNCTION("""COMPUTED_VALUE"""),"MegaMall")</f>
        <v>MegaMall</v>
      </c>
      <c r="F6869" s="122" t="str">
        <f>IFERROR(__xludf.DUMMYFUNCTION("""COMPUTED_VALUE"""),"Real Estate")</f>
        <v>Real Estate</v>
      </c>
    </row>
    <row r="6870">
      <c r="A6870" s="131">
        <f>IFERROR(__xludf.DUMMYFUNCTION("""COMPUTED_VALUE"""),46187.575891203705)</f>
        <v>46187.57589</v>
      </c>
      <c r="B6870" s="126">
        <f>IFERROR(__xludf.DUMMYFUNCTION("""COMPUTED_VALUE"""),46187.0)</f>
        <v>46187</v>
      </c>
      <c r="C6870" s="130">
        <f>IFERROR(__xludf.DUMMYFUNCTION("""COMPUTED_VALUE"""),0.5758912037037037)</f>
        <v>0.5758912037</v>
      </c>
      <c r="D6870" s="122" t="str">
        <f>IFERROR(__xludf.DUMMYFUNCTION("""COMPUTED_VALUE"""),"HOTL")</f>
        <v>HOTL</v>
      </c>
      <c r="E6870" s="122" t="str">
        <f>IFERROR(__xludf.DUMMYFUNCTION("""COMPUTED_VALUE"""),"HotelHive")</f>
        <v>HotelHive</v>
      </c>
      <c r="F6870" s="122" t="str">
        <f>IFERROR(__xludf.DUMMYFUNCTION("""COMPUTED_VALUE"""),"Real Estate")</f>
        <v>Real Estate</v>
      </c>
    </row>
    <row r="6871">
      <c r="A6871" s="131">
        <f>IFERROR(__xludf.DUMMYFUNCTION("""COMPUTED_VALUE"""),46187.575891203705)</f>
        <v>46187.57589</v>
      </c>
      <c r="B6871" s="126">
        <f>IFERROR(__xludf.DUMMYFUNCTION("""COMPUTED_VALUE"""),46187.0)</f>
        <v>46187</v>
      </c>
      <c r="C6871" s="130">
        <f>IFERROR(__xludf.DUMMYFUNCTION("""COMPUTED_VALUE"""),0.5758912037037037)</f>
        <v>0.5758912037</v>
      </c>
      <c r="D6871" s="122" t="str">
        <f>IFERROR(__xludf.DUMMYFUNCTION("""COMPUTED_VALUE"""),"LAND")</f>
        <v>LAND</v>
      </c>
      <c r="E6871" s="122" t="str">
        <f>IFERROR(__xludf.DUMMYFUNCTION("""COMPUTED_VALUE"""),"LandLink")</f>
        <v>LandLink</v>
      </c>
      <c r="F6871" s="122" t="str">
        <f>IFERROR(__xludf.DUMMYFUNCTION("""COMPUTED_VALUE"""),"Real Estate")</f>
        <v>Real Estate</v>
      </c>
    </row>
    <row r="6872">
      <c r="A6872" s="131">
        <f>IFERROR(__xludf.DUMMYFUNCTION("""COMPUTED_VALUE"""),46187.575891203705)</f>
        <v>46187.57589</v>
      </c>
      <c r="B6872" s="126">
        <f>IFERROR(__xludf.DUMMYFUNCTION("""COMPUTED_VALUE"""),46187.0)</f>
        <v>46187</v>
      </c>
      <c r="C6872" s="130">
        <f>IFERROR(__xludf.DUMMYFUNCTION("""COMPUTED_VALUE"""),0.5758912037037037)</f>
        <v>0.5758912037</v>
      </c>
      <c r="D6872" s="122" t="str">
        <f>IFERROR(__xludf.DUMMYFUNCTION("""COMPUTED_VALUE"""),"CARS")</f>
        <v>CARS</v>
      </c>
      <c r="E6872" s="122" t="str">
        <f>IFERROR(__xludf.DUMMYFUNCTION("""COMPUTED_VALUE"""),"AutoArena")</f>
        <v>AutoArena</v>
      </c>
      <c r="F6872" s="122" t="str">
        <f>IFERROR(__xludf.DUMMYFUNCTION("""COMPUTED_VALUE"""),"Automotive")</f>
        <v>Automotive</v>
      </c>
    </row>
    <row r="6873">
      <c r="A6873" s="131">
        <f>IFERROR(__xludf.DUMMYFUNCTION("""COMPUTED_VALUE"""),46187.575891203705)</f>
        <v>46187.57589</v>
      </c>
      <c r="B6873" s="126">
        <f>IFERROR(__xludf.DUMMYFUNCTION("""COMPUTED_VALUE"""),46187.0)</f>
        <v>46187</v>
      </c>
      <c r="C6873" s="130">
        <f>IFERROR(__xludf.DUMMYFUNCTION("""COMPUTED_VALUE"""),0.5758912037037037)</f>
        <v>0.5758912037</v>
      </c>
      <c r="D6873" s="122" t="str">
        <f>IFERROR(__xludf.DUMMYFUNCTION("""COMPUTED_VALUE"""),"EVGO")</f>
        <v>EVGO</v>
      </c>
      <c r="E6873" s="122" t="str">
        <f>IFERROR(__xludf.DUMMYFUNCTION("""COMPUTED_VALUE"""),"EVGo Motors")</f>
        <v>EVGo Motors</v>
      </c>
      <c r="F6873" s="122" t="str">
        <f>IFERROR(__xludf.DUMMYFUNCTION("""COMPUTED_VALUE"""),"Automotive")</f>
        <v>Automotive</v>
      </c>
    </row>
    <row r="6874">
      <c r="A6874" s="131">
        <f>IFERROR(__xludf.DUMMYFUNCTION("""COMPUTED_VALUE"""),46187.575891203705)</f>
        <v>46187.57589</v>
      </c>
      <c r="B6874" s="126">
        <f>IFERROR(__xludf.DUMMYFUNCTION("""COMPUTED_VALUE"""),46187.0)</f>
        <v>46187</v>
      </c>
      <c r="C6874" s="130">
        <f>IFERROR(__xludf.DUMMYFUNCTION("""COMPUTED_VALUE"""),0.5758912037037037)</f>
        <v>0.5758912037</v>
      </c>
      <c r="D6874" s="122" t="str">
        <f>IFERROR(__xludf.DUMMYFUNCTION("""COMPUTED_VALUE"""),"TIRE")</f>
        <v>TIRE</v>
      </c>
      <c r="E6874" s="122" t="str">
        <f>IFERROR(__xludf.DUMMYFUNCTION("""COMPUTED_VALUE"""),"TireTown")</f>
        <v>TireTown</v>
      </c>
      <c r="F6874" s="122" t="str">
        <f>IFERROR(__xludf.DUMMYFUNCTION("""COMPUTED_VALUE"""),"Automotive")</f>
        <v>Automotive</v>
      </c>
    </row>
    <row r="6875">
      <c r="A6875" s="131">
        <f>IFERROR(__xludf.DUMMYFUNCTION("""COMPUTED_VALUE"""),46187.575891203705)</f>
        <v>46187.57589</v>
      </c>
      <c r="B6875" s="126">
        <f>IFERROR(__xludf.DUMMYFUNCTION("""COMPUTED_VALUE"""),46187.0)</f>
        <v>46187</v>
      </c>
      <c r="C6875" s="130">
        <f>IFERROR(__xludf.DUMMYFUNCTION("""COMPUTED_VALUE"""),0.5758912037037037)</f>
        <v>0.5758912037</v>
      </c>
      <c r="D6875" s="122" t="str">
        <f>IFERROR(__xludf.DUMMYFUNCTION("""COMPUTED_VALUE"""),"BIKE")</f>
        <v>BIKE</v>
      </c>
      <c r="E6875" s="122" t="str">
        <f>IFERROR(__xludf.DUMMYFUNCTION("""COMPUTED_VALUE"""),"BikeBox")</f>
        <v>BikeBox</v>
      </c>
      <c r="F6875" s="122" t="str">
        <f>IFERROR(__xludf.DUMMYFUNCTION("""COMPUTED_VALUE"""),"Automotive")</f>
        <v>Automotive</v>
      </c>
    </row>
    <row r="6876">
      <c r="A6876" s="131">
        <f>IFERROR(__xludf.DUMMYFUNCTION("""COMPUTED_VALUE"""),46187.575891203705)</f>
        <v>46187.57589</v>
      </c>
      <c r="B6876" s="126">
        <f>IFERROR(__xludf.DUMMYFUNCTION("""COMPUTED_VALUE"""),46187.0)</f>
        <v>46187</v>
      </c>
      <c r="C6876" s="130">
        <f>IFERROR(__xludf.DUMMYFUNCTION("""COMPUTED_VALUE"""),0.5758912037037037)</f>
        <v>0.5758912037</v>
      </c>
      <c r="D6876" s="122" t="str">
        <f>IFERROR(__xludf.DUMMYFUNCTION("""COMPUTED_VALUE"""),"WASH")</f>
        <v>WASH</v>
      </c>
      <c r="E6876" s="122" t="str">
        <f>IFERROR(__xludf.DUMMYFUNCTION("""COMPUTED_VALUE"""),"CarWash Co")</f>
        <v>CarWash Co</v>
      </c>
      <c r="F6876" s="122" t="str">
        <f>IFERROR(__xludf.DUMMYFUNCTION("""COMPUTED_VALUE"""),"Automotive")</f>
        <v>Automotive</v>
      </c>
    </row>
    <row r="6877">
      <c r="A6877" s="131">
        <f>IFERROR(__xludf.DUMMYFUNCTION("""COMPUTED_VALUE"""),46187.575891203705)</f>
        <v>46187.57589</v>
      </c>
      <c r="B6877" s="126">
        <f>IFERROR(__xludf.DUMMYFUNCTION("""COMPUTED_VALUE"""),46187.0)</f>
        <v>46187</v>
      </c>
      <c r="C6877" s="130">
        <f>IFERROR(__xludf.DUMMYFUNCTION("""COMPUTED_VALUE"""),0.5758912037037037)</f>
        <v>0.5758912037</v>
      </c>
      <c r="D6877" s="122" t="str">
        <f>IFERROR(__xludf.DUMMYFUNCTION("""COMPUTED_VALUE"""),"GBND")</f>
        <v>GBND</v>
      </c>
      <c r="E6877" s="122" t="str">
        <f>IFERROR(__xludf.DUMMYFUNCTION("""COMPUTED_VALUE"""),"Classroom Government Bond")</f>
        <v>Classroom Government Bond</v>
      </c>
      <c r="F6877" s="122" t="str">
        <f>IFERROR(__xludf.DUMMYFUNCTION("""COMPUTED_VALUE"""),"Bond")</f>
        <v>Bond</v>
      </c>
    </row>
    <row r="6878">
      <c r="A6878" s="131">
        <f>IFERROR(__xludf.DUMMYFUNCTION("""COMPUTED_VALUE"""),46187.575891203705)</f>
        <v>46187.57589</v>
      </c>
      <c r="B6878" s="126">
        <f>IFERROR(__xludf.DUMMYFUNCTION("""COMPUTED_VALUE"""),46187.0)</f>
        <v>46187</v>
      </c>
      <c r="C6878" s="130">
        <f>IFERROR(__xludf.DUMMYFUNCTION("""COMPUTED_VALUE"""),0.5758912037037037)</f>
        <v>0.5758912037</v>
      </c>
      <c r="D6878" s="122" t="str">
        <f>IFERROR(__xludf.DUMMYFUNCTION("""COMPUTED_VALUE"""),"SBND")</f>
        <v>SBND</v>
      </c>
      <c r="E6878" s="122" t="str">
        <f>IFERROR(__xludf.DUMMYFUNCTION("""COMPUTED_VALUE"""),"School Savings Bond")</f>
        <v>School Savings Bond</v>
      </c>
      <c r="F6878" s="122" t="str">
        <f>IFERROR(__xludf.DUMMYFUNCTION("""COMPUTED_VALUE"""),"Bond")</f>
        <v>Bond</v>
      </c>
    </row>
    <row r="6879">
      <c r="A6879" s="131">
        <f>IFERROR(__xludf.DUMMYFUNCTION("""COMPUTED_VALUE"""),46187.575891203705)</f>
        <v>46187.57589</v>
      </c>
      <c r="B6879" s="126">
        <f>IFERROR(__xludf.DUMMYFUNCTION("""COMPUTED_VALUE"""),46187.0)</f>
        <v>46187</v>
      </c>
      <c r="C6879" s="130">
        <f>IFERROR(__xludf.DUMMYFUNCTION("""COMPUTED_VALUE"""),0.5758912037037037)</f>
        <v>0.5758912037</v>
      </c>
      <c r="D6879" s="122" t="str">
        <f>IFERROR(__xludf.DUMMYFUNCTION("""COMPUTED_VALUE"""),"CBND")</f>
        <v>CBND</v>
      </c>
      <c r="E6879" s="122" t="str">
        <f>IFERROR(__xludf.DUMMYFUNCTION("""COMPUTED_VALUE"""),"Corporate Classroom Bond")</f>
        <v>Corporate Classroom Bond</v>
      </c>
      <c r="F6879" s="122" t="str">
        <f>IFERROR(__xludf.DUMMYFUNCTION("""COMPUTED_VALUE"""),"Bond")</f>
        <v>Bond</v>
      </c>
    </row>
    <row r="6880">
      <c r="A6880" s="131">
        <f>IFERROR(__xludf.DUMMYFUNCTION("""COMPUTED_VALUE"""),46187.575891203705)</f>
        <v>46187.57589</v>
      </c>
      <c r="B6880" s="126">
        <f>IFERROR(__xludf.DUMMYFUNCTION("""COMPUTED_VALUE"""),46187.0)</f>
        <v>46187</v>
      </c>
      <c r="C6880" s="130">
        <f>IFERROR(__xludf.DUMMYFUNCTION("""COMPUTED_VALUE"""),0.5758912037037037)</f>
        <v>0.5758912037</v>
      </c>
      <c r="D6880" s="122" t="str">
        <f>IFERROR(__xludf.DUMMYFUNCTION("""COMPUTED_VALUE"""),"TBIL")</f>
        <v>TBIL</v>
      </c>
      <c r="E6880" s="122" t="str">
        <f>IFERROR(__xludf.DUMMYFUNCTION("""COMPUTED_VALUE"""),"Treasury Bill")</f>
        <v>Treasury Bill</v>
      </c>
      <c r="F6880" s="122" t="str">
        <f>IFERROR(__xludf.DUMMYFUNCTION("""COMPUTED_VALUE"""),"Bond")</f>
        <v>Bond</v>
      </c>
    </row>
    <row r="6881">
      <c r="A6881" s="131">
        <f>IFERROR(__xludf.DUMMYFUNCTION("""COMPUTED_VALUE"""),46187.575891203705)</f>
        <v>46187.57589</v>
      </c>
      <c r="B6881" s="126">
        <f>IFERROR(__xludf.DUMMYFUNCTION("""COMPUTED_VALUE"""),46187.0)</f>
        <v>46187</v>
      </c>
      <c r="C6881" s="130">
        <f>IFERROR(__xludf.DUMMYFUNCTION("""COMPUTED_VALUE"""),0.5758912037037037)</f>
        <v>0.5758912037</v>
      </c>
      <c r="D6881" s="122" t="str">
        <f>IFERROR(__xludf.DUMMYFUNCTION("""COMPUTED_VALUE"""),"IBND")</f>
        <v>IBND</v>
      </c>
      <c r="E6881" s="122" t="str">
        <f>IFERROR(__xludf.DUMMYFUNCTION("""COMPUTED_VALUE"""),"Inflation Protected Bond")</f>
        <v>Inflation Protected Bond</v>
      </c>
      <c r="F6881" s="122" t="str">
        <f>IFERROR(__xludf.DUMMYFUNCTION("""COMPUTED_VALUE"""),"Bond")</f>
        <v>Bond</v>
      </c>
    </row>
    <row r="6882">
      <c r="A6882" s="131">
        <f>IFERROR(__xludf.DUMMYFUNCTION("""COMPUTED_VALUE"""),46187.57787037037)</f>
        <v>46187.57787</v>
      </c>
      <c r="B6882" s="126">
        <f>IFERROR(__xludf.DUMMYFUNCTION("""COMPUTED_VALUE"""),46187.0)</f>
        <v>46187</v>
      </c>
      <c r="C6882" s="122" t="str">
        <f>IFERROR(__xludf.DUMMYFUNCTION("""COMPUTED_VALUE"""),"SNAX")</f>
        <v>SNAX</v>
      </c>
      <c r="D6882" s="122" t="str">
        <f>IFERROR(__xludf.DUMMYFUNCTION("""COMPUTED_VALUE"""),"MICA Snacks")</f>
        <v>MICA Snacks</v>
      </c>
      <c r="E6882" s="122">
        <f>IFERROR(__xludf.DUMMYFUNCTION("""COMPUTED_VALUE"""),121.66)</f>
        <v>121.66</v>
      </c>
      <c r="F6882" s="122">
        <f>IFERROR(__xludf.DUMMYFUNCTION("""COMPUTED_VALUE"""),0.0027)</f>
        <v>0.0027</v>
      </c>
    </row>
    <row r="6883">
      <c r="A6883" s="131">
        <f>IFERROR(__xludf.DUMMYFUNCTION("""COMPUTED_VALUE"""),46187.57787037037)</f>
        <v>46187.57787</v>
      </c>
      <c r="B6883" s="126">
        <f>IFERROR(__xludf.DUMMYFUNCTION("""COMPUTED_VALUE"""),46187.0)</f>
        <v>46187</v>
      </c>
      <c r="C6883" s="122" t="str">
        <f>IFERROR(__xludf.DUMMYFUNCTION("""COMPUTED_VALUE"""),"RAMN")</f>
        <v>RAMN</v>
      </c>
      <c r="D6883" s="122" t="str">
        <f>IFERROR(__xludf.DUMMYFUNCTION("""COMPUTED_VALUE"""),"Ramen Republic")</f>
        <v>Ramen Republic</v>
      </c>
      <c r="E6883" s="122">
        <f>IFERROR(__xludf.DUMMYFUNCTION("""COMPUTED_VALUE"""),65.42)</f>
        <v>65.42</v>
      </c>
      <c r="F6883" s="122">
        <f>IFERROR(__xludf.DUMMYFUNCTION("""COMPUTED_VALUE"""),-9.0E-4)</f>
        <v>-0.0009</v>
      </c>
    </row>
    <row r="6884">
      <c r="A6884" s="131">
        <f>IFERROR(__xludf.DUMMYFUNCTION("""COMPUTED_VALUE"""),46187.57787037037)</f>
        <v>46187.57787</v>
      </c>
      <c r="B6884" s="126">
        <f>IFERROR(__xludf.DUMMYFUNCTION("""COMPUTED_VALUE"""),46187.0)</f>
        <v>46187</v>
      </c>
      <c r="C6884" s="122" t="str">
        <f>IFERROR(__xludf.DUMMYFUNCTION("""COMPUTED_VALUE"""),"COLA")</f>
        <v>COLA</v>
      </c>
      <c r="D6884" s="122" t="str">
        <f>IFERROR(__xludf.DUMMYFUNCTION("""COMPUTED_VALUE"""),"K-Pop Cola")</f>
        <v>K-Pop Cola</v>
      </c>
      <c r="E6884" s="122">
        <f>IFERROR(__xludf.DUMMYFUNCTION("""COMPUTED_VALUE"""),114.06)</f>
        <v>114.06</v>
      </c>
      <c r="F6884" s="122">
        <f>IFERROR(__xludf.DUMMYFUNCTION("""COMPUTED_VALUE"""),0.0035)</f>
        <v>0.0035</v>
      </c>
    </row>
    <row r="6885">
      <c r="A6885" s="131">
        <f>IFERROR(__xludf.DUMMYFUNCTION("""COMPUTED_VALUE"""),46187.57787037037)</f>
        <v>46187.57787</v>
      </c>
      <c r="B6885" s="126">
        <f>IFERROR(__xludf.DUMMYFUNCTION("""COMPUTED_VALUE"""),46187.0)</f>
        <v>46187</v>
      </c>
      <c r="C6885" s="122" t="str">
        <f>IFERROR(__xludf.DUMMYFUNCTION("""COMPUTED_VALUE"""),"CHIP")</f>
        <v>CHIP</v>
      </c>
      <c r="D6885" s="122" t="str">
        <f>IFERROR(__xludf.DUMMYFUNCTION("""COMPUTED_VALUE"""),"Chip Empire")</f>
        <v>Chip Empire</v>
      </c>
      <c r="E6885" s="122">
        <f>IFERROR(__xludf.DUMMYFUNCTION("""COMPUTED_VALUE"""),82.9)</f>
        <v>82.9</v>
      </c>
      <c r="F6885" s="122">
        <f>IFERROR(__xludf.DUMMYFUNCTION("""COMPUTED_VALUE"""),-0.0059)</f>
        <v>-0.0059</v>
      </c>
    </row>
    <row r="6886">
      <c r="A6886" s="131">
        <f>IFERROR(__xludf.DUMMYFUNCTION("""COMPUTED_VALUE"""),46187.57787037037)</f>
        <v>46187.57787</v>
      </c>
      <c r="B6886" s="126">
        <f>IFERROR(__xludf.DUMMYFUNCTION("""COMPUTED_VALUE"""),46187.0)</f>
        <v>46187</v>
      </c>
      <c r="C6886" s="122" t="str">
        <f>IFERROR(__xludf.DUMMYFUNCTION("""COMPUTED_VALUE"""),"CAND")</f>
        <v>CAND</v>
      </c>
      <c r="D6886" s="122" t="str">
        <f>IFERROR(__xludf.DUMMYFUNCTION("""COMPUTED_VALUE"""),"Candy Capital")</f>
        <v>Candy Capital</v>
      </c>
      <c r="E6886" s="122">
        <f>IFERROR(__xludf.DUMMYFUNCTION("""COMPUTED_VALUE"""),76.89)</f>
        <v>76.89</v>
      </c>
      <c r="F6886" s="122">
        <f>IFERROR(__xludf.DUMMYFUNCTION("""COMPUTED_VALUE"""),9.0E-4)</f>
        <v>0.0009</v>
      </c>
    </row>
    <row r="6887">
      <c r="A6887" s="131">
        <f>IFERROR(__xludf.DUMMYFUNCTION("""COMPUTED_VALUE"""),46187.57787037037)</f>
        <v>46187.57787</v>
      </c>
      <c r="B6887" s="126">
        <f>IFERROR(__xludf.DUMMYFUNCTION("""COMPUTED_VALUE"""),46187.0)</f>
        <v>46187</v>
      </c>
      <c r="C6887" s="122" t="str">
        <f>IFERROR(__xludf.DUMMYFUNCTION("""COMPUTED_VALUE"""),"TECH")</f>
        <v>TECH</v>
      </c>
      <c r="D6887" s="122" t="str">
        <f>IFERROR(__xludf.DUMMYFUNCTION("""COMPUTED_VALUE"""),"Dragon Tech")</f>
        <v>Dragon Tech</v>
      </c>
      <c r="E6887" s="122">
        <f>IFERROR(__xludf.DUMMYFUNCTION("""COMPUTED_VALUE"""),249.57)</f>
        <v>249.57</v>
      </c>
      <c r="F6887" s="122">
        <f>IFERROR(__xludf.DUMMYFUNCTION("""COMPUTED_VALUE"""),-0.0079)</f>
        <v>-0.0079</v>
      </c>
    </row>
    <row r="6888">
      <c r="A6888" s="131">
        <f>IFERROR(__xludf.DUMMYFUNCTION("""COMPUTED_VALUE"""),46187.57787037037)</f>
        <v>46187.57787</v>
      </c>
      <c r="B6888" s="126">
        <f>IFERROR(__xludf.DUMMYFUNCTION("""COMPUTED_VALUE"""),46187.0)</f>
        <v>46187</v>
      </c>
      <c r="C6888" s="122" t="str">
        <f>IFERROR(__xludf.DUMMYFUNCTION("""COMPUTED_VALUE"""),"AIBO")</f>
        <v>AIBO</v>
      </c>
      <c r="D6888" s="122" t="str">
        <f>IFERROR(__xludf.DUMMYFUNCTION("""COMPUTED_VALUE"""),"Homework AI")</f>
        <v>Homework AI</v>
      </c>
      <c r="E6888" s="122">
        <f>IFERROR(__xludf.DUMMYFUNCTION("""COMPUTED_VALUE"""),191.01)</f>
        <v>191.01</v>
      </c>
      <c r="F6888" s="122">
        <f>IFERROR(__xludf.DUMMYFUNCTION("""COMPUTED_VALUE"""),0.0076)</f>
        <v>0.0076</v>
      </c>
    </row>
    <row r="6889">
      <c r="A6889" s="131">
        <f>IFERROR(__xludf.DUMMYFUNCTION("""COMPUTED_VALUE"""),46187.57787037037)</f>
        <v>46187.57787</v>
      </c>
      <c r="B6889" s="126">
        <f>IFERROR(__xludf.DUMMYFUNCTION("""COMPUTED_VALUE"""),46187.0)</f>
        <v>46187</v>
      </c>
      <c r="C6889" s="122" t="str">
        <f>IFERROR(__xludf.DUMMYFUNCTION("""COMPUTED_VALUE"""),"GAME")</f>
        <v>GAME</v>
      </c>
      <c r="D6889" s="122" t="str">
        <f>IFERROR(__xludf.DUMMYFUNCTION("""COMPUTED_VALUE"""),"GameBox Media")</f>
        <v>GameBox Media</v>
      </c>
      <c r="E6889" s="122">
        <f>IFERROR(__xludf.DUMMYFUNCTION("""COMPUTED_VALUE"""),101.69)</f>
        <v>101.69</v>
      </c>
      <c r="F6889" s="122">
        <f>IFERROR(__xludf.DUMMYFUNCTION("""COMPUTED_VALUE"""),-6.0E-4)</f>
        <v>-0.0006</v>
      </c>
    </row>
    <row r="6890">
      <c r="A6890" s="131">
        <f>IFERROR(__xludf.DUMMYFUNCTION("""COMPUTED_VALUE"""),46187.57787037037)</f>
        <v>46187.57787</v>
      </c>
      <c r="B6890" s="126">
        <f>IFERROR(__xludf.DUMMYFUNCTION("""COMPUTED_VALUE"""),46187.0)</f>
        <v>46187</v>
      </c>
      <c r="C6890" s="122" t="str">
        <f>IFERROR(__xludf.DUMMYFUNCTION("""COMPUTED_VALUE"""),"VRSE")</f>
        <v>VRSE</v>
      </c>
      <c r="D6890" s="122" t="str">
        <f>IFERROR(__xludf.DUMMYFUNCTION("""COMPUTED_VALUE"""),"VerseVR")</f>
        <v>VerseVR</v>
      </c>
      <c r="E6890" s="122">
        <f>IFERROR(__xludf.DUMMYFUNCTION("""COMPUTED_VALUE"""),146.08)</f>
        <v>146.08</v>
      </c>
      <c r="F6890" s="122">
        <f>IFERROR(__xludf.DUMMYFUNCTION("""COMPUTED_VALUE"""),-0.0063)</f>
        <v>-0.0063</v>
      </c>
    </row>
    <row r="6891">
      <c r="A6891" s="131">
        <f>IFERROR(__xludf.DUMMYFUNCTION("""COMPUTED_VALUE"""),46187.57787037037)</f>
        <v>46187.57787</v>
      </c>
      <c r="B6891" s="126">
        <f>IFERROR(__xludf.DUMMYFUNCTION("""COMPUTED_VALUE"""),46187.0)</f>
        <v>46187</v>
      </c>
      <c r="C6891" s="122" t="str">
        <f>IFERROR(__xludf.DUMMYFUNCTION("""COMPUTED_VALUE"""),"BYTE")</f>
        <v>BYTE</v>
      </c>
      <c r="D6891" s="122" t="str">
        <f>IFERROR(__xludf.DUMMYFUNCTION("""COMPUTED_VALUE"""),"ByteWorks")</f>
        <v>ByteWorks</v>
      </c>
      <c r="E6891" s="122">
        <f>IFERROR(__xludf.DUMMYFUNCTION("""COMPUTED_VALUE"""),116.75)</f>
        <v>116.75</v>
      </c>
      <c r="F6891" s="122">
        <f>IFERROR(__xludf.DUMMYFUNCTION("""COMPUTED_VALUE"""),0.0054)</f>
        <v>0.0054</v>
      </c>
    </row>
    <row r="6892">
      <c r="A6892" s="131">
        <f>IFERROR(__xludf.DUMMYFUNCTION("""COMPUTED_VALUE"""),46187.57787037037)</f>
        <v>46187.57787</v>
      </c>
      <c r="B6892" s="126">
        <f>IFERROR(__xludf.DUMMYFUNCTION("""COMPUTED_VALUE"""),46187.0)</f>
        <v>46187</v>
      </c>
      <c r="C6892" s="122" t="str">
        <f>IFERROR(__xludf.DUMMYFUNCTION("""COMPUTED_VALUE"""),"BANK")</f>
        <v>BANK</v>
      </c>
      <c r="D6892" s="122" t="str">
        <f>IFERROR(__xludf.DUMMYFUNCTION("""COMPUTED_VALUE"""),"Tiger Bank")</f>
        <v>Tiger Bank</v>
      </c>
      <c r="E6892" s="122">
        <f>IFERROR(__xludf.DUMMYFUNCTION("""COMPUTED_VALUE"""),130.99)</f>
        <v>130.99</v>
      </c>
      <c r="F6892" s="122">
        <f>IFERROR(__xludf.DUMMYFUNCTION("""COMPUTED_VALUE"""),0.0024)</f>
        <v>0.0024</v>
      </c>
    </row>
    <row r="6893">
      <c r="A6893" s="131">
        <f>IFERROR(__xludf.DUMMYFUNCTION("""COMPUTED_VALUE"""),46187.57787037037)</f>
        <v>46187.57787</v>
      </c>
      <c r="B6893" s="126">
        <f>IFERROR(__xludf.DUMMYFUNCTION("""COMPUTED_VALUE"""),46187.0)</f>
        <v>46187</v>
      </c>
      <c r="C6893" s="122" t="str">
        <f>IFERROR(__xludf.DUMMYFUNCTION("""COMPUTED_VALUE"""),"CRED")</f>
        <v>CRED</v>
      </c>
      <c r="D6893" s="122" t="str">
        <f>IFERROR(__xludf.DUMMYFUNCTION("""COMPUTED_VALUE"""),"Credit Castle")</f>
        <v>Credit Castle</v>
      </c>
      <c r="E6893" s="122">
        <f>IFERROR(__xludf.DUMMYFUNCTION("""COMPUTED_VALUE"""),67.56)</f>
        <v>67.56</v>
      </c>
      <c r="F6893" s="122">
        <f>IFERROR(__xludf.DUMMYFUNCTION("""COMPUTED_VALUE"""),0.0028)</f>
        <v>0.0028</v>
      </c>
    </row>
    <row r="6894">
      <c r="A6894" s="131">
        <f>IFERROR(__xludf.DUMMYFUNCTION("""COMPUTED_VALUE"""),46187.57787037037)</f>
        <v>46187.57787</v>
      </c>
      <c r="B6894" s="126">
        <f>IFERROR(__xludf.DUMMYFUNCTION("""COMPUTED_VALUE"""),46187.0)</f>
        <v>46187</v>
      </c>
      <c r="C6894" s="122" t="str">
        <f>IFERROR(__xludf.DUMMYFUNCTION("""COMPUTED_VALUE"""),"BOND")</f>
        <v>BOND</v>
      </c>
      <c r="D6894" s="122" t="str">
        <f>IFERROR(__xludf.DUMMYFUNCTION("""COMPUTED_VALUE"""),"BondBridge")</f>
        <v>BondBridge</v>
      </c>
      <c r="E6894" s="122">
        <f>IFERROR(__xludf.DUMMYFUNCTION("""COMPUTED_VALUE"""),102.93)</f>
        <v>102.93</v>
      </c>
      <c r="F6894" s="122">
        <f>IFERROR(__xludf.DUMMYFUNCTION("""COMPUTED_VALUE"""),-7.0E-4)</f>
        <v>-0.0007</v>
      </c>
    </row>
    <row r="6895">
      <c r="A6895" s="131">
        <f>IFERROR(__xludf.DUMMYFUNCTION("""COMPUTED_VALUE"""),46187.57787037037)</f>
        <v>46187.57787</v>
      </c>
      <c r="B6895" s="126">
        <f>IFERROR(__xludf.DUMMYFUNCTION("""COMPUTED_VALUE"""),46187.0)</f>
        <v>46187</v>
      </c>
      <c r="C6895" s="122" t="str">
        <f>IFERROR(__xludf.DUMMYFUNCTION("""COMPUTED_VALUE"""),"INSR")</f>
        <v>INSR</v>
      </c>
      <c r="D6895" s="122" t="str">
        <f>IFERROR(__xludf.DUMMYFUNCTION("""COMPUTED_VALUE"""),"Shield Insurance")</f>
        <v>Shield Insurance</v>
      </c>
      <c r="E6895" s="122">
        <f>IFERROR(__xludf.DUMMYFUNCTION("""COMPUTED_VALUE"""),158.67)</f>
        <v>158.67</v>
      </c>
      <c r="F6895" s="122">
        <f>IFERROR(__xludf.DUMMYFUNCTION("""COMPUTED_VALUE"""),-0.0021)</f>
        <v>-0.0021</v>
      </c>
    </row>
    <row r="6896">
      <c r="A6896" s="131">
        <f>IFERROR(__xludf.DUMMYFUNCTION("""COMPUTED_VALUE"""),46187.57787037037)</f>
        <v>46187.57787</v>
      </c>
      <c r="B6896" s="126">
        <f>IFERROR(__xludf.DUMMYFUNCTION("""COMPUTED_VALUE"""),46187.0)</f>
        <v>46187</v>
      </c>
      <c r="C6896" s="122" t="str">
        <f>IFERROR(__xludf.DUMMYFUNCTION("""COMPUTED_VALUE"""),"LOAN")</f>
        <v>LOAN</v>
      </c>
      <c r="D6896" s="122" t="str">
        <f>IFERROR(__xludf.DUMMYFUNCTION("""COMPUTED_VALUE"""),"LoanLab")</f>
        <v>LoanLab</v>
      </c>
      <c r="E6896" s="122">
        <f>IFERROR(__xludf.DUMMYFUNCTION("""COMPUTED_VALUE"""),68.9)</f>
        <v>68.9</v>
      </c>
      <c r="F6896" s="122">
        <f>IFERROR(__xludf.DUMMYFUNCTION("""COMPUTED_VALUE"""),0.0016)</f>
        <v>0.0016</v>
      </c>
    </row>
    <row r="6897">
      <c r="A6897" s="131">
        <f>IFERROR(__xludf.DUMMYFUNCTION("""COMPUTED_VALUE"""),46187.57787037037)</f>
        <v>46187.57787</v>
      </c>
      <c r="B6897" s="126">
        <f>IFERROR(__xludf.DUMMYFUNCTION("""COMPUTED_VALUE"""),46187.0)</f>
        <v>46187</v>
      </c>
      <c r="C6897" s="122" t="str">
        <f>IFERROR(__xludf.DUMMYFUNCTION("""COMPUTED_VALUE"""),"LUXE")</f>
        <v>LUXE</v>
      </c>
      <c r="D6897" s="122" t="str">
        <f>IFERROR(__xludf.DUMMYFUNCTION("""COMPUTED_VALUE"""),"Luxury Locker")</f>
        <v>Luxury Locker</v>
      </c>
      <c r="E6897" s="122">
        <f>IFERROR(__xludf.DUMMYFUNCTION("""COMPUTED_VALUE"""),267.67)</f>
        <v>267.67</v>
      </c>
      <c r="F6897" s="122">
        <f>IFERROR(__xludf.DUMMYFUNCTION("""COMPUTED_VALUE"""),-4.0E-4)</f>
        <v>-0.0004</v>
      </c>
    </row>
    <row r="6898">
      <c r="A6898" s="131">
        <f>IFERROR(__xludf.DUMMYFUNCTION("""COMPUTED_VALUE"""),46187.57787037037)</f>
        <v>46187.57787</v>
      </c>
      <c r="B6898" s="126">
        <f>IFERROR(__xludf.DUMMYFUNCTION("""COMPUTED_VALUE"""),46187.0)</f>
        <v>46187</v>
      </c>
      <c r="C6898" s="122" t="str">
        <f>IFERROR(__xludf.DUMMYFUNCTION("""COMPUTED_VALUE"""),"DRIP")</f>
        <v>DRIP</v>
      </c>
      <c r="D6898" s="122" t="str">
        <f>IFERROR(__xludf.DUMMYFUNCTION("""COMPUTED_VALUE"""),"Drip Streetwear")</f>
        <v>Drip Streetwear</v>
      </c>
      <c r="E6898" s="122">
        <f>IFERROR(__xludf.DUMMYFUNCTION("""COMPUTED_VALUE"""),193.8)</f>
        <v>193.8</v>
      </c>
      <c r="F6898" s="122">
        <f>IFERROR(__xludf.DUMMYFUNCTION("""COMPUTED_VALUE"""),0.0053)</f>
        <v>0.0053</v>
      </c>
    </row>
    <row r="6899">
      <c r="A6899" s="131">
        <f>IFERROR(__xludf.DUMMYFUNCTION("""COMPUTED_VALUE"""),46187.57787037037)</f>
        <v>46187.57787</v>
      </c>
      <c r="B6899" s="126">
        <f>IFERROR(__xludf.DUMMYFUNCTION("""COMPUTED_VALUE"""),46187.0)</f>
        <v>46187</v>
      </c>
      <c r="C6899" s="122" t="str">
        <f>IFERROR(__xludf.DUMMYFUNCTION("""COMPUTED_VALUE"""),"KICK")</f>
        <v>KICK</v>
      </c>
      <c r="D6899" s="122" t="str">
        <f>IFERROR(__xludf.DUMMYFUNCTION("""COMPUTED_VALUE"""),"KickDrop Sneakers")</f>
        <v>KickDrop Sneakers</v>
      </c>
      <c r="E6899" s="122">
        <f>IFERROR(__xludf.DUMMYFUNCTION("""COMPUTED_VALUE"""),167.35)</f>
        <v>167.35</v>
      </c>
      <c r="F6899" s="122">
        <f>IFERROR(__xludf.DUMMYFUNCTION("""COMPUTED_VALUE"""),-0.0062)</f>
        <v>-0.0062</v>
      </c>
    </row>
    <row r="6900">
      <c r="A6900" s="131">
        <f>IFERROR(__xludf.DUMMYFUNCTION("""COMPUTED_VALUE"""),46187.57787037037)</f>
        <v>46187.57787</v>
      </c>
      <c r="B6900" s="126">
        <f>IFERROR(__xludf.DUMMYFUNCTION("""COMPUTED_VALUE"""),46187.0)</f>
        <v>46187</v>
      </c>
      <c r="C6900" s="122" t="str">
        <f>IFERROR(__xludf.DUMMYFUNCTION("""COMPUTED_VALUE"""),"GLAM")</f>
        <v>GLAM</v>
      </c>
      <c r="D6900" s="122" t="str">
        <f>IFERROR(__xludf.DUMMYFUNCTION("""COMPUTED_VALUE"""),"Glow Cosmetics")</f>
        <v>Glow Cosmetics</v>
      </c>
      <c r="E6900" s="122">
        <f>IFERROR(__xludf.DUMMYFUNCTION("""COMPUTED_VALUE"""),110.2)</f>
        <v>110.2</v>
      </c>
      <c r="F6900" s="122">
        <f>IFERROR(__xludf.DUMMYFUNCTION("""COMPUTED_VALUE"""),4.0E-4)</f>
        <v>0.0004</v>
      </c>
    </row>
    <row r="6901">
      <c r="A6901" s="131">
        <f>IFERROR(__xludf.DUMMYFUNCTION("""COMPUTED_VALUE"""),46187.57787037037)</f>
        <v>46187.57787</v>
      </c>
      <c r="B6901" s="126">
        <f>IFERROR(__xludf.DUMMYFUNCTION("""COMPUTED_VALUE"""),46187.0)</f>
        <v>46187</v>
      </c>
      <c r="C6901" s="122" t="str">
        <f>IFERROR(__xludf.DUMMYFUNCTION("""COMPUTED_VALUE"""),"BAGG")</f>
        <v>BAGG</v>
      </c>
      <c r="D6901" s="122" t="str">
        <f>IFERROR(__xludf.DUMMYFUNCTION("""COMPUTED_VALUE"""),"BagVault")</f>
        <v>BagVault</v>
      </c>
      <c r="E6901" s="122">
        <f>IFERROR(__xludf.DUMMYFUNCTION("""COMPUTED_VALUE"""),269.89)</f>
        <v>269.89</v>
      </c>
      <c r="F6901" s="122">
        <f>IFERROR(__xludf.DUMMYFUNCTION("""COMPUTED_VALUE"""),-0.004)</f>
        <v>-0.004</v>
      </c>
    </row>
    <row r="6902">
      <c r="A6902" s="131">
        <f>IFERROR(__xludf.DUMMYFUNCTION("""COMPUTED_VALUE"""),46187.57787037037)</f>
        <v>46187.57787</v>
      </c>
      <c r="B6902" s="126">
        <f>IFERROR(__xludf.DUMMYFUNCTION("""COMPUTED_VALUE"""),46187.0)</f>
        <v>46187</v>
      </c>
      <c r="C6902" s="122" t="str">
        <f>IFERROR(__xludf.DUMMYFUNCTION("""COMPUTED_VALUE"""),"FAST")</f>
        <v>FAST</v>
      </c>
      <c r="D6902" s="122" t="str">
        <f>IFERROR(__xludf.DUMMYFUNCTION("""COMPUTED_VALUE"""),"Flash Logistics")</f>
        <v>Flash Logistics</v>
      </c>
      <c r="E6902" s="122">
        <f>IFERROR(__xludf.DUMMYFUNCTION("""COMPUTED_VALUE"""),107.57)</f>
        <v>107.57</v>
      </c>
      <c r="F6902" s="122">
        <f>IFERROR(__xludf.DUMMYFUNCTION("""COMPUTED_VALUE"""),0.0029)</f>
        <v>0.0029</v>
      </c>
    </row>
    <row r="6903">
      <c r="A6903" s="131">
        <f>IFERROR(__xludf.DUMMYFUNCTION("""COMPUTED_VALUE"""),46187.57787037037)</f>
        <v>46187.57787</v>
      </c>
      <c r="B6903" s="126">
        <f>IFERROR(__xludf.DUMMYFUNCTION("""COMPUTED_VALUE"""),46187.0)</f>
        <v>46187</v>
      </c>
      <c r="C6903" s="122" t="str">
        <f>IFERROR(__xludf.DUMMYFUNCTION("""COMPUTED_VALUE"""),"SHIP")</f>
        <v>SHIP</v>
      </c>
      <c r="D6903" s="122" t="str">
        <f>IFERROR(__xludf.DUMMYFUNCTION("""COMPUTED_VALUE"""),"Seoul Shipping")</f>
        <v>Seoul Shipping</v>
      </c>
      <c r="E6903" s="122">
        <f>IFERROR(__xludf.DUMMYFUNCTION("""COMPUTED_VALUE"""),128.85)</f>
        <v>128.85</v>
      </c>
      <c r="F6903" s="122">
        <f>IFERROR(__xludf.DUMMYFUNCTION("""COMPUTED_VALUE"""),2.0E-4)</f>
        <v>0.0002</v>
      </c>
    </row>
    <row r="6904">
      <c r="A6904" s="131">
        <f>IFERROR(__xludf.DUMMYFUNCTION("""COMPUTED_VALUE"""),46187.57787037037)</f>
        <v>46187.57787</v>
      </c>
      <c r="B6904" s="126">
        <f>IFERROR(__xludf.DUMMYFUNCTION("""COMPUTED_VALUE"""),46187.0)</f>
        <v>46187</v>
      </c>
      <c r="C6904" s="122" t="str">
        <f>IFERROR(__xludf.DUMMYFUNCTION("""COMPUTED_VALUE"""),"DRON")</f>
        <v>DRON</v>
      </c>
      <c r="D6904" s="122" t="str">
        <f>IFERROR(__xludf.DUMMYFUNCTION("""COMPUTED_VALUE"""),"DroneDrop")</f>
        <v>DroneDrop</v>
      </c>
      <c r="E6904" s="122">
        <f>IFERROR(__xludf.DUMMYFUNCTION("""COMPUTED_VALUE"""),126.26)</f>
        <v>126.26</v>
      </c>
      <c r="F6904" s="122">
        <f>IFERROR(__xludf.DUMMYFUNCTION("""COMPUTED_VALUE"""),-0.0114)</f>
        <v>-0.0114</v>
      </c>
    </row>
    <row r="6905">
      <c r="A6905" s="131">
        <f>IFERROR(__xludf.DUMMYFUNCTION("""COMPUTED_VALUE"""),46187.57787037037)</f>
        <v>46187.57787</v>
      </c>
      <c r="B6905" s="126">
        <f>IFERROR(__xludf.DUMMYFUNCTION("""COMPUTED_VALUE"""),46187.0)</f>
        <v>46187</v>
      </c>
      <c r="C6905" s="122" t="str">
        <f>IFERROR(__xludf.DUMMYFUNCTION("""COMPUTED_VALUE"""),"RIDE")</f>
        <v>RIDE</v>
      </c>
      <c r="D6905" s="122" t="str">
        <f>IFERROR(__xludf.DUMMYFUNCTION("""COMPUTED_VALUE"""),"QuickRide")</f>
        <v>QuickRide</v>
      </c>
      <c r="E6905" s="122">
        <f>IFERROR(__xludf.DUMMYFUNCTION("""COMPUTED_VALUE"""),101.26)</f>
        <v>101.26</v>
      </c>
      <c r="F6905" s="122">
        <f>IFERROR(__xludf.DUMMYFUNCTION("""COMPUTED_VALUE"""),0.0041)</f>
        <v>0.0041</v>
      </c>
    </row>
    <row r="6906">
      <c r="A6906" s="131">
        <f>IFERROR(__xludf.DUMMYFUNCTION("""COMPUTED_VALUE"""),46187.57787037037)</f>
        <v>46187.57787</v>
      </c>
      <c r="B6906" s="126">
        <f>IFERROR(__xludf.DUMMYFUNCTION("""COMPUTED_VALUE"""),46187.0)</f>
        <v>46187</v>
      </c>
      <c r="C6906" s="122" t="str">
        <f>IFERROR(__xludf.DUMMYFUNCTION("""COMPUTED_VALUE"""),"RAIL")</f>
        <v>RAIL</v>
      </c>
      <c r="D6906" s="122" t="str">
        <f>IFERROR(__xludf.DUMMYFUNCTION("""COMPUTED_VALUE"""),"MetroRail Corp")</f>
        <v>MetroRail Corp</v>
      </c>
      <c r="E6906" s="122">
        <f>IFERROR(__xludf.DUMMYFUNCTION("""COMPUTED_VALUE"""),131.5)</f>
        <v>131.5</v>
      </c>
      <c r="F6906" s="122">
        <f>IFERROR(__xludf.DUMMYFUNCTION("""COMPUTED_VALUE"""),0.0022)</f>
        <v>0.0022</v>
      </c>
    </row>
    <row r="6907">
      <c r="A6907" s="131">
        <f>IFERROR(__xludf.DUMMYFUNCTION("""COMPUTED_VALUE"""),46187.57787037037)</f>
        <v>46187.57787</v>
      </c>
      <c r="B6907" s="126">
        <f>IFERROR(__xludf.DUMMYFUNCTION("""COMPUTED_VALUE"""),46187.0)</f>
        <v>46187</v>
      </c>
      <c r="C6907" s="122" t="str">
        <f>IFERROR(__xludf.DUMMYFUNCTION("""COMPUTED_VALUE"""),"MEDX")</f>
        <v>MEDX</v>
      </c>
      <c r="D6907" s="122" t="str">
        <f>IFERROR(__xludf.DUMMYFUNCTION("""COMPUTED_VALUE"""),"MediCore")</f>
        <v>MediCore</v>
      </c>
      <c r="E6907" s="122">
        <f>IFERROR(__xludf.DUMMYFUNCTION("""COMPUTED_VALUE"""),139.11)</f>
        <v>139.11</v>
      </c>
      <c r="F6907" s="122">
        <f>IFERROR(__xludf.DUMMYFUNCTION("""COMPUTED_VALUE"""),-1.0E-4)</f>
        <v>-0.0001</v>
      </c>
    </row>
    <row r="6908">
      <c r="A6908" s="131">
        <f>IFERROR(__xludf.DUMMYFUNCTION("""COMPUTED_VALUE"""),46187.57787037037)</f>
        <v>46187.57787</v>
      </c>
      <c r="B6908" s="126">
        <f>IFERROR(__xludf.DUMMYFUNCTION("""COMPUTED_VALUE"""),46187.0)</f>
        <v>46187</v>
      </c>
      <c r="C6908" s="122" t="str">
        <f>IFERROR(__xludf.DUMMYFUNCTION("""COMPUTED_VALUE"""),"GYMX")</f>
        <v>GYMX</v>
      </c>
      <c r="D6908" s="122" t="str">
        <f>IFERROR(__xludf.DUMMYFUNCTION("""COMPUTED_VALUE"""),"GymX Fitness")</f>
        <v>GymX Fitness</v>
      </c>
      <c r="E6908" s="122">
        <f>IFERROR(__xludf.DUMMYFUNCTION("""COMPUTED_VALUE"""),85.74)</f>
        <v>85.74</v>
      </c>
      <c r="F6908" s="122">
        <f>IFERROR(__xludf.DUMMYFUNCTION("""COMPUTED_VALUE"""),0.0034)</f>
        <v>0.0034</v>
      </c>
    </row>
    <row r="6909">
      <c r="A6909" s="131">
        <f>IFERROR(__xludf.DUMMYFUNCTION("""COMPUTED_VALUE"""),46187.57787037037)</f>
        <v>46187.57787</v>
      </c>
      <c r="B6909" s="126">
        <f>IFERROR(__xludf.DUMMYFUNCTION("""COMPUTED_VALUE"""),46187.0)</f>
        <v>46187</v>
      </c>
      <c r="C6909" s="122" t="str">
        <f>IFERROR(__xludf.DUMMYFUNCTION("""COMPUTED_VALUE"""),"VITA")</f>
        <v>VITA</v>
      </c>
      <c r="D6909" s="122" t="str">
        <f>IFERROR(__xludf.DUMMYFUNCTION("""COMPUTED_VALUE"""),"VitaPlus")</f>
        <v>VitaPlus</v>
      </c>
      <c r="E6909" s="122">
        <f>IFERROR(__xludf.DUMMYFUNCTION("""COMPUTED_VALUE"""),72.9)</f>
        <v>72.9</v>
      </c>
      <c r="F6909" s="122">
        <f>IFERROR(__xludf.DUMMYFUNCTION("""COMPUTED_VALUE"""),0.0041)</f>
        <v>0.0041</v>
      </c>
    </row>
    <row r="6910">
      <c r="A6910" s="131">
        <f>IFERROR(__xludf.DUMMYFUNCTION("""COMPUTED_VALUE"""),46187.57787037037)</f>
        <v>46187.57787</v>
      </c>
      <c r="B6910" s="126">
        <f>IFERROR(__xludf.DUMMYFUNCTION("""COMPUTED_VALUE"""),46187.0)</f>
        <v>46187</v>
      </c>
      <c r="C6910" s="122" t="str">
        <f>IFERROR(__xludf.DUMMYFUNCTION("""COMPUTED_VALUE"""),"CARE")</f>
        <v>CARE</v>
      </c>
      <c r="D6910" s="122" t="str">
        <f>IFERROR(__xludf.DUMMYFUNCTION("""COMPUTED_VALUE"""),"CareCloud")</f>
        <v>CareCloud</v>
      </c>
      <c r="E6910" s="122">
        <f>IFERROR(__xludf.DUMMYFUNCTION("""COMPUTED_VALUE"""),179.34)</f>
        <v>179.34</v>
      </c>
      <c r="F6910" s="122">
        <f>IFERROR(__xludf.DUMMYFUNCTION("""COMPUTED_VALUE"""),-0.0013)</f>
        <v>-0.0013</v>
      </c>
    </row>
    <row r="6911">
      <c r="A6911" s="131">
        <f>IFERROR(__xludf.DUMMYFUNCTION("""COMPUTED_VALUE"""),46187.57787037037)</f>
        <v>46187.57787</v>
      </c>
      <c r="B6911" s="126">
        <f>IFERROR(__xludf.DUMMYFUNCTION("""COMPUTED_VALUE"""),46187.0)</f>
        <v>46187</v>
      </c>
      <c r="C6911" s="122" t="str">
        <f>IFERROR(__xludf.DUMMYFUNCTION("""COMPUTED_VALUE"""),"DENT")</f>
        <v>DENT</v>
      </c>
      <c r="D6911" s="122" t="str">
        <f>IFERROR(__xludf.DUMMYFUNCTION("""COMPUTED_VALUE"""),"SmileWorks")</f>
        <v>SmileWorks</v>
      </c>
      <c r="E6911" s="122">
        <f>IFERROR(__xludf.DUMMYFUNCTION("""COMPUTED_VALUE"""),93.94)</f>
        <v>93.94</v>
      </c>
      <c r="F6911" s="122">
        <f>IFERROR(__xludf.DUMMYFUNCTION("""COMPUTED_VALUE"""),0.0034)</f>
        <v>0.0034</v>
      </c>
    </row>
    <row r="6912">
      <c r="A6912" s="131">
        <f>IFERROR(__xludf.DUMMYFUNCTION("""COMPUTED_VALUE"""),46187.57787037037)</f>
        <v>46187.57787</v>
      </c>
      <c r="B6912" s="126">
        <f>IFERROR(__xludf.DUMMYFUNCTION("""COMPUTED_VALUE"""),46187.0)</f>
        <v>46187</v>
      </c>
      <c r="C6912" s="122" t="str">
        <f>IFERROR(__xludf.DUMMYFUNCTION("""COMPUTED_VALUE"""),"EDUX")</f>
        <v>EDUX</v>
      </c>
      <c r="D6912" s="122" t="str">
        <f>IFERROR(__xludf.DUMMYFUNCTION("""COMPUTED_VALUE"""),"EduMax Learning")</f>
        <v>EduMax Learning</v>
      </c>
      <c r="E6912" s="122">
        <f>IFERROR(__xludf.DUMMYFUNCTION("""COMPUTED_VALUE"""),146.03)</f>
        <v>146.03</v>
      </c>
      <c r="F6912" s="122">
        <f>IFERROR(__xludf.DUMMYFUNCTION("""COMPUTED_VALUE"""),0.0012)</f>
        <v>0.0012</v>
      </c>
    </row>
    <row r="6913">
      <c r="A6913" s="131">
        <f>IFERROR(__xludf.DUMMYFUNCTION("""COMPUTED_VALUE"""),46187.57787037037)</f>
        <v>46187.57787</v>
      </c>
      <c r="B6913" s="126">
        <f>IFERROR(__xludf.DUMMYFUNCTION("""COMPUTED_VALUE"""),46187.0)</f>
        <v>46187</v>
      </c>
      <c r="C6913" s="122" t="str">
        <f>IFERROR(__xludf.DUMMYFUNCTION("""COMPUTED_VALUE"""),"BOOK")</f>
        <v>BOOK</v>
      </c>
      <c r="D6913" s="122" t="str">
        <f>IFERROR(__xludf.DUMMYFUNCTION("""COMPUTED_VALUE"""),"BookBridge")</f>
        <v>BookBridge</v>
      </c>
      <c r="E6913" s="122">
        <f>IFERROR(__xludf.DUMMYFUNCTION("""COMPUTED_VALUE"""),119.16)</f>
        <v>119.16</v>
      </c>
      <c r="F6913" s="122">
        <f>IFERROR(__xludf.DUMMYFUNCTION("""COMPUTED_VALUE"""),5.0E-4)</f>
        <v>0.0005</v>
      </c>
    </row>
    <row r="6914">
      <c r="A6914" s="131">
        <f>IFERROR(__xludf.DUMMYFUNCTION("""COMPUTED_VALUE"""),46187.57787037037)</f>
        <v>46187.57787</v>
      </c>
      <c r="B6914" s="126">
        <f>IFERROR(__xludf.DUMMYFUNCTION("""COMPUTED_VALUE"""),46187.0)</f>
        <v>46187</v>
      </c>
      <c r="C6914" s="122" t="str">
        <f>IFERROR(__xludf.DUMMYFUNCTION("""COMPUTED_VALUE"""),"TUTR")</f>
        <v>TUTR</v>
      </c>
      <c r="D6914" s="122" t="str">
        <f>IFERROR(__xludf.DUMMYFUNCTION("""COMPUTED_VALUE"""),"TutorTown")</f>
        <v>TutorTown</v>
      </c>
      <c r="E6914" s="122">
        <f>IFERROR(__xludf.DUMMYFUNCTION("""COMPUTED_VALUE"""),90.31)</f>
        <v>90.31</v>
      </c>
      <c r="F6914" s="122">
        <f>IFERROR(__xludf.DUMMYFUNCTION("""COMPUTED_VALUE"""),0.0041)</f>
        <v>0.0041</v>
      </c>
    </row>
    <row r="6915">
      <c r="A6915" s="131">
        <f>IFERROR(__xludf.DUMMYFUNCTION("""COMPUTED_VALUE"""),46187.57787037037)</f>
        <v>46187.57787</v>
      </c>
      <c r="B6915" s="126">
        <f>IFERROR(__xludf.DUMMYFUNCTION("""COMPUTED_VALUE"""),46187.0)</f>
        <v>46187</v>
      </c>
      <c r="C6915" s="122" t="str">
        <f>IFERROR(__xludf.DUMMYFUNCTION("""COMPUTED_VALUE"""),"LANG")</f>
        <v>LANG</v>
      </c>
      <c r="D6915" s="122" t="str">
        <f>IFERROR(__xludf.DUMMYFUNCTION("""COMPUTED_VALUE"""),"LinguaLab")</f>
        <v>LinguaLab</v>
      </c>
      <c r="E6915" s="122">
        <f>IFERROR(__xludf.DUMMYFUNCTION("""COMPUTED_VALUE"""),100.1)</f>
        <v>100.1</v>
      </c>
      <c r="F6915" s="122">
        <f>IFERROR(__xludf.DUMMYFUNCTION("""COMPUTED_VALUE"""),0.0011)</f>
        <v>0.0011</v>
      </c>
    </row>
    <row r="6916">
      <c r="A6916" s="131">
        <f>IFERROR(__xludf.DUMMYFUNCTION("""COMPUTED_VALUE"""),46187.57787037037)</f>
        <v>46187.57787</v>
      </c>
      <c r="B6916" s="126">
        <f>IFERROR(__xludf.DUMMYFUNCTION("""COMPUTED_VALUE"""),46187.0)</f>
        <v>46187</v>
      </c>
      <c r="C6916" s="122" t="str">
        <f>IFERROR(__xludf.DUMMYFUNCTION("""COMPUTED_VALUE"""),"TEST")</f>
        <v>TEST</v>
      </c>
      <c r="D6916" s="122" t="str">
        <f>IFERROR(__xludf.DUMMYFUNCTION("""COMPUTED_VALUE"""),"TestPrep Pro")</f>
        <v>TestPrep Pro</v>
      </c>
      <c r="E6916" s="122">
        <f>IFERROR(__xludf.DUMMYFUNCTION("""COMPUTED_VALUE"""),91.67)</f>
        <v>91.67</v>
      </c>
      <c r="F6916" s="122">
        <f>IFERROR(__xludf.DUMMYFUNCTION("""COMPUTED_VALUE"""),0.0028)</f>
        <v>0.0028</v>
      </c>
    </row>
    <row r="6917">
      <c r="A6917" s="131">
        <f>IFERROR(__xludf.DUMMYFUNCTION("""COMPUTED_VALUE"""),46187.57787037037)</f>
        <v>46187.57787</v>
      </c>
      <c r="B6917" s="126">
        <f>IFERROR(__xludf.DUMMYFUNCTION("""COMPUTED_VALUE"""),46187.0)</f>
        <v>46187</v>
      </c>
      <c r="C6917" s="122" t="str">
        <f>IFERROR(__xludf.DUMMYFUNCTION("""COMPUTED_VALUE"""),"MOVI")</f>
        <v>MOVI</v>
      </c>
      <c r="D6917" s="122" t="str">
        <f>IFERROR(__xludf.DUMMYFUNCTION("""COMPUTED_VALUE"""),"MovieBox")</f>
        <v>MovieBox</v>
      </c>
      <c r="E6917" s="122">
        <f>IFERROR(__xludf.DUMMYFUNCTION("""COMPUTED_VALUE"""),84.22)</f>
        <v>84.22</v>
      </c>
      <c r="F6917" s="122">
        <f>IFERROR(__xludf.DUMMYFUNCTION("""COMPUTED_VALUE"""),0.0055)</f>
        <v>0.0055</v>
      </c>
    </row>
    <row r="6918">
      <c r="A6918" s="131">
        <f>IFERROR(__xludf.DUMMYFUNCTION("""COMPUTED_VALUE"""),46187.57787037037)</f>
        <v>46187.57787</v>
      </c>
      <c r="B6918" s="126">
        <f>IFERROR(__xludf.DUMMYFUNCTION("""COMPUTED_VALUE"""),46187.0)</f>
        <v>46187</v>
      </c>
      <c r="C6918" s="122" t="str">
        <f>IFERROR(__xludf.DUMMYFUNCTION("""COMPUTED_VALUE"""),"MUSC")</f>
        <v>MUSC</v>
      </c>
      <c r="D6918" s="122" t="str">
        <f>IFERROR(__xludf.DUMMYFUNCTION("""COMPUTED_VALUE"""),"MusicWave")</f>
        <v>MusicWave</v>
      </c>
      <c r="E6918" s="122">
        <f>IFERROR(__xludf.DUMMYFUNCTION("""COMPUTED_VALUE"""),102.1)</f>
        <v>102.1</v>
      </c>
      <c r="F6918" s="122">
        <f>IFERROR(__xludf.DUMMYFUNCTION("""COMPUTED_VALUE"""),0.0058)</f>
        <v>0.0058</v>
      </c>
    </row>
    <row r="6919">
      <c r="A6919" s="131">
        <f>IFERROR(__xludf.DUMMYFUNCTION("""COMPUTED_VALUE"""),46187.57787037037)</f>
        <v>46187.57787</v>
      </c>
      <c r="B6919" s="126">
        <f>IFERROR(__xludf.DUMMYFUNCTION("""COMPUTED_VALUE"""),46187.0)</f>
        <v>46187</v>
      </c>
      <c r="C6919" s="122" t="str">
        <f>IFERROR(__xludf.DUMMYFUNCTION("""COMPUTED_VALUE"""),"IDOL")</f>
        <v>IDOL</v>
      </c>
      <c r="D6919" s="122" t="str">
        <f>IFERROR(__xludf.DUMMYFUNCTION("""COMPUTED_VALUE"""),"Idol Agency")</f>
        <v>Idol Agency</v>
      </c>
      <c r="E6919" s="122">
        <f>IFERROR(__xludf.DUMMYFUNCTION("""COMPUTED_VALUE"""),189.1)</f>
        <v>189.1</v>
      </c>
      <c r="F6919" s="122">
        <f>IFERROR(__xludf.DUMMYFUNCTION("""COMPUTED_VALUE"""),0.0119)</f>
        <v>0.0119</v>
      </c>
    </row>
    <row r="6920">
      <c r="A6920" s="131">
        <f>IFERROR(__xludf.DUMMYFUNCTION("""COMPUTED_VALUE"""),46187.57787037037)</f>
        <v>46187.57787</v>
      </c>
      <c r="B6920" s="126">
        <f>IFERROR(__xludf.DUMMYFUNCTION("""COMPUTED_VALUE"""),46187.0)</f>
        <v>46187</v>
      </c>
      <c r="C6920" s="122" t="str">
        <f>IFERROR(__xludf.DUMMYFUNCTION("""COMPUTED_VALUE"""),"MEME")</f>
        <v>MEME</v>
      </c>
      <c r="D6920" s="122" t="str">
        <f>IFERROR(__xludf.DUMMYFUNCTION("""COMPUTED_VALUE"""),"Meme Media")</f>
        <v>Meme Media</v>
      </c>
      <c r="E6920" s="122">
        <f>IFERROR(__xludf.DUMMYFUNCTION("""COMPUTED_VALUE"""),73.74)</f>
        <v>73.74</v>
      </c>
      <c r="F6920" s="122">
        <f>IFERROR(__xludf.DUMMYFUNCTION("""COMPUTED_VALUE"""),-0.0023)</f>
        <v>-0.0023</v>
      </c>
    </row>
    <row r="6921">
      <c r="A6921" s="131">
        <f>IFERROR(__xludf.DUMMYFUNCTION("""COMPUTED_VALUE"""),46187.57787037037)</f>
        <v>46187.57787</v>
      </c>
      <c r="B6921" s="126">
        <f>IFERROR(__xludf.DUMMYFUNCTION("""COMPUTED_VALUE"""),46187.0)</f>
        <v>46187</v>
      </c>
      <c r="C6921" s="122" t="str">
        <f>IFERROR(__xludf.DUMMYFUNCTION("""COMPUTED_VALUE"""),"STRM")</f>
        <v>STRM</v>
      </c>
      <c r="D6921" s="122" t="str">
        <f>IFERROR(__xludf.DUMMYFUNCTION("""COMPUTED_VALUE"""),"Streamly")</f>
        <v>Streamly</v>
      </c>
      <c r="E6921" s="122">
        <f>IFERROR(__xludf.DUMMYFUNCTION("""COMPUTED_VALUE"""),137.8)</f>
        <v>137.8</v>
      </c>
      <c r="F6921" s="122">
        <f>IFERROR(__xludf.DUMMYFUNCTION("""COMPUTED_VALUE"""),0.0074)</f>
        <v>0.0074</v>
      </c>
    </row>
    <row r="6922">
      <c r="A6922" s="131">
        <f>IFERROR(__xludf.DUMMYFUNCTION("""COMPUTED_VALUE"""),46187.57787037037)</f>
        <v>46187.57787</v>
      </c>
      <c r="B6922" s="126">
        <f>IFERROR(__xludf.DUMMYFUNCTION("""COMPUTED_VALUE"""),46187.0)</f>
        <v>46187</v>
      </c>
      <c r="C6922" s="122" t="str">
        <f>IFERROR(__xludf.DUMMYFUNCTION("""COMPUTED_VALUE"""),"FARM")</f>
        <v>FARM</v>
      </c>
      <c r="D6922" s="122" t="str">
        <f>IFERROR(__xludf.DUMMYFUNCTION("""COMPUTED_VALUE"""),"Future Farms")</f>
        <v>Future Farms</v>
      </c>
      <c r="E6922" s="122">
        <f>IFERROR(__xludf.DUMMYFUNCTION("""COMPUTED_VALUE"""),93.52)</f>
        <v>93.52</v>
      </c>
      <c r="F6922" s="122">
        <f>IFERROR(__xludf.DUMMYFUNCTION("""COMPUTED_VALUE"""),-0.0011)</f>
        <v>-0.0011</v>
      </c>
    </row>
    <row r="6923">
      <c r="A6923" s="131">
        <f>IFERROR(__xludf.DUMMYFUNCTION("""COMPUTED_VALUE"""),46187.57787037037)</f>
        <v>46187.57787</v>
      </c>
      <c r="B6923" s="126">
        <f>IFERROR(__xludf.DUMMYFUNCTION("""COMPUTED_VALUE"""),46187.0)</f>
        <v>46187</v>
      </c>
      <c r="C6923" s="122" t="str">
        <f>IFERROR(__xludf.DUMMYFUNCTION("""COMPUTED_VALUE"""),"MEAT")</f>
        <v>MEAT</v>
      </c>
      <c r="D6923" s="122" t="str">
        <f>IFERROR(__xludf.DUMMYFUNCTION("""COMPUTED_VALUE"""),"MeatWorks")</f>
        <v>MeatWorks</v>
      </c>
      <c r="E6923" s="122">
        <f>IFERROR(__xludf.DUMMYFUNCTION("""COMPUTED_VALUE"""),107.12)</f>
        <v>107.12</v>
      </c>
      <c r="F6923" s="122">
        <f>IFERROR(__xludf.DUMMYFUNCTION("""COMPUTED_VALUE"""),0.0016)</f>
        <v>0.0016</v>
      </c>
    </row>
    <row r="6924">
      <c r="A6924" s="131">
        <f>IFERROR(__xludf.DUMMYFUNCTION("""COMPUTED_VALUE"""),46187.57787037037)</f>
        <v>46187.57787</v>
      </c>
      <c r="B6924" s="126">
        <f>IFERROR(__xludf.DUMMYFUNCTION("""COMPUTED_VALUE"""),46187.0)</f>
        <v>46187</v>
      </c>
      <c r="C6924" s="122" t="str">
        <f>IFERROR(__xludf.DUMMYFUNCTION("""COMPUTED_VALUE"""),"VEGI")</f>
        <v>VEGI</v>
      </c>
      <c r="D6924" s="122" t="str">
        <f>IFERROR(__xludf.DUMMYFUNCTION("""COMPUTED_VALUE"""),"Green Basket")</f>
        <v>Green Basket</v>
      </c>
      <c r="E6924" s="122">
        <f>IFERROR(__xludf.DUMMYFUNCTION("""COMPUTED_VALUE"""),77.61)</f>
        <v>77.61</v>
      </c>
      <c r="F6924" s="122">
        <f>IFERROR(__xludf.DUMMYFUNCTION("""COMPUTED_VALUE"""),0.0026)</f>
        <v>0.0026</v>
      </c>
    </row>
    <row r="6925">
      <c r="A6925" s="131">
        <f>IFERROR(__xludf.DUMMYFUNCTION("""COMPUTED_VALUE"""),46187.57787037037)</f>
        <v>46187.57787</v>
      </c>
      <c r="B6925" s="126">
        <f>IFERROR(__xludf.DUMMYFUNCTION("""COMPUTED_VALUE"""),46187.0)</f>
        <v>46187</v>
      </c>
      <c r="C6925" s="122" t="str">
        <f>IFERROR(__xludf.DUMMYFUNCTION("""COMPUTED_VALUE"""),"CAFE")</f>
        <v>CAFE</v>
      </c>
      <c r="D6925" s="122" t="str">
        <f>IFERROR(__xludf.DUMMYFUNCTION("""COMPUTED_VALUE"""),"Cafe Cloud")</f>
        <v>Cafe Cloud</v>
      </c>
      <c r="E6925" s="122">
        <f>IFERROR(__xludf.DUMMYFUNCTION("""COMPUTED_VALUE"""),100.54)</f>
        <v>100.54</v>
      </c>
      <c r="F6925" s="122">
        <f>IFERROR(__xludf.DUMMYFUNCTION("""COMPUTED_VALUE"""),-0.0076)</f>
        <v>-0.0076</v>
      </c>
    </row>
    <row r="6926">
      <c r="A6926" s="131">
        <f>IFERROR(__xludf.DUMMYFUNCTION("""COMPUTED_VALUE"""),46187.57787037037)</f>
        <v>46187.57787</v>
      </c>
      <c r="B6926" s="126">
        <f>IFERROR(__xludf.DUMMYFUNCTION("""COMPUTED_VALUE"""),46187.0)</f>
        <v>46187</v>
      </c>
      <c r="C6926" s="122" t="str">
        <f>IFERROR(__xludf.DUMMYFUNCTION("""COMPUTED_VALUE"""),"BAKE")</f>
        <v>BAKE</v>
      </c>
      <c r="D6926" s="122" t="str">
        <f>IFERROR(__xludf.DUMMYFUNCTION("""COMPUTED_VALUE"""),"BakeHouse")</f>
        <v>BakeHouse</v>
      </c>
      <c r="E6926" s="122">
        <f>IFERROR(__xludf.DUMMYFUNCTION("""COMPUTED_VALUE"""),100.83)</f>
        <v>100.83</v>
      </c>
      <c r="F6926" s="122">
        <f>IFERROR(__xludf.DUMMYFUNCTION("""COMPUTED_VALUE"""),-4.0E-4)</f>
        <v>-0.0004</v>
      </c>
    </row>
    <row r="6927">
      <c r="A6927" s="131">
        <f>IFERROR(__xludf.DUMMYFUNCTION("""COMPUTED_VALUE"""),46187.57787037037)</f>
        <v>46187.57787</v>
      </c>
      <c r="B6927" s="126">
        <f>IFERROR(__xludf.DUMMYFUNCTION("""COMPUTED_VALUE"""),46187.0)</f>
        <v>46187</v>
      </c>
      <c r="C6927" s="122" t="str">
        <f>IFERROR(__xludf.DUMMYFUNCTION("""COMPUTED_VALUE"""),"OILX")</f>
        <v>OILX</v>
      </c>
      <c r="D6927" s="122" t="str">
        <f>IFERROR(__xludf.DUMMYFUNCTION("""COMPUTED_VALUE"""),"OilMax Energy")</f>
        <v>OilMax Energy</v>
      </c>
      <c r="E6927" s="122">
        <f>IFERROR(__xludf.DUMMYFUNCTION("""COMPUTED_VALUE"""),131.4)</f>
        <v>131.4</v>
      </c>
      <c r="F6927" s="122">
        <f>IFERROR(__xludf.DUMMYFUNCTION("""COMPUTED_VALUE"""),-0.0012)</f>
        <v>-0.0012</v>
      </c>
    </row>
    <row r="6928">
      <c r="A6928" s="131">
        <f>IFERROR(__xludf.DUMMYFUNCTION("""COMPUTED_VALUE"""),46187.57787037037)</f>
        <v>46187.57787</v>
      </c>
      <c r="B6928" s="126">
        <f>IFERROR(__xludf.DUMMYFUNCTION("""COMPUTED_VALUE"""),46187.0)</f>
        <v>46187</v>
      </c>
      <c r="C6928" s="122" t="str">
        <f>IFERROR(__xludf.DUMMYFUNCTION("""COMPUTED_VALUE"""),"SOLR")</f>
        <v>SOLR</v>
      </c>
      <c r="D6928" s="122" t="str">
        <f>IFERROR(__xludf.DUMMYFUNCTION("""COMPUTED_VALUE"""),"SolarSpark")</f>
        <v>SolarSpark</v>
      </c>
      <c r="E6928" s="122">
        <f>IFERROR(__xludf.DUMMYFUNCTION("""COMPUTED_VALUE"""),103.39)</f>
        <v>103.39</v>
      </c>
      <c r="F6928" s="122">
        <f>IFERROR(__xludf.DUMMYFUNCTION("""COMPUTED_VALUE"""),0.0049)</f>
        <v>0.0049</v>
      </c>
    </row>
    <row r="6929">
      <c r="A6929" s="131">
        <f>IFERROR(__xludf.DUMMYFUNCTION("""COMPUTED_VALUE"""),46187.57787037037)</f>
        <v>46187.57787</v>
      </c>
      <c r="B6929" s="126">
        <f>IFERROR(__xludf.DUMMYFUNCTION("""COMPUTED_VALUE"""),46187.0)</f>
        <v>46187</v>
      </c>
      <c r="C6929" s="122" t="str">
        <f>IFERROR(__xludf.DUMMYFUNCTION("""COMPUTED_VALUE"""),"BATT")</f>
        <v>BATT</v>
      </c>
      <c r="D6929" s="122" t="str">
        <f>IFERROR(__xludf.DUMMYFUNCTION("""COMPUTED_VALUE"""),"BatteryBox")</f>
        <v>BatteryBox</v>
      </c>
      <c r="E6929" s="122">
        <f>IFERROR(__xludf.DUMMYFUNCTION("""COMPUTED_VALUE"""),119.18)</f>
        <v>119.18</v>
      </c>
      <c r="F6929" s="122">
        <f>IFERROR(__xludf.DUMMYFUNCTION("""COMPUTED_VALUE"""),0.0048)</f>
        <v>0.0048</v>
      </c>
    </row>
    <row r="6930">
      <c r="A6930" s="131">
        <f>IFERROR(__xludf.DUMMYFUNCTION("""COMPUTED_VALUE"""),46187.57787037037)</f>
        <v>46187.57787</v>
      </c>
      <c r="B6930" s="126">
        <f>IFERROR(__xludf.DUMMYFUNCTION("""COMPUTED_VALUE"""),46187.0)</f>
        <v>46187</v>
      </c>
      <c r="C6930" s="122" t="str">
        <f>IFERROR(__xludf.DUMMYFUNCTION("""COMPUTED_VALUE"""),"WIND")</f>
        <v>WIND</v>
      </c>
      <c r="D6930" s="122" t="str">
        <f>IFERROR(__xludf.DUMMYFUNCTION("""COMPUTED_VALUE"""),"WindWorks")</f>
        <v>WindWorks</v>
      </c>
      <c r="E6930" s="122">
        <f>IFERROR(__xludf.DUMMYFUNCTION("""COMPUTED_VALUE"""),86.45)</f>
        <v>86.45</v>
      </c>
      <c r="F6930" s="122">
        <f>IFERROR(__xludf.DUMMYFUNCTION("""COMPUTED_VALUE"""),-0.0058)</f>
        <v>-0.0058</v>
      </c>
    </row>
    <row r="6931">
      <c r="A6931" s="131">
        <f>IFERROR(__xludf.DUMMYFUNCTION("""COMPUTED_VALUE"""),46187.57787037037)</f>
        <v>46187.57787</v>
      </c>
      <c r="B6931" s="126">
        <f>IFERROR(__xludf.DUMMYFUNCTION("""COMPUTED_VALUE"""),46187.0)</f>
        <v>46187</v>
      </c>
      <c r="C6931" s="122" t="str">
        <f>IFERROR(__xludf.DUMMYFUNCTION("""COMPUTED_VALUE"""),"GRID")</f>
        <v>GRID</v>
      </c>
      <c r="D6931" s="122" t="str">
        <f>IFERROR(__xludf.DUMMYFUNCTION("""COMPUTED_VALUE"""),"GridPower")</f>
        <v>GridPower</v>
      </c>
      <c r="E6931" s="122">
        <f>IFERROR(__xludf.DUMMYFUNCTION("""COMPUTED_VALUE"""),130.57)</f>
        <v>130.57</v>
      </c>
      <c r="F6931" s="122">
        <f>IFERROR(__xludf.DUMMYFUNCTION("""COMPUTED_VALUE"""),-7.0E-4)</f>
        <v>-0.0007</v>
      </c>
    </row>
    <row r="6932">
      <c r="A6932" s="131">
        <f>IFERROR(__xludf.DUMMYFUNCTION("""COMPUTED_VALUE"""),46187.57787037037)</f>
        <v>46187.57787</v>
      </c>
      <c r="B6932" s="126">
        <f>IFERROR(__xludf.DUMMYFUNCTION("""COMPUTED_VALUE"""),46187.0)</f>
        <v>46187</v>
      </c>
      <c r="C6932" s="122" t="str">
        <f>IFERROR(__xludf.DUMMYFUNCTION("""COMPUTED_VALUE"""),"HOME")</f>
        <v>HOME</v>
      </c>
      <c r="D6932" s="122" t="str">
        <f>IFERROR(__xludf.DUMMYFUNCTION("""COMPUTED_VALUE"""),"HomeHub")</f>
        <v>HomeHub</v>
      </c>
      <c r="E6932" s="122">
        <f>IFERROR(__xludf.DUMMYFUNCTION("""COMPUTED_VALUE"""),157.88)</f>
        <v>157.88</v>
      </c>
      <c r="F6932" s="122">
        <f>IFERROR(__xludf.DUMMYFUNCTION("""COMPUTED_VALUE"""),0.0025)</f>
        <v>0.0025</v>
      </c>
    </row>
    <row r="6933">
      <c r="A6933" s="131">
        <f>IFERROR(__xludf.DUMMYFUNCTION("""COMPUTED_VALUE"""),46187.57787037037)</f>
        <v>46187.57787</v>
      </c>
      <c r="B6933" s="126">
        <f>IFERROR(__xludf.DUMMYFUNCTION("""COMPUTED_VALUE"""),46187.0)</f>
        <v>46187</v>
      </c>
      <c r="C6933" s="122" t="str">
        <f>IFERROR(__xludf.DUMMYFUNCTION("""COMPUTED_VALUE"""),"RENT")</f>
        <v>RENT</v>
      </c>
      <c r="D6933" s="122" t="str">
        <f>IFERROR(__xludf.DUMMYFUNCTION("""COMPUTED_VALUE"""),"RentRight")</f>
        <v>RentRight</v>
      </c>
      <c r="E6933" s="122">
        <f>IFERROR(__xludf.DUMMYFUNCTION("""COMPUTED_VALUE"""),91.86)</f>
        <v>91.86</v>
      </c>
      <c r="F6933" s="122">
        <f>IFERROR(__xludf.DUMMYFUNCTION("""COMPUTED_VALUE"""),0.0026)</f>
        <v>0.0026</v>
      </c>
    </row>
    <row r="6934">
      <c r="A6934" s="131">
        <f>IFERROR(__xludf.DUMMYFUNCTION("""COMPUTED_VALUE"""),46187.57787037037)</f>
        <v>46187.57787</v>
      </c>
      <c r="B6934" s="126">
        <f>IFERROR(__xludf.DUMMYFUNCTION("""COMPUTED_VALUE"""),46187.0)</f>
        <v>46187</v>
      </c>
      <c r="C6934" s="122" t="str">
        <f>IFERROR(__xludf.DUMMYFUNCTION("""COMPUTED_VALUE"""),"MALL")</f>
        <v>MALL</v>
      </c>
      <c r="D6934" s="122" t="str">
        <f>IFERROR(__xludf.DUMMYFUNCTION("""COMPUTED_VALUE"""),"MegaMall")</f>
        <v>MegaMall</v>
      </c>
      <c r="E6934" s="122">
        <f>IFERROR(__xludf.DUMMYFUNCTION("""COMPUTED_VALUE"""),101.54)</f>
        <v>101.54</v>
      </c>
      <c r="F6934" s="122">
        <f>IFERROR(__xludf.DUMMYFUNCTION("""COMPUTED_VALUE"""),0.0065)</f>
        <v>0.0065</v>
      </c>
    </row>
    <row r="6935">
      <c r="A6935" s="131">
        <f>IFERROR(__xludf.DUMMYFUNCTION("""COMPUTED_VALUE"""),46187.57787037037)</f>
        <v>46187.57787</v>
      </c>
      <c r="B6935" s="126">
        <f>IFERROR(__xludf.DUMMYFUNCTION("""COMPUTED_VALUE"""),46187.0)</f>
        <v>46187</v>
      </c>
      <c r="C6935" s="122" t="str">
        <f>IFERROR(__xludf.DUMMYFUNCTION("""COMPUTED_VALUE"""),"HOTL")</f>
        <v>HOTL</v>
      </c>
      <c r="D6935" s="122" t="str">
        <f>IFERROR(__xludf.DUMMYFUNCTION("""COMPUTED_VALUE"""),"HotelHive")</f>
        <v>HotelHive</v>
      </c>
      <c r="E6935" s="122">
        <f>IFERROR(__xludf.DUMMYFUNCTION("""COMPUTED_VALUE"""),126.54)</f>
        <v>126.54</v>
      </c>
      <c r="F6935" s="122">
        <f>IFERROR(__xludf.DUMMYFUNCTION("""COMPUTED_VALUE"""),9.0E-4)</f>
        <v>0.0009</v>
      </c>
    </row>
    <row r="6936">
      <c r="A6936" s="131">
        <f>IFERROR(__xludf.DUMMYFUNCTION("""COMPUTED_VALUE"""),46187.57787037037)</f>
        <v>46187.57787</v>
      </c>
      <c r="B6936" s="126">
        <f>IFERROR(__xludf.DUMMYFUNCTION("""COMPUTED_VALUE"""),46187.0)</f>
        <v>46187</v>
      </c>
      <c r="C6936" s="122" t="str">
        <f>IFERROR(__xludf.DUMMYFUNCTION("""COMPUTED_VALUE"""),"LAND")</f>
        <v>LAND</v>
      </c>
      <c r="D6936" s="122" t="str">
        <f>IFERROR(__xludf.DUMMYFUNCTION("""COMPUTED_VALUE"""),"LandLink")</f>
        <v>LandLink</v>
      </c>
      <c r="E6936" s="122">
        <f>IFERROR(__xludf.DUMMYFUNCTION("""COMPUTED_VALUE"""),183.84)</f>
        <v>183.84</v>
      </c>
      <c r="F6936" s="122">
        <f>IFERROR(__xludf.DUMMYFUNCTION("""COMPUTED_VALUE"""),7.0E-4)</f>
        <v>0.0007</v>
      </c>
    </row>
    <row r="6937">
      <c r="A6937" s="131">
        <f>IFERROR(__xludf.DUMMYFUNCTION("""COMPUTED_VALUE"""),46187.57787037037)</f>
        <v>46187.57787</v>
      </c>
      <c r="B6937" s="126">
        <f>IFERROR(__xludf.DUMMYFUNCTION("""COMPUTED_VALUE"""),46187.0)</f>
        <v>46187</v>
      </c>
      <c r="C6937" s="122" t="str">
        <f>IFERROR(__xludf.DUMMYFUNCTION("""COMPUTED_VALUE"""),"CARS")</f>
        <v>CARS</v>
      </c>
      <c r="D6937" s="122" t="str">
        <f>IFERROR(__xludf.DUMMYFUNCTION("""COMPUTED_VALUE"""),"AutoArena")</f>
        <v>AutoArena</v>
      </c>
      <c r="E6937" s="122">
        <f>IFERROR(__xludf.DUMMYFUNCTION("""COMPUTED_VALUE"""),80.28)</f>
        <v>80.28</v>
      </c>
      <c r="F6937" s="122">
        <f>IFERROR(__xludf.DUMMYFUNCTION("""COMPUTED_VALUE"""),-0.0108)</f>
        <v>-0.0108</v>
      </c>
    </row>
    <row r="6938">
      <c r="A6938" s="131">
        <f>IFERROR(__xludf.DUMMYFUNCTION("""COMPUTED_VALUE"""),46187.57787037037)</f>
        <v>46187.57787</v>
      </c>
      <c r="B6938" s="126">
        <f>IFERROR(__xludf.DUMMYFUNCTION("""COMPUTED_VALUE"""),46187.0)</f>
        <v>46187</v>
      </c>
      <c r="C6938" s="122" t="str">
        <f>IFERROR(__xludf.DUMMYFUNCTION("""COMPUTED_VALUE"""),"EVGO")</f>
        <v>EVGO</v>
      </c>
      <c r="D6938" s="122" t="str">
        <f>IFERROR(__xludf.DUMMYFUNCTION("""COMPUTED_VALUE"""),"EVGo Motors")</f>
        <v>EVGo Motors</v>
      </c>
      <c r="E6938" s="122">
        <f>IFERROR(__xludf.DUMMYFUNCTION("""COMPUTED_VALUE"""),184.46)</f>
        <v>184.46</v>
      </c>
      <c r="F6938" s="122">
        <f>IFERROR(__xludf.DUMMYFUNCTION("""COMPUTED_VALUE"""),-0.001)</f>
        <v>-0.001</v>
      </c>
    </row>
    <row r="6939">
      <c r="A6939" s="131">
        <f>IFERROR(__xludf.DUMMYFUNCTION("""COMPUTED_VALUE"""),46187.57787037037)</f>
        <v>46187.57787</v>
      </c>
      <c r="B6939" s="126">
        <f>IFERROR(__xludf.DUMMYFUNCTION("""COMPUTED_VALUE"""),46187.0)</f>
        <v>46187</v>
      </c>
      <c r="C6939" s="122" t="str">
        <f>IFERROR(__xludf.DUMMYFUNCTION("""COMPUTED_VALUE"""),"TIRE")</f>
        <v>TIRE</v>
      </c>
      <c r="D6939" s="122" t="str">
        <f>IFERROR(__xludf.DUMMYFUNCTION("""COMPUTED_VALUE"""),"TireTown")</f>
        <v>TireTown</v>
      </c>
      <c r="E6939" s="122">
        <f>IFERROR(__xludf.DUMMYFUNCTION("""COMPUTED_VALUE"""),96.83)</f>
        <v>96.83</v>
      </c>
      <c r="F6939" s="122">
        <f>IFERROR(__xludf.DUMMYFUNCTION("""COMPUTED_VALUE"""),5.0E-4)</f>
        <v>0.0005</v>
      </c>
    </row>
    <row r="6940">
      <c r="A6940" s="131">
        <f>IFERROR(__xludf.DUMMYFUNCTION("""COMPUTED_VALUE"""),46187.57787037037)</f>
        <v>46187.57787</v>
      </c>
      <c r="B6940" s="126">
        <f>IFERROR(__xludf.DUMMYFUNCTION("""COMPUTED_VALUE"""),46187.0)</f>
        <v>46187</v>
      </c>
      <c r="C6940" s="122" t="str">
        <f>IFERROR(__xludf.DUMMYFUNCTION("""COMPUTED_VALUE"""),"BIKE")</f>
        <v>BIKE</v>
      </c>
      <c r="D6940" s="122" t="str">
        <f>IFERROR(__xludf.DUMMYFUNCTION("""COMPUTED_VALUE"""),"BikeBox")</f>
        <v>BikeBox</v>
      </c>
      <c r="E6940" s="122">
        <f>IFERROR(__xludf.DUMMYFUNCTION("""COMPUTED_VALUE"""),52.23)</f>
        <v>52.23</v>
      </c>
      <c r="F6940" s="122">
        <f>IFERROR(__xludf.DUMMYFUNCTION("""COMPUTED_VALUE"""),-0.0072)</f>
        <v>-0.0072</v>
      </c>
    </row>
    <row r="6941">
      <c r="A6941" s="131">
        <f>IFERROR(__xludf.DUMMYFUNCTION("""COMPUTED_VALUE"""),46187.57787037037)</f>
        <v>46187.57787</v>
      </c>
      <c r="B6941" s="126">
        <f>IFERROR(__xludf.DUMMYFUNCTION("""COMPUTED_VALUE"""),46187.0)</f>
        <v>46187</v>
      </c>
      <c r="C6941" s="122" t="str">
        <f>IFERROR(__xludf.DUMMYFUNCTION("""COMPUTED_VALUE"""),"WASH")</f>
        <v>WASH</v>
      </c>
      <c r="D6941" s="122" t="str">
        <f>IFERROR(__xludf.DUMMYFUNCTION("""COMPUTED_VALUE"""),"CarWash Co")</f>
        <v>CarWash Co</v>
      </c>
      <c r="E6941" s="122">
        <f>IFERROR(__xludf.DUMMYFUNCTION("""COMPUTED_VALUE"""),120.86)</f>
        <v>120.86</v>
      </c>
      <c r="F6941" s="122">
        <f>IFERROR(__xludf.DUMMYFUNCTION("""COMPUTED_VALUE"""),0.0025)</f>
        <v>0.0025</v>
      </c>
    </row>
    <row r="6942">
      <c r="A6942" s="131">
        <f>IFERROR(__xludf.DUMMYFUNCTION("""COMPUTED_VALUE"""),46187.57787037037)</f>
        <v>46187.57787</v>
      </c>
      <c r="B6942" s="126">
        <f>IFERROR(__xludf.DUMMYFUNCTION("""COMPUTED_VALUE"""),46187.0)</f>
        <v>46187</v>
      </c>
      <c r="C6942" s="122" t="str">
        <f>IFERROR(__xludf.DUMMYFUNCTION("""COMPUTED_VALUE"""),"GBND")</f>
        <v>GBND</v>
      </c>
      <c r="D6942" s="122" t="str">
        <f>IFERROR(__xludf.DUMMYFUNCTION("""COMPUTED_VALUE"""),"Classroom Government Bond")</f>
        <v>Classroom Government Bond</v>
      </c>
      <c r="E6942" s="122">
        <f>IFERROR(__xludf.DUMMYFUNCTION("""COMPUTED_VALUE"""),101.07)</f>
        <v>101.07</v>
      </c>
      <c r="F6942" s="122">
        <f>IFERROR(__xludf.DUMMYFUNCTION("""COMPUTED_VALUE"""),-4.0E-4)</f>
        <v>-0.0004</v>
      </c>
    </row>
    <row r="6943">
      <c r="A6943" s="131">
        <f>IFERROR(__xludf.DUMMYFUNCTION("""COMPUTED_VALUE"""),46187.57787037037)</f>
        <v>46187.57787</v>
      </c>
      <c r="B6943" s="126">
        <f>IFERROR(__xludf.DUMMYFUNCTION("""COMPUTED_VALUE"""),46187.0)</f>
        <v>46187</v>
      </c>
      <c r="C6943" s="122" t="str">
        <f>IFERROR(__xludf.DUMMYFUNCTION("""COMPUTED_VALUE"""),"SBND")</f>
        <v>SBND</v>
      </c>
      <c r="D6943" s="122" t="str">
        <f>IFERROR(__xludf.DUMMYFUNCTION("""COMPUTED_VALUE"""),"School Savings Bond")</f>
        <v>School Savings Bond</v>
      </c>
      <c r="E6943" s="122">
        <f>IFERROR(__xludf.DUMMYFUNCTION("""COMPUTED_VALUE"""),99.27)</f>
        <v>99.27</v>
      </c>
      <c r="F6943" s="122">
        <f>IFERROR(__xludf.DUMMYFUNCTION("""COMPUTED_VALUE"""),1.0E-4)</f>
        <v>0.0001</v>
      </c>
    </row>
    <row r="6944">
      <c r="A6944" s="131">
        <f>IFERROR(__xludf.DUMMYFUNCTION("""COMPUTED_VALUE"""),46187.57787037037)</f>
        <v>46187.57787</v>
      </c>
      <c r="B6944" s="126">
        <f>IFERROR(__xludf.DUMMYFUNCTION("""COMPUTED_VALUE"""),46187.0)</f>
        <v>46187</v>
      </c>
      <c r="C6944" s="122" t="str">
        <f>IFERROR(__xludf.DUMMYFUNCTION("""COMPUTED_VALUE"""),"CBND")</f>
        <v>CBND</v>
      </c>
      <c r="D6944" s="122" t="str">
        <f>IFERROR(__xludf.DUMMYFUNCTION("""COMPUTED_VALUE"""),"Corporate Classroom Bond")</f>
        <v>Corporate Classroom Bond</v>
      </c>
      <c r="E6944" s="122">
        <f>IFERROR(__xludf.DUMMYFUNCTION("""COMPUTED_VALUE"""),97.78)</f>
        <v>97.78</v>
      </c>
      <c r="F6944" s="122">
        <f>IFERROR(__xludf.DUMMYFUNCTION("""COMPUTED_VALUE"""),-2.0E-4)</f>
        <v>-0.0002</v>
      </c>
    </row>
    <row r="6945">
      <c r="A6945" s="131">
        <f>IFERROR(__xludf.DUMMYFUNCTION("""COMPUTED_VALUE"""),46187.57787037037)</f>
        <v>46187.57787</v>
      </c>
      <c r="B6945" s="126">
        <f>IFERROR(__xludf.DUMMYFUNCTION("""COMPUTED_VALUE"""),46187.0)</f>
        <v>46187</v>
      </c>
      <c r="C6945" s="122" t="str">
        <f>IFERROR(__xludf.DUMMYFUNCTION("""COMPUTED_VALUE"""),"TBIL")</f>
        <v>TBIL</v>
      </c>
      <c r="D6945" s="122" t="str">
        <f>IFERROR(__xludf.DUMMYFUNCTION("""COMPUTED_VALUE"""),"Treasury Bill")</f>
        <v>Treasury Bill</v>
      </c>
      <c r="E6945" s="122">
        <f>IFERROR(__xludf.DUMMYFUNCTION("""COMPUTED_VALUE"""),97.83)</f>
        <v>97.83</v>
      </c>
      <c r="F6945" s="122">
        <f>IFERROR(__xludf.DUMMYFUNCTION("""COMPUTED_VALUE"""),-4.0E-4)</f>
        <v>-0.0004</v>
      </c>
    </row>
    <row r="6946">
      <c r="A6946" s="131">
        <f>IFERROR(__xludf.DUMMYFUNCTION("""COMPUTED_VALUE"""),46187.57787037037)</f>
        <v>46187.57787</v>
      </c>
      <c r="B6946" s="126">
        <f>IFERROR(__xludf.DUMMYFUNCTION("""COMPUTED_VALUE"""),46187.0)</f>
        <v>46187</v>
      </c>
      <c r="C6946" s="122" t="str">
        <f>IFERROR(__xludf.DUMMYFUNCTION("""COMPUTED_VALUE"""),"IBND")</f>
        <v>IBND</v>
      </c>
      <c r="D6946" s="122" t="str">
        <f>IFERROR(__xludf.DUMMYFUNCTION("""COMPUTED_VALUE"""),"Inflation Protected Bond")</f>
        <v>Inflation Protected Bond</v>
      </c>
      <c r="E6946" s="122">
        <f>IFERROR(__xludf.DUMMYFUNCTION("""COMPUTED_VALUE"""),100.73)</f>
        <v>100.73</v>
      </c>
      <c r="F6946" s="122">
        <f>IFERROR(__xludf.DUMMYFUNCTION("""COMPUTED_VALUE"""),-4.0E-4)</f>
        <v>-0.0004</v>
      </c>
    </row>
    <row r="6947">
      <c r="A6947" s="131">
        <f>IFERROR(__xludf.DUMMYFUNCTION("""COMPUTED_VALUE"""),46187.58137731482)</f>
        <v>46187.58138</v>
      </c>
      <c r="B6947" s="126">
        <f>IFERROR(__xludf.DUMMYFUNCTION("""COMPUTED_VALUE"""),46187.0)</f>
        <v>46187</v>
      </c>
      <c r="C6947" s="122" t="str">
        <f>IFERROR(__xludf.DUMMYFUNCTION("""COMPUTED_VALUE"""),"SNAX")</f>
        <v>SNAX</v>
      </c>
      <c r="D6947" s="122" t="str">
        <f>IFERROR(__xludf.DUMMYFUNCTION("""COMPUTED_VALUE"""),"MICA Snacks")</f>
        <v>MICA Snacks</v>
      </c>
      <c r="E6947" s="122">
        <f>IFERROR(__xludf.DUMMYFUNCTION("""COMPUTED_VALUE"""),121.97)</f>
        <v>121.97</v>
      </c>
      <c r="F6947" s="122">
        <f>IFERROR(__xludf.DUMMYFUNCTION("""COMPUTED_VALUE"""),0.0025)</f>
        <v>0.0025</v>
      </c>
    </row>
    <row r="6948">
      <c r="A6948" s="131">
        <f>IFERROR(__xludf.DUMMYFUNCTION("""COMPUTED_VALUE"""),46187.58137731482)</f>
        <v>46187.58138</v>
      </c>
      <c r="B6948" s="126">
        <f>IFERROR(__xludf.DUMMYFUNCTION("""COMPUTED_VALUE"""),46187.0)</f>
        <v>46187</v>
      </c>
      <c r="C6948" s="122" t="str">
        <f>IFERROR(__xludf.DUMMYFUNCTION("""COMPUTED_VALUE"""),"RAMN")</f>
        <v>RAMN</v>
      </c>
      <c r="D6948" s="122" t="str">
        <f>IFERROR(__xludf.DUMMYFUNCTION("""COMPUTED_VALUE"""),"Ramen Republic")</f>
        <v>Ramen Republic</v>
      </c>
      <c r="E6948" s="122">
        <f>IFERROR(__xludf.DUMMYFUNCTION("""COMPUTED_VALUE"""),64.93)</f>
        <v>64.93</v>
      </c>
      <c r="F6948" s="122">
        <f>IFERROR(__xludf.DUMMYFUNCTION("""COMPUTED_VALUE"""),-0.0075)</f>
        <v>-0.0075</v>
      </c>
    </row>
    <row r="6949">
      <c r="A6949" s="131">
        <f>IFERROR(__xludf.DUMMYFUNCTION("""COMPUTED_VALUE"""),46187.58137731482)</f>
        <v>46187.58138</v>
      </c>
      <c r="B6949" s="126">
        <f>IFERROR(__xludf.DUMMYFUNCTION("""COMPUTED_VALUE"""),46187.0)</f>
        <v>46187</v>
      </c>
      <c r="C6949" s="122" t="str">
        <f>IFERROR(__xludf.DUMMYFUNCTION("""COMPUTED_VALUE"""),"COLA")</f>
        <v>COLA</v>
      </c>
      <c r="D6949" s="122" t="str">
        <f>IFERROR(__xludf.DUMMYFUNCTION("""COMPUTED_VALUE"""),"K-Pop Cola")</f>
        <v>K-Pop Cola</v>
      </c>
      <c r="E6949" s="122">
        <f>IFERROR(__xludf.DUMMYFUNCTION("""COMPUTED_VALUE"""),114.26)</f>
        <v>114.26</v>
      </c>
      <c r="F6949" s="122">
        <f>IFERROR(__xludf.DUMMYFUNCTION("""COMPUTED_VALUE"""),0.0018)</f>
        <v>0.0018</v>
      </c>
    </row>
    <row r="6950">
      <c r="A6950" s="131">
        <f>IFERROR(__xludf.DUMMYFUNCTION("""COMPUTED_VALUE"""),46187.58137731482)</f>
        <v>46187.58138</v>
      </c>
      <c r="B6950" s="126">
        <f>IFERROR(__xludf.DUMMYFUNCTION("""COMPUTED_VALUE"""),46187.0)</f>
        <v>46187</v>
      </c>
      <c r="C6950" s="122" t="str">
        <f>IFERROR(__xludf.DUMMYFUNCTION("""COMPUTED_VALUE"""),"CHIP")</f>
        <v>CHIP</v>
      </c>
      <c r="D6950" s="122" t="str">
        <f>IFERROR(__xludf.DUMMYFUNCTION("""COMPUTED_VALUE"""),"Chip Empire")</f>
        <v>Chip Empire</v>
      </c>
      <c r="E6950" s="122">
        <f>IFERROR(__xludf.DUMMYFUNCTION("""COMPUTED_VALUE"""),82.43)</f>
        <v>82.43</v>
      </c>
      <c r="F6950" s="122">
        <f>IFERROR(__xludf.DUMMYFUNCTION("""COMPUTED_VALUE"""),-0.0057)</f>
        <v>-0.0057</v>
      </c>
    </row>
    <row r="6951">
      <c r="A6951" s="131">
        <f>IFERROR(__xludf.DUMMYFUNCTION("""COMPUTED_VALUE"""),46187.58137731482)</f>
        <v>46187.58138</v>
      </c>
      <c r="B6951" s="126">
        <f>IFERROR(__xludf.DUMMYFUNCTION("""COMPUTED_VALUE"""),46187.0)</f>
        <v>46187</v>
      </c>
      <c r="C6951" s="122" t="str">
        <f>IFERROR(__xludf.DUMMYFUNCTION("""COMPUTED_VALUE"""),"CAND")</f>
        <v>CAND</v>
      </c>
      <c r="D6951" s="122" t="str">
        <f>IFERROR(__xludf.DUMMYFUNCTION("""COMPUTED_VALUE"""),"Candy Capital")</f>
        <v>Candy Capital</v>
      </c>
      <c r="E6951" s="122">
        <f>IFERROR(__xludf.DUMMYFUNCTION("""COMPUTED_VALUE"""),76.48)</f>
        <v>76.48</v>
      </c>
      <c r="F6951" s="122">
        <f>IFERROR(__xludf.DUMMYFUNCTION("""COMPUTED_VALUE"""),-0.0053)</f>
        <v>-0.0053</v>
      </c>
    </row>
    <row r="6952">
      <c r="A6952" s="131">
        <f>IFERROR(__xludf.DUMMYFUNCTION("""COMPUTED_VALUE"""),46187.58137731482)</f>
        <v>46187.58138</v>
      </c>
      <c r="B6952" s="126">
        <f>IFERROR(__xludf.DUMMYFUNCTION("""COMPUTED_VALUE"""),46187.0)</f>
        <v>46187</v>
      </c>
      <c r="C6952" s="122" t="str">
        <f>IFERROR(__xludf.DUMMYFUNCTION("""COMPUTED_VALUE"""),"TECH")</f>
        <v>TECH</v>
      </c>
      <c r="D6952" s="122" t="str">
        <f>IFERROR(__xludf.DUMMYFUNCTION("""COMPUTED_VALUE"""),"Dragon Tech")</f>
        <v>Dragon Tech</v>
      </c>
      <c r="E6952" s="122">
        <f>IFERROR(__xludf.DUMMYFUNCTION("""COMPUTED_VALUE"""),251.31)</f>
        <v>251.31</v>
      </c>
      <c r="F6952" s="122">
        <f>IFERROR(__xludf.DUMMYFUNCTION("""COMPUTED_VALUE"""),0.007)</f>
        <v>0.007</v>
      </c>
    </row>
    <row r="6953">
      <c r="A6953" s="131">
        <f>IFERROR(__xludf.DUMMYFUNCTION("""COMPUTED_VALUE"""),46187.58137731482)</f>
        <v>46187.58138</v>
      </c>
      <c r="B6953" s="126">
        <f>IFERROR(__xludf.DUMMYFUNCTION("""COMPUTED_VALUE"""),46187.0)</f>
        <v>46187</v>
      </c>
      <c r="C6953" s="122" t="str">
        <f>IFERROR(__xludf.DUMMYFUNCTION("""COMPUTED_VALUE"""),"AIBO")</f>
        <v>AIBO</v>
      </c>
      <c r="D6953" s="122" t="str">
        <f>IFERROR(__xludf.DUMMYFUNCTION("""COMPUTED_VALUE"""),"Homework AI")</f>
        <v>Homework AI</v>
      </c>
      <c r="E6953" s="122">
        <f>IFERROR(__xludf.DUMMYFUNCTION("""COMPUTED_VALUE"""),189.07)</f>
        <v>189.07</v>
      </c>
      <c r="F6953" s="122">
        <f>IFERROR(__xludf.DUMMYFUNCTION("""COMPUTED_VALUE"""),-0.0102)</f>
        <v>-0.0102</v>
      </c>
    </row>
    <row r="6954">
      <c r="A6954" s="131">
        <f>IFERROR(__xludf.DUMMYFUNCTION("""COMPUTED_VALUE"""),46187.58137731482)</f>
        <v>46187.58138</v>
      </c>
      <c r="B6954" s="126">
        <f>IFERROR(__xludf.DUMMYFUNCTION("""COMPUTED_VALUE"""),46187.0)</f>
        <v>46187</v>
      </c>
      <c r="C6954" s="122" t="str">
        <f>IFERROR(__xludf.DUMMYFUNCTION("""COMPUTED_VALUE"""),"GAME")</f>
        <v>GAME</v>
      </c>
      <c r="D6954" s="122" t="str">
        <f>IFERROR(__xludf.DUMMYFUNCTION("""COMPUTED_VALUE"""),"GameBox Media")</f>
        <v>GameBox Media</v>
      </c>
      <c r="E6954" s="122">
        <f>IFERROR(__xludf.DUMMYFUNCTION("""COMPUTED_VALUE"""),101.78)</f>
        <v>101.78</v>
      </c>
      <c r="F6954" s="122">
        <f>IFERROR(__xludf.DUMMYFUNCTION("""COMPUTED_VALUE"""),9.0E-4)</f>
        <v>0.0009</v>
      </c>
    </row>
    <row r="6955">
      <c r="A6955" s="131">
        <f>IFERROR(__xludf.DUMMYFUNCTION("""COMPUTED_VALUE"""),46187.58137731482)</f>
        <v>46187.58138</v>
      </c>
      <c r="B6955" s="126">
        <f>IFERROR(__xludf.DUMMYFUNCTION("""COMPUTED_VALUE"""),46187.0)</f>
        <v>46187</v>
      </c>
      <c r="C6955" s="122" t="str">
        <f>IFERROR(__xludf.DUMMYFUNCTION("""COMPUTED_VALUE"""),"VRSE")</f>
        <v>VRSE</v>
      </c>
      <c r="D6955" s="122" t="str">
        <f>IFERROR(__xludf.DUMMYFUNCTION("""COMPUTED_VALUE"""),"VerseVR")</f>
        <v>VerseVR</v>
      </c>
      <c r="E6955" s="122">
        <f>IFERROR(__xludf.DUMMYFUNCTION("""COMPUTED_VALUE"""),147.65)</f>
        <v>147.65</v>
      </c>
      <c r="F6955" s="122">
        <f>IFERROR(__xludf.DUMMYFUNCTION("""COMPUTED_VALUE"""),0.0107)</f>
        <v>0.0107</v>
      </c>
    </row>
    <row r="6956">
      <c r="A6956" s="131">
        <f>IFERROR(__xludf.DUMMYFUNCTION("""COMPUTED_VALUE"""),46187.58137731482)</f>
        <v>46187.58138</v>
      </c>
      <c r="B6956" s="126">
        <f>IFERROR(__xludf.DUMMYFUNCTION("""COMPUTED_VALUE"""),46187.0)</f>
        <v>46187</v>
      </c>
      <c r="C6956" s="122" t="str">
        <f>IFERROR(__xludf.DUMMYFUNCTION("""COMPUTED_VALUE"""),"BYTE")</f>
        <v>BYTE</v>
      </c>
      <c r="D6956" s="122" t="str">
        <f>IFERROR(__xludf.DUMMYFUNCTION("""COMPUTED_VALUE"""),"ByteWorks")</f>
        <v>ByteWorks</v>
      </c>
      <c r="E6956" s="122">
        <f>IFERROR(__xludf.DUMMYFUNCTION("""COMPUTED_VALUE"""),116.16)</f>
        <v>116.16</v>
      </c>
      <c r="F6956" s="122">
        <f>IFERROR(__xludf.DUMMYFUNCTION("""COMPUTED_VALUE"""),-0.0051)</f>
        <v>-0.0051</v>
      </c>
    </row>
    <row r="6957">
      <c r="A6957" s="131">
        <f>IFERROR(__xludf.DUMMYFUNCTION("""COMPUTED_VALUE"""),46187.58137731482)</f>
        <v>46187.58138</v>
      </c>
      <c r="B6957" s="126">
        <f>IFERROR(__xludf.DUMMYFUNCTION("""COMPUTED_VALUE"""),46187.0)</f>
        <v>46187</v>
      </c>
      <c r="C6957" s="122" t="str">
        <f>IFERROR(__xludf.DUMMYFUNCTION("""COMPUTED_VALUE"""),"BANK")</f>
        <v>BANK</v>
      </c>
      <c r="D6957" s="122" t="str">
        <f>IFERROR(__xludf.DUMMYFUNCTION("""COMPUTED_VALUE"""),"Tiger Bank")</f>
        <v>Tiger Bank</v>
      </c>
      <c r="E6957" s="122">
        <f>IFERROR(__xludf.DUMMYFUNCTION("""COMPUTED_VALUE"""),131.09)</f>
        <v>131.09</v>
      </c>
      <c r="F6957" s="122">
        <f>IFERROR(__xludf.DUMMYFUNCTION("""COMPUTED_VALUE"""),8.0E-4)</f>
        <v>0.0008</v>
      </c>
    </row>
    <row r="6958">
      <c r="A6958" s="131">
        <f>IFERROR(__xludf.DUMMYFUNCTION("""COMPUTED_VALUE"""),46187.58137731482)</f>
        <v>46187.58138</v>
      </c>
      <c r="B6958" s="126">
        <f>IFERROR(__xludf.DUMMYFUNCTION("""COMPUTED_VALUE"""),46187.0)</f>
        <v>46187</v>
      </c>
      <c r="C6958" s="122" t="str">
        <f>IFERROR(__xludf.DUMMYFUNCTION("""COMPUTED_VALUE"""),"CRED")</f>
        <v>CRED</v>
      </c>
      <c r="D6958" s="122" t="str">
        <f>IFERROR(__xludf.DUMMYFUNCTION("""COMPUTED_VALUE"""),"Credit Castle")</f>
        <v>Credit Castle</v>
      </c>
      <c r="E6958" s="122">
        <f>IFERROR(__xludf.DUMMYFUNCTION("""COMPUTED_VALUE"""),67.34)</f>
        <v>67.34</v>
      </c>
      <c r="F6958" s="122">
        <f>IFERROR(__xludf.DUMMYFUNCTION("""COMPUTED_VALUE"""),-0.0033)</f>
        <v>-0.0033</v>
      </c>
    </row>
    <row r="6959">
      <c r="A6959" s="131">
        <f>IFERROR(__xludf.DUMMYFUNCTION("""COMPUTED_VALUE"""),46187.58137731482)</f>
        <v>46187.58138</v>
      </c>
      <c r="B6959" s="126">
        <f>IFERROR(__xludf.DUMMYFUNCTION("""COMPUTED_VALUE"""),46187.0)</f>
        <v>46187</v>
      </c>
      <c r="C6959" s="122" t="str">
        <f>IFERROR(__xludf.DUMMYFUNCTION("""COMPUTED_VALUE"""),"BOND")</f>
        <v>BOND</v>
      </c>
      <c r="D6959" s="122" t="str">
        <f>IFERROR(__xludf.DUMMYFUNCTION("""COMPUTED_VALUE"""),"BondBridge")</f>
        <v>BondBridge</v>
      </c>
      <c r="E6959" s="122">
        <f>IFERROR(__xludf.DUMMYFUNCTION("""COMPUTED_VALUE"""),103.16)</f>
        <v>103.16</v>
      </c>
      <c r="F6959" s="122">
        <f>IFERROR(__xludf.DUMMYFUNCTION("""COMPUTED_VALUE"""),0.0022)</f>
        <v>0.0022</v>
      </c>
    </row>
    <row r="6960">
      <c r="A6960" s="131">
        <f>IFERROR(__xludf.DUMMYFUNCTION("""COMPUTED_VALUE"""),46187.58137731482)</f>
        <v>46187.58138</v>
      </c>
      <c r="B6960" s="126">
        <f>IFERROR(__xludf.DUMMYFUNCTION("""COMPUTED_VALUE"""),46187.0)</f>
        <v>46187</v>
      </c>
      <c r="C6960" s="122" t="str">
        <f>IFERROR(__xludf.DUMMYFUNCTION("""COMPUTED_VALUE"""),"INSR")</f>
        <v>INSR</v>
      </c>
      <c r="D6960" s="122" t="str">
        <f>IFERROR(__xludf.DUMMYFUNCTION("""COMPUTED_VALUE"""),"Shield Insurance")</f>
        <v>Shield Insurance</v>
      </c>
      <c r="E6960" s="122">
        <f>IFERROR(__xludf.DUMMYFUNCTION("""COMPUTED_VALUE"""),158.22)</f>
        <v>158.22</v>
      </c>
      <c r="F6960" s="122">
        <f>IFERROR(__xludf.DUMMYFUNCTION("""COMPUTED_VALUE"""),-0.0028)</f>
        <v>-0.0028</v>
      </c>
    </row>
    <row r="6961">
      <c r="A6961" s="131">
        <f>IFERROR(__xludf.DUMMYFUNCTION("""COMPUTED_VALUE"""),46187.58137731482)</f>
        <v>46187.58138</v>
      </c>
      <c r="B6961" s="126">
        <f>IFERROR(__xludf.DUMMYFUNCTION("""COMPUTED_VALUE"""),46187.0)</f>
        <v>46187</v>
      </c>
      <c r="C6961" s="122" t="str">
        <f>IFERROR(__xludf.DUMMYFUNCTION("""COMPUTED_VALUE"""),"LOAN")</f>
        <v>LOAN</v>
      </c>
      <c r="D6961" s="122" t="str">
        <f>IFERROR(__xludf.DUMMYFUNCTION("""COMPUTED_VALUE"""),"LoanLab")</f>
        <v>LoanLab</v>
      </c>
      <c r="E6961" s="122">
        <f>IFERROR(__xludf.DUMMYFUNCTION("""COMPUTED_VALUE"""),69.27)</f>
        <v>69.27</v>
      </c>
      <c r="F6961" s="122">
        <f>IFERROR(__xludf.DUMMYFUNCTION("""COMPUTED_VALUE"""),0.0054)</f>
        <v>0.0054</v>
      </c>
    </row>
    <row r="6962">
      <c r="A6962" s="131">
        <f>IFERROR(__xludf.DUMMYFUNCTION("""COMPUTED_VALUE"""),46187.58137731482)</f>
        <v>46187.58138</v>
      </c>
      <c r="B6962" s="126">
        <f>IFERROR(__xludf.DUMMYFUNCTION("""COMPUTED_VALUE"""),46187.0)</f>
        <v>46187</v>
      </c>
      <c r="C6962" s="122" t="str">
        <f>IFERROR(__xludf.DUMMYFUNCTION("""COMPUTED_VALUE"""),"LUXE")</f>
        <v>LUXE</v>
      </c>
      <c r="D6962" s="122" t="str">
        <f>IFERROR(__xludf.DUMMYFUNCTION("""COMPUTED_VALUE"""),"Luxury Locker")</f>
        <v>Luxury Locker</v>
      </c>
      <c r="E6962" s="122">
        <f>IFERROR(__xludf.DUMMYFUNCTION("""COMPUTED_VALUE"""),266.52)</f>
        <v>266.52</v>
      </c>
      <c r="F6962" s="122">
        <f>IFERROR(__xludf.DUMMYFUNCTION("""COMPUTED_VALUE"""),-0.0043)</f>
        <v>-0.0043</v>
      </c>
    </row>
    <row r="6963">
      <c r="A6963" s="131">
        <f>IFERROR(__xludf.DUMMYFUNCTION("""COMPUTED_VALUE"""),46187.58137731482)</f>
        <v>46187.58138</v>
      </c>
      <c r="B6963" s="126">
        <f>IFERROR(__xludf.DUMMYFUNCTION("""COMPUTED_VALUE"""),46187.0)</f>
        <v>46187</v>
      </c>
      <c r="C6963" s="122" t="str">
        <f>IFERROR(__xludf.DUMMYFUNCTION("""COMPUTED_VALUE"""),"DRIP")</f>
        <v>DRIP</v>
      </c>
      <c r="D6963" s="122" t="str">
        <f>IFERROR(__xludf.DUMMYFUNCTION("""COMPUTED_VALUE"""),"Drip Streetwear")</f>
        <v>Drip Streetwear</v>
      </c>
      <c r="E6963" s="122">
        <f>IFERROR(__xludf.DUMMYFUNCTION("""COMPUTED_VALUE"""),192.06)</f>
        <v>192.06</v>
      </c>
      <c r="F6963" s="122">
        <f>IFERROR(__xludf.DUMMYFUNCTION("""COMPUTED_VALUE"""),-0.009)</f>
        <v>-0.009</v>
      </c>
    </row>
    <row r="6964">
      <c r="A6964" s="131">
        <f>IFERROR(__xludf.DUMMYFUNCTION("""COMPUTED_VALUE"""),46187.58137731482)</f>
        <v>46187.58138</v>
      </c>
      <c r="B6964" s="126">
        <f>IFERROR(__xludf.DUMMYFUNCTION("""COMPUTED_VALUE"""),46187.0)</f>
        <v>46187</v>
      </c>
      <c r="C6964" s="122" t="str">
        <f>IFERROR(__xludf.DUMMYFUNCTION("""COMPUTED_VALUE"""),"KICK")</f>
        <v>KICK</v>
      </c>
      <c r="D6964" s="122" t="str">
        <f>IFERROR(__xludf.DUMMYFUNCTION("""COMPUTED_VALUE"""),"KickDrop Sneakers")</f>
        <v>KickDrop Sneakers</v>
      </c>
      <c r="E6964" s="122">
        <f>IFERROR(__xludf.DUMMYFUNCTION("""COMPUTED_VALUE"""),168.15)</f>
        <v>168.15</v>
      </c>
      <c r="F6964" s="122">
        <f>IFERROR(__xludf.DUMMYFUNCTION("""COMPUTED_VALUE"""),0.0048)</f>
        <v>0.0048</v>
      </c>
    </row>
    <row r="6965">
      <c r="A6965" s="131">
        <f>IFERROR(__xludf.DUMMYFUNCTION("""COMPUTED_VALUE"""),46187.58137731482)</f>
        <v>46187.58138</v>
      </c>
      <c r="B6965" s="126">
        <f>IFERROR(__xludf.DUMMYFUNCTION("""COMPUTED_VALUE"""),46187.0)</f>
        <v>46187</v>
      </c>
      <c r="C6965" s="122" t="str">
        <f>IFERROR(__xludf.DUMMYFUNCTION("""COMPUTED_VALUE"""),"GLAM")</f>
        <v>GLAM</v>
      </c>
      <c r="D6965" s="122" t="str">
        <f>IFERROR(__xludf.DUMMYFUNCTION("""COMPUTED_VALUE"""),"Glow Cosmetics")</f>
        <v>Glow Cosmetics</v>
      </c>
      <c r="E6965" s="122">
        <f>IFERROR(__xludf.DUMMYFUNCTION("""COMPUTED_VALUE"""),110.17)</f>
        <v>110.17</v>
      </c>
      <c r="F6965" s="122">
        <f>IFERROR(__xludf.DUMMYFUNCTION("""COMPUTED_VALUE"""),-3.0E-4)</f>
        <v>-0.0003</v>
      </c>
    </row>
    <row r="6966">
      <c r="A6966" s="131">
        <f>IFERROR(__xludf.DUMMYFUNCTION("""COMPUTED_VALUE"""),46187.58137731482)</f>
        <v>46187.58138</v>
      </c>
      <c r="B6966" s="126">
        <f>IFERROR(__xludf.DUMMYFUNCTION("""COMPUTED_VALUE"""),46187.0)</f>
        <v>46187</v>
      </c>
      <c r="C6966" s="122" t="str">
        <f>IFERROR(__xludf.DUMMYFUNCTION("""COMPUTED_VALUE"""),"BAGG")</f>
        <v>BAGG</v>
      </c>
      <c r="D6966" s="122" t="str">
        <f>IFERROR(__xludf.DUMMYFUNCTION("""COMPUTED_VALUE"""),"BagVault")</f>
        <v>BagVault</v>
      </c>
      <c r="E6966" s="122">
        <f>IFERROR(__xludf.DUMMYFUNCTION("""COMPUTED_VALUE"""),269.8)</f>
        <v>269.8</v>
      </c>
      <c r="F6966" s="122">
        <f>IFERROR(__xludf.DUMMYFUNCTION("""COMPUTED_VALUE"""),-3.0E-4)</f>
        <v>-0.0003</v>
      </c>
    </row>
    <row r="6967">
      <c r="A6967" s="131">
        <f>IFERROR(__xludf.DUMMYFUNCTION("""COMPUTED_VALUE"""),46187.58137731482)</f>
        <v>46187.58138</v>
      </c>
      <c r="B6967" s="126">
        <f>IFERROR(__xludf.DUMMYFUNCTION("""COMPUTED_VALUE"""),46187.0)</f>
        <v>46187</v>
      </c>
      <c r="C6967" s="122" t="str">
        <f>IFERROR(__xludf.DUMMYFUNCTION("""COMPUTED_VALUE"""),"FAST")</f>
        <v>FAST</v>
      </c>
      <c r="D6967" s="122" t="str">
        <f>IFERROR(__xludf.DUMMYFUNCTION("""COMPUTED_VALUE"""),"Flash Logistics")</f>
        <v>Flash Logistics</v>
      </c>
      <c r="E6967" s="122">
        <f>IFERROR(__xludf.DUMMYFUNCTION("""COMPUTED_VALUE"""),107.94)</f>
        <v>107.94</v>
      </c>
      <c r="F6967" s="122">
        <f>IFERROR(__xludf.DUMMYFUNCTION("""COMPUTED_VALUE"""),0.0034)</f>
        <v>0.0034</v>
      </c>
    </row>
    <row r="6968">
      <c r="A6968" s="131">
        <f>IFERROR(__xludf.DUMMYFUNCTION("""COMPUTED_VALUE"""),46187.58137731482)</f>
        <v>46187.58138</v>
      </c>
      <c r="B6968" s="126">
        <f>IFERROR(__xludf.DUMMYFUNCTION("""COMPUTED_VALUE"""),46187.0)</f>
        <v>46187</v>
      </c>
      <c r="C6968" s="122" t="str">
        <f>IFERROR(__xludf.DUMMYFUNCTION("""COMPUTED_VALUE"""),"SHIP")</f>
        <v>SHIP</v>
      </c>
      <c r="D6968" s="122" t="str">
        <f>IFERROR(__xludf.DUMMYFUNCTION("""COMPUTED_VALUE"""),"Seoul Shipping")</f>
        <v>Seoul Shipping</v>
      </c>
      <c r="E6968" s="122">
        <f>IFERROR(__xludf.DUMMYFUNCTION("""COMPUTED_VALUE"""),128.82)</f>
        <v>128.82</v>
      </c>
      <c r="F6968" s="122">
        <f>IFERROR(__xludf.DUMMYFUNCTION("""COMPUTED_VALUE"""),-2.0E-4)</f>
        <v>-0.0002</v>
      </c>
    </row>
    <row r="6969">
      <c r="A6969" s="131">
        <f>IFERROR(__xludf.DUMMYFUNCTION("""COMPUTED_VALUE"""),46187.58137731482)</f>
        <v>46187.58138</v>
      </c>
      <c r="B6969" s="126">
        <f>IFERROR(__xludf.DUMMYFUNCTION("""COMPUTED_VALUE"""),46187.0)</f>
        <v>46187</v>
      </c>
      <c r="C6969" s="122" t="str">
        <f>IFERROR(__xludf.DUMMYFUNCTION("""COMPUTED_VALUE"""),"DRON")</f>
        <v>DRON</v>
      </c>
      <c r="D6969" s="122" t="str">
        <f>IFERROR(__xludf.DUMMYFUNCTION("""COMPUTED_VALUE"""),"DroneDrop")</f>
        <v>DroneDrop</v>
      </c>
      <c r="E6969" s="122">
        <f>IFERROR(__xludf.DUMMYFUNCTION("""COMPUTED_VALUE"""),127.63)</f>
        <v>127.63</v>
      </c>
      <c r="F6969" s="122">
        <f>IFERROR(__xludf.DUMMYFUNCTION("""COMPUTED_VALUE"""),0.0109)</f>
        <v>0.0109</v>
      </c>
    </row>
    <row r="6970">
      <c r="A6970" s="131">
        <f>IFERROR(__xludf.DUMMYFUNCTION("""COMPUTED_VALUE"""),46187.58137731482)</f>
        <v>46187.58138</v>
      </c>
      <c r="B6970" s="126">
        <f>IFERROR(__xludf.DUMMYFUNCTION("""COMPUTED_VALUE"""),46187.0)</f>
        <v>46187</v>
      </c>
      <c r="C6970" s="122" t="str">
        <f>IFERROR(__xludf.DUMMYFUNCTION("""COMPUTED_VALUE"""),"RIDE")</f>
        <v>RIDE</v>
      </c>
      <c r="D6970" s="122" t="str">
        <f>IFERROR(__xludf.DUMMYFUNCTION("""COMPUTED_VALUE"""),"QuickRide")</f>
        <v>QuickRide</v>
      </c>
      <c r="E6970" s="122">
        <f>IFERROR(__xludf.DUMMYFUNCTION("""COMPUTED_VALUE"""),102.27)</f>
        <v>102.27</v>
      </c>
      <c r="F6970" s="122">
        <f>IFERROR(__xludf.DUMMYFUNCTION("""COMPUTED_VALUE"""),0.01)</f>
        <v>0.01</v>
      </c>
    </row>
    <row r="6971">
      <c r="A6971" s="131">
        <f>IFERROR(__xludf.DUMMYFUNCTION("""COMPUTED_VALUE"""),46187.58137731482)</f>
        <v>46187.58138</v>
      </c>
      <c r="B6971" s="126">
        <f>IFERROR(__xludf.DUMMYFUNCTION("""COMPUTED_VALUE"""),46187.0)</f>
        <v>46187</v>
      </c>
      <c r="C6971" s="122" t="str">
        <f>IFERROR(__xludf.DUMMYFUNCTION("""COMPUTED_VALUE"""),"RAIL")</f>
        <v>RAIL</v>
      </c>
      <c r="D6971" s="122" t="str">
        <f>IFERROR(__xludf.DUMMYFUNCTION("""COMPUTED_VALUE"""),"MetroRail Corp")</f>
        <v>MetroRail Corp</v>
      </c>
      <c r="E6971" s="122">
        <f>IFERROR(__xludf.DUMMYFUNCTION("""COMPUTED_VALUE"""),131.22)</f>
        <v>131.22</v>
      </c>
      <c r="F6971" s="122">
        <f>IFERROR(__xludf.DUMMYFUNCTION("""COMPUTED_VALUE"""),-0.0021)</f>
        <v>-0.0021</v>
      </c>
    </row>
    <row r="6972">
      <c r="A6972" s="131">
        <f>IFERROR(__xludf.DUMMYFUNCTION("""COMPUTED_VALUE"""),46187.58137731482)</f>
        <v>46187.58138</v>
      </c>
      <c r="B6972" s="126">
        <f>IFERROR(__xludf.DUMMYFUNCTION("""COMPUTED_VALUE"""),46187.0)</f>
        <v>46187</v>
      </c>
      <c r="C6972" s="122" t="str">
        <f>IFERROR(__xludf.DUMMYFUNCTION("""COMPUTED_VALUE"""),"MEDX")</f>
        <v>MEDX</v>
      </c>
      <c r="D6972" s="122" t="str">
        <f>IFERROR(__xludf.DUMMYFUNCTION("""COMPUTED_VALUE"""),"MediCore")</f>
        <v>MediCore</v>
      </c>
      <c r="E6972" s="122">
        <f>IFERROR(__xludf.DUMMYFUNCTION("""COMPUTED_VALUE"""),138.81)</f>
        <v>138.81</v>
      </c>
      <c r="F6972" s="122">
        <f>IFERROR(__xludf.DUMMYFUNCTION("""COMPUTED_VALUE"""),-0.0022)</f>
        <v>-0.0022</v>
      </c>
    </row>
    <row r="6973">
      <c r="A6973" s="131">
        <f>IFERROR(__xludf.DUMMYFUNCTION("""COMPUTED_VALUE"""),46187.58137731482)</f>
        <v>46187.58138</v>
      </c>
      <c r="B6973" s="126">
        <f>IFERROR(__xludf.DUMMYFUNCTION("""COMPUTED_VALUE"""),46187.0)</f>
        <v>46187</v>
      </c>
      <c r="C6973" s="122" t="str">
        <f>IFERROR(__xludf.DUMMYFUNCTION("""COMPUTED_VALUE"""),"GYMX")</f>
        <v>GYMX</v>
      </c>
      <c r="D6973" s="122" t="str">
        <f>IFERROR(__xludf.DUMMYFUNCTION("""COMPUTED_VALUE"""),"GymX Fitness")</f>
        <v>GymX Fitness</v>
      </c>
      <c r="E6973" s="122">
        <f>IFERROR(__xludf.DUMMYFUNCTION("""COMPUTED_VALUE"""),85.31)</f>
        <v>85.31</v>
      </c>
      <c r="F6973" s="122">
        <f>IFERROR(__xludf.DUMMYFUNCTION("""COMPUTED_VALUE"""),-0.005)</f>
        <v>-0.005</v>
      </c>
    </row>
    <row r="6974">
      <c r="A6974" s="131">
        <f>IFERROR(__xludf.DUMMYFUNCTION("""COMPUTED_VALUE"""),46187.58137731482)</f>
        <v>46187.58138</v>
      </c>
      <c r="B6974" s="126">
        <f>IFERROR(__xludf.DUMMYFUNCTION("""COMPUTED_VALUE"""),46187.0)</f>
        <v>46187</v>
      </c>
      <c r="C6974" s="122" t="str">
        <f>IFERROR(__xludf.DUMMYFUNCTION("""COMPUTED_VALUE"""),"VITA")</f>
        <v>VITA</v>
      </c>
      <c r="D6974" s="122" t="str">
        <f>IFERROR(__xludf.DUMMYFUNCTION("""COMPUTED_VALUE"""),"VitaPlus")</f>
        <v>VitaPlus</v>
      </c>
      <c r="E6974" s="122">
        <f>IFERROR(__xludf.DUMMYFUNCTION("""COMPUTED_VALUE"""),72.64)</f>
        <v>72.64</v>
      </c>
      <c r="F6974" s="122">
        <f>IFERROR(__xludf.DUMMYFUNCTION("""COMPUTED_VALUE"""),-0.0036)</f>
        <v>-0.0036</v>
      </c>
    </row>
    <row r="6975">
      <c r="A6975" s="131">
        <f>IFERROR(__xludf.DUMMYFUNCTION("""COMPUTED_VALUE"""),46187.58137731482)</f>
        <v>46187.58138</v>
      </c>
      <c r="B6975" s="126">
        <f>IFERROR(__xludf.DUMMYFUNCTION("""COMPUTED_VALUE"""),46187.0)</f>
        <v>46187</v>
      </c>
      <c r="C6975" s="122" t="str">
        <f>IFERROR(__xludf.DUMMYFUNCTION("""COMPUTED_VALUE"""),"CARE")</f>
        <v>CARE</v>
      </c>
      <c r="D6975" s="122" t="str">
        <f>IFERROR(__xludf.DUMMYFUNCTION("""COMPUTED_VALUE"""),"CareCloud")</f>
        <v>CareCloud</v>
      </c>
      <c r="E6975" s="122">
        <f>IFERROR(__xludf.DUMMYFUNCTION("""COMPUTED_VALUE"""),180.55)</f>
        <v>180.55</v>
      </c>
      <c r="F6975" s="122">
        <f>IFERROR(__xludf.DUMMYFUNCTION("""COMPUTED_VALUE"""),0.0067)</f>
        <v>0.0067</v>
      </c>
    </row>
    <row r="6976">
      <c r="A6976" s="131">
        <f>IFERROR(__xludf.DUMMYFUNCTION("""COMPUTED_VALUE"""),46187.58137731482)</f>
        <v>46187.58138</v>
      </c>
      <c r="B6976" s="126">
        <f>IFERROR(__xludf.DUMMYFUNCTION("""COMPUTED_VALUE"""),46187.0)</f>
        <v>46187</v>
      </c>
      <c r="C6976" s="122" t="str">
        <f>IFERROR(__xludf.DUMMYFUNCTION("""COMPUTED_VALUE"""),"DENT")</f>
        <v>DENT</v>
      </c>
      <c r="D6976" s="122" t="str">
        <f>IFERROR(__xludf.DUMMYFUNCTION("""COMPUTED_VALUE"""),"SmileWorks")</f>
        <v>SmileWorks</v>
      </c>
      <c r="E6976" s="122">
        <f>IFERROR(__xludf.DUMMYFUNCTION("""COMPUTED_VALUE"""),93.91)</f>
        <v>93.91</v>
      </c>
      <c r="F6976" s="122">
        <f>IFERROR(__xludf.DUMMYFUNCTION("""COMPUTED_VALUE"""),-3.0E-4)</f>
        <v>-0.0003</v>
      </c>
    </row>
    <row r="6977">
      <c r="A6977" s="131">
        <f>IFERROR(__xludf.DUMMYFUNCTION("""COMPUTED_VALUE"""),46187.58137731482)</f>
        <v>46187.58138</v>
      </c>
      <c r="B6977" s="126">
        <f>IFERROR(__xludf.DUMMYFUNCTION("""COMPUTED_VALUE"""),46187.0)</f>
        <v>46187</v>
      </c>
      <c r="C6977" s="122" t="str">
        <f>IFERROR(__xludf.DUMMYFUNCTION("""COMPUTED_VALUE"""),"EDUX")</f>
        <v>EDUX</v>
      </c>
      <c r="D6977" s="122" t="str">
        <f>IFERROR(__xludf.DUMMYFUNCTION("""COMPUTED_VALUE"""),"EduMax Learning")</f>
        <v>EduMax Learning</v>
      </c>
      <c r="E6977" s="122">
        <f>IFERROR(__xludf.DUMMYFUNCTION("""COMPUTED_VALUE"""),146.19)</f>
        <v>146.19</v>
      </c>
      <c r="F6977" s="122">
        <f>IFERROR(__xludf.DUMMYFUNCTION("""COMPUTED_VALUE"""),0.0011)</f>
        <v>0.0011</v>
      </c>
    </row>
    <row r="6978">
      <c r="A6978" s="131">
        <f>IFERROR(__xludf.DUMMYFUNCTION("""COMPUTED_VALUE"""),46187.58137731482)</f>
        <v>46187.58138</v>
      </c>
      <c r="B6978" s="126">
        <f>IFERROR(__xludf.DUMMYFUNCTION("""COMPUTED_VALUE"""),46187.0)</f>
        <v>46187</v>
      </c>
      <c r="C6978" s="122" t="str">
        <f>IFERROR(__xludf.DUMMYFUNCTION("""COMPUTED_VALUE"""),"BOOK")</f>
        <v>BOOK</v>
      </c>
      <c r="D6978" s="122" t="str">
        <f>IFERROR(__xludf.DUMMYFUNCTION("""COMPUTED_VALUE"""),"BookBridge")</f>
        <v>BookBridge</v>
      </c>
      <c r="E6978" s="122">
        <f>IFERROR(__xludf.DUMMYFUNCTION("""COMPUTED_VALUE"""),119.27)</f>
        <v>119.27</v>
      </c>
      <c r="F6978" s="122">
        <f>IFERROR(__xludf.DUMMYFUNCTION("""COMPUTED_VALUE"""),9.0E-4)</f>
        <v>0.0009</v>
      </c>
    </row>
    <row r="6979">
      <c r="A6979" s="131">
        <f>IFERROR(__xludf.DUMMYFUNCTION("""COMPUTED_VALUE"""),46187.58137731482)</f>
        <v>46187.58138</v>
      </c>
      <c r="B6979" s="126">
        <f>IFERROR(__xludf.DUMMYFUNCTION("""COMPUTED_VALUE"""),46187.0)</f>
        <v>46187</v>
      </c>
      <c r="C6979" s="122" t="str">
        <f>IFERROR(__xludf.DUMMYFUNCTION("""COMPUTED_VALUE"""),"TUTR")</f>
        <v>TUTR</v>
      </c>
      <c r="D6979" s="122" t="str">
        <f>IFERROR(__xludf.DUMMYFUNCTION("""COMPUTED_VALUE"""),"TutorTown")</f>
        <v>TutorTown</v>
      </c>
      <c r="E6979" s="122">
        <f>IFERROR(__xludf.DUMMYFUNCTION("""COMPUTED_VALUE"""),90.85)</f>
        <v>90.85</v>
      </c>
      <c r="F6979" s="122">
        <f>IFERROR(__xludf.DUMMYFUNCTION("""COMPUTED_VALUE"""),0.006)</f>
        <v>0.006</v>
      </c>
    </row>
    <row r="6980">
      <c r="A6980" s="131">
        <f>IFERROR(__xludf.DUMMYFUNCTION("""COMPUTED_VALUE"""),46187.58137731482)</f>
        <v>46187.58138</v>
      </c>
      <c r="B6980" s="126">
        <f>IFERROR(__xludf.DUMMYFUNCTION("""COMPUTED_VALUE"""),46187.0)</f>
        <v>46187</v>
      </c>
      <c r="C6980" s="122" t="str">
        <f>IFERROR(__xludf.DUMMYFUNCTION("""COMPUTED_VALUE"""),"LANG")</f>
        <v>LANG</v>
      </c>
      <c r="D6980" s="122" t="str">
        <f>IFERROR(__xludf.DUMMYFUNCTION("""COMPUTED_VALUE"""),"LinguaLab")</f>
        <v>LinguaLab</v>
      </c>
      <c r="E6980" s="122">
        <f>IFERROR(__xludf.DUMMYFUNCTION("""COMPUTED_VALUE"""),100.02)</f>
        <v>100.02</v>
      </c>
      <c r="F6980" s="122">
        <f>IFERROR(__xludf.DUMMYFUNCTION("""COMPUTED_VALUE"""),-8.0E-4)</f>
        <v>-0.0008</v>
      </c>
    </row>
    <row r="6981">
      <c r="A6981" s="131">
        <f>IFERROR(__xludf.DUMMYFUNCTION("""COMPUTED_VALUE"""),46187.58137731482)</f>
        <v>46187.58138</v>
      </c>
      <c r="B6981" s="126">
        <f>IFERROR(__xludf.DUMMYFUNCTION("""COMPUTED_VALUE"""),46187.0)</f>
        <v>46187</v>
      </c>
      <c r="C6981" s="122" t="str">
        <f>IFERROR(__xludf.DUMMYFUNCTION("""COMPUTED_VALUE"""),"TEST")</f>
        <v>TEST</v>
      </c>
      <c r="D6981" s="122" t="str">
        <f>IFERROR(__xludf.DUMMYFUNCTION("""COMPUTED_VALUE"""),"TestPrep Pro")</f>
        <v>TestPrep Pro</v>
      </c>
      <c r="E6981" s="122">
        <f>IFERROR(__xludf.DUMMYFUNCTION("""COMPUTED_VALUE"""),91.57)</f>
        <v>91.57</v>
      </c>
      <c r="F6981" s="122">
        <f>IFERROR(__xludf.DUMMYFUNCTION("""COMPUTED_VALUE"""),-0.0011)</f>
        <v>-0.0011</v>
      </c>
    </row>
    <row r="6982">
      <c r="A6982" s="131">
        <f>IFERROR(__xludf.DUMMYFUNCTION("""COMPUTED_VALUE"""),46187.58137731482)</f>
        <v>46187.58138</v>
      </c>
      <c r="B6982" s="126">
        <f>IFERROR(__xludf.DUMMYFUNCTION("""COMPUTED_VALUE"""),46187.0)</f>
        <v>46187</v>
      </c>
      <c r="C6982" s="122" t="str">
        <f>IFERROR(__xludf.DUMMYFUNCTION("""COMPUTED_VALUE"""),"MOVI")</f>
        <v>MOVI</v>
      </c>
      <c r="D6982" s="122" t="str">
        <f>IFERROR(__xludf.DUMMYFUNCTION("""COMPUTED_VALUE"""),"MovieBox")</f>
        <v>MovieBox</v>
      </c>
      <c r="E6982" s="122">
        <f>IFERROR(__xludf.DUMMYFUNCTION("""COMPUTED_VALUE"""),83.74)</f>
        <v>83.74</v>
      </c>
      <c r="F6982" s="122">
        <f>IFERROR(__xludf.DUMMYFUNCTION("""COMPUTED_VALUE"""),-0.0057)</f>
        <v>-0.0057</v>
      </c>
    </row>
    <row r="6983">
      <c r="A6983" s="131">
        <f>IFERROR(__xludf.DUMMYFUNCTION("""COMPUTED_VALUE"""),46187.58137731482)</f>
        <v>46187.58138</v>
      </c>
      <c r="B6983" s="126">
        <f>IFERROR(__xludf.DUMMYFUNCTION("""COMPUTED_VALUE"""),46187.0)</f>
        <v>46187</v>
      </c>
      <c r="C6983" s="122" t="str">
        <f>IFERROR(__xludf.DUMMYFUNCTION("""COMPUTED_VALUE"""),"MUSC")</f>
        <v>MUSC</v>
      </c>
      <c r="D6983" s="122" t="str">
        <f>IFERROR(__xludf.DUMMYFUNCTION("""COMPUTED_VALUE"""),"MusicWave")</f>
        <v>MusicWave</v>
      </c>
      <c r="E6983" s="122">
        <f>IFERROR(__xludf.DUMMYFUNCTION("""COMPUTED_VALUE"""),101.62)</f>
        <v>101.62</v>
      </c>
      <c r="F6983" s="122">
        <f>IFERROR(__xludf.DUMMYFUNCTION("""COMPUTED_VALUE"""),-0.0047)</f>
        <v>-0.0047</v>
      </c>
    </row>
    <row r="6984">
      <c r="A6984" s="131">
        <f>IFERROR(__xludf.DUMMYFUNCTION("""COMPUTED_VALUE"""),46187.58137731482)</f>
        <v>46187.58138</v>
      </c>
      <c r="B6984" s="126">
        <f>IFERROR(__xludf.DUMMYFUNCTION("""COMPUTED_VALUE"""),46187.0)</f>
        <v>46187</v>
      </c>
      <c r="C6984" s="122" t="str">
        <f>IFERROR(__xludf.DUMMYFUNCTION("""COMPUTED_VALUE"""),"IDOL")</f>
        <v>IDOL</v>
      </c>
      <c r="D6984" s="122" t="str">
        <f>IFERROR(__xludf.DUMMYFUNCTION("""COMPUTED_VALUE"""),"Idol Agency")</f>
        <v>Idol Agency</v>
      </c>
      <c r="E6984" s="122">
        <f>IFERROR(__xludf.DUMMYFUNCTION("""COMPUTED_VALUE"""),189.37)</f>
        <v>189.37</v>
      </c>
      <c r="F6984" s="122">
        <f>IFERROR(__xludf.DUMMYFUNCTION("""COMPUTED_VALUE"""),0.0014)</f>
        <v>0.0014</v>
      </c>
    </row>
    <row r="6985">
      <c r="A6985" s="131">
        <f>IFERROR(__xludf.DUMMYFUNCTION("""COMPUTED_VALUE"""),46187.58137731482)</f>
        <v>46187.58138</v>
      </c>
      <c r="B6985" s="126">
        <f>IFERROR(__xludf.DUMMYFUNCTION("""COMPUTED_VALUE"""),46187.0)</f>
        <v>46187</v>
      </c>
      <c r="C6985" s="122" t="str">
        <f>IFERROR(__xludf.DUMMYFUNCTION("""COMPUTED_VALUE"""),"MEME")</f>
        <v>MEME</v>
      </c>
      <c r="D6985" s="122" t="str">
        <f>IFERROR(__xludf.DUMMYFUNCTION("""COMPUTED_VALUE"""),"Meme Media")</f>
        <v>Meme Media</v>
      </c>
      <c r="E6985" s="122">
        <f>IFERROR(__xludf.DUMMYFUNCTION("""COMPUTED_VALUE"""),73.09)</f>
        <v>73.09</v>
      </c>
      <c r="F6985" s="122">
        <f>IFERROR(__xludf.DUMMYFUNCTION("""COMPUTED_VALUE"""),-0.0088)</f>
        <v>-0.0088</v>
      </c>
    </row>
    <row r="6986">
      <c r="A6986" s="131">
        <f>IFERROR(__xludf.DUMMYFUNCTION("""COMPUTED_VALUE"""),46187.58137731482)</f>
        <v>46187.58138</v>
      </c>
      <c r="B6986" s="126">
        <f>IFERROR(__xludf.DUMMYFUNCTION("""COMPUTED_VALUE"""),46187.0)</f>
        <v>46187</v>
      </c>
      <c r="C6986" s="122" t="str">
        <f>IFERROR(__xludf.DUMMYFUNCTION("""COMPUTED_VALUE"""),"STRM")</f>
        <v>STRM</v>
      </c>
      <c r="D6986" s="122" t="str">
        <f>IFERROR(__xludf.DUMMYFUNCTION("""COMPUTED_VALUE"""),"Streamly")</f>
        <v>Streamly</v>
      </c>
      <c r="E6986" s="122">
        <f>IFERROR(__xludf.DUMMYFUNCTION("""COMPUTED_VALUE"""),137.64)</f>
        <v>137.64</v>
      </c>
      <c r="F6986" s="122">
        <f>IFERROR(__xludf.DUMMYFUNCTION("""COMPUTED_VALUE"""),-0.0012)</f>
        <v>-0.0012</v>
      </c>
    </row>
    <row r="6987">
      <c r="A6987" s="131">
        <f>IFERROR(__xludf.DUMMYFUNCTION("""COMPUTED_VALUE"""),46187.58137731482)</f>
        <v>46187.58138</v>
      </c>
      <c r="B6987" s="126">
        <f>IFERROR(__xludf.DUMMYFUNCTION("""COMPUTED_VALUE"""),46187.0)</f>
        <v>46187</v>
      </c>
      <c r="C6987" s="122" t="str">
        <f>IFERROR(__xludf.DUMMYFUNCTION("""COMPUTED_VALUE"""),"FARM")</f>
        <v>FARM</v>
      </c>
      <c r="D6987" s="122" t="str">
        <f>IFERROR(__xludf.DUMMYFUNCTION("""COMPUTED_VALUE"""),"Future Farms")</f>
        <v>Future Farms</v>
      </c>
      <c r="E6987" s="122">
        <f>IFERROR(__xludf.DUMMYFUNCTION("""COMPUTED_VALUE"""),93.86)</f>
        <v>93.86</v>
      </c>
      <c r="F6987" s="122">
        <f>IFERROR(__xludf.DUMMYFUNCTION("""COMPUTED_VALUE"""),0.0036)</f>
        <v>0.0036</v>
      </c>
    </row>
    <row r="6988">
      <c r="A6988" s="131">
        <f>IFERROR(__xludf.DUMMYFUNCTION("""COMPUTED_VALUE"""),46187.58137731482)</f>
        <v>46187.58138</v>
      </c>
      <c r="B6988" s="126">
        <f>IFERROR(__xludf.DUMMYFUNCTION("""COMPUTED_VALUE"""),46187.0)</f>
        <v>46187</v>
      </c>
      <c r="C6988" s="122" t="str">
        <f>IFERROR(__xludf.DUMMYFUNCTION("""COMPUTED_VALUE"""),"MEAT")</f>
        <v>MEAT</v>
      </c>
      <c r="D6988" s="122" t="str">
        <f>IFERROR(__xludf.DUMMYFUNCTION("""COMPUTED_VALUE"""),"MeatWorks")</f>
        <v>MeatWorks</v>
      </c>
      <c r="E6988" s="122">
        <f>IFERROR(__xludf.DUMMYFUNCTION("""COMPUTED_VALUE"""),106.58)</f>
        <v>106.58</v>
      </c>
      <c r="F6988" s="122">
        <f>IFERROR(__xludf.DUMMYFUNCTION("""COMPUTED_VALUE"""),-0.005)</f>
        <v>-0.005</v>
      </c>
    </row>
    <row r="6989">
      <c r="A6989" s="131">
        <f>IFERROR(__xludf.DUMMYFUNCTION("""COMPUTED_VALUE"""),46187.58137731482)</f>
        <v>46187.58138</v>
      </c>
      <c r="B6989" s="126">
        <f>IFERROR(__xludf.DUMMYFUNCTION("""COMPUTED_VALUE"""),46187.0)</f>
        <v>46187</v>
      </c>
      <c r="C6989" s="122" t="str">
        <f>IFERROR(__xludf.DUMMYFUNCTION("""COMPUTED_VALUE"""),"VEGI")</f>
        <v>VEGI</v>
      </c>
      <c r="D6989" s="122" t="str">
        <f>IFERROR(__xludf.DUMMYFUNCTION("""COMPUTED_VALUE"""),"Green Basket")</f>
        <v>Green Basket</v>
      </c>
      <c r="E6989" s="122">
        <f>IFERROR(__xludf.DUMMYFUNCTION("""COMPUTED_VALUE"""),77.84)</f>
        <v>77.84</v>
      </c>
      <c r="F6989" s="122">
        <f>IFERROR(__xludf.DUMMYFUNCTION("""COMPUTED_VALUE"""),0.003)</f>
        <v>0.003</v>
      </c>
    </row>
    <row r="6990">
      <c r="A6990" s="131">
        <f>IFERROR(__xludf.DUMMYFUNCTION("""COMPUTED_VALUE"""),46187.58137731482)</f>
        <v>46187.58138</v>
      </c>
      <c r="B6990" s="126">
        <f>IFERROR(__xludf.DUMMYFUNCTION("""COMPUTED_VALUE"""),46187.0)</f>
        <v>46187</v>
      </c>
      <c r="C6990" s="122" t="str">
        <f>IFERROR(__xludf.DUMMYFUNCTION("""COMPUTED_VALUE"""),"CAFE")</f>
        <v>CAFE</v>
      </c>
      <c r="D6990" s="122" t="str">
        <f>IFERROR(__xludf.DUMMYFUNCTION("""COMPUTED_VALUE"""),"Cafe Cloud")</f>
        <v>Cafe Cloud</v>
      </c>
      <c r="E6990" s="122">
        <f>IFERROR(__xludf.DUMMYFUNCTION("""COMPUTED_VALUE"""),100.31)</f>
        <v>100.31</v>
      </c>
      <c r="F6990" s="122">
        <f>IFERROR(__xludf.DUMMYFUNCTION("""COMPUTED_VALUE"""),-0.0023)</f>
        <v>-0.0023</v>
      </c>
    </row>
    <row r="6991">
      <c r="A6991" s="131">
        <f>IFERROR(__xludf.DUMMYFUNCTION("""COMPUTED_VALUE"""),46187.58137731482)</f>
        <v>46187.58138</v>
      </c>
      <c r="B6991" s="126">
        <f>IFERROR(__xludf.DUMMYFUNCTION("""COMPUTED_VALUE"""),46187.0)</f>
        <v>46187</v>
      </c>
      <c r="C6991" s="122" t="str">
        <f>IFERROR(__xludf.DUMMYFUNCTION("""COMPUTED_VALUE"""),"BAKE")</f>
        <v>BAKE</v>
      </c>
      <c r="D6991" s="122" t="str">
        <f>IFERROR(__xludf.DUMMYFUNCTION("""COMPUTED_VALUE"""),"BakeHouse")</f>
        <v>BakeHouse</v>
      </c>
      <c r="E6991" s="122">
        <f>IFERROR(__xludf.DUMMYFUNCTION("""COMPUTED_VALUE"""),100.5)</f>
        <v>100.5</v>
      </c>
      <c r="F6991" s="122">
        <f>IFERROR(__xludf.DUMMYFUNCTION("""COMPUTED_VALUE"""),-0.0033)</f>
        <v>-0.0033</v>
      </c>
    </row>
    <row r="6992">
      <c r="A6992" s="131">
        <f>IFERROR(__xludf.DUMMYFUNCTION("""COMPUTED_VALUE"""),46187.58137731482)</f>
        <v>46187.58138</v>
      </c>
      <c r="B6992" s="126">
        <f>IFERROR(__xludf.DUMMYFUNCTION("""COMPUTED_VALUE"""),46187.0)</f>
        <v>46187</v>
      </c>
      <c r="C6992" s="122" t="str">
        <f>IFERROR(__xludf.DUMMYFUNCTION("""COMPUTED_VALUE"""),"OILX")</f>
        <v>OILX</v>
      </c>
      <c r="D6992" s="122" t="str">
        <f>IFERROR(__xludf.DUMMYFUNCTION("""COMPUTED_VALUE"""),"OilMax Energy")</f>
        <v>OilMax Energy</v>
      </c>
      <c r="E6992" s="122">
        <f>IFERROR(__xludf.DUMMYFUNCTION("""COMPUTED_VALUE"""),132.16)</f>
        <v>132.16</v>
      </c>
      <c r="F6992" s="122">
        <f>IFERROR(__xludf.DUMMYFUNCTION("""COMPUTED_VALUE"""),0.0058)</f>
        <v>0.0058</v>
      </c>
    </row>
    <row r="6993">
      <c r="A6993" s="131">
        <f>IFERROR(__xludf.DUMMYFUNCTION("""COMPUTED_VALUE"""),46187.58137731482)</f>
        <v>46187.58138</v>
      </c>
      <c r="B6993" s="126">
        <f>IFERROR(__xludf.DUMMYFUNCTION("""COMPUTED_VALUE"""),46187.0)</f>
        <v>46187</v>
      </c>
      <c r="C6993" s="122" t="str">
        <f>IFERROR(__xludf.DUMMYFUNCTION("""COMPUTED_VALUE"""),"SOLR")</f>
        <v>SOLR</v>
      </c>
      <c r="D6993" s="122" t="str">
        <f>IFERROR(__xludf.DUMMYFUNCTION("""COMPUTED_VALUE"""),"SolarSpark")</f>
        <v>SolarSpark</v>
      </c>
      <c r="E6993" s="122">
        <f>IFERROR(__xludf.DUMMYFUNCTION("""COMPUTED_VALUE"""),103.15)</f>
        <v>103.15</v>
      </c>
      <c r="F6993" s="122">
        <f>IFERROR(__xludf.DUMMYFUNCTION("""COMPUTED_VALUE"""),-0.0023)</f>
        <v>-0.0023</v>
      </c>
    </row>
    <row r="6994">
      <c r="A6994" s="131">
        <f>IFERROR(__xludf.DUMMYFUNCTION("""COMPUTED_VALUE"""),46187.58137731482)</f>
        <v>46187.58138</v>
      </c>
      <c r="B6994" s="126">
        <f>IFERROR(__xludf.DUMMYFUNCTION("""COMPUTED_VALUE"""),46187.0)</f>
        <v>46187</v>
      </c>
      <c r="C6994" s="122" t="str">
        <f>IFERROR(__xludf.DUMMYFUNCTION("""COMPUTED_VALUE"""),"BATT")</f>
        <v>BATT</v>
      </c>
      <c r="D6994" s="122" t="str">
        <f>IFERROR(__xludf.DUMMYFUNCTION("""COMPUTED_VALUE"""),"BatteryBox")</f>
        <v>BatteryBox</v>
      </c>
      <c r="E6994" s="122">
        <f>IFERROR(__xludf.DUMMYFUNCTION("""COMPUTED_VALUE"""),120.54)</f>
        <v>120.54</v>
      </c>
      <c r="F6994" s="122">
        <f>IFERROR(__xludf.DUMMYFUNCTION("""COMPUTED_VALUE"""),0.0114)</f>
        <v>0.0114</v>
      </c>
    </row>
    <row r="6995">
      <c r="A6995" s="131">
        <f>IFERROR(__xludf.DUMMYFUNCTION("""COMPUTED_VALUE"""),46187.58137731482)</f>
        <v>46187.58138</v>
      </c>
      <c r="B6995" s="126">
        <f>IFERROR(__xludf.DUMMYFUNCTION("""COMPUTED_VALUE"""),46187.0)</f>
        <v>46187</v>
      </c>
      <c r="C6995" s="122" t="str">
        <f>IFERROR(__xludf.DUMMYFUNCTION("""COMPUTED_VALUE"""),"WIND")</f>
        <v>WIND</v>
      </c>
      <c r="D6995" s="122" t="str">
        <f>IFERROR(__xludf.DUMMYFUNCTION("""COMPUTED_VALUE"""),"WindWorks")</f>
        <v>WindWorks</v>
      </c>
      <c r="E6995" s="122">
        <f>IFERROR(__xludf.DUMMYFUNCTION("""COMPUTED_VALUE"""),86.33)</f>
        <v>86.33</v>
      </c>
      <c r="F6995" s="122">
        <f>IFERROR(__xludf.DUMMYFUNCTION("""COMPUTED_VALUE"""),-0.0014)</f>
        <v>-0.0014</v>
      </c>
    </row>
    <row r="6996">
      <c r="A6996" s="131">
        <f>IFERROR(__xludf.DUMMYFUNCTION("""COMPUTED_VALUE"""),46187.58137731482)</f>
        <v>46187.58138</v>
      </c>
      <c r="B6996" s="126">
        <f>IFERROR(__xludf.DUMMYFUNCTION("""COMPUTED_VALUE"""),46187.0)</f>
        <v>46187</v>
      </c>
      <c r="C6996" s="122" t="str">
        <f>IFERROR(__xludf.DUMMYFUNCTION("""COMPUTED_VALUE"""),"GRID")</f>
        <v>GRID</v>
      </c>
      <c r="D6996" s="122" t="str">
        <f>IFERROR(__xludf.DUMMYFUNCTION("""COMPUTED_VALUE"""),"GridPower")</f>
        <v>GridPower</v>
      </c>
      <c r="E6996" s="122">
        <f>IFERROR(__xludf.DUMMYFUNCTION("""COMPUTED_VALUE"""),130.48)</f>
        <v>130.48</v>
      </c>
      <c r="F6996" s="122">
        <f>IFERROR(__xludf.DUMMYFUNCTION("""COMPUTED_VALUE"""),-7.0E-4)</f>
        <v>-0.0007</v>
      </c>
    </row>
    <row r="6997">
      <c r="A6997" s="131">
        <f>IFERROR(__xludf.DUMMYFUNCTION("""COMPUTED_VALUE"""),46187.58137731482)</f>
        <v>46187.58138</v>
      </c>
      <c r="B6997" s="126">
        <f>IFERROR(__xludf.DUMMYFUNCTION("""COMPUTED_VALUE"""),46187.0)</f>
        <v>46187</v>
      </c>
      <c r="C6997" s="122" t="str">
        <f>IFERROR(__xludf.DUMMYFUNCTION("""COMPUTED_VALUE"""),"HOME")</f>
        <v>HOME</v>
      </c>
      <c r="D6997" s="122" t="str">
        <f>IFERROR(__xludf.DUMMYFUNCTION("""COMPUTED_VALUE"""),"HomeHub")</f>
        <v>HomeHub</v>
      </c>
      <c r="E6997" s="122">
        <f>IFERROR(__xludf.DUMMYFUNCTION("""COMPUTED_VALUE"""),158.0)</f>
        <v>158</v>
      </c>
      <c r="F6997" s="122">
        <f>IFERROR(__xludf.DUMMYFUNCTION("""COMPUTED_VALUE"""),8.0E-4)</f>
        <v>0.0008</v>
      </c>
    </row>
    <row r="6998">
      <c r="A6998" s="131">
        <f>IFERROR(__xludf.DUMMYFUNCTION("""COMPUTED_VALUE"""),46187.58137731482)</f>
        <v>46187.58138</v>
      </c>
      <c r="B6998" s="126">
        <f>IFERROR(__xludf.DUMMYFUNCTION("""COMPUTED_VALUE"""),46187.0)</f>
        <v>46187</v>
      </c>
      <c r="C6998" s="122" t="str">
        <f>IFERROR(__xludf.DUMMYFUNCTION("""COMPUTED_VALUE"""),"RENT")</f>
        <v>RENT</v>
      </c>
      <c r="D6998" s="122" t="str">
        <f>IFERROR(__xludf.DUMMYFUNCTION("""COMPUTED_VALUE"""),"RentRight")</f>
        <v>RentRight</v>
      </c>
      <c r="E6998" s="122">
        <f>IFERROR(__xludf.DUMMYFUNCTION("""COMPUTED_VALUE"""),91.28)</f>
        <v>91.28</v>
      </c>
      <c r="F6998" s="122">
        <f>IFERROR(__xludf.DUMMYFUNCTION("""COMPUTED_VALUE"""),-0.0063)</f>
        <v>-0.0063</v>
      </c>
    </row>
    <row r="6999">
      <c r="A6999" s="131">
        <f>IFERROR(__xludf.DUMMYFUNCTION("""COMPUTED_VALUE"""),46187.58137731482)</f>
        <v>46187.58138</v>
      </c>
      <c r="B6999" s="126">
        <f>IFERROR(__xludf.DUMMYFUNCTION("""COMPUTED_VALUE"""),46187.0)</f>
        <v>46187</v>
      </c>
      <c r="C6999" s="122" t="str">
        <f>IFERROR(__xludf.DUMMYFUNCTION("""COMPUTED_VALUE"""),"MALL")</f>
        <v>MALL</v>
      </c>
      <c r="D6999" s="122" t="str">
        <f>IFERROR(__xludf.DUMMYFUNCTION("""COMPUTED_VALUE"""),"MegaMall")</f>
        <v>MegaMall</v>
      </c>
      <c r="E6999" s="122">
        <f>IFERROR(__xludf.DUMMYFUNCTION("""COMPUTED_VALUE"""),102.2)</f>
        <v>102.2</v>
      </c>
      <c r="F6999" s="122">
        <f>IFERROR(__xludf.DUMMYFUNCTION("""COMPUTED_VALUE"""),0.0065)</f>
        <v>0.0065</v>
      </c>
    </row>
    <row r="7000">
      <c r="A7000" s="131">
        <f>IFERROR(__xludf.DUMMYFUNCTION("""COMPUTED_VALUE"""),46187.58137731482)</f>
        <v>46187.58138</v>
      </c>
      <c r="B7000" s="126">
        <f>IFERROR(__xludf.DUMMYFUNCTION("""COMPUTED_VALUE"""),46187.0)</f>
        <v>46187</v>
      </c>
      <c r="C7000" s="122" t="str">
        <f>IFERROR(__xludf.DUMMYFUNCTION("""COMPUTED_VALUE"""),"HOTL")</f>
        <v>HOTL</v>
      </c>
      <c r="D7000" s="122" t="str">
        <f>IFERROR(__xludf.DUMMYFUNCTION("""COMPUTED_VALUE"""),"HotelHive")</f>
        <v>HotelHive</v>
      </c>
      <c r="E7000" s="122">
        <f>IFERROR(__xludf.DUMMYFUNCTION("""COMPUTED_VALUE"""),125.44)</f>
        <v>125.44</v>
      </c>
      <c r="F7000" s="122">
        <f>IFERROR(__xludf.DUMMYFUNCTION("""COMPUTED_VALUE"""),-0.0087)</f>
        <v>-0.0087</v>
      </c>
    </row>
    <row r="7001">
      <c r="A7001" s="131">
        <f>IFERROR(__xludf.DUMMYFUNCTION("""COMPUTED_VALUE"""),46187.58137731482)</f>
        <v>46187.58138</v>
      </c>
      <c r="B7001" s="126">
        <f>IFERROR(__xludf.DUMMYFUNCTION("""COMPUTED_VALUE"""),46187.0)</f>
        <v>46187</v>
      </c>
      <c r="C7001" s="122" t="str">
        <f>IFERROR(__xludf.DUMMYFUNCTION("""COMPUTED_VALUE"""),"LAND")</f>
        <v>LAND</v>
      </c>
      <c r="D7001" s="122" t="str">
        <f>IFERROR(__xludf.DUMMYFUNCTION("""COMPUTED_VALUE"""),"LandLink")</f>
        <v>LandLink</v>
      </c>
      <c r="E7001" s="122">
        <f>IFERROR(__xludf.DUMMYFUNCTION("""COMPUTED_VALUE"""),184.06)</f>
        <v>184.06</v>
      </c>
      <c r="F7001" s="122">
        <f>IFERROR(__xludf.DUMMYFUNCTION("""COMPUTED_VALUE"""),0.0012)</f>
        <v>0.0012</v>
      </c>
    </row>
    <row r="7002">
      <c r="A7002" s="131">
        <f>IFERROR(__xludf.DUMMYFUNCTION("""COMPUTED_VALUE"""),46187.58137731482)</f>
        <v>46187.58138</v>
      </c>
      <c r="B7002" s="126">
        <f>IFERROR(__xludf.DUMMYFUNCTION("""COMPUTED_VALUE"""),46187.0)</f>
        <v>46187</v>
      </c>
      <c r="C7002" s="122" t="str">
        <f>IFERROR(__xludf.DUMMYFUNCTION("""COMPUTED_VALUE"""),"CARS")</f>
        <v>CARS</v>
      </c>
      <c r="D7002" s="122" t="str">
        <f>IFERROR(__xludf.DUMMYFUNCTION("""COMPUTED_VALUE"""),"AutoArena")</f>
        <v>AutoArena</v>
      </c>
      <c r="E7002" s="122">
        <f>IFERROR(__xludf.DUMMYFUNCTION("""COMPUTED_VALUE"""),79.48)</f>
        <v>79.48</v>
      </c>
      <c r="F7002" s="122">
        <f>IFERROR(__xludf.DUMMYFUNCTION("""COMPUTED_VALUE"""),-0.01)</f>
        <v>-0.01</v>
      </c>
    </row>
    <row r="7003">
      <c r="A7003" s="131">
        <f>IFERROR(__xludf.DUMMYFUNCTION("""COMPUTED_VALUE"""),46187.58137731482)</f>
        <v>46187.58138</v>
      </c>
      <c r="B7003" s="126">
        <f>IFERROR(__xludf.DUMMYFUNCTION("""COMPUTED_VALUE"""),46187.0)</f>
        <v>46187</v>
      </c>
      <c r="C7003" s="122" t="str">
        <f>IFERROR(__xludf.DUMMYFUNCTION("""COMPUTED_VALUE"""),"EVGO")</f>
        <v>EVGO</v>
      </c>
      <c r="D7003" s="122" t="str">
        <f>IFERROR(__xludf.DUMMYFUNCTION("""COMPUTED_VALUE"""),"EVGo Motors")</f>
        <v>EVGo Motors</v>
      </c>
      <c r="E7003" s="122">
        <f>IFERROR(__xludf.DUMMYFUNCTION("""COMPUTED_VALUE"""),185.5)</f>
        <v>185.5</v>
      </c>
      <c r="F7003" s="122">
        <f>IFERROR(__xludf.DUMMYFUNCTION("""COMPUTED_VALUE"""),0.0056)</f>
        <v>0.0056</v>
      </c>
    </row>
    <row r="7004">
      <c r="A7004" s="131">
        <f>IFERROR(__xludf.DUMMYFUNCTION("""COMPUTED_VALUE"""),46187.58137731482)</f>
        <v>46187.58138</v>
      </c>
      <c r="B7004" s="126">
        <f>IFERROR(__xludf.DUMMYFUNCTION("""COMPUTED_VALUE"""),46187.0)</f>
        <v>46187</v>
      </c>
      <c r="C7004" s="122" t="str">
        <f>IFERROR(__xludf.DUMMYFUNCTION("""COMPUTED_VALUE"""),"TIRE")</f>
        <v>TIRE</v>
      </c>
      <c r="D7004" s="122" t="str">
        <f>IFERROR(__xludf.DUMMYFUNCTION("""COMPUTED_VALUE"""),"TireTown")</f>
        <v>TireTown</v>
      </c>
      <c r="E7004" s="122">
        <f>IFERROR(__xludf.DUMMYFUNCTION("""COMPUTED_VALUE"""),97.16)</f>
        <v>97.16</v>
      </c>
      <c r="F7004" s="122">
        <f>IFERROR(__xludf.DUMMYFUNCTION("""COMPUTED_VALUE"""),0.0034)</f>
        <v>0.0034</v>
      </c>
    </row>
    <row r="7005">
      <c r="A7005" s="131">
        <f>IFERROR(__xludf.DUMMYFUNCTION("""COMPUTED_VALUE"""),46187.58137731482)</f>
        <v>46187.58138</v>
      </c>
      <c r="B7005" s="126">
        <f>IFERROR(__xludf.DUMMYFUNCTION("""COMPUTED_VALUE"""),46187.0)</f>
        <v>46187</v>
      </c>
      <c r="C7005" s="122" t="str">
        <f>IFERROR(__xludf.DUMMYFUNCTION("""COMPUTED_VALUE"""),"BIKE")</f>
        <v>BIKE</v>
      </c>
      <c r="D7005" s="122" t="str">
        <f>IFERROR(__xludf.DUMMYFUNCTION("""COMPUTED_VALUE"""),"BikeBox")</f>
        <v>BikeBox</v>
      </c>
      <c r="E7005" s="122">
        <f>IFERROR(__xludf.DUMMYFUNCTION("""COMPUTED_VALUE"""),52.13)</f>
        <v>52.13</v>
      </c>
      <c r="F7005" s="122">
        <f>IFERROR(__xludf.DUMMYFUNCTION("""COMPUTED_VALUE"""),-0.0019)</f>
        <v>-0.0019</v>
      </c>
    </row>
    <row r="7006">
      <c r="A7006" s="131">
        <f>IFERROR(__xludf.DUMMYFUNCTION("""COMPUTED_VALUE"""),46187.58137731482)</f>
        <v>46187.58138</v>
      </c>
      <c r="B7006" s="126">
        <f>IFERROR(__xludf.DUMMYFUNCTION("""COMPUTED_VALUE"""),46187.0)</f>
        <v>46187</v>
      </c>
      <c r="C7006" s="122" t="str">
        <f>IFERROR(__xludf.DUMMYFUNCTION("""COMPUTED_VALUE"""),"WASH")</f>
        <v>WASH</v>
      </c>
      <c r="D7006" s="122" t="str">
        <f>IFERROR(__xludf.DUMMYFUNCTION("""COMPUTED_VALUE"""),"CarWash Co")</f>
        <v>CarWash Co</v>
      </c>
      <c r="E7006" s="122">
        <f>IFERROR(__xludf.DUMMYFUNCTION("""COMPUTED_VALUE"""),121.22)</f>
        <v>121.22</v>
      </c>
      <c r="F7006" s="122">
        <f>IFERROR(__xludf.DUMMYFUNCTION("""COMPUTED_VALUE"""),0.003)</f>
        <v>0.003</v>
      </c>
    </row>
    <row r="7007">
      <c r="A7007" s="131">
        <f>IFERROR(__xludf.DUMMYFUNCTION("""COMPUTED_VALUE"""),46187.58137731482)</f>
        <v>46187.58138</v>
      </c>
      <c r="B7007" s="126">
        <f>IFERROR(__xludf.DUMMYFUNCTION("""COMPUTED_VALUE"""),46187.0)</f>
        <v>46187</v>
      </c>
      <c r="C7007" s="122" t="str">
        <f>IFERROR(__xludf.DUMMYFUNCTION("""COMPUTED_VALUE"""),"GBND")</f>
        <v>GBND</v>
      </c>
      <c r="D7007" s="122" t="str">
        <f>IFERROR(__xludf.DUMMYFUNCTION("""COMPUTED_VALUE"""),"Classroom Government Bond")</f>
        <v>Classroom Government Bond</v>
      </c>
      <c r="E7007" s="122">
        <f>IFERROR(__xludf.DUMMYFUNCTION("""COMPUTED_VALUE"""),101.06)</f>
        <v>101.06</v>
      </c>
      <c r="F7007" s="122">
        <f>IFERROR(__xludf.DUMMYFUNCTION("""COMPUTED_VALUE"""),-1.0E-4)</f>
        <v>-0.0001</v>
      </c>
    </row>
    <row r="7008">
      <c r="A7008" s="131">
        <f>IFERROR(__xludf.DUMMYFUNCTION("""COMPUTED_VALUE"""),46187.58137731482)</f>
        <v>46187.58138</v>
      </c>
      <c r="B7008" s="126">
        <f>IFERROR(__xludf.DUMMYFUNCTION("""COMPUTED_VALUE"""),46187.0)</f>
        <v>46187</v>
      </c>
      <c r="C7008" s="122" t="str">
        <f>IFERROR(__xludf.DUMMYFUNCTION("""COMPUTED_VALUE"""),"SBND")</f>
        <v>SBND</v>
      </c>
      <c r="D7008" s="122" t="str">
        <f>IFERROR(__xludf.DUMMYFUNCTION("""COMPUTED_VALUE"""),"School Savings Bond")</f>
        <v>School Savings Bond</v>
      </c>
      <c r="E7008" s="122">
        <f>IFERROR(__xludf.DUMMYFUNCTION("""COMPUTED_VALUE"""),99.31)</f>
        <v>99.31</v>
      </c>
      <c r="F7008" s="122">
        <f>IFERROR(__xludf.DUMMYFUNCTION("""COMPUTED_VALUE"""),4.0E-4)</f>
        <v>0.0004</v>
      </c>
    </row>
    <row r="7009">
      <c r="A7009" s="131">
        <f>IFERROR(__xludf.DUMMYFUNCTION("""COMPUTED_VALUE"""),46187.58137731482)</f>
        <v>46187.58138</v>
      </c>
      <c r="B7009" s="126">
        <f>IFERROR(__xludf.DUMMYFUNCTION("""COMPUTED_VALUE"""),46187.0)</f>
        <v>46187</v>
      </c>
      <c r="C7009" s="122" t="str">
        <f>IFERROR(__xludf.DUMMYFUNCTION("""COMPUTED_VALUE"""),"CBND")</f>
        <v>CBND</v>
      </c>
      <c r="D7009" s="122" t="str">
        <f>IFERROR(__xludf.DUMMYFUNCTION("""COMPUTED_VALUE"""),"Corporate Classroom Bond")</f>
        <v>Corporate Classroom Bond</v>
      </c>
      <c r="E7009" s="122">
        <f>IFERROR(__xludf.DUMMYFUNCTION("""COMPUTED_VALUE"""),97.78)</f>
        <v>97.78</v>
      </c>
      <c r="F7009" s="122">
        <f>IFERROR(__xludf.DUMMYFUNCTION("""COMPUTED_VALUE"""),0.0)</f>
        <v>0</v>
      </c>
    </row>
    <row r="7010">
      <c r="A7010" s="131">
        <f>IFERROR(__xludf.DUMMYFUNCTION("""COMPUTED_VALUE"""),46187.58137731482)</f>
        <v>46187.58138</v>
      </c>
      <c r="B7010" s="126">
        <f>IFERROR(__xludf.DUMMYFUNCTION("""COMPUTED_VALUE"""),46187.0)</f>
        <v>46187</v>
      </c>
      <c r="C7010" s="122" t="str">
        <f>IFERROR(__xludf.DUMMYFUNCTION("""COMPUTED_VALUE"""),"TBIL")</f>
        <v>TBIL</v>
      </c>
      <c r="D7010" s="122" t="str">
        <f>IFERROR(__xludf.DUMMYFUNCTION("""COMPUTED_VALUE"""),"Treasury Bill")</f>
        <v>Treasury Bill</v>
      </c>
      <c r="E7010" s="122">
        <f>IFERROR(__xludf.DUMMYFUNCTION("""COMPUTED_VALUE"""),97.8)</f>
        <v>97.8</v>
      </c>
      <c r="F7010" s="122">
        <f>IFERROR(__xludf.DUMMYFUNCTION("""COMPUTED_VALUE"""),-3.0E-4)</f>
        <v>-0.0003</v>
      </c>
    </row>
    <row r="7011">
      <c r="A7011" s="131">
        <f>IFERROR(__xludf.DUMMYFUNCTION("""COMPUTED_VALUE"""),46187.58137731482)</f>
        <v>46187.58138</v>
      </c>
      <c r="B7011" s="126">
        <f>IFERROR(__xludf.DUMMYFUNCTION("""COMPUTED_VALUE"""),46187.0)</f>
        <v>46187</v>
      </c>
      <c r="C7011" s="122" t="str">
        <f>IFERROR(__xludf.DUMMYFUNCTION("""COMPUTED_VALUE"""),"IBND")</f>
        <v>IBND</v>
      </c>
      <c r="D7011" s="122" t="str">
        <f>IFERROR(__xludf.DUMMYFUNCTION("""COMPUTED_VALUE"""),"Inflation Protected Bond")</f>
        <v>Inflation Protected Bond</v>
      </c>
      <c r="E7011" s="122">
        <f>IFERROR(__xludf.DUMMYFUNCTION("""COMPUTED_VALUE"""),100.74)</f>
        <v>100.74</v>
      </c>
      <c r="F7011" s="122">
        <f>IFERROR(__xludf.DUMMYFUNCTION("""COMPUTED_VALUE"""),1.0E-4)</f>
        <v>0.0001</v>
      </c>
    </row>
    <row r="7012">
      <c r="A7012" s="131">
        <f>IFERROR(__xludf.DUMMYFUNCTION("""COMPUTED_VALUE"""),46187.584814814814)</f>
        <v>46187.58481</v>
      </c>
      <c r="B7012" s="126">
        <f>IFERROR(__xludf.DUMMYFUNCTION("""COMPUTED_VALUE"""),46187.0)</f>
        <v>46187</v>
      </c>
      <c r="C7012" s="122" t="str">
        <f>IFERROR(__xludf.DUMMYFUNCTION("""COMPUTED_VALUE"""),"SNAX")</f>
        <v>SNAX</v>
      </c>
      <c r="D7012" s="122" t="str">
        <f>IFERROR(__xludf.DUMMYFUNCTION("""COMPUTED_VALUE"""),"MICA Snacks")</f>
        <v>MICA Snacks</v>
      </c>
      <c r="E7012" s="122">
        <f>IFERROR(__xludf.DUMMYFUNCTION("""COMPUTED_VALUE"""),122.54)</f>
        <v>122.54</v>
      </c>
      <c r="F7012" s="122">
        <f>IFERROR(__xludf.DUMMYFUNCTION("""COMPUTED_VALUE"""),0.0047)</f>
        <v>0.0047</v>
      </c>
    </row>
    <row r="7013">
      <c r="A7013" s="131">
        <f>IFERROR(__xludf.DUMMYFUNCTION("""COMPUTED_VALUE"""),46187.584814814814)</f>
        <v>46187.58481</v>
      </c>
      <c r="B7013" s="126">
        <f>IFERROR(__xludf.DUMMYFUNCTION("""COMPUTED_VALUE"""),46187.0)</f>
        <v>46187</v>
      </c>
      <c r="C7013" s="122" t="str">
        <f>IFERROR(__xludf.DUMMYFUNCTION("""COMPUTED_VALUE"""),"RAMN")</f>
        <v>RAMN</v>
      </c>
      <c r="D7013" s="122" t="str">
        <f>IFERROR(__xludf.DUMMYFUNCTION("""COMPUTED_VALUE"""),"Ramen Republic")</f>
        <v>Ramen Republic</v>
      </c>
      <c r="E7013" s="122">
        <f>IFERROR(__xludf.DUMMYFUNCTION("""COMPUTED_VALUE"""),64.56)</f>
        <v>64.56</v>
      </c>
      <c r="F7013" s="122">
        <f>IFERROR(__xludf.DUMMYFUNCTION("""COMPUTED_VALUE"""),-0.0057)</f>
        <v>-0.0057</v>
      </c>
    </row>
    <row r="7014">
      <c r="A7014" s="131">
        <f>IFERROR(__xludf.DUMMYFUNCTION("""COMPUTED_VALUE"""),46187.584814814814)</f>
        <v>46187.58481</v>
      </c>
      <c r="B7014" s="126">
        <f>IFERROR(__xludf.DUMMYFUNCTION("""COMPUTED_VALUE"""),46187.0)</f>
        <v>46187</v>
      </c>
      <c r="C7014" s="122" t="str">
        <f>IFERROR(__xludf.DUMMYFUNCTION("""COMPUTED_VALUE"""),"COLA")</f>
        <v>COLA</v>
      </c>
      <c r="D7014" s="122" t="str">
        <f>IFERROR(__xludf.DUMMYFUNCTION("""COMPUTED_VALUE"""),"K-Pop Cola")</f>
        <v>K-Pop Cola</v>
      </c>
      <c r="E7014" s="122">
        <f>IFERROR(__xludf.DUMMYFUNCTION("""COMPUTED_VALUE"""),113.63)</f>
        <v>113.63</v>
      </c>
      <c r="F7014" s="122">
        <f>IFERROR(__xludf.DUMMYFUNCTION("""COMPUTED_VALUE"""),-0.0055)</f>
        <v>-0.0055</v>
      </c>
    </row>
    <row r="7015">
      <c r="A7015" s="131">
        <f>IFERROR(__xludf.DUMMYFUNCTION("""COMPUTED_VALUE"""),46187.584814814814)</f>
        <v>46187.58481</v>
      </c>
      <c r="B7015" s="126">
        <f>IFERROR(__xludf.DUMMYFUNCTION("""COMPUTED_VALUE"""),46187.0)</f>
        <v>46187</v>
      </c>
      <c r="C7015" s="122" t="str">
        <f>IFERROR(__xludf.DUMMYFUNCTION("""COMPUTED_VALUE"""),"CHIP")</f>
        <v>CHIP</v>
      </c>
      <c r="D7015" s="122" t="str">
        <f>IFERROR(__xludf.DUMMYFUNCTION("""COMPUTED_VALUE"""),"Chip Empire")</f>
        <v>Chip Empire</v>
      </c>
      <c r="E7015" s="122">
        <f>IFERROR(__xludf.DUMMYFUNCTION("""COMPUTED_VALUE"""),81.95)</f>
        <v>81.95</v>
      </c>
      <c r="F7015" s="122">
        <f>IFERROR(__xludf.DUMMYFUNCTION("""COMPUTED_VALUE"""),-0.0058)</f>
        <v>-0.0058</v>
      </c>
    </row>
    <row r="7016">
      <c r="A7016" s="131">
        <f>IFERROR(__xludf.DUMMYFUNCTION("""COMPUTED_VALUE"""),46187.584814814814)</f>
        <v>46187.58481</v>
      </c>
      <c r="B7016" s="126">
        <f>IFERROR(__xludf.DUMMYFUNCTION("""COMPUTED_VALUE"""),46187.0)</f>
        <v>46187</v>
      </c>
      <c r="C7016" s="122" t="str">
        <f>IFERROR(__xludf.DUMMYFUNCTION("""COMPUTED_VALUE"""),"CAND")</f>
        <v>CAND</v>
      </c>
      <c r="D7016" s="122" t="str">
        <f>IFERROR(__xludf.DUMMYFUNCTION("""COMPUTED_VALUE"""),"Candy Capital")</f>
        <v>Candy Capital</v>
      </c>
      <c r="E7016" s="122">
        <f>IFERROR(__xludf.DUMMYFUNCTION("""COMPUTED_VALUE"""),76.78)</f>
        <v>76.78</v>
      </c>
      <c r="F7016" s="122">
        <f>IFERROR(__xludf.DUMMYFUNCTION("""COMPUTED_VALUE"""),0.0039)</f>
        <v>0.0039</v>
      </c>
    </row>
    <row r="7017">
      <c r="A7017" s="131">
        <f>IFERROR(__xludf.DUMMYFUNCTION("""COMPUTED_VALUE"""),46187.584814814814)</f>
        <v>46187.58481</v>
      </c>
      <c r="B7017" s="126">
        <f>IFERROR(__xludf.DUMMYFUNCTION("""COMPUTED_VALUE"""),46187.0)</f>
        <v>46187</v>
      </c>
      <c r="C7017" s="122" t="str">
        <f>IFERROR(__xludf.DUMMYFUNCTION("""COMPUTED_VALUE"""),"TECH")</f>
        <v>TECH</v>
      </c>
      <c r="D7017" s="122" t="str">
        <f>IFERROR(__xludf.DUMMYFUNCTION("""COMPUTED_VALUE"""),"Dragon Tech")</f>
        <v>Dragon Tech</v>
      </c>
      <c r="E7017" s="122">
        <f>IFERROR(__xludf.DUMMYFUNCTION("""COMPUTED_VALUE"""),251.71)</f>
        <v>251.71</v>
      </c>
      <c r="F7017" s="122">
        <f>IFERROR(__xludf.DUMMYFUNCTION("""COMPUTED_VALUE"""),0.0016)</f>
        <v>0.0016</v>
      </c>
    </row>
    <row r="7018">
      <c r="A7018" s="131">
        <f>IFERROR(__xludf.DUMMYFUNCTION("""COMPUTED_VALUE"""),46187.584814814814)</f>
        <v>46187.58481</v>
      </c>
      <c r="B7018" s="126">
        <f>IFERROR(__xludf.DUMMYFUNCTION("""COMPUTED_VALUE"""),46187.0)</f>
        <v>46187</v>
      </c>
      <c r="C7018" s="122" t="str">
        <f>IFERROR(__xludf.DUMMYFUNCTION("""COMPUTED_VALUE"""),"AIBO")</f>
        <v>AIBO</v>
      </c>
      <c r="D7018" s="122" t="str">
        <f>IFERROR(__xludf.DUMMYFUNCTION("""COMPUTED_VALUE"""),"Homework AI")</f>
        <v>Homework AI</v>
      </c>
      <c r="E7018" s="122">
        <f>IFERROR(__xludf.DUMMYFUNCTION("""COMPUTED_VALUE"""),188.47)</f>
        <v>188.47</v>
      </c>
      <c r="F7018" s="122">
        <f>IFERROR(__xludf.DUMMYFUNCTION("""COMPUTED_VALUE"""),-0.0032)</f>
        <v>-0.0032</v>
      </c>
    </row>
    <row r="7019">
      <c r="A7019" s="131">
        <f>IFERROR(__xludf.DUMMYFUNCTION("""COMPUTED_VALUE"""),46187.584814814814)</f>
        <v>46187.58481</v>
      </c>
      <c r="B7019" s="126">
        <f>IFERROR(__xludf.DUMMYFUNCTION("""COMPUTED_VALUE"""),46187.0)</f>
        <v>46187</v>
      </c>
      <c r="C7019" s="122" t="str">
        <f>IFERROR(__xludf.DUMMYFUNCTION("""COMPUTED_VALUE"""),"GAME")</f>
        <v>GAME</v>
      </c>
      <c r="D7019" s="122" t="str">
        <f>IFERROR(__xludf.DUMMYFUNCTION("""COMPUTED_VALUE"""),"GameBox Media")</f>
        <v>GameBox Media</v>
      </c>
      <c r="E7019" s="122">
        <f>IFERROR(__xludf.DUMMYFUNCTION("""COMPUTED_VALUE"""),102.63)</f>
        <v>102.63</v>
      </c>
      <c r="F7019" s="122">
        <f>IFERROR(__xludf.DUMMYFUNCTION("""COMPUTED_VALUE"""),0.0084)</f>
        <v>0.0084</v>
      </c>
    </row>
    <row r="7020">
      <c r="A7020" s="131">
        <f>IFERROR(__xludf.DUMMYFUNCTION("""COMPUTED_VALUE"""),46187.584814814814)</f>
        <v>46187.58481</v>
      </c>
      <c r="B7020" s="126">
        <f>IFERROR(__xludf.DUMMYFUNCTION("""COMPUTED_VALUE"""),46187.0)</f>
        <v>46187</v>
      </c>
      <c r="C7020" s="122" t="str">
        <f>IFERROR(__xludf.DUMMYFUNCTION("""COMPUTED_VALUE"""),"VRSE")</f>
        <v>VRSE</v>
      </c>
      <c r="D7020" s="122" t="str">
        <f>IFERROR(__xludf.DUMMYFUNCTION("""COMPUTED_VALUE"""),"VerseVR")</f>
        <v>VerseVR</v>
      </c>
      <c r="E7020" s="122">
        <f>IFERROR(__xludf.DUMMYFUNCTION("""COMPUTED_VALUE"""),148.71)</f>
        <v>148.71</v>
      </c>
      <c r="F7020" s="122">
        <f>IFERROR(__xludf.DUMMYFUNCTION("""COMPUTED_VALUE"""),0.0072)</f>
        <v>0.0072</v>
      </c>
    </row>
    <row r="7021">
      <c r="A7021" s="131">
        <f>IFERROR(__xludf.DUMMYFUNCTION("""COMPUTED_VALUE"""),46187.584814814814)</f>
        <v>46187.58481</v>
      </c>
      <c r="B7021" s="126">
        <f>IFERROR(__xludf.DUMMYFUNCTION("""COMPUTED_VALUE"""),46187.0)</f>
        <v>46187</v>
      </c>
      <c r="C7021" s="122" t="str">
        <f>IFERROR(__xludf.DUMMYFUNCTION("""COMPUTED_VALUE"""),"BYTE")</f>
        <v>BYTE</v>
      </c>
      <c r="D7021" s="122" t="str">
        <f>IFERROR(__xludf.DUMMYFUNCTION("""COMPUTED_VALUE"""),"ByteWorks")</f>
        <v>ByteWorks</v>
      </c>
      <c r="E7021" s="122">
        <f>IFERROR(__xludf.DUMMYFUNCTION("""COMPUTED_VALUE"""),117.05)</f>
        <v>117.05</v>
      </c>
      <c r="F7021" s="122">
        <f>IFERROR(__xludf.DUMMYFUNCTION("""COMPUTED_VALUE"""),0.0077)</f>
        <v>0.0077</v>
      </c>
    </row>
    <row r="7022">
      <c r="A7022" s="131">
        <f>IFERROR(__xludf.DUMMYFUNCTION("""COMPUTED_VALUE"""),46187.584814814814)</f>
        <v>46187.58481</v>
      </c>
      <c r="B7022" s="126">
        <f>IFERROR(__xludf.DUMMYFUNCTION("""COMPUTED_VALUE"""),46187.0)</f>
        <v>46187</v>
      </c>
      <c r="C7022" s="122" t="str">
        <f>IFERROR(__xludf.DUMMYFUNCTION("""COMPUTED_VALUE"""),"BANK")</f>
        <v>BANK</v>
      </c>
      <c r="D7022" s="122" t="str">
        <f>IFERROR(__xludf.DUMMYFUNCTION("""COMPUTED_VALUE"""),"Tiger Bank")</f>
        <v>Tiger Bank</v>
      </c>
      <c r="E7022" s="122">
        <f>IFERROR(__xludf.DUMMYFUNCTION("""COMPUTED_VALUE"""),130.71)</f>
        <v>130.71</v>
      </c>
      <c r="F7022" s="122">
        <f>IFERROR(__xludf.DUMMYFUNCTION("""COMPUTED_VALUE"""),-0.0029)</f>
        <v>-0.0029</v>
      </c>
    </row>
    <row r="7023">
      <c r="A7023" s="131">
        <f>IFERROR(__xludf.DUMMYFUNCTION("""COMPUTED_VALUE"""),46187.584814814814)</f>
        <v>46187.58481</v>
      </c>
      <c r="B7023" s="126">
        <f>IFERROR(__xludf.DUMMYFUNCTION("""COMPUTED_VALUE"""),46187.0)</f>
        <v>46187</v>
      </c>
      <c r="C7023" s="122" t="str">
        <f>IFERROR(__xludf.DUMMYFUNCTION("""COMPUTED_VALUE"""),"CRED")</f>
        <v>CRED</v>
      </c>
      <c r="D7023" s="122" t="str">
        <f>IFERROR(__xludf.DUMMYFUNCTION("""COMPUTED_VALUE"""),"Credit Castle")</f>
        <v>Credit Castle</v>
      </c>
      <c r="E7023" s="122">
        <f>IFERROR(__xludf.DUMMYFUNCTION("""COMPUTED_VALUE"""),66.97)</f>
        <v>66.97</v>
      </c>
      <c r="F7023" s="122">
        <f>IFERROR(__xludf.DUMMYFUNCTION("""COMPUTED_VALUE"""),-0.0055)</f>
        <v>-0.0055</v>
      </c>
    </row>
    <row r="7024">
      <c r="A7024" s="131">
        <f>IFERROR(__xludf.DUMMYFUNCTION("""COMPUTED_VALUE"""),46187.584814814814)</f>
        <v>46187.58481</v>
      </c>
      <c r="B7024" s="126">
        <f>IFERROR(__xludf.DUMMYFUNCTION("""COMPUTED_VALUE"""),46187.0)</f>
        <v>46187</v>
      </c>
      <c r="C7024" s="122" t="str">
        <f>IFERROR(__xludf.DUMMYFUNCTION("""COMPUTED_VALUE"""),"BOND")</f>
        <v>BOND</v>
      </c>
      <c r="D7024" s="122" t="str">
        <f>IFERROR(__xludf.DUMMYFUNCTION("""COMPUTED_VALUE"""),"BondBridge")</f>
        <v>BondBridge</v>
      </c>
      <c r="E7024" s="122">
        <f>IFERROR(__xludf.DUMMYFUNCTION("""COMPUTED_VALUE"""),103.37)</f>
        <v>103.37</v>
      </c>
      <c r="F7024" s="122">
        <f>IFERROR(__xludf.DUMMYFUNCTION("""COMPUTED_VALUE"""),0.002)</f>
        <v>0.002</v>
      </c>
    </row>
    <row r="7025">
      <c r="A7025" s="131">
        <f>IFERROR(__xludf.DUMMYFUNCTION("""COMPUTED_VALUE"""),46187.584814814814)</f>
        <v>46187.58481</v>
      </c>
      <c r="B7025" s="126">
        <f>IFERROR(__xludf.DUMMYFUNCTION("""COMPUTED_VALUE"""),46187.0)</f>
        <v>46187</v>
      </c>
      <c r="C7025" s="122" t="str">
        <f>IFERROR(__xludf.DUMMYFUNCTION("""COMPUTED_VALUE"""),"INSR")</f>
        <v>INSR</v>
      </c>
      <c r="D7025" s="122" t="str">
        <f>IFERROR(__xludf.DUMMYFUNCTION("""COMPUTED_VALUE"""),"Shield Insurance")</f>
        <v>Shield Insurance</v>
      </c>
      <c r="E7025" s="122">
        <f>IFERROR(__xludf.DUMMYFUNCTION("""COMPUTED_VALUE"""),157.79)</f>
        <v>157.79</v>
      </c>
      <c r="F7025" s="122">
        <f>IFERROR(__xludf.DUMMYFUNCTION("""COMPUTED_VALUE"""),-0.0027)</f>
        <v>-0.0027</v>
      </c>
    </row>
    <row r="7026">
      <c r="A7026" s="131">
        <f>IFERROR(__xludf.DUMMYFUNCTION("""COMPUTED_VALUE"""),46187.584814814814)</f>
        <v>46187.58481</v>
      </c>
      <c r="B7026" s="126">
        <f>IFERROR(__xludf.DUMMYFUNCTION("""COMPUTED_VALUE"""),46187.0)</f>
        <v>46187</v>
      </c>
      <c r="C7026" s="122" t="str">
        <f>IFERROR(__xludf.DUMMYFUNCTION("""COMPUTED_VALUE"""),"LOAN")</f>
        <v>LOAN</v>
      </c>
      <c r="D7026" s="122" t="str">
        <f>IFERROR(__xludf.DUMMYFUNCTION("""COMPUTED_VALUE"""),"LoanLab")</f>
        <v>LoanLab</v>
      </c>
      <c r="E7026" s="122">
        <f>IFERROR(__xludf.DUMMYFUNCTION("""COMPUTED_VALUE"""),69.69)</f>
        <v>69.69</v>
      </c>
      <c r="F7026" s="122">
        <f>IFERROR(__xludf.DUMMYFUNCTION("""COMPUTED_VALUE"""),0.0061)</f>
        <v>0.0061</v>
      </c>
    </row>
    <row r="7027">
      <c r="A7027" s="131">
        <f>IFERROR(__xludf.DUMMYFUNCTION("""COMPUTED_VALUE"""),46187.584814814814)</f>
        <v>46187.58481</v>
      </c>
      <c r="B7027" s="126">
        <f>IFERROR(__xludf.DUMMYFUNCTION("""COMPUTED_VALUE"""),46187.0)</f>
        <v>46187</v>
      </c>
      <c r="C7027" s="122" t="str">
        <f>IFERROR(__xludf.DUMMYFUNCTION("""COMPUTED_VALUE"""),"LUXE")</f>
        <v>LUXE</v>
      </c>
      <c r="D7027" s="122" t="str">
        <f>IFERROR(__xludf.DUMMYFUNCTION("""COMPUTED_VALUE"""),"Luxury Locker")</f>
        <v>Luxury Locker</v>
      </c>
      <c r="E7027" s="122">
        <f>IFERROR(__xludf.DUMMYFUNCTION("""COMPUTED_VALUE"""),265.06)</f>
        <v>265.06</v>
      </c>
      <c r="F7027" s="122">
        <f>IFERROR(__xludf.DUMMYFUNCTION("""COMPUTED_VALUE"""),-0.0055)</f>
        <v>-0.0055</v>
      </c>
    </row>
    <row r="7028">
      <c r="A7028" s="131">
        <f>IFERROR(__xludf.DUMMYFUNCTION("""COMPUTED_VALUE"""),46187.584814814814)</f>
        <v>46187.58481</v>
      </c>
      <c r="B7028" s="126">
        <f>IFERROR(__xludf.DUMMYFUNCTION("""COMPUTED_VALUE"""),46187.0)</f>
        <v>46187</v>
      </c>
      <c r="C7028" s="122" t="str">
        <f>IFERROR(__xludf.DUMMYFUNCTION("""COMPUTED_VALUE"""),"DRIP")</f>
        <v>DRIP</v>
      </c>
      <c r="D7028" s="122" t="str">
        <f>IFERROR(__xludf.DUMMYFUNCTION("""COMPUTED_VALUE"""),"Drip Streetwear")</f>
        <v>Drip Streetwear</v>
      </c>
      <c r="E7028" s="122">
        <f>IFERROR(__xludf.DUMMYFUNCTION("""COMPUTED_VALUE"""),192.21)</f>
        <v>192.21</v>
      </c>
      <c r="F7028" s="122">
        <f>IFERROR(__xludf.DUMMYFUNCTION("""COMPUTED_VALUE"""),8.0E-4)</f>
        <v>0.0008</v>
      </c>
    </row>
    <row r="7029">
      <c r="A7029" s="131">
        <f>IFERROR(__xludf.DUMMYFUNCTION("""COMPUTED_VALUE"""),46187.584814814814)</f>
        <v>46187.58481</v>
      </c>
      <c r="B7029" s="126">
        <f>IFERROR(__xludf.DUMMYFUNCTION("""COMPUTED_VALUE"""),46187.0)</f>
        <v>46187</v>
      </c>
      <c r="C7029" s="122" t="str">
        <f>IFERROR(__xludf.DUMMYFUNCTION("""COMPUTED_VALUE"""),"KICK")</f>
        <v>KICK</v>
      </c>
      <c r="D7029" s="122" t="str">
        <f>IFERROR(__xludf.DUMMYFUNCTION("""COMPUTED_VALUE"""),"KickDrop Sneakers")</f>
        <v>KickDrop Sneakers</v>
      </c>
      <c r="E7029" s="122">
        <f>IFERROR(__xludf.DUMMYFUNCTION("""COMPUTED_VALUE"""),168.27)</f>
        <v>168.27</v>
      </c>
      <c r="F7029" s="122">
        <f>IFERROR(__xludf.DUMMYFUNCTION("""COMPUTED_VALUE"""),7.0E-4)</f>
        <v>0.0007</v>
      </c>
    </row>
    <row r="7030">
      <c r="A7030" s="131">
        <f>IFERROR(__xludf.DUMMYFUNCTION("""COMPUTED_VALUE"""),46187.584814814814)</f>
        <v>46187.58481</v>
      </c>
      <c r="B7030" s="126">
        <f>IFERROR(__xludf.DUMMYFUNCTION("""COMPUTED_VALUE"""),46187.0)</f>
        <v>46187</v>
      </c>
      <c r="C7030" s="122" t="str">
        <f>IFERROR(__xludf.DUMMYFUNCTION("""COMPUTED_VALUE"""),"GLAM")</f>
        <v>GLAM</v>
      </c>
      <c r="D7030" s="122" t="str">
        <f>IFERROR(__xludf.DUMMYFUNCTION("""COMPUTED_VALUE"""),"Glow Cosmetics")</f>
        <v>Glow Cosmetics</v>
      </c>
      <c r="E7030" s="122">
        <f>IFERROR(__xludf.DUMMYFUNCTION("""COMPUTED_VALUE"""),109.88)</f>
        <v>109.88</v>
      </c>
      <c r="F7030" s="122">
        <f>IFERROR(__xludf.DUMMYFUNCTION("""COMPUTED_VALUE"""),-0.0026)</f>
        <v>-0.0026</v>
      </c>
    </row>
    <row r="7031">
      <c r="A7031" s="131">
        <f>IFERROR(__xludf.DUMMYFUNCTION("""COMPUTED_VALUE"""),46187.584814814814)</f>
        <v>46187.58481</v>
      </c>
      <c r="B7031" s="126">
        <f>IFERROR(__xludf.DUMMYFUNCTION("""COMPUTED_VALUE"""),46187.0)</f>
        <v>46187</v>
      </c>
      <c r="C7031" s="122" t="str">
        <f>IFERROR(__xludf.DUMMYFUNCTION("""COMPUTED_VALUE"""),"BAGG")</f>
        <v>BAGG</v>
      </c>
      <c r="D7031" s="122" t="str">
        <f>IFERROR(__xludf.DUMMYFUNCTION("""COMPUTED_VALUE"""),"BagVault")</f>
        <v>BagVault</v>
      </c>
      <c r="E7031" s="122">
        <f>IFERROR(__xludf.DUMMYFUNCTION("""COMPUTED_VALUE"""),271.34)</f>
        <v>271.34</v>
      </c>
      <c r="F7031" s="122">
        <f>IFERROR(__xludf.DUMMYFUNCTION("""COMPUTED_VALUE"""),0.0057)</f>
        <v>0.0057</v>
      </c>
    </row>
    <row r="7032">
      <c r="A7032" s="131">
        <f>IFERROR(__xludf.DUMMYFUNCTION("""COMPUTED_VALUE"""),46187.584814814814)</f>
        <v>46187.58481</v>
      </c>
      <c r="B7032" s="126">
        <f>IFERROR(__xludf.DUMMYFUNCTION("""COMPUTED_VALUE"""),46187.0)</f>
        <v>46187</v>
      </c>
      <c r="C7032" s="122" t="str">
        <f>IFERROR(__xludf.DUMMYFUNCTION("""COMPUTED_VALUE"""),"FAST")</f>
        <v>FAST</v>
      </c>
      <c r="D7032" s="122" t="str">
        <f>IFERROR(__xludf.DUMMYFUNCTION("""COMPUTED_VALUE"""),"Flash Logistics")</f>
        <v>Flash Logistics</v>
      </c>
      <c r="E7032" s="122">
        <f>IFERROR(__xludf.DUMMYFUNCTION("""COMPUTED_VALUE"""),107.95)</f>
        <v>107.95</v>
      </c>
      <c r="F7032" s="122">
        <f>IFERROR(__xludf.DUMMYFUNCTION("""COMPUTED_VALUE"""),1.0E-4)</f>
        <v>0.0001</v>
      </c>
    </row>
    <row r="7033">
      <c r="A7033" s="131">
        <f>IFERROR(__xludf.DUMMYFUNCTION("""COMPUTED_VALUE"""),46187.584814814814)</f>
        <v>46187.58481</v>
      </c>
      <c r="B7033" s="126">
        <f>IFERROR(__xludf.DUMMYFUNCTION("""COMPUTED_VALUE"""),46187.0)</f>
        <v>46187</v>
      </c>
      <c r="C7033" s="122" t="str">
        <f>IFERROR(__xludf.DUMMYFUNCTION("""COMPUTED_VALUE"""),"SHIP")</f>
        <v>SHIP</v>
      </c>
      <c r="D7033" s="122" t="str">
        <f>IFERROR(__xludf.DUMMYFUNCTION("""COMPUTED_VALUE"""),"Seoul Shipping")</f>
        <v>Seoul Shipping</v>
      </c>
      <c r="E7033" s="122">
        <f>IFERROR(__xludf.DUMMYFUNCTION("""COMPUTED_VALUE"""),129.34)</f>
        <v>129.34</v>
      </c>
      <c r="F7033" s="122">
        <f>IFERROR(__xludf.DUMMYFUNCTION("""COMPUTED_VALUE"""),0.004)</f>
        <v>0.004</v>
      </c>
    </row>
    <row r="7034">
      <c r="A7034" s="131">
        <f>IFERROR(__xludf.DUMMYFUNCTION("""COMPUTED_VALUE"""),46187.584814814814)</f>
        <v>46187.58481</v>
      </c>
      <c r="B7034" s="126">
        <f>IFERROR(__xludf.DUMMYFUNCTION("""COMPUTED_VALUE"""),46187.0)</f>
        <v>46187</v>
      </c>
      <c r="C7034" s="122" t="str">
        <f>IFERROR(__xludf.DUMMYFUNCTION("""COMPUTED_VALUE"""),"DRON")</f>
        <v>DRON</v>
      </c>
      <c r="D7034" s="122" t="str">
        <f>IFERROR(__xludf.DUMMYFUNCTION("""COMPUTED_VALUE"""),"DroneDrop")</f>
        <v>DroneDrop</v>
      </c>
      <c r="E7034" s="122">
        <f>IFERROR(__xludf.DUMMYFUNCTION("""COMPUTED_VALUE"""),127.38)</f>
        <v>127.38</v>
      </c>
      <c r="F7034" s="122">
        <f>IFERROR(__xludf.DUMMYFUNCTION("""COMPUTED_VALUE"""),-0.002)</f>
        <v>-0.002</v>
      </c>
    </row>
    <row r="7035">
      <c r="A7035" s="131">
        <f>IFERROR(__xludf.DUMMYFUNCTION("""COMPUTED_VALUE"""),46187.584814814814)</f>
        <v>46187.58481</v>
      </c>
      <c r="B7035" s="126">
        <f>IFERROR(__xludf.DUMMYFUNCTION("""COMPUTED_VALUE"""),46187.0)</f>
        <v>46187</v>
      </c>
      <c r="C7035" s="122" t="str">
        <f>IFERROR(__xludf.DUMMYFUNCTION("""COMPUTED_VALUE"""),"RIDE")</f>
        <v>RIDE</v>
      </c>
      <c r="D7035" s="122" t="str">
        <f>IFERROR(__xludf.DUMMYFUNCTION("""COMPUTED_VALUE"""),"QuickRide")</f>
        <v>QuickRide</v>
      </c>
      <c r="E7035" s="122">
        <f>IFERROR(__xludf.DUMMYFUNCTION("""COMPUTED_VALUE"""),101.13)</f>
        <v>101.13</v>
      </c>
      <c r="F7035" s="122">
        <f>IFERROR(__xludf.DUMMYFUNCTION("""COMPUTED_VALUE"""),-0.0111)</f>
        <v>-0.0111</v>
      </c>
    </row>
    <row r="7036">
      <c r="A7036" s="131">
        <f>IFERROR(__xludf.DUMMYFUNCTION("""COMPUTED_VALUE"""),46187.584814814814)</f>
        <v>46187.58481</v>
      </c>
      <c r="B7036" s="126">
        <f>IFERROR(__xludf.DUMMYFUNCTION("""COMPUTED_VALUE"""),46187.0)</f>
        <v>46187</v>
      </c>
      <c r="C7036" s="122" t="str">
        <f>IFERROR(__xludf.DUMMYFUNCTION("""COMPUTED_VALUE"""),"RAIL")</f>
        <v>RAIL</v>
      </c>
      <c r="D7036" s="122" t="str">
        <f>IFERROR(__xludf.DUMMYFUNCTION("""COMPUTED_VALUE"""),"MetroRail Corp")</f>
        <v>MetroRail Corp</v>
      </c>
      <c r="E7036" s="122">
        <f>IFERROR(__xludf.DUMMYFUNCTION("""COMPUTED_VALUE"""),130.99)</f>
        <v>130.99</v>
      </c>
      <c r="F7036" s="122">
        <f>IFERROR(__xludf.DUMMYFUNCTION("""COMPUTED_VALUE"""),-0.0018)</f>
        <v>-0.0018</v>
      </c>
    </row>
    <row r="7037">
      <c r="A7037" s="131">
        <f>IFERROR(__xludf.DUMMYFUNCTION("""COMPUTED_VALUE"""),46187.584814814814)</f>
        <v>46187.58481</v>
      </c>
      <c r="B7037" s="126">
        <f>IFERROR(__xludf.DUMMYFUNCTION("""COMPUTED_VALUE"""),46187.0)</f>
        <v>46187</v>
      </c>
      <c r="C7037" s="122" t="str">
        <f>IFERROR(__xludf.DUMMYFUNCTION("""COMPUTED_VALUE"""),"MEDX")</f>
        <v>MEDX</v>
      </c>
      <c r="D7037" s="122" t="str">
        <f>IFERROR(__xludf.DUMMYFUNCTION("""COMPUTED_VALUE"""),"MediCore")</f>
        <v>MediCore</v>
      </c>
      <c r="E7037" s="122">
        <f>IFERROR(__xludf.DUMMYFUNCTION("""COMPUTED_VALUE"""),138.88)</f>
        <v>138.88</v>
      </c>
      <c r="F7037" s="122">
        <f>IFERROR(__xludf.DUMMYFUNCTION("""COMPUTED_VALUE"""),5.0E-4)</f>
        <v>0.0005</v>
      </c>
    </row>
    <row r="7038">
      <c r="A7038" s="131">
        <f>IFERROR(__xludf.DUMMYFUNCTION("""COMPUTED_VALUE"""),46187.584814814814)</f>
        <v>46187.58481</v>
      </c>
      <c r="B7038" s="126">
        <f>IFERROR(__xludf.DUMMYFUNCTION("""COMPUTED_VALUE"""),46187.0)</f>
        <v>46187</v>
      </c>
      <c r="C7038" s="122" t="str">
        <f>IFERROR(__xludf.DUMMYFUNCTION("""COMPUTED_VALUE"""),"GYMX")</f>
        <v>GYMX</v>
      </c>
      <c r="D7038" s="122" t="str">
        <f>IFERROR(__xludf.DUMMYFUNCTION("""COMPUTED_VALUE"""),"GymX Fitness")</f>
        <v>GymX Fitness</v>
      </c>
      <c r="E7038" s="122">
        <f>IFERROR(__xludf.DUMMYFUNCTION("""COMPUTED_VALUE"""),85.49)</f>
        <v>85.49</v>
      </c>
      <c r="F7038" s="122">
        <f>IFERROR(__xludf.DUMMYFUNCTION("""COMPUTED_VALUE"""),0.0021)</f>
        <v>0.0021</v>
      </c>
    </row>
    <row r="7039">
      <c r="A7039" s="131">
        <f>IFERROR(__xludf.DUMMYFUNCTION("""COMPUTED_VALUE"""),46187.584814814814)</f>
        <v>46187.58481</v>
      </c>
      <c r="B7039" s="126">
        <f>IFERROR(__xludf.DUMMYFUNCTION("""COMPUTED_VALUE"""),46187.0)</f>
        <v>46187</v>
      </c>
      <c r="C7039" s="122" t="str">
        <f>IFERROR(__xludf.DUMMYFUNCTION("""COMPUTED_VALUE"""),"VITA")</f>
        <v>VITA</v>
      </c>
      <c r="D7039" s="122" t="str">
        <f>IFERROR(__xludf.DUMMYFUNCTION("""COMPUTED_VALUE"""),"VitaPlus")</f>
        <v>VitaPlus</v>
      </c>
      <c r="E7039" s="122">
        <f>IFERROR(__xludf.DUMMYFUNCTION("""COMPUTED_VALUE"""),72.55)</f>
        <v>72.55</v>
      </c>
      <c r="F7039" s="122">
        <f>IFERROR(__xludf.DUMMYFUNCTION("""COMPUTED_VALUE"""),-0.0012)</f>
        <v>-0.0012</v>
      </c>
    </row>
    <row r="7040">
      <c r="A7040" s="131">
        <f>IFERROR(__xludf.DUMMYFUNCTION("""COMPUTED_VALUE"""),46187.584814814814)</f>
        <v>46187.58481</v>
      </c>
      <c r="B7040" s="126">
        <f>IFERROR(__xludf.DUMMYFUNCTION("""COMPUTED_VALUE"""),46187.0)</f>
        <v>46187</v>
      </c>
      <c r="C7040" s="122" t="str">
        <f>IFERROR(__xludf.DUMMYFUNCTION("""COMPUTED_VALUE"""),"CARE")</f>
        <v>CARE</v>
      </c>
      <c r="D7040" s="122" t="str">
        <f>IFERROR(__xludf.DUMMYFUNCTION("""COMPUTED_VALUE"""),"CareCloud")</f>
        <v>CareCloud</v>
      </c>
      <c r="E7040" s="122">
        <f>IFERROR(__xludf.DUMMYFUNCTION("""COMPUTED_VALUE"""),182.03)</f>
        <v>182.03</v>
      </c>
      <c r="F7040" s="122">
        <f>IFERROR(__xludf.DUMMYFUNCTION("""COMPUTED_VALUE"""),0.0082)</f>
        <v>0.0082</v>
      </c>
    </row>
    <row r="7041">
      <c r="A7041" s="131">
        <f>IFERROR(__xludf.DUMMYFUNCTION("""COMPUTED_VALUE"""),46187.584814814814)</f>
        <v>46187.58481</v>
      </c>
      <c r="B7041" s="126">
        <f>IFERROR(__xludf.DUMMYFUNCTION("""COMPUTED_VALUE"""),46187.0)</f>
        <v>46187</v>
      </c>
      <c r="C7041" s="122" t="str">
        <f>IFERROR(__xludf.DUMMYFUNCTION("""COMPUTED_VALUE"""),"DENT")</f>
        <v>DENT</v>
      </c>
      <c r="D7041" s="122" t="str">
        <f>IFERROR(__xludf.DUMMYFUNCTION("""COMPUTED_VALUE"""),"SmileWorks")</f>
        <v>SmileWorks</v>
      </c>
      <c r="E7041" s="122">
        <f>IFERROR(__xludf.DUMMYFUNCTION("""COMPUTED_VALUE"""),94.56)</f>
        <v>94.56</v>
      </c>
      <c r="F7041" s="122">
        <f>IFERROR(__xludf.DUMMYFUNCTION("""COMPUTED_VALUE"""),0.0069)</f>
        <v>0.0069</v>
      </c>
    </row>
    <row r="7042">
      <c r="A7042" s="131">
        <f>IFERROR(__xludf.DUMMYFUNCTION("""COMPUTED_VALUE"""),46187.584814814814)</f>
        <v>46187.58481</v>
      </c>
      <c r="B7042" s="126">
        <f>IFERROR(__xludf.DUMMYFUNCTION("""COMPUTED_VALUE"""),46187.0)</f>
        <v>46187</v>
      </c>
      <c r="C7042" s="122" t="str">
        <f>IFERROR(__xludf.DUMMYFUNCTION("""COMPUTED_VALUE"""),"EDUX")</f>
        <v>EDUX</v>
      </c>
      <c r="D7042" s="122" t="str">
        <f>IFERROR(__xludf.DUMMYFUNCTION("""COMPUTED_VALUE"""),"EduMax Learning")</f>
        <v>EduMax Learning</v>
      </c>
      <c r="E7042" s="122">
        <f>IFERROR(__xludf.DUMMYFUNCTION("""COMPUTED_VALUE"""),145.93)</f>
        <v>145.93</v>
      </c>
      <c r="F7042" s="122">
        <f>IFERROR(__xludf.DUMMYFUNCTION("""COMPUTED_VALUE"""),-0.0018)</f>
        <v>-0.0018</v>
      </c>
    </row>
    <row r="7043">
      <c r="A7043" s="131">
        <f>IFERROR(__xludf.DUMMYFUNCTION("""COMPUTED_VALUE"""),46187.584814814814)</f>
        <v>46187.58481</v>
      </c>
      <c r="B7043" s="126">
        <f>IFERROR(__xludf.DUMMYFUNCTION("""COMPUTED_VALUE"""),46187.0)</f>
        <v>46187</v>
      </c>
      <c r="C7043" s="122" t="str">
        <f>IFERROR(__xludf.DUMMYFUNCTION("""COMPUTED_VALUE"""),"BOOK")</f>
        <v>BOOK</v>
      </c>
      <c r="D7043" s="122" t="str">
        <f>IFERROR(__xludf.DUMMYFUNCTION("""COMPUTED_VALUE"""),"BookBridge")</f>
        <v>BookBridge</v>
      </c>
      <c r="E7043" s="122">
        <f>IFERROR(__xludf.DUMMYFUNCTION("""COMPUTED_VALUE"""),119.31)</f>
        <v>119.31</v>
      </c>
      <c r="F7043" s="122">
        <f>IFERROR(__xludf.DUMMYFUNCTION("""COMPUTED_VALUE"""),3.0E-4)</f>
        <v>0.0003</v>
      </c>
    </row>
    <row r="7044">
      <c r="A7044" s="131">
        <f>IFERROR(__xludf.DUMMYFUNCTION("""COMPUTED_VALUE"""),46187.584814814814)</f>
        <v>46187.58481</v>
      </c>
      <c r="B7044" s="126">
        <f>IFERROR(__xludf.DUMMYFUNCTION("""COMPUTED_VALUE"""),46187.0)</f>
        <v>46187</v>
      </c>
      <c r="C7044" s="122" t="str">
        <f>IFERROR(__xludf.DUMMYFUNCTION("""COMPUTED_VALUE"""),"TUTR")</f>
        <v>TUTR</v>
      </c>
      <c r="D7044" s="122" t="str">
        <f>IFERROR(__xludf.DUMMYFUNCTION("""COMPUTED_VALUE"""),"TutorTown")</f>
        <v>TutorTown</v>
      </c>
      <c r="E7044" s="122">
        <f>IFERROR(__xludf.DUMMYFUNCTION("""COMPUTED_VALUE"""),90.44)</f>
        <v>90.44</v>
      </c>
      <c r="F7044" s="122">
        <f>IFERROR(__xludf.DUMMYFUNCTION("""COMPUTED_VALUE"""),-0.0045)</f>
        <v>-0.0045</v>
      </c>
    </row>
    <row r="7045">
      <c r="A7045" s="131">
        <f>IFERROR(__xludf.DUMMYFUNCTION("""COMPUTED_VALUE"""),46187.584814814814)</f>
        <v>46187.58481</v>
      </c>
      <c r="B7045" s="126">
        <f>IFERROR(__xludf.DUMMYFUNCTION("""COMPUTED_VALUE"""),46187.0)</f>
        <v>46187</v>
      </c>
      <c r="C7045" s="122" t="str">
        <f>IFERROR(__xludf.DUMMYFUNCTION("""COMPUTED_VALUE"""),"LANG")</f>
        <v>LANG</v>
      </c>
      <c r="D7045" s="122" t="str">
        <f>IFERROR(__xludf.DUMMYFUNCTION("""COMPUTED_VALUE"""),"LinguaLab")</f>
        <v>LinguaLab</v>
      </c>
      <c r="E7045" s="122">
        <f>IFERROR(__xludf.DUMMYFUNCTION("""COMPUTED_VALUE"""),100.38)</f>
        <v>100.38</v>
      </c>
      <c r="F7045" s="122">
        <f>IFERROR(__xludf.DUMMYFUNCTION("""COMPUTED_VALUE"""),0.0036)</f>
        <v>0.0036</v>
      </c>
    </row>
    <row r="7046">
      <c r="A7046" s="131">
        <f>IFERROR(__xludf.DUMMYFUNCTION("""COMPUTED_VALUE"""),46187.584814814814)</f>
        <v>46187.58481</v>
      </c>
      <c r="B7046" s="126">
        <f>IFERROR(__xludf.DUMMYFUNCTION("""COMPUTED_VALUE"""),46187.0)</f>
        <v>46187</v>
      </c>
      <c r="C7046" s="122" t="str">
        <f>IFERROR(__xludf.DUMMYFUNCTION("""COMPUTED_VALUE"""),"TEST")</f>
        <v>TEST</v>
      </c>
      <c r="D7046" s="122" t="str">
        <f>IFERROR(__xludf.DUMMYFUNCTION("""COMPUTED_VALUE"""),"TestPrep Pro")</f>
        <v>TestPrep Pro</v>
      </c>
      <c r="E7046" s="122">
        <f>IFERROR(__xludf.DUMMYFUNCTION("""COMPUTED_VALUE"""),91.07)</f>
        <v>91.07</v>
      </c>
      <c r="F7046" s="122">
        <f>IFERROR(__xludf.DUMMYFUNCTION("""COMPUTED_VALUE"""),-0.0055)</f>
        <v>-0.0055</v>
      </c>
    </row>
    <row r="7047">
      <c r="A7047" s="131">
        <f>IFERROR(__xludf.DUMMYFUNCTION("""COMPUTED_VALUE"""),46187.584814814814)</f>
        <v>46187.58481</v>
      </c>
      <c r="B7047" s="126">
        <f>IFERROR(__xludf.DUMMYFUNCTION("""COMPUTED_VALUE"""),46187.0)</f>
        <v>46187</v>
      </c>
      <c r="C7047" s="122" t="str">
        <f>IFERROR(__xludf.DUMMYFUNCTION("""COMPUTED_VALUE"""),"MOVI")</f>
        <v>MOVI</v>
      </c>
      <c r="D7047" s="122" t="str">
        <f>IFERROR(__xludf.DUMMYFUNCTION("""COMPUTED_VALUE"""),"MovieBox")</f>
        <v>MovieBox</v>
      </c>
      <c r="E7047" s="122">
        <f>IFERROR(__xludf.DUMMYFUNCTION("""COMPUTED_VALUE"""),83.94)</f>
        <v>83.94</v>
      </c>
      <c r="F7047" s="122">
        <f>IFERROR(__xludf.DUMMYFUNCTION("""COMPUTED_VALUE"""),0.0024)</f>
        <v>0.0024</v>
      </c>
    </row>
    <row r="7048">
      <c r="A7048" s="131">
        <f>IFERROR(__xludf.DUMMYFUNCTION("""COMPUTED_VALUE"""),46187.584814814814)</f>
        <v>46187.58481</v>
      </c>
      <c r="B7048" s="126">
        <f>IFERROR(__xludf.DUMMYFUNCTION("""COMPUTED_VALUE"""),46187.0)</f>
        <v>46187</v>
      </c>
      <c r="C7048" s="122" t="str">
        <f>IFERROR(__xludf.DUMMYFUNCTION("""COMPUTED_VALUE"""),"MUSC")</f>
        <v>MUSC</v>
      </c>
      <c r="D7048" s="122" t="str">
        <f>IFERROR(__xludf.DUMMYFUNCTION("""COMPUTED_VALUE"""),"MusicWave")</f>
        <v>MusicWave</v>
      </c>
      <c r="E7048" s="122">
        <f>IFERROR(__xludf.DUMMYFUNCTION("""COMPUTED_VALUE"""),101.91)</f>
        <v>101.91</v>
      </c>
      <c r="F7048" s="122">
        <f>IFERROR(__xludf.DUMMYFUNCTION("""COMPUTED_VALUE"""),0.0029)</f>
        <v>0.0029</v>
      </c>
    </row>
    <row r="7049">
      <c r="A7049" s="131">
        <f>IFERROR(__xludf.DUMMYFUNCTION("""COMPUTED_VALUE"""),46187.584814814814)</f>
        <v>46187.58481</v>
      </c>
      <c r="B7049" s="126">
        <f>IFERROR(__xludf.DUMMYFUNCTION("""COMPUTED_VALUE"""),46187.0)</f>
        <v>46187</v>
      </c>
      <c r="C7049" s="122" t="str">
        <f>IFERROR(__xludf.DUMMYFUNCTION("""COMPUTED_VALUE"""),"IDOL")</f>
        <v>IDOL</v>
      </c>
      <c r="D7049" s="122" t="str">
        <f>IFERROR(__xludf.DUMMYFUNCTION("""COMPUTED_VALUE"""),"Idol Agency")</f>
        <v>Idol Agency</v>
      </c>
      <c r="E7049" s="122">
        <f>IFERROR(__xludf.DUMMYFUNCTION("""COMPUTED_VALUE"""),188.39)</f>
        <v>188.39</v>
      </c>
      <c r="F7049" s="122">
        <f>IFERROR(__xludf.DUMMYFUNCTION("""COMPUTED_VALUE"""),-0.0052)</f>
        <v>-0.0052</v>
      </c>
    </row>
    <row r="7050">
      <c r="A7050" s="131">
        <f>IFERROR(__xludf.DUMMYFUNCTION("""COMPUTED_VALUE"""),46187.584814814814)</f>
        <v>46187.58481</v>
      </c>
      <c r="B7050" s="126">
        <f>IFERROR(__xludf.DUMMYFUNCTION("""COMPUTED_VALUE"""),46187.0)</f>
        <v>46187</v>
      </c>
      <c r="C7050" s="122" t="str">
        <f>IFERROR(__xludf.DUMMYFUNCTION("""COMPUTED_VALUE"""),"MEME")</f>
        <v>MEME</v>
      </c>
      <c r="D7050" s="122" t="str">
        <f>IFERROR(__xludf.DUMMYFUNCTION("""COMPUTED_VALUE"""),"Meme Media")</f>
        <v>Meme Media</v>
      </c>
      <c r="E7050" s="122">
        <f>IFERROR(__xludf.DUMMYFUNCTION("""COMPUTED_VALUE"""),72.19)</f>
        <v>72.19</v>
      </c>
      <c r="F7050" s="122">
        <f>IFERROR(__xludf.DUMMYFUNCTION("""COMPUTED_VALUE"""),-0.0123)</f>
        <v>-0.0123</v>
      </c>
    </row>
    <row r="7051">
      <c r="A7051" s="131">
        <f>IFERROR(__xludf.DUMMYFUNCTION("""COMPUTED_VALUE"""),46187.584814814814)</f>
        <v>46187.58481</v>
      </c>
      <c r="B7051" s="126">
        <f>IFERROR(__xludf.DUMMYFUNCTION("""COMPUTED_VALUE"""),46187.0)</f>
        <v>46187</v>
      </c>
      <c r="C7051" s="122" t="str">
        <f>IFERROR(__xludf.DUMMYFUNCTION("""COMPUTED_VALUE"""),"STRM")</f>
        <v>STRM</v>
      </c>
      <c r="D7051" s="122" t="str">
        <f>IFERROR(__xludf.DUMMYFUNCTION("""COMPUTED_VALUE"""),"Streamly")</f>
        <v>Streamly</v>
      </c>
      <c r="E7051" s="122">
        <f>IFERROR(__xludf.DUMMYFUNCTION("""COMPUTED_VALUE"""),137.48)</f>
        <v>137.48</v>
      </c>
      <c r="F7051" s="122">
        <f>IFERROR(__xludf.DUMMYFUNCTION("""COMPUTED_VALUE"""),-0.0012)</f>
        <v>-0.0012</v>
      </c>
    </row>
    <row r="7052">
      <c r="A7052" s="131">
        <f>IFERROR(__xludf.DUMMYFUNCTION("""COMPUTED_VALUE"""),46187.584814814814)</f>
        <v>46187.58481</v>
      </c>
      <c r="B7052" s="126">
        <f>IFERROR(__xludf.DUMMYFUNCTION("""COMPUTED_VALUE"""),46187.0)</f>
        <v>46187</v>
      </c>
      <c r="C7052" s="122" t="str">
        <f>IFERROR(__xludf.DUMMYFUNCTION("""COMPUTED_VALUE"""),"FARM")</f>
        <v>FARM</v>
      </c>
      <c r="D7052" s="122" t="str">
        <f>IFERROR(__xludf.DUMMYFUNCTION("""COMPUTED_VALUE"""),"Future Farms")</f>
        <v>Future Farms</v>
      </c>
      <c r="E7052" s="122">
        <f>IFERROR(__xludf.DUMMYFUNCTION("""COMPUTED_VALUE"""),94.28)</f>
        <v>94.28</v>
      </c>
      <c r="F7052" s="122">
        <f>IFERROR(__xludf.DUMMYFUNCTION("""COMPUTED_VALUE"""),0.0045)</f>
        <v>0.0045</v>
      </c>
    </row>
    <row r="7053">
      <c r="A7053" s="131">
        <f>IFERROR(__xludf.DUMMYFUNCTION("""COMPUTED_VALUE"""),46187.584814814814)</f>
        <v>46187.58481</v>
      </c>
      <c r="B7053" s="126">
        <f>IFERROR(__xludf.DUMMYFUNCTION("""COMPUTED_VALUE"""),46187.0)</f>
        <v>46187</v>
      </c>
      <c r="C7053" s="122" t="str">
        <f>IFERROR(__xludf.DUMMYFUNCTION("""COMPUTED_VALUE"""),"MEAT")</f>
        <v>MEAT</v>
      </c>
      <c r="D7053" s="122" t="str">
        <f>IFERROR(__xludf.DUMMYFUNCTION("""COMPUTED_VALUE"""),"MeatWorks")</f>
        <v>MeatWorks</v>
      </c>
      <c r="E7053" s="122">
        <f>IFERROR(__xludf.DUMMYFUNCTION("""COMPUTED_VALUE"""),106.06)</f>
        <v>106.06</v>
      </c>
      <c r="F7053" s="122">
        <f>IFERROR(__xludf.DUMMYFUNCTION("""COMPUTED_VALUE"""),-0.0049)</f>
        <v>-0.0049</v>
      </c>
    </row>
    <row r="7054">
      <c r="A7054" s="131">
        <f>IFERROR(__xludf.DUMMYFUNCTION("""COMPUTED_VALUE"""),46187.584814814814)</f>
        <v>46187.58481</v>
      </c>
      <c r="B7054" s="126">
        <f>IFERROR(__xludf.DUMMYFUNCTION("""COMPUTED_VALUE"""),46187.0)</f>
        <v>46187</v>
      </c>
      <c r="C7054" s="122" t="str">
        <f>IFERROR(__xludf.DUMMYFUNCTION("""COMPUTED_VALUE"""),"VEGI")</f>
        <v>VEGI</v>
      </c>
      <c r="D7054" s="122" t="str">
        <f>IFERROR(__xludf.DUMMYFUNCTION("""COMPUTED_VALUE"""),"Green Basket")</f>
        <v>Green Basket</v>
      </c>
      <c r="E7054" s="122">
        <f>IFERROR(__xludf.DUMMYFUNCTION("""COMPUTED_VALUE"""),78.05)</f>
        <v>78.05</v>
      </c>
      <c r="F7054" s="122">
        <f>IFERROR(__xludf.DUMMYFUNCTION("""COMPUTED_VALUE"""),0.0027)</f>
        <v>0.0027</v>
      </c>
    </row>
    <row r="7055">
      <c r="A7055" s="131">
        <f>IFERROR(__xludf.DUMMYFUNCTION("""COMPUTED_VALUE"""),46187.584814814814)</f>
        <v>46187.58481</v>
      </c>
      <c r="B7055" s="126">
        <f>IFERROR(__xludf.DUMMYFUNCTION("""COMPUTED_VALUE"""),46187.0)</f>
        <v>46187</v>
      </c>
      <c r="C7055" s="122" t="str">
        <f>IFERROR(__xludf.DUMMYFUNCTION("""COMPUTED_VALUE"""),"CAFE")</f>
        <v>CAFE</v>
      </c>
      <c r="D7055" s="122" t="str">
        <f>IFERROR(__xludf.DUMMYFUNCTION("""COMPUTED_VALUE"""),"Cafe Cloud")</f>
        <v>Cafe Cloud</v>
      </c>
      <c r="E7055" s="122">
        <f>IFERROR(__xludf.DUMMYFUNCTION("""COMPUTED_VALUE"""),100.95)</f>
        <v>100.95</v>
      </c>
      <c r="F7055" s="122">
        <f>IFERROR(__xludf.DUMMYFUNCTION("""COMPUTED_VALUE"""),0.0064)</f>
        <v>0.0064</v>
      </c>
    </row>
    <row r="7056">
      <c r="A7056" s="131">
        <f>IFERROR(__xludf.DUMMYFUNCTION("""COMPUTED_VALUE"""),46187.584814814814)</f>
        <v>46187.58481</v>
      </c>
      <c r="B7056" s="126">
        <f>IFERROR(__xludf.DUMMYFUNCTION("""COMPUTED_VALUE"""),46187.0)</f>
        <v>46187</v>
      </c>
      <c r="C7056" s="122" t="str">
        <f>IFERROR(__xludf.DUMMYFUNCTION("""COMPUTED_VALUE"""),"BAKE")</f>
        <v>BAKE</v>
      </c>
      <c r="D7056" s="122" t="str">
        <f>IFERROR(__xludf.DUMMYFUNCTION("""COMPUTED_VALUE"""),"BakeHouse")</f>
        <v>BakeHouse</v>
      </c>
      <c r="E7056" s="122">
        <f>IFERROR(__xludf.DUMMYFUNCTION("""COMPUTED_VALUE"""),100.31)</f>
        <v>100.31</v>
      </c>
      <c r="F7056" s="122">
        <f>IFERROR(__xludf.DUMMYFUNCTION("""COMPUTED_VALUE"""),-0.0019)</f>
        <v>-0.0019</v>
      </c>
    </row>
    <row r="7057">
      <c r="A7057" s="131">
        <f>IFERROR(__xludf.DUMMYFUNCTION("""COMPUTED_VALUE"""),46187.584814814814)</f>
        <v>46187.58481</v>
      </c>
      <c r="B7057" s="126">
        <f>IFERROR(__xludf.DUMMYFUNCTION("""COMPUTED_VALUE"""),46187.0)</f>
        <v>46187</v>
      </c>
      <c r="C7057" s="122" t="str">
        <f>IFERROR(__xludf.DUMMYFUNCTION("""COMPUTED_VALUE"""),"OILX")</f>
        <v>OILX</v>
      </c>
      <c r="D7057" s="122" t="str">
        <f>IFERROR(__xludf.DUMMYFUNCTION("""COMPUTED_VALUE"""),"OilMax Energy")</f>
        <v>OilMax Energy</v>
      </c>
      <c r="E7057" s="122">
        <f>IFERROR(__xludf.DUMMYFUNCTION("""COMPUTED_VALUE"""),133.07)</f>
        <v>133.07</v>
      </c>
      <c r="F7057" s="122">
        <f>IFERROR(__xludf.DUMMYFUNCTION("""COMPUTED_VALUE"""),0.0069)</f>
        <v>0.0069</v>
      </c>
    </row>
    <row r="7058">
      <c r="A7058" s="131">
        <f>IFERROR(__xludf.DUMMYFUNCTION("""COMPUTED_VALUE"""),46187.584814814814)</f>
        <v>46187.58481</v>
      </c>
      <c r="B7058" s="126">
        <f>IFERROR(__xludf.DUMMYFUNCTION("""COMPUTED_VALUE"""),46187.0)</f>
        <v>46187</v>
      </c>
      <c r="C7058" s="122" t="str">
        <f>IFERROR(__xludf.DUMMYFUNCTION("""COMPUTED_VALUE"""),"SOLR")</f>
        <v>SOLR</v>
      </c>
      <c r="D7058" s="122" t="str">
        <f>IFERROR(__xludf.DUMMYFUNCTION("""COMPUTED_VALUE"""),"SolarSpark")</f>
        <v>SolarSpark</v>
      </c>
      <c r="E7058" s="122">
        <f>IFERROR(__xludf.DUMMYFUNCTION("""COMPUTED_VALUE"""),103.98)</f>
        <v>103.98</v>
      </c>
      <c r="F7058" s="122">
        <f>IFERROR(__xludf.DUMMYFUNCTION("""COMPUTED_VALUE"""),0.008)</f>
        <v>0.008</v>
      </c>
    </row>
    <row r="7059">
      <c r="A7059" s="131">
        <f>IFERROR(__xludf.DUMMYFUNCTION("""COMPUTED_VALUE"""),46187.584814814814)</f>
        <v>46187.58481</v>
      </c>
      <c r="B7059" s="126">
        <f>IFERROR(__xludf.DUMMYFUNCTION("""COMPUTED_VALUE"""),46187.0)</f>
        <v>46187</v>
      </c>
      <c r="C7059" s="122" t="str">
        <f>IFERROR(__xludf.DUMMYFUNCTION("""COMPUTED_VALUE"""),"BATT")</f>
        <v>BATT</v>
      </c>
      <c r="D7059" s="122" t="str">
        <f>IFERROR(__xludf.DUMMYFUNCTION("""COMPUTED_VALUE"""),"BatteryBox")</f>
        <v>BatteryBox</v>
      </c>
      <c r="E7059" s="122">
        <f>IFERROR(__xludf.DUMMYFUNCTION("""COMPUTED_VALUE"""),120.06)</f>
        <v>120.06</v>
      </c>
      <c r="F7059" s="122">
        <f>IFERROR(__xludf.DUMMYFUNCTION("""COMPUTED_VALUE"""),-0.004)</f>
        <v>-0.004</v>
      </c>
    </row>
    <row r="7060">
      <c r="A7060" s="131">
        <f>IFERROR(__xludf.DUMMYFUNCTION("""COMPUTED_VALUE"""),46187.584814814814)</f>
        <v>46187.58481</v>
      </c>
      <c r="B7060" s="126">
        <f>IFERROR(__xludf.DUMMYFUNCTION("""COMPUTED_VALUE"""),46187.0)</f>
        <v>46187</v>
      </c>
      <c r="C7060" s="122" t="str">
        <f>IFERROR(__xludf.DUMMYFUNCTION("""COMPUTED_VALUE"""),"WIND")</f>
        <v>WIND</v>
      </c>
      <c r="D7060" s="122" t="str">
        <f>IFERROR(__xludf.DUMMYFUNCTION("""COMPUTED_VALUE"""),"WindWorks")</f>
        <v>WindWorks</v>
      </c>
      <c r="E7060" s="122">
        <f>IFERROR(__xludf.DUMMYFUNCTION("""COMPUTED_VALUE"""),86.85)</f>
        <v>86.85</v>
      </c>
      <c r="F7060" s="122">
        <f>IFERROR(__xludf.DUMMYFUNCTION("""COMPUTED_VALUE"""),0.006)</f>
        <v>0.006</v>
      </c>
    </row>
    <row r="7061">
      <c r="A7061" s="131">
        <f>IFERROR(__xludf.DUMMYFUNCTION("""COMPUTED_VALUE"""),46187.584814814814)</f>
        <v>46187.58481</v>
      </c>
      <c r="B7061" s="126">
        <f>IFERROR(__xludf.DUMMYFUNCTION("""COMPUTED_VALUE"""),46187.0)</f>
        <v>46187</v>
      </c>
      <c r="C7061" s="122" t="str">
        <f>IFERROR(__xludf.DUMMYFUNCTION("""COMPUTED_VALUE"""),"GRID")</f>
        <v>GRID</v>
      </c>
      <c r="D7061" s="122" t="str">
        <f>IFERROR(__xludf.DUMMYFUNCTION("""COMPUTED_VALUE"""),"GridPower")</f>
        <v>GridPower</v>
      </c>
      <c r="E7061" s="122">
        <f>IFERROR(__xludf.DUMMYFUNCTION("""COMPUTED_VALUE"""),130.8)</f>
        <v>130.8</v>
      </c>
      <c r="F7061" s="122">
        <f>IFERROR(__xludf.DUMMYFUNCTION("""COMPUTED_VALUE"""),0.0025)</f>
        <v>0.0025</v>
      </c>
    </row>
    <row r="7062">
      <c r="A7062" s="131">
        <f>IFERROR(__xludf.DUMMYFUNCTION("""COMPUTED_VALUE"""),46187.584814814814)</f>
        <v>46187.58481</v>
      </c>
      <c r="B7062" s="126">
        <f>IFERROR(__xludf.DUMMYFUNCTION("""COMPUTED_VALUE"""),46187.0)</f>
        <v>46187</v>
      </c>
      <c r="C7062" s="122" t="str">
        <f>IFERROR(__xludf.DUMMYFUNCTION("""COMPUTED_VALUE"""),"HOME")</f>
        <v>HOME</v>
      </c>
      <c r="D7062" s="122" t="str">
        <f>IFERROR(__xludf.DUMMYFUNCTION("""COMPUTED_VALUE"""),"HomeHub")</f>
        <v>HomeHub</v>
      </c>
      <c r="E7062" s="122">
        <f>IFERROR(__xludf.DUMMYFUNCTION("""COMPUTED_VALUE"""),157.94)</f>
        <v>157.94</v>
      </c>
      <c r="F7062" s="122">
        <f>IFERROR(__xludf.DUMMYFUNCTION("""COMPUTED_VALUE"""),-4.0E-4)</f>
        <v>-0.0004</v>
      </c>
    </row>
    <row r="7063">
      <c r="A7063" s="131">
        <f>IFERROR(__xludf.DUMMYFUNCTION("""COMPUTED_VALUE"""),46187.584814814814)</f>
        <v>46187.58481</v>
      </c>
      <c r="B7063" s="126">
        <f>IFERROR(__xludf.DUMMYFUNCTION("""COMPUTED_VALUE"""),46187.0)</f>
        <v>46187</v>
      </c>
      <c r="C7063" s="122" t="str">
        <f>IFERROR(__xludf.DUMMYFUNCTION("""COMPUTED_VALUE"""),"RENT")</f>
        <v>RENT</v>
      </c>
      <c r="D7063" s="122" t="str">
        <f>IFERROR(__xludf.DUMMYFUNCTION("""COMPUTED_VALUE"""),"RentRight")</f>
        <v>RentRight</v>
      </c>
      <c r="E7063" s="122">
        <f>IFERROR(__xludf.DUMMYFUNCTION("""COMPUTED_VALUE"""),91.49)</f>
        <v>91.49</v>
      </c>
      <c r="F7063" s="122">
        <f>IFERROR(__xludf.DUMMYFUNCTION("""COMPUTED_VALUE"""),0.0023)</f>
        <v>0.0023</v>
      </c>
    </row>
    <row r="7064">
      <c r="A7064" s="131">
        <f>IFERROR(__xludf.DUMMYFUNCTION("""COMPUTED_VALUE"""),46187.584814814814)</f>
        <v>46187.58481</v>
      </c>
      <c r="B7064" s="126">
        <f>IFERROR(__xludf.DUMMYFUNCTION("""COMPUTED_VALUE"""),46187.0)</f>
        <v>46187</v>
      </c>
      <c r="C7064" s="122" t="str">
        <f>IFERROR(__xludf.DUMMYFUNCTION("""COMPUTED_VALUE"""),"MALL")</f>
        <v>MALL</v>
      </c>
      <c r="D7064" s="122" t="str">
        <f>IFERROR(__xludf.DUMMYFUNCTION("""COMPUTED_VALUE"""),"MegaMall")</f>
        <v>MegaMall</v>
      </c>
      <c r="E7064" s="122">
        <f>IFERROR(__xludf.DUMMYFUNCTION("""COMPUTED_VALUE"""),102.29)</f>
        <v>102.29</v>
      </c>
      <c r="F7064" s="122">
        <f>IFERROR(__xludf.DUMMYFUNCTION("""COMPUTED_VALUE"""),9.0E-4)</f>
        <v>0.0009</v>
      </c>
    </row>
    <row r="7065">
      <c r="A7065" s="131">
        <f>IFERROR(__xludf.DUMMYFUNCTION("""COMPUTED_VALUE"""),46187.584814814814)</f>
        <v>46187.58481</v>
      </c>
      <c r="B7065" s="126">
        <f>IFERROR(__xludf.DUMMYFUNCTION("""COMPUTED_VALUE"""),46187.0)</f>
        <v>46187</v>
      </c>
      <c r="C7065" s="122" t="str">
        <f>IFERROR(__xludf.DUMMYFUNCTION("""COMPUTED_VALUE"""),"HOTL")</f>
        <v>HOTL</v>
      </c>
      <c r="D7065" s="122" t="str">
        <f>IFERROR(__xludf.DUMMYFUNCTION("""COMPUTED_VALUE"""),"HotelHive")</f>
        <v>HotelHive</v>
      </c>
      <c r="E7065" s="122">
        <f>IFERROR(__xludf.DUMMYFUNCTION("""COMPUTED_VALUE"""),124.81)</f>
        <v>124.81</v>
      </c>
      <c r="F7065" s="122">
        <f>IFERROR(__xludf.DUMMYFUNCTION("""COMPUTED_VALUE"""),-0.005)</f>
        <v>-0.005</v>
      </c>
    </row>
    <row r="7066">
      <c r="A7066" s="131">
        <f>IFERROR(__xludf.DUMMYFUNCTION("""COMPUTED_VALUE"""),46187.584814814814)</f>
        <v>46187.58481</v>
      </c>
      <c r="B7066" s="126">
        <f>IFERROR(__xludf.DUMMYFUNCTION("""COMPUTED_VALUE"""),46187.0)</f>
        <v>46187</v>
      </c>
      <c r="C7066" s="122" t="str">
        <f>IFERROR(__xludf.DUMMYFUNCTION("""COMPUTED_VALUE"""),"LAND")</f>
        <v>LAND</v>
      </c>
      <c r="D7066" s="122" t="str">
        <f>IFERROR(__xludf.DUMMYFUNCTION("""COMPUTED_VALUE"""),"LandLink")</f>
        <v>LandLink</v>
      </c>
      <c r="E7066" s="122">
        <f>IFERROR(__xludf.DUMMYFUNCTION("""COMPUTED_VALUE"""),184.14)</f>
        <v>184.14</v>
      </c>
      <c r="F7066" s="122">
        <f>IFERROR(__xludf.DUMMYFUNCTION("""COMPUTED_VALUE"""),4.0E-4)</f>
        <v>0.0004</v>
      </c>
    </row>
    <row r="7067">
      <c r="A7067" s="131">
        <f>IFERROR(__xludf.DUMMYFUNCTION("""COMPUTED_VALUE"""),46187.584814814814)</f>
        <v>46187.58481</v>
      </c>
      <c r="B7067" s="126">
        <f>IFERROR(__xludf.DUMMYFUNCTION("""COMPUTED_VALUE"""),46187.0)</f>
        <v>46187</v>
      </c>
      <c r="C7067" s="122" t="str">
        <f>IFERROR(__xludf.DUMMYFUNCTION("""COMPUTED_VALUE"""),"CARS")</f>
        <v>CARS</v>
      </c>
      <c r="D7067" s="122" t="str">
        <f>IFERROR(__xludf.DUMMYFUNCTION("""COMPUTED_VALUE"""),"AutoArena")</f>
        <v>AutoArena</v>
      </c>
      <c r="E7067" s="122">
        <f>IFERROR(__xludf.DUMMYFUNCTION("""COMPUTED_VALUE"""),79.78)</f>
        <v>79.78</v>
      </c>
      <c r="F7067" s="122">
        <f>IFERROR(__xludf.DUMMYFUNCTION("""COMPUTED_VALUE"""),0.0038)</f>
        <v>0.0038</v>
      </c>
    </row>
    <row r="7068">
      <c r="A7068" s="131">
        <f>IFERROR(__xludf.DUMMYFUNCTION("""COMPUTED_VALUE"""),46187.584814814814)</f>
        <v>46187.58481</v>
      </c>
      <c r="B7068" s="126">
        <f>IFERROR(__xludf.DUMMYFUNCTION("""COMPUTED_VALUE"""),46187.0)</f>
        <v>46187</v>
      </c>
      <c r="C7068" s="122" t="str">
        <f>IFERROR(__xludf.DUMMYFUNCTION("""COMPUTED_VALUE"""),"EVGO")</f>
        <v>EVGO</v>
      </c>
      <c r="D7068" s="122" t="str">
        <f>IFERROR(__xludf.DUMMYFUNCTION("""COMPUTED_VALUE"""),"EVGo Motors")</f>
        <v>EVGo Motors</v>
      </c>
      <c r="E7068" s="122">
        <f>IFERROR(__xludf.DUMMYFUNCTION("""COMPUTED_VALUE"""),185.49)</f>
        <v>185.49</v>
      </c>
      <c r="F7068" s="122">
        <f>IFERROR(__xludf.DUMMYFUNCTION("""COMPUTED_VALUE"""),-1.0E-4)</f>
        <v>-0.0001</v>
      </c>
    </row>
    <row r="7069">
      <c r="A7069" s="131">
        <f>IFERROR(__xludf.DUMMYFUNCTION("""COMPUTED_VALUE"""),46187.584814814814)</f>
        <v>46187.58481</v>
      </c>
      <c r="B7069" s="126">
        <f>IFERROR(__xludf.DUMMYFUNCTION("""COMPUTED_VALUE"""),46187.0)</f>
        <v>46187</v>
      </c>
      <c r="C7069" s="122" t="str">
        <f>IFERROR(__xludf.DUMMYFUNCTION("""COMPUTED_VALUE"""),"TIRE")</f>
        <v>TIRE</v>
      </c>
      <c r="D7069" s="122" t="str">
        <f>IFERROR(__xludf.DUMMYFUNCTION("""COMPUTED_VALUE"""),"TireTown")</f>
        <v>TireTown</v>
      </c>
      <c r="E7069" s="122">
        <f>IFERROR(__xludf.DUMMYFUNCTION("""COMPUTED_VALUE"""),96.94)</f>
        <v>96.94</v>
      </c>
      <c r="F7069" s="122">
        <f>IFERROR(__xludf.DUMMYFUNCTION("""COMPUTED_VALUE"""),-0.0023)</f>
        <v>-0.0023</v>
      </c>
    </row>
    <row r="7070">
      <c r="A7070" s="131">
        <f>IFERROR(__xludf.DUMMYFUNCTION("""COMPUTED_VALUE"""),46187.584814814814)</f>
        <v>46187.58481</v>
      </c>
      <c r="B7070" s="126">
        <f>IFERROR(__xludf.DUMMYFUNCTION("""COMPUTED_VALUE"""),46187.0)</f>
        <v>46187</v>
      </c>
      <c r="C7070" s="122" t="str">
        <f>IFERROR(__xludf.DUMMYFUNCTION("""COMPUTED_VALUE"""),"BIKE")</f>
        <v>BIKE</v>
      </c>
      <c r="D7070" s="122" t="str">
        <f>IFERROR(__xludf.DUMMYFUNCTION("""COMPUTED_VALUE"""),"BikeBox")</f>
        <v>BikeBox</v>
      </c>
      <c r="E7070" s="122">
        <f>IFERROR(__xludf.DUMMYFUNCTION("""COMPUTED_VALUE"""),52.26)</f>
        <v>52.26</v>
      </c>
      <c r="F7070" s="122">
        <f>IFERROR(__xludf.DUMMYFUNCTION("""COMPUTED_VALUE"""),0.0025)</f>
        <v>0.0025</v>
      </c>
    </row>
    <row r="7071">
      <c r="A7071" s="131">
        <f>IFERROR(__xludf.DUMMYFUNCTION("""COMPUTED_VALUE"""),46187.584814814814)</f>
        <v>46187.58481</v>
      </c>
      <c r="B7071" s="126">
        <f>IFERROR(__xludf.DUMMYFUNCTION("""COMPUTED_VALUE"""),46187.0)</f>
        <v>46187</v>
      </c>
      <c r="C7071" s="122" t="str">
        <f>IFERROR(__xludf.DUMMYFUNCTION("""COMPUTED_VALUE"""),"WASH")</f>
        <v>WASH</v>
      </c>
      <c r="D7071" s="122" t="str">
        <f>IFERROR(__xludf.DUMMYFUNCTION("""COMPUTED_VALUE"""),"CarWash Co")</f>
        <v>CarWash Co</v>
      </c>
      <c r="E7071" s="122">
        <f>IFERROR(__xludf.DUMMYFUNCTION("""COMPUTED_VALUE"""),121.32)</f>
        <v>121.32</v>
      </c>
      <c r="F7071" s="122">
        <f>IFERROR(__xludf.DUMMYFUNCTION("""COMPUTED_VALUE"""),8.0E-4)</f>
        <v>0.0008</v>
      </c>
    </row>
    <row r="7072">
      <c r="A7072" s="131">
        <f>IFERROR(__xludf.DUMMYFUNCTION("""COMPUTED_VALUE"""),46187.584814814814)</f>
        <v>46187.58481</v>
      </c>
      <c r="B7072" s="126">
        <f>IFERROR(__xludf.DUMMYFUNCTION("""COMPUTED_VALUE"""),46187.0)</f>
        <v>46187</v>
      </c>
      <c r="C7072" s="122" t="str">
        <f>IFERROR(__xludf.DUMMYFUNCTION("""COMPUTED_VALUE"""),"GBND")</f>
        <v>GBND</v>
      </c>
      <c r="D7072" s="122" t="str">
        <f>IFERROR(__xludf.DUMMYFUNCTION("""COMPUTED_VALUE"""),"Classroom Government Bond")</f>
        <v>Classroom Government Bond</v>
      </c>
      <c r="E7072" s="122">
        <f>IFERROR(__xludf.DUMMYFUNCTION("""COMPUTED_VALUE"""),101.05)</f>
        <v>101.05</v>
      </c>
      <c r="F7072" s="122">
        <f>IFERROR(__xludf.DUMMYFUNCTION("""COMPUTED_VALUE"""),-1.0E-4)</f>
        <v>-0.0001</v>
      </c>
    </row>
    <row r="7073">
      <c r="A7073" s="131">
        <f>IFERROR(__xludf.DUMMYFUNCTION("""COMPUTED_VALUE"""),46187.584814814814)</f>
        <v>46187.58481</v>
      </c>
      <c r="B7073" s="126">
        <f>IFERROR(__xludf.DUMMYFUNCTION("""COMPUTED_VALUE"""),46187.0)</f>
        <v>46187</v>
      </c>
      <c r="C7073" s="122" t="str">
        <f>IFERROR(__xludf.DUMMYFUNCTION("""COMPUTED_VALUE"""),"SBND")</f>
        <v>SBND</v>
      </c>
      <c r="D7073" s="122" t="str">
        <f>IFERROR(__xludf.DUMMYFUNCTION("""COMPUTED_VALUE"""),"School Savings Bond")</f>
        <v>School Savings Bond</v>
      </c>
      <c r="E7073" s="122">
        <f>IFERROR(__xludf.DUMMYFUNCTION("""COMPUTED_VALUE"""),99.28)</f>
        <v>99.28</v>
      </c>
      <c r="F7073" s="122">
        <f>IFERROR(__xludf.DUMMYFUNCTION("""COMPUTED_VALUE"""),-3.0E-4)</f>
        <v>-0.0003</v>
      </c>
    </row>
    <row r="7074">
      <c r="A7074" s="131">
        <f>IFERROR(__xludf.DUMMYFUNCTION("""COMPUTED_VALUE"""),46187.584814814814)</f>
        <v>46187.58481</v>
      </c>
      <c r="B7074" s="126">
        <f>IFERROR(__xludf.DUMMYFUNCTION("""COMPUTED_VALUE"""),46187.0)</f>
        <v>46187</v>
      </c>
      <c r="C7074" s="122" t="str">
        <f>IFERROR(__xludf.DUMMYFUNCTION("""COMPUTED_VALUE"""),"CBND")</f>
        <v>CBND</v>
      </c>
      <c r="D7074" s="122" t="str">
        <f>IFERROR(__xludf.DUMMYFUNCTION("""COMPUTED_VALUE"""),"Corporate Classroom Bond")</f>
        <v>Corporate Classroom Bond</v>
      </c>
      <c r="E7074" s="122">
        <f>IFERROR(__xludf.DUMMYFUNCTION("""COMPUTED_VALUE"""),97.75)</f>
        <v>97.75</v>
      </c>
      <c r="F7074" s="122">
        <f>IFERROR(__xludf.DUMMYFUNCTION("""COMPUTED_VALUE"""),-3.0E-4)</f>
        <v>-0.0003</v>
      </c>
    </row>
    <row r="7075">
      <c r="A7075" s="131">
        <f>IFERROR(__xludf.DUMMYFUNCTION("""COMPUTED_VALUE"""),46187.584814814814)</f>
        <v>46187.58481</v>
      </c>
      <c r="B7075" s="126">
        <f>IFERROR(__xludf.DUMMYFUNCTION("""COMPUTED_VALUE"""),46187.0)</f>
        <v>46187</v>
      </c>
      <c r="C7075" s="122" t="str">
        <f>IFERROR(__xludf.DUMMYFUNCTION("""COMPUTED_VALUE"""),"TBIL")</f>
        <v>TBIL</v>
      </c>
      <c r="D7075" s="122" t="str">
        <f>IFERROR(__xludf.DUMMYFUNCTION("""COMPUTED_VALUE"""),"Treasury Bill")</f>
        <v>Treasury Bill</v>
      </c>
      <c r="E7075" s="122">
        <f>IFERROR(__xludf.DUMMYFUNCTION("""COMPUTED_VALUE"""),97.77)</f>
        <v>97.77</v>
      </c>
      <c r="F7075" s="122">
        <f>IFERROR(__xludf.DUMMYFUNCTION("""COMPUTED_VALUE"""),-3.0E-4)</f>
        <v>-0.0003</v>
      </c>
    </row>
    <row r="7076">
      <c r="A7076" s="131">
        <f>IFERROR(__xludf.DUMMYFUNCTION("""COMPUTED_VALUE"""),46187.584814814814)</f>
        <v>46187.58481</v>
      </c>
      <c r="B7076" s="126">
        <f>IFERROR(__xludf.DUMMYFUNCTION("""COMPUTED_VALUE"""),46187.0)</f>
        <v>46187</v>
      </c>
      <c r="C7076" s="122" t="str">
        <f>IFERROR(__xludf.DUMMYFUNCTION("""COMPUTED_VALUE"""),"IBND")</f>
        <v>IBND</v>
      </c>
      <c r="D7076" s="122" t="str">
        <f>IFERROR(__xludf.DUMMYFUNCTION("""COMPUTED_VALUE"""),"Inflation Protected Bond")</f>
        <v>Inflation Protected Bond</v>
      </c>
      <c r="E7076" s="122">
        <f>IFERROR(__xludf.DUMMYFUNCTION("""COMPUTED_VALUE"""),100.71)</f>
        <v>100.71</v>
      </c>
      <c r="F7076" s="122">
        <f>IFERROR(__xludf.DUMMYFUNCTION("""COMPUTED_VALUE"""),-3.0E-4)</f>
        <v>-0.0003</v>
      </c>
    </row>
    <row r="7077">
      <c r="A7077" s="131">
        <f>IFERROR(__xludf.DUMMYFUNCTION("""COMPUTED_VALUE"""),46187.58630787037)</f>
        <v>46187.58631</v>
      </c>
      <c r="B7077" s="126">
        <f>IFERROR(__xludf.DUMMYFUNCTION("""COMPUTED_VALUE"""),46187.0)</f>
        <v>46187</v>
      </c>
      <c r="C7077" s="130">
        <f>IFERROR(__xludf.DUMMYFUNCTION("""COMPUTED_VALUE"""),0.5863078703703704)</f>
        <v>0.5863078704</v>
      </c>
      <c r="D7077" s="122" t="str">
        <f>IFERROR(__xludf.DUMMYFUNCTION("""COMPUTED_VALUE"""),"SNAX")</f>
        <v>SNAX</v>
      </c>
      <c r="E7077" s="122" t="str">
        <f>IFERROR(__xludf.DUMMYFUNCTION("""COMPUTED_VALUE"""),"MICA Snacks")</f>
        <v>MICA Snacks</v>
      </c>
      <c r="F7077" s="122" t="str">
        <f>IFERROR(__xludf.DUMMYFUNCTION("""COMPUTED_VALUE"""),"Consumer Goods")</f>
        <v>Consumer Goods</v>
      </c>
    </row>
    <row r="7078">
      <c r="A7078" s="131">
        <f>IFERROR(__xludf.DUMMYFUNCTION("""COMPUTED_VALUE"""),46187.58630787037)</f>
        <v>46187.58631</v>
      </c>
      <c r="B7078" s="126">
        <f>IFERROR(__xludf.DUMMYFUNCTION("""COMPUTED_VALUE"""),46187.0)</f>
        <v>46187</v>
      </c>
      <c r="C7078" s="130">
        <f>IFERROR(__xludf.DUMMYFUNCTION("""COMPUTED_VALUE"""),0.5863078703703704)</f>
        <v>0.5863078704</v>
      </c>
      <c r="D7078" s="122" t="str">
        <f>IFERROR(__xludf.DUMMYFUNCTION("""COMPUTED_VALUE"""),"RAMN")</f>
        <v>RAMN</v>
      </c>
      <c r="E7078" s="122" t="str">
        <f>IFERROR(__xludf.DUMMYFUNCTION("""COMPUTED_VALUE"""),"Ramen Republic")</f>
        <v>Ramen Republic</v>
      </c>
      <c r="F7078" s="122" t="str">
        <f>IFERROR(__xludf.DUMMYFUNCTION("""COMPUTED_VALUE"""),"Food")</f>
        <v>Food</v>
      </c>
    </row>
    <row r="7079">
      <c r="A7079" s="131">
        <f>IFERROR(__xludf.DUMMYFUNCTION("""COMPUTED_VALUE"""),46187.58630787037)</f>
        <v>46187.58631</v>
      </c>
      <c r="B7079" s="126">
        <f>IFERROR(__xludf.DUMMYFUNCTION("""COMPUTED_VALUE"""),46187.0)</f>
        <v>46187</v>
      </c>
      <c r="C7079" s="130">
        <f>IFERROR(__xludf.DUMMYFUNCTION("""COMPUTED_VALUE"""),0.5863078703703704)</f>
        <v>0.5863078704</v>
      </c>
      <c r="D7079" s="122" t="str">
        <f>IFERROR(__xludf.DUMMYFUNCTION("""COMPUTED_VALUE"""),"COLA")</f>
        <v>COLA</v>
      </c>
      <c r="E7079" s="122" t="str">
        <f>IFERROR(__xludf.DUMMYFUNCTION("""COMPUTED_VALUE"""),"K-Pop Cola")</f>
        <v>K-Pop Cola</v>
      </c>
      <c r="F7079" s="122" t="str">
        <f>IFERROR(__xludf.DUMMYFUNCTION("""COMPUTED_VALUE"""),"Beverage")</f>
        <v>Beverage</v>
      </c>
    </row>
    <row r="7080">
      <c r="A7080" s="131">
        <f>IFERROR(__xludf.DUMMYFUNCTION("""COMPUTED_VALUE"""),46187.58630787037)</f>
        <v>46187.58631</v>
      </c>
      <c r="B7080" s="126">
        <f>IFERROR(__xludf.DUMMYFUNCTION("""COMPUTED_VALUE"""),46187.0)</f>
        <v>46187</v>
      </c>
      <c r="C7080" s="130">
        <f>IFERROR(__xludf.DUMMYFUNCTION("""COMPUTED_VALUE"""),0.5863078703703704)</f>
        <v>0.5863078704</v>
      </c>
      <c r="D7080" s="122" t="str">
        <f>IFERROR(__xludf.DUMMYFUNCTION("""COMPUTED_VALUE"""),"CHIP")</f>
        <v>CHIP</v>
      </c>
      <c r="E7080" s="122" t="str">
        <f>IFERROR(__xludf.DUMMYFUNCTION("""COMPUTED_VALUE"""),"Chip Empire")</f>
        <v>Chip Empire</v>
      </c>
      <c r="F7080" s="122" t="str">
        <f>IFERROR(__xludf.DUMMYFUNCTION("""COMPUTED_VALUE"""),"Consumer Goods")</f>
        <v>Consumer Goods</v>
      </c>
    </row>
    <row r="7081">
      <c r="A7081" s="131">
        <f>IFERROR(__xludf.DUMMYFUNCTION("""COMPUTED_VALUE"""),46187.58630787037)</f>
        <v>46187.58631</v>
      </c>
      <c r="B7081" s="126">
        <f>IFERROR(__xludf.DUMMYFUNCTION("""COMPUTED_VALUE"""),46187.0)</f>
        <v>46187</v>
      </c>
      <c r="C7081" s="130">
        <f>IFERROR(__xludf.DUMMYFUNCTION("""COMPUTED_VALUE"""),0.5863078703703704)</f>
        <v>0.5863078704</v>
      </c>
      <c r="D7081" s="122" t="str">
        <f>IFERROR(__xludf.DUMMYFUNCTION("""COMPUTED_VALUE"""),"CAND")</f>
        <v>CAND</v>
      </c>
      <c r="E7081" s="122" t="str">
        <f>IFERROR(__xludf.DUMMYFUNCTION("""COMPUTED_VALUE"""),"Candy Capital")</f>
        <v>Candy Capital</v>
      </c>
      <c r="F7081" s="122" t="str">
        <f>IFERROR(__xludf.DUMMYFUNCTION("""COMPUTED_VALUE"""),"Consumer Goods")</f>
        <v>Consumer Goods</v>
      </c>
    </row>
    <row r="7082">
      <c r="A7082" s="131">
        <f>IFERROR(__xludf.DUMMYFUNCTION("""COMPUTED_VALUE"""),46187.58630787037)</f>
        <v>46187.58631</v>
      </c>
      <c r="B7082" s="126">
        <f>IFERROR(__xludf.DUMMYFUNCTION("""COMPUTED_VALUE"""),46187.0)</f>
        <v>46187</v>
      </c>
      <c r="C7082" s="130">
        <f>IFERROR(__xludf.DUMMYFUNCTION("""COMPUTED_VALUE"""),0.5863078703703704)</f>
        <v>0.5863078704</v>
      </c>
      <c r="D7082" s="122" t="str">
        <f>IFERROR(__xludf.DUMMYFUNCTION("""COMPUTED_VALUE"""),"TECH")</f>
        <v>TECH</v>
      </c>
      <c r="E7082" s="122" t="str">
        <f>IFERROR(__xludf.DUMMYFUNCTION("""COMPUTED_VALUE"""),"Dragon Tech")</f>
        <v>Dragon Tech</v>
      </c>
      <c r="F7082" s="122" t="str">
        <f>IFERROR(__xludf.DUMMYFUNCTION("""COMPUTED_VALUE"""),"Technology")</f>
        <v>Technology</v>
      </c>
    </row>
    <row r="7083">
      <c r="A7083" s="131">
        <f>IFERROR(__xludf.DUMMYFUNCTION("""COMPUTED_VALUE"""),46187.58630787037)</f>
        <v>46187.58631</v>
      </c>
      <c r="B7083" s="126">
        <f>IFERROR(__xludf.DUMMYFUNCTION("""COMPUTED_VALUE"""),46187.0)</f>
        <v>46187</v>
      </c>
      <c r="C7083" s="130">
        <f>IFERROR(__xludf.DUMMYFUNCTION("""COMPUTED_VALUE"""),0.5863078703703704)</f>
        <v>0.5863078704</v>
      </c>
      <c r="D7083" s="122" t="str">
        <f>IFERROR(__xludf.DUMMYFUNCTION("""COMPUTED_VALUE"""),"AIBO")</f>
        <v>AIBO</v>
      </c>
      <c r="E7083" s="122" t="str">
        <f>IFERROR(__xludf.DUMMYFUNCTION("""COMPUTED_VALUE"""),"Homework AI")</f>
        <v>Homework AI</v>
      </c>
      <c r="F7083" s="122" t="str">
        <f>IFERROR(__xludf.DUMMYFUNCTION("""COMPUTED_VALUE"""),"Technology")</f>
        <v>Technology</v>
      </c>
    </row>
    <row r="7084">
      <c r="A7084" s="131">
        <f>IFERROR(__xludf.DUMMYFUNCTION("""COMPUTED_VALUE"""),46187.58630787037)</f>
        <v>46187.58631</v>
      </c>
      <c r="B7084" s="126">
        <f>IFERROR(__xludf.DUMMYFUNCTION("""COMPUTED_VALUE"""),46187.0)</f>
        <v>46187</v>
      </c>
      <c r="C7084" s="130">
        <f>IFERROR(__xludf.DUMMYFUNCTION("""COMPUTED_VALUE"""),0.5863078703703704)</f>
        <v>0.5863078704</v>
      </c>
      <c r="D7084" s="122" t="str">
        <f>IFERROR(__xludf.DUMMYFUNCTION("""COMPUTED_VALUE"""),"GAME")</f>
        <v>GAME</v>
      </c>
      <c r="E7084" s="122" t="str">
        <f>IFERROR(__xludf.DUMMYFUNCTION("""COMPUTED_VALUE"""),"GameBox Media")</f>
        <v>GameBox Media</v>
      </c>
      <c r="F7084" s="122" t="str">
        <f>IFERROR(__xludf.DUMMYFUNCTION("""COMPUTED_VALUE"""),"Entertainment")</f>
        <v>Entertainment</v>
      </c>
    </row>
    <row r="7085">
      <c r="A7085" s="131">
        <f>IFERROR(__xludf.DUMMYFUNCTION("""COMPUTED_VALUE"""),46187.58630787037)</f>
        <v>46187.58631</v>
      </c>
      <c r="B7085" s="126">
        <f>IFERROR(__xludf.DUMMYFUNCTION("""COMPUTED_VALUE"""),46187.0)</f>
        <v>46187</v>
      </c>
      <c r="C7085" s="130">
        <f>IFERROR(__xludf.DUMMYFUNCTION("""COMPUTED_VALUE"""),0.5863078703703704)</f>
        <v>0.5863078704</v>
      </c>
      <c r="D7085" s="122" t="str">
        <f>IFERROR(__xludf.DUMMYFUNCTION("""COMPUTED_VALUE"""),"VRSE")</f>
        <v>VRSE</v>
      </c>
      <c r="E7085" s="122" t="str">
        <f>IFERROR(__xludf.DUMMYFUNCTION("""COMPUTED_VALUE"""),"VerseVR")</f>
        <v>VerseVR</v>
      </c>
      <c r="F7085" s="122" t="str">
        <f>IFERROR(__xludf.DUMMYFUNCTION("""COMPUTED_VALUE"""),"Technology")</f>
        <v>Technology</v>
      </c>
    </row>
    <row r="7086">
      <c r="A7086" s="131">
        <f>IFERROR(__xludf.DUMMYFUNCTION("""COMPUTED_VALUE"""),46187.58630787037)</f>
        <v>46187.58631</v>
      </c>
      <c r="B7086" s="126">
        <f>IFERROR(__xludf.DUMMYFUNCTION("""COMPUTED_VALUE"""),46187.0)</f>
        <v>46187</v>
      </c>
      <c r="C7086" s="130">
        <f>IFERROR(__xludf.DUMMYFUNCTION("""COMPUTED_VALUE"""),0.5863078703703704)</f>
        <v>0.5863078704</v>
      </c>
      <c r="D7086" s="122" t="str">
        <f>IFERROR(__xludf.DUMMYFUNCTION("""COMPUTED_VALUE"""),"BYTE")</f>
        <v>BYTE</v>
      </c>
      <c r="E7086" s="122" t="str">
        <f>IFERROR(__xludf.DUMMYFUNCTION("""COMPUTED_VALUE"""),"ByteWorks")</f>
        <v>ByteWorks</v>
      </c>
      <c r="F7086" s="122" t="str">
        <f>IFERROR(__xludf.DUMMYFUNCTION("""COMPUTED_VALUE"""),"Technology")</f>
        <v>Technology</v>
      </c>
    </row>
    <row r="7087">
      <c r="A7087" s="131">
        <f>IFERROR(__xludf.DUMMYFUNCTION("""COMPUTED_VALUE"""),46187.58630787037)</f>
        <v>46187.58631</v>
      </c>
      <c r="B7087" s="126">
        <f>IFERROR(__xludf.DUMMYFUNCTION("""COMPUTED_VALUE"""),46187.0)</f>
        <v>46187</v>
      </c>
      <c r="C7087" s="130">
        <f>IFERROR(__xludf.DUMMYFUNCTION("""COMPUTED_VALUE"""),0.5863078703703704)</f>
        <v>0.5863078704</v>
      </c>
      <c r="D7087" s="122" t="str">
        <f>IFERROR(__xludf.DUMMYFUNCTION("""COMPUTED_VALUE"""),"BANK")</f>
        <v>BANK</v>
      </c>
      <c r="E7087" s="122" t="str">
        <f>IFERROR(__xludf.DUMMYFUNCTION("""COMPUTED_VALUE"""),"Tiger Bank")</f>
        <v>Tiger Bank</v>
      </c>
      <c r="F7087" s="122" t="str">
        <f>IFERROR(__xludf.DUMMYFUNCTION("""COMPUTED_VALUE"""),"Finance")</f>
        <v>Finance</v>
      </c>
    </row>
    <row r="7088">
      <c r="A7088" s="131">
        <f>IFERROR(__xludf.DUMMYFUNCTION("""COMPUTED_VALUE"""),46187.58630787037)</f>
        <v>46187.58631</v>
      </c>
      <c r="B7088" s="126">
        <f>IFERROR(__xludf.DUMMYFUNCTION("""COMPUTED_VALUE"""),46187.0)</f>
        <v>46187</v>
      </c>
      <c r="C7088" s="130">
        <f>IFERROR(__xludf.DUMMYFUNCTION("""COMPUTED_VALUE"""),0.5863078703703704)</f>
        <v>0.5863078704</v>
      </c>
      <c r="D7088" s="122" t="str">
        <f>IFERROR(__xludf.DUMMYFUNCTION("""COMPUTED_VALUE"""),"CRED")</f>
        <v>CRED</v>
      </c>
      <c r="E7088" s="122" t="str">
        <f>IFERROR(__xludf.DUMMYFUNCTION("""COMPUTED_VALUE"""),"Credit Castle")</f>
        <v>Credit Castle</v>
      </c>
      <c r="F7088" s="122" t="str">
        <f>IFERROR(__xludf.DUMMYFUNCTION("""COMPUTED_VALUE"""),"Finance")</f>
        <v>Finance</v>
      </c>
    </row>
    <row r="7089">
      <c r="A7089" s="131">
        <f>IFERROR(__xludf.DUMMYFUNCTION("""COMPUTED_VALUE"""),46187.58630787037)</f>
        <v>46187.58631</v>
      </c>
      <c r="B7089" s="126">
        <f>IFERROR(__xludf.DUMMYFUNCTION("""COMPUTED_VALUE"""),46187.0)</f>
        <v>46187</v>
      </c>
      <c r="C7089" s="130">
        <f>IFERROR(__xludf.DUMMYFUNCTION("""COMPUTED_VALUE"""),0.5863078703703704)</f>
        <v>0.5863078704</v>
      </c>
      <c r="D7089" s="122" t="str">
        <f>IFERROR(__xludf.DUMMYFUNCTION("""COMPUTED_VALUE"""),"BOND")</f>
        <v>BOND</v>
      </c>
      <c r="E7089" s="122" t="str">
        <f>IFERROR(__xludf.DUMMYFUNCTION("""COMPUTED_VALUE"""),"BondBridge")</f>
        <v>BondBridge</v>
      </c>
      <c r="F7089" s="122" t="str">
        <f>IFERROR(__xludf.DUMMYFUNCTION("""COMPUTED_VALUE"""),"Finance")</f>
        <v>Finance</v>
      </c>
    </row>
    <row r="7090">
      <c r="A7090" s="131">
        <f>IFERROR(__xludf.DUMMYFUNCTION("""COMPUTED_VALUE"""),46187.58630787037)</f>
        <v>46187.58631</v>
      </c>
      <c r="B7090" s="126">
        <f>IFERROR(__xludf.DUMMYFUNCTION("""COMPUTED_VALUE"""),46187.0)</f>
        <v>46187</v>
      </c>
      <c r="C7090" s="130">
        <f>IFERROR(__xludf.DUMMYFUNCTION("""COMPUTED_VALUE"""),0.5863078703703704)</f>
        <v>0.5863078704</v>
      </c>
      <c r="D7090" s="122" t="str">
        <f>IFERROR(__xludf.DUMMYFUNCTION("""COMPUTED_VALUE"""),"INSR")</f>
        <v>INSR</v>
      </c>
      <c r="E7090" s="122" t="str">
        <f>IFERROR(__xludf.DUMMYFUNCTION("""COMPUTED_VALUE"""),"Shield Insurance")</f>
        <v>Shield Insurance</v>
      </c>
      <c r="F7090" s="122" t="str">
        <f>IFERROR(__xludf.DUMMYFUNCTION("""COMPUTED_VALUE"""),"Finance")</f>
        <v>Finance</v>
      </c>
    </row>
    <row r="7091">
      <c r="A7091" s="131">
        <f>IFERROR(__xludf.DUMMYFUNCTION("""COMPUTED_VALUE"""),46187.58630787037)</f>
        <v>46187.58631</v>
      </c>
      <c r="B7091" s="126">
        <f>IFERROR(__xludf.DUMMYFUNCTION("""COMPUTED_VALUE"""),46187.0)</f>
        <v>46187</v>
      </c>
      <c r="C7091" s="130">
        <f>IFERROR(__xludf.DUMMYFUNCTION("""COMPUTED_VALUE"""),0.5863078703703704)</f>
        <v>0.5863078704</v>
      </c>
      <c r="D7091" s="122" t="str">
        <f>IFERROR(__xludf.DUMMYFUNCTION("""COMPUTED_VALUE"""),"LOAN")</f>
        <v>LOAN</v>
      </c>
      <c r="E7091" s="122" t="str">
        <f>IFERROR(__xludf.DUMMYFUNCTION("""COMPUTED_VALUE"""),"LoanLab")</f>
        <v>LoanLab</v>
      </c>
      <c r="F7091" s="122" t="str">
        <f>IFERROR(__xludf.DUMMYFUNCTION("""COMPUTED_VALUE"""),"Finance")</f>
        <v>Finance</v>
      </c>
    </row>
    <row r="7092">
      <c r="A7092" s="131">
        <f>IFERROR(__xludf.DUMMYFUNCTION("""COMPUTED_VALUE"""),46187.58630787037)</f>
        <v>46187.58631</v>
      </c>
      <c r="B7092" s="126">
        <f>IFERROR(__xludf.DUMMYFUNCTION("""COMPUTED_VALUE"""),46187.0)</f>
        <v>46187</v>
      </c>
      <c r="C7092" s="130">
        <f>IFERROR(__xludf.DUMMYFUNCTION("""COMPUTED_VALUE"""),0.5863078703703704)</f>
        <v>0.5863078704</v>
      </c>
      <c r="D7092" s="122" t="str">
        <f>IFERROR(__xludf.DUMMYFUNCTION("""COMPUTED_VALUE"""),"LUXE")</f>
        <v>LUXE</v>
      </c>
      <c r="E7092" s="122" t="str">
        <f>IFERROR(__xludf.DUMMYFUNCTION("""COMPUTED_VALUE"""),"Luxury Locker")</f>
        <v>Luxury Locker</v>
      </c>
      <c r="F7092" s="122" t="str">
        <f>IFERROR(__xludf.DUMMYFUNCTION("""COMPUTED_VALUE"""),"Luxury Goods")</f>
        <v>Luxury Goods</v>
      </c>
    </row>
    <row r="7093">
      <c r="A7093" s="131">
        <f>IFERROR(__xludf.DUMMYFUNCTION("""COMPUTED_VALUE"""),46187.58630787037)</f>
        <v>46187.58631</v>
      </c>
      <c r="B7093" s="126">
        <f>IFERROR(__xludf.DUMMYFUNCTION("""COMPUTED_VALUE"""),46187.0)</f>
        <v>46187</v>
      </c>
      <c r="C7093" s="130">
        <f>IFERROR(__xludf.DUMMYFUNCTION("""COMPUTED_VALUE"""),0.5863078703703704)</f>
        <v>0.5863078704</v>
      </c>
      <c r="D7093" s="122" t="str">
        <f>IFERROR(__xludf.DUMMYFUNCTION("""COMPUTED_VALUE"""),"DRIP")</f>
        <v>DRIP</v>
      </c>
      <c r="E7093" s="122" t="str">
        <f>IFERROR(__xludf.DUMMYFUNCTION("""COMPUTED_VALUE"""),"Drip Streetwear")</f>
        <v>Drip Streetwear</v>
      </c>
      <c r="F7093" s="122" t="str">
        <f>IFERROR(__xludf.DUMMYFUNCTION("""COMPUTED_VALUE"""),"Fashion")</f>
        <v>Fashion</v>
      </c>
    </row>
    <row r="7094">
      <c r="A7094" s="131">
        <f>IFERROR(__xludf.DUMMYFUNCTION("""COMPUTED_VALUE"""),46187.58630787037)</f>
        <v>46187.58631</v>
      </c>
      <c r="B7094" s="126">
        <f>IFERROR(__xludf.DUMMYFUNCTION("""COMPUTED_VALUE"""),46187.0)</f>
        <v>46187</v>
      </c>
      <c r="C7094" s="130">
        <f>IFERROR(__xludf.DUMMYFUNCTION("""COMPUTED_VALUE"""),0.5863078703703704)</f>
        <v>0.5863078704</v>
      </c>
      <c r="D7094" s="122" t="str">
        <f>IFERROR(__xludf.DUMMYFUNCTION("""COMPUTED_VALUE"""),"KICK")</f>
        <v>KICK</v>
      </c>
      <c r="E7094" s="122" t="str">
        <f>IFERROR(__xludf.DUMMYFUNCTION("""COMPUTED_VALUE"""),"KickDrop Sneakers")</f>
        <v>KickDrop Sneakers</v>
      </c>
      <c r="F7094" s="122" t="str">
        <f>IFERROR(__xludf.DUMMYFUNCTION("""COMPUTED_VALUE"""),"Fashion")</f>
        <v>Fashion</v>
      </c>
    </row>
    <row r="7095">
      <c r="A7095" s="131">
        <f>IFERROR(__xludf.DUMMYFUNCTION("""COMPUTED_VALUE"""),46187.58630787037)</f>
        <v>46187.58631</v>
      </c>
      <c r="B7095" s="126">
        <f>IFERROR(__xludf.DUMMYFUNCTION("""COMPUTED_VALUE"""),46187.0)</f>
        <v>46187</v>
      </c>
      <c r="C7095" s="130">
        <f>IFERROR(__xludf.DUMMYFUNCTION("""COMPUTED_VALUE"""),0.5863078703703704)</f>
        <v>0.5863078704</v>
      </c>
      <c r="D7095" s="122" t="str">
        <f>IFERROR(__xludf.DUMMYFUNCTION("""COMPUTED_VALUE"""),"GLAM")</f>
        <v>GLAM</v>
      </c>
      <c r="E7095" s="122" t="str">
        <f>IFERROR(__xludf.DUMMYFUNCTION("""COMPUTED_VALUE"""),"Glow Cosmetics")</f>
        <v>Glow Cosmetics</v>
      </c>
      <c r="F7095" s="122" t="str">
        <f>IFERROR(__xludf.DUMMYFUNCTION("""COMPUTED_VALUE"""),"Fashion")</f>
        <v>Fashion</v>
      </c>
    </row>
    <row r="7096">
      <c r="A7096" s="131">
        <f>IFERROR(__xludf.DUMMYFUNCTION("""COMPUTED_VALUE"""),46187.58630787037)</f>
        <v>46187.58631</v>
      </c>
      <c r="B7096" s="126">
        <f>IFERROR(__xludf.DUMMYFUNCTION("""COMPUTED_VALUE"""),46187.0)</f>
        <v>46187</v>
      </c>
      <c r="C7096" s="130">
        <f>IFERROR(__xludf.DUMMYFUNCTION("""COMPUTED_VALUE"""),0.5863078703703704)</f>
        <v>0.5863078704</v>
      </c>
      <c r="D7096" s="122" t="str">
        <f>IFERROR(__xludf.DUMMYFUNCTION("""COMPUTED_VALUE"""),"BAGG")</f>
        <v>BAGG</v>
      </c>
      <c r="E7096" s="122" t="str">
        <f>IFERROR(__xludf.DUMMYFUNCTION("""COMPUTED_VALUE"""),"BagVault")</f>
        <v>BagVault</v>
      </c>
      <c r="F7096" s="122" t="str">
        <f>IFERROR(__xludf.DUMMYFUNCTION("""COMPUTED_VALUE"""),"Fashion")</f>
        <v>Fashion</v>
      </c>
    </row>
    <row r="7097">
      <c r="A7097" s="131">
        <f>IFERROR(__xludf.DUMMYFUNCTION("""COMPUTED_VALUE"""),46187.58630787037)</f>
        <v>46187.58631</v>
      </c>
      <c r="B7097" s="126">
        <f>IFERROR(__xludf.DUMMYFUNCTION("""COMPUTED_VALUE"""),46187.0)</f>
        <v>46187</v>
      </c>
      <c r="C7097" s="130">
        <f>IFERROR(__xludf.DUMMYFUNCTION("""COMPUTED_VALUE"""),0.5863078703703704)</f>
        <v>0.5863078704</v>
      </c>
      <c r="D7097" s="122" t="str">
        <f>IFERROR(__xludf.DUMMYFUNCTION("""COMPUTED_VALUE"""),"FAST")</f>
        <v>FAST</v>
      </c>
      <c r="E7097" s="122" t="str">
        <f>IFERROR(__xludf.DUMMYFUNCTION("""COMPUTED_VALUE"""),"Flash Logistics")</f>
        <v>Flash Logistics</v>
      </c>
      <c r="F7097" s="122" t="str">
        <f>IFERROR(__xludf.DUMMYFUNCTION("""COMPUTED_VALUE"""),"Logistics")</f>
        <v>Logistics</v>
      </c>
    </row>
    <row r="7098">
      <c r="A7098" s="131">
        <f>IFERROR(__xludf.DUMMYFUNCTION("""COMPUTED_VALUE"""),46187.58630787037)</f>
        <v>46187.58631</v>
      </c>
      <c r="B7098" s="126">
        <f>IFERROR(__xludf.DUMMYFUNCTION("""COMPUTED_VALUE"""),46187.0)</f>
        <v>46187</v>
      </c>
      <c r="C7098" s="130">
        <f>IFERROR(__xludf.DUMMYFUNCTION("""COMPUTED_VALUE"""),0.5863078703703704)</f>
        <v>0.5863078704</v>
      </c>
      <c r="D7098" s="122" t="str">
        <f>IFERROR(__xludf.DUMMYFUNCTION("""COMPUTED_VALUE"""),"SHIP")</f>
        <v>SHIP</v>
      </c>
      <c r="E7098" s="122" t="str">
        <f>IFERROR(__xludf.DUMMYFUNCTION("""COMPUTED_VALUE"""),"Seoul Shipping")</f>
        <v>Seoul Shipping</v>
      </c>
      <c r="F7098" s="122" t="str">
        <f>IFERROR(__xludf.DUMMYFUNCTION("""COMPUTED_VALUE"""),"Logistics")</f>
        <v>Logistics</v>
      </c>
    </row>
    <row r="7099">
      <c r="A7099" s="131">
        <f>IFERROR(__xludf.DUMMYFUNCTION("""COMPUTED_VALUE"""),46187.58630787037)</f>
        <v>46187.58631</v>
      </c>
      <c r="B7099" s="126">
        <f>IFERROR(__xludf.DUMMYFUNCTION("""COMPUTED_VALUE"""),46187.0)</f>
        <v>46187</v>
      </c>
      <c r="C7099" s="130">
        <f>IFERROR(__xludf.DUMMYFUNCTION("""COMPUTED_VALUE"""),0.5863078703703704)</f>
        <v>0.5863078704</v>
      </c>
      <c r="D7099" s="122" t="str">
        <f>IFERROR(__xludf.DUMMYFUNCTION("""COMPUTED_VALUE"""),"DRON")</f>
        <v>DRON</v>
      </c>
      <c r="E7099" s="122" t="str">
        <f>IFERROR(__xludf.DUMMYFUNCTION("""COMPUTED_VALUE"""),"DroneDrop")</f>
        <v>DroneDrop</v>
      </c>
      <c r="F7099" s="122" t="str">
        <f>IFERROR(__xludf.DUMMYFUNCTION("""COMPUTED_VALUE"""),"Logistics")</f>
        <v>Logistics</v>
      </c>
    </row>
    <row r="7100">
      <c r="A7100" s="131">
        <f>IFERROR(__xludf.DUMMYFUNCTION("""COMPUTED_VALUE"""),46187.58630787037)</f>
        <v>46187.58631</v>
      </c>
      <c r="B7100" s="126">
        <f>IFERROR(__xludf.DUMMYFUNCTION("""COMPUTED_VALUE"""),46187.0)</f>
        <v>46187</v>
      </c>
      <c r="C7100" s="130">
        <f>IFERROR(__xludf.DUMMYFUNCTION("""COMPUTED_VALUE"""),0.5863078703703704)</f>
        <v>0.5863078704</v>
      </c>
      <c r="D7100" s="122" t="str">
        <f>IFERROR(__xludf.DUMMYFUNCTION("""COMPUTED_VALUE"""),"RIDE")</f>
        <v>RIDE</v>
      </c>
      <c r="E7100" s="122" t="str">
        <f>IFERROR(__xludf.DUMMYFUNCTION("""COMPUTED_VALUE"""),"QuickRide")</f>
        <v>QuickRide</v>
      </c>
      <c r="F7100" s="122" t="str">
        <f>IFERROR(__xludf.DUMMYFUNCTION("""COMPUTED_VALUE"""),"Transportation")</f>
        <v>Transportation</v>
      </c>
    </row>
    <row r="7101">
      <c r="A7101" s="131">
        <f>IFERROR(__xludf.DUMMYFUNCTION("""COMPUTED_VALUE"""),46187.58630787037)</f>
        <v>46187.58631</v>
      </c>
      <c r="B7101" s="126">
        <f>IFERROR(__xludf.DUMMYFUNCTION("""COMPUTED_VALUE"""),46187.0)</f>
        <v>46187</v>
      </c>
      <c r="C7101" s="130">
        <f>IFERROR(__xludf.DUMMYFUNCTION("""COMPUTED_VALUE"""),0.5863078703703704)</f>
        <v>0.5863078704</v>
      </c>
      <c r="D7101" s="122" t="str">
        <f>IFERROR(__xludf.DUMMYFUNCTION("""COMPUTED_VALUE"""),"RAIL")</f>
        <v>RAIL</v>
      </c>
      <c r="E7101" s="122" t="str">
        <f>IFERROR(__xludf.DUMMYFUNCTION("""COMPUTED_VALUE"""),"MetroRail Corp")</f>
        <v>MetroRail Corp</v>
      </c>
      <c r="F7101" s="122" t="str">
        <f>IFERROR(__xludf.DUMMYFUNCTION("""COMPUTED_VALUE"""),"Transportation")</f>
        <v>Transportation</v>
      </c>
    </row>
    <row r="7102">
      <c r="A7102" s="131">
        <f>IFERROR(__xludf.DUMMYFUNCTION("""COMPUTED_VALUE"""),46187.58630787037)</f>
        <v>46187.58631</v>
      </c>
      <c r="B7102" s="126">
        <f>IFERROR(__xludf.DUMMYFUNCTION("""COMPUTED_VALUE"""),46187.0)</f>
        <v>46187</v>
      </c>
      <c r="C7102" s="130">
        <f>IFERROR(__xludf.DUMMYFUNCTION("""COMPUTED_VALUE"""),0.5863078703703704)</f>
        <v>0.5863078704</v>
      </c>
      <c r="D7102" s="122" t="str">
        <f>IFERROR(__xludf.DUMMYFUNCTION("""COMPUTED_VALUE"""),"MEDX")</f>
        <v>MEDX</v>
      </c>
      <c r="E7102" s="122" t="str">
        <f>IFERROR(__xludf.DUMMYFUNCTION("""COMPUTED_VALUE"""),"MediCore")</f>
        <v>MediCore</v>
      </c>
      <c r="F7102" s="122" t="str">
        <f>IFERROR(__xludf.DUMMYFUNCTION("""COMPUTED_VALUE"""),"Healthcare")</f>
        <v>Healthcare</v>
      </c>
    </row>
    <row r="7103">
      <c r="A7103" s="131">
        <f>IFERROR(__xludf.DUMMYFUNCTION("""COMPUTED_VALUE"""),46187.58630787037)</f>
        <v>46187.58631</v>
      </c>
      <c r="B7103" s="126">
        <f>IFERROR(__xludf.DUMMYFUNCTION("""COMPUTED_VALUE"""),46187.0)</f>
        <v>46187</v>
      </c>
      <c r="C7103" s="130">
        <f>IFERROR(__xludf.DUMMYFUNCTION("""COMPUTED_VALUE"""),0.5863078703703704)</f>
        <v>0.5863078704</v>
      </c>
      <c r="D7103" s="122" t="str">
        <f>IFERROR(__xludf.DUMMYFUNCTION("""COMPUTED_VALUE"""),"GYMX")</f>
        <v>GYMX</v>
      </c>
      <c r="E7103" s="122" t="str">
        <f>IFERROR(__xludf.DUMMYFUNCTION("""COMPUTED_VALUE"""),"GymX Fitness")</f>
        <v>GymX Fitness</v>
      </c>
      <c r="F7103" s="122" t="str">
        <f>IFERROR(__xludf.DUMMYFUNCTION("""COMPUTED_VALUE"""),"Healthcare")</f>
        <v>Healthcare</v>
      </c>
    </row>
    <row r="7104">
      <c r="A7104" s="131">
        <f>IFERROR(__xludf.DUMMYFUNCTION("""COMPUTED_VALUE"""),46187.58630787037)</f>
        <v>46187.58631</v>
      </c>
      <c r="B7104" s="126">
        <f>IFERROR(__xludf.DUMMYFUNCTION("""COMPUTED_VALUE"""),46187.0)</f>
        <v>46187</v>
      </c>
      <c r="C7104" s="130">
        <f>IFERROR(__xludf.DUMMYFUNCTION("""COMPUTED_VALUE"""),0.5863078703703704)</f>
        <v>0.5863078704</v>
      </c>
      <c r="D7104" s="122" t="str">
        <f>IFERROR(__xludf.DUMMYFUNCTION("""COMPUTED_VALUE"""),"VITA")</f>
        <v>VITA</v>
      </c>
      <c r="E7104" s="122" t="str">
        <f>IFERROR(__xludf.DUMMYFUNCTION("""COMPUTED_VALUE"""),"VitaPlus")</f>
        <v>VitaPlus</v>
      </c>
      <c r="F7104" s="122" t="str">
        <f>IFERROR(__xludf.DUMMYFUNCTION("""COMPUTED_VALUE"""),"Healthcare")</f>
        <v>Healthcare</v>
      </c>
    </row>
    <row r="7105">
      <c r="A7105" s="131">
        <f>IFERROR(__xludf.DUMMYFUNCTION("""COMPUTED_VALUE"""),46187.58630787037)</f>
        <v>46187.58631</v>
      </c>
      <c r="B7105" s="126">
        <f>IFERROR(__xludf.DUMMYFUNCTION("""COMPUTED_VALUE"""),46187.0)</f>
        <v>46187</v>
      </c>
      <c r="C7105" s="130">
        <f>IFERROR(__xludf.DUMMYFUNCTION("""COMPUTED_VALUE"""),0.5863078703703704)</f>
        <v>0.5863078704</v>
      </c>
      <c r="D7105" s="122" t="str">
        <f>IFERROR(__xludf.DUMMYFUNCTION("""COMPUTED_VALUE"""),"CARE")</f>
        <v>CARE</v>
      </c>
      <c r="E7105" s="122" t="str">
        <f>IFERROR(__xludf.DUMMYFUNCTION("""COMPUTED_VALUE"""),"CareCloud")</f>
        <v>CareCloud</v>
      </c>
      <c r="F7105" s="122" t="str">
        <f>IFERROR(__xludf.DUMMYFUNCTION("""COMPUTED_VALUE"""),"Healthcare")</f>
        <v>Healthcare</v>
      </c>
    </row>
    <row r="7106">
      <c r="A7106" s="131">
        <f>IFERROR(__xludf.DUMMYFUNCTION("""COMPUTED_VALUE"""),46187.58630787037)</f>
        <v>46187.58631</v>
      </c>
      <c r="B7106" s="126">
        <f>IFERROR(__xludf.DUMMYFUNCTION("""COMPUTED_VALUE"""),46187.0)</f>
        <v>46187</v>
      </c>
      <c r="C7106" s="130">
        <f>IFERROR(__xludf.DUMMYFUNCTION("""COMPUTED_VALUE"""),0.5863078703703704)</f>
        <v>0.5863078704</v>
      </c>
      <c r="D7106" s="122" t="str">
        <f>IFERROR(__xludf.DUMMYFUNCTION("""COMPUTED_VALUE"""),"DENT")</f>
        <v>DENT</v>
      </c>
      <c r="E7106" s="122" t="str">
        <f>IFERROR(__xludf.DUMMYFUNCTION("""COMPUTED_VALUE"""),"SmileWorks")</f>
        <v>SmileWorks</v>
      </c>
      <c r="F7106" s="122" t="str">
        <f>IFERROR(__xludf.DUMMYFUNCTION("""COMPUTED_VALUE"""),"Healthcare")</f>
        <v>Healthcare</v>
      </c>
    </row>
    <row r="7107">
      <c r="A7107" s="131">
        <f>IFERROR(__xludf.DUMMYFUNCTION("""COMPUTED_VALUE"""),46187.58630787037)</f>
        <v>46187.58631</v>
      </c>
      <c r="B7107" s="126">
        <f>IFERROR(__xludf.DUMMYFUNCTION("""COMPUTED_VALUE"""),46187.0)</f>
        <v>46187</v>
      </c>
      <c r="C7107" s="130">
        <f>IFERROR(__xludf.DUMMYFUNCTION("""COMPUTED_VALUE"""),0.5863078703703704)</f>
        <v>0.5863078704</v>
      </c>
      <c r="D7107" s="122" t="str">
        <f>IFERROR(__xludf.DUMMYFUNCTION("""COMPUTED_VALUE"""),"EDUX")</f>
        <v>EDUX</v>
      </c>
      <c r="E7107" s="122" t="str">
        <f>IFERROR(__xludf.DUMMYFUNCTION("""COMPUTED_VALUE"""),"EduMax Learning")</f>
        <v>EduMax Learning</v>
      </c>
      <c r="F7107" s="122" t="str">
        <f>IFERROR(__xludf.DUMMYFUNCTION("""COMPUTED_VALUE"""),"Education")</f>
        <v>Education</v>
      </c>
    </row>
    <row r="7108">
      <c r="A7108" s="131">
        <f>IFERROR(__xludf.DUMMYFUNCTION("""COMPUTED_VALUE"""),46187.58630787037)</f>
        <v>46187.58631</v>
      </c>
      <c r="B7108" s="126">
        <f>IFERROR(__xludf.DUMMYFUNCTION("""COMPUTED_VALUE"""),46187.0)</f>
        <v>46187</v>
      </c>
      <c r="C7108" s="130">
        <f>IFERROR(__xludf.DUMMYFUNCTION("""COMPUTED_VALUE"""),0.5863078703703704)</f>
        <v>0.5863078704</v>
      </c>
      <c r="D7108" s="122" t="str">
        <f>IFERROR(__xludf.DUMMYFUNCTION("""COMPUTED_VALUE"""),"BOOK")</f>
        <v>BOOK</v>
      </c>
      <c r="E7108" s="122" t="str">
        <f>IFERROR(__xludf.DUMMYFUNCTION("""COMPUTED_VALUE"""),"BookBridge")</f>
        <v>BookBridge</v>
      </c>
      <c r="F7108" s="122" t="str">
        <f>IFERROR(__xludf.DUMMYFUNCTION("""COMPUTED_VALUE"""),"Education")</f>
        <v>Education</v>
      </c>
    </row>
    <row r="7109">
      <c r="A7109" s="131">
        <f>IFERROR(__xludf.DUMMYFUNCTION("""COMPUTED_VALUE"""),46187.58630787037)</f>
        <v>46187.58631</v>
      </c>
      <c r="B7109" s="126">
        <f>IFERROR(__xludf.DUMMYFUNCTION("""COMPUTED_VALUE"""),46187.0)</f>
        <v>46187</v>
      </c>
      <c r="C7109" s="130">
        <f>IFERROR(__xludf.DUMMYFUNCTION("""COMPUTED_VALUE"""),0.5863078703703704)</f>
        <v>0.5863078704</v>
      </c>
      <c r="D7109" s="122" t="str">
        <f>IFERROR(__xludf.DUMMYFUNCTION("""COMPUTED_VALUE"""),"TUTR")</f>
        <v>TUTR</v>
      </c>
      <c r="E7109" s="122" t="str">
        <f>IFERROR(__xludf.DUMMYFUNCTION("""COMPUTED_VALUE"""),"TutorTown")</f>
        <v>TutorTown</v>
      </c>
      <c r="F7109" s="122" t="str">
        <f>IFERROR(__xludf.DUMMYFUNCTION("""COMPUTED_VALUE"""),"Education")</f>
        <v>Education</v>
      </c>
    </row>
    <row r="7110">
      <c r="A7110" s="131">
        <f>IFERROR(__xludf.DUMMYFUNCTION("""COMPUTED_VALUE"""),46187.58630787037)</f>
        <v>46187.58631</v>
      </c>
      <c r="B7110" s="126">
        <f>IFERROR(__xludf.DUMMYFUNCTION("""COMPUTED_VALUE"""),46187.0)</f>
        <v>46187</v>
      </c>
      <c r="C7110" s="130">
        <f>IFERROR(__xludf.DUMMYFUNCTION("""COMPUTED_VALUE"""),0.5863078703703704)</f>
        <v>0.5863078704</v>
      </c>
      <c r="D7110" s="122" t="str">
        <f>IFERROR(__xludf.DUMMYFUNCTION("""COMPUTED_VALUE"""),"LANG")</f>
        <v>LANG</v>
      </c>
      <c r="E7110" s="122" t="str">
        <f>IFERROR(__xludf.DUMMYFUNCTION("""COMPUTED_VALUE"""),"LinguaLab")</f>
        <v>LinguaLab</v>
      </c>
      <c r="F7110" s="122" t="str">
        <f>IFERROR(__xludf.DUMMYFUNCTION("""COMPUTED_VALUE"""),"Education")</f>
        <v>Education</v>
      </c>
    </row>
    <row r="7111">
      <c r="A7111" s="131">
        <f>IFERROR(__xludf.DUMMYFUNCTION("""COMPUTED_VALUE"""),46187.58630787037)</f>
        <v>46187.58631</v>
      </c>
      <c r="B7111" s="126">
        <f>IFERROR(__xludf.DUMMYFUNCTION("""COMPUTED_VALUE"""),46187.0)</f>
        <v>46187</v>
      </c>
      <c r="C7111" s="130">
        <f>IFERROR(__xludf.DUMMYFUNCTION("""COMPUTED_VALUE"""),0.5863078703703704)</f>
        <v>0.5863078704</v>
      </c>
      <c r="D7111" s="122" t="str">
        <f>IFERROR(__xludf.DUMMYFUNCTION("""COMPUTED_VALUE"""),"TEST")</f>
        <v>TEST</v>
      </c>
      <c r="E7111" s="122" t="str">
        <f>IFERROR(__xludf.DUMMYFUNCTION("""COMPUTED_VALUE"""),"TestPrep Pro")</f>
        <v>TestPrep Pro</v>
      </c>
      <c r="F7111" s="122" t="str">
        <f>IFERROR(__xludf.DUMMYFUNCTION("""COMPUTED_VALUE"""),"Education")</f>
        <v>Education</v>
      </c>
    </row>
    <row r="7112">
      <c r="A7112" s="131">
        <f>IFERROR(__xludf.DUMMYFUNCTION("""COMPUTED_VALUE"""),46187.58630787037)</f>
        <v>46187.58631</v>
      </c>
      <c r="B7112" s="126">
        <f>IFERROR(__xludf.DUMMYFUNCTION("""COMPUTED_VALUE"""),46187.0)</f>
        <v>46187</v>
      </c>
      <c r="C7112" s="130">
        <f>IFERROR(__xludf.DUMMYFUNCTION("""COMPUTED_VALUE"""),0.5863078703703704)</f>
        <v>0.5863078704</v>
      </c>
      <c r="D7112" s="122" t="str">
        <f>IFERROR(__xludf.DUMMYFUNCTION("""COMPUTED_VALUE"""),"MOVI")</f>
        <v>MOVI</v>
      </c>
      <c r="E7112" s="122" t="str">
        <f>IFERROR(__xludf.DUMMYFUNCTION("""COMPUTED_VALUE"""),"MovieBox")</f>
        <v>MovieBox</v>
      </c>
      <c r="F7112" s="122" t="str">
        <f>IFERROR(__xludf.DUMMYFUNCTION("""COMPUTED_VALUE"""),"Entertainment")</f>
        <v>Entertainment</v>
      </c>
    </row>
    <row r="7113">
      <c r="A7113" s="131">
        <f>IFERROR(__xludf.DUMMYFUNCTION("""COMPUTED_VALUE"""),46187.58630787037)</f>
        <v>46187.58631</v>
      </c>
      <c r="B7113" s="126">
        <f>IFERROR(__xludf.DUMMYFUNCTION("""COMPUTED_VALUE"""),46187.0)</f>
        <v>46187</v>
      </c>
      <c r="C7113" s="130">
        <f>IFERROR(__xludf.DUMMYFUNCTION("""COMPUTED_VALUE"""),0.5863078703703704)</f>
        <v>0.5863078704</v>
      </c>
      <c r="D7113" s="122" t="str">
        <f>IFERROR(__xludf.DUMMYFUNCTION("""COMPUTED_VALUE"""),"MUSC")</f>
        <v>MUSC</v>
      </c>
      <c r="E7113" s="122" t="str">
        <f>IFERROR(__xludf.DUMMYFUNCTION("""COMPUTED_VALUE"""),"MusicWave")</f>
        <v>MusicWave</v>
      </c>
      <c r="F7113" s="122" t="str">
        <f>IFERROR(__xludf.DUMMYFUNCTION("""COMPUTED_VALUE"""),"Entertainment")</f>
        <v>Entertainment</v>
      </c>
    </row>
    <row r="7114">
      <c r="A7114" s="131">
        <f>IFERROR(__xludf.DUMMYFUNCTION("""COMPUTED_VALUE"""),46187.58630787037)</f>
        <v>46187.58631</v>
      </c>
      <c r="B7114" s="126">
        <f>IFERROR(__xludf.DUMMYFUNCTION("""COMPUTED_VALUE"""),46187.0)</f>
        <v>46187</v>
      </c>
      <c r="C7114" s="130">
        <f>IFERROR(__xludf.DUMMYFUNCTION("""COMPUTED_VALUE"""),0.5863078703703704)</f>
        <v>0.5863078704</v>
      </c>
      <c r="D7114" s="122" t="str">
        <f>IFERROR(__xludf.DUMMYFUNCTION("""COMPUTED_VALUE"""),"IDOL")</f>
        <v>IDOL</v>
      </c>
      <c r="E7114" s="122" t="str">
        <f>IFERROR(__xludf.DUMMYFUNCTION("""COMPUTED_VALUE"""),"Idol Agency")</f>
        <v>Idol Agency</v>
      </c>
      <c r="F7114" s="122" t="str">
        <f>IFERROR(__xludf.DUMMYFUNCTION("""COMPUTED_VALUE"""),"Entertainment")</f>
        <v>Entertainment</v>
      </c>
    </row>
    <row r="7115">
      <c r="A7115" s="131">
        <f>IFERROR(__xludf.DUMMYFUNCTION("""COMPUTED_VALUE"""),46187.58630787037)</f>
        <v>46187.58631</v>
      </c>
      <c r="B7115" s="126">
        <f>IFERROR(__xludf.DUMMYFUNCTION("""COMPUTED_VALUE"""),46187.0)</f>
        <v>46187</v>
      </c>
      <c r="C7115" s="130">
        <f>IFERROR(__xludf.DUMMYFUNCTION("""COMPUTED_VALUE"""),0.5863078703703704)</f>
        <v>0.5863078704</v>
      </c>
      <c r="D7115" s="122" t="str">
        <f>IFERROR(__xludf.DUMMYFUNCTION("""COMPUTED_VALUE"""),"MEME")</f>
        <v>MEME</v>
      </c>
      <c r="E7115" s="122" t="str">
        <f>IFERROR(__xludf.DUMMYFUNCTION("""COMPUTED_VALUE"""),"Meme Media")</f>
        <v>Meme Media</v>
      </c>
      <c r="F7115" s="122" t="str">
        <f>IFERROR(__xludf.DUMMYFUNCTION("""COMPUTED_VALUE"""),"Entertainment")</f>
        <v>Entertainment</v>
      </c>
    </row>
    <row r="7116">
      <c r="A7116" s="131">
        <f>IFERROR(__xludf.DUMMYFUNCTION("""COMPUTED_VALUE"""),46187.58630787037)</f>
        <v>46187.58631</v>
      </c>
      <c r="B7116" s="126">
        <f>IFERROR(__xludf.DUMMYFUNCTION("""COMPUTED_VALUE"""),46187.0)</f>
        <v>46187</v>
      </c>
      <c r="C7116" s="130">
        <f>IFERROR(__xludf.DUMMYFUNCTION("""COMPUTED_VALUE"""),0.5863078703703704)</f>
        <v>0.5863078704</v>
      </c>
      <c r="D7116" s="122" t="str">
        <f>IFERROR(__xludf.DUMMYFUNCTION("""COMPUTED_VALUE"""),"STRM")</f>
        <v>STRM</v>
      </c>
      <c r="E7116" s="122" t="str">
        <f>IFERROR(__xludf.DUMMYFUNCTION("""COMPUTED_VALUE"""),"Streamly")</f>
        <v>Streamly</v>
      </c>
      <c r="F7116" s="122" t="str">
        <f>IFERROR(__xludf.DUMMYFUNCTION("""COMPUTED_VALUE"""),"Entertainment")</f>
        <v>Entertainment</v>
      </c>
    </row>
    <row r="7117">
      <c r="A7117" s="131">
        <f>IFERROR(__xludf.DUMMYFUNCTION("""COMPUTED_VALUE"""),46187.58630787037)</f>
        <v>46187.58631</v>
      </c>
      <c r="B7117" s="126">
        <f>IFERROR(__xludf.DUMMYFUNCTION("""COMPUTED_VALUE"""),46187.0)</f>
        <v>46187</v>
      </c>
      <c r="C7117" s="130">
        <f>IFERROR(__xludf.DUMMYFUNCTION("""COMPUTED_VALUE"""),0.5863078703703704)</f>
        <v>0.5863078704</v>
      </c>
      <c r="D7117" s="122" t="str">
        <f>IFERROR(__xludf.DUMMYFUNCTION("""COMPUTED_VALUE"""),"FARM")</f>
        <v>FARM</v>
      </c>
      <c r="E7117" s="122" t="str">
        <f>IFERROR(__xludf.DUMMYFUNCTION("""COMPUTED_VALUE"""),"Future Farms")</f>
        <v>Future Farms</v>
      </c>
      <c r="F7117" s="122" t="str">
        <f>IFERROR(__xludf.DUMMYFUNCTION("""COMPUTED_VALUE"""),"Agriculture")</f>
        <v>Agriculture</v>
      </c>
    </row>
    <row r="7118">
      <c r="A7118" s="131">
        <f>IFERROR(__xludf.DUMMYFUNCTION("""COMPUTED_VALUE"""),46187.58630787037)</f>
        <v>46187.58631</v>
      </c>
      <c r="B7118" s="126">
        <f>IFERROR(__xludf.DUMMYFUNCTION("""COMPUTED_VALUE"""),46187.0)</f>
        <v>46187</v>
      </c>
      <c r="C7118" s="130">
        <f>IFERROR(__xludf.DUMMYFUNCTION("""COMPUTED_VALUE"""),0.5863078703703704)</f>
        <v>0.5863078704</v>
      </c>
      <c r="D7118" s="122" t="str">
        <f>IFERROR(__xludf.DUMMYFUNCTION("""COMPUTED_VALUE"""),"MEAT")</f>
        <v>MEAT</v>
      </c>
      <c r="E7118" s="122" t="str">
        <f>IFERROR(__xludf.DUMMYFUNCTION("""COMPUTED_VALUE"""),"MeatWorks")</f>
        <v>MeatWorks</v>
      </c>
      <c r="F7118" s="122" t="str">
        <f>IFERROR(__xludf.DUMMYFUNCTION("""COMPUTED_VALUE"""),"Food")</f>
        <v>Food</v>
      </c>
    </row>
    <row r="7119">
      <c r="A7119" s="131">
        <f>IFERROR(__xludf.DUMMYFUNCTION("""COMPUTED_VALUE"""),46187.58630787037)</f>
        <v>46187.58631</v>
      </c>
      <c r="B7119" s="126">
        <f>IFERROR(__xludf.DUMMYFUNCTION("""COMPUTED_VALUE"""),46187.0)</f>
        <v>46187</v>
      </c>
      <c r="C7119" s="130">
        <f>IFERROR(__xludf.DUMMYFUNCTION("""COMPUTED_VALUE"""),0.5863078703703704)</f>
        <v>0.5863078704</v>
      </c>
      <c r="D7119" s="122" t="str">
        <f>IFERROR(__xludf.DUMMYFUNCTION("""COMPUTED_VALUE"""),"VEGI")</f>
        <v>VEGI</v>
      </c>
      <c r="E7119" s="122" t="str">
        <f>IFERROR(__xludf.DUMMYFUNCTION("""COMPUTED_VALUE"""),"Green Basket")</f>
        <v>Green Basket</v>
      </c>
      <c r="F7119" s="122" t="str">
        <f>IFERROR(__xludf.DUMMYFUNCTION("""COMPUTED_VALUE"""),"Food")</f>
        <v>Food</v>
      </c>
    </row>
    <row r="7120">
      <c r="A7120" s="131">
        <f>IFERROR(__xludf.DUMMYFUNCTION("""COMPUTED_VALUE"""),46187.58630787037)</f>
        <v>46187.58631</v>
      </c>
      <c r="B7120" s="126">
        <f>IFERROR(__xludf.DUMMYFUNCTION("""COMPUTED_VALUE"""),46187.0)</f>
        <v>46187</v>
      </c>
      <c r="C7120" s="130">
        <f>IFERROR(__xludf.DUMMYFUNCTION("""COMPUTED_VALUE"""),0.5863078703703704)</f>
        <v>0.5863078704</v>
      </c>
      <c r="D7120" s="122" t="str">
        <f>IFERROR(__xludf.DUMMYFUNCTION("""COMPUTED_VALUE"""),"CAFE")</f>
        <v>CAFE</v>
      </c>
      <c r="E7120" s="122" t="str">
        <f>IFERROR(__xludf.DUMMYFUNCTION("""COMPUTED_VALUE"""),"Cafe Cloud")</f>
        <v>Cafe Cloud</v>
      </c>
      <c r="F7120" s="122" t="str">
        <f>IFERROR(__xludf.DUMMYFUNCTION("""COMPUTED_VALUE"""),"Food")</f>
        <v>Food</v>
      </c>
    </row>
    <row r="7121">
      <c r="A7121" s="131">
        <f>IFERROR(__xludf.DUMMYFUNCTION("""COMPUTED_VALUE"""),46187.58630787037)</f>
        <v>46187.58631</v>
      </c>
      <c r="B7121" s="126">
        <f>IFERROR(__xludf.DUMMYFUNCTION("""COMPUTED_VALUE"""),46187.0)</f>
        <v>46187</v>
      </c>
      <c r="C7121" s="130">
        <f>IFERROR(__xludf.DUMMYFUNCTION("""COMPUTED_VALUE"""),0.5863078703703704)</f>
        <v>0.5863078704</v>
      </c>
      <c r="D7121" s="122" t="str">
        <f>IFERROR(__xludf.DUMMYFUNCTION("""COMPUTED_VALUE"""),"BAKE")</f>
        <v>BAKE</v>
      </c>
      <c r="E7121" s="122" t="str">
        <f>IFERROR(__xludf.DUMMYFUNCTION("""COMPUTED_VALUE"""),"BakeHouse")</f>
        <v>BakeHouse</v>
      </c>
      <c r="F7121" s="122" t="str">
        <f>IFERROR(__xludf.DUMMYFUNCTION("""COMPUTED_VALUE"""),"Food")</f>
        <v>Food</v>
      </c>
    </row>
    <row r="7122">
      <c r="A7122" s="131">
        <f>IFERROR(__xludf.DUMMYFUNCTION("""COMPUTED_VALUE"""),46187.58630787037)</f>
        <v>46187.58631</v>
      </c>
      <c r="B7122" s="126">
        <f>IFERROR(__xludf.DUMMYFUNCTION("""COMPUTED_VALUE"""),46187.0)</f>
        <v>46187</v>
      </c>
      <c r="C7122" s="130">
        <f>IFERROR(__xludf.DUMMYFUNCTION("""COMPUTED_VALUE"""),0.5863078703703704)</f>
        <v>0.5863078704</v>
      </c>
      <c r="D7122" s="122" t="str">
        <f>IFERROR(__xludf.DUMMYFUNCTION("""COMPUTED_VALUE"""),"OILX")</f>
        <v>OILX</v>
      </c>
      <c r="E7122" s="122" t="str">
        <f>IFERROR(__xludf.DUMMYFUNCTION("""COMPUTED_VALUE"""),"OilMax Energy")</f>
        <v>OilMax Energy</v>
      </c>
      <c r="F7122" s="122" t="str">
        <f>IFERROR(__xludf.DUMMYFUNCTION("""COMPUTED_VALUE"""),"Energy")</f>
        <v>Energy</v>
      </c>
    </row>
    <row r="7123">
      <c r="A7123" s="131">
        <f>IFERROR(__xludf.DUMMYFUNCTION("""COMPUTED_VALUE"""),46187.58630787037)</f>
        <v>46187.58631</v>
      </c>
      <c r="B7123" s="126">
        <f>IFERROR(__xludf.DUMMYFUNCTION("""COMPUTED_VALUE"""),46187.0)</f>
        <v>46187</v>
      </c>
      <c r="C7123" s="130">
        <f>IFERROR(__xludf.DUMMYFUNCTION("""COMPUTED_VALUE"""),0.5863078703703704)</f>
        <v>0.5863078704</v>
      </c>
      <c r="D7123" s="122" t="str">
        <f>IFERROR(__xludf.DUMMYFUNCTION("""COMPUTED_VALUE"""),"SOLR")</f>
        <v>SOLR</v>
      </c>
      <c r="E7123" s="122" t="str">
        <f>IFERROR(__xludf.DUMMYFUNCTION("""COMPUTED_VALUE"""),"SolarSpark")</f>
        <v>SolarSpark</v>
      </c>
      <c r="F7123" s="122" t="str">
        <f>IFERROR(__xludf.DUMMYFUNCTION("""COMPUTED_VALUE"""),"Energy")</f>
        <v>Energy</v>
      </c>
    </row>
    <row r="7124">
      <c r="A7124" s="131">
        <f>IFERROR(__xludf.DUMMYFUNCTION("""COMPUTED_VALUE"""),46187.58630787037)</f>
        <v>46187.58631</v>
      </c>
      <c r="B7124" s="126">
        <f>IFERROR(__xludf.DUMMYFUNCTION("""COMPUTED_VALUE"""),46187.0)</f>
        <v>46187</v>
      </c>
      <c r="C7124" s="130">
        <f>IFERROR(__xludf.DUMMYFUNCTION("""COMPUTED_VALUE"""),0.5863078703703704)</f>
        <v>0.5863078704</v>
      </c>
      <c r="D7124" s="122" t="str">
        <f>IFERROR(__xludf.DUMMYFUNCTION("""COMPUTED_VALUE"""),"BATT")</f>
        <v>BATT</v>
      </c>
      <c r="E7124" s="122" t="str">
        <f>IFERROR(__xludf.DUMMYFUNCTION("""COMPUTED_VALUE"""),"BatteryBox")</f>
        <v>BatteryBox</v>
      </c>
      <c r="F7124" s="122" t="str">
        <f>IFERROR(__xludf.DUMMYFUNCTION("""COMPUTED_VALUE"""),"Energy")</f>
        <v>Energy</v>
      </c>
    </row>
    <row r="7125">
      <c r="A7125" s="131">
        <f>IFERROR(__xludf.DUMMYFUNCTION("""COMPUTED_VALUE"""),46187.58630787037)</f>
        <v>46187.58631</v>
      </c>
      <c r="B7125" s="126">
        <f>IFERROR(__xludf.DUMMYFUNCTION("""COMPUTED_VALUE"""),46187.0)</f>
        <v>46187</v>
      </c>
      <c r="C7125" s="130">
        <f>IFERROR(__xludf.DUMMYFUNCTION("""COMPUTED_VALUE"""),0.5863078703703704)</f>
        <v>0.5863078704</v>
      </c>
      <c r="D7125" s="122" t="str">
        <f>IFERROR(__xludf.DUMMYFUNCTION("""COMPUTED_VALUE"""),"WIND")</f>
        <v>WIND</v>
      </c>
      <c r="E7125" s="122" t="str">
        <f>IFERROR(__xludf.DUMMYFUNCTION("""COMPUTED_VALUE"""),"WindWorks")</f>
        <v>WindWorks</v>
      </c>
      <c r="F7125" s="122" t="str">
        <f>IFERROR(__xludf.DUMMYFUNCTION("""COMPUTED_VALUE"""),"Energy")</f>
        <v>Energy</v>
      </c>
    </row>
    <row r="7126">
      <c r="A7126" s="131">
        <f>IFERROR(__xludf.DUMMYFUNCTION("""COMPUTED_VALUE"""),46187.58630787037)</f>
        <v>46187.58631</v>
      </c>
      <c r="B7126" s="126">
        <f>IFERROR(__xludf.DUMMYFUNCTION("""COMPUTED_VALUE"""),46187.0)</f>
        <v>46187</v>
      </c>
      <c r="C7126" s="130">
        <f>IFERROR(__xludf.DUMMYFUNCTION("""COMPUTED_VALUE"""),0.5863078703703704)</f>
        <v>0.5863078704</v>
      </c>
      <c r="D7126" s="122" t="str">
        <f>IFERROR(__xludf.DUMMYFUNCTION("""COMPUTED_VALUE"""),"GRID")</f>
        <v>GRID</v>
      </c>
      <c r="E7126" s="122" t="str">
        <f>IFERROR(__xludf.DUMMYFUNCTION("""COMPUTED_VALUE"""),"GridPower")</f>
        <v>GridPower</v>
      </c>
      <c r="F7126" s="122" t="str">
        <f>IFERROR(__xludf.DUMMYFUNCTION("""COMPUTED_VALUE"""),"Energy")</f>
        <v>Energy</v>
      </c>
    </row>
    <row r="7127">
      <c r="A7127" s="131">
        <f>IFERROR(__xludf.DUMMYFUNCTION("""COMPUTED_VALUE"""),46187.58630787037)</f>
        <v>46187.58631</v>
      </c>
      <c r="B7127" s="126">
        <f>IFERROR(__xludf.DUMMYFUNCTION("""COMPUTED_VALUE"""),46187.0)</f>
        <v>46187</v>
      </c>
      <c r="C7127" s="130">
        <f>IFERROR(__xludf.DUMMYFUNCTION("""COMPUTED_VALUE"""),0.5863078703703704)</f>
        <v>0.5863078704</v>
      </c>
      <c r="D7127" s="122" t="str">
        <f>IFERROR(__xludf.DUMMYFUNCTION("""COMPUTED_VALUE"""),"HOME")</f>
        <v>HOME</v>
      </c>
      <c r="E7127" s="122" t="str">
        <f>IFERROR(__xludf.DUMMYFUNCTION("""COMPUTED_VALUE"""),"HomeHub")</f>
        <v>HomeHub</v>
      </c>
      <c r="F7127" s="122" t="str">
        <f>IFERROR(__xludf.DUMMYFUNCTION("""COMPUTED_VALUE"""),"Real Estate")</f>
        <v>Real Estate</v>
      </c>
    </row>
    <row r="7128">
      <c r="A7128" s="131">
        <f>IFERROR(__xludf.DUMMYFUNCTION("""COMPUTED_VALUE"""),46187.58630787037)</f>
        <v>46187.58631</v>
      </c>
      <c r="B7128" s="126">
        <f>IFERROR(__xludf.DUMMYFUNCTION("""COMPUTED_VALUE"""),46187.0)</f>
        <v>46187</v>
      </c>
      <c r="C7128" s="130">
        <f>IFERROR(__xludf.DUMMYFUNCTION("""COMPUTED_VALUE"""),0.5863078703703704)</f>
        <v>0.5863078704</v>
      </c>
      <c r="D7128" s="122" t="str">
        <f>IFERROR(__xludf.DUMMYFUNCTION("""COMPUTED_VALUE"""),"RENT")</f>
        <v>RENT</v>
      </c>
      <c r="E7128" s="122" t="str">
        <f>IFERROR(__xludf.DUMMYFUNCTION("""COMPUTED_VALUE"""),"RentRight")</f>
        <v>RentRight</v>
      </c>
      <c r="F7128" s="122" t="str">
        <f>IFERROR(__xludf.DUMMYFUNCTION("""COMPUTED_VALUE"""),"Real Estate")</f>
        <v>Real Estate</v>
      </c>
    </row>
    <row r="7129">
      <c r="A7129" s="131">
        <f>IFERROR(__xludf.DUMMYFUNCTION("""COMPUTED_VALUE"""),46187.58630787037)</f>
        <v>46187.58631</v>
      </c>
      <c r="B7129" s="126">
        <f>IFERROR(__xludf.DUMMYFUNCTION("""COMPUTED_VALUE"""),46187.0)</f>
        <v>46187</v>
      </c>
      <c r="C7129" s="130">
        <f>IFERROR(__xludf.DUMMYFUNCTION("""COMPUTED_VALUE"""),0.5863078703703704)</f>
        <v>0.5863078704</v>
      </c>
      <c r="D7129" s="122" t="str">
        <f>IFERROR(__xludf.DUMMYFUNCTION("""COMPUTED_VALUE"""),"MALL")</f>
        <v>MALL</v>
      </c>
      <c r="E7129" s="122" t="str">
        <f>IFERROR(__xludf.DUMMYFUNCTION("""COMPUTED_VALUE"""),"MegaMall")</f>
        <v>MegaMall</v>
      </c>
      <c r="F7129" s="122" t="str">
        <f>IFERROR(__xludf.DUMMYFUNCTION("""COMPUTED_VALUE"""),"Real Estate")</f>
        <v>Real Estate</v>
      </c>
    </row>
    <row r="7130">
      <c r="A7130" s="131">
        <f>IFERROR(__xludf.DUMMYFUNCTION("""COMPUTED_VALUE"""),46187.58630787037)</f>
        <v>46187.58631</v>
      </c>
      <c r="B7130" s="126">
        <f>IFERROR(__xludf.DUMMYFUNCTION("""COMPUTED_VALUE"""),46187.0)</f>
        <v>46187</v>
      </c>
      <c r="C7130" s="130">
        <f>IFERROR(__xludf.DUMMYFUNCTION("""COMPUTED_VALUE"""),0.5863078703703704)</f>
        <v>0.5863078704</v>
      </c>
      <c r="D7130" s="122" t="str">
        <f>IFERROR(__xludf.DUMMYFUNCTION("""COMPUTED_VALUE"""),"HOTL")</f>
        <v>HOTL</v>
      </c>
      <c r="E7130" s="122" t="str">
        <f>IFERROR(__xludf.DUMMYFUNCTION("""COMPUTED_VALUE"""),"HotelHive")</f>
        <v>HotelHive</v>
      </c>
      <c r="F7130" s="122" t="str">
        <f>IFERROR(__xludf.DUMMYFUNCTION("""COMPUTED_VALUE"""),"Real Estate")</f>
        <v>Real Estate</v>
      </c>
    </row>
    <row r="7131">
      <c r="A7131" s="131">
        <f>IFERROR(__xludf.DUMMYFUNCTION("""COMPUTED_VALUE"""),46187.58630787037)</f>
        <v>46187.58631</v>
      </c>
      <c r="B7131" s="126">
        <f>IFERROR(__xludf.DUMMYFUNCTION("""COMPUTED_VALUE"""),46187.0)</f>
        <v>46187</v>
      </c>
      <c r="C7131" s="130">
        <f>IFERROR(__xludf.DUMMYFUNCTION("""COMPUTED_VALUE"""),0.5863078703703704)</f>
        <v>0.5863078704</v>
      </c>
      <c r="D7131" s="122" t="str">
        <f>IFERROR(__xludf.DUMMYFUNCTION("""COMPUTED_VALUE"""),"LAND")</f>
        <v>LAND</v>
      </c>
      <c r="E7131" s="122" t="str">
        <f>IFERROR(__xludf.DUMMYFUNCTION("""COMPUTED_VALUE"""),"LandLink")</f>
        <v>LandLink</v>
      </c>
      <c r="F7131" s="122" t="str">
        <f>IFERROR(__xludf.DUMMYFUNCTION("""COMPUTED_VALUE"""),"Real Estate")</f>
        <v>Real Estate</v>
      </c>
    </row>
    <row r="7132">
      <c r="A7132" s="131">
        <f>IFERROR(__xludf.DUMMYFUNCTION("""COMPUTED_VALUE"""),46187.58630787037)</f>
        <v>46187.58631</v>
      </c>
      <c r="B7132" s="126">
        <f>IFERROR(__xludf.DUMMYFUNCTION("""COMPUTED_VALUE"""),46187.0)</f>
        <v>46187</v>
      </c>
      <c r="C7132" s="130">
        <f>IFERROR(__xludf.DUMMYFUNCTION("""COMPUTED_VALUE"""),0.5863078703703704)</f>
        <v>0.5863078704</v>
      </c>
      <c r="D7132" s="122" t="str">
        <f>IFERROR(__xludf.DUMMYFUNCTION("""COMPUTED_VALUE"""),"CARS")</f>
        <v>CARS</v>
      </c>
      <c r="E7132" s="122" t="str">
        <f>IFERROR(__xludf.DUMMYFUNCTION("""COMPUTED_VALUE"""),"AutoArena")</f>
        <v>AutoArena</v>
      </c>
      <c r="F7132" s="122" t="str">
        <f>IFERROR(__xludf.DUMMYFUNCTION("""COMPUTED_VALUE"""),"Automotive")</f>
        <v>Automotive</v>
      </c>
    </row>
    <row r="7133">
      <c r="A7133" s="131">
        <f>IFERROR(__xludf.DUMMYFUNCTION("""COMPUTED_VALUE"""),46187.58630787037)</f>
        <v>46187.58631</v>
      </c>
      <c r="B7133" s="126">
        <f>IFERROR(__xludf.DUMMYFUNCTION("""COMPUTED_VALUE"""),46187.0)</f>
        <v>46187</v>
      </c>
      <c r="C7133" s="130">
        <f>IFERROR(__xludf.DUMMYFUNCTION("""COMPUTED_VALUE"""),0.5863078703703704)</f>
        <v>0.5863078704</v>
      </c>
      <c r="D7133" s="122" t="str">
        <f>IFERROR(__xludf.DUMMYFUNCTION("""COMPUTED_VALUE"""),"EVGO")</f>
        <v>EVGO</v>
      </c>
      <c r="E7133" s="122" t="str">
        <f>IFERROR(__xludf.DUMMYFUNCTION("""COMPUTED_VALUE"""),"EVGo Motors")</f>
        <v>EVGo Motors</v>
      </c>
      <c r="F7133" s="122" t="str">
        <f>IFERROR(__xludf.DUMMYFUNCTION("""COMPUTED_VALUE"""),"Automotive")</f>
        <v>Automotive</v>
      </c>
    </row>
    <row r="7134">
      <c r="A7134" s="131">
        <f>IFERROR(__xludf.DUMMYFUNCTION("""COMPUTED_VALUE"""),46187.58630787037)</f>
        <v>46187.58631</v>
      </c>
      <c r="B7134" s="126">
        <f>IFERROR(__xludf.DUMMYFUNCTION("""COMPUTED_VALUE"""),46187.0)</f>
        <v>46187</v>
      </c>
      <c r="C7134" s="130">
        <f>IFERROR(__xludf.DUMMYFUNCTION("""COMPUTED_VALUE"""),0.5863078703703704)</f>
        <v>0.5863078704</v>
      </c>
      <c r="D7134" s="122" t="str">
        <f>IFERROR(__xludf.DUMMYFUNCTION("""COMPUTED_VALUE"""),"TIRE")</f>
        <v>TIRE</v>
      </c>
      <c r="E7134" s="122" t="str">
        <f>IFERROR(__xludf.DUMMYFUNCTION("""COMPUTED_VALUE"""),"TireTown")</f>
        <v>TireTown</v>
      </c>
      <c r="F7134" s="122" t="str">
        <f>IFERROR(__xludf.DUMMYFUNCTION("""COMPUTED_VALUE"""),"Automotive")</f>
        <v>Automotive</v>
      </c>
    </row>
    <row r="7135">
      <c r="A7135" s="131">
        <f>IFERROR(__xludf.DUMMYFUNCTION("""COMPUTED_VALUE"""),46187.58630787037)</f>
        <v>46187.58631</v>
      </c>
      <c r="B7135" s="126">
        <f>IFERROR(__xludf.DUMMYFUNCTION("""COMPUTED_VALUE"""),46187.0)</f>
        <v>46187</v>
      </c>
      <c r="C7135" s="130">
        <f>IFERROR(__xludf.DUMMYFUNCTION("""COMPUTED_VALUE"""),0.5863078703703704)</f>
        <v>0.5863078704</v>
      </c>
      <c r="D7135" s="122" t="str">
        <f>IFERROR(__xludf.DUMMYFUNCTION("""COMPUTED_VALUE"""),"BIKE")</f>
        <v>BIKE</v>
      </c>
      <c r="E7135" s="122" t="str">
        <f>IFERROR(__xludf.DUMMYFUNCTION("""COMPUTED_VALUE"""),"BikeBox")</f>
        <v>BikeBox</v>
      </c>
      <c r="F7135" s="122" t="str">
        <f>IFERROR(__xludf.DUMMYFUNCTION("""COMPUTED_VALUE"""),"Automotive")</f>
        <v>Automotive</v>
      </c>
    </row>
    <row r="7136">
      <c r="A7136" s="131">
        <f>IFERROR(__xludf.DUMMYFUNCTION("""COMPUTED_VALUE"""),46187.58630787037)</f>
        <v>46187.58631</v>
      </c>
      <c r="B7136" s="126">
        <f>IFERROR(__xludf.DUMMYFUNCTION("""COMPUTED_VALUE"""),46187.0)</f>
        <v>46187</v>
      </c>
      <c r="C7136" s="130">
        <f>IFERROR(__xludf.DUMMYFUNCTION("""COMPUTED_VALUE"""),0.5863078703703704)</f>
        <v>0.5863078704</v>
      </c>
      <c r="D7136" s="122" t="str">
        <f>IFERROR(__xludf.DUMMYFUNCTION("""COMPUTED_VALUE"""),"WASH")</f>
        <v>WASH</v>
      </c>
      <c r="E7136" s="122" t="str">
        <f>IFERROR(__xludf.DUMMYFUNCTION("""COMPUTED_VALUE"""),"CarWash Co")</f>
        <v>CarWash Co</v>
      </c>
      <c r="F7136" s="122" t="str">
        <f>IFERROR(__xludf.DUMMYFUNCTION("""COMPUTED_VALUE"""),"Automotive")</f>
        <v>Automotive</v>
      </c>
    </row>
    <row r="7137">
      <c r="A7137" s="131">
        <f>IFERROR(__xludf.DUMMYFUNCTION("""COMPUTED_VALUE"""),46187.58630787037)</f>
        <v>46187.58631</v>
      </c>
      <c r="B7137" s="126">
        <f>IFERROR(__xludf.DUMMYFUNCTION("""COMPUTED_VALUE"""),46187.0)</f>
        <v>46187</v>
      </c>
      <c r="C7137" s="130">
        <f>IFERROR(__xludf.DUMMYFUNCTION("""COMPUTED_VALUE"""),0.5863078703703704)</f>
        <v>0.5863078704</v>
      </c>
      <c r="D7137" s="122" t="str">
        <f>IFERROR(__xludf.DUMMYFUNCTION("""COMPUTED_VALUE"""),"GBND")</f>
        <v>GBND</v>
      </c>
      <c r="E7137" s="122" t="str">
        <f>IFERROR(__xludf.DUMMYFUNCTION("""COMPUTED_VALUE"""),"Classroom Government Bond")</f>
        <v>Classroom Government Bond</v>
      </c>
      <c r="F7137" s="122" t="str">
        <f>IFERROR(__xludf.DUMMYFUNCTION("""COMPUTED_VALUE"""),"Bond")</f>
        <v>Bond</v>
      </c>
    </row>
    <row r="7138">
      <c r="A7138" s="131">
        <f>IFERROR(__xludf.DUMMYFUNCTION("""COMPUTED_VALUE"""),46187.58630787037)</f>
        <v>46187.58631</v>
      </c>
      <c r="B7138" s="126">
        <f>IFERROR(__xludf.DUMMYFUNCTION("""COMPUTED_VALUE"""),46187.0)</f>
        <v>46187</v>
      </c>
      <c r="C7138" s="130">
        <f>IFERROR(__xludf.DUMMYFUNCTION("""COMPUTED_VALUE"""),0.5863078703703704)</f>
        <v>0.5863078704</v>
      </c>
      <c r="D7138" s="122" t="str">
        <f>IFERROR(__xludf.DUMMYFUNCTION("""COMPUTED_VALUE"""),"SBND")</f>
        <v>SBND</v>
      </c>
      <c r="E7138" s="122" t="str">
        <f>IFERROR(__xludf.DUMMYFUNCTION("""COMPUTED_VALUE"""),"School Savings Bond")</f>
        <v>School Savings Bond</v>
      </c>
      <c r="F7138" s="122" t="str">
        <f>IFERROR(__xludf.DUMMYFUNCTION("""COMPUTED_VALUE"""),"Bond")</f>
        <v>Bond</v>
      </c>
    </row>
    <row r="7139">
      <c r="A7139" s="131">
        <f>IFERROR(__xludf.DUMMYFUNCTION("""COMPUTED_VALUE"""),46187.58630787037)</f>
        <v>46187.58631</v>
      </c>
      <c r="B7139" s="126">
        <f>IFERROR(__xludf.DUMMYFUNCTION("""COMPUTED_VALUE"""),46187.0)</f>
        <v>46187</v>
      </c>
      <c r="C7139" s="130">
        <f>IFERROR(__xludf.DUMMYFUNCTION("""COMPUTED_VALUE"""),0.5863078703703704)</f>
        <v>0.5863078704</v>
      </c>
      <c r="D7139" s="122" t="str">
        <f>IFERROR(__xludf.DUMMYFUNCTION("""COMPUTED_VALUE"""),"CBND")</f>
        <v>CBND</v>
      </c>
      <c r="E7139" s="122" t="str">
        <f>IFERROR(__xludf.DUMMYFUNCTION("""COMPUTED_VALUE"""),"Corporate Classroom Bond")</f>
        <v>Corporate Classroom Bond</v>
      </c>
      <c r="F7139" s="122" t="str">
        <f>IFERROR(__xludf.DUMMYFUNCTION("""COMPUTED_VALUE"""),"Bond")</f>
        <v>Bond</v>
      </c>
    </row>
    <row r="7140">
      <c r="A7140" s="131">
        <f>IFERROR(__xludf.DUMMYFUNCTION("""COMPUTED_VALUE"""),46187.58630787037)</f>
        <v>46187.58631</v>
      </c>
      <c r="B7140" s="126">
        <f>IFERROR(__xludf.DUMMYFUNCTION("""COMPUTED_VALUE"""),46187.0)</f>
        <v>46187</v>
      </c>
      <c r="C7140" s="130">
        <f>IFERROR(__xludf.DUMMYFUNCTION("""COMPUTED_VALUE"""),0.5863078703703704)</f>
        <v>0.5863078704</v>
      </c>
      <c r="D7140" s="122" t="str">
        <f>IFERROR(__xludf.DUMMYFUNCTION("""COMPUTED_VALUE"""),"TBIL")</f>
        <v>TBIL</v>
      </c>
      <c r="E7140" s="122" t="str">
        <f>IFERROR(__xludf.DUMMYFUNCTION("""COMPUTED_VALUE"""),"Treasury Bill")</f>
        <v>Treasury Bill</v>
      </c>
      <c r="F7140" s="122" t="str">
        <f>IFERROR(__xludf.DUMMYFUNCTION("""COMPUTED_VALUE"""),"Bond")</f>
        <v>Bond</v>
      </c>
    </row>
    <row r="7141">
      <c r="A7141" s="131">
        <f>IFERROR(__xludf.DUMMYFUNCTION("""COMPUTED_VALUE"""),46187.58630787037)</f>
        <v>46187.58631</v>
      </c>
      <c r="B7141" s="126">
        <f>IFERROR(__xludf.DUMMYFUNCTION("""COMPUTED_VALUE"""),46187.0)</f>
        <v>46187</v>
      </c>
      <c r="C7141" s="130">
        <f>IFERROR(__xludf.DUMMYFUNCTION("""COMPUTED_VALUE"""),0.5863078703703704)</f>
        <v>0.5863078704</v>
      </c>
      <c r="D7141" s="122" t="str">
        <f>IFERROR(__xludf.DUMMYFUNCTION("""COMPUTED_VALUE"""),"IBND")</f>
        <v>IBND</v>
      </c>
      <c r="E7141" s="122" t="str">
        <f>IFERROR(__xludf.DUMMYFUNCTION("""COMPUTED_VALUE"""),"Inflation Protected Bond")</f>
        <v>Inflation Protected Bond</v>
      </c>
      <c r="F7141" s="122" t="str">
        <f>IFERROR(__xludf.DUMMYFUNCTION("""COMPUTED_VALUE"""),"Bond")</f>
        <v>Bond</v>
      </c>
    </row>
    <row r="7142">
      <c r="A7142" s="131">
        <f>IFERROR(__xludf.DUMMYFUNCTION("""COMPUTED_VALUE"""),46187.5883912037)</f>
        <v>46187.58839</v>
      </c>
      <c r="B7142" s="126">
        <f>IFERROR(__xludf.DUMMYFUNCTION("""COMPUTED_VALUE"""),46187.0)</f>
        <v>46187</v>
      </c>
      <c r="C7142" s="122" t="str">
        <f>IFERROR(__xludf.DUMMYFUNCTION("""COMPUTED_VALUE"""),"SNAX")</f>
        <v>SNAX</v>
      </c>
      <c r="D7142" s="122" t="str">
        <f>IFERROR(__xludf.DUMMYFUNCTION("""COMPUTED_VALUE"""),"MICA Snacks")</f>
        <v>MICA Snacks</v>
      </c>
      <c r="E7142" s="122">
        <f>IFERROR(__xludf.DUMMYFUNCTION("""COMPUTED_VALUE"""),122.65)</f>
        <v>122.65</v>
      </c>
      <c r="F7142" s="122">
        <f>IFERROR(__xludf.DUMMYFUNCTION("""COMPUTED_VALUE"""),9.0E-4)</f>
        <v>0.0009</v>
      </c>
    </row>
    <row r="7143">
      <c r="A7143" s="131">
        <f>IFERROR(__xludf.DUMMYFUNCTION("""COMPUTED_VALUE"""),46187.5883912037)</f>
        <v>46187.58839</v>
      </c>
      <c r="B7143" s="126">
        <f>IFERROR(__xludf.DUMMYFUNCTION("""COMPUTED_VALUE"""),46187.0)</f>
        <v>46187</v>
      </c>
      <c r="C7143" s="122" t="str">
        <f>IFERROR(__xludf.DUMMYFUNCTION("""COMPUTED_VALUE"""),"RAMN")</f>
        <v>RAMN</v>
      </c>
      <c r="D7143" s="122" t="str">
        <f>IFERROR(__xludf.DUMMYFUNCTION("""COMPUTED_VALUE"""),"Ramen Republic")</f>
        <v>Ramen Republic</v>
      </c>
      <c r="E7143" s="122">
        <f>IFERROR(__xludf.DUMMYFUNCTION("""COMPUTED_VALUE"""),64.09)</f>
        <v>64.09</v>
      </c>
      <c r="F7143" s="122">
        <f>IFERROR(__xludf.DUMMYFUNCTION("""COMPUTED_VALUE"""),-0.0073)</f>
        <v>-0.0073</v>
      </c>
    </row>
    <row r="7144">
      <c r="A7144" s="131">
        <f>IFERROR(__xludf.DUMMYFUNCTION("""COMPUTED_VALUE"""),46187.5883912037)</f>
        <v>46187.58839</v>
      </c>
      <c r="B7144" s="126">
        <f>IFERROR(__xludf.DUMMYFUNCTION("""COMPUTED_VALUE"""),46187.0)</f>
        <v>46187</v>
      </c>
      <c r="C7144" s="122" t="str">
        <f>IFERROR(__xludf.DUMMYFUNCTION("""COMPUTED_VALUE"""),"COLA")</f>
        <v>COLA</v>
      </c>
      <c r="D7144" s="122" t="str">
        <f>IFERROR(__xludf.DUMMYFUNCTION("""COMPUTED_VALUE"""),"K-Pop Cola")</f>
        <v>K-Pop Cola</v>
      </c>
      <c r="E7144" s="122">
        <f>IFERROR(__xludf.DUMMYFUNCTION("""COMPUTED_VALUE"""),113.94)</f>
        <v>113.94</v>
      </c>
      <c r="F7144" s="122">
        <f>IFERROR(__xludf.DUMMYFUNCTION("""COMPUTED_VALUE"""),0.0027)</f>
        <v>0.0027</v>
      </c>
    </row>
    <row r="7145">
      <c r="A7145" s="131">
        <f>IFERROR(__xludf.DUMMYFUNCTION("""COMPUTED_VALUE"""),46187.5883912037)</f>
        <v>46187.58839</v>
      </c>
      <c r="B7145" s="126">
        <f>IFERROR(__xludf.DUMMYFUNCTION("""COMPUTED_VALUE"""),46187.0)</f>
        <v>46187</v>
      </c>
      <c r="C7145" s="122" t="str">
        <f>IFERROR(__xludf.DUMMYFUNCTION("""COMPUTED_VALUE"""),"CHIP")</f>
        <v>CHIP</v>
      </c>
      <c r="D7145" s="122" t="str">
        <f>IFERROR(__xludf.DUMMYFUNCTION("""COMPUTED_VALUE"""),"Chip Empire")</f>
        <v>Chip Empire</v>
      </c>
      <c r="E7145" s="122">
        <f>IFERROR(__xludf.DUMMYFUNCTION("""COMPUTED_VALUE"""),81.5)</f>
        <v>81.5</v>
      </c>
      <c r="F7145" s="122">
        <f>IFERROR(__xludf.DUMMYFUNCTION("""COMPUTED_VALUE"""),-0.0055)</f>
        <v>-0.0055</v>
      </c>
    </row>
    <row r="7146">
      <c r="A7146" s="131">
        <f>IFERROR(__xludf.DUMMYFUNCTION("""COMPUTED_VALUE"""),46187.5883912037)</f>
        <v>46187.58839</v>
      </c>
      <c r="B7146" s="126">
        <f>IFERROR(__xludf.DUMMYFUNCTION("""COMPUTED_VALUE"""),46187.0)</f>
        <v>46187</v>
      </c>
      <c r="C7146" s="122" t="str">
        <f>IFERROR(__xludf.DUMMYFUNCTION("""COMPUTED_VALUE"""),"CAND")</f>
        <v>CAND</v>
      </c>
      <c r="D7146" s="122" t="str">
        <f>IFERROR(__xludf.DUMMYFUNCTION("""COMPUTED_VALUE"""),"Candy Capital")</f>
        <v>Candy Capital</v>
      </c>
      <c r="E7146" s="122">
        <f>IFERROR(__xludf.DUMMYFUNCTION("""COMPUTED_VALUE"""),77.27)</f>
        <v>77.27</v>
      </c>
      <c r="F7146" s="122">
        <f>IFERROR(__xludf.DUMMYFUNCTION("""COMPUTED_VALUE"""),0.0064)</f>
        <v>0.0064</v>
      </c>
    </row>
    <row r="7147">
      <c r="A7147" s="131">
        <f>IFERROR(__xludf.DUMMYFUNCTION("""COMPUTED_VALUE"""),46187.5883912037)</f>
        <v>46187.58839</v>
      </c>
      <c r="B7147" s="126">
        <f>IFERROR(__xludf.DUMMYFUNCTION("""COMPUTED_VALUE"""),46187.0)</f>
        <v>46187</v>
      </c>
      <c r="C7147" s="122" t="str">
        <f>IFERROR(__xludf.DUMMYFUNCTION("""COMPUTED_VALUE"""),"TECH")</f>
        <v>TECH</v>
      </c>
      <c r="D7147" s="122" t="str">
        <f>IFERROR(__xludf.DUMMYFUNCTION("""COMPUTED_VALUE"""),"Dragon Tech")</f>
        <v>Dragon Tech</v>
      </c>
      <c r="E7147" s="122">
        <f>IFERROR(__xludf.DUMMYFUNCTION("""COMPUTED_VALUE"""),254.89)</f>
        <v>254.89</v>
      </c>
      <c r="F7147" s="122">
        <f>IFERROR(__xludf.DUMMYFUNCTION("""COMPUTED_VALUE"""),0.0126)</f>
        <v>0.0126</v>
      </c>
    </row>
    <row r="7148">
      <c r="A7148" s="131">
        <f>IFERROR(__xludf.DUMMYFUNCTION("""COMPUTED_VALUE"""),46187.5883912037)</f>
        <v>46187.58839</v>
      </c>
      <c r="B7148" s="126">
        <f>IFERROR(__xludf.DUMMYFUNCTION("""COMPUTED_VALUE"""),46187.0)</f>
        <v>46187</v>
      </c>
      <c r="C7148" s="122" t="str">
        <f>IFERROR(__xludf.DUMMYFUNCTION("""COMPUTED_VALUE"""),"AIBO")</f>
        <v>AIBO</v>
      </c>
      <c r="D7148" s="122" t="str">
        <f>IFERROR(__xludf.DUMMYFUNCTION("""COMPUTED_VALUE"""),"Homework AI")</f>
        <v>Homework AI</v>
      </c>
      <c r="E7148" s="122">
        <f>IFERROR(__xludf.DUMMYFUNCTION("""COMPUTED_VALUE"""),186.43)</f>
        <v>186.43</v>
      </c>
      <c r="F7148" s="122">
        <f>IFERROR(__xludf.DUMMYFUNCTION("""COMPUTED_VALUE"""),-0.0108)</f>
        <v>-0.0108</v>
      </c>
    </row>
    <row r="7149">
      <c r="A7149" s="131">
        <f>IFERROR(__xludf.DUMMYFUNCTION("""COMPUTED_VALUE"""),46187.5883912037)</f>
        <v>46187.58839</v>
      </c>
      <c r="B7149" s="126">
        <f>IFERROR(__xludf.DUMMYFUNCTION("""COMPUTED_VALUE"""),46187.0)</f>
        <v>46187</v>
      </c>
      <c r="C7149" s="122" t="str">
        <f>IFERROR(__xludf.DUMMYFUNCTION("""COMPUTED_VALUE"""),"GAME")</f>
        <v>GAME</v>
      </c>
      <c r="D7149" s="122" t="str">
        <f>IFERROR(__xludf.DUMMYFUNCTION("""COMPUTED_VALUE"""),"GameBox Media")</f>
        <v>GameBox Media</v>
      </c>
      <c r="E7149" s="122">
        <f>IFERROR(__xludf.DUMMYFUNCTION("""COMPUTED_VALUE"""),103.07)</f>
        <v>103.07</v>
      </c>
      <c r="F7149" s="122">
        <f>IFERROR(__xludf.DUMMYFUNCTION("""COMPUTED_VALUE"""),0.0043)</f>
        <v>0.0043</v>
      </c>
    </row>
    <row r="7150">
      <c r="A7150" s="131">
        <f>IFERROR(__xludf.DUMMYFUNCTION("""COMPUTED_VALUE"""),46187.5883912037)</f>
        <v>46187.58839</v>
      </c>
      <c r="B7150" s="126">
        <f>IFERROR(__xludf.DUMMYFUNCTION("""COMPUTED_VALUE"""),46187.0)</f>
        <v>46187</v>
      </c>
      <c r="C7150" s="122" t="str">
        <f>IFERROR(__xludf.DUMMYFUNCTION("""COMPUTED_VALUE"""),"VRSE")</f>
        <v>VRSE</v>
      </c>
      <c r="D7150" s="122" t="str">
        <f>IFERROR(__xludf.DUMMYFUNCTION("""COMPUTED_VALUE"""),"VerseVR")</f>
        <v>VerseVR</v>
      </c>
      <c r="E7150" s="122">
        <f>IFERROR(__xludf.DUMMYFUNCTION("""COMPUTED_VALUE"""),149.28)</f>
        <v>149.28</v>
      </c>
      <c r="F7150" s="122">
        <f>IFERROR(__xludf.DUMMYFUNCTION("""COMPUTED_VALUE"""),0.0038)</f>
        <v>0.0038</v>
      </c>
    </row>
    <row r="7151">
      <c r="A7151" s="131">
        <f>IFERROR(__xludf.DUMMYFUNCTION("""COMPUTED_VALUE"""),46187.5883912037)</f>
        <v>46187.58839</v>
      </c>
      <c r="B7151" s="126">
        <f>IFERROR(__xludf.DUMMYFUNCTION("""COMPUTED_VALUE"""),46187.0)</f>
        <v>46187</v>
      </c>
      <c r="C7151" s="122" t="str">
        <f>IFERROR(__xludf.DUMMYFUNCTION("""COMPUTED_VALUE"""),"BYTE")</f>
        <v>BYTE</v>
      </c>
      <c r="D7151" s="122" t="str">
        <f>IFERROR(__xludf.DUMMYFUNCTION("""COMPUTED_VALUE"""),"ByteWorks")</f>
        <v>ByteWorks</v>
      </c>
      <c r="E7151" s="122">
        <f>IFERROR(__xludf.DUMMYFUNCTION("""COMPUTED_VALUE"""),117.6)</f>
        <v>117.6</v>
      </c>
      <c r="F7151" s="122">
        <f>IFERROR(__xludf.DUMMYFUNCTION("""COMPUTED_VALUE"""),0.0047)</f>
        <v>0.0047</v>
      </c>
    </row>
    <row r="7152">
      <c r="A7152" s="131">
        <f>IFERROR(__xludf.DUMMYFUNCTION("""COMPUTED_VALUE"""),46187.5883912037)</f>
        <v>46187.58839</v>
      </c>
      <c r="B7152" s="126">
        <f>IFERROR(__xludf.DUMMYFUNCTION("""COMPUTED_VALUE"""),46187.0)</f>
        <v>46187</v>
      </c>
      <c r="C7152" s="122" t="str">
        <f>IFERROR(__xludf.DUMMYFUNCTION("""COMPUTED_VALUE"""),"BANK")</f>
        <v>BANK</v>
      </c>
      <c r="D7152" s="122" t="str">
        <f>IFERROR(__xludf.DUMMYFUNCTION("""COMPUTED_VALUE"""),"Tiger Bank")</f>
        <v>Tiger Bank</v>
      </c>
      <c r="E7152" s="122">
        <f>IFERROR(__xludf.DUMMYFUNCTION("""COMPUTED_VALUE"""),131.06)</f>
        <v>131.06</v>
      </c>
      <c r="F7152" s="122">
        <f>IFERROR(__xludf.DUMMYFUNCTION("""COMPUTED_VALUE"""),0.0027)</f>
        <v>0.0027</v>
      </c>
    </row>
    <row r="7153">
      <c r="A7153" s="131">
        <f>IFERROR(__xludf.DUMMYFUNCTION("""COMPUTED_VALUE"""),46187.5883912037)</f>
        <v>46187.58839</v>
      </c>
      <c r="B7153" s="126">
        <f>IFERROR(__xludf.DUMMYFUNCTION("""COMPUTED_VALUE"""),46187.0)</f>
        <v>46187</v>
      </c>
      <c r="C7153" s="122" t="str">
        <f>IFERROR(__xludf.DUMMYFUNCTION("""COMPUTED_VALUE"""),"CRED")</f>
        <v>CRED</v>
      </c>
      <c r="D7153" s="122" t="str">
        <f>IFERROR(__xludf.DUMMYFUNCTION("""COMPUTED_VALUE"""),"Credit Castle")</f>
        <v>Credit Castle</v>
      </c>
      <c r="E7153" s="122">
        <f>IFERROR(__xludf.DUMMYFUNCTION("""COMPUTED_VALUE"""),66.68)</f>
        <v>66.68</v>
      </c>
      <c r="F7153" s="122">
        <f>IFERROR(__xludf.DUMMYFUNCTION("""COMPUTED_VALUE"""),-0.0043)</f>
        <v>-0.0043</v>
      </c>
    </row>
    <row r="7154">
      <c r="A7154" s="131">
        <f>IFERROR(__xludf.DUMMYFUNCTION("""COMPUTED_VALUE"""),46187.5883912037)</f>
        <v>46187.58839</v>
      </c>
      <c r="B7154" s="126">
        <f>IFERROR(__xludf.DUMMYFUNCTION("""COMPUTED_VALUE"""),46187.0)</f>
        <v>46187</v>
      </c>
      <c r="C7154" s="122" t="str">
        <f>IFERROR(__xludf.DUMMYFUNCTION("""COMPUTED_VALUE"""),"BOND")</f>
        <v>BOND</v>
      </c>
      <c r="D7154" s="122" t="str">
        <f>IFERROR(__xludf.DUMMYFUNCTION("""COMPUTED_VALUE"""),"BondBridge")</f>
        <v>BondBridge</v>
      </c>
      <c r="E7154" s="122">
        <f>IFERROR(__xludf.DUMMYFUNCTION("""COMPUTED_VALUE"""),103.44)</f>
        <v>103.44</v>
      </c>
      <c r="F7154" s="122">
        <f>IFERROR(__xludf.DUMMYFUNCTION("""COMPUTED_VALUE"""),7.0E-4)</f>
        <v>0.0007</v>
      </c>
    </row>
    <row r="7155">
      <c r="A7155" s="131">
        <f>IFERROR(__xludf.DUMMYFUNCTION("""COMPUTED_VALUE"""),46187.5883912037)</f>
        <v>46187.58839</v>
      </c>
      <c r="B7155" s="126">
        <f>IFERROR(__xludf.DUMMYFUNCTION("""COMPUTED_VALUE"""),46187.0)</f>
        <v>46187</v>
      </c>
      <c r="C7155" s="122" t="str">
        <f>IFERROR(__xludf.DUMMYFUNCTION("""COMPUTED_VALUE"""),"INSR")</f>
        <v>INSR</v>
      </c>
      <c r="D7155" s="122" t="str">
        <f>IFERROR(__xludf.DUMMYFUNCTION("""COMPUTED_VALUE"""),"Shield Insurance")</f>
        <v>Shield Insurance</v>
      </c>
      <c r="E7155" s="122">
        <f>IFERROR(__xludf.DUMMYFUNCTION("""COMPUTED_VALUE"""),157.2)</f>
        <v>157.2</v>
      </c>
      <c r="F7155" s="122">
        <f>IFERROR(__xludf.DUMMYFUNCTION("""COMPUTED_VALUE"""),-0.0037)</f>
        <v>-0.0037</v>
      </c>
    </row>
    <row r="7156">
      <c r="A7156" s="131">
        <f>IFERROR(__xludf.DUMMYFUNCTION("""COMPUTED_VALUE"""),46187.5883912037)</f>
        <v>46187.58839</v>
      </c>
      <c r="B7156" s="126">
        <f>IFERROR(__xludf.DUMMYFUNCTION("""COMPUTED_VALUE"""),46187.0)</f>
        <v>46187</v>
      </c>
      <c r="C7156" s="122" t="str">
        <f>IFERROR(__xludf.DUMMYFUNCTION("""COMPUTED_VALUE"""),"LOAN")</f>
        <v>LOAN</v>
      </c>
      <c r="D7156" s="122" t="str">
        <f>IFERROR(__xludf.DUMMYFUNCTION("""COMPUTED_VALUE"""),"LoanLab")</f>
        <v>LoanLab</v>
      </c>
      <c r="E7156" s="122">
        <f>IFERROR(__xludf.DUMMYFUNCTION("""COMPUTED_VALUE"""),69.58)</f>
        <v>69.58</v>
      </c>
      <c r="F7156" s="122">
        <f>IFERROR(__xludf.DUMMYFUNCTION("""COMPUTED_VALUE"""),-0.0016)</f>
        <v>-0.0016</v>
      </c>
    </row>
    <row r="7157">
      <c r="A7157" s="131">
        <f>IFERROR(__xludf.DUMMYFUNCTION("""COMPUTED_VALUE"""),46187.5883912037)</f>
        <v>46187.58839</v>
      </c>
      <c r="B7157" s="126">
        <f>IFERROR(__xludf.DUMMYFUNCTION("""COMPUTED_VALUE"""),46187.0)</f>
        <v>46187</v>
      </c>
      <c r="C7157" s="122" t="str">
        <f>IFERROR(__xludf.DUMMYFUNCTION("""COMPUTED_VALUE"""),"LUXE")</f>
        <v>LUXE</v>
      </c>
      <c r="D7157" s="122" t="str">
        <f>IFERROR(__xludf.DUMMYFUNCTION("""COMPUTED_VALUE"""),"Luxury Locker")</f>
        <v>Luxury Locker</v>
      </c>
      <c r="E7157" s="122">
        <f>IFERROR(__xludf.DUMMYFUNCTION("""COMPUTED_VALUE"""),263.73)</f>
        <v>263.73</v>
      </c>
      <c r="F7157" s="122">
        <f>IFERROR(__xludf.DUMMYFUNCTION("""COMPUTED_VALUE"""),-0.005)</f>
        <v>-0.005</v>
      </c>
    </row>
    <row r="7158">
      <c r="A7158" s="131">
        <f>IFERROR(__xludf.DUMMYFUNCTION("""COMPUTED_VALUE"""),46187.5883912037)</f>
        <v>46187.58839</v>
      </c>
      <c r="B7158" s="126">
        <f>IFERROR(__xludf.DUMMYFUNCTION("""COMPUTED_VALUE"""),46187.0)</f>
        <v>46187</v>
      </c>
      <c r="C7158" s="122" t="str">
        <f>IFERROR(__xludf.DUMMYFUNCTION("""COMPUTED_VALUE"""),"DRIP")</f>
        <v>DRIP</v>
      </c>
      <c r="D7158" s="122" t="str">
        <f>IFERROR(__xludf.DUMMYFUNCTION("""COMPUTED_VALUE"""),"Drip Streetwear")</f>
        <v>Drip Streetwear</v>
      </c>
      <c r="E7158" s="122">
        <f>IFERROR(__xludf.DUMMYFUNCTION("""COMPUTED_VALUE"""),193.13)</f>
        <v>193.13</v>
      </c>
      <c r="F7158" s="122">
        <f>IFERROR(__xludf.DUMMYFUNCTION("""COMPUTED_VALUE"""),0.0048)</f>
        <v>0.0048</v>
      </c>
    </row>
    <row r="7159">
      <c r="A7159" s="131">
        <f>IFERROR(__xludf.DUMMYFUNCTION("""COMPUTED_VALUE"""),46187.5883912037)</f>
        <v>46187.58839</v>
      </c>
      <c r="B7159" s="126">
        <f>IFERROR(__xludf.DUMMYFUNCTION("""COMPUTED_VALUE"""),46187.0)</f>
        <v>46187</v>
      </c>
      <c r="C7159" s="122" t="str">
        <f>IFERROR(__xludf.DUMMYFUNCTION("""COMPUTED_VALUE"""),"KICK")</f>
        <v>KICK</v>
      </c>
      <c r="D7159" s="122" t="str">
        <f>IFERROR(__xludf.DUMMYFUNCTION("""COMPUTED_VALUE"""),"KickDrop Sneakers")</f>
        <v>KickDrop Sneakers</v>
      </c>
      <c r="E7159" s="122">
        <f>IFERROR(__xludf.DUMMYFUNCTION("""COMPUTED_VALUE"""),168.0)</f>
        <v>168</v>
      </c>
      <c r="F7159" s="122">
        <f>IFERROR(__xludf.DUMMYFUNCTION("""COMPUTED_VALUE"""),-0.0016)</f>
        <v>-0.0016</v>
      </c>
    </row>
    <row r="7160">
      <c r="A7160" s="131">
        <f>IFERROR(__xludf.DUMMYFUNCTION("""COMPUTED_VALUE"""),46187.5883912037)</f>
        <v>46187.58839</v>
      </c>
      <c r="B7160" s="126">
        <f>IFERROR(__xludf.DUMMYFUNCTION("""COMPUTED_VALUE"""),46187.0)</f>
        <v>46187</v>
      </c>
      <c r="C7160" s="122" t="str">
        <f>IFERROR(__xludf.DUMMYFUNCTION("""COMPUTED_VALUE"""),"GLAM")</f>
        <v>GLAM</v>
      </c>
      <c r="D7160" s="122" t="str">
        <f>IFERROR(__xludf.DUMMYFUNCTION("""COMPUTED_VALUE"""),"Glow Cosmetics")</f>
        <v>Glow Cosmetics</v>
      </c>
      <c r="E7160" s="122">
        <f>IFERROR(__xludf.DUMMYFUNCTION("""COMPUTED_VALUE"""),109.49)</f>
        <v>109.49</v>
      </c>
      <c r="F7160" s="122">
        <f>IFERROR(__xludf.DUMMYFUNCTION("""COMPUTED_VALUE"""),-0.0035)</f>
        <v>-0.0035</v>
      </c>
    </row>
    <row r="7161">
      <c r="A7161" s="131">
        <f>IFERROR(__xludf.DUMMYFUNCTION("""COMPUTED_VALUE"""),46187.5883912037)</f>
        <v>46187.58839</v>
      </c>
      <c r="B7161" s="126">
        <f>IFERROR(__xludf.DUMMYFUNCTION("""COMPUTED_VALUE"""),46187.0)</f>
        <v>46187</v>
      </c>
      <c r="C7161" s="122" t="str">
        <f>IFERROR(__xludf.DUMMYFUNCTION("""COMPUTED_VALUE"""),"BAGG")</f>
        <v>BAGG</v>
      </c>
      <c r="D7161" s="122" t="str">
        <f>IFERROR(__xludf.DUMMYFUNCTION("""COMPUTED_VALUE"""),"BagVault")</f>
        <v>BagVault</v>
      </c>
      <c r="E7161" s="122">
        <f>IFERROR(__xludf.DUMMYFUNCTION("""COMPUTED_VALUE"""),272.22)</f>
        <v>272.22</v>
      </c>
      <c r="F7161" s="122">
        <f>IFERROR(__xludf.DUMMYFUNCTION("""COMPUTED_VALUE"""),0.0032)</f>
        <v>0.0032</v>
      </c>
    </row>
    <row r="7162">
      <c r="A7162" s="131">
        <f>IFERROR(__xludf.DUMMYFUNCTION("""COMPUTED_VALUE"""),46187.5883912037)</f>
        <v>46187.58839</v>
      </c>
      <c r="B7162" s="126">
        <f>IFERROR(__xludf.DUMMYFUNCTION("""COMPUTED_VALUE"""),46187.0)</f>
        <v>46187</v>
      </c>
      <c r="C7162" s="122" t="str">
        <f>IFERROR(__xludf.DUMMYFUNCTION("""COMPUTED_VALUE"""),"FAST")</f>
        <v>FAST</v>
      </c>
      <c r="D7162" s="122" t="str">
        <f>IFERROR(__xludf.DUMMYFUNCTION("""COMPUTED_VALUE"""),"Flash Logistics")</f>
        <v>Flash Logistics</v>
      </c>
      <c r="E7162" s="122">
        <f>IFERROR(__xludf.DUMMYFUNCTION("""COMPUTED_VALUE"""),107.95)</f>
        <v>107.95</v>
      </c>
      <c r="F7162" s="122">
        <f>IFERROR(__xludf.DUMMYFUNCTION("""COMPUTED_VALUE"""),0.0)</f>
        <v>0</v>
      </c>
    </row>
    <row r="7163">
      <c r="A7163" s="131">
        <f>IFERROR(__xludf.DUMMYFUNCTION("""COMPUTED_VALUE"""),46187.5883912037)</f>
        <v>46187.58839</v>
      </c>
      <c r="B7163" s="126">
        <f>IFERROR(__xludf.DUMMYFUNCTION("""COMPUTED_VALUE"""),46187.0)</f>
        <v>46187</v>
      </c>
      <c r="C7163" s="122" t="str">
        <f>IFERROR(__xludf.DUMMYFUNCTION("""COMPUTED_VALUE"""),"SHIP")</f>
        <v>SHIP</v>
      </c>
      <c r="D7163" s="122" t="str">
        <f>IFERROR(__xludf.DUMMYFUNCTION("""COMPUTED_VALUE"""),"Seoul Shipping")</f>
        <v>Seoul Shipping</v>
      </c>
      <c r="E7163" s="122">
        <f>IFERROR(__xludf.DUMMYFUNCTION("""COMPUTED_VALUE"""),128.78)</f>
        <v>128.78</v>
      </c>
      <c r="F7163" s="122">
        <f>IFERROR(__xludf.DUMMYFUNCTION("""COMPUTED_VALUE"""),-0.0043)</f>
        <v>-0.0043</v>
      </c>
    </row>
    <row r="7164">
      <c r="A7164" s="131">
        <f>IFERROR(__xludf.DUMMYFUNCTION("""COMPUTED_VALUE"""),46187.5883912037)</f>
        <v>46187.58839</v>
      </c>
      <c r="B7164" s="126">
        <f>IFERROR(__xludf.DUMMYFUNCTION("""COMPUTED_VALUE"""),46187.0)</f>
        <v>46187</v>
      </c>
      <c r="C7164" s="122" t="str">
        <f>IFERROR(__xludf.DUMMYFUNCTION("""COMPUTED_VALUE"""),"DRON")</f>
        <v>DRON</v>
      </c>
      <c r="D7164" s="122" t="str">
        <f>IFERROR(__xludf.DUMMYFUNCTION("""COMPUTED_VALUE"""),"DroneDrop")</f>
        <v>DroneDrop</v>
      </c>
      <c r="E7164" s="122">
        <f>IFERROR(__xludf.DUMMYFUNCTION("""COMPUTED_VALUE"""),126.36)</f>
        <v>126.36</v>
      </c>
      <c r="F7164" s="122">
        <f>IFERROR(__xludf.DUMMYFUNCTION("""COMPUTED_VALUE"""),-0.008)</f>
        <v>-0.008</v>
      </c>
    </row>
    <row r="7165">
      <c r="A7165" s="131">
        <f>IFERROR(__xludf.DUMMYFUNCTION("""COMPUTED_VALUE"""),46187.5883912037)</f>
        <v>46187.58839</v>
      </c>
      <c r="B7165" s="126">
        <f>IFERROR(__xludf.DUMMYFUNCTION("""COMPUTED_VALUE"""),46187.0)</f>
        <v>46187</v>
      </c>
      <c r="C7165" s="122" t="str">
        <f>IFERROR(__xludf.DUMMYFUNCTION("""COMPUTED_VALUE"""),"RIDE")</f>
        <v>RIDE</v>
      </c>
      <c r="D7165" s="122" t="str">
        <f>IFERROR(__xludf.DUMMYFUNCTION("""COMPUTED_VALUE"""),"QuickRide")</f>
        <v>QuickRide</v>
      </c>
      <c r="E7165" s="122">
        <f>IFERROR(__xludf.DUMMYFUNCTION("""COMPUTED_VALUE"""),101.96)</f>
        <v>101.96</v>
      </c>
      <c r="F7165" s="122">
        <f>IFERROR(__xludf.DUMMYFUNCTION("""COMPUTED_VALUE"""),0.0082)</f>
        <v>0.0082</v>
      </c>
    </row>
    <row r="7166">
      <c r="A7166" s="131">
        <f>IFERROR(__xludf.DUMMYFUNCTION("""COMPUTED_VALUE"""),46187.5883912037)</f>
        <v>46187.58839</v>
      </c>
      <c r="B7166" s="126">
        <f>IFERROR(__xludf.DUMMYFUNCTION("""COMPUTED_VALUE"""),46187.0)</f>
        <v>46187</v>
      </c>
      <c r="C7166" s="122" t="str">
        <f>IFERROR(__xludf.DUMMYFUNCTION("""COMPUTED_VALUE"""),"RAIL")</f>
        <v>RAIL</v>
      </c>
      <c r="D7166" s="122" t="str">
        <f>IFERROR(__xludf.DUMMYFUNCTION("""COMPUTED_VALUE"""),"MetroRail Corp")</f>
        <v>MetroRail Corp</v>
      </c>
      <c r="E7166" s="122">
        <f>IFERROR(__xludf.DUMMYFUNCTION("""COMPUTED_VALUE"""),131.02)</f>
        <v>131.02</v>
      </c>
      <c r="F7166" s="122">
        <f>IFERROR(__xludf.DUMMYFUNCTION("""COMPUTED_VALUE"""),2.0E-4)</f>
        <v>0.0002</v>
      </c>
    </row>
    <row r="7167">
      <c r="A7167" s="131">
        <f>IFERROR(__xludf.DUMMYFUNCTION("""COMPUTED_VALUE"""),46187.5883912037)</f>
        <v>46187.58839</v>
      </c>
      <c r="B7167" s="126">
        <f>IFERROR(__xludf.DUMMYFUNCTION("""COMPUTED_VALUE"""),46187.0)</f>
        <v>46187</v>
      </c>
      <c r="C7167" s="122" t="str">
        <f>IFERROR(__xludf.DUMMYFUNCTION("""COMPUTED_VALUE"""),"MEDX")</f>
        <v>MEDX</v>
      </c>
      <c r="D7167" s="122" t="str">
        <f>IFERROR(__xludf.DUMMYFUNCTION("""COMPUTED_VALUE"""),"MediCore")</f>
        <v>MediCore</v>
      </c>
      <c r="E7167" s="122">
        <f>IFERROR(__xludf.DUMMYFUNCTION("""COMPUTED_VALUE"""),138.41)</f>
        <v>138.41</v>
      </c>
      <c r="F7167" s="122">
        <f>IFERROR(__xludf.DUMMYFUNCTION("""COMPUTED_VALUE"""),-0.0034)</f>
        <v>-0.0034</v>
      </c>
    </row>
    <row r="7168">
      <c r="A7168" s="131">
        <f>IFERROR(__xludf.DUMMYFUNCTION("""COMPUTED_VALUE"""),46187.5883912037)</f>
        <v>46187.58839</v>
      </c>
      <c r="B7168" s="126">
        <f>IFERROR(__xludf.DUMMYFUNCTION("""COMPUTED_VALUE"""),46187.0)</f>
        <v>46187</v>
      </c>
      <c r="C7168" s="122" t="str">
        <f>IFERROR(__xludf.DUMMYFUNCTION("""COMPUTED_VALUE"""),"GYMX")</f>
        <v>GYMX</v>
      </c>
      <c r="D7168" s="122" t="str">
        <f>IFERROR(__xludf.DUMMYFUNCTION("""COMPUTED_VALUE"""),"GymX Fitness")</f>
        <v>GymX Fitness</v>
      </c>
      <c r="E7168" s="122">
        <f>IFERROR(__xludf.DUMMYFUNCTION("""COMPUTED_VALUE"""),85.51)</f>
        <v>85.51</v>
      </c>
      <c r="F7168" s="122">
        <f>IFERROR(__xludf.DUMMYFUNCTION("""COMPUTED_VALUE"""),2.0E-4)</f>
        <v>0.0002</v>
      </c>
    </row>
    <row r="7169">
      <c r="A7169" s="131">
        <f>IFERROR(__xludf.DUMMYFUNCTION("""COMPUTED_VALUE"""),46187.5883912037)</f>
        <v>46187.58839</v>
      </c>
      <c r="B7169" s="126">
        <f>IFERROR(__xludf.DUMMYFUNCTION("""COMPUTED_VALUE"""),46187.0)</f>
        <v>46187</v>
      </c>
      <c r="C7169" s="122" t="str">
        <f>IFERROR(__xludf.DUMMYFUNCTION("""COMPUTED_VALUE"""),"VITA")</f>
        <v>VITA</v>
      </c>
      <c r="D7169" s="122" t="str">
        <f>IFERROR(__xludf.DUMMYFUNCTION("""COMPUTED_VALUE"""),"VitaPlus")</f>
        <v>VitaPlus</v>
      </c>
      <c r="E7169" s="122">
        <f>IFERROR(__xludf.DUMMYFUNCTION("""COMPUTED_VALUE"""),72.61)</f>
        <v>72.61</v>
      </c>
      <c r="F7169" s="122">
        <f>IFERROR(__xludf.DUMMYFUNCTION("""COMPUTED_VALUE"""),8.0E-4)</f>
        <v>0.0008</v>
      </c>
    </row>
    <row r="7170">
      <c r="A7170" s="131">
        <f>IFERROR(__xludf.DUMMYFUNCTION("""COMPUTED_VALUE"""),46187.5883912037)</f>
        <v>46187.58839</v>
      </c>
      <c r="B7170" s="126">
        <f>IFERROR(__xludf.DUMMYFUNCTION("""COMPUTED_VALUE"""),46187.0)</f>
        <v>46187</v>
      </c>
      <c r="C7170" s="122" t="str">
        <f>IFERROR(__xludf.DUMMYFUNCTION("""COMPUTED_VALUE"""),"CARE")</f>
        <v>CARE</v>
      </c>
      <c r="D7170" s="122" t="str">
        <f>IFERROR(__xludf.DUMMYFUNCTION("""COMPUTED_VALUE"""),"CareCloud")</f>
        <v>CareCloud</v>
      </c>
      <c r="E7170" s="122">
        <f>IFERROR(__xludf.DUMMYFUNCTION("""COMPUTED_VALUE"""),183.14)</f>
        <v>183.14</v>
      </c>
      <c r="F7170" s="122">
        <f>IFERROR(__xludf.DUMMYFUNCTION("""COMPUTED_VALUE"""),0.0061)</f>
        <v>0.0061</v>
      </c>
    </row>
    <row r="7171">
      <c r="A7171" s="131">
        <f>IFERROR(__xludf.DUMMYFUNCTION("""COMPUTED_VALUE"""),46187.5883912037)</f>
        <v>46187.58839</v>
      </c>
      <c r="B7171" s="126">
        <f>IFERROR(__xludf.DUMMYFUNCTION("""COMPUTED_VALUE"""),46187.0)</f>
        <v>46187</v>
      </c>
      <c r="C7171" s="122" t="str">
        <f>IFERROR(__xludf.DUMMYFUNCTION("""COMPUTED_VALUE"""),"DENT")</f>
        <v>DENT</v>
      </c>
      <c r="D7171" s="122" t="str">
        <f>IFERROR(__xludf.DUMMYFUNCTION("""COMPUTED_VALUE"""),"SmileWorks")</f>
        <v>SmileWorks</v>
      </c>
      <c r="E7171" s="122">
        <f>IFERROR(__xludf.DUMMYFUNCTION("""COMPUTED_VALUE"""),94.97)</f>
        <v>94.97</v>
      </c>
      <c r="F7171" s="122">
        <f>IFERROR(__xludf.DUMMYFUNCTION("""COMPUTED_VALUE"""),0.0043)</f>
        <v>0.0043</v>
      </c>
    </row>
    <row r="7172">
      <c r="A7172" s="131">
        <f>IFERROR(__xludf.DUMMYFUNCTION("""COMPUTED_VALUE"""),46187.5883912037)</f>
        <v>46187.58839</v>
      </c>
      <c r="B7172" s="126">
        <f>IFERROR(__xludf.DUMMYFUNCTION("""COMPUTED_VALUE"""),46187.0)</f>
        <v>46187</v>
      </c>
      <c r="C7172" s="122" t="str">
        <f>IFERROR(__xludf.DUMMYFUNCTION("""COMPUTED_VALUE"""),"EDUX")</f>
        <v>EDUX</v>
      </c>
      <c r="D7172" s="122" t="str">
        <f>IFERROR(__xludf.DUMMYFUNCTION("""COMPUTED_VALUE"""),"EduMax Learning")</f>
        <v>EduMax Learning</v>
      </c>
      <c r="E7172" s="122">
        <f>IFERROR(__xludf.DUMMYFUNCTION("""COMPUTED_VALUE"""),146.45)</f>
        <v>146.45</v>
      </c>
      <c r="F7172" s="122">
        <f>IFERROR(__xludf.DUMMYFUNCTION("""COMPUTED_VALUE"""),0.0036)</f>
        <v>0.0036</v>
      </c>
    </row>
    <row r="7173">
      <c r="A7173" s="131">
        <f>IFERROR(__xludf.DUMMYFUNCTION("""COMPUTED_VALUE"""),46187.5883912037)</f>
        <v>46187.58839</v>
      </c>
      <c r="B7173" s="126">
        <f>IFERROR(__xludf.DUMMYFUNCTION("""COMPUTED_VALUE"""),46187.0)</f>
        <v>46187</v>
      </c>
      <c r="C7173" s="122" t="str">
        <f>IFERROR(__xludf.DUMMYFUNCTION("""COMPUTED_VALUE"""),"BOOK")</f>
        <v>BOOK</v>
      </c>
      <c r="D7173" s="122" t="str">
        <f>IFERROR(__xludf.DUMMYFUNCTION("""COMPUTED_VALUE"""),"BookBridge")</f>
        <v>BookBridge</v>
      </c>
      <c r="E7173" s="122">
        <f>IFERROR(__xludf.DUMMYFUNCTION("""COMPUTED_VALUE"""),118.94)</f>
        <v>118.94</v>
      </c>
      <c r="F7173" s="122">
        <f>IFERROR(__xludf.DUMMYFUNCTION("""COMPUTED_VALUE"""),-0.0031)</f>
        <v>-0.0031</v>
      </c>
    </row>
    <row r="7174">
      <c r="A7174" s="131">
        <f>IFERROR(__xludf.DUMMYFUNCTION("""COMPUTED_VALUE"""),46187.5883912037)</f>
        <v>46187.58839</v>
      </c>
      <c r="B7174" s="126">
        <f>IFERROR(__xludf.DUMMYFUNCTION("""COMPUTED_VALUE"""),46187.0)</f>
        <v>46187</v>
      </c>
      <c r="C7174" s="122" t="str">
        <f>IFERROR(__xludf.DUMMYFUNCTION("""COMPUTED_VALUE"""),"TUTR")</f>
        <v>TUTR</v>
      </c>
      <c r="D7174" s="122" t="str">
        <f>IFERROR(__xludf.DUMMYFUNCTION("""COMPUTED_VALUE"""),"TutorTown")</f>
        <v>TutorTown</v>
      </c>
      <c r="E7174" s="122">
        <f>IFERROR(__xludf.DUMMYFUNCTION("""COMPUTED_VALUE"""),90.24)</f>
        <v>90.24</v>
      </c>
      <c r="F7174" s="122">
        <f>IFERROR(__xludf.DUMMYFUNCTION("""COMPUTED_VALUE"""),-0.0022)</f>
        <v>-0.0022</v>
      </c>
    </row>
    <row r="7175">
      <c r="A7175" s="131">
        <f>IFERROR(__xludf.DUMMYFUNCTION("""COMPUTED_VALUE"""),46187.5883912037)</f>
        <v>46187.58839</v>
      </c>
      <c r="B7175" s="126">
        <f>IFERROR(__xludf.DUMMYFUNCTION("""COMPUTED_VALUE"""),46187.0)</f>
        <v>46187</v>
      </c>
      <c r="C7175" s="122" t="str">
        <f>IFERROR(__xludf.DUMMYFUNCTION("""COMPUTED_VALUE"""),"LANG")</f>
        <v>LANG</v>
      </c>
      <c r="D7175" s="122" t="str">
        <f>IFERROR(__xludf.DUMMYFUNCTION("""COMPUTED_VALUE"""),"LinguaLab")</f>
        <v>LinguaLab</v>
      </c>
      <c r="E7175" s="122">
        <f>IFERROR(__xludf.DUMMYFUNCTION("""COMPUTED_VALUE"""),100.87)</f>
        <v>100.87</v>
      </c>
      <c r="F7175" s="122">
        <f>IFERROR(__xludf.DUMMYFUNCTION("""COMPUTED_VALUE"""),0.0049)</f>
        <v>0.0049</v>
      </c>
    </row>
    <row r="7176">
      <c r="A7176" s="131">
        <f>IFERROR(__xludf.DUMMYFUNCTION("""COMPUTED_VALUE"""),46187.5883912037)</f>
        <v>46187.58839</v>
      </c>
      <c r="B7176" s="126">
        <f>IFERROR(__xludf.DUMMYFUNCTION("""COMPUTED_VALUE"""),46187.0)</f>
        <v>46187</v>
      </c>
      <c r="C7176" s="122" t="str">
        <f>IFERROR(__xludf.DUMMYFUNCTION("""COMPUTED_VALUE"""),"TEST")</f>
        <v>TEST</v>
      </c>
      <c r="D7176" s="122" t="str">
        <f>IFERROR(__xludf.DUMMYFUNCTION("""COMPUTED_VALUE"""),"TestPrep Pro")</f>
        <v>TestPrep Pro</v>
      </c>
      <c r="E7176" s="122">
        <f>IFERROR(__xludf.DUMMYFUNCTION("""COMPUTED_VALUE"""),91.12)</f>
        <v>91.12</v>
      </c>
      <c r="F7176" s="122">
        <f>IFERROR(__xludf.DUMMYFUNCTION("""COMPUTED_VALUE"""),5.0E-4)</f>
        <v>0.0005</v>
      </c>
    </row>
    <row r="7177">
      <c r="A7177" s="131">
        <f>IFERROR(__xludf.DUMMYFUNCTION("""COMPUTED_VALUE"""),46187.5883912037)</f>
        <v>46187.58839</v>
      </c>
      <c r="B7177" s="126">
        <f>IFERROR(__xludf.DUMMYFUNCTION("""COMPUTED_VALUE"""),46187.0)</f>
        <v>46187</v>
      </c>
      <c r="C7177" s="122" t="str">
        <f>IFERROR(__xludf.DUMMYFUNCTION("""COMPUTED_VALUE"""),"MOVI")</f>
        <v>MOVI</v>
      </c>
      <c r="D7177" s="122" t="str">
        <f>IFERROR(__xludf.DUMMYFUNCTION("""COMPUTED_VALUE"""),"MovieBox")</f>
        <v>MovieBox</v>
      </c>
      <c r="E7177" s="122">
        <f>IFERROR(__xludf.DUMMYFUNCTION("""COMPUTED_VALUE"""),84.1)</f>
        <v>84.1</v>
      </c>
      <c r="F7177" s="122">
        <f>IFERROR(__xludf.DUMMYFUNCTION("""COMPUTED_VALUE"""),0.0019)</f>
        <v>0.0019</v>
      </c>
    </row>
    <row r="7178">
      <c r="A7178" s="131">
        <f>IFERROR(__xludf.DUMMYFUNCTION("""COMPUTED_VALUE"""),46187.5883912037)</f>
        <v>46187.58839</v>
      </c>
      <c r="B7178" s="126">
        <f>IFERROR(__xludf.DUMMYFUNCTION("""COMPUTED_VALUE"""),46187.0)</f>
        <v>46187</v>
      </c>
      <c r="C7178" s="122" t="str">
        <f>IFERROR(__xludf.DUMMYFUNCTION("""COMPUTED_VALUE"""),"MUSC")</f>
        <v>MUSC</v>
      </c>
      <c r="D7178" s="122" t="str">
        <f>IFERROR(__xludf.DUMMYFUNCTION("""COMPUTED_VALUE"""),"MusicWave")</f>
        <v>MusicWave</v>
      </c>
      <c r="E7178" s="122">
        <f>IFERROR(__xludf.DUMMYFUNCTION("""COMPUTED_VALUE"""),102.49)</f>
        <v>102.49</v>
      </c>
      <c r="F7178" s="122">
        <f>IFERROR(__xludf.DUMMYFUNCTION("""COMPUTED_VALUE"""),0.0057)</f>
        <v>0.0057</v>
      </c>
    </row>
    <row r="7179">
      <c r="A7179" s="131">
        <f>IFERROR(__xludf.DUMMYFUNCTION("""COMPUTED_VALUE"""),46187.5883912037)</f>
        <v>46187.58839</v>
      </c>
      <c r="B7179" s="126">
        <f>IFERROR(__xludf.DUMMYFUNCTION("""COMPUTED_VALUE"""),46187.0)</f>
        <v>46187</v>
      </c>
      <c r="C7179" s="122" t="str">
        <f>IFERROR(__xludf.DUMMYFUNCTION("""COMPUTED_VALUE"""),"IDOL")</f>
        <v>IDOL</v>
      </c>
      <c r="D7179" s="122" t="str">
        <f>IFERROR(__xludf.DUMMYFUNCTION("""COMPUTED_VALUE"""),"Idol Agency")</f>
        <v>Idol Agency</v>
      </c>
      <c r="E7179" s="122">
        <f>IFERROR(__xludf.DUMMYFUNCTION("""COMPUTED_VALUE"""),188.89)</f>
        <v>188.89</v>
      </c>
      <c r="F7179" s="122">
        <f>IFERROR(__xludf.DUMMYFUNCTION("""COMPUTED_VALUE"""),0.0027)</f>
        <v>0.0027</v>
      </c>
    </row>
    <row r="7180">
      <c r="A7180" s="131">
        <f>IFERROR(__xludf.DUMMYFUNCTION("""COMPUTED_VALUE"""),46187.5883912037)</f>
        <v>46187.58839</v>
      </c>
      <c r="B7180" s="126">
        <f>IFERROR(__xludf.DUMMYFUNCTION("""COMPUTED_VALUE"""),46187.0)</f>
        <v>46187</v>
      </c>
      <c r="C7180" s="122" t="str">
        <f>IFERROR(__xludf.DUMMYFUNCTION("""COMPUTED_VALUE"""),"MEME")</f>
        <v>MEME</v>
      </c>
      <c r="D7180" s="122" t="str">
        <f>IFERROR(__xludf.DUMMYFUNCTION("""COMPUTED_VALUE"""),"Meme Media")</f>
        <v>Meme Media</v>
      </c>
      <c r="E7180" s="122">
        <f>IFERROR(__xludf.DUMMYFUNCTION("""COMPUTED_VALUE"""),72.7)</f>
        <v>72.7</v>
      </c>
      <c r="F7180" s="122">
        <f>IFERROR(__xludf.DUMMYFUNCTION("""COMPUTED_VALUE"""),0.0071)</f>
        <v>0.0071</v>
      </c>
    </row>
    <row r="7181">
      <c r="A7181" s="131">
        <f>IFERROR(__xludf.DUMMYFUNCTION("""COMPUTED_VALUE"""),46187.5883912037)</f>
        <v>46187.58839</v>
      </c>
      <c r="B7181" s="126">
        <f>IFERROR(__xludf.DUMMYFUNCTION("""COMPUTED_VALUE"""),46187.0)</f>
        <v>46187</v>
      </c>
      <c r="C7181" s="122" t="str">
        <f>IFERROR(__xludf.DUMMYFUNCTION("""COMPUTED_VALUE"""),"STRM")</f>
        <v>STRM</v>
      </c>
      <c r="D7181" s="122" t="str">
        <f>IFERROR(__xludf.DUMMYFUNCTION("""COMPUTED_VALUE"""),"Streamly")</f>
        <v>Streamly</v>
      </c>
      <c r="E7181" s="122">
        <f>IFERROR(__xludf.DUMMYFUNCTION("""COMPUTED_VALUE"""),136.9)</f>
        <v>136.9</v>
      </c>
      <c r="F7181" s="122">
        <f>IFERROR(__xludf.DUMMYFUNCTION("""COMPUTED_VALUE"""),-0.0042)</f>
        <v>-0.0042</v>
      </c>
    </row>
    <row r="7182">
      <c r="A7182" s="131">
        <f>IFERROR(__xludf.DUMMYFUNCTION("""COMPUTED_VALUE"""),46187.5883912037)</f>
        <v>46187.58839</v>
      </c>
      <c r="B7182" s="126">
        <f>IFERROR(__xludf.DUMMYFUNCTION("""COMPUTED_VALUE"""),46187.0)</f>
        <v>46187</v>
      </c>
      <c r="C7182" s="122" t="str">
        <f>IFERROR(__xludf.DUMMYFUNCTION("""COMPUTED_VALUE"""),"FARM")</f>
        <v>FARM</v>
      </c>
      <c r="D7182" s="122" t="str">
        <f>IFERROR(__xludf.DUMMYFUNCTION("""COMPUTED_VALUE"""),"Future Farms")</f>
        <v>Future Farms</v>
      </c>
      <c r="E7182" s="122">
        <f>IFERROR(__xludf.DUMMYFUNCTION("""COMPUTED_VALUE"""),94.8)</f>
        <v>94.8</v>
      </c>
      <c r="F7182" s="122">
        <f>IFERROR(__xludf.DUMMYFUNCTION("""COMPUTED_VALUE"""),0.0055)</f>
        <v>0.0055</v>
      </c>
    </row>
    <row r="7183">
      <c r="A7183" s="131">
        <f>IFERROR(__xludf.DUMMYFUNCTION("""COMPUTED_VALUE"""),46187.5883912037)</f>
        <v>46187.58839</v>
      </c>
      <c r="B7183" s="126">
        <f>IFERROR(__xludf.DUMMYFUNCTION("""COMPUTED_VALUE"""),46187.0)</f>
        <v>46187</v>
      </c>
      <c r="C7183" s="122" t="str">
        <f>IFERROR(__xludf.DUMMYFUNCTION("""COMPUTED_VALUE"""),"MEAT")</f>
        <v>MEAT</v>
      </c>
      <c r="D7183" s="122" t="str">
        <f>IFERROR(__xludf.DUMMYFUNCTION("""COMPUTED_VALUE"""),"MeatWorks")</f>
        <v>MeatWorks</v>
      </c>
      <c r="E7183" s="122">
        <f>IFERROR(__xludf.DUMMYFUNCTION("""COMPUTED_VALUE"""),105.84)</f>
        <v>105.84</v>
      </c>
      <c r="F7183" s="122">
        <f>IFERROR(__xludf.DUMMYFUNCTION("""COMPUTED_VALUE"""),-0.0021)</f>
        <v>-0.0021</v>
      </c>
    </row>
    <row r="7184">
      <c r="A7184" s="131">
        <f>IFERROR(__xludf.DUMMYFUNCTION("""COMPUTED_VALUE"""),46187.5883912037)</f>
        <v>46187.58839</v>
      </c>
      <c r="B7184" s="126">
        <f>IFERROR(__xludf.DUMMYFUNCTION("""COMPUTED_VALUE"""),46187.0)</f>
        <v>46187</v>
      </c>
      <c r="C7184" s="122" t="str">
        <f>IFERROR(__xludf.DUMMYFUNCTION("""COMPUTED_VALUE"""),"VEGI")</f>
        <v>VEGI</v>
      </c>
      <c r="D7184" s="122" t="str">
        <f>IFERROR(__xludf.DUMMYFUNCTION("""COMPUTED_VALUE"""),"Green Basket")</f>
        <v>Green Basket</v>
      </c>
      <c r="E7184" s="122">
        <f>IFERROR(__xludf.DUMMYFUNCTION("""COMPUTED_VALUE"""),77.89)</f>
        <v>77.89</v>
      </c>
      <c r="F7184" s="122">
        <f>IFERROR(__xludf.DUMMYFUNCTION("""COMPUTED_VALUE"""),-0.002)</f>
        <v>-0.002</v>
      </c>
    </row>
    <row r="7185">
      <c r="A7185" s="131">
        <f>IFERROR(__xludf.DUMMYFUNCTION("""COMPUTED_VALUE"""),46187.5883912037)</f>
        <v>46187.58839</v>
      </c>
      <c r="B7185" s="126">
        <f>IFERROR(__xludf.DUMMYFUNCTION("""COMPUTED_VALUE"""),46187.0)</f>
        <v>46187</v>
      </c>
      <c r="C7185" s="122" t="str">
        <f>IFERROR(__xludf.DUMMYFUNCTION("""COMPUTED_VALUE"""),"CAFE")</f>
        <v>CAFE</v>
      </c>
      <c r="D7185" s="122" t="str">
        <f>IFERROR(__xludf.DUMMYFUNCTION("""COMPUTED_VALUE"""),"Cafe Cloud")</f>
        <v>Cafe Cloud</v>
      </c>
      <c r="E7185" s="122">
        <f>IFERROR(__xludf.DUMMYFUNCTION("""COMPUTED_VALUE"""),100.93)</f>
        <v>100.93</v>
      </c>
      <c r="F7185" s="122">
        <f>IFERROR(__xludf.DUMMYFUNCTION("""COMPUTED_VALUE"""),-2.0E-4)</f>
        <v>-0.0002</v>
      </c>
    </row>
    <row r="7186">
      <c r="A7186" s="131">
        <f>IFERROR(__xludf.DUMMYFUNCTION("""COMPUTED_VALUE"""),46187.5883912037)</f>
        <v>46187.58839</v>
      </c>
      <c r="B7186" s="126">
        <f>IFERROR(__xludf.DUMMYFUNCTION("""COMPUTED_VALUE"""),46187.0)</f>
        <v>46187</v>
      </c>
      <c r="C7186" s="122" t="str">
        <f>IFERROR(__xludf.DUMMYFUNCTION("""COMPUTED_VALUE"""),"BAKE")</f>
        <v>BAKE</v>
      </c>
      <c r="D7186" s="122" t="str">
        <f>IFERROR(__xludf.DUMMYFUNCTION("""COMPUTED_VALUE"""),"BakeHouse")</f>
        <v>BakeHouse</v>
      </c>
      <c r="E7186" s="122">
        <f>IFERROR(__xludf.DUMMYFUNCTION("""COMPUTED_VALUE"""),100.81)</f>
        <v>100.81</v>
      </c>
      <c r="F7186" s="122">
        <f>IFERROR(__xludf.DUMMYFUNCTION("""COMPUTED_VALUE"""),0.005)</f>
        <v>0.005</v>
      </c>
    </row>
    <row r="7187">
      <c r="A7187" s="131">
        <f>IFERROR(__xludf.DUMMYFUNCTION("""COMPUTED_VALUE"""),46187.5883912037)</f>
        <v>46187.58839</v>
      </c>
      <c r="B7187" s="126">
        <f>IFERROR(__xludf.DUMMYFUNCTION("""COMPUTED_VALUE"""),46187.0)</f>
        <v>46187</v>
      </c>
      <c r="C7187" s="122" t="str">
        <f>IFERROR(__xludf.DUMMYFUNCTION("""COMPUTED_VALUE"""),"OILX")</f>
        <v>OILX</v>
      </c>
      <c r="D7187" s="122" t="str">
        <f>IFERROR(__xludf.DUMMYFUNCTION("""COMPUTED_VALUE"""),"OilMax Energy")</f>
        <v>OilMax Energy</v>
      </c>
      <c r="E7187" s="122">
        <f>IFERROR(__xludf.DUMMYFUNCTION("""COMPUTED_VALUE"""),133.26)</f>
        <v>133.26</v>
      </c>
      <c r="F7187" s="122">
        <f>IFERROR(__xludf.DUMMYFUNCTION("""COMPUTED_VALUE"""),0.0014)</f>
        <v>0.0014</v>
      </c>
    </row>
    <row r="7188">
      <c r="A7188" s="131">
        <f>IFERROR(__xludf.DUMMYFUNCTION("""COMPUTED_VALUE"""),46187.5883912037)</f>
        <v>46187.58839</v>
      </c>
      <c r="B7188" s="126">
        <f>IFERROR(__xludf.DUMMYFUNCTION("""COMPUTED_VALUE"""),46187.0)</f>
        <v>46187</v>
      </c>
      <c r="C7188" s="122" t="str">
        <f>IFERROR(__xludf.DUMMYFUNCTION("""COMPUTED_VALUE"""),"SOLR")</f>
        <v>SOLR</v>
      </c>
      <c r="D7188" s="122" t="str">
        <f>IFERROR(__xludf.DUMMYFUNCTION("""COMPUTED_VALUE"""),"SolarSpark")</f>
        <v>SolarSpark</v>
      </c>
      <c r="E7188" s="122">
        <f>IFERROR(__xludf.DUMMYFUNCTION("""COMPUTED_VALUE"""),104.01)</f>
        <v>104.01</v>
      </c>
      <c r="F7188" s="122">
        <f>IFERROR(__xludf.DUMMYFUNCTION("""COMPUTED_VALUE"""),3.0E-4)</f>
        <v>0.0003</v>
      </c>
    </row>
    <row r="7189">
      <c r="A7189" s="131">
        <f>IFERROR(__xludf.DUMMYFUNCTION("""COMPUTED_VALUE"""),46187.5883912037)</f>
        <v>46187.58839</v>
      </c>
      <c r="B7189" s="126">
        <f>IFERROR(__xludf.DUMMYFUNCTION("""COMPUTED_VALUE"""),46187.0)</f>
        <v>46187</v>
      </c>
      <c r="C7189" s="122" t="str">
        <f>IFERROR(__xludf.DUMMYFUNCTION("""COMPUTED_VALUE"""),"BATT")</f>
        <v>BATT</v>
      </c>
      <c r="D7189" s="122" t="str">
        <f>IFERROR(__xludf.DUMMYFUNCTION("""COMPUTED_VALUE"""),"BatteryBox")</f>
        <v>BatteryBox</v>
      </c>
      <c r="E7189" s="122">
        <f>IFERROR(__xludf.DUMMYFUNCTION("""COMPUTED_VALUE"""),121.35)</f>
        <v>121.35</v>
      </c>
      <c r="F7189" s="122">
        <f>IFERROR(__xludf.DUMMYFUNCTION("""COMPUTED_VALUE"""),0.0107)</f>
        <v>0.0107</v>
      </c>
    </row>
    <row r="7190">
      <c r="A7190" s="131">
        <f>IFERROR(__xludf.DUMMYFUNCTION("""COMPUTED_VALUE"""),46187.5883912037)</f>
        <v>46187.58839</v>
      </c>
      <c r="B7190" s="126">
        <f>IFERROR(__xludf.DUMMYFUNCTION("""COMPUTED_VALUE"""),46187.0)</f>
        <v>46187</v>
      </c>
      <c r="C7190" s="122" t="str">
        <f>IFERROR(__xludf.DUMMYFUNCTION("""COMPUTED_VALUE"""),"WIND")</f>
        <v>WIND</v>
      </c>
      <c r="D7190" s="122" t="str">
        <f>IFERROR(__xludf.DUMMYFUNCTION("""COMPUTED_VALUE"""),"WindWorks")</f>
        <v>WindWorks</v>
      </c>
      <c r="E7190" s="122">
        <f>IFERROR(__xludf.DUMMYFUNCTION("""COMPUTED_VALUE"""),86.92)</f>
        <v>86.92</v>
      </c>
      <c r="F7190" s="122">
        <f>IFERROR(__xludf.DUMMYFUNCTION("""COMPUTED_VALUE"""),8.0E-4)</f>
        <v>0.0008</v>
      </c>
    </row>
    <row r="7191">
      <c r="A7191" s="131">
        <f>IFERROR(__xludf.DUMMYFUNCTION("""COMPUTED_VALUE"""),46187.5883912037)</f>
        <v>46187.58839</v>
      </c>
      <c r="B7191" s="126">
        <f>IFERROR(__xludf.DUMMYFUNCTION("""COMPUTED_VALUE"""),46187.0)</f>
        <v>46187</v>
      </c>
      <c r="C7191" s="122" t="str">
        <f>IFERROR(__xludf.DUMMYFUNCTION("""COMPUTED_VALUE"""),"GRID")</f>
        <v>GRID</v>
      </c>
      <c r="D7191" s="122" t="str">
        <f>IFERROR(__xludf.DUMMYFUNCTION("""COMPUTED_VALUE"""),"GridPower")</f>
        <v>GridPower</v>
      </c>
      <c r="E7191" s="122">
        <f>IFERROR(__xludf.DUMMYFUNCTION("""COMPUTED_VALUE"""),131.12)</f>
        <v>131.12</v>
      </c>
      <c r="F7191" s="122">
        <f>IFERROR(__xludf.DUMMYFUNCTION("""COMPUTED_VALUE"""),0.0024)</f>
        <v>0.0024</v>
      </c>
    </row>
    <row r="7192">
      <c r="A7192" s="131">
        <f>IFERROR(__xludf.DUMMYFUNCTION("""COMPUTED_VALUE"""),46187.5883912037)</f>
        <v>46187.58839</v>
      </c>
      <c r="B7192" s="126">
        <f>IFERROR(__xludf.DUMMYFUNCTION("""COMPUTED_VALUE"""),46187.0)</f>
        <v>46187</v>
      </c>
      <c r="C7192" s="122" t="str">
        <f>IFERROR(__xludf.DUMMYFUNCTION("""COMPUTED_VALUE"""),"HOME")</f>
        <v>HOME</v>
      </c>
      <c r="D7192" s="122" t="str">
        <f>IFERROR(__xludf.DUMMYFUNCTION("""COMPUTED_VALUE"""),"HomeHub")</f>
        <v>HomeHub</v>
      </c>
      <c r="E7192" s="122">
        <f>IFERROR(__xludf.DUMMYFUNCTION("""COMPUTED_VALUE"""),157.46)</f>
        <v>157.46</v>
      </c>
      <c r="F7192" s="122">
        <f>IFERROR(__xludf.DUMMYFUNCTION("""COMPUTED_VALUE"""),-0.003)</f>
        <v>-0.003</v>
      </c>
    </row>
    <row r="7193">
      <c r="A7193" s="131">
        <f>IFERROR(__xludf.DUMMYFUNCTION("""COMPUTED_VALUE"""),46187.5883912037)</f>
        <v>46187.58839</v>
      </c>
      <c r="B7193" s="126">
        <f>IFERROR(__xludf.DUMMYFUNCTION("""COMPUTED_VALUE"""),46187.0)</f>
        <v>46187</v>
      </c>
      <c r="C7193" s="122" t="str">
        <f>IFERROR(__xludf.DUMMYFUNCTION("""COMPUTED_VALUE"""),"RENT")</f>
        <v>RENT</v>
      </c>
      <c r="D7193" s="122" t="str">
        <f>IFERROR(__xludf.DUMMYFUNCTION("""COMPUTED_VALUE"""),"RentRight")</f>
        <v>RentRight</v>
      </c>
      <c r="E7193" s="122">
        <f>IFERROR(__xludf.DUMMYFUNCTION("""COMPUTED_VALUE"""),91.24)</f>
        <v>91.24</v>
      </c>
      <c r="F7193" s="122">
        <f>IFERROR(__xludf.DUMMYFUNCTION("""COMPUTED_VALUE"""),-0.0027)</f>
        <v>-0.0027</v>
      </c>
    </row>
    <row r="7194">
      <c r="A7194" s="131">
        <f>IFERROR(__xludf.DUMMYFUNCTION("""COMPUTED_VALUE"""),46187.5883912037)</f>
        <v>46187.58839</v>
      </c>
      <c r="B7194" s="126">
        <f>IFERROR(__xludf.DUMMYFUNCTION("""COMPUTED_VALUE"""),46187.0)</f>
        <v>46187</v>
      </c>
      <c r="C7194" s="122" t="str">
        <f>IFERROR(__xludf.DUMMYFUNCTION("""COMPUTED_VALUE"""),"MALL")</f>
        <v>MALL</v>
      </c>
      <c r="D7194" s="122" t="str">
        <f>IFERROR(__xludf.DUMMYFUNCTION("""COMPUTED_VALUE"""),"MegaMall")</f>
        <v>MegaMall</v>
      </c>
      <c r="E7194" s="122">
        <f>IFERROR(__xludf.DUMMYFUNCTION("""COMPUTED_VALUE"""),102.41)</f>
        <v>102.41</v>
      </c>
      <c r="F7194" s="122">
        <f>IFERROR(__xludf.DUMMYFUNCTION("""COMPUTED_VALUE"""),0.0012)</f>
        <v>0.0012</v>
      </c>
    </row>
    <row r="7195">
      <c r="A7195" s="131">
        <f>IFERROR(__xludf.DUMMYFUNCTION("""COMPUTED_VALUE"""),46187.5883912037)</f>
        <v>46187.58839</v>
      </c>
      <c r="B7195" s="126">
        <f>IFERROR(__xludf.DUMMYFUNCTION("""COMPUTED_VALUE"""),46187.0)</f>
        <v>46187</v>
      </c>
      <c r="C7195" s="122" t="str">
        <f>IFERROR(__xludf.DUMMYFUNCTION("""COMPUTED_VALUE"""),"HOTL")</f>
        <v>HOTL</v>
      </c>
      <c r="D7195" s="122" t="str">
        <f>IFERROR(__xludf.DUMMYFUNCTION("""COMPUTED_VALUE"""),"HotelHive")</f>
        <v>HotelHive</v>
      </c>
      <c r="E7195" s="122">
        <f>IFERROR(__xludf.DUMMYFUNCTION("""COMPUTED_VALUE"""),124.06)</f>
        <v>124.06</v>
      </c>
      <c r="F7195" s="122">
        <f>IFERROR(__xludf.DUMMYFUNCTION("""COMPUTED_VALUE"""),-0.006)</f>
        <v>-0.006</v>
      </c>
    </row>
    <row r="7196">
      <c r="A7196" s="131">
        <f>IFERROR(__xludf.DUMMYFUNCTION("""COMPUTED_VALUE"""),46187.5883912037)</f>
        <v>46187.58839</v>
      </c>
      <c r="B7196" s="126">
        <f>IFERROR(__xludf.DUMMYFUNCTION("""COMPUTED_VALUE"""),46187.0)</f>
        <v>46187</v>
      </c>
      <c r="C7196" s="122" t="str">
        <f>IFERROR(__xludf.DUMMYFUNCTION("""COMPUTED_VALUE"""),"LAND")</f>
        <v>LAND</v>
      </c>
      <c r="D7196" s="122" t="str">
        <f>IFERROR(__xludf.DUMMYFUNCTION("""COMPUTED_VALUE"""),"LandLink")</f>
        <v>LandLink</v>
      </c>
      <c r="E7196" s="122">
        <f>IFERROR(__xludf.DUMMYFUNCTION("""COMPUTED_VALUE"""),185.12)</f>
        <v>185.12</v>
      </c>
      <c r="F7196" s="122">
        <f>IFERROR(__xludf.DUMMYFUNCTION("""COMPUTED_VALUE"""),0.0053)</f>
        <v>0.0053</v>
      </c>
    </row>
    <row r="7197">
      <c r="A7197" s="131">
        <f>IFERROR(__xludf.DUMMYFUNCTION("""COMPUTED_VALUE"""),46187.5883912037)</f>
        <v>46187.58839</v>
      </c>
      <c r="B7197" s="126">
        <f>IFERROR(__xludf.DUMMYFUNCTION("""COMPUTED_VALUE"""),46187.0)</f>
        <v>46187</v>
      </c>
      <c r="C7197" s="122" t="str">
        <f>IFERROR(__xludf.DUMMYFUNCTION("""COMPUTED_VALUE"""),"CARS")</f>
        <v>CARS</v>
      </c>
      <c r="D7197" s="122" t="str">
        <f>IFERROR(__xludf.DUMMYFUNCTION("""COMPUTED_VALUE"""),"AutoArena")</f>
        <v>AutoArena</v>
      </c>
      <c r="E7197" s="122">
        <f>IFERROR(__xludf.DUMMYFUNCTION("""COMPUTED_VALUE"""),79.56)</f>
        <v>79.56</v>
      </c>
      <c r="F7197" s="122">
        <f>IFERROR(__xludf.DUMMYFUNCTION("""COMPUTED_VALUE"""),-0.0028)</f>
        <v>-0.0028</v>
      </c>
    </row>
    <row r="7198">
      <c r="A7198" s="131">
        <f>IFERROR(__xludf.DUMMYFUNCTION("""COMPUTED_VALUE"""),46187.5883912037)</f>
        <v>46187.58839</v>
      </c>
      <c r="B7198" s="126">
        <f>IFERROR(__xludf.DUMMYFUNCTION("""COMPUTED_VALUE"""),46187.0)</f>
        <v>46187</v>
      </c>
      <c r="C7198" s="122" t="str">
        <f>IFERROR(__xludf.DUMMYFUNCTION("""COMPUTED_VALUE"""),"EVGO")</f>
        <v>EVGO</v>
      </c>
      <c r="D7198" s="122" t="str">
        <f>IFERROR(__xludf.DUMMYFUNCTION("""COMPUTED_VALUE"""),"EVGo Motors")</f>
        <v>EVGo Motors</v>
      </c>
      <c r="E7198" s="122">
        <f>IFERROR(__xludf.DUMMYFUNCTION("""COMPUTED_VALUE"""),185.62)</f>
        <v>185.62</v>
      </c>
      <c r="F7198" s="122">
        <f>IFERROR(__xludf.DUMMYFUNCTION("""COMPUTED_VALUE"""),7.0E-4)</f>
        <v>0.0007</v>
      </c>
    </row>
    <row r="7199">
      <c r="A7199" s="131">
        <f>IFERROR(__xludf.DUMMYFUNCTION("""COMPUTED_VALUE"""),46187.5883912037)</f>
        <v>46187.58839</v>
      </c>
      <c r="B7199" s="126">
        <f>IFERROR(__xludf.DUMMYFUNCTION("""COMPUTED_VALUE"""),46187.0)</f>
        <v>46187</v>
      </c>
      <c r="C7199" s="122" t="str">
        <f>IFERROR(__xludf.DUMMYFUNCTION("""COMPUTED_VALUE"""),"TIRE")</f>
        <v>TIRE</v>
      </c>
      <c r="D7199" s="122" t="str">
        <f>IFERROR(__xludf.DUMMYFUNCTION("""COMPUTED_VALUE"""),"TireTown")</f>
        <v>TireTown</v>
      </c>
      <c r="E7199" s="122">
        <f>IFERROR(__xludf.DUMMYFUNCTION("""COMPUTED_VALUE"""),96.7)</f>
        <v>96.7</v>
      </c>
      <c r="F7199" s="122">
        <f>IFERROR(__xludf.DUMMYFUNCTION("""COMPUTED_VALUE"""),-0.0025)</f>
        <v>-0.0025</v>
      </c>
    </row>
    <row r="7200">
      <c r="A7200" s="131">
        <f>IFERROR(__xludf.DUMMYFUNCTION("""COMPUTED_VALUE"""),46187.5883912037)</f>
        <v>46187.58839</v>
      </c>
      <c r="B7200" s="126">
        <f>IFERROR(__xludf.DUMMYFUNCTION("""COMPUTED_VALUE"""),46187.0)</f>
        <v>46187</v>
      </c>
      <c r="C7200" s="122" t="str">
        <f>IFERROR(__xludf.DUMMYFUNCTION("""COMPUTED_VALUE"""),"BIKE")</f>
        <v>BIKE</v>
      </c>
      <c r="D7200" s="122" t="str">
        <f>IFERROR(__xludf.DUMMYFUNCTION("""COMPUTED_VALUE"""),"BikeBox")</f>
        <v>BikeBox</v>
      </c>
      <c r="E7200" s="122">
        <f>IFERROR(__xludf.DUMMYFUNCTION("""COMPUTED_VALUE"""),52.53)</f>
        <v>52.53</v>
      </c>
      <c r="F7200" s="122">
        <f>IFERROR(__xludf.DUMMYFUNCTION("""COMPUTED_VALUE"""),0.0052)</f>
        <v>0.0052</v>
      </c>
    </row>
    <row r="7201">
      <c r="A7201" s="131">
        <f>IFERROR(__xludf.DUMMYFUNCTION("""COMPUTED_VALUE"""),46187.5883912037)</f>
        <v>46187.58839</v>
      </c>
      <c r="B7201" s="126">
        <f>IFERROR(__xludf.DUMMYFUNCTION("""COMPUTED_VALUE"""),46187.0)</f>
        <v>46187</v>
      </c>
      <c r="C7201" s="122" t="str">
        <f>IFERROR(__xludf.DUMMYFUNCTION("""COMPUTED_VALUE"""),"WASH")</f>
        <v>WASH</v>
      </c>
      <c r="D7201" s="122" t="str">
        <f>IFERROR(__xludf.DUMMYFUNCTION("""COMPUTED_VALUE"""),"CarWash Co")</f>
        <v>CarWash Co</v>
      </c>
      <c r="E7201" s="122">
        <f>IFERROR(__xludf.DUMMYFUNCTION("""COMPUTED_VALUE"""),121.0)</f>
        <v>121</v>
      </c>
      <c r="F7201" s="122">
        <f>IFERROR(__xludf.DUMMYFUNCTION("""COMPUTED_VALUE"""),-0.0026)</f>
        <v>-0.0026</v>
      </c>
    </row>
    <row r="7202">
      <c r="A7202" s="131">
        <f>IFERROR(__xludf.DUMMYFUNCTION("""COMPUTED_VALUE"""),46187.5883912037)</f>
        <v>46187.58839</v>
      </c>
      <c r="B7202" s="126">
        <f>IFERROR(__xludf.DUMMYFUNCTION("""COMPUTED_VALUE"""),46187.0)</f>
        <v>46187</v>
      </c>
      <c r="C7202" s="122" t="str">
        <f>IFERROR(__xludf.DUMMYFUNCTION("""COMPUTED_VALUE"""),"GBND")</f>
        <v>GBND</v>
      </c>
      <c r="D7202" s="122" t="str">
        <f>IFERROR(__xludf.DUMMYFUNCTION("""COMPUTED_VALUE"""),"Classroom Government Bond")</f>
        <v>Classroom Government Bond</v>
      </c>
      <c r="E7202" s="122">
        <f>IFERROR(__xludf.DUMMYFUNCTION("""COMPUTED_VALUE"""),101.08)</f>
        <v>101.08</v>
      </c>
      <c r="F7202" s="122">
        <f>IFERROR(__xludf.DUMMYFUNCTION("""COMPUTED_VALUE"""),3.0E-4)</f>
        <v>0.0003</v>
      </c>
    </row>
    <row r="7203">
      <c r="A7203" s="131">
        <f>IFERROR(__xludf.DUMMYFUNCTION("""COMPUTED_VALUE"""),46187.5883912037)</f>
        <v>46187.58839</v>
      </c>
      <c r="B7203" s="126">
        <f>IFERROR(__xludf.DUMMYFUNCTION("""COMPUTED_VALUE"""),46187.0)</f>
        <v>46187</v>
      </c>
      <c r="C7203" s="122" t="str">
        <f>IFERROR(__xludf.DUMMYFUNCTION("""COMPUTED_VALUE"""),"SBND")</f>
        <v>SBND</v>
      </c>
      <c r="D7203" s="122" t="str">
        <f>IFERROR(__xludf.DUMMYFUNCTION("""COMPUTED_VALUE"""),"School Savings Bond")</f>
        <v>School Savings Bond</v>
      </c>
      <c r="E7203" s="122">
        <f>IFERROR(__xludf.DUMMYFUNCTION("""COMPUTED_VALUE"""),99.26)</f>
        <v>99.26</v>
      </c>
      <c r="F7203" s="122">
        <f>IFERROR(__xludf.DUMMYFUNCTION("""COMPUTED_VALUE"""),-2.0E-4)</f>
        <v>-0.0002</v>
      </c>
    </row>
    <row r="7204">
      <c r="A7204" s="131">
        <f>IFERROR(__xludf.DUMMYFUNCTION("""COMPUTED_VALUE"""),46187.5883912037)</f>
        <v>46187.58839</v>
      </c>
      <c r="B7204" s="126">
        <f>IFERROR(__xludf.DUMMYFUNCTION("""COMPUTED_VALUE"""),46187.0)</f>
        <v>46187</v>
      </c>
      <c r="C7204" s="122" t="str">
        <f>IFERROR(__xludf.DUMMYFUNCTION("""COMPUTED_VALUE"""),"CBND")</f>
        <v>CBND</v>
      </c>
      <c r="D7204" s="122" t="str">
        <f>IFERROR(__xludf.DUMMYFUNCTION("""COMPUTED_VALUE"""),"Corporate Classroom Bond")</f>
        <v>Corporate Classroom Bond</v>
      </c>
      <c r="E7204" s="122">
        <f>IFERROR(__xludf.DUMMYFUNCTION("""COMPUTED_VALUE"""),97.72)</f>
        <v>97.72</v>
      </c>
      <c r="F7204" s="122">
        <f>IFERROR(__xludf.DUMMYFUNCTION("""COMPUTED_VALUE"""),-3.0E-4)</f>
        <v>-0.0003</v>
      </c>
    </row>
    <row r="7205">
      <c r="A7205" s="131">
        <f>IFERROR(__xludf.DUMMYFUNCTION("""COMPUTED_VALUE"""),46187.5883912037)</f>
        <v>46187.58839</v>
      </c>
      <c r="B7205" s="126">
        <f>IFERROR(__xludf.DUMMYFUNCTION("""COMPUTED_VALUE"""),46187.0)</f>
        <v>46187</v>
      </c>
      <c r="C7205" s="122" t="str">
        <f>IFERROR(__xludf.DUMMYFUNCTION("""COMPUTED_VALUE"""),"TBIL")</f>
        <v>TBIL</v>
      </c>
      <c r="D7205" s="122" t="str">
        <f>IFERROR(__xludf.DUMMYFUNCTION("""COMPUTED_VALUE"""),"Treasury Bill")</f>
        <v>Treasury Bill</v>
      </c>
      <c r="E7205" s="122">
        <f>IFERROR(__xludf.DUMMYFUNCTION("""COMPUTED_VALUE"""),97.73)</f>
        <v>97.73</v>
      </c>
      <c r="F7205" s="122">
        <f>IFERROR(__xludf.DUMMYFUNCTION("""COMPUTED_VALUE"""),-4.0E-4)</f>
        <v>-0.0004</v>
      </c>
    </row>
    <row r="7206">
      <c r="A7206" s="131">
        <f>IFERROR(__xludf.DUMMYFUNCTION("""COMPUTED_VALUE"""),46187.5883912037)</f>
        <v>46187.58839</v>
      </c>
      <c r="B7206" s="126">
        <f>IFERROR(__xludf.DUMMYFUNCTION("""COMPUTED_VALUE"""),46187.0)</f>
        <v>46187</v>
      </c>
      <c r="C7206" s="122" t="str">
        <f>IFERROR(__xludf.DUMMYFUNCTION("""COMPUTED_VALUE"""),"IBND")</f>
        <v>IBND</v>
      </c>
      <c r="D7206" s="122" t="str">
        <f>IFERROR(__xludf.DUMMYFUNCTION("""COMPUTED_VALUE"""),"Inflation Protected Bond")</f>
        <v>Inflation Protected Bond</v>
      </c>
      <c r="E7206" s="122">
        <f>IFERROR(__xludf.DUMMYFUNCTION("""COMPUTED_VALUE"""),100.76)</f>
        <v>100.76</v>
      </c>
      <c r="F7206" s="122">
        <f>IFERROR(__xludf.DUMMYFUNCTION("""COMPUTED_VALUE"""),5.0E-4)</f>
        <v>0.0005</v>
      </c>
    </row>
    <row r="7207">
      <c r="A7207" s="131">
        <f>IFERROR(__xludf.DUMMYFUNCTION("""COMPUTED_VALUE"""),46187.591770833336)</f>
        <v>46187.59177</v>
      </c>
      <c r="B7207" s="126">
        <f>IFERROR(__xludf.DUMMYFUNCTION("""COMPUTED_VALUE"""),46187.0)</f>
        <v>46187</v>
      </c>
      <c r="C7207" s="122" t="str">
        <f>IFERROR(__xludf.DUMMYFUNCTION("""COMPUTED_VALUE"""),"SNAX")</f>
        <v>SNAX</v>
      </c>
      <c r="D7207" s="122" t="str">
        <f>IFERROR(__xludf.DUMMYFUNCTION("""COMPUTED_VALUE"""),"MICA Snacks")</f>
        <v>MICA Snacks</v>
      </c>
      <c r="E7207" s="122">
        <f>IFERROR(__xludf.DUMMYFUNCTION("""COMPUTED_VALUE"""),122.73)</f>
        <v>122.73</v>
      </c>
      <c r="F7207" s="122">
        <f>IFERROR(__xludf.DUMMYFUNCTION("""COMPUTED_VALUE"""),7.0E-4)</f>
        <v>0.0007</v>
      </c>
    </row>
    <row r="7208">
      <c r="A7208" s="131">
        <f>IFERROR(__xludf.DUMMYFUNCTION("""COMPUTED_VALUE"""),46187.591770833336)</f>
        <v>46187.59177</v>
      </c>
      <c r="B7208" s="126">
        <f>IFERROR(__xludf.DUMMYFUNCTION("""COMPUTED_VALUE"""),46187.0)</f>
        <v>46187</v>
      </c>
      <c r="C7208" s="122" t="str">
        <f>IFERROR(__xludf.DUMMYFUNCTION("""COMPUTED_VALUE"""),"RAMN")</f>
        <v>RAMN</v>
      </c>
      <c r="D7208" s="122" t="str">
        <f>IFERROR(__xludf.DUMMYFUNCTION("""COMPUTED_VALUE"""),"Ramen Republic")</f>
        <v>Ramen Republic</v>
      </c>
      <c r="E7208" s="122">
        <f>IFERROR(__xludf.DUMMYFUNCTION("""COMPUTED_VALUE"""),64.04)</f>
        <v>64.04</v>
      </c>
      <c r="F7208" s="122">
        <f>IFERROR(__xludf.DUMMYFUNCTION("""COMPUTED_VALUE"""),-8.0E-4)</f>
        <v>-0.0008</v>
      </c>
    </row>
    <row r="7209">
      <c r="A7209" s="131">
        <f>IFERROR(__xludf.DUMMYFUNCTION("""COMPUTED_VALUE"""),46187.591770833336)</f>
        <v>46187.59177</v>
      </c>
      <c r="B7209" s="126">
        <f>IFERROR(__xludf.DUMMYFUNCTION("""COMPUTED_VALUE"""),46187.0)</f>
        <v>46187</v>
      </c>
      <c r="C7209" s="122" t="str">
        <f>IFERROR(__xludf.DUMMYFUNCTION("""COMPUTED_VALUE"""),"COLA")</f>
        <v>COLA</v>
      </c>
      <c r="D7209" s="122" t="str">
        <f>IFERROR(__xludf.DUMMYFUNCTION("""COMPUTED_VALUE"""),"K-Pop Cola")</f>
        <v>K-Pop Cola</v>
      </c>
      <c r="E7209" s="122">
        <f>IFERROR(__xludf.DUMMYFUNCTION("""COMPUTED_VALUE"""),113.29)</f>
        <v>113.29</v>
      </c>
      <c r="F7209" s="122">
        <f>IFERROR(__xludf.DUMMYFUNCTION("""COMPUTED_VALUE"""),-0.0057)</f>
        <v>-0.0057</v>
      </c>
    </row>
    <row r="7210">
      <c r="A7210" s="131">
        <f>IFERROR(__xludf.DUMMYFUNCTION("""COMPUTED_VALUE"""),46187.591770833336)</f>
        <v>46187.59177</v>
      </c>
      <c r="B7210" s="126">
        <f>IFERROR(__xludf.DUMMYFUNCTION("""COMPUTED_VALUE"""),46187.0)</f>
        <v>46187</v>
      </c>
      <c r="C7210" s="122" t="str">
        <f>IFERROR(__xludf.DUMMYFUNCTION("""COMPUTED_VALUE"""),"CHIP")</f>
        <v>CHIP</v>
      </c>
      <c r="D7210" s="122" t="str">
        <f>IFERROR(__xludf.DUMMYFUNCTION("""COMPUTED_VALUE"""),"Chip Empire")</f>
        <v>Chip Empire</v>
      </c>
      <c r="E7210" s="122">
        <f>IFERROR(__xludf.DUMMYFUNCTION("""COMPUTED_VALUE"""),82.27)</f>
        <v>82.27</v>
      </c>
      <c r="F7210" s="122">
        <f>IFERROR(__xludf.DUMMYFUNCTION("""COMPUTED_VALUE"""),0.0094)</f>
        <v>0.0094</v>
      </c>
    </row>
    <row r="7211">
      <c r="A7211" s="131">
        <f>IFERROR(__xludf.DUMMYFUNCTION("""COMPUTED_VALUE"""),46187.591770833336)</f>
        <v>46187.59177</v>
      </c>
      <c r="B7211" s="126">
        <f>IFERROR(__xludf.DUMMYFUNCTION("""COMPUTED_VALUE"""),46187.0)</f>
        <v>46187</v>
      </c>
      <c r="C7211" s="122" t="str">
        <f>IFERROR(__xludf.DUMMYFUNCTION("""COMPUTED_VALUE"""),"CAND")</f>
        <v>CAND</v>
      </c>
      <c r="D7211" s="122" t="str">
        <f>IFERROR(__xludf.DUMMYFUNCTION("""COMPUTED_VALUE"""),"Candy Capital")</f>
        <v>Candy Capital</v>
      </c>
      <c r="E7211" s="122">
        <f>IFERROR(__xludf.DUMMYFUNCTION("""COMPUTED_VALUE"""),76.67)</f>
        <v>76.67</v>
      </c>
      <c r="F7211" s="122">
        <f>IFERROR(__xludf.DUMMYFUNCTION("""COMPUTED_VALUE"""),-0.0078)</f>
        <v>-0.0078</v>
      </c>
    </row>
    <row r="7212">
      <c r="A7212" s="131">
        <f>IFERROR(__xludf.DUMMYFUNCTION("""COMPUTED_VALUE"""),46187.591770833336)</f>
        <v>46187.59177</v>
      </c>
      <c r="B7212" s="126">
        <f>IFERROR(__xludf.DUMMYFUNCTION("""COMPUTED_VALUE"""),46187.0)</f>
        <v>46187</v>
      </c>
      <c r="C7212" s="122" t="str">
        <f>IFERROR(__xludf.DUMMYFUNCTION("""COMPUTED_VALUE"""),"TECH")</f>
        <v>TECH</v>
      </c>
      <c r="D7212" s="122" t="str">
        <f>IFERROR(__xludf.DUMMYFUNCTION("""COMPUTED_VALUE"""),"Dragon Tech")</f>
        <v>Dragon Tech</v>
      </c>
      <c r="E7212" s="122">
        <f>IFERROR(__xludf.DUMMYFUNCTION("""COMPUTED_VALUE"""),255.37)</f>
        <v>255.37</v>
      </c>
      <c r="F7212" s="122">
        <f>IFERROR(__xludf.DUMMYFUNCTION("""COMPUTED_VALUE"""),0.0019)</f>
        <v>0.0019</v>
      </c>
    </row>
    <row r="7213">
      <c r="A7213" s="131">
        <f>IFERROR(__xludf.DUMMYFUNCTION("""COMPUTED_VALUE"""),46187.591770833336)</f>
        <v>46187.59177</v>
      </c>
      <c r="B7213" s="126">
        <f>IFERROR(__xludf.DUMMYFUNCTION("""COMPUTED_VALUE"""),46187.0)</f>
        <v>46187</v>
      </c>
      <c r="C7213" s="122" t="str">
        <f>IFERROR(__xludf.DUMMYFUNCTION("""COMPUTED_VALUE"""),"AIBO")</f>
        <v>AIBO</v>
      </c>
      <c r="D7213" s="122" t="str">
        <f>IFERROR(__xludf.DUMMYFUNCTION("""COMPUTED_VALUE"""),"Homework AI")</f>
        <v>Homework AI</v>
      </c>
      <c r="E7213" s="122">
        <f>IFERROR(__xludf.DUMMYFUNCTION("""COMPUTED_VALUE"""),188.47)</f>
        <v>188.47</v>
      </c>
      <c r="F7213" s="122">
        <f>IFERROR(__xludf.DUMMYFUNCTION("""COMPUTED_VALUE"""),0.0109)</f>
        <v>0.0109</v>
      </c>
    </row>
    <row r="7214">
      <c r="A7214" s="131">
        <f>IFERROR(__xludf.DUMMYFUNCTION("""COMPUTED_VALUE"""),46187.591770833336)</f>
        <v>46187.59177</v>
      </c>
      <c r="B7214" s="126">
        <f>IFERROR(__xludf.DUMMYFUNCTION("""COMPUTED_VALUE"""),46187.0)</f>
        <v>46187</v>
      </c>
      <c r="C7214" s="122" t="str">
        <f>IFERROR(__xludf.DUMMYFUNCTION("""COMPUTED_VALUE"""),"GAME")</f>
        <v>GAME</v>
      </c>
      <c r="D7214" s="122" t="str">
        <f>IFERROR(__xludf.DUMMYFUNCTION("""COMPUTED_VALUE"""),"GameBox Media")</f>
        <v>GameBox Media</v>
      </c>
      <c r="E7214" s="122">
        <f>IFERROR(__xludf.DUMMYFUNCTION("""COMPUTED_VALUE"""),104.02)</f>
        <v>104.02</v>
      </c>
      <c r="F7214" s="122">
        <f>IFERROR(__xludf.DUMMYFUNCTION("""COMPUTED_VALUE"""),0.0092)</f>
        <v>0.0092</v>
      </c>
    </row>
    <row r="7215">
      <c r="A7215" s="131">
        <f>IFERROR(__xludf.DUMMYFUNCTION("""COMPUTED_VALUE"""),46187.591770833336)</f>
        <v>46187.59177</v>
      </c>
      <c r="B7215" s="126">
        <f>IFERROR(__xludf.DUMMYFUNCTION("""COMPUTED_VALUE"""),46187.0)</f>
        <v>46187</v>
      </c>
      <c r="C7215" s="122" t="str">
        <f>IFERROR(__xludf.DUMMYFUNCTION("""COMPUTED_VALUE"""),"VRSE")</f>
        <v>VRSE</v>
      </c>
      <c r="D7215" s="122" t="str">
        <f>IFERROR(__xludf.DUMMYFUNCTION("""COMPUTED_VALUE"""),"VerseVR")</f>
        <v>VerseVR</v>
      </c>
      <c r="E7215" s="122">
        <f>IFERROR(__xludf.DUMMYFUNCTION("""COMPUTED_VALUE"""),148.23)</f>
        <v>148.23</v>
      </c>
      <c r="F7215" s="122">
        <f>IFERROR(__xludf.DUMMYFUNCTION("""COMPUTED_VALUE"""),-0.007)</f>
        <v>-0.007</v>
      </c>
    </row>
    <row r="7216">
      <c r="A7216" s="131">
        <f>IFERROR(__xludf.DUMMYFUNCTION("""COMPUTED_VALUE"""),46187.591770833336)</f>
        <v>46187.59177</v>
      </c>
      <c r="B7216" s="126">
        <f>IFERROR(__xludf.DUMMYFUNCTION("""COMPUTED_VALUE"""),46187.0)</f>
        <v>46187</v>
      </c>
      <c r="C7216" s="122" t="str">
        <f>IFERROR(__xludf.DUMMYFUNCTION("""COMPUTED_VALUE"""),"BYTE")</f>
        <v>BYTE</v>
      </c>
      <c r="D7216" s="122" t="str">
        <f>IFERROR(__xludf.DUMMYFUNCTION("""COMPUTED_VALUE"""),"ByteWorks")</f>
        <v>ByteWorks</v>
      </c>
      <c r="E7216" s="122">
        <f>IFERROR(__xludf.DUMMYFUNCTION("""COMPUTED_VALUE"""),117.45)</f>
        <v>117.45</v>
      </c>
      <c r="F7216" s="122">
        <f>IFERROR(__xludf.DUMMYFUNCTION("""COMPUTED_VALUE"""),-0.0013)</f>
        <v>-0.0013</v>
      </c>
    </row>
    <row r="7217">
      <c r="A7217" s="131">
        <f>IFERROR(__xludf.DUMMYFUNCTION("""COMPUTED_VALUE"""),46187.591770833336)</f>
        <v>46187.59177</v>
      </c>
      <c r="B7217" s="126">
        <f>IFERROR(__xludf.DUMMYFUNCTION("""COMPUTED_VALUE"""),46187.0)</f>
        <v>46187</v>
      </c>
      <c r="C7217" s="122" t="str">
        <f>IFERROR(__xludf.DUMMYFUNCTION("""COMPUTED_VALUE"""),"BANK")</f>
        <v>BANK</v>
      </c>
      <c r="D7217" s="122" t="str">
        <f>IFERROR(__xludf.DUMMYFUNCTION("""COMPUTED_VALUE"""),"Tiger Bank")</f>
        <v>Tiger Bank</v>
      </c>
      <c r="E7217" s="122">
        <f>IFERROR(__xludf.DUMMYFUNCTION("""COMPUTED_VALUE"""),130.95)</f>
        <v>130.95</v>
      </c>
      <c r="F7217" s="122">
        <f>IFERROR(__xludf.DUMMYFUNCTION("""COMPUTED_VALUE"""),-8.0E-4)</f>
        <v>-0.0008</v>
      </c>
    </row>
    <row r="7218">
      <c r="A7218" s="131">
        <f>IFERROR(__xludf.DUMMYFUNCTION("""COMPUTED_VALUE"""),46187.591770833336)</f>
        <v>46187.59177</v>
      </c>
      <c r="B7218" s="126">
        <f>IFERROR(__xludf.DUMMYFUNCTION("""COMPUTED_VALUE"""),46187.0)</f>
        <v>46187</v>
      </c>
      <c r="C7218" s="122" t="str">
        <f>IFERROR(__xludf.DUMMYFUNCTION("""COMPUTED_VALUE"""),"CRED")</f>
        <v>CRED</v>
      </c>
      <c r="D7218" s="122" t="str">
        <f>IFERROR(__xludf.DUMMYFUNCTION("""COMPUTED_VALUE"""),"Credit Castle")</f>
        <v>Credit Castle</v>
      </c>
      <c r="E7218" s="122">
        <f>IFERROR(__xludf.DUMMYFUNCTION("""COMPUTED_VALUE"""),66.4)</f>
        <v>66.4</v>
      </c>
      <c r="F7218" s="122">
        <f>IFERROR(__xludf.DUMMYFUNCTION("""COMPUTED_VALUE"""),-0.0042)</f>
        <v>-0.0042</v>
      </c>
    </row>
    <row r="7219">
      <c r="A7219" s="131">
        <f>IFERROR(__xludf.DUMMYFUNCTION("""COMPUTED_VALUE"""),46187.591770833336)</f>
        <v>46187.59177</v>
      </c>
      <c r="B7219" s="126">
        <f>IFERROR(__xludf.DUMMYFUNCTION("""COMPUTED_VALUE"""),46187.0)</f>
        <v>46187</v>
      </c>
      <c r="C7219" s="122" t="str">
        <f>IFERROR(__xludf.DUMMYFUNCTION("""COMPUTED_VALUE"""),"BOND")</f>
        <v>BOND</v>
      </c>
      <c r="D7219" s="122" t="str">
        <f>IFERROR(__xludf.DUMMYFUNCTION("""COMPUTED_VALUE"""),"BondBridge")</f>
        <v>BondBridge</v>
      </c>
      <c r="E7219" s="122">
        <f>IFERROR(__xludf.DUMMYFUNCTION("""COMPUTED_VALUE"""),103.67)</f>
        <v>103.67</v>
      </c>
      <c r="F7219" s="122">
        <f>IFERROR(__xludf.DUMMYFUNCTION("""COMPUTED_VALUE"""),0.0022)</f>
        <v>0.0022</v>
      </c>
    </row>
    <row r="7220">
      <c r="A7220" s="131">
        <f>IFERROR(__xludf.DUMMYFUNCTION("""COMPUTED_VALUE"""),46187.591770833336)</f>
        <v>46187.59177</v>
      </c>
      <c r="B7220" s="126">
        <f>IFERROR(__xludf.DUMMYFUNCTION("""COMPUTED_VALUE"""),46187.0)</f>
        <v>46187</v>
      </c>
      <c r="C7220" s="122" t="str">
        <f>IFERROR(__xludf.DUMMYFUNCTION("""COMPUTED_VALUE"""),"INSR")</f>
        <v>INSR</v>
      </c>
      <c r="D7220" s="122" t="str">
        <f>IFERROR(__xludf.DUMMYFUNCTION("""COMPUTED_VALUE"""),"Shield Insurance")</f>
        <v>Shield Insurance</v>
      </c>
      <c r="E7220" s="122">
        <f>IFERROR(__xludf.DUMMYFUNCTION("""COMPUTED_VALUE"""),157.69)</f>
        <v>157.69</v>
      </c>
      <c r="F7220" s="122">
        <f>IFERROR(__xludf.DUMMYFUNCTION("""COMPUTED_VALUE"""),0.0031)</f>
        <v>0.0031</v>
      </c>
    </row>
    <row r="7221">
      <c r="A7221" s="131">
        <f>IFERROR(__xludf.DUMMYFUNCTION("""COMPUTED_VALUE"""),46187.591770833336)</f>
        <v>46187.59177</v>
      </c>
      <c r="B7221" s="126">
        <f>IFERROR(__xludf.DUMMYFUNCTION("""COMPUTED_VALUE"""),46187.0)</f>
        <v>46187</v>
      </c>
      <c r="C7221" s="122" t="str">
        <f>IFERROR(__xludf.DUMMYFUNCTION("""COMPUTED_VALUE"""),"LOAN")</f>
        <v>LOAN</v>
      </c>
      <c r="D7221" s="122" t="str">
        <f>IFERROR(__xludf.DUMMYFUNCTION("""COMPUTED_VALUE"""),"LoanLab")</f>
        <v>LoanLab</v>
      </c>
      <c r="E7221" s="122">
        <f>IFERROR(__xludf.DUMMYFUNCTION("""COMPUTED_VALUE"""),69.27)</f>
        <v>69.27</v>
      </c>
      <c r="F7221" s="122">
        <f>IFERROR(__xludf.DUMMYFUNCTION("""COMPUTED_VALUE"""),-0.0045)</f>
        <v>-0.0045</v>
      </c>
    </row>
    <row r="7222">
      <c r="A7222" s="131">
        <f>IFERROR(__xludf.DUMMYFUNCTION("""COMPUTED_VALUE"""),46187.591770833336)</f>
        <v>46187.59177</v>
      </c>
      <c r="B7222" s="126">
        <f>IFERROR(__xludf.DUMMYFUNCTION("""COMPUTED_VALUE"""),46187.0)</f>
        <v>46187</v>
      </c>
      <c r="C7222" s="122" t="str">
        <f>IFERROR(__xludf.DUMMYFUNCTION("""COMPUTED_VALUE"""),"LUXE")</f>
        <v>LUXE</v>
      </c>
      <c r="D7222" s="122" t="str">
        <f>IFERROR(__xludf.DUMMYFUNCTION("""COMPUTED_VALUE"""),"Luxury Locker")</f>
        <v>Luxury Locker</v>
      </c>
      <c r="E7222" s="122">
        <f>IFERROR(__xludf.DUMMYFUNCTION("""COMPUTED_VALUE"""),264.62)</f>
        <v>264.62</v>
      </c>
      <c r="F7222" s="122">
        <f>IFERROR(__xludf.DUMMYFUNCTION("""COMPUTED_VALUE"""),0.0034)</f>
        <v>0.0034</v>
      </c>
    </row>
    <row r="7223">
      <c r="A7223" s="131">
        <f>IFERROR(__xludf.DUMMYFUNCTION("""COMPUTED_VALUE"""),46187.591770833336)</f>
        <v>46187.59177</v>
      </c>
      <c r="B7223" s="126">
        <f>IFERROR(__xludf.DUMMYFUNCTION("""COMPUTED_VALUE"""),46187.0)</f>
        <v>46187</v>
      </c>
      <c r="C7223" s="122" t="str">
        <f>IFERROR(__xludf.DUMMYFUNCTION("""COMPUTED_VALUE"""),"DRIP")</f>
        <v>DRIP</v>
      </c>
      <c r="D7223" s="122" t="str">
        <f>IFERROR(__xludf.DUMMYFUNCTION("""COMPUTED_VALUE"""),"Drip Streetwear")</f>
        <v>Drip Streetwear</v>
      </c>
      <c r="E7223" s="122">
        <f>IFERROR(__xludf.DUMMYFUNCTION("""COMPUTED_VALUE"""),191.62)</f>
        <v>191.62</v>
      </c>
      <c r="F7223" s="122">
        <f>IFERROR(__xludf.DUMMYFUNCTION("""COMPUTED_VALUE"""),-0.0078)</f>
        <v>-0.0078</v>
      </c>
    </row>
    <row r="7224">
      <c r="A7224" s="131">
        <f>IFERROR(__xludf.DUMMYFUNCTION("""COMPUTED_VALUE"""),46187.591770833336)</f>
        <v>46187.59177</v>
      </c>
      <c r="B7224" s="126">
        <f>IFERROR(__xludf.DUMMYFUNCTION("""COMPUTED_VALUE"""),46187.0)</f>
        <v>46187</v>
      </c>
      <c r="C7224" s="122" t="str">
        <f>IFERROR(__xludf.DUMMYFUNCTION("""COMPUTED_VALUE"""),"KICK")</f>
        <v>KICK</v>
      </c>
      <c r="D7224" s="122" t="str">
        <f>IFERROR(__xludf.DUMMYFUNCTION("""COMPUTED_VALUE"""),"KickDrop Sneakers")</f>
        <v>KickDrop Sneakers</v>
      </c>
      <c r="E7224" s="122">
        <f>IFERROR(__xludf.DUMMYFUNCTION("""COMPUTED_VALUE"""),169.41)</f>
        <v>169.41</v>
      </c>
      <c r="F7224" s="122">
        <f>IFERROR(__xludf.DUMMYFUNCTION("""COMPUTED_VALUE"""),0.0084)</f>
        <v>0.0084</v>
      </c>
    </row>
    <row r="7225">
      <c r="A7225" s="131">
        <f>IFERROR(__xludf.DUMMYFUNCTION("""COMPUTED_VALUE"""),46187.591770833336)</f>
        <v>46187.59177</v>
      </c>
      <c r="B7225" s="126">
        <f>IFERROR(__xludf.DUMMYFUNCTION("""COMPUTED_VALUE"""),46187.0)</f>
        <v>46187</v>
      </c>
      <c r="C7225" s="122" t="str">
        <f>IFERROR(__xludf.DUMMYFUNCTION("""COMPUTED_VALUE"""),"GLAM")</f>
        <v>GLAM</v>
      </c>
      <c r="D7225" s="122" t="str">
        <f>IFERROR(__xludf.DUMMYFUNCTION("""COMPUTED_VALUE"""),"Glow Cosmetics")</f>
        <v>Glow Cosmetics</v>
      </c>
      <c r="E7225" s="122">
        <f>IFERROR(__xludf.DUMMYFUNCTION("""COMPUTED_VALUE"""),109.85)</f>
        <v>109.85</v>
      </c>
      <c r="F7225" s="122">
        <f>IFERROR(__xludf.DUMMYFUNCTION("""COMPUTED_VALUE"""),0.0033)</f>
        <v>0.0033</v>
      </c>
    </row>
    <row r="7226">
      <c r="A7226" s="131">
        <f>IFERROR(__xludf.DUMMYFUNCTION("""COMPUTED_VALUE"""),46187.591770833336)</f>
        <v>46187.59177</v>
      </c>
      <c r="B7226" s="126">
        <f>IFERROR(__xludf.DUMMYFUNCTION("""COMPUTED_VALUE"""),46187.0)</f>
        <v>46187</v>
      </c>
      <c r="C7226" s="122" t="str">
        <f>IFERROR(__xludf.DUMMYFUNCTION("""COMPUTED_VALUE"""),"BAGG")</f>
        <v>BAGG</v>
      </c>
      <c r="D7226" s="122" t="str">
        <f>IFERROR(__xludf.DUMMYFUNCTION("""COMPUTED_VALUE"""),"BagVault")</f>
        <v>BagVault</v>
      </c>
      <c r="E7226" s="122">
        <f>IFERROR(__xludf.DUMMYFUNCTION("""COMPUTED_VALUE"""),271.97)</f>
        <v>271.97</v>
      </c>
      <c r="F7226" s="122">
        <f>IFERROR(__xludf.DUMMYFUNCTION("""COMPUTED_VALUE"""),-9.0E-4)</f>
        <v>-0.0009</v>
      </c>
    </row>
    <row r="7227">
      <c r="A7227" s="131">
        <f>IFERROR(__xludf.DUMMYFUNCTION("""COMPUTED_VALUE"""),46187.591770833336)</f>
        <v>46187.59177</v>
      </c>
      <c r="B7227" s="126">
        <f>IFERROR(__xludf.DUMMYFUNCTION("""COMPUTED_VALUE"""),46187.0)</f>
        <v>46187</v>
      </c>
      <c r="C7227" s="122" t="str">
        <f>IFERROR(__xludf.DUMMYFUNCTION("""COMPUTED_VALUE"""),"FAST")</f>
        <v>FAST</v>
      </c>
      <c r="D7227" s="122" t="str">
        <f>IFERROR(__xludf.DUMMYFUNCTION("""COMPUTED_VALUE"""),"Flash Logistics")</f>
        <v>Flash Logistics</v>
      </c>
      <c r="E7227" s="122">
        <f>IFERROR(__xludf.DUMMYFUNCTION("""COMPUTED_VALUE"""),107.57)</f>
        <v>107.57</v>
      </c>
      <c r="F7227" s="122">
        <f>IFERROR(__xludf.DUMMYFUNCTION("""COMPUTED_VALUE"""),-0.0035)</f>
        <v>-0.0035</v>
      </c>
    </row>
    <row r="7228">
      <c r="A7228" s="131">
        <f>IFERROR(__xludf.DUMMYFUNCTION("""COMPUTED_VALUE"""),46187.591770833336)</f>
        <v>46187.59177</v>
      </c>
      <c r="B7228" s="126">
        <f>IFERROR(__xludf.DUMMYFUNCTION("""COMPUTED_VALUE"""),46187.0)</f>
        <v>46187</v>
      </c>
      <c r="C7228" s="122" t="str">
        <f>IFERROR(__xludf.DUMMYFUNCTION("""COMPUTED_VALUE"""),"SHIP")</f>
        <v>SHIP</v>
      </c>
      <c r="D7228" s="122" t="str">
        <f>IFERROR(__xludf.DUMMYFUNCTION("""COMPUTED_VALUE"""),"Seoul Shipping")</f>
        <v>Seoul Shipping</v>
      </c>
      <c r="E7228" s="122">
        <f>IFERROR(__xludf.DUMMYFUNCTION("""COMPUTED_VALUE"""),129.25)</f>
        <v>129.25</v>
      </c>
      <c r="F7228" s="122">
        <f>IFERROR(__xludf.DUMMYFUNCTION("""COMPUTED_VALUE"""),0.0036)</f>
        <v>0.0036</v>
      </c>
    </row>
    <row r="7229">
      <c r="A7229" s="131">
        <f>IFERROR(__xludf.DUMMYFUNCTION("""COMPUTED_VALUE"""),46187.591770833336)</f>
        <v>46187.59177</v>
      </c>
      <c r="B7229" s="126">
        <f>IFERROR(__xludf.DUMMYFUNCTION("""COMPUTED_VALUE"""),46187.0)</f>
        <v>46187</v>
      </c>
      <c r="C7229" s="122" t="str">
        <f>IFERROR(__xludf.DUMMYFUNCTION("""COMPUTED_VALUE"""),"DRON")</f>
        <v>DRON</v>
      </c>
      <c r="D7229" s="122" t="str">
        <f>IFERROR(__xludf.DUMMYFUNCTION("""COMPUTED_VALUE"""),"DroneDrop")</f>
        <v>DroneDrop</v>
      </c>
      <c r="E7229" s="122">
        <f>IFERROR(__xludf.DUMMYFUNCTION("""COMPUTED_VALUE"""),125.04)</f>
        <v>125.04</v>
      </c>
      <c r="F7229" s="122">
        <f>IFERROR(__xludf.DUMMYFUNCTION("""COMPUTED_VALUE"""),-0.0104)</f>
        <v>-0.0104</v>
      </c>
    </row>
    <row r="7230">
      <c r="A7230" s="131">
        <f>IFERROR(__xludf.DUMMYFUNCTION("""COMPUTED_VALUE"""),46187.591770833336)</f>
        <v>46187.59177</v>
      </c>
      <c r="B7230" s="126">
        <f>IFERROR(__xludf.DUMMYFUNCTION("""COMPUTED_VALUE"""),46187.0)</f>
        <v>46187</v>
      </c>
      <c r="C7230" s="122" t="str">
        <f>IFERROR(__xludf.DUMMYFUNCTION("""COMPUTED_VALUE"""),"RIDE")</f>
        <v>RIDE</v>
      </c>
      <c r="D7230" s="122" t="str">
        <f>IFERROR(__xludf.DUMMYFUNCTION("""COMPUTED_VALUE"""),"QuickRide")</f>
        <v>QuickRide</v>
      </c>
      <c r="E7230" s="122">
        <f>IFERROR(__xludf.DUMMYFUNCTION("""COMPUTED_VALUE"""),102.96)</f>
        <v>102.96</v>
      </c>
      <c r="F7230" s="122">
        <f>IFERROR(__xludf.DUMMYFUNCTION("""COMPUTED_VALUE"""),0.0098)</f>
        <v>0.0098</v>
      </c>
    </row>
    <row r="7231">
      <c r="A7231" s="131">
        <f>IFERROR(__xludf.DUMMYFUNCTION("""COMPUTED_VALUE"""),46187.591770833336)</f>
        <v>46187.59177</v>
      </c>
      <c r="B7231" s="126">
        <f>IFERROR(__xludf.DUMMYFUNCTION("""COMPUTED_VALUE"""),46187.0)</f>
        <v>46187</v>
      </c>
      <c r="C7231" s="122" t="str">
        <f>IFERROR(__xludf.DUMMYFUNCTION("""COMPUTED_VALUE"""),"RAIL")</f>
        <v>RAIL</v>
      </c>
      <c r="D7231" s="122" t="str">
        <f>IFERROR(__xludf.DUMMYFUNCTION("""COMPUTED_VALUE"""),"MetroRail Corp")</f>
        <v>MetroRail Corp</v>
      </c>
      <c r="E7231" s="122">
        <f>IFERROR(__xludf.DUMMYFUNCTION("""COMPUTED_VALUE"""),131.14)</f>
        <v>131.14</v>
      </c>
      <c r="F7231" s="122">
        <f>IFERROR(__xludf.DUMMYFUNCTION("""COMPUTED_VALUE"""),9.0E-4)</f>
        <v>0.0009</v>
      </c>
    </row>
    <row r="7232">
      <c r="A7232" s="131">
        <f>IFERROR(__xludf.DUMMYFUNCTION("""COMPUTED_VALUE"""),46187.591770833336)</f>
        <v>46187.59177</v>
      </c>
      <c r="B7232" s="126">
        <f>IFERROR(__xludf.DUMMYFUNCTION("""COMPUTED_VALUE"""),46187.0)</f>
        <v>46187</v>
      </c>
      <c r="C7232" s="122" t="str">
        <f>IFERROR(__xludf.DUMMYFUNCTION("""COMPUTED_VALUE"""),"MEDX")</f>
        <v>MEDX</v>
      </c>
      <c r="D7232" s="122" t="str">
        <f>IFERROR(__xludf.DUMMYFUNCTION("""COMPUTED_VALUE"""),"MediCore")</f>
        <v>MediCore</v>
      </c>
      <c r="E7232" s="122">
        <f>IFERROR(__xludf.DUMMYFUNCTION("""COMPUTED_VALUE"""),138.15)</f>
        <v>138.15</v>
      </c>
      <c r="F7232" s="122">
        <f>IFERROR(__xludf.DUMMYFUNCTION("""COMPUTED_VALUE"""),-0.0019)</f>
        <v>-0.0019</v>
      </c>
    </row>
    <row r="7233">
      <c r="A7233" s="131">
        <f>IFERROR(__xludf.DUMMYFUNCTION("""COMPUTED_VALUE"""),46187.591770833336)</f>
        <v>46187.59177</v>
      </c>
      <c r="B7233" s="126">
        <f>IFERROR(__xludf.DUMMYFUNCTION("""COMPUTED_VALUE"""),46187.0)</f>
        <v>46187</v>
      </c>
      <c r="C7233" s="122" t="str">
        <f>IFERROR(__xludf.DUMMYFUNCTION("""COMPUTED_VALUE"""),"GYMX")</f>
        <v>GYMX</v>
      </c>
      <c r="D7233" s="122" t="str">
        <f>IFERROR(__xludf.DUMMYFUNCTION("""COMPUTED_VALUE"""),"GymX Fitness")</f>
        <v>GymX Fitness</v>
      </c>
      <c r="E7233" s="122">
        <f>IFERROR(__xludf.DUMMYFUNCTION("""COMPUTED_VALUE"""),85.06)</f>
        <v>85.06</v>
      </c>
      <c r="F7233" s="122">
        <f>IFERROR(__xludf.DUMMYFUNCTION("""COMPUTED_VALUE"""),-0.0053)</f>
        <v>-0.0053</v>
      </c>
    </row>
    <row r="7234">
      <c r="A7234" s="131">
        <f>IFERROR(__xludf.DUMMYFUNCTION("""COMPUTED_VALUE"""),46187.591770833336)</f>
        <v>46187.59177</v>
      </c>
      <c r="B7234" s="126">
        <f>IFERROR(__xludf.DUMMYFUNCTION("""COMPUTED_VALUE"""),46187.0)</f>
        <v>46187</v>
      </c>
      <c r="C7234" s="122" t="str">
        <f>IFERROR(__xludf.DUMMYFUNCTION("""COMPUTED_VALUE"""),"VITA")</f>
        <v>VITA</v>
      </c>
      <c r="D7234" s="122" t="str">
        <f>IFERROR(__xludf.DUMMYFUNCTION("""COMPUTED_VALUE"""),"VitaPlus")</f>
        <v>VitaPlus</v>
      </c>
      <c r="E7234" s="122">
        <f>IFERROR(__xludf.DUMMYFUNCTION("""COMPUTED_VALUE"""),72.85)</f>
        <v>72.85</v>
      </c>
      <c r="F7234" s="122">
        <f>IFERROR(__xludf.DUMMYFUNCTION("""COMPUTED_VALUE"""),0.0033)</f>
        <v>0.0033</v>
      </c>
    </row>
    <row r="7235">
      <c r="A7235" s="131">
        <f>IFERROR(__xludf.DUMMYFUNCTION("""COMPUTED_VALUE"""),46187.591770833336)</f>
        <v>46187.59177</v>
      </c>
      <c r="B7235" s="126">
        <f>IFERROR(__xludf.DUMMYFUNCTION("""COMPUTED_VALUE"""),46187.0)</f>
        <v>46187</v>
      </c>
      <c r="C7235" s="122" t="str">
        <f>IFERROR(__xludf.DUMMYFUNCTION("""COMPUTED_VALUE"""),"CARE")</f>
        <v>CARE</v>
      </c>
      <c r="D7235" s="122" t="str">
        <f>IFERROR(__xludf.DUMMYFUNCTION("""COMPUTED_VALUE"""),"CareCloud")</f>
        <v>CareCloud</v>
      </c>
      <c r="E7235" s="122">
        <f>IFERROR(__xludf.DUMMYFUNCTION("""COMPUTED_VALUE"""),182.15)</f>
        <v>182.15</v>
      </c>
      <c r="F7235" s="122">
        <f>IFERROR(__xludf.DUMMYFUNCTION("""COMPUTED_VALUE"""),-0.0054)</f>
        <v>-0.0054</v>
      </c>
    </row>
    <row r="7236">
      <c r="A7236" s="131">
        <f>IFERROR(__xludf.DUMMYFUNCTION("""COMPUTED_VALUE"""),46187.591770833336)</f>
        <v>46187.59177</v>
      </c>
      <c r="B7236" s="126">
        <f>IFERROR(__xludf.DUMMYFUNCTION("""COMPUTED_VALUE"""),46187.0)</f>
        <v>46187</v>
      </c>
      <c r="C7236" s="122" t="str">
        <f>IFERROR(__xludf.DUMMYFUNCTION("""COMPUTED_VALUE"""),"DENT")</f>
        <v>DENT</v>
      </c>
      <c r="D7236" s="122" t="str">
        <f>IFERROR(__xludf.DUMMYFUNCTION("""COMPUTED_VALUE"""),"SmileWorks")</f>
        <v>SmileWorks</v>
      </c>
      <c r="E7236" s="122">
        <f>IFERROR(__xludf.DUMMYFUNCTION("""COMPUTED_VALUE"""),95.02)</f>
        <v>95.02</v>
      </c>
      <c r="F7236" s="122">
        <f>IFERROR(__xludf.DUMMYFUNCTION("""COMPUTED_VALUE"""),5.0E-4)</f>
        <v>0.0005</v>
      </c>
    </row>
    <row r="7237">
      <c r="A7237" s="131">
        <f>IFERROR(__xludf.DUMMYFUNCTION("""COMPUTED_VALUE"""),46187.591770833336)</f>
        <v>46187.59177</v>
      </c>
      <c r="B7237" s="126">
        <f>IFERROR(__xludf.DUMMYFUNCTION("""COMPUTED_VALUE"""),46187.0)</f>
        <v>46187</v>
      </c>
      <c r="C7237" s="122" t="str">
        <f>IFERROR(__xludf.DUMMYFUNCTION("""COMPUTED_VALUE"""),"EDUX")</f>
        <v>EDUX</v>
      </c>
      <c r="D7237" s="122" t="str">
        <f>IFERROR(__xludf.DUMMYFUNCTION("""COMPUTED_VALUE"""),"EduMax Learning")</f>
        <v>EduMax Learning</v>
      </c>
      <c r="E7237" s="122">
        <f>IFERROR(__xludf.DUMMYFUNCTION("""COMPUTED_VALUE"""),146.04)</f>
        <v>146.04</v>
      </c>
      <c r="F7237" s="122">
        <f>IFERROR(__xludf.DUMMYFUNCTION("""COMPUTED_VALUE"""),-0.0028)</f>
        <v>-0.0028</v>
      </c>
    </row>
    <row r="7238">
      <c r="A7238" s="131">
        <f>IFERROR(__xludf.DUMMYFUNCTION("""COMPUTED_VALUE"""),46187.591770833336)</f>
        <v>46187.59177</v>
      </c>
      <c r="B7238" s="126">
        <f>IFERROR(__xludf.DUMMYFUNCTION("""COMPUTED_VALUE"""),46187.0)</f>
        <v>46187</v>
      </c>
      <c r="C7238" s="122" t="str">
        <f>IFERROR(__xludf.DUMMYFUNCTION("""COMPUTED_VALUE"""),"BOOK")</f>
        <v>BOOK</v>
      </c>
      <c r="D7238" s="122" t="str">
        <f>IFERROR(__xludf.DUMMYFUNCTION("""COMPUTED_VALUE"""),"BookBridge")</f>
        <v>BookBridge</v>
      </c>
      <c r="E7238" s="122">
        <f>IFERROR(__xludf.DUMMYFUNCTION("""COMPUTED_VALUE"""),118.82)</f>
        <v>118.82</v>
      </c>
      <c r="F7238" s="122">
        <f>IFERROR(__xludf.DUMMYFUNCTION("""COMPUTED_VALUE"""),-0.001)</f>
        <v>-0.001</v>
      </c>
    </row>
    <row r="7239">
      <c r="A7239" s="131">
        <f>IFERROR(__xludf.DUMMYFUNCTION("""COMPUTED_VALUE"""),46187.591770833336)</f>
        <v>46187.59177</v>
      </c>
      <c r="B7239" s="126">
        <f>IFERROR(__xludf.DUMMYFUNCTION("""COMPUTED_VALUE"""),46187.0)</f>
        <v>46187</v>
      </c>
      <c r="C7239" s="122" t="str">
        <f>IFERROR(__xludf.DUMMYFUNCTION("""COMPUTED_VALUE"""),"TUTR")</f>
        <v>TUTR</v>
      </c>
      <c r="D7239" s="122" t="str">
        <f>IFERROR(__xludf.DUMMYFUNCTION("""COMPUTED_VALUE"""),"TutorTown")</f>
        <v>TutorTown</v>
      </c>
      <c r="E7239" s="122">
        <f>IFERROR(__xludf.DUMMYFUNCTION("""COMPUTED_VALUE"""),90.62)</f>
        <v>90.62</v>
      </c>
      <c r="F7239" s="122">
        <f>IFERROR(__xludf.DUMMYFUNCTION("""COMPUTED_VALUE"""),0.0042)</f>
        <v>0.0042</v>
      </c>
    </row>
    <row r="7240">
      <c r="A7240" s="131">
        <f>IFERROR(__xludf.DUMMYFUNCTION("""COMPUTED_VALUE"""),46187.591770833336)</f>
        <v>46187.59177</v>
      </c>
      <c r="B7240" s="126">
        <f>IFERROR(__xludf.DUMMYFUNCTION("""COMPUTED_VALUE"""),46187.0)</f>
        <v>46187</v>
      </c>
      <c r="C7240" s="122" t="str">
        <f>IFERROR(__xludf.DUMMYFUNCTION("""COMPUTED_VALUE"""),"LANG")</f>
        <v>LANG</v>
      </c>
      <c r="D7240" s="122" t="str">
        <f>IFERROR(__xludf.DUMMYFUNCTION("""COMPUTED_VALUE"""),"LinguaLab")</f>
        <v>LinguaLab</v>
      </c>
      <c r="E7240" s="122">
        <f>IFERROR(__xludf.DUMMYFUNCTION("""COMPUTED_VALUE"""),100.8)</f>
        <v>100.8</v>
      </c>
      <c r="F7240" s="122">
        <f>IFERROR(__xludf.DUMMYFUNCTION("""COMPUTED_VALUE"""),-7.0E-4)</f>
        <v>-0.0007</v>
      </c>
    </row>
    <row r="7241">
      <c r="A7241" s="131">
        <f>IFERROR(__xludf.DUMMYFUNCTION("""COMPUTED_VALUE"""),46187.591770833336)</f>
        <v>46187.59177</v>
      </c>
      <c r="B7241" s="126">
        <f>IFERROR(__xludf.DUMMYFUNCTION("""COMPUTED_VALUE"""),46187.0)</f>
        <v>46187</v>
      </c>
      <c r="C7241" s="122" t="str">
        <f>IFERROR(__xludf.DUMMYFUNCTION("""COMPUTED_VALUE"""),"TEST")</f>
        <v>TEST</v>
      </c>
      <c r="D7241" s="122" t="str">
        <f>IFERROR(__xludf.DUMMYFUNCTION("""COMPUTED_VALUE"""),"TestPrep Pro")</f>
        <v>TestPrep Pro</v>
      </c>
      <c r="E7241" s="122">
        <f>IFERROR(__xludf.DUMMYFUNCTION("""COMPUTED_VALUE"""),91.17)</f>
        <v>91.17</v>
      </c>
      <c r="F7241" s="122">
        <f>IFERROR(__xludf.DUMMYFUNCTION("""COMPUTED_VALUE"""),5.0E-4)</f>
        <v>0.0005</v>
      </c>
    </row>
    <row r="7242">
      <c r="A7242" s="131">
        <f>IFERROR(__xludf.DUMMYFUNCTION("""COMPUTED_VALUE"""),46187.591770833336)</f>
        <v>46187.59177</v>
      </c>
      <c r="B7242" s="126">
        <f>IFERROR(__xludf.DUMMYFUNCTION("""COMPUTED_VALUE"""),46187.0)</f>
        <v>46187</v>
      </c>
      <c r="C7242" s="122" t="str">
        <f>IFERROR(__xludf.DUMMYFUNCTION("""COMPUTED_VALUE"""),"MOVI")</f>
        <v>MOVI</v>
      </c>
      <c r="D7242" s="122" t="str">
        <f>IFERROR(__xludf.DUMMYFUNCTION("""COMPUTED_VALUE"""),"MovieBox")</f>
        <v>MovieBox</v>
      </c>
      <c r="E7242" s="122">
        <f>IFERROR(__xludf.DUMMYFUNCTION("""COMPUTED_VALUE"""),84.07)</f>
        <v>84.07</v>
      </c>
      <c r="F7242" s="122">
        <f>IFERROR(__xludf.DUMMYFUNCTION("""COMPUTED_VALUE"""),-4.0E-4)</f>
        <v>-0.0004</v>
      </c>
    </row>
    <row r="7243">
      <c r="A7243" s="131">
        <f>IFERROR(__xludf.DUMMYFUNCTION("""COMPUTED_VALUE"""),46187.591770833336)</f>
        <v>46187.59177</v>
      </c>
      <c r="B7243" s="126">
        <f>IFERROR(__xludf.DUMMYFUNCTION("""COMPUTED_VALUE"""),46187.0)</f>
        <v>46187</v>
      </c>
      <c r="C7243" s="122" t="str">
        <f>IFERROR(__xludf.DUMMYFUNCTION("""COMPUTED_VALUE"""),"MUSC")</f>
        <v>MUSC</v>
      </c>
      <c r="D7243" s="122" t="str">
        <f>IFERROR(__xludf.DUMMYFUNCTION("""COMPUTED_VALUE"""),"MusicWave")</f>
        <v>MusicWave</v>
      </c>
      <c r="E7243" s="122">
        <f>IFERROR(__xludf.DUMMYFUNCTION("""COMPUTED_VALUE"""),102.76)</f>
        <v>102.76</v>
      </c>
      <c r="F7243" s="122">
        <f>IFERROR(__xludf.DUMMYFUNCTION("""COMPUTED_VALUE"""),0.0026)</f>
        <v>0.0026</v>
      </c>
    </row>
    <row r="7244">
      <c r="A7244" s="131">
        <f>IFERROR(__xludf.DUMMYFUNCTION("""COMPUTED_VALUE"""),46187.591770833336)</f>
        <v>46187.59177</v>
      </c>
      <c r="B7244" s="126">
        <f>IFERROR(__xludf.DUMMYFUNCTION("""COMPUTED_VALUE"""),46187.0)</f>
        <v>46187</v>
      </c>
      <c r="C7244" s="122" t="str">
        <f>IFERROR(__xludf.DUMMYFUNCTION("""COMPUTED_VALUE"""),"IDOL")</f>
        <v>IDOL</v>
      </c>
      <c r="D7244" s="122" t="str">
        <f>IFERROR(__xludf.DUMMYFUNCTION("""COMPUTED_VALUE"""),"Idol Agency")</f>
        <v>Idol Agency</v>
      </c>
      <c r="E7244" s="122">
        <f>IFERROR(__xludf.DUMMYFUNCTION("""COMPUTED_VALUE"""),188.48)</f>
        <v>188.48</v>
      </c>
      <c r="F7244" s="122">
        <f>IFERROR(__xludf.DUMMYFUNCTION("""COMPUTED_VALUE"""),-0.0022)</f>
        <v>-0.0022</v>
      </c>
    </row>
    <row r="7245">
      <c r="A7245" s="131">
        <f>IFERROR(__xludf.DUMMYFUNCTION("""COMPUTED_VALUE"""),46187.591770833336)</f>
        <v>46187.59177</v>
      </c>
      <c r="B7245" s="126">
        <f>IFERROR(__xludf.DUMMYFUNCTION("""COMPUTED_VALUE"""),46187.0)</f>
        <v>46187</v>
      </c>
      <c r="C7245" s="122" t="str">
        <f>IFERROR(__xludf.DUMMYFUNCTION("""COMPUTED_VALUE"""),"MEME")</f>
        <v>MEME</v>
      </c>
      <c r="D7245" s="122" t="str">
        <f>IFERROR(__xludf.DUMMYFUNCTION("""COMPUTED_VALUE"""),"Meme Media")</f>
        <v>Meme Media</v>
      </c>
      <c r="E7245" s="122">
        <f>IFERROR(__xludf.DUMMYFUNCTION("""COMPUTED_VALUE"""),72.69)</f>
        <v>72.69</v>
      </c>
      <c r="F7245" s="122">
        <f>IFERROR(__xludf.DUMMYFUNCTION("""COMPUTED_VALUE"""),-1.0E-4)</f>
        <v>-0.0001</v>
      </c>
    </row>
    <row r="7246">
      <c r="A7246" s="131">
        <f>IFERROR(__xludf.DUMMYFUNCTION("""COMPUTED_VALUE"""),46187.591770833336)</f>
        <v>46187.59177</v>
      </c>
      <c r="B7246" s="126">
        <f>IFERROR(__xludf.DUMMYFUNCTION("""COMPUTED_VALUE"""),46187.0)</f>
        <v>46187</v>
      </c>
      <c r="C7246" s="122" t="str">
        <f>IFERROR(__xludf.DUMMYFUNCTION("""COMPUTED_VALUE"""),"STRM")</f>
        <v>STRM</v>
      </c>
      <c r="D7246" s="122" t="str">
        <f>IFERROR(__xludf.DUMMYFUNCTION("""COMPUTED_VALUE"""),"Streamly")</f>
        <v>Streamly</v>
      </c>
      <c r="E7246" s="122">
        <f>IFERROR(__xludf.DUMMYFUNCTION("""COMPUTED_VALUE"""),135.55)</f>
        <v>135.55</v>
      </c>
      <c r="F7246" s="122">
        <f>IFERROR(__xludf.DUMMYFUNCTION("""COMPUTED_VALUE"""),-0.0099)</f>
        <v>-0.0099</v>
      </c>
    </row>
    <row r="7247">
      <c r="A7247" s="131">
        <f>IFERROR(__xludf.DUMMYFUNCTION("""COMPUTED_VALUE"""),46187.591770833336)</f>
        <v>46187.59177</v>
      </c>
      <c r="B7247" s="126">
        <f>IFERROR(__xludf.DUMMYFUNCTION("""COMPUTED_VALUE"""),46187.0)</f>
        <v>46187</v>
      </c>
      <c r="C7247" s="122" t="str">
        <f>IFERROR(__xludf.DUMMYFUNCTION("""COMPUTED_VALUE"""),"FARM")</f>
        <v>FARM</v>
      </c>
      <c r="D7247" s="122" t="str">
        <f>IFERROR(__xludf.DUMMYFUNCTION("""COMPUTED_VALUE"""),"Future Farms")</f>
        <v>Future Farms</v>
      </c>
      <c r="E7247" s="122">
        <f>IFERROR(__xludf.DUMMYFUNCTION("""COMPUTED_VALUE"""),95.28)</f>
        <v>95.28</v>
      </c>
      <c r="F7247" s="122">
        <f>IFERROR(__xludf.DUMMYFUNCTION("""COMPUTED_VALUE"""),0.0051)</f>
        <v>0.0051</v>
      </c>
    </row>
    <row r="7248">
      <c r="A7248" s="131">
        <f>IFERROR(__xludf.DUMMYFUNCTION("""COMPUTED_VALUE"""),46187.591770833336)</f>
        <v>46187.59177</v>
      </c>
      <c r="B7248" s="126">
        <f>IFERROR(__xludf.DUMMYFUNCTION("""COMPUTED_VALUE"""),46187.0)</f>
        <v>46187</v>
      </c>
      <c r="C7248" s="122" t="str">
        <f>IFERROR(__xludf.DUMMYFUNCTION("""COMPUTED_VALUE"""),"MEAT")</f>
        <v>MEAT</v>
      </c>
      <c r="D7248" s="122" t="str">
        <f>IFERROR(__xludf.DUMMYFUNCTION("""COMPUTED_VALUE"""),"MeatWorks")</f>
        <v>MeatWorks</v>
      </c>
      <c r="E7248" s="122">
        <f>IFERROR(__xludf.DUMMYFUNCTION("""COMPUTED_VALUE"""),105.37)</f>
        <v>105.37</v>
      </c>
      <c r="F7248" s="122">
        <f>IFERROR(__xludf.DUMMYFUNCTION("""COMPUTED_VALUE"""),-0.0044)</f>
        <v>-0.0044</v>
      </c>
    </row>
    <row r="7249">
      <c r="A7249" s="131">
        <f>IFERROR(__xludf.DUMMYFUNCTION("""COMPUTED_VALUE"""),46187.591770833336)</f>
        <v>46187.59177</v>
      </c>
      <c r="B7249" s="126">
        <f>IFERROR(__xludf.DUMMYFUNCTION("""COMPUTED_VALUE"""),46187.0)</f>
        <v>46187</v>
      </c>
      <c r="C7249" s="122" t="str">
        <f>IFERROR(__xludf.DUMMYFUNCTION("""COMPUTED_VALUE"""),"VEGI")</f>
        <v>VEGI</v>
      </c>
      <c r="D7249" s="122" t="str">
        <f>IFERROR(__xludf.DUMMYFUNCTION("""COMPUTED_VALUE"""),"Green Basket")</f>
        <v>Green Basket</v>
      </c>
      <c r="E7249" s="122">
        <f>IFERROR(__xludf.DUMMYFUNCTION("""COMPUTED_VALUE"""),77.98)</f>
        <v>77.98</v>
      </c>
      <c r="F7249" s="122">
        <f>IFERROR(__xludf.DUMMYFUNCTION("""COMPUTED_VALUE"""),0.0012)</f>
        <v>0.0012</v>
      </c>
    </row>
    <row r="7250">
      <c r="A7250" s="131">
        <f>IFERROR(__xludf.DUMMYFUNCTION("""COMPUTED_VALUE"""),46187.591770833336)</f>
        <v>46187.59177</v>
      </c>
      <c r="B7250" s="126">
        <f>IFERROR(__xludf.DUMMYFUNCTION("""COMPUTED_VALUE"""),46187.0)</f>
        <v>46187</v>
      </c>
      <c r="C7250" s="122" t="str">
        <f>IFERROR(__xludf.DUMMYFUNCTION("""COMPUTED_VALUE"""),"CAFE")</f>
        <v>CAFE</v>
      </c>
      <c r="D7250" s="122" t="str">
        <f>IFERROR(__xludf.DUMMYFUNCTION("""COMPUTED_VALUE"""),"Cafe Cloud")</f>
        <v>Cafe Cloud</v>
      </c>
      <c r="E7250" s="122">
        <f>IFERROR(__xludf.DUMMYFUNCTION("""COMPUTED_VALUE"""),100.9)</f>
        <v>100.9</v>
      </c>
      <c r="F7250" s="122">
        <f>IFERROR(__xludf.DUMMYFUNCTION("""COMPUTED_VALUE"""),-3.0E-4)</f>
        <v>-0.0003</v>
      </c>
    </row>
    <row r="7251">
      <c r="A7251" s="131">
        <f>IFERROR(__xludf.DUMMYFUNCTION("""COMPUTED_VALUE"""),46187.591770833336)</f>
        <v>46187.59177</v>
      </c>
      <c r="B7251" s="126">
        <f>IFERROR(__xludf.DUMMYFUNCTION("""COMPUTED_VALUE"""),46187.0)</f>
        <v>46187</v>
      </c>
      <c r="C7251" s="122" t="str">
        <f>IFERROR(__xludf.DUMMYFUNCTION("""COMPUTED_VALUE"""),"BAKE")</f>
        <v>BAKE</v>
      </c>
      <c r="D7251" s="122" t="str">
        <f>IFERROR(__xludf.DUMMYFUNCTION("""COMPUTED_VALUE"""),"BakeHouse")</f>
        <v>BakeHouse</v>
      </c>
      <c r="E7251" s="122">
        <f>IFERROR(__xludf.DUMMYFUNCTION("""COMPUTED_VALUE"""),100.93)</f>
        <v>100.93</v>
      </c>
      <c r="F7251" s="122">
        <f>IFERROR(__xludf.DUMMYFUNCTION("""COMPUTED_VALUE"""),0.0012)</f>
        <v>0.0012</v>
      </c>
    </row>
    <row r="7252">
      <c r="A7252" s="131">
        <f>IFERROR(__xludf.DUMMYFUNCTION("""COMPUTED_VALUE"""),46187.591770833336)</f>
        <v>46187.59177</v>
      </c>
      <c r="B7252" s="126">
        <f>IFERROR(__xludf.DUMMYFUNCTION("""COMPUTED_VALUE"""),46187.0)</f>
        <v>46187</v>
      </c>
      <c r="C7252" s="122" t="str">
        <f>IFERROR(__xludf.DUMMYFUNCTION("""COMPUTED_VALUE"""),"OILX")</f>
        <v>OILX</v>
      </c>
      <c r="D7252" s="122" t="str">
        <f>IFERROR(__xludf.DUMMYFUNCTION("""COMPUTED_VALUE"""),"OilMax Energy")</f>
        <v>OilMax Energy</v>
      </c>
      <c r="E7252" s="122">
        <f>IFERROR(__xludf.DUMMYFUNCTION("""COMPUTED_VALUE"""),134.17)</f>
        <v>134.17</v>
      </c>
      <c r="F7252" s="122">
        <f>IFERROR(__xludf.DUMMYFUNCTION("""COMPUTED_VALUE"""),0.0068)</f>
        <v>0.0068</v>
      </c>
    </row>
    <row r="7253">
      <c r="A7253" s="131">
        <f>IFERROR(__xludf.DUMMYFUNCTION("""COMPUTED_VALUE"""),46187.591770833336)</f>
        <v>46187.59177</v>
      </c>
      <c r="B7253" s="126">
        <f>IFERROR(__xludf.DUMMYFUNCTION("""COMPUTED_VALUE"""),46187.0)</f>
        <v>46187</v>
      </c>
      <c r="C7253" s="122" t="str">
        <f>IFERROR(__xludf.DUMMYFUNCTION("""COMPUTED_VALUE"""),"SOLR")</f>
        <v>SOLR</v>
      </c>
      <c r="D7253" s="122" t="str">
        <f>IFERROR(__xludf.DUMMYFUNCTION("""COMPUTED_VALUE"""),"SolarSpark")</f>
        <v>SolarSpark</v>
      </c>
      <c r="E7253" s="122">
        <f>IFERROR(__xludf.DUMMYFUNCTION("""COMPUTED_VALUE"""),104.91)</f>
        <v>104.91</v>
      </c>
      <c r="F7253" s="122">
        <f>IFERROR(__xludf.DUMMYFUNCTION("""COMPUTED_VALUE"""),0.0087)</f>
        <v>0.0087</v>
      </c>
    </row>
    <row r="7254">
      <c r="A7254" s="131">
        <f>IFERROR(__xludf.DUMMYFUNCTION("""COMPUTED_VALUE"""),46187.591770833336)</f>
        <v>46187.59177</v>
      </c>
      <c r="B7254" s="126">
        <f>IFERROR(__xludf.DUMMYFUNCTION("""COMPUTED_VALUE"""),46187.0)</f>
        <v>46187</v>
      </c>
      <c r="C7254" s="122" t="str">
        <f>IFERROR(__xludf.DUMMYFUNCTION("""COMPUTED_VALUE"""),"BATT")</f>
        <v>BATT</v>
      </c>
      <c r="D7254" s="122" t="str">
        <f>IFERROR(__xludf.DUMMYFUNCTION("""COMPUTED_VALUE"""),"BatteryBox")</f>
        <v>BatteryBox</v>
      </c>
      <c r="E7254" s="122">
        <f>IFERROR(__xludf.DUMMYFUNCTION("""COMPUTED_VALUE"""),122.57)</f>
        <v>122.57</v>
      </c>
      <c r="F7254" s="122">
        <f>IFERROR(__xludf.DUMMYFUNCTION("""COMPUTED_VALUE"""),0.0101)</f>
        <v>0.0101</v>
      </c>
    </row>
    <row r="7255">
      <c r="A7255" s="131">
        <f>IFERROR(__xludf.DUMMYFUNCTION("""COMPUTED_VALUE"""),46187.591770833336)</f>
        <v>46187.59177</v>
      </c>
      <c r="B7255" s="126">
        <f>IFERROR(__xludf.DUMMYFUNCTION("""COMPUTED_VALUE"""),46187.0)</f>
        <v>46187</v>
      </c>
      <c r="C7255" s="122" t="str">
        <f>IFERROR(__xludf.DUMMYFUNCTION("""COMPUTED_VALUE"""),"WIND")</f>
        <v>WIND</v>
      </c>
      <c r="D7255" s="122" t="str">
        <f>IFERROR(__xludf.DUMMYFUNCTION("""COMPUTED_VALUE"""),"WindWorks")</f>
        <v>WindWorks</v>
      </c>
      <c r="E7255" s="122">
        <f>IFERROR(__xludf.DUMMYFUNCTION("""COMPUTED_VALUE"""),86.63)</f>
        <v>86.63</v>
      </c>
      <c r="F7255" s="122">
        <f>IFERROR(__xludf.DUMMYFUNCTION("""COMPUTED_VALUE"""),-0.0033)</f>
        <v>-0.0033</v>
      </c>
    </row>
    <row r="7256">
      <c r="A7256" s="131">
        <f>IFERROR(__xludf.DUMMYFUNCTION("""COMPUTED_VALUE"""),46187.591770833336)</f>
        <v>46187.59177</v>
      </c>
      <c r="B7256" s="126">
        <f>IFERROR(__xludf.DUMMYFUNCTION("""COMPUTED_VALUE"""),46187.0)</f>
        <v>46187</v>
      </c>
      <c r="C7256" s="122" t="str">
        <f>IFERROR(__xludf.DUMMYFUNCTION("""COMPUTED_VALUE"""),"GRID")</f>
        <v>GRID</v>
      </c>
      <c r="D7256" s="122" t="str">
        <f>IFERROR(__xludf.DUMMYFUNCTION("""COMPUTED_VALUE"""),"GridPower")</f>
        <v>GridPower</v>
      </c>
      <c r="E7256" s="122">
        <f>IFERROR(__xludf.DUMMYFUNCTION("""COMPUTED_VALUE"""),130.86)</f>
        <v>130.86</v>
      </c>
      <c r="F7256" s="122">
        <f>IFERROR(__xludf.DUMMYFUNCTION("""COMPUTED_VALUE"""),-0.002)</f>
        <v>-0.002</v>
      </c>
    </row>
    <row r="7257">
      <c r="A7257" s="131">
        <f>IFERROR(__xludf.DUMMYFUNCTION("""COMPUTED_VALUE"""),46187.591770833336)</f>
        <v>46187.59177</v>
      </c>
      <c r="B7257" s="126">
        <f>IFERROR(__xludf.DUMMYFUNCTION("""COMPUTED_VALUE"""),46187.0)</f>
        <v>46187</v>
      </c>
      <c r="C7257" s="122" t="str">
        <f>IFERROR(__xludf.DUMMYFUNCTION("""COMPUTED_VALUE"""),"HOME")</f>
        <v>HOME</v>
      </c>
      <c r="D7257" s="122" t="str">
        <f>IFERROR(__xludf.DUMMYFUNCTION("""COMPUTED_VALUE"""),"HomeHub")</f>
        <v>HomeHub</v>
      </c>
      <c r="E7257" s="122">
        <f>IFERROR(__xludf.DUMMYFUNCTION("""COMPUTED_VALUE"""),157.32)</f>
        <v>157.32</v>
      </c>
      <c r="F7257" s="122">
        <f>IFERROR(__xludf.DUMMYFUNCTION("""COMPUTED_VALUE"""),-9.0E-4)</f>
        <v>-0.0009</v>
      </c>
    </row>
    <row r="7258">
      <c r="A7258" s="131">
        <f>IFERROR(__xludf.DUMMYFUNCTION("""COMPUTED_VALUE"""),46187.591770833336)</f>
        <v>46187.59177</v>
      </c>
      <c r="B7258" s="126">
        <f>IFERROR(__xludf.DUMMYFUNCTION("""COMPUTED_VALUE"""),46187.0)</f>
        <v>46187</v>
      </c>
      <c r="C7258" s="122" t="str">
        <f>IFERROR(__xludf.DUMMYFUNCTION("""COMPUTED_VALUE"""),"RENT")</f>
        <v>RENT</v>
      </c>
      <c r="D7258" s="122" t="str">
        <f>IFERROR(__xludf.DUMMYFUNCTION("""COMPUTED_VALUE"""),"RentRight")</f>
        <v>RentRight</v>
      </c>
      <c r="E7258" s="122">
        <f>IFERROR(__xludf.DUMMYFUNCTION("""COMPUTED_VALUE"""),91.43)</f>
        <v>91.43</v>
      </c>
      <c r="F7258" s="122">
        <f>IFERROR(__xludf.DUMMYFUNCTION("""COMPUTED_VALUE"""),0.0021)</f>
        <v>0.0021</v>
      </c>
    </row>
    <row r="7259">
      <c r="A7259" s="131">
        <f>IFERROR(__xludf.DUMMYFUNCTION("""COMPUTED_VALUE"""),46187.591770833336)</f>
        <v>46187.59177</v>
      </c>
      <c r="B7259" s="126">
        <f>IFERROR(__xludf.DUMMYFUNCTION("""COMPUTED_VALUE"""),46187.0)</f>
        <v>46187</v>
      </c>
      <c r="C7259" s="122" t="str">
        <f>IFERROR(__xludf.DUMMYFUNCTION("""COMPUTED_VALUE"""),"MALL")</f>
        <v>MALL</v>
      </c>
      <c r="D7259" s="122" t="str">
        <f>IFERROR(__xludf.DUMMYFUNCTION("""COMPUTED_VALUE"""),"MegaMall")</f>
        <v>MegaMall</v>
      </c>
      <c r="E7259" s="122">
        <f>IFERROR(__xludf.DUMMYFUNCTION("""COMPUTED_VALUE"""),102.76)</f>
        <v>102.76</v>
      </c>
      <c r="F7259" s="122">
        <f>IFERROR(__xludf.DUMMYFUNCTION("""COMPUTED_VALUE"""),0.0034)</f>
        <v>0.0034</v>
      </c>
    </row>
    <row r="7260">
      <c r="A7260" s="131">
        <f>IFERROR(__xludf.DUMMYFUNCTION("""COMPUTED_VALUE"""),46187.591770833336)</f>
        <v>46187.59177</v>
      </c>
      <c r="B7260" s="126">
        <f>IFERROR(__xludf.DUMMYFUNCTION("""COMPUTED_VALUE"""),46187.0)</f>
        <v>46187</v>
      </c>
      <c r="C7260" s="122" t="str">
        <f>IFERROR(__xludf.DUMMYFUNCTION("""COMPUTED_VALUE"""),"HOTL")</f>
        <v>HOTL</v>
      </c>
      <c r="D7260" s="122" t="str">
        <f>IFERROR(__xludf.DUMMYFUNCTION("""COMPUTED_VALUE"""),"HotelHive")</f>
        <v>HotelHive</v>
      </c>
      <c r="E7260" s="122">
        <f>IFERROR(__xludf.DUMMYFUNCTION("""COMPUTED_VALUE"""),123.25)</f>
        <v>123.25</v>
      </c>
      <c r="F7260" s="122">
        <f>IFERROR(__xludf.DUMMYFUNCTION("""COMPUTED_VALUE"""),-0.0065)</f>
        <v>-0.0065</v>
      </c>
    </row>
    <row r="7261">
      <c r="A7261" s="131">
        <f>IFERROR(__xludf.DUMMYFUNCTION("""COMPUTED_VALUE"""),46187.591770833336)</f>
        <v>46187.59177</v>
      </c>
      <c r="B7261" s="126">
        <f>IFERROR(__xludf.DUMMYFUNCTION("""COMPUTED_VALUE"""),46187.0)</f>
        <v>46187</v>
      </c>
      <c r="C7261" s="122" t="str">
        <f>IFERROR(__xludf.DUMMYFUNCTION("""COMPUTED_VALUE"""),"LAND")</f>
        <v>LAND</v>
      </c>
      <c r="D7261" s="122" t="str">
        <f>IFERROR(__xludf.DUMMYFUNCTION("""COMPUTED_VALUE"""),"LandLink")</f>
        <v>LandLink</v>
      </c>
      <c r="E7261" s="122">
        <f>IFERROR(__xludf.DUMMYFUNCTION("""COMPUTED_VALUE"""),185.69)</f>
        <v>185.69</v>
      </c>
      <c r="F7261" s="122">
        <f>IFERROR(__xludf.DUMMYFUNCTION("""COMPUTED_VALUE"""),0.0031)</f>
        <v>0.0031</v>
      </c>
    </row>
    <row r="7262">
      <c r="A7262" s="131">
        <f>IFERROR(__xludf.DUMMYFUNCTION("""COMPUTED_VALUE"""),46187.591770833336)</f>
        <v>46187.59177</v>
      </c>
      <c r="B7262" s="126">
        <f>IFERROR(__xludf.DUMMYFUNCTION("""COMPUTED_VALUE"""),46187.0)</f>
        <v>46187</v>
      </c>
      <c r="C7262" s="122" t="str">
        <f>IFERROR(__xludf.DUMMYFUNCTION("""COMPUTED_VALUE"""),"CARS")</f>
        <v>CARS</v>
      </c>
      <c r="D7262" s="122" t="str">
        <f>IFERROR(__xludf.DUMMYFUNCTION("""COMPUTED_VALUE"""),"AutoArena")</f>
        <v>AutoArena</v>
      </c>
      <c r="E7262" s="122">
        <f>IFERROR(__xludf.DUMMYFUNCTION("""COMPUTED_VALUE"""),80.28)</f>
        <v>80.28</v>
      </c>
      <c r="F7262" s="122">
        <f>IFERROR(__xludf.DUMMYFUNCTION("""COMPUTED_VALUE"""),0.009)</f>
        <v>0.009</v>
      </c>
    </row>
    <row r="7263">
      <c r="A7263" s="131">
        <f>IFERROR(__xludf.DUMMYFUNCTION("""COMPUTED_VALUE"""),46187.591770833336)</f>
        <v>46187.59177</v>
      </c>
      <c r="B7263" s="126">
        <f>IFERROR(__xludf.DUMMYFUNCTION("""COMPUTED_VALUE"""),46187.0)</f>
        <v>46187</v>
      </c>
      <c r="C7263" s="122" t="str">
        <f>IFERROR(__xludf.DUMMYFUNCTION("""COMPUTED_VALUE"""),"EVGO")</f>
        <v>EVGO</v>
      </c>
      <c r="D7263" s="122" t="str">
        <f>IFERROR(__xludf.DUMMYFUNCTION("""COMPUTED_VALUE"""),"EVGo Motors")</f>
        <v>EVGo Motors</v>
      </c>
      <c r="E7263" s="122">
        <f>IFERROR(__xludf.DUMMYFUNCTION("""COMPUTED_VALUE"""),187.85)</f>
        <v>187.85</v>
      </c>
      <c r="F7263" s="122">
        <f>IFERROR(__xludf.DUMMYFUNCTION("""COMPUTED_VALUE"""),0.012)</f>
        <v>0.012</v>
      </c>
    </row>
    <row r="7264">
      <c r="A7264" s="131">
        <f>IFERROR(__xludf.DUMMYFUNCTION("""COMPUTED_VALUE"""),46187.591770833336)</f>
        <v>46187.59177</v>
      </c>
      <c r="B7264" s="126">
        <f>IFERROR(__xludf.DUMMYFUNCTION("""COMPUTED_VALUE"""),46187.0)</f>
        <v>46187</v>
      </c>
      <c r="C7264" s="122" t="str">
        <f>IFERROR(__xludf.DUMMYFUNCTION("""COMPUTED_VALUE"""),"TIRE")</f>
        <v>TIRE</v>
      </c>
      <c r="D7264" s="122" t="str">
        <f>IFERROR(__xludf.DUMMYFUNCTION("""COMPUTED_VALUE"""),"TireTown")</f>
        <v>TireTown</v>
      </c>
      <c r="E7264" s="122">
        <f>IFERROR(__xludf.DUMMYFUNCTION("""COMPUTED_VALUE"""),96.54)</f>
        <v>96.54</v>
      </c>
      <c r="F7264" s="122">
        <f>IFERROR(__xludf.DUMMYFUNCTION("""COMPUTED_VALUE"""),-0.0017)</f>
        <v>-0.0017</v>
      </c>
    </row>
    <row r="7265">
      <c r="A7265" s="131">
        <f>IFERROR(__xludf.DUMMYFUNCTION("""COMPUTED_VALUE"""),46187.591770833336)</f>
        <v>46187.59177</v>
      </c>
      <c r="B7265" s="126">
        <f>IFERROR(__xludf.DUMMYFUNCTION("""COMPUTED_VALUE"""),46187.0)</f>
        <v>46187</v>
      </c>
      <c r="C7265" s="122" t="str">
        <f>IFERROR(__xludf.DUMMYFUNCTION("""COMPUTED_VALUE"""),"BIKE")</f>
        <v>BIKE</v>
      </c>
      <c r="D7265" s="122" t="str">
        <f>IFERROR(__xludf.DUMMYFUNCTION("""COMPUTED_VALUE"""),"BikeBox")</f>
        <v>BikeBox</v>
      </c>
      <c r="E7265" s="122">
        <f>IFERROR(__xludf.DUMMYFUNCTION("""COMPUTED_VALUE"""),52.65)</f>
        <v>52.65</v>
      </c>
      <c r="F7265" s="122">
        <f>IFERROR(__xludf.DUMMYFUNCTION("""COMPUTED_VALUE"""),0.0023)</f>
        <v>0.0023</v>
      </c>
    </row>
    <row r="7266">
      <c r="A7266" s="131">
        <f>IFERROR(__xludf.DUMMYFUNCTION("""COMPUTED_VALUE"""),46187.591770833336)</f>
        <v>46187.59177</v>
      </c>
      <c r="B7266" s="126">
        <f>IFERROR(__xludf.DUMMYFUNCTION("""COMPUTED_VALUE"""),46187.0)</f>
        <v>46187</v>
      </c>
      <c r="C7266" s="122" t="str">
        <f>IFERROR(__xludf.DUMMYFUNCTION("""COMPUTED_VALUE"""),"WASH")</f>
        <v>WASH</v>
      </c>
      <c r="D7266" s="122" t="str">
        <f>IFERROR(__xludf.DUMMYFUNCTION("""COMPUTED_VALUE"""),"CarWash Co")</f>
        <v>CarWash Co</v>
      </c>
      <c r="E7266" s="122">
        <f>IFERROR(__xludf.DUMMYFUNCTION("""COMPUTED_VALUE"""),121.12)</f>
        <v>121.12</v>
      </c>
      <c r="F7266" s="122">
        <f>IFERROR(__xludf.DUMMYFUNCTION("""COMPUTED_VALUE"""),0.001)</f>
        <v>0.001</v>
      </c>
    </row>
    <row r="7267">
      <c r="A7267" s="131">
        <f>IFERROR(__xludf.DUMMYFUNCTION("""COMPUTED_VALUE"""),46187.591770833336)</f>
        <v>46187.59177</v>
      </c>
      <c r="B7267" s="126">
        <f>IFERROR(__xludf.DUMMYFUNCTION("""COMPUTED_VALUE"""),46187.0)</f>
        <v>46187</v>
      </c>
      <c r="C7267" s="122" t="str">
        <f>IFERROR(__xludf.DUMMYFUNCTION("""COMPUTED_VALUE"""),"GBND")</f>
        <v>GBND</v>
      </c>
      <c r="D7267" s="122" t="str">
        <f>IFERROR(__xludf.DUMMYFUNCTION("""COMPUTED_VALUE"""),"Classroom Government Bond")</f>
        <v>Classroom Government Bond</v>
      </c>
      <c r="E7267" s="122">
        <f>IFERROR(__xludf.DUMMYFUNCTION("""COMPUTED_VALUE"""),101.1)</f>
        <v>101.1</v>
      </c>
      <c r="F7267" s="122">
        <f>IFERROR(__xludf.DUMMYFUNCTION("""COMPUTED_VALUE"""),2.0E-4)</f>
        <v>0.0002</v>
      </c>
    </row>
    <row r="7268">
      <c r="A7268" s="131">
        <f>IFERROR(__xludf.DUMMYFUNCTION("""COMPUTED_VALUE"""),46187.591770833336)</f>
        <v>46187.59177</v>
      </c>
      <c r="B7268" s="126">
        <f>IFERROR(__xludf.DUMMYFUNCTION("""COMPUTED_VALUE"""),46187.0)</f>
        <v>46187</v>
      </c>
      <c r="C7268" s="122" t="str">
        <f>IFERROR(__xludf.DUMMYFUNCTION("""COMPUTED_VALUE"""),"SBND")</f>
        <v>SBND</v>
      </c>
      <c r="D7268" s="122" t="str">
        <f>IFERROR(__xludf.DUMMYFUNCTION("""COMPUTED_VALUE"""),"School Savings Bond")</f>
        <v>School Savings Bond</v>
      </c>
      <c r="E7268" s="122">
        <f>IFERROR(__xludf.DUMMYFUNCTION("""COMPUTED_VALUE"""),99.24)</f>
        <v>99.24</v>
      </c>
      <c r="F7268" s="122">
        <f>IFERROR(__xludf.DUMMYFUNCTION("""COMPUTED_VALUE"""),-2.0E-4)</f>
        <v>-0.0002</v>
      </c>
    </row>
    <row r="7269">
      <c r="A7269" s="131">
        <f>IFERROR(__xludf.DUMMYFUNCTION("""COMPUTED_VALUE"""),46187.591770833336)</f>
        <v>46187.59177</v>
      </c>
      <c r="B7269" s="126">
        <f>IFERROR(__xludf.DUMMYFUNCTION("""COMPUTED_VALUE"""),46187.0)</f>
        <v>46187</v>
      </c>
      <c r="C7269" s="122" t="str">
        <f>IFERROR(__xludf.DUMMYFUNCTION("""COMPUTED_VALUE"""),"CBND")</f>
        <v>CBND</v>
      </c>
      <c r="D7269" s="122" t="str">
        <f>IFERROR(__xludf.DUMMYFUNCTION("""COMPUTED_VALUE"""),"Corporate Classroom Bond")</f>
        <v>Corporate Classroom Bond</v>
      </c>
      <c r="E7269" s="122">
        <f>IFERROR(__xludf.DUMMYFUNCTION("""COMPUTED_VALUE"""),97.73)</f>
        <v>97.73</v>
      </c>
      <c r="F7269" s="122">
        <f>IFERROR(__xludf.DUMMYFUNCTION("""COMPUTED_VALUE"""),1.0E-4)</f>
        <v>0.0001</v>
      </c>
    </row>
    <row r="7270">
      <c r="A7270" s="131">
        <f>IFERROR(__xludf.DUMMYFUNCTION("""COMPUTED_VALUE"""),46187.591770833336)</f>
        <v>46187.59177</v>
      </c>
      <c r="B7270" s="126">
        <f>IFERROR(__xludf.DUMMYFUNCTION("""COMPUTED_VALUE"""),46187.0)</f>
        <v>46187</v>
      </c>
      <c r="C7270" s="122" t="str">
        <f>IFERROR(__xludf.DUMMYFUNCTION("""COMPUTED_VALUE"""),"TBIL")</f>
        <v>TBIL</v>
      </c>
      <c r="D7270" s="122" t="str">
        <f>IFERROR(__xludf.DUMMYFUNCTION("""COMPUTED_VALUE"""),"Treasury Bill")</f>
        <v>Treasury Bill</v>
      </c>
      <c r="E7270" s="122">
        <f>IFERROR(__xludf.DUMMYFUNCTION("""COMPUTED_VALUE"""),97.71)</f>
        <v>97.71</v>
      </c>
      <c r="F7270" s="122">
        <f>IFERROR(__xludf.DUMMYFUNCTION("""COMPUTED_VALUE"""),-2.0E-4)</f>
        <v>-0.0002</v>
      </c>
    </row>
    <row r="7271">
      <c r="A7271" s="131">
        <f>IFERROR(__xludf.DUMMYFUNCTION("""COMPUTED_VALUE"""),46187.591770833336)</f>
        <v>46187.59177</v>
      </c>
      <c r="B7271" s="126">
        <f>IFERROR(__xludf.DUMMYFUNCTION("""COMPUTED_VALUE"""),46187.0)</f>
        <v>46187</v>
      </c>
      <c r="C7271" s="122" t="str">
        <f>IFERROR(__xludf.DUMMYFUNCTION("""COMPUTED_VALUE"""),"IBND")</f>
        <v>IBND</v>
      </c>
      <c r="D7271" s="122" t="str">
        <f>IFERROR(__xludf.DUMMYFUNCTION("""COMPUTED_VALUE"""),"Inflation Protected Bond")</f>
        <v>Inflation Protected Bond</v>
      </c>
      <c r="E7271" s="122">
        <f>IFERROR(__xludf.DUMMYFUNCTION("""COMPUTED_VALUE"""),100.74)</f>
        <v>100.74</v>
      </c>
      <c r="F7271" s="122">
        <f>IFERROR(__xludf.DUMMYFUNCTION("""COMPUTED_VALUE"""),-2.0E-4)</f>
        <v>-0.0002</v>
      </c>
    </row>
    <row r="7272">
      <c r="A7272" s="131">
        <f>IFERROR(__xludf.DUMMYFUNCTION("""COMPUTED_VALUE"""),46187.595243055555)</f>
        <v>46187.59524</v>
      </c>
      <c r="B7272" s="126">
        <f>IFERROR(__xludf.DUMMYFUNCTION("""COMPUTED_VALUE"""),46187.0)</f>
        <v>46187</v>
      </c>
      <c r="C7272" s="122" t="str">
        <f>IFERROR(__xludf.DUMMYFUNCTION("""COMPUTED_VALUE"""),"SNAX")</f>
        <v>SNAX</v>
      </c>
      <c r="D7272" s="122" t="str">
        <f>IFERROR(__xludf.DUMMYFUNCTION("""COMPUTED_VALUE"""),"MICA Snacks")</f>
        <v>MICA Snacks</v>
      </c>
      <c r="E7272" s="122">
        <f>IFERROR(__xludf.DUMMYFUNCTION("""COMPUTED_VALUE"""),122.83)</f>
        <v>122.83</v>
      </c>
      <c r="F7272" s="122">
        <f>IFERROR(__xludf.DUMMYFUNCTION("""COMPUTED_VALUE"""),8.0E-4)</f>
        <v>0.0008</v>
      </c>
    </row>
    <row r="7273">
      <c r="A7273" s="131">
        <f>IFERROR(__xludf.DUMMYFUNCTION("""COMPUTED_VALUE"""),46187.595243055555)</f>
        <v>46187.59524</v>
      </c>
      <c r="B7273" s="126">
        <f>IFERROR(__xludf.DUMMYFUNCTION("""COMPUTED_VALUE"""),46187.0)</f>
        <v>46187</v>
      </c>
      <c r="C7273" s="122" t="str">
        <f>IFERROR(__xludf.DUMMYFUNCTION("""COMPUTED_VALUE"""),"RAMN")</f>
        <v>RAMN</v>
      </c>
      <c r="D7273" s="122" t="str">
        <f>IFERROR(__xludf.DUMMYFUNCTION("""COMPUTED_VALUE"""),"Ramen Republic")</f>
        <v>Ramen Republic</v>
      </c>
      <c r="E7273" s="122">
        <f>IFERROR(__xludf.DUMMYFUNCTION("""COMPUTED_VALUE"""),63.99)</f>
        <v>63.99</v>
      </c>
      <c r="F7273" s="122">
        <f>IFERROR(__xludf.DUMMYFUNCTION("""COMPUTED_VALUE"""),-8.0E-4)</f>
        <v>-0.0008</v>
      </c>
    </row>
    <row r="7274">
      <c r="A7274" s="131">
        <f>IFERROR(__xludf.DUMMYFUNCTION("""COMPUTED_VALUE"""),46187.595243055555)</f>
        <v>46187.59524</v>
      </c>
      <c r="B7274" s="126">
        <f>IFERROR(__xludf.DUMMYFUNCTION("""COMPUTED_VALUE"""),46187.0)</f>
        <v>46187</v>
      </c>
      <c r="C7274" s="122" t="str">
        <f>IFERROR(__xludf.DUMMYFUNCTION("""COMPUTED_VALUE"""),"COLA")</f>
        <v>COLA</v>
      </c>
      <c r="D7274" s="122" t="str">
        <f>IFERROR(__xludf.DUMMYFUNCTION("""COMPUTED_VALUE"""),"K-Pop Cola")</f>
        <v>K-Pop Cola</v>
      </c>
      <c r="E7274" s="122">
        <f>IFERROR(__xludf.DUMMYFUNCTION("""COMPUTED_VALUE"""),114.12)</f>
        <v>114.12</v>
      </c>
      <c r="F7274" s="122">
        <f>IFERROR(__xludf.DUMMYFUNCTION("""COMPUTED_VALUE"""),0.0073)</f>
        <v>0.0073</v>
      </c>
    </row>
    <row r="7275">
      <c r="A7275" s="131">
        <f>IFERROR(__xludf.DUMMYFUNCTION("""COMPUTED_VALUE"""),46187.595243055555)</f>
        <v>46187.59524</v>
      </c>
      <c r="B7275" s="126">
        <f>IFERROR(__xludf.DUMMYFUNCTION("""COMPUTED_VALUE"""),46187.0)</f>
        <v>46187</v>
      </c>
      <c r="C7275" s="122" t="str">
        <f>IFERROR(__xludf.DUMMYFUNCTION("""COMPUTED_VALUE"""),"CHIP")</f>
        <v>CHIP</v>
      </c>
      <c r="D7275" s="122" t="str">
        <f>IFERROR(__xludf.DUMMYFUNCTION("""COMPUTED_VALUE"""),"Chip Empire")</f>
        <v>Chip Empire</v>
      </c>
      <c r="E7275" s="122">
        <f>IFERROR(__xludf.DUMMYFUNCTION("""COMPUTED_VALUE"""),81.5)</f>
        <v>81.5</v>
      </c>
      <c r="F7275" s="122">
        <f>IFERROR(__xludf.DUMMYFUNCTION("""COMPUTED_VALUE"""),-0.0094)</f>
        <v>-0.0094</v>
      </c>
    </row>
    <row r="7276">
      <c r="A7276" s="131">
        <f>IFERROR(__xludf.DUMMYFUNCTION("""COMPUTED_VALUE"""),46187.595243055555)</f>
        <v>46187.59524</v>
      </c>
      <c r="B7276" s="126">
        <f>IFERROR(__xludf.DUMMYFUNCTION("""COMPUTED_VALUE"""),46187.0)</f>
        <v>46187</v>
      </c>
      <c r="C7276" s="122" t="str">
        <f>IFERROR(__xludf.DUMMYFUNCTION("""COMPUTED_VALUE"""),"CAND")</f>
        <v>CAND</v>
      </c>
      <c r="D7276" s="122" t="str">
        <f>IFERROR(__xludf.DUMMYFUNCTION("""COMPUTED_VALUE"""),"Candy Capital")</f>
        <v>Candy Capital</v>
      </c>
      <c r="E7276" s="122">
        <f>IFERROR(__xludf.DUMMYFUNCTION("""COMPUTED_VALUE"""),77.11)</f>
        <v>77.11</v>
      </c>
      <c r="F7276" s="122">
        <f>IFERROR(__xludf.DUMMYFUNCTION("""COMPUTED_VALUE"""),0.0057)</f>
        <v>0.0057</v>
      </c>
    </row>
    <row r="7277">
      <c r="A7277" s="131">
        <f>IFERROR(__xludf.DUMMYFUNCTION("""COMPUTED_VALUE"""),46187.595243055555)</f>
        <v>46187.59524</v>
      </c>
      <c r="B7277" s="126">
        <f>IFERROR(__xludf.DUMMYFUNCTION("""COMPUTED_VALUE"""),46187.0)</f>
        <v>46187</v>
      </c>
      <c r="C7277" s="122" t="str">
        <f>IFERROR(__xludf.DUMMYFUNCTION("""COMPUTED_VALUE"""),"TECH")</f>
        <v>TECH</v>
      </c>
      <c r="D7277" s="122" t="str">
        <f>IFERROR(__xludf.DUMMYFUNCTION("""COMPUTED_VALUE"""),"Dragon Tech")</f>
        <v>Dragon Tech</v>
      </c>
      <c r="E7277" s="122">
        <f>IFERROR(__xludf.DUMMYFUNCTION("""COMPUTED_VALUE"""),255.93)</f>
        <v>255.93</v>
      </c>
      <c r="F7277" s="122">
        <f>IFERROR(__xludf.DUMMYFUNCTION("""COMPUTED_VALUE"""),0.0022)</f>
        <v>0.0022</v>
      </c>
    </row>
    <row r="7278">
      <c r="A7278" s="131">
        <f>IFERROR(__xludf.DUMMYFUNCTION("""COMPUTED_VALUE"""),46187.595243055555)</f>
        <v>46187.59524</v>
      </c>
      <c r="B7278" s="126">
        <f>IFERROR(__xludf.DUMMYFUNCTION("""COMPUTED_VALUE"""),46187.0)</f>
        <v>46187</v>
      </c>
      <c r="C7278" s="122" t="str">
        <f>IFERROR(__xludf.DUMMYFUNCTION("""COMPUTED_VALUE"""),"AIBO")</f>
        <v>AIBO</v>
      </c>
      <c r="D7278" s="122" t="str">
        <f>IFERROR(__xludf.DUMMYFUNCTION("""COMPUTED_VALUE"""),"Homework AI")</f>
        <v>Homework AI</v>
      </c>
      <c r="E7278" s="122">
        <f>IFERROR(__xludf.DUMMYFUNCTION("""COMPUTED_VALUE"""),188.84)</f>
        <v>188.84</v>
      </c>
      <c r="F7278" s="122">
        <f>IFERROR(__xludf.DUMMYFUNCTION("""COMPUTED_VALUE"""),0.002)</f>
        <v>0.002</v>
      </c>
    </row>
    <row r="7279">
      <c r="A7279" s="131">
        <f>IFERROR(__xludf.DUMMYFUNCTION("""COMPUTED_VALUE"""),46187.595243055555)</f>
        <v>46187.59524</v>
      </c>
      <c r="B7279" s="126">
        <f>IFERROR(__xludf.DUMMYFUNCTION("""COMPUTED_VALUE"""),46187.0)</f>
        <v>46187</v>
      </c>
      <c r="C7279" s="122" t="str">
        <f>IFERROR(__xludf.DUMMYFUNCTION("""COMPUTED_VALUE"""),"GAME")</f>
        <v>GAME</v>
      </c>
      <c r="D7279" s="122" t="str">
        <f>IFERROR(__xludf.DUMMYFUNCTION("""COMPUTED_VALUE"""),"GameBox Media")</f>
        <v>GameBox Media</v>
      </c>
      <c r="E7279" s="122">
        <f>IFERROR(__xludf.DUMMYFUNCTION("""COMPUTED_VALUE"""),103.65)</f>
        <v>103.65</v>
      </c>
      <c r="F7279" s="122">
        <f>IFERROR(__xludf.DUMMYFUNCTION("""COMPUTED_VALUE"""),-0.0036)</f>
        <v>-0.0036</v>
      </c>
    </row>
    <row r="7280">
      <c r="A7280" s="131">
        <f>IFERROR(__xludf.DUMMYFUNCTION("""COMPUTED_VALUE"""),46187.595243055555)</f>
        <v>46187.59524</v>
      </c>
      <c r="B7280" s="126">
        <f>IFERROR(__xludf.DUMMYFUNCTION("""COMPUTED_VALUE"""),46187.0)</f>
        <v>46187</v>
      </c>
      <c r="C7280" s="122" t="str">
        <f>IFERROR(__xludf.DUMMYFUNCTION("""COMPUTED_VALUE"""),"VRSE")</f>
        <v>VRSE</v>
      </c>
      <c r="D7280" s="122" t="str">
        <f>IFERROR(__xludf.DUMMYFUNCTION("""COMPUTED_VALUE"""),"VerseVR")</f>
        <v>VerseVR</v>
      </c>
      <c r="E7280" s="122">
        <f>IFERROR(__xludf.DUMMYFUNCTION("""COMPUTED_VALUE"""),147.71)</f>
        <v>147.71</v>
      </c>
      <c r="F7280" s="122">
        <f>IFERROR(__xludf.DUMMYFUNCTION("""COMPUTED_VALUE"""),-0.0035)</f>
        <v>-0.0035</v>
      </c>
    </row>
    <row r="7281">
      <c r="A7281" s="131">
        <f>IFERROR(__xludf.DUMMYFUNCTION("""COMPUTED_VALUE"""),46187.595243055555)</f>
        <v>46187.59524</v>
      </c>
      <c r="B7281" s="126">
        <f>IFERROR(__xludf.DUMMYFUNCTION("""COMPUTED_VALUE"""),46187.0)</f>
        <v>46187</v>
      </c>
      <c r="C7281" s="122" t="str">
        <f>IFERROR(__xludf.DUMMYFUNCTION("""COMPUTED_VALUE"""),"BYTE")</f>
        <v>BYTE</v>
      </c>
      <c r="D7281" s="122" t="str">
        <f>IFERROR(__xludf.DUMMYFUNCTION("""COMPUTED_VALUE"""),"ByteWorks")</f>
        <v>ByteWorks</v>
      </c>
      <c r="E7281" s="122">
        <f>IFERROR(__xludf.DUMMYFUNCTION("""COMPUTED_VALUE"""),116.42)</f>
        <v>116.42</v>
      </c>
      <c r="F7281" s="122">
        <f>IFERROR(__xludf.DUMMYFUNCTION("""COMPUTED_VALUE"""),-0.0088)</f>
        <v>-0.0088</v>
      </c>
    </row>
    <row r="7282">
      <c r="A7282" s="131">
        <f>IFERROR(__xludf.DUMMYFUNCTION("""COMPUTED_VALUE"""),46187.595243055555)</f>
        <v>46187.59524</v>
      </c>
      <c r="B7282" s="126">
        <f>IFERROR(__xludf.DUMMYFUNCTION("""COMPUTED_VALUE"""),46187.0)</f>
        <v>46187</v>
      </c>
      <c r="C7282" s="122" t="str">
        <f>IFERROR(__xludf.DUMMYFUNCTION("""COMPUTED_VALUE"""),"BANK")</f>
        <v>BANK</v>
      </c>
      <c r="D7282" s="122" t="str">
        <f>IFERROR(__xludf.DUMMYFUNCTION("""COMPUTED_VALUE"""),"Tiger Bank")</f>
        <v>Tiger Bank</v>
      </c>
      <c r="E7282" s="122">
        <f>IFERROR(__xludf.DUMMYFUNCTION("""COMPUTED_VALUE"""),130.58)</f>
        <v>130.58</v>
      </c>
      <c r="F7282" s="122">
        <f>IFERROR(__xludf.DUMMYFUNCTION("""COMPUTED_VALUE"""),-0.0028)</f>
        <v>-0.0028</v>
      </c>
    </row>
    <row r="7283">
      <c r="A7283" s="131">
        <f>IFERROR(__xludf.DUMMYFUNCTION("""COMPUTED_VALUE"""),46187.595243055555)</f>
        <v>46187.59524</v>
      </c>
      <c r="B7283" s="126">
        <f>IFERROR(__xludf.DUMMYFUNCTION("""COMPUTED_VALUE"""),46187.0)</f>
        <v>46187</v>
      </c>
      <c r="C7283" s="122" t="str">
        <f>IFERROR(__xludf.DUMMYFUNCTION("""COMPUTED_VALUE"""),"CRED")</f>
        <v>CRED</v>
      </c>
      <c r="D7283" s="122" t="str">
        <f>IFERROR(__xludf.DUMMYFUNCTION("""COMPUTED_VALUE"""),"Credit Castle")</f>
        <v>Credit Castle</v>
      </c>
      <c r="E7283" s="122">
        <f>IFERROR(__xludf.DUMMYFUNCTION("""COMPUTED_VALUE"""),66.48)</f>
        <v>66.48</v>
      </c>
      <c r="F7283" s="122">
        <f>IFERROR(__xludf.DUMMYFUNCTION("""COMPUTED_VALUE"""),0.0012)</f>
        <v>0.0012</v>
      </c>
    </row>
    <row r="7284">
      <c r="A7284" s="131">
        <f>IFERROR(__xludf.DUMMYFUNCTION("""COMPUTED_VALUE"""),46187.595243055555)</f>
        <v>46187.59524</v>
      </c>
      <c r="B7284" s="126">
        <f>IFERROR(__xludf.DUMMYFUNCTION("""COMPUTED_VALUE"""),46187.0)</f>
        <v>46187</v>
      </c>
      <c r="C7284" s="122" t="str">
        <f>IFERROR(__xludf.DUMMYFUNCTION("""COMPUTED_VALUE"""),"BOND")</f>
        <v>BOND</v>
      </c>
      <c r="D7284" s="122" t="str">
        <f>IFERROR(__xludf.DUMMYFUNCTION("""COMPUTED_VALUE"""),"BondBridge")</f>
        <v>BondBridge</v>
      </c>
      <c r="E7284" s="122">
        <f>IFERROR(__xludf.DUMMYFUNCTION("""COMPUTED_VALUE"""),103.87)</f>
        <v>103.87</v>
      </c>
      <c r="F7284" s="122">
        <f>IFERROR(__xludf.DUMMYFUNCTION("""COMPUTED_VALUE"""),0.0019)</f>
        <v>0.0019</v>
      </c>
    </row>
    <row r="7285">
      <c r="A7285" s="131">
        <f>IFERROR(__xludf.DUMMYFUNCTION("""COMPUTED_VALUE"""),46187.595243055555)</f>
        <v>46187.59524</v>
      </c>
      <c r="B7285" s="126">
        <f>IFERROR(__xludf.DUMMYFUNCTION("""COMPUTED_VALUE"""),46187.0)</f>
        <v>46187</v>
      </c>
      <c r="C7285" s="122" t="str">
        <f>IFERROR(__xludf.DUMMYFUNCTION("""COMPUTED_VALUE"""),"INSR")</f>
        <v>INSR</v>
      </c>
      <c r="D7285" s="122" t="str">
        <f>IFERROR(__xludf.DUMMYFUNCTION("""COMPUTED_VALUE"""),"Shield Insurance")</f>
        <v>Shield Insurance</v>
      </c>
      <c r="E7285" s="122">
        <f>IFERROR(__xludf.DUMMYFUNCTION("""COMPUTED_VALUE"""),157.48)</f>
        <v>157.48</v>
      </c>
      <c r="F7285" s="122">
        <f>IFERROR(__xludf.DUMMYFUNCTION("""COMPUTED_VALUE"""),-0.0013)</f>
        <v>-0.0013</v>
      </c>
    </row>
    <row r="7286">
      <c r="A7286" s="131">
        <f>IFERROR(__xludf.DUMMYFUNCTION("""COMPUTED_VALUE"""),46187.595243055555)</f>
        <v>46187.59524</v>
      </c>
      <c r="B7286" s="126">
        <f>IFERROR(__xludf.DUMMYFUNCTION("""COMPUTED_VALUE"""),46187.0)</f>
        <v>46187</v>
      </c>
      <c r="C7286" s="122" t="str">
        <f>IFERROR(__xludf.DUMMYFUNCTION("""COMPUTED_VALUE"""),"LOAN")</f>
        <v>LOAN</v>
      </c>
      <c r="D7286" s="122" t="str">
        <f>IFERROR(__xludf.DUMMYFUNCTION("""COMPUTED_VALUE"""),"LoanLab")</f>
        <v>LoanLab</v>
      </c>
      <c r="E7286" s="122">
        <f>IFERROR(__xludf.DUMMYFUNCTION("""COMPUTED_VALUE"""),69.81)</f>
        <v>69.81</v>
      </c>
      <c r="F7286" s="122">
        <f>IFERROR(__xludf.DUMMYFUNCTION("""COMPUTED_VALUE"""),0.0078)</f>
        <v>0.0078</v>
      </c>
    </row>
    <row r="7287">
      <c r="A7287" s="131">
        <f>IFERROR(__xludf.DUMMYFUNCTION("""COMPUTED_VALUE"""),46187.595243055555)</f>
        <v>46187.59524</v>
      </c>
      <c r="B7287" s="126">
        <f>IFERROR(__xludf.DUMMYFUNCTION("""COMPUTED_VALUE"""),46187.0)</f>
        <v>46187</v>
      </c>
      <c r="C7287" s="122" t="str">
        <f>IFERROR(__xludf.DUMMYFUNCTION("""COMPUTED_VALUE"""),"LUXE")</f>
        <v>LUXE</v>
      </c>
      <c r="D7287" s="122" t="str">
        <f>IFERROR(__xludf.DUMMYFUNCTION("""COMPUTED_VALUE"""),"Luxury Locker")</f>
        <v>Luxury Locker</v>
      </c>
      <c r="E7287" s="122">
        <f>IFERROR(__xludf.DUMMYFUNCTION("""COMPUTED_VALUE"""),263.43)</f>
        <v>263.43</v>
      </c>
      <c r="F7287" s="122">
        <f>IFERROR(__xludf.DUMMYFUNCTION("""COMPUTED_VALUE"""),-0.0045)</f>
        <v>-0.0045</v>
      </c>
    </row>
    <row r="7288">
      <c r="A7288" s="131">
        <f>IFERROR(__xludf.DUMMYFUNCTION("""COMPUTED_VALUE"""),46187.595243055555)</f>
        <v>46187.59524</v>
      </c>
      <c r="B7288" s="126">
        <f>IFERROR(__xludf.DUMMYFUNCTION("""COMPUTED_VALUE"""),46187.0)</f>
        <v>46187</v>
      </c>
      <c r="C7288" s="122" t="str">
        <f>IFERROR(__xludf.DUMMYFUNCTION("""COMPUTED_VALUE"""),"DRIP")</f>
        <v>DRIP</v>
      </c>
      <c r="D7288" s="122" t="str">
        <f>IFERROR(__xludf.DUMMYFUNCTION("""COMPUTED_VALUE"""),"Drip Streetwear")</f>
        <v>Drip Streetwear</v>
      </c>
      <c r="E7288" s="122">
        <f>IFERROR(__xludf.DUMMYFUNCTION("""COMPUTED_VALUE"""),189.33)</f>
        <v>189.33</v>
      </c>
      <c r="F7288" s="122">
        <f>IFERROR(__xludf.DUMMYFUNCTION("""COMPUTED_VALUE"""),-0.012)</f>
        <v>-0.012</v>
      </c>
    </row>
    <row r="7289">
      <c r="A7289" s="131">
        <f>IFERROR(__xludf.DUMMYFUNCTION("""COMPUTED_VALUE"""),46187.595243055555)</f>
        <v>46187.59524</v>
      </c>
      <c r="B7289" s="126">
        <f>IFERROR(__xludf.DUMMYFUNCTION("""COMPUTED_VALUE"""),46187.0)</f>
        <v>46187</v>
      </c>
      <c r="C7289" s="122" t="str">
        <f>IFERROR(__xludf.DUMMYFUNCTION("""COMPUTED_VALUE"""),"KICK")</f>
        <v>KICK</v>
      </c>
      <c r="D7289" s="122" t="str">
        <f>IFERROR(__xludf.DUMMYFUNCTION("""COMPUTED_VALUE"""),"KickDrop Sneakers")</f>
        <v>KickDrop Sneakers</v>
      </c>
      <c r="E7289" s="122">
        <f>IFERROR(__xludf.DUMMYFUNCTION("""COMPUTED_VALUE"""),169.31)</f>
        <v>169.31</v>
      </c>
      <c r="F7289" s="122">
        <f>IFERROR(__xludf.DUMMYFUNCTION("""COMPUTED_VALUE"""),-6.0E-4)</f>
        <v>-0.0006</v>
      </c>
    </row>
    <row r="7290">
      <c r="A7290" s="131">
        <f>IFERROR(__xludf.DUMMYFUNCTION("""COMPUTED_VALUE"""),46187.595243055555)</f>
        <v>46187.59524</v>
      </c>
      <c r="B7290" s="126">
        <f>IFERROR(__xludf.DUMMYFUNCTION("""COMPUTED_VALUE"""),46187.0)</f>
        <v>46187</v>
      </c>
      <c r="C7290" s="122" t="str">
        <f>IFERROR(__xludf.DUMMYFUNCTION("""COMPUTED_VALUE"""),"GLAM")</f>
        <v>GLAM</v>
      </c>
      <c r="D7290" s="122" t="str">
        <f>IFERROR(__xludf.DUMMYFUNCTION("""COMPUTED_VALUE"""),"Glow Cosmetics")</f>
        <v>Glow Cosmetics</v>
      </c>
      <c r="E7290" s="122">
        <f>IFERROR(__xludf.DUMMYFUNCTION("""COMPUTED_VALUE"""),109.42)</f>
        <v>109.42</v>
      </c>
      <c r="F7290" s="122">
        <f>IFERROR(__xludf.DUMMYFUNCTION("""COMPUTED_VALUE"""),-0.0039)</f>
        <v>-0.0039</v>
      </c>
    </row>
    <row r="7291">
      <c r="A7291" s="131">
        <f>IFERROR(__xludf.DUMMYFUNCTION("""COMPUTED_VALUE"""),46187.595243055555)</f>
        <v>46187.59524</v>
      </c>
      <c r="B7291" s="126">
        <f>IFERROR(__xludf.DUMMYFUNCTION("""COMPUTED_VALUE"""),46187.0)</f>
        <v>46187</v>
      </c>
      <c r="C7291" s="122" t="str">
        <f>IFERROR(__xludf.DUMMYFUNCTION("""COMPUTED_VALUE"""),"BAGG")</f>
        <v>BAGG</v>
      </c>
      <c r="D7291" s="122" t="str">
        <f>IFERROR(__xludf.DUMMYFUNCTION("""COMPUTED_VALUE"""),"BagVault")</f>
        <v>BagVault</v>
      </c>
      <c r="E7291" s="122">
        <f>IFERROR(__xludf.DUMMYFUNCTION("""COMPUTED_VALUE"""),274.54)</f>
        <v>274.54</v>
      </c>
      <c r="F7291" s="122">
        <f>IFERROR(__xludf.DUMMYFUNCTION("""COMPUTED_VALUE"""),0.0094)</f>
        <v>0.0094</v>
      </c>
    </row>
    <row r="7292">
      <c r="A7292" s="131">
        <f>IFERROR(__xludf.DUMMYFUNCTION("""COMPUTED_VALUE"""),46187.595243055555)</f>
        <v>46187.59524</v>
      </c>
      <c r="B7292" s="126">
        <f>IFERROR(__xludf.DUMMYFUNCTION("""COMPUTED_VALUE"""),46187.0)</f>
        <v>46187</v>
      </c>
      <c r="C7292" s="122" t="str">
        <f>IFERROR(__xludf.DUMMYFUNCTION("""COMPUTED_VALUE"""),"FAST")</f>
        <v>FAST</v>
      </c>
      <c r="D7292" s="122" t="str">
        <f>IFERROR(__xludf.DUMMYFUNCTION("""COMPUTED_VALUE"""),"Flash Logistics")</f>
        <v>Flash Logistics</v>
      </c>
      <c r="E7292" s="122">
        <f>IFERROR(__xludf.DUMMYFUNCTION("""COMPUTED_VALUE"""),107.86)</f>
        <v>107.86</v>
      </c>
      <c r="F7292" s="122">
        <f>IFERROR(__xludf.DUMMYFUNCTION("""COMPUTED_VALUE"""),0.0027)</f>
        <v>0.0027</v>
      </c>
    </row>
    <row r="7293">
      <c r="A7293" s="131">
        <f>IFERROR(__xludf.DUMMYFUNCTION("""COMPUTED_VALUE"""),46187.595243055555)</f>
        <v>46187.59524</v>
      </c>
      <c r="B7293" s="126">
        <f>IFERROR(__xludf.DUMMYFUNCTION("""COMPUTED_VALUE"""),46187.0)</f>
        <v>46187</v>
      </c>
      <c r="C7293" s="122" t="str">
        <f>IFERROR(__xludf.DUMMYFUNCTION("""COMPUTED_VALUE"""),"SHIP")</f>
        <v>SHIP</v>
      </c>
      <c r="D7293" s="122" t="str">
        <f>IFERROR(__xludf.DUMMYFUNCTION("""COMPUTED_VALUE"""),"Seoul Shipping")</f>
        <v>Seoul Shipping</v>
      </c>
      <c r="E7293" s="122">
        <f>IFERROR(__xludf.DUMMYFUNCTION("""COMPUTED_VALUE"""),129.72)</f>
        <v>129.72</v>
      </c>
      <c r="F7293" s="122">
        <f>IFERROR(__xludf.DUMMYFUNCTION("""COMPUTED_VALUE"""),0.0036)</f>
        <v>0.0036</v>
      </c>
    </row>
    <row r="7294">
      <c r="A7294" s="131">
        <f>IFERROR(__xludf.DUMMYFUNCTION("""COMPUTED_VALUE"""),46187.595243055555)</f>
        <v>46187.59524</v>
      </c>
      <c r="B7294" s="126">
        <f>IFERROR(__xludf.DUMMYFUNCTION("""COMPUTED_VALUE"""),46187.0)</f>
        <v>46187</v>
      </c>
      <c r="C7294" s="122" t="str">
        <f>IFERROR(__xludf.DUMMYFUNCTION("""COMPUTED_VALUE"""),"DRON")</f>
        <v>DRON</v>
      </c>
      <c r="D7294" s="122" t="str">
        <f>IFERROR(__xludf.DUMMYFUNCTION("""COMPUTED_VALUE"""),"DroneDrop")</f>
        <v>DroneDrop</v>
      </c>
      <c r="E7294" s="122">
        <f>IFERROR(__xludf.DUMMYFUNCTION("""COMPUTED_VALUE"""),124.1)</f>
        <v>124.1</v>
      </c>
      <c r="F7294" s="122">
        <f>IFERROR(__xludf.DUMMYFUNCTION("""COMPUTED_VALUE"""),-0.0075)</f>
        <v>-0.0075</v>
      </c>
    </row>
    <row r="7295">
      <c r="A7295" s="131">
        <f>IFERROR(__xludf.DUMMYFUNCTION("""COMPUTED_VALUE"""),46187.595243055555)</f>
        <v>46187.59524</v>
      </c>
      <c r="B7295" s="126">
        <f>IFERROR(__xludf.DUMMYFUNCTION("""COMPUTED_VALUE"""),46187.0)</f>
        <v>46187</v>
      </c>
      <c r="C7295" s="122" t="str">
        <f>IFERROR(__xludf.DUMMYFUNCTION("""COMPUTED_VALUE"""),"RIDE")</f>
        <v>RIDE</v>
      </c>
      <c r="D7295" s="122" t="str">
        <f>IFERROR(__xludf.DUMMYFUNCTION("""COMPUTED_VALUE"""),"QuickRide")</f>
        <v>QuickRide</v>
      </c>
      <c r="E7295" s="122">
        <f>IFERROR(__xludf.DUMMYFUNCTION("""COMPUTED_VALUE"""),103.52)</f>
        <v>103.52</v>
      </c>
      <c r="F7295" s="122">
        <f>IFERROR(__xludf.DUMMYFUNCTION("""COMPUTED_VALUE"""),0.0054)</f>
        <v>0.0054</v>
      </c>
    </row>
    <row r="7296">
      <c r="A7296" s="131">
        <f>IFERROR(__xludf.DUMMYFUNCTION("""COMPUTED_VALUE"""),46187.595243055555)</f>
        <v>46187.59524</v>
      </c>
      <c r="B7296" s="126">
        <f>IFERROR(__xludf.DUMMYFUNCTION("""COMPUTED_VALUE"""),46187.0)</f>
        <v>46187</v>
      </c>
      <c r="C7296" s="122" t="str">
        <f>IFERROR(__xludf.DUMMYFUNCTION("""COMPUTED_VALUE"""),"RAIL")</f>
        <v>RAIL</v>
      </c>
      <c r="D7296" s="122" t="str">
        <f>IFERROR(__xludf.DUMMYFUNCTION("""COMPUTED_VALUE"""),"MetroRail Corp")</f>
        <v>MetroRail Corp</v>
      </c>
      <c r="E7296" s="122">
        <f>IFERROR(__xludf.DUMMYFUNCTION("""COMPUTED_VALUE"""),131.31)</f>
        <v>131.31</v>
      </c>
      <c r="F7296" s="122">
        <f>IFERROR(__xludf.DUMMYFUNCTION("""COMPUTED_VALUE"""),0.0013)</f>
        <v>0.0013</v>
      </c>
    </row>
    <row r="7297">
      <c r="A7297" s="131">
        <f>IFERROR(__xludf.DUMMYFUNCTION("""COMPUTED_VALUE"""),46187.595243055555)</f>
        <v>46187.59524</v>
      </c>
      <c r="B7297" s="126">
        <f>IFERROR(__xludf.DUMMYFUNCTION("""COMPUTED_VALUE"""),46187.0)</f>
        <v>46187</v>
      </c>
      <c r="C7297" s="122" t="str">
        <f>IFERROR(__xludf.DUMMYFUNCTION("""COMPUTED_VALUE"""),"MEDX")</f>
        <v>MEDX</v>
      </c>
      <c r="D7297" s="122" t="str">
        <f>IFERROR(__xludf.DUMMYFUNCTION("""COMPUTED_VALUE"""),"MediCore")</f>
        <v>MediCore</v>
      </c>
      <c r="E7297" s="122">
        <f>IFERROR(__xludf.DUMMYFUNCTION("""COMPUTED_VALUE"""),137.88)</f>
        <v>137.88</v>
      </c>
      <c r="F7297" s="122">
        <f>IFERROR(__xludf.DUMMYFUNCTION("""COMPUTED_VALUE"""),-0.002)</f>
        <v>-0.002</v>
      </c>
    </row>
    <row r="7298">
      <c r="A7298" s="131">
        <f>IFERROR(__xludf.DUMMYFUNCTION("""COMPUTED_VALUE"""),46187.595243055555)</f>
        <v>46187.59524</v>
      </c>
      <c r="B7298" s="126">
        <f>IFERROR(__xludf.DUMMYFUNCTION("""COMPUTED_VALUE"""),46187.0)</f>
        <v>46187</v>
      </c>
      <c r="C7298" s="122" t="str">
        <f>IFERROR(__xludf.DUMMYFUNCTION("""COMPUTED_VALUE"""),"GYMX")</f>
        <v>GYMX</v>
      </c>
      <c r="D7298" s="122" t="str">
        <f>IFERROR(__xludf.DUMMYFUNCTION("""COMPUTED_VALUE"""),"GymX Fitness")</f>
        <v>GymX Fitness</v>
      </c>
      <c r="E7298" s="122">
        <f>IFERROR(__xludf.DUMMYFUNCTION("""COMPUTED_VALUE"""),84.62)</f>
        <v>84.62</v>
      </c>
      <c r="F7298" s="122">
        <f>IFERROR(__xludf.DUMMYFUNCTION("""COMPUTED_VALUE"""),-0.0052)</f>
        <v>-0.0052</v>
      </c>
    </row>
    <row r="7299">
      <c r="A7299" s="131">
        <f>IFERROR(__xludf.DUMMYFUNCTION("""COMPUTED_VALUE"""),46187.595243055555)</f>
        <v>46187.59524</v>
      </c>
      <c r="B7299" s="126">
        <f>IFERROR(__xludf.DUMMYFUNCTION("""COMPUTED_VALUE"""),46187.0)</f>
        <v>46187</v>
      </c>
      <c r="C7299" s="122" t="str">
        <f>IFERROR(__xludf.DUMMYFUNCTION("""COMPUTED_VALUE"""),"VITA")</f>
        <v>VITA</v>
      </c>
      <c r="D7299" s="122" t="str">
        <f>IFERROR(__xludf.DUMMYFUNCTION("""COMPUTED_VALUE"""),"VitaPlus")</f>
        <v>VitaPlus</v>
      </c>
      <c r="E7299" s="122">
        <f>IFERROR(__xludf.DUMMYFUNCTION("""COMPUTED_VALUE"""),72.83)</f>
        <v>72.83</v>
      </c>
      <c r="F7299" s="122">
        <f>IFERROR(__xludf.DUMMYFUNCTION("""COMPUTED_VALUE"""),-3.0E-4)</f>
        <v>-0.0003</v>
      </c>
    </row>
    <row r="7300">
      <c r="A7300" s="131">
        <f>IFERROR(__xludf.DUMMYFUNCTION("""COMPUTED_VALUE"""),46187.595243055555)</f>
        <v>46187.59524</v>
      </c>
      <c r="B7300" s="126">
        <f>IFERROR(__xludf.DUMMYFUNCTION("""COMPUTED_VALUE"""),46187.0)</f>
        <v>46187</v>
      </c>
      <c r="C7300" s="122" t="str">
        <f>IFERROR(__xludf.DUMMYFUNCTION("""COMPUTED_VALUE"""),"CARE")</f>
        <v>CARE</v>
      </c>
      <c r="D7300" s="122" t="str">
        <f>IFERROR(__xludf.DUMMYFUNCTION("""COMPUTED_VALUE"""),"CareCloud")</f>
        <v>CareCloud</v>
      </c>
      <c r="E7300" s="122">
        <f>IFERROR(__xludf.DUMMYFUNCTION("""COMPUTED_VALUE"""),182.9)</f>
        <v>182.9</v>
      </c>
      <c r="F7300" s="122">
        <f>IFERROR(__xludf.DUMMYFUNCTION("""COMPUTED_VALUE"""),0.0041)</f>
        <v>0.0041</v>
      </c>
    </row>
    <row r="7301">
      <c r="A7301" s="131">
        <f>IFERROR(__xludf.DUMMYFUNCTION("""COMPUTED_VALUE"""),46187.595243055555)</f>
        <v>46187.59524</v>
      </c>
      <c r="B7301" s="126">
        <f>IFERROR(__xludf.DUMMYFUNCTION("""COMPUTED_VALUE"""),46187.0)</f>
        <v>46187</v>
      </c>
      <c r="C7301" s="122" t="str">
        <f>IFERROR(__xludf.DUMMYFUNCTION("""COMPUTED_VALUE"""),"DENT")</f>
        <v>DENT</v>
      </c>
      <c r="D7301" s="122" t="str">
        <f>IFERROR(__xludf.DUMMYFUNCTION("""COMPUTED_VALUE"""),"SmileWorks")</f>
        <v>SmileWorks</v>
      </c>
      <c r="E7301" s="122">
        <f>IFERROR(__xludf.DUMMYFUNCTION("""COMPUTED_VALUE"""),95.04)</f>
        <v>95.04</v>
      </c>
      <c r="F7301" s="122">
        <f>IFERROR(__xludf.DUMMYFUNCTION("""COMPUTED_VALUE"""),2.0E-4)</f>
        <v>0.0002</v>
      </c>
    </row>
    <row r="7302">
      <c r="A7302" s="131">
        <f>IFERROR(__xludf.DUMMYFUNCTION("""COMPUTED_VALUE"""),46187.595243055555)</f>
        <v>46187.59524</v>
      </c>
      <c r="B7302" s="126">
        <f>IFERROR(__xludf.DUMMYFUNCTION("""COMPUTED_VALUE"""),46187.0)</f>
        <v>46187</v>
      </c>
      <c r="C7302" s="122" t="str">
        <f>IFERROR(__xludf.DUMMYFUNCTION("""COMPUTED_VALUE"""),"EDUX")</f>
        <v>EDUX</v>
      </c>
      <c r="D7302" s="122" t="str">
        <f>IFERROR(__xludf.DUMMYFUNCTION("""COMPUTED_VALUE"""),"EduMax Learning")</f>
        <v>EduMax Learning</v>
      </c>
      <c r="E7302" s="122">
        <f>IFERROR(__xludf.DUMMYFUNCTION("""COMPUTED_VALUE"""),145.66)</f>
        <v>145.66</v>
      </c>
      <c r="F7302" s="122">
        <f>IFERROR(__xludf.DUMMYFUNCTION("""COMPUTED_VALUE"""),-0.0026)</f>
        <v>-0.0026</v>
      </c>
    </row>
    <row r="7303">
      <c r="A7303" s="131">
        <f>IFERROR(__xludf.DUMMYFUNCTION("""COMPUTED_VALUE"""),46187.595243055555)</f>
        <v>46187.59524</v>
      </c>
      <c r="B7303" s="126">
        <f>IFERROR(__xludf.DUMMYFUNCTION("""COMPUTED_VALUE"""),46187.0)</f>
        <v>46187</v>
      </c>
      <c r="C7303" s="122" t="str">
        <f>IFERROR(__xludf.DUMMYFUNCTION("""COMPUTED_VALUE"""),"BOOK")</f>
        <v>BOOK</v>
      </c>
      <c r="D7303" s="122" t="str">
        <f>IFERROR(__xludf.DUMMYFUNCTION("""COMPUTED_VALUE"""),"BookBridge")</f>
        <v>BookBridge</v>
      </c>
      <c r="E7303" s="122">
        <f>IFERROR(__xludf.DUMMYFUNCTION("""COMPUTED_VALUE"""),119.25)</f>
        <v>119.25</v>
      </c>
      <c r="F7303" s="122">
        <f>IFERROR(__xludf.DUMMYFUNCTION("""COMPUTED_VALUE"""),0.0036)</f>
        <v>0.0036</v>
      </c>
    </row>
    <row r="7304">
      <c r="A7304" s="131">
        <f>IFERROR(__xludf.DUMMYFUNCTION("""COMPUTED_VALUE"""),46187.595243055555)</f>
        <v>46187.59524</v>
      </c>
      <c r="B7304" s="126">
        <f>IFERROR(__xludf.DUMMYFUNCTION("""COMPUTED_VALUE"""),46187.0)</f>
        <v>46187</v>
      </c>
      <c r="C7304" s="122" t="str">
        <f>IFERROR(__xludf.DUMMYFUNCTION("""COMPUTED_VALUE"""),"TUTR")</f>
        <v>TUTR</v>
      </c>
      <c r="D7304" s="122" t="str">
        <f>IFERROR(__xludf.DUMMYFUNCTION("""COMPUTED_VALUE"""),"TutorTown")</f>
        <v>TutorTown</v>
      </c>
      <c r="E7304" s="122">
        <f>IFERROR(__xludf.DUMMYFUNCTION("""COMPUTED_VALUE"""),90.69)</f>
        <v>90.69</v>
      </c>
      <c r="F7304" s="122">
        <f>IFERROR(__xludf.DUMMYFUNCTION("""COMPUTED_VALUE"""),8.0E-4)</f>
        <v>0.0008</v>
      </c>
    </row>
    <row r="7305">
      <c r="A7305" s="131">
        <f>IFERROR(__xludf.DUMMYFUNCTION("""COMPUTED_VALUE"""),46187.595243055555)</f>
        <v>46187.59524</v>
      </c>
      <c r="B7305" s="126">
        <f>IFERROR(__xludf.DUMMYFUNCTION("""COMPUTED_VALUE"""),46187.0)</f>
        <v>46187</v>
      </c>
      <c r="C7305" s="122" t="str">
        <f>IFERROR(__xludf.DUMMYFUNCTION("""COMPUTED_VALUE"""),"LANG")</f>
        <v>LANG</v>
      </c>
      <c r="D7305" s="122" t="str">
        <f>IFERROR(__xludf.DUMMYFUNCTION("""COMPUTED_VALUE"""),"LinguaLab")</f>
        <v>LinguaLab</v>
      </c>
      <c r="E7305" s="122">
        <f>IFERROR(__xludf.DUMMYFUNCTION("""COMPUTED_VALUE"""),100.94)</f>
        <v>100.94</v>
      </c>
      <c r="F7305" s="122">
        <f>IFERROR(__xludf.DUMMYFUNCTION("""COMPUTED_VALUE"""),0.0014)</f>
        <v>0.0014</v>
      </c>
    </row>
    <row r="7306">
      <c r="A7306" s="131">
        <f>IFERROR(__xludf.DUMMYFUNCTION("""COMPUTED_VALUE"""),46187.595243055555)</f>
        <v>46187.59524</v>
      </c>
      <c r="B7306" s="126">
        <f>IFERROR(__xludf.DUMMYFUNCTION("""COMPUTED_VALUE"""),46187.0)</f>
        <v>46187</v>
      </c>
      <c r="C7306" s="122" t="str">
        <f>IFERROR(__xludf.DUMMYFUNCTION("""COMPUTED_VALUE"""),"TEST")</f>
        <v>TEST</v>
      </c>
      <c r="D7306" s="122" t="str">
        <f>IFERROR(__xludf.DUMMYFUNCTION("""COMPUTED_VALUE"""),"TestPrep Pro")</f>
        <v>TestPrep Pro</v>
      </c>
      <c r="E7306" s="122">
        <f>IFERROR(__xludf.DUMMYFUNCTION("""COMPUTED_VALUE"""),90.57)</f>
        <v>90.57</v>
      </c>
      <c r="F7306" s="122">
        <f>IFERROR(__xludf.DUMMYFUNCTION("""COMPUTED_VALUE"""),-0.0066)</f>
        <v>-0.0066</v>
      </c>
    </row>
    <row r="7307">
      <c r="A7307" s="131">
        <f>IFERROR(__xludf.DUMMYFUNCTION("""COMPUTED_VALUE"""),46187.595243055555)</f>
        <v>46187.59524</v>
      </c>
      <c r="B7307" s="126">
        <f>IFERROR(__xludf.DUMMYFUNCTION("""COMPUTED_VALUE"""),46187.0)</f>
        <v>46187</v>
      </c>
      <c r="C7307" s="122" t="str">
        <f>IFERROR(__xludf.DUMMYFUNCTION("""COMPUTED_VALUE"""),"MOVI")</f>
        <v>MOVI</v>
      </c>
      <c r="D7307" s="122" t="str">
        <f>IFERROR(__xludf.DUMMYFUNCTION("""COMPUTED_VALUE"""),"MovieBox")</f>
        <v>MovieBox</v>
      </c>
      <c r="E7307" s="122">
        <f>IFERROR(__xludf.DUMMYFUNCTION("""COMPUTED_VALUE"""),83.69)</f>
        <v>83.69</v>
      </c>
      <c r="F7307" s="122">
        <f>IFERROR(__xludf.DUMMYFUNCTION("""COMPUTED_VALUE"""),-0.0045)</f>
        <v>-0.0045</v>
      </c>
    </row>
    <row r="7308">
      <c r="A7308" s="131">
        <f>IFERROR(__xludf.DUMMYFUNCTION("""COMPUTED_VALUE"""),46187.595243055555)</f>
        <v>46187.59524</v>
      </c>
      <c r="B7308" s="126">
        <f>IFERROR(__xludf.DUMMYFUNCTION("""COMPUTED_VALUE"""),46187.0)</f>
        <v>46187</v>
      </c>
      <c r="C7308" s="122" t="str">
        <f>IFERROR(__xludf.DUMMYFUNCTION("""COMPUTED_VALUE"""),"MUSC")</f>
        <v>MUSC</v>
      </c>
      <c r="D7308" s="122" t="str">
        <f>IFERROR(__xludf.DUMMYFUNCTION("""COMPUTED_VALUE"""),"MusicWave")</f>
        <v>MusicWave</v>
      </c>
      <c r="E7308" s="122">
        <f>IFERROR(__xludf.DUMMYFUNCTION("""COMPUTED_VALUE"""),102.66)</f>
        <v>102.66</v>
      </c>
      <c r="F7308" s="122">
        <f>IFERROR(__xludf.DUMMYFUNCTION("""COMPUTED_VALUE"""),-0.001)</f>
        <v>-0.001</v>
      </c>
    </row>
    <row r="7309">
      <c r="A7309" s="131">
        <f>IFERROR(__xludf.DUMMYFUNCTION("""COMPUTED_VALUE"""),46187.595243055555)</f>
        <v>46187.59524</v>
      </c>
      <c r="B7309" s="126">
        <f>IFERROR(__xludf.DUMMYFUNCTION("""COMPUTED_VALUE"""),46187.0)</f>
        <v>46187</v>
      </c>
      <c r="C7309" s="122" t="str">
        <f>IFERROR(__xludf.DUMMYFUNCTION("""COMPUTED_VALUE"""),"IDOL")</f>
        <v>IDOL</v>
      </c>
      <c r="D7309" s="122" t="str">
        <f>IFERROR(__xludf.DUMMYFUNCTION("""COMPUTED_VALUE"""),"Idol Agency")</f>
        <v>Idol Agency</v>
      </c>
      <c r="E7309" s="122">
        <f>IFERROR(__xludf.DUMMYFUNCTION("""COMPUTED_VALUE"""),186.66)</f>
        <v>186.66</v>
      </c>
      <c r="F7309" s="122">
        <f>IFERROR(__xludf.DUMMYFUNCTION("""COMPUTED_VALUE"""),-0.0097)</f>
        <v>-0.0097</v>
      </c>
    </row>
    <row r="7310">
      <c r="A7310" s="131">
        <f>IFERROR(__xludf.DUMMYFUNCTION("""COMPUTED_VALUE"""),46187.595243055555)</f>
        <v>46187.59524</v>
      </c>
      <c r="B7310" s="126">
        <f>IFERROR(__xludf.DUMMYFUNCTION("""COMPUTED_VALUE"""),46187.0)</f>
        <v>46187</v>
      </c>
      <c r="C7310" s="122" t="str">
        <f>IFERROR(__xludf.DUMMYFUNCTION("""COMPUTED_VALUE"""),"MEME")</f>
        <v>MEME</v>
      </c>
      <c r="D7310" s="122" t="str">
        <f>IFERROR(__xludf.DUMMYFUNCTION("""COMPUTED_VALUE"""),"Meme Media")</f>
        <v>Meme Media</v>
      </c>
      <c r="E7310" s="122">
        <f>IFERROR(__xludf.DUMMYFUNCTION("""COMPUTED_VALUE"""),73.52)</f>
        <v>73.52</v>
      </c>
      <c r="F7310" s="122">
        <f>IFERROR(__xludf.DUMMYFUNCTION("""COMPUTED_VALUE"""),0.0114)</f>
        <v>0.0114</v>
      </c>
    </row>
    <row r="7311">
      <c r="A7311" s="131">
        <f>IFERROR(__xludf.DUMMYFUNCTION("""COMPUTED_VALUE"""),46187.595243055555)</f>
        <v>46187.59524</v>
      </c>
      <c r="B7311" s="126">
        <f>IFERROR(__xludf.DUMMYFUNCTION("""COMPUTED_VALUE"""),46187.0)</f>
        <v>46187</v>
      </c>
      <c r="C7311" s="122" t="str">
        <f>IFERROR(__xludf.DUMMYFUNCTION("""COMPUTED_VALUE"""),"STRM")</f>
        <v>STRM</v>
      </c>
      <c r="D7311" s="122" t="str">
        <f>IFERROR(__xludf.DUMMYFUNCTION("""COMPUTED_VALUE"""),"Streamly")</f>
        <v>Streamly</v>
      </c>
      <c r="E7311" s="122">
        <f>IFERROR(__xludf.DUMMYFUNCTION("""COMPUTED_VALUE"""),135.84)</f>
        <v>135.84</v>
      </c>
      <c r="F7311" s="122">
        <f>IFERROR(__xludf.DUMMYFUNCTION("""COMPUTED_VALUE"""),0.0021)</f>
        <v>0.0021</v>
      </c>
    </row>
    <row r="7312">
      <c r="A7312" s="131">
        <f>IFERROR(__xludf.DUMMYFUNCTION("""COMPUTED_VALUE"""),46187.595243055555)</f>
        <v>46187.59524</v>
      </c>
      <c r="B7312" s="126">
        <f>IFERROR(__xludf.DUMMYFUNCTION("""COMPUTED_VALUE"""),46187.0)</f>
        <v>46187</v>
      </c>
      <c r="C7312" s="122" t="str">
        <f>IFERROR(__xludf.DUMMYFUNCTION("""COMPUTED_VALUE"""),"FARM")</f>
        <v>FARM</v>
      </c>
      <c r="D7312" s="122" t="str">
        <f>IFERROR(__xludf.DUMMYFUNCTION("""COMPUTED_VALUE"""),"Future Farms")</f>
        <v>Future Farms</v>
      </c>
      <c r="E7312" s="122">
        <f>IFERROR(__xludf.DUMMYFUNCTION("""COMPUTED_VALUE"""),95.81)</f>
        <v>95.81</v>
      </c>
      <c r="F7312" s="122">
        <f>IFERROR(__xludf.DUMMYFUNCTION("""COMPUTED_VALUE"""),0.0056)</f>
        <v>0.0056</v>
      </c>
    </row>
    <row r="7313">
      <c r="A7313" s="131">
        <f>IFERROR(__xludf.DUMMYFUNCTION("""COMPUTED_VALUE"""),46187.595243055555)</f>
        <v>46187.59524</v>
      </c>
      <c r="B7313" s="126">
        <f>IFERROR(__xludf.DUMMYFUNCTION("""COMPUTED_VALUE"""),46187.0)</f>
        <v>46187</v>
      </c>
      <c r="C7313" s="122" t="str">
        <f>IFERROR(__xludf.DUMMYFUNCTION("""COMPUTED_VALUE"""),"MEAT")</f>
        <v>MEAT</v>
      </c>
      <c r="D7313" s="122" t="str">
        <f>IFERROR(__xludf.DUMMYFUNCTION("""COMPUTED_VALUE"""),"MeatWorks")</f>
        <v>MeatWorks</v>
      </c>
      <c r="E7313" s="122">
        <f>IFERROR(__xludf.DUMMYFUNCTION("""COMPUTED_VALUE"""),105.07)</f>
        <v>105.07</v>
      </c>
      <c r="F7313" s="122">
        <f>IFERROR(__xludf.DUMMYFUNCTION("""COMPUTED_VALUE"""),-0.0028)</f>
        <v>-0.0028</v>
      </c>
    </row>
    <row r="7314">
      <c r="A7314" s="131">
        <f>IFERROR(__xludf.DUMMYFUNCTION("""COMPUTED_VALUE"""),46187.595243055555)</f>
        <v>46187.59524</v>
      </c>
      <c r="B7314" s="126">
        <f>IFERROR(__xludf.DUMMYFUNCTION("""COMPUTED_VALUE"""),46187.0)</f>
        <v>46187</v>
      </c>
      <c r="C7314" s="122" t="str">
        <f>IFERROR(__xludf.DUMMYFUNCTION("""COMPUTED_VALUE"""),"VEGI")</f>
        <v>VEGI</v>
      </c>
      <c r="D7314" s="122" t="str">
        <f>IFERROR(__xludf.DUMMYFUNCTION("""COMPUTED_VALUE"""),"Green Basket")</f>
        <v>Green Basket</v>
      </c>
      <c r="E7314" s="122">
        <f>IFERROR(__xludf.DUMMYFUNCTION("""COMPUTED_VALUE"""),77.64)</f>
        <v>77.64</v>
      </c>
      <c r="F7314" s="122">
        <f>IFERROR(__xludf.DUMMYFUNCTION("""COMPUTED_VALUE"""),-0.0044)</f>
        <v>-0.0044</v>
      </c>
    </row>
    <row r="7315">
      <c r="A7315" s="131">
        <f>IFERROR(__xludf.DUMMYFUNCTION("""COMPUTED_VALUE"""),46187.595243055555)</f>
        <v>46187.59524</v>
      </c>
      <c r="B7315" s="126">
        <f>IFERROR(__xludf.DUMMYFUNCTION("""COMPUTED_VALUE"""),46187.0)</f>
        <v>46187</v>
      </c>
      <c r="C7315" s="122" t="str">
        <f>IFERROR(__xludf.DUMMYFUNCTION("""COMPUTED_VALUE"""),"CAFE")</f>
        <v>CAFE</v>
      </c>
      <c r="D7315" s="122" t="str">
        <f>IFERROR(__xludf.DUMMYFUNCTION("""COMPUTED_VALUE"""),"Cafe Cloud")</f>
        <v>Cafe Cloud</v>
      </c>
      <c r="E7315" s="122">
        <f>IFERROR(__xludf.DUMMYFUNCTION("""COMPUTED_VALUE"""),101.92)</f>
        <v>101.92</v>
      </c>
      <c r="F7315" s="122">
        <f>IFERROR(__xludf.DUMMYFUNCTION("""COMPUTED_VALUE"""),0.0101)</f>
        <v>0.0101</v>
      </c>
    </row>
    <row r="7316">
      <c r="A7316" s="131">
        <f>IFERROR(__xludf.DUMMYFUNCTION("""COMPUTED_VALUE"""),46187.595243055555)</f>
        <v>46187.59524</v>
      </c>
      <c r="B7316" s="126">
        <f>IFERROR(__xludf.DUMMYFUNCTION("""COMPUTED_VALUE"""),46187.0)</f>
        <v>46187</v>
      </c>
      <c r="C7316" s="122" t="str">
        <f>IFERROR(__xludf.DUMMYFUNCTION("""COMPUTED_VALUE"""),"BAKE")</f>
        <v>BAKE</v>
      </c>
      <c r="D7316" s="122" t="str">
        <f>IFERROR(__xludf.DUMMYFUNCTION("""COMPUTED_VALUE"""),"BakeHouse")</f>
        <v>BakeHouse</v>
      </c>
      <c r="E7316" s="122">
        <f>IFERROR(__xludf.DUMMYFUNCTION("""COMPUTED_VALUE"""),101.15)</f>
        <v>101.15</v>
      </c>
      <c r="F7316" s="122">
        <f>IFERROR(__xludf.DUMMYFUNCTION("""COMPUTED_VALUE"""),0.0022)</f>
        <v>0.0022</v>
      </c>
    </row>
    <row r="7317">
      <c r="A7317" s="131">
        <f>IFERROR(__xludf.DUMMYFUNCTION("""COMPUTED_VALUE"""),46187.595243055555)</f>
        <v>46187.59524</v>
      </c>
      <c r="B7317" s="126">
        <f>IFERROR(__xludf.DUMMYFUNCTION("""COMPUTED_VALUE"""),46187.0)</f>
        <v>46187</v>
      </c>
      <c r="C7317" s="122" t="str">
        <f>IFERROR(__xludf.DUMMYFUNCTION("""COMPUTED_VALUE"""),"OILX")</f>
        <v>OILX</v>
      </c>
      <c r="D7317" s="122" t="str">
        <f>IFERROR(__xludf.DUMMYFUNCTION("""COMPUTED_VALUE"""),"OilMax Energy")</f>
        <v>OilMax Energy</v>
      </c>
      <c r="E7317" s="122">
        <f>IFERROR(__xludf.DUMMYFUNCTION("""COMPUTED_VALUE"""),134.7)</f>
        <v>134.7</v>
      </c>
      <c r="F7317" s="122">
        <f>IFERROR(__xludf.DUMMYFUNCTION("""COMPUTED_VALUE"""),0.004)</f>
        <v>0.004</v>
      </c>
    </row>
    <row r="7318">
      <c r="A7318" s="131">
        <f>IFERROR(__xludf.DUMMYFUNCTION("""COMPUTED_VALUE"""),46187.595243055555)</f>
        <v>46187.59524</v>
      </c>
      <c r="B7318" s="126">
        <f>IFERROR(__xludf.DUMMYFUNCTION("""COMPUTED_VALUE"""),46187.0)</f>
        <v>46187</v>
      </c>
      <c r="C7318" s="122" t="str">
        <f>IFERROR(__xludf.DUMMYFUNCTION("""COMPUTED_VALUE"""),"SOLR")</f>
        <v>SOLR</v>
      </c>
      <c r="D7318" s="122" t="str">
        <f>IFERROR(__xludf.DUMMYFUNCTION("""COMPUTED_VALUE"""),"SolarSpark")</f>
        <v>SolarSpark</v>
      </c>
      <c r="E7318" s="122">
        <f>IFERROR(__xludf.DUMMYFUNCTION("""COMPUTED_VALUE"""),105.62)</f>
        <v>105.62</v>
      </c>
      <c r="F7318" s="122">
        <f>IFERROR(__xludf.DUMMYFUNCTION("""COMPUTED_VALUE"""),0.0068)</f>
        <v>0.0068</v>
      </c>
    </row>
    <row r="7319">
      <c r="A7319" s="131">
        <f>IFERROR(__xludf.DUMMYFUNCTION("""COMPUTED_VALUE"""),46187.595243055555)</f>
        <v>46187.59524</v>
      </c>
      <c r="B7319" s="126">
        <f>IFERROR(__xludf.DUMMYFUNCTION("""COMPUTED_VALUE"""),46187.0)</f>
        <v>46187</v>
      </c>
      <c r="C7319" s="122" t="str">
        <f>IFERROR(__xludf.DUMMYFUNCTION("""COMPUTED_VALUE"""),"BATT")</f>
        <v>BATT</v>
      </c>
      <c r="D7319" s="122" t="str">
        <f>IFERROR(__xludf.DUMMYFUNCTION("""COMPUTED_VALUE"""),"BatteryBox")</f>
        <v>BatteryBox</v>
      </c>
      <c r="E7319" s="122">
        <f>IFERROR(__xludf.DUMMYFUNCTION("""COMPUTED_VALUE"""),123.71)</f>
        <v>123.71</v>
      </c>
      <c r="F7319" s="122">
        <f>IFERROR(__xludf.DUMMYFUNCTION("""COMPUTED_VALUE"""),0.0093)</f>
        <v>0.0093</v>
      </c>
    </row>
    <row r="7320">
      <c r="A7320" s="131">
        <f>IFERROR(__xludf.DUMMYFUNCTION("""COMPUTED_VALUE"""),46187.595243055555)</f>
        <v>46187.59524</v>
      </c>
      <c r="B7320" s="126">
        <f>IFERROR(__xludf.DUMMYFUNCTION("""COMPUTED_VALUE"""),46187.0)</f>
        <v>46187</v>
      </c>
      <c r="C7320" s="122" t="str">
        <f>IFERROR(__xludf.DUMMYFUNCTION("""COMPUTED_VALUE"""),"WIND")</f>
        <v>WIND</v>
      </c>
      <c r="D7320" s="122" t="str">
        <f>IFERROR(__xludf.DUMMYFUNCTION("""COMPUTED_VALUE"""),"WindWorks")</f>
        <v>WindWorks</v>
      </c>
      <c r="E7320" s="122">
        <f>IFERROR(__xludf.DUMMYFUNCTION("""COMPUTED_VALUE"""),86.28)</f>
        <v>86.28</v>
      </c>
      <c r="F7320" s="122">
        <f>IFERROR(__xludf.DUMMYFUNCTION("""COMPUTED_VALUE"""),-0.004)</f>
        <v>-0.004</v>
      </c>
    </row>
    <row r="7321">
      <c r="A7321" s="131">
        <f>IFERROR(__xludf.DUMMYFUNCTION("""COMPUTED_VALUE"""),46187.595243055555)</f>
        <v>46187.59524</v>
      </c>
      <c r="B7321" s="126">
        <f>IFERROR(__xludf.DUMMYFUNCTION("""COMPUTED_VALUE"""),46187.0)</f>
        <v>46187</v>
      </c>
      <c r="C7321" s="122" t="str">
        <f>IFERROR(__xludf.DUMMYFUNCTION("""COMPUTED_VALUE"""),"GRID")</f>
        <v>GRID</v>
      </c>
      <c r="D7321" s="122" t="str">
        <f>IFERROR(__xludf.DUMMYFUNCTION("""COMPUTED_VALUE"""),"GridPower")</f>
        <v>GridPower</v>
      </c>
      <c r="E7321" s="122">
        <f>IFERROR(__xludf.DUMMYFUNCTION("""COMPUTED_VALUE"""),130.29)</f>
        <v>130.29</v>
      </c>
      <c r="F7321" s="122">
        <f>IFERROR(__xludf.DUMMYFUNCTION("""COMPUTED_VALUE"""),-0.0044)</f>
        <v>-0.0044</v>
      </c>
    </row>
    <row r="7322">
      <c r="A7322" s="131">
        <f>IFERROR(__xludf.DUMMYFUNCTION("""COMPUTED_VALUE"""),46187.595243055555)</f>
        <v>46187.59524</v>
      </c>
      <c r="B7322" s="126">
        <f>IFERROR(__xludf.DUMMYFUNCTION("""COMPUTED_VALUE"""),46187.0)</f>
        <v>46187</v>
      </c>
      <c r="C7322" s="122" t="str">
        <f>IFERROR(__xludf.DUMMYFUNCTION("""COMPUTED_VALUE"""),"HOME")</f>
        <v>HOME</v>
      </c>
      <c r="D7322" s="122" t="str">
        <f>IFERROR(__xludf.DUMMYFUNCTION("""COMPUTED_VALUE"""),"HomeHub")</f>
        <v>HomeHub</v>
      </c>
      <c r="E7322" s="122">
        <f>IFERROR(__xludf.DUMMYFUNCTION("""COMPUTED_VALUE"""),158.05)</f>
        <v>158.05</v>
      </c>
      <c r="F7322" s="122">
        <f>IFERROR(__xludf.DUMMYFUNCTION("""COMPUTED_VALUE"""),0.0046)</f>
        <v>0.0046</v>
      </c>
    </row>
    <row r="7323">
      <c r="A7323" s="131">
        <f>IFERROR(__xludf.DUMMYFUNCTION("""COMPUTED_VALUE"""),46187.595243055555)</f>
        <v>46187.59524</v>
      </c>
      <c r="B7323" s="126">
        <f>IFERROR(__xludf.DUMMYFUNCTION("""COMPUTED_VALUE"""),46187.0)</f>
        <v>46187</v>
      </c>
      <c r="C7323" s="122" t="str">
        <f>IFERROR(__xludf.DUMMYFUNCTION("""COMPUTED_VALUE"""),"RENT")</f>
        <v>RENT</v>
      </c>
      <c r="D7323" s="122" t="str">
        <f>IFERROR(__xludf.DUMMYFUNCTION("""COMPUTED_VALUE"""),"RentRight")</f>
        <v>RentRight</v>
      </c>
      <c r="E7323" s="122">
        <f>IFERROR(__xludf.DUMMYFUNCTION("""COMPUTED_VALUE"""),91.42)</f>
        <v>91.42</v>
      </c>
      <c r="F7323" s="122">
        <f>IFERROR(__xludf.DUMMYFUNCTION("""COMPUTED_VALUE"""),-1.0E-4)</f>
        <v>-0.0001</v>
      </c>
    </row>
    <row r="7324">
      <c r="A7324" s="131">
        <f>IFERROR(__xludf.DUMMYFUNCTION("""COMPUTED_VALUE"""),46187.595243055555)</f>
        <v>46187.59524</v>
      </c>
      <c r="B7324" s="126">
        <f>IFERROR(__xludf.DUMMYFUNCTION("""COMPUTED_VALUE"""),46187.0)</f>
        <v>46187</v>
      </c>
      <c r="C7324" s="122" t="str">
        <f>IFERROR(__xludf.DUMMYFUNCTION("""COMPUTED_VALUE"""),"MALL")</f>
        <v>MALL</v>
      </c>
      <c r="D7324" s="122" t="str">
        <f>IFERROR(__xludf.DUMMYFUNCTION("""COMPUTED_VALUE"""),"MegaMall")</f>
        <v>MegaMall</v>
      </c>
      <c r="E7324" s="122">
        <f>IFERROR(__xludf.DUMMYFUNCTION("""COMPUTED_VALUE"""),102.48)</f>
        <v>102.48</v>
      </c>
      <c r="F7324" s="122">
        <f>IFERROR(__xludf.DUMMYFUNCTION("""COMPUTED_VALUE"""),-0.0027)</f>
        <v>-0.0027</v>
      </c>
    </row>
    <row r="7325">
      <c r="A7325" s="131">
        <f>IFERROR(__xludf.DUMMYFUNCTION("""COMPUTED_VALUE"""),46187.595243055555)</f>
        <v>46187.59524</v>
      </c>
      <c r="B7325" s="126">
        <f>IFERROR(__xludf.DUMMYFUNCTION("""COMPUTED_VALUE"""),46187.0)</f>
        <v>46187</v>
      </c>
      <c r="C7325" s="122" t="str">
        <f>IFERROR(__xludf.DUMMYFUNCTION("""COMPUTED_VALUE"""),"HOTL")</f>
        <v>HOTL</v>
      </c>
      <c r="D7325" s="122" t="str">
        <f>IFERROR(__xludf.DUMMYFUNCTION("""COMPUTED_VALUE"""),"HotelHive")</f>
        <v>HotelHive</v>
      </c>
      <c r="E7325" s="122">
        <f>IFERROR(__xludf.DUMMYFUNCTION("""COMPUTED_VALUE"""),123.57)</f>
        <v>123.57</v>
      </c>
      <c r="F7325" s="122">
        <f>IFERROR(__xludf.DUMMYFUNCTION("""COMPUTED_VALUE"""),0.0026)</f>
        <v>0.0026</v>
      </c>
    </row>
    <row r="7326">
      <c r="A7326" s="131">
        <f>IFERROR(__xludf.DUMMYFUNCTION("""COMPUTED_VALUE"""),46187.595243055555)</f>
        <v>46187.59524</v>
      </c>
      <c r="B7326" s="126">
        <f>IFERROR(__xludf.DUMMYFUNCTION("""COMPUTED_VALUE"""),46187.0)</f>
        <v>46187</v>
      </c>
      <c r="C7326" s="122" t="str">
        <f>IFERROR(__xludf.DUMMYFUNCTION("""COMPUTED_VALUE"""),"LAND")</f>
        <v>LAND</v>
      </c>
      <c r="D7326" s="122" t="str">
        <f>IFERROR(__xludf.DUMMYFUNCTION("""COMPUTED_VALUE"""),"LandLink")</f>
        <v>LandLink</v>
      </c>
      <c r="E7326" s="122">
        <f>IFERROR(__xludf.DUMMYFUNCTION("""COMPUTED_VALUE"""),186.59)</f>
        <v>186.59</v>
      </c>
      <c r="F7326" s="122">
        <f>IFERROR(__xludf.DUMMYFUNCTION("""COMPUTED_VALUE"""),0.0048)</f>
        <v>0.0048</v>
      </c>
    </row>
    <row r="7327">
      <c r="A7327" s="131">
        <f>IFERROR(__xludf.DUMMYFUNCTION("""COMPUTED_VALUE"""),46187.595243055555)</f>
        <v>46187.59524</v>
      </c>
      <c r="B7327" s="126">
        <f>IFERROR(__xludf.DUMMYFUNCTION("""COMPUTED_VALUE"""),46187.0)</f>
        <v>46187</v>
      </c>
      <c r="C7327" s="122" t="str">
        <f>IFERROR(__xludf.DUMMYFUNCTION("""COMPUTED_VALUE"""),"CARS")</f>
        <v>CARS</v>
      </c>
      <c r="D7327" s="122" t="str">
        <f>IFERROR(__xludf.DUMMYFUNCTION("""COMPUTED_VALUE"""),"AutoArena")</f>
        <v>AutoArena</v>
      </c>
      <c r="E7327" s="122">
        <f>IFERROR(__xludf.DUMMYFUNCTION("""COMPUTED_VALUE"""),80.4)</f>
        <v>80.4</v>
      </c>
      <c r="F7327" s="122">
        <f>IFERROR(__xludf.DUMMYFUNCTION("""COMPUTED_VALUE"""),0.0015)</f>
        <v>0.0015</v>
      </c>
    </row>
    <row r="7328">
      <c r="A7328" s="131">
        <f>IFERROR(__xludf.DUMMYFUNCTION("""COMPUTED_VALUE"""),46187.595243055555)</f>
        <v>46187.59524</v>
      </c>
      <c r="B7328" s="126">
        <f>IFERROR(__xludf.DUMMYFUNCTION("""COMPUTED_VALUE"""),46187.0)</f>
        <v>46187</v>
      </c>
      <c r="C7328" s="122" t="str">
        <f>IFERROR(__xludf.DUMMYFUNCTION("""COMPUTED_VALUE"""),"EVGO")</f>
        <v>EVGO</v>
      </c>
      <c r="D7328" s="122" t="str">
        <f>IFERROR(__xludf.DUMMYFUNCTION("""COMPUTED_VALUE"""),"EVGo Motors")</f>
        <v>EVGo Motors</v>
      </c>
      <c r="E7328" s="122">
        <f>IFERROR(__xludf.DUMMYFUNCTION("""COMPUTED_VALUE"""),188.01)</f>
        <v>188.01</v>
      </c>
      <c r="F7328" s="122">
        <f>IFERROR(__xludf.DUMMYFUNCTION("""COMPUTED_VALUE"""),9.0E-4)</f>
        <v>0.0009</v>
      </c>
    </row>
    <row r="7329">
      <c r="A7329" s="131">
        <f>IFERROR(__xludf.DUMMYFUNCTION("""COMPUTED_VALUE"""),46187.595243055555)</f>
        <v>46187.59524</v>
      </c>
      <c r="B7329" s="126">
        <f>IFERROR(__xludf.DUMMYFUNCTION("""COMPUTED_VALUE"""),46187.0)</f>
        <v>46187</v>
      </c>
      <c r="C7329" s="122" t="str">
        <f>IFERROR(__xludf.DUMMYFUNCTION("""COMPUTED_VALUE"""),"TIRE")</f>
        <v>TIRE</v>
      </c>
      <c r="D7329" s="122" t="str">
        <f>IFERROR(__xludf.DUMMYFUNCTION("""COMPUTED_VALUE"""),"TireTown")</f>
        <v>TireTown</v>
      </c>
      <c r="E7329" s="122">
        <f>IFERROR(__xludf.DUMMYFUNCTION("""COMPUTED_VALUE"""),96.78)</f>
        <v>96.78</v>
      </c>
      <c r="F7329" s="122">
        <f>IFERROR(__xludf.DUMMYFUNCTION("""COMPUTED_VALUE"""),0.0025)</f>
        <v>0.0025</v>
      </c>
    </row>
    <row r="7330">
      <c r="A7330" s="131">
        <f>IFERROR(__xludf.DUMMYFUNCTION("""COMPUTED_VALUE"""),46187.595243055555)</f>
        <v>46187.59524</v>
      </c>
      <c r="B7330" s="126">
        <f>IFERROR(__xludf.DUMMYFUNCTION("""COMPUTED_VALUE"""),46187.0)</f>
        <v>46187</v>
      </c>
      <c r="C7330" s="122" t="str">
        <f>IFERROR(__xludf.DUMMYFUNCTION("""COMPUTED_VALUE"""),"BIKE")</f>
        <v>BIKE</v>
      </c>
      <c r="D7330" s="122" t="str">
        <f>IFERROR(__xludf.DUMMYFUNCTION("""COMPUTED_VALUE"""),"BikeBox")</f>
        <v>BikeBox</v>
      </c>
      <c r="E7330" s="122">
        <f>IFERROR(__xludf.DUMMYFUNCTION("""COMPUTED_VALUE"""),52.87)</f>
        <v>52.87</v>
      </c>
      <c r="F7330" s="122">
        <f>IFERROR(__xludf.DUMMYFUNCTION("""COMPUTED_VALUE"""),0.0042)</f>
        <v>0.0042</v>
      </c>
    </row>
    <row r="7331">
      <c r="A7331" s="131">
        <f>IFERROR(__xludf.DUMMYFUNCTION("""COMPUTED_VALUE"""),46187.595243055555)</f>
        <v>46187.59524</v>
      </c>
      <c r="B7331" s="126">
        <f>IFERROR(__xludf.DUMMYFUNCTION("""COMPUTED_VALUE"""),46187.0)</f>
        <v>46187</v>
      </c>
      <c r="C7331" s="122" t="str">
        <f>IFERROR(__xludf.DUMMYFUNCTION("""COMPUTED_VALUE"""),"WASH")</f>
        <v>WASH</v>
      </c>
      <c r="D7331" s="122" t="str">
        <f>IFERROR(__xludf.DUMMYFUNCTION("""COMPUTED_VALUE"""),"CarWash Co")</f>
        <v>CarWash Co</v>
      </c>
      <c r="E7331" s="122">
        <f>IFERROR(__xludf.DUMMYFUNCTION("""COMPUTED_VALUE"""),120.99)</f>
        <v>120.99</v>
      </c>
      <c r="F7331" s="122">
        <f>IFERROR(__xludf.DUMMYFUNCTION("""COMPUTED_VALUE"""),-0.0011)</f>
        <v>-0.0011</v>
      </c>
    </row>
    <row r="7332">
      <c r="A7332" s="131">
        <f>IFERROR(__xludf.DUMMYFUNCTION("""COMPUTED_VALUE"""),46187.595243055555)</f>
        <v>46187.59524</v>
      </c>
      <c r="B7332" s="126">
        <f>IFERROR(__xludf.DUMMYFUNCTION("""COMPUTED_VALUE"""),46187.0)</f>
        <v>46187</v>
      </c>
      <c r="C7332" s="122" t="str">
        <f>IFERROR(__xludf.DUMMYFUNCTION("""COMPUTED_VALUE"""),"GBND")</f>
        <v>GBND</v>
      </c>
      <c r="D7332" s="122" t="str">
        <f>IFERROR(__xludf.DUMMYFUNCTION("""COMPUTED_VALUE"""),"Classroom Government Bond")</f>
        <v>Classroom Government Bond</v>
      </c>
      <c r="E7332" s="122">
        <f>IFERROR(__xludf.DUMMYFUNCTION("""COMPUTED_VALUE"""),101.11)</f>
        <v>101.11</v>
      </c>
      <c r="F7332" s="122">
        <f>IFERROR(__xludf.DUMMYFUNCTION("""COMPUTED_VALUE"""),1.0E-4)</f>
        <v>0.0001</v>
      </c>
    </row>
    <row r="7333">
      <c r="A7333" s="131">
        <f>IFERROR(__xludf.DUMMYFUNCTION("""COMPUTED_VALUE"""),46187.595243055555)</f>
        <v>46187.59524</v>
      </c>
      <c r="B7333" s="126">
        <f>IFERROR(__xludf.DUMMYFUNCTION("""COMPUTED_VALUE"""),46187.0)</f>
        <v>46187</v>
      </c>
      <c r="C7333" s="122" t="str">
        <f>IFERROR(__xludf.DUMMYFUNCTION("""COMPUTED_VALUE"""),"SBND")</f>
        <v>SBND</v>
      </c>
      <c r="D7333" s="122" t="str">
        <f>IFERROR(__xludf.DUMMYFUNCTION("""COMPUTED_VALUE"""),"School Savings Bond")</f>
        <v>School Savings Bond</v>
      </c>
      <c r="E7333" s="122">
        <f>IFERROR(__xludf.DUMMYFUNCTION("""COMPUTED_VALUE"""),99.29)</f>
        <v>99.29</v>
      </c>
      <c r="F7333" s="122">
        <f>IFERROR(__xludf.DUMMYFUNCTION("""COMPUTED_VALUE"""),5.0E-4)</f>
        <v>0.0005</v>
      </c>
    </row>
    <row r="7334">
      <c r="A7334" s="131">
        <f>IFERROR(__xludf.DUMMYFUNCTION("""COMPUTED_VALUE"""),46187.595243055555)</f>
        <v>46187.59524</v>
      </c>
      <c r="B7334" s="126">
        <f>IFERROR(__xludf.DUMMYFUNCTION("""COMPUTED_VALUE"""),46187.0)</f>
        <v>46187</v>
      </c>
      <c r="C7334" s="122" t="str">
        <f>IFERROR(__xludf.DUMMYFUNCTION("""COMPUTED_VALUE"""),"CBND")</f>
        <v>CBND</v>
      </c>
      <c r="D7334" s="122" t="str">
        <f>IFERROR(__xludf.DUMMYFUNCTION("""COMPUTED_VALUE"""),"Corporate Classroom Bond")</f>
        <v>Corporate Classroom Bond</v>
      </c>
      <c r="E7334" s="122">
        <f>IFERROR(__xludf.DUMMYFUNCTION("""COMPUTED_VALUE"""),97.76)</f>
        <v>97.76</v>
      </c>
      <c r="F7334" s="122">
        <f>IFERROR(__xludf.DUMMYFUNCTION("""COMPUTED_VALUE"""),3.0E-4)</f>
        <v>0.0003</v>
      </c>
    </row>
    <row r="7335">
      <c r="A7335" s="131">
        <f>IFERROR(__xludf.DUMMYFUNCTION("""COMPUTED_VALUE"""),46187.595243055555)</f>
        <v>46187.59524</v>
      </c>
      <c r="B7335" s="126">
        <f>IFERROR(__xludf.DUMMYFUNCTION("""COMPUTED_VALUE"""),46187.0)</f>
        <v>46187</v>
      </c>
      <c r="C7335" s="122" t="str">
        <f>IFERROR(__xludf.DUMMYFUNCTION("""COMPUTED_VALUE"""),"TBIL")</f>
        <v>TBIL</v>
      </c>
      <c r="D7335" s="122" t="str">
        <f>IFERROR(__xludf.DUMMYFUNCTION("""COMPUTED_VALUE"""),"Treasury Bill")</f>
        <v>Treasury Bill</v>
      </c>
      <c r="E7335" s="122">
        <f>IFERROR(__xludf.DUMMYFUNCTION("""COMPUTED_VALUE"""),97.7)</f>
        <v>97.7</v>
      </c>
      <c r="F7335" s="122">
        <f>IFERROR(__xludf.DUMMYFUNCTION("""COMPUTED_VALUE"""),-1.0E-4)</f>
        <v>-0.0001</v>
      </c>
    </row>
    <row r="7336">
      <c r="A7336" s="131">
        <f>IFERROR(__xludf.DUMMYFUNCTION("""COMPUTED_VALUE"""),46187.595243055555)</f>
        <v>46187.59524</v>
      </c>
      <c r="B7336" s="126">
        <f>IFERROR(__xludf.DUMMYFUNCTION("""COMPUTED_VALUE"""),46187.0)</f>
        <v>46187</v>
      </c>
      <c r="C7336" s="122" t="str">
        <f>IFERROR(__xludf.DUMMYFUNCTION("""COMPUTED_VALUE"""),"IBND")</f>
        <v>IBND</v>
      </c>
      <c r="D7336" s="122" t="str">
        <f>IFERROR(__xludf.DUMMYFUNCTION("""COMPUTED_VALUE"""),"Inflation Protected Bond")</f>
        <v>Inflation Protected Bond</v>
      </c>
      <c r="E7336" s="122">
        <f>IFERROR(__xludf.DUMMYFUNCTION("""COMPUTED_VALUE"""),100.76)</f>
        <v>100.76</v>
      </c>
      <c r="F7336" s="122">
        <f>IFERROR(__xludf.DUMMYFUNCTION("""COMPUTED_VALUE"""),2.0E-4)</f>
        <v>0.0002</v>
      </c>
    </row>
    <row r="7337">
      <c r="A7337" s="131">
        <f>IFERROR(__xludf.DUMMYFUNCTION("""COMPUTED_VALUE"""),46187.59673611111)</f>
        <v>46187.59674</v>
      </c>
      <c r="B7337" s="126">
        <f>IFERROR(__xludf.DUMMYFUNCTION("""COMPUTED_VALUE"""),46187.0)</f>
        <v>46187</v>
      </c>
      <c r="C7337" s="130">
        <f>IFERROR(__xludf.DUMMYFUNCTION("""COMPUTED_VALUE"""),0.5967361111111111)</f>
        <v>0.5967361111</v>
      </c>
      <c r="D7337" s="122" t="str">
        <f>IFERROR(__xludf.DUMMYFUNCTION("""COMPUTED_VALUE"""),"SNAX")</f>
        <v>SNAX</v>
      </c>
      <c r="E7337" s="122" t="str">
        <f>IFERROR(__xludf.DUMMYFUNCTION("""COMPUTED_VALUE"""),"MICA Snacks")</f>
        <v>MICA Snacks</v>
      </c>
      <c r="F7337" s="122" t="str">
        <f>IFERROR(__xludf.DUMMYFUNCTION("""COMPUTED_VALUE"""),"Consumer Goods")</f>
        <v>Consumer Goods</v>
      </c>
    </row>
    <row r="7338">
      <c r="A7338" s="131">
        <f>IFERROR(__xludf.DUMMYFUNCTION("""COMPUTED_VALUE"""),46187.59673611111)</f>
        <v>46187.59674</v>
      </c>
      <c r="B7338" s="126">
        <f>IFERROR(__xludf.DUMMYFUNCTION("""COMPUTED_VALUE"""),46187.0)</f>
        <v>46187</v>
      </c>
      <c r="C7338" s="130">
        <f>IFERROR(__xludf.DUMMYFUNCTION("""COMPUTED_VALUE"""),0.5967361111111111)</f>
        <v>0.5967361111</v>
      </c>
      <c r="D7338" s="122" t="str">
        <f>IFERROR(__xludf.DUMMYFUNCTION("""COMPUTED_VALUE"""),"RAMN")</f>
        <v>RAMN</v>
      </c>
      <c r="E7338" s="122" t="str">
        <f>IFERROR(__xludf.DUMMYFUNCTION("""COMPUTED_VALUE"""),"Ramen Republic")</f>
        <v>Ramen Republic</v>
      </c>
      <c r="F7338" s="122" t="str">
        <f>IFERROR(__xludf.DUMMYFUNCTION("""COMPUTED_VALUE"""),"Food")</f>
        <v>Food</v>
      </c>
    </row>
    <row r="7339">
      <c r="A7339" s="131">
        <f>IFERROR(__xludf.DUMMYFUNCTION("""COMPUTED_VALUE"""),46187.59673611111)</f>
        <v>46187.59674</v>
      </c>
      <c r="B7339" s="126">
        <f>IFERROR(__xludf.DUMMYFUNCTION("""COMPUTED_VALUE"""),46187.0)</f>
        <v>46187</v>
      </c>
      <c r="C7339" s="130">
        <f>IFERROR(__xludf.DUMMYFUNCTION("""COMPUTED_VALUE"""),0.5967361111111111)</f>
        <v>0.5967361111</v>
      </c>
      <c r="D7339" s="122" t="str">
        <f>IFERROR(__xludf.DUMMYFUNCTION("""COMPUTED_VALUE"""),"COLA")</f>
        <v>COLA</v>
      </c>
      <c r="E7339" s="122" t="str">
        <f>IFERROR(__xludf.DUMMYFUNCTION("""COMPUTED_VALUE"""),"K-Pop Cola")</f>
        <v>K-Pop Cola</v>
      </c>
      <c r="F7339" s="122" t="str">
        <f>IFERROR(__xludf.DUMMYFUNCTION("""COMPUTED_VALUE"""),"Beverage")</f>
        <v>Beverage</v>
      </c>
    </row>
    <row r="7340">
      <c r="A7340" s="131">
        <f>IFERROR(__xludf.DUMMYFUNCTION("""COMPUTED_VALUE"""),46187.59673611111)</f>
        <v>46187.59674</v>
      </c>
      <c r="B7340" s="126">
        <f>IFERROR(__xludf.DUMMYFUNCTION("""COMPUTED_VALUE"""),46187.0)</f>
        <v>46187</v>
      </c>
      <c r="C7340" s="130">
        <f>IFERROR(__xludf.DUMMYFUNCTION("""COMPUTED_VALUE"""),0.5967361111111111)</f>
        <v>0.5967361111</v>
      </c>
      <c r="D7340" s="122" t="str">
        <f>IFERROR(__xludf.DUMMYFUNCTION("""COMPUTED_VALUE"""),"CHIP")</f>
        <v>CHIP</v>
      </c>
      <c r="E7340" s="122" t="str">
        <f>IFERROR(__xludf.DUMMYFUNCTION("""COMPUTED_VALUE"""),"Chip Empire")</f>
        <v>Chip Empire</v>
      </c>
      <c r="F7340" s="122" t="str">
        <f>IFERROR(__xludf.DUMMYFUNCTION("""COMPUTED_VALUE"""),"Consumer Goods")</f>
        <v>Consumer Goods</v>
      </c>
    </row>
    <row r="7341">
      <c r="A7341" s="131">
        <f>IFERROR(__xludf.DUMMYFUNCTION("""COMPUTED_VALUE"""),46187.59673611111)</f>
        <v>46187.59674</v>
      </c>
      <c r="B7341" s="126">
        <f>IFERROR(__xludf.DUMMYFUNCTION("""COMPUTED_VALUE"""),46187.0)</f>
        <v>46187</v>
      </c>
      <c r="C7341" s="130">
        <f>IFERROR(__xludf.DUMMYFUNCTION("""COMPUTED_VALUE"""),0.5967361111111111)</f>
        <v>0.5967361111</v>
      </c>
      <c r="D7341" s="122" t="str">
        <f>IFERROR(__xludf.DUMMYFUNCTION("""COMPUTED_VALUE"""),"CAND")</f>
        <v>CAND</v>
      </c>
      <c r="E7341" s="122" t="str">
        <f>IFERROR(__xludf.DUMMYFUNCTION("""COMPUTED_VALUE"""),"Candy Capital")</f>
        <v>Candy Capital</v>
      </c>
      <c r="F7341" s="122" t="str">
        <f>IFERROR(__xludf.DUMMYFUNCTION("""COMPUTED_VALUE"""),"Consumer Goods")</f>
        <v>Consumer Goods</v>
      </c>
    </row>
    <row r="7342">
      <c r="A7342" s="131">
        <f>IFERROR(__xludf.DUMMYFUNCTION("""COMPUTED_VALUE"""),46187.59673611111)</f>
        <v>46187.59674</v>
      </c>
      <c r="B7342" s="126">
        <f>IFERROR(__xludf.DUMMYFUNCTION("""COMPUTED_VALUE"""),46187.0)</f>
        <v>46187</v>
      </c>
      <c r="C7342" s="130">
        <f>IFERROR(__xludf.DUMMYFUNCTION("""COMPUTED_VALUE"""),0.5967361111111111)</f>
        <v>0.5967361111</v>
      </c>
      <c r="D7342" s="122" t="str">
        <f>IFERROR(__xludf.DUMMYFUNCTION("""COMPUTED_VALUE"""),"TECH")</f>
        <v>TECH</v>
      </c>
      <c r="E7342" s="122" t="str">
        <f>IFERROR(__xludf.DUMMYFUNCTION("""COMPUTED_VALUE"""),"Dragon Tech")</f>
        <v>Dragon Tech</v>
      </c>
      <c r="F7342" s="122" t="str">
        <f>IFERROR(__xludf.DUMMYFUNCTION("""COMPUTED_VALUE"""),"Technology")</f>
        <v>Technology</v>
      </c>
    </row>
    <row r="7343">
      <c r="A7343" s="131">
        <f>IFERROR(__xludf.DUMMYFUNCTION("""COMPUTED_VALUE"""),46187.59673611111)</f>
        <v>46187.59674</v>
      </c>
      <c r="B7343" s="126">
        <f>IFERROR(__xludf.DUMMYFUNCTION("""COMPUTED_VALUE"""),46187.0)</f>
        <v>46187</v>
      </c>
      <c r="C7343" s="130">
        <f>IFERROR(__xludf.DUMMYFUNCTION("""COMPUTED_VALUE"""),0.5967361111111111)</f>
        <v>0.5967361111</v>
      </c>
      <c r="D7343" s="122" t="str">
        <f>IFERROR(__xludf.DUMMYFUNCTION("""COMPUTED_VALUE"""),"AIBO")</f>
        <v>AIBO</v>
      </c>
      <c r="E7343" s="122" t="str">
        <f>IFERROR(__xludf.DUMMYFUNCTION("""COMPUTED_VALUE"""),"Homework AI")</f>
        <v>Homework AI</v>
      </c>
      <c r="F7343" s="122" t="str">
        <f>IFERROR(__xludf.DUMMYFUNCTION("""COMPUTED_VALUE"""),"Technology")</f>
        <v>Technology</v>
      </c>
    </row>
    <row r="7344">
      <c r="A7344" s="131">
        <f>IFERROR(__xludf.DUMMYFUNCTION("""COMPUTED_VALUE"""),46187.59673611111)</f>
        <v>46187.59674</v>
      </c>
      <c r="B7344" s="126">
        <f>IFERROR(__xludf.DUMMYFUNCTION("""COMPUTED_VALUE"""),46187.0)</f>
        <v>46187</v>
      </c>
      <c r="C7344" s="130">
        <f>IFERROR(__xludf.DUMMYFUNCTION("""COMPUTED_VALUE"""),0.5967361111111111)</f>
        <v>0.5967361111</v>
      </c>
      <c r="D7344" s="122" t="str">
        <f>IFERROR(__xludf.DUMMYFUNCTION("""COMPUTED_VALUE"""),"GAME")</f>
        <v>GAME</v>
      </c>
      <c r="E7344" s="122" t="str">
        <f>IFERROR(__xludf.DUMMYFUNCTION("""COMPUTED_VALUE"""),"GameBox Media")</f>
        <v>GameBox Media</v>
      </c>
      <c r="F7344" s="122" t="str">
        <f>IFERROR(__xludf.DUMMYFUNCTION("""COMPUTED_VALUE"""),"Entertainment")</f>
        <v>Entertainment</v>
      </c>
    </row>
    <row r="7345">
      <c r="A7345" s="131">
        <f>IFERROR(__xludf.DUMMYFUNCTION("""COMPUTED_VALUE"""),46187.59673611111)</f>
        <v>46187.59674</v>
      </c>
      <c r="B7345" s="126">
        <f>IFERROR(__xludf.DUMMYFUNCTION("""COMPUTED_VALUE"""),46187.0)</f>
        <v>46187</v>
      </c>
      <c r="C7345" s="130">
        <f>IFERROR(__xludf.DUMMYFUNCTION("""COMPUTED_VALUE"""),0.5967361111111111)</f>
        <v>0.5967361111</v>
      </c>
      <c r="D7345" s="122" t="str">
        <f>IFERROR(__xludf.DUMMYFUNCTION("""COMPUTED_VALUE"""),"VRSE")</f>
        <v>VRSE</v>
      </c>
      <c r="E7345" s="122" t="str">
        <f>IFERROR(__xludf.DUMMYFUNCTION("""COMPUTED_VALUE"""),"VerseVR")</f>
        <v>VerseVR</v>
      </c>
      <c r="F7345" s="122" t="str">
        <f>IFERROR(__xludf.DUMMYFUNCTION("""COMPUTED_VALUE"""),"Technology")</f>
        <v>Technology</v>
      </c>
    </row>
    <row r="7346">
      <c r="A7346" s="131">
        <f>IFERROR(__xludf.DUMMYFUNCTION("""COMPUTED_VALUE"""),46187.59673611111)</f>
        <v>46187.59674</v>
      </c>
      <c r="B7346" s="126">
        <f>IFERROR(__xludf.DUMMYFUNCTION("""COMPUTED_VALUE"""),46187.0)</f>
        <v>46187</v>
      </c>
      <c r="C7346" s="130">
        <f>IFERROR(__xludf.DUMMYFUNCTION("""COMPUTED_VALUE"""),0.5967361111111111)</f>
        <v>0.5967361111</v>
      </c>
      <c r="D7346" s="122" t="str">
        <f>IFERROR(__xludf.DUMMYFUNCTION("""COMPUTED_VALUE"""),"BYTE")</f>
        <v>BYTE</v>
      </c>
      <c r="E7346" s="122" t="str">
        <f>IFERROR(__xludf.DUMMYFUNCTION("""COMPUTED_VALUE"""),"ByteWorks")</f>
        <v>ByteWorks</v>
      </c>
      <c r="F7346" s="122" t="str">
        <f>IFERROR(__xludf.DUMMYFUNCTION("""COMPUTED_VALUE"""),"Technology")</f>
        <v>Technology</v>
      </c>
    </row>
    <row r="7347">
      <c r="A7347" s="131">
        <f>IFERROR(__xludf.DUMMYFUNCTION("""COMPUTED_VALUE"""),46187.59673611111)</f>
        <v>46187.59674</v>
      </c>
      <c r="B7347" s="126">
        <f>IFERROR(__xludf.DUMMYFUNCTION("""COMPUTED_VALUE"""),46187.0)</f>
        <v>46187</v>
      </c>
      <c r="C7347" s="130">
        <f>IFERROR(__xludf.DUMMYFUNCTION("""COMPUTED_VALUE"""),0.5967361111111111)</f>
        <v>0.5967361111</v>
      </c>
      <c r="D7347" s="122" t="str">
        <f>IFERROR(__xludf.DUMMYFUNCTION("""COMPUTED_VALUE"""),"BANK")</f>
        <v>BANK</v>
      </c>
      <c r="E7347" s="122" t="str">
        <f>IFERROR(__xludf.DUMMYFUNCTION("""COMPUTED_VALUE"""),"Tiger Bank")</f>
        <v>Tiger Bank</v>
      </c>
      <c r="F7347" s="122" t="str">
        <f>IFERROR(__xludf.DUMMYFUNCTION("""COMPUTED_VALUE"""),"Finance")</f>
        <v>Finance</v>
      </c>
    </row>
    <row r="7348">
      <c r="A7348" s="131">
        <f>IFERROR(__xludf.DUMMYFUNCTION("""COMPUTED_VALUE"""),46187.59673611111)</f>
        <v>46187.59674</v>
      </c>
      <c r="B7348" s="126">
        <f>IFERROR(__xludf.DUMMYFUNCTION("""COMPUTED_VALUE"""),46187.0)</f>
        <v>46187</v>
      </c>
      <c r="C7348" s="130">
        <f>IFERROR(__xludf.DUMMYFUNCTION("""COMPUTED_VALUE"""),0.5967361111111111)</f>
        <v>0.5967361111</v>
      </c>
      <c r="D7348" s="122" t="str">
        <f>IFERROR(__xludf.DUMMYFUNCTION("""COMPUTED_VALUE"""),"CRED")</f>
        <v>CRED</v>
      </c>
      <c r="E7348" s="122" t="str">
        <f>IFERROR(__xludf.DUMMYFUNCTION("""COMPUTED_VALUE"""),"Credit Castle")</f>
        <v>Credit Castle</v>
      </c>
      <c r="F7348" s="122" t="str">
        <f>IFERROR(__xludf.DUMMYFUNCTION("""COMPUTED_VALUE"""),"Finance")</f>
        <v>Finance</v>
      </c>
    </row>
    <row r="7349">
      <c r="A7349" s="131">
        <f>IFERROR(__xludf.DUMMYFUNCTION("""COMPUTED_VALUE"""),46187.59673611111)</f>
        <v>46187.59674</v>
      </c>
      <c r="B7349" s="126">
        <f>IFERROR(__xludf.DUMMYFUNCTION("""COMPUTED_VALUE"""),46187.0)</f>
        <v>46187</v>
      </c>
      <c r="C7349" s="130">
        <f>IFERROR(__xludf.DUMMYFUNCTION("""COMPUTED_VALUE"""),0.5967361111111111)</f>
        <v>0.5967361111</v>
      </c>
      <c r="D7349" s="122" t="str">
        <f>IFERROR(__xludf.DUMMYFUNCTION("""COMPUTED_VALUE"""),"BOND")</f>
        <v>BOND</v>
      </c>
      <c r="E7349" s="122" t="str">
        <f>IFERROR(__xludf.DUMMYFUNCTION("""COMPUTED_VALUE"""),"BondBridge")</f>
        <v>BondBridge</v>
      </c>
      <c r="F7349" s="122" t="str">
        <f>IFERROR(__xludf.DUMMYFUNCTION("""COMPUTED_VALUE"""),"Finance")</f>
        <v>Finance</v>
      </c>
    </row>
    <row r="7350">
      <c r="A7350" s="131">
        <f>IFERROR(__xludf.DUMMYFUNCTION("""COMPUTED_VALUE"""),46187.59673611111)</f>
        <v>46187.59674</v>
      </c>
      <c r="B7350" s="126">
        <f>IFERROR(__xludf.DUMMYFUNCTION("""COMPUTED_VALUE"""),46187.0)</f>
        <v>46187</v>
      </c>
      <c r="C7350" s="130">
        <f>IFERROR(__xludf.DUMMYFUNCTION("""COMPUTED_VALUE"""),0.5967361111111111)</f>
        <v>0.5967361111</v>
      </c>
      <c r="D7350" s="122" t="str">
        <f>IFERROR(__xludf.DUMMYFUNCTION("""COMPUTED_VALUE"""),"INSR")</f>
        <v>INSR</v>
      </c>
      <c r="E7350" s="122" t="str">
        <f>IFERROR(__xludf.DUMMYFUNCTION("""COMPUTED_VALUE"""),"Shield Insurance")</f>
        <v>Shield Insurance</v>
      </c>
      <c r="F7350" s="122" t="str">
        <f>IFERROR(__xludf.DUMMYFUNCTION("""COMPUTED_VALUE"""),"Finance")</f>
        <v>Finance</v>
      </c>
    </row>
    <row r="7351">
      <c r="A7351" s="131">
        <f>IFERROR(__xludf.DUMMYFUNCTION("""COMPUTED_VALUE"""),46187.59673611111)</f>
        <v>46187.59674</v>
      </c>
      <c r="B7351" s="126">
        <f>IFERROR(__xludf.DUMMYFUNCTION("""COMPUTED_VALUE"""),46187.0)</f>
        <v>46187</v>
      </c>
      <c r="C7351" s="130">
        <f>IFERROR(__xludf.DUMMYFUNCTION("""COMPUTED_VALUE"""),0.5967361111111111)</f>
        <v>0.5967361111</v>
      </c>
      <c r="D7351" s="122" t="str">
        <f>IFERROR(__xludf.DUMMYFUNCTION("""COMPUTED_VALUE"""),"LOAN")</f>
        <v>LOAN</v>
      </c>
      <c r="E7351" s="122" t="str">
        <f>IFERROR(__xludf.DUMMYFUNCTION("""COMPUTED_VALUE"""),"LoanLab")</f>
        <v>LoanLab</v>
      </c>
      <c r="F7351" s="122" t="str">
        <f>IFERROR(__xludf.DUMMYFUNCTION("""COMPUTED_VALUE"""),"Finance")</f>
        <v>Finance</v>
      </c>
    </row>
    <row r="7352">
      <c r="A7352" s="131">
        <f>IFERROR(__xludf.DUMMYFUNCTION("""COMPUTED_VALUE"""),46187.59673611111)</f>
        <v>46187.59674</v>
      </c>
      <c r="B7352" s="126">
        <f>IFERROR(__xludf.DUMMYFUNCTION("""COMPUTED_VALUE"""),46187.0)</f>
        <v>46187</v>
      </c>
      <c r="C7352" s="130">
        <f>IFERROR(__xludf.DUMMYFUNCTION("""COMPUTED_VALUE"""),0.5967361111111111)</f>
        <v>0.5967361111</v>
      </c>
      <c r="D7352" s="122" t="str">
        <f>IFERROR(__xludf.DUMMYFUNCTION("""COMPUTED_VALUE"""),"LUXE")</f>
        <v>LUXE</v>
      </c>
      <c r="E7352" s="122" t="str">
        <f>IFERROR(__xludf.DUMMYFUNCTION("""COMPUTED_VALUE"""),"Luxury Locker")</f>
        <v>Luxury Locker</v>
      </c>
      <c r="F7352" s="122" t="str">
        <f>IFERROR(__xludf.DUMMYFUNCTION("""COMPUTED_VALUE"""),"Luxury Goods")</f>
        <v>Luxury Goods</v>
      </c>
    </row>
    <row r="7353">
      <c r="A7353" s="131">
        <f>IFERROR(__xludf.DUMMYFUNCTION("""COMPUTED_VALUE"""),46187.59673611111)</f>
        <v>46187.59674</v>
      </c>
      <c r="B7353" s="126">
        <f>IFERROR(__xludf.DUMMYFUNCTION("""COMPUTED_VALUE"""),46187.0)</f>
        <v>46187</v>
      </c>
      <c r="C7353" s="130">
        <f>IFERROR(__xludf.DUMMYFUNCTION("""COMPUTED_VALUE"""),0.5967361111111111)</f>
        <v>0.5967361111</v>
      </c>
      <c r="D7353" s="122" t="str">
        <f>IFERROR(__xludf.DUMMYFUNCTION("""COMPUTED_VALUE"""),"DRIP")</f>
        <v>DRIP</v>
      </c>
      <c r="E7353" s="122" t="str">
        <f>IFERROR(__xludf.DUMMYFUNCTION("""COMPUTED_VALUE"""),"Drip Streetwear")</f>
        <v>Drip Streetwear</v>
      </c>
      <c r="F7353" s="122" t="str">
        <f>IFERROR(__xludf.DUMMYFUNCTION("""COMPUTED_VALUE"""),"Fashion")</f>
        <v>Fashion</v>
      </c>
    </row>
    <row r="7354">
      <c r="A7354" s="131">
        <f>IFERROR(__xludf.DUMMYFUNCTION("""COMPUTED_VALUE"""),46187.59673611111)</f>
        <v>46187.59674</v>
      </c>
      <c r="B7354" s="126">
        <f>IFERROR(__xludf.DUMMYFUNCTION("""COMPUTED_VALUE"""),46187.0)</f>
        <v>46187</v>
      </c>
      <c r="C7354" s="130">
        <f>IFERROR(__xludf.DUMMYFUNCTION("""COMPUTED_VALUE"""),0.5967361111111111)</f>
        <v>0.5967361111</v>
      </c>
      <c r="D7354" s="122" t="str">
        <f>IFERROR(__xludf.DUMMYFUNCTION("""COMPUTED_VALUE"""),"KICK")</f>
        <v>KICK</v>
      </c>
      <c r="E7354" s="122" t="str">
        <f>IFERROR(__xludf.DUMMYFUNCTION("""COMPUTED_VALUE"""),"KickDrop Sneakers")</f>
        <v>KickDrop Sneakers</v>
      </c>
      <c r="F7354" s="122" t="str">
        <f>IFERROR(__xludf.DUMMYFUNCTION("""COMPUTED_VALUE"""),"Fashion")</f>
        <v>Fashion</v>
      </c>
    </row>
    <row r="7355">
      <c r="A7355" s="131">
        <f>IFERROR(__xludf.DUMMYFUNCTION("""COMPUTED_VALUE"""),46187.59673611111)</f>
        <v>46187.59674</v>
      </c>
      <c r="B7355" s="126">
        <f>IFERROR(__xludf.DUMMYFUNCTION("""COMPUTED_VALUE"""),46187.0)</f>
        <v>46187</v>
      </c>
      <c r="C7355" s="130">
        <f>IFERROR(__xludf.DUMMYFUNCTION("""COMPUTED_VALUE"""),0.5967361111111111)</f>
        <v>0.5967361111</v>
      </c>
      <c r="D7355" s="122" t="str">
        <f>IFERROR(__xludf.DUMMYFUNCTION("""COMPUTED_VALUE"""),"GLAM")</f>
        <v>GLAM</v>
      </c>
      <c r="E7355" s="122" t="str">
        <f>IFERROR(__xludf.DUMMYFUNCTION("""COMPUTED_VALUE"""),"Glow Cosmetics")</f>
        <v>Glow Cosmetics</v>
      </c>
      <c r="F7355" s="122" t="str">
        <f>IFERROR(__xludf.DUMMYFUNCTION("""COMPUTED_VALUE"""),"Fashion")</f>
        <v>Fashion</v>
      </c>
    </row>
    <row r="7356">
      <c r="A7356" s="131">
        <f>IFERROR(__xludf.DUMMYFUNCTION("""COMPUTED_VALUE"""),46187.59673611111)</f>
        <v>46187.59674</v>
      </c>
      <c r="B7356" s="126">
        <f>IFERROR(__xludf.DUMMYFUNCTION("""COMPUTED_VALUE"""),46187.0)</f>
        <v>46187</v>
      </c>
      <c r="C7356" s="130">
        <f>IFERROR(__xludf.DUMMYFUNCTION("""COMPUTED_VALUE"""),0.5967361111111111)</f>
        <v>0.5967361111</v>
      </c>
      <c r="D7356" s="122" t="str">
        <f>IFERROR(__xludf.DUMMYFUNCTION("""COMPUTED_VALUE"""),"BAGG")</f>
        <v>BAGG</v>
      </c>
      <c r="E7356" s="122" t="str">
        <f>IFERROR(__xludf.DUMMYFUNCTION("""COMPUTED_VALUE"""),"BagVault")</f>
        <v>BagVault</v>
      </c>
      <c r="F7356" s="122" t="str">
        <f>IFERROR(__xludf.DUMMYFUNCTION("""COMPUTED_VALUE"""),"Fashion")</f>
        <v>Fashion</v>
      </c>
    </row>
    <row r="7357">
      <c r="A7357" s="131">
        <f>IFERROR(__xludf.DUMMYFUNCTION("""COMPUTED_VALUE"""),46187.59673611111)</f>
        <v>46187.59674</v>
      </c>
      <c r="B7357" s="126">
        <f>IFERROR(__xludf.DUMMYFUNCTION("""COMPUTED_VALUE"""),46187.0)</f>
        <v>46187</v>
      </c>
      <c r="C7357" s="130">
        <f>IFERROR(__xludf.DUMMYFUNCTION("""COMPUTED_VALUE"""),0.5967361111111111)</f>
        <v>0.5967361111</v>
      </c>
      <c r="D7357" s="122" t="str">
        <f>IFERROR(__xludf.DUMMYFUNCTION("""COMPUTED_VALUE"""),"FAST")</f>
        <v>FAST</v>
      </c>
      <c r="E7357" s="122" t="str">
        <f>IFERROR(__xludf.DUMMYFUNCTION("""COMPUTED_VALUE"""),"Flash Logistics")</f>
        <v>Flash Logistics</v>
      </c>
      <c r="F7357" s="122" t="str">
        <f>IFERROR(__xludf.DUMMYFUNCTION("""COMPUTED_VALUE"""),"Logistics")</f>
        <v>Logistics</v>
      </c>
    </row>
    <row r="7358">
      <c r="A7358" s="131">
        <f>IFERROR(__xludf.DUMMYFUNCTION("""COMPUTED_VALUE"""),46187.59673611111)</f>
        <v>46187.59674</v>
      </c>
      <c r="B7358" s="126">
        <f>IFERROR(__xludf.DUMMYFUNCTION("""COMPUTED_VALUE"""),46187.0)</f>
        <v>46187</v>
      </c>
      <c r="C7358" s="130">
        <f>IFERROR(__xludf.DUMMYFUNCTION("""COMPUTED_VALUE"""),0.5967361111111111)</f>
        <v>0.5967361111</v>
      </c>
      <c r="D7358" s="122" t="str">
        <f>IFERROR(__xludf.DUMMYFUNCTION("""COMPUTED_VALUE"""),"SHIP")</f>
        <v>SHIP</v>
      </c>
      <c r="E7358" s="122" t="str">
        <f>IFERROR(__xludf.DUMMYFUNCTION("""COMPUTED_VALUE"""),"Seoul Shipping")</f>
        <v>Seoul Shipping</v>
      </c>
      <c r="F7358" s="122" t="str">
        <f>IFERROR(__xludf.DUMMYFUNCTION("""COMPUTED_VALUE"""),"Logistics")</f>
        <v>Logistics</v>
      </c>
    </row>
    <row r="7359">
      <c r="A7359" s="131">
        <f>IFERROR(__xludf.DUMMYFUNCTION("""COMPUTED_VALUE"""),46187.59673611111)</f>
        <v>46187.59674</v>
      </c>
      <c r="B7359" s="126">
        <f>IFERROR(__xludf.DUMMYFUNCTION("""COMPUTED_VALUE"""),46187.0)</f>
        <v>46187</v>
      </c>
      <c r="C7359" s="130">
        <f>IFERROR(__xludf.DUMMYFUNCTION("""COMPUTED_VALUE"""),0.5967361111111111)</f>
        <v>0.5967361111</v>
      </c>
      <c r="D7359" s="122" t="str">
        <f>IFERROR(__xludf.DUMMYFUNCTION("""COMPUTED_VALUE"""),"DRON")</f>
        <v>DRON</v>
      </c>
      <c r="E7359" s="122" t="str">
        <f>IFERROR(__xludf.DUMMYFUNCTION("""COMPUTED_VALUE"""),"DroneDrop")</f>
        <v>DroneDrop</v>
      </c>
      <c r="F7359" s="122" t="str">
        <f>IFERROR(__xludf.DUMMYFUNCTION("""COMPUTED_VALUE"""),"Logistics")</f>
        <v>Logistics</v>
      </c>
    </row>
    <row r="7360">
      <c r="A7360" s="131">
        <f>IFERROR(__xludf.DUMMYFUNCTION("""COMPUTED_VALUE"""),46187.59673611111)</f>
        <v>46187.59674</v>
      </c>
      <c r="B7360" s="126">
        <f>IFERROR(__xludf.DUMMYFUNCTION("""COMPUTED_VALUE"""),46187.0)</f>
        <v>46187</v>
      </c>
      <c r="C7360" s="130">
        <f>IFERROR(__xludf.DUMMYFUNCTION("""COMPUTED_VALUE"""),0.5967361111111111)</f>
        <v>0.5967361111</v>
      </c>
      <c r="D7360" s="122" t="str">
        <f>IFERROR(__xludf.DUMMYFUNCTION("""COMPUTED_VALUE"""),"RIDE")</f>
        <v>RIDE</v>
      </c>
      <c r="E7360" s="122" t="str">
        <f>IFERROR(__xludf.DUMMYFUNCTION("""COMPUTED_VALUE"""),"QuickRide")</f>
        <v>QuickRide</v>
      </c>
      <c r="F7360" s="122" t="str">
        <f>IFERROR(__xludf.DUMMYFUNCTION("""COMPUTED_VALUE"""),"Transportation")</f>
        <v>Transportation</v>
      </c>
    </row>
    <row r="7361">
      <c r="A7361" s="131">
        <f>IFERROR(__xludf.DUMMYFUNCTION("""COMPUTED_VALUE"""),46187.59673611111)</f>
        <v>46187.59674</v>
      </c>
      <c r="B7361" s="126">
        <f>IFERROR(__xludf.DUMMYFUNCTION("""COMPUTED_VALUE"""),46187.0)</f>
        <v>46187</v>
      </c>
      <c r="C7361" s="130">
        <f>IFERROR(__xludf.DUMMYFUNCTION("""COMPUTED_VALUE"""),0.5967361111111111)</f>
        <v>0.5967361111</v>
      </c>
      <c r="D7361" s="122" t="str">
        <f>IFERROR(__xludf.DUMMYFUNCTION("""COMPUTED_VALUE"""),"RAIL")</f>
        <v>RAIL</v>
      </c>
      <c r="E7361" s="122" t="str">
        <f>IFERROR(__xludf.DUMMYFUNCTION("""COMPUTED_VALUE"""),"MetroRail Corp")</f>
        <v>MetroRail Corp</v>
      </c>
      <c r="F7361" s="122" t="str">
        <f>IFERROR(__xludf.DUMMYFUNCTION("""COMPUTED_VALUE"""),"Transportation")</f>
        <v>Transportation</v>
      </c>
    </row>
    <row r="7362">
      <c r="A7362" s="131">
        <f>IFERROR(__xludf.DUMMYFUNCTION("""COMPUTED_VALUE"""),46187.59673611111)</f>
        <v>46187.59674</v>
      </c>
      <c r="B7362" s="126">
        <f>IFERROR(__xludf.DUMMYFUNCTION("""COMPUTED_VALUE"""),46187.0)</f>
        <v>46187</v>
      </c>
      <c r="C7362" s="130">
        <f>IFERROR(__xludf.DUMMYFUNCTION("""COMPUTED_VALUE"""),0.5967361111111111)</f>
        <v>0.5967361111</v>
      </c>
      <c r="D7362" s="122" t="str">
        <f>IFERROR(__xludf.DUMMYFUNCTION("""COMPUTED_VALUE"""),"MEDX")</f>
        <v>MEDX</v>
      </c>
      <c r="E7362" s="122" t="str">
        <f>IFERROR(__xludf.DUMMYFUNCTION("""COMPUTED_VALUE"""),"MediCore")</f>
        <v>MediCore</v>
      </c>
      <c r="F7362" s="122" t="str">
        <f>IFERROR(__xludf.DUMMYFUNCTION("""COMPUTED_VALUE"""),"Healthcare")</f>
        <v>Healthcare</v>
      </c>
    </row>
    <row r="7363">
      <c r="A7363" s="131">
        <f>IFERROR(__xludf.DUMMYFUNCTION("""COMPUTED_VALUE"""),46187.59673611111)</f>
        <v>46187.59674</v>
      </c>
      <c r="B7363" s="126">
        <f>IFERROR(__xludf.DUMMYFUNCTION("""COMPUTED_VALUE"""),46187.0)</f>
        <v>46187</v>
      </c>
      <c r="C7363" s="130">
        <f>IFERROR(__xludf.DUMMYFUNCTION("""COMPUTED_VALUE"""),0.5967361111111111)</f>
        <v>0.5967361111</v>
      </c>
      <c r="D7363" s="122" t="str">
        <f>IFERROR(__xludf.DUMMYFUNCTION("""COMPUTED_VALUE"""),"GYMX")</f>
        <v>GYMX</v>
      </c>
      <c r="E7363" s="122" t="str">
        <f>IFERROR(__xludf.DUMMYFUNCTION("""COMPUTED_VALUE"""),"GymX Fitness")</f>
        <v>GymX Fitness</v>
      </c>
      <c r="F7363" s="122" t="str">
        <f>IFERROR(__xludf.DUMMYFUNCTION("""COMPUTED_VALUE"""),"Healthcare")</f>
        <v>Healthcare</v>
      </c>
    </row>
    <row r="7364">
      <c r="A7364" s="131">
        <f>IFERROR(__xludf.DUMMYFUNCTION("""COMPUTED_VALUE"""),46187.59673611111)</f>
        <v>46187.59674</v>
      </c>
      <c r="B7364" s="126">
        <f>IFERROR(__xludf.DUMMYFUNCTION("""COMPUTED_VALUE"""),46187.0)</f>
        <v>46187</v>
      </c>
      <c r="C7364" s="130">
        <f>IFERROR(__xludf.DUMMYFUNCTION("""COMPUTED_VALUE"""),0.5967361111111111)</f>
        <v>0.5967361111</v>
      </c>
      <c r="D7364" s="122" t="str">
        <f>IFERROR(__xludf.DUMMYFUNCTION("""COMPUTED_VALUE"""),"VITA")</f>
        <v>VITA</v>
      </c>
      <c r="E7364" s="122" t="str">
        <f>IFERROR(__xludf.DUMMYFUNCTION("""COMPUTED_VALUE"""),"VitaPlus")</f>
        <v>VitaPlus</v>
      </c>
      <c r="F7364" s="122" t="str">
        <f>IFERROR(__xludf.DUMMYFUNCTION("""COMPUTED_VALUE"""),"Healthcare")</f>
        <v>Healthcare</v>
      </c>
    </row>
    <row r="7365">
      <c r="A7365" s="131">
        <f>IFERROR(__xludf.DUMMYFUNCTION("""COMPUTED_VALUE"""),46187.59673611111)</f>
        <v>46187.59674</v>
      </c>
      <c r="B7365" s="126">
        <f>IFERROR(__xludf.DUMMYFUNCTION("""COMPUTED_VALUE"""),46187.0)</f>
        <v>46187</v>
      </c>
      <c r="C7365" s="130">
        <f>IFERROR(__xludf.DUMMYFUNCTION("""COMPUTED_VALUE"""),0.5967361111111111)</f>
        <v>0.5967361111</v>
      </c>
      <c r="D7365" s="122" t="str">
        <f>IFERROR(__xludf.DUMMYFUNCTION("""COMPUTED_VALUE"""),"CARE")</f>
        <v>CARE</v>
      </c>
      <c r="E7365" s="122" t="str">
        <f>IFERROR(__xludf.DUMMYFUNCTION("""COMPUTED_VALUE"""),"CareCloud")</f>
        <v>CareCloud</v>
      </c>
      <c r="F7365" s="122" t="str">
        <f>IFERROR(__xludf.DUMMYFUNCTION("""COMPUTED_VALUE"""),"Healthcare")</f>
        <v>Healthcare</v>
      </c>
    </row>
    <row r="7366">
      <c r="A7366" s="131">
        <f>IFERROR(__xludf.DUMMYFUNCTION("""COMPUTED_VALUE"""),46187.59673611111)</f>
        <v>46187.59674</v>
      </c>
      <c r="B7366" s="126">
        <f>IFERROR(__xludf.DUMMYFUNCTION("""COMPUTED_VALUE"""),46187.0)</f>
        <v>46187</v>
      </c>
      <c r="C7366" s="130">
        <f>IFERROR(__xludf.DUMMYFUNCTION("""COMPUTED_VALUE"""),0.5967361111111111)</f>
        <v>0.5967361111</v>
      </c>
      <c r="D7366" s="122" t="str">
        <f>IFERROR(__xludf.DUMMYFUNCTION("""COMPUTED_VALUE"""),"DENT")</f>
        <v>DENT</v>
      </c>
      <c r="E7366" s="122" t="str">
        <f>IFERROR(__xludf.DUMMYFUNCTION("""COMPUTED_VALUE"""),"SmileWorks")</f>
        <v>SmileWorks</v>
      </c>
      <c r="F7366" s="122" t="str">
        <f>IFERROR(__xludf.DUMMYFUNCTION("""COMPUTED_VALUE"""),"Healthcare")</f>
        <v>Healthcare</v>
      </c>
    </row>
    <row r="7367">
      <c r="A7367" s="131">
        <f>IFERROR(__xludf.DUMMYFUNCTION("""COMPUTED_VALUE"""),46187.59673611111)</f>
        <v>46187.59674</v>
      </c>
      <c r="B7367" s="126">
        <f>IFERROR(__xludf.DUMMYFUNCTION("""COMPUTED_VALUE"""),46187.0)</f>
        <v>46187</v>
      </c>
      <c r="C7367" s="130">
        <f>IFERROR(__xludf.DUMMYFUNCTION("""COMPUTED_VALUE"""),0.5967361111111111)</f>
        <v>0.5967361111</v>
      </c>
      <c r="D7367" s="122" t="str">
        <f>IFERROR(__xludf.DUMMYFUNCTION("""COMPUTED_VALUE"""),"EDUX")</f>
        <v>EDUX</v>
      </c>
      <c r="E7367" s="122" t="str">
        <f>IFERROR(__xludf.DUMMYFUNCTION("""COMPUTED_VALUE"""),"EduMax Learning")</f>
        <v>EduMax Learning</v>
      </c>
      <c r="F7367" s="122" t="str">
        <f>IFERROR(__xludf.DUMMYFUNCTION("""COMPUTED_VALUE"""),"Education")</f>
        <v>Education</v>
      </c>
    </row>
    <row r="7368">
      <c r="A7368" s="131">
        <f>IFERROR(__xludf.DUMMYFUNCTION("""COMPUTED_VALUE"""),46187.59673611111)</f>
        <v>46187.59674</v>
      </c>
      <c r="B7368" s="126">
        <f>IFERROR(__xludf.DUMMYFUNCTION("""COMPUTED_VALUE"""),46187.0)</f>
        <v>46187</v>
      </c>
      <c r="C7368" s="130">
        <f>IFERROR(__xludf.DUMMYFUNCTION("""COMPUTED_VALUE"""),0.5967361111111111)</f>
        <v>0.5967361111</v>
      </c>
      <c r="D7368" s="122" t="str">
        <f>IFERROR(__xludf.DUMMYFUNCTION("""COMPUTED_VALUE"""),"BOOK")</f>
        <v>BOOK</v>
      </c>
      <c r="E7368" s="122" t="str">
        <f>IFERROR(__xludf.DUMMYFUNCTION("""COMPUTED_VALUE"""),"BookBridge")</f>
        <v>BookBridge</v>
      </c>
      <c r="F7368" s="122" t="str">
        <f>IFERROR(__xludf.DUMMYFUNCTION("""COMPUTED_VALUE"""),"Education")</f>
        <v>Education</v>
      </c>
    </row>
    <row r="7369">
      <c r="A7369" s="131">
        <f>IFERROR(__xludf.DUMMYFUNCTION("""COMPUTED_VALUE"""),46187.59673611111)</f>
        <v>46187.59674</v>
      </c>
      <c r="B7369" s="126">
        <f>IFERROR(__xludf.DUMMYFUNCTION("""COMPUTED_VALUE"""),46187.0)</f>
        <v>46187</v>
      </c>
      <c r="C7369" s="130">
        <f>IFERROR(__xludf.DUMMYFUNCTION("""COMPUTED_VALUE"""),0.5967361111111111)</f>
        <v>0.5967361111</v>
      </c>
      <c r="D7369" s="122" t="str">
        <f>IFERROR(__xludf.DUMMYFUNCTION("""COMPUTED_VALUE"""),"TUTR")</f>
        <v>TUTR</v>
      </c>
      <c r="E7369" s="122" t="str">
        <f>IFERROR(__xludf.DUMMYFUNCTION("""COMPUTED_VALUE"""),"TutorTown")</f>
        <v>TutorTown</v>
      </c>
      <c r="F7369" s="122" t="str">
        <f>IFERROR(__xludf.DUMMYFUNCTION("""COMPUTED_VALUE"""),"Education")</f>
        <v>Education</v>
      </c>
    </row>
    <row r="7370">
      <c r="A7370" s="131">
        <f>IFERROR(__xludf.DUMMYFUNCTION("""COMPUTED_VALUE"""),46187.59673611111)</f>
        <v>46187.59674</v>
      </c>
      <c r="B7370" s="126">
        <f>IFERROR(__xludf.DUMMYFUNCTION("""COMPUTED_VALUE"""),46187.0)</f>
        <v>46187</v>
      </c>
      <c r="C7370" s="130">
        <f>IFERROR(__xludf.DUMMYFUNCTION("""COMPUTED_VALUE"""),0.5967361111111111)</f>
        <v>0.5967361111</v>
      </c>
      <c r="D7370" s="122" t="str">
        <f>IFERROR(__xludf.DUMMYFUNCTION("""COMPUTED_VALUE"""),"LANG")</f>
        <v>LANG</v>
      </c>
      <c r="E7370" s="122" t="str">
        <f>IFERROR(__xludf.DUMMYFUNCTION("""COMPUTED_VALUE"""),"LinguaLab")</f>
        <v>LinguaLab</v>
      </c>
      <c r="F7370" s="122" t="str">
        <f>IFERROR(__xludf.DUMMYFUNCTION("""COMPUTED_VALUE"""),"Education")</f>
        <v>Education</v>
      </c>
    </row>
    <row r="7371">
      <c r="A7371" s="131">
        <f>IFERROR(__xludf.DUMMYFUNCTION("""COMPUTED_VALUE"""),46187.59673611111)</f>
        <v>46187.59674</v>
      </c>
      <c r="B7371" s="126">
        <f>IFERROR(__xludf.DUMMYFUNCTION("""COMPUTED_VALUE"""),46187.0)</f>
        <v>46187</v>
      </c>
      <c r="C7371" s="130">
        <f>IFERROR(__xludf.DUMMYFUNCTION("""COMPUTED_VALUE"""),0.5967361111111111)</f>
        <v>0.5967361111</v>
      </c>
      <c r="D7371" s="122" t="str">
        <f>IFERROR(__xludf.DUMMYFUNCTION("""COMPUTED_VALUE"""),"TEST")</f>
        <v>TEST</v>
      </c>
      <c r="E7371" s="122" t="str">
        <f>IFERROR(__xludf.DUMMYFUNCTION("""COMPUTED_VALUE"""),"TestPrep Pro")</f>
        <v>TestPrep Pro</v>
      </c>
      <c r="F7371" s="122" t="str">
        <f>IFERROR(__xludf.DUMMYFUNCTION("""COMPUTED_VALUE"""),"Education")</f>
        <v>Education</v>
      </c>
    </row>
    <row r="7372">
      <c r="A7372" s="131">
        <f>IFERROR(__xludf.DUMMYFUNCTION("""COMPUTED_VALUE"""),46187.59673611111)</f>
        <v>46187.59674</v>
      </c>
      <c r="B7372" s="126">
        <f>IFERROR(__xludf.DUMMYFUNCTION("""COMPUTED_VALUE"""),46187.0)</f>
        <v>46187</v>
      </c>
      <c r="C7372" s="130">
        <f>IFERROR(__xludf.DUMMYFUNCTION("""COMPUTED_VALUE"""),0.5967361111111111)</f>
        <v>0.5967361111</v>
      </c>
      <c r="D7372" s="122" t="str">
        <f>IFERROR(__xludf.DUMMYFUNCTION("""COMPUTED_VALUE"""),"MOVI")</f>
        <v>MOVI</v>
      </c>
      <c r="E7372" s="122" t="str">
        <f>IFERROR(__xludf.DUMMYFUNCTION("""COMPUTED_VALUE"""),"MovieBox")</f>
        <v>MovieBox</v>
      </c>
      <c r="F7372" s="122" t="str">
        <f>IFERROR(__xludf.DUMMYFUNCTION("""COMPUTED_VALUE"""),"Entertainment")</f>
        <v>Entertainment</v>
      </c>
    </row>
    <row r="7373">
      <c r="A7373" s="131">
        <f>IFERROR(__xludf.DUMMYFUNCTION("""COMPUTED_VALUE"""),46187.59673611111)</f>
        <v>46187.59674</v>
      </c>
      <c r="B7373" s="126">
        <f>IFERROR(__xludf.DUMMYFUNCTION("""COMPUTED_VALUE"""),46187.0)</f>
        <v>46187</v>
      </c>
      <c r="C7373" s="130">
        <f>IFERROR(__xludf.DUMMYFUNCTION("""COMPUTED_VALUE"""),0.5967361111111111)</f>
        <v>0.5967361111</v>
      </c>
      <c r="D7373" s="122" t="str">
        <f>IFERROR(__xludf.DUMMYFUNCTION("""COMPUTED_VALUE"""),"MUSC")</f>
        <v>MUSC</v>
      </c>
      <c r="E7373" s="122" t="str">
        <f>IFERROR(__xludf.DUMMYFUNCTION("""COMPUTED_VALUE"""),"MusicWave")</f>
        <v>MusicWave</v>
      </c>
      <c r="F7373" s="122" t="str">
        <f>IFERROR(__xludf.DUMMYFUNCTION("""COMPUTED_VALUE"""),"Entertainment")</f>
        <v>Entertainment</v>
      </c>
    </row>
    <row r="7374">
      <c r="A7374" s="131">
        <f>IFERROR(__xludf.DUMMYFUNCTION("""COMPUTED_VALUE"""),46187.59673611111)</f>
        <v>46187.59674</v>
      </c>
      <c r="B7374" s="126">
        <f>IFERROR(__xludf.DUMMYFUNCTION("""COMPUTED_VALUE"""),46187.0)</f>
        <v>46187</v>
      </c>
      <c r="C7374" s="130">
        <f>IFERROR(__xludf.DUMMYFUNCTION("""COMPUTED_VALUE"""),0.5967361111111111)</f>
        <v>0.5967361111</v>
      </c>
      <c r="D7374" s="122" t="str">
        <f>IFERROR(__xludf.DUMMYFUNCTION("""COMPUTED_VALUE"""),"IDOL")</f>
        <v>IDOL</v>
      </c>
      <c r="E7374" s="122" t="str">
        <f>IFERROR(__xludf.DUMMYFUNCTION("""COMPUTED_VALUE"""),"Idol Agency")</f>
        <v>Idol Agency</v>
      </c>
      <c r="F7374" s="122" t="str">
        <f>IFERROR(__xludf.DUMMYFUNCTION("""COMPUTED_VALUE"""),"Entertainment")</f>
        <v>Entertainment</v>
      </c>
    </row>
    <row r="7375">
      <c r="A7375" s="131">
        <f>IFERROR(__xludf.DUMMYFUNCTION("""COMPUTED_VALUE"""),46187.59673611111)</f>
        <v>46187.59674</v>
      </c>
      <c r="B7375" s="126">
        <f>IFERROR(__xludf.DUMMYFUNCTION("""COMPUTED_VALUE"""),46187.0)</f>
        <v>46187</v>
      </c>
      <c r="C7375" s="130">
        <f>IFERROR(__xludf.DUMMYFUNCTION("""COMPUTED_VALUE"""),0.5967361111111111)</f>
        <v>0.5967361111</v>
      </c>
      <c r="D7375" s="122" t="str">
        <f>IFERROR(__xludf.DUMMYFUNCTION("""COMPUTED_VALUE"""),"MEME")</f>
        <v>MEME</v>
      </c>
      <c r="E7375" s="122" t="str">
        <f>IFERROR(__xludf.DUMMYFUNCTION("""COMPUTED_VALUE"""),"Meme Media")</f>
        <v>Meme Media</v>
      </c>
      <c r="F7375" s="122" t="str">
        <f>IFERROR(__xludf.DUMMYFUNCTION("""COMPUTED_VALUE"""),"Entertainment")</f>
        <v>Entertainment</v>
      </c>
    </row>
    <row r="7376">
      <c r="A7376" s="131">
        <f>IFERROR(__xludf.DUMMYFUNCTION("""COMPUTED_VALUE"""),46187.59673611111)</f>
        <v>46187.59674</v>
      </c>
      <c r="B7376" s="126">
        <f>IFERROR(__xludf.DUMMYFUNCTION("""COMPUTED_VALUE"""),46187.0)</f>
        <v>46187</v>
      </c>
      <c r="C7376" s="130">
        <f>IFERROR(__xludf.DUMMYFUNCTION("""COMPUTED_VALUE"""),0.5967361111111111)</f>
        <v>0.5967361111</v>
      </c>
      <c r="D7376" s="122" t="str">
        <f>IFERROR(__xludf.DUMMYFUNCTION("""COMPUTED_VALUE"""),"STRM")</f>
        <v>STRM</v>
      </c>
      <c r="E7376" s="122" t="str">
        <f>IFERROR(__xludf.DUMMYFUNCTION("""COMPUTED_VALUE"""),"Streamly")</f>
        <v>Streamly</v>
      </c>
      <c r="F7376" s="122" t="str">
        <f>IFERROR(__xludf.DUMMYFUNCTION("""COMPUTED_VALUE"""),"Entertainment")</f>
        <v>Entertainment</v>
      </c>
    </row>
    <row r="7377">
      <c r="A7377" s="131">
        <f>IFERROR(__xludf.DUMMYFUNCTION("""COMPUTED_VALUE"""),46187.59673611111)</f>
        <v>46187.59674</v>
      </c>
      <c r="B7377" s="126">
        <f>IFERROR(__xludf.DUMMYFUNCTION("""COMPUTED_VALUE"""),46187.0)</f>
        <v>46187</v>
      </c>
      <c r="C7377" s="130">
        <f>IFERROR(__xludf.DUMMYFUNCTION("""COMPUTED_VALUE"""),0.5967361111111111)</f>
        <v>0.5967361111</v>
      </c>
      <c r="D7377" s="122" t="str">
        <f>IFERROR(__xludf.DUMMYFUNCTION("""COMPUTED_VALUE"""),"FARM")</f>
        <v>FARM</v>
      </c>
      <c r="E7377" s="122" t="str">
        <f>IFERROR(__xludf.DUMMYFUNCTION("""COMPUTED_VALUE"""),"Future Farms")</f>
        <v>Future Farms</v>
      </c>
      <c r="F7377" s="122" t="str">
        <f>IFERROR(__xludf.DUMMYFUNCTION("""COMPUTED_VALUE"""),"Agriculture")</f>
        <v>Agriculture</v>
      </c>
    </row>
    <row r="7378">
      <c r="A7378" s="131">
        <f>IFERROR(__xludf.DUMMYFUNCTION("""COMPUTED_VALUE"""),46187.59673611111)</f>
        <v>46187.59674</v>
      </c>
      <c r="B7378" s="126">
        <f>IFERROR(__xludf.DUMMYFUNCTION("""COMPUTED_VALUE"""),46187.0)</f>
        <v>46187</v>
      </c>
      <c r="C7378" s="130">
        <f>IFERROR(__xludf.DUMMYFUNCTION("""COMPUTED_VALUE"""),0.5967361111111111)</f>
        <v>0.5967361111</v>
      </c>
      <c r="D7378" s="122" t="str">
        <f>IFERROR(__xludf.DUMMYFUNCTION("""COMPUTED_VALUE"""),"MEAT")</f>
        <v>MEAT</v>
      </c>
      <c r="E7378" s="122" t="str">
        <f>IFERROR(__xludf.DUMMYFUNCTION("""COMPUTED_VALUE"""),"MeatWorks")</f>
        <v>MeatWorks</v>
      </c>
      <c r="F7378" s="122" t="str">
        <f>IFERROR(__xludf.DUMMYFUNCTION("""COMPUTED_VALUE"""),"Food")</f>
        <v>Food</v>
      </c>
    </row>
    <row r="7379">
      <c r="A7379" s="131">
        <f>IFERROR(__xludf.DUMMYFUNCTION("""COMPUTED_VALUE"""),46187.59673611111)</f>
        <v>46187.59674</v>
      </c>
      <c r="B7379" s="126">
        <f>IFERROR(__xludf.DUMMYFUNCTION("""COMPUTED_VALUE"""),46187.0)</f>
        <v>46187</v>
      </c>
      <c r="C7379" s="130">
        <f>IFERROR(__xludf.DUMMYFUNCTION("""COMPUTED_VALUE"""),0.5967361111111111)</f>
        <v>0.5967361111</v>
      </c>
      <c r="D7379" s="122" t="str">
        <f>IFERROR(__xludf.DUMMYFUNCTION("""COMPUTED_VALUE"""),"VEGI")</f>
        <v>VEGI</v>
      </c>
      <c r="E7379" s="122" t="str">
        <f>IFERROR(__xludf.DUMMYFUNCTION("""COMPUTED_VALUE"""),"Green Basket")</f>
        <v>Green Basket</v>
      </c>
      <c r="F7379" s="122" t="str">
        <f>IFERROR(__xludf.DUMMYFUNCTION("""COMPUTED_VALUE"""),"Food")</f>
        <v>Food</v>
      </c>
    </row>
    <row r="7380">
      <c r="A7380" s="131">
        <f>IFERROR(__xludf.DUMMYFUNCTION("""COMPUTED_VALUE"""),46187.59673611111)</f>
        <v>46187.59674</v>
      </c>
      <c r="B7380" s="126">
        <f>IFERROR(__xludf.DUMMYFUNCTION("""COMPUTED_VALUE"""),46187.0)</f>
        <v>46187</v>
      </c>
      <c r="C7380" s="130">
        <f>IFERROR(__xludf.DUMMYFUNCTION("""COMPUTED_VALUE"""),0.5967361111111111)</f>
        <v>0.5967361111</v>
      </c>
      <c r="D7380" s="122" t="str">
        <f>IFERROR(__xludf.DUMMYFUNCTION("""COMPUTED_VALUE"""),"CAFE")</f>
        <v>CAFE</v>
      </c>
      <c r="E7380" s="122" t="str">
        <f>IFERROR(__xludf.DUMMYFUNCTION("""COMPUTED_VALUE"""),"Cafe Cloud")</f>
        <v>Cafe Cloud</v>
      </c>
      <c r="F7380" s="122" t="str">
        <f>IFERROR(__xludf.DUMMYFUNCTION("""COMPUTED_VALUE"""),"Food")</f>
        <v>Food</v>
      </c>
    </row>
    <row r="7381">
      <c r="A7381" s="131">
        <f>IFERROR(__xludf.DUMMYFUNCTION("""COMPUTED_VALUE"""),46187.59673611111)</f>
        <v>46187.59674</v>
      </c>
      <c r="B7381" s="126">
        <f>IFERROR(__xludf.DUMMYFUNCTION("""COMPUTED_VALUE"""),46187.0)</f>
        <v>46187</v>
      </c>
      <c r="C7381" s="130">
        <f>IFERROR(__xludf.DUMMYFUNCTION("""COMPUTED_VALUE"""),0.5967361111111111)</f>
        <v>0.5967361111</v>
      </c>
      <c r="D7381" s="122" t="str">
        <f>IFERROR(__xludf.DUMMYFUNCTION("""COMPUTED_VALUE"""),"BAKE")</f>
        <v>BAKE</v>
      </c>
      <c r="E7381" s="122" t="str">
        <f>IFERROR(__xludf.DUMMYFUNCTION("""COMPUTED_VALUE"""),"BakeHouse")</f>
        <v>BakeHouse</v>
      </c>
      <c r="F7381" s="122" t="str">
        <f>IFERROR(__xludf.DUMMYFUNCTION("""COMPUTED_VALUE"""),"Food")</f>
        <v>Food</v>
      </c>
    </row>
    <row r="7382">
      <c r="A7382" s="131">
        <f>IFERROR(__xludf.DUMMYFUNCTION("""COMPUTED_VALUE"""),46187.59673611111)</f>
        <v>46187.59674</v>
      </c>
      <c r="B7382" s="126">
        <f>IFERROR(__xludf.DUMMYFUNCTION("""COMPUTED_VALUE"""),46187.0)</f>
        <v>46187</v>
      </c>
      <c r="C7382" s="130">
        <f>IFERROR(__xludf.DUMMYFUNCTION("""COMPUTED_VALUE"""),0.5967361111111111)</f>
        <v>0.5967361111</v>
      </c>
      <c r="D7382" s="122" t="str">
        <f>IFERROR(__xludf.DUMMYFUNCTION("""COMPUTED_VALUE"""),"OILX")</f>
        <v>OILX</v>
      </c>
      <c r="E7382" s="122" t="str">
        <f>IFERROR(__xludf.DUMMYFUNCTION("""COMPUTED_VALUE"""),"OilMax Energy")</f>
        <v>OilMax Energy</v>
      </c>
      <c r="F7382" s="122" t="str">
        <f>IFERROR(__xludf.DUMMYFUNCTION("""COMPUTED_VALUE"""),"Energy")</f>
        <v>Energy</v>
      </c>
    </row>
    <row r="7383">
      <c r="A7383" s="131">
        <f>IFERROR(__xludf.DUMMYFUNCTION("""COMPUTED_VALUE"""),46187.59673611111)</f>
        <v>46187.59674</v>
      </c>
      <c r="B7383" s="126">
        <f>IFERROR(__xludf.DUMMYFUNCTION("""COMPUTED_VALUE"""),46187.0)</f>
        <v>46187</v>
      </c>
      <c r="C7383" s="130">
        <f>IFERROR(__xludf.DUMMYFUNCTION("""COMPUTED_VALUE"""),0.5967361111111111)</f>
        <v>0.5967361111</v>
      </c>
      <c r="D7383" s="122" t="str">
        <f>IFERROR(__xludf.DUMMYFUNCTION("""COMPUTED_VALUE"""),"SOLR")</f>
        <v>SOLR</v>
      </c>
      <c r="E7383" s="122" t="str">
        <f>IFERROR(__xludf.DUMMYFUNCTION("""COMPUTED_VALUE"""),"SolarSpark")</f>
        <v>SolarSpark</v>
      </c>
      <c r="F7383" s="122" t="str">
        <f>IFERROR(__xludf.DUMMYFUNCTION("""COMPUTED_VALUE"""),"Energy")</f>
        <v>Energy</v>
      </c>
    </row>
    <row r="7384">
      <c r="A7384" s="131">
        <f>IFERROR(__xludf.DUMMYFUNCTION("""COMPUTED_VALUE"""),46187.59673611111)</f>
        <v>46187.59674</v>
      </c>
      <c r="B7384" s="126">
        <f>IFERROR(__xludf.DUMMYFUNCTION("""COMPUTED_VALUE"""),46187.0)</f>
        <v>46187</v>
      </c>
      <c r="C7384" s="130">
        <f>IFERROR(__xludf.DUMMYFUNCTION("""COMPUTED_VALUE"""),0.5967361111111111)</f>
        <v>0.5967361111</v>
      </c>
      <c r="D7384" s="122" t="str">
        <f>IFERROR(__xludf.DUMMYFUNCTION("""COMPUTED_VALUE"""),"BATT")</f>
        <v>BATT</v>
      </c>
      <c r="E7384" s="122" t="str">
        <f>IFERROR(__xludf.DUMMYFUNCTION("""COMPUTED_VALUE"""),"BatteryBox")</f>
        <v>BatteryBox</v>
      </c>
      <c r="F7384" s="122" t="str">
        <f>IFERROR(__xludf.DUMMYFUNCTION("""COMPUTED_VALUE"""),"Energy")</f>
        <v>Energy</v>
      </c>
    </row>
    <row r="7385">
      <c r="A7385" s="131">
        <f>IFERROR(__xludf.DUMMYFUNCTION("""COMPUTED_VALUE"""),46187.59673611111)</f>
        <v>46187.59674</v>
      </c>
      <c r="B7385" s="126">
        <f>IFERROR(__xludf.DUMMYFUNCTION("""COMPUTED_VALUE"""),46187.0)</f>
        <v>46187</v>
      </c>
      <c r="C7385" s="130">
        <f>IFERROR(__xludf.DUMMYFUNCTION("""COMPUTED_VALUE"""),0.5967361111111111)</f>
        <v>0.5967361111</v>
      </c>
      <c r="D7385" s="122" t="str">
        <f>IFERROR(__xludf.DUMMYFUNCTION("""COMPUTED_VALUE"""),"WIND")</f>
        <v>WIND</v>
      </c>
      <c r="E7385" s="122" t="str">
        <f>IFERROR(__xludf.DUMMYFUNCTION("""COMPUTED_VALUE"""),"WindWorks")</f>
        <v>WindWorks</v>
      </c>
      <c r="F7385" s="122" t="str">
        <f>IFERROR(__xludf.DUMMYFUNCTION("""COMPUTED_VALUE"""),"Energy")</f>
        <v>Energy</v>
      </c>
    </row>
    <row r="7386">
      <c r="A7386" s="131">
        <f>IFERROR(__xludf.DUMMYFUNCTION("""COMPUTED_VALUE"""),46187.59673611111)</f>
        <v>46187.59674</v>
      </c>
      <c r="B7386" s="126">
        <f>IFERROR(__xludf.DUMMYFUNCTION("""COMPUTED_VALUE"""),46187.0)</f>
        <v>46187</v>
      </c>
      <c r="C7386" s="130">
        <f>IFERROR(__xludf.DUMMYFUNCTION("""COMPUTED_VALUE"""),0.5967361111111111)</f>
        <v>0.5967361111</v>
      </c>
      <c r="D7386" s="122" t="str">
        <f>IFERROR(__xludf.DUMMYFUNCTION("""COMPUTED_VALUE"""),"GRID")</f>
        <v>GRID</v>
      </c>
      <c r="E7386" s="122" t="str">
        <f>IFERROR(__xludf.DUMMYFUNCTION("""COMPUTED_VALUE"""),"GridPower")</f>
        <v>GridPower</v>
      </c>
      <c r="F7386" s="122" t="str">
        <f>IFERROR(__xludf.DUMMYFUNCTION("""COMPUTED_VALUE"""),"Energy")</f>
        <v>Energy</v>
      </c>
    </row>
    <row r="7387">
      <c r="A7387" s="131">
        <f>IFERROR(__xludf.DUMMYFUNCTION("""COMPUTED_VALUE"""),46187.59673611111)</f>
        <v>46187.59674</v>
      </c>
      <c r="B7387" s="126">
        <f>IFERROR(__xludf.DUMMYFUNCTION("""COMPUTED_VALUE"""),46187.0)</f>
        <v>46187</v>
      </c>
      <c r="C7387" s="130">
        <f>IFERROR(__xludf.DUMMYFUNCTION("""COMPUTED_VALUE"""),0.5967361111111111)</f>
        <v>0.5967361111</v>
      </c>
      <c r="D7387" s="122" t="str">
        <f>IFERROR(__xludf.DUMMYFUNCTION("""COMPUTED_VALUE"""),"HOME")</f>
        <v>HOME</v>
      </c>
      <c r="E7387" s="122" t="str">
        <f>IFERROR(__xludf.DUMMYFUNCTION("""COMPUTED_VALUE"""),"HomeHub")</f>
        <v>HomeHub</v>
      </c>
      <c r="F7387" s="122" t="str">
        <f>IFERROR(__xludf.DUMMYFUNCTION("""COMPUTED_VALUE"""),"Real Estate")</f>
        <v>Real Estate</v>
      </c>
    </row>
    <row r="7388">
      <c r="A7388" s="131">
        <f>IFERROR(__xludf.DUMMYFUNCTION("""COMPUTED_VALUE"""),46187.59673611111)</f>
        <v>46187.59674</v>
      </c>
      <c r="B7388" s="126">
        <f>IFERROR(__xludf.DUMMYFUNCTION("""COMPUTED_VALUE"""),46187.0)</f>
        <v>46187</v>
      </c>
      <c r="C7388" s="130">
        <f>IFERROR(__xludf.DUMMYFUNCTION("""COMPUTED_VALUE"""),0.5967361111111111)</f>
        <v>0.5967361111</v>
      </c>
      <c r="D7388" s="122" t="str">
        <f>IFERROR(__xludf.DUMMYFUNCTION("""COMPUTED_VALUE"""),"RENT")</f>
        <v>RENT</v>
      </c>
      <c r="E7388" s="122" t="str">
        <f>IFERROR(__xludf.DUMMYFUNCTION("""COMPUTED_VALUE"""),"RentRight")</f>
        <v>RentRight</v>
      </c>
      <c r="F7388" s="122" t="str">
        <f>IFERROR(__xludf.DUMMYFUNCTION("""COMPUTED_VALUE"""),"Real Estate")</f>
        <v>Real Estate</v>
      </c>
    </row>
    <row r="7389">
      <c r="A7389" s="131">
        <f>IFERROR(__xludf.DUMMYFUNCTION("""COMPUTED_VALUE"""),46187.59673611111)</f>
        <v>46187.59674</v>
      </c>
      <c r="B7389" s="126">
        <f>IFERROR(__xludf.DUMMYFUNCTION("""COMPUTED_VALUE"""),46187.0)</f>
        <v>46187</v>
      </c>
      <c r="C7389" s="130">
        <f>IFERROR(__xludf.DUMMYFUNCTION("""COMPUTED_VALUE"""),0.5967361111111111)</f>
        <v>0.5967361111</v>
      </c>
      <c r="D7389" s="122" t="str">
        <f>IFERROR(__xludf.DUMMYFUNCTION("""COMPUTED_VALUE"""),"MALL")</f>
        <v>MALL</v>
      </c>
      <c r="E7389" s="122" t="str">
        <f>IFERROR(__xludf.DUMMYFUNCTION("""COMPUTED_VALUE"""),"MegaMall")</f>
        <v>MegaMall</v>
      </c>
      <c r="F7389" s="122" t="str">
        <f>IFERROR(__xludf.DUMMYFUNCTION("""COMPUTED_VALUE"""),"Real Estate")</f>
        <v>Real Estate</v>
      </c>
    </row>
    <row r="7390">
      <c r="A7390" s="131">
        <f>IFERROR(__xludf.DUMMYFUNCTION("""COMPUTED_VALUE"""),46187.59673611111)</f>
        <v>46187.59674</v>
      </c>
      <c r="B7390" s="126">
        <f>IFERROR(__xludf.DUMMYFUNCTION("""COMPUTED_VALUE"""),46187.0)</f>
        <v>46187</v>
      </c>
      <c r="C7390" s="130">
        <f>IFERROR(__xludf.DUMMYFUNCTION("""COMPUTED_VALUE"""),0.5967361111111111)</f>
        <v>0.5967361111</v>
      </c>
      <c r="D7390" s="122" t="str">
        <f>IFERROR(__xludf.DUMMYFUNCTION("""COMPUTED_VALUE"""),"HOTL")</f>
        <v>HOTL</v>
      </c>
      <c r="E7390" s="122" t="str">
        <f>IFERROR(__xludf.DUMMYFUNCTION("""COMPUTED_VALUE"""),"HotelHive")</f>
        <v>HotelHive</v>
      </c>
      <c r="F7390" s="122" t="str">
        <f>IFERROR(__xludf.DUMMYFUNCTION("""COMPUTED_VALUE"""),"Real Estate")</f>
        <v>Real Estate</v>
      </c>
    </row>
    <row r="7391">
      <c r="A7391" s="131">
        <f>IFERROR(__xludf.DUMMYFUNCTION("""COMPUTED_VALUE"""),46187.59673611111)</f>
        <v>46187.59674</v>
      </c>
      <c r="B7391" s="126">
        <f>IFERROR(__xludf.DUMMYFUNCTION("""COMPUTED_VALUE"""),46187.0)</f>
        <v>46187</v>
      </c>
      <c r="C7391" s="130">
        <f>IFERROR(__xludf.DUMMYFUNCTION("""COMPUTED_VALUE"""),0.5967361111111111)</f>
        <v>0.5967361111</v>
      </c>
      <c r="D7391" s="122" t="str">
        <f>IFERROR(__xludf.DUMMYFUNCTION("""COMPUTED_VALUE"""),"LAND")</f>
        <v>LAND</v>
      </c>
      <c r="E7391" s="122" t="str">
        <f>IFERROR(__xludf.DUMMYFUNCTION("""COMPUTED_VALUE"""),"LandLink")</f>
        <v>LandLink</v>
      </c>
      <c r="F7391" s="122" t="str">
        <f>IFERROR(__xludf.DUMMYFUNCTION("""COMPUTED_VALUE"""),"Real Estate")</f>
        <v>Real Estate</v>
      </c>
    </row>
    <row r="7392">
      <c r="A7392" s="131">
        <f>IFERROR(__xludf.DUMMYFUNCTION("""COMPUTED_VALUE"""),46187.59673611111)</f>
        <v>46187.59674</v>
      </c>
      <c r="B7392" s="126">
        <f>IFERROR(__xludf.DUMMYFUNCTION("""COMPUTED_VALUE"""),46187.0)</f>
        <v>46187</v>
      </c>
      <c r="C7392" s="130">
        <f>IFERROR(__xludf.DUMMYFUNCTION("""COMPUTED_VALUE"""),0.5967361111111111)</f>
        <v>0.5967361111</v>
      </c>
      <c r="D7392" s="122" t="str">
        <f>IFERROR(__xludf.DUMMYFUNCTION("""COMPUTED_VALUE"""),"CARS")</f>
        <v>CARS</v>
      </c>
      <c r="E7392" s="122" t="str">
        <f>IFERROR(__xludf.DUMMYFUNCTION("""COMPUTED_VALUE"""),"AutoArena")</f>
        <v>AutoArena</v>
      </c>
      <c r="F7392" s="122" t="str">
        <f>IFERROR(__xludf.DUMMYFUNCTION("""COMPUTED_VALUE"""),"Automotive")</f>
        <v>Automotive</v>
      </c>
    </row>
    <row r="7393">
      <c r="A7393" s="131">
        <f>IFERROR(__xludf.DUMMYFUNCTION("""COMPUTED_VALUE"""),46187.59673611111)</f>
        <v>46187.59674</v>
      </c>
      <c r="B7393" s="126">
        <f>IFERROR(__xludf.DUMMYFUNCTION("""COMPUTED_VALUE"""),46187.0)</f>
        <v>46187</v>
      </c>
      <c r="C7393" s="130">
        <f>IFERROR(__xludf.DUMMYFUNCTION("""COMPUTED_VALUE"""),0.5967361111111111)</f>
        <v>0.5967361111</v>
      </c>
      <c r="D7393" s="122" t="str">
        <f>IFERROR(__xludf.DUMMYFUNCTION("""COMPUTED_VALUE"""),"EVGO")</f>
        <v>EVGO</v>
      </c>
      <c r="E7393" s="122" t="str">
        <f>IFERROR(__xludf.DUMMYFUNCTION("""COMPUTED_VALUE"""),"EVGo Motors")</f>
        <v>EVGo Motors</v>
      </c>
      <c r="F7393" s="122" t="str">
        <f>IFERROR(__xludf.DUMMYFUNCTION("""COMPUTED_VALUE"""),"Automotive")</f>
        <v>Automotive</v>
      </c>
    </row>
    <row r="7394">
      <c r="A7394" s="131">
        <f>IFERROR(__xludf.DUMMYFUNCTION("""COMPUTED_VALUE"""),46187.59673611111)</f>
        <v>46187.59674</v>
      </c>
      <c r="B7394" s="126">
        <f>IFERROR(__xludf.DUMMYFUNCTION("""COMPUTED_VALUE"""),46187.0)</f>
        <v>46187</v>
      </c>
      <c r="C7394" s="130">
        <f>IFERROR(__xludf.DUMMYFUNCTION("""COMPUTED_VALUE"""),0.5967361111111111)</f>
        <v>0.5967361111</v>
      </c>
      <c r="D7394" s="122" t="str">
        <f>IFERROR(__xludf.DUMMYFUNCTION("""COMPUTED_VALUE"""),"TIRE")</f>
        <v>TIRE</v>
      </c>
      <c r="E7394" s="122" t="str">
        <f>IFERROR(__xludf.DUMMYFUNCTION("""COMPUTED_VALUE"""),"TireTown")</f>
        <v>TireTown</v>
      </c>
      <c r="F7394" s="122" t="str">
        <f>IFERROR(__xludf.DUMMYFUNCTION("""COMPUTED_VALUE"""),"Automotive")</f>
        <v>Automotive</v>
      </c>
    </row>
    <row r="7395">
      <c r="A7395" s="131">
        <f>IFERROR(__xludf.DUMMYFUNCTION("""COMPUTED_VALUE"""),46187.59673611111)</f>
        <v>46187.59674</v>
      </c>
      <c r="B7395" s="126">
        <f>IFERROR(__xludf.DUMMYFUNCTION("""COMPUTED_VALUE"""),46187.0)</f>
        <v>46187</v>
      </c>
      <c r="C7395" s="130">
        <f>IFERROR(__xludf.DUMMYFUNCTION("""COMPUTED_VALUE"""),0.5967361111111111)</f>
        <v>0.5967361111</v>
      </c>
      <c r="D7395" s="122" t="str">
        <f>IFERROR(__xludf.DUMMYFUNCTION("""COMPUTED_VALUE"""),"BIKE")</f>
        <v>BIKE</v>
      </c>
      <c r="E7395" s="122" t="str">
        <f>IFERROR(__xludf.DUMMYFUNCTION("""COMPUTED_VALUE"""),"BikeBox")</f>
        <v>BikeBox</v>
      </c>
      <c r="F7395" s="122" t="str">
        <f>IFERROR(__xludf.DUMMYFUNCTION("""COMPUTED_VALUE"""),"Automotive")</f>
        <v>Automotive</v>
      </c>
    </row>
    <row r="7396">
      <c r="A7396" s="131">
        <f>IFERROR(__xludf.DUMMYFUNCTION("""COMPUTED_VALUE"""),46187.59673611111)</f>
        <v>46187.59674</v>
      </c>
      <c r="B7396" s="126">
        <f>IFERROR(__xludf.DUMMYFUNCTION("""COMPUTED_VALUE"""),46187.0)</f>
        <v>46187</v>
      </c>
      <c r="C7396" s="130">
        <f>IFERROR(__xludf.DUMMYFUNCTION("""COMPUTED_VALUE"""),0.5967361111111111)</f>
        <v>0.5967361111</v>
      </c>
      <c r="D7396" s="122" t="str">
        <f>IFERROR(__xludf.DUMMYFUNCTION("""COMPUTED_VALUE"""),"WASH")</f>
        <v>WASH</v>
      </c>
      <c r="E7396" s="122" t="str">
        <f>IFERROR(__xludf.DUMMYFUNCTION("""COMPUTED_VALUE"""),"CarWash Co")</f>
        <v>CarWash Co</v>
      </c>
      <c r="F7396" s="122" t="str">
        <f>IFERROR(__xludf.DUMMYFUNCTION("""COMPUTED_VALUE"""),"Automotive")</f>
        <v>Automotive</v>
      </c>
    </row>
    <row r="7397">
      <c r="A7397" s="131">
        <f>IFERROR(__xludf.DUMMYFUNCTION("""COMPUTED_VALUE"""),46187.59673611111)</f>
        <v>46187.59674</v>
      </c>
      <c r="B7397" s="126">
        <f>IFERROR(__xludf.DUMMYFUNCTION("""COMPUTED_VALUE"""),46187.0)</f>
        <v>46187</v>
      </c>
      <c r="C7397" s="130">
        <f>IFERROR(__xludf.DUMMYFUNCTION("""COMPUTED_VALUE"""),0.5967361111111111)</f>
        <v>0.5967361111</v>
      </c>
      <c r="D7397" s="122" t="str">
        <f>IFERROR(__xludf.DUMMYFUNCTION("""COMPUTED_VALUE"""),"GBND")</f>
        <v>GBND</v>
      </c>
      <c r="E7397" s="122" t="str">
        <f>IFERROR(__xludf.DUMMYFUNCTION("""COMPUTED_VALUE"""),"Classroom Government Bond")</f>
        <v>Classroom Government Bond</v>
      </c>
      <c r="F7397" s="122" t="str">
        <f>IFERROR(__xludf.DUMMYFUNCTION("""COMPUTED_VALUE"""),"Bond")</f>
        <v>Bond</v>
      </c>
    </row>
    <row r="7398">
      <c r="A7398" s="131">
        <f>IFERROR(__xludf.DUMMYFUNCTION("""COMPUTED_VALUE"""),46187.59673611111)</f>
        <v>46187.59674</v>
      </c>
      <c r="B7398" s="126">
        <f>IFERROR(__xludf.DUMMYFUNCTION("""COMPUTED_VALUE"""),46187.0)</f>
        <v>46187</v>
      </c>
      <c r="C7398" s="130">
        <f>IFERROR(__xludf.DUMMYFUNCTION("""COMPUTED_VALUE"""),0.5967361111111111)</f>
        <v>0.5967361111</v>
      </c>
      <c r="D7398" s="122" t="str">
        <f>IFERROR(__xludf.DUMMYFUNCTION("""COMPUTED_VALUE"""),"SBND")</f>
        <v>SBND</v>
      </c>
      <c r="E7398" s="122" t="str">
        <f>IFERROR(__xludf.DUMMYFUNCTION("""COMPUTED_VALUE"""),"School Savings Bond")</f>
        <v>School Savings Bond</v>
      </c>
      <c r="F7398" s="122" t="str">
        <f>IFERROR(__xludf.DUMMYFUNCTION("""COMPUTED_VALUE"""),"Bond")</f>
        <v>Bond</v>
      </c>
    </row>
    <row r="7399">
      <c r="A7399" s="131">
        <f>IFERROR(__xludf.DUMMYFUNCTION("""COMPUTED_VALUE"""),46187.59673611111)</f>
        <v>46187.59674</v>
      </c>
      <c r="B7399" s="126">
        <f>IFERROR(__xludf.DUMMYFUNCTION("""COMPUTED_VALUE"""),46187.0)</f>
        <v>46187</v>
      </c>
      <c r="C7399" s="130">
        <f>IFERROR(__xludf.DUMMYFUNCTION("""COMPUTED_VALUE"""),0.5967361111111111)</f>
        <v>0.5967361111</v>
      </c>
      <c r="D7399" s="122" t="str">
        <f>IFERROR(__xludf.DUMMYFUNCTION("""COMPUTED_VALUE"""),"CBND")</f>
        <v>CBND</v>
      </c>
      <c r="E7399" s="122" t="str">
        <f>IFERROR(__xludf.DUMMYFUNCTION("""COMPUTED_VALUE"""),"Corporate Classroom Bond")</f>
        <v>Corporate Classroom Bond</v>
      </c>
      <c r="F7399" s="122" t="str">
        <f>IFERROR(__xludf.DUMMYFUNCTION("""COMPUTED_VALUE"""),"Bond")</f>
        <v>Bond</v>
      </c>
    </row>
    <row r="7400">
      <c r="A7400" s="131">
        <f>IFERROR(__xludf.DUMMYFUNCTION("""COMPUTED_VALUE"""),46187.59673611111)</f>
        <v>46187.59674</v>
      </c>
      <c r="B7400" s="126">
        <f>IFERROR(__xludf.DUMMYFUNCTION("""COMPUTED_VALUE"""),46187.0)</f>
        <v>46187</v>
      </c>
      <c r="C7400" s="130">
        <f>IFERROR(__xludf.DUMMYFUNCTION("""COMPUTED_VALUE"""),0.5967361111111111)</f>
        <v>0.5967361111</v>
      </c>
      <c r="D7400" s="122" t="str">
        <f>IFERROR(__xludf.DUMMYFUNCTION("""COMPUTED_VALUE"""),"TBIL")</f>
        <v>TBIL</v>
      </c>
      <c r="E7400" s="122" t="str">
        <f>IFERROR(__xludf.DUMMYFUNCTION("""COMPUTED_VALUE"""),"Treasury Bill")</f>
        <v>Treasury Bill</v>
      </c>
      <c r="F7400" s="122" t="str">
        <f>IFERROR(__xludf.DUMMYFUNCTION("""COMPUTED_VALUE"""),"Bond")</f>
        <v>Bond</v>
      </c>
    </row>
    <row r="7401">
      <c r="A7401" s="131">
        <f>IFERROR(__xludf.DUMMYFUNCTION("""COMPUTED_VALUE"""),46187.59673611111)</f>
        <v>46187.59674</v>
      </c>
      <c r="B7401" s="126">
        <f>IFERROR(__xludf.DUMMYFUNCTION("""COMPUTED_VALUE"""),46187.0)</f>
        <v>46187</v>
      </c>
      <c r="C7401" s="130">
        <f>IFERROR(__xludf.DUMMYFUNCTION("""COMPUTED_VALUE"""),0.5967361111111111)</f>
        <v>0.5967361111</v>
      </c>
      <c r="D7401" s="122" t="str">
        <f>IFERROR(__xludf.DUMMYFUNCTION("""COMPUTED_VALUE"""),"IBND")</f>
        <v>IBND</v>
      </c>
      <c r="E7401" s="122" t="str">
        <f>IFERROR(__xludf.DUMMYFUNCTION("""COMPUTED_VALUE"""),"Inflation Protected Bond")</f>
        <v>Inflation Protected Bond</v>
      </c>
      <c r="F7401" s="122" t="str">
        <f>IFERROR(__xludf.DUMMYFUNCTION("""COMPUTED_VALUE"""),"Bond")</f>
        <v>Bond</v>
      </c>
    </row>
    <row r="7402">
      <c r="A7402" s="131">
        <f>IFERROR(__xludf.DUMMYFUNCTION("""COMPUTED_VALUE"""),46187.59873842593)</f>
        <v>46187.59874</v>
      </c>
      <c r="B7402" s="126">
        <f>IFERROR(__xludf.DUMMYFUNCTION("""COMPUTED_VALUE"""),46187.0)</f>
        <v>46187</v>
      </c>
      <c r="C7402" s="122" t="str">
        <f>IFERROR(__xludf.DUMMYFUNCTION("""COMPUTED_VALUE"""),"SNAX")</f>
        <v>SNAX</v>
      </c>
      <c r="D7402" s="122" t="str">
        <f>IFERROR(__xludf.DUMMYFUNCTION("""COMPUTED_VALUE"""),"MICA Snacks")</f>
        <v>MICA Snacks</v>
      </c>
      <c r="E7402" s="122">
        <f>IFERROR(__xludf.DUMMYFUNCTION("""COMPUTED_VALUE"""),122.61)</f>
        <v>122.61</v>
      </c>
      <c r="F7402" s="122">
        <f>IFERROR(__xludf.DUMMYFUNCTION("""COMPUTED_VALUE"""),-0.0018)</f>
        <v>-0.0018</v>
      </c>
    </row>
    <row r="7403">
      <c r="A7403" s="131">
        <f>IFERROR(__xludf.DUMMYFUNCTION("""COMPUTED_VALUE"""),46187.59873842593)</f>
        <v>46187.59874</v>
      </c>
      <c r="B7403" s="126">
        <f>IFERROR(__xludf.DUMMYFUNCTION("""COMPUTED_VALUE"""),46187.0)</f>
        <v>46187</v>
      </c>
      <c r="C7403" s="122" t="str">
        <f>IFERROR(__xludf.DUMMYFUNCTION("""COMPUTED_VALUE"""),"RAMN")</f>
        <v>RAMN</v>
      </c>
      <c r="D7403" s="122" t="str">
        <f>IFERROR(__xludf.DUMMYFUNCTION("""COMPUTED_VALUE"""),"Ramen Republic")</f>
        <v>Ramen Republic</v>
      </c>
      <c r="E7403" s="122">
        <f>IFERROR(__xludf.DUMMYFUNCTION("""COMPUTED_VALUE"""),64.22)</f>
        <v>64.22</v>
      </c>
      <c r="F7403" s="122">
        <f>IFERROR(__xludf.DUMMYFUNCTION("""COMPUTED_VALUE"""),0.0036)</f>
        <v>0.0036</v>
      </c>
    </row>
    <row r="7404">
      <c r="A7404" s="131">
        <f>IFERROR(__xludf.DUMMYFUNCTION("""COMPUTED_VALUE"""),46187.59873842593)</f>
        <v>46187.59874</v>
      </c>
      <c r="B7404" s="126">
        <f>IFERROR(__xludf.DUMMYFUNCTION("""COMPUTED_VALUE"""),46187.0)</f>
        <v>46187</v>
      </c>
      <c r="C7404" s="122" t="str">
        <f>IFERROR(__xludf.DUMMYFUNCTION("""COMPUTED_VALUE"""),"COLA")</f>
        <v>COLA</v>
      </c>
      <c r="D7404" s="122" t="str">
        <f>IFERROR(__xludf.DUMMYFUNCTION("""COMPUTED_VALUE"""),"K-Pop Cola")</f>
        <v>K-Pop Cola</v>
      </c>
      <c r="E7404" s="122">
        <f>IFERROR(__xludf.DUMMYFUNCTION("""COMPUTED_VALUE"""),113.52)</f>
        <v>113.52</v>
      </c>
      <c r="F7404" s="122">
        <f>IFERROR(__xludf.DUMMYFUNCTION("""COMPUTED_VALUE"""),-0.0053)</f>
        <v>-0.0053</v>
      </c>
    </row>
    <row r="7405">
      <c r="A7405" s="131">
        <f>IFERROR(__xludf.DUMMYFUNCTION("""COMPUTED_VALUE"""),46187.59873842593)</f>
        <v>46187.59874</v>
      </c>
      <c r="B7405" s="126">
        <f>IFERROR(__xludf.DUMMYFUNCTION("""COMPUTED_VALUE"""),46187.0)</f>
        <v>46187</v>
      </c>
      <c r="C7405" s="122" t="str">
        <f>IFERROR(__xludf.DUMMYFUNCTION("""COMPUTED_VALUE"""),"CHIP")</f>
        <v>CHIP</v>
      </c>
      <c r="D7405" s="122" t="str">
        <f>IFERROR(__xludf.DUMMYFUNCTION("""COMPUTED_VALUE"""),"Chip Empire")</f>
        <v>Chip Empire</v>
      </c>
      <c r="E7405" s="122">
        <f>IFERROR(__xludf.DUMMYFUNCTION("""COMPUTED_VALUE"""),81.81)</f>
        <v>81.81</v>
      </c>
      <c r="F7405" s="122">
        <f>IFERROR(__xludf.DUMMYFUNCTION("""COMPUTED_VALUE"""),0.0038)</f>
        <v>0.0038</v>
      </c>
    </row>
    <row r="7406">
      <c r="A7406" s="131">
        <f>IFERROR(__xludf.DUMMYFUNCTION("""COMPUTED_VALUE"""),46187.59873842593)</f>
        <v>46187.59874</v>
      </c>
      <c r="B7406" s="126">
        <f>IFERROR(__xludf.DUMMYFUNCTION("""COMPUTED_VALUE"""),46187.0)</f>
        <v>46187</v>
      </c>
      <c r="C7406" s="122" t="str">
        <f>IFERROR(__xludf.DUMMYFUNCTION("""COMPUTED_VALUE"""),"CAND")</f>
        <v>CAND</v>
      </c>
      <c r="D7406" s="122" t="str">
        <f>IFERROR(__xludf.DUMMYFUNCTION("""COMPUTED_VALUE"""),"Candy Capital")</f>
        <v>Candy Capital</v>
      </c>
      <c r="E7406" s="122">
        <f>IFERROR(__xludf.DUMMYFUNCTION("""COMPUTED_VALUE"""),77.0)</f>
        <v>77</v>
      </c>
      <c r="F7406" s="122">
        <f>IFERROR(__xludf.DUMMYFUNCTION("""COMPUTED_VALUE"""),-0.0014)</f>
        <v>-0.0014</v>
      </c>
    </row>
    <row r="7407">
      <c r="A7407" s="131">
        <f>IFERROR(__xludf.DUMMYFUNCTION("""COMPUTED_VALUE"""),46187.59873842593)</f>
        <v>46187.59874</v>
      </c>
      <c r="B7407" s="126">
        <f>IFERROR(__xludf.DUMMYFUNCTION("""COMPUTED_VALUE"""),46187.0)</f>
        <v>46187</v>
      </c>
      <c r="C7407" s="122" t="str">
        <f>IFERROR(__xludf.DUMMYFUNCTION("""COMPUTED_VALUE"""),"TECH")</f>
        <v>TECH</v>
      </c>
      <c r="D7407" s="122" t="str">
        <f>IFERROR(__xludf.DUMMYFUNCTION("""COMPUTED_VALUE"""),"Dragon Tech")</f>
        <v>Dragon Tech</v>
      </c>
      <c r="E7407" s="122">
        <f>IFERROR(__xludf.DUMMYFUNCTION("""COMPUTED_VALUE"""),254.82)</f>
        <v>254.82</v>
      </c>
      <c r="F7407" s="122">
        <f>IFERROR(__xludf.DUMMYFUNCTION("""COMPUTED_VALUE"""),-0.0043)</f>
        <v>-0.0043</v>
      </c>
    </row>
    <row r="7408">
      <c r="A7408" s="131">
        <f>IFERROR(__xludf.DUMMYFUNCTION("""COMPUTED_VALUE"""),46187.59873842593)</f>
        <v>46187.59874</v>
      </c>
      <c r="B7408" s="126">
        <f>IFERROR(__xludf.DUMMYFUNCTION("""COMPUTED_VALUE"""),46187.0)</f>
        <v>46187</v>
      </c>
      <c r="C7408" s="122" t="str">
        <f>IFERROR(__xludf.DUMMYFUNCTION("""COMPUTED_VALUE"""),"AIBO")</f>
        <v>AIBO</v>
      </c>
      <c r="D7408" s="122" t="str">
        <f>IFERROR(__xludf.DUMMYFUNCTION("""COMPUTED_VALUE"""),"Homework AI")</f>
        <v>Homework AI</v>
      </c>
      <c r="E7408" s="122">
        <f>IFERROR(__xludf.DUMMYFUNCTION("""COMPUTED_VALUE"""),188.79)</f>
        <v>188.79</v>
      </c>
      <c r="F7408" s="122">
        <f>IFERROR(__xludf.DUMMYFUNCTION("""COMPUTED_VALUE"""),-3.0E-4)</f>
        <v>-0.0003</v>
      </c>
    </row>
    <row r="7409">
      <c r="A7409" s="131">
        <f>IFERROR(__xludf.DUMMYFUNCTION("""COMPUTED_VALUE"""),46187.59873842593)</f>
        <v>46187.59874</v>
      </c>
      <c r="B7409" s="126">
        <f>IFERROR(__xludf.DUMMYFUNCTION("""COMPUTED_VALUE"""),46187.0)</f>
        <v>46187</v>
      </c>
      <c r="C7409" s="122" t="str">
        <f>IFERROR(__xludf.DUMMYFUNCTION("""COMPUTED_VALUE"""),"GAME")</f>
        <v>GAME</v>
      </c>
      <c r="D7409" s="122" t="str">
        <f>IFERROR(__xludf.DUMMYFUNCTION("""COMPUTED_VALUE"""),"GameBox Media")</f>
        <v>GameBox Media</v>
      </c>
      <c r="E7409" s="122">
        <f>IFERROR(__xludf.DUMMYFUNCTION("""COMPUTED_VALUE"""),102.91)</f>
        <v>102.91</v>
      </c>
      <c r="F7409" s="122">
        <f>IFERROR(__xludf.DUMMYFUNCTION("""COMPUTED_VALUE"""),-0.0071)</f>
        <v>-0.0071</v>
      </c>
    </row>
    <row r="7410">
      <c r="A7410" s="131">
        <f>IFERROR(__xludf.DUMMYFUNCTION("""COMPUTED_VALUE"""),46187.59873842593)</f>
        <v>46187.59874</v>
      </c>
      <c r="B7410" s="126">
        <f>IFERROR(__xludf.DUMMYFUNCTION("""COMPUTED_VALUE"""),46187.0)</f>
        <v>46187</v>
      </c>
      <c r="C7410" s="122" t="str">
        <f>IFERROR(__xludf.DUMMYFUNCTION("""COMPUTED_VALUE"""),"VRSE")</f>
        <v>VRSE</v>
      </c>
      <c r="D7410" s="122" t="str">
        <f>IFERROR(__xludf.DUMMYFUNCTION("""COMPUTED_VALUE"""),"VerseVR")</f>
        <v>VerseVR</v>
      </c>
      <c r="E7410" s="122">
        <f>IFERROR(__xludf.DUMMYFUNCTION("""COMPUTED_VALUE"""),149.26)</f>
        <v>149.26</v>
      </c>
      <c r="F7410" s="122">
        <f>IFERROR(__xludf.DUMMYFUNCTION("""COMPUTED_VALUE"""),0.0105)</f>
        <v>0.0105</v>
      </c>
    </row>
    <row r="7411">
      <c r="A7411" s="131">
        <f>IFERROR(__xludf.DUMMYFUNCTION("""COMPUTED_VALUE"""),46187.59873842593)</f>
        <v>46187.59874</v>
      </c>
      <c r="B7411" s="126">
        <f>IFERROR(__xludf.DUMMYFUNCTION("""COMPUTED_VALUE"""),46187.0)</f>
        <v>46187</v>
      </c>
      <c r="C7411" s="122" t="str">
        <f>IFERROR(__xludf.DUMMYFUNCTION("""COMPUTED_VALUE"""),"BYTE")</f>
        <v>BYTE</v>
      </c>
      <c r="D7411" s="122" t="str">
        <f>IFERROR(__xludf.DUMMYFUNCTION("""COMPUTED_VALUE"""),"ByteWorks")</f>
        <v>ByteWorks</v>
      </c>
      <c r="E7411" s="122">
        <f>IFERROR(__xludf.DUMMYFUNCTION("""COMPUTED_VALUE"""),115.59)</f>
        <v>115.59</v>
      </c>
      <c r="F7411" s="122">
        <f>IFERROR(__xludf.DUMMYFUNCTION("""COMPUTED_VALUE"""),-0.0071)</f>
        <v>-0.0071</v>
      </c>
    </row>
    <row r="7412">
      <c r="A7412" s="131">
        <f>IFERROR(__xludf.DUMMYFUNCTION("""COMPUTED_VALUE"""),46187.59873842593)</f>
        <v>46187.59874</v>
      </c>
      <c r="B7412" s="126">
        <f>IFERROR(__xludf.DUMMYFUNCTION("""COMPUTED_VALUE"""),46187.0)</f>
        <v>46187</v>
      </c>
      <c r="C7412" s="122" t="str">
        <f>IFERROR(__xludf.DUMMYFUNCTION("""COMPUTED_VALUE"""),"BANK")</f>
        <v>BANK</v>
      </c>
      <c r="D7412" s="122" t="str">
        <f>IFERROR(__xludf.DUMMYFUNCTION("""COMPUTED_VALUE"""),"Tiger Bank")</f>
        <v>Tiger Bank</v>
      </c>
      <c r="E7412" s="122">
        <f>IFERROR(__xludf.DUMMYFUNCTION("""COMPUTED_VALUE"""),131.0)</f>
        <v>131</v>
      </c>
      <c r="F7412" s="122">
        <f>IFERROR(__xludf.DUMMYFUNCTION("""COMPUTED_VALUE"""),0.0032)</f>
        <v>0.0032</v>
      </c>
    </row>
    <row r="7413">
      <c r="A7413" s="131">
        <f>IFERROR(__xludf.DUMMYFUNCTION("""COMPUTED_VALUE"""),46187.59873842593)</f>
        <v>46187.59874</v>
      </c>
      <c r="B7413" s="126">
        <f>IFERROR(__xludf.DUMMYFUNCTION("""COMPUTED_VALUE"""),46187.0)</f>
        <v>46187</v>
      </c>
      <c r="C7413" s="122" t="str">
        <f>IFERROR(__xludf.DUMMYFUNCTION("""COMPUTED_VALUE"""),"CRED")</f>
        <v>CRED</v>
      </c>
      <c r="D7413" s="122" t="str">
        <f>IFERROR(__xludf.DUMMYFUNCTION("""COMPUTED_VALUE"""),"Credit Castle")</f>
        <v>Credit Castle</v>
      </c>
      <c r="E7413" s="122">
        <f>IFERROR(__xludf.DUMMYFUNCTION("""COMPUTED_VALUE"""),66.61)</f>
        <v>66.61</v>
      </c>
      <c r="F7413" s="122">
        <f>IFERROR(__xludf.DUMMYFUNCTION("""COMPUTED_VALUE"""),0.002)</f>
        <v>0.002</v>
      </c>
    </row>
    <row r="7414">
      <c r="A7414" s="131">
        <f>IFERROR(__xludf.DUMMYFUNCTION("""COMPUTED_VALUE"""),46187.59873842593)</f>
        <v>46187.59874</v>
      </c>
      <c r="B7414" s="126">
        <f>IFERROR(__xludf.DUMMYFUNCTION("""COMPUTED_VALUE"""),46187.0)</f>
        <v>46187</v>
      </c>
      <c r="C7414" s="122" t="str">
        <f>IFERROR(__xludf.DUMMYFUNCTION("""COMPUTED_VALUE"""),"BOND")</f>
        <v>BOND</v>
      </c>
      <c r="D7414" s="122" t="str">
        <f>IFERROR(__xludf.DUMMYFUNCTION("""COMPUTED_VALUE"""),"BondBridge")</f>
        <v>BondBridge</v>
      </c>
      <c r="E7414" s="122">
        <f>IFERROR(__xludf.DUMMYFUNCTION("""COMPUTED_VALUE"""),104.01)</f>
        <v>104.01</v>
      </c>
      <c r="F7414" s="122">
        <f>IFERROR(__xludf.DUMMYFUNCTION("""COMPUTED_VALUE"""),0.0013)</f>
        <v>0.0013</v>
      </c>
    </row>
    <row r="7415">
      <c r="A7415" s="131">
        <f>IFERROR(__xludf.DUMMYFUNCTION("""COMPUTED_VALUE"""),46187.59873842593)</f>
        <v>46187.59874</v>
      </c>
      <c r="B7415" s="126">
        <f>IFERROR(__xludf.DUMMYFUNCTION("""COMPUTED_VALUE"""),46187.0)</f>
        <v>46187</v>
      </c>
      <c r="C7415" s="122" t="str">
        <f>IFERROR(__xludf.DUMMYFUNCTION("""COMPUTED_VALUE"""),"INSR")</f>
        <v>INSR</v>
      </c>
      <c r="D7415" s="122" t="str">
        <f>IFERROR(__xludf.DUMMYFUNCTION("""COMPUTED_VALUE"""),"Shield Insurance")</f>
        <v>Shield Insurance</v>
      </c>
      <c r="E7415" s="122">
        <f>IFERROR(__xludf.DUMMYFUNCTION("""COMPUTED_VALUE"""),156.89)</f>
        <v>156.89</v>
      </c>
      <c r="F7415" s="122">
        <f>IFERROR(__xludf.DUMMYFUNCTION("""COMPUTED_VALUE"""),-0.0037)</f>
        <v>-0.0037</v>
      </c>
    </row>
    <row r="7416">
      <c r="A7416" s="131">
        <f>IFERROR(__xludf.DUMMYFUNCTION("""COMPUTED_VALUE"""),46187.59873842593)</f>
        <v>46187.59874</v>
      </c>
      <c r="B7416" s="126">
        <f>IFERROR(__xludf.DUMMYFUNCTION("""COMPUTED_VALUE"""),46187.0)</f>
        <v>46187</v>
      </c>
      <c r="C7416" s="122" t="str">
        <f>IFERROR(__xludf.DUMMYFUNCTION("""COMPUTED_VALUE"""),"LOAN")</f>
        <v>LOAN</v>
      </c>
      <c r="D7416" s="122" t="str">
        <f>IFERROR(__xludf.DUMMYFUNCTION("""COMPUTED_VALUE"""),"LoanLab")</f>
        <v>LoanLab</v>
      </c>
      <c r="E7416" s="122">
        <f>IFERROR(__xludf.DUMMYFUNCTION("""COMPUTED_VALUE"""),70.15)</f>
        <v>70.15</v>
      </c>
      <c r="F7416" s="122">
        <f>IFERROR(__xludf.DUMMYFUNCTION("""COMPUTED_VALUE"""),0.0049)</f>
        <v>0.0049</v>
      </c>
    </row>
    <row r="7417">
      <c r="A7417" s="131">
        <f>IFERROR(__xludf.DUMMYFUNCTION("""COMPUTED_VALUE"""),46187.59873842593)</f>
        <v>46187.59874</v>
      </c>
      <c r="B7417" s="126">
        <f>IFERROR(__xludf.DUMMYFUNCTION("""COMPUTED_VALUE"""),46187.0)</f>
        <v>46187</v>
      </c>
      <c r="C7417" s="122" t="str">
        <f>IFERROR(__xludf.DUMMYFUNCTION("""COMPUTED_VALUE"""),"LUXE")</f>
        <v>LUXE</v>
      </c>
      <c r="D7417" s="122" t="str">
        <f>IFERROR(__xludf.DUMMYFUNCTION("""COMPUTED_VALUE"""),"Luxury Locker")</f>
        <v>Luxury Locker</v>
      </c>
      <c r="E7417" s="122">
        <f>IFERROR(__xludf.DUMMYFUNCTION("""COMPUTED_VALUE"""),262.97)</f>
        <v>262.97</v>
      </c>
      <c r="F7417" s="122">
        <f>IFERROR(__xludf.DUMMYFUNCTION("""COMPUTED_VALUE"""),-0.0017)</f>
        <v>-0.0017</v>
      </c>
    </row>
    <row r="7418">
      <c r="A7418" s="131">
        <f>IFERROR(__xludf.DUMMYFUNCTION("""COMPUTED_VALUE"""),46187.59873842593)</f>
        <v>46187.59874</v>
      </c>
      <c r="B7418" s="126">
        <f>IFERROR(__xludf.DUMMYFUNCTION("""COMPUTED_VALUE"""),46187.0)</f>
        <v>46187</v>
      </c>
      <c r="C7418" s="122" t="str">
        <f>IFERROR(__xludf.DUMMYFUNCTION("""COMPUTED_VALUE"""),"DRIP")</f>
        <v>DRIP</v>
      </c>
      <c r="D7418" s="122" t="str">
        <f>IFERROR(__xludf.DUMMYFUNCTION("""COMPUTED_VALUE"""),"Drip Streetwear")</f>
        <v>Drip Streetwear</v>
      </c>
      <c r="E7418" s="122">
        <f>IFERROR(__xludf.DUMMYFUNCTION("""COMPUTED_VALUE"""),188.1)</f>
        <v>188.1</v>
      </c>
      <c r="F7418" s="122">
        <f>IFERROR(__xludf.DUMMYFUNCTION("""COMPUTED_VALUE"""),-0.0065)</f>
        <v>-0.0065</v>
      </c>
    </row>
    <row r="7419">
      <c r="A7419" s="131">
        <f>IFERROR(__xludf.DUMMYFUNCTION("""COMPUTED_VALUE"""),46187.59873842593)</f>
        <v>46187.59874</v>
      </c>
      <c r="B7419" s="126">
        <f>IFERROR(__xludf.DUMMYFUNCTION("""COMPUTED_VALUE"""),46187.0)</f>
        <v>46187</v>
      </c>
      <c r="C7419" s="122" t="str">
        <f>IFERROR(__xludf.DUMMYFUNCTION("""COMPUTED_VALUE"""),"KICK")</f>
        <v>KICK</v>
      </c>
      <c r="D7419" s="122" t="str">
        <f>IFERROR(__xludf.DUMMYFUNCTION("""COMPUTED_VALUE"""),"KickDrop Sneakers")</f>
        <v>KickDrop Sneakers</v>
      </c>
      <c r="E7419" s="122">
        <f>IFERROR(__xludf.DUMMYFUNCTION("""COMPUTED_VALUE"""),170.3)</f>
        <v>170.3</v>
      </c>
      <c r="F7419" s="122">
        <f>IFERROR(__xludf.DUMMYFUNCTION("""COMPUTED_VALUE"""),0.0058)</f>
        <v>0.0058</v>
      </c>
    </row>
    <row r="7420">
      <c r="A7420" s="131">
        <f>IFERROR(__xludf.DUMMYFUNCTION("""COMPUTED_VALUE"""),46187.59873842593)</f>
        <v>46187.59874</v>
      </c>
      <c r="B7420" s="126">
        <f>IFERROR(__xludf.DUMMYFUNCTION("""COMPUTED_VALUE"""),46187.0)</f>
        <v>46187</v>
      </c>
      <c r="C7420" s="122" t="str">
        <f>IFERROR(__xludf.DUMMYFUNCTION("""COMPUTED_VALUE"""),"GLAM")</f>
        <v>GLAM</v>
      </c>
      <c r="D7420" s="122" t="str">
        <f>IFERROR(__xludf.DUMMYFUNCTION("""COMPUTED_VALUE"""),"Glow Cosmetics")</f>
        <v>Glow Cosmetics</v>
      </c>
      <c r="E7420" s="122">
        <f>IFERROR(__xludf.DUMMYFUNCTION("""COMPUTED_VALUE"""),109.95)</f>
        <v>109.95</v>
      </c>
      <c r="F7420" s="122">
        <f>IFERROR(__xludf.DUMMYFUNCTION("""COMPUTED_VALUE"""),0.0048)</f>
        <v>0.0048</v>
      </c>
    </row>
    <row r="7421">
      <c r="A7421" s="131">
        <f>IFERROR(__xludf.DUMMYFUNCTION("""COMPUTED_VALUE"""),46187.59873842593)</f>
        <v>46187.59874</v>
      </c>
      <c r="B7421" s="126">
        <f>IFERROR(__xludf.DUMMYFUNCTION("""COMPUTED_VALUE"""),46187.0)</f>
        <v>46187</v>
      </c>
      <c r="C7421" s="122" t="str">
        <f>IFERROR(__xludf.DUMMYFUNCTION("""COMPUTED_VALUE"""),"BAGG")</f>
        <v>BAGG</v>
      </c>
      <c r="D7421" s="122" t="str">
        <f>IFERROR(__xludf.DUMMYFUNCTION("""COMPUTED_VALUE"""),"BagVault")</f>
        <v>BagVault</v>
      </c>
      <c r="E7421" s="122">
        <f>IFERROR(__xludf.DUMMYFUNCTION("""COMPUTED_VALUE"""),275.79)</f>
        <v>275.79</v>
      </c>
      <c r="F7421" s="122">
        <f>IFERROR(__xludf.DUMMYFUNCTION("""COMPUTED_VALUE"""),0.0046)</f>
        <v>0.0046</v>
      </c>
    </row>
    <row r="7422">
      <c r="A7422" s="131">
        <f>IFERROR(__xludf.DUMMYFUNCTION("""COMPUTED_VALUE"""),46187.59873842593)</f>
        <v>46187.59874</v>
      </c>
      <c r="B7422" s="126">
        <f>IFERROR(__xludf.DUMMYFUNCTION("""COMPUTED_VALUE"""),46187.0)</f>
        <v>46187</v>
      </c>
      <c r="C7422" s="122" t="str">
        <f>IFERROR(__xludf.DUMMYFUNCTION("""COMPUTED_VALUE"""),"FAST")</f>
        <v>FAST</v>
      </c>
      <c r="D7422" s="122" t="str">
        <f>IFERROR(__xludf.DUMMYFUNCTION("""COMPUTED_VALUE"""),"Flash Logistics")</f>
        <v>Flash Logistics</v>
      </c>
      <c r="E7422" s="122">
        <f>IFERROR(__xludf.DUMMYFUNCTION("""COMPUTED_VALUE"""),108.46)</f>
        <v>108.46</v>
      </c>
      <c r="F7422" s="122">
        <f>IFERROR(__xludf.DUMMYFUNCTION("""COMPUTED_VALUE"""),0.0056)</f>
        <v>0.0056</v>
      </c>
    </row>
    <row r="7423">
      <c r="A7423" s="131">
        <f>IFERROR(__xludf.DUMMYFUNCTION("""COMPUTED_VALUE"""),46187.59873842593)</f>
        <v>46187.59874</v>
      </c>
      <c r="B7423" s="126">
        <f>IFERROR(__xludf.DUMMYFUNCTION("""COMPUTED_VALUE"""),46187.0)</f>
        <v>46187</v>
      </c>
      <c r="C7423" s="122" t="str">
        <f>IFERROR(__xludf.DUMMYFUNCTION("""COMPUTED_VALUE"""),"SHIP")</f>
        <v>SHIP</v>
      </c>
      <c r="D7423" s="122" t="str">
        <f>IFERROR(__xludf.DUMMYFUNCTION("""COMPUTED_VALUE"""),"Seoul Shipping")</f>
        <v>Seoul Shipping</v>
      </c>
      <c r="E7423" s="122">
        <f>IFERROR(__xludf.DUMMYFUNCTION("""COMPUTED_VALUE"""),129.53)</f>
        <v>129.53</v>
      </c>
      <c r="F7423" s="122">
        <f>IFERROR(__xludf.DUMMYFUNCTION("""COMPUTED_VALUE"""),-0.0015)</f>
        <v>-0.0015</v>
      </c>
    </row>
    <row r="7424">
      <c r="A7424" s="131">
        <f>IFERROR(__xludf.DUMMYFUNCTION("""COMPUTED_VALUE"""),46187.59873842593)</f>
        <v>46187.59874</v>
      </c>
      <c r="B7424" s="126">
        <f>IFERROR(__xludf.DUMMYFUNCTION("""COMPUTED_VALUE"""),46187.0)</f>
        <v>46187</v>
      </c>
      <c r="C7424" s="122" t="str">
        <f>IFERROR(__xludf.DUMMYFUNCTION("""COMPUTED_VALUE"""),"DRON")</f>
        <v>DRON</v>
      </c>
      <c r="D7424" s="122" t="str">
        <f>IFERROR(__xludf.DUMMYFUNCTION("""COMPUTED_VALUE"""),"DroneDrop")</f>
        <v>DroneDrop</v>
      </c>
      <c r="E7424" s="122">
        <f>IFERROR(__xludf.DUMMYFUNCTION("""COMPUTED_VALUE"""),124.8)</f>
        <v>124.8</v>
      </c>
      <c r="F7424" s="122">
        <f>IFERROR(__xludf.DUMMYFUNCTION("""COMPUTED_VALUE"""),0.0056)</f>
        <v>0.0056</v>
      </c>
    </row>
    <row r="7425">
      <c r="A7425" s="131">
        <f>IFERROR(__xludf.DUMMYFUNCTION("""COMPUTED_VALUE"""),46187.59873842593)</f>
        <v>46187.59874</v>
      </c>
      <c r="B7425" s="126">
        <f>IFERROR(__xludf.DUMMYFUNCTION("""COMPUTED_VALUE"""),46187.0)</f>
        <v>46187</v>
      </c>
      <c r="C7425" s="122" t="str">
        <f>IFERROR(__xludf.DUMMYFUNCTION("""COMPUTED_VALUE"""),"RIDE")</f>
        <v>RIDE</v>
      </c>
      <c r="D7425" s="122" t="str">
        <f>IFERROR(__xludf.DUMMYFUNCTION("""COMPUTED_VALUE"""),"QuickRide")</f>
        <v>QuickRide</v>
      </c>
      <c r="E7425" s="122">
        <f>IFERROR(__xludf.DUMMYFUNCTION("""COMPUTED_VALUE"""),102.79)</f>
        <v>102.79</v>
      </c>
      <c r="F7425" s="122">
        <f>IFERROR(__xludf.DUMMYFUNCTION("""COMPUTED_VALUE"""),-0.0071)</f>
        <v>-0.0071</v>
      </c>
    </row>
    <row r="7426">
      <c r="A7426" s="131">
        <f>IFERROR(__xludf.DUMMYFUNCTION("""COMPUTED_VALUE"""),46187.59873842593)</f>
        <v>46187.59874</v>
      </c>
      <c r="B7426" s="126">
        <f>IFERROR(__xludf.DUMMYFUNCTION("""COMPUTED_VALUE"""),46187.0)</f>
        <v>46187</v>
      </c>
      <c r="C7426" s="122" t="str">
        <f>IFERROR(__xludf.DUMMYFUNCTION("""COMPUTED_VALUE"""),"RAIL")</f>
        <v>RAIL</v>
      </c>
      <c r="D7426" s="122" t="str">
        <f>IFERROR(__xludf.DUMMYFUNCTION("""COMPUTED_VALUE"""),"MetroRail Corp")</f>
        <v>MetroRail Corp</v>
      </c>
      <c r="E7426" s="122">
        <f>IFERROR(__xludf.DUMMYFUNCTION("""COMPUTED_VALUE"""),131.07)</f>
        <v>131.07</v>
      </c>
      <c r="F7426" s="122">
        <f>IFERROR(__xludf.DUMMYFUNCTION("""COMPUTED_VALUE"""),-0.0018)</f>
        <v>-0.0018</v>
      </c>
    </row>
    <row r="7427">
      <c r="A7427" s="131">
        <f>IFERROR(__xludf.DUMMYFUNCTION("""COMPUTED_VALUE"""),46187.59873842593)</f>
        <v>46187.59874</v>
      </c>
      <c r="B7427" s="126">
        <f>IFERROR(__xludf.DUMMYFUNCTION("""COMPUTED_VALUE"""),46187.0)</f>
        <v>46187</v>
      </c>
      <c r="C7427" s="122" t="str">
        <f>IFERROR(__xludf.DUMMYFUNCTION("""COMPUTED_VALUE"""),"MEDX")</f>
        <v>MEDX</v>
      </c>
      <c r="D7427" s="122" t="str">
        <f>IFERROR(__xludf.DUMMYFUNCTION("""COMPUTED_VALUE"""),"MediCore")</f>
        <v>MediCore</v>
      </c>
      <c r="E7427" s="122">
        <f>IFERROR(__xludf.DUMMYFUNCTION("""COMPUTED_VALUE"""),137.71)</f>
        <v>137.71</v>
      </c>
      <c r="F7427" s="122">
        <f>IFERROR(__xludf.DUMMYFUNCTION("""COMPUTED_VALUE"""),-0.0012)</f>
        <v>-0.0012</v>
      </c>
    </row>
    <row r="7428">
      <c r="A7428" s="131">
        <f>IFERROR(__xludf.DUMMYFUNCTION("""COMPUTED_VALUE"""),46187.59873842593)</f>
        <v>46187.59874</v>
      </c>
      <c r="B7428" s="126">
        <f>IFERROR(__xludf.DUMMYFUNCTION("""COMPUTED_VALUE"""),46187.0)</f>
        <v>46187</v>
      </c>
      <c r="C7428" s="122" t="str">
        <f>IFERROR(__xludf.DUMMYFUNCTION("""COMPUTED_VALUE"""),"GYMX")</f>
        <v>GYMX</v>
      </c>
      <c r="D7428" s="122" t="str">
        <f>IFERROR(__xludf.DUMMYFUNCTION("""COMPUTED_VALUE"""),"GymX Fitness")</f>
        <v>GymX Fitness</v>
      </c>
      <c r="E7428" s="122">
        <f>IFERROR(__xludf.DUMMYFUNCTION("""COMPUTED_VALUE"""),84.56)</f>
        <v>84.56</v>
      </c>
      <c r="F7428" s="122">
        <f>IFERROR(__xludf.DUMMYFUNCTION("""COMPUTED_VALUE"""),-7.0E-4)</f>
        <v>-0.0007</v>
      </c>
    </row>
    <row r="7429">
      <c r="A7429" s="131">
        <f>IFERROR(__xludf.DUMMYFUNCTION("""COMPUTED_VALUE"""),46187.59873842593)</f>
        <v>46187.59874</v>
      </c>
      <c r="B7429" s="126">
        <f>IFERROR(__xludf.DUMMYFUNCTION("""COMPUTED_VALUE"""),46187.0)</f>
        <v>46187</v>
      </c>
      <c r="C7429" s="122" t="str">
        <f>IFERROR(__xludf.DUMMYFUNCTION("""COMPUTED_VALUE"""),"VITA")</f>
        <v>VITA</v>
      </c>
      <c r="D7429" s="122" t="str">
        <f>IFERROR(__xludf.DUMMYFUNCTION("""COMPUTED_VALUE"""),"VitaPlus")</f>
        <v>VitaPlus</v>
      </c>
      <c r="E7429" s="122">
        <f>IFERROR(__xludf.DUMMYFUNCTION("""COMPUTED_VALUE"""),72.51)</f>
        <v>72.51</v>
      </c>
      <c r="F7429" s="122">
        <f>IFERROR(__xludf.DUMMYFUNCTION("""COMPUTED_VALUE"""),-0.0044)</f>
        <v>-0.0044</v>
      </c>
    </row>
    <row r="7430">
      <c r="A7430" s="131">
        <f>IFERROR(__xludf.DUMMYFUNCTION("""COMPUTED_VALUE"""),46187.59873842593)</f>
        <v>46187.59874</v>
      </c>
      <c r="B7430" s="126">
        <f>IFERROR(__xludf.DUMMYFUNCTION("""COMPUTED_VALUE"""),46187.0)</f>
        <v>46187</v>
      </c>
      <c r="C7430" s="122" t="str">
        <f>IFERROR(__xludf.DUMMYFUNCTION("""COMPUTED_VALUE"""),"CARE")</f>
        <v>CARE</v>
      </c>
      <c r="D7430" s="122" t="str">
        <f>IFERROR(__xludf.DUMMYFUNCTION("""COMPUTED_VALUE"""),"CareCloud")</f>
        <v>CareCloud</v>
      </c>
      <c r="E7430" s="122">
        <f>IFERROR(__xludf.DUMMYFUNCTION("""COMPUTED_VALUE"""),183.22)</f>
        <v>183.22</v>
      </c>
      <c r="F7430" s="122">
        <f>IFERROR(__xludf.DUMMYFUNCTION("""COMPUTED_VALUE"""),0.0017)</f>
        <v>0.0017</v>
      </c>
    </row>
    <row r="7431">
      <c r="A7431" s="131">
        <f>IFERROR(__xludf.DUMMYFUNCTION("""COMPUTED_VALUE"""),46187.59873842593)</f>
        <v>46187.59874</v>
      </c>
      <c r="B7431" s="126">
        <f>IFERROR(__xludf.DUMMYFUNCTION("""COMPUTED_VALUE"""),46187.0)</f>
        <v>46187</v>
      </c>
      <c r="C7431" s="122" t="str">
        <f>IFERROR(__xludf.DUMMYFUNCTION("""COMPUTED_VALUE"""),"DENT")</f>
        <v>DENT</v>
      </c>
      <c r="D7431" s="122" t="str">
        <f>IFERROR(__xludf.DUMMYFUNCTION("""COMPUTED_VALUE"""),"SmileWorks")</f>
        <v>SmileWorks</v>
      </c>
      <c r="E7431" s="122">
        <f>IFERROR(__xludf.DUMMYFUNCTION("""COMPUTED_VALUE"""),94.94)</f>
        <v>94.94</v>
      </c>
      <c r="F7431" s="122">
        <f>IFERROR(__xludf.DUMMYFUNCTION("""COMPUTED_VALUE"""),-0.0011)</f>
        <v>-0.0011</v>
      </c>
    </row>
    <row r="7432">
      <c r="A7432" s="131">
        <f>IFERROR(__xludf.DUMMYFUNCTION("""COMPUTED_VALUE"""),46187.59873842593)</f>
        <v>46187.59874</v>
      </c>
      <c r="B7432" s="126">
        <f>IFERROR(__xludf.DUMMYFUNCTION("""COMPUTED_VALUE"""),46187.0)</f>
        <v>46187</v>
      </c>
      <c r="C7432" s="122" t="str">
        <f>IFERROR(__xludf.DUMMYFUNCTION("""COMPUTED_VALUE"""),"EDUX")</f>
        <v>EDUX</v>
      </c>
      <c r="D7432" s="122" t="str">
        <f>IFERROR(__xludf.DUMMYFUNCTION("""COMPUTED_VALUE"""),"EduMax Learning")</f>
        <v>EduMax Learning</v>
      </c>
      <c r="E7432" s="122">
        <f>IFERROR(__xludf.DUMMYFUNCTION("""COMPUTED_VALUE"""),145.18)</f>
        <v>145.18</v>
      </c>
      <c r="F7432" s="122">
        <f>IFERROR(__xludf.DUMMYFUNCTION("""COMPUTED_VALUE"""),-0.0033)</f>
        <v>-0.0033</v>
      </c>
    </row>
    <row r="7433">
      <c r="A7433" s="131">
        <f>IFERROR(__xludf.DUMMYFUNCTION("""COMPUTED_VALUE"""),46187.59873842593)</f>
        <v>46187.59874</v>
      </c>
      <c r="B7433" s="126">
        <f>IFERROR(__xludf.DUMMYFUNCTION("""COMPUTED_VALUE"""),46187.0)</f>
        <v>46187</v>
      </c>
      <c r="C7433" s="122" t="str">
        <f>IFERROR(__xludf.DUMMYFUNCTION("""COMPUTED_VALUE"""),"BOOK")</f>
        <v>BOOK</v>
      </c>
      <c r="D7433" s="122" t="str">
        <f>IFERROR(__xludf.DUMMYFUNCTION("""COMPUTED_VALUE"""),"BookBridge")</f>
        <v>BookBridge</v>
      </c>
      <c r="E7433" s="122">
        <f>IFERROR(__xludf.DUMMYFUNCTION("""COMPUTED_VALUE"""),119.84)</f>
        <v>119.84</v>
      </c>
      <c r="F7433" s="122">
        <f>IFERROR(__xludf.DUMMYFUNCTION("""COMPUTED_VALUE"""),0.0049)</f>
        <v>0.0049</v>
      </c>
    </row>
    <row r="7434">
      <c r="A7434" s="131">
        <f>IFERROR(__xludf.DUMMYFUNCTION("""COMPUTED_VALUE"""),46187.59873842593)</f>
        <v>46187.59874</v>
      </c>
      <c r="B7434" s="126">
        <f>IFERROR(__xludf.DUMMYFUNCTION("""COMPUTED_VALUE"""),46187.0)</f>
        <v>46187</v>
      </c>
      <c r="C7434" s="122" t="str">
        <f>IFERROR(__xludf.DUMMYFUNCTION("""COMPUTED_VALUE"""),"TUTR")</f>
        <v>TUTR</v>
      </c>
      <c r="D7434" s="122" t="str">
        <f>IFERROR(__xludf.DUMMYFUNCTION("""COMPUTED_VALUE"""),"TutorTown")</f>
        <v>TutorTown</v>
      </c>
      <c r="E7434" s="122">
        <f>IFERROR(__xludf.DUMMYFUNCTION("""COMPUTED_VALUE"""),90.83)</f>
        <v>90.83</v>
      </c>
      <c r="F7434" s="122">
        <f>IFERROR(__xludf.DUMMYFUNCTION("""COMPUTED_VALUE"""),0.0015)</f>
        <v>0.0015</v>
      </c>
    </row>
    <row r="7435">
      <c r="A7435" s="131">
        <f>IFERROR(__xludf.DUMMYFUNCTION("""COMPUTED_VALUE"""),46187.59873842593)</f>
        <v>46187.59874</v>
      </c>
      <c r="B7435" s="126">
        <f>IFERROR(__xludf.DUMMYFUNCTION("""COMPUTED_VALUE"""),46187.0)</f>
        <v>46187</v>
      </c>
      <c r="C7435" s="122" t="str">
        <f>IFERROR(__xludf.DUMMYFUNCTION("""COMPUTED_VALUE"""),"LANG")</f>
        <v>LANG</v>
      </c>
      <c r="D7435" s="122" t="str">
        <f>IFERROR(__xludf.DUMMYFUNCTION("""COMPUTED_VALUE"""),"LinguaLab")</f>
        <v>LinguaLab</v>
      </c>
      <c r="E7435" s="122">
        <f>IFERROR(__xludf.DUMMYFUNCTION("""COMPUTED_VALUE"""),101.41)</f>
        <v>101.41</v>
      </c>
      <c r="F7435" s="122">
        <f>IFERROR(__xludf.DUMMYFUNCTION("""COMPUTED_VALUE"""),0.0047)</f>
        <v>0.0047</v>
      </c>
    </row>
    <row r="7436">
      <c r="A7436" s="131">
        <f>IFERROR(__xludf.DUMMYFUNCTION("""COMPUTED_VALUE"""),46187.59873842593)</f>
        <v>46187.59874</v>
      </c>
      <c r="B7436" s="126">
        <f>IFERROR(__xludf.DUMMYFUNCTION("""COMPUTED_VALUE"""),46187.0)</f>
        <v>46187</v>
      </c>
      <c r="C7436" s="122" t="str">
        <f>IFERROR(__xludf.DUMMYFUNCTION("""COMPUTED_VALUE"""),"TEST")</f>
        <v>TEST</v>
      </c>
      <c r="D7436" s="122" t="str">
        <f>IFERROR(__xludf.DUMMYFUNCTION("""COMPUTED_VALUE"""),"TestPrep Pro")</f>
        <v>TestPrep Pro</v>
      </c>
      <c r="E7436" s="122">
        <f>IFERROR(__xludf.DUMMYFUNCTION("""COMPUTED_VALUE"""),90.34)</f>
        <v>90.34</v>
      </c>
      <c r="F7436" s="122">
        <f>IFERROR(__xludf.DUMMYFUNCTION("""COMPUTED_VALUE"""),-0.0025)</f>
        <v>-0.0025</v>
      </c>
    </row>
    <row r="7437">
      <c r="A7437" s="131">
        <f>IFERROR(__xludf.DUMMYFUNCTION("""COMPUTED_VALUE"""),46187.59873842593)</f>
        <v>46187.59874</v>
      </c>
      <c r="B7437" s="126">
        <f>IFERROR(__xludf.DUMMYFUNCTION("""COMPUTED_VALUE"""),46187.0)</f>
        <v>46187</v>
      </c>
      <c r="C7437" s="122" t="str">
        <f>IFERROR(__xludf.DUMMYFUNCTION("""COMPUTED_VALUE"""),"MOVI")</f>
        <v>MOVI</v>
      </c>
      <c r="D7437" s="122" t="str">
        <f>IFERROR(__xludf.DUMMYFUNCTION("""COMPUTED_VALUE"""),"MovieBox")</f>
        <v>MovieBox</v>
      </c>
      <c r="E7437" s="122">
        <f>IFERROR(__xludf.DUMMYFUNCTION("""COMPUTED_VALUE"""),83.42)</f>
        <v>83.42</v>
      </c>
      <c r="F7437" s="122">
        <f>IFERROR(__xludf.DUMMYFUNCTION("""COMPUTED_VALUE"""),-0.0032)</f>
        <v>-0.0032</v>
      </c>
    </row>
    <row r="7438">
      <c r="A7438" s="131">
        <f>IFERROR(__xludf.DUMMYFUNCTION("""COMPUTED_VALUE"""),46187.59873842593)</f>
        <v>46187.59874</v>
      </c>
      <c r="B7438" s="126">
        <f>IFERROR(__xludf.DUMMYFUNCTION("""COMPUTED_VALUE"""),46187.0)</f>
        <v>46187</v>
      </c>
      <c r="C7438" s="122" t="str">
        <f>IFERROR(__xludf.DUMMYFUNCTION("""COMPUTED_VALUE"""),"MUSC")</f>
        <v>MUSC</v>
      </c>
      <c r="D7438" s="122" t="str">
        <f>IFERROR(__xludf.DUMMYFUNCTION("""COMPUTED_VALUE"""),"MusicWave")</f>
        <v>MusicWave</v>
      </c>
      <c r="E7438" s="122">
        <f>IFERROR(__xludf.DUMMYFUNCTION("""COMPUTED_VALUE"""),103.52)</f>
        <v>103.52</v>
      </c>
      <c r="F7438" s="122">
        <f>IFERROR(__xludf.DUMMYFUNCTION("""COMPUTED_VALUE"""),0.0084)</f>
        <v>0.0084</v>
      </c>
    </row>
    <row r="7439">
      <c r="A7439" s="131">
        <f>IFERROR(__xludf.DUMMYFUNCTION("""COMPUTED_VALUE"""),46187.59873842593)</f>
        <v>46187.59874</v>
      </c>
      <c r="B7439" s="126">
        <f>IFERROR(__xludf.DUMMYFUNCTION("""COMPUTED_VALUE"""),46187.0)</f>
        <v>46187</v>
      </c>
      <c r="C7439" s="122" t="str">
        <f>IFERROR(__xludf.DUMMYFUNCTION("""COMPUTED_VALUE"""),"IDOL")</f>
        <v>IDOL</v>
      </c>
      <c r="D7439" s="122" t="str">
        <f>IFERROR(__xludf.DUMMYFUNCTION("""COMPUTED_VALUE"""),"Idol Agency")</f>
        <v>Idol Agency</v>
      </c>
      <c r="E7439" s="122">
        <f>IFERROR(__xludf.DUMMYFUNCTION("""COMPUTED_VALUE"""),188.46)</f>
        <v>188.46</v>
      </c>
      <c r="F7439" s="122">
        <f>IFERROR(__xludf.DUMMYFUNCTION("""COMPUTED_VALUE"""),0.0096)</f>
        <v>0.0096</v>
      </c>
    </row>
    <row r="7440">
      <c r="A7440" s="131">
        <f>IFERROR(__xludf.DUMMYFUNCTION("""COMPUTED_VALUE"""),46187.59873842593)</f>
        <v>46187.59874</v>
      </c>
      <c r="B7440" s="126">
        <f>IFERROR(__xludf.DUMMYFUNCTION("""COMPUTED_VALUE"""),46187.0)</f>
        <v>46187</v>
      </c>
      <c r="C7440" s="122" t="str">
        <f>IFERROR(__xludf.DUMMYFUNCTION("""COMPUTED_VALUE"""),"MEME")</f>
        <v>MEME</v>
      </c>
      <c r="D7440" s="122" t="str">
        <f>IFERROR(__xludf.DUMMYFUNCTION("""COMPUTED_VALUE"""),"Meme Media")</f>
        <v>Meme Media</v>
      </c>
      <c r="E7440" s="122">
        <f>IFERROR(__xludf.DUMMYFUNCTION("""COMPUTED_VALUE"""),72.54)</f>
        <v>72.54</v>
      </c>
      <c r="F7440" s="122">
        <f>IFERROR(__xludf.DUMMYFUNCTION("""COMPUTED_VALUE"""),-0.0133)</f>
        <v>-0.0133</v>
      </c>
    </row>
    <row r="7441">
      <c r="A7441" s="131">
        <f>IFERROR(__xludf.DUMMYFUNCTION("""COMPUTED_VALUE"""),46187.59873842593)</f>
        <v>46187.59874</v>
      </c>
      <c r="B7441" s="126">
        <f>IFERROR(__xludf.DUMMYFUNCTION("""COMPUTED_VALUE"""),46187.0)</f>
        <v>46187</v>
      </c>
      <c r="C7441" s="122" t="str">
        <f>IFERROR(__xludf.DUMMYFUNCTION("""COMPUTED_VALUE"""),"STRM")</f>
        <v>STRM</v>
      </c>
      <c r="D7441" s="122" t="str">
        <f>IFERROR(__xludf.DUMMYFUNCTION("""COMPUTED_VALUE"""),"Streamly")</f>
        <v>Streamly</v>
      </c>
      <c r="E7441" s="122">
        <f>IFERROR(__xludf.DUMMYFUNCTION("""COMPUTED_VALUE"""),135.15)</f>
        <v>135.15</v>
      </c>
      <c r="F7441" s="122">
        <f>IFERROR(__xludf.DUMMYFUNCTION("""COMPUTED_VALUE"""),-0.0051)</f>
        <v>-0.0051</v>
      </c>
    </row>
    <row r="7442">
      <c r="A7442" s="131">
        <f>IFERROR(__xludf.DUMMYFUNCTION("""COMPUTED_VALUE"""),46187.59873842593)</f>
        <v>46187.59874</v>
      </c>
      <c r="B7442" s="126">
        <f>IFERROR(__xludf.DUMMYFUNCTION("""COMPUTED_VALUE"""),46187.0)</f>
        <v>46187</v>
      </c>
      <c r="C7442" s="122" t="str">
        <f>IFERROR(__xludf.DUMMYFUNCTION("""COMPUTED_VALUE"""),"FARM")</f>
        <v>FARM</v>
      </c>
      <c r="D7442" s="122" t="str">
        <f>IFERROR(__xludf.DUMMYFUNCTION("""COMPUTED_VALUE"""),"Future Farms")</f>
        <v>Future Farms</v>
      </c>
      <c r="E7442" s="122">
        <f>IFERROR(__xludf.DUMMYFUNCTION("""COMPUTED_VALUE"""),95.84)</f>
        <v>95.84</v>
      </c>
      <c r="F7442" s="122">
        <f>IFERROR(__xludf.DUMMYFUNCTION("""COMPUTED_VALUE"""),3.0E-4)</f>
        <v>0.0003</v>
      </c>
    </row>
    <row r="7443">
      <c r="A7443" s="131">
        <f>IFERROR(__xludf.DUMMYFUNCTION("""COMPUTED_VALUE"""),46187.59873842593)</f>
        <v>46187.59874</v>
      </c>
      <c r="B7443" s="126">
        <f>IFERROR(__xludf.DUMMYFUNCTION("""COMPUTED_VALUE"""),46187.0)</f>
        <v>46187</v>
      </c>
      <c r="C7443" s="122" t="str">
        <f>IFERROR(__xludf.DUMMYFUNCTION("""COMPUTED_VALUE"""),"MEAT")</f>
        <v>MEAT</v>
      </c>
      <c r="D7443" s="122" t="str">
        <f>IFERROR(__xludf.DUMMYFUNCTION("""COMPUTED_VALUE"""),"MeatWorks")</f>
        <v>MeatWorks</v>
      </c>
      <c r="E7443" s="122">
        <f>IFERROR(__xludf.DUMMYFUNCTION("""COMPUTED_VALUE"""),104.67)</f>
        <v>104.67</v>
      </c>
      <c r="F7443" s="122">
        <f>IFERROR(__xludf.DUMMYFUNCTION("""COMPUTED_VALUE"""),-0.0038)</f>
        <v>-0.0038</v>
      </c>
    </row>
    <row r="7444">
      <c r="A7444" s="131">
        <f>IFERROR(__xludf.DUMMYFUNCTION("""COMPUTED_VALUE"""),46187.59873842593)</f>
        <v>46187.59874</v>
      </c>
      <c r="B7444" s="126">
        <f>IFERROR(__xludf.DUMMYFUNCTION("""COMPUTED_VALUE"""),46187.0)</f>
        <v>46187</v>
      </c>
      <c r="C7444" s="122" t="str">
        <f>IFERROR(__xludf.DUMMYFUNCTION("""COMPUTED_VALUE"""),"VEGI")</f>
        <v>VEGI</v>
      </c>
      <c r="D7444" s="122" t="str">
        <f>IFERROR(__xludf.DUMMYFUNCTION("""COMPUTED_VALUE"""),"Green Basket")</f>
        <v>Green Basket</v>
      </c>
      <c r="E7444" s="122">
        <f>IFERROR(__xludf.DUMMYFUNCTION("""COMPUTED_VALUE"""),77.78)</f>
        <v>77.78</v>
      </c>
      <c r="F7444" s="122">
        <f>IFERROR(__xludf.DUMMYFUNCTION("""COMPUTED_VALUE"""),0.0018)</f>
        <v>0.0018</v>
      </c>
    </row>
    <row r="7445">
      <c r="A7445" s="131">
        <f>IFERROR(__xludf.DUMMYFUNCTION("""COMPUTED_VALUE"""),46187.59873842593)</f>
        <v>46187.59874</v>
      </c>
      <c r="B7445" s="126">
        <f>IFERROR(__xludf.DUMMYFUNCTION("""COMPUTED_VALUE"""),46187.0)</f>
        <v>46187</v>
      </c>
      <c r="C7445" s="122" t="str">
        <f>IFERROR(__xludf.DUMMYFUNCTION("""COMPUTED_VALUE"""),"CAFE")</f>
        <v>CAFE</v>
      </c>
      <c r="D7445" s="122" t="str">
        <f>IFERROR(__xludf.DUMMYFUNCTION("""COMPUTED_VALUE"""),"Cafe Cloud")</f>
        <v>Cafe Cloud</v>
      </c>
      <c r="E7445" s="122">
        <f>IFERROR(__xludf.DUMMYFUNCTION("""COMPUTED_VALUE"""),102.57)</f>
        <v>102.57</v>
      </c>
      <c r="F7445" s="122">
        <f>IFERROR(__xludf.DUMMYFUNCTION("""COMPUTED_VALUE"""),0.0064)</f>
        <v>0.0064</v>
      </c>
    </row>
    <row r="7446">
      <c r="A7446" s="131">
        <f>IFERROR(__xludf.DUMMYFUNCTION("""COMPUTED_VALUE"""),46187.59873842593)</f>
        <v>46187.59874</v>
      </c>
      <c r="B7446" s="126">
        <f>IFERROR(__xludf.DUMMYFUNCTION("""COMPUTED_VALUE"""),46187.0)</f>
        <v>46187</v>
      </c>
      <c r="C7446" s="122" t="str">
        <f>IFERROR(__xludf.DUMMYFUNCTION("""COMPUTED_VALUE"""),"BAKE")</f>
        <v>BAKE</v>
      </c>
      <c r="D7446" s="122" t="str">
        <f>IFERROR(__xludf.DUMMYFUNCTION("""COMPUTED_VALUE"""),"BakeHouse")</f>
        <v>BakeHouse</v>
      </c>
      <c r="E7446" s="122">
        <f>IFERROR(__xludf.DUMMYFUNCTION("""COMPUTED_VALUE"""),100.7)</f>
        <v>100.7</v>
      </c>
      <c r="F7446" s="122">
        <f>IFERROR(__xludf.DUMMYFUNCTION("""COMPUTED_VALUE"""),-0.0044)</f>
        <v>-0.0044</v>
      </c>
    </row>
    <row r="7447">
      <c r="A7447" s="131">
        <f>IFERROR(__xludf.DUMMYFUNCTION("""COMPUTED_VALUE"""),46187.59873842593)</f>
        <v>46187.59874</v>
      </c>
      <c r="B7447" s="126">
        <f>IFERROR(__xludf.DUMMYFUNCTION("""COMPUTED_VALUE"""),46187.0)</f>
        <v>46187</v>
      </c>
      <c r="C7447" s="122" t="str">
        <f>IFERROR(__xludf.DUMMYFUNCTION("""COMPUTED_VALUE"""),"OILX")</f>
        <v>OILX</v>
      </c>
      <c r="D7447" s="122" t="str">
        <f>IFERROR(__xludf.DUMMYFUNCTION("""COMPUTED_VALUE"""),"OilMax Energy")</f>
        <v>OilMax Energy</v>
      </c>
      <c r="E7447" s="122">
        <f>IFERROR(__xludf.DUMMYFUNCTION("""COMPUTED_VALUE"""),133.43)</f>
        <v>133.43</v>
      </c>
      <c r="F7447" s="122">
        <f>IFERROR(__xludf.DUMMYFUNCTION("""COMPUTED_VALUE"""),-0.0094)</f>
        <v>-0.0094</v>
      </c>
    </row>
    <row r="7448">
      <c r="A7448" s="131">
        <f>IFERROR(__xludf.DUMMYFUNCTION("""COMPUTED_VALUE"""),46187.59873842593)</f>
        <v>46187.59874</v>
      </c>
      <c r="B7448" s="126">
        <f>IFERROR(__xludf.DUMMYFUNCTION("""COMPUTED_VALUE"""),46187.0)</f>
        <v>46187</v>
      </c>
      <c r="C7448" s="122" t="str">
        <f>IFERROR(__xludf.DUMMYFUNCTION("""COMPUTED_VALUE"""),"SOLR")</f>
        <v>SOLR</v>
      </c>
      <c r="D7448" s="122" t="str">
        <f>IFERROR(__xludf.DUMMYFUNCTION("""COMPUTED_VALUE"""),"SolarSpark")</f>
        <v>SolarSpark</v>
      </c>
      <c r="E7448" s="122">
        <f>IFERROR(__xludf.DUMMYFUNCTION("""COMPUTED_VALUE"""),106.37)</f>
        <v>106.37</v>
      </c>
      <c r="F7448" s="122">
        <f>IFERROR(__xludf.DUMMYFUNCTION("""COMPUTED_VALUE"""),0.0071)</f>
        <v>0.0071</v>
      </c>
    </row>
    <row r="7449">
      <c r="A7449" s="131">
        <f>IFERROR(__xludf.DUMMYFUNCTION("""COMPUTED_VALUE"""),46187.59873842593)</f>
        <v>46187.59874</v>
      </c>
      <c r="B7449" s="126">
        <f>IFERROR(__xludf.DUMMYFUNCTION("""COMPUTED_VALUE"""),46187.0)</f>
        <v>46187</v>
      </c>
      <c r="C7449" s="122" t="str">
        <f>IFERROR(__xludf.DUMMYFUNCTION("""COMPUTED_VALUE"""),"BATT")</f>
        <v>BATT</v>
      </c>
      <c r="D7449" s="122" t="str">
        <f>IFERROR(__xludf.DUMMYFUNCTION("""COMPUTED_VALUE"""),"BatteryBox")</f>
        <v>BatteryBox</v>
      </c>
      <c r="E7449" s="122">
        <f>IFERROR(__xludf.DUMMYFUNCTION("""COMPUTED_VALUE"""),123.06)</f>
        <v>123.06</v>
      </c>
      <c r="F7449" s="122">
        <f>IFERROR(__xludf.DUMMYFUNCTION("""COMPUTED_VALUE"""),-0.0053)</f>
        <v>-0.0053</v>
      </c>
    </row>
    <row r="7450">
      <c r="A7450" s="131">
        <f>IFERROR(__xludf.DUMMYFUNCTION("""COMPUTED_VALUE"""),46187.59873842593)</f>
        <v>46187.59874</v>
      </c>
      <c r="B7450" s="126">
        <f>IFERROR(__xludf.DUMMYFUNCTION("""COMPUTED_VALUE"""),46187.0)</f>
        <v>46187</v>
      </c>
      <c r="C7450" s="122" t="str">
        <f>IFERROR(__xludf.DUMMYFUNCTION("""COMPUTED_VALUE"""),"WIND")</f>
        <v>WIND</v>
      </c>
      <c r="D7450" s="122" t="str">
        <f>IFERROR(__xludf.DUMMYFUNCTION("""COMPUTED_VALUE"""),"WindWorks")</f>
        <v>WindWorks</v>
      </c>
      <c r="E7450" s="122">
        <f>IFERROR(__xludf.DUMMYFUNCTION("""COMPUTED_VALUE"""),86.39)</f>
        <v>86.39</v>
      </c>
      <c r="F7450" s="122">
        <f>IFERROR(__xludf.DUMMYFUNCTION("""COMPUTED_VALUE"""),0.0013)</f>
        <v>0.0013</v>
      </c>
    </row>
    <row r="7451">
      <c r="A7451" s="131">
        <f>IFERROR(__xludf.DUMMYFUNCTION("""COMPUTED_VALUE"""),46187.59873842593)</f>
        <v>46187.59874</v>
      </c>
      <c r="B7451" s="126">
        <f>IFERROR(__xludf.DUMMYFUNCTION("""COMPUTED_VALUE"""),46187.0)</f>
        <v>46187</v>
      </c>
      <c r="C7451" s="122" t="str">
        <f>IFERROR(__xludf.DUMMYFUNCTION("""COMPUTED_VALUE"""),"GRID")</f>
        <v>GRID</v>
      </c>
      <c r="D7451" s="122" t="str">
        <f>IFERROR(__xludf.DUMMYFUNCTION("""COMPUTED_VALUE"""),"GridPower")</f>
        <v>GridPower</v>
      </c>
      <c r="E7451" s="122">
        <f>IFERROR(__xludf.DUMMYFUNCTION("""COMPUTED_VALUE"""),129.79)</f>
        <v>129.79</v>
      </c>
      <c r="F7451" s="122">
        <f>IFERROR(__xludf.DUMMYFUNCTION("""COMPUTED_VALUE"""),-0.0038)</f>
        <v>-0.0038</v>
      </c>
    </row>
    <row r="7452">
      <c r="A7452" s="131">
        <f>IFERROR(__xludf.DUMMYFUNCTION("""COMPUTED_VALUE"""),46187.59873842593)</f>
        <v>46187.59874</v>
      </c>
      <c r="B7452" s="126">
        <f>IFERROR(__xludf.DUMMYFUNCTION("""COMPUTED_VALUE"""),46187.0)</f>
        <v>46187</v>
      </c>
      <c r="C7452" s="122" t="str">
        <f>IFERROR(__xludf.DUMMYFUNCTION("""COMPUTED_VALUE"""),"HOME")</f>
        <v>HOME</v>
      </c>
      <c r="D7452" s="122" t="str">
        <f>IFERROR(__xludf.DUMMYFUNCTION("""COMPUTED_VALUE"""),"HomeHub")</f>
        <v>HomeHub</v>
      </c>
      <c r="E7452" s="122">
        <f>IFERROR(__xludf.DUMMYFUNCTION("""COMPUTED_VALUE"""),157.51)</f>
        <v>157.51</v>
      </c>
      <c r="F7452" s="122">
        <f>IFERROR(__xludf.DUMMYFUNCTION("""COMPUTED_VALUE"""),-0.0034)</f>
        <v>-0.0034</v>
      </c>
    </row>
    <row r="7453">
      <c r="A7453" s="131">
        <f>IFERROR(__xludf.DUMMYFUNCTION("""COMPUTED_VALUE"""),46187.59873842593)</f>
        <v>46187.59874</v>
      </c>
      <c r="B7453" s="126">
        <f>IFERROR(__xludf.DUMMYFUNCTION("""COMPUTED_VALUE"""),46187.0)</f>
        <v>46187</v>
      </c>
      <c r="C7453" s="122" t="str">
        <f>IFERROR(__xludf.DUMMYFUNCTION("""COMPUTED_VALUE"""),"RENT")</f>
        <v>RENT</v>
      </c>
      <c r="D7453" s="122" t="str">
        <f>IFERROR(__xludf.DUMMYFUNCTION("""COMPUTED_VALUE"""),"RentRight")</f>
        <v>RentRight</v>
      </c>
      <c r="E7453" s="122">
        <f>IFERROR(__xludf.DUMMYFUNCTION("""COMPUTED_VALUE"""),91.1)</f>
        <v>91.1</v>
      </c>
      <c r="F7453" s="122">
        <f>IFERROR(__xludf.DUMMYFUNCTION("""COMPUTED_VALUE"""),-0.0035)</f>
        <v>-0.0035</v>
      </c>
    </row>
    <row r="7454">
      <c r="A7454" s="131">
        <f>IFERROR(__xludf.DUMMYFUNCTION("""COMPUTED_VALUE"""),46187.59873842593)</f>
        <v>46187.59874</v>
      </c>
      <c r="B7454" s="126">
        <f>IFERROR(__xludf.DUMMYFUNCTION("""COMPUTED_VALUE"""),46187.0)</f>
        <v>46187</v>
      </c>
      <c r="C7454" s="122" t="str">
        <f>IFERROR(__xludf.DUMMYFUNCTION("""COMPUTED_VALUE"""),"MALL")</f>
        <v>MALL</v>
      </c>
      <c r="D7454" s="122" t="str">
        <f>IFERROR(__xludf.DUMMYFUNCTION("""COMPUTED_VALUE"""),"MegaMall")</f>
        <v>MegaMall</v>
      </c>
      <c r="E7454" s="122">
        <f>IFERROR(__xludf.DUMMYFUNCTION("""COMPUTED_VALUE"""),102.26)</f>
        <v>102.26</v>
      </c>
      <c r="F7454" s="122">
        <f>IFERROR(__xludf.DUMMYFUNCTION("""COMPUTED_VALUE"""),-0.0021)</f>
        <v>-0.0021</v>
      </c>
    </row>
    <row r="7455">
      <c r="A7455" s="131">
        <f>IFERROR(__xludf.DUMMYFUNCTION("""COMPUTED_VALUE"""),46187.59873842593)</f>
        <v>46187.59874</v>
      </c>
      <c r="B7455" s="126">
        <f>IFERROR(__xludf.DUMMYFUNCTION("""COMPUTED_VALUE"""),46187.0)</f>
        <v>46187</v>
      </c>
      <c r="C7455" s="122" t="str">
        <f>IFERROR(__xludf.DUMMYFUNCTION("""COMPUTED_VALUE"""),"HOTL")</f>
        <v>HOTL</v>
      </c>
      <c r="D7455" s="122" t="str">
        <f>IFERROR(__xludf.DUMMYFUNCTION("""COMPUTED_VALUE"""),"HotelHive")</f>
        <v>HotelHive</v>
      </c>
      <c r="E7455" s="122">
        <f>IFERROR(__xludf.DUMMYFUNCTION("""COMPUTED_VALUE"""),124.63)</f>
        <v>124.63</v>
      </c>
      <c r="F7455" s="122">
        <f>IFERROR(__xludf.DUMMYFUNCTION("""COMPUTED_VALUE"""),0.0086)</f>
        <v>0.0086</v>
      </c>
    </row>
    <row r="7456">
      <c r="A7456" s="131">
        <f>IFERROR(__xludf.DUMMYFUNCTION("""COMPUTED_VALUE"""),46187.59873842593)</f>
        <v>46187.59874</v>
      </c>
      <c r="B7456" s="126">
        <f>IFERROR(__xludf.DUMMYFUNCTION("""COMPUTED_VALUE"""),46187.0)</f>
        <v>46187</v>
      </c>
      <c r="C7456" s="122" t="str">
        <f>IFERROR(__xludf.DUMMYFUNCTION("""COMPUTED_VALUE"""),"LAND")</f>
        <v>LAND</v>
      </c>
      <c r="D7456" s="122" t="str">
        <f>IFERROR(__xludf.DUMMYFUNCTION("""COMPUTED_VALUE"""),"LandLink")</f>
        <v>LandLink</v>
      </c>
      <c r="E7456" s="122">
        <f>IFERROR(__xludf.DUMMYFUNCTION("""COMPUTED_VALUE"""),187.15)</f>
        <v>187.15</v>
      </c>
      <c r="F7456" s="122">
        <f>IFERROR(__xludf.DUMMYFUNCTION("""COMPUTED_VALUE"""),0.003)</f>
        <v>0.003</v>
      </c>
    </row>
    <row r="7457">
      <c r="A7457" s="131">
        <f>IFERROR(__xludf.DUMMYFUNCTION("""COMPUTED_VALUE"""),46187.59873842593)</f>
        <v>46187.59874</v>
      </c>
      <c r="B7457" s="126">
        <f>IFERROR(__xludf.DUMMYFUNCTION("""COMPUTED_VALUE"""),46187.0)</f>
        <v>46187</v>
      </c>
      <c r="C7457" s="122" t="str">
        <f>IFERROR(__xludf.DUMMYFUNCTION("""COMPUTED_VALUE"""),"CARS")</f>
        <v>CARS</v>
      </c>
      <c r="D7457" s="122" t="str">
        <f>IFERROR(__xludf.DUMMYFUNCTION("""COMPUTED_VALUE"""),"AutoArena")</f>
        <v>AutoArena</v>
      </c>
      <c r="E7457" s="122">
        <f>IFERROR(__xludf.DUMMYFUNCTION("""COMPUTED_VALUE"""),81.05)</f>
        <v>81.05</v>
      </c>
      <c r="F7457" s="122">
        <f>IFERROR(__xludf.DUMMYFUNCTION("""COMPUTED_VALUE"""),0.0081)</f>
        <v>0.0081</v>
      </c>
    </row>
    <row r="7458">
      <c r="A7458" s="131">
        <f>IFERROR(__xludf.DUMMYFUNCTION("""COMPUTED_VALUE"""),46187.59873842593)</f>
        <v>46187.59874</v>
      </c>
      <c r="B7458" s="126">
        <f>IFERROR(__xludf.DUMMYFUNCTION("""COMPUTED_VALUE"""),46187.0)</f>
        <v>46187</v>
      </c>
      <c r="C7458" s="122" t="str">
        <f>IFERROR(__xludf.DUMMYFUNCTION("""COMPUTED_VALUE"""),"EVGO")</f>
        <v>EVGO</v>
      </c>
      <c r="D7458" s="122" t="str">
        <f>IFERROR(__xludf.DUMMYFUNCTION("""COMPUTED_VALUE"""),"EVGo Motors")</f>
        <v>EVGo Motors</v>
      </c>
      <c r="E7458" s="122">
        <f>IFERROR(__xludf.DUMMYFUNCTION("""COMPUTED_VALUE"""),187.04)</f>
        <v>187.04</v>
      </c>
      <c r="F7458" s="122">
        <f>IFERROR(__xludf.DUMMYFUNCTION("""COMPUTED_VALUE"""),-0.0052)</f>
        <v>-0.0052</v>
      </c>
    </row>
    <row r="7459">
      <c r="A7459" s="131">
        <f>IFERROR(__xludf.DUMMYFUNCTION("""COMPUTED_VALUE"""),46187.59873842593)</f>
        <v>46187.59874</v>
      </c>
      <c r="B7459" s="126">
        <f>IFERROR(__xludf.DUMMYFUNCTION("""COMPUTED_VALUE"""),46187.0)</f>
        <v>46187</v>
      </c>
      <c r="C7459" s="122" t="str">
        <f>IFERROR(__xludf.DUMMYFUNCTION("""COMPUTED_VALUE"""),"TIRE")</f>
        <v>TIRE</v>
      </c>
      <c r="D7459" s="122" t="str">
        <f>IFERROR(__xludf.DUMMYFUNCTION("""COMPUTED_VALUE"""),"TireTown")</f>
        <v>TireTown</v>
      </c>
      <c r="E7459" s="122">
        <f>IFERROR(__xludf.DUMMYFUNCTION("""COMPUTED_VALUE"""),96.55)</f>
        <v>96.55</v>
      </c>
      <c r="F7459" s="122">
        <f>IFERROR(__xludf.DUMMYFUNCTION("""COMPUTED_VALUE"""),-0.0024)</f>
        <v>-0.0024</v>
      </c>
    </row>
    <row r="7460">
      <c r="A7460" s="131">
        <f>IFERROR(__xludf.DUMMYFUNCTION("""COMPUTED_VALUE"""),46187.59873842593)</f>
        <v>46187.59874</v>
      </c>
      <c r="B7460" s="126">
        <f>IFERROR(__xludf.DUMMYFUNCTION("""COMPUTED_VALUE"""),46187.0)</f>
        <v>46187</v>
      </c>
      <c r="C7460" s="122" t="str">
        <f>IFERROR(__xludf.DUMMYFUNCTION("""COMPUTED_VALUE"""),"BIKE")</f>
        <v>BIKE</v>
      </c>
      <c r="D7460" s="122" t="str">
        <f>IFERROR(__xludf.DUMMYFUNCTION("""COMPUTED_VALUE"""),"BikeBox")</f>
        <v>BikeBox</v>
      </c>
      <c r="E7460" s="122">
        <f>IFERROR(__xludf.DUMMYFUNCTION("""COMPUTED_VALUE"""),53.02)</f>
        <v>53.02</v>
      </c>
      <c r="F7460" s="122">
        <f>IFERROR(__xludf.DUMMYFUNCTION("""COMPUTED_VALUE"""),0.0028)</f>
        <v>0.0028</v>
      </c>
    </row>
    <row r="7461">
      <c r="A7461" s="131">
        <f>IFERROR(__xludf.DUMMYFUNCTION("""COMPUTED_VALUE"""),46187.59873842593)</f>
        <v>46187.59874</v>
      </c>
      <c r="B7461" s="126">
        <f>IFERROR(__xludf.DUMMYFUNCTION("""COMPUTED_VALUE"""),46187.0)</f>
        <v>46187</v>
      </c>
      <c r="C7461" s="122" t="str">
        <f>IFERROR(__xludf.DUMMYFUNCTION("""COMPUTED_VALUE"""),"WASH")</f>
        <v>WASH</v>
      </c>
      <c r="D7461" s="122" t="str">
        <f>IFERROR(__xludf.DUMMYFUNCTION("""COMPUTED_VALUE"""),"CarWash Co")</f>
        <v>CarWash Co</v>
      </c>
      <c r="E7461" s="122">
        <f>IFERROR(__xludf.DUMMYFUNCTION("""COMPUTED_VALUE"""),121.52)</f>
        <v>121.52</v>
      </c>
      <c r="F7461" s="122">
        <f>IFERROR(__xludf.DUMMYFUNCTION("""COMPUTED_VALUE"""),0.0044)</f>
        <v>0.0044</v>
      </c>
    </row>
    <row r="7462">
      <c r="A7462" s="131">
        <f>IFERROR(__xludf.DUMMYFUNCTION("""COMPUTED_VALUE"""),46187.59873842593)</f>
        <v>46187.59874</v>
      </c>
      <c r="B7462" s="126">
        <f>IFERROR(__xludf.DUMMYFUNCTION("""COMPUTED_VALUE"""),46187.0)</f>
        <v>46187</v>
      </c>
      <c r="C7462" s="122" t="str">
        <f>IFERROR(__xludf.DUMMYFUNCTION("""COMPUTED_VALUE"""),"GBND")</f>
        <v>GBND</v>
      </c>
      <c r="D7462" s="122" t="str">
        <f>IFERROR(__xludf.DUMMYFUNCTION("""COMPUTED_VALUE"""),"Classroom Government Bond")</f>
        <v>Classroom Government Bond</v>
      </c>
      <c r="E7462" s="122">
        <f>IFERROR(__xludf.DUMMYFUNCTION("""COMPUTED_VALUE"""),101.08)</f>
        <v>101.08</v>
      </c>
      <c r="F7462" s="122">
        <f>IFERROR(__xludf.DUMMYFUNCTION("""COMPUTED_VALUE"""),-3.0E-4)</f>
        <v>-0.0003</v>
      </c>
    </row>
    <row r="7463">
      <c r="A7463" s="131">
        <f>IFERROR(__xludf.DUMMYFUNCTION("""COMPUTED_VALUE"""),46187.59873842593)</f>
        <v>46187.59874</v>
      </c>
      <c r="B7463" s="126">
        <f>IFERROR(__xludf.DUMMYFUNCTION("""COMPUTED_VALUE"""),46187.0)</f>
        <v>46187</v>
      </c>
      <c r="C7463" s="122" t="str">
        <f>IFERROR(__xludf.DUMMYFUNCTION("""COMPUTED_VALUE"""),"SBND")</f>
        <v>SBND</v>
      </c>
      <c r="D7463" s="122" t="str">
        <f>IFERROR(__xludf.DUMMYFUNCTION("""COMPUTED_VALUE"""),"School Savings Bond")</f>
        <v>School Savings Bond</v>
      </c>
      <c r="E7463" s="122">
        <f>IFERROR(__xludf.DUMMYFUNCTION("""COMPUTED_VALUE"""),99.25)</f>
        <v>99.25</v>
      </c>
      <c r="F7463" s="122">
        <f>IFERROR(__xludf.DUMMYFUNCTION("""COMPUTED_VALUE"""),-4.0E-4)</f>
        <v>-0.0004</v>
      </c>
    </row>
    <row r="7464">
      <c r="A7464" s="131">
        <f>IFERROR(__xludf.DUMMYFUNCTION("""COMPUTED_VALUE"""),46187.59873842593)</f>
        <v>46187.59874</v>
      </c>
      <c r="B7464" s="126">
        <f>IFERROR(__xludf.DUMMYFUNCTION("""COMPUTED_VALUE"""),46187.0)</f>
        <v>46187</v>
      </c>
      <c r="C7464" s="122" t="str">
        <f>IFERROR(__xludf.DUMMYFUNCTION("""COMPUTED_VALUE"""),"CBND")</f>
        <v>CBND</v>
      </c>
      <c r="D7464" s="122" t="str">
        <f>IFERROR(__xludf.DUMMYFUNCTION("""COMPUTED_VALUE"""),"Corporate Classroom Bond")</f>
        <v>Corporate Classroom Bond</v>
      </c>
      <c r="E7464" s="122">
        <f>IFERROR(__xludf.DUMMYFUNCTION("""COMPUTED_VALUE"""),97.78)</f>
        <v>97.78</v>
      </c>
      <c r="F7464" s="122">
        <f>IFERROR(__xludf.DUMMYFUNCTION("""COMPUTED_VALUE"""),2.0E-4)</f>
        <v>0.0002</v>
      </c>
    </row>
    <row r="7465">
      <c r="A7465" s="131">
        <f>IFERROR(__xludf.DUMMYFUNCTION("""COMPUTED_VALUE"""),46187.59873842593)</f>
        <v>46187.59874</v>
      </c>
      <c r="B7465" s="126">
        <f>IFERROR(__xludf.DUMMYFUNCTION("""COMPUTED_VALUE"""),46187.0)</f>
        <v>46187</v>
      </c>
      <c r="C7465" s="122" t="str">
        <f>IFERROR(__xludf.DUMMYFUNCTION("""COMPUTED_VALUE"""),"TBIL")</f>
        <v>TBIL</v>
      </c>
      <c r="D7465" s="122" t="str">
        <f>IFERROR(__xludf.DUMMYFUNCTION("""COMPUTED_VALUE"""),"Treasury Bill")</f>
        <v>Treasury Bill</v>
      </c>
      <c r="E7465" s="122">
        <f>IFERROR(__xludf.DUMMYFUNCTION("""COMPUTED_VALUE"""),97.71)</f>
        <v>97.71</v>
      </c>
      <c r="F7465" s="122">
        <f>IFERROR(__xludf.DUMMYFUNCTION("""COMPUTED_VALUE"""),1.0E-4)</f>
        <v>0.0001</v>
      </c>
    </row>
    <row r="7466">
      <c r="A7466" s="131">
        <f>IFERROR(__xludf.DUMMYFUNCTION("""COMPUTED_VALUE"""),46187.59873842593)</f>
        <v>46187.59874</v>
      </c>
      <c r="B7466" s="126">
        <f>IFERROR(__xludf.DUMMYFUNCTION("""COMPUTED_VALUE"""),46187.0)</f>
        <v>46187</v>
      </c>
      <c r="C7466" s="122" t="str">
        <f>IFERROR(__xludf.DUMMYFUNCTION("""COMPUTED_VALUE"""),"IBND")</f>
        <v>IBND</v>
      </c>
      <c r="D7466" s="122" t="str">
        <f>IFERROR(__xludf.DUMMYFUNCTION("""COMPUTED_VALUE"""),"Inflation Protected Bond")</f>
        <v>Inflation Protected Bond</v>
      </c>
      <c r="E7466" s="122">
        <f>IFERROR(__xludf.DUMMYFUNCTION("""COMPUTED_VALUE"""),100.75)</f>
        <v>100.75</v>
      </c>
      <c r="F7466" s="122">
        <f>IFERROR(__xludf.DUMMYFUNCTION("""COMPUTED_VALUE"""),-1.0E-4)</f>
        <v>-0.0001</v>
      </c>
    </row>
    <row r="7467">
      <c r="A7467" s="131">
        <f>IFERROR(__xludf.DUMMYFUNCTION("""COMPUTED_VALUE"""),46187.602175925924)</f>
        <v>46187.60218</v>
      </c>
      <c r="B7467" s="126">
        <f>IFERROR(__xludf.DUMMYFUNCTION("""COMPUTED_VALUE"""),46187.0)</f>
        <v>46187</v>
      </c>
      <c r="C7467" s="122" t="str">
        <f>IFERROR(__xludf.DUMMYFUNCTION("""COMPUTED_VALUE"""),"SNAX")</f>
        <v>SNAX</v>
      </c>
      <c r="D7467" s="122" t="str">
        <f>IFERROR(__xludf.DUMMYFUNCTION("""COMPUTED_VALUE"""),"MICA Snacks")</f>
        <v>MICA Snacks</v>
      </c>
      <c r="E7467" s="122">
        <f>IFERROR(__xludf.DUMMYFUNCTION("""COMPUTED_VALUE"""),122.64)</f>
        <v>122.64</v>
      </c>
      <c r="F7467" s="122">
        <f>IFERROR(__xludf.DUMMYFUNCTION("""COMPUTED_VALUE"""),2.0E-4)</f>
        <v>0.0002</v>
      </c>
    </row>
    <row r="7468">
      <c r="A7468" s="131">
        <f>IFERROR(__xludf.DUMMYFUNCTION("""COMPUTED_VALUE"""),46187.602175925924)</f>
        <v>46187.60218</v>
      </c>
      <c r="B7468" s="126">
        <f>IFERROR(__xludf.DUMMYFUNCTION("""COMPUTED_VALUE"""),46187.0)</f>
        <v>46187</v>
      </c>
      <c r="C7468" s="122" t="str">
        <f>IFERROR(__xludf.DUMMYFUNCTION("""COMPUTED_VALUE"""),"RAMN")</f>
        <v>RAMN</v>
      </c>
      <c r="D7468" s="122" t="str">
        <f>IFERROR(__xludf.DUMMYFUNCTION("""COMPUTED_VALUE"""),"Ramen Republic")</f>
        <v>Ramen Republic</v>
      </c>
      <c r="E7468" s="122">
        <f>IFERROR(__xludf.DUMMYFUNCTION("""COMPUTED_VALUE"""),63.82)</f>
        <v>63.82</v>
      </c>
      <c r="F7468" s="122">
        <f>IFERROR(__xludf.DUMMYFUNCTION("""COMPUTED_VALUE"""),-0.0062)</f>
        <v>-0.0062</v>
      </c>
    </row>
    <row r="7469">
      <c r="A7469" s="131">
        <f>IFERROR(__xludf.DUMMYFUNCTION("""COMPUTED_VALUE"""),46187.602175925924)</f>
        <v>46187.60218</v>
      </c>
      <c r="B7469" s="126">
        <f>IFERROR(__xludf.DUMMYFUNCTION("""COMPUTED_VALUE"""),46187.0)</f>
        <v>46187</v>
      </c>
      <c r="C7469" s="122" t="str">
        <f>IFERROR(__xludf.DUMMYFUNCTION("""COMPUTED_VALUE"""),"COLA")</f>
        <v>COLA</v>
      </c>
      <c r="D7469" s="122" t="str">
        <f>IFERROR(__xludf.DUMMYFUNCTION("""COMPUTED_VALUE"""),"K-Pop Cola")</f>
        <v>K-Pop Cola</v>
      </c>
      <c r="E7469" s="122">
        <f>IFERROR(__xludf.DUMMYFUNCTION("""COMPUTED_VALUE"""),113.98)</f>
        <v>113.98</v>
      </c>
      <c r="F7469" s="122">
        <f>IFERROR(__xludf.DUMMYFUNCTION("""COMPUTED_VALUE"""),0.0041)</f>
        <v>0.0041</v>
      </c>
    </row>
    <row r="7470">
      <c r="A7470" s="131">
        <f>IFERROR(__xludf.DUMMYFUNCTION("""COMPUTED_VALUE"""),46187.602175925924)</f>
        <v>46187.60218</v>
      </c>
      <c r="B7470" s="126">
        <f>IFERROR(__xludf.DUMMYFUNCTION("""COMPUTED_VALUE"""),46187.0)</f>
        <v>46187</v>
      </c>
      <c r="C7470" s="122" t="str">
        <f>IFERROR(__xludf.DUMMYFUNCTION("""COMPUTED_VALUE"""),"CHIP")</f>
        <v>CHIP</v>
      </c>
      <c r="D7470" s="122" t="str">
        <f>IFERROR(__xludf.DUMMYFUNCTION("""COMPUTED_VALUE"""),"Chip Empire")</f>
        <v>Chip Empire</v>
      </c>
      <c r="E7470" s="122">
        <f>IFERROR(__xludf.DUMMYFUNCTION("""COMPUTED_VALUE"""),82.01)</f>
        <v>82.01</v>
      </c>
      <c r="F7470" s="122">
        <f>IFERROR(__xludf.DUMMYFUNCTION("""COMPUTED_VALUE"""),0.0024)</f>
        <v>0.0024</v>
      </c>
    </row>
    <row r="7471">
      <c r="A7471" s="131">
        <f>IFERROR(__xludf.DUMMYFUNCTION("""COMPUTED_VALUE"""),46187.602175925924)</f>
        <v>46187.60218</v>
      </c>
      <c r="B7471" s="126">
        <f>IFERROR(__xludf.DUMMYFUNCTION("""COMPUTED_VALUE"""),46187.0)</f>
        <v>46187</v>
      </c>
      <c r="C7471" s="122" t="str">
        <f>IFERROR(__xludf.DUMMYFUNCTION("""COMPUTED_VALUE"""),"CAND")</f>
        <v>CAND</v>
      </c>
      <c r="D7471" s="122" t="str">
        <f>IFERROR(__xludf.DUMMYFUNCTION("""COMPUTED_VALUE"""),"Candy Capital")</f>
        <v>Candy Capital</v>
      </c>
      <c r="E7471" s="122">
        <f>IFERROR(__xludf.DUMMYFUNCTION("""COMPUTED_VALUE"""),77.34)</f>
        <v>77.34</v>
      </c>
      <c r="F7471" s="122">
        <f>IFERROR(__xludf.DUMMYFUNCTION("""COMPUTED_VALUE"""),0.0044)</f>
        <v>0.0044</v>
      </c>
    </row>
    <row r="7472">
      <c r="A7472" s="131">
        <f>IFERROR(__xludf.DUMMYFUNCTION("""COMPUTED_VALUE"""),46187.602175925924)</f>
        <v>46187.60218</v>
      </c>
      <c r="B7472" s="126">
        <f>IFERROR(__xludf.DUMMYFUNCTION("""COMPUTED_VALUE"""),46187.0)</f>
        <v>46187</v>
      </c>
      <c r="C7472" s="122" t="str">
        <f>IFERROR(__xludf.DUMMYFUNCTION("""COMPUTED_VALUE"""),"TECH")</f>
        <v>TECH</v>
      </c>
      <c r="D7472" s="122" t="str">
        <f>IFERROR(__xludf.DUMMYFUNCTION("""COMPUTED_VALUE"""),"Dragon Tech")</f>
        <v>Dragon Tech</v>
      </c>
      <c r="E7472" s="122">
        <f>IFERROR(__xludf.DUMMYFUNCTION("""COMPUTED_VALUE"""),253.4)</f>
        <v>253.4</v>
      </c>
      <c r="F7472" s="122">
        <f>IFERROR(__xludf.DUMMYFUNCTION("""COMPUTED_VALUE"""),-0.0056)</f>
        <v>-0.0056</v>
      </c>
    </row>
    <row r="7473">
      <c r="A7473" s="131">
        <f>IFERROR(__xludf.DUMMYFUNCTION("""COMPUTED_VALUE"""),46187.602175925924)</f>
        <v>46187.60218</v>
      </c>
      <c r="B7473" s="126">
        <f>IFERROR(__xludf.DUMMYFUNCTION("""COMPUTED_VALUE"""),46187.0)</f>
        <v>46187</v>
      </c>
      <c r="C7473" s="122" t="str">
        <f>IFERROR(__xludf.DUMMYFUNCTION("""COMPUTED_VALUE"""),"AIBO")</f>
        <v>AIBO</v>
      </c>
      <c r="D7473" s="122" t="str">
        <f>IFERROR(__xludf.DUMMYFUNCTION("""COMPUTED_VALUE"""),"Homework AI")</f>
        <v>Homework AI</v>
      </c>
      <c r="E7473" s="122">
        <f>IFERROR(__xludf.DUMMYFUNCTION("""COMPUTED_VALUE"""),188.67)</f>
        <v>188.67</v>
      </c>
      <c r="F7473" s="122">
        <f>IFERROR(__xludf.DUMMYFUNCTION("""COMPUTED_VALUE"""),-6.0E-4)</f>
        <v>-0.0006</v>
      </c>
    </row>
    <row r="7474">
      <c r="A7474" s="131">
        <f>IFERROR(__xludf.DUMMYFUNCTION("""COMPUTED_VALUE"""),46187.602175925924)</f>
        <v>46187.60218</v>
      </c>
      <c r="B7474" s="126">
        <f>IFERROR(__xludf.DUMMYFUNCTION("""COMPUTED_VALUE"""),46187.0)</f>
        <v>46187</v>
      </c>
      <c r="C7474" s="122" t="str">
        <f>IFERROR(__xludf.DUMMYFUNCTION("""COMPUTED_VALUE"""),"GAME")</f>
        <v>GAME</v>
      </c>
      <c r="D7474" s="122" t="str">
        <f>IFERROR(__xludf.DUMMYFUNCTION("""COMPUTED_VALUE"""),"GameBox Media")</f>
        <v>GameBox Media</v>
      </c>
      <c r="E7474" s="122">
        <f>IFERROR(__xludf.DUMMYFUNCTION("""COMPUTED_VALUE"""),101.94)</f>
        <v>101.94</v>
      </c>
      <c r="F7474" s="122">
        <f>IFERROR(__xludf.DUMMYFUNCTION("""COMPUTED_VALUE"""),-0.0094)</f>
        <v>-0.0094</v>
      </c>
    </row>
    <row r="7475">
      <c r="A7475" s="131">
        <f>IFERROR(__xludf.DUMMYFUNCTION("""COMPUTED_VALUE"""),46187.602175925924)</f>
        <v>46187.60218</v>
      </c>
      <c r="B7475" s="126">
        <f>IFERROR(__xludf.DUMMYFUNCTION("""COMPUTED_VALUE"""),46187.0)</f>
        <v>46187</v>
      </c>
      <c r="C7475" s="122" t="str">
        <f>IFERROR(__xludf.DUMMYFUNCTION("""COMPUTED_VALUE"""),"VRSE")</f>
        <v>VRSE</v>
      </c>
      <c r="D7475" s="122" t="str">
        <f>IFERROR(__xludf.DUMMYFUNCTION("""COMPUTED_VALUE"""),"VerseVR")</f>
        <v>VerseVR</v>
      </c>
      <c r="E7475" s="122">
        <f>IFERROR(__xludf.DUMMYFUNCTION("""COMPUTED_VALUE"""),148.37)</f>
        <v>148.37</v>
      </c>
      <c r="F7475" s="122">
        <f>IFERROR(__xludf.DUMMYFUNCTION("""COMPUTED_VALUE"""),-0.006)</f>
        <v>-0.006</v>
      </c>
    </row>
    <row r="7476">
      <c r="A7476" s="131">
        <f>IFERROR(__xludf.DUMMYFUNCTION("""COMPUTED_VALUE"""),46187.602175925924)</f>
        <v>46187.60218</v>
      </c>
      <c r="B7476" s="126">
        <f>IFERROR(__xludf.DUMMYFUNCTION("""COMPUTED_VALUE"""),46187.0)</f>
        <v>46187</v>
      </c>
      <c r="C7476" s="122" t="str">
        <f>IFERROR(__xludf.DUMMYFUNCTION("""COMPUTED_VALUE"""),"BYTE")</f>
        <v>BYTE</v>
      </c>
      <c r="D7476" s="122" t="str">
        <f>IFERROR(__xludf.DUMMYFUNCTION("""COMPUTED_VALUE"""),"ByteWorks")</f>
        <v>ByteWorks</v>
      </c>
      <c r="E7476" s="122">
        <f>IFERROR(__xludf.DUMMYFUNCTION("""COMPUTED_VALUE"""),116.0)</f>
        <v>116</v>
      </c>
      <c r="F7476" s="122">
        <f>IFERROR(__xludf.DUMMYFUNCTION("""COMPUTED_VALUE"""),0.0035)</f>
        <v>0.0035</v>
      </c>
    </row>
    <row r="7477">
      <c r="A7477" s="131">
        <f>IFERROR(__xludf.DUMMYFUNCTION("""COMPUTED_VALUE"""),46187.602175925924)</f>
        <v>46187.60218</v>
      </c>
      <c r="B7477" s="126">
        <f>IFERROR(__xludf.DUMMYFUNCTION("""COMPUTED_VALUE"""),46187.0)</f>
        <v>46187</v>
      </c>
      <c r="C7477" s="122" t="str">
        <f>IFERROR(__xludf.DUMMYFUNCTION("""COMPUTED_VALUE"""),"BANK")</f>
        <v>BANK</v>
      </c>
      <c r="D7477" s="122" t="str">
        <f>IFERROR(__xludf.DUMMYFUNCTION("""COMPUTED_VALUE"""),"Tiger Bank")</f>
        <v>Tiger Bank</v>
      </c>
      <c r="E7477" s="122">
        <f>IFERROR(__xludf.DUMMYFUNCTION("""COMPUTED_VALUE"""),131.52)</f>
        <v>131.52</v>
      </c>
      <c r="F7477" s="122">
        <f>IFERROR(__xludf.DUMMYFUNCTION("""COMPUTED_VALUE"""),0.004)</f>
        <v>0.004</v>
      </c>
    </row>
    <row r="7478">
      <c r="A7478" s="131">
        <f>IFERROR(__xludf.DUMMYFUNCTION("""COMPUTED_VALUE"""),46187.602175925924)</f>
        <v>46187.60218</v>
      </c>
      <c r="B7478" s="126">
        <f>IFERROR(__xludf.DUMMYFUNCTION("""COMPUTED_VALUE"""),46187.0)</f>
        <v>46187</v>
      </c>
      <c r="C7478" s="122" t="str">
        <f>IFERROR(__xludf.DUMMYFUNCTION("""COMPUTED_VALUE"""),"CRED")</f>
        <v>CRED</v>
      </c>
      <c r="D7478" s="122" t="str">
        <f>IFERROR(__xludf.DUMMYFUNCTION("""COMPUTED_VALUE"""),"Credit Castle")</f>
        <v>Credit Castle</v>
      </c>
      <c r="E7478" s="122">
        <f>IFERROR(__xludf.DUMMYFUNCTION("""COMPUTED_VALUE"""),66.4)</f>
        <v>66.4</v>
      </c>
      <c r="F7478" s="122">
        <f>IFERROR(__xludf.DUMMYFUNCTION("""COMPUTED_VALUE"""),-0.0032)</f>
        <v>-0.0032</v>
      </c>
    </row>
    <row r="7479">
      <c r="A7479" s="131">
        <f>IFERROR(__xludf.DUMMYFUNCTION("""COMPUTED_VALUE"""),46187.602175925924)</f>
        <v>46187.60218</v>
      </c>
      <c r="B7479" s="126">
        <f>IFERROR(__xludf.DUMMYFUNCTION("""COMPUTED_VALUE"""),46187.0)</f>
        <v>46187</v>
      </c>
      <c r="C7479" s="122" t="str">
        <f>IFERROR(__xludf.DUMMYFUNCTION("""COMPUTED_VALUE"""),"BOND")</f>
        <v>BOND</v>
      </c>
      <c r="D7479" s="122" t="str">
        <f>IFERROR(__xludf.DUMMYFUNCTION("""COMPUTED_VALUE"""),"BondBridge")</f>
        <v>BondBridge</v>
      </c>
      <c r="E7479" s="122">
        <f>IFERROR(__xludf.DUMMYFUNCTION("""COMPUTED_VALUE"""),104.26)</f>
        <v>104.26</v>
      </c>
      <c r="F7479" s="122">
        <f>IFERROR(__xludf.DUMMYFUNCTION("""COMPUTED_VALUE"""),0.0024)</f>
        <v>0.0024</v>
      </c>
    </row>
    <row r="7480">
      <c r="A7480" s="131">
        <f>IFERROR(__xludf.DUMMYFUNCTION("""COMPUTED_VALUE"""),46187.602175925924)</f>
        <v>46187.60218</v>
      </c>
      <c r="B7480" s="126">
        <f>IFERROR(__xludf.DUMMYFUNCTION("""COMPUTED_VALUE"""),46187.0)</f>
        <v>46187</v>
      </c>
      <c r="C7480" s="122" t="str">
        <f>IFERROR(__xludf.DUMMYFUNCTION("""COMPUTED_VALUE"""),"INSR")</f>
        <v>INSR</v>
      </c>
      <c r="D7480" s="122" t="str">
        <f>IFERROR(__xludf.DUMMYFUNCTION("""COMPUTED_VALUE"""),"Shield Insurance")</f>
        <v>Shield Insurance</v>
      </c>
      <c r="E7480" s="122">
        <f>IFERROR(__xludf.DUMMYFUNCTION("""COMPUTED_VALUE"""),157.11)</f>
        <v>157.11</v>
      </c>
      <c r="F7480" s="122">
        <f>IFERROR(__xludf.DUMMYFUNCTION("""COMPUTED_VALUE"""),0.0014)</f>
        <v>0.0014</v>
      </c>
    </row>
    <row r="7481">
      <c r="A7481" s="131">
        <f>IFERROR(__xludf.DUMMYFUNCTION("""COMPUTED_VALUE"""),46187.602175925924)</f>
        <v>46187.60218</v>
      </c>
      <c r="B7481" s="126">
        <f>IFERROR(__xludf.DUMMYFUNCTION("""COMPUTED_VALUE"""),46187.0)</f>
        <v>46187</v>
      </c>
      <c r="C7481" s="122" t="str">
        <f>IFERROR(__xludf.DUMMYFUNCTION("""COMPUTED_VALUE"""),"LOAN")</f>
        <v>LOAN</v>
      </c>
      <c r="D7481" s="122" t="str">
        <f>IFERROR(__xludf.DUMMYFUNCTION("""COMPUTED_VALUE"""),"LoanLab")</f>
        <v>LoanLab</v>
      </c>
      <c r="E7481" s="122">
        <f>IFERROR(__xludf.DUMMYFUNCTION("""COMPUTED_VALUE"""),70.47)</f>
        <v>70.47</v>
      </c>
      <c r="F7481" s="122">
        <f>IFERROR(__xludf.DUMMYFUNCTION("""COMPUTED_VALUE"""),0.0046)</f>
        <v>0.0046</v>
      </c>
    </row>
    <row r="7482">
      <c r="A7482" s="131">
        <f>IFERROR(__xludf.DUMMYFUNCTION("""COMPUTED_VALUE"""),46187.602175925924)</f>
        <v>46187.60218</v>
      </c>
      <c r="B7482" s="126">
        <f>IFERROR(__xludf.DUMMYFUNCTION("""COMPUTED_VALUE"""),46187.0)</f>
        <v>46187</v>
      </c>
      <c r="C7482" s="122" t="str">
        <f>IFERROR(__xludf.DUMMYFUNCTION("""COMPUTED_VALUE"""),"LUXE")</f>
        <v>LUXE</v>
      </c>
      <c r="D7482" s="122" t="str">
        <f>IFERROR(__xludf.DUMMYFUNCTION("""COMPUTED_VALUE"""),"Luxury Locker")</f>
        <v>Luxury Locker</v>
      </c>
      <c r="E7482" s="122">
        <f>IFERROR(__xludf.DUMMYFUNCTION("""COMPUTED_VALUE"""),263.03)</f>
        <v>263.03</v>
      </c>
      <c r="F7482" s="122">
        <f>IFERROR(__xludf.DUMMYFUNCTION("""COMPUTED_VALUE"""),2.0E-4)</f>
        <v>0.0002</v>
      </c>
    </row>
    <row r="7483">
      <c r="A7483" s="131">
        <f>IFERROR(__xludf.DUMMYFUNCTION("""COMPUTED_VALUE"""),46187.602175925924)</f>
        <v>46187.60218</v>
      </c>
      <c r="B7483" s="126">
        <f>IFERROR(__xludf.DUMMYFUNCTION("""COMPUTED_VALUE"""),46187.0)</f>
        <v>46187</v>
      </c>
      <c r="C7483" s="122" t="str">
        <f>IFERROR(__xludf.DUMMYFUNCTION("""COMPUTED_VALUE"""),"DRIP")</f>
        <v>DRIP</v>
      </c>
      <c r="D7483" s="122" t="str">
        <f>IFERROR(__xludf.DUMMYFUNCTION("""COMPUTED_VALUE"""),"Drip Streetwear")</f>
        <v>Drip Streetwear</v>
      </c>
      <c r="E7483" s="122">
        <f>IFERROR(__xludf.DUMMYFUNCTION("""COMPUTED_VALUE"""),188.6)</f>
        <v>188.6</v>
      </c>
      <c r="F7483" s="122">
        <f>IFERROR(__xludf.DUMMYFUNCTION("""COMPUTED_VALUE"""),0.0027)</f>
        <v>0.0027</v>
      </c>
    </row>
    <row r="7484">
      <c r="A7484" s="131">
        <f>IFERROR(__xludf.DUMMYFUNCTION("""COMPUTED_VALUE"""),46187.602175925924)</f>
        <v>46187.60218</v>
      </c>
      <c r="B7484" s="126">
        <f>IFERROR(__xludf.DUMMYFUNCTION("""COMPUTED_VALUE"""),46187.0)</f>
        <v>46187</v>
      </c>
      <c r="C7484" s="122" t="str">
        <f>IFERROR(__xludf.DUMMYFUNCTION("""COMPUTED_VALUE"""),"KICK")</f>
        <v>KICK</v>
      </c>
      <c r="D7484" s="122" t="str">
        <f>IFERROR(__xludf.DUMMYFUNCTION("""COMPUTED_VALUE"""),"KickDrop Sneakers")</f>
        <v>KickDrop Sneakers</v>
      </c>
      <c r="E7484" s="122">
        <f>IFERROR(__xludf.DUMMYFUNCTION("""COMPUTED_VALUE"""),171.23)</f>
        <v>171.23</v>
      </c>
      <c r="F7484" s="122">
        <f>IFERROR(__xludf.DUMMYFUNCTION("""COMPUTED_VALUE"""),0.0055)</f>
        <v>0.0055</v>
      </c>
    </row>
    <row r="7485">
      <c r="A7485" s="131">
        <f>IFERROR(__xludf.DUMMYFUNCTION("""COMPUTED_VALUE"""),46187.602175925924)</f>
        <v>46187.60218</v>
      </c>
      <c r="B7485" s="126">
        <f>IFERROR(__xludf.DUMMYFUNCTION("""COMPUTED_VALUE"""),46187.0)</f>
        <v>46187</v>
      </c>
      <c r="C7485" s="122" t="str">
        <f>IFERROR(__xludf.DUMMYFUNCTION("""COMPUTED_VALUE"""),"GLAM")</f>
        <v>GLAM</v>
      </c>
      <c r="D7485" s="122" t="str">
        <f>IFERROR(__xludf.DUMMYFUNCTION("""COMPUTED_VALUE"""),"Glow Cosmetics")</f>
        <v>Glow Cosmetics</v>
      </c>
      <c r="E7485" s="122">
        <f>IFERROR(__xludf.DUMMYFUNCTION("""COMPUTED_VALUE"""),110.8)</f>
        <v>110.8</v>
      </c>
      <c r="F7485" s="122">
        <f>IFERROR(__xludf.DUMMYFUNCTION("""COMPUTED_VALUE"""),0.0077)</f>
        <v>0.0077</v>
      </c>
    </row>
    <row r="7486">
      <c r="A7486" s="131">
        <f>IFERROR(__xludf.DUMMYFUNCTION("""COMPUTED_VALUE"""),46187.602175925924)</f>
        <v>46187.60218</v>
      </c>
      <c r="B7486" s="126">
        <f>IFERROR(__xludf.DUMMYFUNCTION("""COMPUTED_VALUE"""),46187.0)</f>
        <v>46187</v>
      </c>
      <c r="C7486" s="122" t="str">
        <f>IFERROR(__xludf.DUMMYFUNCTION("""COMPUTED_VALUE"""),"BAGG")</f>
        <v>BAGG</v>
      </c>
      <c r="D7486" s="122" t="str">
        <f>IFERROR(__xludf.DUMMYFUNCTION("""COMPUTED_VALUE"""),"BagVault")</f>
        <v>BagVault</v>
      </c>
      <c r="E7486" s="122">
        <f>IFERROR(__xludf.DUMMYFUNCTION("""COMPUTED_VALUE"""),276.62)</f>
        <v>276.62</v>
      </c>
      <c r="F7486" s="122">
        <f>IFERROR(__xludf.DUMMYFUNCTION("""COMPUTED_VALUE"""),0.003)</f>
        <v>0.003</v>
      </c>
    </row>
    <row r="7487">
      <c r="A7487" s="131">
        <f>IFERROR(__xludf.DUMMYFUNCTION("""COMPUTED_VALUE"""),46187.602175925924)</f>
        <v>46187.60218</v>
      </c>
      <c r="B7487" s="126">
        <f>IFERROR(__xludf.DUMMYFUNCTION("""COMPUTED_VALUE"""),46187.0)</f>
        <v>46187</v>
      </c>
      <c r="C7487" s="122" t="str">
        <f>IFERROR(__xludf.DUMMYFUNCTION("""COMPUTED_VALUE"""),"FAST")</f>
        <v>FAST</v>
      </c>
      <c r="D7487" s="122" t="str">
        <f>IFERROR(__xludf.DUMMYFUNCTION("""COMPUTED_VALUE"""),"Flash Logistics")</f>
        <v>Flash Logistics</v>
      </c>
      <c r="E7487" s="122">
        <f>IFERROR(__xludf.DUMMYFUNCTION("""COMPUTED_VALUE"""),108.37)</f>
        <v>108.37</v>
      </c>
      <c r="F7487" s="122">
        <f>IFERROR(__xludf.DUMMYFUNCTION("""COMPUTED_VALUE"""),-8.0E-4)</f>
        <v>-0.0008</v>
      </c>
    </row>
    <row r="7488">
      <c r="A7488" s="131">
        <f>IFERROR(__xludf.DUMMYFUNCTION("""COMPUTED_VALUE"""),46187.602175925924)</f>
        <v>46187.60218</v>
      </c>
      <c r="B7488" s="126">
        <f>IFERROR(__xludf.DUMMYFUNCTION("""COMPUTED_VALUE"""),46187.0)</f>
        <v>46187</v>
      </c>
      <c r="C7488" s="122" t="str">
        <f>IFERROR(__xludf.DUMMYFUNCTION("""COMPUTED_VALUE"""),"SHIP")</f>
        <v>SHIP</v>
      </c>
      <c r="D7488" s="122" t="str">
        <f>IFERROR(__xludf.DUMMYFUNCTION("""COMPUTED_VALUE"""),"Seoul Shipping")</f>
        <v>Seoul Shipping</v>
      </c>
      <c r="E7488" s="122">
        <f>IFERROR(__xludf.DUMMYFUNCTION("""COMPUTED_VALUE"""),129.99)</f>
        <v>129.99</v>
      </c>
      <c r="F7488" s="122">
        <f>IFERROR(__xludf.DUMMYFUNCTION("""COMPUTED_VALUE"""),0.0036)</f>
        <v>0.0036</v>
      </c>
    </row>
    <row r="7489">
      <c r="A7489" s="131">
        <f>IFERROR(__xludf.DUMMYFUNCTION("""COMPUTED_VALUE"""),46187.602175925924)</f>
        <v>46187.60218</v>
      </c>
      <c r="B7489" s="126">
        <f>IFERROR(__xludf.DUMMYFUNCTION("""COMPUTED_VALUE"""),46187.0)</f>
        <v>46187</v>
      </c>
      <c r="C7489" s="122" t="str">
        <f>IFERROR(__xludf.DUMMYFUNCTION("""COMPUTED_VALUE"""),"DRON")</f>
        <v>DRON</v>
      </c>
      <c r="D7489" s="122" t="str">
        <f>IFERROR(__xludf.DUMMYFUNCTION("""COMPUTED_VALUE"""),"DroneDrop")</f>
        <v>DroneDrop</v>
      </c>
      <c r="E7489" s="122">
        <f>IFERROR(__xludf.DUMMYFUNCTION("""COMPUTED_VALUE"""),125.24)</f>
        <v>125.24</v>
      </c>
      <c r="F7489" s="122">
        <f>IFERROR(__xludf.DUMMYFUNCTION("""COMPUTED_VALUE"""),0.0035)</f>
        <v>0.0035</v>
      </c>
    </row>
    <row r="7490">
      <c r="A7490" s="131">
        <f>IFERROR(__xludf.DUMMYFUNCTION("""COMPUTED_VALUE"""),46187.602175925924)</f>
        <v>46187.60218</v>
      </c>
      <c r="B7490" s="126">
        <f>IFERROR(__xludf.DUMMYFUNCTION("""COMPUTED_VALUE"""),46187.0)</f>
        <v>46187</v>
      </c>
      <c r="C7490" s="122" t="str">
        <f>IFERROR(__xludf.DUMMYFUNCTION("""COMPUTED_VALUE"""),"RIDE")</f>
        <v>RIDE</v>
      </c>
      <c r="D7490" s="122" t="str">
        <f>IFERROR(__xludf.DUMMYFUNCTION("""COMPUTED_VALUE"""),"QuickRide")</f>
        <v>QuickRide</v>
      </c>
      <c r="E7490" s="122">
        <f>IFERROR(__xludf.DUMMYFUNCTION("""COMPUTED_VALUE"""),103.47)</f>
        <v>103.47</v>
      </c>
      <c r="F7490" s="122">
        <f>IFERROR(__xludf.DUMMYFUNCTION("""COMPUTED_VALUE"""),0.0066)</f>
        <v>0.0066</v>
      </c>
    </row>
    <row r="7491">
      <c r="A7491" s="131">
        <f>IFERROR(__xludf.DUMMYFUNCTION("""COMPUTED_VALUE"""),46187.602175925924)</f>
        <v>46187.60218</v>
      </c>
      <c r="B7491" s="126">
        <f>IFERROR(__xludf.DUMMYFUNCTION("""COMPUTED_VALUE"""),46187.0)</f>
        <v>46187</v>
      </c>
      <c r="C7491" s="122" t="str">
        <f>IFERROR(__xludf.DUMMYFUNCTION("""COMPUTED_VALUE"""),"RAIL")</f>
        <v>RAIL</v>
      </c>
      <c r="D7491" s="122" t="str">
        <f>IFERROR(__xludf.DUMMYFUNCTION("""COMPUTED_VALUE"""),"MetroRail Corp")</f>
        <v>MetroRail Corp</v>
      </c>
      <c r="E7491" s="122">
        <f>IFERROR(__xludf.DUMMYFUNCTION("""COMPUTED_VALUE"""),131.26)</f>
        <v>131.26</v>
      </c>
      <c r="F7491" s="122">
        <f>IFERROR(__xludf.DUMMYFUNCTION("""COMPUTED_VALUE"""),0.0014)</f>
        <v>0.0014</v>
      </c>
    </row>
    <row r="7492">
      <c r="A7492" s="131">
        <f>IFERROR(__xludf.DUMMYFUNCTION("""COMPUTED_VALUE"""),46187.602175925924)</f>
        <v>46187.60218</v>
      </c>
      <c r="B7492" s="126">
        <f>IFERROR(__xludf.DUMMYFUNCTION("""COMPUTED_VALUE"""),46187.0)</f>
        <v>46187</v>
      </c>
      <c r="C7492" s="122" t="str">
        <f>IFERROR(__xludf.DUMMYFUNCTION("""COMPUTED_VALUE"""),"MEDX")</f>
        <v>MEDX</v>
      </c>
      <c r="D7492" s="122" t="str">
        <f>IFERROR(__xludf.DUMMYFUNCTION("""COMPUTED_VALUE"""),"MediCore")</f>
        <v>MediCore</v>
      </c>
      <c r="E7492" s="122">
        <f>IFERROR(__xludf.DUMMYFUNCTION("""COMPUTED_VALUE"""),137.86)</f>
        <v>137.86</v>
      </c>
      <c r="F7492" s="122">
        <f>IFERROR(__xludf.DUMMYFUNCTION("""COMPUTED_VALUE"""),0.0011)</f>
        <v>0.0011</v>
      </c>
    </row>
    <row r="7493">
      <c r="A7493" s="131">
        <f>IFERROR(__xludf.DUMMYFUNCTION("""COMPUTED_VALUE"""),46187.602175925924)</f>
        <v>46187.60218</v>
      </c>
      <c r="B7493" s="126">
        <f>IFERROR(__xludf.DUMMYFUNCTION("""COMPUTED_VALUE"""),46187.0)</f>
        <v>46187</v>
      </c>
      <c r="C7493" s="122" t="str">
        <f>IFERROR(__xludf.DUMMYFUNCTION("""COMPUTED_VALUE"""),"GYMX")</f>
        <v>GYMX</v>
      </c>
      <c r="D7493" s="122" t="str">
        <f>IFERROR(__xludf.DUMMYFUNCTION("""COMPUTED_VALUE"""),"GymX Fitness")</f>
        <v>GymX Fitness</v>
      </c>
      <c r="E7493" s="122">
        <f>IFERROR(__xludf.DUMMYFUNCTION("""COMPUTED_VALUE"""),84.2)</f>
        <v>84.2</v>
      </c>
      <c r="F7493" s="122">
        <f>IFERROR(__xludf.DUMMYFUNCTION("""COMPUTED_VALUE"""),-0.0043)</f>
        <v>-0.0043</v>
      </c>
    </row>
    <row r="7494">
      <c r="A7494" s="131">
        <f>IFERROR(__xludf.DUMMYFUNCTION("""COMPUTED_VALUE"""),46187.602175925924)</f>
        <v>46187.60218</v>
      </c>
      <c r="B7494" s="126">
        <f>IFERROR(__xludf.DUMMYFUNCTION("""COMPUTED_VALUE"""),46187.0)</f>
        <v>46187</v>
      </c>
      <c r="C7494" s="122" t="str">
        <f>IFERROR(__xludf.DUMMYFUNCTION("""COMPUTED_VALUE"""),"VITA")</f>
        <v>VITA</v>
      </c>
      <c r="D7494" s="122" t="str">
        <f>IFERROR(__xludf.DUMMYFUNCTION("""COMPUTED_VALUE"""),"VitaPlus")</f>
        <v>VitaPlus</v>
      </c>
      <c r="E7494" s="122">
        <f>IFERROR(__xludf.DUMMYFUNCTION("""COMPUTED_VALUE"""),72.5)</f>
        <v>72.5</v>
      </c>
      <c r="F7494" s="122">
        <f>IFERROR(__xludf.DUMMYFUNCTION("""COMPUTED_VALUE"""),-1.0E-4)</f>
        <v>-0.0001</v>
      </c>
    </row>
    <row r="7495">
      <c r="A7495" s="131">
        <f>IFERROR(__xludf.DUMMYFUNCTION("""COMPUTED_VALUE"""),46187.602175925924)</f>
        <v>46187.60218</v>
      </c>
      <c r="B7495" s="126">
        <f>IFERROR(__xludf.DUMMYFUNCTION("""COMPUTED_VALUE"""),46187.0)</f>
        <v>46187</v>
      </c>
      <c r="C7495" s="122" t="str">
        <f>IFERROR(__xludf.DUMMYFUNCTION("""COMPUTED_VALUE"""),"CARE")</f>
        <v>CARE</v>
      </c>
      <c r="D7495" s="122" t="str">
        <f>IFERROR(__xludf.DUMMYFUNCTION("""COMPUTED_VALUE"""),"CareCloud")</f>
        <v>CareCloud</v>
      </c>
      <c r="E7495" s="122">
        <f>IFERROR(__xludf.DUMMYFUNCTION("""COMPUTED_VALUE"""),183.78)</f>
        <v>183.78</v>
      </c>
      <c r="F7495" s="122">
        <f>IFERROR(__xludf.DUMMYFUNCTION("""COMPUTED_VALUE"""),0.0031)</f>
        <v>0.0031</v>
      </c>
    </row>
    <row r="7496">
      <c r="A7496" s="131">
        <f>IFERROR(__xludf.DUMMYFUNCTION("""COMPUTED_VALUE"""),46187.602175925924)</f>
        <v>46187.60218</v>
      </c>
      <c r="B7496" s="126">
        <f>IFERROR(__xludf.DUMMYFUNCTION("""COMPUTED_VALUE"""),46187.0)</f>
        <v>46187</v>
      </c>
      <c r="C7496" s="122" t="str">
        <f>IFERROR(__xludf.DUMMYFUNCTION("""COMPUTED_VALUE"""),"DENT")</f>
        <v>DENT</v>
      </c>
      <c r="D7496" s="122" t="str">
        <f>IFERROR(__xludf.DUMMYFUNCTION("""COMPUTED_VALUE"""),"SmileWorks")</f>
        <v>SmileWorks</v>
      </c>
      <c r="E7496" s="122">
        <f>IFERROR(__xludf.DUMMYFUNCTION("""COMPUTED_VALUE"""),94.99)</f>
        <v>94.99</v>
      </c>
      <c r="F7496" s="122">
        <f>IFERROR(__xludf.DUMMYFUNCTION("""COMPUTED_VALUE"""),5.0E-4)</f>
        <v>0.0005</v>
      </c>
    </row>
    <row r="7497">
      <c r="A7497" s="131">
        <f>IFERROR(__xludf.DUMMYFUNCTION("""COMPUTED_VALUE"""),46187.602175925924)</f>
        <v>46187.60218</v>
      </c>
      <c r="B7497" s="126">
        <f>IFERROR(__xludf.DUMMYFUNCTION("""COMPUTED_VALUE"""),46187.0)</f>
        <v>46187</v>
      </c>
      <c r="C7497" s="122" t="str">
        <f>IFERROR(__xludf.DUMMYFUNCTION("""COMPUTED_VALUE"""),"EDUX")</f>
        <v>EDUX</v>
      </c>
      <c r="D7497" s="122" t="str">
        <f>IFERROR(__xludf.DUMMYFUNCTION("""COMPUTED_VALUE"""),"EduMax Learning")</f>
        <v>EduMax Learning</v>
      </c>
      <c r="E7497" s="122">
        <f>IFERROR(__xludf.DUMMYFUNCTION("""COMPUTED_VALUE"""),146.17)</f>
        <v>146.17</v>
      </c>
      <c r="F7497" s="122">
        <f>IFERROR(__xludf.DUMMYFUNCTION("""COMPUTED_VALUE"""),0.0068)</f>
        <v>0.0068</v>
      </c>
    </row>
    <row r="7498">
      <c r="A7498" s="131">
        <f>IFERROR(__xludf.DUMMYFUNCTION("""COMPUTED_VALUE"""),46187.602175925924)</f>
        <v>46187.60218</v>
      </c>
      <c r="B7498" s="126">
        <f>IFERROR(__xludf.DUMMYFUNCTION("""COMPUTED_VALUE"""),46187.0)</f>
        <v>46187</v>
      </c>
      <c r="C7498" s="122" t="str">
        <f>IFERROR(__xludf.DUMMYFUNCTION("""COMPUTED_VALUE"""),"BOOK")</f>
        <v>BOOK</v>
      </c>
      <c r="D7498" s="122" t="str">
        <f>IFERROR(__xludf.DUMMYFUNCTION("""COMPUTED_VALUE"""),"BookBridge")</f>
        <v>BookBridge</v>
      </c>
      <c r="E7498" s="122">
        <f>IFERROR(__xludf.DUMMYFUNCTION("""COMPUTED_VALUE"""),120.3)</f>
        <v>120.3</v>
      </c>
      <c r="F7498" s="122">
        <f>IFERROR(__xludf.DUMMYFUNCTION("""COMPUTED_VALUE"""),0.0038)</f>
        <v>0.0038</v>
      </c>
    </row>
    <row r="7499">
      <c r="A7499" s="131">
        <f>IFERROR(__xludf.DUMMYFUNCTION("""COMPUTED_VALUE"""),46187.602175925924)</f>
        <v>46187.60218</v>
      </c>
      <c r="B7499" s="126">
        <f>IFERROR(__xludf.DUMMYFUNCTION("""COMPUTED_VALUE"""),46187.0)</f>
        <v>46187</v>
      </c>
      <c r="C7499" s="122" t="str">
        <f>IFERROR(__xludf.DUMMYFUNCTION("""COMPUTED_VALUE"""),"TUTR")</f>
        <v>TUTR</v>
      </c>
      <c r="D7499" s="122" t="str">
        <f>IFERROR(__xludf.DUMMYFUNCTION("""COMPUTED_VALUE"""),"TutorTown")</f>
        <v>TutorTown</v>
      </c>
      <c r="E7499" s="122">
        <f>IFERROR(__xludf.DUMMYFUNCTION("""COMPUTED_VALUE"""),90.62)</f>
        <v>90.62</v>
      </c>
      <c r="F7499" s="122">
        <f>IFERROR(__xludf.DUMMYFUNCTION("""COMPUTED_VALUE"""),-0.0023)</f>
        <v>-0.0023</v>
      </c>
    </row>
    <row r="7500">
      <c r="A7500" s="131">
        <f>IFERROR(__xludf.DUMMYFUNCTION("""COMPUTED_VALUE"""),46187.602175925924)</f>
        <v>46187.60218</v>
      </c>
      <c r="B7500" s="126">
        <f>IFERROR(__xludf.DUMMYFUNCTION("""COMPUTED_VALUE"""),46187.0)</f>
        <v>46187</v>
      </c>
      <c r="C7500" s="122" t="str">
        <f>IFERROR(__xludf.DUMMYFUNCTION("""COMPUTED_VALUE"""),"LANG")</f>
        <v>LANG</v>
      </c>
      <c r="D7500" s="122" t="str">
        <f>IFERROR(__xludf.DUMMYFUNCTION("""COMPUTED_VALUE"""),"LinguaLab")</f>
        <v>LinguaLab</v>
      </c>
      <c r="E7500" s="122">
        <f>IFERROR(__xludf.DUMMYFUNCTION("""COMPUTED_VALUE"""),101.76)</f>
        <v>101.76</v>
      </c>
      <c r="F7500" s="122">
        <f>IFERROR(__xludf.DUMMYFUNCTION("""COMPUTED_VALUE"""),0.0035)</f>
        <v>0.0035</v>
      </c>
    </row>
    <row r="7501">
      <c r="A7501" s="131">
        <f>IFERROR(__xludf.DUMMYFUNCTION("""COMPUTED_VALUE"""),46187.602175925924)</f>
        <v>46187.60218</v>
      </c>
      <c r="B7501" s="126">
        <f>IFERROR(__xludf.DUMMYFUNCTION("""COMPUTED_VALUE"""),46187.0)</f>
        <v>46187</v>
      </c>
      <c r="C7501" s="122" t="str">
        <f>IFERROR(__xludf.DUMMYFUNCTION("""COMPUTED_VALUE"""),"TEST")</f>
        <v>TEST</v>
      </c>
      <c r="D7501" s="122" t="str">
        <f>IFERROR(__xludf.DUMMYFUNCTION("""COMPUTED_VALUE"""),"TestPrep Pro")</f>
        <v>TestPrep Pro</v>
      </c>
      <c r="E7501" s="122">
        <f>IFERROR(__xludf.DUMMYFUNCTION("""COMPUTED_VALUE"""),90.04)</f>
        <v>90.04</v>
      </c>
      <c r="F7501" s="122">
        <f>IFERROR(__xludf.DUMMYFUNCTION("""COMPUTED_VALUE"""),-0.0033)</f>
        <v>-0.0033</v>
      </c>
    </row>
    <row r="7502">
      <c r="A7502" s="131">
        <f>IFERROR(__xludf.DUMMYFUNCTION("""COMPUTED_VALUE"""),46187.602175925924)</f>
        <v>46187.60218</v>
      </c>
      <c r="B7502" s="126">
        <f>IFERROR(__xludf.DUMMYFUNCTION("""COMPUTED_VALUE"""),46187.0)</f>
        <v>46187</v>
      </c>
      <c r="C7502" s="122" t="str">
        <f>IFERROR(__xludf.DUMMYFUNCTION("""COMPUTED_VALUE"""),"MOVI")</f>
        <v>MOVI</v>
      </c>
      <c r="D7502" s="122" t="str">
        <f>IFERROR(__xludf.DUMMYFUNCTION("""COMPUTED_VALUE"""),"MovieBox")</f>
        <v>MovieBox</v>
      </c>
      <c r="E7502" s="122">
        <f>IFERROR(__xludf.DUMMYFUNCTION("""COMPUTED_VALUE"""),83.18)</f>
        <v>83.18</v>
      </c>
      <c r="F7502" s="122">
        <f>IFERROR(__xludf.DUMMYFUNCTION("""COMPUTED_VALUE"""),-0.0029)</f>
        <v>-0.0029</v>
      </c>
    </row>
    <row r="7503">
      <c r="A7503" s="131">
        <f>IFERROR(__xludf.DUMMYFUNCTION("""COMPUTED_VALUE"""),46187.602175925924)</f>
        <v>46187.60218</v>
      </c>
      <c r="B7503" s="126">
        <f>IFERROR(__xludf.DUMMYFUNCTION("""COMPUTED_VALUE"""),46187.0)</f>
        <v>46187</v>
      </c>
      <c r="C7503" s="122" t="str">
        <f>IFERROR(__xludf.DUMMYFUNCTION("""COMPUTED_VALUE"""),"MUSC")</f>
        <v>MUSC</v>
      </c>
      <c r="D7503" s="122" t="str">
        <f>IFERROR(__xludf.DUMMYFUNCTION("""COMPUTED_VALUE"""),"MusicWave")</f>
        <v>MusicWave</v>
      </c>
      <c r="E7503" s="122">
        <f>IFERROR(__xludf.DUMMYFUNCTION("""COMPUTED_VALUE"""),103.55)</f>
        <v>103.55</v>
      </c>
      <c r="F7503" s="122">
        <f>IFERROR(__xludf.DUMMYFUNCTION("""COMPUTED_VALUE"""),3.0E-4)</f>
        <v>0.0003</v>
      </c>
    </row>
    <row r="7504">
      <c r="A7504" s="131">
        <f>IFERROR(__xludf.DUMMYFUNCTION("""COMPUTED_VALUE"""),46187.602175925924)</f>
        <v>46187.60218</v>
      </c>
      <c r="B7504" s="126">
        <f>IFERROR(__xludf.DUMMYFUNCTION("""COMPUTED_VALUE"""),46187.0)</f>
        <v>46187</v>
      </c>
      <c r="C7504" s="122" t="str">
        <f>IFERROR(__xludf.DUMMYFUNCTION("""COMPUTED_VALUE"""),"IDOL")</f>
        <v>IDOL</v>
      </c>
      <c r="D7504" s="122" t="str">
        <f>IFERROR(__xludf.DUMMYFUNCTION("""COMPUTED_VALUE"""),"Idol Agency")</f>
        <v>Idol Agency</v>
      </c>
      <c r="E7504" s="122">
        <f>IFERROR(__xludf.DUMMYFUNCTION("""COMPUTED_VALUE"""),186.34)</f>
        <v>186.34</v>
      </c>
      <c r="F7504" s="122">
        <f>IFERROR(__xludf.DUMMYFUNCTION("""COMPUTED_VALUE"""),-0.0112)</f>
        <v>-0.0112</v>
      </c>
    </row>
    <row r="7505">
      <c r="A7505" s="131">
        <f>IFERROR(__xludf.DUMMYFUNCTION("""COMPUTED_VALUE"""),46187.602175925924)</f>
        <v>46187.60218</v>
      </c>
      <c r="B7505" s="126">
        <f>IFERROR(__xludf.DUMMYFUNCTION("""COMPUTED_VALUE"""),46187.0)</f>
        <v>46187</v>
      </c>
      <c r="C7505" s="122" t="str">
        <f>IFERROR(__xludf.DUMMYFUNCTION("""COMPUTED_VALUE"""),"MEME")</f>
        <v>MEME</v>
      </c>
      <c r="D7505" s="122" t="str">
        <f>IFERROR(__xludf.DUMMYFUNCTION("""COMPUTED_VALUE"""),"Meme Media")</f>
        <v>Meme Media</v>
      </c>
      <c r="E7505" s="122">
        <f>IFERROR(__xludf.DUMMYFUNCTION("""COMPUTED_VALUE"""),72.78)</f>
        <v>72.78</v>
      </c>
      <c r="F7505" s="122">
        <f>IFERROR(__xludf.DUMMYFUNCTION("""COMPUTED_VALUE"""),0.0033)</f>
        <v>0.0033</v>
      </c>
    </row>
    <row r="7506">
      <c r="A7506" s="131">
        <f>IFERROR(__xludf.DUMMYFUNCTION("""COMPUTED_VALUE"""),46187.602175925924)</f>
        <v>46187.60218</v>
      </c>
      <c r="B7506" s="126">
        <f>IFERROR(__xludf.DUMMYFUNCTION("""COMPUTED_VALUE"""),46187.0)</f>
        <v>46187</v>
      </c>
      <c r="C7506" s="122" t="str">
        <f>IFERROR(__xludf.DUMMYFUNCTION("""COMPUTED_VALUE"""),"STRM")</f>
        <v>STRM</v>
      </c>
      <c r="D7506" s="122" t="str">
        <f>IFERROR(__xludf.DUMMYFUNCTION("""COMPUTED_VALUE"""),"Streamly")</f>
        <v>Streamly</v>
      </c>
      <c r="E7506" s="122">
        <f>IFERROR(__xludf.DUMMYFUNCTION("""COMPUTED_VALUE"""),133.85)</f>
        <v>133.85</v>
      </c>
      <c r="F7506" s="122">
        <f>IFERROR(__xludf.DUMMYFUNCTION("""COMPUTED_VALUE"""),-0.0096)</f>
        <v>-0.0096</v>
      </c>
    </row>
    <row r="7507">
      <c r="A7507" s="131">
        <f>IFERROR(__xludf.DUMMYFUNCTION("""COMPUTED_VALUE"""),46187.602175925924)</f>
        <v>46187.60218</v>
      </c>
      <c r="B7507" s="126">
        <f>IFERROR(__xludf.DUMMYFUNCTION("""COMPUTED_VALUE"""),46187.0)</f>
        <v>46187</v>
      </c>
      <c r="C7507" s="122" t="str">
        <f>IFERROR(__xludf.DUMMYFUNCTION("""COMPUTED_VALUE"""),"FARM")</f>
        <v>FARM</v>
      </c>
      <c r="D7507" s="122" t="str">
        <f>IFERROR(__xludf.DUMMYFUNCTION("""COMPUTED_VALUE"""),"Future Farms")</f>
        <v>Future Farms</v>
      </c>
      <c r="E7507" s="122">
        <f>IFERROR(__xludf.DUMMYFUNCTION("""COMPUTED_VALUE"""),95.82)</f>
        <v>95.82</v>
      </c>
      <c r="F7507" s="122">
        <f>IFERROR(__xludf.DUMMYFUNCTION("""COMPUTED_VALUE"""),-2.0E-4)</f>
        <v>-0.0002</v>
      </c>
    </row>
    <row r="7508">
      <c r="A7508" s="131">
        <f>IFERROR(__xludf.DUMMYFUNCTION("""COMPUTED_VALUE"""),46187.602175925924)</f>
        <v>46187.60218</v>
      </c>
      <c r="B7508" s="126">
        <f>IFERROR(__xludf.DUMMYFUNCTION("""COMPUTED_VALUE"""),46187.0)</f>
        <v>46187</v>
      </c>
      <c r="C7508" s="122" t="str">
        <f>IFERROR(__xludf.DUMMYFUNCTION("""COMPUTED_VALUE"""),"MEAT")</f>
        <v>MEAT</v>
      </c>
      <c r="D7508" s="122" t="str">
        <f>IFERROR(__xludf.DUMMYFUNCTION("""COMPUTED_VALUE"""),"MeatWorks")</f>
        <v>MeatWorks</v>
      </c>
      <c r="E7508" s="122">
        <f>IFERROR(__xludf.DUMMYFUNCTION("""COMPUTED_VALUE"""),104.44)</f>
        <v>104.44</v>
      </c>
      <c r="F7508" s="122">
        <f>IFERROR(__xludf.DUMMYFUNCTION("""COMPUTED_VALUE"""),-0.0022)</f>
        <v>-0.0022</v>
      </c>
    </row>
    <row r="7509">
      <c r="A7509" s="131">
        <f>IFERROR(__xludf.DUMMYFUNCTION("""COMPUTED_VALUE"""),46187.602175925924)</f>
        <v>46187.60218</v>
      </c>
      <c r="B7509" s="126">
        <f>IFERROR(__xludf.DUMMYFUNCTION("""COMPUTED_VALUE"""),46187.0)</f>
        <v>46187</v>
      </c>
      <c r="C7509" s="122" t="str">
        <f>IFERROR(__xludf.DUMMYFUNCTION("""COMPUTED_VALUE"""),"VEGI")</f>
        <v>VEGI</v>
      </c>
      <c r="D7509" s="122" t="str">
        <f>IFERROR(__xludf.DUMMYFUNCTION("""COMPUTED_VALUE"""),"Green Basket")</f>
        <v>Green Basket</v>
      </c>
      <c r="E7509" s="122">
        <f>IFERROR(__xludf.DUMMYFUNCTION("""COMPUTED_VALUE"""),77.68)</f>
        <v>77.68</v>
      </c>
      <c r="F7509" s="122">
        <f>IFERROR(__xludf.DUMMYFUNCTION("""COMPUTED_VALUE"""),-0.0013)</f>
        <v>-0.0013</v>
      </c>
    </row>
    <row r="7510">
      <c r="A7510" s="131">
        <f>IFERROR(__xludf.DUMMYFUNCTION("""COMPUTED_VALUE"""),46187.602175925924)</f>
        <v>46187.60218</v>
      </c>
      <c r="B7510" s="126">
        <f>IFERROR(__xludf.DUMMYFUNCTION("""COMPUTED_VALUE"""),46187.0)</f>
        <v>46187</v>
      </c>
      <c r="C7510" s="122" t="str">
        <f>IFERROR(__xludf.DUMMYFUNCTION("""COMPUTED_VALUE"""),"CAFE")</f>
        <v>CAFE</v>
      </c>
      <c r="D7510" s="122" t="str">
        <f>IFERROR(__xludf.DUMMYFUNCTION("""COMPUTED_VALUE"""),"Cafe Cloud")</f>
        <v>Cafe Cloud</v>
      </c>
      <c r="E7510" s="122">
        <f>IFERROR(__xludf.DUMMYFUNCTION("""COMPUTED_VALUE"""),102.93)</f>
        <v>102.93</v>
      </c>
      <c r="F7510" s="122">
        <f>IFERROR(__xludf.DUMMYFUNCTION("""COMPUTED_VALUE"""),0.0035)</f>
        <v>0.0035</v>
      </c>
    </row>
    <row r="7511">
      <c r="A7511" s="131">
        <f>IFERROR(__xludf.DUMMYFUNCTION("""COMPUTED_VALUE"""),46187.602175925924)</f>
        <v>46187.60218</v>
      </c>
      <c r="B7511" s="126">
        <f>IFERROR(__xludf.DUMMYFUNCTION("""COMPUTED_VALUE"""),46187.0)</f>
        <v>46187</v>
      </c>
      <c r="C7511" s="122" t="str">
        <f>IFERROR(__xludf.DUMMYFUNCTION("""COMPUTED_VALUE"""),"BAKE")</f>
        <v>BAKE</v>
      </c>
      <c r="D7511" s="122" t="str">
        <f>IFERROR(__xludf.DUMMYFUNCTION("""COMPUTED_VALUE"""),"BakeHouse")</f>
        <v>BakeHouse</v>
      </c>
      <c r="E7511" s="122">
        <f>IFERROR(__xludf.DUMMYFUNCTION("""COMPUTED_VALUE"""),100.32)</f>
        <v>100.32</v>
      </c>
      <c r="F7511" s="122">
        <f>IFERROR(__xludf.DUMMYFUNCTION("""COMPUTED_VALUE"""),-0.0038)</f>
        <v>-0.0038</v>
      </c>
    </row>
    <row r="7512">
      <c r="A7512" s="131">
        <f>IFERROR(__xludf.DUMMYFUNCTION("""COMPUTED_VALUE"""),46187.602175925924)</f>
        <v>46187.60218</v>
      </c>
      <c r="B7512" s="126">
        <f>IFERROR(__xludf.DUMMYFUNCTION("""COMPUTED_VALUE"""),46187.0)</f>
        <v>46187</v>
      </c>
      <c r="C7512" s="122" t="str">
        <f>IFERROR(__xludf.DUMMYFUNCTION("""COMPUTED_VALUE"""),"OILX")</f>
        <v>OILX</v>
      </c>
      <c r="D7512" s="122" t="str">
        <f>IFERROR(__xludf.DUMMYFUNCTION("""COMPUTED_VALUE"""),"OilMax Energy")</f>
        <v>OilMax Energy</v>
      </c>
      <c r="E7512" s="122">
        <f>IFERROR(__xludf.DUMMYFUNCTION("""COMPUTED_VALUE"""),134.18)</f>
        <v>134.18</v>
      </c>
      <c r="F7512" s="122">
        <f>IFERROR(__xludf.DUMMYFUNCTION("""COMPUTED_VALUE"""),0.0056)</f>
        <v>0.0056</v>
      </c>
    </row>
    <row r="7513">
      <c r="A7513" s="131">
        <f>IFERROR(__xludf.DUMMYFUNCTION("""COMPUTED_VALUE"""),46187.602175925924)</f>
        <v>46187.60218</v>
      </c>
      <c r="B7513" s="126">
        <f>IFERROR(__xludf.DUMMYFUNCTION("""COMPUTED_VALUE"""),46187.0)</f>
        <v>46187</v>
      </c>
      <c r="C7513" s="122" t="str">
        <f>IFERROR(__xludf.DUMMYFUNCTION("""COMPUTED_VALUE"""),"SOLR")</f>
        <v>SOLR</v>
      </c>
      <c r="D7513" s="122" t="str">
        <f>IFERROR(__xludf.DUMMYFUNCTION("""COMPUTED_VALUE"""),"SolarSpark")</f>
        <v>SolarSpark</v>
      </c>
      <c r="E7513" s="122">
        <f>IFERROR(__xludf.DUMMYFUNCTION("""COMPUTED_VALUE"""),106.32)</f>
        <v>106.32</v>
      </c>
      <c r="F7513" s="122">
        <f>IFERROR(__xludf.DUMMYFUNCTION("""COMPUTED_VALUE"""),-5.0E-4)</f>
        <v>-0.0005</v>
      </c>
    </row>
    <row r="7514">
      <c r="A7514" s="131">
        <f>IFERROR(__xludf.DUMMYFUNCTION("""COMPUTED_VALUE"""),46187.602175925924)</f>
        <v>46187.60218</v>
      </c>
      <c r="B7514" s="126">
        <f>IFERROR(__xludf.DUMMYFUNCTION("""COMPUTED_VALUE"""),46187.0)</f>
        <v>46187</v>
      </c>
      <c r="C7514" s="122" t="str">
        <f>IFERROR(__xludf.DUMMYFUNCTION("""COMPUTED_VALUE"""),"BATT")</f>
        <v>BATT</v>
      </c>
      <c r="D7514" s="122" t="str">
        <f>IFERROR(__xludf.DUMMYFUNCTION("""COMPUTED_VALUE"""),"BatteryBox")</f>
        <v>BatteryBox</v>
      </c>
      <c r="E7514" s="122">
        <f>IFERROR(__xludf.DUMMYFUNCTION("""COMPUTED_VALUE"""),122.56)</f>
        <v>122.56</v>
      </c>
      <c r="F7514" s="122">
        <f>IFERROR(__xludf.DUMMYFUNCTION("""COMPUTED_VALUE"""),-0.0041)</f>
        <v>-0.0041</v>
      </c>
    </row>
    <row r="7515">
      <c r="A7515" s="131">
        <f>IFERROR(__xludf.DUMMYFUNCTION("""COMPUTED_VALUE"""),46187.602175925924)</f>
        <v>46187.60218</v>
      </c>
      <c r="B7515" s="126">
        <f>IFERROR(__xludf.DUMMYFUNCTION("""COMPUTED_VALUE"""),46187.0)</f>
        <v>46187</v>
      </c>
      <c r="C7515" s="122" t="str">
        <f>IFERROR(__xludf.DUMMYFUNCTION("""COMPUTED_VALUE"""),"WIND")</f>
        <v>WIND</v>
      </c>
      <c r="D7515" s="122" t="str">
        <f>IFERROR(__xludf.DUMMYFUNCTION("""COMPUTED_VALUE"""),"WindWorks")</f>
        <v>WindWorks</v>
      </c>
      <c r="E7515" s="122">
        <f>IFERROR(__xludf.DUMMYFUNCTION("""COMPUTED_VALUE"""),86.17)</f>
        <v>86.17</v>
      </c>
      <c r="F7515" s="122">
        <f>IFERROR(__xludf.DUMMYFUNCTION("""COMPUTED_VALUE"""),-0.0025)</f>
        <v>-0.0025</v>
      </c>
    </row>
    <row r="7516">
      <c r="A7516" s="131">
        <f>IFERROR(__xludf.DUMMYFUNCTION("""COMPUTED_VALUE"""),46187.602175925924)</f>
        <v>46187.60218</v>
      </c>
      <c r="B7516" s="126">
        <f>IFERROR(__xludf.DUMMYFUNCTION("""COMPUTED_VALUE"""),46187.0)</f>
        <v>46187</v>
      </c>
      <c r="C7516" s="122" t="str">
        <f>IFERROR(__xludf.DUMMYFUNCTION("""COMPUTED_VALUE"""),"GRID")</f>
        <v>GRID</v>
      </c>
      <c r="D7516" s="122" t="str">
        <f>IFERROR(__xludf.DUMMYFUNCTION("""COMPUTED_VALUE"""),"GridPower")</f>
        <v>GridPower</v>
      </c>
      <c r="E7516" s="122">
        <f>IFERROR(__xludf.DUMMYFUNCTION("""COMPUTED_VALUE"""),128.95)</f>
        <v>128.95</v>
      </c>
      <c r="F7516" s="122">
        <f>IFERROR(__xludf.DUMMYFUNCTION("""COMPUTED_VALUE"""),-0.0065)</f>
        <v>-0.0065</v>
      </c>
    </row>
    <row r="7517">
      <c r="A7517" s="131">
        <f>IFERROR(__xludf.DUMMYFUNCTION("""COMPUTED_VALUE"""),46187.602175925924)</f>
        <v>46187.60218</v>
      </c>
      <c r="B7517" s="126">
        <f>IFERROR(__xludf.DUMMYFUNCTION("""COMPUTED_VALUE"""),46187.0)</f>
        <v>46187</v>
      </c>
      <c r="C7517" s="122" t="str">
        <f>IFERROR(__xludf.DUMMYFUNCTION("""COMPUTED_VALUE"""),"HOME")</f>
        <v>HOME</v>
      </c>
      <c r="D7517" s="122" t="str">
        <f>IFERROR(__xludf.DUMMYFUNCTION("""COMPUTED_VALUE"""),"HomeHub")</f>
        <v>HomeHub</v>
      </c>
      <c r="E7517" s="122">
        <f>IFERROR(__xludf.DUMMYFUNCTION("""COMPUTED_VALUE"""),158.09)</f>
        <v>158.09</v>
      </c>
      <c r="F7517" s="122">
        <f>IFERROR(__xludf.DUMMYFUNCTION("""COMPUTED_VALUE"""),0.0037)</f>
        <v>0.0037</v>
      </c>
    </row>
    <row r="7518">
      <c r="A7518" s="131">
        <f>IFERROR(__xludf.DUMMYFUNCTION("""COMPUTED_VALUE"""),46187.602175925924)</f>
        <v>46187.60218</v>
      </c>
      <c r="B7518" s="126">
        <f>IFERROR(__xludf.DUMMYFUNCTION("""COMPUTED_VALUE"""),46187.0)</f>
        <v>46187</v>
      </c>
      <c r="C7518" s="122" t="str">
        <f>IFERROR(__xludf.DUMMYFUNCTION("""COMPUTED_VALUE"""),"RENT")</f>
        <v>RENT</v>
      </c>
      <c r="D7518" s="122" t="str">
        <f>IFERROR(__xludf.DUMMYFUNCTION("""COMPUTED_VALUE"""),"RentRight")</f>
        <v>RentRight</v>
      </c>
      <c r="E7518" s="122">
        <f>IFERROR(__xludf.DUMMYFUNCTION("""COMPUTED_VALUE"""),90.81)</f>
        <v>90.81</v>
      </c>
      <c r="F7518" s="122">
        <f>IFERROR(__xludf.DUMMYFUNCTION("""COMPUTED_VALUE"""),-0.0032)</f>
        <v>-0.0032</v>
      </c>
    </row>
    <row r="7519">
      <c r="A7519" s="131">
        <f>IFERROR(__xludf.DUMMYFUNCTION("""COMPUTED_VALUE"""),46187.602175925924)</f>
        <v>46187.60218</v>
      </c>
      <c r="B7519" s="126">
        <f>IFERROR(__xludf.DUMMYFUNCTION("""COMPUTED_VALUE"""),46187.0)</f>
        <v>46187</v>
      </c>
      <c r="C7519" s="122" t="str">
        <f>IFERROR(__xludf.DUMMYFUNCTION("""COMPUTED_VALUE"""),"MALL")</f>
        <v>MALL</v>
      </c>
      <c r="D7519" s="122" t="str">
        <f>IFERROR(__xludf.DUMMYFUNCTION("""COMPUTED_VALUE"""),"MegaMall")</f>
        <v>MegaMall</v>
      </c>
      <c r="E7519" s="122">
        <f>IFERROR(__xludf.DUMMYFUNCTION("""COMPUTED_VALUE"""),101.64)</f>
        <v>101.64</v>
      </c>
      <c r="F7519" s="122">
        <f>IFERROR(__xludf.DUMMYFUNCTION("""COMPUTED_VALUE"""),-0.0061)</f>
        <v>-0.0061</v>
      </c>
    </row>
    <row r="7520">
      <c r="A7520" s="131">
        <f>IFERROR(__xludf.DUMMYFUNCTION("""COMPUTED_VALUE"""),46187.602175925924)</f>
        <v>46187.60218</v>
      </c>
      <c r="B7520" s="126">
        <f>IFERROR(__xludf.DUMMYFUNCTION("""COMPUTED_VALUE"""),46187.0)</f>
        <v>46187</v>
      </c>
      <c r="C7520" s="122" t="str">
        <f>IFERROR(__xludf.DUMMYFUNCTION("""COMPUTED_VALUE"""),"HOTL")</f>
        <v>HOTL</v>
      </c>
      <c r="D7520" s="122" t="str">
        <f>IFERROR(__xludf.DUMMYFUNCTION("""COMPUTED_VALUE"""),"HotelHive")</f>
        <v>HotelHive</v>
      </c>
      <c r="E7520" s="122">
        <f>IFERROR(__xludf.DUMMYFUNCTION("""COMPUTED_VALUE"""),124.36)</f>
        <v>124.36</v>
      </c>
      <c r="F7520" s="122">
        <f>IFERROR(__xludf.DUMMYFUNCTION("""COMPUTED_VALUE"""),-0.0022)</f>
        <v>-0.0022</v>
      </c>
    </row>
    <row r="7521">
      <c r="A7521" s="131">
        <f>IFERROR(__xludf.DUMMYFUNCTION("""COMPUTED_VALUE"""),46187.602175925924)</f>
        <v>46187.60218</v>
      </c>
      <c r="B7521" s="126">
        <f>IFERROR(__xludf.DUMMYFUNCTION("""COMPUTED_VALUE"""),46187.0)</f>
        <v>46187</v>
      </c>
      <c r="C7521" s="122" t="str">
        <f>IFERROR(__xludf.DUMMYFUNCTION("""COMPUTED_VALUE"""),"LAND")</f>
        <v>LAND</v>
      </c>
      <c r="D7521" s="122" t="str">
        <f>IFERROR(__xludf.DUMMYFUNCTION("""COMPUTED_VALUE"""),"LandLink")</f>
        <v>LandLink</v>
      </c>
      <c r="E7521" s="122">
        <f>IFERROR(__xludf.DUMMYFUNCTION("""COMPUTED_VALUE"""),187.63)</f>
        <v>187.63</v>
      </c>
      <c r="F7521" s="122">
        <f>IFERROR(__xludf.DUMMYFUNCTION("""COMPUTED_VALUE"""),0.0026)</f>
        <v>0.0026</v>
      </c>
    </row>
    <row r="7522">
      <c r="A7522" s="131">
        <f>IFERROR(__xludf.DUMMYFUNCTION("""COMPUTED_VALUE"""),46187.602175925924)</f>
        <v>46187.60218</v>
      </c>
      <c r="B7522" s="126">
        <f>IFERROR(__xludf.DUMMYFUNCTION("""COMPUTED_VALUE"""),46187.0)</f>
        <v>46187</v>
      </c>
      <c r="C7522" s="122" t="str">
        <f>IFERROR(__xludf.DUMMYFUNCTION("""COMPUTED_VALUE"""),"CARS")</f>
        <v>CARS</v>
      </c>
      <c r="D7522" s="122" t="str">
        <f>IFERROR(__xludf.DUMMYFUNCTION("""COMPUTED_VALUE"""),"AutoArena")</f>
        <v>AutoArena</v>
      </c>
      <c r="E7522" s="122">
        <f>IFERROR(__xludf.DUMMYFUNCTION("""COMPUTED_VALUE"""),81.36)</f>
        <v>81.36</v>
      </c>
      <c r="F7522" s="122">
        <f>IFERROR(__xludf.DUMMYFUNCTION("""COMPUTED_VALUE"""),0.0038)</f>
        <v>0.0038</v>
      </c>
    </row>
    <row r="7523">
      <c r="A7523" s="131">
        <f>IFERROR(__xludf.DUMMYFUNCTION("""COMPUTED_VALUE"""),46187.602175925924)</f>
        <v>46187.60218</v>
      </c>
      <c r="B7523" s="126">
        <f>IFERROR(__xludf.DUMMYFUNCTION("""COMPUTED_VALUE"""),46187.0)</f>
        <v>46187</v>
      </c>
      <c r="C7523" s="122" t="str">
        <f>IFERROR(__xludf.DUMMYFUNCTION("""COMPUTED_VALUE"""),"EVGO")</f>
        <v>EVGO</v>
      </c>
      <c r="D7523" s="122" t="str">
        <f>IFERROR(__xludf.DUMMYFUNCTION("""COMPUTED_VALUE"""),"EVGo Motors")</f>
        <v>EVGo Motors</v>
      </c>
      <c r="E7523" s="122">
        <f>IFERROR(__xludf.DUMMYFUNCTION("""COMPUTED_VALUE"""),188.51)</f>
        <v>188.51</v>
      </c>
      <c r="F7523" s="122">
        <f>IFERROR(__xludf.DUMMYFUNCTION("""COMPUTED_VALUE"""),0.0079)</f>
        <v>0.0079</v>
      </c>
    </row>
    <row r="7524">
      <c r="A7524" s="131">
        <f>IFERROR(__xludf.DUMMYFUNCTION("""COMPUTED_VALUE"""),46187.602175925924)</f>
        <v>46187.60218</v>
      </c>
      <c r="B7524" s="126">
        <f>IFERROR(__xludf.DUMMYFUNCTION("""COMPUTED_VALUE"""),46187.0)</f>
        <v>46187</v>
      </c>
      <c r="C7524" s="122" t="str">
        <f>IFERROR(__xludf.DUMMYFUNCTION("""COMPUTED_VALUE"""),"TIRE")</f>
        <v>TIRE</v>
      </c>
      <c r="D7524" s="122" t="str">
        <f>IFERROR(__xludf.DUMMYFUNCTION("""COMPUTED_VALUE"""),"TireTown")</f>
        <v>TireTown</v>
      </c>
      <c r="E7524" s="122">
        <f>IFERROR(__xludf.DUMMYFUNCTION("""COMPUTED_VALUE"""),97.07)</f>
        <v>97.07</v>
      </c>
      <c r="F7524" s="122">
        <f>IFERROR(__xludf.DUMMYFUNCTION("""COMPUTED_VALUE"""),0.0054)</f>
        <v>0.0054</v>
      </c>
    </row>
    <row r="7525">
      <c r="A7525" s="131">
        <f>IFERROR(__xludf.DUMMYFUNCTION("""COMPUTED_VALUE"""),46187.602175925924)</f>
        <v>46187.60218</v>
      </c>
      <c r="B7525" s="126">
        <f>IFERROR(__xludf.DUMMYFUNCTION("""COMPUTED_VALUE"""),46187.0)</f>
        <v>46187</v>
      </c>
      <c r="C7525" s="122" t="str">
        <f>IFERROR(__xludf.DUMMYFUNCTION("""COMPUTED_VALUE"""),"BIKE")</f>
        <v>BIKE</v>
      </c>
      <c r="D7525" s="122" t="str">
        <f>IFERROR(__xludf.DUMMYFUNCTION("""COMPUTED_VALUE"""),"BikeBox")</f>
        <v>BikeBox</v>
      </c>
      <c r="E7525" s="122">
        <f>IFERROR(__xludf.DUMMYFUNCTION("""COMPUTED_VALUE"""),52.99)</f>
        <v>52.99</v>
      </c>
      <c r="F7525" s="122">
        <f>IFERROR(__xludf.DUMMYFUNCTION("""COMPUTED_VALUE"""),-6.0E-4)</f>
        <v>-0.0006</v>
      </c>
    </row>
    <row r="7526">
      <c r="A7526" s="131">
        <f>IFERROR(__xludf.DUMMYFUNCTION("""COMPUTED_VALUE"""),46187.602175925924)</f>
        <v>46187.60218</v>
      </c>
      <c r="B7526" s="126">
        <f>IFERROR(__xludf.DUMMYFUNCTION("""COMPUTED_VALUE"""),46187.0)</f>
        <v>46187</v>
      </c>
      <c r="C7526" s="122" t="str">
        <f>IFERROR(__xludf.DUMMYFUNCTION("""COMPUTED_VALUE"""),"WASH")</f>
        <v>WASH</v>
      </c>
      <c r="D7526" s="122" t="str">
        <f>IFERROR(__xludf.DUMMYFUNCTION("""COMPUTED_VALUE"""),"CarWash Co")</f>
        <v>CarWash Co</v>
      </c>
      <c r="E7526" s="122">
        <f>IFERROR(__xludf.DUMMYFUNCTION("""COMPUTED_VALUE"""),121.39)</f>
        <v>121.39</v>
      </c>
      <c r="F7526" s="122">
        <f>IFERROR(__xludf.DUMMYFUNCTION("""COMPUTED_VALUE"""),-0.0011)</f>
        <v>-0.0011</v>
      </c>
    </row>
    <row r="7527">
      <c r="A7527" s="131">
        <f>IFERROR(__xludf.DUMMYFUNCTION("""COMPUTED_VALUE"""),46187.602175925924)</f>
        <v>46187.60218</v>
      </c>
      <c r="B7527" s="126">
        <f>IFERROR(__xludf.DUMMYFUNCTION("""COMPUTED_VALUE"""),46187.0)</f>
        <v>46187</v>
      </c>
      <c r="C7527" s="122" t="str">
        <f>IFERROR(__xludf.DUMMYFUNCTION("""COMPUTED_VALUE"""),"GBND")</f>
        <v>GBND</v>
      </c>
      <c r="D7527" s="122" t="str">
        <f>IFERROR(__xludf.DUMMYFUNCTION("""COMPUTED_VALUE"""),"Classroom Government Bond")</f>
        <v>Classroom Government Bond</v>
      </c>
      <c r="E7527" s="122">
        <f>IFERROR(__xludf.DUMMYFUNCTION("""COMPUTED_VALUE"""),101.09)</f>
        <v>101.09</v>
      </c>
      <c r="F7527" s="122">
        <f>IFERROR(__xludf.DUMMYFUNCTION("""COMPUTED_VALUE"""),1.0E-4)</f>
        <v>0.0001</v>
      </c>
    </row>
    <row r="7528">
      <c r="A7528" s="131">
        <f>IFERROR(__xludf.DUMMYFUNCTION("""COMPUTED_VALUE"""),46187.602175925924)</f>
        <v>46187.60218</v>
      </c>
      <c r="B7528" s="126">
        <f>IFERROR(__xludf.DUMMYFUNCTION("""COMPUTED_VALUE"""),46187.0)</f>
        <v>46187</v>
      </c>
      <c r="C7528" s="122" t="str">
        <f>IFERROR(__xludf.DUMMYFUNCTION("""COMPUTED_VALUE"""),"SBND")</f>
        <v>SBND</v>
      </c>
      <c r="D7528" s="122" t="str">
        <f>IFERROR(__xludf.DUMMYFUNCTION("""COMPUTED_VALUE"""),"School Savings Bond")</f>
        <v>School Savings Bond</v>
      </c>
      <c r="E7528" s="122">
        <f>IFERROR(__xludf.DUMMYFUNCTION("""COMPUTED_VALUE"""),99.22)</f>
        <v>99.22</v>
      </c>
      <c r="F7528" s="122">
        <f>IFERROR(__xludf.DUMMYFUNCTION("""COMPUTED_VALUE"""),-3.0E-4)</f>
        <v>-0.0003</v>
      </c>
    </row>
    <row r="7529">
      <c r="A7529" s="131">
        <f>IFERROR(__xludf.DUMMYFUNCTION("""COMPUTED_VALUE"""),46187.602175925924)</f>
        <v>46187.60218</v>
      </c>
      <c r="B7529" s="126">
        <f>IFERROR(__xludf.DUMMYFUNCTION("""COMPUTED_VALUE"""),46187.0)</f>
        <v>46187</v>
      </c>
      <c r="C7529" s="122" t="str">
        <f>IFERROR(__xludf.DUMMYFUNCTION("""COMPUTED_VALUE"""),"CBND")</f>
        <v>CBND</v>
      </c>
      <c r="D7529" s="122" t="str">
        <f>IFERROR(__xludf.DUMMYFUNCTION("""COMPUTED_VALUE"""),"Corporate Classroom Bond")</f>
        <v>Corporate Classroom Bond</v>
      </c>
      <c r="E7529" s="122">
        <f>IFERROR(__xludf.DUMMYFUNCTION("""COMPUTED_VALUE"""),97.75)</f>
        <v>97.75</v>
      </c>
      <c r="F7529" s="122">
        <f>IFERROR(__xludf.DUMMYFUNCTION("""COMPUTED_VALUE"""),-3.0E-4)</f>
        <v>-0.0003</v>
      </c>
    </row>
    <row r="7530">
      <c r="A7530" s="131">
        <f>IFERROR(__xludf.DUMMYFUNCTION("""COMPUTED_VALUE"""),46187.602175925924)</f>
        <v>46187.60218</v>
      </c>
      <c r="B7530" s="126">
        <f>IFERROR(__xludf.DUMMYFUNCTION("""COMPUTED_VALUE"""),46187.0)</f>
        <v>46187</v>
      </c>
      <c r="C7530" s="122" t="str">
        <f>IFERROR(__xludf.DUMMYFUNCTION("""COMPUTED_VALUE"""),"TBIL")</f>
        <v>TBIL</v>
      </c>
      <c r="D7530" s="122" t="str">
        <f>IFERROR(__xludf.DUMMYFUNCTION("""COMPUTED_VALUE"""),"Treasury Bill")</f>
        <v>Treasury Bill</v>
      </c>
      <c r="E7530" s="122">
        <f>IFERROR(__xludf.DUMMYFUNCTION("""COMPUTED_VALUE"""),97.69)</f>
        <v>97.69</v>
      </c>
      <c r="F7530" s="122">
        <f>IFERROR(__xludf.DUMMYFUNCTION("""COMPUTED_VALUE"""),-2.0E-4)</f>
        <v>-0.0002</v>
      </c>
    </row>
    <row r="7531">
      <c r="A7531" s="131">
        <f>IFERROR(__xludf.DUMMYFUNCTION("""COMPUTED_VALUE"""),46187.602175925924)</f>
        <v>46187.60218</v>
      </c>
      <c r="B7531" s="126">
        <f>IFERROR(__xludf.DUMMYFUNCTION("""COMPUTED_VALUE"""),46187.0)</f>
        <v>46187</v>
      </c>
      <c r="C7531" s="122" t="str">
        <f>IFERROR(__xludf.DUMMYFUNCTION("""COMPUTED_VALUE"""),"IBND")</f>
        <v>IBND</v>
      </c>
      <c r="D7531" s="122" t="str">
        <f>IFERROR(__xludf.DUMMYFUNCTION("""COMPUTED_VALUE"""),"Inflation Protected Bond")</f>
        <v>Inflation Protected Bond</v>
      </c>
      <c r="E7531" s="122">
        <f>IFERROR(__xludf.DUMMYFUNCTION("""COMPUTED_VALUE"""),100.74)</f>
        <v>100.74</v>
      </c>
      <c r="F7531" s="122">
        <f>IFERROR(__xludf.DUMMYFUNCTION("""COMPUTED_VALUE"""),-1.0E-4)</f>
        <v>-0.0001</v>
      </c>
    </row>
    <row r="7532">
      <c r="A7532" s="131">
        <f>IFERROR(__xludf.DUMMYFUNCTION("""COMPUTED_VALUE"""),46187.605729166666)</f>
        <v>46187.60573</v>
      </c>
      <c r="B7532" s="126">
        <f>IFERROR(__xludf.DUMMYFUNCTION("""COMPUTED_VALUE"""),46187.0)</f>
        <v>46187</v>
      </c>
      <c r="C7532" s="122" t="str">
        <f>IFERROR(__xludf.DUMMYFUNCTION("""COMPUTED_VALUE"""),"SNAX")</f>
        <v>SNAX</v>
      </c>
      <c r="D7532" s="122" t="str">
        <f>IFERROR(__xludf.DUMMYFUNCTION("""COMPUTED_VALUE"""),"MICA Snacks")</f>
        <v>MICA Snacks</v>
      </c>
      <c r="E7532" s="122">
        <f>IFERROR(__xludf.DUMMYFUNCTION("""COMPUTED_VALUE"""),122.12)</f>
        <v>122.12</v>
      </c>
      <c r="F7532" s="122">
        <f>IFERROR(__xludf.DUMMYFUNCTION("""COMPUTED_VALUE"""),-0.0042)</f>
        <v>-0.0042</v>
      </c>
    </row>
    <row r="7533">
      <c r="A7533" s="131">
        <f>IFERROR(__xludf.DUMMYFUNCTION("""COMPUTED_VALUE"""),46187.605729166666)</f>
        <v>46187.60573</v>
      </c>
      <c r="B7533" s="126">
        <f>IFERROR(__xludf.DUMMYFUNCTION("""COMPUTED_VALUE"""),46187.0)</f>
        <v>46187</v>
      </c>
      <c r="C7533" s="122" t="str">
        <f>IFERROR(__xludf.DUMMYFUNCTION("""COMPUTED_VALUE"""),"RAMN")</f>
        <v>RAMN</v>
      </c>
      <c r="D7533" s="122" t="str">
        <f>IFERROR(__xludf.DUMMYFUNCTION("""COMPUTED_VALUE"""),"Ramen Republic")</f>
        <v>Ramen Republic</v>
      </c>
      <c r="E7533" s="122">
        <f>IFERROR(__xludf.DUMMYFUNCTION("""COMPUTED_VALUE"""),63.64)</f>
        <v>63.64</v>
      </c>
      <c r="F7533" s="122">
        <f>IFERROR(__xludf.DUMMYFUNCTION("""COMPUTED_VALUE"""),-0.0028)</f>
        <v>-0.0028</v>
      </c>
    </row>
    <row r="7534">
      <c r="A7534" s="131">
        <f>IFERROR(__xludf.DUMMYFUNCTION("""COMPUTED_VALUE"""),46187.605729166666)</f>
        <v>46187.60573</v>
      </c>
      <c r="B7534" s="126">
        <f>IFERROR(__xludf.DUMMYFUNCTION("""COMPUTED_VALUE"""),46187.0)</f>
        <v>46187</v>
      </c>
      <c r="C7534" s="122" t="str">
        <f>IFERROR(__xludf.DUMMYFUNCTION("""COMPUTED_VALUE"""),"COLA")</f>
        <v>COLA</v>
      </c>
      <c r="D7534" s="122" t="str">
        <f>IFERROR(__xludf.DUMMYFUNCTION("""COMPUTED_VALUE"""),"K-Pop Cola")</f>
        <v>K-Pop Cola</v>
      </c>
      <c r="E7534" s="122">
        <f>IFERROR(__xludf.DUMMYFUNCTION("""COMPUTED_VALUE"""),113.39)</f>
        <v>113.39</v>
      </c>
      <c r="F7534" s="122">
        <f>IFERROR(__xludf.DUMMYFUNCTION("""COMPUTED_VALUE"""),-0.0052)</f>
        <v>-0.0052</v>
      </c>
    </row>
    <row r="7535">
      <c r="A7535" s="131">
        <f>IFERROR(__xludf.DUMMYFUNCTION("""COMPUTED_VALUE"""),46187.605729166666)</f>
        <v>46187.60573</v>
      </c>
      <c r="B7535" s="126">
        <f>IFERROR(__xludf.DUMMYFUNCTION("""COMPUTED_VALUE"""),46187.0)</f>
        <v>46187</v>
      </c>
      <c r="C7535" s="122" t="str">
        <f>IFERROR(__xludf.DUMMYFUNCTION("""COMPUTED_VALUE"""),"CHIP")</f>
        <v>CHIP</v>
      </c>
      <c r="D7535" s="122" t="str">
        <f>IFERROR(__xludf.DUMMYFUNCTION("""COMPUTED_VALUE"""),"Chip Empire")</f>
        <v>Chip Empire</v>
      </c>
      <c r="E7535" s="122">
        <f>IFERROR(__xludf.DUMMYFUNCTION("""COMPUTED_VALUE"""),82.36)</f>
        <v>82.36</v>
      </c>
      <c r="F7535" s="122">
        <f>IFERROR(__xludf.DUMMYFUNCTION("""COMPUTED_VALUE"""),0.0043)</f>
        <v>0.0043</v>
      </c>
    </row>
    <row r="7536">
      <c r="A7536" s="131">
        <f>IFERROR(__xludf.DUMMYFUNCTION("""COMPUTED_VALUE"""),46187.605729166666)</f>
        <v>46187.60573</v>
      </c>
      <c r="B7536" s="126">
        <f>IFERROR(__xludf.DUMMYFUNCTION("""COMPUTED_VALUE"""),46187.0)</f>
        <v>46187</v>
      </c>
      <c r="C7536" s="122" t="str">
        <f>IFERROR(__xludf.DUMMYFUNCTION("""COMPUTED_VALUE"""),"CAND")</f>
        <v>CAND</v>
      </c>
      <c r="D7536" s="122" t="str">
        <f>IFERROR(__xludf.DUMMYFUNCTION("""COMPUTED_VALUE"""),"Candy Capital")</f>
        <v>Candy Capital</v>
      </c>
      <c r="E7536" s="122">
        <f>IFERROR(__xludf.DUMMYFUNCTION("""COMPUTED_VALUE"""),78.04)</f>
        <v>78.04</v>
      </c>
      <c r="F7536" s="122">
        <f>IFERROR(__xludf.DUMMYFUNCTION("""COMPUTED_VALUE"""),0.0091)</f>
        <v>0.0091</v>
      </c>
    </row>
    <row r="7537">
      <c r="A7537" s="131">
        <f>IFERROR(__xludf.DUMMYFUNCTION("""COMPUTED_VALUE"""),46187.605729166666)</f>
        <v>46187.60573</v>
      </c>
      <c r="B7537" s="126">
        <f>IFERROR(__xludf.DUMMYFUNCTION("""COMPUTED_VALUE"""),46187.0)</f>
        <v>46187</v>
      </c>
      <c r="C7537" s="122" t="str">
        <f>IFERROR(__xludf.DUMMYFUNCTION("""COMPUTED_VALUE"""),"TECH")</f>
        <v>TECH</v>
      </c>
      <c r="D7537" s="122" t="str">
        <f>IFERROR(__xludf.DUMMYFUNCTION("""COMPUTED_VALUE"""),"Dragon Tech")</f>
        <v>Dragon Tech</v>
      </c>
      <c r="E7537" s="122">
        <f>IFERROR(__xludf.DUMMYFUNCTION("""COMPUTED_VALUE"""),254.66)</f>
        <v>254.66</v>
      </c>
      <c r="F7537" s="122">
        <f>IFERROR(__xludf.DUMMYFUNCTION("""COMPUTED_VALUE"""),0.005)</f>
        <v>0.005</v>
      </c>
    </row>
    <row r="7538">
      <c r="A7538" s="131">
        <f>IFERROR(__xludf.DUMMYFUNCTION("""COMPUTED_VALUE"""),46187.605729166666)</f>
        <v>46187.60573</v>
      </c>
      <c r="B7538" s="126">
        <f>IFERROR(__xludf.DUMMYFUNCTION("""COMPUTED_VALUE"""),46187.0)</f>
        <v>46187</v>
      </c>
      <c r="C7538" s="122" t="str">
        <f>IFERROR(__xludf.DUMMYFUNCTION("""COMPUTED_VALUE"""),"AIBO")</f>
        <v>AIBO</v>
      </c>
      <c r="D7538" s="122" t="str">
        <f>IFERROR(__xludf.DUMMYFUNCTION("""COMPUTED_VALUE"""),"Homework AI")</f>
        <v>Homework AI</v>
      </c>
      <c r="E7538" s="122">
        <f>IFERROR(__xludf.DUMMYFUNCTION("""COMPUTED_VALUE"""),190.59)</f>
        <v>190.59</v>
      </c>
      <c r="F7538" s="122">
        <f>IFERROR(__xludf.DUMMYFUNCTION("""COMPUTED_VALUE"""),0.0102)</f>
        <v>0.0102</v>
      </c>
    </row>
    <row r="7539">
      <c r="A7539" s="131">
        <f>IFERROR(__xludf.DUMMYFUNCTION("""COMPUTED_VALUE"""),46187.605729166666)</f>
        <v>46187.60573</v>
      </c>
      <c r="B7539" s="126">
        <f>IFERROR(__xludf.DUMMYFUNCTION("""COMPUTED_VALUE"""),46187.0)</f>
        <v>46187</v>
      </c>
      <c r="C7539" s="122" t="str">
        <f>IFERROR(__xludf.DUMMYFUNCTION("""COMPUTED_VALUE"""),"GAME")</f>
        <v>GAME</v>
      </c>
      <c r="D7539" s="122" t="str">
        <f>IFERROR(__xludf.DUMMYFUNCTION("""COMPUTED_VALUE"""),"GameBox Media")</f>
        <v>GameBox Media</v>
      </c>
      <c r="E7539" s="122">
        <f>IFERROR(__xludf.DUMMYFUNCTION("""COMPUTED_VALUE"""),102.41)</f>
        <v>102.41</v>
      </c>
      <c r="F7539" s="122">
        <f>IFERROR(__xludf.DUMMYFUNCTION("""COMPUTED_VALUE"""),0.0046)</f>
        <v>0.0046</v>
      </c>
    </row>
    <row r="7540">
      <c r="A7540" s="131">
        <f>IFERROR(__xludf.DUMMYFUNCTION("""COMPUTED_VALUE"""),46187.605729166666)</f>
        <v>46187.60573</v>
      </c>
      <c r="B7540" s="126">
        <f>IFERROR(__xludf.DUMMYFUNCTION("""COMPUTED_VALUE"""),46187.0)</f>
        <v>46187</v>
      </c>
      <c r="C7540" s="122" t="str">
        <f>IFERROR(__xludf.DUMMYFUNCTION("""COMPUTED_VALUE"""),"VRSE")</f>
        <v>VRSE</v>
      </c>
      <c r="D7540" s="122" t="str">
        <f>IFERROR(__xludf.DUMMYFUNCTION("""COMPUTED_VALUE"""),"VerseVR")</f>
        <v>VerseVR</v>
      </c>
      <c r="E7540" s="122">
        <f>IFERROR(__xludf.DUMMYFUNCTION("""COMPUTED_VALUE"""),148.14)</f>
        <v>148.14</v>
      </c>
      <c r="F7540" s="122">
        <f>IFERROR(__xludf.DUMMYFUNCTION("""COMPUTED_VALUE"""),-0.0016)</f>
        <v>-0.0016</v>
      </c>
    </row>
    <row r="7541">
      <c r="A7541" s="131">
        <f>IFERROR(__xludf.DUMMYFUNCTION("""COMPUTED_VALUE"""),46187.605729166666)</f>
        <v>46187.60573</v>
      </c>
      <c r="B7541" s="126">
        <f>IFERROR(__xludf.DUMMYFUNCTION("""COMPUTED_VALUE"""),46187.0)</f>
        <v>46187</v>
      </c>
      <c r="C7541" s="122" t="str">
        <f>IFERROR(__xludf.DUMMYFUNCTION("""COMPUTED_VALUE"""),"BYTE")</f>
        <v>BYTE</v>
      </c>
      <c r="D7541" s="122" t="str">
        <f>IFERROR(__xludf.DUMMYFUNCTION("""COMPUTED_VALUE"""),"ByteWorks")</f>
        <v>ByteWorks</v>
      </c>
      <c r="E7541" s="122">
        <f>IFERROR(__xludf.DUMMYFUNCTION("""COMPUTED_VALUE"""),115.71)</f>
        <v>115.71</v>
      </c>
      <c r="F7541" s="122">
        <f>IFERROR(__xludf.DUMMYFUNCTION("""COMPUTED_VALUE"""),-0.0025)</f>
        <v>-0.0025</v>
      </c>
    </row>
    <row r="7542">
      <c r="A7542" s="131">
        <f>IFERROR(__xludf.DUMMYFUNCTION("""COMPUTED_VALUE"""),46187.605729166666)</f>
        <v>46187.60573</v>
      </c>
      <c r="B7542" s="126">
        <f>IFERROR(__xludf.DUMMYFUNCTION("""COMPUTED_VALUE"""),46187.0)</f>
        <v>46187</v>
      </c>
      <c r="C7542" s="122" t="str">
        <f>IFERROR(__xludf.DUMMYFUNCTION("""COMPUTED_VALUE"""),"BANK")</f>
        <v>BANK</v>
      </c>
      <c r="D7542" s="122" t="str">
        <f>IFERROR(__xludf.DUMMYFUNCTION("""COMPUTED_VALUE"""),"Tiger Bank")</f>
        <v>Tiger Bank</v>
      </c>
      <c r="E7542" s="122">
        <f>IFERROR(__xludf.DUMMYFUNCTION("""COMPUTED_VALUE"""),131.86)</f>
        <v>131.86</v>
      </c>
      <c r="F7542" s="122">
        <f>IFERROR(__xludf.DUMMYFUNCTION("""COMPUTED_VALUE"""),0.0026)</f>
        <v>0.0026</v>
      </c>
    </row>
    <row r="7543">
      <c r="A7543" s="131">
        <f>IFERROR(__xludf.DUMMYFUNCTION("""COMPUTED_VALUE"""),46187.605729166666)</f>
        <v>46187.60573</v>
      </c>
      <c r="B7543" s="126">
        <f>IFERROR(__xludf.DUMMYFUNCTION("""COMPUTED_VALUE"""),46187.0)</f>
        <v>46187</v>
      </c>
      <c r="C7543" s="122" t="str">
        <f>IFERROR(__xludf.DUMMYFUNCTION("""COMPUTED_VALUE"""),"CRED")</f>
        <v>CRED</v>
      </c>
      <c r="D7543" s="122" t="str">
        <f>IFERROR(__xludf.DUMMYFUNCTION("""COMPUTED_VALUE"""),"Credit Castle")</f>
        <v>Credit Castle</v>
      </c>
      <c r="E7543" s="122">
        <f>IFERROR(__xludf.DUMMYFUNCTION("""COMPUTED_VALUE"""),66.73)</f>
        <v>66.73</v>
      </c>
      <c r="F7543" s="122">
        <f>IFERROR(__xludf.DUMMYFUNCTION("""COMPUTED_VALUE"""),0.005)</f>
        <v>0.005</v>
      </c>
    </row>
    <row r="7544">
      <c r="A7544" s="131">
        <f>IFERROR(__xludf.DUMMYFUNCTION("""COMPUTED_VALUE"""),46187.605729166666)</f>
        <v>46187.60573</v>
      </c>
      <c r="B7544" s="126">
        <f>IFERROR(__xludf.DUMMYFUNCTION("""COMPUTED_VALUE"""),46187.0)</f>
        <v>46187</v>
      </c>
      <c r="C7544" s="122" t="str">
        <f>IFERROR(__xludf.DUMMYFUNCTION("""COMPUTED_VALUE"""),"BOND")</f>
        <v>BOND</v>
      </c>
      <c r="D7544" s="122" t="str">
        <f>IFERROR(__xludf.DUMMYFUNCTION("""COMPUTED_VALUE"""),"BondBridge")</f>
        <v>BondBridge</v>
      </c>
      <c r="E7544" s="122">
        <f>IFERROR(__xludf.DUMMYFUNCTION("""COMPUTED_VALUE"""),104.35)</f>
        <v>104.35</v>
      </c>
      <c r="F7544" s="122">
        <f>IFERROR(__xludf.DUMMYFUNCTION("""COMPUTED_VALUE"""),9.0E-4)</f>
        <v>0.0009</v>
      </c>
    </row>
    <row r="7545">
      <c r="A7545" s="131">
        <f>IFERROR(__xludf.DUMMYFUNCTION("""COMPUTED_VALUE"""),46187.605729166666)</f>
        <v>46187.60573</v>
      </c>
      <c r="B7545" s="126">
        <f>IFERROR(__xludf.DUMMYFUNCTION("""COMPUTED_VALUE"""),46187.0)</f>
        <v>46187</v>
      </c>
      <c r="C7545" s="122" t="str">
        <f>IFERROR(__xludf.DUMMYFUNCTION("""COMPUTED_VALUE"""),"INSR")</f>
        <v>INSR</v>
      </c>
      <c r="D7545" s="122" t="str">
        <f>IFERROR(__xludf.DUMMYFUNCTION("""COMPUTED_VALUE"""),"Shield Insurance")</f>
        <v>Shield Insurance</v>
      </c>
      <c r="E7545" s="122">
        <f>IFERROR(__xludf.DUMMYFUNCTION("""COMPUTED_VALUE"""),156.72)</f>
        <v>156.72</v>
      </c>
      <c r="F7545" s="122">
        <f>IFERROR(__xludf.DUMMYFUNCTION("""COMPUTED_VALUE"""),-0.0025)</f>
        <v>-0.0025</v>
      </c>
    </row>
    <row r="7546">
      <c r="A7546" s="131">
        <f>IFERROR(__xludf.DUMMYFUNCTION("""COMPUTED_VALUE"""),46187.605729166666)</f>
        <v>46187.60573</v>
      </c>
      <c r="B7546" s="126">
        <f>IFERROR(__xludf.DUMMYFUNCTION("""COMPUTED_VALUE"""),46187.0)</f>
        <v>46187</v>
      </c>
      <c r="C7546" s="122" t="str">
        <f>IFERROR(__xludf.DUMMYFUNCTION("""COMPUTED_VALUE"""),"LOAN")</f>
        <v>LOAN</v>
      </c>
      <c r="D7546" s="122" t="str">
        <f>IFERROR(__xludf.DUMMYFUNCTION("""COMPUTED_VALUE"""),"LoanLab")</f>
        <v>LoanLab</v>
      </c>
      <c r="E7546" s="122">
        <f>IFERROR(__xludf.DUMMYFUNCTION("""COMPUTED_VALUE"""),70.6)</f>
        <v>70.6</v>
      </c>
      <c r="F7546" s="122">
        <f>IFERROR(__xludf.DUMMYFUNCTION("""COMPUTED_VALUE"""),0.0018)</f>
        <v>0.0018</v>
      </c>
    </row>
    <row r="7547">
      <c r="A7547" s="131">
        <f>IFERROR(__xludf.DUMMYFUNCTION("""COMPUTED_VALUE"""),46187.605729166666)</f>
        <v>46187.60573</v>
      </c>
      <c r="B7547" s="126">
        <f>IFERROR(__xludf.DUMMYFUNCTION("""COMPUTED_VALUE"""),46187.0)</f>
        <v>46187</v>
      </c>
      <c r="C7547" s="122" t="str">
        <f>IFERROR(__xludf.DUMMYFUNCTION("""COMPUTED_VALUE"""),"LUXE")</f>
        <v>LUXE</v>
      </c>
      <c r="D7547" s="122" t="str">
        <f>IFERROR(__xludf.DUMMYFUNCTION("""COMPUTED_VALUE"""),"Luxury Locker")</f>
        <v>Luxury Locker</v>
      </c>
      <c r="E7547" s="122">
        <f>IFERROR(__xludf.DUMMYFUNCTION("""COMPUTED_VALUE"""),264.15)</f>
        <v>264.15</v>
      </c>
      <c r="F7547" s="122">
        <f>IFERROR(__xludf.DUMMYFUNCTION("""COMPUTED_VALUE"""),0.0043)</f>
        <v>0.0043</v>
      </c>
    </row>
    <row r="7548">
      <c r="A7548" s="131">
        <f>IFERROR(__xludf.DUMMYFUNCTION("""COMPUTED_VALUE"""),46187.605729166666)</f>
        <v>46187.60573</v>
      </c>
      <c r="B7548" s="126">
        <f>IFERROR(__xludf.DUMMYFUNCTION("""COMPUTED_VALUE"""),46187.0)</f>
        <v>46187</v>
      </c>
      <c r="C7548" s="122" t="str">
        <f>IFERROR(__xludf.DUMMYFUNCTION("""COMPUTED_VALUE"""),"DRIP")</f>
        <v>DRIP</v>
      </c>
      <c r="D7548" s="122" t="str">
        <f>IFERROR(__xludf.DUMMYFUNCTION("""COMPUTED_VALUE"""),"Drip Streetwear")</f>
        <v>Drip Streetwear</v>
      </c>
      <c r="E7548" s="122">
        <f>IFERROR(__xludf.DUMMYFUNCTION("""COMPUTED_VALUE"""),187.66)</f>
        <v>187.66</v>
      </c>
      <c r="F7548" s="122">
        <f>IFERROR(__xludf.DUMMYFUNCTION("""COMPUTED_VALUE"""),-0.005)</f>
        <v>-0.005</v>
      </c>
    </row>
    <row r="7549">
      <c r="A7549" s="131">
        <f>IFERROR(__xludf.DUMMYFUNCTION("""COMPUTED_VALUE"""),46187.605729166666)</f>
        <v>46187.60573</v>
      </c>
      <c r="B7549" s="126">
        <f>IFERROR(__xludf.DUMMYFUNCTION("""COMPUTED_VALUE"""),46187.0)</f>
        <v>46187</v>
      </c>
      <c r="C7549" s="122" t="str">
        <f>IFERROR(__xludf.DUMMYFUNCTION("""COMPUTED_VALUE"""),"KICK")</f>
        <v>KICK</v>
      </c>
      <c r="D7549" s="122" t="str">
        <f>IFERROR(__xludf.DUMMYFUNCTION("""COMPUTED_VALUE"""),"KickDrop Sneakers")</f>
        <v>KickDrop Sneakers</v>
      </c>
      <c r="E7549" s="122">
        <f>IFERROR(__xludf.DUMMYFUNCTION("""COMPUTED_VALUE"""),169.95)</f>
        <v>169.95</v>
      </c>
      <c r="F7549" s="122">
        <f>IFERROR(__xludf.DUMMYFUNCTION("""COMPUTED_VALUE"""),-0.0075)</f>
        <v>-0.0075</v>
      </c>
    </row>
    <row r="7550">
      <c r="A7550" s="131">
        <f>IFERROR(__xludf.DUMMYFUNCTION("""COMPUTED_VALUE"""),46187.605729166666)</f>
        <v>46187.60573</v>
      </c>
      <c r="B7550" s="126">
        <f>IFERROR(__xludf.DUMMYFUNCTION("""COMPUTED_VALUE"""),46187.0)</f>
        <v>46187</v>
      </c>
      <c r="C7550" s="122" t="str">
        <f>IFERROR(__xludf.DUMMYFUNCTION("""COMPUTED_VALUE"""),"GLAM")</f>
        <v>GLAM</v>
      </c>
      <c r="D7550" s="122" t="str">
        <f>IFERROR(__xludf.DUMMYFUNCTION("""COMPUTED_VALUE"""),"Glow Cosmetics")</f>
        <v>Glow Cosmetics</v>
      </c>
      <c r="E7550" s="122">
        <f>IFERROR(__xludf.DUMMYFUNCTION("""COMPUTED_VALUE"""),110.75)</f>
        <v>110.75</v>
      </c>
      <c r="F7550" s="122">
        <f>IFERROR(__xludf.DUMMYFUNCTION("""COMPUTED_VALUE"""),-5.0E-4)</f>
        <v>-0.0005</v>
      </c>
    </row>
    <row r="7551">
      <c r="A7551" s="131">
        <f>IFERROR(__xludf.DUMMYFUNCTION("""COMPUTED_VALUE"""),46187.605729166666)</f>
        <v>46187.60573</v>
      </c>
      <c r="B7551" s="126">
        <f>IFERROR(__xludf.DUMMYFUNCTION("""COMPUTED_VALUE"""),46187.0)</f>
        <v>46187</v>
      </c>
      <c r="C7551" s="122" t="str">
        <f>IFERROR(__xludf.DUMMYFUNCTION("""COMPUTED_VALUE"""),"BAGG")</f>
        <v>BAGG</v>
      </c>
      <c r="D7551" s="122" t="str">
        <f>IFERROR(__xludf.DUMMYFUNCTION("""COMPUTED_VALUE"""),"BagVault")</f>
        <v>BagVault</v>
      </c>
      <c r="E7551" s="122">
        <f>IFERROR(__xludf.DUMMYFUNCTION("""COMPUTED_VALUE"""),276.54)</f>
        <v>276.54</v>
      </c>
      <c r="F7551" s="122">
        <f>IFERROR(__xludf.DUMMYFUNCTION("""COMPUTED_VALUE"""),-3.0E-4)</f>
        <v>-0.0003</v>
      </c>
    </row>
    <row r="7552">
      <c r="A7552" s="131">
        <f>IFERROR(__xludf.DUMMYFUNCTION("""COMPUTED_VALUE"""),46187.605729166666)</f>
        <v>46187.60573</v>
      </c>
      <c r="B7552" s="126">
        <f>IFERROR(__xludf.DUMMYFUNCTION("""COMPUTED_VALUE"""),46187.0)</f>
        <v>46187</v>
      </c>
      <c r="C7552" s="122" t="str">
        <f>IFERROR(__xludf.DUMMYFUNCTION("""COMPUTED_VALUE"""),"FAST")</f>
        <v>FAST</v>
      </c>
      <c r="D7552" s="122" t="str">
        <f>IFERROR(__xludf.DUMMYFUNCTION("""COMPUTED_VALUE"""),"Flash Logistics")</f>
        <v>Flash Logistics</v>
      </c>
      <c r="E7552" s="122">
        <f>IFERROR(__xludf.DUMMYFUNCTION("""COMPUTED_VALUE"""),108.64)</f>
        <v>108.64</v>
      </c>
      <c r="F7552" s="122">
        <f>IFERROR(__xludf.DUMMYFUNCTION("""COMPUTED_VALUE"""),0.0025)</f>
        <v>0.0025</v>
      </c>
    </row>
    <row r="7553">
      <c r="A7553" s="131">
        <f>IFERROR(__xludf.DUMMYFUNCTION("""COMPUTED_VALUE"""),46187.605729166666)</f>
        <v>46187.60573</v>
      </c>
      <c r="B7553" s="126">
        <f>IFERROR(__xludf.DUMMYFUNCTION("""COMPUTED_VALUE"""),46187.0)</f>
        <v>46187</v>
      </c>
      <c r="C7553" s="122" t="str">
        <f>IFERROR(__xludf.DUMMYFUNCTION("""COMPUTED_VALUE"""),"SHIP")</f>
        <v>SHIP</v>
      </c>
      <c r="D7553" s="122" t="str">
        <f>IFERROR(__xludf.DUMMYFUNCTION("""COMPUTED_VALUE"""),"Seoul Shipping")</f>
        <v>Seoul Shipping</v>
      </c>
      <c r="E7553" s="122">
        <f>IFERROR(__xludf.DUMMYFUNCTION("""COMPUTED_VALUE"""),129.88)</f>
        <v>129.88</v>
      </c>
      <c r="F7553" s="122">
        <f>IFERROR(__xludf.DUMMYFUNCTION("""COMPUTED_VALUE"""),-8.0E-4)</f>
        <v>-0.0008</v>
      </c>
    </row>
    <row r="7554">
      <c r="A7554" s="131">
        <f>IFERROR(__xludf.DUMMYFUNCTION("""COMPUTED_VALUE"""),46187.605729166666)</f>
        <v>46187.60573</v>
      </c>
      <c r="B7554" s="126">
        <f>IFERROR(__xludf.DUMMYFUNCTION("""COMPUTED_VALUE"""),46187.0)</f>
        <v>46187</v>
      </c>
      <c r="C7554" s="122" t="str">
        <f>IFERROR(__xludf.DUMMYFUNCTION("""COMPUTED_VALUE"""),"DRON")</f>
        <v>DRON</v>
      </c>
      <c r="D7554" s="122" t="str">
        <f>IFERROR(__xludf.DUMMYFUNCTION("""COMPUTED_VALUE"""),"DroneDrop")</f>
        <v>DroneDrop</v>
      </c>
      <c r="E7554" s="122">
        <f>IFERROR(__xludf.DUMMYFUNCTION("""COMPUTED_VALUE"""),126.19)</f>
        <v>126.19</v>
      </c>
      <c r="F7554" s="122">
        <f>IFERROR(__xludf.DUMMYFUNCTION("""COMPUTED_VALUE"""),0.0076)</f>
        <v>0.0076</v>
      </c>
    </row>
    <row r="7555">
      <c r="A7555" s="131">
        <f>IFERROR(__xludf.DUMMYFUNCTION("""COMPUTED_VALUE"""),46187.605729166666)</f>
        <v>46187.60573</v>
      </c>
      <c r="B7555" s="126">
        <f>IFERROR(__xludf.DUMMYFUNCTION("""COMPUTED_VALUE"""),46187.0)</f>
        <v>46187</v>
      </c>
      <c r="C7555" s="122" t="str">
        <f>IFERROR(__xludf.DUMMYFUNCTION("""COMPUTED_VALUE"""),"RIDE")</f>
        <v>RIDE</v>
      </c>
      <c r="D7555" s="122" t="str">
        <f>IFERROR(__xludf.DUMMYFUNCTION("""COMPUTED_VALUE"""),"QuickRide")</f>
        <v>QuickRide</v>
      </c>
      <c r="E7555" s="122">
        <f>IFERROR(__xludf.DUMMYFUNCTION("""COMPUTED_VALUE"""),103.59)</f>
        <v>103.59</v>
      </c>
      <c r="F7555" s="122">
        <f>IFERROR(__xludf.DUMMYFUNCTION("""COMPUTED_VALUE"""),0.0012)</f>
        <v>0.0012</v>
      </c>
    </row>
    <row r="7556">
      <c r="A7556" s="131">
        <f>IFERROR(__xludf.DUMMYFUNCTION("""COMPUTED_VALUE"""),46187.605729166666)</f>
        <v>46187.60573</v>
      </c>
      <c r="B7556" s="126">
        <f>IFERROR(__xludf.DUMMYFUNCTION("""COMPUTED_VALUE"""),46187.0)</f>
        <v>46187</v>
      </c>
      <c r="C7556" s="122" t="str">
        <f>IFERROR(__xludf.DUMMYFUNCTION("""COMPUTED_VALUE"""),"RAIL")</f>
        <v>RAIL</v>
      </c>
      <c r="D7556" s="122" t="str">
        <f>IFERROR(__xludf.DUMMYFUNCTION("""COMPUTED_VALUE"""),"MetroRail Corp")</f>
        <v>MetroRail Corp</v>
      </c>
      <c r="E7556" s="122">
        <f>IFERROR(__xludf.DUMMYFUNCTION("""COMPUTED_VALUE"""),131.33)</f>
        <v>131.33</v>
      </c>
      <c r="F7556" s="122">
        <f>IFERROR(__xludf.DUMMYFUNCTION("""COMPUTED_VALUE"""),5.0E-4)</f>
        <v>0.0005</v>
      </c>
    </row>
    <row r="7557">
      <c r="A7557" s="131">
        <f>IFERROR(__xludf.DUMMYFUNCTION("""COMPUTED_VALUE"""),46187.605729166666)</f>
        <v>46187.60573</v>
      </c>
      <c r="B7557" s="126">
        <f>IFERROR(__xludf.DUMMYFUNCTION("""COMPUTED_VALUE"""),46187.0)</f>
        <v>46187</v>
      </c>
      <c r="C7557" s="122" t="str">
        <f>IFERROR(__xludf.DUMMYFUNCTION("""COMPUTED_VALUE"""),"MEDX")</f>
        <v>MEDX</v>
      </c>
      <c r="D7557" s="122" t="str">
        <f>IFERROR(__xludf.DUMMYFUNCTION("""COMPUTED_VALUE"""),"MediCore")</f>
        <v>MediCore</v>
      </c>
      <c r="E7557" s="122">
        <f>IFERROR(__xludf.DUMMYFUNCTION("""COMPUTED_VALUE"""),137.8)</f>
        <v>137.8</v>
      </c>
      <c r="F7557" s="122">
        <f>IFERROR(__xludf.DUMMYFUNCTION("""COMPUTED_VALUE"""),-4.0E-4)</f>
        <v>-0.0004</v>
      </c>
    </row>
    <row r="7558">
      <c r="A7558" s="131">
        <f>IFERROR(__xludf.DUMMYFUNCTION("""COMPUTED_VALUE"""),46187.605729166666)</f>
        <v>46187.60573</v>
      </c>
      <c r="B7558" s="126">
        <f>IFERROR(__xludf.DUMMYFUNCTION("""COMPUTED_VALUE"""),46187.0)</f>
        <v>46187</v>
      </c>
      <c r="C7558" s="122" t="str">
        <f>IFERROR(__xludf.DUMMYFUNCTION("""COMPUTED_VALUE"""),"GYMX")</f>
        <v>GYMX</v>
      </c>
      <c r="D7558" s="122" t="str">
        <f>IFERROR(__xludf.DUMMYFUNCTION("""COMPUTED_VALUE"""),"GymX Fitness")</f>
        <v>GymX Fitness</v>
      </c>
      <c r="E7558" s="122">
        <f>IFERROR(__xludf.DUMMYFUNCTION("""COMPUTED_VALUE"""),84.11)</f>
        <v>84.11</v>
      </c>
      <c r="F7558" s="122">
        <f>IFERROR(__xludf.DUMMYFUNCTION("""COMPUTED_VALUE"""),-0.0011)</f>
        <v>-0.0011</v>
      </c>
    </row>
    <row r="7559">
      <c r="A7559" s="131">
        <f>IFERROR(__xludf.DUMMYFUNCTION("""COMPUTED_VALUE"""),46187.605729166666)</f>
        <v>46187.60573</v>
      </c>
      <c r="B7559" s="126">
        <f>IFERROR(__xludf.DUMMYFUNCTION("""COMPUTED_VALUE"""),46187.0)</f>
        <v>46187</v>
      </c>
      <c r="C7559" s="122" t="str">
        <f>IFERROR(__xludf.DUMMYFUNCTION("""COMPUTED_VALUE"""),"VITA")</f>
        <v>VITA</v>
      </c>
      <c r="D7559" s="122" t="str">
        <f>IFERROR(__xludf.DUMMYFUNCTION("""COMPUTED_VALUE"""),"VitaPlus")</f>
        <v>VitaPlus</v>
      </c>
      <c r="E7559" s="122">
        <f>IFERROR(__xludf.DUMMYFUNCTION("""COMPUTED_VALUE"""),72.74)</f>
        <v>72.74</v>
      </c>
      <c r="F7559" s="122">
        <f>IFERROR(__xludf.DUMMYFUNCTION("""COMPUTED_VALUE"""),0.0033)</f>
        <v>0.0033</v>
      </c>
    </row>
    <row r="7560">
      <c r="A7560" s="131">
        <f>IFERROR(__xludf.DUMMYFUNCTION("""COMPUTED_VALUE"""),46187.605729166666)</f>
        <v>46187.60573</v>
      </c>
      <c r="B7560" s="126">
        <f>IFERROR(__xludf.DUMMYFUNCTION("""COMPUTED_VALUE"""),46187.0)</f>
        <v>46187</v>
      </c>
      <c r="C7560" s="122" t="str">
        <f>IFERROR(__xludf.DUMMYFUNCTION("""COMPUTED_VALUE"""),"CARE")</f>
        <v>CARE</v>
      </c>
      <c r="D7560" s="122" t="str">
        <f>IFERROR(__xludf.DUMMYFUNCTION("""COMPUTED_VALUE"""),"CareCloud")</f>
        <v>CareCloud</v>
      </c>
      <c r="E7560" s="122">
        <f>IFERROR(__xludf.DUMMYFUNCTION("""COMPUTED_VALUE"""),183.36)</f>
        <v>183.36</v>
      </c>
      <c r="F7560" s="122">
        <f>IFERROR(__xludf.DUMMYFUNCTION("""COMPUTED_VALUE"""),-0.0023)</f>
        <v>-0.0023</v>
      </c>
    </row>
    <row r="7561">
      <c r="A7561" s="131">
        <f>IFERROR(__xludf.DUMMYFUNCTION("""COMPUTED_VALUE"""),46187.605729166666)</f>
        <v>46187.60573</v>
      </c>
      <c r="B7561" s="126">
        <f>IFERROR(__xludf.DUMMYFUNCTION("""COMPUTED_VALUE"""),46187.0)</f>
        <v>46187</v>
      </c>
      <c r="C7561" s="122" t="str">
        <f>IFERROR(__xludf.DUMMYFUNCTION("""COMPUTED_VALUE"""),"DENT")</f>
        <v>DENT</v>
      </c>
      <c r="D7561" s="122" t="str">
        <f>IFERROR(__xludf.DUMMYFUNCTION("""COMPUTED_VALUE"""),"SmileWorks")</f>
        <v>SmileWorks</v>
      </c>
      <c r="E7561" s="122">
        <f>IFERROR(__xludf.DUMMYFUNCTION("""COMPUTED_VALUE"""),95.44)</f>
        <v>95.44</v>
      </c>
      <c r="F7561" s="122">
        <f>IFERROR(__xludf.DUMMYFUNCTION("""COMPUTED_VALUE"""),0.0047)</f>
        <v>0.0047</v>
      </c>
    </row>
    <row r="7562">
      <c r="A7562" s="131">
        <f>IFERROR(__xludf.DUMMYFUNCTION("""COMPUTED_VALUE"""),46187.605729166666)</f>
        <v>46187.60573</v>
      </c>
      <c r="B7562" s="126">
        <f>IFERROR(__xludf.DUMMYFUNCTION("""COMPUTED_VALUE"""),46187.0)</f>
        <v>46187</v>
      </c>
      <c r="C7562" s="122" t="str">
        <f>IFERROR(__xludf.DUMMYFUNCTION("""COMPUTED_VALUE"""),"EDUX")</f>
        <v>EDUX</v>
      </c>
      <c r="D7562" s="122" t="str">
        <f>IFERROR(__xludf.DUMMYFUNCTION("""COMPUTED_VALUE"""),"EduMax Learning")</f>
        <v>EduMax Learning</v>
      </c>
      <c r="E7562" s="122">
        <f>IFERROR(__xludf.DUMMYFUNCTION("""COMPUTED_VALUE"""),146.73)</f>
        <v>146.73</v>
      </c>
      <c r="F7562" s="122">
        <f>IFERROR(__xludf.DUMMYFUNCTION("""COMPUTED_VALUE"""),0.0038)</f>
        <v>0.0038</v>
      </c>
    </row>
    <row r="7563">
      <c r="A7563" s="131">
        <f>IFERROR(__xludf.DUMMYFUNCTION("""COMPUTED_VALUE"""),46187.605729166666)</f>
        <v>46187.60573</v>
      </c>
      <c r="B7563" s="126">
        <f>IFERROR(__xludf.DUMMYFUNCTION("""COMPUTED_VALUE"""),46187.0)</f>
        <v>46187</v>
      </c>
      <c r="C7563" s="122" t="str">
        <f>IFERROR(__xludf.DUMMYFUNCTION("""COMPUTED_VALUE"""),"BOOK")</f>
        <v>BOOK</v>
      </c>
      <c r="D7563" s="122" t="str">
        <f>IFERROR(__xludf.DUMMYFUNCTION("""COMPUTED_VALUE"""),"BookBridge")</f>
        <v>BookBridge</v>
      </c>
      <c r="E7563" s="122">
        <f>IFERROR(__xludf.DUMMYFUNCTION("""COMPUTED_VALUE"""),120.17)</f>
        <v>120.17</v>
      </c>
      <c r="F7563" s="122">
        <f>IFERROR(__xludf.DUMMYFUNCTION("""COMPUTED_VALUE"""),-0.0011)</f>
        <v>-0.0011</v>
      </c>
    </row>
    <row r="7564">
      <c r="A7564" s="131">
        <f>IFERROR(__xludf.DUMMYFUNCTION("""COMPUTED_VALUE"""),46187.605729166666)</f>
        <v>46187.60573</v>
      </c>
      <c r="B7564" s="126">
        <f>IFERROR(__xludf.DUMMYFUNCTION("""COMPUTED_VALUE"""),46187.0)</f>
        <v>46187</v>
      </c>
      <c r="C7564" s="122" t="str">
        <f>IFERROR(__xludf.DUMMYFUNCTION("""COMPUTED_VALUE"""),"TUTR")</f>
        <v>TUTR</v>
      </c>
      <c r="D7564" s="122" t="str">
        <f>IFERROR(__xludf.DUMMYFUNCTION("""COMPUTED_VALUE"""),"TutorTown")</f>
        <v>TutorTown</v>
      </c>
      <c r="E7564" s="122">
        <f>IFERROR(__xludf.DUMMYFUNCTION("""COMPUTED_VALUE"""),91.01)</f>
        <v>91.01</v>
      </c>
      <c r="F7564" s="122">
        <f>IFERROR(__xludf.DUMMYFUNCTION("""COMPUTED_VALUE"""),0.0043)</f>
        <v>0.0043</v>
      </c>
    </row>
    <row r="7565">
      <c r="A7565" s="131">
        <f>IFERROR(__xludf.DUMMYFUNCTION("""COMPUTED_VALUE"""),46187.605729166666)</f>
        <v>46187.60573</v>
      </c>
      <c r="B7565" s="126">
        <f>IFERROR(__xludf.DUMMYFUNCTION("""COMPUTED_VALUE"""),46187.0)</f>
        <v>46187</v>
      </c>
      <c r="C7565" s="122" t="str">
        <f>IFERROR(__xludf.DUMMYFUNCTION("""COMPUTED_VALUE"""),"LANG")</f>
        <v>LANG</v>
      </c>
      <c r="D7565" s="122" t="str">
        <f>IFERROR(__xludf.DUMMYFUNCTION("""COMPUTED_VALUE"""),"LinguaLab")</f>
        <v>LinguaLab</v>
      </c>
      <c r="E7565" s="122">
        <f>IFERROR(__xludf.DUMMYFUNCTION("""COMPUTED_VALUE"""),102.02)</f>
        <v>102.02</v>
      </c>
      <c r="F7565" s="122">
        <f>IFERROR(__xludf.DUMMYFUNCTION("""COMPUTED_VALUE"""),0.0026)</f>
        <v>0.0026</v>
      </c>
    </row>
    <row r="7566">
      <c r="A7566" s="131">
        <f>IFERROR(__xludf.DUMMYFUNCTION("""COMPUTED_VALUE"""),46187.605729166666)</f>
        <v>46187.60573</v>
      </c>
      <c r="B7566" s="126">
        <f>IFERROR(__xludf.DUMMYFUNCTION("""COMPUTED_VALUE"""),46187.0)</f>
        <v>46187</v>
      </c>
      <c r="C7566" s="122" t="str">
        <f>IFERROR(__xludf.DUMMYFUNCTION("""COMPUTED_VALUE"""),"TEST")</f>
        <v>TEST</v>
      </c>
      <c r="D7566" s="122" t="str">
        <f>IFERROR(__xludf.DUMMYFUNCTION("""COMPUTED_VALUE"""),"TestPrep Pro")</f>
        <v>TestPrep Pro</v>
      </c>
      <c r="E7566" s="122">
        <f>IFERROR(__xludf.DUMMYFUNCTION("""COMPUTED_VALUE"""),89.54)</f>
        <v>89.54</v>
      </c>
      <c r="F7566" s="122">
        <f>IFERROR(__xludf.DUMMYFUNCTION("""COMPUTED_VALUE"""),-0.0056)</f>
        <v>-0.0056</v>
      </c>
    </row>
    <row r="7567">
      <c r="A7567" s="131">
        <f>IFERROR(__xludf.DUMMYFUNCTION("""COMPUTED_VALUE"""),46187.605729166666)</f>
        <v>46187.60573</v>
      </c>
      <c r="B7567" s="126">
        <f>IFERROR(__xludf.DUMMYFUNCTION("""COMPUTED_VALUE"""),46187.0)</f>
        <v>46187</v>
      </c>
      <c r="C7567" s="122" t="str">
        <f>IFERROR(__xludf.DUMMYFUNCTION("""COMPUTED_VALUE"""),"MOVI")</f>
        <v>MOVI</v>
      </c>
      <c r="D7567" s="122" t="str">
        <f>IFERROR(__xludf.DUMMYFUNCTION("""COMPUTED_VALUE"""),"MovieBox")</f>
        <v>MovieBox</v>
      </c>
      <c r="E7567" s="122">
        <f>IFERROR(__xludf.DUMMYFUNCTION("""COMPUTED_VALUE"""),83.24)</f>
        <v>83.24</v>
      </c>
      <c r="F7567" s="122">
        <f>IFERROR(__xludf.DUMMYFUNCTION("""COMPUTED_VALUE"""),7.0E-4)</f>
        <v>0.0007</v>
      </c>
    </row>
    <row r="7568">
      <c r="A7568" s="131">
        <f>IFERROR(__xludf.DUMMYFUNCTION("""COMPUTED_VALUE"""),46187.605729166666)</f>
        <v>46187.60573</v>
      </c>
      <c r="B7568" s="126">
        <f>IFERROR(__xludf.DUMMYFUNCTION("""COMPUTED_VALUE"""),46187.0)</f>
        <v>46187</v>
      </c>
      <c r="C7568" s="122" t="str">
        <f>IFERROR(__xludf.DUMMYFUNCTION("""COMPUTED_VALUE"""),"MUSC")</f>
        <v>MUSC</v>
      </c>
      <c r="D7568" s="122" t="str">
        <f>IFERROR(__xludf.DUMMYFUNCTION("""COMPUTED_VALUE"""),"MusicWave")</f>
        <v>MusicWave</v>
      </c>
      <c r="E7568" s="122">
        <f>IFERROR(__xludf.DUMMYFUNCTION("""COMPUTED_VALUE"""),103.03)</f>
        <v>103.03</v>
      </c>
      <c r="F7568" s="122">
        <f>IFERROR(__xludf.DUMMYFUNCTION("""COMPUTED_VALUE"""),-0.005)</f>
        <v>-0.005</v>
      </c>
    </row>
    <row r="7569">
      <c r="A7569" s="131">
        <f>IFERROR(__xludf.DUMMYFUNCTION("""COMPUTED_VALUE"""),46187.605729166666)</f>
        <v>46187.60573</v>
      </c>
      <c r="B7569" s="126">
        <f>IFERROR(__xludf.DUMMYFUNCTION("""COMPUTED_VALUE"""),46187.0)</f>
        <v>46187</v>
      </c>
      <c r="C7569" s="122" t="str">
        <f>IFERROR(__xludf.DUMMYFUNCTION("""COMPUTED_VALUE"""),"IDOL")</f>
        <v>IDOL</v>
      </c>
      <c r="D7569" s="122" t="str">
        <f>IFERROR(__xludf.DUMMYFUNCTION("""COMPUTED_VALUE"""),"Idol Agency")</f>
        <v>Idol Agency</v>
      </c>
      <c r="E7569" s="122">
        <f>IFERROR(__xludf.DUMMYFUNCTION("""COMPUTED_VALUE"""),185.45)</f>
        <v>185.45</v>
      </c>
      <c r="F7569" s="122">
        <f>IFERROR(__xludf.DUMMYFUNCTION("""COMPUTED_VALUE"""),-0.0048)</f>
        <v>-0.0048</v>
      </c>
    </row>
    <row r="7570">
      <c r="A7570" s="131">
        <f>IFERROR(__xludf.DUMMYFUNCTION("""COMPUTED_VALUE"""),46187.605729166666)</f>
        <v>46187.60573</v>
      </c>
      <c r="B7570" s="126">
        <f>IFERROR(__xludf.DUMMYFUNCTION("""COMPUTED_VALUE"""),46187.0)</f>
        <v>46187</v>
      </c>
      <c r="C7570" s="122" t="str">
        <f>IFERROR(__xludf.DUMMYFUNCTION("""COMPUTED_VALUE"""),"MEME")</f>
        <v>MEME</v>
      </c>
      <c r="D7570" s="122" t="str">
        <f>IFERROR(__xludf.DUMMYFUNCTION("""COMPUTED_VALUE"""),"Meme Media")</f>
        <v>Meme Media</v>
      </c>
      <c r="E7570" s="122">
        <f>IFERROR(__xludf.DUMMYFUNCTION("""COMPUTED_VALUE"""),72.71)</f>
        <v>72.71</v>
      </c>
      <c r="F7570" s="122">
        <f>IFERROR(__xludf.DUMMYFUNCTION("""COMPUTED_VALUE"""),-0.001)</f>
        <v>-0.001</v>
      </c>
    </row>
    <row r="7571">
      <c r="A7571" s="131">
        <f>IFERROR(__xludf.DUMMYFUNCTION("""COMPUTED_VALUE"""),46187.605729166666)</f>
        <v>46187.60573</v>
      </c>
      <c r="B7571" s="126">
        <f>IFERROR(__xludf.DUMMYFUNCTION("""COMPUTED_VALUE"""),46187.0)</f>
        <v>46187</v>
      </c>
      <c r="C7571" s="122" t="str">
        <f>IFERROR(__xludf.DUMMYFUNCTION("""COMPUTED_VALUE"""),"STRM")</f>
        <v>STRM</v>
      </c>
      <c r="D7571" s="122" t="str">
        <f>IFERROR(__xludf.DUMMYFUNCTION("""COMPUTED_VALUE"""),"Streamly")</f>
        <v>Streamly</v>
      </c>
      <c r="E7571" s="122">
        <f>IFERROR(__xludf.DUMMYFUNCTION("""COMPUTED_VALUE"""),134.52)</f>
        <v>134.52</v>
      </c>
      <c r="F7571" s="122">
        <f>IFERROR(__xludf.DUMMYFUNCTION("""COMPUTED_VALUE"""),0.005)</f>
        <v>0.005</v>
      </c>
    </row>
    <row r="7572">
      <c r="A7572" s="131">
        <f>IFERROR(__xludf.DUMMYFUNCTION("""COMPUTED_VALUE"""),46187.605729166666)</f>
        <v>46187.60573</v>
      </c>
      <c r="B7572" s="126">
        <f>IFERROR(__xludf.DUMMYFUNCTION("""COMPUTED_VALUE"""),46187.0)</f>
        <v>46187</v>
      </c>
      <c r="C7572" s="122" t="str">
        <f>IFERROR(__xludf.DUMMYFUNCTION("""COMPUTED_VALUE"""),"FARM")</f>
        <v>FARM</v>
      </c>
      <c r="D7572" s="122" t="str">
        <f>IFERROR(__xludf.DUMMYFUNCTION("""COMPUTED_VALUE"""),"Future Farms")</f>
        <v>Future Farms</v>
      </c>
      <c r="E7572" s="122">
        <f>IFERROR(__xludf.DUMMYFUNCTION("""COMPUTED_VALUE"""),95.95)</f>
        <v>95.95</v>
      </c>
      <c r="F7572" s="122">
        <f>IFERROR(__xludf.DUMMYFUNCTION("""COMPUTED_VALUE"""),0.0014)</f>
        <v>0.0014</v>
      </c>
    </row>
    <row r="7573">
      <c r="A7573" s="131">
        <f>IFERROR(__xludf.DUMMYFUNCTION("""COMPUTED_VALUE"""),46187.605729166666)</f>
        <v>46187.60573</v>
      </c>
      <c r="B7573" s="126">
        <f>IFERROR(__xludf.DUMMYFUNCTION("""COMPUTED_VALUE"""),46187.0)</f>
        <v>46187</v>
      </c>
      <c r="C7573" s="122" t="str">
        <f>IFERROR(__xludf.DUMMYFUNCTION("""COMPUTED_VALUE"""),"MEAT")</f>
        <v>MEAT</v>
      </c>
      <c r="D7573" s="122" t="str">
        <f>IFERROR(__xludf.DUMMYFUNCTION("""COMPUTED_VALUE"""),"MeatWorks")</f>
        <v>MeatWorks</v>
      </c>
      <c r="E7573" s="122">
        <f>IFERROR(__xludf.DUMMYFUNCTION("""COMPUTED_VALUE"""),104.42)</f>
        <v>104.42</v>
      </c>
      <c r="F7573" s="122">
        <f>IFERROR(__xludf.DUMMYFUNCTION("""COMPUTED_VALUE"""),-2.0E-4)</f>
        <v>-0.0002</v>
      </c>
    </row>
    <row r="7574">
      <c r="A7574" s="131">
        <f>IFERROR(__xludf.DUMMYFUNCTION("""COMPUTED_VALUE"""),46187.605729166666)</f>
        <v>46187.60573</v>
      </c>
      <c r="B7574" s="126">
        <f>IFERROR(__xludf.DUMMYFUNCTION("""COMPUTED_VALUE"""),46187.0)</f>
        <v>46187</v>
      </c>
      <c r="C7574" s="122" t="str">
        <f>IFERROR(__xludf.DUMMYFUNCTION("""COMPUTED_VALUE"""),"VEGI")</f>
        <v>VEGI</v>
      </c>
      <c r="D7574" s="122" t="str">
        <f>IFERROR(__xludf.DUMMYFUNCTION("""COMPUTED_VALUE"""),"Green Basket")</f>
        <v>Green Basket</v>
      </c>
      <c r="E7574" s="122">
        <f>IFERROR(__xludf.DUMMYFUNCTION("""COMPUTED_VALUE"""),77.29)</f>
        <v>77.29</v>
      </c>
      <c r="F7574" s="122">
        <f>IFERROR(__xludf.DUMMYFUNCTION("""COMPUTED_VALUE"""),-0.005)</f>
        <v>-0.005</v>
      </c>
    </row>
    <row r="7575">
      <c r="A7575" s="131">
        <f>IFERROR(__xludf.DUMMYFUNCTION("""COMPUTED_VALUE"""),46187.605729166666)</f>
        <v>46187.60573</v>
      </c>
      <c r="B7575" s="126">
        <f>IFERROR(__xludf.DUMMYFUNCTION("""COMPUTED_VALUE"""),46187.0)</f>
        <v>46187</v>
      </c>
      <c r="C7575" s="122" t="str">
        <f>IFERROR(__xludf.DUMMYFUNCTION("""COMPUTED_VALUE"""),"CAFE")</f>
        <v>CAFE</v>
      </c>
      <c r="D7575" s="122" t="str">
        <f>IFERROR(__xludf.DUMMYFUNCTION("""COMPUTED_VALUE"""),"Cafe Cloud")</f>
        <v>Cafe Cloud</v>
      </c>
      <c r="E7575" s="122">
        <f>IFERROR(__xludf.DUMMYFUNCTION("""COMPUTED_VALUE"""),102.42)</f>
        <v>102.42</v>
      </c>
      <c r="F7575" s="122">
        <f>IFERROR(__xludf.DUMMYFUNCTION("""COMPUTED_VALUE"""),-0.005)</f>
        <v>-0.005</v>
      </c>
    </row>
    <row r="7576">
      <c r="A7576" s="131">
        <f>IFERROR(__xludf.DUMMYFUNCTION("""COMPUTED_VALUE"""),46187.605729166666)</f>
        <v>46187.60573</v>
      </c>
      <c r="B7576" s="126">
        <f>IFERROR(__xludf.DUMMYFUNCTION("""COMPUTED_VALUE"""),46187.0)</f>
        <v>46187</v>
      </c>
      <c r="C7576" s="122" t="str">
        <f>IFERROR(__xludf.DUMMYFUNCTION("""COMPUTED_VALUE"""),"BAKE")</f>
        <v>BAKE</v>
      </c>
      <c r="D7576" s="122" t="str">
        <f>IFERROR(__xludf.DUMMYFUNCTION("""COMPUTED_VALUE"""),"BakeHouse")</f>
        <v>BakeHouse</v>
      </c>
      <c r="E7576" s="122">
        <f>IFERROR(__xludf.DUMMYFUNCTION("""COMPUTED_VALUE"""),100.68)</f>
        <v>100.68</v>
      </c>
      <c r="F7576" s="122">
        <f>IFERROR(__xludf.DUMMYFUNCTION("""COMPUTED_VALUE"""),0.0036)</f>
        <v>0.0036</v>
      </c>
    </row>
    <row r="7577">
      <c r="A7577" s="131">
        <f>IFERROR(__xludf.DUMMYFUNCTION("""COMPUTED_VALUE"""),46187.605729166666)</f>
        <v>46187.60573</v>
      </c>
      <c r="B7577" s="126">
        <f>IFERROR(__xludf.DUMMYFUNCTION("""COMPUTED_VALUE"""),46187.0)</f>
        <v>46187</v>
      </c>
      <c r="C7577" s="122" t="str">
        <f>IFERROR(__xludf.DUMMYFUNCTION("""COMPUTED_VALUE"""),"OILX")</f>
        <v>OILX</v>
      </c>
      <c r="D7577" s="122" t="str">
        <f>IFERROR(__xludf.DUMMYFUNCTION("""COMPUTED_VALUE"""),"OilMax Energy")</f>
        <v>OilMax Energy</v>
      </c>
      <c r="E7577" s="122">
        <f>IFERROR(__xludf.DUMMYFUNCTION("""COMPUTED_VALUE"""),134.84)</f>
        <v>134.84</v>
      </c>
      <c r="F7577" s="122">
        <f>IFERROR(__xludf.DUMMYFUNCTION("""COMPUTED_VALUE"""),0.0049)</f>
        <v>0.0049</v>
      </c>
    </row>
    <row r="7578">
      <c r="A7578" s="131">
        <f>IFERROR(__xludf.DUMMYFUNCTION("""COMPUTED_VALUE"""),46187.605729166666)</f>
        <v>46187.60573</v>
      </c>
      <c r="B7578" s="126">
        <f>IFERROR(__xludf.DUMMYFUNCTION("""COMPUTED_VALUE"""),46187.0)</f>
        <v>46187</v>
      </c>
      <c r="C7578" s="122" t="str">
        <f>IFERROR(__xludf.DUMMYFUNCTION("""COMPUTED_VALUE"""),"SOLR")</f>
        <v>SOLR</v>
      </c>
      <c r="D7578" s="122" t="str">
        <f>IFERROR(__xludf.DUMMYFUNCTION("""COMPUTED_VALUE"""),"SolarSpark")</f>
        <v>SolarSpark</v>
      </c>
      <c r="E7578" s="122">
        <f>IFERROR(__xludf.DUMMYFUNCTION("""COMPUTED_VALUE"""),105.96)</f>
        <v>105.96</v>
      </c>
      <c r="F7578" s="122">
        <f>IFERROR(__xludf.DUMMYFUNCTION("""COMPUTED_VALUE"""),-0.0034)</f>
        <v>-0.0034</v>
      </c>
    </row>
    <row r="7579">
      <c r="A7579" s="131">
        <f>IFERROR(__xludf.DUMMYFUNCTION("""COMPUTED_VALUE"""),46187.605729166666)</f>
        <v>46187.60573</v>
      </c>
      <c r="B7579" s="126">
        <f>IFERROR(__xludf.DUMMYFUNCTION("""COMPUTED_VALUE"""),46187.0)</f>
        <v>46187</v>
      </c>
      <c r="C7579" s="122" t="str">
        <f>IFERROR(__xludf.DUMMYFUNCTION("""COMPUTED_VALUE"""),"BATT")</f>
        <v>BATT</v>
      </c>
      <c r="D7579" s="122" t="str">
        <f>IFERROR(__xludf.DUMMYFUNCTION("""COMPUTED_VALUE"""),"BatteryBox")</f>
        <v>BatteryBox</v>
      </c>
      <c r="E7579" s="122">
        <f>IFERROR(__xludf.DUMMYFUNCTION("""COMPUTED_VALUE"""),122.99)</f>
        <v>122.99</v>
      </c>
      <c r="F7579" s="122">
        <f>IFERROR(__xludf.DUMMYFUNCTION("""COMPUTED_VALUE"""),0.0035)</f>
        <v>0.0035</v>
      </c>
    </row>
    <row r="7580">
      <c r="A7580" s="131">
        <f>IFERROR(__xludf.DUMMYFUNCTION("""COMPUTED_VALUE"""),46187.605729166666)</f>
        <v>46187.60573</v>
      </c>
      <c r="B7580" s="126">
        <f>IFERROR(__xludf.DUMMYFUNCTION("""COMPUTED_VALUE"""),46187.0)</f>
        <v>46187</v>
      </c>
      <c r="C7580" s="122" t="str">
        <f>IFERROR(__xludf.DUMMYFUNCTION("""COMPUTED_VALUE"""),"WIND")</f>
        <v>WIND</v>
      </c>
      <c r="D7580" s="122" t="str">
        <f>IFERROR(__xludf.DUMMYFUNCTION("""COMPUTED_VALUE"""),"WindWorks")</f>
        <v>WindWorks</v>
      </c>
      <c r="E7580" s="122">
        <f>IFERROR(__xludf.DUMMYFUNCTION("""COMPUTED_VALUE"""),86.21)</f>
        <v>86.21</v>
      </c>
      <c r="F7580" s="122">
        <f>IFERROR(__xludf.DUMMYFUNCTION("""COMPUTED_VALUE"""),5.0E-4)</f>
        <v>0.0005</v>
      </c>
    </row>
    <row r="7581">
      <c r="A7581" s="131">
        <f>IFERROR(__xludf.DUMMYFUNCTION("""COMPUTED_VALUE"""),46187.605729166666)</f>
        <v>46187.60573</v>
      </c>
      <c r="B7581" s="126">
        <f>IFERROR(__xludf.DUMMYFUNCTION("""COMPUTED_VALUE"""),46187.0)</f>
        <v>46187</v>
      </c>
      <c r="C7581" s="122" t="str">
        <f>IFERROR(__xludf.DUMMYFUNCTION("""COMPUTED_VALUE"""),"GRID")</f>
        <v>GRID</v>
      </c>
      <c r="D7581" s="122" t="str">
        <f>IFERROR(__xludf.DUMMYFUNCTION("""COMPUTED_VALUE"""),"GridPower")</f>
        <v>GridPower</v>
      </c>
      <c r="E7581" s="122">
        <f>IFERROR(__xludf.DUMMYFUNCTION("""COMPUTED_VALUE"""),129.03)</f>
        <v>129.03</v>
      </c>
      <c r="F7581" s="122">
        <f>IFERROR(__xludf.DUMMYFUNCTION("""COMPUTED_VALUE"""),6.0E-4)</f>
        <v>0.0006</v>
      </c>
    </row>
    <row r="7582">
      <c r="A7582" s="131">
        <f>IFERROR(__xludf.DUMMYFUNCTION("""COMPUTED_VALUE"""),46187.605729166666)</f>
        <v>46187.60573</v>
      </c>
      <c r="B7582" s="126">
        <f>IFERROR(__xludf.DUMMYFUNCTION("""COMPUTED_VALUE"""),46187.0)</f>
        <v>46187</v>
      </c>
      <c r="C7582" s="122" t="str">
        <f>IFERROR(__xludf.DUMMYFUNCTION("""COMPUTED_VALUE"""),"HOME")</f>
        <v>HOME</v>
      </c>
      <c r="D7582" s="122" t="str">
        <f>IFERROR(__xludf.DUMMYFUNCTION("""COMPUTED_VALUE"""),"HomeHub")</f>
        <v>HomeHub</v>
      </c>
      <c r="E7582" s="122">
        <f>IFERROR(__xludf.DUMMYFUNCTION("""COMPUTED_VALUE"""),158.86)</f>
        <v>158.86</v>
      </c>
      <c r="F7582" s="122">
        <f>IFERROR(__xludf.DUMMYFUNCTION("""COMPUTED_VALUE"""),0.0049)</f>
        <v>0.0049</v>
      </c>
    </row>
    <row r="7583">
      <c r="A7583" s="131">
        <f>IFERROR(__xludf.DUMMYFUNCTION("""COMPUTED_VALUE"""),46187.605729166666)</f>
        <v>46187.60573</v>
      </c>
      <c r="B7583" s="126">
        <f>IFERROR(__xludf.DUMMYFUNCTION("""COMPUTED_VALUE"""),46187.0)</f>
        <v>46187</v>
      </c>
      <c r="C7583" s="122" t="str">
        <f>IFERROR(__xludf.DUMMYFUNCTION("""COMPUTED_VALUE"""),"RENT")</f>
        <v>RENT</v>
      </c>
      <c r="D7583" s="122" t="str">
        <f>IFERROR(__xludf.DUMMYFUNCTION("""COMPUTED_VALUE"""),"RentRight")</f>
        <v>RentRight</v>
      </c>
      <c r="E7583" s="122">
        <f>IFERROR(__xludf.DUMMYFUNCTION("""COMPUTED_VALUE"""),90.52)</f>
        <v>90.52</v>
      </c>
      <c r="F7583" s="122">
        <f>IFERROR(__xludf.DUMMYFUNCTION("""COMPUTED_VALUE"""),-0.0032)</f>
        <v>-0.0032</v>
      </c>
    </row>
    <row r="7584">
      <c r="A7584" s="131">
        <f>IFERROR(__xludf.DUMMYFUNCTION("""COMPUTED_VALUE"""),46187.605729166666)</f>
        <v>46187.60573</v>
      </c>
      <c r="B7584" s="126">
        <f>IFERROR(__xludf.DUMMYFUNCTION("""COMPUTED_VALUE"""),46187.0)</f>
        <v>46187</v>
      </c>
      <c r="C7584" s="122" t="str">
        <f>IFERROR(__xludf.DUMMYFUNCTION("""COMPUTED_VALUE"""),"MALL")</f>
        <v>MALL</v>
      </c>
      <c r="D7584" s="122" t="str">
        <f>IFERROR(__xludf.DUMMYFUNCTION("""COMPUTED_VALUE"""),"MegaMall")</f>
        <v>MegaMall</v>
      </c>
      <c r="E7584" s="122">
        <f>IFERROR(__xludf.DUMMYFUNCTION("""COMPUTED_VALUE"""),101.81)</f>
        <v>101.81</v>
      </c>
      <c r="F7584" s="122">
        <f>IFERROR(__xludf.DUMMYFUNCTION("""COMPUTED_VALUE"""),0.0017)</f>
        <v>0.0017</v>
      </c>
    </row>
    <row r="7585">
      <c r="A7585" s="131">
        <f>IFERROR(__xludf.DUMMYFUNCTION("""COMPUTED_VALUE"""),46187.605729166666)</f>
        <v>46187.60573</v>
      </c>
      <c r="B7585" s="126">
        <f>IFERROR(__xludf.DUMMYFUNCTION("""COMPUTED_VALUE"""),46187.0)</f>
        <v>46187</v>
      </c>
      <c r="C7585" s="122" t="str">
        <f>IFERROR(__xludf.DUMMYFUNCTION("""COMPUTED_VALUE"""),"HOTL")</f>
        <v>HOTL</v>
      </c>
      <c r="D7585" s="122" t="str">
        <f>IFERROR(__xludf.DUMMYFUNCTION("""COMPUTED_VALUE"""),"HotelHive")</f>
        <v>HotelHive</v>
      </c>
      <c r="E7585" s="122">
        <f>IFERROR(__xludf.DUMMYFUNCTION("""COMPUTED_VALUE"""),123.56)</f>
        <v>123.56</v>
      </c>
      <c r="F7585" s="122">
        <f>IFERROR(__xludf.DUMMYFUNCTION("""COMPUTED_VALUE"""),-0.0064)</f>
        <v>-0.0064</v>
      </c>
    </row>
    <row r="7586">
      <c r="A7586" s="131">
        <f>IFERROR(__xludf.DUMMYFUNCTION("""COMPUTED_VALUE"""),46187.605729166666)</f>
        <v>46187.60573</v>
      </c>
      <c r="B7586" s="126">
        <f>IFERROR(__xludf.DUMMYFUNCTION("""COMPUTED_VALUE"""),46187.0)</f>
        <v>46187</v>
      </c>
      <c r="C7586" s="122" t="str">
        <f>IFERROR(__xludf.DUMMYFUNCTION("""COMPUTED_VALUE"""),"LAND")</f>
        <v>LAND</v>
      </c>
      <c r="D7586" s="122" t="str">
        <f>IFERROR(__xludf.DUMMYFUNCTION("""COMPUTED_VALUE"""),"LandLink")</f>
        <v>LandLink</v>
      </c>
      <c r="E7586" s="122">
        <f>IFERROR(__xludf.DUMMYFUNCTION("""COMPUTED_VALUE"""),188.03)</f>
        <v>188.03</v>
      </c>
      <c r="F7586" s="122">
        <f>IFERROR(__xludf.DUMMYFUNCTION("""COMPUTED_VALUE"""),0.0021)</f>
        <v>0.0021</v>
      </c>
    </row>
    <row r="7587">
      <c r="A7587" s="131">
        <f>IFERROR(__xludf.DUMMYFUNCTION("""COMPUTED_VALUE"""),46187.605729166666)</f>
        <v>46187.60573</v>
      </c>
      <c r="B7587" s="126">
        <f>IFERROR(__xludf.DUMMYFUNCTION("""COMPUTED_VALUE"""),46187.0)</f>
        <v>46187</v>
      </c>
      <c r="C7587" s="122" t="str">
        <f>IFERROR(__xludf.DUMMYFUNCTION("""COMPUTED_VALUE"""),"CARS")</f>
        <v>CARS</v>
      </c>
      <c r="D7587" s="122" t="str">
        <f>IFERROR(__xludf.DUMMYFUNCTION("""COMPUTED_VALUE"""),"AutoArena")</f>
        <v>AutoArena</v>
      </c>
      <c r="E7587" s="122">
        <f>IFERROR(__xludf.DUMMYFUNCTION("""COMPUTED_VALUE"""),81.89)</f>
        <v>81.89</v>
      </c>
      <c r="F7587" s="122">
        <f>IFERROR(__xludf.DUMMYFUNCTION("""COMPUTED_VALUE"""),0.0065)</f>
        <v>0.0065</v>
      </c>
    </row>
    <row r="7588">
      <c r="A7588" s="131">
        <f>IFERROR(__xludf.DUMMYFUNCTION("""COMPUTED_VALUE"""),46187.605729166666)</f>
        <v>46187.60573</v>
      </c>
      <c r="B7588" s="126">
        <f>IFERROR(__xludf.DUMMYFUNCTION("""COMPUTED_VALUE"""),46187.0)</f>
        <v>46187</v>
      </c>
      <c r="C7588" s="122" t="str">
        <f>IFERROR(__xludf.DUMMYFUNCTION("""COMPUTED_VALUE"""),"EVGO")</f>
        <v>EVGO</v>
      </c>
      <c r="D7588" s="122" t="str">
        <f>IFERROR(__xludf.DUMMYFUNCTION("""COMPUTED_VALUE"""),"EVGo Motors")</f>
        <v>EVGo Motors</v>
      </c>
      <c r="E7588" s="122">
        <f>IFERROR(__xludf.DUMMYFUNCTION("""COMPUTED_VALUE"""),189.57)</f>
        <v>189.57</v>
      </c>
      <c r="F7588" s="122">
        <f>IFERROR(__xludf.DUMMYFUNCTION("""COMPUTED_VALUE"""),0.0056)</f>
        <v>0.0056</v>
      </c>
    </row>
    <row r="7589">
      <c r="A7589" s="131">
        <f>IFERROR(__xludf.DUMMYFUNCTION("""COMPUTED_VALUE"""),46187.605729166666)</f>
        <v>46187.60573</v>
      </c>
      <c r="B7589" s="126">
        <f>IFERROR(__xludf.DUMMYFUNCTION("""COMPUTED_VALUE"""),46187.0)</f>
        <v>46187</v>
      </c>
      <c r="C7589" s="122" t="str">
        <f>IFERROR(__xludf.DUMMYFUNCTION("""COMPUTED_VALUE"""),"TIRE")</f>
        <v>TIRE</v>
      </c>
      <c r="D7589" s="122" t="str">
        <f>IFERROR(__xludf.DUMMYFUNCTION("""COMPUTED_VALUE"""),"TireTown")</f>
        <v>TireTown</v>
      </c>
      <c r="E7589" s="122">
        <f>IFERROR(__xludf.DUMMYFUNCTION("""COMPUTED_VALUE"""),96.87)</f>
        <v>96.87</v>
      </c>
      <c r="F7589" s="122">
        <f>IFERROR(__xludf.DUMMYFUNCTION("""COMPUTED_VALUE"""),-0.0021)</f>
        <v>-0.0021</v>
      </c>
    </row>
    <row r="7590">
      <c r="A7590" s="131">
        <f>IFERROR(__xludf.DUMMYFUNCTION("""COMPUTED_VALUE"""),46187.605729166666)</f>
        <v>46187.60573</v>
      </c>
      <c r="B7590" s="126">
        <f>IFERROR(__xludf.DUMMYFUNCTION("""COMPUTED_VALUE"""),46187.0)</f>
        <v>46187</v>
      </c>
      <c r="C7590" s="122" t="str">
        <f>IFERROR(__xludf.DUMMYFUNCTION("""COMPUTED_VALUE"""),"BIKE")</f>
        <v>BIKE</v>
      </c>
      <c r="D7590" s="122" t="str">
        <f>IFERROR(__xludf.DUMMYFUNCTION("""COMPUTED_VALUE"""),"BikeBox")</f>
        <v>BikeBox</v>
      </c>
      <c r="E7590" s="122">
        <f>IFERROR(__xludf.DUMMYFUNCTION("""COMPUTED_VALUE"""),52.69)</f>
        <v>52.69</v>
      </c>
      <c r="F7590" s="122">
        <f>IFERROR(__xludf.DUMMYFUNCTION("""COMPUTED_VALUE"""),-0.0057)</f>
        <v>-0.0057</v>
      </c>
    </row>
    <row r="7591">
      <c r="A7591" s="131">
        <f>IFERROR(__xludf.DUMMYFUNCTION("""COMPUTED_VALUE"""),46187.605729166666)</f>
        <v>46187.60573</v>
      </c>
      <c r="B7591" s="126">
        <f>IFERROR(__xludf.DUMMYFUNCTION("""COMPUTED_VALUE"""),46187.0)</f>
        <v>46187</v>
      </c>
      <c r="C7591" s="122" t="str">
        <f>IFERROR(__xludf.DUMMYFUNCTION("""COMPUTED_VALUE"""),"WASH")</f>
        <v>WASH</v>
      </c>
      <c r="D7591" s="122" t="str">
        <f>IFERROR(__xludf.DUMMYFUNCTION("""COMPUTED_VALUE"""),"CarWash Co")</f>
        <v>CarWash Co</v>
      </c>
      <c r="E7591" s="122">
        <f>IFERROR(__xludf.DUMMYFUNCTION("""COMPUTED_VALUE"""),121.3)</f>
        <v>121.3</v>
      </c>
      <c r="F7591" s="122">
        <f>IFERROR(__xludf.DUMMYFUNCTION("""COMPUTED_VALUE"""),-7.0E-4)</f>
        <v>-0.0007</v>
      </c>
    </row>
    <row r="7592">
      <c r="A7592" s="131">
        <f>IFERROR(__xludf.DUMMYFUNCTION("""COMPUTED_VALUE"""),46187.605729166666)</f>
        <v>46187.60573</v>
      </c>
      <c r="B7592" s="126">
        <f>IFERROR(__xludf.DUMMYFUNCTION("""COMPUTED_VALUE"""),46187.0)</f>
        <v>46187</v>
      </c>
      <c r="C7592" s="122" t="str">
        <f>IFERROR(__xludf.DUMMYFUNCTION("""COMPUTED_VALUE"""),"GBND")</f>
        <v>GBND</v>
      </c>
      <c r="D7592" s="122" t="str">
        <f>IFERROR(__xludf.DUMMYFUNCTION("""COMPUTED_VALUE"""),"Classroom Government Bond")</f>
        <v>Classroom Government Bond</v>
      </c>
      <c r="E7592" s="122">
        <f>IFERROR(__xludf.DUMMYFUNCTION("""COMPUTED_VALUE"""),101.06)</f>
        <v>101.06</v>
      </c>
      <c r="F7592" s="122">
        <f>IFERROR(__xludf.DUMMYFUNCTION("""COMPUTED_VALUE"""),-3.0E-4)</f>
        <v>-0.0003</v>
      </c>
    </row>
    <row r="7593">
      <c r="A7593" s="131">
        <f>IFERROR(__xludf.DUMMYFUNCTION("""COMPUTED_VALUE"""),46187.605729166666)</f>
        <v>46187.60573</v>
      </c>
      <c r="B7593" s="126">
        <f>IFERROR(__xludf.DUMMYFUNCTION("""COMPUTED_VALUE"""),46187.0)</f>
        <v>46187</v>
      </c>
      <c r="C7593" s="122" t="str">
        <f>IFERROR(__xludf.DUMMYFUNCTION("""COMPUTED_VALUE"""),"SBND")</f>
        <v>SBND</v>
      </c>
      <c r="D7593" s="122" t="str">
        <f>IFERROR(__xludf.DUMMYFUNCTION("""COMPUTED_VALUE"""),"School Savings Bond")</f>
        <v>School Savings Bond</v>
      </c>
      <c r="E7593" s="122">
        <f>IFERROR(__xludf.DUMMYFUNCTION("""COMPUTED_VALUE"""),99.22)</f>
        <v>99.22</v>
      </c>
      <c r="F7593" s="122">
        <f>IFERROR(__xludf.DUMMYFUNCTION("""COMPUTED_VALUE"""),0.0)</f>
        <v>0</v>
      </c>
    </row>
    <row r="7594">
      <c r="A7594" s="131">
        <f>IFERROR(__xludf.DUMMYFUNCTION("""COMPUTED_VALUE"""),46187.605729166666)</f>
        <v>46187.60573</v>
      </c>
      <c r="B7594" s="126">
        <f>IFERROR(__xludf.DUMMYFUNCTION("""COMPUTED_VALUE"""),46187.0)</f>
        <v>46187</v>
      </c>
      <c r="C7594" s="122" t="str">
        <f>IFERROR(__xludf.DUMMYFUNCTION("""COMPUTED_VALUE"""),"CBND")</f>
        <v>CBND</v>
      </c>
      <c r="D7594" s="122" t="str">
        <f>IFERROR(__xludf.DUMMYFUNCTION("""COMPUTED_VALUE"""),"Corporate Classroom Bond")</f>
        <v>Corporate Classroom Bond</v>
      </c>
      <c r="E7594" s="122">
        <f>IFERROR(__xludf.DUMMYFUNCTION("""COMPUTED_VALUE"""),97.78)</f>
        <v>97.78</v>
      </c>
      <c r="F7594" s="122">
        <f>IFERROR(__xludf.DUMMYFUNCTION("""COMPUTED_VALUE"""),3.0E-4)</f>
        <v>0.0003</v>
      </c>
    </row>
    <row r="7595">
      <c r="A7595" s="131">
        <f>IFERROR(__xludf.DUMMYFUNCTION("""COMPUTED_VALUE"""),46187.605729166666)</f>
        <v>46187.60573</v>
      </c>
      <c r="B7595" s="126">
        <f>IFERROR(__xludf.DUMMYFUNCTION("""COMPUTED_VALUE"""),46187.0)</f>
        <v>46187</v>
      </c>
      <c r="C7595" s="122" t="str">
        <f>IFERROR(__xludf.DUMMYFUNCTION("""COMPUTED_VALUE"""),"TBIL")</f>
        <v>TBIL</v>
      </c>
      <c r="D7595" s="122" t="str">
        <f>IFERROR(__xludf.DUMMYFUNCTION("""COMPUTED_VALUE"""),"Treasury Bill")</f>
        <v>Treasury Bill</v>
      </c>
      <c r="E7595" s="122">
        <f>IFERROR(__xludf.DUMMYFUNCTION("""COMPUTED_VALUE"""),97.73)</f>
        <v>97.73</v>
      </c>
      <c r="F7595" s="122">
        <f>IFERROR(__xludf.DUMMYFUNCTION("""COMPUTED_VALUE"""),4.0E-4)</f>
        <v>0.0004</v>
      </c>
    </row>
    <row r="7596">
      <c r="A7596" s="131">
        <f>IFERROR(__xludf.DUMMYFUNCTION("""COMPUTED_VALUE"""),46187.605729166666)</f>
        <v>46187.60573</v>
      </c>
      <c r="B7596" s="126">
        <f>IFERROR(__xludf.DUMMYFUNCTION("""COMPUTED_VALUE"""),46187.0)</f>
        <v>46187</v>
      </c>
      <c r="C7596" s="122" t="str">
        <f>IFERROR(__xludf.DUMMYFUNCTION("""COMPUTED_VALUE"""),"IBND")</f>
        <v>IBND</v>
      </c>
      <c r="D7596" s="122" t="str">
        <f>IFERROR(__xludf.DUMMYFUNCTION("""COMPUTED_VALUE"""),"Inflation Protected Bond")</f>
        <v>Inflation Protected Bond</v>
      </c>
      <c r="E7596" s="122">
        <f>IFERROR(__xludf.DUMMYFUNCTION("""COMPUTED_VALUE"""),100.71)</f>
        <v>100.71</v>
      </c>
      <c r="F7596" s="122">
        <f>IFERROR(__xludf.DUMMYFUNCTION("""COMPUTED_VALUE"""),-3.0E-4)</f>
        <v>-0.0003</v>
      </c>
    </row>
    <row r="7597">
      <c r="A7597" s="131">
        <f>IFERROR(__xludf.DUMMYFUNCTION("""COMPUTED_VALUE"""),46187.607141203705)</f>
        <v>46187.60714</v>
      </c>
      <c r="B7597" s="126">
        <f>IFERROR(__xludf.DUMMYFUNCTION("""COMPUTED_VALUE"""),46187.0)</f>
        <v>46187</v>
      </c>
      <c r="C7597" s="130">
        <f>IFERROR(__xludf.DUMMYFUNCTION("""COMPUTED_VALUE"""),0.6071412037037037)</f>
        <v>0.6071412037</v>
      </c>
      <c r="D7597" s="122" t="str">
        <f>IFERROR(__xludf.DUMMYFUNCTION("""COMPUTED_VALUE"""),"SNAX")</f>
        <v>SNAX</v>
      </c>
      <c r="E7597" s="122" t="str">
        <f>IFERROR(__xludf.DUMMYFUNCTION("""COMPUTED_VALUE"""),"MICA Snacks")</f>
        <v>MICA Snacks</v>
      </c>
      <c r="F7597" s="122" t="str">
        <f>IFERROR(__xludf.DUMMYFUNCTION("""COMPUTED_VALUE"""),"Consumer Goods")</f>
        <v>Consumer Goods</v>
      </c>
    </row>
    <row r="7598">
      <c r="A7598" s="131">
        <f>IFERROR(__xludf.DUMMYFUNCTION("""COMPUTED_VALUE"""),46187.607141203705)</f>
        <v>46187.60714</v>
      </c>
      <c r="B7598" s="126">
        <f>IFERROR(__xludf.DUMMYFUNCTION("""COMPUTED_VALUE"""),46187.0)</f>
        <v>46187</v>
      </c>
      <c r="C7598" s="130">
        <f>IFERROR(__xludf.DUMMYFUNCTION("""COMPUTED_VALUE"""),0.6071412037037037)</f>
        <v>0.6071412037</v>
      </c>
      <c r="D7598" s="122" t="str">
        <f>IFERROR(__xludf.DUMMYFUNCTION("""COMPUTED_VALUE"""),"RAMN")</f>
        <v>RAMN</v>
      </c>
      <c r="E7598" s="122" t="str">
        <f>IFERROR(__xludf.DUMMYFUNCTION("""COMPUTED_VALUE"""),"Ramen Republic")</f>
        <v>Ramen Republic</v>
      </c>
      <c r="F7598" s="122" t="str">
        <f>IFERROR(__xludf.DUMMYFUNCTION("""COMPUTED_VALUE"""),"Food")</f>
        <v>Food</v>
      </c>
    </row>
    <row r="7599">
      <c r="A7599" s="131">
        <f>IFERROR(__xludf.DUMMYFUNCTION("""COMPUTED_VALUE"""),46187.607141203705)</f>
        <v>46187.60714</v>
      </c>
      <c r="B7599" s="126">
        <f>IFERROR(__xludf.DUMMYFUNCTION("""COMPUTED_VALUE"""),46187.0)</f>
        <v>46187</v>
      </c>
      <c r="C7599" s="130">
        <f>IFERROR(__xludf.DUMMYFUNCTION("""COMPUTED_VALUE"""),0.6071412037037037)</f>
        <v>0.6071412037</v>
      </c>
      <c r="D7599" s="122" t="str">
        <f>IFERROR(__xludf.DUMMYFUNCTION("""COMPUTED_VALUE"""),"COLA")</f>
        <v>COLA</v>
      </c>
      <c r="E7599" s="122" t="str">
        <f>IFERROR(__xludf.DUMMYFUNCTION("""COMPUTED_VALUE"""),"K-Pop Cola")</f>
        <v>K-Pop Cola</v>
      </c>
      <c r="F7599" s="122" t="str">
        <f>IFERROR(__xludf.DUMMYFUNCTION("""COMPUTED_VALUE"""),"Beverage")</f>
        <v>Beverage</v>
      </c>
    </row>
    <row r="7600">
      <c r="A7600" s="131">
        <f>IFERROR(__xludf.DUMMYFUNCTION("""COMPUTED_VALUE"""),46187.607141203705)</f>
        <v>46187.60714</v>
      </c>
      <c r="B7600" s="126">
        <f>IFERROR(__xludf.DUMMYFUNCTION("""COMPUTED_VALUE"""),46187.0)</f>
        <v>46187</v>
      </c>
      <c r="C7600" s="130">
        <f>IFERROR(__xludf.DUMMYFUNCTION("""COMPUTED_VALUE"""),0.6071412037037037)</f>
        <v>0.6071412037</v>
      </c>
      <c r="D7600" s="122" t="str">
        <f>IFERROR(__xludf.DUMMYFUNCTION("""COMPUTED_VALUE"""),"CHIP")</f>
        <v>CHIP</v>
      </c>
      <c r="E7600" s="122" t="str">
        <f>IFERROR(__xludf.DUMMYFUNCTION("""COMPUTED_VALUE"""),"Chip Empire")</f>
        <v>Chip Empire</v>
      </c>
      <c r="F7600" s="122" t="str">
        <f>IFERROR(__xludf.DUMMYFUNCTION("""COMPUTED_VALUE"""),"Consumer Goods")</f>
        <v>Consumer Goods</v>
      </c>
    </row>
    <row r="7601">
      <c r="A7601" s="131">
        <f>IFERROR(__xludf.DUMMYFUNCTION("""COMPUTED_VALUE"""),46187.607141203705)</f>
        <v>46187.60714</v>
      </c>
      <c r="B7601" s="126">
        <f>IFERROR(__xludf.DUMMYFUNCTION("""COMPUTED_VALUE"""),46187.0)</f>
        <v>46187</v>
      </c>
      <c r="C7601" s="130">
        <f>IFERROR(__xludf.DUMMYFUNCTION("""COMPUTED_VALUE"""),0.6071412037037037)</f>
        <v>0.6071412037</v>
      </c>
      <c r="D7601" s="122" t="str">
        <f>IFERROR(__xludf.DUMMYFUNCTION("""COMPUTED_VALUE"""),"CAND")</f>
        <v>CAND</v>
      </c>
      <c r="E7601" s="122" t="str">
        <f>IFERROR(__xludf.DUMMYFUNCTION("""COMPUTED_VALUE"""),"Candy Capital")</f>
        <v>Candy Capital</v>
      </c>
      <c r="F7601" s="122" t="str">
        <f>IFERROR(__xludf.DUMMYFUNCTION("""COMPUTED_VALUE"""),"Consumer Goods")</f>
        <v>Consumer Goods</v>
      </c>
    </row>
    <row r="7602">
      <c r="A7602" s="131">
        <f>IFERROR(__xludf.DUMMYFUNCTION("""COMPUTED_VALUE"""),46187.607141203705)</f>
        <v>46187.60714</v>
      </c>
      <c r="B7602" s="126">
        <f>IFERROR(__xludf.DUMMYFUNCTION("""COMPUTED_VALUE"""),46187.0)</f>
        <v>46187</v>
      </c>
      <c r="C7602" s="130">
        <f>IFERROR(__xludf.DUMMYFUNCTION("""COMPUTED_VALUE"""),0.6071412037037037)</f>
        <v>0.6071412037</v>
      </c>
      <c r="D7602" s="122" t="str">
        <f>IFERROR(__xludf.DUMMYFUNCTION("""COMPUTED_VALUE"""),"TECH")</f>
        <v>TECH</v>
      </c>
      <c r="E7602" s="122" t="str">
        <f>IFERROR(__xludf.DUMMYFUNCTION("""COMPUTED_VALUE"""),"Dragon Tech")</f>
        <v>Dragon Tech</v>
      </c>
      <c r="F7602" s="122" t="str">
        <f>IFERROR(__xludf.DUMMYFUNCTION("""COMPUTED_VALUE"""),"Technology")</f>
        <v>Technology</v>
      </c>
    </row>
    <row r="7603">
      <c r="A7603" s="131">
        <f>IFERROR(__xludf.DUMMYFUNCTION("""COMPUTED_VALUE"""),46187.607141203705)</f>
        <v>46187.60714</v>
      </c>
      <c r="B7603" s="126">
        <f>IFERROR(__xludf.DUMMYFUNCTION("""COMPUTED_VALUE"""),46187.0)</f>
        <v>46187</v>
      </c>
      <c r="C7603" s="130">
        <f>IFERROR(__xludf.DUMMYFUNCTION("""COMPUTED_VALUE"""),0.6071412037037037)</f>
        <v>0.6071412037</v>
      </c>
      <c r="D7603" s="122" t="str">
        <f>IFERROR(__xludf.DUMMYFUNCTION("""COMPUTED_VALUE"""),"AIBO")</f>
        <v>AIBO</v>
      </c>
      <c r="E7603" s="122" t="str">
        <f>IFERROR(__xludf.DUMMYFUNCTION("""COMPUTED_VALUE"""),"Homework AI")</f>
        <v>Homework AI</v>
      </c>
      <c r="F7603" s="122" t="str">
        <f>IFERROR(__xludf.DUMMYFUNCTION("""COMPUTED_VALUE"""),"Technology")</f>
        <v>Technology</v>
      </c>
    </row>
    <row r="7604">
      <c r="A7604" s="131">
        <f>IFERROR(__xludf.DUMMYFUNCTION("""COMPUTED_VALUE"""),46187.607141203705)</f>
        <v>46187.60714</v>
      </c>
      <c r="B7604" s="126">
        <f>IFERROR(__xludf.DUMMYFUNCTION("""COMPUTED_VALUE"""),46187.0)</f>
        <v>46187</v>
      </c>
      <c r="C7604" s="130">
        <f>IFERROR(__xludf.DUMMYFUNCTION("""COMPUTED_VALUE"""),0.6071412037037037)</f>
        <v>0.6071412037</v>
      </c>
      <c r="D7604" s="122" t="str">
        <f>IFERROR(__xludf.DUMMYFUNCTION("""COMPUTED_VALUE"""),"GAME")</f>
        <v>GAME</v>
      </c>
      <c r="E7604" s="122" t="str">
        <f>IFERROR(__xludf.DUMMYFUNCTION("""COMPUTED_VALUE"""),"GameBox Media")</f>
        <v>GameBox Media</v>
      </c>
      <c r="F7604" s="122" t="str">
        <f>IFERROR(__xludf.DUMMYFUNCTION("""COMPUTED_VALUE"""),"Entertainment")</f>
        <v>Entertainment</v>
      </c>
    </row>
    <row r="7605">
      <c r="A7605" s="131">
        <f>IFERROR(__xludf.DUMMYFUNCTION("""COMPUTED_VALUE"""),46187.607141203705)</f>
        <v>46187.60714</v>
      </c>
      <c r="B7605" s="126">
        <f>IFERROR(__xludf.DUMMYFUNCTION("""COMPUTED_VALUE"""),46187.0)</f>
        <v>46187</v>
      </c>
      <c r="C7605" s="130">
        <f>IFERROR(__xludf.DUMMYFUNCTION("""COMPUTED_VALUE"""),0.6071412037037037)</f>
        <v>0.6071412037</v>
      </c>
      <c r="D7605" s="122" t="str">
        <f>IFERROR(__xludf.DUMMYFUNCTION("""COMPUTED_VALUE"""),"VRSE")</f>
        <v>VRSE</v>
      </c>
      <c r="E7605" s="122" t="str">
        <f>IFERROR(__xludf.DUMMYFUNCTION("""COMPUTED_VALUE"""),"VerseVR")</f>
        <v>VerseVR</v>
      </c>
      <c r="F7605" s="122" t="str">
        <f>IFERROR(__xludf.DUMMYFUNCTION("""COMPUTED_VALUE"""),"Technology")</f>
        <v>Technology</v>
      </c>
    </row>
    <row r="7606">
      <c r="A7606" s="131">
        <f>IFERROR(__xludf.DUMMYFUNCTION("""COMPUTED_VALUE"""),46187.607141203705)</f>
        <v>46187.60714</v>
      </c>
      <c r="B7606" s="126">
        <f>IFERROR(__xludf.DUMMYFUNCTION("""COMPUTED_VALUE"""),46187.0)</f>
        <v>46187</v>
      </c>
      <c r="C7606" s="130">
        <f>IFERROR(__xludf.DUMMYFUNCTION("""COMPUTED_VALUE"""),0.6071412037037037)</f>
        <v>0.6071412037</v>
      </c>
      <c r="D7606" s="122" t="str">
        <f>IFERROR(__xludf.DUMMYFUNCTION("""COMPUTED_VALUE"""),"BYTE")</f>
        <v>BYTE</v>
      </c>
      <c r="E7606" s="122" t="str">
        <f>IFERROR(__xludf.DUMMYFUNCTION("""COMPUTED_VALUE"""),"ByteWorks")</f>
        <v>ByteWorks</v>
      </c>
      <c r="F7606" s="122" t="str">
        <f>IFERROR(__xludf.DUMMYFUNCTION("""COMPUTED_VALUE"""),"Technology")</f>
        <v>Technology</v>
      </c>
    </row>
    <row r="7607">
      <c r="A7607" s="131">
        <f>IFERROR(__xludf.DUMMYFUNCTION("""COMPUTED_VALUE"""),46187.607141203705)</f>
        <v>46187.60714</v>
      </c>
      <c r="B7607" s="126">
        <f>IFERROR(__xludf.DUMMYFUNCTION("""COMPUTED_VALUE"""),46187.0)</f>
        <v>46187</v>
      </c>
      <c r="C7607" s="130">
        <f>IFERROR(__xludf.DUMMYFUNCTION("""COMPUTED_VALUE"""),0.6071412037037037)</f>
        <v>0.6071412037</v>
      </c>
      <c r="D7607" s="122" t="str">
        <f>IFERROR(__xludf.DUMMYFUNCTION("""COMPUTED_VALUE"""),"BANK")</f>
        <v>BANK</v>
      </c>
      <c r="E7607" s="122" t="str">
        <f>IFERROR(__xludf.DUMMYFUNCTION("""COMPUTED_VALUE"""),"Tiger Bank")</f>
        <v>Tiger Bank</v>
      </c>
      <c r="F7607" s="122" t="str">
        <f>IFERROR(__xludf.DUMMYFUNCTION("""COMPUTED_VALUE"""),"Finance")</f>
        <v>Finance</v>
      </c>
    </row>
    <row r="7608">
      <c r="A7608" s="131">
        <f>IFERROR(__xludf.DUMMYFUNCTION("""COMPUTED_VALUE"""),46187.607141203705)</f>
        <v>46187.60714</v>
      </c>
      <c r="B7608" s="126">
        <f>IFERROR(__xludf.DUMMYFUNCTION("""COMPUTED_VALUE"""),46187.0)</f>
        <v>46187</v>
      </c>
      <c r="C7608" s="130">
        <f>IFERROR(__xludf.DUMMYFUNCTION("""COMPUTED_VALUE"""),0.6071412037037037)</f>
        <v>0.6071412037</v>
      </c>
      <c r="D7608" s="122" t="str">
        <f>IFERROR(__xludf.DUMMYFUNCTION("""COMPUTED_VALUE"""),"CRED")</f>
        <v>CRED</v>
      </c>
      <c r="E7608" s="122" t="str">
        <f>IFERROR(__xludf.DUMMYFUNCTION("""COMPUTED_VALUE"""),"Credit Castle")</f>
        <v>Credit Castle</v>
      </c>
      <c r="F7608" s="122" t="str">
        <f>IFERROR(__xludf.DUMMYFUNCTION("""COMPUTED_VALUE"""),"Finance")</f>
        <v>Finance</v>
      </c>
    </row>
    <row r="7609">
      <c r="A7609" s="131">
        <f>IFERROR(__xludf.DUMMYFUNCTION("""COMPUTED_VALUE"""),46187.607141203705)</f>
        <v>46187.60714</v>
      </c>
      <c r="B7609" s="126">
        <f>IFERROR(__xludf.DUMMYFUNCTION("""COMPUTED_VALUE"""),46187.0)</f>
        <v>46187</v>
      </c>
      <c r="C7609" s="130">
        <f>IFERROR(__xludf.DUMMYFUNCTION("""COMPUTED_VALUE"""),0.6071412037037037)</f>
        <v>0.6071412037</v>
      </c>
      <c r="D7609" s="122" t="str">
        <f>IFERROR(__xludf.DUMMYFUNCTION("""COMPUTED_VALUE"""),"BOND")</f>
        <v>BOND</v>
      </c>
      <c r="E7609" s="122" t="str">
        <f>IFERROR(__xludf.DUMMYFUNCTION("""COMPUTED_VALUE"""),"BondBridge")</f>
        <v>BondBridge</v>
      </c>
      <c r="F7609" s="122" t="str">
        <f>IFERROR(__xludf.DUMMYFUNCTION("""COMPUTED_VALUE"""),"Finance")</f>
        <v>Finance</v>
      </c>
    </row>
    <row r="7610">
      <c r="A7610" s="131">
        <f>IFERROR(__xludf.DUMMYFUNCTION("""COMPUTED_VALUE"""),46187.607141203705)</f>
        <v>46187.60714</v>
      </c>
      <c r="B7610" s="126">
        <f>IFERROR(__xludf.DUMMYFUNCTION("""COMPUTED_VALUE"""),46187.0)</f>
        <v>46187</v>
      </c>
      <c r="C7610" s="130">
        <f>IFERROR(__xludf.DUMMYFUNCTION("""COMPUTED_VALUE"""),0.6071412037037037)</f>
        <v>0.6071412037</v>
      </c>
      <c r="D7610" s="122" t="str">
        <f>IFERROR(__xludf.DUMMYFUNCTION("""COMPUTED_VALUE"""),"INSR")</f>
        <v>INSR</v>
      </c>
      <c r="E7610" s="122" t="str">
        <f>IFERROR(__xludf.DUMMYFUNCTION("""COMPUTED_VALUE"""),"Shield Insurance")</f>
        <v>Shield Insurance</v>
      </c>
      <c r="F7610" s="122" t="str">
        <f>IFERROR(__xludf.DUMMYFUNCTION("""COMPUTED_VALUE"""),"Finance")</f>
        <v>Finance</v>
      </c>
    </row>
    <row r="7611">
      <c r="A7611" s="131">
        <f>IFERROR(__xludf.DUMMYFUNCTION("""COMPUTED_VALUE"""),46187.607141203705)</f>
        <v>46187.60714</v>
      </c>
      <c r="B7611" s="126">
        <f>IFERROR(__xludf.DUMMYFUNCTION("""COMPUTED_VALUE"""),46187.0)</f>
        <v>46187</v>
      </c>
      <c r="C7611" s="130">
        <f>IFERROR(__xludf.DUMMYFUNCTION("""COMPUTED_VALUE"""),0.6071412037037037)</f>
        <v>0.6071412037</v>
      </c>
      <c r="D7611" s="122" t="str">
        <f>IFERROR(__xludf.DUMMYFUNCTION("""COMPUTED_VALUE"""),"LOAN")</f>
        <v>LOAN</v>
      </c>
      <c r="E7611" s="122" t="str">
        <f>IFERROR(__xludf.DUMMYFUNCTION("""COMPUTED_VALUE"""),"LoanLab")</f>
        <v>LoanLab</v>
      </c>
      <c r="F7611" s="122" t="str">
        <f>IFERROR(__xludf.DUMMYFUNCTION("""COMPUTED_VALUE"""),"Finance")</f>
        <v>Finance</v>
      </c>
    </row>
    <row r="7612">
      <c r="A7612" s="131">
        <f>IFERROR(__xludf.DUMMYFUNCTION("""COMPUTED_VALUE"""),46187.607141203705)</f>
        <v>46187.60714</v>
      </c>
      <c r="B7612" s="126">
        <f>IFERROR(__xludf.DUMMYFUNCTION("""COMPUTED_VALUE"""),46187.0)</f>
        <v>46187</v>
      </c>
      <c r="C7612" s="130">
        <f>IFERROR(__xludf.DUMMYFUNCTION("""COMPUTED_VALUE"""),0.6071412037037037)</f>
        <v>0.6071412037</v>
      </c>
      <c r="D7612" s="122" t="str">
        <f>IFERROR(__xludf.DUMMYFUNCTION("""COMPUTED_VALUE"""),"LUXE")</f>
        <v>LUXE</v>
      </c>
      <c r="E7612" s="122" t="str">
        <f>IFERROR(__xludf.DUMMYFUNCTION("""COMPUTED_VALUE"""),"Luxury Locker")</f>
        <v>Luxury Locker</v>
      </c>
      <c r="F7612" s="122" t="str">
        <f>IFERROR(__xludf.DUMMYFUNCTION("""COMPUTED_VALUE"""),"Luxury Goods")</f>
        <v>Luxury Goods</v>
      </c>
    </row>
    <row r="7613">
      <c r="A7613" s="131">
        <f>IFERROR(__xludf.DUMMYFUNCTION("""COMPUTED_VALUE"""),46187.607141203705)</f>
        <v>46187.60714</v>
      </c>
      <c r="B7613" s="126">
        <f>IFERROR(__xludf.DUMMYFUNCTION("""COMPUTED_VALUE"""),46187.0)</f>
        <v>46187</v>
      </c>
      <c r="C7613" s="130">
        <f>IFERROR(__xludf.DUMMYFUNCTION("""COMPUTED_VALUE"""),0.6071412037037037)</f>
        <v>0.6071412037</v>
      </c>
      <c r="D7613" s="122" t="str">
        <f>IFERROR(__xludf.DUMMYFUNCTION("""COMPUTED_VALUE"""),"DRIP")</f>
        <v>DRIP</v>
      </c>
      <c r="E7613" s="122" t="str">
        <f>IFERROR(__xludf.DUMMYFUNCTION("""COMPUTED_VALUE"""),"Drip Streetwear")</f>
        <v>Drip Streetwear</v>
      </c>
      <c r="F7613" s="122" t="str">
        <f>IFERROR(__xludf.DUMMYFUNCTION("""COMPUTED_VALUE"""),"Fashion")</f>
        <v>Fashion</v>
      </c>
    </row>
    <row r="7614">
      <c r="A7614" s="131">
        <f>IFERROR(__xludf.DUMMYFUNCTION("""COMPUTED_VALUE"""),46187.607141203705)</f>
        <v>46187.60714</v>
      </c>
      <c r="B7614" s="126">
        <f>IFERROR(__xludf.DUMMYFUNCTION("""COMPUTED_VALUE"""),46187.0)</f>
        <v>46187</v>
      </c>
      <c r="C7614" s="130">
        <f>IFERROR(__xludf.DUMMYFUNCTION("""COMPUTED_VALUE"""),0.6071412037037037)</f>
        <v>0.6071412037</v>
      </c>
      <c r="D7614" s="122" t="str">
        <f>IFERROR(__xludf.DUMMYFUNCTION("""COMPUTED_VALUE"""),"KICK")</f>
        <v>KICK</v>
      </c>
      <c r="E7614" s="122" t="str">
        <f>IFERROR(__xludf.DUMMYFUNCTION("""COMPUTED_VALUE"""),"KickDrop Sneakers")</f>
        <v>KickDrop Sneakers</v>
      </c>
      <c r="F7614" s="122" t="str">
        <f>IFERROR(__xludf.DUMMYFUNCTION("""COMPUTED_VALUE"""),"Fashion")</f>
        <v>Fashion</v>
      </c>
    </row>
    <row r="7615">
      <c r="A7615" s="131">
        <f>IFERROR(__xludf.DUMMYFUNCTION("""COMPUTED_VALUE"""),46187.607141203705)</f>
        <v>46187.60714</v>
      </c>
      <c r="B7615" s="126">
        <f>IFERROR(__xludf.DUMMYFUNCTION("""COMPUTED_VALUE"""),46187.0)</f>
        <v>46187</v>
      </c>
      <c r="C7615" s="130">
        <f>IFERROR(__xludf.DUMMYFUNCTION("""COMPUTED_VALUE"""),0.6071412037037037)</f>
        <v>0.6071412037</v>
      </c>
      <c r="D7615" s="122" t="str">
        <f>IFERROR(__xludf.DUMMYFUNCTION("""COMPUTED_VALUE"""),"GLAM")</f>
        <v>GLAM</v>
      </c>
      <c r="E7615" s="122" t="str">
        <f>IFERROR(__xludf.DUMMYFUNCTION("""COMPUTED_VALUE"""),"Glow Cosmetics")</f>
        <v>Glow Cosmetics</v>
      </c>
      <c r="F7615" s="122" t="str">
        <f>IFERROR(__xludf.DUMMYFUNCTION("""COMPUTED_VALUE"""),"Fashion")</f>
        <v>Fashion</v>
      </c>
    </row>
    <row r="7616">
      <c r="A7616" s="131">
        <f>IFERROR(__xludf.DUMMYFUNCTION("""COMPUTED_VALUE"""),46187.607141203705)</f>
        <v>46187.60714</v>
      </c>
      <c r="B7616" s="126">
        <f>IFERROR(__xludf.DUMMYFUNCTION("""COMPUTED_VALUE"""),46187.0)</f>
        <v>46187</v>
      </c>
      <c r="C7616" s="130">
        <f>IFERROR(__xludf.DUMMYFUNCTION("""COMPUTED_VALUE"""),0.6071412037037037)</f>
        <v>0.6071412037</v>
      </c>
      <c r="D7616" s="122" t="str">
        <f>IFERROR(__xludf.DUMMYFUNCTION("""COMPUTED_VALUE"""),"BAGG")</f>
        <v>BAGG</v>
      </c>
      <c r="E7616" s="122" t="str">
        <f>IFERROR(__xludf.DUMMYFUNCTION("""COMPUTED_VALUE"""),"BagVault")</f>
        <v>BagVault</v>
      </c>
      <c r="F7616" s="122" t="str">
        <f>IFERROR(__xludf.DUMMYFUNCTION("""COMPUTED_VALUE"""),"Fashion")</f>
        <v>Fashion</v>
      </c>
    </row>
    <row r="7617">
      <c r="A7617" s="131">
        <f>IFERROR(__xludf.DUMMYFUNCTION("""COMPUTED_VALUE"""),46187.607141203705)</f>
        <v>46187.60714</v>
      </c>
      <c r="B7617" s="126">
        <f>IFERROR(__xludf.DUMMYFUNCTION("""COMPUTED_VALUE"""),46187.0)</f>
        <v>46187</v>
      </c>
      <c r="C7617" s="130">
        <f>IFERROR(__xludf.DUMMYFUNCTION("""COMPUTED_VALUE"""),0.6071412037037037)</f>
        <v>0.6071412037</v>
      </c>
      <c r="D7617" s="122" t="str">
        <f>IFERROR(__xludf.DUMMYFUNCTION("""COMPUTED_VALUE"""),"FAST")</f>
        <v>FAST</v>
      </c>
      <c r="E7617" s="122" t="str">
        <f>IFERROR(__xludf.DUMMYFUNCTION("""COMPUTED_VALUE"""),"Flash Logistics")</f>
        <v>Flash Logistics</v>
      </c>
      <c r="F7617" s="122" t="str">
        <f>IFERROR(__xludf.DUMMYFUNCTION("""COMPUTED_VALUE"""),"Logistics")</f>
        <v>Logistics</v>
      </c>
    </row>
    <row r="7618">
      <c r="A7618" s="131">
        <f>IFERROR(__xludf.DUMMYFUNCTION("""COMPUTED_VALUE"""),46187.607141203705)</f>
        <v>46187.60714</v>
      </c>
      <c r="B7618" s="126">
        <f>IFERROR(__xludf.DUMMYFUNCTION("""COMPUTED_VALUE"""),46187.0)</f>
        <v>46187</v>
      </c>
      <c r="C7618" s="130">
        <f>IFERROR(__xludf.DUMMYFUNCTION("""COMPUTED_VALUE"""),0.6071412037037037)</f>
        <v>0.6071412037</v>
      </c>
      <c r="D7618" s="122" t="str">
        <f>IFERROR(__xludf.DUMMYFUNCTION("""COMPUTED_VALUE"""),"SHIP")</f>
        <v>SHIP</v>
      </c>
      <c r="E7618" s="122" t="str">
        <f>IFERROR(__xludf.DUMMYFUNCTION("""COMPUTED_VALUE"""),"Seoul Shipping")</f>
        <v>Seoul Shipping</v>
      </c>
      <c r="F7618" s="122" t="str">
        <f>IFERROR(__xludf.DUMMYFUNCTION("""COMPUTED_VALUE"""),"Logistics")</f>
        <v>Logistics</v>
      </c>
    </row>
    <row r="7619">
      <c r="A7619" s="131">
        <f>IFERROR(__xludf.DUMMYFUNCTION("""COMPUTED_VALUE"""),46187.607141203705)</f>
        <v>46187.60714</v>
      </c>
      <c r="B7619" s="126">
        <f>IFERROR(__xludf.DUMMYFUNCTION("""COMPUTED_VALUE"""),46187.0)</f>
        <v>46187</v>
      </c>
      <c r="C7619" s="130">
        <f>IFERROR(__xludf.DUMMYFUNCTION("""COMPUTED_VALUE"""),0.6071412037037037)</f>
        <v>0.6071412037</v>
      </c>
      <c r="D7619" s="122" t="str">
        <f>IFERROR(__xludf.DUMMYFUNCTION("""COMPUTED_VALUE"""),"DRON")</f>
        <v>DRON</v>
      </c>
      <c r="E7619" s="122" t="str">
        <f>IFERROR(__xludf.DUMMYFUNCTION("""COMPUTED_VALUE"""),"DroneDrop")</f>
        <v>DroneDrop</v>
      </c>
      <c r="F7619" s="122" t="str">
        <f>IFERROR(__xludf.DUMMYFUNCTION("""COMPUTED_VALUE"""),"Logistics")</f>
        <v>Logistics</v>
      </c>
    </row>
    <row r="7620">
      <c r="A7620" s="131">
        <f>IFERROR(__xludf.DUMMYFUNCTION("""COMPUTED_VALUE"""),46187.607141203705)</f>
        <v>46187.60714</v>
      </c>
      <c r="B7620" s="126">
        <f>IFERROR(__xludf.DUMMYFUNCTION("""COMPUTED_VALUE"""),46187.0)</f>
        <v>46187</v>
      </c>
      <c r="C7620" s="130">
        <f>IFERROR(__xludf.DUMMYFUNCTION("""COMPUTED_VALUE"""),0.6071412037037037)</f>
        <v>0.6071412037</v>
      </c>
      <c r="D7620" s="122" t="str">
        <f>IFERROR(__xludf.DUMMYFUNCTION("""COMPUTED_VALUE"""),"RIDE")</f>
        <v>RIDE</v>
      </c>
      <c r="E7620" s="122" t="str">
        <f>IFERROR(__xludf.DUMMYFUNCTION("""COMPUTED_VALUE"""),"QuickRide")</f>
        <v>QuickRide</v>
      </c>
      <c r="F7620" s="122" t="str">
        <f>IFERROR(__xludf.DUMMYFUNCTION("""COMPUTED_VALUE"""),"Transportation")</f>
        <v>Transportation</v>
      </c>
    </row>
    <row r="7621">
      <c r="A7621" s="131">
        <f>IFERROR(__xludf.DUMMYFUNCTION("""COMPUTED_VALUE"""),46187.607141203705)</f>
        <v>46187.60714</v>
      </c>
      <c r="B7621" s="126">
        <f>IFERROR(__xludf.DUMMYFUNCTION("""COMPUTED_VALUE"""),46187.0)</f>
        <v>46187</v>
      </c>
      <c r="C7621" s="130">
        <f>IFERROR(__xludf.DUMMYFUNCTION("""COMPUTED_VALUE"""),0.6071412037037037)</f>
        <v>0.6071412037</v>
      </c>
      <c r="D7621" s="122" t="str">
        <f>IFERROR(__xludf.DUMMYFUNCTION("""COMPUTED_VALUE"""),"RAIL")</f>
        <v>RAIL</v>
      </c>
      <c r="E7621" s="122" t="str">
        <f>IFERROR(__xludf.DUMMYFUNCTION("""COMPUTED_VALUE"""),"MetroRail Corp")</f>
        <v>MetroRail Corp</v>
      </c>
      <c r="F7621" s="122" t="str">
        <f>IFERROR(__xludf.DUMMYFUNCTION("""COMPUTED_VALUE"""),"Transportation")</f>
        <v>Transportation</v>
      </c>
    </row>
    <row r="7622">
      <c r="A7622" s="131">
        <f>IFERROR(__xludf.DUMMYFUNCTION("""COMPUTED_VALUE"""),46187.607141203705)</f>
        <v>46187.60714</v>
      </c>
      <c r="B7622" s="126">
        <f>IFERROR(__xludf.DUMMYFUNCTION("""COMPUTED_VALUE"""),46187.0)</f>
        <v>46187</v>
      </c>
      <c r="C7622" s="130">
        <f>IFERROR(__xludf.DUMMYFUNCTION("""COMPUTED_VALUE"""),0.6071412037037037)</f>
        <v>0.6071412037</v>
      </c>
      <c r="D7622" s="122" t="str">
        <f>IFERROR(__xludf.DUMMYFUNCTION("""COMPUTED_VALUE"""),"MEDX")</f>
        <v>MEDX</v>
      </c>
      <c r="E7622" s="122" t="str">
        <f>IFERROR(__xludf.DUMMYFUNCTION("""COMPUTED_VALUE"""),"MediCore")</f>
        <v>MediCore</v>
      </c>
      <c r="F7622" s="122" t="str">
        <f>IFERROR(__xludf.DUMMYFUNCTION("""COMPUTED_VALUE"""),"Healthcare")</f>
        <v>Healthcare</v>
      </c>
    </row>
    <row r="7623">
      <c r="A7623" s="131">
        <f>IFERROR(__xludf.DUMMYFUNCTION("""COMPUTED_VALUE"""),46187.607141203705)</f>
        <v>46187.60714</v>
      </c>
      <c r="B7623" s="126">
        <f>IFERROR(__xludf.DUMMYFUNCTION("""COMPUTED_VALUE"""),46187.0)</f>
        <v>46187</v>
      </c>
      <c r="C7623" s="130">
        <f>IFERROR(__xludf.DUMMYFUNCTION("""COMPUTED_VALUE"""),0.6071412037037037)</f>
        <v>0.6071412037</v>
      </c>
      <c r="D7623" s="122" t="str">
        <f>IFERROR(__xludf.DUMMYFUNCTION("""COMPUTED_VALUE"""),"GYMX")</f>
        <v>GYMX</v>
      </c>
      <c r="E7623" s="122" t="str">
        <f>IFERROR(__xludf.DUMMYFUNCTION("""COMPUTED_VALUE"""),"GymX Fitness")</f>
        <v>GymX Fitness</v>
      </c>
      <c r="F7623" s="122" t="str">
        <f>IFERROR(__xludf.DUMMYFUNCTION("""COMPUTED_VALUE"""),"Healthcare")</f>
        <v>Healthcare</v>
      </c>
    </row>
    <row r="7624">
      <c r="A7624" s="131">
        <f>IFERROR(__xludf.DUMMYFUNCTION("""COMPUTED_VALUE"""),46187.607141203705)</f>
        <v>46187.60714</v>
      </c>
      <c r="B7624" s="126">
        <f>IFERROR(__xludf.DUMMYFUNCTION("""COMPUTED_VALUE"""),46187.0)</f>
        <v>46187</v>
      </c>
      <c r="C7624" s="130">
        <f>IFERROR(__xludf.DUMMYFUNCTION("""COMPUTED_VALUE"""),0.6071412037037037)</f>
        <v>0.6071412037</v>
      </c>
      <c r="D7624" s="122" t="str">
        <f>IFERROR(__xludf.DUMMYFUNCTION("""COMPUTED_VALUE"""),"VITA")</f>
        <v>VITA</v>
      </c>
      <c r="E7624" s="122" t="str">
        <f>IFERROR(__xludf.DUMMYFUNCTION("""COMPUTED_VALUE"""),"VitaPlus")</f>
        <v>VitaPlus</v>
      </c>
      <c r="F7624" s="122" t="str">
        <f>IFERROR(__xludf.DUMMYFUNCTION("""COMPUTED_VALUE"""),"Healthcare")</f>
        <v>Healthcare</v>
      </c>
    </row>
    <row r="7625">
      <c r="A7625" s="131">
        <f>IFERROR(__xludf.DUMMYFUNCTION("""COMPUTED_VALUE"""),46187.607141203705)</f>
        <v>46187.60714</v>
      </c>
      <c r="B7625" s="126">
        <f>IFERROR(__xludf.DUMMYFUNCTION("""COMPUTED_VALUE"""),46187.0)</f>
        <v>46187</v>
      </c>
      <c r="C7625" s="130">
        <f>IFERROR(__xludf.DUMMYFUNCTION("""COMPUTED_VALUE"""),0.6071412037037037)</f>
        <v>0.6071412037</v>
      </c>
      <c r="D7625" s="122" t="str">
        <f>IFERROR(__xludf.DUMMYFUNCTION("""COMPUTED_VALUE"""),"CARE")</f>
        <v>CARE</v>
      </c>
      <c r="E7625" s="122" t="str">
        <f>IFERROR(__xludf.DUMMYFUNCTION("""COMPUTED_VALUE"""),"CareCloud")</f>
        <v>CareCloud</v>
      </c>
      <c r="F7625" s="122" t="str">
        <f>IFERROR(__xludf.DUMMYFUNCTION("""COMPUTED_VALUE"""),"Healthcare")</f>
        <v>Healthcare</v>
      </c>
    </row>
    <row r="7626">
      <c r="A7626" s="131">
        <f>IFERROR(__xludf.DUMMYFUNCTION("""COMPUTED_VALUE"""),46187.607141203705)</f>
        <v>46187.60714</v>
      </c>
      <c r="B7626" s="126">
        <f>IFERROR(__xludf.DUMMYFUNCTION("""COMPUTED_VALUE"""),46187.0)</f>
        <v>46187</v>
      </c>
      <c r="C7626" s="130">
        <f>IFERROR(__xludf.DUMMYFUNCTION("""COMPUTED_VALUE"""),0.6071412037037037)</f>
        <v>0.6071412037</v>
      </c>
      <c r="D7626" s="122" t="str">
        <f>IFERROR(__xludf.DUMMYFUNCTION("""COMPUTED_VALUE"""),"DENT")</f>
        <v>DENT</v>
      </c>
      <c r="E7626" s="122" t="str">
        <f>IFERROR(__xludf.DUMMYFUNCTION("""COMPUTED_VALUE"""),"SmileWorks")</f>
        <v>SmileWorks</v>
      </c>
      <c r="F7626" s="122" t="str">
        <f>IFERROR(__xludf.DUMMYFUNCTION("""COMPUTED_VALUE"""),"Healthcare")</f>
        <v>Healthcare</v>
      </c>
    </row>
    <row r="7627">
      <c r="A7627" s="131">
        <f>IFERROR(__xludf.DUMMYFUNCTION("""COMPUTED_VALUE"""),46187.607141203705)</f>
        <v>46187.60714</v>
      </c>
      <c r="B7627" s="126">
        <f>IFERROR(__xludf.DUMMYFUNCTION("""COMPUTED_VALUE"""),46187.0)</f>
        <v>46187</v>
      </c>
      <c r="C7627" s="130">
        <f>IFERROR(__xludf.DUMMYFUNCTION("""COMPUTED_VALUE"""),0.6071412037037037)</f>
        <v>0.6071412037</v>
      </c>
      <c r="D7627" s="122" t="str">
        <f>IFERROR(__xludf.DUMMYFUNCTION("""COMPUTED_VALUE"""),"EDUX")</f>
        <v>EDUX</v>
      </c>
      <c r="E7627" s="122" t="str">
        <f>IFERROR(__xludf.DUMMYFUNCTION("""COMPUTED_VALUE"""),"EduMax Learning")</f>
        <v>EduMax Learning</v>
      </c>
      <c r="F7627" s="122" t="str">
        <f>IFERROR(__xludf.DUMMYFUNCTION("""COMPUTED_VALUE"""),"Education")</f>
        <v>Education</v>
      </c>
    </row>
    <row r="7628">
      <c r="A7628" s="131">
        <f>IFERROR(__xludf.DUMMYFUNCTION("""COMPUTED_VALUE"""),46187.607141203705)</f>
        <v>46187.60714</v>
      </c>
      <c r="B7628" s="126">
        <f>IFERROR(__xludf.DUMMYFUNCTION("""COMPUTED_VALUE"""),46187.0)</f>
        <v>46187</v>
      </c>
      <c r="C7628" s="130">
        <f>IFERROR(__xludf.DUMMYFUNCTION("""COMPUTED_VALUE"""),0.6071412037037037)</f>
        <v>0.6071412037</v>
      </c>
      <c r="D7628" s="122" t="str">
        <f>IFERROR(__xludf.DUMMYFUNCTION("""COMPUTED_VALUE"""),"BOOK")</f>
        <v>BOOK</v>
      </c>
      <c r="E7628" s="122" t="str">
        <f>IFERROR(__xludf.DUMMYFUNCTION("""COMPUTED_VALUE"""),"BookBridge")</f>
        <v>BookBridge</v>
      </c>
      <c r="F7628" s="122" t="str">
        <f>IFERROR(__xludf.DUMMYFUNCTION("""COMPUTED_VALUE"""),"Education")</f>
        <v>Education</v>
      </c>
    </row>
    <row r="7629">
      <c r="A7629" s="131">
        <f>IFERROR(__xludf.DUMMYFUNCTION("""COMPUTED_VALUE"""),46187.607141203705)</f>
        <v>46187.60714</v>
      </c>
      <c r="B7629" s="126">
        <f>IFERROR(__xludf.DUMMYFUNCTION("""COMPUTED_VALUE"""),46187.0)</f>
        <v>46187</v>
      </c>
      <c r="C7629" s="130">
        <f>IFERROR(__xludf.DUMMYFUNCTION("""COMPUTED_VALUE"""),0.6071412037037037)</f>
        <v>0.6071412037</v>
      </c>
      <c r="D7629" s="122" t="str">
        <f>IFERROR(__xludf.DUMMYFUNCTION("""COMPUTED_VALUE"""),"TUTR")</f>
        <v>TUTR</v>
      </c>
      <c r="E7629" s="122" t="str">
        <f>IFERROR(__xludf.DUMMYFUNCTION("""COMPUTED_VALUE"""),"TutorTown")</f>
        <v>TutorTown</v>
      </c>
      <c r="F7629" s="122" t="str">
        <f>IFERROR(__xludf.DUMMYFUNCTION("""COMPUTED_VALUE"""),"Education")</f>
        <v>Education</v>
      </c>
    </row>
    <row r="7630">
      <c r="A7630" s="131">
        <f>IFERROR(__xludf.DUMMYFUNCTION("""COMPUTED_VALUE"""),46187.607141203705)</f>
        <v>46187.60714</v>
      </c>
      <c r="B7630" s="126">
        <f>IFERROR(__xludf.DUMMYFUNCTION("""COMPUTED_VALUE"""),46187.0)</f>
        <v>46187</v>
      </c>
      <c r="C7630" s="130">
        <f>IFERROR(__xludf.DUMMYFUNCTION("""COMPUTED_VALUE"""),0.6071412037037037)</f>
        <v>0.6071412037</v>
      </c>
      <c r="D7630" s="122" t="str">
        <f>IFERROR(__xludf.DUMMYFUNCTION("""COMPUTED_VALUE"""),"LANG")</f>
        <v>LANG</v>
      </c>
      <c r="E7630" s="122" t="str">
        <f>IFERROR(__xludf.DUMMYFUNCTION("""COMPUTED_VALUE"""),"LinguaLab")</f>
        <v>LinguaLab</v>
      </c>
      <c r="F7630" s="122" t="str">
        <f>IFERROR(__xludf.DUMMYFUNCTION("""COMPUTED_VALUE"""),"Education")</f>
        <v>Education</v>
      </c>
    </row>
    <row r="7631">
      <c r="A7631" s="131">
        <f>IFERROR(__xludf.DUMMYFUNCTION("""COMPUTED_VALUE"""),46187.607141203705)</f>
        <v>46187.60714</v>
      </c>
      <c r="B7631" s="126">
        <f>IFERROR(__xludf.DUMMYFUNCTION("""COMPUTED_VALUE"""),46187.0)</f>
        <v>46187</v>
      </c>
      <c r="C7631" s="130">
        <f>IFERROR(__xludf.DUMMYFUNCTION("""COMPUTED_VALUE"""),0.6071412037037037)</f>
        <v>0.6071412037</v>
      </c>
      <c r="D7631" s="122" t="str">
        <f>IFERROR(__xludf.DUMMYFUNCTION("""COMPUTED_VALUE"""),"TEST")</f>
        <v>TEST</v>
      </c>
      <c r="E7631" s="122" t="str">
        <f>IFERROR(__xludf.DUMMYFUNCTION("""COMPUTED_VALUE"""),"TestPrep Pro")</f>
        <v>TestPrep Pro</v>
      </c>
      <c r="F7631" s="122" t="str">
        <f>IFERROR(__xludf.DUMMYFUNCTION("""COMPUTED_VALUE"""),"Education")</f>
        <v>Education</v>
      </c>
    </row>
    <row r="7632">
      <c r="A7632" s="131">
        <f>IFERROR(__xludf.DUMMYFUNCTION("""COMPUTED_VALUE"""),46187.607141203705)</f>
        <v>46187.60714</v>
      </c>
      <c r="B7632" s="126">
        <f>IFERROR(__xludf.DUMMYFUNCTION("""COMPUTED_VALUE"""),46187.0)</f>
        <v>46187</v>
      </c>
      <c r="C7632" s="130">
        <f>IFERROR(__xludf.DUMMYFUNCTION("""COMPUTED_VALUE"""),0.6071412037037037)</f>
        <v>0.6071412037</v>
      </c>
      <c r="D7632" s="122" t="str">
        <f>IFERROR(__xludf.DUMMYFUNCTION("""COMPUTED_VALUE"""),"MOVI")</f>
        <v>MOVI</v>
      </c>
      <c r="E7632" s="122" t="str">
        <f>IFERROR(__xludf.DUMMYFUNCTION("""COMPUTED_VALUE"""),"MovieBox")</f>
        <v>MovieBox</v>
      </c>
      <c r="F7632" s="122" t="str">
        <f>IFERROR(__xludf.DUMMYFUNCTION("""COMPUTED_VALUE"""),"Entertainment")</f>
        <v>Entertainment</v>
      </c>
    </row>
    <row r="7633">
      <c r="A7633" s="131">
        <f>IFERROR(__xludf.DUMMYFUNCTION("""COMPUTED_VALUE"""),46187.607141203705)</f>
        <v>46187.60714</v>
      </c>
      <c r="B7633" s="126">
        <f>IFERROR(__xludf.DUMMYFUNCTION("""COMPUTED_VALUE"""),46187.0)</f>
        <v>46187</v>
      </c>
      <c r="C7633" s="130">
        <f>IFERROR(__xludf.DUMMYFUNCTION("""COMPUTED_VALUE"""),0.6071412037037037)</f>
        <v>0.6071412037</v>
      </c>
      <c r="D7633" s="122" t="str">
        <f>IFERROR(__xludf.DUMMYFUNCTION("""COMPUTED_VALUE"""),"MUSC")</f>
        <v>MUSC</v>
      </c>
      <c r="E7633" s="122" t="str">
        <f>IFERROR(__xludf.DUMMYFUNCTION("""COMPUTED_VALUE"""),"MusicWave")</f>
        <v>MusicWave</v>
      </c>
      <c r="F7633" s="122" t="str">
        <f>IFERROR(__xludf.DUMMYFUNCTION("""COMPUTED_VALUE"""),"Entertainment")</f>
        <v>Entertainment</v>
      </c>
    </row>
    <row r="7634">
      <c r="A7634" s="131">
        <f>IFERROR(__xludf.DUMMYFUNCTION("""COMPUTED_VALUE"""),46187.607141203705)</f>
        <v>46187.60714</v>
      </c>
      <c r="B7634" s="126">
        <f>IFERROR(__xludf.DUMMYFUNCTION("""COMPUTED_VALUE"""),46187.0)</f>
        <v>46187</v>
      </c>
      <c r="C7634" s="130">
        <f>IFERROR(__xludf.DUMMYFUNCTION("""COMPUTED_VALUE"""),0.6071412037037037)</f>
        <v>0.6071412037</v>
      </c>
      <c r="D7634" s="122" t="str">
        <f>IFERROR(__xludf.DUMMYFUNCTION("""COMPUTED_VALUE"""),"IDOL")</f>
        <v>IDOL</v>
      </c>
      <c r="E7634" s="122" t="str">
        <f>IFERROR(__xludf.DUMMYFUNCTION("""COMPUTED_VALUE"""),"Idol Agency")</f>
        <v>Idol Agency</v>
      </c>
      <c r="F7634" s="122" t="str">
        <f>IFERROR(__xludf.DUMMYFUNCTION("""COMPUTED_VALUE"""),"Entertainment")</f>
        <v>Entertainment</v>
      </c>
    </row>
    <row r="7635">
      <c r="A7635" s="131">
        <f>IFERROR(__xludf.DUMMYFUNCTION("""COMPUTED_VALUE"""),46187.607141203705)</f>
        <v>46187.60714</v>
      </c>
      <c r="B7635" s="126">
        <f>IFERROR(__xludf.DUMMYFUNCTION("""COMPUTED_VALUE"""),46187.0)</f>
        <v>46187</v>
      </c>
      <c r="C7635" s="130">
        <f>IFERROR(__xludf.DUMMYFUNCTION("""COMPUTED_VALUE"""),0.6071412037037037)</f>
        <v>0.6071412037</v>
      </c>
      <c r="D7635" s="122" t="str">
        <f>IFERROR(__xludf.DUMMYFUNCTION("""COMPUTED_VALUE"""),"MEME")</f>
        <v>MEME</v>
      </c>
      <c r="E7635" s="122" t="str">
        <f>IFERROR(__xludf.DUMMYFUNCTION("""COMPUTED_VALUE"""),"Meme Media")</f>
        <v>Meme Media</v>
      </c>
      <c r="F7635" s="122" t="str">
        <f>IFERROR(__xludf.DUMMYFUNCTION("""COMPUTED_VALUE"""),"Entertainment")</f>
        <v>Entertainment</v>
      </c>
    </row>
    <row r="7636">
      <c r="A7636" s="131">
        <f>IFERROR(__xludf.DUMMYFUNCTION("""COMPUTED_VALUE"""),46187.607141203705)</f>
        <v>46187.60714</v>
      </c>
      <c r="B7636" s="126">
        <f>IFERROR(__xludf.DUMMYFUNCTION("""COMPUTED_VALUE"""),46187.0)</f>
        <v>46187</v>
      </c>
      <c r="C7636" s="130">
        <f>IFERROR(__xludf.DUMMYFUNCTION("""COMPUTED_VALUE"""),0.6071412037037037)</f>
        <v>0.6071412037</v>
      </c>
      <c r="D7636" s="122" t="str">
        <f>IFERROR(__xludf.DUMMYFUNCTION("""COMPUTED_VALUE"""),"STRM")</f>
        <v>STRM</v>
      </c>
      <c r="E7636" s="122" t="str">
        <f>IFERROR(__xludf.DUMMYFUNCTION("""COMPUTED_VALUE"""),"Streamly")</f>
        <v>Streamly</v>
      </c>
      <c r="F7636" s="122" t="str">
        <f>IFERROR(__xludf.DUMMYFUNCTION("""COMPUTED_VALUE"""),"Entertainment")</f>
        <v>Entertainment</v>
      </c>
    </row>
    <row r="7637">
      <c r="A7637" s="131">
        <f>IFERROR(__xludf.DUMMYFUNCTION("""COMPUTED_VALUE"""),46187.607141203705)</f>
        <v>46187.60714</v>
      </c>
      <c r="B7637" s="126">
        <f>IFERROR(__xludf.DUMMYFUNCTION("""COMPUTED_VALUE"""),46187.0)</f>
        <v>46187</v>
      </c>
      <c r="C7637" s="130">
        <f>IFERROR(__xludf.DUMMYFUNCTION("""COMPUTED_VALUE"""),0.6071412037037037)</f>
        <v>0.6071412037</v>
      </c>
      <c r="D7637" s="122" t="str">
        <f>IFERROR(__xludf.DUMMYFUNCTION("""COMPUTED_VALUE"""),"FARM")</f>
        <v>FARM</v>
      </c>
      <c r="E7637" s="122" t="str">
        <f>IFERROR(__xludf.DUMMYFUNCTION("""COMPUTED_VALUE"""),"Future Farms")</f>
        <v>Future Farms</v>
      </c>
      <c r="F7637" s="122" t="str">
        <f>IFERROR(__xludf.DUMMYFUNCTION("""COMPUTED_VALUE"""),"Agriculture")</f>
        <v>Agriculture</v>
      </c>
    </row>
    <row r="7638">
      <c r="A7638" s="131">
        <f>IFERROR(__xludf.DUMMYFUNCTION("""COMPUTED_VALUE"""),46187.607141203705)</f>
        <v>46187.60714</v>
      </c>
      <c r="B7638" s="126">
        <f>IFERROR(__xludf.DUMMYFUNCTION("""COMPUTED_VALUE"""),46187.0)</f>
        <v>46187</v>
      </c>
      <c r="C7638" s="130">
        <f>IFERROR(__xludf.DUMMYFUNCTION("""COMPUTED_VALUE"""),0.6071412037037037)</f>
        <v>0.6071412037</v>
      </c>
      <c r="D7638" s="122" t="str">
        <f>IFERROR(__xludf.DUMMYFUNCTION("""COMPUTED_VALUE"""),"MEAT")</f>
        <v>MEAT</v>
      </c>
      <c r="E7638" s="122" t="str">
        <f>IFERROR(__xludf.DUMMYFUNCTION("""COMPUTED_VALUE"""),"MeatWorks")</f>
        <v>MeatWorks</v>
      </c>
      <c r="F7638" s="122" t="str">
        <f>IFERROR(__xludf.DUMMYFUNCTION("""COMPUTED_VALUE"""),"Food")</f>
        <v>Food</v>
      </c>
    </row>
    <row r="7639">
      <c r="A7639" s="131">
        <f>IFERROR(__xludf.DUMMYFUNCTION("""COMPUTED_VALUE"""),46187.607141203705)</f>
        <v>46187.60714</v>
      </c>
      <c r="B7639" s="126">
        <f>IFERROR(__xludf.DUMMYFUNCTION("""COMPUTED_VALUE"""),46187.0)</f>
        <v>46187</v>
      </c>
      <c r="C7639" s="130">
        <f>IFERROR(__xludf.DUMMYFUNCTION("""COMPUTED_VALUE"""),0.6071412037037037)</f>
        <v>0.6071412037</v>
      </c>
      <c r="D7639" s="122" t="str">
        <f>IFERROR(__xludf.DUMMYFUNCTION("""COMPUTED_VALUE"""),"VEGI")</f>
        <v>VEGI</v>
      </c>
      <c r="E7639" s="122" t="str">
        <f>IFERROR(__xludf.DUMMYFUNCTION("""COMPUTED_VALUE"""),"Green Basket")</f>
        <v>Green Basket</v>
      </c>
      <c r="F7639" s="122" t="str">
        <f>IFERROR(__xludf.DUMMYFUNCTION("""COMPUTED_VALUE"""),"Food")</f>
        <v>Food</v>
      </c>
    </row>
    <row r="7640">
      <c r="A7640" s="131">
        <f>IFERROR(__xludf.DUMMYFUNCTION("""COMPUTED_VALUE"""),46187.607141203705)</f>
        <v>46187.60714</v>
      </c>
      <c r="B7640" s="126">
        <f>IFERROR(__xludf.DUMMYFUNCTION("""COMPUTED_VALUE"""),46187.0)</f>
        <v>46187</v>
      </c>
      <c r="C7640" s="130">
        <f>IFERROR(__xludf.DUMMYFUNCTION("""COMPUTED_VALUE"""),0.6071412037037037)</f>
        <v>0.6071412037</v>
      </c>
      <c r="D7640" s="122" t="str">
        <f>IFERROR(__xludf.DUMMYFUNCTION("""COMPUTED_VALUE"""),"CAFE")</f>
        <v>CAFE</v>
      </c>
      <c r="E7640" s="122" t="str">
        <f>IFERROR(__xludf.DUMMYFUNCTION("""COMPUTED_VALUE"""),"Cafe Cloud")</f>
        <v>Cafe Cloud</v>
      </c>
      <c r="F7640" s="122" t="str">
        <f>IFERROR(__xludf.DUMMYFUNCTION("""COMPUTED_VALUE"""),"Food")</f>
        <v>Food</v>
      </c>
    </row>
    <row r="7641">
      <c r="A7641" s="131">
        <f>IFERROR(__xludf.DUMMYFUNCTION("""COMPUTED_VALUE"""),46187.607141203705)</f>
        <v>46187.60714</v>
      </c>
      <c r="B7641" s="126">
        <f>IFERROR(__xludf.DUMMYFUNCTION("""COMPUTED_VALUE"""),46187.0)</f>
        <v>46187</v>
      </c>
      <c r="C7641" s="130">
        <f>IFERROR(__xludf.DUMMYFUNCTION("""COMPUTED_VALUE"""),0.6071412037037037)</f>
        <v>0.6071412037</v>
      </c>
      <c r="D7641" s="122" t="str">
        <f>IFERROR(__xludf.DUMMYFUNCTION("""COMPUTED_VALUE"""),"BAKE")</f>
        <v>BAKE</v>
      </c>
      <c r="E7641" s="122" t="str">
        <f>IFERROR(__xludf.DUMMYFUNCTION("""COMPUTED_VALUE"""),"BakeHouse")</f>
        <v>BakeHouse</v>
      </c>
      <c r="F7641" s="122" t="str">
        <f>IFERROR(__xludf.DUMMYFUNCTION("""COMPUTED_VALUE"""),"Food")</f>
        <v>Food</v>
      </c>
    </row>
    <row r="7642">
      <c r="A7642" s="131">
        <f>IFERROR(__xludf.DUMMYFUNCTION("""COMPUTED_VALUE"""),46187.607141203705)</f>
        <v>46187.60714</v>
      </c>
      <c r="B7642" s="126">
        <f>IFERROR(__xludf.DUMMYFUNCTION("""COMPUTED_VALUE"""),46187.0)</f>
        <v>46187</v>
      </c>
      <c r="C7642" s="130">
        <f>IFERROR(__xludf.DUMMYFUNCTION("""COMPUTED_VALUE"""),0.6071412037037037)</f>
        <v>0.6071412037</v>
      </c>
      <c r="D7642" s="122" t="str">
        <f>IFERROR(__xludf.DUMMYFUNCTION("""COMPUTED_VALUE"""),"OILX")</f>
        <v>OILX</v>
      </c>
      <c r="E7642" s="122" t="str">
        <f>IFERROR(__xludf.DUMMYFUNCTION("""COMPUTED_VALUE"""),"OilMax Energy")</f>
        <v>OilMax Energy</v>
      </c>
      <c r="F7642" s="122" t="str">
        <f>IFERROR(__xludf.DUMMYFUNCTION("""COMPUTED_VALUE"""),"Energy")</f>
        <v>Energy</v>
      </c>
    </row>
    <row r="7643">
      <c r="A7643" s="131">
        <f>IFERROR(__xludf.DUMMYFUNCTION("""COMPUTED_VALUE"""),46187.607141203705)</f>
        <v>46187.60714</v>
      </c>
      <c r="B7643" s="126">
        <f>IFERROR(__xludf.DUMMYFUNCTION("""COMPUTED_VALUE"""),46187.0)</f>
        <v>46187</v>
      </c>
      <c r="C7643" s="130">
        <f>IFERROR(__xludf.DUMMYFUNCTION("""COMPUTED_VALUE"""),0.6071412037037037)</f>
        <v>0.6071412037</v>
      </c>
      <c r="D7643" s="122" t="str">
        <f>IFERROR(__xludf.DUMMYFUNCTION("""COMPUTED_VALUE"""),"SOLR")</f>
        <v>SOLR</v>
      </c>
      <c r="E7643" s="122" t="str">
        <f>IFERROR(__xludf.DUMMYFUNCTION("""COMPUTED_VALUE"""),"SolarSpark")</f>
        <v>SolarSpark</v>
      </c>
      <c r="F7643" s="122" t="str">
        <f>IFERROR(__xludf.DUMMYFUNCTION("""COMPUTED_VALUE"""),"Energy")</f>
        <v>Energy</v>
      </c>
    </row>
    <row r="7644">
      <c r="A7644" s="131">
        <f>IFERROR(__xludf.DUMMYFUNCTION("""COMPUTED_VALUE"""),46187.607141203705)</f>
        <v>46187.60714</v>
      </c>
      <c r="B7644" s="126">
        <f>IFERROR(__xludf.DUMMYFUNCTION("""COMPUTED_VALUE"""),46187.0)</f>
        <v>46187</v>
      </c>
      <c r="C7644" s="130">
        <f>IFERROR(__xludf.DUMMYFUNCTION("""COMPUTED_VALUE"""),0.6071412037037037)</f>
        <v>0.6071412037</v>
      </c>
      <c r="D7644" s="122" t="str">
        <f>IFERROR(__xludf.DUMMYFUNCTION("""COMPUTED_VALUE"""),"BATT")</f>
        <v>BATT</v>
      </c>
      <c r="E7644" s="122" t="str">
        <f>IFERROR(__xludf.DUMMYFUNCTION("""COMPUTED_VALUE"""),"BatteryBox")</f>
        <v>BatteryBox</v>
      </c>
      <c r="F7644" s="122" t="str">
        <f>IFERROR(__xludf.DUMMYFUNCTION("""COMPUTED_VALUE"""),"Energy")</f>
        <v>Energy</v>
      </c>
    </row>
    <row r="7645">
      <c r="A7645" s="131">
        <f>IFERROR(__xludf.DUMMYFUNCTION("""COMPUTED_VALUE"""),46187.607141203705)</f>
        <v>46187.60714</v>
      </c>
      <c r="B7645" s="126">
        <f>IFERROR(__xludf.DUMMYFUNCTION("""COMPUTED_VALUE"""),46187.0)</f>
        <v>46187</v>
      </c>
      <c r="C7645" s="130">
        <f>IFERROR(__xludf.DUMMYFUNCTION("""COMPUTED_VALUE"""),0.6071412037037037)</f>
        <v>0.6071412037</v>
      </c>
      <c r="D7645" s="122" t="str">
        <f>IFERROR(__xludf.DUMMYFUNCTION("""COMPUTED_VALUE"""),"WIND")</f>
        <v>WIND</v>
      </c>
      <c r="E7645" s="122" t="str">
        <f>IFERROR(__xludf.DUMMYFUNCTION("""COMPUTED_VALUE"""),"WindWorks")</f>
        <v>WindWorks</v>
      </c>
      <c r="F7645" s="122" t="str">
        <f>IFERROR(__xludf.DUMMYFUNCTION("""COMPUTED_VALUE"""),"Energy")</f>
        <v>Energy</v>
      </c>
    </row>
    <row r="7646">
      <c r="A7646" s="131">
        <f>IFERROR(__xludf.DUMMYFUNCTION("""COMPUTED_VALUE"""),46187.607141203705)</f>
        <v>46187.60714</v>
      </c>
      <c r="B7646" s="126">
        <f>IFERROR(__xludf.DUMMYFUNCTION("""COMPUTED_VALUE"""),46187.0)</f>
        <v>46187</v>
      </c>
      <c r="C7646" s="130">
        <f>IFERROR(__xludf.DUMMYFUNCTION("""COMPUTED_VALUE"""),0.6071412037037037)</f>
        <v>0.6071412037</v>
      </c>
      <c r="D7646" s="122" t="str">
        <f>IFERROR(__xludf.DUMMYFUNCTION("""COMPUTED_VALUE"""),"GRID")</f>
        <v>GRID</v>
      </c>
      <c r="E7646" s="122" t="str">
        <f>IFERROR(__xludf.DUMMYFUNCTION("""COMPUTED_VALUE"""),"GridPower")</f>
        <v>GridPower</v>
      </c>
      <c r="F7646" s="122" t="str">
        <f>IFERROR(__xludf.DUMMYFUNCTION("""COMPUTED_VALUE"""),"Energy")</f>
        <v>Energy</v>
      </c>
    </row>
    <row r="7647">
      <c r="A7647" s="131">
        <f>IFERROR(__xludf.DUMMYFUNCTION("""COMPUTED_VALUE"""),46187.607141203705)</f>
        <v>46187.60714</v>
      </c>
      <c r="B7647" s="126">
        <f>IFERROR(__xludf.DUMMYFUNCTION("""COMPUTED_VALUE"""),46187.0)</f>
        <v>46187</v>
      </c>
      <c r="C7647" s="130">
        <f>IFERROR(__xludf.DUMMYFUNCTION("""COMPUTED_VALUE"""),0.6071412037037037)</f>
        <v>0.6071412037</v>
      </c>
      <c r="D7647" s="122" t="str">
        <f>IFERROR(__xludf.DUMMYFUNCTION("""COMPUTED_VALUE"""),"HOME")</f>
        <v>HOME</v>
      </c>
      <c r="E7647" s="122" t="str">
        <f>IFERROR(__xludf.DUMMYFUNCTION("""COMPUTED_VALUE"""),"HomeHub")</f>
        <v>HomeHub</v>
      </c>
      <c r="F7647" s="122" t="str">
        <f>IFERROR(__xludf.DUMMYFUNCTION("""COMPUTED_VALUE"""),"Real Estate")</f>
        <v>Real Estate</v>
      </c>
    </row>
    <row r="7648">
      <c r="A7648" s="131">
        <f>IFERROR(__xludf.DUMMYFUNCTION("""COMPUTED_VALUE"""),46187.607141203705)</f>
        <v>46187.60714</v>
      </c>
      <c r="B7648" s="126">
        <f>IFERROR(__xludf.DUMMYFUNCTION("""COMPUTED_VALUE"""),46187.0)</f>
        <v>46187</v>
      </c>
      <c r="C7648" s="130">
        <f>IFERROR(__xludf.DUMMYFUNCTION("""COMPUTED_VALUE"""),0.6071412037037037)</f>
        <v>0.6071412037</v>
      </c>
      <c r="D7648" s="122" t="str">
        <f>IFERROR(__xludf.DUMMYFUNCTION("""COMPUTED_VALUE"""),"RENT")</f>
        <v>RENT</v>
      </c>
      <c r="E7648" s="122" t="str">
        <f>IFERROR(__xludf.DUMMYFUNCTION("""COMPUTED_VALUE"""),"RentRight")</f>
        <v>RentRight</v>
      </c>
      <c r="F7648" s="122" t="str">
        <f>IFERROR(__xludf.DUMMYFUNCTION("""COMPUTED_VALUE"""),"Real Estate")</f>
        <v>Real Estate</v>
      </c>
    </row>
    <row r="7649">
      <c r="A7649" s="131">
        <f>IFERROR(__xludf.DUMMYFUNCTION("""COMPUTED_VALUE"""),46187.607141203705)</f>
        <v>46187.60714</v>
      </c>
      <c r="B7649" s="126">
        <f>IFERROR(__xludf.DUMMYFUNCTION("""COMPUTED_VALUE"""),46187.0)</f>
        <v>46187</v>
      </c>
      <c r="C7649" s="130">
        <f>IFERROR(__xludf.DUMMYFUNCTION("""COMPUTED_VALUE"""),0.6071412037037037)</f>
        <v>0.6071412037</v>
      </c>
      <c r="D7649" s="122" t="str">
        <f>IFERROR(__xludf.DUMMYFUNCTION("""COMPUTED_VALUE"""),"MALL")</f>
        <v>MALL</v>
      </c>
      <c r="E7649" s="122" t="str">
        <f>IFERROR(__xludf.DUMMYFUNCTION("""COMPUTED_VALUE"""),"MegaMall")</f>
        <v>MegaMall</v>
      </c>
      <c r="F7649" s="122" t="str">
        <f>IFERROR(__xludf.DUMMYFUNCTION("""COMPUTED_VALUE"""),"Real Estate")</f>
        <v>Real Estate</v>
      </c>
    </row>
    <row r="7650">
      <c r="A7650" s="131">
        <f>IFERROR(__xludf.DUMMYFUNCTION("""COMPUTED_VALUE"""),46187.607141203705)</f>
        <v>46187.60714</v>
      </c>
      <c r="B7650" s="126">
        <f>IFERROR(__xludf.DUMMYFUNCTION("""COMPUTED_VALUE"""),46187.0)</f>
        <v>46187</v>
      </c>
      <c r="C7650" s="130">
        <f>IFERROR(__xludf.DUMMYFUNCTION("""COMPUTED_VALUE"""),0.6071412037037037)</f>
        <v>0.6071412037</v>
      </c>
      <c r="D7650" s="122" t="str">
        <f>IFERROR(__xludf.DUMMYFUNCTION("""COMPUTED_VALUE"""),"HOTL")</f>
        <v>HOTL</v>
      </c>
      <c r="E7650" s="122" t="str">
        <f>IFERROR(__xludf.DUMMYFUNCTION("""COMPUTED_VALUE"""),"HotelHive")</f>
        <v>HotelHive</v>
      </c>
      <c r="F7650" s="122" t="str">
        <f>IFERROR(__xludf.DUMMYFUNCTION("""COMPUTED_VALUE"""),"Real Estate")</f>
        <v>Real Estate</v>
      </c>
    </row>
    <row r="7651">
      <c r="A7651" s="131">
        <f>IFERROR(__xludf.DUMMYFUNCTION("""COMPUTED_VALUE"""),46187.607141203705)</f>
        <v>46187.60714</v>
      </c>
      <c r="B7651" s="126">
        <f>IFERROR(__xludf.DUMMYFUNCTION("""COMPUTED_VALUE"""),46187.0)</f>
        <v>46187</v>
      </c>
      <c r="C7651" s="130">
        <f>IFERROR(__xludf.DUMMYFUNCTION("""COMPUTED_VALUE"""),0.6071412037037037)</f>
        <v>0.6071412037</v>
      </c>
      <c r="D7651" s="122" t="str">
        <f>IFERROR(__xludf.DUMMYFUNCTION("""COMPUTED_VALUE"""),"LAND")</f>
        <v>LAND</v>
      </c>
      <c r="E7651" s="122" t="str">
        <f>IFERROR(__xludf.DUMMYFUNCTION("""COMPUTED_VALUE"""),"LandLink")</f>
        <v>LandLink</v>
      </c>
      <c r="F7651" s="122" t="str">
        <f>IFERROR(__xludf.DUMMYFUNCTION("""COMPUTED_VALUE"""),"Real Estate")</f>
        <v>Real Estate</v>
      </c>
    </row>
    <row r="7652">
      <c r="A7652" s="131">
        <f>IFERROR(__xludf.DUMMYFUNCTION("""COMPUTED_VALUE"""),46187.607141203705)</f>
        <v>46187.60714</v>
      </c>
      <c r="B7652" s="126">
        <f>IFERROR(__xludf.DUMMYFUNCTION("""COMPUTED_VALUE"""),46187.0)</f>
        <v>46187</v>
      </c>
      <c r="C7652" s="130">
        <f>IFERROR(__xludf.DUMMYFUNCTION("""COMPUTED_VALUE"""),0.6071412037037037)</f>
        <v>0.6071412037</v>
      </c>
      <c r="D7652" s="122" t="str">
        <f>IFERROR(__xludf.DUMMYFUNCTION("""COMPUTED_VALUE"""),"CARS")</f>
        <v>CARS</v>
      </c>
      <c r="E7652" s="122" t="str">
        <f>IFERROR(__xludf.DUMMYFUNCTION("""COMPUTED_VALUE"""),"AutoArena")</f>
        <v>AutoArena</v>
      </c>
      <c r="F7652" s="122" t="str">
        <f>IFERROR(__xludf.DUMMYFUNCTION("""COMPUTED_VALUE"""),"Automotive")</f>
        <v>Automotive</v>
      </c>
    </row>
    <row r="7653">
      <c r="A7653" s="131">
        <f>IFERROR(__xludf.DUMMYFUNCTION("""COMPUTED_VALUE"""),46187.607141203705)</f>
        <v>46187.60714</v>
      </c>
      <c r="B7653" s="126">
        <f>IFERROR(__xludf.DUMMYFUNCTION("""COMPUTED_VALUE"""),46187.0)</f>
        <v>46187</v>
      </c>
      <c r="C7653" s="130">
        <f>IFERROR(__xludf.DUMMYFUNCTION("""COMPUTED_VALUE"""),0.6071412037037037)</f>
        <v>0.6071412037</v>
      </c>
      <c r="D7653" s="122" t="str">
        <f>IFERROR(__xludf.DUMMYFUNCTION("""COMPUTED_VALUE"""),"EVGO")</f>
        <v>EVGO</v>
      </c>
      <c r="E7653" s="122" t="str">
        <f>IFERROR(__xludf.DUMMYFUNCTION("""COMPUTED_VALUE"""),"EVGo Motors")</f>
        <v>EVGo Motors</v>
      </c>
      <c r="F7653" s="122" t="str">
        <f>IFERROR(__xludf.DUMMYFUNCTION("""COMPUTED_VALUE"""),"Automotive")</f>
        <v>Automotive</v>
      </c>
    </row>
    <row r="7654">
      <c r="A7654" s="131">
        <f>IFERROR(__xludf.DUMMYFUNCTION("""COMPUTED_VALUE"""),46187.607141203705)</f>
        <v>46187.60714</v>
      </c>
      <c r="B7654" s="126">
        <f>IFERROR(__xludf.DUMMYFUNCTION("""COMPUTED_VALUE"""),46187.0)</f>
        <v>46187</v>
      </c>
      <c r="C7654" s="130">
        <f>IFERROR(__xludf.DUMMYFUNCTION("""COMPUTED_VALUE"""),0.6071412037037037)</f>
        <v>0.6071412037</v>
      </c>
      <c r="D7654" s="122" t="str">
        <f>IFERROR(__xludf.DUMMYFUNCTION("""COMPUTED_VALUE"""),"TIRE")</f>
        <v>TIRE</v>
      </c>
      <c r="E7654" s="122" t="str">
        <f>IFERROR(__xludf.DUMMYFUNCTION("""COMPUTED_VALUE"""),"TireTown")</f>
        <v>TireTown</v>
      </c>
      <c r="F7654" s="122" t="str">
        <f>IFERROR(__xludf.DUMMYFUNCTION("""COMPUTED_VALUE"""),"Automotive")</f>
        <v>Automotive</v>
      </c>
    </row>
    <row r="7655">
      <c r="A7655" s="131">
        <f>IFERROR(__xludf.DUMMYFUNCTION("""COMPUTED_VALUE"""),46187.607141203705)</f>
        <v>46187.60714</v>
      </c>
      <c r="B7655" s="126">
        <f>IFERROR(__xludf.DUMMYFUNCTION("""COMPUTED_VALUE"""),46187.0)</f>
        <v>46187</v>
      </c>
      <c r="C7655" s="130">
        <f>IFERROR(__xludf.DUMMYFUNCTION("""COMPUTED_VALUE"""),0.6071412037037037)</f>
        <v>0.6071412037</v>
      </c>
      <c r="D7655" s="122" t="str">
        <f>IFERROR(__xludf.DUMMYFUNCTION("""COMPUTED_VALUE"""),"BIKE")</f>
        <v>BIKE</v>
      </c>
      <c r="E7655" s="122" t="str">
        <f>IFERROR(__xludf.DUMMYFUNCTION("""COMPUTED_VALUE"""),"BikeBox")</f>
        <v>BikeBox</v>
      </c>
      <c r="F7655" s="122" t="str">
        <f>IFERROR(__xludf.DUMMYFUNCTION("""COMPUTED_VALUE"""),"Automotive")</f>
        <v>Automotive</v>
      </c>
    </row>
    <row r="7656">
      <c r="A7656" s="131">
        <f>IFERROR(__xludf.DUMMYFUNCTION("""COMPUTED_VALUE"""),46187.607141203705)</f>
        <v>46187.60714</v>
      </c>
      <c r="B7656" s="126">
        <f>IFERROR(__xludf.DUMMYFUNCTION("""COMPUTED_VALUE"""),46187.0)</f>
        <v>46187</v>
      </c>
      <c r="C7656" s="130">
        <f>IFERROR(__xludf.DUMMYFUNCTION("""COMPUTED_VALUE"""),0.6071412037037037)</f>
        <v>0.6071412037</v>
      </c>
      <c r="D7656" s="122" t="str">
        <f>IFERROR(__xludf.DUMMYFUNCTION("""COMPUTED_VALUE"""),"WASH")</f>
        <v>WASH</v>
      </c>
      <c r="E7656" s="122" t="str">
        <f>IFERROR(__xludf.DUMMYFUNCTION("""COMPUTED_VALUE"""),"CarWash Co")</f>
        <v>CarWash Co</v>
      </c>
      <c r="F7656" s="122" t="str">
        <f>IFERROR(__xludf.DUMMYFUNCTION("""COMPUTED_VALUE"""),"Automotive")</f>
        <v>Automotive</v>
      </c>
    </row>
    <row r="7657">
      <c r="A7657" s="131">
        <f>IFERROR(__xludf.DUMMYFUNCTION("""COMPUTED_VALUE"""),46187.607141203705)</f>
        <v>46187.60714</v>
      </c>
      <c r="B7657" s="126">
        <f>IFERROR(__xludf.DUMMYFUNCTION("""COMPUTED_VALUE"""),46187.0)</f>
        <v>46187</v>
      </c>
      <c r="C7657" s="130">
        <f>IFERROR(__xludf.DUMMYFUNCTION("""COMPUTED_VALUE"""),0.6071412037037037)</f>
        <v>0.6071412037</v>
      </c>
      <c r="D7657" s="122" t="str">
        <f>IFERROR(__xludf.DUMMYFUNCTION("""COMPUTED_VALUE"""),"GBND")</f>
        <v>GBND</v>
      </c>
      <c r="E7657" s="122" t="str">
        <f>IFERROR(__xludf.DUMMYFUNCTION("""COMPUTED_VALUE"""),"Classroom Government Bond")</f>
        <v>Classroom Government Bond</v>
      </c>
      <c r="F7657" s="122" t="str">
        <f>IFERROR(__xludf.DUMMYFUNCTION("""COMPUTED_VALUE"""),"Bond")</f>
        <v>Bond</v>
      </c>
    </row>
    <row r="7658">
      <c r="A7658" s="131">
        <f>IFERROR(__xludf.DUMMYFUNCTION("""COMPUTED_VALUE"""),46187.607141203705)</f>
        <v>46187.60714</v>
      </c>
      <c r="B7658" s="126">
        <f>IFERROR(__xludf.DUMMYFUNCTION("""COMPUTED_VALUE"""),46187.0)</f>
        <v>46187</v>
      </c>
      <c r="C7658" s="130">
        <f>IFERROR(__xludf.DUMMYFUNCTION("""COMPUTED_VALUE"""),0.6071412037037037)</f>
        <v>0.6071412037</v>
      </c>
      <c r="D7658" s="122" t="str">
        <f>IFERROR(__xludf.DUMMYFUNCTION("""COMPUTED_VALUE"""),"SBND")</f>
        <v>SBND</v>
      </c>
      <c r="E7658" s="122" t="str">
        <f>IFERROR(__xludf.DUMMYFUNCTION("""COMPUTED_VALUE"""),"School Savings Bond")</f>
        <v>School Savings Bond</v>
      </c>
      <c r="F7658" s="122" t="str">
        <f>IFERROR(__xludf.DUMMYFUNCTION("""COMPUTED_VALUE"""),"Bond")</f>
        <v>Bond</v>
      </c>
    </row>
    <row r="7659">
      <c r="A7659" s="131">
        <f>IFERROR(__xludf.DUMMYFUNCTION("""COMPUTED_VALUE"""),46187.607141203705)</f>
        <v>46187.60714</v>
      </c>
      <c r="B7659" s="126">
        <f>IFERROR(__xludf.DUMMYFUNCTION("""COMPUTED_VALUE"""),46187.0)</f>
        <v>46187</v>
      </c>
      <c r="C7659" s="130">
        <f>IFERROR(__xludf.DUMMYFUNCTION("""COMPUTED_VALUE"""),0.6071412037037037)</f>
        <v>0.6071412037</v>
      </c>
      <c r="D7659" s="122" t="str">
        <f>IFERROR(__xludf.DUMMYFUNCTION("""COMPUTED_VALUE"""),"CBND")</f>
        <v>CBND</v>
      </c>
      <c r="E7659" s="122" t="str">
        <f>IFERROR(__xludf.DUMMYFUNCTION("""COMPUTED_VALUE"""),"Corporate Classroom Bond")</f>
        <v>Corporate Classroom Bond</v>
      </c>
      <c r="F7659" s="122" t="str">
        <f>IFERROR(__xludf.DUMMYFUNCTION("""COMPUTED_VALUE"""),"Bond")</f>
        <v>Bond</v>
      </c>
    </row>
    <row r="7660">
      <c r="A7660" s="131">
        <f>IFERROR(__xludf.DUMMYFUNCTION("""COMPUTED_VALUE"""),46187.607141203705)</f>
        <v>46187.60714</v>
      </c>
      <c r="B7660" s="126">
        <f>IFERROR(__xludf.DUMMYFUNCTION("""COMPUTED_VALUE"""),46187.0)</f>
        <v>46187</v>
      </c>
      <c r="C7660" s="130">
        <f>IFERROR(__xludf.DUMMYFUNCTION("""COMPUTED_VALUE"""),0.6071412037037037)</f>
        <v>0.6071412037</v>
      </c>
      <c r="D7660" s="122" t="str">
        <f>IFERROR(__xludf.DUMMYFUNCTION("""COMPUTED_VALUE"""),"TBIL")</f>
        <v>TBIL</v>
      </c>
      <c r="E7660" s="122" t="str">
        <f>IFERROR(__xludf.DUMMYFUNCTION("""COMPUTED_VALUE"""),"Treasury Bill")</f>
        <v>Treasury Bill</v>
      </c>
      <c r="F7660" s="122" t="str">
        <f>IFERROR(__xludf.DUMMYFUNCTION("""COMPUTED_VALUE"""),"Bond")</f>
        <v>Bond</v>
      </c>
    </row>
    <row r="7661">
      <c r="A7661" s="131">
        <f>IFERROR(__xludf.DUMMYFUNCTION("""COMPUTED_VALUE"""),46187.607141203705)</f>
        <v>46187.60714</v>
      </c>
      <c r="B7661" s="126">
        <f>IFERROR(__xludf.DUMMYFUNCTION("""COMPUTED_VALUE"""),46187.0)</f>
        <v>46187</v>
      </c>
      <c r="C7661" s="130">
        <f>IFERROR(__xludf.DUMMYFUNCTION("""COMPUTED_VALUE"""),0.6071412037037037)</f>
        <v>0.6071412037</v>
      </c>
      <c r="D7661" s="122" t="str">
        <f>IFERROR(__xludf.DUMMYFUNCTION("""COMPUTED_VALUE"""),"IBND")</f>
        <v>IBND</v>
      </c>
      <c r="E7661" s="122" t="str">
        <f>IFERROR(__xludf.DUMMYFUNCTION("""COMPUTED_VALUE"""),"Inflation Protected Bond")</f>
        <v>Inflation Protected Bond</v>
      </c>
      <c r="F7661" s="122" t="str">
        <f>IFERROR(__xludf.DUMMYFUNCTION("""COMPUTED_VALUE"""),"Bond")</f>
        <v>Bond</v>
      </c>
    </row>
    <row r="7662">
      <c r="A7662" s="131">
        <f>IFERROR(__xludf.DUMMYFUNCTION("""COMPUTED_VALUE"""),46187.60915509259)</f>
        <v>46187.60916</v>
      </c>
      <c r="B7662" s="126">
        <f>IFERROR(__xludf.DUMMYFUNCTION("""COMPUTED_VALUE"""),46187.0)</f>
        <v>46187</v>
      </c>
      <c r="C7662" s="122" t="str">
        <f>IFERROR(__xludf.DUMMYFUNCTION("""COMPUTED_VALUE"""),"SNAX")</f>
        <v>SNAX</v>
      </c>
      <c r="D7662" s="122" t="str">
        <f>IFERROR(__xludf.DUMMYFUNCTION("""COMPUTED_VALUE"""),"MICA Snacks")</f>
        <v>MICA Snacks</v>
      </c>
      <c r="E7662" s="122">
        <f>IFERROR(__xludf.DUMMYFUNCTION("""COMPUTED_VALUE"""),122.13)</f>
        <v>122.13</v>
      </c>
      <c r="F7662" s="122">
        <f>IFERROR(__xludf.DUMMYFUNCTION("""COMPUTED_VALUE"""),1.0E-4)</f>
        <v>0.0001</v>
      </c>
    </row>
    <row r="7663">
      <c r="A7663" s="131">
        <f>IFERROR(__xludf.DUMMYFUNCTION("""COMPUTED_VALUE"""),46187.60915509259)</f>
        <v>46187.60916</v>
      </c>
      <c r="B7663" s="126">
        <f>IFERROR(__xludf.DUMMYFUNCTION("""COMPUTED_VALUE"""),46187.0)</f>
        <v>46187</v>
      </c>
      <c r="C7663" s="122" t="str">
        <f>IFERROR(__xludf.DUMMYFUNCTION("""COMPUTED_VALUE"""),"RAMN")</f>
        <v>RAMN</v>
      </c>
      <c r="D7663" s="122" t="str">
        <f>IFERROR(__xludf.DUMMYFUNCTION("""COMPUTED_VALUE"""),"Ramen Republic")</f>
        <v>Ramen Republic</v>
      </c>
      <c r="E7663" s="122">
        <f>IFERROR(__xludf.DUMMYFUNCTION("""COMPUTED_VALUE"""),63.3)</f>
        <v>63.3</v>
      </c>
      <c r="F7663" s="122">
        <f>IFERROR(__xludf.DUMMYFUNCTION("""COMPUTED_VALUE"""),-0.0053)</f>
        <v>-0.0053</v>
      </c>
    </row>
    <row r="7664">
      <c r="A7664" s="131">
        <f>IFERROR(__xludf.DUMMYFUNCTION("""COMPUTED_VALUE"""),46187.60915509259)</f>
        <v>46187.60916</v>
      </c>
      <c r="B7664" s="126">
        <f>IFERROR(__xludf.DUMMYFUNCTION("""COMPUTED_VALUE"""),46187.0)</f>
        <v>46187</v>
      </c>
      <c r="C7664" s="122" t="str">
        <f>IFERROR(__xludf.DUMMYFUNCTION("""COMPUTED_VALUE"""),"COLA")</f>
        <v>COLA</v>
      </c>
      <c r="D7664" s="122" t="str">
        <f>IFERROR(__xludf.DUMMYFUNCTION("""COMPUTED_VALUE"""),"K-Pop Cola")</f>
        <v>K-Pop Cola</v>
      </c>
      <c r="E7664" s="122">
        <f>IFERROR(__xludf.DUMMYFUNCTION("""COMPUTED_VALUE"""),113.01)</f>
        <v>113.01</v>
      </c>
      <c r="F7664" s="122">
        <f>IFERROR(__xludf.DUMMYFUNCTION("""COMPUTED_VALUE"""),-0.0034)</f>
        <v>-0.0034</v>
      </c>
    </row>
    <row r="7665">
      <c r="A7665" s="131">
        <f>IFERROR(__xludf.DUMMYFUNCTION("""COMPUTED_VALUE"""),46187.60915509259)</f>
        <v>46187.60916</v>
      </c>
      <c r="B7665" s="126">
        <f>IFERROR(__xludf.DUMMYFUNCTION("""COMPUTED_VALUE"""),46187.0)</f>
        <v>46187</v>
      </c>
      <c r="C7665" s="122" t="str">
        <f>IFERROR(__xludf.DUMMYFUNCTION("""COMPUTED_VALUE"""),"CHIP")</f>
        <v>CHIP</v>
      </c>
      <c r="D7665" s="122" t="str">
        <f>IFERROR(__xludf.DUMMYFUNCTION("""COMPUTED_VALUE"""),"Chip Empire")</f>
        <v>Chip Empire</v>
      </c>
      <c r="E7665" s="122">
        <f>IFERROR(__xludf.DUMMYFUNCTION("""COMPUTED_VALUE"""),81.97)</f>
        <v>81.97</v>
      </c>
      <c r="F7665" s="122">
        <f>IFERROR(__xludf.DUMMYFUNCTION("""COMPUTED_VALUE"""),-0.0047)</f>
        <v>-0.0047</v>
      </c>
    </row>
    <row r="7666">
      <c r="A7666" s="131">
        <f>IFERROR(__xludf.DUMMYFUNCTION("""COMPUTED_VALUE"""),46187.60915509259)</f>
        <v>46187.60916</v>
      </c>
      <c r="B7666" s="126">
        <f>IFERROR(__xludf.DUMMYFUNCTION("""COMPUTED_VALUE"""),46187.0)</f>
        <v>46187</v>
      </c>
      <c r="C7666" s="122" t="str">
        <f>IFERROR(__xludf.DUMMYFUNCTION("""COMPUTED_VALUE"""),"CAND")</f>
        <v>CAND</v>
      </c>
      <c r="D7666" s="122" t="str">
        <f>IFERROR(__xludf.DUMMYFUNCTION("""COMPUTED_VALUE"""),"Candy Capital")</f>
        <v>Candy Capital</v>
      </c>
      <c r="E7666" s="122">
        <f>IFERROR(__xludf.DUMMYFUNCTION("""COMPUTED_VALUE"""),78.41)</f>
        <v>78.41</v>
      </c>
      <c r="F7666" s="122">
        <f>IFERROR(__xludf.DUMMYFUNCTION("""COMPUTED_VALUE"""),0.0047)</f>
        <v>0.0047</v>
      </c>
    </row>
    <row r="7667">
      <c r="A7667" s="131">
        <f>IFERROR(__xludf.DUMMYFUNCTION("""COMPUTED_VALUE"""),46187.60915509259)</f>
        <v>46187.60916</v>
      </c>
      <c r="B7667" s="126">
        <f>IFERROR(__xludf.DUMMYFUNCTION("""COMPUTED_VALUE"""),46187.0)</f>
        <v>46187</v>
      </c>
      <c r="C7667" s="122" t="str">
        <f>IFERROR(__xludf.DUMMYFUNCTION("""COMPUTED_VALUE"""),"TECH")</f>
        <v>TECH</v>
      </c>
      <c r="D7667" s="122" t="str">
        <f>IFERROR(__xludf.DUMMYFUNCTION("""COMPUTED_VALUE"""),"Dragon Tech")</f>
        <v>Dragon Tech</v>
      </c>
      <c r="E7667" s="122">
        <f>IFERROR(__xludf.DUMMYFUNCTION("""COMPUTED_VALUE"""),254.74)</f>
        <v>254.74</v>
      </c>
      <c r="F7667" s="122">
        <f>IFERROR(__xludf.DUMMYFUNCTION("""COMPUTED_VALUE"""),3.0E-4)</f>
        <v>0.0003</v>
      </c>
    </row>
    <row r="7668">
      <c r="A7668" s="131">
        <f>IFERROR(__xludf.DUMMYFUNCTION("""COMPUTED_VALUE"""),46187.60915509259)</f>
        <v>46187.60916</v>
      </c>
      <c r="B7668" s="126">
        <f>IFERROR(__xludf.DUMMYFUNCTION("""COMPUTED_VALUE"""),46187.0)</f>
        <v>46187</v>
      </c>
      <c r="C7668" s="122" t="str">
        <f>IFERROR(__xludf.DUMMYFUNCTION("""COMPUTED_VALUE"""),"AIBO")</f>
        <v>AIBO</v>
      </c>
      <c r="D7668" s="122" t="str">
        <f>IFERROR(__xludf.DUMMYFUNCTION("""COMPUTED_VALUE"""),"Homework AI")</f>
        <v>Homework AI</v>
      </c>
      <c r="E7668" s="122">
        <f>IFERROR(__xludf.DUMMYFUNCTION("""COMPUTED_VALUE"""),192.37)</f>
        <v>192.37</v>
      </c>
      <c r="F7668" s="122">
        <f>IFERROR(__xludf.DUMMYFUNCTION("""COMPUTED_VALUE"""),0.0093)</f>
        <v>0.0093</v>
      </c>
    </row>
    <row r="7669">
      <c r="A7669" s="131">
        <f>IFERROR(__xludf.DUMMYFUNCTION("""COMPUTED_VALUE"""),46187.60915509259)</f>
        <v>46187.60916</v>
      </c>
      <c r="B7669" s="126">
        <f>IFERROR(__xludf.DUMMYFUNCTION("""COMPUTED_VALUE"""),46187.0)</f>
        <v>46187</v>
      </c>
      <c r="C7669" s="122" t="str">
        <f>IFERROR(__xludf.DUMMYFUNCTION("""COMPUTED_VALUE"""),"GAME")</f>
        <v>GAME</v>
      </c>
      <c r="D7669" s="122" t="str">
        <f>IFERROR(__xludf.DUMMYFUNCTION("""COMPUTED_VALUE"""),"GameBox Media")</f>
        <v>GameBox Media</v>
      </c>
      <c r="E7669" s="122">
        <f>IFERROR(__xludf.DUMMYFUNCTION("""COMPUTED_VALUE"""),102.24)</f>
        <v>102.24</v>
      </c>
      <c r="F7669" s="122">
        <f>IFERROR(__xludf.DUMMYFUNCTION("""COMPUTED_VALUE"""),-0.0017)</f>
        <v>-0.0017</v>
      </c>
    </row>
    <row r="7670">
      <c r="A7670" s="131">
        <f>IFERROR(__xludf.DUMMYFUNCTION("""COMPUTED_VALUE"""),46187.60915509259)</f>
        <v>46187.60916</v>
      </c>
      <c r="B7670" s="126">
        <f>IFERROR(__xludf.DUMMYFUNCTION("""COMPUTED_VALUE"""),46187.0)</f>
        <v>46187</v>
      </c>
      <c r="C7670" s="122" t="str">
        <f>IFERROR(__xludf.DUMMYFUNCTION("""COMPUTED_VALUE"""),"VRSE")</f>
        <v>VRSE</v>
      </c>
      <c r="D7670" s="122" t="str">
        <f>IFERROR(__xludf.DUMMYFUNCTION("""COMPUTED_VALUE"""),"VerseVR")</f>
        <v>VerseVR</v>
      </c>
      <c r="E7670" s="122">
        <f>IFERROR(__xludf.DUMMYFUNCTION("""COMPUTED_VALUE"""),148.56)</f>
        <v>148.56</v>
      </c>
      <c r="F7670" s="122">
        <f>IFERROR(__xludf.DUMMYFUNCTION("""COMPUTED_VALUE"""),0.0028)</f>
        <v>0.0028</v>
      </c>
    </row>
    <row r="7671">
      <c r="A7671" s="131">
        <f>IFERROR(__xludf.DUMMYFUNCTION("""COMPUTED_VALUE"""),46187.60915509259)</f>
        <v>46187.60916</v>
      </c>
      <c r="B7671" s="126">
        <f>IFERROR(__xludf.DUMMYFUNCTION("""COMPUTED_VALUE"""),46187.0)</f>
        <v>46187</v>
      </c>
      <c r="C7671" s="122" t="str">
        <f>IFERROR(__xludf.DUMMYFUNCTION("""COMPUTED_VALUE"""),"BYTE")</f>
        <v>BYTE</v>
      </c>
      <c r="D7671" s="122" t="str">
        <f>IFERROR(__xludf.DUMMYFUNCTION("""COMPUTED_VALUE"""),"ByteWorks")</f>
        <v>ByteWorks</v>
      </c>
      <c r="E7671" s="122">
        <f>IFERROR(__xludf.DUMMYFUNCTION("""COMPUTED_VALUE"""),115.0)</f>
        <v>115</v>
      </c>
      <c r="F7671" s="122">
        <f>IFERROR(__xludf.DUMMYFUNCTION("""COMPUTED_VALUE"""),-0.0061)</f>
        <v>-0.0061</v>
      </c>
    </row>
    <row r="7672">
      <c r="A7672" s="131">
        <f>IFERROR(__xludf.DUMMYFUNCTION("""COMPUTED_VALUE"""),46187.60915509259)</f>
        <v>46187.60916</v>
      </c>
      <c r="B7672" s="126">
        <f>IFERROR(__xludf.DUMMYFUNCTION("""COMPUTED_VALUE"""),46187.0)</f>
        <v>46187</v>
      </c>
      <c r="C7672" s="122" t="str">
        <f>IFERROR(__xludf.DUMMYFUNCTION("""COMPUTED_VALUE"""),"BANK")</f>
        <v>BANK</v>
      </c>
      <c r="D7672" s="122" t="str">
        <f>IFERROR(__xludf.DUMMYFUNCTION("""COMPUTED_VALUE"""),"Tiger Bank")</f>
        <v>Tiger Bank</v>
      </c>
      <c r="E7672" s="122">
        <f>IFERROR(__xludf.DUMMYFUNCTION("""COMPUTED_VALUE"""),132.04)</f>
        <v>132.04</v>
      </c>
      <c r="F7672" s="122">
        <f>IFERROR(__xludf.DUMMYFUNCTION("""COMPUTED_VALUE"""),0.0014)</f>
        <v>0.0014</v>
      </c>
    </row>
    <row r="7673">
      <c r="A7673" s="131">
        <f>IFERROR(__xludf.DUMMYFUNCTION("""COMPUTED_VALUE"""),46187.60915509259)</f>
        <v>46187.60916</v>
      </c>
      <c r="B7673" s="126">
        <f>IFERROR(__xludf.DUMMYFUNCTION("""COMPUTED_VALUE"""),46187.0)</f>
        <v>46187</v>
      </c>
      <c r="C7673" s="122" t="str">
        <f>IFERROR(__xludf.DUMMYFUNCTION("""COMPUTED_VALUE"""),"CRED")</f>
        <v>CRED</v>
      </c>
      <c r="D7673" s="122" t="str">
        <f>IFERROR(__xludf.DUMMYFUNCTION("""COMPUTED_VALUE"""),"Credit Castle")</f>
        <v>Credit Castle</v>
      </c>
      <c r="E7673" s="122">
        <f>IFERROR(__xludf.DUMMYFUNCTION("""COMPUTED_VALUE"""),66.62)</f>
        <v>66.62</v>
      </c>
      <c r="F7673" s="122">
        <f>IFERROR(__xludf.DUMMYFUNCTION("""COMPUTED_VALUE"""),-0.0016)</f>
        <v>-0.0016</v>
      </c>
    </row>
    <row r="7674">
      <c r="A7674" s="131">
        <f>IFERROR(__xludf.DUMMYFUNCTION("""COMPUTED_VALUE"""),46187.60915509259)</f>
        <v>46187.60916</v>
      </c>
      <c r="B7674" s="126">
        <f>IFERROR(__xludf.DUMMYFUNCTION("""COMPUTED_VALUE"""),46187.0)</f>
        <v>46187</v>
      </c>
      <c r="C7674" s="122" t="str">
        <f>IFERROR(__xludf.DUMMYFUNCTION("""COMPUTED_VALUE"""),"BOND")</f>
        <v>BOND</v>
      </c>
      <c r="D7674" s="122" t="str">
        <f>IFERROR(__xludf.DUMMYFUNCTION("""COMPUTED_VALUE"""),"BondBridge")</f>
        <v>BondBridge</v>
      </c>
      <c r="E7674" s="122">
        <f>IFERROR(__xludf.DUMMYFUNCTION("""COMPUTED_VALUE"""),104.51)</f>
        <v>104.51</v>
      </c>
      <c r="F7674" s="122">
        <f>IFERROR(__xludf.DUMMYFUNCTION("""COMPUTED_VALUE"""),0.0015)</f>
        <v>0.0015</v>
      </c>
    </row>
    <row r="7675">
      <c r="A7675" s="131">
        <f>IFERROR(__xludf.DUMMYFUNCTION("""COMPUTED_VALUE"""),46187.60915509259)</f>
        <v>46187.60916</v>
      </c>
      <c r="B7675" s="126">
        <f>IFERROR(__xludf.DUMMYFUNCTION("""COMPUTED_VALUE"""),46187.0)</f>
        <v>46187</v>
      </c>
      <c r="C7675" s="122" t="str">
        <f>IFERROR(__xludf.DUMMYFUNCTION("""COMPUTED_VALUE"""),"INSR")</f>
        <v>INSR</v>
      </c>
      <c r="D7675" s="122" t="str">
        <f>IFERROR(__xludf.DUMMYFUNCTION("""COMPUTED_VALUE"""),"Shield Insurance")</f>
        <v>Shield Insurance</v>
      </c>
      <c r="E7675" s="122">
        <f>IFERROR(__xludf.DUMMYFUNCTION("""COMPUTED_VALUE"""),156.66)</f>
        <v>156.66</v>
      </c>
      <c r="F7675" s="122">
        <f>IFERROR(__xludf.DUMMYFUNCTION("""COMPUTED_VALUE"""),-4.0E-4)</f>
        <v>-0.0004</v>
      </c>
    </row>
    <row r="7676">
      <c r="A7676" s="131">
        <f>IFERROR(__xludf.DUMMYFUNCTION("""COMPUTED_VALUE"""),46187.60915509259)</f>
        <v>46187.60916</v>
      </c>
      <c r="B7676" s="126">
        <f>IFERROR(__xludf.DUMMYFUNCTION("""COMPUTED_VALUE"""),46187.0)</f>
        <v>46187</v>
      </c>
      <c r="C7676" s="122" t="str">
        <f>IFERROR(__xludf.DUMMYFUNCTION("""COMPUTED_VALUE"""),"LOAN")</f>
        <v>LOAN</v>
      </c>
      <c r="D7676" s="122" t="str">
        <f>IFERROR(__xludf.DUMMYFUNCTION("""COMPUTED_VALUE"""),"LoanLab")</f>
        <v>LoanLab</v>
      </c>
      <c r="E7676" s="122">
        <f>IFERROR(__xludf.DUMMYFUNCTION("""COMPUTED_VALUE"""),70.76)</f>
        <v>70.76</v>
      </c>
      <c r="F7676" s="122">
        <f>IFERROR(__xludf.DUMMYFUNCTION("""COMPUTED_VALUE"""),0.0023)</f>
        <v>0.0023</v>
      </c>
    </row>
    <row r="7677">
      <c r="A7677" s="131">
        <f>IFERROR(__xludf.DUMMYFUNCTION("""COMPUTED_VALUE"""),46187.60915509259)</f>
        <v>46187.60916</v>
      </c>
      <c r="B7677" s="126">
        <f>IFERROR(__xludf.DUMMYFUNCTION("""COMPUTED_VALUE"""),46187.0)</f>
        <v>46187</v>
      </c>
      <c r="C7677" s="122" t="str">
        <f>IFERROR(__xludf.DUMMYFUNCTION("""COMPUTED_VALUE"""),"LUXE")</f>
        <v>LUXE</v>
      </c>
      <c r="D7677" s="122" t="str">
        <f>IFERROR(__xludf.DUMMYFUNCTION("""COMPUTED_VALUE"""),"Luxury Locker")</f>
        <v>Luxury Locker</v>
      </c>
      <c r="E7677" s="122">
        <f>IFERROR(__xludf.DUMMYFUNCTION("""COMPUTED_VALUE"""),263.24)</f>
        <v>263.24</v>
      </c>
      <c r="F7677" s="122">
        <f>IFERROR(__xludf.DUMMYFUNCTION("""COMPUTED_VALUE"""),-0.0034)</f>
        <v>-0.0034</v>
      </c>
    </row>
    <row r="7678">
      <c r="A7678" s="131">
        <f>IFERROR(__xludf.DUMMYFUNCTION("""COMPUTED_VALUE"""),46187.60915509259)</f>
        <v>46187.60916</v>
      </c>
      <c r="B7678" s="126">
        <f>IFERROR(__xludf.DUMMYFUNCTION("""COMPUTED_VALUE"""),46187.0)</f>
        <v>46187</v>
      </c>
      <c r="C7678" s="122" t="str">
        <f>IFERROR(__xludf.DUMMYFUNCTION("""COMPUTED_VALUE"""),"DRIP")</f>
        <v>DRIP</v>
      </c>
      <c r="D7678" s="122" t="str">
        <f>IFERROR(__xludf.DUMMYFUNCTION("""COMPUTED_VALUE"""),"Drip Streetwear")</f>
        <v>Drip Streetwear</v>
      </c>
      <c r="E7678" s="122">
        <f>IFERROR(__xludf.DUMMYFUNCTION("""COMPUTED_VALUE"""),189.43)</f>
        <v>189.43</v>
      </c>
      <c r="F7678" s="122">
        <f>IFERROR(__xludf.DUMMYFUNCTION("""COMPUTED_VALUE"""),0.0094)</f>
        <v>0.0094</v>
      </c>
    </row>
    <row r="7679">
      <c r="A7679" s="131">
        <f>IFERROR(__xludf.DUMMYFUNCTION("""COMPUTED_VALUE"""),46187.60915509259)</f>
        <v>46187.60916</v>
      </c>
      <c r="B7679" s="126">
        <f>IFERROR(__xludf.DUMMYFUNCTION("""COMPUTED_VALUE"""),46187.0)</f>
        <v>46187</v>
      </c>
      <c r="C7679" s="122" t="str">
        <f>IFERROR(__xludf.DUMMYFUNCTION("""COMPUTED_VALUE"""),"KICK")</f>
        <v>KICK</v>
      </c>
      <c r="D7679" s="122" t="str">
        <f>IFERROR(__xludf.DUMMYFUNCTION("""COMPUTED_VALUE"""),"KickDrop Sneakers")</f>
        <v>KickDrop Sneakers</v>
      </c>
      <c r="E7679" s="122">
        <f>IFERROR(__xludf.DUMMYFUNCTION("""COMPUTED_VALUE"""),168.91)</f>
        <v>168.91</v>
      </c>
      <c r="F7679" s="122">
        <f>IFERROR(__xludf.DUMMYFUNCTION("""COMPUTED_VALUE"""),-0.0061)</f>
        <v>-0.0061</v>
      </c>
    </row>
    <row r="7680">
      <c r="A7680" s="131">
        <f>IFERROR(__xludf.DUMMYFUNCTION("""COMPUTED_VALUE"""),46187.60915509259)</f>
        <v>46187.60916</v>
      </c>
      <c r="B7680" s="126">
        <f>IFERROR(__xludf.DUMMYFUNCTION("""COMPUTED_VALUE"""),46187.0)</f>
        <v>46187</v>
      </c>
      <c r="C7680" s="122" t="str">
        <f>IFERROR(__xludf.DUMMYFUNCTION("""COMPUTED_VALUE"""),"GLAM")</f>
        <v>GLAM</v>
      </c>
      <c r="D7680" s="122" t="str">
        <f>IFERROR(__xludf.DUMMYFUNCTION("""COMPUTED_VALUE"""),"Glow Cosmetics")</f>
        <v>Glow Cosmetics</v>
      </c>
      <c r="E7680" s="122">
        <f>IFERROR(__xludf.DUMMYFUNCTION("""COMPUTED_VALUE"""),111.69)</f>
        <v>111.69</v>
      </c>
      <c r="F7680" s="122">
        <f>IFERROR(__xludf.DUMMYFUNCTION("""COMPUTED_VALUE"""),0.0085)</f>
        <v>0.0085</v>
      </c>
    </row>
    <row r="7681">
      <c r="A7681" s="131">
        <f>IFERROR(__xludf.DUMMYFUNCTION("""COMPUTED_VALUE"""),46187.60915509259)</f>
        <v>46187.60916</v>
      </c>
      <c r="B7681" s="126">
        <f>IFERROR(__xludf.DUMMYFUNCTION("""COMPUTED_VALUE"""),46187.0)</f>
        <v>46187</v>
      </c>
      <c r="C7681" s="122" t="str">
        <f>IFERROR(__xludf.DUMMYFUNCTION("""COMPUTED_VALUE"""),"BAGG")</f>
        <v>BAGG</v>
      </c>
      <c r="D7681" s="122" t="str">
        <f>IFERROR(__xludf.DUMMYFUNCTION("""COMPUTED_VALUE"""),"BagVault")</f>
        <v>BagVault</v>
      </c>
      <c r="E7681" s="122">
        <f>IFERROR(__xludf.DUMMYFUNCTION("""COMPUTED_VALUE"""),276.42)</f>
        <v>276.42</v>
      </c>
      <c r="F7681" s="122">
        <f>IFERROR(__xludf.DUMMYFUNCTION("""COMPUTED_VALUE"""),-4.0E-4)</f>
        <v>-0.0004</v>
      </c>
    </row>
    <row r="7682">
      <c r="A7682" s="131">
        <f>IFERROR(__xludf.DUMMYFUNCTION("""COMPUTED_VALUE"""),46187.60915509259)</f>
        <v>46187.60916</v>
      </c>
      <c r="B7682" s="126">
        <f>IFERROR(__xludf.DUMMYFUNCTION("""COMPUTED_VALUE"""),46187.0)</f>
        <v>46187</v>
      </c>
      <c r="C7682" s="122" t="str">
        <f>IFERROR(__xludf.DUMMYFUNCTION("""COMPUTED_VALUE"""),"FAST")</f>
        <v>FAST</v>
      </c>
      <c r="D7682" s="122" t="str">
        <f>IFERROR(__xludf.DUMMYFUNCTION("""COMPUTED_VALUE"""),"Flash Logistics")</f>
        <v>Flash Logistics</v>
      </c>
      <c r="E7682" s="122">
        <f>IFERROR(__xludf.DUMMYFUNCTION("""COMPUTED_VALUE"""),108.79)</f>
        <v>108.79</v>
      </c>
      <c r="F7682" s="122">
        <f>IFERROR(__xludf.DUMMYFUNCTION("""COMPUTED_VALUE"""),0.0014)</f>
        <v>0.0014</v>
      </c>
    </row>
    <row r="7683">
      <c r="A7683" s="131">
        <f>IFERROR(__xludf.DUMMYFUNCTION("""COMPUTED_VALUE"""),46187.60915509259)</f>
        <v>46187.60916</v>
      </c>
      <c r="B7683" s="126">
        <f>IFERROR(__xludf.DUMMYFUNCTION("""COMPUTED_VALUE"""),46187.0)</f>
        <v>46187</v>
      </c>
      <c r="C7683" s="122" t="str">
        <f>IFERROR(__xludf.DUMMYFUNCTION("""COMPUTED_VALUE"""),"SHIP")</f>
        <v>SHIP</v>
      </c>
      <c r="D7683" s="122" t="str">
        <f>IFERROR(__xludf.DUMMYFUNCTION("""COMPUTED_VALUE"""),"Seoul Shipping")</f>
        <v>Seoul Shipping</v>
      </c>
      <c r="E7683" s="122">
        <f>IFERROR(__xludf.DUMMYFUNCTION("""COMPUTED_VALUE"""),130.64)</f>
        <v>130.64</v>
      </c>
      <c r="F7683" s="122">
        <f>IFERROR(__xludf.DUMMYFUNCTION("""COMPUTED_VALUE"""),0.0059)</f>
        <v>0.0059</v>
      </c>
    </row>
    <row r="7684">
      <c r="A7684" s="131">
        <f>IFERROR(__xludf.DUMMYFUNCTION("""COMPUTED_VALUE"""),46187.60915509259)</f>
        <v>46187.60916</v>
      </c>
      <c r="B7684" s="126">
        <f>IFERROR(__xludf.DUMMYFUNCTION("""COMPUTED_VALUE"""),46187.0)</f>
        <v>46187</v>
      </c>
      <c r="C7684" s="122" t="str">
        <f>IFERROR(__xludf.DUMMYFUNCTION("""COMPUTED_VALUE"""),"DRON")</f>
        <v>DRON</v>
      </c>
      <c r="D7684" s="122" t="str">
        <f>IFERROR(__xludf.DUMMYFUNCTION("""COMPUTED_VALUE"""),"DroneDrop")</f>
        <v>DroneDrop</v>
      </c>
      <c r="E7684" s="122">
        <f>IFERROR(__xludf.DUMMYFUNCTION("""COMPUTED_VALUE"""),126.51)</f>
        <v>126.51</v>
      </c>
      <c r="F7684" s="122">
        <f>IFERROR(__xludf.DUMMYFUNCTION("""COMPUTED_VALUE"""),0.0025)</f>
        <v>0.0025</v>
      </c>
    </row>
    <row r="7685">
      <c r="A7685" s="131">
        <f>IFERROR(__xludf.DUMMYFUNCTION("""COMPUTED_VALUE"""),46187.60915509259)</f>
        <v>46187.60916</v>
      </c>
      <c r="B7685" s="126">
        <f>IFERROR(__xludf.DUMMYFUNCTION("""COMPUTED_VALUE"""),46187.0)</f>
        <v>46187</v>
      </c>
      <c r="C7685" s="122" t="str">
        <f>IFERROR(__xludf.DUMMYFUNCTION("""COMPUTED_VALUE"""),"RIDE")</f>
        <v>RIDE</v>
      </c>
      <c r="D7685" s="122" t="str">
        <f>IFERROR(__xludf.DUMMYFUNCTION("""COMPUTED_VALUE"""),"QuickRide")</f>
        <v>QuickRide</v>
      </c>
      <c r="E7685" s="122">
        <f>IFERROR(__xludf.DUMMYFUNCTION("""COMPUTED_VALUE"""),103.43)</f>
        <v>103.43</v>
      </c>
      <c r="F7685" s="122">
        <f>IFERROR(__xludf.DUMMYFUNCTION("""COMPUTED_VALUE"""),-0.0015)</f>
        <v>-0.0015</v>
      </c>
    </row>
    <row r="7686">
      <c r="A7686" s="131">
        <f>IFERROR(__xludf.DUMMYFUNCTION("""COMPUTED_VALUE"""),46187.60915509259)</f>
        <v>46187.60916</v>
      </c>
      <c r="B7686" s="126">
        <f>IFERROR(__xludf.DUMMYFUNCTION("""COMPUTED_VALUE"""),46187.0)</f>
        <v>46187</v>
      </c>
      <c r="C7686" s="122" t="str">
        <f>IFERROR(__xludf.DUMMYFUNCTION("""COMPUTED_VALUE"""),"RAIL")</f>
        <v>RAIL</v>
      </c>
      <c r="D7686" s="122" t="str">
        <f>IFERROR(__xludf.DUMMYFUNCTION("""COMPUTED_VALUE"""),"MetroRail Corp")</f>
        <v>MetroRail Corp</v>
      </c>
      <c r="E7686" s="122">
        <f>IFERROR(__xludf.DUMMYFUNCTION("""COMPUTED_VALUE"""),131.27)</f>
        <v>131.27</v>
      </c>
      <c r="F7686" s="122">
        <f>IFERROR(__xludf.DUMMYFUNCTION("""COMPUTED_VALUE"""),-5.0E-4)</f>
        <v>-0.0005</v>
      </c>
    </row>
    <row r="7687">
      <c r="A7687" s="131">
        <f>IFERROR(__xludf.DUMMYFUNCTION("""COMPUTED_VALUE"""),46187.60915509259)</f>
        <v>46187.60916</v>
      </c>
      <c r="B7687" s="126">
        <f>IFERROR(__xludf.DUMMYFUNCTION("""COMPUTED_VALUE"""),46187.0)</f>
        <v>46187</v>
      </c>
      <c r="C7687" s="122" t="str">
        <f>IFERROR(__xludf.DUMMYFUNCTION("""COMPUTED_VALUE"""),"MEDX")</f>
        <v>MEDX</v>
      </c>
      <c r="D7687" s="122" t="str">
        <f>IFERROR(__xludf.DUMMYFUNCTION("""COMPUTED_VALUE"""),"MediCore")</f>
        <v>MediCore</v>
      </c>
      <c r="E7687" s="122">
        <f>IFERROR(__xludf.DUMMYFUNCTION("""COMPUTED_VALUE"""),138.06)</f>
        <v>138.06</v>
      </c>
      <c r="F7687" s="122">
        <f>IFERROR(__xludf.DUMMYFUNCTION("""COMPUTED_VALUE"""),0.0019)</f>
        <v>0.0019</v>
      </c>
    </row>
    <row r="7688">
      <c r="A7688" s="131">
        <f>IFERROR(__xludf.DUMMYFUNCTION("""COMPUTED_VALUE"""),46187.60915509259)</f>
        <v>46187.60916</v>
      </c>
      <c r="B7688" s="126">
        <f>IFERROR(__xludf.DUMMYFUNCTION("""COMPUTED_VALUE"""),46187.0)</f>
        <v>46187</v>
      </c>
      <c r="C7688" s="122" t="str">
        <f>IFERROR(__xludf.DUMMYFUNCTION("""COMPUTED_VALUE"""),"GYMX")</f>
        <v>GYMX</v>
      </c>
      <c r="D7688" s="122" t="str">
        <f>IFERROR(__xludf.DUMMYFUNCTION("""COMPUTED_VALUE"""),"GymX Fitness")</f>
        <v>GymX Fitness</v>
      </c>
      <c r="E7688" s="122">
        <f>IFERROR(__xludf.DUMMYFUNCTION("""COMPUTED_VALUE"""),83.82)</f>
        <v>83.82</v>
      </c>
      <c r="F7688" s="122">
        <f>IFERROR(__xludf.DUMMYFUNCTION("""COMPUTED_VALUE"""),-0.0034)</f>
        <v>-0.0034</v>
      </c>
    </row>
    <row r="7689">
      <c r="A7689" s="131">
        <f>IFERROR(__xludf.DUMMYFUNCTION("""COMPUTED_VALUE"""),46187.60915509259)</f>
        <v>46187.60916</v>
      </c>
      <c r="B7689" s="126">
        <f>IFERROR(__xludf.DUMMYFUNCTION("""COMPUTED_VALUE"""),46187.0)</f>
        <v>46187</v>
      </c>
      <c r="C7689" s="122" t="str">
        <f>IFERROR(__xludf.DUMMYFUNCTION("""COMPUTED_VALUE"""),"VITA")</f>
        <v>VITA</v>
      </c>
      <c r="D7689" s="122" t="str">
        <f>IFERROR(__xludf.DUMMYFUNCTION("""COMPUTED_VALUE"""),"VitaPlus")</f>
        <v>VitaPlus</v>
      </c>
      <c r="E7689" s="122">
        <f>IFERROR(__xludf.DUMMYFUNCTION("""COMPUTED_VALUE"""),72.81)</f>
        <v>72.81</v>
      </c>
      <c r="F7689" s="122">
        <f>IFERROR(__xludf.DUMMYFUNCTION("""COMPUTED_VALUE"""),0.001)</f>
        <v>0.001</v>
      </c>
    </row>
    <row r="7690">
      <c r="A7690" s="131">
        <f>IFERROR(__xludf.DUMMYFUNCTION("""COMPUTED_VALUE"""),46187.60915509259)</f>
        <v>46187.60916</v>
      </c>
      <c r="B7690" s="126">
        <f>IFERROR(__xludf.DUMMYFUNCTION("""COMPUTED_VALUE"""),46187.0)</f>
        <v>46187</v>
      </c>
      <c r="C7690" s="122" t="str">
        <f>IFERROR(__xludf.DUMMYFUNCTION("""COMPUTED_VALUE"""),"CARE")</f>
        <v>CARE</v>
      </c>
      <c r="D7690" s="122" t="str">
        <f>IFERROR(__xludf.DUMMYFUNCTION("""COMPUTED_VALUE"""),"CareCloud")</f>
        <v>CareCloud</v>
      </c>
      <c r="E7690" s="122">
        <f>IFERROR(__xludf.DUMMYFUNCTION("""COMPUTED_VALUE"""),184.85)</f>
        <v>184.85</v>
      </c>
      <c r="F7690" s="122">
        <f>IFERROR(__xludf.DUMMYFUNCTION("""COMPUTED_VALUE"""),0.0081)</f>
        <v>0.0081</v>
      </c>
    </row>
    <row r="7691">
      <c r="A7691" s="131">
        <f>IFERROR(__xludf.DUMMYFUNCTION("""COMPUTED_VALUE"""),46187.60915509259)</f>
        <v>46187.60916</v>
      </c>
      <c r="B7691" s="126">
        <f>IFERROR(__xludf.DUMMYFUNCTION("""COMPUTED_VALUE"""),46187.0)</f>
        <v>46187</v>
      </c>
      <c r="C7691" s="122" t="str">
        <f>IFERROR(__xludf.DUMMYFUNCTION("""COMPUTED_VALUE"""),"DENT")</f>
        <v>DENT</v>
      </c>
      <c r="D7691" s="122" t="str">
        <f>IFERROR(__xludf.DUMMYFUNCTION("""COMPUTED_VALUE"""),"SmileWorks")</f>
        <v>SmileWorks</v>
      </c>
      <c r="E7691" s="122">
        <f>IFERROR(__xludf.DUMMYFUNCTION("""COMPUTED_VALUE"""),95.24)</f>
        <v>95.24</v>
      </c>
      <c r="F7691" s="122">
        <f>IFERROR(__xludf.DUMMYFUNCTION("""COMPUTED_VALUE"""),-0.0021)</f>
        <v>-0.0021</v>
      </c>
    </row>
    <row r="7692">
      <c r="A7692" s="131">
        <f>IFERROR(__xludf.DUMMYFUNCTION("""COMPUTED_VALUE"""),46187.60915509259)</f>
        <v>46187.60916</v>
      </c>
      <c r="B7692" s="126">
        <f>IFERROR(__xludf.DUMMYFUNCTION("""COMPUTED_VALUE"""),46187.0)</f>
        <v>46187</v>
      </c>
      <c r="C7692" s="122" t="str">
        <f>IFERROR(__xludf.DUMMYFUNCTION("""COMPUTED_VALUE"""),"EDUX")</f>
        <v>EDUX</v>
      </c>
      <c r="D7692" s="122" t="str">
        <f>IFERROR(__xludf.DUMMYFUNCTION("""COMPUTED_VALUE"""),"EduMax Learning")</f>
        <v>EduMax Learning</v>
      </c>
      <c r="E7692" s="122">
        <f>IFERROR(__xludf.DUMMYFUNCTION("""COMPUTED_VALUE"""),147.24)</f>
        <v>147.24</v>
      </c>
      <c r="F7692" s="122">
        <f>IFERROR(__xludf.DUMMYFUNCTION("""COMPUTED_VALUE"""),0.0035)</f>
        <v>0.0035</v>
      </c>
    </row>
    <row r="7693">
      <c r="A7693" s="131">
        <f>IFERROR(__xludf.DUMMYFUNCTION("""COMPUTED_VALUE"""),46187.60915509259)</f>
        <v>46187.60916</v>
      </c>
      <c r="B7693" s="126">
        <f>IFERROR(__xludf.DUMMYFUNCTION("""COMPUTED_VALUE"""),46187.0)</f>
        <v>46187</v>
      </c>
      <c r="C7693" s="122" t="str">
        <f>IFERROR(__xludf.DUMMYFUNCTION("""COMPUTED_VALUE"""),"BOOK")</f>
        <v>BOOK</v>
      </c>
      <c r="D7693" s="122" t="str">
        <f>IFERROR(__xludf.DUMMYFUNCTION("""COMPUTED_VALUE"""),"BookBridge")</f>
        <v>BookBridge</v>
      </c>
      <c r="E7693" s="122">
        <f>IFERROR(__xludf.DUMMYFUNCTION("""COMPUTED_VALUE"""),120.85)</f>
        <v>120.85</v>
      </c>
      <c r="F7693" s="122">
        <f>IFERROR(__xludf.DUMMYFUNCTION("""COMPUTED_VALUE"""),0.0057)</f>
        <v>0.0057</v>
      </c>
    </row>
    <row r="7694">
      <c r="A7694" s="131">
        <f>IFERROR(__xludf.DUMMYFUNCTION("""COMPUTED_VALUE"""),46187.60915509259)</f>
        <v>46187.60916</v>
      </c>
      <c r="B7694" s="126">
        <f>IFERROR(__xludf.DUMMYFUNCTION("""COMPUTED_VALUE"""),46187.0)</f>
        <v>46187</v>
      </c>
      <c r="C7694" s="122" t="str">
        <f>IFERROR(__xludf.DUMMYFUNCTION("""COMPUTED_VALUE"""),"TUTR")</f>
        <v>TUTR</v>
      </c>
      <c r="D7694" s="122" t="str">
        <f>IFERROR(__xludf.DUMMYFUNCTION("""COMPUTED_VALUE"""),"TutorTown")</f>
        <v>TutorTown</v>
      </c>
      <c r="E7694" s="122">
        <f>IFERROR(__xludf.DUMMYFUNCTION("""COMPUTED_VALUE"""),91.48)</f>
        <v>91.48</v>
      </c>
      <c r="F7694" s="122">
        <f>IFERROR(__xludf.DUMMYFUNCTION("""COMPUTED_VALUE"""),0.0052)</f>
        <v>0.0052</v>
      </c>
    </row>
    <row r="7695">
      <c r="A7695" s="131">
        <f>IFERROR(__xludf.DUMMYFUNCTION("""COMPUTED_VALUE"""),46187.60915509259)</f>
        <v>46187.60916</v>
      </c>
      <c r="B7695" s="126">
        <f>IFERROR(__xludf.DUMMYFUNCTION("""COMPUTED_VALUE"""),46187.0)</f>
        <v>46187</v>
      </c>
      <c r="C7695" s="122" t="str">
        <f>IFERROR(__xludf.DUMMYFUNCTION("""COMPUTED_VALUE"""),"LANG")</f>
        <v>LANG</v>
      </c>
      <c r="D7695" s="122" t="str">
        <f>IFERROR(__xludf.DUMMYFUNCTION("""COMPUTED_VALUE"""),"LinguaLab")</f>
        <v>LinguaLab</v>
      </c>
      <c r="E7695" s="122">
        <f>IFERROR(__xludf.DUMMYFUNCTION("""COMPUTED_VALUE"""),101.73)</f>
        <v>101.73</v>
      </c>
      <c r="F7695" s="122">
        <f>IFERROR(__xludf.DUMMYFUNCTION("""COMPUTED_VALUE"""),-0.0028)</f>
        <v>-0.0028</v>
      </c>
    </row>
    <row r="7696">
      <c r="A7696" s="131">
        <f>IFERROR(__xludf.DUMMYFUNCTION("""COMPUTED_VALUE"""),46187.60915509259)</f>
        <v>46187.60916</v>
      </c>
      <c r="B7696" s="126">
        <f>IFERROR(__xludf.DUMMYFUNCTION("""COMPUTED_VALUE"""),46187.0)</f>
        <v>46187</v>
      </c>
      <c r="C7696" s="122" t="str">
        <f>IFERROR(__xludf.DUMMYFUNCTION("""COMPUTED_VALUE"""),"TEST")</f>
        <v>TEST</v>
      </c>
      <c r="D7696" s="122" t="str">
        <f>IFERROR(__xludf.DUMMYFUNCTION("""COMPUTED_VALUE"""),"TestPrep Pro")</f>
        <v>TestPrep Pro</v>
      </c>
      <c r="E7696" s="122">
        <f>IFERROR(__xludf.DUMMYFUNCTION("""COMPUTED_VALUE"""),89.4)</f>
        <v>89.4</v>
      </c>
      <c r="F7696" s="122">
        <f>IFERROR(__xludf.DUMMYFUNCTION("""COMPUTED_VALUE"""),-0.0016)</f>
        <v>-0.0016</v>
      </c>
    </row>
    <row r="7697">
      <c r="A7697" s="131">
        <f>IFERROR(__xludf.DUMMYFUNCTION("""COMPUTED_VALUE"""),46187.60915509259)</f>
        <v>46187.60916</v>
      </c>
      <c r="B7697" s="126">
        <f>IFERROR(__xludf.DUMMYFUNCTION("""COMPUTED_VALUE"""),46187.0)</f>
        <v>46187</v>
      </c>
      <c r="C7697" s="122" t="str">
        <f>IFERROR(__xludf.DUMMYFUNCTION("""COMPUTED_VALUE"""),"MOVI")</f>
        <v>MOVI</v>
      </c>
      <c r="D7697" s="122" t="str">
        <f>IFERROR(__xludf.DUMMYFUNCTION("""COMPUTED_VALUE"""),"MovieBox")</f>
        <v>MovieBox</v>
      </c>
      <c r="E7697" s="122">
        <f>IFERROR(__xludf.DUMMYFUNCTION("""COMPUTED_VALUE"""),83.73)</f>
        <v>83.73</v>
      </c>
      <c r="F7697" s="122">
        <f>IFERROR(__xludf.DUMMYFUNCTION("""COMPUTED_VALUE"""),0.0059)</f>
        <v>0.0059</v>
      </c>
    </row>
    <row r="7698">
      <c r="A7698" s="131">
        <f>IFERROR(__xludf.DUMMYFUNCTION("""COMPUTED_VALUE"""),46187.60915509259)</f>
        <v>46187.60916</v>
      </c>
      <c r="B7698" s="126">
        <f>IFERROR(__xludf.DUMMYFUNCTION("""COMPUTED_VALUE"""),46187.0)</f>
        <v>46187</v>
      </c>
      <c r="C7698" s="122" t="str">
        <f>IFERROR(__xludf.DUMMYFUNCTION("""COMPUTED_VALUE"""),"MUSC")</f>
        <v>MUSC</v>
      </c>
      <c r="D7698" s="122" t="str">
        <f>IFERROR(__xludf.DUMMYFUNCTION("""COMPUTED_VALUE"""),"MusicWave")</f>
        <v>MusicWave</v>
      </c>
      <c r="E7698" s="122">
        <f>IFERROR(__xludf.DUMMYFUNCTION("""COMPUTED_VALUE"""),103.9)</f>
        <v>103.9</v>
      </c>
      <c r="F7698" s="122">
        <f>IFERROR(__xludf.DUMMYFUNCTION("""COMPUTED_VALUE"""),0.0084)</f>
        <v>0.0084</v>
      </c>
    </row>
    <row r="7699">
      <c r="A7699" s="131">
        <f>IFERROR(__xludf.DUMMYFUNCTION("""COMPUTED_VALUE"""),46187.60915509259)</f>
        <v>46187.60916</v>
      </c>
      <c r="B7699" s="126">
        <f>IFERROR(__xludf.DUMMYFUNCTION("""COMPUTED_VALUE"""),46187.0)</f>
        <v>46187</v>
      </c>
      <c r="C7699" s="122" t="str">
        <f>IFERROR(__xludf.DUMMYFUNCTION("""COMPUTED_VALUE"""),"IDOL")</f>
        <v>IDOL</v>
      </c>
      <c r="D7699" s="122" t="str">
        <f>IFERROR(__xludf.DUMMYFUNCTION("""COMPUTED_VALUE"""),"Idol Agency")</f>
        <v>Idol Agency</v>
      </c>
      <c r="E7699" s="122">
        <f>IFERROR(__xludf.DUMMYFUNCTION("""COMPUTED_VALUE"""),186.1)</f>
        <v>186.1</v>
      </c>
      <c r="F7699" s="122">
        <f>IFERROR(__xludf.DUMMYFUNCTION("""COMPUTED_VALUE"""),0.0035)</f>
        <v>0.0035</v>
      </c>
    </row>
    <row r="7700">
      <c r="A7700" s="131">
        <f>IFERROR(__xludf.DUMMYFUNCTION("""COMPUTED_VALUE"""),46187.60915509259)</f>
        <v>46187.60916</v>
      </c>
      <c r="B7700" s="126">
        <f>IFERROR(__xludf.DUMMYFUNCTION("""COMPUTED_VALUE"""),46187.0)</f>
        <v>46187</v>
      </c>
      <c r="C7700" s="122" t="str">
        <f>IFERROR(__xludf.DUMMYFUNCTION("""COMPUTED_VALUE"""),"MEME")</f>
        <v>MEME</v>
      </c>
      <c r="D7700" s="122" t="str">
        <f>IFERROR(__xludf.DUMMYFUNCTION("""COMPUTED_VALUE"""),"Meme Media")</f>
        <v>Meme Media</v>
      </c>
      <c r="E7700" s="122">
        <f>IFERROR(__xludf.DUMMYFUNCTION("""COMPUTED_VALUE"""),73.19)</f>
        <v>73.19</v>
      </c>
      <c r="F7700" s="122">
        <f>IFERROR(__xludf.DUMMYFUNCTION("""COMPUTED_VALUE"""),0.0066)</f>
        <v>0.0066</v>
      </c>
    </row>
    <row r="7701">
      <c r="A7701" s="131">
        <f>IFERROR(__xludf.DUMMYFUNCTION("""COMPUTED_VALUE"""),46187.60915509259)</f>
        <v>46187.60916</v>
      </c>
      <c r="B7701" s="126">
        <f>IFERROR(__xludf.DUMMYFUNCTION("""COMPUTED_VALUE"""),46187.0)</f>
        <v>46187</v>
      </c>
      <c r="C7701" s="122" t="str">
        <f>IFERROR(__xludf.DUMMYFUNCTION("""COMPUTED_VALUE"""),"STRM")</f>
        <v>STRM</v>
      </c>
      <c r="D7701" s="122" t="str">
        <f>IFERROR(__xludf.DUMMYFUNCTION("""COMPUTED_VALUE"""),"Streamly")</f>
        <v>Streamly</v>
      </c>
      <c r="E7701" s="122">
        <f>IFERROR(__xludf.DUMMYFUNCTION("""COMPUTED_VALUE"""),135.64)</f>
        <v>135.64</v>
      </c>
      <c r="F7701" s="122">
        <f>IFERROR(__xludf.DUMMYFUNCTION("""COMPUTED_VALUE"""),0.0083)</f>
        <v>0.0083</v>
      </c>
    </row>
    <row r="7702">
      <c r="A7702" s="131">
        <f>IFERROR(__xludf.DUMMYFUNCTION("""COMPUTED_VALUE"""),46187.60915509259)</f>
        <v>46187.60916</v>
      </c>
      <c r="B7702" s="126">
        <f>IFERROR(__xludf.DUMMYFUNCTION("""COMPUTED_VALUE"""),46187.0)</f>
        <v>46187</v>
      </c>
      <c r="C7702" s="122" t="str">
        <f>IFERROR(__xludf.DUMMYFUNCTION("""COMPUTED_VALUE"""),"FARM")</f>
        <v>FARM</v>
      </c>
      <c r="D7702" s="122" t="str">
        <f>IFERROR(__xludf.DUMMYFUNCTION("""COMPUTED_VALUE"""),"Future Farms")</f>
        <v>Future Farms</v>
      </c>
      <c r="E7702" s="122">
        <f>IFERROR(__xludf.DUMMYFUNCTION("""COMPUTED_VALUE"""),96.48)</f>
        <v>96.48</v>
      </c>
      <c r="F7702" s="122">
        <f>IFERROR(__xludf.DUMMYFUNCTION("""COMPUTED_VALUE"""),0.0055)</f>
        <v>0.0055</v>
      </c>
    </row>
    <row r="7703">
      <c r="A7703" s="131">
        <f>IFERROR(__xludf.DUMMYFUNCTION("""COMPUTED_VALUE"""),46187.60915509259)</f>
        <v>46187.60916</v>
      </c>
      <c r="B7703" s="126">
        <f>IFERROR(__xludf.DUMMYFUNCTION("""COMPUTED_VALUE"""),46187.0)</f>
        <v>46187</v>
      </c>
      <c r="C7703" s="122" t="str">
        <f>IFERROR(__xludf.DUMMYFUNCTION("""COMPUTED_VALUE"""),"MEAT")</f>
        <v>MEAT</v>
      </c>
      <c r="D7703" s="122" t="str">
        <f>IFERROR(__xludf.DUMMYFUNCTION("""COMPUTED_VALUE"""),"MeatWorks")</f>
        <v>MeatWorks</v>
      </c>
      <c r="E7703" s="122">
        <f>IFERROR(__xludf.DUMMYFUNCTION("""COMPUTED_VALUE"""),104.78)</f>
        <v>104.78</v>
      </c>
      <c r="F7703" s="122">
        <f>IFERROR(__xludf.DUMMYFUNCTION("""COMPUTED_VALUE"""),0.0034)</f>
        <v>0.0034</v>
      </c>
    </row>
    <row r="7704">
      <c r="A7704" s="131">
        <f>IFERROR(__xludf.DUMMYFUNCTION("""COMPUTED_VALUE"""),46187.60915509259)</f>
        <v>46187.60916</v>
      </c>
      <c r="B7704" s="126">
        <f>IFERROR(__xludf.DUMMYFUNCTION("""COMPUTED_VALUE"""),46187.0)</f>
        <v>46187</v>
      </c>
      <c r="C7704" s="122" t="str">
        <f>IFERROR(__xludf.DUMMYFUNCTION("""COMPUTED_VALUE"""),"VEGI")</f>
        <v>VEGI</v>
      </c>
      <c r="D7704" s="122" t="str">
        <f>IFERROR(__xludf.DUMMYFUNCTION("""COMPUTED_VALUE"""),"Green Basket")</f>
        <v>Green Basket</v>
      </c>
      <c r="E7704" s="122">
        <f>IFERROR(__xludf.DUMMYFUNCTION("""COMPUTED_VALUE"""),77.36)</f>
        <v>77.36</v>
      </c>
      <c r="F7704" s="122">
        <f>IFERROR(__xludf.DUMMYFUNCTION("""COMPUTED_VALUE"""),9.0E-4)</f>
        <v>0.0009</v>
      </c>
    </row>
    <row r="7705">
      <c r="A7705" s="131">
        <f>IFERROR(__xludf.DUMMYFUNCTION("""COMPUTED_VALUE"""),46187.60915509259)</f>
        <v>46187.60916</v>
      </c>
      <c r="B7705" s="126">
        <f>IFERROR(__xludf.DUMMYFUNCTION("""COMPUTED_VALUE"""),46187.0)</f>
        <v>46187</v>
      </c>
      <c r="C7705" s="122" t="str">
        <f>IFERROR(__xludf.DUMMYFUNCTION("""COMPUTED_VALUE"""),"CAFE")</f>
        <v>CAFE</v>
      </c>
      <c r="D7705" s="122" t="str">
        <f>IFERROR(__xludf.DUMMYFUNCTION("""COMPUTED_VALUE"""),"Cafe Cloud")</f>
        <v>Cafe Cloud</v>
      </c>
      <c r="E7705" s="122">
        <f>IFERROR(__xludf.DUMMYFUNCTION("""COMPUTED_VALUE"""),101.54)</f>
        <v>101.54</v>
      </c>
      <c r="F7705" s="122">
        <f>IFERROR(__xludf.DUMMYFUNCTION("""COMPUTED_VALUE"""),-0.0086)</f>
        <v>-0.0086</v>
      </c>
    </row>
    <row r="7706">
      <c r="A7706" s="131">
        <f>IFERROR(__xludf.DUMMYFUNCTION("""COMPUTED_VALUE"""),46187.60915509259)</f>
        <v>46187.60916</v>
      </c>
      <c r="B7706" s="126">
        <f>IFERROR(__xludf.DUMMYFUNCTION("""COMPUTED_VALUE"""),46187.0)</f>
        <v>46187</v>
      </c>
      <c r="C7706" s="122" t="str">
        <f>IFERROR(__xludf.DUMMYFUNCTION("""COMPUTED_VALUE"""),"BAKE")</f>
        <v>BAKE</v>
      </c>
      <c r="D7706" s="122" t="str">
        <f>IFERROR(__xludf.DUMMYFUNCTION("""COMPUTED_VALUE"""),"BakeHouse")</f>
        <v>BakeHouse</v>
      </c>
      <c r="E7706" s="122">
        <f>IFERROR(__xludf.DUMMYFUNCTION("""COMPUTED_VALUE"""),100.74)</f>
        <v>100.74</v>
      </c>
      <c r="F7706" s="122">
        <f>IFERROR(__xludf.DUMMYFUNCTION("""COMPUTED_VALUE"""),6.0E-4)</f>
        <v>0.0006</v>
      </c>
    </row>
    <row r="7707">
      <c r="A7707" s="131">
        <f>IFERROR(__xludf.DUMMYFUNCTION("""COMPUTED_VALUE"""),46187.60915509259)</f>
        <v>46187.60916</v>
      </c>
      <c r="B7707" s="126">
        <f>IFERROR(__xludf.DUMMYFUNCTION("""COMPUTED_VALUE"""),46187.0)</f>
        <v>46187</v>
      </c>
      <c r="C7707" s="122" t="str">
        <f>IFERROR(__xludf.DUMMYFUNCTION("""COMPUTED_VALUE"""),"OILX")</f>
        <v>OILX</v>
      </c>
      <c r="D7707" s="122" t="str">
        <f>IFERROR(__xludf.DUMMYFUNCTION("""COMPUTED_VALUE"""),"OilMax Energy")</f>
        <v>OilMax Energy</v>
      </c>
      <c r="E7707" s="122">
        <f>IFERROR(__xludf.DUMMYFUNCTION("""COMPUTED_VALUE"""),134.72)</f>
        <v>134.72</v>
      </c>
      <c r="F7707" s="122">
        <f>IFERROR(__xludf.DUMMYFUNCTION("""COMPUTED_VALUE"""),-9.0E-4)</f>
        <v>-0.0009</v>
      </c>
    </row>
    <row r="7708">
      <c r="A7708" s="131">
        <f>IFERROR(__xludf.DUMMYFUNCTION("""COMPUTED_VALUE"""),46187.60915509259)</f>
        <v>46187.60916</v>
      </c>
      <c r="B7708" s="126">
        <f>IFERROR(__xludf.DUMMYFUNCTION("""COMPUTED_VALUE"""),46187.0)</f>
        <v>46187</v>
      </c>
      <c r="C7708" s="122" t="str">
        <f>IFERROR(__xludf.DUMMYFUNCTION("""COMPUTED_VALUE"""),"SOLR")</f>
        <v>SOLR</v>
      </c>
      <c r="D7708" s="122" t="str">
        <f>IFERROR(__xludf.DUMMYFUNCTION("""COMPUTED_VALUE"""),"SolarSpark")</f>
        <v>SolarSpark</v>
      </c>
      <c r="E7708" s="122">
        <f>IFERROR(__xludf.DUMMYFUNCTION("""COMPUTED_VALUE"""),105.33)</f>
        <v>105.33</v>
      </c>
      <c r="F7708" s="122">
        <f>IFERROR(__xludf.DUMMYFUNCTION("""COMPUTED_VALUE"""),-0.0059)</f>
        <v>-0.0059</v>
      </c>
    </row>
    <row r="7709">
      <c r="A7709" s="131">
        <f>IFERROR(__xludf.DUMMYFUNCTION("""COMPUTED_VALUE"""),46187.60915509259)</f>
        <v>46187.60916</v>
      </c>
      <c r="B7709" s="126">
        <f>IFERROR(__xludf.DUMMYFUNCTION("""COMPUTED_VALUE"""),46187.0)</f>
        <v>46187</v>
      </c>
      <c r="C7709" s="122" t="str">
        <f>IFERROR(__xludf.DUMMYFUNCTION("""COMPUTED_VALUE"""),"BATT")</f>
        <v>BATT</v>
      </c>
      <c r="D7709" s="122" t="str">
        <f>IFERROR(__xludf.DUMMYFUNCTION("""COMPUTED_VALUE"""),"BatteryBox")</f>
        <v>BatteryBox</v>
      </c>
      <c r="E7709" s="122">
        <f>IFERROR(__xludf.DUMMYFUNCTION("""COMPUTED_VALUE"""),123.59)</f>
        <v>123.59</v>
      </c>
      <c r="F7709" s="122">
        <f>IFERROR(__xludf.DUMMYFUNCTION("""COMPUTED_VALUE"""),0.0049)</f>
        <v>0.0049</v>
      </c>
    </row>
    <row r="7710">
      <c r="A7710" s="131">
        <f>IFERROR(__xludf.DUMMYFUNCTION("""COMPUTED_VALUE"""),46187.60915509259)</f>
        <v>46187.60916</v>
      </c>
      <c r="B7710" s="126">
        <f>IFERROR(__xludf.DUMMYFUNCTION("""COMPUTED_VALUE"""),46187.0)</f>
        <v>46187</v>
      </c>
      <c r="C7710" s="122" t="str">
        <f>IFERROR(__xludf.DUMMYFUNCTION("""COMPUTED_VALUE"""),"WIND")</f>
        <v>WIND</v>
      </c>
      <c r="D7710" s="122" t="str">
        <f>IFERROR(__xludf.DUMMYFUNCTION("""COMPUTED_VALUE"""),"WindWorks")</f>
        <v>WindWorks</v>
      </c>
      <c r="E7710" s="122">
        <f>IFERROR(__xludf.DUMMYFUNCTION("""COMPUTED_VALUE"""),86.42)</f>
        <v>86.42</v>
      </c>
      <c r="F7710" s="122">
        <f>IFERROR(__xludf.DUMMYFUNCTION("""COMPUTED_VALUE"""),0.0024)</f>
        <v>0.0024</v>
      </c>
    </row>
    <row r="7711">
      <c r="A7711" s="131">
        <f>IFERROR(__xludf.DUMMYFUNCTION("""COMPUTED_VALUE"""),46187.60915509259)</f>
        <v>46187.60916</v>
      </c>
      <c r="B7711" s="126">
        <f>IFERROR(__xludf.DUMMYFUNCTION("""COMPUTED_VALUE"""),46187.0)</f>
        <v>46187</v>
      </c>
      <c r="C7711" s="122" t="str">
        <f>IFERROR(__xludf.DUMMYFUNCTION("""COMPUTED_VALUE"""),"GRID")</f>
        <v>GRID</v>
      </c>
      <c r="D7711" s="122" t="str">
        <f>IFERROR(__xludf.DUMMYFUNCTION("""COMPUTED_VALUE"""),"GridPower")</f>
        <v>GridPower</v>
      </c>
      <c r="E7711" s="122">
        <f>IFERROR(__xludf.DUMMYFUNCTION("""COMPUTED_VALUE"""),128.74)</f>
        <v>128.74</v>
      </c>
      <c r="F7711" s="122">
        <f>IFERROR(__xludf.DUMMYFUNCTION("""COMPUTED_VALUE"""),-0.0022)</f>
        <v>-0.0022</v>
      </c>
    </row>
    <row r="7712">
      <c r="A7712" s="131">
        <f>IFERROR(__xludf.DUMMYFUNCTION("""COMPUTED_VALUE"""),46187.60915509259)</f>
        <v>46187.60916</v>
      </c>
      <c r="B7712" s="126">
        <f>IFERROR(__xludf.DUMMYFUNCTION("""COMPUTED_VALUE"""),46187.0)</f>
        <v>46187</v>
      </c>
      <c r="C7712" s="122" t="str">
        <f>IFERROR(__xludf.DUMMYFUNCTION("""COMPUTED_VALUE"""),"HOME")</f>
        <v>HOME</v>
      </c>
      <c r="D7712" s="122" t="str">
        <f>IFERROR(__xludf.DUMMYFUNCTION("""COMPUTED_VALUE"""),"HomeHub")</f>
        <v>HomeHub</v>
      </c>
      <c r="E7712" s="122">
        <f>IFERROR(__xludf.DUMMYFUNCTION("""COMPUTED_VALUE"""),158.92)</f>
        <v>158.92</v>
      </c>
      <c r="F7712" s="122">
        <f>IFERROR(__xludf.DUMMYFUNCTION("""COMPUTED_VALUE"""),4.0E-4)</f>
        <v>0.0004</v>
      </c>
    </row>
    <row r="7713">
      <c r="A7713" s="131">
        <f>IFERROR(__xludf.DUMMYFUNCTION("""COMPUTED_VALUE"""),46187.60915509259)</f>
        <v>46187.60916</v>
      </c>
      <c r="B7713" s="126">
        <f>IFERROR(__xludf.DUMMYFUNCTION("""COMPUTED_VALUE"""),46187.0)</f>
        <v>46187</v>
      </c>
      <c r="C7713" s="122" t="str">
        <f>IFERROR(__xludf.DUMMYFUNCTION("""COMPUTED_VALUE"""),"RENT")</f>
        <v>RENT</v>
      </c>
      <c r="D7713" s="122" t="str">
        <f>IFERROR(__xludf.DUMMYFUNCTION("""COMPUTED_VALUE"""),"RentRight")</f>
        <v>RentRight</v>
      </c>
      <c r="E7713" s="122">
        <f>IFERROR(__xludf.DUMMYFUNCTION("""COMPUTED_VALUE"""),90.63)</f>
        <v>90.63</v>
      </c>
      <c r="F7713" s="122">
        <f>IFERROR(__xludf.DUMMYFUNCTION("""COMPUTED_VALUE"""),0.0012)</f>
        <v>0.0012</v>
      </c>
    </row>
    <row r="7714">
      <c r="A7714" s="131">
        <f>IFERROR(__xludf.DUMMYFUNCTION("""COMPUTED_VALUE"""),46187.60915509259)</f>
        <v>46187.60916</v>
      </c>
      <c r="B7714" s="126">
        <f>IFERROR(__xludf.DUMMYFUNCTION("""COMPUTED_VALUE"""),46187.0)</f>
        <v>46187</v>
      </c>
      <c r="C7714" s="122" t="str">
        <f>IFERROR(__xludf.DUMMYFUNCTION("""COMPUTED_VALUE"""),"MALL")</f>
        <v>MALL</v>
      </c>
      <c r="D7714" s="122" t="str">
        <f>IFERROR(__xludf.DUMMYFUNCTION("""COMPUTED_VALUE"""),"MegaMall")</f>
        <v>MegaMall</v>
      </c>
      <c r="E7714" s="122">
        <f>IFERROR(__xludf.DUMMYFUNCTION("""COMPUTED_VALUE"""),102.33)</f>
        <v>102.33</v>
      </c>
      <c r="F7714" s="122">
        <f>IFERROR(__xludf.DUMMYFUNCTION("""COMPUTED_VALUE"""),0.0051)</f>
        <v>0.0051</v>
      </c>
    </row>
    <row r="7715">
      <c r="A7715" s="131">
        <f>IFERROR(__xludf.DUMMYFUNCTION("""COMPUTED_VALUE"""),46187.60915509259)</f>
        <v>46187.60916</v>
      </c>
      <c r="B7715" s="126">
        <f>IFERROR(__xludf.DUMMYFUNCTION("""COMPUTED_VALUE"""),46187.0)</f>
        <v>46187</v>
      </c>
      <c r="C7715" s="122" t="str">
        <f>IFERROR(__xludf.DUMMYFUNCTION("""COMPUTED_VALUE"""),"HOTL")</f>
        <v>HOTL</v>
      </c>
      <c r="D7715" s="122" t="str">
        <f>IFERROR(__xludf.DUMMYFUNCTION("""COMPUTED_VALUE"""),"HotelHive")</f>
        <v>HotelHive</v>
      </c>
      <c r="E7715" s="122">
        <f>IFERROR(__xludf.DUMMYFUNCTION("""COMPUTED_VALUE"""),124.47)</f>
        <v>124.47</v>
      </c>
      <c r="F7715" s="122">
        <f>IFERROR(__xludf.DUMMYFUNCTION("""COMPUTED_VALUE"""),0.0074)</f>
        <v>0.0074</v>
      </c>
    </row>
    <row r="7716">
      <c r="A7716" s="131">
        <f>IFERROR(__xludf.DUMMYFUNCTION("""COMPUTED_VALUE"""),46187.60915509259)</f>
        <v>46187.60916</v>
      </c>
      <c r="B7716" s="126">
        <f>IFERROR(__xludf.DUMMYFUNCTION("""COMPUTED_VALUE"""),46187.0)</f>
        <v>46187</v>
      </c>
      <c r="C7716" s="122" t="str">
        <f>IFERROR(__xludf.DUMMYFUNCTION("""COMPUTED_VALUE"""),"LAND")</f>
        <v>LAND</v>
      </c>
      <c r="D7716" s="122" t="str">
        <f>IFERROR(__xludf.DUMMYFUNCTION("""COMPUTED_VALUE"""),"LandLink")</f>
        <v>LandLink</v>
      </c>
      <c r="E7716" s="122">
        <f>IFERROR(__xludf.DUMMYFUNCTION("""COMPUTED_VALUE"""),188.11)</f>
        <v>188.11</v>
      </c>
      <c r="F7716" s="122">
        <f>IFERROR(__xludf.DUMMYFUNCTION("""COMPUTED_VALUE"""),4.0E-4)</f>
        <v>0.0004</v>
      </c>
    </row>
    <row r="7717">
      <c r="A7717" s="131">
        <f>IFERROR(__xludf.DUMMYFUNCTION("""COMPUTED_VALUE"""),46187.60915509259)</f>
        <v>46187.60916</v>
      </c>
      <c r="B7717" s="126">
        <f>IFERROR(__xludf.DUMMYFUNCTION("""COMPUTED_VALUE"""),46187.0)</f>
        <v>46187</v>
      </c>
      <c r="C7717" s="122" t="str">
        <f>IFERROR(__xludf.DUMMYFUNCTION("""COMPUTED_VALUE"""),"CARS")</f>
        <v>CARS</v>
      </c>
      <c r="D7717" s="122" t="str">
        <f>IFERROR(__xludf.DUMMYFUNCTION("""COMPUTED_VALUE"""),"AutoArena")</f>
        <v>AutoArena</v>
      </c>
      <c r="E7717" s="122">
        <f>IFERROR(__xludf.DUMMYFUNCTION("""COMPUTED_VALUE"""),82.07)</f>
        <v>82.07</v>
      </c>
      <c r="F7717" s="122">
        <f>IFERROR(__xludf.DUMMYFUNCTION("""COMPUTED_VALUE"""),0.0022)</f>
        <v>0.0022</v>
      </c>
    </row>
    <row r="7718">
      <c r="A7718" s="131">
        <f>IFERROR(__xludf.DUMMYFUNCTION("""COMPUTED_VALUE"""),46187.60915509259)</f>
        <v>46187.60916</v>
      </c>
      <c r="B7718" s="126">
        <f>IFERROR(__xludf.DUMMYFUNCTION("""COMPUTED_VALUE"""),46187.0)</f>
        <v>46187</v>
      </c>
      <c r="C7718" s="122" t="str">
        <f>IFERROR(__xludf.DUMMYFUNCTION("""COMPUTED_VALUE"""),"EVGO")</f>
        <v>EVGO</v>
      </c>
      <c r="D7718" s="122" t="str">
        <f>IFERROR(__xludf.DUMMYFUNCTION("""COMPUTED_VALUE"""),"EVGo Motors")</f>
        <v>EVGo Motors</v>
      </c>
      <c r="E7718" s="122">
        <f>IFERROR(__xludf.DUMMYFUNCTION("""COMPUTED_VALUE"""),189.14)</f>
        <v>189.14</v>
      </c>
      <c r="F7718" s="122">
        <f>IFERROR(__xludf.DUMMYFUNCTION("""COMPUTED_VALUE"""),-0.0023)</f>
        <v>-0.0023</v>
      </c>
    </row>
    <row r="7719">
      <c r="A7719" s="131">
        <f>IFERROR(__xludf.DUMMYFUNCTION("""COMPUTED_VALUE"""),46187.60915509259)</f>
        <v>46187.60916</v>
      </c>
      <c r="B7719" s="126">
        <f>IFERROR(__xludf.DUMMYFUNCTION("""COMPUTED_VALUE"""),46187.0)</f>
        <v>46187</v>
      </c>
      <c r="C7719" s="122" t="str">
        <f>IFERROR(__xludf.DUMMYFUNCTION("""COMPUTED_VALUE"""),"TIRE")</f>
        <v>TIRE</v>
      </c>
      <c r="D7719" s="122" t="str">
        <f>IFERROR(__xludf.DUMMYFUNCTION("""COMPUTED_VALUE"""),"TireTown")</f>
        <v>TireTown</v>
      </c>
      <c r="E7719" s="122">
        <f>IFERROR(__xludf.DUMMYFUNCTION("""COMPUTED_VALUE"""),97.48)</f>
        <v>97.48</v>
      </c>
      <c r="F7719" s="122">
        <f>IFERROR(__xludf.DUMMYFUNCTION("""COMPUTED_VALUE"""),0.0063)</f>
        <v>0.0063</v>
      </c>
    </row>
    <row r="7720">
      <c r="A7720" s="131">
        <f>IFERROR(__xludf.DUMMYFUNCTION("""COMPUTED_VALUE"""),46187.60915509259)</f>
        <v>46187.60916</v>
      </c>
      <c r="B7720" s="126">
        <f>IFERROR(__xludf.DUMMYFUNCTION("""COMPUTED_VALUE"""),46187.0)</f>
        <v>46187</v>
      </c>
      <c r="C7720" s="122" t="str">
        <f>IFERROR(__xludf.DUMMYFUNCTION("""COMPUTED_VALUE"""),"BIKE")</f>
        <v>BIKE</v>
      </c>
      <c r="D7720" s="122" t="str">
        <f>IFERROR(__xludf.DUMMYFUNCTION("""COMPUTED_VALUE"""),"BikeBox")</f>
        <v>BikeBox</v>
      </c>
      <c r="E7720" s="122">
        <f>IFERROR(__xludf.DUMMYFUNCTION("""COMPUTED_VALUE"""),52.77)</f>
        <v>52.77</v>
      </c>
      <c r="F7720" s="122">
        <f>IFERROR(__xludf.DUMMYFUNCTION("""COMPUTED_VALUE"""),0.0015)</f>
        <v>0.0015</v>
      </c>
    </row>
    <row r="7721">
      <c r="A7721" s="131">
        <f>IFERROR(__xludf.DUMMYFUNCTION("""COMPUTED_VALUE"""),46187.60915509259)</f>
        <v>46187.60916</v>
      </c>
      <c r="B7721" s="126">
        <f>IFERROR(__xludf.DUMMYFUNCTION("""COMPUTED_VALUE"""),46187.0)</f>
        <v>46187</v>
      </c>
      <c r="C7721" s="122" t="str">
        <f>IFERROR(__xludf.DUMMYFUNCTION("""COMPUTED_VALUE"""),"WASH")</f>
        <v>WASH</v>
      </c>
      <c r="D7721" s="122" t="str">
        <f>IFERROR(__xludf.DUMMYFUNCTION("""COMPUTED_VALUE"""),"CarWash Co")</f>
        <v>CarWash Co</v>
      </c>
      <c r="E7721" s="122">
        <f>IFERROR(__xludf.DUMMYFUNCTION("""COMPUTED_VALUE"""),121.67)</f>
        <v>121.67</v>
      </c>
      <c r="F7721" s="122">
        <f>IFERROR(__xludf.DUMMYFUNCTION("""COMPUTED_VALUE"""),0.0031)</f>
        <v>0.0031</v>
      </c>
    </row>
    <row r="7722">
      <c r="A7722" s="131">
        <f>IFERROR(__xludf.DUMMYFUNCTION("""COMPUTED_VALUE"""),46187.60915509259)</f>
        <v>46187.60916</v>
      </c>
      <c r="B7722" s="126">
        <f>IFERROR(__xludf.DUMMYFUNCTION("""COMPUTED_VALUE"""),46187.0)</f>
        <v>46187</v>
      </c>
      <c r="C7722" s="122" t="str">
        <f>IFERROR(__xludf.DUMMYFUNCTION("""COMPUTED_VALUE"""),"GBND")</f>
        <v>GBND</v>
      </c>
      <c r="D7722" s="122" t="str">
        <f>IFERROR(__xludf.DUMMYFUNCTION("""COMPUTED_VALUE"""),"Classroom Government Bond")</f>
        <v>Classroom Government Bond</v>
      </c>
      <c r="E7722" s="122">
        <f>IFERROR(__xludf.DUMMYFUNCTION("""COMPUTED_VALUE"""),101.1)</f>
        <v>101.1</v>
      </c>
      <c r="F7722" s="122">
        <f>IFERROR(__xludf.DUMMYFUNCTION("""COMPUTED_VALUE"""),4.0E-4)</f>
        <v>0.0004</v>
      </c>
    </row>
    <row r="7723">
      <c r="A7723" s="131">
        <f>IFERROR(__xludf.DUMMYFUNCTION("""COMPUTED_VALUE"""),46187.60915509259)</f>
        <v>46187.60916</v>
      </c>
      <c r="B7723" s="126">
        <f>IFERROR(__xludf.DUMMYFUNCTION("""COMPUTED_VALUE"""),46187.0)</f>
        <v>46187</v>
      </c>
      <c r="C7723" s="122" t="str">
        <f>IFERROR(__xludf.DUMMYFUNCTION("""COMPUTED_VALUE"""),"SBND")</f>
        <v>SBND</v>
      </c>
      <c r="D7723" s="122" t="str">
        <f>IFERROR(__xludf.DUMMYFUNCTION("""COMPUTED_VALUE"""),"School Savings Bond")</f>
        <v>School Savings Bond</v>
      </c>
      <c r="E7723" s="122">
        <f>IFERROR(__xludf.DUMMYFUNCTION("""COMPUTED_VALUE"""),99.2)</f>
        <v>99.2</v>
      </c>
      <c r="F7723" s="122">
        <f>IFERROR(__xludf.DUMMYFUNCTION("""COMPUTED_VALUE"""),-2.0E-4)</f>
        <v>-0.0002</v>
      </c>
    </row>
    <row r="7724">
      <c r="A7724" s="131">
        <f>IFERROR(__xludf.DUMMYFUNCTION("""COMPUTED_VALUE"""),46187.60915509259)</f>
        <v>46187.60916</v>
      </c>
      <c r="B7724" s="126">
        <f>IFERROR(__xludf.DUMMYFUNCTION("""COMPUTED_VALUE"""),46187.0)</f>
        <v>46187</v>
      </c>
      <c r="C7724" s="122" t="str">
        <f>IFERROR(__xludf.DUMMYFUNCTION("""COMPUTED_VALUE"""),"CBND")</f>
        <v>CBND</v>
      </c>
      <c r="D7724" s="122" t="str">
        <f>IFERROR(__xludf.DUMMYFUNCTION("""COMPUTED_VALUE"""),"Corporate Classroom Bond")</f>
        <v>Corporate Classroom Bond</v>
      </c>
      <c r="E7724" s="122">
        <f>IFERROR(__xludf.DUMMYFUNCTION("""COMPUTED_VALUE"""),97.75)</f>
        <v>97.75</v>
      </c>
      <c r="F7724" s="122">
        <f>IFERROR(__xludf.DUMMYFUNCTION("""COMPUTED_VALUE"""),-3.0E-4)</f>
        <v>-0.0003</v>
      </c>
    </row>
    <row r="7725">
      <c r="A7725" s="131">
        <f>IFERROR(__xludf.DUMMYFUNCTION("""COMPUTED_VALUE"""),46187.60915509259)</f>
        <v>46187.60916</v>
      </c>
      <c r="B7725" s="126">
        <f>IFERROR(__xludf.DUMMYFUNCTION("""COMPUTED_VALUE"""),46187.0)</f>
        <v>46187</v>
      </c>
      <c r="C7725" s="122" t="str">
        <f>IFERROR(__xludf.DUMMYFUNCTION("""COMPUTED_VALUE"""),"TBIL")</f>
        <v>TBIL</v>
      </c>
      <c r="D7725" s="122" t="str">
        <f>IFERROR(__xludf.DUMMYFUNCTION("""COMPUTED_VALUE"""),"Treasury Bill")</f>
        <v>Treasury Bill</v>
      </c>
      <c r="E7725" s="122">
        <f>IFERROR(__xludf.DUMMYFUNCTION("""COMPUTED_VALUE"""),97.69)</f>
        <v>97.69</v>
      </c>
      <c r="F7725" s="122">
        <f>IFERROR(__xludf.DUMMYFUNCTION("""COMPUTED_VALUE"""),-4.0E-4)</f>
        <v>-0.0004</v>
      </c>
    </row>
    <row r="7726">
      <c r="A7726" s="131">
        <f>IFERROR(__xludf.DUMMYFUNCTION("""COMPUTED_VALUE"""),46187.60915509259)</f>
        <v>46187.60916</v>
      </c>
      <c r="B7726" s="126">
        <f>IFERROR(__xludf.DUMMYFUNCTION("""COMPUTED_VALUE"""),46187.0)</f>
        <v>46187</v>
      </c>
      <c r="C7726" s="122" t="str">
        <f>IFERROR(__xludf.DUMMYFUNCTION("""COMPUTED_VALUE"""),"IBND")</f>
        <v>IBND</v>
      </c>
      <c r="D7726" s="122" t="str">
        <f>IFERROR(__xludf.DUMMYFUNCTION("""COMPUTED_VALUE"""),"Inflation Protected Bond")</f>
        <v>Inflation Protected Bond</v>
      </c>
      <c r="E7726" s="122">
        <f>IFERROR(__xludf.DUMMYFUNCTION("""COMPUTED_VALUE"""),100.75)</f>
        <v>100.75</v>
      </c>
      <c r="F7726" s="122">
        <f>IFERROR(__xludf.DUMMYFUNCTION("""COMPUTED_VALUE"""),4.0E-4)</f>
        <v>0.0004</v>
      </c>
    </row>
    <row r="7727">
      <c r="A7727" s="131">
        <f>IFERROR(__xludf.DUMMYFUNCTION("""COMPUTED_VALUE"""),46187.61315972222)</f>
        <v>46187.61316</v>
      </c>
      <c r="B7727" s="126">
        <f>IFERROR(__xludf.DUMMYFUNCTION("""COMPUTED_VALUE"""),46187.0)</f>
        <v>46187</v>
      </c>
      <c r="C7727" s="122" t="str">
        <f>IFERROR(__xludf.DUMMYFUNCTION("""COMPUTED_VALUE"""),"SNAX")</f>
        <v>SNAX</v>
      </c>
      <c r="D7727" s="122" t="str">
        <f>IFERROR(__xludf.DUMMYFUNCTION("""COMPUTED_VALUE"""),"MICA Snacks")</f>
        <v>MICA Snacks</v>
      </c>
      <c r="E7727" s="122">
        <f>IFERROR(__xludf.DUMMYFUNCTION("""COMPUTED_VALUE"""),122.07)</f>
        <v>122.07</v>
      </c>
      <c r="F7727" s="122">
        <f>IFERROR(__xludf.DUMMYFUNCTION("""COMPUTED_VALUE"""),-5.0E-4)</f>
        <v>-0.0005</v>
      </c>
    </row>
    <row r="7728">
      <c r="A7728" s="131">
        <f>IFERROR(__xludf.DUMMYFUNCTION("""COMPUTED_VALUE"""),46187.61315972222)</f>
        <v>46187.61316</v>
      </c>
      <c r="B7728" s="126">
        <f>IFERROR(__xludf.DUMMYFUNCTION("""COMPUTED_VALUE"""),46187.0)</f>
        <v>46187</v>
      </c>
      <c r="C7728" s="122" t="str">
        <f>IFERROR(__xludf.DUMMYFUNCTION("""COMPUTED_VALUE"""),"RAMN")</f>
        <v>RAMN</v>
      </c>
      <c r="D7728" s="122" t="str">
        <f>IFERROR(__xludf.DUMMYFUNCTION("""COMPUTED_VALUE"""),"Ramen Republic")</f>
        <v>Ramen Republic</v>
      </c>
      <c r="E7728" s="122">
        <f>IFERROR(__xludf.DUMMYFUNCTION("""COMPUTED_VALUE"""),62.99)</f>
        <v>62.99</v>
      </c>
      <c r="F7728" s="122">
        <f>IFERROR(__xludf.DUMMYFUNCTION("""COMPUTED_VALUE"""),-0.0049)</f>
        <v>-0.0049</v>
      </c>
    </row>
    <row r="7729">
      <c r="A7729" s="131">
        <f>IFERROR(__xludf.DUMMYFUNCTION("""COMPUTED_VALUE"""),46187.61315972222)</f>
        <v>46187.61316</v>
      </c>
      <c r="B7729" s="126">
        <f>IFERROR(__xludf.DUMMYFUNCTION("""COMPUTED_VALUE"""),46187.0)</f>
        <v>46187</v>
      </c>
      <c r="C7729" s="122" t="str">
        <f>IFERROR(__xludf.DUMMYFUNCTION("""COMPUTED_VALUE"""),"COLA")</f>
        <v>COLA</v>
      </c>
      <c r="D7729" s="122" t="str">
        <f>IFERROR(__xludf.DUMMYFUNCTION("""COMPUTED_VALUE"""),"K-Pop Cola")</f>
        <v>K-Pop Cola</v>
      </c>
      <c r="E7729" s="122">
        <f>IFERROR(__xludf.DUMMYFUNCTION("""COMPUTED_VALUE"""),113.34)</f>
        <v>113.34</v>
      </c>
      <c r="F7729" s="122">
        <f>IFERROR(__xludf.DUMMYFUNCTION("""COMPUTED_VALUE"""),0.0029)</f>
        <v>0.0029</v>
      </c>
    </row>
    <row r="7730">
      <c r="A7730" s="131">
        <f>IFERROR(__xludf.DUMMYFUNCTION("""COMPUTED_VALUE"""),46187.61315972222)</f>
        <v>46187.61316</v>
      </c>
      <c r="B7730" s="126">
        <f>IFERROR(__xludf.DUMMYFUNCTION("""COMPUTED_VALUE"""),46187.0)</f>
        <v>46187</v>
      </c>
      <c r="C7730" s="122" t="str">
        <f>IFERROR(__xludf.DUMMYFUNCTION("""COMPUTED_VALUE"""),"CHIP")</f>
        <v>CHIP</v>
      </c>
      <c r="D7730" s="122" t="str">
        <f>IFERROR(__xludf.DUMMYFUNCTION("""COMPUTED_VALUE"""),"Chip Empire")</f>
        <v>Chip Empire</v>
      </c>
      <c r="E7730" s="122">
        <f>IFERROR(__xludf.DUMMYFUNCTION("""COMPUTED_VALUE"""),81.38)</f>
        <v>81.38</v>
      </c>
      <c r="F7730" s="122">
        <f>IFERROR(__xludf.DUMMYFUNCTION("""COMPUTED_VALUE"""),-0.0072)</f>
        <v>-0.0072</v>
      </c>
    </row>
    <row r="7731">
      <c r="A7731" s="131">
        <f>IFERROR(__xludf.DUMMYFUNCTION("""COMPUTED_VALUE"""),46187.61315972222)</f>
        <v>46187.61316</v>
      </c>
      <c r="B7731" s="126">
        <f>IFERROR(__xludf.DUMMYFUNCTION("""COMPUTED_VALUE"""),46187.0)</f>
        <v>46187</v>
      </c>
      <c r="C7731" s="122" t="str">
        <f>IFERROR(__xludf.DUMMYFUNCTION("""COMPUTED_VALUE"""),"CAND")</f>
        <v>CAND</v>
      </c>
      <c r="D7731" s="122" t="str">
        <f>IFERROR(__xludf.DUMMYFUNCTION("""COMPUTED_VALUE"""),"Candy Capital")</f>
        <v>Candy Capital</v>
      </c>
      <c r="E7731" s="122">
        <f>IFERROR(__xludf.DUMMYFUNCTION("""COMPUTED_VALUE"""),78.23)</f>
        <v>78.23</v>
      </c>
      <c r="F7731" s="122">
        <f>IFERROR(__xludf.DUMMYFUNCTION("""COMPUTED_VALUE"""),-0.0023)</f>
        <v>-0.0023</v>
      </c>
    </row>
    <row r="7732">
      <c r="A7732" s="131">
        <f>IFERROR(__xludf.DUMMYFUNCTION("""COMPUTED_VALUE"""),46187.61315972222)</f>
        <v>46187.61316</v>
      </c>
      <c r="B7732" s="126">
        <f>IFERROR(__xludf.DUMMYFUNCTION("""COMPUTED_VALUE"""),46187.0)</f>
        <v>46187</v>
      </c>
      <c r="C7732" s="122" t="str">
        <f>IFERROR(__xludf.DUMMYFUNCTION("""COMPUTED_VALUE"""),"TECH")</f>
        <v>TECH</v>
      </c>
      <c r="D7732" s="122" t="str">
        <f>IFERROR(__xludf.DUMMYFUNCTION("""COMPUTED_VALUE"""),"Dragon Tech")</f>
        <v>Dragon Tech</v>
      </c>
      <c r="E7732" s="122">
        <f>IFERROR(__xludf.DUMMYFUNCTION("""COMPUTED_VALUE"""),255.67)</f>
        <v>255.67</v>
      </c>
      <c r="F7732" s="122">
        <f>IFERROR(__xludf.DUMMYFUNCTION("""COMPUTED_VALUE"""),0.0037)</f>
        <v>0.0037</v>
      </c>
    </row>
    <row r="7733">
      <c r="A7733" s="131">
        <f>IFERROR(__xludf.DUMMYFUNCTION("""COMPUTED_VALUE"""),46187.61315972222)</f>
        <v>46187.61316</v>
      </c>
      <c r="B7733" s="126">
        <f>IFERROR(__xludf.DUMMYFUNCTION("""COMPUTED_VALUE"""),46187.0)</f>
        <v>46187</v>
      </c>
      <c r="C7733" s="122" t="str">
        <f>IFERROR(__xludf.DUMMYFUNCTION("""COMPUTED_VALUE"""),"AIBO")</f>
        <v>AIBO</v>
      </c>
      <c r="D7733" s="122" t="str">
        <f>IFERROR(__xludf.DUMMYFUNCTION("""COMPUTED_VALUE"""),"Homework AI")</f>
        <v>Homework AI</v>
      </c>
      <c r="E7733" s="122">
        <f>IFERROR(__xludf.DUMMYFUNCTION("""COMPUTED_VALUE"""),191.64)</f>
        <v>191.64</v>
      </c>
      <c r="F7733" s="122">
        <f>IFERROR(__xludf.DUMMYFUNCTION("""COMPUTED_VALUE"""),-0.0038)</f>
        <v>-0.0038</v>
      </c>
    </row>
    <row r="7734">
      <c r="A7734" s="131">
        <f>IFERROR(__xludf.DUMMYFUNCTION("""COMPUTED_VALUE"""),46187.61315972222)</f>
        <v>46187.61316</v>
      </c>
      <c r="B7734" s="126">
        <f>IFERROR(__xludf.DUMMYFUNCTION("""COMPUTED_VALUE"""),46187.0)</f>
        <v>46187</v>
      </c>
      <c r="C7734" s="122" t="str">
        <f>IFERROR(__xludf.DUMMYFUNCTION("""COMPUTED_VALUE"""),"GAME")</f>
        <v>GAME</v>
      </c>
      <c r="D7734" s="122" t="str">
        <f>IFERROR(__xludf.DUMMYFUNCTION("""COMPUTED_VALUE"""),"GameBox Media")</f>
        <v>GameBox Media</v>
      </c>
      <c r="E7734" s="122">
        <f>IFERROR(__xludf.DUMMYFUNCTION("""COMPUTED_VALUE"""),101.61)</f>
        <v>101.61</v>
      </c>
      <c r="F7734" s="122">
        <f>IFERROR(__xludf.DUMMYFUNCTION("""COMPUTED_VALUE"""),-0.0062)</f>
        <v>-0.0062</v>
      </c>
    </row>
    <row r="7735">
      <c r="A7735" s="131">
        <f>IFERROR(__xludf.DUMMYFUNCTION("""COMPUTED_VALUE"""),46187.61315972222)</f>
        <v>46187.61316</v>
      </c>
      <c r="B7735" s="126">
        <f>IFERROR(__xludf.DUMMYFUNCTION("""COMPUTED_VALUE"""),46187.0)</f>
        <v>46187</v>
      </c>
      <c r="C7735" s="122" t="str">
        <f>IFERROR(__xludf.DUMMYFUNCTION("""COMPUTED_VALUE"""),"VRSE")</f>
        <v>VRSE</v>
      </c>
      <c r="D7735" s="122" t="str">
        <f>IFERROR(__xludf.DUMMYFUNCTION("""COMPUTED_VALUE"""),"VerseVR")</f>
        <v>VerseVR</v>
      </c>
      <c r="E7735" s="122">
        <f>IFERROR(__xludf.DUMMYFUNCTION("""COMPUTED_VALUE"""),147.55)</f>
        <v>147.55</v>
      </c>
      <c r="F7735" s="122">
        <f>IFERROR(__xludf.DUMMYFUNCTION("""COMPUTED_VALUE"""),-0.0068)</f>
        <v>-0.0068</v>
      </c>
    </row>
    <row r="7736">
      <c r="A7736" s="131">
        <f>IFERROR(__xludf.DUMMYFUNCTION("""COMPUTED_VALUE"""),46187.61315972222)</f>
        <v>46187.61316</v>
      </c>
      <c r="B7736" s="126">
        <f>IFERROR(__xludf.DUMMYFUNCTION("""COMPUTED_VALUE"""),46187.0)</f>
        <v>46187</v>
      </c>
      <c r="C7736" s="122" t="str">
        <f>IFERROR(__xludf.DUMMYFUNCTION("""COMPUTED_VALUE"""),"BYTE")</f>
        <v>BYTE</v>
      </c>
      <c r="D7736" s="122" t="str">
        <f>IFERROR(__xludf.DUMMYFUNCTION("""COMPUTED_VALUE"""),"ByteWorks")</f>
        <v>ByteWorks</v>
      </c>
      <c r="E7736" s="122">
        <f>IFERROR(__xludf.DUMMYFUNCTION("""COMPUTED_VALUE"""),114.76)</f>
        <v>114.76</v>
      </c>
      <c r="F7736" s="122">
        <f>IFERROR(__xludf.DUMMYFUNCTION("""COMPUTED_VALUE"""),-0.0021)</f>
        <v>-0.0021</v>
      </c>
    </row>
    <row r="7737">
      <c r="A7737" s="131">
        <f>IFERROR(__xludf.DUMMYFUNCTION("""COMPUTED_VALUE"""),46187.61315972222)</f>
        <v>46187.61316</v>
      </c>
      <c r="B7737" s="126">
        <f>IFERROR(__xludf.DUMMYFUNCTION("""COMPUTED_VALUE"""),46187.0)</f>
        <v>46187</v>
      </c>
      <c r="C7737" s="122" t="str">
        <f>IFERROR(__xludf.DUMMYFUNCTION("""COMPUTED_VALUE"""),"BANK")</f>
        <v>BANK</v>
      </c>
      <c r="D7737" s="122" t="str">
        <f>IFERROR(__xludf.DUMMYFUNCTION("""COMPUTED_VALUE"""),"Tiger Bank")</f>
        <v>Tiger Bank</v>
      </c>
      <c r="E7737" s="122">
        <f>IFERROR(__xludf.DUMMYFUNCTION("""COMPUTED_VALUE"""),131.65)</f>
        <v>131.65</v>
      </c>
      <c r="F7737" s="122">
        <f>IFERROR(__xludf.DUMMYFUNCTION("""COMPUTED_VALUE"""),-0.003)</f>
        <v>-0.003</v>
      </c>
    </row>
    <row r="7738">
      <c r="A7738" s="131">
        <f>IFERROR(__xludf.DUMMYFUNCTION("""COMPUTED_VALUE"""),46187.61315972222)</f>
        <v>46187.61316</v>
      </c>
      <c r="B7738" s="126">
        <f>IFERROR(__xludf.DUMMYFUNCTION("""COMPUTED_VALUE"""),46187.0)</f>
        <v>46187</v>
      </c>
      <c r="C7738" s="122" t="str">
        <f>IFERROR(__xludf.DUMMYFUNCTION("""COMPUTED_VALUE"""),"CRED")</f>
        <v>CRED</v>
      </c>
      <c r="D7738" s="122" t="str">
        <f>IFERROR(__xludf.DUMMYFUNCTION("""COMPUTED_VALUE"""),"Credit Castle")</f>
        <v>Credit Castle</v>
      </c>
      <c r="E7738" s="122">
        <f>IFERROR(__xludf.DUMMYFUNCTION("""COMPUTED_VALUE"""),66.47)</f>
        <v>66.47</v>
      </c>
      <c r="F7738" s="122">
        <f>IFERROR(__xludf.DUMMYFUNCTION("""COMPUTED_VALUE"""),-0.0023)</f>
        <v>-0.0023</v>
      </c>
    </row>
    <row r="7739">
      <c r="A7739" s="131">
        <f>IFERROR(__xludf.DUMMYFUNCTION("""COMPUTED_VALUE"""),46187.61315972222)</f>
        <v>46187.61316</v>
      </c>
      <c r="B7739" s="126">
        <f>IFERROR(__xludf.DUMMYFUNCTION("""COMPUTED_VALUE"""),46187.0)</f>
        <v>46187</v>
      </c>
      <c r="C7739" s="122" t="str">
        <f>IFERROR(__xludf.DUMMYFUNCTION("""COMPUTED_VALUE"""),"BOND")</f>
        <v>BOND</v>
      </c>
      <c r="D7739" s="122" t="str">
        <f>IFERROR(__xludf.DUMMYFUNCTION("""COMPUTED_VALUE"""),"BondBridge")</f>
        <v>BondBridge</v>
      </c>
      <c r="E7739" s="122">
        <f>IFERROR(__xludf.DUMMYFUNCTION("""COMPUTED_VALUE"""),104.63)</f>
        <v>104.63</v>
      </c>
      <c r="F7739" s="122">
        <f>IFERROR(__xludf.DUMMYFUNCTION("""COMPUTED_VALUE"""),0.0011)</f>
        <v>0.0011</v>
      </c>
    </row>
    <row r="7740">
      <c r="A7740" s="131">
        <f>IFERROR(__xludf.DUMMYFUNCTION("""COMPUTED_VALUE"""),46187.61315972222)</f>
        <v>46187.61316</v>
      </c>
      <c r="B7740" s="126">
        <f>IFERROR(__xludf.DUMMYFUNCTION("""COMPUTED_VALUE"""),46187.0)</f>
        <v>46187</v>
      </c>
      <c r="C7740" s="122" t="str">
        <f>IFERROR(__xludf.DUMMYFUNCTION("""COMPUTED_VALUE"""),"INSR")</f>
        <v>INSR</v>
      </c>
      <c r="D7740" s="122" t="str">
        <f>IFERROR(__xludf.DUMMYFUNCTION("""COMPUTED_VALUE"""),"Shield Insurance")</f>
        <v>Shield Insurance</v>
      </c>
      <c r="E7740" s="122">
        <f>IFERROR(__xludf.DUMMYFUNCTION("""COMPUTED_VALUE"""),156.2)</f>
        <v>156.2</v>
      </c>
      <c r="F7740" s="122">
        <f>IFERROR(__xludf.DUMMYFUNCTION("""COMPUTED_VALUE"""),-0.0029)</f>
        <v>-0.0029</v>
      </c>
    </row>
    <row r="7741">
      <c r="A7741" s="131">
        <f>IFERROR(__xludf.DUMMYFUNCTION("""COMPUTED_VALUE"""),46187.61315972222)</f>
        <v>46187.61316</v>
      </c>
      <c r="B7741" s="126">
        <f>IFERROR(__xludf.DUMMYFUNCTION("""COMPUTED_VALUE"""),46187.0)</f>
        <v>46187</v>
      </c>
      <c r="C7741" s="122" t="str">
        <f>IFERROR(__xludf.DUMMYFUNCTION("""COMPUTED_VALUE"""),"LOAN")</f>
        <v>LOAN</v>
      </c>
      <c r="D7741" s="122" t="str">
        <f>IFERROR(__xludf.DUMMYFUNCTION("""COMPUTED_VALUE"""),"LoanLab")</f>
        <v>LoanLab</v>
      </c>
      <c r="E7741" s="122">
        <f>IFERROR(__xludf.DUMMYFUNCTION("""COMPUTED_VALUE"""),71.26)</f>
        <v>71.26</v>
      </c>
      <c r="F7741" s="122">
        <f>IFERROR(__xludf.DUMMYFUNCTION("""COMPUTED_VALUE"""),0.0071)</f>
        <v>0.0071</v>
      </c>
    </row>
    <row r="7742">
      <c r="A7742" s="131">
        <f>IFERROR(__xludf.DUMMYFUNCTION("""COMPUTED_VALUE"""),46187.61315972222)</f>
        <v>46187.61316</v>
      </c>
      <c r="B7742" s="126">
        <f>IFERROR(__xludf.DUMMYFUNCTION("""COMPUTED_VALUE"""),46187.0)</f>
        <v>46187</v>
      </c>
      <c r="C7742" s="122" t="str">
        <f>IFERROR(__xludf.DUMMYFUNCTION("""COMPUTED_VALUE"""),"LUXE")</f>
        <v>LUXE</v>
      </c>
      <c r="D7742" s="122" t="str">
        <f>IFERROR(__xludf.DUMMYFUNCTION("""COMPUTED_VALUE"""),"Luxury Locker")</f>
        <v>Luxury Locker</v>
      </c>
      <c r="E7742" s="122">
        <f>IFERROR(__xludf.DUMMYFUNCTION("""COMPUTED_VALUE"""),262.39)</f>
        <v>262.39</v>
      </c>
      <c r="F7742" s="122">
        <f>IFERROR(__xludf.DUMMYFUNCTION("""COMPUTED_VALUE"""),-0.0032)</f>
        <v>-0.0032</v>
      </c>
    </row>
    <row r="7743">
      <c r="A7743" s="131">
        <f>IFERROR(__xludf.DUMMYFUNCTION("""COMPUTED_VALUE"""),46187.61315972222)</f>
        <v>46187.61316</v>
      </c>
      <c r="B7743" s="126">
        <f>IFERROR(__xludf.DUMMYFUNCTION("""COMPUTED_VALUE"""),46187.0)</f>
        <v>46187</v>
      </c>
      <c r="C7743" s="122" t="str">
        <f>IFERROR(__xludf.DUMMYFUNCTION("""COMPUTED_VALUE"""),"DRIP")</f>
        <v>DRIP</v>
      </c>
      <c r="D7743" s="122" t="str">
        <f>IFERROR(__xludf.DUMMYFUNCTION("""COMPUTED_VALUE"""),"Drip Streetwear")</f>
        <v>Drip Streetwear</v>
      </c>
      <c r="E7743" s="122">
        <f>IFERROR(__xludf.DUMMYFUNCTION("""COMPUTED_VALUE"""),188.43)</f>
        <v>188.43</v>
      </c>
      <c r="F7743" s="122">
        <f>IFERROR(__xludf.DUMMYFUNCTION("""COMPUTED_VALUE"""),-0.0053)</f>
        <v>-0.0053</v>
      </c>
    </row>
    <row r="7744">
      <c r="A7744" s="131">
        <f>IFERROR(__xludf.DUMMYFUNCTION("""COMPUTED_VALUE"""),46187.61315972222)</f>
        <v>46187.61316</v>
      </c>
      <c r="B7744" s="126">
        <f>IFERROR(__xludf.DUMMYFUNCTION("""COMPUTED_VALUE"""),46187.0)</f>
        <v>46187</v>
      </c>
      <c r="C7744" s="122" t="str">
        <f>IFERROR(__xludf.DUMMYFUNCTION("""COMPUTED_VALUE"""),"KICK")</f>
        <v>KICK</v>
      </c>
      <c r="D7744" s="122" t="str">
        <f>IFERROR(__xludf.DUMMYFUNCTION("""COMPUTED_VALUE"""),"KickDrop Sneakers")</f>
        <v>KickDrop Sneakers</v>
      </c>
      <c r="E7744" s="122">
        <f>IFERROR(__xludf.DUMMYFUNCTION("""COMPUTED_VALUE"""),167.85)</f>
        <v>167.85</v>
      </c>
      <c r="F7744" s="122">
        <f>IFERROR(__xludf.DUMMYFUNCTION("""COMPUTED_VALUE"""),-0.0063)</f>
        <v>-0.0063</v>
      </c>
    </row>
    <row r="7745">
      <c r="A7745" s="131">
        <f>IFERROR(__xludf.DUMMYFUNCTION("""COMPUTED_VALUE"""),46187.61315972222)</f>
        <v>46187.61316</v>
      </c>
      <c r="B7745" s="126">
        <f>IFERROR(__xludf.DUMMYFUNCTION("""COMPUTED_VALUE"""),46187.0)</f>
        <v>46187</v>
      </c>
      <c r="C7745" s="122" t="str">
        <f>IFERROR(__xludf.DUMMYFUNCTION("""COMPUTED_VALUE"""),"GLAM")</f>
        <v>GLAM</v>
      </c>
      <c r="D7745" s="122" t="str">
        <f>IFERROR(__xludf.DUMMYFUNCTION("""COMPUTED_VALUE"""),"Glow Cosmetics")</f>
        <v>Glow Cosmetics</v>
      </c>
      <c r="E7745" s="122">
        <f>IFERROR(__xludf.DUMMYFUNCTION("""COMPUTED_VALUE"""),111.1)</f>
        <v>111.1</v>
      </c>
      <c r="F7745" s="122">
        <f>IFERROR(__xludf.DUMMYFUNCTION("""COMPUTED_VALUE"""),-0.0053)</f>
        <v>-0.0053</v>
      </c>
    </row>
    <row r="7746">
      <c r="A7746" s="131">
        <f>IFERROR(__xludf.DUMMYFUNCTION("""COMPUTED_VALUE"""),46187.61315972222)</f>
        <v>46187.61316</v>
      </c>
      <c r="B7746" s="126">
        <f>IFERROR(__xludf.DUMMYFUNCTION("""COMPUTED_VALUE"""),46187.0)</f>
        <v>46187</v>
      </c>
      <c r="C7746" s="122" t="str">
        <f>IFERROR(__xludf.DUMMYFUNCTION("""COMPUTED_VALUE"""),"BAGG")</f>
        <v>BAGG</v>
      </c>
      <c r="D7746" s="122" t="str">
        <f>IFERROR(__xludf.DUMMYFUNCTION("""COMPUTED_VALUE"""),"BagVault")</f>
        <v>BagVault</v>
      </c>
      <c r="E7746" s="122">
        <f>IFERROR(__xludf.DUMMYFUNCTION("""COMPUTED_VALUE"""),276.78)</f>
        <v>276.78</v>
      </c>
      <c r="F7746" s="122">
        <f>IFERROR(__xludf.DUMMYFUNCTION("""COMPUTED_VALUE"""),0.0013)</f>
        <v>0.0013</v>
      </c>
    </row>
    <row r="7747">
      <c r="A7747" s="131">
        <f>IFERROR(__xludf.DUMMYFUNCTION("""COMPUTED_VALUE"""),46187.61315972222)</f>
        <v>46187.61316</v>
      </c>
      <c r="B7747" s="126">
        <f>IFERROR(__xludf.DUMMYFUNCTION("""COMPUTED_VALUE"""),46187.0)</f>
        <v>46187</v>
      </c>
      <c r="C7747" s="122" t="str">
        <f>IFERROR(__xludf.DUMMYFUNCTION("""COMPUTED_VALUE"""),"FAST")</f>
        <v>FAST</v>
      </c>
      <c r="D7747" s="122" t="str">
        <f>IFERROR(__xludf.DUMMYFUNCTION("""COMPUTED_VALUE"""),"Flash Logistics")</f>
        <v>Flash Logistics</v>
      </c>
      <c r="E7747" s="122">
        <f>IFERROR(__xludf.DUMMYFUNCTION("""COMPUTED_VALUE"""),108.35)</f>
        <v>108.35</v>
      </c>
      <c r="F7747" s="122">
        <f>IFERROR(__xludf.DUMMYFUNCTION("""COMPUTED_VALUE"""),-0.004)</f>
        <v>-0.004</v>
      </c>
    </row>
    <row r="7748">
      <c r="A7748" s="131">
        <f>IFERROR(__xludf.DUMMYFUNCTION("""COMPUTED_VALUE"""),46187.61315972222)</f>
        <v>46187.61316</v>
      </c>
      <c r="B7748" s="126">
        <f>IFERROR(__xludf.DUMMYFUNCTION("""COMPUTED_VALUE"""),46187.0)</f>
        <v>46187</v>
      </c>
      <c r="C7748" s="122" t="str">
        <f>IFERROR(__xludf.DUMMYFUNCTION("""COMPUTED_VALUE"""),"SHIP")</f>
        <v>SHIP</v>
      </c>
      <c r="D7748" s="122" t="str">
        <f>IFERROR(__xludf.DUMMYFUNCTION("""COMPUTED_VALUE"""),"Seoul Shipping")</f>
        <v>Seoul Shipping</v>
      </c>
      <c r="E7748" s="122">
        <f>IFERROR(__xludf.DUMMYFUNCTION("""COMPUTED_VALUE"""),130.83)</f>
        <v>130.83</v>
      </c>
      <c r="F7748" s="122">
        <f>IFERROR(__xludf.DUMMYFUNCTION("""COMPUTED_VALUE"""),0.0015)</f>
        <v>0.0015</v>
      </c>
    </row>
    <row r="7749">
      <c r="A7749" s="131">
        <f>IFERROR(__xludf.DUMMYFUNCTION("""COMPUTED_VALUE"""),46187.61315972222)</f>
        <v>46187.61316</v>
      </c>
      <c r="B7749" s="126">
        <f>IFERROR(__xludf.DUMMYFUNCTION("""COMPUTED_VALUE"""),46187.0)</f>
        <v>46187</v>
      </c>
      <c r="C7749" s="122" t="str">
        <f>IFERROR(__xludf.DUMMYFUNCTION("""COMPUTED_VALUE"""),"DRON")</f>
        <v>DRON</v>
      </c>
      <c r="D7749" s="122" t="str">
        <f>IFERROR(__xludf.DUMMYFUNCTION("""COMPUTED_VALUE"""),"DroneDrop")</f>
        <v>DroneDrop</v>
      </c>
      <c r="E7749" s="122">
        <f>IFERROR(__xludf.DUMMYFUNCTION("""COMPUTED_VALUE"""),125.88)</f>
        <v>125.88</v>
      </c>
      <c r="F7749" s="122">
        <f>IFERROR(__xludf.DUMMYFUNCTION("""COMPUTED_VALUE"""),-0.005)</f>
        <v>-0.005</v>
      </c>
    </row>
    <row r="7750">
      <c r="A7750" s="131">
        <f>IFERROR(__xludf.DUMMYFUNCTION("""COMPUTED_VALUE"""),46187.61315972222)</f>
        <v>46187.61316</v>
      </c>
      <c r="B7750" s="126">
        <f>IFERROR(__xludf.DUMMYFUNCTION("""COMPUTED_VALUE"""),46187.0)</f>
        <v>46187</v>
      </c>
      <c r="C7750" s="122" t="str">
        <f>IFERROR(__xludf.DUMMYFUNCTION("""COMPUTED_VALUE"""),"RIDE")</f>
        <v>RIDE</v>
      </c>
      <c r="D7750" s="122" t="str">
        <f>IFERROR(__xludf.DUMMYFUNCTION("""COMPUTED_VALUE"""),"QuickRide")</f>
        <v>QuickRide</v>
      </c>
      <c r="E7750" s="122">
        <f>IFERROR(__xludf.DUMMYFUNCTION("""COMPUTED_VALUE"""),103.38)</f>
        <v>103.38</v>
      </c>
      <c r="F7750" s="122">
        <f>IFERROR(__xludf.DUMMYFUNCTION("""COMPUTED_VALUE"""),-5.0E-4)</f>
        <v>-0.0005</v>
      </c>
    </row>
    <row r="7751">
      <c r="A7751" s="131">
        <f>IFERROR(__xludf.DUMMYFUNCTION("""COMPUTED_VALUE"""),46187.61315972222)</f>
        <v>46187.61316</v>
      </c>
      <c r="B7751" s="126">
        <f>IFERROR(__xludf.DUMMYFUNCTION("""COMPUTED_VALUE"""),46187.0)</f>
        <v>46187</v>
      </c>
      <c r="C7751" s="122" t="str">
        <f>IFERROR(__xludf.DUMMYFUNCTION("""COMPUTED_VALUE"""),"RAIL")</f>
        <v>RAIL</v>
      </c>
      <c r="D7751" s="122" t="str">
        <f>IFERROR(__xludf.DUMMYFUNCTION("""COMPUTED_VALUE"""),"MetroRail Corp")</f>
        <v>MetroRail Corp</v>
      </c>
      <c r="E7751" s="122">
        <f>IFERROR(__xludf.DUMMYFUNCTION("""COMPUTED_VALUE"""),131.51)</f>
        <v>131.51</v>
      </c>
      <c r="F7751" s="122">
        <f>IFERROR(__xludf.DUMMYFUNCTION("""COMPUTED_VALUE"""),0.0018)</f>
        <v>0.0018</v>
      </c>
    </row>
    <row r="7752">
      <c r="A7752" s="131">
        <f>IFERROR(__xludf.DUMMYFUNCTION("""COMPUTED_VALUE"""),46187.61315972222)</f>
        <v>46187.61316</v>
      </c>
      <c r="B7752" s="126">
        <f>IFERROR(__xludf.DUMMYFUNCTION("""COMPUTED_VALUE"""),46187.0)</f>
        <v>46187</v>
      </c>
      <c r="C7752" s="122" t="str">
        <f>IFERROR(__xludf.DUMMYFUNCTION("""COMPUTED_VALUE"""),"MEDX")</f>
        <v>MEDX</v>
      </c>
      <c r="D7752" s="122" t="str">
        <f>IFERROR(__xludf.DUMMYFUNCTION("""COMPUTED_VALUE"""),"MediCore")</f>
        <v>MediCore</v>
      </c>
      <c r="E7752" s="122">
        <f>IFERROR(__xludf.DUMMYFUNCTION("""COMPUTED_VALUE"""),137.98)</f>
        <v>137.98</v>
      </c>
      <c r="F7752" s="122">
        <f>IFERROR(__xludf.DUMMYFUNCTION("""COMPUTED_VALUE"""),-6.0E-4)</f>
        <v>-0.0006</v>
      </c>
    </row>
    <row r="7753">
      <c r="A7753" s="131">
        <f>IFERROR(__xludf.DUMMYFUNCTION("""COMPUTED_VALUE"""),46187.61315972222)</f>
        <v>46187.61316</v>
      </c>
      <c r="B7753" s="126">
        <f>IFERROR(__xludf.DUMMYFUNCTION("""COMPUTED_VALUE"""),46187.0)</f>
        <v>46187</v>
      </c>
      <c r="C7753" s="122" t="str">
        <f>IFERROR(__xludf.DUMMYFUNCTION("""COMPUTED_VALUE"""),"GYMX")</f>
        <v>GYMX</v>
      </c>
      <c r="D7753" s="122" t="str">
        <f>IFERROR(__xludf.DUMMYFUNCTION("""COMPUTED_VALUE"""),"GymX Fitness")</f>
        <v>GymX Fitness</v>
      </c>
      <c r="E7753" s="122">
        <f>IFERROR(__xludf.DUMMYFUNCTION("""COMPUTED_VALUE"""),84.26)</f>
        <v>84.26</v>
      </c>
      <c r="F7753" s="122">
        <f>IFERROR(__xludf.DUMMYFUNCTION("""COMPUTED_VALUE"""),0.0052)</f>
        <v>0.0052</v>
      </c>
    </row>
    <row r="7754">
      <c r="A7754" s="131">
        <f>IFERROR(__xludf.DUMMYFUNCTION("""COMPUTED_VALUE"""),46187.61315972222)</f>
        <v>46187.61316</v>
      </c>
      <c r="B7754" s="126">
        <f>IFERROR(__xludf.DUMMYFUNCTION("""COMPUTED_VALUE"""),46187.0)</f>
        <v>46187</v>
      </c>
      <c r="C7754" s="122" t="str">
        <f>IFERROR(__xludf.DUMMYFUNCTION("""COMPUTED_VALUE"""),"VITA")</f>
        <v>VITA</v>
      </c>
      <c r="D7754" s="122" t="str">
        <f>IFERROR(__xludf.DUMMYFUNCTION("""COMPUTED_VALUE"""),"VitaPlus")</f>
        <v>VitaPlus</v>
      </c>
      <c r="E7754" s="122">
        <f>IFERROR(__xludf.DUMMYFUNCTION("""COMPUTED_VALUE"""),73.1)</f>
        <v>73.1</v>
      </c>
      <c r="F7754" s="122">
        <f>IFERROR(__xludf.DUMMYFUNCTION("""COMPUTED_VALUE"""),0.004)</f>
        <v>0.004</v>
      </c>
    </row>
    <row r="7755">
      <c r="A7755" s="131">
        <f>IFERROR(__xludf.DUMMYFUNCTION("""COMPUTED_VALUE"""),46187.61315972222)</f>
        <v>46187.61316</v>
      </c>
      <c r="B7755" s="126">
        <f>IFERROR(__xludf.DUMMYFUNCTION("""COMPUTED_VALUE"""),46187.0)</f>
        <v>46187</v>
      </c>
      <c r="C7755" s="122" t="str">
        <f>IFERROR(__xludf.DUMMYFUNCTION("""COMPUTED_VALUE"""),"CARE")</f>
        <v>CARE</v>
      </c>
      <c r="D7755" s="122" t="str">
        <f>IFERROR(__xludf.DUMMYFUNCTION("""COMPUTED_VALUE"""),"CareCloud")</f>
        <v>CareCloud</v>
      </c>
      <c r="E7755" s="122">
        <f>IFERROR(__xludf.DUMMYFUNCTION("""COMPUTED_VALUE"""),185.58)</f>
        <v>185.58</v>
      </c>
      <c r="F7755" s="122">
        <f>IFERROR(__xludf.DUMMYFUNCTION("""COMPUTED_VALUE"""),0.0039)</f>
        <v>0.0039</v>
      </c>
    </row>
    <row r="7756">
      <c r="A7756" s="131">
        <f>IFERROR(__xludf.DUMMYFUNCTION("""COMPUTED_VALUE"""),46187.61315972222)</f>
        <v>46187.61316</v>
      </c>
      <c r="B7756" s="126">
        <f>IFERROR(__xludf.DUMMYFUNCTION("""COMPUTED_VALUE"""),46187.0)</f>
        <v>46187</v>
      </c>
      <c r="C7756" s="122" t="str">
        <f>IFERROR(__xludf.DUMMYFUNCTION("""COMPUTED_VALUE"""),"DENT")</f>
        <v>DENT</v>
      </c>
      <c r="D7756" s="122" t="str">
        <f>IFERROR(__xludf.DUMMYFUNCTION("""COMPUTED_VALUE"""),"SmileWorks")</f>
        <v>SmileWorks</v>
      </c>
      <c r="E7756" s="122">
        <f>IFERROR(__xludf.DUMMYFUNCTION("""COMPUTED_VALUE"""),95.2)</f>
        <v>95.2</v>
      </c>
      <c r="F7756" s="122">
        <f>IFERROR(__xludf.DUMMYFUNCTION("""COMPUTED_VALUE"""),-4.0E-4)</f>
        <v>-0.0004</v>
      </c>
    </row>
    <row r="7757">
      <c r="A7757" s="131">
        <f>IFERROR(__xludf.DUMMYFUNCTION("""COMPUTED_VALUE"""),46187.61315972222)</f>
        <v>46187.61316</v>
      </c>
      <c r="B7757" s="126">
        <f>IFERROR(__xludf.DUMMYFUNCTION("""COMPUTED_VALUE"""),46187.0)</f>
        <v>46187</v>
      </c>
      <c r="C7757" s="122" t="str">
        <f>IFERROR(__xludf.DUMMYFUNCTION("""COMPUTED_VALUE"""),"EDUX")</f>
        <v>EDUX</v>
      </c>
      <c r="D7757" s="122" t="str">
        <f>IFERROR(__xludf.DUMMYFUNCTION("""COMPUTED_VALUE"""),"EduMax Learning")</f>
        <v>EduMax Learning</v>
      </c>
      <c r="E7757" s="122">
        <f>IFERROR(__xludf.DUMMYFUNCTION("""COMPUTED_VALUE"""),147.28)</f>
        <v>147.28</v>
      </c>
      <c r="F7757" s="122">
        <f>IFERROR(__xludf.DUMMYFUNCTION("""COMPUTED_VALUE"""),3.0E-4)</f>
        <v>0.0003</v>
      </c>
    </row>
    <row r="7758">
      <c r="A7758" s="131">
        <f>IFERROR(__xludf.DUMMYFUNCTION("""COMPUTED_VALUE"""),46187.61315972222)</f>
        <v>46187.61316</v>
      </c>
      <c r="B7758" s="126">
        <f>IFERROR(__xludf.DUMMYFUNCTION("""COMPUTED_VALUE"""),46187.0)</f>
        <v>46187</v>
      </c>
      <c r="C7758" s="122" t="str">
        <f>IFERROR(__xludf.DUMMYFUNCTION("""COMPUTED_VALUE"""),"BOOK")</f>
        <v>BOOK</v>
      </c>
      <c r="D7758" s="122" t="str">
        <f>IFERROR(__xludf.DUMMYFUNCTION("""COMPUTED_VALUE"""),"BookBridge")</f>
        <v>BookBridge</v>
      </c>
      <c r="E7758" s="122">
        <f>IFERROR(__xludf.DUMMYFUNCTION("""COMPUTED_VALUE"""),120.67)</f>
        <v>120.67</v>
      </c>
      <c r="F7758" s="122">
        <f>IFERROR(__xludf.DUMMYFUNCTION("""COMPUTED_VALUE"""),-0.0015)</f>
        <v>-0.0015</v>
      </c>
    </row>
    <row r="7759">
      <c r="A7759" s="131">
        <f>IFERROR(__xludf.DUMMYFUNCTION("""COMPUTED_VALUE"""),46187.61315972222)</f>
        <v>46187.61316</v>
      </c>
      <c r="B7759" s="126">
        <f>IFERROR(__xludf.DUMMYFUNCTION("""COMPUTED_VALUE"""),46187.0)</f>
        <v>46187</v>
      </c>
      <c r="C7759" s="122" t="str">
        <f>IFERROR(__xludf.DUMMYFUNCTION("""COMPUTED_VALUE"""),"TUTR")</f>
        <v>TUTR</v>
      </c>
      <c r="D7759" s="122" t="str">
        <f>IFERROR(__xludf.DUMMYFUNCTION("""COMPUTED_VALUE"""),"TutorTown")</f>
        <v>TutorTown</v>
      </c>
      <c r="E7759" s="122">
        <f>IFERROR(__xludf.DUMMYFUNCTION("""COMPUTED_VALUE"""),92.0)</f>
        <v>92</v>
      </c>
      <c r="F7759" s="122">
        <f>IFERROR(__xludf.DUMMYFUNCTION("""COMPUTED_VALUE"""),0.0057)</f>
        <v>0.0057</v>
      </c>
    </row>
    <row r="7760">
      <c r="A7760" s="131">
        <f>IFERROR(__xludf.DUMMYFUNCTION("""COMPUTED_VALUE"""),46187.61315972222)</f>
        <v>46187.61316</v>
      </c>
      <c r="B7760" s="126">
        <f>IFERROR(__xludf.DUMMYFUNCTION("""COMPUTED_VALUE"""),46187.0)</f>
        <v>46187</v>
      </c>
      <c r="C7760" s="122" t="str">
        <f>IFERROR(__xludf.DUMMYFUNCTION("""COMPUTED_VALUE"""),"LANG")</f>
        <v>LANG</v>
      </c>
      <c r="D7760" s="122" t="str">
        <f>IFERROR(__xludf.DUMMYFUNCTION("""COMPUTED_VALUE"""),"LinguaLab")</f>
        <v>LinguaLab</v>
      </c>
      <c r="E7760" s="122">
        <f>IFERROR(__xludf.DUMMYFUNCTION("""COMPUTED_VALUE"""),102.23)</f>
        <v>102.23</v>
      </c>
      <c r="F7760" s="122">
        <f>IFERROR(__xludf.DUMMYFUNCTION("""COMPUTED_VALUE"""),0.0049)</f>
        <v>0.0049</v>
      </c>
    </row>
    <row r="7761">
      <c r="A7761" s="131">
        <f>IFERROR(__xludf.DUMMYFUNCTION("""COMPUTED_VALUE"""),46187.61315972222)</f>
        <v>46187.61316</v>
      </c>
      <c r="B7761" s="126">
        <f>IFERROR(__xludf.DUMMYFUNCTION("""COMPUTED_VALUE"""),46187.0)</f>
        <v>46187</v>
      </c>
      <c r="C7761" s="122" t="str">
        <f>IFERROR(__xludf.DUMMYFUNCTION("""COMPUTED_VALUE"""),"TEST")</f>
        <v>TEST</v>
      </c>
      <c r="D7761" s="122" t="str">
        <f>IFERROR(__xludf.DUMMYFUNCTION("""COMPUTED_VALUE"""),"TestPrep Pro")</f>
        <v>TestPrep Pro</v>
      </c>
      <c r="E7761" s="122">
        <f>IFERROR(__xludf.DUMMYFUNCTION("""COMPUTED_VALUE"""),89.92)</f>
        <v>89.92</v>
      </c>
      <c r="F7761" s="122">
        <f>IFERROR(__xludf.DUMMYFUNCTION("""COMPUTED_VALUE"""),0.0058)</f>
        <v>0.0058</v>
      </c>
    </row>
    <row r="7762">
      <c r="A7762" s="131">
        <f>IFERROR(__xludf.DUMMYFUNCTION("""COMPUTED_VALUE"""),46187.61315972222)</f>
        <v>46187.61316</v>
      </c>
      <c r="B7762" s="126">
        <f>IFERROR(__xludf.DUMMYFUNCTION("""COMPUTED_VALUE"""),46187.0)</f>
        <v>46187</v>
      </c>
      <c r="C7762" s="122" t="str">
        <f>IFERROR(__xludf.DUMMYFUNCTION("""COMPUTED_VALUE"""),"MOVI")</f>
        <v>MOVI</v>
      </c>
      <c r="D7762" s="122" t="str">
        <f>IFERROR(__xludf.DUMMYFUNCTION("""COMPUTED_VALUE"""),"MovieBox")</f>
        <v>MovieBox</v>
      </c>
      <c r="E7762" s="122">
        <f>IFERROR(__xludf.DUMMYFUNCTION("""COMPUTED_VALUE"""),83.63)</f>
        <v>83.63</v>
      </c>
      <c r="F7762" s="122">
        <f>IFERROR(__xludf.DUMMYFUNCTION("""COMPUTED_VALUE"""),-0.0012)</f>
        <v>-0.0012</v>
      </c>
    </row>
    <row r="7763">
      <c r="A7763" s="131">
        <f>IFERROR(__xludf.DUMMYFUNCTION("""COMPUTED_VALUE"""),46187.61315972222)</f>
        <v>46187.61316</v>
      </c>
      <c r="B7763" s="126">
        <f>IFERROR(__xludf.DUMMYFUNCTION("""COMPUTED_VALUE"""),46187.0)</f>
        <v>46187</v>
      </c>
      <c r="C7763" s="122" t="str">
        <f>IFERROR(__xludf.DUMMYFUNCTION("""COMPUTED_VALUE"""),"MUSC")</f>
        <v>MUSC</v>
      </c>
      <c r="D7763" s="122" t="str">
        <f>IFERROR(__xludf.DUMMYFUNCTION("""COMPUTED_VALUE"""),"MusicWave")</f>
        <v>MusicWave</v>
      </c>
      <c r="E7763" s="122">
        <f>IFERROR(__xludf.DUMMYFUNCTION("""COMPUTED_VALUE"""),103.23)</f>
        <v>103.23</v>
      </c>
      <c r="F7763" s="122">
        <f>IFERROR(__xludf.DUMMYFUNCTION("""COMPUTED_VALUE"""),-0.0064)</f>
        <v>-0.0064</v>
      </c>
    </row>
    <row r="7764">
      <c r="A7764" s="131">
        <f>IFERROR(__xludf.DUMMYFUNCTION("""COMPUTED_VALUE"""),46187.61315972222)</f>
        <v>46187.61316</v>
      </c>
      <c r="B7764" s="126">
        <f>IFERROR(__xludf.DUMMYFUNCTION("""COMPUTED_VALUE"""),46187.0)</f>
        <v>46187</v>
      </c>
      <c r="C7764" s="122" t="str">
        <f>IFERROR(__xludf.DUMMYFUNCTION("""COMPUTED_VALUE"""),"IDOL")</f>
        <v>IDOL</v>
      </c>
      <c r="D7764" s="122" t="str">
        <f>IFERROR(__xludf.DUMMYFUNCTION("""COMPUTED_VALUE"""),"Idol Agency")</f>
        <v>Idol Agency</v>
      </c>
      <c r="E7764" s="122">
        <f>IFERROR(__xludf.DUMMYFUNCTION("""COMPUTED_VALUE"""),184.9)</f>
        <v>184.9</v>
      </c>
      <c r="F7764" s="122">
        <f>IFERROR(__xludf.DUMMYFUNCTION("""COMPUTED_VALUE"""),-0.0064)</f>
        <v>-0.0064</v>
      </c>
    </row>
    <row r="7765">
      <c r="A7765" s="131">
        <f>IFERROR(__xludf.DUMMYFUNCTION("""COMPUTED_VALUE"""),46187.61315972222)</f>
        <v>46187.61316</v>
      </c>
      <c r="B7765" s="126">
        <f>IFERROR(__xludf.DUMMYFUNCTION("""COMPUTED_VALUE"""),46187.0)</f>
        <v>46187</v>
      </c>
      <c r="C7765" s="122" t="str">
        <f>IFERROR(__xludf.DUMMYFUNCTION("""COMPUTED_VALUE"""),"MEME")</f>
        <v>MEME</v>
      </c>
      <c r="D7765" s="122" t="str">
        <f>IFERROR(__xludf.DUMMYFUNCTION("""COMPUTED_VALUE"""),"Meme Media")</f>
        <v>Meme Media</v>
      </c>
      <c r="E7765" s="122">
        <f>IFERROR(__xludf.DUMMYFUNCTION("""COMPUTED_VALUE"""),73.83)</f>
        <v>73.83</v>
      </c>
      <c r="F7765" s="122">
        <f>IFERROR(__xludf.DUMMYFUNCTION("""COMPUTED_VALUE"""),0.0087)</f>
        <v>0.0087</v>
      </c>
    </row>
    <row r="7766">
      <c r="A7766" s="131">
        <f>IFERROR(__xludf.DUMMYFUNCTION("""COMPUTED_VALUE"""),46187.61315972222)</f>
        <v>46187.61316</v>
      </c>
      <c r="B7766" s="126">
        <f>IFERROR(__xludf.DUMMYFUNCTION("""COMPUTED_VALUE"""),46187.0)</f>
        <v>46187</v>
      </c>
      <c r="C7766" s="122" t="str">
        <f>IFERROR(__xludf.DUMMYFUNCTION("""COMPUTED_VALUE"""),"STRM")</f>
        <v>STRM</v>
      </c>
      <c r="D7766" s="122" t="str">
        <f>IFERROR(__xludf.DUMMYFUNCTION("""COMPUTED_VALUE"""),"Streamly")</f>
        <v>Streamly</v>
      </c>
      <c r="E7766" s="122">
        <f>IFERROR(__xludf.DUMMYFUNCTION("""COMPUTED_VALUE"""),134.51)</f>
        <v>134.51</v>
      </c>
      <c r="F7766" s="122">
        <f>IFERROR(__xludf.DUMMYFUNCTION("""COMPUTED_VALUE"""),-0.0083)</f>
        <v>-0.0083</v>
      </c>
    </row>
    <row r="7767">
      <c r="A7767" s="131">
        <f>IFERROR(__xludf.DUMMYFUNCTION("""COMPUTED_VALUE"""),46187.61315972222)</f>
        <v>46187.61316</v>
      </c>
      <c r="B7767" s="126">
        <f>IFERROR(__xludf.DUMMYFUNCTION("""COMPUTED_VALUE"""),46187.0)</f>
        <v>46187</v>
      </c>
      <c r="C7767" s="122" t="str">
        <f>IFERROR(__xludf.DUMMYFUNCTION("""COMPUTED_VALUE"""),"FARM")</f>
        <v>FARM</v>
      </c>
      <c r="D7767" s="122" t="str">
        <f>IFERROR(__xludf.DUMMYFUNCTION("""COMPUTED_VALUE"""),"Future Farms")</f>
        <v>Future Farms</v>
      </c>
      <c r="E7767" s="122">
        <f>IFERROR(__xludf.DUMMYFUNCTION("""COMPUTED_VALUE"""),96.54)</f>
        <v>96.54</v>
      </c>
      <c r="F7767" s="122">
        <f>IFERROR(__xludf.DUMMYFUNCTION("""COMPUTED_VALUE"""),6.0E-4)</f>
        <v>0.0006</v>
      </c>
    </row>
    <row r="7768">
      <c r="A7768" s="131">
        <f>IFERROR(__xludf.DUMMYFUNCTION("""COMPUTED_VALUE"""),46187.61315972222)</f>
        <v>46187.61316</v>
      </c>
      <c r="B7768" s="126">
        <f>IFERROR(__xludf.DUMMYFUNCTION("""COMPUTED_VALUE"""),46187.0)</f>
        <v>46187</v>
      </c>
      <c r="C7768" s="122" t="str">
        <f>IFERROR(__xludf.DUMMYFUNCTION("""COMPUTED_VALUE"""),"MEAT")</f>
        <v>MEAT</v>
      </c>
      <c r="D7768" s="122" t="str">
        <f>IFERROR(__xludf.DUMMYFUNCTION("""COMPUTED_VALUE"""),"MeatWorks")</f>
        <v>MeatWorks</v>
      </c>
      <c r="E7768" s="122">
        <f>IFERROR(__xludf.DUMMYFUNCTION("""COMPUTED_VALUE"""),104.32)</f>
        <v>104.32</v>
      </c>
      <c r="F7768" s="122">
        <f>IFERROR(__xludf.DUMMYFUNCTION("""COMPUTED_VALUE"""),-0.0044)</f>
        <v>-0.0044</v>
      </c>
    </row>
    <row r="7769">
      <c r="A7769" s="131">
        <f>IFERROR(__xludf.DUMMYFUNCTION("""COMPUTED_VALUE"""),46187.61315972222)</f>
        <v>46187.61316</v>
      </c>
      <c r="B7769" s="126">
        <f>IFERROR(__xludf.DUMMYFUNCTION("""COMPUTED_VALUE"""),46187.0)</f>
        <v>46187</v>
      </c>
      <c r="C7769" s="122" t="str">
        <f>IFERROR(__xludf.DUMMYFUNCTION("""COMPUTED_VALUE"""),"VEGI")</f>
        <v>VEGI</v>
      </c>
      <c r="D7769" s="122" t="str">
        <f>IFERROR(__xludf.DUMMYFUNCTION("""COMPUTED_VALUE"""),"Green Basket")</f>
        <v>Green Basket</v>
      </c>
      <c r="E7769" s="122">
        <f>IFERROR(__xludf.DUMMYFUNCTION("""COMPUTED_VALUE"""),77.1)</f>
        <v>77.1</v>
      </c>
      <c r="F7769" s="122">
        <f>IFERROR(__xludf.DUMMYFUNCTION("""COMPUTED_VALUE"""),-0.0034)</f>
        <v>-0.0034</v>
      </c>
    </row>
    <row r="7770">
      <c r="A7770" s="131">
        <f>IFERROR(__xludf.DUMMYFUNCTION("""COMPUTED_VALUE"""),46187.61315972222)</f>
        <v>46187.61316</v>
      </c>
      <c r="B7770" s="126">
        <f>IFERROR(__xludf.DUMMYFUNCTION("""COMPUTED_VALUE"""),46187.0)</f>
        <v>46187</v>
      </c>
      <c r="C7770" s="122" t="str">
        <f>IFERROR(__xludf.DUMMYFUNCTION("""COMPUTED_VALUE"""),"CAFE")</f>
        <v>CAFE</v>
      </c>
      <c r="D7770" s="122" t="str">
        <f>IFERROR(__xludf.DUMMYFUNCTION("""COMPUTED_VALUE"""),"Cafe Cloud")</f>
        <v>Cafe Cloud</v>
      </c>
      <c r="E7770" s="122">
        <f>IFERROR(__xludf.DUMMYFUNCTION("""COMPUTED_VALUE"""),101.32)</f>
        <v>101.32</v>
      </c>
      <c r="F7770" s="122">
        <f>IFERROR(__xludf.DUMMYFUNCTION("""COMPUTED_VALUE"""),-0.0022)</f>
        <v>-0.0022</v>
      </c>
    </row>
    <row r="7771">
      <c r="A7771" s="131">
        <f>IFERROR(__xludf.DUMMYFUNCTION("""COMPUTED_VALUE"""),46187.61315972222)</f>
        <v>46187.61316</v>
      </c>
      <c r="B7771" s="126">
        <f>IFERROR(__xludf.DUMMYFUNCTION("""COMPUTED_VALUE"""),46187.0)</f>
        <v>46187</v>
      </c>
      <c r="C7771" s="122" t="str">
        <f>IFERROR(__xludf.DUMMYFUNCTION("""COMPUTED_VALUE"""),"BAKE")</f>
        <v>BAKE</v>
      </c>
      <c r="D7771" s="122" t="str">
        <f>IFERROR(__xludf.DUMMYFUNCTION("""COMPUTED_VALUE"""),"BakeHouse")</f>
        <v>BakeHouse</v>
      </c>
      <c r="E7771" s="122">
        <f>IFERROR(__xludf.DUMMYFUNCTION("""COMPUTED_VALUE"""),100.33)</f>
        <v>100.33</v>
      </c>
      <c r="F7771" s="122">
        <f>IFERROR(__xludf.DUMMYFUNCTION("""COMPUTED_VALUE"""),-0.0041)</f>
        <v>-0.0041</v>
      </c>
    </row>
    <row r="7772">
      <c r="A7772" s="131">
        <f>IFERROR(__xludf.DUMMYFUNCTION("""COMPUTED_VALUE"""),46187.61315972222)</f>
        <v>46187.61316</v>
      </c>
      <c r="B7772" s="126">
        <f>IFERROR(__xludf.DUMMYFUNCTION("""COMPUTED_VALUE"""),46187.0)</f>
        <v>46187</v>
      </c>
      <c r="C7772" s="122" t="str">
        <f>IFERROR(__xludf.DUMMYFUNCTION("""COMPUTED_VALUE"""),"OILX")</f>
        <v>OILX</v>
      </c>
      <c r="D7772" s="122" t="str">
        <f>IFERROR(__xludf.DUMMYFUNCTION("""COMPUTED_VALUE"""),"OilMax Energy")</f>
        <v>OilMax Energy</v>
      </c>
      <c r="E7772" s="122">
        <f>IFERROR(__xludf.DUMMYFUNCTION("""COMPUTED_VALUE"""),134.5)</f>
        <v>134.5</v>
      </c>
      <c r="F7772" s="122">
        <f>IFERROR(__xludf.DUMMYFUNCTION("""COMPUTED_VALUE"""),-0.0016)</f>
        <v>-0.0016</v>
      </c>
    </row>
    <row r="7773">
      <c r="A7773" s="131">
        <f>IFERROR(__xludf.DUMMYFUNCTION("""COMPUTED_VALUE"""),46187.61315972222)</f>
        <v>46187.61316</v>
      </c>
      <c r="B7773" s="126">
        <f>IFERROR(__xludf.DUMMYFUNCTION("""COMPUTED_VALUE"""),46187.0)</f>
        <v>46187</v>
      </c>
      <c r="C7773" s="122" t="str">
        <f>IFERROR(__xludf.DUMMYFUNCTION("""COMPUTED_VALUE"""),"SOLR")</f>
        <v>SOLR</v>
      </c>
      <c r="D7773" s="122" t="str">
        <f>IFERROR(__xludf.DUMMYFUNCTION("""COMPUTED_VALUE"""),"SolarSpark")</f>
        <v>SolarSpark</v>
      </c>
      <c r="E7773" s="122">
        <f>IFERROR(__xludf.DUMMYFUNCTION("""COMPUTED_VALUE"""),105.83)</f>
        <v>105.83</v>
      </c>
      <c r="F7773" s="122">
        <f>IFERROR(__xludf.DUMMYFUNCTION("""COMPUTED_VALUE"""),0.0047)</f>
        <v>0.0047</v>
      </c>
    </row>
    <row r="7774">
      <c r="A7774" s="131">
        <f>IFERROR(__xludf.DUMMYFUNCTION("""COMPUTED_VALUE"""),46187.61315972222)</f>
        <v>46187.61316</v>
      </c>
      <c r="B7774" s="126">
        <f>IFERROR(__xludf.DUMMYFUNCTION("""COMPUTED_VALUE"""),46187.0)</f>
        <v>46187</v>
      </c>
      <c r="C7774" s="122" t="str">
        <f>IFERROR(__xludf.DUMMYFUNCTION("""COMPUTED_VALUE"""),"BATT")</f>
        <v>BATT</v>
      </c>
      <c r="D7774" s="122" t="str">
        <f>IFERROR(__xludf.DUMMYFUNCTION("""COMPUTED_VALUE"""),"BatteryBox")</f>
        <v>BatteryBox</v>
      </c>
      <c r="E7774" s="122">
        <f>IFERROR(__xludf.DUMMYFUNCTION("""COMPUTED_VALUE"""),124.48)</f>
        <v>124.48</v>
      </c>
      <c r="F7774" s="122">
        <f>IFERROR(__xludf.DUMMYFUNCTION("""COMPUTED_VALUE"""),0.0072)</f>
        <v>0.0072</v>
      </c>
    </row>
    <row r="7775">
      <c r="A7775" s="131">
        <f>IFERROR(__xludf.DUMMYFUNCTION("""COMPUTED_VALUE"""),46187.61315972222)</f>
        <v>46187.61316</v>
      </c>
      <c r="B7775" s="126">
        <f>IFERROR(__xludf.DUMMYFUNCTION("""COMPUTED_VALUE"""),46187.0)</f>
        <v>46187</v>
      </c>
      <c r="C7775" s="122" t="str">
        <f>IFERROR(__xludf.DUMMYFUNCTION("""COMPUTED_VALUE"""),"WIND")</f>
        <v>WIND</v>
      </c>
      <c r="D7775" s="122" t="str">
        <f>IFERROR(__xludf.DUMMYFUNCTION("""COMPUTED_VALUE"""),"WindWorks")</f>
        <v>WindWorks</v>
      </c>
      <c r="E7775" s="122">
        <f>IFERROR(__xludf.DUMMYFUNCTION("""COMPUTED_VALUE"""),86.85)</f>
        <v>86.85</v>
      </c>
      <c r="F7775" s="122">
        <f>IFERROR(__xludf.DUMMYFUNCTION("""COMPUTED_VALUE"""),0.005)</f>
        <v>0.005</v>
      </c>
    </row>
    <row r="7776">
      <c r="A7776" s="131">
        <f>IFERROR(__xludf.DUMMYFUNCTION("""COMPUTED_VALUE"""),46187.61315972222)</f>
        <v>46187.61316</v>
      </c>
      <c r="B7776" s="126">
        <f>IFERROR(__xludf.DUMMYFUNCTION("""COMPUTED_VALUE"""),46187.0)</f>
        <v>46187</v>
      </c>
      <c r="C7776" s="122" t="str">
        <f>IFERROR(__xludf.DUMMYFUNCTION("""COMPUTED_VALUE"""),"GRID")</f>
        <v>GRID</v>
      </c>
      <c r="D7776" s="122" t="str">
        <f>IFERROR(__xludf.DUMMYFUNCTION("""COMPUTED_VALUE"""),"GridPower")</f>
        <v>GridPower</v>
      </c>
      <c r="E7776" s="122">
        <f>IFERROR(__xludf.DUMMYFUNCTION("""COMPUTED_VALUE"""),129.03)</f>
        <v>129.03</v>
      </c>
      <c r="F7776" s="122">
        <f>IFERROR(__xludf.DUMMYFUNCTION("""COMPUTED_VALUE"""),0.0023)</f>
        <v>0.0023</v>
      </c>
    </row>
    <row r="7777">
      <c r="A7777" s="131">
        <f>IFERROR(__xludf.DUMMYFUNCTION("""COMPUTED_VALUE"""),46187.61315972222)</f>
        <v>46187.61316</v>
      </c>
      <c r="B7777" s="126">
        <f>IFERROR(__xludf.DUMMYFUNCTION("""COMPUTED_VALUE"""),46187.0)</f>
        <v>46187</v>
      </c>
      <c r="C7777" s="122" t="str">
        <f>IFERROR(__xludf.DUMMYFUNCTION("""COMPUTED_VALUE"""),"HOME")</f>
        <v>HOME</v>
      </c>
      <c r="D7777" s="122" t="str">
        <f>IFERROR(__xludf.DUMMYFUNCTION("""COMPUTED_VALUE"""),"HomeHub")</f>
        <v>HomeHub</v>
      </c>
      <c r="E7777" s="122">
        <f>IFERROR(__xludf.DUMMYFUNCTION("""COMPUTED_VALUE"""),158.64)</f>
        <v>158.64</v>
      </c>
      <c r="F7777" s="122">
        <f>IFERROR(__xludf.DUMMYFUNCTION("""COMPUTED_VALUE"""),-0.0018)</f>
        <v>-0.0018</v>
      </c>
    </row>
    <row r="7778">
      <c r="A7778" s="131">
        <f>IFERROR(__xludf.DUMMYFUNCTION("""COMPUTED_VALUE"""),46187.61315972222)</f>
        <v>46187.61316</v>
      </c>
      <c r="B7778" s="126">
        <f>IFERROR(__xludf.DUMMYFUNCTION("""COMPUTED_VALUE"""),46187.0)</f>
        <v>46187</v>
      </c>
      <c r="C7778" s="122" t="str">
        <f>IFERROR(__xludf.DUMMYFUNCTION("""COMPUTED_VALUE"""),"RENT")</f>
        <v>RENT</v>
      </c>
      <c r="D7778" s="122" t="str">
        <f>IFERROR(__xludf.DUMMYFUNCTION("""COMPUTED_VALUE"""),"RentRight")</f>
        <v>RentRight</v>
      </c>
      <c r="E7778" s="122">
        <f>IFERROR(__xludf.DUMMYFUNCTION("""COMPUTED_VALUE"""),90.26)</f>
        <v>90.26</v>
      </c>
      <c r="F7778" s="122">
        <f>IFERROR(__xludf.DUMMYFUNCTION("""COMPUTED_VALUE"""),-0.0041)</f>
        <v>-0.0041</v>
      </c>
    </row>
    <row r="7779">
      <c r="A7779" s="131">
        <f>IFERROR(__xludf.DUMMYFUNCTION("""COMPUTED_VALUE"""),46187.61315972222)</f>
        <v>46187.61316</v>
      </c>
      <c r="B7779" s="126">
        <f>IFERROR(__xludf.DUMMYFUNCTION("""COMPUTED_VALUE"""),46187.0)</f>
        <v>46187</v>
      </c>
      <c r="C7779" s="122" t="str">
        <f>IFERROR(__xludf.DUMMYFUNCTION("""COMPUTED_VALUE"""),"MALL")</f>
        <v>MALL</v>
      </c>
      <c r="D7779" s="122" t="str">
        <f>IFERROR(__xludf.DUMMYFUNCTION("""COMPUTED_VALUE"""),"MegaMall")</f>
        <v>MegaMall</v>
      </c>
      <c r="E7779" s="122">
        <f>IFERROR(__xludf.DUMMYFUNCTION("""COMPUTED_VALUE"""),101.77)</f>
        <v>101.77</v>
      </c>
      <c r="F7779" s="122">
        <f>IFERROR(__xludf.DUMMYFUNCTION("""COMPUTED_VALUE"""),-0.0055)</f>
        <v>-0.0055</v>
      </c>
    </row>
    <row r="7780">
      <c r="A7780" s="131">
        <f>IFERROR(__xludf.DUMMYFUNCTION("""COMPUTED_VALUE"""),46187.61315972222)</f>
        <v>46187.61316</v>
      </c>
      <c r="B7780" s="126">
        <f>IFERROR(__xludf.DUMMYFUNCTION("""COMPUTED_VALUE"""),46187.0)</f>
        <v>46187</v>
      </c>
      <c r="C7780" s="122" t="str">
        <f>IFERROR(__xludf.DUMMYFUNCTION("""COMPUTED_VALUE"""),"HOTL")</f>
        <v>HOTL</v>
      </c>
      <c r="D7780" s="122" t="str">
        <f>IFERROR(__xludf.DUMMYFUNCTION("""COMPUTED_VALUE"""),"HotelHive")</f>
        <v>HotelHive</v>
      </c>
      <c r="E7780" s="122">
        <f>IFERROR(__xludf.DUMMYFUNCTION("""COMPUTED_VALUE"""),123.59)</f>
        <v>123.59</v>
      </c>
      <c r="F7780" s="122">
        <f>IFERROR(__xludf.DUMMYFUNCTION("""COMPUTED_VALUE"""),-0.0071)</f>
        <v>-0.0071</v>
      </c>
    </row>
    <row r="7781">
      <c r="A7781" s="131">
        <f>IFERROR(__xludf.DUMMYFUNCTION("""COMPUTED_VALUE"""),46187.61315972222)</f>
        <v>46187.61316</v>
      </c>
      <c r="B7781" s="126">
        <f>IFERROR(__xludf.DUMMYFUNCTION("""COMPUTED_VALUE"""),46187.0)</f>
        <v>46187</v>
      </c>
      <c r="C7781" s="122" t="str">
        <f>IFERROR(__xludf.DUMMYFUNCTION("""COMPUTED_VALUE"""),"LAND")</f>
        <v>LAND</v>
      </c>
      <c r="D7781" s="122" t="str">
        <f>IFERROR(__xludf.DUMMYFUNCTION("""COMPUTED_VALUE"""),"LandLink")</f>
        <v>LandLink</v>
      </c>
      <c r="E7781" s="122">
        <f>IFERROR(__xludf.DUMMYFUNCTION("""COMPUTED_VALUE"""),188.26)</f>
        <v>188.26</v>
      </c>
      <c r="F7781" s="122">
        <f>IFERROR(__xludf.DUMMYFUNCTION("""COMPUTED_VALUE"""),8.0E-4)</f>
        <v>0.0008</v>
      </c>
    </row>
    <row r="7782">
      <c r="A7782" s="131">
        <f>IFERROR(__xludf.DUMMYFUNCTION("""COMPUTED_VALUE"""),46187.61315972222)</f>
        <v>46187.61316</v>
      </c>
      <c r="B7782" s="126">
        <f>IFERROR(__xludf.DUMMYFUNCTION("""COMPUTED_VALUE"""),46187.0)</f>
        <v>46187</v>
      </c>
      <c r="C7782" s="122" t="str">
        <f>IFERROR(__xludf.DUMMYFUNCTION("""COMPUTED_VALUE"""),"CARS")</f>
        <v>CARS</v>
      </c>
      <c r="D7782" s="122" t="str">
        <f>IFERROR(__xludf.DUMMYFUNCTION("""COMPUTED_VALUE"""),"AutoArena")</f>
        <v>AutoArena</v>
      </c>
      <c r="E7782" s="122">
        <f>IFERROR(__xludf.DUMMYFUNCTION("""COMPUTED_VALUE"""),82.56)</f>
        <v>82.56</v>
      </c>
      <c r="F7782" s="122">
        <f>IFERROR(__xludf.DUMMYFUNCTION("""COMPUTED_VALUE"""),0.006)</f>
        <v>0.006</v>
      </c>
    </row>
    <row r="7783">
      <c r="A7783" s="131">
        <f>IFERROR(__xludf.DUMMYFUNCTION("""COMPUTED_VALUE"""),46187.61315972222)</f>
        <v>46187.61316</v>
      </c>
      <c r="B7783" s="126">
        <f>IFERROR(__xludf.DUMMYFUNCTION("""COMPUTED_VALUE"""),46187.0)</f>
        <v>46187</v>
      </c>
      <c r="C7783" s="122" t="str">
        <f>IFERROR(__xludf.DUMMYFUNCTION("""COMPUTED_VALUE"""),"EVGO")</f>
        <v>EVGO</v>
      </c>
      <c r="D7783" s="122" t="str">
        <f>IFERROR(__xludf.DUMMYFUNCTION("""COMPUTED_VALUE"""),"EVGo Motors")</f>
        <v>EVGo Motors</v>
      </c>
      <c r="E7783" s="122">
        <f>IFERROR(__xludf.DUMMYFUNCTION("""COMPUTED_VALUE"""),186.94)</f>
        <v>186.94</v>
      </c>
      <c r="F7783" s="122">
        <f>IFERROR(__xludf.DUMMYFUNCTION("""COMPUTED_VALUE"""),-0.0116)</f>
        <v>-0.0116</v>
      </c>
    </row>
    <row r="7784">
      <c r="A7784" s="131">
        <f>IFERROR(__xludf.DUMMYFUNCTION("""COMPUTED_VALUE"""),46187.61315972222)</f>
        <v>46187.61316</v>
      </c>
      <c r="B7784" s="126">
        <f>IFERROR(__xludf.DUMMYFUNCTION("""COMPUTED_VALUE"""),46187.0)</f>
        <v>46187</v>
      </c>
      <c r="C7784" s="122" t="str">
        <f>IFERROR(__xludf.DUMMYFUNCTION("""COMPUTED_VALUE"""),"TIRE")</f>
        <v>TIRE</v>
      </c>
      <c r="D7784" s="122" t="str">
        <f>IFERROR(__xludf.DUMMYFUNCTION("""COMPUTED_VALUE"""),"TireTown")</f>
        <v>TireTown</v>
      </c>
      <c r="E7784" s="122">
        <f>IFERROR(__xludf.DUMMYFUNCTION("""COMPUTED_VALUE"""),97.8)</f>
        <v>97.8</v>
      </c>
      <c r="F7784" s="122">
        <f>IFERROR(__xludf.DUMMYFUNCTION("""COMPUTED_VALUE"""),0.0033)</f>
        <v>0.0033</v>
      </c>
    </row>
    <row r="7785">
      <c r="A7785" s="131">
        <f>IFERROR(__xludf.DUMMYFUNCTION("""COMPUTED_VALUE"""),46187.61315972222)</f>
        <v>46187.61316</v>
      </c>
      <c r="B7785" s="126">
        <f>IFERROR(__xludf.DUMMYFUNCTION("""COMPUTED_VALUE"""),46187.0)</f>
        <v>46187</v>
      </c>
      <c r="C7785" s="122" t="str">
        <f>IFERROR(__xludf.DUMMYFUNCTION("""COMPUTED_VALUE"""),"BIKE")</f>
        <v>BIKE</v>
      </c>
      <c r="D7785" s="122" t="str">
        <f>IFERROR(__xludf.DUMMYFUNCTION("""COMPUTED_VALUE"""),"BikeBox")</f>
        <v>BikeBox</v>
      </c>
      <c r="E7785" s="122">
        <f>IFERROR(__xludf.DUMMYFUNCTION("""COMPUTED_VALUE"""),52.79)</f>
        <v>52.79</v>
      </c>
      <c r="F7785" s="122">
        <f>IFERROR(__xludf.DUMMYFUNCTION("""COMPUTED_VALUE"""),4.0E-4)</f>
        <v>0.0004</v>
      </c>
    </row>
    <row r="7786">
      <c r="A7786" s="131">
        <f>IFERROR(__xludf.DUMMYFUNCTION("""COMPUTED_VALUE"""),46187.61315972222)</f>
        <v>46187.61316</v>
      </c>
      <c r="B7786" s="126">
        <f>IFERROR(__xludf.DUMMYFUNCTION("""COMPUTED_VALUE"""),46187.0)</f>
        <v>46187</v>
      </c>
      <c r="C7786" s="122" t="str">
        <f>IFERROR(__xludf.DUMMYFUNCTION("""COMPUTED_VALUE"""),"WASH")</f>
        <v>WASH</v>
      </c>
      <c r="D7786" s="122" t="str">
        <f>IFERROR(__xludf.DUMMYFUNCTION("""COMPUTED_VALUE"""),"CarWash Co")</f>
        <v>CarWash Co</v>
      </c>
      <c r="E7786" s="122">
        <f>IFERROR(__xludf.DUMMYFUNCTION("""COMPUTED_VALUE"""),121.59)</f>
        <v>121.59</v>
      </c>
      <c r="F7786" s="122">
        <f>IFERROR(__xludf.DUMMYFUNCTION("""COMPUTED_VALUE"""),-7.0E-4)</f>
        <v>-0.0007</v>
      </c>
    </row>
    <row r="7787">
      <c r="A7787" s="131">
        <f>IFERROR(__xludf.DUMMYFUNCTION("""COMPUTED_VALUE"""),46187.61315972222)</f>
        <v>46187.61316</v>
      </c>
      <c r="B7787" s="126">
        <f>IFERROR(__xludf.DUMMYFUNCTION("""COMPUTED_VALUE"""),46187.0)</f>
        <v>46187</v>
      </c>
      <c r="C7787" s="122" t="str">
        <f>IFERROR(__xludf.DUMMYFUNCTION("""COMPUTED_VALUE"""),"GBND")</f>
        <v>GBND</v>
      </c>
      <c r="D7787" s="122" t="str">
        <f>IFERROR(__xludf.DUMMYFUNCTION("""COMPUTED_VALUE"""),"Classroom Government Bond")</f>
        <v>Classroom Government Bond</v>
      </c>
      <c r="E7787" s="122">
        <f>IFERROR(__xludf.DUMMYFUNCTION("""COMPUTED_VALUE"""),101.14)</f>
        <v>101.14</v>
      </c>
      <c r="F7787" s="122">
        <f>IFERROR(__xludf.DUMMYFUNCTION("""COMPUTED_VALUE"""),4.0E-4)</f>
        <v>0.0004</v>
      </c>
    </row>
    <row r="7788">
      <c r="A7788" s="131">
        <f>IFERROR(__xludf.DUMMYFUNCTION("""COMPUTED_VALUE"""),46187.61315972222)</f>
        <v>46187.61316</v>
      </c>
      <c r="B7788" s="126">
        <f>IFERROR(__xludf.DUMMYFUNCTION("""COMPUTED_VALUE"""),46187.0)</f>
        <v>46187</v>
      </c>
      <c r="C7788" s="122" t="str">
        <f>IFERROR(__xludf.DUMMYFUNCTION("""COMPUTED_VALUE"""),"SBND")</f>
        <v>SBND</v>
      </c>
      <c r="D7788" s="122" t="str">
        <f>IFERROR(__xludf.DUMMYFUNCTION("""COMPUTED_VALUE"""),"School Savings Bond")</f>
        <v>School Savings Bond</v>
      </c>
      <c r="E7788" s="122">
        <f>IFERROR(__xludf.DUMMYFUNCTION("""COMPUTED_VALUE"""),99.18)</f>
        <v>99.18</v>
      </c>
      <c r="F7788" s="122">
        <f>IFERROR(__xludf.DUMMYFUNCTION("""COMPUTED_VALUE"""),-2.0E-4)</f>
        <v>-0.0002</v>
      </c>
    </row>
    <row r="7789">
      <c r="A7789" s="131">
        <f>IFERROR(__xludf.DUMMYFUNCTION("""COMPUTED_VALUE"""),46187.61315972222)</f>
        <v>46187.61316</v>
      </c>
      <c r="B7789" s="126">
        <f>IFERROR(__xludf.DUMMYFUNCTION("""COMPUTED_VALUE"""),46187.0)</f>
        <v>46187</v>
      </c>
      <c r="C7789" s="122" t="str">
        <f>IFERROR(__xludf.DUMMYFUNCTION("""COMPUTED_VALUE"""),"CBND")</f>
        <v>CBND</v>
      </c>
      <c r="D7789" s="122" t="str">
        <f>IFERROR(__xludf.DUMMYFUNCTION("""COMPUTED_VALUE"""),"Corporate Classroom Bond")</f>
        <v>Corporate Classroom Bond</v>
      </c>
      <c r="E7789" s="122">
        <f>IFERROR(__xludf.DUMMYFUNCTION("""COMPUTED_VALUE"""),97.76)</f>
        <v>97.76</v>
      </c>
      <c r="F7789" s="122">
        <f>IFERROR(__xludf.DUMMYFUNCTION("""COMPUTED_VALUE"""),1.0E-4)</f>
        <v>0.0001</v>
      </c>
    </row>
    <row r="7790">
      <c r="A7790" s="131">
        <f>IFERROR(__xludf.DUMMYFUNCTION("""COMPUTED_VALUE"""),46187.61315972222)</f>
        <v>46187.61316</v>
      </c>
      <c r="B7790" s="126">
        <f>IFERROR(__xludf.DUMMYFUNCTION("""COMPUTED_VALUE"""),46187.0)</f>
        <v>46187</v>
      </c>
      <c r="C7790" s="122" t="str">
        <f>IFERROR(__xludf.DUMMYFUNCTION("""COMPUTED_VALUE"""),"TBIL")</f>
        <v>TBIL</v>
      </c>
      <c r="D7790" s="122" t="str">
        <f>IFERROR(__xludf.DUMMYFUNCTION("""COMPUTED_VALUE"""),"Treasury Bill")</f>
        <v>Treasury Bill</v>
      </c>
      <c r="E7790" s="122">
        <f>IFERROR(__xludf.DUMMYFUNCTION("""COMPUTED_VALUE"""),97.67)</f>
        <v>97.67</v>
      </c>
      <c r="F7790" s="122">
        <f>IFERROR(__xludf.DUMMYFUNCTION("""COMPUTED_VALUE"""),-2.0E-4)</f>
        <v>-0.0002</v>
      </c>
    </row>
    <row r="7791">
      <c r="A7791" s="131">
        <f>IFERROR(__xludf.DUMMYFUNCTION("""COMPUTED_VALUE"""),46187.61315972222)</f>
        <v>46187.61316</v>
      </c>
      <c r="B7791" s="126">
        <f>IFERROR(__xludf.DUMMYFUNCTION("""COMPUTED_VALUE"""),46187.0)</f>
        <v>46187</v>
      </c>
      <c r="C7791" s="122" t="str">
        <f>IFERROR(__xludf.DUMMYFUNCTION("""COMPUTED_VALUE"""),"IBND")</f>
        <v>IBND</v>
      </c>
      <c r="D7791" s="122" t="str">
        <f>IFERROR(__xludf.DUMMYFUNCTION("""COMPUTED_VALUE"""),"Inflation Protected Bond")</f>
        <v>Inflation Protected Bond</v>
      </c>
      <c r="E7791" s="122">
        <f>IFERROR(__xludf.DUMMYFUNCTION("""COMPUTED_VALUE"""),100.79)</f>
        <v>100.79</v>
      </c>
      <c r="F7791" s="122">
        <f>IFERROR(__xludf.DUMMYFUNCTION("""COMPUTED_VALUE"""),4.0E-4)</f>
        <v>0.0004</v>
      </c>
    </row>
    <row r="7792">
      <c r="A7792" s="131">
        <f>IFERROR(__xludf.DUMMYFUNCTION("""COMPUTED_VALUE"""),46187.6165625)</f>
        <v>46187.61656</v>
      </c>
      <c r="B7792" s="126">
        <f>IFERROR(__xludf.DUMMYFUNCTION("""COMPUTED_VALUE"""),46187.0)</f>
        <v>46187</v>
      </c>
      <c r="C7792" s="122" t="str">
        <f>IFERROR(__xludf.DUMMYFUNCTION("""COMPUTED_VALUE"""),"SNAX")</f>
        <v>SNAX</v>
      </c>
      <c r="D7792" s="122" t="str">
        <f>IFERROR(__xludf.DUMMYFUNCTION("""COMPUTED_VALUE"""),"MICA Snacks")</f>
        <v>MICA Snacks</v>
      </c>
      <c r="E7792" s="122">
        <f>IFERROR(__xludf.DUMMYFUNCTION("""COMPUTED_VALUE"""),121.3)</f>
        <v>121.3</v>
      </c>
      <c r="F7792" s="122">
        <f>IFERROR(__xludf.DUMMYFUNCTION("""COMPUTED_VALUE"""),-0.0063)</f>
        <v>-0.0063</v>
      </c>
    </row>
    <row r="7793">
      <c r="A7793" s="131">
        <f>IFERROR(__xludf.DUMMYFUNCTION("""COMPUTED_VALUE"""),46187.6165625)</f>
        <v>46187.61656</v>
      </c>
      <c r="B7793" s="126">
        <f>IFERROR(__xludf.DUMMYFUNCTION("""COMPUTED_VALUE"""),46187.0)</f>
        <v>46187</v>
      </c>
      <c r="C7793" s="122" t="str">
        <f>IFERROR(__xludf.DUMMYFUNCTION("""COMPUTED_VALUE"""),"RAMN")</f>
        <v>RAMN</v>
      </c>
      <c r="D7793" s="122" t="str">
        <f>IFERROR(__xludf.DUMMYFUNCTION("""COMPUTED_VALUE"""),"Ramen Republic")</f>
        <v>Ramen Republic</v>
      </c>
      <c r="E7793" s="122">
        <f>IFERROR(__xludf.DUMMYFUNCTION("""COMPUTED_VALUE"""),63.05)</f>
        <v>63.05</v>
      </c>
      <c r="F7793" s="122">
        <f>IFERROR(__xludf.DUMMYFUNCTION("""COMPUTED_VALUE"""),0.001)</f>
        <v>0.001</v>
      </c>
    </row>
    <row r="7794">
      <c r="A7794" s="131">
        <f>IFERROR(__xludf.DUMMYFUNCTION("""COMPUTED_VALUE"""),46187.6165625)</f>
        <v>46187.61656</v>
      </c>
      <c r="B7794" s="126">
        <f>IFERROR(__xludf.DUMMYFUNCTION("""COMPUTED_VALUE"""),46187.0)</f>
        <v>46187</v>
      </c>
      <c r="C7794" s="122" t="str">
        <f>IFERROR(__xludf.DUMMYFUNCTION("""COMPUTED_VALUE"""),"COLA")</f>
        <v>COLA</v>
      </c>
      <c r="D7794" s="122" t="str">
        <f>IFERROR(__xludf.DUMMYFUNCTION("""COMPUTED_VALUE"""),"K-Pop Cola")</f>
        <v>K-Pop Cola</v>
      </c>
      <c r="E7794" s="122">
        <f>IFERROR(__xludf.DUMMYFUNCTION("""COMPUTED_VALUE"""),113.22)</f>
        <v>113.22</v>
      </c>
      <c r="F7794" s="122">
        <f>IFERROR(__xludf.DUMMYFUNCTION("""COMPUTED_VALUE"""),-0.0011)</f>
        <v>-0.0011</v>
      </c>
    </row>
    <row r="7795">
      <c r="A7795" s="131">
        <f>IFERROR(__xludf.DUMMYFUNCTION("""COMPUTED_VALUE"""),46187.6165625)</f>
        <v>46187.61656</v>
      </c>
      <c r="B7795" s="126">
        <f>IFERROR(__xludf.DUMMYFUNCTION("""COMPUTED_VALUE"""),46187.0)</f>
        <v>46187</v>
      </c>
      <c r="C7795" s="122" t="str">
        <f>IFERROR(__xludf.DUMMYFUNCTION("""COMPUTED_VALUE"""),"CHIP")</f>
        <v>CHIP</v>
      </c>
      <c r="D7795" s="122" t="str">
        <f>IFERROR(__xludf.DUMMYFUNCTION("""COMPUTED_VALUE"""),"Chip Empire")</f>
        <v>Chip Empire</v>
      </c>
      <c r="E7795" s="122">
        <f>IFERROR(__xludf.DUMMYFUNCTION("""COMPUTED_VALUE"""),81.88)</f>
        <v>81.88</v>
      </c>
      <c r="F7795" s="122">
        <f>IFERROR(__xludf.DUMMYFUNCTION("""COMPUTED_VALUE"""),0.0061)</f>
        <v>0.0061</v>
      </c>
    </row>
    <row r="7796">
      <c r="A7796" s="131">
        <f>IFERROR(__xludf.DUMMYFUNCTION("""COMPUTED_VALUE"""),46187.6165625)</f>
        <v>46187.61656</v>
      </c>
      <c r="B7796" s="126">
        <f>IFERROR(__xludf.DUMMYFUNCTION("""COMPUTED_VALUE"""),46187.0)</f>
        <v>46187</v>
      </c>
      <c r="C7796" s="122" t="str">
        <f>IFERROR(__xludf.DUMMYFUNCTION("""COMPUTED_VALUE"""),"CAND")</f>
        <v>CAND</v>
      </c>
      <c r="D7796" s="122" t="str">
        <f>IFERROR(__xludf.DUMMYFUNCTION("""COMPUTED_VALUE"""),"Candy Capital")</f>
        <v>Candy Capital</v>
      </c>
      <c r="E7796" s="122">
        <f>IFERROR(__xludf.DUMMYFUNCTION("""COMPUTED_VALUE"""),78.42)</f>
        <v>78.42</v>
      </c>
      <c r="F7796" s="122">
        <f>IFERROR(__xludf.DUMMYFUNCTION("""COMPUTED_VALUE"""),0.0024)</f>
        <v>0.0024</v>
      </c>
    </row>
    <row r="7797">
      <c r="A7797" s="131">
        <f>IFERROR(__xludf.DUMMYFUNCTION("""COMPUTED_VALUE"""),46187.6165625)</f>
        <v>46187.61656</v>
      </c>
      <c r="B7797" s="126">
        <f>IFERROR(__xludf.DUMMYFUNCTION("""COMPUTED_VALUE"""),46187.0)</f>
        <v>46187</v>
      </c>
      <c r="C7797" s="122" t="str">
        <f>IFERROR(__xludf.DUMMYFUNCTION("""COMPUTED_VALUE"""),"TECH")</f>
        <v>TECH</v>
      </c>
      <c r="D7797" s="122" t="str">
        <f>IFERROR(__xludf.DUMMYFUNCTION("""COMPUTED_VALUE"""),"Dragon Tech")</f>
        <v>Dragon Tech</v>
      </c>
      <c r="E7797" s="122">
        <f>IFERROR(__xludf.DUMMYFUNCTION("""COMPUTED_VALUE"""),257.13)</f>
        <v>257.13</v>
      </c>
      <c r="F7797" s="122">
        <f>IFERROR(__xludf.DUMMYFUNCTION("""COMPUTED_VALUE"""),0.0057)</f>
        <v>0.0057</v>
      </c>
    </row>
    <row r="7798">
      <c r="A7798" s="131">
        <f>IFERROR(__xludf.DUMMYFUNCTION("""COMPUTED_VALUE"""),46187.6165625)</f>
        <v>46187.61656</v>
      </c>
      <c r="B7798" s="126">
        <f>IFERROR(__xludf.DUMMYFUNCTION("""COMPUTED_VALUE"""),46187.0)</f>
        <v>46187</v>
      </c>
      <c r="C7798" s="122" t="str">
        <f>IFERROR(__xludf.DUMMYFUNCTION("""COMPUTED_VALUE"""),"AIBO")</f>
        <v>AIBO</v>
      </c>
      <c r="D7798" s="122" t="str">
        <f>IFERROR(__xludf.DUMMYFUNCTION("""COMPUTED_VALUE"""),"Homework AI")</f>
        <v>Homework AI</v>
      </c>
      <c r="E7798" s="122">
        <f>IFERROR(__xludf.DUMMYFUNCTION("""COMPUTED_VALUE"""),191.8)</f>
        <v>191.8</v>
      </c>
      <c r="F7798" s="122">
        <f>IFERROR(__xludf.DUMMYFUNCTION("""COMPUTED_VALUE"""),8.0E-4)</f>
        <v>0.0008</v>
      </c>
    </row>
    <row r="7799">
      <c r="A7799" s="131">
        <f>IFERROR(__xludf.DUMMYFUNCTION("""COMPUTED_VALUE"""),46187.6165625)</f>
        <v>46187.61656</v>
      </c>
      <c r="B7799" s="126">
        <f>IFERROR(__xludf.DUMMYFUNCTION("""COMPUTED_VALUE"""),46187.0)</f>
        <v>46187</v>
      </c>
      <c r="C7799" s="122" t="str">
        <f>IFERROR(__xludf.DUMMYFUNCTION("""COMPUTED_VALUE"""),"GAME")</f>
        <v>GAME</v>
      </c>
      <c r="D7799" s="122" t="str">
        <f>IFERROR(__xludf.DUMMYFUNCTION("""COMPUTED_VALUE"""),"GameBox Media")</f>
        <v>GameBox Media</v>
      </c>
      <c r="E7799" s="122">
        <f>IFERROR(__xludf.DUMMYFUNCTION("""COMPUTED_VALUE"""),102.78)</f>
        <v>102.78</v>
      </c>
      <c r="F7799" s="122">
        <f>IFERROR(__xludf.DUMMYFUNCTION("""COMPUTED_VALUE"""),0.0115)</f>
        <v>0.0115</v>
      </c>
    </row>
    <row r="7800">
      <c r="A7800" s="131">
        <f>IFERROR(__xludf.DUMMYFUNCTION("""COMPUTED_VALUE"""),46187.6165625)</f>
        <v>46187.61656</v>
      </c>
      <c r="B7800" s="126">
        <f>IFERROR(__xludf.DUMMYFUNCTION("""COMPUTED_VALUE"""),46187.0)</f>
        <v>46187</v>
      </c>
      <c r="C7800" s="122" t="str">
        <f>IFERROR(__xludf.DUMMYFUNCTION("""COMPUTED_VALUE"""),"VRSE")</f>
        <v>VRSE</v>
      </c>
      <c r="D7800" s="122" t="str">
        <f>IFERROR(__xludf.DUMMYFUNCTION("""COMPUTED_VALUE"""),"VerseVR")</f>
        <v>VerseVR</v>
      </c>
      <c r="E7800" s="122">
        <f>IFERROR(__xludf.DUMMYFUNCTION("""COMPUTED_VALUE"""),146.97)</f>
        <v>146.97</v>
      </c>
      <c r="F7800" s="122">
        <f>IFERROR(__xludf.DUMMYFUNCTION("""COMPUTED_VALUE"""),-0.0039)</f>
        <v>-0.0039</v>
      </c>
    </row>
    <row r="7801">
      <c r="A7801" s="131">
        <f>IFERROR(__xludf.DUMMYFUNCTION("""COMPUTED_VALUE"""),46187.6165625)</f>
        <v>46187.61656</v>
      </c>
      <c r="B7801" s="126">
        <f>IFERROR(__xludf.DUMMYFUNCTION("""COMPUTED_VALUE"""),46187.0)</f>
        <v>46187</v>
      </c>
      <c r="C7801" s="122" t="str">
        <f>IFERROR(__xludf.DUMMYFUNCTION("""COMPUTED_VALUE"""),"BYTE")</f>
        <v>BYTE</v>
      </c>
      <c r="D7801" s="122" t="str">
        <f>IFERROR(__xludf.DUMMYFUNCTION("""COMPUTED_VALUE"""),"ByteWorks")</f>
        <v>ByteWorks</v>
      </c>
      <c r="E7801" s="122">
        <f>IFERROR(__xludf.DUMMYFUNCTION("""COMPUTED_VALUE"""),113.99)</f>
        <v>113.99</v>
      </c>
      <c r="F7801" s="122">
        <f>IFERROR(__xludf.DUMMYFUNCTION("""COMPUTED_VALUE"""),-0.0067)</f>
        <v>-0.0067</v>
      </c>
    </row>
    <row r="7802">
      <c r="A7802" s="131">
        <f>IFERROR(__xludf.DUMMYFUNCTION("""COMPUTED_VALUE"""),46187.6165625)</f>
        <v>46187.61656</v>
      </c>
      <c r="B7802" s="126">
        <f>IFERROR(__xludf.DUMMYFUNCTION("""COMPUTED_VALUE"""),46187.0)</f>
        <v>46187</v>
      </c>
      <c r="C7802" s="122" t="str">
        <f>IFERROR(__xludf.DUMMYFUNCTION("""COMPUTED_VALUE"""),"BANK")</f>
        <v>BANK</v>
      </c>
      <c r="D7802" s="122" t="str">
        <f>IFERROR(__xludf.DUMMYFUNCTION("""COMPUTED_VALUE"""),"Tiger Bank")</f>
        <v>Tiger Bank</v>
      </c>
      <c r="E7802" s="122">
        <f>IFERROR(__xludf.DUMMYFUNCTION("""COMPUTED_VALUE"""),131.9)</f>
        <v>131.9</v>
      </c>
      <c r="F7802" s="122">
        <f>IFERROR(__xludf.DUMMYFUNCTION("""COMPUTED_VALUE"""),0.0019)</f>
        <v>0.0019</v>
      </c>
    </row>
    <row r="7803">
      <c r="A7803" s="131">
        <f>IFERROR(__xludf.DUMMYFUNCTION("""COMPUTED_VALUE"""),46187.6165625)</f>
        <v>46187.61656</v>
      </c>
      <c r="B7803" s="126">
        <f>IFERROR(__xludf.DUMMYFUNCTION("""COMPUTED_VALUE"""),46187.0)</f>
        <v>46187</v>
      </c>
      <c r="C7803" s="122" t="str">
        <f>IFERROR(__xludf.DUMMYFUNCTION("""COMPUTED_VALUE"""),"CRED")</f>
        <v>CRED</v>
      </c>
      <c r="D7803" s="122" t="str">
        <f>IFERROR(__xludf.DUMMYFUNCTION("""COMPUTED_VALUE"""),"Credit Castle")</f>
        <v>Credit Castle</v>
      </c>
      <c r="E7803" s="122">
        <f>IFERROR(__xludf.DUMMYFUNCTION("""COMPUTED_VALUE"""),66.47)</f>
        <v>66.47</v>
      </c>
      <c r="F7803" s="122">
        <f>IFERROR(__xludf.DUMMYFUNCTION("""COMPUTED_VALUE"""),0.0)</f>
        <v>0</v>
      </c>
    </row>
    <row r="7804">
      <c r="A7804" s="131">
        <f>IFERROR(__xludf.DUMMYFUNCTION("""COMPUTED_VALUE"""),46187.6165625)</f>
        <v>46187.61656</v>
      </c>
      <c r="B7804" s="126">
        <f>IFERROR(__xludf.DUMMYFUNCTION("""COMPUTED_VALUE"""),46187.0)</f>
        <v>46187</v>
      </c>
      <c r="C7804" s="122" t="str">
        <f>IFERROR(__xludf.DUMMYFUNCTION("""COMPUTED_VALUE"""),"BOND")</f>
        <v>BOND</v>
      </c>
      <c r="D7804" s="122" t="str">
        <f>IFERROR(__xludf.DUMMYFUNCTION("""COMPUTED_VALUE"""),"BondBridge")</f>
        <v>BondBridge</v>
      </c>
      <c r="E7804" s="122">
        <f>IFERROR(__xludf.DUMMYFUNCTION("""COMPUTED_VALUE"""),104.54)</f>
        <v>104.54</v>
      </c>
      <c r="F7804" s="122">
        <f>IFERROR(__xludf.DUMMYFUNCTION("""COMPUTED_VALUE"""),-9.0E-4)</f>
        <v>-0.0009</v>
      </c>
    </row>
    <row r="7805">
      <c r="A7805" s="131">
        <f>IFERROR(__xludf.DUMMYFUNCTION("""COMPUTED_VALUE"""),46187.6165625)</f>
        <v>46187.61656</v>
      </c>
      <c r="B7805" s="126">
        <f>IFERROR(__xludf.DUMMYFUNCTION("""COMPUTED_VALUE"""),46187.0)</f>
        <v>46187</v>
      </c>
      <c r="C7805" s="122" t="str">
        <f>IFERROR(__xludf.DUMMYFUNCTION("""COMPUTED_VALUE"""),"INSR")</f>
        <v>INSR</v>
      </c>
      <c r="D7805" s="122" t="str">
        <f>IFERROR(__xludf.DUMMYFUNCTION("""COMPUTED_VALUE"""),"Shield Insurance")</f>
        <v>Shield Insurance</v>
      </c>
      <c r="E7805" s="122">
        <f>IFERROR(__xludf.DUMMYFUNCTION("""COMPUTED_VALUE"""),156.55)</f>
        <v>156.55</v>
      </c>
      <c r="F7805" s="122">
        <f>IFERROR(__xludf.DUMMYFUNCTION("""COMPUTED_VALUE"""),0.0022)</f>
        <v>0.0022</v>
      </c>
    </row>
    <row r="7806">
      <c r="A7806" s="131">
        <f>IFERROR(__xludf.DUMMYFUNCTION("""COMPUTED_VALUE"""),46187.6165625)</f>
        <v>46187.61656</v>
      </c>
      <c r="B7806" s="126">
        <f>IFERROR(__xludf.DUMMYFUNCTION("""COMPUTED_VALUE"""),46187.0)</f>
        <v>46187</v>
      </c>
      <c r="C7806" s="122" t="str">
        <f>IFERROR(__xludf.DUMMYFUNCTION("""COMPUTED_VALUE"""),"LOAN")</f>
        <v>LOAN</v>
      </c>
      <c r="D7806" s="122" t="str">
        <f>IFERROR(__xludf.DUMMYFUNCTION("""COMPUTED_VALUE"""),"LoanLab")</f>
        <v>LoanLab</v>
      </c>
      <c r="E7806" s="122">
        <f>IFERROR(__xludf.DUMMYFUNCTION("""COMPUTED_VALUE"""),71.66)</f>
        <v>71.66</v>
      </c>
      <c r="F7806" s="122">
        <f>IFERROR(__xludf.DUMMYFUNCTION("""COMPUTED_VALUE"""),0.0056)</f>
        <v>0.0056</v>
      </c>
    </row>
    <row r="7807">
      <c r="A7807" s="131">
        <f>IFERROR(__xludf.DUMMYFUNCTION("""COMPUTED_VALUE"""),46187.6165625)</f>
        <v>46187.61656</v>
      </c>
      <c r="B7807" s="126">
        <f>IFERROR(__xludf.DUMMYFUNCTION("""COMPUTED_VALUE"""),46187.0)</f>
        <v>46187</v>
      </c>
      <c r="C7807" s="122" t="str">
        <f>IFERROR(__xludf.DUMMYFUNCTION("""COMPUTED_VALUE"""),"LUXE")</f>
        <v>LUXE</v>
      </c>
      <c r="D7807" s="122" t="str">
        <f>IFERROR(__xludf.DUMMYFUNCTION("""COMPUTED_VALUE"""),"Luxury Locker")</f>
        <v>Luxury Locker</v>
      </c>
      <c r="E7807" s="122">
        <f>IFERROR(__xludf.DUMMYFUNCTION("""COMPUTED_VALUE"""),262.79)</f>
        <v>262.79</v>
      </c>
      <c r="F7807" s="122">
        <f>IFERROR(__xludf.DUMMYFUNCTION("""COMPUTED_VALUE"""),0.0015)</f>
        <v>0.0015</v>
      </c>
    </row>
    <row r="7808">
      <c r="A7808" s="131">
        <f>IFERROR(__xludf.DUMMYFUNCTION("""COMPUTED_VALUE"""),46187.6165625)</f>
        <v>46187.61656</v>
      </c>
      <c r="B7808" s="126">
        <f>IFERROR(__xludf.DUMMYFUNCTION("""COMPUTED_VALUE"""),46187.0)</f>
        <v>46187</v>
      </c>
      <c r="C7808" s="122" t="str">
        <f>IFERROR(__xludf.DUMMYFUNCTION("""COMPUTED_VALUE"""),"DRIP")</f>
        <v>DRIP</v>
      </c>
      <c r="D7808" s="122" t="str">
        <f>IFERROR(__xludf.DUMMYFUNCTION("""COMPUTED_VALUE"""),"Drip Streetwear")</f>
        <v>Drip Streetwear</v>
      </c>
      <c r="E7808" s="122">
        <f>IFERROR(__xludf.DUMMYFUNCTION("""COMPUTED_VALUE"""),186.82)</f>
        <v>186.82</v>
      </c>
      <c r="F7808" s="122">
        <f>IFERROR(__xludf.DUMMYFUNCTION("""COMPUTED_VALUE"""),-0.0085)</f>
        <v>-0.0085</v>
      </c>
    </row>
    <row r="7809">
      <c r="A7809" s="131">
        <f>IFERROR(__xludf.DUMMYFUNCTION("""COMPUTED_VALUE"""),46187.6165625)</f>
        <v>46187.61656</v>
      </c>
      <c r="B7809" s="126">
        <f>IFERROR(__xludf.DUMMYFUNCTION("""COMPUTED_VALUE"""),46187.0)</f>
        <v>46187</v>
      </c>
      <c r="C7809" s="122" t="str">
        <f>IFERROR(__xludf.DUMMYFUNCTION("""COMPUTED_VALUE"""),"KICK")</f>
        <v>KICK</v>
      </c>
      <c r="D7809" s="122" t="str">
        <f>IFERROR(__xludf.DUMMYFUNCTION("""COMPUTED_VALUE"""),"KickDrop Sneakers")</f>
        <v>KickDrop Sneakers</v>
      </c>
      <c r="E7809" s="122">
        <f>IFERROR(__xludf.DUMMYFUNCTION("""COMPUTED_VALUE"""),166.76)</f>
        <v>166.76</v>
      </c>
      <c r="F7809" s="122">
        <f>IFERROR(__xludf.DUMMYFUNCTION("""COMPUTED_VALUE"""),-0.0065)</f>
        <v>-0.0065</v>
      </c>
    </row>
    <row r="7810">
      <c r="A7810" s="131">
        <f>IFERROR(__xludf.DUMMYFUNCTION("""COMPUTED_VALUE"""),46187.6165625)</f>
        <v>46187.61656</v>
      </c>
      <c r="B7810" s="126">
        <f>IFERROR(__xludf.DUMMYFUNCTION("""COMPUTED_VALUE"""),46187.0)</f>
        <v>46187</v>
      </c>
      <c r="C7810" s="122" t="str">
        <f>IFERROR(__xludf.DUMMYFUNCTION("""COMPUTED_VALUE"""),"GLAM")</f>
        <v>GLAM</v>
      </c>
      <c r="D7810" s="122" t="str">
        <f>IFERROR(__xludf.DUMMYFUNCTION("""COMPUTED_VALUE"""),"Glow Cosmetics")</f>
        <v>Glow Cosmetics</v>
      </c>
      <c r="E7810" s="122">
        <f>IFERROR(__xludf.DUMMYFUNCTION("""COMPUTED_VALUE"""),110.83)</f>
        <v>110.83</v>
      </c>
      <c r="F7810" s="122">
        <f>IFERROR(__xludf.DUMMYFUNCTION("""COMPUTED_VALUE"""),-0.0024)</f>
        <v>-0.0024</v>
      </c>
    </row>
    <row r="7811">
      <c r="A7811" s="131">
        <f>IFERROR(__xludf.DUMMYFUNCTION("""COMPUTED_VALUE"""),46187.6165625)</f>
        <v>46187.61656</v>
      </c>
      <c r="B7811" s="126">
        <f>IFERROR(__xludf.DUMMYFUNCTION("""COMPUTED_VALUE"""),46187.0)</f>
        <v>46187</v>
      </c>
      <c r="C7811" s="122" t="str">
        <f>IFERROR(__xludf.DUMMYFUNCTION("""COMPUTED_VALUE"""),"BAGG")</f>
        <v>BAGG</v>
      </c>
      <c r="D7811" s="122" t="str">
        <f>IFERROR(__xludf.DUMMYFUNCTION("""COMPUTED_VALUE"""),"BagVault")</f>
        <v>BagVault</v>
      </c>
      <c r="E7811" s="122">
        <f>IFERROR(__xludf.DUMMYFUNCTION("""COMPUTED_VALUE"""),279.02)</f>
        <v>279.02</v>
      </c>
      <c r="F7811" s="122">
        <f>IFERROR(__xludf.DUMMYFUNCTION("""COMPUTED_VALUE"""),0.0081)</f>
        <v>0.0081</v>
      </c>
    </row>
    <row r="7812">
      <c r="A7812" s="131">
        <f>IFERROR(__xludf.DUMMYFUNCTION("""COMPUTED_VALUE"""),46187.6165625)</f>
        <v>46187.61656</v>
      </c>
      <c r="B7812" s="126">
        <f>IFERROR(__xludf.DUMMYFUNCTION("""COMPUTED_VALUE"""),46187.0)</f>
        <v>46187</v>
      </c>
      <c r="C7812" s="122" t="str">
        <f>IFERROR(__xludf.DUMMYFUNCTION("""COMPUTED_VALUE"""),"FAST")</f>
        <v>FAST</v>
      </c>
      <c r="D7812" s="122" t="str">
        <f>IFERROR(__xludf.DUMMYFUNCTION("""COMPUTED_VALUE"""),"Flash Logistics")</f>
        <v>Flash Logistics</v>
      </c>
      <c r="E7812" s="122">
        <f>IFERROR(__xludf.DUMMYFUNCTION("""COMPUTED_VALUE"""),108.06)</f>
        <v>108.06</v>
      </c>
      <c r="F7812" s="122">
        <f>IFERROR(__xludf.DUMMYFUNCTION("""COMPUTED_VALUE"""),-0.0027)</f>
        <v>-0.0027</v>
      </c>
    </row>
    <row r="7813">
      <c r="A7813" s="131">
        <f>IFERROR(__xludf.DUMMYFUNCTION("""COMPUTED_VALUE"""),46187.6165625)</f>
        <v>46187.61656</v>
      </c>
      <c r="B7813" s="126">
        <f>IFERROR(__xludf.DUMMYFUNCTION("""COMPUTED_VALUE"""),46187.0)</f>
        <v>46187</v>
      </c>
      <c r="C7813" s="122" t="str">
        <f>IFERROR(__xludf.DUMMYFUNCTION("""COMPUTED_VALUE"""),"SHIP")</f>
        <v>SHIP</v>
      </c>
      <c r="D7813" s="122" t="str">
        <f>IFERROR(__xludf.DUMMYFUNCTION("""COMPUTED_VALUE"""),"Seoul Shipping")</f>
        <v>Seoul Shipping</v>
      </c>
      <c r="E7813" s="122">
        <f>IFERROR(__xludf.DUMMYFUNCTION("""COMPUTED_VALUE"""),129.98)</f>
        <v>129.98</v>
      </c>
      <c r="F7813" s="122">
        <f>IFERROR(__xludf.DUMMYFUNCTION("""COMPUTED_VALUE"""),-0.0065)</f>
        <v>-0.0065</v>
      </c>
    </row>
    <row r="7814">
      <c r="A7814" s="131">
        <f>IFERROR(__xludf.DUMMYFUNCTION("""COMPUTED_VALUE"""),46187.6165625)</f>
        <v>46187.61656</v>
      </c>
      <c r="B7814" s="126">
        <f>IFERROR(__xludf.DUMMYFUNCTION("""COMPUTED_VALUE"""),46187.0)</f>
        <v>46187</v>
      </c>
      <c r="C7814" s="122" t="str">
        <f>IFERROR(__xludf.DUMMYFUNCTION("""COMPUTED_VALUE"""),"DRON")</f>
        <v>DRON</v>
      </c>
      <c r="D7814" s="122" t="str">
        <f>IFERROR(__xludf.DUMMYFUNCTION("""COMPUTED_VALUE"""),"DroneDrop")</f>
        <v>DroneDrop</v>
      </c>
      <c r="E7814" s="122">
        <f>IFERROR(__xludf.DUMMYFUNCTION("""COMPUTED_VALUE"""),124.88)</f>
        <v>124.88</v>
      </c>
      <c r="F7814" s="122">
        <f>IFERROR(__xludf.DUMMYFUNCTION("""COMPUTED_VALUE"""),-0.0079)</f>
        <v>-0.0079</v>
      </c>
    </row>
    <row r="7815">
      <c r="A7815" s="131">
        <f>IFERROR(__xludf.DUMMYFUNCTION("""COMPUTED_VALUE"""),46187.6165625)</f>
        <v>46187.61656</v>
      </c>
      <c r="B7815" s="126">
        <f>IFERROR(__xludf.DUMMYFUNCTION("""COMPUTED_VALUE"""),46187.0)</f>
        <v>46187</v>
      </c>
      <c r="C7815" s="122" t="str">
        <f>IFERROR(__xludf.DUMMYFUNCTION("""COMPUTED_VALUE"""),"RIDE")</f>
        <v>RIDE</v>
      </c>
      <c r="D7815" s="122" t="str">
        <f>IFERROR(__xludf.DUMMYFUNCTION("""COMPUTED_VALUE"""),"QuickRide")</f>
        <v>QuickRide</v>
      </c>
      <c r="E7815" s="122">
        <f>IFERROR(__xludf.DUMMYFUNCTION("""COMPUTED_VALUE"""),102.46)</f>
        <v>102.46</v>
      </c>
      <c r="F7815" s="122">
        <f>IFERROR(__xludf.DUMMYFUNCTION("""COMPUTED_VALUE"""),-0.0089)</f>
        <v>-0.0089</v>
      </c>
    </row>
    <row r="7816">
      <c r="A7816" s="131">
        <f>IFERROR(__xludf.DUMMYFUNCTION("""COMPUTED_VALUE"""),46187.6165625)</f>
        <v>46187.61656</v>
      </c>
      <c r="B7816" s="126">
        <f>IFERROR(__xludf.DUMMYFUNCTION("""COMPUTED_VALUE"""),46187.0)</f>
        <v>46187</v>
      </c>
      <c r="C7816" s="122" t="str">
        <f>IFERROR(__xludf.DUMMYFUNCTION("""COMPUTED_VALUE"""),"RAIL")</f>
        <v>RAIL</v>
      </c>
      <c r="D7816" s="122" t="str">
        <f>IFERROR(__xludf.DUMMYFUNCTION("""COMPUTED_VALUE"""),"MetroRail Corp")</f>
        <v>MetroRail Corp</v>
      </c>
      <c r="E7816" s="122">
        <f>IFERROR(__xludf.DUMMYFUNCTION("""COMPUTED_VALUE"""),131.87)</f>
        <v>131.87</v>
      </c>
      <c r="F7816" s="122">
        <f>IFERROR(__xludf.DUMMYFUNCTION("""COMPUTED_VALUE"""),0.0027)</f>
        <v>0.0027</v>
      </c>
    </row>
    <row r="7817">
      <c r="A7817" s="131">
        <f>IFERROR(__xludf.DUMMYFUNCTION("""COMPUTED_VALUE"""),46187.6165625)</f>
        <v>46187.61656</v>
      </c>
      <c r="B7817" s="126">
        <f>IFERROR(__xludf.DUMMYFUNCTION("""COMPUTED_VALUE"""),46187.0)</f>
        <v>46187</v>
      </c>
      <c r="C7817" s="122" t="str">
        <f>IFERROR(__xludf.DUMMYFUNCTION("""COMPUTED_VALUE"""),"MEDX")</f>
        <v>MEDX</v>
      </c>
      <c r="D7817" s="122" t="str">
        <f>IFERROR(__xludf.DUMMYFUNCTION("""COMPUTED_VALUE"""),"MediCore")</f>
        <v>MediCore</v>
      </c>
      <c r="E7817" s="122">
        <f>IFERROR(__xludf.DUMMYFUNCTION("""COMPUTED_VALUE"""),137.84)</f>
        <v>137.84</v>
      </c>
      <c r="F7817" s="122">
        <f>IFERROR(__xludf.DUMMYFUNCTION("""COMPUTED_VALUE"""),-0.001)</f>
        <v>-0.001</v>
      </c>
    </row>
    <row r="7818">
      <c r="A7818" s="131">
        <f>IFERROR(__xludf.DUMMYFUNCTION("""COMPUTED_VALUE"""),46187.6165625)</f>
        <v>46187.61656</v>
      </c>
      <c r="B7818" s="126">
        <f>IFERROR(__xludf.DUMMYFUNCTION("""COMPUTED_VALUE"""),46187.0)</f>
        <v>46187</v>
      </c>
      <c r="C7818" s="122" t="str">
        <f>IFERROR(__xludf.DUMMYFUNCTION("""COMPUTED_VALUE"""),"GYMX")</f>
        <v>GYMX</v>
      </c>
      <c r="D7818" s="122" t="str">
        <f>IFERROR(__xludf.DUMMYFUNCTION("""COMPUTED_VALUE"""),"GymX Fitness")</f>
        <v>GymX Fitness</v>
      </c>
      <c r="E7818" s="122">
        <f>IFERROR(__xludf.DUMMYFUNCTION("""COMPUTED_VALUE"""),84.26)</f>
        <v>84.26</v>
      </c>
      <c r="F7818" s="122">
        <f>IFERROR(__xludf.DUMMYFUNCTION("""COMPUTED_VALUE"""),0.0)</f>
        <v>0</v>
      </c>
    </row>
    <row r="7819">
      <c r="A7819" s="131">
        <f>IFERROR(__xludf.DUMMYFUNCTION("""COMPUTED_VALUE"""),46187.6165625)</f>
        <v>46187.61656</v>
      </c>
      <c r="B7819" s="126">
        <f>IFERROR(__xludf.DUMMYFUNCTION("""COMPUTED_VALUE"""),46187.0)</f>
        <v>46187</v>
      </c>
      <c r="C7819" s="122" t="str">
        <f>IFERROR(__xludf.DUMMYFUNCTION("""COMPUTED_VALUE"""),"VITA")</f>
        <v>VITA</v>
      </c>
      <c r="D7819" s="122" t="str">
        <f>IFERROR(__xludf.DUMMYFUNCTION("""COMPUTED_VALUE"""),"VitaPlus")</f>
        <v>VitaPlus</v>
      </c>
      <c r="E7819" s="122">
        <f>IFERROR(__xludf.DUMMYFUNCTION("""COMPUTED_VALUE"""),72.87)</f>
        <v>72.87</v>
      </c>
      <c r="F7819" s="122">
        <f>IFERROR(__xludf.DUMMYFUNCTION("""COMPUTED_VALUE"""),-0.0031)</f>
        <v>-0.0031</v>
      </c>
    </row>
    <row r="7820">
      <c r="A7820" s="131">
        <f>IFERROR(__xludf.DUMMYFUNCTION("""COMPUTED_VALUE"""),46187.6165625)</f>
        <v>46187.61656</v>
      </c>
      <c r="B7820" s="126">
        <f>IFERROR(__xludf.DUMMYFUNCTION("""COMPUTED_VALUE"""),46187.0)</f>
        <v>46187</v>
      </c>
      <c r="C7820" s="122" t="str">
        <f>IFERROR(__xludf.DUMMYFUNCTION("""COMPUTED_VALUE"""),"CARE")</f>
        <v>CARE</v>
      </c>
      <c r="D7820" s="122" t="str">
        <f>IFERROR(__xludf.DUMMYFUNCTION("""COMPUTED_VALUE"""),"CareCloud")</f>
        <v>CareCloud</v>
      </c>
      <c r="E7820" s="122">
        <f>IFERROR(__xludf.DUMMYFUNCTION("""COMPUTED_VALUE"""),185.97)</f>
        <v>185.97</v>
      </c>
      <c r="F7820" s="122">
        <f>IFERROR(__xludf.DUMMYFUNCTION("""COMPUTED_VALUE"""),0.0021)</f>
        <v>0.0021</v>
      </c>
    </row>
    <row r="7821">
      <c r="A7821" s="131">
        <f>IFERROR(__xludf.DUMMYFUNCTION("""COMPUTED_VALUE"""),46187.6165625)</f>
        <v>46187.61656</v>
      </c>
      <c r="B7821" s="126">
        <f>IFERROR(__xludf.DUMMYFUNCTION("""COMPUTED_VALUE"""),46187.0)</f>
        <v>46187</v>
      </c>
      <c r="C7821" s="122" t="str">
        <f>IFERROR(__xludf.DUMMYFUNCTION("""COMPUTED_VALUE"""),"DENT")</f>
        <v>DENT</v>
      </c>
      <c r="D7821" s="122" t="str">
        <f>IFERROR(__xludf.DUMMYFUNCTION("""COMPUTED_VALUE"""),"SmileWorks")</f>
        <v>SmileWorks</v>
      </c>
      <c r="E7821" s="122">
        <f>IFERROR(__xludf.DUMMYFUNCTION("""COMPUTED_VALUE"""),95.57)</f>
        <v>95.57</v>
      </c>
      <c r="F7821" s="122">
        <f>IFERROR(__xludf.DUMMYFUNCTION("""COMPUTED_VALUE"""),0.0039)</f>
        <v>0.0039</v>
      </c>
    </row>
    <row r="7822">
      <c r="A7822" s="131">
        <f>IFERROR(__xludf.DUMMYFUNCTION("""COMPUTED_VALUE"""),46187.6165625)</f>
        <v>46187.61656</v>
      </c>
      <c r="B7822" s="126">
        <f>IFERROR(__xludf.DUMMYFUNCTION("""COMPUTED_VALUE"""),46187.0)</f>
        <v>46187</v>
      </c>
      <c r="C7822" s="122" t="str">
        <f>IFERROR(__xludf.DUMMYFUNCTION("""COMPUTED_VALUE"""),"EDUX")</f>
        <v>EDUX</v>
      </c>
      <c r="D7822" s="122" t="str">
        <f>IFERROR(__xludf.DUMMYFUNCTION("""COMPUTED_VALUE"""),"EduMax Learning")</f>
        <v>EduMax Learning</v>
      </c>
      <c r="E7822" s="122">
        <f>IFERROR(__xludf.DUMMYFUNCTION("""COMPUTED_VALUE"""),147.78)</f>
        <v>147.78</v>
      </c>
      <c r="F7822" s="122">
        <f>IFERROR(__xludf.DUMMYFUNCTION("""COMPUTED_VALUE"""),0.0034)</f>
        <v>0.0034</v>
      </c>
    </row>
    <row r="7823">
      <c r="A7823" s="131">
        <f>IFERROR(__xludf.DUMMYFUNCTION("""COMPUTED_VALUE"""),46187.6165625)</f>
        <v>46187.61656</v>
      </c>
      <c r="B7823" s="126">
        <f>IFERROR(__xludf.DUMMYFUNCTION("""COMPUTED_VALUE"""),46187.0)</f>
        <v>46187</v>
      </c>
      <c r="C7823" s="122" t="str">
        <f>IFERROR(__xludf.DUMMYFUNCTION("""COMPUTED_VALUE"""),"BOOK")</f>
        <v>BOOK</v>
      </c>
      <c r="D7823" s="122" t="str">
        <f>IFERROR(__xludf.DUMMYFUNCTION("""COMPUTED_VALUE"""),"BookBridge")</f>
        <v>BookBridge</v>
      </c>
      <c r="E7823" s="122">
        <f>IFERROR(__xludf.DUMMYFUNCTION("""COMPUTED_VALUE"""),121.15)</f>
        <v>121.15</v>
      </c>
      <c r="F7823" s="122">
        <f>IFERROR(__xludf.DUMMYFUNCTION("""COMPUTED_VALUE"""),0.004)</f>
        <v>0.004</v>
      </c>
    </row>
    <row r="7824">
      <c r="A7824" s="131">
        <f>IFERROR(__xludf.DUMMYFUNCTION("""COMPUTED_VALUE"""),46187.6165625)</f>
        <v>46187.61656</v>
      </c>
      <c r="B7824" s="126">
        <f>IFERROR(__xludf.DUMMYFUNCTION("""COMPUTED_VALUE"""),46187.0)</f>
        <v>46187</v>
      </c>
      <c r="C7824" s="122" t="str">
        <f>IFERROR(__xludf.DUMMYFUNCTION("""COMPUTED_VALUE"""),"TUTR")</f>
        <v>TUTR</v>
      </c>
      <c r="D7824" s="122" t="str">
        <f>IFERROR(__xludf.DUMMYFUNCTION("""COMPUTED_VALUE"""),"TutorTown")</f>
        <v>TutorTown</v>
      </c>
      <c r="E7824" s="122">
        <f>IFERROR(__xludf.DUMMYFUNCTION("""COMPUTED_VALUE"""),91.81)</f>
        <v>91.81</v>
      </c>
      <c r="F7824" s="122">
        <f>IFERROR(__xludf.DUMMYFUNCTION("""COMPUTED_VALUE"""),-0.0021)</f>
        <v>-0.0021</v>
      </c>
    </row>
    <row r="7825">
      <c r="A7825" s="131">
        <f>IFERROR(__xludf.DUMMYFUNCTION("""COMPUTED_VALUE"""),46187.6165625)</f>
        <v>46187.61656</v>
      </c>
      <c r="B7825" s="126">
        <f>IFERROR(__xludf.DUMMYFUNCTION("""COMPUTED_VALUE"""),46187.0)</f>
        <v>46187</v>
      </c>
      <c r="C7825" s="122" t="str">
        <f>IFERROR(__xludf.DUMMYFUNCTION("""COMPUTED_VALUE"""),"LANG")</f>
        <v>LANG</v>
      </c>
      <c r="D7825" s="122" t="str">
        <f>IFERROR(__xludf.DUMMYFUNCTION("""COMPUTED_VALUE"""),"LinguaLab")</f>
        <v>LinguaLab</v>
      </c>
      <c r="E7825" s="122">
        <f>IFERROR(__xludf.DUMMYFUNCTION("""COMPUTED_VALUE"""),102.66)</f>
        <v>102.66</v>
      </c>
      <c r="F7825" s="122">
        <f>IFERROR(__xludf.DUMMYFUNCTION("""COMPUTED_VALUE"""),0.0042)</f>
        <v>0.0042</v>
      </c>
    </row>
    <row r="7826">
      <c r="A7826" s="131">
        <f>IFERROR(__xludf.DUMMYFUNCTION("""COMPUTED_VALUE"""),46187.6165625)</f>
        <v>46187.61656</v>
      </c>
      <c r="B7826" s="126">
        <f>IFERROR(__xludf.DUMMYFUNCTION("""COMPUTED_VALUE"""),46187.0)</f>
        <v>46187</v>
      </c>
      <c r="C7826" s="122" t="str">
        <f>IFERROR(__xludf.DUMMYFUNCTION("""COMPUTED_VALUE"""),"TEST")</f>
        <v>TEST</v>
      </c>
      <c r="D7826" s="122" t="str">
        <f>IFERROR(__xludf.DUMMYFUNCTION("""COMPUTED_VALUE"""),"TestPrep Pro")</f>
        <v>TestPrep Pro</v>
      </c>
      <c r="E7826" s="122">
        <f>IFERROR(__xludf.DUMMYFUNCTION("""COMPUTED_VALUE"""),90.25)</f>
        <v>90.25</v>
      </c>
      <c r="F7826" s="122">
        <f>IFERROR(__xludf.DUMMYFUNCTION("""COMPUTED_VALUE"""),0.0037)</f>
        <v>0.0037</v>
      </c>
    </row>
    <row r="7827">
      <c r="A7827" s="131">
        <f>IFERROR(__xludf.DUMMYFUNCTION("""COMPUTED_VALUE"""),46187.6165625)</f>
        <v>46187.61656</v>
      </c>
      <c r="B7827" s="126">
        <f>IFERROR(__xludf.DUMMYFUNCTION("""COMPUTED_VALUE"""),46187.0)</f>
        <v>46187</v>
      </c>
      <c r="C7827" s="122" t="str">
        <f>IFERROR(__xludf.DUMMYFUNCTION("""COMPUTED_VALUE"""),"MOVI")</f>
        <v>MOVI</v>
      </c>
      <c r="D7827" s="122" t="str">
        <f>IFERROR(__xludf.DUMMYFUNCTION("""COMPUTED_VALUE"""),"MovieBox")</f>
        <v>MovieBox</v>
      </c>
      <c r="E7827" s="122">
        <f>IFERROR(__xludf.DUMMYFUNCTION("""COMPUTED_VALUE"""),84.07)</f>
        <v>84.07</v>
      </c>
      <c r="F7827" s="122">
        <f>IFERROR(__xludf.DUMMYFUNCTION("""COMPUTED_VALUE"""),0.0053)</f>
        <v>0.0053</v>
      </c>
    </row>
    <row r="7828">
      <c r="A7828" s="131">
        <f>IFERROR(__xludf.DUMMYFUNCTION("""COMPUTED_VALUE"""),46187.6165625)</f>
        <v>46187.61656</v>
      </c>
      <c r="B7828" s="126">
        <f>IFERROR(__xludf.DUMMYFUNCTION("""COMPUTED_VALUE"""),46187.0)</f>
        <v>46187</v>
      </c>
      <c r="C7828" s="122" t="str">
        <f>IFERROR(__xludf.DUMMYFUNCTION("""COMPUTED_VALUE"""),"MUSC")</f>
        <v>MUSC</v>
      </c>
      <c r="D7828" s="122" t="str">
        <f>IFERROR(__xludf.DUMMYFUNCTION("""COMPUTED_VALUE"""),"MusicWave")</f>
        <v>MusicWave</v>
      </c>
      <c r="E7828" s="122">
        <f>IFERROR(__xludf.DUMMYFUNCTION("""COMPUTED_VALUE"""),103.51)</f>
        <v>103.51</v>
      </c>
      <c r="F7828" s="122">
        <f>IFERROR(__xludf.DUMMYFUNCTION("""COMPUTED_VALUE"""),0.0027)</f>
        <v>0.0027</v>
      </c>
    </row>
    <row r="7829">
      <c r="A7829" s="131">
        <f>IFERROR(__xludf.DUMMYFUNCTION("""COMPUTED_VALUE"""),46187.6165625)</f>
        <v>46187.61656</v>
      </c>
      <c r="B7829" s="126">
        <f>IFERROR(__xludf.DUMMYFUNCTION("""COMPUTED_VALUE"""),46187.0)</f>
        <v>46187</v>
      </c>
      <c r="C7829" s="122" t="str">
        <f>IFERROR(__xludf.DUMMYFUNCTION("""COMPUTED_VALUE"""),"IDOL")</f>
        <v>IDOL</v>
      </c>
      <c r="D7829" s="122" t="str">
        <f>IFERROR(__xludf.DUMMYFUNCTION("""COMPUTED_VALUE"""),"Idol Agency")</f>
        <v>Idol Agency</v>
      </c>
      <c r="E7829" s="122">
        <f>IFERROR(__xludf.DUMMYFUNCTION("""COMPUTED_VALUE"""),183.86)</f>
        <v>183.86</v>
      </c>
      <c r="F7829" s="122">
        <f>IFERROR(__xludf.DUMMYFUNCTION("""COMPUTED_VALUE"""),-0.0056)</f>
        <v>-0.0056</v>
      </c>
    </row>
    <row r="7830">
      <c r="A7830" s="131">
        <f>IFERROR(__xludf.DUMMYFUNCTION("""COMPUTED_VALUE"""),46187.6165625)</f>
        <v>46187.61656</v>
      </c>
      <c r="B7830" s="126">
        <f>IFERROR(__xludf.DUMMYFUNCTION("""COMPUTED_VALUE"""),46187.0)</f>
        <v>46187</v>
      </c>
      <c r="C7830" s="122" t="str">
        <f>IFERROR(__xludf.DUMMYFUNCTION("""COMPUTED_VALUE"""),"MEME")</f>
        <v>MEME</v>
      </c>
      <c r="D7830" s="122" t="str">
        <f>IFERROR(__xludf.DUMMYFUNCTION("""COMPUTED_VALUE"""),"Meme Media")</f>
        <v>Meme Media</v>
      </c>
      <c r="E7830" s="122">
        <f>IFERROR(__xludf.DUMMYFUNCTION("""COMPUTED_VALUE"""),72.77)</f>
        <v>72.77</v>
      </c>
      <c r="F7830" s="122">
        <f>IFERROR(__xludf.DUMMYFUNCTION("""COMPUTED_VALUE"""),-0.0144)</f>
        <v>-0.0144</v>
      </c>
    </row>
    <row r="7831">
      <c r="A7831" s="131">
        <f>IFERROR(__xludf.DUMMYFUNCTION("""COMPUTED_VALUE"""),46187.6165625)</f>
        <v>46187.61656</v>
      </c>
      <c r="B7831" s="126">
        <f>IFERROR(__xludf.DUMMYFUNCTION("""COMPUTED_VALUE"""),46187.0)</f>
        <v>46187</v>
      </c>
      <c r="C7831" s="122" t="str">
        <f>IFERROR(__xludf.DUMMYFUNCTION("""COMPUTED_VALUE"""),"STRM")</f>
        <v>STRM</v>
      </c>
      <c r="D7831" s="122" t="str">
        <f>IFERROR(__xludf.DUMMYFUNCTION("""COMPUTED_VALUE"""),"Streamly")</f>
        <v>Streamly</v>
      </c>
      <c r="E7831" s="122">
        <f>IFERROR(__xludf.DUMMYFUNCTION("""COMPUTED_VALUE"""),134.75)</f>
        <v>134.75</v>
      </c>
      <c r="F7831" s="122">
        <f>IFERROR(__xludf.DUMMYFUNCTION("""COMPUTED_VALUE"""),0.0018)</f>
        <v>0.0018</v>
      </c>
    </row>
    <row r="7832">
      <c r="A7832" s="131">
        <f>IFERROR(__xludf.DUMMYFUNCTION("""COMPUTED_VALUE"""),46187.6165625)</f>
        <v>46187.61656</v>
      </c>
      <c r="B7832" s="126">
        <f>IFERROR(__xludf.DUMMYFUNCTION("""COMPUTED_VALUE"""),46187.0)</f>
        <v>46187</v>
      </c>
      <c r="C7832" s="122" t="str">
        <f>IFERROR(__xludf.DUMMYFUNCTION("""COMPUTED_VALUE"""),"FARM")</f>
        <v>FARM</v>
      </c>
      <c r="D7832" s="122" t="str">
        <f>IFERROR(__xludf.DUMMYFUNCTION("""COMPUTED_VALUE"""),"Future Farms")</f>
        <v>Future Farms</v>
      </c>
      <c r="E7832" s="122">
        <f>IFERROR(__xludf.DUMMYFUNCTION("""COMPUTED_VALUE"""),96.98)</f>
        <v>96.98</v>
      </c>
      <c r="F7832" s="122">
        <f>IFERROR(__xludf.DUMMYFUNCTION("""COMPUTED_VALUE"""),0.0046)</f>
        <v>0.0046</v>
      </c>
    </row>
    <row r="7833">
      <c r="A7833" s="131">
        <f>IFERROR(__xludf.DUMMYFUNCTION("""COMPUTED_VALUE"""),46187.6165625)</f>
        <v>46187.61656</v>
      </c>
      <c r="B7833" s="126">
        <f>IFERROR(__xludf.DUMMYFUNCTION("""COMPUTED_VALUE"""),46187.0)</f>
        <v>46187</v>
      </c>
      <c r="C7833" s="122" t="str">
        <f>IFERROR(__xludf.DUMMYFUNCTION("""COMPUTED_VALUE"""),"MEAT")</f>
        <v>MEAT</v>
      </c>
      <c r="D7833" s="122" t="str">
        <f>IFERROR(__xludf.DUMMYFUNCTION("""COMPUTED_VALUE"""),"MeatWorks")</f>
        <v>MeatWorks</v>
      </c>
      <c r="E7833" s="122">
        <f>IFERROR(__xludf.DUMMYFUNCTION("""COMPUTED_VALUE"""),104.48)</f>
        <v>104.48</v>
      </c>
      <c r="F7833" s="122">
        <f>IFERROR(__xludf.DUMMYFUNCTION("""COMPUTED_VALUE"""),0.0015)</f>
        <v>0.0015</v>
      </c>
    </row>
    <row r="7834">
      <c r="A7834" s="131">
        <f>IFERROR(__xludf.DUMMYFUNCTION("""COMPUTED_VALUE"""),46187.6165625)</f>
        <v>46187.61656</v>
      </c>
      <c r="B7834" s="126">
        <f>IFERROR(__xludf.DUMMYFUNCTION("""COMPUTED_VALUE"""),46187.0)</f>
        <v>46187</v>
      </c>
      <c r="C7834" s="122" t="str">
        <f>IFERROR(__xludf.DUMMYFUNCTION("""COMPUTED_VALUE"""),"VEGI")</f>
        <v>VEGI</v>
      </c>
      <c r="D7834" s="122" t="str">
        <f>IFERROR(__xludf.DUMMYFUNCTION("""COMPUTED_VALUE"""),"Green Basket")</f>
        <v>Green Basket</v>
      </c>
      <c r="E7834" s="122">
        <f>IFERROR(__xludf.DUMMYFUNCTION("""COMPUTED_VALUE"""),77.36)</f>
        <v>77.36</v>
      </c>
      <c r="F7834" s="122">
        <f>IFERROR(__xludf.DUMMYFUNCTION("""COMPUTED_VALUE"""),0.0034)</f>
        <v>0.0034</v>
      </c>
    </row>
    <row r="7835">
      <c r="A7835" s="131">
        <f>IFERROR(__xludf.DUMMYFUNCTION("""COMPUTED_VALUE"""),46187.6165625)</f>
        <v>46187.61656</v>
      </c>
      <c r="B7835" s="126">
        <f>IFERROR(__xludf.DUMMYFUNCTION("""COMPUTED_VALUE"""),46187.0)</f>
        <v>46187</v>
      </c>
      <c r="C7835" s="122" t="str">
        <f>IFERROR(__xludf.DUMMYFUNCTION("""COMPUTED_VALUE"""),"CAFE")</f>
        <v>CAFE</v>
      </c>
      <c r="D7835" s="122" t="str">
        <f>IFERROR(__xludf.DUMMYFUNCTION("""COMPUTED_VALUE"""),"Cafe Cloud")</f>
        <v>Cafe Cloud</v>
      </c>
      <c r="E7835" s="122">
        <f>IFERROR(__xludf.DUMMYFUNCTION("""COMPUTED_VALUE"""),101.53)</f>
        <v>101.53</v>
      </c>
      <c r="F7835" s="122">
        <f>IFERROR(__xludf.DUMMYFUNCTION("""COMPUTED_VALUE"""),0.0021)</f>
        <v>0.0021</v>
      </c>
    </row>
    <row r="7836">
      <c r="A7836" s="131">
        <f>IFERROR(__xludf.DUMMYFUNCTION("""COMPUTED_VALUE"""),46187.6165625)</f>
        <v>46187.61656</v>
      </c>
      <c r="B7836" s="126">
        <f>IFERROR(__xludf.DUMMYFUNCTION("""COMPUTED_VALUE"""),46187.0)</f>
        <v>46187</v>
      </c>
      <c r="C7836" s="122" t="str">
        <f>IFERROR(__xludf.DUMMYFUNCTION("""COMPUTED_VALUE"""),"BAKE")</f>
        <v>BAKE</v>
      </c>
      <c r="D7836" s="122" t="str">
        <f>IFERROR(__xludf.DUMMYFUNCTION("""COMPUTED_VALUE"""),"BakeHouse")</f>
        <v>BakeHouse</v>
      </c>
      <c r="E7836" s="122">
        <f>IFERROR(__xludf.DUMMYFUNCTION("""COMPUTED_VALUE"""),99.87)</f>
        <v>99.87</v>
      </c>
      <c r="F7836" s="122">
        <f>IFERROR(__xludf.DUMMYFUNCTION("""COMPUTED_VALUE"""),-0.0046)</f>
        <v>-0.0046</v>
      </c>
    </row>
    <row r="7837">
      <c r="A7837" s="131">
        <f>IFERROR(__xludf.DUMMYFUNCTION("""COMPUTED_VALUE"""),46187.6165625)</f>
        <v>46187.61656</v>
      </c>
      <c r="B7837" s="126">
        <f>IFERROR(__xludf.DUMMYFUNCTION("""COMPUTED_VALUE"""),46187.0)</f>
        <v>46187</v>
      </c>
      <c r="C7837" s="122" t="str">
        <f>IFERROR(__xludf.DUMMYFUNCTION("""COMPUTED_VALUE"""),"OILX")</f>
        <v>OILX</v>
      </c>
      <c r="D7837" s="122" t="str">
        <f>IFERROR(__xludf.DUMMYFUNCTION("""COMPUTED_VALUE"""),"OilMax Energy")</f>
        <v>OilMax Energy</v>
      </c>
      <c r="E7837" s="122">
        <f>IFERROR(__xludf.DUMMYFUNCTION("""COMPUTED_VALUE"""),134.89)</f>
        <v>134.89</v>
      </c>
      <c r="F7837" s="122">
        <f>IFERROR(__xludf.DUMMYFUNCTION("""COMPUTED_VALUE"""),0.0029)</f>
        <v>0.0029</v>
      </c>
    </row>
    <row r="7838">
      <c r="A7838" s="131">
        <f>IFERROR(__xludf.DUMMYFUNCTION("""COMPUTED_VALUE"""),46187.6165625)</f>
        <v>46187.61656</v>
      </c>
      <c r="B7838" s="126">
        <f>IFERROR(__xludf.DUMMYFUNCTION("""COMPUTED_VALUE"""),46187.0)</f>
        <v>46187</v>
      </c>
      <c r="C7838" s="122" t="str">
        <f>IFERROR(__xludf.DUMMYFUNCTION("""COMPUTED_VALUE"""),"SOLR")</f>
        <v>SOLR</v>
      </c>
      <c r="D7838" s="122" t="str">
        <f>IFERROR(__xludf.DUMMYFUNCTION("""COMPUTED_VALUE"""),"SolarSpark")</f>
        <v>SolarSpark</v>
      </c>
      <c r="E7838" s="122">
        <f>IFERROR(__xludf.DUMMYFUNCTION("""COMPUTED_VALUE"""),106.95)</f>
        <v>106.95</v>
      </c>
      <c r="F7838" s="122">
        <f>IFERROR(__xludf.DUMMYFUNCTION("""COMPUTED_VALUE"""),0.0106)</f>
        <v>0.0106</v>
      </c>
    </row>
    <row r="7839">
      <c r="A7839" s="131">
        <f>IFERROR(__xludf.DUMMYFUNCTION("""COMPUTED_VALUE"""),46187.6165625)</f>
        <v>46187.61656</v>
      </c>
      <c r="B7839" s="126">
        <f>IFERROR(__xludf.DUMMYFUNCTION("""COMPUTED_VALUE"""),46187.0)</f>
        <v>46187</v>
      </c>
      <c r="C7839" s="122" t="str">
        <f>IFERROR(__xludf.DUMMYFUNCTION("""COMPUTED_VALUE"""),"BATT")</f>
        <v>BATT</v>
      </c>
      <c r="D7839" s="122" t="str">
        <f>IFERROR(__xludf.DUMMYFUNCTION("""COMPUTED_VALUE"""),"BatteryBox")</f>
        <v>BatteryBox</v>
      </c>
      <c r="E7839" s="122">
        <f>IFERROR(__xludf.DUMMYFUNCTION("""COMPUTED_VALUE"""),123.73)</f>
        <v>123.73</v>
      </c>
      <c r="F7839" s="122">
        <f>IFERROR(__xludf.DUMMYFUNCTION("""COMPUTED_VALUE"""),-0.006)</f>
        <v>-0.006</v>
      </c>
    </row>
    <row r="7840">
      <c r="A7840" s="131">
        <f>IFERROR(__xludf.DUMMYFUNCTION("""COMPUTED_VALUE"""),46187.6165625)</f>
        <v>46187.61656</v>
      </c>
      <c r="B7840" s="126">
        <f>IFERROR(__xludf.DUMMYFUNCTION("""COMPUTED_VALUE"""),46187.0)</f>
        <v>46187</v>
      </c>
      <c r="C7840" s="122" t="str">
        <f>IFERROR(__xludf.DUMMYFUNCTION("""COMPUTED_VALUE"""),"WIND")</f>
        <v>WIND</v>
      </c>
      <c r="D7840" s="122" t="str">
        <f>IFERROR(__xludf.DUMMYFUNCTION("""COMPUTED_VALUE"""),"WindWorks")</f>
        <v>WindWorks</v>
      </c>
      <c r="E7840" s="122">
        <f>IFERROR(__xludf.DUMMYFUNCTION("""COMPUTED_VALUE"""),87.19)</f>
        <v>87.19</v>
      </c>
      <c r="F7840" s="122">
        <f>IFERROR(__xludf.DUMMYFUNCTION("""COMPUTED_VALUE"""),0.0039)</f>
        <v>0.0039</v>
      </c>
    </row>
    <row r="7841">
      <c r="A7841" s="131">
        <f>IFERROR(__xludf.DUMMYFUNCTION("""COMPUTED_VALUE"""),46187.6165625)</f>
        <v>46187.61656</v>
      </c>
      <c r="B7841" s="126">
        <f>IFERROR(__xludf.DUMMYFUNCTION("""COMPUTED_VALUE"""),46187.0)</f>
        <v>46187</v>
      </c>
      <c r="C7841" s="122" t="str">
        <f>IFERROR(__xludf.DUMMYFUNCTION("""COMPUTED_VALUE"""),"GRID")</f>
        <v>GRID</v>
      </c>
      <c r="D7841" s="122" t="str">
        <f>IFERROR(__xludf.DUMMYFUNCTION("""COMPUTED_VALUE"""),"GridPower")</f>
        <v>GridPower</v>
      </c>
      <c r="E7841" s="122">
        <f>IFERROR(__xludf.DUMMYFUNCTION("""COMPUTED_VALUE"""),129.39)</f>
        <v>129.39</v>
      </c>
      <c r="F7841" s="122">
        <f>IFERROR(__xludf.DUMMYFUNCTION("""COMPUTED_VALUE"""),0.0028)</f>
        <v>0.0028</v>
      </c>
    </row>
    <row r="7842">
      <c r="A7842" s="131">
        <f>IFERROR(__xludf.DUMMYFUNCTION("""COMPUTED_VALUE"""),46187.6165625)</f>
        <v>46187.61656</v>
      </c>
      <c r="B7842" s="126">
        <f>IFERROR(__xludf.DUMMYFUNCTION("""COMPUTED_VALUE"""),46187.0)</f>
        <v>46187</v>
      </c>
      <c r="C7842" s="122" t="str">
        <f>IFERROR(__xludf.DUMMYFUNCTION("""COMPUTED_VALUE"""),"HOME")</f>
        <v>HOME</v>
      </c>
      <c r="D7842" s="122" t="str">
        <f>IFERROR(__xludf.DUMMYFUNCTION("""COMPUTED_VALUE"""),"HomeHub")</f>
        <v>HomeHub</v>
      </c>
      <c r="E7842" s="122">
        <f>IFERROR(__xludf.DUMMYFUNCTION("""COMPUTED_VALUE"""),158.82)</f>
        <v>158.82</v>
      </c>
      <c r="F7842" s="122">
        <f>IFERROR(__xludf.DUMMYFUNCTION("""COMPUTED_VALUE"""),0.0011)</f>
        <v>0.0011</v>
      </c>
    </row>
    <row r="7843">
      <c r="A7843" s="131">
        <f>IFERROR(__xludf.DUMMYFUNCTION("""COMPUTED_VALUE"""),46187.6165625)</f>
        <v>46187.61656</v>
      </c>
      <c r="B7843" s="126">
        <f>IFERROR(__xludf.DUMMYFUNCTION("""COMPUTED_VALUE"""),46187.0)</f>
        <v>46187</v>
      </c>
      <c r="C7843" s="122" t="str">
        <f>IFERROR(__xludf.DUMMYFUNCTION("""COMPUTED_VALUE"""),"RENT")</f>
        <v>RENT</v>
      </c>
      <c r="D7843" s="122" t="str">
        <f>IFERROR(__xludf.DUMMYFUNCTION("""COMPUTED_VALUE"""),"RentRight")</f>
        <v>RentRight</v>
      </c>
      <c r="E7843" s="122">
        <f>IFERROR(__xludf.DUMMYFUNCTION("""COMPUTED_VALUE"""),90.65)</f>
        <v>90.65</v>
      </c>
      <c r="F7843" s="122">
        <f>IFERROR(__xludf.DUMMYFUNCTION("""COMPUTED_VALUE"""),0.0043)</f>
        <v>0.0043</v>
      </c>
    </row>
    <row r="7844">
      <c r="A7844" s="131">
        <f>IFERROR(__xludf.DUMMYFUNCTION("""COMPUTED_VALUE"""),46187.6165625)</f>
        <v>46187.61656</v>
      </c>
      <c r="B7844" s="126">
        <f>IFERROR(__xludf.DUMMYFUNCTION("""COMPUTED_VALUE"""),46187.0)</f>
        <v>46187</v>
      </c>
      <c r="C7844" s="122" t="str">
        <f>IFERROR(__xludf.DUMMYFUNCTION("""COMPUTED_VALUE"""),"MALL")</f>
        <v>MALL</v>
      </c>
      <c r="D7844" s="122" t="str">
        <f>IFERROR(__xludf.DUMMYFUNCTION("""COMPUTED_VALUE"""),"MegaMall")</f>
        <v>MegaMall</v>
      </c>
      <c r="E7844" s="122">
        <f>IFERROR(__xludf.DUMMYFUNCTION("""COMPUTED_VALUE"""),101.6)</f>
        <v>101.6</v>
      </c>
      <c r="F7844" s="122">
        <f>IFERROR(__xludf.DUMMYFUNCTION("""COMPUTED_VALUE"""),-0.0017)</f>
        <v>-0.0017</v>
      </c>
    </row>
    <row r="7845">
      <c r="A7845" s="131">
        <f>IFERROR(__xludf.DUMMYFUNCTION("""COMPUTED_VALUE"""),46187.6165625)</f>
        <v>46187.61656</v>
      </c>
      <c r="B7845" s="126">
        <f>IFERROR(__xludf.DUMMYFUNCTION("""COMPUTED_VALUE"""),46187.0)</f>
        <v>46187</v>
      </c>
      <c r="C7845" s="122" t="str">
        <f>IFERROR(__xludf.DUMMYFUNCTION("""COMPUTED_VALUE"""),"HOTL")</f>
        <v>HOTL</v>
      </c>
      <c r="D7845" s="122" t="str">
        <f>IFERROR(__xludf.DUMMYFUNCTION("""COMPUTED_VALUE"""),"HotelHive")</f>
        <v>HotelHive</v>
      </c>
      <c r="E7845" s="122">
        <f>IFERROR(__xludf.DUMMYFUNCTION("""COMPUTED_VALUE"""),122.93)</f>
        <v>122.93</v>
      </c>
      <c r="F7845" s="122">
        <f>IFERROR(__xludf.DUMMYFUNCTION("""COMPUTED_VALUE"""),-0.0053)</f>
        <v>-0.0053</v>
      </c>
    </row>
    <row r="7846">
      <c r="A7846" s="131">
        <f>IFERROR(__xludf.DUMMYFUNCTION("""COMPUTED_VALUE"""),46187.6165625)</f>
        <v>46187.61656</v>
      </c>
      <c r="B7846" s="126">
        <f>IFERROR(__xludf.DUMMYFUNCTION("""COMPUTED_VALUE"""),46187.0)</f>
        <v>46187</v>
      </c>
      <c r="C7846" s="122" t="str">
        <f>IFERROR(__xludf.DUMMYFUNCTION("""COMPUTED_VALUE"""),"LAND")</f>
        <v>LAND</v>
      </c>
      <c r="D7846" s="122" t="str">
        <f>IFERROR(__xludf.DUMMYFUNCTION("""COMPUTED_VALUE"""),"LandLink")</f>
        <v>LandLink</v>
      </c>
      <c r="E7846" s="122">
        <f>IFERROR(__xludf.DUMMYFUNCTION("""COMPUTED_VALUE"""),187.92)</f>
        <v>187.92</v>
      </c>
      <c r="F7846" s="122">
        <f>IFERROR(__xludf.DUMMYFUNCTION("""COMPUTED_VALUE"""),-0.0018)</f>
        <v>-0.0018</v>
      </c>
    </row>
    <row r="7847">
      <c r="A7847" s="131">
        <f>IFERROR(__xludf.DUMMYFUNCTION("""COMPUTED_VALUE"""),46187.6165625)</f>
        <v>46187.61656</v>
      </c>
      <c r="B7847" s="126">
        <f>IFERROR(__xludf.DUMMYFUNCTION("""COMPUTED_VALUE"""),46187.0)</f>
        <v>46187</v>
      </c>
      <c r="C7847" s="122" t="str">
        <f>IFERROR(__xludf.DUMMYFUNCTION("""COMPUTED_VALUE"""),"CARS")</f>
        <v>CARS</v>
      </c>
      <c r="D7847" s="122" t="str">
        <f>IFERROR(__xludf.DUMMYFUNCTION("""COMPUTED_VALUE"""),"AutoArena")</f>
        <v>AutoArena</v>
      </c>
      <c r="E7847" s="122">
        <f>IFERROR(__xludf.DUMMYFUNCTION("""COMPUTED_VALUE"""),82.08)</f>
        <v>82.08</v>
      </c>
      <c r="F7847" s="122">
        <f>IFERROR(__xludf.DUMMYFUNCTION("""COMPUTED_VALUE"""),-0.0058)</f>
        <v>-0.0058</v>
      </c>
    </row>
    <row r="7848">
      <c r="A7848" s="131">
        <f>IFERROR(__xludf.DUMMYFUNCTION("""COMPUTED_VALUE"""),46187.6165625)</f>
        <v>46187.61656</v>
      </c>
      <c r="B7848" s="126">
        <f>IFERROR(__xludf.DUMMYFUNCTION("""COMPUTED_VALUE"""),46187.0)</f>
        <v>46187</v>
      </c>
      <c r="C7848" s="122" t="str">
        <f>IFERROR(__xludf.DUMMYFUNCTION("""COMPUTED_VALUE"""),"EVGO")</f>
        <v>EVGO</v>
      </c>
      <c r="D7848" s="122" t="str">
        <f>IFERROR(__xludf.DUMMYFUNCTION("""COMPUTED_VALUE"""),"EVGo Motors")</f>
        <v>EVGo Motors</v>
      </c>
      <c r="E7848" s="122">
        <f>IFERROR(__xludf.DUMMYFUNCTION("""COMPUTED_VALUE"""),188.43)</f>
        <v>188.43</v>
      </c>
      <c r="F7848" s="122">
        <f>IFERROR(__xludf.DUMMYFUNCTION("""COMPUTED_VALUE"""),0.008)</f>
        <v>0.008</v>
      </c>
    </row>
    <row r="7849">
      <c r="A7849" s="131">
        <f>IFERROR(__xludf.DUMMYFUNCTION("""COMPUTED_VALUE"""),46187.6165625)</f>
        <v>46187.61656</v>
      </c>
      <c r="B7849" s="126">
        <f>IFERROR(__xludf.DUMMYFUNCTION("""COMPUTED_VALUE"""),46187.0)</f>
        <v>46187</v>
      </c>
      <c r="C7849" s="122" t="str">
        <f>IFERROR(__xludf.DUMMYFUNCTION("""COMPUTED_VALUE"""),"TIRE")</f>
        <v>TIRE</v>
      </c>
      <c r="D7849" s="122" t="str">
        <f>IFERROR(__xludf.DUMMYFUNCTION("""COMPUTED_VALUE"""),"TireTown")</f>
        <v>TireTown</v>
      </c>
      <c r="E7849" s="122">
        <f>IFERROR(__xludf.DUMMYFUNCTION("""COMPUTED_VALUE"""),98.14)</f>
        <v>98.14</v>
      </c>
      <c r="F7849" s="122">
        <f>IFERROR(__xludf.DUMMYFUNCTION("""COMPUTED_VALUE"""),0.0035)</f>
        <v>0.0035</v>
      </c>
    </row>
    <row r="7850">
      <c r="A7850" s="131">
        <f>IFERROR(__xludf.DUMMYFUNCTION("""COMPUTED_VALUE"""),46187.6165625)</f>
        <v>46187.61656</v>
      </c>
      <c r="B7850" s="126">
        <f>IFERROR(__xludf.DUMMYFUNCTION("""COMPUTED_VALUE"""),46187.0)</f>
        <v>46187</v>
      </c>
      <c r="C7850" s="122" t="str">
        <f>IFERROR(__xludf.DUMMYFUNCTION("""COMPUTED_VALUE"""),"BIKE")</f>
        <v>BIKE</v>
      </c>
      <c r="D7850" s="122" t="str">
        <f>IFERROR(__xludf.DUMMYFUNCTION("""COMPUTED_VALUE"""),"BikeBox")</f>
        <v>BikeBox</v>
      </c>
      <c r="E7850" s="122">
        <f>IFERROR(__xludf.DUMMYFUNCTION("""COMPUTED_VALUE"""),52.6)</f>
        <v>52.6</v>
      </c>
      <c r="F7850" s="122">
        <f>IFERROR(__xludf.DUMMYFUNCTION("""COMPUTED_VALUE"""),-0.0036)</f>
        <v>-0.0036</v>
      </c>
    </row>
    <row r="7851">
      <c r="A7851" s="131">
        <f>IFERROR(__xludf.DUMMYFUNCTION("""COMPUTED_VALUE"""),46187.6165625)</f>
        <v>46187.61656</v>
      </c>
      <c r="B7851" s="126">
        <f>IFERROR(__xludf.DUMMYFUNCTION("""COMPUTED_VALUE"""),46187.0)</f>
        <v>46187</v>
      </c>
      <c r="C7851" s="122" t="str">
        <f>IFERROR(__xludf.DUMMYFUNCTION("""COMPUTED_VALUE"""),"WASH")</f>
        <v>WASH</v>
      </c>
      <c r="D7851" s="122" t="str">
        <f>IFERROR(__xludf.DUMMYFUNCTION("""COMPUTED_VALUE"""),"CarWash Co")</f>
        <v>CarWash Co</v>
      </c>
      <c r="E7851" s="122">
        <f>IFERROR(__xludf.DUMMYFUNCTION("""COMPUTED_VALUE"""),121.45)</f>
        <v>121.45</v>
      </c>
      <c r="F7851" s="122">
        <f>IFERROR(__xludf.DUMMYFUNCTION("""COMPUTED_VALUE"""),-0.0012)</f>
        <v>-0.0012</v>
      </c>
    </row>
    <row r="7852">
      <c r="A7852" s="131">
        <f>IFERROR(__xludf.DUMMYFUNCTION("""COMPUTED_VALUE"""),46187.6165625)</f>
        <v>46187.61656</v>
      </c>
      <c r="B7852" s="126">
        <f>IFERROR(__xludf.DUMMYFUNCTION("""COMPUTED_VALUE"""),46187.0)</f>
        <v>46187</v>
      </c>
      <c r="C7852" s="122" t="str">
        <f>IFERROR(__xludf.DUMMYFUNCTION("""COMPUTED_VALUE"""),"GBND")</f>
        <v>GBND</v>
      </c>
      <c r="D7852" s="122" t="str">
        <f>IFERROR(__xludf.DUMMYFUNCTION("""COMPUTED_VALUE"""),"Classroom Government Bond")</f>
        <v>Classroom Government Bond</v>
      </c>
      <c r="E7852" s="122">
        <f>IFERROR(__xludf.DUMMYFUNCTION("""COMPUTED_VALUE"""),101.12)</f>
        <v>101.12</v>
      </c>
      <c r="F7852" s="122">
        <f>IFERROR(__xludf.DUMMYFUNCTION("""COMPUTED_VALUE"""),-2.0E-4)</f>
        <v>-0.0002</v>
      </c>
    </row>
    <row r="7853">
      <c r="A7853" s="131">
        <f>IFERROR(__xludf.DUMMYFUNCTION("""COMPUTED_VALUE"""),46187.6165625)</f>
        <v>46187.61656</v>
      </c>
      <c r="B7853" s="126">
        <f>IFERROR(__xludf.DUMMYFUNCTION("""COMPUTED_VALUE"""),46187.0)</f>
        <v>46187</v>
      </c>
      <c r="C7853" s="122" t="str">
        <f>IFERROR(__xludf.DUMMYFUNCTION("""COMPUTED_VALUE"""),"SBND")</f>
        <v>SBND</v>
      </c>
      <c r="D7853" s="122" t="str">
        <f>IFERROR(__xludf.DUMMYFUNCTION("""COMPUTED_VALUE"""),"School Savings Bond")</f>
        <v>School Savings Bond</v>
      </c>
      <c r="E7853" s="122">
        <f>IFERROR(__xludf.DUMMYFUNCTION("""COMPUTED_VALUE"""),99.22)</f>
        <v>99.22</v>
      </c>
      <c r="F7853" s="122">
        <f>IFERROR(__xludf.DUMMYFUNCTION("""COMPUTED_VALUE"""),4.0E-4)</f>
        <v>0.0004</v>
      </c>
    </row>
    <row r="7854">
      <c r="A7854" s="131">
        <f>IFERROR(__xludf.DUMMYFUNCTION("""COMPUTED_VALUE"""),46187.6165625)</f>
        <v>46187.61656</v>
      </c>
      <c r="B7854" s="126">
        <f>IFERROR(__xludf.DUMMYFUNCTION("""COMPUTED_VALUE"""),46187.0)</f>
        <v>46187</v>
      </c>
      <c r="C7854" s="122" t="str">
        <f>IFERROR(__xludf.DUMMYFUNCTION("""COMPUTED_VALUE"""),"CBND")</f>
        <v>CBND</v>
      </c>
      <c r="D7854" s="122" t="str">
        <f>IFERROR(__xludf.DUMMYFUNCTION("""COMPUTED_VALUE"""),"Corporate Classroom Bond")</f>
        <v>Corporate Classroom Bond</v>
      </c>
      <c r="E7854" s="122">
        <f>IFERROR(__xludf.DUMMYFUNCTION("""COMPUTED_VALUE"""),97.8)</f>
        <v>97.8</v>
      </c>
      <c r="F7854" s="122">
        <f>IFERROR(__xludf.DUMMYFUNCTION("""COMPUTED_VALUE"""),4.0E-4)</f>
        <v>0.0004</v>
      </c>
    </row>
    <row r="7855">
      <c r="A7855" s="131">
        <f>IFERROR(__xludf.DUMMYFUNCTION("""COMPUTED_VALUE"""),46187.6165625)</f>
        <v>46187.61656</v>
      </c>
      <c r="B7855" s="126">
        <f>IFERROR(__xludf.DUMMYFUNCTION("""COMPUTED_VALUE"""),46187.0)</f>
        <v>46187</v>
      </c>
      <c r="C7855" s="122" t="str">
        <f>IFERROR(__xludf.DUMMYFUNCTION("""COMPUTED_VALUE"""),"TBIL")</f>
        <v>TBIL</v>
      </c>
      <c r="D7855" s="122" t="str">
        <f>IFERROR(__xludf.DUMMYFUNCTION("""COMPUTED_VALUE"""),"Treasury Bill")</f>
        <v>Treasury Bill</v>
      </c>
      <c r="E7855" s="122">
        <f>IFERROR(__xludf.DUMMYFUNCTION("""COMPUTED_VALUE"""),97.68)</f>
        <v>97.68</v>
      </c>
      <c r="F7855" s="122">
        <f>IFERROR(__xludf.DUMMYFUNCTION("""COMPUTED_VALUE"""),1.0E-4)</f>
        <v>0.0001</v>
      </c>
    </row>
    <row r="7856">
      <c r="A7856" s="131">
        <f>IFERROR(__xludf.DUMMYFUNCTION("""COMPUTED_VALUE"""),46187.6165625)</f>
        <v>46187.61656</v>
      </c>
      <c r="B7856" s="126">
        <f>IFERROR(__xludf.DUMMYFUNCTION("""COMPUTED_VALUE"""),46187.0)</f>
        <v>46187</v>
      </c>
      <c r="C7856" s="122" t="str">
        <f>IFERROR(__xludf.DUMMYFUNCTION("""COMPUTED_VALUE"""),"IBND")</f>
        <v>IBND</v>
      </c>
      <c r="D7856" s="122" t="str">
        <f>IFERROR(__xludf.DUMMYFUNCTION("""COMPUTED_VALUE"""),"Inflation Protected Bond")</f>
        <v>Inflation Protected Bond</v>
      </c>
      <c r="E7856" s="122">
        <f>IFERROR(__xludf.DUMMYFUNCTION("""COMPUTED_VALUE"""),100.82)</f>
        <v>100.82</v>
      </c>
      <c r="F7856" s="122">
        <f>IFERROR(__xludf.DUMMYFUNCTION("""COMPUTED_VALUE"""),3.0E-4)</f>
        <v>0.0003</v>
      </c>
    </row>
    <row r="7857">
      <c r="A7857" s="131">
        <f>IFERROR(__xludf.DUMMYFUNCTION("""COMPUTED_VALUE"""),46187.61756944445)</f>
        <v>46187.61757</v>
      </c>
      <c r="B7857" s="126">
        <f>IFERROR(__xludf.DUMMYFUNCTION("""COMPUTED_VALUE"""),46187.0)</f>
        <v>46187</v>
      </c>
      <c r="C7857" s="130">
        <f>IFERROR(__xludf.DUMMYFUNCTION("""COMPUTED_VALUE"""),0.6175694444444444)</f>
        <v>0.6175694444</v>
      </c>
      <c r="D7857" s="122" t="str">
        <f>IFERROR(__xludf.DUMMYFUNCTION("""COMPUTED_VALUE"""),"SNAX")</f>
        <v>SNAX</v>
      </c>
      <c r="E7857" s="122" t="str">
        <f>IFERROR(__xludf.DUMMYFUNCTION("""COMPUTED_VALUE"""),"MICA Snacks")</f>
        <v>MICA Snacks</v>
      </c>
      <c r="F7857" s="122" t="str">
        <f>IFERROR(__xludf.DUMMYFUNCTION("""COMPUTED_VALUE"""),"Consumer Goods")</f>
        <v>Consumer Goods</v>
      </c>
    </row>
    <row r="7858">
      <c r="A7858" s="131">
        <f>IFERROR(__xludf.DUMMYFUNCTION("""COMPUTED_VALUE"""),46187.61756944445)</f>
        <v>46187.61757</v>
      </c>
      <c r="B7858" s="126">
        <f>IFERROR(__xludf.DUMMYFUNCTION("""COMPUTED_VALUE"""),46187.0)</f>
        <v>46187</v>
      </c>
      <c r="C7858" s="130">
        <f>IFERROR(__xludf.DUMMYFUNCTION("""COMPUTED_VALUE"""),0.6175694444444444)</f>
        <v>0.6175694444</v>
      </c>
      <c r="D7858" s="122" t="str">
        <f>IFERROR(__xludf.DUMMYFUNCTION("""COMPUTED_VALUE"""),"RAMN")</f>
        <v>RAMN</v>
      </c>
      <c r="E7858" s="122" t="str">
        <f>IFERROR(__xludf.DUMMYFUNCTION("""COMPUTED_VALUE"""),"Ramen Republic")</f>
        <v>Ramen Republic</v>
      </c>
      <c r="F7858" s="122" t="str">
        <f>IFERROR(__xludf.DUMMYFUNCTION("""COMPUTED_VALUE"""),"Food")</f>
        <v>Food</v>
      </c>
    </row>
    <row r="7859">
      <c r="A7859" s="131">
        <f>IFERROR(__xludf.DUMMYFUNCTION("""COMPUTED_VALUE"""),46187.61756944445)</f>
        <v>46187.61757</v>
      </c>
      <c r="B7859" s="126">
        <f>IFERROR(__xludf.DUMMYFUNCTION("""COMPUTED_VALUE"""),46187.0)</f>
        <v>46187</v>
      </c>
      <c r="C7859" s="130">
        <f>IFERROR(__xludf.DUMMYFUNCTION("""COMPUTED_VALUE"""),0.6175694444444444)</f>
        <v>0.6175694444</v>
      </c>
      <c r="D7859" s="122" t="str">
        <f>IFERROR(__xludf.DUMMYFUNCTION("""COMPUTED_VALUE"""),"COLA")</f>
        <v>COLA</v>
      </c>
      <c r="E7859" s="122" t="str">
        <f>IFERROR(__xludf.DUMMYFUNCTION("""COMPUTED_VALUE"""),"K-Pop Cola")</f>
        <v>K-Pop Cola</v>
      </c>
      <c r="F7859" s="122" t="str">
        <f>IFERROR(__xludf.DUMMYFUNCTION("""COMPUTED_VALUE"""),"Beverage")</f>
        <v>Beverage</v>
      </c>
    </row>
    <row r="7860">
      <c r="A7860" s="131">
        <f>IFERROR(__xludf.DUMMYFUNCTION("""COMPUTED_VALUE"""),46187.61756944445)</f>
        <v>46187.61757</v>
      </c>
      <c r="B7860" s="126">
        <f>IFERROR(__xludf.DUMMYFUNCTION("""COMPUTED_VALUE"""),46187.0)</f>
        <v>46187</v>
      </c>
      <c r="C7860" s="130">
        <f>IFERROR(__xludf.DUMMYFUNCTION("""COMPUTED_VALUE"""),0.6175694444444444)</f>
        <v>0.6175694444</v>
      </c>
      <c r="D7860" s="122" t="str">
        <f>IFERROR(__xludf.DUMMYFUNCTION("""COMPUTED_VALUE"""),"CHIP")</f>
        <v>CHIP</v>
      </c>
      <c r="E7860" s="122" t="str">
        <f>IFERROR(__xludf.DUMMYFUNCTION("""COMPUTED_VALUE"""),"Chip Empire")</f>
        <v>Chip Empire</v>
      </c>
      <c r="F7860" s="122" t="str">
        <f>IFERROR(__xludf.DUMMYFUNCTION("""COMPUTED_VALUE"""),"Consumer Goods")</f>
        <v>Consumer Goods</v>
      </c>
    </row>
    <row r="7861">
      <c r="A7861" s="131">
        <f>IFERROR(__xludf.DUMMYFUNCTION("""COMPUTED_VALUE"""),46187.61756944445)</f>
        <v>46187.61757</v>
      </c>
      <c r="B7861" s="126">
        <f>IFERROR(__xludf.DUMMYFUNCTION("""COMPUTED_VALUE"""),46187.0)</f>
        <v>46187</v>
      </c>
      <c r="C7861" s="130">
        <f>IFERROR(__xludf.DUMMYFUNCTION("""COMPUTED_VALUE"""),0.6175694444444444)</f>
        <v>0.6175694444</v>
      </c>
      <c r="D7861" s="122" t="str">
        <f>IFERROR(__xludf.DUMMYFUNCTION("""COMPUTED_VALUE"""),"CAND")</f>
        <v>CAND</v>
      </c>
      <c r="E7861" s="122" t="str">
        <f>IFERROR(__xludf.DUMMYFUNCTION("""COMPUTED_VALUE"""),"Candy Capital")</f>
        <v>Candy Capital</v>
      </c>
      <c r="F7861" s="122" t="str">
        <f>IFERROR(__xludf.DUMMYFUNCTION("""COMPUTED_VALUE"""),"Consumer Goods")</f>
        <v>Consumer Goods</v>
      </c>
    </row>
    <row r="7862">
      <c r="A7862" s="131">
        <f>IFERROR(__xludf.DUMMYFUNCTION("""COMPUTED_VALUE"""),46187.61756944445)</f>
        <v>46187.61757</v>
      </c>
      <c r="B7862" s="126">
        <f>IFERROR(__xludf.DUMMYFUNCTION("""COMPUTED_VALUE"""),46187.0)</f>
        <v>46187</v>
      </c>
      <c r="C7862" s="130">
        <f>IFERROR(__xludf.DUMMYFUNCTION("""COMPUTED_VALUE"""),0.6175694444444444)</f>
        <v>0.6175694444</v>
      </c>
      <c r="D7862" s="122" t="str">
        <f>IFERROR(__xludf.DUMMYFUNCTION("""COMPUTED_VALUE"""),"TECH")</f>
        <v>TECH</v>
      </c>
      <c r="E7862" s="122" t="str">
        <f>IFERROR(__xludf.DUMMYFUNCTION("""COMPUTED_VALUE"""),"Dragon Tech")</f>
        <v>Dragon Tech</v>
      </c>
      <c r="F7862" s="122" t="str">
        <f>IFERROR(__xludf.DUMMYFUNCTION("""COMPUTED_VALUE"""),"Technology")</f>
        <v>Technology</v>
      </c>
    </row>
    <row r="7863">
      <c r="A7863" s="131">
        <f>IFERROR(__xludf.DUMMYFUNCTION("""COMPUTED_VALUE"""),46187.61756944445)</f>
        <v>46187.61757</v>
      </c>
      <c r="B7863" s="126">
        <f>IFERROR(__xludf.DUMMYFUNCTION("""COMPUTED_VALUE"""),46187.0)</f>
        <v>46187</v>
      </c>
      <c r="C7863" s="130">
        <f>IFERROR(__xludf.DUMMYFUNCTION("""COMPUTED_VALUE"""),0.6175694444444444)</f>
        <v>0.6175694444</v>
      </c>
      <c r="D7863" s="122" t="str">
        <f>IFERROR(__xludf.DUMMYFUNCTION("""COMPUTED_VALUE"""),"AIBO")</f>
        <v>AIBO</v>
      </c>
      <c r="E7863" s="122" t="str">
        <f>IFERROR(__xludf.DUMMYFUNCTION("""COMPUTED_VALUE"""),"Homework AI")</f>
        <v>Homework AI</v>
      </c>
      <c r="F7863" s="122" t="str">
        <f>IFERROR(__xludf.DUMMYFUNCTION("""COMPUTED_VALUE"""),"Technology")</f>
        <v>Technology</v>
      </c>
    </row>
    <row r="7864">
      <c r="A7864" s="131">
        <f>IFERROR(__xludf.DUMMYFUNCTION("""COMPUTED_VALUE"""),46187.61756944445)</f>
        <v>46187.61757</v>
      </c>
      <c r="B7864" s="126">
        <f>IFERROR(__xludf.DUMMYFUNCTION("""COMPUTED_VALUE"""),46187.0)</f>
        <v>46187</v>
      </c>
      <c r="C7864" s="130">
        <f>IFERROR(__xludf.DUMMYFUNCTION("""COMPUTED_VALUE"""),0.6175694444444444)</f>
        <v>0.6175694444</v>
      </c>
      <c r="D7864" s="122" t="str">
        <f>IFERROR(__xludf.DUMMYFUNCTION("""COMPUTED_VALUE"""),"GAME")</f>
        <v>GAME</v>
      </c>
      <c r="E7864" s="122" t="str">
        <f>IFERROR(__xludf.DUMMYFUNCTION("""COMPUTED_VALUE"""),"GameBox Media")</f>
        <v>GameBox Media</v>
      </c>
      <c r="F7864" s="122" t="str">
        <f>IFERROR(__xludf.DUMMYFUNCTION("""COMPUTED_VALUE"""),"Entertainment")</f>
        <v>Entertainment</v>
      </c>
    </row>
    <row r="7865">
      <c r="A7865" s="131">
        <f>IFERROR(__xludf.DUMMYFUNCTION("""COMPUTED_VALUE"""),46187.61756944445)</f>
        <v>46187.61757</v>
      </c>
      <c r="B7865" s="126">
        <f>IFERROR(__xludf.DUMMYFUNCTION("""COMPUTED_VALUE"""),46187.0)</f>
        <v>46187</v>
      </c>
      <c r="C7865" s="130">
        <f>IFERROR(__xludf.DUMMYFUNCTION("""COMPUTED_VALUE"""),0.6175694444444444)</f>
        <v>0.6175694444</v>
      </c>
      <c r="D7865" s="122" t="str">
        <f>IFERROR(__xludf.DUMMYFUNCTION("""COMPUTED_VALUE"""),"VRSE")</f>
        <v>VRSE</v>
      </c>
      <c r="E7865" s="122" t="str">
        <f>IFERROR(__xludf.DUMMYFUNCTION("""COMPUTED_VALUE"""),"VerseVR")</f>
        <v>VerseVR</v>
      </c>
      <c r="F7865" s="122" t="str">
        <f>IFERROR(__xludf.DUMMYFUNCTION("""COMPUTED_VALUE"""),"Technology")</f>
        <v>Technology</v>
      </c>
    </row>
    <row r="7866">
      <c r="A7866" s="131">
        <f>IFERROR(__xludf.DUMMYFUNCTION("""COMPUTED_VALUE"""),46187.61756944445)</f>
        <v>46187.61757</v>
      </c>
      <c r="B7866" s="126">
        <f>IFERROR(__xludf.DUMMYFUNCTION("""COMPUTED_VALUE"""),46187.0)</f>
        <v>46187</v>
      </c>
      <c r="C7866" s="130">
        <f>IFERROR(__xludf.DUMMYFUNCTION("""COMPUTED_VALUE"""),0.6175694444444444)</f>
        <v>0.6175694444</v>
      </c>
      <c r="D7866" s="122" t="str">
        <f>IFERROR(__xludf.DUMMYFUNCTION("""COMPUTED_VALUE"""),"BYTE")</f>
        <v>BYTE</v>
      </c>
      <c r="E7866" s="122" t="str">
        <f>IFERROR(__xludf.DUMMYFUNCTION("""COMPUTED_VALUE"""),"ByteWorks")</f>
        <v>ByteWorks</v>
      </c>
      <c r="F7866" s="122" t="str">
        <f>IFERROR(__xludf.DUMMYFUNCTION("""COMPUTED_VALUE"""),"Technology")</f>
        <v>Technology</v>
      </c>
    </row>
    <row r="7867">
      <c r="A7867" s="131">
        <f>IFERROR(__xludf.DUMMYFUNCTION("""COMPUTED_VALUE"""),46187.61756944445)</f>
        <v>46187.61757</v>
      </c>
      <c r="B7867" s="126">
        <f>IFERROR(__xludf.DUMMYFUNCTION("""COMPUTED_VALUE"""),46187.0)</f>
        <v>46187</v>
      </c>
      <c r="C7867" s="130">
        <f>IFERROR(__xludf.DUMMYFUNCTION("""COMPUTED_VALUE"""),0.6175694444444444)</f>
        <v>0.6175694444</v>
      </c>
      <c r="D7867" s="122" t="str">
        <f>IFERROR(__xludf.DUMMYFUNCTION("""COMPUTED_VALUE"""),"BANK")</f>
        <v>BANK</v>
      </c>
      <c r="E7867" s="122" t="str">
        <f>IFERROR(__xludf.DUMMYFUNCTION("""COMPUTED_VALUE"""),"Tiger Bank")</f>
        <v>Tiger Bank</v>
      </c>
      <c r="F7867" s="122" t="str">
        <f>IFERROR(__xludf.DUMMYFUNCTION("""COMPUTED_VALUE"""),"Finance")</f>
        <v>Finance</v>
      </c>
    </row>
    <row r="7868">
      <c r="A7868" s="131">
        <f>IFERROR(__xludf.DUMMYFUNCTION("""COMPUTED_VALUE"""),46187.61756944445)</f>
        <v>46187.61757</v>
      </c>
      <c r="B7868" s="126">
        <f>IFERROR(__xludf.DUMMYFUNCTION("""COMPUTED_VALUE"""),46187.0)</f>
        <v>46187</v>
      </c>
      <c r="C7868" s="130">
        <f>IFERROR(__xludf.DUMMYFUNCTION("""COMPUTED_VALUE"""),0.6175694444444444)</f>
        <v>0.6175694444</v>
      </c>
      <c r="D7868" s="122" t="str">
        <f>IFERROR(__xludf.DUMMYFUNCTION("""COMPUTED_VALUE"""),"CRED")</f>
        <v>CRED</v>
      </c>
      <c r="E7868" s="122" t="str">
        <f>IFERROR(__xludf.DUMMYFUNCTION("""COMPUTED_VALUE"""),"Credit Castle")</f>
        <v>Credit Castle</v>
      </c>
      <c r="F7868" s="122" t="str">
        <f>IFERROR(__xludf.DUMMYFUNCTION("""COMPUTED_VALUE"""),"Finance")</f>
        <v>Finance</v>
      </c>
    </row>
    <row r="7869">
      <c r="A7869" s="131">
        <f>IFERROR(__xludf.DUMMYFUNCTION("""COMPUTED_VALUE"""),46187.61756944445)</f>
        <v>46187.61757</v>
      </c>
      <c r="B7869" s="126">
        <f>IFERROR(__xludf.DUMMYFUNCTION("""COMPUTED_VALUE"""),46187.0)</f>
        <v>46187</v>
      </c>
      <c r="C7869" s="130">
        <f>IFERROR(__xludf.DUMMYFUNCTION("""COMPUTED_VALUE"""),0.6175694444444444)</f>
        <v>0.6175694444</v>
      </c>
      <c r="D7869" s="122" t="str">
        <f>IFERROR(__xludf.DUMMYFUNCTION("""COMPUTED_VALUE"""),"BOND")</f>
        <v>BOND</v>
      </c>
      <c r="E7869" s="122" t="str">
        <f>IFERROR(__xludf.DUMMYFUNCTION("""COMPUTED_VALUE"""),"BondBridge")</f>
        <v>BondBridge</v>
      </c>
      <c r="F7869" s="122" t="str">
        <f>IFERROR(__xludf.DUMMYFUNCTION("""COMPUTED_VALUE"""),"Finance")</f>
        <v>Finance</v>
      </c>
    </row>
    <row r="7870">
      <c r="A7870" s="131">
        <f>IFERROR(__xludf.DUMMYFUNCTION("""COMPUTED_VALUE"""),46187.61756944445)</f>
        <v>46187.61757</v>
      </c>
      <c r="B7870" s="126">
        <f>IFERROR(__xludf.DUMMYFUNCTION("""COMPUTED_VALUE"""),46187.0)</f>
        <v>46187</v>
      </c>
      <c r="C7870" s="130">
        <f>IFERROR(__xludf.DUMMYFUNCTION("""COMPUTED_VALUE"""),0.6175694444444444)</f>
        <v>0.6175694444</v>
      </c>
      <c r="D7870" s="122" t="str">
        <f>IFERROR(__xludf.DUMMYFUNCTION("""COMPUTED_VALUE"""),"INSR")</f>
        <v>INSR</v>
      </c>
      <c r="E7870" s="122" t="str">
        <f>IFERROR(__xludf.DUMMYFUNCTION("""COMPUTED_VALUE"""),"Shield Insurance")</f>
        <v>Shield Insurance</v>
      </c>
      <c r="F7870" s="122" t="str">
        <f>IFERROR(__xludf.DUMMYFUNCTION("""COMPUTED_VALUE"""),"Finance")</f>
        <v>Finance</v>
      </c>
    </row>
    <row r="7871">
      <c r="A7871" s="131">
        <f>IFERROR(__xludf.DUMMYFUNCTION("""COMPUTED_VALUE"""),46187.61756944445)</f>
        <v>46187.61757</v>
      </c>
      <c r="B7871" s="126">
        <f>IFERROR(__xludf.DUMMYFUNCTION("""COMPUTED_VALUE"""),46187.0)</f>
        <v>46187</v>
      </c>
      <c r="C7871" s="130">
        <f>IFERROR(__xludf.DUMMYFUNCTION("""COMPUTED_VALUE"""),0.6175694444444444)</f>
        <v>0.6175694444</v>
      </c>
      <c r="D7871" s="122" t="str">
        <f>IFERROR(__xludf.DUMMYFUNCTION("""COMPUTED_VALUE"""),"LOAN")</f>
        <v>LOAN</v>
      </c>
      <c r="E7871" s="122" t="str">
        <f>IFERROR(__xludf.DUMMYFUNCTION("""COMPUTED_VALUE"""),"LoanLab")</f>
        <v>LoanLab</v>
      </c>
      <c r="F7871" s="122" t="str">
        <f>IFERROR(__xludf.DUMMYFUNCTION("""COMPUTED_VALUE"""),"Finance")</f>
        <v>Finance</v>
      </c>
    </row>
    <row r="7872">
      <c r="A7872" s="131">
        <f>IFERROR(__xludf.DUMMYFUNCTION("""COMPUTED_VALUE"""),46187.61756944445)</f>
        <v>46187.61757</v>
      </c>
      <c r="B7872" s="126">
        <f>IFERROR(__xludf.DUMMYFUNCTION("""COMPUTED_VALUE"""),46187.0)</f>
        <v>46187</v>
      </c>
      <c r="C7872" s="130">
        <f>IFERROR(__xludf.DUMMYFUNCTION("""COMPUTED_VALUE"""),0.6175694444444444)</f>
        <v>0.6175694444</v>
      </c>
      <c r="D7872" s="122" t="str">
        <f>IFERROR(__xludf.DUMMYFUNCTION("""COMPUTED_VALUE"""),"LUXE")</f>
        <v>LUXE</v>
      </c>
      <c r="E7872" s="122" t="str">
        <f>IFERROR(__xludf.DUMMYFUNCTION("""COMPUTED_VALUE"""),"Luxury Locker")</f>
        <v>Luxury Locker</v>
      </c>
      <c r="F7872" s="122" t="str">
        <f>IFERROR(__xludf.DUMMYFUNCTION("""COMPUTED_VALUE"""),"Luxury Goods")</f>
        <v>Luxury Goods</v>
      </c>
    </row>
    <row r="7873">
      <c r="A7873" s="131">
        <f>IFERROR(__xludf.DUMMYFUNCTION("""COMPUTED_VALUE"""),46187.61756944445)</f>
        <v>46187.61757</v>
      </c>
      <c r="B7873" s="126">
        <f>IFERROR(__xludf.DUMMYFUNCTION("""COMPUTED_VALUE"""),46187.0)</f>
        <v>46187</v>
      </c>
      <c r="C7873" s="130">
        <f>IFERROR(__xludf.DUMMYFUNCTION("""COMPUTED_VALUE"""),0.6175694444444444)</f>
        <v>0.6175694444</v>
      </c>
      <c r="D7873" s="122" t="str">
        <f>IFERROR(__xludf.DUMMYFUNCTION("""COMPUTED_VALUE"""),"DRIP")</f>
        <v>DRIP</v>
      </c>
      <c r="E7873" s="122" t="str">
        <f>IFERROR(__xludf.DUMMYFUNCTION("""COMPUTED_VALUE"""),"Drip Streetwear")</f>
        <v>Drip Streetwear</v>
      </c>
      <c r="F7873" s="122" t="str">
        <f>IFERROR(__xludf.DUMMYFUNCTION("""COMPUTED_VALUE"""),"Fashion")</f>
        <v>Fashion</v>
      </c>
    </row>
    <row r="7874">
      <c r="A7874" s="131">
        <f>IFERROR(__xludf.DUMMYFUNCTION("""COMPUTED_VALUE"""),46187.61756944445)</f>
        <v>46187.61757</v>
      </c>
      <c r="B7874" s="126">
        <f>IFERROR(__xludf.DUMMYFUNCTION("""COMPUTED_VALUE"""),46187.0)</f>
        <v>46187</v>
      </c>
      <c r="C7874" s="130">
        <f>IFERROR(__xludf.DUMMYFUNCTION("""COMPUTED_VALUE"""),0.6175694444444444)</f>
        <v>0.6175694444</v>
      </c>
      <c r="D7874" s="122" t="str">
        <f>IFERROR(__xludf.DUMMYFUNCTION("""COMPUTED_VALUE"""),"KICK")</f>
        <v>KICK</v>
      </c>
      <c r="E7874" s="122" t="str">
        <f>IFERROR(__xludf.DUMMYFUNCTION("""COMPUTED_VALUE"""),"KickDrop Sneakers")</f>
        <v>KickDrop Sneakers</v>
      </c>
      <c r="F7874" s="122" t="str">
        <f>IFERROR(__xludf.DUMMYFUNCTION("""COMPUTED_VALUE"""),"Fashion")</f>
        <v>Fashion</v>
      </c>
    </row>
    <row r="7875">
      <c r="A7875" s="131">
        <f>IFERROR(__xludf.DUMMYFUNCTION("""COMPUTED_VALUE"""),46187.61756944445)</f>
        <v>46187.61757</v>
      </c>
      <c r="B7875" s="126">
        <f>IFERROR(__xludf.DUMMYFUNCTION("""COMPUTED_VALUE"""),46187.0)</f>
        <v>46187</v>
      </c>
      <c r="C7875" s="130">
        <f>IFERROR(__xludf.DUMMYFUNCTION("""COMPUTED_VALUE"""),0.6175694444444444)</f>
        <v>0.6175694444</v>
      </c>
      <c r="D7875" s="122" t="str">
        <f>IFERROR(__xludf.DUMMYFUNCTION("""COMPUTED_VALUE"""),"GLAM")</f>
        <v>GLAM</v>
      </c>
      <c r="E7875" s="122" t="str">
        <f>IFERROR(__xludf.DUMMYFUNCTION("""COMPUTED_VALUE"""),"Glow Cosmetics")</f>
        <v>Glow Cosmetics</v>
      </c>
      <c r="F7875" s="122" t="str">
        <f>IFERROR(__xludf.DUMMYFUNCTION("""COMPUTED_VALUE"""),"Fashion")</f>
        <v>Fashion</v>
      </c>
    </row>
    <row r="7876">
      <c r="A7876" s="131">
        <f>IFERROR(__xludf.DUMMYFUNCTION("""COMPUTED_VALUE"""),46187.61756944445)</f>
        <v>46187.61757</v>
      </c>
      <c r="B7876" s="126">
        <f>IFERROR(__xludf.DUMMYFUNCTION("""COMPUTED_VALUE"""),46187.0)</f>
        <v>46187</v>
      </c>
      <c r="C7876" s="130">
        <f>IFERROR(__xludf.DUMMYFUNCTION("""COMPUTED_VALUE"""),0.6175694444444444)</f>
        <v>0.6175694444</v>
      </c>
      <c r="D7876" s="122" t="str">
        <f>IFERROR(__xludf.DUMMYFUNCTION("""COMPUTED_VALUE"""),"BAGG")</f>
        <v>BAGG</v>
      </c>
      <c r="E7876" s="122" t="str">
        <f>IFERROR(__xludf.DUMMYFUNCTION("""COMPUTED_VALUE"""),"BagVault")</f>
        <v>BagVault</v>
      </c>
      <c r="F7876" s="122" t="str">
        <f>IFERROR(__xludf.DUMMYFUNCTION("""COMPUTED_VALUE"""),"Fashion")</f>
        <v>Fashion</v>
      </c>
    </row>
    <row r="7877">
      <c r="A7877" s="131">
        <f>IFERROR(__xludf.DUMMYFUNCTION("""COMPUTED_VALUE"""),46187.61756944445)</f>
        <v>46187.61757</v>
      </c>
      <c r="B7877" s="126">
        <f>IFERROR(__xludf.DUMMYFUNCTION("""COMPUTED_VALUE"""),46187.0)</f>
        <v>46187</v>
      </c>
      <c r="C7877" s="130">
        <f>IFERROR(__xludf.DUMMYFUNCTION("""COMPUTED_VALUE"""),0.6175694444444444)</f>
        <v>0.6175694444</v>
      </c>
      <c r="D7877" s="122" t="str">
        <f>IFERROR(__xludf.DUMMYFUNCTION("""COMPUTED_VALUE"""),"FAST")</f>
        <v>FAST</v>
      </c>
      <c r="E7877" s="122" t="str">
        <f>IFERROR(__xludf.DUMMYFUNCTION("""COMPUTED_VALUE"""),"Flash Logistics")</f>
        <v>Flash Logistics</v>
      </c>
      <c r="F7877" s="122" t="str">
        <f>IFERROR(__xludf.DUMMYFUNCTION("""COMPUTED_VALUE"""),"Logistics")</f>
        <v>Logistics</v>
      </c>
    </row>
    <row r="7878">
      <c r="A7878" s="131">
        <f>IFERROR(__xludf.DUMMYFUNCTION("""COMPUTED_VALUE"""),46187.61756944445)</f>
        <v>46187.61757</v>
      </c>
      <c r="B7878" s="126">
        <f>IFERROR(__xludf.DUMMYFUNCTION("""COMPUTED_VALUE"""),46187.0)</f>
        <v>46187</v>
      </c>
      <c r="C7878" s="130">
        <f>IFERROR(__xludf.DUMMYFUNCTION("""COMPUTED_VALUE"""),0.6175694444444444)</f>
        <v>0.6175694444</v>
      </c>
      <c r="D7878" s="122" t="str">
        <f>IFERROR(__xludf.DUMMYFUNCTION("""COMPUTED_VALUE"""),"SHIP")</f>
        <v>SHIP</v>
      </c>
      <c r="E7878" s="122" t="str">
        <f>IFERROR(__xludf.DUMMYFUNCTION("""COMPUTED_VALUE"""),"Seoul Shipping")</f>
        <v>Seoul Shipping</v>
      </c>
      <c r="F7878" s="122" t="str">
        <f>IFERROR(__xludf.DUMMYFUNCTION("""COMPUTED_VALUE"""),"Logistics")</f>
        <v>Logistics</v>
      </c>
    </row>
    <row r="7879">
      <c r="A7879" s="131">
        <f>IFERROR(__xludf.DUMMYFUNCTION("""COMPUTED_VALUE"""),46187.61756944445)</f>
        <v>46187.61757</v>
      </c>
      <c r="B7879" s="126">
        <f>IFERROR(__xludf.DUMMYFUNCTION("""COMPUTED_VALUE"""),46187.0)</f>
        <v>46187</v>
      </c>
      <c r="C7879" s="130">
        <f>IFERROR(__xludf.DUMMYFUNCTION("""COMPUTED_VALUE"""),0.6175694444444444)</f>
        <v>0.6175694444</v>
      </c>
      <c r="D7879" s="122" t="str">
        <f>IFERROR(__xludf.DUMMYFUNCTION("""COMPUTED_VALUE"""),"DRON")</f>
        <v>DRON</v>
      </c>
      <c r="E7879" s="122" t="str">
        <f>IFERROR(__xludf.DUMMYFUNCTION("""COMPUTED_VALUE"""),"DroneDrop")</f>
        <v>DroneDrop</v>
      </c>
      <c r="F7879" s="122" t="str">
        <f>IFERROR(__xludf.DUMMYFUNCTION("""COMPUTED_VALUE"""),"Logistics")</f>
        <v>Logistics</v>
      </c>
    </row>
    <row r="7880">
      <c r="A7880" s="131">
        <f>IFERROR(__xludf.DUMMYFUNCTION("""COMPUTED_VALUE"""),46187.61756944445)</f>
        <v>46187.61757</v>
      </c>
      <c r="B7880" s="126">
        <f>IFERROR(__xludf.DUMMYFUNCTION("""COMPUTED_VALUE"""),46187.0)</f>
        <v>46187</v>
      </c>
      <c r="C7880" s="130">
        <f>IFERROR(__xludf.DUMMYFUNCTION("""COMPUTED_VALUE"""),0.6175694444444444)</f>
        <v>0.6175694444</v>
      </c>
      <c r="D7880" s="122" t="str">
        <f>IFERROR(__xludf.DUMMYFUNCTION("""COMPUTED_VALUE"""),"RIDE")</f>
        <v>RIDE</v>
      </c>
      <c r="E7880" s="122" t="str">
        <f>IFERROR(__xludf.DUMMYFUNCTION("""COMPUTED_VALUE"""),"QuickRide")</f>
        <v>QuickRide</v>
      </c>
      <c r="F7880" s="122" t="str">
        <f>IFERROR(__xludf.DUMMYFUNCTION("""COMPUTED_VALUE"""),"Transportation")</f>
        <v>Transportation</v>
      </c>
    </row>
    <row r="7881">
      <c r="A7881" s="131">
        <f>IFERROR(__xludf.DUMMYFUNCTION("""COMPUTED_VALUE"""),46187.61756944445)</f>
        <v>46187.61757</v>
      </c>
      <c r="B7881" s="126">
        <f>IFERROR(__xludf.DUMMYFUNCTION("""COMPUTED_VALUE"""),46187.0)</f>
        <v>46187</v>
      </c>
      <c r="C7881" s="130">
        <f>IFERROR(__xludf.DUMMYFUNCTION("""COMPUTED_VALUE"""),0.6175694444444444)</f>
        <v>0.6175694444</v>
      </c>
      <c r="D7881" s="122" t="str">
        <f>IFERROR(__xludf.DUMMYFUNCTION("""COMPUTED_VALUE"""),"RAIL")</f>
        <v>RAIL</v>
      </c>
      <c r="E7881" s="122" t="str">
        <f>IFERROR(__xludf.DUMMYFUNCTION("""COMPUTED_VALUE"""),"MetroRail Corp")</f>
        <v>MetroRail Corp</v>
      </c>
      <c r="F7881" s="122" t="str">
        <f>IFERROR(__xludf.DUMMYFUNCTION("""COMPUTED_VALUE"""),"Transportation")</f>
        <v>Transportation</v>
      </c>
    </row>
    <row r="7882">
      <c r="A7882" s="131">
        <f>IFERROR(__xludf.DUMMYFUNCTION("""COMPUTED_VALUE"""),46187.61756944445)</f>
        <v>46187.61757</v>
      </c>
      <c r="B7882" s="126">
        <f>IFERROR(__xludf.DUMMYFUNCTION("""COMPUTED_VALUE"""),46187.0)</f>
        <v>46187</v>
      </c>
      <c r="C7882" s="130">
        <f>IFERROR(__xludf.DUMMYFUNCTION("""COMPUTED_VALUE"""),0.6175694444444444)</f>
        <v>0.6175694444</v>
      </c>
      <c r="D7882" s="122" t="str">
        <f>IFERROR(__xludf.DUMMYFUNCTION("""COMPUTED_VALUE"""),"MEDX")</f>
        <v>MEDX</v>
      </c>
      <c r="E7882" s="122" t="str">
        <f>IFERROR(__xludf.DUMMYFUNCTION("""COMPUTED_VALUE"""),"MediCore")</f>
        <v>MediCore</v>
      </c>
      <c r="F7882" s="122" t="str">
        <f>IFERROR(__xludf.DUMMYFUNCTION("""COMPUTED_VALUE"""),"Healthcare")</f>
        <v>Healthcare</v>
      </c>
    </row>
    <row r="7883">
      <c r="A7883" s="131">
        <f>IFERROR(__xludf.DUMMYFUNCTION("""COMPUTED_VALUE"""),46187.61756944445)</f>
        <v>46187.61757</v>
      </c>
      <c r="B7883" s="126">
        <f>IFERROR(__xludf.DUMMYFUNCTION("""COMPUTED_VALUE"""),46187.0)</f>
        <v>46187</v>
      </c>
      <c r="C7883" s="130">
        <f>IFERROR(__xludf.DUMMYFUNCTION("""COMPUTED_VALUE"""),0.6175694444444444)</f>
        <v>0.6175694444</v>
      </c>
      <c r="D7883" s="122" t="str">
        <f>IFERROR(__xludf.DUMMYFUNCTION("""COMPUTED_VALUE"""),"GYMX")</f>
        <v>GYMX</v>
      </c>
      <c r="E7883" s="122" t="str">
        <f>IFERROR(__xludf.DUMMYFUNCTION("""COMPUTED_VALUE"""),"GymX Fitness")</f>
        <v>GymX Fitness</v>
      </c>
      <c r="F7883" s="122" t="str">
        <f>IFERROR(__xludf.DUMMYFUNCTION("""COMPUTED_VALUE"""),"Healthcare")</f>
        <v>Healthcare</v>
      </c>
    </row>
    <row r="7884">
      <c r="A7884" s="131">
        <f>IFERROR(__xludf.DUMMYFUNCTION("""COMPUTED_VALUE"""),46187.61756944445)</f>
        <v>46187.61757</v>
      </c>
      <c r="B7884" s="126">
        <f>IFERROR(__xludf.DUMMYFUNCTION("""COMPUTED_VALUE"""),46187.0)</f>
        <v>46187</v>
      </c>
      <c r="C7884" s="130">
        <f>IFERROR(__xludf.DUMMYFUNCTION("""COMPUTED_VALUE"""),0.6175694444444444)</f>
        <v>0.6175694444</v>
      </c>
      <c r="D7884" s="122" t="str">
        <f>IFERROR(__xludf.DUMMYFUNCTION("""COMPUTED_VALUE"""),"VITA")</f>
        <v>VITA</v>
      </c>
      <c r="E7884" s="122" t="str">
        <f>IFERROR(__xludf.DUMMYFUNCTION("""COMPUTED_VALUE"""),"VitaPlus")</f>
        <v>VitaPlus</v>
      </c>
      <c r="F7884" s="122" t="str">
        <f>IFERROR(__xludf.DUMMYFUNCTION("""COMPUTED_VALUE"""),"Healthcare")</f>
        <v>Healthcare</v>
      </c>
    </row>
    <row r="7885">
      <c r="A7885" s="131">
        <f>IFERROR(__xludf.DUMMYFUNCTION("""COMPUTED_VALUE"""),46187.61756944445)</f>
        <v>46187.61757</v>
      </c>
      <c r="B7885" s="126">
        <f>IFERROR(__xludf.DUMMYFUNCTION("""COMPUTED_VALUE"""),46187.0)</f>
        <v>46187</v>
      </c>
      <c r="C7885" s="130">
        <f>IFERROR(__xludf.DUMMYFUNCTION("""COMPUTED_VALUE"""),0.6175694444444444)</f>
        <v>0.6175694444</v>
      </c>
      <c r="D7885" s="122" t="str">
        <f>IFERROR(__xludf.DUMMYFUNCTION("""COMPUTED_VALUE"""),"CARE")</f>
        <v>CARE</v>
      </c>
      <c r="E7885" s="122" t="str">
        <f>IFERROR(__xludf.DUMMYFUNCTION("""COMPUTED_VALUE"""),"CareCloud")</f>
        <v>CareCloud</v>
      </c>
      <c r="F7885" s="122" t="str">
        <f>IFERROR(__xludf.DUMMYFUNCTION("""COMPUTED_VALUE"""),"Healthcare")</f>
        <v>Healthcare</v>
      </c>
    </row>
    <row r="7886">
      <c r="A7886" s="131">
        <f>IFERROR(__xludf.DUMMYFUNCTION("""COMPUTED_VALUE"""),46187.61756944445)</f>
        <v>46187.61757</v>
      </c>
      <c r="B7886" s="126">
        <f>IFERROR(__xludf.DUMMYFUNCTION("""COMPUTED_VALUE"""),46187.0)</f>
        <v>46187</v>
      </c>
      <c r="C7886" s="130">
        <f>IFERROR(__xludf.DUMMYFUNCTION("""COMPUTED_VALUE"""),0.6175694444444444)</f>
        <v>0.6175694444</v>
      </c>
      <c r="D7886" s="122" t="str">
        <f>IFERROR(__xludf.DUMMYFUNCTION("""COMPUTED_VALUE"""),"DENT")</f>
        <v>DENT</v>
      </c>
      <c r="E7886" s="122" t="str">
        <f>IFERROR(__xludf.DUMMYFUNCTION("""COMPUTED_VALUE"""),"SmileWorks")</f>
        <v>SmileWorks</v>
      </c>
      <c r="F7886" s="122" t="str">
        <f>IFERROR(__xludf.DUMMYFUNCTION("""COMPUTED_VALUE"""),"Healthcare")</f>
        <v>Healthcare</v>
      </c>
    </row>
    <row r="7887">
      <c r="A7887" s="131">
        <f>IFERROR(__xludf.DUMMYFUNCTION("""COMPUTED_VALUE"""),46187.61756944445)</f>
        <v>46187.61757</v>
      </c>
      <c r="B7887" s="126">
        <f>IFERROR(__xludf.DUMMYFUNCTION("""COMPUTED_VALUE"""),46187.0)</f>
        <v>46187</v>
      </c>
      <c r="C7887" s="130">
        <f>IFERROR(__xludf.DUMMYFUNCTION("""COMPUTED_VALUE"""),0.6175694444444444)</f>
        <v>0.6175694444</v>
      </c>
      <c r="D7887" s="122" t="str">
        <f>IFERROR(__xludf.DUMMYFUNCTION("""COMPUTED_VALUE"""),"EDUX")</f>
        <v>EDUX</v>
      </c>
      <c r="E7887" s="122" t="str">
        <f>IFERROR(__xludf.DUMMYFUNCTION("""COMPUTED_VALUE"""),"EduMax Learning")</f>
        <v>EduMax Learning</v>
      </c>
      <c r="F7887" s="122" t="str">
        <f>IFERROR(__xludf.DUMMYFUNCTION("""COMPUTED_VALUE"""),"Education")</f>
        <v>Education</v>
      </c>
    </row>
    <row r="7888">
      <c r="A7888" s="131">
        <f>IFERROR(__xludf.DUMMYFUNCTION("""COMPUTED_VALUE"""),46187.61756944445)</f>
        <v>46187.61757</v>
      </c>
      <c r="B7888" s="126">
        <f>IFERROR(__xludf.DUMMYFUNCTION("""COMPUTED_VALUE"""),46187.0)</f>
        <v>46187</v>
      </c>
      <c r="C7888" s="130">
        <f>IFERROR(__xludf.DUMMYFUNCTION("""COMPUTED_VALUE"""),0.6175694444444444)</f>
        <v>0.6175694444</v>
      </c>
      <c r="D7888" s="122" t="str">
        <f>IFERROR(__xludf.DUMMYFUNCTION("""COMPUTED_VALUE"""),"BOOK")</f>
        <v>BOOK</v>
      </c>
      <c r="E7888" s="122" t="str">
        <f>IFERROR(__xludf.DUMMYFUNCTION("""COMPUTED_VALUE"""),"BookBridge")</f>
        <v>BookBridge</v>
      </c>
      <c r="F7888" s="122" t="str">
        <f>IFERROR(__xludf.DUMMYFUNCTION("""COMPUTED_VALUE"""),"Education")</f>
        <v>Education</v>
      </c>
    </row>
    <row r="7889">
      <c r="A7889" s="131">
        <f>IFERROR(__xludf.DUMMYFUNCTION("""COMPUTED_VALUE"""),46187.61756944445)</f>
        <v>46187.61757</v>
      </c>
      <c r="B7889" s="126">
        <f>IFERROR(__xludf.DUMMYFUNCTION("""COMPUTED_VALUE"""),46187.0)</f>
        <v>46187</v>
      </c>
      <c r="C7889" s="130">
        <f>IFERROR(__xludf.DUMMYFUNCTION("""COMPUTED_VALUE"""),0.6175694444444444)</f>
        <v>0.6175694444</v>
      </c>
      <c r="D7889" s="122" t="str">
        <f>IFERROR(__xludf.DUMMYFUNCTION("""COMPUTED_VALUE"""),"TUTR")</f>
        <v>TUTR</v>
      </c>
      <c r="E7889" s="122" t="str">
        <f>IFERROR(__xludf.DUMMYFUNCTION("""COMPUTED_VALUE"""),"TutorTown")</f>
        <v>TutorTown</v>
      </c>
      <c r="F7889" s="122" t="str">
        <f>IFERROR(__xludf.DUMMYFUNCTION("""COMPUTED_VALUE"""),"Education")</f>
        <v>Education</v>
      </c>
    </row>
    <row r="7890">
      <c r="A7890" s="131">
        <f>IFERROR(__xludf.DUMMYFUNCTION("""COMPUTED_VALUE"""),46187.61756944445)</f>
        <v>46187.61757</v>
      </c>
      <c r="B7890" s="126">
        <f>IFERROR(__xludf.DUMMYFUNCTION("""COMPUTED_VALUE"""),46187.0)</f>
        <v>46187</v>
      </c>
      <c r="C7890" s="130">
        <f>IFERROR(__xludf.DUMMYFUNCTION("""COMPUTED_VALUE"""),0.6175694444444444)</f>
        <v>0.6175694444</v>
      </c>
      <c r="D7890" s="122" t="str">
        <f>IFERROR(__xludf.DUMMYFUNCTION("""COMPUTED_VALUE"""),"LANG")</f>
        <v>LANG</v>
      </c>
      <c r="E7890" s="122" t="str">
        <f>IFERROR(__xludf.DUMMYFUNCTION("""COMPUTED_VALUE"""),"LinguaLab")</f>
        <v>LinguaLab</v>
      </c>
      <c r="F7890" s="122" t="str">
        <f>IFERROR(__xludf.DUMMYFUNCTION("""COMPUTED_VALUE"""),"Education")</f>
        <v>Education</v>
      </c>
    </row>
    <row r="7891">
      <c r="A7891" s="131">
        <f>IFERROR(__xludf.DUMMYFUNCTION("""COMPUTED_VALUE"""),46187.61756944445)</f>
        <v>46187.61757</v>
      </c>
      <c r="B7891" s="126">
        <f>IFERROR(__xludf.DUMMYFUNCTION("""COMPUTED_VALUE"""),46187.0)</f>
        <v>46187</v>
      </c>
      <c r="C7891" s="130">
        <f>IFERROR(__xludf.DUMMYFUNCTION("""COMPUTED_VALUE"""),0.6175694444444444)</f>
        <v>0.6175694444</v>
      </c>
      <c r="D7891" s="122" t="str">
        <f>IFERROR(__xludf.DUMMYFUNCTION("""COMPUTED_VALUE"""),"TEST")</f>
        <v>TEST</v>
      </c>
      <c r="E7891" s="122" t="str">
        <f>IFERROR(__xludf.DUMMYFUNCTION("""COMPUTED_VALUE"""),"TestPrep Pro")</f>
        <v>TestPrep Pro</v>
      </c>
      <c r="F7891" s="122" t="str">
        <f>IFERROR(__xludf.DUMMYFUNCTION("""COMPUTED_VALUE"""),"Education")</f>
        <v>Education</v>
      </c>
    </row>
    <row r="7892">
      <c r="A7892" s="131">
        <f>IFERROR(__xludf.DUMMYFUNCTION("""COMPUTED_VALUE"""),46187.61756944445)</f>
        <v>46187.61757</v>
      </c>
      <c r="B7892" s="126">
        <f>IFERROR(__xludf.DUMMYFUNCTION("""COMPUTED_VALUE"""),46187.0)</f>
        <v>46187</v>
      </c>
      <c r="C7892" s="130">
        <f>IFERROR(__xludf.DUMMYFUNCTION("""COMPUTED_VALUE"""),0.6175694444444444)</f>
        <v>0.6175694444</v>
      </c>
      <c r="D7892" s="122" t="str">
        <f>IFERROR(__xludf.DUMMYFUNCTION("""COMPUTED_VALUE"""),"MOVI")</f>
        <v>MOVI</v>
      </c>
      <c r="E7892" s="122" t="str">
        <f>IFERROR(__xludf.DUMMYFUNCTION("""COMPUTED_VALUE"""),"MovieBox")</f>
        <v>MovieBox</v>
      </c>
      <c r="F7892" s="122" t="str">
        <f>IFERROR(__xludf.DUMMYFUNCTION("""COMPUTED_VALUE"""),"Entertainment")</f>
        <v>Entertainment</v>
      </c>
    </row>
    <row r="7893">
      <c r="A7893" s="131">
        <f>IFERROR(__xludf.DUMMYFUNCTION("""COMPUTED_VALUE"""),46187.61756944445)</f>
        <v>46187.61757</v>
      </c>
      <c r="B7893" s="126">
        <f>IFERROR(__xludf.DUMMYFUNCTION("""COMPUTED_VALUE"""),46187.0)</f>
        <v>46187</v>
      </c>
      <c r="C7893" s="130">
        <f>IFERROR(__xludf.DUMMYFUNCTION("""COMPUTED_VALUE"""),0.6175694444444444)</f>
        <v>0.6175694444</v>
      </c>
      <c r="D7893" s="122" t="str">
        <f>IFERROR(__xludf.DUMMYFUNCTION("""COMPUTED_VALUE"""),"MUSC")</f>
        <v>MUSC</v>
      </c>
      <c r="E7893" s="122" t="str">
        <f>IFERROR(__xludf.DUMMYFUNCTION("""COMPUTED_VALUE"""),"MusicWave")</f>
        <v>MusicWave</v>
      </c>
      <c r="F7893" s="122" t="str">
        <f>IFERROR(__xludf.DUMMYFUNCTION("""COMPUTED_VALUE"""),"Entertainment")</f>
        <v>Entertainment</v>
      </c>
    </row>
    <row r="7894">
      <c r="A7894" s="131">
        <f>IFERROR(__xludf.DUMMYFUNCTION("""COMPUTED_VALUE"""),46187.61756944445)</f>
        <v>46187.61757</v>
      </c>
      <c r="B7894" s="126">
        <f>IFERROR(__xludf.DUMMYFUNCTION("""COMPUTED_VALUE"""),46187.0)</f>
        <v>46187</v>
      </c>
      <c r="C7894" s="130">
        <f>IFERROR(__xludf.DUMMYFUNCTION("""COMPUTED_VALUE"""),0.6175694444444444)</f>
        <v>0.6175694444</v>
      </c>
      <c r="D7894" s="122" t="str">
        <f>IFERROR(__xludf.DUMMYFUNCTION("""COMPUTED_VALUE"""),"IDOL")</f>
        <v>IDOL</v>
      </c>
      <c r="E7894" s="122" t="str">
        <f>IFERROR(__xludf.DUMMYFUNCTION("""COMPUTED_VALUE"""),"Idol Agency")</f>
        <v>Idol Agency</v>
      </c>
      <c r="F7894" s="122" t="str">
        <f>IFERROR(__xludf.DUMMYFUNCTION("""COMPUTED_VALUE"""),"Entertainment")</f>
        <v>Entertainment</v>
      </c>
    </row>
    <row r="7895">
      <c r="A7895" s="131">
        <f>IFERROR(__xludf.DUMMYFUNCTION("""COMPUTED_VALUE"""),46187.61756944445)</f>
        <v>46187.61757</v>
      </c>
      <c r="B7895" s="126">
        <f>IFERROR(__xludf.DUMMYFUNCTION("""COMPUTED_VALUE"""),46187.0)</f>
        <v>46187</v>
      </c>
      <c r="C7895" s="130">
        <f>IFERROR(__xludf.DUMMYFUNCTION("""COMPUTED_VALUE"""),0.6175694444444444)</f>
        <v>0.6175694444</v>
      </c>
      <c r="D7895" s="122" t="str">
        <f>IFERROR(__xludf.DUMMYFUNCTION("""COMPUTED_VALUE"""),"MEME")</f>
        <v>MEME</v>
      </c>
      <c r="E7895" s="122" t="str">
        <f>IFERROR(__xludf.DUMMYFUNCTION("""COMPUTED_VALUE"""),"Meme Media")</f>
        <v>Meme Media</v>
      </c>
      <c r="F7895" s="122" t="str">
        <f>IFERROR(__xludf.DUMMYFUNCTION("""COMPUTED_VALUE"""),"Entertainment")</f>
        <v>Entertainment</v>
      </c>
    </row>
    <row r="7896">
      <c r="A7896" s="131">
        <f>IFERROR(__xludf.DUMMYFUNCTION("""COMPUTED_VALUE"""),46187.61756944445)</f>
        <v>46187.61757</v>
      </c>
      <c r="B7896" s="126">
        <f>IFERROR(__xludf.DUMMYFUNCTION("""COMPUTED_VALUE"""),46187.0)</f>
        <v>46187</v>
      </c>
      <c r="C7896" s="130">
        <f>IFERROR(__xludf.DUMMYFUNCTION("""COMPUTED_VALUE"""),0.6175694444444444)</f>
        <v>0.6175694444</v>
      </c>
      <c r="D7896" s="122" t="str">
        <f>IFERROR(__xludf.DUMMYFUNCTION("""COMPUTED_VALUE"""),"STRM")</f>
        <v>STRM</v>
      </c>
      <c r="E7896" s="122" t="str">
        <f>IFERROR(__xludf.DUMMYFUNCTION("""COMPUTED_VALUE"""),"Streamly")</f>
        <v>Streamly</v>
      </c>
      <c r="F7896" s="122" t="str">
        <f>IFERROR(__xludf.DUMMYFUNCTION("""COMPUTED_VALUE"""),"Entertainment")</f>
        <v>Entertainment</v>
      </c>
    </row>
    <row r="7897">
      <c r="A7897" s="131">
        <f>IFERROR(__xludf.DUMMYFUNCTION("""COMPUTED_VALUE"""),46187.61756944445)</f>
        <v>46187.61757</v>
      </c>
      <c r="B7897" s="126">
        <f>IFERROR(__xludf.DUMMYFUNCTION("""COMPUTED_VALUE"""),46187.0)</f>
        <v>46187</v>
      </c>
      <c r="C7897" s="130">
        <f>IFERROR(__xludf.DUMMYFUNCTION("""COMPUTED_VALUE"""),0.6175694444444444)</f>
        <v>0.6175694444</v>
      </c>
      <c r="D7897" s="122" t="str">
        <f>IFERROR(__xludf.DUMMYFUNCTION("""COMPUTED_VALUE"""),"FARM")</f>
        <v>FARM</v>
      </c>
      <c r="E7897" s="122" t="str">
        <f>IFERROR(__xludf.DUMMYFUNCTION("""COMPUTED_VALUE"""),"Future Farms")</f>
        <v>Future Farms</v>
      </c>
      <c r="F7897" s="122" t="str">
        <f>IFERROR(__xludf.DUMMYFUNCTION("""COMPUTED_VALUE"""),"Agriculture")</f>
        <v>Agriculture</v>
      </c>
    </row>
    <row r="7898">
      <c r="A7898" s="131">
        <f>IFERROR(__xludf.DUMMYFUNCTION("""COMPUTED_VALUE"""),46187.61756944445)</f>
        <v>46187.61757</v>
      </c>
      <c r="B7898" s="126">
        <f>IFERROR(__xludf.DUMMYFUNCTION("""COMPUTED_VALUE"""),46187.0)</f>
        <v>46187</v>
      </c>
      <c r="C7898" s="130">
        <f>IFERROR(__xludf.DUMMYFUNCTION("""COMPUTED_VALUE"""),0.6175694444444444)</f>
        <v>0.6175694444</v>
      </c>
      <c r="D7898" s="122" t="str">
        <f>IFERROR(__xludf.DUMMYFUNCTION("""COMPUTED_VALUE"""),"MEAT")</f>
        <v>MEAT</v>
      </c>
      <c r="E7898" s="122" t="str">
        <f>IFERROR(__xludf.DUMMYFUNCTION("""COMPUTED_VALUE"""),"MeatWorks")</f>
        <v>MeatWorks</v>
      </c>
      <c r="F7898" s="122" t="str">
        <f>IFERROR(__xludf.DUMMYFUNCTION("""COMPUTED_VALUE"""),"Food")</f>
        <v>Food</v>
      </c>
    </row>
    <row r="7899">
      <c r="A7899" s="131">
        <f>IFERROR(__xludf.DUMMYFUNCTION("""COMPUTED_VALUE"""),46187.61756944445)</f>
        <v>46187.61757</v>
      </c>
      <c r="B7899" s="126">
        <f>IFERROR(__xludf.DUMMYFUNCTION("""COMPUTED_VALUE"""),46187.0)</f>
        <v>46187</v>
      </c>
      <c r="C7899" s="130">
        <f>IFERROR(__xludf.DUMMYFUNCTION("""COMPUTED_VALUE"""),0.6175694444444444)</f>
        <v>0.6175694444</v>
      </c>
      <c r="D7899" s="122" t="str">
        <f>IFERROR(__xludf.DUMMYFUNCTION("""COMPUTED_VALUE"""),"VEGI")</f>
        <v>VEGI</v>
      </c>
      <c r="E7899" s="122" t="str">
        <f>IFERROR(__xludf.DUMMYFUNCTION("""COMPUTED_VALUE"""),"Green Basket")</f>
        <v>Green Basket</v>
      </c>
      <c r="F7899" s="122" t="str">
        <f>IFERROR(__xludf.DUMMYFUNCTION("""COMPUTED_VALUE"""),"Food")</f>
        <v>Food</v>
      </c>
    </row>
    <row r="7900">
      <c r="A7900" s="131">
        <f>IFERROR(__xludf.DUMMYFUNCTION("""COMPUTED_VALUE"""),46187.61756944445)</f>
        <v>46187.61757</v>
      </c>
      <c r="B7900" s="126">
        <f>IFERROR(__xludf.DUMMYFUNCTION("""COMPUTED_VALUE"""),46187.0)</f>
        <v>46187</v>
      </c>
      <c r="C7900" s="130">
        <f>IFERROR(__xludf.DUMMYFUNCTION("""COMPUTED_VALUE"""),0.6175694444444444)</f>
        <v>0.6175694444</v>
      </c>
      <c r="D7900" s="122" t="str">
        <f>IFERROR(__xludf.DUMMYFUNCTION("""COMPUTED_VALUE"""),"CAFE")</f>
        <v>CAFE</v>
      </c>
      <c r="E7900" s="122" t="str">
        <f>IFERROR(__xludf.DUMMYFUNCTION("""COMPUTED_VALUE"""),"Cafe Cloud")</f>
        <v>Cafe Cloud</v>
      </c>
      <c r="F7900" s="122" t="str">
        <f>IFERROR(__xludf.DUMMYFUNCTION("""COMPUTED_VALUE"""),"Food")</f>
        <v>Food</v>
      </c>
    </row>
    <row r="7901">
      <c r="A7901" s="131">
        <f>IFERROR(__xludf.DUMMYFUNCTION("""COMPUTED_VALUE"""),46187.61756944445)</f>
        <v>46187.61757</v>
      </c>
      <c r="B7901" s="126">
        <f>IFERROR(__xludf.DUMMYFUNCTION("""COMPUTED_VALUE"""),46187.0)</f>
        <v>46187</v>
      </c>
      <c r="C7901" s="130">
        <f>IFERROR(__xludf.DUMMYFUNCTION("""COMPUTED_VALUE"""),0.6175694444444444)</f>
        <v>0.6175694444</v>
      </c>
      <c r="D7901" s="122" t="str">
        <f>IFERROR(__xludf.DUMMYFUNCTION("""COMPUTED_VALUE"""),"BAKE")</f>
        <v>BAKE</v>
      </c>
      <c r="E7901" s="122" t="str">
        <f>IFERROR(__xludf.DUMMYFUNCTION("""COMPUTED_VALUE"""),"BakeHouse")</f>
        <v>BakeHouse</v>
      </c>
      <c r="F7901" s="122" t="str">
        <f>IFERROR(__xludf.DUMMYFUNCTION("""COMPUTED_VALUE"""),"Food")</f>
        <v>Food</v>
      </c>
    </row>
    <row r="7902">
      <c r="A7902" s="131">
        <f>IFERROR(__xludf.DUMMYFUNCTION("""COMPUTED_VALUE"""),46187.61756944445)</f>
        <v>46187.61757</v>
      </c>
      <c r="B7902" s="126">
        <f>IFERROR(__xludf.DUMMYFUNCTION("""COMPUTED_VALUE"""),46187.0)</f>
        <v>46187</v>
      </c>
      <c r="C7902" s="130">
        <f>IFERROR(__xludf.DUMMYFUNCTION("""COMPUTED_VALUE"""),0.6175694444444444)</f>
        <v>0.6175694444</v>
      </c>
      <c r="D7902" s="122" t="str">
        <f>IFERROR(__xludf.DUMMYFUNCTION("""COMPUTED_VALUE"""),"OILX")</f>
        <v>OILX</v>
      </c>
      <c r="E7902" s="122" t="str">
        <f>IFERROR(__xludf.DUMMYFUNCTION("""COMPUTED_VALUE"""),"OilMax Energy")</f>
        <v>OilMax Energy</v>
      </c>
      <c r="F7902" s="122" t="str">
        <f>IFERROR(__xludf.DUMMYFUNCTION("""COMPUTED_VALUE"""),"Energy")</f>
        <v>Energy</v>
      </c>
    </row>
    <row r="7903">
      <c r="A7903" s="131">
        <f>IFERROR(__xludf.DUMMYFUNCTION("""COMPUTED_VALUE"""),46187.61756944445)</f>
        <v>46187.61757</v>
      </c>
      <c r="B7903" s="126">
        <f>IFERROR(__xludf.DUMMYFUNCTION("""COMPUTED_VALUE"""),46187.0)</f>
        <v>46187</v>
      </c>
      <c r="C7903" s="130">
        <f>IFERROR(__xludf.DUMMYFUNCTION("""COMPUTED_VALUE"""),0.6175694444444444)</f>
        <v>0.6175694444</v>
      </c>
      <c r="D7903" s="122" t="str">
        <f>IFERROR(__xludf.DUMMYFUNCTION("""COMPUTED_VALUE"""),"SOLR")</f>
        <v>SOLR</v>
      </c>
      <c r="E7903" s="122" t="str">
        <f>IFERROR(__xludf.DUMMYFUNCTION("""COMPUTED_VALUE"""),"SolarSpark")</f>
        <v>SolarSpark</v>
      </c>
      <c r="F7903" s="122" t="str">
        <f>IFERROR(__xludf.DUMMYFUNCTION("""COMPUTED_VALUE"""),"Energy")</f>
        <v>Energy</v>
      </c>
    </row>
    <row r="7904">
      <c r="A7904" s="131">
        <f>IFERROR(__xludf.DUMMYFUNCTION("""COMPUTED_VALUE"""),46187.61756944445)</f>
        <v>46187.61757</v>
      </c>
      <c r="B7904" s="126">
        <f>IFERROR(__xludf.DUMMYFUNCTION("""COMPUTED_VALUE"""),46187.0)</f>
        <v>46187</v>
      </c>
      <c r="C7904" s="130">
        <f>IFERROR(__xludf.DUMMYFUNCTION("""COMPUTED_VALUE"""),0.6175694444444444)</f>
        <v>0.6175694444</v>
      </c>
      <c r="D7904" s="122" t="str">
        <f>IFERROR(__xludf.DUMMYFUNCTION("""COMPUTED_VALUE"""),"BATT")</f>
        <v>BATT</v>
      </c>
      <c r="E7904" s="122" t="str">
        <f>IFERROR(__xludf.DUMMYFUNCTION("""COMPUTED_VALUE"""),"BatteryBox")</f>
        <v>BatteryBox</v>
      </c>
      <c r="F7904" s="122" t="str">
        <f>IFERROR(__xludf.DUMMYFUNCTION("""COMPUTED_VALUE"""),"Energy")</f>
        <v>Energy</v>
      </c>
    </row>
    <row r="7905">
      <c r="A7905" s="131">
        <f>IFERROR(__xludf.DUMMYFUNCTION("""COMPUTED_VALUE"""),46187.61756944445)</f>
        <v>46187.61757</v>
      </c>
      <c r="B7905" s="126">
        <f>IFERROR(__xludf.DUMMYFUNCTION("""COMPUTED_VALUE"""),46187.0)</f>
        <v>46187</v>
      </c>
      <c r="C7905" s="130">
        <f>IFERROR(__xludf.DUMMYFUNCTION("""COMPUTED_VALUE"""),0.6175694444444444)</f>
        <v>0.6175694444</v>
      </c>
      <c r="D7905" s="122" t="str">
        <f>IFERROR(__xludf.DUMMYFUNCTION("""COMPUTED_VALUE"""),"WIND")</f>
        <v>WIND</v>
      </c>
      <c r="E7905" s="122" t="str">
        <f>IFERROR(__xludf.DUMMYFUNCTION("""COMPUTED_VALUE"""),"WindWorks")</f>
        <v>WindWorks</v>
      </c>
      <c r="F7905" s="122" t="str">
        <f>IFERROR(__xludf.DUMMYFUNCTION("""COMPUTED_VALUE"""),"Energy")</f>
        <v>Energy</v>
      </c>
    </row>
    <row r="7906">
      <c r="A7906" s="131">
        <f>IFERROR(__xludf.DUMMYFUNCTION("""COMPUTED_VALUE"""),46187.61756944445)</f>
        <v>46187.61757</v>
      </c>
      <c r="B7906" s="126">
        <f>IFERROR(__xludf.DUMMYFUNCTION("""COMPUTED_VALUE"""),46187.0)</f>
        <v>46187</v>
      </c>
      <c r="C7906" s="130">
        <f>IFERROR(__xludf.DUMMYFUNCTION("""COMPUTED_VALUE"""),0.6175694444444444)</f>
        <v>0.6175694444</v>
      </c>
      <c r="D7906" s="122" t="str">
        <f>IFERROR(__xludf.DUMMYFUNCTION("""COMPUTED_VALUE"""),"GRID")</f>
        <v>GRID</v>
      </c>
      <c r="E7906" s="122" t="str">
        <f>IFERROR(__xludf.DUMMYFUNCTION("""COMPUTED_VALUE"""),"GridPower")</f>
        <v>GridPower</v>
      </c>
      <c r="F7906" s="122" t="str">
        <f>IFERROR(__xludf.DUMMYFUNCTION("""COMPUTED_VALUE"""),"Energy")</f>
        <v>Energy</v>
      </c>
    </row>
    <row r="7907">
      <c r="A7907" s="131">
        <f>IFERROR(__xludf.DUMMYFUNCTION("""COMPUTED_VALUE"""),46187.61756944445)</f>
        <v>46187.61757</v>
      </c>
      <c r="B7907" s="126">
        <f>IFERROR(__xludf.DUMMYFUNCTION("""COMPUTED_VALUE"""),46187.0)</f>
        <v>46187</v>
      </c>
      <c r="C7907" s="130">
        <f>IFERROR(__xludf.DUMMYFUNCTION("""COMPUTED_VALUE"""),0.6175694444444444)</f>
        <v>0.6175694444</v>
      </c>
      <c r="D7907" s="122" t="str">
        <f>IFERROR(__xludf.DUMMYFUNCTION("""COMPUTED_VALUE"""),"HOME")</f>
        <v>HOME</v>
      </c>
      <c r="E7907" s="122" t="str">
        <f>IFERROR(__xludf.DUMMYFUNCTION("""COMPUTED_VALUE"""),"HomeHub")</f>
        <v>HomeHub</v>
      </c>
      <c r="F7907" s="122" t="str">
        <f>IFERROR(__xludf.DUMMYFUNCTION("""COMPUTED_VALUE"""),"Real Estate")</f>
        <v>Real Estate</v>
      </c>
    </row>
    <row r="7908">
      <c r="A7908" s="131">
        <f>IFERROR(__xludf.DUMMYFUNCTION("""COMPUTED_VALUE"""),46187.61756944445)</f>
        <v>46187.61757</v>
      </c>
      <c r="B7908" s="126">
        <f>IFERROR(__xludf.DUMMYFUNCTION("""COMPUTED_VALUE"""),46187.0)</f>
        <v>46187</v>
      </c>
      <c r="C7908" s="130">
        <f>IFERROR(__xludf.DUMMYFUNCTION("""COMPUTED_VALUE"""),0.6175694444444444)</f>
        <v>0.6175694444</v>
      </c>
      <c r="D7908" s="122" t="str">
        <f>IFERROR(__xludf.DUMMYFUNCTION("""COMPUTED_VALUE"""),"RENT")</f>
        <v>RENT</v>
      </c>
      <c r="E7908" s="122" t="str">
        <f>IFERROR(__xludf.DUMMYFUNCTION("""COMPUTED_VALUE"""),"RentRight")</f>
        <v>RentRight</v>
      </c>
      <c r="F7908" s="122" t="str">
        <f>IFERROR(__xludf.DUMMYFUNCTION("""COMPUTED_VALUE"""),"Real Estate")</f>
        <v>Real Estate</v>
      </c>
    </row>
    <row r="7909">
      <c r="A7909" s="131">
        <f>IFERROR(__xludf.DUMMYFUNCTION("""COMPUTED_VALUE"""),46187.61756944445)</f>
        <v>46187.61757</v>
      </c>
      <c r="B7909" s="126">
        <f>IFERROR(__xludf.DUMMYFUNCTION("""COMPUTED_VALUE"""),46187.0)</f>
        <v>46187</v>
      </c>
      <c r="C7909" s="130">
        <f>IFERROR(__xludf.DUMMYFUNCTION("""COMPUTED_VALUE"""),0.6175694444444444)</f>
        <v>0.6175694444</v>
      </c>
      <c r="D7909" s="122" t="str">
        <f>IFERROR(__xludf.DUMMYFUNCTION("""COMPUTED_VALUE"""),"MALL")</f>
        <v>MALL</v>
      </c>
      <c r="E7909" s="122" t="str">
        <f>IFERROR(__xludf.DUMMYFUNCTION("""COMPUTED_VALUE"""),"MegaMall")</f>
        <v>MegaMall</v>
      </c>
      <c r="F7909" s="122" t="str">
        <f>IFERROR(__xludf.DUMMYFUNCTION("""COMPUTED_VALUE"""),"Real Estate")</f>
        <v>Real Estate</v>
      </c>
    </row>
    <row r="7910">
      <c r="A7910" s="131">
        <f>IFERROR(__xludf.DUMMYFUNCTION("""COMPUTED_VALUE"""),46187.61756944445)</f>
        <v>46187.61757</v>
      </c>
      <c r="B7910" s="126">
        <f>IFERROR(__xludf.DUMMYFUNCTION("""COMPUTED_VALUE"""),46187.0)</f>
        <v>46187</v>
      </c>
      <c r="C7910" s="130">
        <f>IFERROR(__xludf.DUMMYFUNCTION("""COMPUTED_VALUE"""),0.6175694444444444)</f>
        <v>0.6175694444</v>
      </c>
      <c r="D7910" s="122" t="str">
        <f>IFERROR(__xludf.DUMMYFUNCTION("""COMPUTED_VALUE"""),"HOTL")</f>
        <v>HOTL</v>
      </c>
      <c r="E7910" s="122" t="str">
        <f>IFERROR(__xludf.DUMMYFUNCTION("""COMPUTED_VALUE"""),"HotelHive")</f>
        <v>HotelHive</v>
      </c>
      <c r="F7910" s="122" t="str">
        <f>IFERROR(__xludf.DUMMYFUNCTION("""COMPUTED_VALUE"""),"Real Estate")</f>
        <v>Real Estate</v>
      </c>
    </row>
    <row r="7911">
      <c r="A7911" s="131">
        <f>IFERROR(__xludf.DUMMYFUNCTION("""COMPUTED_VALUE"""),46187.61756944445)</f>
        <v>46187.61757</v>
      </c>
      <c r="B7911" s="126">
        <f>IFERROR(__xludf.DUMMYFUNCTION("""COMPUTED_VALUE"""),46187.0)</f>
        <v>46187</v>
      </c>
      <c r="C7911" s="130">
        <f>IFERROR(__xludf.DUMMYFUNCTION("""COMPUTED_VALUE"""),0.6175694444444444)</f>
        <v>0.6175694444</v>
      </c>
      <c r="D7911" s="122" t="str">
        <f>IFERROR(__xludf.DUMMYFUNCTION("""COMPUTED_VALUE"""),"LAND")</f>
        <v>LAND</v>
      </c>
      <c r="E7911" s="122" t="str">
        <f>IFERROR(__xludf.DUMMYFUNCTION("""COMPUTED_VALUE"""),"LandLink")</f>
        <v>LandLink</v>
      </c>
      <c r="F7911" s="122" t="str">
        <f>IFERROR(__xludf.DUMMYFUNCTION("""COMPUTED_VALUE"""),"Real Estate")</f>
        <v>Real Estate</v>
      </c>
    </row>
    <row r="7912">
      <c r="A7912" s="131">
        <f>IFERROR(__xludf.DUMMYFUNCTION("""COMPUTED_VALUE"""),46187.61756944445)</f>
        <v>46187.61757</v>
      </c>
      <c r="B7912" s="126">
        <f>IFERROR(__xludf.DUMMYFUNCTION("""COMPUTED_VALUE"""),46187.0)</f>
        <v>46187</v>
      </c>
      <c r="C7912" s="130">
        <f>IFERROR(__xludf.DUMMYFUNCTION("""COMPUTED_VALUE"""),0.6175694444444444)</f>
        <v>0.6175694444</v>
      </c>
      <c r="D7912" s="122" t="str">
        <f>IFERROR(__xludf.DUMMYFUNCTION("""COMPUTED_VALUE"""),"CARS")</f>
        <v>CARS</v>
      </c>
      <c r="E7912" s="122" t="str">
        <f>IFERROR(__xludf.DUMMYFUNCTION("""COMPUTED_VALUE"""),"AutoArena")</f>
        <v>AutoArena</v>
      </c>
      <c r="F7912" s="122" t="str">
        <f>IFERROR(__xludf.DUMMYFUNCTION("""COMPUTED_VALUE"""),"Automotive")</f>
        <v>Automotive</v>
      </c>
    </row>
    <row r="7913">
      <c r="A7913" s="131">
        <f>IFERROR(__xludf.DUMMYFUNCTION("""COMPUTED_VALUE"""),46187.61756944445)</f>
        <v>46187.61757</v>
      </c>
      <c r="B7913" s="126">
        <f>IFERROR(__xludf.DUMMYFUNCTION("""COMPUTED_VALUE"""),46187.0)</f>
        <v>46187</v>
      </c>
      <c r="C7913" s="130">
        <f>IFERROR(__xludf.DUMMYFUNCTION("""COMPUTED_VALUE"""),0.6175694444444444)</f>
        <v>0.6175694444</v>
      </c>
      <c r="D7913" s="122" t="str">
        <f>IFERROR(__xludf.DUMMYFUNCTION("""COMPUTED_VALUE"""),"EVGO")</f>
        <v>EVGO</v>
      </c>
      <c r="E7913" s="122" t="str">
        <f>IFERROR(__xludf.DUMMYFUNCTION("""COMPUTED_VALUE"""),"EVGo Motors")</f>
        <v>EVGo Motors</v>
      </c>
      <c r="F7913" s="122" t="str">
        <f>IFERROR(__xludf.DUMMYFUNCTION("""COMPUTED_VALUE"""),"Automotive")</f>
        <v>Automotive</v>
      </c>
    </row>
    <row r="7914">
      <c r="A7914" s="131">
        <f>IFERROR(__xludf.DUMMYFUNCTION("""COMPUTED_VALUE"""),46187.61756944445)</f>
        <v>46187.61757</v>
      </c>
      <c r="B7914" s="126">
        <f>IFERROR(__xludf.DUMMYFUNCTION("""COMPUTED_VALUE"""),46187.0)</f>
        <v>46187</v>
      </c>
      <c r="C7914" s="130">
        <f>IFERROR(__xludf.DUMMYFUNCTION("""COMPUTED_VALUE"""),0.6175694444444444)</f>
        <v>0.6175694444</v>
      </c>
      <c r="D7914" s="122" t="str">
        <f>IFERROR(__xludf.DUMMYFUNCTION("""COMPUTED_VALUE"""),"TIRE")</f>
        <v>TIRE</v>
      </c>
      <c r="E7914" s="122" t="str">
        <f>IFERROR(__xludf.DUMMYFUNCTION("""COMPUTED_VALUE"""),"TireTown")</f>
        <v>TireTown</v>
      </c>
      <c r="F7914" s="122" t="str">
        <f>IFERROR(__xludf.DUMMYFUNCTION("""COMPUTED_VALUE"""),"Automotive")</f>
        <v>Automotive</v>
      </c>
    </row>
    <row r="7915">
      <c r="A7915" s="131">
        <f>IFERROR(__xludf.DUMMYFUNCTION("""COMPUTED_VALUE"""),46187.61756944445)</f>
        <v>46187.61757</v>
      </c>
      <c r="B7915" s="126">
        <f>IFERROR(__xludf.DUMMYFUNCTION("""COMPUTED_VALUE"""),46187.0)</f>
        <v>46187</v>
      </c>
      <c r="C7915" s="130">
        <f>IFERROR(__xludf.DUMMYFUNCTION("""COMPUTED_VALUE"""),0.6175694444444444)</f>
        <v>0.6175694444</v>
      </c>
      <c r="D7915" s="122" t="str">
        <f>IFERROR(__xludf.DUMMYFUNCTION("""COMPUTED_VALUE"""),"BIKE")</f>
        <v>BIKE</v>
      </c>
      <c r="E7915" s="122" t="str">
        <f>IFERROR(__xludf.DUMMYFUNCTION("""COMPUTED_VALUE"""),"BikeBox")</f>
        <v>BikeBox</v>
      </c>
      <c r="F7915" s="122" t="str">
        <f>IFERROR(__xludf.DUMMYFUNCTION("""COMPUTED_VALUE"""),"Automotive")</f>
        <v>Automotive</v>
      </c>
    </row>
    <row r="7916">
      <c r="A7916" s="131">
        <f>IFERROR(__xludf.DUMMYFUNCTION("""COMPUTED_VALUE"""),46187.61756944445)</f>
        <v>46187.61757</v>
      </c>
      <c r="B7916" s="126">
        <f>IFERROR(__xludf.DUMMYFUNCTION("""COMPUTED_VALUE"""),46187.0)</f>
        <v>46187</v>
      </c>
      <c r="C7916" s="130">
        <f>IFERROR(__xludf.DUMMYFUNCTION("""COMPUTED_VALUE"""),0.6175694444444444)</f>
        <v>0.6175694444</v>
      </c>
      <c r="D7916" s="122" t="str">
        <f>IFERROR(__xludf.DUMMYFUNCTION("""COMPUTED_VALUE"""),"WASH")</f>
        <v>WASH</v>
      </c>
      <c r="E7916" s="122" t="str">
        <f>IFERROR(__xludf.DUMMYFUNCTION("""COMPUTED_VALUE"""),"CarWash Co")</f>
        <v>CarWash Co</v>
      </c>
      <c r="F7916" s="122" t="str">
        <f>IFERROR(__xludf.DUMMYFUNCTION("""COMPUTED_VALUE"""),"Automotive")</f>
        <v>Automotive</v>
      </c>
    </row>
    <row r="7917">
      <c r="A7917" s="131">
        <f>IFERROR(__xludf.DUMMYFUNCTION("""COMPUTED_VALUE"""),46187.61756944445)</f>
        <v>46187.61757</v>
      </c>
      <c r="B7917" s="126">
        <f>IFERROR(__xludf.DUMMYFUNCTION("""COMPUTED_VALUE"""),46187.0)</f>
        <v>46187</v>
      </c>
      <c r="C7917" s="130">
        <f>IFERROR(__xludf.DUMMYFUNCTION("""COMPUTED_VALUE"""),0.6175694444444444)</f>
        <v>0.6175694444</v>
      </c>
      <c r="D7917" s="122" t="str">
        <f>IFERROR(__xludf.DUMMYFUNCTION("""COMPUTED_VALUE"""),"GBND")</f>
        <v>GBND</v>
      </c>
      <c r="E7917" s="122" t="str">
        <f>IFERROR(__xludf.DUMMYFUNCTION("""COMPUTED_VALUE"""),"Classroom Government Bond")</f>
        <v>Classroom Government Bond</v>
      </c>
      <c r="F7917" s="122" t="str">
        <f>IFERROR(__xludf.DUMMYFUNCTION("""COMPUTED_VALUE"""),"Bond")</f>
        <v>Bond</v>
      </c>
    </row>
    <row r="7918">
      <c r="A7918" s="131">
        <f>IFERROR(__xludf.DUMMYFUNCTION("""COMPUTED_VALUE"""),46187.61756944445)</f>
        <v>46187.61757</v>
      </c>
      <c r="B7918" s="126">
        <f>IFERROR(__xludf.DUMMYFUNCTION("""COMPUTED_VALUE"""),46187.0)</f>
        <v>46187</v>
      </c>
      <c r="C7918" s="130">
        <f>IFERROR(__xludf.DUMMYFUNCTION("""COMPUTED_VALUE"""),0.6175694444444444)</f>
        <v>0.6175694444</v>
      </c>
      <c r="D7918" s="122" t="str">
        <f>IFERROR(__xludf.DUMMYFUNCTION("""COMPUTED_VALUE"""),"SBND")</f>
        <v>SBND</v>
      </c>
      <c r="E7918" s="122" t="str">
        <f>IFERROR(__xludf.DUMMYFUNCTION("""COMPUTED_VALUE"""),"School Savings Bond")</f>
        <v>School Savings Bond</v>
      </c>
      <c r="F7918" s="122" t="str">
        <f>IFERROR(__xludf.DUMMYFUNCTION("""COMPUTED_VALUE"""),"Bond")</f>
        <v>Bond</v>
      </c>
    </row>
    <row r="7919">
      <c r="A7919" s="131">
        <f>IFERROR(__xludf.DUMMYFUNCTION("""COMPUTED_VALUE"""),46187.61756944445)</f>
        <v>46187.61757</v>
      </c>
      <c r="B7919" s="126">
        <f>IFERROR(__xludf.DUMMYFUNCTION("""COMPUTED_VALUE"""),46187.0)</f>
        <v>46187</v>
      </c>
      <c r="C7919" s="130">
        <f>IFERROR(__xludf.DUMMYFUNCTION("""COMPUTED_VALUE"""),0.6175694444444444)</f>
        <v>0.6175694444</v>
      </c>
      <c r="D7919" s="122" t="str">
        <f>IFERROR(__xludf.DUMMYFUNCTION("""COMPUTED_VALUE"""),"CBND")</f>
        <v>CBND</v>
      </c>
      <c r="E7919" s="122" t="str">
        <f>IFERROR(__xludf.DUMMYFUNCTION("""COMPUTED_VALUE"""),"Corporate Classroom Bond")</f>
        <v>Corporate Classroom Bond</v>
      </c>
      <c r="F7919" s="122" t="str">
        <f>IFERROR(__xludf.DUMMYFUNCTION("""COMPUTED_VALUE"""),"Bond")</f>
        <v>Bond</v>
      </c>
    </row>
    <row r="7920">
      <c r="A7920" s="131">
        <f>IFERROR(__xludf.DUMMYFUNCTION("""COMPUTED_VALUE"""),46187.61756944445)</f>
        <v>46187.61757</v>
      </c>
      <c r="B7920" s="126">
        <f>IFERROR(__xludf.DUMMYFUNCTION("""COMPUTED_VALUE"""),46187.0)</f>
        <v>46187</v>
      </c>
      <c r="C7920" s="130">
        <f>IFERROR(__xludf.DUMMYFUNCTION("""COMPUTED_VALUE"""),0.6175694444444444)</f>
        <v>0.6175694444</v>
      </c>
      <c r="D7920" s="122" t="str">
        <f>IFERROR(__xludf.DUMMYFUNCTION("""COMPUTED_VALUE"""),"TBIL")</f>
        <v>TBIL</v>
      </c>
      <c r="E7920" s="122" t="str">
        <f>IFERROR(__xludf.DUMMYFUNCTION("""COMPUTED_VALUE"""),"Treasury Bill")</f>
        <v>Treasury Bill</v>
      </c>
      <c r="F7920" s="122" t="str">
        <f>IFERROR(__xludf.DUMMYFUNCTION("""COMPUTED_VALUE"""),"Bond")</f>
        <v>Bond</v>
      </c>
    </row>
    <row r="7921">
      <c r="A7921" s="131">
        <f>IFERROR(__xludf.DUMMYFUNCTION("""COMPUTED_VALUE"""),46187.61756944445)</f>
        <v>46187.61757</v>
      </c>
      <c r="B7921" s="126">
        <f>IFERROR(__xludf.DUMMYFUNCTION("""COMPUTED_VALUE"""),46187.0)</f>
        <v>46187</v>
      </c>
      <c r="C7921" s="130">
        <f>IFERROR(__xludf.DUMMYFUNCTION("""COMPUTED_VALUE"""),0.6175694444444444)</f>
        <v>0.6175694444</v>
      </c>
      <c r="D7921" s="122" t="str">
        <f>IFERROR(__xludf.DUMMYFUNCTION("""COMPUTED_VALUE"""),"IBND")</f>
        <v>IBND</v>
      </c>
      <c r="E7921" s="122" t="str">
        <f>IFERROR(__xludf.DUMMYFUNCTION("""COMPUTED_VALUE"""),"Inflation Protected Bond")</f>
        <v>Inflation Protected Bond</v>
      </c>
      <c r="F7921" s="122" t="str">
        <f>IFERROR(__xludf.DUMMYFUNCTION("""COMPUTED_VALUE"""),"Bond")</f>
        <v>Bond</v>
      </c>
    </row>
    <row r="7922">
      <c r="A7922" s="131">
        <f>IFERROR(__xludf.DUMMYFUNCTION("""COMPUTED_VALUE"""),46187.62086805556)</f>
        <v>46187.62087</v>
      </c>
      <c r="B7922" s="126">
        <f>IFERROR(__xludf.DUMMYFUNCTION("""COMPUTED_VALUE"""),46187.0)</f>
        <v>46187</v>
      </c>
      <c r="C7922" s="122" t="str">
        <f>IFERROR(__xludf.DUMMYFUNCTION("""COMPUTED_VALUE"""),"SNAX")</f>
        <v>SNAX</v>
      </c>
      <c r="D7922" s="122" t="str">
        <f>IFERROR(__xludf.DUMMYFUNCTION("""COMPUTED_VALUE"""),"MICA Snacks")</f>
        <v>MICA Snacks</v>
      </c>
      <c r="E7922" s="122">
        <f>IFERROR(__xludf.DUMMYFUNCTION("""COMPUTED_VALUE"""),121.88)</f>
        <v>121.88</v>
      </c>
      <c r="F7922" s="122">
        <f>IFERROR(__xludf.DUMMYFUNCTION("""COMPUTED_VALUE"""),0.0048)</f>
        <v>0.0048</v>
      </c>
    </row>
    <row r="7923">
      <c r="A7923" s="131">
        <f>IFERROR(__xludf.DUMMYFUNCTION("""COMPUTED_VALUE"""),46187.62086805556)</f>
        <v>46187.62087</v>
      </c>
      <c r="B7923" s="126">
        <f>IFERROR(__xludf.DUMMYFUNCTION("""COMPUTED_VALUE"""),46187.0)</f>
        <v>46187</v>
      </c>
      <c r="C7923" s="122" t="str">
        <f>IFERROR(__xludf.DUMMYFUNCTION("""COMPUTED_VALUE"""),"RAMN")</f>
        <v>RAMN</v>
      </c>
      <c r="D7923" s="122" t="str">
        <f>IFERROR(__xludf.DUMMYFUNCTION("""COMPUTED_VALUE"""),"Ramen Republic")</f>
        <v>Ramen Republic</v>
      </c>
      <c r="E7923" s="122">
        <f>IFERROR(__xludf.DUMMYFUNCTION("""COMPUTED_VALUE"""),63.0)</f>
        <v>63</v>
      </c>
      <c r="F7923" s="122">
        <f>IFERROR(__xludf.DUMMYFUNCTION("""COMPUTED_VALUE"""),-8.0E-4)</f>
        <v>-0.0008</v>
      </c>
    </row>
    <row r="7924">
      <c r="A7924" s="131">
        <f>IFERROR(__xludf.DUMMYFUNCTION("""COMPUTED_VALUE"""),46187.62086805556)</f>
        <v>46187.62087</v>
      </c>
      <c r="B7924" s="126">
        <f>IFERROR(__xludf.DUMMYFUNCTION("""COMPUTED_VALUE"""),46187.0)</f>
        <v>46187</v>
      </c>
      <c r="C7924" s="122" t="str">
        <f>IFERROR(__xludf.DUMMYFUNCTION("""COMPUTED_VALUE"""),"COLA")</f>
        <v>COLA</v>
      </c>
      <c r="D7924" s="122" t="str">
        <f>IFERROR(__xludf.DUMMYFUNCTION("""COMPUTED_VALUE"""),"K-Pop Cola")</f>
        <v>K-Pop Cola</v>
      </c>
      <c r="E7924" s="122">
        <f>IFERROR(__xludf.DUMMYFUNCTION("""COMPUTED_VALUE"""),112.83)</f>
        <v>112.83</v>
      </c>
      <c r="F7924" s="122">
        <f>IFERROR(__xludf.DUMMYFUNCTION("""COMPUTED_VALUE"""),-0.0034)</f>
        <v>-0.0034</v>
      </c>
    </row>
    <row r="7925">
      <c r="A7925" s="131">
        <f>IFERROR(__xludf.DUMMYFUNCTION("""COMPUTED_VALUE"""),46187.62086805556)</f>
        <v>46187.62087</v>
      </c>
      <c r="B7925" s="126">
        <f>IFERROR(__xludf.DUMMYFUNCTION("""COMPUTED_VALUE"""),46187.0)</f>
        <v>46187</v>
      </c>
      <c r="C7925" s="122" t="str">
        <f>IFERROR(__xludf.DUMMYFUNCTION("""COMPUTED_VALUE"""),"CHIP")</f>
        <v>CHIP</v>
      </c>
      <c r="D7925" s="122" t="str">
        <f>IFERROR(__xludf.DUMMYFUNCTION("""COMPUTED_VALUE"""),"Chip Empire")</f>
        <v>Chip Empire</v>
      </c>
      <c r="E7925" s="122">
        <f>IFERROR(__xludf.DUMMYFUNCTION("""COMPUTED_VALUE"""),81.62)</f>
        <v>81.62</v>
      </c>
      <c r="F7925" s="122">
        <f>IFERROR(__xludf.DUMMYFUNCTION("""COMPUTED_VALUE"""),-0.0032)</f>
        <v>-0.0032</v>
      </c>
    </row>
    <row r="7926">
      <c r="A7926" s="131">
        <f>IFERROR(__xludf.DUMMYFUNCTION("""COMPUTED_VALUE"""),46187.62086805556)</f>
        <v>46187.62087</v>
      </c>
      <c r="B7926" s="126">
        <f>IFERROR(__xludf.DUMMYFUNCTION("""COMPUTED_VALUE"""),46187.0)</f>
        <v>46187</v>
      </c>
      <c r="C7926" s="122" t="str">
        <f>IFERROR(__xludf.DUMMYFUNCTION("""COMPUTED_VALUE"""),"CAND")</f>
        <v>CAND</v>
      </c>
      <c r="D7926" s="122" t="str">
        <f>IFERROR(__xludf.DUMMYFUNCTION("""COMPUTED_VALUE"""),"Candy Capital")</f>
        <v>Candy Capital</v>
      </c>
      <c r="E7926" s="122">
        <f>IFERROR(__xludf.DUMMYFUNCTION("""COMPUTED_VALUE"""),77.77)</f>
        <v>77.77</v>
      </c>
      <c r="F7926" s="122">
        <f>IFERROR(__xludf.DUMMYFUNCTION("""COMPUTED_VALUE"""),-0.0083)</f>
        <v>-0.0083</v>
      </c>
    </row>
    <row r="7927">
      <c r="A7927" s="131">
        <f>IFERROR(__xludf.DUMMYFUNCTION("""COMPUTED_VALUE"""),46187.62086805556)</f>
        <v>46187.62087</v>
      </c>
      <c r="B7927" s="126">
        <f>IFERROR(__xludf.DUMMYFUNCTION("""COMPUTED_VALUE"""),46187.0)</f>
        <v>46187</v>
      </c>
      <c r="C7927" s="122" t="str">
        <f>IFERROR(__xludf.DUMMYFUNCTION("""COMPUTED_VALUE"""),"TECH")</f>
        <v>TECH</v>
      </c>
      <c r="D7927" s="122" t="str">
        <f>IFERROR(__xludf.DUMMYFUNCTION("""COMPUTED_VALUE"""),"Dragon Tech")</f>
        <v>Dragon Tech</v>
      </c>
      <c r="E7927" s="122">
        <f>IFERROR(__xludf.DUMMYFUNCTION("""COMPUTED_VALUE"""),256.77)</f>
        <v>256.77</v>
      </c>
      <c r="F7927" s="122">
        <f>IFERROR(__xludf.DUMMYFUNCTION("""COMPUTED_VALUE"""),-0.0014)</f>
        <v>-0.0014</v>
      </c>
    </row>
    <row r="7928">
      <c r="A7928" s="131">
        <f>IFERROR(__xludf.DUMMYFUNCTION("""COMPUTED_VALUE"""),46187.62086805556)</f>
        <v>46187.62087</v>
      </c>
      <c r="B7928" s="126">
        <f>IFERROR(__xludf.DUMMYFUNCTION("""COMPUTED_VALUE"""),46187.0)</f>
        <v>46187</v>
      </c>
      <c r="C7928" s="122" t="str">
        <f>IFERROR(__xludf.DUMMYFUNCTION("""COMPUTED_VALUE"""),"AIBO")</f>
        <v>AIBO</v>
      </c>
      <c r="D7928" s="122" t="str">
        <f>IFERROR(__xludf.DUMMYFUNCTION("""COMPUTED_VALUE"""),"Homework AI")</f>
        <v>Homework AI</v>
      </c>
      <c r="E7928" s="122">
        <f>IFERROR(__xludf.DUMMYFUNCTION("""COMPUTED_VALUE"""),192.73)</f>
        <v>192.73</v>
      </c>
      <c r="F7928" s="122">
        <f>IFERROR(__xludf.DUMMYFUNCTION("""COMPUTED_VALUE"""),0.0048)</f>
        <v>0.0048</v>
      </c>
    </row>
    <row r="7929">
      <c r="A7929" s="131">
        <f>IFERROR(__xludf.DUMMYFUNCTION("""COMPUTED_VALUE"""),46187.62086805556)</f>
        <v>46187.62087</v>
      </c>
      <c r="B7929" s="126">
        <f>IFERROR(__xludf.DUMMYFUNCTION("""COMPUTED_VALUE"""),46187.0)</f>
        <v>46187</v>
      </c>
      <c r="C7929" s="122" t="str">
        <f>IFERROR(__xludf.DUMMYFUNCTION("""COMPUTED_VALUE"""),"GAME")</f>
        <v>GAME</v>
      </c>
      <c r="D7929" s="122" t="str">
        <f>IFERROR(__xludf.DUMMYFUNCTION("""COMPUTED_VALUE"""),"GameBox Media")</f>
        <v>GameBox Media</v>
      </c>
      <c r="E7929" s="122">
        <f>IFERROR(__xludf.DUMMYFUNCTION("""COMPUTED_VALUE"""),102.46)</f>
        <v>102.46</v>
      </c>
      <c r="F7929" s="122">
        <f>IFERROR(__xludf.DUMMYFUNCTION("""COMPUTED_VALUE"""),-0.0031)</f>
        <v>-0.0031</v>
      </c>
    </row>
    <row r="7930">
      <c r="A7930" s="131">
        <f>IFERROR(__xludf.DUMMYFUNCTION("""COMPUTED_VALUE"""),46187.62086805556)</f>
        <v>46187.62087</v>
      </c>
      <c r="B7930" s="126">
        <f>IFERROR(__xludf.DUMMYFUNCTION("""COMPUTED_VALUE"""),46187.0)</f>
        <v>46187</v>
      </c>
      <c r="C7930" s="122" t="str">
        <f>IFERROR(__xludf.DUMMYFUNCTION("""COMPUTED_VALUE"""),"VRSE")</f>
        <v>VRSE</v>
      </c>
      <c r="D7930" s="122" t="str">
        <f>IFERROR(__xludf.DUMMYFUNCTION("""COMPUTED_VALUE"""),"VerseVR")</f>
        <v>VerseVR</v>
      </c>
      <c r="E7930" s="122">
        <f>IFERROR(__xludf.DUMMYFUNCTION("""COMPUTED_VALUE"""),146.81)</f>
        <v>146.81</v>
      </c>
      <c r="F7930" s="122">
        <f>IFERROR(__xludf.DUMMYFUNCTION("""COMPUTED_VALUE"""),-0.0011)</f>
        <v>-0.0011</v>
      </c>
    </row>
    <row r="7931">
      <c r="A7931" s="131">
        <f>IFERROR(__xludf.DUMMYFUNCTION("""COMPUTED_VALUE"""),46187.62086805556)</f>
        <v>46187.62087</v>
      </c>
      <c r="B7931" s="126">
        <f>IFERROR(__xludf.DUMMYFUNCTION("""COMPUTED_VALUE"""),46187.0)</f>
        <v>46187</v>
      </c>
      <c r="C7931" s="122" t="str">
        <f>IFERROR(__xludf.DUMMYFUNCTION("""COMPUTED_VALUE"""),"BYTE")</f>
        <v>BYTE</v>
      </c>
      <c r="D7931" s="122" t="str">
        <f>IFERROR(__xludf.DUMMYFUNCTION("""COMPUTED_VALUE"""),"ByteWorks")</f>
        <v>ByteWorks</v>
      </c>
      <c r="E7931" s="122">
        <f>IFERROR(__xludf.DUMMYFUNCTION("""COMPUTED_VALUE"""),113.13)</f>
        <v>113.13</v>
      </c>
      <c r="F7931" s="122">
        <f>IFERROR(__xludf.DUMMYFUNCTION("""COMPUTED_VALUE"""),-0.0075)</f>
        <v>-0.0075</v>
      </c>
    </row>
    <row r="7932">
      <c r="A7932" s="131">
        <f>IFERROR(__xludf.DUMMYFUNCTION("""COMPUTED_VALUE"""),46187.62086805556)</f>
        <v>46187.62087</v>
      </c>
      <c r="B7932" s="126">
        <f>IFERROR(__xludf.DUMMYFUNCTION("""COMPUTED_VALUE"""),46187.0)</f>
        <v>46187</v>
      </c>
      <c r="C7932" s="122" t="str">
        <f>IFERROR(__xludf.DUMMYFUNCTION("""COMPUTED_VALUE"""),"BANK")</f>
        <v>BANK</v>
      </c>
      <c r="D7932" s="122" t="str">
        <f>IFERROR(__xludf.DUMMYFUNCTION("""COMPUTED_VALUE"""),"Tiger Bank")</f>
        <v>Tiger Bank</v>
      </c>
      <c r="E7932" s="122">
        <f>IFERROR(__xludf.DUMMYFUNCTION("""COMPUTED_VALUE"""),132.19)</f>
        <v>132.19</v>
      </c>
      <c r="F7932" s="122">
        <f>IFERROR(__xludf.DUMMYFUNCTION("""COMPUTED_VALUE"""),0.0022)</f>
        <v>0.0022</v>
      </c>
    </row>
    <row r="7933">
      <c r="A7933" s="131">
        <f>IFERROR(__xludf.DUMMYFUNCTION("""COMPUTED_VALUE"""),46187.62086805556)</f>
        <v>46187.62087</v>
      </c>
      <c r="B7933" s="126">
        <f>IFERROR(__xludf.DUMMYFUNCTION("""COMPUTED_VALUE"""),46187.0)</f>
        <v>46187</v>
      </c>
      <c r="C7933" s="122" t="str">
        <f>IFERROR(__xludf.DUMMYFUNCTION("""COMPUTED_VALUE"""),"CRED")</f>
        <v>CRED</v>
      </c>
      <c r="D7933" s="122" t="str">
        <f>IFERROR(__xludf.DUMMYFUNCTION("""COMPUTED_VALUE"""),"Credit Castle")</f>
        <v>Credit Castle</v>
      </c>
      <c r="E7933" s="122">
        <f>IFERROR(__xludf.DUMMYFUNCTION("""COMPUTED_VALUE"""),66.46)</f>
        <v>66.46</v>
      </c>
      <c r="F7933" s="122">
        <f>IFERROR(__xludf.DUMMYFUNCTION("""COMPUTED_VALUE"""),-2.0E-4)</f>
        <v>-0.0002</v>
      </c>
    </row>
    <row r="7934">
      <c r="A7934" s="131">
        <f>IFERROR(__xludf.DUMMYFUNCTION("""COMPUTED_VALUE"""),46187.62086805556)</f>
        <v>46187.62087</v>
      </c>
      <c r="B7934" s="126">
        <f>IFERROR(__xludf.DUMMYFUNCTION("""COMPUTED_VALUE"""),46187.0)</f>
        <v>46187</v>
      </c>
      <c r="C7934" s="122" t="str">
        <f>IFERROR(__xludf.DUMMYFUNCTION("""COMPUTED_VALUE"""),"BOND")</f>
        <v>BOND</v>
      </c>
      <c r="D7934" s="122" t="str">
        <f>IFERROR(__xludf.DUMMYFUNCTION("""COMPUTED_VALUE"""),"BondBridge")</f>
        <v>BondBridge</v>
      </c>
      <c r="E7934" s="122">
        <f>IFERROR(__xludf.DUMMYFUNCTION("""COMPUTED_VALUE"""),104.7)</f>
        <v>104.7</v>
      </c>
      <c r="F7934" s="122">
        <f>IFERROR(__xludf.DUMMYFUNCTION("""COMPUTED_VALUE"""),0.0015)</f>
        <v>0.0015</v>
      </c>
    </row>
    <row r="7935">
      <c r="A7935" s="131">
        <f>IFERROR(__xludf.DUMMYFUNCTION("""COMPUTED_VALUE"""),46187.62086805556)</f>
        <v>46187.62087</v>
      </c>
      <c r="B7935" s="126">
        <f>IFERROR(__xludf.DUMMYFUNCTION("""COMPUTED_VALUE"""),46187.0)</f>
        <v>46187</v>
      </c>
      <c r="C7935" s="122" t="str">
        <f>IFERROR(__xludf.DUMMYFUNCTION("""COMPUTED_VALUE"""),"INSR")</f>
        <v>INSR</v>
      </c>
      <c r="D7935" s="122" t="str">
        <f>IFERROR(__xludf.DUMMYFUNCTION("""COMPUTED_VALUE"""),"Shield Insurance")</f>
        <v>Shield Insurance</v>
      </c>
      <c r="E7935" s="122">
        <f>IFERROR(__xludf.DUMMYFUNCTION("""COMPUTED_VALUE"""),156.74)</f>
        <v>156.74</v>
      </c>
      <c r="F7935" s="122">
        <f>IFERROR(__xludf.DUMMYFUNCTION("""COMPUTED_VALUE"""),0.0012)</f>
        <v>0.0012</v>
      </c>
    </row>
    <row r="7936">
      <c r="A7936" s="131">
        <f>IFERROR(__xludf.DUMMYFUNCTION("""COMPUTED_VALUE"""),46187.62086805556)</f>
        <v>46187.62087</v>
      </c>
      <c r="B7936" s="126">
        <f>IFERROR(__xludf.DUMMYFUNCTION("""COMPUTED_VALUE"""),46187.0)</f>
        <v>46187</v>
      </c>
      <c r="C7936" s="122" t="str">
        <f>IFERROR(__xludf.DUMMYFUNCTION("""COMPUTED_VALUE"""),"LOAN")</f>
        <v>LOAN</v>
      </c>
      <c r="D7936" s="122" t="str">
        <f>IFERROR(__xludf.DUMMYFUNCTION("""COMPUTED_VALUE"""),"LoanLab")</f>
        <v>LoanLab</v>
      </c>
      <c r="E7936" s="122">
        <f>IFERROR(__xludf.DUMMYFUNCTION("""COMPUTED_VALUE"""),71.6)</f>
        <v>71.6</v>
      </c>
      <c r="F7936" s="122">
        <f>IFERROR(__xludf.DUMMYFUNCTION("""COMPUTED_VALUE"""),-8.0E-4)</f>
        <v>-0.0008</v>
      </c>
    </row>
    <row r="7937">
      <c r="A7937" s="131">
        <f>IFERROR(__xludf.DUMMYFUNCTION("""COMPUTED_VALUE"""),46187.62086805556)</f>
        <v>46187.62087</v>
      </c>
      <c r="B7937" s="126">
        <f>IFERROR(__xludf.DUMMYFUNCTION("""COMPUTED_VALUE"""),46187.0)</f>
        <v>46187</v>
      </c>
      <c r="C7937" s="122" t="str">
        <f>IFERROR(__xludf.DUMMYFUNCTION("""COMPUTED_VALUE"""),"LUXE")</f>
        <v>LUXE</v>
      </c>
      <c r="D7937" s="122" t="str">
        <f>IFERROR(__xludf.DUMMYFUNCTION("""COMPUTED_VALUE"""),"Luxury Locker")</f>
        <v>Luxury Locker</v>
      </c>
      <c r="E7937" s="122">
        <f>IFERROR(__xludf.DUMMYFUNCTION("""COMPUTED_VALUE"""),263.13)</f>
        <v>263.13</v>
      </c>
      <c r="F7937" s="122">
        <f>IFERROR(__xludf.DUMMYFUNCTION("""COMPUTED_VALUE"""),0.0013)</f>
        <v>0.0013</v>
      </c>
    </row>
    <row r="7938">
      <c r="A7938" s="131">
        <f>IFERROR(__xludf.DUMMYFUNCTION("""COMPUTED_VALUE"""),46187.62086805556)</f>
        <v>46187.62087</v>
      </c>
      <c r="B7938" s="126">
        <f>IFERROR(__xludf.DUMMYFUNCTION("""COMPUTED_VALUE"""),46187.0)</f>
        <v>46187</v>
      </c>
      <c r="C7938" s="122" t="str">
        <f>IFERROR(__xludf.DUMMYFUNCTION("""COMPUTED_VALUE"""),"DRIP")</f>
        <v>DRIP</v>
      </c>
      <c r="D7938" s="122" t="str">
        <f>IFERROR(__xludf.DUMMYFUNCTION("""COMPUTED_VALUE"""),"Drip Streetwear")</f>
        <v>Drip Streetwear</v>
      </c>
      <c r="E7938" s="122">
        <f>IFERROR(__xludf.DUMMYFUNCTION("""COMPUTED_VALUE"""),188.6)</f>
        <v>188.6</v>
      </c>
      <c r="F7938" s="122">
        <f>IFERROR(__xludf.DUMMYFUNCTION("""COMPUTED_VALUE"""),0.0095)</f>
        <v>0.0095</v>
      </c>
    </row>
    <row r="7939">
      <c r="A7939" s="131">
        <f>IFERROR(__xludf.DUMMYFUNCTION("""COMPUTED_VALUE"""),46187.62086805556)</f>
        <v>46187.62087</v>
      </c>
      <c r="B7939" s="126">
        <f>IFERROR(__xludf.DUMMYFUNCTION("""COMPUTED_VALUE"""),46187.0)</f>
        <v>46187</v>
      </c>
      <c r="C7939" s="122" t="str">
        <f>IFERROR(__xludf.DUMMYFUNCTION("""COMPUTED_VALUE"""),"KICK")</f>
        <v>KICK</v>
      </c>
      <c r="D7939" s="122" t="str">
        <f>IFERROR(__xludf.DUMMYFUNCTION("""COMPUTED_VALUE"""),"KickDrop Sneakers")</f>
        <v>KickDrop Sneakers</v>
      </c>
      <c r="E7939" s="122">
        <f>IFERROR(__xludf.DUMMYFUNCTION("""COMPUTED_VALUE"""),167.56)</f>
        <v>167.56</v>
      </c>
      <c r="F7939" s="122">
        <f>IFERROR(__xludf.DUMMYFUNCTION("""COMPUTED_VALUE"""),0.0048)</f>
        <v>0.0048</v>
      </c>
    </row>
    <row r="7940">
      <c r="A7940" s="131">
        <f>IFERROR(__xludf.DUMMYFUNCTION("""COMPUTED_VALUE"""),46187.62086805556)</f>
        <v>46187.62087</v>
      </c>
      <c r="B7940" s="126">
        <f>IFERROR(__xludf.DUMMYFUNCTION("""COMPUTED_VALUE"""),46187.0)</f>
        <v>46187</v>
      </c>
      <c r="C7940" s="122" t="str">
        <f>IFERROR(__xludf.DUMMYFUNCTION("""COMPUTED_VALUE"""),"GLAM")</f>
        <v>GLAM</v>
      </c>
      <c r="D7940" s="122" t="str">
        <f>IFERROR(__xludf.DUMMYFUNCTION("""COMPUTED_VALUE"""),"Glow Cosmetics")</f>
        <v>Glow Cosmetics</v>
      </c>
      <c r="E7940" s="122">
        <f>IFERROR(__xludf.DUMMYFUNCTION("""COMPUTED_VALUE"""),110.71)</f>
        <v>110.71</v>
      </c>
      <c r="F7940" s="122">
        <f>IFERROR(__xludf.DUMMYFUNCTION("""COMPUTED_VALUE"""),-0.0011)</f>
        <v>-0.0011</v>
      </c>
    </row>
    <row r="7941">
      <c r="A7941" s="131">
        <f>IFERROR(__xludf.DUMMYFUNCTION("""COMPUTED_VALUE"""),46187.62086805556)</f>
        <v>46187.62087</v>
      </c>
      <c r="B7941" s="126">
        <f>IFERROR(__xludf.DUMMYFUNCTION("""COMPUTED_VALUE"""),46187.0)</f>
        <v>46187</v>
      </c>
      <c r="C7941" s="122" t="str">
        <f>IFERROR(__xludf.DUMMYFUNCTION("""COMPUTED_VALUE"""),"BAGG")</f>
        <v>BAGG</v>
      </c>
      <c r="D7941" s="122" t="str">
        <f>IFERROR(__xludf.DUMMYFUNCTION("""COMPUTED_VALUE"""),"BagVault")</f>
        <v>BagVault</v>
      </c>
      <c r="E7941" s="122">
        <f>IFERROR(__xludf.DUMMYFUNCTION("""COMPUTED_VALUE"""),277.42)</f>
        <v>277.42</v>
      </c>
      <c r="F7941" s="122">
        <f>IFERROR(__xludf.DUMMYFUNCTION("""COMPUTED_VALUE"""),-0.0057)</f>
        <v>-0.0057</v>
      </c>
    </row>
    <row r="7942">
      <c r="A7942" s="131">
        <f>IFERROR(__xludf.DUMMYFUNCTION("""COMPUTED_VALUE"""),46187.62086805556)</f>
        <v>46187.62087</v>
      </c>
      <c r="B7942" s="126">
        <f>IFERROR(__xludf.DUMMYFUNCTION("""COMPUTED_VALUE"""),46187.0)</f>
        <v>46187</v>
      </c>
      <c r="C7942" s="122" t="str">
        <f>IFERROR(__xludf.DUMMYFUNCTION("""COMPUTED_VALUE"""),"FAST")</f>
        <v>FAST</v>
      </c>
      <c r="D7942" s="122" t="str">
        <f>IFERROR(__xludf.DUMMYFUNCTION("""COMPUTED_VALUE"""),"Flash Logistics")</f>
        <v>Flash Logistics</v>
      </c>
      <c r="E7942" s="122">
        <f>IFERROR(__xludf.DUMMYFUNCTION("""COMPUTED_VALUE"""),107.93)</f>
        <v>107.93</v>
      </c>
      <c r="F7942" s="122">
        <f>IFERROR(__xludf.DUMMYFUNCTION("""COMPUTED_VALUE"""),-0.0012)</f>
        <v>-0.0012</v>
      </c>
    </row>
    <row r="7943">
      <c r="A7943" s="131">
        <f>IFERROR(__xludf.DUMMYFUNCTION("""COMPUTED_VALUE"""),46187.62086805556)</f>
        <v>46187.62087</v>
      </c>
      <c r="B7943" s="126">
        <f>IFERROR(__xludf.DUMMYFUNCTION("""COMPUTED_VALUE"""),46187.0)</f>
        <v>46187</v>
      </c>
      <c r="C7943" s="122" t="str">
        <f>IFERROR(__xludf.DUMMYFUNCTION("""COMPUTED_VALUE"""),"SHIP")</f>
        <v>SHIP</v>
      </c>
      <c r="D7943" s="122" t="str">
        <f>IFERROR(__xludf.DUMMYFUNCTION("""COMPUTED_VALUE"""),"Seoul Shipping")</f>
        <v>Seoul Shipping</v>
      </c>
      <c r="E7943" s="122">
        <f>IFERROR(__xludf.DUMMYFUNCTION("""COMPUTED_VALUE"""),130.87)</f>
        <v>130.87</v>
      </c>
      <c r="F7943" s="122">
        <f>IFERROR(__xludf.DUMMYFUNCTION("""COMPUTED_VALUE"""),0.0068)</f>
        <v>0.0068</v>
      </c>
    </row>
    <row r="7944">
      <c r="A7944" s="131">
        <f>IFERROR(__xludf.DUMMYFUNCTION("""COMPUTED_VALUE"""),46187.62086805556)</f>
        <v>46187.62087</v>
      </c>
      <c r="B7944" s="126">
        <f>IFERROR(__xludf.DUMMYFUNCTION("""COMPUTED_VALUE"""),46187.0)</f>
        <v>46187</v>
      </c>
      <c r="C7944" s="122" t="str">
        <f>IFERROR(__xludf.DUMMYFUNCTION("""COMPUTED_VALUE"""),"DRON")</f>
        <v>DRON</v>
      </c>
      <c r="D7944" s="122" t="str">
        <f>IFERROR(__xludf.DUMMYFUNCTION("""COMPUTED_VALUE"""),"DroneDrop")</f>
        <v>DroneDrop</v>
      </c>
      <c r="E7944" s="122">
        <f>IFERROR(__xludf.DUMMYFUNCTION("""COMPUTED_VALUE"""),124.24)</f>
        <v>124.24</v>
      </c>
      <c r="F7944" s="122">
        <f>IFERROR(__xludf.DUMMYFUNCTION("""COMPUTED_VALUE"""),-0.0051)</f>
        <v>-0.0051</v>
      </c>
    </row>
    <row r="7945">
      <c r="A7945" s="131">
        <f>IFERROR(__xludf.DUMMYFUNCTION("""COMPUTED_VALUE"""),46187.62086805556)</f>
        <v>46187.62087</v>
      </c>
      <c r="B7945" s="126">
        <f>IFERROR(__xludf.DUMMYFUNCTION("""COMPUTED_VALUE"""),46187.0)</f>
        <v>46187</v>
      </c>
      <c r="C7945" s="122" t="str">
        <f>IFERROR(__xludf.DUMMYFUNCTION("""COMPUTED_VALUE"""),"RIDE")</f>
        <v>RIDE</v>
      </c>
      <c r="D7945" s="122" t="str">
        <f>IFERROR(__xludf.DUMMYFUNCTION("""COMPUTED_VALUE"""),"QuickRide")</f>
        <v>QuickRide</v>
      </c>
      <c r="E7945" s="122">
        <f>IFERROR(__xludf.DUMMYFUNCTION("""COMPUTED_VALUE"""),101.59)</f>
        <v>101.59</v>
      </c>
      <c r="F7945" s="122">
        <f>IFERROR(__xludf.DUMMYFUNCTION("""COMPUTED_VALUE"""),-0.0085)</f>
        <v>-0.0085</v>
      </c>
    </row>
    <row r="7946">
      <c r="A7946" s="131">
        <f>IFERROR(__xludf.DUMMYFUNCTION("""COMPUTED_VALUE"""),46187.62086805556)</f>
        <v>46187.62087</v>
      </c>
      <c r="B7946" s="126">
        <f>IFERROR(__xludf.DUMMYFUNCTION("""COMPUTED_VALUE"""),46187.0)</f>
        <v>46187</v>
      </c>
      <c r="C7946" s="122" t="str">
        <f>IFERROR(__xludf.DUMMYFUNCTION("""COMPUTED_VALUE"""),"RAIL")</f>
        <v>RAIL</v>
      </c>
      <c r="D7946" s="122" t="str">
        <f>IFERROR(__xludf.DUMMYFUNCTION("""COMPUTED_VALUE"""),"MetroRail Corp")</f>
        <v>MetroRail Corp</v>
      </c>
      <c r="E7946" s="122">
        <f>IFERROR(__xludf.DUMMYFUNCTION("""COMPUTED_VALUE"""),132.01)</f>
        <v>132.01</v>
      </c>
      <c r="F7946" s="122">
        <f>IFERROR(__xludf.DUMMYFUNCTION("""COMPUTED_VALUE"""),0.0011)</f>
        <v>0.0011</v>
      </c>
    </row>
    <row r="7947">
      <c r="A7947" s="131">
        <f>IFERROR(__xludf.DUMMYFUNCTION("""COMPUTED_VALUE"""),46187.62086805556)</f>
        <v>46187.62087</v>
      </c>
      <c r="B7947" s="126">
        <f>IFERROR(__xludf.DUMMYFUNCTION("""COMPUTED_VALUE"""),46187.0)</f>
        <v>46187</v>
      </c>
      <c r="C7947" s="122" t="str">
        <f>IFERROR(__xludf.DUMMYFUNCTION("""COMPUTED_VALUE"""),"MEDX")</f>
        <v>MEDX</v>
      </c>
      <c r="D7947" s="122" t="str">
        <f>IFERROR(__xludf.DUMMYFUNCTION("""COMPUTED_VALUE"""),"MediCore")</f>
        <v>MediCore</v>
      </c>
      <c r="E7947" s="122">
        <f>IFERROR(__xludf.DUMMYFUNCTION("""COMPUTED_VALUE"""),137.95)</f>
        <v>137.95</v>
      </c>
      <c r="F7947" s="122">
        <f>IFERROR(__xludf.DUMMYFUNCTION("""COMPUTED_VALUE"""),8.0E-4)</f>
        <v>0.0008</v>
      </c>
    </row>
    <row r="7948">
      <c r="A7948" s="131">
        <f>IFERROR(__xludf.DUMMYFUNCTION("""COMPUTED_VALUE"""),46187.62086805556)</f>
        <v>46187.62087</v>
      </c>
      <c r="B7948" s="126">
        <f>IFERROR(__xludf.DUMMYFUNCTION("""COMPUTED_VALUE"""),46187.0)</f>
        <v>46187</v>
      </c>
      <c r="C7948" s="122" t="str">
        <f>IFERROR(__xludf.DUMMYFUNCTION("""COMPUTED_VALUE"""),"GYMX")</f>
        <v>GYMX</v>
      </c>
      <c r="D7948" s="122" t="str">
        <f>IFERROR(__xludf.DUMMYFUNCTION("""COMPUTED_VALUE"""),"GymX Fitness")</f>
        <v>GymX Fitness</v>
      </c>
      <c r="E7948" s="122">
        <f>IFERROR(__xludf.DUMMYFUNCTION("""COMPUTED_VALUE"""),83.7)</f>
        <v>83.7</v>
      </c>
      <c r="F7948" s="122">
        <f>IFERROR(__xludf.DUMMYFUNCTION("""COMPUTED_VALUE"""),-0.0066)</f>
        <v>-0.0066</v>
      </c>
    </row>
    <row r="7949">
      <c r="A7949" s="131">
        <f>IFERROR(__xludf.DUMMYFUNCTION("""COMPUTED_VALUE"""),46187.62086805556)</f>
        <v>46187.62087</v>
      </c>
      <c r="B7949" s="126">
        <f>IFERROR(__xludf.DUMMYFUNCTION("""COMPUTED_VALUE"""),46187.0)</f>
        <v>46187</v>
      </c>
      <c r="C7949" s="122" t="str">
        <f>IFERROR(__xludf.DUMMYFUNCTION("""COMPUTED_VALUE"""),"VITA")</f>
        <v>VITA</v>
      </c>
      <c r="D7949" s="122" t="str">
        <f>IFERROR(__xludf.DUMMYFUNCTION("""COMPUTED_VALUE"""),"VitaPlus")</f>
        <v>VitaPlus</v>
      </c>
      <c r="E7949" s="122">
        <f>IFERROR(__xludf.DUMMYFUNCTION("""COMPUTED_VALUE"""),72.83)</f>
        <v>72.83</v>
      </c>
      <c r="F7949" s="122">
        <f>IFERROR(__xludf.DUMMYFUNCTION("""COMPUTED_VALUE"""),-5.0E-4)</f>
        <v>-0.0005</v>
      </c>
    </row>
    <row r="7950">
      <c r="A7950" s="131">
        <f>IFERROR(__xludf.DUMMYFUNCTION("""COMPUTED_VALUE"""),46187.62086805556)</f>
        <v>46187.62087</v>
      </c>
      <c r="B7950" s="126">
        <f>IFERROR(__xludf.DUMMYFUNCTION("""COMPUTED_VALUE"""),46187.0)</f>
        <v>46187</v>
      </c>
      <c r="C7950" s="122" t="str">
        <f>IFERROR(__xludf.DUMMYFUNCTION("""COMPUTED_VALUE"""),"CARE")</f>
        <v>CARE</v>
      </c>
      <c r="D7950" s="122" t="str">
        <f>IFERROR(__xludf.DUMMYFUNCTION("""COMPUTED_VALUE"""),"CareCloud")</f>
        <v>CareCloud</v>
      </c>
      <c r="E7950" s="122">
        <f>IFERROR(__xludf.DUMMYFUNCTION("""COMPUTED_VALUE"""),185.73)</f>
        <v>185.73</v>
      </c>
      <c r="F7950" s="122">
        <f>IFERROR(__xludf.DUMMYFUNCTION("""COMPUTED_VALUE"""),-0.0013)</f>
        <v>-0.0013</v>
      </c>
    </row>
    <row r="7951">
      <c r="A7951" s="131">
        <f>IFERROR(__xludf.DUMMYFUNCTION("""COMPUTED_VALUE"""),46187.62086805556)</f>
        <v>46187.62087</v>
      </c>
      <c r="B7951" s="126">
        <f>IFERROR(__xludf.DUMMYFUNCTION("""COMPUTED_VALUE"""),46187.0)</f>
        <v>46187</v>
      </c>
      <c r="C7951" s="122" t="str">
        <f>IFERROR(__xludf.DUMMYFUNCTION("""COMPUTED_VALUE"""),"DENT")</f>
        <v>DENT</v>
      </c>
      <c r="D7951" s="122" t="str">
        <f>IFERROR(__xludf.DUMMYFUNCTION("""COMPUTED_VALUE"""),"SmileWorks")</f>
        <v>SmileWorks</v>
      </c>
      <c r="E7951" s="122">
        <f>IFERROR(__xludf.DUMMYFUNCTION("""COMPUTED_VALUE"""),95.88)</f>
        <v>95.88</v>
      </c>
      <c r="F7951" s="122">
        <f>IFERROR(__xludf.DUMMYFUNCTION("""COMPUTED_VALUE"""),0.0032)</f>
        <v>0.0032</v>
      </c>
    </row>
    <row r="7952">
      <c r="A7952" s="131">
        <f>IFERROR(__xludf.DUMMYFUNCTION("""COMPUTED_VALUE"""),46187.62086805556)</f>
        <v>46187.62087</v>
      </c>
      <c r="B7952" s="126">
        <f>IFERROR(__xludf.DUMMYFUNCTION("""COMPUTED_VALUE"""),46187.0)</f>
        <v>46187</v>
      </c>
      <c r="C7952" s="122" t="str">
        <f>IFERROR(__xludf.DUMMYFUNCTION("""COMPUTED_VALUE"""),"EDUX")</f>
        <v>EDUX</v>
      </c>
      <c r="D7952" s="122" t="str">
        <f>IFERROR(__xludf.DUMMYFUNCTION("""COMPUTED_VALUE"""),"EduMax Learning")</f>
        <v>EduMax Learning</v>
      </c>
      <c r="E7952" s="122">
        <f>IFERROR(__xludf.DUMMYFUNCTION("""COMPUTED_VALUE"""),148.19)</f>
        <v>148.19</v>
      </c>
      <c r="F7952" s="122">
        <f>IFERROR(__xludf.DUMMYFUNCTION("""COMPUTED_VALUE"""),0.0028)</f>
        <v>0.0028</v>
      </c>
    </row>
    <row r="7953">
      <c r="A7953" s="131">
        <f>IFERROR(__xludf.DUMMYFUNCTION("""COMPUTED_VALUE"""),46187.62086805556)</f>
        <v>46187.62087</v>
      </c>
      <c r="B7953" s="126">
        <f>IFERROR(__xludf.DUMMYFUNCTION("""COMPUTED_VALUE"""),46187.0)</f>
        <v>46187</v>
      </c>
      <c r="C7953" s="122" t="str">
        <f>IFERROR(__xludf.DUMMYFUNCTION("""COMPUTED_VALUE"""),"BOOK")</f>
        <v>BOOK</v>
      </c>
      <c r="D7953" s="122" t="str">
        <f>IFERROR(__xludf.DUMMYFUNCTION("""COMPUTED_VALUE"""),"BookBridge")</f>
        <v>BookBridge</v>
      </c>
      <c r="E7953" s="122">
        <f>IFERROR(__xludf.DUMMYFUNCTION("""COMPUTED_VALUE"""),120.8)</f>
        <v>120.8</v>
      </c>
      <c r="F7953" s="122">
        <f>IFERROR(__xludf.DUMMYFUNCTION("""COMPUTED_VALUE"""),-0.0029)</f>
        <v>-0.0029</v>
      </c>
    </row>
    <row r="7954">
      <c r="A7954" s="131">
        <f>IFERROR(__xludf.DUMMYFUNCTION("""COMPUTED_VALUE"""),46187.62086805556)</f>
        <v>46187.62087</v>
      </c>
      <c r="B7954" s="126">
        <f>IFERROR(__xludf.DUMMYFUNCTION("""COMPUTED_VALUE"""),46187.0)</f>
        <v>46187</v>
      </c>
      <c r="C7954" s="122" t="str">
        <f>IFERROR(__xludf.DUMMYFUNCTION("""COMPUTED_VALUE"""),"TUTR")</f>
        <v>TUTR</v>
      </c>
      <c r="D7954" s="122" t="str">
        <f>IFERROR(__xludf.DUMMYFUNCTION("""COMPUTED_VALUE"""),"TutorTown")</f>
        <v>TutorTown</v>
      </c>
      <c r="E7954" s="122">
        <f>IFERROR(__xludf.DUMMYFUNCTION("""COMPUTED_VALUE"""),92.01)</f>
        <v>92.01</v>
      </c>
      <c r="F7954" s="122">
        <f>IFERROR(__xludf.DUMMYFUNCTION("""COMPUTED_VALUE"""),0.0022)</f>
        <v>0.0022</v>
      </c>
    </row>
    <row r="7955">
      <c r="A7955" s="131">
        <f>IFERROR(__xludf.DUMMYFUNCTION("""COMPUTED_VALUE"""),46187.62086805556)</f>
        <v>46187.62087</v>
      </c>
      <c r="B7955" s="126">
        <f>IFERROR(__xludf.DUMMYFUNCTION("""COMPUTED_VALUE"""),46187.0)</f>
        <v>46187</v>
      </c>
      <c r="C7955" s="122" t="str">
        <f>IFERROR(__xludf.DUMMYFUNCTION("""COMPUTED_VALUE"""),"LANG")</f>
        <v>LANG</v>
      </c>
      <c r="D7955" s="122" t="str">
        <f>IFERROR(__xludf.DUMMYFUNCTION("""COMPUTED_VALUE"""),"LinguaLab")</f>
        <v>LinguaLab</v>
      </c>
      <c r="E7955" s="122">
        <f>IFERROR(__xludf.DUMMYFUNCTION("""COMPUTED_VALUE"""),102.54)</f>
        <v>102.54</v>
      </c>
      <c r="F7955" s="122">
        <f>IFERROR(__xludf.DUMMYFUNCTION("""COMPUTED_VALUE"""),-0.0012)</f>
        <v>-0.0012</v>
      </c>
    </row>
    <row r="7956">
      <c r="A7956" s="131">
        <f>IFERROR(__xludf.DUMMYFUNCTION("""COMPUTED_VALUE"""),46187.62086805556)</f>
        <v>46187.62087</v>
      </c>
      <c r="B7956" s="126">
        <f>IFERROR(__xludf.DUMMYFUNCTION("""COMPUTED_VALUE"""),46187.0)</f>
        <v>46187</v>
      </c>
      <c r="C7956" s="122" t="str">
        <f>IFERROR(__xludf.DUMMYFUNCTION("""COMPUTED_VALUE"""),"TEST")</f>
        <v>TEST</v>
      </c>
      <c r="D7956" s="122" t="str">
        <f>IFERROR(__xludf.DUMMYFUNCTION("""COMPUTED_VALUE"""),"TestPrep Pro")</f>
        <v>TestPrep Pro</v>
      </c>
      <c r="E7956" s="122">
        <f>IFERROR(__xludf.DUMMYFUNCTION("""COMPUTED_VALUE"""),89.63)</f>
        <v>89.63</v>
      </c>
      <c r="F7956" s="122">
        <f>IFERROR(__xludf.DUMMYFUNCTION("""COMPUTED_VALUE"""),-0.0069)</f>
        <v>-0.0069</v>
      </c>
    </row>
    <row r="7957">
      <c r="A7957" s="131">
        <f>IFERROR(__xludf.DUMMYFUNCTION("""COMPUTED_VALUE"""),46187.62086805556)</f>
        <v>46187.62087</v>
      </c>
      <c r="B7957" s="126">
        <f>IFERROR(__xludf.DUMMYFUNCTION("""COMPUTED_VALUE"""),46187.0)</f>
        <v>46187</v>
      </c>
      <c r="C7957" s="122" t="str">
        <f>IFERROR(__xludf.DUMMYFUNCTION("""COMPUTED_VALUE"""),"MOVI")</f>
        <v>MOVI</v>
      </c>
      <c r="D7957" s="122" t="str">
        <f>IFERROR(__xludf.DUMMYFUNCTION("""COMPUTED_VALUE"""),"MovieBox")</f>
        <v>MovieBox</v>
      </c>
      <c r="E7957" s="122">
        <f>IFERROR(__xludf.DUMMYFUNCTION("""COMPUTED_VALUE"""),83.82)</f>
        <v>83.82</v>
      </c>
      <c r="F7957" s="122">
        <f>IFERROR(__xludf.DUMMYFUNCTION("""COMPUTED_VALUE"""),-0.003)</f>
        <v>-0.003</v>
      </c>
    </row>
    <row r="7958">
      <c r="A7958" s="131">
        <f>IFERROR(__xludf.DUMMYFUNCTION("""COMPUTED_VALUE"""),46187.62086805556)</f>
        <v>46187.62087</v>
      </c>
      <c r="B7958" s="126">
        <f>IFERROR(__xludf.DUMMYFUNCTION("""COMPUTED_VALUE"""),46187.0)</f>
        <v>46187</v>
      </c>
      <c r="C7958" s="122" t="str">
        <f>IFERROR(__xludf.DUMMYFUNCTION("""COMPUTED_VALUE"""),"MUSC")</f>
        <v>MUSC</v>
      </c>
      <c r="D7958" s="122" t="str">
        <f>IFERROR(__xludf.DUMMYFUNCTION("""COMPUTED_VALUE"""),"MusicWave")</f>
        <v>MusicWave</v>
      </c>
      <c r="E7958" s="122">
        <f>IFERROR(__xludf.DUMMYFUNCTION("""COMPUTED_VALUE"""),103.44)</f>
        <v>103.44</v>
      </c>
      <c r="F7958" s="122">
        <f>IFERROR(__xludf.DUMMYFUNCTION("""COMPUTED_VALUE"""),-7.0E-4)</f>
        <v>-0.0007</v>
      </c>
    </row>
    <row r="7959">
      <c r="A7959" s="131">
        <f>IFERROR(__xludf.DUMMYFUNCTION("""COMPUTED_VALUE"""),46187.62086805556)</f>
        <v>46187.62087</v>
      </c>
      <c r="B7959" s="126">
        <f>IFERROR(__xludf.DUMMYFUNCTION("""COMPUTED_VALUE"""),46187.0)</f>
        <v>46187</v>
      </c>
      <c r="C7959" s="122" t="str">
        <f>IFERROR(__xludf.DUMMYFUNCTION("""COMPUTED_VALUE"""),"IDOL")</f>
        <v>IDOL</v>
      </c>
      <c r="D7959" s="122" t="str">
        <f>IFERROR(__xludf.DUMMYFUNCTION("""COMPUTED_VALUE"""),"Idol Agency")</f>
        <v>Idol Agency</v>
      </c>
      <c r="E7959" s="122">
        <f>IFERROR(__xludf.DUMMYFUNCTION("""COMPUTED_VALUE"""),185.27)</f>
        <v>185.27</v>
      </c>
      <c r="F7959" s="122">
        <f>IFERROR(__xludf.DUMMYFUNCTION("""COMPUTED_VALUE"""),0.0077)</f>
        <v>0.0077</v>
      </c>
    </row>
    <row r="7960">
      <c r="A7960" s="131">
        <f>IFERROR(__xludf.DUMMYFUNCTION("""COMPUTED_VALUE"""),46187.62086805556)</f>
        <v>46187.62087</v>
      </c>
      <c r="B7960" s="126">
        <f>IFERROR(__xludf.DUMMYFUNCTION("""COMPUTED_VALUE"""),46187.0)</f>
        <v>46187</v>
      </c>
      <c r="C7960" s="122" t="str">
        <f>IFERROR(__xludf.DUMMYFUNCTION("""COMPUTED_VALUE"""),"MEME")</f>
        <v>MEME</v>
      </c>
      <c r="D7960" s="122" t="str">
        <f>IFERROR(__xludf.DUMMYFUNCTION("""COMPUTED_VALUE"""),"Meme Media")</f>
        <v>Meme Media</v>
      </c>
      <c r="E7960" s="122">
        <f>IFERROR(__xludf.DUMMYFUNCTION("""COMPUTED_VALUE"""),72.68)</f>
        <v>72.68</v>
      </c>
      <c r="F7960" s="122">
        <f>IFERROR(__xludf.DUMMYFUNCTION("""COMPUTED_VALUE"""),-0.0012)</f>
        <v>-0.0012</v>
      </c>
    </row>
    <row r="7961">
      <c r="A7961" s="131">
        <f>IFERROR(__xludf.DUMMYFUNCTION("""COMPUTED_VALUE"""),46187.62086805556)</f>
        <v>46187.62087</v>
      </c>
      <c r="B7961" s="126">
        <f>IFERROR(__xludf.DUMMYFUNCTION("""COMPUTED_VALUE"""),46187.0)</f>
        <v>46187</v>
      </c>
      <c r="C7961" s="122" t="str">
        <f>IFERROR(__xludf.DUMMYFUNCTION("""COMPUTED_VALUE"""),"STRM")</f>
        <v>STRM</v>
      </c>
      <c r="D7961" s="122" t="str">
        <f>IFERROR(__xludf.DUMMYFUNCTION("""COMPUTED_VALUE"""),"Streamly")</f>
        <v>Streamly</v>
      </c>
      <c r="E7961" s="122">
        <f>IFERROR(__xludf.DUMMYFUNCTION("""COMPUTED_VALUE"""),135.03)</f>
        <v>135.03</v>
      </c>
      <c r="F7961" s="122">
        <f>IFERROR(__xludf.DUMMYFUNCTION("""COMPUTED_VALUE"""),0.0021)</f>
        <v>0.0021</v>
      </c>
    </row>
    <row r="7962">
      <c r="A7962" s="131">
        <f>IFERROR(__xludf.DUMMYFUNCTION("""COMPUTED_VALUE"""),46187.62086805556)</f>
        <v>46187.62087</v>
      </c>
      <c r="B7962" s="126">
        <f>IFERROR(__xludf.DUMMYFUNCTION("""COMPUTED_VALUE"""),46187.0)</f>
        <v>46187</v>
      </c>
      <c r="C7962" s="122" t="str">
        <f>IFERROR(__xludf.DUMMYFUNCTION("""COMPUTED_VALUE"""),"FARM")</f>
        <v>FARM</v>
      </c>
      <c r="D7962" s="122" t="str">
        <f>IFERROR(__xludf.DUMMYFUNCTION("""COMPUTED_VALUE"""),"Future Farms")</f>
        <v>Future Farms</v>
      </c>
      <c r="E7962" s="122">
        <f>IFERROR(__xludf.DUMMYFUNCTION("""COMPUTED_VALUE"""),97.21)</f>
        <v>97.21</v>
      </c>
      <c r="F7962" s="122">
        <f>IFERROR(__xludf.DUMMYFUNCTION("""COMPUTED_VALUE"""),0.0024)</f>
        <v>0.0024</v>
      </c>
    </row>
    <row r="7963">
      <c r="A7963" s="131">
        <f>IFERROR(__xludf.DUMMYFUNCTION("""COMPUTED_VALUE"""),46187.62086805556)</f>
        <v>46187.62087</v>
      </c>
      <c r="B7963" s="126">
        <f>IFERROR(__xludf.DUMMYFUNCTION("""COMPUTED_VALUE"""),46187.0)</f>
        <v>46187</v>
      </c>
      <c r="C7963" s="122" t="str">
        <f>IFERROR(__xludf.DUMMYFUNCTION("""COMPUTED_VALUE"""),"MEAT")</f>
        <v>MEAT</v>
      </c>
      <c r="D7963" s="122" t="str">
        <f>IFERROR(__xludf.DUMMYFUNCTION("""COMPUTED_VALUE"""),"MeatWorks")</f>
        <v>MeatWorks</v>
      </c>
      <c r="E7963" s="122">
        <f>IFERROR(__xludf.DUMMYFUNCTION("""COMPUTED_VALUE"""),103.93)</f>
        <v>103.93</v>
      </c>
      <c r="F7963" s="122">
        <f>IFERROR(__xludf.DUMMYFUNCTION("""COMPUTED_VALUE"""),-0.0053)</f>
        <v>-0.0053</v>
      </c>
    </row>
    <row r="7964">
      <c r="A7964" s="131">
        <f>IFERROR(__xludf.DUMMYFUNCTION("""COMPUTED_VALUE"""),46187.62086805556)</f>
        <v>46187.62087</v>
      </c>
      <c r="B7964" s="126">
        <f>IFERROR(__xludf.DUMMYFUNCTION("""COMPUTED_VALUE"""),46187.0)</f>
        <v>46187</v>
      </c>
      <c r="C7964" s="122" t="str">
        <f>IFERROR(__xludf.DUMMYFUNCTION("""COMPUTED_VALUE"""),"VEGI")</f>
        <v>VEGI</v>
      </c>
      <c r="D7964" s="122" t="str">
        <f>IFERROR(__xludf.DUMMYFUNCTION("""COMPUTED_VALUE"""),"Green Basket")</f>
        <v>Green Basket</v>
      </c>
      <c r="E7964" s="122">
        <f>IFERROR(__xludf.DUMMYFUNCTION("""COMPUTED_VALUE"""),77.07)</f>
        <v>77.07</v>
      </c>
      <c r="F7964" s="122">
        <f>IFERROR(__xludf.DUMMYFUNCTION("""COMPUTED_VALUE"""),-0.0037)</f>
        <v>-0.0037</v>
      </c>
    </row>
    <row r="7965">
      <c r="A7965" s="131">
        <f>IFERROR(__xludf.DUMMYFUNCTION("""COMPUTED_VALUE"""),46187.62086805556)</f>
        <v>46187.62087</v>
      </c>
      <c r="B7965" s="126">
        <f>IFERROR(__xludf.DUMMYFUNCTION("""COMPUTED_VALUE"""),46187.0)</f>
        <v>46187</v>
      </c>
      <c r="C7965" s="122" t="str">
        <f>IFERROR(__xludf.DUMMYFUNCTION("""COMPUTED_VALUE"""),"CAFE")</f>
        <v>CAFE</v>
      </c>
      <c r="D7965" s="122" t="str">
        <f>IFERROR(__xludf.DUMMYFUNCTION("""COMPUTED_VALUE"""),"Cafe Cloud")</f>
        <v>Cafe Cloud</v>
      </c>
      <c r="E7965" s="122">
        <f>IFERROR(__xludf.DUMMYFUNCTION("""COMPUTED_VALUE"""),102.23)</f>
        <v>102.23</v>
      </c>
      <c r="F7965" s="122">
        <f>IFERROR(__xludf.DUMMYFUNCTION("""COMPUTED_VALUE"""),0.0069)</f>
        <v>0.0069</v>
      </c>
    </row>
    <row r="7966">
      <c r="A7966" s="131">
        <f>IFERROR(__xludf.DUMMYFUNCTION("""COMPUTED_VALUE"""),46187.62086805556)</f>
        <v>46187.62087</v>
      </c>
      <c r="B7966" s="126">
        <f>IFERROR(__xludf.DUMMYFUNCTION("""COMPUTED_VALUE"""),46187.0)</f>
        <v>46187</v>
      </c>
      <c r="C7966" s="122" t="str">
        <f>IFERROR(__xludf.DUMMYFUNCTION("""COMPUTED_VALUE"""),"BAKE")</f>
        <v>BAKE</v>
      </c>
      <c r="D7966" s="122" t="str">
        <f>IFERROR(__xludf.DUMMYFUNCTION("""COMPUTED_VALUE"""),"BakeHouse")</f>
        <v>BakeHouse</v>
      </c>
      <c r="E7966" s="122">
        <f>IFERROR(__xludf.DUMMYFUNCTION("""COMPUTED_VALUE"""),99.96)</f>
        <v>99.96</v>
      </c>
      <c r="F7966" s="122">
        <f>IFERROR(__xludf.DUMMYFUNCTION("""COMPUTED_VALUE"""),9.0E-4)</f>
        <v>0.0009</v>
      </c>
    </row>
    <row r="7967">
      <c r="A7967" s="131">
        <f>IFERROR(__xludf.DUMMYFUNCTION("""COMPUTED_VALUE"""),46187.62086805556)</f>
        <v>46187.62087</v>
      </c>
      <c r="B7967" s="126">
        <f>IFERROR(__xludf.DUMMYFUNCTION("""COMPUTED_VALUE"""),46187.0)</f>
        <v>46187</v>
      </c>
      <c r="C7967" s="122" t="str">
        <f>IFERROR(__xludf.DUMMYFUNCTION("""COMPUTED_VALUE"""),"OILX")</f>
        <v>OILX</v>
      </c>
      <c r="D7967" s="122" t="str">
        <f>IFERROR(__xludf.DUMMYFUNCTION("""COMPUTED_VALUE"""),"OilMax Energy")</f>
        <v>OilMax Energy</v>
      </c>
      <c r="E7967" s="122">
        <f>IFERROR(__xludf.DUMMYFUNCTION("""COMPUTED_VALUE"""),134.96)</f>
        <v>134.96</v>
      </c>
      <c r="F7967" s="122">
        <f>IFERROR(__xludf.DUMMYFUNCTION("""COMPUTED_VALUE"""),5.0E-4)</f>
        <v>0.0005</v>
      </c>
    </row>
    <row r="7968">
      <c r="A7968" s="131">
        <f>IFERROR(__xludf.DUMMYFUNCTION("""COMPUTED_VALUE"""),46187.62086805556)</f>
        <v>46187.62087</v>
      </c>
      <c r="B7968" s="126">
        <f>IFERROR(__xludf.DUMMYFUNCTION("""COMPUTED_VALUE"""),46187.0)</f>
        <v>46187</v>
      </c>
      <c r="C7968" s="122" t="str">
        <f>IFERROR(__xludf.DUMMYFUNCTION("""COMPUTED_VALUE"""),"SOLR")</f>
        <v>SOLR</v>
      </c>
      <c r="D7968" s="122" t="str">
        <f>IFERROR(__xludf.DUMMYFUNCTION("""COMPUTED_VALUE"""),"SolarSpark")</f>
        <v>SolarSpark</v>
      </c>
      <c r="E7968" s="122">
        <f>IFERROR(__xludf.DUMMYFUNCTION("""COMPUTED_VALUE"""),106.88)</f>
        <v>106.88</v>
      </c>
      <c r="F7968" s="122">
        <f>IFERROR(__xludf.DUMMYFUNCTION("""COMPUTED_VALUE"""),-7.0E-4)</f>
        <v>-0.0007</v>
      </c>
    </row>
    <row r="7969">
      <c r="A7969" s="131">
        <f>IFERROR(__xludf.DUMMYFUNCTION("""COMPUTED_VALUE"""),46187.62086805556)</f>
        <v>46187.62087</v>
      </c>
      <c r="B7969" s="126">
        <f>IFERROR(__xludf.DUMMYFUNCTION("""COMPUTED_VALUE"""),46187.0)</f>
        <v>46187</v>
      </c>
      <c r="C7969" s="122" t="str">
        <f>IFERROR(__xludf.DUMMYFUNCTION("""COMPUTED_VALUE"""),"BATT")</f>
        <v>BATT</v>
      </c>
      <c r="D7969" s="122" t="str">
        <f>IFERROR(__xludf.DUMMYFUNCTION("""COMPUTED_VALUE"""),"BatteryBox")</f>
        <v>BatteryBox</v>
      </c>
      <c r="E7969" s="122">
        <f>IFERROR(__xludf.DUMMYFUNCTION("""COMPUTED_VALUE"""),125.17)</f>
        <v>125.17</v>
      </c>
      <c r="F7969" s="122">
        <f>IFERROR(__xludf.DUMMYFUNCTION("""COMPUTED_VALUE"""),0.0116)</f>
        <v>0.0116</v>
      </c>
    </row>
    <row r="7970">
      <c r="A7970" s="131">
        <f>IFERROR(__xludf.DUMMYFUNCTION("""COMPUTED_VALUE"""),46187.62086805556)</f>
        <v>46187.62087</v>
      </c>
      <c r="B7970" s="126">
        <f>IFERROR(__xludf.DUMMYFUNCTION("""COMPUTED_VALUE"""),46187.0)</f>
        <v>46187</v>
      </c>
      <c r="C7970" s="122" t="str">
        <f>IFERROR(__xludf.DUMMYFUNCTION("""COMPUTED_VALUE"""),"WIND")</f>
        <v>WIND</v>
      </c>
      <c r="D7970" s="122" t="str">
        <f>IFERROR(__xludf.DUMMYFUNCTION("""COMPUTED_VALUE"""),"WindWorks")</f>
        <v>WindWorks</v>
      </c>
      <c r="E7970" s="122">
        <f>IFERROR(__xludf.DUMMYFUNCTION("""COMPUTED_VALUE"""),86.79)</f>
        <v>86.79</v>
      </c>
      <c r="F7970" s="122">
        <f>IFERROR(__xludf.DUMMYFUNCTION("""COMPUTED_VALUE"""),-0.0046)</f>
        <v>-0.0046</v>
      </c>
    </row>
    <row r="7971">
      <c r="A7971" s="131">
        <f>IFERROR(__xludf.DUMMYFUNCTION("""COMPUTED_VALUE"""),46187.62086805556)</f>
        <v>46187.62087</v>
      </c>
      <c r="B7971" s="126">
        <f>IFERROR(__xludf.DUMMYFUNCTION("""COMPUTED_VALUE"""),46187.0)</f>
        <v>46187</v>
      </c>
      <c r="C7971" s="122" t="str">
        <f>IFERROR(__xludf.DUMMYFUNCTION("""COMPUTED_VALUE"""),"GRID")</f>
        <v>GRID</v>
      </c>
      <c r="D7971" s="122" t="str">
        <f>IFERROR(__xludf.DUMMYFUNCTION("""COMPUTED_VALUE"""),"GridPower")</f>
        <v>GridPower</v>
      </c>
      <c r="E7971" s="122">
        <f>IFERROR(__xludf.DUMMYFUNCTION("""COMPUTED_VALUE"""),129.8)</f>
        <v>129.8</v>
      </c>
      <c r="F7971" s="122">
        <f>IFERROR(__xludf.DUMMYFUNCTION("""COMPUTED_VALUE"""),0.0032)</f>
        <v>0.0032</v>
      </c>
    </row>
    <row r="7972">
      <c r="A7972" s="131">
        <f>IFERROR(__xludf.DUMMYFUNCTION("""COMPUTED_VALUE"""),46187.62086805556)</f>
        <v>46187.62087</v>
      </c>
      <c r="B7972" s="126">
        <f>IFERROR(__xludf.DUMMYFUNCTION("""COMPUTED_VALUE"""),46187.0)</f>
        <v>46187</v>
      </c>
      <c r="C7972" s="122" t="str">
        <f>IFERROR(__xludf.DUMMYFUNCTION("""COMPUTED_VALUE"""),"HOME")</f>
        <v>HOME</v>
      </c>
      <c r="D7972" s="122" t="str">
        <f>IFERROR(__xludf.DUMMYFUNCTION("""COMPUTED_VALUE"""),"HomeHub")</f>
        <v>HomeHub</v>
      </c>
      <c r="E7972" s="122">
        <f>IFERROR(__xludf.DUMMYFUNCTION("""COMPUTED_VALUE"""),159.29)</f>
        <v>159.29</v>
      </c>
      <c r="F7972" s="122">
        <f>IFERROR(__xludf.DUMMYFUNCTION("""COMPUTED_VALUE"""),0.003)</f>
        <v>0.003</v>
      </c>
    </row>
    <row r="7973">
      <c r="A7973" s="131">
        <f>IFERROR(__xludf.DUMMYFUNCTION("""COMPUTED_VALUE"""),46187.62086805556)</f>
        <v>46187.62087</v>
      </c>
      <c r="B7973" s="126">
        <f>IFERROR(__xludf.DUMMYFUNCTION("""COMPUTED_VALUE"""),46187.0)</f>
        <v>46187</v>
      </c>
      <c r="C7973" s="122" t="str">
        <f>IFERROR(__xludf.DUMMYFUNCTION("""COMPUTED_VALUE"""),"RENT")</f>
        <v>RENT</v>
      </c>
      <c r="D7973" s="122" t="str">
        <f>IFERROR(__xludf.DUMMYFUNCTION("""COMPUTED_VALUE"""),"RentRight")</f>
        <v>RentRight</v>
      </c>
      <c r="E7973" s="122">
        <f>IFERROR(__xludf.DUMMYFUNCTION("""COMPUTED_VALUE"""),90.7)</f>
        <v>90.7</v>
      </c>
      <c r="F7973" s="122">
        <f>IFERROR(__xludf.DUMMYFUNCTION("""COMPUTED_VALUE"""),6.0E-4)</f>
        <v>0.0006</v>
      </c>
    </row>
    <row r="7974">
      <c r="A7974" s="131">
        <f>IFERROR(__xludf.DUMMYFUNCTION("""COMPUTED_VALUE"""),46187.62086805556)</f>
        <v>46187.62087</v>
      </c>
      <c r="B7974" s="126">
        <f>IFERROR(__xludf.DUMMYFUNCTION("""COMPUTED_VALUE"""),46187.0)</f>
        <v>46187</v>
      </c>
      <c r="C7974" s="122" t="str">
        <f>IFERROR(__xludf.DUMMYFUNCTION("""COMPUTED_VALUE"""),"MALL")</f>
        <v>MALL</v>
      </c>
      <c r="D7974" s="122" t="str">
        <f>IFERROR(__xludf.DUMMYFUNCTION("""COMPUTED_VALUE"""),"MegaMall")</f>
        <v>MegaMall</v>
      </c>
      <c r="E7974" s="122">
        <f>IFERROR(__xludf.DUMMYFUNCTION("""COMPUTED_VALUE"""),101.61)</f>
        <v>101.61</v>
      </c>
      <c r="F7974" s="122">
        <f>IFERROR(__xludf.DUMMYFUNCTION("""COMPUTED_VALUE"""),1.0E-4)</f>
        <v>0.0001</v>
      </c>
    </row>
    <row r="7975">
      <c r="A7975" s="131">
        <f>IFERROR(__xludf.DUMMYFUNCTION("""COMPUTED_VALUE"""),46187.62086805556)</f>
        <v>46187.62087</v>
      </c>
      <c r="B7975" s="126">
        <f>IFERROR(__xludf.DUMMYFUNCTION("""COMPUTED_VALUE"""),46187.0)</f>
        <v>46187</v>
      </c>
      <c r="C7975" s="122" t="str">
        <f>IFERROR(__xludf.DUMMYFUNCTION("""COMPUTED_VALUE"""),"HOTL")</f>
        <v>HOTL</v>
      </c>
      <c r="D7975" s="122" t="str">
        <f>IFERROR(__xludf.DUMMYFUNCTION("""COMPUTED_VALUE"""),"HotelHive")</f>
        <v>HotelHive</v>
      </c>
      <c r="E7975" s="122">
        <f>IFERROR(__xludf.DUMMYFUNCTION("""COMPUTED_VALUE"""),121.67)</f>
        <v>121.67</v>
      </c>
      <c r="F7975" s="122">
        <f>IFERROR(__xludf.DUMMYFUNCTION("""COMPUTED_VALUE"""),-0.0102)</f>
        <v>-0.0102</v>
      </c>
    </row>
    <row r="7976">
      <c r="A7976" s="131">
        <f>IFERROR(__xludf.DUMMYFUNCTION("""COMPUTED_VALUE"""),46187.62086805556)</f>
        <v>46187.62087</v>
      </c>
      <c r="B7976" s="126">
        <f>IFERROR(__xludf.DUMMYFUNCTION("""COMPUTED_VALUE"""),46187.0)</f>
        <v>46187</v>
      </c>
      <c r="C7976" s="122" t="str">
        <f>IFERROR(__xludf.DUMMYFUNCTION("""COMPUTED_VALUE"""),"LAND")</f>
        <v>LAND</v>
      </c>
      <c r="D7976" s="122" t="str">
        <f>IFERROR(__xludf.DUMMYFUNCTION("""COMPUTED_VALUE"""),"LandLink")</f>
        <v>LandLink</v>
      </c>
      <c r="E7976" s="122">
        <f>IFERROR(__xludf.DUMMYFUNCTION("""COMPUTED_VALUE"""),187.78)</f>
        <v>187.78</v>
      </c>
      <c r="F7976" s="122">
        <f>IFERROR(__xludf.DUMMYFUNCTION("""COMPUTED_VALUE"""),-7.0E-4)</f>
        <v>-0.0007</v>
      </c>
    </row>
    <row r="7977">
      <c r="A7977" s="131">
        <f>IFERROR(__xludf.DUMMYFUNCTION("""COMPUTED_VALUE"""),46187.62086805556)</f>
        <v>46187.62087</v>
      </c>
      <c r="B7977" s="126">
        <f>IFERROR(__xludf.DUMMYFUNCTION("""COMPUTED_VALUE"""),46187.0)</f>
        <v>46187</v>
      </c>
      <c r="C7977" s="122" t="str">
        <f>IFERROR(__xludf.DUMMYFUNCTION("""COMPUTED_VALUE"""),"CARS")</f>
        <v>CARS</v>
      </c>
      <c r="D7977" s="122" t="str">
        <f>IFERROR(__xludf.DUMMYFUNCTION("""COMPUTED_VALUE"""),"AutoArena")</f>
        <v>AutoArena</v>
      </c>
      <c r="E7977" s="122">
        <f>IFERROR(__xludf.DUMMYFUNCTION("""COMPUTED_VALUE"""),81.21)</f>
        <v>81.21</v>
      </c>
      <c r="F7977" s="122">
        <f>IFERROR(__xludf.DUMMYFUNCTION("""COMPUTED_VALUE"""),-0.0106)</f>
        <v>-0.0106</v>
      </c>
    </row>
    <row r="7978">
      <c r="A7978" s="131">
        <f>IFERROR(__xludf.DUMMYFUNCTION("""COMPUTED_VALUE"""),46187.62086805556)</f>
        <v>46187.62087</v>
      </c>
      <c r="B7978" s="126">
        <f>IFERROR(__xludf.DUMMYFUNCTION("""COMPUTED_VALUE"""),46187.0)</f>
        <v>46187</v>
      </c>
      <c r="C7978" s="122" t="str">
        <f>IFERROR(__xludf.DUMMYFUNCTION("""COMPUTED_VALUE"""),"EVGO")</f>
        <v>EVGO</v>
      </c>
      <c r="D7978" s="122" t="str">
        <f>IFERROR(__xludf.DUMMYFUNCTION("""COMPUTED_VALUE"""),"EVGo Motors")</f>
        <v>EVGo Motors</v>
      </c>
      <c r="E7978" s="122">
        <f>IFERROR(__xludf.DUMMYFUNCTION("""COMPUTED_VALUE"""),188.6)</f>
        <v>188.6</v>
      </c>
      <c r="F7978" s="122">
        <f>IFERROR(__xludf.DUMMYFUNCTION("""COMPUTED_VALUE"""),9.0E-4)</f>
        <v>0.0009</v>
      </c>
    </row>
    <row r="7979">
      <c r="A7979" s="131">
        <f>IFERROR(__xludf.DUMMYFUNCTION("""COMPUTED_VALUE"""),46187.62086805556)</f>
        <v>46187.62087</v>
      </c>
      <c r="B7979" s="126">
        <f>IFERROR(__xludf.DUMMYFUNCTION("""COMPUTED_VALUE"""),46187.0)</f>
        <v>46187</v>
      </c>
      <c r="C7979" s="122" t="str">
        <f>IFERROR(__xludf.DUMMYFUNCTION("""COMPUTED_VALUE"""),"TIRE")</f>
        <v>TIRE</v>
      </c>
      <c r="D7979" s="122" t="str">
        <f>IFERROR(__xludf.DUMMYFUNCTION("""COMPUTED_VALUE"""),"TireTown")</f>
        <v>TireTown</v>
      </c>
      <c r="E7979" s="122">
        <f>IFERROR(__xludf.DUMMYFUNCTION("""COMPUTED_VALUE"""),98.03)</f>
        <v>98.03</v>
      </c>
      <c r="F7979" s="122">
        <f>IFERROR(__xludf.DUMMYFUNCTION("""COMPUTED_VALUE"""),-0.0011)</f>
        <v>-0.0011</v>
      </c>
    </row>
    <row r="7980">
      <c r="A7980" s="131">
        <f>IFERROR(__xludf.DUMMYFUNCTION("""COMPUTED_VALUE"""),46187.62086805556)</f>
        <v>46187.62087</v>
      </c>
      <c r="B7980" s="126">
        <f>IFERROR(__xludf.DUMMYFUNCTION("""COMPUTED_VALUE"""),46187.0)</f>
        <v>46187</v>
      </c>
      <c r="C7980" s="122" t="str">
        <f>IFERROR(__xludf.DUMMYFUNCTION("""COMPUTED_VALUE"""),"BIKE")</f>
        <v>BIKE</v>
      </c>
      <c r="D7980" s="122" t="str">
        <f>IFERROR(__xludf.DUMMYFUNCTION("""COMPUTED_VALUE"""),"BikeBox")</f>
        <v>BikeBox</v>
      </c>
      <c r="E7980" s="122">
        <f>IFERROR(__xludf.DUMMYFUNCTION("""COMPUTED_VALUE"""),52.45)</f>
        <v>52.45</v>
      </c>
      <c r="F7980" s="122">
        <f>IFERROR(__xludf.DUMMYFUNCTION("""COMPUTED_VALUE"""),-0.0029)</f>
        <v>-0.0029</v>
      </c>
    </row>
    <row r="7981">
      <c r="A7981" s="131">
        <f>IFERROR(__xludf.DUMMYFUNCTION("""COMPUTED_VALUE"""),46187.62086805556)</f>
        <v>46187.62087</v>
      </c>
      <c r="B7981" s="126">
        <f>IFERROR(__xludf.DUMMYFUNCTION("""COMPUTED_VALUE"""),46187.0)</f>
        <v>46187</v>
      </c>
      <c r="C7981" s="122" t="str">
        <f>IFERROR(__xludf.DUMMYFUNCTION("""COMPUTED_VALUE"""),"WASH")</f>
        <v>WASH</v>
      </c>
      <c r="D7981" s="122" t="str">
        <f>IFERROR(__xludf.DUMMYFUNCTION("""COMPUTED_VALUE"""),"CarWash Co")</f>
        <v>CarWash Co</v>
      </c>
      <c r="E7981" s="122">
        <f>IFERROR(__xludf.DUMMYFUNCTION("""COMPUTED_VALUE"""),121.01)</f>
        <v>121.01</v>
      </c>
      <c r="F7981" s="122">
        <f>IFERROR(__xludf.DUMMYFUNCTION("""COMPUTED_VALUE"""),-0.0036)</f>
        <v>-0.0036</v>
      </c>
    </row>
    <row r="7982">
      <c r="A7982" s="131">
        <f>IFERROR(__xludf.DUMMYFUNCTION("""COMPUTED_VALUE"""),46187.62086805556)</f>
        <v>46187.62087</v>
      </c>
      <c r="B7982" s="126">
        <f>IFERROR(__xludf.DUMMYFUNCTION("""COMPUTED_VALUE"""),46187.0)</f>
        <v>46187</v>
      </c>
      <c r="C7982" s="122" t="str">
        <f>IFERROR(__xludf.DUMMYFUNCTION("""COMPUTED_VALUE"""),"GBND")</f>
        <v>GBND</v>
      </c>
      <c r="D7982" s="122" t="str">
        <f>IFERROR(__xludf.DUMMYFUNCTION("""COMPUTED_VALUE"""),"Classroom Government Bond")</f>
        <v>Classroom Government Bond</v>
      </c>
      <c r="E7982" s="122">
        <f>IFERROR(__xludf.DUMMYFUNCTION("""COMPUTED_VALUE"""),101.07)</f>
        <v>101.07</v>
      </c>
      <c r="F7982" s="122">
        <f>IFERROR(__xludf.DUMMYFUNCTION("""COMPUTED_VALUE"""),-5.0E-4)</f>
        <v>-0.0005</v>
      </c>
    </row>
    <row r="7983">
      <c r="A7983" s="131">
        <f>IFERROR(__xludf.DUMMYFUNCTION("""COMPUTED_VALUE"""),46187.62086805556)</f>
        <v>46187.62087</v>
      </c>
      <c r="B7983" s="126">
        <f>IFERROR(__xludf.DUMMYFUNCTION("""COMPUTED_VALUE"""),46187.0)</f>
        <v>46187</v>
      </c>
      <c r="C7983" s="122" t="str">
        <f>IFERROR(__xludf.DUMMYFUNCTION("""COMPUTED_VALUE"""),"SBND")</f>
        <v>SBND</v>
      </c>
      <c r="D7983" s="122" t="str">
        <f>IFERROR(__xludf.DUMMYFUNCTION("""COMPUTED_VALUE"""),"School Savings Bond")</f>
        <v>School Savings Bond</v>
      </c>
      <c r="E7983" s="122">
        <f>IFERROR(__xludf.DUMMYFUNCTION("""COMPUTED_VALUE"""),99.24)</f>
        <v>99.24</v>
      </c>
      <c r="F7983" s="122">
        <f>IFERROR(__xludf.DUMMYFUNCTION("""COMPUTED_VALUE"""),2.0E-4)</f>
        <v>0.0002</v>
      </c>
    </row>
    <row r="7984">
      <c r="A7984" s="131">
        <f>IFERROR(__xludf.DUMMYFUNCTION("""COMPUTED_VALUE"""),46187.62086805556)</f>
        <v>46187.62087</v>
      </c>
      <c r="B7984" s="126">
        <f>IFERROR(__xludf.DUMMYFUNCTION("""COMPUTED_VALUE"""),46187.0)</f>
        <v>46187</v>
      </c>
      <c r="C7984" s="122" t="str">
        <f>IFERROR(__xludf.DUMMYFUNCTION("""COMPUTED_VALUE"""),"CBND")</f>
        <v>CBND</v>
      </c>
      <c r="D7984" s="122" t="str">
        <f>IFERROR(__xludf.DUMMYFUNCTION("""COMPUTED_VALUE"""),"Corporate Classroom Bond")</f>
        <v>Corporate Classroom Bond</v>
      </c>
      <c r="E7984" s="122">
        <f>IFERROR(__xludf.DUMMYFUNCTION("""COMPUTED_VALUE"""),97.76)</f>
        <v>97.76</v>
      </c>
      <c r="F7984" s="122">
        <f>IFERROR(__xludf.DUMMYFUNCTION("""COMPUTED_VALUE"""),-4.0E-4)</f>
        <v>-0.0004</v>
      </c>
    </row>
    <row r="7985">
      <c r="A7985" s="131">
        <f>IFERROR(__xludf.DUMMYFUNCTION("""COMPUTED_VALUE"""),46187.62086805556)</f>
        <v>46187.62087</v>
      </c>
      <c r="B7985" s="126">
        <f>IFERROR(__xludf.DUMMYFUNCTION("""COMPUTED_VALUE"""),46187.0)</f>
        <v>46187</v>
      </c>
      <c r="C7985" s="122" t="str">
        <f>IFERROR(__xludf.DUMMYFUNCTION("""COMPUTED_VALUE"""),"TBIL")</f>
        <v>TBIL</v>
      </c>
      <c r="D7985" s="122" t="str">
        <f>IFERROR(__xludf.DUMMYFUNCTION("""COMPUTED_VALUE"""),"Treasury Bill")</f>
        <v>Treasury Bill</v>
      </c>
      <c r="E7985" s="122">
        <f>IFERROR(__xludf.DUMMYFUNCTION("""COMPUTED_VALUE"""),97.67)</f>
        <v>97.67</v>
      </c>
      <c r="F7985" s="122">
        <f>IFERROR(__xludf.DUMMYFUNCTION("""COMPUTED_VALUE"""),-1.0E-4)</f>
        <v>-0.0001</v>
      </c>
    </row>
    <row r="7986">
      <c r="A7986" s="131">
        <f>IFERROR(__xludf.DUMMYFUNCTION("""COMPUTED_VALUE"""),46187.62086805556)</f>
        <v>46187.62087</v>
      </c>
      <c r="B7986" s="126">
        <f>IFERROR(__xludf.DUMMYFUNCTION("""COMPUTED_VALUE"""),46187.0)</f>
        <v>46187</v>
      </c>
      <c r="C7986" s="122" t="str">
        <f>IFERROR(__xludf.DUMMYFUNCTION("""COMPUTED_VALUE"""),"IBND")</f>
        <v>IBND</v>
      </c>
      <c r="D7986" s="122" t="str">
        <f>IFERROR(__xludf.DUMMYFUNCTION("""COMPUTED_VALUE"""),"Inflation Protected Bond")</f>
        <v>Inflation Protected Bond</v>
      </c>
      <c r="E7986" s="122">
        <f>IFERROR(__xludf.DUMMYFUNCTION("""COMPUTED_VALUE"""),100.81)</f>
        <v>100.81</v>
      </c>
      <c r="F7986" s="122">
        <f>IFERROR(__xludf.DUMMYFUNCTION("""COMPUTED_VALUE"""),-1.0E-4)</f>
        <v>-0.0001</v>
      </c>
    </row>
    <row r="7987">
      <c r="A7987" s="131">
        <f>IFERROR(__xludf.DUMMYFUNCTION("""COMPUTED_VALUE"""),46187.62300925926)</f>
        <v>46187.62301</v>
      </c>
      <c r="B7987" s="126">
        <f>IFERROR(__xludf.DUMMYFUNCTION("""COMPUTED_VALUE"""),46187.0)</f>
        <v>46187</v>
      </c>
      <c r="C7987" s="122" t="str">
        <f>IFERROR(__xludf.DUMMYFUNCTION("""COMPUTED_VALUE"""),"SNAX")</f>
        <v>SNAX</v>
      </c>
      <c r="D7987" s="122" t="str">
        <f>IFERROR(__xludf.DUMMYFUNCTION("""COMPUTED_VALUE"""),"MICA Snacks")</f>
        <v>MICA Snacks</v>
      </c>
      <c r="E7987" s="122">
        <f>IFERROR(__xludf.DUMMYFUNCTION("""COMPUTED_VALUE"""),122.29)</f>
        <v>122.29</v>
      </c>
      <c r="F7987" s="122">
        <f>IFERROR(__xludf.DUMMYFUNCTION("""COMPUTED_VALUE"""),0.0034)</f>
        <v>0.0034</v>
      </c>
    </row>
    <row r="7988">
      <c r="A7988" s="131">
        <f>IFERROR(__xludf.DUMMYFUNCTION("""COMPUTED_VALUE"""),46187.62300925926)</f>
        <v>46187.62301</v>
      </c>
      <c r="B7988" s="126">
        <f>IFERROR(__xludf.DUMMYFUNCTION("""COMPUTED_VALUE"""),46187.0)</f>
        <v>46187</v>
      </c>
      <c r="C7988" s="122" t="str">
        <f>IFERROR(__xludf.DUMMYFUNCTION("""COMPUTED_VALUE"""),"RAMN")</f>
        <v>RAMN</v>
      </c>
      <c r="D7988" s="122" t="str">
        <f>IFERROR(__xludf.DUMMYFUNCTION("""COMPUTED_VALUE"""),"Ramen Republic")</f>
        <v>Ramen Republic</v>
      </c>
      <c r="E7988" s="122">
        <f>IFERROR(__xludf.DUMMYFUNCTION("""COMPUTED_VALUE"""),63.11)</f>
        <v>63.11</v>
      </c>
      <c r="F7988" s="122">
        <f>IFERROR(__xludf.DUMMYFUNCTION("""COMPUTED_VALUE"""),0.0017)</f>
        <v>0.0017</v>
      </c>
    </row>
    <row r="7989">
      <c r="A7989" s="131">
        <f>IFERROR(__xludf.DUMMYFUNCTION("""COMPUTED_VALUE"""),46187.62300925926)</f>
        <v>46187.62301</v>
      </c>
      <c r="B7989" s="126">
        <f>IFERROR(__xludf.DUMMYFUNCTION("""COMPUTED_VALUE"""),46187.0)</f>
        <v>46187</v>
      </c>
      <c r="C7989" s="122" t="str">
        <f>IFERROR(__xludf.DUMMYFUNCTION("""COMPUTED_VALUE"""),"COLA")</f>
        <v>COLA</v>
      </c>
      <c r="D7989" s="122" t="str">
        <f>IFERROR(__xludf.DUMMYFUNCTION("""COMPUTED_VALUE"""),"K-Pop Cola")</f>
        <v>K-Pop Cola</v>
      </c>
      <c r="E7989" s="122">
        <f>IFERROR(__xludf.DUMMYFUNCTION("""COMPUTED_VALUE"""),112.54)</f>
        <v>112.54</v>
      </c>
      <c r="F7989" s="122">
        <f>IFERROR(__xludf.DUMMYFUNCTION("""COMPUTED_VALUE"""),-0.0026)</f>
        <v>-0.0026</v>
      </c>
    </row>
    <row r="7990">
      <c r="A7990" s="131">
        <f>IFERROR(__xludf.DUMMYFUNCTION("""COMPUTED_VALUE"""),46187.62300925926)</f>
        <v>46187.62301</v>
      </c>
      <c r="B7990" s="126">
        <f>IFERROR(__xludf.DUMMYFUNCTION("""COMPUTED_VALUE"""),46187.0)</f>
        <v>46187</v>
      </c>
      <c r="C7990" s="122" t="str">
        <f>IFERROR(__xludf.DUMMYFUNCTION("""COMPUTED_VALUE"""),"CHIP")</f>
        <v>CHIP</v>
      </c>
      <c r="D7990" s="122" t="str">
        <f>IFERROR(__xludf.DUMMYFUNCTION("""COMPUTED_VALUE"""),"Chip Empire")</f>
        <v>Chip Empire</v>
      </c>
      <c r="E7990" s="122">
        <f>IFERROR(__xludf.DUMMYFUNCTION("""COMPUTED_VALUE"""),80.93)</f>
        <v>80.93</v>
      </c>
      <c r="F7990" s="122">
        <f>IFERROR(__xludf.DUMMYFUNCTION("""COMPUTED_VALUE"""),-0.0085)</f>
        <v>-0.0085</v>
      </c>
    </row>
    <row r="7991">
      <c r="A7991" s="131">
        <f>IFERROR(__xludf.DUMMYFUNCTION("""COMPUTED_VALUE"""),46187.62300925926)</f>
        <v>46187.62301</v>
      </c>
      <c r="B7991" s="126">
        <f>IFERROR(__xludf.DUMMYFUNCTION("""COMPUTED_VALUE"""),46187.0)</f>
        <v>46187</v>
      </c>
      <c r="C7991" s="122" t="str">
        <f>IFERROR(__xludf.DUMMYFUNCTION("""COMPUTED_VALUE"""),"CAND")</f>
        <v>CAND</v>
      </c>
      <c r="D7991" s="122" t="str">
        <f>IFERROR(__xludf.DUMMYFUNCTION("""COMPUTED_VALUE"""),"Candy Capital")</f>
        <v>Candy Capital</v>
      </c>
      <c r="E7991" s="122">
        <f>IFERROR(__xludf.DUMMYFUNCTION("""COMPUTED_VALUE"""),78.0)</f>
        <v>78</v>
      </c>
      <c r="F7991" s="122">
        <f>IFERROR(__xludf.DUMMYFUNCTION("""COMPUTED_VALUE"""),0.003)</f>
        <v>0.003</v>
      </c>
    </row>
    <row r="7992">
      <c r="A7992" s="131">
        <f>IFERROR(__xludf.DUMMYFUNCTION("""COMPUTED_VALUE"""),46187.62300925926)</f>
        <v>46187.62301</v>
      </c>
      <c r="B7992" s="126">
        <f>IFERROR(__xludf.DUMMYFUNCTION("""COMPUTED_VALUE"""),46187.0)</f>
        <v>46187</v>
      </c>
      <c r="C7992" s="122" t="str">
        <f>IFERROR(__xludf.DUMMYFUNCTION("""COMPUTED_VALUE"""),"TECH")</f>
        <v>TECH</v>
      </c>
      <c r="D7992" s="122" t="str">
        <f>IFERROR(__xludf.DUMMYFUNCTION("""COMPUTED_VALUE"""),"Dragon Tech")</f>
        <v>Dragon Tech</v>
      </c>
      <c r="E7992" s="122">
        <f>IFERROR(__xludf.DUMMYFUNCTION("""COMPUTED_VALUE"""),257.69)</f>
        <v>257.69</v>
      </c>
      <c r="F7992" s="122">
        <f>IFERROR(__xludf.DUMMYFUNCTION("""COMPUTED_VALUE"""),0.0036)</f>
        <v>0.0036</v>
      </c>
    </row>
    <row r="7993">
      <c r="A7993" s="131">
        <f>IFERROR(__xludf.DUMMYFUNCTION("""COMPUTED_VALUE"""),46187.62300925926)</f>
        <v>46187.62301</v>
      </c>
      <c r="B7993" s="126">
        <f>IFERROR(__xludf.DUMMYFUNCTION("""COMPUTED_VALUE"""),46187.0)</f>
        <v>46187</v>
      </c>
      <c r="C7993" s="122" t="str">
        <f>IFERROR(__xludf.DUMMYFUNCTION("""COMPUTED_VALUE"""),"AIBO")</f>
        <v>AIBO</v>
      </c>
      <c r="D7993" s="122" t="str">
        <f>IFERROR(__xludf.DUMMYFUNCTION("""COMPUTED_VALUE"""),"Homework AI")</f>
        <v>Homework AI</v>
      </c>
      <c r="E7993" s="122">
        <f>IFERROR(__xludf.DUMMYFUNCTION("""COMPUTED_VALUE"""),191.74)</f>
        <v>191.74</v>
      </c>
      <c r="F7993" s="122">
        <f>IFERROR(__xludf.DUMMYFUNCTION("""COMPUTED_VALUE"""),-0.0051)</f>
        <v>-0.0051</v>
      </c>
    </row>
    <row r="7994">
      <c r="A7994" s="131">
        <f>IFERROR(__xludf.DUMMYFUNCTION("""COMPUTED_VALUE"""),46187.62300925926)</f>
        <v>46187.62301</v>
      </c>
      <c r="B7994" s="126">
        <f>IFERROR(__xludf.DUMMYFUNCTION("""COMPUTED_VALUE"""),46187.0)</f>
        <v>46187</v>
      </c>
      <c r="C7994" s="122" t="str">
        <f>IFERROR(__xludf.DUMMYFUNCTION("""COMPUTED_VALUE"""),"GAME")</f>
        <v>GAME</v>
      </c>
      <c r="D7994" s="122" t="str">
        <f>IFERROR(__xludf.DUMMYFUNCTION("""COMPUTED_VALUE"""),"GameBox Media")</f>
        <v>GameBox Media</v>
      </c>
      <c r="E7994" s="122">
        <f>IFERROR(__xludf.DUMMYFUNCTION("""COMPUTED_VALUE"""),102.65)</f>
        <v>102.65</v>
      </c>
      <c r="F7994" s="122">
        <f>IFERROR(__xludf.DUMMYFUNCTION("""COMPUTED_VALUE"""),0.0019)</f>
        <v>0.0019</v>
      </c>
    </row>
    <row r="7995">
      <c r="A7995" s="131">
        <f>IFERROR(__xludf.DUMMYFUNCTION("""COMPUTED_VALUE"""),46187.62300925926)</f>
        <v>46187.62301</v>
      </c>
      <c r="B7995" s="126">
        <f>IFERROR(__xludf.DUMMYFUNCTION("""COMPUTED_VALUE"""),46187.0)</f>
        <v>46187</v>
      </c>
      <c r="C7995" s="122" t="str">
        <f>IFERROR(__xludf.DUMMYFUNCTION("""COMPUTED_VALUE"""),"VRSE")</f>
        <v>VRSE</v>
      </c>
      <c r="D7995" s="122" t="str">
        <f>IFERROR(__xludf.DUMMYFUNCTION("""COMPUTED_VALUE"""),"VerseVR")</f>
        <v>VerseVR</v>
      </c>
      <c r="E7995" s="122">
        <f>IFERROR(__xludf.DUMMYFUNCTION("""COMPUTED_VALUE"""),148.17)</f>
        <v>148.17</v>
      </c>
      <c r="F7995" s="122">
        <f>IFERROR(__xludf.DUMMYFUNCTION("""COMPUTED_VALUE"""),0.0093)</f>
        <v>0.0093</v>
      </c>
    </row>
    <row r="7996">
      <c r="A7996" s="131">
        <f>IFERROR(__xludf.DUMMYFUNCTION("""COMPUTED_VALUE"""),46187.62300925926)</f>
        <v>46187.62301</v>
      </c>
      <c r="B7996" s="126">
        <f>IFERROR(__xludf.DUMMYFUNCTION("""COMPUTED_VALUE"""),46187.0)</f>
        <v>46187</v>
      </c>
      <c r="C7996" s="122" t="str">
        <f>IFERROR(__xludf.DUMMYFUNCTION("""COMPUTED_VALUE"""),"BYTE")</f>
        <v>BYTE</v>
      </c>
      <c r="D7996" s="122" t="str">
        <f>IFERROR(__xludf.DUMMYFUNCTION("""COMPUTED_VALUE"""),"ByteWorks")</f>
        <v>ByteWorks</v>
      </c>
      <c r="E7996" s="122">
        <f>IFERROR(__xludf.DUMMYFUNCTION("""COMPUTED_VALUE"""),112.29)</f>
        <v>112.29</v>
      </c>
      <c r="F7996" s="122">
        <f>IFERROR(__xludf.DUMMYFUNCTION("""COMPUTED_VALUE"""),-0.0074)</f>
        <v>-0.0074</v>
      </c>
    </row>
    <row r="7997">
      <c r="A7997" s="131">
        <f>IFERROR(__xludf.DUMMYFUNCTION("""COMPUTED_VALUE"""),46187.62300925926)</f>
        <v>46187.62301</v>
      </c>
      <c r="B7997" s="126">
        <f>IFERROR(__xludf.DUMMYFUNCTION("""COMPUTED_VALUE"""),46187.0)</f>
        <v>46187</v>
      </c>
      <c r="C7997" s="122" t="str">
        <f>IFERROR(__xludf.DUMMYFUNCTION("""COMPUTED_VALUE"""),"BANK")</f>
        <v>BANK</v>
      </c>
      <c r="D7997" s="122" t="str">
        <f>IFERROR(__xludf.DUMMYFUNCTION("""COMPUTED_VALUE"""),"Tiger Bank")</f>
        <v>Tiger Bank</v>
      </c>
      <c r="E7997" s="122">
        <f>IFERROR(__xludf.DUMMYFUNCTION("""COMPUTED_VALUE"""),132.35)</f>
        <v>132.35</v>
      </c>
      <c r="F7997" s="122">
        <f>IFERROR(__xludf.DUMMYFUNCTION("""COMPUTED_VALUE"""),0.0012)</f>
        <v>0.0012</v>
      </c>
    </row>
    <row r="7998">
      <c r="A7998" s="131">
        <f>IFERROR(__xludf.DUMMYFUNCTION("""COMPUTED_VALUE"""),46187.62300925926)</f>
        <v>46187.62301</v>
      </c>
      <c r="B7998" s="126">
        <f>IFERROR(__xludf.DUMMYFUNCTION("""COMPUTED_VALUE"""),46187.0)</f>
        <v>46187</v>
      </c>
      <c r="C7998" s="122" t="str">
        <f>IFERROR(__xludf.DUMMYFUNCTION("""COMPUTED_VALUE"""),"CRED")</f>
        <v>CRED</v>
      </c>
      <c r="D7998" s="122" t="str">
        <f>IFERROR(__xludf.DUMMYFUNCTION("""COMPUTED_VALUE"""),"Credit Castle")</f>
        <v>Credit Castle</v>
      </c>
      <c r="E7998" s="122">
        <f>IFERROR(__xludf.DUMMYFUNCTION("""COMPUTED_VALUE"""),66.83)</f>
        <v>66.83</v>
      </c>
      <c r="F7998" s="122">
        <f>IFERROR(__xludf.DUMMYFUNCTION("""COMPUTED_VALUE"""),0.0056)</f>
        <v>0.0056</v>
      </c>
    </row>
    <row r="7999">
      <c r="A7999" s="131">
        <f>IFERROR(__xludf.DUMMYFUNCTION("""COMPUTED_VALUE"""),46187.62300925926)</f>
        <v>46187.62301</v>
      </c>
      <c r="B7999" s="126">
        <f>IFERROR(__xludf.DUMMYFUNCTION("""COMPUTED_VALUE"""),46187.0)</f>
        <v>46187</v>
      </c>
      <c r="C7999" s="122" t="str">
        <f>IFERROR(__xludf.DUMMYFUNCTION("""COMPUTED_VALUE"""),"BOND")</f>
        <v>BOND</v>
      </c>
      <c r="D7999" s="122" t="str">
        <f>IFERROR(__xludf.DUMMYFUNCTION("""COMPUTED_VALUE"""),"BondBridge")</f>
        <v>BondBridge</v>
      </c>
      <c r="E7999" s="122">
        <f>IFERROR(__xludf.DUMMYFUNCTION("""COMPUTED_VALUE"""),104.78)</f>
        <v>104.78</v>
      </c>
      <c r="F7999" s="122">
        <f>IFERROR(__xludf.DUMMYFUNCTION("""COMPUTED_VALUE"""),8.0E-4)</f>
        <v>0.0008</v>
      </c>
    </row>
    <row r="8000">
      <c r="A8000" s="131">
        <f>IFERROR(__xludf.DUMMYFUNCTION("""COMPUTED_VALUE"""),46187.62300925926)</f>
        <v>46187.62301</v>
      </c>
      <c r="B8000" s="126">
        <f>IFERROR(__xludf.DUMMYFUNCTION("""COMPUTED_VALUE"""),46187.0)</f>
        <v>46187</v>
      </c>
      <c r="C8000" s="122" t="str">
        <f>IFERROR(__xludf.DUMMYFUNCTION("""COMPUTED_VALUE"""),"INSR")</f>
        <v>INSR</v>
      </c>
      <c r="D8000" s="122" t="str">
        <f>IFERROR(__xludf.DUMMYFUNCTION("""COMPUTED_VALUE"""),"Shield Insurance")</f>
        <v>Shield Insurance</v>
      </c>
      <c r="E8000" s="122">
        <f>IFERROR(__xludf.DUMMYFUNCTION("""COMPUTED_VALUE"""),156.98)</f>
        <v>156.98</v>
      </c>
      <c r="F8000" s="122">
        <f>IFERROR(__xludf.DUMMYFUNCTION("""COMPUTED_VALUE"""),0.0015)</f>
        <v>0.0015</v>
      </c>
    </row>
    <row r="8001">
      <c r="A8001" s="131">
        <f>IFERROR(__xludf.DUMMYFUNCTION("""COMPUTED_VALUE"""),46187.62300925926)</f>
        <v>46187.62301</v>
      </c>
      <c r="B8001" s="126">
        <f>IFERROR(__xludf.DUMMYFUNCTION("""COMPUTED_VALUE"""),46187.0)</f>
        <v>46187</v>
      </c>
      <c r="C8001" s="122" t="str">
        <f>IFERROR(__xludf.DUMMYFUNCTION("""COMPUTED_VALUE"""),"LOAN")</f>
        <v>LOAN</v>
      </c>
      <c r="D8001" s="122" t="str">
        <f>IFERROR(__xludf.DUMMYFUNCTION("""COMPUTED_VALUE"""),"LoanLab")</f>
        <v>LoanLab</v>
      </c>
      <c r="E8001" s="122">
        <f>IFERROR(__xludf.DUMMYFUNCTION("""COMPUTED_VALUE"""),71.89)</f>
        <v>71.89</v>
      </c>
      <c r="F8001" s="122">
        <f>IFERROR(__xludf.DUMMYFUNCTION("""COMPUTED_VALUE"""),0.0041)</f>
        <v>0.0041</v>
      </c>
    </row>
    <row r="8002">
      <c r="A8002" s="131">
        <f>IFERROR(__xludf.DUMMYFUNCTION("""COMPUTED_VALUE"""),46187.62300925926)</f>
        <v>46187.62301</v>
      </c>
      <c r="B8002" s="126">
        <f>IFERROR(__xludf.DUMMYFUNCTION("""COMPUTED_VALUE"""),46187.0)</f>
        <v>46187</v>
      </c>
      <c r="C8002" s="122" t="str">
        <f>IFERROR(__xludf.DUMMYFUNCTION("""COMPUTED_VALUE"""),"LUXE")</f>
        <v>LUXE</v>
      </c>
      <c r="D8002" s="122" t="str">
        <f>IFERROR(__xludf.DUMMYFUNCTION("""COMPUTED_VALUE"""),"Luxury Locker")</f>
        <v>Luxury Locker</v>
      </c>
      <c r="E8002" s="122">
        <f>IFERROR(__xludf.DUMMYFUNCTION("""COMPUTED_VALUE"""),264.15)</f>
        <v>264.15</v>
      </c>
      <c r="F8002" s="122">
        <f>IFERROR(__xludf.DUMMYFUNCTION("""COMPUTED_VALUE"""),0.0039)</f>
        <v>0.0039</v>
      </c>
    </row>
    <row r="8003">
      <c r="A8003" s="131">
        <f>IFERROR(__xludf.DUMMYFUNCTION("""COMPUTED_VALUE"""),46187.62300925926)</f>
        <v>46187.62301</v>
      </c>
      <c r="B8003" s="126">
        <f>IFERROR(__xludf.DUMMYFUNCTION("""COMPUTED_VALUE"""),46187.0)</f>
        <v>46187</v>
      </c>
      <c r="C8003" s="122" t="str">
        <f>IFERROR(__xludf.DUMMYFUNCTION("""COMPUTED_VALUE"""),"DRIP")</f>
        <v>DRIP</v>
      </c>
      <c r="D8003" s="122" t="str">
        <f>IFERROR(__xludf.DUMMYFUNCTION("""COMPUTED_VALUE"""),"Drip Streetwear")</f>
        <v>Drip Streetwear</v>
      </c>
      <c r="E8003" s="122">
        <f>IFERROR(__xludf.DUMMYFUNCTION("""COMPUTED_VALUE"""),188.19)</f>
        <v>188.19</v>
      </c>
      <c r="F8003" s="122">
        <f>IFERROR(__xludf.DUMMYFUNCTION("""COMPUTED_VALUE"""),-0.0022)</f>
        <v>-0.0022</v>
      </c>
    </row>
    <row r="8004">
      <c r="A8004" s="131">
        <f>IFERROR(__xludf.DUMMYFUNCTION("""COMPUTED_VALUE"""),46187.62300925926)</f>
        <v>46187.62301</v>
      </c>
      <c r="B8004" s="126">
        <f>IFERROR(__xludf.DUMMYFUNCTION("""COMPUTED_VALUE"""),46187.0)</f>
        <v>46187</v>
      </c>
      <c r="C8004" s="122" t="str">
        <f>IFERROR(__xludf.DUMMYFUNCTION("""COMPUTED_VALUE"""),"KICK")</f>
        <v>KICK</v>
      </c>
      <c r="D8004" s="122" t="str">
        <f>IFERROR(__xludf.DUMMYFUNCTION("""COMPUTED_VALUE"""),"KickDrop Sneakers")</f>
        <v>KickDrop Sneakers</v>
      </c>
      <c r="E8004" s="122">
        <f>IFERROR(__xludf.DUMMYFUNCTION("""COMPUTED_VALUE"""),167.61)</f>
        <v>167.61</v>
      </c>
      <c r="F8004" s="122">
        <f>IFERROR(__xludf.DUMMYFUNCTION("""COMPUTED_VALUE"""),3.0E-4)</f>
        <v>0.0003</v>
      </c>
    </row>
    <row r="8005">
      <c r="A8005" s="131">
        <f>IFERROR(__xludf.DUMMYFUNCTION("""COMPUTED_VALUE"""),46187.62300925926)</f>
        <v>46187.62301</v>
      </c>
      <c r="B8005" s="126">
        <f>IFERROR(__xludf.DUMMYFUNCTION("""COMPUTED_VALUE"""),46187.0)</f>
        <v>46187</v>
      </c>
      <c r="C8005" s="122" t="str">
        <f>IFERROR(__xludf.DUMMYFUNCTION("""COMPUTED_VALUE"""),"GLAM")</f>
        <v>GLAM</v>
      </c>
      <c r="D8005" s="122" t="str">
        <f>IFERROR(__xludf.DUMMYFUNCTION("""COMPUTED_VALUE"""),"Glow Cosmetics")</f>
        <v>Glow Cosmetics</v>
      </c>
      <c r="E8005" s="122">
        <f>IFERROR(__xludf.DUMMYFUNCTION("""COMPUTED_VALUE"""),110.83)</f>
        <v>110.83</v>
      </c>
      <c r="F8005" s="122">
        <f>IFERROR(__xludf.DUMMYFUNCTION("""COMPUTED_VALUE"""),0.0011)</f>
        <v>0.0011</v>
      </c>
    </row>
    <row r="8006">
      <c r="A8006" s="131">
        <f>IFERROR(__xludf.DUMMYFUNCTION("""COMPUTED_VALUE"""),46187.62300925926)</f>
        <v>46187.62301</v>
      </c>
      <c r="B8006" s="126">
        <f>IFERROR(__xludf.DUMMYFUNCTION("""COMPUTED_VALUE"""),46187.0)</f>
        <v>46187</v>
      </c>
      <c r="C8006" s="122" t="str">
        <f>IFERROR(__xludf.DUMMYFUNCTION("""COMPUTED_VALUE"""),"BAGG")</f>
        <v>BAGG</v>
      </c>
      <c r="D8006" s="122" t="str">
        <f>IFERROR(__xludf.DUMMYFUNCTION("""COMPUTED_VALUE"""),"BagVault")</f>
        <v>BagVault</v>
      </c>
      <c r="E8006" s="122">
        <f>IFERROR(__xludf.DUMMYFUNCTION("""COMPUTED_VALUE"""),275.7)</f>
        <v>275.7</v>
      </c>
      <c r="F8006" s="122">
        <f>IFERROR(__xludf.DUMMYFUNCTION("""COMPUTED_VALUE"""),-0.0062)</f>
        <v>-0.0062</v>
      </c>
    </row>
    <row r="8007">
      <c r="A8007" s="131">
        <f>IFERROR(__xludf.DUMMYFUNCTION("""COMPUTED_VALUE"""),46187.62300925926)</f>
        <v>46187.62301</v>
      </c>
      <c r="B8007" s="126">
        <f>IFERROR(__xludf.DUMMYFUNCTION("""COMPUTED_VALUE"""),46187.0)</f>
        <v>46187</v>
      </c>
      <c r="C8007" s="122" t="str">
        <f>IFERROR(__xludf.DUMMYFUNCTION("""COMPUTED_VALUE"""),"FAST")</f>
        <v>FAST</v>
      </c>
      <c r="D8007" s="122" t="str">
        <f>IFERROR(__xludf.DUMMYFUNCTION("""COMPUTED_VALUE"""),"Flash Logistics")</f>
        <v>Flash Logistics</v>
      </c>
      <c r="E8007" s="122">
        <f>IFERROR(__xludf.DUMMYFUNCTION("""COMPUTED_VALUE"""),107.62)</f>
        <v>107.62</v>
      </c>
      <c r="F8007" s="122">
        <f>IFERROR(__xludf.DUMMYFUNCTION("""COMPUTED_VALUE"""),-0.0029)</f>
        <v>-0.0029</v>
      </c>
    </row>
    <row r="8008">
      <c r="A8008" s="131">
        <f>IFERROR(__xludf.DUMMYFUNCTION("""COMPUTED_VALUE"""),46187.62300925926)</f>
        <v>46187.62301</v>
      </c>
      <c r="B8008" s="126">
        <f>IFERROR(__xludf.DUMMYFUNCTION("""COMPUTED_VALUE"""),46187.0)</f>
        <v>46187</v>
      </c>
      <c r="C8008" s="122" t="str">
        <f>IFERROR(__xludf.DUMMYFUNCTION("""COMPUTED_VALUE"""),"SHIP")</f>
        <v>SHIP</v>
      </c>
      <c r="D8008" s="122" t="str">
        <f>IFERROR(__xludf.DUMMYFUNCTION("""COMPUTED_VALUE"""),"Seoul Shipping")</f>
        <v>Seoul Shipping</v>
      </c>
      <c r="E8008" s="122">
        <f>IFERROR(__xludf.DUMMYFUNCTION("""COMPUTED_VALUE"""),130.77)</f>
        <v>130.77</v>
      </c>
      <c r="F8008" s="122">
        <f>IFERROR(__xludf.DUMMYFUNCTION("""COMPUTED_VALUE"""),-8.0E-4)</f>
        <v>-0.0008</v>
      </c>
    </row>
    <row r="8009">
      <c r="A8009" s="131">
        <f>IFERROR(__xludf.DUMMYFUNCTION("""COMPUTED_VALUE"""),46187.62300925926)</f>
        <v>46187.62301</v>
      </c>
      <c r="B8009" s="126">
        <f>IFERROR(__xludf.DUMMYFUNCTION("""COMPUTED_VALUE"""),46187.0)</f>
        <v>46187</v>
      </c>
      <c r="C8009" s="122" t="str">
        <f>IFERROR(__xludf.DUMMYFUNCTION("""COMPUTED_VALUE"""),"DRON")</f>
        <v>DRON</v>
      </c>
      <c r="D8009" s="122" t="str">
        <f>IFERROR(__xludf.DUMMYFUNCTION("""COMPUTED_VALUE"""),"DroneDrop")</f>
        <v>DroneDrop</v>
      </c>
      <c r="E8009" s="122">
        <f>IFERROR(__xludf.DUMMYFUNCTION("""COMPUTED_VALUE"""),123.9)</f>
        <v>123.9</v>
      </c>
      <c r="F8009" s="122">
        <f>IFERROR(__xludf.DUMMYFUNCTION("""COMPUTED_VALUE"""),-0.0027)</f>
        <v>-0.0027</v>
      </c>
    </row>
    <row r="8010">
      <c r="A8010" s="131">
        <f>IFERROR(__xludf.DUMMYFUNCTION("""COMPUTED_VALUE"""),46187.62300925926)</f>
        <v>46187.62301</v>
      </c>
      <c r="B8010" s="126">
        <f>IFERROR(__xludf.DUMMYFUNCTION("""COMPUTED_VALUE"""),46187.0)</f>
        <v>46187</v>
      </c>
      <c r="C8010" s="122" t="str">
        <f>IFERROR(__xludf.DUMMYFUNCTION("""COMPUTED_VALUE"""),"RIDE")</f>
        <v>RIDE</v>
      </c>
      <c r="D8010" s="122" t="str">
        <f>IFERROR(__xludf.DUMMYFUNCTION("""COMPUTED_VALUE"""),"QuickRide")</f>
        <v>QuickRide</v>
      </c>
      <c r="E8010" s="122">
        <f>IFERROR(__xludf.DUMMYFUNCTION("""COMPUTED_VALUE"""),102.7)</f>
        <v>102.7</v>
      </c>
      <c r="F8010" s="122">
        <f>IFERROR(__xludf.DUMMYFUNCTION("""COMPUTED_VALUE"""),0.0109)</f>
        <v>0.0109</v>
      </c>
    </row>
    <row r="8011">
      <c r="A8011" s="131">
        <f>IFERROR(__xludf.DUMMYFUNCTION("""COMPUTED_VALUE"""),46187.62300925926)</f>
        <v>46187.62301</v>
      </c>
      <c r="B8011" s="126">
        <f>IFERROR(__xludf.DUMMYFUNCTION("""COMPUTED_VALUE"""),46187.0)</f>
        <v>46187</v>
      </c>
      <c r="C8011" s="122" t="str">
        <f>IFERROR(__xludf.DUMMYFUNCTION("""COMPUTED_VALUE"""),"RAIL")</f>
        <v>RAIL</v>
      </c>
      <c r="D8011" s="122" t="str">
        <f>IFERROR(__xludf.DUMMYFUNCTION("""COMPUTED_VALUE"""),"MetroRail Corp")</f>
        <v>MetroRail Corp</v>
      </c>
      <c r="E8011" s="122">
        <f>IFERROR(__xludf.DUMMYFUNCTION("""COMPUTED_VALUE"""),131.73)</f>
        <v>131.73</v>
      </c>
      <c r="F8011" s="122">
        <f>IFERROR(__xludf.DUMMYFUNCTION("""COMPUTED_VALUE"""),-0.0021)</f>
        <v>-0.0021</v>
      </c>
    </row>
    <row r="8012">
      <c r="A8012" s="131">
        <f>IFERROR(__xludf.DUMMYFUNCTION("""COMPUTED_VALUE"""),46187.62300925926)</f>
        <v>46187.62301</v>
      </c>
      <c r="B8012" s="126">
        <f>IFERROR(__xludf.DUMMYFUNCTION("""COMPUTED_VALUE"""),46187.0)</f>
        <v>46187</v>
      </c>
      <c r="C8012" s="122" t="str">
        <f>IFERROR(__xludf.DUMMYFUNCTION("""COMPUTED_VALUE"""),"MEDX")</f>
        <v>MEDX</v>
      </c>
      <c r="D8012" s="122" t="str">
        <f>IFERROR(__xludf.DUMMYFUNCTION("""COMPUTED_VALUE"""),"MediCore")</f>
        <v>MediCore</v>
      </c>
      <c r="E8012" s="122">
        <f>IFERROR(__xludf.DUMMYFUNCTION("""COMPUTED_VALUE"""),137.91)</f>
        <v>137.91</v>
      </c>
      <c r="F8012" s="122">
        <f>IFERROR(__xludf.DUMMYFUNCTION("""COMPUTED_VALUE"""),-3.0E-4)</f>
        <v>-0.0003</v>
      </c>
    </row>
    <row r="8013">
      <c r="A8013" s="131">
        <f>IFERROR(__xludf.DUMMYFUNCTION("""COMPUTED_VALUE"""),46187.62300925926)</f>
        <v>46187.62301</v>
      </c>
      <c r="B8013" s="126">
        <f>IFERROR(__xludf.DUMMYFUNCTION("""COMPUTED_VALUE"""),46187.0)</f>
        <v>46187</v>
      </c>
      <c r="C8013" s="122" t="str">
        <f>IFERROR(__xludf.DUMMYFUNCTION("""COMPUTED_VALUE"""),"GYMX")</f>
        <v>GYMX</v>
      </c>
      <c r="D8013" s="122" t="str">
        <f>IFERROR(__xludf.DUMMYFUNCTION("""COMPUTED_VALUE"""),"GymX Fitness")</f>
        <v>GymX Fitness</v>
      </c>
      <c r="E8013" s="122">
        <f>IFERROR(__xludf.DUMMYFUNCTION("""COMPUTED_VALUE"""),83.16)</f>
        <v>83.16</v>
      </c>
      <c r="F8013" s="122">
        <f>IFERROR(__xludf.DUMMYFUNCTION("""COMPUTED_VALUE"""),-0.0065)</f>
        <v>-0.0065</v>
      </c>
    </row>
    <row r="8014">
      <c r="A8014" s="131">
        <f>IFERROR(__xludf.DUMMYFUNCTION("""COMPUTED_VALUE"""),46187.62300925926)</f>
        <v>46187.62301</v>
      </c>
      <c r="B8014" s="126">
        <f>IFERROR(__xludf.DUMMYFUNCTION("""COMPUTED_VALUE"""),46187.0)</f>
        <v>46187</v>
      </c>
      <c r="C8014" s="122" t="str">
        <f>IFERROR(__xludf.DUMMYFUNCTION("""COMPUTED_VALUE"""),"VITA")</f>
        <v>VITA</v>
      </c>
      <c r="D8014" s="122" t="str">
        <f>IFERROR(__xludf.DUMMYFUNCTION("""COMPUTED_VALUE"""),"VitaPlus")</f>
        <v>VitaPlus</v>
      </c>
      <c r="E8014" s="122">
        <f>IFERROR(__xludf.DUMMYFUNCTION("""COMPUTED_VALUE"""),72.66)</f>
        <v>72.66</v>
      </c>
      <c r="F8014" s="122">
        <f>IFERROR(__xludf.DUMMYFUNCTION("""COMPUTED_VALUE"""),-0.0023)</f>
        <v>-0.0023</v>
      </c>
    </row>
    <row r="8015">
      <c r="A8015" s="131">
        <f>IFERROR(__xludf.DUMMYFUNCTION("""COMPUTED_VALUE"""),46187.62300925926)</f>
        <v>46187.62301</v>
      </c>
      <c r="B8015" s="126">
        <f>IFERROR(__xludf.DUMMYFUNCTION("""COMPUTED_VALUE"""),46187.0)</f>
        <v>46187</v>
      </c>
      <c r="C8015" s="122" t="str">
        <f>IFERROR(__xludf.DUMMYFUNCTION("""COMPUTED_VALUE"""),"CARE")</f>
        <v>CARE</v>
      </c>
      <c r="D8015" s="122" t="str">
        <f>IFERROR(__xludf.DUMMYFUNCTION("""COMPUTED_VALUE"""),"CareCloud")</f>
        <v>CareCloud</v>
      </c>
      <c r="E8015" s="122">
        <f>IFERROR(__xludf.DUMMYFUNCTION("""COMPUTED_VALUE"""),185.96)</f>
        <v>185.96</v>
      </c>
      <c r="F8015" s="122">
        <f>IFERROR(__xludf.DUMMYFUNCTION("""COMPUTED_VALUE"""),0.0012)</f>
        <v>0.0012</v>
      </c>
    </row>
    <row r="8016">
      <c r="A8016" s="131">
        <f>IFERROR(__xludf.DUMMYFUNCTION("""COMPUTED_VALUE"""),46187.62300925926)</f>
        <v>46187.62301</v>
      </c>
      <c r="B8016" s="126">
        <f>IFERROR(__xludf.DUMMYFUNCTION("""COMPUTED_VALUE"""),46187.0)</f>
        <v>46187</v>
      </c>
      <c r="C8016" s="122" t="str">
        <f>IFERROR(__xludf.DUMMYFUNCTION("""COMPUTED_VALUE"""),"DENT")</f>
        <v>DENT</v>
      </c>
      <c r="D8016" s="122" t="str">
        <f>IFERROR(__xludf.DUMMYFUNCTION("""COMPUTED_VALUE"""),"SmileWorks")</f>
        <v>SmileWorks</v>
      </c>
      <c r="E8016" s="122">
        <f>IFERROR(__xludf.DUMMYFUNCTION("""COMPUTED_VALUE"""),96.21)</f>
        <v>96.21</v>
      </c>
      <c r="F8016" s="122">
        <f>IFERROR(__xludf.DUMMYFUNCTION("""COMPUTED_VALUE"""),0.0034)</f>
        <v>0.0034</v>
      </c>
    </row>
    <row r="8017">
      <c r="A8017" s="131">
        <f>IFERROR(__xludf.DUMMYFUNCTION("""COMPUTED_VALUE"""),46187.62300925926)</f>
        <v>46187.62301</v>
      </c>
      <c r="B8017" s="126">
        <f>IFERROR(__xludf.DUMMYFUNCTION("""COMPUTED_VALUE"""),46187.0)</f>
        <v>46187</v>
      </c>
      <c r="C8017" s="122" t="str">
        <f>IFERROR(__xludf.DUMMYFUNCTION("""COMPUTED_VALUE"""),"EDUX")</f>
        <v>EDUX</v>
      </c>
      <c r="D8017" s="122" t="str">
        <f>IFERROR(__xludf.DUMMYFUNCTION("""COMPUTED_VALUE"""),"EduMax Learning")</f>
        <v>EduMax Learning</v>
      </c>
      <c r="E8017" s="122">
        <f>IFERROR(__xludf.DUMMYFUNCTION("""COMPUTED_VALUE"""),149.1)</f>
        <v>149.1</v>
      </c>
      <c r="F8017" s="122">
        <f>IFERROR(__xludf.DUMMYFUNCTION("""COMPUTED_VALUE"""),0.0061)</f>
        <v>0.0061</v>
      </c>
    </row>
    <row r="8018">
      <c r="A8018" s="131">
        <f>IFERROR(__xludf.DUMMYFUNCTION("""COMPUTED_VALUE"""),46187.62300925926)</f>
        <v>46187.62301</v>
      </c>
      <c r="B8018" s="126">
        <f>IFERROR(__xludf.DUMMYFUNCTION("""COMPUTED_VALUE"""),46187.0)</f>
        <v>46187</v>
      </c>
      <c r="C8018" s="122" t="str">
        <f>IFERROR(__xludf.DUMMYFUNCTION("""COMPUTED_VALUE"""),"BOOK")</f>
        <v>BOOK</v>
      </c>
      <c r="D8018" s="122" t="str">
        <f>IFERROR(__xludf.DUMMYFUNCTION("""COMPUTED_VALUE"""),"BookBridge")</f>
        <v>BookBridge</v>
      </c>
      <c r="E8018" s="122">
        <f>IFERROR(__xludf.DUMMYFUNCTION("""COMPUTED_VALUE"""),120.72)</f>
        <v>120.72</v>
      </c>
      <c r="F8018" s="122">
        <f>IFERROR(__xludf.DUMMYFUNCTION("""COMPUTED_VALUE"""),-7.0E-4)</f>
        <v>-0.0007</v>
      </c>
    </row>
    <row r="8019">
      <c r="A8019" s="131">
        <f>IFERROR(__xludf.DUMMYFUNCTION("""COMPUTED_VALUE"""),46187.62300925926)</f>
        <v>46187.62301</v>
      </c>
      <c r="B8019" s="126">
        <f>IFERROR(__xludf.DUMMYFUNCTION("""COMPUTED_VALUE"""),46187.0)</f>
        <v>46187</v>
      </c>
      <c r="C8019" s="122" t="str">
        <f>IFERROR(__xludf.DUMMYFUNCTION("""COMPUTED_VALUE"""),"TUTR")</f>
        <v>TUTR</v>
      </c>
      <c r="D8019" s="122" t="str">
        <f>IFERROR(__xludf.DUMMYFUNCTION("""COMPUTED_VALUE"""),"TutorTown")</f>
        <v>TutorTown</v>
      </c>
      <c r="E8019" s="122">
        <f>IFERROR(__xludf.DUMMYFUNCTION("""COMPUTED_VALUE"""),91.46)</f>
        <v>91.46</v>
      </c>
      <c r="F8019" s="122">
        <f>IFERROR(__xludf.DUMMYFUNCTION("""COMPUTED_VALUE"""),-0.006)</f>
        <v>-0.006</v>
      </c>
    </row>
    <row r="8020">
      <c r="A8020" s="131">
        <f>IFERROR(__xludf.DUMMYFUNCTION("""COMPUTED_VALUE"""),46187.62300925926)</f>
        <v>46187.62301</v>
      </c>
      <c r="B8020" s="126">
        <f>IFERROR(__xludf.DUMMYFUNCTION("""COMPUTED_VALUE"""),46187.0)</f>
        <v>46187</v>
      </c>
      <c r="C8020" s="122" t="str">
        <f>IFERROR(__xludf.DUMMYFUNCTION("""COMPUTED_VALUE"""),"LANG")</f>
        <v>LANG</v>
      </c>
      <c r="D8020" s="122" t="str">
        <f>IFERROR(__xludf.DUMMYFUNCTION("""COMPUTED_VALUE"""),"LinguaLab")</f>
        <v>LinguaLab</v>
      </c>
      <c r="E8020" s="122">
        <f>IFERROR(__xludf.DUMMYFUNCTION("""COMPUTED_VALUE"""),103.08)</f>
        <v>103.08</v>
      </c>
      <c r="F8020" s="122">
        <f>IFERROR(__xludf.DUMMYFUNCTION("""COMPUTED_VALUE"""),0.0053)</f>
        <v>0.0053</v>
      </c>
    </row>
    <row r="8021">
      <c r="A8021" s="131">
        <f>IFERROR(__xludf.DUMMYFUNCTION("""COMPUTED_VALUE"""),46187.62300925926)</f>
        <v>46187.62301</v>
      </c>
      <c r="B8021" s="126">
        <f>IFERROR(__xludf.DUMMYFUNCTION("""COMPUTED_VALUE"""),46187.0)</f>
        <v>46187</v>
      </c>
      <c r="C8021" s="122" t="str">
        <f>IFERROR(__xludf.DUMMYFUNCTION("""COMPUTED_VALUE"""),"TEST")</f>
        <v>TEST</v>
      </c>
      <c r="D8021" s="122" t="str">
        <f>IFERROR(__xludf.DUMMYFUNCTION("""COMPUTED_VALUE"""),"TestPrep Pro")</f>
        <v>TestPrep Pro</v>
      </c>
      <c r="E8021" s="122">
        <f>IFERROR(__xludf.DUMMYFUNCTION("""COMPUTED_VALUE"""),89.47)</f>
        <v>89.47</v>
      </c>
      <c r="F8021" s="122">
        <f>IFERROR(__xludf.DUMMYFUNCTION("""COMPUTED_VALUE"""),-0.0018)</f>
        <v>-0.0018</v>
      </c>
    </row>
    <row r="8022">
      <c r="A8022" s="131">
        <f>IFERROR(__xludf.DUMMYFUNCTION("""COMPUTED_VALUE"""),46187.62300925926)</f>
        <v>46187.62301</v>
      </c>
      <c r="B8022" s="126">
        <f>IFERROR(__xludf.DUMMYFUNCTION("""COMPUTED_VALUE"""),46187.0)</f>
        <v>46187</v>
      </c>
      <c r="C8022" s="122" t="str">
        <f>IFERROR(__xludf.DUMMYFUNCTION("""COMPUTED_VALUE"""),"MOVI")</f>
        <v>MOVI</v>
      </c>
      <c r="D8022" s="122" t="str">
        <f>IFERROR(__xludf.DUMMYFUNCTION("""COMPUTED_VALUE"""),"MovieBox")</f>
        <v>MovieBox</v>
      </c>
      <c r="E8022" s="122">
        <f>IFERROR(__xludf.DUMMYFUNCTION("""COMPUTED_VALUE"""),83.28)</f>
        <v>83.28</v>
      </c>
      <c r="F8022" s="122">
        <f>IFERROR(__xludf.DUMMYFUNCTION("""COMPUTED_VALUE"""),-0.0064)</f>
        <v>-0.0064</v>
      </c>
    </row>
    <row r="8023">
      <c r="A8023" s="131">
        <f>IFERROR(__xludf.DUMMYFUNCTION("""COMPUTED_VALUE"""),46187.62300925926)</f>
        <v>46187.62301</v>
      </c>
      <c r="B8023" s="126">
        <f>IFERROR(__xludf.DUMMYFUNCTION("""COMPUTED_VALUE"""),46187.0)</f>
        <v>46187</v>
      </c>
      <c r="C8023" s="122" t="str">
        <f>IFERROR(__xludf.DUMMYFUNCTION("""COMPUTED_VALUE"""),"MUSC")</f>
        <v>MUSC</v>
      </c>
      <c r="D8023" s="122" t="str">
        <f>IFERROR(__xludf.DUMMYFUNCTION("""COMPUTED_VALUE"""),"MusicWave")</f>
        <v>MusicWave</v>
      </c>
      <c r="E8023" s="122">
        <f>IFERROR(__xludf.DUMMYFUNCTION("""COMPUTED_VALUE"""),103.0)</f>
        <v>103</v>
      </c>
      <c r="F8023" s="122">
        <f>IFERROR(__xludf.DUMMYFUNCTION("""COMPUTED_VALUE"""),-0.0043)</f>
        <v>-0.0043</v>
      </c>
    </row>
    <row r="8024">
      <c r="A8024" s="131">
        <f>IFERROR(__xludf.DUMMYFUNCTION("""COMPUTED_VALUE"""),46187.62300925926)</f>
        <v>46187.62301</v>
      </c>
      <c r="B8024" s="126">
        <f>IFERROR(__xludf.DUMMYFUNCTION("""COMPUTED_VALUE"""),46187.0)</f>
        <v>46187</v>
      </c>
      <c r="C8024" s="122" t="str">
        <f>IFERROR(__xludf.DUMMYFUNCTION("""COMPUTED_VALUE"""),"IDOL")</f>
        <v>IDOL</v>
      </c>
      <c r="D8024" s="122" t="str">
        <f>IFERROR(__xludf.DUMMYFUNCTION("""COMPUTED_VALUE"""),"Idol Agency")</f>
        <v>Idol Agency</v>
      </c>
      <c r="E8024" s="122">
        <f>IFERROR(__xludf.DUMMYFUNCTION("""COMPUTED_VALUE"""),186.39)</f>
        <v>186.39</v>
      </c>
      <c r="F8024" s="122">
        <f>IFERROR(__xludf.DUMMYFUNCTION("""COMPUTED_VALUE"""),0.006)</f>
        <v>0.006</v>
      </c>
    </row>
    <row r="8025">
      <c r="A8025" s="131">
        <f>IFERROR(__xludf.DUMMYFUNCTION("""COMPUTED_VALUE"""),46187.62300925926)</f>
        <v>46187.62301</v>
      </c>
      <c r="B8025" s="126">
        <f>IFERROR(__xludf.DUMMYFUNCTION("""COMPUTED_VALUE"""),46187.0)</f>
        <v>46187</v>
      </c>
      <c r="C8025" s="122" t="str">
        <f>IFERROR(__xludf.DUMMYFUNCTION("""COMPUTED_VALUE"""),"MEME")</f>
        <v>MEME</v>
      </c>
      <c r="D8025" s="122" t="str">
        <f>IFERROR(__xludf.DUMMYFUNCTION("""COMPUTED_VALUE"""),"Meme Media")</f>
        <v>Meme Media</v>
      </c>
      <c r="E8025" s="122">
        <f>IFERROR(__xludf.DUMMYFUNCTION("""COMPUTED_VALUE"""),71.72)</f>
        <v>71.72</v>
      </c>
      <c r="F8025" s="122">
        <f>IFERROR(__xludf.DUMMYFUNCTION("""COMPUTED_VALUE"""),-0.0132)</f>
        <v>-0.0132</v>
      </c>
    </row>
    <row r="8026">
      <c r="A8026" s="131">
        <f>IFERROR(__xludf.DUMMYFUNCTION("""COMPUTED_VALUE"""),46187.62300925926)</f>
        <v>46187.62301</v>
      </c>
      <c r="B8026" s="126">
        <f>IFERROR(__xludf.DUMMYFUNCTION("""COMPUTED_VALUE"""),46187.0)</f>
        <v>46187</v>
      </c>
      <c r="C8026" s="122" t="str">
        <f>IFERROR(__xludf.DUMMYFUNCTION("""COMPUTED_VALUE"""),"STRM")</f>
        <v>STRM</v>
      </c>
      <c r="D8026" s="122" t="str">
        <f>IFERROR(__xludf.DUMMYFUNCTION("""COMPUTED_VALUE"""),"Streamly")</f>
        <v>Streamly</v>
      </c>
      <c r="E8026" s="122">
        <f>IFERROR(__xludf.DUMMYFUNCTION("""COMPUTED_VALUE"""),133.8)</f>
        <v>133.8</v>
      </c>
      <c r="F8026" s="122">
        <f>IFERROR(__xludf.DUMMYFUNCTION("""COMPUTED_VALUE"""),-0.0091)</f>
        <v>-0.0091</v>
      </c>
    </row>
    <row r="8027">
      <c r="A8027" s="131">
        <f>IFERROR(__xludf.DUMMYFUNCTION("""COMPUTED_VALUE"""),46187.62300925926)</f>
        <v>46187.62301</v>
      </c>
      <c r="B8027" s="126">
        <f>IFERROR(__xludf.DUMMYFUNCTION("""COMPUTED_VALUE"""),46187.0)</f>
        <v>46187</v>
      </c>
      <c r="C8027" s="122" t="str">
        <f>IFERROR(__xludf.DUMMYFUNCTION("""COMPUTED_VALUE"""),"FARM")</f>
        <v>FARM</v>
      </c>
      <c r="D8027" s="122" t="str">
        <f>IFERROR(__xludf.DUMMYFUNCTION("""COMPUTED_VALUE"""),"Future Farms")</f>
        <v>Future Farms</v>
      </c>
      <c r="E8027" s="122">
        <f>IFERROR(__xludf.DUMMYFUNCTION("""COMPUTED_VALUE"""),97.65)</f>
        <v>97.65</v>
      </c>
      <c r="F8027" s="122">
        <f>IFERROR(__xludf.DUMMYFUNCTION("""COMPUTED_VALUE"""),0.0045)</f>
        <v>0.0045</v>
      </c>
    </row>
    <row r="8028">
      <c r="A8028" s="131">
        <f>IFERROR(__xludf.DUMMYFUNCTION("""COMPUTED_VALUE"""),46187.62300925926)</f>
        <v>46187.62301</v>
      </c>
      <c r="B8028" s="126">
        <f>IFERROR(__xludf.DUMMYFUNCTION("""COMPUTED_VALUE"""),46187.0)</f>
        <v>46187</v>
      </c>
      <c r="C8028" s="122" t="str">
        <f>IFERROR(__xludf.DUMMYFUNCTION("""COMPUTED_VALUE"""),"MEAT")</f>
        <v>MEAT</v>
      </c>
      <c r="D8028" s="122" t="str">
        <f>IFERROR(__xludf.DUMMYFUNCTION("""COMPUTED_VALUE"""),"MeatWorks")</f>
        <v>MeatWorks</v>
      </c>
      <c r="E8028" s="122">
        <f>IFERROR(__xludf.DUMMYFUNCTION("""COMPUTED_VALUE"""),104.73)</f>
        <v>104.73</v>
      </c>
      <c r="F8028" s="122">
        <f>IFERROR(__xludf.DUMMYFUNCTION("""COMPUTED_VALUE"""),0.0077)</f>
        <v>0.0077</v>
      </c>
    </row>
    <row r="8029">
      <c r="A8029" s="131">
        <f>IFERROR(__xludf.DUMMYFUNCTION("""COMPUTED_VALUE"""),46187.62300925926)</f>
        <v>46187.62301</v>
      </c>
      <c r="B8029" s="126">
        <f>IFERROR(__xludf.DUMMYFUNCTION("""COMPUTED_VALUE"""),46187.0)</f>
        <v>46187</v>
      </c>
      <c r="C8029" s="122" t="str">
        <f>IFERROR(__xludf.DUMMYFUNCTION("""COMPUTED_VALUE"""),"VEGI")</f>
        <v>VEGI</v>
      </c>
      <c r="D8029" s="122" t="str">
        <f>IFERROR(__xludf.DUMMYFUNCTION("""COMPUTED_VALUE"""),"Green Basket")</f>
        <v>Green Basket</v>
      </c>
      <c r="E8029" s="122">
        <f>IFERROR(__xludf.DUMMYFUNCTION("""COMPUTED_VALUE"""),76.89)</f>
        <v>76.89</v>
      </c>
      <c r="F8029" s="122">
        <f>IFERROR(__xludf.DUMMYFUNCTION("""COMPUTED_VALUE"""),-0.0023)</f>
        <v>-0.0023</v>
      </c>
    </row>
    <row r="8030">
      <c r="A8030" s="131">
        <f>IFERROR(__xludf.DUMMYFUNCTION("""COMPUTED_VALUE"""),46187.62300925926)</f>
        <v>46187.62301</v>
      </c>
      <c r="B8030" s="126">
        <f>IFERROR(__xludf.DUMMYFUNCTION("""COMPUTED_VALUE"""),46187.0)</f>
        <v>46187</v>
      </c>
      <c r="C8030" s="122" t="str">
        <f>IFERROR(__xludf.DUMMYFUNCTION("""COMPUTED_VALUE"""),"CAFE")</f>
        <v>CAFE</v>
      </c>
      <c r="D8030" s="122" t="str">
        <f>IFERROR(__xludf.DUMMYFUNCTION("""COMPUTED_VALUE"""),"Cafe Cloud")</f>
        <v>Cafe Cloud</v>
      </c>
      <c r="E8030" s="122">
        <f>IFERROR(__xludf.DUMMYFUNCTION("""COMPUTED_VALUE"""),103.22)</f>
        <v>103.22</v>
      </c>
      <c r="F8030" s="122">
        <f>IFERROR(__xludf.DUMMYFUNCTION("""COMPUTED_VALUE"""),0.0097)</f>
        <v>0.0097</v>
      </c>
    </row>
    <row r="8031">
      <c r="A8031" s="131">
        <f>IFERROR(__xludf.DUMMYFUNCTION("""COMPUTED_VALUE"""),46187.62300925926)</f>
        <v>46187.62301</v>
      </c>
      <c r="B8031" s="126">
        <f>IFERROR(__xludf.DUMMYFUNCTION("""COMPUTED_VALUE"""),46187.0)</f>
        <v>46187</v>
      </c>
      <c r="C8031" s="122" t="str">
        <f>IFERROR(__xludf.DUMMYFUNCTION("""COMPUTED_VALUE"""),"BAKE")</f>
        <v>BAKE</v>
      </c>
      <c r="D8031" s="122" t="str">
        <f>IFERROR(__xludf.DUMMYFUNCTION("""COMPUTED_VALUE"""),"BakeHouse")</f>
        <v>BakeHouse</v>
      </c>
      <c r="E8031" s="122">
        <f>IFERROR(__xludf.DUMMYFUNCTION("""COMPUTED_VALUE"""),100.3)</f>
        <v>100.3</v>
      </c>
      <c r="F8031" s="122">
        <f>IFERROR(__xludf.DUMMYFUNCTION("""COMPUTED_VALUE"""),0.0034)</f>
        <v>0.0034</v>
      </c>
    </row>
    <row r="8032">
      <c r="A8032" s="131">
        <f>IFERROR(__xludf.DUMMYFUNCTION("""COMPUTED_VALUE"""),46187.62300925926)</f>
        <v>46187.62301</v>
      </c>
      <c r="B8032" s="126">
        <f>IFERROR(__xludf.DUMMYFUNCTION("""COMPUTED_VALUE"""),46187.0)</f>
        <v>46187</v>
      </c>
      <c r="C8032" s="122" t="str">
        <f>IFERROR(__xludf.DUMMYFUNCTION("""COMPUTED_VALUE"""),"OILX")</f>
        <v>OILX</v>
      </c>
      <c r="D8032" s="122" t="str">
        <f>IFERROR(__xludf.DUMMYFUNCTION("""COMPUTED_VALUE"""),"OilMax Energy")</f>
        <v>OilMax Energy</v>
      </c>
      <c r="E8032" s="122">
        <f>IFERROR(__xludf.DUMMYFUNCTION("""COMPUTED_VALUE"""),136.06)</f>
        <v>136.06</v>
      </c>
      <c r="F8032" s="122">
        <f>IFERROR(__xludf.DUMMYFUNCTION("""COMPUTED_VALUE"""),0.0082)</f>
        <v>0.0082</v>
      </c>
    </row>
    <row r="8033">
      <c r="A8033" s="131">
        <f>IFERROR(__xludf.DUMMYFUNCTION("""COMPUTED_VALUE"""),46187.62300925926)</f>
        <v>46187.62301</v>
      </c>
      <c r="B8033" s="126">
        <f>IFERROR(__xludf.DUMMYFUNCTION("""COMPUTED_VALUE"""),46187.0)</f>
        <v>46187</v>
      </c>
      <c r="C8033" s="122" t="str">
        <f>IFERROR(__xludf.DUMMYFUNCTION("""COMPUTED_VALUE"""),"SOLR")</f>
        <v>SOLR</v>
      </c>
      <c r="D8033" s="122" t="str">
        <f>IFERROR(__xludf.DUMMYFUNCTION("""COMPUTED_VALUE"""),"SolarSpark")</f>
        <v>SolarSpark</v>
      </c>
      <c r="E8033" s="122">
        <f>IFERROR(__xludf.DUMMYFUNCTION("""COMPUTED_VALUE"""),107.82)</f>
        <v>107.82</v>
      </c>
      <c r="F8033" s="122">
        <f>IFERROR(__xludf.DUMMYFUNCTION("""COMPUTED_VALUE"""),0.0088)</f>
        <v>0.0088</v>
      </c>
    </row>
    <row r="8034">
      <c r="A8034" s="131">
        <f>IFERROR(__xludf.DUMMYFUNCTION("""COMPUTED_VALUE"""),46187.62300925926)</f>
        <v>46187.62301</v>
      </c>
      <c r="B8034" s="126">
        <f>IFERROR(__xludf.DUMMYFUNCTION("""COMPUTED_VALUE"""),46187.0)</f>
        <v>46187</v>
      </c>
      <c r="C8034" s="122" t="str">
        <f>IFERROR(__xludf.DUMMYFUNCTION("""COMPUTED_VALUE"""),"BATT")</f>
        <v>BATT</v>
      </c>
      <c r="D8034" s="122" t="str">
        <f>IFERROR(__xludf.DUMMYFUNCTION("""COMPUTED_VALUE"""),"BatteryBox")</f>
        <v>BatteryBox</v>
      </c>
      <c r="E8034" s="122">
        <f>IFERROR(__xludf.DUMMYFUNCTION("""COMPUTED_VALUE"""),123.96)</f>
        <v>123.96</v>
      </c>
      <c r="F8034" s="122">
        <f>IFERROR(__xludf.DUMMYFUNCTION("""COMPUTED_VALUE"""),-0.0097)</f>
        <v>-0.0097</v>
      </c>
    </row>
    <row r="8035">
      <c r="A8035" s="131">
        <f>IFERROR(__xludf.DUMMYFUNCTION("""COMPUTED_VALUE"""),46187.62300925926)</f>
        <v>46187.62301</v>
      </c>
      <c r="B8035" s="126">
        <f>IFERROR(__xludf.DUMMYFUNCTION("""COMPUTED_VALUE"""),46187.0)</f>
        <v>46187</v>
      </c>
      <c r="C8035" s="122" t="str">
        <f>IFERROR(__xludf.DUMMYFUNCTION("""COMPUTED_VALUE"""),"WIND")</f>
        <v>WIND</v>
      </c>
      <c r="D8035" s="122" t="str">
        <f>IFERROR(__xludf.DUMMYFUNCTION("""COMPUTED_VALUE"""),"WindWorks")</f>
        <v>WindWorks</v>
      </c>
      <c r="E8035" s="122">
        <f>IFERROR(__xludf.DUMMYFUNCTION("""COMPUTED_VALUE"""),86.21)</f>
        <v>86.21</v>
      </c>
      <c r="F8035" s="122">
        <f>IFERROR(__xludf.DUMMYFUNCTION("""COMPUTED_VALUE"""),-0.0067)</f>
        <v>-0.0067</v>
      </c>
    </row>
    <row r="8036">
      <c r="A8036" s="131">
        <f>IFERROR(__xludf.DUMMYFUNCTION("""COMPUTED_VALUE"""),46187.62300925926)</f>
        <v>46187.62301</v>
      </c>
      <c r="B8036" s="126">
        <f>IFERROR(__xludf.DUMMYFUNCTION("""COMPUTED_VALUE"""),46187.0)</f>
        <v>46187</v>
      </c>
      <c r="C8036" s="122" t="str">
        <f>IFERROR(__xludf.DUMMYFUNCTION("""COMPUTED_VALUE"""),"GRID")</f>
        <v>GRID</v>
      </c>
      <c r="D8036" s="122" t="str">
        <f>IFERROR(__xludf.DUMMYFUNCTION("""COMPUTED_VALUE"""),"GridPower")</f>
        <v>GridPower</v>
      </c>
      <c r="E8036" s="122">
        <f>IFERROR(__xludf.DUMMYFUNCTION("""COMPUTED_VALUE"""),129.31)</f>
        <v>129.31</v>
      </c>
      <c r="F8036" s="122">
        <f>IFERROR(__xludf.DUMMYFUNCTION("""COMPUTED_VALUE"""),-0.0038)</f>
        <v>-0.0038</v>
      </c>
    </row>
    <row r="8037">
      <c r="A8037" s="131">
        <f>IFERROR(__xludf.DUMMYFUNCTION("""COMPUTED_VALUE"""),46187.62300925926)</f>
        <v>46187.62301</v>
      </c>
      <c r="B8037" s="126">
        <f>IFERROR(__xludf.DUMMYFUNCTION("""COMPUTED_VALUE"""),46187.0)</f>
        <v>46187</v>
      </c>
      <c r="C8037" s="122" t="str">
        <f>IFERROR(__xludf.DUMMYFUNCTION("""COMPUTED_VALUE"""),"HOME")</f>
        <v>HOME</v>
      </c>
      <c r="D8037" s="122" t="str">
        <f>IFERROR(__xludf.DUMMYFUNCTION("""COMPUTED_VALUE"""),"HomeHub")</f>
        <v>HomeHub</v>
      </c>
      <c r="E8037" s="122">
        <f>IFERROR(__xludf.DUMMYFUNCTION("""COMPUTED_VALUE"""),159.46)</f>
        <v>159.46</v>
      </c>
      <c r="F8037" s="122">
        <f>IFERROR(__xludf.DUMMYFUNCTION("""COMPUTED_VALUE"""),0.0011)</f>
        <v>0.0011</v>
      </c>
    </row>
    <row r="8038">
      <c r="A8038" s="131">
        <f>IFERROR(__xludf.DUMMYFUNCTION("""COMPUTED_VALUE"""),46187.62300925926)</f>
        <v>46187.62301</v>
      </c>
      <c r="B8038" s="126">
        <f>IFERROR(__xludf.DUMMYFUNCTION("""COMPUTED_VALUE"""),46187.0)</f>
        <v>46187</v>
      </c>
      <c r="C8038" s="122" t="str">
        <f>IFERROR(__xludf.DUMMYFUNCTION("""COMPUTED_VALUE"""),"RENT")</f>
        <v>RENT</v>
      </c>
      <c r="D8038" s="122" t="str">
        <f>IFERROR(__xludf.DUMMYFUNCTION("""COMPUTED_VALUE"""),"RentRight")</f>
        <v>RentRight</v>
      </c>
      <c r="E8038" s="122">
        <f>IFERROR(__xludf.DUMMYFUNCTION("""COMPUTED_VALUE"""),90.46)</f>
        <v>90.46</v>
      </c>
      <c r="F8038" s="122">
        <f>IFERROR(__xludf.DUMMYFUNCTION("""COMPUTED_VALUE"""),-0.0026)</f>
        <v>-0.0026</v>
      </c>
    </row>
    <row r="8039">
      <c r="A8039" s="131">
        <f>IFERROR(__xludf.DUMMYFUNCTION("""COMPUTED_VALUE"""),46187.62300925926)</f>
        <v>46187.62301</v>
      </c>
      <c r="B8039" s="126">
        <f>IFERROR(__xludf.DUMMYFUNCTION("""COMPUTED_VALUE"""),46187.0)</f>
        <v>46187</v>
      </c>
      <c r="C8039" s="122" t="str">
        <f>IFERROR(__xludf.DUMMYFUNCTION("""COMPUTED_VALUE"""),"MALL")</f>
        <v>MALL</v>
      </c>
      <c r="D8039" s="122" t="str">
        <f>IFERROR(__xludf.DUMMYFUNCTION("""COMPUTED_VALUE"""),"MegaMall")</f>
        <v>MegaMall</v>
      </c>
      <c r="E8039" s="122">
        <f>IFERROR(__xludf.DUMMYFUNCTION("""COMPUTED_VALUE"""),101.99)</f>
        <v>101.99</v>
      </c>
      <c r="F8039" s="122">
        <f>IFERROR(__xludf.DUMMYFUNCTION("""COMPUTED_VALUE"""),0.0037)</f>
        <v>0.0037</v>
      </c>
    </row>
    <row r="8040">
      <c r="A8040" s="131">
        <f>IFERROR(__xludf.DUMMYFUNCTION("""COMPUTED_VALUE"""),46187.62300925926)</f>
        <v>46187.62301</v>
      </c>
      <c r="B8040" s="126">
        <f>IFERROR(__xludf.DUMMYFUNCTION("""COMPUTED_VALUE"""),46187.0)</f>
        <v>46187</v>
      </c>
      <c r="C8040" s="122" t="str">
        <f>IFERROR(__xludf.DUMMYFUNCTION("""COMPUTED_VALUE"""),"HOTL")</f>
        <v>HOTL</v>
      </c>
      <c r="D8040" s="122" t="str">
        <f>IFERROR(__xludf.DUMMYFUNCTION("""COMPUTED_VALUE"""),"HotelHive")</f>
        <v>HotelHive</v>
      </c>
      <c r="E8040" s="122">
        <f>IFERROR(__xludf.DUMMYFUNCTION("""COMPUTED_VALUE"""),120.67)</f>
        <v>120.67</v>
      </c>
      <c r="F8040" s="122">
        <f>IFERROR(__xludf.DUMMYFUNCTION("""COMPUTED_VALUE"""),-0.0082)</f>
        <v>-0.0082</v>
      </c>
    </row>
    <row r="8041">
      <c r="A8041" s="131">
        <f>IFERROR(__xludf.DUMMYFUNCTION("""COMPUTED_VALUE"""),46187.62300925926)</f>
        <v>46187.62301</v>
      </c>
      <c r="B8041" s="126">
        <f>IFERROR(__xludf.DUMMYFUNCTION("""COMPUTED_VALUE"""),46187.0)</f>
        <v>46187</v>
      </c>
      <c r="C8041" s="122" t="str">
        <f>IFERROR(__xludf.DUMMYFUNCTION("""COMPUTED_VALUE"""),"LAND")</f>
        <v>LAND</v>
      </c>
      <c r="D8041" s="122" t="str">
        <f>IFERROR(__xludf.DUMMYFUNCTION("""COMPUTED_VALUE"""),"LandLink")</f>
        <v>LandLink</v>
      </c>
      <c r="E8041" s="122">
        <f>IFERROR(__xludf.DUMMYFUNCTION("""COMPUTED_VALUE"""),188.54)</f>
        <v>188.54</v>
      </c>
      <c r="F8041" s="122">
        <f>IFERROR(__xludf.DUMMYFUNCTION("""COMPUTED_VALUE"""),0.004)</f>
        <v>0.004</v>
      </c>
    </row>
    <row r="8042">
      <c r="A8042" s="131">
        <f>IFERROR(__xludf.DUMMYFUNCTION("""COMPUTED_VALUE"""),46187.62300925926)</f>
        <v>46187.62301</v>
      </c>
      <c r="B8042" s="126">
        <f>IFERROR(__xludf.DUMMYFUNCTION("""COMPUTED_VALUE"""),46187.0)</f>
        <v>46187</v>
      </c>
      <c r="C8042" s="122" t="str">
        <f>IFERROR(__xludf.DUMMYFUNCTION("""COMPUTED_VALUE"""),"CARS")</f>
        <v>CARS</v>
      </c>
      <c r="D8042" s="122" t="str">
        <f>IFERROR(__xludf.DUMMYFUNCTION("""COMPUTED_VALUE"""),"AutoArena")</f>
        <v>AutoArena</v>
      </c>
      <c r="E8042" s="122">
        <f>IFERROR(__xludf.DUMMYFUNCTION("""COMPUTED_VALUE"""),81.41)</f>
        <v>81.41</v>
      </c>
      <c r="F8042" s="122">
        <f>IFERROR(__xludf.DUMMYFUNCTION("""COMPUTED_VALUE"""),0.0025)</f>
        <v>0.0025</v>
      </c>
    </row>
    <row r="8043">
      <c r="A8043" s="131">
        <f>IFERROR(__xludf.DUMMYFUNCTION("""COMPUTED_VALUE"""),46187.62300925926)</f>
        <v>46187.62301</v>
      </c>
      <c r="B8043" s="126">
        <f>IFERROR(__xludf.DUMMYFUNCTION("""COMPUTED_VALUE"""),46187.0)</f>
        <v>46187</v>
      </c>
      <c r="C8043" s="122" t="str">
        <f>IFERROR(__xludf.DUMMYFUNCTION("""COMPUTED_VALUE"""),"EVGO")</f>
        <v>EVGO</v>
      </c>
      <c r="D8043" s="122" t="str">
        <f>IFERROR(__xludf.DUMMYFUNCTION("""COMPUTED_VALUE"""),"EVGo Motors")</f>
        <v>EVGo Motors</v>
      </c>
      <c r="E8043" s="122">
        <f>IFERROR(__xludf.DUMMYFUNCTION("""COMPUTED_VALUE"""),189.02)</f>
        <v>189.02</v>
      </c>
      <c r="F8043" s="122">
        <f>IFERROR(__xludf.DUMMYFUNCTION("""COMPUTED_VALUE"""),0.0022)</f>
        <v>0.0022</v>
      </c>
    </row>
    <row r="8044">
      <c r="A8044" s="131">
        <f>IFERROR(__xludf.DUMMYFUNCTION("""COMPUTED_VALUE"""),46187.62300925926)</f>
        <v>46187.62301</v>
      </c>
      <c r="B8044" s="126">
        <f>IFERROR(__xludf.DUMMYFUNCTION("""COMPUTED_VALUE"""),46187.0)</f>
        <v>46187</v>
      </c>
      <c r="C8044" s="122" t="str">
        <f>IFERROR(__xludf.DUMMYFUNCTION("""COMPUTED_VALUE"""),"TIRE")</f>
        <v>TIRE</v>
      </c>
      <c r="D8044" s="122" t="str">
        <f>IFERROR(__xludf.DUMMYFUNCTION("""COMPUTED_VALUE"""),"TireTown")</f>
        <v>TireTown</v>
      </c>
      <c r="E8044" s="122">
        <f>IFERROR(__xludf.DUMMYFUNCTION("""COMPUTED_VALUE"""),98.02)</f>
        <v>98.02</v>
      </c>
      <c r="F8044" s="122">
        <f>IFERROR(__xludf.DUMMYFUNCTION("""COMPUTED_VALUE"""),-1.0E-4)</f>
        <v>-0.0001</v>
      </c>
    </row>
    <row r="8045">
      <c r="A8045" s="131">
        <f>IFERROR(__xludf.DUMMYFUNCTION("""COMPUTED_VALUE"""),46187.62300925926)</f>
        <v>46187.62301</v>
      </c>
      <c r="B8045" s="126">
        <f>IFERROR(__xludf.DUMMYFUNCTION("""COMPUTED_VALUE"""),46187.0)</f>
        <v>46187</v>
      </c>
      <c r="C8045" s="122" t="str">
        <f>IFERROR(__xludf.DUMMYFUNCTION("""COMPUTED_VALUE"""),"BIKE")</f>
        <v>BIKE</v>
      </c>
      <c r="D8045" s="122" t="str">
        <f>IFERROR(__xludf.DUMMYFUNCTION("""COMPUTED_VALUE"""),"BikeBox")</f>
        <v>BikeBox</v>
      </c>
      <c r="E8045" s="122">
        <f>IFERROR(__xludf.DUMMYFUNCTION("""COMPUTED_VALUE"""),52.19)</f>
        <v>52.19</v>
      </c>
      <c r="F8045" s="122">
        <f>IFERROR(__xludf.DUMMYFUNCTION("""COMPUTED_VALUE"""),-0.005)</f>
        <v>-0.005</v>
      </c>
    </row>
    <row r="8046">
      <c r="A8046" s="131">
        <f>IFERROR(__xludf.DUMMYFUNCTION("""COMPUTED_VALUE"""),46187.62300925926)</f>
        <v>46187.62301</v>
      </c>
      <c r="B8046" s="126">
        <f>IFERROR(__xludf.DUMMYFUNCTION("""COMPUTED_VALUE"""),46187.0)</f>
        <v>46187</v>
      </c>
      <c r="C8046" s="122" t="str">
        <f>IFERROR(__xludf.DUMMYFUNCTION("""COMPUTED_VALUE"""),"WASH")</f>
        <v>WASH</v>
      </c>
      <c r="D8046" s="122" t="str">
        <f>IFERROR(__xludf.DUMMYFUNCTION("""COMPUTED_VALUE"""),"CarWash Co")</f>
        <v>CarWash Co</v>
      </c>
      <c r="E8046" s="122">
        <f>IFERROR(__xludf.DUMMYFUNCTION("""COMPUTED_VALUE"""),121.5)</f>
        <v>121.5</v>
      </c>
      <c r="F8046" s="122">
        <f>IFERROR(__xludf.DUMMYFUNCTION("""COMPUTED_VALUE"""),0.004)</f>
        <v>0.004</v>
      </c>
    </row>
    <row r="8047">
      <c r="A8047" s="131">
        <f>IFERROR(__xludf.DUMMYFUNCTION("""COMPUTED_VALUE"""),46187.62300925926)</f>
        <v>46187.62301</v>
      </c>
      <c r="B8047" s="126">
        <f>IFERROR(__xludf.DUMMYFUNCTION("""COMPUTED_VALUE"""),46187.0)</f>
        <v>46187</v>
      </c>
      <c r="C8047" s="122" t="str">
        <f>IFERROR(__xludf.DUMMYFUNCTION("""COMPUTED_VALUE"""),"GBND")</f>
        <v>GBND</v>
      </c>
      <c r="D8047" s="122" t="str">
        <f>IFERROR(__xludf.DUMMYFUNCTION("""COMPUTED_VALUE"""),"Classroom Government Bond")</f>
        <v>Classroom Government Bond</v>
      </c>
      <c r="E8047" s="122">
        <f>IFERROR(__xludf.DUMMYFUNCTION("""COMPUTED_VALUE"""),101.03)</f>
        <v>101.03</v>
      </c>
      <c r="F8047" s="122">
        <f>IFERROR(__xludf.DUMMYFUNCTION("""COMPUTED_VALUE"""),-4.0E-4)</f>
        <v>-0.0004</v>
      </c>
    </row>
    <row r="8048">
      <c r="A8048" s="131">
        <f>IFERROR(__xludf.DUMMYFUNCTION("""COMPUTED_VALUE"""),46187.62300925926)</f>
        <v>46187.62301</v>
      </c>
      <c r="B8048" s="126">
        <f>IFERROR(__xludf.DUMMYFUNCTION("""COMPUTED_VALUE"""),46187.0)</f>
        <v>46187</v>
      </c>
      <c r="C8048" s="122" t="str">
        <f>IFERROR(__xludf.DUMMYFUNCTION("""COMPUTED_VALUE"""),"SBND")</f>
        <v>SBND</v>
      </c>
      <c r="D8048" s="122" t="str">
        <f>IFERROR(__xludf.DUMMYFUNCTION("""COMPUTED_VALUE"""),"School Savings Bond")</f>
        <v>School Savings Bond</v>
      </c>
      <c r="E8048" s="122">
        <f>IFERROR(__xludf.DUMMYFUNCTION("""COMPUTED_VALUE"""),99.21)</f>
        <v>99.21</v>
      </c>
      <c r="F8048" s="122">
        <f>IFERROR(__xludf.DUMMYFUNCTION("""COMPUTED_VALUE"""),-3.0E-4)</f>
        <v>-0.0003</v>
      </c>
    </row>
    <row r="8049">
      <c r="A8049" s="131">
        <f>IFERROR(__xludf.DUMMYFUNCTION("""COMPUTED_VALUE"""),46187.62300925926)</f>
        <v>46187.62301</v>
      </c>
      <c r="B8049" s="126">
        <f>IFERROR(__xludf.DUMMYFUNCTION("""COMPUTED_VALUE"""),46187.0)</f>
        <v>46187</v>
      </c>
      <c r="C8049" s="122" t="str">
        <f>IFERROR(__xludf.DUMMYFUNCTION("""COMPUTED_VALUE"""),"CBND")</f>
        <v>CBND</v>
      </c>
      <c r="D8049" s="122" t="str">
        <f>IFERROR(__xludf.DUMMYFUNCTION("""COMPUTED_VALUE"""),"Corporate Classroom Bond")</f>
        <v>Corporate Classroom Bond</v>
      </c>
      <c r="E8049" s="122">
        <f>IFERROR(__xludf.DUMMYFUNCTION("""COMPUTED_VALUE"""),97.77)</f>
        <v>97.77</v>
      </c>
      <c r="F8049" s="122">
        <f>IFERROR(__xludf.DUMMYFUNCTION("""COMPUTED_VALUE"""),1.0E-4)</f>
        <v>0.0001</v>
      </c>
    </row>
    <row r="8050">
      <c r="A8050" s="131">
        <f>IFERROR(__xludf.DUMMYFUNCTION("""COMPUTED_VALUE"""),46187.62300925926)</f>
        <v>46187.62301</v>
      </c>
      <c r="B8050" s="126">
        <f>IFERROR(__xludf.DUMMYFUNCTION("""COMPUTED_VALUE"""),46187.0)</f>
        <v>46187</v>
      </c>
      <c r="C8050" s="122" t="str">
        <f>IFERROR(__xludf.DUMMYFUNCTION("""COMPUTED_VALUE"""),"TBIL")</f>
        <v>TBIL</v>
      </c>
      <c r="D8050" s="122" t="str">
        <f>IFERROR(__xludf.DUMMYFUNCTION("""COMPUTED_VALUE"""),"Treasury Bill")</f>
        <v>Treasury Bill</v>
      </c>
      <c r="E8050" s="122">
        <f>IFERROR(__xludf.DUMMYFUNCTION("""COMPUTED_VALUE"""),97.68)</f>
        <v>97.68</v>
      </c>
      <c r="F8050" s="122">
        <f>IFERROR(__xludf.DUMMYFUNCTION("""COMPUTED_VALUE"""),1.0E-4)</f>
        <v>0.0001</v>
      </c>
    </row>
    <row r="8051">
      <c r="A8051" s="131">
        <f>IFERROR(__xludf.DUMMYFUNCTION("""COMPUTED_VALUE"""),46187.62300925926)</f>
        <v>46187.62301</v>
      </c>
      <c r="B8051" s="126">
        <f>IFERROR(__xludf.DUMMYFUNCTION("""COMPUTED_VALUE"""),46187.0)</f>
        <v>46187</v>
      </c>
      <c r="C8051" s="122" t="str">
        <f>IFERROR(__xludf.DUMMYFUNCTION("""COMPUTED_VALUE"""),"IBND")</f>
        <v>IBND</v>
      </c>
      <c r="D8051" s="122" t="str">
        <f>IFERROR(__xludf.DUMMYFUNCTION("""COMPUTED_VALUE"""),"Inflation Protected Bond")</f>
        <v>Inflation Protected Bond</v>
      </c>
      <c r="E8051" s="122">
        <f>IFERROR(__xludf.DUMMYFUNCTION("""COMPUTED_VALUE"""),100.86)</f>
        <v>100.86</v>
      </c>
      <c r="F8051" s="122">
        <f>IFERROR(__xludf.DUMMYFUNCTION("""COMPUTED_VALUE"""),5.0E-4)</f>
        <v>0.0005</v>
      </c>
    </row>
    <row r="8052">
      <c r="A8052" s="131">
        <f>IFERROR(__xludf.DUMMYFUNCTION("""COMPUTED_VALUE"""),46187.626655092594)</f>
        <v>46187.62666</v>
      </c>
      <c r="B8052" s="126">
        <f>IFERROR(__xludf.DUMMYFUNCTION("""COMPUTED_VALUE"""),46187.0)</f>
        <v>46187</v>
      </c>
      <c r="C8052" s="122" t="str">
        <f>IFERROR(__xludf.DUMMYFUNCTION("""COMPUTED_VALUE"""),"SNAX")</f>
        <v>SNAX</v>
      </c>
      <c r="D8052" s="122" t="str">
        <f>IFERROR(__xludf.DUMMYFUNCTION("""COMPUTED_VALUE"""),"MICA Snacks")</f>
        <v>MICA Snacks</v>
      </c>
      <c r="E8052" s="122">
        <f>IFERROR(__xludf.DUMMYFUNCTION("""COMPUTED_VALUE"""),122.72)</f>
        <v>122.72</v>
      </c>
      <c r="F8052" s="122">
        <f>IFERROR(__xludf.DUMMYFUNCTION("""COMPUTED_VALUE"""),0.0035)</f>
        <v>0.0035</v>
      </c>
    </row>
    <row r="8053">
      <c r="A8053" s="131">
        <f>IFERROR(__xludf.DUMMYFUNCTION("""COMPUTED_VALUE"""),46187.626655092594)</f>
        <v>46187.62666</v>
      </c>
      <c r="B8053" s="126">
        <f>IFERROR(__xludf.DUMMYFUNCTION("""COMPUTED_VALUE"""),46187.0)</f>
        <v>46187</v>
      </c>
      <c r="C8053" s="122" t="str">
        <f>IFERROR(__xludf.DUMMYFUNCTION("""COMPUTED_VALUE"""),"RAMN")</f>
        <v>RAMN</v>
      </c>
      <c r="D8053" s="122" t="str">
        <f>IFERROR(__xludf.DUMMYFUNCTION("""COMPUTED_VALUE"""),"Ramen Republic")</f>
        <v>Ramen Republic</v>
      </c>
      <c r="E8053" s="122">
        <f>IFERROR(__xludf.DUMMYFUNCTION("""COMPUTED_VALUE"""),62.82)</f>
        <v>62.82</v>
      </c>
      <c r="F8053" s="122">
        <f>IFERROR(__xludf.DUMMYFUNCTION("""COMPUTED_VALUE"""),-0.0046)</f>
        <v>-0.0046</v>
      </c>
    </row>
    <row r="8054">
      <c r="A8054" s="131">
        <f>IFERROR(__xludf.DUMMYFUNCTION("""COMPUTED_VALUE"""),46187.626655092594)</f>
        <v>46187.62666</v>
      </c>
      <c r="B8054" s="126">
        <f>IFERROR(__xludf.DUMMYFUNCTION("""COMPUTED_VALUE"""),46187.0)</f>
        <v>46187</v>
      </c>
      <c r="C8054" s="122" t="str">
        <f>IFERROR(__xludf.DUMMYFUNCTION("""COMPUTED_VALUE"""),"COLA")</f>
        <v>COLA</v>
      </c>
      <c r="D8054" s="122" t="str">
        <f>IFERROR(__xludf.DUMMYFUNCTION("""COMPUTED_VALUE"""),"K-Pop Cola")</f>
        <v>K-Pop Cola</v>
      </c>
      <c r="E8054" s="122">
        <f>IFERROR(__xludf.DUMMYFUNCTION("""COMPUTED_VALUE"""),112.96)</f>
        <v>112.96</v>
      </c>
      <c r="F8054" s="122">
        <f>IFERROR(__xludf.DUMMYFUNCTION("""COMPUTED_VALUE"""),0.0037)</f>
        <v>0.0037</v>
      </c>
    </row>
    <row r="8055">
      <c r="A8055" s="131">
        <f>IFERROR(__xludf.DUMMYFUNCTION("""COMPUTED_VALUE"""),46187.626655092594)</f>
        <v>46187.62666</v>
      </c>
      <c r="B8055" s="126">
        <f>IFERROR(__xludf.DUMMYFUNCTION("""COMPUTED_VALUE"""),46187.0)</f>
        <v>46187</v>
      </c>
      <c r="C8055" s="122" t="str">
        <f>IFERROR(__xludf.DUMMYFUNCTION("""COMPUTED_VALUE"""),"CHIP")</f>
        <v>CHIP</v>
      </c>
      <c r="D8055" s="122" t="str">
        <f>IFERROR(__xludf.DUMMYFUNCTION("""COMPUTED_VALUE"""),"Chip Empire")</f>
        <v>Chip Empire</v>
      </c>
      <c r="E8055" s="122">
        <f>IFERROR(__xludf.DUMMYFUNCTION("""COMPUTED_VALUE"""),81.25)</f>
        <v>81.25</v>
      </c>
      <c r="F8055" s="122">
        <f>IFERROR(__xludf.DUMMYFUNCTION("""COMPUTED_VALUE"""),0.004)</f>
        <v>0.004</v>
      </c>
    </row>
    <row r="8056">
      <c r="A8056" s="131">
        <f>IFERROR(__xludf.DUMMYFUNCTION("""COMPUTED_VALUE"""),46187.626655092594)</f>
        <v>46187.62666</v>
      </c>
      <c r="B8056" s="126">
        <f>IFERROR(__xludf.DUMMYFUNCTION("""COMPUTED_VALUE"""),46187.0)</f>
        <v>46187</v>
      </c>
      <c r="C8056" s="122" t="str">
        <f>IFERROR(__xludf.DUMMYFUNCTION("""COMPUTED_VALUE"""),"CAND")</f>
        <v>CAND</v>
      </c>
      <c r="D8056" s="122" t="str">
        <f>IFERROR(__xludf.DUMMYFUNCTION("""COMPUTED_VALUE"""),"Candy Capital")</f>
        <v>Candy Capital</v>
      </c>
      <c r="E8056" s="122">
        <f>IFERROR(__xludf.DUMMYFUNCTION("""COMPUTED_VALUE"""),78.56)</f>
        <v>78.56</v>
      </c>
      <c r="F8056" s="122">
        <f>IFERROR(__xludf.DUMMYFUNCTION("""COMPUTED_VALUE"""),0.0072)</f>
        <v>0.0072</v>
      </c>
    </row>
    <row r="8057">
      <c r="A8057" s="131">
        <f>IFERROR(__xludf.DUMMYFUNCTION("""COMPUTED_VALUE"""),46187.626655092594)</f>
        <v>46187.62666</v>
      </c>
      <c r="B8057" s="126">
        <f>IFERROR(__xludf.DUMMYFUNCTION("""COMPUTED_VALUE"""),46187.0)</f>
        <v>46187</v>
      </c>
      <c r="C8057" s="122" t="str">
        <f>IFERROR(__xludf.DUMMYFUNCTION("""COMPUTED_VALUE"""),"TECH")</f>
        <v>TECH</v>
      </c>
      <c r="D8057" s="122" t="str">
        <f>IFERROR(__xludf.DUMMYFUNCTION("""COMPUTED_VALUE"""),"Dragon Tech")</f>
        <v>Dragon Tech</v>
      </c>
      <c r="E8057" s="122">
        <f>IFERROR(__xludf.DUMMYFUNCTION("""COMPUTED_VALUE"""),256.8)</f>
        <v>256.8</v>
      </c>
      <c r="F8057" s="122">
        <f>IFERROR(__xludf.DUMMYFUNCTION("""COMPUTED_VALUE"""),-0.0035)</f>
        <v>-0.0035</v>
      </c>
    </row>
    <row r="8058">
      <c r="A8058" s="131">
        <f>IFERROR(__xludf.DUMMYFUNCTION("""COMPUTED_VALUE"""),46187.626655092594)</f>
        <v>46187.62666</v>
      </c>
      <c r="B8058" s="126">
        <f>IFERROR(__xludf.DUMMYFUNCTION("""COMPUTED_VALUE"""),46187.0)</f>
        <v>46187</v>
      </c>
      <c r="C8058" s="122" t="str">
        <f>IFERROR(__xludf.DUMMYFUNCTION("""COMPUTED_VALUE"""),"AIBO")</f>
        <v>AIBO</v>
      </c>
      <c r="D8058" s="122" t="str">
        <f>IFERROR(__xludf.DUMMYFUNCTION("""COMPUTED_VALUE"""),"Homework AI")</f>
        <v>Homework AI</v>
      </c>
      <c r="E8058" s="122">
        <f>IFERROR(__xludf.DUMMYFUNCTION("""COMPUTED_VALUE"""),190.16)</f>
        <v>190.16</v>
      </c>
      <c r="F8058" s="122">
        <f>IFERROR(__xludf.DUMMYFUNCTION("""COMPUTED_VALUE"""),-0.0082)</f>
        <v>-0.0082</v>
      </c>
    </row>
    <row r="8059">
      <c r="A8059" s="131">
        <f>IFERROR(__xludf.DUMMYFUNCTION("""COMPUTED_VALUE"""),46187.626655092594)</f>
        <v>46187.62666</v>
      </c>
      <c r="B8059" s="126">
        <f>IFERROR(__xludf.DUMMYFUNCTION("""COMPUTED_VALUE"""),46187.0)</f>
        <v>46187</v>
      </c>
      <c r="C8059" s="122" t="str">
        <f>IFERROR(__xludf.DUMMYFUNCTION("""COMPUTED_VALUE"""),"GAME")</f>
        <v>GAME</v>
      </c>
      <c r="D8059" s="122" t="str">
        <f>IFERROR(__xludf.DUMMYFUNCTION("""COMPUTED_VALUE"""),"GameBox Media")</f>
        <v>GameBox Media</v>
      </c>
      <c r="E8059" s="122">
        <f>IFERROR(__xludf.DUMMYFUNCTION("""COMPUTED_VALUE"""),102.74)</f>
        <v>102.74</v>
      </c>
      <c r="F8059" s="122">
        <f>IFERROR(__xludf.DUMMYFUNCTION("""COMPUTED_VALUE"""),9.0E-4)</f>
        <v>0.0009</v>
      </c>
    </row>
    <row r="8060">
      <c r="A8060" s="131">
        <f>IFERROR(__xludf.DUMMYFUNCTION("""COMPUTED_VALUE"""),46187.626655092594)</f>
        <v>46187.62666</v>
      </c>
      <c r="B8060" s="126">
        <f>IFERROR(__xludf.DUMMYFUNCTION("""COMPUTED_VALUE"""),46187.0)</f>
        <v>46187</v>
      </c>
      <c r="C8060" s="122" t="str">
        <f>IFERROR(__xludf.DUMMYFUNCTION("""COMPUTED_VALUE"""),"VRSE")</f>
        <v>VRSE</v>
      </c>
      <c r="D8060" s="122" t="str">
        <f>IFERROR(__xludf.DUMMYFUNCTION("""COMPUTED_VALUE"""),"VerseVR")</f>
        <v>VerseVR</v>
      </c>
      <c r="E8060" s="122">
        <f>IFERROR(__xludf.DUMMYFUNCTION("""COMPUTED_VALUE"""),146.68)</f>
        <v>146.68</v>
      </c>
      <c r="F8060" s="122">
        <f>IFERROR(__xludf.DUMMYFUNCTION("""COMPUTED_VALUE"""),-0.0101)</f>
        <v>-0.0101</v>
      </c>
    </row>
    <row r="8061">
      <c r="A8061" s="131">
        <f>IFERROR(__xludf.DUMMYFUNCTION("""COMPUTED_VALUE"""),46187.626655092594)</f>
        <v>46187.62666</v>
      </c>
      <c r="B8061" s="126">
        <f>IFERROR(__xludf.DUMMYFUNCTION("""COMPUTED_VALUE"""),46187.0)</f>
        <v>46187</v>
      </c>
      <c r="C8061" s="122" t="str">
        <f>IFERROR(__xludf.DUMMYFUNCTION("""COMPUTED_VALUE"""),"BYTE")</f>
        <v>BYTE</v>
      </c>
      <c r="D8061" s="122" t="str">
        <f>IFERROR(__xludf.DUMMYFUNCTION("""COMPUTED_VALUE"""),"ByteWorks")</f>
        <v>ByteWorks</v>
      </c>
      <c r="E8061" s="122">
        <f>IFERROR(__xludf.DUMMYFUNCTION("""COMPUTED_VALUE"""),111.63)</f>
        <v>111.63</v>
      </c>
      <c r="F8061" s="122">
        <f>IFERROR(__xludf.DUMMYFUNCTION("""COMPUTED_VALUE"""),-0.0059)</f>
        <v>-0.0059</v>
      </c>
    </row>
    <row r="8062">
      <c r="A8062" s="131">
        <f>IFERROR(__xludf.DUMMYFUNCTION("""COMPUTED_VALUE"""),46187.626655092594)</f>
        <v>46187.62666</v>
      </c>
      <c r="B8062" s="126">
        <f>IFERROR(__xludf.DUMMYFUNCTION("""COMPUTED_VALUE"""),46187.0)</f>
        <v>46187</v>
      </c>
      <c r="C8062" s="122" t="str">
        <f>IFERROR(__xludf.DUMMYFUNCTION("""COMPUTED_VALUE"""),"BANK")</f>
        <v>BANK</v>
      </c>
      <c r="D8062" s="122" t="str">
        <f>IFERROR(__xludf.DUMMYFUNCTION("""COMPUTED_VALUE"""),"Tiger Bank")</f>
        <v>Tiger Bank</v>
      </c>
      <c r="E8062" s="122">
        <f>IFERROR(__xludf.DUMMYFUNCTION("""COMPUTED_VALUE"""),132.43)</f>
        <v>132.43</v>
      </c>
      <c r="F8062" s="122">
        <f>IFERROR(__xludf.DUMMYFUNCTION("""COMPUTED_VALUE"""),6.0E-4)</f>
        <v>0.0006</v>
      </c>
    </row>
    <row r="8063">
      <c r="A8063" s="131">
        <f>IFERROR(__xludf.DUMMYFUNCTION("""COMPUTED_VALUE"""),46187.626655092594)</f>
        <v>46187.62666</v>
      </c>
      <c r="B8063" s="126">
        <f>IFERROR(__xludf.DUMMYFUNCTION("""COMPUTED_VALUE"""),46187.0)</f>
        <v>46187</v>
      </c>
      <c r="C8063" s="122" t="str">
        <f>IFERROR(__xludf.DUMMYFUNCTION("""COMPUTED_VALUE"""),"CRED")</f>
        <v>CRED</v>
      </c>
      <c r="D8063" s="122" t="str">
        <f>IFERROR(__xludf.DUMMYFUNCTION("""COMPUTED_VALUE"""),"Credit Castle")</f>
        <v>Credit Castle</v>
      </c>
      <c r="E8063" s="122">
        <f>IFERROR(__xludf.DUMMYFUNCTION("""COMPUTED_VALUE"""),66.85)</f>
        <v>66.85</v>
      </c>
      <c r="F8063" s="122">
        <f>IFERROR(__xludf.DUMMYFUNCTION("""COMPUTED_VALUE"""),3.0E-4)</f>
        <v>0.0003</v>
      </c>
    </row>
    <row r="8064">
      <c r="A8064" s="131">
        <f>IFERROR(__xludf.DUMMYFUNCTION("""COMPUTED_VALUE"""),46187.626655092594)</f>
        <v>46187.62666</v>
      </c>
      <c r="B8064" s="126">
        <f>IFERROR(__xludf.DUMMYFUNCTION("""COMPUTED_VALUE"""),46187.0)</f>
        <v>46187</v>
      </c>
      <c r="C8064" s="122" t="str">
        <f>IFERROR(__xludf.DUMMYFUNCTION("""COMPUTED_VALUE"""),"BOND")</f>
        <v>BOND</v>
      </c>
      <c r="D8064" s="122" t="str">
        <f>IFERROR(__xludf.DUMMYFUNCTION("""COMPUTED_VALUE"""),"BondBridge")</f>
        <v>BondBridge</v>
      </c>
      <c r="E8064" s="122">
        <f>IFERROR(__xludf.DUMMYFUNCTION("""COMPUTED_VALUE"""),105.09)</f>
        <v>105.09</v>
      </c>
      <c r="F8064" s="122">
        <f>IFERROR(__xludf.DUMMYFUNCTION("""COMPUTED_VALUE"""),0.003)</f>
        <v>0.003</v>
      </c>
    </row>
    <row r="8065">
      <c r="A8065" s="131">
        <f>IFERROR(__xludf.DUMMYFUNCTION("""COMPUTED_VALUE"""),46187.626655092594)</f>
        <v>46187.62666</v>
      </c>
      <c r="B8065" s="126">
        <f>IFERROR(__xludf.DUMMYFUNCTION("""COMPUTED_VALUE"""),46187.0)</f>
        <v>46187</v>
      </c>
      <c r="C8065" s="122" t="str">
        <f>IFERROR(__xludf.DUMMYFUNCTION("""COMPUTED_VALUE"""),"INSR")</f>
        <v>INSR</v>
      </c>
      <c r="D8065" s="122" t="str">
        <f>IFERROR(__xludf.DUMMYFUNCTION("""COMPUTED_VALUE"""),"Shield Insurance")</f>
        <v>Shield Insurance</v>
      </c>
      <c r="E8065" s="122">
        <f>IFERROR(__xludf.DUMMYFUNCTION("""COMPUTED_VALUE"""),156.53)</f>
        <v>156.53</v>
      </c>
      <c r="F8065" s="122">
        <f>IFERROR(__xludf.DUMMYFUNCTION("""COMPUTED_VALUE"""),-0.0029)</f>
        <v>-0.0029</v>
      </c>
    </row>
    <row r="8066">
      <c r="A8066" s="131">
        <f>IFERROR(__xludf.DUMMYFUNCTION("""COMPUTED_VALUE"""),46187.626655092594)</f>
        <v>46187.62666</v>
      </c>
      <c r="B8066" s="126">
        <f>IFERROR(__xludf.DUMMYFUNCTION("""COMPUTED_VALUE"""),46187.0)</f>
        <v>46187</v>
      </c>
      <c r="C8066" s="122" t="str">
        <f>IFERROR(__xludf.DUMMYFUNCTION("""COMPUTED_VALUE"""),"LOAN")</f>
        <v>LOAN</v>
      </c>
      <c r="D8066" s="122" t="str">
        <f>IFERROR(__xludf.DUMMYFUNCTION("""COMPUTED_VALUE"""),"LoanLab")</f>
        <v>LoanLab</v>
      </c>
      <c r="E8066" s="122">
        <f>IFERROR(__xludf.DUMMYFUNCTION("""COMPUTED_VALUE"""),71.75)</f>
        <v>71.75</v>
      </c>
      <c r="F8066" s="122">
        <f>IFERROR(__xludf.DUMMYFUNCTION("""COMPUTED_VALUE"""),-0.0019)</f>
        <v>-0.0019</v>
      </c>
    </row>
    <row r="8067">
      <c r="A8067" s="131">
        <f>IFERROR(__xludf.DUMMYFUNCTION("""COMPUTED_VALUE"""),46187.626655092594)</f>
        <v>46187.62666</v>
      </c>
      <c r="B8067" s="126">
        <f>IFERROR(__xludf.DUMMYFUNCTION("""COMPUTED_VALUE"""),46187.0)</f>
        <v>46187</v>
      </c>
      <c r="C8067" s="122" t="str">
        <f>IFERROR(__xludf.DUMMYFUNCTION("""COMPUTED_VALUE"""),"LUXE")</f>
        <v>LUXE</v>
      </c>
      <c r="D8067" s="122" t="str">
        <f>IFERROR(__xludf.DUMMYFUNCTION("""COMPUTED_VALUE"""),"Luxury Locker")</f>
        <v>Luxury Locker</v>
      </c>
      <c r="E8067" s="122">
        <f>IFERROR(__xludf.DUMMYFUNCTION("""COMPUTED_VALUE"""),265.0)</f>
        <v>265</v>
      </c>
      <c r="F8067" s="122">
        <f>IFERROR(__xludf.DUMMYFUNCTION("""COMPUTED_VALUE"""),0.0032)</f>
        <v>0.0032</v>
      </c>
    </row>
    <row r="8068">
      <c r="A8068" s="131">
        <f>IFERROR(__xludf.DUMMYFUNCTION("""COMPUTED_VALUE"""),46187.626655092594)</f>
        <v>46187.62666</v>
      </c>
      <c r="B8068" s="126">
        <f>IFERROR(__xludf.DUMMYFUNCTION("""COMPUTED_VALUE"""),46187.0)</f>
        <v>46187</v>
      </c>
      <c r="C8068" s="122" t="str">
        <f>IFERROR(__xludf.DUMMYFUNCTION("""COMPUTED_VALUE"""),"DRIP")</f>
        <v>DRIP</v>
      </c>
      <c r="D8068" s="122" t="str">
        <f>IFERROR(__xludf.DUMMYFUNCTION("""COMPUTED_VALUE"""),"Drip Streetwear")</f>
        <v>Drip Streetwear</v>
      </c>
      <c r="E8068" s="122">
        <f>IFERROR(__xludf.DUMMYFUNCTION("""COMPUTED_VALUE"""),189.49)</f>
        <v>189.49</v>
      </c>
      <c r="F8068" s="122">
        <f>IFERROR(__xludf.DUMMYFUNCTION("""COMPUTED_VALUE"""),0.0069)</f>
        <v>0.0069</v>
      </c>
    </row>
    <row r="8069">
      <c r="A8069" s="131">
        <f>IFERROR(__xludf.DUMMYFUNCTION("""COMPUTED_VALUE"""),46187.626655092594)</f>
        <v>46187.62666</v>
      </c>
      <c r="B8069" s="126">
        <f>IFERROR(__xludf.DUMMYFUNCTION("""COMPUTED_VALUE"""),46187.0)</f>
        <v>46187</v>
      </c>
      <c r="C8069" s="122" t="str">
        <f>IFERROR(__xludf.DUMMYFUNCTION("""COMPUTED_VALUE"""),"KICK")</f>
        <v>KICK</v>
      </c>
      <c r="D8069" s="122" t="str">
        <f>IFERROR(__xludf.DUMMYFUNCTION("""COMPUTED_VALUE"""),"KickDrop Sneakers")</f>
        <v>KickDrop Sneakers</v>
      </c>
      <c r="E8069" s="122">
        <f>IFERROR(__xludf.DUMMYFUNCTION("""COMPUTED_VALUE"""),167.97)</f>
        <v>167.97</v>
      </c>
      <c r="F8069" s="122">
        <f>IFERROR(__xludf.DUMMYFUNCTION("""COMPUTED_VALUE"""),0.0021)</f>
        <v>0.0021</v>
      </c>
    </row>
    <row r="8070">
      <c r="A8070" s="131">
        <f>IFERROR(__xludf.DUMMYFUNCTION("""COMPUTED_VALUE"""),46187.626655092594)</f>
        <v>46187.62666</v>
      </c>
      <c r="B8070" s="126">
        <f>IFERROR(__xludf.DUMMYFUNCTION("""COMPUTED_VALUE"""),46187.0)</f>
        <v>46187</v>
      </c>
      <c r="C8070" s="122" t="str">
        <f>IFERROR(__xludf.DUMMYFUNCTION("""COMPUTED_VALUE"""),"GLAM")</f>
        <v>GLAM</v>
      </c>
      <c r="D8070" s="122" t="str">
        <f>IFERROR(__xludf.DUMMYFUNCTION("""COMPUTED_VALUE"""),"Glow Cosmetics")</f>
        <v>Glow Cosmetics</v>
      </c>
      <c r="E8070" s="122">
        <f>IFERROR(__xludf.DUMMYFUNCTION("""COMPUTED_VALUE"""),110.68)</f>
        <v>110.68</v>
      </c>
      <c r="F8070" s="122">
        <f>IFERROR(__xludf.DUMMYFUNCTION("""COMPUTED_VALUE"""),-0.0014)</f>
        <v>-0.0014</v>
      </c>
    </row>
    <row r="8071">
      <c r="A8071" s="131">
        <f>IFERROR(__xludf.DUMMYFUNCTION("""COMPUTED_VALUE"""),46187.626655092594)</f>
        <v>46187.62666</v>
      </c>
      <c r="B8071" s="126">
        <f>IFERROR(__xludf.DUMMYFUNCTION("""COMPUTED_VALUE"""),46187.0)</f>
        <v>46187</v>
      </c>
      <c r="C8071" s="122" t="str">
        <f>IFERROR(__xludf.DUMMYFUNCTION("""COMPUTED_VALUE"""),"BAGG")</f>
        <v>BAGG</v>
      </c>
      <c r="D8071" s="122" t="str">
        <f>IFERROR(__xludf.DUMMYFUNCTION("""COMPUTED_VALUE"""),"BagVault")</f>
        <v>BagVault</v>
      </c>
      <c r="E8071" s="122">
        <f>IFERROR(__xludf.DUMMYFUNCTION("""COMPUTED_VALUE"""),276.79)</f>
        <v>276.79</v>
      </c>
      <c r="F8071" s="122">
        <f>IFERROR(__xludf.DUMMYFUNCTION("""COMPUTED_VALUE"""),0.004)</f>
        <v>0.004</v>
      </c>
    </row>
    <row r="8072">
      <c r="A8072" s="131">
        <f>IFERROR(__xludf.DUMMYFUNCTION("""COMPUTED_VALUE"""),46187.626655092594)</f>
        <v>46187.62666</v>
      </c>
      <c r="B8072" s="126">
        <f>IFERROR(__xludf.DUMMYFUNCTION("""COMPUTED_VALUE"""),46187.0)</f>
        <v>46187</v>
      </c>
      <c r="C8072" s="122" t="str">
        <f>IFERROR(__xludf.DUMMYFUNCTION("""COMPUTED_VALUE"""),"FAST")</f>
        <v>FAST</v>
      </c>
      <c r="D8072" s="122" t="str">
        <f>IFERROR(__xludf.DUMMYFUNCTION("""COMPUTED_VALUE"""),"Flash Logistics")</f>
        <v>Flash Logistics</v>
      </c>
      <c r="E8072" s="122">
        <f>IFERROR(__xludf.DUMMYFUNCTION("""COMPUTED_VALUE"""),108.08)</f>
        <v>108.08</v>
      </c>
      <c r="F8072" s="122">
        <f>IFERROR(__xludf.DUMMYFUNCTION("""COMPUTED_VALUE"""),0.0043)</f>
        <v>0.0043</v>
      </c>
    </row>
    <row r="8073">
      <c r="A8073" s="131">
        <f>IFERROR(__xludf.DUMMYFUNCTION("""COMPUTED_VALUE"""),46187.626655092594)</f>
        <v>46187.62666</v>
      </c>
      <c r="B8073" s="126">
        <f>IFERROR(__xludf.DUMMYFUNCTION("""COMPUTED_VALUE"""),46187.0)</f>
        <v>46187</v>
      </c>
      <c r="C8073" s="122" t="str">
        <f>IFERROR(__xludf.DUMMYFUNCTION("""COMPUTED_VALUE"""),"SHIP")</f>
        <v>SHIP</v>
      </c>
      <c r="D8073" s="122" t="str">
        <f>IFERROR(__xludf.DUMMYFUNCTION("""COMPUTED_VALUE"""),"Seoul Shipping")</f>
        <v>Seoul Shipping</v>
      </c>
      <c r="E8073" s="122">
        <f>IFERROR(__xludf.DUMMYFUNCTION("""COMPUTED_VALUE"""),131.28)</f>
        <v>131.28</v>
      </c>
      <c r="F8073" s="122">
        <f>IFERROR(__xludf.DUMMYFUNCTION("""COMPUTED_VALUE"""),0.0039)</f>
        <v>0.0039</v>
      </c>
    </row>
    <row r="8074">
      <c r="A8074" s="131">
        <f>IFERROR(__xludf.DUMMYFUNCTION("""COMPUTED_VALUE"""),46187.626655092594)</f>
        <v>46187.62666</v>
      </c>
      <c r="B8074" s="126">
        <f>IFERROR(__xludf.DUMMYFUNCTION("""COMPUTED_VALUE"""),46187.0)</f>
        <v>46187</v>
      </c>
      <c r="C8074" s="122" t="str">
        <f>IFERROR(__xludf.DUMMYFUNCTION("""COMPUTED_VALUE"""),"DRON")</f>
        <v>DRON</v>
      </c>
      <c r="D8074" s="122" t="str">
        <f>IFERROR(__xludf.DUMMYFUNCTION("""COMPUTED_VALUE"""),"DroneDrop")</f>
        <v>DroneDrop</v>
      </c>
      <c r="E8074" s="122">
        <f>IFERROR(__xludf.DUMMYFUNCTION("""COMPUTED_VALUE"""),123.52)</f>
        <v>123.52</v>
      </c>
      <c r="F8074" s="122">
        <f>IFERROR(__xludf.DUMMYFUNCTION("""COMPUTED_VALUE"""),-0.0031)</f>
        <v>-0.0031</v>
      </c>
    </row>
    <row r="8075">
      <c r="A8075" s="131">
        <f>IFERROR(__xludf.DUMMYFUNCTION("""COMPUTED_VALUE"""),46187.626655092594)</f>
        <v>46187.62666</v>
      </c>
      <c r="B8075" s="126">
        <f>IFERROR(__xludf.DUMMYFUNCTION("""COMPUTED_VALUE"""),46187.0)</f>
        <v>46187</v>
      </c>
      <c r="C8075" s="122" t="str">
        <f>IFERROR(__xludf.DUMMYFUNCTION("""COMPUTED_VALUE"""),"RIDE")</f>
        <v>RIDE</v>
      </c>
      <c r="D8075" s="122" t="str">
        <f>IFERROR(__xludf.DUMMYFUNCTION("""COMPUTED_VALUE"""),"QuickRide")</f>
        <v>QuickRide</v>
      </c>
      <c r="E8075" s="122">
        <f>IFERROR(__xludf.DUMMYFUNCTION("""COMPUTED_VALUE"""),101.56)</f>
        <v>101.56</v>
      </c>
      <c r="F8075" s="122">
        <f>IFERROR(__xludf.DUMMYFUNCTION("""COMPUTED_VALUE"""),-0.0111)</f>
        <v>-0.0111</v>
      </c>
    </row>
    <row r="8076">
      <c r="A8076" s="131">
        <f>IFERROR(__xludf.DUMMYFUNCTION("""COMPUTED_VALUE"""),46187.626655092594)</f>
        <v>46187.62666</v>
      </c>
      <c r="B8076" s="126">
        <f>IFERROR(__xludf.DUMMYFUNCTION("""COMPUTED_VALUE"""),46187.0)</f>
        <v>46187</v>
      </c>
      <c r="C8076" s="122" t="str">
        <f>IFERROR(__xludf.DUMMYFUNCTION("""COMPUTED_VALUE"""),"RAIL")</f>
        <v>RAIL</v>
      </c>
      <c r="D8076" s="122" t="str">
        <f>IFERROR(__xludf.DUMMYFUNCTION("""COMPUTED_VALUE"""),"MetroRail Corp")</f>
        <v>MetroRail Corp</v>
      </c>
      <c r="E8076" s="122">
        <f>IFERROR(__xludf.DUMMYFUNCTION("""COMPUTED_VALUE"""),131.95)</f>
        <v>131.95</v>
      </c>
      <c r="F8076" s="122">
        <f>IFERROR(__xludf.DUMMYFUNCTION("""COMPUTED_VALUE"""),0.0017)</f>
        <v>0.0017</v>
      </c>
    </row>
    <row r="8077">
      <c r="A8077" s="131">
        <f>IFERROR(__xludf.DUMMYFUNCTION("""COMPUTED_VALUE"""),46187.626655092594)</f>
        <v>46187.62666</v>
      </c>
      <c r="B8077" s="126">
        <f>IFERROR(__xludf.DUMMYFUNCTION("""COMPUTED_VALUE"""),46187.0)</f>
        <v>46187</v>
      </c>
      <c r="C8077" s="122" t="str">
        <f>IFERROR(__xludf.DUMMYFUNCTION("""COMPUTED_VALUE"""),"MEDX")</f>
        <v>MEDX</v>
      </c>
      <c r="D8077" s="122" t="str">
        <f>IFERROR(__xludf.DUMMYFUNCTION("""COMPUTED_VALUE"""),"MediCore")</f>
        <v>MediCore</v>
      </c>
      <c r="E8077" s="122">
        <f>IFERROR(__xludf.DUMMYFUNCTION("""COMPUTED_VALUE"""),138.11)</f>
        <v>138.11</v>
      </c>
      <c r="F8077" s="122">
        <f>IFERROR(__xludf.DUMMYFUNCTION("""COMPUTED_VALUE"""),0.0015)</f>
        <v>0.0015</v>
      </c>
    </row>
    <row r="8078">
      <c r="A8078" s="131">
        <f>IFERROR(__xludf.DUMMYFUNCTION("""COMPUTED_VALUE"""),46187.626655092594)</f>
        <v>46187.62666</v>
      </c>
      <c r="B8078" s="126">
        <f>IFERROR(__xludf.DUMMYFUNCTION("""COMPUTED_VALUE"""),46187.0)</f>
        <v>46187</v>
      </c>
      <c r="C8078" s="122" t="str">
        <f>IFERROR(__xludf.DUMMYFUNCTION("""COMPUTED_VALUE"""),"GYMX")</f>
        <v>GYMX</v>
      </c>
      <c r="D8078" s="122" t="str">
        <f>IFERROR(__xludf.DUMMYFUNCTION("""COMPUTED_VALUE"""),"GymX Fitness")</f>
        <v>GymX Fitness</v>
      </c>
      <c r="E8078" s="122">
        <f>IFERROR(__xludf.DUMMYFUNCTION("""COMPUTED_VALUE"""),82.63)</f>
        <v>82.63</v>
      </c>
      <c r="F8078" s="122">
        <f>IFERROR(__xludf.DUMMYFUNCTION("""COMPUTED_VALUE"""),-0.0064)</f>
        <v>-0.0064</v>
      </c>
    </row>
    <row r="8079">
      <c r="A8079" s="131">
        <f>IFERROR(__xludf.DUMMYFUNCTION("""COMPUTED_VALUE"""),46187.626655092594)</f>
        <v>46187.62666</v>
      </c>
      <c r="B8079" s="126">
        <f>IFERROR(__xludf.DUMMYFUNCTION("""COMPUTED_VALUE"""),46187.0)</f>
        <v>46187</v>
      </c>
      <c r="C8079" s="122" t="str">
        <f>IFERROR(__xludf.DUMMYFUNCTION("""COMPUTED_VALUE"""),"VITA")</f>
        <v>VITA</v>
      </c>
      <c r="D8079" s="122" t="str">
        <f>IFERROR(__xludf.DUMMYFUNCTION("""COMPUTED_VALUE"""),"VitaPlus")</f>
        <v>VitaPlus</v>
      </c>
      <c r="E8079" s="122">
        <f>IFERROR(__xludf.DUMMYFUNCTION("""COMPUTED_VALUE"""),72.98)</f>
        <v>72.98</v>
      </c>
      <c r="F8079" s="122">
        <f>IFERROR(__xludf.DUMMYFUNCTION("""COMPUTED_VALUE"""),0.0044)</f>
        <v>0.0044</v>
      </c>
    </row>
    <row r="8080">
      <c r="A8080" s="131">
        <f>IFERROR(__xludf.DUMMYFUNCTION("""COMPUTED_VALUE"""),46187.626655092594)</f>
        <v>46187.62666</v>
      </c>
      <c r="B8080" s="126">
        <f>IFERROR(__xludf.DUMMYFUNCTION("""COMPUTED_VALUE"""),46187.0)</f>
        <v>46187</v>
      </c>
      <c r="C8080" s="122" t="str">
        <f>IFERROR(__xludf.DUMMYFUNCTION("""COMPUTED_VALUE"""),"CARE")</f>
        <v>CARE</v>
      </c>
      <c r="D8080" s="122" t="str">
        <f>IFERROR(__xludf.DUMMYFUNCTION("""COMPUTED_VALUE"""),"CareCloud")</f>
        <v>CareCloud</v>
      </c>
      <c r="E8080" s="122">
        <f>IFERROR(__xludf.DUMMYFUNCTION("""COMPUTED_VALUE"""),185.05)</f>
        <v>185.05</v>
      </c>
      <c r="F8080" s="122">
        <f>IFERROR(__xludf.DUMMYFUNCTION("""COMPUTED_VALUE"""),-0.0049)</f>
        <v>-0.0049</v>
      </c>
    </row>
    <row r="8081">
      <c r="A8081" s="131">
        <f>IFERROR(__xludf.DUMMYFUNCTION("""COMPUTED_VALUE"""),46187.626655092594)</f>
        <v>46187.62666</v>
      </c>
      <c r="B8081" s="126">
        <f>IFERROR(__xludf.DUMMYFUNCTION("""COMPUTED_VALUE"""),46187.0)</f>
        <v>46187</v>
      </c>
      <c r="C8081" s="122" t="str">
        <f>IFERROR(__xludf.DUMMYFUNCTION("""COMPUTED_VALUE"""),"DENT")</f>
        <v>DENT</v>
      </c>
      <c r="D8081" s="122" t="str">
        <f>IFERROR(__xludf.DUMMYFUNCTION("""COMPUTED_VALUE"""),"SmileWorks")</f>
        <v>SmileWorks</v>
      </c>
      <c r="E8081" s="122">
        <f>IFERROR(__xludf.DUMMYFUNCTION("""COMPUTED_VALUE"""),96.65)</f>
        <v>96.65</v>
      </c>
      <c r="F8081" s="122">
        <f>IFERROR(__xludf.DUMMYFUNCTION("""COMPUTED_VALUE"""),0.0046)</f>
        <v>0.0046</v>
      </c>
    </row>
    <row r="8082">
      <c r="A8082" s="131">
        <f>IFERROR(__xludf.DUMMYFUNCTION("""COMPUTED_VALUE"""),46187.626655092594)</f>
        <v>46187.62666</v>
      </c>
      <c r="B8082" s="126">
        <f>IFERROR(__xludf.DUMMYFUNCTION("""COMPUTED_VALUE"""),46187.0)</f>
        <v>46187</v>
      </c>
      <c r="C8082" s="122" t="str">
        <f>IFERROR(__xludf.DUMMYFUNCTION("""COMPUTED_VALUE"""),"EDUX")</f>
        <v>EDUX</v>
      </c>
      <c r="D8082" s="122" t="str">
        <f>IFERROR(__xludf.DUMMYFUNCTION("""COMPUTED_VALUE"""),"EduMax Learning")</f>
        <v>EduMax Learning</v>
      </c>
      <c r="E8082" s="122">
        <f>IFERROR(__xludf.DUMMYFUNCTION("""COMPUTED_VALUE"""),149.87)</f>
        <v>149.87</v>
      </c>
      <c r="F8082" s="122">
        <f>IFERROR(__xludf.DUMMYFUNCTION("""COMPUTED_VALUE"""),0.0052)</f>
        <v>0.0052</v>
      </c>
    </row>
    <row r="8083">
      <c r="A8083" s="131">
        <f>IFERROR(__xludf.DUMMYFUNCTION("""COMPUTED_VALUE"""),46187.626655092594)</f>
        <v>46187.62666</v>
      </c>
      <c r="B8083" s="126">
        <f>IFERROR(__xludf.DUMMYFUNCTION("""COMPUTED_VALUE"""),46187.0)</f>
        <v>46187</v>
      </c>
      <c r="C8083" s="122" t="str">
        <f>IFERROR(__xludf.DUMMYFUNCTION("""COMPUTED_VALUE"""),"BOOK")</f>
        <v>BOOK</v>
      </c>
      <c r="D8083" s="122" t="str">
        <f>IFERROR(__xludf.DUMMYFUNCTION("""COMPUTED_VALUE"""),"BookBridge")</f>
        <v>BookBridge</v>
      </c>
      <c r="E8083" s="122">
        <f>IFERROR(__xludf.DUMMYFUNCTION("""COMPUTED_VALUE"""),120.44)</f>
        <v>120.44</v>
      </c>
      <c r="F8083" s="122">
        <f>IFERROR(__xludf.DUMMYFUNCTION("""COMPUTED_VALUE"""),-0.0023)</f>
        <v>-0.0023</v>
      </c>
    </row>
    <row r="8084">
      <c r="A8084" s="131">
        <f>IFERROR(__xludf.DUMMYFUNCTION("""COMPUTED_VALUE"""),46187.626655092594)</f>
        <v>46187.62666</v>
      </c>
      <c r="B8084" s="126">
        <f>IFERROR(__xludf.DUMMYFUNCTION("""COMPUTED_VALUE"""),46187.0)</f>
        <v>46187</v>
      </c>
      <c r="C8084" s="122" t="str">
        <f>IFERROR(__xludf.DUMMYFUNCTION("""COMPUTED_VALUE"""),"TUTR")</f>
        <v>TUTR</v>
      </c>
      <c r="D8084" s="122" t="str">
        <f>IFERROR(__xludf.DUMMYFUNCTION("""COMPUTED_VALUE"""),"TutorTown")</f>
        <v>TutorTown</v>
      </c>
      <c r="E8084" s="122">
        <f>IFERROR(__xludf.DUMMYFUNCTION("""COMPUTED_VALUE"""),91.61)</f>
        <v>91.61</v>
      </c>
      <c r="F8084" s="122">
        <f>IFERROR(__xludf.DUMMYFUNCTION("""COMPUTED_VALUE"""),0.0016)</f>
        <v>0.0016</v>
      </c>
    </row>
    <row r="8085">
      <c r="A8085" s="131">
        <f>IFERROR(__xludf.DUMMYFUNCTION("""COMPUTED_VALUE"""),46187.626655092594)</f>
        <v>46187.62666</v>
      </c>
      <c r="B8085" s="126">
        <f>IFERROR(__xludf.DUMMYFUNCTION("""COMPUTED_VALUE"""),46187.0)</f>
        <v>46187</v>
      </c>
      <c r="C8085" s="122" t="str">
        <f>IFERROR(__xludf.DUMMYFUNCTION("""COMPUTED_VALUE"""),"LANG")</f>
        <v>LANG</v>
      </c>
      <c r="D8085" s="122" t="str">
        <f>IFERROR(__xludf.DUMMYFUNCTION("""COMPUTED_VALUE"""),"LinguaLab")</f>
        <v>LinguaLab</v>
      </c>
      <c r="E8085" s="122">
        <f>IFERROR(__xludf.DUMMYFUNCTION("""COMPUTED_VALUE"""),102.86)</f>
        <v>102.86</v>
      </c>
      <c r="F8085" s="122">
        <f>IFERROR(__xludf.DUMMYFUNCTION("""COMPUTED_VALUE"""),-0.0021)</f>
        <v>-0.0021</v>
      </c>
    </row>
    <row r="8086">
      <c r="A8086" s="131">
        <f>IFERROR(__xludf.DUMMYFUNCTION("""COMPUTED_VALUE"""),46187.626655092594)</f>
        <v>46187.62666</v>
      </c>
      <c r="B8086" s="126">
        <f>IFERROR(__xludf.DUMMYFUNCTION("""COMPUTED_VALUE"""),46187.0)</f>
        <v>46187</v>
      </c>
      <c r="C8086" s="122" t="str">
        <f>IFERROR(__xludf.DUMMYFUNCTION("""COMPUTED_VALUE"""),"TEST")</f>
        <v>TEST</v>
      </c>
      <c r="D8086" s="122" t="str">
        <f>IFERROR(__xludf.DUMMYFUNCTION("""COMPUTED_VALUE"""),"TestPrep Pro")</f>
        <v>TestPrep Pro</v>
      </c>
      <c r="E8086" s="122">
        <f>IFERROR(__xludf.DUMMYFUNCTION("""COMPUTED_VALUE"""),89.29)</f>
        <v>89.29</v>
      </c>
      <c r="F8086" s="122">
        <f>IFERROR(__xludf.DUMMYFUNCTION("""COMPUTED_VALUE"""),-0.002)</f>
        <v>-0.002</v>
      </c>
    </row>
    <row r="8087">
      <c r="A8087" s="131">
        <f>IFERROR(__xludf.DUMMYFUNCTION("""COMPUTED_VALUE"""),46187.626655092594)</f>
        <v>46187.62666</v>
      </c>
      <c r="B8087" s="126">
        <f>IFERROR(__xludf.DUMMYFUNCTION("""COMPUTED_VALUE"""),46187.0)</f>
        <v>46187</v>
      </c>
      <c r="C8087" s="122" t="str">
        <f>IFERROR(__xludf.DUMMYFUNCTION("""COMPUTED_VALUE"""),"MOVI")</f>
        <v>MOVI</v>
      </c>
      <c r="D8087" s="122" t="str">
        <f>IFERROR(__xludf.DUMMYFUNCTION("""COMPUTED_VALUE"""),"MovieBox")</f>
        <v>MovieBox</v>
      </c>
      <c r="E8087" s="122">
        <f>IFERROR(__xludf.DUMMYFUNCTION("""COMPUTED_VALUE"""),83.69)</f>
        <v>83.69</v>
      </c>
      <c r="F8087" s="122">
        <f>IFERROR(__xludf.DUMMYFUNCTION("""COMPUTED_VALUE"""),0.0049)</f>
        <v>0.0049</v>
      </c>
    </row>
    <row r="8088">
      <c r="A8088" s="131">
        <f>IFERROR(__xludf.DUMMYFUNCTION("""COMPUTED_VALUE"""),46187.626655092594)</f>
        <v>46187.62666</v>
      </c>
      <c r="B8088" s="126">
        <f>IFERROR(__xludf.DUMMYFUNCTION("""COMPUTED_VALUE"""),46187.0)</f>
        <v>46187</v>
      </c>
      <c r="C8088" s="122" t="str">
        <f>IFERROR(__xludf.DUMMYFUNCTION("""COMPUTED_VALUE"""),"MUSC")</f>
        <v>MUSC</v>
      </c>
      <c r="D8088" s="122" t="str">
        <f>IFERROR(__xludf.DUMMYFUNCTION("""COMPUTED_VALUE"""),"MusicWave")</f>
        <v>MusicWave</v>
      </c>
      <c r="E8088" s="122">
        <f>IFERROR(__xludf.DUMMYFUNCTION("""COMPUTED_VALUE"""),103.9)</f>
        <v>103.9</v>
      </c>
      <c r="F8088" s="122">
        <f>IFERROR(__xludf.DUMMYFUNCTION("""COMPUTED_VALUE"""),0.0087)</f>
        <v>0.0087</v>
      </c>
    </row>
    <row r="8089">
      <c r="A8089" s="131">
        <f>IFERROR(__xludf.DUMMYFUNCTION("""COMPUTED_VALUE"""),46187.626655092594)</f>
        <v>46187.62666</v>
      </c>
      <c r="B8089" s="126">
        <f>IFERROR(__xludf.DUMMYFUNCTION("""COMPUTED_VALUE"""),46187.0)</f>
        <v>46187</v>
      </c>
      <c r="C8089" s="122" t="str">
        <f>IFERROR(__xludf.DUMMYFUNCTION("""COMPUTED_VALUE"""),"IDOL")</f>
        <v>IDOL</v>
      </c>
      <c r="D8089" s="122" t="str">
        <f>IFERROR(__xludf.DUMMYFUNCTION("""COMPUTED_VALUE"""),"Idol Agency")</f>
        <v>Idol Agency</v>
      </c>
      <c r="E8089" s="122">
        <f>IFERROR(__xludf.DUMMYFUNCTION("""COMPUTED_VALUE"""),187.98)</f>
        <v>187.98</v>
      </c>
      <c r="F8089" s="122">
        <f>IFERROR(__xludf.DUMMYFUNCTION("""COMPUTED_VALUE"""),0.0085)</f>
        <v>0.0085</v>
      </c>
    </row>
    <row r="8090">
      <c r="A8090" s="131">
        <f>IFERROR(__xludf.DUMMYFUNCTION("""COMPUTED_VALUE"""),46187.626655092594)</f>
        <v>46187.62666</v>
      </c>
      <c r="B8090" s="126">
        <f>IFERROR(__xludf.DUMMYFUNCTION("""COMPUTED_VALUE"""),46187.0)</f>
        <v>46187</v>
      </c>
      <c r="C8090" s="122" t="str">
        <f>IFERROR(__xludf.DUMMYFUNCTION("""COMPUTED_VALUE"""),"MEME")</f>
        <v>MEME</v>
      </c>
      <c r="D8090" s="122" t="str">
        <f>IFERROR(__xludf.DUMMYFUNCTION("""COMPUTED_VALUE"""),"Meme Media")</f>
        <v>Meme Media</v>
      </c>
      <c r="E8090" s="122">
        <f>IFERROR(__xludf.DUMMYFUNCTION("""COMPUTED_VALUE"""),71.72)</f>
        <v>71.72</v>
      </c>
      <c r="F8090" s="122">
        <f>IFERROR(__xludf.DUMMYFUNCTION("""COMPUTED_VALUE"""),0.0)</f>
        <v>0</v>
      </c>
    </row>
    <row r="8091">
      <c r="A8091" s="131">
        <f>IFERROR(__xludf.DUMMYFUNCTION("""COMPUTED_VALUE"""),46187.626655092594)</f>
        <v>46187.62666</v>
      </c>
      <c r="B8091" s="126">
        <f>IFERROR(__xludf.DUMMYFUNCTION("""COMPUTED_VALUE"""),46187.0)</f>
        <v>46187</v>
      </c>
      <c r="C8091" s="122" t="str">
        <f>IFERROR(__xludf.DUMMYFUNCTION("""COMPUTED_VALUE"""),"STRM")</f>
        <v>STRM</v>
      </c>
      <c r="D8091" s="122" t="str">
        <f>IFERROR(__xludf.DUMMYFUNCTION("""COMPUTED_VALUE"""),"Streamly")</f>
        <v>Streamly</v>
      </c>
      <c r="E8091" s="122">
        <f>IFERROR(__xludf.DUMMYFUNCTION("""COMPUTED_VALUE"""),133.03)</f>
        <v>133.03</v>
      </c>
      <c r="F8091" s="122">
        <f>IFERROR(__xludf.DUMMYFUNCTION("""COMPUTED_VALUE"""),-0.0058)</f>
        <v>-0.0058</v>
      </c>
    </row>
    <row r="8092">
      <c r="A8092" s="131">
        <f>IFERROR(__xludf.DUMMYFUNCTION("""COMPUTED_VALUE"""),46187.626655092594)</f>
        <v>46187.62666</v>
      </c>
      <c r="B8092" s="126">
        <f>IFERROR(__xludf.DUMMYFUNCTION("""COMPUTED_VALUE"""),46187.0)</f>
        <v>46187</v>
      </c>
      <c r="C8092" s="122" t="str">
        <f>IFERROR(__xludf.DUMMYFUNCTION("""COMPUTED_VALUE"""),"FARM")</f>
        <v>FARM</v>
      </c>
      <c r="D8092" s="122" t="str">
        <f>IFERROR(__xludf.DUMMYFUNCTION("""COMPUTED_VALUE"""),"Future Farms")</f>
        <v>Future Farms</v>
      </c>
      <c r="E8092" s="122">
        <f>IFERROR(__xludf.DUMMYFUNCTION("""COMPUTED_VALUE"""),97.63)</f>
        <v>97.63</v>
      </c>
      <c r="F8092" s="122">
        <f>IFERROR(__xludf.DUMMYFUNCTION("""COMPUTED_VALUE"""),-2.0E-4)</f>
        <v>-0.0002</v>
      </c>
    </row>
    <row r="8093">
      <c r="A8093" s="131">
        <f>IFERROR(__xludf.DUMMYFUNCTION("""COMPUTED_VALUE"""),46187.626655092594)</f>
        <v>46187.62666</v>
      </c>
      <c r="B8093" s="126">
        <f>IFERROR(__xludf.DUMMYFUNCTION("""COMPUTED_VALUE"""),46187.0)</f>
        <v>46187</v>
      </c>
      <c r="C8093" s="122" t="str">
        <f>IFERROR(__xludf.DUMMYFUNCTION("""COMPUTED_VALUE"""),"MEAT")</f>
        <v>MEAT</v>
      </c>
      <c r="D8093" s="122" t="str">
        <f>IFERROR(__xludf.DUMMYFUNCTION("""COMPUTED_VALUE"""),"MeatWorks")</f>
        <v>MeatWorks</v>
      </c>
      <c r="E8093" s="122">
        <f>IFERROR(__xludf.DUMMYFUNCTION("""COMPUTED_VALUE"""),104.5)</f>
        <v>104.5</v>
      </c>
      <c r="F8093" s="122">
        <f>IFERROR(__xludf.DUMMYFUNCTION("""COMPUTED_VALUE"""),-0.0022)</f>
        <v>-0.0022</v>
      </c>
    </row>
    <row r="8094">
      <c r="A8094" s="131">
        <f>IFERROR(__xludf.DUMMYFUNCTION("""COMPUTED_VALUE"""),46187.626655092594)</f>
        <v>46187.62666</v>
      </c>
      <c r="B8094" s="126">
        <f>IFERROR(__xludf.DUMMYFUNCTION("""COMPUTED_VALUE"""),46187.0)</f>
        <v>46187</v>
      </c>
      <c r="C8094" s="122" t="str">
        <f>IFERROR(__xludf.DUMMYFUNCTION("""COMPUTED_VALUE"""),"VEGI")</f>
        <v>VEGI</v>
      </c>
      <c r="D8094" s="122" t="str">
        <f>IFERROR(__xludf.DUMMYFUNCTION("""COMPUTED_VALUE"""),"Green Basket")</f>
        <v>Green Basket</v>
      </c>
      <c r="E8094" s="122">
        <f>IFERROR(__xludf.DUMMYFUNCTION("""COMPUTED_VALUE"""),76.54)</f>
        <v>76.54</v>
      </c>
      <c r="F8094" s="122">
        <f>IFERROR(__xludf.DUMMYFUNCTION("""COMPUTED_VALUE"""),-0.0046)</f>
        <v>-0.0046</v>
      </c>
    </row>
    <row r="8095">
      <c r="A8095" s="131">
        <f>IFERROR(__xludf.DUMMYFUNCTION("""COMPUTED_VALUE"""),46187.626655092594)</f>
        <v>46187.62666</v>
      </c>
      <c r="B8095" s="126">
        <f>IFERROR(__xludf.DUMMYFUNCTION("""COMPUTED_VALUE"""),46187.0)</f>
        <v>46187</v>
      </c>
      <c r="C8095" s="122" t="str">
        <f>IFERROR(__xludf.DUMMYFUNCTION("""COMPUTED_VALUE"""),"CAFE")</f>
        <v>CAFE</v>
      </c>
      <c r="D8095" s="122" t="str">
        <f>IFERROR(__xludf.DUMMYFUNCTION("""COMPUTED_VALUE"""),"Cafe Cloud")</f>
        <v>Cafe Cloud</v>
      </c>
      <c r="E8095" s="122">
        <f>IFERROR(__xludf.DUMMYFUNCTION("""COMPUTED_VALUE"""),104.25)</f>
        <v>104.25</v>
      </c>
      <c r="F8095" s="122">
        <f>IFERROR(__xludf.DUMMYFUNCTION("""COMPUTED_VALUE"""),0.01)</f>
        <v>0.01</v>
      </c>
    </row>
    <row r="8096">
      <c r="A8096" s="131">
        <f>IFERROR(__xludf.DUMMYFUNCTION("""COMPUTED_VALUE"""),46187.626655092594)</f>
        <v>46187.62666</v>
      </c>
      <c r="B8096" s="126">
        <f>IFERROR(__xludf.DUMMYFUNCTION("""COMPUTED_VALUE"""),46187.0)</f>
        <v>46187</v>
      </c>
      <c r="C8096" s="122" t="str">
        <f>IFERROR(__xludf.DUMMYFUNCTION("""COMPUTED_VALUE"""),"BAKE")</f>
        <v>BAKE</v>
      </c>
      <c r="D8096" s="122" t="str">
        <f>IFERROR(__xludf.DUMMYFUNCTION("""COMPUTED_VALUE"""),"BakeHouse")</f>
        <v>BakeHouse</v>
      </c>
      <c r="E8096" s="122">
        <f>IFERROR(__xludf.DUMMYFUNCTION("""COMPUTED_VALUE"""),100.35)</f>
        <v>100.35</v>
      </c>
      <c r="F8096" s="122">
        <f>IFERROR(__xludf.DUMMYFUNCTION("""COMPUTED_VALUE"""),5.0E-4)</f>
        <v>0.0005</v>
      </c>
    </row>
    <row r="8097">
      <c r="A8097" s="131">
        <f>IFERROR(__xludf.DUMMYFUNCTION("""COMPUTED_VALUE"""),46187.626655092594)</f>
        <v>46187.62666</v>
      </c>
      <c r="B8097" s="126">
        <f>IFERROR(__xludf.DUMMYFUNCTION("""COMPUTED_VALUE"""),46187.0)</f>
        <v>46187</v>
      </c>
      <c r="C8097" s="122" t="str">
        <f>IFERROR(__xludf.DUMMYFUNCTION("""COMPUTED_VALUE"""),"OILX")</f>
        <v>OILX</v>
      </c>
      <c r="D8097" s="122" t="str">
        <f>IFERROR(__xludf.DUMMYFUNCTION("""COMPUTED_VALUE"""),"OilMax Energy")</f>
        <v>OilMax Energy</v>
      </c>
      <c r="E8097" s="122">
        <f>IFERROR(__xludf.DUMMYFUNCTION("""COMPUTED_VALUE"""),135.99)</f>
        <v>135.99</v>
      </c>
      <c r="F8097" s="122">
        <f>IFERROR(__xludf.DUMMYFUNCTION("""COMPUTED_VALUE"""),-5.0E-4)</f>
        <v>-0.0005</v>
      </c>
    </row>
    <row r="8098">
      <c r="A8098" s="131">
        <f>IFERROR(__xludf.DUMMYFUNCTION("""COMPUTED_VALUE"""),46187.626655092594)</f>
        <v>46187.62666</v>
      </c>
      <c r="B8098" s="126">
        <f>IFERROR(__xludf.DUMMYFUNCTION("""COMPUTED_VALUE"""),46187.0)</f>
        <v>46187</v>
      </c>
      <c r="C8098" s="122" t="str">
        <f>IFERROR(__xludf.DUMMYFUNCTION("""COMPUTED_VALUE"""),"SOLR")</f>
        <v>SOLR</v>
      </c>
      <c r="D8098" s="122" t="str">
        <f>IFERROR(__xludf.DUMMYFUNCTION("""COMPUTED_VALUE"""),"SolarSpark")</f>
        <v>SolarSpark</v>
      </c>
      <c r="E8098" s="122">
        <f>IFERROR(__xludf.DUMMYFUNCTION("""COMPUTED_VALUE"""),107.82)</f>
        <v>107.82</v>
      </c>
      <c r="F8098" s="122">
        <f>IFERROR(__xludf.DUMMYFUNCTION("""COMPUTED_VALUE"""),0.0)</f>
        <v>0</v>
      </c>
    </row>
    <row r="8099">
      <c r="A8099" s="131">
        <f>IFERROR(__xludf.DUMMYFUNCTION("""COMPUTED_VALUE"""),46187.626655092594)</f>
        <v>46187.62666</v>
      </c>
      <c r="B8099" s="126">
        <f>IFERROR(__xludf.DUMMYFUNCTION("""COMPUTED_VALUE"""),46187.0)</f>
        <v>46187</v>
      </c>
      <c r="C8099" s="122" t="str">
        <f>IFERROR(__xludf.DUMMYFUNCTION("""COMPUTED_VALUE"""),"BATT")</f>
        <v>BATT</v>
      </c>
      <c r="D8099" s="122" t="str">
        <f>IFERROR(__xludf.DUMMYFUNCTION("""COMPUTED_VALUE"""),"BatteryBox")</f>
        <v>BatteryBox</v>
      </c>
      <c r="E8099" s="122">
        <f>IFERROR(__xludf.DUMMYFUNCTION("""COMPUTED_VALUE"""),122.83)</f>
        <v>122.83</v>
      </c>
      <c r="F8099" s="122">
        <f>IFERROR(__xludf.DUMMYFUNCTION("""COMPUTED_VALUE"""),-0.0091)</f>
        <v>-0.0091</v>
      </c>
    </row>
    <row r="8100">
      <c r="A8100" s="131">
        <f>IFERROR(__xludf.DUMMYFUNCTION("""COMPUTED_VALUE"""),46187.626655092594)</f>
        <v>46187.62666</v>
      </c>
      <c r="B8100" s="126">
        <f>IFERROR(__xludf.DUMMYFUNCTION("""COMPUTED_VALUE"""),46187.0)</f>
        <v>46187</v>
      </c>
      <c r="C8100" s="122" t="str">
        <f>IFERROR(__xludf.DUMMYFUNCTION("""COMPUTED_VALUE"""),"WIND")</f>
        <v>WIND</v>
      </c>
      <c r="D8100" s="122" t="str">
        <f>IFERROR(__xludf.DUMMYFUNCTION("""COMPUTED_VALUE"""),"WindWorks")</f>
        <v>WindWorks</v>
      </c>
      <c r="E8100" s="122">
        <f>IFERROR(__xludf.DUMMYFUNCTION("""COMPUTED_VALUE"""),85.73)</f>
        <v>85.73</v>
      </c>
      <c r="F8100" s="122">
        <f>IFERROR(__xludf.DUMMYFUNCTION("""COMPUTED_VALUE"""),-0.0056)</f>
        <v>-0.0056</v>
      </c>
    </row>
    <row r="8101">
      <c r="A8101" s="131">
        <f>IFERROR(__xludf.DUMMYFUNCTION("""COMPUTED_VALUE"""),46187.626655092594)</f>
        <v>46187.62666</v>
      </c>
      <c r="B8101" s="126">
        <f>IFERROR(__xludf.DUMMYFUNCTION("""COMPUTED_VALUE"""),46187.0)</f>
        <v>46187</v>
      </c>
      <c r="C8101" s="122" t="str">
        <f>IFERROR(__xludf.DUMMYFUNCTION("""COMPUTED_VALUE"""),"GRID")</f>
        <v>GRID</v>
      </c>
      <c r="D8101" s="122" t="str">
        <f>IFERROR(__xludf.DUMMYFUNCTION("""COMPUTED_VALUE"""),"GridPower")</f>
        <v>GridPower</v>
      </c>
      <c r="E8101" s="122">
        <f>IFERROR(__xludf.DUMMYFUNCTION("""COMPUTED_VALUE"""),128.63)</f>
        <v>128.63</v>
      </c>
      <c r="F8101" s="122">
        <f>IFERROR(__xludf.DUMMYFUNCTION("""COMPUTED_VALUE"""),-0.0053)</f>
        <v>-0.0053</v>
      </c>
    </row>
    <row r="8102">
      <c r="A8102" s="131">
        <f>IFERROR(__xludf.DUMMYFUNCTION("""COMPUTED_VALUE"""),46187.626655092594)</f>
        <v>46187.62666</v>
      </c>
      <c r="B8102" s="126">
        <f>IFERROR(__xludf.DUMMYFUNCTION("""COMPUTED_VALUE"""),46187.0)</f>
        <v>46187</v>
      </c>
      <c r="C8102" s="122" t="str">
        <f>IFERROR(__xludf.DUMMYFUNCTION("""COMPUTED_VALUE"""),"HOME")</f>
        <v>HOME</v>
      </c>
      <c r="D8102" s="122" t="str">
        <f>IFERROR(__xludf.DUMMYFUNCTION("""COMPUTED_VALUE"""),"HomeHub")</f>
        <v>HomeHub</v>
      </c>
      <c r="E8102" s="122">
        <f>IFERROR(__xludf.DUMMYFUNCTION("""COMPUTED_VALUE"""),160.19)</f>
        <v>160.19</v>
      </c>
      <c r="F8102" s="122">
        <f>IFERROR(__xludf.DUMMYFUNCTION("""COMPUTED_VALUE"""),0.0046)</f>
        <v>0.0046</v>
      </c>
    </row>
    <row r="8103">
      <c r="A8103" s="131">
        <f>IFERROR(__xludf.DUMMYFUNCTION("""COMPUTED_VALUE"""),46187.626655092594)</f>
        <v>46187.62666</v>
      </c>
      <c r="B8103" s="126">
        <f>IFERROR(__xludf.DUMMYFUNCTION("""COMPUTED_VALUE"""),46187.0)</f>
        <v>46187</v>
      </c>
      <c r="C8103" s="122" t="str">
        <f>IFERROR(__xludf.DUMMYFUNCTION("""COMPUTED_VALUE"""),"RENT")</f>
        <v>RENT</v>
      </c>
      <c r="D8103" s="122" t="str">
        <f>IFERROR(__xludf.DUMMYFUNCTION("""COMPUTED_VALUE"""),"RentRight")</f>
        <v>RentRight</v>
      </c>
      <c r="E8103" s="122">
        <f>IFERROR(__xludf.DUMMYFUNCTION("""COMPUTED_VALUE"""),90.63)</f>
        <v>90.63</v>
      </c>
      <c r="F8103" s="122">
        <f>IFERROR(__xludf.DUMMYFUNCTION("""COMPUTED_VALUE"""),0.0019)</f>
        <v>0.0019</v>
      </c>
    </row>
    <row r="8104">
      <c r="A8104" s="131">
        <f>IFERROR(__xludf.DUMMYFUNCTION("""COMPUTED_VALUE"""),46187.626655092594)</f>
        <v>46187.62666</v>
      </c>
      <c r="B8104" s="126">
        <f>IFERROR(__xludf.DUMMYFUNCTION("""COMPUTED_VALUE"""),46187.0)</f>
        <v>46187</v>
      </c>
      <c r="C8104" s="122" t="str">
        <f>IFERROR(__xludf.DUMMYFUNCTION("""COMPUTED_VALUE"""),"MALL")</f>
        <v>MALL</v>
      </c>
      <c r="D8104" s="122" t="str">
        <f>IFERROR(__xludf.DUMMYFUNCTION("""COMPUTED_VALUE"""),"MegaMall")</f>
        <v>MegaMall</v>
      </c>
      <c r="E8104" s="122">
        <f>IFERROR(__xludf.DUMMYFUNCTION("""COMPUTED_VALUE"""),102.11)</f>
        <v>102.11</v>
      </c>
      <c r="F8104" s="122">
        <f>IFERROR(__xludf.DUMMYFUNCTION("""COMPUTED_VALUE"""),0.0012)</f>
        <v>0.0012</v>
      </c>
    </row>
    <row r="8105">
      <c r="A8105" s="131">
        <f>IFERROR(__xludf.DUMMYFUNCTION("""COMPUTED_VALUE"""),46187.626655092594)</f>
        <v>46187.62666</v>
      </c>
      <c r="B8105" s="126">
        <f>IFERROR(__xludf.DUMMYFUNCTION("""COMPUTED_VALUE"""),46187.0)</f>
        <v>46187</v>
      </c>
      <c r="C8105" s="122" t="str">
        <f>IFERROR(__xludf.DUMMYFUNCTION("""COMPUTED_VALUE"""),"HOTL")</f>
        <v>HOTL</v>
      </c>
      <c r="D8105" s="122" t="str">
        <f>IFERROR(__xludf.DUMMYFUNCTION("""COMPUTED_VALUE"""),"HotelHive")</f>
        <v>HotelHive</v>
      </c>
      <c r="E8105" s="122">
        <f>IFERROR(__xludf.DUMMYFUNCTION("""COMPUTED_VALUE"""),120.55)</f>
        <v>120.55</v>
      </c>
      <c r="F8105" s="122">
        <f>IFERROR(__xludf.DUMMYFUNCTION("""COMPUTED_VALUE"""),-0.001)</f>
        <v>-0.001</v>
      </c>
    </row>
    <row r="8106">
      <c r="A8106" s="131">
        <f>IFERROR(__xludf.DUMMYFUNCTION("""COMPUTED_VALUE"""),46187.626655092594)</f>
        <v>46187.62666</v>
      </c>
      <c r="B8106" s="126">
        <f>IFERROR(__xludf.DUMMYFUNCTION("""COMPUTED_VALUE"""),46187.0)</f>
        <v>46187</v>
      </c>
      <c r="C8106" s="122" t="str">
        <f>IFERROR(__xludf.DUMMYFUNCTION("""COMPUTED_VALUE"""),"LAND")</f>
        <v>LAND</v>
      </c>
      <c r="D8106" s="122" t="str">
        <f>IFERROR(__xludf.DUMMYFUNCTION("""COMPUTED_VALUE"""),"LandLink")</f>
        <v>LandLink</v>
      </c>
      <c r="E8106" s="122">
        <f>IFERROR(__xludf.DUMMYFUNCTION("""COMPUTED_VALUE"""),188.26)</f>
        <v>188.26</v>
      </c>
      <c r="F8106" s="122">
        <f>IFERROR(__xludf.DUMMYFUNCTION("""COMPUTED_VALUE"""),-0.0015)</f>
        <v>-0.0015</v>
      </c>
    </row>
    <row r="8107">
      <c r="A8107" s="131">
        <f>IFERROR(__xludf.DUMMYFUNCTION("""COMPUTED_VALUE"""),46187.626655092594)</f>
        <v>46187.62666</v>
      </c>
      <c r="B8107" s="126">
        <f>IFERROR(__xludf.DUMMYFUNCTION("""COMPUTED_VALUE"""),46187.0)</f>
        <v>46187</v>
      </c>
      <c r="C8107" s="122" t="str">
        <f>IFERROR(__xludf.DUMMYFUNCTION("""COMPUTED_VALUE"""),"CARS")</f>
        <v>CARS</v>
      </c>
      <c r="D8107" s="122" t="str">
        <f>IFERROR(__xludf.DUMMYFUNCTION("""COMPUTED_VALUE"""),"AutoArena")</f>
        <v>AutoArena</v>
      </c>
      <c r="E8107" s="122">
        <f>IFERROR(__xludf.DUMMYFUNCTION("""COMPUTED_VALUE"""),81.56)</f>
        <v>81.56</v>
      </c>
      <c r="F8107" s="122">
        <f>IFERROR(__xludf.DUMMYFUNCTION("""COMPUTED_VALUE"""),0.0018)</f>
        <v>0.0018</v>
      </c>
    </row>
    <row r="8108">
      <c r="A8108" s="131">
        <f>IFERROR(__xludf.DUMMYFUNCTION("""COMPUTED_VALUE"""),46187.626655092594)</f>
        <v>46187.62666</v>
      </c>
      <c r="B8108" s="126">
        <f>IFERROR(__xludf.DUMMYFUNCTION("""COMPUTED_VALUE"""),46187.0)</f>
        <v>46187</v>
      </c>
      <c r="C8108" s="122" t="str">
        <f>IFERROR(__xludf.DUMMYFUNCTION("""COMPUTED_VALUE"""),"EVGO")</f>
        <v>EVGO</v>
      </c>
      <c r="D8108" s="122" t="str">
        <f>IFERROR(__xludf.DUMMYFUNCTION("""COMPUTED_VALUE"""),"EVGo Motors")</f>
        <v>EVGo Motors</v>
      </c>
      <c r="E8108" s="122">
        <f>IFERROR(__xludf.DUMMYFUNCTION("""COMPUTED_VALUE"""),188.45)</f>
        <v>188.45</v>
      </c>
      <c r="F8108" s="122">
        <f>IFERROR(__xludf.DUMMYFUNCTION("""COMPUTED_VALUE"""),-0.003)</f>
        <v>-0.003</v>
      </c>
    </row>
    <row r="8109">
      <c r="A8109" s="131">
        <f>IFERROR(__xludf.DUMMYFUNCTION("""COMPUTED_VALUE"""),46187.626655092594)</f>
        <v>46187.62666</v>
      </c>
      <c r="B8109" s="126">
        <f>IFERROR(__xludf.DUMMYFUNCTION("""COMPUTED_VALUE"""),46187.0)</f>
        <v>46187</v>
      </c>
      <c r="C8109" s="122" t="str">
        <f>IFERROR(__xludf.DUMMYFUNCTION("""COMPUTED_VALUE"""),"TIRE")</f>
        <v>TIRE</v>
      </c>
      <c r="D8109" s="122" t="str">
        <f>IFERROR(__xludf.DUMMYFUNCTION("""COMPUTED_VALUE"""),"TireTown")</f>
        <v>TireTown</v>
      </c>
      <c r="E8109" s="122">
        <f>IFERROR(__xludf.DUMMYFUNCTION("""COMPUTED_VALUE"""),98.25)</f>
        <v>98.25</v>
      </c>
      <c r="F8109" s="122">
        <f>IFERROR(__xludf.DUMMYFUNCTION("""COMPUTED_VALUE"""),0.0023)</f>
        <v>0.0023</v>
      </c>
    </row>
    <row r="8110">
      <c r="A8110" s="131">
        <f>IFERROR(__xludf.DUMMYFUNCTION("""COMPUTED_VALUE"""),46187.626655092594)</f>
        <v>46187.62666</v>
      </c>
      <c r="B8110" s="126">
        <f>IFERROR(__xludf.DUMMYFUNCTION("""COMPUTED_VALUE"""),46187.0)</f>
        <v>46187</v>
      </c>
      <c r="C8110" s="122" t="str">
        <f>IFERROR(__xludf.DUMMYFUNCTION("""COMPUTED_VALUE"""),"BIKE")</f>
        <v>BIKE</v>
      </c>
      <c r="D8110" s="122" t="str">
        <f>IFERROR(__xludf.DUMMYFUNCTION("""COMPUTED_VALUE"""),"BikeBox")</f>
        <v>BikeBox</v>
      </c>
      <c r="E8110" s="122">
        <f>IFERROR(__xludf.DUMMYFUNCTION("""COMPUTED_VALUE"""),52.08)</f>
        <v>52.08</v>
      </c>
      <c r="F8110" s="122">
        <f>IFERROR(__xludf.DUMMYFUNCTION("""COMPUTED_VALUE"""),-0.0021)</f>
        <v>-0.0021</v>
      </c>
    </row>
    <row r="8111">
      <c r="A8111" s="131">
        <f>IFERROR(__xludf.DUMMYFUNCTION("""COMPUTED_VALUE"""),46187.626655092594)</f>
        <v>46187.62666</v>
      </c>
      <c r="B8111" s="126">
        <f>IFERROR(__xludf.DUMMYFUNCTION("""COMPUTED_VALUE"""),46187.0)</f>
        <v>46187</v>
      </c>
      <c r="C8111" s="122" t="str">
        <f>IFERROR(__xludf.DUMMYFUNCTION("""COMPUTED_VALUE"""),"WASH")</f>
        <v>WASH</v>
      </c>
      <c r="D8111" s="122" t="str">
        <f>IFERROR(__xludf.DUMMYFUNCTION("""COMPUTED_VALUE"""),"CarWash Co")</f>
        <v>CarWash Co</v>
      </c>
      <c r="E8111" s="122">
        <f>IFERROR(__xludf.DUMMYFUNCTION("""COMPUTED_VALUE"""),121.32)</f>
        <v>121.32</v>
      </c>
      <c r="F8111" s="122">
        <f>IFERROR(__xludf.DUMMYFUNCTION("""COMPUTED_VALUE"""),-0.0015)</f>
        <v>-0.0015</v>
      </c>
    </row>
    <row r="8112">
      <c r="A8112" s="131">
        <f>IFERROR(__xludf.DUMMYFUNCTION("""COMPUTED_VALUE"""),46187.626655092594)</f>
        <v>46187.62666</v>
      </c>
      <c r="B8112" s="126">
        <f>IFERROR(__xludf.DUMMYFUNCTION("""COMPUTED_VALUE"""),46187.0)</f>
        <v>46187</v>
      </c>
      <c r="C8112" s="122" t="str">
        <f>IFERROR(__xludf.DUMMYFUNCTION("""COMPUTED_VALUE"""),"GBND")</f>
        <v>GBND</v>
      </c>
      <c r="D8112" s="122" t="str">
        <f>IFERROR(__xludf.DUMMYFUNCTION("""COMPUTED_VALUE"""),"Classroom Government Bond")</f>
        <v>Classroom Government Bond</v>
      </c>
      <c r="E8112" s="122">
        <f>IFERROR(__xludf.DUMMYFUNCTION("""COMPUTED_VALUE"""),101.05)</f>
        <v>101.05</v>
      </c>
      <c r="F8112" s="122">
        <f>IFERROR(__xludf.DUMMYFUNCTION("""COMPUTED_VALUE"""),2.0E-4)</f>
        <v>0.0002</v>
      </c>
    </row>
    <row r="8113">
      <c r="A8113" s="131">
        <f>IFERROR(__xludf.DUMMYFUNCTION("""COMPUTED_VALUE"""),46187.626655092594)</f>
        <v>46187.62666</v>
      </c>
      <c r="B8113" s="126">
        <f>IFERROR(__xludf.DUMMYFUNCTION("""COMPUTED_VALUE"""),46187.0)</f>
        <v>46187</v>
      </c>
      <c r="C8113" s="122" t="str">
        <f>IFERROR(__xludf.DUMMYFUNCTION("""COMPUTED_VALUE"""),"SBND")</f>
        <v>SBND</v>
      </c>
      <c r="D8113" s="122" t="str">
        <f>IFERROR(__xludf.DUMMYFUNCTION("""COMPUTED_VALUE"""),"School Savings Bond")</f>
        <v>School Savings Bond</v>
      </c>
      <c r="E8113" s="122">
        <f>IFERROR(__xludf.DUMMYFUNCTION("""COMPUTED_VALUE"""),99.17)</f>
        <v>99.17</v>
      </c>
      <c r="F8113" s="122">
        <f>IFERROR(__xludf.DUMMYFUNCTION("""COMPUTED_VALUE"""),-4.0E-4)</f>
        <v>-0.0004</v>
      </c>
    </row>
    <row r="8114">
      <c r="A8114" s="131">
        <f>IFERROR(__xludf.DUMMYFUNCTION("""COMPUTED_VALUE"""),46187.626655092594)</f>
        <v>46187.62666</v>
      </c>
      <c r="B8114" s="126">
        <f>IFERROR(__xludf.DUMMYFUNCTION("""COMPUTED_VALUE"""),46187.0)</f>
        <v>46187</v>
      </c>
      <c r="C8114" s="122" t="str">
        <f>IFERROR(__xludf.DUMMYFUNCTION("""COMPUTED_VALUE"""),"CBND")</f>
        <v>CBND</v>
      </c>
      <c r="D8114" s="122" t="str">
        <f>IFERROR(__xludf.DUMMYFUNCTION("""COMPUTED_VALUE"""),"Corporate Classroom Bond")</f>
        <v>Corporate Classroom Bond</v>
      </c>
      <c r="E8114" s="122">
        <f>IFERROR(__xludf.DUMMYFUNCTION("""COMPUTED_VALUE"""),97.77)</f>
        <v>97.77</v>
      </c>
      <c r="F8114" s="122">
        <f>IFERROR(__xludf.DUMMYFUNCTION("""COMPUTED_VALUE"""),0.0)</f>
        <v>0</v>
      </c>
    </row>
    <row r="8115">
      <c r="A8115" s="131">
        <f>IFERROR(__xludf.DUMMYFUNCTION("""COMPUTED_VALUE"""),46187.626655092594)</f>
        <v>46187.62666</v>
      </c>
      <c r="B8115" s="126">
        <f>IFERROR(__xludf.DUMMYFUNCTION("""COMPUTED_VALUE"""),46187.0)</f>
        <v>46187</v>
      </c>
      <c r="C8115" s="122" t="str">
        <f>IFERROR(__xludf.DUMMYFUNCTION("""COMPUTED_VALUE"""),"TBIL")</f>
        <v>TBIL</v>
      </c>
      <c r="D8115" s="122" t="str">
        <f>IFERROR(__xludf.DUMMYFUNCTION("""COMPUTED_VALUE"""),"Treasury Bill")</f>
        <v>Treasury Bill</v>
      </c>
      <c r="E8115" s="122">
        <f>IFERROR(__xludf.DUMMYFUNCTION("""COMPUTED_VALUE"""),97.69)</f>
        <v>97.69</v>
      </c>
      <c r="F8115" s="122">
        <f>IFERROR(__xludf.DUMMYFUNCTION("""COMPUTED_VALUE"""),1.0E-4)</f>
        <v>0.0001</v>
      </c>
    </row>
    <row r="8116">
      <c r="A8116" s="131">
        <f>IFERROR(__xludf.DUMMYFUNCTION("""COMPUTED_VALUE"""),46187.626655092594)</f>
        <v>46187.62666</v>
      </c>
      <c r="B8116" s="126">
        <f>IFERROR(__xludf.DUMMYFUNCTION("""COMPUTED_VALUE"""),46187.0)</f>
        <v>46187</v>
      </c>
      <c r="C8116" s="122" t="str">
        <f>IFERROR(__xludf.DUMMYFUNCTION("""COMPUTED_VALUE"""),"IBND")</f>
        <v>IBND</v>
      </c>
      <c r="D8116" s="122" t="str">
        <f>IFERROR(__xludf.DUMMYFUNCTION("""COMPUTED_VALUE"""),"Inflation Protected Bond")</f>
        <v>Inflation Protected Bond</v>
      </c>
      <c r="E8116" s="122">
        <f>IFERROR(__xludf.DUMMYFUNCTION("""COMPUTED_VALUE"""),100.85)</f>
        <v>100.85</v>
      </c>
      <c r="F8116" s="122">
        <f>IFERROR(__xludf.DUMMYFUNCTION("""COMPUTED_VALUE"""),-1.0E-4)</f>
        <v>-0.0001</v>
      </c>
    </row>
    <row r="8117">
      <c r="A8117" s="131">
        <f>IFERROR(__xludf.DUMMYFUNCTION("""COMPUTED_VALUE"""),46187.627974537034)</f>
        <v>46187.62797</v>
      </c>
      <c r="B8117" s="126">
        <f>IFERROR(__xludf.DUMMYFUNCTION("""COMPUTED_VALUE"""),46187.0)</f>
        <v>46187</v>
      </c>
      <c r="C8117" s="130">
        <f>IFERROR(__xludf.DUMMYFUNCTION("""COMPUTED_VALUE"""),0.627974537037037)</f>
        <v>0.627974537</v>
      </c>
      <c r="D8117" s="122" t="str">
        <f>IFERROR(__xludf.DUMMYFUNCTION("""COMPUTED_VALUE"""),"SNAX")</f>
        <v>SNAX</v>
      </c>
      <c r="E8117" s="122" t="str">
        <f>IFERROR(__xludf.DUMMYFUNCTION("""COMPUTED_VALUE"""),"MICA Snacks")</f>
        <v>MICA Snacks</v>
      </c>
      <c r="F8117" s="122" t="str">
        <f>IFERROR(__xludf.DUMMYFUNCTION("""COMPUTED_VALUE"""),"Consumer Goods")</f>
        <v>Consumer Goods</v>
      </c>
    </row>
    <row r="8118">
      <c r="A8118" s="131">
        <f>IFERROR(__xludf.DUMMYFUNCTION("""COMPUTED_VALUE"""),46187.627974537034)</f>
        <v>46187.62797</v>
      </c>
      <c r="B8118" s="126">
        <f>IFERROR(__xludf.DUMMYFUNCTION("""COMPUTED_VALUE"""),46187.0)</f>
        <v>46187</v>
      </c>
      <c r="C8118" s="130">
        <f>IFERROR(__xludf.DUMMYFUNCTION("""COMPUTED_VALUE"""),0.627974537037037)</f>
        <v>0.627974537</v>
      </c>
      <c r="D8118" s="122" t="str">
        <f>IFERROR(__xludf.DUMMYFUNCTION("""COMPUTED_VALUE"""),"RAMN")</f>
        <v>RAMN</v>
      </c>
      <c r="E8118" s="122" t="str">
        <f>IFERROR(__xludf.DUMMYFUNCTION("""COMPUTED_VALUE"""),"Ramen Republic")</f>
        <v>Ramen Republic</v>
      </c>
      <c r="F8118" s="122" t="str">
        <f>IFERROR(__xludf.DUMMYFUNCTION("""COMPUTED_VALUE"""),"Food")</f>
        <v>Food</v>
      </c>
    </row>
    <row r="8119">
      <c r="A8119" s="131">
        <f>IFERROR(__xludf.DUMMYFUNCTION("""COMPUTED_VALUE"""),46187.627974537034)</f>
        <v>46187.62797</v>
      </c>
      <c r="B8119" s="126">
        <f>IFERROR(__xludf.DUMMYFUNCTION("""COMPUTED_VALUE"""),46187.0)</f>
        <v>46187</v>
      </c>
      <c r="C8119" s="130">
        <f>IFERROR(__xludf.DUMMYFUNCTION("""COMPUTED_VALUE"""),0.627974537037037)</f>
        <v>0.627974537</v>
      </c>
      <c r="D8119" s="122" t="str">
        <f>IFERROR(__xludf.DUMMYFUNCTION("""COMPUTED_VALUE"""),"COLA")</f>
        <v>COLA</v>
      </c>
      <c r="E8119" s="122" t="str">
        <f>IFERROR(__xludf.DUMMYFUNCTION("""COMPUTED_VALUE"""),"K-Pop Cola")</f>
        <v>K-Pop Cola</v>
      </c>
      <c r="F8119" s="122" t="str">
        <f>IFERROR(__xludf.DUMMYFUNCTION("""COMPUTED_VALUE"""),"Beverage")</f>
        <v>Beverage</v>
      </c>
    </row>
    <row r="8120">
      <c r="A8120" s="131">
        <f>IFERROR(__xludf.DUMMYFUNCTION("""COMPUTED_VALUE"""),46187.627974537034)</f>
        <v>46187.62797</v>
      </c>
      <c r="B8120" s="126">
        <f>IFERROR(__xludf.DUMMYFUNCTION("""COMPUTED_VALUE"""),46187.0)</f>
        <v>46187</v>
      </c>
      <c r="C8120" s="130">
        <f>IFERROR(__xludf.DUMMYFUNCTION("""COMPUTED_VALUE"""),0.627974537037037)</f>
        <v>0.627974537</v>
      </c>
      <c r="D8120" s="122" t="str">
        <f>IFERROR(__xludf.DUMMYFUNCTION("""COMPUTED_VALUE"""),"CHIP")</f>
        <v>CHIP</v>
      </c>
      <c r="E8120" s="122" t="str">
        <f>IFERROR(__xludf.DUMMYFUNCTION("""COMPUTED_VALUE"""),"Chip Empire")</f>
        <v>Chip Empire</v>
      </c>
      <c r="F8120" s="122" t="str">
        <f>IFERROR(__xludf.DUMMYFUNCTION("""COMPUTED_VALUE"""),"Consumer Goods")</f>
        <v>Consumer Goods</v>
      </c>
    </row>
    <row r="8121">
      <c r="A8121" s="131">
        <f>IFERROR(__xludf.DUMMYFUNCTION("""COMPUTED_VALUE"""),46187.627974537034)</f>
        <v>46187.62797</v>
      </c>
      <c r="B8121" s="126">
        <f>IFERROR(__xludf.DUMMYFUNCTION("""COMPUTED_VALUE"""),46187.0)</f>
        <v>46187</v>
      </c>
      <c r="C8121" s="130">
        <f>IFERROR(__xludf.DUMMYFUNCTION("""COMPUTED_VALUE"""),0.627974537037037)</f>
        <v>0.627974537</v>
      </c>
      <c r="D8121" s="122" t="str">
        <f>IFERROR(__xludf.DUMMYFUNCTION("""COMPUTED_VALUE"""),"CAND")</f>
        <v>CAND</v>
      </c>
      <c r="E8121" s="122" t="str">
        <f>IFERROR(__xludf.DUMMYFUNCTION("""COMPUTED_VALUE"""),"Candy Capital")</f>
        <v>Candy Capital</v>
      </c>
      <c r="F8121" s="122" t="str">
        <f>IFERROR(__xludf.DUMMYFUNCTION("""COMPUTED_VALUE"""),"Consumer Goods")</f>
        <v>Consumer Goods</v>
      </c>
    </row>
    <row r="8122">
      <c r="A8122" s="131">
        <f>IFERROR(__xludf.DUMMYFUNCTION("""COMPUTED_VALUE"""),46187.627974537034)</f>
        <v>46187.62797</v>
      </c>
      <c r="B8122" s="126">
        <f>IFERROR(__xludf.DUMMYFUNCTION("""COMPUTED_VALUE"""),46187.0)</f>
        <v>46187</v>
      </c>
      <c r="C8122" s="130">
        <f>IFERROR(__xludf.DUMMYFUNCTION("""COMPUTED_VALUE"""),0.627974537037037)</f>
        <v>0.627974537</v>
      </c>
      <c r="D8122" s="122" t="str">
        <f>IFERROR(__xludf.DUMMYFUNCTION("""COMPUTED_VALUE"""),"TECH")</f>
        <v>TECH</v>
      </c>
      <c r="E8122" s="122" t="str">
        <f>IFERROR(__xludf.DUMMYFUNCTION("""COMPUTED_VALUE"""),"Dragon Tech")</f>
        <v>Dragon Tech</v>
      </c>
      <c r="F8122" s="122" t="str">
        <f>IFERROR(__xludf.DUMMYFUNCTION("""COMPUTED_VALUE"""),"Technology")</f>
        <v>Technology</v>
      </c>
    </row>
    <row r="8123">
      <c r="A8123" s="131">
        <f>IFERROR(__xludf.DUMMYFUNCTION("""COMPUTED_VALUE"""),46187.627974537034)</f>
        <v>46187.62797</v>
      </c>
      <c r="B8123" s="126">
        <f>IFERROR(__xludf.DUMMYFUNCTION("""COMPUTED_VALUE"""),46187.0)</f>
        <v>46187</v>
      </c>
      <c r="C8123" s="130">
        <f>IFERROR(__xludf.DUMMYFUNCTION("""COMPUTED_VALUE"""),0.627974537037037)</f>
        <v>0.627974537</v>
      </c>
      <c r="D8123" s="122" t="str">
        <f>IFERROR(__xludf.DUMMYFUNCTION("""COMPUTED_VALUE"""),"AIBO")</f>
        <v>AIBO</v>
      </c>
      <c r="E8123" s="122" t="str">
        <f>IFERROR(__xludf.DUMMYFUNCTION("""COMPUTED_VALUE"""),"Homework AI")</f>
        <v>Homework AI</v>
      </c>
      <c r="F8123" s="122" t="str">
        <f>IFERROR(__xludf.DUMMYFUNCTION("""COMPUTED_VALUE"""),"Technology")</f>
        <v>Technology</v>
      </c>
    </row>
    <row r="8124">
      <c r="A8124" s="131">
        <f>IFERROR(__xludf.DUMMYFUNCTION("""COMPUTED_VALUE"""),46187.627974537034)</f>
        <v>46187.62797</v>
      </c>
      <c r="B8124" s="126">
        <f>IFERROR(__xludf.DUMMYFUNCTION("""COMPUTED_VALUE"""),46187.0)</f>
        <v>46187</v>
      </c>
      <c r="C8124" s="130">
        <f>IFERROR(__xludf.DUMMYFUNCTION("""COMPUTED_VALUE"""),0.627974537037037)</f>
        <v>0.627974537</v>
      </c>
      <c r="D8124" s="122" t="str">
        <f>IFERROR(__xludf.DUMMYFUNCTION("""COMPUTED_VALUE"""),"GAME")</f>
        <v>GAME</v>
      </c>
      <c r="E8124" s="122" t="str">
        <f>IFERROR(__xludf.DUMMYFUNCTION("""COMPUTED_VALUE"""),"GameBox Media")</f>
        <v>GameBox Media</v>
      </c>
      <c r="F8124" s="122" t="str">
        <f>IFERROR(__xludf.DUMMYFUNCTION("""COMPUTED_VALUE"""),"Entertainment")</f>
        <v>Entertainment</v>
      </c>
    </row>
    <row r="8125">
      <c r="A8125" s="131">
        <f>IFERROR(__xludf.DUMMYFUNCTION("""COMPUTED_VALUE"""),46187.627974537034)</f>
        <v>46187.62797</v>
      </c>
      <c r="B8125" s="126">
        <f>IFERROR(__xludf.DUMMYFUNCTION("""COMPUTED_VALUE"""),46187.0)</f>
        <v>46187</v>
      </c>
      <c r="C8125" s="130">
        <f>IFERROR(__xludf.DUMMYFUNCTION("""COMPUTED_VALUE"""),0.627974537037037)</f>
        <v>0.627974537</v>
      </c>
      <c r="D8125" s="122" t="str">
        <f>IFERROR(__xludf.DUMMYFUNCTION("""COMPUTED_VALUE"""),"VRSE")</f>
        <v>VRSE</v>
      </c>
      <c r="E8125" s="122" t="str">
        <f>IFERROR(__xludf.DUMMYFUNCTION("""COMPUTED_VALUE"""),"VerseVR")</f>
        <v>VerseVR</v>
      </c>
      <c r="F8125" s="122" t="str">
        <f>IFERROR(__xludf.DUMMYFUNCTION("""COMPUTED_VALUE"""),"Technology")</f>
        <v>Technology</v>
      </c>
    </row>
    <row r="8126">
      <c r="A8126" s="131">
        <f>IFERROR(__xludf.DUMMYFUNCTION("""COMPUTED_VALUE"""),46187.627974537034)</f>
        <v>46187.62797</v>
      </c>
      <c r="B8126" s="126">
        <f>IFERROR(__xludf.DUMMYFUNCTION("""COMPUTED_VALUE"""),46187.0)</f>
        <v>46187</v>
      </c>
      <c r="C8126" s="130">
        <f>IFERROR(__xludf.DUMMYFUNCTION("""COMPUTED_VALUE"""),0.627974537037037)</f>
        <v>0.627974537</v>
      </c>
      <c r="D8126" s="122" t="str">
        <f>IFERROR(__xludf.DUMMYFUNCTION("""COMPUTED_VALUE"""),"BYTE")</f>
        <v>BYTE</v>
      </c>
      <c r="E8126" s="122" t="str">
        <f>IFERROR(__xludf.DUMMYFUNCTION("""COMPUTED_VALUE"""),"ByteWorks")</f>
        <v>ByteWorks</v>
      </c>
      <c r="F8126" s="122" t="str">
        <f>IFERROR(__xludf.DUMMYFUNCTION("""COMPUTED_VALUE"""),"Technology")</f>
        <v>Technology</v>
      </c>
    </row>
    <row r="8127">
      <c r="A8127" s="131">
        <f>IFERROR(__xludf.DUMMYFUNCTION("""COMPUTED_VALUE"""),46187.627974537034)</f>
        <v>46187.62797</v>
      </c>
      <c r="B8127" s="126">
        <f>IFERROR(__xludf.DUMMYFUNCTION("""COMPUTED_VALUE"""),46187.0)</f>
        <v>46187</v>
      </c>
      <c r="C8127" s="130">
        <f>IFERROR(__xludf.DUMMYFUNCTION("""COMPUTED_VALUE"""),0.627974537037037)</f>
        <v>0.627974537</v>
      </c>
      <c r="D8127" s="122" t="str">
        <f>IFERROR(__xludf.DUMMYFUNCTION("""COMPUTED_VALUE"""),"BANK")</f>
        <v>BANK</v>
      </c>
      <c r="E8127" s="122" t="str">
        <f>IFERROR(__xludf.DUMMYFUNCTION("""COMPUTED_VALUE"""),"Tiger Bank")</f>
        <v>Tiger Bank</v>
      </c>
      <c r="F8127" s="122" t="str">
        <f>IFERROR(__xludf.DUMMYFUNCTION("""COMPUTED_VALUE"""),"Finance")</f>
        <v>Finance</v>
      </c>
    </row>
    <row r="8128">
      <c r="A8128" s="131">
        <f>IFERROR(__xludf.DUMMYFUNCTION("""COMPUTED_VALUE"""),46187.627974537034)</f>
        <v>46187.62797</v>
      </c>
      <c r="B8128" s="126">
        <f>IFERROR(__xludf.DUMMYFUNCTION("""COMPUTED_VALUE"""),46187.0)</f>
        <v>46187</v>
      </c>
      <c r="C8128" s="130">
        <f>IFERROR(__xludf.DUMMYFUNCTION("""COMPUTED_VALUE"""),0.627974537037037)</f>
        <v>0.627974537</v>
      </c>
      <c r="D8128" s="122" t="str">
        <f>IFERROR(__xludf.DUMMYFUNCTION("""COMPUTED_VALUE"""),"CRED")</f>
        <v>CRED</v>
      </c>
      <c r="E8128" s="122" t="str">
        <f>IFERROR(__xludf.DUMMYFUNCTION("""COMPUTED_VALUE"""),"Credit Castle")</f>
        <v>Credit Castle</v>
      </c>
      <c r="F8128" s="122" t="str">
        <f>IFERROR(__xludf.DUMMYFUNCTION("""COMPUTED_VALUE"""),"Finance")</f>
        <v>Finance</v>
      </c>
    </row>
    <row r="8129">
      <c r="A8129" s="131">
        <f>IFERROR(__xludf.DUMMYFUNCTION("""COMPUTED_VALUE"""),46187.627974537034)</f>
        <v>46187.62797</v>
      </c>
      <c r="B8129" s="126">
        <f>IFERROR(__xludf.DUMMYFUNCTION("""COMPUTED_VALUE"""),46187.0)</f>
        <v>46187</v>
      </c>
      <c r="C8129" s="130">
        <f>IFERROR(__xludf.DUMMYFUNCTION("""COMPUTED_VALUE"""),0.627974537037037)</f>
        <v>0.627974537</v>
      </c>
      <c r="D8129" s="122" t="str">
        <f>IFERROR(__xludf.DUMMYFUNCTION("""COMPUTED_VALUE"""),"BOND")</f>
        <v>BOND</v>
      </c>
      <c r="E8129" s="122" t="str">
        <f>IFERROR(__xludf.DUMMYFUNCTION("""COMPUTED_VALUE"""),"BondBridge")</f>
        <v>BondBridge</v>
      </c>
      <c r="F8129" s="122" t="str">
        <f>IFERROR(__xludf.DUMMYFUNCTION("""COMPUTED_VALUE"""),"Finance")</f>
        <v>Finance</v>
      </c>
    </row>
    <row r="8130">
      <c r="A8130" s="131">
        <f>IFERROR(__xludf.DUMMYFUNCTION("""COMPUTED_VALUE"""),46187.627974537034)</f>
        <v>46187.62797</v>
      </c>
      <c r="B8130" s="126">
        <f>IFERROR(__xludf.DUMMYFUNCTION("""COMPUTED_VALUE"""),46187.0)</f>
        <v>46187</v>
      </c>
      <c r="C8130" s="130">
        <f>IFERROR(__xludf.DUMMYFUNCTION("""COMPUTED_VALUE"""),0.627974537037037)</f>
        <v>0.627974537</v>
      </c>
      <c r="D8130" s="122" t="str">
        <f>IFERROR(__xludf.DUMMYFUNCTION("""COMPUTED_VALUE"""),"INSR")</f>
        <v>INSR</v>
      </c>
      <c r="E8130" s="122" t="str">
        <f>IFERROR(__xludf.DUMMYFUNCTION("""COMPUTED_VALUE"""),"Shield Insurance")</f>
        <v>Shield Insurance</v>
      </c>
      <c r="F8130" s="122" t="str">
        <f>IFERROR(__xludf.DUMMYFUNCTION("""COMPUTED_VALUE"""),"Finance")</f>
        <v>Finance</v>
      </c>
    </row>
    <row r="8131">
      <c r="A8131" s="131">
        <f>IFERROR(__xludf.DUMMYFUNCTION("""COMPUTED_VALUE"""),46187.627974537034)</f>
        <v>46187.62797</v>
      </c>
      <c r="B8131" s="126">
        <f>IFERROR(__xludf.DUMMYFUNCTION("""COMPUTED_VALUE"""),46187.0)</f>
        <v>46187</v>
      </c>
      <c r="C8131" s="130">
        <f>IFERROR(__xludf.DUMMYFUNCTION("""COMPUTED_VALUE"""),0.627974537037037)</f>
        <v>0.627974537</v>
      </c>
      <c r="D8131" s="122" t="str">
        <f>IFERROR(__xludf.DUMMYFUNCTION("""COMPUTED_VALUE"""),"LOAN")</f>
        <v>LOAN</v>
      </c>
      <c r="E8131" s="122" t="str">
        <f>IFERROR(__xludf.DUMMYFUNCTION("""COMPUTED_VALUE"""),"LoanLab")</f>
        <v>LoanLab</v>
      </c>
      <c r="F8131" s="122" t="str">
        <f>IFERROR(__xludf.DUMMYFUNCTION("""COMPUTED_VALUE"""),"Finance")</f>
        <v>Finance</v>
      </c>
    </row>
    <row r="8132">
      <c r="A8132" s="131">
        <f>IFERROR(__xludf.DUMMYFUNCTION("""COMPUTED_VALUE"""),46187.627974537034)</f>
        <v>46187.62797</v>
      </c>
      <c r="B8132" s="126">
        <f>IFERROR(__xludf.DUMMYFUNCTION("""COMPUTED_VALUE"""),46187.0)</f>
        <v>46187</v>
      </c>
      <c r="C8132" s="130">
        <f>IFERROR(__xludf.DUMMYFUNCTION("""COMPUTED_VALUE"""),0.627974537037037)</f>
        <v>0.627974537</v>
      </c>
      <c r="D8132" s="122" t="str">
        <f>IFERROR(__xludf.DUMMYFUNCTION("""COMPUTED_VALUE"""),"LUXE")</f>
        <v>LUXE</v>
      </c>
      <c r="E8132" s="122" t="str">
        <f>IFERROR(__xludf.DUMMYFUNCTION("""COMPUTED_VALUE"""),"Luxury Locker")</f>
        <v>Luxury Locker</v>
      </c>
      <c r="F8132" s="122" t="str">
        <f>IFERROR(__xludf.DUMMYFUNCTION("""COMPUTED_VALUE"""),"Luxury Goods")</f>
        <v>Luxury Goods</v>
      </c>
    </row>
    <row r="8133">
      <c r="A8133" s="131">
        <f>IFERROR(__xludf.DUMMYFUNCTION("""COMPUTED_VALUE"""),46187.627974537034)</f>
        <v>46187.62797</v>
      </c>
      <c r="B8133" s="126">
        <f>IFERROR(__xludf.DUMMYFUNCTION("""COMPUTED_VALUE"""),46187.0)</f>
        <v>46187</v>
      </c>
      <c r="C8133" s="130">
        <f>IFERROR(__xludf.DUMMYFUNCTION("""COMPUTED_VALUE"""),0.627974537037037)</f>
        <v>0.627974537</v>
      </c>
      <c r="D8133" s="122" t="str">
        <f>IFERROR(__xludf.DUMMYFUNCTION("""COMPUTED_VALUE"""),"DRIP")</f>
        <v>DRIP</v>
      </c>
      <c r="E8133" s="122" t="str">
        <f>IFERROR(__xludf.DUMMYFUNCTION("""COMPUTED_VALUE"""),"Drip Streetwear")</f>
        <v>Drip Streetwear</v>
      </c>
      <c r="F8133" s="122" t="str">
        <f>IFERROR(__xludf.DUMMYFUNCTION("""COMPUTED_VALUE"""),"Fashion")</f>
        <v>Fashion</v>
      </c>
    </row>
    <row r="8134">
      <c r="A8134" s="131">
        <f>IFERROR(__xludf.DUMMYFUNCTION("""COMPUTED_VALUE"""),46187.627974537034)</f>
        <v>46187.62797</v>
      </c>
      <c r="B8134" s="126">
        <f>IFERROR(__xludf.DUMMYFUNCTION("""COMPUTED_VALUE"""),46187.0)</f>
        <v>46187</v>
      </c>
      <c r="C8134" s="130">
        <f>IFERROR(__xludf.DUMMYFUNCTION("""COMPUTED_VALUE"""),0.627974537037037)</f>
        <v>0.627974537</v>
      </c>
      <c r="D8134" s="122" t="str">
        <f>IFERROR(__xludf.DUMMYFUNCTION("""COMPUTED_VALUE"""),"KICK")</f>
        <v>KICK</v>
      </c>
      <c r="E8134" s="122" t="str">
        <f>IFERROR(__xludf.DUMMYFUNCTION("""COMPUTED_VALUE"""),"KickDrop Sneakers")</f>
        <v>KickDrop Sneakers</v>
      </c>
      <c r="F8134" s="122" t="str">
        <f>IFERROR(__xludf.DUMMYFUNCTION("""COMPUTED_VALUE"""),"Fashion")</f>
        <v>Fashion</v>
      </c>
    </row>
    <row r="8135">
      <c r="A8135" s="131">
        <f>IFERROR(__xludf.DUMMYFUNCTION("""COMPUTED_VALUE"""),46187.627974537034)</f>
        <v>46187.62797</v>
      </c>
      <c r="B8135" s="126">
        <f>IFERROR(__xludf.DUMMYFUNCTION("""COMPUTED_VALUE"""),46187.0)</f>
        <v>46187</v>
      </c>
      <c r="C8135" s="130">
        <f>IFERROR(__xludf.DUMMYFUNCTION("""COMPUTED_VALUE"""),0.627974537037037)</f>
        <v>0.627974537</v>
      </c>
      <c r="D8135" s="122" t="str">
        <f>IFERROR(__xludf.DUMMYFUNCTION("""COMPUTED_VALUE"""),"GLAM")</f>
        <v>GLAM</v>
      </c>
      <c r="E8135" s="122" t="str">
        <f>IFERROR(__xludf.DUMMYFUNCTION("""COMPUTED_VALUE"""),"Glow Cosmetics")</f>
        <v>Glow Cosmetics</v>
      </c>
      <c r="F8135" s="122" t="str">
        <f>IFERROR(__xludf.DUMMYFUNCTION("""COMPUTED_VALUE"""),"Fashion")</f>
        <v>Fashion</v>
      </c>
    </row>
    <row r="8136">
      <c r="A8136" s="131">
        <f>IFERROR(__xludf.DUMMYFUNCTION("""COMPUTED_VALUE"""),46187.627974537034)</f>
        <v>46187.62797</v>
      </c>
      <c r="B8136" s="126">
        <f>IFERROR(__xludf.DUMMYFUNCTION("""COMPUTED_VALUE"""),46187.0)</f>
        <v>46187</v>
      </c>
      <c r="C8136" s="130">
        <f>IFERROR(__xludf.DUMMYFUNCTION("""COMPUTED_VALUE"""),0.627974537037037)</f>
        <v>0.627974537</v>
      </c>
      <c r="D8136" s="122" t="str">
        <f>IFERROR(__xludf.DUMMYFUNCTION("""COMPUTED_VALUE"""),"BAGG")</f>
        <v>BAGG</v>
      </c>
      <c r="E8136" s="122" t="str">
        <f>IFERROR(__xludf.DUMMYFUNCTION("""COMPUTED_VALUE"""),"BagVault")</f>
        <v>BagVault</v>
      </c>
      <c r="F8136" s="122" t="str">
        <f>IFERROR(__xludf.DUMMYFUNCTION("""COMPUTED_VALUE"""),"Fashion")</f>
        <v>Fashion</v>
      </c>
    </row>
    <row r="8137">
      <c r="A8137" s="131">
        <f>IFERROR(__xludf.DUMMYFUNCTION("""COMPUTED_VALUE"""),46187.627974537034)</f>
        <v>46187.62797</v>
      </c>
      <c r="B8137" s="126">
        <f>IFERROR(__xludf.DUMMYFUNCTION("""COMPUTED_VALUE"""),46187.0)</f>
        <v>46187</v>
      </c>
      <c r="C8137" s="130">
        <f>IFERROR(__xludf.DUMMYFUNCTION("""COMPUTED_VALUE"""),0.627974537037037)</f>
        <v>0.627974537</v>
      </c>
      <c r="D8137" s="122" t="str">
        <f>IFERROR(__xludf.DUMMYFUNCTION("""COMPUTED_VALUE"""),"FAST")</f>
        <v>FAST</v>
      </c>
      <c r="E8137" s="122" t="str">
        <f>IFERROR(__xludf.DUMMYFUNCTION("""COMPUTED_VALUE"""),"Flash Logistics")</f>
        <v>Flash Logistics</v>
      </c>
      <c r="F8137" s="122" t="str">
        <f>IFERROR(__xludf.DUMMYFUNCTION("""COMPUTED_VALUE"""),"Logistics")</f>
        <v>Logistics</v>
      </c>
    </row>
    <row r="8138">
      <c r="A8138" s="131">
        <f>IFERROR(__xludf.DUMMYFUNCTION("""COMPUTED_VALUE"""),46187.627974537034)</f>
        <v>46187.62797</v>
      </c>
      <c r="B8138" s="126">
        <f>IFERROR(__xludf.DUMMYFUNCTION("""COMPUTED_VALUE"""),46187.0)</f>
        <v>46187</v>
      </c>
      <c r="C8138" s="130">
        <f>IFERROR(__xludf.DUMMYFUNCTION("""COMPUTED_VALUE"""),0.627974537037037)</f>
        <v>0.627974537</v>
      </c>
      <c r="D8138" s="122" t="str">
        <f>IFERROR(__xludf.DUMMYFUNCTION("""COMPUTED_VALUE"""),"SHIP")</f>
        <v>SHIP</v>
      </c>
      <c r="E8138" s="122" t="str">
        <f>IFERROR(__xludf.DUMMYFUNCTION("""COMPUTED_VALUE"""),"Seoul Shipping")</f>
        <v>Seoul Shipping</v>
      </c>
      <c r="F8138" s="122" t="str">
        <f>IFERROR(__xludf.DUMMYFUNCTION("""COMPUTED_VALUE"""),"Logistics")</f>
        <v>Logistics</v>
      </c>
    </row>
    <row r="8139">
      <c r="A8139" s="131">
        <f>IFERROR(__xludf.DUMMYFUNCTION("""COMPUTED_VALUE"""),46187.627974537034)</f>
        <v>46187.62797</v>
      </c>
      <c r="B8139" s="126">
        <f>IFERROR(__xludf.DUMMYFUNCTION("""COMPUTED_VALUE"""),46187.0)</f>
        <v>46187</v>
      </c>
      <c r="C8139" s="130">
        <f>IFERROR(__xludf.DUMMYFUNCTION("""COMPUTED_VALUE"""),0.627974537037037)</f>
        <v>0.627974537</v>
      </c>
      <c r="D8139" s="122" t="str">
        <f>IFERROR(__xludf.DUMMYFUNCTION("""COMPUTED_VALUE"""),"DRON")</f>
        <v>DRON</v>
      </c>
      <c r="E8139" s="122" t="str">
        <f>IFERROR(__xludf.DUMMYFUNCTION("""COMPUTED_VALUE"""),"DroneDrop")</f>
        <v>DroneDrop</v>
      </c>
      <c r="F8139" s="122" t="str">
        <f>IFERROR(__xludf.DUMMYFUNCTION("""COMPUTED_VALUE"""),"Logistics")</f>
        <v>Logistics</v>
      </c>
    </row>
    <row r="8140">
      <c r="A8140" s="131">
        <f>IFERROR(__xludf.DUMMYFUNCTION("""COMPUTED_VALUE"""),46187.627974537034)</f>
        <v>46187.62797</v>
      </c>
      <c r="B8140" s="126">
        <f>IFERROR(__xludf.DUMMYFUNCTION("""COMPUTED_VALUE"""),46187.0)</f>
        <v>46187</v>
      </c>
      <c r="C8140" s="130">
        <f>IFERROR(__xludf.DUMMYFUNCTION("""COMPUTED_VALUE"""),0.627974537037037)</f>
        <v>0.627974537</v>
      </c>
      <c r="D8140" s="122" t="str">
        <f>IFERROR(__xludf.DUMMYFUNCTION("""COMPUTED_VALUE"""),"RIDE")</f>
        <v>RIDE</v>
      </c>
      <c r="E8140" s="122" t="str">
        <f>IFERROR(__xludf.DUMMYFUNCTION("""COMPUTED_VALUE"""),"QuickRide")</f>
        <v>QuickRide</v>
      </c>
      <c r="F8140" s="122" t="str">
        <f>IFERROR(__xludf.DUMMYFUNCTION("""COMPUTED_VALUE"""),"Transportation")</f>
        <v>Transportation</v>
      </c>
    </row>
    <row r="8141">
      <c r="A8141" s="131">
        <f>IFERROR(__xludf.DUMMYFUNCTION("""COMPUTED_VALUE"""),46187.627974537034)</f>
        <v>46187.62797</v>
      </c>
      <c r="B8141" s="126">
        <f>IFERROR(__xludf.DUMMYFUNCTION("""COMPUTED_VALUE"""),46187.0)</f>
        <v>46187</v>
      </c>
      <c r="C8141" s="130">
        <f>IFERROR(__xludf.DUMMYFUNCTION("""COMPUTED_VALUE"""),0.627974537037037)</f>
        <v>0.627974537</v>
      </c>
      <c r="D8141" s="122" t="str">
        <f>IFERROR(__xludf.DUMMYFUNCTION("""COMPUTED_VALUE"""),"RAIL")</f>
        <v>RAIL</v>
      </c>
      <c r="E8141" s="122" t="str">
        <f>IFERROR(__xludf.DUMMYFUNCTION("""COMPUTED_VALUE"""),"MetroRail Corp")</f>
        <v>MetroRail Corp</v>
      </c>
      <c r="F8141" s="122" t="str">
        <f>IFERROR(__xludf.DUMMYFUNCTION("""COMPUTED_VALUE"""),"Transportation")</f>
        <v>Transportation</v>
      </c>
    </row>
    <row r="8142">
      <c r="A8142" s="131">
        <f>IFERROR(__xludf.DUMMYFUNCTION("""COMPUTED_VALUE"""),46187.627974537034)</f>
        <v>46187.62797</v>
      </c>
      <c r="B8142" s="126">
        <f>IFERROR(__xludf.DUMMYFUNCTION("""COMPUTED_VALUE"""),46187.0)</f>
        <v>46187</v>
      </c>
      <c r="C8142" s="130">
        <f>IFERROR(__xludf.DUMMYFUNCTION("""COMPUTED_VALUE"""),0.627974537037037)</f>
        <v>0.627974537</v>
      </c>
      <c r="D8142" s="122" t="str">
        <f>IFERROR(__xludf.DUMMYFUNCTION("""COMPUTED_VALUE"""),"MEDX")</f>
        <v>MEDX</v>
      </c>
      <c r="E8142" s="122" t="str">
        <f>IFERROR(__xludf.DUMMYFUNCTION("""COMPUTED_VALUE"""),"MediCore")</f>
        <v>MediCore</v>
      </c>
      <c r="F8142" s="122" t="str">
        <f>IFERROR(__xludf.DUMMYFUNCTION("""COMPUTED_VALUE"""),"Healthcare")</f>
        <v>Healthcare</v>
      </c>
    </row>
    <row r="8143">
      <c r="A8143" s="131">
        <f>IFERROR(__xludf.DUMMYFUNCTION("""COMPUTED_VALUE"""),46187.627974537034)</f>
        <v>46187.62797</v>
      </c>
      <c r="B8143" s="126">
        <f>IFERROR(__xludf.DUMMYFUNCTION("""COMPUTED_VALUE"""),46187.0)</f>
        <v>46187</v>
      </c>
      <c r="C8143" s="130">
        <f>IFERROR(__xludf.DUMMYFUNCTION("""COMPUTED_VALUE"""),0.627974537037037)</f>
        <v>0.627974537</v>
      </c>
      <c r="D8143" s="122" t="str">
        <f>IFERROR(__xludf.DUMMYFUNCTION("""COMPUTED_VALUE"""),"GYMX")</f>
        <v>GYMX</v>
      </c>
      <c r="E8143" s="122" t="str">
        <f>IFERROR(__xludf.DUMMYFUNCTION("""COMPUTED_VALUE"""),"GymX Fitness")</f>
        <v>GymX Fitness</v>
      </c>
      <c r="F8143" s="122" t="str">
        <f>IFERROR(__xludf.DUMMYFUNCTION("""COMPUTED_VALUE"""),"Healthcare")</f>
        <v>Healthcare</v>
      </c>
    </row>
    <row r="8144">
      <c r="A8144" s="131">
        <f>IFERROR(__xludf.DUMMYFUNCTION("""COMPUTED_VALUE"""),46187.627974537034)</f>
        <v>46187.62797</v>
      </c>
      <c r="B8144" s="126">
        <f>IFERROR(__xludf.DUMMYFUNCTION("""COMPUTED_VALUE"""),46187.0)</f>
        <v>46187</v>
      </c>
      <c r="C8144" s="130">
        <f>IFERROR(__xludf.DUMMYFUNCTION("""COMPUTED_VALUE"""),0.627974537037037)</f>
        <v>0.627974537</v>
      </c>
      <c r="D8144" s="122" t="str">
        <f>IFERROR(__xludf.DUMMYFUNCTION("""COMPUTED_VALUE"""),"VITA")</f>
        <v>VITA</v>
      </c>
      <c r="E8144" s="122" t="str">
        <f>IFERROR(__xludf.DUMMYFUNCTION("""COMPUTED_VALUE"""),"VitaPlus")</f>
        <v>VitaPlus</v>
      </c>
      <c r="F8144" s="122" t="str">
        <f>IFERROR(__xludf.DUMMYFUNCTION("""COMPUTED_VALUE"""),"Healthcare")</f>
        <v>Healthcare</v>
      </c>
    </row>
    <row r="8145">
      <c r="A8145" s="131">
        <f>IFERROR(__xludf.DUMMYFUNCTION("""COMPUTED_VALUE"""),46187.627974537034)</f>
        <v>46187.62797</v>
      </c>
      <c r="B8145" s="126">
        <f>IFERROR(__xludf.DUMMYFUNCTION("""COMPUTED_VALUE"""),46187.0)</f>
        <v>46187</v>
      </c>
      <c r="C8145" s="130">
        <f>IFERROR(__xludf.DUMMYFUNCTION("""COMPUTED_VALUE"""),0.627974537037037)</f>
        <v>0.627974537</v>
      </c>
      <c r="D8145" s="122" t="str">
        <f>IFERROR(__xludf.DUMMYFUNCTION("""COMPUTED_VALUE"""),"CARE")</f>
        <v>CARE</v>
      </c>
      <c r="E8145" s="122" t="str">
        <f>IFERROR(__xludf.DUMMYFUNCTION("""COMPUTED_VALUE"""),"CareCloud")</f>
        <v>CareCloud</v>
      </c>
      <c r="F8145" s="122" t="str">
        <f>IFERROR(__xludf.DUMMYFUNCTION("""COMPUTED_VALUE"""),"Healthcare")</f>
        <v>Healthcare</v>
      </c>
    </row>
    <row r="8146">
      <c r="A8146" s="131">
        <f>IFERROR(__xludf.DUMMYFUNCTION("""COMPUTED_VALUE"""),46187.627974537034)</f>
        <v>46187.62797</v>
      </c>
      <c r="B8146" s="126">
        <f>IFERROR(__xludf.DUMMYFUNCTION("""COMPUTED_VALUE"""),46187.0)</f>
        <v>46187</v>
      </c>
      <c r="C8146" s="130">
        <f>IFERROR(__xludf.DUMMYFUNCTION("""COMPUTED_VALUE"""),0.627974537037037)</f>
        <v>0.627974537</v>
      </c>
      <c r="D8146" s="122" t="str">
        <f>IFERROR(__xludf.DUMMYFUNCTION("""COMPUTED_VALUE"""),"DENT")</f>
        <v>DENT</v>
      </c>
      <c r="E8146" s="122" t="str">
        <f>IFERROR(__xludf.DUMMYFUNCTION("""COMPUTED_VALUE"""),"SmileWorks")</f>
        <v>SmileWorks</v>
      </c>
      <c r="F8146" s="122" t="str">
        <f>IFERROR(__xludf.DUMMYFUNCTION("""COMPUTED_VALUE"""),"Healthcare")</f>
        <v>Healthcare</v>
      </c>
    </row>
    <row r="8147">
      <c r="A8147" s="131">
        <f>IFERROR(__xludf.DUMMYFUNCTION("""COMPUTED_VALUE"""),46187.627974537034)</f>
        <v>46187.62797</v>
      </c>
      <c r="B8147" s="126">
        <f>IFERROR(__xludf.DUMMYFUNCTION("""COMPUTED_VALUE"""),46187.0)</f>
        <v>46187</v>
      </c>
      <c r="C8147" s="130">
        <f>IFERROR(__xludf.DUMMYFUNCTION("""COMPUTED_VALUE"""),0.627974537037037)</f>
        <v>0.627974537</v>
      </c>
      <c r="D8147" s="122" t="str">
        <f>IFERROR(__xludf.DUMMYFUNCTION("""COMPUTED_VALUE"""),"EDUX")</f>
        <v>EDUX</v>
      </c>
      <c r="E8147" s="122" t="str">
        <f>IFERROR(__xludf.DUMMYFUNCTION("""COMPUTED_VALUE"""),"EduMax Learning")</f>
        <v>EduMax Learning</v>
      </c>
      <c r="F8147" s="122" t="str">
        <f>IFERROR(__xludf.DUMMYFUNCTION("""COMPUTED_VALUE"""),"Education")</f>
        <v>Education</v>
      </c>
    </row>
    <row r="8148">
      <c r="A8148" s="131">
        <f>IFERROR(__xludf.DUMMYFUNCTION("""COMPUTED_VALUE"""),46187.627974537034)</f>
        <v>46187.62797</v>
      </c>
      <c r="B8148" s="126">
        <f>IFERROR(__xludf.DUMMYFUNCTION("""COMPUTED_VALUE"""),46187.0)</f>
        <v>46187</v>
      </c>
      <c r="C8148" s="130">
        <f>IFERROR(__xludf.DUMMYFUNCTION("""COMPUTED_VALUE"""),0.627974537037037)</f>
        <v>0.627974537</v>
      </c>
      <c r="D8148" s="122" t="str">
        <f>IFERROR(__xludf.DUMMYFUNCTION("""COMPUTED_VALUE"""),"BOOK")</f>
        <v>BOOK</v>
      </c>
      <c r="E8148" s="122" t="str">
        <f>IFERROR(__xludf.DUMMYFUNCTION("""COMPUTED_VALUE"""),"BookBridge")</f>
        <v>BookBridge</v>
      </c>
      <c r="F8148" s="122" t="str">
        <f>IFERROR(__xludf.DUMMYFUNCTION("""COMPUTED_VALUE"""),"Education")</f>
        <v>Education</v>
      </c>
    </row>
    <row r="8149">
      <c r="A8149" s="131">
        <f>IFERROR(__xludf.DUMMYFUNCTION("""COMPUTED_VALUE"""),46187.627974537034)</f>
        <v>46187.62797</v>
      </c>
      <c r="B8149" s="126">
        <f>IFERROR(__xludf.DUMMYFUNCTION("""COMPUTED_VALUE"""),46187.0)</f>
        <v>46187</v>
      </c>
      <c r="C8149" s="130">
        <f>IFERROR(__xludf.DUMMYFUNCTION("""COMPUTED_VALUE"""),0.627974537037037)</f>
        <v>0.627974537</v>
      </c>
      <c r="D8149" s="122" t="str">
        <f>IFERROR(__xludf.DUMMYFUNCTION("""COMPUTED_VALUE"""),"TUTR")</f>
        <v>TUTR</v>
      </c>
      <c r="E8149" s="122" t="str">
        <f>IFERROR(__xludf.DUMMYFUNCTION("""COMPUTED_VALUE"""),"TutorTown")</f>
        <v>TutorTown</v>
      </c>
      <c r="F8149" s="122" t="str">
        <f>IFERROR(__xludf.DUMMYFUNCTION("""COMPUTED_VALUE"""),"Education")</f>
        <v>Education</v>
      </c>
    </row>
    <row r="8150">
      <c r="A8150" s="131">
        <f>IFERROR(__xludf.DUMMYFUNCTION("""COMPUTED_VALUE"""),46187.627974537034)</f>
        <v>46187.62797</v>
      </c>
      <c r="B8150" s="126">
        <f>IFERROR(__xludf.DUMMYFUNCTION("""COMPUTED_VALUE"""),46187.0)</f>
        <v>46187</v>
      </c>
      <c r="C8150" s="130">
        <f>IFERROR(__xludf.DUMMYFUNCTION("""COMPUTED_VALUE"""),0.627974537037037)</f>
        <v>0.627974537</v>
      </c>
      <c r="D8150" s="122" t="str">
        <f>IFERROR(__xludf.DUMMYFUNCTION("""COMPUTED_VALUE"""),"LANG")</f>
        <v>LANG</v>
      </c>
      <c r="E8150" s="122" t="str">
        <f>IFERROR(__xludf.DUMMYFUNCTION("""COMPUTED_VALUE"""),"LinguaLab")</f>
        <v>LinguaLab</v>
      </c>
      <c r="F8150" s="122" t="str">
        <f>IFERROR(__xludf.DUMMYFUNCTION("""COMPUTED_VALUE"""),"Education")</f>
        <v>Education</v>
      </c>
    </row>
    <row r="8151">
      <c r="A8151" s="131">
        <f>IFERROR(__xludf.DUMMYFUNCTION("""COMPUTED_VALUE"""),46187.627974537034)</f>
        <v>46187.62797</v>
      </c>
      <c r="B8151" s="126">
        <f>IFERROR(__xludf.DUMMYFUNCTION("""COMPUTED_VALUE"""),46187.0)</f>
        <v>46187</v>
      </c>
      <c r="C8151" s="130">
        <f>IFERROR(__xludf.DUMMYFUNCTION("""COMPUTED_VALUE"""),0.627974537037037)</f>
        <v>0.627974537</v>
      </c>
      <c r="D8151" s="122" t="str">
        <f>IFERROR(__xludf.DUMMYFUNCTION("""COMPUTED_VALUE"""),"TEST")</f>
        <v>TEST</v>
      </c>
      <c r="E8151" s="122" t="str">
        <f>IFERROR(__xludf.DUMMYFUNCTION("""COMPUTED_VALUE"""),"TestPrep Pro")</f>
        <v>TestPrep Pro</v>
      </c>
      <c r="F8151" s="122" t="str">
        <f>IFERROR(__xludf.DUMMYFUNCTION("""COMPUTED_VALUE"""),"Education")</f>
        <v>Education</v>
      </c>
    </row>
    <row r="8152">
      <c r="A8152" s="131">
        <f>IFERROR(__xludf.DUMMYFUNCTION("""COMPUTED_VALUE"""),46187.627974537034)</f>
        <v>46187.62797</v>
      </c>
      <c r="B8152" s="126">
        <f>IFERROR(__xludf.DUMMYFUNCTION("""COMPUTED_VALUE"""),46187.0)</f>
        <v>46187</v>
      </c>
      <c r="C8152" s="130">
        <f>IFERROR(__xludf.DUMMYFUNCTION("""COMPUTED_VALUE"""),0.627974537037037)</f>
        <v>0.627974537</v>
      </c>
      <c r="D8152" s="122" t="str">
        <f>IFERROR(__xludf.DUMMYFUNCTION("""COMPUTED_VALUE"""),"MOVI")</f>
        <v>MOVI</v>
      </c>
      <c r="E8152" s="122" t="str">
        <f>IFERROR(__xludf.DUMMYFUNCTION("""COMPUTED_VALUE"""),"MovieBox")</f>
        <v>MovieBox</v>
      </c>
      <c r="F8152" s="122" t="str">
        <f>IFERROR(__xludf.DUMMYFUNCTION("""COMPUTED_VALUE"""),"Entertainment")</f>
        <v>Entertainment</v>
      </c>
    </row>
    <row r="8153">
      <c r="A8153" s="131">
        <f>IFERROR(__xludf.DUMMYFUNCTION("""COMPUTED_VALUE"""),46187.627974537034)</f>
        <v>46187.62797</v>
      </c>
      <c r="B8153" s="126">
        <f>IFERROR(__xludf.DUMMYFUNCTION("""COMPUTED_VALUE"""),46187.0)</f>
        <v>46187</v>
      </c>
      <c r="C8153" s="130">
        <f>IFERROR(__xludf.DUMMYFUNCTION("""COMPUTED_VALUE"""),0.627974537037037)</f>
        <v>0.627974537</v>
      </c>
      <c r="D8153" s="122" t="str">
        <f>IFERROR(__xludf.DUMMYFUNCTION("""COMPUTED_VALUE"""),"MUSC")</f>
        <v>MUSC</v>
      </c>
      <c r="E8153" s="122" t="str">
        <f>IFERROR(__xludf.DUMMYFUNCTION("""COMPUTED_VALUE"""),"MusicWave")</f>
        <v>MusicWave</v>
      </c>
      <c r="F8153" s="122" t="str">
        <f>IFERROR(__xludf.DUMMYFUNCTION("""COMPUTED_VALUE"""),"Entertainment")</f>
        <v>Entertainment</v>
      </c>
    </row>
    <row r="8154">
      <c r="A8154" s="131">
        <f>IFERROR(__xludf.DUMMYFUNCTION("""COMPUTED_VALUE"""),46187.627974537034)</f>
        <v>46187.62797</v>
      </c>
      <c r="B8154" s="126">
        <f>IFERROR(__xludf.DUMMYFUNCTION("""COMPUTED_VALUE"""),46187.0)</f>
        <v>46187</v>
      </c>
      <c r="C8154" s="130">
        <f>IFERROR(__xludf.DUMMYFUNCTION("""COMPUTED_VALUE"""),0.627974537037037)</f>
        <v>0.627974537</v>
      </c>
      <c r="D8154" s="122" t="str">
        <f>IFERROR(__xludf.DUMMYFUNCTION("""COMPUTED_VALUE"""),"IDOL")</f>
        <v>IDOL</v>
      </c>
      <c r="E8154" s="122" t="str">
        <f>IFERROR(__xludf.DUMMYFUNCTION("""COMPUTED_VALUE"""),"Idol Agency")</f>
        <v>Idol Agency</v>
      </c>
      <c r="F8154" s="122" t="str">
        <f>IFERROR(__xludf.DUMMYFUNCTION("""COMPUTED_VALUE"""),"Entertainment")</f>
        <v>Entertainment</v>
      </c>
    </row>
    <row r="8155">
      <c r="A8155" s="131">
        <f>IFERROR(__xludf.DUMMYFUNCTION("""COMPUTED_VALUE"""),46187.627974537034)</f>
        <v>46187.62797</v>
      </c>
      <c r="B8155" s="126">
        <f>IFERROR(__xludf.DUMMYFUNCTION("""COMPUTED_VALUE"""),46187.0)</f>
        <v>46187</v>
      </c>
      <c r="C8155" s="130">
        <f>IFERROR(__xludf.DUMMYFUNCTION("""COMPUTED_VALUE"""),0.627974537037037)</f>
        <v>0.627974537</v>
      </c>
      <c r="D8155" s="122" t="str">
        <f>IFERROR(__xludf.DUMMYFUNCTION("""COMPUTED_VALUE"""),"MEME")</f>
        <v>MEME</v>
      </c>
      <c r="E8155" s="122" t="str">
        <f>IFERROR(__xludf.DUMMYFUNCTION("""COMPUTED_VALUE"""),"Meme Media")</f>
        <v>Meme Media</v>
      </c>
      <c r="F8155" s="122" t="str">
        <f>IFERROR(__xludf.DUMMYFUNCTION("""COMPUTED_VALUE"""),"Entertainment")</f>
        <v>Entertainment</v>
      </c>
    </row>
    <row r="8156">
      <c r="A8156" s="131">
        <f>IFERROR(__xludf.DUMMYFUNCTION("""COMPUTED_VALUE"""),46187.627974537034)</f>
        <v>46187.62797</v>
      </c>
      <c r="B8156" s="126">
        <f>IFERROR(__xludf.DUMMYFUNCTION("""COMPUTED_VALUE"""),46187.0)</f>
        <v>46187</v>
      </c>
      <c r="C8156" s="130">
        <f>IFERROR(__xludf.DUMMYFUNCTION("""COMPUTED_VALUE"""),0.627974537037037)</f>
        <v>0.627974537</v>
      </c>
      <c r="D8156" s="122" t="str">
        <f>IFERROR(__xludf.DUMMYFUNCTION("""COMPUTED_VALUE"""),"STRM")</f>
        <v>STRM</v>
      </c>
      <c r="E8156" s="122" t="str">
        <f>IFERROR(__xludf.DUMMYFUNCTION("""COMPUTED_VALUE"""),"Streamly")</f>
        <v>Streamly</v>
      </c>
      <c r="F8156" s="122" t="str">
        <f>IFERROR(__xludf.DUMMYFUNCTION("""COMPUTED_VALUE"""),"Entertainment")</f>
        <v>Entertainment</v>
      </c>
    </row>
    <row r="8157">
      <c r="A8157" s="131">
        <f>IFERROR(__xludf.DUMMYFUNCTION("""COMPUTED_VALUE"""),46187.627974537034)</f>
        <v>46187.62797</v>
      </c>
      <c r="B8157" s="126">
        <f>IFERROR(__xludf.DUMMYFUNCTION("""COMPUTED_VALUE"""),46187.0)</f>
        <v>46187</v>
      </c>
      <c r="C8157" s="130">
        <f>IFERROR(__xludf.DUMMYFUNCTION("""COMPUTED_VALUE"""),0.627974537037037)</f>
        <v>0.627974537</v>
      </c>
      <c r="D8157" s="122" t="str">
        <f>IFERROR(__xludf.DUMMYFUNCTION("""COMPUTED_VALUE"""),"FARM")</f>
        <v>FARM</v>
      </c>
      <c r="E8157" s="122" t="str">
        <f>IFERROR(__xludf.DUMMYFUNCTION("""COMPUTED_VALUE"""),"Future Farms")</f>
        <v>Future Farms</v>
      </c>
      <c r="F8157" s="122" t="str">
        <f>IFERROR(__xludf.DUMMYFUNCTION("""COMPUTED_VALUE"""),"Agriculture")</f>
        <v>Agriculture</v>
      </c>
    </row>
    <row r="8158">
      <c r="A8158" s="131">
        <f>IFERROR(__xludf.DUMMYFUNCTION("""COMPUTED_VALUE"""),46187.627974537034)</f>
        <v>46187.62797</v>
      </c>
      <c r="B8158" s="126">
        <f>IFERROR(__xludf.DUMMYFUNCTION("""COMPUTED_VALUE"""),46187.0)</f>
        <v>46187</v>
      </c>
      <c r="C8158" s="130">
        <f>IFERROR(__xludf.DUMMYFUNCTION("""COMPUTED_VALUE"""),0.627974537037037)</f>
        <v>0.627974537</v>
      </c>
      <c r="D8158" s="122" t="str">
        <f>IFERROR(__xludf.DUMMYFUNCTION("""COMPUTED_VALUE"""),"MEAT")</f>
        <v>MEAT</v>
      </c>
      <c r="E8158" s="122" t="str">
        <f>IFERROR(__xludf.DUMMYFUNCTION("""COMPUTED_VALUE"""),"MeatWorks")</f>
        <v>MeatWorks</v>
      </c>
      <c r="F8158" s="122" t="str">
        <f>IFERROR(__xludf.DUMMYFUNCTION("""COMPUTED_VALUE"""),"Food")</f>
        <v>Food</v>
      </c>
    </row>
    <row r="8159">
      <c r="A8159" s="131">
        <f>IFERROR(__xludf.DUMMYFUNCTION("""COMPUTED_VALUE"""),46187.627974537034)</f>
        <v>46187.62797</v>
      </c>
      <c r="B8159" s="126">
        <f>IFERROR(__xludf.DUMMYFUNCTION("""COMPUTED_VALUE"""),46187.0)</f>
        <v>46187</v>
      </c>
      <c r="C8159" s="130">
        <f>IFERROR(__xludf.DUMMYFUNCTION("""COMPUTED_VALUE"""),0.627974537037037)</f>
        <v>0.627974537</v>
      </c>
      <c r="D8159" s="122" t="str">
        <f>IFERROR(__xludf.DUMMYFUNCTION("""COMPUTED_VALUE"""),"VEGI")</f>
        <v>VEGI</v>
      </c>
      <c r="E8159" s="122" t="str">
        <f>IFERROR(__xludf.DUMMYFUNCTION("""COMPUTED_VALUE"""),"Green Basket")</f>
        <v>Green Basket</v>
      </c>
      <c r="F8159" s="122" t="str">
        <f>IFERROR(__xludf.DUMMYFUNCTION("""COMPUTED_VALUE"""),"Food")</f>
        <v>Food</v>
      </c>
    </row>
    <row r="8160">
      <c r="A8160" s="131">
        <f>IFERROR(__xludf.DUMMYFUNCTION("""COMPUTED_VALUE"""),46187.627974537034)</f>
        <v>46187.62797</v>
      </c>
      <c r="B8160" s="126">
        <f>IFERROR(__xludf.DUMMYFUNCTION("""COMPUTED_VALUE"""),46187.0)</f>
        <v>46187</v>
      </c>
      <c r="C8160" s="130">
        <f>IFERROR(__xludf.DUMMYFUNCTION("""COMPUTED_VALUE"""),0.627974537037037)</f>
        <v>0.627974537</v>
      </c>
      <c r="D8160" s="122" t="str">
        <f>IFERROR(__xludf.DUMMYFUNCTION("""COMPUTED_VALUE"""),"CAFE")</f>
        <v>CAFE</v>
      </c>
      <c r="E8160" s="122" t="str">
        <f>IFERROR(__xludf.DUMMYFUNCTION("""COMPUTED_VALUE"""),"Cafe Cloud")</f>
        <v>Cafe Cloud</v>
      </c>
      <c r="F8160" s="122" t="str">
        <f>IFERROR(__xludf.DUMMYFUNCTION("""COMPUTED_VALUE"""),"Food")</f>
        <v>Food</v>
      </c>
    </row>
    <row r="8161">
      <c r="A8161" s="131">
        <f>IFERROR(__xludf.DUMMYFUNCTION("""COMPUTED_VALUE"""),46187.627974537034)</f>
        <v>46187.62797</v>
      </c>
      <c r="B8161" s="126">
        <f>IFERROR(__xludf.DUMMYFUNCTION("""COMPUTED_VALUE"""),46187.0)</f>
        <v>46187</v>
      </c>
      <c r="C8161" s="130">
        <f>IFERROR(__xludf.DUMMYFUNCTION("""COMPUTED_VALUE"""),0.627974537037037)</f>
        <v>0.627974537</v>
      </c>
      <c r="D8161" s="122" t="str">
        <f>IFERROR(__xludf.DUMMYFUNCTION("""COMPUTED_VALUE"""),"BAKE")</f>
        <v>BAKE</v>
      </c>
      <c r="E8161" s="122" t="str">
        <f>IFERROR(__xludf.DUMMYFUNCTION("""COMPUTED_VALUE"""),"BakeHouse")</f>
        <v>BakeHouse</v>
      </c>
      <c r="F8161" s="122" t="str">
        <f>IFERROR(__xludf.DUMMYFUNCTION("""COMPUTED_VALUE"""),"Food")</f>
        <v>Food</v>
      </c>
    </row>
    <row r="8162">
      <c r="A8162" s="131">
        <f>IFERROR(__xludf.DUMMYFUNCTION("""COMPUTED_VALUE"""),46187.627974537034)</f>
        <v>46187.62797</v>
      </c>
      <c r="B8162" s="126">
        <f>IFERROR(__xludf.DUMMYFUNCTION("""COMPUTED_VALUE"""),46187.0)</f>
        <v>46187</v>
      </c>
      <c r="C8162" s="130">
        <f>IFERROR(__xludf.DUMMYFUNCTION("""COMPUTED_VALUE"""),0.627974537037037)</f>
        <v>0.627974537</v>
      </c>
      <c r="D8162" s="122" t="str">
        <f>IFERROR(__xludf.DUMMYFUNCTION("""COMPUTED_VALUE"""),"OILX")</f>
        <v>OILX</v>
      </c>
      <c r="E8162" s="122" t="str">
        <f>IFERROR(__xludf.DUMMYFUNCTION("""COMPUTED_VALUE"""),"OilMax Energy")</f>
        <v>OilMax Energy</v>
      </c>
      <c r="F8162" s="122" t="str">
        <f>IFERROR(__xludf.DUMMYFUNCTION("""COMPUTED_VALUE"""),"Energy")</f>
        <v>Energy</v>
      </c>
    </row>
    <row r="8163">
      <c r="A8163" s="131">
        <f>IFERROR(__xludf.DUMMYFUNCTION("""COMPUTED_VALUE"""),46187.627974537034)</f>
        <v>46187.62797</v>
      </c>
      <c r="B8163" s="126">
        <f>IFERROR(__xludf.DUMMYFUNCTION("""COMPUTED_VALUE"""),46187.0)</f>
        <v>46187</v>
      </c>
      <c r="C8163" s="130">
        <f>IFERROR(__xludf.DUMMYFUNCTION("""COMPUTED_VALUE"""),0.627974537037037)</f>
        <v>0.627974537</v>
      </c>
      <c r="D8163" s="122" t="str">
        <f>IFERROR(__xludf.DUMMYFUNCTION("""COMPUTED_VALUE"""),"SOLR")</f>
        <v>SOLR</v>
      </c>
      <c r="E8163" s="122" t="str">
        <f>IFERROR(__xludf.DUMMYFUNCTION("""COMPUTED_VALUE"""),"SolarSpark")</f>
        <v>SolarSpark</v>
      </c>
      <c r="F8163" s="122" t="str">
        <f>IFERROR(__xludf.DUMMYFUNCTION("""COMPUTED_VALUE"""),"Energy")</f>
        <v>Energy</v>
      </c>
    </row>
    <row r="8164">
      <c r="A8164" s="131">
        <f>IFERROR(__xludf.DUMMYFUNCTION("""COMPUTED_VALUE"""),46187.627974537034)</f>
        <v>46187.62797</v>
      </c>
      <c r="B8164" s="126">
        <f>IFERROR(__xludf.DUMMYFUNCTION("""COMPUTED_VALUE"""),46187.0)</f>
        <v>46187</v>
      </c>
      <c r="C8164" s="130">
        <f>IFERROR(__xludf.DUMMYFUNCTION("""COMPUTED_VALUE"""),0.627974537037037)</f>
        <v>0.627974537</v>
      </c>
      <c r="D8164" s="122" t="str">
        <f>IFERROR(__xludf.DUMMYFUNCTION("""COMPUTED_VALUE"""),"BATT")</f>
        <v>BATT</v>
      </c>
      <c r="E8164" s="122" t="str">
        <f>IFERROR(__xludf.DUMMYFUNCTION("""COMPUTED_VALUE"""),"BatteryBox")</f>
        <v>BatteryBox</v>
      </c>
      <c r="F8164" s="122" t="str">
        <f>IFERROR(__xludf.DUMMYFUNCTION("""COMPUTED_VALUE"""),"Energy")</f>
        <v>Energy</v>
      </c>
    </row>
    <row r="8165">
      <c r="A8165" s="131">
        <f>IFERROR(__xludf.DUMMYFUNCTION("""COMPUTED_VALUE"""),46187.627974537034)</f>
        <v>46187.62797</v>
      </c>
      <c r="B8165" s="126">
        <f>IFERROR(__xludf.DUMMYFUNCTION("""COMPUTED_VALUE"""),46187.0)</f>
        <v>46187</v>
      </c>
      <c r="C8165" s="130">
        <f>IFERROR(__xludf.DUMMYFUNCTION("""COMPUTED_VALUE"""),0.627974537037037)</f>
        <v>0.627974537</v>
      </c>
      <c r="D8165" s="122" t="str">
        <f>IFERROR(__xludf.DUMMYFUNCTION("""COMPUTED_VALUE"""),"WIND")</f>
        <v>WIND</v>
      </c>
      <c r="E8165" s="122" t="str">
        <f>IFERROR(__xludf.DUMMYFUNCTION("""COMPUTED_VALUE"""),"WindWorks")</f>
        <v>WindWorks</v>
      </c>
      <c r="F8165" s="122" t="str">
        <f>IFERROR(__xludf.DUMMYFUNCTION("""COMPUTED_VALUE"""),"Energy")</f>
        <v>Energy</v>
      </c>
    </row>
    <row r="8166">
      <c r="A8166" s="131">
        <f>IFERROR(__xludf.DUMMYFUNCTION("""COMPUTED_VALUE"""),46187.627974537034)</f>
        <v>46187.62797</v>
      </c>
      <c r="B8166" s="126">
        <f>IFERROR(__xludf.DUMMYFUNCTION("""COMPUTED_VALUE"""),46187.0)</f>
        <v>46187</v>
      </c>
      <c r="C8166" s="130">
        <f>IFERROR(__xludf.DUMMYFUNCTION("""COMPUTED_VALUE"""),0.627974537037037)</f>
        <v>0.627974537</v>
      </c>
      <c r="D8166" s="122" t="str">
        <f>IFERROR(__xludf.DUMMYFUNCTION("""COMPUTED_VALUE"""),"GRID")</f>
        <v>GRID</v>
      </c>
      <c r="E8166" s="122" t="str">
        <f>IFERROR(__xludf.DUMMYFUNCTION("""COMPUTED_VALUE"""),"GridPower")</f>
        <v>GridPower</v>
      </c>
      <c r="F8166" s="122" t="str">
        <f>IFERROR(__xludf.DUMMYFUNCTION("""COMPUTED_VALUE"""),"Energy")</f>
        <v>Energy</v>
      </c>
    </row>
    <row r="8167">
      <c r="A8167" s="131">
        <f>IFERROR(__xludf.DUMMYFUNCTION("""COMPUTED_VALUE"""),46187.627974537034)</f>
        <v>46187.62797</v>
      </c>
      <c r="B8167" s="126">
        <f>IFERROR(__xludf.DUMMYFUNCTION("""COMPUTED_VALUE"""),46187.0)</f>
        <v>46187</v>
      </c>
      <c r="C8167" s="130">
        <f>IFERROR(__xludf.DUMMYFUNCTION("""COMPUTED_VALUE"""),0.627974537037037)</f>
        <v>0.627974537</v>
      </c>
      <c r="D8167" s="122" t="str">
        <f>IFERROR(__xludf.DUMMYFUNCTION("""COMPUTED_VALUE"""),"HOME")</f>
        <v>HOME</v>
      </c>
      <c r="E8167" s="122" t="str">
        <f>IFERROR(__xludf.DUMMYFUNCTION("""COMPUTED_VALUE"""),"HomeHub")</f>
        <v>HomeHub</v>
      </c>
      <c r="F8167" s="122" t="str">
        <f>IFERROR(__xludf.DUMMYFUNCTION("""COMPUTED_VALUE"""),"Real Estate")</f>
        <v>Real Estate</v>
      </c>
    </row>
    <row r="8168">
      <c r="A8168" s="131">
        <f>IFERROR(__xludf.DUMMYFUNCTION("""COMPUTED_VALUE"""),46187.627974537034)</f>
        <v>46187.62797</v>
      </c>
      <c r="B8168" s="126">
        <f>IFERROR(__xludf.DUMMYFUNCTION("""COMPUTED_VALUE"""),46187.0)</f>
        <v>46187</v>
      </c>
      <c r="C8168" s="130">
        <f>IFERROR(__xludf.DUMMYFUNCTION("""COMPUTED_VALUE"""),0.627974537037037)</f>
        <v>0.627974537</v>
      </c>
      <c r="D8168" s="122" t="str">
        <f>IFERROR(__xludf.DUMMYFUNCTION("""COMPUTED_VALUE"""),"RENT")</f>
        <v>RENT</v>
      </c>
      <c r="E8168" s="122" t="str">
        <f>IFERROR(__xludf.DUMMYFUNCTION("""COMPUTED_VALUE"""),"RentRight")</f>
        <v>RentRight</v>
      </c>
      <c r="F8168" s="122" t="str">
        <f>IFERROR(__xludf.DUMMYFUNCTION("""COMPUTED_VALUE"""),"Real Estate")</f>
        <v>Real Estate</v>
      </c>
    </row>
    <row r="8169">
      <c r="A8169" s="131">
        <f>IFERROR(__xludf.DUMMYFUNCTION("""COMPUTED_VALUE"""),46187.627974537034)</f>
        <v>46187.62797</v>
      </c>
      <c r="B8169" s="126">
        <f>IFERROR(__xludf.DUMMYFUNCTION("""COMPUTED_VALUE"""),46187.0)</f>
        <v>46187</v>
      </c>
      <c r="C8169" s="130">
        <f>IFERROR(__xludf.DUMMYFUNCTION("""COMPUTED_VALUE"""),0.627974537037037)</f>
        <v>0.627974537</v>
      </c>
      <c r="D8169" s="122" t="str">
        <f>IFERROR(__xludf.DUMMYFUNCTION("""COMPUTED_VALUE"""),"MALL")</f>
        <v>MALL</v>
      </c>
      <c r="E8169" s="122" t="str">
        <f>IFERROR(__xludf.DUMMYFUNCTION("""COMPUTED_VALUE"""),"MegaMall")</f>
        <v>MegaMall</v>
      </c>
      <c r="F8169" s="122" t="str">
        <f>IFERROR(__xludf.DUMMYFUNCTION("""COMPUTED_VALUE"""),"Real Estate")</f>
        <v>Real Estate</v>
      </c>
    </row>
    <row r="8170">
      <c r="A8170" s="131">
        <f>IFERROR(__xludf.DUMMYFUNCTION("""COMPUTED_VALUE"""),46187.627974537034)</f>
        <v>46187.62797</v>
      </c>
      <c r="B8170" s="126">
        <f>IFERROR(__xludf.DUMMYFUNCTION("""COMPUTED_VALUE"""),46187.0)</f>
        <v>46187</v>
      </c>
      <c r="C8170" s="130">
        <f>IFERROR(__xludf.DUMMYFUNCTION("""COMPUTED_VALUE"""),0.627974537037037)</f>
        <v>0.627974537</v>
      </c>
      <c r="D8170" s="122" t="str">
        <f>IFERROR(__xludf.DUMMYFUNCTION("""COMPUTED_VALUE"""),"HOTL")</f>
        <v>HOTL</v>
      </c>
      <c r="E8170" s="122" t="str">
        <f>IFERROR(__xludf.DUMMYFUNCTION("""COMPUTED_VALUE"""),"HotelHive")</f>
        <v>HotelHive</v>
      </c>
      <c r="F8170" s="122" t="str">
        <f>IFERROR(__xludf.DUMMYFUNCTION("""COMPUTED_VALUE"""),"Real Estate")</f>
        <v>Real Estate</v>
      </c>
    </row>
    <row r="8171">
      <c r="A8171" s="131">
        <f>IFERROR(__xludf.DUMMYFUNCTION("""COMPUTED_VALUE"""),46187.627974537034)</f>
        <v>46187.62797</v>
      </c>
      <c r="B8171" s="126">
        <f>IFERROR(__xludf.DUMMYFUNCTION("""COMPUTED_VALUE"""),46187.0)</f>
        <v>46187</v>
      </c>
      <c r="C8171" s="130">
        <f>IFERROR(__xludf.DUMMYFUNCTION("""COMPUTED_VALUE"""),0.627974537037037)</f>
        <v>0.627974537</v>
      </c>
      <c r="D8171" s="122" t="str">
        <f>IFERROR(__xludf.DUMMYFUNCTION("""COMPUTED_VALUE"""),"LAND")</f>
        <v>LAND</v>
      </c>
      <c r="E8171" s="122" t="str">
        <f>IFERROR(__xludf.DUMMYFUNCTION("""COMPUTED_VALUE"""),"LandLink")</f>
        <v>LandLink</v>
      </c>
      <c r="F8171" s="122" t="str">
        <f>IFERROR(__xludf.DUMMYFUNCTION("""COMPUTED_VALUE"""),"Real Estate")</f>
        <v>Real Estate</v>
      </c>
    </row>
    <row r="8172">
      <c r="A8172" s="131">
        <f>IFERROR(__xludf.DUMMYFUNCTION("""COMPUTED_VALUE"""),46187.627974537034)</f>
        <v>46187.62797</v>
      </c>
      <c r="B8172" s="126">
        <f>IFERROR(__xludf.DUMMYFUNCTION("""COMPUTED_VALUE"""),46187.0)</f>
        <v>46187</v>
      </c>
      <c r="C8172" s="130">
        <f>IFERROR(__xludf.DUMMYFUNCTION("""COMPUTED_VALUE"""),0.627974537037037)</f>
        <v>0.627974537</v>
      </c>
      <c r="D8172" s="122" t="str">
        <f>IFERROR(__xludf.DUMMYFUNCTION("""COMPUTED_VALUE"""),"CARS")</f>
        <v>CARS</v>
      </c>
      <c r="E8172" s="122" t="str">
        <f>IFERROR(__xludf.DUMMYFUNCTION("""COMPUTED_VALUE"""),"AutoArena")</f>
        <v>AutoArena</v>
      </c>
      <c r="F8172" s="122" t="str">
        <f>IFERROR(__xludf.DUMMYFUNCTION("""COMPUTED_VALUE"""),"Automotive")</f>
        <v>Automotive</v>
      </c>
    </row>
    <row r="8173">
      <c r="A8173" s="131">
        <f>IFERROR(__xludf.DUMMYFUNCTION("""COMPUTED_VALUE"""),46187.627974537034)</f>
        <v>46187.62797</v>
      </c>
      <c r="B8173" s="126">
        <f>IFERROR(__xludf.DUMMYFUNCTION("""COMPUTED_VALUE"""),46187.0)</f>
        <v>46187</v>
      </c>
      <c r="C8173" s="130">
        <f>IFERROR(__xludf.DUMMYFUNCTION("""COMPUTED_VALUE"""),0.627974537037037)</f>
        <v>0.627974537</v>
      </c>
      <c r="D8173" s="122" t="str">
        <f>IFERROR(__xludf.DUMMYFUNCTION("""COMPUTED_VALUE"""),"EVGO")</f>
        <v>EVGO</v>
      </c>
      <c r="E8173" s="122" t="str">
        <f>IFERROR(__xludf.DUMMYFUNCTION("""COMPUTED_VALUE"""),"EVGo Motors")</f>
        <v>EVGo Motors</v>
      </c>
      <c r="F8173" s="122" t="str">
        <f>IFERROR(__xludf.DUMMYFUNCTION("""COMPUTED_VALUE"""),"Automotive")</f>
        <v>Automotive</v>
      </c>
    </row>
    <row r="8174">
      <c r="A8174" s="131">
        <f>IFERROR(__xludf.DUMMYFUNCTION("""COMPUTED_VALUE"""),46187.627974537034)</f>
        <v>46187.62797</v>
      </c>
      <c r="B8174" s="126">
        <f>IFERROR(__xludf.DUMMYFUNCTION("""COMPUTED_VALUE"""),46187.0)</f>
        <v>46187</v>
      </c>
      <c r="C8174" s="130">
        <f>IFERROR(__xludf.DUMMYFUNCTION("""COMPUTED_VALUE"""),0.627974537037037)</f>
        <v>0.627974537</v>
      </c>
      <c r="D8174" s="122" t="str">
        <f>IFERROR(__xludf.DUMMYFUNCTION("""COMPUTED_VALUE"""),"TIRE")</f>
        <v>TIRE</v>
      </c>
      <c r="E8174" s="122" t="str">
        <f>IFERROR(__xludf.DUMMYFUNCTION("""COMPUTED_VALUE"""),"TireTown")</f>
        <v>TireTown</v>
      </c>
      <c r="F8174" s="122" t="str">
        <f>IFERROR(__xludf.DUMMYFUNCTION("""COMPUTED_VALUE"""),"Automotive")</f>
        <v>Automotive</v>
      </c>
    </row>
    <row r="8175">
      <c r="A8175" s="131">
        <f>IFERROR(__xludf.DUMMYFUNCTION("""COMPUTED_VALUE"""),46187.627974537034)</f>
        <v>46187.62797</v>
      </c>
      <c r="B8175" s="126">
        <f>IFERROR(__xludf.DUMMYFUNCTION("""COMPUTED_VALUE"""),46187.0)</f>
        <v>46187</v>
      </c>
      <c r="C8175" s="130">
        <f>IFERROR(__xludf.DUMMYFUNCTION("""COMPUTED_VALUE"""),0.627974537037037)</f>
        <v>0.627974537</v>
      </c>
      <c r="D8175" s="122" t="str">
        <f>IFERROR(__xludf.DUMMYFUNCTION("""COMPUTED_VALUE"""),"BIKE")</f>
        <v>BIKE</v>
      </c>
      <c r="E8175" s="122" t="str">
        <f>IFERROR(__xludf.DUMMYFUNCTION("""COMPUTED_VALUE"""),"BikeBox")</f>
        <v>BikeBox</v>
      </c>
      <c r="F8175" s="122" t="str">
        <f>IFERROR(__xludf.DUMMYFUNCTION("""COMPUTED_VALUE"""),"Automotive")</f>
        <v>Automotive</v>
      </c>
    </row>
    <row r="8176">
      <c r="A8176" s="131">
        <f>IFERROR(__xludf.DUMMYFUNCTION("""COMPUTED_VALUE"""),46187.627974537034)</f>
        <v>46187.62797</v>
      </c>
      <c r="B8176" s="126">
        <f>IFERROR(__xludf.DUMMYFUNCTION("""COMPUTED_VALUE"""),46187.0)</f>
        <v>46187</v>
      </c>
      <c r="C8176" s="130">
        <f>IFERROR(__xludf.DUMMYFUNCTION("""COMPUTED_VALUE"""),0.627974537037037)</f>
        <v>0.627974537</v>
      </c>
      <c r="D8176" s="122" t="str">
        <f>IFERROR(__xludf.DUMMYFUNCTION("""COMPUTED_VALUE"""),"WASH")</f>
        <v>WASH</v>
      </c>
      <c r="E8176" s="122" t="str">
        <f>IFERROR(__xludf.DUMMYFUNCTION("""COMPUTED_VALUE"""),"CarWash Co")</f>
        <v>CarWash Co</v>
      </c>
      <c r="F8176" s="122" t="str">
        <f>IFERROR(__xludf.DUMMYFUNCTION("""COMPUTED_VALUE"""),"Automotive")</f>
        <v>Automotive</v>
      </c>
    </row>
    <row r="8177">
      <c r="A8177" s="131">
        <f>IFERROR(__xludf.DUMMYFUNCTION("""COMPUTED_VALUE"""),46187.627974537034)</f>
        <v>46187.62797</v>
      </c>
      <c r="B8177" s="126">
        <f>IFERROR(__xludf.DUMMYFUNCTION("""COMPUTED_VALUE"""),46187.0)</f>
        <v>46187</v>
      </c>
      <c r="C8177" s="130">
        <f>IFERROR(__xludf.DUMMYFUNCTION("""COMPUTED_VALUE"""),0.627974537037037)</f>
        <v>0.627974537</v>
      </c>
      <c r="D8177" s="122" t="str">
        <f>IFERROR(__xludf.DUMMYFUNCTION("""COMPUTED_VALUE"""),"GBND")</f>
        <v>GBND</v>
      </c>
      <c r="E8177" s="122" t="str">
        <f>IFERROR(__xludf.DUMMYFUNCTION("""COMPUTED_VALUE"""),"Classroom Government Bond")</f>
        <v>Classroom Government Bond</v>
      </c>
      <c r="F8177" s="122" t="str">
        <f>IFERROR(__xludf.DUMMYFUNCTION("""COMPUTED_VALUE"""),"Bond")</f>
        <v>Bond</v>
      </c>
    </row>
    <row r="8178">
      <c r="A8178" s="131">
        <f>IFERROR(__xludf.DUMMYFUNCTION("""COMPUTED_VALUE"""),46187.627974537034)</f>
        <v>46187.62797</v>
      </c>
      <c r="B8178" s="126">
        <f>IFERROR(__xludf.DUMMYFUNCTION("""COMPUTED_VALUE"""),46187.0)</f>
        <v>46187</v>
      </c>
      <c r="C8178" s="130">
        <f>IFERROR(__xludf.DUMMYFUNCTION("""COMPUTED_VALUE"""),0.627974537037037)</f>
        <v>0.627974537</v>
      </c>
      <c r="D8178" s="122" t="str">
        <f>IFERROR(__xludf.DUMMYFUNCTION("""COMPUTED_VALUE"""),"SBND")</f>
        <v>SBND</v>
      </c>
      <c r="E8178" s="122" t="str">
        <f>IFERROR(__xludf.DUMMYFUNCTION("""COMPUTED_VALUE"""),"School Savings Bond")</f>
        <v>School Savings Bond</v>
      </c>
      <c r="F8178" s="122" t="str">
        <f>IFERROR(__xludf.DUMMYFUNCTION("""COMPUTED_VALUE"""),"Bond")</f>
        <v>Bond</v>
      </c>
    </row>
    <row r="8179">
      <c r="A8179" s="131">
        <f>IFERROR(__xludf.DUMMYFUNCTION("""COMPUTED_VALUE"""),46187.627974537034)</f>
        <v>46187.62797</v>
      </c>
      <c r="B8179" s="126">
        <f>IFERROR(__xludf.DUMMYFUNCTION("""COMPUTED_VALUE"""),46187.0)</f>
        <v>46187</v>
      </c>
      <c r="C8179" s="130">
        <f>IFERROR(__xludf.DUMMYFUNCTION("""COMPUTED_VALUE"""),0.627974537037037)</f>
        <v>0.627974537</v>
      </c>
      <c r="D8179" s="122" t="str">
        <f>IFERROR(__xludf.DUMMYFUNCTION("""COMPUTED_VALUE"""),"CBND")</f>
        <v>CBND</v>
      </c>
      <c r="E8179" s="122" t="str">
        <f>IFERROR(__xludf.DUMMYFUNCTION("""COMPUTED_VALUE"""),"Corporate Classroom Bond")</f>
        <v>Corporate Classroom Bond</v>
      </c>
      <c r="F8179" s="122" t="str">
        <f>IFERROR(__xludf.DUMMYFUNCTION("""COMPUTED_VALUE"""),"Bond")</f>
        <v>Bond</v>
      </c>
    </row>
    <row r="8180">
      <c r="A8180" s="131">
        <f>IFERROR(__xludf.DUMMYFUNCTION("""COMPUTED_VALUE"""),46187.627974537034)</f>
        <v>46187.62797</v>
      </c>
      <c r="B8180" s="126">
        <f>IFERROR(__xludf.DUMMYFUNCTION("""COMPUTED_VALUE"""),46187.0)</f>
        <v>46187</v>
      </c>
      <c r="C8180" s="130">
        <f>IFERROR(__xludf.DUMMYFUNCTION("""COMPUTED_VALUE"""),0.627974537037037)</f>
        <v>0.627974537</v>
      </c>
      <c r="D8180" s="122" t="str">
        <f>IFERROR(__xludf.DUMMYFUNCTION("""COMPUTED_VALUE"""),"TBIL")</f>
        <v>TBIL</v>
      </c>
      <c r="E8180" s="122" t="str">
        <f>IFERROR(__xludf.DUMMYFUNCTION("""COMPUTED_VALUE"""),"Treasury Bill")</f>
        <v>Treasury Bill</v>
      </c>
      <c r="F8180" s="122" t="str">
        <f>IFERROR(__xludf.DUMMYFUNCTION("""COMPUTED_VALUE"""),"Bond")</f>
        <v>Bond</v>
      </c>
    </row>
    <row r="8181">
      <c r="A8181" s="131">
        <f>IFERROR(__xludf.DUMMYFUNCTION("""COMPUTED_VALUE"""),46187.627974537034)</f>
        <v>46187.62797</v>
      </c>
      <c r="B8181" s="126">
        <f>IFERROR(__xludf.DUMMYFUNCTION("""COMPUTED_VALUE"""),46187.0)</f>
        <v>46187</v>
      </c>
      <c r="C8181" s="130">
        <f>IFERROR(__xludf.DUMMYFUNCTION("""COMPUTED_VALUE"""),0.627974537037037)</f>
        <v>0.627974537</v>
      </c>
      <c r="D8181" s="122" t="str">
        <f>IFERROR(__xludf.DUMMYFUNCTION("""COMPUTED_VALUE"""),"IBND")</f>
        <v>IBND</v>
      </c>
      <c r="E8181" s="122" t="str">
        <f>IFERROR(__xludf.DUMMYFUNCTION("""COMPUTED_VALUE"""),"Inflation Protected Bond")</f>
        <v>Inflation Protected Bond</v>
      </c>
      <c r="F8181" s="122" t="str">
        <f>IFERROR(__xludf.DUMMYFUNCTION("""COMPUTED_VALUE"""),"Bond")</f>
        <v>Bond</v>
      </c>
    </row>
    <row r="8182">
      <c r="A8182" s="131">
        <f>IFERROR(__xludf.DUMMYFUNCTION("""COMPUTED_VALUE"""),46187.62997685185)</f>
        <v>46187.62998</v>
      </c>
      <c r="B8182" s="126">
        <f>IFERROR(__xludf.DUMMYFUNCTION("""COMPUTED_VALUE"""),46187.0)</f>
        <v>46187</v>
      </c>
      <c r="C8182" s="122" t="str">
        <f>IFERROR(__xludf.DUMMYFUNCTION("""COMPUTED_VALUE"""),"SNAX")</f>
        <v>SNAX</v>
      </c>
      <c r="D8182" s="122" t="str">
        <f>IFERROR(__xludf.DUMMYFUNCTION("""COMPUTED_VALUE"""),"MICA Snacks")</f>
        <v>MICA Snacks</v>
      </c>
      <c r="E8182" s="122">
        <f>IFERROR(__xludf.DUMMYFUNCTION("""COMPUTED_VALUE"""),123.26)</f>
        <v>123.26</v>
      </c>
      <c r="F8182" s="122">
        <f>IFERROR(__xludf.DUMMYFUNCTION("""COMPUTED_VALUE"""),0.0044)</f>
        <v>0.0044</v>
      </c>
    </row>
    <row r="8183">
      <c r="A8183" s="131">
        <f>IFERROR(__xludf.DUMMYFUNCTION("""COMPUTED_VALUE"""),46187.62997685185)</f>
        <v>46187.62998</v>
      </c>
      <c r="B8183" s="126">
        <f>IFERROR(__xludf.DUMMYFUNCTION("""COMPUTED_VALUE"""),46187.0)</f>
        <v>46187</v>
      </c>
      <c r="C8183" s="122" t="str">
        <f>IFERROR(__xludf.DUMMYFUNCTION("""COMPUTED_VALUE"""),"RAMN")</f>
        <v>RAMN</v>
      </c>
      <c r="D8183" s="122" t="str">
        <f>IFERROR(__xludf.DUMMYFUNCTION("""COMPUTED_VALUE"""),"Ramen Republic")</f>
        <v>Ramen Republic</v>
      </c>
      <c r="E8183" s="122">
        <f>IFERROR(__xludf.DUMMYFUNCTION("""COMPUTED_VALUE"""),62.74)</f>
        <v>62.74</v>
      </c>
      <c r="F8183" s="122">
        <f>IFERROR(__xludf.DUMMYFUNCTION("""COMPUTED_VALUE"""),-0.0013)</f>
        <v>-0.0013</v>
      </c>
    </row>
    <row r="8184">
      <c r="A8184" s="131">
        <f>IFERROR(__xludf.DUMMYFUNCTION("""COMPUTED_VALUE"""),46187.62997685185)</f>
        <v>46187.62998</v>
      </c>
      <c r="B8184" s="126">
        <f>IFERROR(__xludf.DUMMYFUNCTION("""COMPUTED_VALUE"""),46187.0)</f>
        <v>46187</v>
      </c>
      <c r="C8184" s="122" t="str">
        <f>IFERROR(__xludf.DUMMYFUNCTION("""COMPUTED_VALUE"""),"COLA")</f>
        <v>COLA</v>
      </c>
      <c r="D8184" s="122" t="str">
        <f>IFERROR(__xludf.DUMMYFUNCTION("""COMPUTED_VALUE"""),"K-Pop Cola")</f>
        <v>K-Pop Cola</v>
      </c>
      <c r="E8184" s="122">
        <f>IFERROR(__xludf.DUMMYFUNCTION("""COMPUTED_VALUE"""),113.54)</f>
        <v>113.54</v>
      </c>
      <c r="F8184" s="122">
        <f>IFERROR(__xludf.DUMMYFUNCTION("""COMPUTED_VALUE"""),0.0051)</f>
        <v>0.0051</v>
      </c>
    </row>
    <row r="8185">
      <c r="A8185" s="131">
        <f>IFERROR(__xludf.DUMMYFUNCTION("""COMPUTED_VALUE"""),46187.62997685185)</f>
        <v>46187.62998</v>
      </c>
      <c r="B8185" s="126">
        <f>IFERROR(__xludf.DUMMYFUNCTION("""COMPUTED_VALUE"""),46187.0)</f>
        <v>46187</v>
      </c>
      <c r="C8185" s="122" t="str">
        <f>IFERROR(__xludf.DUMMYFUNCTION("""COMPUTED_VALUE"""),"CHIP")</f>
        <v>CHIP</v>
      </c>
      <c r="D8185" s="122" t="str">
        <f>IFERROR(__xludf.DUMMYFUNCTION("""COMPUTED_VALUE"""),"Chip Empire")</f>
        <v>Chip Empire</v>
      </c>
      <c r="E8185" s="122">
        <f>IFERROR(__xludf.DUMMYFUNCTION("""COMPUTED_VALUE"""),81.2)</f>
        <v>81.2</v>
      </c>
      <c r="F8185" s="122">
        <f>IFERROR(__xludf.DUMMYFUNCTION("""COMPUTED_VALUE"""),-6.0E-4)</f>
        <v>-0.0006</v>
      </c>
    </row>
    <row r="8186">
      <c r="A8186" s="131">
        <f>IFERROR(__xludf.DUMMYFUNCTION("""COMPUTED_VALUE"""),46187.62997685185)</f>
        <v>46187.62998</v>
      </c>
      <c r="B8186" s="126">
        <f>IFERROR(__xludf.DUMMYFUNCTION("""COMPUTED_VALUE"""),46187.0)</f>
        <v>46187</v>
      </c>
      <c r="C8186" s="122" t="str">
        <f>IFERROR(__xludf.DUMMYFUNCTION("""COMPUTED_VALUE"""),"CAND")</f>
        <v>CAND</v>
      </c>
      <c r="D8186" s="122" t="str">
        <f>IFERROR(__xludf.DUMMYFUNCTION("""COMPUTED_VALUE"""),"Candy Capital")</f>
        <v>Candy Capital</v>
      </c>
      <c r="E8186" s="122">
        <f>IFERROR(__xludf.DUMMYFUNCTION("""COMPUTED_VALUE"""),77.98)</f>
        <v>77.98</v>
      </c>
      <c r="F8186" s="122">
        <f>IFERROR(__xludf.DUMMYFUNCTION("""COMPUTED_VALUE"""),-0.0074)</f>
        <v>-0.0074</v>
      </c>
    </row>
    <row r="8187">
      <c r="A8187" s="131">
        <f>IFERROR(__xludf.DUMMYFUNCTION("""COMPUTED_VALUE"""),46187.62997685185)</f>
        <v>46187.62998</v>
      </c>
      <c r="B8187" s="126">
        <f>IFERROR(__xludf.DUMMYFUNCTION("""COMPUTED_VALUE"""),46187.0)</f>
        <v>46187</v>
      </c>
      <c r="C8187" s="122" t="str">
        <f>IFERROR(__xludf.DUMMYFUNCTION("""COMPUTED_VALUE"""),"TECH")</f>
        <v>TECH</v>
      </c>
      <c r="D8187" s="122" t="str">
        <f>IFERROR(__xludf.DUMMYFUNCTION("""COMPUTED_VALUE"""),"Dragon Tech")</f>
        <v>Dragon Tech</v>
      </c>
      <c r="E8187" s="122">
        <f>IFERROR(__xludf.DUMMYFUNCTION("""COMPUTED_VALUE"""),256.96)</f>
        <v>256.96</v>
      </c>
      <c r="F8187" s="122">
        <f>IFERROR(__xludf.DUMMYFUNCTION("""COMPUTED_VALUE"""),6.0E-4)</f>
        <v>0.0006</v>
      </c>
    </row>
    <row r="8188">
      <c r="A8188" s="131">
        <f>IFERROR(__xludf.DUMMYFUNCTION("""COMPUTED_VALUE"""),46187.62997685185)</f>
        <v>46187.62998</v>
      </c>
      <c r="B8188" s="126">
        <f>IFERROR(__xludf.DUMMYFUNCTION("""COMPUTED_VALUE"""),46187.0)</f>
        <v>46187</v>
      </c>
      <c r="C8188" s="122" t="str">
        <f>IFERROR(__xludf.DUMMYFUNCTION("""COMPUTED_VALUE"""),"AIBO")</f>
        <v>AIBO</v>
      </c>
      <c r="D8188" s="122" t="str">
        <f>IFERROR(__xludf.DUMMYFUNCTION("""COMPUTED_VALUE"""),"Homework AI")</f>
        <v>Homework AI</v>
      </c>
      <c r="E8188" s="122">
        <f>IFERROR(__xludf.DUMMYFUNCTION("""COMPUTED_VALUE"""),190.18)</f>
        <v>190.18</v>
      </c>
      <c r="F8188" s="122">
        <f>IFERROR(__xludf.DUMMYFUNCTION("""COMPUTED_VALUE"""),1.0E-4)</f>
        <v>0.0001</v>
      </c>
    </row>
    <row r="8189">
      <c r="A8189" s="131">
        <f>IFERROR(__xludf.DUMMYFUNCTION("""COMPUTED_VALUE"""),46187.62997685185)</f>
        <v>46187.62998</v>
      </c>
      <c r="B8189" s="126">
        <f>IFERROR(__xludf.DUMMYFUNCTION("""COMPUTED_VALUE"""),46187.0)</f>
        <v>46187</v>
      </c>
      <c r="C8189" s="122" t="str">
        <f>IFERROR(__xludf.DUMMYFUNCTION("""COMPUTED_VALUE"""),"GAME")</f>
        <v>GAME</v>
      </c>
      <c r="D8189" s="122" t="str">
        <f>IFERROR(__xludf.DUMMYFUNCTION("""COMPUTED_VALUE"""),"GameBox Media")</f>
        <v>GameBox Media</v>
      </c>
      <c r="E8189" s="122">
        <f>IFERROR(__xludf.DUMMYFUNCTION("""COMPUTED_VALUE"""),101.92)</f>
        <v>101.92</v>
      </c>
      <c r="F8189" s="122">
        <f>IFERROR(__xludf.DUMMYFUNCTION("""COMPUTED_VALUE"""),-0.008)</f>
        <v>-0.008</v>
      </c>
    </row>
    <row r="8190">
      <c r="A8190" s="131">
        <f>IFERROR(__xludf.DUMMYFUNCTION("""COMPUTED_VALUE"""),46187.62997685185)</f>
        <v>46187.62998</v>
      </c>
      <c r="B8190" s="126">
        <f>IFERROR(__xludf.DUMMYFUNCTION("""COMPUTED_VALUE"""),46187.0)</f>
        <v>46187</v>
      </c>
      <c r="C8190" s="122" t="str">
        <f>IFERROR(__xludf.DUMMYFUNCTION("""COMPUTED_VALUE"""),"VRSE")</f>
        <v>VRSE</v>
      </c>
      <c r="D8190" s="122" t="str">
        <f>IFERROR(__xludf.DUMMYFUNCTION("""COMPUTED_VALUE"""),"VerseVR")</f>
        <v>VerseVR</v>
      </c>
      <c r="E8190" s="122">
        <f>IFERROR(__xludf.DUMMYFUNCTION("""COMPUTED_VALUE"""),148.16)</f>
        <v>148.16</v>
      </c>
      <c r="F8190" s="122">
        <f>IFERROR(__xludf.DUMMYFUNCTION("""COMPUTED_VALUE"""),0.0101)</f>
        <v>0.0101</v>
      </c>
    </row>
    <row r="8191">
      <c r="A8191" s="131">
        <f>IFERROR(__xludf.DUMMYFUNCTION("""COMPUTED_VALUE"""),46187.62997685185)</f>
        <v>46187.62998</v>
      </c>
      <c r="B8191" s="126">
        <f>IFERROR(__xludf.DUMMYFUNCTION("""COMPUTED_VALUE"""),46187.0)</f>
        <v>46187</v>
      </c>
      <c r="C8191" s="122" t="str">
        <f>IFERROR(__xludf.DUMMYFUNCTION("""COMPUTED_VALUE"""),"BYTE")</f>
        <v>BYTE</v>
      </c>
      <c r="D8191" s="122" t="str">
        <f>IFERROR(__xludf.DUMMYFUNCTION("""COMPUTED_VALUE"""),"ByteWorks")</f>
        <v>ByteWorks</v>
      </c>
      <c r="E8191" s="122">
        <f>IFERROR(__xludf.DUMMYFUNCTION("""COMPUTED_VALUE"""),112.2)</f>
        <v>112.2</v>
      </c>
      <c r="F8191" s="122">
        <f>IFERROR(__xludf.DUMMYFUNCTION("""COMPUTED_VALUE"""),0.0051)</f>
        <v>0.0051</v>
      </c>
    </row>
    <row r="8192">
      <c r="A8192" s="131">
        <f>IFERROR(__xludf.DUMMYFUNCTION("""COMPUTED_VALUE"""),46187.62997685185)</f>
        <v>46187.62998</v>
      </c>
      <c r="B8192" s="126">
        <f>IFERROR(__xludf.DUMMYFUNCTION("""COMPUTED_VALUE"""),46187.0)</f>
        <v>46187</v>
      </c>
      <c r="C8192" s="122" t="str">
        <f>IFERROR(__xludf.DUMMYFUNCTION("""COMPUTED_VALUE"""),"BANK")</f>
        <v>BANK</v>
      </c>
      <c r="D8192" s="122" t="str">
        <f>IFERROR(__xludf.DUMMYFUNCTION("""COMPUTED_VALUE"""),"Tiger Bank")</f>
        <v>Tiger Bank</v>
      </c>
      <c r="E8192" s="122">
        <f>IFERROR(__xludf.DUMMYFUNCTION("""COMPUTED_VALUE"""),132.04)</f>
        <v>132.04</v>
      </c>
      <c r="F8192" s="122">
        <f>IFERROR(__xludf.DUMMYFUNCTION("""COMPUTED_VALUE"""),-0.0029)</f>
        <v>-0.0029</v>
      </c>
    </row>
    <row r="8193">
      <c r="A8193" s="131">
        <f>IFERROR(__xludf.DUMMYFUNCTION("""COMPUTED_VALUE"""),46187.62997685185)</f>
        <v>46187.62998</v>
      </c>
      <c r="B8193" s="126">
        <f>IFERROR(__xludf.DUMMYFUNCTION("""COMPUTED_VALUE"""),46187.0)</f>
        <v>46187</v>
      </c>
      <c r="C8193" s="122" t="str">
        <f>IFERROR(__xludf.DUMMYFUNCTION("""COMPUTED_VALUE"""),"CRED")</f>
        <v>CRED</v>
      </c>
      <c r="D8193" s="122" t="str">
        <f>IFERROR(__xludf.DUMMYFUNCTION("""COMPUTED_VALUE"""),"Credit Castle")</f>
        <v>Credit Castle</v>
      </c>
      <c r="E8193" s="122">
        <f>IFERROR(__xludf.DUMMYFUNCTION("""COMPUTED_VALUE"""),66.77)</f>
        <v>66.77</v>
      </c>
      <c r="F8193" s="122">
        <f>IFERROR(__xludf.DUMMYFUNCTION("""COMPUTED_VALUE"""),-0.0012)</f>
        <v>-0.0012</v>
      </c>
    </row>
    <row r="8194">
      <c r="A8194" s="131">
        <f>IFERROR(__xludf.DUMMYFUNCTION("""COMPUTED_VALUE"""),46187.62997685185)</f>
        <v>46187.62998</v>
      </c>
      <c r="B8194" s="126">
        <f>IFERROR(__xludf.DUMMYFUNCTION("""COMPUTED_VALUE"""),46187.0)</f>
        <v>46187</v>
      </c>
      <c r="C8194" s="122" t="str">
        <f>IFERROR(__xludf.DUMMYFUNCTION("""COMPUTED_VALUE"""),"BOND")</f>
        <v>BOND</v>
      </c>
      <c r="D8194" s="122" t="str">
        <f>IFERROR(__xludf.DUMMYFUNCTION("""COMPUTED_VALUE"""),"BondBridge")</f>
        <v>BondBridge</v>
      </c>
      <c r="E8194" s="122">
        <f>IFERROR(__xludf.DUMMYFUNCTION("""COMPUTED_VALUE"""),105.06)</f>
        <v>105.06</v>
      </c>
      <c r="F8194" s="122">
        <f>IFERROR(__xludf.DUMMYFUNCTION("""COMPUTED_VALUE"""),-3.0E-4)</f>
        <v>-0.0003</v>
      </c>
    </row>
    <row r="8195">
      <c r="A8195" s="131">
        <f>IFERROR(__xludf.DUMMYFUNCTION("""COMPUTED_VALUE"""),46187.62997685185)</f>
        <v>46187.62998</v>
      </c>
      <c r="B8195" s="126">
        <f>IFERROR(__xludf.DUMMYFUNCTION("""COMPUTED_VALUE"""),46187.0)</f>
        <v>46187</v>
      </c>
      <c r="C8195" s="122" t="str">
        <f>IFERROR(__xludf.DUMMYFUNCTION("""COMPUTED_VALUE"""),"INSR")</f>
        <v>INSR</v>
      </c>
      <c r="D8195" s="122" t="str">
        <f>IFERROR(__xludf.DUMMYFUNCTION("""COMPUTED_VALUE"""),"Shield Insurance")</f>
        <v>Shield Insurance</v>
      </c>
      <c r="E8195" s="122">
        <f>IFERROR(__xludf.DUMMYFUNCTION("""COMPUTED_VALUE"""),156.51)</f>
        <v>156.51</v>
      </c>
      <c r="F8195" s="122">
        <f>IFERROR(__xludf.DUMMYFUNCTION("""COMPUTED_VALUE"""),-1.0E-4)</f>
        <v>-0.0001</v>
      </c>
    </row>
    <row r="8196">
      <c r="A8196" s="131">
        <f>IFERROR(__xludf.DUMMYFUNCTION("""COMPUTED_VALUE"""),46187.62997685185)</f>
        <v>46187.62998</v>
      </c>
      <c r="B8196" s="126">
        <f>IFERROR(__xludf.DUMMYFUNCTION("""COMPUTED_VALUE"""),46187.0)</f>
        <v>46187</v>
      </c>
      <c r="C8196" s="122" t="str">
        <f>IFERROR(__xludf.DUMMYFUNCTION("""COMPUTED_VALUE"""),"LOAN")</f>
        <v>LOAN</v>
      </c>
      <c r="D8196" s="122" t="str">
        <f>IFERROR(__xludf.DUMMYFUNCTION("""COMPUTED_VALUE"""),"LoanLab")</f>
        <v>LoanLab</v>
      </c>
      <c r="E8196" s="122">
        <f>IFERROR(__xludf.DUMMYFUNCTION("""COMPUTED_VALUE"""),71.58)</f>
        <v>71.58</v>
      </c>
      <c r="F8196" s="122">
        <f>IFERROR(__xludf.DUMMYFUNCTION("""COMPUTED_VALUE"""),-0.0024)</f>
        <v>-0.0024</v>
      </c>
    </row>
    <row r="8197">
      <c r="A8197" s="131">
        <f>IFERROR(__xludf.DUMMYFUNCTION("""COMPUTED_VALUE"""),46187.62997685185)</f>
        <v>46187.62998</v>
      </c>
      <c r="B8197" s="126">
        <f>IFERROR(__xludf.DUMMYFUNCTION("""COMPUTED_VALUE"""),46187.0)</f>
        <v>46187</v>
      </c>
      <c r="C8197" s="122" t="str">
        <f>IFERROR(__xludf.DUMMYFUNCTION("""COMPUTED_VALUE"""),"LUXE")</f>
        <v>LUXE</v>
      </c>
      <c r="D8197" s="122" t="str">
        <f>IFERROR(__xludf.DUMMYFUNCTION("""COMPUTED_VALUE"""),"Luxury Locker")</f>
        <v>Luxury Locker</v>
      </c>
      <c r="E8197" s="122">
        <f>IFERROR(__xludf.DUMMYFUNCTION("""COMPUTED_VALUE"""),266.7)</f>
        <v>266.7</v>
      </c>
      <c r="F8197" s="122">
        <f>IFERROR(__xludf.DUMMYFUNCTION("""COMPUTED_VALUE"""),0.0064)</f>
        <v>0.0064</v>
      </c>
    </row>
    <row r="8198">
      <c r="A8198" s="131">
        <f>IFERROR(__xludf.DUMMYFUNCTION("""COMPUTED_VALUE"""),46187.62997685185)</f>
        <v>46187.62998</v>
      </c>
      <c r="B8198" s="126">
        <f>IFERROR(__xludf.DUMMYFUNCTION("""COMPUTED_VALUE"""),46187.0)</f>
        <v>46187</v>
      </c>
      <c r="C8198" s="122" t="str">
        <f>IFERROR(__xludf.DUMMYFUNCTION("""COMPUTED_VALUE"""),"DRIP")</f>
        <v>DRIP</v>
      </c>
      <c r="D8198" s="122" t="str">
        <f>IFERROR(__xludf.DUMMYFUNCTION("""COMPUTED_VALUE"""),"Drip Streetwear")</f>
        <v>Drip Streetwear</v>
      </c>
      <c r="E8198" s="122">
        <f>IFERROR(__xludf.DUMMYFUNCTION("""COMPUTED_VALUE"""),190.59)</f>
        <v>190.59</v>
      </c>
      <c r="F8198" s="122">
        <f>IFERROR(__xludf.DUMMYFUNCTION("""COMPUTED_VALUE"""),0.0058)</f>
        <v>0.0058</v>
      </c>
    </row>
    <row r="8199">
      <c r="A8199" s="131">
        <f>IFERROR(__xludf.DUMMYFUNCTION("""COMPUTED_VALUE"""),46187.62997685185)</f>
        <v>46187.62998</v>
      </c>
      <c r="B8199" s="126">
        <f>IFERROR(__xludf.DUMMYFUNCTION("""COMPUTED_VALUE"""),46187.0)</f>
        <v>46187</v>
      </c>
      <c r="C8199" s="122" t="str">
        <f>IFERROR(__xludf.DUMMYFUNCTION("""COMPUTED_VALUE"""),"KICK")</f>
        <v>KICK</v>
      </c>
      <c r="D8199" s="122" t="str">
        <f>IFERROR(__xludf.DUMMYFUNCTION("""COMPUTED_VALUE"""),"KickDrop Sneakers")</f>
        <v>KickDrop Sneakers</v>
      </c>
      <c r="E8199" s="122">
        <f>IFERROR(__xludf.DUMMYFUNCTION("""COMPUTED_VALUE"""),166.82)</f>
        <v>166.82</v>
      </c>
      <c r="F8199" s="122">
        <f>IFERROR(__xludf.DUMMYFUNCTION("""COMPUTED_VALUE"""),-0.0068)</f>
        <v>-0.0068</v>
      </c>
    </row>
    <row r="8200">
      <c r="A8200" s="131">
        <f>IFERROR(__xludf.DUMMYFUNCTION("""COMPUTED_VALUE"""),46187.62997685185)</f>
        <v>46187.62998</v>
      </c>
      <c r="B8200" s="126">
        <f>IFERROR(__xludf.DUMMYFUNCTION("""COMPUTED_VALUE"""),46187.0)</f>
        <v>46187</v>
      </c>
      <c r="C8200" s="122" t="str">
        <f>IFERROR(__xludf.DUMMYFUNCTION("""COMPUTED_VALUE"""),"GLAM")</f>
        <v>GLAM</v>
      </c>
      <c r="D8200" s="122" t="str">
        <f>IFERROR(__xludf.DUMMYFUNCTION("""COMPUTED_VALUE"""),"Glow Cosmetics")</f>
        <v>Glow Cosmetics</v>
      </c>
      <c r="E8200" s="122">
        <f>IFERROR(__xludf.DUMMYFUNCTION("""COMPUTED_VALUE"""),110.52)</f>
        <v>110.52</v>
      </c>
      <c r="F8200" s="122">
        <f>IFERROR(__xludf.DUMMYFUNCTION("""COMPUTED_VALUE"""),-0.0014)</f>
        <v>-0.0014</v>
      </c>
    </row>
    <row r="8201">
      <c r="A8201" s="131">
        <f>IFERROR(__xludf.DUMMYFUNCTION("""COMPUTED_VALUE"""),46187.62997685185)</f>
        <v>46187.62998</v>
      </c>
      <c r="B8201" s="126">
        <f>IFERROR(__xludf.DUMMYFUNCTION("""COMPUTED_VALUE"""),46187.0)</f>
        <v>46187</v>
      </c>
      <c r="C8201" s="122" t="str">
        <f>IFERROR(__xludf.DUMMYFUNCTION("""COMPUTED_VALUE"""),"BAGG")</f>
        <v>BAGG</v>
      </c>
      <c r="D8201" s="122" t="str">
        <f>IFERROR(__xludf.DUMMYFUNCTION("""COMPUTED_VALUE"""),"BagVault")</f>
        <v>BagVault</v>
      </c>
      <c r="E8201" s="122">
        <f>IFERROR(__xludf.DUMMYFUNCTION("""COMPUTED_VALUE"""),277.28)</f>
        <v>277.28</v>
      </c>
      <c r="F8201" s="122">
        <f>IFERROR(__xludf.DUMMYFUNCTION("""COMPUTED_VALUE"""),0.0018)</f>
        <v>0.0018</v>
      </c>
    </row>
    <row r="8202">
      <c r="A8202" s="131">
        <f>IFERROR(__xludf.DUMMYFUNCTION("""COMPUTED_VALUE"""),46187.62997685185)</f>
        <v>46187.62998</v>
      </c>
      <c r="B8202" s="126">
        <f>IFERROR(__xludf.DUMMYFUNCTION("""COMPUTED_VALUE"""),46187.0)</f>
        <v>46187</v>
      </c>
      <c r="C8202" s="122" t="str">
        <f>IFERROR(__xludf.DUMMYFUNCTION("""COMPUTED_VALUE"""),"FAST")</f>
        <v>FAST</v>
      </c>
      <c r="D8202" s="122" t="str">
        <f>IFERROR(__xludf.DUMMYFUNCTION("""COMPUTED_VALUE"""),"Flash Logistics")</f>
        <v>Flash Logistics</v>
      </c>
      <c r="E8202" s="122">
        <f>IFERROR(__xludf.DUMMYFUNCTION("""COMPUTED_VALUE"""),107.94)</f>
        <v>107.94</v>
      </c>
      <c r="F8202" s="122">
        <f>IFERROR(__xludf.DUMMYFUNCTION("""COMPUTED_VALUE"""),-0.0013)</f>
        <v>-0.0013</v>
      </c>
    </row>
    <row r="8203">
      <c r="A8203" s="131">
        <f>IFERROR(__xludf.DUMMYFUNCTION("""COMPUTED_VALUE"""),46187.62997685185)</f>
        <v>46187.62998</v>
      </c>
      <c r="B8203" s="126">
        <f>IFERROR(__xludf.DUMMYFUNCTION("""COMPUTED_VALUE"""),46187.0)</f>
        <v>46187</v>
      </c>
      <c r="C8203" s="122" t="str">
        <f>IFERROR(__xludf.DUMMYFUNCTION("""COMPUTED_VALUE"""),"SHIP")</f>
        <v>SHIP</v>
      </c>
      <c r="D8203" s="122" t="str">
        <f>IFERROR(__xludf.DUMMYFUNCTION("""COMPUTED_VALUE"""),"Seoul Shipping")</f>
        <v>Seoul Shipping</v>
      </c>
      <c r="E8203" s="122">
        <f>IFERROR(__xludf.DUMMYFUNCTION("""COMPUTED_VALUE"""),131.99)</f>
        <v>131.99</v>
      </c>
      <c r="F8203" s="122">
        <f>IFERROR(__xludf.DUMMYFUNCTION("""COMPUTED_VALUE"""),0.0054)</f>
        <v>0.0054</v>
      </c>
    </row>
    <row r="8204">
      <c r="A8204" s="131">
        <f>IFERROR(__xludf.DUMMYFUNCTION("""COMPUTED_VALUE"""),46187.62997685185)</f>
        <v>46187.62998</v>
      </c>
      <c r="B8204" s="126">
        <f>IFERROR(__xludf.DUMMYFUNCTION("""COMPUTED_VALUE"""),46187.0)</f>
        <v>46187</v>
      </c>
      <c r="C8204" s="122" t="str">
        <f>IFERROR(__xludf.DUMMYFUNCTION("""COMPUTED_VALUE"""),"DRON")</f>
        <v>DRON</v>
      </c>
      <c r="D8204" s="122" t="str">
        <f>IFERROR(__xludf.DUMMYFUNCTION("""COMPUTED_VALUE"""),"DroneDrop")</f>
        <v>DroneDrop</v>
      </c>
      <c r="E8204" s="122">
        <f>IFERROR(__xludf.DUMMYFUNCTION("""COMPUTED_VALUE"""),122.14)</f>
        <v>122.14</v>
      </c>
      <c r="F8204" s="122">
        <f>IFERROR(__xludf.DUMMYFUNCTION("""COMPUTED_VALUE"""),-0.0112)</f>
        <v>-0.0112</v>
      </c>
    </row>
    <row r="8205">
      <c r="A8205" s="131">
        <f>IFERROR(__xludf.DUMMYFUNCTION("""COMPUTED_VALUE"""),46187.62997685185)</f>
        <v>46187.62998</v>
      </c>
      <c r="B8205" s="126">
        <f>IFERROR(__xludf.DUMMYFUNCTION("""COMPUTED_VALUE"""),46187.0)</f>
        <v>46187</v>
      </c>
      <c r="C8205" s="122" t="str">
        <f>IFERROR(__xludf.DUMMYFUNCTION("""COMPUTED_VALUE"""),"RIDE")</f>
        <v>RIDE</v>
      </c>
      <c r="D8205" s="122" t="str">
        <f>IFERROR(__xludf.DUMMYFUNCTION("""COMPUTED_VALUE"""),"QuickRide")</f>
        <v>QuickRide</v>
      </c>
      <c r="E8205" s="122">
        <f>IFERROR(__xludf.DUMMYFUNCTION("""COMPUTED_VALUE"""),101.75)</f>
        <v>101.75</v>
      </c>
      <c r="F8205" s="122">
        <f>IFERROR(__xludf.DUMMYFUNCTION("""COMPUTED_VALUE"""),0.0019)</f>
        <v>0.0019</v>
      </c>
    </row>
    <row r="8206">
      <c r="A8206" s="131">
        <f>IFERROR(__xludf.DUMMYFUNCTION("""COMPUTED_VALUE"""),46187.62997685185)</f>
        <v>46187.62998</v>
      </c>
      <c r="B8206" s="126">
        <f>IFERROR(__xludf.DUMMYFUNCTION("""COMPUTED_VALUE"""),46187.0)</f>
        <v>46187</v>
      </c>
      <c r="C8206" s="122" t="str">
        <f>IFERROR(__xludf.DUMMYFUNCTION("""COMPUTED_VALUE"""),"RAIL")</f>
        <v>RAIL</v>
      </c>
      <c r="D8206" s="122" t="str">
        <f>IFERROR(__xludf.DUMMYFUNCTION("""COMPUTED_VALUE"""),"MetroRail Corp")</f>
        <v>MetroRail Corp</v>
      </c>
      <c r="E8206" s="122">
        <f>IFERROR(__xludf.DUMMYFUNCTION("""COMPUTED_VALUE"""),131.4)</f>
        <v>131.4</v>
      </c>
      <c r="F8206" s="122">
        <f>IFERROR(__xludf.DUMMYFUNCTION("""COMPUTED_VALUE"""),-0.0042)</f>
        <v>-0.0042</v>
      </c>
    </row>
    <row r="8207">
      <c r="A8207" s="131">
        <f>IFERROR(__xludf.DUMMYFUNCTION("""COMPUTED_VALUE"""),46187.62997685185)</f>
        <v>46187.62998</v>
      </c>
      <c r="B8207" s="126">
        <f>IFERROR(__xludf.DUMMYFUNCTION("""COMPUTED_VALUE"""),46187.0)</f>
        <v>46187</v>
      </c>
      <c r="C8207" s="122" t="str">
        <f>IFERROR(__xludf.DUMMYFUNCTION("""COMPUTED_VALUE"""),"MEDX")</f>
        <v>MEDX</v>
      </c>
      <c r="D8207" s="122" t="str">
        <f>IFERROR(__xludf.DUMMYFUNCTION("""COMPUTED_VALUE"""),"MediCore")</f>
        <v>MediCore</v>
      </c>
      <c r="E8207" s="122">
        <f>IFERROR(__xludf.DUMMYFUNCTION("""COMPUTED_VALUE"""),138.5)</f>
        <v>138.5</v>
      </c>
      <c r="F8207" s="122">
        <f>IFERROR(__xludf.DUMMYFUNCTION("""COMPUTED_VALUE"""),0.0028)</f>
        <v>0.0028</v>
      </c>
    </row>
    <row r="8208">
      <c r="A8208" s="131">
        <f>IFERROR(__xludf.DUMMYFUNCTION("""COMPUTED_VALUE"""),46187.62997685185)</f>
        <v>46187.62998</v>
      </c>
      <c r="B8208" s="126">
        <f>IFERROR(__xludf.DUMMYFUNCTION("""COMPUTED_VALUE"""),46187.0)</f>
        <v>46187</v>
      </c>
      <c r="C8208" s="122" t="str">
        <f>IFERROR(__xludf.DUMMYFUNCTION("""COMPUTED_VALUE"""),"GYMX")</f>
        <v>GYMX</v>
      </c>
      <c r="D8208" s="122" t="str">
        <f>IFERROR(__xludf.DUMMYFUNCTION("""COMPUTED_VALUE"""),"GymX Fitness")</f>
        <v>GymX Fitness</v>
      </c>
      <c r="E8208" s="122">
        <f>IFERROR(__xludf.DUMMYFUNCTION("""COMPUTED_VALUE"""),83.1)</f>
        <v>83.1</v>
      </c>
      <c r="F8208" s="122">
        <f>IFERROR(__xludf.DUMMYFUNCTION("""COMPUTED_VALUE"""),0.0057)</f>
        <v>0.0057</v>
      </c>
    </row>
    <row r="8209">
      <c r="A8209" s="131">
        <f>IFERROR(__xludf.DUMMYFUNCTION("""COMPUTED_VALUE"""),46187.62997685185)</f>
        <v>46187.62998</v>
      </c>
      <c r="B8209" s="126">
        <f>IFERROR(__xludf.DUMMYFUNCTION("""COMPUTED_VALUE"""),46187.0)</f>
        <v>46187</v>
      </c>
      <c r="C8209" s="122" t="str">
        <f>IFERROR(__xludf.DUMMYFUNCTION("""COMPUTED_VALUE"""),"VITA")</f>
        <v>VITA</v>
      </c>
      <c r="D8209" s="122" t="str">
        <f>IFERROR(__xludf.DUMMYFUNCTION("""COMPUTED_VALUE"""),"VitaPlus")</f>
        <v>VitaPlus</v>
      </c>
      <c r="E8209" s="122">
        <f>IFERROR(__xludf.DUMMYFUNCTION("""COMPUTED_VALUE"""),72.6)</f>
        <v>72.6</v>
      </c>
      <c r="F8209" s="122">
        <f>IFERROR(__xludf.DUMMYFUNCTION("""COMPUTED_VALUE"""),-0.0052)</f>
        <v>-0.0052</v>
      </c>
    </row>
    <row r="8210">
      <c r="A8210" s="131">
        <f>IFERROR(__xludf.DUMMYFUNCTION("""COMPUTED_VALUE"""),46187.62997685185)</f>
        <v>46187.62998</v>
      </c>
      <c r="B8210" s="126">
        <f>IFERROR(__xludf.DUMMYFUNCTION("""COMPUTED_VALUE"""),46187.0)</f>
        <v>46187</v>
      </c>
      <c r="C8210" s="122" t="str">
        <f>IFERROR(__xludf.DUMMYFUNCTION("""COMPUTED_VALUE"""),"CARE")</f>
        <v>CARE</v>
      </c>
      <c r="D8210" s="122" t="str">
        <f>IFERROR(__xludf.DUMMYFUNCTION("""COMPUTED_VALUE"""),"CareCloud")</f>
        <v>CareCloud</v>
      </c>
      <c r="E8210" s="122">
        <f>IFERROR(__xludf.DUMMYFUNCTION("""COMPUTED_VALUE"""),184.36)</f>
        <v>184.36</v>
      </c>
      <c r="F8210" s="122">
        <f>IFERROR(__xludf.DUMMYFUNCTION("""COMPUTED_VALUE"""),-0.0037)</f>
        <v>-0.0037</v>
      </c>
    </row>
    <row r="8211">
      <c r="A8211" s="131">
        <f>IFERROR(__xludf.DUMMYFUNCTION("""COMPUTED_VALUE"""),46187.62997685185)</f>
        <v>46187.62998</v>
      </c>
      <c r="B8211" s="126">
        <f>IFERROR(__xludf.DUMMYFUNCTION("""COMPUTED_VALUE"""),46187.0)</f>
        <v>46187</v>
      </c>
      <c r="C8211" s="122" t="str">
        <f>IFERROR(__xludf.DUMMYFUNCTION("""COMPUTED_VALUE"""),"DENT")</f>
        <v>DENT</v>
      </c>
      <c r="D8211" s="122" t="str">
        <f>IFERROR(__xludf.DUMMYFUNCTION("""COMPUTED_VALUE"""),"SmileWorks")</f>
        <v>SmileWorks</v>
      </c>
      <c r="E8211" s="122">
        <f>IFERROR(__xludf.DUMMYFUNCTION("""COMPUTED_VALUE"""),97.09)</f>
        <v>97.09</v>
      </c>
      <c r="F8211" s="122">
        <f>IFERROR(__xludf.DUMMYFUNCTION("""COMPUTED_VALUE"""),0.0046)</f>
        <v>0.0046</v>
      </c>
    </row>
    <row r="8212">
      <c r="A8212" s="131">
        <f>IFERROR(__xludf.DUMMYFUNCTION("""COMPUTED_VALUE"""),46187.62997685185)</f>
        <v>46187.62998</v>
      </c>
      <c r="B8212" s="126">
        <f>IFERROR(__xludf.DUMMYFUNCTION("""COMPUTED_VALUE"""),46187.0)</f>
        <v>46187</v>
      </c>
      <c r="C8212" s="122" t="str">
        <f>IFERROR(__xludf.DUMMYFUNCTION("""COMPUTED_VALUE"""),"EDUX")</f>
        <v>EDUX</v>
      </c>
      <c r="D8212" s="122" t="str">
        <f>IFERROR(__xludf.DUMMYFUNCTION("""COMPUTED_VALUE"""),"EduMax Learning")</f>
        <v>EduMax Learning</v>
      </c>
      <c r="E8212" s="122">
        <f>IFERROR(__xludf.DUMMYFUNCTION("""COMPUTED_VALUE"""),150.77)</f>
        <v>150.77</v>
      </c>
      <c r="F8212" s="122">
        <f>IFERROR(__xludf.DUMMYFUNCTION("""COMPUTED_VALUE"""),0.006)</f>
        <v>0.006</v>
      </c>
    </row>
    <row r="8213">
      <c r="A8213" s="131">
        <f>IFERROR(__xludf.DUMMYFUNCTION("""COMPUTED_VALUE"""),46187.62997685185)</f>
        <v>46187.62998</v>
      </c>
      <c r="B8213" s="126">
        <f>IFERROR(__xludf.DUMMYFUNCTION("""COMPUTED_VALUE"""),46187.0)</f>
        <v>46187</v>
      </c>
      <c r="C8213" s="122" t="str">
        <f>IFERROR(__xludf.DUMMYFUNCTION("""COMPUTED_VALUE"""),"BOOK")</f>
        <v>BOOK</v>
      </c>
      <c r="D8213" s="122" t="str">
        <f>IFERROR(__xludf.DUMMYFUNCTION("""COMPUTED_VALUE"""),"BookBridge")</f>
        <v>BookBridge</v>
      </c>
      <c r="E8213" s="122">
        <f>IFERROR(__xludf.DUMMYFUNCTION("""COMPUTED_VALUE"""),120.55)</f>
        <v>120.55</v>
      </c>
      <c r="F8213" s="122">
        <f>IFERROR(__xludf.DUMMYFUNCTION("""COMPUTED_VALUE"""),9.0E-4)</f>
        <v>0.0009</v>
      </c>
    </row>
    <row r="8214">
      <c r="A8214" s="131">
        <f>IFERROR(__xludf.DUMMYFUNCTION("""COMPUTED_VALUE"""),46187.62997685185)</f>
        <v>46187.62998</v>
      </c>
      <c r="B8214" s="126">
        <f>IFERROR(__xludf.DUMMYFUNCTION("""COMPUTED_VALUE"""),46187.0)</f>
        <v>46187</v>
      </c>
      <c r="C8214" s="122" t="str">
        <f>IFERROR(__xludf.DUMMYFUNCTION("""COMPUTED_VALUE"""),"TUTR")</f>
        <v>TUTR</v>
      </c>
      <c r="D8214" s="122" t="str">
        <f>IFERROR(__xludf.DUMMYFUNCTION("""COMPUTED_VALUE"""),"TutorTown")</f>
        <v>TutorTown</v>
      </c>
      <c r="E8214" s="122">
        <f>IFERROR(__xludf.DUMMYFUNCTION("""COMPUTED_VALUE"""),91.31)</f>
        <v>91.31</v>
      </c>
      <c r="F8214" s="122">
        <f>IFERROR(__xludf.DUMMYFUNCTION("""COMPUTED_VALUE"""),-0.0033)</f>
        <v>-0.0033</v>
      </c>
    </row>
    <row r="8215">
      <c r="A8215" s="131">
        <f>IFERROR(__xludf.DUMMYFUNCTION("""COMPUTED_VALUE"""),46187.62997685185)</f>
        <v>46187.62998</v>
      </c>
      <c r="B8215" s="126">
        <f>IFERROR(__xludf.DUMMYFUNCTION("""COMPUTED_VALUE"""),46187.0)</f>
        <v>46187</v>
      </c>
      <c r="C8215" s="122" t="str">
        <f>IFERROR(__xludf.DUMMYFUNCTION("""COMPUTED_VALUE"""),"LANG")</f>
        <v>LANG</v>
      </c>
      <c r="D8215" s="122" t="str">
        <f>IFERROR(__xludf.DUMMYFUNCTION("""COMPUTED_VALUE"""),"LinguaLab")</f>
        <v>LinguaLab</v>
      </c>
      <c r="E8215" s="122">
        <f>IFERROR(__xludf.DUMMYFUNCTION("""COMPUTED_VALUE"""),103.26)</f>
        <v>103.26</v>
      </c>
      <c r="F8215" s="122">
        <f>IFERROR(__xludf.DUMMYFUNCTION("""COMPUTED_VALUE"""),0.0039)</f>
        <v>0.0039</v>
      </c>
    </row>
    <row r="8216">
      <c r="A8216" s="131">
        <f>IFERROR(__xludf.DUMMYFUNCTION("""COMPUTED_VALUE"""),46187.62997685185)</f>
        <v>46187.62998</v>
      </c>
      <c r="B8216" s="126">
        <f>IFERROR(__xludf.DUMMYFUNCTION("""COMPUTED_VALUE"""),46187.0)</f>
        <v>46187</v>
      </c>
      <c r="C8216" s="122" t="str">
        <f>IFERROR(__xludf.DUMMYFUNCTION("""COMPUTED_VALUE"""),"TEST")</f>
        <v>TEST</v>
      </c>
      <c r="D8216" s="122" t="str">
        <f>IFERROR(__xludf.DUMMYFUNCTION("""COMPUTED_VALUE"""),"TestPrep Pro")</f>
        <v>TestPrep Pro</v>
      </c>
      <c r="E8216" s="122">
        <f>IFERROR(__xludf.DUMMYFUNCTION("""COMPUTED_VALUE"""),89.86)</f>
        <v>89.86</v>
      </c>
      <c r="F8216" s="122">
        <f>IFERROR(__xludf.DUMMYFUNCTION("""COMPUTED_VALUE"""),0.0064)</f>
        <v>0.0064</v>
      </c>
    </row>
    <row r="8217">
      <c r="A8217" s="131">
        <f>IFERROR(__xludf.DUMMYFUNCTION("""COMPUTED_VALUE"""),46187.62997685185)</f>
        <v>46187.62998</v>
      </c>
      <c r="B8217" s="126">
        <f>IFERROR(__xludf.DUMMYFUNCTION("""COMPUTED_VALUE"""),46187.0)</f>
        <v>46187</v>
      </c>
      <c r="C8217" s="122" t="str">
        <f>IFERROR(__xludf.DUMMYFUNCTION("""COMPUTED_VALUE"""),"MOVI")</f>
        <v>MOVI</v>
      </c>
      <c r="D8217" s="122" t="str">
        <f>IFERROR(__xludf.DUMMYFUNCTION("""COMPUTED_VALUE"""),"MovieBox")</f>
        <v>MovieBox</v>
      </c>
      <c r="E8217" s="122">
        <f>IFERROR(__xludf.DUMMYFUNCTION("""COMPUTED_VALUE"""),83.23)</f>
        <v>83.23</v>
      </c>
      <c r="F8217" s="122">
        <f>IFERROR(__xludf.DUMMYFUNCTION("""COMPUTED_VALUE"""),-0.0055)</f>
        <v>-0.0055</v>
      </c>
    </row>
    <row r="8218">
      <c r="A8218" s="131">
        <f>IFERROR(__xludf.DUMMYFUNCTION("""COMPUTED_VALUE"""),46187.62997685185)</f>
        <v>46187.62998</v>
      </c>
      <c r="B8218" s="126">
        <f>IFERROR(__xludf.DUMMYFUNCTION("""COMPUTED_VALUE"""),46187.0)</f>
        <v>46187</v>
      </c>
      <c r="C8218" s="122" t="str">
        <f>IFERROR(__xludf.DUMMYFUNCTION("""COMPUTED_VALUE"""),"MUSC")</f>
        <v>MUSC</v>
      </c>
      <c r="D8218" s="122" t="str">
        <f>IFERROR(__xludf.DUMMYFUNCTION("""COMPUTED_VALUE"""),"MusicWave")</f>
        <v>MusicWave</v>
      </c>
      <c r="E8218" s="122">
        <f>IFERROR(__xludf.DUMMYFUNCTION("""COMPUTED_VALUE"""),104.15)</f>
        <v>104.15</v>
      </c>
      <c r="F8218" s="122">
        <f>IFERROR(__xludf.DUMMYFUNCTION("""COMPUTED_VALUE"""),0.0024)</f>
        <v>0.0024</v>
      </c>
    </row>
    <row r="8219">
      <c r="A8219" s="131">
        <f>IFERROR(__xludf.DUMMYFUNCTION("""COMPUTED_VALUE"""),46187.62997685185)</f>
        <v>46187.62998</v>
      </c>
      <c r="B8219" s="126">
        <f>IFERROR(__xludf.DUMMYFUNCTION("""COMPUTED_VALUE"""),46187.0)</f>
        <v>46187</v>
      </c>
      <c r="C8219" s="122" t="str">
        <f>IFERROR(__xludf.DUMMYFUNCTION("""COMPUTED_VALUE"""),"IDOL")</f>
        <v>IDOL</v>
      </c>
      <c r="D8219" s="122" t="str">
        <f>IFERROR(__xludf.DUMMYFUNCTION("""COMPUTED_VALUE"""),"Idol Agency")</f>
        <v>Idol Agency</v>
      </c>
      <c r="E8219" s="122">
        <f>IFERROR(__xludf.DUMMYFUNCTION("""COMPUTED_VALUE"""),188.68)</f>
        <v>188.68</v>
      </c>
      <c r="F8219" s="122">
        <f>IFERROR(__xludf.DUMMYFUNCTION("""COMPUTED_VALUE"""),0.0037)</f>
        <v>0.0037</v>
      </c>
    </row>
    <row r="8220">
      <c r="A8220" s="131">
        <f>IFERROR(__xludf.DUMMYFUNCTION("""COMPUTED_VALUE"""),46187.62997685185)</f>
        <v>46187.62998</v>
      </c>
      <c r="B8220" s="126">
        <f>IFERROR(__xludf.DUMMYFUNCTION("""COMPUTED_VALUE"""),46187.0)</f>
        <v>46187</v>
      </c>
      <c r="C8220" s="122" t="str">
        <f>IFERROR(__xludf.DUMMYFUNCTION("""COMPUTED_VALUE"""),"MEME")</f>
        <v>MEME</v>
      </c>
      <c r="D8220" s="122" t="str">
        <f>IFERROR(__xludf.DUMMYFUNCTION("""COMPUTED_VALUE"""),"Meme Media")</f>
        <v>Meme Media</v>
      </c>
      <c r="E8220" s="122">
        <f>IFERROR(__xludf.DUMMYFUNCTION("""COMPUTED_VALUE"""),72.41)</f>
        <v>72.41</v>
      </c>
      <c r="F8220" s="122">
        <f>IFERROR(__xludf.DUMMYFUNCTION("""COMPUTED_VALUE"""),0.0096)</f>
        <v>0.0096</v>
      </c>
    </row>
    <row r="8221">
      <c r="A8221" s="131">
        <f>IFERROR(__xludf.DUMMYFUNCTION("""COMPUTED_VALUE"""),46187.62997685185)</f>
        <v>46187.62998</v>
      </c>
      <c r="B8221" s="126">
        <f>IFERROR(__xludf.DUMMYFUNCTION("""COMPUTED_VALUE"""),46187.0)</f>
        <v>46187</v>
      </c>
      <c r="C8221" s="122" t="str">
        <f>IFERROR(__xludf.DUMMYFUNCTION("""COMPUTED_VALUE"""),"STRM")</f>
        <v>STRM</v>
      </c>
      <c r="D8221" s="122" t="str">
        <f>IFERROR(__xludf.DUMMYFUNCTION("""COMPUTED_VALUE"""),"Streamly")</f>
        <v>Streamly</v>
      </c>
      <c r="E8221" s="122">
        <f>IFERROR(__xludf.DUMMYFUNCTION("""COMPUTED_VALUE"""),132.53)</f>
        <v>132.53</v>
      </c>
      <c r="F8221" s="122">
        <f>IFERROR(__xludf.DUMMYFUNCTION("""COMPUTED_VALUE"""),-0.0038)</f>
        <v>-0.0038</v>
      </c>
    </row>
    <row r="8222">
      <c r="A8222" s="131">
        <f>IFERROR(__xludf.DUMMYFUNCTION("""COMPUTED_VALUE"""),46187.62997685185)</f>
        <v>46187.62998</v>
      </c>
      <c r="B8222" s="126">
        <f>IFERROR(__xludf.DUMMYFUNCTION("""COMPUTED_VALUE"""),46187.0)</f>
        <v>46187</v>
      </c>
      <c r="C8222" s="122" t="str">
        <f>IFERROR(__xludf.DUMMYFUNCTION("""COMPUTED_VALUE"""),"FARM")</f>
        <v>FARM</v>
      </c>
      <c r="D8222" s="122" t="str">
        <f>IFERROR(__xludf.DUMMYFUNCTION("""COMPUTED_VALUE"""),"Future Farms")</f>
        <v>Future Farms</v>
      </c>
      <c r="E8222" s="122">
        <f>IFERROR(__xludf.DUMMYFUNCTION("""COMPUTED_VALUE"""),98.17)</f>
        <v>98.17</v>
      </c>
      <c r="F8222" s="122">
        <f>IFERROR(__xludf.DUMMYFUNCTION("""COMPUTED_VALUE"""),0.0055)</f>
        <v>0.0055</v>
      </c>
    </row>
    <row r="8223">
      <c r="A8223" s="131">
        <f>IFERROR(__xludf.DUMMYFUNCTION("""COMPUTED_VALUE"""),46187.62997685185)</f>
        <v>46187.62998</v>
      </c>
      <c r="B8223" s="126">
        <f>IFERROR(__xludf.DUMMYFUNCTION("""COMPUTED_VALUE"""),46187.0)</f>
        <v>46187</v>
      </c>
      <c r="C8223" s="122" t="str">
        <f>IFERROR(__xludf.DUMMYFUNCTION("""COMPUTED_VALUE"""),"MEAT")</f>
        <v>MEAT</v>
      </c>
      <c r="D8223" s="122" t="str">
        <f>IFERROR(__xludf.DUMMYFUNCTION("""COMPUTED_VALUE"""),"MeatWorks")</f>
        <v>MeatWorks</v>
      </c>
      <c r="E8223" s="122">
        <f>IFERROR(__xludf.DUMMYFUNCTION("""COMPUTED_VALUE"""),104.19)</f>
        <v>104.19</v>
      </c>
      <c r="F8223" s="122">
        <f>IFERROR(__xludf.DUMMYFUNCTION("""COMPUTED_VALUE"""),-0.003)</f>
        <v>-0.003</v>
      </c>
    </row>
    <row r="8224">
      <c r="A8224" s="131">
        <f>IFERROR(__xludf.DUMMYFUNCTION("""COMPUTED_VALUE"""),46187.62997685185)</f>
        <v>46187.62998</v>
      </c>
      <c r="B8224" s="126">
        <f>IFERROR(__xludf.DUMMYFUNCTION("""COMPUTED_VALUE"""),46187.0)</f>
        <v>46187</v>
      </c>
      <c r="C8224" s="122" t="str">
        <f>IFERROR(__xludf.DUMMYFUNCTION("""COMPUTED_VALUE"""),"VEGI")</f>
        <v>VEGI</v>
      </c>
      <c r="D8224" s="122" t="str">
        <f>IFERROR(__xludf.DUMMYFUNCTION("""COMPUTED_VALUE"""),"Green Basket")</f>
        <v>Green Basket</v>
      </c>
      <c r="E8224" s="122">
        <f>IFERROR(__xludf.DUMMYFUNCTION("""COMPUTED_VALUE"""),76.83)</f>
        <v>76.83</v>
      </c>
      <c r="F8224" s="122">
        <f>IFERROR(__xludf.DUMMYFUNCTION("""COMPUTED_VALUE"""),0.0038)</f>
        <v>0.0038</v>
      </c>
    </row>
    <row r="8225">
      <c r="A8225" s="131">
        <f>IFERROR(__xludf.DUMMYFUNCTION("""COMPUTED_VALUE"""),46187.62997685185)</f>
        <v>46187.62998</v>
      </c>
      <c r="B8225" s="126">
        <f>IFERROR(__xludf.DUMMYFUNCTION("""COMPUTED_VALUE"""),46187.0)</f>
        <v>46187</v>
      </c>
      <c r="C8225" s="122" t="str">
        <f>IFERROR(__xludf.DUMMYFUNCTION("""COMPUTED_VALUE"""),"CAFE")</f>
        <v>CAFE</v>
      </c>
      <c r="D8225" s="122" t="str">
        <f>IFERROR(__xludf.DUMMYFUNCTION("""COMPUTED_VALUE"""),"Cafe Cloud")</f>
        <v>Cafe Cloud</v>
      </c>
      <c r="E8225" s="122">
        <f>IFERROR(__xludf.DUMMYFUNCTION("""COMPUTED_VALUE"""),103.83)</f>
        <v>103.83</v>
      </c>
      <c r="F8225" s="122">
        <f>IFERROR(__xludf.DUMMYFUNCTION("""COMPUTED_VALUE"""),-0.004)</f>
        <v>-0.004</v>
      </c>
    </row>
    <row r="8226">
      <c r="A8226" s="131">
        <f>IFERROR(__xludf.DUMMYFUNCTION("""COMPUTED_VALUE"""),46187.62997685185)</f>
        <v>46187.62998</v>
      </c>
      <c r="B8226" s="126">
        <f>IFERROR(__xludf.DUMMYFUNCTION("""COMPUTED_VALUE"""),46187.0)</f>
        <v>46187</v>
      </c>
      <c r="C8226" s="122" t="str">
        <f>IFERROR(__xludf.DUMMYFUNCTION("""COMPUTED_VALUE"""),"BAKE")</f>
        <v>BAKE</v>
      </c>
      <c r="D8226" s="122" t="str">
        <f>IFERROR(__xludf.DUMMYFUNCTION("""COMPUTED_VALUE"""),"BakeHouse")</f>
        <v>BakeHouse</v>
      </c>
      <c r="E8226" s="122">
        <f>IFERROR(__xludf.DUMMYFUNCTION("""COMPUTED_VALUE"""),100.49)</f>
        <v>100.49</v>
      </c>
      <c r="F8226" s="122">
        <f>IFERROR(__xludf.DUMMYFUNCTION("""COMPUTED_VALUE"""),0.0014)</f>
        <v>0.0014</v>
      </c>
    </row>
    <row r="8227">
      <c r="A8227" s="131">
        <f>IFERROR(__xludf.DUMMYFUNCTION("""COMPUTED_VALUE"""),46187.62997685185)</f>
        <v>46187.62998</v>
      </c>
      <c r="B8227" s="126">
        <f>IFERROR(__xludf.DUMMYFUNCTION("""COMPUTED_VALUE"""),46187.0)</f>
        <v>46187</v>
      </c>
      <c r="C8227" s="122" t="str">
        <f>IFERROR(__xludf.DUMMYFUNCTION("""COMPUTED_VALUE"""),"OILX")</f>
        <v>OILX</v>
      </c>
      <c r="D8227" s="122" t="str">
        <f>IFERROR(__xludf.DUMMYFUNCTION("""COMPUTED_VALUE"""),"OilMax Energy")</f>
        <v>OilMax Energy</v>
      </c>
      <c r="E8227" s="122">
        <f>IFERROR(__xludf.DUMMYFUNCTION("""COMPUTED_VALUE"""),135.5)</f>
        <v>135.5</v>
      </c>
      <c r="F8227" s="122">
        <f>IFERROR(__xludf.DUMMYFUNCTION("""COMPUTED_VALUE"""),-0.0036)</f>
        <v>-0.0036</v>
      </c>
    </row>
    <row r="8228">
      <c r="A8228" s="131">
        <f>IFERROR(__xludf.DUMMYFUNCTION("""COMPUTED_VALUE"""),46187.62997685185)</f>
        <v>46187.62998</v>
      </c>
      <c r="B8228" s="126">
        <f>IFERROR(__xludf.DUMMYFUNCTION("""COMPUTED_VALUE"""),46187.0)</f>
        <v>46187</v>
      </c>
      <c r="C8228" s="122" t="str">
        <f>IFERROR(__xludf.DUMMYFUNCTION("""COMPUTED_VALUE"""),"SOLR")</f>
        <v>SOLR</v>
      </c>
      <c r="D8228" s="122" t="str">
        <f>IFERROR(__xludf.DUMMYFUNCTION("""COMPUTED_VALUE"""),"SolarSpark")</f>
        <v>SolarSpark</v>
      </c>
      <c r="E8228" s="122">
        <f>IFERROR(__xludf.DUMMYFUNCTION("""COMPUTED_VALUE"""),108.82)</f>
        <v>108.82</v>
      </c>
      <c r="F8228" s="122">
        <f>IFERROR(__xludf.DUMMYFUNCTION("""COMPUTED_VALUE"""),0.0093)</f>
        <v>0.0093</v>
      </c>
    </row>
    <row r="8229">
      <c r="A8229" s="131">
        <f>IFERROR(__xludf.DUMMYFUNCTION("""COMPUTED_VALUE"""),46187.62997685185)</f>
        <v>46187.62998</v>
      </c>
      <c r="B8229" s="126">
        <f>IFERROR(__xludf.DUMMYFUNCTION("""COMPUTED_VALUE"""),46187.0)</f>
        <v>46187</v>
      </c>
      <c r="C8229" s="122" t="str">
        <f>IFERROR(__xludf.DUMMYFUNCTION("""COMPUTED_VALUE"""),"BATT")</f>
        <v>BATT</v>
      </c>
      <c r="D8229" s="122" t="str">
        <f>IFERROR(__xludf.DUMMYFUNCTION("""COMPUTED_VALUE"""),"BatteryBox")</f>
        <v>BatteryBox</v>
      </c>
      <c r="E8229" s="122">
        <f>IFERROR(__xludf.DUMMYFUNCTION("""COMPUTED_VALUE"""),122.08)</f>
        <v>122.08</v>
      </c>
      <c r="F8229" s="122">
        <f>IFERROR(__xludf.DUMMYFUNCTION("""COMPUTED_VALUE"""),-0.0061)</f>
        <v>-0.0061</v>
      </c>
    </row>
    <row r="8230">
      <c r="A8230" s="131">
        <f>IFERROR(__xludf.DUMMYFUNCTION("""COMPUTED_VALUE"""),46187.62997685185)</f>
        <v>46187.62998</v>
      </c>
      <c r="B8230" s="126">
        <f>IFERROR(__xludf.DUMMYFUNCTION("""COMPUTED_VALUE"""),46187.0)</f>
        <v>46187</v>
      </c>
      <c r="C8230" s="122" t="str">
        <f>IFERROR(__xludf.DUMMYFUNCTION("""COMPUTED_VALUE"""),"WIND")</f>
        <v>WIND</v>
      </c>
      <c r="D8230" s="122" t="str">
        <f>IFERROR(__xludf.DUMMYFUNCTION("""COMPUTED_VALUE"""),"WindWorks")</f>
        <v>WindWorks</v>
      </c>
      <c r="E8230" s="122">
        <f>IFERROR(__xludf.DUMMYFUNCTION("""COMPUTED_VALUE"""),85.32)</f>
        <v>85.32</v>
      </c>
      <c r="F8230" s="122">
        <f>IFERROR(__xludf.DUMMYFUNCTION("""COMPUTED_VALUE"""),-0.0048)</f>
        <v>-0.0048</v>
      </c>
    </row>
    <row r="8231">
      <c r="A8231" s="131">
        <f>IFERROR(__xludf.DUMMYFUNCTION("""COMPUTED_VALUE"""),46187.62997685185)</f>
        <v>46187.62998</v>
      </c>
      <c r="B8231" s="126">
        <f>IFERROR(__xludf.DUMMYFUNCTION("""COMPUTED_VALUE"""),46187.0)</f>
        <v>46187</v>
      </c>
      <c r="C8231" s="122" t="str">
        <f>IFERROR(__xludf.DUMMYFUNCTION("""COMPUTED_VALUE"""),"GRID")</f>
        <v>GRID</v>
      </c>
      <c r="D8231" s="122" t="str">
        <f>IFERROR(__xludf.DUMMYFUNCTION("""COMPUTED_VALUE"""),"GridPower")</f>
        <v>GridPower</v>
      </c>
      <c r="E8231" s="122">
        <f>IFERROR(__xludf.DUMMYFUNCTION("""COMPUTED_VALUE"""),128.76)</f>
        <v>128.76</v>
      </c>
      <c r="F8231" s="122">
        <f>IFERROR(__xludf.DUMMYFUNCTION("""COMPUTED_VALUE"""),0.001)</f>
        <v>0.001</v>
      </c>
    </row>
    <row r="8232">
      <c r="A8232" s="131">
        <f>IFERROR(__xludf.DUMMYFUNCTION("""COMPUTED_VALUE"""),46187.62997685185)</f>
        <v>46187.62998</v>
      </c>
      <c r="B8232" s="126">
        <f>IFERROR(__xludf.DUMMYFUNCTION("""COMPUTED_VALUE"""),46187.0)</f>
        <v>46187</v>
      </c>
      <c r="C8232" s="122" t="str">
        <f>IFERROR(__xludf.DUMMYFUNCTION("""COMPUTED_VALUE"""),"HOME")</f>
        <v>HOME</v>
      </c>
      <c r="D8232" s="122" t="str">
        <f>IFERROR(__xludf.DUMMYFUNCTION("""COMPUTED_VALUE"""),"HomeHub")</f>
        <v>HomeHub</v>
      </c>
      <c r="E8232" s="122">
        <f>IFERROR(__xludf.DUMMYFUNCTION("""COMPUTED_VALUE"""),159.67)</f>
        <v>159.67</v>
      </c>
      <c r="F8232" s="122">
        <f>IFERROR(__xludf.DUMMYFUNCTION("""COMPUTED_VALUE"""),-0.0032)</f>
        <v>-0.0032</v>
      </c>
    </row>
    <row r="8233">
      <c r="A8233" s="131">
        <f>IFERROR(__xludf.DUMMYFUNCTION("""COMPUTED_VALUE"""),46187.62997685185)</f>
        <v>46187.62998</v>
      </c>
      <c r="B8233" s="126">
        <f>IFERROR(__xludf.DUMMYFUNCTION("""COMPUTED_VALUE"""),46187.0)</f>
        <v>46187</v>
      </c>
      <c r="C8233" s="122" t="str">
        <f>IFERROR(__xludf.DUMMYFUNCTION("""COMPUTED_VALUE"""),"RENT")</f>
        <v>RENT</v>
      </c>
      <c r="D8233" s="122" t="str">
        <f>IFERROR(__xludf.DUMMYFUNCTION("""COMPUTED_VALUE"""),"RentRight")</f>
        <v>RentRight</v>
      </c>
      <c r="E8233" s="122">
        <f>IFERROR(__xludf.DUMMYFUNCTION("""COMPUTED_VALUE"""),90.08)</f>
        <v>90.08</v>
      </c>
      <c r="F8233" s="122">
        <f>IFERROR(__xludf.DUMMYFUNCTION("""COMPUTED_VALUE"""),-0.0061)</f>
        <v>-0.0061</v>
      </c>
    </row>
    <row r="8234">
      <c r="A8234" s="131">
        <f>IFERROR(__xludf.DUMMYFUNCTION("""COMPUTED_VALUE"""),46187.62997685185)</f>
        <v>46187.62998</v>
      </c>
      <c r="B8234" s="126">
        <f>IFERROR(__xludf.DUMMYFUNCTION("""COMPUTED_VALUE"""),46187.0)</f>
        <v>46187</v>
      </c>
      <c r="C8234" s="122" t="str">
        <f>IFERROR(__xludf.DUMMYFUNCTION("""COMPUTED_VALUE"""),"MALL")</f>
        <v>MALL</v>
      </c>
      <c r="D8234" s="122" t="str">
        <f>IFERROR(__xludf.DUMMYFUNCTION("""COMPUTED_VALUE"""),"MegaMall")</f>
        <v>MegaMall</v>
      </c>
      <c r="E8234" s="122">
        <f>IFERROR(__xludf.DUMMYFUNCTION("""COMPUTED_VALUE"""),101.84)</f>
        <v>101.84</v>
      </c>
      <c r="F8234" s="122">
        <f>IFERROR(__xludf.DUMMYFUNCTION("""COMPUTED_VALUE"""),-0.0026)</f>
        <v>-0.0026</v>
      </c>
    </row>
    <row r="8235">
      <c r="A8235" s="131">
        <f>IFERROR(__xludf.DUMMYFUNCTION("""COMPUTED_VALUE"""),46187.62997685185)</f>
        <v>46187.62998</v>
      </c>
      <c r="B8235" s="126">
        <f>IFERROR(__xludf.DUMMYFUNCTION("""COMPUTED_VALUE"""),46187.0)</f>
        <v>46187</v>
      </c>
      <c r="C8235" s="122" t="str">
        <f>IFERROR(__xludf.DUMMYFUNCTION("""COMPUTED_VALUE"""),"HOTL")</f>
        <v>HOTL</v>
      </c>
      <c r="D8235" s="122" t="str">
        <f>IFERROR(__xludf.DUMMYFUNCTION("""COMPUTED_VALUE"""),"HotelHive")</f>
        <v>HotelHive</v>
      </c>
      <c r="E8235" s="122">
        <f>IFERROR(__xludf.DUMMYFUNCTION("""COMPUTED_VALUE"""),119.7)</f>
        <v>119.7</v>
      </c>
      <c r="F8235" s="122">
        <f>IFERROR(__xludf.DUMMYFUNCTION("""COMPUTED_VALUE"""),-0.0071)</f>
        <v>-0.0071</v>
      </c>
    </row>
    <row r="8236">
      <c r="A8236" s="131">
        <f>IFERROR(__xludf.DUMMYFUNCTION("""COMPUTED_VALUE"""),46187.62997685185)</f>
        <v>46187.62998</v>
      </c>
      <c r="B8236" s="126">
        <f>IFERROR(__xludf.DUMMYFUNCTION("""COMPUTED_VALUE"""),46187.0)</f>
        <v>46187</v>
      </c>
      <c r="C8236" s="122" t="str">
        <f>IFERROR(__xludf.DUMMYFUNCTION("""COMPUTED_VALUE"""),"LAND")</f>
        <v>LAND</v>
      </c>
      <c r="D8236" s="122" t="str">
        <f>IFERROR(__xludf.DUMMYFUNCTION("""COMPUTED_VALUE"""),"LandLink")</f>
        <v>LandLink</v>
      </c>
      <c r="E8236" s="122">
        <f>IFERROR(__xludf.DUMMYFUNCTION("""COMPUTED_VALUE"""),187.59)</f>
        <v>187.59</v>
      </c>
      <c r="F8236" s="122">
        <f>IFERROR(__xludf.DUMMYFUNCTION("""COMPUTED_VALUE"""),-0.0036)</f>
        <v>-0.0036</v>
      </c>
    </row>
    <row r="8237">
      <c r="A8237" s="131">
        <f>IFERROR(__xludf.DUMMYFUNCTION("""COMPUTED_VALUE"""),46187.62997685185)</f>
        <v>46187.62998</v>
      </c>
      <c r="B8237" s="126">
        <f>IFERROR(__xludf.DUMMYFUNCTION("""COMPUTED_VALUE"""),46187.0)</f>
        <v>46187</v>
      </c>
      <c r="C8237" s="122" t="str">
        <f>IFERROR(__xludf.DUMMYFUNCTION("""COMPUTED_VALUE"""),"CARS")</f>
        <v>CARS</v>
      </c>
      <c r="D8237" s="122" t="str">
        <f>IFERROR(__xludf.DUMMYFUNCTION("""COMPUTED_VALUE"""),"AutoArena")</f>
        <v>AutoArena</v>
      </c>
      <c r="E8237" s="122">
        <f>IFERROR(__xludf.DUMMYFUNCTION("""COMPUTED_VALUE"""),81.01)</f>
        <v>81.01</v>
      </c>
      <c r="F8237" s="122">
        <f>IFERROR(__xludf.DUMMYFUNCTION("""COMPUTED_VALUE"""),-0.0067)</f>
        <v>-0.0067</v>
      </c>
    </row>
    <row r="8238">
      <c r="A8238" s="131">
        <f>IFERROR(__xludf.DUMMYFUNCTION("""COMPUTED_VALUE"""),46187.62997685185)</f>
        <v>46187.62998</v>
      </c>
      <c r="B8238" s="126">
        <f>IFERROR(__xludf.DUMMYFUNCTION("""COMPUTED_VALUE"""),46187.0)</f>
        <v>46187</v>
      </c>
      <c r="C8238" s="122" t="str">
        <f>IFERROR(__xludf.DUMMYFUNCTION("""COMPUTED_VALUE"""),"EVGO")</f>
        <v>EVGO</v>
      </c>
      <c r="D8238" s="122" t="str">
        <f>IFERROR(__xludf.DUMMYFUNCTION("""COMPUTED_VALUE"""),"EVGo Motors")</f>
        <v>EVGo Motors</v>
      </c>
      <c r="E8238" s="122">
        <f>IFERROR(__xludf.DUMMYFUNCTION("""COMPUTED_VALUE"""),187.14)</f>
        <v>187.14</v>
      </c>
      <c r="F8238" s="122">
        <f>IFERROR(__xludf.DUMMYFUNCTION("""COMPUTED_VALUE"""),-0.007)</f>
        <v>-0.007</v>
      </c>
    </row>
    <row r="8239">
      <c r="A8239" s="131">
        <f>IFERROR(__xludf.DUMMYFUNCTION("""COMPUTED_VALUE"""),46187.62997685185)</f>
        <v>46187.62998</v>
      </c>
      <c r="B8239" s="126">
        <f>IFERROR(__xludf.DUMMYFUNCTION("""COMPUTED_VALUE"""),46187.0)</f>
        <v>46187</v>
      </c>
      <c r="C8239" s="122" t="str">
        <f>IFERROR(__xludf.DUMMYFUNCTION("""COMPUTED_VALUE"""),"TIRE")</f>
        <v>TIRE</v>
      </c>
      <c r="D8239" s="122" t="str">
        <f>IFERROR(__xludf.DUMMYFUNCTION("""COMPUTED_VALUE"""),"TireTown")</f>
        <v>TireTown</v>
      </c>
      <c r="E8239" s="122">
        <f>IFERROR(__xludf.DUMMYFUNCTION("""COMPUTED_VALUE"""),98.37)</f>
        <v>98.37</v>
      </c>
      <c r="F8239" s="122">
        <f>IFERROR(__xludf.DUMMYFUNCTION("""COMPUTED_VALUE"""),0.0012)</f>
        <v>0.0012</v>
      </c>
    </row>
    <row r="8240">
      <c r="A8240" s="131">
        <f>IFERROR(__xludf.DUMMYFUNCTION("""COMPUTED_VALUE"""),46187.62997685185)</f>
        <v>46187.62998</v>
      </c>
      <c r="B8240" s="126">
        <f>IFERROR(__xludf.DUMMYFUNCTION("""COMPUTED_VALUE"""),46187.0)</f>
        <v>46187</v>
      </c>
      <c r="C8240" s="122" t="str">
        <f>IFERROR(__xludf.DUMMYFUNCTION("""COMPUTED_VALUE"""),"BIKE")</f>
        <v>BIKE</v>
      </c>
      <c r="D8240" s="122" t="str">
        <f>IFERROR(__xludf.DUMMYFUNCTION("""COMPUTED_VALUE"""),"BikeBox")</f>
        <v>BikeBox</v>
      </c>
      <c r="E8240" s="122">
        <f>IFERROR(__xludf.DUMMYFUNCTION("""COMPUTED_VALUE"""),52.27)</f>
        <v>52.27</v>
      </c>
      <c r="F8240" s="122">
        <f>IFERROR(__xludf.DUMMYFUNCTION("""COMPUTED_VALUE"""),0.0036)</f>
        <v>0.0036</v>
      </c>
    </row>
    <row r="8241">
      <c r="A8241" s="131">
        <f>IFERROR(__xludf.DUMMYFUNCTION("""COMPUTED_VALUE"""),46187.62997685185)</f>
        <v>46187.62998</v>
      </c>
      <c r="B8241" s="126">
        <f>IFERROR(__xludf.DUMMYFUNCTION("""COMPUTED_VALUE"""),46187.0)</f>
        <v>46187</v>
      </c>
      <c r="C8241" s="122" t="str">
        <f>IFERROR(__xludf.DUMMYFUNCTION("""COMPUTED_VALUE"""),"WASH")</f>
        <v>WASH</v>
      </c>
      <c r="D8241" s="122" t="str">
        <f>IFERROR(__xludf.DUMMYFUNCTION("""COMPUTED_VALUE"""),"CarWash Co")</f>
        <v>CarWash Co</v>
      </c>
      <c r="E8241" s="122">
        <f>IFERROR(__xludf.DUMMYFUNCTION("""COMPUTED_VALUE"""),121.47)</f>
        <v>121.47</v>
      </c>
      <c r="F8241" s="122">
        <f>IFERROR(__xludf.DUMMYFUNCTION("""COMPUTED_VALUE"""),0.0012)</f>
        <v>0.0012</v>
      </c>
    </row>
    <row r="8242">
      <c r="A8242" s="131">
        <f>IFERROR(__xludf.DUMMYFUNCTION("""COMPUTED_VALUE"""),46187.62997685185)</f>
        <v>46187.62998</v>
      </c>
      <c r="B8242" s="126">
        <f>IFERROR(__xludf.DUMMYFUNCTION("""COMPUTED_VALUE"""),46187.0)</f>
        <v>46187</v>
      </c>
      <c r="C8242" s="122" t="str">
        <f>IFERROR(__xludf.DUMMYFUNCTION("""COMPUTED_VALUE"""),"GBND")</f>
        <v>GBND</v>
      </c>
      <c r="D8242" s="122" t="str">
        <f>IFERROR(__xludf.DUMMYFUNCTION("""COMPUTED_VALUE"""),"Classroom Government Bond")</f>
        <v>Classroom Government Bond</v>
      </c>
      <c r="E8242" s="122">
        <f>IFERROR(__xludf.DUMMYFUNCTION("""COMPUTED_VALUE"""),101.05)</f>
        <v>101.05</v>
      </c>
      <c r="F8242" s="122">
        <f>IFERROR(__xludf.DUMMYFUNCTION("""COMPUTED_VALUE"""),0.0)</f>
        <v>0</v>
      </c>
    </row>
    <row r="8243">
      <c r="A8243" s="131">
        <f>IFERROR(__xludf.DUMMYFUNCTION("""COMPUTED_VALUE"""),46187.62997685185)</f>
        <v>46187.62998</v>
      </c>
      <c r="B8243" s="126">
        <f>IFERROR(__xludf.DUMMYFUNCTION("""COMPUTED_VALUE"""),46187.0)</f>
        <v>46187</v>
      </c>
      <c r="C8243" s="122" t="str">
        <f>IFERROR(__xludf.DUMMYFUNCTION("""COMPUTED_VALUE"""),"SBND")</f>
        <v>SBND</v>
      </c>
      <c r="D8243" s="122" t="str">
        <f>IFERROR(__xludf.DUMMYFUNCTION("""COMPUTED_VALUE"""),"School Savings Bond")</f>
        <v>School Savings Bond</v>
      </c>
      <c r="E8243" s="122">
        <f>IFERROR(__xludf.DUMMYFUNCTION("""COMPUTED_VALUE"""),99.18)</f>
        <v>99.18</v>
      </c>
      <c r="F8243" s="122">
        <f>IFERROR(__xludf.DUMMYFUNCTION("""COMPUTED_VALUE"""),1.0E-4)</f>
        <v>0.0001</v>
      </c>
    </row>
    <row r="8244">
      <c r="A8244" s="131">
        <f>IFERROR(__xludf.DUMMYFUNCTION("""COMPUTED_VALUE"""),46187.62997685185)</f>
        <v>46187.62998</v>
      </c>
      <c r="B8244" s="126">
        <f>IFERROR(__xludf.DUMMYFUNCTION("""COMPUTED_VALUE"""),46187.0)</f>
        <v>46187</v>
      </c>
      <c r="C8244" s="122" t="str">
        <f>IFERROR(__xludf.DUMMYFUNCTION("""COMPUTED_VALUE"""),"CBND")</f>
        <v>CBND</v>
      </c>
      <c r="D8244" s="122" t="str">
        <f>IFERROR(__xludf.DUMMYFUNCTION("""COMPUTED_VALUE"""),"Corporate Classroom Bond")</f>
        <v>Corporate Classroom Bond</v>
      </c>
      <c r="E8244" s="122">
        <f>IFERROR(__xludf.DUMMYFUNCTION("""COMPUTED_VALUE"""),97.75)</f>
        <v>97.75</v>
      </c>
      <c r="F8244" s="122">
        <f>IFERROR(__xludf.DUMMYFUNCTION("""COMPUTED_VALUE"""),-2.0E-4)</f>
        <v>-0.0002</v>
      </c>
    </row>
    <row r="8245">
      <c r="A8245" s="131">
        <f>IFERROR(__xludf.DUMMYFUNCTION("""COMPUTED_VALUE"""),46187.62997685185)</f>
        <v>46187.62998</v>
      </c>
      <c r="B8245" s="126">
        <f>IFERROR(__xludf.DUMMYFUNCTION("""COMPUTED_VALUE"""),46187.0)</f>
        <v>46187</v>
      </c>
      <c r="C8245" s="122" t="str">
        <f>IFERROR(__xludf.DUMMYFUNCTION("""COMPUTED_VALUE"""),"TBIL")</f>
        <v>TBIL</v>
      </c>
      <c r="D8245" s="122" t="str">
        <f>IFERROR(__xludf.DUMMYFUNCTION("""COMPUTED_VALUE"""),"Treasury Bill")</f>
        <v>Treasury Bill</v>
      </c>
      <c r="E8245" s="122">
        <f>IFERROR(__xludf.DUMMYFUNCTION("""COMPUTED_VALUE"""),97.69)</f>
        <v>97.69</v>
      </c>
      <c r="F8245" s="122">
        <f>IFERROR(__xludf.DUMMYFUNCTION("""COMPUTED_VALUE"""),0.0)</f>
        <v>0</v>
      </c>
    </row>
    <row r="8246">
      <c r="A8246" s="131">
        <f>IFERROR(__xludf.DUMMYFUNCTION("""COMPUTED_VALUE"""),46187.62997685185)</f>
        <v>46187.62998</v>
      </c>
      <c r="B8246" s="126">
        <f>IFERROR(__xludf.DUMMYFUNCTION("""COMPUTED_VALUE"""),46187.0)</f>
        <v>46187</v>
      </c>
      <c r="C8246" s="122" t="str">
        <f>IFERROR(__xludf.DUMMYFUNCTION("""COMPUTED_VALUE"""),"IBND")</f>
        <v>IBND</v>
      </c>
      <c r="D8246" s="122" t="str">
        <f>IFERROR(__xludf.DUMMYFUNCTION("""COMPUTED_VALUE"""),"Inflation Protected Bond")</f>
        <v>Inflation Protected Bond</v>
      </c>
      <c r="E8246" s="122">
        <f>IFERROR(__xludf.DUMMYFUNCTION("""COMPUTED_VALUE"""),100.83)</f>
        <v>100.83</v>
      </c>
      <c r="F8246" s="122">
        <f>IFERROR(__xludf.DUMMYFUNCTION("""COMPUTED_VALUE"""),-2.0E-4)</f>
        <v>-0.0002</v>
      </c>
    </row>
    <row r="8247">
      <c r="A8247" s="131">
        <f>IFERROR(__xludf.DUMMYFUNCTION("""COMPUTED_VALUE"""),46187.633564814816)</f>
        <v>46187.63356</v>
      </c>
      <c r="B8247" s="126">
        <f>IFERROR(__xludf.DUMMYFUNCTION("""COMPUTED_VALUE"""),46187.0)</f>
        <v>46187</v>
      </c>
      <c r="C8247" s="122" t="str">
        <f>IFERROR(__xludf.DUMMYFUNCTION("""COMPUTED_VALUE"""),"SNAX")</f>
        <v>SNAX</v>
      </c>
      <c r="D8247" s="122" t="str">
        <f>IFERROR(__xludf.DUMMYFUNCTION("""COMPUTED_VALUE"""),"MICA Snacks")</f>
        <v>MICA Snacks</v>
      </c>
      <c r="E8247" s="122">
        <f>IFERROR(__xludf.DUMMYFUNCTION("""COMPUTED_VALUE"""),123.28)</f>
        <v>123.28</v>
      </c>
      <c r="F8247" s="122">
        <f>IFERROR(__xludf.DUMMYFUNCTION("""COMPUTED_VALUE"""),2.0E-4)</f>
        <v>0.0002</v>
      </c>
    </row>
    <row r="8248">
      <c r="A8248" s="131">
        <f>IFERROR(__xludf.DUMMYFUNCTION("""COMPUTED_VALUE"""),46187.633564814816)</f>
        <v>46187.63356</v>
      </c>
      <c r="B8248" s="126">
        <f>IFERROR(__xludf.DUMMYFUNCTION("""COMPUTED_VALUE"""),46187.0)</f>
        <v>46187</v>
      </c>
      <c r="C8248" s="122" t="str">
        <f>IFERROR(__xludf.DUMMYFUNCTION("""COMPUTED_VALUE"""),"RAMN")</f>
        <v>RAMN</v>
      </c>
      <c r="D8248" s="122" t="str">
        <f>IFERROR(__xludf.DUMMYFUNCTION("""COMPUTED_VALUE"""),"Ramen Republic")</f>
        <v>Ramen Republic</v>
      </c>
      <c r="E8248" s="122">
        <f>IFERROR(__xludf.DUMMYFUNCTION("""COMPUTED_VALUE"""),62.66)</f>
        <v>62.66</v>
      </c>
      <c r="F8248" s="122">
        <f>IFERROR(__xludf.DUMMYFUNCTION("""COMPUTED_VALUE"""),-0.0013)</f>
        <v>-0.0013</v>
      </c>
    </row>
    <row r="8249">
      <c r="A8249" s="131">
        <f>IFERROR(__xludf.DUMMYFUNCTION("""COMPUTED_VALUE"""),46187.633564814816)</f>
        <v>46187.63356</v>
      </c>
      <c r="B8249" s="126">
        <f>IFERROR(__xludf.DUMMYFUNCTION("""COMPUTED_VALUE"""),46187.0)</f>
        <v>46187</v>
      </c>
      <c r="C8249" s="122" t="str">
        <f>IFERROR(__xludf.DUMMYFUNCTION("""COMPUTED_VALUE"""),"COLA")</f>
        <v>COLA</v>
      </c>
      <c r="D8249" s="122" t="str">
        <f>IFERROR(__xludf.DUMMYFUNCTION("""COMPUTED_VALUE"""),"K-Pop Cola")</f>
        <v>K-Pop Cola</v>
      </c>
      <c r="E8249" s="122">
        <f>IFERROR(__xludf.DUMMYFUNCTION("""COMPUTED_VALUE"""),113.32)</f>
        <v>113.32</v>
      </c>
      <c r="F8249" s="122">
        <f>IFERROR(__xludf.DUMMYFUNCTION("""COMPUTED_VALUE"""),-0.0019)</f>
        <v>-0.0019</v>
      </c>
    </row>
    <row r="8250">
      <c r="A8250" s="131">
        <f>IFERROR(__xludf.DUMMYFUNCTION("""COMPUTED_VALUE"""),46187.633564814816)</f>
        <v>46187.63356</v>
      </c>
      <c r="B8250" s="126">
        <f>IFERROR(__xludf.DUMMYFUNCTION("""COMPUTED_VALUE"""),46187.0)</f>
        <v>46187</v>
      </c>
      <c r="C8250" s="122" t="str">
        <f>IFERROR(__xludf.DUMMYFUNCTION("""COMPUTED_VALUE"""),"CHIP")</f>
        <v>CHIP</v>
      </c>
      <c r="D8250" s="122" t="str">
        <f>IFERROR(__xludf.DUMMYFUNCTION("""COMPUTED_VALUE"""),"Chip Empire")</f>
        <v>Chip Empire</v>
      </c>
      <c r="E8250" s="122">
        <f>IFERROR(__xludf.DUMMYFUNCTION("""COMPUTED_VALUE"""),81.12)</f>
        <v>81.12</v>
      </c>
      <c r="F8250" s="122">
        <f>IFERROR(__xludf.DUMMYFUNCTION("""COMPUTED_VALUE"""),-0.001)</f>
        <v>-0.001</v>
      </c>
    </row>
    <row r="8251">
      <c r="A8251" s="131">
        <f>IFERROR(__xludf.DUMMYFUNCTION("""COMPUTED_VALUE"""),46187.633564814816)</f>
        <v>46187.63356</v>
      </c>
      <c r="B8251" s="126">
        <f>IFERROR(__xludf.DUMMYFUNCTION("""COMPUTED_VALUE"""),46187.0)</f>
        <v>46187</v>
      </c>
      <c r="C8251" s="122" t="str">
        <f>IFERROR(__xludf.DUMMYFUNCTION("""COMPUTED_VALUE"""),"CAND")</f>
        <v>CAND</v>
      </c>
      <c r="D8251" s="122" t="str">
        <f>IFERROR(__xludf.DUMMYFUNCTION("""COMPUTED_VALUE"""),"Candy Capital")</f>
        <v>Candy Capital</v>
      </c>
      <c r="E8251" s="122">
        <f>IFERROR(__xludf.DUMMYFUNCTION("""COMPUTED_VALUE"""),78.07)</f>
        <v>78.07</v>
      </c>
      <c r="F8251" s="122">
        <f>IFERROR(__xludf.DUMMYFUNCTION("""COMPUTED_VALUE"""),0.0012)</f>
        <v>0.0012</v>
      </c>
    </row>
    <row r="8252">
      <c r="A8252" s="131">
        <f>IFERROR(__xludf.DUMMYFUNCTION("""COMPUTED_VALUE"""),46187.633564814816)</f>
        <v>46187.63356</v>
      </c>
      <c r="B8252" s="126">
        <f>IFERROR(__xludf.DUMMYFUNCTION("""COMPUTED_VALUE"""),46187.0)</f>
        <v>46187</v>
      </c>
      <c r="C8252" s="122" t="str">
        <f>IFERROR(__xludf.DUMMYFUNCTION("""COMPUTED_VALUE"""),"TECH")</f>
        <v>TECH</v>
      </c>
      <c r="D8252" s="122" t="str">
        <f>IFERROR(__xludf.DUMMYFUNCTION("""COMPUTED_VALUE"""),"Dragon Tech")</f>
        <v>Dragon Tech</v>
      </c>
      <c r="E8252" s="122">
        <f>IFERROR(__xludf.DUMMYFUNCTION("""COMPUTED_VALUE"""),258.86)</f>
        <v>258.86</v>
      </c>
      <c r="F8252" s="122">
        <f>IFERROR(__xludf.DUMMYFUNCTION("""COMPUTED_VALUE"""),0.0074)</f>
        <v>0.0074</v>
      </c>
    </row>
    <row r="8253">
      <c r="A8253" s="131">
        <f>IFERROR(__xludf.DUMMYFUNCTION("""COMPUTED_VALUE"""),46187.633564814816)</f>
        <v>46187.63356</v>
      </c>
      <c r="B8253" s="126">
        <f>IFERROR(__xludf.DUMMYFUNCTION("""COMPUTED_VALUE"""),46187.0)</f>
        <v>46187</v>
      </c>
      <c r="C8253" s="122" t="str">
        <f>IFERROR(__xludf.DUMMYFUNCTION("""COMPUTED_VALUE"""),"AIBO")</f>
        <v>AIBO</v>
      </c>
      <c r="D8253" s="122" t="str">
        <f>IFERROR(__xludf.DUMMYFUNCTION("""COMPUTED_VALUE"""),"Homework AI")</f>
        <v>Homework AI</v>
      </c>
      <c r="E8253" s="122">
        <f>IFERROR(__xludf.DUMMYFUNCTION("""COMPUTED_VALUE"""),192.74)</f>
        <v>192.74</v>
      </c>
      <c r="F8253" s="122">
        <f>IFERROR(__xludf.DUMMYFUNCTION("""COMPUTED_VALUE"""),0.0135)</f>
        <v>0.0135</v>
      </c>
    </row>
    <row r="8254">
      <c r="A8254" s="131">
        <f>IFERROR(__xludf.DUMMYFUNCTION("""COMPUTED_VALUE"""),46187.633564814816)</f>
        <v>46187.63356</v>
      </c>
      <c r="B8254" s="126">
        <f>IFERROR(__xludf.DUMMYFUNCTION("""COMPUTED_VALUE"""),46187.0)</f>
        <v>46187</v>
      </c>
      <c r="C8254" s="122" t="str">
        <f>IFERROR(__xludf.DUMMYFUNCTION("""COMPUTED_VALUE"""),"GAME")</f>
        <v>GAME</v>
      </c>
      <c r="D8254" s="122" t="str">
        <f>IFERROR(__xludf.DUMMYFUNCTION("""COMPUTED_VALUE"""),"GameBox Media")</f>
        <v>GameBox Media</v>
      </c>
      <c r="E8254" s="122">
        <f>IFERROR(__xludf.DUMMYFUNCTION("""COMPUTED_VALUE"""),101.28)</f>
        <v>101.28</v>
      </c>
      <c r="F8254" s="122">
        <f>IFERROR(__xludf.DUMMYFUNCTION("""COMPUTED_VALUE"""),-0.0063)</f>
        <v>-0.0063</v>
      </c>
    </row>
    <row r="8255">
      <c r="A8255" s="131">
        <f>IFERROR(__xludf.DUMMYFUNCTION("""COMPUTED_VALUE"""),46187.633564814816)</f>
        <v>46187.63356</v>
      </c>
      <c r="B8255" s="126">
        <f>IFERROR(__xludf.DUMMYFUNCTION("""COMPUTED_VALUE"""),46187.0)</f>
        <v>46187</v>
      </c>
      <c r="C8255" s="122" t="str">
        <f>IFERROR(__xludf.DUMMYFUNCTION("""COMPUTED_VALUE"""),"VRSE")</f>
        <v>VRSE</v>
      </c>
      <c r="D8255" s="122" t="str">
        <f>IFERROR(__xludf.DUMMYFUNCTION("""COMPUTED_VALUE"""),"VerseVR")</f>
        <v>VerseVR</v>
      </c>
      <c r="E8255" s="122">
        <f>IFERROR(__xludf.DUMMYFUNCTION("""COMPUTED_VALUE"""),147.16)</f>
        <v>147.16</v>
      </c>
      <c r="F8255" s="122">
        <f>IFERROR(__xludf.DUMMYFUNCTION("""COMPUTED_VALUE"""),-0.0067)</f>
        <v>-0.0067</v>
      </c>
    </row>
    <row r="8256">
      <c r="A8256" s="131">
        <f>IFERROR(__xludf.DUMMYFUNCTION("""COMPUTED_VALUE"""),46187.633564814816)</f>
        <v>46187.63356</v>
      </c>
      <c r="B8256" s="126">
        <f>IFERROR(__xludf.DUMMYFUNCTION("""COMPUTED_VALUE"""),46187.0)</f>
        <v>46187</v>
      </c>
      <c r="C8256" s="122" t="str">
        <f>IFERROR(__xludf.DUMMYFUNCTION("""COMPUTED_VALUE"""),"BYTE")</f>
        <v>BYTE</v>
      </c>
      <c r="D8256" s="122" t="str">
        <f>IFERROR(__xludf.DUMMYFUNCTION("""COMPUTED_VALUE"""),"ByteWorks")</f>
        <v>ByteWorks</v>
      </c>
      <c r="E8256" s="122">
        <f>IFERROR(__xludf.DUMMYFUNCTION("""COMPUTED_VALUE"""),112.42)</f>
        <v>112.42</v>
      </c>
      <c r="F8256" s="122">
        <f>IFERROR(__xludf.DUMMYFUNCTION("""COMPUTED_VALUE"""),0.002)</f>
        <v>0.002</v>
      </c>
    </row>
    <row r="8257">
      <c r="A8257" s="131">
        <f>IFERROR(__xludf.DUMMYFUNCTION("""COMPUTED_VALUE"""),46187.633564814816)</f>
        <v>46187.63356</v>
      </c>
      <c r="B8257" s="126">
        <f>IFERROR(__xludf.DUMMYFUNCTION("""COMPUTED_VALUE"""),46187.0)</f>
        <v>46187</v>
      </c>
      <c r="C8257" s="122" t="str">
        <f>IFERROR(__xludf.DUMMYFUNCTION("""COMPUTED_VALUE"""),"BANK")</f>
        <v>BANK</v>
      </c>
      <c r="D8257" s="122" t="str">
        <f>IFERROR(__xludf.DUMMYFUNCTION("""COMPUTED_VALUE"""),"Tiger Bank")</f>
        <v>Tiger Bank</v>
      </c>
      <c r="E8257" s="122">
        <f>IFERROR(__xludf.DUMMYFUNCTION("""COMPUTED_VALUE"""),132.18)</f>
        <v>132.18</v>
      </c>
      <c r="F8257" s="122">
        <f>IFERROR(__xludf.DUMMYFUNCTION("""COMPUTED_VALUE"""),0.0011)</f>
        <v>0.0011</v>
      </c>
    </row>
    <row r="8258">
      <c r="A8258" s="131">
        <f>IFERROR(__xludf.DUMMYFUNCTION("""COMPUTED_VALUE"""),46187.633564814816)</f>
        <v>46187.63356</v>
      </c>
      <c r="B8258" s="126">
        <f>IFERROR(__xludf.DUMMYFUNCTION("""COMPUTED_VALUE"""),46187.0)</f>
        <v>46187</v>
      </c>
      <c r="C8258" s="122" t="str">
        <f>IFERROR(__xludf.DUMMYFUNCTION("""COMPUTED_VALUE"""),"CRED")</f>
        <v>CRED</v>
      </c>
      <c r="D8258" s="122" t="str">
        <f>IFERROR(__xludf.DUMMYFUNCTION("""COMPUTED_VALUE"""),"Credit Castle")</f>
        <v>Credit Castle</v>
      </c>
      <c r="E8258" s="122">
        <f>IFERROR(__xludf.DUMMYFUNCTION("""COMPUTED_VALUE"""),66.61)</f>
        <v>66.61</v>
      </c>
      <c r="F8258" s="122">
        <f>IFERROR(__xludf.DUMMYFUNCTION("""COMPUTED_VALUE"""),-0.0024)</f>
        <v>-0.0024</v>
      </c>
    </row>
    <row r="8259">
      <c r="A8259" s="131">
        <f>IFERROR(__xludf.DUMMYFUNCTION("""COMPUTED_VALUE"""),46187.633564814816)</f>
        <v>46187.63356</v>
      </c>
      <c r="B8259" s="126">
        <f>IFERROR(__xludf.DUMMYFUNCTION("""COMPUTED_VALUE"""),46187.0)</f>
        <v>46187</v>
      </c>
      <c r="C8259" s="122" t="str">
        <f>IFERROR(__xludf.DUMMYFUNCTION("""COMPUTED_VALUE"""),"BOND")</f>
        <v>BOND</v>
      </c>
      <c r="D8259" s="122" t="str">
        <f>IFERROR(__xludf.DUMMYFUNCTION("""COMPUTED_VALUE"""),"BondBridge")</f>
        <v>BondBridge</v>
      </c>
      <c r="E8259" s="122">
        <f>IFERROR(__xludf.DUMMYFUNCTION("""COMPUTED_VALUE"""),105.31)</f>
        <v>105.31</v>
      </c>
      <c r="F8259" s="122">
        <f>IFERROR(__xludf.DUMMYFUNCTION("""COMPUTED_VALUE"""),0.0024)</f>
        <v>0.0024</v>
      </c>
    </row>
    <row r="8260">
      <c r="A8260" s="131">
        <f>IFERROR(__xludf.DUMMYFUNCTION("""COMPUTED_VALUE"""),46187.633564814816)</f>
        <v>46187.63356</v>
      </c>
      <c r="B8260" s="126">
        <f>IFERROR(__xludf.DUMMYFUNCTION("""COMPUTED_VALUE"""),46187.0)</f>
        <v>46187</v>
      </c>
      <c r="C8260" s="122" t="str">
        <f>IFERROR(__xludf.DUMMYFUNCTION("""COMPUTED_VALUE"""),"INSR")</f>
        <v>INSR</v>
      </c>
      <c r="D8260" s="122" t="str">
        <f>IFERROR(__xludf.DUMMYFUNCTION("""COMPUTED_VALUE"""),"Shield Insurance")</f>
        <v>Shield Insurance</v>
      </c>
      <c r="E8260" s="122">
        <f>IFERROR(__xludf.DUMMYFUNCTION("""COMPUTED_VALUE"""),157.09)</f>
        <v>157.09</v>
      </c>
      <c r="F8260" s="122">
        <f>IFERROR(__xludf.DUMMYFUNCTION("""COMPUTED_VALUE"""),0.0037)</f>
        <v>0.0037</v>
      </c>
    </row>
    <row r="8261">
      <c r="A8261" s="131">
        <f>IFERROR(__xludf.DUMMYFUNCTION("""COMPUTED_VALUE"""),46187.633564814816)</f>
        <v>46187.63356</v>
      </c>
      <c r="B8261" s="126">
        <f>IFERROR(__xludf.DUMMYFUNCTION("""COMPUTED_VALUE"""),46187.0)</f>
        <v>46187</v>
      </c>
      <c r="C8261" s="122" t="str">
        <f>IFERROR(__xludf.DUMMYFUNCTION("""COMPUTED_VALUE"""),"LOAN")</f>
        <v>LOAN</v>
      </c>
      <c r="D8261" s="122" t="str">
        <f>IFERROR(__xludf.DUMMYFUNCTION("""COMPUTED_VALUE"""),"LoanLab")</f>
        <v>LoanLab</v>
      </c>
      <c r="E8261" s="122">
        <f>IFERROR(__xludf.DUMMYFUNCTION("""COMPUTED_VALUE"""),71.27)</f>
        <v>71.27</v>
      </c>
      <c r="F8261" s="122">
        <f>IFERROR(__xludf.DUMMYFUNCTION("""COMPUTED_VALUE"""),-0.0043)</f>
        <v>-0.0043</v>
      </c>
    </row>
    <row r="8262">
      <c r="A8262" s="131">
        <f>IFERROR(__xludf.DUMMYFUNCTION("""COMPUTED_VALUE"""),46187.633564814816)</f>
        <v>46187.63356</v>
      </c>
      <c r="B8262" s="126">
        <f>IFERROR(__xludf.DUMMYFUNCTION("""COMPUTED_VALUE"""),46187.0)</f>
        <v>46187</v>
      </c>
      <c r="C8262" s="122" t="str">
        <f>IFERROR(__xludf.DUMMYFUNCTION("""COMPUTED_VALUE"""),"LUXE")</f>
        <v>LUXE</v>
      </c>
      <c r="D8262" s="122" t="str">
        <f>IFERROR(__xludf.DUMMYFUNCTION("""COMPUTED_VALUE"""),"Luxury Locker")</f>
        <v>Luxury Locker</v>
      </c>
      <c r="E8262" s="122">
        <f>IFERROR(__xludf.DUMMYFUNCTION("""COMPUTED_VALUE"""),267.09)</f>
        <v>267.09</v>
      </c>
      <c r="F8262" s="122">
        <f>IFERROR(__xludf.DUMMYFUNCTION("""COMPUTED_VALUE"""),0.0015)</f>
        <v>0.0015</v>
      </c>
    </row>
    <row r="8263">
      <c r="A8263" s="131">
        <f>IFERROR(__xludf.DUMMYFUNCTION("""COMPUTED_VALUE"""),46187.633564814816)</f>
        <v>46187.63356</v>
      </c>
      <c r="B8263" s="126">
        <f>IFERROR(__xludf.DUMMYFUNCTION("""COMPUTED_VALUE"""),46187.0)</f>
        <v>46187</v>
      </c>
      <c r="C8263" s="122" t="str">
        <f>IFERROR(__xludf.DUMMYFUNCTION("""COMPUTED_VALUE"""),"DRIP")</f>
        <v>DRIP</v>
      </c>
      <c r="D8263" s="122" t="str">
        <f>IFERROR(__xludf.DUMMYFUNCTION("""COMPUTED_VALUE"""),"Drip Streetwear")</f>
        <v>Drip Streetwear</v>
      </c>
      <c r="E8263" s="122">
        <f>IFERROR(__xludf.DUMMYFUNCTION("""COMPUTED_VALUE"""),188.81)</f>
        <v>188.81</v>
      </c>
      <c r="F8263" s="122">
        <f>IFERROR(__xludf.DUMMYFUNCTION("""COMPUTED_VALUE"""),-0.0093)</f>
        <v>-0.0093</v>
      </c>
    </row>
    <row r="8264">
      <c r="A8264" s="131">
        <f>IFERROR(__xludf.DUMMYFUNCTION("""COMPUTED_VALUE"""),46187.633564814816)</f>
        <v>46187.63356</v>
      </c>
      <c r="B8264" s="126">
        <f>IFERROR(__xludf.DUMMYFUNCTION("""COMPUTED_VALUE"""),46187.0)</f>
        <v>46187</v>
      </c>
      <c r="C8264" s="122" t="str">
        <f>IFERROR(__xludf.DUMMYFUNCTION("""COMPUTED_VALUE"""),"KICK")</f>
        <v>KICK</v>
      </c>
      <c r="D8264" s="122" t="str">
        <f>IFERROR(__xludf.DUMMYFUNCTION("""COMPUTED_VALUE"""),"KickDrop Sneakers")</f>
        <v>KickDrop Sneakers</v>
      </c>
      <c r="E8264" s="122">
        <f>IFERROR(__xludf.DUMMYFUNCTION("""COMPUTED_VALUE"""),165.67)</f>
        <v>165.67</v>
      </c>
      <c r="F8264" s="122">
        <f>IFERROR(__xludf.DUMMYFUNCTION("""COMPUTED_VALUE"""),-0.0069)</f>
        <v>-0.0069</v>
      </c>
    </row>
    <row r="8265">
      <c r="A8265" s="131">
        <f>IFERROR(__xludf.DUMMYFUNCTION("""COMPUTED_VALUE"""),46187.633564814816)</f>
        <v>46187.63356</v>
      </c>
      <c r="B8265" s="126">
        <f>IFERROR(__xludf.DUMMYFUNCTION("""COMPUTED_VALUE"""),46187.0)</f>
        <v>46187</v>
      </c>
      <c r="C8265" s="122" t="str">
        <f>IFERROR(__xludf.DUMMYFUNCTION("""COMPUTED_VALUE"""),"GLAM")</f>
        <v>GLAM</v>
      </c>
      <c r="D8265" s="122" t="str">
        <f>IFERROR(__xludf.DUMMYFUNCTION("""COMPUTED_VALUE"""),"Glow Cosmetics")</f>
        <v>Glow Cosmetics</v>
      </c>
      <c r="E8265" s="122">
        <f>IFERROR(__xludf.DUMMYFUNCTION("""COMPUTED_VALUE"""),110.58)</f>
        <v>110.58</v>
      </c>
      <c r="F8265" s="122">
        <f>IFERROR(__xludf.DUMMYFUNCTION("""COMPUTED_VALUE"""),5.0E-4)</f>
        <v>0.0005</v>
      </c>
    </row>
    <row r="8266">
      <c r="A8266" s="131">
        <f>IFERROR(__xludf.DUMMYFUNCTION("""COMPUTED_VALUE"""),46187.633564814816)</f>
        <v>46187.63356</v>
      </c>
      <c r="B8266" s="126">
        <f>IFERROR(__xludf.DUMMYFUNCTION("""COMPUTED_VALUE"""),46187.0)</f>
        <v>46187</v>
      </c>
      <c r="C8266" s="122" t="str">
        <f>IFERROR(__xludf.DUMMYFUNCTION("""COMPUTED_VALUE"""),"BAGG")</f>
        <v>BAGG</v>
      </c>
      <c r="D8266" s="122" t="str">
        <f>IFERROR(__xludf.DUMMYFUNCTION("""COMPUTED_VALUE"""),"BagVault")</f>
        <v>BagVault</v>
      </c>
      <c r="E8266" s="122">
        <f>IFERROR(__xludf.DUMMYFUNCTION("""COMPUTED_VALUE"""),277.01)</f>
        <v>277.01</v>
      </c>
      <c r="F8266" s="122">
        <f>IFERROR(__xludf.DUMMYFUNCTION("""COMPUTED_VALUE"""),-0.001)</f>
        <v>-0.001</v>
      </c>
    </row>
    <row r="8267">
      <c r="A8267" s="131">
        <f>IFERROR(__xludf.DUMMYFUNCTION("""COMPUTED_VALUE"""),46187.633564814816)</f>
        <v>46187.63356</v>
      </c>
      <c r="B8267" s="126">
        <f>IFERROR(__xludf.DUMMYFUNCTION("""COMPUTED_VALUE"""),46187.0)</f>
        <v>46187</v>
      </c>
      <c r="C8267" s="122" t="str">
        <f>IFERROR(__xludf.DUMMYFUNCTION("""COMPUTED_VALUE"""),"FAST")</f>
        <v>FAST</v>
      </c>
      <c r="D8267" s="122" t="str">
        <f>IFERROR(__xludf.DUMMYFUNCTION("""COMPUTED_VALUE"""),"Flash Logistics")</f>
        <v>Flash Logistics</v>
      </c>
      <c r="E8267" s="122">
        <f>IFERROR(__xludf.DUMMYFUNCTION("""COMPUTED_VALUE"""),107.85)</f>
        <v>107.85</v>
      </c>
      <c r="F8267" s="122">
        <f>IFERROR(__xludf.DUMMYFUNCTION("""COMPUTED_VALUE"""),-8.0E-4)</f>
        <v>-0.0008</v>
      </c>
    </row>
    <row r="8268">
      <c r="A8268" s="131">
        <f>IFERROR(__xludf.DUMMYFUNCTION("""COMPUTED_VALUE"""),46187.633564814816)</f>
        <v>46187.63356</v>
      </c>
      <c r="B8268" s="126">
        <f>IFERROR(__xludf.DUMMYFUNCTION("""COMPUTED_VALUE"""),46187.0)</f>
        <v>46187</v>
      </c>
      <c r="C8268" s="122" t="str">
        <f>IFERROR(__xludf.DUMMYFUNCTION("""COMPUTED_VALUE"""),"SHIP")</f>
        <v>SHIP</v>
      </c>
      <c r="D8268" s="122" t="str">
        <f>IFERROR(__xludf.DUMMYFUNCTION("""COMPUTED_VALUE"""),"Seoul Shipping")</f>
        <v>Seoul Shipping</v>
      </c>
      <c r="E8268" s="122">
        <f>IFERROR(__xludf.DUMMYFUNCTION("""COMPUTED_VALUE"""),131.49)</f>
        <v>131.49</v>
      </c>
      <c r="F8268" s="122">
        <f>IFERROR(__xludf.DUMMYFUNCTION("""COMPUTED_VALUE"""),-0.0038)</f>
        <v>-0.0038</v>
      </c>
    </row>
    <row r="8269">
      <c r="A8269" s="131">
        <f>IFERROR(__xludf.DUMMYFUNCTION("""COMPUTED_VALUE"""),46187.633564814816)</f>
        <v>46187.63356</v>
      </c>
      <c r="B8269" s="126">
        <f>IFERROR(__xludf.DUMMYFUNCTION("""COMPUTED_VALUE"""),46187.0)</f>
        <v>46187</v>
      </c>
      <c r="C8269" s="122" t="str">
        <f>IFERROR(__xludf.DUMMYFUNCTION("""COMPUTED_VALUE"""),"DRON")</f>
        <v>DRON</v>
      </c>
      <c r="D8269" s="122" t="str">
        <f>IFERROR(__xludf.DUMMYFUNCTION("""COMPUTED_VALUE"""),"DroneDrop")</f>
        <v>DroneDrop</v>
      </c>
      <c r="E8269" s="122">
        <f>IFERROR(__xludf.DUMMYFUNCTION("""COMPUTED_VALUE"""),121.98)</f>
        <v>121.98</v>
      </c>
      <c r="F8269" s="122">
        <f>IFERROR(__xludf.DUMMYFUNCTION("""COMPUTED_VALUE"""),-0.0013)</f>
        <v>-0.0013</v>
      </c>
    </row>
    <row r="8270">
      <c r="A8270" s="131">
        <f>IFERROR(__xludf.DUMMYFUNCTION("""COMPUTED_VALUE"""),46187.633564814816)</f>
        <v>46187.63356</v>
      </c>
      <c r="B8270" s="126">
        <f>IFERROR(__xludf.DUMMYFUNCTION("""COMPUTED_VALUE"""),46187.0)</f>
        <v>46187</v>
      </c>
      <c r="C8270" s="122" t="str">
        <f>IFERROR(__xludf.DUMMYFUNCTION("""COMPUTED_VALUE"""),"RIDE")</f>
        <v>RIDE</v>
      </c>
      <c r="D8270" s="122" t="str">
        <f>IFERROR(__xludf.DUMMYFUNCTION("""COMPUTED_VALUE"""),"QuickRide")</f>
        <v>QuickRide</v>
      </c>
      <c r="E8270" s="122">
        <f>IFERROR(__xludf.DUMMYFUNCTION("""COMPUTED_VALUE"""),102.62)</f>
        <v>102.62</v>
      </c>
      <c r="F8270" s="122">
        <f>IFERROR(__xludf.DUMMYFUNCTION("""COMPUTED_VALUE"""),0.0086)</f>
        <v>0.0086</v>
      </c>
    </row>
    <row r="8271">
      <c r="A8271" s="131">
        <f>IFERROR(__xludf.DUMMYFUNCTION("""COMPUTED_VALUE"""),46187.633564814816)</f>
        <v>46187.63356</v>
      </c>
      <c r="B8271" s="126">
        <f>IFERROR(__xludf.DUMMYFUNCTION("""COMPUTED_VALUE"""),46187.0)</f>
        <v>46187</v>
      </c>
      <c r="C8271" s="122" t="str">
        <f>IFERROR(__xludf.DUMMYFUNCTION("""COMPUTED_VALUE"""),"RAIL")</f>
        <v>RAIL</v>
      </c>
      <c r="D8271" s="122" t="str">
        <f>IFERROR(__xludf.DUMMYFUNCTION("""COMPUTED_VALUE"""),"MetroRail Corp")</f>
        <v>MetroRail Corp</v>
      </c>
      <c r="E8271" s="122">
        <f>IFERROR(__xludf.DUMMYFUNCTION("""COMPUTED_VALUE"""),131.47)</f>
        <v>131.47</v>
      </c>
      <c r="F8271" s="122">
        <f>IFERROR(__xludf.DUMMYFUNCTION("""COMPUTED_VALUE"""),5.0E-4)</f>
        <v>0.0005</v>
      </c>
    </row>
    <row r="8272">
      <c r="A8272" s="131">
        <f>IFERROR(__xludf.DUMMYFUNCTION("""COMPUTED_VALUE"""),46187.633564814816)</f>
        <v>46187.63356</v>
      </c>
      <c r="B8272" s="126">
        <f>IFERROR(__xludf.DUMMYFUNCTION("""COMPUTED_VALUE"""),46187.0)</f>
        <v>46187</v>
      </c>
      <c r="C8272" s="122" t="str">
        <f>IFERROR(__xludf.DUMMYFUNCTION("""COMPUTED_VALUE"""),"MEDX")</f>
        <v>MEDX</v>
      </c>
      <c r="D8272" s="122" t="str">
        <f>IFERROR(__xludf.DUMMYFUNCTION("""COMPUTED_VALUE"""),"MediCore")</f>
        <v>MediCore</v>
      </c>
      <c r="E8272" s="122">
        <f>IFERROR(__xludf.DUMMYFUNCTION("""COMPUTED_VALUE"""),138.49)</f>
        <v>138.49</v>
      </c>
      <c r="F8272" s="122">
        <f>IFERROR(__xludf.DUMMYFUNCTION("""COMPUTED_VALUE"""),-1.0E-4)</f>
        <v>-0.0001</v>
      </c>
    </row>
    <row r="8273">
      <c r="A8273" s="131">
        <f>IFERROR(__xludf.DUMMYFUNCTION("""COMPUTED_VALUE"""),46187.633564814816)</f>
        <v>46187.63356</v>
      </c>
      <c r="B8273" s="126">
        <f>IFERROR(__xludf.DUMMYFUNCTION("""COMPUTED_VALUE"""),46187.0)</f>
        <v>46187</v>
      </c>
      <c r="C8273" s="122" t="str">
        <f>IFERROR(__xludf.DUMMYFUNCTION("""COMPUTED_VALUE"""),"GYMX")</f>
        <v>GYMX</v>
      </c>
      <c r="D8273" s="122" t="str">
        <f>IFERROR(__xludf.DUMMYFUNCTION("""COMPUTED_VALUE"""),"GymX Fitness")</f>
        <v>GymX Fitness</v>
      </c>
      <c r="E8273" s="122">
        <f>IFERROR(__xludf.DUMMYFUNCTION("""COMPUTED_VALUE"""),82.53)</f>
        <v>82.53</v>
      </c>
      <c r="F8273" s="122">
        <f>IFERROR(__xludf.DUMMYFUNCTION("""COMPUTED_VALUE"""),-0.0069)</f>
        <v>-0.0069</v>
      </c>
    </row>
    <row r="8274">
      <c r="A8274" s="131">
        <f>IFERROR(__xludf.DUMMYFUNCTION("""COMPUTED_VALUE"""),46187.633564814816)</f>
        <v>46187.63356</v>
      </c>
      <c r="B8274" s="126">
        <f>IFERROR(__xludf.DUMMYFUNCTION("""COMPUTED_VALUE"""),46187.0)</f>
        <v>46187</v>
      </c>
      <c r="C8274" s="122" t="str">
        <f>IFERROR(__xludf.DUMMYFUNCTION("""COMPUTED_VALUE"""),"VITA")</f>
        <v>VITA</v>
      </c>
      <c r="D8274" s="122" t="str">
        <f>IFERROR(__xludf.DUMMYFUNCTION("""COMPUTED_VALUE"""),"VitaPlus")</f>
        <v>VitaPlus</v>
      </c>
      <c r="E8274" s="122">
        <f>IFERROR(__xludf.DUMMYFUNCTION("""COMPUTED_VALUE"""),72.24)</f>
        <v>72.24</v>
      </c>
      <c r="F8274" s="122">
        <f>IFERROR(__xludf.DUMMYFUNCTION("""COMPUTED_VALUE"""),-0.005)</f>
        <v>-0.005</v>
      </c>
    </row>
    <row r="8275">
      <c r="A8275" s="131">
        <f>IFERROR(__xludf.DUMMYFUNCTION("""COMPUTED_VALUE"""),46187.633564814816)</f>
        <v>46187.63356</v>
      </c>
      <c r="B8275" s="126">
        <f>IFERROR(__xludf.DUMMYFUNCTION("""COMPUTED_VALUE"""),46187.0)</f>
        <v>46187</v>
      </c>
      <c r="C8275" s="122" t="str">
        <f>IFERROR(__xludf.DUMMYFUNCTION("""COMPUTED_VALUE"""),"CARE")</f>
        <v>CARE</v>
      </c>
      <c r="D8275" s="122" t="str">
        <f>IFERROR(__xludf.DUMMYFUNCTION("""COMPUTED_VALUE"""),"CareCloud")</f>
        <v>CareCloud</v>
      </c>
      <c r="E8275" s="122">
        <f>IFERROR(__xludf.DUMMYFUNCTION("""COMPUTED_VALUE"""),184.38)</f>
        <v>184.38</v>
      </c>
      <c r="F8275" s="122">
        <f>IFERROR(__xludf.DUMMYFUNCTION("""COMPUTED_VALUE"""),1.0E-4)</f>
        <v>0.0001</v>
      </c>
    </row>
    <row r="8276">
      <c r="A8276" s="131">
        <f>IFERROR(__xludf.DUMMYFUNCTION("""COMPUTED_VALUE"""),46187.633564814816)</f>
        <v>46187.63356</v>
      </c>
      <c r="B8276" s="126">
        <f>IFERROR(__xludf.DUMMYFUNCTION("""COMPUTED_VALUE"""),46187.0)</f>
        <v>46187</v>
      </c>
      <c r="C8276" s="122" t="str">
        <f>IFERROR(__xludf.DUMMYFUNCTION("""COMPUTED_VALUE"""),"DENT")</f>
        <v>DENT</v>
      </c>
      <c r="D8276" s="122" t="str">
        <f>IFERROR(__xludf.DUMMYFUNCTION("""COMPUTED_VALUE"""),"SmileWorks")</f>
        <v>SmileWorks</v>
      </c>
      <c r="E8276" s="122">
        <f>IFERROR(__xludf.DUMMYFUNCTION("""COMPUTED_VALUE"""),97.06)</f>
        <v>97.06</v>
      </c>
      <c r="F8276" s="122">
        <f>IFERROR(__xludf.DUMMYFUNCTION("""COMPUTED_VALUE"""),-3.0E-4)</f>
        <v>-0.0003</v>
      </c>
    </row>
    <row r="8277">
      <c r="A8277" s="131">
        <f>IFERROR(__xludf.DUMMYFUNCTION("""COMPUTED_VALUE"""),46187.633564814816)</f>
        <v>46187.63356</v>
      </c>
      <c r="B8277" s="126">
        <f>IFERROR(__xludf.DUMMYFUNCTION("""COMPUTED_VALUE"""),46187.0)</f>
        <v>46187</v>
      </c>
      <c r="C8277" s="122" t="str">
        <f>IFERROR(__xludf.DUMMYFUNCTION("""COMPUTED_VALUE"""),"EDUX")</f>
        <v>EDUX</v>
      </c>
      <c r="D8277" s="122" t="str">
        <f>IFERROR(__xludf.DUMMYFUNCTION("""COMPUTED_VALUE"""),"EduMax Learning")</f>
        <v>EduMax Learning</v>
      </c>
      <c r="E8277" s="122">
        <f>IFERROR(__xludf.DUMMYFUNCTION("""COMPUTED_VALUE"""),150.76)</f>
        <v>150.76</v>
      </c>
      <c r="F8277" s="122">
        <f>IFERROR(__xludf.DUMMYFUNCTION("""COMPUTED_VALUE"""),-1.0E-4)</f>
        <v>-0.0001</v>
      </c>
    </row>
    <row r="8278">
      <c r="A8278" s="131">
        <f>IFERROR(__xludf.DUMMYFUNCTION("""COMPUTED_VALUE"""),46187.633564814816)</f>
        <v>46187.63356</v>
      </c>
      <c r="B8278" s="126">
        <f>IFERROR(__xludf.DUMMYFUNCTION("""COMPUTED_VALUE"""),46187.0)</f>
        <v>46187</v>
      </c>
      <c r="C8278" s="122" t="str">
        <f>IFERROR(__xludf.DUMMYFUNCTION("""COMPUTED_VALUE"""),"BOOK")</f>
        <v>BOOK</v>
      </c>
      <c r="D8278" s="122" t="str">
        <f>IFERROR(__xludf.DUMMYFUNCTION("""COMPUTED_VALUE"""),"BookBridge")</f>
        <v>BookBridge</v>
      </c>
      <c r="E8278" s="122">
        <f>IFERROR(__xludf.DUMMYFUNCTION("""COMPUTED_VALUE"""),120.42)</f>
        <v>120.42</v>
      </c>
      <c r="F8278" s="122">
        <f>IFERROR(__xludf.DUMMYFUNCTION("""COMPUTED_VALUE"""),-0.0011)</f>
        <v>-0.0011</v>
      </c>
    </row>
    <row r="8279">
      <c r="A8279" s="131">
        <f>IFERROR(__xludf.DUMMYFUNCTION("""COMPUTED_VALUE"""),46187.633564814816)</f>
        <v>46187.63356</v>
      </c>
      <c r="B8279" s="126">
        <f>IFERROR(__xludf.DUMMYFUNCTION("""COMPUTED_VALUE"""),46187.0)</f>
        <v>46187</v>
      </c>
      <c r="C8279" s="122" t="str">
        <f>IFERROR(__xludf.DUMMYFUNCTION("""COMPUTED_VALUE"""),"TUTR")</f>
        <v>TUTR</v>
      </c>
      <c r="D8279" s="122" t="str">
        <f>IFERROR(__xludf.DUMMYFUNCTION("""COMPUTED_VALUE"""),"TutorTown")</f>
        <v>TutorTown</v>
      </c>
      <c r="E8279" s="122">
        <f>IFERROR(__xludf.DUMMYFUNCTION("""COMPUTED_VALUE"""),91.39)</f>
        <v>91.39</v>
      </c>
      <c r="F8279" s="122">
        <f>IFERROR(__xludf.DUMMYFUNCTION("""COMPUTED_VALUE"""),9.0E-4)</f>
        <v>0.0009</v>
      </c>
    </row>
    <row r="8280">
      <c r="A8280" s="131">
        <f>IFERROR(__xludf.DUMMYFUNCTION("""COMPUTED_VALUE"""),46187.633564814816)</f>
        <v>46187.63356</v>
      </c>
      <c r="B8280" s="126">
        <f>IFERROR(__xludf.DUMMYFUNCTION("""COMPUTED_VALUE"""),46187.0)</f>
        <v>46187</v>
      </c>
      <c r="C8280" s="122" t="str">
        <f>IFERROR(__xludf.DUMMYFUNCTION("""COMPUTED_VALUE"""),"LANG")</f>
        <v>LANG</v>
      </c>
      <c r="D8280" s="122" t="str">
        <f>IFERROR(__xludf.DUMMYFUNCTION("""COMPUTED_VALUE"""),"LinguaLab")</f>
        <v>LinguaLab</v>
      </c>
      <c r="E8280" s="122">
        <f>IFERROR(__xludf.DUMMYFUNCTION("""COMPUTED_VALUE"""),103.25)</f>
        <v>103.25</v>
      </c>
      <c r="F8280" s="122">
        <f>IFERROR(__xludf.DUMMYFUNCTION("""COMPUTED_VALUE"""),-1.0E-4)</f>
        <v>-0.0001</v>
      </c>
    </row>
    <row r="8281">
      <c r="A8281" s="131">
        <f>IFERROR(__xludf.DUMMYFUNCTION("""COMPUTED_VALUE"""),46187.633564814816)</f>
        <v>46187.63356</v>
      </c>
      <c r="B8281" s="126">
        <f>IFERROR(__xludf.DUMMYFUNCTION("""COMPUTED_VALUE"""),46187.0)</f>
        <v>46187</v>
      </c>
      <c r="C8281" s="122" t="str">
        <f>IFERROR(__xludf.DUMMYFUNCTION("""COMPUTED_VALUE"""),"TEST")</f>
        <v>TEST</v>
      </c>
      <c r="D8281" s="122" t="str">
        <f>IFERROR(__xludf.DUMMYFUNCTION("""COMPUTED_VALUE"""),"TestPrep Pro")</f>
        <v>TestPrep Pro</v>
      </c>
      <c r="E8281" s="122">
        <f>IFERROR(__xludf.DUMMYFUNCTION("""COMPUTED_VALUE"""),90.37)</f>
        <v>90.37</v>
      </c>
      <c r="F8281" s="122">
        <f>IFERROR(__xludf.DUMMYFUNCTION("""COMPUTED_VALUE"""),0.0057)</f>
        <v>0.0057</v>
      </c>
    </row>
    <row r="8282">
      <c r="A8282" s="131">
        <f>IFERROR(__xludf.DUMMYFUNCTION("""COMPUTED_VALUE"""),46187.633564814816)</f>
        <v>46187.63356</v>
      </c>
      <c r="B8282" s="126">
        <f>IFERROR(__xludf.DUMMYFUNCTION("""COMPUTED_VALUE"""),46187.0)</f>
        <v>46187</v>
      </c>
      <c r="C8282" s="122" t="str">
        <f>IFERROR(__xludf.DUMMYFUNCTION("""COMPUTED_VALUE"""),"MOVI")</f>
        <v>MOVI</v>
      </c>
      <c r="D8282" s="122" t="str">
        <f>IFERROR(__xludf.DUMMYFUNCTION("""COMPUTED_VALUE"""),"MovieBox")</f>
        <v>MovieBox</v>
      </c>
      <c r="E8282" s="122">
        <f>IFERROR(__xludf.DUMMYFUNCTION("""COMPUTED_VALUE"""),83.61)</f>
        <v>83.61</v>
      </c>
      <c r="F8282" s="122">
        <f>IFERROR(__xludf.DUMMYFUNCTION("""COMPUTED_VALUE"""),0.0046)</f>
        <v>0.0046</v>
      </c>
    </row>
    <row r="8283">
      <c r="A8283" s="131">
        <f>IFERROR(__xludf.DUMMYFUNCTION("""COMPUTED_VALUE"""),46187.633564814816)</f>
        <v>46187.63356</v>
      </c>
      <c r="B8283" s="126">
        <f>IFERROR(__xludf.DUMMYFUNCTION("""COMPUTED_VALUE"""),46187.0)</f>
        <v>46187</v>
      </c>
      <c r="C8283" s="122" t="str">
        <f>IFERROR(__xludf.DUMMYFUNCTION("""COMPUTED_VALUE"""),"MUSC")</f>
        <v>MUSC</v>
      </c>
      <c r="D8283" s="122" t="str">
        <f>IFERROR(__xludf.DUMMYFUNCTION("""COMPUTED_VALUE"""),"MusicWave")</f>
        <v>MusicWave</v>
      </c>
      <c r="E8283" s="122">
        <f>IFERROR(__xludf.DUMMYFUNCTION("""COMPUTED_VALUE"""),103.52)</f>
        <v>103.52</v>
      </c>
      <c r="F8283" s="122">
        <f>IFERROR(__xludf.DUMMYFUNCTION("""COMPUTED_VALUE"""),-0.006)</f>
        <v>-0.006</v>
      </c>
    </row>
    <row r="8284">
      <c r="A8284" s="131">
        <f>IFERROR(__xludf.DUMMYFUNCTION("""COMPUTED_VALUE"""),46187.633564814816)</f>
        <v>46187.63356</v>
      </c>
      <c r="B8284" s="126">
        <f>IFERROR(__xludf.DUMMYFUNCTION("""COMPUTED_VALUE"""),46187.0)</f>
        <v>46187</v>
      </c>
      <c r="C8284" s="122" t="str">
        <f>IFERROR(__xludf.DUMMYFUNCTION("""COMPUTED_VALUE"""),"IDOL")</f>
        <v>IDOL</v>
      </c>
      <c r="D8284" s="122" t="str">
        <f>IFERROR(__xludf.DUMMYFUNCTION("""COMPUTED_VALUE"""),"Idol Agency")</f>
        <v>Idol Agency</v>
      </c>
      <c r="E8284" s="122">
        <f>IFERROR(__xludf.DUMMYFUNCTION("""COMPUTED_VALUE"""),188.42)</f>
        <v>188.42</v>
      </c>
      <c r="F8284" s="122">
        <f>IFERROR(__xludf.DUMMYFUNCTION("""COMPUTED_VALUE"""),-0.0014)</f>
        <v>-0.0014</v>
      </c>
    </row>
    <row r="8285">
      <c r="A8285" s="131">
        <f>IFERROR(__xludf.DUMMYFUNCTION("""COMPUTED_VALUE"""),46187.633564814816)</f>
        <v>46187.63356</v>
      </c>
      <c r="B8285" s="126">
        <f>IFERROR(__xludf.DUMMYFUNCTION("""COMPUTED_VALUE"""),46187.0)</f>
        <v>46187</v>
      </c>
      <c r="C8285" s="122" t="str">
        <f>IFERROR(__xludf.DUMMYFUNCTION("""COMPUTED_VALUE"""),"MEME")</f>
        <v>MEME</v>
      </c>
      <c r="D8285" s="122" t="str">
        <f>IFERROR(__xludf.DUMMYFUNCTION("""COMPUTED_VALUE"""),"Meme Media")</f>
        <v>Meme Media</v>
      </c>
      <c r="E8285" s="122">
        <f>IFERROR(__xludf.DUMMYFUNCTION("""COMPUTED_VALUE"""),71.47)</f>
        <v>71.47</v>
      </c>
      <c r="F8285" s="122">
        <f>IFERROR(__xludf.DUMMYFUNCTION("""COMPUTED_VALUE"""),-0.013)</f>
        <v>-0.013</v>
      </c>
    </row>
    <row r="8286">
      <c r="A8286" s="131">
        <f>IFERROR(__xludf.DUMMYFUNCTION("""COMPUTED_VALUE"""),46187.633564814816)</f>
        <v>46187.63356</v>
      </c>
      <c r="B8286" s="126">
        <f>IFERROR(__xludf.DUMMYFUNCTION("""COMPUTED_VALUE"""),46187.0)</f>
        <v>46187</v>
      </c>
      <c r="C8286" s="122" t="str">
        <f>IFERROR(__xludf.DUMMYFUNCTION("""COMPUTED_VALUE"""),"STRM")</f>
        <v>STRM</v>
      </c>
      <c r="D8286" s="122" t="str">
        <f>IFERROR(__xludf.DUMMYFUNCTION("""COMPUTED_VALUE"""),"Streamly")</f>
        <v>Streamly</v>
      </c>
      <c r="E8286" s="122">
        <f>IFERROR(__xludf.DUMMYFUNCTION("""COMPUTED_VALUE"""),133.57)</f>
        <v>133.57</v>
      </c>
      <c r="F8286" s="122">
        <f>IFERROR(__xludf.DUMMYFUNCTION("""COMPUTED_VALUE"""),0.0078)</f>
        <v>0.0078</v>
      </c>
    </row>
    <row r="8287">
      <c r="A8287" s="131">
        <f>IFERROR(__xludf.DUMMYFUNCTION("""COMPUTED_VALUE"""),46187.633564814816)</f>
        <v>46187.63356</v>
      </c>
      <c r="B8287" s="126">
        <f>IFERROR(__xludf.DUMMYFUNCTION("""COMPUTED_VALUE"""),46187.0)</f>
        <v>46187</v>
      </c>
      <c r="C8287" s="122" t="str">
        <f>IFERROR(__xludf.DUMMYFUNCTION("""COMPUTED_VALUE"""),"FARM")</f>
        <v>FARM</v>
      </c>
      <c r="D8287" s="122" t="str">
        <f>IFERROR(__xludf.DUMMYFUNCTION("""COMPUTED_VALUE"""),"Future Farms")</f>
        <v>Future Farms</v>
      </c>
      <c r="E8287" s="122">
        <f>IFERROR(__xludf.DUMMYFUNCTION("""COMPUTED_VALUE"""),98.58)</f>
        <v>98.58</v>
      </c>
      <c r="F8287" s="122">
        <f>IFERROR(__xludf.DUMMYFUNCTION("""COMPUTED_VALUE"""),0.0042)</f>
        <v>0.0042</v>
      </c>
    </row>
    <row r="8288">
      <c r="A8288" s="131">
        <f>IFERROR(__xludf.DUMMYFUNCTION("""COMPUTED_VALUE"""),46187.633564814816)</f>
        <v>46187.63356</v>
      </c>
      <c r="B8288" s="126">
        <f>IFERROR(__xludf.DUMMYFUNCTION("""COMPUTED_VALUE"""),46187.0)</f>
        <v>46187</v>
      </c>
      <c r="C8288" s="122" t="str">
        <f>IFERROR(__xludf.DUMMYFUNCTION("""COMPUTED_VALUE"""),"MEAT")</f>
        <v>MEAT</v>
      </c>
      <c r="D8288" s="122" t="str">
        <f>IFERROR(__xludf.DUMMYFUNCTION("""COMPUTED_VALUE"""),"MeatWorks")</f>
        <v>MeatWorks</v>
      </c>
      <c r="E8288" s="122">
        <f>IFERROR(__xludf.DUMMYFUNCTION("""COMPUTED_VALUE"""),104.33)</f>
        <v>104.33</v>
      </c>
      <c r="F8288" s="122">
        <f>IFERROR(__xludf.DUMMYFUNCTION("""COMPUTED_VALUE"""),0.0013)</f>
        <v>0.0013</v>
      </c>
    </row>
    <row r="8289">
      <c r="A8289" s="131">
        <f>IFERROR(__xludf.DUMMYFUNCTION("""COMPUTED_VALUE"""),46187.633564814816)</f>
        <v>46187.63356</v>
      </c>
      <c r="B8289" s="126">
        <f>IFERROR(__xludf.DUMMYFUNCTION("""COMPUTED_VALUE"""),46187.0)</f>
        <v>46187</v>
      </c>
      <c r="C8289" s="122" t="str">
        <f>IFERROR(__xludf.DUMMYFUNCTION("""COMPUTED_VALUE"""),"VEGI")</f>
        <v>VEGI</v>
      </c>
      <c r="D8289" s="122" t="str">
        <f>IFERROR(__xludf.DUMMYFUNCTION("""COMPUTED_VALUE"""),"Green Basket")</f>
        <v>Green Basket</v>
      </c>
      <c r="E8289" s="122">
        <f>IFERROR(__xludf.DUMMYFUNCTION("""COMPUTED_VALUE"""),76.8)</f>
        <v>76.8</v>
      </c>
      <c r="F8289" s="122">
        <f>IFERROR(__xludf.DUMMYFUNCTION("""COMPUTED_VALUE"""),-4.0E-4)</f>
        <v>-0.0004</v>
      </c>
    </row>
    <row r="8290">
      <c r="A8290" s="131">
        <f>IFERROR(__xludf.DUMMYFUNCTION("""COMPUTED_VALUE"""),46187.633564814816)</f>
        <v>46187.63356</v>
      </c>
      <c r="B8290" s="126">
        <f>IFERROR(__xludf.DUMMYFUNCTION("""COMPUTED_VALUE"""),46187.0)</f>
        <v>46187</v>
      </c>
      <c r="C8290" s="122" t="str">
        <f>IFERROR(__xludf.DUMMYFUNCTION("""COMPUTED_VALUE"""),"CAFE")</f>
        <v>CAFE</v>
      </c>
      <c r="D8290" s="122" t="str">
        <f>IFERROR(__xludf.DUMMYFUNCTION("""COMPUTED_VALUE"""),"Cafe Cloud")</f>
        <v>Cafe Cloud</v>
      </c>
      <c r="E8290" s="122">
        <f>IFERROR(__xludf.DUMMYFUNCTION("""COMPUTED_VALUE"""),103.38)</f>
        <v>103.38</v>
      </c>
      <c r="F8290" s="122">
        <f>IFERROR(__xludf.DUMMYFUNCTION("""COMPUTED_VALUE"""),-0.0043)</f>
        <v>-0.0043</v>
      </c>
    </row>
    <row r="8291">
      <c r="A8291" s="131">
        <f>IFERROR(__xludf.DUMMYFUNCTION("""COMPUTED_VALUE"""),46187.633564814816)</f>
        <v>46187.63356</v>
      </c>
      <c r="B8291" s="126">
        <f>IFERROR(__xludf.DUMMYFUNCTION("""COMPUTED_VALUE"""),46187.0)</f>
        <v>46187</v>
      </c>
      <c r="C8291" s="122" t="str">
        <f>IFERROR(__xludf.DUMMYFUNCTION("""COMPUTED_VALUE"""),"BAKE")</f>
        <v>BAKE</v>
      </c>
      <c r="D8291" s="122" t="str">
        <f>IFERROR(__xludf.DUMMYFUNCTION("""COMPUTED_VALUE"""),"BakeHouse")</f>
        <v>BakeHouse</v>
      </c>
      <c r="E8291" s="122">
        <f>IFERROR(__xludf.DUMMYFUNCTION("""COMPUTED_VALUE"""),100.49)</f>
        <v>100.49</v>
      </c>
      <c r="F8291" s="122">
        <f>IFERROR(__xludf.DUMMYFUNCTION("""COMPUTED_VALUE"""),0.0)</f>
        <v>0</v>
      </c>
    </row>
    <row r="8292">
      <c r="A8292" s="131">
        <f>IFERROR(__xludf.DUMMYFUNCTION("""COMPUTED_VALUE"""),46187.633564814816)</f>
        <v>46187.63356</v>
      </c>
      <c r="B8292" s="126">
        <f>IFERROR(__xludf.DUMMYFUNCTION("""COMPUTED_VALUE"""),46187.0)</f>
        <v>46187</v>
      </c>
      <c r="C8292" s="122" t="str">
        <f>IFERROR(__xludf.DUMMYFUNCTION("""COMPUTED_VALUE"""),"OILX")</f>
        <v>OILX</v>
      </c>
      <c r="D8292" s="122" t="str">
        <f>IFERROR(__xludf.DUMMYFUNCTION("""COMPUTED_VALUE"""),"OilMax Energy")</f>
        <v>OilMax Energy</v>
      </c>
      <c r="E8292" s="122">
        <f>IFERROR(__xludf.DUMMYFUNCTION("""COMPUTED_VALUE"""),135.8)</f>
        <v>135.8</v>
      </c>
      <c r="F8292" s="122">
        <f>IFERROR(__xludf.DUMMYFUNCTION("""COMPUTED_VALUE"""),0.0022)</f>
        <v>0.0022</v>
      </c>
    </row>
    <row r="8293">
      <c r="A8293" s="131">
        <f>IFERROR(__xludf.DUMMYFUNCTION("""COMPUTED_VALUE"""),46187.633564814816)</f>
        <v>46187.63356</v>
      </c>
      <c r="B8293" s="126">
        <f>IFERROR(__xludf.DUMMYFUNCTION("""COMPUTED_VALUE"""),46187.0)</f>
        <v>46187</v>
      </c>
      <c r="C8293" s="122" t="str">
        <f>IFERROR(__xludf.DUMMYFUNCTION("""COMPUTED_VALUE"""),"SOLR")</f>
        <v>SOLR</v>
      </c>
      <c r="D8293" s="122" t="str">
        <f>IFERROR(__xludf.DUMMYFUNCTION("""COMPUTED_VALUE"""),"SolarSpark")</f>
        <v>SolarSpark</v>
      </c>
      <c r="E8293" s="122">
        <f>IFERROR(__xludf.DUMMYFUNCTION("""COMPUTED_VALUE"""),109.94)</f>
        <v>109.94</v>
      </c>
      <c r="F8293" s="122">
        <f>IFERROR(__xludf.DUMMYFUNCTION("""COMPUTED_VALUE"""),0.0103)</f>
        <v>0.0103</v>
      </c>
    </row>
    <row r="8294">
      <c r="A8294" s="131">
        <f>IFERROR(__xludf.DUMMYFUNCTION("""COMPUTED_VALUE"""),46187.633564814816)</f>
        <v>46187.63356</v>
      </c>
      <c r="B8294" s="126">
        <f>IFERROR(__xludf.DUMMYFUNCTION("""COMPUTED_VALUE"""),46187.0)</f>
        <v>46187</v>
      </c>
      <c r="C8294" s="122" t="str">
        <f>IFERROR(__xludf.DUMMYFUNCTION("""COMPUTED_VALUE"""),"BATT")</f>
        <v>BATT</v>
      </c>
      <c r="D8294" s="122" t="str">
        <f>IFERROR(__xludf.DUMMYFUNCTION("""COMPUTED_VALUE"""),"BatteryBox")</f>
        <v>BatteryBox</v>
      </c>
      <c r="E8294" s="122">
        <f>IFERROR(__xludf.DUMMYFUNCTION("""COMPUTED_VALUE"""),122.38)</f>
        <v>122.38</v>
      </c>
      <c r="F8294" s="122">
        <f>IFERROR(__xludf.DUMMYFUNCTION("""COMPUTED_VALUE"""),0.0025)</f>
        <v>0.0025</v>
      </c>
    </row>
    <row r="8295">
      <c r="A8295" s="131">
        <f>IFERROR(__xludf.DUMMYFUNCTION("""COMPUTED_VALUE"""),46187.633564814816)</f>
        <v>46187.63356</v>
      </c>
      <c r="B8295" s="126">
        <f>IFERROR(__xludf.DUMMYFUNCTION("""COMPUTED_VALUE"""),46187.0)</f>
        <v>46187</v>
      </c>
      <c r="C8295" s="122" t="str">
        <f>IFERROR(__xludf.DUMMYFUNCTION("""COMPUTED_VALUE"""),"WIND")</f>
        <v>WIND</v>
      </c>
      <c r="D8295" s="122" t="str">
        <f>IFERROR(__xludf.DUMMYFUNCTION("""COMPUTED_VALUE"""),"WindWorks")</f>
        <v>WindWorks</v>
      </c>
      <c r="E8295" s="122">
        <f>IFERROR(__xludf.DUMMYFUNCTION("""COMPUTED_VALUE"""),85.23)</f>
        <v>85.23</v>
      </c>
      <c r="F8295" s="122">
        <f>IFERROR(__xludf.DUMMYFUNCTION("""COMPUTED_VALUE"""),-0.0011)</f>
        <v>-0.0011</v>
      </c>
    </row>
    <row r="8296">
      <c r="A8296" s="131">
        <f>IFERROR(__xludf.DUMMYFUNCTION("""COMPUTED_VALUE"""),46187.633564814816)</f>
        <v>46187.63356</v>
      </c>
      <c r="B8296" s="126">
        <f>IFERROR(__xludf.DUMMYFUNCTION("""COMPUTED_VALUE"""),46187.0)</f>
        <v>46187</v>
      </c>
      <c r="C8296" s="122" t="str">
        <f>IFERROR(__xludf.DUMMYFUNCTION("""COMPUTED_VALUE"""),"GRID")</f>
        <v>GRID</v>
      </c>
      <c r="D8296" s="122" t="str">
        <f>IFERROR(__xludf.DUMMYFUNCTION("""COMPUTED_VALUE"""),"GridPower")</f>
        <v>GridPower</v>
      </c>
      <c r="E8296" s="122">
        <f>IFERROR(__xludf.DUMMYFUNCTION("""COMPUTED_VALUE"""),127.79)</f>
        <v>127.79</v>
      </c>
      <c r="F8296" s="122">
        <f>IFERROR(__xludf.DUMMYFUNCTION("""COMPUTED_VALUE"""),-0.0075)</f>
        <v>-0.0075</v>
      </c>
    </row>
    <row r="8297">
      <c r="A8297" s="131">
        <f>IFERROR(__xludf.DUMMYFUNCTION("""COMPUTED_VALUE"""),46187.633564814816)</f>
        <v>46187.63356</v>
      </c>
      <c r="B8297" s="126">
        <f>IFERROR(__xludf.DUMMYFUNCTION("""COMPUTED_VALUE"""),46187.0)</f>
        <v>46187</v>
      </c>
      <c r="C8297" s="122" t="str">
        <f>IFERROR(__xludf.DUMMYFUNCTION("""COMPUTED_VALUE"""),"HOME")</f>
        <v>HOME</v>
      </c>
      <c r="D8297" s="122" t="str">
        <f>IFERROR(__xludf.DUMMYFUNCTION("""COMPUTED_VALUE"""),"HomeHub")</f>
        <v>HomeHub</v>
      </c>
      <c r="E8297" s="122">
        <f>IFERROR(__xludf.DUMMYFUNCTION("""COMPUTED_VALUE"""),159.78)</f>
        <v>159.78</v>
      </c>
      <c r="F8297" s="122">
        <f>IFERROR(__xludf.DUMMYFUNCTION("""COMPUTED_VALUE"""),7.0E-4)</f>
        <v>0.0007</v>
      </c>
    </row>
    <row r="8298">
      <c r="A8298" s="131">
        <f>IFERROR(__xludf.DUMMYFUNCTION("""COMPUTED_VALUE"""),46187.633564814816)</f>
        <v>46187.63356</v>
      </c>
      <c r="B8298" s="126">
        <f>IFERROR(__xludf.DUMMYFUNCTION("""COMPUTED_VALUE"""),46187.0)</f>
        <v>46187</v>
      </c>
      <c r="C8298" s="122" t="str">
        <f>IFERROR(__xludf.DUMMYFUNCTION("""COMPUTED_VALUE"""),"RENT")</f>
        <v>RENT</v>
      </c>
      <c r="D8298" s="122" t="str">
        <f>IFERROR(__xludf.DUMMYFUNCTION("""COMPUTED_VALUE"""),"RentRight")</f>
        <v>RentRight</v>
      </c>
      <c r="E8298" s="122">
        <f>IFERROR(__xludf.DUMMYFUNCTION("""COMPUTED_VALUE"""),90.5)</f>
        <v>90.5</v>
      </c>
      <c r="F8298" s="122">
        <f>IFERROR(__xludf.DUMMYFUNCTION("""COMPUTED_VALUE"""),0.0047)</f>
        <v>0.0047</v>
      </c>
    </row>
    <row r="8299">
      <c r="A8299" s="131">
        <f>IFERROR(__xludf.DUMMYFUNCTION("""COMPUTED_VALUE"""),46187.633564814816)</f>
        <v>46187.63356</v>
      </c>
      <c r="B8299" s="126">
        <f>IFERROR(__xludf.DUMMYFUNCTION("""COMPUTED_VALUE"""),46187.0)</f>
        <v>46187</v>
      </c>
      <c r="C8299" s="122" t="str">
        <f>IFERROR(__xludf.DUMMYFUNCTION("""COMPUTED_VALUE"""),"MALL")</f>
        <v>MALL</v>
      </c>
      <c r="D8299" s="122" t="str">
        <f>IFERROR(__xludf.DUMMYFUNCTION("""COMPUTED_VALUE"""),"MegaMall")</f>
        <v>MegaMall</v>
      </c>
      <c r="E8299" s="122">
        <f>IFERROR(__xludf.DUMMYFUNCTION("""COMPUTED_VALUE"""),102.03)</f>
        <v>102.03</v>
      </c>
      <c r="F8299" s="122">
        <f>IFERROR(__xludf.DUMMYFUNCTION("""COMPUTED_VALUE"""),0.0019)</f>
        <v>0.0019</v>
      </c>
    </row>
    <row r="8300">
      <c r="A8300" s="131">
        <f>IFERROR(__xludf.DUMMYFUNCTION("""COMPUTED_VALUE"""),46187.633564814816)</f>
        <v>46187.63356</v>
      </c>
      <c r="B8300" s="126">
        <f>IFERROR(__xludf.DUMMYFUNCTION("""COMPUTED_VALUE"""),46187.0)</f>
        <v>46187</v>
      </c>
      <c r="C8300" s="122" t="str">
        <f>IFERROR(__xludf.DUMMYFUNCTION("""COMPUTED_VALUE"""),"HOTL")</f>
        <v>HOTL</v>
      </c>
      <c r="D8300" s="122" t="str">
        <f>IFERROR(__xludf.DUMMYFUNCTION("""COMPUTED_VALUE"""),"HotelHive")</f>
        <v>HotelHive</v>
      </c>
      <c r="E8300" s="122">
        <f>IFERROR(__xludf.DUMMYFUNCTION("""COMPUTED_VALUE"""),120.77)</f>
        <v>120.77</v>
      </c>
      <c r="F8300" s="122">
        <f>IFERROR(__xludf.DUMMYFUNCTION("""COMPUTED_VALUE"""),0.0089)</f>
        <v>0.0089</v>
      </c>
    </row>
    <row r="8301">
      <c r="A8301" s="131">
        <f>IFERROR(__xludf.DUMMYFUNCTION("""COMPUTED_VALUE"""),46187.633564814816)</f>
        <v>46187.63356</v>
      </c>
      <c r="B8301" s="126">
        <f>IFERROR(__xludf.DUMMYFUNCTION("""COMPUTED_VALUE"""),46187.0)</f>
        <v>46187</v>
      </c>
      <c r="C8301" s="122" t="str">
        <f>IFERROR(__xludf.DUMMYFUNCTION("""COMPUTED_VALUE"""),"LAND")</f>
        <v>LAND</v>
      </c>
      <c r="D8301" s="122" t="str">
        <f>IFERROR(__xludf.DUMMYFUNCTION("""COMPUTED_VALUE"""),"LandLink")</f>
        <v>LandLink</v>
      </c>
      <c r="E8301" s="122">
        <f>IFERROR(__xludf.DUMMYFUNCTION("""COMPUTED_VALUE"""),188.25)</f>
        <v>188.25</v>
      </c>
      <c r="F8301" s="122">
        <f>IFERROR(__xludf.DUMMYFUNCTION("""COMPUTED_VALUE"""),0.0035)</f>
        <v>0.0035</v>
      </c>
    </row>
    <row r="8302">
      <c r="A8302" s="131">
        <f>IFERROR(__xludf.DUMMYFUNCTION("""COMPUTED_VALUE"""),46187.633564814816)</f>
        <v>46187.63356</v>
      </c>
      <c r="B8302" s="126">
        <f>IFERROR(__xludf.DUMMYFUNCTION("""COMPUTED_VALUE"""),46187.0)</f>
        <v>46187</v>
      </c>
      <c r="C8302" s="122" t="str">
        <f>IFERROR(__xludf.DUMMYFUNCTION("""COMPUTED_VALUE"""),"CARS")</f>
        <v>CARS</v>
      </c>
      <c r="D8302" s="122" t="str">
        <f>IFERROR(__xludf.DUMMYFUNCTION("""COMPUTED_VALUE"""),"AutoArena")</f>
        <v>AutoArena</v>
      </c>
      <c r="E8302" s="122">
        <f>IFERROR(__xludf.DUMMYFUNCTION("""COMPUTED_VALUE"""),80.6)</f>
        <v>80.6</v>
      </c>
      <c r="F8302" s="122">
        <f>IFERROR(__xludf.DUMMYFUNCTION("""COMPUTED_VALUE"""),-0.0051)</f>
        <v>-0.0051</v>
      </c>
    </row>
    <row r="8303">
      <c r="A8303" s="131">
        <f>IFERROR(__xludf.DUMMYFUNCTION("""COMPUTED_VALUE"""),46187.633564814816)</f>
        <v>46187.63356</v>
      </c>
      <c r="B8303" s="126">
        <f>IFERROR(__xludf.DUMMYFUNCTION("""COMPUTED_VALUE"""),46187.0)</f>
        <v>46187</v>
      </c>
      <c r="C8303" s="122" t="str">
        <f>IFERROR(__xludf.DUMMYFUNCTION("""COMPUTED_VALUE"""),"EVGO")</f>
        <v>EVGO</v>
      </c>
      <c r="D8303" s="122" t="str">
        <f>IFERROR(__xludf.DUMMYFUNCTION("""COMPUTED_VALUE"""),"EVGo Motors")</f>
        <v>EVGo Motors</v>
      </c>
      <c r="E8303" s="122">
        <f>IFERROR(__xludf.DUMMYFUNCTION("""COMPUTED_VALUE"""),189.36)</f>
        <v>189.36</v>
      </c>
      <c r="F8303" s="122">
        <f>IFERROR(__xludf.DUMMYFUNCTION("""COMPUTED_VALUE"""),0.0119)</f>
        <v>0.0119</v>
      </c>
    </row>
    <row r="8304">
      <c r="A8304" s="131">
        <f>IFERROR(__xludf.DUMMYFUNCTION("""COMPUTED_VALUE"""),46187.633564814816)</f>
        <v>46187.63356</v>
      </c>
      <c r="B8304" s="126">
        <f>IFERROR(__xludf.DUMMYFUNCTION("""COMPUTED_VALUE"""),46187.0)</f>
        <v>46187</v>
      </c>
      <c r="C8304" s="122" t="str">
        <f>IFERROR(__xludf.DUMMYFUNCTION("""COMPUTED_VALUE"""),"TIRE")</f>
        <v>TIRE</v>
      </c>
      <c r="D8304" s="122" t="str">
        <f>IFERROR(__xludf.DUMMYFUNCTION("""COMPUTED_VALUE"""),"TireTown")</f>
        <v>TireTown</v>
      </c>
      <c r="E8304" s="122">
        <f>IFERROR(__xludf.DUMMYFUNCTION("""COMPUTED_VALUE"""),98.39)</f>
        <v>98.39</v>
      </c>
      <c r="F8304" s="122">
        <f>IFERROR(__xludf.DUMMYFUNCTION("""COMPUTED_VALUE"""),2.0E-4)</f>
        <v>0.0002</v>
      </c>
    </row>
    <row r="8305">
      <c r="A8305" s="131">
        <f>IFERROR(__xludf.DUMMYFUNCTION("""COMPUTED_VALUE"""),46187.633564814816)</f>
        <v>46187.63356</v>
      </c>
      <c r="B8305" s="126">
        <f>IFERROR(__xludf.DUMMYFUNCTION("""COMPUTED_VALUE"""),46187.0)</f>
        <v>46187</v>
      </c>
      <c r="C8305" s="122" t="str">
        <f>IFERROR(__xludf.DUMMYFUNCTION("""COMPUTED_VALUE"""),"BIKE")</f>
        <v>BIKE</v>
      </c>
      <c r="D8305" s="122" t="str">
        <f>IFERROR(__xludf.DUMMYFUNCTION("""COMPUTED_VALUE"""),"BikeBox")</f>
        <v>BikeBox</v>
      </c>
      <c r="E8305" s="122">
        <f>IFERROR(__xludf.DUMMYFUNCTION("""COMPUTED_VALUE"""),52.42)</f>
        <v>52.42</v>
      </c>
      <c r="F8305" s="122">
        <f>IFERROR(__xludf.DUMMYFUNCTION("""COMPUTED_VALUE"""),0.0029)</f>
        <v>0.0029</v>
      </c>
    </row>
    <row r="8306">
      <c r="A8306" s="131">
        <f>IFERROR(__xludf.DUMMYFUNCTION("""COMPUTED_VALUE"""),46187.633564814816)</f>
        <v>46187.63356</v>
      </c>
      <c r="B8306" s="126">
        <f>IFERROR(__xludf.DUMMYFUNCTION("""COMPUTED_VALUE"""),46187.0)</f>
        <v>46187</v>
      </c>
      <c r="C8306" s="122" t="str">
        <f>IFERROR(__xludf.DUMMYFUNCTION("""COMPUTED_VALUE"""),"WASH")</f>
        <v>WASH</v>
      </c>
      <c r="D8306" s="122" t="str">
        <f>IFERROR(__xludf.DUMMYFUNCTION("""COMPUTED_VALUE"""),"CarWash Co")</f>
        <v>CarWash Co</v>
      </c>
      <c r="E8306" s="122">
        <f>IFERROR(__xludf.DUMMYFUNCTION("""COMPUTED_VALUE"""),121.37)</f>
        <v>121.37</v>
      </c>
      <c r="F8306" s="122">
        <f>IFERROR(__xludf.DUMMYFUNCTION("""COMPUTED_VALUE"""),-8.0E-4)</f>
        <v>-0.0008</v>
      </c>
    </row>
    <row r="8307">
      <c r="A8307" s="131">
        <f>IFERROR(__xludf.DUMMYFUNCTION("""COMPUTED_VALUE"""),46187.633564814816)</f>
        <v>46187.63356</v>
      </c>
      <c r="B8307" s="126">
        <f>IFERROR(__xludf.DUMMYFUNCTION("""COMPUTED_VALUE"""),46187.0)</f>
        <v>46187</v>
      </c>
      <c r="C8307" s="122" t="str">
        <f>IFERROR(__xludf.DUMMYFUNCTION("""COMPUTED_VALUE"""),"GBND")</f>
        <v>GBND</v>
      </c>
      <c r="D8307" s="122" t="str">
        <f>IFERROR(__xludf.DUMMYFUNCTION("""COMPUTED_VALUE"""),"Classroom Government Bond")</f>
        <v>Classroom Government Bond</v>
      </c>
      <c r="E8307" s="122">
        <f>IFERROR(__xludf.DUMMYFUNCTION("""COMPUTED_VALUE"""),101.09)</f>
        <v>101.09</v>
      </c>
      <c r="F8307" s="122">
        <f>IFERROR(__xludf.DUMMYFUNCTION("""COMPUTED_VALUE"""),4.0E-4)</f>
        <v>0.0004</v>
      </c>
    </row>
    <row r="8308">
      <c r="A8308" s="131">
        <f>IFERROR(__xludf.DUMMYFUNCTION("""COMPUTED_VALUE"""),46187.633564814816)</f>
        <v>46187.63356</v>
      </c>
      <c r="B8308" s="126">
        <f>IFERROR(__xludf.DUMMYFUNCTION("""COMPUTED_VALUE"""),46187.0)</f>
        <v>46187</v>
      </c>
      <c r="C8308" s="122" t="str">
        <f>IFERROR(__xludf.DUMMYFUNCTION("""COMPUTED_VALUE"""),"SBND")</f>
        <v>SBND</v>
      </c>
      <c r="D8308" s="122" t="str">
        <f>IFERROR(__xludf.DUMMYFUNCTION("""COMPUTED_VALUE"""),"School Savings Bond")</f>
        <v>School Savings Bond</v>
      </c>
      <c r="E8308" s="122">
        <f>IFERROR(__xludf.DUMMYFUNCTION("""COMPUTED_VALUE"""),99.17)</f>
        <v>99.17</v>
      </c>
      <c r="F8308" s="122">
        <f>IFERROR(__xludf.DUMMYFUNCTION("""COMPUTED_VALUE"""),-1.0E-4)</f>
        <v>-0.0001</v>
      </c>
    </row>
    <row r="8309">
      <c r="A8309" s="131">
        <f>IFERROR(__xludf.DUMMYFUNCTION("""COMPUTED_VALUE"""),46187.633564814816)</f>
        <v>46187.63356</v>
      </c>
      <c r="B8309" s="126">
        <f>IFERROR(__xludf.DUMMYFUNCTION("""COMPUTED_VALUE"""),46187.0)</f>
        <v>46187</v>
      </c>
      <c r="C8309" s="122" t="str">
        <f>IFERROR(__xludf.DUMMYFUNCTION("""COMPUTED_VALUE"""),"CBND")</f>
        <v>CBND</v>
      </c>
      <c r="D8309" s="122" t="str">
        <f>IFERROR(__xludf.DUMMYFUNCTION("""COMPUTED_VALUE"""),"Corporate Classroom Bond")</f>
        <v>Corporate Classroom Bond</v>
      </c>
      <c r="E8309" s="122">
        <f>IFERROR(__xludf.DUMMYFUNCTION("""COMPUTED_VALUE"""),97.76)</f>
        <v>97.76</v>
      </c>
      <c r="F8309" s="122">
        <f>IFERROR(__xludf.DUMMYFUNCTION("""COMPUTED_VALUE"""),1.0E-4)</f>
        <v>0.0001</v>
      </c>
    </row>
    <row r="8310">
      <c r="A8310" s="131">
        <f>IFERROR(__xludf.DUMMYFUNCTION("""COMPUTED_VALUE"""),46187.633564814816)</f>
        <v>46187.63356</v>
      </c>
      <c r="B8310" s="126">
        <f>IFERROR(__xludf.DUMMYFUNCTION("""COMPUTED_VALUE"""),46187.0)</f>
        <v>46187</v>
      </c>
      <c r="C8310" s="122" t="str">
        <f>IFERROR(__xludf.DUMMYFUNCTION("""COMPUTED_VALUE"""),"TBIL")</f>
        <v>TBIL</v>
      </c>
      <c r="D8310" s="122" t="str">
        <f>IFERROR(__xludf.DUMMYFUNCTION("""COMPUTED_VALUE"""),"Treasury Bill")</f>
        <v>Treasury Bill</v>
      </c>
      <c r="E8310" s="122">
        <f>IFERROR(__xludf.DUMMYFUNCTION("""COMPUTED_VALUE"""),97.68)</f>
        <v>97.68</v>
      </c>
      <c r="F8310" s="122">
        <f>IFERROR(__xludf.DUMMYFUNCTION("""COMPUTED_VALUE"""),-1.0E-4)</f>
        <v>-0.0001</v>
      </c>
    </row>
    <row r="8311">
      <c r="A8311" s="131">
        <f>IFERROR(__xludf.DUMMYFUNCTION("""COMPUTED_VALUE"""),46187.633564814816)</f>
        <v>46187.63356</v>
      </c>
      <c r="B8311" s="126">
        <f>IFERROR(__xludf.DUMMYFUNCTION("""COMPUTED_VALUE"""),46187.0)</f>
        <v>46187</v>
      </c>
      <c r="C8311" s="122" t="str">
        <f>IFERROR(__xludf.DUMMYFUNCTION("""COMPUTED_VALUE"""),"IBND")</f>
        <v>IBND</v>
      </c>
      <c r="D8311" s="122" t="str">
        <f>IFERROR(__xludf.DUMMYFUNCTION("""COMPUTED_VALUE"""),"Inflation Protected Bond")</f>
        <v>Inflation Protected Bond</v>
      </c>
      <c r="E8311" s="122">
        <f>IFERROR(__xludf.DUMMYFUNCTION("""COMPUTED_VALUE"""),100.79)</f>
        <v>100.79</v>
      </c>
      <c r="F8311" s="122">
        <f>IFERROR(__xludf.DUMMYFUNCTION("""COMPUTED_VALUE"""),-4.0E-4)</f>
        <v>-0.0004</v>
      </c>
    </row>
    <row r="8312">
      <c r="A8312" s="131">
        <f>IFERROR(__xludf.DUMMYFUNCTION("""COMPUTED_VALUE"""),46187.63700231481)</f>
        <v>46187.637</v>
      </c>
      <c r="B8312" s="126">
        <f>IFERROR(__xludf.DUMMYFUNCTION("""COMPUTED_VALUE"""),46187.0)</f>
        <v>46187</v>
      </c>
      <c r="C8312" s="122" t="str">
        <f>IFERROR(__xludf.DUMMYFUNCTION("""COMPUTED_VALUE"""),"SNAX")</f>
        <v>SNAX</v>
      </c>
      <c r="D8312" s="122" t="str">
        <f>IFERROR(__xludf.DUMMYFUNCTION("""COMPUTED_VALUE"""),"MICA Snacks")</f>
        <v>MICA Snacks</v>
      </c>
      <c r="E8312" s="122">
        <f>IFERROR(__xludf.DUMMYFUNCTION("""COMPUTED_VALUE"""),122.74)</f>
        <v>122.74</v>
      </c>
      <c r="F8312" s="122">
        <f>IFERROR(__xludf.DUMMYFUNCTION("""COMPUTED_VALUE"""),-0.0044)</f>
        <v>-0.0044</v>
      </c>
    </row>
    <row r="8313">
      <c r="A8313" s="131">
        <f>IFERROR(__xludf.DUMMYFUNCTION("""COMPUTED_VALUE"""),46187.63700231481)</f>
        <v>46187.637</v>
      </c>
      <c r="B8313" s="126">
        <f>IFERROR(__xludf.DUMMYFUNCTION("""COMPUTED_VALUE"""),46187.0)</f>
        <v>46187</v>
      </c>
      <c r="C8313" s="122" t="str">
        <f>IFERROR(__xludf.DUMMYFUNCTION("""COMPUTED_VALUE"""),"RAMN")</f>
        <v>RAMN</v>
      </c>
      <c r="D8313" s="122" t="str">
        <f>IFERROR(__xludf.DUMMYFUNCTION("""COMPUTED_VALUE"""),"Ramen Republic")</f>
        <v>Ramen Republic</v>
      </c>
      <c r="E8313" s="122">
        <f>IFERROR(__xludf.DUMMYFUNCTION("""COMPUTED_VALUE"""),62.29)</f>
        <v>62.29</v>
      </c>
      <c r="F8313" s="122">
        <f>IFERROR(__xludf.DUMMYFUNCTION("""COMPUTED_VALUE"""),-0.0059)</f>
        <v>-0.0059</v>
      </c>
    </row>
    <row r="8314">
      <c r="A8314" s="131">
        <f>IFERROR(__xludf.DUMMYFUNCTION("""COMPUTED_VALUE"""),46187.63700231481)</f>
        <v>46187.637</v>
      </c>
      <c r="B8314" s="126">
        <f>IFERROR(__xludf.DUMMYFUNCTION("""COMPUTED_VALUE"""),46187.0)</f>
        <v>46187</v>
      </c>
      <c r="C8314" s="122" t="str">
        <f>IFERROR(__xludf.DUMMYFUNCTION("""COMPUTED_VALUE"""),"COLA")</f>
        <v>COLA</v>
      </c>
      <c r="D8314" s="122" t="str">
        <f>IFERROR(__xludf.DUMMYFUNCTION("""COMPUTED_VALUE"""),"K-Pop Cola")</f>
        <v>K-Pop Cola</v>
      </c>
      <c r="E8314" s="122">
        <f>IFERROR(__xludf.DUMMYFUNCTION("""COMPUTED_VALUE"""),113.79)</f>
        <v>113.79</v>
      </c>
      <c r="F8314" s="122">
        <f>IFERROR(__xludf.DUMMYFUNCTION("""COMPUTED_VALUE"""),0.0041)</f>
        <v>0.0041</v>
      </c>
    </row>
    <row r="8315">
      <c r="A8315" s="131">
        <f>IFERROR(__xludf.DUMMYFUNCTION("""COMPUTED_VALUE"""),46187.63700231481)</f>
        <v>46187.637</v>
      </c>
      <c r="B8315" s="126">
        <f>IFERROR(__xludf.DUMMYFUNCTION("""COMPUTED_VALUE"""),46187.0)</f>
        <v>46187</v>
      </c>
      <c r="C8315" s="122" t="str">
        <f>IFERROR(__xludf.DUMMYFUNCTION("""COMPUTED_VALUE"""),"CHIP")</f>
        <v>CHIP</v>
      </c>
      <c r="D8315" s="122" t="str">
        <f>IFERROR(__xludf.DUMMYFUNCTION("""COMPUTED_VALUE"""),"Chip Empire")</f>
        <v>Chip Empire</v>
      </c>
      <c r="E8315" s="122">
        <f>IFERROR(__xludf.DUMMYFUNCTION("""COMPUTED_VALUE"""),81.52)</f>
        <v>81.52</v>
      </c>
      <c r="F8315" s="122">
        <f>IFERROR(__xludf.DUMMYFUNCTION("""COMPUTED_VALUE"""),0.0049)</f>
        <v>0.0049</v>
      </c>
    </row>
    <row r="8316">
      <c r="A8316" s="131">
        <f>IFERROR(__xludf.DUMMYFUNCTION("""COMPUTED_VALUE"""),46187.63700231481)</f>
        <v>46187.637</v>
      </c>
      <c r="B8316" s="126">
        <f>IFERROR(__xludf.DUMMYFUNCTION("""COMPUTED_VALUE"""),46187.0)</f>
        <v>46187</v>
      </c>
      <c r="C8316" s="122" t="str">
        <f>IFERROR(__xludf.DUMMYFUNCTION("""COMPUTED_VALUE"""),"CAND")</f>
        <v>CAND</v>
      </c>
      <c r="D8316" s="122" t="str">
        <f>IFERROR(__xludf.DUMMYFUNCTION("""COMPUTED_VALUE"""),"Candy Capital")</f>
        <v>Candy Capital</v>
      </c>
      <c r="E8316" s="122">
        <f>IFERROR(__xludf.DUMMYFUNCTION("""COMPUTED_VALUE"""),77.65)</f>
        <v>77.65</v>
      </c>
      <c r="F8316" s="122">
        <f>IFERROR(__xludf.DUMMYFUNCTION("""COMPUTED_VALUE"""),-0.0054)</f>
        <v>-0.0054</v>
      </c>
    </row>
    <row r="8317">
      <c r="A8317" s="131">
        <f>IFERROR(__xludf.DUMMYFUNCTION("""COMPUTED_VALUE"""),46187.63700231481)</f>
        <v>46187.637</v>
      </c>
      <c r="B8317" s="126">
        <f>IFERROR(__xludf.DUMMYFUNCTION("""COMPUTED_VALUE"""),46187.0)</f>
        <v>46187</v>
      </c>
      <c r="C8317" s="122" t="str">
        <f>IFERROR(__xludf.DUMMYFUNCTION("""COMPUTED_VALUE"""),"TECH")</f>
        <v>TECH</v>
      </c>
      <c r="D8317" s="122" t="str">
        <f>IFERROR(__xludf.DUMMYFUNCTION("""COMPUTED_VALUE"""),"Dragon Tech")</f>
        <v>Dragon Tech</v>
      </c>
      <c r="E8317" s="122">
        <f>IFERROR(__xludf.DUMMYFUNCTION("""COMPUTED_VALUE"""),258.59)</f>
        <v>258.59</v>
      </c>
      <c r="F8317" s="122">
        <f>IFERROR(__xludf.DUMMYFUNCTION("""COMPUTED_VALUE"""),-0.001)</f>
        <v>-0.001</v>
      </c>
    </row>
    <row r="8318">
      <c r="A8318" s="131">
        <f>IFERROR(__xludf.DUMMYFUNCTION("""COMPUTED_VALUE"""),46187.63700231481)</f>
        <v>46187.637</v>
      </c>
      <c r="B8318" s="126">
        <f>IFERROR(__xludf.DUMMYFUNCTION("""COMPUTED_VALUE"""),46187.0)</f>
        <v>46187</v>
      </c>
      <c r="C8318" s="122" t="str">
        <f>IFERROR(__xludf.DUMMYFUNCTION("""COMPUTED_VALUE"""),"AIBO")</f>
        <v>AIBO</v>
      </c>
      <c r="D8318" s="122" t="str">
        <f>IFERROR(__xludf.DUMMYFUNCTION("""COMPUTED_VALUE"""),"Homework AI")</f>
        <v>Homework AI</v>
      </c>
      <c r="E8318" s="122">
        <f>IFERROR(__xludf.DUMMYFUNCTION("""COMPUTED_VALUE"""),192.19)</f>
        <v>192.19</v>
      </c>
      <c r="F8318" s="122">
        <f>IFERROR(__xludf.DUMMYFUNCTION("""COMPUTED_VALUE"""),-0.0029)</f>
        <v>-0.0029</v>
      </c>
    </row>
    <row r="8319">
      <c r="A8319" s="131">
        <f>IFERROR(__xludf.DUMMYFUNCTION("""COMPUTED_VALUE"""),46187.63700231481)</f>
        <v>46187.637</v>
      </c>
      <c r="B8319" s="126">
        <f>IFERROR(__xludf.DUMMYFUNCTION("""COMPUTED_VALUE"""),46187.0)</f>
        <v>46187</v>
      </c>
      <c r="C8319" s="122" t="str">
        <f>IFERROR(__xludf.DUMMYFUNCTION("""COMPUTED_VALUE"""),"GAME")</f>
        <v>GAME</v>
      </c>
      <c r="D8319" s="122" t="str">
        <f>IFERROR(__xludf.DUMMYFUNCTION("""COMPUTED_VALUE"""),"GameBox Media")</f>
        <v>GameBox Media</v>
      </c>
      <c r="E8319" s="122">
        <f>IFERROR(__xludf.DUMMYFUNCTION("""COMPUTED_VALUE"""),102.03)</f>
        <v>102.03</v>
      </c>
      <c r="F8319" s="122">
        <f>IFERROR(__xludf.DUMMYFUNCTION("""COMPUTED_VALUE"""),0.0074)</f>
        <v>0.0074</v>
      </c>
    </row>
    <row r="8320">
      <c r="A8320" s="131">
        <f>IFERROR(__xludf.DUMMYFUNCTION("""COMPUTED_VALUE"""),46187.63700231481)</f>
        <v>46187.637</v>
      </c>
      <c r="B8320" s="126">
        <f>IFERROR(__xludf.DUMMYFUNCTION("""COMPUTED_VALUE"""),46187.0)</f>
        <v>46187</v>
      </c>
      <c r="C8320" s="122" t="str">
        <f>IFERROR(__xludf.DUMMYFUNCTION("""COMPUTED_VALUE"""),"VRSE")</f>
        <v>VRSE</v>
      </c>
      <c r="D8320" s="122" t="str">
        <f>IFERROR(__xludf.DUMMYFUNCTION("""COMPUTED_VALUE"""),"VerseVR")</f>
        <v>VerseVR</v>
      </c>
      <c r="E8320" s="122">
        <f>IFERROR(__xludf.DUMMYFUNCTION("""COMPUTED_VALUE"""),148.38)</f>
        <v>148.38</v>
      </c>
      <c r="F8320" s="122">
        <f>IFERROR(__xludf.DUMMYFUNCTION("""COMPUTED_VALUE"""),0.0083)</f>
        <v>0.0083</v>
      </c>
    </row>
    <row r="8321">
      <c r="A8321" s="131">
        <f>IFERROR(__xludf.DUMMYFUNCTION("""COMPUTED_VALUE"""),46187.63700231481)</f>
        <v>46187.637</v>
      </c>
      <c r="B8321" s="126">
        <f>IFERROR(__xludf.DUMMYFUNCTION("""COMPUTED_VALUE"""),46187.0)</f>
        <v>46187</v>
      </c>
      <c r="C8321" s="122" t="str">
        <f>IFERROR(__xludf.DUMMYFUNCTION("""COMPUTED_VALUE"""),"BYTE")</f>
        <v>BYTE</v>
      </c>
      <c r="D8321" s="122" t="str">
        <f>IFERROR(__xludf.DUMMYFUNCTION("""COMPUTED_VALUE"""),"ByteWorks")</f>
        <v>ByteWorks</v>
      </c>
      <c r="E8321" s="122">
        <f>IFERROR(__xludf.DUMMYFUNCTION("""COMPUTED_VALUE"""),111.52)</f>
        <v>111.52</v>
      </c>
      <c r="F8321" s="122">
        <f>IFERROR(__xludf.DUMMYFUNCTION("""COMPUTED_VALUE"""),-0.008)</f>
        <v>-0.008</v>
      </c>
    </row>
    <row r="8322">
      <c r="A8322" s="131">
        <f>IFERROR(__xludf.DUMMYFUNCTION("""COMPUTED_VALUE"""),46187.63700231481)</f>
        <v>46187.637</v>
      </c>
      <c r="B8322" s="126">
        <f>IFERROR(__xludf.DUMMYFUNCTION("""COMPUTED_VALUE"""),46187.0)</f>
        <v>46187</v>
      </c>
      <c r="C8322" s="122" t="str">
        <f>IFERROR(__xludf.DUMMYFUNCTION("""COMPUTED_VALUE"""),"BANK")</f>
        <v>BANK</v>
      </c>
      <c r="D8322" s="122" t="str">
        <f>IFERROR(__xludf.DUMMYFUNCTION("""COMPUTED_VALUE"""),"Tiger Bank")</f>
        <v>Tiger Bank</v>
      </c>
      <c r="E8322" s="122">
        <f>IFERROR(__xludf.DUMMYFUNCTION("""COMPUTED_VALUE"""),131.84)</f>
        <v>131.84</v>
      </c>
      <c r="F8322" s="122">
        <f>IFERROR(__xludf.DUMMYFUNCTION("""COMPUTED_VALUE"""),-0.0026)</f>
        <v>-0.0026</v>
      </c>
    </row>
    <row r="8323">
      <c r="A8323" s="131">
        <f>IFERROR(__xludf.DUMMYFUNCTION("""COMPUTED_VALUE"""),46187.63700231481)</f>
        <v>46187.637</v>
      </c>
      <c r="B8323" s="126">
        <f>IFERROR(__xludf.DUMMYFUNCTION("""COMPUTED_VALUE"""),46187.0)</f>
        <v>46187</v>
      </c>
      <c r="C8323" s="122" t="str">
        <f>IFERROR(__xludf.DUMMYFUNCTION("""COMPUTED_VALUE"""),"CRED")</f>
        <v>CRED</v>
      </c>
      <c r="D8323" s="122" t="str">
        <f>IFERROR(__xludf.DUMMYFUNCTION("""COMPUTED_VALUE"""),"Credit Castle")</f>
        <v>Credit Castle</v>
      </c>
      <c r="E8323" s="122">
        <f>IFERROR(__xludf.DUMMYFUNCTION("""COMPUTED_VALUE"""),66.55)</f>
        <v>66.55</v>
      </c>
      <c r="F8323" s="122">
        <f>IFERROR(__xludf.DUMMYFUNCTION("""COMPUTED_VALUE"""),-9.0E-4)</f>
        <v>-0.0009</v>
      </c>
    </row>
    <row r="8324">
      <c r="A8324" s="131">
        <f>IFERROR(__xludf.DUMMYFUNCTION("""COMPUTED_VALUE"""),46187.63700231481)</f>
        <v>46187.637</v>
      </c>
      <c r="B8324" s="126">
        <f>IFERROR(__xludf.DUMMYFUNCTION("""COMPUTED_VALUE"""),46187.0)</f>
        <v>46187</v>
      </c>
      <c r="C8324" s="122" t="str">
        <f>IFERROR(__xludf.DUMMYFUNCTION("""COMPUTED_VALUE"""),"BOND")</f>
        <v>BOND</v>
      </c>
      <c r="D8324" s="122" t="str">
        <f>IFERROR(__xludf.DUMMYFUNCTION("""COMPUTED_VALUE"""),"BondBridge")</f>
        <v>BondBridge</v>
      </c>
      <c r="E8324" s="122">
        <f>IFERROR(__xludf.DUMMYFUNCTION("""COMPUTED_VALUE"""),105.57)</f>
        <v>105.57</v>
      </c>
      <c r="F8324" s="122">
        <f>IFERROR(__xludf.DUMMYFUNCTION("""COMPUTED_VALUE"""),0.0025)</f>
        <v>0.0025</v>
      </c>
    </row>
    <row r="8325">
      <c r="A8325" s="131">
        <f>IFERROR(__xludf.DUMMYFUNCTION("""COMPUTED_VALUE"""),46187.63700231481)</f>
        <v>46187.637</v>
      </c>
      <c r="B8325" s="126">
        <f>IFERROR(__xludf.DUMMYFUNCTION("""COMPUTED_VALUE"""),46187.0)</f>
        <v>46187</v>
      </c>
      <c r="C8325" s="122" t="str">
        <f>IFERROR(__xludf.DUMMYFUNCTION("""COMPUTED_VALUE"""),"INSR")</f>
        <v>INSR</v>
      </c>
      <c r="D8325" s="122" t="str">
        <f>IFERROR(__xludf.DUMMYFUNCTION("""COMPUTED_VALUE"""),"Shield Insurance")</f>
        <v>Shield Insurance</v>
      </c>
      <c r="E8325" s="122">
        <f>IFERROR(__xludf.DUMMYFUNCTION("""COMPUTED_VALUE"""),156.86)</f>
        <v>156.86</v>
      </c>
      <c r="F8325" s="122">
        <f>IFERROR(__xludf.DUMMYFUNCTION("""COMPUTED_VALUE"""),-0.0015)</f>
        <v>-0.0015</v>
      </c>
    </row>
    <row r="8326">
      <c r="A8326" s="131">
        <f>IFERROR(__xludf.DUMMYFUNCTION("""COMPUTED_VALUE"""),46187.63700231481)</f>
        <v>46187.637</v>
      </c>
      <c r="B8326" s="126">
        <f>IFERROR(__xludf.DUMMYFUNCTION("""COMPUTED_VALUE"""),46187.0)</f>
        <v>46187</v>
      </c>
      <c r="C8326" s="122" t="str">
        <f>IFERROR(__xludf.DUMMYFUNCTION("""COMPUTED_VALUE"""),"LOAN")</f>
        <v>LOAN</v>
      </c>
      <c r="D8326" s="122" t="str">
        <f>IFERROR(__xludf.DUMMYFUNCTION("""COMPUTED_VALUE"""),"LoanLab")</f>
        <v>LoanLab</v>
      </c>
      <c r="E8326" s="122">
        <f>IFERROR(__xludf.DUMMYFUNCTION("""COMPUTED_VALUE"""),71.57)</f>
        <v>71.57</v>
      </c>
      <c r="F8326" s="122">
        <f>IFERROR(__xludf.DUMMYFUNCTION("""COMPUTED_VALUE"""),0.0042)</f>
        <v>0.0042</v>
      </c>
    </row>
    <row r="8327">
      <c r="A8327" s="131">
        <f>IFERROR(__xludf.DUMMYFUNCTION("""COMPUTED_VALUE"""),46187.63700231481)</f>
        <v>46187.637</v>
      </c>
      <c r="B8327" s="126">
        <f>IFERROR(__xludf.DUMMYFUNCTION("""COMPUTED_VALUE"""),46187.0)</f>
        <v>46187</v>
      </c>
      <c r="C8327" s="122" t="str">
        <f>IFERROR(__xludf.DUMMYFUNCTION("""COMPUTED_VALUE"""),"LUXE")</f>
        <v>LUXE</v>
      </c>
      <c r="D8327" s="122" t="str">
        <f>IFERROR(__xludf.DUMMYFUNCTION("""COMPUTED_VALUE"""),"Luxury Locker")</f>
        <v>Luxury Locker</v>
      </c>
      <c r="E8327" s="122">
        <f>IFERROR(__xludf.DUMMYFUNCTION("""COMPUTED_VALUE"""),267.15)</f>
        <v>267.15</v>
      </c>
      <c r="F8327" s="122">
        <f>IFERROR(__xludf.DUMMYFUNCTION("""COMPUTED_VALUE"""),2.0E-4)</f>
        <v>0.0002</v>
      </c>
    </row>
    <row r="8328">
      <c r="A8328" s="131">
        <f>IFERROR(__xludf.DUMMYFUNCTION("""COMPUTED_VALUE"""),46187.63700231481)</f>
        <v>46187.637</v>
      </c>
      <c r="B8328" s="126">
        <f>IFERROR(__xludf.DUMMYFUNCTION("""COMPUTED_VALUE"""),46187.0)</f>
        <v>46187</v>
      </c>
      <c r="C8328" s="122" t="str">
        <f>IFERROR(__xludf.DUMMYFUNCTION("""COMPUTED_VALUE"""),"DRIP")</f>
        <v>DRIP</v>
      </c>
      <c r="D8328" s="122" t="str">
        <f>IFERROR(__xludf.DUMMYFUNCTION("""COMPUTED_VALUE"""),"Drip Streetwear")</f>
        <v>Drip Streetwear</v>
      </c>
      <c r="E8328" s="122">
        <f>IFERROR(__xludf.DUMMYFUNCTION("""COMPUTED_VALUE"""),189.92)</f>
        <v>189.92</v>
      </c>
      <c r="F8328" s="122">
        <f>IFERROR(__xludf.DUMMYFUNCTION("""COMPUTED_VALUE"""),0.0059)</f>
        <v>0.0059</v>
      </c>
    </row>
    <row r="8329">
      <c r="A8329" s="131">
        <f>IFERROR(__xludf.DUMMYFUNCTION("""COMPUTED_VALUE"""),46187.63700231481)</f>
        <v>46187.637</v>
      </c>
      <c r="B8329" s="126">
        <f>IFERROR(__xludf.DUMMYFUNCTION("""COMPUTED_VALUE"""),46187.0)</f>
        <v>46187</v>
      </c>
      <c r="C8329" s="122" t="str">
        <f>IFERROR(__xludf.DUMMYFUNCTION("""COMPUTED_VALUE"""),"KICK")</f>
        <v>KICK</v>
      </c>
      <c r="D8329" s="122" t="str">
        <f>IFERROR(__xludf.DUMMYFUNCTION("""COMPUTED_VALUE"""),"KickDrop Sneakers")</f>
        <v>KickDrop Sneakers</v>
      </c>
      <c r="E8329" s="122">
        <f>IFERROR(__xludf.DUMMYFUNCTION("""COMPUTED_VALUE"""),167.26)</f>
        <v>167.26</v>
      </c>
      <c r="F8329" s="122">
        <f>IFERROR(__xludf.DUMMYFUNCTION("""COMPUTED_VALUE"""),0.0096)</f>
        <v>0.0096</v>
      </c>
    </row>
    <row r="8330">
      <c r="A8330" s="131">
        <f>IFERROR(__xludf.DUMMYFUNCTION("""COMPUTED_VALUE"""),46187.63700231481)</f>
        <v>46187.637</v>
      </c>
      <c r="B8330" s="126">
        <f>IFERROR(__xludf.DUMMYFUNCTION("""COMPUTED_VALUE"""),46187.0)</f>
        <v>46187</v>
      </c>
      <c r="C8330" s="122" t="str">
        <f>IFERROR(__xludf.DUMMYFUNCTION("""COMPUTED_VALUE"""),"GLAM")</f>
        <v>GLAM</v>
      </c>
      <c r="D8330" s="122" t="str">
        <f>IFERROR(__xludf.DUMMYFUNCTION("""COMPUTED_VALUE"""),"Glow Cosmetics")</f>
        <v>Glow Cosmetics</v>
      </c>
      <c r="E8330" s="122">
        <f>IFERROR(__xludf.DUMMYFUNCTION("""COMPUTED_VALUE"""),110.25)</f>
        <v>110.25</v>
      </c>
      <c r="F8330" s="122">
        <f>IFERROR(__xludf.DUMMYFUNCTION("""COMPUTED_VALUE"""),-0.003)</f>
        <v>-0.003</v>
      </c>
    </row>
    <row r="8331">
      <c r="A8331" s="131">
        <f>IFERROR(__xludf.DUMMYFUNCTION("""COMPUTED_VALUE"""),46187.63700231481)</f>
        <v>46187.637</v>
      </c>
      <c r="B8331" s="126">
        <f>IFERROR(__xludf.DUMMYFUNCTION("""COMPUTED_VALUE"""),46187.0)</f>
        <v>46187</v>
      </c>
      <c r="C8331" s="122" t="str">
        <f>IFERROR(__xludf.DUMMYFUNCTION("""COMPUTED_VALUE"""),"BAGG")</f>
        <v>BAGG</v>
      </c>
      <c r="D8331" s="122" t="str">
        <f>IFERROR(__xludf.DUMMYFUNCTION("""COMPUTED_VALUE"""),"BagVault")</f>
        <v>BagVault</v>
      </c>
      <c r="E8331" s="122">
        <f>IFERROR(__xludf.DUMMYFUNCTION("""COMPUTED_VALUE"""),276.6)</f>
        <v>276.6</v>
      </c>
      <c r="F8331" s="122">
        <f>IFERROR(__xludf.DUMMYFUNCTION("""COMPUTED_VALUE"""),-0.0015)</f>
        <v>-0.0015</v>
      </c>
    </row>
    <row r="8332">
      <c r="A8332" s="131">
        <f>IFERROR(__xludf.DUMMYFUNCTION("""COMPUTED_VALUE"""),46187.63700231481)</f>
        <v>46187.637</v>
      </c>
      <c r="B8332" s="126">
        <f>IFERROR(__xludf.DUMMYFUNCTION("""COMPUTED_VALUE"""),46187.0)</f>
        <v>46187</v>
      </c>
      <c r="C8332" s="122" t="str">
        <f>IFERROR(__xludf.DUMMYFUNCTION("""COMPUTED_VALUE"""),"FAST")</f>
        <v>FAST</v>
      </c>
      <c r="D8332" s="122" t="str">
        <f>IFERROR(__xludf.DUMMYFUNCTION("""COMPUTED_VALUE"""),"Flash Logistics")</f>
        <v>Flash Logistics</v>
      </c>
      <c r="E8332" s="122">
        <f>IFERROR(__xludf.DUMMYFUNCTION("""COMPUTED_VALUE"""),107.48)</f>
        <v>107.48</v>
      </c>
      <c r="F8332" s="122">
        <f>IFERROR(__xludf.DUMMYFUNCTION("""COMPUTED_VALUE"""),-0.0034)</f>
        <v>-0.0034</v>
      </c>
    </row>
    <row r="8333">
      <c r="A8333" s="131">
        <f>IFERROR(__xludf.DUMMYFUNCTION("""COMPUTED_VALUE"""),46187.63700231481)</f>
        <v>46187.637</v>
      </c>
      <c r="B8333" s="126">
        <f>IFERROR(__xludf.DUMMYFUNCTION("""COMPUTED_VALUE"""),46187.0)</f>
        <v>46187</v>
      </c>
      <c r="C8333" s="122" t="str">
        <f>IFERROR(__xludf.DUMMYFUNCTION("""COMPUTED_VALUE"""),"SHIP")</f>
        <v>SHIP</v>
      </c>
      <c r="D8333" s="122" t="str">
        <f>IFERROR(__xludf.DUMMYFUNCTION("""COMPUTED_VALUE"""),"Seoul Shipping")</f>
        <v>Seoul Shipping</v>
      </c>
      <c r="E8333" s="122">
        <f>IFERROR(__xludf.DUMMYFUNCTION("""COMPUTED_VALUE"""),130.67)</f>
        <v>130.67</v>
      </c>
      <c r="F8333" s="122">
        <f>IFERROR(__xludf.DUMMYFUNCTION("""COMPUTED_VALUE"""),-0.0062)</f>
        <v>-0.0062</v>
      </c>
    </row>
    <row r="8334">
      <c r="A8334" s="131">
        <f>IFERROR(__xludf.DUMMYFUNCTION("""COMPUTED_VALUE"""),46187.63700231481)</f>
        <v>46187.637</v>
      </c>
      <c r="B8334" s="126">
        <f>IFERROR(__xludf.DUMMYFUNCTION("""COMPUTED_VALUE"""),46187.0)</f>
        <v>46187</v>
      </c>
      <c r="C8334" s="122" t="str">
        <f>IFERROR(__xludf.DUMMYFUNCTION("""COMPUTED_VALUE"""),"DRON")</f>
        <v>DRON</v>
      </c>
      <c r="D8334" s="122" t="str">
        <f>IFERROR(__xludf.DUMMYFUNCTION("""COMPUTED_VALUE"""),"DroneDrop")</f>
        <v>DroneDrop</v>
      </c>
      <c r="E8334" s="122">
        <f>IFERROR(__xludf.DUMMYFUNCTION("""COMPUTED_VALUE"""),122.83)</f>
        <v>122.83</v>
      </c>
      <c r="F8334" s="122">
        <f>IFERROR(__xludf.DUMMYFUNCTION("""COMPUTED_VALUE"""),0.007)</f>
        <v>0.007</v>
      </c>
    </row>
    <row r="8335">
      <c r="A8335" s="131">
        <f>IFERROR(__xludf.DUMMYFUNCTION("""COMPUTED_VALUE"""),46187.63700231481)</f>
        <v>46187.637</v>
      </c>
      <c r="B8335" s="126">
        <f>IFERROR(__xludf.DUMMYFUNCTION("""COMPUTED_VALUE"""),46187.0)</f>
        <v>46187</v>
      </c>
      <c r="C8335" s="122" t="str">
        <f>IFERROR(__xludf.DUMMYFUNCTION("""COMPUTED_VALUE"""),"RIDE")</f>
        <v>RIDE</v>
      </c>
      <c r="D8335" s="122" t="str">
        <f>IFERROR(__xludf.DUMMYFUNCTION("""COMPUTED_VALUE"""),"QuickRide")</f>
        <v>QuickRide</v>
      </c>
      <c r="E8335" s="122">
        <f>IFERROR(__xludf.DUMMYFUNCTION("""COMPUTED_VALUE"""),102.71)</f>
        <v>102.71</v>
      </c>
      <c r="F8335" s="122">
        <f>IFERROR(__xludf.DUMMYFUNCTION("""COMPUTED_VALUE"""),9.0E-4)</f>
        <v>0.0009</v>
      </c>
    </row>
    <row r="8336">
      <c r="A8336" s="131">
        <f>IFERROR(__xludf.DUMMYFUNCTION("""COMPUTED_VALUE"""),46187.63700231481)</f>
        <v>46187.637</v>
      </c>
      <c r="B8336" s="126">
        <f>IFERROR(__xludf.DUMMYFUNCTION("""COMPUTED_VALUE"""),46187.0)</f>
        <v>46187</v>
      </c>
      <c r="C8336" s="122" t="str">
        <f>IFERROR(__xludf.DUMMYFUNCTION("""COMPUTED_VALUE"""),"RAIL")</f>
        <v>RAIL</v>
      </c>
      <c r="D8336" s="122" t="str">
        <f>IFERROR(__xludf.DUMMYFUNCTION("""COMPUTED_VALUE"""),"MetroRail Corp")</f>
        <v>MetroRail Corp</v>
      </c>
      <c r="E8336" s="122">
        <f>IFERROR(__xludf.DUMMYFUNCTION("""COMPUTED_VALUE"""),131.28)</f>
        <v>131.28</v>
      </c>
      <c r="F8336" s="122">
        <f>IFERROR(__xludf.DUMMYFUNCTION("""COMPUTED_VALUE"""),-0.0014)</f>
        <v>-0.0014</v>
      </c>
    </row>
    <row r="8337">
      <c r="A8337" s="131">
        <f>IFERROR(__xludf.DUMMYFUNCTION("""COMPUTED_VALUE"""),46187.63700231481)</f>
        <v>46187.637</v>
      </c>
      <c r="B8337" s="126">
        <f>IFERROR(__xludf.DUMMYFUNCTION("""COMPUTED_VALUE"""),46187.0)</f>
        <v>46187</v>
      </c>
      <c r="C8337" s="122" t="str">
        <f>IFERROR(__xludf.DUMMYFUNCTION("""COMPUTED_VALUE"""),"MEDX")</f>
        <v>MEDX</v>
      </c>
      <c r="D8337" s="122" t="str">
        <f>IFERROR(__xludf.DUMMYFUNCTION("""COMPUTED_VALUE"""),"MediCore")</f>
        <v>MediCore</v>
      </c>
      <c r="E8337" s="122">
        <f>IFERROR(__xludf.DUMMYFUNCTION("""COMPUTED_VALUE"""),138.84)</f>
        <v>138.84</v>
      </c>
      <c r="F8337" s="122">
        <f>IFERROR(__xludf.DUMMYFUNCTION("""COMPUTED_VALUE"""),0.0025)</f>
        <v>0.0025</v>
      </c>
    </row>
    <row r="8338">
      <c r="A8338" s="131">
        <f>IFERROR(__xludf.DUMMYFUNCTION("""COMPUTED_VALUE"""),46187.63700231481)</f>
        <v>46187.637</v>
      </c>
      <c r="B8338" s="126">
        <f>IFERROR(__xludf.DUMMYFUNCTION("""COMPUTED_VALUE"""),46187.0)</f>
        <v>46187</v>
      </c>
      <c r="C8338" s="122" t="str">
        <f>IFERROR(__xludf.DUMMYFUNCTION("""COMPUTED_VALUE"""),"GYMX")</f>
        <v>GYMX</v>
      </c>
      <c r="D8338" s="122" t="str">
        <f>IFERROR(__xludf.DUMMYFUNCTION("""COMPUTED_VALUE"""),"GymX Fitness")</f>
        <v>GymX Fitness</v>
      </c>
      <c r="E8338" s="122">
        <f>IFERROR(__xludf.DUMMYFUNCTION("""COMPUTED_VALUE"""),82.19)</f>
        <v>82.19</v>
      </c>
      <c r="F8338" s="122">
        <f>IFERROR(__xludf.DUMMYFUNCTION("""COMPUTED_VALUE"""),-0.0041)</f>
        <v>-0.0041</v>
      </c>
    </row>
    <row r="8339">
      <c r="A8339" s="131">
        <f>IFERROR(__xludf.DUMMYFUNCTION("""COMPUTED_VALUE"""),46187.63700231481)</f>
        <v>46187.637</v>
      </c>
      <c r="B8339" s="126">
        <f>IFERROR(__xludf.DUMMYFUNCTION("""COMPUTED_VALUE"""),46187.0)</f>
        <v>46187</v>
      </c>
      <c r="C8339" s="122" t="str">
        <f>IFERROR(__xludf.DUMMYFUNCTION("""COMPUTED_VALUE"""),"VITA")</f>
        <v>VITA</v>
      </c>
      <c r="D8339" s="122" t="str">
        <f>IFERROR(__xludf.DUMMYFUNCTION("""COMPUTED_VALUE"""),"VitaPlus")</f>
        <v>VitaPlus</v>
      </c>
      <c r="E8339" s="122">
        <f>IFERROR(__xludf.DUMMYFUNCTION("""COMPUTED_VALUE"""),72.51)</f>
        <v>72.51</v>
      </c>
      <c r="F8339" s="122">
        <f>IFERROR(__xludf.DUMMYFUNCTION("""COMPUTED_VALUE"""),0.0037)</f>
        <v>0.0037</v>
      </c>
    </row>
    <row r="8340">
      <c r="A8340" s="131">
        <f>IFERROR(__xludf.DUMMYFUNCTION("""COMPUTED_VALUE"""),46187.63700231481)</f>
        <v>46187.637</v>
      </c>
      <c r="B8340" s="126">
        <f>IFERROR(__xludf.DUMMYFUNCTION("""COMPUTED_VALUE"""),46187.0)</f>
        <v>46187</v>
      </c>
      <c r="C8340" s="122" t="str">
        <f>IFERROR(__xludf.DUMMYFUNCTION("""COMPUTED_VALUE"""),"CARE")</f>
        <v>CARE</v>
      </c>
      <c r="D8340" s="122" t="str">
        <f>IFERROR(__xludf.DUMMYFUNCTION("""COMPUTED_VALUE"""),"CareCloud")</f>
        <v>CareCloud</v>
      </c>
      <c r="E8340" s="122">
        <f>IFERROR(__xludf.DUMMYFUNCTION("""COMPUTED_VALUE"""),185.47)</f>
        <v>185.47</v>
      </c>
      <c r="F8340" s="122">
        <f>IFERROR(__xludf.DUMMYFUNCTION("""COMPUTED_VALUE"""),0.0059)</f>
        <v>0.0059</v>
      </c>
    </row>
    <row r="8341">
      <c r="A8341" s="131">
        <f>IFERROR(__xludf.DUMMYFUNCTION("""COMPUTED_VALUE"""),46187.63700231481)</f>
        <v>46187.637</v>
      </c>
      <c r="B8341" s="126">
        <f>IFERROR(__xludf.DUMMYFUNCTION("""COMPUTED_VALUE"""),46187.0)</f>
        <v>46187</v>
      </c>
      <c r="C8341" s="122" t="str">
        <f>IFERROR(__xludf.DUMMYFUNCTION("""COMPUTED_VALUE"""),"DENT")</f>
        <v>DENT</v>
      </c>
      <c r="D8341" s="122" t="str">
        <f>IFERROR(__xludf.DUMMYFUNCTION("""COMPUTED_VALUE"""),"SmileWorks")</f>
        <v>SmileWorks</v>
      </c>
      <c r="E8341" s="122">
        <f>IFERROR(__xludf.DUMMYFUNCTION("""COMPUTED_VALUE"""),97.59)</f>
        <v>97.59</v>
      </c>
      <c r="F8341" s="122">
        <f>IFERROR(__xludf.DUMMYFUNCTION("""COMPUTED_VALUE"""),0.0055)</f>
        <v>0.0055</v>
      </c>
    </row>
    <row r="8342">
      <c r="A8342" s="131">
        <f>IFERROR(__xludf.DUMMYFUNCTION("""COMPUTED_VALUE"""),46187.63700231481)</f>
        <v>46187.637</v>
      </c>
      <c r="B8342" s="126">
        <f>IFERROR(__xludf.DUMMYFUNCTION("""COMPUTED_VALUE"""),46187.0)</f>
        <v>46187</v>
      </c>
      <c r="C8342" s="122" t="str">
        <f>IFERROR(__xludf.DUMMYFUNCTION("""COMPUTED_VALUE"""),"EDUX")</f>
        <v>EDUX</v>
      </c>
      <c r="D8342" s="122" t="str">
        <f>IFERROR(__xludf.DUMMYFUNCTION("""COMPUTED_VALUE"""),"EduMax Learning")</f>
        <v>EduMax Learning</v>
      </c>
      <c r="E8342" s="122">
        <f>IFERROR(__xludf.DUMMYFUNCTION("""COMPUTED_VALUE"""),151.13)</f>
        <v>151.13</v>
      </c>
      <c r="F8342" s="122">
        <f>IFERROR(__xludf.DUMMYFUNCTION("""COMPUTED_VALUE"""),0.0025)</f>
        <v>0.0025</v>
      </c>
    </row>
    <row r="8343">
      <c r="A8343" s="131">
        <f>IFERROR(__xludf.DUMMYFUNCTION("""COMPUTED_VALUE"""),46187.63700231481)</f>
        <v>46187.637</v>
      </c>
      <c r="B8343" s="126">
        <f>IFERROR(__xludf.DUMMYFUNCTION("""COMPUTED_VALUE"""),46187.0)</f>
        <v>46187</v>
      </c>
      <c r="C8343" s="122" t="str">
        <f>IFERROR(__xludf.DUMMYFUNCTION("""COMPUTED_VALUE"""),"BOOK")</f>
        <v>BOOK</v>
      </c>
      <c r="D8343" s="122" t="str">
        <f>IFERROR(__xludf.DUMMYFUNCTION("""COMPUTED_VALUE"""),"BookBridge")</f>
        <v>BookBridge</v>
      </c>
      <c r="E8343" s="122">
        <f>IFERROR(__xludf.DUMMYFUNCTION("""COMPUTED_VALUE"""),120.4)</f>
        <v>120.4</v>
      </c>
      <c r="F8343" s="122">
        <f>IFERROR(__xludf.DUMMYFUNCTION("""COMPUTED_VALUE"""),-2.0E-4)</f>
        <v>-0.0002</v>
      </c>
    </row>
    <row r="8344">
      <c r="A8344" s="131">
        <f>IFERROR(__xludf.DUMMYFUNCTION("""COMPUTED_VALUE"""),46187.63700231481)</f>
        <v>46187.637</v>
      </c>
      <c r="B8344" s="126">
        <f>IFERROR(__xludf.DUMMYFUNCTION("""COMPUTED_VALUE"""),46187.0)</f>
        <v>46187</v>
      </c>
      <c r="C8344" s="122" t="str">
        <f>IFERROR(__xludf.DUMMYFUNCTION("""COMPUTED_VALUE"""),"TUTR")</f>
        <v>TUTR</v>
      </c>
      <c r="D8344" s="122" t="str">
        <f>IFERROR(__xludf.DUMMYFUNCTION("""COMPUTED_VALUE"""),"TutorTown")</f>
        <v>TutorTown</v>
      </c>
      <c r="E8344" s="122">
        <f>IFERROR(__xludf.DUMMYFUNCTION("""COMPUTED_VALUE"""),90.83)</f>
        <v>90.83</v>
      </c>
      <c r="F8344" s="122">
        <f>IFERROR(__xludf.DUMMYFUNCTION("""COMPUTED_VALUE"""),-0.0061)</f>
        <v>-0.0061</v>
      </c>
    </row>
    <row r="8345">
      <c r="A8345" s="131">
        <f>IFERROR(__xludf.DUMMYFUNCTION("""COMPUTED_VALUE"""),46187.63700231481)</f>
        <v>46187.637</v>
      </c>
      <c r="B8345" s="126">
        <f>IFERROR(__xludf.DUMMYFUNCTION("""COMPUTED_VALUE"""),46187.0)</f>
        <v>46187</v>
      </c>
      <c r="C8345" s="122" t="str">
        <f>IFERROR(__xludf.DUMMYFUNCTION("""COMPUTED_VALUE"""),"LANG")</f>
        <v>LANG</v>
      </c>
      <c r="D8345" s="122" t="str">
        <f>IFERROR(__xludf.DUMMYFUNCTION("""COMPUTED_VALUE"""),"LinguaLab")</f>
        <v>LinguaLab</v>
      </c>
      <c r="E8345" s="122">
        <f>IFERROR(__xludf.DUMMYFUNCTION("""COMPUTED_VALUE"""),103.08)</f>
        <v>103.08</v>
      </c>
      <c r="F8345" s="122">
        <f>IFERROR(__xludf.DUMMYFUNCTION("""COMPUTED_VALUE"""),-0.0016)</f>
        <v>-0.0016</v>
      </c>
    </row>
    <row r="8346">
      <c r="A8346" s="131">
        <f>IFERROR(__xludf.DUMMYFUNCTION("""COMPUTED_VALUE"""),46187.63700231481)</f>
        <v>46187.637</v>
      </c>
      <c r="B8346" s="126">
        <f>IFERROR(__xludf.DUMMYFUNCTION("""COMPUTED_VALUE"""),46187.0)</f>
        <v>46187</v>
      </c>
      <c r="C8346" s="122" t="str">
        <f>IFERROR(__xludf.DUMMYFUNCTION("""COMPUTED_VALUE"""),"TEST")</f>
        <v>TEST</v>
      </c>
      <c r="D8346" s="122" t="str">
        <f>IFERROR(__xludf.DUMMYFUNCTION("""COMPUTED_VALUE"""),"TestPrep Pro")</f>
        <v>TestPrep Pro</v>
      </c>
      <c r="E8346" s="122">
        <f>IFERROR(__xludf.DUMMYFUNCTION("""COMPUTED_VALUE"""),90.2)</f>
        <v>90.2</v>
      </c>
      <c r="F8346" s="122">
        <f>IFERROR(__xludf.DUMMYFUNCTION("""COMPUTED_VALUE"""),-0.0019)</f>
        <v>-0.0019</v>
      </c>
    </row>
    <row r="8347">
      <c r="A8347" s="131">
        <f>IFERROR(__xludf.DUMMYFUNCTION("""COMPUTED_VALUE"""),46187.63700231481)</f>
        <v>46187.637</v>
      </c>
      <c r="B8347" s="126">
        <f>IFERROR(__xludf.DUMMYFUNCTION("""COMPUTED_VALUE"""),46187.0)</f>
        <v>46187</v>
      </c>
      <c r="C8347" s="122" t="str">
        <f>IFERROR(__xludf.DUMMYFUNCTION("""COMPUTED_VALUE"""),"MOVI")</f>
        <v>MOVI</v>
      </c>
      <c r="D8347" s="122" t="str">
        <f>IFERROR(__xludf.DUMMYFUNCTION("""COMPUTED_VALUE"""),"MovieBox")</f>
        <v>MovieBox</v>
      </c>
      <c r="E8347" s="122">
        <f>IFERROR(__xludf.DUMMYFUNCTION("""COMPUTED_VALUE"""),83.01)</f>
        <v>83.01</v>
      </c>
      <c r="F8347" s="122">
        <f>IFERROR(__xludf.DUMMYFUNCTION("""COMPUTED_VALUE"""),-0.0072)</f>
        <v>-0.0072</v>
      </c>
    </row>
    <row r="8348">
      <c r="A8348" s="131">
        <f>IFERROR(__xludf.DUMMYFUNCTION("""COMPUTED_VALUE"""),46187.63700231481)</f>
        <v>46187.637</v>
      </c>
      <c r="B8348" s="126">
        <f>IFERROR(__xludf.DUMMYFUNCTION("""COMPUTED_VALUE"""),46187.0)</f>
        <v>46187</v>
      </c>
      <c r="C8348" s="122" t="str">
        <f>IFERROR(__xludf.DUMMYFUNCTION("""COMPUTED_VALUE"""),"MUSC")</f>
        <v>MUSC</v>
      </c>
      <c r="D8348" s="122" t="str">
        <f>IFERROR(__xludf.DUMMYFUNCTION("""COMPUTED_VALUE"""),"MusicWave")</f>
        <v>MusicWave</v>
      </c>
      <c r="E8348" s="122">
        <f>IFERROR(__xludf.DUMMYFUNCTION("""COMPUTED_VALUE"""),103.77)</f>
        <v>103.77</v>
      </c>
      <c r="F8348" s="122">
        <f>IFERROR(__xludf.DUMMYFUNCTION("""COMPUTED_VALUE"""),0.0024)</f>
        <v>0.0024</v>
      </c>
    </row>
    <row r="8349">
      <c r="A8349" s="131">
        <f>IFERROR(__xludf.DUMMYFUNCTION("""COMPUTED_VALUE"""),46187.63700231481)</f>
        <v>46187.637</v>
      </c>
      <c r="B8349" s="126">
        <f>IFERROR(__xludf.DUMMYFUNCTION("""COMPUTED_VALUE"""),46187.0)</f>
        <v>46187</v>
      </c>
      <c r="C8349" s="122" t="str">
        <f>IFERROR(__xludf.DUMMYFUNCTION("""COMPUTED_VALUE"""),"IDOL")</f>
        <v>IDOL</v>
      </c>
      <c r="D8349" s="122" t="str">
        <f>IFERROR(__xludf.DUMMYFUNCTION("""COMPUTED_VALUE"""),"Idol Agency")</f>
        <v>Idol Agency</v>
      </c>
      <c r="E8349" s="122">
        <f>IFERROR(__xludf.DUMMYFUNCTION("""COMPUTED_VALUE"""),186.03)</f>
        <v>186.03</v>
      </c>
      <c r="F8349" s="122">
        <f>IFERROR(__xludf.DUMMYFUNCTION("""COMPUTED_VALUE"""),-0.0127)</f>
        <v>-0.0127</v>
      </c>
    </row>
    <row r="8350">
      <c r="A8350" s="131">
        <f>IFERROR(__xludf.DUMMYFUNCTION("""COMPUTED_VALUE"""),46187.63700231481)</f>
        <v>46187.637</v>
      </c>
      <c r="B8350" s="126">
        <f>IFERROR(__xludf.DUMMYFUNCTION("""COMPUTED_VALUE"""),46187.0)</f>
        <v>46187</v>
      </c>
      <c r="C8350" s="122" t="str">
        <f>IFERROR(__xludf.DUMMYFUNCTION("""COMPUTED_VALUE"""),"MEME")</f>
        <v>MEME</v>
      </c>
      <c r="D8350" s="122" t="str">
        <f>IFERROR(__xludf.DUMMYFUNCTION("""COMPUTED_VALUE"""),"Meme Media")</f>
        <v>Meme Media</v>
      </c>
      <c r="E8350" s="122">
        <f>IFERROR(__xludf.DUMMYFUNCTION("""COMPUTED_VALUE"""),70.94)</f>
        <v>70.94</v>
      </c>
      <c r="F8350" s="122">
        <f>IFERROR(__xludf.DUMMYFUNCTION("""COMPUTED_VALUE"""),-0.0074)</f>
        <v>-0.0074</v>
      </c>
    </row>
    <row r="8351">
      <c r="A8351" s="131">
        <f>IFERROR(__xludf.DUMMYFUNCTION("""COMPUTED_VALUE"""),46187.63700231481)</f>
        <v>46187.637</v>
      </c>
      <c r="B8351" s="126">
        <f>IFERROR(__xludf.DUMMYFUNCTION("""COMPUTED_VALUE"""),46187.0)</f>
        <v>46187</v>
      </c>
      <c r="C8351" s="122" t="str">
        <f>IFERROR(__xludf.DUMMYFUNCTION("""COMPUTED_VALUE"""),"STRM")</f>
        <v>STRM</v>
      </c>
      <c r="D8351" s="122" t="str">
        <f>IFERROR(__xludf.DUMMYFUNCTION("""COMPUTED_VALUE"""),"Streamly")</f>
        <v>Streamly</v>
      </c>
      <c r="E8351" s="122">
        <f>IFERROR(__xludf.DUMMYFUNCTION("""COMPUTED_VALUE"""),133.0)</f>
        <v>133</v>
      </c>
      <c r="F8351" s="122">
        <f>IFERROR(__xludf.DUMMYFUNCTION("""COMPUTED_VALUE"""),-0.0043)</f>
        <v>-0.0043</v>
      </c>
    </row>
    <row r="8352">
      <c r="A8352" s="131">
        <f>IFERROR(__xludf.DUMMYFUNCTION("""COMPUTED_VALUE"""),46187.63700231481)</f>
        <v>46187.637</v>
      </c>
      <c r="B8352" s="126">
        <f>IFERROR(__xludf.DUMMYFUNCTION("""COMPUTED_VALUE"""),46187.0)</f>
        <v>46187</v>
      </c>
      <c r="C8352" s="122" t="str">
        <f>IFERROR(__xludf.DUMMYFUNCTION("""COMPUTED_VALUE"""),"FARM")</f>
        <v>FARM</v>
      </c>
      <c r="D8352" s="122" t="str">
        <f>IFERROR(__xludf.DUMMYFUNCTION("""COMPUTED_VALUE"""),"Future Farms")</f>
        <v>Future Farms</v>
      </c>
      <c r="E8352" s="122">
        <f>IFERROR(__xludf.DUMMYFUNCTION("""COMPUTED_VALUE"""),98.86)</f>
        <v>98.86</v>
      </c>
      <c r="F8352" s="122">
        <f>IFERROR(__xludf.DUMMYFUNCTION("""COMPUTED_VALUE"""),0.0028)</f>
        <v>0.0028</v>
      </c>
    </row>
    <row r="8353">
      <c r="A8353" s="131">
        <f>IFERROR(__xludf.DUMMYFUNCTION("""COMPUTED_VALUE"""),46187.63700231481)</f>
        <v>46187.637</v>
      </c>
      <c r="B8353" s="126">
        <f>IFERROR(__xludf.DUMMYFUNCTION("""COMPUTED_VALUE"""),46187.0)</f>
        <v>46187</v>
      </c>
      <c r="C8353" s="122" t="str">
        <f>IFERROR(__xludf.DUMMYFUNCTION("""COMPUTED_VALUE"""),"MEAT")</f>
        <v>MEAT</v>
      </c>
      <c r="D8353" s="122" t="str">
        <f>IFERROR(__xludf.DUMMYFUNCTION("""COMPUTED_VALUE"""),"MeatWorks")</f>
        <v>MeatWorks</v>
      </c>
      <c r="E8353" s="122">
        <f>IFERROR(__xludf.DUMMYFUNCTION("""COMPUTED_VALUE"""),104.06)</f>
        <v>104.06</v>
      </c>
      <c r="F8353" s="122">
        <f>IFERROR(__xludf.DUMMYFUNCTION("""COMPUTED_VALUE"""),-0.0026)</f>
        <v>-0.0026</v>
      </c>
    </row>
    <row r="8354">
      <c r="A8354" s="131">
        <f>IFERROR(__xludf.DUMMYFUNCTION("""COMPUTED_VALUE"""),46187.63700231481)</f>
        <v>46187.637</v>
      </c>
      <c r="B8354" s="126">
        <f>IFERROR(__xludf.DUMMYFUNCTION("""COMPUTED_VALUE"""),46187.0)</f>
        <v>46187</v>
      </c>
      <c r="C8354" s="122" t="str">
        <f>IFERROR(__xludf.DUMMYFUNCTION("""COMPUTED_VALUE"""),"VEGI")</f>
        <v>VEGI</v>
      </c>
      <c r="D8354" s="122" t="str">
        <f>IFERROR(__xludf.DUMMYFUNCTION("""COMPUTED_VALUE"""),"Green Basket")</f>
        <v>Green Basket</v>
      </c>
      <c r="E8354" s="122">
        <f>IFERROR(__xludf.DUMMYFUNCTION("""COMPUTED_VALUE"""),76.78)</f>
        <v>76.78</v>
      </c>
      <c r="F8354" s="122">
        <f>IFERROR(__xludf.DUMMYFUNCTION("""COMPUTED_VALUE"""),-3.0E-4)</f>
        <v>-0.0003</v>
      </c>
    </row>
    <row r="8355">
      <c r="A8355" s="131">
        <f>IFERROR(__xludf.DUMMYFUNCTION("""COMPUTED_VALUE"""),46187.63700231481)</f>
        <v>46187.637</v>
      </c>
      <c r="B8355" s="126">
        <f>IFERROR(__xludf.DUMMYFUNCTION("""COMPUTED_VALUE"""),46187.0)</f>
        <v>46187</v>
      </c>
      <c r="C8355" s="122" t="str">
        <f>IFERROR(__xludf.DUMMYFUNCTION("""COMPUTED_VALUE"""),"CAFE")</f>
        <v>CAFE</v>
      </c>
      <c r="D8355" s="122" t="str">
        <f>IFERROR(__xludf.DUMMYFUNCTION("""COMPUTED_VALUE"""),"Cafe Cloud")</f>
        <v>Cafe Cloud</v>
      </c>
      <c r="E8355" s="122">
        <f>IFERROR(__xludf.DUMMYFUNCTION("""COMPUTED_VALUE"""),102.5)</f>
        <v>102.5</v>
      </c>
      <c r="F8355" s="122">
        <f>IFERROR(__xludf.DUMMYFUNCTION("""COMPUTED_VALUE"""),-0.0085)</f>
        <v>-0.0085</v>
      </c>
    </row>
    <row r="8356">
      <c r="A8356" s="131">
        <f>IFERROR(__xludf.DUMMYFUNCTION("""COMPUTED_VALUE"""),46187.63700231481)</f>
        <v>46187.637</v>
      </c>
      <c r="B8356" s="126">
        <f>IFERROR(__xludf.DUMMYFUNCTION("""COMPUTED_VALUE"""),46187.0)</f>
        <v>46187</v>
      </c>
      <c r="C8356" s="122" t="str">
        <f>IFERROR(__xludf.DUMMYFUNCTION("""COMPUTED_VALUE"""),"BAKE")</f>
        <v>BAKE</v>
      </c>
      <c r="D8356" s="122" t="str">
        <f>IFERROR(__xludf.DUMMYFUNCTION("""COMPUTED_VALUE"""),"BakeHouse")</f>
        <v>BakeHouse</v>
      </c>
      <c r="E8356" s="122">
        <f>IFERROR(__xludf.DUMMYFUNCTION("""COMPUTED_VALUE"""),100.18)</f>
        <v>100.18</v>
      </c>
      <c r="F8356" s="122">
        <f>IFERROR(__xludf.DUMMYFUNCTION("""COMPUTED_VALUE"""),-0.0031)</f>
        <v>-0.0031</v>
      </c>
    </row>
    <row r="8357">
      <c r="A8357" s="131">
        <f>IFERROR(__xludf.DUMMYFUNCTION("""COMPUTED_VALUE"""),46187.63700231481)</f>
        <v>46187.637</v>
      </c>
      <c r="B8357" s="126">
        <f>IFERROR(__xludf.DUMMYFUNCTION("""COMPUTED_VALUE"""),46187.0)</f>
        <v>46187</v>
      </c>
      <c r="C8357" s="122" t="str">
        <f>IFERROR(__xludf.DUMMYFUNCTION("""COMPUTED_VALUE"""),"OILX")</f>
        <v>OILX</v>
      </c>
      <c r="D8357" s="122" t="str">
        <f>IFERROR(__xludf.DUMMYFUNCTION("""COMPUTED_VALUE"""),"OilMax Energy")</f>
        <v>OilMax Energy</v>
      </c>
      <c r="E8357" s="122">
        <f>IFERROR(__xludf.DUMMYFUNCTION("""COMPUTED_VALUE"""),136.45)</f>
        <v>136.45</v>
      </c>
      <c r="F8357" s="122">
        <f>IFERROR(__xludf.DUMMYFUNCTION("""COMPUTED_VALUE"""),0.0048)</f>
        <v>0.0048</v>
      </c>
    </row>
    <row r="8358">
      <c r="A8358" s="131">
        <f>IFERROR(__xludf.DUMMYFUNCTION("""COMPUTED_VALUE"""),46187.63700231481)</f>
        <v>46187.637</v>
      </c>
      <c r="B8358" s="126">
        <f>IFERROR(__xludf.DUMMYFUNCTION("""COMPUTED_VALUE"""),46187.0)</f>
        <v>46187</v>
      </c>
      <c r="C8358" s="122" t="str">
        <f>IFERROR(__xludf.DUMMYFUNCTION("""COMPUTED_VALUE"""),"SOLR")</f>
        <v>SOLR</v>
      </c>
      <c r="D8358" s="122" t="str">
        <f>IFERROR(__xludf.DUMMYFUNCTION("""COMPUTED_VALUE"""),"SolarSpark")</f>
        <v>SolarSpark</v>
      </c>
      <c r="E8358" s="122">
        <f>IFERROR(__xludf.DUMMYFUNCTION("""COMPUTED_VALUE"""),109.82)</f>
        <v>109.82</v>
      </c>
      <c r="F8358" s="122">
        <f>IFERROR(__xludf.DUMMYFUNCTION("""COMPUTED_VALUE"""),-0.0011)</f>
        <v>-0.0011</v>
      </c>
    </row>
    <row r="8359">
      <c r="A8359" s="131">
        <f>IFERROR(__xludf.DUMMYFUNCTION("""COMPUTED_VALUE"""),46187.63700231481)</f>
        <v>46187.637</v>
      </c>
      <c r="B8359" s="126">
        <f>IFERROR(__xludf.DUMMYFUNCTION("""COMPUTED_VALUE"""),46187.0)</f>
        <v>46187</v>
      </c>
      <c r="C8359" s="122" t="str">
        <f>IFERROR(__xludf.DUMMYFUNCTION("""COMPUTED_VALUE"""),"BATT")</f>
        <v>BATT</v>
      </c>
      <c r="D8359" s="122" t="str">
        <f>IFERROR(__xludf.DUMMYFUNCTION("""COMPUTED_VALUE"""),"BatteryBox")</f>
        <v>BatteryBox</v>
      </c>
      <c r="E8359" s="122">
        <f>IFERROR(__xludf.DUMMYFUNCTION("""COMPUTED_VALUE"""),121.73)</f>
        <v>121.73</v>
      </c>
      <c r="F8359" s="122">
        <f>IFERROR(__xludf.DUMMYFUNCTION("""COMPUTED_VALUE"""),-0.0053)</f>
        <v>-0.0053</v>
      </c>
    </row>
    <row r="8360">
      <c r="A8360" s="131">
        <f>IFERROR(__xludf.DUMMYFUNCTION("""COMPUTED_VALUE"""),46187.63700231481)</f>
        <v>46187.637</v>
      </c>
      <c r="B8360" s="126">
        <f>IFERROR(__xludf.DUMMYFUNCTION("""COMPUTED_VALUE"""),46187.0)</f>
        <v>46187</v>
      </c>
      <c r="C8360" s="122" t="str">
        <f>IFERROR(__xludf.DUMMYFUNCTION("""COMPUTED_VALUE"""),"WIND")</f>
        <v>WIND</v>
      </c>
      <c r="D8360" s="122" t="str">
        <f>IFERROR(__xludf.DUMMYFUNCTION("""COMPUTED_VALUE"""),"WindWorks")</f>
        <v>WindWorks</v>
      </c>
      <c r="E8360" s="122">
        <f>IFERROR(__xludf.DUMMYFUNCTION("""COMPUTED_VALUE"""),85.71)</f>
        <v>85.71</v>
      </c>
      <c r="F8360" s="122">
        <f>IFERROR(__xludf.DUMMYFUNCTION("""COMPUTED_VALUE"""),0.0056)</f>
        <v>0.0056</v>
      </c>
    </row>
    <row r="8361">
      <c r="A8361" s="131">
        <f>IFERROR(__xludf.DUMMYFUNCTION("""COMPUTED_VALUE"""),46187.63700231481)</f>
        <v>46187.637</v>
      </c>
      <c r="B8361" s="126">
        <f>IFERROR(__xludf.DUMMYFUNCTION("""COMPUTED_VALUE"""),46187.0)</f>
        <v>46187</v>
      </c>
      <c r="C8361" s="122" t="str">
        <f>IFERROR(__xludf.DUMMYFUNCTION("""COMPUTED_VALUE"""),"GRID")</f>
        <v>GRID</v>
      </c>
      <c r="D8361" s="122" t="str">
        <f>IFERROR(__xludf.DUMMYFUNCTION("""COMPUTED_VALUE"""),"GridPower")</f>
        <v>GridPower</v>
      </c>
      <c r="E8361" s="122">
        <f>IFERROR(__xludf.DUMMYFUNCTION("""COMPUTED_VALUE"""),127.07)</f>
        <v>127.07</v>
      </c>
      <c r="F8361" s="122">
        <f>IFERROR(__xludf.DUMMYFUNCTION("""COMPUTED_VALUE"""),-0.0056)</f>
        <v>-0.0056</v>
      </c>
    </row>
    <row r="8362">
      <c r="A8362" s="131">
        <f>IFERROR(__xludf.DUMMYFUNCTION("""COMPUTED_VALUE"""),46187.63700231481)</f>
        <v>46187.637</v>
      </c>
      <c r="B8362" s="126">
        <f>IFERROR(__xludf.DUMMYFUNCTION("""COMPUTED_VALUE"""),46187.0)</f>
        <v>46187</v>
      </c>
      <c r="C8362" s="122" t="str">
        <f>IFERROR(__xludf.DUMMYFUNCTION("""COMPUTED_VALUE"""),"HOME")</f>
        <v>HOME</v>
      </c>
      <c r="D8362" s="122" t="str">
        <f>IFERROR(__xludf.DUMMYFUNCTION("""COMPUTED_VALUE"""),"HomeHub")</f>
        <v>HomeHub</v>
      </c>
      <c r="E8362" s="122">
        <f>IFERROR(__xludf.DUMMYFUNCTION("""COMPUTED_VALUE"""),160.45)</f>
        <v>160.45</v>
      </c>
      <c r="F8362" s="122">
        <f>IFERROR(__xludf.DUMMYFUNCTION("""COMPUTED_VALUE"""),0.0042)</f>
        <v>0.0042</v>
      </c>
    </row>
    <row r="8363">
      <c r="A8363" s="131">
        <f>IFERROR(__xludf.DUMMYFUNCTION("""COMPUTED_VALUE"""),46187.63700231481)</f>
        <v>46187.637</v>
      </c>
      <c r="B8363" s="126">
        <f>IFERROR(__xludf.DUMMYFUNCTION("""COMPUTED_VALUE"""),46187.0)</f>
        <v>46187</v>
      </c>
      <c r="C8363" s="122" t="str">
        <f>IFERROR(__xludf.DUMMYFUNCTION("""COMPUTED_VALUE"""),"RENT")</f>
        <v>RENT</v>
      </c>
      <c r="D8363" s="122" t="str">
        <f>IFERROR(__xludf.DUMMYFUNCTION("""COMPUTED_VALUE"""),"RentRight")</f>
        <v>RentRight</v>
      </c>
      <c r="E8363" s="122">
        <f>IFERROR(__xludf.DUMMYFUNCTION("""COMPUTED_VALUE"""),90.81)</f>
        <v>90.81</v>
      </c>
      <c r="F8363" s="122">
        <f>IFERROR(__xludf.DUMMYFUNCTION("""COMPUTED_VALUE"""),0.0034)</f>
        <v>0.0034</v>
      </c>
    </row>
    <row r="8364">
      <c r="A8364" s="131">
        <f>IFERROR(__xludf.DUMMYFUNCTION("""COMPUTED_VALUE"""),46187.63700231481)</f>
        <v>46187.637</v>
      </c>
      <c r="B8364" s="126">
        <f>IFERROR(__xludf.DUMMYFUNCTION("""COMPUTED_VALUE"""),46187.0)</f>
        <v>46187</v>
      </c>
      <c r="C8364" s="122" t="str">
        <f>IFERROR(__xludf.DUMMYFUNCTION("""COMPUTED_VALUE"""),"MALL")</f>
        <v>MALL</v>
      </c>
      <c r="D8364" s="122" t="str">
        <f>IFERROR(__xludf.DUMMYFUNCTION("""COMPUTED_VALUE"""),"MegaMall")</f>
        <v>MegaMall</v>
      </c>
      <c r="E8364" s="122">
        <f>IFERROR(__xludf.DUMMYFUNCTION("""COMPUTED_VALUE"""),101.74)</f>
        <v>101.74</v>
      </c>
      <c r="F8364" s="122">
        <f>IFERROR(__xludf.DUMMYFUNCTION("""COMPUTED_VALUE"""),-0.0028)</f>
        <v>-0.0028</v>
      </c>
    </row>
    <row r="8365">
      <c r="A8365" s="131">
        <f>IFERROR(__xludf.DUMMYFUNCTION("""COMPUTED_VALUE"""),46187.63700231481)</f>
        <v>46187.637</v>
      </c>
      <c r="B8365" s="126">
        <f>IFERROR(__xludf.DUMMYFUNCTION("""COMPUTED_VALUE"""),46187.0)</f>
        <v>46187</v>
      </c>
      <c r="C8365" s="122" t="str">
        <f>IFERROR(__xludf.DUMMYFUNCTION("""COMPUTED_VALUE"""),"HOTL")</f>
        <v>HOTL</v>
      </c>
      <c r="D8365" s="122" t="str">
        <f>IFERROR(__xludf.DUMMYFUNCTION("""COMPUTED_VALUE"""),"HotelHive")</f>
        <v>HotelHive</v>
      </c>
      <c r="E8365" s="122">
        <f>IFERROR(__xludf.DUMMYFUNCTION("""COMPUTED_VALUE"""),120.69)</f>
        <v>120.69</v>
      </c>
      <c r="F8365" s="122">
        <f>IFERROR(__xludf.DUMMYFUNCTION("""COMPUTED_VALUE"""),-7.0E-4)</f>
        <v>-0.0007</v>
      </c>
    </row>
    <row r="8366">
      <c r="A8366" s="131">
        <f>IFERROR(__xludf.DUMMYFUNCTION("""COMPUTED_VALUE"""),46187.63700231481)</f>
        <v>46187.637</v>
      </c>
      <c r="B8366" s="126">
        <f>IFERROR(__xludf.DUMMYFUNCTION("""COMPUTED_VALUE"""),46187.0)</f>
        <v>46187</v>
      </c>
      <c r="C8366" s="122" t="str">
        <f>IFERROR(__xludf.DUMMYFUNCTION("""COMPUTED_VALUE"""),"LAND")</f>
        <v>LAND</v>
      </c>
      <c r="D8366" s="122" t="str">
        <f>IFERROR(__xludf.DUMMYFUNCTION("""COMPUTED_VALUE"""),"LandLink")</f>
        <v>LandLink</v>
      </c>
      <c r="E8366" s="122">
        <f>IFERROR(__xludf.DUMMYFUNCTION("""COMPUTED_VALUE"""),187.98)</f>
        <v>187.98</v>
      </c>
      <c r="F8366" s="122">
        <f>IFERROR(__xludf.DUMMYFUNCTION("""COMPUTED_VALUE"""),-0.0014)</f>
        <v>-0.0014</v>
      </c>
    </row>
    <row r="8367">
      <c r="A8367" s="131">
        <f>IFERROR(__xludf.DUMMYFUNCTION("""COMPUTED_VALUE"""),46187.63700231481)</f>
        <v>46187.637</v>
      </c>
      <c r="B8367" s="126">
        <f>IFERROR(__xludf.DUMMYFUNCTION("""COMPUTED_VALUE"""),46187.0)</f>
        <v>46187</v>
      </c>
      <c r="C8367" s="122" t="str">
        <f>IFERROR(__xludf.DUMMYFUNCTION("""COMPUTED_VALUE"""),"CARS")</f>
        <v>CARS</v>
      </c>
      <c r="D8367" s="122" t="str">
        <f>IFERROR(__xludf.DUMMYFUNCTION("""COMPUTED_VALUE"""),"AutoArena")</f>
        <v>AutoArena</v>
      </c>
      <c r="E8367" s="122">
        <f>IFERROR(__xludf.DUMMYFUNCTION("""COMPUTED_VALUE"""),81.47)</f>
        <v>81.47</v>
      </c>
      <c r="F8367" s="122">
        <f>IFERROR(__xludf.DUMMYFUNCTION("""COMPUTED_VALUE"""),0.0108)</f>
        <v>0.0108</v>
      </c>
    </row>
    <row r="8368">
      <c r="A8368" s="131">
        <f>IFERROR(__xludf.DUMMYFUNCTION("""COMPUTED_VALUE"""),46187.63700231481)</f>
        <v>46187.637</v>
      </c>
      <c r="B8368" s="126">
        <f>IFERROR(__xludf.DUMMYFUNCTION("""COMPUTED_VALUE"""),46187.0)</f>
        <v>46187</v>
      </c>
      <c r="C8368" s="122" t="str">
        <f>IFERROR(__xludf.DUMMYFUNCTION("""COMPUTED_VALUE"""),"EVGO")</f>
        <v>EVGO</v>
      </c>
      <c r="D8368" s="122" t="str">
        <f>IFERROR(__xludf.DUMMYFUNCTION("""COMPUTED_VALUE"""),"EVGo Motors")</f>
        <v>EVGo Motors</v>
      </c>
      <c r="E8368" s="122">
        <f>IFERROR(__xludf.DUMMYFUNCTION("""COMPUTED_VALUE"""),191.19)</f>
        <v>191.19</v>
      </c>
      <c r="F8368" s="122">
        <f>IFERROR(__xludf.DUMMYFUNCTION("""COMPUTED_VALUE"""),0.0097)</f>
        <v>0.0097</v>
      </c>
    </row>
    <row r="8369">
      <c r="A8369" s="131">
        <f>IFERROR(__xludf.DUMMYFUNCTION("""COMPUTED_VALUE"""),46187.63700231481)</f>
        <v>46187.637</v>
      </c>
      <c r="B8369" s="126">
        <f>IFERROR(__xludf.DUMMYFUNCTION("""COMPUTED_VALUE"""),46187.0)</f>
        <v>46187</v>
      </c>
      <c r="C8369" s="122" t="str">
        <f>IFERROR(__xludf.DUMMYFUNCTION("""COMPUTED_VALUE"""),"TIRE")</f>
        <v>TIRE</v>
      </c>
      <c r="D8369" s="122" t="str">
        <f>IFERROR(__xludf.DUMMYFUNCTION("""COMPUTED_VALUE"""),"TireTown")</f>
        <v>TireTown</v>
      </c>
      <c r="E8369" s="122">
        <f>IFERROR(__xludf.DUMMYFUNCTION("""COMPUTED_VALUE"""),98.48)</f>
        <v>98.48</v>
      </c>
      <c r="F8369" s="122">
        <f>IFERROR(__xludf.DUMMYFUNCTION("""COMPUTED_VALUE"""),9.0E-4)</f>
        <v>0.0009</v>
      </c>
    </row>
    <row r="8370">
      <c r="A8370" s="131">
        <f>IFERROR(__xludf.DUMMYFUNCTION("""COMPUTED_VALUE"""),46187.63700231481)</f>
        <v>46187.637</v>
      </c>
      <c r="B8370" s="126">
        <f>IFERROR(__xludf.DUMMYFUNCTION("""COMPUTED_VALUE"""),46187.0)</f>
        <v>46187</v>
      </c>
      <c r="C8370" s="122" t="str">
        <f>IFERROR(__xludf.DUMMYFUNCTION("""COMPUTED_VALUE"""),"BIKE")</f>
        <v>BIKE</v>
      </c>
      <c r="D8370" s="122" t="str">
        <f>IFERROR(__xludf.DUMMYFUNCTION("""COMPUTED_VALUE"""),"BikeBox")</f>
        <v>BikeBox</v>
      </c>
      <c r="E8370" s="122">
        <f>IFERROR(__xludf.DUMMYFUNCTION("""COMPUTED_VALUE"""),52.52)</f>
        <v>52.52</v>
      </c>
      <c r="F8370" s="122">
        <f>IFERROR(__xludf.DUMMYFUNCTION("""COMPUTED_VALUE"""),0.0019)</f>
        <v>0.0019</v>
      </c>
    </row>
    <row r="8371">
      <c r="A8371" s="131">
        <f>IFERROR(__xludf.DUMMYFUNCTION("""COMPUTED_VALUE"""),46187.63700231481)</f>
        <v>46187.637</v>
      </c>
      <c r="B8371" s="126">
        <f>IFERROR(__xludf.DUMMYFUNCTION("""COMPUTED_VALUE"""),46187.0)</f>
        <v>46187</v>
      </c>
      <c r="C8371" s="122" t="str">
        <f>IFERROR(__xludf.DUMMYFUNCTION("""COMPUTED_VALUE"""),"WASH")</f>
        <v>WASH</v>
      </c>
      <c r="D8371" s="122" t="str">
        <f>IFERROR(__xludf.DUMMYFUNCTION("""COMPUTED_VALUE"""),"CarWash Co")</f>
        <v>CarWash Co</v>
      </c>
      <c r="E8371" s="122">
        <f>IFERROR(__xludf.DUMMYFUNCTION("""COMPUTED_VALUE"""),121.55)</f>
        <v>121.55</v>
      </c>
      <c r="F8371" s="122">
        <f>IFERROR(__xludf.DUMMYFUNCTION("""COMPUTED_VALUE"""),0.0015)</f>
        <v>0.0015</v>
      </c>
    </row>
    <row r="8372">
      <c r="A8372" s="131">
        <f>IFERROR(__xludf.DUMMYFUNCTION("""COMPUTED_VALUE"""),46187.63700231481)</f>
        <v>46187.637</v>
      </c>
      <c r="B8372" s="126">
        <f>IFERROR(__xludf.DUMMYFUNCTION("""COMPUTED_VALUE"""),46187.0)</f>
        <v>46187</v>
      </c>
      <c r="C8372" s="122" t="str">
        <f>IFERROR(__xludf.DUMMYFUNCTION("""COMPUTED_VALUE"""),"GBND")</f>
        <v>GBND</v>
      </c>
      <c r="D8372" s="122" t="str">
        <f>IFERROR(__xludf.DUMMYFUNCTION("""COMPUTED_VALUE"""),"Classroom Government Bond")</f>
        <v>Classroom Government Bond</v>
      </c>
      <c r="E8372" s="122">
        <f>IFERROR(__xludf.DUMMYFUNCTION("""COMPUTED_VALUE"""),101.08)</f>
        <v>101.08</v>
      </c>
      <c r="F8372" s="122">
        <f>IFERROR(__xludf.DUMMYFUNCTION("""COMPUTED_VALUE"""),-1.0E-4)</f>
        <v>-0.0001</v>
      </c>
    </row>
    <row r="8373">
      <c r="A8373" s="131">
        <f>IFERROR(__xludf.DUMMYFUNCTION("""COMPUTED_VALUE"""),46187.63700231481)</f>
        <v>46187.637</v>
      </c>
      <c r="B8373" s="126">
        <f>IFERROR(__xludf.DUMMYFUNCTION("""COMPUTED_VALUE"""),46187.0)</f>
        <v>46187</v>
      </c>
      <c r="C8373" s="122" t="str">
        <f>IFERROR(__xludf.DUMMYFUNCTION("""COMPUTED_VALUE"""),"SBND")</f>
        <v>SBND</v>
      </c>
      <c r="D8373" s="122" t="str">
        <f>IFERROR(__xludf.DUMMYFUNCTION("""COMPUTED_VALUE"""),"School Savings Bond")</f>
        <v>School Savings Bond</v>
      </c>
      <c r="E8373" s="122">
        <f>IFERROR(__xludf.DUMMYFUNCTION("""COMPUTED_VALUE"""),99.17)</f>
        <v>99.17</v>
      </c>
      <c r="F8373" s="122">
        <f>IFERROR(__xludf.DUMMYFUNCTION("""COMPUTED_VALUE"""),0.0)</f>
        <v>0</v>
      </c>
    </row>
    <row r="8374">
      <c r="A8374" s="131">
        <f>IFERROR(__xludf.DUMMYFUNCTION("""COMPUTED_VALUE"""),46187.63700231481)</f>
        <v>46187.637</v>
      </c>
      <c r="B8374" s="126">
        <f>IFERROR(__xludf.DUMMYFUNCTION("""COMPUTED_VALUE"""),46187.0)</f>
        <v>46187</v>
      </c>
      <c r="C8374" s="122" t="str">
        <f>IFERROR(__xludf.DUMMYFUNCTION("""COMPUTED_VALUE"""),"CBND")</f>
        <v>CBND</v>
      </c>
      <c r="D8374" s="122" t="str">
        <f>IFERROR(__xludf.DUMMYFUNCTION("""COMPUTED_VALUE"""),"Corporate Classroom Bond")</f>
        <v>Corporate Classroom Bond</v>
      </c>
      <c r="E8374" s="122">
        <f>IFERROR(__xludf.DUMMYFUNCTION("""COMPUTED_VALUE"""),97.73)</f>
        <v>97.73</v>
      </c>
      <c r="F8374" s="122">
        <f>IFERROR(__xludf.DUMMYFUNCTION("""COMPUTED_VALUE"""),-3.0E-4)</f>
        <v>-0.0003</v>
      </c>
    </row>
    <row r="8375">
      <c r="A8375" s="131">
        <f>IFERROR(__xludf.DUMMYFUNCTION("""COMPUTED_VALUE"""),46187.63700231481)</f>
        <v>46187.637</v>
      </c>
      <c r="B8375" s="126">
        <f>IFERROR(__xludf.DUMMYFUNCTION("""COMPUTED_VALUE"""),46187.0)</f>
        <v>46187</v>
      </c>
      <c r="C8375" s="122" t="str">
        <f>IFERROR(__xludf.DUMMYFUNCTION("""COMPUTED_VALUE"""),"TBIL")</f>
        <v>TBIL</v>
      </c>
      <c r="D8375" s="122" t="str">
        <f>IFERROR(__xludf.DUMMYFUNCTION("""COMPUTED_VALUE"""),"Treasury Bill")</f>
        <v>Treasury Bill</v>
      </c>
      <c r="E8375" s="122">
        <f>IFERROR(__xludf.DUMMYFUNCTION("""COMPUTED_VALUE"""),97.65)</f>
        <v>97.65</v>
      </c>
      <c r="F8375" s="122">
        <f>IFERROR(__xludf.DUMMYFUNCTION("""COMPUTED_VALUE"""),-3.0E-4)</f>
        <v>-0.0003</v>
      </c>
    </row>
    <row r="8376">
      <c r="A8376" s="131">
        <f>IFERROR(__xludf.DUMMYFUNCTION("""COMPUTED_VALUE"""),46187.63700231481)</f>
        <v>46187.637</v>
      </c>
      <c r="B8376" s="126">
        <f>IFERROR(__xludf.DUMMYFUNCTION("""COMPUTED_VALUE"""),46187.0)</f>
        <v>46187</v>
      </c>
      <c r="C8376" s="122" t="str">
        <f>IFERROR(__xludf.DUMMYFUNCTION("""COMPUTED_VALUE"""),"IBND")</f>
        <v>IBND</v>
      </c>
      <c r="D8376" s="122" t="str">
        <f>IFERROR(__xludf.DUMMYFUNCTION("""COMPUTED_VALUE"""),"Inflation Protected Bond")</f>
        <v>Inflation Protected Bond</v>
      </c>
      <c r="E8376" s="122">
        <f>IFERROR(__xludf.DUMMYFUNCTION("""COMPUTED_VALUE"""),100.74)</f>
        <v>100.74</v>
      </c>
      <c r="F8376" s="122">
        <f>IFERROR(__xludf.DUMMYFUNCTION("""COMPUTED_VALUE"""),-5.0E-4)</f>
        <v>-0.0005</v>
      </c>
    </row>
    <row r="8377">
      <c r="A8377" s="131">
        <f>IFERROR(__xludf.DUMMYFUNCTION("""COMPUTED_VALUE"""),46187.638402777775)</f>
        <v>46187.6384</v>
      </c>
      <c r="B8377" s="126">
        <f>IFERROR(__xludf.DUMMYFUNCTION("""COMPUTED_VALUE"""),46187.0)</f>
        <v>46187</v>
      </c>
      <c r="C8377" s="130">
        <f>IFERROR(__xludf.DUMMYFUNCTION("""COMPUTED_VALUE"""),0.6384027777777778)</f>
        <v>0.6384027778</v>
      </c>
      <c r="D8377" s="122" t="str">
        <f>IFERROR(__xludf.DUMMYFUNCTION("""COMPUTED_VALUE"""),"SNAX")</f>
        <v>SNAX</v>
      </c>
      <c r="E8377" s="122" t="str">
        <f>IFERROR(__xludf.DUMMYFUNCTION("""COMPUTED_VALUE"""),"MICA Snacks")</f>
        <v>MICA Snacks</v>
      </c>
      <c r="F8377" s="122" t="str">
        <f>IFERROR(__xludf.DUMMYFUNCTION("""COMPUTED_VALUE"""),"Consumer Goods")</f>
        <v>Consumer Goods</v>
      </c>
    </row>
    <row r="8378">
      <c r="A8378" s="131">
        <f>IFERROR(__xludf.DUMMYFUNCTION("""COMPUTED_VALUE"""),46187.638402777775)</f>
        <v>46187.6384</v>
      </c>
      <c r="B8378" s="126">
        <f>IFERROR(__xludf.DUMMYFUNCTION("""COMPUTED_VALUE"""),46187.0)</f>
        <v>46187</v>
      </c>
      <c r="C8378" s="130">
        <f>IFERROR(__xludf.DUMMYFUNCTION("""COMPUTED_VALUE"""),0.6384027777777778)</f>
        <v>0.6384027778</v>
      </c>
      <c r="D8378" s="122" t="str">
        <f>IFERROR(__xludf.DUMMYFUNCTION("""COMPUTED_VALUE"""),"RAMN")</f>
        <v>RAMN</v>
      </c>
      <c r="E8378" s="122" t="str">
        <f>IFERROR(__xludf.DUMMYFUNCTION("""COMPUTED_VALUE"""),"Ramen Republic")</f>
        <v>Ramen Republic</v>
      </c>
      <c r="F8378" s="122" t="str">
        <f>IFERROR(__xludf.DUMMYFUNCTION("""COMPUTED_VALUE"""),"Food")</f>
        <v>Food</v>
      </c>
    </row>
    <row r="8379">
      <c r="A8379" s="131">
        <f>IFERROR(__xludf.DUMMYFUNCTION("""COMPUTED_VALUE"""),46187.638402777775)</f>
        <v>46187.6384</v>
      </c>
      <c r="B8379" s="126">
        <f>IFERROR(__xludf.DUMMYFUNCTION("""COMPUTED_VALUE"""),46187.0)</f>
        <v>46187</v>
      </c>
      <c r="C8379" s="130">
        <f>IFERROR(__xludf.DUMMYFUNCTION("""COMPUTED_VALUE"""),0.6384027777777778)</f>
        <v>0.6384027778</v>
      </c>
      <c r="D8379" s="122" t="str">
        <f>IFERROR(__xludf.DUMMYFUNCTION("""COMPUTED_VALUE"""),"COLA")</f>
        <v>COLA</v>
      </c>
      <c r="E8379" s="122" t="str">
        <f>IFERROR(__xludf.DUMMYFUNCTION("""COMPUTED_VALUE"""),"K-Pop Cola")</f>
        <v>K-Pop Cola</v>
      </c>
      <c r="F8379" s="122" t="str">
        <f>IFERROR(__xludf.DUMMYFUNCTION("""COMPUTED_VALUE"""),"Beverage")</f>
        <v>Beverage</v>
      </c>
    </row>
    <row r="8380">
      <c r="A8380" s="131">
        <f>IFERROR(__xludf.DUMMYFUNCTION("""COMPUTED_VALUE"""),46187.638402777775)</f>
        <v>46187.6384</v>
      </c>
      <c r="B8380" s="126">
        <f>IFERROR(__xludf.DUMMYFUNCTION("""COMPUTED_VALUE"""),46187.0)</f>
        <v>46187</v>
      </c>
      <c r="C8380" s="130">
        <f>IFERROR(__xludf.DUMMYFUNCTION("""COMPUTED_VALUE"""),0.6384027777777778)</f>
        <v>0.6384027778</v>
      </c>
      <c r="D8380" s="122" t="str">
        <f>IFERROR(__xludf.DUMMYFUNCTION("""COMPUTED_VALUE"""),"CHIP")</f>
        <v>CHIP</v>
      </c>
      <c r="E8380" s="122" t="str">
        <f>IFERROR(__xludf.DUMMYFUNCTION("""COMPUTED_VALUE"""),"Chip Empire")</f>
        <v>Chip Empire</v>
      </c>
      <c r="F8380" s="122" t="str">
        <f>IFERROR(__xludf.DUMMYFUNCTION("""COMPUTED_VALUE"""),"Consumer Goods")</f>
        <v>Consumer Goods</v>
      </c>
    </row>
    <row r="8381">
      <c r="A8381" s="131">
        <f>IFERROR(__xludf.DUMMYFUNCTION("""COMPUTED_VALUE"""),46187.638402777775)</f>
        <v>46187.6384</v>
      </c>
      <c r="B8381" s="126">
        <f>IFERROR(__xludf.DUMMYFUNCTION("""COMPUTED_VALUE"""),46187.0)</f>
        <v>46187</v>
      </c>
      <c r="C8381" s="130">
        <f>IFERROR(__xludf.DUMMYFUNCTION("""COMPUTED_VALUE"""),0.6384027777777778)</f>
        <v>0.6384027778</v>
      </c>
      <c r="D8381" s="122" t="str">
        <f>IFERROR(__xludf.DUMMYFUNCTION("""COMPUTED_VALUE"""),"CAND")</f>
        <v>CAND</v>
      </c>
      <c r="E8381" s="122" t="str">
        <f>IFERROR(__xludf.DUMMYFUNCTION("""COMPUTED_VALUE"""),"Candy Capital")</f>
        <v>Candy Capital</v>
      </c>
      <c r="F8381" s="122" t="str">
        <f>IFERROR(__xludf.DUMMYFUNCTION("""COMPUTED_VALUE"""),"Consumer Goods")</f>
        <v>Consumer Goods</v>
      </c>
    </row>
    <row r="8382">
      <c r="A8382" s="131">
        <f>IFERROR(__xludf.DUMMYFUNCTION("""COMPUTED_VALUE"""),46187.638402777775)</f>
        <v>46187.6384</v>
      </c>
      <c r="B8382" s="126">
        <f>IFERROR(__xludf.DUMMYFUNCTION("""COMPUTED_VALUE"""),46187.0)</f>
        <v>46187</v>
      </c>
      <c r="C8382" s="130">
        <f>IFERROR(__xludf.DUMMYFUNCTION("""COMPUTED_VALUE"""),0.6384027777777778)</f>
        <v>0.6384027778</v>
      </c>
      <c r="D8382" s="122" t="str">
        <f>IFERROR(__xludf.DUMMYFUNCTION("""COMPUTED_VALUE"""),"TECH")</f>
        <v>TECH</v>
      </c>
      <c r="E8382" s="122" t="str">
        <f>IFERROR(__xludf.DUMMYFUNCTION("""COMPUTED_VALUE"""),"Dragon Tech")</f>
        <v>Dragon Tech</v>
      </c>
      <c r="F8382" s="122" t="str">
        <f>IFERROR(__xludf.DUMMYFUNCTION("""COMPUTED_VALUE"""),"Technology")</f>
        <v>Technology</v>
      </c>
    </row>
    <row r="8383">
      <c r="A8383" s="131">
        <f>IFERROR(__xludf.DUMMYFUNCTION("""COMPUTED_VALUE"""),46187.638402777775)</f>
        <v>46187.6384</v>
      </c>
      <c r="B8383" s="126">
        <f>IFERROR(__xludf.DUMMYFUNCTION("""COMPUTED_VALUE"""),46187.0)</f>
        <v>46187</v>
      </c>
      <c r="C8383" s="130">
        <f>IFERROR(__xludf.DUMMYFUNCTION("""COMPUTED_VALUE"""),0.6384027777777778)</f>
        <v>0.6384027778</v>
      </c>
      <c r="D8383" s="122" t="str">
        <f>IFERROR(__xludf.DUMMYFUNCTION("""COMPUTED_VALUE"""),"AIBO")</f>
        <v>AIBO</v>
      </c>
      <c r="E8383" s="122" t="str">
        <f>IFERROR(__xludf.DUMMYFUNCTION("""COMPUTED_VALUE"""),"Homework AI")</f>
        <v>Homework AI</v>
      </c>
      <c r="F8383" s="122" t="str">
        <f>IFERROR(__xludf.DUMMYFUNCTION("""COMPUTED_VALUE"""),"Technology")</f>
        <v>Technology</v>
      </c>
    </row>
    <row r="8384">
      <c r="A8384" s="131">
        <f>IFERROR(__xludf.DUMMYFUNCTION("""COMPUTED_VALUE"""),46187.638402777775)</f>
        <v>46187.6384</v>
      </c>
      <c r="B8384" s="126">
        <f>IFERROR(__xludf.DUMMYFUNCTION("""COMPUTED_VALUE"""),46187.0)</f>
        <v>46187</v>
      </c>
      <c r="C8384" s="130">
        <f>IFERROR(__xludf.DUMMYFUNCTION("""COMPUTED_VALUE"""),0.6384027777777778)</f>
        <v>0.6384027778</v>
      </c>
      <c r="D8384" s="122" t="str">
        <f>IFERROR(__xludf.DUMMYFUNCTION("""COMPUTED_VALUE"""),"GAME")</f>
        <v>GAME</v>
      </c>
      <c r="E8384" s="122" t="str">
        <f>IFERROR(__xludf.DUMMYFUNCTION("""COMPUTED_VALUE"""),"GameBox Media")</f>
        <v>GameBox Media</v>
      </c>
      <c r="F8384" s="122" t="str">
        <f>IFERROR(__xludf.DUMMYFUNCTION("""COMPUTED_VALUE"""),"Entertainment")</f>
        <v>Entertainment</v>
      </c>
    </row>
    <row r="8385">
      <c r="A8385" s="131">
        <f>IFERROR(__xludf.DUMMYFUNCTION("""COMPUTED_VALUE"""),46187.638402777775)</f>
        <v>46187.6384</v>
      </c>
      <c r="B8385" s="126">
        <f>IFERROR(__xludf.DUMMYFUNCTION("""COMPUTED_VALUE"""),46187.0)</f>
        <v>46187</v>
      </c>
      <c r="C8385" s="130">
        <f>IFERROR(__xludf.DUMMYFUNCTION("""COMPUTED_VALUE"""),0.6384027777777778)</f>
        <v>0.6384027778</v>
      </c>
      <c r="D8385" s="122" t="str">
        <f>IFERROR(__xludf.DUMMYFUNCTION("""COMPUTED_VALUE"""),"VRSE")</f>
        <v>VRSE</v>
      </c>
      <c r="E8385" s="122" t="str">
        <f>IFERROR(__xludf.DUMMYFUNCTION("""COMPUTED_VALUE"""),"VerseVR")</f>
        <v>VerseVR</v>
      </c>
      <c r="F8385" s="122" t="str">
        <f>IFERROR(__xludf.DUMMYFUNCTION("""COMPUTED_VALUE"""),"Technology")</f>
        <v>Technology</v>
      </c>
    </row>
    <row r="8386">
      <c r="A8386" s="131">
        <f>IFERROR(__xludf.DUMMYFUNCTION("""COMPUTED_VALUE"""),46187.638402777775)</f>
        <v>46187.6384</v>
      </c>
      <c r="B8386" s="126">
        <f>IFERROR(__xludf.DUMMYFUNCTION("""COMPUTED_VALUE"""),46187.0)</f>
        <v>46187</v>
      </c>
      <c r="C8386" s="130">
        <f>IFERROR(__xludf.DUMMYFUNCTION("""COMPUTED_VALUE"""),0.6384027777777778)</f>
        <v>0.6384027778</v>
      </c>
      <c r="D8386" s="122" t="str">
        <f>IFERROR(__xludf.DUMMYFUNCTION("""COMPUTED_VALUE"""),"BYTE")</f>
        <v>BYTE</v>
      </c>
      <c r="E8386" s="122" t="str">
        <f>IFERROR(__xludf.DUMMYFUNCTION("""COMPUTED_VALUE"""),"ByteWorks")</f>
        <v>ByteWorks</v>
      </c>
      <c r="F8386" s="122" t="str">
        <f>IFERROR(__xludf.DUMMYFUNCTION("""COMPUTED_VALUE"""),"Technology")</f>
        <v>Technology</v>
      </c>
    </row>
    <row r="8387">
      <c r="A8387" s="131">
        <f>IFERROR(__xludf.DUMMYFUNCTION("""COMPUTED_VALUE"""),46187.638402777775)</f>
        <v>46187.6384</v>
      </c>
      <c r="B8387" s="126">
        <f>IFERROR(__xludf.DUMMYFUNCTION("""COMPUTED_VALUE"""),46187.0)</f>
        <v>46187</v>
      </c>
      <c r="C8387" s="130">
        <f>IFERROR(__xludf.DUMMYFUNCTION("""COMPUTED_VALUE"""),0.6384027777777778)</f>
        <v>0.6384027778</v>
      </c>
      <c r="D8387" s="122" t="str">
        <f>IFERROR(__xludf.DUMMYFUNCTION("""COMPUTED_VALUE"""),"BANK")</f>
        <v>BANK</v>
      </c>
      <c r="E8387" s="122" t="str">
        <f>IFERROR(__xludf.DUMMYFUNCTION("""COMPUTED_VALUE"""),"Tiger Bank")</f>
        <v>Tiger Bank</v>
      </c>
      <c r="F8387" s="122" t="str">
        <f>IFERROR(__xludf.DUMMYFUNCTION("""COMPUTED_VALUE"""),"Finance")</f>
        <v>Finance</v>
      </c>
    </row>
    <row r="8388">
      <c r="A8388" s="131">
        <f>IFERROR(__xludf.DUMMYFUNCTION("""COMPUTED_VALUE"""),46187.638402777775)</f>
        <v>46187.6384</v>
      </c>
      <c r="B8388" s="126">
        <f>IFERROR(__xludf.DUMMYFUNCTION("""COMPUTED_VALUE"""),46187.0)</f>
        <v>46187</v>
      </c>
      <c r="C8388" s="130">
        <f>IFERROR(__xludf.DUMMYFUNCTION("""COMPUTED_VALUE"""),0.6384027777777778)</f>
        <v>0.6384027778</v>
      </c>
      <c r="D8388" s="122" t="str">
        <f>IFERROR(__xludf.DUMMYFUNCTION("""COMPUTED_VALUE"""),"CRED")</f>
        <v>CRED</v>
      </c>
      <c r="E8388" s="122" t="str">
        <f>IFERROR(__xludf.DUMMYFUNCTION("""COMPUTED_VALUE"""),"Credit Castle")</f>
        <v>Credit Castle</v>
      </c>
      <c r="F8388" s="122" t="str">
        <f>IFERROR(__xludf.DUMMYFUNCTION("""COMPUTED_VALUE"""),"Finance")</f>
        <v>Finance</v>
      </c>
    </row>
    <row r="8389">
      <c r="A8389" s="131">
        <f>IFERROR(__xludf.DUMMYFUNCTION("""COMPUTED_VALUE"""),46187.638402777775)</f>
        <v>46187.6384</v>
      </c>
      <c r="B8389" s="126">
        <f>IFERROR(__xludf.DUMMYFUNCTION("""COMPUTED_VALUE"""),46187.0)</f>
        <v>46187</v>
      </c>
      <c r="C8389" s="130">
        <f>IFERROR(__xludf.DUMMYFUNCTION("""COMPUTED_VALUE"""),0.6384027777777778)</f>
        <v>0.6384027778</v>
      </c>
      <c r="D8389" s="122" t="str">
        <f>IFERROR(__xludf.DUMMYFUNCTION("""COMPUTED_VALUE"""),"BOND")</f>
        <v>BOND</v>
      </c>
      <c r="E8389" s="122" t="str">
        <f>IFERROR(__xludf.DUMMYFUNCTION("""COMPUTED_VALUE"""),"BondBridge")</f>
        <v>BondBridge</v>
      </c>
      <c r="F8389" s="122" t="str">
        <f>IFERROR(__xludf.DUMMYFUNCTION("""COMPUTED_VALUE"""),"Finance")</f>
        <v>Finance</v>
      </c>
    </row>
    <row r="8390">
      <c r="A8390" s="131">
        <f>IFERROR(__xludf.DUMMYFUNCTION("""COMPUTED_VALUE"""),46187.638402777775)</f>
        <v>46187.6384</v>
      </c>
      <c r="B8390" s="126">
        <f>IFERROR(__xludf.DUMMYFUNCTION("""COMPUTED_VALUE"""),46187.0)</f>
        <v>46187</v>
      </c>
      <c r="C8390" s="130">
        <f>IFERROR(__xludf.DUMMYFUNCTION("""COMPUTED_VALUE"""),0.6384027777777778)</f>
        <v>0.6384027778</v>
      </c>
      <c r="D8390" s="122" t="str">
        <f>IFERROR(__xludf.DUMMYFUNCTION("""COMPUTED_VALUE"""),"INSR")</f>
        <v>INSR</v>
      </c>
      <c r="E8390" s="122" t="str">
        <f>IFERROR(__xludf.DUMMYFUNCTION("""COMPUTED_VALUE"""),"Shield Insurance")</f>
        <v>Shield Insurance</v>
      </c>
      <c r="F8390" s="122" t="str">
        <f>IFERROR(__xludf.DUMMYFUNCTION("""COMPUTED_VALUE"""),"Finance")</f>
        <v>Finance</v>
      </c>
    </row>
    <row r="8391">
      <c r="A8391" s="131">
        <f>IFERROR(__xludf.DUMMYFUNCTION("""COMPUTED_VALUE"""),46187.638402777775)</f>
        <v>46187.6384</v>
      </c>
      <c r="B8391" s="126">
        <f>IFERROR(__xludf.DUMMYFUNCTION("""COMPUTED_VALUE"""),46187.0)</f>
        <v>46187</v>
      </c>
      <c r="C8391" s="130">
        <f>IFERROR(__xludf.DUMMYFUNCTION("""COMPUTED_VALUE"""),0.6384027777777778)</f>
        <v>0.6384027778</v>
      </c>
      <c r="D8391" s="122" t="str">
        <f>IFERROR(__xludf.DUMMYFUNCTION("""COMPUTED_VALUE"""),"LOAN")</f>
        <v>LOAN</v>
      </c>
      <c r="E8391" s="122" t="str">
        <f>IFERROR(__xludf.DUMMYFUNCTION("""COMPUTED_VALUE"""),"LoanLab")</f>
        <v>LoanLab</v>
      </c>
      <c r="F8391" s="122" t="str">
        <f>IFERROR(__xludf.DUMMYFUNCTION("""COMPUTED_VALUE"""),"Finance")</f>
        <v>Finance</v>
      </c>
    </row>
    <row r="8392">
      <c r="A8392" s="131">
        <f>IFERROR(__xludf.DUMMYFUNCTION("""COMPUTED_VALUE"""),46187.638402777775)</f>
        <v>46187.6384</v>
      </c>
      <c r="B8392" s="126">
        <f>IFERROR(__xludf.DUMMYFUNCTION("""COMPUTED_VALUE"""),46187.0)</f>
        <v>46187</v>
      </c>
      <c r="C8392" s="130">
        <f>IFERROR(__xludf.DUMMYFUNCTION("""COMPUTED_VALUE"""),0.6384027777777778)</f>
        <v>0.6384027778</v>
      </c>
      <c r="D8392" s="122" t="str">
        <f>IFERROR(__xludf.DUMMYFUNCTION("""COMPUTED_VALUE"""),"LUXE")</f>
        <v>LUXE</v>
      </c>
      <c r="E8392" s="122" t="str">
        <f>IFERROR(__xludf.DUMMYFUNCTION("""COMPUTED_VALUE"""),"Luxury Locker")</f>
        <v>Luxury Locker</v>
      </c>
      <c r="F8392" s="122" t="str">
        <f>IFERROR(__xludf.DUMMYFUNCTION("""COMPUTED_VALUE"""),"Luxury Goods")</f>
        <v>Luxury Goods</v>
      </c>
    </row>
    <row r="8393">
      <c r="A8393" s="131">
        <f>IFERROR(__xludf.DUMMYFUNCTION("""COMPUTED_VALUE"""),46187.638402777775)</f>
        <v>46187.6384</v>
      </c>
      <c r="B8393" s="126">
        <f>IFERROR(__xludf.DUMMYFUNCTION("""COMPUTED_VALUE"""),46187.0)</f>
        <v>46187</v>
      </c>
      <c r="C8393" s="130">
        <f>IFERROR(__xludf.DUMMYFUNCTION("""COMPUTED_VALUE"""),0.6384027777777778)</f>
        <v>0.6384027778</v>
      </c>
      <c r="D8393" s="122" t="str">
        <f>IFERROR(__xludf.DUMMYFUNCTION("""COMPUTED_VALUE"""),"DRIP")</f>
        <v>DRIP</v>
      </c>
      <c r="E8393" s="122" t="str">
        <f>IFERROR(__xludf.DUMMYFUNCTION("""COMPUTED_VALUE"""),"Drip Streetwear")</f>
        <v>Drip Streetwear</v>
      </c>
      <c r="F8393" s="122" t="str">
        <f>IFERROR(__xludf.DUMMYFUNCTION("""COMPUTED_VALUE"""),"Fashion")</f>
        <v>Fashion</v>
      </c>
    </row>
    <row r="8394">
      <c r="A8394" s="131">
        <f>IFERROR(__xludf.DUMMYFUNCTION("""COMPUTED_VALUE"""),46187.638402777775)</f>
        <v>46187.6384</v>
      </c>
      <c r="B8394" s="126">
        <f>IFERROR(__xludf.DUMMYFUNCTION("""COMPUTED_VALUE"""),46187.0)</f>
        <v>46187</v>
      </c>
      <c r="C8394" s="130">
        <f>IFERROR(__xludf.DUMMYFUNCTION("""COMPUTED_VALUE"""),0.6384027777777778)</f>
        <v>0.6384027778</v>
      </c>
      <c r="D8394" s="122" t="str">
        <f>IFERROR(__xludf.DUMMYFUNCTION("""COMPUTED_VALUE"""),"KICK")</f>
        <v>KICK</v>
      </c>
      <c r="E8394" s="122" t="str">
        <f>IFERROR(__xludf.DUMMYFUNCTION("""COMPUTED_VALUE"""),"KickDrop Sneakers")</f>
        <v>KickDrop Sneakers</v>
      </c>
      <c r="F8394" s="122" t="str">
        <f>IFERROR(__xludf.DUMMYFUNCTION("""COMPUTED_VALUE"""),"Fashion")</f>
        <v>Fashion</v>
      </c>
    </row>
    <row r="8395">
      <c r="A8395" s="131">
        <f>IFERROR(__xludf.DUMMYFUNCTION("""COMPUTED_VALUE"""),46187.638402777775)</f>
        <v>46187.6384</v>
      </c>
      <c r="B8395" s="126">
        <f>IFERROR(__xludf.DUMMYFUNCTION("""COMPUTED_VALUE"""),46187.0)</f>
        <v>46187</v>
      </c>
      <c r="C8395" s="130">
        <f>IFERROR(__xludf.DUMMYFUNCTION("""COMPUTED_VALUE"""),0.6384027777777778)</f>
        <v>0.6384027778</v>
      </c>
      <c r="D8395" s="122" t="str">
        <f>IFERROR(__xludf.DUMMYFUNCTION("""COMPUTED_VALUE"""),"GLAM")</f>
        <v>GLAM</v>
      </c>
      <c r="E8395" s="122" t="str">
        <f>IFERROR(__xludf.DUMMYFUNCTION("""COMPUTED_VALUE"""),"Glow Cosmetics")</f>
        <v>Glow Cosmetics</v>
      </c>
      <c r="F8395" s="122" t="str">
        <f>IFERROR(__xludf.DUMMYFUNCTION("""COMPUTED_VALUE"""),"Fashion")</f>
        <v>Fashion</v>
      </c>
    </row>
    <row r="8396">
      <c r="A8396" s="131">
        <f>IFERROR(__xludf.DUMMYFUNCTION("""COMPUTED_VALUE"""),46187.638402777775)</f>
        <v>46187.6384</v>
      </c>
      <c r="B8396" s="126">
        <f>IFERROR(__xludf.DUMMYFUNCTION("""COMPUTED_VALUE"""),46187.0)</f>
        <v>46187</v>
      </c>
      <c r="C8396" s="130">
        <f>IFERROR(__xludf.DUMMYFUNCTION("""COMPUTED_VALUE"""),0.6384027777777778)</f>
        <v>0.6384027778</v>
      </c>
      <c r="D8396" s="122" t="str">
        <f>IFERROR(__xludf.DUMMYFUNCTION("""COMPUTED_VALUE"""),"BAGG")</f>
        <v>BAGG</v>
      </c>
      <c r="E8396" s="122" t="str">
        <f>IFERROR(__xludf.DUMMYFUNCTION("""COMPUTED_VALUE"""),"BagVault")</f>
        <v>BagVault</v>
      </c>
      <c r="F8396" s="122" t="str">
        <f>IFERROR(__xludf.DUMMYFUNCTION("""COMPUTED_VALUE"""),"Fashion")</f>
        <v>Fashion</v>
      </c>
    </row>
    <row r="8397">
      <c r="A8397" s="131">
        <f>IFERROR(__xludf.DUMMYFUNCTION("""COMPUTED_VALUE"""),46187.638402777775)</f>
        <v>46187.6384</v>
      </c>
      <c r="B8397" s="126">
        <f>IFERROR(__xludf.DUMMYFUNCTION("""COMPUTED_VALUE"""),46187.0)</f>
        <v>46187</v>
      </c>
      <c r="C8397" s="130">
        <f>IFERROR(__xludf.DUMMYFUNCTION("""COMPUTED_VALUE"""),0.6384027777777778)</f>
        <v>0.6384027778</v>
      </c>
      <c r="D8397" s="122" t="str">
        <f>IFERROR(__xludf.DUMMYFUNCTION("""COMPUTED_VALUE"""),"FAST")</f>
        <v>FAST</v>
      </c>
      <c r="E8397" s="122" t="str">
        <f>IFERROR(__xludf.DUMMYFUNCTION("""COMPUTED_VALUE"""),"Flash Logistics")</f>
        <v>Flash Logistics</v>
      </c>
      <c r="F8397" s="122" t="str">
        <f>IFERROR(__xludf.DUMMYFUNCTION("""COMPUTED_VALUE"""),"Logistics")</f>
        <v>Logistics</v>
      </c>
    </row>
    <row r="8398">
      <c r="A8398" s="131">
        <f>IFERROR(__xludf.DUMMYFUNCTION("""COMPUTED_VALUE"""),46187.638402777775)</f>
        <v>46187.6384</v>
      </c>
      <c r="B8398" s="126">
        <f>IFERROR(__xludf.DUMMYFUNCTION("""COMPUTED_VALUE"""),46187.0)</f>
        <v>46187</v>
      </c>
      <c r="C8398" s="130">
        <f>IFERROR(__xludf.DUMMYFUNCTION("""COMPUTED_VALUE"""),0.6384027777777778)</f>
        <v>0.6384027778</v>
      </c>
      <c r="D8398" s="122" t="str">
        <f>IFERROR(__xludf.DUMMYFUNCTION("""COMPUTED_VALUE"""),"SHIP")</f>
        <v>SHIP</v>
      </c>
      <c r="E8398" s="122" t="str">
        <f>IFERROR(__xludf.DUMMYFUNCTION("""COMPUTED_VALUE"""),"Seoul Shipping")</f>
        <v>Seoul Shipping</v>
      </c>
      <c r="F8398" s="122" t="str">
        <f>IFERROR(__xludf.DUMMYFUNCTION("""COMPUTED_VALUE"""),"Logistics")</f>
        <v>Logistics</v>
      </c>
    </row>
    <row r="8399">
      <c r="A8399" s="131">
        <f>IFERROR(__xludf.DUMMYFUNCTION("""COMPUTED_VALUE"""),46187.638402777775)</f>
        <v>46187.6384</v>
      </c>
      <c r="B8399" s="126">
        <f>IFERROR(__xludf.DUMMYFUNCTION("""COMPUTED_VALUE"""),46187.0)</f>
        <v>46187</v>
      </c>
      <c r="C8399" s="130">
        <f>IFERROR(__xludf.DUMMYFUNCTION("""COMPUTED_VALUE"""),0.6384027777777778)</f>
        <v>0.6384027778</v>
      </c>
      <c r="D8399" s="122" t="str">
        <f>IFERROR(__xludf.DUMMYFUNCTION("""COMPUTED_VALUE"""),"DRON")</f>
        <v>DRON</v>
      </c>
      <c r="E8399" s="122" t="str">
        <f>IFERROR(__xludf.DUMMYFUNCTION("""COMPUTED_VALUE"""),"DroneDrop")</f>
        <v>DroneDrop</v>
      </c>
      <c r="F8399" s="122" t="str">
        <f>IFERROR(__xludf.DUMMYFUNCTION("""COMPUTED_VALUE"""),"Logistics")</f>
        <v>Logistics</v>
      </c>
    </row>
    <row r="8400">
      <c r="A8400" s="131">
        <f>IFERROR(__xludf.DUMMYFUNCTION("""COMPUTED_VALUE"""),46187.638402777775)</f>
        <v>46187.6384</v>
      </c>
      <c r="B8400" s="126">
        <f>IFERROR(__xludf.DUMMYFUNCTION("""COMPUTED_VALUE"""),46187.0)</f>
        <v>46187</v>
      </c>
      <c r="C8400" s="130">
        <f>IFERROR(__xludf.DUMMYFUNCTION("""COMPUTED_VALUE"""),0.6384027777777778)</f>
        <v>0.6384027778</v>
      </c>
      <c r="D8400" s="122" t="str">
        <f>IFERROR(__xludf.DUMMYFUNCTION("""COMPUTED_VALUE"""),"RIDE")</f>
        <v>RIDE</v>
      </c>
      <c r="E8400" s="122" t="str">
        <f>IFERROR(__xludf.DUMMYFUNCTION("""COMPUTED_VALUE"""),"QuickRide")</f>
        <v>QuickRide</v>
      </c>
      <c r="F8400" s="122" t="str">
        <f>IFERROR(__xludf.DUMMYFUNCTION("""COMPUTED_VALUE"""),"Transportation")</f>
        <v>Transportation</v>
      </c>
    </row>
    <row r="8401">
      <c r="A8401" s="131">
        <f>IFERROR(__xludf.DUMMYFUNCTION("""COMPUTED_VALUE"""),46187.638402777775)</f>
        <v>46187.6384</v>
      </c>
      <c r="B8401" s="126">
        <f>IFERROR(__xludf.DUMMYFUNCTION("""COMPUTED_VALUE"""),46187.0)</f>
        <v>46187</v>
      </c>
      <c r="C8401" s="130">
        <f>IFERROR(__xludf.DUMMYFUNCTION("""COMPUTED_VALUE"""),0.6384027777777778)</f>
        <v>0.6384027778</v>
      </c>
      <c r="D8401" s="122" t="str">
        <f>IFERROR(__xludf.DUMMYFUNCTION("""COMPUTED_VALUE"""),"RAIL")</f>
        <v>RAIL</v>
      </c>
      <c r="E8401" s="122" t="str">
        <f>IFERROR(__xludf.DUMMYFUNCTION("""COMPUTED_VALUE"""),"MetroRail Corp")</f>
        <v>MetroRail Corp</v>
      </c>
      <c r="F8401" s="122" t="str">
        <f>IFERROR(__xludf.DUMMYFUNCTION("""COMPUTED_VALUE"""),"Transportation")</f>
        <v>Transportation</v>
      </c>
    </row>
    <row r="8402">
      <c r="A8402" s="131">
        <f>IFERROR(__xludf.DUMMYFUNCTION("""COMPUTED_VALUE"""),46187.638402777775)</f>
        <v>46187.6384</v>
      </c>
      <c r="B8402" s="126">
        <f>IFERROR(__xludf.DUMMYFUNCTION("""COMPUTED_VALUE"""),46187.0)</f>
        <v>46187</v>
      </c>
      <c r="C8402" s="130">
        <f>IFERROR(__xludf.DUMMYFUNCTION("""COMPUTED_VALUE"""),0.6384027777777778)</f>
        <v>0.6384027778</v>
      </c>
      <c r="D8402" s="122" t="str">
        <f>IFERROR(__xludf.DUMMYFUNCTION("""COMPUTED_VALUE"""),"MEDX")</f>
        <v>MEDX</v>
      </c>
      <c r="E8402" s="122" t="str">
        <f>IFERROR(__xludf.DUMMYFUNCTION("""COMPUTED_VALUE"""),"MediCore")</f>
        <v>MediCore</v>
      </c>
      <c r="F8402" s="122" t="str">
        <f>IFERROR(__xludf.DUMMYFUNCTION("""COMPUTED_VALUE"""),"Healthcare")</f>
        <v>Healthcare</v>
      </c>
    </row>
    <row r="8403">
      <c r="A8403" s="131">
        <f>IFERROR(__xludf.DUMMYFUNCTION("""COMPUTED_VALUE"""),46187.638402777775)</f>
        <v>46187.6384</v>
      </c>
      <c r="B8403" s="126">
        <f>IFERROR(__xludf.DUMMYFUNCTION("""COMPUTED_VALUE"""),46187.0)</f>
        <v>46187</v>
      </c>
      <c r="C8403" s="130">
        <f>IFERROR(__xludf.DUMMYFUNCTION("""COMPUTED_VALUE"""),0.6384027777777778)</f>
        <v>0.6384027778</v>
      </c>
      <c r="D8403" s="122" t="str">
        <f>IFERROR(__xludf.DUMMYFUNCTION("""COMPUTED_VALUE"""),"GYMX")</f>
        <v>GYMX</v>
      </c>
      <c r="E8403" s="122" t="str">
        <f>IFERROR(__xludf.DUMMYFUNCTION("""COMPUTED_VALUE"""),"GymX Fitness")</f>
        <v>GymX Fitness</v>
      </c>
      <c r="F8403" s="122" t="str">
        <f>IFERROR(__xludf.DUMMYFUNCTION("""COMPUTED_VALUE"""),"Healthcare")</f>
        <v>Healthcare</v>
      </c>
    </row>
    <row r="8404">
      <c r="A8404" s="131">
        <f>IFERROR(__xludf.DUMMYFUNCTION("""COMPUTED_VALUE"""),46187.638402777775)</f>
        <v>46187.6384</v>
      </c>
      <c r="B8404" s="126">
        <f>IFERROR(__xludf.DUMMYFUNCTION("""COMPUTED_VALUE"""),46187.0)</f>
        <v>46187</v>
      </c>
      <c r="C8404" s="130">
        <f>IFERROR(__xludf.DUMMYFUNCTION("""COMPUTED_VALUE"""),0.6384027777777778)</f>
        <v>0.6384027778</v>
      </c>
      <c r="D8404" s="122" t="str">
        <f>IFERROR(__xludf.DUMMYFUNCTION("""COMPUTED_VALUE"""),"VITA")</f>
        <v>VITA</v>
      </c>
      <c r="E8404" s="122" t="str">
        <f>IFERROR(__xludf.DUMMYFUNCTION("""COMPUTED_VALUE"""),"VitaPlus")</f>
        <v>VitaPlus</v>
      </c>
      <c r="F8404" s="122" t="str">
        <f>IFERROR(__xludf.DUMMYFUNCTION("""COMPUTED_VALUE"""),"Healthcare")</f>
        <v>Healthcare</v>
      </c>
    </row>
    <row r="8405">
      <c r="A8405" s="131">
        <f>IFERROR(__xludf.DUMMYFUNCTION("""COMPUTED_VALUE"""),46187.638402777775)</f>
        <v>46187.6384</v>
      </c>
      <c r="B8405" s="126">
        <f>IFERROR(__xludf.DUMMYFUNCTION("""COMPUTED_VALUE"""),46187.0)</f>
        <v>46187</v>
      </c>
      <c r="C8405" s="130">
        <f>IFERROR(__xludf.DUMMYFUNCTION("""COMPUTED_VALUE"""),0.6384027777777778)</f>
        <v>0.6384027778</v>
      </c>
      <c r="D8405" s="122" t="str">
        <f>IFERROR(__xludf.DUMMYFUNCTION("""COMPUTED_VALUE"""),"CARE")</f>
        <v>CARE</v>
      </c>
      <c r="E8405" s="122" t="str">
        <f>IFERROR(__xludf.DUMMYFUNCTION("""COMPUTED_VALUE"""),"CareCloud")</f>
        <v>CareCloud</v>
      </c>
      <c r="F8405" s="122" t="str">
        <f>IFERROR(__xludf.DUMMYFUNCTION("""COMPUTED_VALUE"""),"Healthcare")</f>
        <v>Healthcare</v>
      </c>
    </row>
    <row r="8406">
      <c r="A8406" s="131">
        <f>IFERROR(__xludf.DUMMYFUNCTION("""COMPUTED_VALUE"""),46187.638402777775)</f>
        <v>46187.6384</v>
      </c>
      <c r="B8406" s="126">
        <f>IFERROR(__xludf.DUMMYFUNCTION("""COMPUTED_VALUE"""),46187.0)</f>
        <v>46187</v>
      </c>
      <c r="C8406" s="130">
        <f>IFERROR(__xludf.DUMMYFUNCTION("""COMPUTED_VALUE"""),0.6384027777777778)</f>
        <v>0.6384027778</v>
      </c>
      <c r="D8406" s="122" t="str">
        <f>IFERROR(__xludf.DUMMYFUNCTION("""COMPUTED_VALUE"""),"DENT")</f>
        <v>DENT</v>
      </c>
      <c r="E8406" s="122" t="str">
        <f>IFERROR(__xludf.DUMMYFUNCTION("""COMPUTED_VALUE"""),"SmileWorks")</f>
        <v>SmileWorks</v>
      </c>
      <c r="F8406" s="122" t="str">
        <f>IFERROR(__xludf.DUMMYFUNCTION("""COMPUTED_VALUE"""),"Healthcare")</f>
        <v>Healthcare</v>
      </c>
    </row>
    <row r="8407">
      <c r="A8407" s="131">
        <f>IFERROR(__xludf.DUMMYFUNCTION("""COMPUTED_VALUE"""),46187.638402777775)</f>
        <v>46187.6384</v>
      </c>
      <c r="B8407" s="126">
        <f>IFERROR(__xludf.DUMMYFUNCTION("""COMPUTED_VALUE"""),46187.0)</f>
        <v>46187</v>
      </c>
      <c r="C8407" s="130">
        <f>IFERROR(__xludf.DUMMYFUNCTION("""COMPUTED_VALUE"""),0.6384027777777778)</f>
        <v>0.6384027778</v>
      </c>
      <c r="D8407" s="122" t="str">
        <f>IFERROR(__xludf.DUMMYFUNCTION("""COMPUTED_VALUE"""),"EDUX")</f>
        <v>EDUX</v>
      </c>
      <c r="E8407" s="122" t="str">
        <f>IFERROR(__xludf.DUMMYFUNCTION("""COMPUTED_VALUE"""),"EduMax Learning")</f>
        <v>EduMax Learning</v>
      </c>
      <c r="F8407" s="122" t="str">
        <f>IFERROR(__xludf.DUMMYFUNCTION("""COMPUTED_VALUE"""),"Education")</f>
        <v>Education</v>
      </c>
    </row>
    <row r="8408">
      <c r="A8408" s="131">
        <f>IFERROR(__xludf.DUMMYFUNCTION("""COMPUTED_VALUE"""),46187.638402777775)</f>
        <v>46187.6384</v>
      </c>
      <c r="B8408" s="126">
        <f>IFERROR(__xludf.DUMMYFUNCTION("""COMPUTED_VALUE"""),46187.0)</f>
        <v>46187</v>
      </c>
      <c r="C8408" s="130">
        <f>IFERROR(__xludf.DUMMYFUNCTION("""COMPUTED_VALUE"""),0.6384027777777778)</f>
        <v>0.6384027778</v>
      </c>
      <c r="D8408" s="122" t="str">
        <f>IFERROR(__xludf.DUMMYFUNCTION("""COMPUTED_VALUE"""),"BOOK")</f>
        <v>BOOK</v>
      </c>
      <c r="E8408" s="122" t="str">
        <f>IFERROR(__xludf.DUMMYFUNCTION("""COMPUTED_VALUE"""),"BookBridge")</f>
        <v>BookBridge</v>
      </c>
      <c r="F8408" s="122" t="str">
        <f>IFERROR(__xludf.DUMMYFUNCTION("""COMPUTED_VALUE"""),"Education")</f>
        <v>Education</v>
      </c>
    </row>
    <row r="8409">
      <c r="A8409" s="131">
        <f>IFERROR(__xludf.DUMMYFUNCTION("""COMPUTED_VALUE"""),46187.638402777775)</f>
        <v>46187.6384</v>
      </c>
      <c r="B8409" s="126">
        <f>IFERROR(__xludf.DUMMYFUNCTION("""COMPUTED_VALUE"""),46187.0)</f>
        <v>46187</v>
      </c>
      <c r="C8409" s="130">
        <f>IFERROR(__xludf.DUMMYFUNCTION("""COMPUTED_VALUE"""),0.6384027777777778)</f>
        <v>0.6384027778</v>
      </c>
      <c r="D8409" s="122" t="str">
        <f>IFERROR(__xludf.DUMMYFUNCTION("""COMPUTED_VALUE"""),"TUTR")</f>
        <v>TUTR</v>
      </c>
      <c r="E8409" s="122" t="str">
        <f>IFERROR(__xludf.DUMMYFUNCTION("""COMPUTED_VALUE"""),"TutorTown")</f>
        <v>TutorTown</v>
      </c>
      <c r="F8409" s="122" t="str">
        <f>IFERROR(__xludf.DUMMYFUNCTION("""COMPUTED_VALUE"""),"Education")</f>
        <v>Education</v>
      </c>
    </row>
    <row r="8410">
      <c r="A8410" s="131">
        <f>IFERROR(__xludf.DUMMYFUNCTION("""COMPUTED_VALUE"""),46187.638402777775)</f>
        <v>46187.6384</v>
      </c>
      <c r="B8410" s="126">
        <f>IFERROR(__xludf.DUMMYFUNCTION("""COMPUTED_VALUE"""),46187.0)</f>
        <v>46187</v>
      </c>
      <c r="C8410" s="130">
        <f>IFERROR(__xludf.DUMMYFUNCTION("""COMPUTED_VALUE"""),0.6384027777777778)</f>
        <v>0.6384027778</v>
      </c>
      <c r="D8410" s="122" t="str">
        <f>IFERROR(__xludf.DUMMYFUNCTION("""COMPUTED_VALUE"""),"LANG")</f>
        <v>LANG</v>
      </c>
      <c r="E8410" s="122" t="str">
        <f>IFERROR(__xludf.DUMMYFUNCTION("""COMPUTED_VALUE"""),"LinguaLab")</f>
        <v>LinguaLab</v>
      </c>
      <c r="F8410" s="122" t="str">
        <f>IFERROR(__xludf.DUMMYFUNCTION("""COMPUTED_VALUE"""),"Education")</f>
        <v>Education</v>
      </c>
    </row>
    <row r="8411">
      <c r="A8411" s="131">
        <f>IFERROR(__xludf.DUMMYFUNCTION("""COMPUTED_VALUE"""),46187.638402777775)</f>
        <v>46187.6384</v>
      </c>
      <c r="B8411" s="126">
        <f>IFERROR(__xludf.DUMMYFUNCTION("""COMPUTED_VALUE"""),46187.0)</f>
        <v>46187</v>
      </c>
      <c r="C8411" s="130">
        <f>IFERROR(__xludf.DUMMYFUNCTION("""COMPUTED_VALUE"""),0.6384027777777778)</f>
        <v>0.6384027778</v>
      </c>
      <c r="D8411" s="122" t="str">
        <f>IFERROR(__xludf.DUMMYFUNCTION("""COMPUTED_VALUE"""),"TEST")</f>
        <v>TEST</v>
      </c>
      <c r="E8411" s="122" t="str">
        <f>IFERROR(__xludf.DUMMYFUNCTION("""COMPUTED_VALUE"""),"TestPrep Pro")</f>
        <v>TestPrep Pro</v>
      </c>
      <c r="F8411" s="122" t="str">
        <f>IFERROR(__xludf.DUMMYFUNCTION("""COMPUTED_VALUE"""),"Education")</f>
        <v>Education</v>
      </c>
    </row>
    <row r="8412">
      <c r="A8412" s="131">
        <f>IFERROR(__xludf.DUMMYFUNCTION("""COMPUTED_VALUE"""),46187.638402777775)</f>
        <v>46187.6384</v>
      </c>
      <c r="B8412" s="126">
        <f>IFERROR(__xludf.DUMMYFUNCTION("""COMPUTED_VALUE"""),46187.0)</f>
        <v>46187</v>
      </c>
      <c r="C8412" s="130">
        <f>IFERROR(__xludf.DUMMYFUNCTION("""COMPUTED_VALUE"""),0.6384027777777778)</f>
        <v>0.6384027778</v>
      </c>
      <c r="D8412" s="122" t="str">
        <f>IFERROR(__xludf.DUMMYFUNCTION("""COMPUTED_VALUE"""),"MOVI")</f>
        <v>MOVI</v>
      </c>
      <c r="E8412" s="122" t="str">
        <f>IFERROR(__xludf.DUMMYFUNCTION("""COMPUTED_VALUE"""),"MovieBox")</f>
        <v>MovieBox</v>
      </c>
      <c r="F8412" s="122" t="str">
        <f>IFERROR(__xludf.DUMMYFUNCTION("""COMPUTED_VALUE"""),"Entertainment")</f>
        <v>Entertainment</v>
      </c>
    </row>
    <row r="8413">
      <c r="A8413" s="131">
        <f>IFERROR(__xludf.DUMMYFUNCTION("""COMPUTED_VALUE"""),46187.638402777775)</f>
        <v>46187.6384</v>
      </c>
      <c r="B8413" s="126">
        <f>IFERROR(__xludf.DUMMYFUNCTION("""COMPUTED_VALUE"""),46187.0)</f>
        <v>46187</v>
      </c>
      <c r="C8413" s="130">
        <f>IFERROR(__xludf.DUMMYFUNCTION("""COMPUTED_VALUE"""),0.6384027777777778)</f>
        <v>0.6384027778</v>
      </c>
      <c r="D8413" s="122" t="str">
        <f>IFERROR(__xludf.DUMMYFUNCTION("""COMPUTED_VALUE"""),"MUSC")</f>
        <v>MUSC</v>
      </c>
      <c r="E8413" s="122" t="str">
        <f>IFERROR(__xludf.DUMMYFUNCTION("""COMPUTED_VALUE"""),"MusicWave")</f>
        <v>MusicWave</v>
      </c>
      <c r="F8413" s="122" t="str">
        <f>IFERROR(__xludf.DUMMYFUNCTION("""COMPUTED_VALUE"""),"Entertainment")</f>
        <v>Entertainment</v>
      </c>
    </row>
    <row r="8414">
      <c r="A8414" s="131">
        <f>IFERROR(__xludf.DUMMYFUNCTION("""COMPUTED_VALUE"""),46187.638402777775)</f>
        <v>46187.6384</v>
      </c>
      <c r="B8414" s="126">
        <f>IFERROR(__xludf.DUMMYFUNCTION("""COMPUTED_VALUE"""),46187.0)</f>
        <v>46187</v>
      </c>
      <c r="C8414" s="130">
        <f>IFERROR(__xludf.DUMMYFUNCTION("""COMPUTED_VALUE"""),0.6384027777777778)</f>
        <v>0.6384027778</v>
      </c>
      <c r="D8414" s="122" t="str">
        <f>IFERROR(__xludf.DUMMYFUNCTION("""COMPUTED_VALUE"""),"IDOL")</f>
        <v>IDOL</v>
      </c>
      <c r="E8414" s="122" t="str">
        <f>IFERROR(__xludf.DUMMYFUNCTION("""COMPUTED_VALUE"""),"Idol Agency")</f>
        <v>Idol Agency</v>
      </c>
      <c r="F8414" s="122" t="str">
        <f>IFERROR(__xludf.DUMMYFUNCTION("""COMPUTED_VALUE"""),"Entertainment")</f>
        <v>Entertainment</v>
      </c>
    </row>
    <row r="8415">
      <c r="A8415" s="131">
        <f>IFERROR(__xludf.DUMMYFUNCTION("""COMPUTED_VALUE"""),46187.638402777775)</f>
        <v>46187.6384</v>
      </c>
      <c r="B8415" s="126">
        <f>IFERROR(__xludf.DUMMYFUNCTION("""COMPUTED_VALUE"""),46187.0)</f>
        <v>46187</v>
      </c>
      <c r="C8415" s="130">
        <f>IFERROR(__xludf.DUMMYFUNCTION("""COMPUTED_VALUE"""),0.6384027777777778)</f>
        <v>0.6384027778</v>
      </c>
      <c r="D8415" s="122" t="str">
        <f>IFERROR(__xludf.DUMMYFUNCTION("""COMPUTED_VALUE"""),"MEME")</f>
        <v>MEME</v>
      </c>
      <c r="E8415" s="122" t="str">
        <f>IFERROR(__xludf.DUMMYFUNCTION("""COMPUTED_VALUE"""),"Meme Media")</f>
        <v>Meme Media</v>
      </c>
      <c r="F8415" s="122" t="str">
        <f>IFERROR(__xludf.DUMMYFUNCTION("""COMPUTED_VALUE"""),"Entertainment")</f>
        <v>Entertainment</v>
      </c>
    </row>
    <row r="8416">
      <c r="A8416" s="131">
        <f>IFERROR(__xludf.DUMMYFUNCTION("""COMPUTED_VALUE"""),46187.638402777775)</f>
        <v>46187.6384</v>
      </c>
      <c r="B8416" s="126">
        <f>IFERROR(__xludf.DUMMYFUNCTION("""COMPUTED_VALUE"""),46187.0)</f>
        <v>46187</v>
      </c>
      <c r="C8416" s="130">
        <f>IFERROR(__xludf.DUMMYFUNCTION("""COMPUTED_VALUE"""),0.6384027777777778)</f>
        <v>0.6384027778</v>
      </c>
      <c r="D8416" s="122" t="str">
        <f>IFERROR(__xludf.DUMMYFUNCTION("""COMPUTED_VALUE"""),"STRM")</f>
        <v>STRM</v>
      </c>
      <c r="E8416" s="122" t="str">
        <f>IFERROR(__xludf.DUMMYFUNCTION("""COMPUTED_VALUE"""),"Streamly")</f>
        <v>Streamly</v>
      </c>
      <c r="F8416" s="122" t="str">
        <f>IFERROR(__xludf.DUMMYFUNCTION("""COMPUTED_VALUE"""),"Entertainment")</f>
        <v>Entertainment</v>
      </c>
    </row>
    <row r="8417">
      <c r="A8417" s="131">
        <f>IFERROR(__xludf.DUMMYFUNCTION("""COMPUTED_VALUE"""),46187.638402777775)</f>
        <v>46187.6384</v>
      </c>
      <c r="B8417" s="126">
        <f>IFERROR(__xludf.DUMMYFUNCTION("""COMPUTED_VALUE"""),46187.0)</f>
        <v>46187</v>
      </c>
      <c r="C8417" s="130">
        <f>IFERROR(__xludf.DUMMYFUNCTION("""COMPUTED_VALUE"""),0.6384027777777778)</f>
        <v>0.6384027778</v>
      </c>
      <c r="D8417" s="122" t="str">
        <f>IFERROR(__xludf.DUMMYFUNCTION("""COMPUTED_VALUE"""),"FARM")</f>
        <v>FARM</v>
      </c>
      <c r="E8417" s="122" t="str">
        <f>IFERROR(__xludf.DUMMYFUNCTION("""COMPUTED_VALUE"""),"Future Farms")</f>
        <v>Future Farms</v>
      </c>
      <c r="F8417" s="122" t="str">
        <f>IFERROR(__xludf.DUMMYFUNCTION("""COMPUTED_VALUE"""),"Agriculture")</f>
        <v>Agriculture</v>
      </c>
    </row>
    <row r="8418">
      <c r="A8418" s="131">
        <f>IFERROR(__xludf.DUMMYFUNCTION("""COMPUTED_VALUE"""),46187.638402777775)</f>
        <v>46187.6384</v>
      </c>
      <c r="B8418" s="126">
        <f>IFERROR(__xludf.DUMMYFUNCTION("""COMPUTED_VALUE"""),46187.0)</f>
        <v>46187</v>
      </c>
      <c r="C8418" s="130">
        <f>IFERROR(__xludf.DUMMYFUNCTION("""COMPUTED_VALUE"""),0.6384027777777778)</f>
        <v>0.6384027778</v>
      </c>
      <c r="D8418" s="122" t="str">
        <f>IFERROR(__xludf.DUMMYFUNCTION("""COMPUTED_VALUE"""),"MEAT")</f>
        <v>MEAT</v>
      </c>
      <c r="E8418" s="122" t="str">
        <f>IFERROR(__xludf.DUMMYFUNCTION("""COMPUTED_VALUE"""),"MeatWorks")</f>
        <v>MeatWorks</v>
      </c>
      <c r="F8418" s="122" t="str">
        <f>IFERROR(__xludf.DUMMYFUNCTION("""COMPUTED_VALUE"""),"Food")</f>
        <v>Food</v>
      </c>
    </row>
    <row r="8419">
      <c r="A8419" s="131">
        <f>IFERROR(__xludf.DUMMYFUNCTION("""COMPUTED_VALUE"""),46187.638402777775)</f>
        <v>46187.6384</v>
      </c>
      <c r="B8419" s="126">
        <f>IFERROR(__xludf.DUMMYFUNCTION("""COMPUTED_VALUE"""),46187.0)</f>
        <v>46187</v>
      </c>
      <c r="C8419" s="130">
        <f>IFERROR(__xludf.DUMMYFUNCTION("""COMPUTED_VALUE"""),0.6384027777777778)</f>
        <v>0.6384027778</v>
      </c>
      <c r="D8419" s="122" t="str">
        <f>IFERROR(__xludf.DUMMYFUNCTION("""COMPUTED_VALUE"""),"VEGI")</f>
        <v>VEGI</v>
      </c>
      <c r="E8419" s="122" t="str">
        <f>IFERROR(__xludf.DUMMYFUNCTION("""COMPUTED_VALUE"""),"Green Basket")</f>
        <v>Green Basket</v>
      </c>
      <c r="F8419" s="122" t="str">
        <f>IFERROR(__xludf.DUMMYFUNCTION("""COMPUTED_VALUE"""),"Food")</f>
        <v>Food</v>
      </c>
    </row>
    <row r="8420">
      <c r="A8420" s="131">
        <f>IFERROR(__xludf.DUMMYFUNCTION("""COMPUTED_VALUE"""),46187.638402777775)</f>
        <v>46187.6384</v>
      </c>
      <c r="B8420" s="126">
        <f>IFERROR(__xludf.DUMMYFUNCTION("""COMPUTED_VALUE"""),46187.0)</f>
        <v>46187</v>
      </c>
      <c r="C8420" s="130">
        <f>IFERROR(__xludf.DUMMYFUNCTION("""COMPUTED_VALUE"""),0.6384027777777778)</f>
        <v>0.6384027778</v>
      </c>
      <c r="D8420" s="122" t="str">
        <f>IFERROR(__xludf.DUMMYFUNCTION("""COMPUTED_VALUE"""),"CAFE")</f>
        <v>CAFE</v>
      </c>
      <c r="E8420" s="122" t="str">
        <f>IFERROR(__xludf.DUMMYFUNCTION("""COMPUTED_VALUE"""),"Cafe Cloud")</f>
        <v>Cafe Cloud</v>
      </c>
      <c r="F8420" s="122" t="str">
        <f>IFERROR(__xludf.DUMMYFUNCTION("""COMPUTED_VALUE"""),"Food")</f>
        <v>Food</v>
      </c>
    </row>
    <row r="8421">
      <c r="A8421" s="131">
        <f>IFERROR(__xludf.DUMMYFUNCTION("""COMPUTED_VALUE"""),46187.638402777775)</f>
        <v>46187.6384</v>
      </c>
      <c r="B8421" s="126">
        <f>IFERROR(__xludf.DUMMYFUNCTION("""COMPUTED_VALUE"""),46187.0)</f>
        <v>46187</v>
      </c>
      <c r="C8421" s="130">
        <f>IFERROR(__xludf.DUMMYFUNCTION("""COMPUTED_VALUE"""),0.6384027777777778)</f>
        <v>0.6384027778</v>
      </c>
      <c r="D8421" s="122" t="str">
        <f>IFERROR(__xludf.DUMMYFUNCTION("""COMPUTED_VALUE"""),"BAKE")</f>
        <v>BAKE</v>
      </c>
      <c r="E8421" s="122" t="str">
        <f>IFERROR(__xludf.DUMMYFUNCTION("""COMPUTED_VALUE"""),"BakeHouse")</f>
        <v>BakeHouse</v>
      </c>
      <c r="F8421" s="122" t="str">
        <f>IFERROR(__xludf.DUMMYFUNCTION("""COMPUTED_VALUE"""),"Food")</f>
        <v>Food</v>
      </c>
    </row>
    <row r="8422">
      <c r="A8422" s="131">
        <f>IFERROR(__xludf.DUMMYFUNCTION("""COMPUTED_VALUE"""),46187.638402777775)</f>
        <v>46187.6384</v>
      </c>
      <c r="B8422" s="126">
        <f>IFERROR(__xludf.DUMMYFUNCTION("""COMPUTED_VALUE"""),46187.0)</f>
        <v>46187</v>
      </c>
      <c r="C8422" s="130">
        <f>IFERROR(__xludf.DUMMYFUNCTION("""COMPUTED_VALUE"""),0.6384027777777778)</f>
        <v>0.6384027778</v>
      </c>
      <c r="D8422" s="122" t="str">
        <f>IFERROR(__xludf.DUMMYFUNCTION("""COMPUTED_VALUE"""),"OILX")</f>
        <v>OILX</v>
      </c>
      <c r="E8422" s="122" t="str">
        <f>IFERROR(__xludf.DUMMYFUNCTION("""COMPUTED_VALUE"""),"OilMax Energy")</f>
        <v>OilMax Energy</v>
      </c>
      <c r="F8422" s="122" t="str">
        <f>IFERROR(__xludf.DUMMYFUNCTION("""COMPUTED_VALUE"""),"Energy")</f>
        <v>Energy</v>
      </c>
    </row>
    <row r="8423">
      <c r="A8423" s="131">
        <f>IFERROR(__xludf.DUMMYFUNCTION("""COMPUTED_VALUE"""),46187.638402777775)</f>
        <v>46187.6384</v>
      </c>
      <c r="B8423" s="126">
        <f>IFERROR(__xludf.DUMMYFUNCTION("""COMPUTED_VALUE"""),46187.0)</f>
        <v>46187</v>
      </c>
      <c r="C8423" s="130">
        <f>IFERROR(__xludf.DUMMYFUNCTION("""COMPUTED_VALUE"""),0.6384027777777778)</f>
        <v>0.6384027778</v>
      </c>
      <c r="D8423" s="122" t="str">
        <f>IFERROR(__xludf.DUMMYFUNCTION("""COMPUTED_VALUE"""),"SOLR")</f>
        <v>SOLR</v>
      </c>
      <c r="E8423" s="122" t="str">
        <f>IFERROR(__xludf.DUMMYFUNCTION("""COMPUTED_VALUE"""),"SolarSpark")</f>
        <v>SolarSpark</v>
      </c>
      <c r="F8423" s="122" t="str">
        <f>IFERROR(__xludf.DUMMYFUNCTION("""COMPUTED_VALUE"""),"Energy")</f>
        <v>Energy</v>
      </c>
    </row>
    <row r="8424">
      <c r="A8424" s="131">
        <f>IFERROR(__xludf.DUMMYFUNCTION("""COMPUTED_VALUE"""),46187.638402777775)</f>
        <v>46187.6384</v>
      </c>
      <c r="B8424" s="126">
        <f>IFERROR(__xludf.DUMMYFUNCTION("""COMPUTED_VALUE"""),46187.0)</f>
        <v>46187</v>
      </c>
      <c r="C8424" s="130">
        <f>IFERROR(__xludf.DUMMYFUNCTION("""COMPUTED_VALUE"""),0.6384027777777778)</f>
        <v>0.6384027778</v>
      </c>
      <c r="D8424" s="122" t="str">
        <f>IFERROR(__xludf.DUMMYFUNCTION("""COMPUTED_VALUE"""),"BATT")</f>
        <v>BATT</v>
      </c>
      <c r="E8424" s="122" t="str">
        <f>IFERROR(__xludf.DUMMYFUNCTION("""COMPUTED_VALUE"""),"BatteryBox")</f>
        <v>BatteryBox</v>
      </c>
      <c r="F8424" s="122" t="str">
        <f>IFERROR(__xludf.DUMMYFUNCTION("""COMPUTED_VALUE"""),"Energy")</f>
        <v>Energy</v>
      </c>
    </row>
    <row r="8425">
      <c r="A8425" s="131">
        <f>IFERROR(__xludf.DUMMYFUNCTION("""COMPUTED_VALUE"""),46187.638402777775)</f>
        <v>46187.6384</v>
      </c>
      <c r="B8425" s="126">
        <f>IFERROR(__xludf.DUMMYFUNCTION("""COMPUTED_VALUE"""),46187.0)</f>
        <v>46187</v>
      </c>
      <c r="C8425" s="130">
        <f>IFERROR(__xludf.DUMMYFUNCTION("""COMPUTED_VALUE"""),0.6384027777777778)</f>
        <v>0.6384027778</v>
      </c>
      <c r="D8425" s="122" t="str">
        <f>IFERROR(__xludf.DUMMYFUNCTION("""COMPUTED_VALUE"""),"WIND")</f>
        <v>WIND</v>
      </c>
      <c r="E8425" s="122" t="str">
        <f>IFERROR(__xludf.DUMMYFUNCTION("""COMPUTED_VALUE"""),"WindWorks")</f>
        <v>WindWorks</v>
      </c>
      <c r="F8425" s="122" t="str">
        <f>IFERROR(__xludf.DUMMYFUNCTION("""COMPUTED_VALUE"""),"Energy")</f>
        <v>Energy</v>
      </c>
    </row>
    <row r="8426">
      <c r="A8426" s="131">
        <f>IFERROR(__xludf.DUMMYFUNCTION("""COMPUTED_VALUE"""),46187.638402777775)</f>
        <v>46187.6384</v>
      </c>
      <c r="B8426" s="126">
        <f>IFERROR(__xludf.DUMMYFUNCTION("""COMPUTED_VALUE"""),46187.0)</f>
        <v>46187</v>
      </c>
      <c r="C8426" s="130">
        <f>IFERROR(__xludf.DUMMYFUNCTION("""COMPUTED_VALUE"""),0.6384027777777778)</f>
        <v>0.6384027778</v>
      </c>
      <c r="D8426" s="122" t="str">
        <f>IFERROR(__xludf.DUMMYFUNCTION("""COMPUTED_VALUE"""),"GRID")</f>
        <v>GRID</v>
      </c>
      <c r="E8426" s="122" t="str">
        <f>IFERROR(__xludf.DUMMYFUNCTION("""COMPUTED_VALUE"""),"GridPower")</f>
        <v>GridPower</v>
      </c>
      <c r="F8426" s="122" t="str">
        <f>IFERROR(__xludf.DUMMYFUNCTION("""COMPUTED_VALUE"""),"Energy")</f>
        <v>Energy</v>
      </c>
    </row>
    <row r="8427">
      <c r="A8427" s="131">
        <f>IFERROR(__xludf.DUMMYFUNCTION("""COMPUTED_VALUE"""),46187.638402777775)</f>
        <v>46187.6384</v>
      </c>
      <c r="B8427" s="126">
        <f>IFERROR(__xludf.DUMMYFUNCTION("""COMPUTED_VALUE"""),46187.0)</f>
        <v>46187</v>
      </c>
      <c r="C8427" s="130">
        <f>IFERROR(__xludf.DUMMYFUNCTION("""COMPUTED_VALUE"""),0.6384027777777778)</f>
        <v>0.6384027778</v>
      </c>
      <c r="D8427" s="122" t="str">
        <f>IFERROR(__xludf.DUMMYFUNCTION("""COMPUTED_VALUE"""),"HOME")</f>
        <v>HOME</v>
      </c>
      <c r="E8427" s="122" t="str">
        <f>IFERROR(__xludf.DUMMYFUNCTION("""COMPUTED_VALUE"""),"HomeHub")</f>
        <v>HomeHub</v>
      </c>
      <c r="F8427" s="122" t="str">
        <f>IFERROR(__xludf.DUMMYFUNCTION("""COMPUTED_VALUE"""),"Real Estate")</f>
        <v>Real Estate</v>
      </c>
    </row>
    <row r="8428">
      <c r="A8428" s="131">
        <f>IFERROR(__xludf.DUMMYFUNCTION("""COMPUTED_VALUE"""),46187.638402777775)</f>
        <v>46187.6384</v>
      </c>
      <c r="B8428" s="126">
        <f>IFERROR(__xludf.DUMMYFUNCTION("""COMPUTED_VALUE"""),46187.0)</f>
        <v>46187</v>
      </c>
      <c r="C8428" s="130">
        <f>IFERROR(__xludf.DUMMYFUNCTION("""COMPUTED_VALUE"""),0.6384027777777778)</f>
        <v>0.6384027778</v>
      </c>
      <c r="D8428" s="122" t="str">
        <f>IFERROR(__xludf.DUMMYFUNCTION("""COMPUTED_VALUE"""),"RENT")</f>
        <v>RENT</v>
      </c>
      <c r="E8428" s="122" t="str">
        <f>IFERROR(__xludf.DUMMYFUNCTION("""COMPUTED_VALUE"""),"RentRight")</f>
        <v>RentRight</v>
      </c>
      <c r="F8428" s="122" t="str">
        <f>IFERROR(__xludf.DUMMYFUNCTION("""COMPUTED_VALUE"""),"Real Estate")</f>
        <v>Real Estate</v>
      </c>
    </row>
    <row r="8429">
      <c r="A8429" s="131">
        <f>IFERROR(__xludf.DUMMYFUNCTION("""COMPUTED_VALUE"""),46187.638402777775)</f>
        <v>46187.6384</v>
      </c>
      <c r="B8429" s="126">
        <f>IFERROR(__xludf.DUMMYFUNCTION("""COMPUTED_VALUE"""),46187.0)</f>
        <v>46187</v>
      </c>
      <c r="C8429" s="130">
        <f>IFERROR(__xludf.DUMMYFUNCTION("""COMPUTED_VALUE"""),0.6384027777777778)</f>
        <v>0.6384027778</v>
      </c>
      <c r="D8429" s="122" t="str">
        <f>IFERROR(__xludf.DUMMYFUNCTION("""COMPUTED_VALUE"""),"MALL")</f>
        <v>MALL</v>
      </c>
      <c r="E8429" s="122" t="str">
        <f>IFERROR(__xludf.DUMMYFUNCTION("""COMPUTED_VALUE"""),"MegaMall")</f>
        <v>MegaMall</v>
      </c>
      <c r="F8429" s="122" t="str">
        <f>IFERROR(__xludf.DUMMYFUNCTION("""COMPUTED_VALUE"""),"Real Estate")</f>
        <v>Real Estate</v>
      </c>
    </row>
    <row r="8430">
      <c r="A8430" s="131">
        <f>IFERROR(__xludf.DUMMYFUNCTION("""COMPUTED_VALUE"""),46187.638402777775)</f>
        <v>46187.6384</v>
      </c>
      <c r="B8430" s="126">
        <f>IFERROR(__xludf.DUMMYFUNCTION("""COMPUTED_VALUE"""),46187.0)</f>
        <v>46187</v>
      </c>
      <c r="C8430" s="130">
        <f>IFERROR(__xludf.DUMMYFUNCTION("""COMPUTED_VALUE"""),0.6384027777777778)</f>
        <v>0.6384027778</v>
      </c>
      <c r="D8430" s="122" t="str">
        <f>IFERROR(__xludf.DUMMYFUNCTION("""COMPUTED_VALUE"""),"HOTL")</f>
        <v>HOTL</v>
      </c>
      <c r="E8430" s="122" t="str">
        <f>IFERROR(__xludf.DUMMYFUNCTION("""COMPUTED_VALUE"""),"HotelHive")</f>
        <v>HotelHive</v>
      </c>
      <c r="F8430" s="122" t="str">
        <f>IFERROR(__xludf.DUMMYFUNCTION("""COMPUTED_VALUE"""),"Real Estate")</f>
        <v>Real Estate</v>
      </c>
    </row>
    <row r="8431">
      <c r="A8431" s="131">
        <f>IFERROR(__xludf.DUMMYFUNCTION("""COMPUTED_VALUE"""),46187.638402777775)</f>
        <v>46187.6384</v>
      </c>
      <c r="B8431" s="126">
        <f>IFERROR(__xludf.DUMMYFUNCTION("""COMPUTED_VALUE"""),46187.0)</f>
        <v>46187</v>
      </c>
      <c r="C8431" s="130">
        <f>IFERROR(__xludf.DUMMYFUNCTION("""COMPUTED_VALUE"""),0.6384027777777778)</f>
        <v>0.6384027778</v>
      </c>
      <c r="D8431" s="122" t="str">
        <f>IFERROR(__xludf.DUMMYFUNCTION("""COMPUTED_VALUE"""),"LAND")</f>
        <v>LAND</v>
      </c>
      <c r="E8431" s="122" t="str">
        <f>IFERROR(__xludf.DUMMYFUNCTION("""COMPUTED_VALUE"""),"LandLink")</f>
        <v>LandLink</v>
      </c>
      <c r="F8431" s="122" t="str">
        <f>IFERROR(__xludf.DUMMYFUNCTION("""COMPUTED_VALUE"""),"Real Estate")</f>
        <v>Real Estate</v>
      </c>
    </row>
    <row r="8432">
      <c r="A8432" s="131">
        <f>IFERROR(__xludf.DUMMYFUNCTION("""COMPUTED_VALUE"""),46187.638402777775)</f>
        <v>46187.6384</v>
      </c>
      <c r="B8432" s="126">
        <f>IFERROR(__xludf.DUMMYFUNCTION("""COMPUTED_VALUE"""),46187.0)</f>
        <v>46187</v>
      </c>
      <c r="C8432" s="130">
        <f>IFERROR(__xludf.DUMMYFUNCTION("""COMPUTED_VALUE"""),0.6384027777777778)</f>
        <v>0.6384027778</v>
      </c>
      <c r="D8432" s="122" t="str">
        <f>IFERROR(__xludf.DUMMYFUNCTION("""COMPUTED_VALUE"""),"CARS")</f>
        <v>CARS</v>
      </c>
      <c r="E8432" s="122" t="str">
        <f>IFERROR(__xludf.DUMMYFUNCTION("""COMPUTED_VALUE"""),"AutoArena")</f>
        <v>AutoArena</v>
      </c>
      <c r="F8432" s="122" t="str">
        <f>IFERROR(__xludf.DUMMYFUNCTION("""COMPUTED_VALUE"""),"Automotive")</f>
        <v>Automotive</v>
      </c>
    </row>
    <row r="8433">
      <c r="A8433" s="131">
        <f>IFERROR(__xludf.DUMMYFUNCTION("""COMPUTED_VALUE"""),46187.638402777775)</f>
        <v>46187.6384</v>
      </c>
      <c r="B8433" s="126">
        <f>IFERROR(__xludf.DUMMYFUNCTION("""COMPUTED_VALUE"""),46187.0)</f>
        <v>46187</v>
      </c>
      <c r="C8433" s="130">
        <f>IFERROR(__xludf.DUMMYFUNCTION("""COMPUTED_VALUE"""),0.6384027777777778)</f>
        <v>0.6384027778</v>
      </c>
      <c r="D8433" s="122" t="str">
        <f>IFERROR(__xludf.DUMMYFUNCTION("""COMPUTED_VALUE"""),"EVGO")</f>
        <v>EVGO</v>
      </c>
      <c r="E8433" s="122" t="str">
        <f>IFERROR(__xludf.DUMMYFUNCTION("""COMPUTED_VALUE"""),"EVGo Motors")</f>
        <v>EVGo Motors</v>
      </c>
      <c r="F8433" s="122" t="str">
        <f>IFERROR(__xludf.DUMMYFUNCTION("""COMPUTED_VALUE"""),"Automotive")</f>
        <v>Automotive</v>
      </c>
    </row>
    <row r="8434">
      <c r="A8434" s="131">
        <f>IFERROR(__xludf.DUMMYFUNCTION("""COMPUTED_VALUE"""),46187.638402777775)</f>
        <v>46187.6384</v>
      </c>
      <c r="B8434" s="126">
        <f>IFERROR(__xludf.DUMMYFUNCTION("""COMPUTED_VALUE"""),46187.0)</f>
        <v>46187</v>
      </c>
      <c r="C8434" s="130">
        <f>IFERROR(__xludf.DUMMYFUNCTION("""COMPUTED_VALUE"""),0.6384027777777778)</f>
        <v>0.6384027778</v>
      </c>
      <c r="D8434" s="122" t="str">
        <f>IFERROR(__xludf.DUMMYFUNCTION("""COMPUTED_VALUE"""),"TIRE")</f>
        <v>TIRE</v>
      </c>
      <c r="E8434" s="122" t="str">
        <f>IFERROR(__xludf.DUMMYFUNCTION("""COMPUTED_VALUE"""),"TireTown")</f>
        <v>TireTown</v>
      </c>
      <c r="F8434" s="122" t="str">
        <f>IFERROR(__xludf.DUMMYFUNCTION("""COMPUTED_VALUE"""),"Automotive")</f>
        <v>Automotive</v>
      </c>
    </row>
    <row r="8435">
      <c r="A8435" s="131">
        <f>IFERROR(__xludf.DUMMYFUNCTION("""COMPUTED_VALUE"""),46187.638402777775)</f>
        <v>46187.6384</v>
      </c>
      <c r="B8435" s="126">
        <f>IFERROR(__xludf.DUMMYFUNCTION("""COMPUTED_VALUE"""),46187.0)</f>
        <v>46187</v>
      </c>
      <c r="C8435" s="130">
        <f>IFERROR(__xludf.DUMMYFUNCTION("""COMPUTED_VALUE"""),0.6384027777777778)</f>
        <v>0.6384027778</v>
      </c>
      <c r="D8435" s="122" t="str">
        <f>IFERROR(__xludf.DUMMYFUNCTION("""COMPUTED_VALUE"""),"BIKE")</f>
        <v>BIKE</v>
      </c>
      <c r="E8435" s="122" t="str">
        <f>IFERROR(__xludf.DUMMYFUNCTION("""COMPUTED_VALUE"""),"BikeBox")</f>
        <v>BikeBox</v>
      </c>
      <c r="F8435" s="122" t="str">
        <f>IFERROR(__xludf.DUMMYFUNCTION("""COMPUTED_VALUE"""),"Automotive")</f>
        <v>Automotive</v>
      </c>
    </row>
    <row r="8436">
      <c r="A8436" s="131">
        <f>IFERROR(__xludf.DUMMYFUNCTION("""COMPUTED_VALUE"""),46187.638402777775)</f>
        <v>46187.6384</v>
      </c>
      <c r="B8436" s="126">
        <f>IFERROR(__xludf.DUMMYFUNCTION("""COMPUTED_VALUE"""),46187.0)</f>
        <v>46187</v>
      </c>
      <c r="C8436" s="130">
        <f>IFERROR(__xludf.DUMMYFUNCTION("""COMPUTED_VALUE"""),0.6384027777777778)</f>
        <v>0.6384027778</v>
      </c>
      <c r="D8436" s="122" t="str">
        <f>IFERROR(__xludf.DUMMYFUNCTION("""COMPUTED_VALUE"""),"WASH")</f>
        <v>WASH</v>
      </c>
      <c r="E8436" s="122" t="str">
        <f>IFERROR(__xludf.DUMMYFUNCTION("""COMPUTED_VALUE"""),"CarWash Co")</f>
        <v>CarWash Co</v>
      </c>
      <c r="F8436" s="122" t="str">
        <f>IFERROR(__xludf.DUMMYFUNCTION("""COMPUTED_VALUE"""),"Automotive")</f>
        <v>Automotive</v>
      </c>
    </row>
    <row r="8437">
      <c r="A8437" s="131">
        <f>IFERROR(__xludf.DUMMYFUNCTION("""COMPUTED_VALUE"""),46187.638402777775)</f>
        <v>46187.6384</v>
      </c>
      <c r="B8437" s="126">
        <f>IFERROR(__xludf.DUMMYFUNCTION("""COMPUTED_VALUE"""),46187.0)</f>
        <v>46187</v>
      </c>
      <c r="C8437" s="130">
        <f>IFERROR(__xludf.DUMMYFUNCTION("""COMPUTED_VALUE"""),0.6384027777777778)</f>
        <v>0.6384027778</v>
      </c>
      <c r="D8437" s="122" t="str">
        <f>IFERROR(__xludf.DUMMYFUNCTION("""COMPUTED_VALUE"""),"GBND")</f>
        <v>GBND</v>
      </c>
      <c r="E8437" s="122" t="str">
        <f>IFERROR(__xludf.DUMMYFUNCTION("""COMPUTED_VALUE"""),"Classroom Government Bond")</f>
        <v>Classroom Government Bond</v>
      </c>
      <c r="F8437" s="122" t="str">
        <f>IFERROR(__xludf.DUMMYFUNCTION("""COMPUTED_VALUE"""),"Bond")</f>
        <v>Bond</v>
      </c>
    </row>
    <row r="8438">
      <c r="A8438" s="131">
        <f>IFERROR(__xludf.DUMMYFUNCTION("""COMPUTED_VALUE"""),46187.638402777775)</f>
        <v>46187.6384</v>
      </c>
      <c r="B8438" s="126">
        <f>IFERROR(__xludf.DUMMYFUNCTION("""COMPUTED_VALUE"""),46187.0)</f>
        <v>46187</v>
      </c>
      <c r="C8438" s="130">
        <f>IFERROR(__xludf.DUMMYFUNCTION("""COMPUTED_VALUE"""),0.6384027777777778)</f>
        <v>0.6384027778</v>
      </c>
      <c r="D8438" s="122" t="str">
        <f>IFERROR(__xludf.DUMMYFUNCTION("""COMPUTED_VALUE"""),"SBND")</f>
        <v>SBND</v>
      </c>
      <c r="E8438" s="122" t="str">
        <f>IFERROR(__xludf.DUMMYFUNCTION("""COMPUTED_VALUE"""),"School Savings Bond")</f>
        <v>School Savings Bond</v>
      </c>
      <c r="F8438" s="122" t="str">
        <f>IFERROR(__xludf.DUMMYFUNCTION("""COMPUTED_VALUE"""),"Bond")</f>
        <v>Bond</v>
      </c>
    </row>
    <row r="8439">
      <c r="A8439" s="131">
        <f>IFERROR(__xludf.DUMMYFUNCTION("""COMPUTED_VALUE"""),46187.638402777775)</f>
        <v>46187.6384</v>
      </c>
      <c r="B8439" s="126">
        <f>IFERROR(__xludf.DUMMYFUNCTION("""COMPUTED_VALUE"""),46187.0)</f>
        <v>46187</v>
      </c>
      <c r="C8439" s="130">
        <f>IFERROR(__xludf.DUMMYFUNCTION("""COMPUTED_VALUE"""),0.6384027777777778)</f>
        <v>0.6384027778</v>
      </c>
      <c r="D8439" s="122" t="str">
        <f>IFERROR(__xludf.DUMMYFUNCTION("""COMPUTED_VALUE"""),"CBND")</f>
        <v>CBND</v>
      </c>
      <c r="E8439" s="122" t="str">
        <f>IFERROR(__xludf.DUMMYFUNCTION("""COMPUTED_VALUE"""),"Corporate Classroom Bond")</f>
        <v>Corporate Classroom Bond</v>
      </c>
      <c r="F8439" s="122" t="str">
        <f>IFERROR(__xludf.DUMMYFUNCTION("""COMPUTED_VALUE"""),"Bond")</f>
        <v>Bond</v>
      </c>
    </row>
    <row r="8440">
      <c r="A8440" s="131">
        <f>IFERROR(__xludf.DUMMYFUNCTION("""COMPUTED_VALUE"""),46187.638402777775)</f>
        <v>46187.6384</v>
      </c>
      <c r="B8440" s="126">
        <f>IFERROR(__xludf.DUMMYFUNCTION("""COMPUTED_VALUE"""),46187.0)</f>
        <v>46187</v>
      </c>
      <c r="C8440" s="130">
        <f>IFERROR(__xludf.DUMMYFUNCTION("""COMPUTED_VALUE"""),0.6384027777777778)</f>
        <v>0.6384027778</v>
      </c>
      <c r="D8440" s="122" t="str">
        <f>IFERROR(__xludf.DUMMYFUNCTION("""COMPUTED_VALUE"""),"TBIL")</f>
        <v>TBIL</v>
      </c>
      <c r="E8440" s="122" t="str">
        <f>IFERROR(__xludf.DUMMYFUNCTION("""COMPUTED_VALUE"""),"Treasury Bill")</f>
        <v>Treasury Bill</v>
      </c>
      <c r="F8440" s="122" t="str">
        <f>IFERROR(__xludf.DUMMYFUNCTION("""COMPUTED_VALUE"""),"Bond")</f>
        <v>Bond</v>
      </c>
    </row>
    <row r="8441">
      <c r="A8441" s="131">
        <f>IFERROR(__xludf.DUMMYFUNCTION("""COMPUTED_VALUE"""),46187.638402777775)</f>
        <v>46187.6384</v>
      </c>
      <c r="B8441" s="126">
        <f>IFERROR(__xludf.DUMMYFUNCTION("""COMPUTED_VALUE"""),46187.0)</f>
        <v>46187</v>
      </c>
      <c r="C8441" s="130">
        <f>IFERROR(__xludf.DUMMYFUNCTION("""COMPUTED_VALUE"""),0.6384027777777778)</f>
        <v>0.6384027778</v>
      </c>
      <c r="D8441" s="122" t="str">
        <f>IFERROR(__xludf.DUMMYFUNCTION("""COMPUTED_VALUE"""),"IBND")</f>
        <v>IBND</v>
      </c>
      <c r="E8441" s="122" t="str">
        <f>IFERROR(__xludf.DUMMYFUNCTION("""COMPUTED_VALUE"""),"Inflation Protected Bond")</f>
        <v>Inflation Protected Bond</v>
      </c>
      <c r="F8441" s="122" t="str">
        <f>IFERROR(__xludf.DUMMYFUNCTION("""COMPUTED_VALUE"""),"Bond")</f>
        <v>Bond</v>
      </c>
    </row>
    <row r="8442">
      <c r="A8442" s="131">
        <f>IFERROR(__xludf.DUMMYFUNCTION("""COMPUTED_VALUE"""),46187.64040509259)</f>
        <v>46187.64041</v>
      </c>
      <c r="B8442" s="126">
        <f>IFERROR(__xludf.DUMMYFUNCTION("""COMPUTED_VALUE"""),46187.0)</f>
        <v>46187</v>
      </c>
      <c r="C8442" s="122" t="str">
        <f>IFERROR(__xludf.DUMMYFUNCTION("""COMPUTED_VALUE"""),"SNAX")</f>
        <v>SNAX</v>
      </c>
      <c r="D8442" s="122" t="str">
        <f>IFERROR(__xludf.DUMMYFUNCTION("""COMPUTED_VALUE"""),"MICA Snacks")</f>
        <v>MICA Snacks</v>
      </c>
      <c r="E8442" s="122">
        <f>IFERROR(__xludf.DUMMYFUNCTION("""COMPUTED_VALUE"""),122.09)</f>
        <v>122.09</v>
      </c>
      <c r="F8442" s="122">
        <f>IFERROR(__xludf.DUMMYFUNCTION("""COMPUTED_VALUE"""),-0.0053)</f>
        <v>-0.0053</v>
      </c>
    </row>
    <row r="8443">
      <c r="A8443" s="131">
        <f>IFERROR(__xludf.DUMMYFUNCTION("""COMPUTED_VALUE"""),46187.64040509259)</f>
        <v>46187.64041</v>
      </c>
      <c r="B8443" s="126">
        <f>IFERROR(__xludf.DUMMYFUNCTION("""COMPUTED_VALUE"""),46187.0)</f>
        <v>46187</v>
      </c>
      <c r="C8443" s="122" t="str">
        <f>IFERROR(__xludf.DUMMYFUNCTION("""COMPUTED_VALUE"""),"RAMN")</f>
        <v>RAMN</v>
      </c>
      <c r="D8443" s="122" t="str">
        <f>IFERROR(__xludf.DUMMYFUNCTION("""COMPUTED_VALUE"""),"Ramen Republic")</f>
        <v>Ramen Republic</v>
      </c>
      <c r="E8443" s="122">
        <f>IFERROR(__xludf.DUMMYFUNCTION("""COMPUTED_VALUE"""),62.51)</f>
        <v>62.51</v>
      </c>
      <c r="F8443" s="122">
        <f>IFERROR(__xludf.DUMMYFUNCTION("""COMPUTED_VALUE"""),0.0035)</f>
        <v>0.0035</v>
      </c>
    </row>
    <row r="8444">
      <c r="A8444" s="131">
        <f>IFERROR(__xludf.DUMMYFUNCTION("""COMPUTED_VALUE"""),46187.64040509259)</f>
        <v>46187.64041</v>
      </c>
      <c r="B8444" s="126">
        <f>IFERROR(__xludf.DUMMYFUNCTION("""COMPUTED_VALUE"""),46187.0)</f>
        <v>46187</v>
      </c>
      <c r="C8444" s="122" t="str">
        <f>IFERROR(__xludf.DUMMYFUNCTION("""COMPUTED_VALUE"""),"COLA")</f>
        <v>COLA</v>
      </c>
      <c r="D8444" s="122" t="str">
        <f>IFERROR(__xludf.DUMMYFUNCTION("""COMPUTED_VALUE"""),"K-Pop Cola")</f>
        <v>K-Pop Cola</v>
      </c>
      <c r="E8444" s="122">
        <f>IFERROR(__xludf.DUMMYFUNCTION("""COMPUTED_VALUE"""),114.13)</f>
        <v>114.13</v>
      </c>
      <c r="F8444" s="122">
        <f>IFERROR(__xludf.DUMMYFUNCTION("""COMPUTED_VALUE"""),0.003)</f>
        <v>0.003</v>
      </c>
    </row>
    <row r="8445">
      <c r="A8445" s="131">
        <f>IFERROR(__xludf.DUMMYFUNCTION("""COMPUTED_VALUE"""),46187.64040509259)</f>
        <v>46187.64041</v>
      </c>
      <c r="B8445" s="126">
        <f>IFERROR(__xludf.DUMMYFUNCTION("""COMPUTED_VALUE"""),46187.0)</f>
        <v>46187</v>
      </c>
      <c r="C8445" s="122" t="str">
        <f>IFERROR(__xludf.DUMMYFUNCTION("""COMPUTED_VALUE"""),"CHIP")</f>
        <v>CHIP</v>
      </c>
      <c r="D8445" s="122" t="str">
        <f>IFERROR(__xludf.DUMMYFUNCTION("""COMPUTED_VALUE"""),"Chip Empire")</f>
        <v>Chip Empire</v>
      </c>
      <c r="E8445" s="122">
        <f>IFERROR(__xludf.DUMMYFUNCTION("""COMPUTED_VALUE"""),80.97)</f>
        <v>80.97</v>
      </c>
      <c r="F8445" s="122">
        <f>IFERROR(__xludf.DUMMYFUNCTION("""COMPUTED_VALUE"""),-0.0067)</f>
        <v>-0.0067</v>
      </c>
    </row>
    <row r="8446">
      <c r="A8446" s="131">
        <f>IFERROR(__xludf.DUMMYFUNCTION("""COMPUTED_VALUE"""),46187.64040509259)</f>
        <v>46187.64041</v>
      </c>
      <c r="B8446" s="126">
        <f>IFERROR(__xludf.DUMMYFUNCTION("""COMPUTED_VALUE"""),46187.0)</f>
        <v>46187</v>
      </c>
      <c r="C8446" s="122" t="str">
        <f>IFERROR(__xludf.DUMMYFUNCTION("""COMPUTED_VALUE"""),"CAND")</f>
        <v>CAND</v>
      </c>
      <c r="D8446" s="122" t="str">
        <f>IFERROR(__xludf.DUMMYFUNCTION("""COMPUTED_VALUE"""),"Candy Capital")</f>
        <v>Candy Capital</v>
      </c>
      <c r="E8446" s="122">
        <f>IFERROR(__xludf.DUMMYFUNCTION("""COMPUTED_VALUE"""),77.52)</f>
        <v>77.52</v>
      </c>
      <c r="F8446" s="122">
        <f>IFERROR(__xludf.DUMMYFUNCTION("""COMPUTED_VALUE"""),-0.0017)</f>
        <v>-0.0017</v>
      </c>
    </row>
    <row r="8447">
      <c r="A8447" s="131">
        <f>IFERROR(__xludf.DUMMYFUNCTION("""COMPUTED_VALUE"""),46187.64040509259)</f>
        <v>46187.64041</v>
      </c>
      <c r="B8447" s="126">
        <f>IFERROR(__xludf.DUMMYFUNCTION("""COMPUTED_VALUE"""),46187.0)</f>
        <v>46187</v>
      </c>
      <c r="C8447" s="122" t="str">
        <f>IFERROR(__xludf.DUMMYFUNCTION("""COMPUTED_VALUE"""),"TECH")</f>
        <v>TECH</v>
      </c>
      <c r="D8447" s="122" t="str">
        <f>IFERROR(__xludf.DUMMYFUNCTION("""COMPUTED_VALUE"""),"Dragon Tech")</f>
        <v>Dragon Tech</v>
      </c>
      <c r="E8447" s="122">
        <f>IFERROR(__xludf.DUMMYFUNCTION("""COMPUTED_VALUE"""),260.01)</f>
        <v>260.01</v>
      </c>
      <c r="F8447" s="122">
        <f>IFERROR(__xludf.DUMMYFUNCTION("""COMPUTED_VALUE"""),0.0055)</f>
        <v>0.0055</v>
      </c>
    </row>
    <row r="8448">
      <c r="A8448" s="131">
        <f>IFERROR(__xludf.DUMMYFUNCTION("""COMPUTED_VALUE"""),46187.64040509259)</f>
        <v>46187.64041</v>
      </c>
      <c r="B8448" s="126">
        <f>IFERROR(__xludf.DUMMYFUNCTION("""COMPUTED_VALUE"""),46187.0)</f>
        <v>46187</v>
      </c>
      <c r="C8448" s="122" t="str">
        <f>IFERROR(__xludf.DUMMYFUNCTION("""COMPUTED_VALUE"""),"AIBO")</f>
        <v>AIBO</v>
      </c>
      <c r="D8448" s="122" t="str">
        <f>IFERROR(__xludf.DUMMYFUNCTION("""COMPUTED_VALUE"""),"Homework AI")</f>
        <v>Homework AI</v>
      </c>
      <c r="E8448" s="122">
        <f>IFERROR(__xludf.DUMMYFUNCTION("""COMPUTED_VALUE"""),194.3)</f>
        <v>194.3</v>
      </c>
      <c r="F8448" s="122">
        <f>IFERROR(__xludf.DUMMYFUNCTION("""COMPUTED_VALUE"""),0.011)</f>
        <v>0.011</v>
      </c>
    </row>
    <row r="8449">
      <c r="A8449" s="131">
        <f>IFERROR(__xludf.DUMMYFUNCTION("""COMPUTED_VALUE"""),46187.64040509259)</f>
        <v>46187.64041</v>
      </c>
      <c r="B8449" s="126">
        <f>IFERROR(__xludf.DUMMYFUNCTION("""COMPUTED_VALUE"""),46187.0)</f>
        <v>46187</v>
      </c>
      <c r="C8449" s="122" t="str">
        <f>IFERROR(__xludf.DUMMYFUNCTION("""COMPUTED_VALUE"""),"GAME")</f>
        <v>GAME</v>
      </c>
      <c r="D8449" s="122" t="str">
        <f>IFERROR(__xludf.DUMMYFUNCTION("""COMPUTED_VALUE"""),"GameBox Media")</f>
        <v>GameBox Media</v>
      </c>
      <c r="E8449" s="122">
        <f>IFERROR(__xludf.DUMMYFUNCTION("""COMPUTED_VALUE"""),102.28)</f>
        <v>102.28</v>
      </c>
      <c r="F8449" s="122">
        <f>IFERROR(__xludf.DUMMYFUNCTION("""COMPUTED_VALUE"""),0.0025)</f>
        <v>0.0025</v>
      </c>
    </row>
    <row r="8450">
      <c r="A8450" s="131">
        <f>IFERROR(__xludf.DUMMYFUNCTION("""COMPUTED_VALUE"""),46187.64040509259)</f>
        <v>46187.64041</v>
      </c>
      <c r="B8450" s="126">
        <f>IFERROR(__xludf.DUMMYFUNCTION("""COMPUTED_VALUE"""),46187.0)</f>
        <v>46187</v>
      </c>
      <c r="C8450" s="122" t="str">
        <f>IFERROR(__xludf.DUMMYFUNCTION("""COMPUTED_VALUE"""),"VRSE")</f>
        <v>VRSE</v>
      </c>
      <c r="D8450" s="122" t="str">
        <f>IFERROR(__xludf.DUMMYFUNCTION("""COMPUTED_VALUE"""),"VerseVR")</f>
        <v>VerseVR</v>
      </c>
      <c r="E8450" s="122">
        <f>IFERROR(__xludf.DUMMYFUNCTION("""COMPUTED_VALUE"""),149.44)</f>
        <v>149.44</v>
      </c>
      <c r="F8450" s="122">
        <f>IFERROR(__xludf.DUMMYFUNCTION("""COMPUTED_VALUE"""),0.0071)</f>
        <v>0.0071</v>
      </c>
    </row>
    <row r="8451">
      <c r="A8451" s="131">
        <f>IFERROR(__xludf.DUMMYFUNCTION("""COMPUTED_VALUE"""),46187.64040509259)</f>
        <v>46187.64041</v>
      </c>
      <c r="B8451" s="126">
        <f>IFERROR(__xludf.DUMMYFUNCTION("""COMPUTED_VALUE"""),46187.0)</f>
        <v>46187</v>
      </c>
      <c r="C8451" s="122" t="str">
        <f>IFERROR(__xludf.DUMMYFUNCTION("""COMPUTED_VALUE"""),"BYTE")</f>
        <v>BYTE</v>
      </c>
      <c r="D8451" s="122" t="str">
        <f>IFERROR(__xludf.DUMMYFUNCTION("""COMPUTED_VALUE"""),"ByteWorks")</f>
        <v>ByteWorks</v>
      </c>
      <c r="E8451" s="122">
        <f>IFERROR(__xludf.DUMMYFUNCTION("""COMPUTED_VALUE"""),111.64)</f>
        <v>111.64</v>
      </c>
      <c r="F8451" s="122">
        <f>IFERROR(__xludf.DUMMYFUNCTION("""COMPUTED_VALUE"""),0.0011)</f>
        <v>0.0011</v>
      </c>
    </row>
    <row r="8452">
      <c r="A8452" s="131">
        <f>IFERROR(__xludf.DUMMYFUNCTION("""COMPUTED_VALUE"""),46187.64040509259)</f>
        <v>46187.64041</v>
      </c>
      <c r="B8452" s="126">
        <f>IFERROR(__xludf.DUMMYFUNCTION("""COMPUTED_VALUE"""),46187.0)</f>
        <v>46187</v>
      </c>
      <c r="C8452" s="122" t="str">
        <f>IFERROR(__xludf.DUMMYFUNCTION("""COMPUTED_VALUE"""),"BANK")</f>
        <v>BANK</v>
      </c>
      <c r="D8452" s="122" t="str">
        <f>IFERROR(__xludf.DUMMYFUNCTION("""COMPUTED_VALUE"""),"Tiger Bank")</f>
        <v>Tiger Bank</v>
      </c>
      <c r="E8452" s="122">
        <f>IFERROR(__xludf.DUMMYFUNCTION("""COMPUTED_VALUE"""),132.24)</f>
        <v>132.24</v>
      </c>
      <c r="F8452" s="122">
        <f>IFERROR(__xludf.DUMMYFUNCTION("""COMPUTED_VALUE"""),0.003)</f>
        <v>0.003</v>
      </c>
    </row>
    <row r="8453">
      <c r="A8453" s="131">
        <f>IFERROR(__xludf.DUMMYFUNCTION("""COMPUTED_VALUE"""),46187.64040509259)</f>
        <v>46187.64041</v>
      </c>
      <c r="B8453" s="126">
        <f>IFERROR(__xludf.DUMMYFUNCTION("""COMPUTED_VALUE"""),46187.0)</f>
        <v>46187</v>
      </c>
      <c r="C8453" s="122" t="str">
        <f>IFERROR(__xludf.DUMMYFUNCTION("""COMPUTED_VALUE"""),"CRED")</f>
        <v>CRED</v>
      </c>
      <c r="D8453" s="122" t="str">
        <f>IFERROR(__xludf.DUMMYFUNCTION("""COMPUTED_VALUE"""),"Credit Castle")</f>
        <v>Credit Castle</v>
      </c>
      <c r="E8453" s="122">
        <f>IFERROR(__xludf.DUMMYFUNCTION("""COMPUTED_VALUE"""),66.62)</f>
        <v>66.62</v>
      </c>
      <c r="F8453" s="122">
        <f>IFERROR(__xludf.DUMMYFUNCTION("""COMPUTED_VALUE"""),0.0011)</f>
        <v>0.0011</v>
      </c>
    </row>
    <row r="8454">
      <c r="A8454" s="131">
        <f>IFERROR(__xludf.DUMMYFUNCTION("""COMPUTED_VALUE"""),46187.64040509259)</f>
        <v>46187.64041</v>
      </c>
      <c r="B8454" s="126">
        <f>IFERROR(__xludf.DUMMYFUNCTION("""COMPUTED_VALUE"""),46187.0)</f>
        <v>46187</v>
      </c>
      <c r="C8454" s="122" t="str">
        <f>IFERROR(__xludf.DUMMYFUNCTION("""COMPUTED_VALUE"""),"BOND")</f>
        <v>BOND</v>
      </c>
      <c r="D8454" s="122" t="str">
        <f>IFERROR(__xludf.DUMMYFUNCTION("""COMPUTED_VALUE"""),"BondBridge")</f>
        <v>BondBridge</v>
      </c>
      <c r="E8454" s="122">
        <f>IFERROR(__xludf.DUMMYFUNCTION("""COMPUTED_VALUE"""),105.88)</f>
        <v>105.88</v>
      </c>
      <c r="F8454" s="122">
        <f>IFERROR(__xludf.DUMMYFUNCTION("""COMPUTED_VALUE"""),0.0029)</f>
        <v>0.0029</v>
      </c>
    </row>
    <row r="8455">
      <c r="A8455" s="131">
        <f>IFERROR(__xludf.DUMMYFUNCTION("""COMPUTED_VALUE"""),46187.64040509259)</f>
        <v>46187.64041</v>
      </c>
      <c r="B8455" s="126">
        <f>IFERROR(__xludf.DUMMYFUNCTION("""COMPUTED_VALUE"""),46187.0)</f>
        <v>46187</v>
      </c>
      <c r="C8455" s="122" t="str">
        <f>IFERROR(__xludf.DUMMYFUNCTION("""COMPUTED_VALUE"""),"INSR")</f>
        <v>INSR</v>
      </c>
      <c r="D8455" s="122" t="str">
        <f>IFERROR(__xludf.DUMMYFUNCTION("""COMPUTED_VALUE"""),"Shield Insurance")</f>
        <v>Shield Insurance</v>
      </c>
      <c r="E8455" s="122">
        <f>IFERROR(__xludf.DUMMYFUNCTION("""COMPUTED_VALUE"""),156.64)</f>
        <v>156.64</v>
      </c>
      <c r="F8455" s="122">
        <f>IFERROR(__xludf.DUMMYFUNCTION("""COMPUTED_VALUE"""),-0.0014)</f>
        <v>-0.0014</v>
      </c>
    </row>
    <row r="8456">
      <c r="A8456" s="131">
        <f>IFERROR(__xludf.DUMMYFUNCTION("""COMPUTED_VALUE"""),46187.64040509259)</f>
        <v>46187.64041</v>
      </c>
      <c r="B8456" s="126">
        <f>IFERROR(__xludf.DUMMYFUNCTION("""COMPUTED_VALUE"""),46187.0)</f>
        <v>46187</v>
      </c>
      <c r="C8456" s="122" t="str">
        <f>IFERROR(__xludf.DUMMYFUNCTION("""COMPUTED_VALUE"""),"LOAN")</f>
        <v>LOAN</v>
      </c>
      <c r="D8456" s="122" t="str">
        <f>IFERROR(__xludf.DUMMYFUNCTION("""COMPUTED_VALUE"""),"LoanLab")</f>
        <v>LoanLab</v>
      </c>
      <c r="E8456" s="122">
        <f>IFERROR(__xludf.DUMMYFUNCTION("""COMPUTED_VALUE"""),71.86)</f>
        <v>71.86</v>
      </c>
      <c r="F8456" s="122">
        <f>IFERROR(__xludf.DUMMYFUNCTION("""COMPUTED_VALUE"""),0.0041)</f>
        <v>0.0041</v>
      </c>
    </row>
    <row r="8457">
      <c r="A8457" s="131">
        <f>IFERROR(__xludf.DUMMYFUNCTION("""COMPUTED_VALUE"""),46187.64040509259)</f>
        <v>46187.64041</v>
      </c>
      <c r="B8457" s="126">
        <f>IFERROR(__xludf.DUMMYFUNCTION("""COMPUTED_VALUE"""),46187.0)</f>
        <v>46187</v>
      </c>
      <c r="C8457" s="122" t="str">
        <f>IFERROR(__xludf.DUMMYFUNCTION("""COMPUTED_VALUE"""),"LUXE")</f>
        <v>LUXE</v>
      </c>
      <c r="D8457" s="122" t="str">
        <f>IFERROR(__xludf.DUMMYFUNCTION("""COMPUTED_VALUE"""),"Luxury Locker")</f>
        <v>Luxury Locker</v>
      </c>
      <c r="E8457" s="122">
        <f>IFERROR(__xludf.DUMMYFUNCTION("""COMPUTED_VALUE"""),268.24)</f>
        <v>268.24</v>
      </c>
      <c r="F8457" s="122">
        <f>IFERROR(__xludf.DUMMYFUNCTION("""COMPUTED_VALUE"""),0.0041)</f>
        <v>0.0041</v>
      </c>
    </row>
    <row r="8458">
      <c r="A8458" s="131">
        <f>IFERROR(__xludf.DUMMYFUNCTION("""COMPUTED_VALUE"""),46187.64040509259)</f>
        <v>46187.64041</v>
      </c>
      <c r="B8458" s="126">
        <f>IFERROR(__xludf.DUMMYFUNCTION("""COMPUTED_VALUE"""),46187.0)</f>
        <v>46187</v>
      </c>
      <c r="C8458" s="122" t="str">
        <f>IFERROR(__xludf.DUMMYFUNCTION("""COMPUTED_VALUE"""),"DRIP")</f>
        <v>DRIP</v>
      </c>
      <c r="D8458" s="122" t="str">
        <f>IFERROR(__xludf.DUMMYFUNCTION("""COMPUTED_VALUE"""),"Drip Streetwear")</f>
        <v>Drip Streetwear</v>
      </c>
      <c r="E8458" s="122">
        <f>IFERROR(__xludf.DUMMYFUNCTION("""COMPUTED_VALUE"""),188.79)</f>
        <v>188.79</v>
      </c>
      <c r="F8458" s="122">
        <f>IFERROR(__xludf.DUMMYFUNCTION("""COMPUTED_VALUE"""),-0.0059)</f>
        <v>-0.0059</v>
      </c>
    </row>
    <row r="8459">
      <c r="A8459" s="131">
        <f>IFERROR(__xludf.DUMMYFUNCTION("""COMPUTED_VALUE"""),46187.64040509259)</f>
        <v>46187.64041</v>
      </c>
      <c r="B8459" s="126">
        <f>IFERROR(__xludf.DUMMYFUNCTION("""COMPUTED_VALUE"""),46187.0)</f>
        <v>46187</v>
      </c>
      <c r="C8459" s="122" t="str">
        <f>IFERROR(__xludf.DUMMYFUNCTION("""COMPUTED_VALUE"""),"KICK")</f>
        <v>KICK</v>
      </c>
      <c r="D8459" s="122" t="str">
        <f>IFERROR(__xludf.DUMMYFUNCTION("""COMPUTED_VALUE"""),"KickDrop Sneakers")</f>
        <v>KickDrop Sneakers</v>
      </c>
      <c r="E8459" s="122">
        <f>IFERROR(__xludf.DUMMYFUNCTION("""COMPUTED_VALUE"""),167.68)</f>
        <v>167.68</v>
      </c>
      <c r="F8459" s="122">
        <f>IFERROR(__xludf.DUMMYFUNCTION("""COMPUTED_VALUE"""),0.0025)</f>
        <v>0.0025</v>
      </c>
    </row>
    <row r="8460">
      <c r="A8460" s="131">
        <f>IFERROR(__xludf.DUMMYFUNCTION("""COMPUTED_VALUE"""),46187.64040509259)</f>
        <v>46187.64041</v>
      </c>
      <c r="B8460" s="126">
        <f>IFERROR(__xludf.DUMMYFUNCTION("""COMPUTED_VALUE"""),46187.0)</f>
        <v>46187</v>
      </c>
      <c r="C8460" s="122" t="str">
        <f>IFERROR(__xludf.DUMMYFUNCTION("""COMPUTED_VALUE"""),"GLAM")</f>
        <v>GLAM</v>
      </c>
      <c r="D8460" s="122" t="str">
        <f>IFERROR(__xludf.DUMMYFUNCTION("""COMPUTED_VALUE"""),"Glow Cosmetics")</f>
        <v>Glow Cosmetics</v>
      </c>
      <c r="E8460" s="122">
        <f>IFERROR(__xludf.DUMMYFUNCTION("""COMPUTED_VALUE"""),110.29)</f>
        <v>110.29</v>
      </c>
      <c r="F8460" s="122">
        <f>IFERROR(__xludf.DUMMYFUNCTION("""COMPUTED_VALUE"""),4.0E-4)</f>
        <v>0.0004</v>
      </c>
    </row>
    <row r="8461">
      <c r="A8461" s="131">
        <f>IFERROR(__xludf.DUMMYFUNCTION("""COMPUTED_VALUE"""),46187.64040509259)</f>
        <v>46187.64041</v>
      </c>
      <c r="B8461" s="126">
        <f>IFERROR(__xludf.DUMMYFUNCTION("""COMPUTED_VALUE"""),46187.0)</f>
        <v>46187</v>
      </c>
      <c r="C8461" s="122" t="str">
        <f>IFERROR(__xludf.DUMMYFUNCTION("""COMPUTED_VALUE"""),"BAGG")</f>
        <v>BAGG</v>
      </c>
      <c r="D8461" s="122" t="str">
        <f>IFERROR(__xludf.DUMMYFUNCTION("""COMPUTED_VALUE"""),"BagVault")</f>
        <v>BagVault</v>
      </c>
      <c r="E8461" s="122">
        <f>IFERROR(__xludf.DUMMYFUNCTION("""COMPUTED_VALUE"""),277.27)</f>
        <v>277.27</v>
      </c>
      <c r="F8461" s="122">
        <f>IFERROR(__xludf.DUMMYFUNCTION("""COMPUTED_VALUE"""),0.0024)</f>
        <v>0.0024</v>
      </c>
    </row>
    <row r="8462">
      <c r="A8462" s="131">
        <f>IFERROR(__xludf.DUMMYFUNCTION("""COMPUTED_VALUE"""),46187.64040509259)</f>
        <v>46187.64041</v>
      </c>
      <c r="B8462" s="126">
        <f>IFERROR(__xludf.DUMMYFUNCTION("""COMPUTED_VALUE"""),46187.0)</f>
        <v>46187</v>
      </c>
      <c r="C8462" s="122" t="str">
        <f>IFERROR(__xludf.DUMMYFUNCTION("""COMPUTED_VALUE"""),"FAST")</f>
        <v>FAST</v>
      </c>
      <c r="D8462" s="122" t="str">
        <f>IFERROR(__xludf.DUMMYFUNCTION("""COMPUTED_VALUE"""),"Flash Logistics")</f>
        <v>Flash Logistics</v>
      </c>
      <c r="E8462" s="122">
        <f>IFERROR(__xludf.DUMMYFUNCTION("""COMPUTED_VALUE"""),107.42)</f>
        <v>107.42</v>
      </c>
      <c r="F8462" s="122">
        <f>IFERROR(__xludf.DUMMYFUNCTION("""COMPUTED_VALUE"""),-6.0E-4)</f>
        <v>-0.0006</v>
      </c>
    </row>
    <row r="8463">
      <c r="A8463" s="131">
        <f>IFERROR(__xludf.DUMMYFUNCTION("""COMPUTED_VALUE"""),46187.64040509259)</f>
        <v>46187.64041</v>
      </c>
      <c r="B8463" s="126">
        <f>IFERROR(__xludf.DUMMYFUNCTION("""COMPUTED_VALUE"""),46187.0)</f>
        <v>46187</v>
      </c>
      <c r="C8463" s="122" t="str">
        <f>IFERROR(__xludf.DUMMYFUNCTION("""COMPUTED_VALUE"""),"SHIP")</f>
        <v>SHIP</v>
      </c>
      <c r="D8463" s="122" t="str">
        <f>IFERROR(__xludf.DUMMYFUNCTION("""COMPUTED_VALUE"""),"Seoul Shipping")</f>
        <v>Seoul Shipping</v>
      </c>
      <c r="E8463" s="122">
        <f>IFERROR(__xludf.DUMMYFUNCTION("""COMPUTED_VALUE"""),129.83)</f>
        <v>129.83</v>
      </c>
      <c r="F8463" s="122">
        <f>IFERROR(__xludf.DUMMYFUNCTION("""COMPUTED_VALUE"""),-0.0064)</f>
        <v>-0.0064</v>
      </c>
    </row>
    <row r="8464">
      <c r="A8464" s="131">
        <f>IFERROR(__xludf.DUMMYFUNCTION("""COMPUTED_VALUE"""),46187.64040509259)</f>
        <v>46187.64041</v>
      </c>
      <c r="B8464" s="126">
        <f>IFERROR(__xludf.DUMMYFUNCTION("""COMPUTED_VALUE"""),46187.0)</f>
        <v>46187</v>
      </c>
      <c r="C8464" s="122" t="str">
        <f>IFERROR(__xludf.DUMMYFUNCTION("""COMPUTED_VALUE"""),"DRON")</f>
        <v>DRON</v>
      </c>
      <c r="D8464" s="122" t="str">
        <f>IFERROR(__xludf.DUMMYFUNCTION("""COMPUTED_VALUE"""),"DroneDrop")</f>
        <v>DroneDrop</v>
      </c>
      <c r="E8464" s="122">
        <f>IFERROR(__xludf.DUMMYFUNCTION("""COMPUTED_VALUE"""),122.86)</f>
        <v>122.86</v>
      </c>
      <c r="F8464" s="122">
        <f>IFERROR(__xludf.DUMMYFUNCTION("""COMPUTED_VALUE"""),2.0E-4)</f>
        <v>0.0002</v>
      </c>
    </row>
    <row r="8465">
      <c r="A8465" s="131">
        <f>IFERROR(__xludf.DUMMYFUNCTION("""COMPUTED_VALUE"""),46187.64040509259)</f>
        <v>46187.64041</v>
      </c>
      <c r="B8465" s="126">
        <f>IFERROR(__xludf.DUMMYFUNCTION("""COMPUTED_VALUE"""),46187.0)</f>
        <v>46187</v>
      </c>
      <c r="C8465" s="122" t="str">
        <f>IFERROR(__xludf.DUMMYFUNCTION("""COMPUTED_VALUE"""),"RIDE")</f>
        <v>RIDE</v>
      </c>
      <c r="D8465" s="122" t="str">
        <f>IFERROR(__xludf.DUMMYFUNCTION("""COMPUTED_VALUE"""),"QuickRide")</f>
        <v>QuickRide</v>
      </c>
      <c r="E8465" s="122">
        <f>IFERROR(__xludf.DUMMYFUNCTION("""COMPUTED_VALUE"""),101.72)</f>
        <v>101.72</v>
      </c>
      <c r="F8465" s="122">
        <f>IFERROR(__xludf.DUMMYFUNCTION("""COMPUTED_VALUE"""),-0.0096)</f>
        <v>-0.0096</v>
      </c>
    </row>
    <row r="8466">
      <c r="A8466" s="131">
        <f>IFERROR(__xludf.DUMMYFUNCTION("""COMPUTED_VALUE"""),46187.64040509259)</f>
        <v>46187.64041</v>
      </c>
      <c r="B8466" s="126">
        <f>IFERROR(__xludf.DUMMYFUNCTION("""COMPUTED_VALUE"""),46187.0)</f>
        <v>46187</v>
      </c>
      <c r="C8466" s="122" t="str">
        <f>IFERROR(__xludf.DUMMYFUNCTION("""COMPUTED_VALUE"""),"RAIL")</f>
        <v>RAIL</v>
      </c>
      <c r="D8466" s="122" t="str">
        <f>IFERROR(__xludf.DUMMYFUNCTION("""COMPUTED_VALUE"""),"MetroRail Corp")</f>
        <v>MetroRail Corp</v>
      </c>
      <c r="E8466" s="122">
        <f>IFERROR(__xludf.DUMMYFUNCTION("""COMPUTED_VALUE"""),131.17)</f>
        <v>131.17</v>
      </c>
      <c r="F8466" s="122">
        <f>IFERROR(__xludf.DUMMYFUNCTION("""COMPUTED_VALUE"""),-8.0E-4)</f>
        <v>-0.0008</v>
      </c>
    </row>
    <row r="8467">
      <c r="A8467" s="131">
        <f>IFERROR(__xludf.DUMMYFUNCTION("""COMPUTED_VALUE"""),46187.64040509259)</f>
        <v>46187.64041</v>
      </c>
      <c r="B8467" s="126">
        <f>IFERROR(__xludf.DUMMYFUNCTION("""COMPUTED_VALUE"""),46187.0)</f>
        <v>46187</v>
      </c>
      <c r="C8467" s="122" t="str">
        <f>IFERROR(__xludf.DUMMYFUNCTION("""COMPUTED_VALUE"""),"MEDX")</f>
        <v>MEDX</v>
      </c>
      <c r="D8467" s="122" t="str">
        <f>IFERROR(__xludf.DUMMYFUNCTION("""COMPUTED_VALUE"""),"MediCore")</f>
        <v>MediCore</v>
      </c>
      <c r="E8467" s="122">
        <f>IFERROR(__xludf.DUMMYFUNCTION("""COMPUTED_VALUE"""),139.01)</f>
        <v>139.01</v>
      </c>
      <c r="F8467" s="122">
        <f>IFERROR(__xludf.DUMMYFUNCTION("""COMPUTED_VALUE"""),0.0012)</f>
        <v>0.0012</v>
      </c>
    </row>
    <row r="8468">
      <c r="A8468" s="131">
        <f>IFERROR(__xludf.DUMMYFUNCTION("""COMPUTED_VALUE"""),46187.64040509259)</f>
        <v>46187.64041</v>
      </c>
      <c r="B8468" s="126">
        <f>IFERROR(__xludf.DUMMYFUNCTION("""COMPUTED_VALUE"""),46187.0)</f>
        <v>46187</v>
      </c>
      <c r="C8468" s="122" t="str">
        <f>IFERROR(__xludf.DUMMYFUNCTION("""COMPUTED_VALUE"""),"GYMX")</f>
        <v>GYMX</v>
      </c>
      <c r="D8468" s="122" t="str">
        <f>IFERROR(__xludf.DUMMYFUNCTION("""COMPUTED_VALUE"""),"GymX Fitness")</f>
        <v>GymX Fitness</v>
      </c>
      <c r="E8468" s="122">
        <f>IFERROR(__xludf.DUMMYFUNCTION("""COMPUTED_VALUE"""),82.08)</f>
        <v>82.08</v>
      </c>
      <c r="F8468" s="122">
        <f>IFERROR(__xludf.DUMMYFUNCTION("""COMPUTED_VALUE"""),-0.0013)</f>
        <v>-0.0013</v>
      </c>
    </row>
    <row r="8469">
      <c r="A8469" s="131">
        <f>IFERROR(__xludf.DUMMYFUNCTION("""COMPUTED_VALUE"""),46187.64040509259)</f>
        <v>46187.64041</v>
      </c>
      <c r="B8469" s="126">
        <f>IFERROR(__xludf.DUMMYFUNCTION("""COMPUTED_VALUE"""),46187.0)</f>
        <v>46187</v>
      </c>
      <c r="C8469" s="122" t="str">
        <f>IFERROR(__xludf.DUMMYFUNCTION("""COMPUTED_VALUE"""),"VITA")</f>
        <v>VITA</v>
      </c>
      <c r="D8469" s="122" t="str">
        <f>IFERROR(__xludf.DUMMYFUNCTION("""COMPUTED_VALUE"""),"VitaPlus")</f>
        <v>VitaPlus</v>
      </c>
      <c r="E8469" s="122">
        <f>IFERROR(__xludf.DUMMYFUNCTION("""COMPUTED_VALUE"""),72.23)</f>
        <v>72.23</v>
      </c>
      <c r="F8469" s="122">
        <f>IFERROR(__xludf.DUMMYFUNCTION("""COMPUTED_VALUE"""),-0.0039)</f>
        <v>-0.0039</v>
      </c>
    </row>
    <row r="8470">
      <c r="A8470" s="131">
        <f>IFERROR(__xludf.DUMMYFUNCTION("""COMPUTED_VALUE"""),46187.64040509259)</f>
        <v>46187.64041</v>
      </c>
      <c r="B8470" s="126">
        <f>IFERROR(__xludf.DUMMYFUNCTION("""COMPUTED_VALUE"""),46187.0)</f>
        <v>46187</v>
      </c>
      <c r="C8470" s="122" t="str">
        <f>IFERROR(__xludf.DUMMYFUNCTION("""COMPUTED_VALUE"""),"CARE")</f>
        <v>CARE</v>
      </c>
      <c r="D8470" s="122" t="str">
        <f>IFERROR(__xludf.DUMMYFUNCTION("""COMPUTED_VALUE"""),"CareCloud")</f>
        <v>CareCloud</v>
      </c>
      <c r="E8470" s="122">
        <f>IFERROR(__xludf.DUMMYFUNCTION("""COMPUTED_VALUE"""),184.51)</f>
        <v>184.51</v>
      </c>
      <c r="F8470" s="122">
        <f>IFERROR(__xludf.DUMMYFUNCTION("""COMPUTED_VALUE"""),-0.0052)</f>
        <v>-0.0052</v>
      </c>
    </row>
    <row r="8471">
      <c r="A8471" s="131">
        <f>IFERROR(__xludf.DUMMYFUNCTION("""COMPUTED_VALUE"""),46187.64040509259)</f>
        <v>46187.64041</v>
      </c>
      <c r="B8471" s="126">
        <f>IFERROR(__xludf.DUMMYFUNCTION("""COMPUTED_VALUE"""),46187.0)</f>
        <v>46187</v>
      </c>
      <c r="C8471" s="122" t="str">
        <f>IFERROR(__xludf.DUMMYFUNCTION("""COMPUTED_VALUE"""),"DENT")</f>
        <v>DENT</v>
      </c>
      <c r="D8471" s="122" t="str">
        <f>IFERROR(__xludf.DUMMYFUNCTION("""COMPUTED_VALUE"""),"SmileWorks")</f>
        <v>SmileWorks</v>
      </c>
      <c r="E8471" s="122">
        <f>IFERROR(__xludf.DUMMYFUNCTION("""COMPUTED_VALUE"""),98.04)</f>
        <v>98.04</v>
      </c>
      <c r="F8471" s="122">
        <f>IFERROR(__xludf.DUMMYFUNCTION("""COMPUTED_VALUE"""),0.0046)</f>
        <v>0.0046</v>
      </c>
    </row>
    <row r="8472">
      <c r="A8472" s="131">
        <f>IFERROR(__xludf.DUMMYFUNCTION("""COMPUTED_VALUE"""),46187.64040509259)</f>
        <v>46187.64041</v>
      </c>
      <c r="B8472" s="126">
        <f>IFERROR(__xludf.DUMMYFUNCTION("""COMPUTED_VALUE"""),46187.0)</f>
        <v>46187</v>
      </c>
      <c r="C8472" s="122" t="str">
        <f>IFERROR(__xludf.DUMMYFUNCTION("""COMPUTED_VALUE"""),"EDUX")</f>
        <v>EDUX</v>
      </c>
      <c r="D8472" s="122" t="str">
        <f>IFERROR(__xludf.DUMMYFUNCTION("""COMPUTED_VALUE"""),"EduMax Learning")</f>
        <v>EduMax Learning</v>
      </c>
      <c r="E8472" s="122">
        <f>IFERROR(__xludf.DUMMYFUNCTION("""COMPUTED_VALUE"""),150.41)</f>
        <v>150.41</v>
      </c>
      <c r="F8472" s="122">
        <f>IFERROR(__xludf.DUMMYFUNCTION("""COMPUTED_VALUE"""),-0.0048)</f>
        <v>-0.0048</v>
      </c>
    </row>
    <row r="8473">
      <c r="A8473" s="131">
        <f>IFERROR(__xludf.DUMMYFUNCTION("""COMPUTED_VALUE"""),46187.64040509259)</f>
        <v>46187.64041</v>
      </c>
      <c r="B8473" s="126">
        <f>IFERROR(__xludf.DUMMYFUNCTION("""COMPUTED_VALUE"""),46187.0)</f>
        <v>46187</v>
      </c>
      <c r="C8473" s="122" t="str">
        <f>IFERROR(__xludf.DUMMYFUNCTION("""COMPUTED_VALUE"""),"BOOK")</f>
        <v>BOOK</v>
      </c>
      <c r="D8473" s="122" t="str">
        <f>IFERROR(__xludf.DUMMYFUNCTION("""COMPUTED_VALUE"""),"BookBridge")</f>
        <v>BookBridge</v>
      </c>
      <c r="E8473" s="122">
        <f>IFERROR(__xludf.DUMMYFUNCTION("""COMPUTED_VALUE"""),120.39)</f>
        <v>120.39</v>
      </c>
      <c r="F8473" s="122">
        <f>IFERROR(__xludf.DUMMYFUNCTION("""COMPUTED_VALUE"""),-1.0E-4)</f>
        <v>-0.0001</v>
      </c>
    </row>
    <row r="8474">
      <c r="A8474" s="131">
        <f>IFERROR(__xludf.DUMMYFUNCTION("""COMPUTED_VALUE"""),46187.64040509259)</f>
        <v>46187.64041</v>
      </c>
      <c r="B8474" s="126">
        <f>IFERROR(__xludf.DUMMYFUNCTION("""COMPUTED_VALUE"""),46187.0)</f>
        <v>46187</v>
      </c>
      <c r="C8474" s="122" t="str">
        <f>IFERROR(__xludf.DUMMYFUNCTION("""COMPUTED_VALUE"""),"TUTR")</f>
        <v>TUTR</v>
      </c>
      <c r="D8474" s="122" t="str">
        <f>IFERROR(__xludf.DUMMYFUNCTION("""COMPUTED_VALUE"""),"TutorTown")</f>
        <v>TutorTown</v>
      </c>
      <c r="E8474" s="122">
        <f>IFERROR(__xludf.DUMMYFUNCTION("""COMPUTED_VALUE"""),91.31)</f>
        <v>91.31</v>
      </c>
      <c r="F8474" s="122">
        <f>IFERROR(__xludf.DUMMYFUNCTION("""COMPUTED_VALUE"""),0.0053)</f>
        <v>0.0053</v>
      </c>
    </row>
    <row r="8475">
      <c r="A8475" s="131">
        <f>IFERROR(__xludf.DUMMYFUNCTION("""COMPUTED_VALUE"""),46187.64040509259)</f>
        <v>46187.64041</v>
      </c>
      <c r="B8475" s="126">
        <f>IFERROR(__xludf.DUMMYFUNCTION("""COMPUTED_VALUE"""),46187.0)</f>
        <v>46187</v>
      </c>
      <c r="C8475" s="122" t="str">
        <f>IFERROR(__xludf.DUMMYFUNCTION("""COMPUTED_VALUE"""),"LANG")</f>
        <v>LANG</v>
      </c>
      <c r="D8475" s="122" t="str">
        <f>IFERROR(__xludf.DUMMYFUNCTION("""COMPUTED_VALUE"""),"LinguaLab")</f>
        <v>LinguaLab</v>
      </c>
      <c r="E8475" s="122">
        <f>IFERROR(__xludf.DUMMYFUNCTION("""COMPUTED_VALUE"""),102.88)</f>
        <v>102.88</v>
      </c>
      <c r="F8475" s="122">
        <f>IFERROR(__xludf.DUMMYFUNCTION("""COMPUTED_VALUE"""),-0.0019)</f>
        <v>-0.0019</v>
      </c>
    </row>
    <row r="8476">
      <c r="A8476" s="131">
        <f>IFERROR(__xludf.DUMMYFUNCTION("""COMPUTED_VALUE"""),46187.64040509259)</f>
        <v>46187.64041</v>
      </c>
      <c r="B8476" s="126">
        <f>IFERROR(__xludf.DUMMYFUNCTION("""COMPUTED_VALUE"""),46187.0)</f>
        <v>46187</v>
      </c>
      <c r="C8476" s="122" t="str">
        <f>IFERROR(__xludf.DUMMYFUNCTION("""COMPUTED_VALUE"""),"TEST")</f>
        <v>TEST</v>
      </c>
      <c r="D8476" s="122" t="str">
        <f>IFERROR(__xludf.DUMMYFUNCTION("""COMPUTED_VALUE"""),"TestPrep Pro")</f>
        <v>TestPrep Pro</v>
      </c>
      <c r="E8476" s="122">
        <f>IFERROR(__xludf.DUMMYFUNCTION("""COMPUTED_VALUE"""),90.82)</f>
        <v>90.82</v>
      </c>
      <c r="F8476" s="122">
        <f>IFERROR(__xludf.DUMMYFUNCTION("""COMPUTED_VALUE"""),0.0069)</f>
        <v>0.0069</v>
      </c>
    </row>
    <row r="8477">
      <c r="A8477" s="131">
        <f>IFERROR(__xludf.DUMMYFUNCTION("""COMPUTED_VALUE"""),46187.64040509259)</f>
        <v>46187.64041</v>
      </c>
      <c r="B8477" s="126">
        <f>IFERROR(__xludf.DUMMYFUNCTION("""COMPUTED_VALUE"""),46187.0)</f>
        <v>46187</v>
      </c>
      <c r="C8477" s="122" t="str">
        <f>IFERROR(__xludf.DUMMYFUNCTION("""COMPUTED_VALUE"""),"MOVI")</f>
        <v>MOVI</v>
      </c>
      <c r="D8477" s="122" t="str">
        <f>IFERROR(__xludf.DUMMYFUNCTION("""COMPUTED_VALUE"""),"MovieBox")</f>
        <v>MovieBox</v>
      </c>
      <c r="E8477" s="122">
        <f>IFERROR(__xludf.DUMMYFUNCTION("""COMPUTED_VALUE"""),83.71)</f>
        <v>83.71</v>
      </c>
      <c r="F8477" s="122">
        <f>IFERROR(__xludf.DUMMYFUNCTION("""COMPUTED_VALUE"""),0.0084)</f>
        <v>0.0084</v>
      </c>
    </row>
    <row r="8478">
      <c r="A8478" s="131">
        <f>IFERROR(__xludf.DUMMYFUNCTION("""COMPUTED_VALUE"""),46187.64040509259)</f>
        <v>46187.64041</v>
      </c>
      <c r="B8478" s="126">
        <f>IFERROR(__xludf.DUMMYFUNCTION("""COMPUTED_VALUE"""),46187.0)</f>
        <v>46187</v>
      </c>
      <c r="C8478" s="122" t="str">
        <f>IFERROR(__xludf.DUMMYFUNCTION("""COMPUTED_VALUE"""),"MUSC")</f>
        <v>MUSC</v>
      </c>
      <c r="D8478" s="122" t="str">
        <f>IFERROR(__xludf.DUMMYFUNCTION("""COMPUTED_VALUE"""),"MusicWave")</f>
        <v>MusicWave</v>
      </c>
      <c r="E8478" s="122">
        <f>IFERROR(__xludf.DUMMYFUNCTION("""COMPUTED_VALUE"""),104.62)</f>
        <v>104.62</v>
      </c>
      <c r="F8478" s="122">
        <f>IFERROR(__xludf.DUMMYFUNCTION("""COMPUTED_VALUE"""),0.0082)</f>
        <v>0.0082</v>
      </c>
    </row>
    <row r="8479">
      <c r="A8479" s="131">
        <f>IFERROR(__xludf.DUMMYFUNCTION("""COMPUTED_VALUE"""),46187.64040509259)</f>
        <v>46187.64041</v>
      </c>
      <c r="B8479" s="126">
        <f>IFERROR(__xludf.DUMMYFUNCTION("""COMPUTED_VALUE"""),46187.0)</f>
        <v>46187</v>
      </c>
      <c r="C8479" s="122" t="str">
        <f>IFERROR(__xludf.DUMMYFUNCTION("""COMPUTED_VALUE"""),"IDOL")</f>
        <v>IDOL</v>
      </c>
      <c r="D8479" s="122" t="str">
        <f>IFERROR(__xludf.DUMMYFUNCTION("""COMPUTED_VALUE"""),"Idol Agency")</f>
        <v>Idol Agency</v>
      </c>
      <c r="E8479" s="122">
        <f>IFERROR(__xludf.DUMMYFUNCTION("""COMPUTED_VALUE"""),186.38)</f>
        <v>186.38</v>
      </c>
      <c r="F8479" s="122">
        <f>IFERROR(__xludf.DUMMYFUNCTION("""COMPUTED_VALUE"""),0.0019)</f>
        <v>0.0019</v>
      </c>
    </row>
    <row r="8480">
      <c r="A8480" s="131">
        <f>IFERROR(__xludf.DUMMYFUNCTION("""COMPUTED_VALUE"""),46187.64040509259)</f>
        <v>46187.64041</v>
      </c>
      <c r="B8480" s="126">
        <f>IFERROR(__xludf.DUMMYFUNCTION("""COMPUTED_VALUE"""),46187.0)</f>
        <v>46187</v>
      </c>
      <c r="C8480" s="122" t="str">
        <f>IFERROR(__xludf.DUMMYFUNCTION("""COMPUTED_VALUE"""),"MEME")</f>
        <v>MEME</v>
      </c>
      <c r="D8480" s="122" t="str">
        <f>IFERROR(__xludf.DUMMYFUNCTION("""COMPUTED_VALUE"""),"Meme Media")</f>
        <v>Meme Media</v>
      </c>
      <c r="E8480" s="122">
        <f>IFERROR(__xludf.DUMMYFUNCTION("""COMPUTED_VALUE"""),71.11)</f>
        <v>71.11</v>
      </c>
      <c r="F8480" s="122">
        <f>IFERROR(__xludf.DUMMYFUNCTION("""COMPUTED_VALUE"""),0.0024)</f>
        <v>0.0024</v>
      </c>
    </row>
    <row r="8481">
      <c r="A8481" s="131">
        <f>IFERROR(__xludf.DUMMYFUNCTION("""COMPUTED_VALUE"""),46187.64040509259)</f>
        <v>46187.64041</v>
      </c>
      <c r="B8481" s="126">
        <f>IFERROR(__xludf.DUMMYFUNCTION("""COMPUTED_VALUE"""),46187.0)</f>
        <v>46187</v>
      </c>
      <c r="C8481" s="122" t="str">
        <f>IFERROR(__xludf.DUMMYFUNCTION("""COMPUTED_VALUE"""),"STRM")</f>
        <v>STRM</v>
      </c>
      <c r="D8481" s="122" t="str">
        <f>IFERROR(__xludf.DUMMYFUNCTION("""COMPUTED_VALUE"""),"Streamly")</f>
        <v>Streamly</v>
      </c>
      <c r="E8481" s="122">
        <f>IFERROR(__xludf.DUMMYFUNCTION("""COMPUTED_VALUE"""),132.59)</f>
        <v>132.59</v>
      </c>
      <c r="F8481" s="122">
        <f>IFERROR(__xludf.DUMMYFUNCTION("""COMPUTED_VALUE"""),-0.0031)</f>
        <v>-0.0031</v>
      </c>
    </row>
    <row r="8482">
      <c r="A8482" s="131">
        <f>IFERROR(__xludf.DUMMYFUNCTION("""COMPUTED_VALUE"""),46187.64040509259)</f>
        <v>46187.64041</v>
      </c>
      <c r="B8482" s="126">
        <f>IFERROR(__xludf.DUMMYFUNCTION("""COMPUTED_VALUE"""),46187.0)</f>
        <v>46187</v>
      </c>
      <c r="C8482" s="122" t="str">
        <f>IFERROR(__xludf.DUMMYFUNCTION("""COMPUTED_VALUE"""),"FARM")</f>
        <v>FARM</v>
      </c>
      <c r="D8482" s="122" t="str">
        <f>IFERROR(__xludf.DUMMYFUNCTION("""COMPUTED_VALUE"""),"Future Farms")</f>
        <v>Future Farms</v>
      </c>
      <c r="E8482" s="122">
        <f>IFERROR(__xludf.DUMMYFUNCTION("""COMPUTED_VALUE"""),99.26)</f>
        <v>99.26</v>
      </c>
      <c r="F8482" s="122">
        <f>IFERROR(__xludf.DUMMYFUNCTION("""COMPUTED_VALUE"""),0.004)</f>
        <v>0.004</v>
      </c>
    </row>
    <row r="8483">
      <c r="A8483" s="131">
        <f>IFERROR(__xludf.DUMMYFUNCTION("""COMPUTED_VALUE"""),46187.64040509259)</f>
        <v>46187.64041</v>
      </c>
      <c r="B8483" s="126">
        <f>IFERROR(__xludf.DUMMYFUNCTION("""COMPUTED_VALUE"""),46187.0)</f>
        <v>46187</v>
      </c>
      <c r="C8483" s="122" t="str">
        <f>IFERROR(__xludf.DUMMYFUNCTION("""COMPUTED_VALUE"""),"MEAT")</f>
        <v>MEAT</v>
      </c>
      <c r="D8483" s="122" t="str">
        <f>IFERROR(__xludf.DUMMYFUNCTION("""COMPUTED_VALUE"""),"MeatWorks")</f>
        <v>MeatWorks</v>
      </c>
      <c r="E8483" s="122">
        <f>IFERROR(__xludf.DUMMYFUNCTION("""COMPUTED_VALUE"""),104.65)</f>
        <v>104.65</v>
      </c>
      <c r="F8483" s="122">
        <f>IFERROR(__xludf.DUMMYFUNCTION("""COMPUTED_VALUE"""),0.0057)</f>
        <v>0.0057</v>
      </c>
    </row>
    <row r="8484">
      <c r="A8484" s="131">
        <f>IFERROR(__xludf.DUMMYFUNCTION("""COMPUTED_VALUE"""),46187.64040509259)</f>
        <v>46187.64041</v>
      </c>
      <c r="B8484" s="126">
        <f>IFERROR(__xludf.DUMMYFUNCTION("""COMPUTED_VALUE"""),46187.0)</f>
        <v>46187</v>
      </c>
      <c r="C8484" s="122" t="str">
        <f>IFERROR(__xludf.DUMMYFUNCTION("""COMPUTED_VALUE"""),"VEGI")</f>
        <v>VEGI</v>
      </c>
      <c r="D8484" s="122" t="str">
        <f>IFERROR(__xludf.DUMMYFUNCTION("""COMPUTED_VALUE"""),"Green Basket")</f>
        <v>Green Basket</v>
      </c>
      <c r="E8484" s="122">
        <f>IFERROR(__xludf.DUMMYFUNCTION("""COMPUTED_VALUE"""),76.93)</f>
        <v>76.93</v>
      </c>
      <c r="F8484" s="122">
        <f>IFERROR(__xludf.DUMMYFUNCTION("""COMPUTED_VALUE"""),0.002)</f>
        <v>0.002</v>
      </c>
    </row>
    <row r="8485">
      <c r="A8485" s="131">
        <f>IFERROR(__xludf.DUMMYFUNCTION("""COMPUTED_VALUE"""),46187.64040509259)</f>
        <v>46187.64041</v>
      </c>
      <c r="B8485" s="126">
        <f>IFERROR(__xludf.DUMMYFUNCTION("""COMPUTED_VALUE"""),46187.0)</f>
        <v>46187</v>
      </c>
      <c r="C8485" s="122" t="str">
        <f>IFERROR(__xludf.DUMMYFUNCTION("""COMPUTED_VALUE"""),"CAFE")</f>
        <v>CAFE</v>
      </c>
      <c r="D8485" s="122" t="str">
        <f>IFERROR(__xludf.DUMMYFUNCTION("""COMPUTED_VALUE"""),"Cafe Cloud")</f>
        <v>Cafe Cloud</v>
      </c>
      <c r="E8485" s="122">
        <f>IFERROR(__xludf.DUMMYFUNCTION("""COMPUTED_VALUE"""),102.01)</f>
        <v>102.01</v>
      </c>
      <c r="F8485" s="122">
        <f>IFERROR(__xludf.DUMMYFUNCTION("""COMPUTED_VALUE"""),-0.0048)</f>
        <v>-0.0048</v>
      </c>
    </row>
    <row r="8486">
      <c r="A8486" s="131">
        <f>IFERROR(__xludf.DUMMYFUNCTION("""COMPUTED_VALUE"""),46187.64040509259)</f>
        <v>46187.64041</v>
      </c>
      <c r="B8486" s="126">
        <f>IFERROR(__xludf.DUMMYFUNCTION("""COMPUTED_VALUE"""),46187.0)</f>
        <v>46187</v>
      </c>
      <c r="C8486" s="122" t="str">
        <f>IFERROR(__xludf.DUMMYFUNCTION("""COMPUTED_VALUE"""),"BAKE")</f>
        <v>BAKE</v>
      </c>
      <c r="D8486" s="122" t="str">
        <f>IFERROR(__xludf.DUMMYFUNCTION("""COMPUTED_VALUE"""),"BakeHouse")</f>
        <v>BakeHouse</v>
      </c>
      <c r="E8486" s="122">
        <f>IFERROR(__xludf.DUMMYFUNCTION("""COMPUTED_VALUE"""),100.2)</f>
        <v>100.2</v>
      </c>
      <c r="F8486" s="122">
        <f>IFERROR(__xludf.DUMMYFUNCTION("""COMPUTED_VALUE"""),2.0E-4)</f>
        <v>0.0002</v>
      </c>
    </row>
    <row r="8487">
      <c r="A8487" s="131">
        <f>IFERROR(__xludf.DUMMYFUNCTION("""COMPUTED_VALUE"""),46187.64040509259)</f>
        <v>46187.64041</v>
      </c>
      <c r="B8487" s="126">
        <f>IFERROR(__xludf.DUMMYFUNCTION("""COMPUTED_VALUE"""),46187.0)</f>
        <v>46187</v>
      </c>
      <c r="C8487" s="122" t="str">
        <f>IFERROR(__xludf.DUMMYFUNCTION("""COMPUTED_VALUE"""),"OILX")</f>
        <v>OILX</v>
      </c>
      <c r="D8487" s="122" t="str">
        <f>IFERROR(__xludf.DUMMYFUNCTION("""COMPUTED_VALUE"""),"OilMax Energy")</f>
        <v>OilMax Energy</v>
      </c>
      <c r="E8487" s="122">
        <f>IFERROR(__xludf.DUMMYFUNCTION("""COMPUTED_VALUE"""),135.08)</f>
        <v>135.08</v>
      </c>
      <c r="F8487" s="122">
        <f>IFERROR(__xludf.DUMMYFUNCTION("""COMPUTED_VALUE"""),-0.01)</f>
        <v>-0.01</v>
      </c>
    </row>
    <row r="8488">
      <c r="A8488" s="131">
        <f>IFERROR(__xludf.DUMMYFUNCTION("""COMPUTED_VALUE"""),46187.64040509259)</f>
        <v>46187.64041</v>
      </c>
      <c r="B8488" s="126">
        <f>IFERROR(__xludf.DUMMYFUNCTION("""COMPUTED_VALUE"""),46187.0)</f>
        <v>46187</v>
      </c>
      <c r="C8488" s="122" t="str">
        <f>IFERROR(__xludf.DUMMYFUNCTION("""COMPUTED_VALUE"""),"SOLR")</f>
        <v>SOLR</v>
      </c>
      <c r="D8488" s="122" t="str">
        <f>IFERROR(__xludf.DUMMYFUNCTION("""COMPUTED_VALUE"""),"SolarSpark")</f>
        <v>SolarSpark</v>
      </c>
      <c r="E8488" s="122">
        <f>IFERROR(__xludf.DUMMYFUNCTION("""COMPUTED_VALUE"""),109.1)</f>
        <v>109.1</v>
      </c>
      <c r="F8488" s="122">
        <f>IFERROR(__xludf.DUMMYFUNCTION("""COMPUTED_VALUE"""),-0.0066)</f>
        <v>-0.0066</v>
      </c>
    </row>
    <row r="8489">
      <c r="A8489" s="131">
        <f>IFERROR(__xludf.DUMMYFUNCTION("""COMPUTED_VALUE"""),46187.64040509259)</f>
        <v>46187.64041</v>
      </c>
      <c r="B8489" s="126">
        <f>IFERROR(__xludf.DUMMYFUNCTION("""COMPUTED_VALUE"""),46187.0)</f>
        <v>46187</v>
      </c>
      <c r="C8489" s="122" t="str">
        <f>IFERROR(__xludf.DUMMYFUNCTION("""COMPUTED_VALUE"""),"BATT")</f>
        <v>BATT</v>
      </c>
      <c r="D8489" s="122" t="str">
        <f>IFERROR(__xludf.DUMMYFUNCTION("""COMPUTED_VALUE"""),"BatteryBox")</f>
        <v>BatteryBox</v>
      </c>
      <c r="E8489" s="122">
        <f>IFERROR(__xludf.DUMMYFUNCTION("""COMPUTED_VALUE"""),121.84)</f>
        <v>121.84</v>
      </c>
      <c r="F8489" s="122">
        <f>IFERROR(__xludf.DUMMYFUNCTION("""COMPUTED_VALUE"""),9.0E-4)</f>
        <v>0.0009</v>
      </c>
    </row>
    <row r="8490">
      <c r="A8490" s="131">
        <f>IFERROR(__xludf.DUMMYFUNCTION("""COMPUTED_VALUE"""),46187.64040509259)</f>
        <v>46187.64041</v>
      </c>
      <c r="B8490" s="126">
        <f>IFERROR(__xludf.DUMMYFUNCTION("""COMPUTED_VALUE"""),46187.0)</f>
        <v>46187</v>
      </c>
      <c r="C8490" s="122" t="str">
        <f>IFERROR(__xludf.DUMMYFUNCTION("""COMPUTED_VALUE"""),"WIND")</f>
        <v>WIND</v>
      </c>
      <c r="D8490" s="122" t="str">
        <f>IFERROR(__xludf.DUMMYFUNCTION("""COMPUTED_VALUE"""),"WindWorks")</f>
        <v>WindWorks</v>
      </c>
      <c r="E8490" s="122">
        <f>IFERROR(__xludf.DUMMYFUNCTION("""COMPUTED_VALUE"""),85.82)</f>
        <v>85.82</v>
      </c>
      <c r="F8490" s="122">
        <f>IFERROR(__xludf.DUMMYFUNCTION("""COMPUTED_VALUE"""),0.0013)</f>
        <v>0.0013</v>
      </c>
    </row>
    <row r="8491">
      <c r="A8491" s="131">
        <f>IFERROR(__xludf.DUMMYFUNCTION("""COMPUTED_VALUE"""),46187.64040509259)</f>
        <v>46187.64041</v>
      </c>
      <c r="B8491" s="126">
        <f>IFERROR(__xludf.DUMMYFUNCTION("""COMPUTED_VALUE"""),46187.0)</f>
        <v>46187</v>
      </c>
      <c r="C8491" s="122" t="str">
        <f>IFERROR(__xludf.DUMMYFUNCTION("""COMPUTED_VALUE"""),"GRID")</f>
        <v>GRID</v>
      </c>
      <c r="D8491" s="122" t="str">
        <f>IFERROR(__xludf.DUMMYFUNCTION("""COMPUTED_VALUE"""),"GridPower")</f>
        <v>GridPower</v>
      </c>
      <c r="E8491" s="122">
        <f>IFERROR(__xludf.DUMMYFUNCTION("""COMPUTED_VALUE"""),126.3)</f>
        <v>126.3</v>
      </c>
      <c r="F8491" s="122">
        <f>IFERROR(__xludf.DUMMYFUNCTION("""COMPUTED_VALUE"""),-0.0061)</f>
        <v>-0.0061</v>
      </c>
    </row>
    <row r="8492">
      <c r="A8492" s="131">
        <f>IFERROR(__xludf.DUMMYFUNCTION("""COMPUTED_VALUE"""),46187.64040509259)</f>
        <v>46187.64041</v>
      </c>
      <c r="B8492" s="126">
        <f>IFERROR(__xludf.DUMMYFUNCTION("""COMPUTED_VALUE"""),46187.0)</f>
        <v>46187</v>
      </c>
      <c r="C8492" s="122" t="str">
        <f>IFERROR(__xludf.DUMMYFUNCTION("""COMPUTED_VALUE"""),"HOME")</f>
        <v>HOME</v>
      </c>
      <c r="D8492" s="122" t="str">
        <f>IFERROR(__xludf.DUMMYFUNCTION("""COMPUTED_VALUE"""),"HomeHub")</f>
        <v>HomeHub</v>
      </c>
      <c r="E8492" s="122">
        <f>IFERROR(__xludf.DUMMYFUNCTION("""COMPUTED_VALUE"""),160.06)</f>
        <v>160.06</v>
      </c>
      <c r="F8492" s="122">
        <f>IFERROR(__xludf.DUMMYFUNCTION("""COMPUTED_VALUE"""),-0.0024)</f>
        <v>-0.0024</v>
      </c>
    </row>
    <row r="8493">
      <c r="A8493" s="131">
        <f>IFERROR(__xludf.DUMMYFUNCTION("""COMPUTED_VALUE"""),46187.64040509259)</f>
        <v>46187.64041</v>
      </c>
      <c r="B8493" s="126">
        <f>IFERROR(__xludf.DUMMYFUNCTION("""COMPUTED_VALUE"""),46187.0)</f>
        <v>46187</v>
      </c>
      <c r="C8493" s="122" t="str">
        <f>IFERROR(__xludf.DUMMYFUNCTION("""COMPUTED_VALUE"""),"RENT")</f>
        <v>RENT</v>
      </c>
      <c r="D8493" s="122" t="str">
        <f>IFERROR(__xludf.DUMMYFUNCTION("""COMPUTED_VALUE"""),"RentRight")</f>
        <v>RentRight</v>
      </c>
      <c r="E8493" s="122">
        <f>IFERROR(__xludf.DUMMYFUNCTION("""COMPUTED_VALUE"""),91.11)</f>
        <v>91.11</v>
      </c>
      <c r="F8493" s="122">
        <f>IFERROR(__xludf.DUMMYFUNCTION("""COMPUTED_VALUE"""),0.0033)</f>
        <v>0.0033</v>
      </c>
    </row>
    <row r="8494">
      <c r="A8494" s="131">
        <f>IFERROR(__xludf.DUMMYFUNCTION("""COMPUTED_VALUE"""),46187.64040509259)</f>
        <v>46187.64041</v>
      </c>
      <c r="B8494" s="126">
        <f>IFERROR(__xludf.DUMMYFUNCTION("""COMPUTED_VALUE"""),46187.0)</f>
        <v>46187</v>
      </c>
      <c r="C8494" s="122" t="str">
        <f>IFERROR(__xludf.DUMMYFUNCTION("""COMPUTED_VALUE"""),"MALL")</f>
        <v>MALL</v>
      </c>
      <c r="D8494" s="122" t="str">
        <f>IFERROR(__xludf.DUMMYFUNCTION("""COMPUTED_VALUE"""),"MegaMall")</f>
        <v>MegaMall</v>
      </c>
      <c r="E8494" s="122">
        <f>IFERROR(__xludf.DUMMYFUNCTION("""COMPUTED_VALUE"""),102.11)</f>
        <v>102.11</v>
      </c>
      <c r="F8494" s="122">
        <f>IFERROR(__xludf.DUMMYFUNCTION("""COMPUTED_VALUE"""),0.0036)</f>
        <v>0.0036</v>
      </c>
    </row>
    <row r="8495">
      <c r="A8495" s="131">
        <f>IFERROR(__xludf.DUMMYFUNCTION("""COMPUTED_VALUE"""),46187.64040509259)</f>
        <v>46187.64041</v>
      </c>
      <c r="B8495" s="126">
        <f>IFERROR(__xludf.DUMMYFUNCTION("""COMPUTED_VALUE"""),46187.0)</f>
        <v>46187</v>
      </c>
      <c r="C8495" s="122" t="str">
        <f>IFERROR(__xludf.DUMMYFUNCTION("""COMPUTED_VALUE"""),"HOTL")</f>
        <v>HOTL</v>
      </c>
      <c r="D8495" s="122" t="str">
        <f>IFERROR(__xludf.DUMMYFUNCTION("""COMPUTED_VALUE"""),"HotelHive")</f>
        <v>HotelHive</v>
      </c>
      <c r="E8495" s="122">
        <f>IFERROR(__xludf.DUMMYFUNCTION("""COMPUTED_VALUE"""),120.03)</f>
        <v>120.03</v>
      </c>
      <c r="F8495" s="122">
        <f>IFERROR(__xludf.DUMMYFUNCTION("""COMPUTED_VALUE"""),-0.0055)</f>
        <v>-0.0055</v>
      </c>
    </row>
    <row r="8496">
      <c r="A8496" s="131">
        <f>IFERROR(__xludf.DUMMYFUNCTION("""COMPUTED_VALUE"""),46187.64040509259)</f>
        <v>46187.64041</v>
      </c>
      <c r="B8496" s="126">
        <f>IFERROR(__xludf.DUMMYFUNCTION("""COMPUTED_VALUE"""),46187.0)</f>
        <v>46187</v>
      </c>
      <c r="C8496" s="122" t="str">
        <f>IFERROR(__xludf.DUMMYFUNCTION("""COMPUTED_VALUE"""),"LAND")</f>
        <v>LAND</v>
      </c>
      <c r="D8496" s="122" t="str">
        <f>IFERROR(__xludf.DUMMYFUNCTION("""COMPUTED_VALUE"""),"LandLink")</f>
        <v>LandLink</v>
      </c>
      <c r="E8496" s="122">
        <f>IFERROR(__xludf.DUMMYFUNCTION("""COMPUTED_VALUE"""),187.97)</f>
        <v>187.97</v>
      </c>
      <c r="F8496" s="122">
        <f>IFERROR(__xludf.DUMMYFUNCTION("""COMPUTED_VALUE"""),-1.0E-4)</f>
        <v>-0.0001</v>
      </c>
    </row>
    <row r="8497">
      <c r="A8497" s="131">
        <f>IFERROR(__xludf.DUMMYFUNCTION("""COMPUTED_VALUE"""),46187.64040509259)</f>
        <v>46187.64041</v>
      </c>
      <c r="B8497" s="126">
        <f>IFERROR(__xludf.DUMMYFUNCTION("""COMPUTED_VALUE"""),46187.0)</f>
        <v>46187</v>
      </c>
      <c r="C8497" s="122" t="str">
        <f>IFERROR(__xludf.DUMMYFUNCTION("""COMPUTED_VALUE"""),"CARS")</f>
        <v>CARS</v>
      </c>
      <c r="D8497" s="122" t="str">
        <f>IFERROR(__xludf.DUMMYFUNCTION("""COMPUTED_VALUE"""),"AutoArena")</f>
        <v>AutoArena</v>
      </c>
      <c r="E8497" s="122">
        <f>IFERROR(__xludf.DUMMYFUNCTION("""COMPUTED_VALUE"""),81.75)</f>
        <v>81.75</v>
      </c>
      <c r="F8497" s="122">
        <f>IFERROR(__xludf.DUMMYFUNCTION("""COMPUTED_VALUE"""),0.0034)</f>
        <v>0.0034</v>
      </c>
    </row>
    <row r="8498">
      <c r="A8498" s="131">
        <f>IFERROR(__xludf.DUMMYFUNCTION("""COMPUTED_VALUE"""),46187.64040509259)</f>
        <v>46187.64041</v>
      </c>
      <c r="B8498" s="126">
        <f>IFERROR(__xludf.DUMMYFUNCTION("""COMPUTED_VALUE"""),46187.0)</f>
        <v>46187</v>
      </c>
      <c r="C8498" s="122" t="str">
        <f>IFERROR(__xludf.DUMMYFUNCTION("""COMPUTED_VALUE"""),"EVGO")</f>
        <v>EVGO</v>
      </c>
      <c r="D8498" s="122" t="str">
        <f>IFERROR(__xludf.DUMMYFUNCTION("""COMPUTED_VALUE"""),"EVGo Motors")</f>
        <v>EVGo Motors</v>
      </c>
      <c r="E8498" s="122">
        <f>IFERROR(__xludf.DUMMYFUNCTION("""COMPUTED_VALUE"""),189.33)</f>
        <v>189.33</v>
      </c>
      <c r="F8498" s="122">
        <f>IFERROR(__xludf.DUMMYFUNCTION("""COMPUTED_VALUE"""),-0.0097)</f>
        <v>-0.0097</v>
      </c>
    </row>
    <row r="8499">
      <c r="A8499" s="131">
        <f>IFERROR(__xludf.DUMMYFUNCTION("""COMPUTED_VALUE"""),46187.64040509259)</f>
        <v>46187.64041</v>
      </c>
      <c r="B8499" s="126">
        <f>IFERROR(__xludf.DUMMYFUNCTION("""COMPUTED_VALUE"""),46187.0)</f>
        <v>46187</v>
      </c>
      <c r="C8499" s="122" t="str">
        <f>IFERROR(__xludf.DUMMYFUNCTION("""COMPUTED_VALUE"""),"TIRE")</f>
        <v>TIRE</v>
      </c>
      <c r="D8499" s="122" t="str">
        <f>IFERROR(__xludf.DUMMYFUNCTION("""COMPUTED_VALUE"""),"TireTown")</f>
        <v>TireTown</v>
      </c>
      <c r="E8499" s="122">
        <f>IFERROR(__xludf.DUMMYFUNCTION("""COMPUTED_VALUE"""),99.05)</f>
        <v>99.05</v>
      </c>
      <c r="F8499" s="122">
        <f>IFERROR(__xludf.DUMMYFUNCTION("""COMPUTED_VALUE"""),0.0058)</f>
        <v>0.0058</v>
      </c>
    </row>
    <row r="8500">
      <c r="A8500" s="131">
        <f>IFERROR(__xludf.DUMMYFUNCTION("""COMPUTED_VALUE"""),46187.64040509259)</f>
        <v>46187.64041</v>
      </c>
      <c r="B8500" s="126">
        <f>IFERROR(__xludf.DUMMYFUNCTION("""COMPUTED_VALUE"""),46187.0)</f>
        <v>46187</v>
      </c>
      <c r="C8500" s="122" t="str">
        <f>IFERROR(__xludf.DUMMYFUNCTION("""COMPUTED_VALUE"""),"BIKE")</f>
        <v>BIKE</v>
      </c>
      <c r="D8500" s="122" t="str">
        <f>IFERROR(__xludf.DUMMYFUNCTION("""COMPUTED_VALUE"""),"BikeBox")</f>
        <v>BikeBox</v>
      </c>
      <c r="E8500" s="122">
        <f>IFERROR(__xludf.DUMMYFUNCTION("""COMPUTED_VALUE"""),52.22)</f>
        <v>52.22</v>
      </c>
      <c r="F8500" s="122">
        <f>IFERROR(__xludf.DUMMYFUNCTION("""COMPUTED_VALUE"""),-0.0057)</f>
        <v>-0.0057</v>
      </c>
    </row>
    <row r="8501">
      <c r="A8501" s="131">
        <f>IFERROR(__xludf.DUMMYFUNCTION("""COMPUTED_VALUE"""),46187.64040509259)</f>
        <v>46187.64041</v>
      </c>
      <c r="B8501" s="126">
        <f>IFERROR(__xludf.DUMMYFUNCTION("""COMPUTED_VALUE"""),46187.0)</f>
        <v>46187</v>
      </c>
      <c r="C8501" s="122" t="str">
        <f>IFERROR(__xludf.DUMMYFUNCTION("""COMPUTED_VALUE"""),"WASH")</f>
        <v>WASH</v>
      </c>
      <c r="D8501" s="122" t="str">
        <f>IFERROR(__xludf.DUMMYFUNCTION("""COMPUTED_VALUE"""),"CarWash Co")</f>
        <v>CarWash Co</v>
      </c>
      <c r="E8501" s="122">
        <f>IFERROR(__xludf.DUMMYFUNCTION("""COMPUTED_VALUE"""),121.79)</f>
        <v>121.79</v>
      </c>
      <c r="F8501" s="122">
        <f>IFERROR(__xludf.DUMMYFUNCTION("""COMPUTED_VALUE"""),0.002)</f>
        <v>0.002</v>
      </c>
    </row>
    <row r="8502">
      <c r="A8502" s="131">
        <f>IFERROR(__xludf.DUMMYFUNCTION("""COMPUTED_VALUE"""),46187.64040509259)</f>
        <v>46187.64041</v>
      </c>
      <c r="B8502" s="126">
        <f>IFERROR(__xludf.DUMMYFUNCTION("""COMPUTED_VALUE"""),46187.0)</f>
        <v>46187</v>
      </c>
      <c r="C8502" s="122" t="str">
        <f>IFERROR(__xludf.DUMMYFUNCTION("""COMPUTED_VALUE"""),"GBND")</f>
        <v>GBND</v>
      </c>
      <c r="D8502" s="122" t="str">
        <f>IFERROR(__xludf.DUMMYFUNCTION("""COMPUTED_VALUE"""),"Classroom Government Bond")</f>
        <v>Classroom Government Bond</v>
      </c>
      <c r="E8502" s="122">
        <f>IFERROR(__xludf.DUMMYFUNCTION("""COMPUTED_VALUE"""),101.12)</f>
        <v>101.12</v>
      </c>
      <c r="F8502" s="122">
        <f>IFERROR(__xludf.DUMMYFUNCTION("""COMPUTED_VALUE"""),4.0E-4)</f>
        <v>0.0004</v>
      </c>
    </row>
    <row r="8503">
      <c r="A8503" s="131">
        <f>IFERROR(__xludf.DUMMYFUNCTION("""COMPUTED_VALUE"""),46187.64040509259)</f>
        <v>46187.64041</v>
      </c>
      <c r="B8503" s="126">
        <f>IFERROR(__xludf.DUMMYFUNCTION("""COMPUTED_VALUE"""),46187.0)</f>
        <v>46187</v>
      </c>
      <c r="C8503" s="122" t="str">
        <f>IFERROR(__xludf.DUMMYFUNCTION("""COMPUTED_VALUE"""),"SBND")</f>
        <v>SBND</v>
      </c>
      <c r="D8503" s="122" t="str">
        <f>IFERROR(__xludf.DUMMYFUNCTION("""COMPUTED_VALUE"""),"School Savings Bond")</f>
        <v>School Savings Bond</v>
      </c>
      <c r="E8503" s="122">
        <f>IFERROR(__xludf.DUMMYFUNCTION("""COMPUTED_VALUE"""),99.2)</f>
        <v>99.2</v>
      </c>
      <c r="F8503" s="122">
        <f>IFERROR(__xludf.DUMMYFUNCTION("""COMPUTED_VALUE"""),3.0E-4)</f>
        <v>0.0003</v>
      </c>
    </row>
    <row r="8504">
      <c r="A8504" s="131">
        <f>IFERROR(__xludf.DUMMYFUNCTION("""COMPUTED_VALUE"""),46187.64040509259)</f>
        <v>46187.64041</v>
      </c>
      <c r="B8504" s="126">
        <f>IFERROR(__xludf.DUMMYFUNCTION("""COMPUTED_VALUE"""),46187.0)</f>
        <v>46187</v>
      </c>
      <c r="C8504" s="122" t="str">
        <f>IFERROR(__xludf.DUMMYFUNCTION("""COMPUTED_VALUE"""),"CBND")</f>
        <v>CBND</v>
      </c>
      <c r="D8504" s="122" t="str">
        <f>IFERROR(__xludf.DUMMYFUNCTION("""COMPUTED_VALUE"""),"Corporate Classroom Bond")</f>
        <v>Corporate Classroom Bond</v>
      </c>
      <c r="E8504" s="122">
        <f>IFERROR(__xludf.DUMMYFUNCTION("""COMPUTED_VALUE"""),97.75)</f>
        <v>97.75</v>
      </c>
      <c r="F8504" s="122">
        <f>IFERROR(__xludf.DUMMYFUNCTION("""COMPUTED_VALUE"""),2.0E-4)</f>
        <v>0.0002</v>
      </c>
    </row>
    <row r="8505">
      <c r="A8505" s="131">
        <f>IFERROR(__xludf.DUMMYFUNCTION("""COMPUTED_VALUE"""),46187.64040509259)</f>
        <v>46187.64041</v>
      </c>
      <c r="B8505" s="126">
        <f>IFERROR(__xludf.DUMMYFUNCTION("""COMPUTED_VALUE"""),46187.0)</f>
        <v>46187</v>
      </c>
      <c r="C8505" s="122" t="str">
        <f>IFERROR(__xludf.DUMMYFUNCTION("""COMPUTED_VALUE"""),"TBIL")</f>
        <v>TBIL</v>
      </c>
      <c r="D8505" s="122" t="str">
        <f>IFERROR(__xludf.DUMMYFUNCTION("""COMPUTED_VALUE"""),"Treasury Bill")</f>
        <v>Treasury Bill</v>
      </c>
      <c r="E8505" s="122">
        <f>IFERROR(__xludf.DUMMYFUNCTION("""COMPUTED_VALUE"""),97.68)</f>
        <v>97.68</v>
      </c>
      <c r="F8505" s="122">
        <f>IFERROR(__xludf.DUMMYFUNCTION("""COMPUTED_VALUE"""),3.0E-4)</f>
        <v>0.0003</v>
      </c>
    </row>
    <row r="8506">
      <c r="A8506" s="131">
        <f>IFERROR(__xludf.DUMMYFUNCTION("""COMPUTED_VALUE"""),46187.64040509259)</f>
        <v>46187.64041</v>
      </c>
      <c r="B8506" s="126">
        <f>IFERROR(__xludf.DUMMYFUNCTION("""COMPUTED_VALUE"""),46187.0)</f>
        <v>46187</v>
      </c>
      <c r="C8506" s="122" t="str">
        <f>IFERROR(__xludf.DUMMYFUNCTION("""COMPUTED_VALUE"""),"IBND")</f>
        <v>IBND</v>
      </c>
      <c r="D8506" s="122" t="str">
        <f>IFERROR(__xludf.DUMMYFUNCTION("""COMPUTED_VALUE"""),"Inflation Protected Bond")</f>
        <v>Inflation Protected Bond</v>
      </c>
      <c r="E8506" s="122">
        <f>IFERROR(__xludf.DUMMYFUNCTION("""COMPUTED_VALUE"""),100.77)</f>
        <v>100.77</v>
      </c>
      <c r="F8506" s="122">
        <f>IFERROR(__xludf.DUMMYFUNCTION("""COMPUTED_VALUE"""),3.0E-4)</f>
        <v>0.0003</v>
      </c>
    </row>
    <row r="8507">
      <c r="A8507" s="131">
        <f>IFERROR(__xludf.DUMMYFUNCTION("""COMPUTED_VALUE"""),46187.64392361111)</f>
        <v>46187.64392</v>
      </c>
      <c r="B8507" s="126">
        <f>IFERROR(__xludf.DUMMYFUNCTION("""COMPUTED_VALUE"""),46187.0)</f>
        <v>46187</v>
      </c>
      <c r="C8507" s="122" t="str">
        <f>IFERROR(__xludf.DUMMYFUNCTION("""COMPUTED_VALUE"""),"SNAX")</f>
        <v>SNAX</v>
      </c>
      <c r="D8507" s="122" t="str">
        <f>IFERROR(__xludf.DUMMYFUNCTION("""COMPUTED_VALUE"""),"MICA Snacks")</f>
        <v>MICA Snacks</v>
      </c>
      <c r="E8507" s="122">
        <f>IFERROR(__xludf.DUMMYFUNCTION("""COMPUTED_VALUE"""),121.26)</f>
        <v>121.26</v>
      </c>
      <c r="F8507" s="122">
        <f>IFERROR(__xludf.DUMMYFUNCTION("""COMPUTED_VALUE"""),-0.0068)</f>
        <v>-0.0068</v>
      </c>
    </row>
    <row r="8508">
      <c r="A8508" s="131">
        <f>IFERROR(__xludf.DUMMYFUNCTION("""COMPUTED_VALUE"""),46187.64392361111)</f>
        <v>46187.64392</v>
      </c>
      <c r="B8508" s="126">
        <f>IFERROR(__xludf.DUMMYFUNCTION("""COMPUTED_VALUE"""),46187.0)</f>
        <v>46187</v>
      </c>
      <c r="C8508" s="122" t="str">
        <f>IFERROR(__xludf.DUMMYFUNCTION("""COMPUTED_VALUE"""),"RAMN")</f>
        <v>RAMN</v>
      </c>
      <c r="D8508" s="122" t="str">
        <f>IFERROR(__xludf.DUMMYFUNCTION("""COMPUTED_VALUE"""),"Ramen Republic")</f>
        <v>Ramen Republic</v>
      </c>
      <c r="E8508" s="122">
        <f>IFERROR(__xludf.DUMMYFUNCTION("""COMPUTED_VALUE"""),62.04)</f>
        <v>62.04</v>
      </c>
      <c r="F8508" s="122">
        <f>IFERROR(__xludf.DUMMYFUNCTION("""COMPUTED_VALUE"""),-0.0075)</f>
        <v>-0.0075</v>
      </c>
    </row>
    <row r="8509">
      <c r="A8509" s="131">
        <f>IFERROR(__xludf.DUMMYFUNCTION("""COMPUTED_VALUE"""),46187.64392361111)</f>
        <v>46187.64392</v>
      </c>
      <c r="B8509" s="126">
        <f>IFERROR(__xludf.DUMMYFUNCTION("""COMPUTED_VALUE"""),46187.0)</f>
        <v>46187</v>
      </c>
      <c r="C8509" s="122" t="str">
        <f>IFERROR(__xludf.DUMMYFUNCTION("""COMPUTED_VALUE"""),"COLA")</f>
        <v>COLA</v>
      </c>
      <c r="D8509" s="122" t="str">
        <f>IFERROR(__xludf.DUMMYFUNCTION("""COMPUTED_VALUE"""),"K-Pop Cola")</f>
        <v>K-Pop Cola</v>
      </c>
      <c r="E8509" s="122">
        <f>IFERROR(__xludf.DUMMYFUNCTION("""COMPUTED_VALUE"""),114.68)</f>
        <v>114.68</v>
      </c>
      <c r="F8509" s="122">
        <f>IFERROR(__xludf.DUMMYFUNCTION("""COMPUTED_VALUE"""),0.0048)</f>
        <v>0.0048</v>
      </c>
    </row>
    <row r="8510">
      <c r="A8510" s="131">
        <f>IFERROR(__xludf.DUMMYFUNCTION("""COMPUTED_VALUE"""),46187.64392361111)</f>
        <v>46187.64392</v>
      </c>
      <c r="B8510" s="126">
        <f>IFERROR(__xludf.DUMMYFUNCTION("""COMPUTED_VALUE"""),46187.0)</f>
        <v>46187</v>
      </c>
      <c r="C8510" s="122" t="str">
        <f>IFERROR(__xludf.DUMMYFUNCTION("""COMPUTED_VALUE"""),"CHIP")</f>
        <v>CHIP</v>
      </c>
      <c r="D8510" s="122" t="str">
        <f>IFERROR(__xludf.DUMMYFUNCTION("""COMPUTED_VALUE"""),"Chip Empire")</f>
        <v>Chip Empire</v>
      </c>
      <c r="E8510" s="122">
        <f>IFERROR(__xludf.DUMMYFUNCTION("""COMPUTED_VALUE"""),81.46)</f>
        <v>81.46</v>
      </c>
      <c r="F8510" s="122">
        <f>IFERROR(__xludf.DUMMYFUNCTION("""COMPUTED_VALUE"""),0.0061)</f>
        <v>0.0061</v>
      </c>
    </row>
    <row r="8511">
      <c r="A8511" s="131">
        <f>IFERROR(__xludf.DUMMYFUNCTION("""COMPUTED_VALUE"""),46187.64392361111)</f>
        <v>46187.64392</v>
      </c>
      <c r="B8511" s="126">
        <f>IFERROR(__xludf.DUMMYFUNCTION("""COMPUTED_VALUE"""),46187.0)</f>
        <v>46187</v>
      </c>
      <c r="C8511" s="122" t="str">
        <f>IFERROR(__xludf.DUMMYFUNCTION("""COMPUTED_VALUE"""),"CAND")</f>
        <v>CAND</v>
      </c>
      <c r="D8511" s="122" t="str">
        <f>IFERROR(__xludf.DUMMYFUNCTION("""COMPUTED_VALUE"""),"Candy Capital")</f>
        <v>Candy Capital</v>
      </c>
      <c r="E8511" s="122">
        <f>IFERROR(__xludf.DUMMYFUNCTION("""COMPUTED_VALUE"""),77.97)</f>
        <v>77.97</v>
      </c>
      <c r="F8511" s="122">
        <f>IFERROR(__xludf.DUMMYFUNCTION("""COMPUTED_VALUE"""),0.0058)</f>
        <v>0.0058</v>
      </c>
    </row>
    <row r="8512">
      <c r="A8512" s="131">
        <f>IFERROR(__xludf.DUMMYFUNCTION("""COMPUTED_VALUE"""),46187.64392361111)</f>
        <v>46187.64392</v>
      </c>
      <c r="B8512" s="126">
        <f>IFERROR(__xludf.DUMMYFUNCTION("""COMPUTED_VALUE"""),46187.0)</f>
        <v>46187</v>
      </c>
      <c r="C8512" s="122" t="str">
        <f>IFERROR(__xludf.DUMMYFUNCTION("""COMPUTED_VALUE"""),"TECH")</f>
        <v>TECH</v>
      </c>
      <c r="D8512" s="122" t="str">
        <f>IFERROR(__xludf.DUMMYFUNCTION("""COMPUTED_VALUE"""),"Dragon Tech")</f>
        <v>Dragon Tech</v>
      </c>
      <c r="E8512" s="122">
        <f>IFERROR(__xludf.DUMMYFUNCTION("""COMPUTED_VALUE"""),257.44)</f>
        <v>257.44</v>
      </c>
      <c r="F8512" s="122">
        <f>IFERROR(__xludf.DUMMYFUNCTION("""COMPUTED_VALUE"""),-0.0099)</f>
        <v>-0.0099</v>
      </c>
    </row>
    <row r="8513">
      <c r="A8513" s="131">
        <f>IFERROR(__xludf.DUMMYFUNCTION("""COMPUTED_VALUE"""),46187.64392361111)</f>
        <v>46187.64392</v>
      </c>
      <c r="B8513" s="126">
        <f>IFERROR(__xludf.DUMMYFUNCTION("""COMPUTED_VALUE"""),46187.0)</f>
        <v>46187</v>
      </c>
      <c r="C8513" s="122" t="str">
        <f>IFERROR(__xludf.DUMMYFUNCTION("""COMPUTED_VALUE"""),"AIBO")</f>
        <v>AIBO</v>
      </c>
      <c r="D8513" s="122" t="str">
        <f>IFERROR(__xludf.DUMMYFUNCTION("""COMPUTED_VALUE"""),"Homework AI")</f>
        <v>Homework AI</v>
      </c>
      <c r="E8513" s="122">
        <f>IFERROR(__xludf.DUMMYFUNCTION("""COMPUTED_VALUE"""),194.51)</f>
        <v>194.51</v>
      </c>
      <c r="F8513" s="122">
        <f>IFERROR(__xludf.DUMMYFUNCTION("""COMPUTED_VALUE"""),0.0011)</f>
        <v>0.0011</v>
      </c>
    </row>
    <row r="8514">
      <c r="A8514" s="131">
        <f>IFERROR(__xludf.DUMMYFUNCTION("""COMPUTED_VALUE"""),46187.64392361111)</f>
        <v>46187.64392</v>
      </c>
      <c r="B8514" s="126">
        <f>IFERROR(__xludf.DUMMYFUNCTION("""COMPUTED_VALUE"""),46187.0)</f>
        <v>46187</v>
      </c>
      <c r="C8514" s="122" t="str">
        <f>IFERROR(__xludf.DUMMYFUNCTION("""COMPUTED_VALUE"""),"GAME")</f>
        <v>GAME</v>
      </c>
      <c r="D8514" s="122" t="str">
        <f>IFERROR(__xludf.DUMMYFUNCTION("""COMPUTED_VALUE"""),"GameBox Media")</f>
        <v>GameBox Media</v>
      </c>
      <c r="E8514" s="122">
        <f>IFERROR(__xludf.DUMMYFUNCTION("""COMPUTED_VALUE"""),103.28)</f>
        <v>103.28</v>
      </c>
      <c r="F8514" s="122">
        <f>IFERROR(__xludf.DUMMYFUNCTION("""COMPUTED_VALUE"""),0.0098)</f>
        <v>0.0098</v>
      </c>
    </row>
    <row r="8515">
      <c r="A8515" s="131">
        <f>IFERROR(__xludf.DUMMYFUNCTION("""COMPUTED_VALUE"""),46187.64392361111)</f>
        <v>46187.64392</v>
      </c>
      <c r="B8515" s="126">
        <f>IFERROR(__xludf.DUMMYFUNCTION("""COMPUTED_VALUE"""),46187.0)</f>
        <v>46187</v>
      </c>
      <c r="C8515" s="122" t="str">
        <f>IFERROR(__xludf.DUMMYFUNCTION("""COMPUTED_VALUE"""),"VRSE")</f>
        <v>VRSE</v>
      </c>
      <c r="D8515" s="122" t="str">
        <f>IFERROR(__xludf.DUMMYFUNCTION("""COMPUTED_VALUE"""),"VerseVR")</f>
        <v>VerseVR</v>
      </c>
      <c r="E8515" s="122">
        <f>IFERROR(__xludf.DUMMYFUNCTION("""COMPUTED_VALUE"""),147.92)</f>
        <v>147.92</v>
      </c>
      <c r="F8515" s="122">
        <f>IFERROR(__xludf.DUMMYFUNCTION("""COMPUTED_VALUE"""),-0.0102)</f>
        <v>-0.0102</v>
      </c>
    </row>
    <row r="8516">
      <c r="A8516" s="131">
        <f>IFERROR(__xludf.DUMMYFUNCTION("""COMPUTED_VALUE"""),46187.64392361111)</f>
        <v>46187.64392</v>
      </c>
      <c r="B8516" s="126">
        <f>IFERROR(__xludf.DUMMYFUNCTION("""COMPUTED_VALUE"""),46187.0)</f>
        <v>46187</v>
      </c>
      <c r="C8516" s="122" t="str">
        <f>IFERROR(__xludf.DUMMYFUNCTION("""COMPUTED_VALUE"""),"BYTE")</f>
        <v>BYTE</v>
      </c>
      <c r="D8516" s="122" t="str">
        <f>IFERROR(__xludf.DUMMYFUNCTION("""COMPUTED_VALUE"""),"ByteWorks")</f>
        <v>ByteWorks</v>
      </c>
      <c r="E8516" s="122">
        <f>IFERROR(__xludf.DUMMYFUNCTION("""COMPUTED_VALUE"""),111.98)</f>
        <v>111.98</v>
      </c>
      <c r="F8516" s="122">
        <f>IFERROR(__xludf.DUMMYFUNCTION("""COMPUTED_VALUE"""),0.003)</f>
        <v>0.003</v>
      </c>
    </row>
    <row r="8517">
      <c r="A8517" s="131">
        <f>IFERROR(__xludf.DUMMYFUNCTION("""COMPUTED_VALUE"""),46187.64392361111)</f>
        <v>46187.64392</v>
      </c>
      <c r="B8517" s="126">
        <f>IFERROR(__xludf.DUMMYFUNCTION("""COMPUTED_VALUE"""),46187.0)</f>
        <v>46187</v>
      </c>
      <c r="C8517" s="122" t="str">
        <f>IFERROR(__xludf.DUMMYFUNCTION("""COMPUTED_VALUE"""),"BANK")</f>
        <v>BANK</v>
      </c>
      <c r="D8517" s="122" t="str">
        <f>IFERROR(__xludf.DUMMYFUNCTION("""COMPUTED_VALUE"""),"Tiger Bank")</f>
        <v>Tiger Bank</v>
      </c>
      <c r="E8517" s="122">
        <f>IFERROR(__xludf.DUMMYFUNCTION("""COMPUTED_VALUE"""),132.5)</f>
        <v>132.5</v>
      </c>
      <c r="F8517" s="122">
        <f>IFERROR(__xludf.DUMMYFUNCTION("""COMPUTED_VALUE"""),0.002)</f>
        <v>0.002</v>
      </c>
    </row>
    <row r="8518">
      <c r="A8518" s="131">
        <f>IFERROR(__xludf.DUMMYFUNCTION("""COMPUTED_VALUE"""),46187.64392361111)</f>
        <v>46187.64392</v>
      </c>
      <c r="B8518" s="126">
        <f>IFERROR(__xludf.DUMMYFUNCTION("""COMPUTED_VALUE"""),46187.0)</f>
        <v>46187</v>
      </c>
      <c r="C8518" s="122" t="str">
        <f>IFERROR(__xludf.DUMMYFUNCTION("""COMPUTED_VALUE"""),"CRED")</f>
        <v>CRED</v>
      </c>
      <c r="D8518" s="122" t="str">
        <f>IFERROR(__xludf.DUMMYFUNCTION("""COMPUTED_VALUE"""),"Credit Castle")</f>
        <v>Credit Castle</v>
      </c>
      <c r="E8518" s="122">
        <f>IFERROR(__xludf.DUMMYFUNCTION("""COMPUTED_VALUE"""),66.72)</f>
        <v>66.72</v>
      </c>
      <c r="F8518" s="122">
        <f>IFERROR(__xludf.DUMMYFUNCTION("""COMPUTED_VALUE"""),0.0015)</f>
        <v>0.0015</v>
      </c>
    </row>
    <row r="8519">
      <c r="A8519" s="131">
        <f>IFERROR(__xludf.DUMMYFUNCTION("""COMPUTED_VALUE"""),46187.64392361111)</f>
        <v>46187.64392</v>
      </c>
      <c r="B8519" s="126">
        <f>IFERROR(__xludf.DUMMYFUNCTION("""COMPUTED_VALUE"""),46187.0)</f>
        <v>46187</v>
      </c>
      <c r="C8519" s="122" t="str">
        <f>IFERROR(__xludf.DUMMYFUNCTION("""COMPUTED_VALUE"""),"BOND")</f>
        <v>BOND</v>
      </c>
      <c r="D8519" s="122" t="str">
        <f>IFERROR(__xludf.DUMMYFUNCTION("""COMPUTED_VALUE"""),"BondBridge")</f>
        <v>BondBridge</v>
      </c>
      <c r="E8519" s="122">
        <f>IFERROR(__xludf.DUMMYFUNCTION("""COMPUTED_VALUE"""),105.85)</f>
        <v>105.85</v>
      </c>
      <c r="F8519" s="122">
        <f>IFERROR(__xludf.DUMMYFUNCTION("""COMPUTED_VALUE"""),-3.0E-4)</f>
        <v>-0.0003</v>
      </c>
    </row>
    <row r="8520">
      <c r="A8520" s="131">
        <f>IFERROR(__xludf.DUMMYFUNCTION("""COMPUTED_VALUE"""),46187.64392361111)</f>
        <v>46187.64392</v>
      </c>
      <c r="B8520" s="126">
        <f>IFERROR(__xludf.DUMMYFUNCTION("""COMPUTED_VALUE"""),46187.0)</f>
        <v>46187</v>
      </c>
      <c r="C8520" s="122" t="str">
        <f>IFERROR(__xludf.DUMMYFUNCTION("""COMPUTED_VALUE"""),"INSR")</f>
        <v>INSR</v>
      </c>
      <c r="D8520" s="122" t="str">
        <f>IFERROR(__xludf.DUMMYFUNCTION("""COMPUTED_VALUE"""),"Shield Insurance")</f>
        <v>Shield Insurance</v>
      </c>
      <c r="E8520" s="122">
        <f>IFERROR(__xludf.DUMMYFUNCTION("""COMPUTED_VALUE"""),156.21)</f>
        <v>156.21</v>
      </c>
      <c r="F8520" s="122">
        <f>IFERROR(__xludf.DUMMYFUNCTION("""COMPUTED_VALUE"""),-0.0027)</f>
        <v>-0.0027</v>
      </c>
    </row>
    <row r="8521">
      <c r="A8521" s="131">
        <f>IFERROR(__xludf.DUMMYFUNCTION("""COMPUTED_VALUE"""),46187.64392361111)</f>
        <v>46187.64392</v>
      </c>
      <c r="B8521" s="126">
        <f>IFERROR(__xludf.DUMMYFUNCTION("""COMPUTED_VALUE"""),46187.0)</f>
        <v>46187</v>
      </c>
      <c r="C8521" s="122" t="str">
        <f>IFERROR(__xludf.DUMMYFUNCTION("""COMPUTED_VALUE"""),"LOAN")</f>
        <v>LOAN</v>
      </c>
      <c r="D8521" s="122" t="str">
        <f>IFERROR(__xludf.DUMMYFUNCTION("""COMPUTED_VALUE"""),"LoanLab")</f>
        <v>LoanLab</v>
      </c>
      <c r="E8521" s="122">
        <f>IFERROR(__xludf.DUMMYFUNCTION("""COMPUTED_VALUE"""),72.4)</f>
        <v>72.4</v>
      </c>
      <c r="F8521" s="122">
        <f>IFERROR(__xludf.DUMMYFUNCTION("""COMPUTED_VALUE"""),0.0075)</f>
        <v>0.0075</v>
      </c>
    </row>
    <row r="8522">
      <c r="A8522" s="131">
        <f>IFERROR(__xludf.DUMMYFUNCTION("""COMPUTED_VALUE"""),46187.64392361111)</f>
        <v>46187.64392</v>
      </c>
      <c r="B8522" s="126">
        <f>IFERROR(__xludf.DUMMYFUNCTION("""COMPUTED_VALUE"""),46187.0)</f>
        <v>46187</v>
      </c>
      <c r="C8522" s="122" t="str">
        <f>IFERROR(__xludf.DUMMYFUNCTION("""COMPUTED_VALUE"""),"LUXE")</f>
        <v>LUXE</v>
      </c>
      <c r="D8522" s="122" t="str">
        <f>IFERROR(__xludf.DUMMYFUNCTION("""COMPUTED_VALUE"""),"Luxury Locker")</f>
        <v>Luxury Locker</v>
      </c>
      <c r="E8522" s="122">
        <f>IFERROR(__xludf.DUMMYFUNCTION("""COMPUTED_VALUE"""),266.75)</f>
        <v>266.75</v>
      </c>
      <c r="F8522" s="122">
        <f>IFERROR(__xludf.DUMMYFUNCTION("""COMPUTED_VALUE"""),-0.0056)</f>
        <v>-0.0056</v>
      </c>
    </row>
    <row r="8523">
      <c r="A8523" s="131">
        <f>IFERROR(__xludf.DUMMYFUNCTION("""COMPUTED_VALUE"""),46187.64392361111)</f>
        <v>46187.64392</v>
      </c>
      <c r="B8523" s="126">
        <f>IFERROR(__xludf.DUMMYFUNCTION("""COMPUTED_VALUE"""),46187.0)</f>
        <v>46187</v>
      </c>
      <c r="C8523" s="122" t="str">
        <f>IFERROR(__xludf.DUMMYFUNCTION("""COMPUTED_VALUE"""),"DRIP")</f>
        <v>DRIP</v>
      </c>
      <c r="D8523" s="122" t="str">
        <f>IFERROR(__xludf.DUMMYFUNCTION("""COMPUTED_VALUE"""),"Drip Streetwear")</f>
        <v>Drip Streetwear</v>
      </c>
      <c r="E8523" s="122">
        <f>IFERROR(__xludf.DUMMYFUNCTION("""COMPUTED_VALUE"""),188.74)</f>
        <v>188.74</v>
      </c>
      <c r="F8523" s="122">
        <f>IFERROR(__xludf.DUMMYFUNCTION("""COMPUTED_VALUE"""),-3.0E-4)</f>
        <v>-0.0003</v>
      </c>
    </row>
    <row r="8524">
      <c r="A8524" s="131">
        <f>IFERROR(__xludf.DUMMYFUNCTION("""COMPUTED_VALUE"""),46187.64392361111)</f>
        <v>46187.64392</v>
      </c>
      <c r="B8524" s="126">
        <f>IFERROR(__xludf.DUMMYFUNCTION("""COMPUTED_VALUE"""),46187.0)</f>
        <v>46187</v>
      </c>
      <c r="C8524" s="122" t="str">
        <f>IFERROR(__xludf.DUMMYFUNCTION("""COMPUTED_VALUE"""),"KICK")</f>
        <v>KICK</v>
      </c>
      <c r="D8524" s="122" t="str">
        <f>IFERROR(__xludf.DUMMYFUNCTION("""COMPUTED_VALUE"""),"KickDrop Sneakers")</f>
        <v>KickDrop Sneakers</v>
      </c>
      <c r="E8524" s="122">
        <f>IFERROR(__xludf.DUMMYFUNCTION("""COMPUTED_VALUE"""),169.32)</f>
        <v>169.32</v>
      </c>
      <c r="F8524" s="122">
        <f>IFERROR(__xludf.DUMMYFUNCTION("""COMPUTED_VALUE"""),0.0098)</f>
        <v>0.0098</v>
      </c>
    </row>
    <row r="8525">
      <c r="A8525" s="131">
        <f>IFERROR(__xludf.DUMMYFUNCTION("""COMPUTED_VALUE"""),46187.64392361111)</f>
        <v>46187.64392</v>
      </c>
      <c r="B8525" s="126">
        <f>IFERROR(__xludf.DUMMYFUNCTION("""COMPUTED_VALUE"""),46187.0)</f>
        <v>46187</v>
      </c>
      <c r="C8525" s="122" t="str">
        <f>IFERROR(__xludf.DUMMYFUNCTION("""COMPUTED_VALUE"""),"GLAM")</f>
        <v>GLAM</v>
      </c>
      <c r="D8525" s="122" t="str">
        <f>IFERROR(__xludf.DUMMYFUNCTION("""COMPUTED_VALUE"""),"Glow Cosmetics")</f>
        <v>Glow Cosmetics</v>
      </c>
      <c r="E8525" s="122">
        <f>IFERROR(__xludf.DUMMYFUNCTION("""COMPUTED_VALUE"""),110.32)</f>
        <v>110.32</v>
      </c>
      <c r="F8525" s="122">
        <f>IFERROR(__xludf.DUMMYFUNCTION("""COMPUTED_VALUE"""),3.0E-4)</f>
        <v>0.0003</v>
      </c>
    </row>
    <row r="8526">
      <c r="A8526" s="131">
        <f>IFERROR(__xludf.DUMMYFUNCTION("""COMPUTED_VALUE"""),46187.64392361111)</f>
        <v>46187.64392</v>
      </c>
      <c r="B8526" s="126">
        <f>IFERROR(__xludf.DUMMYFUNCTION("""COMPUTED_VALUE"""),46187.0)</f>
        <v>46187</v>
      </c>
      <c r="C8526" s="122" t="str">
        <f>IFERROR(__xludf.DUMMYFUNCTION("""COMPUTED_VALUE"""),"BAGG")</f>
        <v>BAGG</v>
      </c>
      <c r="D8526" s="122" t="str">
        <f>IFERROR(__xludf.DUMMYFUNCTION("""COMPUTED_VALUE"""),"BagVault")</f>
        <v>BagVault</v>
      </c>
      <c r="E8526" s="122">
        <f>IFERROR(__xludf.DUMMYFUNCTION("""COMPUTED_VALUE"""),277.82)</f>
        <v>277.82</v>
      </c>
      <c r="F8526" s="122">
        <f>IFERROR(__xludf.DUMMYFUNCTION("""COMPUTED_VALUE"""),0.002)</f>
        <v>0.002</v>
      </c>
    </row>
    <row r="8527">
      <c r="A8527" s="131">
        <f>IFERROR(__xludf.DUMMYFUNCTION("""COMPUTED_VALUE"""),46187.64392361111)</f>
        <v>46187.64392</v>
      </c>
      <c r="B8527" s="126">
        <f>IFERROR(__xludf.DUMMYFUNCTION("""COMPUTED_VALUE"""),46187.0)</f>
        <v>46187</v>
      </c>
      <c r="C8527" s="122" t="str">
        <f>IFERROR(__xludf.DUMMYFUNCTION("""COMPUTED_VALUE"""),"FAST")</f>
        <v>FAST</v>
      </c>
      <c r="D8527" s="122" t="str">
        <f>IFERROR(__xludf.DUMMYFUNCTION("""COMPUTED_VALUE"""),"Flash Logistics")</f>
        <v>Flash Logistics</v>
      </c>
      <c r="E8527" s="122">
        <f>IFERROR(__xludf.DUMMYFUNCTION("""COMPUTED_VALUE"""),107.14)</f>
        <v>107.14</v>
      </c>
      <c r="F8527" s="122">
        <f>IFERROR(__xludf.DUMMYFUNCTION("""COMPUTED_VALUE"""),-0.0026)</f>
        <v>-0.0026</v>
      </c>
    </row>
    <row r="8528">
      <c r="A8528" s="131">
        <f>IFERROR(__xludf.DUMMYFUNCTION("""COMPUTED_VALUE"""),46187.64392361111)</f>
        <v>46187.64392</v>
      </c>
      <c r="B8528" s="126">
        <f>IFERROR(__xludf.DUMMYFUNCTION("""COMPUTED_VALUE"""),46187.0)</f>
        <v>46187</v>
      </c>
      <c r="C8528" s="122" t="str">
        <f>IFERROR(__xludf.DUMMYFUNCTION("""COMPUTED_VALUE"""),"SHIP")</f>
        <v>SHIP</v>
      </c>
      <c r="D8528" s="122" t="str">
        <f>IFERROR(__xludf.DUMMYFUNCTION("""COMPUTED_VALUE"""),"Seoul Shipping")</f>
        <v>Seoul Shipping</v>
      </c>
      <c r="E8528" s="122">
        <f>IFERROR(__xludf.DUMMYFUNCTION("""COMPUTED_VALUE"""),129.06)</f>
        <v>129.06</v>
      </c>
      <c r="F8528" s="122">
        <f>IFERROR(__xludf.DUMMYFUNCTION("""COMPUTED_VALUE"""),-0.0059)</f>
        <v>-0.0059</v>
      </c>
    </row>
    <row r="8529">
      <c r="A8529" s="131">
        <f>IFERROR(__xludf.DUMMYFUNCTION("""COMPUTED_VALUE"""),46187.64392361111)</f>
        <v>46187.64392</v>
      </c>
      <c r="B8529" s="126">
        <f>IFERROR(__xludf.DUMMYFUNCTION("""COMPUTED_VALUE"""),46187.0)</f>
        <v>46187</v>
      </c>
      <c r="C8529" s="122" t="str">
        <f>IFERROR(__xludf.DUMMYFUNCTION("""COMPUTED_VALUE"""),"DRON")</f>
        <v>DRON</v>
      </c>
      <c r="D8529" s="122" t="str">
        <f>IFERROR(__xludf.DUMMYFUNCTION("""COMPUTED_VALUE"""),"DroneDrop")</f>
        <v>DroneDrop</v>
      </c>
      <c r="E8529" s="122">
        <f>IFERROR(__xludf.DUMMYFUNCTION("""COMPUTED_VALUE"""),121.67)</f>
        <v>121.67</v>
      </c>
      <c r="F8529" s="122">
        <f>IFERROR(__xludf.DUMMYFUNCTION("""COMPUTED_VALUE"""),-0.0097)</f>
        <v>-0.0097</v>
      </c>
    </row>
    <row r="8530">
      <c r="A8530" s="131">
        <f>IFERROR(__xludf.DUMMYFUNCTION("""COMPUTED_VALUE"""),46187.64392361111)</f>
        <v>46187.64392</v>
      </c>
      <c r="B8530" s="126">
        <f>IFERROR(__xludf.DUMMYFUNCTION("""COMPUTED_VALUE"""),46187.0)</f>
        <v>46187</v>
      </c>
      <c r="C8530" s="122" t="str">
        <f>IFERROR(__xludf.DUMMYFUNCTION("""COMPUTED_VALUE"""),"RIDE")</f>
        <v>RIDE</v>
      </c>
      <c r="D8530" s="122" t="str">
        <f>IFERROR(__xludf.DUMMYFUNCTION("""COMPUTED_VALUE"""),"QuickRide")</f>
        <v>QuickRide</v>
      </c>
      <c r="E8530" s="122">
        <f>IFERROR(__xludf.DUMMYFUNCTION("""COMPUTED_VALUE"""),101.24)</f>
        <v>101.24</v>
      </c>
      <c r="F8530" s="122">
        <f>IFERROR(__xludf.DUMMYFUNCTION("""COMPUTED_VALUE"""),-0.0047)</f>
        <v>-0.0047</v>
      </c>
    </row>
    <row r="8531">
      <c r="A8531" s="131">
        <f>IFERROR(__xludf.DUMMYFUNCTION("""COMPUTED_VALUE"""),46187.64392361111)</f>
        <v>46187.64392</v>
      </c>
      <c r="B8531" s="126">
        <f>IFERROR(__xludf.DUMMYFUNCTION("""COMPUTED_VALUE"""),46187.0)</f>
        <v>46187</v>
      </c>
      <c r="C8531" s="122" t="str">
        <f>IFERROR(__xludf.DUMMYFUNCTION("""COMPUTED_VALUE"""),"RAIL")</f>
        <v>RAIL</v>
      </c>
      <c r="D8531" s="122" t="str">
        <f>IFERROR(__xludf.DUMMYFUNCTION("""COMPUTED_VALUE"""),"MetroRail Corp")</f>
        <v>MetroRail Corp</v>
      </c>
      <c r="E8531" s="122">
        <f>IFERROR(__xludf.DUMMYFUNCTION("""COMPUTED_VALUE"""),131.22)</f>
        <v>131.22</v>
      </c>
      <c r="F8531" s="122">
        <f>IFERROR(__xludf.DUMMYFUNCTION("""COMPUTED_VALUE"""),4.0E-4)</f>
        <v>0.0004</v>
      </c>
    </row>
    <row r="8532">
      <c r="A8532" s="131">
        <f>IFERROR(__xludf.DUMMYFUNCTION("""COMPUTED_VALUE"""),46187.64392361111)</f>
        <v>46187.64392</v>
      </c>
      <c r="B8532" s="126">
        <f>IFERROR(__xludf.DUMMYFUNCTION("""COMPUTED_VALUE"""),46187.0)</f>
        <v>46187</v>
      </c>
      <c r="C8532" s="122" t="str">
        <f>IFERROR(__xludf.DUMMYFUNCTION("""COMPUTED_VALUE"""),"MEDX")</f>
        <v>MEDX</v>
      </c>
      <c r="D8532" s="122" t="str">
        <f>IFERROR(__xludf.DUMMYFUNCTION("""COMPUTED_VALUE"""),"MediCore")</f>
        <v>MediCore</v>
      </c>
      <c r="E8532" s="122">
        <f>IFERROR(__xludf.DUMMYFUNCTION("""COMPUTED_VALUE"""),138.85)</f>
        <v>138.85</v>
      </c>
      <c r="F8532" s="122">
        <f>IFERROR(__xludf.DUMMYFUNCTION("""COMPUTED_VALUE"""),-0.0012)</f>
        <v>-0.0012</v>
      </c>
    </row>
    <row r="8533">
      <c r="A8533" s="131">
        <f>IFERROR(__xludf.DUMMYFUNCTION("""COMPUTED_VALUE"""),46187.64392361111)</f>
        <v>46187.64392</v>
      </c>
      <c r="B8533" s="126">
        <f>IFERROR(__xludf.DUMMYFUNCTION("""COMPUTED_VALUE"""),46187.0)</f>
        <v>46187</v>
      </c>
      <c r="C8533" s="122" t="str">
        <f>IFERROR(__xludf.DUMMYFUNCTION("""COMPUTED_VALUE"""),"GYMX")</f>
        <v>GYMX</v>
      </c>
      <c r="D8533" s="122" t="str">
        <f>IFERROR(__xludf.DUMMYFUNCTION("""COMPUTED_VALUE"""),"GymX Fitness")</f>
        <v>GymX Fitness</v>
      </c>
      <c r="E8533" s="122">
        <f>IFERROR(__xludf.DUMMYFUNCTION("""COMPUTED_VALUE"""),82.21)</f>
        <v>82.21</v>
      </c>
      <c r="F8533" s="122">
        <f>IFERROR(__xludf.DUMMYFUNCTION("""COMPUTED_VALUE"""),0.0016)</f>
        <v>0.0016</v>
      </c>
    </row>
    <row r="8534">
      <c r="A8534" s="131">
        <f>IFERROR(__xludf.DUMMYFUNCTION("""COMPUTED_VALUE"""),46187.64392361111)</f>
        <v>46187.64392</v>
      </c>
      <c r="B8534" s="126">
        <f>IFERROR(__xludf.DUMMYFUNCTION("""COMPUTED_VALUE"""),46187.0)</f>
        <v>46187</v>
      </c>
      <c r="C8534" s="122" t="str">
        <f>IFERROR(__xludf.DUMMYFUNCTION("""COMPUTED_VALUE"""),"VITA")</f>
        <v>VITA</v>
      </c>
      <c r="D8534" s="122" t="str">
        <f>IFERROR(__xludf.DUMMYFUNCTION("""COMPUTED_VALUE"""),"VitaPlus")</f>
        <v>VitaPlus</v>
      </c>
      <c r="E8534" s="122">
        <f>IFERROR(__xludf.DUMMYFUNCTION("""COMPUTED_VALUE"""),72.54)</f>
        <v>72.54</v>
      </c>
      <c r="F8534" s="122">
        <f>IFERROR(__xludf.DUMMYFUNCTION("""COMPUTED_VALUE"""),0.0043)</f>
        <v>0.0043</v>
      </c>
    </row>
    <row r="8535">
      <c r="A8535" s="131">
        <f>IFERROR(__xludf.DUMMYFUNCTION("""COMPUTED_VALUE"""),46187.64392361111)</f>
        <v>46187.64392</v>
      </c>
      <c r="B8535" s="126">
        <f>IFERROR(__xludf.DUMMYFUNCTION("""COMPUTED_VALUE"""),46187.0)</f>
        <v>46187</v>
      </c>
      <c r="C8535" s="122" t="str">
        <f>IFERROR(__xludf.DUMMYFUNCTION("""COMPUTED_VALUE"""),"CARE")</f>
        <v>CARE</v>
      </c>
      <c r="D8535" s="122" t="str">
        <f>IFERROR(__xludf.DUMMYFUNCTION("""COMPUTED_VALUE"""),"CareCloud")</f>
        <v>CareCloud</v>
      </c>
      <c r="E8535" s="122">
        <f>IFERROR(__xludf.DUMMYFUNCTION("""COMPUTED_VALUE"""),184.55)</f>
        <v>184.55</v>
      </c>
      <c r="F8535" s="122">
        <f>IFERROR(__xludf.DUMMYFUNCTION("""COMPUTED_VALUE"""),2.0E-4)</f>
        <v>0.0002</v>
      </c>
    </row>
    <row r="8536">
      <c r="A8536" s="131">
        <f>IFERROR(__xludf.DUMMYFUNCTION("""COMPUTED_VALUE"""),46187.64392361111)</f>
        <v>46187.64392</v>
      </c>
      <c r="B8536" s="126">
        <f>IFERROR(__xludf.DUMMYFUNCTION("""COMPUTED_VALUE"""),46187.0)</f>
        <v>46187</v>
      </c>
      <c r="C8536" s="122" t="str">
        <f>IFERROR(__xludf.DUMMYFUNCTION("""COMPUTED_VALUE"""),"DENT")</f>
        <v>DENT</v>
      </c>
      <c r="D8536" s="122" t="str">
        <f>IFERROR(__xludf.DUMMYFUNCTION("""COMPUTED_VALUE"""),"SmileWorks")</f>
        <v>SmileWorks</v>
      </c>
      <c r="E8536" s="122">
        <f>IFERROR(__xludf.DUMMYFUNCTION("""COMPUTED_VALUE"""),97.88)</f>
        <v>97.88</v>
      </c>
      <c r="F8536" s="122">
        <f>IFERROR(__xludf.DUMMYFUNCTION("""COMPUTED_VALUE"""),-0.0016)</f>
        <v>-0.0016</v>
      </c>
    </row>
    <row r="8537">
      <c r="A8537" s="131">
        <f>IFERROR(__xludf.DUMMYFUNCTION("""COMPUTED_VALUE"""),46187.64392361111)</f>
        <v>46187.64392</v>
      </c>
      <c r="B8537" s="126">
        <f>IFERROR(__xludf.DUMMYFUNCTION("""COMPUTED_VALUE"""),46187.0)</f>
        <v>46187</v>
      </c>
      <c r="C8537" s="122" t="str">
        <f>IFERROR(__xludf.DUMMYFUNCTION("""COMPUTED_VALUE"""),"EDUX")</f>
        <v>EDUX</v>
      </c>
      <c r="D8537" s="122" t="str">
        <f>IFERROR(__xludf.DUMMYFUNCTION("""COMPUTED_VALUE"""),"EduMax Learning")</f>
        <v>EduMax Learning</v>
      </c>
      <c r="E8537" s="122">
        <f>IFERROR(__xludf.DUMMYFUNCTION("""COMPUTED_VALUE"""),151.42)</f>
        <v>151.42</v>
      </c>
      <c r="F8537" s="122">
        <f>IFERROR(__xludf.DUMMYFUNCTION("""COMPUTED_VALUE"""),0.0067)</f>
        <v>0.0067</v>
      </c>
    </row>
    <row r="8538">
      <c r="A8538" s="131">
        <f>IFERROR(__xludf.DUMMYFUNCTION("""COMPUTED_VALUE"""),46187.64392361111)</f>
        <v>46187.64392</v>
      </c>
      <c r="B8538" s="126">
        <f>IFERROR(__xludf.DUMMYFUNCTION("""COMPUTED_VALUE"""),46187.0)</f>
        <v>46187</v>
      </c>
      <c r="C8538" s="122" t="str">
        <f>IFERROR(__xludf.DUMMYFUNCTION("""COMPUTED_VALUE"""),"BOOK")</f>
        <v>BOOK</v>
      </c>
      <c r="D8538" s="122" t="str">
        <f>IFERROR(__xludf.DUMMYFUNCTION("""COMPUTED_VALUE"""),"BookBridge")</f>
        <v>BookBridge</v>
      </c>
      <c r="E8538" s="122">
        <f>IFERROR(__xludf.DUMMYFUNCTION("""COMPUTED_VALUE"""),120.99)</f>
        <v>120.99</v>
      </c>
      <c r="F8538" s="122">
        <f>IFERROR(__xludf.DUMMYFUNCTION("""COMPUTED_VALUE"""),0.005)</f>
        <v>0.005</v>
      </c>
    </row>
    <row r="8539">
      <c r="A8539" s="131">
        <f>IFERROR(__xludf.DUMMYFUNCTION("""COMPUTED_VALUE"""),46187.64392361111)</f>
        <v>46187.64392</v>
      </c>
      <c r="B8539" s="126">
        <f>IFERROR(__xludf.DUMMYFUNCTION("""COMPUTED_VALUE"""),46187.0)</f>
        <v>46187</v>
      </c>
      <c r="C8539" s="122" t="str">
        <f>IFERROR(__xludf.DUMMYFUNCTION("""COMPUTED_VALUE"""),"TUTR")</f>
        <v>TUTR</v>
      </c>
      <c r="D8539" s="122" t="str">
        <f>IFERROR(__xludf.DUMMYFUNCTION("""COMPUTED_VALUE"""),"TutorTown")</f>
        <v>TutorTown</v>
      </c>
      <c r="E8539" s="122">
        <f>IFERROR(__xludf.DUMMYFUNCTION("""COMPUTED_VALUE"""),91.58)</f>
        <v>91.58</v>
      </c>
      <c r="F8539" s="122">
        <f>IFERROR(__xludf.DUMMYFUNCTION("""COMPUTED_VALUE"""),0.003)</f>
        <v>0.003</v>
      </c>
    </row>
    <row r="8540">
      <c r="A8540" s="131">
        <f>IFERROR(__xludf.DUMMYFUNCTION("""COMPUTED_VALUE"""),46187.64392361111)</f>
        <v>46187.64392</v>
      </c>
      <c r="B8540" s="126">
        <f>IFERROR(__xludf.DUMMYFUNCTION("""COMPUTED_VALUE"""),46187.0)</f>
        <v>46187</v>
      </c>
      <c r="C8540" s="122" t="str">
        <f>IFERROR(__xludf.DUMMYFUNCTION("""COMPUTED_VALUE"""),"LANG")</f>
        <v>LANG</v>
      </c>
      <c r="D8540" s="122" t="str">
        <f>IFERROR(__xludf.DUMMYFUNCTION("""COMPUTED_VALUE"""),"LinguaLab")</f>
        <v>LinguaLab</v>
      </c>
      <c r="E8540" s="122">
        <f>IFERROR(__xludf.DUMMYFUNCTION("""COMPUTED_VALUE"""),102.93)</f>
        <v>102.93</v>
      </c>
      <c r="F8540" s="122">
        <f>IFERROR(__xludf.DUMMYFUNCTION("""COMPUTED_VALUE"""),5.0E-4)</f>
        <v>0.0005</v>
      </c>
    </row>
    <row r="8541">
      <c r="A8541" s="131">
        <f>IFERROR(__xludf.DUMMYFUNCTION("""COMPUTED_VALUE"""),46187.64392361111)</f>
        <v>46187.64392</v>
      </c>
      <c r="B8541" s="126">
        <f>IFERROR(__xludf.DUMMYFUNCTION("""COMPUTED_VALUE"""),46187.0)</f>
        <v>46187</v>
      </c>
      <c r="C8541" s="122" t="str">
        <f>IFERROR(__xludf.DUMMYFUNCTION("""COMPUTED_VALUE"""),"TEST")</f>
        <v>TEST</v>
      </c>
      <c r="D8541" s="122" t="str">
        <f>IFERROR(__xludf.DUMMYFUNCTION("""COMPUTED_VALUE"""),"TestPrep Pro")</f>
        <v>TestPrep Pro</v>
      </c>
      <c r="E8541" s="122">
        <f>IFERROR(__xludf.DUMMYFUNCTION("""COMPUTED_VALUE"""),89.96)</f>
        <v>89.96</v>
      </c>
      <c r="F8541" s="122">
        <f>IFERROR(__xludf.DUMMYFUNCTION("""COMPUTED_VALUE"""),-0.0095)</f>
        <v>-0.0095</v>
      </c>
    </row>
    <row r="8542">
      <c r="A8542" s="131">
        <f>IFERROR(__xludf.DUMMYFUNCTION("""COMPUTED_VALUE"""),46187.64392361111)</f>
        <v>46187.64392</v>
      </c>
      <c r="B8542" s="126">
        <f>IFERROR(__xludf.DUMMYFUNCTION("""COMPUTED_VALUE"""),46187.0)</f>
        <v>46187</v>
      </c>
      <c r="C8542" s="122" t="str">
        <f>IFERROR(__xludf.DUMMYFUNCTION("""COMPUTED_VALUE"""),"MOVI")</f>
        <v>MOVI</v>
      </c>
      <c r="D8542" s="122" t="str">
        <f>IFERROR(__xludf.DUMMYFUNCTION("""COMPUTED_VALUE"""),"MovieBox")</f>
        <v>MovieBox</v>
      </c>
      <c r="E8542" s="122">
        <f>IFERROR(__xludf.DUMMYFUNCTION("""COMPUTED_VALUE"""),83.32)</f>
        <v>83.32</v>
      </c>
      <c r="F8542" s="122">
        <f>IFERROR(__xludf.DUMMYFUNCTION("""COMPUTED_VALUE"""),-0.0047)</f>
        <v>-0.0047</v>
      </c>
    </row>
    <row r="8543">
      <c r="A8543" s="131">
        <f>IFERROR(__xludf.DUMMYFUNCTION("""COMPUTED_VALUE"""),46187.64392361111)</f>
        <v>46187.64392</v>
      </c>
      <c r="B8543" s="126">
        <f>IFERROR(__xludf.DUMMYFUNCTION("""COMPUTED_VALUE"""),46187.0)</f>
        <v>46187</v>
      </c>
      <c r="C8543" s="122" t="str">
        <f>IFERROR(__xludf.DUMMYFUNCTION("""COMPUTED_VALUE"""),"MUSC")</f>
        <v>MUSC</v>
      </c>
      <c r="D8543" s="122" t="str">
        <f>IFERROR(__xludf.DUMMYFUNCTION("""COMPUTED_VALUE"""),"MusicWave")</f>
        <v>MusicWave</v>
      </c>
      <c r="E8543" s="122">
        <f>IFERROR(__xludf.DUMMYFUNCTION("""COMPUTED_VALUE"""),104.43)</f>
        <v>104.43</v>
      </c>
      <c r="F8543" s="122">
        <f>IFERROR(__xludf.DUMMYFUNCTION("""COMPUTED_VALUE"""),-0.0018)</f>
        <v>-0.0018</v>
      </c>
    </row>
    <row r="8544">
      <c r="A8544" s="131">
        <f>IFERROR(__xludf.DUMMYFUNCTION("""COMPUTED_VALUE"""),46187.64392361111)</f>
        <v>46187.64392</v>
      </c>
      <c r="B8544" s="126">
        <f>IFERROR(__xludf.DUMMYFUNCTION("""COMPUTED_VALUE"""),46187.0)</f>
        <v>46187</v>
      </c>
      <c r="C8544" s="122" t="str">
        <f>IFERROR(__xludf.DUMMYFUNCTION("""COMPUTED_VALUE"""),"IDOL")</f>
        <v>IDOL</v>
      </c>
      <c r="D8544" s="122" t="str">
        <f>IFERROR(__xludf.DUMMYFUNCTION("""COMPUTED_VALUE"""),"Idol Agency")</f>
        <v>Idol Agency</v>
      </c>
      <c r="E8544" s="122">
        <f>IFERROR(__xludf.DUMMYFUNCTION("""COMPUTED_VALUE"""),187.46)</f>
        <v>187.46</v>
      </c>
      <c r="F8544" s="122">
        <f>IFERROR(__xludf.DUMMYFUNCTION("""COMPUTED_VALUE"""),0.0058)</f>
        <v>0.0058</v>
      </c>
    </row>
    <row r="8545">
      <c r="A8545" s="131">
        <f>IFERROR(__xludf.DUMMYFUNCTION("""COMPUTED_VALUE"""),46187.64392361111)</f>
        <v>46187.64392</v>
      </c>
      <c r="B8545" s="126">
        <f>IFERROR(__xludf.DUMMYFUNCTION("""COMPUTED_VALUE"""),46187.0)</f>
        <v>46187</v>
      </c>
      <c r="C8545" s="122" t="str">
        <f>IFERROR(__xludf.DUMMYFUNCTION("""COMPUTED_VALUE"""),"MEME")</f>
        <v>MEME</v>
      </c>
      <c r="D8545" s="122" t="str">
        <f>IFERROR(__xludf.DUMMYFUNCTION("""COMPUTED_VALUE"""),"Meme Media")</f>
        <v>Meme Media</v>
      </c>
      <c r="E8545" s="122">
        <f>IFERROR(__xludf.DUMMYFUNCTION("""COMPUTED_VALUE"""),70.19)</f>
        <v>70.19</v>
      </c>
      <c r="F8545" s="122">
        <f>IFERROR(__xludf.DUMMYFUNCTION("""COMPUTED_VALUE"""),-0.0129)</f>
        <v>-0.0129</v>
      </c>
    </row>
    <row r="8546">
      <c r="A8546" s="131">
        <f>IFERROR(__xludf.DUMMYFUNCTION("""COMPUTED_VALUE"""),46187.64392361111)</f>
        <v>46187.64392</v>
      </c>
      <c r="B8546" s="126">
        <f>IFERROR(__xludf.DUMMYFUNCTION("""COMPUTED_VALUE"""),46187.0)</f>
        <v>46187</v>
      </c>
      <c r="C8546" s="122" t="str">
        <f>IFERROR(__xludf.DUMMYFUNCTION("""COMPUTED_VALUE"""),"STRM")</f>
        <v>STRM</v>
      </c>
      <c r="D8546" s="122" t="str">
        <f>IFERROR(__xludf.DUMMYFUNCTION("""COMPUTED_VALUE"""),"Streamly")</f>
        <v>Streamly</v>
      </c>
      <c r="E8546" s="122">
        <f>IFERROR(__xludf.DUMMYFUNCTION("""COMPUTED_VALUE"""),133.06)</f>
        <v>133.06</v>
      </c>
      <c r="F8546" s="122">
        <f>IFERROR(__xludf.DUMMYFUNCTION("""COMPUTED_VALUE"""),0.0035)</f>
        <v>0.0035</v>
      </c>
    </row>
    <row r="8547">
      <c r="A8547" s="131">
        <f>IFERROR(__xludf.DUMMYFUNCTION("""COMPUTED_VALUE"""),46187.64392361111)</f>
        <v>46187.64392</v>
      </c>
      <c r="B8547" s="126">
        <f>IFERROR(__xludf.DUMMYFUNCTION("""COMPUTED_VALUE"""),46187.0)</f>
        <v>46187</v>
      </c>
      <c r="C8547" s="122" t="str">
        <f>IFERROR(__xludf.DUMMYFUNCTION("""COMPUTED_VALUE"""),"FARM")</f>
        <v>FARM</v>
      </c>
      <c r="D8547" s="122" t="str">
        <f>IFERROR(__xludf.DUMMYFUNCTION("""COMPUTED_VALUE"""),"Future Farms")</f>
        <v>Future Farms</v>
      </c>
      <c r="E8547" s="122">
        <f>IFERROR(__xludf.DUMMYFUNCTION("""COMPUTED_VALUE"""),99.68)</f>
        <v>99.68</v>
      </c>
      <c r="F8547" s="122">
        <f>IFERROR(__xludf.DUMMYFUNCTION("""COMPUTED_VALUE"""),0.0042)</f>
        <v>0.0042</v>
      </c>
    </row>
    <row r="8548">
      <c r="A8548" s="131">
        <f>IFERROR(__xludf.DUMMYFUNCTION("""COMPUTED_VALUE"""),46187.64392361111)</f>
        <v>46187.64392</v>
      </c>
      <c r="B8548" s="126">
        <f>IFERROR(__xludf.DUMMYFUNCTION("""COMPUTED_VALUE"""),46187.0)</f>
        <v>46187</v>
      </c>
      <c r="C8548" s="122" t="str">
        <f>IFERROR(__xludf.DUMMYFUNCTION("""COMPUTED_VALUE"""),"MEAT")</f>
        <v>MEAT</v>
      </c>
      <c r="D8548" s="122" t="str">
        <f>IFERROR(__xludf.DUMMYFUNCTION("""COMPUTED_VALUE"""),"MeatWorks")</f>
        <v>MeatWorks</v>
      </c>
      <c r="E8548" s="122">
        <f>IFERROR(__xludf.DUMMYFUNCTION("""COMPUTED_VALUE"""),104.51)</f>
        <v>104.51</v>
      </c>
      <c r="F8548" s="122">
        <f>IFERROR(__xludf.DUMMYFUNCTION("""COMPUTED_VALUE"""),-0.0013)</f>
        <v>-0.0013</v>
      </c>
    </row>
    <row r="8549">
      <c r="A8549" s="131">
        <f>IFERROR(__xludf.DUMMYFUNCTION("""COMPUTED_VALUE"""),46187.64392361111)</f>
        <v>46187.64392</v>
      </c>
      <c r="B8549" s="126">
        <f>IFERROR(__xludf.DUMMYFUNCTION("""COMPUTED_VALUE"""),46187.0)</f>
        <v>46187</v>
      </c>
      <c r="C8549" s="122" t="str">
        <f>IFERROR(__xludf.DUMMYFUNCTION("""COMPUTED_VALUE"""),"VEGI")</f>
        <v>VEGI</v>
      </c>
      <c r="D8549" s="122" t="str">
        <f>IFERROR(__xludf.DUMMYFUNCTION("""COMPUTED_VALUE"""),"Green Basket")</f>
        <v>Green Basket</v>
      </c>
      <c r="E8549" s="122">
        <f>IFERROR(__xludf.DUMMYFUNCTION("""COMPUTED_VALUE"""),76.77)</f>
        <v>76.77</v>
      </c>
      <c r="F8549" s="122">
        <f>IFERROR(__xludf.DUMMYFUNCTION("""COMPUTED_VALUE"""),-0.0021)</f>
        <v>-0.0021</v>
      </c>
    </row>
    <row r="8550">
      <c r="A8550" s="131">
        <f>IFERROR(__xludf.DUMMYFUNCTION("""COMPUTED_VALUE"""),46187.64392361111)</f>
        <v>46187.64392</v>
      </c>
      <c r="B8550" s="126">
        <f>IFERROR(__xludf.DUMMYFUNCTION("""COMPUTED_VALUE"""),46187.0)</f>
        <v>46187</v>
      </c>
      <c r="C8550" s="122" t="str">
        <f>IFERROR(__xludf.DUMMYFUNCTION("""COMPUTED_VALUE"""),"CAFE")</f>
        <v>CAFE</v>
      </c>
      <c r="D8550" s="122" t="str">
        <f>IFERROR(__xludf.DUMMYFUNCTION("""COMPUTED_VALUE"""),"Cafe Cloud")</f>
        <v>Cafe Cloud</v>
      </c>
      <c r="E8550" s="122">
        <f>IFERROR(__xludf.DUMMYFUNCTION("""COMPUTED_VALUE"""),102.77)</f>
        <v>102.77</v>
      </c>
      <c r="F8550" s="122">
        <f>IFERROR(__xludf.DUMMYFUNCTION("""COMPUTED_VALUE"""),0.0075)</f>
        <v>0.0075</v>
      </c>
    </row>
    <row r="8551">
      <c r="A8551" s="131">
        <f>IFERROR(__xludf.DUMMYFUNCTION("""COMPUTED_VALUE"""),46187.64392361111)</f>
        <v>46187.64392</v>
      </c>
      <c r="B8551" s="126">
        <f>IFERROR(__xludf.DUMMYFUNCTION("""COMPUTED_VALUE"""),46187.0)</f>
        <v>46187</v>
      </c>
      <c r="C8551" s="122" t="str">
        <f>IFERROR(__xludf.DUMMYFUNCTION("""COMPUTED_VALUE"""),"BAKE")</f>
        <v>BAKE</v>
      </c>
      <c r="D8551" s="122" t="str">
        <f>IFERROR(__xludf.DUMMYFUNCTION("""COMPUTED_VALUE"""),"BakeHouse")</f>
        <v>BakeHouse</v>
      </c>
      <c r="E8551" s="122">
        <f>IFERROR(__xludf.DUMMYFUNCTION("""COMPUTED_VALUE"""),100.38)</f>
        <v>100.38</v>
      </c>
      <c r="F8551" s="122">
        <f>IFERROR(__xludf.DUMMYFUNCTION("""COMPUTED_VALUE"""),0.0018)</f>
        <v>0.0018</v>
      </c>
    </row>
    <row r="8552">
      <c r="A8552" s="131">
        <f>IFERROR(__xludf.DUMMYFUNCTION("""COMPUTED_VALUE"""),46187.64392361111)</f>
        <v>46187.64392</v>
      </c>
      <c r="B8552" s="126">
        <f>IFERROR(__xludf.DUMMYFUNCTION("""COMPUTED_VALUE"""),46187.0)</f>
        <v>46187</v>
      </c>
      <c r="C8552" s="122" t="str">
        <f>IFERROR(__xludf.DUMMYFUNCTION("""COMPUTED_VALUE"""),"OILX")</f>
        <v>OILX</v>
      </c>
      <c r="D8552" s="122" t="str">
        <f>IFERROR(__xludf.DUMMYFUNCTION("""COMPUTED_VALUE"""),"OilMax Energy")</f>
        <v>OilMax Energy</v>
      </c>
      <c r="E8552" s="122">
        <f>IFERROR(__xludf.DUMMYFUNCTION("""COMPUTED_VALUE"""),134.32)</f>
        <v>134.32</v>
      </c>
      <c r="F8552" s="122">
        <f>IFERROR(__xludf.DUMMYFUNCTION("""COMPUTED_VALUE"""),-0.0056)</f>
        <v>-0.0056</v>
      </c>
    </row>
    <row r="8553">
      <c r="A8553" s="131">
        <f>IFERROR(__xludf.DUMMYFUNCTION("""COMPUTED_VALUE"""),46187.64392361111)</f>
        <v>46187.64392</v>
      </c>
      <c r="B8553" s="126">
        <f>IFERROR(__xludf.DUMMYFUNCTION("""COMPUTED_VALUE"""),46187.0)</f>
        <v>46187</v>
      </c>
      <c r="C8553" s="122" t="str">
        <f>IFERROR(__xludf.DUMMYFUNCTION("""COMPUTED_VALUE"""),"SOLR")</f>
        <v>SOLR</v>
      </c>
      <c r="D8553" s="122" t="str">
        <f>IFERROR(__xludf.DUMMYFUNCTION("""COMPUTED_VALUE"""),"SolarSpark")</f>
        <v>SolarSpark</v>
      </c>
      <c r="E8553" s="122">
        <f>IFERROR(__xludf.DUMMYFUNCTION("""COMPUTED_VALUE"""),108.52)</f>
        <v>108.52</v>
      </c>
      <c r="F8553" s="122">
        <f>IFERROR(__xludf.DUMMYFUNCTION("""COMPUTED_VALUE"""),-0.0053)</f>
        <v>-0.0053</v>
      </c>
    </row>
    <row r="8554">
      <c r="A8554" s="131">
        <f>IFERROR(__xludf.DUMMYFUNCTION("""COMPUTED_VALUE"""),46187.64392361111)</f>
        <v>46187.64392</v>
      </c>
      <c r="B8554" s="126">
        <f>IFERROR(__xludf.DUMMYFUNCTION("""COMPUTED_VALUE"""),46187.0)</f>
        <v>46187</v>
      </c>
      <c r="C8554" s="122" t="str">
        <f>IFERROR(__xludf.DUMMYFUNCTION("""COMPUTED_VALUE"""),"BATT")</f>
        <v>BATT</v>
      </c>
      <c r="D8554" s="122" t="str">
        <f>IFERROR(__xludf.DUMMYFUNCTION("""COMPUTED_VALUE"""),"BatteryBox")</f>
        <v>BatteryBox</v>
      </c>
      <c r="E8554" s="122">
        <f>IFERROR(__xludf.DUMMYFUNCTION("""COMPUTED_VALUE"""),122.84)</f>
        <v>122.84</v>
      </c>
      <c r="F8554" s="122">
        <f>IFERROR(__xludf.DUMMYFUNCTION("""COMPUTED_VALUE"""),0.0082)</f>
        <v>0.0082</v>
      </c>
    </row>
    <row r="8555">
      <c r="A8555" s="131">
        <f>IFERROR(__xludf.DUMMYFUNCTION("""COMPUTED_VALUE"""),46187.64392361111)</f>
        <v>46187.64392</v>
      </c>
      <c r="B8555" s="126">
        <f>IFERROR(__xludf.DUMMYFUNCTION("""COMPUTED_VALUE"""),46187.0)</f>
        <v>46187</v>
      </c>
      <c r="C8555" s="122" t="str">
        <f>IFERROR(__xludf.DUMMYFUNCTION("""COMPUTED_VALUE"""),"WIND")</f>
        <v>WIND</v>
      </c>
      <c r="D8555" s="122" t="str">
        <f>IFERROR(__xludf.DUMMYFUNCTION("""COMPUTED_VALUE"""),"WindWorks")</f>
        <v>WindWorks</v>
      </c>
      <c r="E8555" s="122">
        <f>IFERROR(__xludf.DUMMYFUNCTION("""COMPUTED_VALUE"""),85.79)</f>
        <v>85.79</v>
      </c>
      <c r="F8555" s="122">
        <f>IFERROR(__xludf.DUMMYFUNCTION("""COMPUTED_VALUE"""),-3.0E-4)</f>
        <v>-0.0003</v>
      </c>
    </row>
    <row r="8556">
      <c r="A8556" s="131">
        <f>IFERROR(__xludf.DUMMYFUNCTION("""COMPUTED_VALUE"""),46187.64392361111)</f>
        <v>46187.64392</v>
      </c>
      <c r="B8556" s="126">
        <f>IFERROR(__xludf.DUMMYFUNCTION("""COMPUTED_VALUE"""),46187.0)</f>
        <v>46187</v>
      </c>
      <c r="C8556" s="122" t="str">
        <f>IFERROR(__xludf.DUMMYFUNCTION("""COMPUTED_VALUE"""),"GRID")</f>
        <v>GRID</v>
      </c>
      <c r="D8556" s="122" t="str">
        <f>IFERROR(__xludf.DUMMYFUNCTION("""COMPUTED_VALUE"""),"GridPower")</f>
        <v>GridPower</v>
      </c>
      <c r="E8556" s="122">
        <f>IFERROR(__xludf.DUMMYFUNCTION("""COMPUTED_VALUE"""),125.41)</f>
        <v>125.41</v>
      </c>
      <c r="F8556" s="122">
        <f>IFERROR(__xludf.DUMMYFUNCTION("""COMPUTED_VALUE"""),-0.007)</f>
        <v>-0.007</v>
      </c>
    </row>
    <row r="8557">
      <c r="A8557" s="131">
        <f>IFERROR(__xludf.DUMMYFUNCTION("""COMPUTED_VALUE"""),46187.64392361111)</f>
        <v>46187.64392</v>
      </c>
      <c r="B8557" s="126">
        <f>IFERROR(__xludf.DUMMYFUNCTION("""COMPUTED_VALUE"""),46187.0)</f>
        <v>46187</v>
      </c>
      <c r="C8557" s="122" t="str">
        <f>IFERROR(__xludf.DUMMYFUNCTION("""COMPUTED_VALUE"""),"HOME")</f>
        <v>HOME</v>
      </c>
      <c r="D8557" s="122" t="str">
        <f>IFERROR(__xludf.DUMMYFUNCTION("""COMPUTED_VALUE"""),"HomeHub")</f>
        <v>HomeHub</v>
      </c>
      <c r="E8557" s="122">
        <f>IFERROR(__xludf.DUMMYFUNCTION("""COMPUTED_VALUE"""),160.8)</f>
        <v>160.8</v>
      </c>
      <c r="F8557" s="122">
        <f>IFERROR(__xludf.DUMMYFUNCTION("""COMPUTED_VALUE"""),0.0046)</f>
        <v>0.0046</v>
      </c>
    </row>
    <row r="8558">
      <c r="A8558" s="131">
        <f>IFERROR(__xludf.DUMMYFUNCTION("""COMPUTED_VALUE"""),46187.64392361111)</f>
        <v>46187.64392</v>
      </c>
      <c r="B8558" s="126">
        <f>IFERROR(__xludf.DUMMYFUNCTION("""COMPUTED_VALUE"""),46187.0)</f>
        <v>46187</v>
      </c>
      <c r="C8558" s="122" t="str">
        <f>IFERROR(__xludf.DUMMYFUNCTION("""COMPUTED_VALUE"""),"RENT")</f>
        <v>RENT</v>
      </c>
      <c r="D8558" s="122" t="str">
        <f>IFERROR(__xludf.DUMMYFUNCTION("""COMPUTED_VALUE"""),"RentRight")</f>
        <v>RentRight</v>
      </c>
      <c r="E8558" s="122">
        <f>IFERROR(__xludf.DUMMYFUNCTION("""COMPUTED_VALUE"""),90.7)</f>
        <v>90.7</v>
      </c>
      <c r="F8558" s="122">
        <f>IFERROR(__xludf.DUMMYFUNCTION("""COMPUTED_VALUE"""),-0.0045)</f>
        <v>-0.0045</v>
      </c>
    </row>
    <row r="8559">
      <c r="A8559" s="131">
        <f>IFERROR(__xludf.DUMMYFUNCTION("""COMPUTED_VALUE"""),46187.64392361111)</f>
        <v>46187.64392</v>
      </c>
      <c r="B8559" s="126">
        <f>IFERROR(__xludf.DUMMYFUNCTION("""COMPUTED_VALUE"""),46187.0)</f>
        <v>46187</v>
      </c>
      <c r="C8559" s="122" t="str">
        <f>IFERROR(__xludf.DUMMYFUNCTION("""COMPUTED_VALUE"""),"MALL")</f>
        <v>MALL</v>
      </c>
      <c r="D8559" s="122" t="str">
        <f>IFERROR(__xludf.DUMMYFUNCTION("""COMPUTED_VALUE"""),"MegaMall")</f>
        <v>MegaMall</v>
      </c>
      <c r="E8559" s="122">
        <f>IFERROR(__xludf.DUMMYFUNCTION("""COMPUTED_VALUE"""),102.75)</f>
        <v>102.75</v>
      </c>
      <c r="F8559" s="122">
        <f>IFERROR(__xludf.DUMMYFUNCTION("""COMPUTED_VALUE"""),0.0063)</f>
        <v>0.0063</v>
      </c>
    </row>
    <row r="8560">
      <c r="A8560" s="131">
        <f>IFERROR(__xludf.DUMMYFUNCTION("""COMPUTED_VALUE"""),46187.64392361111)</f>
        <v>46187.64392</v>
      </c>
      <c r="B8560" s="126">
        <f>IFERROR(__xludf.DUMMYFUNCTION("""COMPUTED_VALUE"""),46187.0)</f>
        <v>46187</v>
      </c>
      <c r="C8560" s="122" t="str">
        <f>IFERROR(__xludf.DUMMYFUNCTION("""COMPUTED_VALUE"""),"HOTL")</f>
        <v>HOTL</v>
      </c>
      <c r="D8560" s="122" t="str">
        <f>IFERROR(__xludf.DUMMYFUNCTION("""COMPUTED_VALUE"""),"HotelHive")</f>
        <v>HotelHive</v>
      </c>
      <c r="E8560" s="122">
        <f>IFERROR(__xludf.DUMMYFUNCTION("""COMPUTED_VALUE"""),120.76)</f>
        <v>120.76</v>
      </c>
      <c r="F8560" s="122">
        <f>IFERROR(__xludf.DUMMYFUNCTION("""COMPUTED_VALUE"""),0.0061)</f>
        <v>0.0061</v>
      </c>
    </row>
    <row r="8561">
      <c r="A8561" s="131">
        <f>IFERROR(__xludf.DUMMYFUNCTION("""COMPUTED_VALUE"""),46187.64392361111)</f>
        <v>46187.64392</v>
      </c>
      <c r="B8561" s="126">
        <f>IFERROR(__xludf.DUMMYFUNCTION("""COMPUTED_VALUE"""),46187.0)</f>
        <v>46187</v>
      </c>
      <c r="C8561" s="122" t="str">
        <f>IFERROR(__xludf.DUMMYFUNCTION("""COMPUTED_VALUE"""),"LAND")</f>
        <v>LAND</v>
      </c>
      <c r="D8561" s="122" t="str">
        <f>IFERROR(__xludf.DUMMYFUNCTION("""COMPUTED_VALUE"""),"LandLink")</f>
        <v>LandLink</v>
      </c>
      <c r="E8561" s="122">
        <f>IFERROR(__xludf.DUMMYFUNCTION("""COMPUTED_VALUE"""),187.14)</f>
        <v>187.14</v>
      </c>
      <c r="F8561" s="122">
        <f>IFERROR(__xludf.DUMMYFUNCTION("""COMPUTED_VALUE"""),-0.0044)</f>
        <v>-0.0044</v>
      </c>
    </row>
    <row r="8562">
      <c r="A8562" s="131">
        <f>IFERROR(__xludf.DUMMYFUNCTION("""COMPUTED_VALUE"""),46187.64392361111)</f>
        <v>46187.64392</v>
      </c>
      <c r="B8562" s="126">
        <f>IFERROR(__xludf.DUMMYFUNCTION("""COMPUTED_VALUE"""),46187.0)</f>
        <v>46187</v>
      </c>
      <c r="C8562" s="122" t="str">
        <f>IFERROR(__xludf.DUMMYFUNCTION("""COMPUTED_VALUE"""),"CARS")</f>
        <v>CARS</v>
      </c>
      <c r="D8562" s="122" t="str">
        <f>IFERROR(__xludf.DUMMYFUNCTION("""COMPUTED_VALUE"""),"AutoArena")</f>
        <v>AutoArena</v>
      </c>
      <c r="E8562" s="122">
        <f>IFERROR(__xludf.DUMMYFUNCTION("""COMPUTED_VALUE"""),82.34)</f>
        <v>82.34</v>
      </c>
      <c r="F8562" s="122">
        <f>IFERROR(__xludf.DUMMYFUNCTION("""COMPUTED_VALUE"""),0.0072)</f>
        <v>0.0072</v>
      </c>
    </row>
    <row r="8563">
      <c r="A8563" s="131">
        <f>IFERROR(__xludf.DUMMYFUNCTION("""COMPUTED_VALUE"""),46187.64392361111)</f>
        <v>46187.64392</v>
      </c>
      <c r="B8563" s="126">
        <f>IFERROR(__xludf.DUMMYFUNCTION("""COMPUTED_VALUE"""),46187.0)</f>
        <v>46187</v>
      </c>
      <c r="C8563" s="122" t="str">
        <f>IFERROR(__xludf.DUMMYFUNCTION("""COMPUTED_VALUE"""),"EVGO")</f>
        <v>EVGO</v>
      </c>
      <c r="D8563" s="122" t="str">
        <f>IFERROR(__xludf.DUMMYFUNCTION("""COMPUTED_VALUE"""),"EVGo Motors")</f>
        <v>EVGo Motors</v>
      </c>
      <c r="E8563" s="122">
        <f>IFERROR(__xludf.DUMMYFUNCTION("""COMPUTED_VALUE"""),191.43)</f>
        <v>191.43</v>
      </c>
      <c r="F8563" s="122">
        <f>IFERROR(__xludf.DUMMYFUNCTION("""COMPUTED_VALUE"""),0.0111)</f>
        <v>0.0111</v>
      </c>
    </row>
    <row r="8564">
      <c r="A8564" s="131">
        <f>IFERROR(__xludf.DUMMYFUNCTION("""COMPUTED_VALUE"""),46187.64392361111)</f>
        <v>46187.64392</v>
      </c>
      <c r="B8564" s="126">
        <f>IFERROR(__xludf.DUMMYFUNCTION("""COMPUTED_VALUE"""),46187.0)</f>
        <v>46187</v>
      </c>
      <c r="C8564" s="122" t="str">
        <f>IFERROR(__xludf.DUMMYFUNCTION("""COMPUTED_VALUE"""),"TIRE")</f>
        <v>TIRE</v>
      </c>
      <c r="D8564" s="122" t="str">
        <f>IFERROR(__xludf.DUMMYFUNCTION("""COMPUTED_VALUE"""),"TireTown")</f>
        <v>TireTown</v>
      </c>
      <c r="E8564" s="122">
        <f>IFERROR(__xludf.DUMMYFUNCTION("""COMPUTED_VALUE"""),98.78)</f>
        <v>98.78</v>
      </c>
      <c r="F8564" s="122">
        <f>IFERROR(__xludf.DUMMYFUNCTION("""COMPUTED_VALUE"""),-0.0027)</f>
        <v>-0.0027</v>
      </c>
    </row>
    <row r="8565">
      <c r="A8565" s="131">
        <f>IFERROR(__xludf.DUMMYFUNCTION("""COMPUTED_VALUE"""),46187.64392361111)</f>
        <v>46187.64392</v>
      </c>
      <c r="B8565" s="126">
        <f>IFERROR(__xludf.DUMMYFUNCTION("""COMPUTED_VALUE"""),46187.0)</f>
        <v>46187</v>
      </c>
      <c r="C8565" s="122" t="str">
        <f>IFERROR(__xludf.DUMMYFUNCTION("""COMPUTED_VALUE"""),"BIKE")</f>
        <v>BIKE</v>
      </c>
      <c r="D8565" s="122" t="str">
        <f>IFERROR(__xludf.DUMMYFUNCTION("""COMPUTED_VALUE"""),"BikeBox")</f>
        <v>BikeBox</v>
      </c>
      <c r="E8565" s="122">
        <f>IFERROR(__xludf.DUMMYFUNCTION("""COMPUTED_VALUE"""),52.36)</f>
        <v>52.36</v>
      </c>
      <c r="F8565" s="122">
        <f>IFERROR(__xludf.DUMMYFUNCTION("""COMPUTED_VALUE"""),0.0027)</f>
        <v>0.0027</v>
      </c>
    </row>
    <row r="8566">
      <c r="A8566" s="131">
        <f>IFERROR(__xludf.DUMMYFUNCTION("""COMPUTED_VALUE"""),46187.64392361111)</f>
        <v>46187.64392</v>
      </c>
      <c r="B8566" s="126">
        <f>IFERROR(__xludf.DUMMYFUNCTION("""COMPUTED_VALUE"""),46187.0)</f>
        <v>46187</v>
      </c>
      <c r="C8566" s="122" t="str">
        <f>IFERROR(__xludf.DUMMYFUNCTION("""COMPUTED_VALUE"""),"WASH")</f>
        <v>WASH</v>
      </c>
      <c r="D8566" s="122" t="str">
        <f>IFERROR(__xludf.DUMMYFUNCTION("""COMPUTED_VALUE"""),"CarWash Co")</f>
        <v>CarWash Co</v>
      </c>
      <c r="E8566" s="122">
        <f>IFERROR(__xludf.DUMMYFUNCTION("""COMPUTED_VALUE"""),122.3)</f>
        <v>122.3</v>
      </c>
      <c r="F8566" s="122">
        <f>IFERROR(__xludf.DUMMYFUNCTION("""COMPUTED_VALUE"""),0.0042)</f>
        <v>0.0042</v>
      </c>
    </row>
    <row r="8567">
      <c r="A8567" s="131">
        <f>IFERROR(__xludf.DUMMYFUNCTION("""COMPUTED_VALUE"""),46187.64392361111)</f>
        <v>46187.64392</v>
      </c>
      <c r="B8567" s="126">
        <f>IFERROR(__xludf.DUMMYFUNCTION("""COMPUTED_VALUE"""),46187.0)</f>
        <v>46187</v>
      </c>
      <c r="C8567" s="122" t="str">
        <f>IFERROR(__xludf.DUMMYFUNCTION("""COMPUTED_VALUE"""),"GBND")</f>
        <v>GBND</v>
      </c>
      <c r="D8567" s="122" t="str">
        <f>IFERROR(__xludf.DUMMYFUNCTION("""COMPUTED_VALUE"""),"Classroom Government Bond")</f>
        <v>Classroom Government Bond</v>
      </c>
      <c r="E8567" s="122">
        <f>IFERROR(__xludf.DUMMYFUNCTION("""COMPUTED_VALUE"""),101.16)</f>
        <v>101.16</v>
      </c>
      <c r="F8567" s="122">
        <f>IFERROR(__xludf.DUMMYFUNCTION("""COMPUTED_VALUE"""),4.0E-4)</f>
        <v>0.0004</v>
      </c>
    </row>
    <row r="8568">
      <c r="A8568" s="131">
        <f>IFERROR(__xludf.DUMMYFUNCTION("""COMPUTED_VALUE"""),46187.64392361111)</f>
        <v>46187.64392</v>
      </c>
      <c r="B8568" s="126">
        <f>IFERROR(__xludf.DUMMYFUNCTION("""COMPUTED_VALUE"""),46187.0)</f>
        <v>46187</v>
      </c>
      <c r="C8568" s="122" t="str">
        <f>IFERROR(__xludf.DUMMYFUNCTION("""COMPUTED_VALUE"""),"SBND")</f>
        <v>SBND</v>
      </c>
      <c r="D8568" s="122" t="str">
        <f>IFERROR(__xludf.DUMMYFUNCTION("""COMPUTED_VALUE"""),"School Savings Bond")</f>
        <v>School Savings Bond</v>
      </c>
      <c r="E8568" s="122">
        <f>IFERROR(__xludf.DUMMYFUNCTION("""COMPUTED_VALUE"""),99.21)</f>
        <v>99.21</v>
      </c>
      <c r="F8568" s="122">
        <f>IFERROR(__xludf.DUMMYFUNCTION("""COMPUTED_VALUE"""),1.0E-4)</f>
        <v>0.0001</v>
      </c>
    </row>
    <row r="8569">
      <c r="A8569" s="131">
        <f>IFERROR(__xludf.DUMMYFUNCTION("""COMPUTED_VALUE"""),46187.64392361111)</f>
        <v>46187.64392</v>
      </c>
      <c r="B8569" s="126">
        <f>IFERROR(__xludf.DUMMYFUNCTION("""COMPUTED_VALUE"""),46187.0)</f>
        <v>46187</v>
      </c>
      <c r="C8569" s="122" t="str">
        <f>IFERROR(__xludf.DUMMYFUNCTION("""COMPUTED_VALUE"""),"CBND")</f>
        <v>CBND</v>
      </c>
      <c r="D8569" s="122" t="str">
        <f>IFERROR(__xludf.DUMMYFUNCTION("""COMPUTED_VALUE"""),"Corporate Classroom Bond")</f>
        <v>Corporate Classroom Bond</v>
      </c>
      <c r="E8569" s="122">
        <f>IFERROR(__xludf.DUMMYFUNCTION("""COMPUTED_VALUE"""),97.77)</f>
        <v>97.77</v>
      </c>
      <c r="F8569" s="122">
        <f>IFERROR(__xludf.DUMMYFUNCTION("""COMPUTED_VALUE"""),2.0E-4)</f>
        <v>0.0002</v>
      </c>
    </row>
    <row r="8570">
      <c r="A8570" s="131">
        <f>IFERROR(__xludf.DUMMYFUNCTION("""COMPUTED_VALUE"""),46187.64392361111)</f>
        <v>46187.64392</v>
      </c>
      <c r="B8570" s="126">
        <f>IFERROR(__xludf.DUMMYFUNCTION("""COMPUTED_VALUE"""),46187.0)</f>
        <v>46187</v>
      </c>
      <c r="C8570" s="122" t="str">
        <f>IFERROR(__xludf.DUMMYFUNCTION("""COMPUTED_VALUE"""),"TBIL")</f>
        <v>TBIL</v>
      </c>
      <c r="D8570" s="122" t="str">
        <f>IFERROR(__xludf.DUMMYFUNCTION("""COMPUTED_VALUE"""),"Treasury Bill")</f>
        <v>Treasury Bill</v>
      </c>
      <c r="E8570" s="122">
        <f>IFERROR(__xludf.DUMMYFUNCTION("""COMPUTED_VALUE"""),97.69)</f>
        <v>97.69</v>
      </c>
      <c r="F8570" s="122">
        <f>IFERROR(__xludf.DUMMYFUNCTION("""COMPUTED_VALUE"""),1.0E-4)</f>
        <v>0.0001</v>
      </c>
    </row>
    <row r="8571">
      <c r="A8571" s="131">
        <f>IFERROR(__xludf.DUMMYFUNCTION("""COMPUTED_VALUE"""),46187.64392361111)</f>
        <v>46187.64392</v>
      </c>
      <c r="B8571" s="126">
        <f>IFERROR(__xludf.DUMMYFUNCTION("""COMPUTED_VALUE"""),46187.0)</f>
        <v>46187</v>
      </c>
      <c r="C8571" s="122" t="str">
        <f>IFERROR(__xludf.DUMMYFUNCTION("""COMPUTED_VALUE"""),"IBND")</f>
        <v>IBND</v>
      </c>
      <c r="D8571" s="122" t="str">
        <f>IFERROR(__xludf.DUMMYFUNCTION("""COMPUTED_VALUE"""),"Inflation Protected Bond")</f>
        <v>Inflation Protected Bond</v>
      </c>
      <c r="E8571" s="122">
        <f>IFERROR(__xludf.DUMMYFUNCTION("""COMPUTED_VALUE"""),100.76)</f>
        <v>100.76</v>
      </c>
      <c r="F8571" s="122">
        <f>IFERROR(__xludf.DUMMYFUNCTION("""COMPUTED_VALUE"""),-1.0E-4)</f>
        <v>-0.0001</v>
      </c>
    </row>
    <row r="8572">
      <c r="A8572" s="131">
        <f>IFERROR(__xludf.DUMMYFUNCTION("""COMPUTED_VALUE"""),46187.647314814814)</f>
        <v>46187.64731</v>
      </c>
      <c r="B8572" s="126">
        <f>IFERROR(__xludf.DUMMYFUNCTION("""COMPUTED_VALUE"""),46187.0)</f>
        <v>46187</v>
      </c>
      <c r="C8572" s="122" t="str">
        <f>IFERROR(__xludf.DUMMYFUNCTION("""COMPUTED_VALUE"""),"SNAX")</f>
        <v>SNAX</v>
      </c>
      <c r="D8572" s="122" t="str">
        <f>IFERROR(__xludf.DUMMYFUNCTION("""COMPUTED_VALUE"""),"MICA Snacks")</f>
        <v>MICA Snacks</v>
      </c>
      <c r="E8572" s="122">
        <f>IFERROR(__xludf.DUMMYFUNCTION("""COMPUTED_VALUE"""),121.1)</f>
        <v>121.1</v>
      </c>
      <c r="F8572" s="122">
        <f>IFERROR(__xludf.DUMMYFUNCTION("""COMPUTED_VALUE"""),-0.0013)</f>
        <v>-0.0013</v>
      </c>
    </row>
    <row r="8573">
      <c r="A8573" s="131">
        <f>IFERROR(__xludf.DUMMYFUNCTION("""COMPUTED_VALUE"""),46187.647314814814)</f>
        <v>46187.64731</v>
      </c>
      <c r="B8573" s="126">
        <f>IFERROR(__xludf.DUMMYFUNCTION("""COMPUTED_VALUE"""),46187.0)</f>
        <v>46187</v>
      </c>
      <c r="C8573" s="122" t="str">
        <f>IFERROR(__xludf.DUMMYFUNCTION("""COMPUTED_VALUE"""),"RAMN")</f>
        <v>RAMN</v>
      </c>
      <c r="D8573" s="122" t="str">
        <f>IFERROR(__xludf.DUMMYFUNCTION("""COMPUTED_VALUE"""),"Ramen Republic")</f>
        <v>Ramen Republic</v>
      </c>
      <c r="E8573" s="122">
        <f>IFERROR(__xludf.DUMMYFUNCTION("""COMPUTED_VALUE"""),62.26)</f>
        <v>62.26</v>
      </c>
      <c r="F8573" s="122">
        <f>IFERROR(__xludf.DUMMYFUNCTION("""COMPUTED_VALUE"""),0.0035)</f>
        <v>0.0035</v>
      </c>
    </row>
    <row r="8574">
      <c r="A8574" s="131">
        <f>IFERROR(__xludf.DUMMYFUNCTION("""COMPUTED_VALUE"""),46187.647314814814)</f>
        <v>46187.64731</v>
      </c>
      <c r="B8574" s="126">
        <f>IFERROR(__xludf.DUMMYFUNCTION("""COMPUTED_VALUE"""),46187.0)</f>
        <v>46187</v>
      </c>
      <c r="C8574" s="122" t="str">
        <f>IFERROR(__xludf.DUMMYFUNCTION("""COMPUTED_VALUE"""),"COLA")</f>
        <v>COLA</v>
      </c>
      <c r="D8574" s="122" t="str">
        <f>IFERROR(__xludf.DUMMYFUNCTION("""COMPUTED_VALUE"""),"K-Pop Cola")</f>
        <v>K-Pop Cola</v>
      </c>
      <c r="E8574" s="122">
        <f>IFERROR(__xludf.DUMMYFUNCTION("""COMPUTED_VALUE"""),115.26)</f>
        <v>115.26</v>
      </c>
      <c r="F8574" s="122">
        <f>IFERROR(__xludf.DUMMYFUNCTION("""COMPUTED_VALUE"""),0.0051)</f>
        <v>0.0051</v>
      </c>
    </row>
    <row r="8575">
      <c r="A8575" s="131">
        <f>IFERROR(__xludf.DUMMYFUNCTION("""COMPUTED_VALUE"""),46187.647314814814)</f>
        <v>46187.64731</v>
      </c>
      <c r="B8575" s="126">
        <f>IFERROR(__xludf.DUMMYFUNCTION("""COMPUTED_VALUE"""),46187.0)</f>
        <v>46187</v>
      </c>
      <c r="C8575" s="122" t="str">
        <f>IFERROR(__xludf.DUMMYFUNCTION("""COMPUTED_VALUE"""),"CHIP")</f>
        <v>CHIP</v>
      </c>
      <c r="D8575" s="122" t="str">
        <f>IFERROR(__xludf.DUMMYFUNCTION("""COMPUTED_VALUE"""),"Chip Empire")</f>
        <v>Chip Empire</v>
      </c>
      <c r="E8575" s="122">
        <f>IFERROR(__xludf.DUMMYFUNCTION("""COMPUTED_VALUE"""),81.74)</f>
        <v>81.74</v>
      </c>
      <c r="F8575" s="122">
        <f>IFERROR(__xludf.DUMMYFUNCTION("""COMPUTED_VALUE"""),0.0034)</f>
        <v>0.0034</v>
      </c>
    </row>
    <row r="8576">
      <c r="A8576" s="131">
        <f>IFERROR(__xludf.DUMMYFUNCTION("""COMPUTED_VALUE"""),46187.647314814814)</f>
        <v>46187.64731</v>
      </c>
      <c r="B8576" s="126">
        <f>IFERROR(__xludf.DUMMYFUNCTION("""COMPUTED_VALUE"""),46187.0)</f>
        <v>46187</v>
      </c>
      <c r="C8576" s="122" t="str">
        <f>IFERROR(__xludf.DUMMYFUNCTION("""COMPUTED_VALUE"""),"CAND")</f>
        <v>CAND</v>
      </c>
      <c r="D8576" s="122" t="str">
        <f>IFERROR(__xludf.DUMMYFUNCTION("""COMPUTED_VALUE"""),"Candy Capital")</f>
        <v>Candy Capital</v>
      </c>
      <c r="E8576" s="122">
        <f>IFERROR(__xludf.DUMMYFUNCTION("""COMPUTED_VALUE"""),77.68)</f>
        <v>77.68</v>
      </c>
      <c r="F8576" s="122">
        <f>IFERROR(__xludf.DUMMYFUNCTION("""COMPUTED_VALUE"""),-0.0037)</f>
        <v>-0.0037</v>
      </c>
    </row>
    <row r="8577">
      <c r="A8577" s="131">
        <f>IFERROR(__xludf.DUMMYFUNCTION("""COMPUTED_VALUE"""),46187.647314814814)</f>
        <v>46187.64731</v>
      </c>
      <c r="B8577" s="126">
        <f>IFERROR(__xludf.DUMMYFUNCTION("""COMPUTED_VALUE"""),46187.0)</f>
        <v>46187</v>
      </c>
      <c r="C8577" s="122" t="str">
        <f>IFERROR(__xludf.DUMMYFUNCTION("""COMPUTED_VALUE"""),"TECH")</f>
        <v>TECH</v>
      </c>
      <c r="D8577" s="122" t="str">
        <f>IFERROR(__xludf.DUMMYFUNCTION("""COMPUTED_VALUE"""),"Dragon Tech")</f>
        <v>Dragon Tech</v>
      </c>
      <c r="E8577" s="122">
        <f>IFERROR(__xludf.DUMMYFUNCTION("""COMPUTED_VALUE"""),255.42)</f>
        <v>255.42</v>
      </c>
      <c r="F8577" s="122">
        <f>IFERROR(__xludf.DUMMYFUNCTION("""COMPUTED_VALUE"""),-0.0078)</f>
        <v>-0.0078</v>
      </c>
    </row>
    <row r="8578">
      <c r="A8578" s="131">
        <f>IFERROR(__xludf.DUMMYFUNCTION("""COMPUTED_VALUE"""),46187.647314814814)</f>
        <v>46187.64731</v>
      </c>
      <c r="B8578" s="126">
        <f>IFERROR(__xludf.DUMMYFUNCTION("""COMPUTED_VALUE"""),46187.0)</f>
        <v>46187</v>
      </c>
      <c r="C8578" s="122" t="str">
        <f>IFERROR(__xludf.DUMMYFUNCTION("""COMPUTED_VALUE"""),"AIBO")</f>
        <v>AIBO</v>
      </c>
      <c r="D8578" s="122" t="str">
        <f>IFERROR(__xludf.DUMMYFUNCTION("""COMPUTED_VALUE"""),"Homework AI")</f>
        <v>Homework AI</v>
      </c>
      <c r="E8578" s="122">
        <f>IFERROR(__xludf.DUMMYFUNCTION("""COMPUTED_VALUE"""),193.82)</f>
        <v>193.82</v>
      </c>
      <c r="F8578" s="122">
        <f>IFERROR(__xludf.DUMMYFUNCTION("""COMPUTED_VALUE"""),-0.0035)</f>
        <v>-0.0035</v>
      </c>
    </row>
    <row r="8579">
      <c r="A8579" s="131">
        <f>IFERROR(__xludf.DUMMYFUNCTION("""COMPUTED_VALUE"""),46187.647314814814)</f>
        <v>46187.64731</v>
      </c>
      <c r="B8579" s="126">
        <f>IFERROR(__xludf.DUMMYFUNCTION("""COMPUTED_VALUE"""),46187.0)</f>
        <v>46187</v>
      </c>
      <c r="C8579" s="122" t="str">
        <f>IFERROR(__xludf.DUMMYFUNCTION("""COMPUTED_VALUE"""),"GAME")</f>
        <v>GAME</v>
      </c>
      <c r="D8579" s="122" t="str">
        <f>IFERROR(__xludf.DUMMYFUNCTION("""COMPUTED_VALUE"""),"GameBox Media")</f>
        <v>GameBox Media</v>
      </c>
      <c r="E8579" s="122">
        <f>IFERROR(__xludf.DUMMYFUNCTION("""COMPUTED_VALUE"""),103.35)</f>
        <v>103.35</v>
      </c>
      <c r="F8579" s="122">
        <f>IFERROR(__xludf.DUMMYFUNCTION("""COMPUTED_VALUE"""),7.0E-4)</f>
        <v>0.0007</v>
      </c>
    </row>
    <row r="8580">
      <c r="A8580" s="131">
        <f>IFERROR(__xludf.DUMMYFUNCTION("""COMPUTED_VALUE"""),46187.647314814814)</f>
        <v>46187.64731</v>
      </c>
      <c r="B8580" s="126">
        <f>IFERROR(__xludf.DUMMYFUNCTION("""COMPUTED_VALUE"""),46187.0)</f>
        <v>46187</v>
      </c>
      <c r="C8580" s="122" t="str">
        <f>IFERROR(__xludf.DUMMYFUNCTION("""COMPUTED_VALUE"""),"VRSE")</f>
        <v>VRSE</v>
      </c>
      <c r="D8580" s="122" t="str">
        <f>IFERROR(__xludf.DUMMYFUNCTION("""COMPUTED_VALUE"""),"VerseVR")</f>
        <v>VerseVR</v>
      </c>
      <c r="E8580" s="122">
        <f>IFERROR(__xludf.DUMMYFUNCTION("""COMPUTED_VALUE"""),146.43)</f>
        <v>146.43</v>
      </c>
      <c r="F8580" s="122">
        <f>IFERROR(__xludf.DUMMYFUNCTION("""COMPUTED_VALUE"""),-0.0101)</f>
        <v>-0.0101</v>
      </c>
    </row>
    <row r="8581">
      <c r="A8581" s="131">
        <f>IFERROR(__xludf.DUMMYFUNCTION("""COMPUTED_VALUE"""),46187.647314814814)</f>
        <v>46187.64731</v>
      </c>
      <c r="B8581" s="126">
        <f>IFERROR(__xludf.DUMMYFUNCTION("""COMPUTED_VALUE"""),46187.0)</f>
        <v>46187</v>
      </c>
      <c r="C8581" s="122" t="str">
        <f>IFERROR(__xludf.DUMMYFUNCTION("""COMPUTED_VALUE"""),"BYTE")</f>
        <v>BYTE</v>
      </c>
      <c r="D8581" s="122" t="str">
        <f>IFERROR(__xludf.DUMMYFUNCTION("""COMPUTED_VALUE"""),"ByteWorks")</f>
        <v>ByteWorks</v>
      </c>
      <c r="E8581" s="122">
        <f>IFERROR(__xludf.DUMMYFUNCTION("""COMPUTED_VALUE"""),111.87)</f>
        <v>111.87</v>
      </c>
      <c r="F8581" s="122">
        <f>IFERROR(__xludf.DUMMYFUNCTION("""COMPUTED_VALUE"""),-0.001)</f>
        <v>-0.001</v>
      </c>
    </row>
    <row r="8582">
      <c r="A8582" s="131">
        <f>IFERROR(__xludf.DUMMYFUNCTION("""COMPUTED_VALUE"""),46187.647314814814)</f>
        <v>46187.64731</v>
      </c>
      <c r="B8582" s="126">
        <f>IFERROR(__xludf.DUMMYFUNCTION("""COMPUTED_VALUE"""),46187.0)</f>
        <v>46187</v>
      </c>
      <c r="C8582" s="122" t="str">
        <f>IFERROR(__xludf.DUMMYFUNCTION("""COMPUTED_VALUE"""),"BANK")</f>
        <v>BANK</v>
      </c>
      <c r="D8582" s="122" t="str">
        <f>IFERROR(__xludf.DUMMYFUNCTION("""COMPUTED_VALUE"""),"Tiger Bank")</f>
        <v>Tiger Bank</v>
      </c>
      <c r="E8582" s="122">
        <f>IFERROR(__xludf.DUMMYFUNCTION("""COMPUTED_VALUE"""),132.42)</f>
        <v>132.42</v>
      </c>
      <c r="F8582" s="122">
        <f>IFERROR(__xludf.DUMMYFUNCTION("""COMPUTED_VALUE"""),-6.0E-4)</f>
        <v>-0.0006</v>
      </c>
    </row>
    <row r="8583">
      <c r="A8583" s="131">
        <f>IFERROR(__xludf.DUMMYFUNCTION("""COMPUTED_VALUE"""),46187.647314814814)</f>
        <v>46187.64731</v>
      </c>
      <c r="B8583" s="126">
        <f>IFERROR(__xludf.DUMMYFUNCTION("""COMPUTED_VALUE"""),46187.0)</f>
        <v>46187</v>
      </c>
      <c r="C8583" s="122" t="str">
        <f>IFERROR(__xludf.DUMMYFUNCTION("""COMPUTED_VALUE"""),"CRED")</f>
        <v>CRED</v>
      </c>
      <c r="D8583" s="122" t="str">
        <f>IFERROR(__xludf.DUMMYFUNCTION("""COMPUTED_VALUE"""),"Credit Castle")</f>
        <v>Credit Castle</v>
      </c>
      <c r="E8583" s="122">
        <f>IFERROR(__xludf.DUMMYFUNCTION("""COMPUTED_VALUE"""),66.48)</f>
        <v>66.48</v>
      </c>
      <c r="F8583" s="122">
        <f>IFERROR(__xludf.DUMMYFUNCTION("""COMPUTED_VALUE"""),-0.0036)</f>
        <v>-0.0036</v>
      </c>
    </row>
    <row r="8584">
      <c r="A8584" s="131">
        <f>IFERROR(__xludf.DUMMYFUNCTION("""COMPUTED_VALUE"""),46187.647314814814)</f>
        <v>46187.64731</v>
      </c>
      <c r="B8584" s="126">
        <f>IFERROR(__xludf.DUMMYFUNCTION("""COMPUTED_VALUE"""),46187.0)</f>
        <v>46187</v>
      </c>
      <c r="C8584" s="122" t="str">
        <f>IFERROR(__xludf.DUMMYFUNCTION("""COMPUTED_VALUE"""),"BOND")</f>
        <v>BOND</v>
      </c>
      <c r="D8584" s="122" t="str">
        <f>IFERROR(__xludf.DUMMYFUNCTION("""COMPUTED_VALUE"""),"BondBridge")</f>
        <v>BondBridge</v>
      </c>
      <c r="E8584" s="122">
        <f>IFERROR(__xludf.DUMMYFUNCTION("""COMPUTED_VALUE"""),106.05)</f>
        <v>106.05</v>
      </c>
      <c r="F8584" s="122">
        <f>IFERROR(__xludf.DUMMYFUNCTION("""COMPUTED_VALUE"""),0.0019)</f>
        <v>0.0019</v>
      </c>
    </row>
    <row r="8585">
      <c r="A8585" s="131">
        <f>IFERROR(__xludf.DUMMYFUNCTION("""COMPUTED_VALUE"""),46187.647314814814)</f>
        <v>46187.64731</v>
      </c>
      <c r="B8585" s="126">
        <f>IFERROR(__xludf.DUMMYFUNCTION("""COMPUTED_VALUE"""),46187.0)</f>
        <v>46187</v>
      </c>
      <c r="C8585" s="122" t="str">
        <f>IFERROR(__xludf.DUMMYFUNCTION("""COMPUTED_VALUE"""),"INSR")</f>
        <v>INSR</v>
      </c>
      <c r="D8585" s="122" t="str">
        <f>IFERROR(__xludf.DUMMYFUNCTION("""COMPUTED_VALUE"""),"Shield Insurance")</f>
        <v>Shield Insurance</v>
      </c>
      <c r="E8585" s="122">
        <f>IFERROR(__xludf.DUMMYFUNCTION("""COMPUTED_VALUE"""),156.84)</f>
        <v>156.84</v>
      </c>
      <c r="F8585" s="122">
        <f>IFERROR(__xludf.DUMMYFUNCTION("""COMPUTED_VALUE"""),0.004)</f>
        <v>0.004</v>
      </c>
    </row>
    <row r="8586">
      <c r="A8586" s="131">
        <f>IFERROR(__xludf.DUMMYFUNCTION("""COMPUTED_VALUE"""),46187.647314814814)</f>
        <v>46187.64731</v>
      </c>
      <c r="B8586" s="126">
        <f>IFERROR(__xludf.DUMMYFUNCTION("""COMPUTED_VALUE"""),46187.0)</f>
        <v>46187</v>
      </c>
      <c r="C8586" s="122" t="str">
        <f>IFERROR(__xludf.DUMMYFUNCTION("""COMPUTED_VALUE"""),"LOAN")</f>
        <v>LOAN</v>
      </c>
      <c r="D8586" s="122" t="str">
        <f>IFERROR(__xludf.DUMMYFUNCTION("""COMPUTED_VALUE"""),"LoanLab")</f>
        <v>LoanLab</v>
      </c>
      <c r="E8586" s="122">
        <f>IFERROR(__xludf.DUMMYFUNCTION("""COMPUTED_VALUE"""),72.57)</f>
        <v>72.57</v>
      </c>
      <c r="F8586" s="122">
        <f>IFERROR(__xludf.DUMMYFUNCTION("""COMPUTED_VALUE"""),0.0023)</f>
        <v>0.0023</v>
      </c>
    </row>
    <row r="8587">
      <c r="A8587" s="131">
        <f>IFERROR(__xludf.DUMMYFUNCTION("""COMPUTED_VALUE"""),46187.647314814814)</f>
        <v>46187.64731</v>
      </c>
      <c r="B8587" s="126">
        <f>IFERROR(__xludf.DUMMYFUNCTION("""COMPUTED_VALUE"""),46187.0)</f>
        <v>46187</v>
      </c>
      <c r="C8587" s="122" t="str">
        <f>IFERROR(__xludf.DUMMYFUNCTION("""COMPUTED_VALUE"""),"LUXE")</f>
        <v>LUXE</v>
      </c>
      <c r="D8587" s="122" t="str">
        <f>IFERROR(__xludf.DUMMYFUNCTION("""COMPUTED_VALUE"""),"Luxury Locker")</f>
        <v>Luxury Locker</v>
      </c>
      <c r="E8587" s="122">
        <f>IFERROR(__xludf.DUMMYFUNCTION("""COMPUTED_VALUE"""),266.8)</f>
        <v>266.8</v>
      </c>
      <c r="F8587" s="122">
        <f>IFERROR(__xludf.DUMMYFUNCTION("""COMPUTED_VALUE"""),2.0E-4)</f>
        <v>0.0002</v>
      </c>
    </row>
    <row r="8588">
      <c r="A8588" s="131">
        <f>IFERROR(__xludf.DUMMYFUNCTION("""COMPUTED_VALUE"""),46187.647314814814)</f>
        <v>46187.64731</v>
      </c>
      <c r="B8588" s="126">
        <f>IFERROR(__xludf.DUMMYFUNCTION("""COMPUTED_VALUE"""),46187.0)</f>
        <v>46187</v>
      </c>
      <c r="C8588" s="122" t="str">
        <f>IFERROR(__xludf.DUMMYFUNCTION("""COMPUTED_VALUE"""),"DRIP")</f>
        <v>DRIP</v>
      </c>
      <c r="D8588" s="122" t="str">
        <f>IFERROR(__xludf.DUMMYFUNCTION("""COMPUTED_VALUE"""),"Drip Streetwear")</f>
        <v>Drip Streetwear</v>
      </c>
      <c r="E8588" s="122">
        <f>IFERROR(__xludf.DUMMYFUNCTION("""COMPUTED_VALUE"""),189.6)</f>
        <v>189.6</v>
      </c>
      <c r="F8588" s="122">
        <f>IFERROR(__xludf.DUMMYFUNCTION("""COMPUTED_VALUE"""),0.0046)</f>
        <v>0.0046</v>
      </c>
    </row>
    <row r="8589">
      <c r="A8589" s="131">
        <f>IFERROR(__xludf.DUMMYFUNCTION("""COMPUTED_VALUE"""),46187.647314814814)</f>
        <v>46187.64731</v>
      </c>
      <c r="B8589" s="126">
        <f>IFERROR(__xludf.DUMMYFUNCTION("""COMPUTED_VALUE"""),46187.0)</f>
        <v>46187</v>
      </c>
      <c r="C8589" s="122" t="str">
        <f>IFERROR(__xludf.DUMMYFUNCTION("""COMPUTED_VALUE"""),"KICK")</f>
        <v>KICK</v>
      </c>
      <c r="D8589" s="122" t="str">
        <f>IFERROR(__xludf.DUMMYFUNCTION("""COMPUTED_VALUE"""),"KickDrop Sneakers")</f>
        <v>KickDrop Sneakers</v>
      </c>
      <c r="E8589" s="122">
        <f>IFERROR(__xludf.DUMMYFUNCTION("""COMPUTED_VALUE"""),170.13)</f>
        <v>170.13</v>
      </c>
      <c r="F8589" s="122">
        <f>IFERROR(__xludf.DUMMYFUNCTION("""COMPUTED_VALUE"""),0.0048)</f>
        <v>0.0048</v>
      </c>
    </row>
    <row r="8590">
      <c r="A8590" s="131">
        <f>IFERROR(__xludf.DUMMYFUNCTION("""COMPUTED_VALUE"""),46187.647314814814)</f>
        <v>46187.64731</v>
      </c>
      <c r="B8590" s="126">
        <f>IFERROR(__xludf.DUMMYFUNCTION("""COMPUTED_VALUE"""),46187.0)</f>
        <v>46187</v>
      </c>
      <c r="C8590" s="122" t="str">
        <f>IFERROR(__xludf.DUMMYFUNCTION("""COMPUTED_VALUE"""),"GLAM")</f>
        <v>GLAM</v>
      </c>
      <c r="D8590" s="122" t="str">
        <f>IFERROR(__xludf.DUMMYFUNCTION("""COMPUTED_VALUE"""),"Glow Cosmetics")</f>
        <v>Glow Cosmetics</v>
      </c>
      <c r="E8590" s="122">
        <f>IFERROR(__xludf.DUMMYFUNCTION("""COMPUTED_VALUE"""),109.76)</f>
        <v>109.76</v>
      </c>
      <c r="F8590" s="122">
        <f>IFERROR(__xludf.DUMMYFUNCTION("""COMPUTED_VALUE"""),-0.0051)</f>
        <v>-0.0051</v>
      </c>
    </row>
    <row r="8591">
      <c r="A8591" s="131">
        <f>IFERROR(__xludf.DUMMYFUNCTION("""COMPUTED_VALUE"""),46187.647314814814)</f>
        <v>46187.64731</v>
      </c>
      <c r="B8591" s="126">
        <f>IFERROR(__xludf.DUMMYFUNCTION("""COMPUTED_VALUE"""),46187.0)</f>
        <v>46187</v>
      </c>
      <c r="C8591" s="122" t="str">
        <f>IFERROR(__xludf.DUMMYFUNCTION("""COMPUTED_VALUE"""),"BAGG")</f>
        <v>BAGG</v>
      </c>
      <c r="D8591" s="122" t="str">
        <f>IFERROR(__xludf.DUMMYFUNCTION("""COMPUTED_VALUE"""),"BagVault")</f>
        <v>BagVault</v>
      </c>
      <c r="E8591" s="122">
        <f>IFERROR(__xludf.DUMMYFUNCTION("""COMPUTED_VALUE"""),279.09)</f>
        <v>279.09</v>
      </c>
      <c r="F8591" s="122">
        <f>IFERROR(__xludf.DUMMYFUNCTION("""COMPUTED_VALUE"""),0.0046)</f>
        <v>0.0046</v>
      </c>
    </row>
    <row r="8592">
      <c r="A8592" s="131">
        <f>IFERROR(__xludf.DUMMYFUNCTION("""COMPUTED_VALUE"""),46187.647314814814)</f>
        <v>46187.64731</v>
      </c>
      <c r="B8592" s="126">
        <f>IFERROR(__xludf.DUMMYFUNCTION("""COMPUTED_VALUE"""),46187.0)</f>
        <v>46187</v>
      </c>
      <c r="C8592" s="122" t="str">
        <f>IFERROR(__xludf.DUMMYFUNCTION("""COMPUTED_VALUE"""),"FAST")</f>
        <v>FAST</v>
      </c>
      <c r="D8592" s="122" t="str">
        <f>IFERROR(__xludf.DUMMYFUNCTION("""COMPUTED_VALUE"""),"Flash Logistics")</f>
        <v>Flash Logistics</v>
      </c>
      <c r="E8592" s="122">
        <f>IFERROR(__xludf.DUMMYFUNCTION("""COMPUTED_VALUE"""),106.79)</f>
        <v>106.79</v>
      </c>
      <c r="F8592" s="122">
        <f>IFERROR(__xludf.DUMMYFUNCTION("""COMPUTED_VALUE"""),-0.0033)</f>
        <v>-0.0033</v>
      </c>
    </row>
    <row r="8593">
      <c r="A8593" s="131">
        <f>IFERROR(__xludf.DUMMYFUNCTION("""COMPUTED_VALUE"""),46187.647314814814)</f>
        <v>46187.64731</v>
      </c>
      <c r="B8593" s="126">
        <f>IFERROR(__xludf.DUMMYFUNCTION("""COMPUTED_VALUE"""),46187.0)</f>
        <v>46187</v>
      </c>
      <c r="C8593" s="122" t="str">
        <f>IFERROR(__xludf.DUMMYFUNCTION("""COMPUTED_VALUE"""),"SHIP")</f>
        <v>SHIP</v>
      </c>
      <c r="D8593" s="122" t="str">
        <f>IFERROR(__xludf.DUMMYFUNCTION("""COMPUTED_VALUE"""),"Seoul Shipping")</f>
        <v>Seoul Shipping</v>
      </c>
      <c r="E8593" s="122">
        <f>IFERROR(__xludf.DUMMYFUNCTION("""COMPUTED_VALUE"""),129.26)</f>
        <v>129.26</v>
      </c>
      <c r="F8593" s="122">
        <f>IFERROR(__xludf.DUMMYFUNCTION("""COMPUTED_VALUE"""),0.0015)</f>
        <v>0.0015</v>
      </c>
    </row>
    <row r="8594">
      <c r="A8594" s="131">
        <f>IFERROR(__xludf.DUMMYFUNCTION("""COMPUTED_VALUE"""),46187.647314814814)</f>
        <v>46187.64731</v>
      </c>
      <c r="B8594" s="126">
        <f>IFERROR(__xludf.DUMMYFUNCTION("""COMPUTED_VALUE"""),46187.0)</f>
        <v>46187</v>
      </c>
      <c r="C8594" s="122" t="str">
        <f>IFERROR(__xludf.DUMMYFUNCTION("""COMPUTED_VALUE"""),"DRON")</f>
        <v>DRON</v>
      </c>
      <c r="D8594" s="122" t="str">
        <f>IFERROR(__xludf.DUMMYFUNCTION("""COMPUTED_VALUE"""),"DroneDrop")</f>
        <v>DroneDrop</v>
      </c>
      <c r="E8594" s="122">
        <f>IFERROR(__xludf.DUMMYFUNCTION("""COMPUTED_VALUE"""),122.81)</f>
        <v>122.81</v>
      </c>
      <c r="F8594" s="122">
        <f>IFERROR(__xludf.DUMMYFUNCTION("""COMPUTED_VALUE"""),0.0094)</f>
        <v>0.0094</v>
      </c>
    </row>
    <row r="8595">
      <c r="A8595" s="131">
        <f>IFERROR(__xludf.DUMMYFUNCTION("""COMPUTED_VALUE"""),46187.647314814814)</f>
        <v>46187.64731</v>
      </c>
      <c r="B8595" s="126">
        <f>IFERROR(__xludf.DUMMYFUNCTION("""COMPUTED_VALUE"""),46187.0)</f>
        <v>46187</v>
      </c>
      <c r="C8595" s="122" t="str">
        <f>IFERROR(__xludf.DUMMYFUNCTION("""COMPUTED_VALUE"""),"RIDE")</f>
        <v>RIDE</v>
      </c>
      <c r="D8595" s="122" t="str">
        <f>IFERROR(__xludf.DUMMYFUNCTION("""COMPUTED_VALUE"""),"QuickRide")</f>
        <v>QuickRide</v>
      </c>
      <c r="E8595" s="122">
        <f>IFERROR(__xludf.DUMMYFUNCTION("""COMPUTED_VALUE"""),100.51)</f>
        <v>100.51</v>
      </c>
      <c r="F8595" s="122">
        <f>IFERROR(__xludf.DUMMYFUNCTION("""COMPUTED_VALUE"""),-0.0072)</f>
        <v>-0.0072</v>
      </c>
    </row>
    <row r="8596">
      <c r="A8596" s="131">
        <f>IFERROR(__xludf.DUMMYFUNCTION("""COMPUTED_VALUE"""),46187.647314814814)</f>
        <v>46187.64731</v>
      </c>
      <c r="B8596" s="126">
        <f>IFERROR(__xludf.DUMMYFUNCTION("""COMPUTED_VALUE"""),46187.0)</f>
        <v>46187</v>
      </c>
      <c r="C8596" s="122" t="str">
        <f>IFERROR(__xludf.DUMMYFUNCTION("""COMPUTED_VALUE"""),"RAIL")</f>
        <v>RAIL</v>
      </c>
      <c r="D8596" s="122" t="str">
        <f>IFERROR(__xludf.DUMMYFUNCTION("""COMPUTED_VALUE"""),"MetroRail Corp")</f>
        <v>MetroRail Corp</v>
      </c>
      <c r="E8596" s="122">
        <f>IFERROR(__xludf.DUMMYFUNCTION("""COMPUTED_VALUE"""),131.2)</f>
        <v>131.2</v>
      </c>
      <c r="F8596" s="122">
        <f>IFERROR(__xludf.DUMMYFUNCTION("""COMPUTED_VALUE"""),-2.0E-4)</f>
        <v>-0.0002</v>
      </c>
    </row>
    <row r="8597">
      <c r="A8597" s="131">
        <f>IFERROR(__xludf.DUMMYFUNCTION("""COMPUTED_VALUE"""),46187.647314814814)</f>
        <v>46187.64731</v>
      </c>
      <c r="B8597" s="126">
        <f>IFERROR(__xludf.DUMMYFUNCTION("""COMPUTED_VALUE"""),46187.0)</f>
        <v>46187</v>
      </c>
      <c r="C8597" s="122" t="str">
        <f>IFERROR(__xludf.DUMMYFUNCTION("""COMPUTED_VALUE"""),"MEDX")</f>
        <v>MEDX</v>
      </c>
      <c r="D8597" s="122" t="str">
        <f>IFERROR(__xludf.DUMMYFUNCTION("""COMPUTED_VALUE"""),"MediCore")</f>
        <v>MediCore</v>
      </c>
      <c r="E8597" s="122">
        <f>IFERROR(__xludf.DUMMYFUNCTION("""COMPUTED_VALUE"""),139.01)</f>
        <v>139.01</v>
      </c>
      <c r="F8597" s="122">
        <f>IFERROR(__xludf.DUMMYFUNCTION("""COMPUTED_VALUE"""),0.0012)</f>
        <v>0.0012</v>
      </c>
    </row>
    <row r="8598">
      <c r="A8598" s="131">
        <f>IFERROR(__xludf.DUMMYFUNCTION("""COMPUTED_VALUE"""),46187.647314814814)</f>
        <v>46187.64731</v>
      </c>
      <c r="B8598" s="126">
        <f>IFERROR(__xludf.DUMMYFUNCTION("""COMPUTED_VALUE"""),46187.0)</f>
        <v>46187</v>
      </c>
      <c r="C8598" s="122" t="str">
        <f>IFERROR(__xludf.DUMMYFUNCTION("""COMPUTED_VALUE"""),"GYMX")</f>
        <v>GYMX</v>
      </c>
      <c r="D8598" s="122" t="str">
        <f>IFERROR(__xludf.DUMMYFUNCTION("""COMPUTED_VALUE"""),"GymX Fitness")</f>
        <v>GymX Fitness</v>
      </c>
      <c r="E8598" s="122">
        <f>IFERROR(__xludf.DUMMYFUNCTION("""COMPUTED_VALUE"""),81.82)</f>
        <v>81.82</v>
      </c>
      <c r="F8598" s="122">
        <f>IFERROR(__xludf.DUMMYFUNCTION("""COMPUTED_VALUE"""),-0.0047)</f>
        <v>-0.0047</v>
      </c>
    </row>
    <row r="8599">
      <c r="A8599" s="131">
        <f>IFERROR(__xludf.DUMMYFUNCTION("""COMPUTED_VALUE"""),46187.647314814814)</f>
        <v>46187.64731</v>
      </c>
      <c r="B8599" s="126">
        <f>IFERROR(__xludf.DUMMYFUNCTION("""COMPUTED_VALUE"""),46187.0)</f>
        <v>46187</v>
      </c>
      <c r="C8599" s="122" t="str">
        <f>IFERROR(__xludf.DUMMYFUNCTION("""COMPUTED_VALUE"""),"VITA")</f>
        <v>VITA</v>
      </c>
      <c r="D8599" s="122" t="str">
        <f>IFERROR(__xludf.DUMMYFUNCTION("""COMPUTED_VALUE"""),"VitaPlus")</f>
        <v>VitaPlus</v>
      </c>
      <c r="E8599" s="122">
        <f>IFERROR(__xludf.DUMMYFUNCTION("""COMPUTED_VALUE"""),72.17)</f>
        <v>72.17</v>
      </c>
      <c r="F8599" s="122">
        <f>IFERROR(__xludf.DUMMYFUNCTION("""COMPUTED_VALUE"""),-0.0051)</f>
        <v>-0.0051</v>
      </c>
    </row>
    <row r="8600">
      <c r="A8600" s="131">
        <f>IFERROR(__xludf.DUMMYFUNCTION("""COMPUTED_VALUE"""),46187.647314814814)</f>
        <v>46187.64731</v>
      </c>
      <c r="B8600" s="126">
        <f>IFERROR(__xludf.DUMMYFUNCTION("""COMPUTED_VALUE"""),46187.0)</f>
        <v>46187</v>
      </c>
      <c r="C8600" s="122" t="str">
        <f>IFERROR(__xludf.DUMMYFUNCTION("""COMPUTED_VALUE"""),"CARE")</f>
        <v>CARE</v>
      </c>
      <c r="D8600" s="122" t="str">
        <f>IFERROR(__xludf.DUMMYFUNCTION("""COMPUTED_VALUE"""),"CareCloud")</f>
        <v>CareCloud</v>
      </c>
      <c r="E8600" s="122">
        <f>IFERROR(__xludf.DUMMYFUNCTION("""COMPUTED_VALUE"""),183.8)</f>
        <v>183.8</v>
      </c>
      <c r="F8600" s="122">
        <f>IFERROR(__xludf.DUMMYFUNCTION("""COMPUTED_VALUE"""),-0.0041)</f>
        <v>-0.0041</v>
      </c>
    </row>
    <row r="8601">
      <c r="A8601" s="131">
        <f>IFERROR(__xludf.DUMMYFUNCTION("""COMPUTED_VALUE"""),46187.647314814814)</f>
        <v>46187.64731</v>
      </c>
      <c r="B8601" s="126">
        <f>IFERROR(__xludf.DUMMYFUNCTION("""COMPUTED_VALUE"""),46187.0)</f>
        <v>46187</v>
      </c>
      <c r="C8601" s="122" t="str">
        <f>IFERROR(__xludf.DUMMYFUNCTION("""COMPUTED_VALUE"""),"DENT")</f>
        <v>DENT</v>
      </c>
      <c r="D8601" s="122" t="str">
        <f>IFERROR(__xludf.DUMMYFUNCTION("""COMPUTED_VALUE"""),"SmileWorks")</f>
        <v>SmileWorks</v>
      </c>
      <c r="E8601" s="122">
        <f>IFERROR(__xludf.DUMMYFUNCTION("""COMPUTED_VALUE"""),98.11)</f>
        <v>98.11</v>
      </c>
      <c r="F8601" s="122">
        <f>IFERROR(__xludf.DUMMYFUNCTION("""COMPUTED_VALUE"""),0.0023)</f>
        <v>0.0023</v>
      </c>
    </row>
    <row r="8602">
      <c r="A8602" s="131">
        <f>IFERROR(__xludf.DUMMYFUNCTION("""COMPUTED_VALUE"""),46187.647314814814)</f>
        <v>46187.64731</v>
      </c>
      <c r="B8602" s="126">
        <f>IFERROR(__xludf.DUMMYFUNCTION("""COMPUTED_VALUE"""),46187.0)</f>
        <v>46187</v>
      </c>
      <c r="C8602" s="122" t="str">
        <f>IFERROR(__xludf.DUMMYFUNCTION("""COMPUTED_VALUE"""),"EDUX")</f>
        <v>EDUX</v>
      </c>
      <c r="D8602" s="122" t="str">
        <f>IFERROR(__xludf.DUMMYFUNCTION("""COMPUTED_VALUE"""),"EduMax Learning")</f>
        <v>EduMax Learning</v>
      </c>
      <c r="E8602" s="122">
        <f>IFERROR(__xludf.DUMMYFUNCTION("""COMPUTED_VALUE"""),152.53)</f>
        <v>152.53</v>
      </c>
      <c r="F8602" s="122">
        <f>IFERROR(__xludf.DUMMYFUNCTION("""COMPUTED_VALUE"""),0.0073)</f>
        <v>0.0073</v>
      </c>
    </row>
    <row r="8603">
      <c r="A8603" s="131">
        <f>IFERROR(__xludf.DUMMYFUNCTION("""COMPUTED_VALUE"""),46187.647314814814)</f>
        <v>46187.64731</v>
      </c>
      <c r="B8603" s="126">
        <f>IFERROR(__xludf.DUMMYFUNCTION("""COMPUTED_VALUE"""),46187.0)</f>
        <v>46187</v>
      </c>
      <c r="C8603" s="122" t="str">
        <f>IFERROR(__xludf.DUMMYFUNCTION("""COMPUTED_VALUE"""),"BOOK")</f>
        <v>BOOK</v>
      </c>
      <c r="D8603" s="122" t="str">
        <f>IFERROR(__xludf.DUMMYFUNCTION("""COMPUTED_VALUE"""),"BookBridge")</f>
        <v>BookBridge</v>
      </c>
      <c r="E8603" s="122">
        <f>IFERROR(__xludf.DUMMYFUNCTION("""COMPUTED_VALUE"""),120.65)</f>
        <v>120.65</v>
      </c>
      <c r="F8603" s="122">
        <f>IFERROR(__xludf.DUMMYFUNCTION("""COMPUTED_VALUE"""),-0.0028)</f>
        <v>-0.0028</v>
      </c>
    </row>
    <row r="8604">
      <c r="A8604" s="131">
        <f>IFERROR(__xludf.DUMMYFUNCTION("""COMPUTED_VALUE"""),46187.647314814814)</f>
        <v>46187.64731</v>
      </c>
      <c r="B8604" s="126">
        <f>IFERROR(__xludf.DUMMYFUNCTION("""COMPUTED_VALUE"""),46187.0)</f>
        <v>46187</v>
      </c>
      <c r="C8604" s="122" t="str">
        <f>IFERROR(__xludf.DUMMYFUNCTION("""COMPUTED_VALUE"""),"TUTR")</f>
        <v>TUTR</v>
      </c>
      <c r="D8604" s="122" t="str">
        <f>IFERROR(__xludf.DUMMYFUNCTION("""COMPUTED_VALUE"""),"TutorTown")</f>
        <v>TutorTown</v>
      </c>
      <c r="E8604" s="122">
        <f>IFERROR(__xludf.DUMMYFUNCTION("""COMPUTED_VALUE"""),91.72)</f>
        <v>91.72</v>
      </c>
      <c r="F8604" s="122">
        <f>IFERROR(__xludf.DUMMYFUNCTION("""COMPUTED_VALUE"""),0.0015)</f>
        <v>0.0015</v>
      </c>
    </row>
    <row r="8605">
      <c r="A8605" s="131">
        <f>IFERROR(__xludf.DUMMYFUNCTION("""COMPUTED_VALUE"""),46187.647314814814)</f>
        <v>46187.64731</v>
      </c>
      <c r="B8605" s="126">
        <f>IFERROR(__xludf.DUMMYFUNCTION("""COMPUTED_VALUE"""),46187.0)</f>
        <v>46187</v>
      </c>
      <c r="C8605" s="122" t="str">
        <f>IFERROR(__xludf.DUMMYFUNCTION("""COMPUTED_VALUE"""),"LANG")</f>
        <v>LANG</v>
      </c>
      <c r="D8605" s="122" t="str">
        <f>IFERROR(__xludf.DUMMYFUNCTION("""COMPUTED_VALUE"""),"LinguaLab")</f>
        <v>LinguaLab</v>
      </c>
      <c r="E8605" s="122">
        <f>IFERROR(__xludf.DUMMYFUNCTION("""COMPUTED_VALUE"""),102.77)</f>
        <v>102.77</v>
      </c>
      <c r="F8605" s="122">
        <f>IFERROR(__xludf.DUMMYFUNCTION("""COMPUTED_VALUE"""),-0.0016)</f>
        <v>-0.0016</v>
      </c>
    </row>
    <row r="8606">
      <c r="A8606" s="131">
        <f>IFERROR(__xludf.DUMMYFUNCTION("""COMPUTED_VALUE"""),46187.647314814814)</f>
        <v>46187.64731</v>
      </c>
      <c r="B8606" s="126">
        <f>IFERROR(__xludf.DUMMYFUNCTION("""COMPUTED_VALUE"""),46187.0)</f>
        <v>46187</v>
      </c>
      <c r="C8606" s="122" t="str">
        <f>IFERROR(__xludf.DUMMYFUNCTION("""COMPUTED_VALUE"""),"TEST")</f>
        <v>TEST</v>
      </c>
      <c r="D8606" s="122" t="str">
        <f>IFERROR(__xludf.DUMMYFUNCTION("""COMPUTED_VALUE"""),"TestPrep Pro")</f>
        <v>TestPrep Pro</v>
      </c>
      <c r="E8606" s="122">
        <f>IFERROR(__xludf.DUMMYFUNCTION("""COMPUTED_VALUE"""),89.49)</f>
        <v>89.49</v>
      </c>
      <c r="F8606" s="122">
        <f>IFERROR(__xludf.DUMMYFUNCTION("""COMPUTED_VALUE"""),-0.0052)</f>
        <v>-0.0052</v>
      </c>
    </row>
    <row r="8607">
      <c r="A8607" s="131">
        <f>IFERROR(__xludf.DUMMYFUNCTION("""COMPUTED_VALUE"""),46187.647314814814)</f>
        <v>46187.64731</v>
      </c>
      <c r="B8607" s="126">
        <f>IFERROR(__xludf.DUMMYFUNCTION("""COMPUTED_VALUE"""),46187.0)</f>
        <v>46187</v>
      </c>
      <c r="C8607" s="122" t="str">
        <f>IFERROR(__xludf.DUMMYFUNCTION("""COMPUTED_VALUE"""),"MOVI")</f>
        <v>MOVI</v>
      </c>
      <c r="D8607" s="122" t="str">
        <f>IFERROR(__xludf.DUMMYFUNCTION("""COMPUTED_VALUE"""),"MovieBox")</f>
        <v>MovieBox</v>
      </c>
      <c r="E8607" s="122">
        <f>IFERROR(__xludf.DUMMYFUNCTION("""COMPUTED_VALUE"""),82.88)</f>
        <v>82.88</v>
      </c>
      <c r="F8607" s="122">
        <f>IFERROR(__xludf.DUMMYFUNCTION("""COMPUTED_VALUE"""),-0.0053)</f>
        <v>-0.0053</v>
      </c>
    </row>
    <row r="8608">
      <c r="A8608" s="131">
        <f>IFERROR(__xludf.DUMMYFUNCTION("""COMPUTED_VALUE"""),46187.647314814814)</f>
        <v>46187.64731</v>
      </c>
      <c r="B8608" s="126">
        <f>IFERROR(__xludf.DUMMYFUNCTION("""COMPUTED_VALUE"""),46187.0)</f>
        <v>46187</v>
      </c>
      <c r="C8608" s="122" t="str">
        <f>IFERROR(__xludf.DUMMYFUNCTION("""COMPUTED_VALUE"""),"MUSC")</f>
        <v>MUSC</v>
      </c>
      <c r="D8608" s="122" t="str">
        <f>IFERROR(__xludf.DUMMYFUNCTION("""COMPUTED_VALUE"""),"MusicWave")</f>
        <v>MusicWave</v>
      </c>
      <c r="E8608" s="122">
        <f>IFERROR(__xludf.DUMMYFUNCTION("""COMPUTED_VALUE"""),104.24)</f>
        <v>104.24</v>
      </c>
      <c r="F8608" s="122">
        <f>IFERROR(__xludf.DUMMYFUNCTION("""COMPUTED_VALUE"""),-0.0018)</f>
        <v>-0.0018</v>
      </c>
    </row>
    <row r="8609">
      <c r="A8609" s="131">
        <f>IFERROR(__xludf.DUMMYFUNCTION("""COMPUTED_VALUE"""),46187.647314814814)</f>
        <v>46187.64731</v>
      </c>
      <c r="B8609" s="126">
        <f>IFERROR(__xludf.DUMMYFUNCTION("""COMPUTED_VALUE"""),46187.0)</f>
        <v>46187</v>
      </c>
      <c r="C8609" s="122" t="str">
        <f>IFERROR(__xludf.DUMMYFUNCTION("""COMPUTED_VALUE"""),"IDOL")</f>
        <v>IDOL</v>
      </c>
      <c r="D8609" s="122" t="str">
        <f>IFERROR(__xludf.DUMMYFUNCTION("""COMPUTED_VALUE"""),"Idol Agency")</f>
        <v>Idol Agency</v>
      </c>
      <c r="E8609" s="122">
        <f>IFERROR(__xludf.DUMMYFUNCTION("""COMPUTED_VALUE"""),186.96)</f>
        <v>186.96</v>
      </c>
      <c r="F8609" s="122">
        <f>IFERROR(__xludf.DUMMYFUNCTION("""COMPUTED_VALUE"""),-0.0027)</f>
        <v>-0.0027</v>
      </c>
    </row>
    <row r="8610">
      <c r="A8610" s="131">
        <f>IFERROR(__xludf.DUMMYFUNCTION("""COMPUTED_VALUE"""),46187.647314814814)</f>
        <v>46187.64731</v>
      </c>
      <c r="B8610" s="126">
        <f>IFERROR(__xludf.DUMMYFUNCTION("""COMPUTED_VALUE"""),46187.0)</f>
        <v>46187</v>
      </c>
      <c r="C8610" s="122" t="str">
        <f>IFERROR(__xludf.DUMMYFUNCTION("""COMPUTED_VALUE"""),"MEME")</f>
        <v>MEME</v>
      </c>
      <c r="D8610" s="122" t="str">
        <f>IFERROR(__xludf.DUMMYFUNCTION("""COMPUTED_VALUE"""),"Meme Media")</f>
        <v>Meme Media</v>
      </c>
      <c r="E8610" s="122">
        <f>IFERROR(__xludf.DUMMYFUNCTION("""COMPUTED_VALUE"""),70.58)</f>
        <v>70.58</v>
      </c>
      <c r="F8610" s="122">
        <f>IFERROR(__xludf.DUMMYFUNCTION("""COMPUTED_VALUE"""),0.0056)</f>
        <v>0.0056</v>
      </c>
    </row>
    <row r="8611">
      <c r="A8611" s="131">
        <f>IFERROR(__xludf.DUMMYFUNCTION("""COMPUTED_VALUE"""),46187.647314814814)</f>
        <v>46187.64731</v>
      </c>
      <c r="B8611" s="126">
        <f>IFERROR(__xludf.DUMMYFUNCTION("""COMPUTED_VALUE"""),46187.0)</f>
        <v>46187</v>
      </c>
      <c r="C8611" s="122" t="str">
        <f>IFERROR(__xludf.DUMMYFUNCTION("""COMPUTED_VALUE"""),"STRM")</f>
        <v>STRM</v>
      </c>
      <c r="D8611" s="122" t="str">
        <f>IFERROR(__xludf.DUMMYFUNCTION("""COMPUTED_VALUE"""),"Streamly")</f>
        <v>Streamly</v>
      </c>
      <c r="E8611" s="122">
        <f>IFERROR(__xludf.DUMMYFUNCTION("""COMPUTED_VALUE"""),133.82)</f>
        <v>133.82</v>
      </c>
      <c r="F8611" s="122">
        <f>IFERROR(__xludf.DUMMYFUNCTION("""COMPUTED_VALUE"""),0.0057)</f>
        <v>0.0057</v>
      </c>
    </row>
    <row r="8612">
      <c r="A8612" s="131">
        <f>IFERROR(__xludf.DUMMYFUNCTION("""COMPUTED_VALUE"""),46187.647314814814)</f>
        <v>46187.64731</v>
      </c>
      <c r="B8612" s="126">
        <f>IFERROR(__xludf.DUMMYFUNCTION("""COMPUTED_VALUE"""),46187.0)</f>
        <v>46187</v>
      </c>
      <c r="C8612" s="122" t="str">
        <f>IFERROR(__xludf.DUMMYFUNCTION("""COMPUTED_VALUE"""),"FARM")</f>
        <v>FARM</v>
      </c>
      <c r="D8612" s="122" t="str">
        <f>IFERROR(__xludf.DUMMYFUNCTION("""COMPUTED_VALUE"""),"Future Farms")</f>
        <v>Future Farms</v>
      </c>
      <c r="E8612" s="122">
        <f>IFERROR(__xludf.DUMMYFUNCTION("""COMPUTED_VALUE"""),99.58)</f>
        <v>99.58</v>
      </c>
      <c r="F8612" s="122">
        <f>IFERROR(__xludf.DUMMYFUNCTION("""COMPUTED_VALUE"""),-0.001)</f>
        <v>-0.001</v>
      </c>
    </row>
    <row r="8613">
      <c r="A8613" s="131">
        <f>IFERROR(__xludf.DUMMYFUNCTION("""COMPUTED_VALUE"""),46187.647314814814)</f>
        <v>46187.64731</v>
      </c>
      <c r="B8613" s="126">
        <f>IFERROR(__xludf.DUMMYFUNCTION("""COMPUTED_VALUE"""),46187.0)</f>
        <v>46187</v>
      </c>
      <c r="C8613" s="122" t="str">
        <f>IFERROR(__xludf.DUMMYFUNCTION("""COMPUTED_VALUE"""),"MEAT")</f>
        <v>MEAT</v>
      </c>
      <c r="D8613" s="122" t="str">
        <f>IFERROR(__xludf.DUMMYFUNCTION("""COMPUTED_VALUE"""),"MeatWorks")</f>
        <v>MeatWorks</v>
      </c>
      <c r="E8613" s="122">
        <f>IFERROR(__xludf.DUMMYFUNCTION("""COMPUTED_VALUE"""),105.05)</f>
        <v>105.05</v>
      </c>
      <c r="F8613" s="122">
        <f>IFERROR(__xludf.DUMMYFUNCTION("""COMPUTED_VALUE"""),0.0052)</f>
        <v>0.0052</v>
      </c>
    </row>
    <row r="8614">
      <c r="A8614" s="131">
        <f>IFERROR(__xludf.DUMMYFUNCTION("""COMPUTED_VALUE"""),46187.647314814814)</f>
        <v>46187.64731</v>
      </c>
      <c r="B8614" s="126">
        <f>IFERROR(__xludf.DUMMYFUNCTION("""COMPUTED_VALUE"""),46187.0)</f>
        <v>46187</v>
      </c>
      <c r="C8614" s="122" t="str">
        <f>IFERROR(__xludf.DUMMYFUNCTION("""COMPUTED_VALUE"""),"VEGI")</f>
        <v>VEGI</v>
      </c>
      <c r="D8614" s="122" t="str">
        <f>IFERROR(__xludf.DUMMYFUNCTION("""COMPUTED_VALUE"""),"Green Basket")</f>
        <v>Green Basket</v>
      </c>
      <c r="E8614" s="122">
        <f>IFERROR(__xludf.DUMMYFUNCTION("""COMPUTED_VALUE"""),76.88)</f>
        <v>76.88</v>
      </c>
      <c r="F8614" s="122">
        <f>IFERROR(__xludf.DUMMYFUNCTION("""COMPUTED_VALUE"""),0.0014)</f>
        <v>0.0014</v>
      </c>
    </row>
    <row r="8615">
      <c r="A8615" s="131">
        <f>IFERROR(__xludf.DUMMYFUNCTION("""COMPUTED_VALUE"""),46187.647314814814)</f>
        <v>46187.64731</v>
      </c>
      <c r="B8615" s="126">
        <f>IFERROR(__xludf.DUMMYFUNCTION("""COMPUTED_VALUE"""),46187.0)</f>
        <v>46187</v>
      </c>
      <c r="C8615" s="122" t="str">
        <f>IFERROR(__xludf.DUMMYFUNCTION("""COMPUTED_VALUE"""),"CAFE")</f>
        <v>CAFE</v>
      </c>
      <c r="D8615" s="122" t="str">
        <f>IFERROR(__xludf.DUMMYFUNCTION("""COMPUTED_VALUE"""),"Cafe Cloud")</f>
        <v>Cafe Cloud</v>
      </c>
      <c r="E8615" s="122">
        <f>IFERROR(__xludf.DUMMYFUNCTION("""COMPUTED_VALUE"""),103.24)</f>
        <v>103.24</v>
      </c>
      <c r="F8615" s="122">
        <f>IFERROR(__xludf.DUMMYFUNCTION("""COMPUTED_VALUE"""),0.0046)</f>
        <v>0.0046</v>
      </c>
    </row>
    <row r="8616">
      <c r="A8616" s="131">
        <f>IFERROR(__xludf.DUMMYFUNCTION("""COMPUTED_VALUE"""),46187.647314814814)</f>
        <v>46187.64731</v>
      </c>
      <c r="B8616" s="126">
        <f>IFERROR(__xludf.DUMMYFUNCTION("""COMPUTED_VALUE"""),46187.0)</f>
        <v>46187</v>
      </c>
      <c r="C8616" s="122" t="str">
        <f>IFERROR(__xludf.DUMMYFUNCTION("""COMPUTED_VALUE"""),"BAKE")</f>
        <v>BAKE</v>
      </c>
      <c r="D8616" s="122" t="str">
        <f>IFERROR(__xludf.DUMMYFUNCTION("""COMPUTED_VALUE"""),"BakeHouse")</f>
        <v>BakeHouse</v>
      </c>
      <c r="E8616" s="122">
        <f>IFERROR(__xludf.DUMMYFUNCTION("""COMPUTED_VALUE"""),100.56)</f>
        <v>100.56</v>
      </c>
      <c r="F8616" s="122">
        <f>IFERROR(__xludf.DUMMYFUNCTION("""COMPUTED_VALUE"""),0.0018)</f>
        <v>0.0018</v>
      </c>
    </row>
    <row r="8617">
      <c r="A8617" s="131">
        <f>IFERROR(__xludf.DUMMYFUNCTION("""COMPUTED_VALUE"""),46187.647314814814)</f>
        <v>46187.64731</v>
      </c>
      <c r="B8617" s="126">
        <f>IFERROR(__xludf.DUMMYFUNCTION("""COMPUTED_VALUE"""),46187.0)</f>
        <v>46187</v>
      </c>
      <c r="C8617" s="122" t="str">
        <f>IFERROR(__xludf.DUMMYFUNCTION("""COMPUTED_VALUE"""),"OILX")</f>
        <v>OILX</v>
      </c>
      <c r="D8617" s="122" t="str">
        <f>IFERROR(__xludf.DUMMYFUNCTION("""COMPUTED_VALUE"""),"OilMax Energy")</f>
        <v>OilMax Energy</v>
      </c>
      <c r="E8617" s="122">
        <f>IFERROR(__xludf.DUMMYFUNCTION("""COMPUTED_VALUE"""),134.41)</f>
        <v>134.41</v>
      </c>
      <c r="F8617" s="122">
        <f>IFERROR(__xludf.DUMMYFUNCTION("""COMPUTED_VALUE"""),7.0E-4)</f>
        <v>0.0007</v>
      </c>
    </row>
    <row r="8618">
      <c r="A8618" s="131">
        <f>IFERROR(__xludf.DUMMYFUNCTION("""COMPUTED_VALUE"""),46187.647314814814)</f>
        <v>46187.64731</v>
      </c>
      <c r="B8618" s="126">
        <f>IFERROR(__xludf.DUMMYFUNCTION("""COMPUTED_VALUE"""),46187.0)</f>
        <v>46187</v>
      </c>
      <c r="C8618" s="122" t="str">
        <f>IFERROR(__xludf.DUMMYFUNCTION("""COMPUTED_VALUE"""),"SOLR")</f>
        <v>SOLR</v>
      </c>
      <c r="D8618" s="122" t="str">
        <f>IFERROR(__xludf.DUMMYFUNCTION("""COMPUTED_VALUE"""),"SolarSpark")</f>
        <v>SolarSpark</v>
      </c>
      <c r="E8618" s="122">
        <f>IFERROR(__xludf.DUMMYFUNCTION("""COMPUTED_VALUE"""),108.72)</f>
        <v>108.72</v>
      </c>
      <c r="F8618" s="122">
        <f>IFERROR(__xludf.DUMMYFUNCTION("""COMPUTED_VALUE"""),0.0018)</f>
        <v>0.0018</v>
      </c>
    </row>
    <row r="8619">
      <c r="A8619" s="131">
        <f>IFERROR(__xludf.DUMMYFUNCTION("""COMPUTED_VALUE"""),46187.647314814814)</f>
        <v>46187.64731</v>
      </c>
      <c r="B8619" s="126">
        <f>IFERROR(__xludf.DUMMYFUNCTION("""COMPUTED_VALUE"""),46187.0)</f>
        <v>46187</v>
      </c>
      <c r="C8619" s="122" t="str">
        <f>IFERROR(__xludf.DUMMYFUNCTION("""COMPUTED_VALUE"""),"BATT")</f>
        <v>BATT</v>
      </c>
      <c r="D8619" s="122" t="str">
        <f>IFERROR(__xludf.DUMMYFUNCTION("""COMPUTED_VALUE"""),"BatteryBox")</f>
        <v>BatteryBox</v>
      </c>
      <c r="E8619" s="122">
        <f>IFERROR(__xludf.DUMMYFUNCTION("""COMPUTED_VALUE"""),122.39)</f>
        <v>122.39</v>
      </c>
      <c r="F8619" s="122">
        <f>IFERROR(__xludf.DUMMYFUNCTION("""COMPUTED_VALUE"""),-0.0037)</f>
        <v>-0.0037</v>
      </c>
    </row>
    <row r="8620">
      <c r="A8620" s="131">
        <f>IFERROR(__xludf.DUMMYFUNCTION("""COMPUTED_VALUE"""),46187.647314814814)</f>
        <v>46187.64731</v>
      </c>
      <c r="B8620" s="126">
        <f>IFERROR(__xludf.DUMMYFUNCTION("""COMPUTED_VALUE"""),46187.0)</f>
        <v>46187</v>
      </c>
      <c r="C8620" s="122" t="str">
        <f>IFERROR(__xludf.DUMMYFUNCTION("""COMPUTED_VALUE"""),"WIND")</f>
        <v>WIND</v>
      </c>
      <c r="D8620" s="122" t="str">
        <f>IFERROR(__xludf.DUMMYFUNCTION("""COMPUTED_VALUE"""),"WindWorks")</f>
        <v>WindWorks</v>
      </c>
      <c r="E8620" s="122">
        <f>IFERROR(__xludf.DUMMYFUNCTION("""COMPUTED_VALUE"""),85.23)</f>
        <v>85.23</v>
      </c>
      <c r="F8620" s="122">
        <f>IFERROR(__xludf.DUMMYFUNCTION("""COMPUTED_VALUE"""),-0.0065)</f>
        <v>-0.0065</v>
      </c>
    </row>
    <row r="8621">
      <c r="A8621" s="131">
        <f>IFERROR(__xludf.DUMMYFUNCTION("""COMPUTED_VALUE"""),46187.647314814814)</f>
        <v>46187.64731</v>
      </c>
      <c r="B8621" s="126">
        <f>IFERROR(__xludf.DUMMYFUNCTION("""COMPUTED_VALUE"""),46187.0)</f>
        <v>46187</v>
      </c>
      <c r="C8621" s="122" t="str">
        <f>IFERROR(__xludf.DUMMYFUNCTION("""COMPUTED_VALUE"""),"GRID")</f>
        <v>GRID</v>
      </c>
      <c r="D8621" s="122" t="str">
        <f>IFERROR(__xludf.DUMMYFUNCTION("""COMPUTED_VALUE"""),"GridPower")</f>
        <v>GridPower</v>
      </c>
      <c r="E8621" s="122">
        <f>IFERROR(__xludf.DUMMYFUNCTION("""COMPUTED_VALUE"""),124.71)</f>
        <v>124.71</v>
      </c>
      <c r="F8621" s="122">
        <f>IFERROR(__xludf.DUMMYFUNCTION("""COMPUTED_VALUE"""),-0.0056)</f>
        <v>-0.0056</v>
      </c>
    </row>
    <row r="8622">
      <c r="A8622" s="131">
        <f>IFERROR(__xludf.DUMMYFUNCTION("""COMPUTED_VALUE"""),46187.647314814814)</f>
        <v>46187.64731</v>
      </c>
      <c r="B8622" s="126">
        <f>IFERROR(__xludf.DUMMYFUNCTION("""COMPUTED_VALUE"""),46187.0)</f>
        <v>46187</v>
      </c>
      <c r="C8622" s="122" t="str">
        <f>IFERROR(__xludf.DUMMYFUNCTION("""COMPUTED_VALUE"""),"HOME")</f>
        <v>HOME</v>
      </c>
      <c r="D8622" s="122" t="str">
        <f>IFERROR(__xludf.DUMMYFUNCTION("""COMPUTED_VALUE"""),"HomeHub")</f>
        <v>HomeHub</v>
      </c>
      <c r="E8622" s="122">
        <f>IFERROR(__xludf.DUMMYFUNCTION("""COMPUTED_VALUE"""),161.57)</f>
        <v>161.57</v>
      </c>
      <c r="F8622" s="122">
        <f>IFERROR(__xludf.DUMMYFUNCTION("""COMPUTED_VALUE"""),0.0048)</f>
        <v>0.0048</v>
      </c>
    </row>
    <row r="8623">
      <c r="A8623" s="131">
        <f>IFERROR(__xludf.DUMMYFUNCTION("""COMPUTED_VALUE"""),46187.647314814814)</f>
        <v>46187.64731</v>
      </c>
      <c r="B8623" s="126">
        <f>IFERROR(__xludf.DUMMYFUNCTION("""COMPUTED_VALUE"""),46187.0)</f>
        <v>46187</v>
      </c>
      <c r="C8623" s="122" t="str">
        <f>IFERROR(__xludf.DUMMYFUNCTION("""COMPUTED_VALUE"""),"RENT")</f>
        <v>RENT</v>
      </c>
      <c r="D8623" s="122" t="str">
        <f>IFERROR(__xludf.DUMMYFUNCTION("""COMPUTED_VALUE"""),"RentRight")</f>
        <v>RentRight</v>
      </c>
      <c r="E8623" s="122">
        <f>IFERROR(__xludf.DUMMYFUNCTION("""COMPUTED_VALUE"""),90.53)</f>
        <v>90.53</v>
      </c>
      <c r="F8623" s="122">
        <f>IFERROR(__xludf.DUMMYFUNCTION("""COMPUTED_VALUE"""),-0.0019)</f>
        <v>-0.0019</v>
      </c>
    </row>
    <row r="8624">
      <c r="A8624" s="131">
        <f>IFERROR(__xludf.DUMMYFUNCTION("""COMPUTED_VALUE"""),46187.647314814814)</f>
        <v>46187.64731</v>
      </c>
      <c r="B8624" s="126">
        <f>IFERROR(__xludf.DUMMYFUNCTION("""COMPUTED_VALUE"""),46187.0)</f>
        <v>46187</v>
      </c>
      <c r="C8624" s="122" t="str">
        <f>IFERROR(__xludf.DUMMYFUNCTION("""COMPUTED_VALUE"""),"MALL")</f>
        <v>MALL</v>
      </c>
      <c r="D8624" s="122" t="str">
        <f>IFERROR(__xludf.DUMMYFUNCTION("""COMPUTED_VALUE"""),"MegaMall")</f>
        <v>MegaMall</v>
      </c>
      <c r="E8624" s="122">
        <f>IFERROR(__xludf.DUMMYFUNCTION("""COMPUTED_VALUE"""),103.0)</f>
        <v>103</v>
      </c>
      <c r="F8624" s="122">
        <f>IFERROR(__xludf.DUMMYFUNCTION("""COMPUTED_VALUE"""),0.0024)</f>
        <v>0.0024</v>
      </c>
    </row>
    <row r="8625">
      <c r="A8625" s="131">
        <f>IFERROR(__xludf.DUMMYFUNCTION("""COMPUTED_VALUE"""),46187.647314814814)</f>
        <v>46187.64731</v>
      </c>
      <c r="B8625" s="126">
        <f>IFERROR(__xludf.DUMMYFUNCTION("""COMPUTED_VALUE"""),46187.0)</f>
        <v>46187</v>
      </c>
      <c r="C8625" s="122" t="str">
        <f>IFERROR(__xludf.DUMMYFUNCTION("""COMPUTED_VALUE"""),"HOTL")</f>
        <v>HOTL</v>
      </c>
      <c r="D8625" s="122" t="str">
        <f>IFERROR(__xludf.DUMMYFUNCTION("""COMPUTED_VALUE"""),"HotelHive")</f>
        <v>HotelHive</v>
      </c>
      <c r="E8625" s="122">
        <f>IFERROR(__xludf.DUMMYFUNCTION("""COMPUTED_VALUE"""),119.81)</f>
        <v>119.81</v>
      </c>
      <c r="F8625" s="122">
        <f>IFERROR(__xludf.DUMMYFUNCTION("""COMPUTED_VALUE"""),-0.0079)</f>
        <v>-0.0079</v>
      </c>
    </row>
    <row r="8626">
      <c r="A8626" s="131">
        <f>IFERROR(__xludf.DUMMYFUNCTION("""COMPUTED_VALUE"""),46187.647314814814)</f>
        <v>46187.64731</v>
      </c>
      <c r="B8626" s="126">
        <f>IFERROR(__xludf.DUMMYFUNCTION("""COMPUTED_VALUE"""),46187.0)</f>
        <v>46187</v>
      </c>
      <c r="C8626" s="122" t="str">
        <f>IFERROR(__xludf.DUMMYFUNCTION("""COMPUTED_VALUE"""),"LAND")</f>
        <v>LAND</v>
      </c>
      <c r="D8626" s="122" t="str">
        <f>IFERROR(__xludf.DUMMYFUNCTION("""COMPUTED_VALUE"""),"LandLink")</f>
        <v>LandLink</v>
      </c>
      <c r="E8626" s="122">
        <f>IFERROR(__xludf.DUMMYFUNCTION("""COMPUTED_VALUE"""),186.56)</f>
        <v>186.56</v>
      </c>
      <c r="F8626" s="122">
        <f>IFERROR(__xludf.DUMMYFUNCTION("""COMPUTED_VALUE"""),-0.0031)</f>
        <v>-0.0031</v>
      </c>
    </row>
    <row r="8627">
      <c r="A8627" s="131">
        <f>IFERROR(__xludf.DUMMYFUNCTION("""COMPUTED_VALUE"""),46187.647314814814)</f>
        <v>46187.64731</v>
      </c>
      <c r="B8627" s="126">
        <f>IFERROR(__xludf.DUMMYFUNCTION("""COMPUTED_VALUE"""),46187.0)</f>
        <v>46187</v>
      </c>
      <c r="C8627" s="122" t="str">
        <f>IFERROR(__xludf.DUMMYFUNCTION("""COMPUTED_VALUE"""),"CARS")</f>
        <v>CARS</v>
      </c>
      <c r="D8627" s="122" t="str">
        <f>IFERROR(__xludf.DUMMYFUNCTION("""COMPUTED_VALUE"""),"AutoArena")</f>
        <v>AutoArena</v>
      </c>
      <c r="E8627" s="122">
        <f>IFERROR(__xludf.DUMMYFUNCTION("""COMPUTED_VALUE"""),81.81)</f>
        <v>81.81</v>
      </c>
      <c r="F8627" s="122">
        <f>IFERROR(__xludf.DUMMYFUNCTION("""COMPUTED_VALUE"""),-0.0064)</f>
        <v>-0.0064</v>
      </c>
    </row>
    <row r="8628">
      <c r="A8628" s="131">
        <f>IFERROR(__xludf.DUMMYFUNCTION("""COMPUTED_VALUE"""),46187.647314814814)</f>
        <v>46187.64731</v>
      </c>
      <c r="B8628" s="126">
        <f>IFERROR(__xludf.DUMMYFUNCTION("""COMPUTED_VALUE"""),46187.0)</f>
        <v>46187</v>
      </c>
      <c r="C8628" s="122" t="str">
        <f>IFERROR(__xludf.DUMMYFUNCTION("""COMPUTED_VALUE"""),"EVGO")</f>
        <v>EVGO</v>
      </c>
      <c r="D8628" s="122" t="str">
        <f>IFERROR(__xludf.DUMMYFUNCTION("""COMPUTED_VALUE"""),"EVGo Motors")</f>
        <v>EVGo Motors</v>
      </c>
      <c r="E8628" s="122">
        <f>IFERROR(__xludf.DUMMYFUNCTION("""COMPUTED_VALUE"""),191.11)</f>
        <v>191.11</v>
      </c>
      <c r="F8628" s="122">
        <f>IFERROR(__xludf.DUMMYFUNCTION("""COMPUTED_VALUE"""),-0.0017)</f>
        <v>-0.0017</v>
      </c>
    </row>
    <row r="8629">
      <c r="A8629" s="131">
        <f>IFERROR(__xludf.DUMMYFUNCTION("""COMPUTED_VALUE"""),46187.647314814814)</f>
        <v>46187.64731</v>
      </c>
      <c r="B8629" s="126">
        <f>IFERROR(__xludf.DUMMYFUNCTION("""COMPUTED_VALUE"""),46187.0)</f>
        <v>46187</v>
      </c>
      <c r="C8629" s="122" t="str">
        <f>IFERROR(__xludf.DUMMYFUNCTION("""COMPUTED_VALUE"""),"TIRE")</f>
        <v>TIRE</v>
      </c>
      <c r="D8629" s="122" t="str">
        <f>IFERROR(__xludf.DUMMYFUNCTION("""COMPUTED_VALUE"""),"TireTown")</f>
        <v>TireTown</v>
      </c>
      <c r="E8629" s="122">
        <f>IFERROR(__xludf.DUMMYFUNCTION("""COMPUTED_VALUE"""),98.44)</f>
        <v>98.44</v>
      </c>
      <c r="F8629" s="122">
        <f>IFERROR(__xludf.DUMMYFUNCTION("""COMPUTED_VALUE"""),-0.0034)</f>
        <v>-0.0034</v>
      </c>
    </row>
    <row r="8630">
      <c r="A8630" s="131">
        <f>IFERROR(__xludf.DUMMYFUNCTION("""COMPUTED_VALUE"""),46187.647314814814)</f>
        <v>46187.64731</v>
      </c>
      <c r="B8630" s="126">
        <f>IFERROR(__xludf.DUMMYFUNCTION("""COMPUTED_VALUE"""),46187.0)</f>
        <v>46187</v>
      </c>
      <c r="C8630" s="122" t="str">
        <f>IFERROR(__xludf.DUMMYFUNCTION("""COMPUTED_VALUE"""),"BIKE")</f>
        <v>BIKE</v>
      </c>
      <c r="D8630" s="122" t="str">
        <f>IFERROR(__xludf.DUMMYFUNCTION("""COMPUTED_VALUE"""),"BikeBox")</f>
        <v>BikeBox</v>
      </c>
      <c r="E8630" s="122">
        <f>IFERROR(__xludf.DUMMYFUNCTION("""COMPUTED_VALUE"""),52.01)</f>
        <v>52.01</v>
      </c>
      <c r="F8630" s="122">
        <f>IFERROR(__xludf.DUMMYFUNCTION("""COMPUTED_VALUE"""),-0.0067)</f>
        <v>-0.0067</v>
      </c>
    </row>
    <row r="8631">
      <c r="A8631" s="131">
        <f>IFERROR(__xludf.DUMMYFUNCTION("""COMPUTED_VALUE"""),46187.647314814814)</f>
        <v>46187.64731</v>
      </c>
      <c r="B8631" s="126">
        <f>IFERROR(__xludf.DUMMYFUNCTION("""COMPUTED_VALUE"""),46187.0)</f>
        <v>46187</v>
      </c>
      <c r="C8631" s="122" t="str">
        <f>IFERROR(__xludf.DUMMYFUNCTION("""COMPUTED_VALUE"""),"WASH")</f>
        <v>WASH</v>
      </c>
      <c r="D8631" s="122" t="str">
        <f>IFERROR(__xludf.DUMMYFUNCTION("""COMPUTED_VALUE"""),"CarWash Co")</f>
        <v>CarWash Co</v>
      </c>
      <c r="E8631" s="122">
        <f>IFERROR(__xludf.DUMMYFUNCTION("""COMPUTED_VALUE"""),122.54)</f>
        <v>122.54</v>
      </c>
      <c r="F8631" s="122">
        <f>IFERROR(__xludf.DUMMYFUNCTION("""COMPUTED_VALUE"""),0.002)</f>
        <v>0.002</v>
      </c>
    </row>
    <row r="8632">
      <c r="A8632" s="131">
        <f>IFERROR(__xludf.DUMMYFUNCTION("""COMPUTED_VALUE"""),46187.647314814814)</f>
        <v>46187.64731</v>
      </c>
      <c r="B8632" s="126">
        <f>IFERROR(__xludf.DUMMYFUNCTION("""COMPUTED_VALUE"""),46187.0)</f>
        <v>46187</v>
      </c>
      <c r="C8632" s="122" t="str">
        <f>IFERROR(__xludf.DUMMYFUNCTION("""COMPUTED_VALUE"""),"GBND")</f>
        <v>GBND</v>
      </c>
      <c r="D8632" s="122" t="str">
        <f>IFERROR(__xludf.DUMMYFUNCTION("""COMPUTED_VALUE"""),"Classroom Government Bond")</f>
        <v>Classroom Government Bond</v>
      </c>
      <c r="E8632" s="122">
        <f>IFERROR(__xludf.DUMMYFUNCTION("""COMPUTED_VALUE"""),101.13)</f>
        <v>101.13</v>
      </c>
      <c r="F8632" s="122">
        <f>IFERROR(__xludf.DUMMYFUNCTION("""COMPUTED_VALUE"""),-3.0E-4)</f>
        <v>-0.0003</v>
      </c>
    </row>
    <row r="8633">
      <c r="A8633" s="131">
        <f>IFERROR(__xludf.DUMMYFUNCTION("""COMPUTED_VALUE"""),46187.647314814814)</f>
        <v>46187.64731</v>
      </c>
      <c r="B8633" s="126">
        <f>IFERROR(__xludf.DUMMYFUNCTION("""COMPUTED_VALUE"""),46187.0)</f>
        <v>46187</v>
      </c>
      <c r="C8633" s="122" t="str">
        <f>IFERROR(__xludf.DUMMYFUNCTION("""COMPUTED_VALUE"""),"SBND")</f>
        <v>SBND</v>
      </c>
      <c r="D8633" s="122" t="str">
        <f>IFERROR(__xludf.DUMMYFUNCTION("""COMPUTED_VALUE"""),"School Savings Bond")</f>
        <v>School Savings Bond</v>
      </c>
      <c r="E8633" s="122">
        <f>IFERROR(__xludf.DUMMYFUNCTION("""COMPUTED_VALUE"""),99.2)</f>
        <v>99.2</v>
      </c>
      <c r="F8633" s="122">
        <f>IFERROR(__xludf.DUMMYFUNCTION("""COMPUTED_VALUE"""),-1.0E-4)</f>
        <v>-0.0001</v>
      </c>
    </row>
    <row r="8634">
      <c r="A8634" s="131">
        <f>IFERROR(__xludf.DUMMYFUNCTION("""COMPUTED_VALUE"""),46187.647314814814)</f>
        <v>46187.64731</v>
      </c>
      <c r="B8634" s="126">
        <f>IFERROR(__xludf.DUMMYFUNCTION("""COMPUTED_VALUE"""),46187.0)</f>
        <v>46187</v>
      </c>
      <c r="C8634" s="122" t="str">
        <f>IFERROR(__xludf.DUMMYFUNCTION("""COMPUTED_VALUE"""),"CBND")</f>
        <v>CBND</v>
      </c>
      <c r="D8634" s="122" t="str">
        <f>IFERROR(__xludf.DUMMYFUNCTION("""COMPUTED_VALUE"""),"Corporate Classroom Bond")</f>
        <v>Corporate Classroom Bond</v>
      </c>
      <c r="E8634" s="122">
        <f>IFERROR(__xludf.DUMMYFUNCTION("""COMPUTED_VALUE"""),97.77)</f>
        <v>97.77</v>
      </c>
      <c r="F8634" s="122">
        <f>IFERROR(__xludf.DUMMYFUNCTION("""COMPUTED_VALUE"""),0.0)</f>
        <v>0</v>
      </c>
    </row>
    <row r="8635">
      <c r="A8635" s="131">
        <f>IFERROR(__xludf.DUMMYFUNCTION("""COMPUTED_VALUE"""),46187.647314814814)</f>
        <v>46187.64731</v>
      </c>
      <c r="B8635" s="126">
        <f>IFERROR(__xludf.DUMMYFUNCTION("""COMPUTED_VALUE"""),46187.0)</f>
        <v>46187</v>
      </c>
      <c r="C8635" s="122" t="str">
        <f>IFERROR(__xludf.DUMMYFUNCTION("""COMPUTED_VALUE"""),"TBIL")</f>
        <v>TBIL</v>
      </c>
      <c r="D8635" s="122" t="str">
        <f>IFERROR(__xludf.DUMMYFUNCTION("""COMPUTED_VALUE"""),"Treasury Bill")</f>
        <v>Treasury Bill</v>
      </c>
      <c r="E8635" s="122">
        <f>IFERROR(__xludf.DUMMYFUNCTION("""COMPUTED_VALUE"""),97.74)</f>
        <v>97.74</v>
      </c>
      <c r="F8635" s="122">
        <f>IFERROR(__xludf.DUMMYFUNCTION("""COMPUTED_VALUE"""),5.0E-4)</f>
        <v>0.0005</v>
      </c>
    </row>
    <row r="8636">
      <c r="A8636" s="131">
        <f>IFERROR(__xludf.DUMMYFUNCTION("""COMPUTED_VALUE"""),46187.647314814814)</f>
        <v>46187.64731</v>
      </c>
      <c r="B8636" s="126">
        <f>IFERROR(__xludf.DUMMYFUNCTION("""COMPUTED_VALUE"""),46187.0)</f>
        <v>46187</v>
      </c>
      <c r="C8636" s="122" t="str">
        <f>IFERROR(__xludf.DUMMYFUNCTION("""COMPUTED_VALUE"""),"IBND")</f>
        <v>IBND</v>
      </c>
      <c r="D8636" s="122" t="str">
        <f>IFERROR(__xludf.DUMMYFUNCTION("""COMPUTED_VALUE"""),"Inflation Protected Bond")</f>
        <v>Inflation Protected Bond</v>
      </c>
      <c r="E8636" s="122">
        <f>IFERROR(__xludf.DUMMYFUNCTION("""COMPUTED_VALUE"""),100.76)</f>
        <v>100.76</v>
      </c>
      <c r="F8636" s="122">
        <f>IFERROR(__xludf.DUMMYFUNCTION("""COMPUTED_VALUE"""),0.0)</f>
        <v>0</v>
      </c>
    </row>
    <row r="8637">
      <c r="A8637" s="131">
        <f>IFERROR(__xludf.DUMMYFUNCTION("""COMPUTED_VALUE"""),46187.64881944445)</f>
        <v>46187.64882</v>
      </c>
      <c r="B8637" s="126">
        <f>IFERROR(__xludf.DUMMYFUNCTION("""COMPUTED_VALUE"""),46187.0)</f>
        <v>46187</v>
      </c>
      <c r="C8637" s="130">
        <f>IFERROR(__xludf.DUMMYFUNCTION("""COMPUTED_VALUE"""),0.6488194444444444)</f>
        <v>0.6488194444</v>
      </c>
      <c r="D8637" s="122" t="str">
        <f>IFERROR(__xludf.DUMMYFUNCTION("""COMPUTED_VALUE"""),"SNAX")</f>
        <v>SNAX</v>
      </c>
      <c r="E8637" s="122" t="str">
        <f>IFERROR(__xludf.DUMMYFUNCTION("""COMPUTED_VALUE"""),"MICA Snacks")</f>
        <v>MICA Snacks</v>
      </c>
      <c r="F8637" s="122" t="str">
        <f>IFERROR(__xludf.DUMMYFUNCTION("""COMPUTED_VALUE"""),"Consumer Goods")</f>
        <v>Consumer Goods</v>
      </c>
    </row>
    <row r="8638">
      <c r="A8638" s="131">
        <f>IFERROR(__xludf.DUMMYFUNCTION("""COMPUTED_VALUE"""),46187.64881944445)</f>
        <v>46187.64882</v>
      </c>
      <c r="B8638" s="126">
        <f>IFERROR(__xludf.DUMMYFUNCTION("""COMPUTED_VALUE"""),46187.0)</f>
        <v>46187</v>
      </c>
      <c r="C8638" s="130">
        <f>IFERROR(__xludf.DUMMYFUNCTION("""COMPUTED_VALUE"""),0.6488194444444444)</f>
        <v>0.6488194444</v>
      </c>
      <c r="D8638" s="122" t="str">
        <f>IFERROR(__xludf.DUMMYFUNCTION("""COMPUTED_VALUE"""),"RAMN")</f>
        <v>RAMN</v>
      </c>
      <c r="E8638" s="122" t="str">
        <f>IFERROR(__xludf.DUMMYFUNCTION("""COMPUTED_VALUE"""),"Ramen Republic")</f>
        <v>Ramen Republic</v>
      </c>
      <c r="F8638" s="122" t="str">
        <f>IFERROR(__xludf.DUMMYFUNCTION("""COMPUTED_VALUE"""),"Food")</f>
        <v>Food</v>
      </c>
    </row>
    <row r="8639">
      <c r="A8639" s="131">
        <f>IFERROR(__xludf.DUMMYFUNCTION("""COMPUTED_VALUE"""),46187.64881944445)</f>
        <v>46187.64882</v>
      </c>
      <c r="B8639" s="126">
        <f>IFERROR(__xludf.DUMMYFUNCTION("""COMPUTED_VALUE"""),46187.0)</f>
        <v>46187</v>
      </c>
      <c r="C8639" s="130">
        <f>IFERROR(__xludf.DUMMYFUNCTION("""COMPUTED_VALUE"""),0.6488194444444444)</f>
        <v>0.6488194444</v>
      </c>
      <c r="D8639" s="122" t="str">
        <f>IFERROR(__xludf.DUMMYFUNCTION("""COMPUTED_VALUE"""),"COLA")</f>
        <v>COLA</v>
      </c>
      <c r="E8639" s="122" t="str">
        <f>IFERROR(__xludf.DUMMYFUNCTION("""COMPUTED_VALUE"""),"K-Pop Cola")</f>
        <v>K-Pop Cola</v>
      </c>
      <c r="F8639" s="122" t="str">
        <f>IFERROR(__xludf.DUMMYFUNCTION("""COMPUTED_VALUE"""),"Beverage")</f>
        <v>Beverage</v>
      </c>
    </row>
    <row r="8640">
      <c r="A8640" s="131">
        <f>IFERROR(__xludf.DUMMYFUNCTION("""COMPUTED_VALUE"""),46187.64881944445)</f>
        <v>46187.64882</v>
      </c>
      <c r="B8640" s="126">
        <f>IFERROR(__xludf.DUMMYFUNCTION("""COMPUTED_VALUE"""),46187.0)</f>
        <v>46187</v>
      </c>
      <c r="C8640" s="130">
        <f>IFERROR(__xludf.DUMMYFUNCTION("""COMPUTED_VALUE"""),0.6488194444444444)</f>
        <v>0.6488194444</v>
      </c>
      <c r="D8640" s="122" t="str">
        <f>IFERROR(__xludf.DUMMYFUNCTION("""COMPUTED_VALUE"""),"CHIP")</f>
        <v>CHIP</v>
      </c>
      <c r="E8640" s="122" t="str">
        <f>IFERROR(__xludf.DUMMYFUNCTION("""COMPUTED_VALUE"""),"Chip Empire")</f>
        <v>Chip Empire</v>
      </c>
      <c r="F8640" s="122" t="str">
        <f>IFERROR(__xludf.DUMMYFUNCTION("""COMPUTED_VALUE"""),"Consumer Goods")</f>
        <v>Consumer Goods</v>
      </c>
    </row>
    <row r="8641">
      <c r="A8641" s="131">
        <f>IFERROR(__xludf.DUMMYFUNCTION("""COMPUTED_VALUE"""),46187.64881944445)</f>
        <v>46187.64882</v>
      </c>
      <c r="B8641" s="126">
        <f>IFERROR(__xludf.DUMMYFUNCTION("""COMPUTED_VALUE"""),46187.0)</f>
        <v>46187</v>
      </c>
      <c r="C8641" s="130">
        <f>IFERROR(__xludf.DUMMYFUNCTION("""COMPUTED_VALUE"""),0.6488194444444444)</f>
        <v>0.6488194444</v>
      </c>
      <c r="D8641" s="122" t="str">
        <f>IFERROR(__xludf.DUMMYFUNCTION("""COMPUTED_VALUE"""),"CAND")</f>
        <v>CAND</v>
      </c>
      <c r="E8641" s="122" t="str">
        <f>IFERROR(__xludf.DUMMYFUNCTION("""COMPUTED_VALUE"""),"Candy Capital")</f>
        <v>Candy Capital</v>
      </c>
      <c r="F8641" s="122" t="str">
        <f>IFERROR(__xludf.DUMMYFUNCTION("""COMPUTED_VALUE"""),"Consumer Goods")</f>
        <v>Consumer Goods</v>
      </c>
    </row>
    <row r="8642">
      <c r="A8642" s="131">
        <f>IFERROR(__xludf.DUMMYFUNCTION("""COMPUTED_VALUE"""),46187.64881944445)</f>
        <v>46187.64882</v>
      </c>
      <c r="B8642" s="126">
        <f>IFERROR(__xludf.DUMMYFUNCTION("""COMPUTED_VALUE"""),46187.0)</f>
        <v>46187</v>
      </c>
      <c r="C8642" s="130">
        <f>IFERROR(__xludf.DUMMYFUNCTION("""COMPUTED_VALUE"""),0.6488194444444444)</f>
        <v>0.6488194444</v>
      </c>
      <c r="D8642" s="122" t="str">
        <f>IFERROR(__xludf.DUMMYFUNCTION("""COMPUTED_VALUE"""),"TECH")</f>
        <v>TECH</v>
      </c>
      <c r="E8642" s="122" t="str">
        <f>IFERROR(__xludf.DUMMYFUNCTION("""COMPUTED_VALUE"""),"Dragon Tech")</f>
        <v>Dragon Tech</v>
      </c>
      <c r="F8642" s="122" t="str">
        <f>IFERROR(__xludf.DUMMYFUNCTION("""COMPUTED_VALUE"""),"Technology")</f>
        <v>Technology</v>
      </c>
    </row>
    <row r="8643">
      <c r="A8643" s="131">
        <f>IFERROR(__xludf.DUMMYFUNCTION("""COMPUTED_VALUE"""),46187.64881944445)</f>
        <v>46187.64882</v>
      </c>
      <c r="B8643" s="126">
        <f>IFERROR(__xludf.DUMMYFUNCTION("""COMPUTED_VALUE"""),46187.0)</f>
        <v>46187</v>
      </c>
      <c r="C8643" s="130">
        <f>IFERROR(__xludf.DUMMYFUNCTION("""COMPUTED_VALUE"""),0.6488194444444444)</f>
        <v>0.6488194444</v>
      </c>
      <c r="D8643" s="122" t="str">
        <f>IFERROR(__xludf.DUMMYFUNCTION("""COMPUTED_VALUE"""),"AIBO")</f>
        <v>AIBO</v>
      </c>
      <c r="E8643" s="122" t="str">
        <f>IFERROR(__xludf.DUMMYFUNCTION("""COMPUTED_VALUE"""),"Homework AI")</f>
        <v>Homework AI</v>
      </c>
      <c r="F8643" s="122" t="str">
        <f>IFERROR(__xludf.DUMMYFUNCTION("""COMPUTED_VALUE"""),"Technology")</f>
        <v>Technology</v>
      </c>
    </row>
    <row r="8644">
      <c r="A8644" s="131">
        <f>IFERROR(__xludf.DUMMYFUNCTION("""COMPUTED_VALUE"""),46187.64881944445)</f>
        <v>46187.64882</v>
      </c>
      <c r="B8644" s="126">
        <f>IFERROR(__xludf.DUMMYFUNCTION("""COMPUTED_VALUE"""),46187.0)</f>
        <v>46187</v>
      </c>
      <c r="C8644" s="130">
        <f>IFERROR(__xludf.DUMMYFUNCTION("""COMPUTED_VALUE"""),0.6488194444444444)</f>
        <v>0.6488194444</v>
      </c>
      <c r="D8644" s="122" t="str">
        <f>IFERROR(__xludf.DUMMYFUNCTION("""COMPUTED_VALUE"""),"GAME")</f>
        <v>GAME</v>
      </c>
      <c r="E8644" s="122" t="str">
        <f>IFERROR(__xludf.DUMMYFUNCTION("""COMPUTED_VALUE"""),"GameBox Media")</f>
        <v>GameBox Media</v>
      </c>
      <c r="F8644" s="122" t="str">
        <f>IFERROR(__xludf.DUMMYFUNCTION("""COMPUTED_VALUE"""),"Entertainment")</f>
        <v>Entertainment</v>
      </c>
    </row>
    <row r="8645">
      <c r="A8645" s="131">
        <f>IFERROR(__xludf.DUMMYFUNCTION("""COMPUTED_VALUE"""),46187.64881944445)</f>
        <v>46187.64882</v>
      </c>
      <c r="B8645" s="126">
        <f>IFERROR(__xludf.DUMMYFUNCTION("""COMPUTED_VALUE"""),46187.0)</f>
        <v>46187</v>
      </c>
      <c r="C8645" s="130">
        <f>IFERROR(__xludf.DUMMYFUNCTION("""COMPUTED_VALUE"""),0.6488194444444444)</f>
        <v>0.6488194444</v>
      </c>
      <c r="D8645" s="122" t="str">
        <f>IFERROR(__xludf.DUMMYFUNCTION("""COMPUTED_VALUE"""),"VRSE")</f>
        <v>VRSE</v>
      </c>
      <c r="E8645" s="122" t="str">
        <f>IFERROR(__xludf.DUMMYFUNCTION("""COMPUTED_VALUE"""),"VerseVR")</f>
        <v>VerseVR</v>
      </c>
      <c r="F8645" s="122" t="str">
        <f>IFERROR(__xludf.DUMMYFUNCTION("""COMPUTED_VALUE"""),"Technology")</f>
        <v>Technology</v>
      </c>
    </row>
    <row r="8646">
      <c r="A8646" s="131">
        <f>IFERROR(__xludf.DUMMYFUNCTION("""COMPUTED_VALUE"""),46187.64881944445)</f>
        <v>46187.64882</v>
      </c>
      <c r="B8646" s="126">
        <f>IFERROR(__xludf.DUMMYFUNCTION("""COMPUTED_VALUE"""),46187.0)</f>
        <v>46187</v>
      </c>
      <c r="C8646" s="130">
        <f>IFERROR(__xludf.DUMMYFUNCTION("""COMPUTED_VALUE"""),0.6488194444444444)</f>
        <v>0.6488194444</v>
      </c>
      <c r="D8646" s="122" t="str">
        <f>IFERROR(__xludf.DUMMYFUNCTION("""COMPUTED_VALUE"""),"BYTE")</f>
        <v>BYTE</v>
      </c>
      <c r="E8646" s="122" t="str">
        <f>IFERROR(__xludf.DUMMYFUNCTION("""COMPUTED_VALUE"""),"ByteWorks")</f>
        <v>ByteWorks</v>
      </c>
      <c r="F8646" s="122" t="str">
        <f>IFERROR(__xludf.DUMMYFUNCTION("""COMPUTED_VALUE"""),"Technology")</f>
        <v>Technology</v>
      </c>
    </row>
    <row r="8647">
      <c r="A8647" s="131">
        <f>IFERROR(__xludf.DUMMYFUNCTION("""COMPUTED_VALUE"""),46187.64881944445)</f>
        <v>46187.64882</v>
      </c>
      <c r="B8647" s="126">
        <f>IFERROR(__xludf.DUMMYFUNCTION("""COMPUTED_VALUE"""),46187.0)</f>
        <v>46187</v>
      </c>
      <c r="C8647" s="130">
        <f>IFERROR(__xludf.DUMMYFUNCTION("""COMPUTED_VALUE"""),0.6488194444444444)</f>
        <v>0.6488194444</v>
      </c>
      <c r="D8647" s="122" t="str">
        <f>IFERROR(__xludf.DUMMYFUNCTION("""COMPUTED_VALUE"""),"BANK")</f>
        <v>BANK</v>
      </c>
      <c r="E8647" s="122" t="str">
        <f>IFERROR(__xludf.DUMMYFUNCTION("""COMPUTED_VALUE"""),"Tiger Bank")</f>
        <v>Tiger Bank</v>
      </c>
      <c r="F8647" s="122" t="str">
        <f>IFERROR(__xludf.DUMMYFUNCTION("""COMPUTED_VALUE"""),"Finance")</f>
        <v>Finance</v>
      </c>
    </row>
    <row r="8648">
      <c r="A8648" s="131">
        <f>IFERROR(__xludf.DUMMYFUNCTION("""COMPUTED_VALUE"""),46187.64881944445)</f>
        <v>46187.64882</v>
      </c>
      <c r="B8648" s="126">
        <f>IFERROR(__xludf.DUMMYFUNCTION("""COMPUTED_VALUE"""),46187.0)</f>
        <v>46187</v>
      </c>
      <c r="C8648" s="130">
        <f>IFERROR(__xludf.DUMMYFUNCTION("""COMPUTED_VALUE"""),0.6488194444444444)</f>
        <v>0.6488194444</v>
      </c>
      <c r="D8648" s="122" t="str">
        <f>IFERROR(__xludf.DUMMYFUNCTION("""COMPUTED_VALUE"""),"CRED")</f>
        <v>CRED</v>
      </c>
      <c r="E8648" s="122" t="str">
        <f>IFERROR(__xludf.DUMMYFUNCTION("""COMPUTED_VALUE"""),"Credit Castle")</f>
        <v>Credit Castle</v>
      </c>
      <c r="F8648" s="122" t="str">
        <f>IFERROR(__xludf.DUMMYFUNCTION("""COMPUTED_VALUE"""),"Finance")</f>
        <v>Finance</v>
      </c>
    </row>
    <row r="8649">
      <c r="A8649" s="131">
        <f>IFERROR(__xludf.DUMMYFUNCTION("""COMPUTED_VALUE"""),46187.64881944445)</f>
        <v>46187.64882</v>
      </c>
      <c r="B8649" s="126">
        <f>IFERROR(__xludf.DUMMYFUNCTION("""COMPUTED_VALUE"""),46187.0)</f>
        <v>46187</v>
      </c>
      <c r="C8649" s="130">
        <f>IFERROR(__xludf.DUMMYFUNCTION("""COMPUTED_VALUE"""),0.6488194444444444)</f>
        <v>0.6488194444</v>
      </c>
      <c r="D8649" s="122" t="str">
        <f>IFERROR(__xludf.DUMMYFUNCTION("""COMPUTED_VALUE"""),"BOND")</f>
        <v>BOND</v>
      </c>
      <c r="E8649" s="122" t="str">
        <f>IFERROR(__xludf.DUMMYFUNCTION("""COMPUTED_VALUE"""),"BondBridge")</f>
        <v>BondBridge</v>
      </c>
      <c r="F8649" s="122" t="str">
        <f>IFERROR(__xludf.DUMMYFUNCTION("""COMPUTED_VALUE"""),"Finance")</f>
        <v>Finance</v>
      </c>
    </row>
    <row r="8650">
      <c r="A8650" s="131">
        <f>IFERROR(__xludf.DUMMYFUNCTION("""COMPUTED_VALUE"""),46187.64881944445)</f>
        <v>46187.64882</v>
      </c>
      <c r="B8650" s="126">
        <f>IFERROR(__xludf.DUMMYFUNCTION("""COMPUTED_VALUE"""),46187.0)</f>
        <v>46187</v>
      </c>
      <c r="C8650" s="130">
        <f>IFERROR(__xludf.DUMMYFUNCTION("""COMPUTED_VALUE"""),0.6488194444444444)</f>
        <v>0.6488194444</v>
      </c>
      <c r="D8650" s="122" t="str">
        <f>IFERROR(__xludf.DUMMYFUNCTION("""COMPUTED_VALUE"""),"INSR")</f>
        <v>INSR</v>
      </c>
      <c r="E8650" s="122" t="str">
        <f>IFERROR(__xludf.DUMMYFUNCTION("""COMPUTED_VALUE"""),"Shield Insurance")</f>
        <v>Shield Insurance</v>
      </c>
      <c r="F8650" s="122" t="str">
        <f>IFERROR(__xludf.DUMMYFUNCTION("""COMPUTED_VALUE"""),"Finance")</f>
        <v>Finance</v>
      </c>
    </row>
    <row r="8651">
      <c r="A8651" s="131">
        <f>IFERROR(__xludf.DUMMYFUNCTION("""COMPUTED_VALUE"""),46187.64881944445)</f>
        <v>46187.64882</v>
      </c>
      <c r="B8651" s="126">
        <f>IFERROR(__xludf.DUMMYFUNCTION("""COMPUTED_VALUE"""),46187.0)</f>
        <v>46187</v>
      </c>
      <c r="C8651" s="130">
        <f>IFERROR(__xludf.DUMMYFUNCTION("""COMPUTED_VALUE"""),0.6488194444444444)</f>
        <v>0.6488194444</v>
      </c>
      <c r="D8651" s="122" t="str">
        <f>IFERROR(__xludf.DUMMYFUNCTION("""COMPUTED_VALUE"""),"LOAN")</f>
        <v>LOAN</v>
      </c>
      <c r="E8651" s="122" t="str">
        <f>IFERROR(__xludf.DUMMYFUNCTION("""COMPUTED_VALUE"""),"LoanLab")</f>
        <v>LoanLab</v>
      </c>
      <c r="F8651" s="122" t="str">
        <f>IFERROR(__xludf.DUMMYFUNCTION("""COMPUTED_VALUE"""),"Finance")</f>
        <v>Finance</v>
      </c>
    </row>
    <row r="8652">
      <c r="A8652" s="131">
        <f>IFERROR(__xludf.DUMMYFUNCTION("""COMPUTED_VALUE"""),46187.64881944445)</f>
        <v>46187.64882</v>
      </c>
      <c r="B8652" s="126">
        <f>IFERROR(__xludf.DUMMYFUNCTION("""COMPUTED_VALUE"""),46187.0)</f>
        <v>46187</v>
      </c>
      <c r="C8652" s="130">
        <f>IFERROR(__xludf.DUMMYFUNCTION("""COMPUTED_VALUE"""),0.6488194444444444)</f>
        <v>0.6488194444</v>
      </c>
      <c r="D8652" s="122" t="str">
        <f>IFERROR(__xludf.DUMMYFUNCTION("""COMPUTED_VALUE"""),"LUXE")</f>
        <v>LUXE</v>
      </c>
      <c r="E8652" s="122" t="str">
        <f>IFERROR(__xludf.DUMMYFUNCTION("""COMPUTED_VALUE"""),"Luxury Locker")</f>
        <v>Luxury Locker</v>
      </c>
      <c r="F8652" s="122" t="str">
        <f>IFERROR(__xludf.DUMMYFUNCTION("""COMPUTED_VALUE"""),"Luxury Goods")</f>
        <v>Luxury Goods</v>
      </c>
    </row>
    <row r="8653">
      <c r="A8653" s="131">
        <f>IFERROR(__xludf.DUMMYFUNCTION("""COMPUTED_VALUE"""),46187.64881944445)</f>
        <v>46187.64882</v>
      </c>
      <c r="B8653" s="126">
        <f>IFERROR(__xludf.DUMMYFUNCTION("""COMPUTED_VALUE"""),46187.0)</f>
        <v>46187</v>
      </c>
      <c r="C8653" s="130">
        <f>IFERROR(__xludf.DUMMYFUNCTION("""COMPUTED_VALUE"""),0.6488194444444444)</f>
        <v>0.6488194444</v>
      </c>
      <c r="D8653" s="122" t="str">
        <f>IFERROR(__xludf.DUMMYFUNCTION("""COMPUTED_VALUE"""),"DRIP")</f>
        <v>DRIP</v>
      </c>
      <c r="E8653" s="122" t="str">
        <f>IFERROR(__xludf.DUMMYFUNCTION("""COMPUTED_VALUE"""),"Drip Streetwear")</f>
        <v>Drip Streetwear</v>
      </c>
      <c r="F8653" s="122" t="str">
        <f>IFERROR(__xludf.DUMMYFUNCTION("""COMPUTED_VALUE"""),"Fashion")</f>
        <v>Fashion</v>
      </c>
    </row>
    <row r="8654">
      <c r="A8654" s="131">
        <f>IFERROR(__xludf.DUMMYFUNCTION("""COMPUTED_VALUE"""),46187.64881944445)</f>
        <v>46187.64882</v>
      </c>
      <c r="B8654" s="126">
        <f>IFERROR(__xludf.DUMMYFUNCTION("""COMPUTED_VALUE"""),46187.0)</f>
        <v>46187</v>
      </c>
      <c r="C8654" s="130">
        <f>IFERROR(__xludf.DUMMYFUNCTION("""COMPUTED_VALUE"""),0.6488194444444444)</f>
        <v>0.6488194444</v>
      </c>
      <c r="D8654" s="122" t="str">
        <f>IFERROR(__xludf.DUMMYFUNCTION("""COMPUTED_VALUE"""),"KICK")</f>
        <v>KICK</v>
      </c>
      <c r="E8654" s="122" t="str">
        <f>IFERROR(__xludf.DUMMYFUNCTION("""COMPUTED_VALUE"""),"KickDrop Sneakers")</f>
        <v>KickDrop Sneakers</v>
      </c>
      <c r="F8654" s="122" t="str">
        <f>IFERROR(__xludf.DUMMYFUNCTION("""COMPUTED_VALUE"""),"Fashion")</f>
        <v>Fashion</v>
      </c>
    </row>
    <row r="8655">
      <c r="A8655" s="131">
        <f>IFERROR(__xludf.DUMMYFUNCTION("""COMPUTED_VALUE"""),46187.64881944445)</f>
        <v>46187.64882</v>
      </c>
      <c r="B8655" s="126">
        <f>IFERROR(__xludf.DUMMYFUNCTION("""COMPUTED_VALUE"""),46187.0)</f>
        <v>46187</v>
      </c>
      <c r="C8655" s="130">
        <f>IFERROR(__xludf.DUMMYFUNCTION("""COMPUTED_VALUE"""),0.6488194444444444)</f>
        <v>0.6488194444</v>
      </c>
      <c r="D8655" s="122" t="str">
        <f>IFERROR(__xludf.DUMMYFUNCTION("""COMPUTED_VALUE"""),"GLAM")</f>
        <v>GLAM</v>
      </c>
      <c r="E8655" s="122" t="str">
        <f>IFERROR(__xludf.DUMMYFUNCTION("""COMPUTED_VALUE"""),"Glow Cosmetics")</f>
        <v>Glow Cosmetics</v>
      </c>
      <c r="F8655" s="122" t="str">
        <f>IFERROR(__xludf.DUMMYFUNCTION("""COMPUTED_VALUE"""),"Fashion")</f>
        <v>Fashion</v>
      </c>
    </row>
    <row r="8656">
      <c r="A8656" s="131">
        <f>IFERROR(__xludf.DUMMYFUNCTION("""COMPUTED_VALUE"""),46187.64881944445)</f>
        <v>46187.64882</v>
      </c>
      <c r="B8656" s="126">
        <f>IFERROR(__xludf.DUMMYFUNCTION("""COMPUTED_VALUE"""),46187.0)</f>
        <v>46187</v>
      </c>
      <c r="C8656" s="130">
        <f>IFERROR(__xludf.DUMMYFUNCTION("""COMPUTED_VALUE"""),0.6488194444444444)</f>
        <v>0.6488194444</v>
      </c>
      <c r="D8656" s="122" t="str">
        <f>IFERROR(__xludf.DUMMYFUNCTION("""COMPUTED_VALUE"""),"BAGG")</f>
        <v>BAGG</v>
      </c>
      <c r="E8656" s="122" t="str">
        <f>IFERROR(__xludf.DUMMYFUNCTION("""COMPUTED_VALUE"""),"BagVault")</f>
        <v>BagVault</v>
      </c>
      <c r="F8656" s="122" t="str">
        <f>IFERROR(__xludf.DUMMYFUNCTION("""COMPUTED_VALUE"""),"Fashion")</f>
        <v>Fashion</v>
      </c>
    </row>
    <row r="8657">
      <c r="A8657" s="131">
        <f>IFERROR(__xludf.DUMMYFUNCTION("""COMPUTED_VALUE"""),46187.64881944445)</f>
        <v>46187.64882</v>
      </c>
      <c r="B8657" s="126">
        <f>IFERROR(__xludf.DUMMYFUNCTION("""COMPUTED_VALUE"""),46187.0)</f>
        <v>46187</v>
      </c>
      <c r="C8657" s="130">
        <f>IFERROR(__xludf.DUMMYFUNCTION("""COMPUTED_VALUE"""),0.6488194444444444)</f>
        <v>0.6488194444</v>
      </c>
      <c r="D8657" s="122" t="str">
        <f>IFERROR(__xludf.DUMMYFUNCTION("""COMPUTED_VALUE"""),"FAST")</f>
        <v>FAST</v>
      </c>
      <c r="E8657" s="122" t="str">
        <f>IFERROR(__xludf.DUMMYFUNCTION("""COMPUTED_VALUE"""),"Flash Logistics")</f>
        <v>Flash Logistics</v>
      </c>
      <c r="F8657" s="122" t="str">
        <f>IFERROR(__xludf.DUMMYFUNCTION("""COMPUTED_VALUE"""),"Logistics")</f>
        <v>Logistics</v>
      </c>
    </row>
    <row r="8658">
      <c r="A8658" s="131">
        <f>IFERROR(__xludf.DUMMYFUNCTION("""COMPUTED_VALUE"""),46187.64881944445)</f>
        <v>46187.64882</v>
      </c>
      <c r="B8658" s="126">
        <f>IFERROR(__xludf.DUMMYFUNCTION("""COMPUTED_VALUE"""),46187.0)</f>
        <v>46187</v>
      </c>
      <c r="C8658" s="130">
        <f>IFERROR(__xludf.DUMMYFUNCTION("""COMPUTED_VALUE"""),0.6488194444444444)</f>
        <v>0.6488194444</v>
      </c>
      <c r="D8658" s="122" t="str">
        <f>IFERROR(__xludf.DUMMYFUNCTION("""COMPUTED_VALUE"""),"SHIP")</f>
        <v>SHIP</v>
      </c>
      <c r="E8658" s="122" t="str">
        <f>IFERROR(__xludf.DUMMYFUNCTION("""COMPUTED_VALUE"""),"Seoul Shipping")</f>
        <v>Seoul Shipping</v>
      </c>
      <c r="F8658" s="122" t="str">
        <f>IFERROR(__xludf.DUMMYFUNCTION("""COMPUTED_VALUE"""),"Logistics")</f>
        <v>Logistics</v>
      </c>
    </row>
    <row r="8659">
      <c r="A8659" s="131">
        <f>IFERROR(__xludf.DUMMYFUNCTION("""COMPUTED_VALUE"""),46187.64881944445)</f>
        <v>46187.64882</v>
      </c>
      <c r="B8659" s="126">
        <f>IFERROR(__xludf.DUMMYFUNCTION("""COMPUTED_VALUE"""),46187.0)</f>
        <v>46187</v>
      </c>
      <c r="C8659" s="130">
        <f>IFERROR(__xludf.DUMMYFUNCTION("""COMPUTED_VALUE"""),0.6488194444444444)</f>
        <v>0.6488194444</v>
      </c>
      <c r="D8659" s="122" t="str">
        <f>IFERROR(__xludf.DUMMYFUNCTION("""COMPUTED_VALUE"""),"DRON")</f>
        <v>DRON</v>
      </c>
      <c r="E8659" s="122" t="str">
        <f>IFERROR(__xludf.DUMMYFUNCTION("""COMPUTED_VALUE"""),"DroneDrop")</f>
        <v>DroneDrop</v>
      </c>
      <c r="F8659" s="122" t="str">
        <f>IFERROR(__xludf.DUMMYFUNCTION("""COMPUTED_VALUE"""),"Logistics")</f>
        <v>Logistics</v>
      </c>
    </row>
    <row r="8660">
      <c r="A8660" s="131">
        <f>IFERROR(__xludf.DUMMYFUNCTION("""COMPUTED_VALUE"""),46187.64881944445)</f>
        <v>46187.64882</v>
      </c>
      <c r="B8660" s="126">
        <f>IFERROR(__xludf.DUMMYFUNCTION("""COMPUTED_VALUE"""),46187.0)</f>
        <v>46187</v>
      </c>
      <c r="C8660" s="130">
        <f>IFERROR(__xludf.DUMMYFUNCTION("""COMPUTED_VALUE"""),0.6488194444444444)</f>
        <v>0.6488194444</v>
      </c>
      <c r="D8660" s="122" t="str">
        <f>IFERROR(__xludf.DUMMYFUNCTION("""COMPUTED_VALUE"""),"RIDE")</f>
        <v>RIDE</v>
      </c>
      <c r="E8660" s="122" t="str">
        <f>IFERROR(__xludf.DUMMYFUNCTION("""COMPUTED_VALUE"""),"QuickRide")</f>
        <v>QuickRide</v>
      </c>
      <c r="F8660" s="122" t="str">
        <f>IFERROR(__xludf.DUMMYFUNCTION("""COMPUTED_VALUE"""),"Transportation")</f>
        <v>Transportation</v>
      </c>
    </row>
    <row r="8661">
      <c r="A8661" s="131">
        <f>IFERROR(__xludf.DUMMYFUNCTION("""COMPUTED_VALUE"""),46187.64881944445)</f>
        <v>46187.64882</v>
      </c>
      <c r="B8661" s="126">
        <f>IFERROR(__xludf.DUMMYFUNCTION("""COMPUTED_VALUE"""),46187.0)</f>
        <v>46187</v>
      </c>
      <c r="C8661" s="130">
        <f>IFERROR(__xludf.DUMMYFUNCTION("""COMPUTED_VALUE"""),0.6488194444444444)</f>
        <v>0.6488194444</v>
      </c>
      <c r="D8661" s="122" t="str">
        <f>IFERROR(__xludf.DUMMYFUNCTION("""COMPUTED_VALUE"""),"RAIL")</f>
        <v>RAIL</v>
      </c>
      <c r="E8661" s="122" t="str">
        <f>IFERROR(__xludf.DUMMYFUNCTION("""COMPUTED_VALUE"""),"MetroRail Corp")</f>
        <v>MetroRail Corp</v>
      </c>
      <c r="F8661" s="122" t="str">
        <f>IFERROR(__xludf.DUMMYFUNCTION("""COMPUTED_VALUE"""),"Transportation")</f>
        <v>Transportation</v>
      </c>
    </row>
    <row r="8662">
      <c r="A8662" s="131">
        <f>IFERROR(__xludf.DUMMYFUNCTION("""COMPUTED_VALUE"""),46187.64881944445)</f>
        <v>46187.64882</v>
      </c>
      <c r="B8662" s="126">
        <f>IFERROR(__xludf.DUMMYFUNCTION("""COMPUTED_VALUE"""),46187.0)</f>
        <v>46187</v>
      </c>
      <c r="C8662" s="130">
        <f>IFERROR(__xludf.DUMMYFUNCTION("""COMPUTED_VALUE"""),0.6488194444444444)</f>
        <v>0.6488194444</v>
      </c>
      <c r="D8662" s="122" t="str">
        <f>IFERROR(__xludf.DUMMYFUNCTION("""COMPUTED_VALUE"""),"MEDX")</f>
        <v>MEDX</v>
      </c>
      <c r="E8662" s="122" t="str">
        <f>IFERROR(__xludf.DUMMYFUNCTION("""COMPUTED_VALUE"""),"MediCore")</f>
        <v>MediCore</v>
      </c>
      <c r="F8662" s="122" t="str">
        <f>IFERROR(__xludf.DUMMYFUNCTION("""COMPUTED_VALUE"""),"Healthcare")</f>
        <v>Healthcare</v>
      </c>
    </row>
    <row r="8663">
      <c r="A8663" s="131">
        <f>IFERROR(__xludf.DUMMYFUNCTION("""COMPUTED_VALUE"""),46187.64881944445)</f>
        <v>46187.64882</v>
      </c>
      <c r="B8663" s="126">
        <f>IFERROR(__xludf.DUMMYFUNCTION("""COMPUTED_VALUE"""),46187.0)</f>
        <v>46187</v>
      </c>
      <c r="C8663" s="130">
        <f>IFERROR(__xludf.DUMMYFUNCTION("""COMPUTED_VALUE"""),0.6488194444444444)</f>
        <v>0.6488194444</v>
      </c>
      <c r="D8663" s="122" t="str">
        <f>IFERROR(__xludf.DUMMYFUNCTION("""COMPUTED_VALUE"""),"GYMX")</f>
        <v>GYMX</v>
      </c>
      <c r="E8663" s="122" t="str">
        <f>IFERROR(__xludf.DUMMYFUNCTION("""COMPUTED_VALUE"""),"GymX Fitness")</f>
        <v>GymX Fitness</v>
      </c>
      <c r="F8663" s="122" t="str">
        <f>IFERROR(__xludf.DUMMYFUNCTION("""COMPUTED_VALUE"""),"Healthcare")</f>
        <v>Healthcare</v>
      </c>
    </row>
    <row r="8664">
      <c r="A8664" s="131">
        <f>IFERROR(__xludf.DUMMYFUNCTION("""COMPUTED_VALUE"""),46187.64881944445)</f>
        <v>46187.64882</v>
      </c>
      <c r="B8664" s="126">
        <f>IFERROR(__xludf.DUMMYFUNCTION("""COMPUTED_VALUE"""),46187.0)</f>
        <v>46187</v>
      </c>
      <c r="C8664" s="130">
        <f>IFERROR(__xludf.DUMMYFUNCTION("""COMPUTED_VALUE"""),0.6488194444444444)</f>
        <v>0.6488194444</v>
      </c>
      <c r="D8664" s="122" t="str">
        <f>IFERROR(__xludf.DUMMYFUNCTION("""COMPUTED_VALUE"""),"VITA")</f>
        <v>VITA</v>
      </c>
      <c r="E8664" s="122" t="str">
        <f>IFERROR(__xludf.DUMMYFUNCTION("""COMPUTED_VALUE"""),"VitaPlus")</f>
        <v>VitaPlus</v>
      </c>
      <c r="F8664" s="122" t="str">
        <f>IFERROR(__xludf.DUMMYFUNCTION("""COMPUTED_VALUE"""),"Healthcare")</f>
        <v>Healthcare</v>
      </c>
    </row>
    <row r="8665">
      <c r="A8665" s="131">
        <f>IFERROR(__xludf.DUMMYFUNCTION("""COMPUTED_VALUE"""),46187.64881944445)</f>
        <v>46187.64882</v>
      </c>
      <c r="B8665" s="126">
        <f>IFERROR(__xludf.DUMMYFUNCTION("""COMPUTED_VALUE"""),46187.0)</f>
        <v>46187</v>
      </c>
      <c r="C8665" s="130">
        <f>IFERROR(__xludf.DUMMYFUNCTION("""COMPUTED_VALUE"""),0.6488194444444444)</f>
        <v>0.6488194444</v>
      </c>
      <c r="D8665" s="122" t="str">
        <f>IFERROR(__xludf.DUMMYFUNCTION("""COMPUTED_VALUE"""),"CARE")</f>
        <v>CARE</v>
      </c>
      <c r="E8665" s="122" t="str">
        <f>IFERROR(__xludf.DUMMYFUNCTION("""COMPUTED_VALUE"""),"CareCloud")</f>
        <v>CareCloud</v>
      </c>
      <c r="F8665" s="122" t="str">
        <f>IFERROR(__xludf.DUMMYFUNCTION("""COMPUTED_VALUE"""),"Healthcare")</f>
        <v>Healthcare</v>
      </c>
    </row>
    <row r="8666">
      <c r="A8666" s="131">
        <f>IFERROR(__xludf.DUMMYFUNCTION("""COMPUTED_VALUE"""),46187.64881944445)</f>
        <v>46187.64882</v>
      </c>
      <c r="B8666" s="126">
        <f>IFERROR(__xludf.DUMMYFUNCTION("""COMPUTED_VALUE"""),46187.0)</f>
        <v>46187</v>
      </c>
      <c r="C8666" s="130">
        <f>IFERROR(__xludf.DUMMYFUNCTION("""COMPUTED_VALUE"""),0.6488194444444444)</f>
        <v>0.6488194444</v>
      </c>
      <c r="D8666" s="122" t="str">
        <f>IFERROR(__xludf.DUMMYFUNCTION("""COMPUTED_VALUE"""),"DENT")</f>
        <v>DENT</v>
      </c>
      <c r="E8666" s="122" t="str">
        <f>IFERROR(__xludf.DUMMYFUNCTION("""COMPUTED_VALUE"""),"SmileWorks")</f>
        <v>SmileWorks</v>
      </c>
      <c r="F8666" s="122" t="str">
        <f>IFERROR(__xludf.DUMMYFUNCTION("""COMPUTED_VALUE"""),"Healthcare")</f>
        <v>Healthcare</v>
      </c>
    </row>
    <row r="8667">
      <c r="A8667" s="131">
        <f>IFERROR(__xludf.DUMMYFUNCTION("""COMPUTED_VALUE"""),46187.64881944445)</f>
        <v>46187.64882</v>
      </c>
      <c r="B8667" s="126">
        <f>IFERROR(__xludf.DUMMYFUNCTION("""COMPUTED_VALUE"""),46187.0)</f>
        <v>46187</v>
      </c>
      <c r="C8667" s="130">
        <f>IFERROR(__xludf.DUMMYFUNCTION("""COMPUTED_VALUE"""),0.6488194444444444)</f>
        <v>0.6488194444</v>
      </c>
      <c r="D8667" s="122" t="str">
        <f>IFERROR(__xludf.DUMMYFUNCTION("""COMPUTED_VALUE"""),"EDUX")</f>
        <v>EDUX</v>
      </c>
      <c r="E8667" s="122" t="str">
        <f>IFERROR(__xludf.DUMMYFUNCTION("""COMPUTED_VALUE"""),"EduMax Learning")</f>
        <v>EduMax Learning</v>
      </c>
      <c r="F8667" s="122" t="str">
        <f>IFERROR(__xludf.DUMMYFUNCTION("""COMPUTED_VALUE"""),"Education")</f>
        <v>Education</v>
      </c>
    </row>
    <row r="8668">
      <c r="A8668" s="131">
        <f>IFERROR(__xludf.DUMMYFUNCTION("""COMPUTED_VALUE"""),46187.64881944445)</f>
        <v>46187.64882</v>
      </c>
      <c r="B8668" s="126">
        <f>IFERROR(__xludf.DUMMYFUNCTION("""COMPUTED_VALUE"""),46187.0)</f>
        <v>46187</v>
      </c>
      <c r="C8668" s="130">
        <f>IFERROR(__xludf.DUMMYFUNCTION("""COMPUTED_VALUE"""),0.6488194444444444)</f>
        <v>0.6488194444</v>
      </c>
      <c r="D8668" s="122" t="str">
        <f>IFERROR(__xludf.DUMMYFUNCTION("""COMPUTED_VALUE"""),"BOOK")</f>
        <v>BOOK</v>
      </c>
      <c r="E8668" s="122" t="str">
        <f>IFERROR(__xludf.DUMMYFUNCTION("""COMPUTED_VALUE"""),"BookBridge")</f>
        <v>BookBridge</v>
      </c>
      <c r="F8668" s="122" t="str">
        <f>IFERROR(__xludf.DUMMYFUNCTION("""COMPUTED_VALUE"""),"Education")</f>
        <v>Education</v>
      </c>
    </row>
    <row r="8669">
      <c r="A8669" s="131">
        <f>IFERROR(__xludf.DUMMYFUNCTION("""COMPUTED_VALUE"""),46187.64881944445)</f>
        <v>46187.64882</v>
      </c>
      <c r="B8669" s="126">
        <f>IFERROR(__xludf.DUMMYFUNCTION("""COMPUTED_VALUE"""),46187.0)</f>
        <v>46187</v>
      </c>
      <c r="C8669" s="130">
        <f>IFERROR(__xludf.DUMMYFUNCTION("""COMPUTED_VALUE"""),0.6488194444444444)</f>
        <v>0.6488194444</v>
      </c>
      <c r="D8669" s="122" t="str">
        <f>IFERROR(__xludf.DUMMYFUNCTION("""COMPUTED_VALUE"""),"TUTR")</f>
        <v>TUTR</v>
      </c>
      <c r="E8669" s="122" t="str">
        <f>IFERROR(__xludf.DUMMYFUNCTION("""COMPUTED_VALUE"""),"TutorTown")</f>
        <v>TutorTown</v>
      </c>
      <c r="F8669" s="122" t="str">
        <f>IFERROR(__xludf.DUMMYFUNCTION("""COMPUTED_VALUE"""),"Education")</f>
        <v>Education</v>
      </c>
    </row>
    <row r="8670">
      <c r="A8670" s="131">
        <f>IFERROR(__xludf.DUMMYFUNCTION("""COMPUTED_VALUE"""),46187.64881944445)</f>
        <v>46187.64882</v>
      </c>
      <c r="B8670" s="126">
        <f>IFERROR(__xludf.DUMMYFUNCTION("""COMPUTED_VALUE"""),46187.0)</f>
        <v>46187</v>
      </c>
      <c r="C8670" s="130">
        <f>IFERROR(__xludf.DUMMYFUNCTION("""COMPUTED_VALUE"""),0.6488194444444444)</f>
        <v>0.6488194444</v>
      </c>
      <c r="D8670" s="122" t="str">
        <f>IFERROR(__xludf.DUMMYFUNCTION("""COMPUTED_VALUE"""),"LANG")</f>
        <v>LANG</v>
      </c>
      <c r="E8670" s="122" t="str">
        <f>IFERROR(__xludf.DUMMYFUNCTION("""COMPUTED_VALUE"""),"LinguaLab")</f>
        <v>LinguaLab</v>
      </c>
      <c r="F8670" s="122" t="str">
        <f>IFERROR(__xludf.DUMMYFUNCTION("""COMPUTED_VALUE"""),"Education")</f>
        <v>Education</v>
      </c>
    </row>
    <row r="8671">
      <c r="A8671" s="131">
        <f>IFERROR(__xludf.DUMMYFUNCTION("""COMPUTED_VALUE"""),46187.64881944445)</f>
        <v>46187.64882</v>
      </c>
      <c r="B8671" s="126">
        <f>IFERROR(__xludf.DUMMYFUNCTION("""COMPUTED_VALUE"""),46187.0)</f>
        <v>46187</v>
      </c>
      <c r="C8671" s="130">
        <f>IFERROR(__xludf.DUMMYFUNCTION("""COMPUTED_VALUE"""),0.6488194444444444)</f>
        <v>0.6488194444</v>
      </c>
      <c r="D8671" s="122" t="str">
        <f>IFERROR(__xludf.DUMMYFUNCTION("""COMPUTED_VALUE"""),"TEST")</f>
        <v>TEST</v>
      </c>
      <c r="E8671" s="122" t="str">
        <f>IFERROR(__xludf.DUMMYFUNCTION("""COMPUTED_VALUE"""),"TestPrep Pro")</f>
        <v>TestPrep Pro</v>
      </c>
      <c r="F8671" s="122" t="str">
        <f>IFERROR(__xludf.DUMMYFUNCTION("""COMPUTED_VALUE"""),"Education")</f>
        <v>Education</v>
      </c>
    </row>
    <row r="8672">
      <c r="A8672" s="131">
        <f>IFERROR(__xludf.DUMMYFUNCTION("""COMPUTED_VALUE"""),46187.64881944445)</f>
        <v>46187.64882</v>
      </c>
      <c r="B8672" s="126">
        <f>IFERROR(__xludf.DUMMYFUNCTION("""COMPUTED_VALUE"""),46187.0)</f>
        <v>46187</v>
      </c>
      <c r="C8672" s="130">
        <f>IFERROR(__xludf.DUMMYFUNCTION("""COMPUTED_VALUE"""),0.6488194444444444)</f>
        <v>0.6488194444</v>
      </c>
      <c r="D8672" s="122" t="str">
        <f>IFERROR(__xludf.DUMMYFUNCTION("""COMPUTED_VALUE"""),"MOVI")</f>
        <v>MOVI</v>
      </c>
      <c r="E8672" s="122" t="str">
        <f>IFERROR(__xludf.DUMMYFUNCTION("""COMPUTED_VALUE"""),"MovieBox")</f>
        <v>MovieBox</v>
      </c>
      <c r="F8672" s="122" t="str">
        <f>IFERROR(__xludf.DUMMYFUNCTION("""COMPUTED_VALUE"""),"Entertainment")</f>
        <v>Entertainment</v>
      </c>
    </row>
    <row r="8673">
      <c r="A8673" s="131">
        <f>IFERROR(__xludf.DUMMYFUNCTION("""COMPUTED_VALUE"""),46187.64881944445)</f>
        <v>46187.64882</v>
      </c>
      <c r="B8673" s="126">
        <f>IFERROR(__xludf.DUMMYFUNCTION("""COMPUTED_VALUE"""),46187.0)</f>
        <v>46187</v>
      </c>
      <c r="C8673" s="130">
        <f>IFERROR(__xludf.DUMMYFUNCTION("""COMPUTED_VALUE"""),0.6488194444444444)</f>
        <v>0.6488194444</v>
      </c>
      <c r="D8673" s="122" t="str">
        <f>IFERROR(__xludf.DUMMYFUNCTION("""COMPUTED_VALUE"""),"MUSC")</f>
        <v>MUSC</v>
      </c>
      <c r="E8673" s="122" t="str">
        <f>IFERROR(__xludf.DUMMYFUNCTION("""COMPUTED_VALUE"""),"MusicWave")</f>
        <v>MusicWave</v>
      </c>
      <c r="F8673" s="122" t="str">
        <f>IFERROR(__xludf.DUMMYFUNCTION("""COMPUTED_VALUE"""),"Entertainment")</f>
        <v>Entertainment</v>
      </c>
    </row>
    <row r="8674">
      <c r="A8674" s="131">
        <f>IFERROR(__xludf.DUMMYFUNCTION("""COMPUTED_VALUE"""),46187.64881944445)</f>
        <v>46187.64882</v>
      </c>
      <c r="B8674" s="126">
        <f>IFERROR(__xludf.DUMMYFUNCTION("""COMPUTED_VALUE"""),46187.0)</f>
        <v>46187</v>
      </c>
      <c r="C8674" s="130">
        <f>IFERROR(__xludf.DUMMYFUNCTION("""COMPUTED_VALUE"""),0.6488194444444444)</f>
        <v>0.6488194444</v>
      </c>
      <c r="D8674" s="122" t="str">
        <f>IFERROR(__xludf.DUMMYFUNCTION("""COMPUTED_VALUE"""),"IDOL")</f>
        <v>IDOL</v>
      </c>
      <c r="E8674" s="122" t="str">
        <f>IFERROR(__xludf.DUMMYFUNCTION("""COMPUTED_VALUE"""),"Idol Agency")</f>
        <v>Idol Agency</v>
      </c>
      <c r="F8674" s="122" t="str">
        <f>IFERROR(__xludf.DUMMYFUNCTION("""COMPUTED_VALUE"""),"Entertainment")</f>
        <v>Entertainment</v>
      </c>
    </row>
    <row r="8675">
      <c r="A8675" s="131">
        <f>IFERROR(__xludf.DUMMYFUNCTION("""COMPUTED_VALUE"""),46187.64881944445)</f>
        <v>46187.64882</v>
      </c>
      <c r="B8675" s="126">
        <f>IFERROR(__xludf.DUMMYFUNCTION("""COMPUTED_VALUE"""),46187.0)</f>
        <v>46187</v>
      </c>
      <c r="C8675" s="130">
        <f>IFERROR(__xludf.DUMMYFUNCTION("""COMPUTED_VALUE"""),0.6488194444444444)</f>
        <v>0.6488194444</v>
      </c>
      <c r="D8675" s="122" t="str">
        <f>IFERROR(__xludf.DUMMYFUNCTION("""COMPUTED_VALUE"""),"MEME")</f>
        <v>MEME</v>
      </c>
      <c r="E8675" s="122" t="str">
        <f>IFERROR(__xludf.DUMMYFUNCTION("""COMPUTED_VALUE"""),"Meme Media")</f>
        <v>Meme Media</v>
      </c>
      <c r="F8675" s="122" t="str">
        <f>IFERROR(__xludf.DUMMYFUNCTION("""COMPUTED_VALUE"""),"Entertainment")</f>
        <v>Entertainment</v>
      </c>
    </row>
    <row r="8676">
      <c r="A8676" s="131">
        <f>IFERROR(__xludf.DUMMYFUNCTION("""COMPUTED_VALUE"""),46187.64881944445)</f>
        <v>46187.64882</v>
      </c>
      <c r="B8676" s="126">
        <f>IFERROR(__xludf.DUMMYFUNCTION("""COMPUTED_VALUE"""),46187.0)</f>
        <v>46187</v>
      </c>
      <c r="C8676" s="130">
        <f>IFERROR(__xludf.DUMMYFUNCTION("""COMPUTED_VALUE"""),0.6488194444444444)</f>
        <v>0.6488194444</v>
      </c>
      <c r="D8676" s="122" t="str">
        <f>IFERROR(__xludf.DUMMYFUNCTION("""COMPUTED_VALUE"""),"STRM")</f>
        <v>STRM</v>
      </c>
      <c r="E8676" s="122" t="str">
        <f>IFERROR(__xludf.DUMMYFUNCTION("""COMPUTED_VALUE"""),"Streamly")</f>
        <v>Streamly</v>
      </c>
      <c r="F8676" s="122" t="str">
        <f>IFERROR(__xludf.DUMMYFUNCTION("""COMPUTED_VALUE"""),"Entertainment")</f>
        <v>Entertainment</v>
      </c>
    </row>
    <row r="8677">
      <c r="A8677" s="131">
        <f>IFERROR(__xludf.DUMMYFUNCTION("""COMPUTED_VALUE"""),46187.64881944445)</f>
        <v>46187.64882</v>
      </c>
      <c r="B8677" s="126">
        <f>IFERROR(__xludf.DUMMYFUNCTION("""COMPUTED_VALUE"""),46187.0)</f>
        <v>46187</v>
      </c>
      <c r="C8677" s="130">
        <f>IFERROR(__xludf.DUMMYFUNCTION("""COMPUTED_VALUE"""),0.6488194444444444)</f>
        <v>0.6488194444</v>
      </c>
      <c r="D8677" s="122" t="str">
        <f>IFERROR(__xludf.DUMMYFUNCTION("""COMPUTED_VALUE"""),"FARM")</f>
        <v>FARM</v>
      </c>
      <c r="E8677" s="122" t="str">
        <f>IFERROR(__xludf.DUMMYFUNCTION("""COMPUTED_VALUE"""),"Future Farms")</f>
        <v>Future Farms</v>
      </c>
      <c r="F8677" s="122" t="str">
        <f>IFERROR(__xludf.DUMMYFUNCTION("""COMPUTED_VALUE"""),"Agriculture")</f>
        <v>Agriculture</v>
      </c>
    </row>
    <row r="8678">
      <c r="A8678" s="131">
        <f>IFERROR(__xludf.DUMMYFUNCTION("""COMPUTED_VALUE"""),46187.64881944445)</f>
        <v>46187.64882</v>
      </c>
      <c r="B8678" s="126">
        <f>IFERROR(__xludf.DUMMYFUNCTION("""COMPUTED_VALUE"""),46187.0)</f>
        <v>46187</v>
      </c>
      <c r="C8678" s="130">
        <f>IFERROR(__xludf.DUMMYFUNCTION("""COMPUTED_VALUE"""),0.6488194444444444)</f>
        <v>0.6488194444</v>
      </c>
      <c r="D8678" s="122" t="str">
        <f>IFERROR(__xludf.DUMMYFUNCTION("""COMPUTED_VALUE"""),"MEAT")</f>
        <v>MEAT</v>
      </c>
      <c r="E8678" s="122" t="str">
        <f>IFERROR(__xludf.DUMMYFUNCTION("""COMPUTED_VALUE"""),"MeatWorks")</f>
        <v>MeatWorks</v>
      </c>
      <c r="F8678" s="122" t="str">
        <f>IFERROR(__xludf.DUMMYFUNCTION("""COMPUTED_VALUE"""),"Food")</f>
        <v>Food</v>
      </c>
    </row>
    <row r="8679">
      <c r="A8679" s="131">
        <f>IFERROR(__xludf.DUMMYFUNCTION("""COMPUTED_VALUE"""),46187.64881944445)</f>
        <v>46187.64882</v>
      </c>
      <c r="B8679" s="126">
        <f>IFERROR(__xludf.DUMMYFUNCTION("""COMPUTED_VALUE"""),46187.0)</f>
        <v>46187</v>
      </c>
      <c r="C8679" s="130">
        <f>IFERROR(__xludf.DUMMYFUNCTION("""COMPUTED_VALUE"""),0.6488194444444444)</f>
        <v>0.6488194444</v>
      </c>
      <c r="D8679" s="122" t="str">
        <f>IFERROR(__xludf.DUMMYFUNCTION("""COMPUTED_VALUE"""),"VEGI")</f>
        <v>VEGI</v>
      </c>
      <c r="E8679" s="122" t="str">
        <f>IFERROR(__xludf.DUMMYFUNCTION("""COMPUTED_VALUE"""),"Green Basket")</f>
        <v>Green Basket</v>
      </c>
      <c r="F8679" s="122" t="str">
        <f>IFERROR(__xludf.DUMMYFUNCTION("""COMPUTED_VALUE"""),"Food")</f>
        <v>Food</v>
      </c>
    </row>
    <row r="8680">
      <c r="A8680" s="131">
        <f>IFERROR(__xludf.DUMMYFUNCTION("""COMPUTED_VALUE"""),46187.64881944445)</f>
        <v>46187.64882</v>
      </c>
      <c r="B8680" s="126">
        <f>IFERROR(__xludf.DUMMYFUNCTION("""COMPUTED_VALUE"""),46187.0)</f>
        <v>46187</v>
      </c>
      <c r="C8680" s="130">
        <f>IFERROR(__xludf.DUMMYFUNCTION("""COMPUTED_VALUE"""),0.6488194444444444)</f>
        <v>0.6488194444</v>
      </c>
      <c r="D8680" s="122" t="str">
        <f>IFERROR(__xludf.DUMMYFUNCTION("""COMPUTED_VALUE"""),"CAFE")</f>
        <v>CAFE</v>
      </c>
      <c r="E8680" s="122" t="str">
        <f>IFERROR(__xludf.DUMMYFUNCTION("""COMPUTED_VALUE"""),"Cafe Cloud")</f>
        <v>Cafe Cloud</v>
      </c>
      <c r="F8680" s="122" t="str">
        <f>IFERROR(__xludf.DUMMYFUNCTION("""COMPUTED_VALUE"""),"Food")</f>
        <v>Food</v>
      </c>
    </row>
    <row r="8681">
      <c r="A8681" s="131">
        <f>IFERROR(__xludf.DUMMYFUNCTION("""COMPUTED_VALUE"""),46187.64881944445)</f>
        <v>46187.64882</v>
      </c>
      <c r="B8681" s="126">
        <f>IFERROR(__xludf.DUMMYFUNCTION("""COMPUTED_VALUE"""),46187.0)</f>
        <v>46187</v>
      </c>
      <c r="C8681" s="130">
        <f>IFERROR(__xludf.DUMMYFUNCTION("""COMPUTED_VALUE"""),0.6488194444444444)</f>
        <v>0.6488194444</v>
      </c>
      <c r="D8681" s="122" t="str">
        <f>IFERROR(__xludf.DUMMYFUNCTION("""COMPUTED_VALUE"""),"BAKE")</f>
        <v>BAKE</v>
      </c>
      <c r="E8681" s="122" t="str">
        <f>IFERROR(__xludf.DUMMYFUNCTION("""COMPUTED_VALUE"""),"BakeHouse")</f>
        <v>BakeHouse</v>
      </c>
      <c r="F8681" s="122" t="str">
        <f>IFERROR(__xludf.DUMMYFUNCTION("""COMPUTED_VALUE"""),"Food")</f>
        <v>Food</v>
      </c>
    </row>
    <row r="8682">
      <c r="A8682" s="131">
        <f>IFERROR(__xludf.DUMMYFUNCTION("""COMPUTED_VALUE"""),46187.64881944445)</f>
        <v>46187.64882</v>
      </c>
      <c r="B8682" s="126">
        <f>IFERROR(__xludf.DUMMYFUNCTION("""COMPUTED_VALUE"""),46187.0)</f>
        <v>46187</v>
      </c>
      <c r="C8682" s="130">
        <f>IFERROR(__xludf.DUMMYFUNCTION("""COMPUTED_VALUE"""),0.6488194444444444)</f>
        <v>0.6488194444</v>
      </c>
      <c r="D8682" s="122" t="str">
        <f>IFERROR(__xludf.DUMMYFUNCTION("""COMPUTED_VALUE"""),"OILX")</f>
        <v>OILX</v>
      </c>
      <c r="E8682" s="122" t="str">
        <f>IFERROR(__xludf.DUMMYFUNCTION("""COMPUTED_VALUE"""),"OilMax Energy")</f>
        <v>OilMax Energy</v>
      </c>
      <c r="F8682" s="122" t="str">
        <f>IFERROR(__xludf.DUMMYFUNCTION("""COMPUTED_VALUE"""),"Energy")</f>
        <v>Energy</v>
      </c>
    </row>
    <row r="8683">
      <c r="A8683" s="131">
        <f>IFERROR(__xludf.DUMMYFUNCTION("""COMPUTED_VALUE"""),46187.64881944445)</f>
        <v>46187.64882</v>
      </c>
      <c r="B8683" s="126">
        <f>IFERROR(__xludf.DUMMYFUNCTION("""COMPUTED_VALUE"""),46187.0)</f>
        <v>46187</v>
      </c>
      <c r="C8683" s="130">
        <f>IFERROR(__xludf.DUMMYFUNCTION("""COMPUTED_VALUE"""),0.6488194444444444)</f>
        <v>0.6488194444</v>
      </c>
      <c r="D8683" s="122" t="str">
        <f>IFERROR(__xludf.DUMMYFUNCTION("""COMPUTED_VALUE"""),"SOLR")</f>
        <v>SOLR</v>
      </c>
      <c r="E8683" s="122" t="str">
        <f>IFERROR(__xludf.DUMMYFUNCTION("""COMPUTED_VALUE"""),"SolarSpark")</f>
        <v>SolarSpark</v>
      </c>
      <c r="F8683" s="122" t="str">
        <f>IFERROR(__xludf.DUMMYFUNCTION("""COMPUTED_VALUE"""),"Energy")</f>
        <v>Energy</v>
      </c>
    </row>
    <row r="8684">
      <c r="A8684" s="131">
        <f>IFERROR(__xludf.DUMMYFUNCTION("""COMPUTED_VALUE"""),46187.64881944445)</f>
        <v>46187.64882</v>
      </c>
      <c r="B8684" s="126">
        <f>IFERROR(__xludf.DUMMYFUNCTION("""COMPUTED_VALUE"""),46187.0)</f>
        <v>46187</v>
      </c>
      <c r="C8684" s="130">
        <f>IFERROR(__xludf.DUMMYFUNCTION("""COMPUTED_VALUE"""),0.6488194444444444)</f>
        <v>0.6488194444</v>
      </c>
      <c r="D8684" s="122" t="str">
        <f>IFERROR(__xludf.DUMMYFUNCTION("""COMPUTED_VALUE"""),"BATT")</f>
        <v>BATT</v>
      </c>
      <c r="E8684" s="122" t="str">
        <f>IFERROR(__xludf.DUMMYFUNCTION("""COMPUTED_VALUE"""),"BatteryBox")</f>
        <v>BatteryBox</v>
      </c>
      <c r="F8684" s="122" t="str">
        <f>IFERROR(__xludf.DUMMYFUNCTION("""COMPUTED_VALUE"""),"Energy")</f>
        <v>Energy</v>
      </c>
    </row>
    <row r="8685">
      <c r="A8685" s="131">
        <f>IFERROR(__xludf.DUMMYFUNCTION("""COMPUTED_VALUE"""),46187.64881944445)</f>
        <v>46187.64882</v>
      </c>
      <c r="B8685" s="126">
        <f>IFERROR(__xludf.DUMMYFUNCTION("""COMPUTED_VALUE"""),46187.0)</f>
        <v>46187</v>
      </c>
      <c r="C8685" s="130">
        <f>IFERROR(__xludf.DUMMYFUNCTION("""COMPUTED_VALUE"""),0.6488194444444444)</f>
        <v>0.6488194444</v>
      </c>
      <c r="D8685" s="122" t="str">
        <f>IFERROR(__xludf.DUMMYFUNCTION("""COMPUTED_VALUE"""),"WIND")</f>
        <v>WIND</v>
      </c>
      <c r="E8685" s="122" t="str">
        <f>IFERROR(__xludf.DUMMYFUNCTION("""COMPUTED_VALUE"""),"WindWorks")</f>
        <v>WindWorks</v>
      </c>
      <c r="F8685" s="122" t="str">
        <f>IFERROR(__xludf.DUMMYFUNCTION("""COMPUTED_VALUE"""),"Energy")</f>
        <v>Energy</v>
      </c>
    </row>
    <row r="8686">
      <c r="A8686" s="131">
        <f>IFERROR(__xludf.DUMMYFUNCTION("""COMPUTED_VALUE"""),46187.64881944445)</f>
        <v>46187.64882</v>
      </c>
      <c r="B8686" s="126">
        <f>IFERROR(__xludf.DUMMYFUNCTION("""COMPUTED_VALUE"""),46187.0)</f>
        <v>46187</v>
      </c>
      <c r="C8686" s="130">
        <f>IFERROR(__xludf.DUMMYFUNCTION("""COMPUTED_VALUE"""),0.6488194444444444)</f>
        <v>0.6488194444</v>
      </c>
      <c r="D8686" s="122" t="str">
        <f>IFERROR(__xludf.DUMMYFUNCTION("""COMPUTED_VALUE"""),"GRID")</f>
        <v>GRID</v>
      </c>
      <c r="E8686" s="122" t="str">
        <f>IFERROR(__xludf.DUMMYFUNCTION("""COMPUTED_VALUE"""),"GridPower")</f>
        <v>GridPower</v>
      </c>
      <c r="F8686" s="122" t="str">
        <f>IFERROR(__xludf.DUMMYFUNCTION("""COMPUTED_VALUE"""),"Energy")</f>
        <v>Energy</v>
      </c>
    </row>
    <row r="8687">
      <c r="A8687" s="131">
        <f>IFERROR(__xludf.DUMMYFUNCTION("""COMPUTED_VALUE"""),46187.64881944445)</f>
        <v>46187.64882</v>
      </c>
      <c r="B8687" s="126">
        <f>IFERROR(__xludf.DUMMYFUNCTION("""COMPUTED_VALUE"""),46187.0)</f>
        <v>46187</v>
      </c>
      <c r="C8687" s="130">
        <f>IFERROR(__xludf.DUMMYFUNCTION("""COMPUTED_VALUE"""),0.6488194444444444)</f>
        <v>0.6488194444</v>
      </c>
      <c r="D8687" s="122" t="str">
        <f>IFERROR(__xludf.DUMMYFUNCTION("""COMPUTED_VALUE"""),"HOME")</f>
        <v>HOME</v>
      </c>
      <c r="E8687" s="122" t="str">
        <f>IFERROR(__xludf.DUMMYFUNCTION("""COMPUTED_VALUE"""),"HomeHub")</f>
        <v>HomeHub</v>
      </c>
      <c r="F8687" s="122" t="str">
        <f>IFERROR(__xludf.DUMMYFUNCTION("""COMPUTED_VALUE"""),"Real Estate")</f>
        <v>Real Estate</v>
      </c>
    </row>
    <row r="8688">
      <c r="A8688" s="131">
        <f>IFERROR(__xludf.DUMMYFUNCTION("""COMPUTED_VALUE"""),46187.64881944445)</f>
        <v>46187.64882</v>
      </c>
      <c r="B8688" s="126">
        <f>IFERROR(__xludf.DUMMYFUNCTION("""COMPUTED_VALUE"""),46187.0)</f>
        <v>46187</v>
      </c>
      <c r="C8688" s="130">
        <f>IFERROR(__xludf.DUMMYFUNCTION("""COMPUTED_VALUE"""),0.6488194444444444)</f>
        <v>0.6488194444</v>
      </c>
      <c r="D8688" s="122" t="str">
        <f>IFERROR(__xludf.DUMMYFUNCTION("""COMPUTED_VALUE"""),"RENT")</f>
        <v>RENT</v>
      </c>
      <c r="E8688" s="122" t="str">
        <f>IFERROR(__xludf.DUMMYFUNCTION("""COMPUTED_VALUE"""),"RentRight")</f>
        <v>RentRight</v>
      </c>
      <c r="F8688" s="122" t="str">
        <f>IFERROR(__xludf.DUMMYFUNCTION("""COMPUTED_VALUE"""),"Real Estate")</f>
        <v>Real Estate</v>
      </c>
    </row>
    <row r="8689">
      <c r="A8689" s="131">
        <f>IFERROR(__xludf.DUMMYFUNCTION("""COMPUTED_VALUE"""),46187.64881944445)</f>
        <v>46187.64882</v>
      </c>
      <c r="B8689" s="126">
        <f>IFERROR(__xludf.DUMMYFUNCTION("""COMPUTED_VALUE"""),46187.0)</f>
        <v>46187</v>
      </c>
      <c r="C8689" s="130">
        <f>IFERROR(__xludf.DUMMYFUNCTION("""COMPUTED_VALUE"""),0.6488194444444444)</f>
        <v>0.6488194444</v>
      </c>
      <c r="D8689" s="122" t="str">
        <f>IFERROR(__xludf.DUMMYFUNCTION("""COMPUTED_VALUE"""),"MALL")</f>
        <v>MALL</v>
      </c>
      <c r="E8689" s="122" t="str">
        <f>IFERROR(__xludf.DUMMYFUNCTION("""COMPUTED_VALUE"""),"MegaMall")</f>
        <v>MegaMall</v>
      </c>
      <c r="F8689" s="122" t="str">
        <f>IFERROR(__xludf.DUMMYFUNCTION("""COMPUTED_VALUE"""),"Real Estate")</f>
        <v>Real Estate</v>
      </c>
    </row>
    <row r="8690">
      <c r="A8690" s="131">
        <f>IFERROR(__xludf.DUMMYFUNCTION("""COMPUTED_VALUE"""),46187.64881944445)</f>
        <v>46187.64882</v>
      </c>
      <c r="B8690" s="126">
        <f>IFERROR(__xludf.DUMMYFUNCTION("""COMPUTED_VALUE"""),46187.0)</f>
        <v>46187</v>
      </c>
      <c r="C8690" s="130">
        <f>IFERROR(__xludf.DUMMYFUNCTION("""COMPUTED_VALUE"""),0.6488194444444444)</f>
        <v>0.6488194444</v>
      </c>
      <c r="D8690" s="122" t="str">
        <f>IFERROR(__xludf.DUMMYFUNCTION("""COMPUTED_VALUE"""),"HOTL")</f>
        <v>HOTL</v>
      </c>
      <c r="E8690" s="122" t="str">
        <f>IFERROR(__xludf.DUMMYFUNCTION("""COMPUTED_VALUE"""),"HotelHive")</f>
        <v>HotelHive</v>
      </c>
      <c r="F8690" s="122" t="str">
        <f>IFERROR(__xludf.DUMMYFUNCTION("""COMPUTED_VALUE"""),"Real Estate")</f>
        <v>Real Estate</v>
      </c>
    </row>
    <row r="8691">
      <c r="A8691" s="131">
        <f>IFERROR(__xludf.DUMMYFUNCTION("""COMPUTED_VALUE"""),46187.64881944445)</f>
        <v>46187.64882</v>
      </c>
      <c r="B8691" s="126">
        <f>IFERROR(__xludf.DUMMYFUNCTION("""COMPUTED_VALUE"""),46187.0)</f>
        <v>46187</v>
      </c>
      <c r="C8691" s="130">
        <f>IFERROR(__xludf.DUMMYFUNCTION("""COMPUTED_VALUE"""),0.6488194444444444)</f>
        <v>0.6488194444</v>
      </c>
      <c r="D8691" s="122" t="str">
        <f>IFERROR(__xludf.DUMMYFUNCTION("""COMPUTED_VALUE"""),"LAND")</f>
        <v>LAND</v>
      </c>
      <c r="E8691" s="122" t="str">
        <f>IFERROR(__xludf.DUMMYFUNCTION("""COMPUTED_VALUE"""),"LandLink")</f>
        <v>LandLink</v>
      </c>
      <c r="F8691" s="122" t="str">
        <f>IFERROR(__xludf.DUMMYFUNCTION("""COMPUTED_VALUE"""),"Real Estate")</f>
        <v>Real Estate</v>
      </c>
    </row>
    <row r="8692">
      <c r="A8692" s="131">
        <f>IFERROR(__xludf.DUMMYFUNCTION("""COMPUTED_VALUE"""),46187.64881944445)</f>
        <v>46187.64882</v>
      </c>
      <c r="B8692" s="126">
        <f>IFERROR(__xludf.DUMMYFUNCTION("""COMPUTED_VALUE"""),46187.0)</f>
        <v>46187</v>
      </c>
      <c r="C8692" s="130">
        <f>IFERROR(__xludf.DUMMYFUNCTION("""COMPUTED_VALUE"""),0.6488194444444444)</f>
        <v>0.6488194444</v>
      </c>
      <c r="D8692" s="122" t="str">
        <f>IFERROR(__xludf.DUMMYFUNCTION("""COMPUTED_VALUE"""),"CARS")</f>
        <v>CARS</v>
      </c>
      <c r="E8692" s="122" t="str">
        <f>IFERROR(__xludf.DUMMYFUNCTION("""COMPUTED_VALUE"""),"AutoArena")</f>
        <v>AutoArena</v>
      </c>
      <c r="F8692" s="122" t="str">
        <f>IFERROR(__xludf.DUMMYFUNCTION("""COMPUTED_VALUE"""),"Automotive")</f>
        <v>Automotive</v>
      </c>
    </row>
    <row r="8693">
      <c r="A8693" s="131">
        <f>IFERROR(__xludf.DUMMYFUNCTION("""COMPUTED_VALUE"""),46187.64881944445)</f>
        <v>46187.64882</v>
      </c>
      <c r="B8693" s="126">
        <f>IFERROR(__xludf.DUMMYFUNCTION("""COMPUTED_VALUE"""),46187.0)</f>
        <v>46187</v>
      </c>
      <c r="C8693" s="130">
        <f>IFERROR(__xludf.DUMMYFUNCTION("""COMPUTED_VALUE"""),0.6488194444444444)</f>
        <v>0.6488194444</v>
      </c>
      <c r="D8693" s="122" t="str">
        <f>IFERROR(__xludf.DUMMYFUNCTION("""COMPUTED_VALUE"""),"EVGO")</f>
        <v>EVGO</v>
      </c>
      <c r="E8693" s="122" t="str">
        <f>IFERROR(__xludf.DUMMYFUNCTION("""COMPUTED_VALUE"""),"EVGo Motors")</f>
        <v>EVGo Motors</v>
      </c>
      <c r="F8693" s="122" t="str">
        <f>IFERROR(__xludf.DUMMYFUNCTION("""COMPUTED_VALUE"""),"Automotive")</f>
        <v>Automotive</v>
      </c>
    </row>
    <row r="8694">
      <c r="A8694" s="131">
        <f>IFERROR(__xludf.DUMMYFUNCTION("""COMPUTED_VALUE"""),46187.64881944445)</f>
        <v>46187.64882</v>
      </c>
      <c r="B8694" s="126">
        <f>IFERROR(__xludf.DUMMYFUNCTION("""COMPUTED_VALUE"""),46187.0)</f>
        <v>46187</v>
      </c>
      <c r="C8694" s="130">
        <f>IFERROR(__xludf.DUMMYFUNCTION("""COMPUTED_VALUE"""),0.6488194444444444)</f>
        <v>0.6488194444</v>
      </c>
      <c r="D8694" s="122" t="str">
        <f>IFERROR(__xludf.DUMMYFUNCTION("""COMPUTED_VALUE"""),"TIRE")</f>
        <v>TIRE</v>
      </c>
      <c r="E8694" s="122" t="str">
        <f>IFERROR(__xludf.DUMMYFUNCTION("""COMPUTED_VALUE"""),"TireTown")</f>
        <v>TireTown</v>
      </c>
      <c r="F8694" s="122" t="str">
        <f>IFERROR(__xludf.DUMMYFUNCTION("""COMPUTED_VALUE"""),"Automotive")</f>
        <v>Automotive</v>
      </c>
    </row>
    <row r="8695">
      <c r="A8695" s="131">
        <f>IFERROR(__xludf.DUMMYFUNCTION("""COMPUTED_VALUE"""),46187.64881944445)</f>
        <v>46187.64882</v>
      </c>
      <c r="B8695" s="126">
        <f>IFERROR(__xludf.DUMMYFUNCTION("""COMPUTED_VALUE"""),46187.0)</f>
        <v>46187</v>
      </c>
      <c r="C8695" s="130">
        <f>IFERROR(__xludf.DUMMYFUNCTION("""COMPUTED_VALUE"""),0.6488194444444444)</f>
        <v>0.6488194444</v>
      </c>
      <c r="D8695" s="122" t="str">
        <f>IFERROR(__xludf.DUMMYFUNCTION("""COMPUTED_VALUE"""),"BIKE")</f>
        <v>BIKE</v>
      </c>
      <c r="E8695" s="122" t="str">
        <f>IFERROR(__xludf.DUMMYFUNCTION("""COMPUTED_VALUE"""),"BikeBox")</f>
        <v>BikeBox</v>
      </c>
      <c r="F8695" s="122" t="str">
        <f>IFERROR(__xludf.DUMMYFUNCTION("""COMPUTED_VALUE"""),"Automotive")</f>
        <v>Automotive</v>
      </c>
    </row>
    <row r="8696">
      <c r="A8696" s="131">
        <f>IFERROR(__xludf.DUMMYFUNCTION("""COMPUTED_VALUE"""),46187.64881944445)</f>
        <v>46187.64882</v>
      </c>
      <c r="B8696" s="126">
        <f>IFERROR(__xludf.DUMMYFUNCTION("""COMPUTED_VALUE"""),46187.0)</f>
        <v>46187</v>
      </c>
      <c r="C8696" s="130">
        <f>IFERROR(__xludf.DUMMYFUNCTION("""COMPUTED_VALUE"""),0.6488194444444444)</f>
        <v>0.6488194444</v>
      </c>
      <c r="D8696" s="122" t="str">
        <f>IFERROR(__xludf.DUMMYFUNCTION("""COMPUTED_VALUE"""),"WASH")</f>
        <v>WASH</v>
      </c>
      <c r="E8696" s="122" t="str">
        <f>IFERROR(__xludf.DUMMYFUNCTION("""COMPUTED_VALUE"""),"CarWash Co")</f>
        <v>CarWash Co</v>
      </c>
      <c r="F8696" s="122" t="str">
        <f>IFERROR(__xludf.DUMMYFUNCTION("""COMPUTED_VALUE"""),"Automotive")</f>
        <v>Automotive</v>
      </c>
    </row>
    <row r="8697">
      <c r="A8697" s="131">
        <f>IFERROR(__xludf.DUMMYFUNCTION("""COMPUTED_VALUE"""),46187.64881944445)</f>
        <v>46187.64882</v>
      </c>
      <c r="B8697" s="126">
        <f>IFERROR(__xludf.DUMMYFUNCTION("""COMPUTED_VALUE"""),46187.0)</f>
        <v>46187</v>
      </c>
      <c r="C8697" s="130">
        <f>IFERROR(__xludf.DUMMYFUNCTION("""COMPUTED_VALUE"""),0.6488194444444444)</f>
        <v>0.6488194444</v>
      </c>
      <c r="D8697" s="122" t="str">
        <f>IFERROR(__xludf.DUMMYFUNCTION("""COMPUTED_VALUE"""),"GBND")</f>
        <v>GBND</v>
      </c>
      <c r="E8697" s="122" t="str">
        <f>IFERROR(__xludf.DUMMYFUNCTION("""COMPUTED_VALUE"""),"Classroom Government Bond")</f>
        <v>Classroom Government Bond</v>
      </c>
      <c r="F8697" s="122" t="str">
        <f>IFERROR(__xludf.DUMMYFUNCTION("""COMPUTED_VALUE"""),"Bond")</f>
        <v>Bond</v>
      </c>
    </row>
    <row r="8698">
      <c r="A8698" s="131">
        <f>IFERROR(__xludf.DUMMYFUNCTION("""COMPUTED_VALUE"""),46187.64881944445)</f>
        <v>46187.64882</v>
      </c>
      <c r="B8698" s="126">
        <f>IFERROR(__xludf.DUMMYFUNCTION("""COMPUTED_VALUE"""),46187.0)</f>
        <v>46187</v>
      </c>
      <c r="C8698" s="130">
        <f>IFERROR(__xludf.DUMMYFUNCTION("""COMPUTED_VALUE"""),0.6488194444444444)</f>
        <v>0.6488194444</v>
      </c>
      <c r="D8698" s="122" t="str">
        <f>IFERROR(__xludf.DUMMYFUNCTION("""COMPUTED_VALUE"""),"SBND")</f>
        <v>SBND</v>
      </c>
      <c r="E8698" s="122" t="str">
        <f>IFERROR(__xludf.DUMMYFUNCTION("""COMPUTED_VALUE"""),"School Savings Bond")</f>
        <v>School Savings Bond</v>
      </c>
      <c r="F8698" s="122" t="str">
        <f>IFERROR(__xludf.DUMMYFUNCTION("""COMPUTED_VALUE"""),"Bond")</f>
        <v>Bond</v>
      </c>
    </row>
    <row r="8699">
      <c r="A8699" s="131">
        <f>IFERROR(__xludf.DUMMYFUNCTION("""COMPUTED_VALUE"""),46187.64881944445)</f>
        <v>46187.64882</v>
      </c>
      <c r="B8699" s="126">
        <f>IFERROR(__xludf.DUMMYFUNCTION("""COMPUTED_VALUE"""),46187.0)</f>
        <v>46187</v>
      </c>
      <c r="C8699" s="130">
        <f>IFERROR(__xludf.DUMMYFUNCTION("""COMPUTED_VALUE"""),0.6488194444444444)</f>
        <v>0.6488194444</v>
      </c>
      <c r="D8699" s="122" t="str">
        <f>IFERROR(__xludf.DUMMYFUNCTION("""COMPUTED_VALUE"""),"CBND")</f>
        <v>CBND</v>
      </c>
      <c r="E8699" s="122" t="str">
        <f>IFERROR(__xludf.DUMMYFUNCTION("""COMPUTED_VALUE"""),"Corporate Classroom Bond")</f>
        <v>Corporate Classroom Bond</v>
      </c>
      <c r="F8699" s="122" t="str">
        <f>IFERROR(__xludf.DUMMYFUNCTION("""COMPUTED_VALUE"""),"Bond")</f>
        <v>Bond</v>
      </c>
    </row>
    <row r="8700">
      <c r="A8700" s="131">
        <f>IFERROR(__xludf.DUMMYFUNCTION("""COMPUTED_VALUE"""),46187.64881944445)</f>
        <v>46187.64882</v>
      </c>
      <c r="B8700" s="126">
        <f>IFERROR(__xludf.DUMMYFUNCTION("""COMPUTED_VALUE"""),46187.0)</f>
        <v>46187</v>
      </c>
      <c r="C8700" s="130">
        <f>IFERROR(__xludf.DUMMYFUNCTION("""COMPUTED_VALUE"""),0.6488194444444444)</f>
        <v>0.6488194444</v>
      </c>
      <c r="D8700" s="122" t="str">
        <f>IFERROR(__xludf.DUMMYFUNCTION("""COMPUTED_VALUE"""),"TBIL")</f>
        <v>TBIL</v>
      </c>
      <c r="E8700" s="122" t="str">
        <f>IFERROR(__xludf.DUMMYFUNCTION("""COMPUTED_VALUE"""),"Treasury Bill")</f>
        <v>Treasury Bill</v>
      </c>
      <c r="F8700" s="122" t="str">
        <f>IFERROR(__xludf.DUMMYFUNCTION("""COMPUTED_VALUE"""),"Bond")</f>
        <v>Bond</v>
      </c>
    </row>
    <row r="8701">
      <c r="A8701" s="131">
        <f>IFERROR(__xludf.DUMMYFUNCTION("""COMPUTED_VALUE"""),46187.64881944445)</f>
        <v>46187.64882</v>
      </c>
      <c r="B8701" s="126">
        <f>IFERROR(__xludf.DUMMYFUNCTION("""COMPUTED_VALUE"""),46187.0)</f>
        <v>46187</v>
      </c>
      <c r="C8701" s="130">
        <f>IFERROR(__xludf.DUMMYFUNCTION("""COMPUTED_VALUE"""),0.6488194444444444)</f>
        <v>0.6488194444</v>
      </c>
      <c r="D8701" s="122" t="str">
        <f>IFERROR(__xludf.DUMMYFUNCTION("""COMPUTED_VALUE"""),"IBND")</f>
        <v>IBND</v>
      </c>
      <c r="E8701" s="122" t="str">
        <f>IFERROR(__xludf.DUMMYFUNCTION("""COMPUTED_VALUE"""),"Inflation Protected Bond")</f>
        <v>Inflation Protected Bond</v>
      </c>
      <c r="F8701" s="122" t="str">
        <f>IFERROR(__xludf.DUMMYFUNCTION("""COMPUTED_VALUE"""),"Bond")</f>
        <v>Bond</v>
      </c>
    </row>
    <row r="8702">
      <c r="A8702" s="131">
        <f>IFERROR(__xludf.DUMMYFUNCTION("""COMPUTED_VALUE"""),46187.65131944444)</f>
        <v>46187.65132</v>
      </c>
      <c r="B8702" s="126">
        <f>IFERROR(__xludf.DUMMYFUNCTION("""COMPUTED_VALUE"""),46187.0)</f>
        <v>46187</v>
      </c>
      <c r="C8702" s="122" t="str">
        <f>IFERROR(__xludf.DUMMYFUNCTION("""COMPUTED_VALUE"""),"SNAX")</f>
        <v>SNAX</v>
      </c>
      <c r="D8702" s="122" t="str">
        <f>IFERROR(__xludf.DUMMYFUNCTION("""COMPUTED_VALUE"""),"MICA Snacks")</f>
        <v>MICA Snacks</v>
      </c>
      <c r="E8702" s="122">
        <f>IFERROR(__xludf.DUMMYFUNCTION("""COMPUTED_VALUE"""),120.66)</f>
        <v>120.66</v>
      </c>
      <c r="F8702" s="122">
        <f>IFERROR(__xludf.DUMMYFUNCTION("""COMPUTED_VALUE"""),-0.0036)</f>
        <v>-0.0036</v>
      </c>
    </row>
    <row r="8703">
      <c r="A8703" s="131">
        <f>IFERROR(__xludf.DUMMYFUNCTION("""COMPUTED_VALUE"""),46187.65131944444)</f>
        <v>46187.65132</v>
      </c>
      <c r="B8703" s="126">
        <f>IFERROR(__xludf.DUMMYFUNCTION("""COMPUTED_VALUE"""),46187.0)</f>
        <v>46187</v>
      </c>
      <c r="C8703" s="122" t="str">
        <f>IFERROR(__xludf.DUMMYFUNCTION("""COMPUTED_VALUE"""),"RAMN")</f>
        <v>RAMN</v>
      </c>
      <c r="D8703" s="122" t="str">
        <f>IFERROR(__xludf.DUMMYFUNCTION("""COMPUTED_VALUE"""),"Ramen Republic")</f>
        <v>Ramen Republic</v>
      </c>
      <c r="E8703" s="122">
        <f>IFERROR(__xludf.DUMMYFUNCTION("""COMPUTED_VALUE"""),62.29)</f>
        <v>62.29</v>
      </c>
      <c r="F8703" s="122">
        <f>IFERROR(__xludf.DUMMYFUNCTION("""COMPUTED_VALUE"""),5.0E-4)</f>
        <v>0.0005</v>
      </c>
    </row>
    <row r="8704">
      <c r="A8704" s="131">
        <f>IFERROR(__xludf.DUMMYFUNCTION("""COMPUTED_VALUE"""),46187.65131944444)</f>
        <v>46187.65132</v>
      </c>
      <c r="B8704" s="126">
        <f>IFERROR(__xludf.DUMMYFUNCTION("""COMPUTED_VALUE"""),46187.0)</f>
        <v>46187</v>
      </c>
      <c r="C8704" s="122" t="str">
        <f>IFERROR(__xludf.DUMMYFUNCTION("""COMPUTED_VALUE"""),"COLA")</f>
        <v>COLA</v>
      </c>
      <c r="D8704" s="122" t="str">
        <f>IFERROR(__xludf.DUMMYFUNCTION("""COMPUTED_VALUE"""),"K-Pop Cola")</f>
        <v>K-Pop Cola</v>
      </c>
      <c r="E8704" s="122">
        <f>IFERROR(__xludf.DUMMYFUNCTION("""COMPUTED_VALUE"""),115.42)</f>
        <v>115.42</v>
      </c>
      <c r="F8704" s="122">
        <f>IFERROR(__xludf.DUMMYFUNCTION("""COMPUTED_VALUE"""),0.0014)</f>
        <v>0.0014</v>
      </c>
    </row>
    <row r="8705">
      <c r="A8705" s="131">
        <f>IFERROR(__xludf.DUMMYFUNCTION("""COMPUTED_VALUE"""),46187.65131944444)</f>
        <v>46187.65132</v>
      </c>
      <c r="B8705" s="126">
        <f>IFERROR(__xludf.DUMMYFUNCTION("""COMPUTED_VALUE"""),46187.0)</f>
        <v>46187</v>
      </c>
      <c r="C8705" s="122" t="str">
        <f>IFERROR(__xludf.DUMMYFUNCTION("""COMPUTED_VALUE"""),"CHIP")</f>
        <v>CHIP</v>
      </c>
      <c r="D8705" s="122" t="str">
        <f>IFERROR(__xludf.DUMMYFUNCTION("""COMPUTED_VALUE"""),"Chip Empire")</f>
        <v>Chip Empire</v>
      </c>
      <c r="E8705" s="122">
        <f>IFERROR(__xludf.DUMMYFUNCTION("""COMPUTED_VALUE"""),82.34)</f>
        <v>82.34</v>
      </c>
      <c r="F8705" s="122">
        <f>IFERROR(__xludf.DUMMYFUNCTION("""COMPUTED_VALUE"""),0.0073)</f>
        <v>0.0073</v>
      </c>
    </row>
    <row r="8706">
      <c r="A8706" s="131">
        <f>IFERROR(__xludf.DUMMYFUNCTION("""COMPUTED_VALUE"""),46187.65131944444)</f>
        <v>46187.65132</v>
      </c>
      <c r="B8706" s="126">
        <f>IFERROR(__xludf.DUMMYFUNCTION("""COMPUTED_VALUE"""),46187.0)</f>
        <v>46187</v>
      </c>
      <c r="C8706" s="122" t="str">
        <f>IFERROR(__xludf.DUMMYFUNCTION("""COMPUTED_VALUE"""),"CAND")</f>
        <v>CAND</v>
      </c>
      <c r="D8706" s="122" t="str">
        <f>IFERROR(__xludf.DUMMYFUNCTION("""COMPUTED_VALUE"""),"Candy Capital")</f>
        <v>Candy Capital</v>
      </c>
      <c r="E8706" s="122">
        <f>IFERROR(__xludf.DUMMYFUNCTION("""COMPUTED_VALUE"""),77.82)</f>
        <v>77.82</v>
      </c>
      <c r="F8706" s="122">
        <f>IFERROR(__xludf.DUMMYFUNCTION("""COMPUTED_VALUE"""),0.0018)</f>
        <v>0.0018</v>
      </c>
    </row>
    <row r="8707">
      <c r="A8707" s="131">
        <f>IFERROR(__xludf.DUMMYFUNCTION("""COMPUTED_VALUE"""),46187.65131944444)</f>
        <v>46187.65132</v>
      </c>
      <c r="B8707" s="126">
        <f>IFERROR(__xludf.DUMMYFUNCTION("""COMPUTED_VALUE"""),46187.0)</f>
        <v>46187</v>
      </c>
      <c r="C8707" s="122" t="str">
        <f>IFERROR(__xludf.DUMMYFUNCTION("""COMPUTED_VALUE"""),"TECH")</f>
        <v>TECH</v>
      </c>
      <c r="D8707" s="122" t="str">
        <f>IFERROR(__xludf.DUMMYFUNCTION("""COMPUTED_VALUE"""),"Dragon Tech")</f>
        <v>Dragon Tech</v>
      </c>
      <c r="E8707" s="122">
        <f>IFERROR(__xludf.DUMMYFUNCTION("""COMPUTED_VALUE"""),255.92)</f>
        <v>255.92</v>
      </c>
      <c r="F8707" s="122">
        <f>IFERROR(__xludf.DUMMYFUNCTION("""COMPUTED_VALUE"""),0.002)</f>
        <v>0.002</v>
      </c>
    </row>
    <row r="8708">
      <c r="A8708" s="131">
        <f>IFERROR(__xludf.DUMMYFUNCTION("""COMPUTED_VALUE"""),46187.65131944444)</f>
        <v>46187.65132</v>
      </c>
      <c r="B8708" s="126">
        <f>IFERROR(__xludf.DUMMYFUNCTION("""COMPUTED_VALUE"""),46187.0)</f>
        <v>46187</v>
      </c>
      <c r="C8708" s="122" t="str">
        <f>IFERROR(__xludf.DUMMYFUNCTION("""COMPUTED_VALUE"""),"AIBO")</f>
        <v>AIBO</v>
      </c>
      <c r="D8708" s="122" t="str">
        <f>IFERROR(__xludf.DUMMYFUNCTION("""COMPUTED_VALUE"""),"Homework AI")</f>
        <v>Homework AI</v>
      </c>
      <c r="E8708" s="122">
        <f>IFERROR(__xludf.DUMMYFUNCTION("""COMPUTED_VALUE"""),193.03)</f>
        <v>193.03</v>
      </c>
      <c r="F8708" s="122">
        <f>IFERROR(__xludf.DUMMYFUNCTION("""COMPUTED_VALUE"""),-0.0041)</f>
        <v>-0.0041</v>
      </c>
    </row>
    <row r="8709">
      <c r="A8709" s="131">
        <f>IFERROR(__xludf.DUMMYFUNCTION("""COMPUTED_VALUE"""),46187.65131944444)</f>
        <v>46187.65132</v>
      </c>
      <c r="B8709" s="126">
        <f>IFERROR(__xludf.DUMMYFUNCTION("""COMPUTED_VALUE"""),46187.0)</f>
        <v>46187</v>
      </c>
      <c r="C8709" s="122" t="str">
        <f>IFERROR(__xludf.DUMMYFUNCTION("""COMPUTED_VALUE"""),"GAME")</f>
        <v>GAME</v>
      </c>
      <c r="D8709" s="122" t="str">
        <f>IFERROR(__xludf.DUMMYFUNCTION("""COMPUTED_VALUE"""),"GameBox Media")</f>
        <v>GameBox Media</v>
      </c>
      <c r="E8709" s="122">
        <f>IFERROR(__xludf.DUMMYFUNCTION("""COMPUTED_VALUE"""),103.2)</f>
        <v>103.2</v>
      </c>
      <c r="F8709" s="122">
        <f>IFERROR(__xludf.DUMMYFUNCTION("""COMPUTED_VALUE"""),-0.0015)</f>
        <v>-0.0015</v>
      </c>
    </row>
    <row r="8710">
      <c r="A8710" s="131">
        <f>IFERROR(__xludf.DUMMYFUNCTION("""COMPUTED_VALUE"""),46187.65131944444)</f>
        <v>46187.65132</v>
      </c>
      <c r="B8710" s="126">
        <f>IFERROR(__xludf.DUMMYFUNCTION("""COMPUTED_VALUE"""),46187.0)</f>
        <v>46187</v>
      </c>
      <c r="C8710" s="122" t="str">
        <f>IFERROR(__xludf.DUMMYFUNCTION("""COMPUTED_VALUE"""),"VRSE")</f>
        <v>VRSE</v>
      </c>
      <c r="D8710" s="122" t="str">
        <f>IFERROR(__xludf.DUMMYFUNCTION("""COMPUTED_VALUE"""),"VerseVR")</f>
        <v>VerseVR</v>
      </c>
      <c r="E8710" s="122">
        <f>IFERROR(__xludf.DUMMYFUNCTION("""COMPUTED_VALUE"""),146.9)</f>
        <v>146.9</v>
      </c>
      <c r="F8710" s="122">
        <f>IFERROR(__xludf.DUMMYFUNCTION("""COMPUTED_VALUE"""),0.0032)</f>
        <v>0.0032</v>
      </c>
    </row>
    <row r="8711">
      <c r="A8711" s="131">
        <f>IFERROR(__xludf.DUMMYFUNCTION("""COMPUTED_VALUE"""),46187.65131944444)</f>
        <v>46187.65132</v>
      </c>
      <c r="B8711" s="126">
        <f>IFERROR(__xludf.DUMMYFUNCTION("""COMPUTED_VALUE"""),46187.0)</f>
        <v>46187</v>
      </c>
      <c r="C8711" s="122" t="str">
        <f>IFERROR(__xludf.DUMMYFUNCTION("""COMPUTED_VALUE"""),"BYTE")</f>
        <v>BYTE</v>
      </c>
      <c r="D8711" s="122" t="str">
        <f>IFERROR(__xludf.DUMMYFUNCTION("""COMPUTED_VALUE"""),"ByteWorks")</f>
        <v>ByteWorks</v>
      </c>
      <c r="E8711" s="122">
        <f>IFERROR(__xludf.DUMMYFUNCTION("""COMPUTED_VALUE"""),111.18)</f>
        <v>111.18</v>
      </c>
      <c r="F8711" s="122">
        <f>IFERROR(__xludf.DUMMYFUNCTION("""COMPUTED_VALUE"""),-0.0062)</f>
        <v>-0.0062</v>
      </c>
    </row>
    <row r="8712">
      <c r="A8712" s="131">
        <f>IFERROR(__xludf.DUMMYFUNCTION("""COMPUTED_VALUE"""),46187.65131944444)</f>
        <v>46187.65132</v>
      </c>
      <c r="B8712" s="126">
        <f>IFERROR(__xludf.DUMMYFUNCTION("""COMPUTED_VALUE"""),46187.0)</f>
        <v>46187</v>
      </c>
      <c r="C8712" s="122" t="str">
        <f>IFERROR(__xludf.DUMMYFUNCTION("""COMPUTED_VALUE"""),"BANK")</f>
        <v>BANK</v>
      </c>
      <c r="D8712" s="122" t="str">
        <f>IFERROR(__xludf.DUMMYFUNCTION("""COMPUTED_VALUE"""),"Tiger Bank")</f>
        <v>Tiger Bank</v>
      </c>
      <c r="E8712" s="122">
        <f>IFERROR(__xludf.DUMMYFUNCTION("""COMPUTED_VALUE"""),132.5)</f>
        <v>132.5</v>
      </c>
      <c r="F8712" s="122">
        <f>IFERROR(__xludf.DUMMYFUNCTION("""COMPUTED_VALUE"""),6.0E-4)</f>
        <v>0.0006</v>
      </c>
    </row>
    <row r="8713">
      <c r="A8713" s="131">
        <f>IFERROR(__xludf.DUMMYFUNCTION("""COMPUTED_VALUE"""),46187.65131944444)</f>
        <v>46187.65132</v>
      </c>
      <c r="B8713" s="126">
        <f>IFERROR(__xludf.DUMMYFUNCTION("""COMPUTED_VALUE"""),46187.0)</f>
        <v>46187</v>
      </c>
      <c r="C8713" s="122" t="str">
        <f>IFERROR(__xludf.DUMMYFUNCTION("""COMPUTED_VALUE"""),"CRED")</f>
        <v>CRED</v>
      </c>
      <c r="D8713" s="122" t="str">
        <f>IFERROR(__xludf.DUMMYFUNCTION("""COMPUTED_VALUE"""),"Credit Castle")</f>
        <v>Credit Castle</v>
      </c>
      <c r="E8713" s="122">
        <f>IFERROR(__xludf.DUMMYFUNCTION("""COMPUTED_VALUE"""),66.57)</f>
        <v>66.57</v>
      </c>
      <c r="F8713" s="122">
        <f>IFERROR(__xludf.DUMMYFUNCTION("""COMPUTED_VALUE"""),0.0014)</f>
        <v>0.0014</v>
      </c>
    </row>
    <row r="8714">
      <c r="A8714" s="131">
        <f>IFERROR(__xludf.DUMMYFUNCTION("""COMPUTED_VALUE"""),46187.65131944444)</f>
        <v>46187.65132</v>
      </c>
      <c r="B8714" s="126">
        <f>IFERROR(__xludf.DUMMYFUNCTION("""COMPUTED_VALUE"""),46187.0)</f>
        <v>46187</v>
      </c>
      <c r="C8714" s="122" t="str">
        <f>IFERROR(__xludf.DUMMYFUNCTION("""COMPUTED_VALUE"""),"BOND")</f>
        <v>BOND</v>
      </c>
      <c r="D8714" s="122" t="str">
        <f>IFERROR(__xludf.DUMMYFUNCTION("""COMPUTED_VALUE"""),"BondBridge")</f>
        <v>BondBridge</v>
      </c>
      <c r="E8714" s="122">
        <f>IFERROR(__xludf.DUMMYFUNCTION("""COMPUTED_VALUE"""),106.18)</f>
        <v>106.18</v>
      </c>
      <c r="F8714" s="122">
        <f>IFERROR(__xludf.DUMMYFUNCTION("""COMPUTED_VALUE"""),0.0012)</f>
        <v>0.0012</v>
      </c>
    </row>
    <row r="8715">
      <c r="A8715" s="131">
        <f>IFERROR(__xludf.DUMMYFUNCTION("""COMPUTED_VALUE"""),46187.65131944444)</f>
        <v>46187.65132</v>
      </c>
      <c r="B8715" s="126">
        <f>IFERROR(__xludf.DUMMYFUNCTION("""COMPUTED_VALUE"""),46187.0)</f>
        <v>46187</v>
      </c>
      <c r="C8715" s="122" t="str">
        <f>IFERROR(__xludf.DUMMYFUNCTION("""COMPUTED_VALUE"""),"INSR")</f>
        <v>INSR</v>
      </c>
      <c r="D8715" s="122" t="str">
        <f>IFERROR(__xludf.DUMMYFUNCTION("""COMPUTED_VALUE"""),"Shield Insurance")</f>
        <v>Shield Insurance</v>
      </c>
      <c r="E8715" s="122">
        <f>IFERROR(__xludf.DUMMYFUNCTION("""COMPUTED_VALUE"""),156.54)</f>
        <v>156.54</v>
      </c>
      <c r="F8715" s="122">
        <f>IFERROR(__xludf.DUMMYFUNCTION("""COMPUTED_VALUE"""),-0.0019)</f>
        <v>-0.0019</v>
      </c>
    </row>
    <row r="8716">
      <c r="A8716" s="131">
        <f>IFERROR(__xludf.DUMMYFUNCTION("""COMPUTED_VALUE"""),46187.65131944444)</f>
        <v>46187.65132</v>
      </c>
      <c r="B8716" s="126">
        <f>IFERROR(__xludf.DUMMYFUNCTION("""COMPUTED_VALUE"""),46187.0)</f>
        <v>46187</v>
      </c>
      <c r="C8716" s="122" t="str">
        <f>IFERROR(__xludf.DUMMYFUNCTION("""COMPUTED_VALUE"""),"LOAN")</f>
        <v>LOAN</v>
      </c>
      <c r="D8716" s="122" t="str">
        <f>IFERROR(__xludf.DUMMYFUNCTION("""COMPUTED_VALUE"""),"LoanLab")</f>
        <v>LoanLab</v>
      </c>
      <c r="E8716" s="122">
        <f>IFERROR(__xludf.DUMMYFUNCTION("""COMPUTED_VALUE"""),72.54)</f>
        <v>72.54</v>
      </c>
      <c r="F8716" s="122">
        <f>IFERROR(__xludf.DUMMYFUNCTION("""COMPUTED_VALUE"""),-4.0E-4)</f>
        <v>-0.0004</v>
      </c>
    </row>
    <row r="8717">
      <c r="A8717" s="131">
        <f>IFERROR(__xludf.DUMMYFUNCTION("""COMPUTED_VALUE"""),46187.65131944444)</f>
        <v>46187.65132</v>
      </c>
      <c r="B8717" s="126">
        <f>IFERROR(__xludf.DUMMYFUNCTION("""COMPUTED_VALUE"""),46187.0)</f>
        <v>46187</v>
      </c>
      <c r="C8717" s="122" t="str">
        <f>IFERROR(__xludf.DUMMYFUNCTION("""COMPUTED_VALUE"""),"LUXE")</f>
        <v>LUXE</v>
      </c>
      <c r="D8717" s="122" t="str">
        <f>IFERROR(__xludf.DUMMYFUNCTION("""COMPUTED_VALUE"""),"Luxury Locker")</f>
        <v>Luxury Locker</v>
      </c>
      <c r="E8717" s="122">
        <f>IFERROR(__xludf.DUMMYFUNCTION("""COMPUTED_VALUE"""),268.54)</f>
        <v>268.54</v>
      </c>
      <c r="F8717" s="122">
        <f>IFERROR(__xludf.DUMMYFUNCTION("""COMPUTED_VALUE"""),0.0065)</f>
        <v>0.0065</v>
      </c>
    </row>
    <row r="8718">
      <c r="A8718" s="131">
        <f>IFERROR(__xludf.DUMMYFUNCTION("""COMPUTED_VALUE"""),46187.65131944444)</f>
        <v>46187.65132</v>
      </c>
      <c r="B8718" s="126">
        <f>IFERROR(__xludf.DUMMYFUNCTION("""COMPUTED_VALUE"""),46187.0)</f>
        <v>46187</v>
      </c>
      <c r="C8718" s="122" t="str">
        <f>IFERROR(__xludf.DUMMYFUNCTION("""COMPUTED_VALUE"""),"DRIP")</f>
        <v>DRIP</v>
      </c>
      <c r="D8718" s="122" t="str">
        <f>IFERROR(__xludf.DUMMYFUNCTION("""COMPUTED_VALUE"""),"Drip Streetwear")</f>
        <v>Drip Streetwear</v>
      </c>
      <c r="E8718" s="122">
        <f>IFERROR(__xludf.DUMMYFUNCTION("""COMPUTED_VALUE"""),190.37)</f>
        <v>190.37</v>
      </c>
      <c r="F8718" s="122">
        <f>IFERROR(__xludf.DUMMYFUNCTION("""COMPUTED_VALUE"""),0.0041)</f>
        <v>0.0041</v>
      </c>
    </row>
    <row r="8719">
      <c r="A8719" s="131">
        <f>IFERROR(__xludf.DUMMYFUNCTION("""COMPUTED_VALUE"""),46187.65131944444)</f>
        <v>46187.65132</v>
      </c>
      <c r="B8719" s="126">
        <f>IFERROR(__xludf.DUMMYFUNCTION("""COMPUTED_VALUE"""),46187.0)</f>
        <v>46187</v>
      </c>
      <c r="C8719" s="122" t="str">
        <f>IFERROR(__xludf.DUMMYFUNCTION("""COMPUTED_VALUE"""),"KICK")</f>
        <v>KICK</v>
      </c>
      <c r="D8719" s="122" t="str">
        <f>IFERROR(__xludf.DUMMYFUNCTION("""COMPUTED_VALUE"""),"KickDrop Sneakers")</f>
        <v>KickDrop Sneakers</v>
      </c>
      <c r="E8719" s="122">
        <f>IFERROR(__xludf.DUMMYFUNCTION("""COMPUTED_VALUE"""),171.18)</f>
        <v>171.18</v>
      </c>
      <c r="F8719" s="122">
        <f>IFERROR(__xludf.DUMMYFUNCTION("""COMPUTED_VALUE"""),0.0062)</f>
        <v>0.0062</v>
      </c>
    </row>
    <row r="8720">
      <c r="A8720" s="131">
        <f>IFERROR(__xludf.DUMMYFUNCTION("""COMPUTED_VALUE"""),46187.65131944444)</f>
        <v>46187.65132</v>
      </c>
      <c r="B8720" s="126">
        <f>IFERROR(__xludf.DUMMYFUNCTION("""COMPUTED_VALUE"""),46187.0)</f>
        <v>46187</v>
      </c>
      <c r="C8720" s="122" t="str">
        <f>IFERROR(__xludf.DUMMYFUNCTION("""COMPUTED_VALUE"""),"GLAM")</f>
        <v>GLAM</v>
      </c>
      <c r="D8720" s="122" t="str">
        <f>IFERROR(__xludf.DUMMYFUNCTION("""COMPUTED_VALUE"""),"Glow Cosmetics")</f>
        <v>Glow Cosmetics</v>
      </c>
      <c r="E8720" s="122">
        <f>IFERROR(__xludf.DUMMYFUNCTION("""COMPUTED_VALUE"""),109.99)</f>
        <v>109.99</v>
      </c>
      <c r="F8720" s="122">
        <f>IFERROR(__xludf.DUMMYFUNCTION("""COMPUTED_VALUE"""),0.0021)</f>
        <v>0.0021</v>
      </c>
    </row>
    <row r="8721">
      <c r="A8721" s="131">
        <f>IFERROR(__xludf.DUMMYFUNCTION("""COMPUTED_VALUE"""),46187.65131944444)</f>
        <v>46187.65132</v>
      </c>
      <c r="B8721" s="126">
        <f>IFERROR(__xludf.DUMMYFUNCTION("""COMPUTED_VALUE"""),46187.0)</f>
        <v>46187</v>
      </c>
      <c r="C8721" s="122" t="str">
        <f>IFERROR(__xludf.DUMMYFUNCTION("""COMPUTED_VALUE"""),"BAGG")</f>
        <v>BAGG</v>
      </c>
      <c r="D8721" s="122" t="str">
        <f>IFERROR(__xludf.DUMMYFUNCTION("""COMPUTED_VALUE"""),"BagVault")</f>
        <v>BagVault</v>
      </c>
      <c r="E8721" s="122">
        <f>IFERROR(__xludf.DUMMYFUNCTION("""COMPUTED_VALUE"""),281.86)</f>
        <v>281.86</v>
      </c>
      <c r="F8721" s="122">
        <f>IFERROR(__xludf.DUMMYFUNCTION("""COMPUTED_VALUE"""),0.0099)</f>
        <v>0.0099</v>
      </c>
    </row>
    <row r="8722">
      <c r="A8722" s="131">
        <f>IFERROR(__xludf.DUMMYFUNCTION("""COMPUTED_VALUE"""),46187.65131944444)</f>
        <v>46187.65132</v>
      </c>
      <c r="B8722" s="126">
        <f>IFERROR(__xludf.DUMMYFUNCTION("""COMPUTED_VALUE"""),46187.0)</f>
        <v>46187</v>
      </c>
      <c r="C8722" s="122" t="str">
        <f>IFERROR(__xludf.DUMMYFUNCTION("""COMPUTED_VALUE"""),"FAST")</f>
        <v>FAST</v>
      </c>
      <c r="D8722" s="122" t="str">
        <f>IFERROR(__xludf.DUMMYFUNCTION("""COMPUTED_VALUE"""),"Flash Logistics")</f>
        <v>Flash Logistics</v>
      </c>
      <c r="E8722" s="122">
        <f>IFERROR(__xludf.DUMMYFUNCTION("""COMPUTED_VALUE"""),106.63)</f>
        <v>106.63</v>
      </c>
      <c r="F8722" s="122">
        <f>IFERROR(__xludf.DUMMYFUNCTION("""COMPUTED_VALUE"""),-0.0015)</f>
        <v>-0.0015</v>
      </c>
    </row>
    <row r="8723">
      <c r="A8723" s="131">
        <f>IFERROR(__xludf.DUMMYFUNCTION("""COMPUTED_VALUE"""),46187.65131944444)</f>
        <v>46187.65132</v>
      </c>
      <c r="B8723" s="126">
        <f>IFERROR(__xludf.DUMMYFUNCTION("""COMPUTED_VALUE"""),46187.0)</f>
        <v>46187</v>
      </c>
      <c r="C8723" s="122" t="str">
        <f>IFERROR(__xludf.DUMMYFUNCTION("""COMPUTED_VALUE"""),"SHIP")</f>
        <v>SHIP</v>
      </c>
      <c r="D8723" s="122" t="str">
        <f>IFERROR(__xludf.DUMMYFUNCTION("""COMPUTED_VALUE"""),"Seoul Shipping")</f>
        <v>Seoul Shipping</v>
      </c>
      <c r="E8723" s="122">
        <f>IFERROR(__xludf.DUMMYFUNCTION("""COMPUTED_VALUE"""),128.91)</f>
        <v>128.91</v>
      </c>
      <c r="F8723" s="122">
        <f>IFERROR(__xludf.DUMMYFUNCTION("""COMPUTED_VALUE"""),-0.0027)</f>
        <v>-0.0027</v>
      </c>
    </row>
    <row r="8724">
      <c r="A8724" s="131">
        <f>IFERROR(__xludf.DUMMYFUNCTION("""COMPUTED_VALUE"""),46187.65131944444)</f>
        <v>46187.65132</v>
      </c>
      <c r="B8724" s="126">
        <f>IFERROR(__xludf.DUMMYFUNCTION("""COMPUTED_VALUE"""),46187.0)</f>
        <v>46187</v>
      </c>
      <c r="C8724" s="122" t="str">
        <f>IFERROR(__xludf.DUMMYFUNCTION("""COMPUTED_VALUE"""),"DRON")</f>
        <v>DRON</v>
      </c>
      <c r="D8724" s="122" t="str">
        <f>IFERROR(__xludf.DUMMYFUNCTION("""COMPUTED_VALUE"""),"DroneDrop")</f>
        <v>DroneDrop</v>
      </c>
      <c r="E8724" s="122">
        <f>IFERROR(__xludf.DUMMYFUNCTION("""COMPUTED_VALUE"""),121.73)</f>
        <v>121.73</v>
      </c>
      <c r="F8724" s="122">
        <f>IFERROR(__xludf.DUMMYFUNCTION("""COMPUTED_VALUE"""),-0.0088)</f>
        <v>-0.0088</v>
      </c>
    </row>
    <row r="8725">
      <c r="A8725" s="131">
        <f>IFERROR(__xludf.DUMMYFUNCTION("""COMPUTED_VALUE"""),46187.65131944444)</f>
        <v>46187.65132</v>
      </c>
      <c r="B8725" s="126">
        <f>IFERROR(__xludf.DUMMYFUNCTION("""COMPUTED_VALUE"""),46187.0)</f>
        <v>46187</v>
      </c>
      <c r="C8725" s="122" t="str">
        <f>IFERROR(__xludf.DUMMYFUNCTION("""COMPUTED_VALUE"""),"RIDE")</f>
        <v>RIDE</v>
      </c>
      <c r="D8725" s="122" t="str">
        <f>IFERROR(__xludf.DUMMYFUNCTION("""COMPUTED_VALUE"""),"QuickRide")</f>
        <v>QuickRide</v>
      </c>
      <c r="E8725" s="122">
        <f>IFERROR(__xludf.DUMMYFUNCTION("""COMPUTED_VALUE"""),100.75)</f>
        <v>100.75</v>
      </c>
      <c r="F8725" s="122">
        <f>IFERROR(__xludf.DUMMYFUNCTION("""COMPUTED_VALUE"""),0.0024)</f>
        <v>0.0024</v>
      </c>
    </row>
    <row r="8726">
      <c r="A8726" s="131">
        <f>IFERROR(__xludf.DUMMYFUNCTION("""COMPUTED_VALUE"""),46187.65131944444)</f>
        <v>46187.65132</v>
      </c>
      <c r="B8726" s="126">
        <f>IFERROR(__xludf.DUMMYFUNCTION("""COMPUTED_VALUE"""),46187.0)</f>
        <v>46187</v>
      </c>
      <c r="C8726" s="122" t="str">
        <f>IFERROR(__xludf.DUMMYFUNCTION("""COMPUTED_VALUE"""),"RAIL")</f>
        <v>RAIL</v>
      </c>
      <c r="D8726" s="122" t="str">
        <f>IFERROR(__xludf.DUMMYFUNCTION("""COMPUTED_VALUE"""),"MetroRail Corp")</f>
        <v>MetroRail Corp</v>
      </c>
      <c r="E8726" s="122">
        <f>IFERROR(__xludf.DUMMYFUNCTION("""COMPUTED_VALUE"""),130.93)</f>
        <v>130.93</v>
      </c>
      <c r="F8726" s="122">
        <f>IFERROR(__xludf.DUMMYFUNCTION("""COMPUTED_VALUE"""),-0.0021)</f>
        <v>-0.0021</v>
      </c>
    </row>
    <row r="8727">
      <c r="A8727" s="131">
        <f>IFERROR(__xludf.DUMMYFUNCTION("""COMPUTED_VALUE"""),46187.65131944444)</f>
        <v>46187.65132</v>
      </c>
      <c r="B8727" s="126">
        <f>IFERROR(__xludf.DUMMYFUNCTION("""COMPUTED_VALUE"""),46187.0)</f>
        <v>46187</v>
      </c>
      <c r="C8727" s="122" t="str">
        <f>IFERROR(__xludf.DUMMYFUNCTION("""COMPUTED_VALUE"""),"MEDX")</f>
        <v>MEDX</v>
      </c>
      <c r="D8727" s="122" t="str">
        <f>IFERROR(__xludf.DUMMYFUNCTION("""COMPUTED_VALUE"""),"MediCore")</f>
        <v>MediCore</v>
      </c>
      <c r="E8727" s="122">
        <f>IFERROR(__xludf.DUMMYFUNCTION("""COMPUTED_VALUE"""),139.46)</f>
        <v>139.46</v>
      </c>
      <c r="F8727" s="122">
        <f>IFERROR(__xludf.DUMMYFUNCTION("""COMPUTED_VALUE"""),0.0032)</f>
        <v>0.0032</v>
      </c>
    </row>
    <row r="8728">
      <c r="A8728" s="131">
        <f>IFERROR(__xludf.DUMMYFUNCTION("""COMPUTED_VALUE"""),46187.65131944444)</f>
        <v>46187.65132</v>
      </c>
      <c r="B8728" s="126">
        <f>IFERROR(__xludf.DUMMYFUNCTION("""COMPUTED_VALUE"""),46187.0)</f>
        <v>46187</v>
      </c>
      <c r="C8728" s="122" t="str">
        <f>IFERROR(__xludf.DUMMYFUNCTION("""COMPUTED_VALUE"""),"GYMX")</f>
        <v>GYMX</v>
      </c>
      <c r="D8728" s="122" t="str">
        <f>IFERROR(__xludf.DUMMYFUNCTION("""COMPUTED_VALUE"""),"GymX Fitness")</f>
        <v>GymX Fitness</v>
      </c>
      <c r="E8728" s="122">
        <f>IFERROR(__xludf.DUMMYFUNCTION("""COMPUTED_VALUE"""),81.62)</f>
        <v>81.62</v>
      </c>
      <c r="F8728" s="122">
        <f>IFERROR(__xludf.DUMMYFUNCTION("""COMPUTED_VALUE"""),-0.0024)</f>
        <v>-0.0024</v>
      </c>
    </row>
    <row r="8729">
      <c r="A8729" s="131">
        <f>IFERROR(__xludf.DUMMYFUNCTION("""COMPUTED_VALUE"""),46187.65131944444)</f>
        <v>46187.65132</v>
      </c>
      <c r="B8729" s="126">
        <f>IFERROR(__xludf.DUMMYFUNCTION("""COMPUTED_VALUE"""),46187.0)</f>
        <v>46187</v>
      </c>
      <c r="C8729" s="122" t="str">
        <f>IFERROR(__xludf.DUMMYFUNCTION("""COMPUTED_VALUE"""),"VITA")</f>
        <v>VITA</v>
      </c>
      <c r="D8729" s="122" t="str">
        <f>IFERROR(__xludf.DUMMYFUNCTION("""COMPUTED_VALUE"""),"VitaPlus")</f>
        <v>VitaPlus</v>
      </c>
      <c r="E8729" s="122">
        <f>IFERROR(__xludf.DUMMYFUNCTION("""COMPUTED_VALUE"""),71.79)</f>
        <v>71.79</v>
      </c>
      <c r="F8729" s="122">
        <f>IFERROR(__xludf.DUMMYFUNCTION("""COMPUTED_VALUE"""),-0.0053)</f>
        <v>-0.0053</v>
      </c>
    </row>
    <row r="8730">
      <c r="A8730" s="131">
        <f>IFERROR(__xludf.DUMMYFUNCTION("""COMPUTED_VALUE"""),46187.65131944444)</f>
        <v>46187.65132</v>
      </c>
      <c r="B8730" s="126">
        <f>IFERROR(__xludf.DUMMYFUNCTION("""COMPUTED_VALUE"""),46187.0)</f>
        <v>46187</v>
      </c>
      <c r="C8730" s="122" t="str">
        <f>IFERROR(__xludf.DUMMYFUNCTION("""COMPUTED_VALUE"""),"CARE")</f>
        <v>CARE</v>
      </c>
      <c r="D8730" s="122" t="str">
        <f>IFERROR(__xludf.DUMMYFUNCTION("""COMPUTED_VALUE"""),"CareCloud")</f>
        <v>CareCloud</v>
      </c>
      <c r="E8730" s="122">
        <f>IFERROR(__xludf.DUMMYFUNCTION("""COMPUTED_VALUE"""),184.14)</f>
        <v>184.14</v>
      </c>
      <c r="F8730" s="122">
        <f>IFERROR(__xludf.DUMMYFUNCTION("""COMPUTED_VALUE"""),0.0018)</f>
        <v>0.0018</v>
      </c>
    </row>
    <row r="8731">
      <c r="A8731" s="131">
        <f>IFERROR(__xludf.DUMMYFUNCTION("""COMPUTED_VALUE"""),46187.65131944444)</f>
        <v>46187.65132</v>
      </c>
      <c r="B8731" s="126">
        <f>IFERROR(__xludf.DUMMYFUNCTION("""COMPUTED_VALUE"""),46187.0)</f>
        <v>46187</v>
      </c>
      <c r="C8731" s="122" t="str">
        <f>IFERROR(__xludf.DUMMYFUNCTION("""COMPUTED_VALUE"""),"DENT")</f>
        <v>DENT</v>
      </c>
      <c r="D8731" s="122" t="str">
        <f>IFERROR(__xludf.DUMMYFUNCTION("""COMPUTED_VALUE"""),"SmileWorks")</f>
        <v>SmileWorks</v>
      </c>
      <c r="E8731" s="122">
        <f>IFERROR(__xludf.DUMMYFUNCTION("""COMPUTED_VALUE"""),98.31)</f>
        <v>98.31</v>
      </c>
      <c r="F8731" s="122">
        <f>IFERROR(__xludf.DUMMYFUNCTION("""COMPUTED_VALUE"""),0.002)</f>
        <v>0.002</v>
      </c>
    </row>
    <row r="8732">
      <c r="A8732" s="131">
        <f>IFERROR(__xludf.DUMMYFUNCTION("""COMPUTED_VALUE"""),46187.65131944444)</f>
        <v>46187.65132</v>
      </c>
      <c r="B8732" s="126">
        <f>IFERROR(__xludf.DUMMYFUNCTION("""COMPUTED_VALUE"""),46187.0)</f>
        <v>46187</v>
      </c>
      <c r="C8732" s="122" t="str">
        <f>IFERROR(__xludf.DUMMYFUNCTION("""COMPUTED_VALUE"""),"EDUX")</f>
        <v>EDUX</v>
      </c>
      <c r="D8732" s="122" t="str">
        <f>IFERROR(__xludf.DUMMYFUNCTION("""COMPUTED_VALUE"""),"EduMax Learning")</f>
        <v>EduMax Learning</v>
      </c>
      <c r="E8732" s="122">
        <f>IFERROR(__xludf.DUMMYFUNCTION("""COMPUTED_VALUE"""),153.56)</f>
        <v>153.56</v>
      </c>
      <c r="F8732" s="122">
        <f>IFERROR(__xludf.DUMMYFUNCTION("""COMPUTED_VALUE"""),0.0068)</f>
        <v>0.0068</v>
      </c>
    </row>
    <row r="8733">
      <c r="A8733" s="131">
        <f>IFERROR(__xludf.DUMMYFUNCTION("""COMPUTED_VALUE"""),46187.65131944444)</f>
        <v>46187.65132</v>
      </c>
      <c r="B8733" s="126">
        <f>IFERROR(__xludf.DUMMYFUNCTION("""COMPUTED_VALUE"""),46187.0)</f>
        <v>46187</v>
      </c>
      <c r="C8733" s="122" t="str">
        <f>IFERROR(__xludf.DUMMYFUNCTION("""COMPUTED_VALUE"""),"BOOK")</f>
        <v>BOOK</v>
      </c>
      <c r="D8733" s="122" t="str">
        <f>IFERROR(__xludf.DUMMYFUNCTION("""COMPUTED_VALUE"""),"BookBridge")</f>
        <v>BookBridge</v>
      </c>
      <c r="E8733" s="122">
        <f>IFERROR(__xludf.DUMMYFUNCTION("""COMPUTED_VALUE"""),120.24)</f>
        <v>120.24</v>
      </c>
      <c r="F8733" s="122">
        <f>IFERROR(__xludf.DUMMYFUNCTION("""COMPUTED_VALUE"""),-0.0034)</f>
        <v>-0.0034</v>
      </c>
    </row>
    <row r="8734">
      <c r="A8734" s="131">
        <f>IFERROR(__xludf.DUMMYFUNCTION("""COMPUTED_VALUE"""),46187.65131944444)</f>
        <v>46187.65132</v>
      </c>
      <c r="B8734" s="126">
        <f>IFERROR(__xludf.DUMMYFUNCTION("""COMPUTED_VALUE"""),46187.0)</f>
        <v>46187</v>
      </c>
      <c r="C8734" s="122" t="str">
        <f>IFERROR(__xludf.DUMMYFUNCTION("""COMPUTED_VALUE"""),"TUTR")</f>
        <v>TUTR</v>
      </c>
      <c r="D8734" s="122" t="str">
        <f>IFERROR(__xludf.DUMMYFUNCTION("""COMPUTED_VALUE"""),"TutorTown")</f>
        <v>TutorTown</v>
      </c>
      <c r="E8734" s="122">
        <f>IFERROR(__xludf.DUMMYFUNCTION("""COMPUTED_VALUE"""),91.69)</f>
        <v>91.69</v>
      </c>
      <c r="F8734" s="122">
        <f>IFERROR(__xludf.DUMMYFUNCTION("""COMPUTED_VALUE"""),-3.0E-4)</f>
        <v>-0.0003</v>
      </c>
    </row>
    <row r="8735">
      <c r="A8735" s="131">
        <f>IFERROR(__xludf.DUMMYFUNCTION("""COMPUTED_VALUE"""),46187.65131944444)</f>
        <v>46187.65132</v>
      </c>
      <c r="B8735" s="126">
        <f>IFERROR(__xludf.DUMMYFUNCTION("""COMPUTED_VALUE"""),46187.0)</f>
        <v>46187</v>
      </c>
      <c r="C8735" s="122" t="str">
        <f>IFERROR(__xludf.DUMMYFUNCTION("""COMPUTED_VALUE"""),"LANG")</f>
        <v>LANG</v>
      </c>
      <c r="D8735" s="122" t="str">
        <f>IFERROR(__xludf.DUMMYFUNCTION("""COMPUTED_VALUE"""),"LinguaLab")</f>
        <v>LinguaLab</v>
      </c>
      <c r="E8735" s="122">
        <f>IFERROR(__xludf.DUMMYFUNCTION("""COMPUTED_VALUE"""),102.92)</f>
        <v>102.92</v>
      </c>
      <c r="F8735" s="122">
        <f>IFERROR(__xludf.DUMMYFUNCTION("""COMPUTED_VALUE"""),0.0015)</f>
        <v>0.0015</v>
      </c>
    </row>
    <row r="8736">
      <c r="A8736" s="131">
        <f>IFERROR(__xludf.DUMMYFUNCTION("""COMPUTED_VALUE"""),46187.65131944444)</f>
        <v>46187.65132</v>
      </c>
      <c r="B8736" s="126">
        <f>IFERROR(__xludf.DUMMYFUNCTION("""COMPUTED_VALUE"""),46187.0)</f>
        <v>46187</v>
      </c>
      <c r="C8736" s="122" t="str">
        <f>IFERROR(__xludf.DUMMYFUNCTION("""COMPUTED_VALUE"""),"TEST")</f>
        <v>TEST</v>
      </c>
      <c r="D8736" s="122" t="str">
        <f>IFERROR(__xludf.DUMMYFUNCTION("""COMPUTED_VALUE"""),"TestPrep Pro")</f>
        <v>TestPrep Pro</v>
      </c>
      <c r="E8736" s="122">
        <f>IFERROR(__xludf.DUMMYFUNCTION("""COMPUTED_VALUE"""),89.56)</f>
        <v>89.56</v>
      </c>
      <c r="F8736" s="122">
        <f>IFERROR(__xludf.DUMMYFUNCTION("""COMPUTED_VALUE"""),8.0E-4)</f>
        <v>0.0008</v>
      </c>
    </row>
    <row r="8737">
      <c r="A8737" s="131">
        <f>IFERROR(__xludf.DUMMYFUNCTION("""COMPUTED_VALUE"""),46187.65131944444)</f>
        <v>46187.65132</v>
      </c>
      <c r="B8737" s="126">
        <f>IFERROR(__xludf.DUMMYFUNCTION("""COMPUTED_VALUE"""),46187.0)</f>
        <v>46187</v>
      </c>
      <c r="C8737" s="122" t="str">
        <f>IFERROR(__xludf.DUMMYFUNCTION("""COMPUTED_VALUE"""),"MOVI")</f>
        <v>MOVI</v>
      </c>
      <c r="D8737" s="122" t="str">
        <f>IFERROR(__xludf.DUMMYFUNCTION("""COMPUTED_VALUE"""),"MovieBox")</f>
        <v>MovieBox</v>
      </c>
      <c r="E8737" s="122">
        <f>IFERROR(__xludf.DUMMYFUNCTION("""COMPUTED_VALUE"""),82.33)</f>
        <v>82.33</v>
      </c>
      <c r="F8737" s="122">
        <f>IFERROR(__xludf.DUMMYFUNCTION("""COMPUTED_VALUE"""),-0.0066)</f>
        <v>-0.0066</v>
      </c>
    </row>
    <row r="8738">
      <c r="A8738" s="131">
        <f>IFERROR(__xludf.DUMMYFUNCTION("""COMPUTED_VALUE"""),46187.65131944444)</f>
        <v>46187.65132</v>
      </c>
      <c r="B8738" s="126">
        <f>IFERROR(__xludf.DUMMYFUNCTION("""COMPUTED_VALUE"""),46187.0)</f>
        <v>46187</v>
      </c>
      <c r="C8738" s="122" t="str">
        <f>IFERROR(__xludf.DUMMYFUNCTION("""COMPUTED_VALUE"""),"MUSC")</f>
        <v>MUSC</v>
      </c>
      <c r="D8738" s="122" t="str">
        <f>IFERROR(__xludf.DUMMYFUNCTION("""COMPUTED_VALUE"""),"MusicWave")</f>
        <v>MusicWave</v>
      </c>
      <c r="E8738" s="122">
        <f>IFERROR(__xludf.DUMMYFUNCTION("""COMPUTED_VALUE"""),105.15)</f>
        <v>105.15</v>
      </c>
      <c r="F8738" s="122">
        <f>IFERROR(__xludf.DUMMYFUNCTION("""COMPUTED_VALUE"""),0.0087)</f>
        <v>0.0087</v>
      </c>
    </row>
    <row r="8739">
      <c r="A8739" s="131">
        <f>IFERROR(__xludf.DUMMYFUNCTION("""COMPUTED_VALUE"""),46187.65131944444)</f>
        <v>46187.65132</v>
      </c>
      <c r="B8739" s="126">
        <f>IFERROR(__xludf.DUMMYFUNCTION("""COMPUTED_VALUE"""),46187.0)</f>
        <v>46187</v>
      </c>
      <c r="C8739" s="122" t="str">
        <f>IFERROR(__xludf.DUMMYFUNCTION("""COMPUTED_VALUE"""),"IDOL")</f>
        <v>IDOL</v>
      </c>
      <c r="D8739" s="122" t="str">
        <f>IFERROR(__xludf.DUMMYFUNCTION("""COMPUTED_VALUE"""),"Idol Agency")</f>
        <v>Idol Agency</v>
      </c>
      <c r="E8739" s="122">
        <f>IFERROR(__xludf.DUMMYFUNCTION("""COMPUTED_VALUE"""),186.7)</f>
        <v>186.7</v>
      </c>
      <c r="F8739" s="122">
        <f>IFERROR(__xludf.DUMMYFUNCTION("""COMPUTED_VALUE"""),-0.0014)</f>
        <v>-0.0014</v>
      </c>
    </row>
    <row r="8740">
      <c r="A8740" s="131">
        <f>IFERROR(__xludf.DUMMYFUNCTION("""COMPUTED_VALUE"""),46187.65131944444)</f>
        <v>46187.65132</v>
      </c>
      <c r="B8740" s="126">
        <f>IFERROR(__xludf.DUMMYFUNCTION("""COMPUTED_VALUE"""),46187.0)</f>
        <v>46187</v>
      </c>
      <c r="C8740" s="122" t="str">
        <f>IFERROR(__xludf.DUMMYFUNCTION("""COMPUTED_VALUE"""),"MEME")</f>
        <v>MEME</v>
      </c>
      <c r="D8740" s="122" t="str">
        <f>IFERROR(__xludf.DUMMYFUNCTION("""COMPUTED_VALUE"""),"Meme Media")</f>
        <v>Meme Media</v>
      </c>
      <c r="E8740" s="122">
        <f>IFERROR(__xludf.DUMMYFUNCTION("""COMPUTED_VALUE"""),70.3)</f>
        <v>70.3</v>
      </c>
      <c r="F8740" s="122">
        <f>IFERROR(__xludf.DUMMYFUNCTION("""COMPUTED_VALUE"""),-0.004)</f>
        <v>-0.004</v>
      </c>
    </row>
    <row r="8741">
      <c r="A8741" s="131">
        <f>IFERROR(__xludf.DUMMYFUNCTION("""COMPUTED_VALUE"""),46187.65131944444)</f>
        <v>46187.65132</v>
      </c>
      <c r="B8741" s="126">
        <f>IFERROR(__xludf.DUMMYFUNCTION("""COMPUTED_VALUE"""),46187.0)</f>
        <v>46187</v>
      </c>
      <c r="C8741" s="122" t="str">
        <f>IFERROR(__xludf.DUMMYFUNCTION("""COMPUTED_VALUE"""),"STRM")</f>
        <v>STRM</v>
      </c>
      <c r="D8741" s="122" t="str">
        <f>IFERROR(__xludf.DUMMYFUNCTION("""COMPUTED_VALUE"""),"Streamly")</f>
        <v>Streamly</v>
      </c>
      <c r="E8741" s="122">
        <f>IFERROR(__xludf.DUMMYFUNCTION("""COMPUTED_VALUE"""),133.27)</f>
        <v>133.27</v>
      </c>
      <c r="F8741" s="122">
        <f>IFERROR(__xludf.DUMMYFUNCTION("""COMPUTED_VALUE"""),-0.0041)</f>
        <v>-0.0041</v>
      </c>
    </row>
    <row r="8742">
      <c r="A8742" s="131">
        <f>IFERROR(__xludf.DUMMYFUNCTION("""COMPUTED_VALUE"""),46187.65131944444)</f>
        <v>46187.65132</v>
      </c>
      <c r="B8742" s="126">
        <f>IFERROR(__xludf.DUMMYFUNCTION("""COMPUTED_VALUE"""),46187.0)</f>
        <v>46187</v>
      </c>
      <c r="C8742" s="122" t="str">
        <f>IFERROR(__xludf.DUMMYFUNCTION("""COMPUTED_VALUE"""),"FARM")</f>
        <v>FARM</v>
      </c>
      <c r="D8742" s="122" t="str">
        <f>IFERROR(__xludf.DUMMYFUNCTION("""COMPUTED_VALUE"""),"Future Farms")</f>
        <v>Future Farms</v>
      </c>
      <c r="E8742" s="122">
        <f>IFERROR(__xludf.DUMMYFUNCTION("""COMPUTED_VALUE"""),99.57)</f>
        <v>99.57</v>
      </c>
      <c r="F8742" s="122">
        <f>IFERROR(__xludf.DUMMYFUNCTION("""COMPUTED_VALUE"""),-1.0E-4)</f>
        <v>-0.0001</v>
      </c>
    </row>
    <row r="8743">
      <c r="A8743" s="131">
        <f>IFERROR(__xludf.DUMMYFUNCTION("""COMPUTED_VALUE"""),46187.65131944444)</f>
        <v>46187.65132</v>
      </c>
      <c r="B8743" s="126">
        <f>IFERROR(__xludf.DUMMYFUNCTION("""COMPUTED_VALUE"""),46187.0)</f>
        <v>46187</v>
      </c>
      <c r="C8743" s="122" t="str">
        <f>IFERROR(__xludf.DUMMYFUNCTION("""COMPUTED_VALUE"""),"MEAT")</f>
        <v>MEAT</v>
      </c>
      <c r="D8743" s="122" t="str">
        <f>IFERROR(__xludf.DUMMYFUNCTION("""COMPUTED_VALUE"""),"MeatWorks")</f>
        <v>MeatWorks</v>
      </c>
      <c r="E8743" s="122">
        <f>IFERROR(__xludf.DUMMYFUNCTION("""COMPUTED_VALUE"""),105.05)</f>
        <v>105.05</v>
      </c>
      <c r="F8743" s="122">
        <f>IFERROR(__xludf.DUMMYFUNCTION("""COMPUTED_VALUE"""),0.0)</f>
        <v>0</v>
      </c>
    </row>
    <row r="8744">
      <c r="A8744" s="131">
        <f>IFERROR(__xludf.DUMMYFUNCTION("""COMPUTED_VALUE"""),46187.65131944444)</f>
        <v>46187.65132</v>
      </c>
      <c r="B8744" s="126">
        <f>IFERROR(__xludf.DUMMYFUNCTION("""COMPUTED_VALUE"""),46187.0)</f>
        <v>46187</v>
      </c>
      <c r="C8744" s="122" t="str">
        <f>IFERROR(__xludf.DUMMYFUNCTION("""COMPUTED_VALUE"""),"VEGI")</f>
        <v>VEGI</v>
      </c>
      <c r="D8744" s="122" t="str">
        <f>IFERROR(__xludf.DUMMYFUNCTION("""COMPUTED_VALUE"""),"Green Basket")</f>
        <v>Green Basket</v>
      </c>
      <c r="E8744" s="122">
        <f>IFERROR(__xludf.DUMMYFUNCTION("""COMPUTED_VALUE"""),77.15)</f>
        <v>77.15</v>
      </c>
      <c r="F8744" s="122">
        <f>IFERROR(__xludf.DUMMYFUNCTION("""COMPUTED_VALUE"""),0.0035)</f>
        <v>0.0035</v>
      </c>
    </row>
    <row r="8745">
      <c r="A8745" s="131">
        <f>IFERROR(__xludf.DUMMYFUNCTION("""COMPUTED_VALUE"""),46187.65131944444)</f>
        <v>46187.65132</v>
      </c>
      <c r="B8745" s="126">
        <f>IFERROR(__xludf.DUMMYFUNCTION("""COMPUTED_VALUE"""),46187.0)</f>
        <v>46187</v>
      </c>
      <c r="C8745" s="122" t="str">
        <f>IFERROR(__xludf.DUMMYFUNCTION("""COMPUTED_VALUE"""),"CAFE")</f>
        <v>CAFE</v>
      </c>
      <c r="D8745" s="122" t="str">
        <f>IFERROR(__xludf.DUMMYFUNCTION("""COMPUTED_VALUE"""),"Cafe Cloud")</f>
        <v>Cafe Cloud</v>
      </c>
      <c r="E8745" s="122">
        <f>IFERROR(__xludf.DUMMYFUNCTION("""COMPUTED_VALUE"""),103.12)</f>
        <v>103.12</v>
      </c>
      <c r="F8745" s="122">
        <f>IFERROR(__xludf.DUMMYFUNCTION("""COMPUTED_VALUE"""),-0.0012)</f>
        <v>-0.0012</v>
      </c>
    </row>
    <row r="8746">
      <c r="A8746" s="131">
        <f>IFERROR(__xludf.DUMMYFUNCTION("""COMPUTED_VALUE"""),46187.65131944444)</f>
        <v>46187.65132</v>
      </c>
      <c r="B8746" s="126">
        <f>IFERROR(__xludf.DUMMYFUNCTION("""COMPUTED_VALUE"""),46187.0)</f>
        <v>46187</v>
      </c>
      <c r="C8746" s="122" t="str">
        <f>IFERROR(__xludf.DUMMYFUNCTION("""COMPUTED_VALUE"""),"BAKE")</f>
        <v>BAKE</v>
      </c>
      <c r="D8746" s="122" t="str">
        <f>IFERROR(__xludf.DUMMYFUNCTION("""COMPUTED_VALUE"""),"BakeHouse")</f>
        <v>BakeHouse</v>
      </c>
      <c r="E8746" s="122">
        <f>IFERROR(__xludf.DUMMYFUNCTION("""COMPUTED_VALUE"""),100.55)</f>
        <v>100.55</v>
      </c>
      <c r="F8746" s="122">
        <f>IFERROR(__xludf.DUMMYFUNCTION("""COMPUTED_VALUE"""),-1.0E-4)</f>
        <v>-0.0001</v>
      </c>
    </row>
    <row r="8747">
      <c r="A8747" s="131">
        <f>IFERROR(__xludf.DUMMYFUNCTION("""COMPUTED_VALUE"""),46187.65131944444)</f>
        <v>46187.65132</v>
      </c>
      <c r="B8747" s="126">
        <f>IFERROR(__xludf.DUMMYFUNCTION("""COMPUTED_VALUE"""),46187.0)</f>
        <v>46187</v>
      </c>
      <c r="C8747" s="122" t="str">
        <f>IFERROR(__xludf.DUMMYFUNCTION("""COMPUTED_VALUE"""),"OILX")</f>
        <v>OILX</v>
      </c>
      <c r="D8747" s="122" t="str">
        <f>IFERROR(__xludf.DUMMYFUNCTION("""COMPUTED_VALUE"""),"OilMax Energy")</f>
        <v>OilMax Energy</v>
      </c>
      <c r="E8747" s="122">
        <f>IFERROR(__xludf.DUMMYFUNCTION("""COMPUTED_VALUE"""),134.2)</f>
        <v>134.2</v>
      </c>
      <c r="F8747" s="122">
        <f>IFERROR(__xludf.DUMMYFUNCTION("""COMPUTED_VALUE"""),-0.0016)</f>
        <v>-0.0016</v>
      </c>
    </row>
    <row r="8748">
      <c r="A8748" s="131">
        <f>IFERROR(__xludf.DUMMYFUNCTION("""COMPUTED_VALUE"""),46187.65131944444)</f>
        <v>46187.65132</v>
      </c>
      <c r="B8748" s="126">
        <f>IFERROR(__xludf.DUMMYFUNCTION("""COMPUTED_VALUE"""),46187.0)</f>
        <v>46187</v>
      </c>
      <c r="C8748" s="122" t="str">
        <f>IFERROR(__xludf.DUMMYFUNCTION("""COMPUTED_VALUE"""),"SOLR")</f>
        <v>SOLR</v>
      </c>
      <c r="D8748" s="122" t="str">
        <f>IFERROR(__xludf.DUMMYFUNCTION("""COMPUTED_VALUE"""),"SolarSpark")</f>
        <v>SolarSpark</v>
      </c>
      <c r="E8748" s="122">
        <f>IFERROR(__xludf.DUMMYFUNCTION("""COMPUTED_VALUE"""),108.72)</f>
        <v>108.72</v>
      </c>
      <c r="F8748" s="122">
        <f>IFERROR(__xludf.DUMMYFUNCTION("""COMPUTED_VALUE"""),0.0)</f>
        <v>0</v>
      </c>
    </row>
    <row r="8749">
      <c r="A8749" s="131">
        <f>IFERROR(__xludf.DUMMYFUNCTION("""COMPUTED_VALUE"""),46187.65131944444)</f>
        <v>46187.65132</v>
      </c>
      <c r="B8749" s="126">
        <f>IFERROR(__xludf.DUMMYFUNCTION("""COMPUTED_VALUE"""),46187.0)</f>
        <v>46187</v>
      </c>
      <c r="C8749" s="122" t="str">
        <f>IFERROR(__xludf.DUMMYFUNCTION("""COMPUTED_VALUE"""),"BATT")</f>
        <v>BATT</v>
      </c>
      <c r="D8749" s="122" t="str">
        <f>IFERROR(__xludf.DUMMYFUNCTION("""COMPUTED_VALUE"""),"BatteryBox")</f>
        <v>BatteryBox</v>
      </c>
      <c r="E8749" s="122">
        <f>IFERROR(__xludf.DUMMYFUNCTION("""COMPUTED_VALUE"""),122.07)</f>
        <v>122.07</v>
      </c>
      <c r="F8749" s="122">
        <f>IFERROR(__xludf.DUMMYFUNCTION("""COMPUTED_VALUE"""),-0.0026)</f>
        <v>-0.0026</v>
      </c>
    </row>
    <row r="8750">
      <c r="A8750" s="131">
        <f>IFERROR(__xludf.DUMMYFUNCTION("""COMPUTED_VALUE"""),46187.65131944444)</f>
        <v>46187.65132</v>
      </c>
      <c r="B8750" s="126">
        <f>IFERROR(__xludf.DUMMYFUNCTION("""COMPUTED_VALUE"""),46187.0)</f>
        <v>46187</v>
      </c>
      <c r="C8750" s="122" t="str">
        <f>IFERROR(__xludf.DUMMYFUNCTION("""COMPUTED_VALUE"""),"WIND")</f>
        <v>WIND</v>
      </c>
      <c r="D8750" s="122" t="str">
        <f>IFERROR(__xludf.DUMMYFUNCTION("""COMPUTED_VALUE"""),"WindWorks")</f>
        <v>WindWorks</v>
      </c>
      <c r="E8750" s="122">
        <f>IFERROR(__xludf.DUMMYFUNCTION("""COMPUTED_VALUE"""),85.12)</f>
        <v>85.12</v>
      </c>
      <c r="F8750" s="122">
        <f>IFERROR(__xludf.DUMMYFUNCTION("""COMPUTED_VALUE"""),-0.0013)</f>
        <v>-0.0013</v>
      </c>
    </row>
    <row r="8751">
      <c r="A8751" s="131">
        <f>IFERROR(__xludf.DUMMYFUNCTION("""COMPUTED_VALUE"""),46187.65131944444)</f>
        <v>46187.65132</v>
      </c>
      <c r="B8751" s="126">
        <f>IFERROR(__xludf.DUMMYFUNCTION("""COMPUTED_VALUE"""),46187.0)</f>
        <v>46187</v>
      </c>
      <c r="C8751" s="122" t="str">
        <f>IFERROR(__xludf.DUMMYFUNCTION("""COMPUTED_VALUE"""),"GRID")</f>
        <v>GRID</v>
      </c>
      <c r="D8751" s="122" t="str">
        <f>IFERROR(__xludf.DUMMYFUNCTION("""COMPUTED_VALUE"""),"GridPower")</f>
        <v>GridPower</v>
      </c>
      <c r="E8751" s="122">
        <f>IFERROR(__xludf.DUMMYFUNCTION("""COMPUTED_VALUE"""),124.41)</f>
        <v>124.41</v>
      </c>
      <c r="F8751" s="122">
        <f>IFERROR(__xludf.DUMMYFUNCTION("""COMPUTED_VALUE"""),-0.0024)</f>
        <v>-0.0024</v>
      </c>
    </row>
    <row r="8752">
      <c r="A8752" s="131">
        <f>IFERROR(__xludf.DUMMYFUNCTION("""COMPUTED_VALUE"""),46187.65131944444)</f>
        <v>46187.65132</v>
      </c>
      <c r="B8752" s="126">
        <f>IFERROR(__xludf.DUMMYFUNCTION("""COMPUTED_VALUE"""),46187.0)</f>
        <v>46187</v>
      </c>
      <c r="C8752" s="122" t="str">
        <f>IFERROR(__xludf.DUMMYFUNCTION("""COMPUTED_VALUE"""),"HOME")</f>
        <v>HOME</v>
      </c>
      <c r="D8752" s="122" t="str">
        <f>IFERROR(__xludf.DUMMYFUNCTION("""COMPUTED_VALUE"""),"HomeHub")</f>
        <v>HomeHub</v>
      </c>
      <c r="E8752" s="122">
        <f>IFERROR(__xludf.DUMMYFUNCTION("""COMPUTED_VALUE"""),161.62)</f>
        <v>161.62</v>
      </c>
      <c r="F8752" s="122">
        <f>IFERROR(__xludf.DUMMYFUNCTION("""COMPUTED_VALUE"""),3.0E-4)</f>
        <v>0.0003</v>
      </c>
    </row>
    <row r="8753">
      <c r="A8753" s="131">
        <f>IFERROR(__xludf.DUMMYFUNCTION("""COMPUTED_VALUE"""),46187.65131944444)</f>
        <v>46187.65132</v>
      </c>
      <c r="B8753" s="126">
        <f>IFERROR(__xludf.DUMMYFUNCTION("""COMPUTED_VALUE"""),46187.0)</f>
        <v>46187</v>
      </c>
      <c r="C8753" s="122" t="str">
        <f>IFERROR(__xludf.DUMMYFUNCTION("""COMPUTED_VALUE"""),"RENT")</f>
        <v>RENT</v>
      </c>
      <c r="D8753" s="122" t="str">
        <f>IFERROR(__xludf.DUMMYFUNCTION("""COMPUTED_VALUE"""),"RentRight")</f>
        <v>RentRight</v>
      </c>
      <c r="E8753" s="122">
        <f>IFERROR(__xludf.DUMMYFUNCTION("""COMPUTED_VALUE"""),90.77)</f>
        <v>90.77</v>
      </c>
      <c r="F8753" s="122">
        <f>IFERROR(__xludf.DUMMYFUNCTION("""COMPUTED_VALUE"""),0.0027)</f>
        <v>0.0027</v>
      </c>
    </row>
    <row r="8754">
      <c r="A8754" s="131">
        <f>IFERROR(__xludf.DUMMYFUNCTION("""COMPUTED_VALUE"""),46187.65131944444)</f>
        <v>46187.65132</v>
      </c>
      <c r="B8754" s="126">
        <f>IFERROR(__xludf.DUMMYFUNCTION("""COMPUTED_VALUE"""),46187.0)</f>
        <v>46187</v>
      </c>
      <c r="C8754" s="122" t="str">
        <f>IFERROR(__xludf.DUMMYFUNCTION("""COMPUTED_VALUE"""),"MALL")</f>
        <v>MALL</v>
      </c>
      <c r="D8754" s="122" t="str">
        <f>IFERROR(__xludf.DUMMYFUNCTION("""COMPUTED_VALUE"""),"MegaMall")</f>
        <v>MegaMall</v>
      </c>
      <c r="E8754" s="122">
        <f>IFERROR(__xludf.DUMMYFUNCTION("""COMPUTED_VALUE"""),103.53)</f>
        <v>103.53</v>
      </c>
      <c r="F8754" s="122">
        <f>IFERROR(__xludf.DUMMYFUNCTION("""COMPUTED_VALUE"""),0.0051)</f>
        <v>0.0051</v>
      </c>
    </row>
    <row r="8755">
      <c r="A8755" s="131">
        <f>IFERROR(__xludf.DUMMYFUNCTION("""COMPUTED_VALUE"""),46187.65131944444)</f>
        <v>46187.65132</v>
      </c>
      <c r="B8755" s="126">
        <f>IFERROR(__xludf.DUMMYFUNCTION("""COMPUTED_VALUE"""),46187.0)</f>
        <v>46187</v>
      </c>
      <c r="C8755" s="122" t="str">
        <f>IFERROR(__xludf.DUMMYFUNCTION("""COMPUTED_VALUE"""),"HOTL")</f>
        <v>HOTL</v>
      </c>
      <c r="D8755" s="122" t="str">
        <f>IFERROR(__xludf.DUMMYFUNCTION("""COMPUTED_VALUE"""),"HotelHive")</f>
        <v>HotelHive</v>
      </c>
      <c r="E8755" s="122">
        <f>IFERROR(__xludf.DUMMYFUNCTION("""COMPUTED_VALUE"""),120.01)</f>
        <v>120.01</v>
      </c>
      <c r="F8755" s="122">
        <f>IFERROR(__xludf.DUMMYFUNCTION("""COMPUTED_VALUE"""),0.0017)</f>
        <v>0.0017</v>
      </c>
    </row>
    <row r="8756">
      <c r="A8756" s="131">
        <f>IFERROR(__xludf.DUMMYFUNCTION("""COMPUTED_VALUE"""),46187.65131944444)</f>
        <v>46187.65132</v>
      </c>
      <c r="B8756" s="126">
        <f>IFERROR(__xludf.DUMMYFUNCTION("""COMPUTED_VALUE"""),46187.0)</f>
        <v>46187</v>
      </c>
      <c r="C8756" s="122" t="str">
        <f>IFERROR(__xludf.DUMMYFUNCTION("""COMPUTED_VALUE"""),"LAND")</f>
        <v>LAND</v>
      </c>
      <c r="D8756" s="122" t="str">
        <f>IFERROR(__xludf.DUMMYFUNCTION("""COMPUTED_VALUE"""),"LandLink")</f>
        <v>LandLink</v>
      </c>
      <c r="E8756" s="122">
        <f>IFERROR(__xludf.DUMMYFUNCTION("""COMPUTED_VALUE"""),187.31)</f>
        <v>187.31</v>
      </c>
      <c r="F8756" s="122">
        <f>IFERROR(__xludf.DUMMYFUNCTION("""COMPUTED_VALUE"""),0.004)</f>
        <v>0.004</v>
      </c>
    </row>
    <row r="8757">
      <c r="A8757" s="131">
        <f>IFERROR(__xludf.DUMMYFUNCTION("""COMPUTED_VALUE"""),46187.65131944444)</f>
        <v>46187.65132</v>
      </c>
      <c r="B8757" s="126">
        <f>IFERROR(__xludf.DUMMYFUNCTION("""COMPUTED_VALUE"""),46187.0)</f>
        <v>46187</v>
      </c>
      <c r="C8757" s="122" t="str">
        <f>IFERROR(__xludf.DUMMYFUNCTION("""COMPUTED_VALUE"""),"CARS")</f>
        <v>CARS</v>
      </c>
      <c r="D8757" s="122" t="str">
        <f>IFERROR(__xludf.DUMMYFUNCTION("""COMPUTED_VALUE"""),"AutoArena")</f>
        <v>AutoArena</v>
      </c>
      <c r="E8757" s="122">
        <f>IFERROR(__xludf.DUMMYFUNCTION("""COMPUTED_VALUE"""),81.27)</f>
        <v>81.27</v>
      </c>
      <c r="F8757" s="122">
        <f>IFERROR(__xludf.DUMMYFUNCTION("""COMPUTED_VALUE"""),-0.0066)</f>
        <v>-0.0066</v>
      </c>
    </row>
    <row r="8758">
      <c r="A8758" s="131">
        <f>IFERROR(__xludf.DUMMYFUNCTION("""COMPUTED_VALUE"""),46187.65131944444)</f>
        <v>46187.65132</v>
      </c>
      <c r="B8758" s="126">
        <f>IFERROR(__xludf.DUMMYFUNCTION("""COMPUTED_VALUE"""),46187.0)</f>
        <v>46187</v>
      </c>
      <c r="C8758" s="122" t="str">
        <f>IFERROR(__xludf.DUMMYFUNCTION("""COMPUTED_VALUE"""),"EVGO")</f>
        <v>EVGO</v>
      </c>
      <c r="D8758" s="122" t="str">
        <f>IFERROR(__xludf.DUMMYFUNCTION("""COMPUTED_VALUE"""),"EVGo Motors")</f>
        <v>EVGo Motors</v>
      </c>
      <c r="E8758" s="122">
        <f>IFERROR(__xludf.DUMMYFUNCTION("""COMPUTED_VALUE"""),188.7)</f>
        <v>188.7</v>
      </c>
      <c r="F8758" s="122">
        <f>IFERROR(__xludf.DUMMYFUNCTION("""COMPUTED_VALUE"""),-0.0126)</f>
        <v>-0.0126</v>
      </c>
    </row>
    <row r="8759">
      <c r="A8759" s="131">
        <f>IFERROR(__xludf.DUMMYFUNCTION("""COMPUTED_VALUE"""),46187.65131944444)</f>
        <v>46187.65132</v>
      </c>
      <c r="B8759" s="126">
        <f>IFERROR(__xludf.DUMMYFUNCTION("""COMPUTED_VALUE"""),46187.0)</f>
        <v>46187</v>
      </c>
      <c r="C8759" s="122" t="str">
        <f>IFERROR(__xludf.DUMMYFUNCTION("""COMPUTED_VALUE"""),"TIRE")</f>
        <v>TIRE</v>
      </c>
      <c r="D8759" s="122" t="str">
        <f>IFERROR(__xludf.DUMMYFUNCTION("""COMPUTED_VALUE"""),"TireTown")</f>
        <v>TireTown</v>
      </c>
      <c r="E8759" s="122">
        <f>IFERROR(__xludf.DUMMYFUNCTION("""COMPUTED_VALUE"""),98.09)</f>
        <v>98.09</v>
      </c>
      <c r="F8759" s="122">
        <f>IFERROR(__xludf.DUMMYFUNCTION("""COMPUTED_VALUE"""),-0.0036)</f>
        <v>-0.0036</v>
      </c>
    </row>
    <row r="8760">
      <c r="A8760" s="131">
        <f>IFERROR(__xludf.DUMMYFUNCTION("""COMPUTED_VALUE"""),46187.65131944444)</f>
        <v>46187.65132</v>
      </c>
      <c r="B8760" s="126">
        <f>IFERROR(__xludf.DUMMYFUNCTION("""COMPUTED_VALUE"""),46187.0)</f>
        <v>46187</v>
      </c>
      <c r="C8760" s="122" t="str">
        <f>IFERROR(__xludf.DUMMYFUNCTION("""COMPUTED_VALUE"""),"BIKE")</f>
        <v>BIKE</v>
      </c>
      <c r="D8760" s="122" t="str">
        <f>IFERROR(__xludf.DUMMYFUNCTION("""COMPUTED_VALUE"""),"BikeBox")</f>
        <v>BikeBox</v>
      </c>
      <c r="E8760" s="122">
        <f>IFERROR(__xludf.DUMMYFUNCTION("""COMPUTED_VALUE"""),52.16)</f>
        <v>52.16</v>
      </c>
      <c r="F8760" s="122">
        <f>IFERROR(__xludf.DUMMYFUNCTION("""COMPUTED_VALUE"""),0.0029)</f>
        <v>0.0029</v>
      </c>
    </row>
    <row r="8761">
      <c r="A8761" s="131">
        <f>IFERROR(__xludf.DUMMYFUNCTION("""COMPUTED_VALUE"""),46187.65131944444)</f>
        <v>46187.65132</v>
      </c>
      <c r="B8761" s="126">
        <f>IFERROR(__xludf.DUMMYFUNCTION("""COMPUTED_VALUE"""),46187.0)</f>
        <v>46187</v>
      </c>
      <c r="C8761" s="122" t="str">
        <f>IFERROR(__xludf.DUMMYFUNCTION("""COMPUTED_VALUE"""),"WASH")</f>
        <v>WASH</v>
      </c>
      <c r="D8761" s="122" t="str">
        <f>IFERROR(__xludf.DUMMYFUNCTION("""COMPUTED_VALUE"""),"CarWash Co")</f>
        <v>CarWash Co</v>
      </c>
      <c r="E8761" s="122">
        <f>IFERROR(__xludf.DUMMYFUNCTION("""COMPUTED_VALUE"""),122.85)</f>
        <v>122.85</v>
      </c>
      <c r="F8761" s="122">
        <f>IFERROR(__xludf.DUMMYFUNCTION("""COMPUTED_VALUE"""),0.0025)</f>
        <v>0.0025</v>
      </c>
    </row>
    <row r="8762">
      <c r="A8762" s="131">
        <f>IFERROR(__xludf.DUMMYFUNCTION("""COMPUTED_VALUE"""),46187.65131944444)</f>
        <v>46187.65132</v>
      </c>
      <c r="B8762" s="126">
        <f>IFERROR(__xludf.DUMMYFUNCTION("""COMPUTED_VALUE"""),46187.0)</f>
        <v>46187</v>
      </c>
      <c r="C8762" s="122" t="str">
        <f>IFERROR(__xludf.DUMMYFUNCTION("""COMPUTED_VALUE"""),"GBND")</f>
        <v>GBND</v>
      </c>
      <c r="D8762" s="122" t="str">
        <f>IFERROR(__xludf.DUMMYFUNCTION("""COMPUTED_VALUE"""),"Classroom Government Bond")</f>
        <v>Classroom Government Bond</v>
      </c>
      <c r="E8762" s="122">
        <f>IFERROR(__xludf.DUMMYFUNCTION("""COMPUTED_VALUE"""),101.17)</f>
        <v>101.17</v>
      </c>
      <c r="F8762" s="122">
        <f>IFERROR(__xludf.DUMMYFUNCTION("""COMPUTED_VALUE"""),4.0E-4)</f>
        <v>0.0004</v>
      </c>
    </row>
    <row r="8763">
      <c r="A8763" s="131">
        <f>IFERROR(__xludf.DUMMYFUNCTION("""COMPUTED_VALUE"""),46187.65131944444)</f>
        <v>46187.65132</v>
      </c>
      <c r="B8763" s="126">
        <f>IFERROR(__xludf.DUMMYFUNCTION("""COMPUTED_VALUE"""),46187.0)</f>
        <v>46187</v>
      </c>
      <c r="C8763" s="122" t="str">
        <f>IFERROR(__xludf.DUMMYFUNCTION("""COMPUTED_VALUE"""),"SBND")</f>
        <v>SBND</v>
      </c>
      <c r="D8763" s="122" t="str">
        <f>IFERROR(__xludf.DUMMYFUNCTION("""COMPUTED_VALUE"""),"School Savings Bond")</f>
        <v>School Savings Bond</v>
      </c>
      <c r="E8763" s="122">
        <f>IFERROR(__xludf.DUMMYFUNCTION("""COMPUTED_VALUE"""),99.21)</f>
        <v>99.21</v>
      </c>
      <c r="F8763" s="122">
        <f>IFERROR(__xludf.DUMMYFUNCTION("""COMPUTED_VALUE"""),1.0E-4)</f>
        <v>0.0001</v>
      </c>
    </row>
    <row r="8764">
      <c r="A8764" s="131">
        <f>IFERROR(__xludf.DUMMYFUNCTION("""COMPUTED_VALUE"""),46187.65131944444)</f>
        <v>46187.65132</v>
      </c>
      <c r="B8764" s="126">
        <f>IFERROR(__xludf.DUMMYFUNCTION("""COMPUTED_VALUE"""),46187.0)</f>
        <v>46187</v>
      </c>
      <c r="C8764" s="122" t="str">
        <f>IFERROR(__xludf.DUMMYFUNCTION("""COMPUTED_VALUE"""),"CBND")</f>
        <v>CBND</v>
      </c>
      <c r="D8764" s="122" t="str">
        <f>IFERROR(__xludf.DUMMYFUNCTION("""COMPUTED_VALUE"""),"Corporate Classroom Bond")</f>
        <v>Corporate Classroom Bond</v>
      </c>
      <c r="E8764" s="122">
        <f>IFERROR(__xludf.DUMMYFUNCTION("""COMPUTED_VALUE"""),97.76)</f>
        <v>97.76</v>
      </c>
      <c r="F8764" s="122">
        <f>IFERROR(__xludf.DUMMYFUNCTION("""COMPUTED_VALUE"""),-1.0E-4)</f>
        <v>-0.0001</v>
      </c>
    </row>
    <row r="8765">
      <c r="A8765" s="131">
        <f>IFERROR(__xludf.DUMMYFUNCTION("""COMPUTED_VALUE"""),46187.65131944444)</f>
        <v>46187.65132</v>
      </c>
      <c r="B8765" s="126">
        <f>IFERROR(__xludf.DUMMYFUNCTION("""COMPUTED_VALUE"""),46187.0)</f>
        <v>46187</v>
      </c>
      <c r="C8765" s="122" t="str">
        <f>IFERROR(__xludf.DUMMYFUNCTION("""COMPUTED_VALUE"""),"TBIL")</f>
        <v>TBIL</v>
      </c>
      <c r="D8765" s="122" t="str">
        <f>IFERROR(__xludf.DUMMYFUNCTION("""COMPUTED_VALUE"""),"Treasury Bill")</f>
        <v>Treasury Bill</v>
      </c>
      <c r="E8765" s="122">
        <f>IFERROR(__xludf.DUMMYFUNCTION("""COMPUTED_VALUE"""),97.76)</f>
        <v>97.76</v>
      </c>
      <c r="F8765" s="122">
        <f>IFERROR(__xludf.DUMMYFUNCTION("""COMPUTED_VALUE"""),2.0E-4)</f>
        <v>0.0002</v>
      </c>
    </row>
    <row r="8766">
      <c r="A8766" s="131">
        <f>IFERROR(__xludf.DUMMYFUNCTION("""COMPUTED_VALUE"""),46187.65131944444)</f>
        <v>46187.65132</v>
      </c>
      <c r="B8766" s="126">
        <f>IFERROR(__xludf.DUMMYFUNCTION("""COMPUTED_VALUE"""),46187.0)</f>
        <v>46187</v>
      </c>
      <c r="C8766" s="122" t="str">
        <f>IFERROR(__xludf.DUMMYFUNCTION("""COMPUTED_VALUE"""),"IBND")</f>
        <v>IBND</v>
      </c>
      <c r="D8766" s="122" t="str">
        <f>IFERROR(__xludf.DUMMYFUNCTION("""COMPUTED_VALUE"""),"Inflation Protected Bond")</f>
        <v>Inflation Protected Bond</v>
      </c>
      <c r="E8766" s="122">
        <f>IFERROR(__xludf.DUMMYFUNCTION("""COMPUTED_VALUE"""),100.77)</f>
        <v>100.77</v>
      </c>
      <c r="F8766" s="122">
        <f>IFERROR(__xludf.DUMMYFUNCTION("""COMPUTED_VALUE"""),1.0E-4)</f>
        <v>0.0001</v>
      </c>
    </row>
    <row r="8767">
      <c r="A8767" s="131">
        <f>IFERROR(__xludf.DUMMYFUNCTION("""COMPUTED_VALUE"""),46187.65435185185)</f>
        <v>46187.65435</v>
      </c>
      <c r="B8767" s="126">
        <f>IFERROR(__xludf.DUMMYFUNCTION("""COMPUTED_VALUE"""),46187.0)</f>
        <v>46187</v>
      </c>
      <c r="C8767" s="122" t="str">
        <f>IFERROR(__xludf.DUMMYFUNCTION("""COMPUTED_VALUE"""),"SNAX")</f>
        <v>SNAX</v>
      </c>
      <c r="D8767" s="122" t="str">
        <f>IFERROR(__xludf.DUMMYFUNCTION("""COMPUTED_VALUE"""),"MICA Snacks")</f>
        <v>MICA Snacks</v>
      </c>
      <c r="E8767" s="122">
        <f>IFERROR(__xludf.DUMMYFUNCTION("""COMPUTED_VALUE"""),120.25)</f>
        <v>120.25</v>
      </c>
      <c r="F8767" s="122">
        <f>IFERROR(__xludf.DUMMYFUNCTION("""COMPUTED_VALUE"""),-0.0034)</f>
        <v>-0.0034</v>
      </c>
    </row>
    <row r="8768">
      <c r="A8768" s="131">
        <f>IFERROR(__xludf.DUMMYFUNCTION("""COMPUTED_VALUE"""),46187.65435185185)</f>
        <v>46187.65435</v>
      </c>
      <c r="B8768" s="126">
        <f>IFERROR(__xludf.DUMMYFUNCTION("""COMPUTED_VALUE"""),46187.0)</f>
        <v>46187</v>
      </c>
      <c r="C8768" s="122" t="str">
        <f>IFERROR(__xludf.DUMMYFUNCTION("""COMPUTED_VALUE"""),"RAMN")</f>
        <v>RAMN</v>
      </c>
      <c r="D8768" s="122" t="str">
        <f>IFERROR(__xludf.DUMMYFUNCTION("""COMPUTED_VALUE"""),"Ramen Republic")</f>
        <v>Ramen Republic</v>
      </c>
      <c r="E8768" s="122">
        <f>IFERROR(__xludf.DUMMYFUNCTION("""COMPUTED_VALUE"""),61.92)</f>
        <v>61.92</v>
      </c>
      <c r="F8768" s="122">
        <f>IFERROR(__xludf.DUMMYFUNCTION("""COMPUTED_VALUE"""),-0.0059)</f>
        <v>-0.0059</v>
      </c>
    </row>
    <row r="8769">
      <c r="A8769" s="131">
        <f>IFERROR(__xludf.DUMMYFUNCTION("""COMPUTED_VALUE"""),46187.65435185185)</f>
        <v>46187.65435</v>
      </c>
      <c r="B8769" s="126">
        <f>IFERROR(__xludf.DUMMYFUNCTION("""COMPUTED_VALUE"""),46187.0)</f>
        <v>46187</v>
      </c>
      <c r="C8769" s="122" t="str">
        <f>IFERROR(__xludf.DUMMYFUNCTION("""COMPUTED_VALUE"""),"COLA")</f>
        <v>COLA</v>
      </c>
      <c r="D8769" s="122" t="str">
        <f>IFERROR(__xludf.DUMMYFUNCTION("""COMPUTED_VALUE"""),"K-Pop Cola")</f>
        <v>K-Pop Cola</v>
      </c>
      <c r="E8769" s="122">
        <f>IFERROR(__xludf.DUMMYFUNCTION("""COMPUTED_VALUE"""),116.19)</f>
        <v>116.19</v>
      </c>
      <c r="F8769" s="122">
        <f>IFERROR(__xludf.DUMMYFUNCTION("""COMPUTED_VALUE"""),0.0067)</f>
        <v>0.0067</v>
      </c>
    </row>
    <row r="8770">
      <c r="A8770" s="131">
        <f>IFERROR(__xludf.DUMMYFUNCTION("""COMPUTED_VALUE"""),46187.65435185185)</f>
        <v>46187.65435</v>
      </c>
      <c r="B8770" s="126">
        <f>IFERROR(__xludf.DUMMYFUNCTION("""COMPUTED_VALUE"""),46187.0)</f>
        <v>46187</v>
      </c>
      <c r="C8770" s="122" t="str">
        <f>IFERROR(__xludf.DUMMYFUNCTION("""COMPUTED_VALUE"""),"CHIP")</f>
        <v>CHIP</v>
      </c>
      <c r="D8770" s="122" t="str">
        <f>IFERROR(__xludf.DUMMYFUNCTION("""COMPUTED_VALUE"""),"Chip Empire")</f>
        <v>Chip Empire</v>
      </c>
      <c r="E8770" s="122">
        <f>IFERROR(__xludf.DUMMYFUNCTION("""COMPUTED_VALUE"""),81.72)</f>
        <v>81.72</v>
      </c>
      <c r="F8770" s="122">
        <f>IFERROR(__xludf.DUMMYFUNCTION("""COMPUTED_VALUE"""),-0.0075)</f>
        <v>-0.0075</v>
      </c>
    </row>
    <row r="8771">
      <c r="A8771" s="131">
        <f>IFERROR(__xludf.DUMMYFUNCTION("""COMPUTED_VALUE"""),46187.65435185185)</f>
        <v>46187.65435</v>
      </c>
      <c r="B8771" s="126">
        <f>IFERROR(__xludf.DUMMYFUNCTION("""COMPUTED_VALUE"""),46187.0)</f>
        <v>46187</v>
      </c>
      <c r="C8771" s="122" t="str">
        <f>IFERROR(__xludf.DUMMYFUNCTION("""COMPUTED_VALUE"""),"CAND")</f>
        <v>CAND</v>
      </c>
      <c r="D8771" s="122" t="str">
        <f>IFERROR(__xludf.DUMMYFUNCTION("""COMPUTED_VALUE"""),"Candy Capital")</f>
        <v>Candy Capital</v>
      </c>
      <c r="E8771" s="122">
        <f>IFERROR(__xludf.DUMMYFUNCTION("""COMPUTED_VALUE"""),78.01)</f>
        <v>78.01</v>
      </c>
      <c r="F8771" s="122">
        <f>IFERROR(__xludf.DUMMYFUNCTION("""COMPUTED_VALUE"""),0.0024)</f>
        <v>0.0024</v>
      </c>
    </row>
    <row r="8772">
      <c r="A8772" s="131">
        <f>IFERROR(__xludf.DUMMYFUNCTION("""COMPUTED_VALUE"""),46187.65435185185)</f>
        <v>46187.65435</v>
      </c>
      <c r="B8772" s="126">
        <f>IFERROR(__xludf.DUMMYFUNCTION("""COMPUTED_VALUE"""),46187.0)</f>
        <v>46187</v>
      </c>
      <c r="C8772" s="122" t="str">
        <f>IFERROR(__xludf.DUMMYFUNCTION("""COMPUTED_VALUE"""),"TECH")</f>
        <v>TECH</v>
      </c>
      <c r="D8772" s="122" t="str">
        <f>IFERROR(__xludf.DUMMYFUNCTION("""COMPUTED_VALUE"""),"Dragon Tech")</f>
        <v>Dragon Tech</v>
      </c>
      <c r="E8772" s="122">
        <f>IFERROR(__xludf.DUMMYFUNCTION("""COMPUTED_VALUE"""),258.22)</f>
        <v>258.22</v>
      </c>
      <c r="F8772" s="122">
        <f>IFERROR(__xludf.DUMMYFUNCTION("""COMPUTED_VALUE"""),0.009)</f>
        <v>0.009</v>
      </c>
    </row>
    <row r="8773">
      <c r="A8773" s="131">
        <f>IFERROR(__xludf.DUMMYFUNCTION("""COMPUTED_VALUE"""),46187.65435185185)</f>
        <v>46187.65435</v>
      </c>
      <c r="B8773" s="126">
        <f>IFERROR(__xludf.DUMMYFUNCTION("""COMPUTED_VALUE"""),46187.0)</f>
        <v>46187</v>
      </c>
      <c r="C8773" s="122" t="str">
        <f>IFERROR(__xludf.DUMMYFUNCTION("""COMPUTED_VALUE"""),"AIBO")</f>
        <v>AIBO</v>
      </c>
      <c r="D8773" s="122" t="str">
        <f>IFERROR(__xludf.DUMMYFUNCTION("""COMPUTED_VALUE"""),"Homework AI")</f>
        <v>Homework AI</v>
      </c>
      <c r="E8773" s="122">
        <f>IFERROR(__xludf.DUMMYFUNCTION("""COMPUTED_VALUE"""),193.73)</f>
        <v>193.73</v>
      </c>
      <c r="F8773" s="122">
        <f>IFERROR(__xludf.DUMMYFUNCTION("""COMPUTED_VALUE"""),0.0036)</f>
        <v>0.0036</v>
      </c>
    </row>
    <row r="8774">
      <c r="A8774" s="131">
        <f>IFERROR(__xludf.DUMMYFUNCTION("""COMPUTED_VALUE"""),46187.65435185185)</f>
        <v>46187.65435</v>
      </c>
      <c r="B8774" s="126">
        <f>IFERROR(__xludf.DUMMYFUNCTION("""COMPUTED_VALUE"""),46187.0)</f>
        <v>46187</v>
      </c>
      <c r="C8774" s="122" t="str">
        <f>IFERROR(__xludf.DUMMYFUNCTION("""COMPUTED_VALUE"""),"GAME")</f>
        <v>GAME</v>
      </c>
      <c r="D8774" s="122" t="str">
        <f>IFERROR(__xludf.DUMMYFUNCTION("""COMPUTED_VALUE"""),"GameBox Media")</f>
        <v>GameBox Media</v>
      </c>
      <c r="E8774" s="122">
        <f>IFERROR(__xludf.DUMMYFUNCTION("""COMPUTED_VALUE"""),102.54)</f>
        <v>102.54</v>
      </c>
      <c r="F8774" s="122">
        <f>IFERROR(__xludf.DUMMYFUNCTION("""COMPUTED_VALUE"""),-0.0064)</f>
        <v>-0.0064</v>
      </c>
    </row>
    <row r="8775">
      <c r="A8775" s="131">
        <f>IFERROR(__xludf.DUMMYFUNCTION("""COMPUTED_VALUE"""),46187.65435185185)</f>
        <v>46187.65435</v>
      </c>
      <c r="B8775" s="126">
        <f>IFERROR(__xludf.DUMMYFUNCTION("""COMPUTED_VALUE"""),46187.0)</f>
        <v>46187</v>
      </c>
      <c r="C8775" s="122" t="str">
        <f>IFERROR(__xludf.DUMMYFUNCTION("""COMPUTED_VALUE"""),"VRSE")</f>
        <v>VRSE</v>
      </c>
      <c r="D8775" s="122" t="str">
        <f>IFERROR(__xludf.DUMMYFUNCTION("""COMPUTED_VALUE"""),"VerseVR")</f>
        <v>VerseVR</v>
      </c>
      <c r="E8775" s="122">
        <f>IFERROR(__xludf.DUMMYFUNCTION("""COMPUTED_VALUE"""),145.86)</f>
        <v>145.86</v>
      </c>
      <c r="F8775" s="122">
        <f>IFERROR(__xludf.DUMMYFUNCTION("""COMPUTED_VALUE"""),-0.0071)</f>
        <v>-0.0071</v>
      </c>
    </row>
    <row r="8776">
      <c r="A8776" s="131">
        <f>IFERROR(__xludf.DUMMYFUNCTION("""COMPUTED_VALUE"""),46187.65435185185)</f>
        <v>46187.65435</v>
      </c>
      <c r="B8776" s="126">
        <f>IFERROR(__xludf.DUMMYFUNCTION("""COMPUTED_VALUE"""),46187.0)</f>
        <v>46187</v>
      </c>
      <c r="C8776" s="122" t="str">
        <f>IFERROR(__xludf.DUMMYFUNCTION("""COMPUTED_VALUE"""),"BYTE")</f>
        <v>BYTE</v>
      </c>
      <c r="D8776" s="122" t="str">
        <f>IFERROR(__xludf.DUMMYFUNCTION("""COMPUTED_VALUE"""),"ByteWorks")</f>
        <v>ByteWorks</v>
      </c>
      <c r="E8776" s="122">
        <f>IFERROR(__xludf.DUMMYFUNCTION("""COMPUTED_VALUE"""),110.92)</f>
        <v>110.92</v>
      </c>
      <c r="F8776" s="122">
        <f>IFERROR(__xludf.DUMMYFUNCTION("""COMPUTED_VALUE"""),-0.0023)</f>
        <v>-0.0023</v>
      </c>
    </row>
    <row r="8777">
      <c r="A8777" s="131">
        <f>IFERROR(__xludf.DUMMYFUNCTION("""COMPUTED_VALUE"""),46187.65435185185)</f>
        <v>46187.65435</v>
      </c>
      <c r="B8777" s="126">
        <f>IFERROR(__xludf.DUMMYFUNCTION("""COMPUTED_VALUE"""),46187.0)</f>
        <v>46187</v>
      </c>
      <c r="C8777" s="122" t="str">
        <f>IFERROR(__xludf.DUMMYFUNCTION("""COMPUTED_VALUE"""),"BANK")</f>
        <v>BANK</v>
      </c>
      <c r="D8777" s="122" t="str">
        <f>IFERROR(__xludf.DUMMYFUNCTION("""COMPUTED_VALUE"""),"Tiger Bank")</f>
        <v>Tiger Bank</v>
      </c>
      <c r="E8777" s="122">
        <f>IFERROR(__xludf.DUMMYFUNCTION("""COMPUTED_VALUE"""),132.91)</f>
        <v>132.91</v>
      </c>
      <c r="F8777" s="122">
        <f>IFERROR(__xludf.DUMMYFUNCTION("""COMPUTED_VALUE"""),0.0031)</f>
        <v>0.0031</v>
      </c>
    </row>
    <row r="8778">
      <c r="A8778" s="131">
        <f>IFERROR(__xludf.DUMMYFUNCTION("""COMPUTED_VALUE"""),46187.65435185185)</f>
        <v>46187.65435</v>
      </c>
      <c r="B8778" s="126">
        <f>IFERROR(__xludf.DUMMYFUNCTION("""COMPUTED_VALUE"""),46187.0)</f>
        <v>46187</v>
      </c>
      <c r="C8778" s="122" t="str">
        <f>IFERROR(__xludf.DUMMYFUNCTION("""COMPUTED_VALUE"""),"CRED")</f>
        <v>CRED</v>
      </c>
      <c r="D8778" s="122" t="str">
        <f>IFERROR(__xludf.DUMMYFUNCTION("""COMPUTED_VALUE"""),"Credit Castle")</f>
        <v>Credit Castle</v>
      </c>
      <c r="E8778" s="122">
        <f>IFERROR(__xludf.DUMMYFUNCTION("""COMPUTED_VALUE"""),66.31)</f>
        <v>66.31</v>
      </c>
      <c r="F8778" s="122">
        <f>IFERROR(__xludf.DUMMYFUNCTION("""COMPUTED_VALUE"""),-0.0039)</f>
        <v>-0.0039</v>
      </c>
    </row>
    <row r="8779">
      <c r="A8779" s="131">
        <f>IFERROR(__xludf.DUMMYFUNCTION("""COMPUTED_VALUE"""),46187.65435185185)</f>
        <v>46187.65435</v>
      </c>
      <c r="B8779" s="126">
        <f>IFERROR(__xludf.DUMMYFUNCTION("""COMPUTED_VALUE"""),46187.0)</f>
        <v>46187</v>
      </c>
      <c r="C8779" s="122" t="str">
        <f>IFERROR(__xludf.DUMMYFUNCTION("""COMPUTED_VALUE"""),"BOND")</f>
        <v>BOND</v>
      </c>
      <c r="D8779" s="122" t="str">
        <f>IFERROR(__xludf.DUMMYFUNCTION("""COMPUTED_VALUE"""),"BondBridge")</f>
        <v>BondBridge</v>
      </c>
      <c r="E8779" s="122">
        <f>IFERROR(__xludf.DUMMYFUNCTION("""COMPUTED_VALUE"""),106.35)</f>
        <v>106.35</v>
      </c>
      <c r="F8779" s="122">
        <f>IFERROR(__xludf.DUMMYFUNCTION("""COMPUTED_VALUE"""),0.0016)</f>
        <v>0.0016</v>
      </c>
    </row>
    <row r="8780">
      <c r="A8780" s="131">
        <f>IFERROR(__xludf.DUMMYFUNCTION("""COMPUTED_VALUE"""),46187.65435185185)</f>
        <v>46187.65435</v>
      </c>
      <c r="B8780" s="126">
        <f>IFERROR(__xludf.DUMMYFUNCTION("""COMPUTED_VALUE"""),46187.0)</f>
        <v>46187</v>
      </c>
      <c r="C8780" s="122" t="str">
        <f>IFERROR(__xludf.DUMMYFUNCTION("""COMPUTED_VALUE"""),"INSR")</f>
        <v>INSR</v>
      </c>
      <c r="D8780" s="122" t="str">
        <f>IFERROR(__xludf.DUMMYFUNCTION("""COMPUTED_VALUE"""),"Shield Insurance")</f>
        <v>Shield Insurance</v>
      </c>
      <c r="E8780" s="122">
        <f>IFERROR(__xludf.DUMMYFUNCTION("""COMPUTED_VALUE"""),156.81)</f>
        <v>156.81</v>
      </c>
      <c r="F8780" s="122">
        <f>IFERROR(__xludf.DUMMYFUNCTION("""COMPUTED_VALUE"""),0.0017)</f>
        <v>0.0017</v>
      </c>
    </row>
    <row r="8781">
      <c r="A8781" s="131">
        <f>IFERROR(__xludf.DUMMYFUNCTION("""COMPUTED_VALUE"""),46187.65435185185)</f>
        <v>46187.65435</v>
      </c>
      <c r="B8781" s="126">
        <f>IFERROR(__xludf.DUMMYFUNCTION("""COMPUTED_VALUE"""),46187.0)</f>
        <v>46187</v>
      </c>
      <c r="C8781" s="122" t="str">
        <f>IFERROR(__xludf.DUMMYFUNCTION("""COMPUTED_VALUE"""),"LOAN")</f>
        <v>LOAN</v>
      </c>
      <c r="D8781" s="122" t="str">
        <f>IFERROR(__xludf.DUMMYFUNCTION("""COMPUTED_VALUE"""),"LoanLab")</f>
        <v>LoanLab</v>
      </c>
      <c r="E8781" s="122">
        <f>IFERROR(__xludf.DUMMYFUNCTION("""COMPUTED_VALUE"""),72.95)</f>
        <v>72.95</v>
      </c>
      <c r="F8781" s="122">
        <f>IFERROR(__xludf.DUMMYFUNCTION("""COMPUTED_VALUE"""),0.0057)</f>
        <v>0.0057</v>
      </c>
    </row>
    <row r="8782">
      <c r="A8782" s="131">
        <f>IFERROR(__xludf.DUMMYFUNCTION("""COMPUTED_VALUE"""),46187.65435185185)</f>
        <v>46187.65435</v>
      </c>
      <c r="B8782" s="126">
        <f>IFERROR(__xludf.DUMMYFUNCTION("""COMPUTED_VALUE"""),46187.0)</f>
        <v>46187</v>
      </c>
      <c r="C8782" s="122" t="str">
        <f>IFERROR(__xludf.DUMMYFUNCTION("""COMPUTED_VALUE"""),"LUXE")</f>
        <v>LUXE</v>
      </c>
      <c r="D8782" s="122" t="str">
        <f>IFERROR(__xludf.DUMMYFUNCTION("""COMPUTED_VALUE"""),"Luxury Locker")</f>
        <v>Luxury Locker</v>
      </c>
      <c r="E8782" s="122">
        <f>IFERROR(__xludf.DUMMYFUNCTION("""COMPUTED_VALUE"""),267.46)</f>
        <v>267.46</v>
      </c>
      <c r="F8782" s="122">
        <f>IFERROR(__xludf.DUMMYFUNCTION("""COMPUTED_VALUE"""),-0.004)</f>
        <v>-0.004</v>
      </c>
    </row>
    <row r="8783">
      <c r="A8783" s="131">
        <f>IFERROR(__xludf.DUMMYFUNCTION("""COMPUTED_VALUE"""),46187.65435185185)</f>
        <v>46187.65435</v>
      </c>
      <c r="B8783" s="126">
        <f>IFERROR(__xludf.DUMMYFUNCTION("""COMPUTED_VALUE"""),46187.0)</f>
        <v>46187</v>
      </c>
      <c r="C8783" s="122" t="str">
        <f>IFERROR(__xludf.DUMMYFUNCTION("""COMPUTED_VALUE"""),"DRIP")</f>
        <v>DRIP</v>
      </c>
      <c r="D8783" s="122" t="str">
        <f>IFERROR(__xludf.DUMMYFUNCTION("""COMPUTED_VALUE"""),"Drip Streetwear")</f>
        <v>Drip Streetwear</v>
      </c>
      <c r="E8783" s="122">
        <f>IFERROR(__xludf.DUMMYFUNCTION("""COMPUTED_VALUE"""),189.74)</f>
        <v>189.74</v>
      </c>
      <c r="F8783" s="122">
        <f>IFERROR(__xludf.DUMMYFUNCTION("""COMPUTED_VALUE"""),-0.0033)</f>
        <v>-0.0033</v>
      </c>
    </row>
    <row r="8784">
      <c r="A8784" s="131">
        <f>IFERROR(__xludf.DUMMYFUNCTION("""COMPUTED_VALUE"""),46187.65435185185)</f>
        <v>46187.65435</v>
      </c>
      <c r="B8784" s="126">
        <f>IFERROR(__xludf.DUMMYFUNCTION("""COMPUTED_VALUE"""),46187.0)</f>
        <v>46187</v>
      </c>
      <c r="C8784" s="122" t="str">
        <f>IFERROR(__xludf.DUMMYFUNCTION("""COMPUTED_VALUE"""),"KICK")</f>
        <v>KICK</v>
      </c>
      <c r="D8784" s="122" t="str">
        <f>IFERROR(__xludf.DUMMYFUNCTION("""COMPUTED_VALUE"""),"KickDrop Sneakers")</f>
        <v>KickDrop Sneakers</v>
      </c>
      <c r="E8784" s="122">
        <f>IFERROR(__xludf.DUMMYFUNCTION("""COMPUTED_VALUE"""),171.02)</f>
        <v>171.02</v>
      </c>
      <c r="F8784" s="122">
        <f>IFERROR(__xludf.DUMMYFUNCTION("""COMPUTED_VALUE"""),-9.0E-4)</f>
        <v>-0.0009</v>
      </c>
    </row>
    <row r="8785">
      <c r="A8785" s="131">
        <f>IFERROR(__xludf.DUMMYFUNCTION("""COMPUTED_VALUE"""),46187.65435185185)</f>
        <v>46187.65435</v>
      </c>
      <c r="B8785" s="126">
        <f>IFERROR(__xludf.DUMMYFUNCTION("""COMPUTED_VALUE"""),46187.0)</f>
        <v>46187</v>
      </c>
      <c r="C8785" s="122" t="str">
        <f>IFERROR(__xludf.DUMMYFUNCTION("""COMPUTED_VALUE"""),"GLAM")</f>
        <v>GLAM</v>
      </c>
      <c r="D8785" s="122" t="str">
        <f>IFERROR(__xludf.DUMMYFUNCTION("""COMPUTED_VALUE"""),"Glow Cosmetics")</f>
        <v>Glow Cosmetics</v>
      </c>
      <c r="E8785" s="122">
        <f>IFERROR(__xludf.DUMMYFUNCTION("""COMPUTED_VALUE"""),110.36)</f>
        <v>110.36</v>
      </c>
      <c r="F8785" s="122">
        <f>IFERROR(__xludf.DUMMYFUNCTION("""COMPUTED_VALUE"""),0.0034)</f>
        <v>0.0034</v>
      </c>
    </row>
    <row r="8786">
      <c r="A8786" s="131">
        <f>IFERROR(__xludf.DUMMYFUNCTION("""COMPUTED_VALUE"""),46187.65435185185)</f>
        <v>46187.65435</v>
      </c>
      <c r="B8786" s="126">
        <f>IFERROR(__xludf.DUMMYFUNCTION("""COMPUTED_VALUE"""),46187.0)</f>
        <v>46187</v>
      </c>
      <c r="C8786" s="122" t="str">
        <f>IFERROR(__xludf.DUMMYFUNCTION("""COMPUTED_VALUE"""),"BAGG")</f>
        <v>BAGG</v>
      </c>
      <c r="D8786" s="122" t="str">
        <f>IFERROR(__xludf.DUMMYFUNCTION("""COMPUTED_VALUE"""),"BagVault")</f>
        <v>BagVault</v>
      </c>
      <c r="E8786" s="122">
        <f>IFERROR(__xludf.DUMMYFUNCTION("""COMPUTED_VALUE"""),283.12)</f>
        <v>283.12</v>
      </c>
      <c r="F8786" s="122">
        <f>IFERROR(__xludf.DUMMYFUNCTION("""COMPUTED_VALUE"""),0.0045)</f>
        <v>0.0045</v>
      </c>
    </row>
    <row r="8787">
      <c r="A8787" s="131">
        <f>IFERROR(__xludf.DUMMYFUNCTION("""COMPUTED_VALUE"""),46187.65435185185)</f>
        <v>46187.65435</v>
      </c>
      <c r="B8787" s="126">
        <f>IFERROR(__xludf.DUMMYFUNCTION("""COMPUTED_VALUE"""),46187.0)</f>
        <v>46187</v>
      </c>
      <c r="C8787" s="122" t="str">
        <f>IFERROR(__xludf.DUMMYFUNCTION("""COMPUTED_VALUE"""),"FAST")</f>
        <v>FAST</v>
      </c>
      <c r="D8787" s="122" t="str">
        <f>IFERROR(__xludf.DUMMYFUNCTION("""COMPUTED_VALUE"""),"Flash Logistics")</f>
        <v>Flash Logistics</v>
      </c>
      <c r="E8787" s="122">
        <f>IFERROR(__xludf.DUMMYFUNCTION("""COMPUTED_VALUE"""),107.13)</f>
        <v>107.13</v>
      </c>
      <c r="F8787" s="122">
        <f>IFERROR(__xludf.DUMMYFUNCTION("""COMPUTED_VALUE"""),0.0047)</f>
        <v>0.0047</v>
      </c>
    </row>
    <row r="8788">
      <c r="A8788" s="131">
        <f>IFERROR(__xludf.DUMMYFUNCTION("""COMPUTED_VALUE"""),46187.65435185185)</f>
        <v>46187.65435</v>
      </c>
      <c r="B8788" s="126">
        <f>IFERROR(__xludf.DUMMYFUNCTION("""COMPUTED_VALUE"""),46187.0)</f>
        <v>46187</v>
      </c>
      <c r="C8788" s="122" t="str">
        <f>IFERROR(__xludf.DUMMYFUNCTION("""COMPUTED_VALUE"""),"SHIP")</f>
        <v>SHIP</v>
      </c>
      <c r="D8788" s="122" t="str">
        <f>IFERROR(__xludf.DUMMYFUNCTION("""COMPUTED_VALUE"""),"Seoul Shipping")</f>
        <v>Seoul Shipping</v>
      </c>
      <c r="E8788" s="122">
        <f>IFERROR(__xludf.DUMMYFUNCTION("""COMPUTED_VALUE"""),128.01)</f>
        <v>128.01</v>
      </c>
      <c r="F8788" s="122">
        <f>IFERROR(__xludf.DUMMYFUNCTION("""COMPUTED_VALUE"""),-0.007)</f>
        <v>-0.007</v>
      </c>
    </row>
    <row r="8789">
      <c r="A8789" s="131">
        <f>IFERROR(__xludf.DUMMYFUNCTION("""COMPUTED_VALUE"""),46187.65435185185)</f>
        <v>46187.65435</v>
      </c>
      <c r="B8789" s="126">
        <f>IFERROR(__xludf.DUMMYFUNCTION("""COMPUTED_VALUE"""),46187.0)</f>
        <v>46187</v>
      </c>
      <c r="C8789" s="122" t="str">
        <f>IFERROR(__xludf.DUMMYFUNCTION("""COMPUTED_VALUE"""),"DRON")</f>
        <v>DRON</v>
      </c>
      <c r="D8789" s="122" t="str">
        <f>IFERROR(__xludf.DUMMYFUNCTION("""COMPUTED_VALUE"""),"DroneDrop")</f>
        <v>DroneDrop</v>
      </c>
      <c r="E8789" s="122">
        <f>IFERROR(__xludf.DUMMYFUNCTION("""COMPUTED_VALUE"""),121.12)</f>
        <v>121.12</v>
      </c>
      <c r="F8789" s="122">
        <f>IFERROR(__xludf.DUMMYFUNCTION("""COMPUTED_VALUE"""),-0.005)</f>
        <v>-0.005</v>
      </c>
    </row>
    <row r="8790">
      <c r="A8790" s="131">
        <f>IFERROR(__xludf.DUMMYFUNCTION("""COMPUTED_VALUE"""),46187.65435185185)</f>
        <v>46187.65435</v>
      </c>
      <c r="B8790" s="126">
        <f>IFERROR(__xludf.DUMMYFUNCTION("""COMPUTED_VALUE"""),46187.0)</f>
        <v>46187</v>
      </c>
      <c r="C8790" s="122" t="str">
        <f>IFERROR(__xludf.DUMMYFUNCTION("""COMPUTED_VALUE"""),"RIDE")</f>
        <v>RIDE</v>
      </c>
      <c r="D8790" s="122" t="str">
        <f>IFERROR(__xludf.DUMMYFUNCTION("""COMPUTED_VALUE"""),"QuickRide")</f>
        <v>QuickRide</v>
      </c>
      <c r="E8790" s="122">
        <f>IFERROR(__xludf.DUMMYFUNCTION("""COMPUTED_VALUE"""),101.78)</f>
        <v>101.78</v>
      </c>
      <c r="F8790" s="122">
        <f>IFERROR(__xludf.DUMMYFUNCTION("""COMPUTED_VALUE"""),0.0102)</f>
        <v>0.0102</v>
      </c>
    </row>
    <row r="8791">
      <c r="A8791" s="131">
        <f>IFERROR(__xludf.DUMMYFUNCTION("""COMPUTED_VALUE"""),46187.65435185185)</f>
        <v>46187.65435</v>
      </c>
      <c r="B8791" s="126">
        <f>IFERROR(__xludf.DUMMYFUNCTION("""COMPUTED_VALUE"""),46187.0)</f>
        <v>46187</v>
      </c>
      <c r="C8791" s="122" t="str">
        <f>IFERROR(__xludf.DUMMYFUNCTION("""COMPUTED_VALUE"""),"RAIL")</f>
        <v>RAIL</v>
      </c>
      <c r="D8791" s="122" t="str">
        <f>IFERROR(__xludf.DUMMYFUNCTION("""COMPUTED_VALUE"""),"MetroRail Corp")</f>
        <v>MetroRail Corp</v>
      </c>
      <c r="E8791" s="122">
        <f>IFERROR(__xludf.DUMMYFUNCTION("""COMPUTED_VALUE"""),130.67)</f>
        <v>130.67</v>
      </c>
      <c r="F8791" s="122">
        <f>IFERROR(__xludf.DUMMYFUNCTION("""COMPUTED_VALUE"""),-0.002)</f>
        <v>-0.002</v>
      </c>
    </row>
    <row r="8792">
      <c r="A8792" s="131">
        <f>IFERROR(__xludf.DUMMYFUNCTION("""COMPUTED_VALUE"""),46187.65435185185)</f>
        <v>46187.65435</v>
      </c>
      <c r="B8792" s="126">
        <f>IFERROR(__xludf.DUMMYFUNCTION("""COMPUTED_VALUE"""),46187.0)</f>
        <v>46187</v>
      </c>
      <c r="C8792" s="122" t="str">
        <f>IFERROR(__xludf.DUMMYFUNCTION("""COMPUTED_VALUE"""),"MEDX")</f>
        <v>MEDX</v>
      </c>
      <c r="D8792" s="122" t="str">
        <f>IFERROR(__xludf.DUMMYFUNCTION("""COMPUTED_VALUE"""),"MediCore")</f>
        <v>MediCore</v>
      </c>
      <c r="E8792" s="122">
        <f>IFERROR(__xludf.DUMMYFUNCTION("""COMPUTED_VALUE"""),139.82)</f>
        <v>139.82</v>
      </c>
      <c r="F8792" s="122">
        <f>IFERROR(__xludf.DUMMYFUNCTION("""COMPUTED_VALUE"""),0.0026)</f>
        <v>0.0026</v>
      </c>
    </row>
    <row r="8793">
      <c r="A8793" s="131">
        <f>IFERROR(__xludf.DUMMYFUNCTION("""COMPUTED_VALUE"""),46187.65435185185)</f>
        <v>46187.65435</v>
      </c>
      <c r="B8793" s="126">
        <f>IFERROR(__xludf.DUMMYFUNCTION("""COMPUTED_VALUE"""),46187.0)</f>
        <v>46187</v>
      </c>
      <c r="C8793" s="122" t="str">
        <f>IFERROR(__xludf.DUMMYFUNCTION("""COMPUTED_VALUE"""),"GYMX")</f>
        <v>GYMX</v>
      </c>
      <c r="D8793" s="122" t="str">
        <f>IFERROR(__xludf.DUMMYFUNCTION("""COMPUTED_VALUE"""),"GymX Fitness")</f>
        <v>GymX Fitness</v>
      </c>
      <c r="E8793" s="122">
        <f>IFERROR(__xludf.DUMMYFUNCTION("""COMPUTED_VALUE"""),81.33)</f>
        <v>81.33</v>
      </c>
      <c r="F8793" s="122">
        <f>IFERROR(__xludf.DUMMYFUNCTION("""COMPUTED_VALUE"""),-0.0036)</f>
        <v>-0.0036</v>
      </c>
    </row>
    <row r="8794">
      <c r="A8794" s="131">
        <f>IFERROR(__xludf.DUMMYFUNCTION("""COMPUTED_VALUE"""),46187.65435185185)</f>
        <v>46187.65435</v>
      </c>
      <c r="B8794" s="126">
        <f>IFERROR(__xludf.DUMMYFUNCTION("""COMPUTED_VALUE"""),46187.0)</f>
        <v>46187</v>
      </c>
      <c r="C8794" s="122" t="str">
        <f>IFERROR(__xludf.DUMMYFUNCTION("""COMPUTED_VALUE"""),"VITA")</f>
        <v>VITA</v>
      </c>
      <c r="D8794" s="122" t="str">
        <f>IFERROR(__xludf.DUMMYFUNCTION("""COMPUTED_VALUE"""),"VitaPlus")</f>
        <v>VitaPlus</v>
      </c>
      <c r="E8794" s="122">
        <f>IFERROR(__xludf.DUMMYFUNCTION("""COMPUTED_VALUE"""),71.98)</f>
        <v>71.98</v>
      </c>
      <c r="F8794" s="122">
        <f>IFERROR(__xludf.DUMMYFUNCTION("""COMPUTED_VALUE"""),0.0026)</f>
        <v>0.0026</v>
      </c>
    </row>
    <row r="8795">
      <c r="A8795" s="131">
        <f>IFERROR(__xludf.DUMMYFUNCTION("""COMPUTED_VALUE"""),46187.65435185185)</f>
        <v>46187.65435</v>
      </c>
      <c r="B8795" s="126">
        <f>IFERROR(__xludf.DUMMYFUNCTION("""COMPUTED_VALUE"""),46187.0)</f>
        <v>46187</v>
      </c>
      <c r="C8795" s="122" t="str">
        <f>IFERROR(__xludf.DUMMYFUNCTION("""COMPUTED_VALUE"""),"CARE")</f>
        <v>CARE</v>
      </c>
      <c r="D8795" s="122" t="str">
        <f>IFERROR(__xludf.DUMMYFUNCTION("""COMPUTED_VALUE"""),"CareCloud")</f>
        <v>CareCloud</v>
      </c>
      <c r="E8795" s="122">
        <f>IFERROR(__xludf.DUMMYFUNCTION("""COMPUTED_VALUE"""),185.49)</f>
        <v>185.49</v>
      </c>
      <c r="F8795" s="122">
        <f>IFERROR(__xludf.DUMMYFUNCTION("""COMPUTED_VALUE"""),0.0073)</f>
        <v>0.0073</v>
      </c>
    </row>
    <row r="8796">
      <c r="A8796" s="131">
        <f>IFERROR(__xludf.DUMMYFUNCTION("""COMPUTED_VALUE"""),46187.65435185185)</f>
        <v>46187.65435</v>
      </c>
      <c r="B8796" s="126">
        <f>IFERROR(__xludf.DUMMYFUNCTION("""COMPUTED_VALUE"""),46187.0)</f>
        <v>46187</v>
      </c>
      <c r="C8796" s="122" t="str">
        <f>IFERROR(__xludf.DUMMYFUNCTION("""COMPUTED_VALUE"""),"DENT")</f>
        <v>DENT</v>
      </c>
      <c r="D8796" s="122" t="str">
        <f>IFERROR(__xludf.DUMMYFUNCTION("""COMPUTED_VALUE"""),"SmileWorks")</f>
        <v>SmileWorks</v>
      </c>
      <c r="E8796" s="122">
        <f>IFERROR(__xludf.DUMMYFUNCTION("""COMPUTED_VALUE"""),98.83)</f>
        <v>98.83</v>
      </c>
      <c r="F8796" s="122">
        <f>IFERROR(__xludf.DUMMYFUNCTION("""COMPUTED_VALUE"""),0.0053)</f>
        <v>0.0053</v>
      </c>
    </row>
    <row r="8797">
      <c r="A8797" s="131">
        <f>IFERROR(__xludf.DUMMYFUNCTION("""COMPUTED_VALUE"""),46187.65435185185)</f>
        <v>46187.65435</v>
      </c>
      <c r="B8797" s="126">
        <f>IFERROR(__xludf.DUMMYFUNCTION("""COMPUTED_VALUE"""),46187.0)</f>
        <v>46187</v>
      </c>
      <c r="C8797" s="122" t="str">
        <f>IFERROR(__xludf.DUMMYFUNCTION("""COMPUTED_VALUE"""),"EDUX")</f>
        <v>EDUX</v>
      </c>
      <c r="D8797" s="122" t="str">
        <f>IFERROR(__xludf.DUMMYFUNCTION("""COMPUTED_VALUE"""),"EduMax Learning")</f>
        <v>EduMax Learning</v>
      </c>
      <c r="E8797" s="122">
        <f>IFERROR(__xludf.DUMMYFUNCTION("""COMPUTED_VALUE"""),153.17)</f>
        <v>153.17</v>
      </c>
      <c r="F8797" s="122">
        <f>IFERROR(__xludf.DUMMYFUNCTION("""COMPUTED_VALUE"""),-0.0025)</f>
        <v>-0.0025</v>
      </c>
    </row>
    <row r="8798">
      <c r="A8798" s="131">
        <f>IFERROR(__xludf.DUMMYFUNCTION("""COMPUTED_VALUE"""),46187.65435185185)</f>
        <v>46187.65435</v>
      </c>
      <c r="B8798" s="126">
        <f>IFERROR(__xludf.DUMMYFUNCTION("""COMPUTED_VALUE"""),46187.0)</f>
        <v>46187</v>
      </c>
      <c r="C8798" s="122" t="str">
        <f>IFERROR(__xludf.DUMMYFUNCTION("""COMPUTED_VALUE"""),"BOOK")</f>
        <v>BOOK</v>
      </c>
      <c r="D8798" s="122" t="str">
        <f>IFERROR(__xludf.DUMMYFUNCTION("""COMPUTED_VALUE"""),"BookBridge")</f>
        <v>BookBridge</v>
      </c>
      <c r="E8798" s="122">
        <f>IFERROR(__xludf.DUMMYFUNCTION("""COMPUTED_VALUE"""),119.92)</f>
        <v>119.92</v>
      </c>
      <c r="F8798" s="122">
        <f>IFERROR(__xludf.DUMMYFUNCTION("""COMPUTED_VALUE"""),-0.0027)</f>
        <v>-0.0027</v>
      </c>
    </row>
    <row r="8799">
      <c r="A8799" s="131">
        <f>IFERROR(__xludf.DUMMYFUNCTION("""COMPUTED_VALUE"""),46187.65435185185)</f>
        <v>46187.65435</v>
      </c>
      <c r="B8799" s="126">
        <f>IFERROR(__xludf.DUMMYFUNCTION("""COMPUTED_VALUE"""),46187.0)</f>
        <v>46187</v>
      </c>
      <c r="C8799" s="122" t="str">
        <f>IFERROR(__xludf.DUMMYFUNCTION("""COMPUTED_VALUE"""),"TUTR")</f>
        <v>TUTR</v>
      </c>
      <c r="D8799" s="122" t="str">
        <f>IFERROR(__xludf.DUMMYFUNCTION("""COMPUTED_VALUE"""),"TutorTown")</f>
        <v>TutorTown</v>
      </c>
      <c r="E8799" s="122">
        <f>IFERROR(__xludf.DUMMYFUNCTION("""COMPUTED_VALUE"""),91.69)</f>
        <v>91.69</v>
      </c>
      <c r="F8799" s="122">
        <f>IFERROR(__xludf.DUMMYFUNCTION("""COMPUTED_VALUE"""),0.0)</f>
        <v>0</v>
      </c>
    </row>
    <row r="8800">
      <c r="A8800" s="131">
        <f>IFERROR(__xludf.DUMMYFUNCTION("""COMPUTED_VALUE"""),46187.65435185185)</f>
        <v>46187.65435</v>
      </c>
      <c r="B8800" s="126">
        <f>IFERROR(__xludf.DUMMYFUNCTION("""COMPUTED_VALUE"""),46187.0)</f>
        <v>46187</v>
      </c>
      <c r="C8800" s="122" t="str">
        <f>IFERROR(__xludf.DUMMYFUNCTION("""COMPUTED_VALUE"""),"LANG")</f>
        <v>LANG</v>
      </c>
      <c r="D8800" s="122" t="str">
        <f>IFERROR(__xludf.DUMMYFUNCTION("""COMPUTED_VALUE"""),"LinguaLab")</f>
        <v>LinguaLab</v>
      </c>
      <c r="E8800" s="122">
        <f>IFERROR(__xludf.DUMMYFUNCTION("""COMPUTED_VALUE"""),102.85)</f>
        <v>102.85</v>
      </c>
      <c r="F8800" s="122">
        <f>IFERROR(__xludf.DUMMYFUNCTION("""COMPUTED_VALUE"""),-7.0E-4)</f>
        <v>-0.0007</v>
      </c>
    </row>
    <row r="8801">
      <c r="A8801" s="131">
        <f>IFERROR(__xludf.DUMMYFUNCTION("""COMPUTED_VALUE"""),46187.65435185185)</f>
        <v>46187.65435</v>
      </c>
      <c r="B8801" s="126">
        <f>IFERROR(__xludf.DUMMYFUNCTION("""COMPUTED_VALUE"""),46187.0)</f>
        <v>46187</v>
      </c>
      <c r="C8801" s="122" t="str">
        <f>IFERROR(__xludf.DUMMYFUNCTION("""COMPUTED_VALUE"""),"TEST")</f>
        <v>TEST</v>
      </c>
      <c r="D8801" s="122" t="str">
        <f>IFERROR(__xludf.DUMMYFUNCTION("""COMPUTED_VALUE"""),"TestPrep Pro")</f>
        <v>TestPrep Pro</v>
      </c>
      <c r="E8801" s="122">
        <f>IFERROR(__xludf.DUMMYFUNCTION("""COMPUTED_VALUE"""),89.1)</f>
        <v>89.1</v>
      </c>
      <c r="F8801" s="122">
        <f>IFERROR(__xludf.DUMMYFUNCTION("""COMPUTED_VALUE"""),-0.0051)</f>
        <v>-0.0051</v>
      </c>
    </row>
    <row r="8802">
      <c r="A8802" s="131">
        <f>IFERROR(__xludf.DUMMYFUNCTION("""COMPUTED_VALUE"""),46187.65435185185)</f>
        <v>46187.65435</v>
      </c>
      <c r="B8802" s="126">
        <f>IFERROR(__xludf.DUMMYFUNCTION("""COMPUTED_VALUE"""),46187.0)</f>
        <v>46187</v>
      </c>
      <c r="C8802" s="122" t="str">
        <f>IFERROR(__xludf.DUMMYFUNCTION("""COMPUTED_VALUE"""),"MOVI")</f>
        <v>MOVI</v>
      </c>
      <c r="D8802" s="122" t="str">
        <f>IFERROR(__xludf.DUMMYFUNCTION("""COMPUTED_VALUE"""),"MovieBox")</f>
        <v>MovieBox</v>
      </c>
      <c r="E8802" s="122">
        <f>IFERROR(__xludf.DUMMYFUNCTION("""COMPUTED_VALUE"""),82.79)</f>
        <v>82.79</v>
      </c>
      <c r="F8802" s="122">
        <f>IFERROR(__xludf.DUMMYFUNCTION("""COMPUTED_VALUE"""),0.0056)</f>
        <v>0.0056</v>
      </c>
    </row>
    <row r="8803">
      <c r="A8803" s="131">
        <f>IFERROR(__xludf.DUMMYFUNCTION("""COMPUTED_VALUE"""),46187.65435185185)</f>
        <v>46187.65435</v>
      </c>
      <c r="B8803" s="126">
        <f>IFERROR(__xludf.DUMMYFUNCTION("""COMPUTED_VALUE"""),46187.0)</f>
        <v>46187</v>
      </c>
      <c r="C8803" s="122" t="str">
        <f>IFERROR(__xludf.DUMMYFUNCTION("""COMPUTED_VALUE"""),"MUSC")</f>
        <v>MUSC</v>
      </c>
      <c r="D8803" s="122" t="str">
        <f>IFERROR(__xludf.DUMMYFUNCTION("""COMPUTED_VALUE"""),"MusicWave")</f>
        <v>MusicWave</v>
      </c>
      <c r="E8803" s="122">
        <f>IFERROR(__xludf.DUMMYFUNCTION("""COMPUTED_VALUE"""),105.07)</f>
        <v>105.07</v>
      </c>
      <c r="F8803" s="122">
        <f>IFERROR(__xludf.DUMMYFUNCTION("""COMPUTED_VALUE"""),-8.0E-4)</f>
        <v>-0.0008</v>
      </c>
    </row>
    <row r="8804">
      <c r="A8804" s="131">
        <f>IFERROR(__xludf.DUMMYFUNCTION("""COMPUTED_VALUE"""),46187.65435185185)</f>
        <v>46187.65435</v>
      </c>
      <c r="B8804" s="126">
        <f>IFERROR(__xludf.DUMMYFUNCTION("""COMPUTED_VALUE"""),46187.0)</f>
        <v>46187</v>
      </c>
      <c r="C8804" s="122" t="str">
        <f>IFERROR(__xludf.DUMMYFUNCTION("""COMPUTED_VALUE"""),"IDOL")</f>
        <v>IDOL</v>
      </c>
      <c r="D8804" s="122" t="str">
        <f>IFERROR(__xludf.DUMMYFUNCTION("""COMPUTED_VALUE"""),"Idol Agency")</f>
        <v>Idol Agency</v>
      </c>
      <c r="E8804" s="122">
        <f>IFERROR(__xludf.DUMMYFUNCTION("""COMPUTED_VALUE"""),187.8)</f>
        <v>187.8</v>
      </c>
      <c r="F8804" s="122">
        <f>IFERROR(__xludf.DUMMYFUNCTION("""COMPUTED_VALUE"""),0.0059)</f>
        <v>0.0059</v>
      </c>
    </row>
    <row r="8805">
      <c r="A8805" s="131">
        <f>IFERROR(__xludf.DUMMYFUNCTION("""COMPUTED_VALUE"""),46187.65435185185)</f>
        <v>46187.65435</v>
      </c>
      <c r="B8805" s="126">
        <f>IFERROR(__xludf.DUMMYFUNCTION("""COMPUTED_VALUE"""),46187.0)</f>
        <v>46187</v>
      </c>
      <c r="C8805" s="122" t="str">
        <f>IFERROR(__xludf.DUMMYFUNCTION("""COMPUTED_VALUE"""),"MEME")</f>
        <v>MEME</v>
      </c>
      <c r="D8805" s="122" t="str">
        <f>IFERROR(__xludf.DUMMYFUNCTION("""COMPUTED_VALUE"""),"Meme Media")</f>
        <v>Meme Media</v>
      </c>
      <c r="E8805" s="122">
        <f>IFERROR(__xludf.DUMMYFUNCTION("""COMPUTED_VALUE"""),70.74)</f>
        <v>70.74</v>
      </c>
      <c r="F8805" s="122">
        <f>IFERROR(__xludf.DUMMYFUNCTION("""COMPUTED_VALUE"""),0.0063)</f>
        <v>0.0063</v>
      </c>
    </row>
    <row r="8806">
      <c r="A8806" s="131">
        <f>IFERROR(__xludf.DUMMYFUNCTION("""COMPUTED_VALUE"""),46187.65435185185)</f>
        <v>46187.65435</v>
      </c>
      <c r="B8806" s="126">
        <f>IFERROR(__xludf.DUMMYFUNCTION("""COMPUTED_VALUE"""),46187.0)</f>
        <v>46187</v>
      </c>
      <c r="C8806" s="122" t="str">
        <f>IFERROR(__xludf.DUMMYFUNCTION("""COMPUTED_VALUE"""),"STRM")</f>
        <v>STRM</v>
      </c>
      <c r="D8806" s="122" t="str">
        <f>IFERROR(__xludf.DUMMYFUNCTION("""COMPUTED_VALUE"""),"Streamly")</f>
        <v>Streamly</v>
      </c>
      <c r="E8806" s="122">
        <f>IFERROR(__xludf.DUMMYFUNCTION("""COMPUTED_VALUE"""),134.07)</f>
        <v>134.07</v>
      </c>
      <c r="F8806" s="122">
        <f>IFERROR(__xludf.DUMMYFUNCTION("""COMPUTED_VALUE"""),0.006)</f>
        <v>0.006</v>
      </c>
    </row>
    <row r="8807">
      <c r="A8807" s="131">
        <f>IFERROR(__xludf.DUMMYFUNCTION("""COMPUTED_VALUE"""),46187.65435185185)</f>
        <v>46187.65435</v>
      </c>
      <c r="B8807" s="126">
        <f>IFERROR(__xludf.DUMMYFUNCTION("""COMPUTED_VALUE"""),46187.0)</f>
        <v>46187</v>
      </c>
      <c r="C8807" s="122" t="str">
        <f>IFERROR(__xludf.DUMMYFUNCTION("""COMPUTED_VALUE"""),"FARM")</f>
        <v>FARM</v>
      </c>
      <c r="D8807" s="122" t="str">
        <f>IFERROR(__xludf.DUMMYFUNCTION("""COMPUTED_VALUE"""),"Future Farms")</f>
        <v>Future Farms</v>
      </c>
      <c r="E8807" s="122">
        <f>IFERROR(__xludf.DUMMYFUNCTION("""COMPUTED_VALUE"""),99.87)</f>
        <v>99.87</v>
      </c>
      <c r="F8807" s="122">
        <f>IFERROR(__xludf.DUMMYFUNCTION("""COMPUTED_VALUE"""),0.003)</f>
        <v>0.003</v>
      </c>
    </row>
    <row r="8808">
      <c r="A8808" s="131">
        <f>IFERROR(__xludf.DUMMYFUNCTION("""COMPUTED_VALUE"""),46187.65435185185)</f>
        <v>46187.65435</v>
      </c>
      <c r="B8808" s="126">
        <f>IFERROR(__xludf.DUMMYFUNCTION("""COMPUTED_VALUE"""),46187.0)</f>
        <v>46187</v>
      </c>
      <c r="C8808" s="122" t="str">
        <f>IFERROR(__xludf.DUMMYFUNCTION("""COMPUTED_VALUE"""),"MEAT")</f>
        <v>MEAT</v>
      </c>
      <c r="D8808" s="122" t="str">
        <f>IFERROR(__xludf.DUMMYFUNCTION("""COMPUTED_VALUE"""),"MeatWorks")</f>
        <v>MeatWorks</v>
      </c>
      <c r="E8808" s="122">
        <f>IFERROR(__xludf.DUMMYFUNCTION("""COMPUTED_VALUE"""),104.67)</f>
        <v>104.67</v>
      </c>
      <c r="F8808" s="122">
        <f>IFERROR(__xludf.DUMMYFUNCTION("""COMPUTED_VALUE"""),-0.0036)</f>
        <v>-0.0036</v>
      </c>
    </row>
    <row r="8809">
      <c r="A8809" s="131">
        <f>IFERROR(__xludf.DUMMYFUNCTION("""COMPUTED_VALUE"""),46187.65435185185)</f>
        <v>46187.65435</v>
      </c>
      <c r="B8809" s="126">
        <f>IFERROR(__xludf.DUMMYFUNCTION("""COMPUTED_VALUE"""),46187.0)</f>
        <v>46187</v>
      </c>
      <c r="C8809" s="122" t="str">
        <f>IFERROR(__xludf.DUMMYFUNCTION("""COMPUTED_VALUE"""),"VEGI")</f>
        <v>VEGI</v>
      </c>
      <c r="D8809" s="122" t="str">
        <f>IFERROR(__xludf.DUMMYFUNCTION("""COMPUTED_VALUE"""),"Green Basket")</f>
        <v>Green Basket</v>
      </c>
      <c r="E8809" s="122">
        <f>IFERROR(__xludf.DUMMYFUNCTION("""COMPUTED_VALUE"""),77.07)</f>
        <v>77.07</v>
      </c>
      <c r="F8809" s="122">
        <f>IFERROR(__xludf.DUMMYFUNCTION("""COMPUTED_VALUE"""),-0.001)</f>
        <v>-0.001</v>
      </c>
    </row>
    <row r="8810">
      <c r="A8810" s="131">
        <f>IFERROR(__xludf.DUMMYFUNCTION("""COMPUTED_VALUE"""),46187.65435185185)</f>
        <v>46187.65435</v>
      </c>
      <c r="B8810" s="126">
        <f>IFERROR(__xludf.DUMMYFUNCTION("""COMPUTED_VALUE"""),46187.0)</f>
        <v>46187</v>
      </c>
      <c r="C8810" s="122" t="str">
        <f>IFERROR(__xludf.DUMMYFUNCTION("""COMPUTED_VALUE"""),"CAFE")</f>
        <v>CAFE</v>
      </c>
      <c r="D8810" s="122" t="str">
        <f>IFERROR(__xludf.DUMMYFUNCTION("""COMPUTED_VALUE"""),"Cafe Cloud")</f>
        <v>Cafe Cloud</v>
      </c>
      <c r="E8810" s="122">
        <f>IFERROR(__xludf.DUMMYFUNCTION("""COMPUTED_VALUE"""),103.23)</f>
        <v>103.23</v>
      </c>
      <c r="F8810" s="122">
        <f>IFERROR(__xludf.DUMMYFUNCTION("""COMPUTED_VALUE"""),0.0011)</f>
        <v>0.0011</v>
      </c>
    </row>
    <row r="8811">
      <c r="A8811" s="131">
        <f>IFERROR(__xludf.DUMMYFUNCTION("""COMPUTED_VALUE"""),46187.65435185185)</f>
        <v>46187.65435</v>
      </c>
      <c r="B8811" s="126">
        <f>IFERROR(__xludf.DUMMYFUNCTION("""COMPUTED_VALUE"""),46187.0)</f>
        <v>46187</v>
      </c>
      <c r="C8811" s="122" t="str">
        <f>IFERROR(__xludf.DUMMYFUNCTION("""COMPUTED_VALUE"""),"BAKE")</f>
        <v>BAKE</v>
      </c>
      <c r="D8811" s="122" t="str">
        <f>IFERROR(__xludf.DUMMYFUNCTION("""COMPUTED_VALUE"""),"BakeHouse")</f>
        <v>BakeHouse</v>
      </c>
      <c r="E8811" s="122">
        <f>IFERROR(__xludf.DUMMYFUNCTION("""COMPUTED_VALUE"""),100.84)</f>
        <v>100.84</v>
      </c>
      <c r="F8811" s="122">
        <f>IFERROR(__xludf.DUMMYFUNCTION("""COMPUTED_VALUE"""),0.0029)</f>
        <v>0.0029</v>
      </c>
    </row>
    <row r="8812">
      <c r="A8812" s="131">
        <f>IFERROR(__xludf.DUMMYFUNCTION("""COMPUTED_VALUE"""),46187.65435185185)</f>
        <v>46187.65435</v>
      </c>
      <c r="B8812" s="126">
        <f>IFERROR(__xludf.DUMMYFUNCTION("""COMPUTED_VALUE"""),46187.0)</f>
        <v>46187</v>
      </c>
      <c r="C8812" s="122" t="str">
        <f>IFERROR(__xludf.DUMMYFUNCTION("""COMPUTED_VALUE"""),"OILX")</f>
        <v>OILX</v>
      </c>
      <c r="D8812" s="122" t="str">
        <f>IFERROR(__xludf.DUMMYFUNCTION("""COMPUTED_VALUE"""),"OilMax Energy")</f>
        <v>OilMax Energy</v>
      </c>
      <c r="E8812" s="122">
        <f>IFERROR(__xludf.DUMMYFUNCTION("""COMPUTED_VALUE"""),133.02)</f>
        <v>133.02</v>
      </c>
      <c r="F8812" s="122">
        <f>IFERROR(__xludf.DUMMYFUNCTION("""COMPUTED_VALUE"""),-0.0088)</f>
        <v>-0.0088</v>
      </c>
    </row>
    <row r="8813">
      <c r="A8813" s="131">
        <f>IFERROR(__xludf.DUMMYFUNCTION("""COMPUTED_VALUE"""),46187.65435185185)</f>
        <v>46187.65435</v>
      </c>
      <c r="B8813" s="126">
        <f>IFERROR(__xludf.DUMMYFUNCTION("""COMPUTED_VALUE"""),46187.0)</f>
        <v>46187</v>
      </c>
      <c r="C8813" s="122" t="str">
        <f>IFERROR(__xludf.DUMMYFUNCTION("""COMPUTED_VALUE"""),"SOLR")</f>
        <v>SOLR</v>
      </c>
      <c r="D8813" s="122" t="str">
        <f>IFERROR(__xludf.DUMMYFUNCTION("""COMPUTED_VALUE"""),"SolarSpark")</f>
        <v>SolarSpark</v>
      </c>
      <c r="E8813" s="122">
        <f>IFERROR(__xludf.DUMMYFUNCTION("""COMPUTED_VALUE"""),108.3)</f>
        <v>108.3</v>
      </c>
      <c r="F8813" s="122">
        <f>IFERROR(__xludf.DUMMYFUNCTION("""COMPUTED_VALUE"""),-0.0039)</f>
        <v>-0.0039</v>
      </c>
    </row>
    <row r="8814">
      <c r="A8814" s="131">
        <f>IFERROR(__xludf.DUMMYFUNCTION("""COMPUTED_VALUE"""),46187.65435185185)</f>
        <v>46187.65435</v>
      </c>
      <c r="B8814" s="126">
        <f>IFERROR(__xludf.DUMMYFUNCTION("""COMPUTED_VALUE"""),46187.0)</f>
        <v>46187</v>
      </c>
      <c r="C8814" s="122" t="str">
        <f>IFERROR(__xludf.DUMMYFUNCTION("""COMPUTED_VALUE"""),"BATT")</f>
        <v>BATT</v>
      </c>
      <c r="D8814" s="122" t="str">
        <f>IFERROR(__xludf.DUMMYFUNCTION("""COMPUTED_VALUE"""),"BatteryBox")</f>
        <v>BatteryBox</v>
      </c>
      <c r="E8814" s="122">
        <f>IFERROR(__xludf.DUMMYFUNCTION("""COMPUTED_VALUE"""),122.89)</f>
        <v>122.89</v>
      </c>
      <c r="F8814" s="122">
        <f>IFERROR(__xludf.DUMMYFUNCTION("""COMPUTED_VALUE"""),0.0067)</f>
        <v>0.0067</v>
      </c>
    </row>
    <row r="8815">
      <c r="A8815" s="131">
        <f>IFERROR(__xludf.DUMMYFUNCTION("""COMPUTED_VALUE"""),46187.65435185185)</f>
        <v>46187.65435</v>
      </c>
      <c r="B8815" s="126">
        <f>IFERROR(__xludf.DUMMYFUNCTION("""COMPUTED_VALUE"""),46187.0)</f>
        <v>46187</v>
      </c>
      <c r="C8815" s="122" t="str">
        <f>IFERROR(__xludf.DUMMYFUNCTION("""COMPUTED_VALUE"""),"WIND")</f>
        <v>WIND</v>
      </c>
      <c r="D8815" s="122" t="str">
        <f>IFERROR(__xludf.DUMMYFUNCTION("""COMPUTED_VALUE"""),"WindWorks")</f>
        <v>WindWorks</v>
      </c>
      <c r="E8815" s="122">
        <f>IFERROR(__xludf.DUMMYFUNCTION("""COMPUTED_VALUE"""),84.84)</f>
        <v>84.84</v>
      </c>
      <c r="F8815" s="122">
        <f>IFERROR(__xludf.DUMMYFUNCTION("""COMPUTED_VALUE"""),-0.0033)</f>
        <v>-0.0033</v>
      </c>
    </row>
    <row r="8816">
      <c r="A8816" s="131">
        <f>IFERROR(__xludf.DUMMYFUNCTION("""COMPUTED_VALUE"""),46187.65435185185)</f>
        <v>46187.65435</v>
      </c>
      <c r="B8816" s="126">
        <f>IFERROR(__xludf.DUMMYFUNCTION("""COMPUTED_VALUE"""),46187.0)</f>
        <v>46187</v>
      </c>
      <c r="C8816" s="122" t="str">
        <f>IFERROR(__xludf.DUMMYFUNCTION("""COMPUTED_VALUE"""),"GRID")</f>
        <v>GRID</v>
      </c>
      <c r="D8816" s="122" t="str">
        <f>IFERROR(__xludf.DUMMYFUNCTION("""COMPUTED_VALUE"""),"GridPower")</f>
        <v>GridPower</v>
      </c>
      <c r="E8816" s="122">
        <f>IFERROR(__xludf.DUMMYFUNCTION("""COMPUTED_VALUE"""),124.87)</f>
        <v>124.87</v>
      </c>
      <c r="F8816" s="122">
        <f>IFERROR(__xludf.DUMMYFUNCTION("""COMPUTED_VALUE"""),0.0037)</f>
        <v>0.0037</v>
      </c>
    </row>
    <row r="8817">
      <c r="A8817" s="131">
        <f>IFERROR(__xludf.DUMMYFUNCTION("""COMPUTED_VALUE"""),46187.65435185185)</f>
        <v>46187.65435</v>
      </c>
      <c r="B8817" s="126">
        <f>IFERROR(__xludf.DUMMYFUNCTION("""COMPUTED_VALUE"""),46187.0)</f>
        <v>46187</v>
      </c>
      <c r="C8817" s="122" t="str">
        <f>IFERROR(__xludf.DUMMYFUNCTION("""COMPUTED_VALUE"""),"HOME")</f>
        <v>HOME</v>
      </c>
      <c r="D8817" s="122" t="str">
        <f>IFERROR(__xludf.DUMMYFUNCTION("""COMPUTED_VALUE"""),"HomeHub")</f>
        <v>HomeHub</v>
      </c>
      <c r="E8817" s="122">
        <f>IFERROR(__xludf.DUMMYFUNCTION("""COMPUTED_VALUE"""),162.17)</f>
        <v>162.17</v>
      </c>
      <c r="F8817" s="122">
        <f>IFERROR(__xludf.DUMMYFUNCTION("""COMPUTED_VALUE"""),0.0034)</f>
        <v>0.0034</v>
      </c>
    </row>
    <row r="8818">
      <c r="A8818" s="131">
        <f>IFERROR(__xludf.DUMMYFUNCTION("""COMPUTED_VALUE"""),46187.65435185185)</f>
        <v>46187.65435</v>
      </c>
      <c r="B8818" s="126">
        <f>IFERROR(__xludf.DUMMYFUNCTION("""COMPUTED_VALUE"""),46187.0)</f>
        <v>46187</v>
      </c>
      <c r="C8818" s="122" t="str">
        <f>IFERROR(__xludf.DUMMYFUNCTION("""COMPUTED_VALUE"""),"RENT")</f>
        <v>RENT</v>
      </c>
      <c r="D8818" s="122" t="str">
        <f>IFERROR(__xludf.DUMMYFUNCTION("""COMPUTED_VALUE"""),"RentRight")</f>
        <v>RentRight</v>
      </c>
      <c r="E8818" s="122">
        <f>IFERROR(__xludf.DUMMYFUNCTION("""COMPUTED_VALUE"""),90.25)</f>
        <v>90.25</v>
      </c>
      <c r="F8818" s="122">
        <f>IFERROR(__xludf.DUMMYFUNCTION("""COMPUTED_VALUE"""),-0.0057)</f>
        <v>-0.0057</v>
      </c>
    </row>
    <row r="8819">
      <c r="A8819" s="131">
        <f>IFERROR(__xludf.DUMMYFUNCTION("""COMPUTED_VALUE"""),46187.65435185185)</f>
        <v>46187.65435</v>
      </c>
      <c r="B8819" s="126">
        <f>IFERROR(__xludf.DUMMYFUNCTION("""COMPUTED_VALUE"""),46187.0)</f>
        <v>46187</v>
      </c>
      <c r="C8819" s="122" t="str">
        <f>IFERROR(__xludf.DUMMYFUNCTION("""COMPUTED_VALUE"""),"MALL")</f>
        <v>MALL</v>
      </c>
      <c r="D8819" s="122" t="str">
        <f>IFERROR(__xludf.DUMMYFUNCTION("""COMPUTED_VALUE"""),"MegaMall")</f>
        <v>MegaMall</v>
      </c>
      <c r="E8819" s="122">
        <f>IFERROR(__xludf.DUMMYFUNCTION("""COMPUTED_VALUE"""),103.01)</f>
        <v>103.01</v>
      </c>
      <c r="F8819" s="122">
        <f>IFERROR(__xludf.DUMMYFUNCTION("""COMPUTED_VALUE"""),-0.005)</f>
        <v>-0.005</v>
      </c>
    </row>
    <row r="8820">
      <c r="A8820" s="131">
        <f>IFERROR(__xludf.DUMMYFUNCTION("""COMPUTED_VALUE"""),46187.65435185185)</f>
        <v>46187.65435</v>
      </c>
      <c r="B8820" s="126">
        <f>IFERROR(__xludf.DUMMYFUNCTION("""COMPUTED_VALUE"""),46187.0)</f>
        <v>46187</v>
      </c>
      <c r="C8820" s="122" t="str">
        <f>IFERROR(__xludf.DUMMYFUNCTION("""COMPUTED_VALUE"""),"HOTL")</f>
        <v>HOTL</v>
      </c>
      <c r="D8820" s="122" t="str">
        <f>IFERROR(__xludf.DUMMYFUNCTION("""COMPUTED_VALUE"""),"HotelHive")</f>
        <v>HotelHive</v>
      </c>
      <c r="E8820" s="122">
        <f>IFERROR(__xludf.DUMMYFUNCTION("""COMPUTED_VALUE"""),120.03)</f>
        <v>120.03</v>
      </c>
      <c r="F8820" s="122">
        <f>IFERROR(__xludf.DUMMYFUNCTION("""COMPUTED_VALUE"""),2.0E-4)</f>
        <v>0.0002</v>
      </c>
    </row>
    <row r="8821">
      <c r="A8821" s="131">
        <f>IFERROR(__xludf.DUMMYFUNCTION("""COMPUTED_VALUE"""),46187.65435185185)</f>
        <v>46187.65435</v>
      </c>
      <c r="B8821" s="126">
        <f>IFERROR(__xludf.DUMMYFUNCTION("""COMPUTED_VALUE"""),46187.0)</f>
        <v>46187</v>
      </c>
      <c r="C8821" s="122" t="str">
        <f>IFERROR(__xludf.DUMMYFUNCTION("""COMPUTED_VALUE"""),"LAND")</f>
        <v>LAND</v>
      </c>
      <c r="D8821" s="122" t="str">
        <f>IFERROR(__xludf.DUMMYFUNCTION("""COMPUTED_VALUE"""),"LandLink")</f>
        <v>LandLink</v>
      </c>
      <c r="E8821" s="122">
        <f>IFERROR(__xludf.DUMMYFUNCTION("""COMPUTED_VALUE"""),187.04)</f>
        <v>187.04</v>
      </c>
      <c r="F8821" s="122">
        <f>IFERROR(__xludf.DUMMYFUNCTION("""COMPUTED_VALUE"""),-0.0014)</f>
        <v>-0.0014</v>
      </c>
    </row>
    <row r="8822">
      <c r="A8822" s="131">
        <f>IFERROR(__xludf.DUMMYFUNCTION("""COMPUTED_VALUE"""),46187.65435185185)</f>
        <v>46187.65435</v>
      </c>
      <c r="B8822" s="126">
        <f>IFERROR(__xludf.DUMMYFUNCTION("""COMPUTED_VALUE"""),46187.0)</f>
        <v>46187</v>
      </c>
      <c r="C8822" s="122" t="str">
        <f>IFERROR(__xludf.DUMMYFUNCTION("""COMPUTED_VALUE"""),"CARS")</f>
        <v>CARS</v>
      </c>
      <c r="D8822" s="122" t="str">
        <f>IFERROR(__xludf.DUMMYFUNCTION("""COMPUTED_VALUE"""),"AutoArena")</f>
        <v>AutoArena</v>
      </c>
      <c r="E8822" s="122">
        <f>IFERROR(__xludf.DUMMYFUNCTION("""COMPUTED_VALUE"""),81.37)</f>
        <v>81.37</v>
      </c>
      <c r="F8822" s="122">
        <f>IFERROR(__xludf.DUMMYFUNCTION("""COMPUTED_VALUE"""),0.0012)</f>
        <v>0.0012</v>
      </c>
    </row>
    <row r="8823">
      <c r="A8823" s="131">
        <f>IFERROR(__xludf.DUMMYFUNCTION("""COMPUTED_VALUE"""),46187.65435185185)</f>
        <v>46187.65435</v>
      </c>
      <c r="B8823" s="126">
        <f>IFERROR(__xludf.DUMMYFUNCTION("""COMPUTED_VALUE"""),46187.0)</f>
        <v>46187</v>
      </c>
      <c r="C8823" s="122" t="str">
        <f>IFERROR(__xludf.DUMMYFUNCTION("""COMPUTED_VALUE"""),"EVGO")</f>
        <v>EVGO</v>
      </c>
      <c r="D8823" s="122" t="str">
        <f>IFERROR(__xludf.DUMMYFUNCTION("""COMPUTED_VALUE"""),"EVGo Motors")</f>
        <v>EVGo Motors</v>
      </c>
      <c r="E8823" s="122">
        <f>IFERROR(__xludf.DUMMYFUNCTION("""COMPUTED_VALUE"""),190.74)</f>
        <v>190.74</v>
      </c>
      <c r="F8823" s="122">
        <f>IFERROR(__xludf.DUMMYFUNCTION("""COMPUTED_VALUE"""),0.0108)</f>
        <v>0.0108</v>
      </c>
    </row>
    <row r="8824">
      <c r="A8824" s="131">
        <f>IFERROR(__xludf.DUMMYFUNCTION("""COMPUTED_VALUE"""),46187.65435185185)</f>
        <v>46187.65435</v>
      </c>
      <c r="B8824" s="126">
        <f>IFERROR(__xludf.DUMMYFUNCTION("""COMPUTED_VALUE"""),46187.0)</f>
        <v>46187</v>
      </c>
      <c r="C8824" s="122" t="str">
        <f>IFERROR(__xludf.DUMMYFUNCTION("""COMPUTED_VALUE"""),"TIRE")</f>
        <v>TIRE</v>
      </c>
      <c r="D8824" s="122" t="str">
        <f>IFERROR(__xludf.DUMMYFUNCTION("""COMPUTED_VALUE"""),"TireTown")</f>
        <v>TireTown</v>
      </c>
      <c r="E8824" s="122">
        <f>IFERROR(__xludf.DUMMYFUNCTION("""COMPUTED_VALUE"""),98.07)</f>
        <v>98.07</v>
      </c>
      <c r="F8824" s="122">
        <f>IFERROR(__xludf.DUMMYFUNCTION("""COMPUTED_VALUE"""),-2.0E-4)</f>
        <v>-0.0002</v>
      </c>
    </row>
    <row r="8825">
      <c r="A8825" s="131">
        <f>IFERROR(__xludf.DUMMYFUNCTION("""COMPUTED_VALUE"""),46187.65435185185)</f>
        <v>46187.65435</v>
      </c>
      <c r="B8825" s="126">
        <f>IFERROR(__xludf.DUMMYFUNCTION("""COMPUTED_VALUE"""),46187.0)</f>
        <v>46187</v>
      </c>
      <c r="C8825" s="122" t="str">
        <f>IFERROR(__xludf.DUMMYFUNCTION("""COMPUTED_VALUE"""),"BIKE")</f>
        <v>BIKE</v>
      </c>
      <c r="D8825" s="122" t="str">
        <f>IFERROR(__xludf.DUMMYFUNCTION("""COMPUTED_VALUE"""),"BikeBox")</f>
        <v>BikeBox</v>
      </c>
      <c r="E8825" s="122">
        <f>IFERROR(__xludf.DUMMYFUNCTION("""COMPUTED_VALUE"""),52.17)</f>
        <v>52.17</v>
      </c>
      <c r="F8825" s="122">
        <f>IFERROR(__xludf.DUMMYFUNCTION("""COMPUTED_VALUE"""),2.0E-4)</f>
        <v>0.0002</v>
      </c>
    </row>
    <row r="8826">
      <c r="A8826" s="131">
        <f>IFERROR(__xludf.DUMMYFUNCTION("""COMPUTED_VALUE"""),46187.65435185185)</f>
        <v>46187.65435</v>
      </c>
      <c r="B8826" s="126">
        <f>IFERROR(__xludf.DUMMYFUNCTION("""COMPUTED_VALUE"""),46187.0)</f>
        <v>46187</v>
      </c>
      <c r="C8826" s="122" t="str">
        <f>IFERROR(__xludf.DUMMYFUNCTION("""COMPUTED_VALUE"""),"WASH")</f>
        <v>WASH</v>
      </c>
      <c r="D8826" s="122" t="str">
        <f>IFERROR(__xludf.DUMMYFUNCTION("""COMPUTED_VALUE"""),"CarWash Co")</f>
        <v>CarWash Co</v>
      </c>
      <c r="E8826" s="122">
        <f>IFERROR(__xludf.DUMMYFUNCTION("""COMPUTED_VALUE"""),122.53)</f>
        <v>122.53</v>
      </c>
      <c r="F8826" s="122">
        <f>IFERROR(__xludf.DUMMYFUNCTION("""COMPUTED_VALUE"""),-0.0026)</f>
        <v>-0.0026</v>
      </c>
    </row>
    <row r="8827">
      <c r="A8827" s="131">
        <f>IFERROR(__xludf.DUMMYFUNCTION("""COMPUTED_VALUE"""),46187.65435185185)</f>
        <v>46187.65435</v>
      </c>
      <c r="B8827" s="126">
        <f>IFERROR(__xludf.DUMMYFUNCTION("""COMPUTED_VALUE"""),46187.0)</f>
        <v>46187</v>
      </c>
      <c r="C8827" s="122" t="str">
        <f>IFERROR(__xludf.DUMMYFUNCTION("""COMPUTED_VALUE"""),"GBND")</f>
        <v>GBND</v>
      </c>
      <c r="D8827" s="122" t="str">
        <f>IFERROR(__xludf.DUMMYFUNCTION("""COMPUTED_VALUE"""),"Classroom Government Bond")</f>
        <v>Classroom Government Bond</v>
      </c>
      <c r="E8827" s="122">
        <f>IFERROR(__xludf.DUMMYFUNCTION("""COMPUTED_VALUE"""),101.14)</f>
        <v>101.14</v>
      </c>
      <c r="F8827" s="122">
        <f>IFERROR(__xludf.DUMMYFUNCTION("""COMPUTED_VALUE"""),-3.0E-4)</f>
        <v>-0.0003</v>
      </c>
    </row>
    <row r="8828">
      <c r="A8828" s="131">
        <f>IFERROR(__xludf.DUMMYFUNCTION("""COMPUTED_VALUE"""),46187.65435185185)</f>
        <v>46187.65435</v>
      </c>
      <c r="B8828" s="126">
        <f>IFERROR(__xludf.DUMMYFUNCTION("""COMPUTED_VALUE"""),46187.0)</f>
        <v>46187</v>
      </c>
      <c r="C8828" s="122" t="str">
        <f>IFERROR(__xludf.DUMMYFUNCTION("""COMPUTED_VALUE"""),"SBND")</f>
        <v>SBND</v>
      </c>
      <c r="D8828" s="122" t="str">
        <f>IFERROR(__xludf.DUMMYFUNCTION("""COMPUTED_VALUE"""),"School Savings Bond")</f>
        <v>School Savings Bond</v>
      </c>
      <c r="E8828" s="122">
        <f>IFERROR(__xludf.DUMMYFUNCTION("""COMPUTED_VALUE"""),99.2)</f>
        <v>99.2</v>
      </c>
      <c r="F8828" s="122">
        <f>IFERROR(__xludf.DUMMYFUNCTION("""COMPUTED_VALUE"""),-1.0E-4)</f>
        <v>-0.0001</v>
      </c>
    </row>
    <row r="8829">
      <c r="A8829" s="131">
        <f>IFERROR(__xludf.DUMMYFUNCTION("""COMPUTED_VALUE"""),46187.65435185185)</f>
        <v>46187.65435</v>
      </c>
      <c r="B8829" s="126">
        <f>IFERROR(__xludf.DUMMYFUNCTION("""COMPUTED_VALUE"""),46187.0)</f>
        <v>46187</v>
      </c>
      <c r="C8829" s="122" t="str">
        <f>IFERROR(__xludf.DUMMYFUNCTION("""COMPUTED_VALUE"""),"CBND")</f>
        <v>CBND</v>
      </c>
      <c r="D8829" s="122" t="str">
        <f>IFERROR(__xludf.DUMMYFUNCTION("""COMPUTED_VALUE"""),"Corporate Classroom Bond")</f>
        <v>Corporate Classroom Bond</v>
      </c>
      <c r="E8829" s="122">
        <f>IFERROR(__xludf.DUMMYFUNCTION("""COMPUTED_VALUE"""),97.81)</f>
        <v>97.81</v>
      </c>
      <c r="F8829" s="122">
        <f>IFERROR(__xludf.DUMMYFUNCTION("""COMPUTED_VALUE"""),5.0E-4)</f>
        <v>0.0005</v>
      </c>
    </row>
    <row r="8830">
      <c r="A8830" s="131">
        <f>IFERROR(__xludf.DUMMYFUNCTION("""COMPUTED_VALUE"""),46187.65435185185)</f>
        <v>46187.65435</v>
      </c>
      <c r="B8830" s="126">
        <f>IFERROR(__xludf.DUMMYFUNCTION("""COMPUTED_VALUE"""),46187.0)</f>
        <v>46187</v>
      </c>
      <c r="C8830" s="122" t="str">
        <f>IFERROR(__xludf.DUMMYFUNCTION("""COMPUTED_VALUE"""),"TBIL")</f>
        <v>TBIL</v>
      </c>
      <c r="D8830" s="122" t="str">
        <f>IFERROR(__xludf.DUMMYFUNCTION("""COMPUTED_VALUE"""),"Treasury Bill")</f>
        <v>Treasury Bill</v>
      </c>
      <c r="E8830" s="122">
        <f>IFERROR(__xludf.DUMMYFUNCTION("""COMPUTED_VALUE"""),97.79)</f>
        <v>97.79</v>
      </c>
      <c r="F8830" s="122">
        <f>IFERROR(__xludf.DUMMYFUNCTION("""COMPUTED_VALUE"""),3.0E-4)</f>
        <v>0.0003</v>
      </c>
    </row>
    <row r="8831">
      <c r="A8831" s="131">
        <f>IFERROR(__xludf.DUMMYFUNCTION("""COMPUTED_VALUE"""),46187.65435185185)</f>
        <v>46187.65435</v>
      </c>
      <c r="B8831" s="126">
        <f>IFERROR(__xludf.DUMMYFUNCTION("""COMPUTED_VALUE"""),46187.0)</f>
        <v>46187</v>
      </c>
      <c r="C8831" s="122" t="str">
        <f>IFERROR(__xludf.DUMMYFUNCTION("""COMPUTED_VALUE"""),"IBND")</f>
        <v>IBND</v>
      </c>
      <c r="D8831" s="122" t="str">
        <f>IFERROR(__xludf.DUMMYFUNCTION("""COMPUTED_VALUE"""),"Inflation Protected Bond")</f>
        <v>Inflation Protected Bond</v>
      </c>
      <c r="E8831" s="122">
        <f>IFERROR(__xludf.DUMMYFUNCTION("""COMPUTED_VALUE"""),100.8)</f>
        <v>100.8</v>
      </c>
      <c r="F8831" s="122">
        <f>IFERROR(__xludf.DUMMYFUNCTION("""COMPUTED_VALUE"""),3.0E-4)</f>
        <v>0.0003</v>
      </c>
    </row>
    <row r="8832">
      <c r="A8832" s="131">
        <f>IFERROR(__xludf.DUMMYFUNCTION("""COMPUTED_VALUE"""),46187.65771990741)</f>
        <v>46187.65772</v>
      </c>
      <c r="B8832" s="126">
        <f>IFERROR(__xludf.DUMMYFUNCTION("""COMPUTED_VALUE"""),46187.0)</f>
        <v>46187</v>
      </c>
      <c r="C8832" s="122" t="str">
        <f>IFERROR(__xludf.DUMMYFUNCTION("""COMPUTED_VALUE"""),"SNAX")</f>
        <v>SNAX</v>
      </c>
      <c r="D8832" s="122" t="str">
        <f>IFERROR(__xludf.DUMMYFUNCTION("""COMPUTED_VALUE"""),"MICA Snacks")</f>
        <v>MICA Snacks</v>
      </c>
      <c r="E8832" s="122">
        <f>IFERROR(__xludf.DUMMYFUNCTION("""COMPUTED_VALUE"""),120.98)</f>
        <v>120.98</v>
      </c>
      <c r="F8832" s="122">
        <f>IFERROR(__xludf.DUMMYFUNCTION("""COMPUTED_VALUE"""),0.0061)</f>
        <v>0.0061</v>
      </c>
    </row>
    <row r="8833">
      <c r="A8833" s="131">
        <f>IFERROR(__xludf.DUMMYFUNCTION("""COMPUTED_VALUE"""),46187.65771990741)</f>
        <v>46187.65772</v>
      </c>
      <c r="B8833" s="126">
        <f>IFERROR(__xludf.DUMMYFUNCTION("""COMPUTED_VALUE"""),46187.0)</f>
        <v>46187</v>
      </c>
      <c r="C8833" s="122" t="str">
        <f>IFERROR(__xludf.DUMMYFUNCTION("""COMPUTED_VALUE"""),"RAMN")</f>
        <v>RAMN</v>
      </c>
      <c r="D8833" s="122" t="str">
        <f>IFERROR(__xludf.DUMMYFUNCTION("""COMPUTED_VALUE"""),"Ramen Republic")</f>
        <v>Ramen Republic</v>
      </c>
      <c r="E8833" s="122">
        <f>IFERROR(__xludf.DUMMYFUNCTION("""COMPUTED_VALUE"""),61.45)</f>
        <v>61.45</v>
      </c>
      <c r="F8833" s="122">
        <f>IFERROR(__xludf.DUMMYFUNCTION("""COMPUTED_VALUE"""),-0.0076)</f>
        <v>-0.0076</v>
      </c>
    </row>
    <row r="8834">
      <c r="A8834" s="131">
        <f>IFERROR(__xludf.DUMMYFUNCTION("""COMPUTED_VALUE"""),46187.65771990741)</f>
        <v>46187.65772</v>
      </c>
      <c r="B8834" s="126">
        <f>IFERROR(__xludf.DUMMYFUNCTION("""COMPUTED_VALUE"""),46187.0)</f>
        <v>46187</v>
      </c>
      <c r="C8834" s="122" t="str">
        <f>IFERROR(__xludf.DUMMYFUNCTION("""COMPUTED_VALUE"""),"COLA")</f>
        <v>COLA</v>
      </c>
      <c r="D8834" s="122" t="str">
        <f>IFERROR(__xludf.DUMMYFUNCTION("""COMPUTED_VALUE"""),"K-Pop Cola")</f>
        <v>K-Pop Cola</v>
      </c>
      <c r="E8834" s="122">
        <f>IFERROR(__xludf.DUMMYFUNCTION("""COMPUTED_VALUE"""),115.54)</f>
        <v>115.54</v>
      </c>
      <c r="F8834" s="122">
        <f>IFERROR(__xludf.DUMMYFUNCTION("""COMPUTED_VALUE"""),-0.0056)</f>
        <v>-0.0056</v>
      </c>
    </row>
    <row r="8835">
      <c r="A8835" s="131">
        <f>IFERROR(__xludf.DUMMYFUNCTION("""COMPUTED_VALUE"""),46187.65771990741)</f>
        <v>46187.65772</v>
      </c>
      <c r="B8835" s="126">
        <f>IFERROR(__xludf.DUMMYFUNCTION("""COMPUTED_VALUE"""),46187.0)</f>
        <v>46187</v>
      </c>
      <c r="C8835" s="122" t="str">
        <f>IFERROR(__xludf.DUMMYFUNCTION("""COMPUTED_VALUE"""),"CHIP")</f>
        <v>CHIP</v>
      </c>
      <c r="D8835" s="122" t="str">
        <f>IFERROR(__xludf.DUMMYFUNCTION("""COMPUTED_VALUE"""),"Chip Empire")</f>
        <v>Chip Empire</v>
      </c>
      <c r="E8835" s="122">
        <f>IFERROR(__xludf.DUMMYFUNCTION("""COMPUTED_VALUE"""),81.03)</f>
        <v>81.03</v>
      </c>
      <c r="F8835" s="122">
        <f>IFERROR(__xludf.DUMMYFUNCTION("""COMPUTED_VALUE"""),-0.0084)</f>
        <v>-0.0084</v>
      </c>
    </row>
    <row r="8836">
      <c r="A8836" s="131">
        <f>IFERROR(__xludf.DUMMYFUNCTION("""COMPUTED_VALUE"""),46187.65771990741)</f>
        <v>46187.65772</v>
      </c>
      <c r="B8836" s="126">
        <f>IFERROR(__xludf.DUMMYFUNCTION("""COMPUTED_VALUE"""),46187.0)</f>
        <v>46187</v>
      </c>
      <c r="C8836" s="122" t="str">
        <f>IFERROR(__xludf.DUMMYFUNCTION("""COMPUTED_VALUE"""),"CAND")</f>
        <v>CAND</v>
      </c>
      <c r="D8836" s="122" t="str">
        <f>IFERROR(__xludf.DUMMYFUNCTION("""COMPUTED_VALUE"""),"Candy Capital")</f>
        <v>Candy Capital</v>
      </c>
      <c r="E8836" s="122">
        <f>IFERROR(__xludf.DUMMYFUNCTION("""COMPUTED_VALUE"""),78.27)</f>
        <v>78.27</v>
      </c>
      <c r="F8836" s="122">
        <f>IFERROR(__xludf.DUMMYFUNCTION("""COMPUTED_VALUE"""),0.0033)</f>
        <v>0.0033</v>
      </c>
    </row>
    <row r="8837">
      <c r="A8837" s="131">
        <f>IFERROR(__xludf.DUMMYFUNCTION("""COMPUTED_VALUE"""),46187.65771990741)</f>
        <v>46187.65772</v>
      </c>
      <c r="B8837" s="126">
        <f>IFERROR(__xludf.DUMMYFUNCTION("""COMPUTED_VALUE"""),46187.0)</f>
        <v>46187</v>
      </c>
      <c r="C8837" s="122" t="str">
        <f>IFERROR(__xludf.DUMMYFUNCTION("""COMPUTED_VALUE"""),"TECH")</f>
        <v>TECH</v>
      </c>
      <c r="D8837" s="122" t="str">
        <f>IFERROR(__xludf.DUMMYFUNCTION("""COMPUTED_VALUE"""),"Dragon Tech")</f>
        <v>Dragon Tech</v>
      </c>
      <c r="E8837" s="122">
        <f>IFERROR(__xludf.DUMMYFUNCTION("""COMPUTED_VALUE"""),255.63)</f>
        <v>255.63</v>
      </c>
      <c r="F8837" s="122">
        <f>IFERROR(__xludf.DUMMYFUNCTION("""COMPUTED_VALUE"""),-0.01)</f>
        <v>-0.01</v>
      </c>
    </row>
    <row r="8838">
      <c r="A8838" s="131">
        <f>IFERROR(__xludf.DUMMYFUNCTION("""COMPUTED_VALUE"""),46187.65771990741)</f>
        <v>46187.65772</v>
      </c>
      <c r="B8838" s="126">
        <f>IFERROR(__xludf.DUMMYFUNCTION("""COMPUTED_VALUE"""),46187.0)</f>
        <v>46187</v>
      </c>
      <c r="C8838" s="122" t="str">
        <f>IFERROR(__xludf.DUMMYFUNCTION("""COMPUTED_VALUE"""),"AIBO")</f>
        <v>AIBO</v>
      </c>
      <c r="D8838" s="122" t="str">
        <f>IFERROR(__xludf.DUMMYFUNCTION("""COMPUTED_VALUE"""),"Homework AI")</f>
        <v>Homework AI</v>
      </c>
      <c r="E8838" s="122">
        <f>IFERROR(__xludf.DUMMYFUNCTION("""COMPUTED_VALUE"""),192.95)</f>
        <v>192.95</v>
      </c>
      <c r="F8838" s="122">
        <f>IFERROR(__xludf.DUMMYFUNCTION("""COMPUTED_VALUE"""),-0.004)</f>
        <v>-0.004</v>
      </c>
    </row>
    <row r="8839">
      <c r="A8839" s="131">
        <f>IFERROR(__xludf.DUMMYFUNCTION("""COMPUTED_VALUE"""),46187.65771990741)</f>
        <v>46187.65772</v>
      </c>
      <c r="B8839" s="126">
        <f>IFERROR(__xludf.DUMMYFUNCTION("""COMPUTED_VALUE"""),46187.0)</f>
        <v>46187</v>
      </c>
      <c r="C8839" s="122" t="str">
        <f>IFERROR(__xludf.DUMMYFUNCTION("""COMPUTED_VALUE"""),"GAME")</f>
        <v>GAME</v>
      </c>
      <c r="D8839" s="122" t="str">
        <f>IFERROR(__xludf.DUMMYFUNCTION("""COMPUTED_VALUE"""),"GameBox Media")</f>
        <v>GameBox Media</v>
      </c>
      <c r="E8839" s="122">
        <f>IFERROR(__xludf.DUMMYFUNCTION("""COMPUTED_VALUE"""),103.59)</f>
        <v>103.59</v>
      </c>
      <c r="F8839" s="122">
        <f>IFERROR(__xludf.DUMMYFUNCTION("""COMPUTED_VALUE"""),0.0102)</f>
        <v>0.0102</v>
      </c>
    </row>
    <row r="8840">
      <c r="A8840" s="131">
        <f>IFERROR(__xludf.DUMMYFUNCTION("""COMPUTED_VALUE"""),46187.65771990741)</f>
        <v>46187.65772</v>
      </c>
      <c r="B8840" s="126">
        <f>IFERROR(__xludf.DUMMYFUNCTION("""COMPUTED_VALUE"""),46187.0)</f>
        <v>46187</v>
      </c>
      <c r="C8840" s="122" t="str">
        <f>IFERROR(__xludf.DUMMYFUNCTION("""COMPUTED_VALUE"""),"VRSE")</f>
        <v>VRSE</v>
      </c>
      <c r="D8840" s="122" t="str">
        <f>IFERROR(__xludf.DUMMYFUNCTION("""COMPUTED_VALUE"""),"VerseVR")</f>
        <v>VerseVR</v>
      </c>
      <c r="E8840" s="122">
        <f>IFERROR(__xludf.DUMMYFUNCTION("""COMPUTED_VALUE"""),145.79)</f>
        <v>145.79</v>
      </c>
      <c r="F8840" s="122">
        <f>IFERROR(__xludf.DUMMYFUNCTION("""COMPUTED_VALUE"""),-5.0E-4)</f>
        <v>-0.0005</v>
      </c>
    </row>
    <row r="8841">
      <c r="A8841" s="131">
        <f>IFERROR(__xludf.DUMMYFUNCTION("""COMPUTED_VALUE"""),46187.65771990741)</f>
        <v>46187.65772</v>
      </c>
      <c r="B8841" s="126">
        <f>IFERROR(__xludf.DUMMYFUNCTION("""COMPUTED_VALUE"""),46187.0)</f>
        <v>46187</v>
      </c>
      <c r="C8841" s="122" t="str">
        <f>IFERROR(__xludf.DUMMYFUNCTION("""COMPUTED_VALUE"""),"BYTE")</f>
        <v>BYTE</v>
      </c>
      <c r="D8841" s="122" t="str">
        <f>IFERROR(__xludf.DUMMYFUNCTION("""COMPUTED_VALUE"""),"ByteWorks")</f>
        <v>ByteWorks</v>
      </c>
      <c r="E8841" s="122">
        <f>IFERROR(__xludf.DUMMYFUNCTION("""COMPUTED_VALUE"""),110.76)</f>
        <v>110.76</v>
      </c>
      <c r="F8841" s="122">
        <f>IFERROR(__xludf.DUMMYFUNCTION("""COMPUTED_VALUE"""),-0.0014)</f>
        <v>-0.0014</v>
      </c>
    </row>
    <row r="8842">
      <c r="A8842" s="131">
        <f>IFERROR(__xludf.DUMMYFUNCTION("""COMPUTED_VALUE"""),46187.65771990741)</f>
        <v>46187.65772</v>
      </c>
      <c r="B8842" s="126">
        <f>IFERROR(__xludf.DUMMYFUNCTION("""COMPUTED_VALUE"""),46187.0)</f>
        <v>46187</v>
      </c>
      <c r="C8842" s="122" t="str">
        <f>IFERROR(__xludf.DUMMYFUNCTION("""COMPUTED_VALUE"""),"BANK")</f>
        <v>BANK</v>
      </c>
      <c r="D8842" s="122" t="str">
        <f>IFERROR(__xludf.DUMMYFUNCTION("""COMPUTED_VALUE"""),"Tiger Bank")</f>
        <v>Tiger Bank</v>
      </c>
      <c r="E8842" s="122">
        <f>IFERROR(__xludf.DUMMYFUNCTION("""COMPUTED_VALUE"""),132.68)</f>
        <v>132.68</v>
      </c>
      <c r="F8842" s="122">
        <f>IFERROR(__xludf.DUMMYFUNCTION("""COMPUTED_VALUE"""),-0.0017)</f>
        <v>-0.0017</v>
      </c>
    </row>
    <row r="8843">
      <c r="A8843" s="131">
        <f>IFERROR(__xludf.DUMMYFUNCTION("""COMPUTED_VALUE"""),46187.65771990741)</f>
        <v>46187.65772</v>
      </c>
      <c r="B8843" s="126">
        <f>IFERROR(__xludf.DUMMYFUNCTION("""COMPUTED_VALUE"""),46187.0)</f>
        <v>46187</v>
      </c>
      <c r="C8843" s="122" t="str">
        <f>IFERROR(__xludf.DUMMYFUNCTION("""COMPUTED_VALUE"""),"CRED")</f>
        <v>CRED</v>
      </c>
      <c r="D8843" s="122" t="str">
        <f>IFERROR(__xludf.DUMMYFUNCTION("""COMPUTED_VALUE"""),"Credit Castle")</f>
        <v>Credit Castle</v>
      </c>
      <c r="E8843" s="122">
        <f>IFERROR(__xludf.DUMMYFUNCTION("""COMPUTED_VALUE"""),66.34)</f>
        <v>66.34</v>
      </c>
      <c r="F8843" s="122">
        <f>IFERROR(__xludf.DUMMYFUNCTION("""COMPUTED_VALUE"""),5.0E-4)</f>
        <v>0.0005</v>
      </c>
    </row>
    <row r="8844">
      <c r="A8844" s="131">
        <f>IFERROR(__xludf.DUMMYFUNCTION("""COMPUTED_VALUE"""),46187.65771990741)</f>
        <v>46187.65772</v>
      </c>
      <c r="B8844" s="126">
        <f>IFERROR(__xludf.DUMMYFUNCTION("""COMPUTED_VALUE"""),46187.0)</f>
        <v>46187</v>
      </c>
      <c r="C8844" s="122" t="str">
        <f>IFERROR(__xludf.DUMMYFUNCTION("""COMPUTED_VALUE"""),"BOND")</f>
        <v>BOND</v>
      </c>
      <c r="D8844" s="122" t="str">
        <f>IFERROR(__xludf.DUMMYFUNCTION("""COMPUTED_VALUE"""),"BondBridge")</f>
        <v>BondBridge</v>
      </c>
      <c r="E8844" s="122">
        <f>IFERROR(__xludf.DUMMYFUNCTION("""COMPUTED_VALUE"""),106.42)</f>
        <v>106.42</v>
      </c>
      <c r="F8844" s="122">
        <f>IFERROR(__xludf.DUMMYFUNCTION("""COMPUTED_VALUE"""),7.0E-4)</f>
        <v>0.0007</v>
      </c>
    </row>
    <row r="8845">
      <c r="A8845" s="131">
        <f>IFERROR(__xludf.DUMMYFUNCTION("""COMPUTED_VALUE"""),46187.65771990741)</f>
        <v>46187.65772</v>
      </c>
      <c r="B8845" s="126">
        <f>IFERROR(__xludf.DUMMYFUNCTION("""COMPUTED_VALUE"""),46187.0)</f>
        <v>46187</v>
      </c>
      <c r="C8845" s="122" t="str">
        <f>IFERROR(__xludf.DUMMYFUNCTION("""COMPUTED_VALUE"""),"INSR")</f>
        <v>INSR</v>
      </c>
      <c r="D8845" s="122" t="str">
        <f>IFERROR(__xludf.DUMMYFUNCTION("""COMPUTED_VALUE"""),"Shield Insurance")</f>
        <v>Shield Insurance</v>
      </c>
      <c r="E8845" s="122">
        <f>IFERROR(__xludf.DUMMYFUNCTION("""COMPUTED_VALUE"""),156.98)</f>
        <v>156.98</v>
      </c>
      <c r="F8845" s="122">
        <f>IFERROR(__xludf.DUMMYFUNCTION("""COMPUTED_VALUE"""),0.0011)</f>
        <v>0.0011</v>
      </c>
    </row>
    <row r="8846">
      <c r="A8846" s="131">
        <f>IFERROR(__xludf.DUMMYFUNCTION("""COMPUTED_VALUE"""),46187.65771990741)</f>
        <v>46187.65772</v>
      </c>
      <c r="B8846" s="126">
        <f>IFERROR(__xludf.DUMMYFUNCTION("""COMPUTED_VALUE"""),46187.0)</f>
        <v>46187</v>
      </c>
      <c r="C8846" s="122" t="str">
        <f>IFERROR(__xludf.DUMMYFUNCTION("""COMPUTED_VALUE"""),"LOAN")</f>
        <v>LOAN</v>
      </c>
      <c r="D8846" s="122" t="str">
        <f>IFERROR(__xludf.DUMMYFUNCTION("""COMPUTED_VALUE"""),"LoanLab")</f>
        <v>LoanLab</v>
      </c>
      <c r="E8846" s="122">
        <f>IFERROR(__xludf.DUMMYFUNCTION("""COMPUTED_VALUE"""),73.34)</f>
        <v>73.34</v>
      </c>
      <c r="F8846" s="122">
        <f>IFERROR(__xludf.DUMMYFUNCTION("""COMPUTED_VALUE"""),0.0053)</f>
        <v>0.0053</v>
      </c>
    </row>
    <row r="8847">
      <c r="A8847" s="131">
        <f>IFERROR(__xludf.DUMMYFUNCTION("""COMPUTED_VALUE"""),46187.65771990741)</f>
        <v>46187.65772</v>
      </c>
      <c r="B8847" s="126">
        <f>IFERROR(__xludf.DUMMYFUNCTION("""COMPUTED_VALUE"""),46187.0)</f>
        <v>46187</v>
      </c>
      <c r="C8847" s="122" t="str">
        <f>IFERROR(__xludf.DUMMYFUNCTION("""COMPUTED_VALUE"""),"LUXE")</f>
        <v>LUXE</v>
      </c>
      <c r="D8847" s="122" t="str">
        <f>IFERROR(__xludf.DUMMYFUNCTION("""COMPUTED_VALUE"""),"Luxury Locker")</f>
        <v>Luxury Locker</v>
      </c>
      <c r="E8847" s="122">
        <f>IFERROR(__xludf.DUMMYFUNCTION("""COMPUTED_VALUE"""),267.02)</f>
        <v>267.02</v>
      </c>
      <c r="F8847" s="122">
        <f>IFERROR(__xludf.DUMMYFUNCTION("""COMPUTED_VALUE"""),-0.0016)</f>
        <v>-0.0016</v>
      </c>
    </row>
    <row r="8848">
      <c r="A8848" s="131">
        <f>IFERROR(__xludf.DUMMYFUNCTION("""COMPUTED_VALUE"""),46187.65771990741)</f>
        <v>46187.65772</v>
      </c>
      <c r="B8848" s="126">
        <f>IFERROR(__xludf.DUMMYFUNCTION("""COMPUTED_VALUE"""),46187.0)</f>
        <v>46187</v>
      </c>
      <c r="C8848" s="122" t="str">
        <f>IFERROR(__xludf.DUMMYFUNCTION("""COMPUTED_VALUE"""),"DRIP")</f>
        <v>DRIP</v>
      </c>
      <c r="D8848" s="122" t="str">
        <f>IFERROR(__xludf.DUMMYFUNCTION("""COMPUTED_VALUE"""),"Drip Streetwear")</f>
        <v>Drip Streetwear</v>
      </c>
      <c r="E8848" s="122">
        <f>IFERROR(__xludf.DUMMYFUNCTION("""COMPUTED_VALUE"""),189.81)</f>
        <v>189.81</v>
      </c>
      <c r="F8848" s="122">
        <f>IFERROR(__xludf.DUMMYFUNCTION("""COMPUTED_VALUE"""),4.0E-4)</f>
        <v>0.0004</v>
      </c>
    </row>
    <row r="8849">
      <c r="A8849" s="131">
        <f>IFERROR(__xludf.DUMMYFUNCTION("""COMPUTED_VALUE"""),46187.65771990741)</f>
        <v>46187.65772</v>
      </c>
      <c r="B8849" s="126">
        <f>IFERROR(__xludf.DUMMYFUNCTION("""COMPUTED_VALUE"""),46187.0)</f>
        <v>46187</v>
      </c>
      <c r="C8849" s="122" t="str">
        <f>IFERROR(__xludf.DUMMYFUNCTION("""COMPUTED_VALUE"""),"KICK")</f>
        <v>KICK</v>
      </c>
      <c r="D8849" s="122" t="str">
        <f>IFERROR(__xludf.DUMMYFUNCTION("""COMPUTED_VALUE"""),"KickDrop Sneakers")</f>
        <v>KickDrop Sneakers</v>
      </c>
      <c r="E8849" s="122">
        <f>IFERROR(__xludf.DUMMYFUNCTION("""COMPUTED_VALUE"""),169.33)</f>
        <v>169.33</v>
      </c>
      <c r="F8849" s="122">
        <f>IFERROR(__xludf.DUMMYFUNCTION("""COMPUTED_VALUE"""),-0.0099)</f>
        <v>-0.0099</v>
      </c>
    </row>
    <row r="8850">
      <c r="A8850" s="131">
        <f>IFERROR(__xludf.DUMMYFUNCTION("""COMPUTED_VALUE"""),46187.65771990741)</f>
        <v>46187.65772</v>
      </c>
      <c r="B8850" s="126">
        <f>IFERROR(__xludf.DUMMYFUNCTION("""COMPUTED_VALUE"""),46187.0)</f>
        <v>46187</v>
      </c>
      <c r="C8850" s="122" t="str">
        <f>IFERROR(__xludf.DUMMYFUNCTION("""COMPUTED_VALUE"""),"GLAM")</f>
        <v>GLAM</v>
      </c>
      <c r="D8850" s="122" t="str">
        <f>IFERROR(__xludf.DUMMYFUNCTION("""COMPUTED_VALUE"""),"Glow Cosmetics")</f>
        <v>Glow Cosmetics</v>
      </c>
      <c r="E8850" s="122">
        <f>IFERROR(__xludf.DUMMYFUNCTION("""COMPUTED_VALUE"""),110.87)</f>
        <v>110.87</v>
      </c>
      <c r="F8850" s="122">
        <f>IFERROR(__xludf.DUMMYFUNCTION("""COMPUTED_VALUE"""),0.0046)</f>
        <v>0.0046</v>
      </c>
    </row>
    <row r="8851">
      <c r="A8851" s="131">
        <f>IFERROR(__xludf.DUMMYFUNCTION("""COMPUTED_VALUE"""),46187.65771990741)</f>
        <v>46187.65772</v>
      </c>
      <c r="B8851" s="126">
        <f>IFERROR(__xludf.DUMMYFUNCTION("""COMPUTED_VALUE"""),46187.0)</f>
        <v>46187</v>
      </c>
      <c r="C8851" s="122" t="str">
        <f>IFERROR(__xludf.DUMMYFUNCTION("""COMPUTED_VALUE"""),"BAGG")</f>
        <v>BAGG</v>
      </c>
      <c r="D8851" s="122" t="str">
        <f>IFERROR(__xludf.DUMMYFUNCTION("""COMPUTED_VALUE"""),"BagVault")</f>
        <v>BagVault</v>
      </c>
      <c r="E8851" s="122">
        <f>IFERROR(__xludf.DUMMYFUNCTION("""COMPUTED_VALUE"""),282.34)</f>
        <v>282.34</v>
      </c>
      <c r="F8851" s="122">
        <f>IFERROR(__xludf.DUMMYFUNCTION("""COMPUTED_VALUE"""),-0.0028)</f>
        <v>-0.0028</v>
      </c>
    </row>
    <row r="8852">
      <c r="A8852" s="131">
        <f>IFERROR(__xludf.DUMMYFUNCTION("""COMPUTED_VALUE"""),46187.65771990741)</f>
        <v>46187.65772</v>
      </c>
      <c r="B8852" s="126">
        <f>IFERROR(__xludf.DUMMYFUNCTION("""COMPUTED_VALUE"""),46187.0)</f>
        <v>46187</v>
      </c>
      <c r="C8852" s="122" t="str">
        <f>IFERROR(__xludf.DUMMYFUNCTION("""COMPUTED_VALUE"""),"FAST")</f>
        <v>FAST</v>
      </c>
      <c r="D8852" s="122" t="str">
        <f>IFERROR(__xludf.DUMMYFUNCTION("""COMPUTED_VALUE"""),"Flash Logistics")</f>
        <v>Flash Logistics</v>
      </c>
      <c r="E8852" s="122">
        <f>IFERROR(__xludf.DUMMYFUNCTION("""COMPUTED_VALUE"""),107.59)</f>
        <v>107.59</v>
      </c>
      <c r="F8852" s="122">
        <f>IFERROR(__xludf.DUMMYFUNCTION("""COMPUTED_VALUE"""),0.0043)</f>
        <v>0.0043</v>
      </c>
    </row>
    <row r="8853">
      <c r="A8853" s="131">
        <f>IFERROR(__xludf.DUMMYFUNCTION("""COMPUTED_VALUE"""),46187.65771990741)</f>
        <v>46187.65772</v>
      </c>
      <c r="B8853" s="126">
        <f>IFERROR(__xludf.DUMMYFUNCTION("""COMPUTED_VALUE"""),46187.0)</f>
        <v>46187</v>
      </c>
      <c r="C8853" s="122" t="str">
        <f>IFERROR(__xludf.DUMMYFUNCTION("""COMPUTED_VALUE"""),"SHIP")</f>
        <v>SHIP</v>
      </c>
      <c r="D8853" s="122" t="str">
        <f>IFERROR(__xludf.DUMMYFUNCTION("""COMPUTED_VALUE"""),"Seoul Shipping")</f>
        <v>Seoul Shipping</v>
      </c>
      <c r="E8853" s="122">
        <f>IFERROR(__xludf.DUMMYFUNCTION("""COMPUTED_VALUE"""),128.82)</f>
        <v>128.82</v>
      </c>
      <c r="F8853" s="122">
        <f>IFERROR(__xludf.DUMMYFUNCTION("""COMPUTED_VALUE"""),0.0063)</f>
        <v>0.0063</v>
      </c>
    </row>
    <row r="8854">
      <c r="A8854" s="131">
        <f>IFERROR(__xludf.DUMMYFUNCTION("""COMPUTED_VALUE"""),46187.65771990741)</f>
        <v>46187.65772</v>
      </c>
      <c r="B8854" s="126">
        <f>IFERROR(__xludf.DUMMYFUNCTION("""COMPUTED_VALUE"""),46187.0)</f>
        <v>46187</v>
      </c>
      <c r="C8854" s="122" t="str">
        <f>IFERROR(__xludf.DUMMYFUNCTION("""COMPUTED_VALUE"""),"DRON")</f>
        <v>DRON</v>
      </c>
      <c r="D8854" s="122" t="str">
        <f>IFERROR(__xludf.DUMMYFUNCTION("""COMPUTED_VALUE"""),"DroneDrop")</f>
        <v>DroneDrop</v>
      </c>
      <c r="E8854" s="122">
        <f>IFERROR(__xludf.DUMMYFUNCTION("""COMPUTED_VALUE"""),122.1)</f>
        <v>122.1</v>
      </c>
      <c r="F8854" s="122">
        <f>IFERROR(__xludf.DUMMYFUNCTION("""COMPUTED_VALUE"""),0.0081)</f>
        <v>0.0081</v>
      </c>
    </row>
    <row r="8855">
      <c r="A8855" s="131">
        <f>IFERROR(__xludf.DUMMYFUNCTION("""COMPUTED_VALUE"""),46187.65771990741)</f>
        <v>46187.65772</v>
      </c>
      <c r="B8855" s="126">
        <f>IFERROR(__xludf.DUMMYFUNCTION("""COMPUTED_VALUE"""),46187.0)</f>
        <v>46187</v>
      </c>
      <c r="C8855" s="122" t="str">
        <f>IFERROR(__xludf.DUMMYFUNCTION("""COMPUTED_VALUE"""),"RIDE")</f>
        <v>RIDE</v>
      </c>
      <c r="D8855" s="122" t="str">
        <f>IFERROR(__xludf.DUMMYFUNCTION("""COMPUTED_VALUE"""),"QuickRide")</f>
        <v>QuickRide</v>
      </c>
      <c r="E8855" s="122">
        <f>IFERROR(__xludf.DUMMYFUNCTION("""COMPUTED_VALUE"""),100.81)</f>
        <v>100.81</v>
      </c>
      <c r="F8855" s="122">
        <f>IFERROR(__xludf.DUMMYFUNCTION("""COMPUTED_VALUE"""),-0.0095)</f>
        <v>-0.0095</v>
      </c>
    </row>
    <row r="8856">
      <c r="A8856" s="131">
        <f>IFERROR(__xludf.DUMMYFUNCTION("""COMPUTED_VALUE"""),46187.65771990741)</f>
        <v>46187.65772</v>
      </c>
      <c r="B8856" s="126">
        <f>IFERROR(__xludf.DUMMYFUNCTION("""COMPUTED_VALUE"""),46187.0)</f>
        <v>46187</v>
      </c>
      <c r="C8856" s="122" t="str">
        <f>IFERROR(__xludf.DUMMYFUNCTION("""COMPUTED_VALUE"""),"RAIL")</f>
        <v>RAIL</v>
      </c>
      <c r="D8856" s="122" t="str">
        <f>IFERROR(__xludf.DUMMYFUNCTION("""COMPUTED_VALUE"""),"MetroRail Corp")</f>
        <v>MetroRail Corp</v>
      </c>
      <c r="E8856" s="122">
        <f>IFERROR(__xludf.DUMMYFUNCTION("""COMPUTED_VALUE"""),130.69)</f>
        <v>130.69</v>
      </c>
      <c r="F8856" s="122">
        <f>IFERROR(__xludf.DUMMYFUNCTION("""COMPUTED_VALUE"""),2.0E-4)</f>
        <v>0.0002</v>
      </c>
    </row>
    <row r="8857">
      <c r="A8857" s="131">
        <f>IFERROR(__xludf.DUMMYFUNCTION("""COMPUTED_VALUE"""),46187.65771990741)</f>
        <v>46187.65772</v>
      </c>
      <c r="B8857" s="126">
        <f>IFERROR(__xludf.DUMMYFUNCTION("""COMPUTED_VALUE"""),46187.0)</f>
        <v>46187</v>
      </c>
      <c r="C8857" s="122" t="str">
        <f>IFERROR(__xludf.DUMMYFUNCTION("""COMPUTED_VALUE"""),"MEDX")</f>
        <v>MEDX</v>
      </c>
      <c r="D8857" s="122" t="str">
        <f>IFERROR(__xludf.DUMMYFUNCTION("""COMPUTED_VALUE"""),"MediCore")</f>
        <v>MediCore</v>
      </c>
      <c r="E8857" s="122">
        <f>IFERROR(__xludf.DUMMYFUNCTION("""COMPUTED_VALUE"""),139.79)</f>
        <v>139.79</v>
      </c>
      <c r="F8857" s="122">
        <f>IFERROR(__xludf.DUMMYFUNCTION("""COMPUTED_VALUE"""),-2.0E-4)</f>
        <v>-0.0002</v>
      </c>
    </row>
    <row r="8858">
      <c r="A8858" s="131">
        <f>IFERROR(__xludf.DUMMYFUNCTION("""COMPUTED_VALUE"""),46187.65771990741)</f>
        <v>46187.65772</v>
      </c>
      <c r="B8858" s="126">
        <f>IFERROR(__xludf.DUMMYFUNCTION("""COMPUTED_VALUE"""),46187.0)</f>
        <v>46187</v>
      </c>
      <c r="C8858" s="122" t="str">
        <f>IFERROR(__xludf.DUMMYFUNCTION("""COMPUTED_VALUE"""),"GYMX")</f>
        <v>GYMX</v>
      </c>
      <c r="D8858" s="122" t="str">
        <f>IFERROR(__xludf.DUMMYFUNCTION("""COMPUTED_VALUE"""),"GymX Fitness")</f>
        <v>GymX Fitness</v>
      </c>
      <c r="E8858" s="122">
        <f>IFERROR(__xludf.DUMMYFUNCTION("""COMPUTED_VALUE"""),80.78)</f>
        <v>80.78</v>
      </c>
      <c r="F8858" s="122">
        <f>IFERROR(__xludf.DUMMYFUNCTION("""COMPUTED_VALUE"""),-0.0068)</f>
        <v>-0.0068</v>
      </c>
    </row>
    <row r="8859">
      <c r="A8859" s="131">
        <f>IFERROR(__xludf.DUMMYFUNCTION("""COMPUTED_VALUE"""),46187.65771990741)</f>
        <v>46187.65772</v>
      </c>
      <c r="B8859" s="126">
        <f>IFERROR(__xludf.DUMMYFUNCTION("""COMPUTED_VALUE"""),46187.0)</f>
        <v>46187</v>
      </c>
      <c r="C8859" s="122" t="str">
        <f>IFERROR(__xludf.DUMMYFUNCTION("""COMPUTED_VALUE"""),"VITA")</f>
        <v>VITA</v>
      </c>
      <c r="D8859" s="122" t="str">
        <f>IFERROR(__xludf.DUMMYFUNCTION("""COMPUTED_VALUE"""),"VitaPlus")</f>
        <v>VitaPlus</v>
      </c>
      <c r="E8859" s="122">
        <f>IFERROR(__xludf.DUMMYFUNCTION("""COMPUTED_VALUE"""),72.13)</f>
        <v>72.13</v>
      </c>
      <c r="F8859" s="122">
        <f>IFERROR(__xludf.DUMMYFUNCTION("""COMPUTED_VALUE"""),0.0021)</f>
        <v>0.0021</v>
      </c>
    </row>
    <row r="8860">
      <c r="A8860" s="131">
        <f>IFERROR(__xludf.DUMMYFUNCTION("""COMPUTED_VALUE"""),46187.65771990741)</f>
        <v>46187.65772</v>
      </c>
      <c r="B8860" s="126">
        <f>IFERROR(__xludf.DUMMYFUNCTION("""COMPUTED_VALUE"""),46187.0)</f>
        <v>46187</v>
      </c>
      <c r="C8860" s="122" t="str">
        <f>IFERROR(__xludf.DUMMYFUNCTION("""COMPUTED_VALUE"""),"CARE")</f>
        <v>CARE</v>
      </c>
      <c r="D8860" s="122" t="str">
        <f>IFERROR(__xludf.DUMMYFUNCTION("""COMPUTED_VALUE"""),"CareCloud")</f>
        <v>CareCloud</v>
      </c>
      <c r="E8860" s="122">
        <f>IFERROR(__xludf.DUMMYFUNCTION("""COMPUTED_VALUE"""),184.4)</f>
        <v>184.4</v>
      </c>
      <c r="F8860" s="122">
        <f>IFERROR(__xludf.DUMMYFUNCTION("""COMPUTED_VALUE"""),-0.0059)</f>
        <v>-0.0059</v>
      </c>
    </row>
    <row r="8861">
      <c r="A8861" s="131">
        <f>IFERROR(__xludf.DUMMYFUNCTION("""COMPUTED_VALUE"""),46187.65771990741)</f>
        <v>46187.65772</v>
      </c>
      <c r="B8861" s="126">
        <f>IFERROR(__xludf.DUMMYFUNCTION("""COMPUTED_VALUE"""),46187.0)</f>
        <v>46187</v>
      </c>
      <c r="C8861" s="122" t="str">
        <f>IFERROR(__xludf.DUMMYFUNCTION("""COMPUTED_VALUE"""),"DENT")</f>
        <v>DENT</v>
      </c>
      <c r="D8861" s="122" t="str">
        <f>IFERROR(__xludf.DUMMYFUNCTION("""COMPUTED_VALUE"""),"SmileWorks")</f>
        <v>SmileWorks</v>
      </c>
      <c r="E8861" s="122">
        <f>IFERROR(__xludf.DUMMYFUNCTION("""COMPUTED_VALUE"""),98.58)</f>
        <v>98.58</v>
      </c>
      <c r="F8861" s="122">
        <f>IFERROR(__xludf.DUMMYFUNCTION("""COMPUTED_VALUE"""),-0.0025)</f>
        <v>-0.0025</v>
      </c>
    </row>
    <row r="8862">
      <c r="A8862" s="131">
        <f>IFERROR(__xludf.DUMMYFUNCTION("""COMPUTED_VALUE"""),46187.65771990741)</f>
        <v>46187.65772</v>
      </c>
      <c r="B8862" s="126">
        <f>IFERROR(__xludf.DUMMYFUNCTION("""COMPUTED_VALUE"""),46187.0)</f>
        <v>46187</v>
      </c>
      <c r="C8862" s="122" t="str">
        <f>IFERROR(__xludf.DUMMYFUNCTION("""COMPUTED_VALUE"""),"EDUX")</f>
        <v>EDUX</v>
      </c>
      <c r="D8862" s="122" t="str">
        <f>IFERROR(__xludf.DUMMYFUNCTION("""COMPUTED_VALUE"""),"EduMax Learning")</f>
        <v>EduMax Learning</v>
      </c>
      <c r="E8862" s="122">
        <f>IFERROR(__xludf.DUMMYFUNCTION("""COMPUTED_VALUE"""),154.32)</f>
        <v>154.32</v>
      </c>
      <c r="F8862" s="122">
        <f>IFERROR(__xludf.DUMMYFUNCTION("""COMPUTED_VALUE"""),0.0075)</f>
        <v>0.0075</v>
      </c>
    </row>
    <row r="8863">
      <c r="A8863" s="131">
        <f>IFERROR(__xludf.DUMMYFUNCTION("""COMPUTED_VALUE"""),46187.65771990741)</f>
        <v>46187.65772</v>
      </c>
      <c r="B8863" s="126">
        <f>IFERROR(__xludf.DUMMYFUNCTION("""COMPUTED_VALUE"""),46187.0)</f>
        <v>46187</v>
      </c>
      <c r="C8863" s="122" t="str">
        <f>IFERROR(__xludf.DUMMYFUNCTION("""COMPUTED_VALUE"""),"BOOK")</f>
        <v>BOOK</v>
      </c>
      <c r="D8863" s="122" t="str">
        <f>IFERROR(__xludf.DUMMYFUNCTION("""COMPUTED_VALUE"""),"BookBridge")</f>
        <v>BookBridge</v>
      </c>
      <c r="E8863" s="122">
        <f>IFERROR(__xludf.DUMMYFUNCTION("""COMPUTED_VALUE"""),120.24)</f>
        <v>120.24</v>
      </c>
      <c r="F8863" s="122">
        <f>IFERROR(__xludf.DUMMYFUNCTION("""COMPUTED_VALUE"""),0.0027)</f>
        <v>0.0027</v>
      </c>
    </row>
    <row r="8864">
      <c r="A8864" s="131">
        <f>IFERROR(__xludf.DUMMYFUNCTION("""COMPUTED_VALUE"""),46187.65771990741)</f>
        <v>46187.65772</v>
      </c>
      <c r="B8864" s="126">
        <f>IFERROR(__xludf.DUMMYFUNCTION("""COMPUTED_VALUE"""),46187.0)</f>
        <v>46187</v>
      </c>
      <c r="C8864" s="122" t="str">
        <f>IFERROR(__xludf.DUMMYFUNCTION("""COMPUTED_VALUE"""),"TUTR")</f>
        <v>TUTR</v>
      </c>
      <c r="D8864" s="122" t="str">
        <f>IFERROR(__xludf.DUMMYFUNCTION("""COMPUTED_VALUE"""),"TutorTown")</f>
        <v>TutorTown</v>
      </c>
      <c r="E8864" s="122">
        <f>IFERROR(__xludf.DUMMYFUNCTION("""COMPUTED_VALUE"""),91.22)</f>
        <v>91.22</v>
      </c>
      <c r="F8864" s="122">
        <f>IFERROR(__xludf.DUMMYFUNCTION("""COMPUTED_VALUE"""),-0.0051)</f>
        <v>-0.0051</v>
      </c>
    </row>
    <row r="8865">
      <c r="A8865" s="131">
        <f>IFERROR(__xludf.DUMMYFUNCTION("""COMPUTED_VALUE"""),46187.65771990741)</f>
        <v>46187.65772</v>
      </c>
      <c r="B8865" s="126">
        <f>IFERROR(__xludf.DUMMYFUNCTION("""COMPUTED_VALUE"""),46187.0)</f>
        <v>46187</v>
      </c>
      <c r="C8865" s="122" t="str">
        <f>IFERROR(__xludf.DUMMYFUNCTION("""COMPUTED_VALUE"""),"LANG")</f>
        <v>LANG</v>
      </c>
      <c r="D8865" s="122" t="str">
        <f>IFERROR(__xludf.DUMMYFUNCTION("""COMPUTED_VALUE"""),"LinguaLab")</f>
        <v>LinguaLab</v>
      </c>
      <c r="E8865" s="122">
        <f>IFERROR(__xludf.DUMMYFUNCTION("""COMPUTED_VALUE"""),102.76)</f>
        <v>102.76</v>
      </c>
      <c r="F8865" s="122">
        <f>IFERROR(__xludf.DUMMYFUNCTION("""COMPUTED_VALUE"""),-9.0E-4)</f>
        <v>-0.0009</v>
      </c>
    </row>
    <row r="8866">
      <c r="A8866" s="131">
        <f>IFERROR(__xludf.DUMMYFUNCTION("""COMPUTED_VALUE"""),46187.65771990741)</f>
        <v>46187.65772</v>
      </c>
      <c r="B8866" s="126">
        <f>IFERROR(__xludf.DUMMYFUNCTION("""COMPUTED_VALUE"""),46187.0)</f>
        <v>46187</v>
      </c>
      <c r="C8866" s="122" t="str">
        <f>IFERROR(__xludf.DUMMYFUNCTION("""COMPUTED_VALUE"""),"TEST")</f>
        <v>TEST</v>
      </c>
      <c r="D8866" s="122" t="str">
        <f>IFERROR(__xludf.DUMMYFUNCTION("""COMPUTED_VALUE"""),"TestPrep Pro")</f>
        <v>TestPrep Pro</v>
      </c>
      <c r="E8866" s="122">
        <f>IFERROR(__xludf.DUMMYFUNCTION("""COMPUTED_VALUE"""),88.34)</f>
        <v>88.34</v>
      </c>
      <c r="F8866" s="122">
        <f>IFERROR(__xludf.DUMMYFUNCTION("""COMPUTED_VALUE"""),-0.0085)</f>
        <v>-0.0085</v>
      </c>
    </row>
    <row r="8867">
      <c r="A8867" s="131">
        <f>IFERROR(__xludf.DUMMYFUNCTION("""COMPUTED_VALUE"""),46187.65771990741)</f>
        <v>46187.65772</v>
      </c>
      <c r="B8867" s="126">
        <f>IFERROR(__xludf.DUMMYFUNCTION("""COMPUTED_VALUE"""),46187.0)</f>
        <v>46187</v>
      </c>
      <c r="C8867" s="122" t="str">
        <f>IFERROR(__xludf.DUMMYFUNCTION("""COMPUTED_VALUE"""),"MOVI")</f>
        <v>MOVI</v>
      </c>
      <c r="D8867" s="122" t="str">
        <f>IFERROR(__xludf.DUMMYFUNCTION("""COMPUTED_VALUE"""),"MovieBox")</f>
        <v>MovieBox</v>
      </c>
      <c r="E8867" s="122">
        <f>IFERROR(__xludf.DUMMYFUNCTION("""COMPUTED_VALUE"""),83.34)</f>
        <v>83.34</v>
      </c>
      <c r="F8867" s="122">
        <f>IFERROR(__xludf.DUMMYFUNCTION("""COMPUTED_VALUE"""),0.0066)</f>
        <v>0.0066</v>
      </c>
    </row>
    <row r="8868">
      <c r="A8868" s="131">
        <f>IFERROR(__xludf.DUMMYFUNCTION("""COMPUTED_VALUE"""),46187.65771990741)</f>
        <v>46187.65772</v>
      </c>
      <c r="B8868" s="126">
        <f>IFERROR(__xludf.DUMMYFUNCTION("""COMPUTED_VALUE"""),46187.0)</f>
        <v>46187</v>
      </c>
      <c r="C8868" s="122" t="str">
        <f>IFERROR(__xludf.DUMMYFUNCTION("""COMPUTED_VALUE"""),"MUSC")</f>
        <v>MUSC</v>
      </c>
      <c r="D8868" s="122" t="str">
        <f>IFERROR(__xludf.DUMMYFUNCTION("""COMPUTED_VALUE"""),"MusicWave")</f>
        <v>MusicWave</v>
      </c>
      <c r="E8868" s="122">
        <f>IFERROR(__xludf.DUMMYFUNCTION("""COMPUTED_VALUE"""),105.64)</f>
        <v>105.64</v>
      </c>
      <c r="F8868" s="122">
        <f>IFERROR(__xludf.DUMMYFUNCTION("""COMPUTED_VALUE"""),0.0054)</f>
        <v>0.0054</v>
      </c>
    </row>
    <row r="8869">
      <c r="A8869" s="131">
        <f>IFERROR(__xludf.DUMMYFUNCTION("""COMPUTED_VALUE"""),46187.65771990741)</f>
        <v>46187.65772</v>
      </c>
      <c r="B8869" s="126">
        <f>IFERROR(__xludf.DUMMYFUNCTION("""COMPUTED_VALUE"""),46187.0)</f>
        <v>46187</v>
      </c>
      <c r="C8869" s="122" t="str">
        <f>IFERROR(__xludf.DUMMYFUNCTION("""COMPUTED_VALUE"""),"IDOL")</f>
        <v>IDOL</v>
      </c>
      <c r="D8869" s="122" t="str">
        <f>IFERROR(__xludf.DUMMYFUNCTION("""COMPUTED_VALUE"""),"Idol Agency")</f>
        <v>Idol Agency</v>
      </c>
      <c r="E8869" s="122">
        <f>IFERROR(__xludf.DUMMYFUNCTION("""COMPUTED_VALUE"""),190.03)</f>
        <v>190.03</v>
      </c>
      <c r="F8869" s="122">
        <f>IFERROR(__xludf.DUMMYFUNCTION("""COMPUTED_VALUE"""),0.0119)</f>
        <v>0.0119</v>
      </c>
    </row>
    <row r="8870">
      <c r="A8870" s="131">
        <f>IFERROR(__xludf.DUMMYFUNCTION("""COMPUTED_VALUE"""),46187.65771990741)</f>
        <v>46187.65772</v>
      </c>
      <c r="B8870" s="126">
        <f>IFERROR(__xludf.DUMMYFUNCTION("""COMPUTED_VALUE"""),46187.0)</f>
        <v>46187</v>
      </c>
      <c r="C8870" s="122" t="str">
        <f>IFERROR(__xludf.DUMMYFUNCTION("""COMPUTED_VALUE"""),"MEME")</f>
        <v>MEME</v>
      </c>
      <c r="D8870" s="122" t="str">
        <f>IFERROR(__xludf.DUMMYFUNCTION("""COMPUTED_VALUE"""),"Meme Media")</f>
        <v>Meme Media</v>
      </c>
      <c r="E8870" s="122">
        <f>IFERROR(__xludf.DUMMYFUNCTION("""COMPUTED_VALUE"""),71.43)</f>
        <v>71.43</v>
      </c>
      <c r="F8870" s="122">
        <f>IFERROR(__xludf.DUMMYFUNCTION("""COMPUTED_VALUE"""),0.0098)</f>
        <v>0.0098</v>
      </c>
    </row>
    <row r="8871">
      <c r="A8871" s="131">
        <f>IFERROR(__xludf.DUMMYFUNCTION("""COMPUTED_VALUE"""),46187.65771990741)</f>
        <v>46187.65772</v>
      </c>
      <c r="B8871" s="126">
        <f>IFERROR(__xludf.DUMMYFUNCTION("""COMPUTED_VALUE"""),46187.0)</f>
        <v>46187</v>
      </c>
      <c r="C8871" s="122" t="str">
        <f>IFERROR(__xludf.DUMMYFUNCTION("""COMPUTED_VALUE"""),"STRM")</f>
        <v>STRM</v>
      </c>
      <c r="D8871" s="122" t="str">
        <f>IFERROR(__xludf.DUMMYFUNCTION("""COMPUTED_VALUE"""),"Streamly")</f>
        <v>Streamly</v>
      </c>
      <c r="E8871" s="122">
        <f>IFERROR(__xludf.DUMMYFUNCTION("""COMPUTED_VALUE"""),134.48)</f>
        <v>134.48</v>
      </c>
      <c r="F8871" s="122">
        <f>IFERROR(__xludf.DUMMYFUNCTION("""COMPUTED_VALUE"""),0.0031)</f>
        <v>0.0031</v>
      </c>
    </row>
    <row r="8872">
      <c r="A8872" s="131">
        <f>IFERROR(__xludf.DUMMYFUNCTION("""COMPUTED_VALUE"""),46187.65771990741)</f>
        <v>46187.65772</v>
      </c>
      <c r="B8872" s="126">
        <f>IFERROR(__xludf.DUMMYFUNCTION("""COMPUTED_VALUE"""),46187.0)</f>
        <v>46187</v>
      </c>
      <c r="C8872" s="122" t="str">
        <f>IFERROR(__xludf.DUMMYFUNCTION("""COMPUTED_VALUE"""),"FARM")</f>
        <v>FARM</v>
      </c>
      <c r="D8872" s="122" t="str">
        <f>IFERROR(__xludf.DUMMYFUNCTION("""COMPUTED_VALUE"""),"Future Farms")</f>
        <v>Future Farms</v>
      </c>
      <c r="E8872" s="122">
        <f>IFERROR(__xludf.DUMMYFUNCTION("""COMPUTED_VALUE"""),100.39)</f>
        <v>100.39</v>
      </c>
      <c r="F8872" s="122">
        <f>IFERROR(__xludf.DUMMYFUNCTION("""COMPUTED_VALUE"""),0.0052)</f>
        <v>0.0052</v>
      </c>
    </row>
    <row r="8873">
      <c r="A8873" s="131">
        <f>IFERROR(__xludf.DUMMYFUNCTION("""COMPUTED_VALUE"""),46187.65771990741)</f>
        <v>46187.65772</v>
      </c>
      <c r="B8873" s="126">
        <f>IFERROR(__xludf.DUMMYFUNCTION("""COMPUTED_VALUE"""),46187.0)</f>
        <v>46187</v>
      </c>
      <c r="C8873" s="122" t="str">
        <f>IFERROR(__xludf.DUMMYFUNCTION("""COMPUTED_VALUE"""),"MEAT")</f>
        <v>MEAT</v>
      </c>
      <c r="D8873" s="122" t="str">
        <f>IFERROR(__xludf.DUMMYFUNCTION("""COMPUTED_VALUE"""),"MeatWorks")</f>
        <v>MeatWorks</v>
      </c>
      <c r="E8873" s="122">
        <f>IFERROR(__xludf.DUMMYFUNCTION("""COMPUTED_VALUE"""),105.14)</f>
        <v>105.14</v>
      </c>
      <c r="F8873" s="122">
        <f>IFERROR(__xludf.DUMMYFUNCTION("""COMPUTED_VALUE"""),0.0045)</f>
        <v>0.0045</v>
      </c>
    </row>
    <row r="8874">
      <c r="A8874" s="131">
        <f>IFERROR(__xludf.DUMMYFUNCTION("""COMPUTED_VALUE"""),46187.65771990741)</f>
        <v>46187.65772</v>
      </c>
      <c r="B8874" s="126">
        <f>IFERROR(__xludf.DUMMYFUNCTION("""COMPUTED_VALUE"""),46187.0)</f>
        <v>46187</v>
      </c>
      <c r="C8874" s="122" t="str">
        <f>IFERROR(__xludf.DUMMYFUNCTION("""COMPUTED_VALUE"""),"VEGI")</f>
        <v>VEGI</v>
      </c>
      <c r="D8874" s="122" t="str">
        <f>IFERROR(__xludf.DUMMYFUNCTION("""COMPUTED_VALUE"""),"Green Basket")</f>
        <v>Green Basket</v>
      </c>
      <c r="E8874" s="122">
        <f>IFERROR(__xludf.DUMMYFUNCTION("""COMPUTED_VALUE"""),77.2)</f>
        <v>77.2</v>
      </c>
      <c r="F8874" s="122">
        <f>IFERROR(__xludf.DUMMYFUNCTION("""COMPUTED_VALUE"""),0.0017)</f>
        <v>0.0017</v>
      </c>
    </row>
    <row r="8875">
      <c r="A8875" s="131">
        <f>IFERROR(__xludf.DUMMYFUNCTION("""COMPUTED_VALUE"""),46187.65771990741)</f>
        <v>46187.65772</v>
      </c>
      <c r="B8875" s="126">
        <f>IFERROR(__xludf.DUMMYFUNCTION("""COMPUTED_VALUE"""),46187.0)</f>
        <v>46187</v>
      </c>
      <c r="C8875" s="122" t="str">
        <f>IFERROR(__xludf.DUMMYFUNCTION("""COMPUTED_VALUE"""),"CAFE")</f>
        <v>CAFE</v>
      </c>
      <c r="D8875" s="122" t="str">
        <f>IFERROR(__xludf.DUMMYFUNCTION("""COMPUTED_VALUE"""),"Cafe Cloud")</f>
        <v>Cafe Cloud</v>
      </c>
      <c r="E8875" s="122">
        <f>IFERROR(__xludf.DUMMYFUNCTION("""COMPUTED_VALUE"""),103.08)</f>
        <v>103.08</v>
      </c>
      <c r="F8875" s="122">
        <f>IFERROR(__xludf.DUMMYFUNCTION("""COMPUTED_VALUE"""),-0.0015)</f>
        <v>-0.0015</v>
      </c>
    </row>
    <row r="8876">
      <c r="A8876" s="131">
        <f>IFERROR(__xludf.DUMMYFUNCTION("""COMPUTED_VALUE"""),46187.65771990741)</f>
        <v>46187.65772</v>
      </c>
      <c r="B8876" s="126">
        <f>IFERROR(__xludf.DUMMYFUNCTION("""COMPUTED_VALUE"""),46187.0)</f>
        <v>46187</v>
      </c>
      <c r="C8876" s="122" t="str">
        <f>IFERROR(__xludf.DUMMYFUNCTION("""COMPUTED_VALUE"""),"BAKE")</f>
        <v>BAKE</v>
      </c>
      <c r="D8876" s="122" t="str">
        <f>IFERROR(__xludf.DUMMYFUNCTION("""COMPUTED_VALUE"""),"BakeHouse")</f>
        <v>BakeHouse</v>
      </c>
      <c r="E8876" s="122">
        <f>IFERROR(__xludf.DUMMYFUNCTION("""COMPUTED_VALUE"""),100.77)</f>
        <v>100.77</v>
      </c>
      <c r="F8876" s="122">
        <f>IFERROR(__xludf.DUMMYFUNCTION("""COMPUTED_VALUE"""),-7.0E-4)</f>
        <v>-0.0007</v>
      </c>
    </row>
    <row r="8877">
      <c r="A8877" s="131">
        <f>IFERROR(__xludf.DUMMYFUNCTION("""COMPUTED_VALUE"""),46187.65771990741)</f>
        <v>46187.65772</v>
      </c>
      <c r="B8877" s="126">
        <f>IFERROR(__xludf.DUMMYFUNCTION("""COMPUTED_VALUE"""),46187.0)</f>
        <v>46187</v>
      </c>
      <c r="C8877" s="122" t="str">
        <f>IFERROR(__xludf.DUMMYFUNCTION("""COMPUTED_VALUE"""),"OILX")</f>
        <v>OILX</v>
      </c>
      <c r="D8877" s="122" t="str">
        <f>IFERROR(__xludf.DUMMYFUNCTION("""COMPUTED_VALUE"""),"OilMax Energy")</f>
        <v>OilMax Energy</v>
      </c>
      <c r="E8877" s="122">
        <f>IFERROR(__xludf.DUMMYFUNCTION("""COMPUTED_VALUE"""),133.88)</f>
        <v>133.88</v>
      </c>
      <c r="F8877" s="122">
        <f>IFERROR(__xludf.DUMMYFUNCTION("""COMPUTED_VALUE"""),0.0065)</f>
        <v>0.0065</v>
      </c>
    </row>
    <row r="8878">
      <c r="A8878" s="131">
        <f>IFERROR(__xludf.DUMMYFUNCTION("""COMPUTED_VALUE"""),46187.65771990741)</f>
        <v>46187.65772</v>
      </c>
      <c r="B8878" s="126">
        <f>IFERROR(__xludf.DUMMYFUNCTION("""COMPUTED_VALUE"""),46187.0)</f>
        <v>46187</v>
      </c>
      <c r="C8878" s="122" t="str">
        <f>IFERROR(__xludf.DUMMYFUNCTION("""COMPUTED_VALUE"""),"SOLR")</f>
        <v>SOLR</v>
      </c>
      <c r="D8878" s="122" t="str">
        <f>IFERROR(__xludf.DUMMYFUNCTION("""COMPUTED_VALUE"""),"SolarSpark")</f>
        <v>SolarSpark</v>
      </c>
      <c r="E8878" s="122">
        <f>IFERROR(__xludf.DUMMYFUNCTION("""COMPUTED_VALUE"""),107.94)</f>
        <v>107.94</v>
      </c>
      <c r="F8878" s="122">
        <f>IFERROR(__xludf.DUMMYFUNCTION("""COMPUTED_VALUE"""),-0.0033)</f>
        <v>-0.0033</v>
      </c>
    </row>
    <row r="8879">
      <c r="A8879" s="131">
        <f>IFERROR(__xludf.DUMMYFUNCTION("""COMPUTED_VALUE"""),46187.65771990741)</f>
        <v>46187.65772</v>
      </c>
      <c r="B8879" s="126">
        <f>IFERROR(__xludf.DUMMYFUNCTION("""COMPUTED_VALUE"""),46187.0)</f>
        <v>46187</v>
      </c>
      <c r="C8879" s="122" t="str">
        <f>IFERROR(__xludf.DUMMYFUNCTION("""COMPUTED_VALUE"""),"BATT")</f>
        <v>BATT</v>
      </c>
      <c r="D8879" s="122" t="str">
        <f>IFERROR(__xludf.DUMMYFUNCTION("""COMPUTED_VALUE"""),"BatteryBox")</f>
        <v>BatteryBox</v>
      </c>
      <c r="E8879" s="122">
        <f>IFERROR(__xludf.DUMMYFUNCTION("""COMPUTED_VALUE"""),123.24)</f>
        <v>123.24</v>
      </c>
      <c r="F8879" s="122">
        <f>IFERROR(__xludf.DUMMYFUNCTION("""COMPUTED_VALUE"""),0.0028)</f>
        <v>0.0028</v>
      </c>
    </row>
    <row r="8880">
      <c r="A8880" s="131">
        <f>IFERROR(__xludf.DUMMYFUNCTION("""COMPUTED_VALUE"""),46187.65771990741)</f>
        <v>46187.65772</v>
      </c>
      <c r="B8880" s="126">
        <f>IFERROR(__xludf.DUMMYFUNCTION("""COMPUTED_VALUE"""),46187.0)</f>
        <v>46187</v>
      </c>
      <c r="C8880" s="122" t="str">
        <f>IFERROR(__xludf.DUMMYFUNCTION("""COMPUTED_VALUE"""),"WIND")</f>
        <v>WIND</v>
      </c>
      <c r="D8880" s="122" t="str">
        <f>IFERROR(__xludf.DUMMYFUNCTION("""COMPUTED_VALUE"""),"WindWorks")</f>
        <v>WindWorks</v>
      </c>
      <c r="E8880" s="122">
        <f>IFERROR(__xludf.DUMMYFUNCTION("""COMPUTED_VALUE"""),84.98)</f>
        <v>84.98</v>
      </c>
      <c r="F8880" s="122">
        <f>IFERROR(__xludf.DUMMYFUNCTION("""COMPUTED_VALUE"""),0.0017)</f>
        <v>0.0017</v>
      </c>
    </row>
    <row r="8881">
      <c r="A8881" s="131">
        <f>IFERROR(__xludf.DUMMYFUNCTION("""COMPUTED_VALUE"""),46187.65771990741)</f>
        <v>46187.65772</v>
      </c>
      <c r="B8881" s="126">
        <f>IFERROR(__xludf.DUMMYFUNCTION("""COMPUTED_VALUE"""),46187.0)</f>
        <v>46187</v>
      </c>
      <c r="C8881" s="122" t="str">
        <f>IFERROR(__xludf.DUMMYFUNCTION("""COMPUTED_VALUE"""),"GRID")</f>
        <v>GRID</v>
      </c>
      <c r="D8881" s="122" t="str">
        <f>IFERROR(__xludf.DUMMYFUNCTION("""COMPUTED_VALUE"""),"GridPower")</f>
        <v>GridPower</v>
      </c>
      <c r="E8881" s="122">
        <f>IFERROR(__xludf.DUMMYFUNCTION("""COMPUTED_VALUE"""),125.43)</f>
        <v>125.43</v>
      </c>
      <c r="F8881" s="122">
        <f>IFERROR(__xludf.DUMMYFUNCTION("""COMPUTED_VALUE"""),0.0045)</f>
        <v>0.0045</v>
      </c>
    </row>
    <row r="8882">
      <c r="A8882" s="131">
        <f>IFERROR(__xludf.DUMMYFUNCTION("""COMPUTED_VALUE"""),46187.65771990741)</f>
        <v>46187.65772</v>
      </c>
      <c r="B8882" s="126">
        <f>IFERROR(__xludf.DUMMYFUNCTION("""COMPUTED_VALUE"""),46187.0)</f>
        <v>46187</v>
      </c>
      <c r="C8882" s="122" t="str">
        <f>IFERROR(__xludf.DUMMYFUNCTION("""COMPUTED_VALUE"""),"HOME")</f>
        <v>HOME</v>
      </c>
      <c r="D8882" s="122" t="str">
        <f>IFERROR(__xludf.DUMMYFUNCTION("""COMPUTED_VALUE"""),"HomeHub")</f>
        <v>HomeHub</v>
      </c>
      <c r="E8882" s="122">
        <f>IFERROR(__xludf.DUMMYFUNCTION("""COMPUTED_VALUE"""),162.87)</f>
        <v>162.87</v>
      </c>
      <c r="F8882" s="122">
        <f>IFERROR(__xludf.DUMMYFUNCTION("""COMPUTED_VALUE"""),0.0043)</f>
        <v>0.0043</v>
      </c>
    </row>
    <row r="8883">
      <c r="A8883" s="131">
        <f>IFERROR(__xludf.DUMMYFUNCTION("""COMPUTED_VALUE"""),46187.65771990741)</f>
        <v>46187.65772</v>
      </c>
      <c r="B8883" s="126">
        <f>IFERROR(__xludf.DUMMYFUNCTION("""COMPUTED_VALUE"""),46187.0)</f>
        <v>46187</v>
      </c>
      <c r="C8883" s="122" t="str">
        <f>IFERROR(__xludf.DUMMYFUNCTION("""COMPUTED_VALUE"""),"RENT")</f>
        <v>RENT</v>
      </c>
      <c r="D8883" s="122" t="str">
        <f>IFERROR(__xludf.DUMMYFUNCTION("""COMPUTED_VALUE"""),"RentRight")</f>
        <v>RentRight</v>
      </c>
      <c r="E8883" s="122">
        <f>IFERROR(__xludf.DUMMYFUNCTION("""COMPUTED_VALUE"""),89.89)</f>
        <v>89.89</v>
      </c>
      <c r="F8883" s="122">
        <f>IFERROR(__xludf.DUMMYFUNCTION("""COMPUTED_VALUE"""),-0.004)</f>
        <v>-0.004</v>
      </c>
    </row>
    <row r="8884">
      <c r="A8884" s="131">
        <f>IFERROR(__xludf.DUMMYFUNCTION("""COMPUTED_VALUE"""),46187.65771990741)</f>
        <v>46187.65772</v>
      </c>
      <c r="B8884" s="126">
        <f>IFERROR(__xludf.DUMMYFUNCTION("""COMPUTED_VALUE"""),46187.0)</f>
        <v>46187</v>
      </c>
      <c r="C8884" s="122" t="str">
        <f>IFERROR(__xludf.DUMMYFUNCTION("""COMPUTED_VALUE"""),"MALL")</f>
        <v>MALL</v>
      </c>
      <c r="D8884" s="122" t="str">
        <f>IFERROR(__xludf.DUMMYFUNCTION("""COMPUTED_VALUE"""),"MegaMall")</f>
        <v>MegaMall</v>
      </c>
      <c r="E8884" s="122">
        <f>IFERROR(__xludf.DUMMYFUNCTION("""COMPUTED_VALUE"""),102.51)</f>
        <v>102.51</v>
      </c>
      <c r="F8884" s="122">
        <f>IFERROR(__xludf.DUMMYFUNCTION("""COMPUTED_VALUE"""),-0.0049)</f>
        <v>-0.0049</v>
      </c>
    </row>
    <row r="8885">
      <c r="A8885" s="131">
        <f>IFERROR(__xludf.DUMMYFUNCTION("""COMPUTED_VALUE"""),46187.65771990741)</f>
        <v>46187.65772</v>
      </c>
      <c r="B8885" s="126">
        <f>IFERROR(__xludf.DUMMYFUNCTION("""COMPUTED_VALUE"""),46187.0)</f>
        <v>46187</v>
      </c>
      <c r="C8885" s="122" t="str">
        <f>IFERROR(__xludf.DUMMYFUNCTION("""COMPUTED_VALUE"""),"HOTL")</f>
        <v>HOTL</v>
      </c>
      <c r="D8885" s="122" t="str">
        <f>IFERROR(__xludf.DUMMYFUNCTION("""COMPUTED_VALUE"""),"HotelHive")</f>
        <v>HotelHive</v>
      </c>
      <c r="E8885" s="122">
        <f>IFERROR(__xludf.DUMMYFUNCTION("""COMPUTED_VALUE"""),118.9)</f>
        <v>118.9</v>
      </c>
      <c r="F8885" s="122">
        <f>IFERROR(__xludf.DUMMYFUNCTION("""COMPUTED_VALUE"""),-0.0094)</f>
        <v>-0.0094</v>
      </c>
    </row>
    <row r="8886">
      <c r="A8886" s="131">
        <f>IFERROR(__xludf.DUMMYFUNCTION("""COMPUTED_VALUE"""),46187.65771990741)</f>
        <v>46187.65772</v>
      </c>
      <c r="B8886" s="126">
        <f>IFERROR(__xludf.DUMMYFUNCTION("""COMPUTED_VALUE"""),46187.0)</f>
        <v>46187</v>
      </c>
      <c r="C8886" s="122" t="str">
        <f>IFERROR(__xludf.DUMMYFUNCTION("""COMPUTED_VALUE"""),"LAND")</f>
        <v>LAND</v>
      </c>
      <c r="D8886" s="122" t="str">
        <f>IFERROR(__xludf.DUMMYFUNCTION("""COMPUTED_VALUE"""),"LandLink")</f>
        <v>LandLink</v>
      </c>
      <c r="E8886" s="122">
        <f>IFERROR(__xludf.DUMMYFUNCTION("""COMPUTED_VALUE"""),187.82)</f>
        <v>187.82</v>
      </c>
      <c r="F8886" s="122">
        <f>IFERROR(__xludf.DUMMYFUNCTION("""COMPUTED_VALUE"""),0.0042)</f>
        <v>0.0042</v>
      </c>
    </row>
    <row r="8887">
      <c r="A8887" s="131">
        <f>IFERROR(__xludf.DUMMYFUNCTION("""COMPUTED_VALUE"""),46187.65771990741)</f>
        <v>46187.65772</v>
      </c>
      <c r="B8887" s="126">
        <f>IFERROR(__xludf.DUMMYFUNCTION("""COMPUTED_VALUE"""),46187.0)</f>
        <v>46187</v>
      </c>
      <c r="C8887" s="122" t="str">
        <f>IFERROR(__xludf.DUMMYFUNCTION("""COMPUTED_VALUE"""),"CARS")</f>
        <v>CARS</v>
      </c>
      <c r="D8887" s="122" t="str">
        <f>IFERROR(__xludf.DUMMYFUNCTION("""COMPUTED_VALUE"""),"AutoArena")</f>
        <v>AutoArena</v>
      </c>
      <c r="E8887" s="122">
        <f>IFERROR(__xludf.DUMMYFUNCTION("""COMPUTED_VALUE"""),81.27)</f>
        <v>81.27</v>
      </c>
      <c r="F8887" s="122">
        <f>IFERROR(__xludf.DUMMYFUNCTION("""COMPUTED_VALUE"""),-0.0012)</f>
        <v>-0.0012</v>
      </c>
    </row>
    <row r="8888">
      <c r="A8888" s="131">
        <f>IFERROR(__xludf.DUMMYFUNCTION("""COMPUTED_VALUE"""),46187.65771990741)</f>
        <v>46187.65772</v>
      </c>
      <c r="B8888" s="126">
        <f>IFERROR(__xludf.DUMMYFUNCTION("""COMPUTED_VALUE"""),46187.0)</f>
        <v>46187</v>
      </c>
      <c r="C8888" s="122" t="str">
        <f>IFERROR(__xludf.DUMMYFUNCTION("""COMPUTED_VALUE"""),"EVGO")</f>
        <v>EVGO</v>
      </c>
      <c r="D8888" s="122" t="str">
        <f>IFERROR(__xludf.DUMMYFUNCTION("""COMPUTED_VALUE"""),"EVGo Motors")</f>
        <v>EVGo Motors</v>
      </c>
      <c r="E8888" s="122">
        <f>IFERROR(__xludf.DUMMYFUNCTION("""COMPUTED_VALUE"""),192.93)</f>
        <v>192.93</v>
      </c>
      <c r="F8888" s="122">
        <f>IFERROR(__xludf.DUMMYFUNCTION("""COMPUTED_VALUE"""),0.0115)</f>
        <v>0.0115</v>
      </c>
    </row>
    <row r="8889">
      <c r="A8889" s="131">
        <f>IFERROR(__xludf.DUMMYFUNCTION("""COMPUTED_VALUE"""),46187.65771990741)</f>
        <v>46187.65772</v>
      </c>
      <c r="B8889" s="126">
        <f>IFERROR(__xludf.DUMMYFUNCTION("""COMPUTED_VALUE"""),46187.0)</f>
        <v>46187</v>
      </c>
      <c r="C8889" s="122" t="str">
        <f>IFERROR(__xludf.DUMMYFUNCTION("""COMPUTED_VALUE"""),"TIRE")</f>
        <v>TIRE</v>
      </c>
      <c r="D8889" s="122" t="str">
        <f>IFERROR(__xludf.DUMMYFUNCTION("""COMPUTED_VALUE"""),"TireTown")</f>
        <v>TireTown</v>
      </c>
      <c r="E8889" s="122">
        <f>IFERROR(__xludf.DUMMYFUNCTION("""COMPUTED_VALUE"""),98.04)</f>
        <v>98.04</v>
      </c>
      <c r="F8889" s="122">
        <f>IFERROR(__xludf.DUMMYFUNCTION("""COMPUTED_VALUE"""),-3.0E-4)</f>
        <v>-0.0003</v>
      </c>
    </row>
    <row r="8890">
      <c r="A8890" s="131">
        <f>IFERROR(__xludf.DUMMYFUNCTION("""COMPUTED_VALUE"""),46187.65771990741)</f>
        <v>46187.65772</v>
      </c>
      <c r="B8890" s="126">
        <f>IFERROR(__xludf.DUMMYFUNCTION("""COMPUTED_VALUE"""),46187.0)</f>
        <v>46187</v>
      </c>
      <c r="C8890" s="122" t="str">
        <f>IFERROR(__xludf.DUMMYFUNCTION("""COMPUTED_VALUE"""),"BIKE")</f>
        <v>BIKE</v>
      </c>
      <c r="D8890" s="122" t="str">
        <f>IFERROR(__xludf.DUMMYFUNCTION("""COMPUTED_VALUE"""),"BikeBox")</f>
        <v>BikeBox</v>
      </c>
      <c r="E8890" s="122">
        <f>IFERROR(__xludf.DUMMYFUNCTION("""COMPUTED_VALUE"""),51.91)</f>
        <v>51.91</v>
      </c>
      <c r="F8890" s="122">
        <f>IFERROR(__xludf.DUMMYFUNCTION("""COMPUTED_VALUE"""),-0.005)</f>
        <v>-0.005</v>
      </c>
    </row>
    <row r="8891">
      <c r="A8891" s="131">
        <f>IFERROR(__xludf.DUMMYFUNCTION("""COMPUTED_VALUE"""),46187.65771990741)</f>
        <v>46187.65772</v>
      </c>
      <c r="B8891" s="126">
        <f>IFERROR(__xludf.DUMMYFUNCTION("""COMPUTED_VALUE"""),46187.0)</f>
        <v>46187</v>
      </c>
      <c r="C8891" s="122" t="str">
        <f>IFERROR(__xludf.DUMMYFUNCTION("""COMPUTED_VALUE"""),"WASH")</f>
        <v>WASH</v>
      </c>
      <c r="D8891" s="122" t="str">
        <f>IFERROR(__xludf.DUMMYFUNCTION("""COMPUTED_VALUE"""),"CarWash Co")</f>
        <v>CarWash Co</v>
      </c>
      <c r="E8891" s="122">
        <f>IFERROR(__xludf.DUMMYFUNCTION("""COMPUTED_VALUE"""),122.97)</f>
        <v>122.97</v>
      </c>
      <c r="F8891" s="122">
        <f>IFERROR(__xludf.DUMMYFUNCTION("""COMPUTED_VALUE"""),0.0036)</f>
        <v>0.0036</v>
      </c>
    </row>
    <row r="8892">
      <c r="A8892" s="131">
        <f>IFERROR(__xludf.DUMMYFUNCTION("""COMPUTED_VALUE"""),46187.65771990741)</f>
        <v>46187.65772</v>
      </c>
      <c r="B8892" s="126">
        <f>IFERROR(__xludf.DUMMYFUNCTION("""COMPUTED_VALUE"""),46187.0)</f>
        <v>46187</v>
      </c>
      <c r="C8892" s="122" t="str">
        <f>IFERROR(__xludf.DUMMYFUNCTION("""COMPUTED_VALUE"""),"GBND")</f>
        <v>GBND</v>
      </c>
      <c r="D8892" s="122" t="str">
        <f>IFERROR(__xludf.DUMMYFUNCTION("""COMPUTED_VALUE"""),"Classroom Government Bond")</f>
        <v>Classroom Government Bond</v>
      </c>
      <c r="E8892" s="122">
        <f>IFERROR(__xludf.DUMMYFUNCTION("""COMPUTED_VALUE"""),101.12)</f>
        <v>101.12</v>
      </c>
      <c r="F8892" s="122">
        <f>IFERROR(__xludf.DUMMYFUNCTION("""COMPUTED_VALUE"""),-2.0E-4)</f>
        <v>-0.0002</v>
      </c>
    </row>
    <row r="8893">
      <c r="A8893" s="131">
        <f>IFERROR(__xludf.DUMMYFUNCTION("""COMPUTED_VALUE"""),46187.65771990741)</f>
        <v>46187.65772</v>
      </c>
      <c r="B8893" s="126">
        <f>IFERROR(__xludf.DUMMYFUNCTION("""COMPUTED_VALUE"""),46187.0)</f>
        <v>46187</v>
      </c>
      <c r="C8893" s="122" t="str">
        <f>IFERROR(__xludf.DUMMYFUNCTION("""COMPUTED_VALUE"""),"SBND")</f>
        <v>SBND</v>
      </c>
      <c r="D8893" s="122" t="str">
        <f>IFERROR(__xludf.DUMMYFUNCTION("""COMPUTED_VALUE"""),"School Savings Bond")</f>
        <v>School Savings Bond</v>
      </c>
      <c r="E8893" s="122">
        <f>IFERROR(__xludf.DUMMYFUNCTION("""COMPUTED_VALUE"""),99.21)</f>
        <v>99.21</v>
      </c>
      <c r="F8893" s="122">
        <f>IFERROR(__xludf.DUMMYFUNCTION("""COMPUTED_VALUE"""),1.0E-4)</f>
        <v>0.0001</v>
      </c>
    </row>
    <row r="8894">
      <c r="A8894" s="131">
        <f>IFERROR(__xludf.DUMMYFUNCTION("""COMPUTED_VALUE"""),46187.65771990741)</f>
        <v>46187.65772</v>
      </c>
      <c r="B8894" s="126">
        <f>IFERROR(__xludf.DUMMYFUNCTION("""COMPUTED_VALUE"""),46187.0)</f>
        <v>46187</v>
      </c>
      <c r="C8894" s="122" t="str">
        <f>IFERROR(__xludf.DUMMYFUNCTION("""COMPUTED_VALUE"""),"CBND")</f>
        <v>CBND</v>
      </c>
      <c r="D8894" s="122" t="str">
        <f>IFERROR(__xludf.DUMMYFUNCTION("""COMPUTED_VALUE"""),"Corporate Classroom Bond")</f>
        <v>Corporate Classroom Bond</v>
      </c>
      <c r="E8894" s="122">
        <f>IFERROR(__xludf.DUMMYFUNCTION("""COMPUTED_VALUE"""),97.85)</f>
        <v>97.85</v>
      </c>
      <c r="F8894" s="122">
        <f>IFERROR(__xludf.DUMMYFUNCTION("""COMPUTED_VALUE"""),4.0E-4)</f>
        <v>0.0004</v>
      </c>
    </row>
    <row r="8895">
      <c r="A8895" s="131">
        <f>IFERROR(__xludf.DUMMYFUNCTION("""COMPUTED_VALUE"""),46187.65771990741)</f>
        <v>46187.65772</v>
      </c>
      <c r="B8895" s="126">
        <f>IFERROR(__xludf.DUMMYFUNCTION("""COMPUTED_VALUE"""),46187.0)</f>
        <v>46187</v>
      </c>
      <c r="C8895" s="122" t="str">
        <f>IFERROR(__xludf.DUMMYFUNCTION("""COMPUTED_VALUE"""),"TBIL")</f>
        <v>TBIL</v>
      </c>
      <c r="D8895" s="122" t="str">
        <f>IFERROR(__xludf.DUMMYFUNCTION("""COMPUTED_VALUE"""),"Treasury Bill")</f>
        <v>Treasury Bill</v>
      </c>
      <c r="E8895" s="122">
        <f>IFERROR(__xludf.DUMMYFUNCTION("""COMPUTED_VALUE"""),97.81)</f>
        <v>97.81</v>
      </c>
      <c r="F8895" s="122">
        <f>IFERROR(__xludf.DUMMYFUNCTION("""COMPUTED_VALUE"""),2.0E-4)</f>
        <v>0.0002</v>
      </c>
    </row>
    <row r="8896">
      <c r="A8896" s="131">
        <f>IFERROR(__xludf.DUMMYFUNCTION("""COMPUTED_VALUE"""),46187.65771990741)</f>
        <v>46187.65772</v>
      </c>
      <c r="B8896" s="126">
        <f>IFERROR(__xludf.DUMMYFUNCTION("""COMPUTED_VALUE"""),46187.0)</f>
        <v>46187</v>
      </c>
      <c r="C8896" s="122" t="str">
        <f>IFERROR(__xludf.DUMMYFUNCTION("""COMPUTED_VALUE"""),"IBND")</f>
        <v>IBND</v>
      </c>
      <c r="D8896" s="122" t="str">
        <f>IFERROR(__xludf.DUMMYFUNCTION("""COMPUTED_VALUE"""),"Inflation Protected Bond")</f>
        <v>Inflation Protected Bond</v>
      </c>
      <c r="E8896" s="122">
        <f>IFERROR(__xludf.DUMMYFUNCTION("""COMPUTED_VALUE"""),100.85)</f>
        <v>100.85</v>
      </c>
      <c r="F8896" s="122">
        <f>IFERROR(__xludf.DUMMYFUNCTION("""COMPUTED_VALUE"""),5.0E-4)</f>
        <v>0.0005</v>
      </c>
    </row>
    <row r="8897">
      <c r="A8897" s="131">
        <f>IFERROR(__xludf.DUMMYFUNCTION("""COMPUTED_VALUE"""),46187.65923611111)</f>
        <v>46187.65924</v>
      </c>
      <c r="B8897" s="126">
        <f>IFERROR(__xludf.DUMMYFUNCTION("""COMPUTED_VALUE"""),46187.0)</f>
        <v>46187</v>
      </c>
      <c r="C8897" s="130">
        <f>IFERROR(__xludf.DUMMYFUNCTION("""COMPUTED_VALUE"""),0.6592361111111111)</f>
        <v>0.6592361111</v>
      </c>
      <c r="D8897" s="122" t="str">
        <f>IFERROR(__xludf.DUMMYFUNCTION("""COMPUTED_VALUE"""),"SNAX")</f>
        <v>SNAX</v>
      </c>
      <c r="E8897" s="122" t="str">
        <f>IFERROR(__xludf.DUMMYFUNCTION("""COMPUTED_VALUE"""),"MICA Snacks")</f>
        <v>MICA Snacks</v>
      </c>
      <c r="F8897" s="122" t="str">
        <f>IFERROR(__xludf.DUMMYFUNCTION("""COMPUTED_VALUE"""),"Consumer Goods")</f>
        <v>Consumer Goods</v>
      </c>
    </row>
    <row r="8898">
      <c r="A8898" s="131">
        <f>IFERROR(__xludf.DUMMYFUNCTION("""COMPUTED_VALUE"""),46187.65923611111)</f>
        <v>46187.65924</v>
      </c>
      <c r="B8898" s="126">
        <f>IFERROR(__xludf.DUMMYFUNCTION("""COMPUTED_VALUE"""),46187.0)</f>
        <v>46187</v>
      </c>
      <c r="C8898" s="130">
        <f>IFERROR(__xludf.DUMMYFUNCTION("""COMPUTED_VALUE"""),0.6592361111111111)</f>
        <v>0.6592361111</v>
      </c>
      <c r="D8898" s="122" t="str">
        <f>IFERROR(__xludf.DUMMYFUNCTION("""COMPUTED_VALUE"""),"RAMN")</f>
        <v>RAMN</v>
      </c>
      <c r="E8898" s="122" t="str">
        <f>IFERROR(__xludf.DUMMYFUNCTION("""COMPUTED_VALUE"""),"Ramen Republic")</f>
        <v>Ramen Republic</v>
      </c>
      <c r="F8898" s="122" t="str">
        <f>IFERROR(__xludf.DUMMYFUNCTION("""COMPUTED_VALUE"""),"Food")</f>
        <v>Food</v>
      </c>
    </row>
    <row r="8899">
      <c r="A8899" s="131">
        <f>IFERROR(__xludf.DUMMYFUNCTION("""COMPUTED_VALUE"""),46187.65923611111)</f>
        <v>46187.65924</v>
      </c>
      <c r="B8899" s="126">
        <f>IFERROR(__xludf.DUMMYFUNCTION("""COMPUTED_VALUE"""),46187.0)</f>
        <v>46187</v>
      </c>
      <c r="C8899" s="130">
        <f>IFERROR(__xludf.DUMMYFUNCTION("""COMPUTED_VALUE"""),0.6592361111111111)</f>
        <v>0.6592361111</v>
      </c>
      <c r="D8899" s="122" t="str">
        <f>IFERROR(__xludf.DUMMYFUNCTION("""COMPUTED_VALUE"""),"COLA")</f>
        <v>COLA</v>
      </c>
      <c r="E8899" s="122" t="str">
        <f>IFERROR(__xludf.DUMMYFUNCTION("""COMPUTED_VALUE"""),"K-Pop Cola")</f>
        <v>K-Pop Cola</v>
      </c>
      <c r="F8899" s="122" t="str">
        <f>IFERROR(__xludf.DUMMYFUNCTION("""COMPUTED_VALUE"""),"Beverage")</f>
        <v>Beverage</v>
      </c>
    </row>
    <row r="8900">
      <c r="A8900" s="131">
        <f>IFERROR(__xludf.DUMMYFUNCTION("""COMPUTED_VALUE"""),46187.65923611111)</f>
        <v>46187.65924</v>
      </c>
      <c r="B8900" s="126">
        <f>IFERROR(__xludf.DUMMYFUNCTION("""COMPUTED_VALUE"""),46187.0)</f>
        <v>46187</v>
      </c>
      <c r="C8900" s="130">
        <f>IFERROR(__xludf.DUMMYFUNCTION("""COMPUTED_VALUE"""),0.6592361111111111)</f>
        <v>0.6592361111</v>
      </c>
      <c r="D8900" s="122" t="str">
        <f>IFERROR(__xludf.DUMMYFUNCTION("""COMPUTED_VALUE"""),"CHIP")</f>
        <v>CHIP</v>
      </c>
      <c r="E8900" s="122" t="str">
        <f>IFERROR(__xludf.DUMMYFUNCTION("""COMPUTED_VALUE"""),"Chip Empire")</f>
        <v>Chip Empire</v>
      </c>
      <c r="F8900" s="122" t="str">
        <f>IFERROR(__xludf.DUMMYFUNCTION("""COMPUTED_VALUE"""),"Consumer Goods")</f>
        <v>Consumer Goods</v>
      </c>
    </row>
    <row r="8901">
      <c r="A8901" s="131">
        <f>IFERROR(__xludf.DUMMYFUNCTION("""COMPUTED_VALUE"""),46187.65923611111)</f>
        <v>46187.65924</v>
      </c>
      <c r="B8901" s="126">
        <f>IFERROR(__xludf.DUMMYFUNCTION("""COMPUTED_VALUE"""),46187.0)</f>
        <v>46187</v>
      </c>
      <c r="C8901" s="130">
        <f>IFERROR(__xludf.DUMMYFUNCTION("""COMPUTED_VALUE"""),0.6592361111111111)</f>
        <v>0.6592361111</v>
      </c>
      <c r="D8901" s="122" t="str">
        <f>IFERROR(__xludf.DUMMYFUNCTION("""COMPUTED_VALUE"""),"CAND")</f>
        <v>CAND</v>
      </c>
      <c r="E8901" s="122" t="str">
        <f>IFERROR(__xludf.DUMMYFUNCTION("""COMPUTED_VALUE"""),"Candy Capital")</f>
        <v>Candy Capital</v>
      </c>
      <c r="F8901" s="122" t="str">
        <f>IFERROR(__xludf.DUMMYFUNCTION("""COMPUTED_VALUE"""),"Consumer Goods")</f>
        <v>Consumer Goods</v>
      </c>
    </row>
    <row r="8902">
      <c r="A8902" s="131">
        <f>IFERROR(__xludf.DUMMYFUNCTION("""COMPUTED_VALUE"""),46187.65923611111)</f>
        <v>46187.65924</v>
      </c>
      <c r="B8902" s="126">
        <f>IFERROR(__xludf.DUMMYFUNCTION("""COMPUTED_VALUE"""),46187.0)</f>
        <v>46187</v>
      </c>
      <c r="C8902" s="130">
        <f>IFERROR(__xludf.DUMMYFUNCTION("""COMPUTED_VALUE"""),0.6592361111111111)</f>
        <v>0.6592361111</v>
      </c>
      <c r="D8902" s="122" t="str">
        <f>IFERROR(__xludf.DUMMYFUNCTION("""COMPUTED_VALUE"""),"TECH")</f>
        <v>TECH</v>
      </c>
      <c r="E8902" s="122" t="str">
        <f>IFERROR(__xludf.DUMMYFUNCTION("""COMPUTED_VALUE"""),"Dragon Tech")</f>
        <v>Dragon Tech</v>
      </c>
      <c r="F8902" s="122" t="str">
        <f>IFERROR(__xludf.DUMMYFUNCTION("""COMPUTED_VALUE"""),"Technology")</f>
        <v>Technology</v>
      </c>
    </row>
    <row r="8903">
      <c r="A8903" s="131">
        <f>IFERROR(__xludf.DUMMYFUNCTION("""COMPUTED_VALUE"""),46187.65923611111)</f>
        <v>46187.65924</v>
      </c>
      <c r="B8903" s="126">
        <f>IFERROR(__xludf.DUMMYFUNCTION("""COMPUTED_VALUE"""),46187.0)</f>
        <v>46187</v>
      </c>
      <c r="C8903" s="130">
        <f>IFERROR(__xludf.DUMMYFUNCTION("""COMPUTED_VALUE"""),0.6592361111111111)</f>
        <v>0.6592361111</v>
      </c>
      <c r="D8903" s="122" t="str">
        <f>IFERROR(__xludf.DUMMYFUNCTION("""COMPUTED_VALUE"""),"AIBO")</f>
        <v>AIBO</v>
      </c>
      <c r="E8903" s="122" t="str">
        <f>IFERROR(__xludf.DUMMYFUNCTION("""COMPUTED_VALUE"""),"Homework AI")</f>
        <v>Homework AI</v>
      </c>
      <c r="F8903" s="122" t="str">
        <f>IFERROR(__xludf.DUMMYFUNCTION("""COMPUTED_VALUE"""),"Technology")</f>
        <v>Technology</v>
      </c>
    </row>
    <row r="8904">
      <c r="A8904" s="131">
        <f>IFERROR(__xludf.DUMMYFUNCTION("""COMPUTED_VALUE"""),46187.65923611111)</f>
        <v>46187.65924</v>
      </c>
      <c r="B8904" s="126">
        <f>IFERROR(__xludf.DUMMYFUNCTION("""COMPUTED_VALUE"""),46187.0)</f>
        <v>46187</v>
      </c>
      <c r="C8904" s="130">
        <f>IFERROR(__xludf.DUMMYFUNCTION("""COMPUTED_VALUE"""),0.6592361111111111)</f>
        <v>0.6592361111</v>
      </c>
      <c r="D8904" s="122" t="str">
        <f>IFERROR(__xludf.DUMMYFUNCTION("""COMPUTED_VALUE"""),"GAME")</f>
        <v>GAME</v>
      </c>
      <c r="E8904" s="122" t="str">
        <f>IFERROR(__xludf.DUMMYFUNCTION("""COMPUTED_VALUE"""),"GameBox Media")</f>
        <v>GameBox Media</v>
      </c>
      <c r="F8904" s="122" t="str">
        <f>IFERROR(__xludf.DUMMYFUNCTION("""COMPUTED_VALUE"""),"Entertainment")</f>
        <v>Entertainment</v>
      </c>
    </row>
    <row r="8905">
      <c r="A8905" s="131">
        <f>IFERROR(__xludf.DUMMYFUNCTION("""COMPUTED_VALUE"""),46187.65923611111)</f>
        <v>46187.65924</v>
      </c>
      <c r="B8905" s="126">
        <f>IFERROR(__xludf.DUMMYFUNCTION("""COMPUTED_VALUE"""),46187.0)</f>
        <v>46187</v>
      </c>
      <c r="C8905" s="130">
        <f>IFERROR(__xludf.DUMMYFUNCTION("""COMPUTED_VALUE"""),0.6592361111111111)</f>
        <v>0.6592361111</v>
      </c>
      <c r="D8905" s="122" t="str">
        <f>IFERROR(__xludf.DUMMYFUNCTION("""COMPUTED_VALUE"""),"VRSE")</f>
        <v>VRSE</v>
      </c>
      <c r="E8905" s="122" t="str">
        <f>IFERROR(__xludf.DUMMYFUNCTION("""COMPUTED_VALUE"""),"VerseVR")</f>
        <v>VerseVR</v>
      </c>
      <c r="F8905" s="122" t="str">
        <f>IFERROR(__xludf.DUMMYFUNCTION("""COMPUTED_VALUE"""),"Technology")</f>
        <v>Technology</v>
      </c>
    </row>
    <row r="8906">
      <c r="A8906" s="131">
        <f>IFERROR(__xludf.DUMMYFUNCTION("""COMPUTED_VALUE"""),46187.65923611111)</f>
        <v>46187.65924</v>
      </c>
      <c r="B8906" s="126">
        <f>IFERROR(__xludf.DUMMYFUNCTION("""COMPUTED_VALUE"""),46187.0)</f>
        <v>46187</v>
      </c>
      <c r="C8906" s="130">
        <f>IFERROR(__xludf.DUMMYFUNCTION("""COMPUTED_VALUE"""),0.6592361111111111)</f>
        <v>0.6592361111</v>
      </c>
      <c r="D8906" s="122" t="str">
        <f>IFERROR(__xludf.DUMMYFUNCTION("""COMPUTED_VALUE"""),"BYTE")</f>
        <v>BYTE</v>
      </c>
      <c r="E8906" s="122" t="str">
        <f>IFERROR(__xludf.DUMMYFUNCTION("""COMPUTED_VALUE"""),"ByteWorks")</f>
        <v>ByteWorks</v>
      </c>
      <c r="F8906" s="122" t="str">
        <f>IFERROR(__xludf.DUMMYFUNCTION("""COMPUTED_VALUE"""),"Technology")</f>
        <v>Technology</v>
      </c>
    </row>
    <row r="8907">
      <c r="A8907" s="131">
        <f>IFERROR(__xludf.DUMMYFUNCTION("""COMPUTED_VALUE"""),46187.65923611111)</f>
        <v>46187.65924</v>
      </c>
      <c r="B8907" s="126">
        <f>IFERROR(__xludf.DUMMYFUNCTION("""COMPUTED_VALUE"""),46187.0)</f>
        <v>46187</v>
      </c>
      <c r="C8907" s="130">
        <f>IFERROR(__xludf.DUMMYFUNCTION("""COMPUTED_VALUE"""),0.6592361111111111)</f>
        <v>0.6592361111</v>
      </c>
      <c r="D8907" s="122" t="str">
        <f>IFERROR(__xludf.DUMMYFUNCTION("""COMPUTED_VALUE"""),"BANK")</f>
        <v>BANK</v>
      </c>
      <c r="E8907" s="122" t="str">
        <f>IFERROR(__xludf.DUMMYFUNCTION("""COMPUTED_VALUE"""),"Tiger Bank")</f>
        <v>Tiger Bank</v>
      </c>
      <c r="F8907" s="122" t="str">
        <f>IFERROR(__xludf.DUMMYFUNCTION("""COMPUTED_VALUE"""),"Finance")</f>
        <v>Finance</v>
      </c>
    </row>
    <row r="8908">
      <c r="A8908" s="131">
        <f>IFERROR(__xludf.DUMMYFUNCTION("""COMPUTED_VALUE"""),46187.65923611111)</f>
        <v>46187.65924</v>
      </c>
      <c r="B8908" s="126">
        <f>IFERROR(__xludf.DUMMYFUNCTION("""COMPUTED_VALUE"""),46187.0)</f>
        <v>46187</v>
      </c>
      <c r="C8908" s="130">
        <f>IFERROR(__xludf.DUMMYFUNCTION("""COMPUTED_VALUE"""),0.6592361111111111)</f>
        <v>0.6592361111</v>
      </c>
      <c r="D8908" s="122" t="str">
        <f>IFERROR(__xludf.DUMMYFUNCTION("""COMPUTED_VALUE"""),"CRED")</f>
        <v>CRED</v>
      </c>
      <c r="E8908" s="122" t="str">
        <f>IFERROR(__xludf.DUMMYFUNCTION("""COMPUTED_VALUE"""),"Credit Castle")</f>
        <v>Credit Castle</v>
      </c>
      <c r="F8908" s="122" t="str">
        <f>IFERROR(__xludf.DUMMYFUNCTION("""COMPUTED_VALUE"""),"Finance")</f>
        <v>Finance</v>
      </c>
    </row>
    <row r="8909">
      <c r="A8909" s="131">
        <f>IFERROR(__xludf.DUMMYFUNCTION("""COMPUTED_VALUE"""),46187.65923611111)</f>
        <v>46187.65924</v>
      </c>
      <c r="B8909" s="126">
        <f>IFERROR(__xludf.DUMMYFUNCTION("""COMPUTED_VALUE"""),46187.0)</f>
        <v>46187</v>
      </c>
      <c r="C8909" s="130">
        <f>IFERROR(__xludf.DUMMYFUNCTION("""COMPUTED_VALUE"""),0.6592361111111111)</f>
        <v>0.6592361111</v>
      </c>
      <c r="D8909" s="122" t="str">
        <f>IFERROR(__xludf.DUMMYFUNCTION("""COMPUTED_VALUE"""),"BOND")</f>
        <v>BOND</v>
      </c>
      <c r="E8909" s="122" t="str">
        <f>IFERROR(__xludf.DUMMYFUNCTION("""COMPUTED_VALUE"""),"BondBridge")</f>
        <v>BondBridge</v>
      </c>
      <c r="F8909" s="122" t="str">
        <f>IFERROR(__xludf.DUMMYFUNCTION("""COMPUTED_VALUE"""),"Finance")</f>
        <v>Finance</v>
      </c>
    </row>
    <row r="8910">
      <c r="A8910" s="131">
        <f>IFERROR(__xludf.DUMMYFUNCTION("""COMPUTED_VALUE"""),46187.65923611111)</f>
        <v>46187.65924</v>
      </c>
      <c r="B8910" s="126">
        <f>IFERROR(__xludf.DUMMYFUNCTION("""COMPUTED_VALUE"""),46187.0)</f>
        <v>46187</v>
      </c>
      <c r="C8910" s="130">
        <f>IFERROR(__xludf.DUMMYFUNCTION("""COMPUTED_VALUE"""),0.6592361111111111)</f>
        <v>0.6592361111</v>
      </c>
      <c r="D8910" s="122" t="str">
        <f>IFERROR(__xludf.DUMMYFUNCTION("""COMPUTED_VALUE"""),"INSR")</f>
        <v>INSR</v>
      </c>
      <c r="E8910" s="122" t="str">
        <f>IFERROR(__xludf.DUMMYFUNCTION("""COMPUTED_VALUE"""),"Shield Insurance")</f>
        <v>Shield Insurance</v>
      </c>
      <c r="F8910" s="122" t="str">
        <f>IFERROR(__xludf.DUMMYFUNCTION("""COMPUTED_VALUE"""),"Finance")</f>
        <v>Finance</v>
      </c>
    </row>
    <row r="8911">
      <c r="A8911" s="131">
        <f>IFERROR(__xludf.DUMMYFUNCTION("""COMPUTED_VALUE"""),46187.65923611111)</f>
        <v>46187.65924</v>
      </c>
      <c r="B8911" s="126">
        <f>IFERROR(__xludf.DUMMYFUNCTION("""COMPUTED_VALUE"""),46187.0)</f>
        <v>46187</v>
      </c>
      <c r="C8911" s="130">
        <f>IFERROR(__xludf.DUMMYFUNCTION("""COMPUTED_VALUE"""),0.6592361111111111)</f>
        <v>0.6592361111</v>
      </c>
      <c r="D8911" s="122" t="str">
        <f>IFERROR(__xludf.DUMMYFUNCTION("""COMPUTED_VALUE"""),"LOAN")</f>
        <v>LOAN</v>
      </c>
      <c r="E8911" s="122" t="str">
        <f>IFERROR(__xludf.DUMMYFUNCTION("""COMPUTED_VALUE"""),"LoanLab")</f>
        <v>LoanLab</v>
      </c>
      <c r="F8911" s="122" t="str">
        <f>IFERROR(__xludf.DUMMYFUNCTION("""COMPUTED_VALUE"""),"Finance")</f>
        <v>Finance</v>
      </c>
    </row>
    <row r="8912">
      <c r="A8912" s="131">
        <f>IFERROR(__xludf.DUMMYFUNCTION("""COMPUTED_VALUE"""),46187.65923611111)</f>
        <v>46187.65924</v>
      </c>
      <c r="B8912" s="126">
        <f>IFERROR(__xludf.DUMMYFUNCTION("""COMPUTED_VALUE"""),46187.0)</f>
        <v>46187</v>
      </c>
      <c r="C8912" s="130">
        <f>IFERROR(__xludf.DUMMYFUNCTION("""COMPUTED_VALUE"""),0.6592361111111111)</f>
        <v>0.6592361111</v>
      </c>
      <c r="D8912" s="122" t="str">
        <f>IFERROR(__xludf.DUMMYFUNCTION("""COMPUTED_VALUE"""),"LUXE")</f>
        <v>LUXE</v>
      </c>
      <c r="E8912" s="122" t="str">
        <f>IFERROR(__xludf.DUMMYFUNCTION("""COMPUTED_VALUE"""),"Luxury Locker")</f>
        <v>Luxury Locker</v>
      </c>
      <c r="F8912" s="122" t="str">
        <f>IFERROR(__xludf.DUMMYFUNCTION("""COMPUTED_VALUE"""),"Luxury Goods")</f>
        <v>Luxury Goods</v>
      </c>
    </row>
    <row r="8913">
      <c r="A8913" s="131">
        <f>IFERROR(__xludf.DUMMYFUNCTION("""COMPUTED_VALUE"""),46187.65923611111)</f>
        <v>46187.65924</v>
      </c>
      <c r="B8913" s="126">
        <f>IFERROR(__xludf.DUMMYFUNCTION("""COMPUTED_VALUE"""),46187.0)</f>
        <v>46187</v>
      </c>
      <c r="C8913" s="130">
        <f>IFERROR(__xludf.DUMMYFUNCTION("""COMPUTED_VALUE"""),0.6592361111111111)</f>
        <v>0.6592361111</v>
      </c>
      <c r="D8913" s="122" t="str">
        <f>IFERROR(__xludf.DUMMYFUNCTION("""COMPUTED_VALUE"""),"DRIP")</f>
        <v>DRIP</v>
      </c>
      <c r="E8913" s="122" t="str">
        <f>IFERROR(__xludf.DUMMYFUNCTION("""COMPUTED_VALUE"""),"Drip Streetwear")</f>
        <v>Drip Streetwear</v>
      </c>
      <c r="F8913" s="122" t="str">
        <f>IFERROR(__xludf.DUMMYFUNCTION("""COMPUTED_VALUE"""),"Fashion")</f>
        <v>Fashion</v>
      </c>
    </row>
    <row r="8914">
      <c r="A8914" s="131">
        <f>IFERROR(__xludf.DUMMYFUNCTION("""COMPUTED_VALUE"""),46187.65923611111)</f>
        <v>46187.65924</v>
      </c>
      <c r="B8914" s="126">
        <f>IFERROR(__xludf.DUMMYFUNCTION("""COMPUTED_VALUE"""),46187.0)</f>
        <v>46187</v>
      </c>
      <c r="C8914" s="130">
        <f>IFERROR(__xludf.DUMMYFUNCTION("""COMPUTED_VALUE"""),0.6592361111111111)</f>
        <v>0.6592361111</v>
      </c>
      <c r="D8914" s="122" t="str">
        <f>IFERROR(__xludf.DUMMYFUNCTION("""COMPUTED_VALUE"""),"KICK")</f>
        <v>KICK</v>
      </c>
      <c r="E8914" s="122" t="str">
        <f>IFERROR(__xludf.DUMMYFUNCTION("""COMPUTED_VALUE"""),"KickDrop Sneakers")</f>
        <v>KickDrop Sneakers</v>
      </c>
      <c r="F8914" s="122" t="str">
        <f>IFERROR(__xludf.DUMMYFUNCTION("""COMPUTED_VALUE"""),"Fashion")</f>
        <v>Fashion</v>
      </c>
    </row>
    <row r="8915">
      <c r="A8915" s="131">
        <f>IFERROR(__xludf.DUMMYFUNCTION("""COMPUTED_VALUE"""),46187.65923611111)</f>
        <v>46187.65924</v>
      </c>
      <c r="B8915" s="126">
        <f>IFERROR(__xludf.DUMMYFUNCTION("""COMPUTED_VALUE"""),46187.0)</f>
        <v>46187</v>
      </c>
      <c r="C8915" s="130">
        <f>IFERROR(__xludf.DUMMYFUNCTION("""COMPUTED_VALUE"""),0.6592361111111111)</f>
        <v>0.6592361111</v>
      </c>
      <c r="D8915" s="122" t="str">
        <f>IFERROR(__xludf.DUMMYFUNCTION("""COMPUTED_VALUE"""),"GLAM")</f>
        <v>GLAM</v>
      </c>
      <c r="E8915" s="122" t="str">
        <f>IFERROR(__xludf.DUMMYFUNCTION("""COMPUTED_VALUE"""),"Glow Cosmetics")</f>
        <v>Glow Cosmetics</v>
      </c>
      <c r="F8915" s="122" t="str">
        <f>IFERROR(__xludf.DUMMYFUNCTION("""COMPUTED_VALUE"""),"Fashion")</f>
        <v>Fashion</v>
      </c>
    </row>
    <row r="8916">
      <c r="A8916" s="131">
        <f>IFERROR(__xludf.DUMMYFUNCTION("""COMPUTED_VALUE"""),46187.65923611111)</f>
        <v>46187.65924</v>
      </c>
      <c r="B8916" s="126">
        <f>IFERROR(__xludf.DUMMYFUNCTION("""COMPUTED_VALUE"""),46187.0)</f>
        <v>46187</v>
      </c>
      <c r="C8916" s="130">
        <f>IFERROR(__xludf.DUMMYFUNCTION("""COMPUTED_VALUE"""),0.6592361111111111)</f>
        <v>0.6592361111</v>
      </c>
      <c r="D8916" s="122" t="str">
        <f>IFERROR(__xludf.DUMMYFUNCTION("""COMPUTED_VALUE"""),"BAGG")</f>
        <v>BAGG</v>
      </c>
      <c r="E8916" s="122" t="str">
        <f>IFERROR(__xludf.DUMMYFUNCTION("""COMPUTED_VALUE"""),"BagVault")</f>
        <v>BagVault</v>
      </c>
      <c r="F8916" s="122" t="str">
        <f>IFERROR(__xludf.DUMMYFUNCTION("""COMPUTED_VALUE"""),"Fashion")</f>
        <v>Fashion</v>
      </c>
    </row>
    <row r="8917">
      <c r="A8917" s="131">
        <f>IFERROR(__xludf.DUMMYFUNCTION("""COMPUTED_VALUE"""),46187.65923611111)</f>
        <v>46187.65924</v>
      </c>
      <c r="B8917" s="126">
        <f>IFERROR(__xludf.DUMMYFUNCTION("""COMPUTED_VALUE"""),46187.0)</f>
        <v>46187</v>
      </c>
      <c r="C8917" s="130">
        <f>IFERROR(__xludf.DUMMYFUNCTION("""COMPUTED_VALUE"""),0.6592361111111111)</f>
        <v>0.6592361111</v>
      </c>
      <c r="D8917" s="122" t="str">
        <f>IFERROR(__xludf.DUMMYFUNCTION("""COMPUTED_VALUE"""),"FAST")</f>
        <v>FAST</v>
      </c>
      <c r="E8917" s="122" t="str">
        <f>IFERROR(__xludf.DUMMYFUNCTION("""COMPUTED_VALUE"""),"Flash Logistics")</f>
        <v>Flash Logistics</v>
      </c>
      <c r="F8917" s="122" t="str">
        <f>IFERROR(__xludf.DUMMYFUNCTION("""COMPUTED_VALUE"""),"Logistics")</f>
        <v>Logistics</v>
      </c>
    </row>
    <row r="8918">
      <c r="A8918" s="131">
        <f>IFERROR(__xludf.DUMMYFUNCTION("""COMPUTED_VALUE"""),46187.65923611111)</f>
        <v>46187.65924</v>
      </c>
      <c r="B8918" s="126">
        <f>IFERROR(__xludf.DUMMYFUNCTION("""COMPUTED_VALUE"""),46187.0)</f>
        <v>46187</v>
      </c>
      <c r="C8918" s="130">
        <f>IFERROR(__xludf.DUMMYFUNCTION("""COMPUTED_VALUE"""),0.6592361111111111)</f>
        <v>0.6592361111</v>
      </c>
      <c r="D8918" s="122" t="str">
        <f>IFERROR(__xludf.DUMMYFUNCTION("""COMPUTED_VALUE"""),"SHIP")</f>
        <v>SHIP</v>
      </c>
      <c r="E8918" s="122" t="str">
        <f>IFERROR(__xludf.DUMMYFUNCTION("""COMPUTED_VALUE"""),"Seoul Shipping")</f>
        <v>Seoul Shipping</v>
      </c>
      <c r="F8918" s="122" t="str">
        <f>IFERROR(__xludf.DUMMYFUNCTION("""COMPUTED_VALUE"""),"Logistics")</f>
        <v>Logistics</v>
      </c>
    </row>
    <row r="8919">
      <c r="A8919" s="131">
        <f>IFERROR(__xludf.DUMMYFUNCTION("""COMPUTED_VALUE"""),46187.65923611111)</f>
        <v>46187.65924</v>
      </c>
      <c r="B8919" s="126">
        <f>IFERROR(__xludf.DUMMYFUNCTION("""COMPUTED_VALUE"""),46187.0)</f>
        <v>46187</v>
      </c>
      <c r="C8919" s="130">
        <f>IFERROR(__xludf.DUMMYFUNCTION("""COMPUTED_VALUE"""),0.6592361111111111)</f>
        <v>0.6592361111</v>
      </c>
      <c r="D8919" s="122" t="str">
        <f>IFERROR(__xludf.DUMMYFUNCTION("""COMPUTED_VALUE"""),"DRON")</f>
        <v>DRON</v>
      </c>
      <c r="E8919" s="122" t="str">
        <f>IFERROR(__xludf.DUMMYFUNCTION("""COMPUTED_VALUE"""),"DroneDrop")</f>
        <v>DroneDrop</v>
      </c>
      <c r="F8919" s="122" t="str">
        <f>IFERROR(__xludf.DUMMYFUNCTION("""COMPUTED_VALUE"""),"Logistics")</f>
        <v>Logistics</v>
      </c>
    </row>
    <row r="8920">
      <c r="A8920" s="131">
        <f>IFERROR(__xludf.DUMMYFUNCTION("""COMPUTED_VALUE"""),46187.65923611111)</f>
        <v>46187.65924</v>
      </c>
      <c r="B8920" s="126">
        <f>IFERROR(__xludf.DUMMYFUNCTION("""COMPUTED_VALUE"""),46187.0)</f>
        <v>46187</v>
      </c>
      <c r="C8920" s="130">
        <f>IFERROR(__xludf.DUMMYFUNCTION("""COMPUTED_VALUE"""),0.6592361111111111)</f>
        <v>0.6592361111</v>
      </c>
      <c r="D8920" s="122" t="str">
        <f>IFERROR(__xludf.DUMMYFUNCTION("""COMPUTED_VALUE"""),"RIDE")</f>
        <v>RIDE</v>
      </c>
      <c r="E8920" s="122" t="str">
        <f>IFERROR(__xludf.DUMMYFUNCTION("""COMPUTED_VALUE"""),"QuickRide")</f>
        <v>QuickRide</v>
      </c>
      <c r="F8920" s="122" t="str">
        <f>IFERROR(__xludf.DUMMYFUNCTION("""COMPUTED_VALUE"""),"Transportation")</f>
        <v>Transportation</v>
      </c>
    </row>
    <row r="8921">
      <c r="A8921" s="131">
        <f>IFERROR(__xludf.DUMMYFUNCTION("""COMPUTED_VALUE"""),46187.65923611111)</f>
        <v>46187.65924</v>
      </c>
      <c r="B8921" s="126">
        <f>IFERROR(__xludf.DUMMYFUNCTION("""COMPUTED_VALUE"""),46187.0)</f>
        <v>46187</v>
      </c>
      <c r="C8921" s="130">
        <f>IFERROR(__xludf.DUMMYFUNCTION("""COMPUTED_VALUE"""),0.6592361111111111)</f>
        <v>0.6592361111</v>
      </c>
      <c r="D8921" s="122" t="str">
        <f>IFERROR(__xludf.DUMMYFUNCTION("""COMPUTED_VALUE"""),"RAIL")</f>
        <v>RAIL</v>
      </c>
      <c r="E8921" s="122" t="str">
        <f>IFERROR(__xludf.DUMMYFUNCTION("""COMPUTED_VALUE"""),"MetroRail Corp")</f>
        <v>MetroRail Corp</v>
      </c>
      <c r="F8921" s="122" t="str">
        <f>IFERROR(__xludf.DUMMYFUNCTION("""COMPUTED_VALUE"""),"Transportation")</f>
        <v>Transportation</v>
      </c>
    </row>
    <row r="8922">
      <c r="A8922" s="131">
        <f>IFERROR(__xludf.DUMMYFUNCTION("""COMPUTED_VALUE"""),46187.65923611111)</f>
        <v>46187.65924</v>
      </c>
      <c r="B8922" s="126">
        <f>IFERROR(__xludf.DUMMYFUNCTION("""COMPUTED_VALUE"""),46187.0)</f>
        <v>46187</v>
      </c>
      <c r="C8922" s="130">
        <f>IFERROR(__xludf.DUMMYFUNCTION("""COMPUTED_VALUE"""),0.6592361111111111)</f>
        <v>0.6592361111</v>
      </c>
      <c r="D8922" s="122" t="str">
        <f>IFERROR(__xludf.DUMMYFUNCTION("""COMPUTED_VALUE"""),"MEDX")</f>
        <v>MEDX</v>
      </c>
      <c r="E8922" s="122" t="str">
        <f>IFERROR(__xludf.DUMMYFUNCTION("""COMPUTED_VALUE"""),"MediCore")</f>
        <v>MediCore</v>
      </c>
      <c r="F8922" s="122" t="str">
        <f>IFERROR(__xludf.DUMMYFUNCTION("""COMPUTED_VALUE"""),"Healthcare")</f>
        <v>Healthcare</v>
      </c>
    </row>
    <row r="8923">
      <c r="A8923" s="131">
        <f>IFERROR(__xludf.DUMMYFUNCTION("""COMPUTED_VALUE"""),46187.65923611111)</f>
        <v>46187.65924</v>
      </c>
      <c r="B8923" s="126">
        <f>IFERROR(__xludf.DUMMYFUNCTION("""COMPUTED_VALUE"""),46187.0)</f>
        <v>46187</v>
      </c>
      <c r="C8923" s="130">
        <f>IFERROR(__xludf.DUMMYFUNCTION("""COMPUTED_VALUE"""),0.6592361111111111)</f>
        <v>0.6592361111</v>
      </c>
      <c r="D8923" s="122" t="str">
        <f>IFERROR(__xludf.DUMMYFUNCTION("""COMPUTED_VALUE"""),"GYMX")</f>
        <v>GYMX</v>
      </c>
      <c r="E8923" s="122" t="str">
        <f>IFERROR(__xludf.DUMMYFUNCTION("""COMPUTED_VALUE"""),"GymX Fitness")</f>
        <v>GymX Fitness</v>
      </c>
      <c r="F8923" s="122" t="str">
        <f>IFERROR(__xludf.DUMMYFUNCTION("""COMPUTED_VALUE"""),"Healthcare")</f>
        <v>Healthcare</v>
      </c>
    </row>
    <row r="8924">
      <c r="A8924" s="131">
        <f>IFERROR(__xludf.DUMMYFUNCTION("""COMPUTED_VALUE"""),46187.65923611111)</f>
        <v>46187.65924</v>
      </c>
      <c r="B8924" s="126">
        <f>IFERROR(__xludf.DUMMYFUNCTION("""COMPUTED_VALUE"""),46187.0)</f>
        <v>46187</v>
      </c>
      <c r="C8924" s="130">
        <f>IFERROR(__xludf.DUMMYFUNCTION("""COMPUTED_VALUE"""),0.6592361111111111)</f>
        <v>0.6592361111</v>
      </c>
      <c r="D8924" s="122" t="str">
        <f>IFERROR(__xludf.DUMMYFUNCTION("""COMPUTED_VALUE"""),"VITA")</f>
        <v>VITA</v>
      </c>
      <c r="E8924" s="122" t="str">
        <f>IFERROR(__xludf.DUMMYFUNCTION("""COMPUTED_VALUE"""),"VitaPlus")</f>
        <v>VitaPlus</v>
      </c>
      <c r="F8924" s="122" t="str">
        <f>IFERROR(__xludf.DUMMYFUNCTION("""COMPUTED_VALUE"""),"Healthcare")</f>
        <v>Healthcare</v>
      </c>
    </row>
    <row r="8925">
      <c r="A8925" s="131">
        <f>IFERROR(__xludf.DUMMYFUNCTION("""COMPUTED_VALUE"""),46187.65923611111)</f>
        <v>46187.65924</v>
      </c>
      <c r="B8925" s="126">
        <f>IFERROR(__xludf.DUMMYFUNCTION("""COMPUTED_VALUE"""),46187.0)</f>
        <v>46187</v>
      </c>
      <c r="C8925" s="130">
        <f>IFERROR(__xludf.DUMMYFUNCTION("""COMPUTED_VALUE"""),0.6592361111111111)</f>
        <v>0.6592361111</v>
      </c>
      <c r="D8925" s="122" t="str">
        <f>IFERROR(__xludf.DUMMYFUNCTION("""COMPUTED_VALUE"""),"CARE")</f>
        <v>CARE</v>
      </c>
      <c r="E8925" s="122" t="str">
        <f>IFERROR(__xludf.DUMMYFUNCTION("""COMPUTED_VALUE"""),"CareCloud")</f>
        <v>CareCloud</v>
      </c>
      <c r="F8925" s="122" t="str">
        <f>IFERROR(__xludf.DUMMYFUNCTION("""COMPUTED_VALUE"""),"Healthcare")</f>
        <v>Healthcare</v>
      </c>
    </row>
    <row r="8926">
      <c r="A8926" s="131">
        <f>IFERROR(__xludf.DUMMYFUNCTION("""COMPUTED_VALUE"""),46187.65923611111)</f>
        <v>46187.65924</v>
      </c>
      <c r="B8926" s="126">
        <f>IFERROR(__xludf.DUMMYFUNCTION("""COMPUTED_VALUE"""),46187.0)</f>
        <v>46187</v>
      </c>
      <c r="C8926" s="130">
        <f>IFERROR(__xludf.DUMMYFUNCTION("""COMPUTED_VALUE"""),0.6592361111111111)</f>
        <v>0.6592361111</v>
      </c>
      <c r="D8926" s="122" t="str">
        <f>IFERROR(__xludf.DUMMYFUNCTION("""COMPUTED_VALUE"""),"DENT")</f>
        <v>DENT</v>
      </c>
      <c r="E8926" s="122" t="str">
        <f>IFERROR(__xludf.DUMMYFUNCTION("""COMPUTED_VALUE"""),"SmileWorks")</f>
        <v>SmileWorks</v>
      </c>
      <c r="F8926" s="122" t="str">
        <f>IFERROR(__xludf.DUMMYFUNCTION("""COMPUTED_VALUE"""),"Healthcare")</f>
        <v>Healthcare</v>
      </c>
    </row>
    <row r="8927">
      <c r="A8927" s="131">
        <f>IFERROR(__xludf.DUMMYFUNCTION("""COMPUTED_VALUE"""),46187.65923611111)</f>
        <v>46187.65924</v>
      </c>
      <c r="B8927" s="126">
        <f>IFERROR(__xludf.DUMMYFUNCTION("""COMPUTED_VALUE"""),46187.0)</f>
        <v>46187</v>
      </c>
      <c r="C8927" s="130">
        <f>IFERROR(__xludf.DUMMYFUNCTION("""COMPUTED_VALUE"""),0.6592361111111111)</f>
        <v>0.6592361111</v>
      </c>
      <c r="D8927" s="122" t="str">
        <f>IFERROR(__xludf.DUMMYFUNCTION("""COMPUTED_VALUE"""),"EDUX")</f>
        <v>EDUX</v>
      </c>
      <c r="E8927" s="122" t="str">
        <f>IFERROR(__xludf.DUMMYFUNCTION("""COMPUTED_VALUE"""),"EduMax Learning")</f>
        <v>EduMax Learning</v>
      </c>
      <c r="F8927" s="122" t="str">
        <f>IFERROR(__xludf.DUMMYFUNCTION("""COMPUTED_VALUE"""),"Education")</f>
        <v>Education</v>
      </c>
    </row>
    <row r="8928">
      <c r="A8928" s="131">
        <f>IFERROR(__xludf.DUMMYFUNCTION("""COMPUTED_VALUE"""),46187.65923611111)</f>
        <v>46187.65924</v>
      </c>
      <c r="B8928" s="126">
        <f>IFERROR(__xludf.DUMMYFUNCTION("""COMPUTED_VALUE"""),46187.0)</f>
        <v>46187</v>
      </c>
      <c r="C8928" s="130">
        <f>IFERROR(__xludf.DUMMYFUNCTION("""COMPUTED_VALUE"""),0.6592361111111111)</f>
        <v>0.6592361111</v>
      </c>
      <c r="D8928" s="122" t="str">
        <f>IFERROR(__xludf.DUMMYFUNCTION("""COMPUTED_VALUE"""),"BOOK")</f>
        <v>BOOK</v>
      </c>
      <c r="E8928" s="122" t="str">
        <f>IFERROR(__xludf.DUMMYFUNCTION("""COMPUTED_VALUE"""),"BookBridge")</f>
        <v>BookBridge</v>
      </c>
      <c r="F8928" s="122" t="str">
        <f>IFERROR(__xludf.DUMMYFUNCTION("""COMPUTED_VALUE"""),"Education")</f>
        <v>Education</v>
      </c>
    </row>
    <row r="8929">
      <c r="A8929" s="131">
        <f>IFERROR(__xludf.DUMMYFUNCTION("""COMPUTED_VALUE"""),46187.65923611111)</f>
        <v>46187.65924</v>
      </c>
      <c r="B8929" s="126">
        <f>IFERROR(__xludf.DUMMYFUNCTION("""COMPUTED_VALUE"""),46187.0)</f>
        <v>46187</v>
      </c>
      <c r="C8929" s="130">
        <f>IFERROR(__xludf.DUMMYFUNCTION("""COMPUTED_VALUE"""),0.6592361111111111)</f>
        <v>0.6592361111</v>
      </c>
      <c r="D8929" s="122" t="str">
        <f>IFERROR(__xludf.DUMMYFUNCTION("""COMPUTED_VALUE"""),"TUTR")</f>
        <v>TUTR</v>
      </c>
      <c r="E8929" s="122" t="str">
        <f>IFERROR(__xludf.DUMMYFUNCTION("""COMPUTED_VALUE"""),"TutorTown")</f>
        <v>TutorTown</v>
      </c>
      <c r="F8929" s="122" t="str">
        <f>IFERROR(__xludf.DUMMYFUNCTION("""COMPUTED_VALUE"""),"Education")</f>
        <v>Education</v>
      </c>
    </row>
    <row r="8930">
      <c r="A8930" s="131">
        <f>IFERROR(__xludf.DUMMYFUNCTION("""COMPUTED_VALUE"""),46187.65923611111)</f>
        <v>46187.65924</v>
      </c>
      <c r="B8930" s="126">
        <f>IFERROR(__xludf.DUMMYFUNCTION("""COMPUTED_VALUE"""),46187.0)</f>
        <v>46187</v>
      </c>
      <c r="C8930" s="130">
        <f>IFERROR(__xludf.DUMMYFUNCTION("""COMPUTED_VALUE"""),0.6592361111111111)</f>
        <v>0.6592361111</v>
      </c>
      <c r="D8930" s="122" t="str">
        <f>IFERROR(__xludf.DUMMYFUNCTION("""COMPUTED_VALUE"""),"LANG")</f>
        <v>LANG</v>
      </c>
      <c r="E8930" s="122" t="str">
        <f>IFERROR(__xludf.DUMMYFUNCTION("""COMPUTED_VALUE"""),"LinguaLab")</f>
        <v>LinguaLab</v>
      </c>
      <c r="F8930" s="122" t="str">
        <f>IFERROR(__xludf.DUMMYFUNCTION("""COMPUTED_VALUE"""),"Education")</f>
        <v>Education</v>
      </c>
    </row>
    <row r="8931">
      <c r="A8931" s="131">
        <f>IFERROR(__xludf.DUMMYFUNCTION("""COMPUTED_VALUE"""),46187.65923611111)</f>
        <v>46187.65924</v>
      </c>
      <c r="B8931" s="126">
        <f>IFERROR(__xludf.DUMMYFUNCTION("""COMPUTED_VALUE"""),46187.0)</f>
        <v>46187</v>
      </c>
      <c r="C8931" s="130">
        <f>IFERROR(__xludf.DUMMYFUNCTION("""COMPUTED_VALUE"""),0.6592361111111111)</f>
        <v>0.6592361111</v>
      </c>
      <c r="D8931" s="122" t="str">
        <f>IFERROR(__xludf.DUMMYFUNCTION("""COMPUTED_VALUE"""),"TEST")</f>
        <v>TEST</v>
      </c>
      <c r="E8931" s="122" t="str">
        <f>IFERROR(__xludf.DUMMYFUNCTION("""COMPUTED_VALUE"""),"TestPrep Pro")</f>
        <v>TestPrep Pro</v>
      </c>
      <c r="F8931" s="122" t="str">
        <f>IFERROR(__xludf.DUMMYFUNCTION("""COMPUTED_VALUE"""),"Education")</f>
        <v>Education</v>
      </c>
    </row>
    <row r="8932">
      <c r="A8932" s="131">
        <f>IFERROR(__xludf.DUMMYFUNCTION("""COMPUTED_VALUE"""),46187.65923611111)</f>
        <v>46187.65924</v>
      </c>
      <c r="B8932" s="126">
        <f>IFERROR(__xludf.DUMMYFUNCTION("""COMPUTED_VALUE"""),46187.0)</f>
        <v>46187</v>
      </c>
      <c r="C8932" s="130">
        <f>IFERROR(__xludf.DUMMYFUNCTION("""COMPUTED_VALUE"""),0.6592361111111111)</f>
        <v>0.6592361111</v>
      </c>
      <c r="D8932" s="122" t="str">
        <f>IFERROR(__xludf.DUMMYFUNCTION("""COMPUTED_VALUE"""),"MOVI")</f>
        <v>MOVI</v>
      </c>
      <c r="E8932" s="122" t="str">
        <f>IFERROR(__xludf.DUMMYFUNCTION("""COMPUTED_VALUE"""),"MovieBox")</f>
        <v>MovieBox</v>
      </c>
      <c r="F8932" s="122" t="str">
        <f>IFERROR(__xludf.DUMMYFUNCTION("""COMPUTED_VALUE"""),"Entertainment")</f>
        <v>Entertainment</v>
      </c>
    </row>
    <row r="8933">
      <c r="A8933" s="131">
        <f>IFERROR(__xludf.DUMMYFUNCTION("""COMPUTED_VALUE"""),46187.65923611111)</f>
        <v>46187.65924</v>
      </c>
      <c r="B8933" s="126">
        <f>IFERROR(__xludf.DUMMYFUNCTION("""COMPUTED_VALUE"""),46187.0)</f>
        <v>46187</v>
      </c>
      <c r="C8933" s="130">
        <f>IFERROR(__xludf.DUMMYFUNCTION("""COMPUTED_VALUE"""),0.6592361111111111)</f>
        <v>0.6592361111</v>
      </c>
      <c r="D8933" s="122" t="str">
        <f>IFERROR(__xludf.DUMMYFUNCTION("""COMPUTED_VALUE"""),"MUSC")</f>
        <v>MUSC</v>
      </c>
      <c r="E8933" s="122" t="str">
        <f>IFERROR(__xludf.DUMMYFUNCTION("""COMPUTED_VALUE"""),"MusicWave")</f>
        <v>MusicWave</v>
      </c>
      <c r="F8933" s="122" t="str">
        <f>IFERROR(__xludf.DUMMYFUNCTION("""COMPUTED_VALUE"""),"Entertainment")</f>
        <v>Entertainment</v>
      </c>
    </row>
    <row r="8934">
      <c r="A8934" s="131">
        <f>IFERROR(__xludf.DUMMYFUNCTION("""COMPUTED_VALUE"""),46187.65923611111)</f>
        <v>46187.65924</v>
      </c>
      <c r="B8934" s="126">
        <f>IFERROR(__xludf.DUMMYFUNCTION("""COMPUTED_VALUE"""),46187.0)</f>
        <v>46187</v>
      </c>
      <c r="C8934" s="130">
        <f>IFERROR(__xludf.DUMMYFUNCTION("""COMPUTED_VALUE"""),0.6592361111111111)</f>
        <v>0.6592361111</v>
      </c>
      <c r="D8934" s="122" t="str">
        <f>IFERROR(__xludf.DUMMYFUNCTION("""COMPUTED_VALUE"""),"IDOL")</f>
        <v>IDOL</v>
      </c>
      <c r="E8934" s="122" t="str">
        <f>IFERROR(__xludf.DUMMYFUNCTION("""COMPUTED_VALUE"""),"Idol Agency")</f>
        <v>Idol Agency</v>
      </c>
      <c r="F8934" s="122" t="str">
        <f>IFERROR(__xludf.DUMMYFUNCTION("""COMPUTED_VALUE"""),"Entertainment")</f>
        <v>Entertainment</v>
      </c>
    </row>
    <row r="8935">
      <c r="A8935" s="131">
        <f>IFERROR(__xludf.DUMMYFUNCTION("""COMPUTED_VALUE"""),46187.65923611111)</f>
        <v>46187.65924</v>
      </c>
      <c r="B8935" s="126">
        <f>IFERROR(__xludf.DUMMYFUNCTION("""COMPUTED_VALUE"""),46187.0)</f>
        <v>46187</v>
      </c>
      <c r="C8935" s="130">
        <f>IFERROR(__xludf.DUMMYFUNCTION("""COMPUTED_VALUE"""),0.6592361111111111)</f>
        <v>0.6592361111</v>
      </c>
      <c r="D8935" s="122" t="str">
        <f>IFERROR(__xludf.DUMMYFUNCTION("""COMPUTED_VALUE"""),"MEME")</f>
        <v>MEME</v>
      </c>
      <c r="E8935" s="122" t="str">
        <f>IFERROR(__xludf.DUMMYFUNCTION("""COMPUTED_VALUE"""),"Meme Media")</f>
        <v>Meme Media</v>
      </c>
      <c r="F8935" s="122" t="str">
        <f>IFERROR(__xludf.DUMMYFUNCTION("""COMPUTED_VALUE"""),"Entertainment")</f>
        <v>Entertainment</v>
      </c>
    </row>
    <row r="8936">
      <c r="A8936" s="131">
        <f>IFERROR(__xludf.DUMMYFUNCTION("""COMPUTED_VALUE"""),46187.65923611111)</f>
        <v>46187.65924</v>
      </c>
      <c r="B8936" s="126">
        <f>IFERROR(__xludf.DUMMYFUNCTION("""COMPUTED_VALUE"""),46187.0)</f>
        <v>46187</v>
      </c>
      <c r="C8936" s="130">
        <f>IFERROR(__xludf.DUMMYFUNCTION("""COMPUTED_VALUE"""),0.6592361111111111)</f>
        <v>0.6592361111</v>
      </c>
      <c r="D8936" s="122" t="str">
        <f>IFERROR(__xludf.DUMMYFUNCTION("""COMPUTED_VALUE"""),"STRM")</f>
        <v>STRM</v>
      </c>
      <c r="E8936" s="122" t="str">
        <f>IFERROR(__xludf.DUMMYFUNCTION("""COMPUTED_VALUE"""),"Streamly")</f>
        <v>Streamly</v>
      </c>
      <c r="F8936" s="122" t="str">
        <f>IFERROR(__xludf.DUMMYFUNCTION("""COMPUTED_VALUE"""),"Entertainment")</f>
        <v>Entertainment</v>
      </c>
    </row>
    <row r="8937">
      <c r="A8937" s="131">
        <f>IFERROR(__xludf.DUMMYFUNCTION("""COMPUTED_VALUE"""),46187.65923611111)</f>
        <v>46187.65924</v>
      </c>
      <c r="B8937" s="126">
        <f>IFERROR(__xludf.DUMMYFUNCTION("""COMPUTED_VALUE"""),46187.0)</f>
        <v>46187</v>
      </c>
      <c r="C8937" s="130">
        <f>IFERROR(__xludf.DUMMYFUNCTION("""COMPUTED_VALUE"""),0.6592361111111111)</f>
        <v>0.6592361111</v>
      </c>
      <c r="D8937" s="122" t="str">
        <f>IFERROR(__xludf.DUMMYFUNCTION("""COMPUTED_VALUE"""),"FARM")</f>
        <v>FARM</v>
      </c>
      <c r="E8937" s="122" t="str">
        <f>IFERROR(__xludf.DUMMYFUNCTION("""COMPUTED_VALUE"""),"Future Farms")</f>
        <v>Future Farms</v>
      </c>
      <c r="F8937" s="122" t="str">
        <f>IFERROR(__xludf.DUMMYFUNCTION("""COMPUTED_VALUE"""),"Agriculture")</f>
        <v>Agriculture</v>
      </c>
    </row>
    <row r="8938">
      <c r="A8938" s="131">
        <f>IFERROR(__xludf.DUMMYFUNCTION("""COMPUTED_VALUE"""),46187.65923611111)</f>
        <v>46187.65924</v>
      </c>
      <c r="B8938" s="126">
        <f>IFERROR(__xludf.DUMMYFUNCTION("""COMPUTED_VALUE"""),46187.0)</f>
        <v>46187</v>
      </c>
      <c r="C8938" s="130">
        <f>IFERROR(__xludf.DUMMYFUNCTION("""COMPUTED_VALUE"""),0.6592361111111111)</f>
        <v>0.6592361111</v>
      </c>
      <c r="D8938" s="122" t="str">
        <f>IFERROR(__xludf.DUMMYFUNCTION("""COMPUTED_VALUE"""),"MEAT")</f>
        <v>MEAT</v>
      </c>
      <c r="E8938" s="122" t="str">
        <f>IFERROR(__xludf.DUMMYFUNCTION("""COMPUTED_VALUE"""),"MeatWorks")</f>
        <v>MeatWorks</v>
      </c>
      <c r="F8938" s="122" t="str">
        <f>IFERROR(__xludf.DUMMYFUNCTION("""COMPUTED_VALUE"""),"Food")</f>
        <v>Food</v>
      </c>
    </row>
    <row r="8939">
      <c r="A8939" s="131">
        <f>IFERROR(__xludf.DUMMYFUNCTION("""COMPUTED_VALUE"""),46187.65923611111)</f>
        <v>46187.65924</v>
      </c>
      <c r="B8939" s="126">
        <f>IFERROR(__xludf.DUMMYFUNCTION("""COMPUTED_VALUE"""),46187.0)</f>
        <v>46187</v>
      </c>
      <c r="C8939" s="130">
        <f>IFERROR(__xludf.DUMMYFUNCTION("""COMPUTED_VALUE"""),0.6592361111111111)</f>
        <v>0.6592361111</v>
      </c>
      <c r="D8939" s="122" t="str">
        <f>IFERROR(__xludf.DUMMYFUNCTION("""COMPUTED_VALUE"""),"VEGI")</f>
        <v>VEGI</v>
      </c>
      <c r="E8939" s="122" t="str">
        <f>IFERROR(__xludf.DUMMYFUNCTION("""COMPUTED_VALUE"""),"Green Basket")</f>
        <v>Green Basket</v>
      </c>
      <c r="F8939" s="122" t="str">
        <f>IFERROR(__xludf.DUMMYFUNCTION("""COMPUTED_VALUE"""),"Food")</f>
        <v>Food</v>
      </c>
    </row>
    <row r="8940">
      <c r="A8940" s="131">
        <f>IFERROR(__xludf.DUMMYFUNCTION("""COMPUTED_VALUE"""),46187.65923611111)</f>
        <v>46187.65924</v>
      </c>
      <c r="B8940" s="126">
        <f>IFERROR(__xludf.DUMMYFUNCTION("""COMPUTED_VALUE"""),46187.0)</f>
        <v>46187</v>
      </c>
      <c r="C8940" s="130">
        <f>IFERROR(__xludf.DUMMYFUNCTION("""COMPUTED_VALUE"""),0.6592361111111111)</f>
        <v>0.6592361111</v>
      </c>
      <c r="D8940" s="122" t="str">
        <f>IFERROR(__xludf.DUMMYFUNCTION("""COMPUTED_VALUE"""),"CAFE")</f>
        <v>CAFE</v>
      </c>
      <c r="E8940" s="122" t="str">
        <f>IFERROR(__xludf.DUMMYFUNCTION("""COMPUTED_VALUE"""),"Cafe Cloud")</f>
        <v>Cafe Cloud</v>
      </c>
      <c r="F8940" s="122" t="str">
        <f>IFERROR(__xludf.DUMMYFUNCTION("""COMPUTED_VALUE"""),"Food")</f>
        <v>Food</v>
      </c>
    </row>
    <row r="8941">
      <c r="A8941" s="131">
        <f>IFERROR(__xludf.DUMMYFUNCTION("""COMPUTED_VALUE"""),46187.65923611111)</f>
        <v>46187.65924</v>
      </c>
      <c r="B8941" s="126">
        <f>IFERROR(__xludf.DUMMYFUNCTION("""COMPUTED_VALUE"""),46187.0)</f>
        <v>46187</v>
      </c>
      <c r="C8941" s="130">
        <f>IFERROR(__xludf.DUMMYFUNCTION("""COMPUTED_VALUE"""),0.6592361111111111)</f>
        <v>0.6592361111</v>
      </c>
      <c r="D8941" s="122" t="str">
        <f>IFERROR(__xludf.DUMMYFUNCTION("""COMPUTED_VALUE"""),"BAKE")</f>
        <v>BAKE</v>
      </c>
      <c r="E8941" s="122" t="str">
        <f>IFERROR(__xludf.DUMMYFUNCTION("""COMPUTED_VALUE"""),"BakeHouse")</f>
        <v>BakeHouse</v>
      </c>
      <c r="F8941" s="122" t="str">
        <f>IFERROR(__xludf.DUMMYFUNCTION("""COMPUTED_VALUE"""),"Food")</f>
        <v>Food</v>
      </c>
    </row>
    <row r="8942">
      <c r="A8942" s="131">
        <f>IFERROR(__xludf.DUMMYFUNCTION("""COMPUTED_VALUE"""),46187.65923611111)</f>
        <v>46187.65924</v>
      </c>
      <c r="B8942" s="126">
        <f>IFERROR(__xludf.DUMMYFUNCTION("""COMPUTED_VALUE"""),46187.0)</f>
        <v>46187</v>
      </c>
      <c r="C8942" s="130">
        <f>IFERROR(__xludf.DUMMYFUNCTION("""COMPUTED_VALUE"""),0.6592361111111111)</f>
        <v>0.6592361111</v>
      </c>
      <c r="D8942" s="122" t="str">
        <f>IFERROR(__xludf.DUMMYFUNCTION("""COMPUTED_VALUE"""),"OILX")</f>
        <v>OILX</v>
      </c>
      <c r="E8942" s="122" t="str">
        <f>IFERROR(__xludf.DUMMYFUNCTION("""COMPUTED_VALUE"""),"OilMax Energy")</f>
        <v>OilMax Energy</v>
      </c>
      <c r="F8942" s="122" t="str">
        <f>IFERROR(__xludf.DUMMYFUNCTION("""COMPUTED_VALUE"""),"Energy")</f>
        <v>Energy</v>
      </c>
    </row>
    <row r="8943">
      <c r="A8943" s="131">
        <f>IFERROR(__xludf.DUMMYFUNCTION("""COMPUTED_VALUE"""),46187.65923611111)</f>
        <v>46187.65924</v>
      </c>
      <c r="B8943" s="126">
        <f>IFERROR(__xludf.DUMMYFUNCTION("""COMPUTED_VALUE"""),46187.0)</f>
        <v>46187</v>
      </c>
      <c r="C8943" s="130">
        <f>IFERROR(__xludf.DUMMYFUNCTION("""COMPUTED_VALUE"""),0.6592361111111111)</f>
        <v>0.6592361111</v>
      </c>
      <c r="D8943" s="122" t="str">
        <f>IFERROR(__xludf.DUMMYFUNCTION("""COMPUTED_VALUE"""),"SOLR")</f>
        <v>SOLR</v>
      </c>
      <c r="E8943" s="122" t="str">
        <f>IFERROR(__xludf.DUMMYFUNCTION("""COMPUTED_VALUE"""),"SolarSpark")</f>
        <v>SolarSpark</v>
      </c>
      <c r="F8943" s="122" t="str">
        <f>IFERROR(__xludf.DUMMYFUNCTION("""COMPUTED_VALUE"""),"Energy")</f>
        <v>Energy</v>
      </c>
    </row>
    <row r="8944">
      <c r="A8944" s="131">
        <f>IFERROR(__xludf.DUMMYFUNCTION("""COMPUTED_VALUE"""),46187.65923611111)</f>
        <v>46187.65924</v>
      </c>
      <c r="B8944" s="126">
        <f>IFERROR(__xludf.DUMMYFUNCTION("""COMPUTED_VALUE"""),46187.0)</f>
        <v>46187</v>
      </c>
      <c r="C8944" s="130">
        <f>IFERROR(__xludf.DUMMYFUNCTION("""COMPUTED_VALUE"""),0.6592361111111111)</f>
        <v>0.6592361111</v>
      </c>
      <c r="D8944" s="122" t="str">
        <f>IFERROR(__xludf.DUMMYFUNCTION("""COMPUTED_VALUE"""),"BATT")</f>
        <v>BATT</v>
      </c>
      <c r="E8944" s="122" t="str">
        <f>IFERROR(__xludf.DUMMYFUNCTION("""COMPUTED_VALUE"""),"BatteryBox")</f>
        <v>BatteryBox</v>
      </c>
      <c r="F8944" s="122" t="str">
        <f>IFERROR(__xludf.DUMMYFUNCTION("""COMPUTED_VALUE"""),"Energy")</f>
        <v>Energy</v>
      </c>
    </row>
    <row r="8945">
      <c r="A8945" s="131">
        <f>IFERROR(__xludf.DUMMYFUNCTION("""COMPUTED_VALUE"""),46187.65923611111)</f>
        <v>46187.65924</v>
      </c>
      <c r="B8945" s="126">
        <f>IFERROR(__xludf.DUMMYFUNCTION("""COMPUTED_VALUE"""),46187.0)</f>
        <v>46187</v>
      </c>
      <c r="C8945" s="130">
        <f>IFERROR(__xludf.DUMMYFUNCTION("""COMPUTED_VALUE"""),0.6592361111111111)</f>
        <v>0.6592361111</v>
      </c>
      <c r="D8945" s="122" t="str">
        <f>IFERROR(__xludf.DUMMYFUNCTION("""COMPUTED_VALUE"""),"WIND")</f>
        <v>WIND</v>
      </c>
      <c r="E8945" s="122" t="str">
        <f>IFERROR(__xludf.DUMMYFUNCTION("""COMPUTED_VALUE"""),"WindWorks")</f>
        <v>WindWorks</v>
      </c>
      <c r="F8945" s="122" t="str">
        <f>IFERROR(__xludf.DUMMYFUNCTION("""COMPUTED_VALUE"""),"Energy")</f>
        <v>Energy</v>
      </c>
    </row>
    <row r="8946">
      <c r="A8946" s="131">
        <f>IFERROR(__xludf.DUMMYFUNCTION("""COMPUTED_VALUE"""),46187.65923611111)</f>
        <v>46187.65924</v>
      </c>
      <c r="B8946" s="126">
        <f>IFERROR(__xludf.DUMMYFUNCTION("""COMPUTED_VALUE"""),46187.0)</f>
        <v>46187</v>
      </c>
      <c r="C8946" s="130">
        <f>IFERROR(__xludf.DUMMYFUNCTION("""COMPUTED_VALUE"""),0.6592361111111111)</f>
        <v>0.6592361111</v>
      </c>
      <c r="D8946" s="122" t="str">
        <f>IFERROR(__xludf.DUMMYFUNCTION("""COMPUTED_VALUE"""),"GRID")</f>
        <v>GRID</v>
      </c>
      <c r="E8946" s="122" t="str">
        <f>IFERROR(__xludf.DUMMYFUNCTION("""COMPUTED_VALUE"""),"GridPower")</f>
        <v>GridPower</v>
      </c>
      <c r="F8946" s="122" t="str">
        <f>IFERROR(__xludf.DUMMYFUNCTION("""COMPUTED_VALUE"""),"Energy")</f>
        <v>Energy</v>
      </c>
    </row>
    <row r="8947">
      <c r="A8947" s="131">
        <f>IFERROR(__xludf.DUMMYFUNCTION("""COMPUTED_VALUE"""),46187.65923611111)</f>
        <v>46187.65924</v>
      </c>
      <c r="B8947" s="126">
        <f>IFERROR(__xludf.DUMMYFUNCTION("""COMPUTED_VALUE"""),46187.0)</f>
        <v>46187</v>
      </c>
      <c r="C8947" s="130">
        <f>IFERROR(__xludf.DUMMYFUNCTION("""COMPUTED_VALUE"""),0.6592361111111111)</f>
        <v>0.6592361111</v>
      </c>
      <c r="D8947" s="122" t="str">
        <f>IFERROR(__xludf.DUMMYFUNCTION("""COMPUTED_VALUE"""),"HOME")</f>
        <v>HOME</v>
      </c>
      <c r="E8947" s="122" t="str">
        <f>IFERROR(__xludf.DUMMYFUNCTION("""COMPUTED_VALUE"""),"HomeHub")</f>
        <v>HomeHub</v>
      </c>
      <c r="F8947" s="122" t="str">
        <f>IFERROR(__xludf.DUMMYFUNCTION("""COMPUTED_VALUE"""),"Real Estate")</f>
        <v>Real Estate</v>
      </c>
    </row>
    <row r="8948">
      <c r="A8948" s="131">
        <f>IFERROR(__xludf.DUMMYFUNCTION("""COMPUTED_VALUE"""),46187.65923611111)</f>
        <v>46187.65924</v>
      </c>
      <c r="B8948" s="126">
        <f>IFERROR(__xludf.DUMMYFUNCTION("""COMPUTED_VALUE"""),46187.0)</f>
        <v>46187</v>
      </c>
      <c r="C8948" s="130">
        <f>IFERROR(__xludf.DUMMYFUNCTION("""COMPUTED_VALUE"""),0.6592361111111111)</f>
        <v>0.6592361111</v>
      </c>
      <c r="D8948" s="122" t="str">
        <f>IFERROR(__xludf.DUMMYFUNCTION("""COMPUTED_VALUE"""),"RENT")</f>
        <v>RENT</v>
      </c>
      <c r="E8948" s="122" t="str">
        <f>IFERROR(__xludf.DUMMYFUNCTION("""COMPUTED_VALUE"""),"RentRight")</f>
        <v>RentRight</v>
      </c>
      <c r="F8948" s="122" t="str">
        <f>IFERROR(__xludf.DUMMYFUNCTION("""COMPUTED_VALUE"""),"Real Estate")</f>
        <v>Real Estate</v>
      </c>
    </row>
    <row r="8949">
      <c r="A8949" s="131">
        <f>IFERROR(__xludf.DUMMYFUNCTION("""COMPUTED_VALUE"""),46187.65923611111)</f>
        <v>46187.65924</v>
      </c>
      <c r="B8949" s="126">
        <f>IFERROR(__xludf.DUMMYFUNCTION("""COMPUTED_VALUE"""),46187.0)</f>
        <v>46187</v>
      </c>
      <c r="C8949" s="130">
        <f>IFERROR(__xludf.DUMMYFUNCTION("""COMPUTED_VALUE"""),0.6592361111111111)</f>
        <v>0.6592361111</v>
      </c>
      <c r="D8949" s="122" t="str">
        <f>IFERROR(__xludf.DUMMYFUNCTION("""COMPUTED_VALUE"""),"MALL")</f>
        <v>MALL</v>
      </c>
      <c r="E8949" s="122" t="str">
        <f>IFERROR(__xludf.DUMMYFUNCTION("""COMPUTED_VALUE"""),"MegaMall")</f>
        <v>MegaMall</v>
      </c>
      <c r="F8949" s="122" t="str">
        <f>IFERROR(__xludf.DUMMYFUNCTION("""COMPUTED_VALUE"""),"Real Estate")</f>
        <v>Real Estate</v>
      </c>
    </row>
    <row r="8950">
      <c r="A8950" s="131">
        <f>IFERROR(__xludf.DUMMYFUNCTION("""COMPUTED_VALUE"""),46187.65923611111)</f>
        <v>46187.65924</v>
      </c>
      <c r="B8950" s="126">
        <f>IFERROR(__xludf.DUMMYFUNCTION("""COMPUTED_VALUE"""),46187.0)</f>
        <v>46187</v>
      </c>
      <c r="C8950" s="130">
        <f>IFERROR(__xludf.DUMMYFUNCTION("""COMPUTED_VALUE"""),0.6592361111111111)</f>
        <v>0.6592361111</v>
      </c>
      <c r="D8950" s="122" t="str">
        <f>IFERROR(__xludf.DUMMYFUNCTION("""COMPUTED_VALUE"""),"HOTL")</f>
        <v>HOTL</v>
      </c>
      <c r="E8950" s="122" t="str">
        <f>IFERROR(__xludf.DUMMYFUNCTION("""COMPUTED_VALUE"""),"HotelHive")</f>
        <v>HotelHive</v>
      </c>
      <c r="F8950" s="122" t="str">
        <f>IFERROR(__xludf.DUMMYFUNCTION("""COMPUTED_VALUE"""),"Real Estate")</f>
        <v>Real Estate</v>
      </c>
    </row>
    <row r="8951">
      <c r="A8951" s="131">
        <f>IFERROR(__xludf.DUMMYFUNCTION("""COMPUTED_VALUE"""),46187.65923611111)</f>
        <v>46187.65924</v>
      </c>
      <c r="B8951" s="126">
        <f>IFERROR(__xludf.DUMMYFUNCTION("""COMPUTED_VALUE"""),46187.0)</f>
        <v>46187</v>
      </c>
      <c r="C8951" s="130">
        <f>IFERROR(__xludf.DUMMYFUNCTION("""COMPUTED_VALUE"""),0.6592361111111111)</f>
        <v>0.6592361111</v>
      </c>
      <c r="D8951" s="122" t="str">
        <f>IFERROR(__xludf.DUMMYFUNCTION("""COMPUTED_VALUE"""),"LAND")</f>
        <v>LAND</v>
      </c>
      <c r="E8951" s="122" t="str">
        <f>IFERROR(__xludf.DUMMYFUNCTION("""COMPUTED_VALUE"""),"LandLink")</f>
        <v>LandLink</v>
      </c>
      <c r="F8951" s="122" t="str">
        <f>IFERROR(__xludf.DUMMYFUNCTION("""COMPUTED_VALUE"""),"Real Estate")</f>
        <v>Real Estate</v>
      </c>
    </row>
    <row r="8952">
      <c r="A8952" s="131">
        <f>IFERROR(__xludf.DUMMYFUNCTION("""COMPUTED_VALUE"""),46187.65923611111)</f>
        <v>46187.65924</v>
      </c>
      <c r="B8952" s="126">
        <f>IFERROR(__xludf.DUMMYFUNCTION("""COMPUTED_VALUE"""),46187.0)</f>
        <v>46187</v>
      </c>
      <c r="C8952" s="130">
        <f>IFERROR(__xludf.DUMMYFUNCTION("""COMPUTED_VALUE"""),0.6592361111111111)</f>
        <v>0.6592361111</v>
      </c>
      <c r="D8952" s="122" t="str">
        <f>IFERROR(__xludf.DUMMYFUNCTION("""COMPUTED_VALUE"""),"CARS")</f>
        <v>CARS</v>
      </c>
      <c r="E8952" s="122" t="str">
        <f>IFERROR(__xludf.DUMMYFUNCTION("""COMPUTED_VALUE"""),"AutoArena")</f>
        <v>AutoArena</v>
      </c>
      <c r="F8952" s="122" t="str">
        <f>IFERROR(__xludf.DUMMYFUNCTION("""COMPUTED_VALUE"""),"Automotive")</f>
        <v>Automotive</v>
      </c>
    </row>
    <row r="8953">
      <c r="A8953" s="131">
        <f>IFERROR(__xludf.DUMMYFUNCTION("""COMPUTED_VALUE"""),46187.65923611111)</f>
        <v>46187.65924</v>
      </c>
      <c r="B8953" s="126">
        <f>IFERROR(__xludf.DUMMYFUNCTION("""COMPUTED_VALUE"""),46187.0)</f>
        <v>46187</v>
      </c>
      <c r="C8953" s="130">
        <f>IFERROR(__xludf.DUMMYFUNCTION("""COMPUTED_VALUE"""),0.6592361111111111)</f>
        <v>0.6592361111</v>
      </c>
      <c r="D8953" s="122" t="str">
        <f>IFERROR(__xludf.DUMMYFUNCTION("""COMPUTED_VALUE"""),"EVGO")</f>
        <v>EVGO</v>
      </c>
      <c r="E8953" s="122" t="str">
        <f>IFERROR(__xludf.DUMMYFUNCTION("""COMPUTED_VALUE"""),"EVGo Motors")</f>
        <v>EVGo Motors</v>
      </c>
      <c r="F8953" s="122" t="str">
        <f>IFERROR(__xludf.DUMMYFUNCTION("""COMPUTED_VALUE"""),"Automotive")</f>
        <v>Automotive</v>
      </c>
    </row>
    <row r="8954">
      <c r="A8954" s="131">
        <f>IFERROR(__xludf.DUMMYFUNCTION("""COMPUTED_VALUE"""),46187.65923611111)</f>
        <v>46187.65924</v>
      </c>
      <c r="B8954" s="126">
        <f>IFERROR(__xludf.DUMMYFUNCTION("""COMPUTED_VALUE"""),46187.0)</f>
        <v>46187</v>
      </c>
      <c r="C8954" s="130">
        <f>IFERROR(__xludf.DUMMYFUNCTION("""COMPUTED_VALUE"""),0.6592361111111111)</f>
        <v>0.6592361111</v>
      </c>
      <c r="D8954" s="122" t="str">
        <f>IFERROR(__xludf.DUMMYFUNCTION("""COMPUTED_VALUE"""),"TIRE")</f>
        <v>TIRE</v>
      </c>
      <c r="E8954" s="122" t="str">
        <f>IFERROR(__xludf.DUMMYFUNCTION("""COMPUTED_VALUE"""),"TireTown")</f>
        <v>TireTown</v>
      </c>
      <c r="F8954" s="122" t="str">
        <f>IFERROR(__xludf.DUMMYFUNCTION("""COMPUTED_VALUE"""),"Automotive")</f>
        <v>Automotive</v>
      </c>
    </row>
    <row r="8955">
      <c r="A8955" s="131">
        <f>IFERROR(__xludf.DUMMYFUNCTION("""COMPUTED_VALUE"""),46187.65923611111)</f>
        <v>46187.65924</v>
      </c>
      <c r="B8955" s="126">
        <f>IFERROR(__xludf.DUMMYFUNCTION("""COMPUTED_VALUE"""),46187.0)</f>
        <v>46187</v>
      </c>
      <c r="C8955" s="130">
        <f>IFERROR(__xludf.DUMMYFUNCTION("""COMPUTED_VALUE"""),0.6592361111111111)</f>
        <v>0.6592361111</v>
      </c>
      <c r="D8955" s="122" t="str">
        <f>IFERROR(__xludf.DUMMYFUNCTION("""COMPUTED_VALUE"""),"BIKE")</f>
        <v>BIKE</v>
      </c>
      <c r="E8955" s="122" t="str">
        <f>IFERROR(__xludf.DUMMYFUNCTION("""COMPUTED_VALUE"""),"BikeBox")</f>
        <v>BikeBox</v>
      </c>
      <c r="F8955" s="122" t="str">
        <f>IFERROR(__xludf.DUMMYFUNCTION("""COMPUTED_VALUE"""),"Automotive")</f>
        <v>Automotive</v>
      </c>
    </row>
    <row r="8956">
      <c r="A8956" s="131">
        <f>IFERROR(__xludf.DUMMYFUNCTION("""COMPUTED_VALUE"""),46187.65923611111)</f>
        <v>46187.65924</v>
      </c>
      <c r="B8956" s="126">
        <f>IFERROR(__xludf.DUMMYFUNCTION("""COMPUTED_VALUE"""),46187.0)</f>
        <v>46187</v>
      </c>
      <c r="C8956" s="130">
        <f>IFERROR(__xludf.DUMMYFUNCTION("""COMPUTED_VALUE"""),0.6592361111111111)</f>
        <v>0.6592361111</v>
      </c>
      <c r="D8956" s="122" t="str">
        <f>IFERROR(__xludf.DUMMYFUNCTION("""COMPUTED_VALUE"""),"WASH")</f>
        <v>WASH</v>
      </c>
      <c r="E8956" s="122" t="str">
        <f>IFERROR(__xludf.DUMMYFUNCTION("""COMPUTED_VALUE"""),"CarWash Co")</f>
        <v>CarWash Co</v>
      </c>
      <c r="F8956" s="122" t="str">
        <f>IFERROR(__xludf.DUMMYFUNCTION("""COMPUTED_VALUE"""),"Automotive")</f>
        <v>Automotive</v>
      </c>
    </row>
    <row r="8957">
      <c r="A8957" s="131">
        <f>IFERROR(__xludf.DUMMYFUNCTION("""COMPUTED_VALUE"""),46187.65923611111)</f>
        <v>46187.65924</v>
      </c>
      <c r="B8957" s="126">
        <f>IFERROR(__xludf.DUMMYFUNCTION("""COMPUTED_VALUE"""),46187.0)</f>
        <v>46187</v>
      </c>
      <c r="C8957" s="130">
        <f>IFERROR(__xludf.DUMMYFUNCTION("""COMPUTED_VALUE"""),0.6592361111111111)</f>
        <v>0.6592361111</v>
      </c>
      <c r="D8957" s="122" t="str">
        <f>IFERROR(__xludf.DUMMYFUNCTION("""COMPUTED_VALUE"""),"GBND")</f>
        <v>GBND</v>
      </c>
      <c r="E8957" s="122" t="str">
        <f>IFERROR(__xludf.DUMMYFUNCTION("""COMPUTED_VALUE"""),"Classroom Government Bond")</f>
        <v>Classroom Government Bond</v>
      </c>
      <c r="F8957" s="122" t="str">
        <f>IFERROR(__xludf.DUMMYFUNCTION("""COMPUTED_VALUE"""),"Bond")</f>
        <v>Bond</v>
      </c>
    </row>
    <row r="8958">
      <c r="A8958" s="131">
        <f>IFERROR(__xludf.DUMMYFUNCTION("""COMPUTED_VALUE"""),46187.65923611111)</f>
        <v>46187.65924</v>
      </c>
      <c r="B8958" s="126">
        <f>IFERROR(__xludf.DUMMYFUNCTION("""COMPUTED_VALUE"""),46187.0)</f>
        <v>46187</v>
      </c>
      <c r="C8958" s="130">
        <f>IFERROR(__xludf.DUMMYFUNCTION("""COMPUTED_VALUE"""),0.6592361111111111)</f>
        <v>0.6592361111</v>
      </c>
      <c r="D8958" s="122" t="str">
        <f>IFERROR(__xludf.DUMMYFUNCTION("""COMPUTED_VALUE"""),"SBND")</f>
        <v>SBND</v>
      </c>
      <c r="E8958" s="122" t="str">
        <f>IFERROR(__xludf.DUMMYFUNCTION("""COMPUTED_VALUE"""),"School Savings Bond")</f>
        <v>School Savings Bond</v>
      </c>
      <c r="F8958" s="122" t="str">
        <f>IFERROR(__xludf.DUMMYFUNCTION("""COMPUTED_VALUE"""),"Bond")</f>
        <v>Bond</v>
      </c>
    </row>
    <row r="8959">
      <c r="A8959" s="131">
        <f>IFERROR(__xludf.DUMMYFUNCTION("""COMPUTED_VALUE"""),46187.65923611111)</f>
        <v>46187.65924</v>
      </c>
      <c r="B8959" s="126">
        <f>IFERROR(__xludf.DUMMYFUNCTION("""COMPUTED_VALUE"""),46187.0)</f>
        <v>46187</v>
      </c>
      <c r="C8959" s="130">
        <f>IFERROR(__xludf.DUMMYFUNCTION("""COMPUTED_VALUE"""),0.6592361111111111)</f>
        <v>0.6592361111</v>
      </c>
      <c r="D8959" s="122" t="str">
        <f>IFERROR(__xludf.DUMMYFUNCTION("""COMPUTED_VALUE"""),"CBND")</f>
        <v>CBND</v>
      </c>
      <c r="E8959" s="122" t="str">
        <f>IFERROR(__xludf.DUMMYFUNCTION("""COMPUTED_VALUE"""),"Corporate Classroom Bond")</f>
        <v>Corporate Classroom Bond</v>
      </c>
      <c r="F8959" s="122" t="str">
        <f>IFERROR(__xludf.DUMMYFUNCTION("""COMPUTED_VALUE"""),"Bond")</f>
        <v>Bond</v>
      </c>
    </row>
    <row r="8960">
      <c r="A8960" s="131">
        <f>IFERROR(__xludf.DUMMYFUNCTION("""COMPUTED_VALUE"""),46187.65923611111)</f>
        <v>46187.65924</v>
      </c>
      <c r="B8960" s="126">
        <f>IFERROR(__xludf.DUMMYFUNCTION("""COMPUTED_VALUE"""),46187.0)</f>
        <v>46187</v>
      </c>
      <c r="C8960" s="130">
        <f>IFERROR(__xludf.DUMMYFUNCTION("""COMPUTED_VALUE"""),0.6592361111111111)</f>
        <v>0.6592361111</v>
      </c>
      <c r="D8960" s="122" t="str">
        <f>IFERROR(__xludf.DUMMYFUNCTION("""COMPUTED_VALUE"""),"TBIL")</f>
        <v>TBIL</v>
      </c>
      <c r="E8960" s="122" t="str">
        <f>IFERROR(__xludf.DUMMYFUNCTION("""COMPUTED_VALUE"""),"Treasury Bill")</f>
        <v>Treasury Bill</v>
      </c>
      <c r="F8960" s="122" t="str">
        <f>IFERROR(__xludf.DUMMYFUNCTION("""COMPUTED_VALUE"""),"Bond")</f>
        <v>Bond</v>
      </c>
    </row>
    <row r="8961">
      <c r="A8961" s="131">
        <f>IFERROR(__xludf.DUMMYFUNCTION("""COMPUTED_VALUE"""),46187.65923611111)</f>
        <v>46187.65924</v>
      </c>
      <c r="B8961" s="126">
        <f>IFERROR(__xludf.DUMMYFUNCTION("""COMPUTED_VALUE"""),46187.0)</f>
        <v>46187</v>
      </c>
      <c r="C8961" s="130">
        <f>IFERROR(__xludf.DUMMYFUNCTION("""COMPUTED_VALUE"""),0.6592361111111111)</f>
        <v>0.6592361111</v>
      </c>
      <c r="D8961" s="122" t="str">
        <f>IFERROR(__xludf.DUMMYFUNCTION("""COMPUTED_VALUE"""),"IBND")</f>
        <v>IBND</v>
      </c>
      <c r="E8961" s="122" t="str">
        <f>IFERROR(__xludf.DUMMYFUNCTION("""COMPUTED_VALUE"""),"Inflation Protected Bond")</f>
        <v>Inflation Protected Bond</v>
      </c>
      <c r="F8961" s="122" t="str">
        <f>IFERROR(__xludf.DUMMYFUNCTION("""COMPUTED_VALUE"""),"Bond")</f>
        <v>Bond</v>
      </c>
    </row>
    <row r="8962">
      <c r="A8962" s="131">
        <f>IFERROR(__xludf.DUMMYFUNCTION("""COMPUTED_VALUE"""),46187.66122685185)</f>
        <v>46187.66123</v>
      </c>
      <c r="B8962" s="126">
        <f>IFERROR(__xludf.DUMMYFUNCTION("""COMPUTED_VALUE"""),46187.0)</f>
        <v>46187</v>
      </c>
      <c r="C8962" s="122" t="str">
        <f>IFERROR(__xludf.DUMMYFUNCTION("""COMPUTED_VALUE"""),"SNAX")</f>
        <v>SNAX</v>
      </c>
      <c r="D8962" s="122" t="str">
        <f>IFERROR(__xludf.DUMMYFUNCTION("""COMPUTED_VALUE"""),"MICA Snacks")</f>
        <v>MICA Snacks</v>
      </c>
      <c r="E8962" s="122">
        <f>IFERROR(__xludf.DUMMYFUNCTION("""COMPUTED_VALUE"""),120.45)</f>
        <v>120.45</v>
      </c>
      <c r="F8962" s="122">
        <f>IFERROR(__xludf.DUMMYFUNCTION("""COMPUTED_VALUE"""),-0.0044)</f>
        <v>-0.0044</v>
      </c>
    </row>
    <row r="8963">
      <c r="A8963" s="131">
        <f>IFERROR(__xludf.DUMMYFUNCTION("""COMPUTED_VALUE"""),46187.66122685185)</f>
        <v>46187.66123</v>
      </c>
      <c r="B8963" s="126">
        <f>IFERROR(__xludf.DUMMYFUNCTION("""COMPUTED_VALUE"""),46187.0)</f>
        <v>46187</v>
      </c>
      <c r="C8963" s="122" t="str">
        <f>IFERROR(__xludf.DUMMYFUNCTION("""COMPUTED_VALUE"""),"RAMN")</f>
        <v>RAMN</v>
      </c>
      <c r="D8963" s="122" t="str">
        <f>IFERROR(__xludf.DUMMYFUNCTION("""COMPUTED_VALUE"""),"Ramen Republic")</f>
        <v>Ramen Republic</v>
      </c>
      <c r="E8963" s="122">
        <f>IFERROR(__xludf.DUMMYFUNCTION("""COMPUTED_VALUE"""),61.05)</f>
        <v>61.05</v>
      </c>
      <c r="F8963" s="122">
        <f>IFERROR(__xludf.DUMMYFUNCTION("""COMPUTED_VALUE"""),-0.0065)</f>
        <v>-0.0065</v>
      </c>
    </row>
    <row r="8964">
      <c r="A8964" s="131">
        <f>IFERROR(__xludf.DUMMYFUNCTION("""COMPUTED_VALUE"""),46187.66122685185)</f>
        <v>46187.66123</v>
      </c>
      <c r="B8964" s="126">
        <f>IFERROR(__xludf.DUMMYFUNCTION("""COMPUTED_VALUE"""),46187.0)</f>
        <v>46187</v>
      </c>
      <c r="C8964" s="122" t="str">
        <f>IFERROR(__xludf.DUMMYFUNCTION("""COMPUTED_VALUE"""),"COLA")</f>
        <v>COLA</v>
      </c>
      <c r="D8964" s="122" t="str">
        <f>IFERROR(__xludf.DUMMYFUNCTION("""COMPUTED_VALUE"""),"K-Pop Cola")</f>
        <v>K-Pop Cola</v>
      </c>
      <c r="E8964" s="122">
        <f>IFERROR(__xludf.DUMMYFUNCTION("""COMPUTED_VALUE"""),115.65)</f>
        <v>115.65</v>
      </c>
      <c r="F8964" s="122">
        <f>IFERROR(__xludf.DUMMYFUNCTION("""COMPUTED_VALUE"""),0.001)</f>
        <v>0.001</v>
      </c>
    </row>
    <row r="8965">
      <c r="A8965" s="131">
        <f>IFERROR(__xludf.DUMMYFUNCTION("""COMPUTED_VALUE"""),46187.66122685185)</f>
        <v>46187.66123</v>
      </c>
      <c r="B8965" s="126">
        <f>IFERROR(__xludf.DUMMYFUNCTION("""COMPUTED_VALUE"""),46187.0)</f>
        <v>46187</v>
      </c>
      <c r="C8965" s="122" t="str">
        <f>IFERROR(__xludf.DUMMYFUNCTION("""COMPUTED_VALUE"""),"CHIP")</f>
        <v>CHIP</v>
      </c>
      <c r="D8965" s="122" t="str">
        <f>IFERROR(__xludf.DUMMYFUNCTION("""COMPUTED_VALUE"""),"Chip Empire")</f>
        <v>Chip Empire</v>
      </c>
      <c r="E8965" s="122">
        <f>IFERROR(__xludf.DUMMYFUNCTION("""COMPUTED_VALUE"""),80.97)</f>
        <v>80.97</v>
      </c>
      <c r="F8965" s="122">
        <f>IFERROR(__xludf.DUMMYFUNCTION("""COMPUTED_VALUE"""),-7.0E-4)</f>
        <v>-0.0007</v>
      </c>
    </row>
    <row r="8966">
      <c r="A8966" s="131">
        <f>IFERROR(__xludf.DUMMYFUNCTION("""COMPUTED_VALUE"""),46187.66122685185)</f>
        <v>46187.66123</v>
      </c>
      <c r="B8966" s="126">
        <f>IFERROR(__xludf.DUMMYFUNCTION("""COMPUTED_VALUE"""),46187.0)</f>
        <v>46187</v>
      </c>
      <c r="C8966" s="122" t="str">
        <f>IFERROR(__xludf.DUMMYFUNCTION("""COMPUTED_VALUE"""),"CAND")</f>
        <v>CAND</v>
      </c>
      <c r="D8966" s="122" t="str">
        <f>IFERROR(__xludf.DUMMYFUNCTION("""COMPUTED_VALUE"""),"Candy Capital")</f>
        <v>Candy Capital</v>
      </c>
      <c r="E8966" s="122">
        <f>IFERROR(__xludf.DUMMYFUNCTION("""COMPUTED_VALUE"""),77.73)</f>
        <v>77.73</v>
      </c>
      <c r="F8966" s="122">
        <f>IFERROR(__xludf.DUMMYFUNCTION("""COMPUTED_VALUE"""),-0.0069)</f>
        <v>-0.0069</v>
      </c>
    </row>
    <row r="8967">
      <c r="A8967" s="131">
        <f>IFERROR(__xludf.DUMMYFUNCTION("""COMPUTED_VALUE"""),46187.66122685185)</f>
        <v>46187.66123</v>
      </c>
      <c r="B8967" s="126">
        <f>IFERROR(__xludf.DUMMYFUNCTION("""COMPUTED_VALUE"""),46187.0)</f>
        <v>46187</v>
      </c>
      <c r="C8967" s="122" t="str">
        <f>IFERROR(__xludf.DUMMYFUNCTION("""COMPUTED_VALUE"""),"TECH")</f>
        <v>TECH</v>
      </c>
      <c r="D8967" s="122" t="str">
        <f>IFERROR(__xludf.DUMMYFUNCTION("""COMPUTED_VALUE"""),"Dragon Tech")</f>
        <v>Dragon Tech</v>
      </c>
      <c r="E8967" s="122">
        <f>IFERROR(__xludf.DUMMYFUNCTION("""COMPUTED_VALUE"""),256.73)</f>
        <v>256.73</v>
      </c>
      <c r="F8967" s="122">
        <f>IFERROR(__xludf.DUMMYFUNCTION("""COMPUTED_VALUE"""),0.0043)</f>
        <v>0.0043</v>
      </c>
    </row>
    <row r="8968">
      <c r="A8968" s="131">
        <f>IFERROR(__xludf.DUMMYFUNCTION("""COMPUTED_VALUE"""),46187.66122685185)</f>
        <v>46187.66123</v>
      </c>
      <c r="B8968" s="126">
        <f>IFERROR(__xludf.DUMMYFUNCTION("""COMPUTED_VALUE"""),46187.0)</f>
        <v>46187</v>
      </c>
      <c r="C8968" s="122" t="str">
        <f>IFERROR(__xludf.DUMMYFUNCTION("""COMPUTED_VALUE"""),"AIBO")</f>
        <v>AIBO</v>
      </c>
      <c r="D8968" s="122" t="str">
        <f>IFERROR(__xludf.DUMMYFUNCTION("""COMPUTED_VALUE"""),"Homework AI")</f>
        <v>Homework AI</v>
      </c>
      <c r="E8968" s="122">
        <f>IFERROR(__xludf.DUMMYFUNCTION("""COMPUTED_VALUE"""),191.83)</f>
        <v>191.83</v>
      </c>
      <c r="F8968" s="122">
        <f>IFERROR(__xludf.DUMMYFUNCTION("""COMPUTED_VALUE"""),-0.0058)</f>
        <v>-0.0058</v>
      </c>
    </row>
    <row r="8969">
      <c r="A8969" s="131">
        <f>IFERROR(__xludf.DUMMYFUNCTION("""COMPUTED_VALUE"""),46187.66122685185)</f>
        <v>46187.66123</v>
      </c>
      <c r="B8969" s="126">
        <f>IFERROR(__xludf.DUMMYFUNCTION("""COMPUTED_VALUE"""),46187.0)</f>
        <v>46187</v>
      </c>
      <c r="C8969" s="122" t="str">
        <f>IFERROR(__xludf.DUMMYFUNCTION("""COMPUTED_VALUE"""),"GAME")</f>
        <v>GAME</v>
      </c>
      <c r="D8969" s="122" t="str">
        <f>IFERROR(__xludf.DUMMYFUNCTION("""COMPUTED_VALUE"""),"GameBox Media")</f>
        <v>GameBox Media</v>
      </c>
      <c r="E8969" s="122">
        <f>IFERROR(__xludf.DUMMYFUNCTION("""COMPUTED_VALUE"""),104.43)</f>
        <v>104.43</v>
      </c>
      <c r="F8969" s="122">
        <f>IFERROR(__xludf.DUMMYFUNCTION("""COMPUTED_VALUE"""),0.0081)</f>
        <v>0.0081</v>
      </c>
    </row>
    <row r="8970">
      <c r="A8970" s="131">
        <f>IFERROR(__xludf.DUMMYFUNCTION("""COMPUTED_VALUE"""),46187.66122685185)</f>
        <v>46187.66123</v>
      </c>
      <c r="B8970" s="126">
        <f>IFERROR(__xludf.DUMMYFUNCTION("""COMPUTED_VALUE"""),46187.0)</f>
        <v>46187</v>
      </c>
      <c r="C8970" s="122" t="str">
        <f>IFERROR(__xludf.DUMMYFUNCTION("""COMPUTED_VALUE"""),"VRSE")</f>
        <v>VRSE</v>
      </c>
      <c r="D8970" s="122" t="str">
        <f>IFERROR(__xludf.DUMMYFUNCTION("""COMPUTED_VALUE"""),"VerseVR")</f>
        <v>VerseVR</v>
      </c>
      <c r="E8970" s="122">
        <f>IFERROR(__xludf.DUMMYFUNCTION("""COMPUTED_VALUE"""),146.55)</f>
        <v>146.55</v>
      </c>
      <c r="F8970" s="122">
        <f>IFERROR(__xludf.DUMMYFUNCTION("""COMPUTED_VALUE"""),0.0052)</f>
        <v>0.0052</v>
      </c>
    </row>
    <row r="8971">
      <c r="A8971" s="131">
        <f>IFERROR(__xludf.DUMMYFUNCTION("""COMPUTED_VALUE"""),46187.66122685185)</f>
        <v>46187.66123</v>
      </c>
      <c r="B8971" s="126">
        <f>IFERROR(__xludf.DUMMYFUNCTION("""COMPUTED_VALUE"""),46187.0)</f>
        <v>46187</v>
      </c>
      <c r="C8971" s="122" t="str">
        <f>IFERROR(__xludf.DUMMYFUNCTION("""COMPUTED_VALUE"""),"BYTE")</f>
        <v>BYTE</v>
      </c>
      <c r="D8971" s="122" t="str">
        <f>IFERROR(__xludf.DUMMYFUNCTION("""COMPUTED_VALUE"""),"ByteWorks")</f>
        <v>ByteWorks</v>
      </c>
      <c r="E8971" s="122">
        <f>IFERROR(__xludf.DUMMYFUNCTION("""COMPUTED_VALUE"""),111.4)</f>
        <v>111.4</v>
      </c>
      <c r="F8971" s="122">
        <f>IFERROR(__xludf.DUMMYFUNCTION("""COMPUTED_VALUE"""),0.0058)</f>
        <v>0.0058</v>
      </c>
    </row>
    <row r="8972">
      <c r="A8972" s="131">
        <f>IFERROR(__xludf.DUMMYFUNCTION("""COMPUTED_VALUE"""),46187.66122685185)</f>
        <v>46187.66123</v>
      </c>
      <c r="B8972" s="126">
        <f>IFERROR(__xludf.DUMMYFUNCTION("""COMPUTED_VALUE"""),46187.0)</f>
        <v>46187</v>
      </c>
      <c r="C8972" s="122" t="str">
        <f>IFERROR(__xludf.DUMMYFUNCTION("""COMPUTED_VALUE"""),"BANK")</f>
        <v>BANK</v>
      </c>
      <c r="D8972" s="122" t="str">
        <f>IFERROR(__xludf.DUMMYFUNCTION("""COMPUTED_VALUE"""),"Tiger Bank")</f>
        <v>Tiger Bank</v>
      </c>
      <c r="E8972" s="122">
        <f>IFERROR(__xludf.DUMMYFUNCTION("""COMPUTED_VALUE"""),133.11)</f>
        <v>133.11</v>
      </c>
      <c r="F8972" s="122">
        <f>IFERROR(__xludf.DUMMYFUNCTION("""COMPUTED_VALUE"""),0.0032)</f>
        <v>0.0032</v>
      </c>
    </row>
    <row r="8973">
      <c r="A8973" s="131">
        <f>IFERROR(__xludf.DUMMYFUNCTION("""COMPUTED_VALUE"""),46187.66122685185)</f>
        <v>46187.66123</v>
      </c>
      <c r="B8973" s="126">
        <f>IFERROR(__xludf.DUMMYFUNCTION("""COMPUTED_VALUE"""),46187.0)</f>
        <v>46187</v>
      </c>
      <c r="C8973" s="122" t="str">
        <f>IFERROR(__xludf.DUMMYFUNCTION("""COMPUTED_VALUE"""),"CRED")</f>
        <v>CRED</v>
      </c>
      <c r="D8973" s="122" t="str">
        <f>IFERROR(__xludf.DUMMYFUNCTION("""COMPUTED_VALUE"""),"Credit Castle")</f>
        <v>Credit Castle</v>
      </c>
      <c r="E8973" s="122">
        <f>IFERROR(__xludf.DUMMYFUNCTION("""COMPUTED_VALUE"""),66.38)</f>
        <v>66.38</v>
      </c>
      <c r="F8973" s="122">
        <f>IFERROR(__xludf.DUMMYFUNCTION("""COMPUTED_VALUE"""),6.0E-4)</f>
        <v>0.0006</v>
      </c>
    </row>
    <row r="8974">
      <c r="A8974" s="131">
        <f>IFERROR(__xludf.DUMMYFUNCTION("""COMPUTED_VALUE"""),46187.66122685185)</f>
        <v>46187.66123</v>
      </c>
      <c r="B8974" s="126">
        <f>IFERROR(__xludf.DUMMYFUNCTION("""COMPUTED_VALUE"""),46187.0)</f>
        <v>46187</v>
      </c>
      <c r="C8974" s="122" t="str">
        <f>IFERROR(__xludf.DUMMYFUNCTION("""COMPUTED_VALUE"""),"BOND")</f>
        <v>BOND</v>
      </c>
      <c r="D8974" s="122" t="str">
        <f>IFERROR(__xludf.DUMMYFUNCTION("""COMPUTED_VALUE"""),"BondBridge")</f>
        <v>BondBridge</v>
      </c>
      <c r="E8974" s="122">
        <f>IFERROR(__xludf.DUMMYFUNCTION("""COMPUTED_VALUE"""),106.43)</f>
        <v>106.43</v>
      </c>
      <c r="F8974" s="122">
        <f>IFERROR(__xludf.DUMMYFUNCTION("""COMPUTED_VALUE"""),1.0E-4)</f>
        <v>0.0001</v>
      </c>
    </row>
    <row r="8975">
      <c r="A8975" s="131">
        <f>IFERROR(__xludf.DUMMYFUNCTION("""COMPUTED_VALUE"""),46187.66122685185)</f>
        <v>46187.66123</v>
      </c>
      <c r="B8975" s="126">
        <f>IFERROR(__xludf.DUMMYFUNCTION("""COMPUTED_VALUE"""),46187.0)</f>
        <v>46187</v>
      </c>
      <c r="C8975" s="122" t="str">
        <f>IFERROR(__xludf.DUMMYFUNCTION("""COMPUTED_VALUE"""),"INSR")</f>
        <v>INSR</v>
      </c>
      <c r="D8975" s="122" t="str">
        <f>IFERROR(__xludf.DUMMYFUNCTION("""COMPUTED_VALUE"""),"Shield Insurance")</f>
        <v>Shield Insurance</v>
      </c>
      <c r="E8975" s="122">
        <f>IFERROR(__xludf.DUMMYFUNCTION("""COMPUTED_VALUE"""),157.36)</f>
        <v>157.36</v>
      </c>
      <c r="F8975" s="122">
        <f>IFERROR(__xludf.DUMMYFUNCTION("""COMPUTED_VALUE"""),0.0024)</f>
        <v>0.0024</v>
      </c>
    </row>
    <row r="8976">
      <c r="A8976" s="131">
        <f>IFERROR(__xludf.DUMMYFUNCTION("""COMPUTED_VALUE"""),46187.66122685185)</f>
        <v>46187.66123</v>
      </c>
      <c r="B8976" s="126">
        <f>IFERROR(__xludf.DUMMYFUNCTION("""COMPUTED_VALUE"""),46187.0)</f>
        <v>46187</v>
      </c>
      <c r="C8976" s="122" t="str">
        <f>IFERROR(__xludf.DUMMYFUNCTION("""COMPUTED_VALUE"""),"LOAN")</f>
        <v>LOAN</v>
      </c>
      <c r="D8976" s="122" t="str">
        <f>IFERROR(__xludf.DUMMYFUNCTION("""COMPUTED_VALUE"""),"LoanLab")</f>
        <v>LoanLab</v>
      </c>
      <c r="E8976" s="122">
        <f>IFERROR(__xludf.DUMMYFUNCTION("""COMPUTED_VALUE"""),73.73)</f>
        <v>73.73</v>
      </c>
      <c r="F8976" s="122">
        <f>IFERROR(__xludf.DUMMYFUNCTION("""COMPUTED_VALUE"""),0.0053)</f>
        <v>0.0053</v>
      </c>
    </row>
    <row r="8977">
      <c r="A8977" s="131">
        <f>IFERROR(__xludf.DUMMYFUNCTION("""COMPUTED_VALUE"""),46187.66122685185)</f>
        <v>46187.66123</v>
      </c>
      <c r="B8977" s="126">
        <f>IFERROR(__xludf.DUMMYFUNCTION("""COMPUTED_VALUE"""),46187.0)</f>
        <v>46187</v>
      </c>
      <c r="C8977" s="122" t="str">
        <f>IFERROR(__xludf.DUMMYFUNCTION("""COMPUTED_VALUE"""),"LUXE")</f>
        <v>LUXE</v>
      </c>
      <c r="D8977" s="122" t="str">
        <f>IFERROR(__xludf.DUMMYFUNCTION("""COMPUTED_VALUE"""),"Luxury Locker")</f>
        <v>Luxury Locker</v>
      </c>
      <c r="E8977" s="122">
        <f>IFERROR(__xludf.DUMMYFUNCTION("""COMPUTED_VALUE"""),268.77)</f>
        <v>268.77</v>
      </c>
      <c r="F8977" s="122">
        <f>IFERROR(__xludf.DUMMYFUNCTION("""COMPUTED_VALUE"""),0.0066)</f>
        <v>0.0066</v>
      </c>
    </row>
    <row r="8978">
      <c r="A8978" s="131">
        <f>IFERROR(__xludf.DUMMYFUNCTION("""COMPUTED_VALUE"""),46187.66122685185)</f>
        <v>46187.66123</v>
      </c>
      <c r="B8978" s="126">
        <f>IFERROR(__xludf.DUMMYFUNCTION("""COMPUTED_VALUE"""),46187.0)</f>
        <v>46187</v>
      </c>
      <c r="C8978" s="122" t="str">
        <f>IFERROR(__xludf.DUMMYFUNCTION("""COMPUTED_VALUE"""),"DRIP")</f>
        <v>DRIP</v>
      </c>
      <c r="D8978" s="122" t="str">
        <f>IFERROR(__xludf.DUMMYFUNCTION("""COMPUTED_VALUE"""),"Drip Streetwear")</f>
        <v>Drip Streetwear</v>
      </c>
      <c r="E8978" s="122">
        <f>IFERROR(__xludf.DUMMYFUNCTION("""COMPUTED_VALUE"""),189.13)</f>
        <v>189.13</v>
      </c>
      <c r="F8978" s="122">
        <f>IFERROR(__xludf.DUMMYFUNCTION("""COMPUTED_VALUE"""),-0.0036)</f>
        <v>-0.0036</v>
      </c>
    </row>
    <row r="8979">
      <c r="A8979" s="131">
        <f>IFERROR(__xludf.DUMMYFUNCTION("""COMPUTED_VALUE"""),46187.66122685185)</f>
        <v>46187.66123</v>
      </c>
      <c r="B8979" s="126">
        <f>IFERROR(__xludf.DUMMYFUNCTION("""COMPUTED_VALUE"""),46187.0)</f>
        <v>46187</v>
      </c>
      <c r="C8979" s="122" t="str">
        <f>IFERROR(__xludf.DUMMYFUNCTION("""COMPUTED_VALUE"""),"KICK")</f>
        <v>KICK</v>
      </c>
      <c r="D8979" s="122" t="str">
        <f>IFERROR(__xludf.DUMMYFUNCTION("""COMPUTED_VALUE"""),"KickDrop Sneakers")</f>
        <v>KickDrop Sneakers</v>
      </c>
      <c r="E8979" s="122">
        <f>IFERROR(__xludf.DUMMYFUNCTION("""COMPUTED_VALUE"""),169.48)</f>
        <v>169.48</v>
      </c>
      <c r="F8979" s="122">
        <f>IFERROR(__xludf.DUMMYFUNCTION("""COMPUTED_VALUE"""),9.0E-4)</f>
        <v>0.0009</v>
      </c>
    </row>
    <row r="8980">
      <c r="A8980" s="131">
        <f>IFERROR(__xludf.DUMMYFUNCTION("""COMPUTED_VALUE"""),46187.66122685185)</f>
        <v>46187.66123</v>
      </c>
      <c r="B8980" s="126">
        <f>IFERROR(__xludf.DUMMYFUNCTION("""COMPUTED_VALUE"""),46187.0)</f>
        <v>46187</v>
      </c>
      <c r="C8980" s="122" t="str">
        <f>IFERROR(__xludf.DUMMYFUNCTION("""COMPUTED_VALUE"""),"GLAM")</f>
        <v>GLAM</v>
      </c>
      <c r="D8980" s="122" t="str">
        <f>IFERROR(__xludf.DUMMYFUNCTION("""COMPUTED_VALUE"""),"Glow Cosmetics")</f>
        <v>Glow Cosmetics</v>
      </c>
      <c r="E8980" s="122">
        <f>IFERROR(__xludf.DUMMYFUNCTION("""COMPUTED_VALUE"""),111.65)</f>
        <v>111.65</v>
      </c>
      <c r="F8980" s="122">
        <f>IFERROR(__xludf.DUMMYFUNCTION("""COMPUTED_VALUE"""),0.007)</f>
        <v>0.007</v>
      </c>
    </row>
    <row r="8981">
      <c r="A8981" s="131">
        <f>IFERROR(__xludf.DUMMYFUNCTION("""COMPUTED_VALUE"""),46187.66122685185)</f>
        <v>46187.66123</v>
      </c>
      <c r="B8981" s="126">
        <f>IFERROR(__xludf.DUMMYFUNCTION("""COMPUTED_VALUE"""),46187.0)</f>
        <v>46187</v>
      </c>
      <c r="C8981" s="122" t="str">
        <f>IFERROR(__xludf.DUMMYFUNCTION("""COMPUTED_VALUE"""),"BAGG")</f>
        <v>BAGG</v>
      </c>
      <c r="D8981" s="122" t="str">
        <f>IFERROR(__xludf.DUMMYFUNCTION("""COMPUTED_VALUE"""),"BagVault")</f>
        <v>BagVault</v>
      </c>
      <c r="E8981" s="122">
        <f>IFERROR(__xludf.DUMMYFUNCTION("""COMPUTED_VALUE"""),282.07)</f>
        <v>282.07</v>
      </c>
      <c r="F8981" s="122">
        <f>IFERROR(__xludf.DUMMYFUNCTION("""COMPUTED_VALUE"""),-0.001)</f>
        <v>-0.001</v>
      </c>
    </row>
    <row r="8982">
      <c r="A8982" s="131">
        <f>IFERROR(__xludf.DUMMYFUNCTION("""COMPUTED_VALUE"""),46187.66122685185)</f>
        <v>46187.66123</v>
      </c>
      <c r="B8982" s="126">
        <f>IFERROR(__xludf.DUMMYFUNCTION("""COMPUTED_VALUE"""),46187.0)</f>
        <v>46187</v>
      </c>
      <c r="C8982" s="122" t="str">
        <f>IFERROR(__xludf.DUMMYFUNCTION("""COMPUTED_VALUE"""),"FAST")</f>
        <v>FAST</v>
      </c>
      <c r="D8982" s="122" t="str">
        <f>IFERROR(__xludf.DUMMYFUNCTION("""COMPUTED_VALUE"""),"Flash Logistics")</f>
        <v>Flash Logistics</v>
      </c>
      <c r="E8982" s="122">
        <f>IFERROR(__xludf.DUMMYFUNCTION("""COMPUTED_VALUE"""),108.0)</f>
        <v>108</v>
      </c>
      <c r="F8982" s="122">
        <f>IFERROR(__xludf.DUMMYFUNCTION("""COMPUTED_VALUE"""),0.0038)</f>
        <v>0.0038</v>
      </c>
    </row>
    <row r="8983">
      <c r="A8983" s="131">
        <f>IFERROR(__xludf.DUMMYFUNCTION("""COMPUTED_VALUE"""),46187.66122685185)</f>
        <v>46187.66123</v>
      </c>
      <c r="B8983" s="126">
        <f>IFERROR(__xludf.DUMMYFUNCTION("""COMPUTED_VALUE"""),46187.0)</f>
        <v>46187</v>
      </c>
      <c r="C8983" s="122" t="str">
        <f>IFERROR(__xludf.DUMMYFUNCTION("""COMPUTED_VALUE"""),"SHIP")</f>
        <v>SHIP</v>
      </c>
      <c r="D8983" s="122" t="str">
        <f>IFERROR(__xludf.DUMMYFUNCTION("""COMPUTED_VALUE"""),"Seoul Shipping")</f>
        <v>Seoul Shipping</v>
      </c>
      <c r="E8983" s="122">
        <f>IFERROR(__xludf.DUMMYFUNCTION("""COMPUTED_VALUE"""),128.73)</f>
        <v>128.73</v>
      </c>
      <c r="F8983" s="122">
        <f>IFERROR(__xludf.DUMMYFUNCTION("""COMPUTED_VALUE"""),-7.0E-4)</f>
        <v>-0.0007</v>
      </c>
    </row>
    <row r="8984">
      <c r="A8984" s="131">
        <f>IFERROR(__xludf.DUMMYFUNCTION("""COMPUTED_VALUE"""),46187.66122685185)</f>
        <v>46187.66123</v>
      </c>
      <c r="B8984" s="126">
        <f>IFERROR(__xludf.DUMMYFUNCTION("""COMPUTED_VALUE"""),46187.0)</f>
        <v>46187</v>
      </c>
      <c r="C8984" s="122" t="str">
        <f>IFERROR(__xludf.DUMMYFUNCTION("""COMPUTED_VALUE"""),"DRON")</f>
        <v>DRON</v>
      </c>
      <c r="D8984" s="122" t="str">
        <f>IFERROR(__xludf.DUMMYFUNCTION("""COMPUTED_VALUE"""),"DroneDrop")</f>
        <v>DroneDrop</v>
      </c>
      <c r="E8984" s="122">
        <f>IFERROR(__xludf.DUMMYFUNCTION("""COMPUTED_VALUE"""),121.01)</f>
        <v>121.01</v>
      </c>
      <c r="F8984" s="122">
        <f>IFERROR(__xludf.DUMMYFUNCTION("""COMPUTED_VALUE"""),-0.0089)</f>
        <v>-0.0089</v>
      </c>
    </row>
    <row r="8985">
      <c r="A8985" s="131">
        <f>IFERROR(__xludf.DUMMYFUNCTION("""COMPUTED_VALUE"""),46187.66122685185)</f>
        <v>46187.66123</v>
      </c>
      <c r="B8985" s="126">
        <f>IFERROR(__xludf.DUMMYFUNCTION("""COMPUTED_VALUE"""),46187.0)</f>
        <v>46187</v>
      </c>
      <c r="C8985" s="122" t="str">
        <f>IFERROR(__xludf.DUMMYFUNCTION("""COMPUTED_VALUE"""),"RIDE")</f>
        <v>RIDE</v>
      </c>
      <c r="D8985" s="122" t="str">
        <f>IFERROR(__xludf.DUMMYFUNCTION("""COMPUTED_VALUE"""),"QuickRide")</f>
        <v>QuickRide</v>
      </c>
      <c r="E8985" s="122">
        <f>IFERROR(__xludf.DUMMYFUNCTION("""COMPUTED_VALUE"""),99.78)</f>
        <v>99.78</v>
      </c>
      <c r="F8985" s="122">
        <f>IFERROR(__xludf.DUMMYFUNCTION("""COMPUTED_VALUE"""),-0.0102)</f>
        <v>-0.0102</v>
      </c>
    </row>
    <row r="8986">
      <c r="A8986" s="131">
        <f>IFERROR(__xludf.DUMMYFUNCTION("""COMPUTED_VALUE"""),46187.66122685185)</f>
        <v>46187.66123</v>
      </c>
      <c r="B8986" s="126">
        <f>IFERROR(__xludf.DUMMYFUNCTION("""COMPUTED_VALUE"""),46187.0)</f>
        <v>46187</v>
      </c>
      <c r="C8986" s="122" t="str">
        <f>IFERROR(__xludf.DUMMYFUNCTION("""COMPUTED_VALUE"""),"RAIL")</f>
        <v>RAIL</v>
      </c>
      <c r="D8986" s="122" t="str">
        <f>IFERROR(__xludf.DUMMYFUNCTION("""COMPUTED_VALUE"""),"MetroRail Corp")</f>
        <v>MetroRail Corp</v>
      </c>
      <c r="E8986" s="122">
        <f>IFERROR(__xludf.DUMMYFUNCTION("""COMPUTED_VALUE"""),130.78)</f>
        <v>130.78</v>
      </c>
      <c r="F8986" s="122">
        <f>IFERROR(__xludf.DUMMYFUNCTION("""COMPUTED_VALUE"""),7.0E-4)</f>
        <v>0.0007</v>
      </c>
    </row>
    <row r="8987">
      <c r="A8987" s="131">
        <f>IFERROR(__xludf.DUMMYFUNCTION("""COMPUTED_VALUE"""),46187.66122685185)</f>
        <v>46187.66123</v>
      </c>
      <c r="B8987" s="126">
        <f>IFERROR(__xludf.DUMMYFUNCTION("""COMPUTED_VALUE"""),46187.0)</f>
        <v>46187</v>
      </c>
      <c r="C8987" s="122" t="str">
        <f>IFERROR(__xludf.DUMMYFUNCTION("""COMPUTED_VALUE"""),"MEDX")</f>
        <v>MEDX</v>
      </c>
      <c r="D8987" s="122" t="str">
        <f>IFERROR(__xludf.DUMMYFUNCTION("""COMPUTED_VALUE"""),"MediCore")</f>
        <v>MediCore</v>
      </c>
      <c r="E8987" s="122">
        <f>IFERROR(__xludf.DUMMYFUNCTION("""COMPUTED_VALUE"""),139.94)</f>
        <v>139.94</v>
      </c>
      <c r="F8987" s="122">
        <f>IFERROR(__xludf.DUMMYFUNCTION("""COMPUTED_VALUE"""),0.0011)</f>
        <v>0.0011</v>
      </c>
    </row>
    <row r="8988">
      <c r="A8988" s="131">
        <f>IFERROR(__xludf.DUMMYFUNCTION("""COMPUTED_VALUE"""),46187.66122685185)</f>
        <v>46187.66123</v>
      </c>
      <c r="B8988" s="126">
        <f>IFERROR(__xludf.DUMMYFUNCTION("""COMPUTED_VALUE"""),46187.0)</f>
        <v>46187</v>
      </c>
      <c r="C8988" s="122" t="str">
        <f>IFERROR(__xludf.DUMMYFUNCTION("""COMPUTED_VALUE"""),"GYMX")</f>
        <v>GYMX</v>
      </c>
      <c r="D8988" s="122" t="str">
        <f>IFERROR(__xludf.DUMMYFUNCTION("""COMPUTED_VALUE"""),"GymX Fitness")</f>
        <v>GymX Fitness</v>
      </c>
      <c r="E8988" s="122">
        <f>IFERROR(__xludf.DUMMYFUNCTION("""COMPUTED_VALUE"""),80.71)</f>
        <v>80.71</v>
      </c>
      <c r="F8988" s="122">
        <f>IFERROR(__xludf.DUMMYFUNCTION("""COMPUTED_VALUE"""),-9.0E-4)</f>
        <v>-0.0009</v>
      </c>
    </row>
    <row r="8989">
      <c r="A8989" s="131">
        <f>IFERROR(__xludf.DUMMYFUNCTION("""COMPUTED_VALUE"""),46187.66122685185)</f>
        <v>46187.66123</v>
      </c>
      <c r="B8989" s="126">
        <f>IFERROR(__xludf.DUMMYFUNCTION("""COMPUTED_VALUE"""),46187.0)</f>
        <v>46187</v>
      </c>
      <c r="C8989" s="122" t="str">
        <f>IFERROR(__xludf.DUMMYFUNCTION("""COMPUTED_VALUE"""),"VITA")</f>
        <v>VITA</v>
      </c>
      <c r="D8989" s="122" t="str">
        <f>IFERROR(__xludf.DUMMYFUNCTION("""COMPUTED_VALUE"""),"VitaPlus")</f>
        <v>VitaPlus</v>
      </c>
      <c r="E8989" s="122">
        <f>IFERROR(__xludf.DUMMYFUNCTION("""COMPUTED_VALUE"""),71.85)</f>
        <v>71.85</v>
      </c>
      <c r="F8989" s="122">
        <f>IFERROR(__xludf.DUMMYFUNCTION("""COMPUTED_VALUE"""),-0.0039)</f>
        <v>-0.0039</v>
      </c>
    </row>
    <row r="8990">
      <c r="A8990" s="131">
        <f>IFERROR(__xludf.DUMMYFUNCTION("""COMPUTED_VALUE"""),46187.66122685185)</f>
        <v>46187.66123</v>
      </c>
      <c r="B8990" s="126">
        <f>IFERROR(__xludf.DUMMYFUNCTION("""COMPUTED_VALUE"""),46187.0)</f>
        <v>46187</v>
      </c>
      <c r="C8990" s="122" t="str">
        <f>IFERROR(__xludf.DUMMYFUNCTION("""COMPUTED_VALUE"""),"CARE")</f>
        <v>CARE</v>
      </c>
      <c r="D8990" s="122" t="str">
        <f>IFERROR(__xludf.DUMMYFUNCTION("""COMPUTED_VALUE"""),"CareCloud")</f>
        <v>CareCloud</v>
      </c>
      <c r="E8990" s="122">
        <f>IFERROR(__xludf.DUMMYFUNCTION("""COMPUTED_VALUE"""),183.06)</f>
        <v>183.06</v>
      </c>
      <c r="F8990" s="122">
        <f>IFERROR(__xludf.DUMMYFUNCTION("""COMPUTED_VALUE"""),-0.0073)</f>
        <v>-0.0073</v>
      </c>
    </row>
    <row r="8991">
      <c r="A8991" s="131">
        <f>IFERROR(__xludf.DUMMYFUNCTION("""COMPUTED_VALUE"""),46187.66122685185)</f>
        <v>46187.66123</v>
      </c>
      <c r="B8991" s="126">
        <f>IFERROR(__xludf.DUMMYFUNCTION("""COMPUTED_VALUE"""),46187.0)</f>
        <v>46187</v>
      </c>
      <c r="C8991" s="122" t="str">
        <f>IFERROR(__xludf.DUMMYFUNCTION("""COMPUTED_VALUE"""),"DENT")</f>
        <v>DENT</v>
      </c>
      <c r="D8991" s="122" t="str">
        <f>IFERROR(__xludf.DUMMYFUNCTION("""COMPUTED_VALUE"""),"SmileWorks")</f>
        <v>SmileWorks</v>
      </c>
      <c r="E8991" s="122">
        <f>IFERROR(__xludf.DUMMYFUNCTION("""COMPUTED_VALUE"""),98.4)</f>
        <v>98.4</v>
      </c>
      <c r="F8991" s="122">
        <f>IFERROR(__xludf.DUMMYFUNCTION("""COMPUTED_VALUE"""),-0.0018)</f>
        <v>-0.0018</v>
      </c>
    </row>
    <row r="8992">
      <c r="A8992" s="131">
        <f>IFERROR(__xludf.DUMMYFUNCTION("""COMPUTED_VALUE"""),46187.66122685185)</f>
        <v>46187.66123</v>
      </c>
      <c r="B8992" s="126">
        <f>IFERROR(__xludf.DUMMYFUNCTION("""COMPUTED_VALUE"""),46187.0)</f>
        <v>46187</v>
      </c>
      <c r="C8992" s="122" t="str">
        <f>IFERROR(__xludf.DUMMYFUNCTION("""COMPUTED_VALUE"""),"EDUX")</f>
        <v>EDUX</v>
      </c>
      <c r="D8992" s="122" t="str">
        <f>IFERROR(__xludf.DUMMYFUNCTION("""COMPUTED_VALUE"""),"EduMax Learning")</f>
        <v>EduMax Learning</v>
      </c>
      <c r="E8992" s="122">
        <f>IFERROR(__xludf.DUMMYFUNCTION("""COMPUTED_VALUE"""),154.87)</f>
        <v>154.87</v>
      </c>
      <c r="F8992" s="122">
        <f>IFERROR(__xludf.DUMMYFUNCTION("""COMPUTED_VALUE"""),0.0036)</f>
        <v>0.0036</v>
      </c>
    </row>
    <row r="8993">
      <c r="A8993" s="131">
        <f>IFERROR(__xludf.DUMMYFUNCTION("""COMPUTED_VALUE"""),46187.66122685185)</f>
        <v>46187.66123</v>
      </c>
      <c r="B8993" s="126">
        <f>IFERROR(__xludf.DUMMYFUNCTION("""COMPUTED_VALUE"""),46187.0)</f>
        <v>46187</v>
      </c>
      <c r="C8993" s="122" t="str">
        <f>IFERROR(__xludf.DUMMYFUNCTION("""COMPUTED_VALUE"""),"BOOK")</f>
        <v>BOOK</v>
      </c>
      <c r="D8993" s="122" t="str">
        <f>IFERROR(__xludf.DUMMYFUNCTION("""COMPUTED_VALUE"""),"BookBridge")</f>
        <v>BookBridge</v>
      </c>
      <c r="E8993" s="122">
        <f>IFERROR(__xludf.DUMMYFUNCTION("""COMPUTED_VALUE"""),120.18)</f>
        <v>120.18</v>
      </c>
      <c r="F8993" s="122">
        <f>IFERROR(__xludf.DUMMYFUNCTION("""COMPUTED_VALUE"""),-5.0E-4)</f>
        <v>-0.0005</v>
      </c>
    </row>
    <row r="8994">
      <c r="A8994" s="131">
        <f>IFERROR(__xludf.DUMMYFUNCTION("""COMPUTED_VALUE"""),46187.66122685185)</f>
        <v>46187.66123</v>
      </c>
      <c r="B8994" s="126">
        <f>IFERROR(__xludf.DUMMYFUNCTION("""COMPUTED_VALUE"""),46187.0)</f>
        <v>46187</v>
      </c>
      <c r="C8994" s="122" t="str">
        <f>IFERROR(__xludf.DUMMYFUNCTION("""COMPUTED_VALUE"""),"TUTR")</f>
        <v>TUTR</v>
      </c>
      <c r="D8994" s="122" t="str">
        <f>IFERROR(__xludf.DUMMYFUNCTION("""COMPUTED_VALUE"""),"TutorTown")</f>
        <v>TutorTown</v>
      </c>
      <c r="E8994" s="122">
        <f>IFERROR(__xludf.DUMMYFUNCTION("""COMPUTED_VALUE"""),91.61)</f>
        <v>91.61</v>
      </c>
      <c r="F8994" s="122">
        <f>IFERROR(__xludf.DUMMYFUNCTION("""COMPUTED_VALUE"""),0.0043)</f>
        <v>0.0043</v>
      </c>
    </row>
    <row r="8995">
      <c r="A8995" s="131">
        <f>IFERROR(__xludf.DUMMYFUNCTION("""COMPUTED_VALUE"""),46187.66122685185)</f>
        <v>46187.66123</v>
      </c>
      <c r="B8995" s="126">
        <f>IFERROR(__xludf.DUMMYFUNCTION("""COMPUTED_VALUE"""),46187.0)</f>
        <v>46187</v>
      </c>
      <c r="C8995" s="122" t="str">
        <f>IFERROR(__xludf.DUMMYFUNCTION("""COMPUTED_VALUE"""),"LANG")</f>
        <v>LANG</v>
      </c>
      <c r="D8995" s="122" t="str">
        <f>IFERROR(__xludf.DUMMYFUNCTION("""COMPUTED_VALUE"""),"LinguaLab")</f>
        <v>LinguaLab</v>
      </c>
      <c r="E8995" s="122">
        <f>IFERROR(__xludf.DUMMYFUNCTION("""COMPUTED_VALUE"""),102.75)</f>
        <v>102.75</v>
      </c>
      <c r="F8995" s="122">
        <f>IFERROR(__xludf.DUMMYFUNCTION("""COMPUTED_VALUE"""),-1.0E-4)</f>
        <v>-0.0001</v>
      </c>
    </row>
    <row r="8996">
      <c r="A8996" s="131">
        <f>IFERROR(__xludf.DUMMYFUNCTION("""COMPUTED_VALUE"""),46187.66122685185)</f>
        <v>46187.66123</v>
      </c>
      <c r="B8996" s="126">
        <f>IFERROR(__xludf.DUMMYFUNCTION("""COMPUTED_VALUE"""),46187.0)</f>
        <v>46187</v>
      </c>
      <c r="C8996" s="122" t="str">
        <f>IFERROR(__xludf.DUMMYFUNCTION("""COMPUTED_VALUE"""),"TEST")</f>
        <v>TEST</v>
      </c>
      <c r="D8996" s="122" t="str">
        <f>IFERROR(__xludf.DUMMYFUNCTION("""COMPUTED_VALUE"""),"TestPrep Pro")</f>
        <v>TestPrep Pro</v>
      </c>
      <c r="E8996" s="122">
        <f>IFERROR(__xludf.DUMMYFUNCTION("""COMPUTED_VALUE"""),88.26)</f>
        <v>88.26</v>
      </c>
      <c r="F8996" s="122">
        <f>IFERROR(__xludf.DUMMYFUNCTION("""COMPUTED_VALUE"""),-9.0E-4)</f>
        <v>-0.0009</v>
      </c>
    </row>
    <row r="8997">
      <c r="A8997" s="131">
        <f>IFERROR(__xludf.DUMMYFUNCTION("""COMPUTED_VALUE"""),46187.66122685185)</f>
        <v>46187.66123</v>
      </c>
      <c r="B8997" s="126">
        <f>IFERROR(__xludf.DUMMYFUNCTION("""COMPUTED_VALUE"""),46187.0)</f>
        <v>46187</v>
      </c>
      <c r="C8997" s="122" t="str">
        <f>IFERROR(__xludf.DUMMYFUNCTION("""COMPUTED_VALUE"""),"MOVI")</f>
        <v>MOVI</v>
      </c>
      <c r="D8997" s="122" t="str">
        <f>IFERROR(__xludf.DUMMYFUNCTION("""COMPUTED_VALUE"""),"MovieBox")</f>
        <v>MovieBox</v>
      </c>
      <c r="E8997" s="122">
        <f>IFERROR(__xludf.DUMMYFUNCTION("""COMPUTED_VALUE"""),83.65)</f>
        <v>83.65</v>
      </c>
      <c r="F8997" s="122">
        <f>IFERROR(__xludf.DUMMYFUNCTION("""COMPUTED_VALUE"""),0.0037)</f>
        <v>0.0037</v>
      </c>
    </row>
    <row r="8998">
      <c r="A8998" s="131">
        <f>IFERROR(__xludf.DUMMYFUNCTION("""COMPUTED_VALUE"""),46187.66122685185)</f>
        <v>46187.66123</v>
      </c>
      <c r="B8998" s="126">
        <f>IFERROR(__xludf.DUMMYFUNCTION("""COMPUTED_VALUE"""),46187.0)</f>
        <v>46187</v>
      </c>
      <c r="C8998" s="122" t="str">
        <f>IFERROR(__xludf.DUMMYFUNCTION("""COMPUTED_VALUE"""),"MUSC")</f>
        <v>MUSC</v>
      </c>
      <c r="D8998" s="122" t="str">
        <f>IFERROR(__xludf.DUMMYFUNCTION("""COMPUTED_VALUE"""),"MusicWave")</f>
        <v>MusicWave</v>
      </c>
      <c r="E8998" s="122">
        <f>IFERROR(__xludf.DUMMYFUNCTION("""COMPUTED_VALUE"""),105.83)</f>
        <v>105.83</v>
      </c>
      <c r="F8998" s="122">
        <f>IFERROR(__xludf.DUMMYFUNCTION("""COMPUTED_VALUE"""),0.0018)</f>
        <v>0.0018</v>
      </c>
    </row>
    <row r="8999">
      <c r="A8999" s="131">
        <f>IFERROR(__xludf.DUMMYFUNCTION("""COMPUTED_VALUE"""),46187.66122685185)</f>
        <v>46187.66123</v>
      </c>
      <c r="B8999" s="126">
        <f>IFERROR(__xludf.DUMMYFUNCTION("""COMPUTED_VALUE"""),46187.0)</f>
        <v>46187</v>
      </c>
      <c r="C8999" s="122" t="str">
        <f>IFERROR(__xludf.DUMMYFUNCTION("""COMPUTED_VALUE"""),"IDOL")</f>
        <v>IDOL</v>
      </c>
      <c r="D8999" s="122" t="str">
        <f>IFERROR(__xludf.DUMMYFUNCTION("""COMPUTED_VALUE"""),"Idol Agency")</f>
        <v>Idol Agency</v>
      </c>
      <c r="E8999" s="122">
        <f>IFERROR(__xludf.DUMMYFUNCTION("""COMPUTED_VALUE"""),188.62)</f>
        <v>188.62</v>
      </c>
      <c r="F8999" s="122">
        <f>IFERROR(__xludf.DUMMYFUNCTION("""COMPUTED_VALUE"""),-0.0074)</f>
        <v>-0.0074</v>
      </c>
    </row>
    <row r="9000">
      <c r="A9000" s="131">
        <f>IFERROR(__xludf.DUMMYFUNCTION("""COMPUTED_VALUE"""),46187.66122685185)</f>
        <v>46187.66123</v>
      </c>
      <c r="B9000" s="126">
        <f>IFERROR(__xludf.DUMMYFUNCTION("""COMPUTED_VALUE"""),46187.0)</f>
        <v>46187</v>
      </c>
      <c r="C9000" s="122" t="str">
        <f>IFERROR(__xludf.DUMMYFUNCTION("""COMPUTED_VALUE"""),"MEME")</f>
        <v>MEME</v>
      </c>
      <c r="D9000" s="122" t="str">
        <f>IFERROR(__xludf.DUMMYFUNCTION("""COMPUTED_VALUE"""),"Meme Media")</f>
        <v>Meme Media</v>
      </c>
      <c r="E9000" s="122">
        <f>IFERROR(__xludf.DUMMYFUNCTION("""COMPUTED_VALUE"""),71.89)</f>
        <v>71.89</v>
      </c>
      <c r="F9000" s="122">
        <f>IFERROR(__xludf.DUMMYFUNCTION("""COMPUTED_VALUE"""),0.0064)</f>
        <v>0.0064</v>
      </c>
    </row>
    <row r="9001">
      <c r="A9001" s="131">
        <f>IFERROR(__xludf.DUMMYFUNCTION("""COMPUTED_VALUE"""),46187.66122685185)</f>
        <v>46187.66123</v>
      </c>
      <c r="B9001" s="126">
        <f>IFERROR(__xludf.DUMMYFUNCTION("""COMPUTED_VALUE"""),46187.0)</f>
        <v>46187</v>
      </c>
      <c r="C9001" s="122" t="str">
        <f>IFERROR(__xludf.DUMMYFUNCTION("""COMPUTED_VALUE"""),"STRM")</f>
        <v>STRM</v>
      </c>
      <c r="D9001" s="122" t="str">
        <f>IFERROR(__xludf.DUMMYFUNCTION("""COMPUTED_VALUE"""),"Streamly")</f>
        <v>Streamly</v>
      </c>
      <c r="E9001" s="122">
        <f>IFERROR(__xludf.DUMMYFUNCTION("""COMPUTED_VALUE"""),133.22)</f>
        <v>133.22</v>
      </c>
      <c r="F9001" s="122">
        <f>IFERROR(__xludf.DUMMYFUNCTION("""COMPUTED_VALUE"""),-0.0094)</f>
        <v>-0.0094</v>
      </c>
    </row>
    <row r="9002">
      <c r="A9002" s="131">
        <f>IFERROR(__xludf.DUMMYFUNCTION("""COMPUTED_VALUE"""),46187.66122685185)</f>
        <v>46187.66123</v>
      </c>
      <c r="B9002" s="126">
        <f>IFERROR(__xludf.DUMMYFUNCTION("""COMPUTED_VALUE"""),46187.0)</f>
        <v>46187</v>
      </c>
      <c r="C9002" s="122" t="str">
        <f>IFERROR(__xludf.DUMMYFUNCTION("""COMPUTED_VALUE"""),"FARM")</f>
        <v>FARM</v>
      </c>
      <c r="D9002" s="122" t="str">
        <f>IFERROR(__xludf.DUMMYFUNCTION("""COMPUTED_VALUE"""),"Future Farms")</f>
        <v>Future Farms</v>
      </c>
      <c r="E9002" s="122">
        <f>IFERROR(__xludf.DUMMYFUNCTION("""COMPUTED_VALUE"""),100.24)</f>
        <v>100.24</v>
      </c>
      <c r="F9002" s="122">
        <f>IFERROR(__xludf.DUMMYFUNCTION("""COMPUTED_VALUE"""),-0.0015)</f>
        <v>-0.0015</v>
      </c>
    </row>
    <row r="9003">
      <c r="A9003" s="131">
        <f>IFERROR(__xludf.DUMMYFUNCTION("""COMPUTED_VALUE"""),46187.66122685185)</f>
        <v>46187.66123</v>
      </c>
      <c r="B9003" s="126">
        <f>IFERROR(__xludf.DUMMYFUNCTION("""COMPUTED_VALUE"""),46187.0)</f>
        <v>46187</v>
      </c>
      <c r="C9003" s="122" t="str">
        <f>IFERROR(__xludf.DUMMYFUNCTION("""COMPUTED_VALUE"""),"MEAT")</f>
        <v>MEAT</v>
      </c>
      <c r="D9003" s="122" t="str">
        <f>IFERROR(__xludf.DUMMYFUNCTION("""COMPUTED_VALUE"""),"MeatWorks")</f>
        <v>MeatWorks</v>
      </c>
      <c r="E9003" s="122">
        <f>IFERROR(__xludf.DUMMYFUNCTION("""COMPUTED_VALUE"""),104.64)</f>
        <v>104.64</v>
      </c>
      <c r="F9003" s="122">
        <f>IFERROR(__xludf.DUMMYFUNCTION("""COMPUTED_VALUE"""),-0.0048)</f>
        <v>-0.0048</v>
      </c>
    </row>
    <row r="9004">
      <c r="A9004" s="131">
        <f>IFERROR(__xludf.DUMMYFUNCTION("""COMPUTED_VALUE"""),46187.66122685185)</f>
        <v>46187.66123</v>
      </c>
      <c r="B9004" s="126">
        <f>IFERROR(__xludf.DUMMYFUNCTION("""COMPUTED_VALUE"""),46187.0)</f>
        <v>46187</v>
      </c>
      <c r="C9004" s="122" t="str">
        <f>IFERROR(__xludf.DUMMYFUNCTION("""COMPUTED_VALUE"""),"VEGI")</f>
        <v>VEGI</v>
      </c>
      <c r="D9004" s="122" t="str">
        <f>IFERROR(__xludf.DUMMYFUNCTION("""COMPUTED_VALUE"""),"Green Basket")</f>
        <v>Green Basket</v>
      </c>
      <c r="E9004" s="122">
        <f>IFERROR(__xludf.DUMMYFUNCTION("""COMPUTED_VALUE"""),76.95)</f>
        <v>76.95</v>
      </c>
      <c r="F9004" s="122">
        <f>IFERROR(__xludf.DUMMYFUNCTION("""COMPUTED_VALUE"""),-0.0032)</f>
        <v>-0.0032</v>
      </c>
    </row>
    <row r="9005">
      <c r="A9005" s="131">
        <f>IFERROR(__xludf.DUMMYFUNCTION("""COMPUTED_VALUE"""),46187.66122685185)</f>
        <v>46187.66123</v>
      </c>
      <c r="B9005" s="126">
        <f>IFERROR(__xludf.DUMMYFUNCTION("""COMPUTED_VALUE"""),46187.0)</f>
        <v>46187</v>
      </c>
      <c r="C9005" s="122" t="str">
        <f>IFERROR(__xludf.DUMMYFUNCTION("""COMPUTED_VALUE"""),"CAFE")</f>
        <v>CAFE</v>
      </c>
      <c r="D9005" s="122" t="str">
        <f>IFERROR(__xludf.DUMMYFUNCTION("""COMPUTED_VALUE"""),"Cafe Cloud")</f>
        <v>Cafe Cloud</v>
      </c>
      <c r="E9005" s="122">
        <f>IFERROR(__xludf.DUMMYFUNCTION("""COMPUTED_VALUE"""),103.52)</f>
        <v>103.52</v>
      </c>
      <c r="F9005" s="122">
        <f>IFERROR(__xludf.DUMMYFUNCTION("""COMPUTED_VALUE"""),0.0043)</f>
        <v>0.0043</v>
      </c>
    </row>
    <row r="9006">
      <c r="A9006" s="131">
        <f>IFERROR(__xludf.DUMMYFUNCTION("""COMPUTED_VALUE"""),46187.66122685185)</f>
        <v>46187.66123</v>
      </c>
      <c r="B9006" s="126">
        <f>IFERROR(__xludf.DUMMYFUNCTION("""COMPUTED_VALUE"""),46187.0)</f>
        <v>46187</v>
      </c>
      <c r="C9006" s="122" t="str">
        <f>IFERROR(__xludf.DUMMYFUNCTION("""COMPUTED_VALUE"""),"BAKE")</f>
        <v>BAKE</v>
      </c>
      <c r="D9006" s="122" t="str">
        <f>IFERROR(__xludf.DUMMYFUNCTION("""COMPUTED_VALUE"""),"BakeHouse")</f>
        <v>BakeHouse</v>
      </c>
      <c r="E9006" s="122">
        <f>IFERROR(__xludf.DUMMYFUNCTION("""COMPUTED_VALUE"""),101.27)</f>
        <v>101.27</v>
      </c>
      <c r="F9006" s="122">
        <f>IFERROR(__xludf.DUMMYFUNCTION("""COMPUTED_VALUE"""),0.005)</f>
        <v>0.005</v>
      </c>
    </row>
    <row r="9007">
      <c r="A9007" s="131">
        <f>IFERROR(__xludf.DUMMYFUNCTION("""COMPUTED_VALUE"""),46187.66122685185)</f>
        <v>46187.66123</v>
      </c>
      <c r="B9007" s="126">
        <f>IFERROR(__xludf.DUMMYFUNCTION("""COMPUTED_VALUE"""),46187.0)</f>
        <v>46187</v>
      </c>
      <c r="C9007" s="122" t="str">
        <f>IFERROR(__xludf.DUMMYFUNCTION("""COMPUTED_VALUE"""),"OILX")</f>
        <v>OILX</v>
      </c>
      <c r="D9007" s="122" t="str">
        <f>IFERROR(__xludf.DUMMYFUNCTION("""COMPUTED_VALUE"""),"OilMax Energy")</f>
        <v>OilMax Energy</v>
      </c>
      <c r="E9007" s="122">
        <f>IFERROR(__xludf.DUMMYFUNCTION("""COMPUTED_VALUE"""),134.4)</f>
        <v>134.4</v>
      </c>
      <c r="F9007" s="122">
        <f>IFERROR(__xludf.DUMMYFUNCTION("""COMPUTED_VALUE"""),0.0039)</f>
        <v>0.0039</v>
      </c>
    </row>
    <row r="9008">
      <c r="A9008" s="131">
        <f>IFERROR(__xludf.DUMMYFUNCTION("""COMPUTED_VALUE"""),46187.66122685185)</f>
        <v>46187.66123</v>
      </c>
      <c r="B9008" s="126">
        <f>IFERROR(__xludf.DUMMYFUNCTION("""COMPUTED_VALUE"""),46187.0)</f>
        <v>46187</v>
      </c>
      <c r="C9008" s="122" t="str">
        <f>IFERROR(__xludf.DUMMYFUNCTION("""COMPUTED_VALUE"""),"SOLR")</f>
        <v>SOLR</v>
      </c>
      <c r="D9008" s="122" t="str">
        <f>IFERROR(__xludf.DUMMYFUNCTION("""COMPUTED_VALUE"""),"SolarSpark")</f>
        <v>SolarSpark</v>
      </c>
      <c r="E9008" s="122">
        <f>IFERROR(__xludf.DUMMYFUNCTION("""COMPUTED_VALUE"""),107.4)</f>
        <v>107.4</v>
      </c>
      <c r="F9008" s="122">
        <f>IFERROR(__xludf.DUMMYFUNCTION("""COMPUTED_VALUE"""),-0.005)</f>
        <v>-0.005</v>
      </c>
    </row>
    <row r="9009">
      <c r="A9009" s="131">
        <f>IFERROR(__xludf.DUMMYFUNCTION("""COMPUTED_VALUE"""),46187.66122685185)</f>
        <v>46187.66123</v>
      </c>
      <c r="B9009" s="126">
        <f>IFERROR(__xludf.DUMMYFUNCTION("""COMPUTED_VALUE"""),46187.0)</f>
        <v>46187</v>
      </c>
      <c r="C9009" s="122" t="str">
        <f>IFERROR(__xludf.DUMMYFUNCTION("""COMPUTED_VALUE"""),"BATT")</f>
        <v>BATT</v>
      </c>
      <c r="D9009" s="122" t="str">
        <f>IFERROR(__xludf.DUMMYFUNCTION("""COMPUTED_VALUE"""),"BatteryBox")</f>
        <v>BatteryBox</v>
      </c>
      <c r="E9009" s="122">
        <f>IFERROR(__xludf.DUMMYFUNCTION("""COMPUTED_VALUE"""),122.59)</f>
        <v>122.59</v>
      </c>
      <c r="F9009" s="122">
        <f>IFERROR(__xludf.DUMMYFUNCTION("""COMPUTED_VALUE"""),-0.0053)</f>
        <v>-0.0053</v>
      </c>
    </row>
    <row r="9010">
      <c r="A9010" s="131">
        <f>IFERROR(__xludf.DUMMYFUNCTION("""COMPUTED_VALUE"""),46187.66122685185)</f>
        <v>46187.66123</v>
      </c>
      <c r="B9010" s="126">
        <f>IFERROR(__xludf.DUMMYFUNCTION("""COMPUTED_VALUE"""),46187.0)</f>
        <v>46187</v>
      </c>
      <c r="C9010" s="122" t="str">
        <f>IFERROR(__xludf.DUMMYFUNCTION("""COMPUTED_VALUE"""),"WIND")</f>
        <v>WIND</v>
      </c>
      <c r="D9010" s="122" t="str">
        <f>IFERROR(__xludf.DUMMYFUNCTION("""COMPUTED_VALUE"""),"WindWorks")</f>
        <v>WindWorks</v>
      </c>
      <c r="E9010" s="122">
        <f>IFERROR(__xludf.DUMMYFUNCTION("""COMPUTED_VALUE"""),85.2)</f>
        <v>85.2</v>
      </c>
      <c r="F9010" s="122">
        <f>IFERROR(__xludf.DUMMYFUNCTION("""COMPUTED_VALUE"""),0.0026)</f>
        <v>0.0026</v>
      </c>
    </row>
    <row r="9011">
      <c r="A9011" s="131">
        <f>IFERROR(__xludf.DUMMYFUNCTION("""COMPUTED_VALUE"""),46187.66122685185)</f>
        <v>46187.66123</v>
      </c>
      <c r="B9011" s="126">
        <f>IFERROR(__xludf.DUMMYFUNCTION("""COMPUTED_VALUE"""),46187.0)</f>
        <v>46187</v>
      </c>
      <c r="C9011" s="122" t="str">
        <f>IFERROR(__xludf.DUMMYFUNCTION("""COMPUTED_VALUE"""),"GRID")</f>
        <v>GRID</v>
      </c>
      <c r="D9011" s="122" t="str">
        <f>IFERROR(__xludf.DUMMYFUNCTION("""COMPUTED_VALUE"""),"GridPower")</f>
        <v>GridPower</v>
      </c>
      <c r="E9011" s="122">
        <f>IFERROR(__xludf.DUMMYFUNCTION("""COMPUTED_VALUE"""),124.68)</f>
        <v>124.68</v>
      </c>
      <c r="F9011" s="122">
        <f>IFERROR(__xludf.DUMMYFUNCTION("""COMPUTED_VALUE"""),-0.006)</f>
        <v>-0.006</v>
      </c>
    </row>
    <row r="9012">
      <c r="A9012" s="131">
        <f>IFERROR(__xludf.DUMMYFUNCTION("""COMPUTED_VALUE"""),46187.66122685185)</f>
        <v>46187.66123</v>
      </c>
      <c r="B9012" s="126">
        <f>IFERROR(__xludf.DUMMYFUNCTION("""COMPUTED_VALUE"""),46187.0)</f>
        <v>46187</v>
      </c>
      <c r="C9012" s="122" t="str">
        <f>IFERROR(__xludf.DUMMYFUNCTION("""COMPUTED_VALUE"""),"HOME")</f>
        <v>HOME</v>
      </c>
      <c r="D9012" s="122" t="str">
        <f>IFERROR(__xludf.DUMMYFUNCTION("""COMPUTED_VALUE"""),"HomeHub")</f>
        <v>HomeHub</v>
      </c>
      <c r="E9012" s="122">
        <f>IFERROR(__xludf.DUMMYFUNCTION("""COMPUTED_VALUE"""),162.83)</f>
        <v>162.83</v>
      </c>
      <c r="F9012" s="122">
        <f>IFERROR(__xludf.DUMMYFUNCTION("""COMPUTED_VALUE"""),-2.0E-4)</f>
        <v>-0.0002</v>
      </c>
    </row>
    <row r="9013">
      <c r="A9013" s="131">
        <f>IFERROR(__xludf.DUMMYFUNCTION("""COMPUTED_VALUE"""),46187.66122685185)</f>
        <v>46187.66123</v>
      </c>
      <c r="B9013" s="126">
        <f>IFERROR(__xludf.DUMMYFUNCTION("""COMPUTED_VALUE"""),46187.0)</f>
        <v>46187</v>
      </c>
      <c r="C9013" s="122" t="str">
        <f>IFERROR(__xludf.DUMMYFUNCTION("""COMPUTED_VALUE"""),"RENT")</f>
        <v>RENT</v>
      </c>
      <c r="D9013" s="122" t="str">
        <f>IFERROR(__xludf.DUMMYFUNCTION("""COMPUTED_VALUE"""),"RentRight")</f>
        <v>RentRight</v>
      </c>
      <c r="E9013" s="122">
        <f>IFERROR(__xludf.DUMMYFUNCTION("""COMPUTED_VALUE"""),89.88)</f>
        <v>89.88</v>
      </c>
      <c r="F9013" s="122">
        <f>IFERROR(__xludf.DUMMYFUNCTION("""COMPUTED_VALUE"""),-1.0E-4)</f>
        <v>-0.0001</v>
      </c>
    </row>
    <row r="9014">
      <c r="A9014" s="131">
        <f>IFERROR(__xludf.DUMMYFUNCTION("""COMPUTED_VALUE"""),46187.66122685185)</f>
        <v>46187.66123</v>
      </c>
      <c r="B9014" s="126">
        <f>IFERROR(__xludf.DUMMYFUNCTION("""COMPUTED_VALUE"""),46187.0)</f>
        <v>46187</v>
      </c>
      <c r="C9014" s="122" t="str">
        <f>IFERROR(__xludf.DUMMYFUNCTION("""COMPUTED_VALUE"""),"MALL")</f>
        <v>MALL</v>
      </c>
      <c r="D9014" s="122" t="str">
        <f>IFERROR(__xludf.DUMMYFUNCTION("""COMPUTED_VALUE"""),"MegaMall")</f>
        <v>MegaMall</v>
      </c>
      <c r="E9014" s="122">
        <f>IFERROR(__xludf.DUMMYFUNCTION("""COMPUTED_VALUE"""),102.64)</f>
        <v>102.64</v>
      </c>
      <c r="F9014" s="122">
        <f>IFERROR(__xludf.DUMMYFUNCTION("""COMPUTED_VALUE"""),0.0013)</f>
        <v>0.0013</v>
      </c>
    </row>
    <row r="9015">
      <c r="A9015" s="131">
        <f>IFERROR(__xludf.DUMMYFUNCTION("""COMPUTED_VALUE"""),46187.66122685185)</f>
        <v>46187.66123</v>
      </c>
      <c r="B9015" s="126">
        <f>IFERROR(__xludf.DUMMYFUNCTION("""COMPUTED_VALUE"""),46187.0)</f>
        <v>46187</v>
      </c>
      <c r="C9015" s="122" t="str">
        <f>IFERROR(__xludf.DUMMYFUNCTION("""COMPUTED_VALUE"""),"HOTL")</f>
        <v>HOTL</v>
      </c>
      <c r="D9015" s="122" t="str">
        <f>IFERROR(__xludf.DUMMYFUNCTION("""COMPUTED_VALUE"""),"HotelHive")</f>
        <v>HotelHive</v>
      </c>
      <c r="E9015" s="122">
        <f>IFERROR(__xludf.DUMMYFUNCTION("""COMPUTED_VALUE"""),119.8)</f>
        <v>119.8</v>
      </c>
      <c r="F9015" s="122">
        <f>IFERROR(__xludf.DUMMYFUNCTION("""COMPUTED_VALUE"""),0.0076)</f>
        <v>0.0076</v>
      </c>
    </row>
    <row r="9016">
      <c r="A9016" s="131">
        <f>IFERROR(__xludf.DUMMYFUNCTION("""COMPUTED_VALUE"""),46187.66122685185)</f>
        <v>46187.66123</v>
      </c>
      <c r="B9016" s="126">
        <f>IFERROR(__xludf.DUMMYFUNCTION("""COMPUTED_VALUE"""),46187.0)</f>
        <v>46187</v>
      </c>
      <c r="C9016" s="122" t="str">
        <f>IFERROR(__xludf.DUMMYFUNCTION("""COMPUTED_VALUE"""),"LAND")</f>
        <v>LAND</v>
      </c>
      <c r="D9016" s="122" t="str">
        <f>IFERROR(__xludf.DUMMYFUNCTION("""COMPUTED_VALUE"""),"LandLink")</f>
        <v>LandLink</v>
      </c>
      <c r="E9016" s="122">
        <f>IFERROR(__xludf.DUMMYFUNCTION("""COMPUTED_VALUE"""),187.85)</f>
        <v>187.85</v>
      </c>
      <c r="F9016" s="122">
        <f>IFERROR(__xludf.DUMMYFUNCTION("""COMPUTED_VALUE"""),2.0E-4)</f>
        <v>0.0002</v>
      </c>
    </row>
    <row r="9017">
      <c r="A9017" s="131">
        <f>IFERROR(__xludf.DUMMYFUNCTION("""COMPUTED_VALUE"""),46187.66122685185)</f>
        <v>46187.66123</v>
      </c>
      <c r="B9017" s="126">
        <f>IFERROR(__xludf.DUMMYFUNCTION("""COMPUTED_VALUE"""),46187.0)</f>
        <v>46187</v>
      </c>
      <c r="C9017" s="122" t="str">
        <f>IFERROR(__xludf.DUMMYFUNCTION("""COMPUTED_VALUE"""),"CARS")</f>
        <v>CARS</v>
      </c>
      <c r="D9017" s="122" t="str">
        <f>IFERROR(__xludf.DUMMYFUNCTION("""COMPUTED_VALUE"""),"AutoArena")</f>
        <v>AutoArena</v>
      </c>
      <c r="E9017" s="122">
        <f>IFERROR(__xludf.DUMMYFUNCTION("""COMPUTED_VALUE"""),81.62)</f>
        <v>81.62</v>
      </c>
      <c r="F9017" s="122">
        <f>IFERROR(__xludf.DUMMYFUNCTION("""COMPUTED_VALUE"""),0.0043)</f>
        <v>0.0043</v>
      </c>
    </row>
    <row r="9018">
      <c r="A9018" s="131">
        <f>IFERROR(__xludf.DUMMYFUNCTION("""COMPUTED_VALUE"""),46187.66122685185)</f>
        <v>46187.66123</v>
      </c>
      <c r="B9018" s="126">
        <f>IFERROR(__xludf.DUMMYFUNCTION("""COMPUTED_VALUE"""),46187.0)</f>
        <v>46187</v>
      </c>
      <c r="C9018" s="122" t="str">
        <f>IFERROR(__xludf.DUMMYFUNCTION("""COMPUTED_VALUE"""),"EVGO")</f>
        <v>EVGO</v>
      </c>
      <c r="D9018" s="122" t="str">
        <f>IFERROR(__xludf.DUMMYFUNCTION("""COMPUTED_VALUE"""),"EVGo Motors")</f>
        <v>EVGo Motors</v>
      </c>
      <c r="E9018" s="122">
        <f>IFERROR(__xludf.DUMMYFUNCTION("""COMPUTED_VALUE"""),193.33)</f>
        <v>193.33</v>
      </c>
      <c r="F9018" s="122">
        <f>IFERROR(__xludf.DUMMYFUNCTION("""COMPUTED_VALUE"""),0.0021)</f>
        <v>0.0021</v>
      </c>
    </row>
    <row r="9019">
      <c r="A9019" s="131">
        <f>IFERROR(__xludf.DUMMYFUNCTION("""COMPUTED_VALUE"""),46187.66122685185)</f>
        <v>46187.66123</v>
      </c>
      <c r="B9019" s="126">
        <f>IFERROR(__xludf.DUMMYFUNCTION("""COMPUTED_VALUE"""),46187.0)</f>
        <v>46187</v>
      </c>
      <c r="C9019" s="122" t="str">
        <f>IFERROR(__xludf.DUMMYFUNCTION("""COMPUTED_VALUE"""),"TIRE")</f>
        <v>TIRE</v>
      </c>
      <c r="D9019" s="122" t="str">
        <f>IFERROR(__xludf.DUMMYFUNCTION("""COMPUTED_VALUE"""),"TireTown")</f>
        <v>TireTown</v>
      </c>
      <c r="E9019" s="122">
        <f>IFERROR(__xludf.DUMMYFUNCTION("""COMPUTED_VALUE"""),98.47)</f>
        <v>98.47</v>
      </c>
      <c r="F9019" s="122">
        <f>IFERROR(__xludf.DUMMYFUNCTION("""COMPUTED_VALUE"""),0.0044)</f>
        <v>0.0044</v>
      </c>
    </row>
    <row r="9020">
      <c r="A9020" s="131">
        <f>IFERROR(__xludf.DUMMYFUNCTION("""COMPUTED_VALUE"""),46187.66122685185)</f>
        <v>46187.66123</v>
      </c>
      <c r="B9020" s="126">
        <f>IFERROR(__xludf.DUMMYFUNCTION("""COMPUTED_VALUE"""),46187.0)</f>
        <v>46187</v>
      </c>
      <c r="C9020" s="122" t="str">
        <f>IFERROR(__xludf.DUMMYFUNCTION("""COMPUTED_VALUE"""),"BIKE")</f>
        <v>BIKE</v>
      </c>
      <c r="D9020" s="122" t="str">
        <f>IFERROR(__xludf.DUMMYFUNCTION("""COMPUTED_VALUE"""),"BikeBox")</f>
        <v>BikeBox</v>
      </c>
      <c r="E9020" s="122">
        <f>IFERROR(__xludf.DUMMYFUNCTION("""COMPUTED_VALUE"""),51.7)</f>
        <v>51.7</v>
      </c>
      <c r="F9020" s="122">
        <f>IFERROR(__xludf.DUMMYFUNCTION("""COMPUTED_VALUE"""),-0.004)</f>
        <v>-0.004</v>
      </c>
    </row>
    <row r="9021">
      <c r="A9021" s="131">
        <f>IFERROR(__xludf.DUMMYFUNCTION("""COMPUTED_VALUE"""),46187.66122685185)</f>
        <v>46187.66123</v>
      </c>
      <c r="B9021" s="126">
        <f>IFERROR(__xludf.DUMMYFUNCTION("""COMPUTED_VALUE"""),46187.0)</f>
        <v>46187</v>
      </c>
      <c r="C9021" s="122" t="str">
        <f>IFERROR(__xludf.DUMMYFUNCTION("""COMPUTED_VALUE"""),"WASH")</f>
        <v>WASH</v>
      </c>
      <c r="D9021" s="122" t="str">
        <f>IFERROR(__xludf.DUMMYFUNCTION("""COMPUTED_VALUE"""),"CarWash Co")</f>
        <v>CarWash Co</v>
      </c>
      <c r="E9021" s="122">
        <f>IFERROR(__xludf.DUMMYFUNCTION("""COMPUTED_VALUE"""),123.57)</f>
        <v>123.57</v>
      </c>
      <c r="F9021" s="122">
        <f>IFERROR(__xludf.DUMMYFUNCTION("""COMPUTED_VALUE"""),0.0049)</f>
        <v>0.0049</v>
      </c>
    </row>
    <row r="9022">
      <c r="A9022" s="131">
        <f>IFERROR(__xludf.DUMMYFUNCTION("""COMPUTED_VALUE"""),46187.66122685185)</f>
        <v>46187.66123</v>
      </c>
      <c r="B9022" s="126">
        <f>IFERROR(__xludf.DUMMYFUNCTION("""COMPUTED_VALUE"""),46187.0)</f>
        <v>46187</v>
      </c>
      <c r="C9022" s="122" t="str">
        <f>IFERROR(__xludf.DUMMYFUNCTION("""COMPUTED_VALUE"""),"GBND")</f>
        <v>GBND</v>
      </c>
      <c r="D9022" s="122" t="str">
        <f>IFERROR(__xludf.DUMMYFUNCTION("""COMPUTED_VALUE"""),"Classroom Government Bond")</f>
        <v>Classroom Government Bond</v>
      </c>
      <c r="E9022" s="122">
        <f>IFERROR(__xludf.DUMMYFUNCTION("""COMPUTED_VALUE"""),101.14)</f>
        <v>101.14</v>
      </c>
      <c r="F9022" s="122">
        <f>IFERROR(__xludf.DUMMYFUNCTION("""COMPUTED_VALUE"""),2.0E-4)</f>
        <v>0.0002</v>
      </c>
    </row>
    <row r="9023">
      <c r="A9023" s="131">
        <f>IFERROR(__xludf.DUMMYFUNCTION("""COMPUTED_VALUE"""),46187.66122685185)</f>
        <v>46187.66123</v>
      </c>
      <c r="B9023" s="126">
        <f>IFERROR(__xludf.DUMMYFUNCTION("""COMPUTED_VALUE"""),46187.0)</f>
        <v>46187</v>
      </c>
      <c r="C9023" s="122" t="str">
        <f>IFERROR(__xludf.DUMMYFUNCTION("""COMPUTED_VALUE"""),"SBND")</f>
        <v>SBND</v>
      </c>
      <c r="D9023" s="122" t="str">
        <f>IFERROR(__xludf.DUMMYFUNCTION("""COMPUTED_VALUE"""),"School Savings Bond")</f>
        <v>School Savings Bond</v>
      </c>
      <c r="E9023" s="122">
        <f>IFERROR(__xludf.DUMMYFUNCTION("""COMPUTED_VALUE"""),99.2)</f>
        <v>99.2</v>
      </c>
      <c r="F9023" s="122">
        <f>IFERROR(__xludf.DUMMYFUNCTION("""COMPUTED_VALUE"""),-1.0E-4)</f>
        <v>-0.0001</v>
      </c>
    </row>
    <row r="9024">
      <c r="A9024" s="131">
        <f>IFERROR(__xludf.DUMMYFUNCTION("""COMPUTED_VALUE"""),46187.66122685185)</f>
        <v>46187.66123</v>
      </c>
      <c r="B9024" s="126">
        <f>IFERROR(__xludf.DUMMYFUNCTION("""COMPUTED_VALUE"""),46187.0)</f>
        <v>46187</v>
      </c>
      <c r="C9024" s="122" t="str">
        <f>IFERROR(__xludf.DUMMYFUNCTION("""COMPUTED_VALUE"""),"CBND")</f>
        <v>CBND</v>
      </c>
      <c r="D9024" s="122" t="str">
        <f>IFERROR(__xludf.DUMMYFUNCTION("""COMPUTED_VALUE"""),"Corporate Classroom Bond")</f>
        <v>Corporate Classroom Bond</v>
      </c>
      <c r="E9024" s="122">
        <f>IFERROR(__xludf.DUMMYFUNCTION("""COMPUTED_VALUE"""),97.89)</f>
        <v>97.89</v>
      </c>
      <c r="F9024" s="122">
        <f>IFERROR(__xludf.DUMMYFUNCTION("""COMPUTED_VALUE"""),4.0E-4)</f>
        <v>0.0004</v>
      </c>
    </row>
    <row r="9025">
      <c r="A9025" s="131">
        <f>IFERROR(__xludf.DUMMYFUNCTION("""COMPUTED_VALUE"""),46187.66122685185)</f>
        <v>46187.66123</v>
      </c>
      <c r="B9025" s="126">
        <f>IFERROR(__xludf.DUMMYFUNCTION("""COMPUTED_VALUE"""),46187.0)</f>
        <v>46187</v>
      </c>
      <c r="C9025" s="122" t="str">
        <f>IFERROR(__xludf.DUMMYFUNCTION("""COMPUTED_VALUE"""),"TBIL")</f>
        <v>TBIL</v>
      </c>
      <c r="D9025" s="122" t="str">
        <f>IFERROR(__xludf.DUMMYFUNCTION("""COMPUTED_VALUE"""),"Treasury Bill")</f>
        <v>Treasury Bill</v>
      </c>
      <c r="E9025" s="122">
        <f>IFERROR(__xludf.DUMMYFUNCTION("""COMPUTED_VALUE"""),97.77)</f>
        <v>97.77</v>
      </c>
      <c r="F9025" s="122">
        <f>IFERROR(__xludf.DUMMYFUNCTION("""COMPUTED_VALUE"""),-4.0E-4)</f>
        <v>-0.0004</v>
      </c>
    </row>
    <row r="9026">
      <c r="A9026" s="131">
        <f>IFERROR(__xludf.DUMMYFUNCTION("""COMPUTED_VALUE"""),46187.66122685185)</f>
        <v>46187.66123</v>
      </c>
      <c r="B9026" s="126">
        <f>IFERROR(__xludf.DUMMYFUNCTION("""COMPUTED_VALUE"""),46187.0)</f>
        <v>46187</v>
      </c>
      <c r="C9026" s="122" t="str">
        <f>IFERROR(__xludf.DUMMYFUNCTION("""COMPUTED_VALUE"""),"IBND")</f>
        <v>IBND</v>
      </c>
      <c r="D9026" s="122" t="str">
        <f>IFERROR(__xludf.DUMMYFUNCTION("""COMPUTED_VALUE"""),"Inflation Protected Bond")</f>
        <v>Inflation Protected Bond</v>
      </c>
      <c r="E9026" s="122">
        <f>IFERROR(__xludf.DUMMYFUNCTION("""COMPUTED_VALUE"""),100.81)</f>
        <v>100.81</v>
      </c>
      <c r="F9026" s="122">
        <f>IFERROR(__xludf.DUMMYFUNCTION("""COMPUTED_VALUE"""),-4.0E-4)</f>
        <v>-0.0004</v>
      </c>
    </row>
    <row r="9027">
      <c r="A9027" s="131">
        <f>IFERROR(__xludf.DUMMYFUNCTION("""COMPUTED_VALUE"""),46187.664664351854)</f>
        <v>46187.66466</v>
      </c>
      <c r="B9027" s="126">
        <f>IFERROR(__xludf.DUMMYFUNCTION("""COMPUTED_VALUE"""),46187.0)</f>
        <v>46187</v>
      </c>
      <c r="C9027" s="122" t="str">
        <f>IFERROR(__xludf.DUMMYFUNCTION("""COMPUTED_VALUE"""),"SNAX")</f>
        <v>SNAX</v>
      </c>
      <c r="D9027" s="122" t="str">
        <f>IFERROR(__xludf.DUMMYFUNCTION("""COMPUTED_VALUE"""),"MICA Snacks")</f>
        <v>MICA Snacks</v>
      </c>
      <c r="E9027" s="122">
        <f>IFERROR(__xludf.DUMMYFUNCTION("""COMPUTED_VALUE"""),121.23)</f>
        <v>121.23</v>
      </c>
      <c r="F9027" s="122">
        <f>IFERROR(__xludf.DUMMYFUNCTION("""COMPUTED_VALUE"""),0.0065)</f>
        <v>0.0065</v>
      </c>
    </row>
    <row r="9028">
      <c r="A9028" s="131">
        <f>IFERROR(__xludf.DUMMYFUNCTION("""COMPUTED_VALUE"""),46187.664664351854)</f>
        <v>46187.66466</v>
      </c>
      <c r="B9028" s="126">
        <f>IFERROR(__xludf.DUMMYFUNCTION("""COMPUTED_VALUE"""),46187.0)</f>
        <v>46187</v>
      </c>
      <c r="C9028" s="122" t="str">
        <f>IFERROR(__xludf.DUMMYFUNCTION("""COMPUTED_VALUE"""),"RAMN")</f>
        <v>RAMN</v>
      </c>
      <c r="D9028" s="122" t="str">
        <f>IFERROR(__xludf.DUMMYFUNCTION("""COMPUTED_VALUE"""),"Ramen Republic")</f>
        <v>Ramen Republic</v>
      </c>
      <c r="E9028" s="122">
        <f>IFERROR(__xludf.DUMMYFUNCTION("""COMPUTED_VALUE"""),61.03)</f>
        <v>61.03</v>
      </c>
      <c r="F9028" s="122">
        <f>IFERROR(__xludf.DUMMYFUNCTION("""COMPUTED_VALUE"""),-3.0E-4)</f>
        <v>-0.0003</v>
      </c>
    </row>
    <row r="9029">
      <c r="A9029" s="131">
        <f>IFERROR(__xludf.DUMMYFUNCTION("""COMPUTED_VALUE"""),46187.664664351854)</f>
        <v>46187.66466</v>
      </c>
      <c r="B9029" s="126">
        <f>IFERROR(__xludf.DUMMYFUNCTION("""COMPUTED_VALUE"""),46187.0)</f>
        <v>46187</v>
      </c>
      <c r="C9029" s="122" t="str">
        <f>IFERROR(__xludf.DUMMYFUNCTION("""COMPUTED_VALUE"""),"COLA")</f>
        <v>COLA</v>
      </c>
      <c r="D9029" s="122" t="str">
        <f>IFERROR(__xludf.DUMMYFUNCTION("""COMPUTED_VALUE"""),"K-Pop Cola")</f>
        <v>K-Pop Cola</v>
      </c>
      <c r="E9029" s="122">
        <f>IFERROR(__xludf.DUMMYFUNCTION("""COMPUTED_VALUE"""),115.5)</f>
        <v>115.5</v>
      </c>
      <c r="F9029" s="122">
        <f>IFERROR(__xludf.DUMMYFUNCTION("""COMPUTED_VALUE"""),-0.0013)</f>
        <v>-0.0013</v>
      </c>
    </row>
    <row r="9030">
      <c r="A9030" s="131">
        <f>IFERROR(__xludf.DUMMYFUNCTION("""COMPUTED_VALUE"""),46187.664664351854)</f>
        <v>46187.66466</v>
      </c>
      <c r="B9030" s="126">
        <f>IFERROR(__xludf.DUMMYFUNCTION("""COMPUTED_VALUE"""),46187.0)</f>
        <v>46187</v>
      </c>
      <c r="C9030" s="122" t="str">
        <f>IFERROR(__xludf.DUMMYFUNCTION("""COMPUTED_VALUE"""),"CHIP")</f>
        <v>CHIP</v>
      </c>
      <c r="D9030" s="122" t="str">
        <f>IFERROR(__xludf.DUMMYFUNCTION("""COMPUTED_VALUE"""),"Chip Empire")</f>
        <v>Chip Empire</v>
      </c>
      <c r="E9030" s="122">
        <f>IFERROR(__xludf.DUMMYFUNCTION("""COMPUTED_VALUE"""),80.31)</f>
        <v>80.31</v>
      </c>
      <c r="F9030" s="122">
        <f>IFERROR(__xludf.DUMMYFUNCTION("""COMPUTED_VALUE"""),-0.0082)</f>
        <v>-0.0082</v>
      </c>
    </row>
    <row r="9031">
      <c r="A9031" s="131">
        <f>IFERROR(__xludf.DUMMYFUNCTION("""COMPUTED_VALUE"""),46187.664664351854)</f>
        <v>46187.66466</v>
      </c>
      <c r="B9031" s="126">
        <f>IFERROR(__xludf.DUMMYFUNCTION("""COMPUTED_VALUE"""),46187.0)</f>
        <v>46187</v>
      </c>
      <c r="C9031" s="122" t="str">
        <f>IFERROR(__xludf.DUMMYFUNCTION("""COMPUTED_VALUE"""),"CAND")</f>
        <v>CAND</v>
      </c>
      <c r="D9031" s="122" t="str">
        <f>IFERROR(__xludf.DUMMYFUNCTION("""COMPUTED_VALUE"""),"Candy Capital")</f>
        <v>Candy Capital</v>
      </c>
      <c r="E9031" s="122">
        <f>IFERROR(__xludf.DUMMYFUNCTION("""COMPUTED_VALUE"""),77.69)</f>
        <v>77.69</v>
      </c>
      <c r="F9031" s="122">
        <f>IFERROR(__xludf.DUMMYFUNCTION("""COMPUTED_VALUE"""),-5.0E-4)</f>
        <v>-0.0005</v>
      </c>
    </row>
    <row r="9032">
      <c r="A9032" s="131">
        <f>IFERROR(__xludf.DUMMYFUNCTION("""COMPUTED_VALUE"""),46187.664664351854)</f>
        <v>46187.66466</v>
      </c>
      <c r="B9032" s="126">
        <f>IFERROR(__xludf.DUMMYFUNCTION("""COMPUTED_VALUE"""),46187.0)</f>
        <v>46187</v>
      </c>
      <c r="C9032" s="122" t="str">
        <f>IFERROR(__xludf.DUMMYFUNCTION("""COMPUTED_VALUE"""),"TECH")</f>
        <v>TECH</v>
      </c>
      <c r="D9032" s="122" t="str">
        <f>IFERROR(__xludf.DUMMYFUNCTION("""COMPUTED_VALUE"""),"Dragon Tech")</f>
        <v>Dragon Tech</v>
      </c>
      <c r="E9032" s="122">
        <f>IFERROR(__xludf.DUMMYFUNCTION("""COMPUTED_VALUE"""),257.37)</f>
        <v>257.37</v>
      </c>
      <c r="F9032" s="122">
        <f>IFERROR(__xludf.DUMMYFUNCTION("""COMPUTED_VALUE"""),0.0025)</f>
        <v>0.0025</v>
      </c>
    </row>
    <row r="9033">
      <c r="A9033" s="131">
        <f>IFERROR(__xludf.DUMMYFUNCTION("""COMPUTED_VALUE"""),46187.664664351854)</f>
        <v>46187.66466</v>
      </c>
      <c r="B9033" s="126">
        <f>IFERROR(__xludf.DUMMYFUNCTION("""COMPUTED_VALUE"""),46187.0)</f>
        <v>46187</v>
      </c>
      <c r="C9033" s="122" t="str">
        <f>IFERROR(__xludf.DUMMYFUNCTION("""COMPUTED_VALUE"""),"AIBO")</f>
        <v>AIBO</v>
      </c>
      <c r="D9033" s="122" t="str">
        <f>IFERROR(__xludf.DUMMYFUNCTION("""COMPUTED_VALUE"""),"Homework AI")</f>
        <v>Homework AI</v>
      </c>
      <c r="E9033" s="122">
        <f>IFERROR(__xludf.DUMMYFUNCTION("""COMPUTED_VALUE"""),193.36)</f>
        <v>193.36</v>
      </c>
      <c r="F9033" s="122">
        <f>IFERROR(__xludf.DUMMYFUNCTION("""COMPUTED_VALUE"""),0.008)</f>
        <v>0.008</v>
      </c>
    </row>
    <row r="9034">
      <c r="A9034" s="131">
        <f>IFERROR(__xludf.DUMMYFUNCTION("""COMPUTED_VALUE"""),46187.664664351854)</f>
        <v>46187.66466</v>
      </c>
      <c r="B9034" s="126">
        <f>IFERROR(__xludf.DUMMYFUNCTION("""COMPUTED_VALUE"""),46187.0)</f>
        <v>46187</v>
      </c>
      <c r="C9034" s="122" t="str">
        <f>IFERROR(__xludf.DUMMYFUNCTION("""COMPUTED_VALUE"""),"GAME")</f>
        <v>GAME</v>
      </c>
      <c r="D9034" s="122" t="str">
        <f>IFERROR(__xludf.DUMMYFUNCTION("""COMPUTED_VALUE"""),"GameBox Media")</f>
        <v>GameBox Media</v>
      </c>
      <c r="E9034" s="122">
        <f>IFERROR(__xludf.DUMMYFUNCTION("""COMPUTED_VALUE"""),104.22)</f>
        <v>104.22</v>
      </c>
      <c r="F9034" s="122">
        <f>IFERROR(__xludf.DUMMYFUNCTION("""COMPUTED_VALUE"""),-0.002)</f>
        <v>-0.002</v>
      </c>
    </row>
    <row r="9035">
      <c r="A9035" s="131">
        <f>IFERROR(__xludf.DUMMYFUNCTION("""COMPUTED_VALUE"""),46187.664664351854)</f>
        <v>46187.66466</v>
      </c>
      <c r="B9035" s="126">
        <f>IFERROR(__xludf.DUMMYFUNCTION("""COMPUTED_VALUE"""),46187.0)</f>
        <v>46187</v>
      </c>
      <c r="C9035" s="122" t="str">
        <f>IFERROR(__xludf.DUMMYFUNCTION("""COMPUTED_VALUE"""),"VRSE")</f>
        <v>VRSE</v>
      </c>
      <c r="D9035" s="122" t="str">
        <f>IFERROR(__xludf.DUMMYFUNCTION("""COMPUTED_VALUE"""),"VerseVR")</f>
        <v>VerseVR</v>
      </c>
      <c r="E9035" s="122">
        <f>IFERROR(__xludf.DUMMYFUNCTION("""COMPUTED_VALUE"""),146.51)</f>
        <v>146.51</v>
      </c>
      <c r="F9035" s="122">
        <f>IFERROR(__xludf.DUMMYFUNCTION("""COMPUTED_VALUE"""),-3.0E-4)</f>
        <v>-0.0003</v>
      </c>
    </row>
    <row r="9036">
      <c r="A9036" s="131">
        <f>IFERROR(__xludf.DUMMYFUNCTION("""COMPUTED_VALUE"""),46187.664664351854)</f>
        <v>46187.66466</v>
      </c>
      <c r="B9036" s="126">
        <f>IFERROR(__xludf.DUMMYFUNCTION("""COMPUTED_VALUE"""),46187.0)</f>
        <v>46187</v>
      </c>
      <c r="C9036" s="122" t="str">
        <f>IFERROR(__xludf.DUMMYFUNCTION("""COMPUTED_VALUE"""),"BYTE")</f>
        <v>BYTE</v>
      </c>
      <c r="D9036" s="122" t="str">
        <f>IFERROR(__xludf.DUMMYFUNCTION("""COMPUTED_VALUE"""),"ByteWorks")</f>
        <v>ByteWorks</v>
      </c>
      <c r="E9036" s="122">
        <f>IFERROR(__xludf.DUMMYFUNCTION("""COMPUTED_VALUE"""),110.76)</f>
        <v>110.76</v>
      </c>
      <c r="F9036" s="122">
        <f>IFERROR(__xludf.DUMMYFUNCTION("""COMPUTED_VALUE"""),-0.0057)</f>
        <v>-0.0057</v>
      </c>
    </row>
    <row r="9037">
      <c r="A9037" s="131">
        <f>IFERROR(__xludf.DUMMYFUNCTION("""COMPUTED_VALUE"""),46187.664664351854)</f>
        <v>46187.66466</v>
      </c>
      <c r="B9037" s="126">
        <f>IFERROR(__xludf.DUMMYFUNCTION("""COMPUTED_VALUE"""),46187.0)</f>
        <v>46187</v>
      </c>
      <c r="C9037" s="122" t="str">
        <f>IFERROR(__xludf.DUMMYFUNCTION("""COMPUTED_VALUE"""),"BANK")</f>
        <v>BANK</v>
      </c>
      <c r="D9037" s="122" t="str">
        <f>IFERROR(__xludf.DUMMYFUNCTION("""COMPUTED_VALUE"""),"Tiger Bank")</f>
        <v>Tiger Bank</v>
      </c>
      <c r="E9037" s="122">
        <f>IFERROR(__xludf.DUMMYFUNCTION("""COMPUTED_VALUE"""),133.47)</f>
        <v>133.47</v>
      </c>
      <c r="F9037" s="122">
        <f>IFERROR(__xludf.DUMMYFUNCTION("""COMPUTED_VALUE"""),0.0027)</f>
        <v>0.0027</v>
      </c>
    </row>
    <row r="9038">
      <c r="A9038" s="131">
        <f>IFERROR(__xludf.DUMMYFUNCTION("""COMPUTED_VALUE"""),46187.664664351854)</f>
        <v>46187.66466</v>
      </c>
      <c r="B9038" s="126">
        <f>IFERROR(__xludf.DUMMYFUNCTION("""COMPUTED_VALUE"""),46187.0)</f>
        <v>46187</v>
      </c>
      <c r="C9038" s="122" t="str">
        <f>IFERROR(__xludf.DUMMYFUNCTION("""COMPUTED_VALUE"""),"CRED")</f>
        <v>CRED</v>
      </c>
      <c r="D9038" s="122" t="str">
        <f>IFERROR(__xludf.DUMMYFUNCTION("""COMPUTED_VALUE"""),"Credit Castle")</f>
        <v>Credit Castle</v>
      </c>
      <c r="E9038" s="122">
        <f>IFERROR(__xludf.DUMMYFUNCTION("""COMPUTED_VALUE"""),66.01)</f>
        <v>66.01</v>
      </c>
      <c r="F9038" s="122">
        <f>IFERROR(__xludf.DUMMYFUNCTION("""COMPUTED_VALUE"""),-0.0056)</f>
        <v>-0.0056</v>
      </c>
    </row>
    <row r="9039">
      <c r="A9039" s="131">
        <f>IFERROR(__xludf.DUMMYFUNCTION("""COMPUTED_VALUE"""),46187.664664351854)</f>
        <v>46187.66466</v>
      </c>
      <c r="B9039" s="126">
        <f>IFERROR(__xludf.DUMMYFUNCTION("""COMPUTED_VALUE"""),46187.0)</f>
        <v>46187</v>
      </c>
      <c r="C9039" s="122" t="str">
        <f>IFERROR(__xludf.DUMMYFUNCTION("""COMPUTED_VALUE"""),"BOND")</f>
        <v>BOND</v>
      </c>
      <c r="D9039" s="122" t="str">
        <f>IFERROR(__xludf.DUMMYFUNCTION("""COMPUTED_VALUE"""),"BondBridge")</f>
        <v>BondBridge</v>
      </c>
      <c r="E9039" s="122">
        <f>IFERROR(__xludf.DUMMYFUNCTION("""COMPUTED_VALUE"""),106.66)</f>
        <v>106.66</v>
      </c>
      <c r="F9039" s="122">
        <f>IFERROR(__xludf.DUMMYFUNCTION("""COMPUTED_VALUE"""),0.0022)</f>
        <v>0.0022</v>
      </c>
    </row>
    <row r="9040">
      <c r="A9040" s="131">
        <f>IFERROR(__xludf.DUMMYFUNCTION("""COMPUTED_VALUE"""),46187.664664351854)</f>
        <v>46187.66466</v>
      </c>
      <c r="B9040" s="126">
        <f>IFERROR(__xludf.DUMMYFUNCTION("""COMPUTED_VALUE"""),46187.0)</f>
        <v>46187</v>
      </c>
      <c r="C9040" s="122" t="str">
        <f>IFERROR(__xludf.DUMMYFUNCTION("""COMPUTED_VALUE"""),"INSR")</f>
        <v>INSR</v>
      </c>
      <c r="D9040" s="122" t="str">
        <f>IFERROR(__xludf.DUMMYFUNCTION("""COMPUTED_VALUE"""),"Shield Insurance")</f>
        <v>Shield Insurance</v>
      </c>
      <c r="E9040" s="122">
        <f>IFERROR(__xludf.DUMMYFUNCTION("""COMPUTED_VALUE"""),157.09)</f>
        <v>157.09</v>
      </c>
      <c r="F9040" s="122">
        <f>IFERROR(__xludf.DUMMYFUNCTION("""COMPUTED_VALUE"""),-0.0017)</f>
        <v>-0.0017</v>
      </c>
    </row>
    <row r="9041">
      <c r="A9041" s="131">
        <f>IFERROR(__xludf.DUMMYFUNCTION("""COMPUTED_VALUE"""),46187.664664351854)</f>
        <v>46187.66466</v>
      </c>
      <c r="B9041" s="126">
        <f>IFERROR(__xludf.DUMMYFUNCTION("""COMPUTED_VALUE"""),46187.0)</f>
        <v>46187</v>
      </c>
      <c r="C9041" s="122" t="str">
        <f>IFERROR(__xludf.DUMMYFUNCTION("""COMPUTED_VALUE"""),"LOAN")</f>
        <v>LOAN</v>
      </c>
      <c r="D9041" s="122" t="str">
        <f>IFERROR(__xludf.DUMMYFUNCTION("""COMPUTED_VALUE"""),"LoanLab")</f>
        <v>LoanLab</v>
      </c>
      <c r="E9041" s="122">
        <f>IFERROR(__xludf.DUMMYFUNCTION("""COMPUTED_VALUE"""),74.11)</f>
        <v>74.11</v>
      </c>
      <c r="F9041" s="122">
        <f>IFERROR(__xludf.DUMMYFUNCTION("""COMPUTED_VALUE"""),0.0052)</f>
        <v>0.0052</v>
      </c>
    </row>
    <row r="9042">
      <c r="A9042" s="131">
        <f>IFERROR(__xludf.DUMMYFUNCTION("""COMPUTED_VALUE"""),46187.664664351854)</f>
        <v>46187.66466</v>
      </c>
      <c r="B9042" s="126">
        <f>IFERROR(__xludf.DUMMYFUNCTION("""COMPUTED_VALUE"""),46187.0)</f>
        <v>46187</v>
      </c>
      <c r="C9042" s="122" t="str">
        <f>IFERROR(__xludf.DUMMYFUNCTION("""COMPUTED_VALUE"""),"LUXE")</f>
        <v>LUXE</v>
      </c>
      <c r="D9042" s="122" t="str">
        <f>IFERROR(__xludf.DUMMYFUNCTION("""COMPUTED_VALUE"""),"Luxury Locker")</f>
        <v>Luxury Locker</v>
      </c>
      <c r="E9042" s="122">
        <f>IFERROR(__xludf.DUMMYFUNCTION("""COMPUTED_VALUE"""),269.09)</f>
        <v>269.09</v>
      </c>
      <c r="F9042" s="122">
        <f>IFERROR(__xludf.DUMMYFUNCTION("""COMPUTED_VALUE"""),0.0012)</f>
        <v>0.0012</v>
      </c>
    </row>
    <row r="9043">
      <c r="A9043" s="131">
        <f>IFERROR(__xludf.DUMMYFUNCTION("""COMPUTED_VALUE"""),46187.664664351854)</f>
        <v>46187.66466</v>
      </c>
      <c r="B9043" s="126">
        <f>IFERROR(__xludf.DUMMYFUNCTION("""COMPUTED_VALUE"""),46187.0)</f>
        <v>46187</v>
      </c>
      <c r="C9043" s="122" t="str">
        <f>IFERROR(__xludf.DUMMYFUNCTION("""COMPUTED_VALUE"""),"DRIP")</f>
        <v>DRIP</v>
      </c>
      <c r="D9043" s="122" t="str">
        <f>IFERROR(__xludf.DUMMYFUNCTION("""COMPUTED_VALUE"""),"Drip Streetwear")</f>
        <v>Drip Streetwear</v>
      </c>
      <c r="E9043" s="122">
        <f>IFERROR(__xludf.DUMMYFUNCTION("""COMPUTED_VALUE"""),191.04)</f>
        <v>191.04</v>
      </c>
      <c r="F9043" s="122">
        <f>IFERROR(__xludf.DUMMYFUNCTION("""COMPUTED_VALUE"""),0.0101)</f>
        <v>0.0101</v>
      </c>
    </row>
    <row r="9044">
      <c r="A9044" s="131">
        <f>IFERROR(__xludf.DUMMYFUNCTION("""COMPUTED_VALUE"""),46187.664664351854)</f>
        <v>46187.66466</v>
      </c>
      <c r="B9044" s="126">
        <f>IFERROR(__xludf.DUMMYFUNCTION("""COMPUTED_VALUE"""),46187.0)</f>
        <v>46187</v>
      </c>
      <c r="C9044" s="122" t="str">
        <f>IFERROR(__xludf.DUMMYFUNCTION("""COMPUTED_VALUE"""),"KICK")</f>
        <v>KICK</v>
      </c>
      <c r="D9044" s="122" t="str">
        <f>IFERROR(__xludf.DUMMYFUNCTION("""COMPUTED_VALUE"""),"KickDrop Sneakers")</f>
        <v>KickDrop Sneakers</v>
      </c>
      <c r="E9044" s="122">
        <f>IFERROR(__xludf.DUMMYFUNCTION("""COMPUTED_VALUE"""),169.94)</f>
        <v>169.94</v>
      </c>
      <c r="F9044" s="122">
        <f>IFERROR(__xludf.DUMMYFUNCTION("""COMPUTED_VALUE"""),0.0027)</f>
        <v>0.0027</v>
      </c>
    </row>
    <row r="9045">
      <c r="A9045" s="131">
        <f>IFERROR(__xludf.DUMMYFUNCTION("""COMPUTED_VALUE"""),46187.664664351854)</f>
        <v>46187.66466</v>
      </c>
      <c r="B9045" s="126">
        <f>IFERROR(__xludf.DUMMYFUNCTION("""COMPUTED_VALUE"""),46187.0)</f>
        <v>46187</v>
      </c>
      <c r="C9045" s="122" t="str">
        <f>IFERROR(__xludf.DUMMYFUNCTION("""COMPUTED_VALUE"""),"GLAM")</f>
        <v>GLAM</v>
      </c>
      <c r="D9045" s="122" t="str">
        <f>IFERROR(__xludf.DUMMYFUNCTION("""COMPUTED_VALUE"""),"Glow Cosmetics")</f>
        <v>Glow Cosmetics</v>
      </c>
      <c r="E9045" s="122">
        <f>IFERROR(__xludf.DUMMYFUNCTION("""COMPUTED_VALUE"""),111.72)</f>
        <v>111.72</v>
      </c>
      <c r="F9045" s="122">
        <f>IFERROR(__xludf.DUMMYFUNCTION("""COMPUTED_VALUE"""),6.0E-4)</f>
        <v>0.0006</v>
      </c>
    </row>
    <row r="9046">
      <c r="A9046" s="131">
        <f>IFERROR(__xludf.DUMMYFUNCTION("""COMPUTED_VALUE"""),46187.664664351854)</f>
        <v>46187.66466</v>
      </c>
      <c r="B9046" s="126">
        <f>IFERROR(__xludf.DUMMYFUNCTION("""COMPUTED_VALUE"""),46187.0)</f>
        <v>46187</v>
      </c>
      <c r="C9046" s="122" t="str">
        <f>IFERROR(__xludf.DUMMYFUNCTION("""COMPUTED_VALUE"""),"BAGG")</f>
        <v>BAGG</v>
      </c>
      <c r="D9046" s="122" t="str">
        <f>IFERROR(__xludf.DUMMYFUNCTION("""COMPUTED_VALUE"""),"BagVault")</f>
        <v>BagVault</v>
      </c>
      <c r="E9046" s="122">
        <f>IFERROR(__xludf.DUMMYFUNCTION("""COMPUTED_VALUE"""),284.6)</f>
        <v>284.6</v>
      </c>
      <c r="F9046" s="122">
        <f>IFERROR(__xludf.DUMMYFUNCTION("""COMPUTED_VALUE"""),0.009)</f>
        <v>0.009</v>
      </c>
    </row>
    <row r="9047">
      <c r="A9047" s="131">
        <f>IFERROR(__xludf.DUMMYFUNCTION("""COMPUTED_VALUE"""),46187.664664351854)</f>
        <v>46187.66466</v>
      </c>
      <c r="B9047" s="126">
        <f>IFERROR(__xludf.DUMMYFUNCTION("""COMPUTED_VALUE"""),46187.0)</f>
        <v>46187</v>
      </c>
      <c r="C9047" s="122" t="str">
        <f>IFERROR(__xludf.DUMMYFUNCTION("""COMPUTED_VALUE"""),"FAST")</f>
        <v>FAST</v>
      </c>
      <c r="D9047" s="122" t="str">
        <f>IFERROR(__xludf.DUMMYFUNCTION("""COMPUTED_VALUE"""),"Flash Logistics")</f>
        <v>Flash Logistics</v>
      </c>
      <c r="E9047" s="122">
        <f>IFERROR(__xludf.DUMMYFUNCTION("""COMPUTED_VALUE"""),108.39)</f>
        <v>108.39</v>
      </c>
      <c r="F9047" s="122">
        <f>IFERROR(__xludf.DUMMYFUNCTION("""COMPUTED_VALUE"""),0.0036)</f>
        <v>0.0036</v>
      </c>
    </row>
    <row r="9048">
      <c r="A9048" s="131">
        <f>IFERROR(__xludf.DUMMYFUNCTION("""COMPUTED_VALUE"""),46187.664664351854)</f>
        <v>46187.66466</v>
      </c>
      <c r="B9048" s="126">
        <f>IFERROR(__xludf.DUMMYFUNCTION("""COMPUTED_VALUE"""),46187.0)</f>
        <v>46187</v>
      </c>
      <c r="C9048" s="122" t="str">
        <f>IFERROR(__xludf.DUMMYFUNCTION("""COMPUTED_VALUE"""),"SHIP")</f>
        <v>SHIP</v>
      </c>
      <c r="D9048" s="122" t="str">
        <f>IFERROR(__xludf.DUMMYFUNCTION("""COMPUTED_VALUE"""),"Seoul Shipping")</f>
        <v>Seoul Shipping</v>
      </c>
      <c r="E9048" s="122">
        <f>IFERROR(__xludf.DUMMYFUNCTION("""COMPUTED_VALUE"""),129.08)</f>
        <v>129.08</v>
      </c>
      <c r="F9048" s="122">
        <f>IFERROR(__xludf.DUMMYFUNCTION("""COMPUTED_VALUE"""),0.0027)</f>
        <v>0.0027</v>
      </c>
    </row>
    <row r="9049">
      <c r="A9049" s="131">
        <f>IFERROR(__xludf.DUMMYFUNCTION("""COMPUTED_VALUE"""),46187.664664351854)</f>
        <v>46187.66466</v>
      </c>
      <c r="B9049" s="126">
        <f>IFERROR(__xludf.DUMMYFUNCTION("""COMPUTED_VALUE"""),46187.0)</f>
        <v>46187</v>
      </c>
      <c r="C9049" s="122" t="str">
        <f>IFERROR(__xludf.DUMMYFUNCTION("""COMPUTED_VALUE"""),"DRON")</f>
        <v>DRON</v>
      </c>
      <c r="D9049" s="122" t="str">
        <f>IFERROR(__xludf.DUMMYFUNCTION("""COMPUTED_VALUE"""),"DroneDrop")</f>
        <v>DroneDrop</v>
      </c>
      <c r="E9049" s="122">
        <f>IFERROR(__xludf.DUMMYFUNCTION("""COMPUTED_VALUE"""),122.25)</f>
        <v>122.25</v>
      </c>
      <c r="F9049" s="122">
        <f>IFERROR(__xludf.DUMMYFUNCTION("""COMPUTED_VALUE"""),0.0102)</f>
        <v>0.0102</v>
      </c>
    </row>
    <row r="9050">
      <c r="A9050" s="131">
        <f>IFERROR(__xludf.DUMMYFUNCTION("""COMPUTED_VALUE"""),46187.664664351854)</f>
        <v>46187.66466</v>
      </c>
      <c r="B9050" s="126">
        <f>IFERROR(__xludf.DUMMYFUNCTION("""COMPUTED_VALUE"""),46187.0)</f>
        <v>46187</v>
      </c>
      <c r="C9050" s="122" t="str">
        <f>IFERROR(__xludf.DUMMYFUNCTION("""COMPUTED_VALUE"""),"RIDE")</f>
        <v>RIDE</v>
      </c>
      <c r="D9050" s="122" t="str">
        <f>IFERROR(__xludf.DUMMYFUNCTION("""COMPUTED_VALUE"""),"QuickRide")</f>
        <v>QuickRide</v>
      </c>
      <c r="E9050" s="122">
        <f>IFERROR(__xludf.DUMMYFUNCTION("""COMPUTED_VALUE"""),99.45)</f>
        <v>99.45</v>
      </c>
      <c r="F9050" s="122">
        <f>IFERROR(__xludf.DUMMYFUNCTION("""COMPUTED_VALUE"""),-0.0033)</f>
        <v>-0.0033</v>
      </c>
    </row>
    <row r="9051">
      <c r="A9051" s="131">
        <f>IFERROR(__xludf.DUMMYFUNCTION("""COMPUTED_VALUE"""),46187.664664351854)</f>
        <v>46187.66466</v>
      </c>
      <c r="B9051" s="126">
        <f>IFERROR(__xludf.DUMMYFUNCTION("""COMPUTED_VALUE"""),46187.0)</f>
        <v>46187</v>
      </c>
      <c r="C9051" s="122" t="str">
        <f>IFERROR(__xludf.DUMMYFUNCTION("""COMPUTED_VALUE"""),"RAIL")</f>
        <v>RAIL</v>
      </c>
      <c r="D9051" s="122" t="str">
        <f>IFERROR(__xludf.DUMMYFUNCTION("""COMPUTED_VALUE"""),"MetroRail Corp")</f>
        <v>MetroRail Corp</v>
      </c>
      <c r="E9051" s="122">
        <f>IFERROR(__xludf.DUMMYFUNCTION("""COMPUTED_VALUE"""),130.51)</f>
        <v>130.51</v>
      </c>
      <c r="F9051" s="122">
        <f>IFERROR(__xludf.DUMMYFUNCTION("""COMPUTED_VALUE"""),-0.0021)</f>
        <v>-0.0021</v>
      </c>
    </row>
    <row r="9052">
      <c r="A9052" s="131">
        <f>IFERROR(__xludf.DUMMYFUNCTION("""COMPUTED_VALUE"""),46187.664664351854)</f>
        <v>46187.66466</v>
      </c>
      <c r="B9052" s="126">
        <f>IFERROR(__xludf.DUMMYFUNCTION("""COMPUTED_VALUE"""),46187.0)</f>
        <v>46187</v>
      </c>
      <c r="C9052" s="122" t="str">
        <f>IFERROR(__xludf.DUMMYFUNCTION("""COMPUTED_VALUE"""),"MEDX")</f>
        <v>MEDX</v>
      </c>
      <c r="D9052" s="122" t="str">
        <f>IFERROR(__xludf.DUMMYFUNCTION("""COMPUTED_VALUE"""),"MediCore")</f>
        <v>MediCore</v>
      </c>
      <c r="E9052" s="122">
        <f>IFERROR(__xludf.DUMMYFUNCTION("""COMPUTED_VALUE"""),139.72)</f>
        <v>139.72</v>
      </c>
      <c r="F9052" s="122">
        <f>IFERROR(__xludf.DUMMYFUNCTION("""COMPUTED_VALUE"""),-0.0016)</f>
        <v>-0.0016</v>
      </c>
    </row>
    <row r="9053">
      <c r="A9053" s="131">
        <f>IFERROR(__xludf.DUMMYFUNCTION("""COMPUTED_VALUE"""),46187.664664351854)</f>
        <v>46187.66466</v>
      </c>
      <c r="B9053" s="126">
        <f>IFERROR(__xludf.DUMMYFUNCTION("""COMPUTED_VALUE"""),46187.0)</f>
        <v>46187</v>
      </c>
      <c r="C9053" s="122" t="str">
        <f>IFERROR(__xludf.DUMMYFUNCTION("""COMPUTED_VALUE"""),"GYMX")</f>
        <v>GYMX</v>
      </c>
      <c r="D9053" s="122" t="str">
        <f>IFERROR(__xludf.DUMMYFUNCTION("""COMPUTED_VALUE"""),"GymX Fitness")</f>
        <v>GymX Fitness</v>
      </c>
      <c r="E9053" s="122">
        <f>IFERROR(__xludf.DUMMYFUNCTION("""COMPUTED_VALUE"""),80.79)</f>
        <v>80.79</v>
      </c>
      <c r="F9053" s="122">
        <f>IFERROR(__xludf.DUMMYFUNCTION("""COMPUTED_VALUE"""),0.001)</f>
        <v>0.001</v>
      </c>
    </row>
    <row r="9054">
      <c r="A9054" s="131">
        <f>IFERROR(__xludf.DUMMYFUNCTION("""COMPUTED_VALUE"""),46187.664664351854)</f>
        <v>46187.66466</v>
      </c>
      <c r="B9054" s="126">
        <f>IFERROR(__xludf.DUMMYFUNCTION("""COMPUTED_VALUE"""),46187.0)</f>
        <v>46187</v>
      </c>
      <c r="C9054" s="122" t="str">
        <f>IFERROR(__xludf.DUMMYFUNCTION("""COMPUTED_VALUE"""),"VITA")</f>
        <v>VITA</v>
      </c>
      <c r="D9054" s="122" t="str">
        <f>IFERROR(__xludf.DUMMYFUNCTION("""COMPUTED_VALUE"""),"VitaPlus")</f>
        <v>VitaPlus</v>
      </c>
      <c r="E9054" s="122">
        <f>IFERROR(__xludf.DUMMYFUNCTION("""COMPUTED_VALUE"""),71.79)</f>
        <v>71.79</v>
      </c>
      <c r="F9054" s="122">
        <f>IFERROR(__xludf.DUMMYFUNCTION("""COMPUTED_VALUE"""),-8.0E-4)</f>
        <v>-0.0008</v>
      </c>
    </row>
    <row r="9055">
      <c r="A9055" s="131">
        <f>IFERROR(__xludf.DUMMYFUNCTION("""COMPUTED_VALUE"""),46187.664664351854)</f>
        <v>46187.66466</v>
      </c>
      <c r="B9055" s="126">
        <f>IFERROR(__xludf.DUMMYFUNCTION("""COMPUTED_VALUE"""),46187.0)</f>
        <v>46187</v>
      </c>
      <c r="C9055" s="122" t="str">
        <f>IFERROR(__xludf.DUMMYFUNCTION("""COMPUTED_VALUE"""),"CARE")</f>
        <v>CARE</v>
      </c>
      <c r="D9055" s="122" t="str">
        <f>IFERROR(__xludf.DUMMYFUNCTION("""COMPUTED_VALUE"""),"CareCloud")</f>
        <v>CareCloud</v>
      </c>
      <c r="E9055" s="122">
        <f>IFERROR(__xludf.DUMMYFUNCTION("""COMPUTED_VALUE"""),184.2)</f>
        <v>184.2</v>
      </c>
      <c r="F9055" s="122">
        <f>IFERROR(__xludf.DUMMYFUNCTION("""COMPUTED_VALUE"""),0.0062)</f>
        <v>0.0062</v>
      </c>
    </row>
    <row r="9056">
      <c r="A9056" s="131">
        <f>IFERROR(__xludf.DUMMYFUNCTION("""COMPUTED_VALUE"""),46187.664664351854)</f>
        <v>46187.66466</v>
      </c>
      <c r="B9056" s="126">
        <f>IFERROR(__xludf.DUMMYFUNCTION("""COMPUTED_VALUE"""),46187.0)</f>
        <v>46187</v>
      </c>
      <c r="C9056" s="122" t="str">
        <f>IFERROR(__xludf.DUMMYFUNCTION("""COMPUTED_VALUE"""),"DENT")</f>
        <v>DENT</v>
      </c>
      <c r="D9056" s="122" t="str">
        <f>IFERROR(__xludf.DUMMYFUNCTION("""COMPUTED_VALUE"""),"SmileWorks")</f>
        <v>SmileWorks</v>
      </c>
      <c r="E9056" s="122">
        <f>IFERROR(__xludf.DUMMYFUNCTION("""COMPUTED_VALUE"""),98.2)</f>
        <v>98.2</v>
      </c>
      <c r="F9056" s="122">
        <f>IFERROR(__xludf.DUMMYFUNCTION("""COMPUTED_VALUE"""),-0.002)</f>
        <v>-0.002</v>
      </c>
    </row>
    <row r="9057">
      <c r="A9057" s="131">
        <f>IFERROR(__xludf.DUMMYFUNCTION("""COMPUTED_VALUE"""),46187.664664351854)</f>
        <v>46187.66466</v>
      </c>
      <c r="B9057" s="126">
        <f>IFERROR(__xludf.DUMMYFUNCTION("""COMPUTED_VALUE"""),46187.0)</f>
        <v>46187</v>
      </c>
      <c r="C9057" s="122" t="str">
        <f>IFERROR(__xludf.DUMMYFUNCTION("""COMPUTED_VALUE"""),"EDUX")</f>
        <v>EDUX</v>
      </c>
      <c r="D9057" s="122" t="str">
        <f>IFERROR(__xludf.DUMMYFUNCTION("""COMPUTED_VALUE"""),"EduMax Learning")</f>
        <v>EduMax Learning</v>
      </c>
      <c r="E9057" s="122">
        <f>IFERROR(__xludf.DUMMYFUNCTION("""COMPUTED_VALUE"""),155.11)</f>
        <v>155.11</v>
      </c>
      <c r="F9057" s="122">
        <f>IFERROR(__xludf.DUMMYFUNCTION("""COMPUTED_VALUE"""),0.0015)</f>
        <v>0.0015</v>
      </c>
    </row>
    <row r="9058">
      <c r="A9058" s="131">
        <f>IFERROR(__xludf.DUMMYFUNCTION("""COMPUTED_VALUE"""),46187.664664351854)</f>
        <v>46187.66466</v>
      </c>
      <c r="B9058" s="126">
        <f>IFERROR(__xludf.DUMMYFUNCTION("""COMPUTED_VALUE"""),46187.0)</f>
        <v>46187</v>
      </c>
      <c r="C9058" s="122" t="str">
        <f>IFERROR(__xludf.DUMMYFUNCTION("""COMPUTED_VALUE"""),"BOOK")</f>
        <v>BOOK</v>
      </c>
      <c r="D9058" s="122" t="str">
        <f>IFERROR(__xludf.DUMMYFUNCTION("""COMPUTED_VALUE"""),"BookBridge")</f>
        <v>BookBridge</v>
      </c>
      <c r="E9058" s="122">
        <f>IFERROR(__xludf.DUMMYFUNCTION("""COMPUTED_VALUE"""),120.38)</f>
        <v>120.38</v>
      </c>
      <c r="F9058" s="122">
        <f>IFERROR(__xludf.DUMMYFUNCTION("""COMPUTED_VALUE"""),0.0017)</f>
        <v>0.0017</v>
      </c>
    </row>
    <row r="9059">
      <c r="A9059" s="131">
        <f>IFERROR(__xludf.DUMMYFUNCTION("""COMPUTED_VALUE"""),46187.664664351854)</f>
        <v>46187.66466</v>
      </c>
      <c r="B9059" s="126">
        <f>IFERROR(__xludf.DUMMYFUNCTION("""COMPUTED_VALUE"""),46187.0)</f>
        <v>46187</v>
      </c>
      <c r="C9059" s="122" t="str">
        <f>IFERROR(__xludf.DUMMYFUNCTION("""COMPUTED_VALUE"""),"TUTR")</f>
        <v>TUTR</v>
      </c>
      <c r="D9059" s="122" t="str">
        <f>IFERROR(__xludf.DUMMYFUNCTION("""COMPUTED_VALUE"""),"TutorTown")</f>
        <v>TutorTown</v>
      </c>
      <c r="E9059" s="122">
        <f>IFERROR(__xludf.DUMMYFUNCTION("""COMPUTED_VALUE"""),92.23)</f>
        <v>92.23</v>
      </c>
      <c r="F9059" s="122">
        <f>IFERROR(__xludf.DUMMYFUNCTION("""COMPUTED_VALUE"""),0.0068)</f>
        <v>0.0068</v>
      </c>
    </row>
    <row r="9060">
      <c r="A9060" s="131">
        <f>IFERROR(__xludf.DUMMYFUNCTION("""COMPUTED_VALUE"""),46187.664664351854)</f>
        <v>46187.66466</v>
      </c>
      <c r="B9060" s="126">
        <f>IFERROR(__xludf.DUMMYFUNCTION("""COMPUTED_VALUE"""),46187.0)</f>
        <v>46187</v>
      </c>
      <c r="C9060" s="122" t="str">
        <f>IFERROR(__xludf.DUMMYFUNCTION("""COMPUTED_VALUE"""),"LANG")</f>
        <v>LANG</v>
      </c>
      <c r="D9060" s="122" t="str">
        <f>IFERROR(__xludf.DUMMYFUNCTION("""COMPUTED_VALUE"""),"LinguaLab")</f>
        <v>LinguaLab</v>
      </c>
      <c r="E9060" s="122">
        <f>IFERROR(__xludf.DUMMYFUNCTION("""COMPUTED_VALUE"""),102.57)</f>
        <v>102.57</v>
      </c>
      <c r="F9060" s="122">
        <f>IFERROR(__xludf.DUMMYFUNCTION("""COMPUTED_VALUE"""),-0.0018)</f>
        <v>-0.0018</v>
      </c>
    </row>
    <row r="9061">
      <c r="A9061" s="131">
        <f>IFERROR(__xludf.DUMMYFUNCTION("""COMPUTED_VALUE"""),46187.664664351854)</f>
        <v>46187.66466</v>
      </c>
      <c r="B9061" s="126">
        <f>IFERROR(__xludf.DUMMYFUNCTION("""COMPUTED_VALUE"""),46187.0)</f>
        <v>46187</v>
      </c>
      <c r="C9061" s="122" t="str">
        <f>IFERROR(__xludf.DUMMYFUNCTION("""COMPUTED_VALUE"""),"TEST")</f>
        <v>TEST</v>
      </c>
      <c r="D9061" s="122" t="str">
        <f>IFERROR(__xludf.DUMMYFUNCTION("""COMPUTED_VALUE"""),"TestPrep Pro")</f>
        <v>TestPrep Pro</v>
      </c>
      <c r="E9061" s="122">
        <f>IFERROR(__xludf.DUMMYFUNCTION("""COMPUTED_VALUE"""),88.51)</f>
        <v>88.51</v>
      </c>
      <c r="F9061" s="122">
        <f>IFERROR(__xludf.DUMMYFUNCTION("""COMPUTED_VALUE"""),0.0028)</f>
        <v>0.0028</v>
      </c>
    </row>
    <row r="9062">
      <c r="A9062" s="131">
        <f>IFERROR(__xludf.DUMMYFUNCTION("""COMPUTED_VALUE"""),46187.664664351854)</f>
        <v>46187.66466</v>
      </c>
      <c r="B9062" s="126">
        <f>IFERROR(__xludf.DUMMYFUNCTION("""COMPUTED_VALUE"""),46187.0)</f>
        <v>46187</v>
      </c>
      <c r="C9062" s="122" t="str">
        <f>IFERROR(__xludf.DUMMYFUNCTION("""COMPUTED_VALUE"""),"MOVI")</f>
        <v>MOVI</v>
      </c>
      <c r="D9062" s="122" t="str">
        <f>IFERROR(__xludf.DUMMYFUNCTION("""COMPUTED_VALUE"""),"MovieBox")</f>
        <v>MovieBox</v>
      </c>
      <c r="E9062" s="122">
        <f>IFERROR(__xludf.DUMMYFUNCTION("""COMPUTED_VALUE"""),84.05)</f>
        <v>84.05</v>
      </c>
      <c r="F9062" s="122">
        <f>IFERROR(__xludf.DUMMYFUNCTION("""COMPUTED_VALUE"""),0.0048)</f>
        <v>0.0048</v>
      </c>
    </row>
    <row r="9063">
      <c r="A9063" s="131">
        <f>IFERROR(__xludf.DUMMYFUNCTION("""COMPUTED_VALUE"""),46187.664664351854)</f>
        <v>46187.66466</v>
      </c>
      <c r="B9063" s="126">
        <f>IFERROR(__xludf.DUMMYFUNCTION("""COMPUTED_VALUE"""),46187.0)</f>
        <v>46187</v>
      </c>
      <c r="C9063" s="122" t="str">
        <f>IFERROR(__xludf.DUMMYFUNCTION("""COMPUTED_VALUE"""),"MUSC")</f>
        <v>MUSC</v>
      </c>
      <c r="D9063" s="122" t="str">
        <f>IFERROR(__xludf.DUMMYFUNCTION("""COMPUTED_VALUE"""),"MusicWave")</f>
        <v>MusicWave</v>
      </c>
      <c r="E9063" s="122">
        <f>IFERROR(__xludf.DUMMYFUNCTION("""COMPUTED_VALUE"""),105.74)</f>
        <v>105.74</v>
      </c>
      <c r="F9063" s="122">
        <f>IFERROR(__xludf.DUMMYFUNCTION("""COMPUTED_VALUE"""),-9.0E-4)</f>
        <v>-0.0009</v>
      </c>
    </row>
    <row r="9064">
      <c r="A9064" s="131">
        <f>IFERROR(__xludf.DUMMYFUNCTION("""COMPUTED_VALUE"""),46187.664664351854)</f>
        <v>46187.66466</v>
      </c>
      <c r="B9064" s="126">
        <f>IFERROR(__xludf.DUMMYFUNCTION("""COMPUTED_VALUE"""),46187.0)</f>
        <v>46187</v>
      </c>
      <c r="C9064" s="122" t="str">
        <f>IFERROR(__xludf.DUMMYFUNCTION("""COMPUTED_VALUE"""),"IDOL")</f>
        <v>IDOL</v>
      </c>
      <c r="D9064" s="122" t="str">
        <f>IFERROR(__xludf.DUMMYFUNCTION("""COMPUTED_VALUE"""),"Idol Agency")</f>
        <v>Idol Agency</v>
      </c>
      <c r="E9064" s="122">
        <f>IFERROR(__xludf.DUMMYFUNCTION("""COMPUTED_VALUE"""),186.87)</f>
        <v>186.87</v>
      </c>
      <c r="F9064" s="122">
        <f>IFERROR(__xludf.DUMMYFUNCTION("""COMPUTED_VALUE"""),-0.0093)</f>
        <v>-0.0093</v>
      </c>
    </row>
    <row r="9065">
      <c r="A9065" s="131">
        <f>IFERROR(__xludf.DUMMYFUNCTION("""COMPUTED_VALUE"""),46187.664664351854)</f>
        <v>46187.66466</v>
      </c>
      <c r="B9065" s="126">
        <f>IFERROR(__xludf.DUMMYFUNCTION("""COMPUTED_VALUE"""),46187.0)</f>
        <v>46187</v>
      </c>
      <c r="C9065" s="122" t="str">
        <f>IFERROR(__xludf.DUMMYFUNCTION("""COMPUTED_VALUE"""),"MEME")</f>
        <v>MEME</v>
      </c>
      <c r="D9065" s="122" t="str">
        <f>IFERROR(__xludf.DUMMYFUNCTION("""COMPUTED_VALUE"""),"Meme Media")</f>
        <v>Meme Media</v>
      </c>
      <c r="E9065" s="122">
        <f>IFERROR(__xludf.DUMMYFUNCTION("""COMPUTED_VALUE"""),72.21)</f>
        <v>72.21</v>
      </c>
      <c r="F9065" s="122">
        <f>IFERROR(__xludf.DUMMYFUNCTION("""COMPUTED_VALUE"""),0.0045)</f>
        <v>0.0045</v>
      </c>
    </row>
    <row r="9066">
      <c r="A9066" s="131">
        <f>IFERROR(__xludf.DUMMYFUNCTION("""COMPUTED_VALUE"""),46187.664664351854)</f>
        <v>46187.66466</v>
      </c>
      <c r="B9066" s="126">
        <f>IFERROR(__xludf.DUMMYFUNCTION("""COMPUTED_VALUE"""),46187.0)</f>
        <v>46187</v>
      </c>
      <c r="C9066" s="122" t="str">
        <f>IFERROR(__xludf.DUMMYFUNCTION("""COMPUTED_VALUE"""),"STRM")</f>
        <v>STRM</v>
      </c>
      <c r="D9066" s="122" t="str">
        <f>IFERROR(__xludf.DUMMYFUNCTION("""COMPUTED_VALUE"""),"Streamly")</f>
        <v>Streamly</v>
      </c>
      <c r="E9066" s="122">
        <f>IFERROR(__xludf.DUMMYFUNCTION("""COMPUTED_VALUE"""),133.18)</f>
        <v>133.18</v>
      </c>
      <c r="F9066" s="122">
        <f>IFERROR(__xludf.DUMMYFUNCTION("""COMPUTED_VALUE"""),-3.0E-4)</f>
        <v>-0.0003</v>
      </c>
    </row>
    <row r="9067">
      <c r="A9067" s="131">
        <f>IFERROR(__xludf.DUMMYFUNCTION("""COMPUTED_VALUE"""),46187.664664351854)</f>
        <v>46187.66466</v>
      </c>
      <c r="B9067" s="126">
        <f>IFERROR(__xludf.DUMMYFUNCTION("""COMPUTED_VALUE"""),46187.0)</f>
        <v>46187</v>
      </c>
      <c r="C9067" s="122" t="str">
        <f>IFERROR(__xludf.DUMMYFUNCTION("""COMPUTED_VALUE"""),"FARM")</f>
        <v>FARM</v>
      </c>
      <c r="D9067" s="122" t="str">
        <f>IFERROR(__xludf.DUMMYFUNCTION("""COMPUTED_VALUE"""),"Future Farms")</f>
        <v>Future Farms</v>
      </c>
      <c r="E9067" s="122">
        <f>IFERROR(__xludf.DUMMYFUNCTION("""COMPUTED_VALUE"""),100.17)</f>
        <v>100.17</v>
      </c>
      <c r="F9067" s="122">
        <f>IFERROR(__xludf.DUMMYFUNCTION("""COMPUTED_VALUE"""),-7.0E-4)</f>
        <v>-0.0007</v>
      </c>
    </row>
    <row r="9068">
      <c r="A9068" s="131">
        <f>IFERROR(__xludf.DUMMYFUNCTION("""COMPUTED_VALUE"""),46187.664664351854)</f>
        <v>46187.66466</v>
      </c>
      <c r="B9068" s="126">
        <f>IFERROR(__xludf.DUMMYFUNCTION("""COMPUTED_VALUE"""),46187.0)</f>
        <v>46187</v>
      </c>
      <c r="C9068" s="122" t="str">
        <f>IFERROR(__xludf.DUMMYFUNCTION("""COMPUTED_VALUE"""),"MEAT")</f>
        <v>MEAT</v>
      </c>
      <c r="D9068" s="122" t="str">
        <f>IFERROR(__xludf.DUMMYFUNCTION("""COMPUTED_VALUE"""),"MeatWorks")</f>
        <v>MeatWorks</v>
      </c>
      <c r="E9068" s="122">
        <f>IFERROR(__xludf.DUMMYFUNCTION("""COMPUTED_VALUE"""),104.23)</f>
        <v>104.23</v>
      </c>
      <c r="F9068" s="122">
        <f>IFERROR(__xludf.DUMMYFUNCTION("""COMPUTED_VALUE"""),-0.0039)</f>
        <v>-0.0039</v>
      </c>
    </row>
    <row r="9069">
      <c r="A9069" s="131">
        <f>IFERROR(__xludf.DUMMYFUNCTION("""COMPUTED_VALUE"""),46187.664664351854)</f>
        <v>46187.66466</v>
      </c>
      <c r="B9069" s="126">
        <f>IFERROR(__xludf.DUMMYFUNCTION("""COMPUTED_VALUE"""),46187.0)</f>
        <v>46187</v>
      </c>
      <c r="C9069" s="122" t="str">
        <f>IFERROR(__xludf.DUMMYFUNCTION("""COMPUTED_VALUE"""),"VEGI")</f>
        <v>VEGI</v>
      </c>
      <c r="D9069" s="122" t="str">
        <f>IFERROR(__xludf.DUMMYFUNCTION("""COMPUTED_VALUE"""),"Green Basket")</f>
        <v>Green Basket</v>
      </c>
      <c r="E9069" s="122">
        <f>IFERROR(__xludf.DUMMYFUNCTION("""COMPUTED_VALUE"""),76.89)</f>
        <v>76.89</v>
      </c>
      <c r="F9069" s="122">
        <f>IFERROR(__xludf.DUMMYFUNCTION("""COMPUTED_VALUE"""),-8.0E-4)</f>
        <v>-0.0008</v>
      </c>
    </row>
    <row r="9070">
      <c r="A9070" s="131">
        <f>IFERROR(__xludf.DUMMYFUNCTION("""COMPUTED_VALUE"""),46187.664664351854)</f>
        <v>46187.66466</v>
      </c>
      <c r="B9070" s="126">
        <f>IFERROR(__xludf.DUMMYFUNCTION("""COMPUTED_VALUE"""),46187.0)</f>
        <v>46187</v>
      </c>
      <c r="C9070" s="122" t="str">
        <f>IFERROR(__xludf.DUMMYFUNCTION("""COMPUTED_VALUE"""),"CAFE")</f>
        <v>CAFE</v>
      </c>
      <c r="D9070" s="122" t="str">
        <f>IFERROR(__xludf.DUMMYFUNCTION("""COMPUTED_VALUE"""),"Cafe Cloud")</f>
        <v>Cafe Cloud</v>
      </c>
      <c r="E9070" s="122">
        <f>IFERROR(__xludf.DUMMYFUNCTION("""COMPUTED_VALUE"""),102.55)</f>
        <v>102.55</v>
      </c>
      <c r="F9070" s="122">
        <f>IFERROR(__xludf.DUMMYFUNCTION("""COMPUTED_VALUE"""),-0.0094)</f>
        <v>-0.0094</v>
      </c>
    </row>
    <row r="9071">
      <c r="A9071" s="131">
        <f>IFERROR(__xludf.DUMMYFUNCTION("""COMPUTED_VALUE"""),46187.664664351854)</f>
        <v>46187.66466</v>
      </c>
      <c r="B9071" s="126">
        <f>IFERROR(__xludf.DUMMYFUNCTION("""COMPUTED_VALUE"""),46187.0)</f>
        <v>46187</v>
      </c>
      <c r="C9071" s="122" t="str">
        <f>IFERROR(__xludf.DUMMYFUNCTION("""COMPUTED_VALUE"""),"BAKE")</f>
        <v>BAKE</v>
      </c>
      <c r="D9071" s="122" t="str">
        <f>IFERROR(__xludf.DUMMYFUNCTION("""COMPUTED_VALUE"""),"BakeHouse")</f>
        <v>BakeHouse</v>
      </c>
      <c r="E9071" s="122">
        <f>IFERROR(__xludf.DUMMYFUNCTION("""COMPUTED_VALUE"""),101.19)</f>
        <v>101.19</v>
      </c>
      <c r="F9071" s="122">
        <f>IFERROR(__xludf.DUMMYFUNCTION("""COMPUTED_VALUE"""),-8.0E-4)</f>
        <v>-0.0008</v>
      </c>
    </row>
    <row r="9072">
      <c r="A9072" s="131">
        <f>IFERROR(__xludf.DUMMYFUNCTION("""COMPUTED_VALUE"""),46187.664664351854)</f>
        <v>46187.66466</v>
      </c>
      <c r="B9072" s="126">
        <f>IFERROR(__xludf.DUMMYFUNCTION("""COMPUTED_VALUE"""),46187.0)</f>
        <v>46187</v>
      </c>
      <c r="C9072" s="122" t="str">
        <f>IFERROR(__xludf.DUMMYFUNCTION("""COMPUTED_VALUE"""),"OILX")</f>
        <v>OILX</v>
      </c>
      <c r="D9072" s="122" t="str">
        <f>IFERROR(__xludf.DUMMYFUNCTION("""COMPUTED_VALUE"""),"OilMax Energy")</f>
        <v>OilMax Energy</v>
      </c>
      <c r="E9072" s="122">
        <f>IFERROR(__xludf.DUMMYFUNCTION("""COMPUTED_VALUE"""),135.02)</f>
        <v>135.02</v>
      </c>
      <c r="F9072" s="122">
        <f>IFERROR(__xludf.DUMMYFUNCTION("""COMPUTED_VALUE"""),0.0046)</f>
        <v>0.0046</v>
      </c>
    </row>
    <row r="9073">
      <c r="A9073" s="131">
        <f>IFERROR(__xludf.DUMMYFUNCTION("""COMPUTED_VALUE"""),46187.664664351854)</f>
        <v>46187.66466</v>
      </c>
      <c r="B9073" s="126">
        <f>IFERROR(__xludf.DUMMYFUNCTION("""COMPUTED_VALUE"""),46187.0)</f>
        <v>46187</v>
      </c>
      <c r="C9073" s="122" t="str">
        <f>IFERROR(__xludf.DUMMYFUNCTION("""COMPUTED_VALUE"""),"SOLR")</f>
        <v>SOLR</v>
      </c>
      <c r="D9073" s="122" t="str">
        <f>IFERROR(__xludf.DUMMYFUNCTION("""COMPUTED_VALUE"""),"SolarSpark")</f>
        <v>SolarSpark</v>
      </c>
      <c r="E9073" s="122">
        <f>IFERROR(__xludf.DUMMYFUNCTION("""COMPUTED_VALUE"""),106.79)</f>
        <v>106.79</v>
      </c>
      <c r="F9073" s="122">
        <f>IFERROR(__xludf.DUMMYFUNCTION("""COMPUTED_VALUE"""),-0.0057)</f>
        <v>-0.0057</v>
      </c>
    </row>
    <row r="9074">
      <c r="A9074" s="131">
        <f>IFERROR(__xludf.DUMMYFUNCTION("""COMPUTED_VALUE"""),46187.664664351854)</f>
        <v>46187.66466</v>
      </c>
      <c r="B9074" s="126">
        <f>IFERROR(__xludf.DUMMYFUNCTION("""COMPUTED_VALUE"""),46187.0)</f>
        <v>46187</v>
      </c>
      <c r="C9074" s="122" t="str">
        <f>IFERROR(__xludf.DUMMYFUNCTION("""COMPUTED_VALUE"""),"BATT")</f>
        <v>BATT</v>
      </c>
      <c r="D9074" s="122" t="str">
        <f>IFERROR(__xludf.DUMMYFUNCTION("""COMPUTED_VALUE"""),"BatteryBox")</f>
        <v>BatteryBox</v>
      </c>
      <c r="E9074" s="122">
        <f>IFERROR(__xludf.DUMMYFUNCTION("""COMPUTED_VALUE"""),121.51)</f>
        <v>121.51</v>
      </c>
      <c r="F9074" s="122">
        <f>IFERROR(__xludf.DUMMYFUNCTION("""COMPUTED_VALUE"""),-0.0088)</f>
        <v>-0.0088</v>
      </c>
    </row>
    <row r="9075">
      <c r="A9075" s="131">
        <f>IFERROR(__xludf.DUMMYFUNCTION("""COMPUTED_VALUE"""),46187.664664351854)</f>
        <v>46187.66466</v>
      </c>
      <c r="B9075" s="126">
        <f>IFERROR(__xludf.DUMMYFUNCTION("""COMPUTED_VALUE"""),46187.0)</f>
        <v>46187</v>
      </c>
      <c r="C9075" s="122" t="str">
        <f>IFERROR(__xludf.DUMMYFUNCTION("""COMPUTED_VALUE"""),"WIND")</f>
        <v>WIND</v>
      </c>
      <c r="D9075" s="122" t="str">
        <f>IFERROR(__xludf.DUMMYFUNCTION("""COMPUTED_VALUE"""),"WindWorks")</f>
        <v>WindWorks</v>
      </c>
      <c r="E9075" s="122">
        <f>IFERROR(__xludf.DUMMYFUNCTION("""COMPUTED_VALUE"""),85.61)</f>
        <v>85.61</v>
      </c>
      <c r="F9075" s="122">
        <f>IFERROR(__xludf.DUMMYFUNCTION("""COMPUTED_VALUE"""),0.0048)</f>
        <v>0.0048</v>
      </c>
    </row>
    <row r="9076">
      <c r="A9076" s="131">
        <f>IFERROR(__xludf.DUMMYFUNCTION("""COMPUTED_VALUE"""),46187.664664351854)</f>
        <v>46187.66466</v>
      </c>
      <c r="B9076" s="126">
        <f>IFERROR(__xludf.DUMMYFUNCTION("""COMPUTED_VALUE"""),46187.0)</f>
        <v>46187</v>
      </c>
      <c r="C9076" s="122" t="str">
        <f>IFERROR(__xludf.DUMMYFUNCTION("""COMPUTED_VALUE"""),"GRID")</f>
        <v>GRID</v>
      </c>
      <c r="D9076" s="122" t="str">
        <f>IFERROR(__xludf.DUMMYFUNCTION("""COMPUTED_VALUE"""),"GridPower")</f>
        <v>GridPower</v>
      </c>
      <c r="E9076" s="122">
        <f>IFERROR(__xludf.DUMMYFUNCTION("""COMPUTED_VALUE"""),124.65)</f>
        <v>124.65</v>
      </c>
      <c r="F9076" s="122">
        <f>IFERROR(__xludf.DUMMYFUNCTION("""COMPUTED_VALUE"""),-2.0E-4)</f>
        <v>-0.0002</v>
      </c>
    </row>
    <row r="9077">
      <c r="A9077" s="131">
        <f>IFERROR(__xludf.DUMMYFUNCTION("""COMPUTED_VALUE"""),46187.664664351854)</f>
        <v>46187.66466</v>
      </c>
      <c r="B9077" s="126">
        <f>IFERROR(__xludf.DUMMYFUNCTION("""COMPUTED_VALUE"""),46187.0)</f>
        <v>46187</v>
      </c>
      <c r="C9077" s="122" t="str">
        <f>IFERROR(__xludf.DUMMYFUNCTION("""COMPUTED_VALUE"""),"HOME")</f>
        <v>HOME</v>
      </c>
      <c r="D9077" s="122" t="str">
        <f>IFERROR(__xludf.DUMMYFUNCTION("""COMPUTED_VALUE"""),"HomeHub")</f>
        <v>HomeHub</v>
      </c>
      <c r="E9077" s="122">
        <f>IFERROR(__xludf.DUMMYFUNCTION("""COMPUTED_VALUE"""),162.45)</f>
        <v>162.45</v>
      </c>
      <c r="F9077" s="122">
        <f>IFERROR(__xludf.DUMMYFUNCTION("""COMPUTED_VALUE"""),-0.0023)</f>
        <v>-0.0023</v>
      </c>
    </row>
    <row r="9078">
      <c r="A9078" s="131">
        <f>IFERROR(__xludf.DUMMYFUNCTION("""COMPUTED_VALUE"""),46187.664664351854)</f>
        <v>46187.66466</v>
      </c>
      <c r="B9078" s="126">
        <f>IFERROR(__xludf.DUMMYFUNCTION("""COMPUTED_VALUE"""),46187.0)</f>
        <v>46187</v>
      </c>
      <c r="C9078" s="122" t="str">
        <f>IFERROR(__xludf.DUMMYFUNCTION("""COMPUTED_VALUE"""),"RENT")</f>
        <v>RENT</v>
      </c>
      <c r="D9078" s="122" t="str">
        <f>IFERROR(__xludf.DUMMYFUNCTION("""COMPUTED_VALUE"""),"RentRight")</f>
        <v>RentRight</v>
      </c>
      <c r="E9078" s="122">
        <f>IFERROR(__xludf.DUMMYFUNCTION("""COMPUTED_VALUE"""),89.52)</f>
        <v>89.52</v>
      </c>
      <c r="F9078" s="122">
        <f>IFERROR(__xludf.DUMMYFUNCTION("""COMPUTED_VALUE"""),-0.004)</f>
        <v>-0.004</v>
      </c>
    </row>
    <row r="9079">
      <c r="A9079" s="131">
        <f>IFERROR(__xludf.DUMMYFUNCTION("""COMPUTED_VALUE"""),46187.664664351854)</f>
        <v>46187.66466</v>
      </c>
      <c r="B9079" s="126">
        <f>IFERROR(__xludf.DUMMYFUNCTION("""COMPUTED_VALUE"""),46187.0)</f>
        <v>46187</v>
      </c>
      <c r="C9079" s="122" t="str">
        <f>IFERROR(__xludf.DUMMYFUNCTION("""COMPUTED_VALUE"""),"MALL")</f>
        <v>MALL</v>
      </c>
      <c r="D9079" s="122" t="str">
        <f>IFERROR(__xludf.DUMMYFUNCTION("""COMPUTED_VALUE"""),"MegaMall")</f>
        <v>MegaMall</v>
      </c>
      <c r="E9079" s="122">
        <f>IFERROR(__xludf.DUMMYFUNCTION("""COMPUTED_VALUE"""),102.15)</f>
        <v>102.15</v>
      </c>
      <c r="F9079" s="122">
        <f>IFERROR(__xludf.DUMMYFUNCTION("""COMPUTED_VALUE"""),-0.0048)</f>
        <v>-0.0048</v>
      </c>
    </row>
    <row r="9080">
      <c r="A9080" s="131">
        <f>IFERROR(__xludf.DUMMYFUNCTION("""COMPUTED_VALUE"""),46187.664664351854)</f>
        <v>46187.66466</v>
      </c>
      <c r="B9080" s="126">
        <f>IFERROR(__xludf.DUMMYFUNCTION("""COMPUTED_VALUE"""),46187.0)</f>
        <v>46187</v>
      </c>
      <c r="C9080" s="122" t="str">
        <f>IFERROR(__xludf.DUMMYFUNCTION("""COMPUTED_VALUE"""),"HOTL")</f>
        <v>HOTL</v>
      </c>
      <c r="D9080" s="122" t="str">
        <f>IFERROR(__xludf.DUMMYFUNCTION("""COMPUTED_VALUE"""),"HotelHive")</f>
        <v>HotelHive</v>
      </c>
      <c r="E9080" s="122">
        <f>IFERROR(__xludf.DUMMYFUNCTION("""COMPUTED_VALUE"""),120.8)</f>
        <v>120.8</v>
      </c>
      <c r="F9080" s="122">
        <f>IFERROR(__xludf.DUMMYFUNCTION("""COMPUTED_VALUE"""),0.0083)</f>
        <v>0.0083</v>
      </c>
    </row>
    <row r="9081">
      <c r="A9081" s="131">
        <f>IFERROR(__xludf.DUMMYFUNCTION("""COMPUTED_VALUE"""),46187.664664351854)</f>
        <v>46187.66466</v>
      </c>
      <c r="B9081" s="126">
        <f>IFERROR(__xludf.DUMMYFUNCTION("""COMPUTED_VALUE"""),46187.0)</f>
        <v>46187</v>
      </c>
      <c r="C9081" s="122" t="str">
        <f>IFERROR(__xludf.DUMMYFUNCTION("""COMPUTED_VALUE"""),"LAND")</f>
        <v>LAND</v>
      </c>
      <c r="D9081" s="122" t="str">
        <f>IFERROR(__xludf.DUMMYFUNCTION("""COMPUTED_VALUE"""),"LandLink")</f>
        <v>LandLink</v>
      </c>
      <c r="E9081" s="122">
        <f>IFERROR(__xludf.DUMMYFUNCTION("""COMPUTED_VALUE"""),187.07)</f>
        <v>187.07</v>
      </c>
      <c r="F9081" s="122">
        <f>IFERROR(__xludf.DUMMYFUNCTION("""COMPUTED_VALUE"""),-0.0042)</f>
        <v>-0.0042</v>
      </c>
    </row>
    <row r="9082">
      <c r="A9082" s="131">
        <f>IFERROR(__xludf.DUMMYFUNCTION("""COMPUTED_VALUE"""),46187.664664351854)</f>
        <v>46187.66466</v>
      </c>
      <c r="B9082" s="126">
        <f>IFERROR(__xludf.DUMMYFUNCTION("""COMPUTED_VALUE"""),46187.0)</f>
        <v>46187</v>
      </c>
      <c r="C9082" s="122" t="str">
        <f>IFERROR(__xludf.DUMMYFUNCTION("""COMPUTED_VALUE"""),"CARS")</f>
        <v>CARS</v>
      </c>
      <c r="D9082" s="122" t="str">
        <f>IFERROR(__xludf.DUMMYFUNCTION("""COMPUTED_VALUE"""),"AutoArena")</f>
        <v>AutoArena</v>
      </c>
      <c r="E9082" s="122">
        <f>IFERROR(__xludf.DUMMYFUNCTION("""COMPUTED_VALUE"""),81.8)</f>
        <v>81.8</v>
      </c>
      <c r="F9082" s="122">
        <f>IFERROR(__xludf.DUMMYFUNCTION("""COMPUTED_VALUE"""),0.0022)</f>
        <v>0.0022</v>
      </c>
    </row>
    <row r="9083">
      <c r="A9083" s="131">
        <f>IFERROR(__xludf.DUMMYFUNCTION("""COMPUTED_VALUE"""),46187.664664351854)</f>
        <v>46187.66466</v>
      </c>
      <c r="B9083" s="126">
        <f>IFERROR(__xludf.DUMMYFUNCTION("""COMPUTED_VALUE"""),46187.0)</f>
        <v>46187</v>
      </c>
      <c r="C9083" s="122" t="str">
        <f>IFERROR(__xludf.DUMMYFUNCTION("""COMPUTED_VALUE"""),"EVGO")</f>
        <v>EVGO</v>
      </c>
      <c r="D9083" s="122" t="str">
        <f>IFERROR(__xludf.DUMMYFUNCTION("""COMPUTED_VALUE"""),"EVGo Motors")</f>
        <v>EVGo Motors</v>
      </c>
      <c r="E9083" s="122">
        <f>IFERROR(__xludf.DUMMYFUNCTION("""COMPUTED_VALUE"""),190.86)</f>
        <v>190.86</v>
      </c>
      <c r="F9083" s="122">
        <f>IFERROR(__xludf.DUMMYFUNCTION("""COMPUTED_VALUE"""),-0.0128)</f>
        <v>-0.0128</v>
      </c>
    </row>
    <row r="9084">
      <c r="A9084" s="131">
        <f>IFERROR(__xludf.DUMMYFUNCTION("""COMPUTED_VALUE"""),46187.664664351854)</f>
        <v>46187.66466</v>
      </c>
      <c r="B9084" s="126">
        <f>IFERROR(__xludf.DUMMYFUNCTION("""COMPUTED_VALUE"""),46187.0)</f>
        <v>46187</v>
      </c>
      <c r="C9084" s="122" t="str">
        <f>IFERROR(__xludf.DUMMYFUNCTION("""COMPUTED_VALUE"""),"TIRE")</f>
        <v>TIRE</v>
      </c>
      <c r="D9084" s="122" t="str">
        <f>IFERROR(__xludf.DUMMYFUNCTION("""COMPUTED_VALUE"""),"TireTown")</f>
        <v>TireTown</v>
      </c>
      <c r="E9084" s="122">
        <f>IFERROR(__xludf.DUMMYFUNCTION("""COMPUTED_VALUE"""),99.1)</f>
        <v>99.1</v>
      </c>
      <c r="F9084" s="122">
        <f>IFERROR(__xludf.DUMMYFUNCTION("""COMPUTED_VALUE"""),0.0064)</f>
        <v>0.0064</v>
      </c>
    </row>
    <row r="9085">
      <c r="A9085" s="131">
        <f>IFERROR(__xludf.DUMMYFUNCTION("""COMPUTED_VALUE"""),46187.664664351854)</f>
        <v>46187.66466</v>
      </c>
      <c r="B9085" s="126">
        <f>IFERROR(__xludf.DUMMYFUNCTION("""COMPUTED_VALUE"""),46187.0)</f>
        <v>46187</v>
      </c>
      <c r="C9085" s="122" t="str">
        <f>IFERROR(__xludf.DUMMYFUNCTION("""COMPUTED_VALUE"""),"BIKE")</f>
        <v>BIKE</v>
      </c>
      <c r="D9085" s="122" t="str">
        <f>IFERROR(__xludf.DUMMYFUNCTION("""COMPUTED_VALUE"""),"BikeBox")</f>
        <v>BikeBox</v>
      </c>
      <c r="E9085" s="122">
        <f>IFERROR(__xludf.DUMMYFUNCTION("""COMPUTED_VALUE"""),51.64)</f>
        <v>51.64</v>
      </c>
      <c r="F9085" s="122">
        <f>IFERROR(__xludf.DUMMYFUNCTION("""COMPUTED_VALUE"""),-0.0012)</f>
        <v>-0.0012</v>
      </c>
    </row>
    <row r="9086">
      <c r="A9086" s="131">
        <f>IFERROR(__xludf.DUMMYFUNCTION("""COMPUTED_VALUE"""),46187.664664351854)</f>
        <v>46187.66466</v>
      </c>
      <c r="B9086" s="126">
        <f>IFERROR(__xludf.DUMMYFUNCTION("""COMPUTED_VALUE"""),46187.0)</f>
        <v>46187</v>
      </c>
      <c r="C9086" s="122" t="str">
        <f>IFERROR(__xludf.DUMMYFUNCTION("""COMPUTED_VALUE"""),"WASH")</f>
        <v>WASH</v>
      </c>
      <c r="D9086" s="122" t="str">
        <f>IFERROR(__xludf.DUMMYFUNCTION("""COMPUTED_VALUE"""),"CarWash Co")</f>
        <v>CarWash Co</v>
      </c>
      <c r="E9086" s="122">
        <f>IFERROR(__xludf.DUMMYFUNCTION("""COMPUTED_VALUE"""),123.68)</f>
        <v>123.68</v>
      </c>
      <c r="F9086" s="122">
        <f>IFERROR(__xludf.DUMMYFUNCTION("""COMPUTED_VALUE"""),9.0E-4)</f>
        <v>0.0009</v>
      </c>
    </row>
    <row r="9087">
      <c r="A9087" s="131">
        <f>IFERROR(__xludf.DUMMYFUNCTION("""COMPUTED_VALUE"""),46187.664664351854)</f>
        <v>46187.66466</v>
      </c>
      <c r="B9087" s="126">
        <f>IFERROR(__xludf.DUMMYFUNCTION("""COMPUTED_VALUE"""),46187.0)</f>
        <v>46187</v>
      </c>
      <c r="C9087" s="122" t="str">
        <f>IFERROR(__xludf.DUMMYFUNCTION("""COMPUTED_VALUE"""),"GBND")</f>
        <v>GBND</v>
      </c>
      <c r="D9087" s="122" t="str">
        <f>IFERROR(__xludf.DUMMYFUNCTION("""COMPUTED_VALUE"""),"Classroom Government Bond")</f>
        <v>Classroom Government Bond</v>
      </c>
      <c r="E9087" s="122">
        <f>IFERROR(__xludf.DUMMYFUNCTION("""COMPUTED_VALUE"""),101.1)</f>
        <v>101.1</v>
      </c>
      <c r="F9087" s="122">
        <f>IFERROR(__xludf.DUMMYFUNCTION("""COMPUTED_VALUE"""),-4.0E-4)</f>
        <v>-0.0004</v>
      </c>
    </row>
    <row r="9088">
      <c r="A9088" s="131">
        <f>IFERROR(__xludf.DUMMYFUNCTION("""COMPUTED_VALUE"""),46187.664664351854)</f>
        <v>46187.66466</v>
      </c>
      <c r="B9088" s="126">
        <f>IFERROR(__xludf.DUMMYFUNCTION("""COMPUTED_VALUE"""),46187.0)</f>
        <v>46187</v>
      </c>
      <c r="C9088" s="122" t="str">
        <f>IFERROR(__xludf.DUMMYFUNCTION("""COMPUTED_VALUE"""),"SBND")</f>
        <v>SBND</v>
      </c>
      <c r="D9088" s="122" t="str">
        <f>IFERROR(__xludf.DUMMYFUNCTION("""COMPUTED_VALUE"""),"School Savings Bond")</f>
        <v>School Savings Bond</v>
      </c>
      <c r="E9088" s="122">
        <f>IFERROR(__xludf.DUMMYFUNCTION("""COMPUTED_VALUE"""),99.21)</f>
        <v>99.21</v>
      </c>
      <c r="F9088" s="122">
        <f>IFERROR(__xludf.DUMMYFUNCTION("""COMPUTED_VALUE"""),1.0E-4)</f>
        <v>0.0001</v>
      </c>
    </row>
    <row r="9089">
      <c r="A9089" s="131">
        <f>IFERROR(__xludf.DUMMYFUNCTION("""COMPUTED_VALUE"""),46187.664664351854)</f>
        <v>46187.66466</v>
      </c>
      <c r="B9089" s="126">
        <f>IFERROR(__xludf.DUMMYFUNCTION("""COMPUTED_VALUE"""),46187.0)</f>
        <v>46187</v>
      </c>
      <c r="C9089" s="122" t="str">
        <f>IFERROR(__xludf.DUMMYFUNCTION("""COMPUTED_VALUE"""),"CBND")</f>
        <v>CBND</v>
      </c>
      <c r="D9089" s="122" t="str">
        <f>IFERROR(__xludf.DUMMYFUNCTION("""COMPUTED_VALUE"""),"Corporate Classroom Bond")</f>
        <v>Corporate Classroom Bond</v>
      </c>
      <c r="E9089" s="122">
        <f>IFERROR(__xludf.DUMMYFUNCTION("""COMPUTED_VALUE"""),97.87)</f>
        <v>97.87</v>
      </c>
      <c r="F9089" s="122">
        <f>IFERROR(__xludf.DUMMYFUNCTION("""COMPUTED_VALUE"""),-2.0E-4)</f>
        <v>-0.0002</v>
      </c>
    </row>
    <row r="9090">
      <c r="A9090" s="131">
        <f>IFERROR(__xludf.DUMMYFUNCTION("""COMPUTED_VALUE"""),46187.664664351854)</f>
        <v>46187.66466</v>
      </c>
      <c r="B9090" s="126">
        <f>IFERROR(__xludf.DUMMYFUNCTION("""COMPUTED_VALUE"""),46187.0)</f>
        <v>46187</v>
      </c>
      <c r="C9090" s="122" t="str">
        <f>IFERROR(__xludf.DUMMYFUNCTION("""COMPUTED_VALUE"""),"TBIL")</f>
        <v>TBIL</v>
      </c>
      <c r="D9090" s="122" t="str">
        <f>IFERROR(__xludf.DUMMYFUNCTION("""COMPUTED_VALUE"""),"Treasury Bill")</f>
        <v>Treasury Bill</v>
      </c>
      <c r="E9090" s="122">
        <f>IFERROR(__xludf.DUMMYFUNCTION("""COMPUTED_VALUE"""),97.8)</f>
        <v>97.8</v>
      </c>
      <c r="F9090" s="122">
        <f>IFERROR(__xludf.DUMMYFUNCTION("""COMPUTED_VALUE"""),3.0E-4)</f>
        <v>0.0003</v>
      </c>
    </row>
    <row r="9091">
      <c r="A9091" s="131">
        <f>IFERROR(__xludf.DUMMYFUNCTION("""COMPUTED_VALUE"""),46187.664664351854)</f>
        <v>46187.66466</v>
      </c>
      <c r="B9091" s="126">
        <f>IFERROR(__xludf.DUMMYFUNCTION("""COMPUTED_VALUE"""),46187.0)</f>
        <v>46187</v>
      </c>
      <c r="C9091" s="122" t="str">
        <f>IFERROR(__xludf.DUMMYFUNCTION("""COMPUTED_VALUE"""),"IBND")</f>
        <v>IBND</v>
      </c>
      <c r="D9091" s="122" t="str">
        <f>IFERROR(__xludf.DUMMYFUNCTION("""COMPUTED_VALUE"""),"Inflation Protected Bond")</f>
        <v>Inflation Protected Bond</v>
      </c>
      <c r="E9091" s="122">
        <f>IFERROR(__xludf.DUMMYFUNCTION("""COMPUTED_VALUE"""),100.8)</f>
        <v>100.8</v>
      </c>
      <c r="F9091" s="122">
        <f>IFERROR(__xludf.DUMMYFUNCTION("""COMPUTED_VALUE"""),-1.0E-4)</f>
        <v>-0.0001</v>
      </c>
    </row>
    <row r="9092">
      <c r="A9092" s="131">
        <f>IFERROR(__xludf.DUMMYFUNCTION("""COMPUTED_VALUE"""),46187.66863425926)</f>
        <v>46187.66863</v>
      </c>
      <c r="B9092" s="126">
        <f>IFERROR(__xludf.DUMMYFUNCTION("""COMPUTED_VALUE"""),46187.0)</f>
        <v>46187</v>
      </c>
      <c r="C9092" s="122" t="str">
        <f>IFERROR(__xludf.DUMMYFUNCTION("""COMPUTED_VALUE"""),"SNAX")</f>
        <v>SNAX</v>
      </c>
      <c r="D9092" s="122" t="str">
        <f>IFERROR(__xludf.DUMMYFUNCTION("""COMPUTED_VALUE"""),"MICA Snacks")</f>
        <v>MICA Snacks</v>
      </c>
      <c r="E9092" s="122">
        <f>IFERROR(__xludf.DUMMYFUNCTION("""COMPUTED_VALUE"""),122.04)</f>
        <v>122.04</v>
      </c>
      <c r="F9092" s="122">
        <f>IFERROR(__xludf.DUMMYFUNCTION("""COMPUTED_VALUE"""),0.0067)</f>
        <v>0.0067</v>
      </c>
    </row>
    <row r="9093">
      <c r="A9093" s="131">
        <f>IFERROR(__xludf.DUMMYFUNCTION("""COMPUTED_VALUE"""),46187.66863425926)</f>
        <v>46187.66863</v>
      </c>
      <c r="B9093" s="126">
        <f>IFERROR(__xludf.DUMMYFUNCTION("""COMPUTED_VALUE"""),46187.0)</f>
        <v>46187</v>
      </c>
      <c r="C9093" s="122" t="str">
        <f>IFERROR(__xludf.DUMMYFUNCTION("""COMPUTED_VALUE"""),"RAMN")</f>
        <v>RAMN</v>
      </c>
      <c r="D9093" s="122" t="str">
        <f>IFERROR(__xludf.DUMMYFUNCTION("""COMPUTED_VALUE"""),"Ramen Republic")</f>
        <v>Ramen Republic</v>
      </c>
      <c r="E9093" s="122">
        <f>IFERROR(__xludf.DUMMYFUNCTION("""COMPUTED_VALUE"""),60.63)</f>
        <v>60.63</v>
      </c>
      <c r="F9093" s="122">
        <f>IFERROR(__xludf.DUMMYFUNCTION("""COMPUTED_VALUE"""),-0.0066)</f>
        <v>-0.0066</v>
      </c>
    </row>
    <row r="9094">
      <c r="A9094" s="131">
        <f>IFERROR(__xludf.DUMMYFUNCTION("""COMPUTED_VALUE"""),46187.66863425926)</f>
        <v>46187.66863</v>
      </c>
      <c r="B9094" s="126">
        <f>IFERROR(__xludf.DUMMYFUNCTION("""COMPUTED_VALUE"""),46187.0)</f>
        <v>46187</v>
      </c>
      <c r="C9094" s="122" t="str">
        <f>IFERROR(__xludf.DUMMYFUNCTION("""COMPUTED_VALUE"""),"COLA")</f>
        <v>COLA</v>
      </c>
      <c r="D9094" s="122" t="str">
        <f>IFERROR(__xludf.DUMMYFUNCTION("""COMPUTED_VALUE"""),"K-Pop Cola")</f>
        <v>K-Pop Cola</v>
      </c>
      <c r="E9094" s="122">
        <f>IFERROR(__xludf.DUMMYFUNCTION("""COMPUTED_VALUE"""),114.85)</f>
        <v>114.85</v>
      </c>
      <c r="F9094" s="122">
        <f>IFERROR(__xludf.DUMMYFUNCTION("""COMPUTED_VALUE"""),-0.0056)</f>
        <v>-0.0056</v>
      </c>
    </row>
    <row r="9095">
      <c r="A9095" s="131">
        <f>IFERROR(__xludf.DUMMYFUNCTION("""COMPUTED_VALUE"""),46187.66863425926)</f>
        <v>46187.66863</v>
      </c>
      <c r="B9095" s="126">
        <f>IFERROR(__xludf.DUMMYFUNCTION("""COMPUTED_VALUE"""),46187.0)</f>
        <v>46187</v>
      </c>
      <c r="C9095" s="122" t="str">
        <f>IFERROR(__xludf.DUMMYFUNCTION("""COMPUTED_VALUE"""),"CHIP")</f>
        <v>CHIP</v>
      </c>
      <c r="D9095" s="122" t="str">
        <f>IFERROR(__xludf.DUMMYFUNCTION("""COMPUTED_VALUE"""),"Chip Empire")</f>
        <v>Chip Empire</v>
      </c>
      <c r="E9095" s="122">
        <f>IFERROR(__xludf.DUMMYFUNCTION("""COMPUTED_VALUE"""),80.2)</f>
        <v>80.2</v>
      </c>
      <c r="F9095" s="122">
        <f>IFERROR(__xludf.DUMMYFUNCTION("""COMPUTED_VALUE"""),-0.0014)</f>
        <v>-0.0014</v>
      </c>
    </row>
    <row r="9096">
      <c r="A9096" s="131">
        <f>IFERROR(__xludf.DUMMYFUNCTION("""COMPUTED_VALUE"""),46187.66863425926)</f>
        <v>46187.66863</v>
      </c>
      <c r="B9096" s="126">
        <f>IFERROR(__xludf.DUMMYFUNCTION("""COMPUTED_VALUE"""),46187.0)</f>
        <v>46187</v>
      </c>
      <c r="C9096" s="122" t="str">
        <f>IFERROR(__xludf.DUMMYFUNCTION("""COMPUTED_VALUE"""),"CAND")</f>
        <v>CAND</v>
      </c>
      <c r="D9096" s="122" t="str">
        <f>IFERROR(__xludf.DUMMYFUNCTION("""COMPUTED_VALUE"""),"Candy Capital")</f>
        <v>Candy Capital</v>
      </c>
      <c r="E9096" s="122">
        <f>IFERROR(__xludf.DUMMYFUNCTION("""COMPUTED_VALUE"""),77.16)</f>
        <v>77.16</v>
      </c>
      <c r="F9096" s="122">
        <f>IFERROR(__xludf.DUMMYFUNCTION("""COMPUTED_VALUE"""),-0.0068)</f>
        <v>-0.0068</v>
      </c>
    </row>
    <row r="9097">
      <c r="A9097" s="131">
        <f>IFERROR(__xludf.DUMMYFUNCTION("""COMPUTED_VALUE"""),46187.66863425926)</f>
        <v>46187.66863</v>
      </c>
      <c r="B9097" s="126">
        <f>IFERROR(__xludf.DUMMYFUNCTION("""COMPUTED_VALUE"""),46187.0)</f>
        <v>46187</v>
      </c>
      <c r="C9097" s="122" t="str">
        <f>IFERROR(__xludf.DUMMYFUNCTION("""COMPUTED_VALUE"""),"TECH")</f>
        <v>TECH</v>
      </c>
      <c r="D9097" s="122" t="str">
        <f>IFERROR(__xludf.DUMMYFUNCTION("""COMPUTED_VALUE"""),"Dragon Tech")</f>
        <v>Dragon Tech</v>
      </c>
      <c r="E9097" s="122">
        <f>IFERROR(__xludf.DUMMYFUNCTION("""COMPUTED_VALUE"""),257.36)</f>
        <v>257.36</v>
      </c>
      <c r="F9097" s="122">
        <f>IFERROR(__xludf.DUMMYFUNCTION("""COMPUTED_VALUE"""),0.0)</f>
        <v>0</v>
      </c>
    </row>
    <row r="9098">
      <c r="A9098" s="131">
        <f>IFERROR(__xludf.DUMMYFUNCTION("""COMPUTED_VALUE"""),46187.66863425926)</f>
        <v>46187.66863</v>
      </c>
      <c r="B9098" s="126">
        <f>IFERROR(__xludf.DUMMYFUNCTION("""COMPUTED_VALUE"""),46187.0)</f>
        <v>46187</v>
      </c>
      <c r="C9098" s="122" t="str">
        <f>IFERROR(__xludf.DUMMYFUNCTION("""COMPUTED_VALUE"""),"AIBO")</f>
        <v>AIBO</v>
      </c>
      <c r="D9098" s="122" t="str">
        <f>IFERROR(__xludf.DUMMYFUNCTION("""COMPUTED_VALUE"""),"Homework AI")</f>
        <v>Homework AI</v>
      </c>
      <c r="E9098" s="122">
        <f>IFERROR(__xludf.DUMMYFUNCTION("""COMPUTED_VALUE"""),193.47)</f>
        <v>193.47</v>
      </c>
      <c r="F9098" s="122">
        <f>IFERROR(__xludf.DUMMYFUNCTION("""COMPUTED_VALUE"""),6.0E-4)</f>
        <v>0.0006</v>
      </c>
    </row>
    <row r="9099">
      <c r="A9099" s="131">
        <f>IFERROR(__xludf.DUMMYFUNCTION("""COMPUTED_VALUE"""),46187.66863425926)</f>
        <v>46187.66863</v>
      </c>
      <c r="B9099" s="126">
        <f>IFERROR(__xludf.DUMMYFUNCTION("""COMPUTED_VALUE"""),46187.0)</f>
        <v>46187</v>
      </c>
      <c r="C9099" s="122" t="str">
        <f>IFERROR(__xludf.DUMMYFUNCTION("""COMPUTED_VALUE"""),"GAME")</f>
        <v>GAME</v>
      </c>
      <c r="D9099" s="122" t="str">
        <f>IFERROR(__xludf.DUMMYFUNCTION("""COMPUTED_VALUE"""),"GameBox Media")</f>
        <v>GameBox Media</v>
      </c>
      <c r="E9099" s="122">
        <f>IFERROR(__xludf.DUMMYFUNCTION("""COMPUTED_VALUE"""),104.72)</f>
        <v>104.72</v>
      </c>
      <c r="F9099" s="122">
        <f>IFERROR(__xludf.DUMMYFUNCTION("""COMPUTED_VALUE"""),0.0048)</f>
        <v>0.0048</v>
      </c>
    </row>
    <row r="9100">
      <c r="A9100" s="131">
        <f>IFERROR(__xludf.DUMMYFUNCTION("""COMPUTED_VALUE"""),46187.66863425926)</f>
        <v>46187.66863</v>
      </c>
      <c r="B9100" s="126">
        <f>IFERROR(__xludf.DUMMYFUNCTION("""COMPUTED_VALUE"""),46187.0)</f>
        <v>46187</v>
      </c>
      <c r="C9100" s="122" t="str">
        <f>IFERROR(__xludf.DUMMYFUNCTION("""COMPUTED_VALUE"""),"VRSE")</f>
        <v>VRSE</v>
      </c>
      <c r="D9100" s="122" t="str">
        <f>IFERROR(__xludf.DUMMYFUNCTION("""COMPUTED_VALUE"""),"VerseVR")</f>
        <v>VerseVR</v>
      </c>
      <c r="E9100" s="122">
        <f>IFERROR(__xludf.DUMMYFUNCTION("""COMPUTED_VALUE"""),147.21)</f>
        <v>147.21</v>
      </c>
      <c r="F9100" s="122">
        <f>IFERROR(__xludf.DUMMYFUNCTION("""COMPUTED_VALUE"""),0.0048)</f>
        <v>0.0048</v>
      </c>
    </row>
    <row r="9101">
      <c r="A9101" s="131">
        <f>IFERROR(__xludf.DUMMYFUNCTION("""COMPUTED_VALUE"""),46187.66863425926)</f>
        <v>46187.66863</v>
      </c>
      <c r="B9101" s="126">
        <f>IFERROR(__xludf.DUMMYFUNCTION("""COMPUTED_VALUE"""),46187.0)</f>
        <v>46187</v>
      </c>
      <c r="C9101" s="122" t="str">
        <f>IFERROR(__xludf.DUMMYFUNCTION("""COMPUTED_VALUE"""),"BYTE")</f>
        <v>BYTE</v>
      </c>
      <c r="D9101" s="122" t="str">
        <f>IFERROR(__xludf.DUMMYFUNCTION("""COMPUTED_VALUE"""),"ByteWorks")</f>
        <v>ByteWorks</v>
      </c>
      <c r="E9101" s="122">
        <f>IFERROR(__xludf.DUMMYFUNCTION("""COMPUTED_VALUE"""),111.13)</f>
        <v>111.13</v>
      </c>
      <c r="F9101" s="122">
        <f>IFERROR(__xludf.DUMMYFUNCTION("""COMPUTED_VALUE"""),0.0033)</f>
        <v>0.0033</v>
      </c>
    </row>
    <row r="9102">
      <c r="A9102" s="131">
        <f>IFERROR(__xludf.DUMMYFUNCTION("""COMPUTED_VALUE"""),46187.66863425926)</f>
        <v>46187.66863</v>
      </c>
      <c r="B9102" s="126">
        <f>IFERROR(__xludf.DUMMYFUNCTION("""COMPUTED_VALUE"""),46187.0)</f>
        <v>46187</v>
      </c>
      <c r="C9102" s="122" t="str">
        <f>IFERROR(__xludf.DUMMYFUNCTION("""COMPUTED_VALUE"""),"BANK")</f>
        <v>BANK</v>
      </c>
      <c r="D9102" s="122" t="str">
        <f>IFERROR(__xludf.DUMMYFUNCTION("""COMPUTED_VALUE"""),"Tiger Bank")</f>
        <v>Tiger Bank</v>
      </c>
      <c r="E9102" s="122">
        <f>IFERROR(__xludf.DUMMYFUNCTION("""COMPUTED_VALUE"""),133.45)</f>
        <v>133.45</v>
      </c>
      <c r="F9102" s="122">
        <f>IFERROR(__xludf.DUMMYFUNCTION("""COMPUTED_VALUE"""),-1.0E-4)</f>
        <v>-0.0001</v>
      </c>
    </row>
    <row r="9103">
      <c r="A9103" s="131">
        <f>IFERROR(__xludf.DUMMYFUNCTION("""COMPUTED_VALUE"""),46187.66863425926)</f>
        <v>46187.66863</v>
      </c>
      <c r="B9103" s="126">
        <f>IFERROR(__xludf.DUMMYFUNCTION("""COMPUTED_VALUE"""),46187.0)</f>
        <v>46187</v>
      </c>
      <c r="C9103" s="122" t="str">
        <f>IFERROR(__xludf.DUMMYFUNCTION("""COMPUTED_VALUE"""),"CRED")</f>
        <v>CRED</v>
      </c>
      <c r="D9103" s="122" t="str">
        <f>IFERROR(__xludf.DUMMYFUNCTION("""COMPUTED_VALUE"""),"Credit Castle")</f>
        <v>Credit Castle</v>
      </c>
      <c r="E9103" s="122">
        <f>IFERROR(__xludf.DUMMYFUNCTION("""COMPUTED_VALUE"""),66.29)</f>
        <v>66.29</v>
      </c>
      <c r="F9103" s="122">
        <f>IFERROR(__xludf.DUMMYFUNCTION("""COMPUTED_VALUE"""),0.0042)</f>
        <v>0.0042</v>
      </c>
    </row>
    <row r="9104">
      <c r="A9104" s="131">
        <f>IFERROR(__xludf.DUMMYFUNCTION("""COMPUTED_VALUE"""),46187.66863425926)</f>
        <v>46187.66863</v>
      </c>
      <c r="B9104" s="126">
        <f>IFERROR(__xludf.DUMMYFUNCTION("""COMPUTED_VALUE"""),46187.0)</f>
        <v>46187</v>
      </c>
      <c r="C9104" s="122" t="str">
        <f>IFERROR(__xludf.DUMMYFUNCTION("""COMPUTED_VALUE"""),"BOND")</f>
        <v>BOND</v>
      </c>
      <c r="D9104" s="122" t="str">
        <f>IFERROR(__xludf.DUMMYFUNCTION("""COMPUTED_VALUE"""),"BondBridge")</f>
        <v>BondBridge</v>
      </c>
      <c r="E9104" s="122">
        <f>IFERROR(__xludf.DUMMYFUNCTION("""COMPUTED_VALUE"""),106.7)</f>
        <v>106.7</v>
      </c>
      <c r="F9104" s="122">
        <f>IFERROR(__xludf.DUMMYFUNCTION("""COMPUTED_VALUE"""),4.0E-4)</f>
        <v>0.0004</v>
      </c>
    </row>
    <row r="9105">
      <c r="A9105" s="131">
        <f>IFERROR(__xludf.DUMMYFUNCTION("""COMPUTED_VALUE"""),46187.66863425926)</f>
        <v>46187.66863</v>
      </c>
      <c r="B9105" s="126">
        <f>IFERROR(__xludf.DUMMYFUNCTION("""COMPUTED_VALUE"""),46187.0)</f>
        <v>46187</v>
      </c>
      <c r="C9105" s="122" t="str">
        <f>IFERROR(__xludf.DUMMYFUNCTION("""COMPUTED_VALUE"""),"INSR")</f>
        <v>INSR</v>
      </c>
      <c r="D9105" s="122" t="str">
        <f>IFERROR(__xludf.DUMMYFUNCTION("""COMPUTED_VALUE"""),"Shield Insurance")</f>
        <v>Shield Insurance</v>
      </c>
      <c r="E9105" s="122">
        <f>IFERROR(__xludf.DUMMYFUNCTION("""COMPUTED_VALUE"""),157.56)</f>
        <v>157.56</v>
      </c>
      <c r="F9105" s="122">
        <f>IFERROR(__xludf.DUMMYFUNCTION("""COMPUTED_VALUE"""),0.003)</f>
        <v>0.003</v>
      </c>
    </row>
    <row r="9106">
      <c r="A9106" s="131">
        <f>IFERROR(__xludf.DUMMYFUNCTION("""COMPUTED_VALUE"""),46187.66863425926)</f>
        <v>46187.66863</v>
      </c>
      <c r="B9106" s="126">
        <f>IFERROR(__xludf.DUMMYFUNCTION("""COMPUTED_VALUE"""),46187.0)</f>
        <v>46187</v>
      </c>
      <c r="C9106" s="122" t="str">
        <f>IFERROR(__xludf.DUMMYFUNCTION("""COMPUTED_VALUE"""),"LOAN")</f>
        <v>LOAN</v>
      </c>
      <c r="D9106" s="122" t="str">
        <f>IFERROR(__xludf.DUMMYFUNCTION("""COMPUTED_VALUE"""),"LoanLab")</f>
        <v>LoanLab</v>
      </c>
      <c r="E9106" s="122">
        <f>IFERROR(__xludf.DUMMYFUNCTION("""COMPUTED_VALUE"""),74.72)</f>
        <v>74.72</v>
      </c>
      <c r="F9106" s="122">
        <f>IFERROR(__xludf.DUMMYFUNCTION("""COMPUTED_VALUE"""),0.0082)</f>
        <v>0.0082</v>
      </c>
    </row>
    <row r="9107">
      <c r="A9107" s="131">
        <f>IFERROR(__xludf.DUMMYFUNCTION("""COMPUTED_VALUE"""),46187.66863425926)</f>
        <v>46187.66863</v>
      </c>
      <c r="B9107" s="126">
        <f>IFERROR(__xludf.DUMMYFUNCTION("""COMPUTED_VALUE"""),46187.0)</f>
        <v>46187</v>
      </c>
      <c r="C9107" s="122" t="str">
        <f>IFERROR(__xludf.DUMMYFUNCTION("""COMPUTED_VALUE"""),"LUXE")</f>
        <v>LUXE</v>
      </c>
      <c r="D9107" s="122" t="str">
        <f>IFERROR(__xludf.DUMMYFUNCTION("""COMPUTED_VALUE"""),"Luxury Locker")</f>
        <v>Luxury Locker</v>
      </c>
      <c r="E9107" s="122">
        <f>IFERROR(__xludf.DUMMYFUNCTION("""COMPUTED_VALUE"""),269.45)</f>
        <v>269.45</v>
      </c>
      <c r="F9107" s="122">
        <f>IFERROR(__xludf.DUMMYFUNCTION("""COMPUTED_VALUE"""),0.0013)</f>
        <v>0.0013</v>
      </c>
    </row>
    <row r="9108">
      <c r="A9108" s="131">
        <f>IFERROR(__xludf.DUMMYFUNCTION("""COMPUTED_VALUE"""),46187.66863425926)</f>
        <v>46187.66863</v>
      </c>
      <c r="B9108" s="126">
        <f>IFERROR(__xludf.DUMMYFUNCTION("""COMPUTED_VALUE"""),46187.0)</f>
        <v>46187</v>
      </c>
      <c r="C9108" s="122" t="str">
        <f>IFERROR(__xludf.DUMMYFUNCTION("""COMPUTED_VALUE"""),"DRIP")</f>
        <v>DRIP</v>
      </c>
      <c r="D9108" s="122" t="str">
        <f>IFERROR(__xludf.DUMMYFUNCTION("""COMPUTED_VALUE"""),"Drip Streetwear")</f>
        <v>Drip Streetwear</v>
      </c>
      <c r="E9108" s="122">
        <f>IFERROR(__xludf.DUMMYFUNCTION("""COMPUTED_VALUE"""),192.02)</f>
        <v>192.02</v>
      </c>
      <c r="F9108" s="122">
        <f>IFERROR(__xludf.DUMMYFUNCTION("""COMPUTED_VALUE"""),0.0051)</f>
        <v>0.0051</v>
      </c>
    </row>
    <row r="9109">
      <c r="A9109" s="131">
        <f>IFERROR(__xludf.DUMMYFUNCTION("""COMPUTED_VALUE"""),46187.66863425926)</f>
        <v>46187.66863</v>
      </c>
      <c r="B9109" s="126">
        <f>IFERROR(__xludf.DUMMYFUNCTION("""COMPUTED_VALUE"""),46187.0)</f>
        <v>46187</v>
      </c>
      <c r="C9109" s="122" t="str">
        <f>IFERROR(__xludf.DUMMYFUNCTION("""COMPUTED_VALUE"""),"KICK")</f>
        <v>KICK</v>
      </c>
      <c r="D9109" s="122" t="str">
        <f>IFERROR(__xludf.DUMMYFUNCTION("""COMPUTED_VALUE"""),"KickDrop Sneakers")</f>
        <v>KickDrop Sneakers</v>
      </c>
      <c r="E9109" s="122">
        <f>IFERROR(__xludf.DUMMYFUNCTION("""COMPUTED_VALUE"""),169.19)</f>
        <v>169.19</v>
      </c>
      <c r="F9109" s="122">
        <f>IFERROR(__xludf.DUMMYFUNCTION("""COMPUTED_VALUE"""),-0.0044)</f>
        <v>-0.0044</v>
      </c>
    </row>
    <row r="9110">
      <c r="A9110" s="131">
        <f>IFERROR(__xludf.DUMMYFUNCTION("""COMPUTED_VALUE"""),46187.66863425926)</f>
        <v>46187.66863</v>
      </c>
      <c r="B9110" s="126">
        <f>IFERROR(__xludf.DUMMYFUNCTION("""COMPUTED_VALUE"""),46187.0)</f>
        <v>46187</v>
      </c>
      <c r="C9110" s="122" t="str">
        <f>IFERROR(__xludf.DUMMYFUNCTION("""COMPUTED_VALUE"""),"GLAM")</f>
        <v>GLAM</v>
      </c>
      <c r="D9110" s="122" t="str">
        <f>IFERROR(__xludf.DUMMYFUNCTION("""COMPUTED_VALUE"""),"Glow Cosmetics")</f>
        <v>Glow Cosmetics</v>
      </c>
      <c r="E9110" s="122">
        <f>IFERROR(__xludf.DUMMYFUNCTION("""COMPUTED_VALUE"""),112.04)</f>
        <v>112.04</v>
      </c>
      <c r="F9110" s="122">
        <f>IFERROR(__xludf.DUMMYFUNCTION("""COMPUTED_VALUE"""),0.0029)</f>
        <v>0.0029</v>
      </c>
    </row>
    <row r="9111">
      <c r="A9111" s="131">
        <f>IFERROR(__xludf.DUMMYFUNCTION("""COMPUTED_VALUE"""),46187.66863425926)</f>
        <v>46187.66863</v>
      </c>
      <c r="B9111" s="126">
        <f>IFERROR(__xludf.DUMMYFUNCTION("""COMPUTED_VALUE"""),46187.0)</f>
        <v>46187</v>
      </c>
      <c r="C9111" s="122" t="str">
        <f>IFERROR(__xludf.DUMMYFUNCTION("""COMPUTED_VALUE"""),"BAGG")</f>
        <v>BAGG</v>
      </c>
      <c r="D9111" s="122" t="str">
        <f>IFERROR(__xludf.DUMMYFUNCTION("""COMPUTED_VALUE"""),"BagVault")</f>
        <v>BagVault</v>
      </c>
      <c r="E9111" s="122">
        <f>IFERROR(__xludf.DUMMYFUNCTION("""COMPUTED_VALUE"""),284.01)</f>
        <v>284.01</v>
      </c>
      <c r="F9111" s="122">
        <f>IFERROR(__xludf.DUMMYFUNCTION("""COMPUTED_VALUE"""),-0.0021)</f>
        <v>-0.0021</v>
      </c>
    </row>
    <row r="9112">
      <c r="A9112" s="131">
        <f>IFERROR(__xludf.DUMMYFUNCTION("""COMPUTED_VALUE"""),46187.66863425926)</f>
        <v>46187.66863</v>
      </c>
      <c r="B9112" s="126">
        <f>IFERROR(__xludf.DUMMYFUNCTION("""COMPUTED_VALUE"""),46187.0)</f>
        <v>46187</v>
      </c>
      <c r="C9112" s="122" t="str">
        <f>IFERROR(__xludf.DUMMYFUNCTION("""COMPUTED_VALUE"""),"FAST")</f>
        <v>FAST</v>
      </c>
      <c r="D9112" s="122" t="str">
        <f>IFERROR(__xludf.DUMMYFUNCTION("""COMPUTED_VALUE"""),"Flash Logistics")</f>
        <v>Flash Logistics</v>
      </c>
      <c r="E9112" s="122">
        <f>IFERROR(__xludf.DUMMYFUNCTION("""COMPUTED_VALUE"""),109.0)</f>
        <v>109</v>
      </c>
      <c r="F9112" s="122">
        <f>IFERROR(__xludf.DUMMYFUNCTION("""COMPUTED_VALUE"""),0.0056)</f>
        <v>0.0056</v>
      </c>
    </row>
    <row r="9113">
      <c r="A9113" s="131">
        <f>IFERROR(__xludf.DUMMYFUNCTION("""COMPUTED_VALUE"""),46187.66863425926)</f>
        <v>46187.66863</v>
      </c>
      <c r="B9113" s="126">
        <f>IFERROR(__xludf.DUMMYFUNCTION("""COMPUTED_VALUE"""),46187.0)</f>
        <v>46187</v>
      </c>
      <c r="C9113" s="122" t="str">
        <f>IFERROR(__xludf.DUMMYFUNCTION("""COMPUTED_VALUE"""),"SHIP")</f>
        <v>SHIP</v>
      </c>
      <c r="D9113" s="122" t="str">
        <f>IFERROR(__xludf.DUMMYFUNCTION("""COMPUTED_VALUE"""),"Seoul Shipping")</f>
        <v>Seoul Shipping</v>
      </c>
      <c r="E9113" s="122">
        <f>IFERROR(__xludf.DUMMYFUNCTION("""COMPUTED_VALUE"""),129.68)</f>
        <v>129.68</v>
      </c>
      <c r="F9113" s="122">
        <f>IFERROR(__xludf.DUMMYFUNCTION("""COMPUTED_VALUE"""),0.0046)</f>
        <v>0.0046</v>
      </c>
    </row>
    <row r="9114">
      <c r="A9114" s="131">
        <f>IFERROR(__xludf.DUMMYFUNCTION("""COMPUTED_VALUE"""),46187.66863425926)</f>
        <v>46187.66863</v>
      </c>
      <c r="B9114" s="126">
        <f>IFERROR(__xludf.DUMMYFUNCTION("""COMPUTED_VALUE"""),46187.0)</f>
        <v>46187</v>
      </c>
      <c r="C9114" s="122" t="str">
        <f>IFERROR(__xludf.DUMMYFUNCTION("""COMPUTED_VALUE"""),"DRON")</f>
        <v>DRON</v>
      </c>
      <c r="D9114" s="122" t="str">
        <f>IFERROR(__xludf.DUMMYFUNCTION("""COMPUTED_VALUE"""),"DroneDrop")</f>
        <v>DroneDrop</v>
      </c>
      <c r="E9114" s="122">
        <f>IFERROR(__xludf.DUMMYFUNCTION("""COMPUTED_VALUE"""),121.45)</f>
        <v>121.45</v>
      </c>
      <c r="F9114" s="122">
        <f>IFERROR(__xludf.DUMMYFUNCTION("""COMPUTED_VALUE"""),-0.0065)</f>
        <v>-0.0065</v>
      </c>
    </row>
    <row r="9115">
      <c r="A9115" s="131">
        <f>IFERROR(__xludf.DUMMYFUNCTION("""COMPUTED_VALUE"""),46187.66863425926)</f>
        <v>46187.66863</v>
      </c>
      <c r="B9115" s="126">
        <f>IFERROR(__xludf.DUMMYFUNCTION("""COMPUTED_VALUE"""),46187.0)</f>
        <v>46187</v>
      </c>
      <c r="C9115" s="122" t="str">
        <f>IFERROR(__xludf.DUMMYFUNCTION("""COMPUTED_VALUE"""),"RIDE")</f>
        <v>RIDE</v>
      </c>
      <c r="D9115" s="122" t="str">
        <f>IFERROR(__xludf.DUMMYFUNCTION("""COMPUTED_VALUE"""),"QuickRide")</f>
        <v>QuickRide</v>
      </c>
      <c r="E9115" s="122">
        <f>IFERROR(__xludf.DUMMYFUNCTION("""COMPUTED_VALUE"""),99.8)</f>
        <v>99.8</v>
      </c>
      <c r="F9115" s="122">
        <f>IFERROR(__xludf.DUMMYFUNCTION("""COMPUTED_VALUE"""),0.0035)</f>
        <v>0.0035</v>
      </c>
    </row>
    <row r="9116">
      <c r="A9116" s="131">
        <f>IFERROR(__xludf.DUMMYFUNCTION("""COMPUTED_VALUE"""),46187.66863425926)</f>
        <v>46187.66863</v>
      </c>
      <c r="B9116" s="126">
        <f>IFERROR(__xludf.DUMMYFUNCTION("""COMPUTED_VALUE"""),46187.0)</f>
        <v>46187</v>
      </c>
      <c r="C9116" s="122" t="str">
        <f>IFERROR(__xludf.DUMMYFUNCTION("""COMPUTED_VALUE"""),"RAIL")</f>
        <v>RAIL</v>
      </c>
      <c r="D9116" s="122" t="str">
        <f>IFERROR(__xludf.DUMMYFUNCTION("""COMPUTED_VALUE"""),"MetroRail Corp")</f>
        <v>MetroRail Corp</v>
      </c>
      <c r="E9116" s="122">
        <f>IFERROR(__xludf.DUMMYFUNCTION("""COMPUTED_VALUE"""),130.43)</f>
        <v>130.43</v>
      </c>
      <c r="F9116" s="122">
        <f>IFERROR(__xludf.DUMMYFUNCTION("""COMPUTED_VALUE"""),-6.0E-4)</f>
        <v>-0.0006</v>
      </c>
    </row>
    <row r="9117">
      <c r="A9117" s="131">
        <f>IFERROR(__xludf.DUMMYFUNCTION("""COMPUTED_VALUE"""),46187.66863425926)</f>
        <v>46187.66863</v>
      </c>
      <c r="B9117" s="126">
        <f>IFERROR(__xludf.DUMMYFUNCTION("""COMPUTED_VALUE"""),46187.0)</f>
        <v>46187</v>
      </c>
      <c r="C9117" s="122" t="str">
        <f>IFERROR(__xludf.DUMMYFUNCTION("""COMPUTED_VALUE"""),"MEDX")</f>
        <v>MEDX</v>
      </c>
      <c r="D9117" s="122" t="str">
        <f>IFERROR(__xludf.DUMMYFUNCTION("""COMPUTED_VALUE"""),"MediCore")</f>
        <v>MediCore</v>
      </c>
      <c r="E9117" s="122">
        <f>IFERROR(__xludf.DUMMYFUNCTION("""COMPUTED_VALUE"""),139.26)</f>
        <v>139.26</v>
      </c>
      <c r="F9117" s="122">
        <f>IFERROR(__xludf.DUMMYFUNCTION("""COMPUTED_VALUE"""),-0.0033)</f>
        <v>-0.0033</v>
      </c>
    </row>
    <row r="9118">
      <c r="A9118" s="131">
        <f>IFERROR(__xludf.DUMMYFUNCTION("""COMPUTED_VALUE"""),46187.66863425926)</f>
        <v>46187.66863</v>
      </c>
      <c r="B9118" s="126">
        <f>IFERROR(__xludf.DUMMYFUNCTION("""COMPUTED_VALUE"""),46187.0)</f>
        <v>46187</v>
      </c>
      <c r="C9118" s="122" t="str">
        <f>IFERROR(__xludf.DUMMYFUNCTION("""COMPUTED_VALUE"""),"GYMX")</f>
        <v>GYMX</v>
      </c>
      <c r="D9118" s="122" t="str">
        <f>IFERROR(__xludf.DUMMYFUNCTION("""COMPUTED_VALUE"""),"GymX Fitness")</f>
        <v>GymX Fitness</v>
      </c>
      <c r="E9118" s="122">
        <f>IFERROR(__xludf.DUMMYFUNCTION("""COMPUTED_VALUE"""),80.63)</f>
        <v>80.63</v>
      </c>
      <c r="F9118" s="122">
        <f>IFERROR(__xludf.DUMMYFUNCTION("""COMPUTED_VALUE"""),-0.002)</f>
        <v>-0.002</v>
      </c>
    </row>
    <row r="9119">
      <c r="A9119" s="131">
        <f>IFERROR(__xludf.DUMMYFUNCTION("""COMPUTED_VALUE"""),46187.66863425926)</f>
        <v>46187.66863</v>
      </c>
      <c r="B9119" s="126">
        <f>IFERROR(__xludf.DUMMYFUNCTION("""COMPUTED_VALUE"""),46187.0)</f>
        <v>46187</v>
      </c>
      <c r="C9119" s="122" t="str">
        <f>IFERROR(__xludf.DUMMYFUNCTION("""COMPUTED_VALUE"""),"VITA")</f>
        <v>VITA</v>
      </c>
      <c r="D9119" s="122" t="str">
        <f>IFERROR(__xludf.DUMMYFUNCTION("""COMPUTED_VALUE"""),"VitaPlus")</f>
        <v>VitaPlus</v>
      </c>
      <c r="E9119" s="122">
        <f>IFERROR(__xludf.DUMMYFUNCTION("""COMPUTED_VALUE"""),71.35)</f>
        <v>71.35</v>
      </c>
      <c r="F9119" s="122">
        <f>IFERROR(__xludf.DUMMYFUNCTION("""COMPUTED_VALUE"""),-0.0061)</f>
        <v>-0.0061</v>
      </c>
    </row>
    <row r="9120">
      <c r="A9120" s="131">
        <f>IFERROR(__xludf.DUMMYFUNCTION("""COMPUTED_VALUE"""),46187.66863425926)</f>
        <v>46187.66863</v>
      </c>
      <c r="B9120" s="126">
        <f>IFERROR(__xludf.DUMMYFUNCTION("""COMPUTED_VALUE"""),46187.0)</f>
        <v>46187</v>
      </c>
      <c r="C9120" s="122" t="str">
        <f>IFERROR(__xludf.DUMMYFUNCTION("""COMPUTED_VALUE"""),"CARE")</f>
        <v>CARE</v>
      </c>
      <c r="D9120" s="122" t="str">
        <f>IFERROR(__xludf.DUMMYFUNCTION("""COMPUTED_VALUE"""),"CareCloud")</f>
        <v>CareCloud</v>
      </c>
      <c r="E9120" s="122">
        <f>IFERROR(__xludf.DUMMYFUNCTION("""COMPUTED_VALUE"""),182.87)</f>
        <v>182.87</v>
      </c>
      <c r="F9120" s="122">
        <f>IFERROR(__xludf.DUMMYFUNCTION("""COMPUTED_VALUE"""),-0.0072)</f>
        <v>-0.0072</v>
      </c>
    </row>
    <row r="9121">
      <c r="A9121" s="131">
        <f>IFERROR(__xludf.DUMMYFUNCTION("""COMPUTED_VALUE"""),46187.66863425926)</f>
        <v>46187.66863</v>
      </c>
      <c r="B9121" s="126">
        <f>IFERROR(__xludf.DUMMYFUNCTION("""COMPUTED_VALUE"""),46187.0)</f>
        <v>46187</v>
      </c>
      <c r="C9121" s="122" t="str">
        <f>IFERROR(__xludf.DUMMYFUNCTION("""COMPUTED_VALUE"""),"DENT")</f>
        <v>DENT</v>
      </c>
      <c r="D9121" s="122" t="str">
        <f>IFERROR(__xludf.DUMMYFUNCTION("""COMPUTED_VALUE"""),"SmileWorks")</f>
        <v>SmileWorks</v>
      </c>
      <c r="E9121" s="122">
        <f>IFERROR(__xludf.DUMMYFUNCTION("""COMPUTED_VALUE"""),98.58)</f>
        <v>98.58</v>
      </c>
      <c r="F9121" s="122">
        <f>IFERROR(__xludf.DUMMYFUNCTION("""COMPUTED_VALUE"""),0.0039)</f>
        <v>0.0039</v>
      </c>
    </row>
    <row r="9122">
      <c r="A9122" s="131">
        <f>IFERROR(__xludf.DUMMYFUNCTION("""COMPUTED_VALUE"""),46187.66863425926)</f>
        <v>46187.66863</v>
      </c>
      <c r="B9122" s="126">
        <f>IFERROR(__xludf.DUMMYFUNCTION("""COMPUTED_VALUE"""),46187.0)</f>
        <v>46187</v>
      </c>
      <c r="C9122" s="122" t="str">
        <f>IFERROR(__xludf.DUMMYFUNCTION("""COMPUTED_VALUE"""),"EDUX")</f>
        <v>EDUX</v>
      </c>
      <c r="D9122" s="122" t="str">
        <f>IFERROR(__xludf.DUMMYFUNCTION("""COMPUTED_VALUE"""),"EduMax Learning")</f>
        <v>EduMax Learning</v>
      </c>
      <c r="E9122" s="122">
        <f>IFERROR(__xludf.DUMMYFUNCTION("""COMPUTED_VALUE"""),154.5)</f>
        <v>154.5</v>
      </c>
      <c r="F9122" s="122">
        <f>IFERROR(__xludf.DUMMYFUNCTION("""COMPUTED_VALUE"""),-0.0039)</f>
        <v>-0.0039</v>
      </c>
    </row>
    <row r="9123">
      <c r="A9123" s="131">
        <f>IFERROR(__xludf.DUMMYFUNCTION("""COMPUTED_VALUE"""),46187.66863425926)</f>
        <v>46187.66863</v>
      </c>
      <c r="B9123" s="126">
        <f>IFERROR(__xludf.DUMMYFUNCTION("""COMPUTED_VALUE"""),46187.0)</f>
        <v>46187</v>
      </c>
      <c r="C9123" s="122" t="str">
        <f>IFERROR(__xludf.DUMMYFUNCTION("""COMPUTED_VALUE"""),"BOOK")</f>
        <v>BOOK</v>
      </c>
      <c r="D9123" s="122" t="str">
        <f>IFERROR(__xludf.DUMMYFUNCTION("""COMPUTED_VALUE"""),"BookBridge")</f>
        <v>BookBridge</v>
      </c>
      <c r="E9123" s="122">
        <f>IFERROR(__xludf.DUMMYFUNCTION("""COMPUTED_VALUE"""),120.09)</f>
        <v>120.09</v>
      </c>
      <c r="F9123" s="122">
        <f>IFERROR(__xludf.DUMMYFUNCTION("""COMPUTED_VALUE"""),-0.0024)</f>
        <v>-0.0024</v>
      </c>
    </row>
    <row r="9124">
      <c r="A9124" s="131">
        <f>IFERROR(__xludf.DUMMYFUNCTION("""COMPUTED_VALUE"""),46187.66863425926)</f>
        <v>46187.66863</v>
      </c>
      <c r="B9124" s="126">
        <f>IFERROR(__xludf.DUMMYFUNCTION("""COMPUTED_VALUE"""),46187.0)</f>
        <v>46187</v>
      </c>
      <c r="C9124" s="122" t="str">
        <f>IFERROR(__xludf.DUMMYFUNCTION("""COMPUTED_VALUE"""),"TUTR")</f>
        <v>TUTR</v>
      </c>
      <c r="D9124" s="122" t="str">
        <f>IFERROR(__xludf.DUMMYFUNCTION("""COMPUTED_VALUE"""),"TutorTown")</f>
        <v>TutorTown</v>
      </c>
      <c r="E9124" s="122">
        <f>IFERROR(__xludf.DUMMYFUNCTION("""COMPUTED_VALUE"""),92.74)</f>
        <v>92.74</v>
      </c>
      <c r="F9124" s="122">
        <f>IFERROR(__xludf.DUMMYFUNCTION("""COMPUTED_VALUE"""),0.0055)</f>
        <v>0.0055</v>
      </c>
    </row>
    <row r="9125">
      <c r="A9125" s="131">
        <f>IFERROR(__xludf.DUMMYFUNCTION("""COMPUTED_VALUE"""),46187.66863425926)</f>
        <v>46187.66863</v>
      </c>
      <c r="B9125" s="126">
        <f>IFERROR(__xludf.DUMMYFUNCTION("""COMPUTED_VALUE"""),46187.0)</f>
        <v>46187</v>
      </c>
      <c r="C9125" s="122" t="str">
        <f>IFERROR(__xludf.DUMMYFUNCTION("""COMPUTED_VALUE"""),"LANG")</f>
        <v>LANG</v>
      </c>
      <c r="D9125" s="122" t="str">
        <f>IFERROR(__xludf.DUMMYFUNCTION("""COMPUTED_VALUE"""),"LinguaLab")</f>
        <v>LinguaLab</v>
      </c>
      <c r="E9125" s="122">
        <f>IFERROR(__xludf.DUMMYFUNCTION("""COMPUTED_VALUE"""),102.85)</f>
        <v>102.85</v>
      </c>
      <c r="F9125" s="122">
        <f>IFERROR(__xludf.DUMMYFUNCTION("""COMPUTED_VALUE"""),0.0027)</f>
        <v>0.0027</v>
      </c>
    </row>
    <row r="9126">
      <c r="A9126" s="131">
        <f>IFERROR(__xludf.DUMMYFUNCTION("""COMPUTED_VALUE"""),46187.66863425926)</f>
        <v>46187.66863</v>
      </c>
      <c r="B9126" s="126">
        <f>IFERROR(__xludf.DUMMYFUNCTION("""COMPUTED_VALUE"""),46187.0)</f>
        <v>46187</v>
      </c>
      <c r="C9126" s="122" t="str">
        <f>IFERROR(__xludf.DUMMYFUNCTION("""COMPUTED_VALUE"""),"TEST")</f>
        <v>TEST</v>
      </c>
      <c r="D9126" s="122" t="str">
        <f>IFERROR(__xludf.DUMMYFUNCTION("""COMPUTED_VALUE"""),"TestPrep Pro")</f>
        <v>TestPrep Pro</v>
      </c>
      <c r="E9126" s="122">
        <f>IFERROR(__xludf.DUMMYFUNCTION("""COMPUTED_VALUE"""),88.67)</f>
        <v>88.67</v>
      </c>
      <c r="F9126" s="122">
        <f>IFERROR(__xludf.DUMMYFUNCTION("""COMPUTED_VALUE"""),0.0018)</f>
        <v>0.0018</v>
      </c>
    </row>
    <row r="9127">
      <c r="A9127" s="131">
        <f>IFERROR(__xludf.DUMMYFUNCTION("""COMPUTED_VALUE"""),46187.66863425926)</f>
        <v>46187.66863</v>
      </c>
      <c r="B9127" s="126">
        <f>IFERROR(__xludf.DUMMYFUNCTION("""COMPUTED_VALUE"""),46187.0)</f>
        <v>46187</v>
      </c>
      <c r="C9127" s="122" t="str">
        <f>IFERROR(__xludf.DUMMYFUNCTION("""COMPUTED_VALUE"""),"MOVI")</f>
        <v>MOVI</v>
      </c>
      <c r="D9127" s="122" t="str">
        <f>IFERROR(__xludf.DUMMYFUNCTION("""COMPUTED_VALUE"""),"MovieBox")</f>
        <v>MovieBox</v>
      </c>
      <c r="E9127" s="122">
        <f>IFERROR(__xludf.DUMMYFUNCTION("""COMPUTED_VALUE"""),84.2)</f>
        <v>84.2</v>
      </c>
      <c r="F9127" s="122">
        <f>IFERROR(__xludf.DUMMYFUNCTION("""COMPUTED_VALUE"""),0.0018)</f>
        <v>0.0018</v>
      </c>
    </row>
    <row r="9128">
      <c r="A9128" s="131">
        <f>IFERROR(__xludf.DUMMYFUNCTION("""COMPUTED_VALUE"""),46187.66863425926)</f>
        <v>46187.66863</v>
      </c>
      <c r="B9128" s="126">
        <f>IFERROR(__xludf.DUMMYFUNCTION("""COMPUTED_VALUE"""),46187.0)</f>
        <v>46187</v>
      </c>
      <c r="C9128" s="122" t="str">
        <f>IFERROR(__xludf.DUMMYFUNCTION("""COMPUTED_VALUE"""),"MUSC")</f>
        <v>MUSC</v>
      </c>
      <c r="D9128" s="122" t="str">
        <f>IFERROR(__xludf.DUMMYFUNCTION("""COMPUTED_VALUE"""),"MusicWave")</f>
        <v>MusicWave</v>
      </c>
      <c r="E9128" s="122">
        <f>IFERROR(__xludf.DUMMYFUNCTION("""COMPUTED_VALUE"""),105.09)</f>
        <v>105.09</v>
      </c>
      <c r="F9128" s="122">
        <f>IFERROR(__xludf.DUMMYFUNCTION("""COMPUTED_VALUE"""),-0.0061)</f>
        <v>-0.0061</v>
      </c>
    </row>
    <row r="9129">
      <c r="A9129" s="131">
        <f>IFERROR(__xludf.DUMMYFUNCTION("""COMPUTED_VALUE"""),46187.66863425926)</f>
        <v>46187.66863</v>
      </c>
      <c r="B9129" s="126">
        <f>IFERROR(__xludf.DUMMYFUNCTION("""COMPUTED_VALUE"""),46187.0)</f>
        <v>46187</v>
      </c>
      <c r="C9129" s="122" t="str">
        <f>IFERROR(__xludf.DUMMYFUNCTION("""COMPUTED_VALUE"""),"IDOL")</f>
        <v>IDOL</v>
      </c>
      <c r="D9129" s="122" t="str">
        <f>IFERROR(__xludf.DUMMYFUNCTION("""COMPUTED_VALUE"""),"Idol Agency")</f>
        <v>Idol Agency</v>
      </c>
      <c r="E9129" s="122">
        <f>IFERROR(__xludf.DUMMYFUNCTION("""COMPUTED_VALUE"""),189.06)</f>
        <v>189.06</v>
      </c>
      <c r="F9129" s="122">
        <f>IFERROR(__xludf.DUMMYFUNCTION("""COMPUTED_VALUE"""),0.0117)</f>
        <v>0.0117</v>
      </c>
    </row>
    <row r="9130">
      <c r="A9130" s="131">
        <f>IFERROR(__xludf.DUMMYFUNCTION("""COMPUTED_VALUE"""),46187.66863425926)</f>
        <v>46187.66863</v>
      </c>
      <c r="B9130" s="126">
        <f>IFERROR(__xludf.DUMMYFUNCTION("""COMPUTED_VALUE"""),46187.0)</f>
        <v>46187</v>
      </c>
      <c r="C9130" s="122" t="str">
        <f>IFERROR(__xludf.DUMMYFUNCTION("""COMPUTED_VALUE"""),"MEME")</f>
        <v>MEME</v>
      </c>
      <c r="D9130" s="122" t="str">
        <f>IFERROR(__xludf.DUMMYFUNCTION("""COMPUTED_VALUE"""),"Meme Media")</f>
        <v>Meme Media</v>
      </c>
      <c r="E9130" s="122">
        <f>IFERROR(__xludf.DUMMYFUNCTION("""COMPUTED_VALUE"""),72.39)</f>
        <v>72.39</v>
      </c>
      <c r="F9130" s="122">
        <f>IFERROR(__xludf.DUMMYFUNCTION("""COMPUTED_VALUE"""),0.0025)</f>
        <v>0.0025</v>
      </c>
    </row>
    <row r="9131">
      <c r="A9131" s="131">
        <f>IFERROR(__xludf.DUMMYFUNCTION("""COMPUTED_VALUE"""),46187.66863425926)</f>
        <v>46187.66863</v>
      </c>
      <c r="B9131" s="126">
        <f>IFERROR(__xludf.DUMMYFUNCTION("""COMPUTED_VALUE"""),46187.0)</f>
        <v>46187</v>
      </c>
      <c r="C9131" s="122" t="str">
        <f>IFERROR(__xludf.DUMMYFUNCTION("""COMPUTED_VALUE"""),"STRM")</f>
        <v>STRM</v>
      </c>
      <c r="D9131" s="122" t="str">
        <f>IFERROR(__xludf.DUMMYFUNCTION("""COMPUTED_VALUE"""),"Streamly")</f>
        <v>Streamly</v>
      </c>
      <c r="E9131" s="122">
        <f>IFERROR(__xludf.DUMMYFUNCTION("""COMPUTED_VALUE"""),131.97)</f>
        <v>131.97</v>
      </c>
      <c r="F9131" s="122">
        <f>IFERROR(__xludf.DUMMYFUNCTION("""COMPUTED_VALUE"""),-0.0091)</f>
        <v>-0.0091</v>
      </c>
    </row>
    <row r="9132">
      <c r="A9132" s="131">
        <f>IFERROR(__xludf.DUMMYFUNCTION("""COMPUTED_VALUE"""),46187.66863425926)</f>
        <v>46187.66863</v>
      </c>
      <c r="B9132" s="126">
        <f>IFERROR(__xludf.DUMMYFUNCTION("""COMPUTED_VALUE"""),46187.0)</f>
        <v>46187</v>
      </c>
      <c r="C9132" s="122" t="str">
        <f>IFERROR(__xludf.DUMMYFUNCTION("""COMPUTED_VALUE"""),"FARM")</f>
        <v>FARM</v>
      </c>
      <c r="D9132" s="122" t="str">
        <f>IFERROR(__xludf.DUMMYFUNCTION("""COMPUTED_VALUE"""),"Future Farms")</f>
        <v>Future Farms</v>
      </c>
      <c r="E9132" s="122">
        <f>IFERROR(__xludf.DUMMYFUNCTION("""COMPUTED_VALUE"""),100.55)</f>
        <v>100.55</v>
      </c>
      <c r="F9132" s="122">
        <f>IFERROR(__xludf.DUMMYFUNCTION("""COMPUTED_VALUE"""),0.0038)</f>
        <v>0.0038</v>
      </c>
    </row>
    <row r="9133">
      <c r="A9133" s="131">
        <f>IFERROR(__xludf.DUMMYFUNCTION("""COMPUTED_VALUE"""),46187.66863425926)</f>
        <v>46187.66863</v>
      </c>
      <c r="B9133" s="126">
        <f>IFERROR(__xludf.DUMMYFUNCTION("""COMPUTED_VALUE"""),46187.0)</f>
        <v>46187</v>
      </c>
      <c r="C9133" s="122" t="str">
        <f>IFERROR(__xludf.DUMMYFUNCTION("""COMPUTED_VALUE"""),"MEAT")</f>
        <v>MEAT</v>
      </c>
      <c r="D9133" s="122" t="str">
        <f>IFERROR(__xludf.DUMMYFUNCTION("""COMPUTED_VALUE"""),"MeatWorks")</f>
        <v>MeatWorks</v>
      </c>
      <c r="E9133" s="122">
        <f>IFERROR(__xludf.DUMMYFUNCTION("""COMPUTED_VALUE"""),104.91)</f>
        <v>104.91</v>
      </c>
      <c r="F9133" s="122">
        <f>IFERROR(__xludf.DUMMYFUNCTION("""COMPUTED_VALUE"""),0.0065)</f>
        <v>0.0065</v>
      </c>
    </row>
    <row r="9134">
      <c r="A9134" s="131">
        <f>IFERROR(__xludf.DUMMYFUNCTION("""COMPUTED_VALUE"""),46187.66863425926)</f>
        <v>46187.66863</v>
      </c>
      <c r="B9134" s="126">
        <f>IFERROR(__xludf.DUMMYFUNCTION("""COMPUTED_VALUE"""),46187.0)</f>
        <v>46187</v>
      </c>
      <c r="C9134" s="122" t="str">
        <f>IFERROR(__xludf.DUMMYFUNCTION("""COMPUTED_VALUE"""),"VEGI")</f>
        <v>VEGI</v>
      </c>
      <c r="D9134" s="122" t="str">
        <f>IFERROR(__xludf.DUMMYFUNCTION("""COMPUTED_VALUE"""),"Green Basket")</f>
        <v>Green Basket</v>
      </c>
      <c r="E9134" s="122">
        <f>IFERROR(__xludf.DUMMYFUNCTION("""COMPUTED_VALUE"""),77.11)</f>
        <v>77.11</v>
      </c>
      <c r="F9134" s="122">
        <f>IFERROR(__xludf.DUMMYFUNCTION("""COMPUTED_VALUE"""),0.0029)</f>
        <v>0.0029</v>
      </c>
    </row>
    <row r="9135">
      <c r="A9135" s="131">
        <f>IFERROR(__xludf.DUMMYFUNCTION("""COMPUTED_VALUE"""),46187.66863425926)</f>
        <v>46187.66863</v>
      </c>
      <c r="B9135" s="126">
        <f>IFERROR(__xludf.DUMMYFUNCTION("""COMPUTED_VALUE"""),46187.0)</f>
        <v>46187</v>
      </c>
      <c r="C9135" s="122" t="str">
        <f>IFERROR(__xludf.DUMMYFUNCTION("""COMPUTED_VALUE"""),"CAFE")</f>
        <v>CAFE</v>
      </c>
      <c r="D9135" s="122" t="str">
        <f>IFERROR(__xludf.DUMMYFUNCTION("""COMPUTED_VALUE"""),"Cafe Cloud")</f>
        <v>Cafe Cloud</v>
      </c>
      <c r="E9135" s="122">
        <f>IFERROR(__xludf.DUMMYFUNCTION("""COMPUTED_VALUE"""),102.88)</f>
        <v>102.88</v>
      </c>
      <c r="F9135" s="122">
        <f>IFERROR(__xludf.DUMMYFUNCTION("""COMPUTED_VALUE"""),0.0032)</f>
        <v>0.0032</v>
      </c>
    </row>
    <row r="9136">
      <c r="A9136" s="131">
        <f>IFERROR(__xludf.DUMMYFUNCTION("""COMPUTED_VALUE"""),46187.66863425926)</f>
        <v>46187.66863</v>
      </c>
      <c r="B9136" s="126">
        <f>IFERROR(__xludf.DUMMYFUNCTION("""COMPUTED_VALUE"""),46187.0)</f>
        <v>46187</v>
      </c>
      <c r="C9136" s="122" t="str">
        <f>IFERROR(__xludf.DUMMYFUNCTION("""COMPUTED_VALUE"""),"BAKE")</f>
        <v>BAKE</v>
      </c>
      <c r="D9136" s="122" t="str">
        <f>IFERROR(__xludf.DUMMYFUNCTION("""COMPUTED_VALUE"""),"BakeHouse")</f>
        <v>BakeHouse</v>
      </c>
      <c r="E9136" s="122">
        <f>IFERROR(__xludf.DUMMYFUNCTION("""COMPUTED_VALUE"""),100.78)</f>
        <v>100.78</v>
      </c>
      <c r="F9136" s="122">
        <f>IFERROR(__xludf.DUMMYFUNCTION("""COMPUTED_VALUE"""),-0.0041)</f>
        <v>-0.0041</v>
      </c>
    </row>
    <row r="9137">
      <c r="A9137" s="131">
        <f>IFERROR(__xludf.DUMMYFUNCTION("""COMPUTED_VALUE"""),46187.66863425926)</f>
        <v>46187.66863</v>
      </c>
      <c r="B9137" s="126">
        <f>IFERROR(__xludf.DUMMYFUNCTION("""COMPUTED_VALUE"""),46187.0)</f>
        <v>46187</v>
      </c>
      <c r="C9137" s="122" t="str">
        <f>IFERROR(__xludf.DUMMYFUNCTION("""COMPUTED_VALUE"""),"OILX")</f>
        <v>OILX</v>
      </c>
      <c r="D9137" s="122" t="str">
        <f>IFERROR(__xludf.DUMMYFUNCTION("""COMPUTED_VALUE"""),"OilMax Energy")</f>
        <v>OilMax Energy</v>
      </c>
      <c r="E9137" s="122">
        <f>IFERROR(__xludf.DUMMYFUNCTION("""COMPUTED_VALUE"""),135.78)</f>
        <v>135.78</v>
      </c>
      <c r="F9137" s="122">
        <f>IFERROR(__xludf.DUMMYFUNCTION("""COMPUTED_VALUE"""),0.0056)</f>
        <v>0.0056</v>
      </c>
    </row>
    <row r="9138">
      <c r="A9138" s="131">
        <f>IFERROR(__xludf.DUMMYFUNCTION("""COMPUTED_VALUE"""),46187.66863425926)</f>
        <v>46187.66863</v>
      </c>
      <c r="B9138" s="126">
        <f>IFERROR(__xludf.DUMMYFUNCTION("""COMPUTED_VALUE"""),46187.0)</f>
        <v>46187</v>
      </c>
      <c r="C9138" s="122" t="str">
        <f>IFERROR(__xludf.DUMMYFUNCTION("""COMPUTED_VALUE"""),"SOLR")</f>
        <v>SOLR</v>
      </c>
      <c r="D9138" s="122" t="str">
        <f>IFERROR(__xludf.DUMMYFUNCTION("""COMPUTED_VALUE"""),"SolarSpark")</f>
        <v>SolarSpark</v>
      </c>
      <c r="E9138" s="122">
        <f>IFERROR(__xludf.DUMMYFUNCTION("""COMPUTED_VALUE"""),106.7)</f>
        <v>106.7</v>
      </c>
      <c r="F9138" s="122">
        <f>IFERROR(__xludf.DUMMYFUNCTION("""COMPUTED_VALUE"""),-8.0E-4)</f>
        <v>-0.0008</v>
      </c>
    </row>
    <row r="9139">
      <c r="A9139" s="131">
        <f>IFERROR(__xludf.DUMMYFUNCTION("""COMPUTED_VALUE"""),46187.66863425926)</f>
        <v>46187.66863</v>
      </c>
      <c r="B9139" s="126">
        <f>IFERROR(__xludf.DUMMYFUNCTION("""COMPUTED_VALUE"""),46187.0)</f>
        <v>46187</v>
      </c>
      <c r="C9139" s="122" t="str">
        <f>IFERROR(__xludf.DUMMYFUNCTION("""COMPUTED_VALUE"""),"BATT")</f>
        <v>BATT</v>
      </c>
      <c r="D9139" s="122" t="str">
        <f>IFERROR(__xludf.DUMMYFUNCTION("""COMPUTED_VALUE"""),"BatteryBox")</f>
        <v>BatteryBox</v>
      </c>
      <c r="E9139" s="122">
        <f>IFERROR(__xludf.DUMMYFUNCTION("""COMPUTED_VALUE"""),120.3)</f>
        <v>120.3</v>
      </c>
      <c r="F9139" s="122">
        <f>IFERROR(__xludf.DUMMYFUNCTION("""COMPUTED_VALUE"""),-0.01)</f>
        <v>-0.01</v>
      </c>
    </row>
    <row r="9140">
      <c r="A9140" s="131">
        <f>IFERROR(__xludf.DUMMYFUNCTION("""COMPUTED_VALUE"""),46187.66863425926)</f>
        <v>46187.66863</v>
      </c>
      <c r="B9140" s="126">
        <f>IFERROR(__xludf.DUMMYFUNCTION("""COMPUTED_VALUE"""),46187.0)</f>
        <v>46187</v>
      </c>
      <c r="C9140" s="122" t="str">
        <f>IFERROR(__xludf.DUMMYFUNCTION("""COMPUTED_VALUE"""),"WIND")</f>
        <v>WIND</v>
      </c>
      <c r="D9140" s="122" t="str">
        <f>IFERROR(__xludf.DUMMYFUNCTION("""COMPUTED_VALUE"""),"WindWorks")</f>
        <v>WindWorks</v>
      </c>
      <c r="E9140" s="122">
        <f>IFERROR(__xludf.DUMMYFUNCTION("""COMPUTED_VALUE"""),86.12)</f>
        <v>86.12</v>
      </c>
      <c r="F9140" s="122">
        <f>IFERROR(__xludf.DUMMYFUNCTION("""COMPUTED_VALUE"""),0.006)</f>
        <v>0.006</v>
      </c>
    </row>
    <row r="9141">
      <c r="A9141" s="131">
        <f>IFERROR(__xludf.DUMMYFUNCTION("""COMPUTED_VALUE"""),46187.66863425926)</f>
        <v>46187.66863</v>
      </c>
      <c r="B9141" s="126">
        <f>IFERROR(__xludf.DUMMYFUNCTION("""COMPUTED_VALUE"""),46187.0)</f>
        <v>46187</v>
      </c>
      <c r="C9141" s="122" t="str">
        <f>IFERROR(__xludf.DUMMYFUNCTION("""COMPUTED_VALUE"""),"GRID")</f>
        <v>GRID</v>
      </c>
      <c r="D9141" s="122" t="str">
        <f>IFERROR(__xludf.DUMMYFUNCTION("""COMPUTED_VALUE"""),"GridPower")</f>
        <v>GridPower</v>
      </c>
      <c r="E9141" s="122">
        <f>IFERROR(__xludf.DUMMYFUNCTION("""COMPUTED_VALUE"""),124.72)</f>
        <v>124.72</v>
      </c>
      <c r="F9141" s="122">
        <f>IFERROR(__xludf.DUMMYFUNCTION("""COMPUTED_VALUE"""),6.0E-4)</f>
        <v>0.0006</v>
      </c>
    </row>
    <row r="9142">
      <c r="A9142" s="131">
        <f>IFERROR(__xludf.DUMMYFUNCTION("""COMPUTED_VALUE"""),46187.66863425926)</f>
        <v>46187.66863</v>
      </c>
      <c r="B9142" s="126">
        <f>IFERROR(__xludf.DUMMYFUNCTION("""COMPUTED_VALUE"""),46187.0)</f>
        <v>46187</v>
      </c>
      <c r="C9142" s="122" t="str">
        <f>IFERROR(__xludf.DUMMYFUNCTION("""COMPUTED_VALUE"""),"HOME")</f>
        <v>HOME</v>
      </c>
      <c r="D9142" s="122" t="str">
        <f>IFERROR(__xludf.DUMMYFUNCTION("""COMPUTED_VALUE"""),"HomeHub")</f>
        <v>HomeHub</v>
      </c>
      <c r="E9142" s="122">
        <f>IFERROR(__xludf.DUMMYFUNCTION("""COMPUTED_VALUE"""),162.24)</f>
        <v>162.24</v>
      </c>
      <c r="F9142" s="122">
        <f>IFERROR(__xludf.DUMMYFUNCTION("""COMPUTED_VALUE"""),-0.0013)</f>
        <v>-0.0013</v>
      </c>
    </row>
    <row r="9143">
      <c r="A9143" s="131">
        <f>IFERROR(__xludf.DUMMYFUNCTION("""COMPUTED_VALUE"""),46187.66863425926)</f>
        <v>46187.66863</v>
      </c>
      <c r="B9143" s="126">
        <f>IFERROR(__xludf.DUMMYFUNCTION("""COMPUTED_VALUE"""),46187.0)</f>
        <v>46187</v>
      </c>
      <c r="C9143" s="122" t="str">
        <f>IFERROR(__xludf.DUMMYFUNCTION("""COMPUTED_VALUE"""),"RENT")</f>
        <v>RENT</v>
      </c>
      <c r="D9143" s="122" t="str">
        <f>IFERROR(__xludf.DUMMYFUNCTION("""COMPUTED_VALUE"""),"RentRight")</f>
        <v>RentRight</v>
      </c>
      <c r="E9143" s="122">
        <f>IFERROR(__xludf.DUMMYFUNCTION("""COMPUTED_VALUE"""),89.09)</f>
        <v>89.09</v>
      </c>
      <c r="F9143" s="122">
        <f>IFERROR(__xludf.DUMMYFUNCTION("""COMPUTED_VALUE"""),-0.0048)</f>
        <v>-0.0048</v>
      </c>
    </row>
    <row r="9144">
      <c r="A9144" s="131">
        <f>IFERROR(__xludf.DUMMYFUNCTION("""COMPUTED_VALUE"""),46187.66863425926)</f>
        <v>46187.66863</v>
      </c>
      <c r="B9144" s="126">
        <f>IFERROR(__xludf.DUMMYFUNCTION("""COMPUTED_VALUE"""),46187.0)</f>
        <v>46187</v>
      </c>
      <c r="C9144" s="122" t="str">
        <f>IFERROR(__xludf.DUMMYFUNCTION("""COMPUTED_VALUE"""),"MALL")</f>
        <v>MALL</v>
      </c>
      <c r="D9144" s="122" t="str">
        <f>IFERROR(__xludf.DUMMYFUNCTION("""COMPUTED_VALUE"""),"MegaMall")</f>
        <v>MegaMall</v>
      </c>
      <c r="E9144" s="122">
        <f>IFERROR(__xludf.DUMMYFUNCTION("""COMPUTED_VALUE"""),101.95)</f>
        <v>101.95</v>
      </c>
      <c r="F9144" s="122">
        <f>IFERROR(__xludf.DUMMYFUNCTION("""COMPUTED_VALUE"""),-0.002)</f>
        <v>-0.002</v>
      </c>
    </row>
    <row r="9145">
      <c r="A9145" s="131">
        <f>IFERROR(__xludf.DUMMYFUNCTION("""COMPUTED_VALUE"""),46187.66863425926)</f>
        <v>46187.66863</v>
      </c>
      <c r="B9145" s="126">
        <f>IFERROR(__xludf.DUMMYFUNCTION("""COMPUTED_VALUE"""),46187.0)</f>
        <v>46187</v>
      </c>
      <c r="C9145" s="122" t="str">
        <f>IFERROR(__xludf.DUMMYFUNCTION("""COMPUTED_VALUE"""),"HOTL")</f>
        <v>HOTL</v>
      </c>
      <c r="D9145" s="122" t="str">
        <f>IFERROR(__xludf.DUMMYFUNCTION("""COMPUTED_VALUE"""),"HotelHive")</f>
        <v>HotelHive</v>
      </c>
      <c r="E9145" s="122">
        <f>IFERROR(__xludf.DUMMYFUNCTION("""COMPUTED_VALUE"""),120.52)</f>
        <v>120.52</v>
      </c>
      <c r="F9145" s="122">
        <f>IFERROR(__xludf.DUMMYFUNCTION("""COMPUTED_VALUE"""),-0.0023)</f>
        <v>-0.0023</v>
      </c>
    </row>
    <row r="9146">
      <c r="A9146" s="131">
        <f>IFERROR(__xludf.DUMMYFUNCTION("""COMPUTED_VALUE"""),46187.66863425926)</f>
        <v>46187.66863</v>
      </c>
      <c r="B9146" s="126">
        <f>IFERROR(__xludf.DUMMYFUNCTION("""COMPUTED_VALUE"""),46187.0)</f>
        <v>46187</v>
      </c>
      <c r="C9146" s="122" t="str">
        <f>IFERROR(__xludf.DUMMYFUNCTION("""COMPUTED_VALUE"""),"LAND")</f>
        <v>LAND</v>
      </c>
      <c r="D9146" s="122" t="str">
        <f>IFERROR(__xludf.DUMMYFUNCTION("""COMPUTED_VALUE"""),"LandLink")</f>
        <v>LandLink</v>
      </c>
      <c r="E9146" s="122">
        <f>IFERROR(__xludf.DUMMYFUNCTION("""COMPUTED_VALUE"""),187.07)</f>
        <v>187.07</v>
      </c>
      <c r="F9146" s="122">
        <f>IFERROR(__xludf.DUMMYFUNCTION("""COMPUTED_VALUE"""),0.0)</f>
        <v>0</v>
      </c>
    </row>
    <row r="9147">
      <c r="A9147" s="131">
        <f>IFERROR(__xludf.DUMMYFUNCTION("""COMPUTED_VALUE"""),46187.66863425926)</f>
        <v>46187.66863</v>
      </c>
      <c r="B9147" s="126">
        <f>IFERROR(__xludf.DUMMYFUNCTION("""COMPUTED_VALUE"""),46187.0)</f>
        <v>46187</v>
      </c>
      <c r="C9147" s="122" t="str">
        <f>IFERROR(__xludf.DUMMYFUNCTION("""COMPUTED_VALUE"""),"CARS")</f>
        <v>CARS</v>
      </c>
      <c r="D9147" s="122" t="str">
        <f>IFERROR(__xludf.DUMMYFUNCTION("""COMPUTED_VALUE"""),"AutoArena")</f>
        <v>AutoArena</v>
      </c>
      <c r="E9147" s="122">
        <f>IFERROR(__xludf.DUMMYFUNCTION("""COMPUTED_VALUE"""),81.14)</f>
        <v>81.14</v>
      </c>
      <c r="F9147" s="122">
        <f>IFERROR(__xludf.DUMMYFUNCTION("""COMPUTED_VALUE"""),-0.0081)</f>
        <v>-0.0081</v>
      </c>
    </row>
    <row r="9148">
      <c r="A9148" s="131">
        <f>IFERROR(__xludf.DUMMYFUNCTION("""COMPUTED_VALUE"""),46187.66863425926)</f>
        <v>46187.66863</v>
      </c>
      <c r="B9148" s="126">
        <f>IFERROR(__xludf.DUMMYFUNCTION("""COMPUTED_VALUE"""),46187.0)</f>
        <v>46187</v>
      </c>
      <c r="C9148" s="122" t="str">
        <f>IFERROR(__xludf.DUMMYFUNCTION("""COMPUTED_VALUE"""),"EVGO")</f>
        <v>EVGO</v>
      </c>
      <c r="D9148" s="122" t="str">
        <f>IFERROR(__xludf.DUMMYFUNCTION("""COMPUTED_VALUE"""),"EVGo Motors")</f>
        <v>EVGo Motors</v>
      </c>
      <c r="E9148" s="122">
        <f>IFERROR(__xludf.DUMMYFUNCTION("""COMPUTED_VALUE"""),191.76)</f>
        <v>191.76</v>
      </c>
      <c r="F9148" s="122">
        <f>IFERROR(__xludf.DUMMYFUNCTION("""COMPUTED_VALUE"""),0.0047)</f>
        <v>0.0047</v>
      </c>
    </row>
    <row r="9149">
      <c r="A9149" s="131">
        <f>IFERROR(__xludf.DUMMYFUNCTION("""COMPUTED_VALUE"""),46187.66863425926)</f>
        <v>46187.66863</v>
      </c>
      <c r="B9149" s="126">
        <f>IFERROR(__xludf.DUMMYFUNCTION("""COMPUTED_VALUE"""),46187.0)</f>
        <v>46187</v>
      </c>
      <c r="C9149" s="122" t="str">
        <f>IFERROR(__xludf.DUMMYFUNCTION("""COMPUTED_VALUE"""),"TIRE")</f>
        <v>TIRE</v>
      </c>
      <c r="D9149" s="122" t="str">
        <f>IFERROR(__xludf.DUMMYFUNCTION("""COMPUTED_VALUE"""),"TireTown")</f>
        <v>TireTown</v>
      </c>
      <c r="E9149" s="122">
        <f>IFERROR(__xludf.DUMMYFUNCTION("""COMPUTED_VALUE"""),98.93)</f>
        <v>98.93</v>
      </c>
      <c r="F9149" s="122">
        <f>IFERROR(__xludf.DUMMYFUNCTION("""COMPUTED_VALUE"""),-0.0017)</f>
        <v>-0.0017</v>
      </c>
    </row>
    <row r="9150">
      <c r="A9150" s="131">
        <f>IFERROR(__xludf.DUMMYFUNCTION("""COMPUTED_VALUE"""),46187.66863425926)</f>
        <v>46187.66863</v>
      </c>
      <c r="B9150" s="126">
        <f>IFERROR(__xludf.DUMMYFUNCTION("""COMPUTED_VALUE"""),46187.0)</f>
        <v>46187</v>
      </c>
      <c r="C9150" s="122" t="str">
        <f>IFERROR(__xludf.DUMMYFUNCTION("""COMPUTED_VALUE"""),"BIKE")</f>
        <v>BIKE</v>
      </c>
      <c r="D9150" s="122" t="str">
        <f>IFERROR(__xludf.DUMMYFUNCTION("""COMPUTED_VALUE"""),"BikeBox")</f>
        <v>BikeBox</v>
      </c>
      <c r="E9150" s="122">
        <f>IFERROR(__xludf.DUMMYFUNCTION("""COMPUTED_VALUE"""),51.55)</f>
        <v>51.55</v>
      </c>
      <c r="F9150" s="122">
        <f>IFERROR(__xludf.DUMMYFUNCTION("""COMPUTED_VALUE"""),-0.0017)</f>
        <v>-0.0017</v>
      </c>
    </row>
    <row r="9151">
      <c r="A9151" s="131">
        <f>IFERROR(__xludf.DUMMYFUNCTION("""COMPUTED_VALUE"""),46187.66863425926)</f>
        <v>46187.66863</v>
      </c>
      <c r="B9151" s="126">
        <f>IFERROR(__xludf.DUMMYFUNCTION("""COMPUTED_VALUE"""),46187.0)</f>
        <v>46187</v>
      </c>
      <c r="C9151" s="122" t="str">
        <f>IFERROR(__xludf.DUMMYFUNCTION("""COMPUTED_VALUE"""),"WASH")</f>
        <v>WASH</v>
      </c>
      <c r="D9151" s="122" t="str">
        <f>IFERROR(__xludf.DUMMYFUNCTION("""COMPUTED_VALUE"""),"CarWash Co")</f>
        <v>CarWash Co</v>
      </c>
      <c r="E9151" s="122">
        <f>IFERROR(__xludf.DUMMYFUNCTION("""COMPUTED_VALUE"""),123.44)</f>
        <v>123.44</v>
      </c>
      <c r="F9151" s="122">
        <f>IFERROR(__xludf.DUMMYFUNCTION("""COMPUTED_VALUE"""),-0.0019)</f>
        <v>-0.0019</v>
      </c>
    </row>
    <row r="9152">
      <c r="A9152" s="131">
        <f>IFERROR(__xludf.DUMMYFUNCTION("""COMPUTED_VALUE"""),46187.66863425926)</f>
        <v>46187.66863</v>
      </c>
      <c r="B9152" s="126">
        <f>IFERROR(__xludf.DUMMYFUNCTION("""COMPUTED_VALUE"""),46187.0)</f>
        <v>46187</v>
      </c>
      <c r="C9152" s="122" t="str">
        <f>IFERROR(__xludf.DUMMYFUNCTION("""COMPUTED_VALUE"""),"GBND")</f>
        <v>GBND</v>
      </c>
      <c r="D9152" s="122" t="str">
        <f>IFERROR(__xludf.DUMMYFUNCTION("""COMPUTED_VALUE"""),"Classroom Government Bond")</f>
        <v>Classroom Government Bond</v>
      </c>
      <c r="E9152" s="122">
        <f>IFERROR(__xludf.DUMMYFUNCTION("""COMPUTED_VALUE"""),101.14)</f>
        <v>101.14</v>
      </c>
      <c r="F9152" s="122">
        <f>IFERROR(__xludf.DUMMYFUNCTION("""COMPUTED_VALUE"""),4.0E-4)</f>
        <v>0.0004</v>
      </c>
    </row>
    <row r="9153">
      <c r="A9153" s="131">
        <f>IFERROR(__xludf.DUMMYFUNCTION("""COMPUTED_VALUE"""),46187.66863425926)</f>
        <v>46187.66863</v>
      </c>
      <c r="B9153" s="126">
        <f>IFERROR(__xludf.DUMMYFUNCTION("""COMPUTED_VALUE"""),46187.0)</f>
        <v>46187</v>
      </c>
      <c r="C9153" s="122" t="str">
        <f>IFERROR(__xludf.DUMMYFUNCTION("""COMPUTED_VALUE"""),"SBND")</f>
        <v>SBND</v>
      </c>
      <c r="D9153" s="122" t="str">
        <f>IFERROR(__xludf.DUMMYFUNCTION("""COMPUTED_VALUE"""),"School Savings Bond")</f>
        <v>School Savings Bond</v>
      </c>
      <c r="E9153" s="122">
        <f>IFERROR(__xludf.DUMMYFUNCTION("""COMPUTED_VALUE"""),99.23)</f>
        <v>99.23</v>
      </c>
      <c r="F9153" s="122">
        <f>IFERROR(__xludf.DUMMYFUNCTION("""COMPUTED_VALUE"""),2.0E-4)</f>
        <v>0.0002</v>
      </c>
    </row>
    <row r="9154">
      <c r="A9154" s="131">
        <f>IFERROR(__xludf.DUMMYFUNCTION("""COMPUTED_VALUE"""),46187.66863425926)</f>
        <v>46187.66863</v>
      </c>
      <c r="B9154" s="126">
        <f>IFERROR(__xludf.DUMMYFUNCTION("""COMPUTED_VALUE"""),46187.0)</f>
        <v>46187</v>
      </c>
      <c r="C9154" s="122" t="str">
        <f>IFERROR(__xludf.DUMMYFUNCTION("""COMPUTED_VALUE"""),"CBND")</f>
        <v>CBND</v>
      </c>
      <c r="D9154" s="122" t="str">
        <f>IFERROR(__xludf.DUMMYFUNCTION("""COMPUTED_VALUE"""),"Corporate Classroom Bond")</f>
        <v>Corporate Classroom Bond</v>
      </c>
      <c r="E9154" s="122">
        <f>IFERROR(__xludf.DUMMYFUNCTION("""COMPUTED_VALUE"""),97.89)</f>
        <v>97.89</v>
      </c>
      <c r="F9154" s="122">
        <f>IFERROR(__xludf.DUMMYFUNCTION("""COMPUTED_VALUE"""),2.0E-4)</f>
        <v>0.0002</v>
      </c>
    </row>
    <row r="9155">
      <c r="A9155" s="131">
        <f>IFERROR(__xludf.DUMMYFUNCTION("""COMPUTED_VALUE"""),46187.66863425926)</f>
        <v>46187.66863</v>
      </c>
      <c r="B9155" s="126">
        <f>IFERROR(__xludf.DUMMYFUNCTION("""COMPUTED_VALUE"""),46187.0)</f>
        <v>46187</v>
      </c>
      <c r="C9155" s="122" t="str">
        <f>IFERROR(__xludf.DUMMYFUNCTION("""COMPUTED_VALUE"""),"TBIL")</f>
        <v>TBIL</v>
      </c>
      <c r="D9155" s="122" t="str">
        <f>IFERROR(__xludf.DUMMYFUNCTION("""COMPUTED_VALUE"""),"Treasury Bill")</f>
        <v>Treasury Bill</v>
      </c>
      <c r="E9155" s="122">
        <f>IFERROR(__xludf.DUMMYFUNCTION("""COMPUTED_VALUE"""),97.77)</f>
        <v>97.77</v>
      </c>
      <c r="F9155" s="122">
        <f>IFERROR(__xludf.DUMMYFUNCTION("""COMPUTED_VALUE"""),-3.0E-4)</f>
        <v>-0.0003</v>
      </c>
    </row>
    <row r="9156">
      <c r="A9156" s="131">
        <f>IFERROR(__xludf.DUMMYFUNCTION("""COMPUTED_VALUE"""),46187.66863425926)</f>
        <v>46187.66863</v>
      </c>
      <c r="B9156" s="126">
        <f>IFERROR(__xludf.DUMMYFUNCTION("""COMPUTED_VALUE"""),46187.0)</f>
        <v>46187</v>
      </c>
      <c r="C9156" s="122" t="str">
        <f>IFERROR(__xludf.DUMMYFUNCTION("""COMPUTED_VALUE"""),"IBND")</f>
        <v>IBND</v>
      </c>
      <c r="D9156" s="122" t="str">
        <f>IFERROR(__xludf.DUMMYFUNCTION("""COMPUTED_VALUE"""),"Inflation Protected Bond")</f>
        <v>Inflation Protected Bond</v>
      </c>
      <c r="E9156" s="122">
        <f>IFERROR(__xludf.DUMMYFUNCTION("""COMPUTED_VALUE"""),100.79)</f>
        <v>100.79</v>
      </c>
      <c r="F9156" s="122">
        <f>IFERROR(__xludf.DUMMYFUNCTION("""COMPUTED_VALUE"""),-1.0E-4)</f>
        <v>-0.0001</v>
      </c>
    </row>
    <row r="9157">
      <c r="A9157" s="131">
        <f>IFERROR(__xludf.DUMMYFUNCTION("""COMPUTED_VALUE"""),46187.669641203705)</f>
        <v>46187.66964</v>
      </c>
      <c r="B9157" s="126">
        <f>IFERROR(__xludf.DUMMYFUNCTION("""COMPUTED_VALUE"""),46187.0)</f>
        <v>46187</v>
      </c>
      <c r="C9157" s="130">
        <f>IFERROR(__xludf.DUMMYFUNCTION("""COMPUTED_VALUE"""),0.6696412037037037)</f>
        <v>0.6696412037</v>
      </c>
      <c r="D9157" s="122" t="str">
        <f>IFERROR(__xludf.DUMMYFUNCTION("""COMPUTED_VALUE"""),"SNAX")</f>
        <v>SNAX</v>
      </c>
      <c r="E9157" s="122" t="str">
        <f>IFERROR(__xludf.DUMMYFUNCTION("""COMPUTED_VALUE"""),"MICA Snacks")</f>
        <v>MICA Snacks</v>
      </c>
      <c r="F9157" s="122" t="str">
        <f>IFERROR(__xludf.DUMMYFUNCTION("""COMPUTED_VALUE"""),"Consumer Goods")</f>
        <v>Consumer Goods</v>
      </c>
    </row>
    <row r="9158">
      <c r="A9158" s="131">
        <f>IFERROR(__xludf.DUMMYFUNCTION("""COMPUTED_VALUE"""),46187.669641203705)</f>
        <v>46187.66964</v>
      </c>
      <c r="B9158" s="126">
        <f>IFERROR(__xludf.DUMMYFUNCTION("""COMPUTED_VALUE"""),46187.0)</f>
        <v>46187</v>
      </c>
      <c r="C9158" s="130">
        <f>IFERROR(__xludf.DUMMYFUNCTION("""COMPUTED_VALUE"""),0.6696412037037037)</f>
        <v>0.6696412037</v>
      </c>
      <c r="D9158" s="122" t="str">
        <f>IFERROR(__xludf.DUMMYFUNCTION("""COMPUTED_VALUE"""),"RAMN")</f>
        <v>RAMN</v>
      </c>
      <c r="E9158" s="122" t="str">
        <f>IFERROR(__xludf.DUMMYFUNCTION("""COMPUTED_VALUE"""),"Ramen Republic")</f>
        <v>Ramen Republic</v>
      </c>
      <c r="F9158" s="122" t="str">
        <f>IFERROR(__xludf.DUMMYFUNCTION("""COMPUTED_VALUE"""),"Food")</f>
        <v>Food</v>
      </c>
    </row>
    <row r="9159">
      <c r="A9159" s="131">
        <f>IFERROR(__xludf.DUMMYFUNCTION("""COMPUTED_VALUE"""),46187.669641203705)</f>
        <v>46187.66964</v>
      </c>
      <c r="B9159" s="126">
        <f>IFERROR(__xludf.DUMMYFUNCTION("""COMPUTED_VALUE"""),46187.0)</f>
        <v>46187</v>
      </c>
      <c r="C9159" s="130">
        <f>IFERROR(__xludf.DUMMYFUNCTION("""COMPUTED_VALUE"""),0.6696412037037037)</f>
        <v>0.6696412037</v>
      </c>
      <c r="D9159" s="122" t="str">
        <f>IFERROR(__xludf.DUMMYFUNCTION("""COMPUTED_VALUE"""),"COLA")</f>
        <v>COLA</v>
      </c>
      <c r="E9159" s="122" t="str">
        <f>IFERROR(__xludf.DUMMYFUNCTION("""COMPUTED_VALUE"""),"K-Pop Cola")</f>
        <v>K-Pop Cola</v>
      </c>
      <c r="F9159" s="122" t="str">
        <f>IFERROR(__xludf.DUMMYFUNCTION("""COMPUTED_VALUE"""),"Beverage")</f>
        <v>Beverage</v>
      </c>
    </row>
    <row r="9160">
      <c r="A9160" s="131">
        <f>IFERROR(__xludf.DUMMYFUNCTION("""COMPUTED_VALUE"""),46187.669641203705)</f>
        <v>46187.66964</v>
      </c>
      <c r="B9160" s="126">
        <f>IFERROR(__xludf.DUMMYFUNCTION("""COMPUTED_VALUE"""),46187.0)</f>
        <v>46187</v>
      </c>
      <c r="C9160" s="130">
        <f>IFERROR(__xludf.DUMMYFUNCTION("""COMPUTED_VALUE"""),0.6696412037037037)</f>
        <v>0.6696412037</v>
      </c>
      <c r="D9160" s="122" t="str">
        <f>IFERROR(__xludf.DUMMYFUNCTION("""COMPUTED_VALUE"""),"CHIP")</f>
        <v>CHIP</v>
      </c>
      <c r="E9160" s="122" t="str">
        <f>IFERROR(__xludf.DUMMYFUNCTION("""COMPUTED_VALUE"""),"Chip Empire")</f>
        <v>Chip Empire</v>
      </c>
      <c r="F9160" s="122" t="str">
        <f>IFERROR(__xludf.DUMMYFUNCTION("""COMPUTED_VALUE"""),"Consumer Goods")</f>
        <v>Consumer Goods</v>
      </c>
    </row>
    <row r="9161">
      <c r="A9161" s="131">
        <f>IFERROR(__xludf.DUMMYFUNCTION("""COMPUTED_VALUE"""),46187.669641203705)</f>
        <v>46187.66964</v>
      </c>
      <c r="B9161" s="126">
        <f>IFERROR(__xludf.DUMMYFUNCTION("""COMPUTED_VALUE"""),46187.0)</f>
        <v>46187</v>
      </c>
      <c r="C9161" s="130">
        <f>IFERROR(__xludf.DUMMYFUNCTION("""COMPUTED_VALUE"""),0.6696412037037037)</f>
        <v>0.6696412037</v>
      </c>
      <c r="D9161" s="122" t="str">
        <f>IFERROR(__xludf.DUMMYFUNCTION("""COMPUTED_VALUE"""),"CAND")</f>
        <v>CAND</v>
      </c>
      <c r="E9161" s="122" t="str">
        <f>IFERROR(__xludf.DUMMYFUNCTION("""COMPUTED_VALUE"""),"Candy Capital")</f>
        <v>Candy Capital</v>
      </c>
      <c r="F9161" s="122" t="str">
        <f>IFERROR(__xludf.DUMMYFUNCTION("""COMPUTED_VALUE"""),"Consumer Goods")</f>
        <v>Consumer Goods</v>
      </c>
    </row>
    <row r="9162">
      <c r="A9162" s="131">
        <f>IFERROR(__xludf.DUMMYFUNCTION("""COMPUTED_VALUE"""),46187.669641203705)</f>
        <v>46187.66964</v>
      </c>
      <c r="B9162" s="126">
        <f>IFERROR(__xludf.DUMMYFUNCTION("""COMPUTED_VALUE"""),46187.0)</f>
        <v>46187</v>
      </c>
      <c r="C9162" s="130">
        <f>IFERROR(__xludf.DUMMYFUNCTION("""COMPUTED_VALUE"""),0.6696412037037037)</f>
        <v>0.6696412037</v>
      </c>
      <c r="D9162" s="122" t="str">
        <f>IFERROR(__xludf.DUMMYFUNCTION("""COMPUTED_VALUE"""),"TECH")</f>
        <v>TECH</v>
      </c>
      <c r="E9162" s="122" t="str">
        <f>IFERROR(__xludf.DUMMYFUNCTION("""COMPUTED_VALUE"""),"Dragon Tech")</f>
        <v>Dragon Tech</v>
      </c>
      <c r="F9162" s="122" t="str">
        <f>IFERROR(__xludf.DUMMYFUNCTION("""COMPUTED_VALUE"""),"Technology")</f>
        <v>Technology</v>
      </c>
    </row>
    <row r="9163">
      <c r="A9163" s="131">
        <f>IFERROR(__xludf.DUMMYFUNCTION("""COMPUTED_VALUE"""),46187.669641203705)</f>
        <v>46187.66964</v>
      </c>
      <c r="B9163" s="126">
        <f>IFERROR(__xludf.DUMMYFUNCTION("""COMPUTED_VALUE"""),46187.0)</f>
        <v>46187</v>
      </c>
      <c r="C9163" s="130">
        <f>IFERROR(__xludf.DUMMYFUNCTION("""COMPUTED_VALUE"""),0.6696412037037037)</f>
        <v>0.6696412037</v>
      </c>
      <c r="D9163" s="122" t="str">
        <f>IFERROR(__xludf.DUMMYFUNCTION("""COMPUTED_VALUE"""),"AIBO")</f>
        <v>AIBO</v>
      </c>
      <c r="E9163" s="122" t="str">
        <f>IFERROR(__xludf.DUMMYFUNCTION("""COMPUTED_VALUE"""),"Homework AI")</f>
        <v>Homework AI</v>
      </c>
      <c r="F9163" s="122" t="str">
        <f>IFERROR(__xludf.DUMMYFUNCTION("""COMPUTED_VALUE"""),"Technology")</f>
        <v>Technology</v>
      </c>
    </row>
    <row r="9164">
      <c r="A9164" s="131">
        <f>IFERROR(__xludf.DUMMYFUNCTION("""COMPUTED_VALUE"""),46187.669641203705)</f>
        <v>46187.66964</v>
      </c>
      <c r="B9164" s="126">
        <f>IFERROR(__xludf.DUMMYFUNCTION("""COMPUTED_VALUE"""),46187.0)</f>
        <v>46187</v>
      </c>
      <c r="C9164" s="130">
        <f>IFERROR(__xludf.DUMMYFUNCTION("""COMPUTED_VALUE"""),0.6696412037037037)</f>
        <v>0.6696412037</v>
      </c>
      <c r="D9164" s="122" t="str">
        <f>IFERROR(__xludf.DUMMYFUNCTION("""COMPUTED_VALUE"""),"GAME")</f>
        <v>GAME</v>
      </c>
      <c r="E9164" s="122" t="str">
        <f>IFERROR(__xludf.DUMMYFUNCTION("""COMPUTED_VALUE"""),"GameBox Media")</f>
        <v>GameBox Media</v>
      </c>
      <c r="F9164" s="122" t="str">
        <f>IFERROR(__xludf.DUMMYFUNCTION("""COMPUTED_VALUE"""),"Entertainment")</f>
        <v>Entertainment</v>
      </c>
    </row>
    <row r="9165">
      <c r="A9165" s="131">
        <f>IFERROR(__xludf.DUMMYFUNCTION("""COMPUTED_VALUE"""),46187.669641203705)</f>
        <v>46187.66964</v>
      </c>
      <c r="B9165" s="126">
        <f>IFERROR(__xludf.DUMMYFUNCTION("""COMPUTED_VALUE"""),46187.0)</f>
        <v>46187</v>
      </c>
      <c r="C9165" s="130">
        <f>IFERROR(__xludf.DUMMYFUNCTION("""COMPUTED_VALUE"""),0.6696412037037037)</f>
        <v>0.6696412037</v>
      </c>
      <c r="D9165" s="122" t="str">
        <f>IFERROR(__xludf.DUMMYFUNCTION("""COMPUTED_VALUE"""),"VRSE")</f>
        <v>VRSE</v>
      </c>
      <c r="E9165" s="122" t="str">
        <f>IFERROR(__xludf.DUMMYFUNCTION("""COMPUTED_VALUE"""),"VerseVR")</f>
        <v>VerseVR</v>
      </c>
      <c r="F9165" s="122" t="str">
        <f>IFERROR(__xludf.DUMMYFUNCTION("""COMPUTED_VALUE"""),"Technology")</f>
        <v>Technology</v>
      </c>
    </row>
    <row r="9166">
      <c r="A9166" s="131">
        <f>IFERROR(__xludf.DUMMYFUNCTION("""COMPUTED_VALUE"""),46187.669641203705)</f>
        <v>46187.66964</v>
      </c>
      <c r="B9166" s="126">
        <f>IFERROR(__xludf.DUMMYFUNCTION("""COMPUTED_VALUE"""),46187.0)</f>
        <v>46187</v>
      </c>
      <c r="C9166" s="130">
        <f>IFERROR(__xludf.DUMMYFUNCTION("""COMPUTED_VALUE"""),0.6696412037037037)</f>
        <v>0.6696412037</v>
      </c>
      <c r="D9166" s="122" t="str">
        <f>IFERROR(__xludf.DUMMYFUNCTION("""COMPUTED_VALUE"""),"BYTE")</f>
        <v>BYTE</v>
      </c>
      <c r="E9166" s="122" t="str">
        <f>IFERROR(__xludf.DUMMYFUNCTION("""COMPUTED_VALUE"""),"ByteWorks")</f>
        <v>ByteWorks</v>
      </c>
      <c r="F9166" s="122" t="str">
        <f>IFERROR(__xludf.DUMMYFUNCTION("""COMPUTED_VALUE"""),"Technology")</f>
        <v>Technology</v>
      </c>
    </row>
    <row r="9167">
      <c r="A9167" s="131">
        <f>IFERROR(__xludf.DUMMYFUNCTION("""COMPUTED_VALUE"""),46187.669641203705)</f>
        <v>46187.66964</v>
      </c>
      <c r="B9167" s="126">
        <f>IFERROR(__xludf.DUMMYFUNCTION("""COMPUTED_VALUE"""),46187.0)</f>
        <v>46187</v>
      </c>
      <c r="C9167" s="130">
        <f>IFERROR(__xludf.DUMMYFUNCTION("""COMPUTED_VALUE"""),0.6696412037037037)</f>
        <v>0.6696412037</v>
      </c>
      <c r="D9167" s="122" t="str">
        <f>IFERROR(__xludf.DUMMYFUNCTION("""COMPUTED_VALUE"""),"BANK")</f>
        <v>BANK</v>
      </c>
      <c r="E9167" s="122" t="str">
        <f>IFERROR(__xludf.DUMMYFUNCTION("""COMPUTED_VALUE"""),"Tiger Bank")</f>
        <v>Tiger Bank</v>
      </c>
      <c r="F9167" s="122" t="str">
        <f>IFERROR(__xludf.DUMMYFUNCTION("""COMPUTED_VALUE"""),"Finance")</f>
        <v>Finance</v>
      </c>
    </row>
    <row r="9168">
      <c r="A9168" s="131">
        <f>IFERROR(__xludf.DUMMYFUNCTION("""COMPUTED_VALUE"""),46187.669641203705)</f>
        <v>46187.66964</v>
      </c>
      <c r="B9168" s="126">
        <f>IFERROR(__xludf.DUMMYFUNCTION("""COMPUTED_VALUE"""),46187.0)</f>
        <v>46187</v>
      </c>
      <c r="C9168" s="130">
        <f>IFERROR(__xludf.DUMMYFUNCTION("""COMPUTED_VALUE"""),0.6696412037037037)</f>
        <v>0.6696412037</v>
      </c>
      <c r="D9168" s="122" t="str">
        <f>IFERROR(__xludf.DUMMYFUNCTION("""COMPUTED_VALUE"""),"CRED")</f>
        <v>CRED</v>
      </c>
      <c r="E9168" s="122" t="str">
        <f>IFERROR(__xludf.DUMMYFUNCTION("""COMPUTED_VALUE"""),"Credit Castle")</f>
        <v>Credit Castle</v>
      </c>
      <c r="F9168" s="122" t="str">
        <f>IFERROR(__xludf.DUMMYFUNCTION("""COMPUTED_VALUE"""),"Finance")</f>
        <v>Finance</v>
      </c>
    </row>
    <row r="9169">
      <c r="A9169" s="131">
        <f>IFERROR(__xludf.DUMMYFUNCTION("""COMPUTED_VALUE"""),46187.669641203705)</f>
        <v>46187.66964</v>
      </c>
      <c r="B9169" s="126">
        <f>IFERROR(__xludf.DUMMYFUNCTION("""COMPUTED_VALUE"""),46187.0)</f>
        <v>46187</v>
      </c>
      <c r="C9169" s="130">
        <f>IFERROR(__xludf.DUMMYFUNCTION("""COMPUTED_VALUE"""),0.6696412037037037)</f>
        <v>0.6696412037</v>
      </c>
      <c r="D9169" s="122" t="str">
        <f>IFERROR(__xludf.DUMMYFUNCTION("""COMPUTED_VALUE"""),"BOND")</f>
        <v>BOND</v>
      </c>
      <c r="E9169" s="122" t="str">
        <f>IFERROR(__xludf.DUMMYFUNCTION("""COMPUTED_VALUE"""),"BondBridge")</f>
        <v>BondBridge</v>
      </c>
      <c r="F9169" s="122" t="str">
        <f>IFERROR(__xludf.DUMMYFUNCTION("""COMPUTED_VALUE"""),"Finance")</f>
        <v>Finance</v>
      </c>
    </row>
    <row r="9170">
      <c r="A9170" s="131">
        <f>IFERROR(__xludf.DUMMYFUNCTION("""COMPUTED_VALUE"""),46187.669641203705)</f>
        <v>46187.66964</v>
      </c>
      <c r="B9170" s="126">
        <f>IFERROR(__xludf.DUMMYFUNCTION("""COMPUTED_VALUE"""),46187.0)</f>
        <v>46187</v>
      </c>
      <c r="C9170" s="130">
        <f>IFERROR(__xludf.DUMMYFUNCTION("""COMPUTED_VALUE"""),0.6696412037037037)</f>
        <v>0.6696412037</v>
      </c>
      <c r="D9170" s="122" t="str">
        <f>IFERROR(__xludf.DUMMYFUNCTION("""COMPUTED_VALUE"""),"INSR")</f>
        <v>INSR</v>
      </c>
      <c r="E9170" s="122" t="str">
        <f>IFERROR(__xludf.DUMMYFUNCTION("""COMPUTED_VALUE"""),"Shield Insurance")</f>
        <v>Shield Insurance</v>
      </c>
      <c r="F9170" s="122" t="str">
        <f>IFERROR(__xludf.DUMMYFUNCTION("""COMPUTED_VALUE"""),"Finance")</f>
        <v>Finance</v>
      </c>
    </row>
    <row r="9171">
      <c r="A9171" s="131">
        <f>IFERROR(__xludf.DUMMYFUNCTION("""COMPUTED_VALUE"""),46187.669641203705)</f>
        <v>46187.66964</v>
      </c>
      <c r="B9171" s="126">
        <f>IFERROR(__xludf.DUMMYFUNCTION("""COMPUTED_VALUE"""),46187.0)</f>
        <v>46187</v>
      </c>
      <c r="C9171" s="130">
        <f>IFERROR(__xludf.DUMMYFUNCTION("""COMPUTED_VALUE"""),0.6696412037037037)</f>
        <v>0.6696412037</v>
      </c>
      <c r="D9171" s="122" t="str">
        <f>IFERROR(__xludf.DUMMYFUNCTION("""COMPUTED_VALUE"""),"LOAN")</f>
        <v>LOAN</v>
      </c>
      <c r="E9171" s="122" t="str">
        <f>IFERROR(__xludf.DUMMYFUNCTION("""COMPUTED_VALUE"""),"LoanLab")</f>
        <v>LoanLab</v>
      </c>
      <c r="F9171" s="122" t="str">
        <f>IFERROR(__xludf.DUMMYFUNCTION("""COMPUTED_VALUE"""),"Finance")</f>
        <v>Finance</v>
      </c>
    </row>
    <row r="9172">
      <c r="A9172" s="131">
        <f>IFERROR(__xludf.DUMMYFUNCTION("""COMPUTED_VALUE"""),46187.669641203705)</f>
        <v>46187.66964</v>
      </c>
      <c r="B9172" s="126">
        <f>IFERROR(__xludf.DUMMYFUNCTION("""COMPUTED_VALUE"""),46187.0)</f>
        <v>46187</v>
      </c>
      <c r="C9172" s="130">
        <f>IFERROR(__xludf.DUMMYFUNCTION("""COMPUTED_VALUE"""),0.6696412037037037)</f>
        <v>0.6696412037</v>
      </c>
      <c r="D9172" s="122" t="str">
        <f>IFERROR(__xludf.DUMMYFUNCTION("""COMPUTED_VALUE"""),"LUXE")</f>
        <v>LUXE</v>
      </c>
      <c r="E9172" s="122" t="str">
        <f>IFERROR(__xludf.DUMMYFUNCTION("""COMPUTED_VALUE"""),"Luxury Locker")</f>
        <v>Luxury Locker</v>
      </c>
      <c r="F9172" s="122" t="str">
        <f>IFERROR(__xludf.DUMMYFUNCTION("""COMPUTED_VALUE"""),"Luxury Goods")</f>
        <v>Luxury Goods</v>
      </c>
    </row>
    <row r="9173">
      <c r="A9173" s="131">
        <f>IFERROR(__xludf.DUMMYFUNCTION("""COMPUTED_VALUE"""),46187.669641203705)</f>
        <v>46187.66964</v>
      </c>
      <c r="B9173" s="126">
        <f>IFERROR(__xludf.DUMMYFUNCTION("""COMPUTED_VALUE"""),46187.0)</f>
        <v>46187</v>
      </c>
      <c r="C9173" s="130">
        <f>IFERROR(__xludf.DUMMYFUNCTION("""COMPUTED_VALUE"""),0.6696412037037037)</f>
        <v>0.6696412037</v>
      </c>
      <c r="D9173" s="122" t="str">
        <f>IFERROR(__xludf.DUMMYFUNCTION("""COMPUTED_VALUE"""),"DRIP")</f>
        <v>DRIP</v>
      </c>
      <c r="E9173" s="122" t="str">
        <f>IFERROR(__xludf.DUMMYFUNCTION("""COMPUTED_VALUE"""),"Drip Streetwear")</f>
        <v>Drip Streetwear</v>
      </c>
      <c r="F9173" s="122" t="str">
        <f>IFERROR(__xludf.DUMMYFUNCTION("""COMPUTED_VALUE"""),"Fashion")</f>
        <v>Fashion</v>
      </c>
    </row>
    <row r="9174">
      <c r="A9174" s="131">
        <f>IFERROR(__xludf.DUMMYFUNCTION("""COMPUTED_VALUE"""),46187.669641203705)</f>
        <v>46187.66964</v>
      </c>
      <c r="B9174" s="126">
        <f>IFERROR(__xludf.DUMMYFUNCTION("""COMPUTED_VALUE"""),46187.0)</f>
        <v>46187</v>
      </c>
      <c r="C9174" s="130">
        <f>IFERROR(__xludf.DUMMYFUNCTION("""COMPUTED_VALUE"""),0.6696412037037037)</f>
        <v>0.6696412037</v>
      </c>
      <c r="D9174" s="122" t="str">
        <f>IFERROR(__xludf.DUMMYFUNCTION("""COMPUTED_VALUE"""),"KICK")</f>
        <v>KICK</v>
      </c>
      <c r="E9174" s="122" t="str">
        <f>IFERROR(__xludf.DUMMYFUNCTION("""COMPUTED_VALUE"""),"KickDrop Sneakers")</f>
        <v>KickDrop Sneakers</v>
      </c>
      <c r="F9174" s="122" t="str">
        <f>IFERROR(__xludf.DUMMYFUNCTION("""COMPUTED_VALUE"""),"Fashion")</f>
        <v>Fashion</v>
      </c>
    </row>
    <row r="9175">
      <c r="A9175" s="131">
        <f>IFERROR(__xludf.DUMMYFUNCTION("""COMPUTED_VALUE"""),46187.669641203705)</f>
        <v>46187.66964</v>
      </c>
      <c r="B9175" s="126">
        <f>IFERROR(__xludf.DUMMYFUNCTION("""COMPUTED_VALUE"""),46187.0)</f>
        <v>46187</v>
      </c>
      <c r="C9175" s="130">
        <f>IFERROR(__xludf.DUMMYFUNCTION("""COMPUTED_VALUE"""),0.6696412037037037)</f>
        <v>0.6696412037</v>
      </c>
      <c r="D9175" s="122" t="str">
        <f>IFERROR(__xludf.DUMMYFUNCTION("""COMPUTED_VALUE"""),"GLAM")</f>
        <v>GLAM</v>
      </c>
      <c r="E9175" s="122" t="str">
        <f>IFERROR(__xludf.DUMMYFUNCTION("""COMPUTED_VALUE"""),"Glow Cosmetics")</f>
        <v>Glow Cosmetics</v>
      </c>
      <c r="F9175" s="122" t="str">
        <f>IFERROR(__xludf.DUMMYFUNCTION("""COMPUTED_VALUE"""),"Fashion")</f>
        <v>Fashion</v>
      </c>
    </row>
    <row r="9176">
      <c r="A9176" s="131">
        <f>IFERROR(__xludf.DUMMYFUNCTION("""COMPUTED_VALUE"""),46187.669641203705)</f>
        <v>46187.66964</v>
      </c>
      <c r="B9176" s="126">
        <f>IFERROR(__xludf.DUMMYFUNCTION("""COMPUTED_VALUE"""),46187.0)</f>
        <v>46187</v>
      </c>
      <c r="C9176" s="130">
        <f>IFERROR(__xludf.DUMMYFUNCTION("""COMPUTED_VALUE"""),0.6696412037037037)</f>
        <v>0.6696412037</v>
      </c>
      <c r="D9176" s="122" t="str">
        <f>IFERROR(__xludf.DUMMYFUNCTION("""COMPUTED_VALUE"""),"BAGG")</f>
        <v>BAGG</v>
      </c>
      <c r="E9176" s="122" t="str">
        <f>IFERROR(__xludf.DUMMYFUNCTION("""COMPUTED_VALUE"""),"BagVault")</f>
        <v>BagVault</v>
      </c>
      <c r="F9176" s="122" t="str">
        <f>IFERROR(__xludf.DUMMYFUNCTION("""COMPUTED_VALUE"""),"Fashion")</f>
        <v>Fashion</v>
      </c>
    </row>
    <row r="9177">
      <c r="A9177" s="131">
        <f>IFERROR(__xludf.DUMMYFUNCTION("""COMPUTED_VALUE"""),46187.669641203705)</f>
        <v>46187.66964</v>
      </c>
      <c r="B9177" s="126">
        <f>IFERROR(__xludf.DUMMYFUNCTION("""COMPUTED_VALUE"""),46187.0)</f>
        <v>46187</v>
      </c>
      <c r="C9177" s="130">
        <f>IFERROR(__xludf.DUMMYFUNCTION("""COMPUTED_VALUE"""),0.6696412037037037)</f>
        <v>0.6696412037</v>
      </c>
      <c r="D9177" s="122" t="str">
        <f>IFERROR(__xludf.DUMMYFUNCTION("""COMPUTED_VALUE"""),"FAST")</f>
        <v>FAST</v>
      </c>
      <c r="E9177" s="122" t="str">
        <f>IFERROR(__xludf.DUMMYFUNCTION("""COMPUTED_VALUE"""),"Flash Logistics")</f>
        <v>Flash Logistics</v>
      </c>
      <c r="F9177" s="122" t="str">
        <f>IFERROR(__xludf.DUMMYFUNCTION("""COMPUTED_VALUE"""),"Logistics")</f>
        <v>Logistics</v>
      </c>
    </row>
    <row r="9178">
      <c r="A9178" s="131">
        <f>IFERROR(__xludf.DUMMYFUNCTION("""COMPUTED_VALUE"""),46187.669641203705)</f>
        <v>46187.66964</v>
      </c>
      <c r="B9178" s="126">
        <f>IFERROR(__xludf.DUMMYFUNCTION("""COMPUTED_VALUE"""),46187.0)</f>
        <v>46187</v>
      </c>
      <c r="C9178" s="130">
        <f>IFERROR(__xludf.DUMMYFUNCTION("""COMPUTED_VALUE"""),0.6696412037037037)</f>
        <v>0.6696412037</v>
      </c>
      <c r="D9178" s="122" t="str">
        <f>IFERROR(__xludf.DUMMYFUNCTION("""COMPUTED_VALUE"""),"SHIP")</f>
        <v>SHIP</v>
      </c>
      <c r="E9178" s="122" t="str">
        <f>IFERROR(__xludf.DUMMYFUNCTION("""COMPUTED_VALUE"""),"Seoul Shipping")</f>
        <v>Seoul Shipping</v>
      </c>
      <c r="F9178" s="122" t="str">
        <f>IFERROR(__xludf.DUMMYFUNCTION("""COMPUTED_VALUE"""),"Logistics")</f>
        <v>Logistics</v>
      </c>
    </row>
    <row r="9179">
      <c r="A9179" s="131">
        <f>IFERROR(__xludf.DUMMYFUNCTION("""COMPUTED_VALUE"""),46187.669641203705)</f>
        <v>46187.66964</v>
      </c>
      <c r="B9179" s="126">
        <f>IFERROR(__xludf.DUMMYFUNCTION("""COMPUTED_VALUE"""),46187.0)</f>
        <v>46187</v>
      </c>
      <c r="C9179" s="130">
        <f>IFERROR(__xludf.DUMMYFUNCTION("""COMPUTED_VALUE"""),0.6696412037037037)</f>
        <v>0.6696412037</v>
      </c>
      <c r="D9179" s="122" t="str">
        <f>IFERROR(__xludf.DUMMYFUNCTION("""COMPUTED_VALUE"""),"DRON")</f>
        <v>DRON</v>
      </c>
      <c r="E9179" s="122" t="str">
        <f>IFERROR(__xludf.DUMMYFUNCTION("""COMPUTED_VALUE"""),"DroneDrop")</f>
        <v>DroneDrop</v>
      </c>
      <c r="F9179" s="122" t="str">
        <f>IFERROR(__xludf.DUMMYFUNCTION("""COMPUTED_VALUE"""),"Logistics")</f>
        <v>Logistics</v>
      </c>
    </row>
    <row r="9180">
      <c r="A9180" s="131">
        <f>IFERROR(__xludf.DUMMYFUNCTION("""COMPUTED_VALUE"""),46187.669641203705)</f>
        <v>46187.66964</v>
      </c>
      <c r="B9180" s="126">
        <f>IFERROR(__xludf.DUMMYFUNCTION("""COMPUTED_VALUE"""),46187.0)</f>
        <v>46187</v>
      </c>
      <c r="C9180" s="130">
        <f>IFERROR(__xludf.DUMMYFUNCTION("""COMPUTED_VALUE"""),0.6696412037037037)</f>
        <v>0.6696412037</v>
      </c>
      <c r="D9180" s="122" t="str">
        <f>IFERROR(__xludf.DUMMYFUNCTION("""COMPUTED_VALUE"""),"RIDE")</f>
        <v>RIDE</v>
      </c>
      <c r="E9180" s="122" t="str">
        <f>IFERROR(__xludf.DUMMYFUNCTION("""COMPUTED_VALUE"""),"QuickRide")</f>
        <v>QuickRide</v>
      </c>
      <c r="F9180" s="122" t="str">
        <f>IFERROR(__xludf.DUMMYFUNCTION("""COMPUTED_VALUE"""),"Transportation")</f>
        <v>Transportation</v>
      </c>
    </row>
    <row r="9181">
      <c r="A9181" s="131">
        <f>IFERROR(__xludf.DUMMYFUNCTION("""COMPUTED_VALUE"""),46187.669641203705)</f>
        <v>46187.66964</v>
      </c>
      <c r="B9181" s="126">
        <f>IFERROR(__xludf.DUMMYFUNCTION("""COMPUTED_VALUE"""),46187.0)</f>
        <v>46187</v>
      </c>
      <c r="C9181" s="130">
        <f>IFERROR(__xludf.DUMMYFUNCTION("""COMPUTED_VALUE"""),0.6696412037037037)</f>
        <v>0.6696412037</v>
      </c>
      <c r="D9181" s="122" t="str">
        <f>IFERROR(__xludf.DUMMYFUNCTION("""COMPUTED_VALUE"""),"RAIL")</f>
        <v>RAIL</v>
      </c>
      <c r="E9181" s="122" t="str">
        <f>IFERROR(__xludf.DUMMYFUNCTION("""COMPUTED_VALUE"""),"MetroRail Corp")</f>
        <v>MetroRail Corp</v>
      </c>
      <c r="F9181" s="122" t="str">
        <f>IFERROR(__xludf.DUMMYFUNCTION("""COMPUTED_VALUE"""),"Transportation")</f>
        <v>Transportation</v>
      </c>
    </row>
    <row r="9182">
      <c r="A9182" s="131">
        <f>IFERROR(__xludf.DUMMYFUNCTION("""COMPUTED_VALUE"""),46187.669641203705)</f>
        <v>46187.66964</v>
      </c>
      <c r="B9182" s="126">
        <f>IFERROR(__xludf.DUMMYFUNCTION("""COMPUTED_VALUE"""),46187.0)</f>
        <v>46187</v>
      </c>
      <c r="C9182" s="130">
        <f>IFERROR(__xludf.DUMMYFUNCTION("""COMPUTED_VALUE"""),0.6696412037037037)</f>
        <v>0.6696412037</v>
      </c>
      <c r="D9182" s="122" t="str">
        <f>IFERROR(__xludf.DUMMYFUNCTION("""COMPUTED_VALUE"""),"MEDX")</f>
        <v>MEDX</v>
      </c>
      <c r="E9182" s="122" t="str">
        <f>IFERROR(__xludf.DUMMYFUNCTION("""COMPUTED_VALUE"""),"MediCore")</f>
        <v>MediCore</v>
      </c>
      <c r="F9182" s="122" t="str">
        <f>IFERROR(__xludf.DUMMYFUNCTION("""COMPUTED_VALUE"""),"Healthcare")</f>
        <v>Healthcare</v>
      </c>
    </row>
    <row r="9183">
      <c r="A9183" s="131">
        <f>IFERROR(__xludf.DUMMYFUNCTION("""COMPUTED_VALUE"""),46187.669641203705)</f>
        <v>46187.66964</v>
      </c>
      <c r="B9183" s="126">
        <f>IFERROR(__xludf.DUMMYFUNCTION("""COMPUTED_VALUE"""),46187.0)</f>
        <v>46187</v>
      </c>
      <c r="C9183" s="130">
        <f>IFERROR(__xludf.DUMMYFUNCTION("""COMPUTED_VALUE"""),0.6696412037037037)</f>
        <v>0.6696412037</v>
      </c>
      <c r="D9183" s="122" t="str">
        <f>IFERROR(__xludf.DUMMYFUNCTION("""COMPUTED_VALUE"""),"GYMX")</f>
        <v>GYMX</v>
      </c>
      <c r="E9183" s="122" t="str">
        <f>IFERROR(__xludf.DUMMYFUNCTION("""COMPUTED_VALUE"""),"GymX Fitness")</f>
        <v>GymX Fitness</v>
      </c>
      <c r="F9183" s="122" t="str">
        <f>IFERROR(__xludf.DUMMYFUNCTION("""COMPUTED_VALUE"""),"Healthcare")</f>
        <v>Healthcare</v>
      </c>
    </row>
    <row r="9184">
      <c r="A9184" s="131">
        <f>IFERROR(__xludf.DUMMYFUNCTION("""COMPUTED_VALUE"""),46187.669641203705)</f>
        <v>46187.66964</v>
      </c>
      <c r="B9184" s="126">
        <f>IFERROR(__xludf.DUMMYFUNCTION("""COMPUTED_VALUE"""),46187.0)</f>
        <v>46187</v>
      </c>
      <c r="C9184" s="130">
        <f>IFERROR(__xludf.DUMMYFUNCTION("""COMPUTED_VALUE"""),0.6696412037037037)</f>
        <v>0.6696412037</v>
      </c>
      <c r="D9184" s="122" t="str">
        <f>IFERROR(__xludf.DUMMYFUNCTION("""COMPUTED_VALUE"""),"VITA")</f>
        <v>VITA</v>
      </c>
      <c r="E9184" s="122" t="str">
        <f>IFERROR(__xludf.DUMMYFUNCTION("""COMPUTED_VALUE"""),"VitaPlus")</f>
        <v>VitaPlus</v>
      </c>
      <c r="F9184" s="122" t="str">
        <f>IFERROR(__xludf.DUMMYFUNCTION("""COMPUTED_VALUE"""),"Healthcare")</f>
        <v>Healthcare</v>
      </c>
    </row>
    <row r="9185">
      <c r="A9185" s="131">
        <f>IFERROR(__xludf.DUMMYFUNCTION("""COMPUTED_VALUE"""),46187.669641203705)</f>
        <v>46187.66964</v>
      </c>
      <c r="B9185" s="126">
        <f>IFERROR(__xludf.DUMMYFUNCTION("""COMPUTED_VALUE"""),46187.0)</f>
        <v>46187</v>
      </c>
      <c r="C9185" s="130">
        <f>IFERROR(__xludf.DUMMYFUNCTION("""COMPUTED_VALUE"""),0.6696412037037037)</f>
        <v>0.6696412037</v>
      </c>
      <c r="D9185" s="122" t="str">
        <f>IFERROR(__xludf.DUMMYFUNCTION("""COMPUTED_VALUE"""),"CARE")</f>
        <v>CARE</v>
      </c>
      <c r="E9185" s="122" t="str">
        <f>IFERROR(__xludf.DUMMYFUNCTION("""COMPUTED_VALUE"""),"CareCloud")</f>
        <v>CareCloud</v>
      </c>
      <c r="F9185" s="122" t="str">
        <f>IFERROR(__xludf.DUMMYFUNCTION("""COMPUTED_VALUE"""),"Healthcare")</f>
        <v>Healthcare</v>
      </c>
    </row>
    <row r="9186">
      <c r="A9186" s="131">
        <f>IFERROR(__xludf.DUMMYFUNCTION("""COMPUTED_VALUE"""),46187.669641203705)</f>
        <v>46187.66964</v>
      </c>
      <c r="B9186" s="126">
        <f>IFERROR(__xludf.DUMMYFUNCTION("""COMPUTED_VALUE"""),46187.0)</f>
        <v>46187</v>
      </c>
      <c r="C9186" s="130">
        <f>IFERROR(__xludf.DUMMYFUNCTION("""COMPUTED_VALUE"""),0.6696412037037037)</f>
        <v>0.6696412037</v>
      </c>
      <c r="D9186" s="122" t="str">
        <f>IFERROR(__xludf.DUMMYFUNCTION("""COMPUTED_VALUE"""),"DENT")</f>
        <v>DENT</v>
      </c>
      <c r="E9186" s="122" t="str">
        <f>IFERROR(__xludf.DUMMYFUNCTION("""COMPUTED_VALUE"""),"SmileWorks")</f>
        <v>SmileWorks</v>
      </c>
      <c r="F9186" s="122" t="str">
        <f>IFERROR(__xludf.DUMMYFUNCTION("""COMPUTED_VALUE"""),"Healthcare")</f>
        <v>Healthcare</v>
      </c>
    </row>
    <row r="9187">
      <c r="A9187" s="131">
        <f>IFERROR(__xludf.DUMMYFUNCTION("""COMPUTED_VALUE"""),46187.669641203705)</f>
        <v>46187.66964</v>
      </c>
      <c r="B9187" s="126">
        <f>IFERROR(__xludf.DUMMYFUNCTION("""COMPUTED_VALUE"""),46187.0)</f>
        <v>46187</v>
      </c>
      <c r="C9187" s="130">
        <f>IFERROR(__xludf.DUMMYFUNCTION("""COMPUTED_VALUE"""),0.6696412037037037)</f>
        <v>0.6696412037</v>
      </c>
      <c r="D9187" s="122" t="str">
        <f>IFERROR(__xludf.DUMMYFUNCTION("""COMPUTED_VALUE"""),"EDUX")</f>
        <v>EDUX</v>
      </c>
      <c r="E9187" s="122" t="str">
        <f>IFERROR(__xludf.DUMMYFUNCTION("""COMPUTED_VALUE"""),"EduMax Learning")</f>
        <v>EduMax Learning</v>
      </c>
      <c r="F9187" s="122" t="str">
        <f>IFERROR(__xludf.DUMMYFUNCTION("""COMPUTED_VALUE"""),"Education")</f>
        <v>Education</v>
      </c>
    </row>
    <row r="9188">
      <c r="A9188" s="131">
        <f>IFERROR(__xludf.DUMMYFUNCTION("""COMPUTED_VALUE"""),46187.669641203705)</f>
        <v>46187.66964</v>
      </c>
      <c r="B9188" s="126">
        <f>IFERROR(__xludf.DUMMYFUNCTION("""COMPUTED_VALUE"""),46187.0)</f>
        <v>46187</v>
      </c>
      <c r="C9188" s="130">
        <f>IFERROR(__xludf.DUMMYFUNCTION("""COMPUTED_VALUE"""),0.6696412037037037)</f>
        <v>0.6696412037</v>
      </c>
      <c r="D9188" s="122" t="str">
        <f>IFERROR(__xludf.DUMMYFUNCTION("""COMPUTED_VALUE"""),"BOOK")</f>
        <v>BOOK</v>
      </c>
      <c r="E9188" s="122" t="str">
        <f>IFERROR(__xludf.DUMMYFUNCTION("""COMPUTED_VALUE"""),"BookBridge")</f>
        <v>BookBridge</v>
      </c>
      <c r="F9188" s="122" t="str">
        <f>IFERROR(__xludf.DUMMYFUNCTION("""COMPUTED_VALUE"""),"Education")</f>
        <v>Education</v>
      </c>
    </row>
    <row r="9189">
      <c r="A9189" s="131">
        <f>IFERROR(__xludf.DUMMYFUNCTION("""COMPUTED_VALUE"""),46187.669641203705)</f>
        <v>46187.66964</v>
      </c>
      <c r="B9189" s="126">
        <f>IFERROR(__xludf.DUMMYFUNCTION("""COMPUTED_VALUE"""),46187.0)</f>
        <v>46187</v>
      </c>
      <c r="C9189" s="130">
        <f>IFERROR(__xludf.DUMMYFUNCTION("""COMPUTED_VALUE"""),0.6696412037037037)</f>
        <v>0.6696412037</v>
      </c>
      <c r="D9189" s="122" t="str">
        <f>IFERROR(__xludf.DUMMYFUNCTION("""COMPUTED_VALUE"""),"TUTR")</f>
        <v>TUTR</v>
      </c>
      <c r="E9189" s="122" t="str">
        <f>IFERROR(__xludf.DUMMYFUNCTION("""COMPUTED_VALUE"""),"TutorTown")</f>
        <v>TutorTown</v>
      </c>
      <c r="F9189" s="122" t="str">
        <f>IFERROR(__xludf.DUMMYFUNCTION("""COMPUTED_VALUE"""),"Education")</f>
        <v>Education</v>
      </c>
    </row>
    <row r="9190">
      <c r="A9190" s="131">
        <f>IFERROR(__xludf.DUMMYFUNCTION("""COMPUTED_VALUE"""),46187.669641203705)</f>
        <v>46187.66964</v>
      </c>
      <c r="B9190" s="126">
        <f>IFERROR(__xludf.DUMMYFUNCTION("""COMPUTED_VALUE"""),46187.0)</f>
        <v>46187</v>
      </c>
      <c r="C9190" s="130">
        <f>IFERROR(__xludf.DUMMYFUNCTION("""COMPUTED_VALUE"""),0.6696412037037037)</f>
        <v>0.6696412037</v>
      </c>
      <c r="D9190" s="122" t="str">
        <f>IFERROR(__xludf.DUMMYFUNCTION("""COMPUTED_VALUE"""),"LANG")</f>
        <v>LANG</v>
      </c>
      <c r="E9190" s="122" t="str">
        <f>IFERROR(__xludf.DUMMYFUNCTION("""COMPUTED_VALUE"""),"LinguaLab")</f>
        <v>LinguaLab</v>
      </c>
      <c r="F9190" s="122" t="str">
        <f>IFERROR(__xludf.DUMMYFUNCTION("""COMPUTED_VALUE"""),"Education")</f>
        <v>Education</v>
      </c>
    </row>
    <row r="9191">
      <c r="A9191" s="131">
        <f>IFERROR(__xludf.DUMMYFUNCTION("""COMPUTED_VALUE"""),46187.669641203705)</f>
        <v>46187.66964</v>
      </c>
      <c r="B9191" s="126">
        <f>IFERROR(__xludf.DUMMYFUNCTION("""COMPUTED_VALUE"""),46187.0)</f>
        <v>46187</v>
      </c>
      <c r="C9191" s="130">
        <f>IFERROR(__xludf.DUMMYFUNCTION("""COMPUTED_VALUE"""),0.6696412037037037)</f>
        <v>0.6696412037</v>
      </c>
      <c r="D9191" s="122" t="str">
        <f>IFERROR(__xludf.DUMMYFUNCTION("""COMPUTED_VALUE"""),"TEST")</f>
        <v>TEST</v>
      </c>
      <c r="E9191" s="122" t="str">
        <f>IFERROR(__xludf.DUMMYFUNCTION("""COMPUTED_VALUE"""),"TestPrep Pro")</f>
        <v>TestPrep Pro</v>
      </c>
      <c r="F9191" s="122" t="str">
        <f>IFERROR(__xludf.DUMMYFUNCTION("""COMPUTED_VALUE"""),"Education")</f>
        <v>Education</v>
      </c>
    </row>
    <row r="9192">
      <c r="A9192" s="131">
        <f>IFERROR(__xludf.DUMMYFUNCTION("""COMPUTED_VALUE"""),46187.669641203705)</f>
        <v>46187.66964</v>
      </c>
      <c r="B9192" s="126">
        <f>IFERROR(__xludf.DUMMYFUNCTION("""COMPUTED_VALUE"""),46187.0)</f>
        <v>46187</v>
      </c>
      <c r="C9192" s="130">
        <f>IFERROR(__xludf.DUMMYFUNCTION("""COMPUTED_VALUE"""),0.6696412037037037)</f>
        <v>0.6696412037</v>
      </c>
      <c r="D9192" s="122" t="str">
        <f>IFERROR(__xludf.DUMMYFUNCTION("""COMPUTED_VALUE"""),"MOVI")</f>
        <v>MOVI</v>
      </c>
      <c r="E9192" s="122" t="str">
        <f>IFERROR(__xludf.DUMMYFUNCTION("""COMPUTED_VALUE"""),"MovieBox")</f>
        <v>MovieBox</v>
      </c>
      <c r="F9192" s="122" t="str">
        <f>IFERROR(__xludf.DUMMYFUNCTION("""COMPUTED_VALUE"""),"Entertainment")</f>
        <v>Entertainment</v>
      </c>
    </row>
    <row r="9193">
      <c r="A9193" s="131">
        <f>IFERROR(__xludf.DUMMYFUNCTION("""COMPUTED_VALUE"""),46187.669641203705)</f>
        <v>46187.66964</v>
      </c>
      <c r="B9193" s="126">
        <f>IFERROR(__xludf.DUMMYFUNCTION("""COMPUTED_VALUE"""),46187.0)</f>
        <v>46187</v>
      </c>
      <c r="C9193" s="130">
        <f>IFERROR(__xludf.DUMMYFUNCTION("""COMPUTED_VALUE"""),0.6696412037037037)</f>
        <v>0.6696412037</v>
      </c>
      <c r="D9193" s="122" t="str">
        <f>IFERROR(__xludf.DUMMYFUNCTION("""COMPUTED_VALUE"""),"MUSC")</f>
        <v>MUSC</v>
      </c>
      <c r="E9193" s="122" t="str">
        <f>IFERROR(__xludf.DUMMYFUNCTION("""COMPUTED_VALUE"""),"MusicWave")</f>
        <v>MusicWave</v>
      </c>
      <c r="F9193" s="122" t="str">
        <f>IFERROR(__xludf.DUMMYFUNCTION("""COMPUTED_VALUE"""),"Entertainment")</f>
        <v>Entertainment</v>
      </c>
    </row>
    <row r="9194">
      <c r="A9194" s="131">
        <f>IFERROR(__xludf.DUMMYFUNCTION("""COMPUTED_VALUE"""),46187.669641203705)</f>
        <v>46187.66964</v>
      </c>
      <c r="B9194" s="126">
        <f>IFERROR(__xludf.DUMMYFUNCTION("""COMPUTED_VALUE"""),46187.0)</f>
        <v>46187</v>
      </c>
      <c r="C9194" s="130">
        <f>IFERROR(__xludf.DUMMYFUNCTION("""COMPUTED_VALUE"""),0.6696412037037037)</f>
        <v>0.6696412037</v>
      </c>
      <c r="D9194" s="122" t="str">
        <f>IFERROR(__xludf.DUMMYFUNCTION("""COMPUTED_VALUE"""),"IDOL")</f>
        <v>IDOL</v>
      </c>
      <c r="E9194" s="122" t="str">
        <f>IFERROR(__xludf.DUMMYFUNCTION("""COMPUTED_VALUE"""),"Idol Agency")</f>
        <v>Idol Agency</v>
      </c>
      <c r="F9194" s="122" t="str">
        <f>IFERROR(__xludf.DUMMYFUNCTION("""COMPUTED_VALUE"""),"Entertainment")</f>
        <v>Entertainment</v>
      </c>
    </row>
    <row r="9195">
      <c r="A9195" s="131">
        <f>IFERROR(__xludf.DUMMYFUNCTION("""COMPUTED_VALUE"""),46187.669641203705)</f>
        <v>46187.66964</v>
      </c>
      <c r="B9195" s="126">
        <f>IFERROR(__xludf.DUMMYFUNCTION("""COMPUTED_VALUE"""),46187.0)</f>
        <v>46187</v>
      </c>
      <c r="C9195" s="130">
        <f>IFERROR(__xludf.DUMMYFUNCTION("""COMPUTED_VALUE"""),0.6696412037037037)</f>
        <v>0.6696412037</v>
      </c>
      <c r="D9195" s="122" t="str">
        <f>IFERROR(__xludf.DUMMYFUNCTION("""COMPUTED_VALUE"""),"MEME")</f>
        <v>MEME</v>
      </c>
      <c r="E9195" s="122" t="str">
        <f>IFERROR(__xludf.DUMMYFUNCTION("""COMPUTED_VALUE"""),"Meme Media")</f>
        <v>Meme Media</v>
      </c>
      <c r="F9195" s="122" t="str">
        <f>IFERROR(__xludf.DUMMYFUNCTION("""COMPUTED_VALUE"""),"Entertainment")</f>
        <v>Entertainment</v>
      </c>
    </row>
    <row r="9196">
      <c r="A9196" s="131">
        <f>IFERROR(__xludf.DUMMYFUNCTION("""COMPUTED_VALUE"""),46187.669641203705)</f>
        <v>46187.66964</v>
      </c>
      <c r="B9196" s="126">
        <f>IFERROR(__xludf.DUMMYFUNCTION("""COMPUTED_VALUE"""),46187.0)</f>
        <v>46187</v>
      </c>
      <c r="C9196" s="130">
        <f>IFERROR(__xludf.DUMMYFUNCTION("""COMPUTED_VALUE"""),0.6696412037037037)</f>
        <v>0.6696412037</v>
      </c>
      <c r="D9196" s="122" t="str">
        <f>IFERROR(__xludf.DUMMYFUNCTION("""COMPUTED_VALUE"""),"STRM")</f>
        <v>STRM</v>
      </c>
      <c r="E9196" s="122" t="str">
        <f>IFERROR(__xludf.DUMMYFUNCTION("""COMPUTED_VALUE"""),"Streamly")</f>
        <v>Streamly</v>
      </c>
      <c r="F9196" s="122" t="str">
        <f>IFERROR(__xludf.DUMMYFUNCTION("""COMPUTED_VALUE"""),"Entertainment")</f>
        <v>Entertainment</v>
      </c>
    </row>
    <row r="9197">
      <c r="A9197" s="131">
        <f>IFERROR(__xludf.DUMMYFUNCTION("""COMPUTED_VALUE"""),46187.669641203705)</f>
        <v>46187.66964</v>
      </c>
      <c r="B9197" s="126">
        <f>IFERROR(__xludf.DUMMYFUNCTION("""COMPUTED_VALUE"""),46187.0)</f>
        <v>46187</v>
      </c>
      <c r="C9197" s="130">
        <f>IFERROR(__xludf.DUMMYFUNCTION("""COMPUTED_VALUE"""),0.6696412037037037)</f>
        <v>0.6696412037</v>
      </c>
      <c r="D9197" s="122" t="str">
        <f>IFERROR(__xludf.DUMMYFUNCTION("""COMPUTED_VALUE"""),"FARM")</f>
        <v>FARM</v>
      </c>
      <c r="E9197" s="122" t="str">
        <f>IFERROR(__xludf.DUMMYFUNCTION("""COMPUTED_VALUE"""),"Future Farms")</f>
        <v>Future Farms</v>
      </c>
      <c r="F9197" s="122" t="str">
        <f>IFERROR(__xludf.DUMMYFUNCTION("""COMPUTED_VALUE"""),"Agriculture")</f>
        <v>Agriculture</v>
      </c>
    </row>
    <row r="9198">
      <c r="A9198" s="131">
        <f>IFERROR(__xludf.DUMMYFUNCTION("""COMPUTED_VALUE"""),46187.669641203705)</f>
        <v>46187.66964</v>
      </c>
      <c r="B9198" s="126">
        <f>IFERROR(__xludf.DUMMYFUNCTION("""COMPUTED_VALUE"""),46187.0)</f>
        <v>46187</v>
      </c>
      <c r="C9198" s="130">
        <f>IFERROR(__xludf.DUMMYFUNCTION("""COMPUTED_VALUE"""),0.6696412037037037)</f>
        <v>0.6696412037</v>
      </c>
      <c r="D9198" s="122" t="str">
        <f>IFERROR(__xludf.DUMMYFUNCTION("""COMPUTED_VALUE"""),"MEAT")</f>
        <v>MEAT</v>
      </c>
      <c r="E9198" s="122" t="str">
        <f>IFERROR(__xludf.DUMMYFUNCTION("""COMPUTED_VALUE"""),"MeatWorks")</f>
        <v>MeatWorks</v>
      </c>
      <c r="F9198" s="122" t="str">
        <f>IFERROR(__xludf.DUMMYFUNCTION("""COMPUTED_VALUE"""),"Food")</f>
        <v>Food</v>
      </c>
    </row>
    <row r="9199">
      <c r="A9199" s="131">
        <f>IFERROR(__xludf.DUMMYFUNCTION("""COMPUTED_VALUE"""),46187.669641203705)</f>
        <v>46187.66964</v>
      </c>
      <c r="B9199" s="126">
        <f>IFERROR(__xludf.DUMMYFUNCTION("""COMPUTED_VALUE"""),46187.0)</f>
        <v>46187</v>
      </c>
      <c r="C9199" s="130">
        <f>IFERROR(__xludf.DUMMYFUNCTION("""COMPUTED_VALUE"""),0.6696412037037037)</f>
        <v>0.6696412037</v>
      </c>
      <c r="D9199" s="122" t="str">
        <f>IFERROR(__xludf.DUMMYFUNCTION("""COMPUTED_VALUE"""),"VEGI")</f>
        <v>VEGI</v>
      </c>
      <c r="E9199" s="122" t="str">
        <f>IFERROR(__xludf.DUMMYFUNCTION("""COMPUTED_VALUE"""),"Green Basket")</f>
        <v>Green Basket</v>
      </c>
      <c r="F9199" s="122" t="str">
        <f>IFERROR(__xludf.DUMMYFUNCTION("""COMPUTED_VALUE"""),"Food")</f>
        <v>Food</v>
      </c>
    </row>
    <row r="9200">
      <c r="A9200" s="131">
        <f>IFERROR(__xludf.DUMMYFUNCTION("""COMPUTED_VALUE"""),46187.669641203705)</f>
        <v>46187.66964</v>
      </c>
      <c r="B9200" s="126">
        <f>IFERROR(__xludf.DUMMYFUNCTION("""COMPUTED_VALUE"""),46187.0)</f>
        <v>46187</v>
      </c>
      <c r="C9200" s="130">
        <f>IFERROR(__xludf.DUMMYFUNCTION("""COMPUTED_VALUE"""),0.6696412037037037)</f>
        <v>0.6696412037</v>
      </c>
      <c r="D9200" s="122" t="str">
        <f>IFERROR(__xludf.DUMMYFUNCTION("""COMPUTED_VALUE"""),"CAFE")</f>
        <v>CAFE</v>
      </c>
      <c r="E9200" s="122" t="str">
        <f>IFERROR(__xludf.DUMMYFUNCTION("""COMPUTED_VALUE"""),"Cafe Cloud")</f>
        <v>Cafe Cloud</v>
      </c>
      <c r="F9200" s="122" t="str">
        <f>IFERROR(__xludf.DUMMYFUNCTION("""COMPUTED_VALUE"""),"Food")</f>
        <v>Food</v>
      </c>
    </row>
    <row r="9201">
      <c r="A9201" s="131">
        <f>IFERROR(__xludf.DUMMYFUNCTION("""COMPUTED_VALUE"""),46187.669641203705)</f>
        <v>46187.66964</v>
      </c>
      <c r="B9201" s="126">
        <f>IFERROR(__xludf.DUMMYFUNCTION("""COMPUTED_VALUE"""),46187.0)</f>
        <v>46187</v>
      </c>
      <c r="C9201" s="130">
        <f>IFERROR(__xludf.DUMMYFUNCTION("""COMPUTED_VALUE"""),0.6696412037037037)</f>
        <v>0.6696412037</v>
      </c>
      <c r="D9201" s="122" t="str">
        <f>IFERROR(__xludf.DUMMYFUNCTION("""COMPUTED_VALUE"""),"BAKE")</f>
        <v>BAKE</v>
      </c>
      <c r="E9201" s="122" t="str">
        <f>IFERROR(__xludf.DUMMYFUNCTION("""COMPUTED_VALUE"""),"BakeHouse")</f>
        <v>BakeHouse</v>
      </c>
      <c r="F9201" s="122" t="str">
        <f>IFERROR(__xludf.DUMMYFUNCTION("""COMPUTED_VALUE"""),"Food")</f>
        <v>Food</v>
      </c>
    </row>
    <row r="9202">
      <c r="A9202" s="131">
        <f>IFERROR(__xludf.DUMMYFUNCTION("""COMPUTED_VALUE"""),46187.669641203705)</f>
        <v>46187.66964</v>
      </c>
      <c r="B9202" s="126">
        <f>IFERROR(__xludf.DUMMYFUNCTION("""COMPUTED_VALUE"""),46187.0)</f>
        <v>46187</v>
      </c>
      <c r="C9202" s="130">
        <f>IFERROR(__xludf.DUMMYFUNCTION("""COMPUTED_VALUE"""),0.6696412037037037)</f>
        <v>0.6696412037</v>
      </c>
      <c r="D9202" s="122" t="str">
        <f>IFERROR(__xludf.DUMMYFUNCTION("""COMPUTED_VALUE"""),"OILX")</f>
        <v>OILX</v>
      </c>
      <c r="E9202" s="122" t="str">
        <f>IFERROR(__xludf.DUMMYFUNCTION("""COMPUTED_VALUE"""),"OilMax Energy")</f>
        <v>OilMax Energy</v>
      </c>
      <c r="F9202" s="122" t="str">
        <f>IFERROR(__xludf.DUMMYFUNCTION("""COMPUTED_VALUE"""),"Energy")</f>
        <v>Energy</v>
      </c>
    </row>
    <row r="9203">
      <c r="A9203" s="131">
        <f>IFERROR(__xludf.DUMMYFUNCTION("""COMPUTED_VALUE"""),46187.669641203705)</f>
        <v>46187.66964</v>
      </c>
      <c r="B9203" s="126">
        <f>IFERROR(__xludf.DUMMYFUNCTION("""COMPUTED_VALUE"""),46187.0)</f>
        <v>46187</v>
      </c>
      <c r="C9203" s="130">
        <f>IFERROR(__xludf.DUMMYFUNCTION("""COMPUTED_VALUE"""),0.6696412037037037)</f>
        <v>0.6696412037</v>
      </c>
      <c r="D9203" s="122" t="str">
        <f>IFERROR(__xludf.DUMMYFUNCTION("""COMPUTED_VALUE"""),"SOLR")</f>
        <v>SOLR</v>
      </c>
      <c r="E9203" s="122" t="str">
        <f>IFERROR(__xludf.DUMMYFUNCTION("""COMPUTED_VALUE"""),"SolarSpark")</f>
        <v>SolarSpark</v>
      </c>
      <c r="F9203" s="122" t="str">
        <f>IFERROR(__xludf.DUMMYFUNCTION("""COMPUTED_VALUE"""),"Energy")</f>
        <v>Energy</v>
      </c>
    </row>
    <row r="9204">
      <c r="A9204" s="131">
        <f>IFERROR(__xludf.DUMMYFUNCTION("""COMPUTED_VALUE"""),46187.669641203705)</f>
        <v>46187.66964</v>
      </c>
      <c r="B9204" s="126">
        <f>IFERROR(__xludf.DUMMYFUNCTION("""COMPUTED_VALUE"""),46187.0)</f>
        <v>46187</v>
      </c>
      <c r="C9204" s="130">
        <f>IFERROR(__xludf.DUMMYFUNCTION("""COMPUTED_VALUE"""),0.6696412037037037)</f>
        <v>0.6696412037</v>
      </c>
      <c r="D9204" s="122" t="str">
        <f>IFERROR(__xludf.DUMMYFUNCTION("""COMPUTED_VALUE"""),"BATT")</f>
        <v>BATT</v>
      </c>
      <c r="E9204" s="122" t="str">
        <f>IFERROR(__xludf.DUMMYFUNCTION("""COMPUTED_VALUE"""),"BatteryBox")</f>
        <v>BatteryBox</v>
      </c>
      <c r="F9204" s="122" t="str">
        <f>IFERROR(__xludf.DUMMYFUNCTION("""COMPUTED_VALUE"""),"Energy")</f>
        <v>Energy</v>
      </c>
    </row>
    <row r="9205">
      <c r="A9205" s="131">
        <f>IFERROR(__xludf.DUMMYFUNCTION("""COMPUTED_VALUE"""),46187.669641203705)</f>
        <v>46187.66964</v>
      </c>
      <c r="B9205" s="126">
        <f>IFERROR(__xludf.DUMMYFUNCTION("""COMPUTED_VALUE"""),46187.0)</f>
        <v>46187</v>
      </c>
      <c r="C9205" s="130">
        <f>IFERROR(__xludf.DUMMYFUNCTION("""COMPUTED_VALUE"""),0.6696412037037037)</f>
        <v>0.6696412037</v>
      </c>
      <c r="D9205" s="122" t="str">
        <f>IFERROR(__xludf.DUMMYFUNCTION("""COMPUTED_VALUE"""),"WIND")</f>
        <v>WIND</v>
      </c>
      <c r="E9205" s="122" t="str">
        <f>IFERROR(__xludf.DUMMYFUNCTION("""COMPUTED_VALUE"""),"WindWorks")</f>
        <v>WindWorks</v>
      </c>
      <c r="F9205" s="122" t="str">
        <f>IFERROR(__xludf.DUMMYFUNCTION("""COMPUTED_VALUE"""),"Energy")</f>
        <v>Energy</v>
      </c>
    </row>
    <row r="9206">
      <c r="A9206" s="131">
        <f>IFERROR(__xludf.DUMMYFUNCTION("""COMPUTED_VALUE"""),46187.669641203705)</f>
        <v>46187.66964</v>
      </c>
      <c r="B9206" s="126">
        <f>IFERROR(__xludf.DUMMYFUNCTION("""COMPUTED_VALUE"""),46187.0)</f>
        <v>46187</v>
      </c>
      <c r="C9206" s="130">
        <f>IFERROR(__xludf.DUMMYFUNCTION("""COMPUTED_VALUE"""),0.6696412037037037)</f>
        <v>0.6696412037</v>
      </c>
      <c r="D9206" s="122" t="str">
        <f>IFERROR(__xludf.DUMMYFUNCTION("""COMPUTED_VALUE"""),"GRID")</f>
        <v>GRID</v>
      </c>
      <c r="E9206" s="122" t="str">
        <f>IFERROR(__xludf.DUMMYFUNCTION("""COMPUTED_VALUE"""),"GridPower")</f>
        <v>GridPower</v>
      </c>
      <c r="F9206" s="122" t="str">
        <f>IFERROR(__xludf.DUMMYFUNCTION("""COMPUTED_VALUE"""),"Energy")</f>
        <v>Energy</v>
      </c>
    </row>
    <row r="9207">
      <c r="A9207" s="131">
        <f>IFERROR(__xludf.DUMMYFUNCTION("""COMPUTED_VALUE"""),46187.669641203705)</f>
        <v>46187.66964</v>
      </c>
      <c r="B9207" s="126">
        <f>IFERROR(__xludf.DUMMYFUNCTION("""COMPUTED_VALUE"""),46187.0)</f>
        <v>46187</v>
      </c>
      <c r="C9207" s="130">
        <f>IFERROR(__xludf.DUMMYFUNCTION("""COMPUTED_VALUE"""),0.6696412037037037)</f>
        <v>0.6696412037</v>
      </c>
      <c r="D9207" s="122" t="str">
        <f>IFERROR(__xludf.DUMMYFUNCTION("""COMPUTED_VALUE"""),"HOME")</f>
        <v>HOME</v>
      </c>
      <c r="E9207" s="122" t="str">
        <f>IFERROR(__xludf.DUMMYFUNCTION("""COMPUTED_VALUE"""),"HomeHub")</f>
        <v>HomeHub</v>
      </c>
      <c r="F9207" s="122" t="str">
        <f>IFERROR(__xludf.DUMMYFUNCTION("""COMPUTED_VALUE"""),"Real Estate")</f>
        <v>Real Estate</v>
      </c>
    </row>
    <row r="9208">
      <c r="A9208" s="131">
        <f>IFERROR(__xludf.DUMMYFUNCTION("""COMPUTED_VALUE"""),46187.669641203705)</f>
        <v>46187.66964</v>
      </c>
      <c r="B9208" s="126">
        <f>IFERROR(__xludf.DUMMYFUNCTION("""COMPUTED_VALUE"""),46187.0)</f>
        <v>46187</v>
      </c>
      <c r="C9208" s="130">
        <f>IFERROR(__xludf.DUMMYFUNCTION("""COMPUTED_VALUE"""),0.6696412037037037)</f>
        <v>0.6696412037</v>
      </c>
      <c r="D9208" s="122" t="str">
        <f>IFERROR(__xludf.DUMMYFUNCTION("""COMPUTED_VALUE"""),"RENT")</f>
        <v>RENT</v>
      </c>
      <c r="E9208" s="122" t="str">
        <f>IFERROR(__xludf.DUMMYFUNCTION("""COMPUTED_VALUE"""),"RentRight")</f>
        <v>RentRight</v>
      </c>
      <c r="F9208" s="122" t="str">
        <f>IFERROR(__xludf.DUMMYFUNCTION("""COMPUTED_VALUE"""),"Real Estate")</f>
        <v>Real Estate</v>
      </c>
    </row>
    <row r="9209">
      <c r="A9209" s="131">
        <f>IFERROR(__xludf.DUMMYFUNCTION("""COMPUTED_VALUE"""),46187.669641203705)</f>
        <v>46187.66964</v>
      </c>
      <c r="B9209" s="126">
        <f>IFERROR(__xludf.DUMMYFUNCTION("""COMPUTED_VALUE"""),46187.0)</f>
        <v>46187</v>
      </c>
      <c r="C9209" s="130">
        <f>IFERROR(__xludf.DUMMYFUNCTION("""COMPUTED_VALUE"""),0.6696412037037037)</f>
        <v>0.6696412037</v>
      </c>
      <c r="D9209" s="122" t="str">
        <f>IFERROR(__xludf.DUMMYFUNCTION("""COMPUTED_VALUE"""),"MALL")</f>
        <v>MALL</v>
      </c>
      <c r="E9209" s="122" t="str">
        <f>IFERROR(__xludf.DUMMYFUNCTION("""COMPUTED_VALUE"""),"MegaMall")</f>
        <v>MegaMall</v>
      </c>
      <c r="F9209" s="122" t="str">
        <f>IFERROR(__xludf.DUMMYFUNCTION("""COMPUTED_VALUE"""),"Real Estate")</f>
        <v>Real Estate</v>
      </c>
    </row>
    <row r="9210">
      <c r="A9210" s="131">
        <f>IFERROR(__xludf.DUMMYFUNCTION("""COMPUTED_VALUE"""),46187.669641203705)</f>
        <v>46187.66964</v>
      </c>
      <c r="B9210" s="126">
        <f>IFERROR(__xludf.DUMMYFUNCTION("""COMPUTED_VALUE"""),46187.0)</f>
        <v>46187</v>
      </c>
      <c r="C9210" s="130">
        <f>IFERROR(__xludf.DUMMYFUNCTION("""COMPUTED_VALUE"""),0.6696412037037037)</f>
        <v>0.6696412037</v>
      </c>
      <c r="D9210" s="122" t="str">
        <f>IFERROR(__xludf.DUMMYFUNCTION("""COMPUTED_VALUE"""),"HOTL")</f>
        <v>HOTL</v>
      </c>
      <c r="E9210" s="122" t="str">
        <f>IFERROR(__xludf.DUMMYFUNCTION("""COMPUTED_VALUE"""),"HotelHive")</f>
        <v>HotelHive</v>
      </c>
      <c r="F9210" s="122" t="str">
        <f>IFERROR(__xludf.DUMMYFUNCTION("""COMPUTED_VALUE"""),"Real Estate")</f>
        <v>Real Estate</v>
      </c>
    </row>
    <row r="9211">
      <c r="A9211" s="131">
        <f>IFERROR(__xludf.DUMMYFUNCTION("""COMPUTED_VALUE"""),46187.669641203705)</f>
        <v>46187.66964</v>
      </c>
      <c r="B9211" s="126">
        <f>IFERROR(__xludf.DUMMYFUNCTION("""COMPUTED_VALUE"""),46187.0)</f>
        <v>46187</v>
      </c>
      <c r="C9211" s="130">
        <f>IFERROR(__xludf.DUMMYFUNCTION("""COMPUTED_VALUE"""),0.6696412037037037)</f>
        <v>0.6696412037</v>
      </c>
      <c r="D9211" s="122" t="str">
        <f>IFERROR(__xludf.DUMMYFUNCTION("""COMPUTED_VALUE"""),"LAND")</f>
        <v>LAND</v>
      </c>
      <c r="E9211" s="122" t="str">
        <f>IFERROR(__xludf.DUMMYFUNCTION("""COMPUTED_VALUE"""),"LandLink")</f>
        <v>LandLink</v>
      </c>
      <c r="F9211" s="122" t="str">
        <f>IFERROR(__xludf.DUMMYFUNCTION("""COMPUTED_VALUE"""),"Real Estate")</f>
        <v>Real Estate</v>
      </c>
    </row>
    <row r="9212">
      <c r="A9212" s="131">
        <f>IFERROR(__xludf.DUMMYFUNCTION("""COMPUTED_VALUE"""),46187.669641203705)</f>
        <v>46187.66964</v>
      </c>
      <c r="B9212" s="126">
        <f>IFERROR(__xludf.DUMMYFUNCTION("""COMPUTED_VALUE"""),46187.0)</f>
        <v>46187</v>
      </c>
      <c r="C9212" s="130">
        <f>IFERROR(__xludf.DUMMYFUNCTION("""COMPUTED_VALUE"""),0.6696412037037037)</f>
        <v>0.6696412037</v>
      </c>
      <c r="D9212" s="122" t="str">
        <f>IFERROR(__xludf.DUMMYFUNCTION("""COMPUTED_VALUE"""),"CARS")</f>
        <v>CARS</v>
      </c>
      <c r="E9212" s="122" t="str">
        <f>IFERROR(__xludf.DUMMYFUNCTION("""COMPUTED_VALUE"""),"AutoArena")</f>
        <v>AutoArena</v>
      </c>
      <c r="F9212" s="122" t="str">
        <f>IFERROR(__xludf.DUMMYFUNCTION("""COMPUTED_VALUE"""),"Automotive")</f>
        <v>Automotive</v>
      </c>
    </row>
    <row r="9213">
      <c r="A9213" s="131">
        <f>IFERROR(__xludf.DUMMYFUNCTION("""COMPUTED_VALUE"""),46187.669641203705)</f>
        <v>46187.66964</v>
      </c>
      <c r="B9213" s="126">
        <f>IFERROR(__xludf.DUMMYFUNCTION("""COMPUTED_VALUE"""),46187.0)</f>
        <v>46187</v>
      </c>
      <c r="C9213" s="130">
        <f>IFERROR(__xludf.DUMMYFUNCTION("""COMPUTED_VALUE"""),0.6696412037037037)</f>
        <v>0.6696412037</v>
      </c>
      <c r="D9213" s="122" t="str">
        <f>IFERROR(__xludf.DUMMYFUNCTION("""COMPUTED_VALUE"""),"EVGO")</f>
        <v>EVGO</v>
      </c>
      <c r="E9213" s="122" t="str">
        <f>IFERROR(__xludf.DUMMYFUNCTION("""COMPUTED_VALUE"""),"EVGo Motors")</f>
        <v>EVGo Motors</v>
      </c>
      <c r="F9213" s="122" t="str">
        <f>IFERROR(__xludf.DUMMYFUNCTION("""COMPUTED_VALUE"""),"Automotive")</f>
        <v>Automotive</v>
      </c>
    </row>
    <row r="9214">
      <c r="A9214" s="131">
        <f>IFERROR(__xludf.DUMMYFUNCTION("""COMPUTED_VALUE"""),46187.669641203705)</f>
        <v>46187.66964</v>
      </c>
      <c r="B9214" s="126">
        <f>IFERROR(__xludf.DUMMYFUNCTION("""COMPUTED_VALUE"""),46187.0)</f>
        <v>46187</v>
      </c>
      <c r="C9214" s="130">
        <f>IFERROR(__xludf.DUMMYFUNCTION("""COMPUTED_VALUE"""),0.6696412037037037)</f>
        <v>0.6696412037</v>
      </c>
      <c r="D9214" s="122" t="str">
        <f>IFERROR(__xludf.DUMMYFUNCTION("""COMPUTED_VALUE"""),"TIRE")</f>
        <v>TIRE</v>
      </c>
      <c r="E9214" s="122" t="str">
        <f>IFERROR(__xludf.DUMMYFUNCTION("""COMPUTED_VALUE"""),"TireTown")</f>
        <v>TireTown</v>
      </c>
      <c r="F9214" s="122" t="str">
        <f>IFERROR(__xludf.DUMMYFUNCTION("""COMPUTED_VALUE"""),"Automotive")</f>
        <v>Automotive</v>
      </c>
    </row>
    <row r="9215">
      <c r="A9215" s="131">
        <f>IFERROR(__xludf.DUMMYFUNCTION("""COMPUTED_VALUE"""),46187.669641203705)</f>
        <v>46187.66964</v>
      </c>
      <c r="B9215" s="126">
        <f>IFERROR(__xludf.DUMMYFUNCTION("""COMPUTED_VALUE"""),46187.0)</f>
        <v>46187</v>
      </c>
      <c r="C9215" s="130">
        <f>IFERROR(__xludf.DUMMYFUNCTION("""COMPUTED_VALUE"""),0.6696412037037037)</f>
        <v>0.6696412037</v>
      </c>
      <c r="D9215" s="122" t="str">
        <f>IFERROR(__xludf.DUMMYFUNCTION("""COMPUTED_VALUE"""),"BIKE")</f>
        <v>BIKE</v>
      </c>
      <c r="E9215" s="122" t="str">
        <f>IFERROR(__xludf.DUMMYFUNCTION("""COMPUTED_VALUE"""),"BikeBox")</f>
        <v>BikeBox</v>
      </c>
      <c r="F9215" s="122" t="str">
        <f>IFERROR(__xludf.DUMMYFUNCTION("""COMPUTED_VALUE"""),"Automotive")</f>
        <v>Automotive</v>
      </c>
    </row>
    <row r="9216">
      <c r="A9216" s="131">
        <f>IFERROR(__xludf.DUMMYFUNCTION("""COMPUTED_VALUE"""),46187.669641203705)</f>
        <v>46187.66964</v>
      </c>
      <c r="B9216" s="126">
        <f>IFERROR(__xludf.DUMMYFUNCTION("""COMPUTED_VALUE"""),46187.0)</f>
        <v>46187</v>
      </c>
      <c r="C9216" s="130">
        <f>IFERROR(__xludf.DUMMYFUNCTION("""COMPUTED_VALUE"""),0.6696412037037037)</f>
        <v>0.6696412037</v>
      </c>
      <c r="D9216" s="122" t="str">
        <f>IFERROR(__xludf.DUMMYFUNCTION("""COMPUTED_VALUE"""),"WASH")</f>
        <v>WASH</v>
      </c>
      <c r="E9216" s="122" t="str">
        <f>IFERROR(__xludf.DUMMYFUNCTION("""COMPUTED_VALUE"""),"CarWash Co")</f>
        <v>CarWash Co</v>
      </c>
      <c r="F9216" s="122" t="str">
        <f>IFERROR(__xludf.DUMMYFUNCTION("""COMPUTED_VALUE"""),"Automotive")</f>
        <v>Automotive</v>
      </c>
    </row>
    <row r="9217">
      <c r="A9217" s="131">
        <f>IFERROR(__xludf.DUMMYFUNCTION("""COMPUTED_VALUE"""),46187.669641203705)</f>
        <v>46187.66964</v>
      </c>
      <c r="B9217" s="126">
        <f>IFERROR(__xludf.DUMMYFUNCTION("""COMPUTED_VALUE"""),46187.0)</f>
        <v>46187</v>
      </c>
      <c r="C9217" s="130">
        <f>IFERROR(__xludf.DUMMYFUNCTION("""COMPUTED_VALUE"""),0.6696412037037037)</f>
        <v>0.6696412037</v>
      </c>
      <c r="D9217" s="122" t="str">
        <f>IFERROR(__xludf.DUMMYFUNCTION("""COMPUTED_VALUE"""),"GBND")</f>
        <v>GBND</v>
      </c>
      <c r="E9217" s="122" t="str">
        <f>IFERROR(__xludf.DUMMYFUNCTION("""COMPUTED_VALUE"""),"Classroom Government Bond")</f>
        <v>Classroom Government Bond</v>
      </c>
      <c r="F9217" s="122" t="str">
        <f>IFERROR(__xludf.DUMMYFUNCTION("""COMPUTED_VALUE"""),"Bond")</f>
        <v>Bond</v>
      </c>
    </row>
    <row r="9218">
      <c r="A9218" s="131">
        <f>IFERROR(__xludf.DUMMYFUNCTION("""COMPUTED_VALUE"""),46187.669641203705)</f>
        <v>46187.66964</v>
      </c>
      <c r="B9218" s="126">
        <f>IFERROR(__xludf.DUMMYFUNCTION("""COMPUTED_VALUE"""),46187.0)</f>
        <v>46187</v>
      </c>
      <c r="C9218" s="130">
        <f>IFERROR(__xludf.DUMMYFUNCTION("""COMPUTED_VALUE"""),0.6696412037037037)</f>
        <v>0.6696412037</v>
      </c>
      <c r="D9218" s="122" t="str">
        <f>IFERROR(__xludf.DUMMYFUNCTION("""COMPUTED_VALUE"""),"SBND")</f>
        <v>SBND</v>
      </c>
      <c r="E9218" s="122" t="str">
        <f>IFERROR(__xludf.DUMMYFUNCTION("""COMPUTED_VALUE"""),"School Savings Bond")</f>
        <v>School Savings Bond</v>
      </c>
      <c r="F9218" s="122" t="str">
        <f>IFERROR(__xludf.DUMMYFUNCTION("""COMPUTED_VALUE"""),"Bond")</f>
        <v>Bond</v>
      </c>
    </row>
    <row r="9219">
      <c r="A9219" s="131">
        <f>IFERROR(__xludf.DUMMYFUNCTION("""COMPUTED_VALUE"""),46187.669641203705)</f>
        <v>46187.66964</v>
      </c>
      <c r="B9219" s="126">
        <f>IFERROR(__xludf.DUMMYFUNCTION("""COMPUTED_VALUE"""),46187.0)</f>
        <v>46187</v>
      </c>
      <c r="C9219" s="130">
        <f>IFERROR(__xludf.DUMMYFUNCTION("""COMPUTED_VALUE"""),0.6696412037037037)</f>
        <v>0.6696412037</v>
      </c>
      <c r="D9219" s="122" t="str">
        <f>IFERROR(__xludf.DUMMYFUNCTION("""COMPUTED_VALUE"""),"CBND")</f>
        <v>CBND</v>
      </c>
      <c r="E9219" s="122" t="str">
        <f>IFERROR(__xludf.DUMMYFUNCTION("""COMPUTED_VALUE"""),"Corporate Classroom Bond")</f>
        <v>Corporate Classroom Bond</v>
      </c>
      <c r="F9219" s="122" t="str">
        <f>IFERROR(__xludf.DUMMYFUNCTION("""COMPUTED_VALUE"""),"Bond")</f>
        <v>Bond</v>
      </c>
    </row>
    <row r="9220">
      <c r="A9220" s="131">
        <f>IFERROR(__xludf.DUMMYFUNCTION("""COMPUTED_VALUE"""),46187.669641203705)</f>
        <v>46187.66964</v>
      </c>
      <c r="B9220" s="126">
        <f>IFERROR(__xludf.DUMMYFUNCTION("""COMPUTED_VALUE"""),46187.0)</f>
        <v>46187</v>
      </c>
      <c r="C9220" s="130">
        <f>IFERROR(__xludf.DUMMYFUNCTION("""COMPUTED_VALUE"""),0.6696412037037037)</f>
        <v>0.6696412037</v>
      </c>
      <c r="D9220" s="122" t="str">
        <f>IFERROR(__xludf.DUMMYFUNCTION("""COMPUTED_VALUE"""),"TBIL")</f>
        <v>TBIL</v>
      </c>
      <c r="E9220" s="122" t="str">
        <f>IFERROR(__xludf.DUMMYFUNCTION("""COMPUTED_VALUE"""),"Treasury Bill")</f>
        <v>Treasury Bill</v>
      </c>
      <c r="F9220" s="122" t="str">
        <f>IFERROR(__xludf.DUMMYFUNCTION("""COMPUTED_VALUE"""),"Bond")</f>
        <v>Bond</v>
      </c>
    </row>
    <row r="9221">
      <c r="A9221" s="131">
        <f>IFERROR(__xludf.DUMMYFUNCTION("""COMPUTED_VALUE"""),46187.669641203705)</f>
        <v>46187.66964</v>
      </c>
      <c r="B9221" s="126">
        <f>IFERROR(__xludf.DUMMYFUNCTION("""COMPUTED_VALUE"""),46187.0)</f>
        <v>46187</v>
      </c>
      <c r="C9221" s="130">
        <f>IFERROR(__xludf.DUMMYFUNCTION("""COMPUTED_VALUE"""),0.6696412037037037)</f>
        <v>0.6696412037</v>
      </c>
      <c r="D9221" s="122" t="str">
        <f>IFERROR(__xludf.DUMMYFUNCTION("""COMPUTED_VALUE"""),"IBND")</f>
        <v>IBND</v>
      </c>
      <c r="E9221" s="122" t="str">
        <f>IFERROR(__xludf.DUMMYFUNCTION("""COMPUTED_VALUE"""),"Inflation Protected Bond")</f>
        <v>Inflation Protected Bond</v>
      </c>
      <c r="F9221" s="122" t="str">
        <f>IFERROR(__xludf.DUMMYFUNCTION("""COMPUTED_VALUE"""),"Bond")</f>
        <v>Bond</v>
      </c>
    </row>
    <row r="9222">
      <c r="A9222" s="131">
        <f>IFERROR(__xludf.DUMMYFUNCTION("""COMPUTED_VALUE"""),46187.672743055555)</f>
        <v>46187.67274</v>
      </c>
      <c r="B9222" s="126">
        <f>IFERROR(__xludf.DUMMYFUNCTION("""COMPUTED_VALUE"""),46187.0)</f>
        <v>46187</v>
      </c>
      <c r="C9222" s="122" t="str">
        <f>IFERROR(__xludf.DUMMYFUNCTION("""COMPUTED_VALUE"""),"SNAX")</f>
        <v>SNAX</v>
      </c>
      <c r="D9222" s="122" t="str">
        <f>IFERROR(__xludf.DUMMYFUNCTION("""COMPUTED_VALUE"""),"MICA Snacks")</f>
        <v>MICA Snacks</v>
      </c>
      <c r="E9222" s="122">
        <f>IFERROR(__xludf.DUMMYFUNCTION("""COMPUTED_VALUE"""),122.1)</f>
        <v>122.1</v>
      </c>
      <c r="F9222" s="122">
        <f>IFERROR(__xludf.DUMMYFUNCTION("""COMPUTED_VALUE"""),5.0E-4)</f>
        <v>0.0005</v>
      </c>
    </row>
    <row r="9223">
      <c r="A9223" s="131">
        <f>IFERROR(__xludf.DUMMYFUNCTION("""COMPUTED_VALUE"""),46187.672743055555)</f>
        <v>46187.67274</v>
      </c>
      <c r="B9223" s="126">
        <f>IFERROR(__xludf.DUMMYFUNCTION("""COMPUTED_VALUE"""),46187.0)</f>
        <v>46187</v>
      </c>
      <c r="C9223" s="122" t="str">
        <f>IFERROR(__xludf.DUMMYFUNCTION("""COMPUTED_VALUE"""),"RAMN")</f>
        <v>RAMN</v>
      </c>
      <c r="D9223" s="122" t="str">
        <f>IFERROR(__xludf.DUMMYFUNCTION("""COMPUTED_VALUE"""),"Ramen Republic")</f>
        <v>Ramen Republic</v>
      </c>
      <c r="E9223" s="122">
        <f>IFERROR(__xludf.DUMMYFUNCTION("""COMPUTED_VALUE"""),60.22)</f>
        <v>60.22</v>
      </c>
      <c r="F9223" s="122">
        <f>IFERROR(__xludf.DUMMYFUNCTION("""COMPUTED_VALUE"""),-0.0068)</f>
        <v>-0.0068</v>
      </c>
    </row>
    <row r="9224">
      <c r="A9224" s="131">
        <f>IFERROR(__xludf.DUMMYFUNCTION("""COMPUTED_VALUE"""),46187.672743055555)</f>
        <v>46187.67274</v>
      </c>
      <c r="B9224" s="126">
        <f>IFERROR(__xludf.DUMMYFUNCTION("""COMPUTED_VALUE"""),46187.0)</f>
        <v>46187</v>
      </c>
      <c r="C9224" s="122" t="str">
        <f>IFERROR(__xludf.DUMMYFUNCTION("""COMPUTED_VALUE"""),"COLA")</f>
        <v>COLA</v>
      </c>
      <c r="D9224" s="122" t="str">
        <f>IFERROR(__xludf.DUMMYFUNCTION("""COMPUTED_VALUE"""),"K-Pop Cola")</f>
        <v>K-Pop Cola</v>
      </c>
      <c r="E9224" s="122">
        <f>IFERROR(__xludf.DUMMYFUNCTION("""COMPUTED_VALUE"""),114.87)</f>
        <v>114.87</v>
      </c>
      <c r="F9224" s="122">
        <f>IFERROR(__xludf.DUMMYFUNCTION("""COMPUTED_VALUE"""),2.0E-4)</f>
        <v>0.0002</v>
      </c>
    </row>
    <row r="9225">
      <c r="A9225" s="131">
        <f>IFERROR(__xludf.DUMMYFUNCTION("""COMPUTED_VALUE"""),46187.672743055555)</f>
        <v>46187.67274</v>
      </c>
      <c r="B9225" s="126">
        <f>IFERROR(__xludf.DUMMYFUNCTION("""COMPUTED_VALUE"""),46187.0)</f>
        <v>46187</v>
      </c>
      <c r="C9225" s="122" t="str">
        <f>IFERROR(__xludf.DUMMYFUNCTION("""COMPUTED_VALUE"""),"CHIP")</f>
        <v>CHIP</v>
      </c>
      <c r="D9225" s="122" t="str">
        <f>IFERROR(__xludf.DUMMYFUNCTION("""COMPUTED_VALUE"""),"Chip Empire")</f>
        <v>Chip Empire</v>
      </c>
      <c r="E9225" s="122">
        <f>IFERROR(__xludf.DUMMYFUNCTION("""COMPUTED_VALUE"""),80.04)</f>
        <v>80.04</v>
      </c>
      <c r="F9225" s="122">
        <f>IFERROR(__xludf.DUMMYFUNCTION("""COMPUTED_VALUE"""),-0.002)</f>
        <v>-0.002</v>
      </c>
    </row>
    <row r="9226">
      <c r="A9226" s="131">
        <f>IFERROR(__xludf.DUMMYFUNCTION("""COMPUTED_VALUE"""),46187.672743055555)</f>
        <v>46187.67274</v>
      </c>
      <c r="B9226" s="126">
        <f>IFERROR(__xludf.DUMMYFUNCTION("""COMPUTED_VALUE"""),46187.0)</f>
        <v>46187</v>
      </c>
      <c r="C9226" s="122" t="str">
        <f>IFERROR(__xludf.DUMMYFUNCTION("""COMPUTED_VALUE"""),"CAND")</f>
        <v>CAND</v>
      </c>
      <c r="D9226" s="122" t="str">
        <f>IFERROR(__xludf.DUMMYFUNCTION("""COMPUTED_VALUE"""),"Candy Capital")</f>
        <v>Candy Capital</v>
      </c>
      <c r="E9226" s="122">
        <f>IFERROR(__xludf.DUMMYFUNCTION("""COMPUTED_VALUE"""),76.55)</f>
        <v>76.55</v>
      </c>
      <c r="F9226" s="122">
        <f>IFERROR(__xludf.DUMMYFUNCTION("""COMPUTED_VALUE"""),-0.0079)</f>
        <v>-0.0079</v>
      </c>
    </row>
    <row r="9227">
      <c r="A9227" s="131">
        <f>IFERROR(__xludf.DUMMYFUNCTION("""COMPUTED_VALUE"""),46187.672743055555)</f>
        <v>46187.67274</v>
      </c>
      <c r="B9227" s="126">
        <f>IFERROR(__xludf.DUMMYFUNCTION("""COMPUTED_VALUE"""),46187.0)</f>
        <v>46187</v>
      </c>
      <c r="C9227" s="122" t="str">
        <f>IFERROR(__xludf.DUMMYFUNCTION("""COMPUTED_VALUE"""),"TECH")</f>
        <v>TECH</v>
      </c>
      <c r="D9227" s="122" t="str">
        <f>IFERROR(__xludf.DUMMYFUNCTION("""COMPUTED_VALUE"""),"Dragon Tech")</f>
        <v>Dragon Tech</v>
      </c>
      <c r="E9227" s="122">
        <f>IFERROR(__xludf.DUMMYFUNCTION("""COMPUTED_VALUE"""),258.69)</f>
        <v>258.69</v>
      </c>
      <c r="F9227" s="122">
        <f>IFERROR(__xludf.DUMMYFUNCTION("""COMPUTED_VALUE"""),0.0052)</f>
        <v>0.0052</v>
      </c>
    </row>
    <row r="9228">
      <c r="A9228" s="131">
        <f>IFERROR(__xludf.DUMMYFUNCTION("""COMPUTED_VALUE"""),46187.672743055555)</f>
        <v>46187.67274</v>
      </c>
      <c r="B9228" s="126">
        <f>IFERROR(__xludf.DUMMYFUNCTION("""COMPUTED_VALUE"""),46187.0)</f>
        <v>46187</v>
      </c>
      <c r="C9228" s="122" t="str">
        <f>IFERROR(__xludf.DUMMYFUNCTION("""COMPUTED_VALUE"""),"AIBO")</f>
        <v>AIBO</v>
      </c>
      <c r="D9228" s="122" t="str">
        <f>IFERROR(__xludf.DUMMYFUNCTION("""COMPUTED_VALUE"""),"Homework AI")</f>
        <v>Homework AI</v>
      </c>
      <c r="E9228" s="122">
        <f>IFERROR(__xludf.DUMMYFUNCTION("""COMPUTED_VALUE"""),193.99)</f>
        <v>193.99</v>
      </c>
      <c r="F9228" s="122">
        <f>IFERROR(__xludf.DUMMYFUNCTION("""COMPUTED_VALUE"""),0.0027)</f>
        <v>0.0027</v>
      </c>
    </row>
    <row r="9229">
      <c r="A9229" s="131">
        <f>IFERROR(__xludf.DUMMYFUNCTION("""COMPUTED_VALUE"""),46187.672743055555)</f>
        <v>46187.67274</v>
      </c>
      <c r="B9229" s="126">
        <f>IFERROR(__xludf.DUMMYFUNCTION("""COMPUTED_VALUE"""),46187.0)</f>
        <v>46187</v>
      </c>
      <c r="C9229" s="122" t="str">
        <f>IFERROR(__xludf.DUMMYFUNCTION("""COMPUTED_VALUE"""),"GAME")</f>
        <v>GAME</v>
      </c>
      <c r="D9229" s="122" t="str">
        <f>IFERROR(__xludf.DUMMYFUNCTION("""COMPUTED_VALUE"""),"GameBox Media")</f>
        <v>GameBox Media</v>
      </c>
      <c r="E9229" s="122">
        <f>IFERROR(__xludf.DUMMYFUNCTION("""COMPUTED_VALUE"""),104.58)</f>
        <v>104.58</v>
      </c>
      <c r="F9229" s="122">
        <f>IFERROR(__xludf.DUMMYFUNCTION("""COMPUTED_VALUE"""),-0.0013)</f>
        <v>-0.0013</v>
      </c>
    </row>
    <row r="9230">
      <c r="A9230" s="131">
        <f>IFERROR(__xludf.DUMMYFUNCTION("""COMPUTED_VALUE"""),46187.672743055555)</f>
        <v>46187.67274</v>
      </c>
      <c r="B9230" s="126">
        <f>IFERROR(__xludf.DUMMYFUNCTION("""COMPUTED_VALUE"""),46187.0)</f>
        <v>46187</v>
      </c>
      <c r="C9230" s="122" t="str">
        <f>IFERROR(__xludf.DUMMYFUNCTION("""COMPUTED_VALUE"""),"VRSE")</f>
        <v>VRSE</v>
      </c>
      <c r="D9230" s="122" t="str">
        <f>IFERROR(__xludf.DUMMYFUNCTION("""COMPUTED_VALUE"""),"VerseVR")</f>
        <v>VerseVR</v>
      </c>
      <c r="E9230" s="122">
        <f>IFERROR(__xludf.DUMMYFUNCTION("""COMPUTED_VALUE"""),146.32)</f>
        <v>146.32</v>
      </c>
      <c r="F9230" s="122">
        <f>IFERROR(__xludf.DUMMYFUNCTION("""COMPUTED_VALUE"""),-0.006)</f>
        <v>-0.006</v>
      </c>
    </row>
    <row r="9231">
      <c r="A9231" s="131">
        <f>IFERROR(__xludf.DUMMYFUNCTION("""COMPUTED_VALUE"""),46187.672743055555)</f>
        <v>46187.67274</v>
      </c>
      <c r="B9231" s="126">
        <f>IFERROR(__xludf.DUMMYFUNCTION("""COMPUTED_VALUE"""),46187.0)</f>
        <v>46187</v>
      </c>
      <c r="C9231" s="122" t="str">
        <f>IFERROR(__xludf.DUMMYFUNCTION("""COMPUTED_VALUE"""),"BYTE")</f>
        <v>BYTE</v>
      </c>
      <c r="D9231" s="122" t="str">
        <f>IFERROR(__xludf.DUMMYFUNCTION("""COMPUTED_VALUE"""),"ByteWorks")</f>
        <v>ByteWorks</v>
      </c>
      <c r="E9231" s="122">
        <f>IFERROR(__xludf.DUMMYFUNCTION("""COMPUTED_VALUE"""),111.71)</f>
        <v>111.71</v>
      </c>
      <c r="F9231" s="122">
        <f>IFERROR(__xludf.DUMMYFUNCTION("""COMPUTED_VALUE"""),0.0052)</f>
        <v>0.0052</v>
      </c>
    </row>
    <row r="9232">
      <c r="A9232" s="131">
        <f>IFERROR(__xludf.DUMMYFUNCTION("""COMPUTED_VALUE"""),46187.672743055555)</f>
        <v>46187.67274</v>
      </c>
      <c r="B9232" s="126">
        <f>IFERROR(__xludf.DUMMYFUNCTION("""COMPUTED_VALUE"""),46187.0)</f>
        <v>46187</v>
      </c>
      <c r="C9232" s="122" t="str">
        <f>IFERROR(__xludf.DUMMYFUNCTION("""COMPUTED_VALUE"""),"BANK")</f>
        <v>BANK</v>
      </c>
      <c r="D9232" s="122" t="str">
        <f>IFERROR(__xludf.DUMMYFUNCTION("""COMPUTED_VALUE"""),"Tiger Bank")</f>
        <v>Tiger Bank</v>
      </c>
      <c r="E9232" s="122">
        <f>IFERROR(__xludf.DUMMYFUNCTION("""COMPUTED_VALUE"""),133.31)</f>
        <v>133.31</v>
      </c>
      <c r="F9232" s="122">
        <f>IFERROR(__xludf.DUMMYFUNCTION("""COMPUTED_VALUE"""),-0.001)</f>
        <v>-0.001</v>
      </c>
    </row>
    <row r="9233">
      <c r="A9233" s="131">
        <f>IFERROR(__xludf.DUMMYFUNCTION("""COMPUTED_VALUE"""),46187.672743055555)</f>
        <v>46187.67274</v>
      </c>
      <c r="B9233" s="126">
        <f>IFERROR(__xludf.DUMMYFUNCTION("""COMPUTED_VALUE"""),46187.0)</f>
        <v>46187</v>
      </c>
      <c r="C9233" s="122" t="str">
        <f>IFERROR(__xludf.DUMMYFUNCTION("""COMPUTED_VALUE"""),"CRED")</f>
        <v>CRED</v>
      </c>
      <c r="D9233" s="122" t="str">
        <f>IFERROR(__xludf.DUMMYFUNCTION("""COMPUTED_VALUE"""),"Credit Castle")</f>
        <v>Credit Castle</v>
      </c>
      <c r="E9233" s="122">
        <f>IFERROR(__xludf.DUMMYFUNCTION("""COMPUTED_VALUE"""),66.61)</f>
        <v>66.61</v>
      </c>
      <c r="F9233" s="122">
        <f>IFERROR(__xludf.DUMMYFUNCTION("""COMPUTED_VALUE"""),0.0048)</f>
        <v>0.0048</v>
      </c>
    </row>
    <row r="9234">
      <c r="A9234" s="131">
        <f>IFERROR(__xludf.DUMMYFUNCTION("""COMPUTED_VALUE"""),46187.672743055555)</f>
        <v>46187.67274</v>
      </c>
      <c r="B9234" s="126">
        <f>IFERROR(__xludf.DUMMYFUNCTION("""COMPUTED_VALUE"""),46187.0)</f>
        <v>46187</v>
      </c>
      <c r="C9234" s="122" t="str">
        <f>IFERROR(__xludf.DUMMYFUNCTION("""COMPUTED_VALUE"""),"BOND")</f>
        <v>BOND</v>
      </c>
      <c r="D9234" s="122" t="str">
        <f>IFERROR(__xludf.DUMMYFUNCTION("""COMPUTED_VALUE"""),"BondBridge")</f>
        <v>BondBridge</v>
      </c>
      <c r="E9234" s="122">
        <f>IFERROR(__xludf.DUMMYFUNCTION("""COMPUTED_VALUE"""),106.71)</f>
        <v>106.71</v>
      </c>
      <c r="F9234" s="122">
        <f>IFERROR(__xludf.DUMMYFUNCTION("""COMPUTED_VALUE"""),1.0E-4)</f>
        <v>0.0001</v>
      </c>
    </row>
    <row r="9235">
      <c r="A9235" s="131">
        <f>IFERROR(__xludf.DUMMYFUNCTION("""COMPUTED_VALUE"""),46187.672743055555)</f>
        <v>46187.67274</v>
      </c>
      <c r="B9235" s="126">
        <f>IFERROR(__xludf.DUMMYFUNCTION("""COMPUTED_VALUE"""),46187.0)</f>
        <v>46187</v>
      </c>
      <c r="C9235" s="122" t="str">
        <f>IFERROR(__xludf.DUMMYFUNCTION("""COMPUTED_VALUE"""),"INSR")</f>
        <v>INSR</v>
      </c>
      <c r="D9235" s="122" t="str">
        <f>IFERROR(__xludf.DUMMYFUNCTION("""COMPUTED_VALUE"""),"Shield Insurance")</f>
        <v>Shield Insurance</v>
      </c>
      <c r="E9235" s="122">
        <f>IFERROR(__xludf.DUMMYFUNCTION("""COMPUTED_VALUE"""),157.83)</f>
        <v>157.83</v>
      </c>
      <c r="F9235" s="122">
        <f>IFERROR(__xludf.DUMMYFUNCTION("""COMPUTED_VALUE"""),0.0017)</f>
        <v>0.0017</v>
      </c>
    </row>
    <row r="9236">
      <c r="A9236" s="131">
        <f>IFERROR(__xludf.DUMMYFUNCTION("""COMPUTED_VALUE"""),46187.672743055555)</f>
        <v>46187.67274</v>
      </c>
      <c r="B9236" s="126">
        <f>IFERROR(__xludf.DUMMYFUNCTION("""COMPUTED_VALUE"""),46187.0)</f>
        <v>46187</v>
      </c>
      <c r="C9236" s="122" t="str">
        <f>IFERROR(__xludf.DUMMYFUNCTION("""COMPUTED_VALUE"""),"LOAN")</f>
        <v>LOAN</v>
      </c>
      <c r="D9236" s="122" t="str">
        <f>IFERROR(__xludf.DUMMYFUNCTION("""COMPUTED_VALUE"""),"LoanLab")</f>
        <v>LoanLab</v>
      </c>
      <c r="E9236" s="122">
        <f>IFERROR(__xludf.DUMMYFUNCTION("""COMPUTED_VALUE"""),74.96)</f>
        <v>74.96</v>
      </c>
      <c r="F9236" s="122">
        <f>IFERROR(__xludf.DUMMYFUNCTION("""COMPUTED_VALUE"""),0.0032)</f>
        <v>0.0032</v>
      </c>
    </row>
    <row r="9237">
      <c r="A9237" s="131">
        <f>IFERROR(__xludf.DUMMYFUNCTION("""COMPUTED_VALUE"""),46187.672743055555)</f>
        <v>46187.67274</v>
      </c>
      <c r="B9237" s="126">
        <f>IFERROR(__xludf.DUMMYFUNCTION("""COMPUTED_VALUE"""),46187.0)</f>
        <v>46187</v>
      </c>
      <c r="C9237" s="122" t="str">
        <f>IFERROR(__xludf.DUMMYFUNCTION("""COMPUTED_VALUE"""),"LUXE")</f>
        <v>LUXE</v>
      </c>
      <c r="D9237" s="122" t="str">
        <f>IFERROR(__xludf.DUMMYFUNCTION("""COMPUTED_VALUE"""),"Luxury Locker")</f>
        <v>Luxury Locker</v>
      </c>
      <c r="E9237" s="122">
        <f>IFERROR(__xludf.DUMMYFUNCTION("""COMPUTED_VALUE"""),269.44)</f>
        <v>269.44</v>
      </c>
      <c r="F9237" s="122">
        <f>IFERROR(__xludf.DUMMYFUNCTION("""COMPUTED_VALUE"""),0.0)</f>
        <v>0</v>
      </c>
    </row>
    <row r="9238">
      <c r="A9238" s="131">
        <f>IFERROR(__xludf.DUMMYFUNCTION("""COMPUTED_VALUE"""),46187.672743055555)</f>
        <v>46187.67274</v>
      </c>
      <c r="B9238" s="126">
        <f>IFERROR(__xludf.DUMMYFUNCTION("""COMPUTED_VALUE"""),46187.0)</f>
        <v>46187</v>
      </c>
      <c r="C9238" s="122" t="str">
        <f>IFERROR(__xludf.DUMMYFUNCTION("""COMPUTED_VALUE"""),"DRIP")</f>
        <v>DRIP</v>
      </c>
      <c r="D9238" s="122" t="str">
        <f>IFERROR(__xludf.DUMMYFUNCTION("""COMPUTED_VALUE"""),"Drip Streetwear")</f>
        <v>Drip Streetwear</v>
      </c>
      <c r="E9238" s="122">
        <f>IFERROR(__xludf.DUMMYFUNCTION("""COMPUTED_VALUE"""),193.92)</f>
        <v>193.92</v>
      </c>
      <c r="F9238" s="122">
        <f>IFERROR(__xludf.DUMMYFUNCTION("""COMPUTED_VALUE"""),0.0099)</f>
        <v>0.0099</v>
      </c>
    </row>
    <row r="9239">
      <c r="A9239" s="131">
        <f>IFERROR(__xludf.DUMMYFUNCTION("""COMPUTED_VALUE"""),46187.672743055555)</f>
        <v>46187.67274</v>
      </c>
      <c r="B9239" s="126">
        <f>IFERROR(__xludf.DUMMYFUNCTION("""COMPUTED_VALUE"""),46187.0)</f>
        <v>46187</v>
      </c>
      <c r="C9239" s="122" t="str">
        <f>IFERROR(__xludf.DUMMYFUNCTION("""COMPUTED_VALUE"""),"KICK")</f>
        <v>KICK</v>
      </c>
      <c r="D9239" s="122" t="str">
        <f>IFERROR(__xludf.DUMMYFUNCTION("""COMPUTED_VALUE"""),"KickDrop Sneakers")</f>
        <v>KickDrop Sneakers</v>
      </c>
      <c r="E9239" s="122">
        <f>IFERROR(__xludf.DUMMYFUNCTION("""COMPUTED_VALUE"""),170.0)</f>
        <v>170</v>
      </c>
      <c r="F9239" s="122">
        <f>IFERROR(__xludf.DUMMYFUNCTION("""COMPUTED_VALUE"""),0.0048)</f>
        <v>0.0048</v>
      </c>
    </row>
    <row r="9240">
      <c r="A9240" s="131">
        <f>IFERROR(__xludf.DUMMYFUNCTION("""COMPUTED_VALUE"""),46187.672743055555)</f>
        <v>46187.67274</v>
      </c>
      <c r="B9240" s="126">
        <f>IFERROR(__xludf.DUMMYFUNCTION("""COMPUTED_VALUE"""),46187.0)</f>
        <v>46187</v>
      </c>
      <c r="C9240" s="122" t="str">
        <f>IFERROR(__xludf.DUMMYFUNCTION("""COMPUTED_VALUE"""),"GLAM")</f>
        <v>GLAM</v>
      </c>
      <c r="D9240" s="122" t="str">
        <f>IFERROR(__xludf.DUMMYFUNCTION("""COMPUTED_VALUE"""),"Glow Cosmetics")</f>
        <v>Glow Cosmetics</v>
      </c>
      <c r="E9240" s="122">
        <f>IFERROR(__xludf.DUMMYFUNCTION("""COMPUTED_VALUE"""),111.65)</f>
        <v>111.65</v>
      </c>
      <c r="F9240" s="122">
        <f>IFERROR(__xludf.DUMMYFUNCTION("""COMPUTED_VALUE"""),-0.0035)</f>
        <v>-0.0035</v>
      </c>
    </row>
    <row r="9241">
      <c r="A9241" s="131">
        <f>IFERROR(__xludf.DUMMYFUNCTION("""COMPUTED_VALUE"""),46187.672743055555)</f>
        <v>46187.67274</v>
      </c>
      <c r="B9241" s="126">
        <f>IFERROR(__xludf.DUMMYFUNCTION("""COMPUTED_VALUE"""),46187.0)</f>
        <v>46187</v>
      </c>
      <c r="C9241" s="122" t="str">
        <f>IFERROR(__xludf.DUMMYFUNCTION("""COMPUTED_VALUE"""),"BAGG")</f>
        <v>BAGG</v>
      </c>
      <c r="D9241" s="122" t="str">
        <f>IFERROR(__xludf.DUMMYFUNCTION("""COMPUTED_VALUE"""),"BagVault")</f>
        <v>BagVault</v>
      </c>
      <c r="E9241" s="122">
        <f>IFERROR(__xludf.DUMMYFUNCTION("""COMPUTED_VALUE"""),283.11)</f>
        <v>283.11</v>
      </c>
      <c r="F9241" s="122">
        <f>IFERROR(__xludf.DUMMYFUNCTION("""COMPUTED_VALUE"""),-0.0032)</f>
        <v>-0.0032</v>
      </c>
    </row>
    <row r="9242">
      <c r="A9242" s="131">
        <f>IFERROR(__xludf.DUMMYFUNCTION("""COMPUTED_VALUE"""),46187.672743055555)</f>
        <v>46187.67274</v>
      </c>
      <c r="B9242" s="126">
        <f>IFERROR(__xludf.DUMMYFUNCTION("""COMPUTED_VALUE"""),46187.0)</f>
        <v>46187</v>
      </c>
      <c r="C9242" s="122" t="str">
        <f>IFERROR(__xludf.DUMMYFUNCTION("""COMPUTED_VALUE"""),"FAST")</f>
        <v>FAST</v>
      </c>
      <c r="D9242" s="122" t="str">
        <f>IFERROR(__xludf.DUMMYFUNCTION("""COMPUTED_VALUE"""),"Flash Logistics")</f>
        <v>Flash Logistics</v>
      </c>
      <c r="E9242" s="122">
        <f>IFERROR(__xludf.DUMMYFUNCTION("""COMPUTED_VALUE"""),109.02)</f>
        <v>109.02</v>
      </c>
      <c r="F9242" s="122">
        <f>IFERROR(__xludf.DUMMYFUNCTION("""COMPUTED_VALUE"""),2.0E-4)</f>
        <v>0.0002</v>
      </c>
    </row>
    <row r="9243">
      <c r="A9243" s="131">
        <f>IFERROR(__xludf.DUMMYFUNCTION("""COMPUTED_VALUE"""),46187.672743055555)</f>
        <v>46187.67274</v>
      </c>
      <c r="B9243" s="126">
        <f>IFERROR(__xludf.DUMMYFUNCTION("""COMPUTED_VALUE"""),46187.0)</f>
        <v>46187</v>
      </c>
      <c r="C9243" s="122" t="str">
        <f>IFERROR(__xludf.DUMMYFUNCTION("""COMPUTED_VALUE"""),"SHIP")</f>
        <v>SHIP</v>
      </c>
      <c r="D9243" s="122" t="str">
        <f>IFERROR(__xludf.DUMMYFUNCTION("""COMPUTED_VALUE"""),"Seoul Shipping")</f>
        <v>Seoul Shipping</v>
      </c>
      <c r="E9243" s="122">
        <f>IFERROR(__xludf.DUMMYFUNCTION("""COMPUTED_VALUE"""),130.29)</f>
        <v>130.29</v>
      </c>
      <c r="F9243" s="122">
        <f>IFERROR(__xludf.DUMMYFUNCTION("""COMPUTED_VALUE"""),0.0047)</f>
        <v>0.0047</v>
      </c>
    </row>
    <row r="9244">
      <c r="A9244" s="131">
        <f>IFERROR(__xludf.DUMMYFUNCTION("""COMPUTED_VALUE"""),46187.672743055555)</f>
        <v>46187.67274</v>
      </c>
      <c r="B9244" s="126">
        <f>IFERROR(__xludf.DUMMYFUNCTION("""COMPUTED_VALUE"""),46187.0)</f>
        <v>46187</v>
      </c>
      <c r="C9244" s="122" t="str">
        <f>IFERROR(__xludf.DUMMYFUNCTION("""COMPUTED_VALUE"""),"DRON")</f>
        <v>DRON</v>
      </c>
      <c r="D9244" s="122" t="str">
        <f>IFERROR(__xludf.DUMMYFUNCTION("""COMPUTED_VALUE"""),"DroneDrop")</f>
        <v>DroneDrop</v>
      </c>
      <c r="E9244" s="122">
        <f>IFERROR(__xludf.DUMMYFUNCTION("""COMPUTED_VALUE"""),121.83)</f>
        <v>121.83</v>
      </c>
      <c r="F9244" s="122">
        <f>IFERROR(__xludf.DUMMYFUNCTION("""COMPUTED_VALUE"""),0.0031)</f>
        <v>0.0031</v>
      </c>
    </row>
    <row r="9245">
      <c r="A9245" s="131">
        <f>IFERROR(__xludf.DUMMYFUNCTION("""COMPUTED_VALUE"""),46187.672743055555)</f>
        <v>46187.67274</v>
      </c>
      <c r="B9245" s="126">
        <f>IFERROR(__xludf.DUMMYFUNCTION("""COMPUTED_VALUE"""),46187.0)</f>
        <v>46187</v>
      </c>
      <c r="C9245" s="122" t="str">
        <f>IFERROR(__xludf.DUMMYFUNCTION("""COMPUTED_VALUE"""),"RIDE")</f>
        <v>RIDE</v>
      </c>
      <c r="D9245" s="122" t="str">
        <f>IFERROR(__xludf.DUMMYFUNCTION("""COMPUTED_VALUE"""),"QuickRide")</f>
        <v>QuickRide</v>
      </c>
      <c r="E9245" s="122">
        <f>IFERROR(__xludf.DUMMYFUNCTION("""COMPUTED_VALUE"""),99.6)</f>
        <v>99.6</v>
      </c>
      <c r="F9245" s="122">
        <f>IFERROR(__xludf.DUMMYFUNCTION("""COMPUTED_VALUE"""),-0.002)</f>
        <v>-0.002</v>
      </c>
    </row>
    <row r="9246">
      <c r="A9246" s="131">
        <f>IFERROR(__xludf.DUMMYFUNCTION("""COMPUTED_VALUE"""),46187.672743055555)</f>
        <v>46187.67274</v>
      </c>
      <c r="B9246" s="126">
        <f>IFERROR(__xludf.DUMMYFUNCTION("""COMPUTED_VALUE"""),46187.0)</f>
        <v>46187</v>
      </c>
      <c r="C9246" s="122" t="str">
        <f>IFERROR(__xludf.DUMMYFUNCTION("""COMPUTED_VALUE"""),"RAIL")</f>
        <v>RAIL</v>
      </c>
      <c r="D9246" s="122" t="str">
        <f>IFERROR(__xludf.DUMMYFUNCTION("""COMPUTED_VALUE"""),"MetroRail Corp")</f>
        <v>MetroRail Corp</v>
      </c>
      <c r="E9246" s="122">
        <f>IFERROR(__xludf.DUMMYFUNCTION("""COMPUTED_VALUE"""),130.48)</f>
        <v>130.48</v>
      </c>
      <c r="F9246" s="122">
        <f>IFERROR(__xludf.DUMMYFUNCTION("""COMPUTED_VALUE"""),4.0E-4)</f>
        <v>0.0004</v>
      </c>
    </row>
    <row r="9247">
      <c r="A9247" s="131">
        <f>IFERROR(__xludf.DUMMYFUNCTION("""COMPUTED_VALUE"""),46187.672743055555)</f>
        <v>46187.67274</v>
      </c>
      <c r="B9247" s="126">
        <f>IFERROR(__xludf.DUMMYFUNCTION("""COMPUTED_VALUE"""),46187.0)</f>
        <v>46187</v>
      </c>
      <c r="C9247" s="122" t="str">
        <f>IFERROR(__xludf.DUMMYFUNCTION("""COMPUTED_VALUE"""),"MEDX")</f>
        <v>MEDX</v>
      </c>
      <c r="D9247" s="122" t="str">
        <f>IFERROR(__xludf.DUMMYFUNCTION("""COMPUTED_VALUE"""),"MediCore")</f>
        <v>MediCore</v>
      </c>
      <c r="E9247" s="122">
        <f>IFERROR(__xludf.DUMMYFUNCTION("""COMPUTED_VALUE"""),139.31)</f>
        <v>139.31</v>
      </c>
      <c r="F9247" s="122">
        <f>IFERROR(__xludf.DUMMYFUNCTION("""COMPUTED_VALUE"""),4.0E-4)</f>
        <v>0.0004</v>
      </c>
    </row>
    <row r="9248">
      <c r="A9248" s="131">
        <f>IFERROR(__xludf.DUMMYFUNCTION("""COMPUTED_VALUE"""),46187.672743055555)</f>
        <v>46187.67274</v>
      </c>
      <c r="B9248" s="126">
        <f>IFERROR(__xludf.DUMMYFUNCTION("""COMPUTED_VALUE"""),46187.0)</f>
        <v>46187</v>
      </c>
      <c r="C9248" s="122" t="str">
        <f>IFERROR(__xludf.DUMMYFUNCTION("""COMPUTED_VALUE"""),"GYMX")</f>
        <v>GYMX</v>
      </c>
      <c r="D9248" s="122" t="str">
        <f>IFERROR(__xludf.DUMMYFUNCTION("""COMPUTED_VALUE"""),"GymX Fitness")</f>
        <v>GymX Fitness</v>
      </c>
      <c r="E9248" s="122">
        <f>IFERROR(__xludf.DUMMYFUNCTION("""COMPUTED_VALUE"""),80.36)</f>
        <v>80.36</v>
      </c>
      <c r="F9248" s="122">
        <f>IFERROR(__xludf.DUMMYFUNCTION("""COMPUTED_VALUE"""),-0.0033)</f>
        <v>-0.0033</v>
      </c>
    </row>
    <row r="9249">
      <c r="A9249" s="131">
        <f>IFERROR(__xludf.DUMMYFUNCTION("""COMPUTED_VALUE"""),46187.672743055555)</f>
        <v>46187.67274</v>
      </c>
      <c r="B9249" s="126">
        <f>IFERROR(__xludf.DUMMYFUNCTION("""COMPUTED_VALUE"""),46187.0)</f>
        <v>46187</v>
      </c>
      <c r="C9249" s="122" t="str">
        <f>IFERROR(__xludf.DUMMYFUNCTION("""COMPUTED_VALUE"""),"VITA")</f>
        <v>VITA</v>
      </c>
      <c r="D9249" s="122" t="str">
        <f>IFERROR(__xludf.DUMMYFUNCTION("""COMPUTED_VALUE"""),"VitaPlus")</f>
        <v>VitaPlus</v>
      </c>
      <c r="E9249" s="122">
        <f>IFERROR(__xludf.DUMMYFUNCTION("""COMPUTED_VALUE"""),71.24)</f>
        <v>71.24</v>
      </c>
      <c r="F9249" s="122">
        <f>IFERROR(__xludf.DUMMYFUNCTION("""COMPUTED_VALUE"""),-0.0015)</f>
        <v>-0.0015</v>
      </c>
    </row>
    <row r="9250">
      <c r="A9250" s="131">
        <f>IFERROR(__xludf.DUMMYFUNCTION("""COMPUTED_VALUE"""),46187.672743055555)</f>
        <v>46187.67274</v>
      </c>
      <c r="B9250" s="126">
        <f>IFERROR(__xludf.DUMMYFUNCTION("""COMPUTED_VALUE"""),46187.0)</f>
        <v>46187</v>
      </c>
      <c r="C9250" s="122" t="str">
        <f>IFERROR(__xludf.DUMMYFUNCTION("""COMPUTED_VALUE"""),"CARE")</f>
        <v>CARE</v>
      </c>
      <c r="D9250" s="122" t="str">
        <f>IFERROR(__xludf.DUMMYFUNCTION("""COMPUTED_VALUE"""),"CareCloud")</f>
        <v>CareCloud</v>
      </c>
      <c r="E9250" s="122">
        <f>IFERROR(__xludf.DUMMYFUNCTION("""COMPUTED_VALUE"""),183.27)</f>
        <v>183.27</v>
      </c>
      <c r="F9250" s="122">
        <f>IFERROR(__xludf.DUMMYFUNCTION("""COMPUTED_VALUE"""),0.0022)</f>
        <v>0.0022</v>
      </c>
    </row>
    <row r="9251">
      <c r="A9251" s="131">
        <f>IFERROR(__xludf.DUMMYFUNCTION("""COMPUTED_VALUE"""),46187.672743055555)</f>
        <v>46187.67274</v>
      </c>
      <c r="B9251" s="126">
        <f>IFERROR(__xludf.DUMMYFUNCTION("""COMPUTED_VALUE"""),46187.0)</f>
        <v>46187</v>
      </c>
      <c r="C9251" s="122" t="str">
        <f>IFERROR(__xludf.DUMMYFUNCTION("""COMPUTED_VALUE"""),"DENT")</f>
        <v>DENT</v>
      </c>
      <c r="D9251" s="122" t="str">
        <f>IFERROR(__xludf.DUMMYFUNCTION("""COMPUTED_VALUE"""),"SmileWorks")</f>
        <v>SmileWorks</v>
      </c>
      <c r="E9251" s="122">
        <f>IFERROR(__xludf.DUMMYFUNCTION("""COMPUTED_VALUE"""),98.72)</f>
        <v>98.72</v>
      </c>
      <c r="F9251" s="122">
        <f>IFERROR(__xludf.DUMMYFUNCTION("""COMPUTED_VALUE"""),0.0014)</f>
        <v>0.0014</v>
      </c>
    </row>
    <row r="9252">
      <c r="A9252" s="131">
        <f>IFERROR(__xludf.DUMMYFUNCTION("""COMPUTED_VALUE"""),46187.672743055555)</f>
        <v>46187.67274</v>
      </c>
      <c r="B9252" s="126">
        <f>IFERROR(__xludf.DUMMYFUNCTION("""COMPUTED_VALUE"""),46187.0)</f>
        <v>46187</v>
      </c>
      <c r="C9252" s="122" t="str">
        <f>IFERROR(__xludf.DUMMYFUNCTION("""COMPUTED_VALUE"""),"EDUX")</f>
        <v>EDUX</v>
      </c>
      <c r="D9252" s="122" t="str">
        <f>IFERROR(__xludf.DUMMYFUNCTION("""COMPUTED_VALUE"""),"EduMax Learning")</f>
        <v>EduMax Learning</v>
      </c>
      <c r="E9252" s="122">
        <f>IFERROR(__xludf.DUMMYFUNCTION("""COMPUTED_VALUE"""),154.81)</f>
        <v>154.81</v>
      </c>
      <c r="F9252" s="122">
        <f>IFERROR(__xludf.DUMMYFUNCTION("""COMPUTED_VALUE"""),0.002)</f>
        <v>0.002</v>
      </c>
    </row>
    <row r="9253">
      <c r="A9253" s="131">
        <f>IFERROR(__xludf.DUMMYFUNCTION("""COMPUTED_VALUE"""),46187.672743055555)</f>
        <v>46187.67274</v>
      </c>
      <c r="B9253" s="126">
        <f>IFERROR(__xludf.DUMMYFUNCTION("""COMPUTED_VALUE"""),46187.0)</f>
        <v>46187</v>
      </c>
      <c r="C9253" s="122" t="str">
        <f>IFERROR(__xludf.DUMMYFUNCTION("""COMPUTED_VALUE"""),"BOOK")</f>
        <v>BOOK</v>
      </c>
      <c r="D9253" s="122" t="str">
        <f>IFERROR(__xludf.DUMMYFUNCTION("""COMPUTED_VALUE"""),"BookBridge")</f>
        <v>BookBridge</v>
      </c>
      <c r="E9253" s="122">
        <f>IFERROR(__xludf.DUMMYFUNCTION("""COMPUTED_VALUE"""),120.46)</f>
        <v>120.46</v>
      </c>
      <c r="F9253" s="122">
        <f>IFERROR(__xludf.DUMMYFUNCTION("""COMPUTED_VALUE"""),0.0031)</f>
        <v>0.0031</v>
      </c>
    </row>
    <row r="9254">
      <c r="A9254" s="131">
        <f>IFERROR(__xludf.DUMMYFUNCTION("""COMPUTED_VALUE"""),46187.672743055555)</f>
        <v>46187.67274</v>
      </c>
      <c r="B9254" s="126">
        <f>IFERROR(__xludf.DUMMYFUNCTION("""COMPUTED_VALUE"""),46187.0)</f>
        <v>46187</v>
      </c>
      <c r="C9254" s="122" t="str">
        <f>IFERROR(__xludf.DUMMYFUNCTION("""COMPUTED_VALUE"""),"TUTR")</f>
        <v>TUTR</v>
      </c>
      <c r="D9254" s="122" t="str">
        <f>IFERROR(__xludf.DUMMYFUNCTION("""COMPUTED_VALUE"""),"TutorTown")</f>
        <v>TutorTown</v>
      </c>
      <c r="E9254" s="122">
        <f>IFERROR(__xludf.DUMMYFUNCTION("""COMPUTED_VALUE"""),93.17)</f>
        <v>93.17</v>
      </c>
      <c r="F9254" s="122">
        <f>IFERROR(__xludf.DUMMYFUNCTION("""COMPUTED_VALUE"""),0.0046)</f>
        <v>0.0046</v>
      </c>
    </row>
    <row r="9255">
      <c r="A9255" s="131">
        <f>IFERROR(__xludf.DUMMYFUNCTION("""COMPUTED_VALUE"""),46187.672743055555)</f>
        <v>46187.67274</v>
      </c>
      <c r="B9255" s="126">
        <f>IFERROR(__xludf.DUMMYFUNCTION("""COMPUTED_VALUE"""),46187.0)</f>
        <v>46187</v>
      </c>
      <c r="C9255" s="122" t="str">
        <f>IFERROR(__xludf.DUMMYFUNCTION("""COMPUTED_VALUE"""),"LANG")</f>
        <v>LANG</v>
      </c>
      <c r="D9255" s="122" t="str">
        <f>IFERROR(__xludf.DUMMYFUNCTION("""COMPUTED_VALUE"""),"LinguaLab")</f>
        <v>LinguaLab</v>
      </c>
      <c r="E9255" s="122">
        <f>IFERROR(__xludf.DUMMYFUNCTION("""COMPUTED_VALUE"""),102.79)</f>
        <v>102.79</v>
      </c>
      <c r="F9255" s="122">
        <f>IFERROR(__xludf.DUMMYFUNCTION("""COMPUTED_VALUE"""),-6.0E-4)</f>
        <v>-0.0006</v>
      </c>
    </row>
    <row r="9256">
      <c r="A9256" s="131">
        <f>IFERROR(__xludf.DUMMYFUNCTION("""COMPUTED_VALUE"""),46187.672743055555)</f>
        <v>46187.67274</v>
      </c>
      <c r="B9256" s="126">
        <f>IFERROR(__xludf.DUMMYFUNCTION("""COMPUTED_VALUE"""),46187.0)</f>
        <v>46187</v>
      </c>
      <c r="C9256" s="122" t="str">
        <f>IFERROR(__xludf.DUMMYFUNCTION("""COMPUTED_VALUE"""),"TEST")</f>
        <v>TEST</v>
      </c>
      <c r="D9256" s="122" t="str">
        <f>IFERROR(__xludf.DUMMYFUNCTION("""COMPUTED_VALUE"""),"TestPrep Pro")</f>
        <v>TestPrep Pro</v>
      </c>
      <c r="E9256" s="122">
        <f>IFERROR(__xludf.DUMMYFUNCTION("""COMPUTED_VALUE"""),88.03)</f>
        <v>88.03</v>
      </c>
      <c r="F9256" s="122">
        <f>IFERROR(__xludf.DUMMYFUNCTION("""COMPUTED_VALUE"""),-0.0072)</f>
        <v>-0.0072</v>
      </c>
    </row>
    <row r="9257">
      <c r="A9257" s="131">
        <f>IFERROR(__xludf.DUMMYFUNCTION("""COMPUTED_VALUE"""),46187.672743055555)</f>
        <v>46187.67274</v>
      </c>
      <c r="B9257" s="126">
        <f>IFERROR(__xludf.DUMMYFUNCTION("""COMPUTED_VALUE"""),46187.0)</f>
        <v>46187</v>
      </c>
      <c r="C9257" s="122" t="str">
        <f>IFERROR(__xludf.DUMMYFUNCTION("""COMPUTED_VALUE"""),"MOVI")</f>
        <v>MOVI</v>
      </c>
      <c r="D9257" s="122" t="str">
        <f>IFERROR(__xludf.DUMMYFUNCTION("""COMPUTED_VALUE"""),"MovieBox")</f>
        <v>MovieBox</v>
      </c>
      <c r="E9257" s="122">
        <f>IFERROR(__xludf.DUMMYFUNCTION("""COMPUTED_VALUE"""),84.61)</f>
        <v>84.61</v>
      </c>
      <c r="F9257" s="122">
        <f>IFERROR(__xludf.DUMMYFUNCTION("""COMPUTED_VALUE"""),0.0049)</f>
        <v>0.0049</v>
      </c>
    </row>
    <row r="9258">
      <c r="A9258" s="131">
        <f>IFERROR(__xludf.DUMMYFUNCTION("""COMPUTED_VALUE"""),46187.672743055555)</f>
        <v>46187.67274</v>
      </c>
      <c r="B9258" s="126">
        <f>IFERROR(__xludf.DUMMYFUNCTION("""COMPUTED_VALUE"""),46187.0)</f>
        <v>46187</v>
      </c>
      <c r="C9258" s="122" t="str">
        <f>IFERROR(__xludf.DUMMYFUNCTION("""COMPUTED_VALUE"""),"MUSC")</f>
        <v>MUSC</v>
      </c>
      <c r="D9258" s="122" t="str">
        <f>IFERROR(__xludf.DUMMYFUNCTION("""COMPUTED_VALUE"""),"MusicWave")</f>
        <v>MusicWave</v>
      </c>
      <c r="E9258" s="122">
        <f>IFERROR(__xludf.DUMMYFUNCTION("""COMPUTED_VALUE"""),104.35)</f>
        <v>104.35</v>
      </c>
      <c r="F9258" s="122">
        <f>IFERROR(__xludf.DUMMYFUNCTION("""COMPUTED_VALUE"""),-0.007)</f>
        <v>-0.007</v>
      </c>
    </row>
    <row r="9259">
      <c r="A9259" s="131">
        <f>IFERROR(__xludf.DUMMYFUNCTION("""COMPUTED_VALUE"""),46187.672743055555)</f>
        <v>46187.67274</v>
      </c>
      <c r="B9259" s="126">
        <f>IFERROR(__xludf.DUMMYFUNCTION("""COMPUTED_VALUE"""),46187.0)</f>
        <v>46187</v>
      </c>
      <c r="C9259" s="122" t="str">
        <f>IFERROR(__xludf.DUMMYFUNCTION("""COMPUTED_VALUE"""),"IDOL")</f>
        <v>IDOL</v>
      </c>
      <c r="D9259" s="122" t="str">
        <f>IFERROR(__xludf.DUMMYFUNCTION("""COMPUTED_VALUE"""),"Idol Agency")</f>
        <v>Idol Agency</v>
      </c>
      <c r="E9259" s="122">
        <f>IFERROR(__xludf.DUMMYFUNCTION("""COMPUTED_VALUE"""),190.83)</f>
        <v>190.83</v>
      </c>
      <c r="F9259" s="122">
        <f>IFERROR(__xludf.DUMMYFUNCTION("""COMPUTED_VALUE"""),0.0094)</f>
        <v>0.0094</v>
      </c>
    </row>
    <row r="9260">
      <c r="A9260" s="131">
        <f>IFERROR(__xludf.DUMMYFUNCTION("""COMPUTED_VALUE"""),46187.672743055555)</f>
        <v>46187.67274</v>
      </c>
      <c r="B9260" s="126">
        <f>IFERROR(__xludf.DUMMYFUNCTION("""COMPUTED_VALUE"""),46187.0)</f>
        <v>46187</v>
      </c>
      <c r="C9260" s="122" t="str">
        <f>IFERROR(__xludf.DUMMYFUNCTION("""COMPUTED_VALUE"""),"MEME")</f>
        <v>MEME</v>
      </c>
      <c r="D9260" s="122" t="str">
        <f>IFERROR(__xludf.DUMMYFUNCTION("""COMPUTED_VALUE"""),"Meme Media")</f>
        <v>Meme Media</v>
      </c>
      <c r="E9260" s="122">
        <f>IFERROR(__xludf.DUMMYFUNCTION("""COMPUTED_VALUE"""),73.33)</f>
        <v>73.33</v>
      </c>
      <c r="F9260" s="122">
        <f>IFERROR(__xludf.DUMMYFUNCTION("""COMPUTED_VALUE"""),0.013)</f>
        <v>0.013</v>
      </c>
    </row>
    <row r="9261">
      <c r="A9261" s="131">
        <f>IFERROR(__xludf.DUMMYFUNCTION("""COMPUTED_VALUE"""),46187.672743055555)</f>
        <v>46187.67274</v>
      </c>
      <c r="B9261" s="126">
        <f>IFERROR(__xludf.DUMMYFUNCTION("""COMPUTED_VALUE"""),46187.0)</f>
        <v>46187</v>
      </c>
      <c r="C9261" s="122" t="str">
        <f>IFERROR(__xludf.DUMMYFUNCTION("""COMPUTED_VALUE"""),"STRM")</f>
        <v>STRM</v>
      </c>
      <c r="D9261" s="122" t="str">
        <f>IFERROR(__xludf.DUMMYFUNCTION("""COMPUTED_VALUE"""),"Streamly")</f>
        <v>Streamly</v>
      </c>
      <c r="E9261" s="122">
        <f>IFERROR(__xludf.DUMMYFUNCTION("""COMPUTED_VALUE"""),130.76)</f>
        <v>130.76</v>
      </c>
      <c r="F9261" s="122">
        <f>IFERROR(__xludf.DUMMYFUNCTION("""COMPUTED_VALUE"""),-0.0092)</f>
        <v>-0.0092</v>
      </c>
    </row>
    <row r="9262">
      <c r="A9262" s="131">
        <f>IFERROR(__xludf.DUMMYFUNCTION("""COMPUTED_VALUE"""),46187.672743055555)</f>
        <v>46187.67274</v>
      </c>
      <c r="B9262" s="126">
        <f>IFERROR(__xludf.DUMMYFUNCTION("""COMPUTED_VALUE"""),46187.0)</f>
        <v>46187</v>
      </c>
      <c r="C9262" s="122" t="str">
        <f>IFERROR(__xludf.DUMMYFUNCTION("""COMPUTED_VALUE"""),"FARM")</f>
        <v>FARM</v>
      </c>
      <c r="D9262" s="122" t="str">
        <f>IFERROR(__xludf.DUMMYFUNCTION("""COMPUTED_VALUE"""),"Future Farms")</f>
        <v>Future Farms</v>
      </c>
      <c r="E9262" s="122">
        <f>IFERROR(__xludf.DUMMYFUNCTION("""COMPUTED_VALUE"""),100.64)</f>
        <v>100.64</v>
      </c>
      <c r="F9262" s="122">
        <f>IFERROR(__xludf.DUMMYFUNCTION("""COMPUTED_VALUE"""),9.0E-4)</f>
        <v>0.0009</v>
      </c>
    </row>
    <row r="9263">
      <c r="A9263" s="131">
        <f>IFERROR(__xludf.DUMMYFUNCTION("""COMPUTED_VALUE"""),46187.672743055555)</f>
        <v>46187.67274</v>
      </c>
      <c r="B9263" s="126">
        <f>IFERROR(__xludf.DUMMYFUNCTION("""COMPUTED_VALUE"""),46187.0)</f>
        <v>46187</v>
      </c>
      <c r="C9263" s="122" t="str">
        <f>IFERROR(__xludf.DUMMYFUNCTION("""COMPUTED_VALUE"""),"MEAT")</f>
        <v>MEAT</v>
      </c>
      <c r="D9263" s="122" t="str">
        <f>IFERROR(__xludf.DUMMYFUNCTION("""COMPUTED_VALUE"""),"MeatWorks")</f>
        <v>MeatWorks</v>
      </c>
      <c r="E9263" s="122">
        <f>IFERROR(__xludf.DUMMYFUNCTION("""COMPUTED_VALUE"""),105.13)</f>
        <v>105.13</v>
      </c>
      <c r="F9263" s="122">
        <f>IFERROR(__xludf.DUMMYFUNCTION("""COMPUTED_VALUE"""),0.0021)</f>
        <v>0.0021</v>
      </c>
    </row>
    <row r="9264">
      <c r="A9264" s="131">
        <f>IFERROR(__xludf.DUMMYFUNCTION("""COMPUTED_VALUE"""),46187.672743055555)</f>
        <v>46187.67274</v>
      </c>
      <c r="B9264" s="126">
        <f>IFERROR(__xludf.DUMMYFUNCTION("""COMPUTED_VALUE"""),46187.0)</f>
        <v>46187</v>
      </c>
      <c r="C9264" s="122" t="str">
        <f>IFERROR(__xludf.DUMMYFUNCTION("""COMPUTED_VALUE"""),"VEGI")</f>
        <v>VEGI</v>
      </c>
      <c r="D9264" s="122" t="str">
        <f>IFERROR(__xludf.DUMMYFUNCTION("""COMPUTED_VALUE"""),"Green Basket")</f>
        <v>Green Basket</v>
      </c>
      <c r="E9264" s="122">
        <f>IFERROR(__xludf.DUMMYFUNCTION("""COMPUTED_VALUE"""),76.76)</f>
        <v>76.76</v>
      </c>
      <c r="F9264" s="122">
        <f>IFERROR(__xludf.DUMMYFUNCTION("""COMPUTED_VALUE"""),-0.0045)</f>
        <v>-0.0045</v>
      </c>
    </row>
    <row r="9265">
      <c r="A9265" s="131">
        <f>IFERROR(__xludf.DUMMYFUNCTION("""COMPUTED_VALUE"""),46187.672743055555)</f>
        <v>46187.67274</v>
      </c>
      <c r="B9265" s="126">
        <f>IFERROR(__xludf.DUMMYFUNCTION("""COMPUTED_VALUE"""),46187.0)</f>
        <v>46187</v>
      </c>
      <c r="C9265" s="122" t="str">
        <f>IFERROR(__xludf.DUMMYFUNCTION("""COMPUTED_VALUE"""),"CAFE")</f>
        <v>CAFE</v>
      </c>
      <c r="D9265" s="122" t="str">
        <f>IFERROR(__xludf.DUMMYFUNCTION("""COMPUTED_VALUE"""),"Cafe Cloud")</f>
        <v>Cafe Cloud</v>
      </c>
      <c r="E9265" s="122">
        <f>IFERROR(__xludf.DUMMYFUNCTION("""COMPUTED_VALUE"""),102.73)</f>
        <v>102.73</v>
      </c>
      <c r="F9265" s="122">
        <f>IFERROR(__xludf.DUMMYFUNCTION("""COMPUTED_VALUE"""),-0.0015)</f>
        <v>-0.0015</v>
      </c>
    </row>
    <row r="9266">
      <c r="A9266" s="131">
        <f>IFERROR(__xludf.DUMMYFUNCTION("""COMPUTED_VALUE"""),46187.672743055555)</f>
        <v>46187.67274</v>
      </c>
      <c r="B9266" s="126">
        <f>IFERROR(__xludf.DUMMYFUNCTION("""COMPUTED_VALUE"""),46187.0)</f>
        <v>46187</v>
      </c>
      <c r="C9266" s="122" t="str">
        <f>IFERROR(__xludf.DUMMYFUNCTION("""COMPUTED_VALUE"""),"BAKE")</f>
        <v>BAKE</v>
      </c>
      <c r="D9266" s="122" t="str">
        <f>IFERROR(__xludf.DUMMYFUNCTION("""COMPUTED_VALUE"""),"BakeHouse")</f>
        <v>BakeHouse</v>
      </c>
      <c r="E9266" s="122">
        <f>IFERROR(__xludf.DUMMYFUNCTION("""COMPUTED_VALUE"""),100.34)</f>
        <v>100.34</v>
      </c>
      <c r="F9266" s="122">
        <f>IFERROR(__xludf.DUMMYFUNCTION("""COMPUTED_VALUE"""),-0.0044)</f>
        <v>-0.0044</v>
      </c>
    </row>
    <row r="9267">
      <c r="A9267" s="131">
        <f>IFERROR(__xludf.DUMMYFUNCTION("""COMPUTED_VALUE"""),46187.672743055555)</f>
        <v>46187.67274</v>
      </c>
      <c r="B9267" s="126">
        <f>IFERROR(__xludf.DUMMYFUNCTION("""COMPUTED_VALUE"""),46187.0)</f>
        <v>46187</v>
      </c>
      <c r="C9267" s="122" t="str">
        <f>IFERROR(__xludf.DUMMYFUNCTION("""COMPUTED_VALUE"""),"OILX")</f>
        <v>OILX</v>
      </c>
      <c r="D9267" s="122" t="str">
        <f>IFERROR(__xludf.DUMMYFUNCTION("""COMPUTED_VALUE"""),"OilMax Energy")</f>
        <v>OilMax Energy</v>
      </c>
      <c r="E9267" s="122">
        <f>IFERROR(__xludf.DUMMYFUNCTION("""COMPUTED_VALUE"""),135.7)</f>
        <v>135.7</v>
      </c>
      <c r="F9267" s="122">
        <f>IFERROR(__xludf.DUMMYFUNCTION("""COMPUTED_VALUE"""),-6.0E-4)</f>
        <v>-0.0006</v>
      </c>
    </row>
    <row r="9268">
      <c r="A9268" s="131">
        <f>IFERROR(__xludf.DUMMYFUNCTION("""COMPUTED_VALUE"""),46187.672743055555)</f>
        <v>46187.67274</v>
      </c>
      <c r="B9268" s="126">
        <f>IFERROR(__xludf.DUMMYFUNCTION("""COMPUTED_VALUE"""),46187.0)</f>
        <v>46187</v>
      </c>
      <c r="C9268" s="122" t="str">
        <f>IFERROR(__xludf.DUMMYFUNCTION("""COMPUTED_VALUE"""),"SOLR")</f>
        <v>SOLR</v>
      </c>
      <c r="D9268" s="122" t="str">
        <f>IFERROR(__xludf.DUMMYFUNCTION("""COMPUTED_VALUE"""),"SolarSpark")</f>
        <v>SolarSpark</v>
      </c>
      <c r="E9268" s="122">
        <f>IFERROR(__xludf.DUMMYFUNCTION("""COMPUTED_VALUE"""),107.55)</f>
        <v>107.55</v>
      </c>
      <c r="F9268" s="122">
        <f>IFERROR(__xludf.DUMMYFUNCTION("""COMPUTED_VALUE"""),0.008)</f>
        <v>0.008</v>
      </c>
    </row>
    <row r="9269">
      <c r="A9269" s="131">
        <f>IFERROR(__xludf.DUMMYFUNCTION("""COMPUTED_VALUE"""),46187.672743055555)</f>
        <v>46187.67274</v>
      </c>
      <c r="B9269" s="126">
        <f>IFERROR(__xludf.DUMMYFUNCTION("""COMPUTED_VALUE"""),46187.0)</f>
        <v>46187</v>
      </c>
      <c r="C9269" s="122" t="str">
        <f>IFERROR(__xludf.DUMMYFUNCTION("""COMPUTED_VALUE"""),"BATT")</f>
        <v>BATT</v>
      </c>
      <c r="D9269" s="122" t="str">
        <f>IFERROR(__xludf.DUMMYFUNCTION("""COMPUTED_VALUE"""),"BatteryBox")</f>
        <v>BatteryBox</v>
      </c>
      <c r="E9269" s="122">
        <f>IFERROR(__xludf.DUMMYFUNCTION("""COMPUTED_VALUE"""),120.16)</f>
        <v>120.16</v>
      </c>
      <c r="F9269" s="122">
        <f>IFERROR(__xludf.DUMMYFUNCTION("""COMPUTED_VALUE"""),-0.0012)</f>
        <v>-0.0012</v>
      </c>
    </row>
    <row r="9270">
      <c r="A9270" s="131">
        <f>IFERROR(__xludf.DUMMYFUNCTION("""COMPUTED_VALUE"""),46187.672743055555)</f>
        <v>46187.67274</v>
      </c>
      <c r="B9270" s="126">
        <f>IFERROR(__xludf.DUMMYFUNCTION("""COMPUTED_VALUE"""),46187.0)</f>
        <v>46187</v>
      </c>
      <c r="C9270" s="122" t="str">
        <f>IFERROR(__xludf.DUMMYFUNCTION("""COMPUTED_VALUE"""),"WIND")</f>
        <v>WIND</v>
      </c>
      <c r="D9270" s="122" t="str">
        <f>IFERROR(__xludf.DUMMYFUNCTION("""COMPUTED_VALUE"""),"WindWorks")</f>
        <v>WindWorks</v>
      </c>
      <c r="E9270" s="122">
        <f>IFERROR(__xludf.DUMMYFUNCTION("""COMPUTED_VALUE"""),86.68)</f>
        <v>86.68</v>
      </c>
      <c r="F9270" s="122">
        <f>IFERROR(__xludf.DUMMYFUNCTION("""COMPUTED_VALUE"""),0.0065)</f>
        <v>0.0065</v>
      </c>
    </row>
    <row r="9271">
      <c r="A9271" s="131">
        <f>IFERROR(__xludf.DUMMYFUNCTION("""COMPUTED_VALUE"""),46187.672743055555)</f>
        <v>46187.67274</v>
      </c>
      <c r="B9271" s="126">
        <f>IFERROR(__xludf.DUMMYFUNCTION("""COMPUTED_VALUE"""),46187.0)</f>
        <v>46187</v>
      </c>
      <c r="C9271" s="122" t="str">
        <f>IFERROR(__xludf.DUMMYFUNCTION("""COMPUTED_VALUE"""),"GRID")</f>
        <v>GRID</v>
      </c>
      <c r="D9271" s="122" t="str">
        <f>IFERROR(__xludf.DUMMYFUNCTION("""COMPUTED_VALUE"""),"GridPower")</f>
        <v>GridPower</v>
      </c>
      <c r="E9271" s="122">
        <f>IFERROR(__xludf.DUMMYFUNCTION("""COMPUTED_VALUE"""),125.22)</f>
        <v>125.22</v>
      </c>
      <c r="F9271" s="122">
        <f>IFERROR(__xludf.DUMMYFUNCTION("""COMPUTED_VALUE"""),0.004)</f>
        <v>0.004</v>
      </c>
    </row>
    <row r="9272">
      <c r="A9272" s="131">
        <f>IFERROR(__xludf.DUMMYFUNCTION("""COMPUTED_VALUE"""),46187.672743055555)</f>
        <v>46187.67274</v>
      </c>
      <c r="B9272" s="126">
        <f>IFERROR(__xludf.DUMMYFUNCTION("""COMPUTED_VALUE"""),46187.0)</f>
        <v>46187</v>
      </c>
      <c r="C9272" s="122" t="str">
        <f>IFERROR(__xludf.DUMMYFUNCTION("""COMPUTED_VALUE"""),"HOME")</f>
        <v>HOME</v>
      </c>
      <c r="D9272" s="122" t="str">
        <f>IFERROR(__xludf.DUMMYFUNCTION("""COMPUTED_VALUE"""),"HomeHub")</f>
        <v>HomeHub</v>
      </c>
      <c r="E9272" s="122">
        <f>IFERROR(__xludf.DUMMYFUNCTION("""COMPUTED_VALUE"""),162.94)</f>
        <v>162.94</v>
      </c>
      <c r="F9272" s="122">
        <f>IFERROR(__xludf.DUMMYFUNCTION("""COMPUTED_VALUE"""),0.0043)</f>
        <v>0.0043</v>
      </c>
    </row>
    <row r="9273">
      <c r="A9273" s="131">
        <f>IFERROR(__xludf.DUMMYFUNCTION("""COMPUTED_VALUE"""),46187.672743055555)</f>
        <v>46187.67274</v>
      </c>
      <c r="B9273" s="126">
        <f>IFERROR(__xludf.DUMMYFUNCTION("""COMPUTED_VALUE"""),46187.0)</f>
        <v>46187</v>
      </c>
      <c r="C9273" s="122" t="str">
        <f>IFERROR(__xludf.DUMMYFUNCTION("""COMPUTED_VALUE"""),"RENT")</f>
        <v>RENT</v>
      </c>
      <c r="D9273" s="122" t="str">
        <f>IFERROR(__xludf.DUMMYFUNCTION("""COMPUTED_VALUE"""),"RentRight")</f>
        <v>RentRight</v>
      </c>
      <c r="E9273" s="122">
        <f>IFERROR(__xludf.DUMMYFUNCTION("""COMPUTED_VALUE"""),89.49)</f>
        <v>89.49</v>
      </c>
      <c r="F9273" s="122">
        <f>IFERROR(__xludf.DUMMYFUNCTION("""COMPUTED_VALUE"""),0.0045)</f>
        <v>0.0045</v>
      </c>
    </row>
    <row r="9274">
      <c r="A9274" s="131">
        <f>IFERROR(__xludf.DUMMYFUNCTION("""COMPUTED_VALUE"""),46187.672743055555)</f>
        <v>46187.67274</v>
      </c>
      <c r="B9274" s="126">
        <f>IFERROR(__xludf.DUMMYFUNCTION("""COMPUTED_VALUE"""),46187.0)</f>
        <v>46187</v>
      </c>
      <c r="C9274" s="122" t="str">
        <f>IFERROR(__xludf.DUMMYFUNCTION("""COMPUTED_VALUE"""),"MALL")</f>
        <v>MALL</v>
      </c>
      <c r="D9274" s="122" t="str">
        <f>IFERROR(__xludf.DUMMYFUNCTION("""COMPUTED_VALUE"""),"MegaMall")</f>
        <v>MegaMall</v>
      </c>
      <c r="E9274" s="122">
        <f>IFERROR(__xludf.DUMMYFUNCTION("""COMPUTED_VALUE"""),102.26)</f>
        <v>102.26</v>
      </c>
      <c r="F9274" s="122">
        <f>IFERROR(__xludf.DUMMYFUNCTION("""COMPUTED_VALUE"""),0.003)</f>
        <v>0.003</v>
      </c>
    </row>
    <row r="9275">
      <c r="A9275" s="131">
        <f>IFERROR(__xludf.DUMMYFUNCTION("""COMPUTED_VALUE"""),46187.672743055555)</f>
        <v>46187.67274</v>
      </c>
      <c r="B9275" s="126">
        <f>IFERROR(__xludf.DUMMYFUNCTION("""COMPUTED_VALUE"""),46187.0)</f>
        <v>46187</v>
      </c>
      <c r="C9275" s="122" t="str">
        <f>IFERROR(__xludf.DUMMYFUNCTION("""COMPUTED_VALUE"""),"HOTL")</f>
        <v>HOTL</v>
      </c>
      <c r="D9275" s="122" t="str">
        <f>IFERROR(__xludf.DUMMYFUNCTION("""COMPUTED_VALUE"""),"HotelHive")</f>
        <v>HotelHive</v>
      </c>
      <c r="E9275" s="122">
        <f>IFERROR(__xludf.DUMMYFUNCTION("""COMPUTED_VALUE"""),119.93)</f>
        <v>119.93</v>
      </c>
      <c r="F9275" s="122">
        <f>IFERROR(__xludf.DUMMYFUNCTION("""COMPUTED_VALUE"""),-0.0049)</f>
        <v>-0.0049</v>
      </c>
    </row>
    <row r="9276">
      <c r="A9276" s="131">
        <f>IFERROR(__xludf.DUMMYFUNCTION("""COMPUTED_VALUE"""),46187.672743055555)</f>
        <v>46187.67274</v>
      </c>
      <c r="B9276" s="126">
        <f>IFERROR(__xludf.DUMMYFUNCTION("""COMPUTED_VALUE"""),46187.0)</f>
        <v>46187</v>
      </c>
      <c r="C9276" s="122" t="str">
        <f>IFERROR(__xludf.DUMMYFUNCTION("""COMPUTED_VALUE"""),"LAND")</f>
        <v>LAND</v>
      </c>
      <c r="D9276" s="122" t="str">
        <f>IFERROR(__xludf.DUMMYFUNCTION("""COMPUTED_VALUE"""),"LandLink")</f>
        <v>LandLink</v>
      </c>
      <c r="E9276" s="122">
        <f>IFERROR(__xludf.DUMMYFUNCTION("""COMPUTED_VALUE"""),188.06)</f>
        <v>188.06</v>
      </c>
      <c r="F9276" s="122">
        <f>IFERROR(__xludf.DUMMYFUNCTION("""COMPUTED_VALUE"""),0.0053)</f>
        <v>0.0053</v>
      </c>
    </row>
    <row r="9277">
      <c r="A9277" s="131">
        <f>IFERROR(__xludf.DUMMYFUNCTION("""COMPUTED_VALUE"""),46187.672743055555)</f>
        <v>46187.67274</v>
      </c>
      <c r="B9277" s="126">
        <f>IFERROR(__xludf.DUMMYFUNCTION("""COMPUTED_VALUE"""),46187.0)</f>
        <v>46187</v>
      </c>
      <c r="C9277" s="122" t="str">
        <f>IFERROR(__xludf.DUMMYFUNCTION("""COMPUTED_VALUE"""),"CARS")</f>
        <v>CARS</v>
      </c>
      <c r="D9277" s="122" t="str">
        <f>IFERROR(__xludf.DUMMYFUNCTION("""COMPUTED_VALUE"""),"AutoArena")</f>
        <v>AutoArena</v>
      </c>
      <c r="E9277" s="122">
        <f>IFERROR(__xludf.DUMMYFUNCTION("""COMPUTED_VALUE"""),80.65)</f>
        <v>80.65</v>
      </c>
      <c r="F9277" s="122">
        <f>IFERROR(__xludf.DUMMYFUNCTION("""COMPUTED_VALUE"""),-0.006)</f>
        <v>-0.006</v>
      </c>
    </row>
    <row r="9278">
      <c r="A9278" s="131">
        <f>IFERROR(__xludf.DUMMYFUNCTION("""COMPUTED_VALUE"""),46187.672743055555)</f>
        <v>46187.67274</v>
      </c>
      <c r="B9278" s="126">
        <f>IFERROR(__xludf.DUMMYFUNCTION("""COMPUTED_VALUE"""),46187.0)</f>
        <v>46187</v>
      </c>
      <c r="C9278" s="122" t="str">
        <f>IFERROR(__xludf.DUMMYFUNCTION("""COMPUTED_VALUE"""),"EVGO")</f>
        <v>EVGO</v>
      </c>
      <c r="D9278" s="122" t="str">
        <f>IFERROR(__xludf.DUMMYFUNCTION("""COMPUTED_VALUE"""),"EVGo Motors")</f>
        <v>EVGo Motors</v>
      </c>
      <c r="E9278" s="122">
        <f>IFERROR(__xludf.DUMMYFUNCTION("""COMPUTED_VALUE"""),193.88)</f>
        <v>193.88</v>
      </c>
      <c r="F9278" s="122">
        <f>IFERROR(__xludf.DUMMYFUNCTION("""COMPUTED_VALUE"""),0.0111)</f>
        <v>0.0111</v>
      </c>
    </row>
    <row r="9279">
      <c r="A9279" s="131">
        <f>IFERROR(__xludf.DUMMYFUNCTION("""COMPUTED_VALUE"""),46187.672743055555)</f>
        <v>46187.67274</v>
      </c>
      <c r="B9279" s="126">
        <f>IFERROR(__xludf.DUMMYFUNCTION("""COMPUTED_VALUE"""),46187.0)</f>
        <v>46187</v>
      </c>
      <c r="C9279" s="122" t="str">
        <f>IFERROR(__xludf.DUMMYFUNCTION("""COMPUTED_VALUE"""),"TIRE")</f>
        <v>TIRE</v>
      </c>
      <c r="D9279" s="122" t="str">
        <f>IFERROR(__xludf.DUMMYFUNCTION("""COMPUTED_VALUE"""),"TireTown")</f>
        <v>TireTown</v>
      </c>
      <c r="E9279" s="122">
        <f>IFERROR(__xludf.DUMMYFUNCTION("""COMPUTED_VALUE"""),99.3)</f>
        <v>99.3</v>
      </c>
      <c r="F9279" s="122">
        <f>IFERROR(__xludf.DUMMYFUNCTION("""COMPUTED_VALUE"""),0.0037)</f>
        <v>0.0037</v>
      </c>
    </row>
    <row r="9280">
      <c r="A9280" s="131">
        <f>IFERROR(__xludf.DUMMYFUNCTION("""COMPUTED_VALUE"""),46187.672743055555)</f>
        <v>46187.67274</v>
      </c>
      <c r="B9280" s="126">
        <f>IFERROR(__xludf.DUMMYFUNCTION("""COMPUTED_VALUE"""),46187.0)</f>
        <v>46187</v>
      </c>
      <c r="C9280" s="122" t="str">
        <f>IFERROR(__xludf.DUMMYFUNCTION("""COMPUTED_VALUE"""),"BIKE")</f>
        <v>BIKE</v>
      </c>
      <c r="D9280" s="122" t="str">
        <f>IFERROR(__xludf.DUMMYFUNCTION("""COMPUTED_VALUE"""),"BikeBox")</f>
        <v>BikeBox</v>
      </c>
      <c r="E9280" s="122">
        <f>IFERROR(__xludf.DUMMYFUNCTION("""COMPUTED_VALUE"""),51.65)</f>
        <v>51.65</v>
      </c>
      <c r="F9280" s="122">
        <f>IFERROR(__xludf.DUMMYFUNCTION("""COMPUTED_VALUE"""),0.0019)</f>
        <v>0.0019</v>
      </c>
    </row>
    <row r="9281">
      <c r="A9281" s="131">
        <f>IFERROR(__xludf.DUMMYFUNCTION("""COMPUTED_VALUE"""),46187.672743055555)</f>
        <v>46187.67274</v>
      </c>
      <c r="B9281" s="126">
        <f>IFERROR(__xludf.DUMMYFUNCTION("""COMPUTED_VALUE"""),46187.0)</f>
        <v>46187</v>
      </c>
      <c r="C9281" s="122" t="str">
        <f>IFERROR(__xludf.DUMMYFUNCTION("""COMPUTED_VALUE"""),"WASH")</f>
        <v>WASH</v>
      </c>
      <c r="D9281" s="122" t="str">
        <f>IFERROR(__xludf.DUMMYFUNCTION("""COMPUTED_VALUE"""),"CarWash Co")</f>
        <v>CarWash Co</v>
      </c>
      <c r="E9281" s="122">
        <f>IFERROR(__xludf.DUMMYFUNCTION("""COMPUTED_VALUE"""),123.91)</f>
        <v>123.91</v>
      </c>
      <c r="F9281" s="122">
        <f>IFERROR(__xludf.DUMMYFUNCTION("""COMPUTED_VALUE"""),0.0038)</f>
        <v>0.0038</v>
      </c>
    </row>
    <row r="9282">
      <c r="A9282" s="131">
        <f>IFERROR(__xludf.DUMMYFUNCTION("""COMPUTED_VALUE"""),46187.672743055555)</f>
        <v>46187.67274</v>
      </c>
      <c r="B9282" s="126">
        <f>IFERROR(__xludf.DUMMYFUNCTION("""COMPUTED_VALUE"""),46187.0)</f>
        <v>46187</v>
      </c>
      <c r="C9282" s="122" t="str">
        <f>IFERROR(__xludf.DUMMYFUNCTION("""COMPUTED_VALUE"""),"GBND")</f>
        <v>GBND</v>
      </c>
      <c r="D9282" s="122" t="str">
        <f>IFERROR(__xludf.DUMMYFUNCTION("""COMPUTED_VALUE"""),"Classroom Government Bond")</f>
        <v>Classroom Government Bond</v>
      </c>
      <c r="E9282" s="122">
        <f>IFERROR(__xludf.DUMMYFUNCTION("""COMPUTED_VALUE"""),101.16)</f>
        <v>101.16</v>
      </c>
      <c r="F9282" s="122">
        <f>IFERROR(__xludf.DUMMYFUNCTION("""COMPUTED_VALUE"""),2.0E-4)</f>
        <v>0.0002</v>
      </c>
    </row>
    <row r="9283">
      <c r="A9283" s="131">
        <f>IFERROR(__xludf.DUMMYFUNCTION("""COMPUTED_VALUE"""),46187.672743055555)</f>
        <v>46187.67274</v>
      </c>
      <c r="B9283" s="126">
        <f>IFERROR(__xludf.DUMMYFUNCTION("""COMPUTED_VALUE"""),46187.0)</f>
        <v>46187</v>
      </c>
      <c r="C9283" s="122" t="str">
        <f>IFERROR(__xludf.DUMMYFUNCTION("""COMPUTED_VALUE"""),"SBND")</f>
        <v>SBND</v>
      </c>
      <c r="D9283" s="122" t="str">
        <f>IFERROR(__xludf.DUMMYFUNCTION("""COMPUTED_VALUE"""),"School Savings Bond")</f>
        <v>School Savings Bond</v>
      </c>
      <c r="E9283" s="122">
        <f>IFERROR(__xludf.DUMMYFUNCTION("""COMPUTED_VALUE"""),99.25)</f>
        <v>99.25</v>
      </c>
      <c r="F9283" s="122">
        <f>IFERROR(__xludf.DUMMYFUNCTION("""COMPUTED_VALUE"""),2.0E-4)</f>
        <v>0.0002</v>
      </c>
    </row>
    <row r="9284">
      <c r="A9284" s="131">
        <f>IFERROR(__xludf.DUMMYFUNCTION("""COMPUTED_VALUE"""),46187.672743055555)</f>
        <v>46187.67274</v>
      </c>
      <c r="B9284" s="126">
        <f>IFERROR(__xludf.DUMMYFUNCTION("""COMPUTED_VALUE"""),46187.0)</f>
        <v>46187</v>
      </c>
      <c r="C9284" s="122" t="str">
        <f>IFERROR(__xludf.DUMMYFUNCTION("""COMPUTED_VALUE"""),"CBND")</f>
        <v>CBND</v>
      </c>
      <c r="D9284" s="122" t="str">
        <f>IFERROR(__xludf.DUMMYFUNCTION("""COMPUTED_VALUE"""),"Corporate Classroom Bond")</f>
        <v>Corporate Classroom Bond</v>
      </c>
      <c r="E9284" s="122">
        <f>IFERROR(__xludf.DUMMYFUNCTION("""COMPUTED_VALUE"""),97.93)</f>
        <v>97.93</v>
      </c>
      <c r="F9284" s="122">
        <f>IFERROR(__xludf.DUMMYFUNCTION("""COMPUTED_VALUE"""),4.0E-4)</f>
        <v>0.0004</v>
      </c>
    </row>
    <row r="9285">
      <c r="A9285" s="131">
        <f>IFERROR(__xludf.DUMMYFUNCTION("""COMPUTED_VALUE"""),46187.672743055555)</f>
        <v>46187.67274</v>
      </c>
      <c r="B9285" s="126">
        <f>IFERROR(__xludf.DUMMYFUNCTION("""COMPUTED_VALUE"""),46187.0)</f>
        <v>46187</v>
      </c>
      <c r="C9285" s="122" t="str">
        <f>IFERROR(__xludf.DUMMYFUNCTION("""COMPUTED_VALUE"""),"TBIL")</f>
        <v>TBIL</v>
      </c>
      <c r="D9285" s="122" t="str">
        <f>IFERROR(__xludf.DUMMYFUNCTION("""COMPUTED_VALUE"""),"Treasury Bill")</f>
        <v>Treasury Bill</v>
      </c>
      <c r="E9285" s="122">
        <f>IFERROR(__xludf.DUMMYFUNCTION("""COMPUTED_VALUE"""),97.76)</f>
        <v>97.76</v>
      </c>
      <c r="F9285" s="122">
        <f>IFERROR(__xludf.DUMMYFUNCTION("""COMPUTED_VALUE"""),-1.0E-4)</f>
        <v>-0.0001</v>
      </c>
    </row>
    <row r="9286">
      <c r="A9286" s="131">
        <f>IFERROR(__xludf.DUMMYFUNCTION("""COMPUTED_VALUE"""),46187.672743055555)</f>
        <v>46187.67274</v>
      </c>
      <c r="B9286" s="126">
        <f>IFERROR(__xludf.DUMMYFUNCTION("""COMPUTED_VALUE"""),46187.0)</f>
        <v>46187</v>
      </c>
      <c r="C9286" s="122" t="str">
        <f>IFERROR(__xludf.DUMMYFUNCTION("""COMPUTED_VALUE"""),"IBND")</f>
        <v>IBND</v>
      </c>
      <c r="D9286" s="122" t="str">
        <f>IFERROR(__xludf.DUMMYFUNCTION("""COMPUTED_VALUE"""),"Inflation Protected Bond")</f>
        <v>Inflation Protected Bond</v>
      </c>
      <c r="E9286" s="122">
        <f>IFERROR(__xludf.DUMMYFUNCTION("""COMPUTED_VALUE"""),100.77)</f>
        <v>100.77</v>
      </c>
      <c r="F9286" s="122">
        <f>IFERROR(__xludf.DUMMYFUNCTION("""COMPUTED_VALUE"""),-2.0E-4)</f>
        <v>-0.0002</v>
      </c>
    </row>
    <row r="9287">
      <c r="A9287" s="131">
        <f>IFERROR(__xludf.DUMMYFUNCTION("""COMPUTED_VALUE"""),46187.675625)</f>
        <v>46187.67563</v>
      </c>
      <c r="B9287" s="126">
        <f>IFERROR(__xludf.DUMMYFUNCTION("""COMPUTED_VALUE"""),46187.0)</f>
        <v>46187</v>
      </c>
      <c r="C9287" s="122" t="str">
        <f>IFERROR(__xludf.DUMMYFUNCTION("""COMPUTED_VALUE"""),"SNAX")</f>
        <v>SNAX</v>
      </c>
      <c r="D9287" s="122" t="str">
        <f>IFERROR(__xludf.DUMMYFUNCTION("""COMPUTED_VALUE"""),"MICA Snacks")</f>
        <v>MICA Snacks</v>
      </c>
      <c r="E9287" s="122">
        <f>IFERROR(__xludf.DUMMYFUNCTION("""COMPUTED_VALUE"""),121.57)</f>
        <v>121.57</v>
      </c>
      <c r="F9287" s="122">
        <f>IFERROR(__xludf.DUMMYFUNCTION("""COMPUTED_VALUE"""),-0.0043)</f>
        <v>-0.0043</v>
      </c>
    </row>
    <row r="9288">
      <c r="A9288" s="131">
        <f>IFERROR(__xludf.DUMMYFUNCTION("""COMPUTED_VALUE"""),46187.675625)</f>
        <v>46187.67563</v>
      </c>
      <c r="B9288" s="126">
        <f>IFERROR(__xludf.DUMMYFUNCTION("""COMPUTED_VALUE"""),46187.0)</f>
        <v>46187</v>
      </c>
      <c r="C9288" s="122" t="str">
        <f>IFERROR(__xludf.DUMMYFUNCTION("""COMPUTED_VALUE"""),"RAMN")</f>
        <v>RAMN</v>
      </c>
      <c r="D9288" s="122" t="str">
        <f>IFERROR(__xludf.DUMMYFUNCTION("""COMPUTED_VALUE"""),"Ramen Republic")</f>
        <v>Ramen Republic</v>
      </c>
      <c r="E9288" s="122">
        <f>IFERROR(__xludf.DUMMYFUNCTION("""COMPUTED_VALUE"""),59.99)</f>
        <v>59.99</v>
      </c>
      <c r="F9288" s="122">
        <f>IFERROR(__xludf.DUMMYFUNCTION("""COMPUTED_VALUE"""),-0.0038)</f>
        <v>-0.0038</v>
      </c>
    </row>
    <row r="9289">
      <c r="A9289" s="131">
        <f>IFERROR(__xludf.DUMMYFUNCTION("""COMPUTED_VALUE"""),46187.675625)</f>
        <v>46187.67563</v>
      </c>
      <c r="B9289" s="126">
        <f>IFERROR(__xludf.DUMMYFUNCTION("""COMPUTED_VALUE"""),46187.0)</f>
        <v>46187</v>
      </c>
      <c r="C9289" s="122" t="str">
        <f>IFERROR(__xludf.DUMMYFUNCTION("""COMPUTED_VALUE"""),"COLA")</f>
        <v>COLA</v>
      </c>
      <c r="D9289" s="122" t="str">
        <f>IFERROR(__xludf.DUMMYFUNCTION("""COMPUTED_VALUE"""),"K-Pop Cola")</f>
        <v>K-Pop Cola</v>
      </c>
      <c r="E9289" s="122">
        <f>IFERROR(__xludf.DUMMYFUNCTION("""COMPUTED_VALUE"""),114.34)</f>
        <v>114.34</v>
      </c>
      <c r="F9289" s="122">
        <f>IFERROR(__xludf.DUMMYFUNCTION("""COMPUTED_VALUE"""),-0.0046)</f>
        <v>-0.0046</v>
      </c>
    </row>
    <row r="9290">
      <c r="A9290" s="131">
        <f>IFERROR(__xludf.DUMMYFUNCTION("""COMPUTED_VALUE"""),46187.675625)</f>
        <v>46187.67563</v>
      </c>
      <c r="B9290" s="126">
        <f>IFERROR(__xludf.DUMMYFUNCTION("""COMPUTED_VALUE"""),46187.0)</f>
        <v>46187</v>
      </c>
      <c r="C9290" s="122" t="str">
        <f>IFERROR(__xludf.DUMMYFUNCTION("""COMPUTED_VALUE"""),"CHIP")</f>
        <v>CHIP</v>
      </c>
      <c r="D9290" s="122" t="str">
        <f>IFERROR(__xludf.DUMMYFUNCTION("""COMPUTED_VALUE"""),"Chip Empire")</f>
        <v>Chip Empire</v>
      </c>
      <c r="E9290" s="122">
        <f>IFERROR(__xludf.DUMMYFUNCTION("""COMPUTED_VALUE"""),80.72)</f>
        <v>80.72</v>
      </c>
      <c r="F9290" s="122">
        <f>IFERROR(__xludf.DUMMYFUNCTION("""COMPUTED_VALUE"""),0.0085)</f>
        <v>0.0085</v>
      </c>
    </row>
    <row r="9291">
      <c r="A9291" s="131">
        <f>IFERROR(__xludf.DUMMYFUNCTION("""COMPUTED_VALUE"""),46187.675625)</f>
        <v>46187.67563</v>
      </c>
      <c r="B9291" s="126">
        <f>IFERROR(__xludf.DUMMYFUNCTION("""COMPUTED_VALUE"""),46187.0)</f>
        <v>46187</v>
      </c>
      <c r="C9291" s="122" t="str">
        <f>IFERROR(__xludf.DUMMYFUNCTION("""COMPUTED_VALUE"""),"CAND")</f>
        <v>CAND</v>
      </c>
      <c r="D9291" s="122" t="str">
        <f>IFERROR(__xludf.DUMMYFUNCTION("""COMPUTED_VALUE"""),"Candy Capital")</f>
        <v>Candy Capital</v>
      </c>
      <c r="E9291" s="122">
        <f>IFERROR(__xludf.DUMMYFUNCTION("""COMPUTED_VALUE"""),76.03)</f>
        <v>76.03</v>
      </c>
      <c r="F9291" s="122">
        <f>IFERROR(__xludf.DUMMYFUNCTION("""COMPUTED_VALUE"""),-0.0068)</f>
        <v>-0.0068</v>
      </c>
    </row>
    <row r="9292">
      <c r="A9292" s="131">
        <f>IFERROR(__xludf.DUMMYFUNCTION("""COMPUTED_VALUE"""),46187.675625)</f>
        <v>46187.67563</v>
      </c>
      <c r="B9292" s="126">
        <f>IFERROR(__xludf.DUMMYFUNCTION("""COMPUTED_VALUE"""),46187.0)</f>
        <v>46187</v>
      </c>
      <c r="C9292" s="122" t="str">
        <f>IFERROR(__xludf.DUMMYFUNCTION("""COMPUTED_VALUE"""),"TECH")</f>
        <v>TECH</v>
      </c>
      <c r="D9292" s="122" t="str">
        <f>IFERROR(__xludf.DUMMYFUNCTION("""COMPUTED_VALUE"""),"Dragon Tech")</f>
        <v>Dragon Tech</v>
      </c>
      <c r="E9292" s="122">
        <f>IFERROR(__xludf.DUMMYFUNCTION("""COMPUTED_VALUE"""),257.92)</f>
        <v>257.92</v>
      </c>
      <c r="F9292" s="122">
        <f>IFERROR(__xludf.DUMMYFUNCTION("""COMPUTED_VALUE"""),-0.003)</f>
        <v>-0.003</v>
      </c>
    </row>
    <row r="9293">
      <c r="A9293" s="131">
        <f>IFERROR(__xludf.DUMMYFUNCTION("""COMPUTED_VALUE"""),46187.675625)</f>
        <v>46187.67563</v>
      </c>
      <c r="B9293" s="126">
        <f>IFERROR(__xludf.DUMMYFUNCTION("""COMPUTED_VALUE"""),46187.0)</f>
        <v>46187</v>
      </c>
      <c r="C9293" s="122" t="str">
        <f>IFERROR(__xludf.DUMMYFUNCTION("""COMPUTED_VALUE"""),"AIBO")</f>
        <v>AIBO</v>
      </c>
      <c r="D9293" s="122" t="str">
        <f>IFERROR(__xludf.DUMMYFUNCTION("""COMPUTED_VALUE"""),"Homework AI")</f>
        <v>Homework AI</v>
      </c>
      <c r="E9293" s="122">
        <f>IFERROR(__xludf.DUMMYFUNCTION("""COMPUTED_VALUE"""),196.03)</f>
        <v>196.03</v>
      </c>
      <c r="F9293" s="122">
        <f>IFERROR(__xludf.DUMMYFUNCTION("""COMPUTED_VALUE"""),0.0105)</f>
        <v>0.0105</v>
      </c>
    </row>
    <row r="9294">
      <c r="A9294" s="131">
        <f>IFERROR(__xludf.DUMMYFUNCTION("""COMPUTED_VALUE"""),46187.675625)</f>
        <v>46187.67563</v>
      </c>
      <c r="B9294" s="126">
        <f>IFERROR(__xludf.DUMMYFUNCTION("""COMPUTED_VALUE"""),46187.0)</f>
        <v>46187</v>
      </c>
      <c r="C9294" s="122" t="str">
        <f>IFERROR(__xludf.DUMMYFUNCTION("""COMPUTED_VALUE"""),"GAME")</f>
        <v>GAME</v>
      </c>
      <c r="D9294" s="122" t="str">
        <f>IFERROR(__xludf.DUMMYFUNCTION("""COMPUTED_VALUE"""),"GameBox Media")</f>
        <v>GameBox Media</v>
      </c>
      <c r="E9294" s="122">
        <f>IFERROR(__xludf.DUMMYFUNCTION("""COMPUTED_VALUE"""),103.44)</f>
        <v>103.44</v>
      </c>
      <c r="F9294" s="122">
        <f>IFERROR(__xludf.DUMMYFUNCTION("""COMPUTED_VALUE"""),-0.0109)</f>
        <v>-0.0109</v>
      </c>
    </row>
    <row r="9295">
      <c r="A9295" s="131">
        <f>IFERROR(__xludf.DUMMYFUNCTION("""COMPUTED_VALUE"""),46187.675625)</f>
        <v>46187.67563</v>
      </c>
      <c r="B9295" s="126">
        <f>IFERROR(__xludf.DUMMYFUNCTION("""COMPUTED_VALUE"""),46187.0)</f>
        <v>46187</v>
      </c>
      <c r="C9295" s="122" t="str">
        <f>IFERROR(__xludf.DUMMYFUNCTION("""COMPUTED_VALUE"""),"VRSE")</f>
        <v>VRSE</v>
      </c>
      <c r="D9295" s="122" t="str">
        <f>IFERROR(__xludf.DUMMYFUNCTION("""COMPUTED_VALUE"""),"VerseVR")</f>
        <v>VerseVR</v>
      </c>
      <c r="E9295" s="122">
        <f>IFERROR(__xludf.DUMMYFUNCTION("""COMPUTED_VALUE"""),145.86)</f>
        <v>145.86</v>
      </c>
      <c r="F9295" s="122">
        <f>IFERROR(__xludf.DUMMYFUNCTION("""COMPUTED_VALUE"""),-0.0031)</f>
        <v>-0.0031</v>
      </c>
    </row>
    <row r="9296">
      <c r="A9296" s="131">
        <f>IFERROR(__xludf.DUMMYFUNCTION("""COMPUTED_VALUE"""),46187.675625)</f>
        <v>46187.67563</v>
      </c>
      <c r="B9296" s="126">
        <f>IFERROR(__xludf.DUMMYFUNCTION("""COMPUTED_VALUE"""),46187.0)</f>
        <v>46187</v>
      </c>
      <c r="C9296" s="122" t="str">
        <f>IFERROR(__xludf.DUMMYFUNCTION("""COMPUTED_VALUE"""),"BYTE")</f>
        <v>BYTE</v>
      </c>
      <c r="D9296" s="122" t="str">
        <f>IFERROR(__xludf.DUMMYFUNCTION("""COMPUTED_VALUE"""),"ByteWorks")</f>
        <v>ByteWorks</v>
      </c>
      <c r="E9296" s="122">
        <f>IFERROR(__xludf.DUMMYFUNCTION("""COMPUTED_VALUE"""),111.66)</f>
        <v>111.66</v>
      </c>
      <c r="F9296" s="122">
        <f>IFERROR(__xludf.DUMMYFUNCTION("""COMPUTED_VALUE"""),-4.0E-4)</f>
        <v>-0.0004</v>
      </c>
    </row>
    <row r="9297">
      <c r="A9297" s="131">
        <f>IFERROR(__xludf.DUMMYFUNCTION("""COMPUTED_VALUE"""),46187.675625)</f>
        <v>46187.67563</v>
      </c>
      <c r="B9297" s="126">
        <f>IFERROR(__xludf.DUMMYFUNCTION("""COMPUTED_VALUE"""),46187.0)</f>
        <v>46187</v>
      </c>
      <c r="C9297" s="122" t="str">
        <f>IFERROR(__xludf.DUMMYFUNCTION("""COMPUTED_VALUE"""),"BANK")</f>
        <v>BANK</v>
      </c>
      <c r="D9297" s="122" t="str">
        <f>IFERROR(__xludf.DUMMYFUNCTION("""COMPUTED_VALUE"""),"Tiger Bank")</f>
        <v>Tiger Bank</v>
      </c>
      <c r="E9297" s="122">
        <f>IFERROR(__xludf.DUMMYFUNCTION("""COMPUTED_VALUE"""),133.84)</f>
        <v>133.84</v>
      </c>
      <c r="F9297" s="122">
        <f>IFERROR(__xludf.DUMMYFUNCTION("""COMPUTED_VALUE"""),0.004)</f>
        <v>0.004</v>
      </c>
    </row>
    <row r="9298">
      <c r="A9298" s="131">
        <f>IFERROR(__xludf.DUMMYFUNCTION("""COMPUTED_VALUE"""),46187.675625)</f>
        <v>46187.67563</v>
      </c>
      <c r="B9298" s="126">
        <f>IFERROR(__xludf.DUMMYFUNCTION("""COMPUTED_VALUE"""),46187.0)</f>
        <v>46187</v>
      </c>
      <c r="C9298" s="122" t="str">
        <f>IFERROR(__xludf.DUMMYFUNCTION("""COMPUTED_VALUE"""),"CRED")</f>
        <v>CRED</v>
      </c>
      <c r="D9298" s="122" t="str">
        <f>IFERROR(__xludf.DUMMYFUNCTION("""COMPUTED_VALUE"""),"Credit Castle")</f>
        <v>Credit Castle</v>
      </c>
      <c r="E9298" s="122">
        <f>IFERROR(__xludf.DUMMYFUNCTION("""COMPUTED_VALUE"""),66.99)</f>
        <v>66.99</v>
      </c>
      <c r="F9298" s="122">
        <f>IFERROR(__xludf.DUMMYFUNCTION("""COMPUTED_VALUE"""),0.0057)</f>
        <v>0.0057</v>
      </c>
    </row>
    <row r="9299">
      <c r="A9299" s="131">
        <f>IFERROR(__xludf.DUMMYFUNCTION("""COMPUTED_VALUE"""),46187.675625)</f>
        <v>46187.67563</v>
      </c>
      <c r="B9299" s="126">
        <f>IFERROR(__xludf.DUMMYFUNCTION("""COMPUTED_VALUE"""),46187.0)</f>
        <v>46187</v>
      </c>
      <c r="C9299" s="122" t="str">
        <f>IFERROR(__xludf.DUMMYFUNCTION("""COMPUTED_VALUE"""),"BOND")</f>
        <v>BOND</v>
      </c>
      <c r="D9299" s="122" t="str">
        <f>IFERROR(__xludf.DUMMYFUNCTION("""COMPUTED_VALUE"""),"BondBridge")</f>
        <v>BondBridge</v>
      </c>
      <c r="E9299" s="122">
        <f>IFERROR(__xludf.DUMMYFUNCTION("""COMPUTED_VALUE"""),106.76)</f>
        <v>106.76</v>
      </c>
      <c r="F9299" s="122">
        <f>IFERROR(__xludf.DUMMYFUNCTION("""COMPUTED_VALUE"""),5.0E-4)</f>
        <v>0.0005</v>
      </c>
    </row>
    <row r="9300">
      <c r="A9300" s="131">
        <f>IFERROR(__xludf.DUMMYFUNCTION("""COMPUTED_VALUE"""),46187.675625)</f>
        <v>46187.67563</v>
      </c>
      <c r="B9300" s="126">
        <f>IFERROR(__xludf.DUMMYFUNCTION("""COMPUTED_VALUE"""),46187.0)</f>
        <v>46187</v>
      </c>
      <c r="C9300" s="122" t="str">
        <f>IFERROR(__xludf.DUMMYFUNCTION("""COMPUTED_VALUE"""),"INSR")</f>
        <v>INSR</v>
      </c>
      <c r="D9300" s="122" t="str">
        <f>IFERROR(__xludf.DUMMYFUNCTION("""COMPUTED_VALUE"""),"Shield Insurance")</f>
        <v>Shield Insurance</v>
      </c>
      <c r="E9300" s="122">
        <f>IFERROR(__xludf.DUMMYFUNCTION("""COMPUTED_VALUE"""),158.02)</f>
        <v>158.02</v>
      </c>
      <c r="F9300" s="122">
        <f>IFERROR(__xludf.DUMMYFUNCTION("""COMPUTED_VALUE"""),0.0012)</f>
        <v>0.0012</v>
      </c>
    </row>
    <row r="9301">
      <c r="A9301" s="131">
        <f>IFERROR(__xludf.DUMMYFUNCTION("""COMPUTED_VALUE"""),46187.675625)</f>
        <v>46187.67563</v>
      </c>
      <c r="B9301" s="126">
        <f>IFERROR(__xludf.DUMMYFUNCTION("""COMPUTED_VALUE"""),46187.0)</f>
        <v>46187</v>
      </c>
      <c r="C9301" s="122" t="str">
        <f>IFERROR(__xludf.DUMMYFUNCTION("""COMPUTED_VALUE"""),"LOAN")</f>
        <v>LOAN</v>
      </c>
      <c r="D9301" s="122" t="str">
        <f>IFERROR(__xludf.DUMMYFUNCTION("""COMPUTED_VALUE"""),"LoanLab")</f>
        <v>LoanLab</v>
      </c>
      <c r="E9301" s="122">
        <f>IFERROR(__xludf.DUMMYFUNCTION("""COMPUTED_VALUE"""),75.53)</f>
        <v>75.53</v>
      </c>
      <c r="F9301" s="122">
        <f>IFERROR(__xludf.DUMMYFUNCTION("""COMPUTED_VALUE"""),0.0076)</f>
        <v>0.0076</v>
      </c>
    </row>
    <row r="9302">
      <c r="A9302" s="131">
        <f>IFERROR(__xludf.DUMMYFUNCTION("""COMPUTED_VALUE"""),46187.675625)</f>
        <v>46187.67563</v>
      </c>
      <c r="B9302" s="126">
        <f>IFERROR(__xludf.DUMMYFUNCTION("""COMPUTED_VALUE"""),46187.0)</f>
        <v>46187</v>
      </c>
      <c r="C9302" s="122" t="str">
        <f>IFERROR(__xludf.DUMMYFUNCTION("""COMPUTED_VALUE"""),"LUXE")</f>
        <v>LUXE</v>
      </c>
      <c r="D9302" s="122" t="str">
        <f>IFERROR(__xludf.DUMMYFUNCTION("""COMPUTED_VALUE"""),"Luxury Locker")</f>
        <v>Luxury Locker</v>
      </c>
      <c r="E9302" s="122">
        <f>IFERROR(__xludf.DUMMYFUNCTION("""COMPUTED_VALUE"""),271.21)</f>
        <v>271.21</v>
      </c>
      <c r="F9302" s="122">
        <f>IFERROR(__xludf.DUMMYFUNCTION("""COMPUTED_VALUE"""),0.0066)</f>
        <v>0.0066</v>
      </c>
    </row>
    <row r="9303">
      <c r="A9303" s="131">
        <f>IFERROR(__xludf.DUMMYFUNCTION("""COMPUTED_VALUE"""),46187.675625)</f>
        <v>46187.67563</v>
      </c>
      <c r="B9303" s="126">
        <f>IFERROR(__xludf.DUMMYFUNCTION("""COMPUTED_VALUE"""),46187.0)</f>
        <v>46187</v>
      </c>
      <c r="C9303" s="122" t="str">
        <f>IFERROR(__xludf.DUMMYFUNCTION("""COMPUTED_VALUE"""),"DRIP")</f>
        <v>DRIP</v>
      </c>
      <c r="D9303" s="122" t="str">
        <f>IFERROR(__xludf.DUMMYFUNCTION("""COMPUTED_VALUE"""),"Drip Streetwear")</f>
        <v>Drip Streetwear</v>
      </c>
      <c r="E9303" s="122">
        <f>IFERROR(__xludf.DUMMYFUNCTION("""COMPUTED_VALUE"""),195.25)</f>
        <v>195.25</v>
      </c>
      <c r="F9303" s="122">
        <f>IFERROR(__xludf.DUMMYFUNCTION("""COMPUTED_VALUE"""),0.0069)</f>
        <v>0.0069</v>
      </c>
    </row>
    <row r="9304">
      <c r="A9304" s="131">
        <f>IFERROR(__xludf.DUMMYFUNCTION("""COMPUTED_VALUE"""),46187.675625)</f>
        <v>46187.67563</v>
      </c>
      <c r="B9304" s="126">
        <f>IFERROR(__xludf.DUMMYFUNCTION("""COMPUTED_VALUE"""),46187.0)</f>
        <v>46187</v>
      </c>
      <c r="C9304" s="122" t="str">
        <f>IFERROR(__xludf.DUMMYFUNCTION("""COMPUTED_VALUE"""),"KICK")</f>
        <v>KICK</v>
      </c>
      <c r="D9304" s="122" t="str">
        <f>IFERROR(__xludf.DUMMYFUNCTION("""COMPUTED_VALUE"""),"KickDrop Sneakers")</f>
        <v>KickDrop Sneakers</v>
      </c>
      <c r="E9304" s="122">
        <f>IFERROR(__xludf.DUMMYFUNCTION("""COMPUTED_VALUE"""),171.41)</f>
        <v>171.41</v>
      </c>
      <c r="F9304" s="122">
        <f>IFERROR(__xludf.DUMMYFUNCTION("""COMPUTED_VALUE"""),0.0083)</f>
        <v>0.0083</v>
      </c>
    </row>
    <row r="9305">
      <c r="A9305" s="131">
        <f>IFERROR(__xludf.DUMMYFUNCTION("""COMPUTED_VALUE"""),46187.675625)</f>
        <v>46187.67563</v>
      </c>
      <c r="B9305" s="126">
        <f>IFERROR(__xludf.DUMMYFUNCTION("""COMPUTED_VALUE"""),46187.0)</f>
        <v>46187</v>
      </c>
      <c r="C9305" s="122" t="str">
        <f>IFERROR(__xludf.DUMMYFUNCTION("""COMPUTED_VALUE"""),"GLAM")</f>
        <v>GLAM</v>
      </c>
      <c r="D9305" s="122" t="str">
        <f>IFERROR(__xludf.DUMMYFUNCTION("""COMPUTED_VALUE"""),"Glow Cosmetics")</f>
        <v>Glow Cosmetics</v>
      </c>
      <c r="E9305" s="122">
        <f>IFERROR(__xludf.DUMMYFUNCTION("""COMPUTED_VALUE"""),111.63)</f>
        <v>111.63</v>
      </c>
      <c r="F9305" s="122">
        <f>IFERROR(__xludf.DUMMYFUNCTION("""COMPUTED_VALUE"""),-2.0E-4)</f>
        <v>-0.0002</v>
      </c>
    </row>
    <row r="9306">
      <c r="A9306" s="131">
        <f>IFERROR(__xludf.DUMMYFUNCTION("""COMPUTED_VALUE"""),46187.675625)</f>
        <v>46187.67563</v>
      </c>
      <c r="B9306" s="126">
        <f>IFERROR(__xludf.DUMMYFUNCTION("""COMPUTED_VALUE"""),46187.0)</f>
        <v>46187</v>
      </c>
      <c r="C9306" s="122" t="str">
        <f>IFERROR(__xludf.DUMMYFUNCTION("""COMPUTED_VALUE"""),"BAGG")</f>
        <v>BAGG</v>
      </c>
      <c r="D9306" s="122" t="str">
        <f>IFERROR(__xludf.DUMMYFUNCTION("""COMPUTED_VALUE"""),"BagVault")</f>
        <v>BagVault</v>
      </c>
      <c r="E9306" s="122">
        <f>IFERROR(__xludf.DUMMYFUNCTION("""COMPUTED_VALUE"""),282.64)</f>
        <v>282.64</v>
      </c>
      <c r="F9306" s="122">
        <f>IFERROR(__xludf.DUMMYFUNCTION("""COMPUTED_VALUE"""),-0.0017)</f>
        <v>-0.0017</v>
      </c>
    </row>
    <row r="9307">
      <c r="A9307" s="131">
        <f>IFERROR(__xludf.DUMMYFUNCTION("""COMPUTED_VALUE"""),46187.675625)</f>
        <v>46187.67563</v>
      </c>
      <c r="B9307" s="126">
        <f>IFERROR(__xludf.DUMMYFUNCTION("""COMPUTED_VALUE"""),46187.0)</f>
        <v>46187</v>
      </c>
      <c r="C9307" s="122" t="str">
        <f>IFERROR(__xludf.DUMMYFUNCTION("""COMPUTED_VALUE"""),"FAST")</f>
        <v>FAST</v>
      </c>
      <c r="D9307" s="122" t="str">
        <f>IFERROR(__xludf.DUMMYFUNCTION("""COMPUTED_VALUE"""),"Flash Logistics")</f>
        <v>Flash Logistics</v>
      </c>
      <c r="E9307" s="122">
        <f>IFERROR(__xludf.DUMMYFUNCTION("""COMPUTED_VALUE"""),108.72)</f>
        <v>108.72</v>
      </c>
      <c r="F9307" s="122">
        <f>IFERROR(__xludf.DUMMYFUNCTION("""COMPUTED_VALUE"""),-0.0028)</f>
        <v>-0.0028</v>
      </c>
    </row>
    <row r="9308">
      <c r="A9308" s="131">
        <f>IFERROR(__xludf.DUMMYFUNCTION("""COMPUTED_VALUE"""),46187.675625)</f>
        <v>46187.67563</v>
      </c>
      <c r="B9308" s="126">
        <f>IFERROR(__xludf.DUMMYFUNCTION("""COMPUTED_VALUE"""),46187.0)</f>
        <v>46187</v>
      </c>
      <c r="C9308" s="122" t="str">
        <f>IFERROR(__xludf.DUMMYFUNCTION("""COMPUTED_VALUE"""),"SHIP")</f>
        <v>SHIP</v>
      </c>
      <c r="D9308" s="122" t="str">
        <f>IFERROR(__xludf.DUMMYFUNCTION("""COMPUTED_VALUE"""),"Seoul Shipping")</f>
        <v>Seoul Shipping</v>
      </c>
      <c r="E9308" s="122">
        <f>IFERROR(__xludf.DUMMYFUNCTION("""COMPUTED_VALUE"""),129.63)</f>
        <v>129.63</v>
      </c>
      <c r="F9308" s="122">
        <f>IFERROR(__xludf.DUMMYFUNCTION("""COMPUTED_VALUE"""),-0.0051)</f>
        <v>-0.0051</v>
      </c>
    </row>
    <row r="9309">
      <c r="A9309" s="131">
        <f>IFERROR(__xludf.DUMMYFUNCTION("""COMPUTED_VALUE"""),46187.675625)</f>
        <v>46187.67563</v>
      </c>
      <c r="B9309" s="126">
        <f>IFERROR(__xludf.DUMMYFUNCTION("""COMPUTED_VALUE"""),46187.0)</f>
        <v>46187</v>
      </c>
      <c r="C9309" s="122" t="str">
        <f>IFERROR(__xludf.DUMMYFUNCTION("""COMPUTED_VALUE"""),"DRON")</f>
        <v>DRON</v>
      </c>
      <c r="D9309" s="122" t="str">
        <f>IFERROR(__xludf.DUMMYFUNCTION("""COMPUTED_VALUE"""),"DroneDrop")</f>
        <v>DroneDrop</v>
      </c>
      <c r="E9309" s="122">
        <f>IFERROR(__xludf.DUMMYFUNCTION("""COMPUTED_VALUE"""),120.6)</f>
        <v>120.6</v>
      </c>
      <c r="F9309" s="122">
        <f>IFERROR(__xludf.DUMMYFUNCTION("""COMPUTED_VALUE"""),-0.0101)</f>
        <v>-0.0101</v>
      </c>
    </row>
    <row r="9310">
      <c r="A9310" s="131">
        <f>IFERROR(__xludf.DUMMYFUNCTION("""COMPUTED_VALUE"""),46187.675625)</f>
        <v>46187.67563</v>
      </c>
      <c r="B9310" s="126">
        <f>IFERROR(__xludf.DUMMYFUNCTION("""COMPUTED_VALUE"""),46187.0)</f>
        <v>46187</v>
      </c>
      <c r="C9310" s="122" t="str">
        <f>IFERROR(__xludf.DUMMYFUNCTION("""COMPUTED_VALUE"""),"RIDE")</f>
        <v>RIDE</v>
      </c>
      <c r="D9310" s="122" t="str">
        <f>IFERROR(__xludf.DUMMYFUNCTION("""COMPUTED_VALUE"""),"QuickRide")</f>
        <v>QuickRide</v>
      </c>
      <c r="E9310" s="122">
        <f>IFERROR(__xludf.DUMMYFUNCTION("""COMPUTED_VALUE"""),98.66)</f>
        <v>98.66</v>
      </c>
      <c r="F9310" s="122">
        <f>IFERROR(__xludf.DUMMYFUNCTION("""COMPUTED_VALUE"""),-0.0094)</f>
        <v>-0.0094</v>
      </c>
    </row>
    <row r="9311">
      <c r="A9311" s="131">
        <f>IFERROR(__xludf.DUMMYFUNCTION("""COMPUTED_VALUE"""),46187.675625)</f>
        <v>46187.67563</v>
      </c>
      <c r="B9311" s="126">
        <f>IFERROR(__xludf.DUMMYFUNCTION("""COMPUTED_VALUE"""),46187.0)</f>
        <v>46187</v>
      </c>
      <c r="C9311" s="122" t="str">
        <f>IFERROR(__xludf.DUMMYFUNCTION("""COMPUTED_VALUE"""),"RAIL")</f>
        <v>RAIL</v>
      </c>
      <c r="D9311" s="122" t="str">
        <f>IFERROR(__xludf.DUMMYFUNCTION("""COMPUTED_VALUE"""),"MetroRail Corp")</f>
        <v>MetroRail Corp</v>
      </c>
      <c r="E9311" s="122">
        <f>IFERROR(__xludf.DUMMYFUNCTION("""COMPUTED_VALUE"""),130.36)</f>
        <v>130.36</v>
      </c>
      <c r="F9311" s="122">
        <f>IFERROR(__xludf.DUMMYFUNCTION("""COMPUTED_VALUE"""),-9.0E-4)</f>
        <v>-0.0009</v>
      </c>
    </row>
    <row r="9312">
      <c r="A9312" s="131">
        <f>IFERROR(__xludf.DUMMYFUNCTION("""COMPUTED_VALUE"""),46187.675625)</f>
        <v>46187.67563</v>
      </c>
      <c r="B9312" s="126">
        <f>IFERROR(__xludf.DUMMYFUNCTION("""COMPUTED_VALUE"""),46187.0)</f>
        <v>46187</v>
      </c>
      <c r="C9312" s="122" t="str">
        <f>IFERROR(__xludf.DUMMYFUNCTION("""COMPUTED_VALUE"""),"MEDX")</f>
        <v>MEDX</v>
      </c>
      <c r="D9312" s="122" t="str">
        <f>IFERROR(__xludf.DUMMYFUNCTION("""COMPUTED_VALUE"""),"MediCore")</f>
        <v>MediCore</v>
      </c>
      <c r="E9312" s="122">
        <f>IFERROR(__xludf.DUMMYFUNCTION("""COMPUTED_VALUE"""),138.98)</f>
        <v>138.98</v>
      </c>
      <c r="F9312" s="122">
        <f>IFERROR(__xludf.DUMMYFUNCTION("""COMPUTED_VALUE"""),-0.0024)</f>
        <v>-0.0024</v>
      </c>
    </row>
    <row r="9313">
      <c r="A9313" s="131">
        <f>IFERROR(__xludf.DUMMYFUNCTION("""COMPUTED_VALUE"""),46187.675625)</f>
        <v>46187.67563</v>
      </c>
      <c r="B9313" s="126">
        <f>IFERROR(__xludf.DUMMYFUNCTION("""COMPUTED_VALUE"""),46187.0)</f>
        <v>46187</v>
      </c>
      <c r="C9313" s="122" t="str">
        <f>IFERROR(__xludf.DUMMYFUNCTION("""COMPUTED_VALUE"""),"GYMX")</f>
        <v>GYMX</v>
      </c>
      <c r="D9313" s="122" t="str">
        <f>IFERROR(__xludf.DUMMYFUNCTION("""COMPUTED_VALUE"""),"GymX Fitness")</f>
        <v>GymX Fitness</v>
      </c>
      <c r="E9313" s="122">
        <f>IFERROR(__xludf.DUMMYFUNCTION("""COMPUTED_VALUE"""),80.41)</f>
        <v>80.41</v>
      </c>
      <c r="F9313" s="122">
        <f>IFERROR(__xludf.DUMMYFUNCTION("""COMPUTED_VALUE"""),6.0E-4)</f>
        <v>0.0006</v>
      </c>
    </row>
    <row r="9314">
      <c r="A9314" s="131">
        <f>IFERROR(__xludf.DUMMYFUNCTION("""COMPUTED_VALUE"""),46187.675625)</f>
        <v>46187.67563</v>
      </c>
      <c r="B9314" s="126">
        <f>IFERROR(__xludf.DUMMYFUNCTION("""COMPUTED_VALUE"""),46187.0)</f>
        <v>46187</v>
      </c>
      <c r="C9314" s="122" t="str">
        <f>IFERROR(__xludf.DUMMYFUNCTION("""COMPUTED_VALUE"""),"VITA")</f>
        <v>VITA</v>
      </c>
      <c r="D9314" s="122" t="str">
        <f>IFERROR(__xludf.DUMMYFUNCTION("""COMPUTED_VALUE"""),"VitaPlus")</f>
        <v>VitaPlus</v>
      </c>
      <c r="E9314" s="122">
        <f>IFERROR(__xludf.DUMMYFUNCTION("""COMPUTED_VALUE"""),71.55)</f>
        <v>71.55</v>
      </c>
      <c r="F9314" s="122">
        <f>IFERROR(__xludf.DUMMYFUNCTION("""COMPUTED_VALUE"""),0.0044)</f>
        <v>0.0044</v>
      </c>
    </row>
    <row r="9315">
      <c r="A9315" s="131">
        <f>IFERROR(__xludf.DUMMYFUNCTION("""COMPUTED_VALUE"""),46187.675625)</f>
        <v>46187.67563</v>
      </c>
      <c r="B9315" s="126">
        <f>IFERROR(__xludf.DUMMYFUNCTION("""COMPUTED_VALUE"""),46187.0)</f>
        <v>46187</v>
      </c>
      <c r="C9315" s="122" t="str">
        <f>IFERROR(__xludf.DUMMYFUNCTION("""COMPUTED_VALUE"""),"CARE")</f>
        <v>CARE</v>
      </c>
      <c r="D9315" s="122" t="str">
        <f>IFERROR(__xludf.DUMMYFUNCTION("""COMPUTED_VALUE"""),"CareCloud")</f>
        <v>CareCloud</v>
      </c>
      <c r="E9315" s="122">
        <f>IFERROR(__xludf.DUMMYFUNCTION("""COMPUTED_VALUE"""),184.47)</f>
        <v>184.47</v>
      </c>
      <c r="F9315" s="122">
        <f>IFERROR(__xludf.DUMMYFUNCTION("""COMPUTED_VALUE"""),0.0065)</f>
        <v>0.0065</v>
      </c>
    </row>
    <row r="9316">
      <c r="A9316" s="131">
        <f>IFERROR(__xludf.DUMMYFUNCTION("""COMPUTED_VALUE"""),46187.675625)</f>
        <v>46187.67563</v>
      </c>
      <c r="B9316" s="126">
        <f>IFERROR(__xludf.DUMMYFUNCTION("""COMPUTED_VALUE"""),46187.0)</f>
        <v>46187</v>
      </c>
      <c r="C9316" s="122" t="str">
        <f>IFERROR(__xludf.DUMMYFUNCTION("""COMPUTED_VALUE"""),"DENT")</f>
        <v>DENT</v>
      </c>
      <c r="D9316" s="122" t="str">
        <f>IFERROR(__xludf.DUMMYFUNCTION("""COMPUTED_VALUE"""),"SmileWorks")</f>
        <v>SmileWorks</v>
      </c>
      <c r="E9316" s="122">
        <f>IFERROR(__xludf.DUMMYFUNCTION("""COMPUTED_VALUE"""),99.34)</f>
        <v>99.34</v>
      </c>
      <c r="F9316" s="122">
        <f>IFERROR(__xludf.DUMMYFUNCTION("""COMPUTED_VALUE"""),0.0063)</f>
        <v>0.0063</v>
      </c>
    </row>
    <row r="9317">
      <c r="A9317" s="131">
        <f>IFERROR(__xludf.DUMMYFUNCTION("""COMPUTED_VALUE"""),46187.675625)</f>
        <v>46187.67563</v>
      </c>
      <c r="B9317" s="126">
        <f>IFERROR(__xludf.DUMMYFUNCTION("""COMPUTED_VALUE"""),46187.0)</f>
        <v>46187</v>
      </c>
      <c r="C9317" s="122" t="str">
        <f>IFERROR(__xludf.DUMMYFUNCTION("""COMPUTED_VALUE"""),"EDUX")</f>
        <v>EDUX</v>
      </c>
      <c r="D9317" s="122" t="str">
        <f>IFERROR(__xludf.DUMMYFUNCTION("""COMPUTED_VALUE"""),"EduMax Learning")</f>
        <v>EduMax Learning</v>
      </c>
      <c r="E9317" s="122">
        <f>IFERROR(__xludf.DUMMYFUNCTION("""COMPUTED_VALUE"""),155.97)</f>
        <v>155.97</v>
      </c>
      <c r="F9317" s="122">
        <f>IFERROR(__xludf.DUMMYFUNCTION("""COMPUTED_VALUE"""),0.0075)</f>
        <v>0.0075</v>
      </c>
    </row>
    <row r="9318">
      <c r="A9318" s="131">
        <f>IFERROR(__xludf.DUMMYFUNCTION("""COMPUTED_VALUE"""),46187.675625)</f>
        <v>46187.67563</v>
      </c>
      <c r="B9318" s="126">
        <f>IFERROR(__xludf.DUMMYFUNCTION("""COMPUTED_VALUE"""),46187.0)</f>
        <v>46187</v>
      </c>
      <c r="C9318" s="122" t="str">
        <f>IFERROR(__xludf.DUMMYFUNCTION("""COMPUTED_VALUE"""),"BOOK")</f>
        <v>BOOK</v>
      </c>
      <c r="D9318" s="122" t="str">
        <f>IFERROR(__xludf.DUMMYFUNCTION("""COMPUTED_VALUE"""),"BookBridge")</f>
        <v>BookBridge</v>
      </c>
      <c r="E9318" s="122">
        <f>IFERROR(__xludf.DUMMYFUNCTION("""COMPUTED_VALUE"""),120.27)</f>
        <v>120.27</v>
      </c>
      <c r="F9318" s="122">
        <f>IFERROR(__xludf.DUMMYFUNCTION("""COMPUTED_VALUE"""),-0.0016)</f>
        <v>-0.0016</v>
      </c>
    </row>
    <row r="9319">
      <c r="A9319" s="131">
        <f>IFERROR(__xludf.DUMMYFUNCTION("""COMPUTED_VALUE"""),46187.675625)</f>
        <v>46187.67563</v>
      </c>
      <c r="B9319" s="126">
        <f>IFERROR(__xludf.DUMMYFUNCTION("""COMPUTED_VALUE"""),46187.0)</f>
        <v>46187</v>
      </c>
      <c r="C9319" s="122" t="str">
        <f>IFERROR(__xludf.DUMMYFUNCTION("""COMPUTED_VALUE"""),"TUTR")</f>
        <v>TUTR</v>
      </c>
      <c r="D9319" s="122" t="str">
        <f>IFERROR(__xludf.DUMMYFUNCTION("""COMPUTED_VALUE"""),"TutorTown")</f>
        <v>TutorTown</v>
      </c>
      <c r="E9319" s="122">
        <f>IFERROR(__xludf.DUMMYFUNCTION("""COMPUTED_VALUE"""),93.45)</f>
        <v>93.45</v>
      </c>
      <c r="F9319" s="122">
        <f>IFERROR(__xludf.DUMMYFUNCTION("""COMPUTED_VALUE"""),0.003)</f>
        <v>0.003</v>
      </c>
    </row>
    <row r="9320">
      <c r="A9320" s="131">
        <f>IFERROR(__xludf.DUMMYFUNCTION("""COMPUTED_VALUE"""),46187.675625)</f>
        <v>46187.67563</v>
      </c>
      <c r="B9320" s="126">
        <f>IFERROR(__xludf.DUMMYFUNCTION("""COMPUTED_VALUE"""),46187.0)</f>
        <v>46187</v>
      </c>
      <c r="C9320" s="122" t="str">
        <f>IFERROR(__xludf.DUMMYFUNCTION("""COMPUTED_VALUE"""),"LANG")</f>
        <v>LANG</v>
      </c>
      <c r="D9320" s="122" t="str">
        <f>IFERROR(__xludf.DUMMYFUNCTION("""COMPUTED_VALUE"""),"LinguaLab")</f>
        <v>LinguaLab</v>
      </c>
      <c r="E9320" s="122">
        <f>IFERROR(__xludf.DUMMYFUNCTION("""COMPUTED_VALUE"""),102.55)</f>
        <v>102.55</v>
      </c>
      <c r="F9320" s="122">
        <f>IFERROR(__xludf.DUMMYFUNCTION("""COMPUTED_VALUE"""),-0.0023)</f>
        <v>-0.0023</v>
      </c>
    </row>
    <row r="9321">
      <c r="A9321" s="131">
        <f>IFERROR(__xludf.DUMMYFUNCTION("""COMPUTED_VALUE"""),46187.675625)</f>
        <v>46187.67563</v>
      </c>
      <c r="B9321" s="126">
        <f>IFERROR(__xludf.DUMMYFUNCTION("""COMPUTED_VALUE"""),46187.0)</f>
        <v>46187</v>
      </c>
      <c r="C9321" s="122" t="str">
        <f>IFERROR(__xludf.DUMMYFUNCTION("""COMPUTED_VALUE"""),"TEST")</f>
        <v>TEST</v>
      </c>
      <c r="D9321" s="122" t="str">
        <f>IFERROR(__xludf.DUMMYFUNCTION("""COMPUTED_VALUE"""),"TestPrep Pro")</f>
        <v>TestPrep Pro</v>
      </c>
      <c r="E9321" s="122">
        <f>IFERROR(__xludf.DUMMYFUNCTION("""COMPUTED_VALUE"""),88.29)</f>
        <v>88.29</v>
      </c>
      <c r="F9321" s="122">
        <f>IFERROR(__xludf.DUMMYFUNCTION("""COMPUTED_VALUE"""),0.003)</f>
        <v>0.003</v>
      </c>
    </row>
    <row r="9322">
      <c r="A9322" s="131">
        <f>IFERROR(__xludf.DUMMYFUNCTION("""COMPUTED_VALUE"""),46187.675625)</f>
        <v>46187.67563</v>
      </c>
      <c r="B9322" s="126">
        <f>IFERROR(__xludf.DUMMYFUNCTION("""COMPUTED_VALUE"""),46187.0)</f>
        <v>46187</v>
      </c>
      <c r="C9322" s="122" t="str">
        <f>IFERROR(__xludf.DUMMYFUNCTION("""COMPUTED_VALUE"""),"MOVI")</f>
        <v>MOVI</v>
      </c>
      <c r="D9322" s="122" t="str">
        <f>IFERROR(__xludf.DUMMYFUNCTION("""COMPUTED_VALUE"""),"MovieBox")</f>
        <v>MovieBox</v>
      </c>
      <c r="E9322" s="122">
        <f>IFERROR(__xludf.DUMMYFUNCTION("""COMPUTED_VALUE"""),84.6)</f>
        <v>84.6</v>
      </c>
      <c r="F9322" s="122">
        <f>IFERROR(__xludf.DUMMYFUNCTION("""COMPUTED_VALUE"""),-1.0E-4)</f>
        <v>-0.0001</v>
      </c>
    </row>
    <row r="9323">
      <c r="A9323" s="131">
        <f>IFERROR(__xludf.DUMMYFUNCTION("""COMPUTED_VALUE"""),46187.675625)</f>
        <v>46187.67563</v>
      </c>
      <c r="B9323" s="126">
        <f>IFERROR(__xludf.DUMMYFUNCTION("""COMPUTED_VALUE"""),46187.0)</f>
        <v>46187</v>
      </c>
      <c r="C9323" s="122" t="str">
        <f>IFERROR(__xludf.DUMMYFUNCTION("""COMPUTED_VALUE"""),"MUSC")</f>
        <v>MUSC</v>
      </c>
      <c r="D9323" s="122" t="str">
        <f>IFERROR(__xludf.DUMMYFUNCTION("""COMPUTED_VALUE"""),"MusicWave")</f>
        <v>MusicWave</v>
      </c>
      <c r="E9323" s="122">
        <f>IFERROR(__xludf.DUMMYFUNCTION("""COMPUTED_VALUE"""),103.81)</f>
        <v>103.81</v>
      </c>
      <c r="F9323" s="122">
        <f>IFERROR(__xludf.DUMMYFUNCTION("""COMPUTED_VALUE"""),-0.0052)</f>
        <v>-0.0052</v>
      </c>
    </row>
    <row r="9324">
      <c r="A9324" s="131">
        <f>IFERROR(__xludf.DUMMYFUNCTION("""COMPUTED_VALUE"""),46187.675625)</f>
        <v>46187.67563</v>
      </c>
      <c r="B9324" s="126">
        <f>IFERROR(__xludf.DUMMYFUNCTION("""COMPUTED_VALUE"""),46187.0)</f>
        <v>46187</v>
      </c>
      <c r="C9324" s="122" t="str">
        <f>IFERROR(__xludf.DUMMYFUNCTION("""COMPUTED_VALUE"""),"IDOL")</f>
        <v>IDOL</v>
      </c>
      <c r="D9324" s="122" t="str">
        <f>IFERROR(__xludf.DUMMYFUNCTION("""COMPUTED_VALUE"""),"Idol Agency")</f>
        <v>Idol Agency</v>
      </c>
      <c r="E9324" s="122">
        <f>IFERROR(__xludf.DUMMYFUNCTION("""COMPUTED_VALUE"""),190.06)</f>
        <v>190.06</v>
      </c>
      <c r="F9324" s="122">
        <f>IFERROR(__xludf.DUMMYFUNCTION("""COMPUTED_VALUE"""),-0.004)</f>
        <v>-0.004</v>
      </c>
    </row>
    <row r="9325">
      <c r="A9325" s="131">
        <f>IFERROR(__xludf.DUMMYFUNCTION("""COMPUTED_VALUE"""),46187.675625)</f>
        <v>46187.67563</v>
      </c>
      <c r="B9325" s="126">
        <f>IFERROR(__xludf.DUMMYFUNCTION("""COMPUTED_VALUE"""),46187.0)</f>
        <v>46187</v>
      </c>
      <c r="C9325" s="122" t="str">
        <f>IFERROR(__xludf.DUMMYFUNCTION("""COMPUTED_VALUE"""),"MEME")</f>
        <v>MEME</v>
      </c>
      <c r="D9325" s="122" t="str">
        <f>IFERROR(__xludf.DUMMYFUNCTION("""COMPUTED_VALUE"""),"Meme Media")</f>
        <v>Meme Media</v>
      </c>
      <c r="E9325" s="122">
        <f>IFERROR(__xludf.DUMMYFUNCTION("""COMPUTED_VALUE"""),73.75)</f>
        <v>73.75</v>
      </c>
      <c r="F9325" s="122">
        <f>IFERROR(__xludf.DUMMYFUNCTION("""COMPUTED_VALUE"""),0.0057)</f>
        <v>0.0057</v>
      </c>
    </row>
    <row r="9326">
      <c r="A9326" s="131">
        <f>IFERROR(__xludf.DUMMYFUNCTION("""COMPUTED_VALUE"""),46187.675625)</f>
        <v>46187.67563</v>
      </c>
      <c r="B9326" s="126">
        <f>IFERROR(__xludf.DUMMYFUNCTION("""COMPUTED_VALUE"""),46187.0)</f>
        <v>46187</v>
      </c>
      <c r="C9326" s="122" t="str">
        <f>IFERROR(__xludf.DUMMYFUNCTION("""COMPUTED_VALUE"""),"STRM")</f>
        <v>STRM</v>
      </c>
      <c r="D9326" s="122" t="str">
        <f>IFERROR(__xludf.DUMMYFUNCTION("""COMPUTED_VALUE"""),"Streamly")</f>
        <v>Streamly</v>
      </c>
      <c r="E9326" s="122">
        <f>IFERROR(__xludf.DUMMYFUNCTION("""COMPUTED_VALUE"""),130.72)</f>
        <v>130.72</v>
      </c>
      <c r="F9326" s="122">
        <f>IFERROR(__xludf.DUMMYFUNCTION("""COMPUTED_VALUE"""),-3.0E-4)</f>
        <v>-0.0003</v>
      </c>
    </row>
    <row r="9327">
      <c r="A9327" s="131">
        <f>IFERROR(__xludf.DUMMYFUNCTION("""COMPUTED_VALUE"""),46187.675625)</f>
        <v>46187.67563</v>
      </c>
      <c r="B9327" s="126">
        <f>IFERROR(__xludf.DUMMYFUNCTION("""COMPUTED_VALUE"""),46187.0)</f>
        <v>46187</v>
      </c>
      <c r="C9327" s="122" t="str">
        <f>IFERROR(__xludf.DUMMYFUNCTION("""COMPUTED_VALUE"""),"FARM")</f>
        <v>FARM</v>
      </c>
      <c r="D9327" s="122" t="str">
        <f>IFERROR(__xludf.DUMMYFUNCTION("""COMPUTED_VALUE"""),"Future Farms")</f>
        <v>Future Farms</v>
      </c>
      <c r="E9327" s="122">
        <f>IFERROR(__xludf.DUMMYFUNCTION("""COMPUTED_VALUE"""),100.99)</f>
        <v>100.99</v>
      </c>
      <c r="F9327" s="122">
        <f>IFERROR(__xludf.DUMMYFUNCTION("""COMPUTED_VALUE"""),0.0035)</f>
        <v>0.0035</v>
      </c>
    </row>
    <row r="9328">
      <c r="A9328" s="131">
        <f>IFERROR(__xludf.DUMMYFUNCTION("""COMPUTED_VALUE"""),46187.675625)</f>
        <v>46187.67563</v>
      </c>
      <c r="B9328" s="126">
        <f>IFERROR(__xludf.DUMMYFUNCTION("""COMPUTED_VALUE"""),46187.0)</f>
        <v>46187</v>
      </c>
      <c r="C9328" s="122" t="str">
        <f>IFERROR(__xludf.DUMMYFUNCTION("""COMPUTED_VALUE"""),"MEAT")</f>
        <v>MEAT</v>
      </c>
      <c r="D9328" s="122" t="str">
        <f>IFERROR(__xludf.DUMMYFUNCTION("""COMPUTED_VALUE"""),"MeatWorks")</f>
        <v>MeatWorks</v>
      </c>
      <c r="E9328" s="122">
        <f>IFERROR(__xludf.DUMMYFUNCTION("""COMPUTED_VALUE"""),104.84)</f>
        <v>104.84</v>
      </c>
      <c r="F9328" s="122">
        <f>IFERROR(__xludf.DUMMYFUNCTION("""COMPUTED_VALUE"""),-0.0028)</f>
        <v>-0.0028</v>
      </c>
    </row>
    <row r="9329">
      <c r="A9329" s="131">
        <f>IFERROR(__xludf.DUMMYFUNCTION("""COMPUTED_VALUE"""),46187.675625)</f>
        <v>46187.67563</v>
      </c>
      <c r="B9329" s="126">
        <f>IFERROR(__xludf.DUMMYFUNCTION("""COMPUTED_VALUE"""),46187.0)</f>
        <v>46187</v>
      </c>
      <c r="C9329" s="122" t="str">
        <f>IFERROR(__xludf.DUMMYFUNCTION("""COMPUTED_VALUE"""),"VEGI")</f>
        <v>VEGI</v>
      </c>
      <c r="D9329" s="122" t="str">
        <f>IFERROR(__xludf.DUMMYFUNCTION("""COMPUTED_VALUE"""),"Green Basket")</f>
        <v>Green Basket</v>
      </c>
      <c r="E9329" s="122">
        <f>IFERROR(__xludf.DUMMYFUNCTION("""COMPUTED_VALUE"""),76.95)</f>
        <v>76.95</v>
      </c>
      <c r="F9329" s="122">
        <f>IFERROR(__xludf.DUMMYFUNCTION("""COMPUTED_VALUE"""),0.0025)</f>
        <v>0.0025</v>
      </c>
    </row>
    <row r="9330">
      <c r="A9330" s="131">
        <f>IFERROR(__xludf.DUMMYFUNCTION("""COMPUTED_VALUE"""),46187.675625)</f>
        <v>46187.67563</v>
      </c>
      <c r="B9330" s="126">
        <f>IFERROR(__xludf.DUMMYFUNCTION("""COMPUTED_VALUE"""),46187.0)</f>
        <v>46187</v>
      </c>
      <c r="C9330" s="122" t="str">
        <f>IFERROR(__xludf.DUMMYFUNCTION("""COMPUTED_VALUE"""),"CAFE")</f>
        <v>CAFE</v>
      </c>
      <c r="D9330" s="122" t="str">
        <f>IFERROR(__xludf.DUMMYFUNCTION("""COMPUTED_VALUE"""),"Cafe Cloud")</f>
        <v>Cafe Cloud</v>
      </c>
      <c r="E9330" s="122">
        <f>IFERROR(__xludf.DUMMYFUNCTION("""COMPUTED_VALUE"""),103.52)</f>
        <v>103.52</v>
      </c>
      <c r="F9330" s="122">
        <f>IFERROR(__xludf.DUMMYFUNCTION("""COMPUTED_VALUE"""),0.0077)</f>
        <v>0.0077</v>
      </c>
    </row>
    <row r="9331">
      <c r="A9331" s="131">
        <f>IFERROR(__xludf.DUMMYFUNCTION("""COMPUTED_VALUE"""),46187.675625)</f>
        <v>46187.67563</v>
      </c>
      <c r="B9331" s="126">
        <f>IFERROR(__xludf.DUMMYFUNCTION("""COMPUTED_VALUE"""),46187.0)</f>
        <v>46187</v>
      </c>
      <c r="C9331" s="122" t="str">
        <f>IFERROR(__xludf.DUMMYFUNCTION("""COMPUTED_VALUE"""),"BAKE")</f>
        <v>BAKE</v>
      </c>
      <c r="D9331" s="122" t="str">
        <f>IFERROR(__xludf.DUMMYFUNCTION("""COMPUTED_VALUE"""),"BakeHouse")</f>
        <v>BakeHouse</v>
      </c>
      <c r="E9331" s="122">
        <f>IFERROR(__xludf.DUMMYFUNCTION("""COMPUTED_VALUE"""),99.93)</f>
        <v>99.93</v>
      </c>
      <c r="F9331" s="122">
        <f>IFERROR(__xludf.DUMMYFUNCTION("""COMPUTED_VALUE"""),-0.0041)</f>
        <v>-0.0041</v>
      </c>
    </row>
    <row r="9332">
      <c r="A9332" s="131">
        <f>IFERROR(__xludf.DUMMYFUNCTION("""COMPUTED_VALUE"""),46187.675625)</f>
        <v>46187.67563</v>
      </c>
      <c r="B9332" s="126">
        <f>IFERROR(__xludf.DUMMYFUNCTION("""COMPUTED_VALUE"""),46187.0)</f>
        <v>46187</v>
      </c>
      <c r="C9332" s="122" t="str">
        <f>IFERROR(__xludf.DUMMYFUNCTION("""COMPUTED_VALUE"""),"OILX")</f>
        <v>OILX</v>
      </c>
      <c r="D9332" s="122" t="str">
        <f>IFERROR(__xludf.DUMMYFUNCTION("""COMPUTED_VALUE"""),"OilMax Energy")</f>
        <v>OilMax Energy</v>
      </c>
      <c r="E9332" s="122">
        <f>IFERROR(__xludf.DUMMYFUNCTION("""COMPUTED_VALUE"""),136.39)</f>
        <v>136.39</v>
      </c>
      <c r="F9332" s="122">
        <f>IFERROR(__xludf.DUMMYFUNCTION("""COMPUTED_VALUE"""),0.0051)</f>
        <v>0.0051</v>
      </c>
    </row>
    <row r="9333">
      <c r="A9333" s="131">
        <f>IFERROR(__xludf.DUMMYFUNCTION("""COMPUTED_VALUE"""),46187.675625)</f>
        <v>46187.67563</v>
      </c>
      <c r="B9333" s="126">
        <f>IFERROR(__xludf.DUMMYFUNCTION("""COMPUTED_VALUE"""),46187.0)</f>
        <v>46187</v>
      </c>
      <c r="C9333" s="122" t="str">
        <f>IFERROR(__xludf.DUMMYFUNCTION("""COMPUTED_VALUE"""),"SOLR")</f>
        <v>SOLR</v>
      </c>
      <c r="D9333" s="122" t="str">
        <f>IFERROR(__xludf.DUMMYFUNCTION("""COMPUTED_VALUE"""),"SolarSpark")</f>
        <v>SolarSpark</v>
      </c>
      <c r="E9333" s="122">
        <f>IFERROR(__xludf.DUMMYFUNCTION("""COMPUTED_VALUE"""),106.89)</f>
        <v>106.89</v>
      </c>
      <c r="F9333" s="122">
        <f>IFERROR(__xludf.DUMMYFUNCTION("""COMPUTED_VALUE"""),-0.0061)</f>
        <v>-0.0061</v>
      </c>
    </row>
    <row r="9334">
      <c r="A9334" s="131">
        <f>IFERROR(__xludf.DUMMYFUNCTION("""COMPUTED_VALUE"""),46187.675625)</f>
        <v>46187.67563</v>
      </c>
      <c r="B9334" s="126">
        <f>IFERROR(__xludf.DUMMYFUNCTION("""COMPUTED_VALUE"""),46187.0)</f>
        <v>46187</v>
      </c>
      <c r="C9334" s="122" t="str">
        <f>IFERROR(__xludf.DUMMYFUNCTION("""COMPUTED_VALUE"""),"BATT")</f>
        <v>BATT</v>
      </c>
      <c r="D9334" s="122" t="str">
        <f>IFERROR(__xludf.DUMMYFUNCTION("""COMPUTED_VALUE"""),"BatteryBox")</f>
        <v>BatteryBox</v>
      </c>
      <c r="E9334" s="122">
        <f>IFERROR(__xludf.DUMMYFUNCTION("""COMPUTED_VALUE"""),120.6)</f>
        <v>120.6</v>
      </c>
      <c r="F9334" s="122">
        <f>IFERROR(__xludf.DUMMYFUNCTION("""COMPUTED_VALUE"""),0.0037)</f>
        <v>0.0037</v>
      </c>
    </row>
    <row r="9335">
      <c r="A9335" s="131">
        <f>IFERROR(__xludf.DUMMYFUNCTION("""COMPUTED_VALUE"""),46187.675625)</f>
        <v>46187.67563</v>
      </c>
      <c r="B9335" s="126">
        <f>IFERROR(__xludf.DUMMYFUNCTION("""COMPUTED_VALUE"""),46187.0)</f>
        <v>46187</v>
      </c>
      <c r="C9335" s="122" t="str">
        <f>IFERROR(__xludf.DUMMYFUNCTION("""COMPUTED_VALUE"""),"WIND")</f>
        <v>WIND</v>
      </c>
      <c r="D9335" s="122" t="str">
        <f>IFERROR(__xludf.DUMMYFUNCTION("""COMPUTED_VALUE"""),"WindWorks")</f>
        <v>WindWorks</v>
      </c>
      <c r="E9335" s="122">
        <f>IFERROR(__xludf.DUMMYFUNCTION("""COMPUTED_VALUE"""),86.54)</f>
        <v>86.54</v>
      </c>
      <c r="F9335" s="122">
        <f>IFERROR(__xludf.DUMMYFUNCTION("""COMPUTED_VALUE"""),-0.0016)</f>
        <v>-0.0016</v>
      </c>
    </row>
    <row r="9336">
      <c r="A9336" s="131">
        <f>IFERROR(__xludf.DUMMYFUNCTION("""COMPUTED_VALUE"""),46187.675625)</f>
        <v>46187.67563</v>
      </c>
      <c r="B9336" s="126">
        <f>IFERROR(__xludf.DUMMYFUNCTION("""COMPUTED_VALUE"""),46187.0)</f>
        <v>46187</v>
      </c>
      <c r="C9336" s="122" t="str">
        <f>IFERROR(__xludf.DUMMYFUNCTION("""COMPUTED_VALUE"""),"GRID")</f>
        <v>GRID</v>
      </c>
      <c r="D9336" s="122" t="str">
        <f>IFERROR(__xludf.DUMMYFUNCTION("""COMPUTED_VALUE"""),"GridPower")</f>
        <v>GridPower</v>
      </c>
      <c r="E9336" s="122">
        <f>IFERROR(__xludf.DUMMYFUNCTION("""COMPUTED_VALUE"""),125.41)</f>
        <v>125.41</v>
      </c>
      <c r="F9336" s="122">
        <f>IFERROR(__xludf.DUMMYFUNCTION("""COMPUTED_VALUE"""),0.0015)</f>
        <v>0.0015</v>
      </c>
    </row>
    <row r="9337">
      <c r="A9337" s="131">
        <f>IFERROR(__xludf.DUMMYFUNCTION("""COMPUTED_VALUE"""),46187.675625)</f>
        <v>46187.67563</v>
      </c>
      <c r="B9337" s="126">
        <f>IFERROR(__xludf.DUMMYFUNCTION("""COMPUTED_VALUE"""),46187.0)</f>
        <v>46187</v>
      </c>
      <c r="C9337" s="122" t="str">
        <f>IFERROR(__xludf.DUMMYFUNCTION("""COMPUTED_VALUE"""),"HOME")</f>
        <v>HOME</v>
      </c>
      <c r="D9337" s="122" t="str">
        <f>IFERROR(__xludf.DUMMYFUNCTION("""COMPUTED_VALUE"""),"HomeHub")</f>
        <v>HomeHub</v>
      </c>
      <c r="E9337" s="122">
        <f>IFERROR(__xludf.DUMMYFUNCTION("""COMPUTED_VALUE"""),163.31)</f>
        <v>163.31</v>
      </c>
      <c r="F9337" s="122">
        <f>IFERROR(__xludf.DUMMYFUNCTION("""COMPUTED_VALUE"""),0.0023)</f>
        <v>0.0023</v>
      </c>
    </row>
    <row r="9338">
      <c r="A9338" s="131">
        <f>IFERROR(__xludf.DUMMYFUNCTION("""COMPUTED_VALUE"""),46187.675625)</f>
        <v>46187.67563</v>
      </c>
      <c r="B9338" s="126">
        <f>IFERROR(__xludf.DUMMYFUNCTION("""COMPUTED_VALUE"""),46187.0)</f>
        <v>46187</v>
      </c>
      <c r="C9338" s="122" t="str">
        <f>IFERROR(__xludf.DUMMYFUNCTION("""COMPUTED_VALUE"""),"RENT")</f>
        <v>RENT</v>
      </c>
      <c r="D9338" s="122" t="str">
        <f>IFERROR(__xludf.DUMMYFUNCTION("""COMPUTED_VALUE"""),"RentRight")</f>
        <v>RentRight</v>
      </c>
      <c r="E9338" s="122">
        <f>IFERROR(__xludf.DUMMYFUNCTION("""COMPUTED_VALUE"""),89.08)</f>
        <v>89.08</v>
      </c>
      <c r="F9338" s="122">
        <f>IFERROR(__xludf.DUMMYFUNCTION("""COMPUTED_VALUE"""),-0.0046)</f>
        <v>-0.0046</v>
      </c>
    </row>
    <row r="9339">
      <c r="A9339" s="131">
        <f>IFERROR(__xludf.DUMMYFUNCTION("""COMPUTED_VALUE"""),46187.675625)</f>
        <v>46187.67563</v>
      </c>
      <c r="B9339" s="126">
        <f>IFERROR(__xludf.DUMMYFUNCTION("""COMPUTED_VALUE"""),46187.0)</f>
        <v>46187</v>
      </c>
      <c r="C9339" s="122" t="str">
        <f>IFERROR(__xludf.DUMMYFUNCTION("""COMPUTED_VALUE"""),"MALL")</f>
        <v>MALL</v>
      </c>
      <c r="D9339" s="122" t="str">
        <f>IFERROR(__xludf.DUMMYFUNCTION("""COMPUTED_VALUE"""),"MegaMall")</f>
        <v>MegaMall</v>
      </c>
      <c r="E9339" s="122">
        <f>IFERROR(__xludf.DUMMYFUNCTION("""COMPUTED_VALUE"""),102.0)</f>
        <v>102</v>
      </c>
      <c r="F9339" s="122">
        <f>IFERROR(__xludf.DUMMYFUNCTION("""COMPUTED_VALUE"""),-0.0025)</f>
        <v>-0.0025</v>
      </c>
    </row>
    <row r="9340">
      <c r="A9340" s="131">
        <f>IFERROR(__xludf.DUMMYFUNCTION("""COMPUTED_VALUE"""),46187.675625)</f>
        <v>46187.67563</v>
      </c>
      <c r="B9340" s="126">
        <f>IFERROR(__xludf.DUMMYFUNCTION("""COMPUTED_VALUE"""),46187.0)</f>
        <v>46187</v>
      </c>
      <c r="C9340" s="122" t="str">
        <f>IFERROR(__xludf.DUMMYFUNCTION("""COMPUTED_VALUE"""),"HOTL")</f>
        <v>HOTL</v>
      </c>
      <c r="D9340" s="122" t="str">
        <f>IFERROR(__xludf.DUMMYFUNCTION("""COMPUTED_VALUE"""),"HotelHive")</f>
        <v>HotelHive</v>
      </c>
      <c r="E9340" s="122">
        <f>IFERROR(__xludf.DUMMYFUNCTION("""COMPUTED_VALUE"""),118.8)</f>
        <v>118.8</v>
      </c>
      <c r="F9340" s="122">
        <f>IFERROR(__xludf.DUMMYFUNCTION("""COMPUTED_VALUE"""),-0.0094)</f>
        <v>-0.0094</v>
      </c>
    </row>
    <row r="9341">
      <c r="A9341" s="131">
        <f>IFERROR(__xludf.DUMMYFUNCTION("""COMPUTED_VALUE"""),46187.675625)</f>
        <v>46187.67563</v>
      </c>
      <c r="B9341" s="126">
        <f>IFERROR(__xludf.DUMMYFUNCTION("""COMPUTED_VALUE"""),46187.0)</f>
        <v>46187</v>
      </c>
      <c r="C9341" s="122" t="str">
        <f>IFERROR(__xludf.DUMMYFUNCTION("""COMPUTED_VALUE"""),"LAND")</f>
        <v>LAND</v>
      </c>
      <c r="D9341" s="122" t="str">
        <f>IFERROR(__xludf.DUMMYFUNCTION("""COMPUTED_VALUE"""),"LandLink")</f>
        <v>LandLink</v>
      </c>
      <c r="E9341" s="122">
        <f>IFERROR(__xludf.DUMMYFUNCTION("""COMPUTED_VALUE"""),188.13)</f>
        <v>188.13</v>
      </c>
      <c r="F9341" s="122">
        <f>IFERROR(__xludf.DUMMYFUNCTION("""COMPUTED_VALUE"""),4.0E-4)</f>
        <v>0.0004</v>
      </c>
    </row>
    <row r="9342">
      <c r="A9342" s="131">
        <f>IFERROR(__xludf.DUMMYFUNCTION("""COMPUTED_VALUE"""),46187.675625)</f>
        <v>46187.67563</v>
      </c>
      <c r="B9342" s="126">
        <f>IFERROR(__xludf.DUMMYFUNCTION("""COMPUTED_VALUE"""),46187.0)</f>
        <v>46187</v>
      </c>
      <c r="C9342" s="122" t="str">
        <f>IFERROR(__xludf.DUMMYFUNCTION("""COMPUTED_VALUE"""),"CARS")</f>
        <v>CARS</v>
      </c>
      <c r="D9342" s="122" t="str">
        <f>IFERROR(__xludf.DUMMYFUNCTION("""COMPUTED_VALUE"""),"AutoArena")</f>
        <v>AutoArena</v>
      </c>
      <c r="E9342" s="122">
        <f>IFERROR(__xludf.DUMMYFUNCTION("""COMPUTED_VALUE"""),80.99)</f>
        <v>80.99</v>
      </c>
      <c r="F9342" s="122">
        <f>IFERROR(__xludf.DUMMYFUNCTION("""COMPUTED_VALUE"""),0.0042)</f>
        <v>0.0042</v>
      </c>
    </row>
    <row r="9343">
      <c r="A9343" s="131">
        <f>IFERROR(__xludf.DUMMYFUNCTION("""COMPUTED_VALUE"""),46187.675625)</f>
        <v>46187.67563</v>
      </c>
      <c r="B9343" s="126">
        <f>IFERROR(__xludf.DUMMYFUNCTION("""COMPUTED_VALUE"""),46187.0)</f>
        <v>46187</v>
      </c>
      <c r="C9343" s="122" t="str">
        <f>IFERROR(__xludf.DUMMYFUNCTION("""COMPUTED_VALUE"""),"EVGO")</f>
        <v>EVGO</v>
      </c>
      <c r="D9343" s="122" t="str">
        <f>IFERROR(__xludf.DUMMYFUNCTION("""COMPUTED_VALUE"""),"EVGo Motors")</f>
        <v>EVGo Motors</v>
      </c>
      <c r="E9343" s="122">
        <f>IFERROR(__xludf.DUMMYFUNCTION("""COMPUTED_VALUE"""),195.35)</f>
        <v>195.35</v>
      </c>
      <c r="F9343" s="122">
        <f>IFERROR(__xludf.DUMMYFUNCTION("""COMPUTED_VALUE"""),0.0076)</f>
        <v>0.0076</v>
      </c>
    </row>
    <row r="9344">
      <c r="A9344" s="131">
        <f>IFERROR(__xludf.DUMMYFUNCTION("""COMPUTED_VALUE"""),46187.675625)</f>
        <v>46187.67563</v>
      </c>
      <c r="B9344" s="126">
        <f>IFERROR(__xludf.DUMMYFUNCTION("""COMPUTED_VALUE"""),46187.0)</f>
        <v>46187</v>
      </c>
      <c r="C9344" s="122" t="str">
        <f>IFERROR(__xludf.DUMMYFUNCTION("""COMPUTED_VALUE"""),"TIRE")</f>
        <v>TIRE</v>
      </c>
      <c r="D9344" s="122" t="str">
        <f>IFERROR(__xludf.DUMMYFUNCTION("""COMPUTED_VALUE"""),"TireTown")</f>
        <v>TireTown</v>
      </c>
      <c r="E9344" s="122">
        <f>IFERROR(__xludf.DUMMYFUNCTION("""COMPUTED_VALUE"""),99.05)</f>
        <v>99.05</v>
      </c>
      <c r="F9344" s="122">
        <f>IFERROR(__xludf.DUMMYFUNCTION("""COMPUTED_VALUE"""),-0.0025)</f>
        <v>-0.0025</v>
      </c>
    </row>
    <row r="9345">
      <c r="A9345" s="131">
        <f>IFERROR(__xludf.DUMMYFUNCTION("""COMPUTED_VALUE"""),46187.675625)</f>
        <v>46187.67563</v>
      </c>
      <c r="B9345" s="126">
        <f>IFERROR(__xludf.DUMMYFUNCTION("""COMPUTED_VALUE"""),46187.0)</f>
        <v>46187</v>
      </c>
      <c r="C9345" s="122" t="str">
        <f>IFERROR(__xludf.DUMMYFUNCTION("""COMPUTED_VALUE"""),"BIKE")</f>
        <v>BIKE</v>
      </c>
      <c r="D9345" s="122" t="str">
        <f>IFERROR(__xludf.DUMMYFUNCTION("""COMPUTED_VALUE"""),"BikeBox")</f>
        <v>BikeBox</v>
      </c>
      <c r="E9345" s="122">
        <f>IFERROR(__xludf.DUMMYFUNCTION("""COMPUTED_VALUE"""),51.67)</f>
        <v>51.67</v>
      </c>
      <c r="F9345" s="122">
        <f>IFERROR(__xludf.DUMMYFUNCTION("""COMPUTED_VALUE"""),4.0E-4)</f>
        <v>0.0004</v>
      </c>
    </row>
    <row r="9346">
      <c r="A9346" s="131">
        <f>IFERROR(__xludf.DUMMYFUNCTION("""COMPUTED_VALUE"""),46187.675625)</f>
        <v>46187.67563</v>
      </c>
      <c r="B9346" s="126">
        <f>IFERROR(__xludf.DUMMYFUNCTION("""COMPUTED_VALUE"""),46187.0)</f>
        <v>46187</v>
      </c>
      <c r="C9346" s="122" t="str">
        <f>IFERROR(__xludf.DUMMYFUNCTION("""COMPUTED_VALUE"""),"WASH")</f>
        <v>WASH</v>
      </c>
      <c r="D9346" s="122" t="str">
        <f>IFERROR(__xludf.DUMMYFUNCTION("""COMPUTED_VALUE"""),"CarWash Co")</f>
        <v>CarWash Co</v>
      </c>
      <c r="E9346" s="122">
        <f>IFERROR(__xludf.DUMMYFUNCTION("""COMPUTED_VALUE"""),123.98)</f>
        <v>123.98</v>
      </c>
      <c r="F9346" s="122">
        <f>IFERROR(__xludf.DUMMYFUNCTION("""COMPUTED_VALUE"""),6.0E-4)</f>
        <v>0.0006</v>
      </c>
    </row>
    <row r="9347">
      <c r="A9347" s="131">
        <f>IFERROR(__xludf.DUMMYFUNCTION("""COMPUTED_VALUE"""),46187.675625)</f>
        <v>46187.67563</v>
      </c>
      <c r="B9347" s="126">
        <f>IFERROR(__xludf.DUMMYFUNCTION("""COMPUTED_VALUE"""),46187.0)</f>
        <v>46187</v>
      </c>
      <c r="C9347" s="122" t="str">
        <f>IFERROR(__xludf.DUMMYFUNCTION("""COMPUTED_VALUE"""),"GBND")</f>
        <v>GBND</v>
      </c>
      <c r="D9347" s="122" t="str">
        <f>IFERROR(__xludf.DUMMYFUNCTION("""COMPUTED_VALUE"""),"Classroom Government Bond")</f>
        <v>Classroom Government Bond</v>
      </c>
      <c r="E9347" s="122">
        <f>IFERROR(__xludf.DUMMYFUNCTION("""COMPUTED_VALUE"""),101.17)</f>
        <v>101.17</v>
      </c>
      <c r="F9347" s="122">
        <f>IFERROR(__xludf.DUMMYFUNCTION("""COMPUTED_VALUE"""),1.0E-4)</f>
        <v>0.0001</v>
      </c>
    </row>
    <row r="9348">
      <c r="A9348" s="131">
        <f>IFERROR(__xludf.DUMMYFUNCTION("""COMPUTED_VALUE"""),46187.675625)</f>
        <v>46187.67563</v>
      </c>
      <c r="B9348" s="126">
        <f>IFERROR(__xludf.DUMMYFUNCTION("""COMPUTED_VALUE"""),46187.0)</f>
        <v>46187</v>
      </c>
      <c r="C9348" s="122" t="str">
        <f>IFERROR(__xludf.DUMMYFUNCTION("""COMPUTED_VALUE"""),"SBND")</f>
        <v>SBND</v>
      </c>
      <c r="D9348" s="122" t="str">
        <f>IFERROR(__xludf.DUMMYFUNCTION("""COMPUTED_VALUE"""),"School Savings Bond")</f>
        <v>School Savings Bond</v>
      </c>
      <c r="E9348" s="122">
        <f>IFERROR(__xludf.DUMMYFUNCTION("""COMPUTED_VALUE"""),99.27)</f>
        <v>99.27</v>
      </c>
      <c r="F9348" s="122">
        <f>IFERROR(__xludf.DUMMYFUNCTION("""COMPUTED_VALUE"""),2.0E-4)</f>
        <v>0.0002</v>
      </c>
    </row>
    <row r="9349">
      <c r="A9349" s="131">
        <f>IFERROR(__xludf.DUMMYFUNCTION("""COMPUTED_VALUE"""),46187.675625)</f>
        <v>46187.67563</v>
      </c>
      <c r="B9349" s="126">
        <f>IFERROR(__xludf.DUMMYFUNCTION("""COMPUTED_VALUE"""),46187.0)</f>
        <v>46187</v>
      </c>
      <c r="C9349" s="122" t="str">
        <f>IFERROR(__xludf.DUMMYFUNCTION("""COMPUTED_VALUE"""),"CBND")</f>
        <v>CBND</v>
      </c>
      <c r="D9349" s="122" t="str">
        <f>IFERROR(__xludf.DUMMYFUNCTION("""COMPUTED_VALUE"""),"Corporate Classroom Bond")</f>
        <v>Corporate Classroom Bond</v>
      </c>
      <c r="E9349" s="122">
        <f>IFERROR(__xludf.DUMMYFUNCTION("""COMPUTED_VALUE"""),97.95)</f>
        <v>97.95</v>
      </c>
      <c r="F9349" s="122">
        <f>IFERROR(__xludf.DUMMYFUNCTION("""COMPUTED_VALUE"""),2.0E-4)</f>
        <v>0.0002</v>
      </c>
    </row>
    <row r="9350">
      <c r="A9350" s="131">
        <f>IFERROR(__xludf.DUMMYFUNCTION("""COMPUTED_VALUE"""),46187.675625)</f>
        <v>46187.67563</v>
      </c>
      <c r="B9350" s="126">
        <f>IFERROR(__xludf.DUMMYFUNCTION("""COMPUTED_VALUE"""),46187.0)</f>
        <v>46187</v>
      </c>
      <c r="C9350" s="122" t="str">
        <f>IFERROR(__xludf.DUMMYFUNCTION("""COMPUTED_VALUE"""),"TBIL")</f>
        <v>TBIL</v>
      </c>
      <c r="D9350" s="122" t="str">
        <f>IFERROR(__xludf.DUMMYFUNCTION("""COMPUTED_VALUE"""),"Treasury Bill")</f>
        <v>Treasury Bill</v>
      </c>
      <c r="E9350" s="122">
        <f>IFERROR(__xludf.DUMMYFUNCTION("""COMPUTED_VALUE"""),97.76)</f>
        <v>97.76</v>
      </c>
      <c r="F9350" s="122">
        <f>IFERROR(__xludf.DUMMYFUNCTION("""COMPUTED_VALUE"""),0.0)</f>
        <v>0</v>
      </c>
    </row>
    <row r="9351">
      <c r="A9351" s="131">
        <f>IFERROR(__xludf.DUMMYFUNCTION("""COMPUTED_VALUE"""),46187.675625)</f>
        <v>46187.67563</v>
      </c>
      <c r="B9351" s="126">
        <f>IFERROR(__xludf.DUMMYFUNCTION("""COMPUTED_VALUE"""),46187.0)</f>
        <v>46187</v>
      </c>
      <c r="C9351" s="122" t="str">
        <f>IFERROR(__xludf.DUMMYFUNCTION("""COMPUTED_VALUE"""),"IBND")</f>
        <v>IBND</v>
      </c>
      <c r="D9351" s="122" t="str">
        <f>IFERROR(__xludf.DUMMYFUNCTION("""COMPUTED_VALUE"""),"Inflation Protected Bond")</f>
        <v>Inflation Protected Bond</v>
      </c>
      <c r="E9351" s="122">
        <f>IFERROR(__xludf.DUMMYFUNCTION("""COMPUTED_VALUE"""),100.73)</f>
        <v>100.73</v>
      </c>
      <c r="F9351" s="122">
        <f>IFERROR(__xludf.DUMMYFUNCTION("""COMPUTED_VALUE"""),-4.0E-4)</f>
        <v>-0.0004</v>
      </c>
    </row>
    <row r="9352">
      <c r="A9352" s="131">
        <f>IFERROR(__xludf.DUMMYFUNCTION("""COMPUTED_VALUE"""),46187.679027777776)</f>
        <v>46187.67903</v>
      </c>
      <c r="B9352" s="126">
        <f>IFERROR(__xludf.DUMMYFUNCTION("""COMPUTED_VALUE"""),46187.0)</f>
        <v>46187</v>
      </c>
      <c r="C9352" s="122" t="str">
        <f>IFERROR(__xludf.DUMMYFUNCTION("""COMPUTED_VALUE"""),"SNAX")</f>
        <v>SNAX</v>
      </c>
      <c r="D9352" s="122" t="str">
        <f>IFERROR(__xludf.DUMMYFUNCTION("""COMPUTED_VALUE"""),"MICA Snacks")</f>
        <v>MICA Snacks</v>
      </c>
      <c r="E9352" s="122">
        <f>IFERROR(__xludf.DUMMYFUNCTION("""COMPUTED_VALUE"""),121.23)</f>
        <v>121.23</v>
      </c>
      <c r="F9352" s="122">
        <f>IFERROR(__xludf.DUMMYFUNCTION("""COMPUTED_VALUE"""),-0.0028)</f>
        <v>-0.0028</v>
      </c>
    </row>
    <row r="9353">
      <c r="A9353" s="131">
        <f>IFERROR(__xludf.DUMMYFUNCTION("""COMPUTED_VALUE"""),46187.679027777776)</f>
        <v>46187.67903</v>
      </c>
      <c r="B9353" s="126">
        <f>IFERROR(__xludf.DUMMYFUNCTION("""COMPUTED_VALUE"""),46187.0)</f>
        <v>46187</v>
      </c>
      <c r="C9353" s="122" t="str">
        <f>IFERROR(__xludf.DUMMYFUNCTION("""COMPUTED_VALUE"""),"RAMN")</f>
        <v>RAMN</v>
      </c>
      <c r="D9353" s="122" t="str">
        <f>IFERROR(__xludf.DUMMYFUNCTION("""COMPUTED_VALUE"""),"Ramen Republic")</f>
        <v>Ramen Republic</v>
      </c>
      <c r="E9353" s="122">
        <f>IFERROR(__xludf.DUMMYFUNCTION("""COMPUTED_VALUE"""),59.71)</f>
        <v>59.71</v>
      </c>
      <c r="F9353" s="122">
        <f>IFERROR(__xludf.DUMMYFUNCTION("""COMPUTED_VALUE"""),-0.0047)</f>
        <v>-0.0047</v>
      </c>
    </row>
    <row r="9354">
      <c r="A9354" s="131">
        <f>IFERROR(__xludf.DUMMYFUNCTION("""COMPUTED_VALUE"""),46187.679027777776)</f>
        <v>46187.67903</v>
      </c>
      <c r="B9354" s="126">
        <f>IFERROR(__xludf.DUMMYFUNCTION("""COMPUTED_VALUE"""),46187.0)</f>
        <v>46187</v>
      </c>
      <c r="C9354" s="122" t="str">
        <f>IFERROR(__xludf.DUMMYFUNCTION("""COMPUTED_VALUE"""),"COLA")</f>
        <v>COLA</v>
      </c>
      <c r="D9354" s="122" t="str">
        <f>IFERROR(__xludf.DUMMYFUNCTION("""COMPUTED_VALUE"""),"K-Pop Cola")</f>
        <v>K-Pop Cola</v>
      </c>
      <c r="E9354" s="122">
        <f>IFERROR(__xludf.DUMMYFUNCTION("""COMPUTED_VALUE"""),113.71)</f>
        <v>113.71</v>
      </c>
      <c r="F9354" s="122">
        <f>IFERROR(__xludf.DUMMYFUNCTION("""COMPUTED_VALUE"""),-0.0055)</f>
        <v>-0.0055</v>
      </c>
    </row>
    <row r="9355">
      <c r="A9355" s="131">
        <f>IFERROR(__xludf.DUMMYFUNCTION("""COMPUTED_VALUE"""),46187.679027777776)</f>
        <v>46187.67903</v>
      </c>
      <c r="B9355" s="126">
        <f>IFERROR(__xludf.DUMMYFUNCTION("""COMPUTED_VALUE"""),46187.0)</f>
        <v>46187</v>
      </c>
      <c r="C9355" s="122" t="str">
        <f>IFERROR(__xludf.DUMMYFUNCTION("""COMPUTED_VALUE"""),"CHIP")</f>
        <v>CHIP</v>
      </c>
      <c r="D9355" s="122" t="str">
        <f>IFERROR(__xludf.DUMMYFUNCTION("""COMPUTED_VALUE"""),"Chip Empire")</f>
        <v>Chip Empire</v>
      </c>
      <c r="E9355" s="122">
        <f>IFERROR(__xludf.DUMMYFUNCTION("""COMPUTED_VALUE"""),80.29)</f>
        <v>80.29</v>
      </c>
      <c r="F9355" s="122">
        <f>IFERROR(__xludf.DUMMYFUNCTION("""COMPUTED_VALUE"""),-0.0053)</f>
        <v>-0.0053</v>
      </c>
    </row>
    <row r="9356">
      <c r="A9356" s="131">
        <f>IFERROR(__xludf.DUMMYFUNCTION("""COMPUTED_VALUE"""),46187.679027777776)</f>
        <v>46187.67903</v>
      </c>
      <c r="B9356" s="126">
        <f>IFERROR(__xludf.DUMMYFUNCTION("""COMPUTED_VALUE"""),46187.0)</f>
        <v>46187</v>
      </c>
      <c r="C9356" s="122" t="str">
        <f>IFERROR(__xludf.DUMMYFUNCTION("""COMPUTED_VALUE"""),"CAND")</f>
        <v>CAND</v>
      </c>
      <c r="D9356" s="122" t="str">
        <f>IFERROR(__xludf.DUMMYFUNCTION("""COMPUTED_VALUE"""),"Candy Capital")</f>
        <v>Candy Capital</v>
      </c>
      <c r="E9356" s="122">
        <f>IFERROR(__xludf.DUMMYFUNCTION("""COMPUTED_VALUE"""),76.14)</f>
        <v>76.14</v>
      </c>
      <c r="F9356" s="122">
        <f>IFERROR(__xludf.DUMMYFUNCTION("""COMPUTED_VALUE"""),0.0014)</f>
        <v>0.0014</v>
      </c>
    </row>
    <row r="9357">
      <c r="A9357" s="131">
        <f>IFERROR(__xludf.DUMMYFUNCTION("""COMPUTED_VALUE"""),46187.679027777776)</f>
        <v>46187.67903</v>
      </c>
      <c r="B9357" s="126">
        <f>IFERROR(__xludf.DUMMYFUNCTION("""COMPUTED_VALUE"""),46187.0)</f>
        <v>46187</v>
      </c>
      <c r="C9357" s="122" t="str">
        <f>IFERROR(__xludf.DUMMYFUNCTION("""COMPUTED_VALUE"""),"TECH")</f>
        <v>TECH</v>
      </c>
      <c r="D9357" s="122" t="str">
        <f>IFERROR(__xludf.DUMMYFUNCTION("""COMPUTED_VALUE"""),"Dragon Tech")</f>
        <v>Dragon Tech</v>
      </c>
      <c r="E9357" s="122">
        <f>IFERROR(__xludf.DUMMYFUNCTION("""COMPUTED_VALUE"""),255.78)</f>
        <v>255.78</v>
      </c>
      <c r="F9357" s="122">
        <f>IFERROR(__xludf.DUMMYFUNCTION("""COMPUTED_VALUE"""),-0.0083)</f>
        <v>-0.0083</v>
      </c>
    </row>
    <row r="9358">
      <c r="A9358" s="131">
        <f>IFERROR(__xludf.DUMMYFUNCTION("""COMPUTED_VALUE"""),46187.679027777776)</f>
        <v>46187.67903</v>
      </c>
      <c r="B9358" s="126">
        <f>IFERROR(__xludf.DUMMYFUNCTION("""COMPUTED_VALUE"""),46187.0)</f>
        <v>46187</v>
      </c>
      <c r="C9358" s="122" t="str">
        <f>IFERROR(__xludf.DUMMYFUNCTION("""COMPUTED_VALUE"""),"AIBO")</f>
        <v>AIBO</v>
      </c>
      <c r="D9358" s="122" t="str">
        <f>IFERROR(__xludf.DUMMYFUNCTION("""COMPUTED_VALUE"""),"Homework AI")</f>
        <v>Homework AI</v>
      </c>
      <c r="E9358" s="122">
        <f>IFERROR(__xludf.DUMMYFUNCTION("""COMPUTED_VALUE"""),198.01)</f>
        <v>198.01</v>
      </c>
      <c r="F9358" s="122">
        <f>IFERROR(__xludf.DUMMYFUNCTION("""COMPUTED_VALUE"""),0.0101)</f>
        <v>0.0101</v>
      </c>
    </row>
    <row r="9359">
      <c r="A9359" s="131">
        <f>IFERROR(__xludf.DUMMYFUNCTION("""COMPUTED_VALUE"""),46187.679027777776)</f>
        <v>46187.67903</v>
      </c>
      <c r="B9359" s="126">
        <f>IFERROR(__xludf.DUMMYFUNCTION("""COMPUTED_VALUE"""),46187.0)</f>
        <v>46187</v>
      </c>
      <c r="C9359" s="122" t="str">
        <f>IFERROR(__xludf.DUMMYFUNCTION("""COMPUTED_VALUE"""),"GAME")</f>
        <v>GAME</v>
      </c>
      <c r="D9359" s="122" t="str">
        <f>IFERROR(__xludf.DUMMYFUNCTION("""COMPUTED_VALUE"""),"GameBox Media")</f>
        <v>GameBox Media</v>
      </c>
      <c r="E9359" s="122">
        <f>IFERROR(__xludf.DUMMYFUNCTION("""COMPUTED_VALUE"""),103.0)</f>
        <v>103</v>
      </c>
      <c r="F9359" s="122">
        <f>IFERROR(__xludf.DUMMYFUNCTION("""COMPUTED_VALUE"""),-0.0043)</f>
        <v>-0.0043</v>
      </c>
    </row>
    <row r="9360">
      <c r="A9360" s="131">
        <f>IFERROR(__xludf.DUMMYFUNCTION("""COMPUTED_VALUE"""),46187.679027777776)</f>
        <v>46187.67903</v>
      </c>
      <c r="B9360" s="126">
        <f>IFERROR(__xludf.DUMMYFUNCTION("""COMPUTED_VALUE"""),46187.0)</f>
        <v>46187</v>
      </c>
      <c r="C9360" s="122" t="str">
        <f>IFERROR(__xludf.DUMMYFUNCTION("""COMPUTED_VALUE"""),"VRSE")</f>
        <v>VRSE</v>
      </c>
      <c r="D9360" s="122" t="str">
        <f>IFERROR(__xludf.DUMMYFUNCTION("""COMPUTED_VALUE"""),"VerseVR")</f>
        <v>VerseVR</v>
      </c>
      <c r="E9360" s="122">
        <f>IFERROR(__xludf.DUMMYFUNCTION("""COMPUTED_VALUE"""),144.43)</f>
        <v>144.43</v>
      </c>
      <c r="F9360" s="122">
        <f>IFERROR(__xludf.DUMMYFUNCTION("""COMPUTED_VALUE"""),-0.0098)</f>
        <v>-0.0098</v>
      </c>
    </row>
    <row r="9361">
      <c r="A9361" s="131">
        <f>IFERROR(__xludf.DUMMYFUNCTION("""COMPUTED_VALUE"""),46187.679027777776)</f>
        <v>46187.67903</v>
      </c>
      <c r="B9361" s="126">
        <f>IFERROR(__xludf.DUMMYFUNCTION("""COMPUTED_VALUE"""),46187.0)</f>
        <v>46187</v>
      </c>
      <c r="C9361" s="122" t="str">
        <f>IFERROR(__xludf.DUMMYFUNCTION("""COMPUTED_VALUE"""),"BYTE")</f>
        <v>BYTE</v>
      </c>
      <c r="D9361" s="122" t="str">
        <f>IFERROR(__xludf.DUMMYFUNCTION("""COMPUTED_VALUE"""),"ByteWorks")</f>
        <v>ByteWorks</v>
      </c>
      <c r="E9361" s="122">
        <f>IFERROR(__xludf.DUMMYFUNCTION("""COMPUTED_VALUE"""),112.29)</f>
        <v>112.29</v>
      </c>
      <c r="F9361" s="122">
        <f>IFERROR(__xludf.DUMMYFUNCTION("""COMPUTED_VALUE"""),0.0056)</f>
        <v>0.0056</v>
      </c>
    </row>
    <row r="9362">
      <c r="A9362" s="131">
        <f>IFERROR(__xludf.DUMMYFUNCTION("""COMPUTED_VALUE"""),46187.679027777776)</f>
        <v>46187.67903</v>
      </c>
      <c r="B9362" s="126">
        <f>IFERROR(__xludf.DUMMYFUNCTION("""COMPUTED_VALUE"""),46187.0)</f>
        <v>46187</v>
      </c>
      <c r="C9362" s="122" t="str">
        <f>IFERROR(__xludf.DUMMYFUNCTION("""COMPUTED_VALUE"""),"BANK")</f>
        <v>BANK</v>
      </c>
      <c r="D9362" s="122" t="str">
        <f>IFERROR(__xludf.DUMMYFUNCTION("""COMPUTED_VALUE"""),"Tiger Bank")</f>
        <v>Tiger Bank</v>
      </c>
      <c r="E9362" s="122">
        <f>IFERROR(__xludf.DUMMYFUNCTION("""COMPUTED_VALUE"""),134.37)</f>
        <v>134.37</v>
      </c>
      <c r="F9362" s="122">
        <f>IFERROR(__xludf.DUMMYFUNCTION("""COMPUTED_VALUE"""),0.004)</f>
        <v>0.004</v>
      </c>
    </row>
    <row r="9363">
      <c r="A9363" s="131">
        <f>IFERROR(__xludf.DUMMYFUNCTION("""COMPUTED_VALUE"""),46187.679027777776)</f>
        <v>46187.67903</v>
      </c>
      <c r="B9363" s="126">
        <f>IFERROR(__xludf.DUMMYFUNCTION("""COMPUTED_VALUE"""),46187.0)</f>
        <v>46187</v>
      </c>
      <c r="C9363" s="122" t="str">
        <f>IFERROR(__xludf.DUMMYFUNCTION("""COMPUTED_VALUE"""),"CRED")</f>
        <v>CRED</v>
      </c>
      <c r="D9363" s="122" t="str">
        <f>IFERROR(__xludf.DUMMYFUNCTION("""COMPUTED_VALUE"""),"Credit Castle")</f>
        <v>Credit Castle</v>
      </c>
      <c r="E9363" s="122">
        <f>IFERROR(__xludf.DUMMYFUNCTION("""COMPUTED_VALUE"""),67.3)</f>
        <v>67.3</v>
      </c>
      <c r="F9363" s="122">
        <f>IFERROR(__xludf.DUMMYFUNCTION("""COMPUTED_VALUE"""),0.0046)</f>
        <v>0.0046</v>
      </c>
    </row>
    <row r="9364">
      <c r="A9364" s="131">
        <f>IFERROR(__xludf.DUMMYFUNCTION("""COMPUTED_VALUE"""),46187.679027777776)</f>
        <v>46187.67903</v>
      </c>
      <c r="B9364" s="126">
        <f>IFERROR(__xludf.DUMMYFUNCTION("""COMPUTED_VALUE"""),46187.0)</f>
        <v>46187</v>
      </c>
      <c r="C9364" s="122" t="str">
        <f>IFERROR(__xludf.DUMMYFUNCTION("""COMPUTED_VALUE"""),"BOND")</f>
        <v>BOND</v>
      </c>
      <c r="D9364" s="122" t="str">
        <f>IFERROR(__xludf.DUMMYFUNCTION("""COMPUTED_VALUE"""),"BondBridge")</f>
        <v>BondBridge</v>
      </c>
      <c r="E9364" s="122">
        <f>IFERROR(__xludf.DUMMYFUNCTION("""COMPUTED_VALUE"""),106.99)</f>
        <v>106.99</v>
      </c>
      <c r="F9364" s="122">
        <f>IFERROR(__xludf.DUMMYFUNCTION("""COMPUTED_VALUE"""),0.0022)</f>
        <v>0.0022</v>
      </c>
    </row>
    <row r="9365">
      <c r="A9365" s="131">
        <f>IFERROR(__xludf.DUMMYFUNCTION("""COMPUTED_VALUE"""),46187.679027777776)</f>
        <v>46187.67903</v>
      </c>
      <c r="B9365" s="126">
        <f>IFERROR(__xludf.DUMMYFUNCTION("""COMPUTED_VALUE"""),46187.0)</f>
        <v>46187</v>
      </c>
      <c r="C9365" s="122" t="str">
        <f>IFERROR(__xludf.DUMMYFUNCTION("""COMPUTED_VALUE"""),"INSR")</f>
        <v>INSR</v>
      </c>
      <c r="D9365" s="122" t="str">
        <f>IFERROR(__xludf.DUMMYFUNCTION("""COMPUTED_VALUE"""),"Shield Insurance")</f>
        <v>Shield Insurance</v>
      </c>
      <c r="E9365" s="122">
        <f>IFERROR(__xludf.DUMMYFUNCTION("""COMPUTED_VALUE"""),158.14)</f>
        <v>158.14</v>
      </c>
      <c r="F9365" s="122">
        <f>IFERROR(__xludf.DUMMYFUNCTION("""COMPUTED_VALUE"""),8.0E-4)</f>
        <v>0.0008</v>
      </c>
    </row>
    <row r="9366">
      <c r="A9366" s="131">
        <f>IFERROR(__xludf.DUMMYFUNCTION("""COMPUTED_VALUE"""),46187.679027777776)</f>
        <v>46187.67903</v>
      </c>
      <c r="B9366" s="126">
        <f>IFERROR(__xludf.DUMMYFUNCTION("""COMPUTED_VALUE"""),46187.0)</f>
        <v>46187</v>
      </c>
      <c r="C9366" s="122" t="str">
        <f>IFERROR(__xludf.DUMMYFUNCTION("""COMPUTED_VALUE"""),"LOAN")</f>
        <v>LOAN</v>
      </c>
      <c r="D9366" s="122" t="str">
        <f>IFERROR(__xludf.DUMMYFUNCTION("""COMPUTED_VALUE"""),"LoanLab")</f>
        <v>LoanLab</v>
      </c>
      <c r="E9366" s="122">
        <f>IFERROR(__xludf.DUMMYFUNCTION("""COMPUTED_VALUE"""),75.27)</f>
        <v>75.27</v>
      </c>
      <c r="F9366" s="122">
        <f>IFERROR(__xludf.DUMMYFUNCTION("""COMPUTED_VALUE"""),-0.0034)</f>
        <v>-0.0034</v>
      </c>
    </row>
    <row r="9367">
      <c r="A9367" s="131">
        <f>IFERROR(__xludf.DUMMYFUNCTION("""COMPUTED_VALUE"""),46187.679027777776)</f>
        <v>46187.67903</v>
      </c>
      <c r="B9367" s="126">
        <f>IFERROR(__xludf.DUMMYFUNCTION("""COMPUTED_VALUE"""),46187.0)</f>
        <v>46187</v>
      </c>
      <c r="C9367" s="122" t="str">
        <f>IFERROR(__xludf.DUMMYFUNCTION("""COMPUTED_VALUE"""),"LUXE")</f>
        <v>LUXE</v>
      </c>
      <c r="D9367" s="122" t="str">
        <f>IFERROR(__xludf.DUMMYFUNCTION("""COMPUTED_VALUE"""),"Luxury Locker")</f>
        <v>Luxury Locker</v>
      </c>
      <c r="E9367" s="122">
        <f>IFERROR(__xludf.DUMMYFUNCTION("""COMPUTED_VALUE"""),272.18)</f>
        <v>272.18</v>
      </c>
      <c r="F9367" s="122">
        <f>IFERROR(__xludf.DUMMYFUNCTION("""COMPUTED_VALUE"""),0.0036)</f>
        <v>0.0036</v>
      </c>
    </row>
    <row r="9368">
      <c r="A9368" s="131">
        <f>IFERROR(__xludf.DUMMYFUNCTION("""COMPUTED_VALUE"""),46187.679027777776)</f>
        <v>46187.67903</v>
      </c>
      <c r="B9368" s="126">
        <f>IFERROR(__xludf.DUMMYFUNCTION("""COMPUTED_VALUE"""),46187.0)</f>
        <v>46187</v>
      </c>
      <c r="C9368" s="122" t="str">
        <f>IFERROR(__xludf.DUMMYFUNCTION("""COMPUTED_VALUE"""),"DRIP")</f>
        <v>DRIP</v>
      </c>
      <c r="D9368" s="122" t="str">
        <f>IFERROR(__xludf.DUMMYFUNCTION("""COMPUTED_VALUE"""),"Drip Streetwear")</f>
        <v>Drip Streetwear</v>
      </c>
      <c r="E9368" s="122">
        <f>IFERROR(__xludf.DUMMYFUNCTION("""COMPUTED_VALUE"""),195.54)</f>
        <v>195.54</v>
      </c>
      <c r="F9368" s="122">
        <f>IFERROR(__xludf.DUMMYFUNCTION("""COMPUTED_VALUE"""),0.0015)</f>
        <v>0.0015</v>
      </c>
    </row>
    <row r="9369">
      <c r="A9369" s="131">
        <f>IFERROR(__xludf.DUMMYFUNCTION("""COMPUTED_VALUE"""),46187.679027777776)</f>
        <v>46187.67903</v>
      </c>
      <c r="B9369" s="126">
        <f>IFERROR(__xludf.DUMMYFUNCTION("""COMPUTED_VALUE"""),46187.0)</f>
        <v>46187</v>
      </c>
      <c r="C9369" s="122" t="str">
        <f>IFERROR(__xludf.DUMMYFUNCTION("""COMPUTED_VALUE"""),"KICK")</f>
        <v>KICK</v>
      </c>
      <c r="D9369" s="122" t="str">
        <f>IFERROR(__xludf.DUMMYFUNCTION("""COMPUTED_VALUE"""),"KickDrop Sneakers")</f>
        <v>KickDrop Sneakers</v>
      </c>
      <c r="E9369" s="122">
        <f>IFERROR(__xludf.DUMMYFUNCTION("""COMPUTED_VALUE"""),171.52)</f>
        <v>171.52</v>
      </c>
      <c r="F9369" s="122">
        <f>IFERROR(__xludf.DUMMYFUNCTION("""COMPUTED_VALUE"""),6.0E-4)</f>
        <v>0.0006</v>
      </c>
    </row>
    <row r="9370">
      <c r="A9370" s="131">
        <f>IFERROR(__xludf.DUMMYFUNCTION("""COMPUTED_VALUE"""),46187.679027777776)</f>
        <v>46187.67903</v>
      </c>
      <c r="B9370" s="126">
        <f>IFERROR(__xludf.DUMMYFUNCTION("""COMPUTED_VALUE"""),46187.0)</f>
        <v>46187</v>
      </c>
      <c r="C9370" s="122" t="str">
        <f>IFERROR(__xludf.DUMMYFUNCTION("""COMPUTED_VALUE"""),"GLAM")</f>
        <v>GLAM</v>
      </c>
      <c r="D9370" s="122" t="str">
        <f>IFERROR(__xludf.DUMMYFUNCTION("""COMPUTED_VALUE"""),"Glow Cosmetics")</f>
        <v>Glow Cosmetics</v>
      </c>
      <c r="E9370" s="122">
        <f>IFERROR(__xludf.DUMMYFUNCTION("""COMPUTED_VALUE"""),111.17)</f>
        <v>111.17</v>
      </c>
      <c r="F9370" s="122">
        <f>IFERROR(__xludf.DUMMYFUNCTION("""COMPUTED_VALUE"""),-0.0041)</f>
        <v>-0.0041</v>
      </c>
    </row>
    <row r="9371">
      <c r="A9371" s="131">
        <f>IFERROR(__xludf.DUMMYFUNCTION("""COMPUTED_VALUE"""),46187.679027777776)</f>
        <v>46187.67903</v>
      </c>
      <c r="B9371" s="126">
        <f>IFERROR(__xludf.DUMMYFUNCTION("""COMPUTED_VALUE"""),46187.0)</f>
        <v>46187</v>
      </c>
      <c r="C9371" s="122" t="str">
        <f>IFERROR(__xludf.DUMMYFUNCTION("""COMPUTED_VALUE"""),"BAGG")</f>
        <v>BAGG</v>
      </c>
      <c r="D9371" s="122" t="str">
        <f>IFERROR(__xludf.DUMMYFUNCTION("""COMPUTED_VALUE"""),"BagVault")</f>
        <v>BagVault</v>
      </c>
      <c r="E9371" s="122">
        <f>IFERROR(__xludf.DUMMYFUNCTION("""COMPUTED_VALUE"""),280.79)</f>
        <v>280.79</v>
      </c>
      <c r="F9371" s="122">
        <f>IFERROR(__xludf.DUMMYFUNCTION("""COMPUTED_VALUE"""),-0.0065)</f>
        <v>-0.0065</v>
      </c>
    </row>
    <row r="9372">
      <c r="A9372" s="131">
        <f>IFERROR(__xludf.DUMMYFUNCTION("""COMPUTED_VALUE"""),46187.679027777776)</f>
        <v>46187.67903</v>
      </c>
      <c r="B9372" s="126">
        <f>IFERROR(__xludf.DUMMYFUNCTION("""COMPUTED_VALUE"""),46187.0)</f>
        <v>46187</v>
      </c>
      <c r="C9372" s="122" t="str">
        <f>IFERROR(__xludf.DUMMYFUNCTION("""COMPUTED_VALUE"""),"FAST")</f>
        <v>FAST</v>
      </c>
      <c r="D9372" s="122" t="str">
        <f>IFERROR(__xludf.DUMMYFUNCTION("""COMPUTED_VALUE"""),"Flash Logistics")</f>
        <v>Flash Logistics</v>
      </c>
      <c r="E9372" s="122">
        <f>IFERROR(__xludf.DUMMYFUNCTION("""COMPUTED_VALUE"""),109.09)</f>
        <v>109.09</v>
      </c>
      <c r="F9372" s="122">
        <f>IFERROR(__xludf.DUMMYFUNCTION("""COMPUTED_VALUE"""),0.0034)</f>
        <v>0.0034</v>
      </c>
    </row>
    <row r="9373">
      <c r="A9373" s="131">
        <f>IFERROR(__xludf.DUMMYFUNCTION("""COMPUTED_VALUE"""),46187.679027777776)</f>
        <v>46187.67903</v>
      </c>
      <c r="B9373" s="126">
        <f>IFERROR(__xludf.DUMMYFUNCTION("""COMPUTED_VALUE"""),46187.0)</f>
        <v>46187</v>
      </c>
      <c r="C9373" s="122" t="str">
        <f>IFERROR(__xludf.DUMMYFUNCTION("""COMPUTED_VALUE"""),"SHIP")</f>
        <v>SHIP</v>
      </c>
      <c r="D9373" s="122" t="str">
        <f>IFERROR(__xludf.DUMMYFUNCTION("""COMPUTED_VALUE"""),"Seoul Shipping")</f>
        <v>Seoul Shipping</v>
      </c>
      <c r="E9373" s="122">
        <f>IFERROR(__xludf.DUMMYFUNCTION("""COMPUTED_VALUE"""),130.34)</f>
        <v>130.34</v>
      </c>
      <c r="F9373" s="122">
        <f>IFERROR(__xludf.DUMMYFUNCTION("""COMPUTED_VALUE"""),0.0055)</f>
        <v>0.0055</v>
      </c>
    </row>
    <row r="9374">
      <c r="A9374" s="131">
        <f>IFERROR(__xludf.DUMMYFUNCTION("""COMPUTED_VALUE"""),46187.679027777776)</f>
        <v>46187.67903</v>
      </c>
      <c r="B9374" s="126">
        <f>IFERROR(__xludf.DUMMYFUNCTION("""COMPUTED_VALUE"""),46187.0)</f>
        <v>46187</v>
      </c>
      <c r="C9374" s="122" t="str">
        <f>IFERROR(__xludf.DUMMYFUNCTION("""COMPUTED_VALUE"""),"DRON")</f>
        <v>DRON</v>
      </c>
      <c r="D9374" s="122" t="str">
        <f>IFERROR(__xludf.DUMMYFUNCTION("""COMPUTED_VALUE"""),"DroneDrop")</f>
        <v>DroneDrop</v>
      </c>
      <c r="E9374" s="122">
        <f>IFERROR(__xludf.DUMMYFUNCTION("""COMPUTED_VALUE"""),121.38)</f>
        <v>121.38</v>
      </c>
      <c r="F9374" s="122">
        <f>IFERROR(__xludf.DUMMYFUNCTION("""COMPUTED_VALUE"""),0.0065)</f>
        <v>0.0065</v>
      </c>
    </row>
    <row r="9375">
      <c r="A9375" s="131">
        <f>IFERROR(__xludf.DUMMYFUNCTION("""COMPUTED_VALUE"""),46187.679027777776)</f>
        <v>46187.67903</v>
      </c>
      <c r="B9375" s="126">
        <f>IFERROR(__xludf.DUMMYFUNCTION("""COMPUTED_VALUE"""),46187.0)</f>
        <v>46187</v>
      </c>
      <c r="C9375" s="122" t="str">
        <f>IFERROR(__xludf.DUMMYFUNCTION("""COMPUTED_VALUE"""),"RIDE")</f>
        <v>RIDE</v>
      </c>
      <c r="D9375" s="122" t="str">
        <f>IFERROR(__xludf.DUMMYFUNCTION("""COMPUTED_VALUE"""),"QuickRide")</f>
        <v>QuickRide</v>
      </c>
      <c r="E9375" s="122">
        <f>IFERROR(__xludf.DUMMYFUNCTION("""COMPUTED_VALUE"""),99.51)</f>
        <v>99.51</v>
      </c>
      <c r="F9375" s="122">
        <f>IFERROR(__xludf.DUMMYFUNCTION("""COMPUTED_VALUE"""),0.0086)</f>
        <v>0.0086</v>
      </c>
    </row>
    <row r="9376">
      <c r="A9376" s="131">
        <f>IFERROR(__xludf.DUMMYFUNCTION("""COMPUTED_VALUE"""),46187.679027777776)</f>
        <v>46187.67903</v>
      </c>
      <c r="B9376" s="126">
        <f>IFERROR(__xludf.DUMMYFUNCTION("""COMPUTED_VALUE"""),46187.0)</f>
        <v>46187</v>
      </c>
      <c r="C9376" s="122" t="str">
        <f>IFERROR(__xludf.DUMMYFUNCTION("""COMPUTED_VALUE"""),"RAIL")</f>
        <v>RAIL</v>
      </c>
      <c r="D9376" s="122" t="str">
        <f>IFERROR(__xludf.DUMMYFUNCTION("""COMPUTED_VALUE"""),"MetroRail Corp")</f>
        <v>MetroRail Corp</v>
      </c>
      <c r="E9376" s="122">
        <f>IFERROR(__xludf.DUMMYFUNCTION("""COMPUTED_VALUE"""),130.25)</f>
        <v>130.25</v>
      </c>
      <c r="F9376" s="122">
        <f>IFERROR(__xludf.DUMMYFUNCTION("""COMPUTED_VALUE"""),-8.0E-4)</f>
        <v>-0.0008</v>
      </c>
    </row>
    <row r="9377">
      <c r="A9377" s="131">
        <f>IFERROR(__xludf.DUMMYFUNCTION("""COMPUTED_VALUE"""),46187.679027777776)</f>
        <v>46187.67903</v>
      </c>
      <c r="B9377" s="126">
        <f>IFERROR(__xludf.DUMMYFUNCTION("""COMPUTED_VALUE"""),46187.0)</f>
        <v>46187</v>
      </c>
      <c r="C9377" s="122" t="str">
        <f>IFERROR(__xludf.DUMMYFUNCTION("""COMPUTED_VALUE"""),"MEDX")</f>
        <v>MEDX</v>
      </c>
      <c r="D9377" s="122" t="str">
        <f>IFERROR(__xludf.DUMMYFUNCTION("""COMPUTED_VALUE"""),"MediCore")</f>
        <v>MediCore</v>
      </c>
      <c r="E9377" s="122">
        <f>IFERROR(__xludf.DUMMYFUNCTION("""COMPUTED_VALUE"""),139.25)</f>
        <v>139.25</v>
      </c>
      <c r="F9377" s="122">
        <f>IFERROR(__xludf.DUMMYFUNCTION("""COMPUTED_VALUE"""),0.0019)</f>
        <v>0.0019</v>
      </c>
    </row>
    <row r="9378">
      <c r="A9378" s="131">
        <f>IFERROR(__xludf.DUMMYFUNCTION("""COMPUTED_VALUE"""),46187.679027777776)</f>
        <v>46187.67903</v>
      </c>
      <c r="B9378" s="126">
        <f>IFERROR(__xludf.DUMMYFUNCTION("""COMPUTED_VALUE"""),46187.0)</f>
        <v>46187</v>
      </c>
      <c r="C9378" s="122" t="str">
        <f>IFERROR(__xludf.DUMMYFUNCTION("""COMPUTED_VALUE"""),"GYMX")</f>
        <v>GYMX</v>
      </c>
      <c r="D9378" s="122" t="str">
        <f>IFERROR(__xludf.DUMMYFUNCTION("""COMPUTED_VALUE"""),"GymX Fitness")</f>
        <v>GymX Fitness</v>
      </c>
      <c r="E9378" s="122">
        <f>IFERROR(__xludf.DUMMYFUNCTION("""COMPUTED_VALUE"""),80.66)</f>
        <v>80.66</v>
      </c>
      <c r="F9378" s="122">
        <f>IFERROR(__xludf.DUMMYFUNCTION("""COMPUTED_VALUE"""),0.0031)</f>
        <v>0.0031</v>
      </c>
    </row>
    <row r="9379">
      <c r="A9379" s="131">
        <f>IFERROR(__xludf.DUMMYFUNCTION("""COMPUTED_VALUE"""),46187.679027777776)</f>
        <v>46187.67903</v>
      </c>
      <c r="B9379" s="126">
        <f>IFERROR(__xludf.DUMMYFUNCTION("""COMPUTED_VALUE"""),46187.0)</f>
        <v>46187</v>
      </c>
      <c r="C9379" s="122" t="str">
        <f>IFERROR(__xludf.DUMMYFUNCTION("""COMPUTED_VALUE"""),"VITA")</f>
        <v>VITA</v>
      </c>
      <c r="D9379" s="122" t="str">
        <f>IFERROR(__xludf.DUMMYFUNCTION("""COMPUTED_VALUE"""),"VitaPlus")</f>
        <v>VitaPlus</v>
      </c>
      <c r="E9379" s="122">
        <f>IFERROR(__xludf.DUMMYFUNCTION("""COMPUTED_VALUE"""),71.38)</f>
        <v>71.38</v>
      </c>
      <c r="F9379" s="122">
        <f>IFERROR(__xludf.DUMMYFUNCTION("""COMPUTED_VALUE"""),-0.0024)</f>
        <v>-0.0024</v>
      </c>
    </row>
    <row r="9380">
      <c r="A9380" s="131">
        <f>IFERROR(__xludf.DUMMYFUNCTION("""COMPUTED_VALUE"""),46187.679027777776)</f>
        <v>46187.67903</v>
      </c>
      <c r="B9380" s="126">
        <f>IFERROR(__xludf.DUMMYFUNCTION("""COMPUTED_VALUE"""),46187.0)</f>
        <v>46187</v>
      </c>
      <c r="C9380" s="122" t="str">
        <f>IFERROR(__xludf.DUMMYFUNCTION("""COMPUTED_VALUE"""),"CARE")</f>
        <v>CARE</v>
      </c>
      <c r="D9380" s="122" t="str">
        <f>IFERROR(__xludf.DUMMYFUNCTION("""COMPUTED_VALUE"""),"CareCloud")</f>
        <v>CareCloud</v>
      </c>
      <c r="E9380" s="122">
        <f>IFERROR(__xludf.DUMMYFUNCTION("""COMPUTED_VALUE"""),183.76)</f>
        <v>183.76</v>
      </c>
      <c r="F9380" s="122">
        <f>IFERROR(__xludf.DUMMYFUNCTION("""COMPUTED_VALUE"""),-0.0038)</f>
        <v>-0.0038</v>
      </c>
    </row>
    <row r="9381">
      <c r="A9381" s="131">
        <f>IFERROR(__xludf.DUMMYFUNCTION("""COMPUTED_VALUE"""),46187.679027777776)</f>
        <v>46187.67903</v>
      </c>
      <c r="B9381" s="126">
        <f>IFERROR(__xludf.DUMMYFUNCTION("""COMPUTED_VALUE"""),46187.0)</f>
        <v>46187</v>
      </c>
      <c r="C9381" s="122" t="str">
        <f>IFERROR(__xludf.DUMMYFUNCTION("""COMPUTED_VALUE"""),"DENT")</f>
        <v>DENT</v>
      </c>
      <c r="D9381" s="122" t="str">
        <f>IFERROR(__xludf.DUMMYFUNCTION("""COMPUTED_VALUE"""),"SmileWorks")</f>
        <v>SmileWorks</v>
      </c>
      <c r="E9381" s="122">
        <f>IFERROR(__xludf.DUMMYFUNCTION("""COMPUTED_VALUE"""),99.62)</f>
        <v>99.62</v>
      </c>
      <c r="F9381" s="122">
        <f>IFERROR(__xludf.DUMMYFUNCTION("""COMPUTED_VALUE"""),0.0028)</f>
        <v>0.0028</v>
      </c>
    </row>
    <row r="9382">
      <c r="A9382" s="131">
        <f>IFERROR(__xludf.DUMMYFUNCTION("""COMPUTED_VALUE"""),46187.679027777776)</f>
        <v>46187.67903</v>
      </c>
      <c r="B9382" s="126">
        <f>IFERROR(__xludf.DUMMYFUNCTION("""COMPUTED_VALUE"""),46187.0)</f>
        <v>46187</v>
      </c>
      <c r="C9382" s="122" t="str">
        <f>IFERROR(__xludf.DUMMYFUNCTION("""COMPUTED_VALUE"""),"EDUX")</f>
        <v>EDUX</v>
      </c>
      <c r="D9382" s="122" t="str">
        <f>IFERROR(__xludf.DUMMYFUNCTION("""COMPUTED_VALUE"""),"EduMax Learning")</f>
        <v>EduMax Learning</v>
      </c>
      <c r="E9382" s="122">
        <f>IFERROR(__xludf.DUMMYFUNCTION("""COMPUTED_VALUE"""),155.17)</f>
        <v>155.17</v>
      </c>
      <c r="F9382" s="122">
        <f>IFERROR(__xludf.DUMMYFUNCTION("""COMPUTED_VALUE"""),-0.0051)</f>
        <v>-0.0051</v>
      </c>
    </row>
    <row r="9383">
      <c r="A9383" s="131">
        <f>IFERROR(__xludf.DUMMYFUNCTION("""COMPUTED_VALUE"""),46187.679027777776)</f>
        <v>46187.67903</v>
      </c>
      <c r="B9383" s="126">
        <f>IFERROR(__xludf.DUMMYFUNCTION("""COMPUTED_VALUE"""),46187.0)</f>
        <v>46187</v>
      </c>
      <c r="C9383" s="122" t="str">
        <f>IFERROR(__xludf.DUMMYFUNCTION("""COMPUTED_VALUE"""),"BOOK")</f>
        <v>BOOK</v>
      </c>
      <c r="D9383" s="122" t="str">
        <f>IFERROR(__xludf.DUMMYFUNCTION("""COMPUTED_VALUE"""),"BookBridge")</f>
        <v>BookBridge</v>
      </c>
      <c r="E9383" s="122">
        <f>IFERROR(__xludf.DUMMYFUNCTION("""COMPUTED_VALUE"""),119.91)</f>
        <v>119.91</v>
      </c>
      <c r="F9383" s="122">
        <f>IFERROR(__xludf.DUMMYFUNCTION("""COMPUTED_VALUE"""),-0.003)</f>
        <v>-0.003</v>
      </c>
    </row>
    <row r="9384">
      <c r="A9384" s="131">
        <f>IFERROR(__xludf.DUMMYFUNCTION("""COMPUTED_VALUE"""),46187.679027777776)</f>
        <v>46187.67903</v>
      </c>
      <c r="B9384" s="126">
        <f>IFERROR(__xludf.DUMMYFUNCTION("""COMPUTED_VALUE"""),46187.0)</f>
        <v>46187</v>
      </c>
      <c r="C9384" s="122" t="str">
        <f>IFERROR(__xludf.DUMMYFUNCTION("""COMPUTED_VALUE"""),"TUTR")</f>
        <v>TUTR</v>
      </c>
      <c r="D9384" s="122" t="str">
        <f>IFERROR(__xludf.DUMMYFUNCTION("""COMPUTED_VALUE"""),"TutorTown")</f>
        <v>TutorTown</v>
      </c>
      <c r="E9384" s="122">
        <f>IFERROR(__xludf.DUMMYFUNCTION("""COMPUTED_VALUE"""),93.27)</f>
        <v>93.27</v>
      </c>
      <c r="F9384" s="122">
        <f>IFERROR(__xludf.DUMMYFUNCTION("""COMPUTED_VALUE"""),-0.0019)</f>
        <v>-0.0019</v>
      </c>
    </row>
    <row r="9385">
      <c r="A9385" s="131">
        <f>IFERROR(__xludf.DUMMYFUNCTION("""COMPUTED_VALUE"""),46187.679027777776)</f>
        <v>46187.67903</v>
      </c>
      <c r="B9385" s="126">
        <f>IFERROR(__xludf.DUMMYFUNCTION("""COMPUTED_VALUE"""),46187.0)</f>
        <v>46187</v>
      </c>
      <c r="C9385" s="122" t="str">
        <f>IFERROR(__xludf.DUMMYFUNCTION("""COMPUTED_VALUE"""),"LANG")</f>
        <v>LANG</v>
      </c>
      <c r="D9385" s="122" t="str">
        <f>IFERROR(__xludf.DUMMYFUNCTION("""COMPUTED_VALUE"""),"LinguaLab")</f>
        <v>LinguaLab</v>
      </c>
      <c r="E9385" s="122">
        <f>IFERROR(__xludf.DUMMYFUNCTION("""COMPUTED_VALUE"""),102.78)</f>
        <v>102.78</v>
      </c>
      <c r="F9385" s="122">
        <f>IFERROR(__xludf.DUMMYFUNCTION("""COMPUTED_VALUE"""),0.0022)</f>
        <v>0.0022</v>
      </c>
    </row>
    <row r="9386">
      <c r="A9386" s="131">
        <f>IFERROR(__xludf.DUMMYFUNCTION("""COMPUTED_VALUE"""),46187.679027777776)</f>
        <v>46187.67903</v>
      </c>
      <c r="B9386" s="126">
        <f>IFERROR(__xludf.DUMMYFUNCTION("""COMPUTED_VALUE"""),46187.0)</f>
        <v>46187</v>
      </c>
      <c r="C9386" s="122" t="str">
        <f>IFERROR(__xludf.DUMMYFUNCTION("""COMPUTED_VALUE"""),"TEST")</f>
        <v>TEST</v>
      </c>
      <c r="D9386" s="122" t="str">
        <f>IFERROR(__xludf.DUMMYFUNCTION("""COMPUTED_VALUE"""),"TestPrep Pro")</f>
        <v>TestPrep Pro</v>
      </c>
      <c r="E9386" s="122">
        <f>IFERROR(__xludf.DUMMYFUNCTION("""COMPUTED_VALUE"""),87.67)</f>
        <v>87.67</v>
      </c>
      <c r="F9386" s="122">
        <f>IFERROR(__xludf.DUMMYFUNCTION("""COMPUTED_VALUE"""),-0.007)</f>
        <v>-0.007</v>
      </c>
    </row>
    <row r="9387">
      <c r="A9387" s="131">
        <f>IFERROR(__xludf.DUMMYFUNCTION("""COMPUTED_VALUE"""),46187.679027777776)</f>
        <v>46187.67903</v>
      </c>
      <c r="B9387" s="126">
        <f>IFERROR(__xludf.DUMMYFUNCTION("""COMPUTED_VALUE"""),46187.0)</f>
        <v>46187</v>
      </c>
      <c r="C9387" s="122" t="str">
        <f>IFERROR(__xludf.DUMMYFUNCTION("""COMPUTED_VALUE"""),"MOVI")</f>
        <v>MOVI</v>
      </c>
      <c r="D9387" s="122" t="str">
        <f>IFERROR(__xludf.DUMMYFUNCTION("""COMPUTED_VALUE"""),"MovieBox")</f>
        <v>MovieBox</v>
      </c>
      <c r="E9387" s="122">
        <f>IFERROR(__xludf.DUMMYFUNCTION("""COMPUTED_VALUE"""),84.54)</f>
        <v>84.54</v>
      </c>
      <c r="F9387" s="122">
        <f>IFERROR(__xludf.DUMMYFUNCTION("""COMPUTED_VALUE"""),-7.0E-4)</f>
        <v>-0.0007</v>
      </c>
    </row>
    <row r="9388">
      <c r="A9388" s="131">
        <f>IFERROR(__xludf.DUMMYFUNCTION("""COMPUTED_VALUE"""),46187.679027777776)</f>
        <v>46187.67903</v>
      </c>
      <c r="B9388" s="126">
        <f>IFERROR(__xludf.DUMMYFUNCTION("""COMPUTED_VALUE"""),46187.0)</f>
        <v>46187</v>
      </c>
      <c r="C9388" s="122" t="str">
        <f>IFERROR(__xludf.DUMMYFUNCTION("""COMPUTED_VALUE"""),"MUSC")</f>
        <v>MUSC</v>
      </c>
      <c r="D9388" s="122" t="str">
        <f>IFERROR(__xludf.DUMMYFUNCTION("""COMPUTED_VALUE"""),"MusicWave")</f>
        <v>MusicWave</v>
      </c>
      <c r="E9388" s="122">
        <f>IFERROR(__xludf.DUMMYFUNCTION("""COMPUTED_VALUE"""),103.62)</f>
        <v>103.62</v>
      </c>
      <c r="F9388" s="122">
        <f>IFERROR(__xludf.DUMMYFUNCTION("""COMPUTED_VALUE"""),-0.0018)</f>
        <v>-0.0018</v>
      </c>
    </row>
    <row r="9389">
      <c r="A9389" s="131">
        <f>IFERROR(__xludf.DUMMYFUNCTION("""COMPUTED_VALUE"""),46187.679027777776)</f>
        <v>46187.67903</v>
      </c>
      <c r="B9389" s="126">
        <f>IFERROR(__xludf.DUMMYFUNCTION("""COMPUTED_VALUE"""),46187.0)</f>
        <v>46187</v>
      </c>
      <c r="C9389" s="122" t="str">
        <f>IFERROR(__xludf.DUMMYFUNCTION("""COMPUTED_VALUE"""),"IDOL")</f>
        <v>IDOL</v>
      </c>
      <c r="D9389" s="122" t="str">
        <f>IFERROR(__xludf.DUMMYFUNCTION("""COMPUTED_VALUE"""),"Idol Agency")</f>
        <v>Idol Agency</v>
      </c>
      <c r="E9389" s="122">
        <f>IFERROR(__xludf.DUMMYFUNCTION("""COMPUTED_VALUE"""),188.49)</f>
        <v>188.49</v>
      </c>
      <c r="F9389" s="122">
        <f>IFERROR(__xludf.DUMMYFUNCTION("""COMPUTED_VALUE"""),-0.0083)</f>
        <v>-0.0083</v>
      </c>
    </row>
    <row r="9390">
      <c r="A9390" s="131">
        <f>IFERROR(__xludf.DUMMYFUNCTION("""COMPUTED_VALUE"""),46187.679027777776)</f>
        <v>46187.67903</v>
      </c>
      <c r="B9390" s="126">
        <f>IFERROR(__xludf.DUMMYFUNCTION("""COMPUTED_VALUE"""),46187.0)</f>
        <v>46187</v>
      </c>
      <c r="C9390" s="122" t="str">
        <f>IFERROR(__xludf.DUMMYFUNCTION("""COMPUTED_VALUE"""),"MEME")</f>
        <v>MEME</v>
      </c>
      <c r="D9390" s="122" t="str">
        <f>IFERROR(__xludf.DUMMYFUNCTION("""COMPUTED_VALUE"""),"Meme Media")</f>
        <v>Meme Media</v>
      </c>
      <c r="E9390" s="122">
        <f>IFERROR(__xludf.DUMMYFUNCTION("""COMPUTED_VALUE"""),74.84)</f>
        <v>74.84</v>
      </c>
      <c r="F9390" s="122">
        <f>IFERROR(__xludf.DUMMYFUNCTION("""COMPUTED_VALUE"""),0.0148)</f>
        <v>0.0148</v>
      </c>
    </row>
    <row r="9391">
      <c r="A9391" s="131">
        <f>IFERROR(__xludf.DUMMYFUNCTION("""COMPUTED_VALUE"""),46187.679027777776)</f>
        <v>46187.67903</v>
      </c>
      <c r="B9391" s="126">
        <f>IFERROR(__xludf.DUMMYFUNCTION("""COMPUTED_VALUE"""),46187.0)</f>
        <v>46187</v>
      </c>
      <c r="C9391" s="122" t="str">
        <f>IFERROR(__xludf.DUMMYFUNCTION("""COMPUTED_VALUE"""),"STRM")</f>
        <v>STRM</v>
      </c>
      <c r="D9391" s="122" t="str">
        <f>IFERROR(__xludf.DUMMYFUNCTION("""COMPUTED_VALUE"""),"Streamly")</f>
        <v>Streamly</v>
      </c>
      <c r="E9391" s="122">
        <f>IFERROR(__xludf.DUMMYFUNCTION("""COMPUTED_VALUE"""),130.36)</f>
        <v>130.36</v>
      </c>
      <c r="F9391" s="122">
        <f>IFERROR(__xludf.DUMMYFUNCTION("""COMPUTED_VALUE"""),-0.0028)</f>
        <v>-0.0028</v>
      </c>
    </row>
    <row r="9392">
      <c r="A9392" s="131">
        <f>IFERROR(__xludf.DUMMYFUNCTION("""COMPUTED_VALUE"""),46187.679027777776)</f>
        <v>46187.67903</v>
      </c>
      <c r="B9392" s="126">
        <f>IFERROR(__xludf.DUMMYFUNCTION("""COMPUTED_VALUE"""),46187.0)</f>
        <v>46187</v>
      </c>
      <c r="C9392" s="122" t="str">
        <f>IFERROR(__xludf.DUMMYFUNCTION("""COMPUTED_VALUE"""),"FARM")</f>
        <v>FARM</v>
      </c>
      <c r="D9392" s="122" t="str">
        <f>IFERROR(__xludf.DUMMYFUNCTION("""COMPUTED_VALUE"""),"Future Farms")</f>
        <v>Future Farms</v>
      </c>
      <c r="E9392" s="122">
        <f>IFERROR(__xludf.DUMMYFUNCTION("""COMPUTED_VALUE"""),101.48)</f>
        <v>101.48</v>
      </c>
      <c r="F9392" s="122">
        <f>IFERROR(__xludf.DUMMYFUNCTION("""COMPUTED_VALUE"""),0.0049)</f>
        <v>0.0049</v>
      </c>
    </row>
    <row r="9393">
      <c r="A9393" s="131">
        <f>IFERROR(__xludf.DUMMYFUNCTION("""COMPUTED_VALUE"""),46187.679027777776)</f>
        <v>46187.67903</v>
      </c>
      <c r="B9393" s="126">
        <f>IFERROR(__xludf.DUMMYFUNCTION("""COMPUTED_VALUE"""),46187.0)</f>
        <v>46187</v>
      </c>
      <c r="C9393" s="122" t="str">
        <f>IFERROR(__xludf.DUMMYFUNCTION("""COMPUTED_VALUE"""),"MEAT")</f>
        <v>MEAT</v>
      </c>
      <c r="D9393" s="122" t="str">
        <f>IFERROR(__xludf.DUMMYFUNCTION("""COMPUTED_VALUE"""),"MeatWorks")</f>
        <v>MeatWorks</v>
      </c>
      <c r="E9393" s="122">
        <f>IFERROR(__xludf.DUMMYFUNCTION("""COMPUTED_VALUE"""),104.99)</f>
        <v>104.99</v>
      </c>
      <c r="F9393" s="122">
        <f>IFERROR(__xludf.DUMMYFUNCTION("""COMPUTED_VALUE"""),0.0014)</f>
        <v>0.0014</v>
      </c>
    </row>
    <row r="9394">
      <c r="A9394" s="131">
        <f>IFERROR(__xludf.DUMMYFUNCTION("""COMPUTED_VALUE"""),46187.679027777776)</f>
        <v>46187.67903</v>
      </c>
      <c r="B9394" s="126">
        <f>IFERROR(__xludf.DUMMYFUNCTION("""COMPUTED_VALUE"""),46187.0)</f>
        <v>46187</v>
      </c>
      <c r="C9394" s="122" t="str">
        <f>IFERROR(__xludf.DUMMYFUNCTION("""COMPUTED_VALUE"""),"VEGI")</f>
        <v>VEGI</v>
      </c>
      <c r="D9394" s="122" t="str">
        <f>IFERROR(__xludf.DUMMYFUNCTION("""COMPUTED_VALUE"""),"Green Basket")</f>
        <v>Green Basket</v>
      </c>
      <c r="E9394" s="122">
        <f>IFERROR(__xludf.DUMMYFUNCTION("""COMPUTED_VALUE"""),76.64)</f>
        <v>76.64</v>
      </c>
      <c r="F9394" s="122">
        <f>IFERROR(__xludf.DUMMYFUNCTION("""COMPUTED_VALUE"""),-0.004)</f>
        <v>-0.004</v>
      </c>
    </row>
    <row r="9395">
      <c r="A9395" s="131">
        <f>IFERROR(__xludf.DUMMYFUNCTION("""COMPUTED_VALUE"""),46187.679027777776)</f>
        <v>46187.67903</v>
      </c>
      <c r="B9395" s="126">
        <f>IFERROR(__xludf.DUMMYFUNCTION("""COMPUTED_VALUE"""),46187.0)</f>
        <v>46187</v>
      </c>
      <c r="C9395" s="122" t="str">
        <f>IFERROR(__xludf.DUMMYFUNCTION("""COMPUTED_VALUE"""),"CAFE")</f>
        <v>CAFE</v>
      </c>
      <c r="D9395" s="122" t="str">
        <f>IFERROR(__xludf.DUMMYFUNCTION("""COMPUTED_VALUE"""),"Cafe Cloud")</f>
        <v>Cafe Cloud</v>
      </c>
      <c r="E9395" s="122">
        <f>IFERROR(__xludf.DUMMYFUNCTION("""COMPUTED_VALUE"""),104.66)</f>
        <v>104.66</v>
      </c>
      <c r="F9395" s="122">
        <f>IFERROR(__xludf.DUMMYFUNCTION("""COMPUTED_VALUE"""),0.011)</f>
        <v>0.011</v>
      </c>
    </row>
    <row r="9396">
      <c r="A9396" s="131">
        <f>IFERROR(__xludf.DUMMYFUNCTION("""COMPUTED_VALUE"""),46187.679027777776)</f>
        <v>46187.67903</v>
      </c>
      <c r="B9396" s="126">
        <f>IFERROR(__xludf.DUMMYFUNCTION("""COMPUTED_VALUE"""),46187.0)</f>
        <v>46187</v>
      </c>
      <c r="C9396" s="122" t="str">
        <f>IFERROR(__xludf.DUMMYFUNCTION("""COMPUTED_VALUE"""),"BAKE")</f>
        <v>BAKE</v>
      </c>
      <c r="D9396" s="122" t="str">
        <f>IFERROR(__xludf.DUMMYFUNCTION("""COMPUTED_VALUE"""),"BakeHouse")</f>
        <v>BakeHouse</v>
      </c>
      <c r="E9396" s="122">
        <f>IFERROR(__xludf.DUMMYFUNCTION("""COMPUTED_VALUE"""),100.25)</f>
        <v>100.25</v>
      </c>
      <c r="F9396" s="122">
        <f>IFERROR(__xludf.DUMMYFUNCTION("""COMPUTED_VALUE"""),0.0032)</f>
        <v>0.0032</v>
      </c>
    </row>
    <row r="9397">
      <c r="A9397" s="131">
        <f>IFERROR(__xludf.DUMMYFUNCTION("""COMPUTED_VALUE"""),46187.679027777776)</f>
        <v>46187.67903</v>
      </c>
      <c r="B9397" s="126">
        <f>IFERROR(__xludf.DUMMYFUNCTION("""COMPUTED_VALUE"""),46187.0)</f>
        <v>46187</v>
      </c>
      <c r="C9397" s="122" t="str">
        <f>IFERROR(__xludf.DUMMYFUNCTION("""COMPUTED_VALUE"""),"OILX")</f>
        <v>OILX</v>
      </c>
      <c r="D9397" s="122" t="str">
        <f>IFERROR(__xludf.DUMMYFUNCTION("""COMPUTED_VALUE"""),"OilMax Energy")</f>
        <v>OilMax Energy</v>
      </c>
      <c r="E9397" s="122">
        <f>IFERROR(__xludf.DUMMYFUNCTION("""COMPUTED_VALUE"""),136.09)</f>
        <v>136.09</v>
      </c>
      <c r="F9397" s="122">
        <f>IFERROR(__xludf.DUMMYFUNCTION("""COMPUTED_VALUE"""),-0.0022)</f>
        <v>-0.0022</v>
      </c>
    </row>
    <row r="9398">
      <c r="A9398" s="131">
        <f>IFERROR(__xludf.DUMMYFUNCTION("""COMPUTED_VALUE"""),46187.679027777776)</f>
        <v>46187.67903</v>
      </c>
      <c r="B9398" s="126">
        <f>IFERROR(__xludf.DUMMYFUNCTION("""COMPUTED_VALUE"""),46187.0)</f>
        <v>46187</v>
      </c>
      <c r="C9398" s="122" t="str">
        <f>IFERROR(__xludf.DUMMYFUNCTION("""COMPUTED_VALUE"""),"SOLR")</f>
        <v>SOLR</v>
      </c>
      <c r="D9398" s="122" t="str">
        <f>IFERROR(__xludf.DUMMYFUNCTION("""COMPUTED_VALUE"""),"SolarSpark")</f>
        <v>SolarSpark</v>
      </c>
      <c r="E9398" s="122">
        <f>IFERROR(__xludf.DUMMYFUNCTION("""COMPUTED_VALUE"""),107.26)</f>
        <v>107.26</v>
      </c>
      <c r="F9398" s="122">
        <f>IFERROR(__xludf.DUMMYFUNCTION("""COMPUTED_VALUE"""),0.0035)</f>
        <v>0.0035</v>
      </c>
    </row>
    <row r="9399">
      <c r="A9399" s="131">
        <f>IFERROR(__xludf.DUMMYFUNCTION("""COMPUTED_VALUE"""),46187.679027777776)</f>
        <v>46187.67903</v>
      </c>
      <c r="B9399" s="126">
        <f>IFERROR(__xludf.DUMMYFUNCTION("""COMPUTED_VALUE"""),46187.0)</f>
        <v>46187</v>
      </c>
      <c r="C9399" s="122" t="str">
        <f>IFERROR(__xludf.DUMMYFUNCTION("""COMPUTED_VALUE"""),"BATT")</f>
        <v>BATT</v>
      </c>
      <c r="D9399" s="122" t="str">
        <f>IFERROR(__xludf.DUMMYFUNCTION("""COMPUTED_VALUE"""),"BatteryBox")</f>
        <v>BatteryBox</v>
      </c>
      <c r="E9399" s="122">
        <f>IFERROR(__xludf.DUMMYFUNCTION("""COMPUTED_VALUE"""),119.69)</f>
        <v>119.69</v>
      </c>
      <c r="F9399" s="122">
        <f>IFERROR(__xludf.DUMMYFUNCTION("""COMPUTED_VALUE"""),-0.0075)</f>
        <v>-0.0075</v>
      </c>
    </row>
    <row r="9400">
      <c r="A9400" s="131">
        <f>IFERROR(__xludf.DUMMYFUNCTION("""COMPUTED_VALUE"""),46187.679027777776)</f>
        <v>46187.67903</v>
      </c>
      <c r="B9400" s="126">
        <f>IFERROR(__xludf.DUMMYFUNCTION("""COMPUTED_VALUE"""),46187.0)</f>
        <v>46187</v>
      </c>
      <c r="C9400" s="122" t="str">
        <f>IFERROR(__xludf.DUMMYFUNCTION("""COMPUTED_VALUE"""),"WIND")</f>
        <v>WIND</v>
      </c>
      <c r="D9400" s="122" t="str">
        <f>IFERROR(__xludf.DUMMYFUNCTION("""COMPUTED_VALUE"""),"WindWorks")</f>
        <v>WindWorks</v>
      </c>
      <c r="E9400" s="122">
        <f>IFERROR(__xludf.DUMMYFUNCTION("""COMPUTED_VALUE"""),86.94)</f>
        <v>86.94</v>
      </c>
      <c r="F9400" s="122">
        <f>IFERROR(__xludf.DUMMYFUNCTION("""COMPUTED_VALUE"""),0.0046)</f>
        <v>0.0046</v>
      </c>
    </row>
    <row r="9401">
      <c r="A9401" s="131">
        <f>IFERROR(__xludf.DUMMYFUNCTION("""COMPUTED_VALUE"""),46187.679027777776)</f>
        <v>46187.67903</v>
      </c>
      <c r="B9401" s="126">
        <f>IFERROR(__xludf.DUMMYFUNCTION("""COMPUTED_VALUE"""),46187.0)</f>
        <v>46187</v>
      </c>
      <c r="C9401" s="122" t="str">
        <f>IFERROR(__xludf.DUMMYFUNCTION("""COMPUTED_VALUE"""),"GRID")</f>
        <v>GRID</v>
      </c>
      <c r="D9401" s="122" t="str">
        <f>IFERROR(__xludf.DUMMYFUNCTION("""COMPUTED_VALUE"""),"GridPower")</f>
        <v>GridPower</v>
      </c>
      <c r="E9401" s="122">
        <f>IFERROR(__xludf.DUMMYFUNCTION("""COMPUTED_VALUE"""),124.86)</f>
        <v>124.86</v>
      </c>
      <c r="F9401" s="122">
        <f>IFERROR(__xludf.DUMMYFUNCTION("""COMPUTED_VALUE"""),-0.0044)</f>
        <v>-0.0044</v>
      </c>
    </row>
    <row r="9402">
      <c r="A9402" s="131">
        <f>IFERROR(__xludf.DUMMYFUNCTION("""COMPUTED_VALUE"""),46187.679027777776)</f>
        <v>46187.67903</v>
      </c>
      <c r="B9402" s="126">
        <f>IFERROR(__xludf.DUMMYFUNCTION("""COMPUTED_VALUE"""),46187.0)</f>
        <v>46187</v>
      </c>
      <c r="C9402" s="122" t="str">
        <f>IFERROR(__xludf.DUMMYFUNCTION("""COMPUTED_VALUE"""),"HOME")</f>
        <v>HOME</v>
      </c>
      <c r="D9402" s="122" t="str">
        <f>IFERROR(__xludf.DUMMYFUNCTION("""COMPUTED_VALUE"""),"HomeHub")</f>
        <v>HomeHub</v>
      </c>
      <c r="E9402" s="122">
        <f>IFERROR(__xludf.DUMMYFUNCTION("""COMPUTED_VALUE"""),162.94)</f>
        <v>162.94</v>
      </c>
      <c r="F9402" s="122">
        <f>IFERROR(__xludf.DUMMYFUNCTION("""COMPUTED_VALUE"""),-0.0023)</f>
        <v>-0.0023</v>
      </c>
    </row>
    <row r="9403">
      <c r="A9403" s="131">
        <f>IFERROR(__xludf.DUMMYFUNCTION("""COMPUTED_VALUE"""),46187.679027777776)</f>
        <v>46187.67903</v>
      </c>
      <c r="B9403" s="126">
        <f>IFERROR(__xludf.DUMMYFUNCTION("""COMPUTED_VALUE"""),46187.0)</f>
        <v>46187</v>
      </c>
      <c r="C9403" s="122" t="str">
        <f>IFERROR(__xludf.DUMMYFUNCTION("""COMPUTED_VALUE"""),"RENT")</f>
        <v>RENT</v>
      </c>
      <c r="D9403" s="122" t="str">
        <f>IFERROR(__xludf.DUMMYFUNCTION("""COMPUTED_VALUE"""),"RentRight")</f>
        <v>RentRight</v>
      </c>
      <c r="E9403" s="122">
        <f>IFERROR(__xludf.DUMMYFUNCTION("""COMPUTED_VALUE"""),89.33)</f>
        <v>89.33</v>
      </c>
      <c r="F9403" s="122">
        <f>IFERROR(__xludf.DUMMYFUNCTION("""COMPUTED_VALUE"""),0.0028)</f>
        <v>0.0028</v>
      </c>
    </row>
    <row r="9404">
      <c r="A9404" s="131">
        <f>IFERROR(__xludf.DUMMYFUNCTION("""COMPUTED_VALUE"""),46187.679027777776)</f>
        <v>46187.67903</v>
      </c>
      <c r="B9404" s="126">
        <f>IFERROR(__xludf.DUMMYFUNCTION("""COMPUTED_VALUE"""),46187.0)</f>
        <v>46187</v>
      </c>
      <c r="C9404" s="122" t="str">
        <f>IFERROR(__xludf.DUMMYFUNCTION("""COMPUTED_VALUE"""),"MALL")</f>
        <v>MALL</v>
      </c>
      <c r="D9404" s="122" t="str">
        <f>IFERROR(__xludf.DUMMYFUNCTION("""COMPUTED_VALUE"""),"MegaMall")</f>
        <v>MegaMall</v>
      </c>
      <c r="E9404" s="122">
        <f>IFERROR(__xludf.DUMMYFUNCTION("""COMPUTED_VALUE"""),101.45)</f>
        <v>101.45</v>
      </c>
      <c r="F9404" s="122">
        <f>IFERROR(__xludf.DUMMYFUNCTION("""COMPUTED_VALUE"""),-0.0054)</f>
        <v>-0.0054</v>
      </c>
    </row>
    <row r="9405">
      <c r="A9405" s="131">
        <f>IFERROR(__xludf.DUMMYFUNCTION("""COMPUTED_VALUE"""),46187.679027777776)</f>
        <v>46187.67903</v>
      </c>
      <c r="B9405" s="126">
        <f>IFERROR(__xludf.DUMMYFUNCTION("""COMPUTED_VALUE"""),46187.0)</f>
        <v>46187</v>
      </c>
      <c r="C9405" s="122" t="str">
        <f>IFERROR(__xludf.DUMMYFUNCTION("""COMPUTED_VALUE"""),"HOTL")</f>
        <v>HOTL</v>
      </c>
      <c r="D9405" s="122" t="str">
        <f>IFERROR(__xludf.DUMMYFUNCTION("""COMPUTED_VALUE"""),"HotelHive")</f>
        <v>HotelHive</v>
      </c>
      <c r="E9405" s="122">
        <f>IFERROR(__xludf.DUMMYFUNCTION("""COMPUTED_VALUE"""),118.58)</f>
        <v>118.58</v>
      </c>
      <c r="F9405" s="122">
        <f>IFERROR(__xludf.DUMMYFUNCTION("""COMPUTED_VALUE"""),-0.0019)</f>
        <v>-0.0019</v>
      </c>
    </row>
    <row r="9406">
      <c r="A9406" s="131">
        <f>IFERROR(__xludf.DUMMYFUNCTION("""COMPUTED_VALUE"""),46187.679027777776)</f>
        <v>46187.67903</v>
      </c>
      <c r="B9406" s="126">
        <f>IFERROR(__xludf.DUMMYFUNCTION("""COMPUTED_VALUE"""),46187.0)</f>
        <v>46187</v>
      </c>
      <c r="C9406" s="122" t="str">
        <f>IFERROR(__xludf.DUMMYFUNCTION("""COMPUTED_VALUE"""),"LAND")</f>
        <v>LAND</v>
      </c>
      <c r="D9406" s="122" t="str">
        <f>IFERROR(__xludf.DUMMYFUNCTION("""COMPUTED_VALUE"""),"LandLink")</f>
        <v>LandLink</v>
      </c>
      <c r="E9406" s="122">
        <f>IFERROR(__xludf.DUMMYFUNCTION("""COMPUTED_VALUE"""),188.1)</f>
        <v>188.1</v>
      </c>
      <c r="F9406" s="122">
        <f>IFERROR(__xludf.DUMMYFUNCTION("""COMPUTED_VALUE"""),-2.0E-4)</f>
        <v>-0.0002</v>
      </c>
    </row>
    <row r="9407">
      <c r="A9407" s="131">
        <f>IFERROR(__xludf.DUMMYFUNCTION("""COMPUTED_VALUE"""),46187.679027777776)</f>
        <v>46187.67903</v>
      </c>
      <c r="B9407" s="126">
        <f>IFERROR(__xludf.DUMMYFUNCTION("""COMPUTED_VALUE"""),46187.0)</f>
        <v>46187</v>
      </c>
      <c r="C9407" s="122" t="str">
        <f>IFERROR(__xludf.DUMMYFUNCTION("""COMPUTED_VALUE"""),"CARS")</f>
        <v>CARS</v>
      </c>
      <c r="D9407" s="122" t="str">
        <f>IFERROR(__xludf.DUMMYFUNCTION("""COMPUTED_VALUE"""),"AutoArena")</f>
        <v>AutoArena</v>
      </c>
      <c r="E9407" s="122">
        <f>IFERROR(__xludf.DUMMYFUNCTION("""COMPUTED_VALUE"""),81.75)</f>
        <v>81.75</v>
      </c>
      <c r="F9407" s="122">
        <f>IFERROR(__xludf.DUMMYFUNCTION("""COMPUTED_VALUE"""),0.0094)</f>
        <v>0.0094</v>
      </c>
    </row>
    <row r="9408">
      <c r="A9408" s="131">
        <f>IFERROR(__xludf.DUMMYFUNCTION("""COMPUTED_VALUE"""),46187.679027777776)</f>
        <v>46187.67903</v>
      </c>
      <c r="B9408" s="126">
        <f>IFERROR(__xludf.DUMMYFUNCTION("""COMPUTED_VALUE"""),46187.0)</f>
        <v>46187</v>
      </c>
      <c r="C9408" s="122" t="str">
        <f>IFERROR(__xludf.DUMMYFUNCTION("""COMPUTED_VALUE"""),"EVGO")</f>
        <v>EVGO</v>
      </c>
      <c r="D9408" s="122" t="str">
        <f>IFERROR(__xludf.DUMMYFUNCTION("""COMPUTED_VALUE"""),"EVGo Motors")</f>
        <v>EVGo Motors</v>
      </c>
      <c r="E9408" s="122">
        <f>IFERROR(__xludf.DUMMYFUNCTION("""COMPUTED_VALUE"""),196.17)</f>
        <v>196.17</v>
      </c>
      <c r="F9408" s="122">
        <f>IFERROR(__xludf.DUMMYFUNCTION("""COMPUTED_VALUE"""),0.0042)</f>
        <v>0.0042</v>
      </c>
    </row>
    <row r="9409">
      <c r="A9409" s="131">
        <f>IFERROR(__xludf.DUMMYFUNCTION("""COMPUTED_VALUE"""),46187.679027777776)</f>
        <v>46187.67903</v>
      </c>
      <c r="B9409" s="126">
        <f>IFERROR(__xludf.DUMMYFUNCTION("""COMPUTED_VALUE"""),46187.0)</f>
        <v>46187</v>
      </c>
      <c r="C9409" s="122" t="str">
        <f>IFERROR(__xludf.DUMMYFUNCTION("""COMPUTED_VALUE"""),"TIRE")</f>
        <v>TIRE</v>
      </c>
      <c r="D9409" s="122" t="str">
        <f>IFERROR(__xludf.DUMMYFUNCTION("""COMPUTED_VALUE"""),"TireTown")</f>
        <v>TireTown</v>
      </c>
      <c r="E9409" s="122">
        <f>IFERROR(__xludf.DUMMYFUNCTION("""COMPUTED_VALUE"""),99.31)</f>
        <v>99.31</v>
      </c>
      <c r="F9409" s="122">
        <f>IFERROR(__xludf.DUMMYFUNCTION("""COMPUTED_VALUE"""),0.0026)</f>
        <v>0.0026</v>
      </c>
    </row>
    <row r="9410">
      <c r="A9410" s="131">
        <f>IFERROR(__xludf.DUMMYFUNCTION("""COMPUTED_VALUE"""),46187.679027777776)</f>
        <v>46187.67903</v>
      </c>
      <c r="B9410" s="126">
        <f>IFERROR(__xludf.DUMMYFUNCTION("""COMPUTED_VALUE"""),46187.0)</f>
        <v>46187</v>
      </c>
      <c r="C9410" s="122" t="str">
        <f>IFERROR(__xludf.DUMMYFUNCTION("""COMPUTED_VALUE"""),"BIKE")</f>
        <v>BIKE</v>
      </c>
      <c r="D9410" s="122" t="str">
        <f>IFERROR(__xludf.DUMMYFUNCTION("""COMPUTED_VALUE"""),"BikeBox")</f>
        <v>BikeBox</v>
      </c>
      <c r="E9410" s="122">
        <f>IFERROR(__xludf.DUMMYFUNCTION("""COMPUTED_VALUE"""),51.39)</f>
        <v>51.39</v>
      </c>
      <c r="F9410" s="122">
        <f>IFERROR(__xludf.DUMMYFUNCTION("""COMPUTED_VALUE"""),-0.0054)</f>
        <v>-0.0054</v>
      </c>
    </row>
    <row r="9411">
      <c r="A9411" s="131">
        <f>IFERROR(__xludf.DUMMYFUNCTION("""COMPUTED_VALUE"""),46187.679027777776)</f>
        <v>46187.67903</v>
      </c>
      <c r="B9411" s="126">
        <f>IFERROR(__xludf.DUMMYFUNCTION("""COMPUTED_VALUE"""),46187.0)</f>
        <v>46187</v>
      </c>
      <c r="C9411" s="122" t="str">
        <f>IFERROR(__xludf.DUMMYFUNCTION("""COMPUTED_VALUE"""),"WASH")</f>
        <v>WASH</v>
      </c>
      <c r="D9411" s="122" t="str">
        <f>IFERROR(__xludf.DUMMYFUNCTION("""COMPUTED_VALUE"""),"CarWash Co")</f>
        <v>CarWash Co</v>
      </c>
      <c r="E9411" s="122">
        <f>IFERROR(__xludf.DUMMYFUNCTION("""COMPUTED_VALUE"""),124.21)</f>
        <v>124.21</v>
      </c>
      <c r="F9411" s="122">
        <f>IFERROR(__xludf.DUMMYFUNCTION("""COMPUTED_VALUE"""),0.0019)</f>
        <v>0.0019</v>
      </c>
    </row>
    <row r="9412">
      <c r="A9412" s="131">
        <f>IFERROR(__xludf.DUMMYFUNCTION("""COMPUTED_VALUE"""),46187.679027777776)</f>
        <v>46187.67903</v>
      </c>
      <c r="B9412" s="126">
        <f>IFERROR(__xludf.DUMMYFUNCTION("""COMPUTED_VALUE"""),46187.0)</f>
        <v>46187</v>
      </c>
      <c r="C9412" s="122" t="str">
        <f>IFERROR(__xludf.DUMMYFUNCTION("""COMPUTED_VALUE"""),"GBND")</f>
        <v>GBND</v>
      </c>
      <c r="D9412" s="122" t="str">
        <f>IFERROR(__xludf.DUMMYFUNCTION("""COMPUTED_VALUE"""),"Classroom Government Bond")</f>
        <v>Classroom Government Bond</v>
      </c>
      <c r="E9412" s="122">
        <f>IFERROR(__xludf.DUMMYFUNCTION("""COMPUTED_VALUE"""),101.21)</f>
        <v>101.21</v>
      </c>
      <c r="F9412" s="122">
        <f>IFERROR(__xludf.DUMMYFUNCTION("""COMPUTED_VALUE"""),4.0E-4)</f>
        <v>0.0004</v>
      </c>
    </row>
    <row r="9413">
      <c r="A9413" s="131">
        <f>IFERROR(__xludf.DUMMYFUNCTION("""COMPUTED_VALUE"""),46187.679027777776)</f>
        <v>46187.67903</v>
      </c>
      <c r="B9413" s="126">
        <f>IFERROR(__xludf.DUMMYFUNCTION("""COMPUTED_VALUE"""),46187.0)</f>
        <v>46187</v>
      </c>
      <c r="C9413" s="122" t="str">
        <f>IFERROR(__xludf.DUMMYFUNCTION("""COMPUTED_VALUE"""),"SBND")</f>
        <v>SBND</v>
      </c>
      <c r="D9413" s="122" t="str">
        <f>IFERROR(__xludf.DUMMYFUNCTION("""COMPUTED_VALUE"""),"School Savings Bond")</f>
        <v>School Savings Bond</v>
      </c>
      <c r="E9413" s="122">
        <f>IFERROR(__xludf.DUMMYFUNCTION("""COMPUTED_VALUE"""),99.24)</f>
        <v>99.24</v>
      </c>
      <c r="F9413" s="122">
        <f>IFERROR(__xludf.DUMMYFUNCTION("""COMPUTED_VALUE"""),-3.0E-4)</f>
        <v>-0.0003</v>
      </c>
    </row>
    <row r="9414">
      <c r="A9414" s="131">
        <f>IFERROR(__xludf.DUMMYFUNCTION("""COMPUTED_VALUE"""),46187.679027777776)</f>
        <v>46187.67903</v>
      </c>
      <c r="B9414" s="126">
        <f>IFERROR(__xludf.DUMMYFUNCTION("""COMPUTED_VALUE"""),46187.0)</f>
        <v>46187</v>
      </c>
      <c r="C9414" s="122" t="str">
        <f>IFERROR(__xludf.DUMMYFUNCTION("""COMPUTED_VALUE"""),"CBND")</f>
        <v>CBND</v>
      </c>
      <c r="D9414" s="122" t="str">
        <f>IFERROR(__xludf.DUMMYFUNCTION("""COMPUTED_VALUE"""),"Corporate Classroom Bond")</f>
        <v>Corporate Classroom Bond</v>
      </c>
      <c r="E9414" s="122">
        <f>IFERROR(__xludf.DUMMYFUNCTION("""COMPUTED_VALUE"""),97.95)</f>
        <v>97.95</v>
      </c>
      <c r="F9414" s="122">
        <f>IFERROR(__xludf.DUMMYFUNCTION("""COMPUTED_VALUE"""),0.0)</f>
        <v>0</v>
      </c>
    </row>
    <row r="9415">
      <c r="A9415" s="131">
        <f>IFERROR(__xludf.DUMMYFUNCTION("""COMPUTED_VALUE"""),46187.679027777776)</f>
        <v>46187.67903</v>
      </c>
      <c r="B9415" s="126">
        <f>IFERROR(__xludf.DUMMYFUNCTION("""COMPUTED_VALUE"""),46187.0)</f>
        <v>46187</v>
      </c>
      <c r="C9415" s="122" t="str">
        <f>IFERROR(__xludf.DUMMYFUNCTION("""COMPUTED_VALUE"""),"TBIL")</f>
        <v>TBIL</v>
      </c>
      <c r="D9415" s="122" t="str">
        <f>IFERROR(__xludf.DUMMYFUNCTION("""COMPUTED_VALUE"""),"Treasury Bill")</f>
        <v>Treasury Bill</v>
      </c>
      <c r="E9415" s="122">
        <f>IFERROR(__xludf.DUMMYFUNCTION("""COMPUTED_VALUE"""),97.79)</f>
        <v>97.79</v>
      </c>
      <c r="F9415" s="122">
        <f>IFERROR(__xludf.DUMMYFUNCTION("""COMPUTED_VALUE"""),3.0E-4)</f>
        <v>0.0003</v>
      </c>
    </row>
    <row r="9416">
      <c r="A9416" s="131">
        <f>IFERROR(__xludf.DUMMYFUNCTION("""COMPUTED_VALUE"""),46187.679027777776)</f>
        <v>46187.67903</v>
      </c>
      <c r="B9416" s="126">
        <f>IFERROR(__xludf.DUMMYFUNCTION("""COMPUTED_VALUE"""),46187.0)</f>
        <v>46187</v>
      </c>
      <c r="C9416" s="122" t="str">
        <f>IFERROR(__xludf.DUMMYFUNCTION("""COMPUTED_VALUE"""),"IBND")</f>
        <v>IBND</v>
      </c>
      <c r="D9416" s="122" t="str">
        <f>IFERROR(__xludf.DUMMYFUNCTION("""COMPUTED_VALUE"""),"Inflation Protected Bond")</f>
        <v>Inflation Protected Bond</v>
      </c>
      <c r="E9416" s="122">
        <f>IFERROR(__xludf.DUMMYFUNCTION("""COMPUTED_VALUE"""),100.7)</f>
        <v>100.7</v>
      </c>
      <c r="F9416" s="122">
        <f>IFERROR(__xludf.DUMMYFUNCTION("""COMPUTED_VALUE"""),-3.0E-4)</f>
        <v>-0.0003</v>
      </c>
    </row>
    <row r="9417">
      <c r="A9417" s="131">
        <f>IFERROR(__xludf.DUMMYFUNCTION("""COMPUTED_VALUE"""),46187.68005787037)</f>
        <v>46187.68006</v>
      </c>
      <c r="B9417" s="126">
        <f>IFERROR(__xludf.DUMMYFUNCTION("""COMPUTED_VALUE"""),46187.0)</f>
        <v>46187</v>
      </c>
      <c r="C9417" s="130">
        <f>IFERROR(__xludf.DUMMYFUNCTION("""COMPUTED_VALUE"""),0.6800578703703704)</f>
        <v>0.6800578704</v>
      </c>
      <c r="D9417" s="122" t="str">
        <f>IFERROR(__xludf.DUMMYFUNCTION("""COMPUTED_VALUE"""),"SNAX")</f>
        <v>SNAX</v>
      </c>
      <c r="E9417" s="122" t="str">
        <f>IFERROR(__xludf.DUMMYFUNCTION("""COMPUTED_VALUE"""),"MICA Snacks")</f>
        <v>MICA Snacks</v>
      </c>
      <c r="F9417" s="122" t="str">
        <f>IFERROR(__xludf.DUMMYFUNCTION("""COMPUTED_VALUE"""),"Consumer Goods")</f>
        <v>Consumer Goods</v>
      </c>
    </row>
    <row r="9418">
      <c r="A9418" s="131">
        <f>IFERROR(__xludf.DUMMYFUNCTION("""COMPUTED_VALUE"""),46187.68005787037)</f>
        <v>46187.68006</v>
      </c>
      <c r="B9418" s="126">
        <f>IFERROR(__xludf.DUMMYFUNCTION("""COMPUTED_VALUE"""),46187.0)</f>
        <v>46187</v>
      </c>
      <c r="C9418" s="130">
        <f>IFERROR(__xludf.DUMMYFUNCTION("""COMPUTED_VALUE"""),0.6800578703703704)</f>
        <v>0.6800578704</v>
      </c>
      <c r="D9418" s="122" t="str">
        <f>IFERROR(__xludf.DUMMYFUNCTION("""COMPUTED_VALUE"""),"RAMN")</f>
        <v>RAMN</v>
      </c>
      <c r="E9418" s="122" t="str">
        <f>IFERROR(__xludf.DUMMYFUNCTION("""COMPUTED_VALUE"""),"Ramen Republic")</f>
        <v>Ramen Republic</v>
      </c>
      <c r="F9418" s="122" t="str">
        <f>IFERROR(__xludf.DUMMYFUNCTION("""COMPUTED_VALUE"""),"Food")</f>
        <v>Food</v>
      </c>
    </row>
    <row r="9419">
      <c r="A9419" s="131">
        <f>IFERROR(__xludf.DUMMYFUNCTION("""COMPUTED_VALUE"""),46187.68005787037)</f>
        <v>46187.68006</v>
      </c>
      <c r="B9419" s="126">
        <f>IFERROR(__xludf.DUMMYFUNCTION("""COMPUTED_VALUE"""),46187.0)</f>
        <v>46187</v>
      </c>
      <c r="C9419" s="130">
        <f>IFERROR(__xludf.DUMMYFUNCTION("""COMPUTED_VALUE"""),0.6800578703703704)</f>
        <v>0.6800578704</v>
      </c>
      <c r="D9419" s="122" t="str">
        <f>IFERROR(__xludf.DUMMYFUNCTION("""COMPUTED_VALUE"""),"COLA")</f>
        <v>COLA</v>
      </c>
      <c r="E9419" s="122" t="str">
        <f>IFERROR(__xludf.DUMMYFUNCTION("""COMPUTED_VALUE"""),"K-Pop Cola")</f>
        <v>K-Pop Cola</v>
      </c>
      <c r="F9419" s="122" t="str">
        <f>IFERROR(__xludf.DUMMYFUNCTION("""COMPUTED_VALUE"""),"Beverage")</f>
        <v>Beverage</v>
      </c>
    </row>
    <row r="9420">
      <c r="A9420" s="131">
        <f>IFERROR(__xludf.DUMMYFUNCTION("""COMPUTED_VALUE"""),46187.68005787037)</f>
        <v>46187.68006</v>
      </c>
      <c r="B9420" s="126">
        <f>IFERROR(__xludf.DUMMYFUNCTION("""COMPUTED_VALUE"""),46187.0)</f>
        <v>46187</v>
      </c>
      <c r="C9420" s="130">
        <f>IFERROR(__xludf.DUMMYFUNCTION("""COMPUTED_VALUE"""),0.6800578703703704)</f>
        <v>0.6800578704</v>
      </c>
      <c r="D9420" s="122" t="str">
        <f>IFERROR(__xludf.DUMMYFUNCTION("""COMPUTED_VALUE"""),"CHIP")</f>
        <v>CHIP</v>
      </c>
      <c r="E9420" s="122" t="str">
        <f>IFERROR(__xludf.DUMMYFUNCTION("""COMPUTED_VALUE"""),"Chip Empire")</f>
        <v>Chip Empire</v>
      </c>
      <c r="F9420" s="122" t="str">
        <f>IFERROR(__xludf.DUMMYFUNCTION("""COMPUTED_VALUE"""),"Consumer Goods")</f>
        <v>Consumer Goods</v>
      </c>
    </row>
    <row r="9421">
      <c r="A9421" s="131">
        <f>IFERROR(__xludf.DUMMYFUNCTION("""COMPUTED_VALUE"""),46187.68005787037)</f>
        <v>46187.68006</v>
      </c>
      <c r="B9421" s="126">
        <f>IFERROR(__xludf.DUMMYFUNCTION("""COMPUTED_VALUE"""),46187.0)</f>
        <v>46187</v>
      </c>
      <c r="C9421" s="130">
        <f>IFERROR(__xludf.DUMMYFUNCTION("""COMPUTED_VALUE"""),0.6800578703703704)</f>
        <v>0.6800578704</v>
      </c>
      <c r="D9421" s="122" t="str">
        <f>IFERROR(__xludf.DUMMYFUNCTION("""COMPUTED_VALUE"""),"CAND")</f>
        <v>CAND</v>
      </c>
      <c r="E9421" s="122" t="str">
        <f>IFERROR(__xludf.DUMMYFUNCTION("""COMPUTED_VALUE"""),"Candy Capital")</f>
        <v>Candy Capital</v>
      </c>
      <c r="F9421" s="122" t="str">
        <f>IFERROR(__xludf.DUMMYFUNCTION("""COMPUTED_VALUE"""),"Consumer Goods")</f>
        <v>Consumer Goods</v>
      </c>
    </row>
    <row r="9422">
      <c r="A9422" s="131">
        <f>IFERROR(__xludf.DUMMYFUNCTION("""COMPUTED_VALUE"""),46187.68005787037)</f>
        <v>46187.68006</v>
      </c>
      <c r="B9422" s="126">
        <f>IFERROR(__xludf.DUMMYFUNCTION("""COMPUTED_VALUE"""),46187.0)</f>
        <v>46187</v>
      </c>
      <c r="C9422" s="130">
        <f>IFERROR(__xludf.DUMMYFUNCTION("""COMPUTED_VALUE"""),0.6800578703703704)</f>
        <v>0.6800578704</v>
      </c>
      <c r="D9422" s="122" t="str">
        <f>IFERROR(__xludf.DUMMYFUNCTION("""COMPUTED_VALUE"""),"TECH")</f>
        <v>TECH</v>
      </c>
      <c r="E9422" s="122" t="str">
        <f>IFERROR(__xludf.DUMMYFUNCTION("""COMPUTED_VALUE"""),"Dragon Tech")</f>
        <v>Dragon Tech</v>
      </c>
      <c r="F9422" s="122" t="str">
        <f>IFERROR(__xludf.DUMMYFUNCTION("""COMPUTED_VALUE"""),"Technology")</f>
        <v>Technology</v>
      </c>
    </row>
    <row r="9423">
      <c r="A9423" s="131">
        <f>IFERROR(__xludf.DUMMYFUNCTION("""COMPUTED_VALUE"""),46187.68005787037)</f>
        <v>46187.68006</v>
      </c>
      <c r="B9423" s="126">
        <f>IFERROR(__xludf.DUMMYFUNCTION("""COMPUTED_VALUE"""),46187.0)</f>
        <v>46187</v>
      </c>
      <c r="C9423" s="130">
        <f>IFERROR(__xludf.DUMMYFUNCTION("""COMPUTED_VALUE"""),0.6800578703703704)</f>
        <v>0.6800578704</v>
      </c>
      <c r="D9423" s="122" t="str">
        <f>IFERROR(__xludf.DUMMYFUNCTION("""COMPUTED_VALUE"""),"AIBO")</f>
        <v>AIBO</v>
      </c>
      <c r="E9423" s="122" t="str">
        <f>IFERROR(__xludf.DUMMYFUNCTION("""COMPUTED_VALUE"""),"Homework AI")</f>
        <v>Homework AI</v>
      </c>
      <c r="F9423" s="122" t="str">
        <f>IFERROR(__xludf.DUMMYFUNCTION("""COMPUTED_VALUE"""),"Technology")</f>
        <v>Technology</v>
      </c>
    </row>
    <row r="9424">
      <c r="A9424" s="131">
        <f>IFERROR(__xludf.DUMMYFUNCTION("""COMPUTED_VALUE"""),46187.68005787037)</f>
        <v>46187.68006</v>
      </c>
      <c r="B9424" s="126">
        <f>IFERROR(__xludf.DUMMYFUNCTION("""COMPUTED_VALUE"""),46187.0)</f>
        <v>46187</v>
      </c>
      <c r="C9424" s="130">
        <f>IFERROR(__xludf.DUMMYFUNCTION("""COMPUTED_VALUE"""),0.6800578703703704)</f>
        <v>0.6800578704</v>
      </c>
      <c r="D9424" s="122" t="str">
        <f>IFERROR(__xludf.DUMMYFUNCTION("""COMPUTED_VALUE"""),"GAME")</f>
        <v>GAME</v>
      </c>
      <c r="E9424" s="122" t="str">
        <f>IFERROR(__xludf.DUMMYFUNCTION("""COMPUTED_VALUE"""),"GameBox Media")</f>
        <v>GameBox Media</v>
      </c>
      <c r="F9424" s="122" t="str">
        <f>IFERROR(__xludf.DUMMYFUNCTION("""COMPUTED_VALUE"""),"Entertainment")</f>
        <v>Entertainment</v>
      </c>
    </row>
    <row r="9425">
      <c r="A9425" s="131">
        <f>IFERROR(__xludf.DUMMYFUNCTION("""COMPUTED_VALUE"""),46187.68005787037)</f>
        <v>46187.68006</v>
      </c>
      <c r="B9425" s="126">
        <f>IFERROR(__xludf.DUMMYFUNCTION("""COMPUTED_VALUE"""),46187.0)</f>
        <v>46187</v>
      </c>
      <c r="C9425" s="130">
        <f>IFERROR(__xludf.DUMMYFUNCTION("""COMPUTED_VALUE"""),0.6800578703703704)</f>
        <v>0.6800578704</v>
      </c>
      <c r="D9425" s="122" t="str">
        <f>IFERROR(__xludf.DUMMYFUNCTION("""COMPUTED_VALUE"""),"VRSE")</f>
        <v>VRSE</v>
      </c>
      <c r="E9425" s="122" t="str">
        <f>IFERROR(__xludf.DUMMYFUNCTION("""COMPUTED_VALUE"""),"VerseVR")</f>
        <v>VerseVR</v>
      </c>
      <c r="F9425" s="122" t="str">
        <f>IFERROR(__xludf.DUMMYFUNCTION("""COMPUTED_VALUE"""),"Technology")</f>
        <v>Technology</v>
      </c>
    </row>
    <row r="9426">
      <c r="A9426" s="131">
        <f>IFERROR(__xludf.DUMMYFUNCTION("""COMPUTED_VALUE"""),46187.68005787037)</f>
        <v>46187.68006</v>
      </c>
      <c r="B9426" s="126">
        <f>IFERROR(__xludf.DUMMYFUNCTION("""COMPUTED_VALUE"""),46187.0)</f>
        <v>46187</v>
      </c>
      <c r="C9426" s="130">
        <f>IFERROR(__xludf.DUMMYFUNCTION("""COMPUTED_VALUE"""),0.6800578703703704)</f>
        <v>0.6800578704</v>
      </c>
      <c r="D9426" s="122" t="str">
        <f>IFERROR(__xludf.DUMMYFUNCTION("""COMPUTED_VALUE"""),"BYTE")</f>
        <v>BYTE</v>
      </c>
      <c r="E9426" s="122" t="str">
        <f>IFERROR(__xludf.DUMMYFUNCTION("""COMPUTED_VALUE"""),"ByteWorks")</f>
        <v>ByteWorks</v>
      </c>
      <c r="F9426" s="122" t="str">
        <f>IFERROR(__xludf.DUMMYFUNCTION("""COMPUTED_VALUE"""),"Technology")</f>
        <v>Technology</v>
      </c>
    </row>
    <row r="9427">
      <c r="A9427" s="131">
        <f>IFERROR(__xludf.DUMMYFUNCTION("""COMPUTED_VALUE"""),46187.68005787037)</f>
        <v>46187.68006</v>
      </c>
      <c r="B9427" s="126">
        <f>IFERROR(__xludf.DUMMYFUNCTION("""COMPUTED_VALUE"""),46187.0)</f>
        <v>46187</v>
      </c>
      <c r="C9427" s="130">
        <f>IFERROR(__xludf.DUMMYFUNCTION("""COMPUTED_VALUE"""),0.6800578703703704)</f>
        <v>0.6800578704</v>
      </c>
      <c r="D9427" s="122" t="str">
        <f>IFERROR(__xludf.DUMMYFUNCTION("""COMPUTED_VALUE"""),"BANK")</f>
        <v>BANK</v>
      </c>
      <c r="E9427" s="122" t="str">
        <f>IFERROR(__xludf.DUMMYFUNCTION("""COMPUTED_VALUE"""),"Tiger Bank")</f>
        <v>Tiger Bank</v>
      </c>
      <c r="F9427" s="122" t="str">
        <f>IFERROR(__xludf.DUMMYFUNCTION("""COMPUTED_VALUE"""),"Finance")</f>
        <v>Finance</v>
      </c>
    </row>
    <row r="9428">
      <c r="A9428" s="131">
        <f>IFERROR(__xludf.DUMMYFUNCTION("""COMPUTED_VALUE"""),46187.68005787037)</f>
        <v>46187.68006</v>
      </c>
      <c r="B9428" s="126">
        <f>IFERROR(__xludf.DUMMYFUNCTION("""COMPUTED_VALUE"""),46187.0)</f>
        <v>46187</v>
      </c>
      <c r="C9428" s="130">
        <f>IFERROR(__xludf.DUMMYFUNCTION("""COMPUTED_VALUE"""),0.6800578703703704)</f>
        <v>0.6800578704</v>
      </c>
      <c r="D9428" s="122" t="str">
        <f>IFERROR(__xludf.DUMMYFUNCTION("""COMPUTED_VALUE"""),"CRED")</f>
        <v>CRED</v>
      </c>
      <c r="E9428" s="122" t="str">
        <f>IFERROR(__xludf.DUMMYFUNCTION("""COMPUTED_VALUE"""),"Credit Castle")</f>
        <v>Credit Castle</v>
      </c>
      <c r="F9428" s="122" t="str">
        <f>IFERROR(__xludf.DUMMYFUNCTION("""COMPUTED_VALUE"""),"Finance")</f>
        <v>Finance</v>
      </c>
    </row>
    <row r="9429">
      <c r="A9429" s="131">
        <f>IFERROR(__xludf.DUMMYFUNCTION("""COMPUTED_VALUE"""),46187.68005787037)</f>
        <v>46187.68006</v>
      </c>
      <c r="B9429" s="126">
        <f>IFERROR(__xludf.DUMMYFUNCTION("""COMPUTED_VALUE"""),46187.0)</f>
        <v>46187</v>
      </c>
      <c r="C9429" s="130">
        <f>IFERROR(__xludf.DUMMYFUNCTION("""COMPUTED_VALUE"""),0.6800578703703704)</f>
        <v>0.6800578704</v>
      </c>
      <c r="D9429" s="122" t="str">
        <f>IFERROR(__xludf.DUMMYFUNCTION("""COMPUTED_VALUE"""),"BOND")</f>
        <v>BOND</v>
      </c>
      <c r="E9429" s="122" t="str">
        <f>IFERROR(__xludf.DUMMYFUNCTION("""COMPUTED_VALUE"""),"BondBridge")</f>
        <v>BondBridge</v>
      </c>
      <c r="F9429" s="122" t="str">
        <f>IFERROR(__xludf.DUMMYFUNCTION("""COMPUTED_VALUE"""),"Finance")</f>
        <v>Finance</v>
      </c>
    </row>
    <row r="9430">
      <c r="A9430" s="131">
        <f>IFERROR(__xludf.DUMMYFUNCTION("""COMPUTED_VALUE"""),46187.68005787037)</f>
        <v>46187.68006</v>
      </c>
      <c r="B9430" s="126">
        <f>IFERROR(__xludf.DUMMYFUNCTION("""COMPUTED_VALUE"""),46187.0)</f>
        <v>46187</v>
      </c>
      <c r="C9430" s="130">
        <f>IFERROR(__xludf.DUMMYFUNCTION("""COMPUTED_VALUE"""),0.6800578703703704)</f>
        <v>0.6800578704</v>
      </c>
      <c r="D9430" s="122" t="str">
        <f>IFERROR(__xludf.DUMMYFUNCTION("""COMPUTED_VALUE"""),"INSR")</f>
        <v>INSR</v>
      </c>
      <c r="E9430" s="122" t="str">
        <f>IFERROR(__xludf.DUMMYFUNCTION("""COMPUTED_VALUE"""),"Shield Insurance")</f>
        <v>Shield Insurance</v>
      </c>
      <c r="F9430" s="122" t="str">
        <f>IFERROR(__xludf.DUMMYFUNCTION("""COMPUTED_VALUE"""),"Finance")</f>
        <v>Finance</v>
      </c>
    </row>
    <row r="9431">
      <c r="A9431" s="131">
        <f>IFERROR(__xludf.DUMMYFUNCTION("""COMPUTED_VALUE"""),46187.68005787037)</f>
        <v>46187.68006</v>
      </c>
      <c r="B9431" s="126">
        <f>IFERROR(__xludf.DUMMYFUNCTION("""COMPUTED_VALUE"""),46187.0)</f>
        <v>46187</v>
      </c>
      <c r="C9431" s="130">
        <f>IFERROR(__xludf.DUMMYFUNCTION("""COMPUTED_VALUE"""),0.6800578703703704)</f>
        <v>0.6800578704</v>
      </c>
      <c r="D9431" s="122" t="str">
        <f>IFERROR(__xludf.DUMMYFUNCTION("""COMPUTED_VALUE"""),"LOAN")</f>
        <v>LOAN</v>
      </c>
      <c r="E9431" s="122" t="str">
        <f>IFERROR(__xludf.DUMMYFUNCTION("""COMPUTED_VALUE"""),"LoanLab")</f>
        <v>LoanLab</v>
      </c>
      <c r="F9431" s="122" t="str">
        <f>IFERROR(__xludf.DUMMYFUNCTION("""COMPUTED_VALUE"""),"Finance")</f>
        <v>Finance</v>
      </c>
    </row>
    <row r="9432">
      <c r="A9432" s="131">
        <f>IFERROR(__xludf.DUMMYFUNCTION("""COMPUTED_VALUE"""),46187.68005787037)</f>
        <v>46187.68006</v>
      </c>
      <c r="B9432" s="126">
        <f>IFERROR(__xludf.DUMMYFUNCTION("""COMPUTED_VALUE"""),46187.0)</f>
        <v>46187</v>
      </c>
      <c r="C9432" s="130">
        <f>IFERROR(__xludf.DUMMYFUNCTION("""COMPUTED_VALUE"""),0.6800578703703704)</f>
        <v>0.6800578704</v>
      </c>
      <c r="D9432" s="122" t="str">
        <f>IFERROR(__xludf.DUMMYFUNCTION("""COMPUTED_VALUE"""),"LUXE")</f>
        <v>LUXE</v>
      </c>
      <c r="E9432" s="122" t="str">
        <f>IFERROR(__xludf.DUMMYFUNCTION("""COMPUTED_VALUE"""),"Luxury Locker")</f>
        <v>Luxury Locker</v>
      </c>
      <c r="F9432" s="122" t="str">
        <f>IFERROR(__xludf.DUMMYFUNCTION("""COMPUTED_VALUE"""),"Luxury Goods")</f>
        <v>Luxury Goods</v>
      </c>
    </row>
    <row r="9433">
      <c r="A9433" s="131">
        <f>IFERROR(__xludf.DUMMYFUNCTION("""COMPUTED_VALUE"""),46187.68005787037)</f>
        <v>46187.68006</v>
      </c>
      <c r="B9433" s="126">
        <f>IFERROR(__xludf.DUMMYFUNCTION("""COMPUTED_VALUE"""),46187.0)</f>
        <v>46187</v>
      </c>
      <c r="C9433" s="130">
        <f>IFERROR(__xludf.DUMMYFUNCTION("""COMPUTED_VALUE"""),0.6800578703703704)</f>
        <v>0.6800578704</v>
      </c>
      <c r="D9433" s="122" t="str">
        <f>IFERROR(__xludf.DUMMYFUNCTION("""COMPUTED_VALUE"""),"DRIP")</f>
        <v>DRIP</v>
      </c>
      <c r="E9433" s="122" t="str">
        <f>IFERROR(__xludf.DUMMYFUNCTION("""COMPUTED_VALUE"""),"Drip Streetwear")</f>
        <v>Drip Streetwear</v>
      </c>
      <c r="F9433" s="122" t="str">
        <f>IFERROR(__xludf.DUMMYFUNCTION("""COMPUTED_VALUE"""),"Fashion")</f>
        <v>Fashion</v>
      </c>
    </row>
    <row r="9434">
      <c r="A9434" s="131">
        <f>IFERROR(__xludf.DUMMYFUNCTION("""COMPUTED_VALUE"""),46187.68005787037)</f>
        <v>46187.68006</v>
      </c>
      <c r="B9434" s="126">
        <f>IFERROR(__xludf.DUMMYFUNCTION("""COMPUTED_VALUE"""),46187.0)</f>
        <v>46187</v>
      </c>
      <c r="C9434" s="130">
        <f>IFERROR(__xludf.DUMMYFUNCTION("""COMPUTED_VALUE"""),0.6800578703703704)</f>
        <v>0.6800578704</v>
      </c>
      <c r="D9434" s="122" t="str">
        <f>IFERROR(__xludf.DUMMYFUNCTION("""COMPUTED_VALUE"""),"KICK")</f>
        <v>KICK</v>
      </c>
      <c r="E9434" s="122" t="str">
        <f>IFERROR(__xludf.DUMMYFUNCTION("""COMPUTED_VALUE"""),"KickDrop Sneakers")</f>
        <v>KickDrop Sneakers</v>
      </c>
      <c r="F9434" s="122" t="str">
        <f>IFERROR(__xludf.DUMMYFUNCTION("""COMPUTED_VALUE"""),"Fashion")</f>
        <v>Fashion</v>
      </c>
    </row>
    <row r="9435">
      <c r="A9435" s="131">
        <f>IFERROR(__xludf.DUMMYFUNCTION("""COMPUTED_VALUE"""),46187.68005787037)</f>
        <v>46187.68006</v>
      </c>
      <c r="B9435" s="126">
        <f>IFERROR(__xludf.DUMMYFUNCTION("""COMPUTED_VALUE"""),46187.0)</f>
        <v>46187</v>
      </c>
      <c r="C9435" s="130">
        <f>IFERROR(__xludf.DUMMYFUNCTION("""COMPUTED_VALUE"""),0.6800578703703704)</f>
        <v>0.6800578704</v>
      </c>
      <c r="D9435" s="122" t="str">
        <f>IFERROR(__xludf.DUMMYFUNCTION("""COMPUTED_VALUE"""),"GLAM")</f>
        <v>GLAM</v>
      </c>
      <c r="E9435" s="122" t="str">
        <f>IFERROR(__xludf.DUMMYFUNCTION("""COMPUTED_VALUE"""),"Glow Cosmetics")</f>
        <v>Glow Cosmetics</v>
      </c>
      <c r="F9435" s="122" t="str">
        <f>IFERROR(__xludf.DUMMYFUNCTION("""COMPUTED_VALUE"""),"Fashion")</f>
        <v>Fashion</v>
      </c>
    </row>
    <row r="9436">
      <c r="A9436" s="131">
        <f>IFERROR(__xludf.DUMMYFUNCTION("""COMPUTED_VALUE"""),46187.68005787037)</f>
        <v>46187.68006</v>
      </c>
      <c r="B9436" s="126">
        <f>IFERROR(__xludf.DUMMYFUNCTION("""COMPUTED_VALUE"""),46187.0)</f>
        <v>46187</v>
      </c>
      <c r="C9436" s="130">
        <f>IFERROR(__xludf.DUMMYFUNCTION("""COMPUTED_VALUE"""),0.6800578703703704)</f>
        <v>0.6800578704</v>
      </c>
      <c r="D9436" s="122" t="str">
        <f>IFERROR(__xludf.DUMMYFUNCTION("""COMPUTED_VALUE"""),"BAGG")</f>
        <v>BAGG</v>
      </c>
      <c r="E9436" s="122" t="str">
        <f>IFERROR(__xludf.DUMMYFUNCTION("""COMPUTED_VALUE"""),"BagVault")</f>
        <v>BagVault</v>
      </c>
      <c r="F9436" s="122" t="str">
        <f>IFERROR(__xludf.DUMMYFUNCTION("""COMPUTED_VALUE"""),"Fashion")</f>
        <v>Fashion</v>
      </c>
    </row>
    <row r="9437">
      <c r="A9437" s="131">
        <f>IFERROR(__xludf.DUMMYFUNCTION("""COMPUTED_VALUE"""),46187.68005787037)</f>
        <v>46187.68006</v>
      </c>
      <c r="B9437" s="126">
        <f>IFERROR(__xludf.DUMMYFUNCTION("""COMPUTED_VALUE"""),46187.0)</f>
        <v>46187</v>
      </c>
      <c r="C9437" s="130">
        <f>IFERROR(__xludf.DUMMYFUNCTION("""COMPUTED_VALUE"""),0.6800578703703704)</f>
        <v>0.6800578704</v>
      </c>
      <c r="D9437" s="122" t="str">
        <f>IFERROR(__xludf.DUMMYFUNCTION("""COMPUTED_VALUE"""),"FAST")</f>
        <v>FAST</v>
      </c>
      <c r="E9437" s="122" t="str">
        <f>IFERROR(__xludf.DUMMYFUNCTION("""COMPUTED_VALUE"""),"Flash Logistics")</f>
        <v>Flash Logistics</v>
      </c>
      <c r="F9437" s="122" t="str">
        <f>IFERROR(__xludf.DUMMYFUNCTION("""COMPUTED_VALUE"""),"Logistics")</f>
        <v>Logistics</v>
      </c>
    </row>
    <row r="9438">
      <c r="A9438" s="131">
        <f>IFERROR(__xludf.DUMMYFUNCTION("""COMPUTED_VALUE"""),46187.68005787037)</f>
        <v>46187.68006</v>
      </c>
      <c r="B9438" s="126">
        <f>IFERROR(__xludf.DUMMYFUNCTION("""COMPUTED_VALUE"""),46187.0)</f>
        <v>46187</v>
      </c>
      <c r="C9438" s="130">
        <f>IFERROR(__xludf.DUMMYFUNCTION("""COMPUTED_VALUE"""),0.6800578703703704)</f>
        <v>0.6800578704</v>
      </c>
      <c r="D9438" s="122" t="str">
        <f>IFERROR(__xludf.DUMMYFUNCTION("""COMPUTED_VALUE"""),"SHIP")</f>
        <v>SHIP</v>
      </c>
      <c r="E9438" s="122" t="str">
        <f>IFERROR(__xludf.DUMMYFUNCTION("""COMPUTED_VALUE"""),"Seoul Shipping")</f>
        <v>Seoul Shipping</v>
      </c>
      <c r="F9438" s="122" t="str">
        <f>IFERROR(__xludf.DUMMYFUNCTION("""COMPUTED_VALUE"""),"Logistics")</f>
        <v>Logistics</v>
      </c>
    </row>
    <row r="9439">
      <c r="A9439" s="131">
        <f>IFERROR(__xludf.DUMMYFUNCTION("""COMPUTED_VALUE"""),46187.68005787037)</f>
        <v>46187.68006</v>
      </c>
      <c r="B9439" s="126">
        <f>IFERROR(__xludf.DUMMYFUNCTION("""COMPUTED_VALUE"""),46187.0)</f>
        <v>46187</v>
      </c>
      <c r="C9439" s="130">
        <f>IFERROR(__xludf.DUMMYFUNCTION("""COMPUTED_VALUE"""),0.6800578703703704)</f>
        <v>0.6800578704</v>
      </c>
      <c r="D9439" s="122" t="str">
        <f>IFERROR(__xludf.DUMMYFUNCTION("""COMPUTED_VALUE"""),"DRON")</f>
        <v>DRON</v>
      </c>
      <c r="E9439" s="122" t="str">
        <f>IFERROR(__xludf.DUMMYFUNCTION("""COMPUTED_VALUE"""),"DroneDrop")</f>
        <v>DroneDrop</v>
      </c>
      <c r="F9439" s="122" t="str">
        <f>IFERROR(__xludf.DUMMYFUNCTION("""COMPUTED_VALUE"""),"Logistics")</f>
        <v>Logistics</v>
      </c>
    </row>
    <row r="9440">
      <c r="A9440" s="131">
        <f>IFERROR(__xludf.DUMMYFUNCTION("""COMPUTED_VALUE"""),46187.68005787037)</f>
        <v>46187.68006</v>
      </c>
      <c r="B9440" s="126">
        <f>IFERROR(__xludf.DUMMYFUNCTION("""COMPUTED_VALUE"""),46187.0)</f>
        <v>46187</v>
      </c>
      <c r="C9440" s="130">
        <f>IFERROR(__xludf.DUMMYFUNCTION("""COMPUTED_VALUE"""),0.6800578703703704)</f>
        <v>0.6800578704</v>
      </c>
      <c r="D9440" s="122" t="str">
        <f>IFERROR(__xludf.DUMMYFUNCTION("""COMPUTED_VALUE"""),"RIDE")</f>
        <v>RIDE</v>
      </c>
      <c r="E9440" s="122" t="str">
        <f>IFERROR(__xludf.DUMMYFUNCTION("""COMPUTED_VALUE"""),"QuickRide")</f>
        <v>QuickRide</v>
      </c>
      <c r="F9440" s="122" t="str">
        <f>IFERROR(__xludf.DUMMYFUNCTION("""COMPUTED_VALUE"""),"Transportation")</f>
        <v>Transportation</v>
      </c>
    </row>
    <row r="9441">
      <c r="A9441" s="131">
        <f>IFERROR(__xludf.DUMMYFUNCTION("""COMPUTED_VALUE"""),46187.68005787037)</f>
        <v>46187.68006</v>
      </c>
      <c r="B9441" s="126">
        <f>IFERROR(__xludf.DUMMYFUNCTION("""COMPUTED_VALUE"""),46187.0)</f>
        <v>46187</v>
      </c>
      <c r="C9441" s="130">
        <f>IFERROR(__xludf.DUMMYFUNCTION("""COMPUTED_VALUE"""),0.6800578703703704)</f>
        <v>0.6800578704</v>
      </c>
      <c r="D9441" s="122" t="str">
        <f>IFERROR(__xludf.DUMMYFUNCTION("""COMPUTED_VALUE"""),"RAIL")</f>
        <v>RAIL</v>
      </c>
      <c r="E9441" s="122" t="str">
        <f>IFERROR(__xludf.DUMMYFUNCTION("""COMPUTED_VALUE"""),"MetroRail Corp")</f>
        <v>MetroRail Corp</v>
      </c>
      <c r="F9441" s="122" t="str">
        <f>IFERROR(__xludf.DUMMYFUNCTION("""COMPUTED_VALUE"""),"Transportation")</f>
        <v>Transportation</v>
      </c>
    </row>
    <row r="9442">
      <c r="A9442" s="131">
        <f>IFERROR(__xludf.DUMMYFUNCTION("""COMPUTED_VALUE"""),46187.68005787037)</f>
        <v>46187.68006</v>
      </c>
      <c r="B9442" s="126">
        <f>IFERROR(__xludf.DUMMYFUNCTION("""COMPUTED_VALUE"""),46187.0)</f>
        <v>46187</v>
      </c>
      <c r="C9442" s="130">
        <f>IFERROR(__xludf.DUMMYFUNCTION("""COMPUTED_VALUE"""),0.6800578703703704)</f>
        <v>0.6800578704</v>
      </c>
      <c r="D9442" s="122" t="str">
        <f>IFERROR(__xludf.DUMMYFUNCTION("""COMPUTED_VALUE"""),"MEDX")</f>
        <v>MEDX</v>
      </c>
      <c r="E9442" s="122" t="str">
        <f>IFERROR(__xludf.DUMMYFUNCTION("""COMPUTED_VALUE"""),"MediCore")</f>
        <v>MediCore</v>
      </c>
      <c r="F9442" s="122" t="str">
        <f>IFERROR(__xludf.DUMMYFUNCTION("""COMPUTED_VALUE"""),"Healthcare")</f>
        <v>Healthcare</v>
      </c>
    </row>
    <row r="9443">
      <c r="A9443" s="131">
        <f>IFERROR(__xludf.DUMMYFUNCTION("""COMPUTED_VALUE"""),46187.68005787037)</f>
        <v>46187.68006</v>
      </c>
      <c r="B9443" s="126">
        <f>IFERROR(__xludf.DUMMYFUNCTION("""COMPUTED_VALUE"""),46187.0)</f>
        <v>46187</v>
      </c>
      <c r="C9443" s="130">
        <f>IFERROR(__xludf.DUMMYFUNCTION("""COMPUTED_VALUE"""),0.6800578703703704)</f>
        <v>0.6800578704</v>
      </c>
      <c r="D9443" s="122" t="str">
        <f>IFERROR(__xludf.DUMMYFUNCTION("""COMPUTED_VALUE"""),"GYMX")</f>
        <v>GYMX</v>
      </c>
      <c r="E9443" s="122" t="str">
        <f>IFERROR(__xludf.DUMMYFUNCTION("""COMPUTED_VALUE"""),"GymX Fitness")</f>
        <v>GymX Fitness</v>
      </c>
      <c r="F9443" s="122" t="str">
        <f>IFERROR(__xludf.DUMMYFUNCTION("""COMPUTED_VALUE"""),"Healthcare")</f>
        <v>Healthcare</v>
      </c>
    </row>
    <row r="9444">
      <c r="A9444" s="131">
        <f>IFERROR(__xludf.DUMMYFUNCTION("""COMPUTED_VALUE"""),46187.68005787037)</f>
        <v>46187.68006</v>
      </c>
      <c r="B9444" s="126">
        <f>IFERROR(__xludf.DUMMYFUNCTION("""COMPUTED_VALUE"""),46187.0)</f>
        <v>46187</v>
      </c>
      <c r="C9444" s="130">
        <f>IFERROR(__xludf.DUMMYFUNCTION("""COMPUTED_VALUE"""),0.6800578703703704)</f>
        <v>0.6800578704</v>
      </c>
      <c r="D9444" s="122" t="str">
        <f>IFERROR(__xludf.DUMMYFUNCTION("""COMPUTED_VALUE"""),"VITA")</f>
        <v>VITA</v>
      </c>
      <c r="E9444" s="122" t="str">
        <f>IFERROR(__xludf.DUMMYFUNCTION("""COMPUTED_VALUE"""),"VitaPlus")</f>
        <v>VitaPlus</v>
      </c>
      <c r="F9444" s="122" t="str">
        <f>IFERROR(__xludf.DUMMYFUNCTION("""COMPUTED_VALUE"""),"Healthcare")</f>
        <v>Healthcare</v>
      </c>
    </row>
    <row r="9445">
      <c r="A9445" s="131">
        <f>IFERROR(__xludf.DUMMYFUNCTION("""COMPUTED_VALUE"""),46187.68005787037)</f>
        <v>46187.68006</v>
      </c>
      <c r="B9445" s="126">
        <f>IFERROR(__xludf.DUMMYFUNCTION("""COMPUTED_VALUE"""),46187.0)</f>
        <v>46187</v>
      </c>
      <c r="C9445" s="130">
        <f>IFERROR(__xludf.DUMMYFUNCTION("""COMPUTED_VALUE"""),0.6800578703703704)</f>
        <v>0.6800578704</v>
      </c>
      <c r="D9445" s="122" t="str">
        <f>IFERROR(__xludf.DUMMYFUNCTION("""COMPUTED_VALUE"""),"CARE")</f>
        <v>CARE</v>
      </c>
      <c r="E9445" s="122" t="str">
        <f>IFERROR(__xludf.DUMMYFUNCTION("""COMPUTED_VALUE"""),"CareCloud")</f>
        <v>CareCloud</v>
      </c>
      <c r="F9445" s="122" t="str">
        <f>IFERROR(__xludf.DUMMYFUNCTION("""COMPUTED_VALUE"""),"Healthcare")</f>
        <v>Healthcare</v>
      </c>
    </row>
    <row r="9446">
      <c r="A9446" s="131">
        <f>IFERROR(__xludf.DUMMYFUNCTION("""COMPUTED_VALUE"""),46187.68005787037)</f>
        <v>46187.68006</v>
      </c>
      <c r="B9446" s="126">
        <f>IFERROR(__xludf.DUMMYFUNCTION("""COMPUTED_VALUE"""),46187.0)</f>
        <v>46187</v>
      </c>
      <c r="C9446" s="130">
        <f>IFERROR(__xludf.DUMMYFUNCTION("""COMPUTED_VALUE"""),0.6800578703703704)</f>
        <v>0.6800578704</v>
      </c>
      <c r="D9446" s="122" t="str">
        <f>IFERROR(__xludf.DUMMYFUNCTION("""COMPUTED_VALUE"""),"DENT")</f>
        <v>DENT</v>
      </c>
      <c r="E9446" s="122" t="str">
        <f>IFERROR(__xludf.DUMMYFUNCTION("""COMPUTED_VALUE"""),"SmileWorks")</f>
        <v>SmileWorks</v>
      </c>
      <c r="F9446" s="122" t="str">
        <f>IFERROR(__xludf.DUMMYFUNCTION("""COMPUTED_VALUE"""),"Healthcare")</f>
        <v>Healthcare</v>
      </c>
    </row>
    <row r="9447">
      <c r="A9447" s="131">
        <f>IFERROR(__xludf.DUMMYFUNCTION("""COMPUTED_VALUE"""),46187.68005787037)</f>
        <v>46187.68006</v>
      </c>
      <c r="B9447" s="126">
        <f>IFERROR(__xludf.DUMMYFUNCTION("""COMPUTED_VALUE"""),46187.0)</f>
        <v>46187</v>
      </c>
      <c r="C9447" s="130">
        <f>IFERROR(__xludf.DUMMYFUNCTION("""COMPUTED_VALUE"""),0.6800578703703704)</f>
        <v>0.6800578704</v>
      </c>
      <c r="D9447" s="122" t="str">
        <f>IFERROR(__xludf.DUMMYFUNCTION("""COMPUTED_VALUE"""),"EDUX")</f>
        <v>EDUX</v>
      </c>
      <c r="E9447" s="122" t="str">
        <f>IFERROR(__xludf.DUMMYFUNCTION("""COMPUTED_VALUE"""),"EduMax Learning")</f>
        <v>EduMax Learning</v>
      </c>
      <c r="F9447" s="122" t="str">
        <f>IFERROR(__xludf.DUMMYFUNCTION("""COMPUTED_VALUE"""),"Education")</f>
        <v>Education</v>
      </c>
    </row>
    <row r="9448">
      <c r="A9448" s="131">
        <f>IFERROR(__xludf.DUMMYFUNCTION("""COMPUTED_VALUE"""),46187.68005787037)</f>
        <v>46187.68006</v>
      </c>
      <c r="B9448" s="126">
        <f>IFERROR(__xludf.DUMMYFUNCTION("""COMPUTED_VALUE"""),46187.0)</f>
        <v>46187</v>
      </c>
      <c r="C9448" s="130">
        <f>IFERROR(__xludf.DUMMYFUNCTION("""COMPUTED_VALUE"""),0.6800578703703704)</f>
        <v>0.6800578704</v>
      </c>
      <c r="D9448" s="122" t="str">
        <f>IFERROR(__xludf.DUMMYFUNCTION("""COMPUTED_VALUE"""),"BOOK")</f>
        <v>BOOK</v>
      </c>
      <c r="E9448" s="122" t="str">
        <f>IFERROR(__xludf.DUMMYFUNCTION("""COMPUTED_VALUE"""),"BookBridge")</f>
        <v>BookBridge</v>
      </c>
      <c r="F9448" s="122" t="str">
        <f>IFERROR(__xludf.DUMMYFUNCTION("""COMPUTED_VALUE"""),"Education")</f>
        <v>Education</v>
      </c>
    </row>
    <row r="9449">
      <c r="A9449" s="131">
        <f>IFERROR(__xludf.DUMMYFUNCTION("""COMPUTED_VALUE"""),46187.68005787037)</f>
        <v>46187.68006</v>
      </c>
      <c r="B9449" s="126">
        <f>IFERROR(__xludf.DUMMYFUNCTION("""COMPUTED_VALUE"""),46187.0)</f>
        <v>46187</v>
      </c>
      <c r="C9449" s="130">
        <f>IFERROR(__xludf.DUMMYFUNCTION("""COMPUTED_VALUE"""),0.6800578703703704)</f>
        <v>0.6800578704</v>
      </c>
      <c r="D9449" s="122" t="str">
        <f>IFERROR(__xludf.DUMMYFUNCTION("""COMPUTED_VALUE"""),"TUTR")</f>
        <v>TUTR</v>
      </c>
      <c r="E9449" s="122" t="str">
        <f>IFERROR(__xludf.DUMMYFUNCTION("""COMPUTED_VALUE"""),"TutorTown")</f>
        <v>TutorTown</v>
      </c>
      <c r="F9449" s="122" t="str">
        <f>IFERROR(__xludf.DUMMYFUNCTION("""COMPUTED_VALUE"""),"Education")</f>
        <v>Education</v>
      </c>
    </row>
    <row r="9450">
      <c r="A9450" s="131">
        <f>IFERROR(__xludf.DUMMYFUNCTION("""COMPUTED_VALUE"""),46187.68005787037)</f>
        <v>46187.68006</v>
      </c>
      <c r="B9450" s="126">
        <f>IFERROR(__xludf.DUMMYFUNCTION("""COMPUTED_VALUE"""),46187.0)</f>
        <v>46187</v>
      </c>
      <c r="C9450" s="130">
        <f>IFERROR(__xludf.DUMMYFUNCTION("""COMPUTED_VALUE"""),0.6800578703703704)</f>
        <v>0.6800578704</v>
      </c>
      <c r="D9450" s="122" t="str">
        <f>IFERROR(__xludf.DUMMYFUNCTION("""COMPUTED_VALUE"""),"LANG")</f>
        <v>LANG</v>
      </c>
      <c r="E9450" s="122" t="str">
        <f>IFERROR(__xludf.DUMMYFUNCTION("""COMPUTED_VALUE"""),"LinguaLab")</f>
        <v>LinguaLab</v>
      </c>
      <c r="F9450" s="122" t="str">
        <f>IFERROR(__xludf.DUMMYFUNCTION("""COMPUTED_VALUE"""),"Education")</f>
        <v>Education</v>
      </c>
    </row>
    <row r="9451">
      <c r="A9451" s="131">
        <f>IFERROR(__xludf.DUMMYFUNCTION("""COMPUTED_VALUE"""),46187.68005787037)</f>
        <v>46187.68006</v>
      </c>
      <c r="B9451" s="126">
        <f>IFERROR(__xludf.DUMMYFUNCTION("""COMPUTED_VALUE"""),46187.0)</f>
        <v>46187</v>
      </c>
      <c r="C9451" s="130">
        <f>IFERROR(__xludf.DUMMYFUNCTION("""COMPUTED_VALUE"""),0.6800578703703704)</f>
        <v>0.6800578704</v>
      </c>
      <c r="D9451" s="122" t="str">
        <f>IFERROR(__xludf.DUMMYFUNCTION("""COMPUTED_VALUE"""),"TEST")</f>
        <v>TEST</v>
      </c>
      <c r="E9451" s="122" t="str">
        <f>IFERROR(__xludf.DUMMYFUNCTION("""COMPUTED_VALUE"""),"TestPrep Pro")</f>
        <v>TestPrep Pro</v>
      </c>
      <c r="F9451" s="122" t="str">
        <f>IFERROR(__xludf.DUMMYFUNCTION("""COMPUTED_VALUE"""),"Education")</f>
        <v>Education</v>
      </c>
    </row>
    <row r="9452">
      <c r="A9452" s="131">
        <f>IFERROR(__xludf.DUMMYFUNCTION("""COMPUTED_VALUE"""),46187.68005787037)</f>
        <v>46187.68006</v>
      </c>
      <c r="B9452" s="126">
        <f>IFERROR(__xludf.DUMMYFUNCTION("""COMPUTED_VALUE"""),46187.0)</f>
        <v>46187</v>
      </c>
      <c r="C9452" s="130">
        <f>IFERROR(__xludf.DUMMYFUNCTION("""COMPUTED_VALUE"""),0.6800578703703704)</f>
        <v>0.6800578704</v>
      </c>
      <c r="D9452" s="122" t="str">
        <f>IFERROR(__xludf.DUMMYFUNCTION("""COMPUTED_VALUE"""),"MOVI")</f>
        <v>MOVI</v>
      </c>
      <c r="E9452" s="122" t="str">
        <f>IFERROR(__xludf.DUMMYFUNCTION("""COMPUTED_VALUE"""),"MovieBox")</f>
        <v>MovieBox</v>
      </c>
      <c r="F9452" s="122" t="str">
        <f>IFERROR(__xludf.DUMMYFUNCTION("""COMPUTED_VALUE"""),"Entertainment")</f>
        <v>Entertainment</v>
      </c>
    </row>
    <row r="9453">
      <c r="A9453" s="131">
        <f>IFERROR(__xludf.DUMMYFUNCTION("""COMPUTED_VALUE"""),46187.68005787037)</f>
        <v>46187.68006</v>
      </c>
      <c r="B9453" s="126">
        <f>IFERROR(__xludf.DUMMYFUNCTION("""COMPUTED_VALUE"""),46187.0)</f>
        <v>46187</v>
      </c>
      <c r="C9453" s="130">
        <f>IFERROR(__xludf.DUMMYFUNCTION("""COMPUTED_VALUE"""),0.6800578703703704)</f>
        <v>0.6800578704</v>
      </c>
      <c r="D9453" s="122" t="str">
        <f>IFERROR(__xludf.DUMMYFUNCTION("""COMPUTED_VALUE"""),"MUSC")</f>
        <v>MUSC</v>
      </c>
      <c r="E9453" s="122" t="str">
        <f>IFERROR(__xludf.DUMMYFUNCTION("""COMPUTED_VALUE"""),"MusicWave")</f>
        <v>MusicWave</v>
      </c>
      <c r="F9453" s="122" t="str">
        <f>IFERROR(__xludf.DUMMYFUNCTION("""COMPUTED_VALUE"""),"Entertainment")</f>
        <v>Entertainment</v>
      </c>
    </row>
    <row r="9454">
      <c r="A9454" s="131">
        <f>IFERROR(__xludf.DUMMYFUNCTION("""COMPUTED_VALUE"""),46187.68005787037)</f>
        <v>46187.68006</v>
      </c>
      <c r="B9454" s="126">
        <f>IFERROR(__xludf.DUMMYFUNCTION("""COMPUTED_VALUE"""),46187.0)</f>
        <v>46187</v>
      </c>
      <c r="C9454" s="130">
        <f>IFERROR(__xludf.DUMMYFUNCTION("""COMPUTED_VALUE"""),0.6800578703703704)</f>
        <v>0.6800578704</v>
      </c>
      <c r="D9454" s="122" t="str">
        <f>IFERROR(__xludf.DUMMYFUNCTION("""COMPUTED_VALUE"""),"IDOL")</f>
        <v>IDOL</v>
      </c>
      <c r="E9454" s="122" t="str">
        <f>IFERROR(__xludf.DUMMYFUNCTION("""COMPUTED_VALUE"""),"Idol Agency")</f>
        <v>Idol Agency</v>
      </c>
      <c r="F9454" s="122" t="str">
        <f>IFERROR(__xludf.DUMMYFUNCTION("""COMPUTED_VALUE"""),"Entertainment")</f>
        <v>Entertainment</v>
      </c>
    </row>
    <row r="9455">
      <c r="A9455" s="131">
        <f>IFERROR(__xludf.DUMMYFUNCTION("""COMPUTED_VALUE"""),46187.68005787037)</f>
        <v>46187.68006</v>
      </c>
      <c r="B9455" s="126">
        <f>IFERROR(__xludf.DUMMYFUNCTION("""COMPUTED_VALUE"""),46187.0)</f>
        <v>46187</v>
      </c>
      <c r="C9455" s="130">
        <f>IFERROR(__xludf.DUMMYFUNCTION("""COMPUTED_VALUE"""),0.6800578703703704)</f>
        <v>0.6800578704</v>
      </c>
      <c r="D9455" s="122" t="str">
        <f>IFERROR(__xludf.DUMMYFUNCTION("""COMPUTED_VALUE"""),"MEME")</f>
        <v>MEME</v>
      </c>
      <c r="E9455" s="122" t="str">
        <f>IFERROR(__xludf.DUMMYFUNCTION("""COMPUTED_VALUE"""),"Meme Media")</f>
        <v>Meme Media</v>
      </c>
      <c r="F9455" s="122" t="str">
        <f>IFERROR(__xludf.DUMMYFUNCTION("""COMPUTED_VALUE"""),"Entertainment")</f>
        <v>Entertainment</v>
      </c>
    </row>
    <row r="9456">
      <c r="A9456" s="131">
        <f>IFERROR(__xludf.DUMMYFUNCTION("""COMPUTED_VALUE"""),46187.68005787037)</f>
        <v>46187.68006</v>
      </c>
      <c r="B9456" s="126">
        <f>IFERROR(__xludf.DUMMYFUNCTION("""COMPUTED_VALUE"""),46187.0)</f>
        <v>46187</v>
      </c>
      <c r="C9456" s="130">
        <f>IFERROR(__xludf.DUMMYFUNCTION("""COMPUTED_VALUE"""),0.6800578703703704)</f>
        <v>0.6800578704</v>
      </c>
      <c r="D9456" s="122" t="str">
        <f>IFERROR(__xludf.DUMMYFUNCTION("""COMPUTED_VALUE"""),"STRM")</f>
        <v>STRM</v>
      </c>
      <c r="E9456" s="122" t="str">
        <f>IFERROR(__xludf.DUMMYFUNCTION("""COMPUTED_VALUE"""),"Streamly")</f>
        <v>Streamly</v>
      </c>
      <c r="F9456" s="122" t="str">
        <f>IFERROR(__xludf.DUMMYFUNCTION("""COMPUTED_VALUE"""),"Entertainment")</f>
        <v>Entertainment</v>
      </c>
    </row>
    <row r="9457">
      <c r="A9457" s="131">
        <f>IFERROR(__xludf.DUMMYFUNCTION("""COMPUTED_VALUE"""),46187.68005787037)</f>
        <v>46187.68006</v>
      </c>
      <c r="B9457" s="126">
        <f>IFERROR(__xludf.DUMMYFUNCTION("""COMPUTED_VALUE"""),46187.0)</f>
        <v>46187</v>
      </c>
      <c r="C9457" s="130">
        <f>IFERROR(__xludf.DUMMYFUNCTION("""COMPUTED_VALUE"""),0.6800578703703704)</f>
        <v>0.6800578704</v>
      </c>
      <c r="D9457" s="122" t="str">
        <f>IFERROR(__xludf.DUMMYFUNCTION("""COMPUTED_VALUE"""),"FARM")</f>
        <v>FARM</v>
      </c>
      <c r="E9457" s="122" t="str">
        <f>IFERROR(__xludf.DUMMYFUNCTION("""COMPUTED_VALUE"""),"Future Farms")</f>
        <v>Future Farms</v>
      </c>
      <c r="F9457" s="122" t="str">
        <f>IFERROR(__xludf.DUMMYFUNCTION("""COMPUTED_VALUE"""),"Agriculture")</f>
        <v>Agriculture</v>
      </c>
    </row>
    <row r="9458">
      <c r="A9458" s="131">
        <f>IFERROR(__xludf.DUMMYFUNCTION("""COMPUTED_VALUE"""),46187.68005787037)</f>
        <v>46187.68006</v>
      </c>
      <c r="B9458" s="126">
        <f>IFERROR(__xludf.DUMMYFUNCTION("""COMPUTED_VALUE"""),46187.0)</f>
        <v>46187</v>
      </c>
      <c r="C9458" s="130">
        <f>IFERROR(__xludf.DUMMYFUNCTION("""COMPUTED_VALUE"""),0.6800578703703704)</f>
        <v>0.6800578704</v>
      </c>
      <c r="D9458" s="122" t="str">
        <f>IFERROR(__xludf.DUMMYFUNCTION("""COMPUTED_VALUE"""),"MEAT")</f>
        <v>MEAT</v>
      </c>
      <c r="E9458" s="122" t="str">
        <f>IFERROR(__xludf.DUMMYFUNCTION("""COMPUTED_VALUE"""),"MeatWorks")</f>
        <v>MeatWorks</v>
      </c>
      <c r="F9458" s="122" t="str">
        <f>IFERROR(__xludf.DUMMYFUNCTION("""COMPUTED_VALUE"""),"Food")</f>
        <v>Food</v>
      </c>
    </row>
    <row r="9459">
      <c r="A9459" s="131">
        <f>IFERROR(__xludf.DUMMYFUNCTION("""COMPUTED_VALUE"""),46187.68005787037)</f>
        <v>46187.68006</v>
      </c>
      <c r="B9459" s="126">
        <f>IFERROR(__xludf.DUMMYFUNCTION("""COMPUTED_VALUE"""),46187.0)</f>
        <v>46187</v>
      </c>
      <c r="C9459" s="130">
        <f>IFERROR(__xludf.DUMMYFUNCTION("""COMPUTED_VALUE"""),0.6800578703703704)</f>
        <v>0.6800578704</v>
      </c>
      <c r="D9459" s="122" t="str">
        <f>IFERROR(__xludf.DUMMYFUNCTION("""COMPUTED_VALUE"""),"VEGI")</f>
        <v>VEGI</v>
      </c>
      <c r="E9459" s="122" t="str">
        <f>IFERROR(__xludf.DUMMYFUNCTION("""COMPUTED_VALUE"""),"Green Basket")</f>
        <v>Green Basket</v>
      </c>
      <c r="F9459" s="122" t="str">
        <f>IFERROR(__xludf.DUMMYFUNCTION("""COMPUTED_VALUE"""),"Food")</f>
        <v>Food</v>
      </c>
    </row>
    <row r="9460">
      <c r="A9460" s="131">
        <f>IFERROR(__xludf.DUMMYFUNCTION("""COMPUTED_VALUE"""),46187.68005787037)</f>
        <v>46187.68006</v>
      </c>
      <c r="B9460" s="126">
        <f>IFERROR(__xludf.DUMMYFUNCTION("""COMPUTED_VALUE"""),46187.0)</f>
        <v>46187</v>
      </c>
      <c r="C9460" s="130">
        <f>IFERROR(__xludf.DUMMYFUNCTION("""COMPUTED_VALUE"""),0.6800578703703704)</f>
        <v>0.6800578704</v>
      </c>
      <c r="D9460" s="122" t="str">
        <f>IFERROR(__xludf.DUMMYFUNCTION("""COMPUTED_VALUE"""),"CAFE")</f>
        <v>CAFE</v>
      </c>
      <c r="E9460" s="122" t="str">
        <f>IFERROR(__xludf.DUMMYFUNCTION("""COMPUTED_VALUE"""),"Cafe Cloud")</f>
        <v>Cafe Cloud</v>
      </c>
      <c r="F9460" s="122" t="str">
        <f>IFERROR(__xludf.DUMMYFUNCTION("""COMPUTED_VALUE"""),"Food")</f>
        <v>Food</v>
      </c>
    </row>
    <row r="9461">
      <c r="A9461" s="131">
        <f>IFERROR(__xludf.DUMMYFUNCTION("""COMPUTED_VALUE"""),46187.68005787037)</f>
        <v>46187.68006</v>
      </c>
      <c r="B9461" s="126">
        <f>IFERROR(__xludf.DUMMYFUNCTION("""COMPUTED_VALUE"""),46187.0)</f>
        <v>46187</v>
      </c>
      <c r="C9461" s="130">
        <f>IFERROR(__xludf.DUMMYFUNCTION("""COMPUTED_VALUE"""),0.6800578703703704)</f>
        <v>0.6800578704</v>
      </c>
      <c r="D9461" s="122" t="str">
        <f>IFERROR(__xludf.DUMMYFUNCTION("""COMPUTED_VALUE"""),"BAKE")</f>
        <v>BAKE</v>
      </c>
      <c r="E9461" s="122" t="str">
        <f>IFERROR(__xludf.DUMMYFUNCTION("""COMPUTED_VALUE"""),"BakeHouse")</f>
        <v>BakeHouse</v>
      </c>
      <c r="F9461" s="122" t="str">
        <f>IFERROR(__xludf.DUMMYFUNCTION("""COMPUTED_VALUE"""),"Food")</f>
        <v>Food</v>
      </c>
    </row>
    <row r="9462">
      <c r="A9462" s="131">
        <f>IFERROR(__xludf.DUMMYFUNCTION("""COMPUTED_VALUE"""),46187.68005787037)</f>
        <v>46187.68006</v>
      </c>
      <c r="B9462" s="126">
        <f>IFERROR(__xludf.DUMMYFUNCTION("""COMPUTED_VALUE"""),46187.0)</f>
        <v>46187</v>
      </c>
      <c r="C9462" s="130">
        <f>IFERROR(__xludf.DUMMYFUNCTION("""COMPUTED_VALUE"""),0.6800578703703704)</f>
        <v>0.6800578704</v>
      </c>
      <c r="D9462" s="122" t="str">
        <f>IFERROR(__xludf.DUMMYFUNCTION("""COMPUTED_VALUE"""),"OILX")</f>
        <v>OILX</v>
      </c>
      <c r="E9462" s="122" t="str">
        <f>IFERROR(__xludf.DUMMYFUNCTION("""COMPUTED_VALUE"""),"OilMax Energy")</f>
        <v>OilMax Energy</v>
      </c>
      <c r="F9462" s="122" t="str">
        <f>IFERROR(__xludf.DUMMYFUNCTION("""COMPUTED_VALUE"""),"Energy")</f>
        <v>Energy</v>
      </c>
    </row>
    <row r="9463">
      <c r="A9463" s="131">
        <f>IFERROR(__xludf.DUMMYFUNCTION("""COMPUTED_VALUE"""),46187.68005787037)</f>
        <v>46187.68006</v>
      </c>
      <c r="B9463" s="126">
        <f>IFERROR(__xludf.DUMMYFUNCTION("""COMPUTED_VALUE"""),46187.0)</f>
        <v>46187</v>
      </c>
      <c r="C9463" s="130">
        <f>IFERROR(__xludf.DUMMYFUNCTION("""COMPUTED_VALUE"""),0.6800578703703704)</f>
        <v>0.6800578704</v>
      </c>
      <c r="D9463" s="122" t="str">
        <f>IFERROR(__xludf.DUMMYFUNCTION("""COMPUTED_VALUE"""),"SOLR")</f>
        <v>SOLR</v>
      </c>
      <c r="E9463" s="122" t="str">
        <f>IFERROR(__xludf.DUMMYFUNCTION("""COMPUTED_VALUE"""),"SolarSpark")</f>
        <v>SolarSpark</v>
      </c>
      <c r="F9463" s="122" t="str">
        <f>IFERROR(__xludf.DUMMYFUNCTION("""COMPUTED_VALUE"""),"Energy")</f>
        <v>Energy</v>
      </c>
    </row>
    <row r="9464">
      <c r="A9464" s="131">
        <f>IFERROR(__xludf.DUMMYFUNCTION("""COMPUTED_VALUE"""),46187.68005787037)</f>
        <v>46187.68006</v>
      </c>
      <c r="B9464" s="126">
        <f>IFERROR(__xludf.DUMMYFUNCTION("""COMPUTED_VALUE"""),46187.0)</f>
        <v>46187</v>
      </c>
      <c r="C9464" s="130">
        <f>IFERROR(__xludf.DUMMYFUNCTION("""COMPUTED_VALUE"""),0.6800578703703704)</f>
        <v>0.6800578704</v>
      </c>
      <c r="D9464" s="122" t="str">
        <f>IFERROR(__xludf.DUMMYFUNCTION("""COMPUTED_VALUE"""),"BATT")</f>
        <v>BATT</v>
      </c>
      <c r="E9464" s="122" t="str">
        <f>IFERROR(__xludf.DUMMYFUNCTION("""COMPUTED_VALUE"""),"BatteryBox")</f>
        <v>BatteryBox</v>
      </c>
      <c r="F9464" s="122" t="str">
        <f>IFERROR(__xludf.DUMMYFUNCTION("""COMPUTED_VALUE"""),"Energy")</f>
        <v>Energy</v>
      </c>
    </row>
    <row r="9465">
      <c r="A9465" s="131">
        <f>IFERROR(__xludf.DUMMYFUNCTION("""COMPUTED_VALUE"""),46187.68005787037)</f>
        <v>46187.68006</v>
      </c>
      <c r="B9465" s="126">
        <f>IFERROR(__xludf.DUMMYFUNCTION("""COMPUTED_VALUE"""),46187.0)</f>
        <v>46187</v>
      </c>
      <c r="C9465" s="130">
        <f>IFERROR(__xludf.DUMMYFUNCTION("""COMPUTED_VALUE"""),0.6800578703703704)</f>
        <v>0.6800578704</v>
      </c>
      <c r="D9465" s="122" t="str">
        <f>IFERROR(__xludf.DUMMYFUNCTION("""COMPUTED_VALUE"""),"WIND")</f>
        <v>WIND</v>
      </c>
      <c r="E9465" s="122" t="str">
        <f>IFERROR(__xludf.DUMMYFUNCTION("""COMPUTED_VALUE"""),"WindWorks")</f>
        <v>WindWorks</v>
      </c>
      <c r="F9465" s="122" t="str">
        <f>IFERROR(__xludf.DUMMYFUNCTION("""COMPUTED_VALUE"""),"Energy")</f>
        <v>Energy</v>
      </c>
    </row>
    <row r="9466">
      <c r="A9466" s="131">
        <f>IFERROR(__xludf.DUMMYFUNCTION("""COMPUTED_VALUE"""),46187.68005787037)</f>
        <v>46187.68006</v>
      </c>
      <c r="B9466" s="126">
        <f>IFERROR(__xludf.DUMMYFUNCTION("""COMPUTED_VALUE"""),46187.0)</f>
        <v>46187</v>
      </c>
      <c r="C9466" s="130">
        <f>IFERROR(__xludf.DUMMYFUNCTION("""COMPUTED_VALUE"""),0.6800578703703704)</f>
        <v>0.6800578704</v>
      </c>
      <c r="D9466" s="122" t="str">
        <f>IFERROR(__xludf.DUMMYFUNCTION("""COMPUTED_VALUE"""),"GRID")</f>
        <v>GRID</v>
      </c>
      <c r="E9466" s="122" t="str">
        <f>IFERROR(__xludf.DUMMYFUNCTION("""COMPUTED_VALUE"""),"GridPower")</f>
        <v>GridPower</v>
      </c>
      <c r="F9466" s="122" t="str">
        <f>IFERROR(__xludf.DUMMYFUNCTION("""COMPUTED_VALUE"""),"Energy")</f>
        <v>Energy</v>
      </c>
    </row>
    <row r="9467">
      <c r="A9467" s="131">
        <f>IFERROR(__xludf.DUMMYFUNCTION("""COMPUTED_VALUE"""),46187.68005787037)</f>
        <v>46187.68006</v>
      </c>
      <c r="B9467" s="126">
        <f>IFERROR(__xludf.DUMMYFUNCTION("""COMPUTED_VALUE"""),46187.0)</f>
        <v>46187</v>
      </c>
      <c r="C9467" s="130">
        <f>IFERROR(__xludf.DUMMYFUNCTION("""COMPUTED_VALUE"""),0.6800578703703704)</f>
        <v>0.6800578704</v>
      </c>
      <c r="D9467" s="122" t="str">
        <f>IFERROR(__xludf.DUMMYFUNCTION("""COMPUTED_VALUE"""),"HOME")</f>
        <v>HOME</v>
      </c>
      <c r="E9467" s="122" t="str">
        <f>IFERROR(__xludf.DUMMYFUNCTION("""COMPUTED_VALUE"""),"HomeHub")</f>
        <v>HomeHub</v>
      </c>
      <c r="F9467" s="122" t="str">
        <f>IFERROR(__xludf.DUMMYFUNCTION("""COMPUTED_VALUE"""),"Real Estate")</f>
        <v>Real Estate</v>
      </c>
    </row>
    <row r="9468">
      <c r="A9468" s="131">
        <f>IFERROR(__xludf.DUMMYFUNCTION("""COMPUTED_VALUE"""),46187.68005787037)</f>
        <v>46187.68006</v>
      </c>
      <c r="B9468" s="126">
        <f>IFERROR(__xludf.DUMMYFUNCTION("""COMPUTED_VALUE"""),46187.0)</f>
        <v>46187</v>
      </c>
      <c r="C9468" s="130">
        <f>IFERROR(__xludf.DUMMYFUNCTION("""COMPUTED_VALUE"""),0.6800578703703704)</f>
        <v>0.6800578704</v>
      </c>
      <c r="D9468" s="122" t="str">
        <f>IFERROR(__xludf.DUMMYFUNCTION("""COMPUTED_VALUE"""),"RENT")</f>
        <v>RENT</v>
      </c>
      <c r="E9468" s="122" t="str">
        <f>IFERROR(__xludf.DUMMYFUNCTION("""COMPUTED_VALUE"""),"RentRight")</f>
        <v>RentRight</v>
      </c>
      <c r="F9468" s="122" t="str">
        <f>IFERROR(__xludf.DUMMYFUNCTION("""COMPUTED_VALUE"""),"Real Estate")</f>
        <v>Real Estate</v>
      </c>
    </row>
    <row r="9469">
      <c r="A9469" s="131">
        <f>IFERROR(__xludf.DUMMYFUNCTION("""COMPUTED_VALUE"""),46187.68005787037)</f>
        <v>46187.68006</v>
      </c>
      <c r="B9469" s="126">
        <f>IFERROR(__xludf.DUMMYFUNCTION("""COMPUTED_VALUE"""),46187.0)</f>
        <v>46187</v>
      </c>
      <c r="C9469" s="130">
        <f>IFERROR(__xludf.DUMMYFUNCTION("""COMPUTED_VALUE"""),0.6800578703703704)</f>
        <v>0.6800578704</v>
      </c>
      <c r="D9469" s="122" t="str">
        <f>IFERROR(__xludf.DUMMYFUNCTION("""COMPUTED_VALUE"""),"MALL")</f>
        <v>MALL</v>
      </c>
      <c r="E9469" s="122" t="str">
        <f>IFERROR(__xludf.DUMMYFUNCTION("""COMPUTED_VALUE"""),"MegaMall")</f>
        <v>MegaMall</v>
      </c>
      <c r="F9469" s="122" t="str">
        <f>IFERROR(__xludf.DUMMYFUNCTION("""COMPUTED_VALUE"""),"Real Estate")</f>
        <v>Real Estate</v>
      </c>
    </row>
    <row r="9470">
      <c r="A9470" s="131">
        <f>IFERROR(__xludf.DUMMYFUNCTION("""COMPUTED_VALUE"""),46187.68005787037)</f>
        <v>46187.68006</v>
      </c>
      <c r="B9470" s="126">
        <f>IFERROR(__xludf.DUMMYFUNCTION("""COMPUTED_VALUE"""),46187.0)</f>
        <v>46187</v>
      </c>
      <c r="C9470" s="130">
        <f>IFERROR(__xludf.DUMMYFUNCTION("""COMPUTED_VALUE"""),0.6800578703703704)</f>
        <v>0.6800578704</v>
      </c>
      <c r="D9470" s="122" t="str">
        <f>IFERROR(__xludf.DUMMYFUNCTION("""COMPUTED_VALUE"""),"HOTL")</f>
        <v>HOTL</v>
      </c>
      <c r="E9470" s="122" t="str">
        <f>IFERROR(__xludf.DUMMYFUNCTION("""COMPUTED_VALUE"""),"HotelHive")</f>
        <v>HotelHive</v>
      </c>
      <c r="F9470" s="122" t="str">
        <f>IFERROR(__xludf.DUMMYFUNCTION("""COMPUTED_VALUE"""),"Real Estate")</f>
        <v>Real Estate</v>
      </c>
    </row>
    <row r="9471">
      <c r="A9471" s="131">
        <f>IFERROR(__xludf.DUMMYFUNCTION("""COMPUTED_VALUE"""),46187.68005787037)</f>
        <v>46187.68006</v>
      </c>
      <c r="B9471" s="126">
        <f>IFERROR(__xludf.DUMMYFUNCTION("""COMPUTED_VALUE"""),46187.0)</f>
        <v>46187</v>
      </c>
      <c r="C9471" s="130">
        <f>IFERROR(__xludf.DUMMYFUNCTION("""COMPUTED_VALUE"""),0.6800578703703704)</f>
        <v>0.6800578704</v>
      </c>
      <c r="D9471" s="122" t="str">
        <f>IFERROR(__xludf.DUMMYFUNCTION("""COMPUTED_VALUE"""),"LAND")</f>
        <v>LAND</v>
      </c>
      <c r="E9471" s="122" t="str">
        <f>IFERROR(__xludf.DUMMYFUNCTION("""COMPUTED_VALUE"""),"LandLink")</f>
        <v>LandLink</v>
      </c>
      <c r="F9471" s="122" t="str">
        <f>IFERROR(__xludf.DUMMYFUNCTION("""COMPUTED_VALUE"""),"Real Estate")</f>
        <v>Real Estate</v>
      </c>
    </row>
    <row r="9472">
      <c r="A9472" s="131">
        <f>IFERROR(__xludf.DUMMYFUNCTION("""COMPUTED_VALUE"""),46187.68005787037)</f>
        <v>46187.68006</v>
      </c>
      <c r="B9472" s="126">
        <f>IFERROR(__xludf.DUMMYFUNCTION("""COMPUTED_VALUE"""),46187.0)</f>
        <v>46187</v>
      </c>
      <c r="C9472" s="130">
        <f>IFERROR(__xludf.DUMMYFUNCTION("""COMPUTED_VALUE"""),0.6800578703703704)</f>
        <v>0.6800578704</v>
      </c>
      <c r="D9472" s="122" t="str">
        <f>IFERROR(__xludf.DUMMYFUNCTION("""COMPUTED_VALUE"""),"CARS")</f>
        <v>CARS</v>
      </c>
      <c r="E9472" s="122" t="str">
        <f>IFERROR(__xludf.DUMMYFUNCTION("""COMPUTED_VALUE"""),"AutoArena")</f>
        <v>AutoArena</v>
      </c>
      <c r="F9472" s="122" t="str">
        <f>IFERROR(__xludf.DUMMYFUNCTION("""COMPUTED_VALUE"""),"Automotive")</f>
        <v>Automotive</v>
      </c>
    </row>
    <row r="9473">
      <c r="A9473" s="131">
        <f>IFERROR(__xludf.DUMMYFUNCTION("""COMPUTED_VALUE"""),46187.68005787037)</f>
        <v>46187.68006</v>
      </c>
      <c r="B9473" s="126">
        <f>IFERROR(__xludf.DUMMYFUNCTION("""COMPUTED_VALUE"""),46187.0)</f>
        <v>46187</v>
      </c>
      <c r="C9473" s="130">
        <f>IFERROR(__xludf.DUMMYFUNCTION("""COMPUTED_VALUE"""),0.6800578703703704)</f>
        <v>0.6800578704</v>
      </c>
      <c r="D9473" s="122" t="str">
        <f>IFERROR(__xludf.DUMMYFUNCTION("""COMPUTED_VALUE"""),"EVGO")</f>
        <v>EVGO</v>
      </c>
      <c r="E9473" s="122" t="str">
        <f>IFERROR(__xludf.DUMMYFUNCTION("""COMPUTED_VALUE"""),"EVGo Motors")</f>
        <v>EVGo Motors</v>
      </c>
      <c r="F9473" s="122" t="str">
        <f>IFERROR(__xludf.DUMMYFUNCTION("""COMPUTED_VALUE"""),"Automotive")</f>
        <v>Automotive</v>
      </c>
    </row>
    <row r="9474">
      <c r="A9474" s="131">
        <f>IFERROR(__xludf.DUMMYFUNCTION("""COMPUTED_VALUE"""),46187.68005787037)</f>
        <v>46187.68006</v>
      </c>
      <c r="B9474" s="126">
        <f>IFERROR(__xludf.DUMMYFUNCTION("""COMPUTED_VALUE"""),46187.0)</f>
        <v>46187</v>
      </c>
      <c r="C9474" s="130">
        <f>IFERROR(__xludf.DUMMYFUNCTION("""COMPUTED_VALUE"""),0.6800578703703704)</f>
        <v>0.6800578704</v>
      </c>
      <c r="D9474" s="122" t="str">
        <f>IFERROR(__xludf.DUMMYFUNCTION("""COMPUTED_VALUE"""),"TIRE")</f>
        <v>TIRE</v>
      </c>
      <c r="E9474" s="122" t="str">
        <f>IFERROR(__xludf.DUMMYFUNCTION("""COMPUTED_VALUE"""),"TireTown")</f>
        <v>TireTown</v>
      </c>
      <c r="F9474" s="122" t="str">
        <f>IFERROR(__xludf.DUMMYFUNCTION("""COMPUTED_VALUE"""),"Automotive")</f>
        <v>Automotive</v>
      </c>
    </row>
    <row r="9475">
      <c r="A9475" s="131">
        <f>IFERROR(__xludf.DUMMYFUNCTION("""COMPUTED_VALUE"""),46187.68005787037)</f>
        <v>46187.68006</v>
      </c>
      <c r="B9475" s="126">
        <f>IFERROR(__xludf.DUMMYFUNCTION("""COMPUTED_VALUE"""),46187.0)</f>
        <v>46187</v>
      </c>
      <c r="C9475" s="130">
        <f>IFERROR(__xludf.DUMMYFUNCTION("""COMPUTED_VALUE"""),0.6800578703703704)</f>
        <v>0.6800578704</v>
      </c>
      <c r="D9475" s="122" t="str">
        <f>IFERROR(__xludf.DUMMYFUNCTION("""COMPUTED_VALUE"""),"BIKE")</f>
        <v>BIKE</v>
      </c>
      <c r="E9475" s="122" t="str">
        <f>IFERROR(__xludf.DUMMYFUNCTION("""COMPUTED_VALUE"""),"BikeBox")</f>
        <v>BikeBox</v>
      </c>
      <c r="F9475" s="122" t="str">
        <f>IFERROR(__xludf.DUMMYFUNCTION("""COMPUTED_VALUE"""),"Automotive")</f>
        <v>Automotive</v>
      </c>
    </row>
    <row r="9476">
      <c r="A9476" s="131">
        <f>IFERROR(__xludf.DUMMYFUNCTION("""COMPUTED_VALUE"""),46187.68005787037)</f>
        <v>46187.68006</v>
      </c>
      <c r="B9476" s="126">
        <f>IFERROR(__xludf.DUMMYFUNCTION("""COMPUTED_VALUE"""),46187.0)</f>
        <v>46187</v>
      </c>
      <c r="C9476" s="130">
        <f>IFERROR(__xludf.DUMMYFUNCTION("""COMPUTED_VALUE"""),0.6800578703703704)</f>
        <v>0.6800578704</v>
      </c>
      <c r="D9476" s="122" t="str">
        <f>IFERROR(__xludf.DUMMYFUNCTION("""COMPUTED_VALUE"""),"WASH")</f>
        <v>WASH</v>
      </c>
      <c r="E9476" s="122" t="str">
        <f>IFERROR(__xludf.DUMMYFUNCTION("""COMPUTED_VALUE"""),"CarWash Co")</f>
        <v>CarWash Co</v>
      </c>
      <c r="F9476" s="122" t="str">
        <f>IFERROR(__xludf.DUMMYFUNCTION("""COMPUTED_VALUE"""),"Automotive")</f>
        <v>Automotive</v>
      </c>
    </row>
    <row r="9477">
      <c r="A9477" s="131">
        <f>IFERROR(__xludf.DUMMYFUNCTION("""COMPUTED_VALUE"""),46187.68005787037)</f>
        <v>46187.68006</v>
      </c>
      <c r="B9477" s="126">
        <f>IFERROR(__xludf.DUMMYFUNCTION("""COMPUTED_VALUE"""),46187.0)</f>
        <v>46187</v>
      </c>
      <c r="C9477" s="130">
        <f>IFERROR(__xludf.DUMMYFUNCTION("""COMPUTED_VALUE"""),0.6800578703703704)</f>
        <v>0.6800578704</v>
      </c>
      <c r="D9477" s="122" t="str">
        <f>IFERROR(__xludf.DUMMYFUNCTION("""COMPUTED_VALUE"""),"GBND")</f>
        <v>GBND</v>
      </c>
      <c r="E9477" s="122" t="str">
        <f>IFERROR(__xludf.DUMMYFUNCTION("""COMPUTED_VALUE"""),"Classroom Government Bond")</f>
        <v>Classroom Government Bond</v>
      </c>
      <c r="F9477" s="122" t="str">
        <f>IFERROR(__xludf.DUMMYFUNCTION("""COMPUTED_VALUE"""),"Bond")</f>
        <v>Bond</v>
      </c>
    </row>
    <row r="9478">
      <c r="A9478" s="131">
        <f>IFERROR(__xludf.DUMMYFUNCTION("""COMPUTED_VALUE"""),46187.68005787037)</f>
        <v>46187.68006</v>
      </c>
      <c r="B9478" s="126">
        <f>IFERROR(__xludf.DUMMYFUNCTION("""COMPUTED_VALUE"""),46187.0)</f>
        <v>46187</v>
      </c>
      <c r="C9478" s="130">
        <f>IFERROR(__xludf.DUMMYFUNCTION("""COMPUTED_VALUE"""),0.6800578703703704)</f>
        <v>0.6800578704</v>
      </c>
      <c r="D9478" s="122" t="str">
        <f>IFERROR(__xludf.DUMMYFUNCTION("""COMPUTED_VALUE"""),"SBND")</f>
        <v>SBND</v>
      </c>
      <c r="E9478" s="122" t="str">
        <f>IFERROR(__xludf.DUMMYFUNCTION("""COMPUTED_VALUE"""),"School Savings Bond")</f>
        <v>School Savings Bond</v>
      </c>
      <c r="F9478" s="122" t="str">
        <f>IFERROR(__xludf.DUMMYFUNCTION("""COMPUTED_VALUE"""),"Bond")</f>
        <v>Bond</v>
      </c>
    </row>
    <row r="9479">
      <c r="A9479" s="131">
        <f>IFERROR(__xludf.DUMMYFUNCTION("""COMPUTED_VALUE"""),46187.68005787037)</f>
        <v>46187.68006</v>
      </c>
      <c r="B9479" s="126">
        <f>IFERROR(__xludf.DUMMYFUNCTION("""COMPUTED_VALUE"""),46187.0)</f>
        <v>46187</v>
      </c>
      <c r="C9479" s="130">
        <f>IFERROR(__xludf.DUMMYFUNCTION("""COMPUTED_VALUE"""),0.6800578703703704)</f>
        <v>0.6800578704</v>
      </c>
      <c r="D9479" s="122" t="str">
        <f>IFERROR(__xludf.DUMMYFUNCTION("""COMPUTED_VALUE"""),"CBND")</f>
        <v>CBND</v>
      </c>
      <c r="E9479" s="122" t="str">
        <f>IFERROR(__xludf.DUMMYFUNCTION("""COMPUTED_VALUE"""),"Corporate Classroom Bond")</f>
        <v>Corporate Classroom Bond</v>
      </c>
      <c r="F9479" s="122" t="str">
        <f>IFERROR(__xludf.DUMMYFUNCTION("""COMPUTED_VALUE"""),"Bond")</f>
        <v>Bond</v>
      </c>
    </row>
    <row r="9480">
      <c r="A9480" s="131">
        <f>IFERROR(__xludf.DUMMYFUNCTION("""COMPUTED_VALUE"""),46187.68005787037)</f>
        <v>46187.68006</v>
      </c>
      <c r="B9480" s="126">
        <f>IFERROR(__xludf.DUMMYFUNCTION("""COMPUTED_VALUE"""),46187.0)</f>
        <v>46187</v>
      </c>
      <c r="C9480" s="130">
        <f>IFERROR(__xludf.DUMMYFUNCTION("""COMPUTED_VALUE"""),0.6800578703703704)</f>
        <v>0.6800578704</v>
      </c>
      <c r="D9480" s="122" t="str">
        <f>IFERROR(__xludf.DUMMYFUNCTION("""COMPUTED_VALUE"""),"TBIL")</f>
        <v>TBIL</v>
      </c>
      <c r="E9480" s="122" t="str">
        <f>IFERROR(__xludf.DUMMYFUNCTION("""COMPUTED_VALUE"""),"Treasury Bill")</f>
        <v>Treasury Bill</v>
      </c>
      <c r="F9480" s="122" t="str">
        <f>IFERROR(__xludf.DUMMYFUNCTION("""COMPUTED_VALUE"""),"Bond")</f>
        <v>Bond</v>
      </c>
    </row>
    <row r="9481">
      <c r="A9481" s="131">
        <f>IFERROR(__xludf.DUMMYFUNCTION("""COMPUTED_VALUE"""),46187.68005787037)</f>
        <v>46187.68006</v>
      </c>
      <c r="B9481" s="126">
        <f>IFERROR(__xludf.DUMMYFUNCTION("""COMPUTED_VALUE"""),46187.0)</f>
        <v>46187</v>
      </c>
      <c r="C9481" s="130">
        <f>IFERROR(__xludf.DUMMYFUNCTION("""COMPUTED_VALUE"""),0.6800578703703704)</f>
        <v>0.6800578704</v>
      </c>
      <c r="D9481" s="122" t="str">
        <f>IFERROR(__xludf.DUMMYFUNCTION("""COMPUTED_VALUE"""),"IBND")</f>
        <v>IBND</v>
      </c>
      <c r="E9481" s="122" t="str">
        <f>IFERROR(__xludf.DUMMYFUNCTION("""COMPUTED_VALUE"""),"Inflation Protected Bond")</f>
        <v>Inflation Protected Bond</v>
      </c>
      <c r="F9481" s="122" t="str">
        <f>IFERROR(__xludf.DUMMYFUNCTION("""COMPUTED_VALUE"""),"Bond")</f>
        <v>Bond</v>
      </c>
    </row>
    <row r="9482">
      <c r="A9482" s="131">
        <f>IFERROR(__xludf.DUMMYFUNCTION("""COMPUTED_VALUE"""),46187.682025462964)</f>
        <v>46187.68203</v>
      </c>
      <c r="B9482" s="126">
        <f>IFERROR(__xludf.DUMMYFUNCTION("""COMPUTED_VALUE"""),46187.0)</f>
        <v>46187</v>
      </c>
      <c r="C9482" s="122" t="str">
        <f>IFERROR(__xludf.DUMMYFUNCTION("""COMPUTED_VALUE"""),"SNAX")</f>
        <v>SNAX</v>
      </c>
      <c r="D9482" s="122" t="str">
        <f>IFERROR(__xludf.DUMMYFUNCTION("""COMPUTED_VALUE"""),"MICA Snacks")</f>
        <v>MICA Snacks</v>
      </c>
      <c r="E9482" s="122">
        <f>IFERROR(__xludf.DUMMYFUNCTION("""COMPUTED_VALUE"""),120.72)</f>
        <v>120.72</v>
      </c>
      <c r="F9482" s="122">
        <f>IFERROR(__xludf.DUMMYFUNCTION("""COMPUTED_VALUE"""),-0.0042)</f>
        <v>-0.0042</v>
      </c>
    </row>
    <row r="9483">
      <c r="A9483" s="131">
        <f>IFERROR(__xludf.DUMMYFUNCTION("""COMPUTED_VALUE"""),46187.682025462964)</f>
        <v>46187.68203</v>
      </c>
      <c r="B9483" s="126">
        <f>IFERROR(__xludf.DUMMYFUNCTION("""COMPUTED_VALUE"""),46187.0)</f>
        <v>46187</v>
      </c>
      <c r="C9483" s="122" t="str">
        <f>IFERROR(__xludf.DUMMYFUNCTION("""COMPUTED_VALUE"""),"RAMN")</f>
        <v>RAMN</v>
      </c>
      <c r="D9483" s="122" t="str">
        <f>IFERROR(__xludf.DUMMYFUNCTION("""COMPUTED_VALUE"""),"Ramen Republic")</f>
        <v>Ramen Republic</v>
      </c>
      <c r="E9483" s="122">
        <f>IFERROR(__xludf.DUMMYFUNCTION("""COMPUTED_VALUE"""),59.3)</f>
        <v>59.3</v>
      </c>
      <c r="F9483" s="122">
        <f>IFERROR(__xludf.DUMMYFUNCTION("""COMPUTED_VALUE"""),-0.0069)</f>
        <v>-0.0069</v>
      </c>
    </row>
    <row r="9484">
      <c r="A9484" s="131">
        <f>IFERROR(__xludf.DUMMYFUNCTION("""COMPUTED_VALUE"""),46187.682025462964)</f>
        <v>46187.68203</v>
      </c>
      <c r="B9484" s="126">
        <f>IFERROR(__xludf.DUMMYFUNCTION("""COMPUTED_VALUE"""),46187.0)</f>
        <v>46187</v>
      </c>
      <c r="C9484" s="122" t="str">
        <f>IFERROR(__xludf.DUMMYFUNCTION("""COMPUTED_VALUE"""),"COLA")</f>
        <v>COLA</v>
      </c>
      <c r="D9484" s="122" t="str">
        <f>IFERROR(__xludf.DUMMYFUNCTION("""COMPUTED_VALUE"""),"K-Pop Cola")</f>
        <v>K-Pop Cola</v>
      </c>
      <c r="E9484" s="122">
        <f>IFERROR(__xludf.DUMMYFUNCTION("""COMPUTED_VALUE"""),113.64)</f>
        <v>113.64</v>
      </c>
      <c r="F9484" s="122">
        <f>IFERROR(__xludf.DUMMYFUNCTION("""COMPUTED_VALUE"""),-6.0E-4)</f>
        <v>-0.0006</v>
      </c>
    </row>
    <row r="9485">
      <c r="A9485" s="131">
        <f>IFERROR(__xludf.DUMMYFUNCTION("""COMPUTED_VALUE"""),46187.682025462964)</f>
        <v>46187.68203</v>
      </c>
      <c r="B9485" s="126">
        <f>IFERROR(__xludf.DUMMYFUNCTION("""COMPUTED_VALUE"""),46187.0)</f>
        <v>46187</v>
      </c>
      <c r="C9485" s="122" t="str">
        <f>IFERROR(__xludf.DUMMYFUNCTION("""COMPUTED_VALUE"""),"CHIP")</f>
        <v>CHIP</v>
      </c>
      <c r="D9485" s="122" t="str">
        <f>IFERROR(__xludf.DUMMYFUNCTION("""COMPUTED_VALUE"""),"Chip Empire")</f>
        <v>Chip Empire</v>
      </c>
      <c r="E9485" s="122">
        <f>IFERROR(__xludf.DUMMYFUNCTION("""COMPUTED_VALUE"""),80.23)</f>
        <v>80.23</v>
      </c>
      <c r="F9485" s="122">
        <f>IFERROR(__xludf.DUMMYFUNCTION("""COMPUTED_VALUE"""),-7.0E-4)</f>
        <v>-0.0007</v>
      </c>
    </row>
    <row r="9486">
      <c r="A9486" s="131">
        <f>IFERROR(__xludf.DUMMYFUNCTION("""COMPUTED_VALUE"""),46187.682025462964)</f>
        <v>46187.68203</v>
      </c>
      <c r="B9486" s="126">
        <f>IFERROR(__xludf.DUMMYFUNCTION("""COMPUTED_VALUE"""),46187.0)</f>
        <v>46187</v>
      </c>
      <c r="C9486" s="122" t="str">
        <f>IFERROR(__xludf.DUMMYFUNCTION("""COMPUTED_VALUE"""),"CAND")</f>
        <v>CAND</v>
      </c>
      <c r="D9486" s="122" t="str">
        <f>IFERROR(__xludf.DUMMYFUNCTION("""COMPUTED_VALUE"""),"Candy Capital")</f>
        <v>Candy Capital</v>
      </c>
      <c r="E9486" s="122">
        <f>IFERROR(__xludf.DUMMYFUNCTION("""COMPUTED_VALUE"""),76.11)</f>
        <v>76.11</v>
      </c>
      <c r="F9486" s="122">
        <f>IFERROR(__xludf.DUMMYFUNCTION("""COMPUTED_VALUE"""),-4.0E-4)</f>
        <v>-0.0004</v>
      </c>
    </row>
    <row r="9487">
      <c r="A9487" s="131">
        <f>IFERROR(__xludf.DUMMYFUNCTION("""COMPUTED_VALUE"""),46187.682025462964)</f>
        <v>46187.68203</v>
      </c>
      <c r="B9487" s="126">
        <f>IFERROR(__xludf.DUMMYFUNCTION("""COMPUTED_VALUE"""),46187.0)</f>
        <v>46187</v>
      </c>
      <c r="C9487" s="122" t="str">
        <f>IFERROR(__xludf.DUMMYFUNCTION("""COMPUTED_VALUE"""),"TECH")</f>
        <v>TECH</v>
      </c>
      <c r="D9487" s="122" t="str">
        <f>IFERROR(__xludf.DUMMYFUNCTION("""COMPUTED_VALUE"""),"Dragon Tech")</f>
        <v>Dragon Tech</v>
      </c>
      <c r="E9487" s="122">
        <f>IFERROR(__xludf.DUMMYFUNCTION("""COMPUTED_VALUE"""),255.4)</f>
        <v>255.4</v>
      </c>
      <c r="F9487" s="122">
        <f>IFERROR(__xludf.DUMMYFUNCTION("""COMPUTED_VALUE"""),-0.0015)</f>
        <v>-0.0015</v>
      </c>
    </row>
    <row r="9488">
      <c r="A9488" s="131">
        <f>IFERROR(__xludf.DUMMYFUNCTION("""COMPUTED_VALUE"""),46187.682025462964)</f>
        <v>46187.68203</v>
      </c>
      <c r="B9488" s="126">
        <f>IFERROR(__xludf.DUMMYFUNCTION("""COMPUTED_VALUE"""),46187.0)</f>
        <v>46187</v>
      </c>
      <c r="C9488" s="122" t="str">
        <f>IFERROR(__xludf.DUMMYFUNCTION("""COMPUTED_VALUE"""),"AIBO")</f>
        <v>AIBO</v>
      </c>
      <c r="D9488" s="122" t="str">
        <f>IFERROR(__xludf.DUMMYFUNCTION("""COMPUTED_VALUE"""),"Homework AI")</f>
        <v>Homework AI</v>
      </c>
      <c r="E9488" s="122">
        <f>IFERROR(__xludf.DUMMYFUNCTION("""COMPUTED_VALUE"""),197.23)</f>
        <v>197.23</v>
      </c>
      <c r="F9488" s="122">
        <f>IFERROR(__xludf.DUMMYFUNCTION("""COMPUTED_VALUE"""),-0.0039)</f>
        <v>-0.0039</v>
      </c>
    </row>
    <row r="9489">
      <c r="A9489" s="131">
        <f>IFERROR(__xludf.DUMMYFUNCTION("""COMPUTED_VALUE"""),46187.682025462964)</f>
        <v>46187.68203</v>
      </c>
      <c r="B9489" s="126">
        <f>IFERROR(__xludf.DUMMYFUNCTION("""COMPUTED_VALUE"""),46187.0)</f>
        <v>46187</v>
      </c>
      <c r="C9489" s="122" t="str">
        <f>IFERROR(__xludf.DUMMYFUNCTION("""COMPUTED_VALUE"""),"GAME")</f>
        <v>GAME</v>
      </c>
      <c r="D9489" s="122" t="str">
        <f>IFERROR(__xludf.DUMMYFUNCTION("""COMPUTED_VALUE"""),"GameBox Media")</f>
        <v>GameBox Media</v>
      </c>
      <c r="E9489" s="122">
        <f>IFERROR(__xludf.DUMMYFUNCTION("""COMPUTED_VALUE"""),104.2)</f>
        <v>104.2</v>
      </c>
      <c r="F9489" s="122">
        <f>IFERROR(__xludf.DUMMYFUNCTION("""COMPUTED_VALUE"""),0.0117)</f>
        <v>0.0117</v>
      </c>
    </row>
    <row r="9490">
      <c r="A9490" s="131">
        <f>IFERROR(__xludf.DUMMYFUNCTION("""COMPUTED_VALUE"""),46187.682025462964)</f>
        <v>46187.68203</v>
      </c>
      <c r="B9490" s="126">
        <f>IFERROR(__xludf.DUMMYFUNCTION("""COMPUTED_VALUE"""),46187.0)</f>
        <v>46187</v>
      </c>
      <c r="C9490" s="122" t="str">
        <f>IFERROR(__xludf.DUMMYFUNCTION("""COMPUTED_VALUE"""),"VRSE")</f>
        <v>VRSE</v>
      </c>
      <c r="D9490" s="122" t="str">
        <f>IFERROR(__xludf.DUMMYFUNCTION("""COMPUTED_VALUE"""),"VerseVR")</f>
        <v>VerseVR</v>
      </c>
      <c r="E9490" s="122">
        <f>IFERROR(__xludf.DUMMYFUNCTION("""COMPUTED_VALUE"""),145.66)</f>
        <v>145.66</v>
      </c>
      <c r="F9490" s="122">
        <f>IFERROR(__xludf.DUMMYFUNCTION("""COMPUTED_VALUE"""),0.0085)</f>
        <v>0.0085</v>
      </c>
    </row>
    <row r="9491">
      <c r="A9491" s="131">
        <f>IFERROR(__xludf.DUMMYFUNCTION("""COMPUTED_VALUE"""),46187.682025462964)</f>
        <v>46187.68203</v>
      </c>
      <c r="B9491" s="126">
        <f>IFERROR(__xludf.DUMMYFUNCTION("""COMPUTED_VALUE"""),46187.0)</f>
        <v>46187</v>
      </c>
      <c r="C9491" s="122" t="str">
        <f>IFERROR(__xludf.DUMMYFUNCTION("""COMPUTED_VALUE"""),"BYTE")</f>
        <v>BYTE</v>
      </c>
      <c r="D9491" s="122" t="str">
        <f>IFERROR(__xludf.DUMMYFUNCTION("""COMPUTED_VALUE"""),"ByteWorks")</f>
        <v>ByteWorks</v>
      </c>
      <c r="E9491" s="122">
        <f>IFERROR(__xludf.DUMMYFUNCTION("""COMPUTED_VALUE"""),112.85)</f>
        <v>112.85</v>
      </c>
      <c r="F9491" s="122">
        <f>IFERROR(__xludf.DUMMYFUNCTION("""COMPUTED_VALUE"""),0.005)</f>
        <v>0.005</v>
      </c>
    </row>
    <row r="9492">
      <c r="A9492" s="131">
        <f>IFERROR(__xludf.DUMMYFUNCTION("""COMPUTED_VALUE"""),46187.682025462964)</f>
        <v>46187.68203</v>
      </c>
      <c r="B9492" s="126">
        <f>IFERROR(__xludf.DUMMYFUNCTION("""COMPUTED_VALUE"""),46187.0)</f>
        <v>46187</v>
      </c>
      <c r="C9492" s="122" t="str">
        <f>IFERROR(__xludf.DUMMYFUNCTION("""COMPUTED_VALUE"""),"BANK")</f>
        <v>BANK</v>
      </c>
      <c r="D9492" s="122" t="str">
        <f>IFERROR(__xludf.DUMMYFUNCTION("""COMPUTED_VALUE"""),"Tiger Bank")</f>
        <v>Tiger Bank</v>
      </c>
      <c r="E9492" s="122">
        <f>IFERROR(__xludf.DUMMYFUNCTION("""COMPUTED_VALUE"""),134.06)</f>
        <v>134.06</v>
      </c>
      <c r="F9492" s="122">
        <f>IFERROR(__xludf.DUMMYFUNCTION("""COMPUTED_VALUE"""),-0.0023)</f>
        <v>-0.0023</v>
      </c>
    </row>
    <row r="9493">
      <c r="A9493" s="131">
        <f>IFERROR(__xludf.DUMMYFUNCTION("""COMPUTED_VALUE"""),46187.682025462964)</f>
        <v>46187.68203</v>
      </c>
      <c r="B9493" s="126">
        <f>IFERROR(__xludf.DUMMYFUNCTION("""COMPUTED_VALUE"""),46187.0)</f>
        <v>46187</v>
      </c>
      <c r="C9493" s="122" t="str">
        <f>IFERROR(__xludf.DUMMYFUNCTION("""COMPUTED_VALUE"""),"CRED")</f>
        <v>CRED</v>
      </c>
      <c r="D9493" s="122" t="str">
        <f>IFERROR(__xludf.DUMMYFUNCTION("""COMPUTED_VALUE"""),"Credit Castle")</f>
        <v>Credit Castle</v>
      </c>
      <c r="E9493" s="122">
        <f>IFERROR(__xludf.DUMMYFUNCTION("""COMPUTED_VALUE"""),67.63)</f>
        <v>67.63</v>
      </c>
      <c r="F9493" s="122">
        <f>IFERROR(__xludf.DUMMYFUNCTION("""COMPUTED_VALUE"""),0.0049)</f>
        <v>0.0049</v>
      </c>
    </row>
    <row r="9494">
      <c r="A9494" s="131">
        <f>IFERROR(__xludf.DUMMYFUNCTION("""COMPUTED_VALUE"""),46187.682025462964)</f>
        <v>46187.68203</v>
      </c>
      <c r="B9494" s="126">
        <f>IFERROR(__xludf.DUMMYFUNCTION("""COMPUTED_VALUE"""),46187.0)</f>
        <v>46187</v>
      </c>
      <c r="C9494" s="122" t="str">
        <f>IFERROR(__xludf.DUMMYFUNCTION("""COMPUTED_VALUE"""),"BOND")</f>
        <v>BOND</v>
      </c>
      <c r="D9494" s="122" t="str">
        <f>IFERROR(__xludf.DUMMYFUNCTION("""COMPUTED_VALUE"""),"BondBridge")</f>
        <v>BondBridge</v>
      </c>
      <c r="E9494" s="122">
        <f>IFERROR(__xludf.DUMMYFUNCTION("""COMPUTED_VALUE"""),106.94)</f>
        <v>106.94</v>
      </c>
      <c r="F9494" s="122">
        <f>IFERROR(__xludf.DUMMYFUNCTION("""COMPUTED_VALUE"""),-5.0E-4)</f>
        <v>-0.0005</v>
      </c>
    </row>
    <row r="9495">
      <c r="A9495" s="131">
        <f>IFERROR(__xludf.DUMMYFUNCTION("""COMPUTED_VALUE"""),46187.682025462964)</f>
        <v>46187.68203</v>
      </c>
      <c r="B9495" s="126">
        <f>IFERROR(__xludf.DUMMYFUNCTION("""COMPUTED_VALUE"""),46187.0)</f>
        <v>46187</v>
      </c>
      <c r="C9495" s="122" t="str">
        <f>IFERROR(__xludf.DUMMYFUNCTION("""COMPUTED_VALUE"""),"INSR")</f>
        <v>INSR</v>
      </c>
      <c r="D9495" s="122" t="str">
        <f>IFERROR(__xludf.DUMMYFUNCTION("""COMPUTED_VALUE"""),"Shield Insurance")</f>
        <v>Shield Insurance</v>
      </c>
      <c r="E9495" s="122">
        <f>IFERROR(__xludf.DUMMYFUNCTION("""COMPUTED_VALUE"""),157.93)</f>
        <v>157.93</v>
      </c>
      <c r="F9495" s="122">
        <f>IFERROR(__xludf.DUMMYFUNCTION("""COMPUTED_VALUE"""),-0.0013)</f>
        <v>-0.0013</v>
      </c>
    </row>
    <row r="9496">
      <c r="A9496" s="131">
        <f>IFERROR(__xludf.DUMMYFUNCTION("""COMPUTED_VALUE"""),46187.682025462964)</f>
        <v>46187.68203</v>
      </c>
      <c r="B9496" s="126">
        <f>IFERROR(__xludf.DUMMYFUNCTION("""COMPUTED_VALUE"""),46187.0)</f>
        <v>46187</v>
      </c>
      <c r="C9496" s="122" t="str">
        <f>IFERROR(__xludf.DUMMYFUNCTION("""COMPUTED_VALUE"""),"LOAN")</f>
        <v>LOAN</v>
      </c>
      <c r="D9496" s="122" t="str">
        <f>IFERROR(__xludf.DUMMYFUNCTION("""COMPUTED_VALUE"""),"LoanLab")</f>
        <v>LoanLab</v>
      </c>
      <c r="E9496" s="122">
        <f>IFERROR(__xludf.DUMMYFUNCTION("""COMPUTED_VALUE"""),74.96)</f>
        <v>74.96</v>
      </c>
      <c r="F9496" s="122">
        <f>IFERROR(__xludf.DUMMYFUNCTION("""COMPUTED_VALUE"""),-0.0041)</f>
        <v>-0.0041</v>
      </c>
    </row>
    <row r="9497">
      <c r="A9497" s="131">
        <f>IFERROR(__xludf.DUMMYFUNCTION("""COMPUTED_VALUE"""),46187.682025462964)</f>
        <v>46187.68203</v>
      </c>
      <c r="B9497" s="126">
        <f>IFERROR(__xludf.DUMMYFUNCTION("""COMPUTED_VALUE"""),46187.0)</f>
        <v>46187</v>
      </c>
      <c r="C9497" s="122" t="str">
        <f>IFERROR(__xludf.DUMMYFUNCTION("""COMPUTED_VALUE"""),"LUXE")</f>
        <v>LUXE</v>
      </c>
      <c r="D9497" s="122" t="str">
        <f>IFERROR(__xludf.DUMMYFUNCTION("""COMPUTED_VALUE"""),"Luxury Locker")</f>
        <v>Luxury Locker</v>
      </c>
      <c r="E9497" s="122">
        <f>IFERROR(__xludf.DUMMYFUNCTION("""COMPUTED_VALUE"""),270.58)</f>
        <v>270.58</v>
      </c>
      <c r="F9497" s="122">
        <f>IFERROR(__xludf.DUMMYFUNCTION("""COMPUTED_VALUE"""),-0.0059)</f>
        <v>-0.0059</v>
      </c>
    </row>
    <row r="9498">
      <c r="A9498" s="131">
        <f>IFERROR(__xludf.DUMMYFUNCTION("""COMPUTED_VALUE"""),46187.682025462964)</f>
        <v>46187.68203</v>
      </c>
      <c r="B9498" s="126">
        <f>IFERROR(__xludf.DUMMYFUNCTION("""COMPUTED_VALUE"""),46187.0)</f>
        <v>46187</v>
      </c>
      <c r="C9498" s="122" t="str">
        <f>IFERROR(__xludf.DUMMYFUNCTION("""COMPUTED_VALUE"""),"DRIP")</f>
        <v>DRIP</v>
      </c>
      <c r="D9498" s="122" t="str">
        <f>IFERROR(__xludf.DUMMYFUNCTION("""COMPUTED_VALUE"""),"Drip Streetwear")</f>
        <v>Drip Streetwear</v>
      </c>
      <c r="E9498" s="122">
        <f>IFERROR(__xludf.DUMMYFUNCTION("""COMPUTED_VALUE"""),194.64)</f>
        <v>194.64</v>
      </c>
      <c r="F9498" s="122">
        <f>IFERROR(__xludf.DUMMYFUNCTION("""COMPUTED_VALUE"""),-0.0046)</f>
        <v>-0.0046</v>
      </c>
    </row>
    <row r="9499">
      <c r="A9499" s="131">
        <f>IFERROR(__xludf.DUMMYFUNCTION("""COMPUTED_VALUE"""),46187.682025462964)</f>
        <v>46187.68203</v>
      </c>
      <c r="B9499" s="126">
        <f>IFERROR(__xludf.DUMMYFUNCTION("""COMPUTED_VALUE"""),46187.0)</f>
        <v>46187</v>
      </c>
      <c r="C9499" s="122" t="str">
        <f>IFERROR(__xludf.DUMMYFUNCTION("""COMPUTED_VALUE"""),"KICK")</f>
        <v>KICK</v>
      </c>
      <c r="D9499" s="122" t="str">
        <f>IFERROR(__xludf.DUMMYFUNCTION("""COMPUTED_VALUE"""),"KickDrop Sneakers")</f>
        <v>KickDrop Sneakers</v>
      </c>
      <c r="E9499" s="122">
        <f>IFERROR(__xludf.DUMMYFUNCTION("""COMPUTED_VALUE"""),170.53)</f>
        <v>170.53</v>
      </c>
      <c r="F9499" s="122">
        <f>IFERROR(__xludf.DUMMYFUNCTION("""COMPUTED_VALUE"""),-0.0058)</f>
        <v>-0.0058</v>
      </c>
    </row>
    <row r="9500">
      <c r="A9500" s="131">
        <f>IFERROR(__xludf.DUMMYFUNCTION("""COMPUTED_VALUE"""),46187.682025462964)</f>
        <v>46187.68203</v>
      </c>
      <c r="B9500" s="126">
        <f>IFERROR(__xludf.DUMMYFUNCTION("""COMPUTED_VALUE"""),46187.0)</f>
        <v>46187</v>
      </c>
      <c r="C9500" s="122" t="str">
        <f>IFERROR(__xludf.DUMMYFUNCTION("""COMPUTED_VALUE"""),"GLAM")</f>
        <v>GLAM</v>
      </c>
      <c r="D9500" s="122" t="str">
        <f>IFERROR(__xludf.DUMMYFUNCTION("""COMPUTED_VALUE"""),"Glow Cosmetics")</f>
        <v>Glow Cosmetics</v>
      </c>
      <c r="E9500" s="122">
        <f>IFERROR(__xludf.DUMMYFUNCTION("""COMPUTED_VALUE"""),110.6)</f>
        <v>110.6</v>
      </c>
      <c r="F9500" s="122">
        <f>IFERROR(__xludf.DUMMYFUNCTION("""COMPUTED_VALUE"""),-0.0051)</f>
        <v>-0.0051</v>
      </c>
    </row>
    <row r="9501">
      <c r="A9501" s="131">
        <f>IFERROR(__xludf.DUMMYFUNCTION("""COMPUTED_VALUE"""),46187.682025462964)</f>
        <v>46187.68203</v>
      </c>
      <c r="B9501" s="126">
        <f>IFERROR(__xludf.DUMMYFUNCTION("""COMPUTED_VALUE"""),46187.0)</f>
        <v>46187</v>
      </c>
      <c r="C9501" s="122" t="str">
        <f>IFERROR(__xludf.DUMMYFUNCTION("""COMPUTED_VALUE"""),"BAGG")</f>
        <v>BAGG</v>
      </c>
      <c r="D9501" s="122" t="str">
        <f>IFERROR(__xludf.DUMMYFUNCTION("""COMPUTED_VALUE"""),"BagVault")</f>
        <v>BagVault</v>
      </c>
      <c r="E9501" s="122">
        <f>IFERROR(__xludf.DUMMYFUNCTION("""COMPUTED_VALUE"""),279.51)</f>
        <v>279.51</v>
      </c>
      <c r="F9501" s="122">
        <f>IFERROR(__xludf.DUMMYFUNCTION("""COMPUTED_VALUE"""),-0.0046)</f>
        <v>-0.0046</v>
      </c>
    </row>
    <row r="9502">
      <c r="A9502" s="131">
        <f>IFERROR(__xludf.DUMMYFUNCTION("""COMPUTED_VALUE"""),46187.682025462964)</f>
        <v>46187.68203</v>
      </c>
      <c r="B9502" s="126">
        <f>IFERROR(__xludf.DUMMYFUNCTION("""COMPUTED_VALUE"""),46187.0)</f>
        <v>46187</v>
      </c>
      <c r="C9502" s="122" t="str">
        <f>IFERROR(__xludf.DUMMYFUNCTION("""COMPUTED_VALUE"""),"FAST")</f>
        <v>FAST</v>
      </c>
      <c r="D9502" s="122" t="str">
        <f>IFERROR(__xludf.DUMMYFUNCTION("""COMPUTED_VALUE"""),"Flash Logistics")</f>
        <v>Flash Logistics</v>
      </c>
      <c r="E9502" s="122">
        <f>IFERROR(__xludf.DUMMYFUNCTION("""COMPUTED_VALUE"""),109.4)</f>
        <v>109.4</v>
      </c>
      <c r="F9502" s="122">
        <f>IFERROR(__xludf.DUMMYFUNCTION("""COMPUTED_VALUE"""),0.0028)</f>
        <v>0.0028</v>
      </c>
    </row>
    <row r="9503">
      <c r="A9503" s="131">
        <f>IFERROR(__xludf.DUMMYFUNCTION("""COMPUTED_VALUE"""),46187.682025462964)</f>
        <v>46187.68203</v>
      </c>
      <c r="B9503" s="126">
        <f>IFERROR(__xludf.DUMMYFUNCTION("""COMPUTED_VALUE"""),46187.0)</f>
        <v>46187</v>
      </c>
      <c r="C9503" s="122" t="str">
        <f>IFERROR(__xludf.DUMMYFUNCTION("""COMPUTED_VALUE"""),"SHIP")</f>
        <v>SHIP</v>
      </c>
      <c r="D9503" s="122" t="str">
        <f>IFERROR(__xludf.DUMMYFUNCTION("""COMPUTED_VALUE"""),"Seoul Shipping")</f>
        <v>Seoul Shipping</v>
      </c>
      <c r="E9503" s="122">
        <f>IFERROR(__xludf.DUMMYFUNCTION("""COMPUTED_VALUE"""),130.61)</f>
        <v>130.61</v>
      </c>
      <c r="F9503" s="122">
        <f>IFERROR(__xludf.DUMMYFUNCTION("""COMPUTED_VALUE"""),0.0021)</f>
        <v>0.0021</v>
      </c>
    </row>
    <row r="9504">
      <c r="A9504" s="131">
        <f>IFERROR(__xludf.DUMMYFUNCTION("""COMPUTED_VALUE"""),46187.682025462964)</f>
        <v>46187.68203</v>
      </c>
      <c r="B9504" s="126">
        <f>IFERROR(__xludf.DUMMYFUNCTION("""COMPUTED_VALUE"""),46187.0)</f>
        <v>46187</v>
      </c>
      <c r="C9504" s="122" t="str">
        <f>IFERROR(__xludf.DUMMYFUNCTION("""COMPUTED_VALUE"""),"DRON")</f>
        <v>DRON</v>
      </c>
      <c r="D9504" s="122" t="str">
        <f>IFERROR(__xludf.DUMMYFUNCTION("""COMPUTED_VALUE"""),"DroneDrop")</f>
        <v>DroneDrop</v>
      </c>
      <c r="E9504" s="122">
        <f>IFERROR(__xludf.DUMMYFUNCTION("""COMPUTED_VALUE"""),120.37)</f>
        <v>120.37</v>
      </c>
      <c r="F9504" s="122">
        <f>IFERROR(__xludf.DUMMYFUNCTION("""COMPUTED_VALUE"""),-0.0083)</f>
        <v>-0.0083</v>
      </c>
    </row>
    <row r="9505">
      <c r="A9505" s="131">
        <f>IFERROR(__xludf.DUMMYFUNCTION("""COMPUTED_VALUE"""),46187.682025462964)</f>
        <v>46187.68203</v>
      </c>
      <c r="B9505" s="126">
        <f>IFERROR(__xludf.DUMMYFUNCTION("""COMPUTED_VALUE"""),46187.0)</f>
        <v>46187</v>
      </c>
      <c r="C9505" s="122" t="str">
        <f>IFERROR(__xludf.DUMMYFUNCTION("""COMPUTED_VALUE"""),"RIDE")</f>
        <v>RIDE</v>
      </c>
      <c r="D9505" s="122" t="str">
        <f>IFERROR(__xludf.DUMMYFUNCTION("""COMPUTED_VALUE"""),"QuickRide")</f>
        <v>QuickRide</v>
      </c>
      <c r="E9505" s="122">
        <f>IFERROR(__xludf.DUMMYFUNCTION("""COMPUTED_VALUE"""),98.36)</f>
        <v>98.36</v>
      </c>
      <c r="F9505" s="122">
        <f>IFERROR(__xludf.DUMMYFUNCTION("""COMPUTED_VALUE"""),-0.0116)</f>
        <v>-0.0116</v>
      </c>
    </row>
    <row r="9506">
      <c r="A9506" s="131">
        <f>IFERROR(__xludf.DUMMYFUNCTION("""COMPUTED_VALUE"""),46187.682025462964)</f>
        <v>46187.68203</v>
      </c>
      <c r="B9506" s="126">
        <f>IFERROR(__xludf.DUMMYFUNCTION("""COMPUTED_VALUE"""),46187.0)</f>
        <v>46187</v>
      </c>
      <c r="C9506" s="122" t="str">
        <f>IFERROR(__xludf.DUMMYFUNCTION("""COMPUTED_VALUE"""),"RAIL")</f>
        <v>RAIL</v>
      </c>
      <c r="D9506" s="122" t="str">
        <f>IFERROR(__xludf.DUMMYFUNCTION("""COMPUTED_VALUE"""),"MetroRail Corp")</f>
        <v>MetroRail Corp</v>
      </c>
      <c r="E9506" s="122">
        <f>IFERROR(__xludf.DUMMYFUNCTION("""COMPUTED_VALUE"""),130.02)</f>
        <v>130.02</v>
      </c>
      <c r="F9506" s="122">
        <f>IFERROR(__xludf.DUMMYFUNCTION("""COMPUTED_VALUE"""),-0.0018)</f>
        <v>-0.0018</v>
      </c>
    </row>
    <row r="9507">
      <c r="A9507" s="131">
        <f>IFERROR(__xludf.DUMMYFUNCTION("""COMPUTED_VALUE"""),46187.682025462964)</f>
        <v>46187.68203</v>
      </c>
      <c r="B9507" s="126">
        <f>IFERROR(__xludf.DUMMYFUNCTION("""COMPUTED_VALUE"""),46187.0)</f>
        <v>46187</v>
      </c>
      <c r="C9507" s="122" t="str">
        <f>IFERROR(__xludf.DUMMYFUNCTION("""COMPUTED_VALUE"""),"MEDX")</f>
        <v>MEDX</v>
      </c>
      <c r="D9507" s="122" t="str">
        <f>IFERROR(__xludf.DUMMYFUNCTION("""COMPUTED_VALUE"""),"MediCore")</f>
        <v>MediCore</v>
      </c>
      <c r="E9507" s="122">
        <f>IFERROR(__xludf.DUMMYFUNCTION("""COMPUTED_VALUE"""),139.55)</f>
        <v>139.55</v>
      </c>
      <c r="F9507" s="122">
        <f>IFERROR(__xludf.DUMMYFUNCTION("""COMPUTED_VALUE"""),0.0022)</f>
        <v>0.0022</v>
      </c>
    </row>
    <row r="9508">
      <c r="A9508" s="131">
        <f>IFERROR(__xludf.DUMMYFUNCTION("""COMPUTED_VALUE"""),46187.682025462964)</f>
        <v>46187.68203</v>
      </c>
      <c r="B9508" s="126">
        <f>IFERROR(__xludf.DUMMYFUNCTION("""COMPUTED_VALUE"""),46187.0)</f>
        <v>46187</v>
      </c>
      <c r="C9508" s="122" t="str">
        <f>IFERROR(__xludf.DUMMYFUNCTION("""COMPUTED_VALUE"""),"GYMX")</f>
        <v>GYMX</v>
      </c>
      <c r="D9508" s="122" t="str">
        <f>IFERROR(__xludf.DUMMYFUNCTION("""COMPUTED_VALUE"""),"GymX Fitness")</f>
        <v>GymX Fitness</v>
      </c>
      <c r="E9508" s="122">
        <f>IFERROR(__xludf.DUMMYFUNCTION("""COMPUTED_VALUE"""),80.37)</f>
        <v>80.37</v>
      </c>
      <c r="F9508" s="122">
        <f>IFERROR(__xludf.DUMMYFUNCTION("""COMPUTED_VALUE"""),-0.0036)</f>
        <v>-0.0036</v>
      </c>
    </row>
    <row r="9509">
      <c r="A9509" s="131">
        <f>IFERROR(__xludf.DUMMYFUNCTION("""COMPUTED_VALUE"""),46187.682025462964)</f>
        <v>46187.68203</v>
      </c>
      <c r="B9509" s="126">
        <f>IFERROR(__xludf.DUMMYFUNCTION("""COMPUTED_VALUE"""),46187.0)</f>
        <v>46187</v>
      </c>
      <c r="C9509" s="122" t="str">
        <f>IFERROR(__xludf.DUMMYFUNCTION("""COMPUTED_VALUE"""),"VITA")</f>
        <v>VITA</v>
      </c>
      <c r="D9509" s="122" t="str">
        <f>IFERROR(__xludf.DUMMYFUNCTION("""COMPUTED_VALUE"""),"VitaPlus")</f>
        <v>VitaPlus</v>
      </c>
      <c r="E9509" s="122">
        <f>IFERROR(__xludf.DUMMYFUNCTION("""COMPUTED_VALUE"""),71.68)</f>
        <v>71.68</v>
      </c>
      <c r="F9509" s="122">
        <f>IFERROR(__xludf.DUMMYFUNCTION("""COMPUTED_VALUE"""),0.0042)</f>
        <v>0.0042</v>
      </c>
    </row>
    <row r="9510">
      <c r="A9510" s="131">
        <f>IFERROR(__xludf.DUMMYFUNCTION("""COMPUTED_VALUE"""),46187.682025462964)</f>
        <v>46187.68203</v>
      </c>
      <c r="B9510" s="126">
        <f>IFERROR(__xludf.DUMMYFUNCTION("""COMPUTED_VALUE"""),46187.0)</f>
        <v>46187</v>
      </c>
      <c r="C9510" s="122" t="str">
        <f>IFERROR(__xludf.DUMMYFUNCTION("""COMPUTED_VALUE"""),"CARE")</f>
        <v>CARE</v>
      </c>
      <c r="D9510" s="122" t="str">
        <f>IFERROR(__xludf.DUMMYFUNCTION("""COMPUTED_VALUE"""),"CareCloud")</f>
        <v>CareCloud</v>
      </c>
      <c r="E9510" s="122">
        <f>IFERROR(__xludf.DUMMYFUNCTION("""COMPUTED_VALUE"""),184.98)</f>
        <v>184.98</v>
      </c>
      <c r="F9510" s="122">
        <f>IFERROR(__xludf.DUMMYFUNCTION("""COMPUTED_VALUE"""),0.0066)</f>
        <v>0.0066</v>
      </c>
    </row>
    <row r="9511">
      <c r="A9511" s="131">
        <f>IFERROR(__xludf.DUMMYFUNCTION("""COMPUTED_VALUE"""),46187.682025462964)</f>
        <v>46187.68203</v>
      </c>
      <c r="B9511" s="126">
        <f>IFERROR(__xludf.DUMMYFUNCTION("""COMPUTED_VALUE"""),46187.0)</f>
        <v>46187</v>
      </c>
      <c r="C9511" s="122" t="str">
        <f>IFERROR(__xludf.DUMMYFUNCTION("""COMPUTED_VALUE"""),"DENT")</f>
        <v>DENT</v>
      </c>
      <c r="D9511" s="122" t="str">
        <f>IFERROR(__xludf.DUMMYFUNCTION("""COMPUTED_VALUE"""),"SmileWorks")</f>
        <v>SmileWorks</v>
      </c>
      <c r="E9511" s="122">
        <f>IFERROR(__xludf.DUMMYFUNCTION("""COMPUTED_VALUE"""),99.81)</f>
        <v>99.81</v>
      </c>
      <c r="F9511" s="122">
        <f>IFERROR(__xludf.DUMMYFUNCTION("""COMPUTED_VALUE"""),0.0019)</f>
        <v>0.0019</v>
      </c>
    </row>
    <row r="9512">
      <c r="A9512" s="131">
        <f>IFERROR(__xludf.DUMMYFUNCTION("""COMPUTED_VALUE"""),46187.682025462964)</f>
        <v>46187.68203</v>
      </c>
      <c r="B9512" s="126">
        <f>IFERROR(__xludf.DUMMYFUNCTION("""COMPUTED_VALUE"""),46187.0)</f>
        <v>46187</v>
      </c>
      <c r="C9512" s="122" t="str">
        <f>IFERROR(__xludf.DUMMYFUNCTION("""COMPUTED_VALUE"""),"EDUX")</f>
        <v>EDUX</v>
      </c>
      <c r="D9512" s="122" t="str">
        <f>IFERROR(__xludf.DUMMYFUNCTION("""COMPUTED_VALUE"""),"EduMax Learning")</f>
        <v>EduMax Learning</v>
      </c>
      <c r="E9512" s="122">
        <f>IFERROR(__xludf.DUMMYFUNCTION("""COMPUTED_VALUE"""),154.99)</f>
        <v>154.99</v>
      </c>
      <c r="F9512" s="122">
        <f>IFERROR(__xludf.DUMMYFUNCTION("""COMPUTED_VALUE"""),-0.0012)</f>
        <v>-0.0012</v>
      </c>
    </row>
    <row r="9513">
      <c r="A9513" s="131">
        <f>IFERROR(__xludf.DUMMYFUNCTION("""COMPUTED_VALUE"""),46187.682025462964)</f>
        <v>46187.68203</v>
      </c>
      <c r="B9513" s="126">
        <f>IFERROR(__xludf.DUMMYFUNCTION("""COMPUTED_VALUE"""),46187.0)</f>
        <v>46187</v>
      </c>
      <c r="C9513" s="122" t="str">
        <f>IFERROR(__xludf.DUMMYFUNCTION("""COMPUTED_VALUE"""),"BOOK")</f>
        <v>BOOK</v>
      </c>
      <c r="D9513" s="122" t="str">
        <f>IFERROR(__xludf.DUMMYFUNCTION("""COMPUTED_VALUE"""),"BookBridge")</f>
        <v>BookBridge</v>
      </c>
      <c r="E9513" s="122">
        <f>IFERROR(__xludf.DUMMYFUNCTION("""COMPUTED_VALUE"""),119.92)</f>
        <v>119.92</v>
      </c>
      <c r="F9513" s="122">
        <f>IFERROR(__xludf.DUMMYFUNCTION("""COMPUTED_VALUE"""),1.0E-4)</f>
        <v>0.0001</v>
      </c>
    </row>
    <row r="9514">
      <c r="A9514" s="131">
        <f>IFERROR(__xludf.DUMMYFUNCTION("""COMPUTED_VALUE"""),46187.682025462964)</f>
        <v>46187.68203</v>
      </c>
      <c r="B9514" s="126">
        <f>IFERROR(__xludf.DUMMYFUNCTION("""COMPUTED_VALUE"""),46187.0)</f>
        <v>46187</v>
      </c>
      <c r="C9514" s="122" t="str">
        <f>IFERROR(__xludf.DUMMYFUNCTION("""COMPUTED_VALUE"""),"TUTR")</f>
        <v>TUTR</v>
      </c>
      <c r="D9514" s="122" t="str">
        <f>IFERROR(__xludf.DUMMYFUNCTION("""COMPUTED_VALUE"""),"TutorTown")</f>
        <v>TutorTown</v>
      </c>
      <c r="E9514" s="122">
        <f>IFERROR(__xludf.DUMMYFUNCTION("""COMPUTED_VALUE"""),93.79)</f>
        <v>93.79</v>
      </c>
      <c r="F9514" s="122">
        <f>IFERROR(__xludf.DUMMYFUNCTION("""COMPUTED_VALUE"""),0.0056)</f>
        <v>0.0056</v>
      </c>
    </row>
    <row r="9515">
      <c r="A9515" s="131">
        <f>IFERROR(__xludf.DUMMYFUNCTION("""COMPUTED_VALUE"""),46187.682025462964)</f>
        <v>46187.68203</v>
      </c>
      <c r="B9515" s="126">
        <f>IFERROR(__xludf.DUMMYFUNCTION("""COMPUTED_VALUE"""),46187.0)</f>
        <v>46187</v>
      </c>
      <c r="C9515" s="122" t="str">
        <f>IFERROR(__xludf.DUMMYFUNCTION("""COMPUTED_VALUE"""),"LANG")</f>
        <v>LANG</v>
      </c>
      <c r="D9515" s="122" t="str">
        <f>IFERROR(__xludf.DUMMYFUNCTION("""COMPUTED_VALUE"""),"LinguaLab")</f>
        <v>LinguaLab</v>
      </c>
      <c r="E9515" s="122">
        <f>IFERROR(__xludf.DUMMYFUNCTION("""COMPUTED_VALUE"""),103.18)</f>
        <v>103.18</v>
      </c>
      <c r="F9515" s="122">
        <f>IFERROR(__xludf.DUMMYFUNCTION("""COMPUTED_VALUE"""),0.0039)</f>
        <v>0.0039</v>
      </c>
    </row>
    <row r="9516">
      <c r="A9516" s="131">
        <f>IFERROR(__xludf.DUMMYFUNCTION("""COMPUTED_VALUE"""),46187.682025462964)</f>
        <v>46187.68203</v>
      </c>
      <c r="B9516" s="126">
        <f>IFERROR(__xludf.DUMMYFUNCTION("""COMPUTED_VALUE"""),46187.0)</f>
        <v>46187</v>
      </c>
      <c r="C9516" s="122" t="str">
        <f>IFERROR(__xludf.DUMMYFUNCTION("""COMPUTED_VALUE"""),"TEST")</f>
        <v>TEST</v>
      </c>
      <c r="D9516" s="122" t="str">
        <f>IFERROR(__xludf.DUMMYFUNCTION("""COMPUTED_VALUE"""),"TestPrep Pro")</f>
        <v>TestPrep Pro</v>
      </c>
      <c r="E9516" s="122">
        <f>IFERROR(__xludf.DUMMYFUNCTION("""COMPUTED_VALUE"""),87.12)</f>
        <v>87.12</v>
      </c>
      <c r="F9516" s="122">
        <f>IFERROR(__xludf.DUMMYFUNCTION("""COMPUTED_VALUE"""),-0.0063)</f>
        <v>-0.0063</v>
      </c>
    </row>
    <row r="9517">
      <c r="A9517" s="131">
        <f>IFERROR(__xludf.DUMMYFUNCTION("""COMPUTED_VALUE"""),46187.682025462964)</f>
        <v>46187.68203</v>
      </c>
      <c r="B9517" s="126">
        <f>IFERROR(__xludf.DUMMYFUNCTION("""COMPUTED_VALUE"""),46187.0)</f>
        <v>46187</v>
      </c>
      <c r="C9517" s="122" t="str">
        <f>IFERROR(__xludf.DUMMYFUNCTION("""COMPUTED_VALUE"""),"MOVI")</f>
        <v>MOVI</v>
      </c>
      <c r="D9517" s="122" t="str">
        <f>IFERROR(__xludf.DUMMYFUNCTION("""COMPUTED_VALUE"""),"MovieBox")</f>
        <v>MovieBox</v>
      </c>
      <c r="E9517" s="122">
        <f>IFERROR(__xludf.DUMMYFUNCTION("""COMPUTED_VALUE"""),84.11)</f>
        <v>84.11</v>
      </c>
      <c r="F9517" s="122">
        <f>IFERROR(__xludf.DUMMYFUNCTION("""COMPUTED_VALUE"""),-0.0051)</f>
        <v>-0.0051</v>
      </c>
    </row>
    <row r="9518">
      <c r="A9518" s="131">
        <f>IFERROR(__xludf.DUMMYFUNCTION("""COMPUTED_VALUE"""),46187.682025462964)</f>
        <v>46187.68203</v>
      </c>
      <c r="B9518" s="126">
        <f>IFERROR(__xludf.DUMMYFUNCTION("""COMPUTED_VALUE"""),46187.0)</f>
        <v>46187</v>
      </c>
      <c r="C9518" s="122" t="str">
        <f>IFERROR(__xludf.DUMMYFUNCTION("""COMPUTED_VALUE"""),"MUSC")</f>
        <v>MUSC</v>
      </c>
      <c r="D9518" s="122" t="str">
        <f>IFERROR(__xludf.DUMMYFUNCTION("""COMPUTED_VALUE"""),"MusicWave")</f>
        <v>MusicWave</v>
      </c>
      <c r="E9518" s="122">
        <f>IFERROR(__xludf.DUMMYFUNCTION("""COMPUTED_VALUE"""),103.54)</f>
        <v>103.54</v>
      </c>
      <c r="F9518" s="122">
        <f>IFERROR(__xludf.DUMMYFUNCTION("""COMPUTED_VALUE"""),-8.0E-4)</f>
        <v>-0.0008</v>
      </c>
    </row>
    <row r="9519">
      <c r="A9519" s="131">
        <f>IFERROR(__xludf.DUMMYFUNCTION("""COMPUTED_VALUE"""),46187.682025462964)</f>
        <v>46187.68203</v>
      </c>
      <c r="B9519" s="126">
        <f>IFERROR(__xludf.DUMMYFUNCTION("""COMPUTED_VALUE"""),46187.0)</f>
        <v>46187</v>
      </c>
      <c r="C9519" s="122" t="str">
        <f>IFERROR(__xludf.DUMMYFUNCTION("""COMPUTED_VALUE"""),"IDOL")</f>
        <v>IDOL</v>
      </c>
      <c r="D9519" s="122" t="str">
        <f>IFERROR(__xludf.DUMMYFUNCTION("""COMPUTED_VALUE"""),"Idol Agency")</f>
        <v>Idol Agency</v>
      </c>
      <c r="E9519" s="122">
        <f>IFERROR(__xludf.DUMMYFUNCTION("""COMPUTED_VALUE"""),188.75)</f>
        <v>188.75</v>
      </c>
      <c r="F9519" s="122">
        <f>IFERROR(__xludf.DUMMYFUNCTION("""COMPUTED_VALUE"""),0.0014)</f>
        <v>0.0014</v>
      </c>
    </row>
    <row r="9520">
      <c r="A9520" s="131">
        <f>IFERROR(__xludf.DUMMYFUNCTION("""COMPUTED_VALUE"""),46187.682025462964)</f>
        <v>46187.68203</v>
      </c>
      <c r="B9520" s="126">
        <f>IFERROR(__xludf.DUMMYFUNCTION("""COMPUTED_VALUE"""),46187.0)</f>
        <v>46187</v>
      </c>
      <c r="C9520" s="122" t="str">
        <f>IFERROR(__xludf.DUMMYFUNCTION("""COMPUTED_VALUE"""),"MEME")</f>
        <v>MEME</v>
      </c>
      <c r="D9520" s="122" t="str">
        <f>IFERROR(__xludf.DUMMYFUNCTION("""COMPUTED_VALUE"""),"Meme Media")</f>
        <v>Meme Media</v>
      </c>
      <c r="E9520" s="122">
        <f>IFERROR(__xludf.DUMMYFUNCTION("""COMPUTED_VALUE"""),75.54)</f>
        <v>75.54</v>
      </c>
      <c r="F9520" s="122">
        <f>IFERROR(__xludf.DUMMYFUNCTION("""COMPUTED_VALUE"""),0.0094)</f>
        <v>0.0094</v>
      </c>
    </row>
    <row r="9521">
      <c r="A9521" s="131">
        <f>IFERROR(__xludf.DUMMYFUNCTION("""COMPUTED_VALUE"""),46187.682025462964)</f>
        <v>46187.68203</v>
      </c>
      <c r="B9521" s="126">
        <f>IFERROR(__xludf.DUMMYFUNCTION("""COMPUTED_VALUE"""),46187.0)</f>
        <v>46187</v>
      </c>
      <c r="C9521" s="122" t="str">
        <f>IFERROR(__xludf.DUMMYFUNCTION("""COMPUTED_VALUE"""),"STRM")</f>
        <v>STRM</v>
      </c>
      <c r="D9521" s="122" t="str">
        <f>IFERROR(__xludf.DUMMYFUNCTION("""COMPUTED_VALUE"""),"Streamly")</f>
        <v>Streamly</v>
      </c>
      <c r="E9521" s="122">
        <f>IFERROR(__xludf.DUMMYFUNCTION("""COMPUTED_VALUE"""),131.19)</f>
        <v>131.19</v>
      </c>
      <c r="F9521" s="122">
        <f>IFERROR(__xludf.DUMMYFUNCTION("""COMPUTED_VALUE"""),0.0064)</f>
        <v>0.0064</v>
      </c>
    </row>
    <row r="9522">
      <c r="A9522" s="131">
        <f>IFERROR(__xludf.DUMMYFUNCTION("""COMPUTED_VALUE"""),46187.682025462964)</f>
        <v>46187.68203</v>
      </c>
      <c r="B9522" s="126">
        <f>IFERROR(__xludf.DUMMYFUNCTION("""COMPUTED_VALUE"""),46187.0)</f>
        <v>46187</v>
      </c>
      <c r="C9522" s="122" t="str">
        <f>IFERROR(__xludf.DUMMYFUNCTION("""COMPUTED_VALUE"""),"FARM")</f>
        <v>FARM</v>
      </c>
      <c r="D9522" s="122" t="str">
        <f>IFERROR(__xludf.DUMMYFUNCTION("""COMPUTED_VALUE"""),"Future Farms")</f>
        <v>Future Farms</v>
      </c>
      <c r="E9522" s="122">
        <f>IFERROR(__xludf.DUMMYFUNCTION("""COMPUTED_VALUE"""),101.54)</f>
        <v>101.54</v>
      </c>
      <c r="F9522" s="122">
        <f>IFERROR(__xludf.DUMMYFUNCTION("""COMPUTED_VALUE"""),6.0E-4)</f>
        <v>0.0006</v>
      </c>
    </row>
    <row r="9523">
      <c r="A9523" s="131">
        <f>IFERROR(__xludf.DUMMYFUNCTION("""COMPUTED_VALUE"""),46187.682025462964)</f>
        <v>46187.68203</v>
      </c>
      <c r="B9523" s="126">
        <f>IFERROR(__xludf.DUMMYFUNCTION("""COMPUTED_VALUE"""),46187.0)</f>
        <v>46187</v>
      </c>
      <c r="C9523" s="122" t="str">
        <f>IFERROR(__xludf.DUMMYFUNCTION("""COMPUTED_VALUE"""),"MEAT")</f>
        <v>MEAT</v>
      </c>
      <c r="D9523" s="122" t="str">
        <f>IFERROR(__xludf.DUMMYFUNCTION("""COMPUTED_VALUE"""),"MeatWorks")</f>
        <v>MeatWorks</v>
      </c>
      <c r="E9523" s="122">
        <f>IFERROR(__xludf.DUMMYFUNCTION("""COMPUTED_VALUE"""),105.15)</f>
        <v>105.15</v>
      </c>
      <c r="F9523" s="122">
        <f>IFERROR(__xludf.DUMMYFUNCTION("""COMPUTED_VALUE"""),0.0015)</f>
        <v>0.0015</v>
      </c>
    </row>
    <row r="9524">
      <c r="A9524" s="131">
        <f>IFERROR(__xludf.DUMMYFUNCTION("""COMPUTED_VALUE"""),46187.682025462964)</f>
        <v>46187.68203</v>
      </c>
      <c r="B9524" s="126">
        <f>IFERROR(__xludf.DUMMYFUNCTION("""COMPUTED_VALUE"""),46187.0)</f>
        <v>46187</v>
      </c>
      <c r="C9524" s="122" t="str">
        <f>IFERROR(__xludf.DUMMYFUNCTION("""COMPUTED_VALUE"""),"VEGI")</f>
        <v>VEGI</v>
      </c>
      <c r="D9524" s="122" t="str">
        <f>IFERROR(__xludf.DUMMYFUNCTION("""COMPUTED_VALUE"""),"Green Basket")</f>
        <v>Green Basket</v>
      </c>
      <c r="E9524" s="122">
        <f>IFERROR(__xludf.DUMMYFUNCTION("""COMPUTED_VALUE"""),76.79)</f>
        <v>76.79</v>
      </c>
      <c r="F9524" s="122">
        <f>IFERROR(__xludf.DUMMYFUNCTION("""COMPUTED_VALUE"""),0.002)</f>
        <v>0.002</v>
      </c>
    </row>
    <row r="9525">
      <c r="A9525" s="131">
        <f>IFERROR(__xludf.DUMMYFUNCTION("""COMPUTED_VALUE"""),46187.682025462964)</f>
        <v>46187.68203</v>
      </c>
      <c r="B9525" s="126">
        <f>IFERROR(__xludf.DUMMYFUNCTION("""COMPUTED_VALUE"""),46187.0)</f>
        <v>46187</v>
      </c>
      <c r="C9525" s="122" t="str">
        <f>IFERROR(__xludf.DUMMYFUNCTION("""COMPUTED_VALUE"""),"CAFE")</f>
        <v>CAFE</v>
      </c>
      <c r="D9525" s="122" t="str">
        <f>IFERROR(__xludf.DUMMYFUNCTION("""COMPUTED_VALUE"""),"Cafe Cloud")</f>
        <v>Cafe Cloud</v>
      </c>
      <c r="E9525" s="122">
        <f>IFERROR(__xludf.DUMMYFUNCTION("""COMPUTED_VALUE"""),104.11)</f>
        <v>104.11</v>
      </c>
      <c r="F9525" s="122">
        <f>IFERROR(__xludf.DUMMYFUNCTION("""COMPUTED_VALUE"""),-0.0053)</f>
        <v>-0.0053</v>
      </c>
    </row>
    <row r="9526">
      <c r="A9526" s="131">
        <f>IFERROR(__xludf.DUMMYFUNCTION("""COMPUTED_VALUE"""),46187.682025462964)</f>
        <v>46187.68203</v>
      </c>
      <c r="B9526" s="126">
        <f>IFERROR(__xludf.DUMMYFUNCTION("""COMPUTED_VALUE"""),46187.0)</f>
        <v>46187</v>
      </c>
      <c r="C9526" s="122" t="str">
        <f>IFERROR(__xludf.DUMMYFUNCTION("""COMPUTED_VALUE"""),"BAKE")</f>
        <v>BAKE</v>
      </c>
      <c r="D9526" s="122" t="str">
        <f>IFERROR(__xludf.DUMMYFUNCTION("""COMPUTED_VALUE"""),"BakeHouse")</f>
        <v>BakeHouse</v>
      </c>
      <c r="E9526" s="122">
        <f>IFERROR(__xludf.DUMMYFUNCTION("""COMPUTED_VALUE"""),99.8)</f>
        <v>99.8</v>
      </c>
      <c r="F9526" s="122">
        <f>IFERROR(__xludf.DUMMYFUNCTION("""COMPUTED_VALUE"""),-0.0045)</f>
        <v>-0.0045</v>
      </c>
    </row>
    <row r="9527">
      <c r="A9527" s="131">
        <f>IFERROR(__xludf.DUMMYFUNCTION("""COMPUTED_VALUE"""),46187.682025462964)</f>
        <v>46187.68203</v>
      </c>
      <c r="B9527" s="126">
        <f>IFERROR(__xludf.DUMMYFUNCTION("""COMPUTED_VALUE"""),46187.0)</f>
        <v>46187</v>
      </c>
      <c r="C9527" s="122" t="str">
        <f>IFERROR(__xludf.DUMMYFUNCTION("""COMPUTED_VALUE"""),"OILX")</f>
        <v>OILX</v>
      </c>
      <c r="D9527" s="122" t="str">
        <f>IFERROR(__xludf.DUMMYFUNCTION("""COMPUTED_VALUE"""),"OilMax Energy")</f>
        <v>OilMax Energy</v>
      </c>
      <c r="E9527" s="122">
        <f>IFERROR(__xludf.DUMMYFUNCTION("""COMPUTED_VALUE"""),135.54)</f>
        <v>135.54</v>
      </c>
      <c r="F9527" s="122">
        <f>IFERROR(__xludf.DUMMYFUNCTION("""COMPUTED_VALUE"""),-0.004)</f>
        <v>-0.004</v>
      </c>
    </row>
    <row r="9528">
      <c r="A9528" s="131">
        <f>IFERROR(__xludf.DUMMYFUNCTION("""COMPUTED_VALUE"""),46187.682025462964)</f>
        <v>46187.68203</v>
      </c>
      <c r="B9528" s="126">
        <f>IFERROR(__xludf.DUMMYFUNCTION("""COMPUTED_VALUE"""),46187.0)</f>
        <v>46187</v>
      </c>
      <c r="C9528" s="122" t="str">
        <f>IFERROR(__xludf.DUMMYFUNCTION("""COMPUTED_VALUE"""),"SOLR")</f>
        <v>SOLR</v>
      </c>
      <c r="D9528" s="122" t="str">
        <f>IFERROR(__xludf.DUMMYFUNCTION("""COMPUTED_VALUE"""),"SolarSpark")</f>
        <v>SolarSpark</v>
      </c>
      <c r="E9528" s="122">
        <f>IFERROR(__xludf.DUMMYFUNCTION("""COMPUTED_VALUE"""),108.21)</f>
        <v>108.21</v>
      </c>
      <c r="F9528" s="122">
        <f>IFERROR(__xludf.DUMMYFUNCTION("""COMPUTED_VALUE"""),0.0089)</f>
        <v>0.0089</v>
      </c>
    </row>
    <row r="9529">
      <c r="A9529" s="131">
        <f>IFERROR(__xludf.DUMMYFUNCTION("""COMPUTED_VALUE"""),46187.682025462964)</f>
        <v>46187.68203</v>
      </c>
      <c r="B9529" s="126">
        <f>IFERROR(__xludf.DUMMYFUNCTION("""COMPUTED_VALUE"""),46187.0)</f>
        <v>46187</v>
      </c>
      <c r="C9529" s="122" t="str">
        <f>IFERROR(__xludf.DUMMYFUNCTION("""COMPUTED_VALUE"""),"BATT")</f>
        <v>BATT</v>
      </c>
      <c r="D9529" s="122" t="str">
        <f>IFERROR(__xludf.DUMMYFUNCTION("""COMPUTED_VALUE"""),"BatteryBox")</f>
        <v>BatteryBox</v>
      </c>
      <c r="E9529" s="122">
        <f>IFERROR(__xludf.DUMMYFUNCTION("""COMPUTED_VALUE"""),118.42)</f>
        <v>118.42</v>
      </c>
      <c r="F9529" s="122">
        <f>IFERROR(__xludf.DUMMYFUNCTION("""COMPUTED_VALUE"""),-0.0106)</f>
        <v>-0.0106</v>
      </c>
    </row>
    <row r="9530">
      <c r="A9530" s="131">
        <f>IFERROR(__xludf.DUMMYFUNCTION("""COMPUTED_VALUE"""),46187.682025462964)</f>
        <v>46187.68203</v>
      </c>
      <c r="B9530" s="126">
        <f>IFERROR(__xludf.DUMMYFUNCTION("""COMPUTED_VALUE"""),46187.0)</f>
        <v>46187</v>
      </c>
      <c r="C9530" s="122" t="str">
        <f>IFERROR(__xludf.DUMMYFUNCTION("""COMPUTED_VALUE"""),"WIND")</f>
        <v>WIND</v>
      </c>
      <c r="D9530" s="122" t="str">
        <f>IFERROR(__xludf.DUMMYFUNCTION("""COMPUTED_VALUE"""),"WindWorks")</f>
        <v>WindWorks</v>
      </c>
      <c r="E9530" s="122">
        <f>IFERROR(__xludf.DUMMYFUNCTION("""COMPUTED_VALUE"""),86.96)</f>
        <v>86.96</v>
      </c>
      <c r="F9530" s="122">
        <f>IFERROR(__xludf.DUMMYFUNCTION("""COMPUTED_VALUE"""),2.0E-4)</f>
        <v>0.0002</v>
      </c>
    </row>
    <row r="9531">
      <c r="A9531" s="131">
        <f>IFERROR(__xludf.DUMMYFUNCTION("""COMPUTED_VALUE"""),46187.682025462964)</f>
        <v>46187.68203</v>
      </c>
      <c r="B9531" s="126">
        <f>IFERROR(__xludf.DUMMYFUNCTION("""COMPUTED_VALUE"""),46187.0)</f>
        <v>46187</v>
      </c>
      <c r="C9531" s="122" t="str">
        <f>IFERROR(__xludf.DUMMYFUNCTION("""COMPUTED_VALUE"""),"GRID")</f>
        <v>GRID</v>
      </c>
      <c r="D9531" s="122" t="str">
        <f>IFERROR(__xludf.DUMMYFUNCTION("""COMPUTED_VALUE"""),"GridPower")</f>
        <v>GridPower</v>
      </c>
      <c r="E9531" s="122">
        <f>IFERROR(__xludf.DUMMYFUNCTION("""COMPUTED_VALUE"""),125.19)</f>
        <v>125.19</v>
      </c>
      <c r="F9531" s="122">
        <f>IFERROR(__xludf.DUMMYFUNCTION("""COMPUTED_VALUE"""),0.0026)</f>
        <v>0.0026</v>
      </c>
    </row>
    <row r="9532">
      <c r="A9532" s="131">
        <f>IFERROR(__xludf.DUMMYFUNCTION("""COMPUTED_VALUE"""),46187.682025462964)</f>
        <v>46187.68203</v>
      </c>
      <c r="B9532" s="126">
        <f>IFERROR(__xludf.DUMMYFUNCTION("""COMPUTED_VALUE"""),46187.0)</f>
        <v>46187</v>
      </c>
      <c r="C9532" s="122" t="str">
        <f>IFERROR(__xludf.DUMMYFUNCTION("""COMPUTED_VALUE"""),"HOME")</f>
        <v>HOME</v>
      </c>
      <c r="D9532" s="122" t="str">
        <f>IFERROR(__xludf.DUMMYFUNCTION("""COMPUTED_VALUE"""),"HomeHub")</f>
        <v>HomeHub</v>
      </c>
      <c r="E9532" s="122">
        <f>IFERROR(__xludf.DUMMYFUNCTION("""COMPUTED_VALUE"""),162.83)</f>
        <v>162.83</v>
      </c>
      <c r="F9532" s="122">
        <f>IFERROR(__xludf.DUMMYFUNCTION("""COMPUTED_VALUE"""),-7.0E-4)</f>
        <v>-0.0007</v>
      </c>
    </row>
    <row r="9533">
      <c r="A9533" s="131">
        <f>IFERROR(__xludf.DUMMYFUNCTION("""COMPUTED_VALUE"""),46187.682025462964)</f>
        <v>46187.68203</v>
      </c>
      <c r="B9533" s="126">
        <f>IFERROR(__xludf.DUMMYFUNCTION("""COMPUTED_VALUE"""),46187.0)</f>
        <v>46187</v>
      </c>
      <c r="C9533" s="122" t="str">
        <f>IFERROR(__xludf.DUMMYFUNCTION("""COMPUTED_VALUE"""),"RENT")</f>
        <v>RENT</v>
      </c>
      <c r="D9533" s="122" t="str">
        <f>IFERROR(__xludf.DUMMYFUNCTION("""COMPUTED_VALUE"""),"RentRight")</f>
        <v>RentRight</v>
      </c>
      <c r="E9533" s="122">
        <f>IFERROR(__xludf.DUMMYFUNCTION("""COMPUTED_VALUE"""),88.89)</f>
        <v>88.89</v>
      </c>
      <c r="F9533" s="122">
        <f>IFERROR(__xludf.DUMMYFUNCTION("""COMPUTED_VALUE"""),-0.0049)</f>
        <v>-0.0049</v>
      </c>
    </row>
    <row r="9534">
      <c r="A9534" s="131">
        <f>IFERROR(__xludf.DUMMYFUNCTION("""COMPUTED_VALUE"""),46187.682025462964)</f>
        <v>46187.68203</v>
      </c>
      <c r="B9534" s="126">
        <f>IFERROR(__xludf.DUMMYFUNCTION("""COMPUTED_VALUE"""),46187.0)</f>
        <v>46187</v>
      </c>
      <c r="C9534" s="122" t="str">
        <f>IFERROR(__xludf.DUMMYFUNCTION("""COMPUTED_VALUE"""),"MALL")</f>
        <v>MALL</v>
      </c>
      <c r="D9534" s="122" t="str">
        <f>IFERROR(__xludf.DUMMYFUNCTION("""COMPUTED_VALUE"""),"MegaMall")</f>
        <v>MegaMall</v>
      </c>
      <c r="E9534" s="122">
        <f>IFERROR(__xludf.DUMMYFUNCTION("""COMPUTED_VALUE"""),101.81)</f>
        <v>101.81</v>
      </c>
      <c r="F9534" s="122">
        <f>IFERROR(__xludf.DUMMYFUNCTION("""COMPUTED_VALUE"""),0.0035)</f>
        <v>0.0035</v>
      </c>
    </row>
    <row r="9535">
      <c r="A9535" s="131">
        <f>IFERROR(__xludf.DUMMYFUNCTION("""COMPUTED_VALUE"""),46187.682025462964)</f>
        <v>46187.68203</v>
      </c>
      <c r="B9535" s="126">
        <f>IFERROR(__xludf.DUMMYFUNCTION("""COMPUTED_VALUE"""),46187.0)</f>
        <v>46187</v>
      </c>
      <c r="C9535" s="122" t="str">
        <f>IFERROR(__xludf.DUMMYFUNCTION("""COMPUTED_VALUE"""),"HOTL")</f>
        <v>HOTL</v>
      </c>
      <c r="D9535" s="122" t="str">
        <f>IFERROR(__xludf.DUMMYFUNCTION("""COMPUTED_VALUE"""),"HotelHive")</f>
        <v>HotelHive</v>
      </c>
      <c r="E9535" s="122">
        <f>IFERROR(__xludf.DUMMYFUNCTION("""COMPUTED_VALUE"""),118.18)</f>
        <v>118.18</v>
      </c>
      <c r="F9535" s="122">
        <f>IFERROR(__xludf.DUMMYFUNCTION("""COMPUTED_VALUE"""),-0.0034)</f>
        <v>-0.0034</v>
      </c>
    </row>
    <row r="9536">
      <c r="A9536" s="131">
        <f>IFERROR(__xludf.DUMMYFUNCTION("""COMPUTED_VALUE"""),46187.682025462964)</f>
        <v>46187.68203</v>
      </c>
      <c r="B9536" s="126">
        <f>IFERROR(__xludf.DUMMYFUNCTION("""COMPUTED_VALUE"""),46187.0)</f>
        <v>46187</v>
      </c>
      <c r="C9536" s="122" t="str">
        <f>IFERROR(__xludf.DUMMYFUNCTION("""COMPUTED_VALUE"""),"LAND")</f>
        <v>LAND</v>
      </c>
      <c r="D9536" s="122" t="str">
        <f>IFERROR(__xludf.DUMMYFUNCTION("""COMPUTED_VALUE"""),"LandLink")</f>
        <v>LandLink</v>
      </c>
      <c r="E9536" s="122">
        <f>IFERROR(__xludf.DUMMYFUNCTION("""COMPUTED_VALUE"""),188.25)</f>
        <v>188.25</v>
      </c>
      <c r="F9536" s="122">
        <f>IFERROR(__xludf.DUMMYFUNCTION("""COMPUTED_VALUE"""),8.0E-4)</f>
        <v>0.0008</v>
      </c>
    </row>
    <row r="9537">
      <c r="A9537" s="131">
        <f>IFERROR(__xludf.DUMMYFUNCTION("""COMPUTED_VALUE"""),46187.682025462964)</f>
        <v>46187.68203</v>
      </c>
      <c r="B9537" s="126">
        <f>IFERROR(__xludf.DUMMYFUNCTION("""COMPUTED_VALUE"""),46187.0)</f>
        <v>46187</v>
      </c>
      <c r="C9537" s="122" t="str">
        <f>IFERROR(__xludf.DUMMYFUNCTION("""COMPUTED_VALUE"""),"CARS")</f>
        <v>CARS</v>
      </c>
      <c r="D9537" s="122" t="str">
        <f>IFERROR(__xludf.DUMMYFUNCTION("""COMPUTED_VALUE"""),"AutoArena")</f>
        <v>AutoArena</v>
      </c>
      <c r="E9537" s="122">
        <f>IFERROR(__xludf.DUMMYFUNCTION("""COMPUTED_VALUE"""),82.26)</f>
        <v>82.26</v>
      </c>
      <c r="F9537" s="122">
        <f>IFERROR(__xludf.DUMMYFUNCTION("""COMPUTED_VALUE"""),0.0062)</f>
        <v>0.0062</v>
      </c>
    </row>
    <row r="9538">
      <c r="A9538" s="131">
        <f>IFERROR(__xludf.DUMMYFUNCTION("""COMPUTED_VALUE"""),46187.682025462964)</f>
        <v>46187.68203</v>
      </c>
      <c r="B9538" s="126">
        <f>IFERROR(__xludf.DUMMYFUNCTION("""COMPUTED_VALUE"""),46187.0)</f>
        <v>46187</v>
      </c>
      <c r="C9538" s="122" t="str">
        <f>IFERROR(__xludf.DUMMYFUNCTION("""COMPUTED_VALUE"""),"EVGO")</f>
        <v>EVGO</v>
      </c>
      <c r="D9538" s="122" t="str">
        <f>IFERROR(__xludf.DUMMYFUNCTION("""COMPUTED_VALUE"""),"EVGo Motors")</f>
        <v>EVGo Motors</v>
      </c>
      <c r="E9538" s="122">
        <f>IFERROR(__xludf.DUMMYFUNCTION("""COMPUTED_VALUE"""),196.35)</f>
        <v>196.35</v>
      </c>
      <c r="F9538" s="122">
        <f>IFERROR(__xludf.DUMMYFUNCTION("""COMPUTED_VALUE"""),9.0E-4)</f>
        <v>0.0009</v>
      </c>
    </row>
    <row r="9539">
      <c r="A9539" s="131">
        <f>IFERROR(__xludf.DUMMYFUNCTION("""COMPUTED_VALUE"""),46187.682025462964)</f>
        <v>46187.68203</v>
      </c>
      <c r="B9539" s="126">
        <f>IFERROR(__xludf.DUMMYFUNCTION("""COMPUTED_VALUE"""),46187.0)</f>
        <v>46187</v>
      </c>
      <c r="C9539" s="122" t="str">
        <f>IFERROR(__xludf.DUMMYFUNCTION("""COMPUTED_VALUE"""),"TIRE")</f>
        <v>TIRE</v>
      </c>
      <c r="D9539" s="122" t="str">
        <f>IFERROR(__xludf.DUMMYFUNCTION("""COMPUTED_VALUE"""),"TireTown")</f>
        <v>TireTown</v>
      </c>
      <c r="E9539" s="122">
        <f>IFERROR(__xludf.DUMMYFUNCTION("""COMPUTED_VALUE"""),99.96)</f>
        <v>99.96</v>
      </c>
      <c r="F9539" s="122">
        <f>IFERROR(__xludf.DUMMYFUNCTION("""COMPUTED_VALUE"""),0.0065)</f>
        <v>0.0065</v>
      </c>
    </row>
    <row r="9540">
      <c r="A9540" s="131">
        <f>IFERROR(__xludf.DUMMYFUNCTION("""COMPUTED_VALUE"""),46187.682025462964)</f>
        <v>46187.68203</v>
      </c>
      <c r="B9540" s="126">
        <f>IFERROR(__xludf.DUMMYFUNCTION("""COMPUTED_VALUE"""),46187.0)</f>
        <v>46187</v>
      </c>
      <c r="C9540" s="122" t="str">
        <f>IFERROR(__xludf.DUMMYFUNCTION("""COMPUTED_VALUE"""),"BIKE")</f>
        <v>BIKE</v>
      </c>
      <c r="D9540" s="122" t="str">
        <f>IFERROR(__xludf.DUMMYFUNCTION("""COMPUTED_VALUE"""),"BikeBox")</f>
        <v>BikeBox</v>
      </c>
      <c r="E9540" s="122">
        <f>IFERROR(__xludf.DUMMYFUNCTION("""COMPUTED_VALUE"""),51.31)</f>
        <v>51.31</v>
      </c>
      <c r="F9540" s="122">
        <f>IFERROR(__xludf.DUMMYFUNCTION("""COMPUTED_VALUE"""),-0.0016)</f>
        <v>-0.0016</v>
      </c>
    </row>
    <row r="9541">
      <c r="A9541" s="131">
        <f>IFERROR(__xludf.DUMMYFUNCTION("""COMPUTED_VALUE"""),46187.682025462964)</f>
        <v>46187.68203</v>
      </c>
      <c r="B9541" s="126">
        <f>IFERROR(__xludf.DUMMYFUNCTION("""COMPUTED_VALUE"""),46187.0)</f>
        <v>46187</v>
      </c>
      <c r="C9541" s="122" t="str">
        <f>IFERROR(__xludf.DUMMYFUNCTION("""COMPUTED_VALUE"""),"WASH")</f>
        <v>WASH</v>
      </c>
      <c r="D9541" s="122" t="str">
        <f>IFERROR(__xludf.DUMMYFUNCTION("""COMPUTED_VALUE"""),"CarWash Co")</f>
        <v>CarWash Co</v>
      </c>
      <c r="E9541" s="122">
        <f>IFERROR(__xludf.DUMMYFUNCTION("""COMPUTED_VALUE"""),123.87)</f>
        <v>123.87</v>
      </c>
      <c r="F9541" s="122">
        <f>IFERROR(__xludf.DUMMYFUNCTION("""COMPUTED_VALUE"""),-0.0027)</f>
        <v>-0.0027</v>
      </c>
    </row>
    <row r="9542">
      <c r="A9542" s="131">
        <f>IFERROR(__xludf.DUMMYFUNCTION("""COMPUTED_VALUE"""),46187.682025462964)</f>
        <v>46187.68203</v>
      </c>
      <c r="B9542" s="126">
        <f>IFERROR(__xludf.DUMMYFUNCTION("""COMPUTED_VALUE"""),46187.0)</f>
        <v>46187</v>
      </c>
      <c r="C9542" s="122" t="str">
        <f>IFERROR(__xludf.DUMMYFUNCTION("""COMPUTED_VALUE"""),"GBND")</f>
        <v>GBND</v>
      </c>
      <c r="D9542" s="122" t="str">
        <f>IFERROR(__xludf.DUMMYFUNCTION("""COMPUTED_VALUE"""),"Classroom Government Bond")</f>
        <v>Classroom Government Bond</v>
      </c>
      <c r="E9542" s="122">
        <f>IFERROR(__xludf.DUMMYFUNCTION("""COMPUTED_VALUE"""),101.22)</f>
        <v>101.22</v>
      </c>
      <c r="F9542" s="122">
        <f>IFERROR(__xludf.DUMMYFUNCTION("""COMPUTED_VALUE"""),1.0E-4)</f>
        <v>0.0001</v>
      </c>
    </row>
    <row r="9543">
      <c r="A9543" s="131">
        <f>IFERROR(__xludf.DUMMYFUNCTION("""COMPUTED_VALUE"""),46187.682025462964)</f>
        <v>46187.68203</v>
      </c>
      <c r="B9543" s="126">
        <f>IFERROR(__xludf.DUMMYFUNCTION("""COMPUTED_VALUE"""),46187.0)</f>
        <v>46187</v>
      </c>
      <c r="C9543" s="122" t="str">
        <f>IFERROR(__xludf.DUMMYFUNCTION("""COMPUTED_VALUE"""),"SBND")</f>
        <v>SBND</v>
      </c>
      <c r="D9543" s="122" t="str">
        <f>IFERROR(__xludf.DUMMYFUNCTION("""COMPUTED_VALUE"""),"School Savings Bond")</f>
        <v>School Savings Bond</v>
      </c>
      <c r="E9543" s="122">
        <f>IFERROR(__xludf.DUMMYFUNCTION("""COMPUTED_VALUE"""),99.27)</f>
        <v>99.27</v>
      </c>
      <c r="F9543" s="122">
        <f>IFERROR(__xludf.DUMMYFUNCTION("""COMPUTED_VALUE"""),3.0E-4)</f>
        <v>0.0003</v>
      </c>
    </row>
    <row r="9544">
      <c r="A9544" s="131">
        <f>IFERROR(__xludf.DUMMYFUNCTION("""COMPUTED_VALUE"""),46187.682025462964)</f>
        <v>46187.68203</v>
      </c>
      <c r="B9544" s="126">
        <f>IFERROR(__xludf.DUMMYFUNCTION("""COMPUTED_VALUE"""),46187.0)</f>
        <v>46187</v>
      </c>
      <c r="C9544" s="122" t="str">
        <f>IFERROR(__xludf.DUMMYFUNCTION("""COMPUTED_VALUE"""),"CBND")</f>
        <v>CBND</v>
      </c>
      <c r="D9544" s="122" t="str">
        <f>IFERROR(__xludf.DUMMYFUNCTION("""COMPUTED_VALUE"""),"Corporate Classroom Bond")</f>
        <v>Corporate Classroom Bond</v>
      </c>
      <c r="E9544" s="122">
        <f>IFERROR(__xludf.DUMMYFUNCTION("""COMPUTED_VALUE"""),97.99)</f>
        <v>97.99</v>
      </c>
      <c r="F9544" s="122">
        <f>IFERROR(__xludf.DUMMYFUNCTION("""COMPUTED_VALUE"""),4.0E-4)</f>
        <v>0.0004</v>
      </c>
    </row>
    <row r="9545">
      <c r="A9545" s="131">
        <f>IFERROR(__xludf.DUMMYFUNCTION("""COMPUTED_VALUE"""),46187.682025462964)</f>
        <v>46187.68203</v>
      </c>
      <c r="B9545" s="126">
        <f>IFERROR(__xludf.DUMMYFUNCTION("""COMPUTED_VALUE"""),46187.0)</f>
        <v>46187</v>
      </c>
      <c r="C9545" s="122" t="str">
        <f>IFERROR(__xludf.DUMMYFUNCTION("""COMPUTED_VALUE"""),"TBIL")</f>
        <v>TBIL</v>
      </c>
      <c r="D9545" s="122" t="str">
        <f>IFERROR(__xludf.DUMMYFUNCTION("""COMPUTED_VALUE"""),"Treasury Bill")</f>
        <v>Treasury Bill</v>
      </c>
      <c r="E9545" s="122">
        <f>IFERROR(__xludf.DUMMYFUNCTION("""COMPUTED_VALUE"""),97.84)</f>
        <v>97.84</v>
      </c>
      <c r="F9545" s="122">
        <f>IFERROR(__xludf.DUMMYFUNCTION("""COMPUTED_VALUE"""),5.0E-4)</f>
        <v>0.0005</v>
      </c>
    </row>
    <row r="9546">
      <c r="A9546" s="131">
        <f>IFERROR(__xludf.DUMMYFUNCTION("""COMPUTED_VALUE"""),46187.682025462964)</f>
        <v>46187.68203</v>
      </c>
      <c r="B9546" s="126">
        <f>IFERROR(__xludf.DUMMYFUNCTION("""COMPUTED_VALUE"""),46187.0)</f>
        <v>46187</v>
      </c>
      <c r="C9546" s="122" t="str">
        <f>IFERROR(__xludf.DUMMYFUNCTION("""COMPUTED_VALUE"""),"IBND")</f>
        <v>IBND</v>
      </c>
      <c r="D9546" s="122" t="str">
        <f>IFERROR(__xludf.DUMMYFUNCTION("""COMPUTED_VALUE"""),"Inflation Protected Bond")</f>
        <v>Inflation Protected Bond</v>
      </c>
      <c r="E9546" s="122">
        <f>IFERROR(__xludf.DUMMYFUNCTION("""COMPUTED_VALUE"""),100.68)</f>
        <v>100.68</v>
      </c>
      <c r="F9546" s="122">
        <f>IFERROR(__xludf.DUMMYFUNCTION("""COMPUTED_VALUE"""),-2.0E-4)</f>
        <v>-0.0002</v>
      </c>
    </row>
    <row r="9547">
      <c r="A9547" s="131">
        <f>IFERROR(__xludf.DUMMYFUNCTION("""COMPUTED_VALUE"""),46187.68560185185)</f>
        <v>46187.6856</v>
      </c>
      <c r="B9547" s="126">
        <f>IFERROR(__xludf.DUMMYFUNCTION("""COMPUTED_VALUE"""),46187.0)</f>
        <v>46187</v>
      </c>
      <c r="C9547" s="122" t="str">
        <f>IFERROR(__xludf.DUMMYFUNCTION("""COMPUTED_VALUE"""),"SNAX")</f>
        <v>SNAX</v>
      </c>
      <c r="D9547" s="122" t="str">
        <f>IFERROR(__xludf.DUMMYFUNCTION("""COMPUTED_VALUE"""),"MICA Snacks")</f>
        <v>MICA Snacks</v>
      </c>
      <c r="E9547" s="122">
        <f>IFERROR(__xludf.DUMMYFUNCTION("""COMPUTED_VALUE"""),121.27)</f>
        <v>121.27</v>
      </c>
      <c r="F9547" s="122">
        <f>IFERROR(__xludf.DUMMYFUNCTION("""COMPUTED_VALUE"""),0.0046)</f>
        <v>0.0046</v>
      </c>
    </row>
    <row r="9548">
      <c r="A9548" s="131">
        <f>IFERROR(__xludf.DUMMYFUNCTION("""COMPUTED_VALUE"""),46187.68560185185)</f>
        <v>46187.6856</v>
      </c>
      <c r="B9548" s="126">
        <f>IFERROR(__xludf.DUMMYFUNCTION("""COMPUTED_VALUE"""),46187.0)</f>
        <v>46187</v>
      </c>
      <c r="C9548" s="122" t="str">
        <f>IFERROR(__xludf.DUMMYFUNCTION("""COMPUTED_VALUE"""),"RAMN")</f>
        <v>RAMN</v>
      </c>
      <c r="D9548" s="122" t="str">
        <f>IFERROR(__xludf.DUMMYFUNCTION("""COMPUTED_VALUE"""),"Ramen Republic")</f>
        <v>Ramen Republic</v>
      </c>
      <c r="E9548" s="122">
        <f>IFERROR(__xludf.DUMMYFUNCTION("""COMPUTED_VALUE"""),59.38)</f>
        <v>59.38</v>
      </c>
      <c r="F9548" s="122">
        <f>IFERROR(__xludf.DUMMYFUNCTION("""COMPUTED_VALUE"""),0.0013)</f>
        <v>0.0013</v>
      </c>
    </row>
    <row r="9549">
      <c r="A9549" s="131">
        <f>IFERROR(__xludf.DUMMYFUNCTION("""COMPUTED_VALUE"""),46187.68560185185)</f>
        <v>46187.6856</v>
      </c>
      <c r="B9549" s="126">
        <f>IFERROR(__xludf.DUMMYFUNCTION("""COMPUTED_VALUE"""),46187.0)</f>
        <v>46187</v>
      </c>
      <c r="C9549" s="122" t="str">
        <f>IFERROR(__xludf.DUMMYFUNCTION("""COMPUTED_VALUE"""),"COLA")</f>
        <v>COLA</v>
      </c>
      <c r="D9549" s="122" t="str">
        <f>IFERROR(__xludf.DUMMYFUNCTION("""COMPUTED_VALUE"""),"K-Pop Cola")</f>
        <v>K-Pop Cola</v>
      </c>
      <c r="E9549" s="122">
        <f>IFERROR(__xludf.DUMMYFUNCTION("""COMPUTED_VALUE"""),114.33)</f>
        <v>114.33</v>
      </c>
      <c r="F9549" s="122">
        <f>IFERROR(__xludf.DUMMYFUNCTION("""COMPUTED_VALUE"""),0.0061)</f>
        <v>0.0061</v>
      </c>
    </row>
    <row r="9550">
      <c r="A9550" s="131">
        <f>IFERROR(__xludf.DUMMYFUNCTION("""COMPUTED_VALUE"""),46187.68560185185)</f>
        <v>46187.6856</v>
      </c>
      <c r="B9550" s="126">
        <f>IFERROR(__xludf.DUMMYFUNCTION("""COMPUTED_VALUE"""),46187.0)</f>
        <v>46187</v>
      </c>
      <c r="C9550" s="122" t="str">
        <f>IFERROR(__xludf.DUMMYFUNCTION("""COMPUTED_VALUE"""),"CHIP")</f>
        <v>CHIP</v>
      </c>
      <c r="D9550" s="122" t="str">
        <f>IFERROR(__xludf.DUMMYFUNCTION("""COMPUTED_VALUE"""),"Chip Empire")</f>
        <v>Chip Empire</v>
      </c>
      <c r="E9550" s="122">
        <f>IFERROR(__xludf.DUMMYFUNCTION("""COMPUTED_VALUE"""),80.81)</f>
        <v>80.81</v>
      </c>
      <c r="F9550" s="122">
        <f>IFERROR(__xludf.DUMMYFUNCTION("""COMPUTED_VALUE"""),0.0072)</f>
        <v>0.0072</v>
      </c>
    </row>
    <row r="9551">
      <c r="A9551" s="131">
        <f>IFERROR(__xludf.DUMMYFUNCTION("""COMPUTED_VALUE"""),46187.68560185185)</f>
        <v>46187.6856</v>
      </c>
      <c r="B9551" s="126">
        <f>IFERROR(__xludf.DUMMYFUNCTION("""COMPUTED_VALUE"""),46187.0)</f>
        <v>46187</v>
      </c>
      <c r="C9551" s="122" t="str">
        <f>IFERROR(__xludf.DUMMYFUNCTION("""COMPUTED_VALUE"""),"CAND")</f>
        <v>CAND</v>
      </c>
      <c r="D9551" s="122" t="str">
        <f>IFERROR(__xludf.DUMMYFUNCTION("""COMPUTED_VALUE"""),"Candy Capital")</f>
        <v>Candy Capital</v>
      </c>
      <c r="E9551" s="122">
        <f>IFERROR(__xludf.DUMMYFUNCTION("""COMPUTED_VALUE"""),76.01)</f>
        <v>76.01</v>
      </c>
      <c r="F9551" s="122">
        <f>IFERROR(__xludf.DUMMYFUNCTION("""COMPUTED_VALUE"""),-0.0013)</f>
        <v>-0.0013</v>
      </c>
    </row>
    <row r="9552">
      <c r="A9552" s="131">
        <f>IFERROR(__xludf.DUMMYFUNCTION("""COMPUTED_VALUE"""),46187.68560185185)</f>
        <v>46187.6856</v>
      </c>
      <c r="B9552" s="126">
        <f>IFERROR(__xludf.DUMMYFUNCTION("""COMPUTED_VALUE"""),46187.0)</f>
        <v>46187</v>
      </c>
      <c r="C9552" s="122" t="str">
        <f>IFERROR(__xludf.DUMMYFUNCTION("""COMPUTED_VALUE"""),"TECH")</f>
        <v>TECH</v>
      </c>
      <c r="D9552" s="122" t="str">
        <f>IFERROR(__xludf.DUMMYFUNCTION("""COMPUTED_VALUE"""),"Dragon Tech")</f>
        <v>Dragon Tech</v>
      </c>
      <c r="E9552" s="122">
        <f>IFERROR(__xludf.DUMMYFUNCTION("""COMPUTED_VALUE"""),253.71)</f>
        <v>253.71</v>
      </c>
      <c r="F9552" s="122">
        <f>IFERROR(__xludf.DUMMYFUNCTION("""COMPUTED_VALUE"""),-0.0066)</f>
        <v>-0.0066</v>
      </c>
    </row>
    <row r="9553">
      <c r="A9553" s="131">
        <f>IFERROR(__xludf.DUMMYFUNCTION("""COMPUTED_VALUE"""),46187.68560185185)</f>
        <v>46187.6856</v>
      </c>
      <c r="B9553" s="126">
        <f>IFERROR(__xludf.DUMMYFUNCTION("""COMPUTED_VALUE"""),46187.0)</f>
        <v>46187</v>
      </c>
      <c r="C9553" s="122" t="str">
        <f>IFERROR(__xludf.DUMMYFUNCTION("""COMPUTED_VALUE"""),"AIBO")</f>
        <v>AIBO</v>
      </c>
      <c r="D9553" s="122" t="str">
        <f>IFERROR(__xludf.DUMMYFUNCTION("""COMPUTED_VALUE"""),"Homework AI")</f>
        <v>Homework AI</v>
      </c>
      <c r="E9553" s="122">
        <f>IFERROR(__xludf.DUMMYFUNCTION("""COMPUTED_VALUE"""),198.61)</f>
        <v>198.61</v>
      </c>
      <c r="F9553" s="122">
        <f>IFERROR(__xludf.DUMMYFUNCTION("""COMPUTED_VALUE"""),0.007)</f>
        <v>0.007</v>
      </c>
    </row>
    <row r="9554">
      <c r="A9554" s="131">
        <f>IFERROR(__xludf.DUMMYFUNCTION("""COMPUTED_VALUE"""),46187.68560185185)</f>
        <v>46187.6856</v>
      </c>
      <c r="B9554" s="126">
        <f>IFERROR(__xludf.DUMMYFUNCTION("""COMPUTED_VALUE"""),46187.0)</f>
        <v>46187</v>
      </c>
      <c r="C9554" s="122" t="str">
        <f>IFERROR(__xludf.DUMMYFUNCTION("""COMPUTED_VALUE"""),"GAME")</f>
        <v>GAME</v>
      </c>
      <c r="D9554" s="122" t="str">
        <f>IFERROR(__xludf.DUMMYFUNCTION("""COMPUTED_VALUE"""),"GameBox Media")</f>
        <v>GameBox Media</v>
      </c>
      <c r="E9554" s="122">
        <f>IFERROR(__xludf.DUMMYFUNCTION("""COMPUTED_VALUE"""),103.71)</f>
        <v>103.71</v>
      </c>
      <c r="F9554" s="122">
        <f>IFERROR(__xludf.DUMMYFUNCTION("""COMPUTED_VALUE"""),-0.0047)</f>
        <v>-0.0047</v>
      </c>
    </row>
    <row r="9555">
      <c r="A9555" s="131">
        <f>IFERROR(__xludf.DUMMYFUNCTION("""COMPUTED_VALUE"""),46187.68560185185)</f>
        <v>46187.6856</v>
      </c>
      <c r="B9555" s="126">
        <f>IFERROR(__xludf.DUMMYFUNCTION("""COMPUTED_VALUE"""),46187.0)</f>
        <v>46187</v>
      </c>
      <c r="C9555" s="122" t="str">
        <f>IFERROR(__xludf.DUMMYFUNCTION("""COMPUTED_VALUE"""),"VRSE")</f>
        <v>VRSE</v>
      </c>
      <c r="D9555" s="122" t="str">
        <f>IFERROR(__xludf.DUMMYFUNCTION("""COMPUTED_VALUE"""),"VerseVR")</f>
        <v>VerseVR</v>
      </c>
      <c r="E9555" s="122">
        <f>IFERROR(__xludf.DUMMYFUNCTION("""COMPUTED_VALUE"""),146.26)</f>
        <v>146.26</v>
      </c>
      <c r="F9555" s="122">
        <f>IFERROR(__xludf.DUMMYFUNCTION("""COMPUTED_VALUE"""),0.0041)</f>
        <v>0.0041</v>
      </c>
    </row>
    <row r="9556">
      <c r="A9556" s="131">
        <f>IFERROR(__xludf.DUMMYFUNCTION("""COMPUTED_VALUE"""),46187.68560185185)</f>
        <v>46187.6856</v>
      </c>
      <c r="B9556" s="126">
        <f>IFERROR(__xludf.DUMMYFUNCTION("""COMPUTED_VALUE"""),46187.0)</f>
        <v>46187</v>
      </c>
      <c r="C9556" s="122" t="str">
        <f>IFERROR(__xludf.DUMMYFUNCTION("""COMPUTED_VALUE"""),"BYTE")</f>
        <v>BYTE</v>
      </c>
      <c r="D9556" s="122" t="str">
        <f>IFERROR(__xludf.DUMMYFUNCTION("""COMPUTED_VALUE"""),"ByteWorks")</f>
        <v>ByteWorks</v>
      </c>
      <c r="E9556" s="122">
        <f>IFERROR(__xludf.DUMMYFUNCTION("""COMPUTED_VALUE"""),112.4)</f>
        <v>112.4</v>
      </c>
      <c r="F9556" s="122">
        <f>IFERROR(__xludf.DUMMYFUNCTION("""COMPUTED_VALUE"""),-0.004)</f>
        <v>-0.004</v>
      </c>
    </row>
    <row r="9557">
      <c r="A9557" s="131">
        <f>IFERROR(__xludf.DUMMYFUNCTION("""COMPUTED_VALUE"""),46187.68560185185)</f>
        <v>46187.6856</v>
      </c>
      <c r="B9557" s="126">
        <f>IFERROR(__xludf.DUMMYFUNCTION("""COMPUTED_VALUE"""),46187.0)</f>
        <v>46187</v>
      </c>
      <c r="C9557" s="122" t="str">
        <f>IFERROR(__xludf.DUMMYFUNCTION("""COMPUTED_VALUE"""),"BANK")</f>
        <v>BANK</v>
      </c>
      <c r="D9557" s="122" t="str">
        <f>IFERROR(__xludf.DUMMYFUNCTION("""COMPUTED_VALUE"""),"Tiger Bank")</f>
        <v>Tiger Bank</v>
      </c>
      <c r="E9557" s="122">
        <f>IFERROR(__xludf.DUMMYFUNCTION("""COMPUTED_VALUE"""),133.71)</f>
        <v>133.71</v>
      </c>
      <c r="F9557" s="122">
        <f>IFERROR(__xludf.DUMMYFUNCTION("""COMPUTED_VALUE"""),-0.0026)</f>
        <v>-0.0026</v>
      </c>
    </row>
    <row r="9558">
      <c r="A9558" s="131">
        <f>IFERROR(__xludf.DUMMYFUNCTION("""COMPUTED_VALUE"""),46187.68560185185)</f>
        <v>46187.6856</v>
      </c>
      <c r="B9558" s="126">
        <f>IFERROR(__xludf.DUMMYFUNCTION("""COMPUTED_VALUE"""),46187.0)</f>
        <v>46187</v>
      </c>
      <c r="C9558" s="122" t="str">
        <f>IFERROR(__xludf.DUMMYFUNCTION("""COMPUTED_VALUE"""),"CRED")</f>
        <v>CRED</v>
      </c>
      <c r="D9558" s="122" t="str">
        <f>IFERROR(__xludf.DUMMYFUNCTION("""COMPUTED_VALUE"""),"Credit Castle")</f>
        <v>Credit Castle</v>
      </c>
      <c r="E9558" s="122">
        <f>IFERROR(__xludf.DUMMYFUNCTION("""COMPUTED_VALUE"""),67.61)</f>
        <v>67.61</v>
      </c>
      <c r="F9558" s="122">
        <f>IFERROR(__xludf.DUMMYFUNCTION("""COMPUTED_VALUE"""),-3.0E-4)</f>
        <v>-0.0003</v>
      </c>
    </row>
    <row r="9559">
      <c r="A9559" s="131">
        <f>IFERROR(__xludf.DUMMYFUNCTION("""COMPUTED_VALUE"""),46187.68560185185)</f>
        <v>46187.6856</v>
      </c>
      <c r="B9559" s="126">
        <f>IFERROR(__xludf.DUMMYFUNCTION("""COMPUTED_VALUE"""),46187.0)</f>
        <v>46187</v>
      </c>
      <c r="C9559" s="122" t="str">
        <f>IFERROR(__xludf.DUMMYFUNCTION("""COMPUTED_VALUE"""),"BOND")</f>
        <v>BOND</v>
      </c>
      <c r="D9559" s="122" t="str">
        <f>IFERROR(__xludf.DUMMYFUNCTION("""COMPUTED_VALUE"""),"BondBridge")</f>
        <v>BondBridge</v>
      </c>
      <c r="E9559" s="122">
        <f>IFERROR(__xludf.DUMMYFUNCTION("""COMPUTED_VALUE"""),107.19)</f>
        <v>107.19</v>
      </c>
      <c r="F9559" s="122">
        <f>IFERROR(__xludf.DUMMYFUNCTION("""COMPUTED_VALUE"""),0.0023)</f>
        <v>0.0023</v>
      </c>
    </row>
    <row r="9560">
      <c r="A9560" s="131">
        <f>IFERROR(__xludf.DUMMYFUNCTION("""COMPUTED_VALUE"""),46187.68560185185)</f>
        <v>46187.6856</v>
      </c>
      <c r="B9560" s="126">
        <f>IFERROR(__xludf.DUMMYFUNCTION("""COMPUTED_VALUE"""),46187.0)</f>
        <v>46187</v>
      </c>
      <c r="C9560" s="122" t="str">
        <f>IFERROR(__xludf.DUMMYFUNCTION("""COMPUTED_VALUE"""),"INSR")</f>
        <v>INSR</v>
      </c>
      <c r="D9560" s="122" t="str">
        <f>IFERROR(__xludf.DUMMYFUNCTION("""COMPUTED_VALUE"""),"Shield Insurance")</f>
        <v>Shield Insurance</v>
      </c>
      <c r="E9560" s="122">
        <f>IFERROR(__xludf.DUMMYFUNCTION("""COMPUTED_VALUE"""),158.2)</f>
        <v>158.2</v>
      </c>
      <c r="F9560" s="122">
        <f>IFERROR(__xludf.DUMMYFUNCTION("""COMPUTED_VALUE"""),0.0017)</f>
        <v>0.0017</v>
      </c>
    </row>
    <row r="9561">
      <c r="A9561" s="131">
        <f>IFERROR(__xludf.DUMMYFUNCTION("""COMPUTED_VALUE"""),46187.68560185185)</f>
        <v>46187.6856</v>
      </c>
      <c r="B9561" s="126">
        <f>IFERROR(__xludf.DUMMYFUNCTION("""COMPUTED_VALUE"""),46187.0)</f>
        <v>46187</v>
      </c>
      <c r="C9561" s="122" t="str">
        <f>IFERROR(__xludf.DUMMYFUNCTION("""COMPUTED_VALUE"""),"LOAN")</f>
        <v>LOAN</v>
      </c>
      <c r="D9561" s="122" t="str">
        <f>IFERROR(__xludf.DUMMYFUNCTION("""COMPUTED_VALUE"""),"LoanLab")</f>
        <v>LoanLab</v>
      </c>
      <c r="E9561" s="122">
        <f>IFERROR(__xludf.DUMMYFUNCTION("""COMPUTED_VALUE"""),74.72)</f>
        <v>74.72</v>
      </c>
      <c r="F9561" s="122">
        <f>IFERROR(__xludf.DUMMYFUNCTION("""COMPUTED_VALUE"""),-0.0032)</f>
        <v>-0.0032</v>
      </c>
    </row>
    <row r="9562">
      <c r="A9562" s="131">
        <f>IFERROR(__xludf.DUMMYFUNCTION("""COMPUTED_VALUE"""),46187.68560185185)</f>
        <v>46187.6856</v>
      </c>
      <c r="B9562" s="126">
        <f>IFERROR(__xludf.DUMMYFUNCTION("""COMPUTED_VALUE"""),46187.0)</f>
        <v>46187</v>
      </c>
      <c r="C9562" s="122" t="str">
        <f>IFERROR(__xludf.DUMMYFUNCTION("""COMPUTED_VALUE"""),"LUXE")</f>
        <v>LUXE</v>
      </c>
      <c r="D9562" s="122" t="str">
        <f>IFERROR(__xludf.DUMMYFUNCTION("""COMPUTED_VALUE"""),"Luxury Locker")</f>
        <v>Luxury Locker</v>
      </c>
      <c r="E9562" s="122">
        <f>IFERROR(__xludf.DUMMYFUNCTION("""COMPUTED_VALUE"""),269.68)</f>
        <v>269.68</v>
      </c>
      <c r="F9562" s="122">
        <f>IFERROR(__xludf.DUMMYFUNCTION("""COMPUTED_VALUE"""),-0.0033)</f>
        <v>-0.0033</v>
      </c>
    </row>
    <row r="9563">
      <c r="A9563" s="131">
        <f>IFERROR(__xludf.DUMMYFUNCTION("""COMPUTED_VALUE"""),46187.68560185185)</f>
        <v>46187.6856</v>
      </c>
      <c r="B9563" s="126">
        <f>IFERROR(__xludf.DUMMYFUNCTION("""COMPUTED_VALUE"""),46187.0)</f>
        <v>46187</v>
      </c>
      <c r="C9563" s="122" t="str">
        <f>IFERROR(__xludf.DUMMYFUNCTION("""COMPUTED_VALUE"""),"DRIP")</f>
        <v>DRIP</v>
      </c>
      <c r="D9563" s="122" t="str">
        <f>IFERROR(__xludf.DUMMYFUNCTION("""COMPUTED_VALUE"""),"Drip Streetwear")</f>
        <v>Drip Streetwear</v>
      </c>
      <c r="E9563" s="122">
        <f>IFERROR(__xludf.DUMMYFUNCTION("""COMPUTED_VALUE"""),193.19)</f>
        <v>193.19</v>
      </c>
      <c r="F9563" s="122">
        <f>IFERROR(__xludf.DUMMYFUNCTION("""COMPUTED_VALUE"""),-0.0074)</f>
        <v>-0.0074</v>
      </c>
    </row>
    <row r="9564">
      <c r="A9564" s="131">
        <f>IFERROR(__xludf.DUMMYFUNCTION("""COMPUTED_VALUE"""),46187.68560185185)</f>
        <v>46187.6856</v>
      </c>
      <c r="B9564" s="126">
        <f>IFERROR(__xludf.DUMMYFUNCTION("""COMPUTED_VALUE"""),46187.0)</f>
        <v>46187</v>
      </c>
      <c r="C9564" s="122" t="str">
        <f>IFERROR(__xludf.DUMMYFUNCTION("""COMPUTED_VALUE"""),"KICK")</f>
        <v>KICK</v>
      </c>
      <c r="D9564" s="122" t="str">
        <f>IFERROR(__xludf.DUMMYFUNCTION("""COMPUTED_VALUE"""),"KickDrop Sneakers")</f>
        <v>KickDrop Sneakers</v>
      </c>
      <c r="E9564" s="122">
        <f>IFERROR(__xludf.DUMMYFUNCTION("""COMPUTED_VALUE"""),170.36)</f>
        <v>170.36</v>
      </c>
      <c r="F9564" s="122">
        <f>IFERROR(__xludf.DUMMYFUNCTION("""COMPUTED_VALUE"""),-0.001)</f>
        <v>-0.001</v>
      </c>
    </row>
    <row r="9565">
      <c r="A9565" s="131">
        <f>IFERROR(__xludf.DUMMYFUNCTION("""COMPUTED_VALUE"""),46187.68560185185)</f>
        <v>46187.6856</v>
      </c>
      <c r="B9565" s="126">
        <f>IFERROR(__xludf.DUMMYFUNCTION("""COMPUTED_VALUE"""),46187.0)</f>
        <v>46187</v>
      </c>
      <c r="C9565" s="122" t="str">
        <f>IFERROR(__xludf.DUMMYFUNCTION("""COMPUTED_VALUE"""),"GLAM")</f>
        <v>GLAM</v>
      </c>
      <c r="D9565" s="122" t="str">
        <f>IFERROR(__xludf.DUMMYFUNCTION("""COMPUTED_VALUE"""),"Glow Cosmetics")</f>
        <v>Glow Cosmetics</v>
      </c>
      <c r="E9565" s="122">
        <f>IFERROR(__xludf.DUMMYFUNCTION("""COMPUTED_VALUE"""),110.89)</f>
        <v>110.89</v>
      </c>
      <c r="F9565" s="122">
        <f>IFERROR(__xludf.DUMMYFUNCTION("""COMPUTED_VALUE"""),0.0026)</f>
        <v>0.0026</v>
      </c>
    </row>
    <row r="9566">
      <c r="A9566" s="131">
        <f>IFERROR(__xludf.DUMMYFUNCTION("""COMPUTED_VALUE"""),46187.68560185185)</f>
        <v>46187.6856</v>
      </c>
      <c r="B9566" s="126">
        <f>IFERROR(__xludf.DUMMYFUNCTION("""COMPUTED_VALUE"""),46187.0)</f>
        <v>46187</v>
      </c>
      <c r="C9566" s="122" t="str">
        <f>IFERROR(__xludf.DUMMYFUNCTION("""COMPUTED_VALUE"""),"BAGG")</f>
        <v>BAGG</v>
      </c>
      <c r="D9566" s="122" t="str">
        <f>IFERROR(__xludf.DUMMYFUNCTION("""COMPUTED_VALUE"""),"BagVault")</f>
        <v>BagVault</v>
      </c>
      <c r="E9566" s="122">
        <f>IFERROR(__xludf.DUMMYFUNCTION("""COMPUTED_VALUE"""),280.2)</f>
        <v>280.2</v>
      </c>
      <c r="F9566" s="122">
        <f>IFERROR(__xludf.DUMMYFUNCTION("""COMPUTED_VALUE"""),0.0025)</f>
        <v>0.0025</v>
      </c>
    </row>
    <row r="9567">
      <c r="A9567" s="131">
        <f>IFERROR(__xludf.DUMMYFUNCTION("""COMPUTED_VALUE"""),46187.68560185185)</f>
        <v>46187.6856</v>
      </c>
      <c r="B9567" s="126">
        <f>IFERROR(__xludf.DUMMYFUNCTION("""COMPUTED_VALUE"""),46187.0)</f>
        <v>46187</v>
      </c>
      <c r="C9567" s="122" t="str">
        <f>IFERROR(__xludf.DUMMYFUNCTION("""COMPUTED_VALUE"""),"FAST")</f>
        <v>FAST</v>
      </c>
      <c r="D9567" s="122" t="str">
        <f>IFERROR(__xludf.DUMMYFUNCTION("""COMPUTED_VALUE"""),"Flash Logistics")</f>
        <v>Flash Logistics</v>
      </c>
      <c r="E9567" s="122">
        <f>IFERROR(__xludf.DUMMYFUNCTION("""COMPUTED_VALUE"""),109.65)</f>
        <v>109.65</v>
      </c>
      <c r="F9567" s="122">
        <f>IFERROR(__xludf.DUMMYFUNCTION("""COMPUTED_VALUE"""),0.0023)</f>
        <v>0.0023</v>
      </c>
    </row>
    <row r="9568">
      <c r="A9568" s="131">
        <f>IFERROR(__xludf.DUMMYFUNCTION("""COMPUTED_VALUE"""),46187.68560185185)</f>
        <v>46187.6856</v>
      </c>
      <c r="B9568" s="126">
        <f>IFERROR(__xludf.DUMMYFUNCTION("""COMPUTED_VALUE"""),46187.0)</f>
        <v>46187</v>
      </c>
      <c r="C9568" s="122" t="str">
        <f>IFERROR(__xludf.DUMMYFUNCTION("""COMPUTED_VALUE"""),"SHIP")</f>
        <v>SHIP</v>
      </c>
      <c r="D9568" s="122" t="str">
        <f>IFERROR(__xludf.DUMMYFUNCTION("""COMPUTED_VALUE"""),"Seoul Shipping")</f>
        <v>Seoul Shipping</v>
      </c>
      <c r="E9568" s="122">
        <f>IFERROR(__xludf.DUMMYFUNCTION("""COMPUTED_VALUE"""),131.3)</f>
        <v>131.3</v>
      </c>
      <c r="F9568" s="122">
        <f>IFERROR(__xludf.DUMMYFUNCTION("""COMPUTED_VALUE"""),0.0053)</f>
        <v>0.0053</v>
      </c>
    </row>
    <row r="9569">
      <c r="A9569" s="131">
        <f>IFERROR(__xludf.DUMMYFUNCTION("""COMPUTED_VALUE"""),46187.68560185185)</f>
        <v>46187.6856</v>
      </c>
      <c r="B9569" s="126">
        <f>IFERROR(__xludf.DUMMYFUNCTION("""COMPUTED_VALUE"""),46187.0)</f>
        <v>46187</v>
      </c>
      <c r="C9569" s="122" t="str">
        <f>IFERROR(__xludf.DUMMYFUNCTION("""COMPUTED_VALUE"""),"DRON")</f>
        <v>DRON</v>
      </c>
      <c r="D9569" s="122" t="str">
        <f>IFERROR(__xludf.DUMMYFUNCTION("""COMPUTED_VALUE"""),"DroneDrop")</f>
        <v>DroneDrop</v>
      </c>
      <c r="E9569" s="122">
        <f>IFERROR(__xludf.DUMMYFUNCTION("""COMPUTED_VALUE"""),121.27)</f>
        <v>121.27</v>
      </c>
      <c r="F9569" s="122">
        <f>IFERROR(__xludf.DUMMYFUNCTION("""COMPUTED_VALUE"""),0.0075)</f>
        <v>0.0075</v>
      </c>
    </row>
    <row r="9570">
      <c r="A9570" s="131">
        <f>IFERROR(__xludf.DUMMYFUNCTION("""COMPUTED_VALUE"""),46187.68560185185)</f>
        <v>46187.6856</v>
      </c>
      <c r="B9570" s="126">
        <f>IFERROR(__xludf.DUMMYFUNCTION("""COMPUTED_VALUE"""),46187.0)</f>
        <v>46187</v>
      </c>
      <c r="C9570" s="122" t="str">
        <f>IFERROR(__xludf.DUMMYFUNCTION("""COMPUTED_VALUE"""),"RIDE")</f>
        <v>RIDE</v>
      </c>
      <c r="D9570" s="122" t="str">
        <f>IFERROR(__xludf.DUMMYFUNCTION("""COMPUTED_VALUE"""),"QuickRide")</f>
        <v>QuickRide</v>
      </c>
      <c r="E9570" s="122">
        <f>IFERROR(__xludf.DUMMYFUNCTION("""COMPUTED_VALUE"""),97.49)</f>
        <v>97.49</v>
      </c>
      <c r="F9570" s="122">
        <f>IFERROR(__xludf.DUMMYFUNCTION("""COMPUTED_VALUE"""),-0.0088)</f>
        <v>-0.0088</v>
      </c>
    </row>
    <row r="9571">
      <c r="A9571" s="131">
        <f>IFERROR(__xludf.DUMMYFUNCTION("""COMPUTED_VALUE"""),46187.68560185185)</f>
        <v>46187.6856</v>
      </c>
      <c r="B9571" s="126">
        <f>IFERROR(__xludf.DUMMYFUNCTION("""COMPUTED_VALUE"""),46187.0)</f>
        <v>46187</v>
      </c>
      <c r="C9571" s="122" t="str">
        <f>IFERROR(__xludf.DUMMYFUNCTION("""COMPUTED_VALUE"""),"RAIL")</f>
        <v>RAIL</v>
      </c>
      <c r="D9571" s="122" t="str">
        <f>IFERROR(__xludf.DUMMYFUNCTION("""COMPUTED_VALUE"""),"MetroRail Corp")</f>
        <v>MetroRail Corp</v>
      </c>
      <c r="E9571" s="122">
        <f>IFERROR(__xludf.DUMMYFUNCTION("""COMPUTED_VALUE"""),129.46)</f>
        <v>129.46</v>
      </c>
      <c r="F9571" s="122">
        <f>IFERROR(__xludf.DUMMYFUNCTION("""COMPUTED_VALUE"""),-0.0043)</f>
        <v>-0.0043</v>
      </c>
    </row>
    <row r="9572">
      <c r="A9572" s="131">
        <f>IFERROR(__xludf.DUMMYFUNCTION("""COMPUTED_VALUE"""),46187.68560185185)</f>
        <v>46187.6856</v>
      </c>
      <c r="B9572" s="126">
        <f>IFERROR(__xludf.DUMMYFUNCTION("""COMPUTED_VALUE"""),46187.0)</f>
        <v>46187</v>
      </c>
      <c r="C9572" s="122" t="str">
        <f>IFERROR(__xludf.DUMMYFUNCTION("""COMPUTED_VALUE"""),"MEDX")</f>
        <v>MEDX</v>
      </c>
      <c r="D9572" s="122" t="str">
        <f>IFERROR(__xludf.DUMMYFUNCTION("""COMPUTED_VALUE"""),"MediCore")</f>
        <v>MediCore</v>
      </c>
      <c r="E9572" s="122">
        <f>IFERROR(__xludf.DUMMYFUNCTION("""COMPUTED_VALUE"""),139.54)</f>
        <v>139.54</v>
      </c>
      <c r="F9572" s="122">
        <f>IFERROR(__xludf.DUMMYFUNCTION("""COMPUTED_VALUE"""),-1.0E-4)</f>
        <v>-0.0001</v>
      </c>
    </row>
    <row r="9573">
      <c r="A9573" s="131">
        <f>IFERROR(__xludf.DUMMYFUNCTION("""COMPUTED_VALUE"""),46187.68560185185)</f>
        <v>46187.6856</v>
      </c>
      <c r="B9573" s="126">
        <f>IFERROR(__xludf.DUMMYFUNCTION("""COMPUTED_VALUE"""),46187.0)</f>
        <v>46187</v>
      </c>
      <c r="C9573" s="122" t="str">
        <f>IFERROR(__xludf.DUMMYFUNCTION("""COMPUTED_VALUE"""),"GYMX")</f>
        <v>GYMX</v>
      </c>
      <c r="D9573" s="122" t="str">
        <f>IFERROR(__xludf.DUMMYFUNCTION("""COMPUTED_VALUE"""),"GymX Fitness")</f>
        <v>GymX Fitness</v>
      </c>
      <c r="E9573" s="122">
        <f>IFERROR(__xludf.DUMMYFUNCTION("""COMPUTED_VALUE"""),80.66)</f>
        <v>80.66</v>
      </c>
      <c r="F9573" s="122">
        <f>IFERROR(__xludf.DUMMYFUNCTION("""COMPUTED_VALUE"""),0.0036)</f>
        <v>0.0036</v>
      </c>
    </row>
    <row r="9574">
      <c r="A9574" s="131">
        <f>IFERROR(__xludf.DUMMYFUNCTION("""COMPUTED_VALUE"""),46187.68560185185)</f>
        <v>46187.6856</v>
      </c>
      <c r="B9574" s="126">
        <f>IFERROR(__xludf.DUMMYFUNCTION("""COMPUTED_VALUE"""),46187.0)</f>
        <v>46187</v>
      </c>
      <c r="C9574" s="122" t="str">
        <f>IFERROR(__xludf.DUMMYFUNCTION("""COMPUTED_VALUE"""),"VITA")</f>
        <v>VITA</v>
      </c>
      <c r="D9574" s="122" t="str">
        <f>IFERROR(__xludf.DUMMYFUNCTION("""COMPUTED_VALUE"""),"VitaPlus")</f>
        <v>VitaPlus</v>
      </c>
      <c r="E9574" s="122">
        <f>IFERROR(__xludf.DUMMYFUNCTION("""COMPUTED_VALUE"""),71.3)</f>
        <v>71.3</v>
      </c>
      <c r="F9574" s="122">
        <f>IFERROR(__xludf.DUMMYFUNCTION("""COMPUTED_VALUE"""),-0.0053)</f>
        <v>-0.0053</v>
      </c>
    </row>
    <row r="9575">
      <c r="A9575" s="131">
        <f>IFERROR(__xludf.DUMMYFUNCTION("""COMPUTED_VALUE"""),46187.68560185185)</f>
        <v>46187.6856</v>
      </c>
      <c r="B9575" s="126">
        <f>IFERROR(__xludf.DUMMYFUNCTION("""COMPUTED_VALUE"""),46187.0)</f>
        <v>46187</v>
      </c>
      <c r="C9575" s="122" t="str">
        <f>IFERROR(__xludf.DUMMYFUNCTION("""COMPUTED_VALUE"""),"CARE")</f>
        <v>CARE</v>
      </c>
      <c r="D9575" s="122" t="str">
        <f>IFERROR(__xludf.DUMMYFUNCTION("""COMPUTED_VALUE"""),"CareCloud")</f>
        <v>CareCloud</v>
      </c>
      <c r="E9575" s="122">
        <f>IFERROR(__xludf.DUMMYFUNCTION("""COMPUTED_VALUE"""),186.48)</f>
        <v>186.48</v>
      </c>
      <c r="F9575" s="122">
        <f>IFERROR(__xludf.DUMMYFUNCTION("""COMPUTED_VALUE"""),0.0081)</f>
        <v>0.0081</v>
      </c>
    </row>
    <row r="9576">
      <c r="A9576" s="131">
        <f>IFERROR(__xludf.DUMMYFUNCTION("""COMPUTED_VALUE"""),46187.68560185185)</f>
        <v>46187.6856</v>
      </c>
      <c r="B9576" s="126">
        <f>IFERROR(__xludf.DUMMYFUNCTION("""COMPUTED_VALUE"""),46187.0)</f>
        <v>46187</v>
      </c>
      <c r="C9576" s="122" t="str">
        <f>IFERROR(__xludf.DUMMYFUNCTION("""COMPUTED_VALUE"""),"DENT")</f>
        <v>DENT</v>
      </c>
      <c r="D9576" s="122" t="str">
        <f>IFERROR(__xludf.DUMMYFUNCTION("""COMPUTED_VALUE"""),"SmileWorks")</f>
        <v>SmileWorks</v>
      </c>
      <c r="E9576" s="122">
        <f>IFERROR(__xludf.DUMMYFUNCTION("""COMPUTED_VALUE"""),99.54)</f>
        <v>99.54</v>
      </c>
      <c r="F9576" s="122">
        <f>IFERROR(__xludf.DUMMYFUNCTION("""COMPUTED_VALUE"""),-0.0027)</f>
        <v>-0.0027</v>
      </c>
    </row>
    <row r="9577">
      <c r="A9577" s="131">
        <f>IFERROR(__xludf.DUMMYFUNCTION("""COMPUTED_VALUE"""),46187.68560185185)</f>
        <v>46187.6856</v>
      </c>
      <c r="B9577" s="126">
        <f>IFERROR(__xludf.DUMMYFUNCTION("""COMPUTED_VALUE"""),46187.0)</f>
        <v>46187</v>
      </c>
      <c r="C9577" s="122" t="str">
        <f>IFERROR(__xludf.DUMMYFUNCTION("""COMPUTED_VALUE"""),"EDUX")</f>
        <v>EDUX</v>
      </c>
      <c r="D9577" s="122" t="str">
        <f>IFERROR(__xludf.DUMMYFUNCTION("""COMPUTED_VALUE"""),"EduMax Learning")</f>
        <v>EduMax Learning</v>
      </c>
      <c r="E9577" s="122">
        <f>IFERROR(__xludf.DUMMYFUNCTION("""COMPUTED_VALUE"""),155.72)</f>
        <v>155.72</v>
      </c>
      <c r="F9577" s="122">
        <f>IFERROR(__xludf.DUMMYFUNCTION("""COMPUTED_VALUE"""),0.0047)</f>
        <v>0.0047</v>
      </c>
    </row>
    <row r="9578">
      <c r="A9578" s="131">
        <f>IFERROR(__xludf.DUMMYFUNCTION("""COMPUTED_VALUE"""),46187.68560185185)</f>
        <v>46187.6856</v>
      </c>
      <c r="B9578" s="126">
        <f>IFERROR(__xludf.DUMMYFUNCTION("""COMPUTED_VALUE"""),46187.0)</f>
        <v>46187</v>
      </c>
      <c r="C9578" s="122" t="str">
        <f>IFERROR(__xludf.DUMMYFUNCTION("""COMPUTED_VALUE"""),"BOOK")</f>
        <v>BOOK</v>
      </c>
      <c r="D9578" s="122" t="str">
        <f>IFERROR(__xludf.DUMMYFUNCTION("""COMPUTED_VALUE"""),"BookBridge")</f>
        <v>BookBridge</v>
      </c>
      <c r="E9578" s="122">
        <f>IFERROR(__xludf.DUMMYFUNCTION("""COMPUTED_VALUE"""),120.64)</f>
        <v>120.64</v>
      </c>
      <c r="F9578" s="122">
        <f>IFERROR(__xludf.DUMMYFUNCTION("""COMPUTED_VALUE"""),0.006)</f>
        <v>0.006</v>
      </c>
    </row>
    <row r="9579">
      <c r="A9579" s="131">
        <f>IFERROR(__xludf.DUMMYFUNCTION("""COMPUTED_VALUE"""),46187.68560185185)</f>
        <v>46187.6856</v>
      </c>
      <c r="B9579" s="126">
        <f>IFERROR(__xludf.DUMMYFUNCTION("""COMPUTED_VALUE"""),46187.0)</f>
        <v>46187</v>
      </c>
      <c r="C9579" s="122" t="str">
        <f>IFERROR(__xludf.DUMMYFUNCTION("""COMPUTED_VALUE"""),"TUTR")</f>
        <v>TUTR</v>
      </c>
      <c r="D9579" s="122" t="str">
        <f>IFERROR(__xludf.DUMMYFUNCTION("""COMPUTED_VALUE"""),"TutorTown")</f>
        <v>TutorTown</v>
      </c>
      <c r="E9579" s="122">
        <f>IFERROR(__xludf.DUMMYFUNCTION("""COMPUTED_VALUE"""),93.88)</f>
        <v>93.88</v>
      </c>
      <c r="F9579" s="122">
        <f>IFERROR(__xludf.DUMMYFUNCTION("""COMPUTED_VALUE"""),0.001)</f>
        <v>0.001</v>
      </c>
    </row>
    <row r="9580">
      <c r="A9580" s="131">
        <f>IFERROR(__xludf.DUMMYFUNCTION("""COMPUTED_VALUE"""),46187.68560185185)</f>
        <v>46187.6856</v>
      </c>
      <c r="B9580" s="126">
        <f>IFERROR(__xludf.DUMMYFUNCTION("""COMPUTED_VALUE"""),46187.0)</f>
        <v>46187</v>
      </c>
      <c r="C9580" s="122" t="str">
        <f>IFERROR(__xludf.DUMMYFUNCTION("""COMPUTED_VALUE"""),"LANG")</f>
        <v>LANG</v>
      </c>
      <c r="D9580" s="122" t="str">
        <f>IFERROR(__xludf.DUMMYFUNCTION("""COMPUTED_VALUE"""),"LinguaLab")</f>
        <v>LinguaLab</v>
      </c>
      <c r="E9580" s="122">
        <f>IFERROR(__xludf.DUMMYFUNCTION("""COMPUTED_VALUE"""),103.71)</f>
        <v>103.71</v>
      </c>
      <c r="F9580" s="122">
        <f>IFERROR(__xludf.DUMMYFUNCTION("""COMPUTED_VALUE"""),0.0051)</f>
        <v>0.0051</v>
      </c>
    </row>
    <row r="9581">
      <c r="A9581" s="131">
        <f>IFERROR(__xludf.DUMMYFUNCTION("""COMPUTED_VALUE"""),46187.68560185185)</f>
        <v>46187.6856</v>
      </c>
      <c r="B9581" s="126">
        <f>IFERROR(__xludf.DUMMYFUNCTION("""COMPUTED_VALUE"""),46187.0)</f>
        <v>46187</v>
      </c>
      <c r="C9581" s="122" t="str">
        <f>IFERROR(__xludf.DUMMYFUNCTION("""COMPUTED_VALUE"""),"TEST")</f>
        <v>TEST</v>
      </c>
      <c r="D9581" s="122" t="str">
        <f>IFERROR(__xludf.DUMMYFUNCTION("""COMPUTED_VALUE"""),"TestPrep Pro")</f>
        <v>TestPrep Pro</v>
      </c>
      <c r="E9581" s="122">
        <f>IFERROR(__xludf.DUMMYFUNCTION("""COMPUTED_VALUE"""),86.58)</f>
        <v>86.58</v>
      </c>
      <c r="F9581" s="122">
        <f>IFERROR(__xludf.DUMMYFUNCTION("""COMPUTED_VALUE"""),-0.0062)</f>
        <v>-0.0062</v>
      </c>
    </row>
    <row r="9582">
      <c r="A9582" s="131">
        <f>IFERROR(__xludf.DUMMYFUNCTION("""COMPUTED_VALUE"""),46187.68560185185)</f>
        <v>46187.6856</v>
      </c>
      <c r="B9582" s="126">
        <f>IFERROR(__xludf.DUMMYFUNCTION("""COMPUTED_VALUE"""),46187.0)</f>
        <v>46187</v>
      </c>
      <c r="C9582" s="122" t="str">
        <f>IFERROR(__xludf.DUMMYFUNCTION("""COMPUTED_VALUE"""),"MOVI")</f>
        <v>MOVI</v>
      </c>
      <c r="D9582" s="122" t="str">
        <f>IFERROR(__xludf.DUMMYFUNCTION("""COMPUTED_VALUE"""),"MovieBox")</f>
        <v>MovieBox</v>
      </c>
      <c r="E9582" s="122">
        <f>IFERROR(__xludf.DUMMYFUNCTION("""COMPUTED_VALUE"""),84.65)</f>
        <v>84.65</v>
      </c>
      <c r="F9582" s="122">
        <f>IFERROR(__xludf.DUMMYFUNCTION("""COMPUTED_VALUE"""),0.0064)</f>
        <v>0.0064</v>
      </c>
    </row>
    <row r="9583">
      <c r="A9583" s="131">
        <f>IFERROR(__xludf.DUMMYFUNCTION("""COMPUTED_VALUE"""),46187.68560185185)</f>
        <v>46187.6856</v>
      </c>
      <c r="B9583" s="126">
        <f>IFERROR(__xludf.DUMMYFUNCTION("""COMPUTED_VALUE"""),46187.0)</f>
        <v>46187</v>
      </c>
      <c r="C9583" s="122" t="str">
        <f>IFERROR(__xludf.DUMMYFUNCTION("""COMPUTED_VALUE"""),"MUSC")</f>
        <v>MUSC</v>
      </c>
      <c r="D9583" s="122" t="str">
        <f>IFERROR(__xludf.DUMMYFUNCTION("""COMPUTED_VALUE"""),"MusicWave")</f>
        <v>MusicWave</v>
      </c>
      <c r="E9583" s="122">
        <f>IFERROR(__xludf.DUMMYFUNCTION("""COMPUTED_VALUE"""),102.95)</f>
        <v>102.95</v>
      </c>
      <c r="F9583" s="122">
        <f>IFERROR(__xludf.DUMMYFUNCTION("""COMPUTED_VALUE"""),-0.0057)</f>
        <v>-0.0057</v>
      </c>
    </row>
    <row r="9584">
      <c r="A9584" s="131">
        <f>IFERROR(__xludf.DUMMYFUNCTION("""COMPUTED_VALUE"""),46187.68560185185)</f>
        <v>46187.6856</v>
      </c>
      <c r="B9584" s="126">
        <f>IFERROR(__xludf.DUMMYFUNCTION("""COMPUTED_VALUE"""),46187.0)</f>
        <v>46187</v>
      </c>
      <c r="C9584" s="122" t="str">
        <f>IFERROR(__xludf.DUMMYFUNCTION("""COMPUTED_VALUE"""),"IDOL")</f>
        <v>IDOL</v>
      </c>
      <c r="D9584" s="122" t="str">
        <f>IFERROR(__xludf.DUMMYFUNCTION("""COMPUTED_VALUE"""),"Idol Agency")</f>
        <v>Idol Agency</v>
      </c>
      <c r="E9584" s="122">
        <f>IFERROR(__xludf.DUMMYFUNCTION("""COMPUTED_VALUE"""),189.82)</f>
        <v>189.82</v>
      </c>
      <c r="F9584" s="122">
        <f>IFERROR(__xludf.DUMMYFUNCTION("""COMPUTED_VALUE"""),0.0057)</f>
        <v>0.0057</v>
      </c>
    </row>
    <row r="9585">
      <c r="A9585" s="131">
        <f>IFERROR(__xludf.DUMMYFUNCTION("""COMPUTED_VALUE"""),46187.68560185185)</f>
        <v>46187.6856</v>
      </c>
      <c r="B9585" s="126">
        <f>IFERROR(__xludf.DUMMYFUNCTION("""COMPUTED_VALUE"""),46187.0)</f>
        <v>46187</v>
      </c>
      <c r="C9585" s="122" t="str">
        <f>IFERROR(__xludf.DUMMYFUNCTION("""COMPUTED_VALUE"""),"MEME")</f>
        <v>MEME</v>
      </c>
      <c r="D9585" s="122" t="str">
        <f>IFERROR(__xludf.DUMMYFUNCTION("""COMPUTED_VALUE"""),"Meme Media")</f>
        <v>Meme Media</v>
      </c>
      <c r="E9585" s="122">
        <f>IFERROR(__xludf.DUMMYFUNCTION("""COMPUTED_VALUE"""),75.26)</f>
        <v>75.26</v>
      </c>
      <c r="F9585" s="122">
        <f>IFERROR(__xludf.DUMMYFUNCTION("""COMPUTED_VALUE"""),-0.0037)</f>
        <v>-0.0037</v>
      </c>
    </row>
    <row r="9586">
      <c r="A9586" s="131">
        <f>IFERROR(__xludf.DUMMYFUNCTION("""COMPUTED_VALUE"""),46187.68560185185)</f>
        <v>46187.6856</v>
      </c>
      <c r="B9586" s="126">
        <f>IFERROR(__xludf.DUMMYFUNCTION("""COMPUTED_VALUE"""),46187.0)</f>
        <v>46187</v>
      </c>
      <c r="C9586" s="122" t="str">
        <f>IFERROR(__xludf.DUMMYFUNCTION("""COMPUTED_VALUE"""),"STRM")</f>
        <v>STRM</v>
      </c>
      <c r="D9586" s="122" t="str">
        <f>IFERROR(__xludf.DUMMYFUNCTION("""COMPUTED_VALUE"""),"Streamly")</f>
        <v>Streamly</v>
      </c>
      <c r="E9586" s="122">
        <f>IFERROR(__xludf.DUMMYFUNCTION("""COMPUTED_VALUE"""),129.88)</f>
        <v>129.88</v>
      </c>
      <c r="F9586" s="122">
        <f>IFERROR(__xludf.DUMMYFUNCTION("""COMPUTED_VALUE"""),-0.01)</f>
        <v>-0.01</v>
      </c>
    </row>
    <row r="9587">
      <c r="A9587" s="131">
        <f>IFERROR(__xludf.DUMMYFUNCTION("""COMPUTED_VALUE"""),46187.68560185185)</f>
        <v>46187.6856</v>
      </c>
      <c r="B9587" s="126">
        <f>IFERROR(__xludf.DUMMYFUNCTION("""COMPUTED_VALUE"""),46187.0)</f>
        <v>46187</v>
      </c>
      <c r="C9587" s="122" t="str">
        <f>IFERROR(__xludf.DUMMYFUNCTION("""COMPUTED_VALUE"""),"FARM")</f>
        <v>FARM</v>
      </c>
      <c r="D9587" s="122" t="str">
        <f>IFERROR(__xludf.DUMMYFUNCTION("""COMPUTED_VALUE"""),"Future Farms")</f>
        <v>Future Farms</v>
      </c>
      <c r="E9587" s="122">
        <f>IFERROR(__xludf.DUMMYFUNCTION("""COMPUTED_VALUE"""),101.76)</f>
        <v>101.76</v>
      </c>
      <c r="F9587" s="122">
        <f>IFERROR(__xludf.DUMMYFUNCTION("""COMPUTED_VALUE"""),0.0022)</f>
        <v>0.0022</v>
      </c>
    </row>
    <row r="9588">
      <c r="A9588" s="131">
        <f>IFERROR(__xludf.DUMMYFUNCTION("""COMPUTED_VALUE"""),46187.68560185185)</f>
        <v>46187.6856</v>
      </c>
      <c r="B9588" s="126">
        <f>IFERROR(__xludf.DUMMYFUNCTION("""COMPUTED_VALUE"""),46187.0)</f>
        <v>46187</v>
      </c>
      <c r="C9588" s="122" t="str">
        <f>IFERROR(__xludf.DUMMYFUNCTION("""COMPUTED_VALUE"""),"MEAT")</f>
        <v>MEAT</v>
      </c>
      <c r="D9588" s="122" t="str">
        <f>IFERROR(__xludf.DUMMYFUNCTION("""COMPUTED_VALUE"""),"MeatWorks")</f>
        <v>MeatWorks</v>
      </c>
      <c r="E9588" s="122">
        <f>IFERROR(__xludf.DUMMYFUNCTION("""COMPUTED_VALUE"""),105.29)</f>
        <v>105.29</v>
      </c>
      <c r="F9588" s="122">
        <f>IFERROR(__xludf.DUMMYFUNCTION("""COMPUTED_VALUE"""),0.0013)</f>
        <v>0.0013</v>
      </c>
    </row>
    <row r="9589">
      <c r="A9589" s="131">
        <f>IFERROR(__xludf.DUMMYFUNCTION("""COMPUTED_VALUE"""),46187.68560185185)</f>
        <v>46187.6856</v>
      </c>
      <c r="B9589" s="126">
        <f>IFERROR(__xludf.DUMMYFUNCTION("""COMPUTED_VALUE"""),46187.0)</f>
        <v>46187</v>
      </c>
      <c r="C9589" s="122" t="str">
        <f>IFERROR(__xludf.DUMMYFUNCTION("""COMPUTED_VALUE"""),"VEGI")</f>
        <v>VEGI</v>
      </c>
      <c r="D9589" s="122" t="str">
        <f>IFERROR(__xludf.DUMMYFUNCTION("""COMPUTED_VALUE"""),"Green Basket")</f>
        <v>Green Basket</v>
      </c>
      <c r="E9589" s="122">
        <f>IFERROR(__xludf.DUMMYFUNCTION("""COMPUTED_VALUE"""),77.01)</f>
        <v>77.01</v>
      </c>
      <c r="F9589" s="122">
        <f>IFERROR(__xludf.DUMMYFUNCTION("""COMPUTED_VALUE"""),0.0029)</f>
        <v>0.0029</v>
      </c>
    </row>
    <row r="9590">
      <c r="A9590" s="131">
        <f>IFERROR(__xludf.DUMMYFUNCTION("""COMPUTED_VALUE"""),46187.68560185185)</f>
        <v>46187.6856</v>
      </c>
      <c r="B9590" s="126">
        <f>IFERROR(__xludf.DUMMYFUNCTION("""COMPUTED_VALUE"""),46187.0)</f>
        <v>46187</v>
      </c>
      <c r="C9590" s="122" t="str">
        <f>IFERROR(__xludf.DUMMYFUNCTION("""COMPUTED_VALUE"""),"CAFE")</f>
        <v>CAFE</v>
      </c>
      <c r="D9590" s="122" t="str">
        <f>IFERROR(__xludf.DUMMYFUNCTION("""COMPUTED_VALUE"""),"Cafe Cloud")</f>
        <v>Cafe Cloud</v>
      </c>
      <c r="E9590" s="122">
        <f>IFERROR(__xludf.DUMMYFUNCTION("""COMPUTED_VALUE"""),105.15)</f>
        <v>105.15</v>
      </c>
      <c r="F9590" s="122">
        <f>IFERROR(__xludf.DUMMYFUNCTION("""COMPUTED_VALUE"""),0.01)</f>
        <v>0.01</v>
      </c>
    </row>
    <row r="9591">
      <c r="A9591" s="131">
        <f>IFERROR(__xludf.DUMMYFUNCTION("""COMPUTED_VALUE"""),46187.68560185185)</f>
        <v>46187.6856</v>
      </c>
      <c r="B9591" s="126">
        <f>IFERROR(__xludf.DUMMYFUNCTION("""COMPUTED_VALUE"""),46187.0)</f>
        <v>46187</v>
      </c>
      <c r="C9591" s="122" t="str">
        <f>IFERROR(__xludf.DUMMYFUNCTION("""COMPUTED_VALUE"""),"BAKE")</f>
        <v>BAKE</v>
      </c>
      <c r="D9591" s="122" t="str">
        <f>IFERROR(__xludf.DUMMYFUNCTION("""COMPUTED_VALUE"""),"BakeHouse")</f>
        <v>BakeHouse</v>
      </c>
      <c r="E9591" s="122">
        <f>IFERROR(__xludf.DUMMYFUNCTION("""COMPUTED_VALUE"""),100.1)</f>
        <v>100.1</v>
      </c>
      <c r="F9591" s="122">
        <f>IFERROR(__xludf.DUMMYFUNCTION("""COMPUTED_VALUE"""),0.003)</f>
        <v>0.003</v>
      </c>
    </row>
    <row r="9592">
      <c r="A9592" s="131">
        <f>IFERROR(__xludf.DUMMYFUNCTION("""COMPUTED_VALUE"""),46187.68560185185)</f>
        <v>46187.6856</v>
      </c>
      <c r="B9592" s="126">
        <f>IFERROR(__xludf.DUMMYFUNCTION("""COMPUTED_VALUE"""),46187.0)</f>
        <v>46187</v>
      </c>
      <c r="C9592" s="122" t="str">
        <f>IFERROR(__xludf.DUMMYFUNCTION("""COMPUTED_VALUE"""),"OILX")</f>
        <v>OILX</v>
      </c>
      <c r="D9592" s="122" t="str">
        <f>IFERROR(__xludf.DUMMYFUNCTION("""COMPUTED_VALUE"""),"OilMax Energy")</f>
        <v>OilMax Energy</v>
      </c>
      <c r="E9592" s="122">
        <f>IFERROR(__xludf.DUMMYFUNCTION("""COMPUTED_VALUE"""),134.82)</f>
        <v>134.82</v>
      </c>
      <c r="F9592" s="122">
        <f>IFERROR(__xludf.DUMMYFUNCTION("""COMPUTED_VALUE"""),-0.0053)</f>
        <v>-0.0053</v>
      </c>
    </row>
    <row r="9593">
      <c r="A9593" s="131">
        <f>IFERROR(__xludf.DUMMYFUNCTION("""COMPUTED_VALUE"""),46187.68560185185)</f>
        <v>46187.6856</v>
      </c>
      <c r="B9593" s="126">
        <f>IFERROR(__xludf.DUMMYFUNCTION("""COMPUTED_VALUE"""),46187.0)</f>
        <v>46187</v>
      </c>
      <c r="C9593" s="122" t="str">
        <f>IFERROR(__xludf.DUMMYFUNCTION("""COMPUTED_VALUE"""),"SOLR")</f>
        <v>SOLR</v>
      </c>
      <c r="D9593" s="122" t="str">
        <f>IFERROR(__xludf.DUMMYFUNCTION("""COMPUTED_VALUE"""),"SolarSpark")</f>
        <v>SolarSpark</v>
      </c>
      <c r="E9593" s="122">
        <f>IFERROR(__xludf.DUMMYFUNCTION("""COMPUTED_VALUE"""),109.27)</f>
        <v>109.27</v>
      </c>
      <c r="F9593" s="122">
        <f>IFERROR(__xludf.DUMMYFUNCTION("""COMPUTED_VALUE"""),0.0098)</f>
        <v>0.0098</v>
      </c>
    </row>
    <row r="9594">
      <c r="A9594" s="131">
        <f>IFERROR(__xludf.DUMMYFUNCTION("""COMPUTED_VALUE"""),46187.68560185185)</f>
        <v>46187.6856</v>
      </c>
      <c r="B9594" s="126">
        <f>IFERROR(__xludf.DUMMYFUNCTION("""COMPUTED_VALUE"""),46187.0)</f>
        <v>46187</v>
      </c>
      <c r="C9594" s="122" t="str">
        <f>IFERROR(__xludf.DUMMYFUNCTION("""COMPUTED_VALUE"""),"BATT")</f>
        <v>BATT</v>
      </c>
      <c r="D9594" s="122" t="str">
        <f>IFERROR(__xludf.DUMMYFUNCTION("""COMPUTED_VALUE"""),"BatteryBox")</f>
        <v>BatteryBox</v>
      </c>
      <c r="E9594" s="122">
        <f>IFERROR(__xludf.DUMMYFUNCTION("""COMPUTED_VALUE"""),119.18)</f>
        <v>119.18</v>
      </c>
      <c r="F9594" s="122">
        <f>IFERROR(__xludf.DUMMYFUNCTION("""COMPUTED_VALUE"""),0.0064)</f>
        <v>0.0064</v>
      </c>
    </row>
    <row r="9595">
      <c r="A9595" s="131">
        <f>IFERROR(__xludf.DUMMYFUNCTION("""COMPUTED_VALUE"""),46187.68560185185)</f>
        <v>46187.6856</v>
      </c>
      <c r="B9595" s="126">
        <f>IFERROR(__xludf.DUMMYFUNCTION("""COMPUTED_VALUE"""),46187.0)</f>
        <v>46187</v>
      </c>
      <c r="C9595" s="122" t="str">
        <f>IFERROR(__xludf.DUMMYFUNCTION("""COMPUTED_VALUE"""),"WIND")</f>
        <v>WIND</v>
      </c>
      <c r="D9595" s="122" t="str">
        <f>IFERROR(__xludf.DUMMYFUNCTION("""COMPUTED_VALUE"""),"WindWorks")</f>
        <v>WindWorks</v>
      </c>
      <c r="E9595" s="122">
        <f>IFERROR(__xludf.DUMMYFUNCTION("""COMPUTED_VALUE"""),86.6)</f>
        <v>86.6</v>
      </c>
      <c r="F9595" s="122">
        <f>IFERROR(__xludf.DUMMYFUNCTION("""COMPUTED_VALUE"""),-0.0041)</f>
        <v>-0.0041</v>
      </c>
    </row>
    <row r="9596">
      <c r="A9596" s="131">
        <f>IFERROR(__xludf.DUMMYFUNCTION("""COMPUTED_VALUE"""),46187.68560185185)</f>
        <v>46187.6856</v>
      </c>
      <c r="B9596" s="126">
        <f>IFERROR(__xludf.DUMMYFUNCTION("""COMPUTED_VALUE"""),46187.0)</f>
        <v>46187</v>
      </c>
      <c r="C9596" s="122" t="str">
        <f>IFERROR(__xludf.DUMMYFUNCTION("""COMPUTED_VALUE"""),"GRID")</f>
        <v>GRID</v>
      </c>
      <c r="D9596" s="122" t="str">
        <f>IFERROR(__xludf.DUMMYFUNCTION("""COMPUTED_VALUE"""),"GridPower")</f>
        <v>GridPower</v>
      </c>
      <c r="E9596" s="122">
        <f>IFERROR(__xludf.DUMMYFUNCTION("""COMPUTED_VALUE"""),125.53)</f>
        <v>125.53</v>
      </c>
      <c r="F9596" s="122">
        <f>IFERROR(__xludf.DUMMYFUNCTION("""COMPUTED_VALUE"""),0.0027)</f>
        <v>0.0027</v>
      </c>
    </row>
    <row r="9597">
      <c r="A9597" s="131">
        <f>IFERROR(__xludf.DUMMYFUNCTION("""COMPUTED_VALUE"""),46187.68560185185)</f>
        <v>46187.6856</v>
      </c>
      <c r="B9597" s="126">
        <f>IFERROR(__xludf.DUMMYFUNCTION("""COMPUTED_VALUE"""),46187.0)</f>
        <v>46187</v>
      </c>
      <c r="C9597" s="122" t="str">
        <f>IFERROR(__xludf.DUMMYFUNCTION("""COMPUTED_VALUE"""),"HOME")</f>
        <v>HOME</v>
      </c>
      <c r="D9597" s="122" t="str">
        <f>IFERROR(__xludf.DUMMYFUNCTION("""COMPUTED_VALUE"""),"HomeHub")</f>
        <v>HomeHub</v>
      </c>
      <c r="E9597" s="122">
        <f>IFERROR(__xludf.DUMMYFUNCTION("""COMPUTED_VALUE"""),163.54)</f>
        <v>163.54</v>
      </c>
      <c r="F9597" s="122">
        <f>IFERROR(__xludf.DUMMYFUNCTION("""COMPUTED_VALUE"""),0.0044)</f>
        <v>0.0044</v>
      </c>
    </row>
    <row r="9598">
      <c r="A9598" s="131">
        <f>IFERROR(__xludf.DUMMYFUNCTION("""COMPUTED_VALUE"""),46187.68560185185)</f>
        <v>46187.6856</v>
      </c>
      <c r="B9598" s="126">
        <f>IFERROR(__xludf.DUMMYFUNCTION("""COMPUTED_VALUE"""),46187.0)</f>
        <v>46187</v>
      </c>
      <c r="C9598" s="122" t="str">
        <f>IFERROR(__xludf.DUMMYFUNCTION("""COMPUTED_VALUE"""),"RENT")</f>
        <v>RENT</v>
      </c>
      <c r="D9598" s="122" t="str">
        <f>IFERROR(__xludf.DUMMYFUNCTION("""COMPUTED_VALUE"""),"RentRight")</f>
        <v>RentRight</v>
      </c>
      <c r="E9598" s="122">
        <f>IFERROR(__xludf.DUMMYFUNCTION("""COMPUTED_VALUE"""),89.05)</f>
        <v>89.05</v>
      </c>
      <c r="F9598" s="122">
        <f>IFERROR(__xludf.DUMMYFUNCTION("""COMPUTED_VALUE"""),0.0018)</f>
        <v>0.0018</v>
      </c>
    </row>
    <row r="9599">
      <c r="A9599" s="131">
        <f>IFERROR(__xludf.DUMMYFUNCTION("""COMPUTED_VALUE"""),46187.68560185185)</f>
        <v>46187.6856</v>
      </c>
      <c r="B9599" s="126">
        <f>IFERROR(__xludf.DUMMYFUNCTION("""COMPUTED_VALUE"""),46187.0)</f>
        <v>46187</v>
      </c>
      <c r="C9599" s="122" t="str">
        <f>IFERROR(__xludf.DUMMYFUNCTION("""COMPUTED_VALUE"""),"MALL")</f>
        <v>MALL</v>
      </c>
      <c r="D9599" s="122" t="str">
        <f>IFERROR(__xludf.DUMMYFUNCTION("""COMPUTED_VALUE"""),"MegaMall")</f>
        <v>MegaMall</v>
      </c>
      <c r="E9599" s="122">
        <f>IFERROR(__xludf.DUMMYFUNCTION("""COMPUTED_VALUE"""),102.41)</f>
        <v>102.41</v>
      </c>
      <c r="F9599" s="122">
        <f>IFERROR(__xludf.DUMMYFUNCTION("""COMPUTED_VALUE"""),0.0059)</f>
        <v>0.0059</v>
      </c>
    </row>
    <row r="9600">
      <c r="A9600" s="131">
        <f>IFERROR(__xludf.DUMMYFUNCTION("""COMPUTED_VALUE"""),46187.68560185185)</f>
        <v>46187.6856</v>
      </c>
      <c r="B9600" s="126">
        <f>IFERROR(__xludf.DUMMYFUNCTION("""COMPUTED_VALUE"""),46187.0)</f>
        <v>46187</v>
      </c>
      <c r="C9600" s="122" t="str">
        <f>IFERROR(__xludf.DUMMYFUNCTION("""COMPUTED_VALUE"""),"HOTL")</f>
        <v>HOTL</v>
      </c>
      <c r="D9600" s="122" t="str">
        <f>IFERROR(__xludf.DUMMYFUNCTION("""COMPUTED_VALUE"""),"HotelHive")</f>
        <v>HotelHive</v>
      </c>
      <c r="E9600" s="122">
        <f>IFERROR(__xludf.DUMMYFUNCTION("""COMPUTED_VALUE"""),117.48)</f>
        <v>117.48</v>
      </c>
      <c r="F9600" s="122">
        <f>IFERROR(__xludf.DUMMYFUNCTION("""COMPUTED_VALUE"""),-0.0059)</f>
        <v>-0.0059</v>
      </c>
    </row>
    <row r="9601">
      <c r="A9601" s="131">
        <f>IFERROR(__xludf.DUMMYFUNCTION("""COMPUTED_VALUE"""),46187.68560185185)</f>
        <v>46187.6856</v>
      </c>
      <c r="B9601" s="126">
        <f>IFERROR(__xludf.DUMMYFUNCTION("""COMPUTED_VALUE"""),46187.0)</f>
        <v>46187</v>
      </c>
      <c r="C9601" s="122" t="str">
        <f>IFERROR(__xludf.DUMMYFUNCTION("""COMPUTED_VALUE"""),"LAND")</f>
        <v>LAND</v>
      </c>
      <c r="D9601" s="122" t="str">
        <f>IFERROR(__xludf.DUMMYFUNCTION("""COMPUTED_VALUE"""),"LandLink")</f>
        <v>LandLink</v>
      </c>
      <c r="E9601" s="122">
        <f>IFERROR(__xludf.DUMMYFUNCTION("""COMPUTED_VALUE"""),187.74)</f>
        <v>187.74</v>
      </c>
      <c r="F9601" s="122">
        <f>IFERROR(__xludf.DUMMYFUNCTION("""COMPUTED_VALUE"""),-0.0027)</f>
        <v>-0.0027</v>
      </c>
    </row>
    <row r="9602">
      <c r="A9602" s="131">
        <f>IFERROR(__xludf.DUMMYFUNCTION("""COMPUTED_VALUE"""),46187.68560185185)</f>
        <v>46187.6856</v>
      </c>
      <c r="B9602" s="126">
        <f>IFERROR(__xludf.DUMMYFUNCTION("""COMPUTED_VALUE"""),46187.0)</f>
        <v>46187</v>
      </c>
      <c r="C9602" s="122" t="str">
        <f>IFERROR(__xludf.DUMMYFUNCTION("""COMPUTED_VALUE"""),"CARS")</f>
        <v>CARS</v>
      </c>
      <c r="D9602" s="122" t="str">
        <f>IFERROR(__xludf.DUMMYFUNCTION("""COMPUTED_VALUE"""),"AutoArena")</f>
        <v>AutoArena</v>
      </c>
      <c r="E9602" s="122">
        <f>IFERROR(__xludf.DUMMYFUNCTION("""COMPUTED_VALUE"""),82.7)</f>
        <v>82.7</v>
      </c>
      <c r="F9602" s="122">
        <f>IFERROR(__xludf.DUMMYFUNCTION("""COMPUTED_VALUE"""),0.0053)</f>
        <v>0.0053</v>
      </c>
    </row>
    <row r="9603">
      <c r="A9603" s="131">
        <f>IFERROR(__xludf.DUMMYFUNCTION("""COMPUTED_VALUE"""),46187.68560185185)</f>
        <v>46187.6856</v>
      </c>
      <c r="B9603" s="126">
        <f>IFERROR(__xludf.DUMMYFUNCTION("""COMPUTED_VALUE"""),46187.0)</f>
        <v>46187</v>
      </c>
      <c r="C9603" s="122" t="str">
        <f>IFERROR(__xludf.DUMMYFUNCTION("""COMPUTED_VALUE"""),"EVGO")</f>
        <v>EVGO</v>
      </c>
      <c r="D9603" s="122" t="str">
        <f>IFERROR(__xludf.DUMMYFUNCTION("""COMPUTED_VALUE"""),"EVGo Motors")</f>
        <v>EVGo Motors</v>
      </c>
      <c r="E9603" s="122">
        <f>IFERROR(__xludf.DUMMYFUNCTION("""COMPUTED_VALUE"""),195.58)</f>
        <v>195.58</v>
      </c>
      <c r="F9603" s="122">
        <f>IFERROR(__xludf.DUMMYFUNCTION("""COMPUTED_VALUE"""),-0.0039)</f>
        <v>-0.0039</v>
      </c>
    </row>
    <row r="9604">
      <c r="A9604" s="131">
        <f>IFERROR(__xludf.DUMMYFUNCTION("""COMPUTED_VALUE"""),46187.68560185185)</f>
        <v>46187.6856</v>
      </c>
      <c r="B9604" s="126">
        <f>IFERROR(__xludf.DUMMYFUNCTION("""COMPUTED_VALUE"""),46187.0)</f>
        <v>46187</v>
      </c>
      <c r="C9604" s="122" t="str">
        <f>IFERROR(__xludf.DUMMYFUNCTION("""COMPUTED_VALUE"""),"TIRE")</f>
        <v>TIRE</v>
      </c>
      <c r="D9604" s="122" t="str">
        <f>IFERROR(__xludf.DUMMYFUNCTION("""COMPUTED_VALUE"""),"TireTown")</f>
        <v>TireTown</v>
      </c>
      <c r="E9604" s="122">
        <f>IFERROR(__xludf.DUMMYFUNCTION("""COMPUTED_VALUE"""),100.16)</f>
        <v>100.16</v>
      </c>
      <c r="F9604" s="122">
        <f>IFERROR(__xludf.DUMMYFUNCTION("""COMPUTED_VALUE"""),0.002)</f>
        <v>0.002</v>
      </c>
    </row>
    <row r="9605">
      <c r="A9605" s="131">
        <f>IFERROR(__xludf.DUMMYFUNCTION("""COMPUTED_VALUE"""),46187.68560185185)</f>
        <v>46187.6856</v>
      </c>
      <c r="B9605" s="126">
        <f>IFERROR(__xludf.DUMMYFUNCTION("""COMPUTED_VALUE"""),46187.0)</f>
        <v>46187</v>
      </c>
      <c r="C9605" s="122" t="str">
        <f>IFERROR(__xludf.DUMMYFUNCTION("""COMPUTED_VALUE"""),"BIKE")</f>
        <v>BIKE</v>
      </c>
      <c r="D9605" s="122" t="str">
        <f>IFERROR(__xludf.DUMMYFUNCTION("""COMPUTED_VALUE"""),"BikeBox")</f>
        <v>BikeBox</v>
      </c>
      <c r="E9605" s="122">
        <f>IFERROR(__xludf.DUMMYFUNCTION("""COMPUTED_VALUE"""),51.43)</f>
        <v>51.43</v>
      </c>
      <c r="F9605" s="122">
        <f>IFERROR(__xludf.DUMMYFUNCTION("""COMPUTED_VALUE"""),0.0023)</f>
        <v>0.0023</v>
      </c>
    </row>
    <row r="9606">
      <c r="A9606" s="131">
        <f>IFERROR(__xludf.DUMMYFUNCTION("""COMPUTED_VALUE"""),46187.68560185185)</f>
        <v>46187.6856</v>
      </c>
      <c r="B9606" s="126">
        <f>IFERROR(__xludf.DUMMYFUNCTION("""COMPUTED_VALUE"""),46187.0)</f>
        <v>46187</v>
      </c>
      <c r="C9606" s="122" t="str">
        <f>IFERROR(__xludf.DUMMYFUNCTION("""COMPUTED_VALUE"""),"WASH")</f>
        <v>WASH</v>
      </c>
      <c r="D9606" s="122" t="str">
        <f>IFERROR(__xludf.DUMMYFUNCTION("""COMPUTED_VALUE"""),"CarWash Co")</f>
        <v>CarWash Co</v>
      </c>
      <c r="E9606" s="122">
        <f>IFERROR(__xludf.DUMMYFUNCTION("""COMPUTED_VALUE"""),123.45)</f>
        <v>123.45</v>
      </c>
      <c r="F9606" s="122">
        <f>IFERROR(__xludf.DUMMYFUNCTION("""COMPUTED_VALUE"""),-0.0034)</f>
        <v>-0.0034</v>
      </c>
    </row>
    <row r="9607">
      <c r="A9607" s="131">
        <f>IFERROR(__xludf.DUMMYFUNCTION("""COMPUTED_VALUE"""),46187.68560185185)</f>
        <v>46187.6856</v>
      </c>
      <c r="B9607" s="126">
        <f>IFERROR(__xludf.DUMMYFUNCTION("""COMPUTED_VALUE"""),46187.0)</f>
        <v>46187</v>
      </c>
      <c r="C9607" s="122" t="str">
        <f>IFERROR(__xludf.DUMMYFUNCTION("""COMPUTED_VALUE"""),"GBND")</f>
        <v>GBND</v>
      </c>
      <c r="D9607" s="122" t="str">
        <f>IFERROR(__xludf.DUMMYFUNCTION("""COMPUTED_VALUE"""),"Classroom Government Bond")</f>
        <v>Classroom Government Bond</v>
      </c>
      <c r="E9607" s="122">
        <f>IFERROR(__xludf.DUMMYFUNCTION("""COMPUTED_VALUE"""),101.21)</f>
        <v>101.21</v>
      </c>
      <c r="F9607" s="122">
        <f>IFERROR(__xludf.DUMMYFUNCTION("""COMPUTED_VALUE"""),-1.0E-4)</f>
        <v>-0.0001</v>
      </c>
    </row>
    <row r="9608">
      <c r="A9608" s="131">
        <f>IFERROR(__xludf.DUMMYFUNCTION("""COMPUTED_VALUE"""),46187.68560185185)</f>
        <v>46187.6856</v>
      </c>
      <c r="B9608" s="126">
        <f>IFERROR(__xludf.DUMMYFUNCTION("""COMPUTED_VALUE"""),46187.0)</f>
        <v>46187</v>
      </c>
      <c r="C9608" s="122" t="str">
        <f>IFERROR(__xludf.DUMMYFUNCTION("""COMPUTED_VALUE"""),"SBND")</f>
        <v>SBND</v>
      </c>
      <c r="D9608" s="122" t="str">
        <f>IFERROR(__xludf.DUMMYFUNCTION("""COMPUTED_VALUE"""),"School Savings Bond")</f>
        <v>School Savings Bond</v>
      </c>
      <c r="E9608" s="122">
        <f>IFERROR(__xludf.DUMMYFUNCTION("""COMPUTED_VALUE"""),99.26)</f>
        <v>99.26</v>
      </c>
      <c r="F9608" s="122">
        <f>IFERROR(__xludf.DUMMYFUNCTION("""COMPUTED_VALUE"""),-1.0E-4)</f>
        <v>-0.0001</v>
      </c>
    </row>
    <row r="9609">
      <c r="A9609" s="131">
        <f>IFERROR(__xludf.DUMMYFUNCTION("""COMPUTED_VALUE"""),46187.68560185185)</f>
        <v>46187.6856</v>
      </c>
      <c r="B9609" s="126">
        <f>IFERROR(__xludf.DUMMYFUNCTION("""COMPUTED_VALUE"""),46187.0)</f>
        <v>46187</v>
      </c>
      <c r="C9609" s="122" t="str">
        <f>IFERROR(__xludf.DUMMYFUNCTION("""COMPUTED_VALUE"""),"CBND")</f>
        <v>CBND</v>
      </c>
      <c r="D9609" s="122" t="str">
        <f>IFERROR(__xludf.DUMMYFUNCTION("""COMPUTED_VALUE"""),"Corporate Classroom Bond")</f>
        <v>Corporate Classroom Bond</v>
      </c>
      <c r="E9609" s="122">
        <f>IFERROR(__xludf.DUMMYFUNCTION("""COMPUTED_VALUE"""),98.01)</f>
        <v>98.01</v>
      </c>
      <c r="F9609" s="122">
        <f>IFERROR(__xludf.DUMMYFUNCTION("""COMPUTED_VALUE"""),2.0E-4)</f>
        <v>0.0002</v>
      </c>
    </row>
    <row r="9610">
      <c r="A9610" s="131">
        <f>IFERROR(__xludf.DUMMYFUNCTION("""COMPUTED_VALUE"""),46187.68560185185)</f>
        <v>46187.6856</v>
      </c>
      <c r="B9610" s="126">
        <f>IFERROR(__xludf.DUMMYFUNCTION("""COMPUTED_VALUE"""),46187.0)</f>
        <v>46187</v>
      </c>
      <c r="C9610" s="122" t="str">
        <f>IFERROR(__xludf.DUMMYFUNCTION("""COMPUTED_VALUE"""),"TBIL")</f>
        <v>TBIL</v>
      </c>
      <c r="D9610" s="122" t="str">
        <f>IFERROR(__xludf.DUMMYFUNCTION("""COMPUTED_VALUE"""),"Treasury Bill")</f>
        <v>Treasury Bill</v>
      </c>
      <c r="E9610" s="122">
        <f>IFERROR(__xludf.DUMMYFUNCTION("""COMPUTED_VALUE"""),97.85)</f>
        <v>97.85</v>
      </c>
      <c r="F9610" s="122">
        <f>IFERROR(__xludf.DUMMYFUNCTION("""COMPUTED_VALUE"""),1.0E-4)</f>
        <v>0.0001</v>
      </c>
    </row>
    <row r="9611">
      <c r="A9611" s="131">
        <f>IFERROR(__xludf.DUMMYFUNCTION("""COMPUTED_VALUE"""),46187.68560185185)</f>
        <v>46187.6856</v>
      </c>
      <c r="B9611" s="126">
        <f>IFERROR(__xludf.DUMMYFUNCTION("""COMPUTED_VALUE"""),46187.0)</f>
        <v>46187</v>
      </c>
      <c r="C9611" s="122" t="str">
        <f>IFERROR(__xludf.DUMMYFUNCTION("""COMPUTED_VALUE"""),"IBND")</f>
        <v>IBND</v>
      </c>
      <c r="D9611" s="122" t="str">
        <f>IFERROR(__xludf.DUMMYFUNCTION("""COMPUTED_VALUE"""),"Inflation Protected Bond")</f>
        <v>Inflation Protected Bond</v>
      </c>
      <c r="E9611" s="122">
        <f>IFERROR(__xludf.DUMMYFUNCTION("""COMPUTED_VALUE"""),100.65)</f>
        <v>100.65</v>
      </c>
      <c r="F9611" s="122">
        <f>IFERROR(__xludf.DUMMYFUNCTION("""COMPUTED_VALUE"""),-3.0E-4)</f>
        <v>-0.0003</v>
      </c>
    </row>
    <row r="9612">
      <c r="A9612" s="131">
        <f>IFERROR(__xludf.DUMMYFUNCTION("""COMPUTED_VALUE"""),46187.689479166664)</f>
        <v>46187.68948</v>
      </c>
      <c r="B9612" s="126">
        <f>IFERROR(__xludf.DUMMYFUNCTION("""COMPUTED_VALUE"""),46187.0)</f>
        <v>46187</v>
      </c>
      <c r="C9612" s="122" t="str">
        <f>IFERROR(__xludf.DUMMYFUNCTION("""COMPUTED_VALUE"""),"SNAX")</f>
        <v>SNAX</v>
      </c>
      <c r="D9612" s="122" t="str">
        <f>IFERROR(__xludf.DUMMYFUNCTION("""COMPUTED_VALUE"""),"MICA Snacks")</f>
        <v>MICA Snacks</v>
      </c>
      <c r="E9612" s="122">
        <f>IFERROR(__xludf.DUMMYFUNCTION("""COMPUTED_VALUE"""),121.5)</f>
        <v>121.5</v>
      </c>
      <c r="F9612" s="122">
        <f>IFERROR(__xludf.DUMMYFUNCTION("""COMPUTED_VALUE"""),0.0019)</f>
        <v>0.0019</v>
      </c>
    </row>
    <row r="9613">
      <c r="A9613" s="131">
        <f>IFERROR(__xludf.DUMMYFUNCTION("""COMPUTED_VALUE"""),46187.689479166664)</f>
        <v>46187.68948</v>
      </c>
      <c r="B9613" s="126">
        <f>IFERROR(__xludf.DUMMYFUNCTION("""COMPUTED_VALUE"""),46187.0)</f>
        <v>46187</v>
      </c>
      <c r="C9613" s="122" t="str">
        <f>IFERROR(__xludf.DUMMYFUNCTION("""COMPUTED_VALUE"""),"RAMN")</f>
        <v>RAMN</v>
      </c>
      <c r="D9613" s="122" t="str">
        <f>IFERROR(__xludf.DUMMYFUNCTION("""COMPUTED_VALUE"""),"Ramen Republic")</f>
        <v>Ramen Republic</v>
      </c>
      <c r="E9613" s="122">
        <f>IFERROR(__xludf.DUMMYFUNCTION("""COMPUTED_VALUE"""),59.42)</f>
        <v>59.42</v>
      </c>
      <c r="F9613" s="122">
        <f>IFERROR(__xludf.DUMMYFUNCTION("""COMPUTED_VALUE"""),7.0E-4)</f>
        <v>0.0007</v>
      </c>
    </row>
    <row r="9614">
      <c r="A9614" s="131">
        <f>IFERROR(__xludf.DUMMYFUNCTION("""COMPUTED_VALUE"""),46187.689479166664)</f>
        <v>46187.68948</v>
      </c>
      <c r="B9614" s="126">
        <f>IFERROR(__xludf.DUMMYFUNCTION("""COMPUTED_VALUE"""),46187.0)</f>
        <v>46187</v>
      </c>
      <c r="C9614" s="122" t="str">
        <f>IFERROR(__xludf.DUMMYFUNCTION("""COMPUTED_VALUE"""),"COLA")</f>
        <v>COLA</v>
      </c>
      <c r="D9614" s="122" t="str">
        <f>IFERROR(__xludf.DUMMYFUNCTION("""COMPUTED_VALUE"""),"K-Pop Cola")</f>
        <v>K-Pop Cola</v>
      </c>
      <c r="E9614" s="122">
        <f>IFERROR(__xludf.DUMMYFUNCTION("""COMPUTED_VALUE"""),113.81)</f>
        <v>113.81</v>
      </c>
      <c r="F9614" s="122">
        <f>IFERROR(__xludf.DUMMYFUNCTION("""COMPUTED_VALUE"""),-0.0045)</f>
        <v>-0.0045</v>
      </c>
    </row>
    <row r="9615">
      <c r="A9615" s="131">
        <f>IFERROR(__xludf.DUMMYFUNCTION("""COMPUTED_VALUE"""),46187.689479166664)</f>
        <v>46187.68948</v>
      </c>
      <c r="B9615" s="126">
        <f>IFERROR(__xludf.DUMMYFUNCTION("""COMPUTED_VALUE"""),46187.0)</f>
        <v>46187</v>
      </c>
      <c r="C9615" s="122" t="str">
        <f>IFERROR(__xludf.DUMMYFUNCTION("""COMPUTED_VALUE"""),"CHIP")</f>
        <v>CHIP</v>
      </c>
      <c r="D9615" s="122" t="str">
        <f>IFERROR(__xludf.DUMMYFUNCTION("""COMPUTED_VALUE"""),"Chip Empire")</f>
        <v>Chip Empire</v>
      </c>
      <c r="E9615" s="122">
        <f>IFERROR(__xludf.DUMMYFUNCTION("""COMPUTED_VALUE"""),80.65)</f>
        <v>80.65</v>
      </c>
      <c r="F9615" s="122">
        <f>IFERROR(__xludf.DUMMYFUNCTION("""COMPUTED_VALUE"""),-0.002)</f>
        <v>-0.002</v>
      </c>
    </row>
    <row r="9616">
      <c r="A9616" s="131">
        <f>IFERROR(__xludf.DUMMYFUNCTION("""COMPUTED_VALUE"""),46187.689479166664)</f>
        <v>46187.68948</v>
      </c>
      <c r="B9616" s="126">
        <f>IFERROR(__xludf.DUMMYFUNCTION("""COMPUTED_VALUE"""),46187.0)</f>
        <v>46187</v>
      </c>
      <c r="C9616" s="122" t="str">
        <f>IFERROR(__xludf.DUMMYFUNCTION("""COMPUTED_VALUE"""),"CAND")</f>
        <v>CAND</v>
      </c>
      <c r="D9616" s="122" t="str">
        <f>IFERROR(__xludf.DUMMYFUNCTION("""COMPUTED_VALUE"""),"Candy Capital")</f>
        <v>Candy Capital</v>
      </c>
      <c r="E9616" s="122">
        <f>IFERROR(__xludf.DUMMYFUNCTION("""COMPUTED_VALUE"""),76.21)</f>
        <v>76.21</v>
      </c>
      <c r="F9616" s="122">
        <f>IFERROR(__xludf.DUMMYFUNCTION("""COMPUTED_VALUE"""),0.0026)</f>
        <v>0.0026</v>
      </c>
    </row>
    <row r="9617">
      <c r="A9617" s="131">
        <f>IFERROR(__xludf.DUMMYFUNCTION("""COMPUTED_VALUE"""),46187.689479166664)</f>
        <v>46187.68948</v>
      </c>
      <c r="B9617" s="126">
        <f>IFERROR(__xludf.DUMMYFUNCTION("""COMPUTED_VALUE"""),46187.0)</f>
        <v>46187</v>
      </c>
      <c r="C9617" s="122" t="str">
        <f>IFERROR(__xludf.DUMMYFUNCTION("""COMPUTED_VALUE"""),"TECH")</f>
        <v>TECH</v>
      </c>
      <c r="D9617" s="122" t="str">
        <f>IFERROR(__xludf.DUMMYFUNCTION("""COMPUTED_VALUE"""),"Dragon Tech")</f>
        <v>Dragon Tech</v>
      </c>
      <c r="E9617" s="122">
        <f>IFERROR(__xludf.DUMMYFUNCTION("""COMPUTED_VALUE"""),255.84)</f>
        <v>255.84</v>
      </c>
      <c r="F9617" s="122">
        <f>IFERROR(__xludf.DUMMYFUNCTION("""COMPUTED_VALUE"""),0.0084)</f>
        <v>0.0084</v>
      </c>
    </row>
    <row r="9618">
      <c r="A9618" s="131">
        <f>IFERROR(__xludf.DUMMYFUNCTION("""COMPUTED_VALUE"""),46187.689479166664)</f>
        <v>46187.68948</v>
      </c>
      <c r="B9618" s="126">
        <f>IFERROR(__xludf.DUMMYFUNCTION("""COMPUTED_VALUE"""),46187.0)</f>
        <v>46187</v>
      </c>
      <c r="C9618" s="122" t="str">
        <f>IFERROR(__xludf.DUMMYFUNCTION("""COMPUTED_VALUE"""),"AIBO")</f>
        <v>AIBO</v>
      </c>
      <c r="D9618" s="122" t="str">
        <f>IFERROR(__xludf.DUMMYFUNCTION("""COMPUTED_VALUE"""),"Homework AI")</f>
        <v>Homework AI</v>
      </c>
      <c r="E9618" s="122">
        <f>IFERROR(__xludf.DUMMYFUNCTION("""COMPUTED_VALUE"""),196.44)</f>
        <v>196.44</v>
      </c>
      <c r="F9618" s="122">
        <f>IFERROR(__xludf.DUMMYFUNCTION("""COMPUTED_VALUE"""),-0.0109)</f>
        <v>-0.0109</v>
      </c>
    </row>
    <row r="9619">
      <c r="A9619" s="131">
        <f>IFERROR(__xludf.DUMMYFUNCTION("""COMPUTED_VALUE"""),46187.689479166664)</f>
        <v>46187.68948</v>
      </c>
      <c r="B9619" s="126">
        <f>IFERROR(__xludf.DUMMYFUNCTION("""COMPUTED_VALUE"""),46187.0)</f>
        <v>46187</v>
      </c>
      <c r="C9619" s="122" t="str">
        <f>IFERROR(__xludf.DUMMYFUNCTION("""COMPUTED_VALUE"""),"GAME")</f>
        <v>GAME</v>
      </c>
      <c r="D9619" s="122" t="str">
        <f>IFERROR(__xludf.DUMMYFUNCTION("""COMPUTED_VALUE"""),"GameBox Media")</f>
        <v>GameBox Media</v>
      </c>
      <c r="E9619" s="122">
        <f>IFERROR(__xludf.DUMMYFUNCTION("""COMPUTED_VALUE"""),104.19)</f>
        <v>104.19</v>
      </c>
      <c r="F9619" s="122">
        <f>IFERROR(__xludf.DUMMYFUNCTION("""COMPUTED_VALUE"""),0.0046)</f>
        <v>0.0046</v>
      </c>
    </row>
    <row r="9620">
      <c r="A9620" s="131">
        <f>IFERROR(__xludf.DUMMYFUNCTION("""COMPUTED_VALUE"""),46187.689479166664)</f>
        <v>46187.68948</v>
      </c>
      <c r="B9620" s="126">
        <f>IFERROR(__xludf.DUMMYFUNCTION("""COMPUTED_VALUE"""),46187.0)</f>
        <v>46187</v>
      </c>
      <c r="C9620" s="122" t="str">
        <f>IFERROR(__xludf.DUMMYFUNCTION("""COMPUTED_VALUE"""),"VRSE")</f>
        <v>VRSE</v>
      </c>
      <c r="D9620" s="122" t="str">
        <f>IFERROR(__xludf.DUMMYFUNCTION("""COMPUTED_VALUE"""),"VerseVR")</f>
        <v>VerseVR</v>
      </c>
      <c r="E9620" s="122">
        <f>IFERROR(__xludf.DUMMYFUNCTION("""COMPUTED_VALUE"""),146.89)</f>
        <v>146.89</v>
      </c>
      <c r="F9620" s="122">
        <f>IFERROR(__xludf.DUMMYFUNCTION("""COMPUTED_VALUE"""),0.0043)</f>
        <v>0.0043</v>
      </c>
    </row>
    <row r="9621">
      <c r="A9621" s="131">
        <f>IFERROR(__xludf.DUMMYFUNCTION("""COMPUTED_VALUE"""),46187.689479166664)</f>
        <v>46187.68948</v>
      </c>
      <c r="B9621" s="126">
        <f>IFERROR(__xludf.DUMMYFUNCTION("""COMPUTED_VALUE"""),46187.0)</f>
        <v>46187</v>
      </c>
      <c r="C9621" s="122" t="str">
        <f>IFERROR(__xludf.DUMMYFUNCTION("""COMPUTED_VALUE"""),"BYTE")</f>
        <v>BYTE</v>
      </c>
      <c r="D9621" s="122" t="str">
        <f>IFERROR(__xludf.DUMMYFUNCTION("""COMPUTED_VALUE"""),"ByteWorks")</f>
        <v>ByteWorks</v>
      </c>
      <c r="E9621" s="122">
        <f>IFERROR(__xludf.DUMMYFUNCTION("""COMPUTED_VALUE"""),111.62)</f>
        <v>111.62</v>
      </c>
      <c r="F9621" s="122">
        <f>IFERROR(__xludf.DUMMYFUNCTION("""COMPUTED_VALUE"""),-0.0069)</f>
        <v>-0.0069</v>
      </c>
    </row>
    <row r="9622">
      <c r="A9622" s="131">
        <f>IFERROR(__xludf.DUMMYFUNCTION("""COMPUTED_VALUE"""),46187.689479166664)</f>
        <v>46187.68948</v>
      </c>
      <c r="B9622" s="126">
        <f>IFERROR(__xludf.DUMMYFUNCTION("""COMPUTED_VALUE"""),46187.0)</f>
        <v>46187</v>
      </c>
      <c r="C9622" s="122" t="str">
        <f>IFERROR(__xludf.DUMMYFUNCTION("""COMPUTED_VALUE"""),"BANK")</f>
        <v>BANK</v>
      </c>
      <c r="D9622" s="122" t="str">
        <f>IFERROR(__xludf.DUMMYFUNCTION("""COMPUTED_VALUE"""),"Tiger Bank")</f>
        <v>Tiger Bank</v>
      </c>
      <c r="E9622" s="122">
        <f>IFERROR(__xludf.DUMMYFUNCTION("""COMPUTED_VALUE"""),133.7)</f>
        <v>133.7</v>
      </c>
      <c r="F9622" s="122">
        <f>IFERROR(__xludf.DUMMYFUNCTION("""COMPUTED_VALUE"""),-1.0E-4)</f>
        <v>-0.0001</v>
      </c>
    </row>
    <row r="9623">
      <c r="A9623" s="131">
        <f>IFERROR(__xludf.DUMMYFUNCTION("""COMPUTED_VALUE"""),46187.689479166664)</f>
        <v>46187.68948</v>
      </c>
      <c r="B9623" s="126">
        <f>IFERROR(__xludf.DUMMYFUNCTION("""COMPUTED_VALUE"""),46187.0)</f>
        <v>46187</v>
      </c>
      <c r="C9623" s="122" t="str">
        <f>IFERROR(__xludf.DUMMYFUNCTION("""COMPUTED_VALUE"""),"CRED")</f>
        <v>CRED</v>
      </c>
      <c r="D9623" s="122" t="str">
        <f>IFERROR(__xludf.DUMMYFUNCTION("""COMPUTED_VALUE"""),"Credit Castle")</f>
        <v>Credit Castle</v>
      </c>
      <c r="E9623" s="122">
        <f>IFERROR(__xludf.DUMMYFUNCTION("""COMPUTED_VALUE"""),67.76)</f>
        <v>67.76</v>
      </c>
      <c r="F9623" s="122">
        <f>IFERROR(__xludf.DUMMYFUNCTION("""COMPUTED_VALUE"""),0.0022)</f>
        <v>0.0022</v>
      </c>
    </row>
    <row r="9624">
      <c r="A9624" s="131">
        <f>IFERROR(__xludf.DUMMYFUNCTION("""COMPUTED_VALUE"""),46187.689479166664)</f>
        <v>46187.68948</v>
      </c>
      <c r="B9624" s="126">
        <f>IFERROR(__xludf.DUMMYFUNCTION("""COMPUTED_VALUE"""),46187.0)</f>
        <v>46187</v>
      </c>
      <c r="C9624" s="122" t="str">
        <f>IFERROR(__xludf.DUMMYFUNCTION("""COMPUTED_VALUE"""),"BOND")</f>
        <v>BOND</v>
      </c>
      <c r="D9624" s="122" t="str">
        <f>IFERROR(__xludf.DUMMYFUNCTION("""COMPUTED_VALUE"""),"BondBridge")</f>
        <v>BondBridge</v>
      </c>
      <c r="E9624" s="122">
        <f>IFERROR(__xludf.DUMMYFUNCTION("""COMPUTED_VALUE"""),107.39)</f>
        <v>107.39</v>
      </c>
      <c r="F9624" s="122">
        <f>IFERROR(__xludf.DUMMYFUNCTION("""COMPUTED_VALUE"""),0.0019)</f>
        <v>0.0019</v>
      </c>
    </row>
    <row r="9625">
      <c r="A9625" s="131">
        <f>IFERROR(__xludf.DUMMYFUNCTION("""COMPUTED_VALUE"""),46187.689479166664)</f>
        <v>46187.68948</v>
      </c>
      <c r="B9625" s="126">
        <f>IFERROR(__xludf.DUMMYFUNCTION("""COMPUTED_VALUE"""),46187.0)</f>
        <v>46187</v>
      </c>
      <c r="C9625" s="122" t="str">
        <f>IFERROR(__xludf.DUMMYFUNCTION("""COMPUTED_VALUE"""),"INSR")</f>
        <v>INSR</v>
      </c>
      <c r="D9625" s="122" t="str">
        <f>IFERROR(__xludf.DUMMYFUNCTION("""COMPUTED_VALUE"""),"Shield Insurance")</f>
        <v>Shield Insurance</v>
      </c>
      <c r="E9625" s="122">
        <f>IFERROR(__xludf.DUMMYFUNCTION("""COMPUTED_VALUE"""),158.55)</f>
        <v>158.55</v>
      </c>
      <c r="F9625" s="122">
        <f>IFERROR(__xludf.DUMMYFUNCTION("""COMPUTED_VALUE"""),0.0022)</f>
        <v>0.0022</v>
      </c>
    </row>
    <row r="9626">
      <c r="A9626" s="131">
        <f>IFERROR(__xludf.DUMMYFUNCTION("""COMPUTED_VALUE"""),46187.689479166664)</f>
        <v>46187.68948</v>
      </c>
      <c r="B9626" s="126">
        <f>IFERROR(__xludf.DUMMYFUNCTION("""COMPUTED_VALUE"""),46187.0)</f>
        <v>46187</v>
      </c>
      <c r="C9626" s="122" t="str">
        <f>IFERROR(__xludf.DUMMYFUNCTION("""COMPUTED_VALUE"""),"LOAN")</f>
        <v>LOAN</v>
      </c>
      <c r="D9626" s="122" t="str">
        <f>IFERROR(__xludf.DUMMYFUNCTION("""COMPUTED_VALUE"""),"LoanLab")</f>
        <v>LoanLab</v>
      </c>
      <c r="E9626" s="122">
        <f>IFERROR(__xludf.DUMMYFUNCTION("""COMPUTED_VALUE"""),74.99)</f>
        <v>74.99</v>
      </c>
      <c r="F9626" s="122">
        <f>IFERROR(__xludf.DUMMYFUNCTION("""COMPUTED_VALUE"""),0.0036)</f>
        <v>0.0036</v>
      </c>
    </row>
    <row r="9627">
      <c r="A9627" s="131">
        <f>IFERROR(__xludf.DUMMYFUNCTION("""COMPUTED_VALUE"""),46187.689479166664)</f>
        <v>46187.68948</v>
      </c>
      <c r="B9627" s="126">
        <f>IFERROR(__xludf.DUMMYFUNCTION("""COMPUTED_VALUE"""),46187.0)</f>
        <v>46187</v>
      </c>
      <c r="C9627" s="122" t="str">
        <f>IFERROR(__xludf.DUMMYFUNCTION("""COMPUTED_VALUE"""),"LUXE")</f>
        <v>LUXE</v>
      </c>
      <c r="D9627" s="122" t="str">
        <f>IFERROR(__xludf.DUMMYFUNCTION("""COMPUTED_VALUE"""),"Luxury Locker")</f>
        <v>Luxury Locker</v>
      </c>
      <c r="E9627" s="122">
        <f>IFERROR(__xludf.DUMMYFUNCTION("""COMPUTED_VALUE"""),268.99)</f>
        <v>268.99</v>
      </c>
      <c r="F9627" s="122">
        <f>IFERROR(__xludf.DUMMYFUNCTION("""COMPUTED_VALUE"""),-0.0026)</f>
        <v>-0.0026</v>
      </c>
    </row>
    <row r="9628">
      <c r="A9628" s="131">
        <f>IFERROR(__xludf.DUMMYFUNCTION("""COMPUTED_VALUE"""),46187.689479166664)</f>
        <v>46187.68948</v>
      </c>
      <c r="B9628" s="126">
        <f>IFERROR(__xludf.DUMMYFUNCTION("""COMPUTED_VALUE"""),46187.0)</f>
        <v>46187</v>
      </c>
      <c r="C9628" s="122" t="str">
        <f>IFERROR(__xludf.DUMMYFUNCTION("""COMPUTED_VALUE"""),"DRIP")</f>
        <v>DRIP</v>
      </c>
      <c r="D9628" s="122" t="str">
        <f>IFERROR(__xludf.DUMMYFUNCTION("""COMPUTED_VALUE"""),"Drip Streetwear")</f>
        <v>Drip Streetwear</v>
      </c>
      <c r="E9628" s="122">
        <f>IFERROR(__xludf.DUMMYFUNCTION("""COMPUTED_VALUE"""),193.69)</f>
        <v>193.69</v>
      </c>
      <c r="F9628" s="122">
        <f>IFERROR(__xludf.DUMMYFUNCTION("""COMPUTED_VALUE"""),0.0026)</f>
        <v>0.0026</v>
      </c>
    </row>
    <row r="9629">
      <c r="A9629" s="131">
        <f>IFERROR(__xludf.DUMMYFUNCTION("""COMPUTED_VALUE"""),46187.689479166664)</f>
        <v>46187.68948</v>
      </c>
      <c r="B9629" s="126">
        <f>IFERROR(__xludf.DUMMYFUNCTION("""COMPUTED_VALUE"""),46187.0)</f>
        <v>46187</v>
      </c>
      <c r="C9629" s="122" t="str">
        <f>IFERROR(__xludf.DUMMYFUNCTION("""COMPUTED_VALUE"""),"KICK")</f>
        <v>KICK</v>
      </c>
      <c r="D9629" s="122" t="str">
        <f>IFERROR(__xludf.DUMMYFUNCTION("""COMPUTED_VALUE"""),"KickDrop Sneakers")</f>
        <v>KickDrop Sneakers</v>
      </c>
      <c r="E9629" s="122">
        <f>IFERROR(__xludf.DUMMYFUNCTION("""COMPUTED_VALUE"""),171.54)</f>
        <v>171.54</v>
      </c>
      <c r="F9629" s="122">
        <f>IFERROR(__xludf.DUMMYFUNCTION("""COMPUTED_VALUE"""),0.0069)</f>
        <v>0.0069</v>
      </c>
    </row>
    <row r="9630">
      <c r="A9630" s="131">
        <f>IFERROR(__xludf.DUMMYFUNCTION("""COMPUTED_VALUE"""),46187.689479166664)</f>
        <v>46187.68948</v>
      </c>
      <c r="B9630" s="126">
        <f>IFERROR(__xludf.DUMMYFUNCTION("""COMPUTED_VALUE"""),46187.0)</f>
        <v>46187</v>
      </c>
      <c r="C9630" s="122" t="str">
        <f>IFERROR(__xludf.DUMMYFUNCTION("""COMPUTED_VALUE"""),"GLAM")</f>
        <v>GLAM</v>
      </c>
      <c r="D9630" s="122" t="str">
        <f>IFERROR(__xludf.DUMMYFUNCTION("""COMPUTED_VALUE"""),"Glow Cosmetics")</f>
        <v>Glow Cosmetics</v>
      </c>
      <c r="E9630" s="122">
        <f>IFERROR(__xludf.DUMMYFUNCTION("""COMPUTED_VALUE"""),111.8)</f>
        <v>111.8</v>
      </c>
      <c r="F9630" s="122">
        <f>IFERROR(__xludf.DUMMYFUNCTION("""COMPUTED_VALUE"""),0.0082)</f>
        <v>0.0082</v>
      </c>
    </row>
    <row r="9631">
      <c r="A9631" s="131">
        <f>IFERROR(__xludf.DUMMYFUNCTION("""COMPUTED_VALUE"""),46187.689479166664)</f>
        <v>46187.68948</v>
      </c>
      <c r="B9631" s="126">
        <f>IFERROR(__xludf.DUMMYFUNCTION("""COMPUTED_VALUE"""),46187.0)</f>
        <v>46187</v>
      </c>
      <c r="C9631" s="122" t="str">
        <f>IFERROR(__xludf.DUMMYFUNCTION("""COMPUTED_VALUE"""),"BAGG")</f>
        <v>BAGG</v>
      </c>
      <c r="D9631" s="122" t="str">
        <f>IFERROR(__xludf.DUMMYFUNCTION("""COMPUTED_VALUE"""),"BagVault")</f>
        <v>BagVault</v>
      </c>
      <c r="E9631" s="122">
        <f>IFERROR(__xludf.DUMMYFUNCTION("""COMPUTED_VALUE"""),279.77)</f>
        <v>279.77</v>
      </c>
      <c r="F9631" s="122">
        <f>IFERROR(__xludf.DUMMYFUNCTION("""COMPUTED_VALUE"""),-0.0015)</f>
        <v>-0.0015</v>
      </c>
    </row>
    <row r="9632">
      <c r="A9632" s="131">
        <f>IFERROR(__xludf.DUMMYFUNCTION("""COMPUTED_VALUE"""),46187.689479166664)</f>
        <v>46187.68948</v>
      </c>
      <c r="B9632" s="126">
        <f>IFERROR(__xludf.DUMMYFUNCTION("""COMPUTED_VALUE"""),46187.0)</f>
        <v>46187</v>
      </c>
      <c r="C9632" s="122" t="str">
        <f>IFERROR(__xludf.DUMMYFUNCTION("""COMPUTED_VALUE"""),"FAST")</f>
        <v>FAST</v>
      </c>
      <c r="D9632" s="122" t="str">
        <f>IFERROR(__xludf.DUMMYFUNCTION("""COMPUTED_VALUE"""),"Flash Logistics")</f>
        <v>Flash Logistics</v>
      </c>
      <c r="E9632" s="122">
        <f>IFERROR(__xludf.DUMMYFUNCTION("""COMPUTED_VALUE"""),109.63)</f>
        <v>109.63</v>
      </c>
      <c r="F9632" s="122">
        <f>IFERROR(__xludf.DUMMYFUNCTION("""COMPUTED_VALUE"""),-2.0E-4)</f>
        <v>-0.0002</v>
      </c>
    </row>
    <row r="9633">
      <c r="A9633" s="131">
        <f>IFERROR(__xludf.DUMMYFUNCTION("""COMPUTED_VALUE"""),46187.689479166664)</f>
        <v>46187.68948</v>
      </c>
      <c r="B9633" s="126">
        <f>IFERROR(__xludf.DUMMYFUNCTION("""COMPUTED_VALUE"""),46187.0)</f>
        <v>46187</v>
      </c>
      <c r="C9633" s="122" t="str">
        <f>IFERROR(__xludf.DUMMYFUNCTION("""COMPUTED_VALUE"""),"SHIP")</f>
        <v>SHIP</v>
      </c>
      <c r="D9633" s="122" t="str">
        <f>IFERROR(__xludf.DUMMYFUNCTION("""COMPUTED_VALUE"""),"Seoul Shipping")</f>
        <v>Seoul Shipping</v>
      </c>
      <c r="E9633" s="122">
        <f>IFERROR(__xludf.DUMMYFUNCTION("""COMPUTED_VALUE"""),131.24)</f>
        <v>131.24</v>
      </c>
      <c r="F9633" s="122">
        <f>IFERROR(__xludf.DUMMYFUNCTION("""COMPUTED_VALUE"""),-5.0E-4)</f>
        <v>-0.0005</v>
      </c>
    </row>
    <row r="9634">
      <c r="A9634" s="131">
        <f>IFERROR(__xludf.DUMMYFUNCTION("""COMPUTED_VALUE"""),46187.689479166664)</f>
        <v>46187.68948</v>
      </c>
      <c r="B9634" s="126">
        <f>IFERROR(__xludf.DUMMYFUNCTION("""COMPUTED_VALUE"""),46187.0)</f>
        <v>46187</v>
      </c>
      <c r="C9634" s="122" t="str">
        <f>IFERROR(__xludf.DUMMYFUNCTION("""COMPUTED_VALUE"""),"DRON")</f>
        <v>DRON</v>
      </c>
      <c r="D9634" s="122" t="str">
        <f>IFERROR(__xludf.DUMMYFUNCTION("""COMPUTED_VALUE"""),"DroneDrop")</f>
        <v>DroneDrop</v>
      </c>
      <c r="E9634" s="122">
        <f>IFERROR(__xludf.DUMMYFUNCTION("""COMPUTED_VALUE"""),122.15)</f>
        <v>122.15</v>
      </c>
      <c r="F9634" s="122">
        <f>IFERROR(__xludf.DUMMYFUNCTION("""COMPUTED_VALUE"""),0.0073)</f>
        <v>0.0073</v>
      </c>
    </row>
    <row r="9635">
      <c r="A9635" s="131">
        <f>IFERROR(__xludf.DUMMYFUNCTION("""COMPUTED_VALUE"""),46187.689479166664)</f>
        <v>46187.68948</v>
      </c>
      <c r="B9635" s="126">
        <f>IFERROR(__xludf.DUMMYFUNCTION("""COMPUTED_VALUE"""),46187.0)</f>
        <v>46187</v>
      </c>
      <c r="C9635" s="122" t="str">
        <f>IFERROR(__xludf.DUMMYFUNCTION("""COMPUTED_VALUE"""),"RIDE")</f>
        <v>RIDE</v>
      </c>
      <c r="D9635" s="122" t="str">
        <f>IFERROR(__xludf.DUMMYFUNCTION("""COMPUTED_VALUE"""),"QuickRide")</f>
        <v>QuickRide</v>
      </c>
      <c r="E9635" s="122">
        <f>IFERROR(__xludf.DUMMYFUNCTION("""COMPUTED_VALUE"""),98.06)</f>
        <v>98.06</v>
      </c>
      <c r="F9635" s="122">
        <f>IFERROR(__xludf.DUMMYFUNCTION("""COMPUTED_VALUE"""),0.0058)</f>
        <v>0.0058</v>
      </c>
    </row>
    <row r="9636">
      <c r="A9636" s="131">
        <f>IFERROR(__xludf.DUMMYFUNCTION("""COMPUTED_VALUE"""),46187.689479166664)</f>
        <v>46187.68948</v>
      </c>
      <c r="B9636" s="126">
        <f>IFERROR(__xludf.DUMMYFUNCTION("""COMPUTED_VALUE"""),46187.0)</f>
        <v>46187</v>
      </c>
      <c r="C9636" s="122" t="str">
        <f>IFERROR(__xludf.DUMMYFUNCTION("""COMPUTED_VALUE"""),"RAIL")</f>
        <v>RAIL</v>
      </c>
      <c r="D9636" s="122" t="str">
        <f>IFERROR(__xludf.DUMMYFUNCTION("""COMPUTED_VALUE"""),"MetroRail Corp")</f>
        <v>MetroRail Corp</v>
      </c>
      <c r="E9636" s="122">
        <f>IFERROR(__xludf.DUMMYFUNCTION("""COMPUTED_VALUE"""),129.61)</f>
        <v>129.61</v>
      </c>
      <c r="F9636" s="122">
        <f>IFERROR(__xludf.DUMMYFUNCTION("""COMPUTED_VALUE"""),0.0012)</f>
        <v>0.0012</v>
      </c>
    </row>
    <row r="9637">
      <c r="A9637" s="131">
        <f>IFERROR(__xludf.DUMMYFUNCTION("""COMPUTED_VALUE"""),46187.689479166664)</f>
        <v>46187.68948</v>
      </c>
      <c r="B9637" s="126">
        <f>IFERROR(__xludf.DUMMYFUNCTION("""COMPUTED_VALUE"""),46187.0)</f>
        <v>46187</v>
      </c>
      <c r="C9637" s="122" t="str">
        <f>IFERROR(__xludf.DUMMYFUNCTION("""COMPUTED_VALUE"""),"MEDX")</f>
        <v>MEDX</v>
      </c>
      <c r="D9637" s="122" t="str">
        <f>IFERROR(__xludf.DUMMYFUNCTION("""COMPUTED_VALUE"""),"MediCore")</f>
        <v>MediCore</v>
      </c>
      <c r="E9637" s="122">
        <f>IFERROR(__xludf.DUMMYFUNCTION("""COMPUTED_VALUE"""),139.68)</f>
        <v>139.68</v>
      </c>
      <c r="F9637" s="122">
        <f>IFERROR(__xludf.DUMMYFUNCTION("""COMPUTED_VALUE"""),0.001)</f>
        <v>0.001</v>
      </c>
    </row>
    <row r="9638">
      <c r="A9638" s="131">
        <f>IFERROR(__xludf.DUMMYFUNCTION("""COMPUTED_VALUE"""),46187.689479166664)</f>
        <v>46187.68948</v>
      </c>
      <c r="B9638" s="126">
        <f>IFERROR(__xludf.DUMMYFUNCTION("""COMPUTED_VALUE"""),46187.0)</f>
        <v>46187</v>
      </c>
      <c r="C9638" s="122" t="str">
        <f>IFERROR(__xludf.DUMMYFUNCTION("""COMPUTED_VALUE"""),"GYMX")</f>
        <v>GYMX</v>
      </c>
      <c r="D9638" s="122" t="str">
        <f>IFERROR(__xludf.DUMMYFUNCTION("""COMPUTED_VALUE"""),"GymX Fitness")</f>
        <v>GymX Fitness</v>
      </c>
      <c r="E9638" s="122">
        <f>IFERROR(__xludf.DUMMYFUNCTION("""COMPUTED_VALUE"""),80.7)</f>
        <v>80.7</v>
      </c>
      <c r="F9638" s="122">
        <f>IFERROR(__xludf.DUMMYFUNCTION("""COMPUTED_VALUE"""),5.0E-4)</f>
        <v>0.0005</v>
      </c>
    </row>
    <row r="9639">
      <c r="A9639" s="131">
        <f>IFERROR(__xludf.DUMMYFUNCTION("""COMPUTED_VALUE"""),46187.689479166664)</f>
        <v>46187.68948</v>
      </c>
      <c r="B9639" s="126">
        <f>IFERROR(__xludf.DUMMYFUNCTION("""COMPUTED_VALUE"""),46187.0)</f>
        <v>46187</v>
      </c>
      <c r="C9639" s="122" t="str">
        <f>IFERROR(__xludf.DUMMYFUNCTION("""COMPUTED_VALUE"""),"VITA")</f>
        <v>VITA</v>
      </c>
      <c r="D9639" s="122" t="str">
        <f>IFERROR(__xludf.DUMMYFUNCTION("""COMPUTED_VALUE"""),"VitaPlus")</f>
        <v>VitaPlus</v>
      </c>
      <c r="E9639" s="122">
        <f>IFERROR(__xludf.DUMMYFUNCTION("""COMPUTED_VALUE"""),71.67)</f>
        <v>71.67</v>
      </c>
      <c r="F9639" s="122">
        <f>IFERROR(__xludf.DUMMYFUNCTION("""COMPUTED_VALUE"""),0.0052)</f>
        <v>0.0052</v>
      </c>
    </row>
    <row r="9640">
      <c r="A9640" s="131">
        <f>IFERROR(__xludf.DUMMYFUNCTION("""COMPUTED_VALUE"""),46187.689479166664)</f>
        <v>46187.68948</v>
      </c>
      <c r="B9640" s="126">
        <f>IFERROR(__xludf.DUMMYFUNCTION("""COMPUTED_VALUE"""),46187.0)</f>
        <v>46187</v>
      </c>
      <c r="C9640" s="122" t="str">
        <f>IFERROR(__xludf.DUMMYFUNCTION("""COMPUTED_VALUE"""),"CARE")</f>
        <v>CARE</v>
      </c>
      <c r="D9640" s="122" t="str">
        <f>IFERROR(__xludf.DUMMYFUNCTION("""COMPUTED_VALUE"""),"CareCloud")</f>
        <v>CareCloud</v>
      </c>
      <c r="E9640" s="122">
        <f>IFERROR(__xludf.DUMMYFUNCTION("""COMPUTED_VALUE"""),185.48)</f>
        <v>185.48</v>
      </c>
      <c r="F9640" s="122">
        <f>IFERROR(__xludf.DUMMYFUNCTION("""COMPUTED_VALUE"""),-0.0054)</f>
        <v>-0.0054</v>
      </c>
    </row>
    <row r="9641">
      <c r="A9641" s="131">
        <f>IFERROR(__xludf.DUMMYFUNCTION("""COMPUTED_VALUE"""),46187.689479166664)</f>
        <v>46187.68948</v>
      </c>
      <c r="B9641" s="126">
        <f>IFERROR(__xludf.DUMMYFUNCTION("""COMPUTED_VALUE"""),46187.0)</f>
        <v>46187</v>
      </c>
      <c r="C9641" s="122" t="str">
        <f>IFERROR(__xludf.DUMMYFUNCTION("""COMPUTED_VALUE"""),"DENT")</f>
        <v>DENT</v>
      </c>
      <c r="D9641" s="122" t="str">
        <f>IFERROR(__xludf.DUMMYFUNCTION("""COMPUTED_VALUE"""),"SmileWorks")</f>
        <v>SmileWorks</v>
      </c>
      <c r="E9641" s="122">
        <f>IFERROR(__xludf.DUMMYFUNCTION("""COMPUTED_VALUE"""),100.0)</f>
        <v>100</v>
      </c>
      <c r="F9641" s="122">
        <f>IFERROR(__xludf.DUMMYFUNCTION("""COMPUTED_VALUE"""),0.0046)</f>
        <v>0.0046</v>
      </c>
    </row>
    <row r="9642">
      <c r="A9642" s="131">
        <f>IFERROR(__xludf.DUMMYFUNCTION("""COMPUTED_VALUE"""),46187.689479166664)</f>
        <v>46187.68948</v>
      </c>
      <c r="B9642" s="126">
        <f>IFERROR(__xludf.DUMMYFUNCTION("""COMPUTED_VALUE"""),46187.0)</f>
        <v>46187</v>
      </c>
      <c r="C9642" s="122" t="str">
        <f>IFERROR(__xludf.DUMMYFUNCTION("""COMPUTED_VALUE"""),"EDUX")</f>
        <v>EDUX</v>
      </c>
      <c r="D9642" s="122" t="str">
        <f>IFERROR(__xludf.DUMMYFUNCTION("""COMPUTED_VALUE"""),"EduMax Learning")</f>
        <v>EduMax Learning</v>
      </c>
      <c r="E9642" s="122">
        <f>IFERROR(__xludf.DUMMYFUNCTION("""COMPUTED_VALUE"""),155.36)</f>
        <v>155.36</v>
      </c>
      <c r="F9642" s="122">
        <f>IFERROR(__xludf.DUMMYFUNCTION("""COMPUTED_VALUE"""),-0.0023)</f>
        <v>-0.0023</v>
      </c>
    </row>
    <row r="9643">
      <c r="A9643" s="131">
        <f>IFERROR(__xludf.DUMMYFUNCTION("""COMPUTED_VALUE"""),46187.689479166664)</f>
        <v>46187.68948</v>
      </c>
      <c r="B9643" s="126">
        <f>IFERROR(__xludf.DUMMYFUNCTION("""COMPUTED_VALUE"""),46187.0)</f>
        <v>46187</v>
      </c>
      <c r="C9643" s="122" t="str">
        <f>IFERROR(__xludf.DUMMYFUNCTION("""COMPUTED_VALUE"""),"BOOK")</f>
        <v>BOOK</v>
      </c>
      <c r="D9643" s="122" t="str">
        <f>IFERROR(__xludf.DUMMYFUNCTION("""COMPUTED_VALUE"""),"BookBridge")</f>
        <v>BookBridge</v>
      </c>
      <c r="E9643" s="122">
        <f>IFERROR(__xludf.DUMMYFUNCTION("""COMPUTED_VALUE"""),120.54)</f>
        <v>120.54</v>
      </c>
      <c r="F9643" s="122">
        <f>IFERROR(__xludf.DUMMYFUNCTION("""COMPUTED_VALUE"""),-8.0E-4)</f>
        <v>-0.0008</v>
      </c>
    </row>
    <row r="9644">
      <c r="A9644" s="131">
        <f>IFERROR(__xludf.DUMMYFUNCTION("""COMPUTED_VALUE"""),46187.689479166664)</f>
        <v>46187.68948</v>
      </c>
      <c r="B9644" s="126">
        <f>IFERROR(__xludf.DUMMYFUNCTION("""COMPUTED_VALUE"""),46187.0)</f>
        <v>46187</v>
      </c>
      <c r="C9644" s="122" t="str">
        <f>IFERROR(__xludf.DUMMYFUNCTION("""COMPUTED_VALUE"""),"TUTR")</f>
        <v>TUTR</v>
      </c>
      <c r="D9644" s="122" t="str">
        <f>IFERROR(__xludf.DUMMYFUNCTION("""COMPUTED_VALUE"""),"TutorTown")</f>
        <v>TutorTown</v>
      </c>
      <c r="E9644" s="122">
        <f>IFERROR(__xludf.DUMMYFUNCTION("""COMPUTED_VALUE"""),94.08)</f>
        <v>94.08</v>
      </c>
      <c r="F9644" s="122">
        <f>IFERROR(__xludf.DUMMYFUNCTION("""COMPUTED_VALUE"""),0.0021)</f>
        <v>0.0021</v>
      </c>
    </row>
    <row r="9645">
      <c r="A9645" s="131">
        <f>IFERROR(__xludf.DUMMYFUNCTION("""COMPUTED_VALUE"""),46187.689479166664)</f>
        <v>46187.68948</v>
      </c>
      <c r="B9645" s="126">
        <f>IFERROR(__xludf.DUMMYFUNCTION("""COMPUTED_VALUE"""),46187.0)</f>
        <v>46187</v>
      </c>
      <c r="C9645" s="122" t="str">
        <f>IFERROR(__xludf.DUMMYFUNCTION("""COMPUTED_VALUE"""),"LANG")</f>
        <v>LANG</v>
      </c>
      <c r="D9645" s="122" t="str">
        <f>IFERROR(__xludf.DUMMYFUNCTION("""COMPUTED_VALUE"""),"LinguaLab")</f>
        <v>LinguaLab</v>
      </c>
      <c r="E9645" s="122">
        <f>IFERROR(__xludf.DUMMYFUNCTION("""COMPUTED_VALUE"""),103.83)</f>
        <v>103.83</v>
      </c>
      <c r="F9645" s="122">
        <f>IFERROR(__xludf.DUMMYFUNCTION("""COMPUTED_VALUE"""),0.0012)</f>
        <v>0.0012</v>
      </c>
    </row>
    <row r="9646">
      <c r="A9646" s="131">
        <f>IFERROR(__xludf.DUMMYFUNCTION("""COMPUTED_VALUE"""),46187.689479166664)</f>
        <v>46187.68948</v>
      </c>
      <c r="B9646" s="126">
        <f>IFERROR(__xludf.DUMMYFUNCTION("""COMPUTED_VALUE"""),46187.0)</f>
        <v>46187</v>
      </c>
      <c r="C9646" s="122" t="str">
        <f>IFERROR(__xludf.DUMMYFUNCTION("""COMPUTED_VALUE"""),"TEST")</f>
        <v>TEST</v>
      </c>
      <c r="D9646" s="122" t="str">
        <f>IFERROR(__xludf.DUMMYFUNCTION("""COMPUTED_VALUE"""),"TestPrep Pro")</f>
        <v>TestPrep Pro</v>
      </c>
      <c r="E9646" s="122">
        <f>IFERROR(__xludf.DUMMYFUNCTION("""COMPUTED_VALUE"""),86.34)</f>
        <v>86.34</v>
      </c>
      <c r="F9646" s="122">
        <f>IFERROR(__xludf.DUMMYFUNCTION("""COMPUTED_VALUE"""),-0.0028)</f>
        <v>-0.0028</v>
      </c>
    </row>
    <row r="9647">
      <c r="A9647" s="131">
        <f>IFERROR(__xludf.DUMMYFUNCTION("""COMPUTED_VALUE"""),46187.689479166664)</f>
        <v>46187.68948</v>
      </c>
      <c r="B9647" s="126">
        <f>IFERROR(__xludf.DUMMYFUNCTION("""COMPUTED_VALUE"""),46187.0)</f>
        <v>46187</v>
      </c>
      <c r="C9647" s="122" t="str">
        <f>IFERROR(__xludf.DUMMYFUNCTION("""COMPUTED_VALUE"""),"MOVI")</f>
        <v>MOVI</v>
      </c>
      <c r="D9647" s="122" t="str">
        <f>IFERROR(__xludf.DUMMYFUNCTION("""COMPUTED_VALUE"""),"MovieBox")</f>
        <v>MovieBox</v>
      </c>
      <c r="E9647" s="122">
        <f>IFERROR(__xludf.DUMMYFUNCTION("""COMPUTED_VALUE"""),84.13)</f>
        <v>84.13</v>
      </c>
      <c r="F9647" s="122">
        <f>IFERROR(__xludf.DUMMYFUNCTION("""COMPUTED_VALUE"""),-0.0061)</f>
        <v>-0.0061</v>
      </c>
    </row>
    <row r="9648">
      <c r="A9648" s="131">
        <f>IFERROR(__xludf.DUMMYFUNCTION("""COMPUTED_VALUE"""),46187.689479166664)</f>
        <v>46187.68948</v>
      </c>
      <c r="B9648" s="126">
        <f>IFERROR(__xludf.DUMMYFUNCTION("""COMPUTED_VALUE"""),46187.0)</f>
        <v>46187</v>
      </c>
      <c r="C9648" s="122" t="str">
        <f>IFERROR(__xludf.DUMMYFUNCTION("""COMPUTED_VALUE"""),"MUSC")</f>
        <v>MUSC</v>
      </c>
      <c r="D9648" s="122" t="str">
        <f>IFERROR(__xludf.DUMMYFUNCTION("""COMPUTED_VALUE"""),"MusicWave")</f>
        <v>MusicWave</v>
      </c>
      <c r="E9648" s="122">
        <f>IFERROR(__xludf.DUMMYFUNCTION("""COMPUTED_VALUE"""),102.69)</f>
        <v>102.69</v>
      </c>
      <c r="F9648" s="122">
        <f>IFERROR(__xludf.DUMMYFUNCTION("""COMPUTED_VALUE"""),-0.0025)</f>
        <v>-0.0025</v>
      </c>
    </row>
    <row r="9649">
      <c r="A9649" s="131">
        <f>IFERROR(__xludf.DUMMYFUNCTION("""COMPUTED_VALUE"""),46187.689479166664)</f>
        <v>46187.68948</v>
      </c>
      <c r="B9649" s="126">
        <f>IFERROR(__xludf.DUMMYFUNCTION("""COMPUTED_VALUE"""),46187.0)</f>
        <v>46187</v>
      </c>
      <c r="C9649" s="122" t="str">
        <f>IFERROR(__xludf.DUMMYFUNCTION("""COMPUTED_VALUE"""),"IDOL")</f>
        <v>IDOL</v>
      </c>
      <c r="D9649" s="122" t="str">
        <f>IFERROR(__xludf.DUMMYFUNCTION("""COMPUTED_VALUE"""),"Idol Agency")</f>
        <v>Idol Agency</v>
      </c>
      <c r="E9649" s="122">
        <f>IFERROR(__xludf.DUMMYFUNCTION("""COMPUTED_VALUE"""),187.96)</f>
        <v>187.96</v>
      </c>
      <c r="F9649" s="122">
        <f>IFERROR(__xludf.DUMMYFUNCTION("""COMPUTED_VALUE"""),-0.0098)</f>
        <v>-0.0098</v>
      </c>
    </row>
    <row r="9650">
      <c r="A9650" s="131">
        <f>IFERROR(__xludf.DUMMYFUNCTION("""COMPUTED_VALUE"""),46187.689479166664)</f>
        <v>46187.68948</v>
      </c>
      <c r="B9650" s="126">
        <f>IFERROR(__xludf.DUMMYFUNCTION("""COMPUTED_VALUE"""),46187.0)</f>
        <v>46187</v>
      </c>
      <c r="C9650" s="122" t="str">
        <f>IFERROR(__xludf.DUMMYFUNCTION("""COMPUTED_VALUE"""),"MEME")</f>
        <v>MEME</v>
      </c>
      <c r="D9650" s="122" t="str">
        <f>IFERROR(__xludf.DUMMYFUNCTION("""COMPUTED_VALUE"""),"Meme Media")</f>
        <v>Meme Media</v>
      </c>
      <c r="E9650" s="122">
        <f>IFERROR(__xludf.DUMMYFUNCTION("""COMPUTED_VALUE"""),75.37)</f>
        <v>75.37</v>
      </c>
      <c r="F9650" s="122">
        <f>IFERROR(__xludf.DUMMYFUNCTION("""COMPUTED_VALUE"""),0.0015)</f>
        <v>0.0015</v>
      </c>
    </row>
    <row r="9651">
      <c r="A9651" s="131">
        <f>IFERROR(__xludf.DUMMYFUNCTION("""COMPUTED_VALUE"""),46187.689479166664)</f>
        <v>46187.68948</v>
      </c>
      <c r="B9651" s="126">
        <f>IFERROR(__xludf.DUMMYFUNCTION("""COMPUTED_VALUE"""),46187.0)</f>
        <v>46187</v>
      </c>
      <c r="C9651" s="122" t="str">
        <f>IFERROR(__xludf.DUMMYFUNCTION("""COMPUTED_VALUE"""),"STRM")</f>
        <v>STRM</v>
      </c>
      <c r="D9651" s="122" t="str">
        <f>IFERROR(__xludf.DUMMYFUNCTION("""COMPUTED_VALUE"""),"Streamly")</f>
        <v>Streamly</v>
      </c>
      <c r="E9651" s="122">
        <f>IFERROR(__xludf.DUMMYFUNCTION("""COMPUTED_VALUE"""),129.69)</f>
        <v>129.69</v>
      </c>
      <c r="F9651" s="122">
        <f>IFERROR(__xludf.DUMMYFUNCTION("""COMPUTED_VALUE"""),-0.0015)</f>
        <v>-0.0015</v>
      </c>
    </row>
    <row r="9652">
      <c r="A9652" s="131">
        <f>IFERROR(__xludf.DUMMYFUNCTION("""COMPUTED_VALUE"""),46187.689479166664)</f>
        <v>46187.68948</v>
      </c>
      <c r="B9652" s="126">
        <f>IFERROR(__xludf.DUMMYFUNCTION("""COMPUTED_VALUE"""),46187.0)</f>
        <v>46187</v>
      </c>
      <c r="C9652" s="122" t="str">
        <f>IFERROR(__xludf.DUMMYFUNCTION("""COMPUTED_VALUE"""),"FARM")</f>
        <v>FARM</v>
      </c>
      <c r="D9652" s="122" t="str">
        <f>IFERROR(__xludf.DUMMYFUNCTION("""COMPUTED_VALUE"""),"Future Farms")</f>
        <v>Future Farms</v>
      </c>
      <c r="E9652" s="122">
        <f>IFERROR(__xludf.DUMMYFUNCTION("""COMPUTED_VALUE"""),101.69)</f>
        <v>101.69</v>
      </c>
      <c r="F9652" s="122">
        <f>IFERROR(__xludf.DUMMYFUNCTION("""COMPUTED_VALUE"""),-7.0E-4)</f>
        <v>-0.0007</v>
      </c>
    </row>
    <row r="9653">
      <c r="A9653" s="131">
        <f>IFERROR(__xludf.DUMMYFUNCTION("""COMPUTED_VALUE"""),46187.689479166664)</f>
        <v>46187.68948</v>
      </c>
      <c r="B9653" s="126">
        <f>IFERROR(__xludf.DUMMYFUNCTION("""COMPUTED_VALUE"""),46187.0)</f>
        <v>46187</v>
      </c>
      <c r="C9653" s="122" t="str">
        <f>IFERROR(__xludf.DUMMYFUNCTION("""COMPUTED_VALUE"""),"MEAT")</f>
        <v>MEAT</v>
      </c>
      <c r="D9653" s="122" t="str">
        <f>IFERROR(__xludf.DUMMYFUNCTION("""COMPUTED_VALUE"""),"MeatWorks")</f>
        <v>MeatWorks</v>
      </c>
      <c r="E9653" s="122">
        <f>IFERROR(__xludf.DUMMYFUNCTION("""COMPUTED_VALUE"""),105.28)</f>
        <v>105.28</v>
      </c>
      <c r="F9653" s="122">
        <f>IFERROR(__xludf.DUMMYFUNCTION("""COMPUTED_VALUE"""),-1.0E-4)</f>
        <v>-0.0001</v>
      </c>
    </row>
    <row r="9654">
      <c r="A9654" s="131">
        <f>IFERROR(__xludf.DUMMYFUNCTION("""COMPUTED_VALUE"""),46187.689479166664)</f>
        <v>46187.68948</v>
      </c>
      <c r="B9654" s="126">
        <f>IFERROR(__xludf.DUMMYFUNCTION("""COMPUTED_VALUE"""),46187.0)</f>
        <v>46187</v>
      </c>
      <c r="C9654" s="122" t="str">
        <f>IFERROR(__xludf.DUMMYFUNCTION("""COMPUTED_VALUE"""),"VEGI")</f>
        <v>VEGI</v>
      </c>
      <c r="D9654" s="122" t="str">
        <f>IFERROR(__xludf.DUMMYFUNCTION("""COMPUTED_VALUE"""),"Green Basket")</f>
        <v>Green Basket</v>
      </c>
      <c r="E9654" s="122">
        <f>IFERROR(__xludf.DUMMYFUNCTION("""COMPUTED_VALUE"""),77.05)</f>
        <v>77.05</v>
      </c>
      <c r="F9654" s="122">
        <f>IFERROR(__xludf.DUMMYFUNCTION("""COMPUTED_VALUE"""),5.0E-4)</f>
        <v>0.0005</v>
      </c>
    </row>
    <row r="9655">
      <c r="A9655" s="131">
        <f>IFERROR(__xludf.DUMMYFUNCTION("""COMPUTED_VALUE"""),46187.689479166664)</f>
        <v>46187.68948</v>
      </c>
      <c r="B9655" s="126">
        <f>IFERROR(__xludf.DUMMYFUNCTION("""COMPUTED_VALUE"""),46187.0)</f>
        <v>46187</v>
      </c>
      <c r="C9655" s="122" t="str">
        <f>IFERROR(__xludf.DUMMYFUNCTION("""COMPUTED_VALUE"""),"CAFE")</f>
        <v>CAFE</v>
      </c>
      <c r="D9655" s="122" t="str">
        <f>IFERROR(__xludf.DUMMYFUNCTION("""COMPUTED_VALUE"""),"Cafe Cloud")</f>
        <v>Cafe Cloud</v>
      </c>
      <c r="E9655" s="122">
        <f>IFERROR(__xludf.DUMMYFUNCTION("""COMPUTED_VALUE"""),105.21)</f>
        <v>105.21</v>
      </c>
      <c r="F9655" s="122">
        <f>IFERROR(__xludf.DUMMYFUNCTION("""COMPUTED_VALUE"""),6.0E-4)</f>
        <v>0.0006</v>
      </c>
    </row>
    <row r="9656">
      <c r="A9656" s="131">
        <f>IFERROR(__xludf.DUMMYFUNCTION("""COMPUTED_VALUE"""),46187.689479166664)</f>
        <v>46187.68948</v>
      </c>
      <c r="B9656" s="126">
        <f>IFERROR(__xludf.DUMMYFUNCTION("""COMPUTED_VALUE"""),46187.0)</f>
        <v>46187</v>
      </c>
      <c r="C9656" s="122" t="str">
        <f>IFERROR(__xludf.DUMMYFUNCTION("""COMPUTED_VALUE"""),"BAKE")</f>
        <v>BAKE</v>
      </c>
      <c r="D9656" s="122" t="str">
        <f>IFERROR(__xludf.DUMMYFUNCTION("""COMPUTED_VALUE"""),"BakeHouse")</f>
        <v>BakeHouse</v>
      </c>
      <c r="E9656" s="122">
        <f>IFERROR(__xludf.DUMMYFUNCTION("""COMPUTED_VALUE"""),99.79)</f>
        <v>99.79</v>
      </c>
      <c r="F9656" s="122">
        <f>IFERROR(__xludf.DUMMYFUNCTION("""COMPUTED_VALUE"""),-0.0031)</f>
        <v>-0.0031</v>
      </c>
    </row>
    <row r="9657">
      <c r="A9657" s="131">
        <f>IFERROR(__xludf.DUMMYFUNCTION("""COMPUTED_VALUE"""),46187.689479166664)</f>
        <v>46187.68948</v>
      </c>
      <c r="B9657" s="126">
        <f>IFERROR(__xludf.DUMMYFUNCTION("""COMPUTED_VALUE"""),46187.0)</f>
        <v>46187</v>
      </c>
      <c r="C9657" s="122" t="str">
        <f>IFERROR(__xludf.DUMMYFUNCTION("""COMPUTED_VALUE"""),"OILX")</f>
        <v>OILX</v>
      </c>
      <c r="D9657" s="122" t="str">
        <f>IFERROR(__xludf.DUMMYFUNCTION("""COMPUTED_VALUE"""),"OilMax Energy")</f>
        <v>OilMax Energy</v>
      </c>
      <c r="E9657" s="122">
        <f>IFERROR(__xludf.DUMMYFUNCTION("""COMPUTED_VALUE"""),134.23)</f>
        <v>134.23</v>
      </c>
      <c r="F9657" s="122">
        <f>IFERROR(__xludf.DUMMYFUNCTION("""COMPUTED_VALUE"""),-0.0044)</f>
        <v>-0.0044</v>
      </c>
    </row>
    <row r="9658">
      <c r="A9658" s="131">
        <f>IFERROR(__xludf.DUMMYFUNCTION("""COMPUTED_VALUE"""),46187.689479166664)</f>
        <v>46187.68948</v>
      </c>
      <c r="B9658" s="126">
        <f>IFERROR(__xludf.DUMMYFUNCTION("""COMPUTED_VALUE"""),46187.0)</f>
        <v>46187</v>
      </c>
      <c r="C9658" s="122" t="str">
        <f>IFERROR(__xludf.DUMMYFUNCTION("""COMPUTED_VALUE"""),"SOLR")</f>
        <v>SOLR</v>
      </c>
      <c r="D9658" s="122" t="str">
        <f>IFERROR(__xludf.DUMMYFUNCTION("""COMPUTED_VALUE"""),"SolarSpark")</f>
        <v>SolarSpark</v>
      </c>
      <c r="E9658" s="122">
        <f>IFERROR(__xludf.DUMMYFUNCTION("""COMPUTED_VALUE"""),109.52)</f>
        <v>109.52</v>
      </c>
      <c r="F9658" s="122">
        <f>IFERROR(__xludf.DUMMYFUNCTION("""COMPUTED_VALUE"""),0.0023)</f>
        <v>0.0023</v>
      </c>
    </row>
    <row r="9659">
      <c r="A9659" s="131">
        <f>IFERROR(__xludf.DUMMYFUNCTION("""COMPUTED_VALUE"""),46187.689479166664)</f>
        <v>46187.68948</v>
      </c>
      <c r="B9659" s="126">
        <f>IFERROR(__xludf.DUMMYFUNCTION("""COMPUTED_VALUE"""),46187.0)</f>
        <v>46187</v>
      </c>
      <c r="C9659" s="122" t="str">
        <f>IFERROR(__xludf.DUMMYFUNCTION("""COMPUTED_VALUE"""),"BATT")</f>
        <v>BATT</v>
      </c>
      <c r="D9659" s="122" t="str">
        <f>IFERROR(__xludf.DUMMYFUNCTION("""COMPUTED_VALUE"""),"BatteryBox")</f>
        <v>BatteryBox</v>
      </c>
      <c r="E9659" s="122">
        <f>IFERROR(__xludf.DUMMYFUNCTION("""COMPUTED_VALUE"""),118.48)</f>
        <v>118.48</v>
      </c>
      <c r="F9659" s="122">
        <f>IFERROR(__xludf.DUMMYFUNCTION("""COMPUTED_VALUE"""),-0.0059)</f>
        <v>-0.0059</v>
      </c>
    </row>
    <row r="9660">
      <c r="A9660" s="131">
        <f>IFERROR(__xludf.DUMMYFUNCTION("""COMPUTED_VALUE"""),46187.689479166664)</f>
        <v>46187.68948</v>
      </c>
      <c r="B9660" s="126">
        <f>IFERROR(__xludf.DUMMYFUNCTION("""COMPUTED_VALUE"""),46187.0)</f>
        <v>46187</v>
      </c>
      <c r="C9660" s="122" t="str">
        <f>IFERROR(__xludf.DUMMYFUNCTION("""COMPUTED_VALUE"""),"WIND")</f>
        <v>WIND</v>
      </c>
      <c r="D9660" s="122" t="str">
        <f>IFERROR(__xludf.DUMMYFUNCTION("""COMPUTED_VALUE"""),"WindWorks")</f>
        <v>WindWorks</v>
      </c>
      <c r="E9660" s="122">
        <f>IFERROR(__xludf.DUMMYFUNCTION("""COMPUTED_VALUE"""),87.06)</f>
        <v>87.06</v>
      </c>
      <c r="F9660" s="122">
        <f>IFERROR(__xludf.DUMMYFUNCTION("""COMPUTED_VALUE"""),0.0053)</f>
        <v>0.0053</v>
      </c>
    </row>
    <row r="9661">
      <c r="A9661" s="131">
        <f>IFERROR(__xludf.DUMMYFUNCTION("""COMPUTED_VALUE"""),46187.689479166664)</f>
        <v>46187.68948</v>
      </c>
      <c r="B9661" s="126">
        <f>IFERROR(__xludf.DUMMYFUNCTION("""COMPUTED_VALUE"""),46187.0)</f>
        <v>46187</v>
      </c>
      <c r="C9661" s="122" t="str">
        <f>IFERROR(__xludf.DUMMYFUNCTION("""COMPUTED_VALUE"""),"GRID")</f>
        <v>GRID</v>
      </c>
      <c r="D9661" s="122" t="str">
        <f>IFERROR(__xludf.DUMMYFUNCTION("""COMPUTED_VALUE"""),"GridPower")</f>
        <v>GridPower</v>
      </c>
      <c r="E9661" s="122">
        <f>IFERROR(__xludf.DUMMYFUNCTION("""COMPUTED_VALUE"""),125.7)</f>
        <v>125.7</v>
      </c>
      <c r="F9661" s="122">
        <f>IFERROR(__xludf.DUMMYFUNCTION("""COMPUTED_VALUE"""),0.0014)</f>
        <v>0.0014</v>
      </c>
    </row>
    <row r="9662">
      <c r="A9662" s="131">
        <f>IFERROR(__xludf.DUMMYFUNCTION("""COMPUTED_VALUE"""),46187.689479166664)</f>
        <v>46187.68948</v>
      </c>
      <c r="B9662" s="126">
        <f>IFERROR(__xludf.DUMMYFUNCTION("""COMPUTED_VALUE"""),46187.0)</f>
        <v>46187</v>
      </c>
      <c r="C9662" s="122" t="str">
        <f>IFERROR(__xludf.DUMMYFUNCTION("""COMPUTED_VALUE"""),"HOME")</f>
        <v>HOME</v>
      </c>
      <c r="D9662" s="122" t="str">
        <f>IFERROR(__xludf.DUMMYFUNCTION("""COMPUTED_VALUE"""),"HomeHub")</f>
        <v>HomeHub</v>
      </c>
      <c r="E9662" s="122">
        <f>IFERROR(__xludf.DUMMYFUNCTION("""COMPUTED_VALUE"""),163.68)</f>
        <v>163.68</v>
      </c>
      <c r="F9662" s="122">
        <f>IFERROR(__xludf.DUMMYFUNCTION("""COMPUTED_VALUE"""),9.0E-4)</f>
        <v>0.0009</v>
      </c>
    </row>
    <row r="9663">
      <c r="A9663" s="131">
        <f>IFERROR(__xludf.DUMMYFUNCTION("""COMPUTED_VALUE"""),46187.689479166664)</f>
        <v>46187.68948</v>
      </c>
      <c r="B9663" s="126">
        <f>IFERROR(__xludf.DUMMYFUNCTION("""COMPUTED_VALUE"""),46187.0)</f>
        <v>46187</v>
      </c>
      <c r="C9663" s="122" t="str">
        <f>IFERROR(__xludf.DUMMYFUNCTION("""COMPUTED_VALUE"""),"RENT")</f>
        <v>RENT</v>
      </c>
      <c r="D9663" s="122" t="str">
        <f>IFERROR(__xludf.DUMMYFUNCTION("""COMPUTED_VALUE"""),"RentRight")</f>
        <v>RentRight</v>
      </c>
      <c r="E9663" s="122">
        <f>IFERROR(__xludf.DUMMYFUNCTION("""COMPUTED_VALUE"""),89.3)</f>
        <v>89.3</v>
      </c>
      <c r="F9663" s="122">
        <f>IFERROR(__xludf.DUMMYFUNCTION("""COMPUTED_VALUE"""),0.0028)</f>
        <v>0.0028</v>
      </c>
    </row>
    <row r="9664">
      <c r="A9664" s="131">
        <f>IFERROR(__xludf.DUMMYFUNCTION("""COMPUTED_VALUE"""),46187.689479166664)</f>
        <v>46187.68948</v>
      </c>
      <c r="B9664" s="126">
        <f>IFERROR(__xludf.DUMMYFUNCTION("""COMPUTED_VALUE"""),46187.0)</f>
        <v>46187</v>
      </c>
      <c r="C9664" s="122" t="str">
        <f>IFERROR(__xludf.DUMMYFUNCTION("""COMPUTED_VALUE"""),"MALL")</f>
        <v>MALL</v>
      </c>
      <c r="D9664" s="122" t="str">
        <f>IFERROR(__xludf.DUMMYFUNCTION("""COMPUTED_VALUE"""),"MegaMall")</f>
        <v>MegaMall</v>
      </c>
      <c r="E9664" s="122">
        <f>IFERROR(__xludf.DUMMYFUNCTION("""COMPUTED_VALUE"""),102.21)</f>
        <v>102.21</v>
      </c>
      <c r="F9664" s="122">
        <f>IFERROR(__xludf.DUMMYFUNCTION("""COMPUTED_VALUE"""),-0.002)</f>
        <v>-0.002</v>
      </c>
    </row>
    <row r="9665">
      <c r="A9665" s="131">
        <f>IFERROR(__xludf.DUMMYFUNCTION("""COMPUTED_VALUE"""),46187.689479166664)</f>
        <v>46187.68948</v>
      </c>
      <c r="B9665" s="126">
        <f>IFERROR(__xludf.DUMMYFUNCTION("""COMPUTED_VALUE"""),46187.0)</f>
        <v>46187</v>
      </c>
      <c r="C9665" s="122" t="str">
        <f>IFERROR(__xludf.DUMMYFUNCTION("""COMPUTED_VALUE"""),"HOTL")</f>
        <v>HOTL</v>
      </c>
      <c r="D9665" s="122" t="str">
        <f>IFERROR(__xludf.DUMMYFUNCTION("""COMPUTED_VALUE"""),"HotelHive")</f>
        <v>HotelHive</v>
      </c>
      <c r="E9665" s="122">
        <f>IFERROR(__xludf.DUMMYFUNCTION("""COMPUTED_VALUE"""),117.68)</f>
        <v>117.68</v>
      </c>
      <c r="F9665" s="122">
        <f>IFERROR(__xludf.DUMMYFUNCTION("""COMPUTED_VALUE"""),0.0017)</f>
        <v>0.0017</v>
      </c>
    </row>
    <row r="9666">
      <c r="A9666" s="131">
        <f>IFERROR(__xludf.DUMMYFUNCTION("""COMPUTED_VALUE"""),46187.689479166664)</f>
        <v>46187.68948</v>
      </c>
      <c r="B9666" s="126">
        <f>IFERROR(__xludf.DUMMYFUNCTION("""COMPUTED_VALUE"""),46187.0)</f>
        <v>46187</v>
      </c>
      <c r="C9666" s="122" t="str">
        <f>IFERROR(__xludf.DUMMYFUNCTION("""COMPUTED_VALUE"""),"LAND")</f>
        <v>LAND</v>
      </c>
      <c r="D9666" s="122" t="str">
        <f>IFERROR(__xludf.DUMMYFUNCTION("""COMPUTED_VALUE"""),"LandLink")</f>
        <v>LandLink</v>
      </c>
      <c r="E9666" s="122">
        <f>IFERROR(__xludf.DUMMYFUNCTION("""COMPUTED_VALUE"""),187.69)</f>
        <v>187.69</v>
      </c>
      <c r="F9666" s="122">
        <f>IFERROR(__xludf.DUMMYFUNCTION("""COMPUTED_VALUE"""),-3.0E-4)</f>
        <v>-0.0003</v>
      </c>
    </row>
    <row r="9667">
      <c r="A9667" s="131">
        <f>IFERROR(__xludf.DUMMYFUNCTION("""COMPUTED_VALUE"""),46187.689479166664)</f>
        <v>46187.68948</v>
      </c>
      <c r="B9667" s="126">
        <f>IFERROR(__xludf.DUMMYFUNCTION("""COMPUTED_VALUE"""),46187.0)</f>
        <v>46187</v>
      </c>
      <c r="C9667" s="122" t="str">
        <f>IFERROR(__xludf.DUMMYFUNCTION("""COMPUTED_VALUE"""),"CARS")</f>
        <v>CARS</v>
      </c>
      <c r="D9667" s="122" t="str">
        <f>IFERROR(__xludf.DUMMYFUNCTION("""COMPUTED_VALUE"""),"AutoArena")</f>
        <v>AutoArena</v>
      </c>
      <c r="E9667" s="122">
        <f>IFERROR(__xludf.DUMMYFUNCTION("""COMPUTED_VALUE"""),81.98)</f>
        <v>81.98</v>
      </c>
      <c r="F9667" s="122">
        <f>IFERROR(__xludf.DUMMYFUNCTION("""COMPUTED_VALUE"""),-0.0087)</f>
        <v>-0.0087</v>
      </c>
    </row>
    <row r="9668">
      <c r="A9668" s="131">
        <f>IFERROR(__xludf.DUMMYFUNCTION("""COMPUTED_VALUE"""),46187.689479166664)</f>
        <v>46187.68948</v>
      </c>
      <c r="B9668" s="126">
        <f>IFERROR(__xludf.DUMMYFUNCTION("""COMPUTED_VALUE"""),46187.0)</f>
        <v>46187</v>
      </c>
      <c r="C9668" s="122" t="str">
        <f>IFERROR(__xludf.DUMMYFUNCTION("""COMPUTED_VALUE"""),"EVGO")</f>
        <v>EVGO</v>
      </c>
      <c r="D9668" s="122" t="str">
        <f>IFERROR(__xludf.DUMMYFUNCTION("""COMPUTED_VALUE"""),"EVGo Motors")</f>
        <v>EVGo Motors</v>
      </c>
      <c r="E9668" s="122">
        <f>IFERROR(__xludf.DUMMYFUNCTION("""COMPUTED_VALUE"""),193.65)</f>
        <v>193.65</v>
      </c>
      <c r="F9668" s="122">
        <f>IFERROR(__xludf.DUMMYFUNCTION("""COMPUTED_VALUE"""),-0.0099)</f>
        <v>-0.0099</v>
      </c>
    </row>
    <row r="9669">
      <c r="A9669" s="131">
        <f>IFERROR(__xludf.DUMMYFUNCTION("""COMPUTED_VALUE"""),46187.689479166664)</f>
        <v>46187.68948</v>
      </c>
      <c r="B9669" s="126">
        <f>IFERROR(__xludf.DUMMYFUNCTION("""COMPUTED_VALUE"""),46187.0)</f>
        <v>46187</v>
      </c>
      <c r="C9669" s="122" t="str">
        <f>IFERROR(__xludf.DUMMYFUNCTION("""COMPUTED_VALUE"""),"TIRE")</f>
        <v>TIRE</v>
      </c>
      <c r="D9669" s="122" t="str">
        <f>IFERROR(__xludf.DUMMYFUNCTION("""COMPUTED_VALUE"""),"TireTown")</f>
        <v>TireTown</v>
      </c>
      <c r="E9669" s="122">
        <f>IFERROR(__xludf.DUMMYFUNCTION("""COMPUTED_VALUE"""),99.97)</f>
        <v>99.97</v>
      </c>
      <c r="F9669" s="122">
        <f>IFERROR(__xludf.DUMMYFUNCTION("""COMPUTED_VALUE"""),-0.0019)</f>
        <v>-0.0019</v>
      </c>
    </row>
    <row r="9670">
      <c r="A9670" s="131">
        <f>IFERROR(__xludf.DUMMYFUNCTION("""COMPUTED_VALUE"""),46187.689479166664)</f>
        <v>46187.68948</v>
      </c>
      <c r="B9670" s="126">
        <f>IFERROR(__xludf.DUMMYFUNCTION("""COMPUTED_VALUE"""),46187.0)</f>
        <v>46187</v>
      </c>
      <c r="C9670" s="122" t="str">
        <f>IFERROR(__xludf.DUMMYFUNCTION("""COMPUTED_VALUE"""),"BIKE")</f>
        <v>BIKE</v>
      </c>
      <c r="D9670" s="122" t="str">
        <f>IFERROR(__xludf.DUMMYFUNCTION("""COMPUTED_VALUE"""),"BikeBox")</f>
        <v>BikeBox</v>
      </c>
      <c r="E9670" s="122">
        <f>IFERROR(__xludf.DUMMYFUNCTION("""COMPUTED_VALUE"""),51.21)</f>
        <v>51.21</v>
      </c>
      <c r="F9670" s="122">
        <f>IFERROR(__xludf.DUMMYFUNCTION("""COMPUTED_VALUE"""),-0.0043)</f>
        <v>-0.0043</v>
      </c>
    </row>
    <row r="9671">
      <c r="A9671" s="131">
        <f>IFERROR(__xludf.DUMMYFUNCTION("""COMPUTED_VALUE"""),46187.689479166664)</f>
        <v>46187.68948</v>
      </c>
      <c r="B9671" s="126">
        <f>IFERROR(__xludf.DUMMYFUNCTION("""COMPUTED_VALUE"""),46187.0)</f>
        <v>46187</v>
      </c>
      <c r="C9671" s="122" t="str">
        <f>IFERROR(__xludf.DUMMYFUNCTION("""COMPUTED_VALUE"""),"WASH")</f>
        <v>WASH</v>
      </c>
      <c r="D9671" s="122" t="str">
        <f>IFERROR(__xludf.DUMMYFUNCTION("""COMPUTED_VALUE"""),"CarWash Co")</f>
        <v>CarWash Co</v>
      </c>
      <c r="E9671" s="122">
        <f>IFERROR(__xludf.DUMMYFUNCTION("""COMPUTED_VALUE"""),123.05)</f>
        <v>123.05</v>
      </c>
      <c r="F9671" s="122">
        <f>IFERROR(__xludf.DUMMYFUNCTION("""COMPUTED_VALUE"""),-0.0032)</f>
        <v>-0.0032</v>
      </c>
    </row>
    <row r="9672">
      <c r="A9672" s="131">
        <f>IFERROR(__xludf.DUMMYFUNCTION("""COMPUTED_VALUE"""),46187.689479166664)</f>
        <v>46187.68948</v>
      </c>
      <c r="B9672" s="126">
        <f>IFERROR(__xludf.DUMMYFUNCTION("""COMPUTED_VALUE"""),46187.0)</f>
        <v>46187</v>
      </c>
      <c r="C9672" s="122" t="str">
        <f>IFERROR(__xludf.DUMMYFUNCTION("""COMPUTED_VALUE"""),"GBND")</f>
        <v>GBND</v>
      </c>
      <c r="D9672" s="122" t="str">
        <f>IFERROR(__xludf.DUMMYFUNCTION("""COMPUTED_VALUE"""),"Classroom Government Bond")</f>
        <v>Classroom Government Bond</v>
      </c>
      <c r="E9672" s="122">
        <f>IFERROR(__xludf.DUMMYFUNCTION("""COMPUTED_VALUE"""),101.2)</f>
        <v>101.2</v>
      </c>
      <c r="F9672" s="122">
        <f>IFERROR(__xludf.DUMMYFUNCTION("""COMPUTED_VALUE"""),-1.0E-4)</f>
        <v>-0.0001</v>
      </c>
    </row>
    <row r="9673">
      <c r="A9673" s="131">
        <f>IFERROR(__xludf.DUMMYFUNCTION("""COMPUTED_VALUE"""),46187.689479166664)</f>
        <v>46187.68948</v>
      </c>
      <c r="B9673" s="126">
        <f>IFERROR(__xludf.DUMMYFUNCTION("""COMPUTED_VALUE"""),46187.0)</f>
        <v>46187</v>
      </c>
      <c r="C9673" s="122" t="str">
        <f>IFERROR(__xludf.DUMMYFUNCTION("""COMPUTED_VALUE"""),"SBND")</f>
        <v>SBND</v>
      </c>
      <c r="D9673" s="122" t="str">
        <f>IFERROR(__xludf.DUMMYFUNCTION("""COMPUTED_VALUE"""),"School Savings Bond")</f>
        <v>School Savings Bond</v>
      </c>
      <c r="E9673" s="122">
        <f>IFERROR(__xludf.DUMMYFUNCTION("""COMPUTED_VALUE"""),99.26)</f>
        <v>99.26</v>
      </c>
      <c r="F9673" s="122">
        <f>IFERROR(__xludf.DUMMYFUNCTION("""COMPUTED_VALUE"""),0.0)</f>
        <v>0</v>
      </c>
    </row>
    <row r="9674">
      <c r="A9674" s="131">
        <f>IFERROR(__xludf.DUMMYFUNCTION("""COMPUTED_VALUE"""),46187.689479166664)</f>
        <v>46187.68948</v>
      </c>
      <c r="B9674" s="126">
        <f>IFERROR(__xludf.DUMMYFUNCTION("""COMPUTED_VALUE"""),46187.0)</f>
        <v>46187</v>
      </c>
      <c r="C9674" s="122" t="str">
        <f>IFERROR(__xludf.DUMMYFUNCTION("""COMPUTED_VALUE"""),"CBND")</f>
        <v>CBND</v>
      </c>
      <c r="D9674" s="122" t="str">
        <f>IFERROR(__xludf.DUMMYFUNCTION("""COMPUTED_VALUE"""),"Corporate Classroom Bond")</f>
        <v>Corporate Classroom Bond</v>
      </c>
      <c r="E9674" s="122">
        <f>IFERROR(__xludf.DUMMYFUNCTION("""COMPUTED_VALUE"""),98.05)</f>
        <v>98.05</v>
      </c>
      <c r="F9674" s="122">
        <f>IFERROR(__xludf.DUMMYFUNCTION("""COMPUTED_VALUE"""),4.0E-4)</f>
        <v>0.0004</v>
      </c>
    </row>
    <row r="9675">
      <c r="A9675" s="131">
        <f>IFERROR(__xludf.DUMMYFUNCTION("""COMPUTED_VALUE"""),46187.689479166664)</f>
        <v>46187.68948</v>
      </c>
      <c r="B9675" s="126">
        <f>IFERROR(__xludf.DUMMYFUNCTION("""COMPUTED_VALUE"""),46187.0)</f>
        <v>46187</v>
      </c>
      <c r="C9675" s="122" t="str">
        <f>IFERROR(__xludf.DUMMYFUNCTION("""COMPUTED_VALUE"""),"TBIL")</f>
        <v>TBIL</v>
      </c>
      <c r="D9675" s="122" t="str">
        <f>IFERROR(__xludf.DUMMYFUNCTION("""COMPUTED_VALUE"""),"Treasury Bill")</f>
        <v>Treasury Bill</v>
      </c>
      <c r="E9675" s="122">
        <f>IFERROR(__xludf.DUMMYFUNCTION("""COMPUTED_VALUE"""),97.84)</f>
        <v>97.84</v>
      </c>
      <c r="F9675" s="122">
        <f>IFERROR(__xludf.DUMMYFUNCTION("""COMPUTED_VALUE"""),-1.0E-4)</f>
        <v>-0.0001</v>
      </c>
    </row>
    <row r="9676">
      <c r="A9676" s="131">
        <f>IFERROR(__xludf.DUMMYFUNCTION("""COMPUTED_VALUE"""),46187.689479166664)</f>
        <v>46187.68948</v>
      </c>
      <c r="B9676" s="126">
        <f>IFERROR(__xludf.DUMMYFUNCTION("""COMPUTED_VALUE"""),46187.0)</f>
        <v>46187</v>
      </c>
      <c r="C9676" s="122" t="str">
        <f>IFERROR(__xludf.DUMMYFUNCTION("""COMPUTED_VALUE"""),"IBND")</f>
        <v>IBND</v>
      </c>
      <c r="D9676" s="122" t="str">
        <f>IFERROR(__xludf.DUMMYFUNCTION("""COMPUTED_VALUE"""),"Inflation Protected Bond")</f>
        <v>Inflation Protected Bond</v>
      </c>
      <c r="E9676" s="122">
        <f>IFERROR(__xludf.DUMMYFUNCTION("""COMPUTED_VALUE"""),100.69)</f>
        <v>100.69</v>
      </c>
      <c r="F9676" s="122">
        <f>IFERROR(__xludf.DUMMYFUNCTION("""COMPUTED_VALUE"""),4.0E-4)</f>
        <v>0.0004</v>
      </c>
    </row>
    <row r="9677">
      <c r="A9677" s="131">
        <f>IFERROR(__xludf.DUMMYFUNCTION("""COMPUTED_VALUE"""),46187.69048611111)</f>
        <v>46187.69049</v>
      </c>
      <c r="B9677" s="126">
        <f>IFERROR(__xludf.DUMMYFUNCTION("""COMPUTED_VALUE"""),46187.0)</f>
        <v>46187</v>
      </c>
      <c r="C9677" s="130">
        <f>IFERROR(__xludf.DUMMYFUNCTION("""COMPUTED_VALUE"""),0.6904861111111111)</f>
        <v>0.6904861111</v>
      </c>
      <c r="D9677" s="122" t="str">
        <f>IFERROR(__xludf.DUMMYFUNCTION("""COMPUTED_VALUE"""),"SNAX")</f>
        <v>SNAX</v>
      </c>
      <c r="E9677" s="122" t="str">
        <f>IFERROR(__xludf.DUMMYFUNCTION("""COMPUTED_VALUE"""),"MICA Snacks")</f>
        <v>MICA Snacks</v>
      </c>
      <c r="F9677" s="122" t="str">
        <f>IFERROR(__xludf.DUMMYFUNCTION("""COMPUTED_VALUE"""),"Consumer Goods")</f>
        <v>Consumer Goods</v>
      </c>
    </row>
    <row r="9678">
      <c r="A9678" s="131">
        <f>IFERROR(__xludf.DUMMYFUNCTION("""COMPUTED_VALUE"""),46187.69048611111)</f>
        <v>46187.69049</v>
      </c>
      <c r="B9678" s="126">
        <f>IFERROR(__xludf.DUMMYFUNCTION("""COMPUTED_VALUE"""),46187.0)</f>
        <v>46187</v>
      </c>
      <c r="C9678" s="130">
        <f>IFERROR(__xludf.DUMMYFUNCTION("""COMPUTED_VALUE"""),0.6904861111111111)</f>
        <v>0.6904861111</v>
      </c>
      <c r="D9678" s="122" t="str">
        <f>IFERROR(__xludf.DUMMYFUNCTION("""COMPUTED_VALUE"""),"RAMN")</f>
        <v>RAMN</v>
      </c>
      <c r="E9678" s="122" t="str">
        <f>IFERROR(__xludf.DUMMYFUNCTION("""COMPUTED_VALUE"""),"Ramen Republic")</f>
        <v>Ramen Republic</v>
      </c>
      <c r="F9678" s="122" t="str">
        <f>IFERROR(__xludf.DUMMYFUNCTION("""COMPUTED_VALUE"""),"Food")</f>
        <v>Food</v>
      </c>
    </row>
    <row r="9679">
      <c r="A9679" s="131">
        <f>IFERROR(__xludf.DUMMYFUNCTION("""COMPUTED_VALUE"""),46187.69048611111)</f>
        <v>46187.69049</v>
      </c>
      <c r="B9679" s="126">
        <f>IFERROR(__xludf.DUMMYFUNCTION("""COMPUTED_VALUE"""),46187.0)</f>
        <v>46187</v>
      </c>
      <c r="C9679" s="130">
        <f>IFERROR(__xludf.DUMMYFUNCTION("""COMPUTED_VALUE"""),0.6904861111111111)</f>
        <v>0.6904861111</v>
      </c>
      <c r="D9679" s="122" t="str">
        <f>IFERROR(__xludf.DUMMYFUNCTION("""COMPUTED_VALUE"""),"COLA")</f>
        <v>COLA</v>
      </c>
      <c r="E9679" s="122" t="str">
        <f>IFERROR(__xludf.DUMMYFUNCTION("""COMPUTED_VALUE"""),"K-Pop Cola")</f>
        <v>K-Pop Cola</v>
      </c>
      <c r="F9679" s="122" t="str">
        <f>IFERROR(__xludf.DUMMYFUNCTION("""COMPUTED_VALUE"""),"Beverage")</f>
        <v>Beverage</v>
      </c>
    </row>
    <row r="9680">
      <c r="A9680" s="131">
        <f>IFERROR(__xludf.DUMMYFUNCTION("""COMPUTED_VALUE"""),46187.69048611111)</f>
        <v>46187.69049</v>
      </c>
      <c r="B9680" s="126">
        <f>IFERROR(__xludf.DUMMYFUNCTION("""COMPUTED_VALUE"""),46187.0)</f>
        <v>46187</v>
      </c>
      <c r="C9680" s="130">
        <f>IFERROR(__xludf.DUMMYFUNCTION("""COMPUTED_VALUE"""),0.6904861111111111)</f>
        <v>0.6904861111</v>
      </c>
      <c r="D9680" s="122" t="str">
        <f>IFERROR(__xludf.DUMMYFUNCTION("""COMPUTED_VALUE"""),"CHIP")</f>
        <v>CHIP</v>
      </c>
      <c r="E9680" s="122" t="str">
        <f>IFERROR(__xludf.DUMMYFUNCTION("""COMPUTED_VALUE"""),"Chip Empire")</f>
        <v>Chip Empire</v>
      </c>
      <c r="F9680" s="122" t="str">
        <f>IFERROR(__xludf.DUMMYFUNCTION("""COMPUTED_VALUE"""),"Consumer Goods")</f>
        <v>Consumer Goods</v>
      </c>
    </row>
    <row r="9681">
      <c r="A9681" s="131">
        <f>IFERROR(__xludf.DUMMYFUNCTION("""COMPUTED_VALUE"""),46187.69048611111)</f>
        <v>46187.69049</v>
      </c>
      <c r="B9681" s="126">
        <f>IFERROR(__xludf.DUMMYFUNCTION("""COMPUTED_VALUE"""),46187.0)</f>
        <v>46187</v>
      </c>
      <c r="C9681" s="130">
        <f>IFERROR(__xludf.DUMMYFUNCTION("""COMPUTED_VALUE"""),0.6904861111111111)</f>
        <v>0.6904861111</v>
      </c>
      <c r="D9681" s="122" t="str">
        <f>IFERROR(__xludf.DUMMYFUNCTION("""COMPUTED_VALUE"""),"CAND")</f>
        <v>CAND</v>
      </c>
      <c r="E9681" s="122" t="str">
        <f>IFERROR(__xludf.DUMMYFUNCTION("""COMPUTED_VALUE"""),"Candy Capital")</f>
        <v>Candy Capital</v>
      </c>
      <c r="F9681" s="122" t="str">
        <f>IFERROR(__xludf.DUMMYFUNCTION("""COMPUTED_VALUE"""),"Consumer Goods")</f>
        <v>Consumer Goods</v>
      </c>
    </row>
    <row r="9682">
      <c r="A9682" s="131">
        <f>IFERROR(__xludf.DUMMYFUNCTION("""COMPUTED_VALUE"""),46187.69048611111)</f>
        <v>46187.69049</v>
      </c>
      <c r="B9682" s="126">
        <f>IFERROR(__xludf.DUMMYFUNCTION("""COMPUTED_VALUE"""),46187.0)</f>
        <v>46187</v>
      </c>
      <c r="C9682" s="130">
        <f>IFERROR(__xludf.DUMMYFUNCTION("""COMPUTED_VALUE"""),0.6904861111111111)</f>
        <v>0.6904861111</v>
      </c>
      <c r="D9682" s="122" t="str">
        <f>IFERROR(__xludf.DUMMYFUNCTION("""COMPUTED_VALUE"""),"TECH")</f>
        <v>TECH</v>
      </c>
      <c r="E9682" s="122" t="str">
        <f>IFERROR(__xludf.DUMMYFUNCTION("""COMPUTED_VALUE"""),"Dragon Tech")</f>
        <v>Dragon Tech</v>
      </c>
      <c r="F9682" s="122" t="str">
        <f>IFERROR(__xludf.DUMMYFUNCTION("""COMPUTED_VALUE"""),"Technology")</f>
        <v>Technology</v>
      </c>
    </row>
    <row r="9683">
      <c r="A9683" s="131">
        <f>IFERROR(__xludf.DUMMYFUNCTION("""COMPUTED_VALUE"""),46187.69048611111)</f>
        <v>46187.69049</v>
      </c>
      <c r="B9683" s="126">
        <f>IFERROR(__xludf.DUMMYFUNCTION("""COMPUTED_VALUE"""),46187.0)</f>
        <v>46187</v>
      </c>
      <c r="C9683" s="130">
        <f>IFERROR(__xludf.DUMMYFUNCTION("""COMPUTED_VALUE"""),0.6904861111111111)</f>
        <v>0.6904861111</v>
      </c>
      <c r="D9683" s="122" t="str">
        <f>IFERROR(__xludf.DUMMYFUNCTION("""COMPUTED_VALUE"""),"AIBO")</f>
        <v>AIBO</v>
      </c>
      <c r="E9683" s="122" t="str">
        <f>IFERROR(__xludf.DUMMYFUNCTION("""COMPUTED_VALUE"""),"Homework AI")</f>
        <v>Homework AI</v>
      </c>
      <c r="F9683" s="122" t="str">
        <f>IFERROR(__xludf.DUMMYFUNCTION("""COMPUTED_VALUE"""),"Technology")</f>
        <v>Technology</v>
      </c>
    </row>
    <row r="9684">
      <c r="A9684" s="131">
        <f>IFERROR(__xludf.DUMMYFUNCTION("""COMPUTED_VALUE"""),46187.69048611111)</f>
        <v>46187.69049</v>
      </c>
      <c r="B9684" s="126">
        <f>IFERROR(__xludf.DUMMYFUNCTION("""COMPUTED_VALUE"""),46187.0)</f>
        <v>46187</v>
      </c>
      <c r="C9684" s="130">
        <f>IFERROR(__xludf.DUMMYFUNCTION("""COMPUTED_VALUE"""),0.6904861111111111)</f>
        <v>0.6904861111</v>
      </c>
      <c r="D9684" s="122" t="str">
        <f>IFERROR(__xludf.DUMMYFUNCTION("""COMPUTED_VALUE"""),"GAME")</f>
        <v>GAME</v>
      </c>
      <c r="E9684" s="122" t="str">
        <f>IFERROR(__xludf.DUMMYFUNCTION("""COMPUTED_VALUE"""),"GameBox Media")</f>
        <v>GameBox Media</v>
      </c>
      <c r="F9684" s="122" t="str">
        <f>IFERROR(__xludf.DUMMYFUNCTION("""COMPUTED_VALUE"""),"Entertainment")</f>
        <v>Entertainment</v>
      </c>
    </row>
    <row r="9685">
      <c r="A9685" s="131">
        <f>IFERROR(__xludf.DUMMYFUNCTION("""COMPUTED_VALUE"""),46187.69048611111)</f>
        <v>46187.69049</v>
      </c>
      <c r="B9685" s="126">
        <f>IFERROR(__xludf.DUMMYFUNCTION("""COMPUTED_VALUE"""),46187.0)</f>
        <v>46187</v>
      </c>
      <c r="C9685" s="130">
        <f>IFERROR(__xludf.DUMMYFUNCTION("""COMPUTED_VALUE"""),0.6904861111111111)</f>
        <v>0.6904861111</v>
      </c>
      <c r="D9685" s="122" t="str">
        <f>IFERROR(__xludf.DUMMYFUNCTION("""COMPUTED_VALUE"""),"VRSE")</f>
        <v>VRSE</v>
      </c>
      <c r="E9685" s="122" t="str">
        <f>IFERROR(__xludf.DUMMYFUNCTION("""COMPUTED_VALUE"""),"VerseVR")</f>
        <v>VerseVR</v>
      </c>
      <c r="F9685" s="122" t="str">
        <f>IFERROR(__xludf.DUMMYFUNCTION("""COMPUTED_VALUE"""),"Technology")</f>
        <v>Technology</v>
      </c>
    </row>
    <row r="9686">
      <c r="A9686" s="131">
        <f>IFERROR(__xludf.DUMMYFUNCTION("""COMPUTED_VALUE"""),46187.69048611111)</f>
        <v>46187.69049</v>
      </c>
      <c r="B9686" s="126">
        <f>IFERROR(__xludf.DUMMYFUNCTION("""COMPUTED_VALUE"""),46187.0)</f>
        <v>46187</v>
      </c>
      <c r="C9686" s="130">
        <f>IFERROR(__xludf.DUMMYFUNCTION("""COMPUTED_VALUE"""),0.6904861111111111)</f>
        <v>0.6904861111</v>
      </c>
      <c r="D9686" s="122" t="str">
        <f>IFERROR(__xludf.DUMMYFUNCTION("""COMPUTED_VALUE"""),"BYTE")</f>
        <v>BYTE</v>
      </c>
      <c r="E9686" s="122" t="str">
        <f>IFERROR(__xludf.DUMMYFUNCTION("""COMPUTED_VALUE"""),"ByteWorks")</f>
        <v>ByteWorks</v>
      </c>
      <c r="F9686" s="122" t="str">
        <f>IFERROR(__xludf.DUMMYFUNCTION("""COMPUTED_VALUE"""),"Technology")</f>
        <v>Technology</v>
      </c>
    </row>
    <row r="9687">
      <c r="A9687" s="131">
        <f>IFERROR(__xludf.DUMMYFUNCTION("""COMPUTED_VALUE"""),46187.69048611111)</f>
        <v>46187.69049</v>
      </c>
      <c r="B9687" s="126">
        <f>IFERROR(__xludf.DUMMYFUNCTION("""COMPUTED_VALUE"""),46187.0)</f>
        <v>46187</v>
      </c>
      <c r="C9687" s="130">
        <f>IFERROR(__xludf.DUMMYFUNCTION("""COMPUTED_VALUE"""),0.6904861111111111)</f>
        <v>0.6904861111</v>
      </c>
      <c r="D9687" s="122" t="str">
        <f>IFERROR(__xludf.DUMMYFUNCTION("""COMPUTED_VALUE"""),"BANK")</f>
        <v>BANK</v>
      </c>
      <c r="E9687" s="122" t="str">
        <f>IFERROR(__xludf.DUMMYFUNCTION("""COMPUTED_VALUE"""),"Tiger Bank")</f>
        <v>Tiger Bank</v>
      </c>
      <c r="F9687" s="122" t="str">
        <f>IFERROR(__xludf.DUMMYFUNCTION("""COMPUTED_VALUE"""),"Finance")</f>
        <v>Finance</v>
      </c>
    </row>
    <row r="9688">
      <c r="A9688" s="131">
        <f>IFERROR(__xludf.DUMMYFUNCTION("""COMPUTED_VALUE"""),46187.69048611111)</f>
        <v>46187.69049</v>
      </c>
      <c r="B9688" s="126">
        <f>IFERROR(__xludf.DUMMYFUNCTION("""COMPUTED_VALUE"""),46187.0)</f>
        <v>46187</v>
      </c>
      <c r="C9688" s="130">
        <f>IFERROR(__xludf.DUMMYFUNCTION("""COMPUTED_VALUE"""),0.6904861111111111)</f>
        <v>0.6904861111</v>
      </c>
      <c r="D9688" s="122" t="str">
        <f>IFERROR(__xludf.DUMMYFUNCTION("""COMPUTED_VALUE"""),"CRED")</f>
        <v>CRED</v>
      </c>
      <c r="E9688" s="122" t="str">
        <f>IFERROR(__xludf.DUMMYFUNCTION("""COMPUTED_VALUE"""),"Credit Castle")</f>
        <v>Credit Castle</v>
      </c>
      <c r="F9688" s="122" t="str">
        <f>IFERROR(__xludf.DUMMYFUNCTION("""COMPUTED_VALUE"""),"Finance")</f>
        <v>Finance</v>
      </c>
    </row>
    <row r="9689">
      <c r="A9689" s="131">
        <f>IFERROR(__xludf.DUMMYFUNCTION("""COMPUTED_VALUE"""),46187.69048611111)</f>
        <v>46187.69049</v>
      </c>
      <c r="B9689" s="126">
        <f>IFERROR(__xludf.DUMMYFUNCTION("""COMPUTED_VALUE"""),46187.0)</f>
        <v>46187</v>
      </c>
      <c r="C9689" s="130">
        <f>IFERROR(__xludf.DUMMYFUNCTION("""COMPUTED_VALUE"""),0.6904861111111111)</f>
        <v>0.6904861111</v>
      </c>
      <c r="D9689" s="122" t="str">
        <f>IFERROR(__xludf.DUMMYFUNCTION("""COMPUTED_VALUE"""),"BOND")</f>
        <v>BOND</v>
      </c>
      <c r="E9689" s="122" t="str">
        <f>IFERROR(__xludf.DUMMYFUNCTION("""COMPUTED_VALUE"""),"BondBridge")</f>
        <v>BondBridge</v>
      </c>
      <c r="F9689" s="122" t="str">
        <f>IFERROR(__xludf.DUMMYFUNCTION("""COMPUTED_VALUE"""),"Finance")</f>
        <v>Finance</v>
      </c>
    </row>
    <row r="9690">
      <c r="A9690" s="131">
        <f>IFERROR(__xludf.DUMMYFUNCTION("""COMPUTED_VALUE"""),46187.69048611111)</f>
        <v>46187.69049</v>
      </c>
      <c r="B9690" s="126">
        <f>IFERROR(__xludf.DUMMYFUNCTION("""COMPUTED_VALUE"""),46187.0)</f>
        <v>46187</v>
      </c>
      <c r="C9690" s="130">
        <f>IFERROR(__xludf.DUMMYFUNCTION("""COMPUTED_VALUE"""),0.6904861111111111)</f>
        <v>0.6904861111</v>
      </c>
      <c r="D9690" s="122" t="str">
        <f>IFERROR(__xludf.DUMMYFUNCTION("""COMPUTED_VALUE"""),"INSR")</f>
        <v>INSR</v>
      </c>
      <c r="E9690" s="122" t="str">
        <f>IFERROR(__xludf.DUMMYFUNCTION("""COMPUTED_VALUE"""),"Shield Insurance")</f>
        <v>Shield Insurance</v>
      </c>
      <c r="F9690" s="122" t="str">
        <f>IFERROR(__xludf.DUMMYFUNCTION("""COMPUTED_VALUE"""),"Finance")</f>
        <v>Finance</v>
      </c>
    </row>
    <row r="9691">
      <c r="A9691" s="131">
        <f>IFERROR(__xludf.DUMMYFUNCTION("""COMPUTED_VALUE"""),46187.69048611111)</f>
        <v>46187.69049</v>
      </c>
      <c r="B9691" s="126">
        <f>IFERROR(__xludf.DUMMYFUNCTION("""COMPUTED_VALUE"""),46187.0)</f>
        <v>46187</v>
      </c>
      <c r="C9691" s="130">
        <f>IFERROR(__xludf.DUMMYFUNCTION("""COMPUTED_VALUE"""),0.6904861111111111)</f>
        <v>0.6904861111</v>
      </c>
      <c r="D9691" s="122" t="str">
        <f>IFERROR(__xludf.DUMMYFUNCTION("""COMPUTED_VALUE"""),"LOAN")</f>
        <v>LOAN</v>
      </c>
      <c r="E9691" s="122" t="str">
        <f>IFERROR(__xludf.DUMMYFUNCTION("""COMPUTED_VALUE"""),"LoanLab")</f>
        <v>LoanLab</v>
      </c>
      <c r="F9691" s="122" t="str">
        <f>IFERROR(__xludf.DUMMYFUNCTION("""COMPUTED_VALUE"""),"Finance")</f>
        <v>Finance</v>
      </c>
    </row>
    <row r="9692">
      <c r="A9692" s="131">
        <f>IFERROR(__xludf.DUMMYFUNCTION("""COMPUTED_VALUE"""),46187.69048611111)</f>
        <v>46187.69049</v>
      </c>
      <c r="B9692" s="126">
        <f>IFERROR(__xludf.DUMMYFUNCTION("""COMPUTED_VALUE"""),46187.0)</f>
        <v>46187</v>
      </c>
      <c r="C9692" s="130">
        <f>IFERROR(__xludf.DUMMYFUNCTION("""COMPUTED_VALUE"""),0.6904861111111111)</f>
        <v>0.6904861111</v>
      </c>
      <c r="D9692" s="122" t="str">
        <f>IFERROR(__xludf.DUMMYFUNCTION("""COMPUTED_VALUE"""),"LUXE")</f>
        <v>LUXE</v>
      </c>
      <c r="E9692" s="122" t="str">
        <f>IFERROR(__xludf.DUMMYFUNCTION("""COMPUTED_VALUE"""),"Luxury Locker")</f>
        <v>Luxury Locker</v>
      </c>
      <c r="F9692" s="122" t="str">
        <f>IFERROR(__xludf.DUMMYFUNCTION("""COMPUTED_VALUE"""),"Luxury Goods")</f>
        <v>Luxury Goods</v>
      </c>
    </row>
    <row r="9693">
      <c r="A9693" s="131">
        <f>IFERROR(__xludf.DUMMYFUNCTION("""COMPUTED_VALUE"""),46187.69048611111)</f>
        <v>46187.69049</v>
      </c>
      <c r="B9693" s="126">
        <f>IFERROR(__xludf.DUMMYFUNCTION("""COMPUTED_VALUE"""),46187.0)</f>
        <v>46187</v>
      </c>
      <c r="C9693" s="130">
        <f>IFERROR(__xludf.DUMMYFUNCTION("""COMPUTED_VALUE"""),0.6904861111111111)</f>
        <v>0.6904861111</v>
      </c>
      <c r="D9693" s="122" t="str">
        <f>IFERROR(__xludf.DUMMYFUNCTION("""COMPUTED_VALUE"""),"DRIP")</f>
        <v>DRIP</v>
      </c>
      <c r="E9693" s="122" t="str">
        <f>IFERROR(__xludf.DUMMYFUNCTION("""COMPUTED_VALUE"""),"Drip Streetwear")</f>
        <v>Drip Streetwear</v>
      </c>
      <c r="F9693" s="122" t="str">
        <f>IFERROR(__xludf.DUMMYFUNCTION("""COMPUTED_VALUE"""),"Fashion")</f>
        <v>Fashion</v>
      </c>
    </row>
    <row r="9694">
      <c r="A9694" s="131">
        <f>IFERROR(__xludf.DUMMYFUNCTION("""COMPUTED_VALUE"""),46187.69048611111)</f>
        <v>46187.69049</v>
      </c>
      <c r="B9694" s="126">
        <f>IFERROR(__xludf.DUMMYFUNCTION("""COMPUTED_VALUE"""),46187.0)</f>
        <v>46187</v>
      </c>
      <c r="C9694" s="130">
        <f>IFERROR(__xludf.DUMMYFUNCTION("""COMPUTED_VALUE"""),0.6904861111111111)</f>
        <v>0.6904861111</v>
      </c>
      <c r="D9694" s="122" t="str">
        <f>IFERROR(__xludf.DUMMYFUNCTION("""COMPUTED_VALUE"""),"KICK")</f>
        <v>KICK</v>
      </c>
      <c r="E9694" s="122" t="str">
        <f>IFERROR(__xludf.DUMMYFUNCTION("""COMPUTED_VALUE"""),"KickDrop Sneakers")</f>
        <v>KickDrop Sneakers</v>
      </c>
      <c r="F9694" s="122" t="str">
        <f>IFERROR(__xludf.DUMMYFUNCTION("""COMPUTED_VALUE"""),"Fashion")</f>
        <v>Fashion</v>
      </c>
    </row>
    <row r="9695">
      <c r="A9695" s="131">
        <f>IFERROR(__xludf.DUMMYFUNCTION("""COMPUTED_VALUE"""),46187.69048611111)</f>
        <v>46187.69049</v>
      </c>
      <c r="B9695" s="126">
        <f>IFERROR(__xludf.DUMMYFUNCTION("""COMPUTED_VALUE"""),46187.0)</f>
        <v>46187</v>
      </c>
      <c r="C9695" s="130">
        <f>IFERROR(__xludf.DUMMYFUNCTION("""COMPUTED_VALUE"""),0.6904861111111111)</f>
        <v>0.6904861111</v>
      </c>
      <c r="D9695" s="122" t="str">
        <f>IFERROR(__xludf.DUMMYFUNCTION("""COMPUTED_VALUE"""),"GLAM")</f>
        <v>GLAM</v>
      </c>
      <c r="E9695" s="122" t="str">
        <f>IFERROR(__xludf.DUMMYFUNCTION("""COMPUTED_VALUE"""),"Glow Cosmetics")</f>
        <v>Glow Cosmetics</v>
      </c>
      <c r="F9695" s="122" t="str">
        <f>IFERROR(__xludf.DUMMYFUNCTION("""COMPUTED_VALUE"""),"Fashion")</f>
        <v>Fashion</v>
      </c>
    </row>
    <row r="9696">
      <c r="A9696" s="131">
        <f>IFERROR(__xludf.DUMMYFUNCTION("""COMPUTED_VALUE"""),46187.69048611111)</f>
        <v>46187.69049</v>
      </c>
      <c r="B9696" s="126">
        <f>IFERROR(__xludf.DUMMYFUNCTION("""COMPUTED_VALUE"""),46187.0)</f>
        <v>46187</v>
      </c>
      <c r="C9696" s="130">
        <f>IFERROR(__xludf.DUMMYFUNCTION("""COMPUTED_VALUE"""),0.6904861111111111)</f>
        <v>0.6904861111</v>
      </c>
      <c r="D9696" s="122" t="str">
        <f>IFERROR(__xludf.DUMMYFUNCTION("""COMPUTED_VALUE"""),"BAGG")</f>
        <v>BAGG</v>
      </c>
      <c r="E9696" s="122" t="str">
        <f>IFERROR(__xludf.DUMMYFUNCTION("""COMPUTED_VALUE"""),"BagVault")</f>
        <v>BagVault</v>
      </c>
      <c r="F9696" s="122" t="str">
        <f>IFERROR(__xludf.DUMMYFUNCTION("""COMPUTED_VALUE"""),"Fashion")</f>
        <v>Fashion</v>
      </c>
    </row>
    <row r="9697">
      <c r="A9697" s="131">
        <f>IFERROR(__xludf.DUMMYFUNCTION("""COMPUTED_VALUE"""),46187.69048611111)</f>
        <v>46187.69049</v>
      </c>
      <c r="B9697" s="126">
        <f>IFERROR(__xludf.DUMMYFUNCTION("""COMPUTED_VALUE"""),46187.0)</f>
        <v>46187</v>
      </c>
      <c r="C9697" s="130">
        <f>IFERROR(__xludf.DUMMYFUNCTION("""COMPUTED_VALUE"""),0.6904861111111111)</f>
        <v>0.6904861111</v>
      </c>
      <c r="D9697" s="122" t="str">
        <f>IFERROR(__xludf.DUMMYFUNCTION("""COMPUTED_VALUE"""),"FAST")</f>
        <v>FAST</v>
      </c>
      <c r="E9697" s="122" t="str">
        <f>IFERROR(__xludf.DUMMYFUNCTION("""COMPUTED_VALUE"""),"Flash Logistics")</f>
        <v>Flash Logistics</v>
      </c>
      <c r="F9697" s="122" t="str">
        <f>IFERROR(__xludf.DUMMYFUNCTION("""COMPUTED_VALUE"""),"Logistics")</f>
        <v>Logistics</v>
      </c>
    </row>
    <row r="9698">
      <c r="A9698" s="131">
        <f>IFERROR(__xludf.DUMMYFUNCTION("""COMPUTED_VALUE"""),46187.69048611111)</f>
        <v>46187.69049</v>
      </c>
      <c r="B9698" s="126">
        <f>IFERROR(__xludf.DUMMYFUNCTION("""COMPUTED_VALUE"""),46187.0)</f>
        <v>46187</v>
      </c>
      <c r="C9698" s="130">
        <f>IFERROR(__xludf.DUMMYFUNCTION("""COMPUTED_VALUE"""),0.6904861111111111)</f>
        <v>0.6904861111</v>
      </c>
      <c r="D9698" s="122" t="str">
        <f>IFERROR(__xludf.DUMMYFUNCTION("""COMPUTED_VALUE"""),"SHIP")</f>
        <v>SHIP</v>
      </c>
      <c r="E9698" s="122" t="str">
        <f>IFERROR(__xludf.DUMMYFUNCTION("""COMPUTED_VALUE"""),"Seoul Shipping")</f>
        <v>Seoul Shipping</v>
      </c>
      <c r="F9698" s="122" t="str">
        <f>IFERROR(__xludf.DUMMYFUNCTION("""COMPUTED_VALUE"""),"Logistics")</f>
        <v>Logistics</v>
      </c>
    </row>
    <row r="9699">
      <c r="A9699" s="131">
        <f>IFERROR(__xludf.DUMMYFUNCTION("""COMPUTED_VALUE"""),46187.69048611111)</f>
        <v>46187.69049</v>
      </c>
      <c r="B9699" s="126">
        <f>IFERROR(__xludf.DUMMYFUNCTION("""COMPUTED_VALUE"""),46187.0)</f>
        <v>46187</v>
      </c>
      <c r="C9699" s="130">
        <f>IFERROR(__xludf.DUMMYFUNCTION("""COMPUTED_VALUE"""),0.6904861111111111)</f>
        <v>0.6904861111</v>
      </c>
      <c r="D9699" s="122" t="str">
        <f>IFERROR(__xludf.DUMMYFUNCTION("""COMPUTED_VALUE"""),"DRON")</f>
        <v>DRON</v>
      </c>
      <c r="E9699" s="122" t="str">
        <f>IFERROR(__xludf.DUMMYFUNCTION("""COMPUTED_VALUE"""),"DroneDrop")</f>
        <v>DroneDrop</v>
      </c>
      <c r="F9699" s="122" t="str">
        <f>IFERROR(__xludf.DUMMYFUNCTION("""COMPUTED_VALUE"""),"Logistics")</f>
        <v>Logistics</v>
      </c>
    </row>
    <row r="9700">
      <c r="A9700" s="131">
        <f>IFERROR(__xludf.DUMMYFUNCTION("""COMPUTED_VALUE"""),46187.69048611111)</f>
        <v>46187.69049</v>
      </c>
      <c r="B9700" s="126">
        <f>IFERROR(__xludf.DUMMYFUNCTION("""COMPUTED_VALUE"""),46187.0)</f>
        <v>46187</v>
      </c>
      <c r="C9700" s="130">
        <f>IFERROR(__xludf.DUMMYFUNCTION("""COMPUTED_VALUE"""),0.6904861111111111)</f>
        <v>0.6904861111</v>
      </c>
      <c r="D9700" s="122" t="str">
        <f>IFERROR(__xludf.DUMMYFUNCTION("""COMPUTED_VALUE"""),"RIDE")</f>
        <v>RIDE</v>
      </c>
      <c r="E9700" s="122" t="str">
        <f>IFERROR(__xludf.DUMMYFUNCTION("""COMPUTED_VALUE"""),"QuickRide")</f>
        <v>QuickRide</v>
      </c>
      <c r="F9700" s="122" t="str">
        <f>IFERROR(__xludf.DUMMYFUNCTION("""COMPUTED_VALUE"""),"Transportation")</f>
        <v>Transportation</v>
      </c>
    </row>
    <row r="9701">
      <c r="A9701" s="131">
        <f>IFERROR(__xludf.DUMMYFUNCTION("""COMPUTED_VALUE"""),46187.69048611111)</f>
        <v>46187.69049</v>
      </c>
      <c r="B9701" s="126">
        <f>IFERROR(__xludf.DUMMYFUNCTION("""COMPUTED_VALUE"""),46187.0)</f>
        <v>46187</v>
      </c>
      <c r="C9701" s="130">
        <f>IFERROR(__xludf.DUMMYFUNCTION("""COMPUTED_VALUE"""),0.6904861111111111)</f>
        <v>0.6904861111</v>
      </c>
      <c r="D9701" s="122" t="str">
        <f>IFERROR(__xludf.DUMMYFUNCTION("""COMPUTED_VALUE"""),"RAIL")</f>
        <v>RAIL</v>
      </c>
      <c r="E9701" s="122" t="str">
        <f>IFERROR(__xludf.DUMMYFUNCTION("""COMPUTED_VALUE"""),"MetroRail Corp")</f>
        <v>MetroRail Corp</v>
      </c>
      <c r="F9701" s="122" t="str">
        <f>IFERROR(__xludf.DUMMYFUNCTION("""COMPUTED_VALUE"""),"Transportation")</f>
        <v>Transportation</v>
      </c>
    </row>
    <row r="9702">
      <c r="A9702" s="131">
        <f>IFERROR(__xludf.DUMMYFUNCTION("""COMPUTED_VALUE"""),46187.69048611111)</f>
        <v>46187.69049</v>
      </c>
      <c r="B9702" s="126">
        <f>IFERROR(__xludf.DUMMYFUNCTION("""COMPUTED_VALUE"""),46187.0)</f>
        <v>46187</v>
      </c>
      <c r="C9702" s="130">
        <f>IFERROR(__xludf.DUMMYFUNCTION("""COMPUTED_VALUE"""),0.6904861111111111)</f>
        <v>0.6904861111</v>
      </c>
      <c r="D9702" s="122" t="str">
        <f>IFERROR(__xludf.DUMMYFUNCTION("""COMPUTED_VALUE"""),"MEDX")</f>
        <v>MEDX</v>
      </c>
      <c r="E9702" s="122" t="str">
        <f>IFERROR(__xludf.DUMMYFUNCTION("""COMPUTED_VALUE"""),"MediCore")</f>
        <v>MediCore</v>
      </c>
      <c r="F9702" s="122" t="str">
        <f>IFERROR(__xludf.DUMMYFUNCTION("""COMPUTED_VALUE"""),"Healthcare")</f>
        <v>Healthcare</v>
      </c>
    </row>
    <row r="9703">
      <c r="A9703" s="131">
        <f>IFERROR(__xludf.DUMMYFUNCTION("""COMPUTED_VALUE"""),46187.69048611111)</f>
        <v>46187.69049</v>
      </c>
      <c r="B9703" s="126">
        <f>IFERROR(__xludf.DUMMYFUNCTION("""COMPUTED_VALUE"""),46187.0)</f>
        <v>46187</v>
      </c>
      <c r="C9703" s="130">
        <f>IFERROR(__xludf.DUMMYFUNCTION("""COMPUTED_VALUE"""),0.6904861111111111)</f>
        <v>0.6904861111</v>
      </c>
      <c r="D9703" s="122" t="str">
        <f>IFERROR(__xludf.DUMMYFUNCTION("""COMPUTED_VALUE"""),"GYMX")</f>
        <v>GYMX</v>
      </c>
      <c r="E9703" s="122" t="str">
        <f>IFERROR(__xludf.DUMMYFUNCTION("""COMPUTED_VALUE"""),"GymX Fitness")</f>
        <v>GymX Fitness</v>
      </c>
      <c r="F9703" s="122" t="str">
        <f>IFERROR(__xludf.DUMMYFUNCTION("""COMPUTED_VALUE"""),"Healthcare")</f>
        <v>Healthcare</v>
      </c>
    </row>
    <row r="9704">
      <c r="A9704" s="131">
        <f>IFERROR(__xludf.DUMMYFUNCTION("""COMPUTED_VALUE"""),46187.69048611111)</f>
        <v>46187.69049</v>
      </c>
      <c r="B9704" s="126">
        <f>IFERROR(__xludf.DUMMYFUNCTION("""COMPUTED_VALUE"""),46187.0)</f>
        <v>46187</v>
      </c>
      <c r="C9704" s="130">
        <f>IFERROR(__xludf.DUMMYFUNCTION("""COMPUTED_VALUE"""),0.6904861111111111)</f>
        <v>0.6904861111</v>
      </c>
      <c r="D9704" s="122" t="str">
        <f>IFERROR(__xludf.DUMMYFUNCTION("""COMPUTED_VALUE"""),"VITA")</f>
        <v>VITA</v>
      </c>
      <c r="E9704" s="122" t="str">
        <f>IFERROR(__xludf.DUMMYFUNCTION("""COMPUTED_VALUE"""),"VitaPlus")</f>
        <v>VitaPlus</v>
      </c>
      <c r="F9704" s="122" t="str">
        <f>IFERROR(__xludf.DUMMYFUNCTION("""COMPUTED_VALUE"""),"Healthcare")</f>
        <v>Healthcare</v>
      </c>
    </row>
    <row r="9705">
      <c r="A9705" s="131">
        <f>IFERROR(__xludf.DUMMYFUNCTION("""COMPUTED_VALUE"""),46187.69048611111)</f>
        <v>46187.69049</v>
      </c>
      <c r="B9705" s="126">
        <f>IFERROR(__xludf.DUMMYFUNCTION("""COMPUTED_VALUE"""),46187.0)</f>
        <v>46187</v>
      </c>
      <c r="C9705" s="130">
        <f>IFERROR(__xludf.DUMMYFUNCTION("""COMPUTED_VALUE"""),0.6904861111111111)</f>
        <v>0.6904861111</v>
      </c>
      <c r="D9705" s="122" t="str">
        <f>IFERROR(__xludf.DUMMYFUNCTION("""COMPUTED_VALUE"""),"CARE")</f>
        <v>CARE</v>
      </c>
      <c r="E9705" s="122" t="str">
        <f>IFERROR(__xludf.DUMMYFUNCTION("""COMPUTED_VALUE"""),"CareCloud")</f>
        <v>CareCloud</v>
      </c>
      <c r="F9705" s="122" t="str">
        <f>IFERROR(__xludf.DUMMYFUNCTION("""COMPUTED_VALUE"""),"Healthcare")</f>
        <v>Healthcare</v>
      </c>
    </row>
    <row r="9706">
      <c r="A9706" s="131">
        <f>IFERROR(__xludf.DUMMYFUNCTION("""COMPUTED_VALUE"""),46187.69048611111)</f>
        <v>46187.69049</v>
      </c>
      <c r="B9706" s="126">
        <f>IFERROR(__xludf.DUMMYFUNCTION("""COMPUTED_VALUE"""),46187.0)</f>
        <v>46187</v>
      </c>
      <c r="C9706" s="130">
        <f>IFERROR(__xludf.DUMMYFUNCTION("""COMPUTED_VALUE"""),0.6904861111111111)</f>
        <v>0.6904861111</v>
      </c>
      <c r="D9706" s="122" t="str">
        <f>IFERROR(__xludf.DUMMYFUNCTION("""COMPUTED_VALUE"""),"DENT")</f>
        <v>DENT</v>
      </c>
      <c r="E9706" s="122" t="str">
        <f>IFERROR(__xludf.DUMMYFUNCTION("""COMPUTED_VALUE"""),"SmileWorks")</f>
        <v>SmileWorks</v>
      </c>
      <c r="F9706" s="122" t="str">
        <f>IFERROR(__xludf.DUMMYFUNCTION("""COMPUTED_VALUE"""),"Healthcare")</f>
        <v>Healthcare</v>
      </c>
    </row>
    <row r="9707">
      <c r="A9707" s="131">
        <f>IFERROR(__xludf.DUMMYFUNCTION("""COMPUTED_VALUE"""),46187.69048611111)</f>
        <v>46187.69049</v>
      </c>
      <c r="B9707" s="126">
        <f>IFERROR(__xludf.DUMMYFUNCTION("""COMPUTED_VALUE"""),46187.0)</f>
        <v>46187</v>
      </c>
      <c r="C9707" s="130">
        <f>IFERROR(__xludf.DUMMYFUNCTION("""COMPUTED_VALUE"""),0.6904861111111111)</f>
        <v>0.6904861111</v>
      </c>
      <c r="D9707" s="122" t="str">
        <f>IFERROR(__xludf.DUMMYFUNCTION("""COMPUTED_VALUE"""),"EDUX")</f>
        <v>EDUX</v>
      </c>
      <c r="E9707" s="122" t="str">
        <f>IFERROR(__xludf.DUMMYFUNCTION("""COMPUTED_VALUE"""),"EduMax Learning")</f>
        <v>EduMax Learning</v>
      </c>
      <c r="F9707" s="122" t="str">
        <f>IFERROR(__xludf.DUMMYFUNCTION("""COMPUTED_VALUE"""),"Education")</f>
        <v>Education</v>
      </c>
    </row>
    <row r="9708">
      <c r="A9708" s="131">
        <f>IFERROR(__xludf.DUMMYFUNCTION("""COMPUTED_VALUE"""),46187.69048611111)</f>
        <v>46187.69049</v>
      </c>
      <c r="B9708" s="126">
        <f>IFERROR(__xludf.DUMMYFUNCTION("""COMPUTED_VALUE"""),46187.0)</f>
        <v>46187</v>
      </c>
      <c r="C9708" s="130">
        <f>IFERROR(__xludf.DUMMYFUNCTION("""COMPUTED_VALUE"""),0.6904861111111111)</f>
        <v>0.6904861111</v>
      </c>
      <c r="D9708" s="122" t="str">
        <f>IFERROR(__xludf.DUMMYFUNCTION("""COMPUTED_VALUE"""),"BOOK")</f>
        <v>BOOK</v>
      </c>
      <c r="E9708" s="122" t="str">
        <f>IFERROR(__xludf.DUMMYFUNCTION("""COMPUTED_VALUE"""),"BookBridge")</f>
        <v>BookBridge</v>
      </c>
      <c r="F9708" s="122" t="str">
        <f>IFERROR(__xludf.DUMMYFUNCTION("""COMPUTED_VALUE"""),"Education")</f>
        <v>Education</v>
      </c>
    </row>
    <row r="9709">
      <c r="A9709" s="131">
        <f>IFERROR(__xludf.DUMMYFUNCTION("""COMPUTED_VALUE"""),46187.69048611111)</f>
        <v>46187.69049</v>
      </c>
      <c r="B9709" s="126">
        <f>IFERROR(__xludf.DUMMYFUNCTION("""COMPUTED_VALUE"""),46187.0)</f>
        <v>46187</v>
      </c>
      <c r="C9709" s="130">
        <f>IFERROR(__xludf.DUMMYFUNCTION("""COMPUTED_VALUE"""),0.6904861111111111)</f>
        <v>0.6904861111</v>
      </c>
      <c r="D9709" s="122" t="str">
        <f>IFERROR(__xludf.DUMMYFUNCTION("""COMPUTED_VALUE"""),"TUTR")</f>
        <v>TUTR</v>
      </c>
      <c r="E9709" s="122" t="str">
        <f>IFERROR(__xludf.DUMMYFUNCTION("""COMPUTED_VALUE"""),"TutorTown")</f>
        <v>TutorTown</v>
      </c>
      <c r="F9709" s="122" t="str">
        <f>IFERROR(__xludf.DUMMYFUNCTION("""COMPUTED_VALUE"""),"Education")</f>
        <v>Education</v>
      </c>
    </row>
    <row r="9710">
      <c r="A9710" s="131">
        <f>IFERROR(__xludf.DUMMYFUNCTION("""COMPUTED_VALUE"""),46187.69048611111)</f>
        <v>46187.69049</v>
      </c>
      <c r="B9710" s="126">
        <f>IFERROR(__xludf.DUMMYFUNCTION("""COMPUTED_VALUE"""),46187.0)</f>
        <v>46187</v>
      </c>
      <c r="C9710" s="130">
        <f>IFERROR(__xludf.DUMMYFUNCTION("""COMPUTED_VALUE"""),0.6904861111111111)</f>
        <v>0.6904861111</v>
      </c>
      <c r="D9710" s="122" t="str">
        <f>IFERROR(__xludf.DUMMYFUNCTION("""COMPUTED_VALUE"""),"LANG")</f>
        <v>LANG</v>
      </c>
      <c r="E9710" s="122" t="str">
        <f>IFERROR(__xludf.DUMMYFUNCTION("""COMPUTED_VALUE"""),"LinguaLab")</f>
        <v>LinguaLab</v>
      </c>
      <c r="F9710" s="122" t="str">
        <f>IFERROR(__xludf.DUMMYFUNCTION("""COMPUTED_VALUE"""),"Education")</f>
        <v>Education</v>
      </c>
    </row>
    <row r="9711">
      <c r="A9711" s="131">
        <f>IFERROR(__xludf.DUMMYFUNCTION("""COMPUTED_VALUE"""),46187.69048611111)</f>
        <v>46187.69049</v>
      </c>
      <c r="B9711" s="126">
        <f>IFERROR(__xludf.DUMMYFUNCTION("""COMPUTED_VALUE"""),46187.0)</f>
        <v>46187</v>
      </c>
      <c r="C9711" s="130">
        <f>IFERROR(__xludf.DUMMYFUNCTION("""COMPUTED_VALUE"""),0.6904861111111111)</f>
        <v>0.6904861111</v>
      </c>
      <c r="D9711" s="122" t="str">
        <f>IFERROR(__xludf.DUMMYFUNCTION("""COMPUTED_VALUE"""),"TEST")</f>
        <v>TEST</v>
      </c>
      <c r="E9711" s="122" t="str">
        <f>IFERROR(__xludf.DUMMYFUNCTION("""COMPUTED_VALUE"""),"TestPrep Pro")</f>
        <v>TestPrep Pro</v>
      </c>
      <c r="F9711" s="122" t="str">
        <f>IFERROR(__xludf.DUMMYFUNCTION("""COMPUTED_VALUE"""),"Education")</f>
        <v>Education</v>
      </c>
    </row>
    <row r="9712">
      <c r="A9712" s="131">
        <f>IFERROR(__xludf.DUMMYFUNCTION("""COMPUTED_VALUE"""),46187.69048611111)</f>
        <v>46187.69049</v>
      </c>
      <c r="B9712" s="126">
        <f>IFERROR(__xludf.DUMMYFUNCTION("""COMPUTED_VALUE"""),46187.0)</f>
        <v>46187</v>
      </c>
      <c r="C9712" s="130">
        <f>IFERROR(__xludf.DUMMYFUNCTION("""COMPUTED_VALUE"""),0.6904861111111111)</f>
        <v>0.6904861111</v>
      </c>
      <c r="D9712" s="122" t="str">
        <f>IFERROR(__xludf.DUMMYFUNCTION("""COMPUTED_VALUE"""),"MOVI")</f>
        <v>MOVI</v>
      </c>
      <c r="E9712" s="122" t="str">
        <f>IFERROR(__xludf.DUMMYFUNCTION("""COMPUTED_VALUE"""),"MovieBox")</f>
        <v>MovieBox</v>
      </c>
      <c r="F9712" s="122" t="str">
        <f>IFERROR(__xludf.DUMMYFUNCTION("""COMPUTED_VALUE"""),"Entertainment")</f>
        <v>Entertainment</v>
      </c>
    </row>
    <row r="9713">
      <c r="A9713" s="131">
        <f>IFERROR(__xludf.DUMMYFUNCTION("""COMPUTED_VALUE"""),46187.69048611111)</f>
        <v>46187.69049</v>
      </c>
      <c r="B9713" s="126">
        <f>IFERROR(__xludf.DUMMYFUNCTION("""COMPUTED_VALUE"""),46187.0)</f>
        <v>46187</v>
      </c>
      <c r="C9713" s="130">
        <f>IFERROR(__xludf.DUMMYFUNCTION("""COMPUTED_VALUE"""),0.6904861111111111)</f>
        <v>0.6904861111</v>
      </c>
      <c r="D9713" s="122" t="str">
        <f>IFERROR(__xludf.DUMMYFUNCTION("""COMPUTED_VALUE"""),"MUSC")</f>
        <v>MUSC</v>
      </c>
      <c r="E9713" s="122" t="str">
        <f>IFERROR(__xludf.DUMMYFUNCTION("""COMPUTED_VALUE"""),"MusicWave")</f>
        <v>MusicWave</v>
      </c>
      <c r="F9713" s="122" t="str">
        <f>IFERROR(__xludf.DUMMYFUNCTION("""COMPUTED_VALUE"""),"Entertainment")</f>
        <v>Entertainment</v>
      </c>
    </row>
    <row r="9714">
      <c r="A9714" s="131">
        <f>IFERROR(__xludf.DUMMYFUNCTION("""COMPUTED_VALUE"""),46187.69048611111)</f>
        <v>46187.69049</v>
      </c>
      <c r="B9714" s="126">
        <f>IFERROR(__xludf.DUMMYFUNCTION("""COMPUTED_VALUE"""),46187.0)</f>
        <v>46187</v>
      </c>
      <c r="C9714" s="130">
        <f>IFERROR(__xludf.DUMMYFUNCTION("""COMPUTED_VALUE"""),0.6904861111111111)</f>
        <v>0.6904861111</v>
      </c>
      <c r="D9714" s="122" t="str">
        <f>IFERROR(__xludf.DUMMYFUNCTION("""COMPUTED_VALUE"""),"IDOL")</f>
        <v>IDOL</v>
      </c>
      <c r="E9714" s="122" t="str">
        <f>IFERROR(__xludf.DUMMYFUNCTION("""COMPUTED_VALUE"""),"Idol Agency")</f>
        <v>Idol Agency</v>
      </c>
      <c r="F9714" s="122" t="str">
        <f>IFERROR(__xludf.DUMMYFUNCTION("""COMPUTED_VALUE"""),"Entertainment")</f>
        <v>Entertainment</v>
      </c>
    </row>
    <row r="9715">
      <c r="A9715" s="131">
        <f>IFERROR(__xludf.DUMMYFUNCTION("""COMPUTED_VALUE"""),46187.69048611111)</f>
        <v>46187.69049</v>
      </c>
      <c r="B9715" s="126">
        <f>IFERROR(__xludf.DUMMYFUNCTION("""COMPUTED_VALUE"""),46187.0)</f>
        <v>46187</v>
      </c>
      <c r="C9715" s="130">
        <f>IFERROR(__xludf.DUMMYFUNCTION("""COMPUTED_VALUE"""),0.6904861111111111)</f>
        <v>0.6904861111</v>
      </c>
      <c r="D9715" s="122" t="str">
        <f>IFERROR(__xludf.DUMMYFUNCTION("""COMPUTED_VALUE"""),"MEME")</f>
        <v>MEME</v>
      </c>
      <c r="E9715" s="122" t="str">
        <f>IFERROR(__xludf.DUMMYFUNCTION("""COMPUTED_VALUE"""),"Meme Media")</f>
        <v>Meme Media</v>
      </c>
      <c r="F9715" s="122" t="str">
        <f>IFERROR(__xludf.DUMMYFUNCTION("""COMPUTED_VALUE"""),"Entertainment")</f>
        <v>Entertainment</v>
      </c>
    </row>
    <row r="9716">
      <c r="A9716" s="131">
        <f>IFERROR(__xludf.DUMMYFUNCTION("""COMPUTED_VALUE"""),46187.69048611111)</f>
        <v>46187.69049</v>
      </c>
      <c r="B9716" s="126">
        <f>IFERROR(__xludf.DUMMYFUNCTION("""COMPUTED_VALUE"""),46187.0)</f>
        <v>46187</v>
      </c>
      <c r="C9716" s="130">
        <f>IFERROR(__xludf.DUMMYFUNCTION("""COMPUTED_VALUE"""),0.6904861111111111)</f>
        <v>0.6904861111</v>
      </c>
      <c r="D9716" s="122" t="str">
        <f>IFERROR(__xludf.DUMMYFUNCTION("""COMPUTED_VALUE"""),"STRM")</f>
        <v>STRM</v>
      </c>
      <c r="E9716" s="122" t="str">
        <f>IFERROR(__xludf.DUMMYFUNCTION("""COMPUTED_VALUE"""),"Streamly")</f>
        <v>Streamly</v>
      </c>
      <c r="F9716" s="122" t="str">
        <f>IFERROR(__xludf.DUMMYFUNCTION("""COMPUTED_VALUE"""),"Entertainment")</f>
        <v>Entertainment</v>
      </c>
    </row>
    <row r="9717">
      <c r="A9717" s="131">
        <f>IFERROR(__xludf.DUMMYFUNCTION("""COMPUTED_VALUE"""),46187.69048611111)</f>
        <v>46187.69049</v>
      </c>
      <c r="B9717" s="126">
        <f>IFERROR(__xludf.DUMMYFUNCTION("""COMPUTED_VALUE"""),46187.0)</f>
        <v>46187</v>
      </c>
      <c r="C9717" s="130">
        <f>IFERROR(__xludf.DUMMYFUNCTION("""COMPUTED_VALUE"""),0.6904861111111111)</f>
        <v>0.6904861111</v>
      </c>
      <c r="D9717" s="122" t="str">
        <f>IFERROR(__xludf.DUMMYFUNCTION("""COMPUTED_VALUE"""),"FARM")</f>
        <v>FARM</v>
      </c>
      <c r="E9717" s="122" t="str">
        <f>IFERROR(__xludf.DUMMYFUNCTION("""COMPUTED_VALUE"""),"Future Farms")</f>
        <v>Future Farms</v>
      </c>
      <c r="F9717" s="122" t="str">
        <f>IFERROR(__xludf.DUMMYFUNCTION("""COMPUTED_VALUE"""),"Agriculture")</f>
        <v>Agriculture</v>
      </c>
    </row>
    <row r="9718">
      <c r="A9718" s="131">
        <f>IFERROR(__xludf.DUMMYFUNCTION("""COMPUTED_VALUE"""),46187.69048611111)</f>
        <v>46187.69049</v>
      </c>
      <c r="B9718" s="126">
        <f>IFERROR(__xludf.DUMMYFUNCTION("""COMPUTED_VALUE"""),46187.0)</f>
        <v>46187</v>
      </c>
      <c r="C9718" s="130">
        <f>IFERROR(__xludf.DUMMYFUNCTION("""COMPUTED_VALUE"""),0.6904861111111111)</f>
        <v>0.6904861111</v>
      </c>
      <c r="D9718" s="122" t="str">
        <f>IFERROR(__xludf.DUMMYFUNCTION("""COMPUTED_VALUE"""),"MEAT")</f>
        <v>MEAT</v>
      </c>
      <c r="E9718" s="122" t="str">
        <f>IFERROR(__xludf.DUMMYFUNCTION("""COMPUTED_VALUE"""),"MeatWorks")</f>
        <v>MeatWorks</v>
      </c>
      <c r="F9718" s="122" t="str">
        <f>IFERROR(__xludf.DUMMYFUNCTION("""COMPUTED_VALUE"""),"Food")</f>
        <v>Food</v>
      </c>
    </row>
    <row r="9719">
      <c r="A9719" s="131">
        <f>IFERROR(__xludf.DUMMYFUNCTION("""COMPUTED_VALUE"""),46187.69048611111)</f>
        <v>46187.69049</v>
      </c>
      <c r="B9719" s="126">
        <f>IFERROR(__xludf.DUMMYFUNCTION("""COMPUTED_VALUE"""),46187.0)</f>
        <v>46187</v>
      </c>
      <c r="C9719" s="130">
        <f>IFERROR(__xludf.DUMMYFUNCTION("""COMPUTED_VALUE"""),0.6904861111111111)</f>
        <v>0.6904861111</v>
      </c>
      <c r="D9719" s="122" t="str">
        <f>IFERROR(__xludf.DUMMYFUNCTION("""COMPUTED_VALUE"""),"VEGI")</f>
        <v>VEGI</v>
      </c>
      <c r="E9719" s="122" t="str">
        <f>IFERROR(__xludf.DUMMYFUNCTION("""COMPUTED_VALUE"""),"Green Basket")</f>
        <v>Green Basket</v>
      </c>
      <c r="F9719" s="122" t="str">
        <f>IFERROR(__xludf.DUMMYFUNCTION("""COMPUTED_VALUE"""),"Food")</f>
        <v>Food</v>
      </c>
    </row>
    <row r="9720">
      <c r="A9720" s="131">
        <f>IFERROR(__xludf.DUMMYFUNCTION("""COMPUTED_VALUE"""),46187.69048611111)</f>
        <v>46187.69049</v>
      </c>
      <c r="B9720" s="126">
        <f>IFERROR(__xludf.DUMMYFUNCTION("""COMPUTED_VALUE"""),46187.0)</f>
        <v>46187</v>
      </c>
      <c r="C9720" s="130">
        <f>IFERROR(__xludf.DUMMYFUNCTION("""COMPUTED_VALUE"""),0.6904861111111111)</f>
        <v>0.6904861111</v>
      </c>
      <c r="D9720" s="122" t="str">
        <f>IFERROR(__xludf.DUMMYFUNCTION("""COMPUTED_VALUE"""),"CAFE")</f>
        <v>CAFE</v>
      </c>
      <c r="E9720" s="122" t="str">
        <f>IFERROR(__xludf.DUMMYFUNCTION("""COMPUTED_VALUE"""),"Cafe Cloud")</f>
        <v>Cafe Cloud</v>
      </c>
      <c r="F9720" s="122" t="str">
        <f>IFERROR(__xludf.DUMMYFUNCTION("""COMPUTED_VALUE"""),"Food")</f>
        <v>Food</v>
      </c>
    </row>
    <row r="9721">
      <c r="A9721" s="131">
        <f>IFERROR(__xludf.DUMMYFUNCTION("""COMPUTED_VALUE"""),46187.69048611111)</f>
        <v>46187.69049</v>
      </c>
      <c r="B9721" s="126">
        <f>IFERROR(__xludf.DUMMYFUNCTION("""COMPUTED_VALUE"""),46187.0)</f>
        <v>46187</v>
      </c>
      <c r="C9721" s="130">
        <f>IFERROR(__xludf.DUMMYFUNCTION("""COMPUTED_VALUE"""),0.6904861111111111)</f>
        <v>0.6904861111</v>
      </c>
      <c r="D9721" s="122" t="str">
        <f>IFERROR(__xludf.DUMMYFUNCTION("""COMPUTED_VALUE"""),"BAKE")</f>
        <v>BAKE</v>
      </c>
      <c r="E9721" s="122" t="str">
        <f>IFERROR(__xludf.DUMMYFUNCTION("""COMPUTED_VALUE"""),"BakeHouse")</f>
        <v>BakeHouse</v>
      </c>
      <c r="F9721" s="122" t="str">
        <f>IFERROR(__xludf.DUMMYFUNCTION("""COMPUTED_VALUE"""),"Food")</f>
        <v>Food</v>
      </c>
    </row>
    <row r="9722">
      <c r="A9722" s="131">
        <f>IFERROR(__xludf.DUMMYFUNCTION("""COMPUTED_VALUE"""),46187.69048611111)</f>
        <v>46187.69049</v>
      </c>
      <c r="B9722" s="126">
        <f>IFERROR(__xludf.DUMMYFUNCTION("""COMPUTED_VALUE"""),46187.0)</f>
        <v>46187</v>
      </c>
      <c r="C9722" s="130">
        <f>IFERROR(__xludf.DUMMYFUNCTION("""COMPUTED_VALUE"""),0.6904861111111111)</f>
        <v>0.6904861111</v>
      </c>
      <c r="D9722" s="122" t="str">
        <f>IFERROR(__xludf.DUMMYFUNCTION("""COMPUTED_VALUE"""),"OILX")</f>
        <v>OILX</v>
      </c>
      <c r="E9722" s="122" t="str">
        <f>IFERROR(__xludf.DUMMYFUNCTION("""COMPUTED_VALUE"""),"OilMax Energy")</f>
        <v>OilMax Energy</v>
      </c>
      <c r="F9722" s="122" t="str">
        <f>IFERROR(__xludf.DUMMYFUNCTION("""COMPUTED_VALUE"""),"Energy")</f>
        <v>Energy</v>
      </c>
    </row>
    <row r="9723">
      <c r="A9723" s="131">
        <f>IFERROR(__xludf.DUMMYFUNCTION("""COMPUTED_VALUE"""),46187.69048611111)</f>
        <v>46187.69049</v>
      </c>
      <c r="B9723" s="126">
        <f>IFERROR(__xludf.DUMMYFUNCTION("""COMPUTED_VALUE"""),46187.0)</f>
        <v>46187</v>
      </c>
      <c r="C9723" s="130">
        <f>IFERROR(__xludf.DUMMYFUNCTION("""COMPUTED_VALUE"""),0.6904861111111111)</f>
        <v>0.6904861111</v>
      </c>
      <c r="D9723" s="122" t="str">
        <f>IFERROR(__xludf.DUMMYFUNCTION("""COMPUTED_VALUE"""),"SOLR")</f>
        <v>SOLR</v>
      </c>
      <c r="E9723" s="122" t="str">
        <f>IFERROR(__xludf.DUMMYFUNCTION("""COMPUTED_VALUE"""),"SolarSpark")</f>
        <v>SolarSpark</v>
      </c>
      <c r="F9723" s="122" t="str">
        <f>IFERROR(__xludf.DUMMYFUNCTION("""COMPUTED_VALUE"""),"Energy")</f>
        <v>Energy</v>
      </c>
    </row>
    <row r="9724">
      <c r="A9724" s="131">
        <f>IFERROR(__xludf.DUMMYFUNCTION("""COMPUTED_VALUE"""),46187.69048611111)</f>
        <v>46187.69049</v>
      </c>
      <c r="B9724" s="126">
        <f>IFERROR(__xludf.DUMMYFUNCTION("""COMPUTED_VALUE"""),46187.0)</f>
        <v>46187</v>
      </c>
      <c r="C9724" s="130">
        <f>IFERROR(__xludf.DUMMYFUNCTION("""COMPUTED_VALUE"""),0.6904861111111111)</f>
        <v>0.6904861111</v>
      </c>
      <c r="D9724" s="122" t="str">
        <f>IFERROR(__xludf.DUMMYFUNCTION("""COMPUTED_VALUE"""),"BATT")</f>
        <v>BATT</v>
      </c>
      <c r="E9724" s="122" t="str">
        <f>IFERROR(__xludf.DUMMYFUNCTION("""COMPUTED_VALUE"""),"BatteryBox")</f>
        <v>BatteryBox</v>
      </c>
      <c r="F9724" s="122" t="str">
        <f>IFERROR(__xludf.DUMMYFUNCTION("""COMPUTED_VALUE"""),"Energy")</f>
        <v>Energy</v>
      </c>
    </row>
    <row r="9725">
      <c r="A9725" s="131">
        <f>IFERROR(__xludf.DUMMYFUNCTION("""COMPUTED_VALUE"""),46187.69048611111)</f>
        <v>46187.69049</v>
      </c>
      <c r="B9725" s="126">
        <f>IFERROR(__xludf.DUMMYFUNCTION("""COMPUTED_VALUE"""),46187.0)</f>
        <v>46187</v>
      </c>
      <c r="C9725" s="130">
        <f>IFERROR(__xludf.DUMMYFUNCTION("""COMPUTED_VALUE"""),0.6904861111111111)</f>
        <v>0.6904861111</v>
      </c>
      <c r="D9725" s="122" t="str">
        <f>IFERROR(__xludf.DUMMYFUNCTION("""COMPUTED_VALUE"""),"WIND")</f>
        <v>WIND</v>
      </c>
      <c r="E9725" s="122" t="str">
        <f>IFERROR(__xludf.DUMMYFUNCTION("""COMPUTED_VALUE"""),"WindWorks")</f>
        <v>WindWorks</v>
      </c>
      <c r="F9725" s="122" t="str">
        <f>IFERROR(__xludf.DUMMYFUNCTION("""COMPUTED_VALUE"""),"Energy")</f>
        <v>Energy</v>
      </c>
    </row>
    <row r="9726">
      <c r="A9726" s="131">
        <f>IFERROR(__xludf.DUMMYFUNCTION("""COMPUTED_VALUE"""),46187.69048611111)</f>
        <v>46187.69049</v>
      </c>
      <c r="B9726" s="126">
        <f>IFERROR(__xludf.DUMMYFUNCTION("""COMPUTED_VALUE"""),46187.0)</f>
        <v>46187</v>
      </c>
      <c r="C9726" s="130">
        <f>IFERROR(__xludf.DUMMYFUNCTION("""COMPUTED_VALUE"""),0.6904861111111111)</f>
        <v>0.6904861111</v>
      </c>
      <c r="D9726" s="122" t="str">
        <f>IFERROR(__xludf.DUMMYFUNCTION("""COMPUTED_VALUE"""),"GRID")</f>
        <v>GRID</v>
      </c>
      <c r="E9726" s="122" t="str">
        <f>IFERROR(__xludf.DUMMYFUNCTION("""COMPUTED_VALUE"""),"GridPower")</f>
        <v>GridPower</v>
      </c>
      <c r="F9726" s="122" t="str">
        <f>IFERROR(__xludf.DUMMYFUNCTION("""COMPUTED_VALUE"""),"Energy")</f>
        <v>Energy</v>
      </c>
    </row>
    <row r="9727">
      <c r="A9727" s="131">
        <f>IFERROR(__xludf.DUMMYFUNCTION("""COMPUTED_VALUE"""),46187.69048611111)</f>
        <v>46187.69049</v>
      </c>
      <c r="B9727" s="126">
        <f>IFERROR(__xludf.DUMMYFUNCTION("""COMPUTED_VALUE"""),46187.0)</f>
        <v>46187</v>
      </c>
      <c r="C9727" s="130">
        <f>IFERROR(__xludf.DUMMYFUNCTION("""COMPUTED_VALUE"""),0.6904861111111111)</f>
        <v>0.6904861111</v>
      </c>
      <c r="D9727" s="122" t="str">
        <f>IFERROR(__xludf.DUMMYFUNCTION("""COMPUTED_VALUE"""),"HOME")</f>
        <v>HOME</v>
      </c>
      <c r="E9727" s="122" t="str">
        <f>IFERROR(__xludf.DUMMYFUNCTION("""COMPUTED_VALUE"""),"HomeHub")</f>
        <v>HomeHub</v>
      </c>
      <c r="F9727" s="122" t="str">
        <f>IFERROR(__xludf.DUMMYFUNCTION("""COMPUTED_VALUE"""),"Real Estate")</f>
        <v>Real Estate</v>
      </c>
    </row>
    <row r="9728">
      <c r="A9728" s="131">
        <f>IFERROR(__xludf.DUMMYFUNCTION("""COMPUTED_VALUE"""),46187.69048611111)</f>
        <v>46187.69049</v>
      </c>
      <c r="B9728" s="126">
        <f>IFERROR(__xludf.DUMMYFUNCTION("""COMPUTED_VALUE"""),46187.0)</f>
        <v>46187</v>
      </c>
      <c r="C9728" s="130">
        <f>IFERROR(__xludf.DUMMYFUNCTION("""COMPUTED_VALUE"""),0.6904861111111111)</f>
        <v>0.6904861111</v>
      </c>
      <c r="D9728" s="122" t="str">
        <f>IFERROR(__xludf.DUMMYFUNCTION("""COMPUTED_VALUE"""),"RENT")</f>
        <v>RENT</v>
      </c>
      <c r="E9728" s="122" t="str">
        <f>IFERROR(__xludf.DUMMYFUNCTION("""COMPUTED_VALUE"""),"RentRight")</f>
        <v>RentRight</v>
      </c>
      <c r="F9728" s="122" t="str">
        <f>IFERROR(__xludf.DUMMYFUNCTION("""COMPUTED_VALUE"""),"Real Estate")</f>
        <v>Real Estate</v>
      </c>
    </row>
    <row r="9729">
      <c r="A9729" s="131">
        <f>IFERROR(__xludf.DUMMYFUNCTION("""COMPUTED_VALUE"""),46187.69048611111)</f>
        <v>46187.69049</v>
      </c>
      <c r="B9729" s="126">
        <f>IFERROR(__xludf.DUMMYFUNCTION("""COMPUTED_VALUE"""),46187.0)</f>
        <v>46187</v>
      </c>
      <c r="C9729" s="130">
        <f>IFERROR(__xludf.DUMMYFUNCTION("""COMPUTED_VALUE"""),0.6904861111111111)</f>
        <v>0.6904861111</v>
      </c>
      <c r="D9729" s="122" t="str">
        <f>IFERROR(__xludf.DUMMYFUNCTION("""COMPUTED_VALUE"""),"MALL")</f>
        <v>MALL</v>
      </c>
      <c r="E9729" s="122" t="str">
        <f>IFERROR(__xludf.DUMMYFUNCTION("""COMPUTED_VALUE"""),"MegaMall")</f>
        <v>MegaMall</v>
      </c>
      <c r="F9729" s="122" t="str">
        <f>IFERROR(__xludf.DUMMYFUNCTION("""COMPUTED_VALUE"""),"Real Estate")</f>
        <v>Real Estate</v>
      </c>
    </row>
    <row r="9730">
      <c r="A9730" s="131">
        <f>IFERROR(__xludf.DUMMYFUNCTION("""COMPUTED_VALUE"""),46187.69048611111)</f>
        <v>46187.69049</v>
      </c>
      <c r="B9730" s="126">
        <f>IFERROR(__xludf.DUMMYFUNCTION("""COMPUTED_VALUE"""),46187.0)</f>
        <v>46187</v>
      </c>
      <c r="C9730" s="130">
        <f>IFERROR(__xludf.DUMMYFUNCTION("""COMPUTED_VALUE"""),0.6904861111111111)</f>
        <v>0.6904861111</v>
      </c>
      <c r="D9730" s="122" t="str">
        <f>IFERROR(__xludf.DUMMYFUNCTION("""COMPUTED_VALUE"""),"HOTL")</f>
        <v>HOTL</v>
      </c>
      <c r="E9730" s="122" t="str">
        <f>IFERROR(__xludf.DUMMYFUNCTION("""COMPUTED_VALUE"""),"HotelHive")</f>
        <v>HotelHive</v>
      </c>
      <c r="F9730" s="122" t="str">
        <f>IFERROR(__xludf.DUMMYFUNCTION("""COMPUTED_VALUE"""),"Real Estate")</f>
        <v>Real Estate</v>
      </c>
    </row>
    <row r="9731">
      <c r="A9731" s="131">
        <f>IFERROR(__xludf.DUMMYFUNCTION("""COMPUTED_VALUE"""),46187.69048611111)</f>
        <v>46187.69049</v>
      </c>
      <c r="B9731" s="126">
        <f>IFERROR(__xludf.DUMMYFUNCTION("""COMPUTED_VALUE"""),46187.0)</f>
        <v>46187</v>
      </c>
      <c r="C9731" s="130">
        <f>IFERROR(__xludf.DUMMYFUNCTION("""COMPUTED_VALUE"""),0.6904861111111111)</f>
        <v>0.6904861111</v>
      </c>
      <c r="D9731" s="122" t="str">
        <f>IFERROR(__xludf.DUMMYFUNCTION("""COMPUTED_VALUE"""),"LAND")</f>
        <v>LAND</v>
      </c>
      <c r="E9731" s="122" t="str">
        <f>IFERROR(__xludf.DUMMYFUNCTION("""COMPUTED_VALUE"""),"LandLink")</f>
        <v>LandLink</v>
      </c>
      <c r="F9731" s="122" t="str">
        <f>IFERROR(__xludf.DUMMYFUNCTION("""COMPUTED_VALUE"""),"Real Estate")</f>
        <v>Real Estate</v>
      </c>
    </row>
    <row r="9732">
      <c r="A9732" s="131">
        <f>IFERROR(__xludf.DUMMYFUNCTION("""COMPUTED_VALUE"""),46187.69048611111)</f>
        <v>46187.69049</v>
      </c>
      <c r="B9732" s="126">
        <f>IFERROR(__xludf.DUMMYFUNCTION("""COMPUTED_VALUE"""),46187.0)</f>
        <v>46187</v>
      </c>
      <c r="C9732" s="130">
        <f>IFERROR(__xludf.DUMMYFUNCTION("""COMPUTED_VALUE"""),0.6904861111111111)</f>
        <v>0.6904861111</v>
      </c>
      <c r="D9732" s="122" t="str">
        <f>IFERROR(__xludf.DUMMYFUNCTION("""COMPUTED_VALUE"""),"CARS")</f>
        <v>CARS</v>
      </c>
      <c r="E9732" s="122" t="str">
        <f>IFERROR(__xludf.DUMMYFUNCTION("""COMPUTED_VALUE"""),"AutoArena")</f>
        <v>AutoArena</v>
      </c>
      <c r="F9732" s="122" t="str">
        <f>IFERROR(__xludf.DUMMYFUNCTION("""COMPUTED_VALUE"""),"Automotive")</f>
        <v>Automotive</v>
      </c>
    </row>
    <row r="9733">
      <c r="A9733" s="131">
        <f>IFERROR(__xludf.DUMMYFUNCTION("""COMPUTED_VALUE"""),46187.69048611111)</f>
        <v>46187.69049</v>
      </c>
      <c r="B9733" s="126">
        <f>IFERROR(__xludf.DUMMYFUNCTION("""COMPUTED_VALUE"""),46187.0)</f>
        <v>46187</v>
      </c>
      <c r="C9733" s="130">
        <f>IFERROR(__xludf.DUMMYFUNCTION("""COMPUTED_VALUE"""),0.6904861111111111)</f>
        <v>0.6904861111</v>
      </c>
      <c r="D9733" s="122" t="str">
        <f>IFERROR(__xludf.DUMMYFUNCTION("""COMPUTED_VALUE"""),"EVGO")</f>
        <v>EVGO</v>
      </c>
      <c r="E9733" s="122" t="str">
        <f>IFERROR(__xludf.DUMMYFUNCTION("""COMPUTED_VALUE"""),"EVGo Motors")</f>
        <v>EVGo Motors</v>
      </c>
      <c r="F9733" s="122" t="str">
        <f>IFERROR(__xludf.DUMMYFUNCTION("""COMPUTED_VALUE"""),"Automotive")</f>
        <v>Automotive</v>
      </c>
    </row>
    <row r="9734">
      <c r="A9734" s="131">
        <f>IFERROR(__xludf.DUMMYFUNCTION("""COMPUTED_VALUE"""),46187.69048611111)</f>
        <v>46187.69049</v>
      </c>
      <c r="B9734" s="126">
        <f>IFERROR(__xludf.DUMMYFUNCTION("""COMPUTED_VALUE"""),46187.0)</f>
        <v>46187</v>
      </c>
      <c r="C9734" s="130">
        <f>IFERROR(__xludf.DUMMYFUNCTION("""COMPUTED_VALUE"""),0.6904861111111111)</f>
        <v>0.6904861111</v>
      </c>
      <c r="D9734" s="122" t="str">
        <f>IFERROR(__xludf.DUMMYFUNCTION("""COMPUTED_VALUE"""),"TIRE")</f>
        <v>TIRE</v>
      </c>
      <c r="E9734" s="122" t="str">
        <f>IFERROR(__xludf.DUMMYFUNCTION("""COMPUTED_VALUE"""),"TireTown")</f>
        <v>TireTown</v>
      </c>
      <c r="F9734" s="122" t="str">
        <f>IFERROR(__xludf.DUMMYFUNCTION("""COMPUTED_VALUE"""),"Automotive")</f>
        <v>Automotive</v>
      </c>
    </row>
    <row r="9735">
      <c r="A9735" s="131">
        <f>IFERROR(__xludf.DUMMYFUNCTION("""COMPUTED_VALUE"""),46187.69048611111)</f>
        <v>46187.69049</v>
      </c>
      <c r="B9735" s="126">
        <f>IFERROR(__xludf.DUMMYFUNCTION("""COMPUTED_VALUE"""),46187.0)</f>
        <v>46187</v>
      </c>
      <c r="C9735" s="130">
        <f>IFERROR(__xludf.DUMMYFUNCTION("""COMPUTED_VALUE"""),0.6904861111111111)</f>
        <v>0.6904861111</v>
      </c>
      <c r="D9735" s="122" t="str">
        <f>IFERROR(__xludf.DUMMYFUNCTION("""COMPUTED_VALUE"""),"BIKE")</f>
        <v>BIKE</v>
      </c>
      <c r="E9735" s="122" t="str">
        <f>IFERROR(__xludf.DUMMYFUNCTION("""COMPUTED_VALUE"""),"BikeBox")</f>
        <v>BikeBox</v>
      </c>
      <c r="F9735" s="122" t="str">
        <f>IFERROR(__xludf.DUMMYFUNCTION("""COMPUTED_VALUE"""),"Automotive")</f>
        <v>Automotive</v>
      </c>
    </row>
    <row r="9736">
      <c r="A9736" s="131">
        <f>IFERROR(__xludf.DUMMYFUNCTION("""COMPUTED_VALUE"""),46187.69048611111)</f>
        <v>46187.69049</v>
      </c>
      <c r="B9736" s="126">
        <f>IFERROR(__xludf.DUMMYFUNCTION("""COMPUTED_VALUE"""),46187.0)</f>
        <v>46187</v>
      </c>
      <c r="C9736" s="130">
        <f>IFERROR(__xludf.DUMMYFUNCTION("""COMPUTED_VALUE"""),0.6904861111111111)</f>
        <v>0.6904861111</v>
      </c>
      <c r="D9736" s="122" t="str">
        <f>IFERROR(__xludf.DUMMYFUNCTION("""COMPUTED_VALUE"""),"WASH")</f>
        <v>WASH</v>
      </c>
      <c r="E9736" s="122" t="str">
        <f>IFERROR(__xludf.DUMMYFUNCTION("""COMPUTED_VALUE"""),"CarWash Co")</f>
        <v>CarWash Co</v>
      </c>
      <c r="F9736" s="122" t="str">
        <f>IFERROR(__xludf.DUMMYFUNCTION("""COMPUTED_VALUE"""),"Automotive")</f>
        <v>Automotive</v>
      </c>
    </row>
    <row r="9737">
      <c r="A9737" s="131">
        <f>IFERROR(__xludf.DUMMYFUNCTION("""COMPUTED_VALUE"""),46187.69048611111)</f>
        <v>46187.69049</v>
      </c>
      <c r="B9737" s="126">
        <f>IFERROR(__xludf.DUMMYFUNCTION("""COMPUTED_VALUE"""),46187.0)</f>
        <v>46187</v>
      </c>
      <c r="C9737" s="130">
        <f>IFERROR(__xludf.DUMMYFUNCTION("""COMPUTED_VALUE"""),0.6904861111111111)</f>
        <v>0.6904861111</v>
      </c>
      <c r="D9737" s="122" t="str">
        <f>IFERROR(__xludf.DUMMYFUNCTION("""COMPUTED_VALUE"""),"GBND")</f>
        <v>GBND</v>
      </c>
      <c r="E9737" s="122" t="str">
        <f>IFERROR(__xludf.DUMMYFUNCTION("""COMPUTED_VALUE"""),"Classroom Government Bond")</f>
        <v>Classroom Government Bond</v>
      </c>
      <c r="F9737" s="122" t="str">
        <f>IFERROR(__xludf.DUMMYFUNCTION("""COMPUTED_VALUE"""),"Bond")</f>
        <v>Bond</v>
      </c>
    </row>
    <row r="9738">
      <c r="A9738" s="131">
        <f>IFERROR(__xludf.DUMMYFUNCTION("""COMPUTED_VALUE"""),46187.69048611111)</f>
        <v>46187.69049</v>
      </c>
      <c r="B9738" s="126">
        <f>IFERROR(__xludf.DUMMYFUNCTION("""COMPUTED_VALUE"""),46187.0)</f>
        <v>46187</v>
      </c>
      <c r="C9738" s="130">
        <f>IFERROR(__xludf.DUMMYFUNCTION("""COMPUTED_VALUE"""),0.6904861111111111)</f>
        <v>0.6904861111</v>
      </c>
      <c r="D9738" s="122" t="str">
        <f>IFERROR(__xludf.DUMMYFUNCTION("""COMPUTED_VALUE"""),"SBND")</f>
        <v>SBND</v>
      </c>
      <c r="E9738" s="122" t="str">
        <f>IFERROR(__xludf.DUMMYFUNCTION("""COMPUTED_VALUE"""),"School Savings Bond")</f>
        <v>School Savings Bond</v>
      </c>
      <c r="F9738" s="122" t="str">
        <f>IFERROR(__xludf.DUMMYFUNCTION("""COMPUTED_VALUE"""),"Bond")</f>
        <v>Bond</v>
      </c>
    </row>
    <row r="9739">
      <c r="A9739" s="131">
        <f>IFERROR(__xludf.DUMMYFUNCTION("""COMPUTED_VALUE"""),46187.69048611111)</f>
        <v>46187.69049</v>
      </c>
      <c r="B9739" s="126">
        <f>IFERROR(__xludf.DUMMYFUNCTION("""COMPUTED_VALUE"""),46187.0)</f>
        <v>46187</v>
      </c>
      <c r="C9739" s="130">
        <f>IFERROR(__xludf.DUMMYFUNCTION("""COMPUTED_VALUE"""),0.6904861111111111)</f>
        <v>0.6904861111</v>
      </c>
      <c r="D9739" s="122" t="str">
        <f>IFERROR(__xludf.DUMMYFUNCTION("""COMPUTED_VALUE"""),"CBND")</f>
        <v>CBND</v>
      </c>
      <c r="E9739" s="122" t="str">
        <f>IFERROR(__xludf.DUMMYFUNCTION("""COMPUTED_VALUE"""),"Corporate Classroom Bond")</f>
        <v>Corporate Classroom Bond</v>
      </c>
      <c r="F9739" s="122" t="str">
        <f>IFERROR(__xludf.DUMMYFUNCTION("""COMPUTED_VALUE"""),"Bond")</f>
        <v>Bond</v>
      </c>
    </row>
    <row r="9740">
      <c r="A9740" s="131">
        <f>IFERROR(__xludf.DUMMYFUNCTION("""COMPUTED_VALUE"""),46187.69048611111)</f>
        <v>46187.69049</v>
      </c>
      <c r="B9740" s="126">
        <f>IFERROR(__xludf.DUMMYFUNCTION("""COMPUTED_VALUE"""),46187.0)</f>
        <v>46187</v>
      </c>
      <c r="C9740" s="130">
        <f>IFERROR(__xludf.DUMMYFUNCTION("""COMPUTED_VALUE"""),0.6904861111111111)</f>
        <v>0.6904861111</v>
      </c>
      <c r="D9740" s="122" t="str">
        <f>IFERROR(__xludf.DUMMYFUNCTION("""COMPUTED_VALUE"""),"TBIL")</f>
        <v>TBIL</v>
      </c>
      <c r="E9740" s="122" t="str">
        <f>IFERROR(__xludf.DUMMYFUNCTION("""COMPUTED_VALUE"""),"Treasury Bill")</f>
        <v>Treasury Bill</v>
      </c>
      <c r="F9740" s="122" t="str">
        <f>IFERROR(__xludf.DUMMYFUNCTION("""COMPUTED_VALUE"""),"Bond")</f>
        <v>Bond</v>
      </c>
    </row>
    <row r="9741">
      <c r="A9741" s="131">
        <f>IFERROR(__xludf.DUMMYFUNCTION("""COMPUTED_VALUE"""),46187.69048611111)</f>
        <v>46187.69049</v>
      </c>
      <c r="B9741" s="126">
        <f>IFERROR(__xludf.DUMMYFUNCTION("""COMPUTED_VALUE"""),46187.0)</f>
        <v>46187</v>
      </c>
      <c r="C9741" s="130">
        <f>IFERROR(__xludf.DUMMYFUNCTION("""COMPUTED_VALUE"""),0.6904861111111111)</f>
        <v>0.6904861111</v>
      </c>
      <c r="D9741" s="122" t="str">
        <f>IFERROR(__xludf.DUMMYFUNCTION("""COMPUTED_VALUE"""),"IBND")</f>
        <v>IBND</v>
      </c>
      <c r="E9741" s="122" t="str">
        <f>IFERROR(__xludf.DUMMYFUNCTION("""COMPUTED_VALUE"""),"Inflation Protected Bond")</f>
        <v>Inflation Protected Bond</v>
      </c>
      <c r="F9741" s="122" t="str">
        <f>IFERROR(__xludf.DUMMYFUNCTION("""COMPUTED_VALUE"""),"Bond")</f>
        <v>Bond</v>
      </c>
    </row>
    <row r="9742">
      <c r="A9742" s="131">
        <f>IFERROR(__xludf.DUMMYFUNCTION("""COMPUTED_VALUE"""),46187.693240740744)</f>
        <v>46187.69324</v>
      </c>
      <c r="B9742" s="126">
        <f>IFERROR(__xludf.DUMMYFUNCTION("""COMPUTED_VALUE"""),46187.0)</f>
        <v>46187</v>
      </c>
      <c r="C9742" s="122" t="str">
        <f>IFERROR(__xludf.DUMMYFUNCTION("""COMPUTED_VALUE"""),"SNAX")</f>
        <v>SNAX</v>
      </c>
      <c r="D9742" s="122" t="str">
        <f>IFERROR(__xludf.DUMMYFUNCTION("""COMPUTED_VALUE"""),"MICA Snacks")</f>
        <v>MICA Snacks</v>
      </c>
      <c r="E9742" s="122">
        <f>IFERROR(__xludf.DUMMYFUNCTION("""COMPUTED_VALUE"""),121.9)</f>
        <v>121.9</v>
      </c>
      <c r="F9742" s="122">
        <f>IFERROR(__xludf.DUMMYFUNCTION("""COMPUTED_VALUE"""),0.0033)</f>
        <v>0.0033</v>
      </c>
    </row>
    <row r="9743">
      <c r="A9743" s="131">
        <f>IFERROR(__xludf.DUMMYFUNCTION("""COMPUTED_VALUE"""),46187.693240740744)</f>
        <v>46187.69324</v>
      </c>
      <c r="B9743" s="126">
        <f>IFERROR(__xludf.DUMMYFUNCTION("""COMPUTED_VALUE"""),46187.0)</f>
        <v>46187</v>
      </c>
      <c r="C9743" s="122" t="str">
        <f>IFERROR(__xludf.DUMMYFUNCTION("""COMPUTED_VALUE"""),"RAMN")</f>
        <v>RAMN</v>
      </c>
      <c r="D9743" s="122" t="str">
        <f>IFERROR(__xludf.DUMMYFUNCTION("""COMPUTED_VALUE"""),"Ramen Republic")</f>
        <v>Ramen Republic</v>
      </c>
      <c r="E9743" s="122">
        <f>IFERROR(__xludf.DUMMYFUNCTION("""COMPUTED_VALUE"""),59.39)</f>
        <v>59.39</v>
      </c>
      <c r="F9743" s="122">
        <f>IFERROR(__xludf.DUMMYFUNCTION("""COMPUTED_VALUE"""),-5.0E-4)</f>
        <v>-0.0005</v>
      </c>
    </row>
    <row r="9744">
      <c r="A9744" s="131">
        <f>IFERROR(__xludf.DUMMYFUNCTION("""COMPUTED_VALUE"""),46187.693240740744)</f>
        <v>46187.69324</v>
      </c>
      <c r="B9744" s="126">
        <f>IFERROR(__xludf.DUMMYFUNCTION("""COMPUTED_VALUE"""),46187.0)</f>
        <v>46187</v>
      </c>
      <c r="C9744" s="122" t="str">
        <f>IFERROR(__xludf.DUMMYFUNCTION("""COMPUTED_VALUE"""),"COLA")</f>
        <v>COLA</v>
      </c>
      <c r="D9744" s="122" t="str">
        <f>IFERROR(__xludf.DUMMYFUNCTION("""COMPUTED_VALUE"""),"K-Pop Cola")</f>
        <v>K-Pop Cola</v>
      </c>
      <c r="E9744" s="122">
        <f>IFERROR(__xludf.DUMMYFUNCTION("""COMPUTED_VALUE"""),114.72)</f>
        <v>114.72</v>
      </c>
      <c r="F9744" s="122">
        <f>IFERROR(__xludf.DUMMYFUNCTION("""COMPUTED_VALUE"""),0.008)</f>
        <v>0.008</v>
      </c>
    </row>
    <row r="9745">
      <c r="A9745" s="131">
        <f>IFERROR(__xludf.DUMMYFUNCTION("""COMPUTED_VALUE"""),46187.693240740744)</f>
        <v>46187.69324</v>
      </c>
      <c r="B9745" s="126">
        <f>IFERROR(__xludf.DUMMYFUNCTION("""COMPUTED_VALUE"""),46187.0)</f>
        <v>46187</v>
      </c>
      <c r="C9745" s="122" t="str">
        <f>IFERROR(__xludf.DUMMYFUNCTION("""COMPUTED_VALUE"""),"CHIP")</f>
        <v>CHIP</v>
      </c>
      <c r="D9745" s="122" t="str">
        <f>IFERROR(__xludf.DUMMYFUNCTION("""COMPUTED_VALUE"""),"Chip Empire")</f>
        <v>Chip Empire</v>
      </c>
      <c r="E9745" s="122">
        <f>IFERROR(__xludf.DUMMYFUNCTION("""COMPUTED_VALUE"""),81.28)</f>
        <v>81.28</v>
      </c>
      <c r="F9745" s="122">
        <f>IFERROR(__xludf.DUMMYFUNCTION("""COMPUTED_VALUE"""),0.0078)</f>
        <v>0.0078</v>
      </c>
    </row>
    <row r="9746">
      <c r="A9746" s="131">
        <f>IFERROR(__xludf.DUMMYFUNCTION("""COMPUTED_VALUE"""),46187.693240740744)</f>
        <v>46187.69324</v>
      </c>
      <c r="B9746" s="126">
        <f>IFERROR(__xludf.DUMMYFUNCTION("""COMPUTED_VALUE"""),46187.0)</f>
        <v>46187</v>
      </c>
      <c r="C9746" s="122" t="str">
        <f>IFERROR(__xludf.DUMMYFUNCTION("""COMPUTED_VALUE"""),"CAND")</f>
        <v>CAND</v>
      </c>
      <c r="D9746" s="122" t="str">
        <f>IFERROR(__xludf.DUMMYFUNCTION("""COMPUTED_VALUE"""),"Candy Capital")</f>
        <v>Candy Capital</v>
      </c>
      <c r="E9746" s="122">
        <f>IFERROR(__xludf.DUMMYFUNCTION("""COMPUTED_VALUE"""),75.81)</f>
        <v>75.81</v>
      </c>
      <c r="F9746" s="122">
        <f>IFERROR(__xludf.DUMMYFUNCTION("""COMPUTED_VALUE"""),-0.0052)</f>
        <v>-0.0052</v>
      </c>
    </row>
    <row r="9747">
      <c r="A9747" s="131">
        <f>IFERROR(__xludf.DUMMYFUNCTION("""COMPUTED_VALUE"""),46187.693240740744)</f>
        <v>46187.69324</v>
      </c>
      <c r="B9747" s="126">
        <f>IFERROR(__xludf.DUMMYFUNCTION("""COMPUTED_VALUE"""),46187.0)</f>
        <v>46187</v>
      </c>
      <c r="C9747" s="122" t="str">
        <f>IFERROR(__xludf.DUMMYFUNCTION("""COMPUTED_VALUE"""),"TECH")</f>
        <v>TECH</v>
      </c>
      <c r="D9747" s="122" t="str">
        <f>IFERROR(__xludf.DUMMYFUNCTION("""COMPUTED_VALUE"""),"Dragon Tech")</f>
        <v>Dragon Tech</v>
      </c>
      <c r="E9747" s="122">
        <f>IFERROR(__xludf.DUMMYFUNCTION("""COMPUTED_VALUE"""),253.53)</f>
        <v>253.53</v>
      </c>
      <c r="F9747" s="122">
        <f>IFERROR(__xludf.DUMMYFUNCTION("""COMPUTED_VALUE"""),-0.009)</f>
        <v>-0.009</v>
      </c>
    </row>
    <row r="9748">
      <c r="A9748" s="131">
        <f>IFERROR(__xludf.DUMMYFUNCTION("""COMPUTED_VALUE"""),46187.693240740744)</f>
        <v>46187.69324</v>
      </c>
      <c r="B9748" s="126">
        <f>IFERROR(__xludf.DUMMYFUNCTION("""COMPUTED_VALUE"""),46187.0)</f>
        <v>46187</v>
      </c>
      <c r="C9748" s="122" t="str">
        <f>IFERROR(__xludf.DUMMYFUNCTION("""COMPUTED_VALUE"""),"AIBO")</f>
        <v>AIBO</v>
      </c>
      <c r="D9748" s="122" t="str">
        <f>IFERROR(__xludf.DUMMYFUNCTION("""COMPUTED_VALUE"""),"Homework AI")</f>
        <v>Homework AI</v>
      </c>
      <c r="E9748" s="122">
        <f>IFERROR(__xludf.DUMMYFUNCTION("""COMPUTED_VALUE"""),194.93)</f>
        <v>194.93</v>
      </c>
      <c r="F9748" s="122">
        <f>IFERROR(__xludf.DUMMYFUNCTION("""COMPUTED_VALUE"""),-0.0077)</f>
        <v>-0.0077</v>
      </c>
    </row>
    <row r="9749">
      <c r="A9749" s="131">
        <f>IFERROR(__xludf.DUMMYFUNCTION("""COMPUTED_VALUE"""),46187.693240740744)</f>
        <v>46187.69324</v>
      </c>
      <c r="B9749" s="126">
        <f>IFERROR(__xludf.DUMMYFUNCTION("""COMPUTED_VALUE"""),46187.0)</f>
        <v>46187</v>
      </c>
      <c r="C9749" s="122" t="str">
        <f>IFERROR(__xludf.DUMMYFUNCTION("""COMPUTED_VALUE"""),"GAME")</f>
        <v>GAME</v>
      </c>
      <c r="D9749" s="122" t="str">
        <f>IFERROR(__xludf.DUMMYFUNCTION("""COMPUTED_VALUE"""),"GameBox Media")</f>
        <v>GameBox Media</v>
      </c>
      <c r="E9749" s="122">
        <f>IFERROR(__xludf.DUMMYFUNCTION("""COMPUTED_VALUE"""),103.42)</f>
        <v>103.42</v>
      </c>
      <c r="F9749" s="122">
        <f>IFERROR(__xludf.DUMMYFUNCTION("""COMPUTED_VALUE"""),-0.0074)</f>
        <v>-0.0074</v>
      </c>
    </row>
    <row r="9750">
      <c r="A9750" s="131">
        <f>IFERROR(__xludf.DUMMYFUNCTION("""COMPUTED_VALUE"""),46187.693240740744)</f>
        <v>46187.69324</v>
      </c>
      <c r="B9750" s="126">
        <f>IFERROR(__xludf.DUMMYFUNCTION("""COMPUTED_VALUE"""),46187.0)</f>
        <v>46187</v>
      </c>
      <c r="C9750" s="122" t="str">
        <f>IFERROR(__xludf.DUMMYFUNCTION("""COMPUTED_VALUE"""),"VRSE")</f>
        <v>VRSE</v>
      </c>
      <c r="D9750" s="122" t="str">
        <f>IFERROR(__xludf.DUMMYFUNCTION("""COMPUTED_VALUE"""),"VerseVR")</f>
        <v>VerseVR</v>
      </c>
      <c r="E9750" s="122">
        <f>IFERROR(__xludf.DUMMYFUNCTION("""COMPUTED_VALUE"""),145.99)</f>
        <v>145.99</v>
      </c>
      <c r="F9750" s="122">
        <f>IFERROR(__xludf.DUMMYFUNCTION("""COMPUTED_VALUE"""),-0.0061)</f>
        <v>-0.0061</v>
      </c>
    </row>
    <row r="9751">
      <c r="A9751" s="131">
        <f>IFERROR(__xludf.DUMMYFUNCTION("""COMPUTED_VALUE"""),46187.693240740744)</f>
        <v>46187.69324</v>
      </c>
      <c r="B9751" s="126">
        <f>IFERROR(__xludf.DUMMYFUNCTION("""COMPUTED_VALUE"""),46187.0)</f>
        <v>46187</v>
      </c>
      <c r="C9751" s="122" t="str">
        <f>IFERROR(__xludf.DUMMYFUNCTION("""COMPUTED_VALUE"""),"BYTE")</f>
        <v>BYTE</v>
      </c>
      <c r="D9751" s="122" t="str">
        <f>IFERROR(__xludf.DUMMYFUNCTION("""COMPUTED_VALUE"""),"ByteWorks")</f>
        <v>ByteWorks</v>
      </c>
      <c r="E9751" s="122">
        <f>IFERROR(__xludf.DUMMYFUNCTION("""COMPUTED_VALUE"""),112.6)</f>
        <v>112.6</v>
      </c>
      <c r="F9751" s="122">
        <f>IFERROR(__xludf.DUMMYFUNCTION("""COMPUTED_VALUE"""),0.0088)</f>
        <v>0.0088</v>
      </c>
    </row>
    <row r="9752">
      <c r="A9752" s="131">
        <f>IFERROR(__xludf.DUMMYFUNCTION("""COMPUTED_VALUE"""),46187.693240740744)</f>
        <v>46187.69324</v>
      </c>
      <c r="B9752" s="126">
        <f>IFERROR(__xludf.DUMMYFUNCTION("""COMPUTED_VALUE"""),46187.0)</f>
        <v>46187</v>
      </c>
      <c r="C9752" s="122" t="str">
        <f>IFERROR(__xludf.DUMMYFUNCTION("""COMPUTED_VALUE"""),"BANK")</f>
        <v>BANK</v>
      </c>
      <c r="D9752" s="122" t="str">
        <f>IFERROR(__xludf.DUMMYFUNCTION("""COMPUTED_VALUE"""),"Tiger Bank")</f>
        <v>Tiger Bank</v>
      </c>
      <c r="E9752" s="122">
        <f>IFERROR(__xludf.DUMMYFUNCTION("""COMPUTED_VALUE"""),133.4)</f>
        <v>133.4</v>
      </c>
      <c r="F9752" s="122">
        <f>IFERROR(__xludf.DUMMYFUNCTION("""COMPUTED_VALUE"""),-0.0022)</f>
        <v>-0.0022</v>
      </c>
    </row>
    <row r="9753">
      <c r="A9753" s="131">
        <f>IFERROR(__xludf.DUMMYFUNCTION("""COMPUTED_VALUE"""),46187.693240740744)</f>
        <v>46187.69324</v>
      </c>
      <c r="B9753" s="126">
        <f>IFERROR(__xludf.DUMMYFUNCTION("""COMPUTED_VALUE"""),46187.0)</f>
        <v>46187</v>
      </c>
      <c r="C9753" s="122" t="str">
        <f>IFERROR(__xludf.DUMMYFUNCTION("""COMPUTED_VALUE"""),"CRED")</f>
        <v>CRED</v>
      </c>
      <c r="D9753" s="122" t="str">
        <f>IFERROR(__xludf.DUMMYFUNCTION("""COMPUTED_VALUE"""),"Credit Castle")</f>
        <v>Credit Castle</v>
      </c>
      <c r="E9753" s="122">
        <f>IFERROR(__xludf.DUMMYFUNCTION("""COMPUTED_VALUE"""),67.78)</f>
        <v>67.78</v>
      </c>
      <c r="F9753" s="122">
        <f>IFERROR(__xludf.DUMMYFUNCTION("""COMPUTED_VALUE"""),3.0E-4)</f>
        <v>0.0003</v>
      </c>
    </row>
    <row r="9754">
      <c r="A9754" s="131">
        <f>IFERROR(__xludf.DUMMYFUNCTION("""COMPUTED_VALUE"""),46187.693240740744)</f>
        <v>46187.69324</v>
      </c>
      <c r="B9754" s="126">
        <f>IFERROR(__xludf.DUMMYFUNCTION("""COMPUTED_VALUE"""),46187.0)</f>
        <v>46187</v>
      </c>
      <c r="C9754" s="122" t="str">
        <f>IFERROR(__xludf.DUMMYFUNCTION("""COMPUTED_VALUE"""),"BOND")</f>
        <v>BOND</v>
      </c>
      <c r="D9754" s="122" t="str">
        <f>IFERROR(__xludf.DUMMYFUNCTION("""COMPUTED_VALUE"""),"BondBridge")</f>
        <v>BondBridge</v>
      </c>
      <c r="E9754" s="122">
        <f>IFERROR(__xludf.DUMMYFUNCTION("""COMPUTED_VALUE"""),107.4)</f>
        <v>107.4</v>
      </c>
      <c r="F9754" s="122">
        <f>IFERROR(__xludf.DUMMYFUNCTION("""COMPUTED_VALUE"""),1.0E-4)</f>
        <v>0.0001</v>
      </c>
    </row>
    <row r="9755">
      <c r="A9755" s="131">
        <f>IFERROR(__xludf.DUMMYFUNCTION("""COMPUTED_VALUE"""),46187.693240740744)</f>
        <v>46187.69324</v>
      </c>
      <c r="B9755" s="126">
        <f>IFERROR(__xludf.DUMMYFUNCTION("""COMPUTED_VALUE"""),46187.0)</f>
        <v>46187</v>
      </c>
      <c r="C9755" s="122" t="str">
        <f>IFERROR(__xludf.DUMMYFUNCTION("""COMPUTED_VALUE"""),"INSR")</f>
        <v>INSR</v>
      </c>
      <c r="D9755" s="122" t="str">
        <f>IFERROR(__xludf.DUMMYFUNCTION("""COMPUTED_VALUE"""),"Shield Insurance")</f>
        <v>Shield Insurance</v>
      </c>
      <c r="E9755" s="122">
        <f>IFERROR(__xludf.DUMMYFUNCTION("""COMPUTED_VALUE"""),158.58)</f>
        <v>158.58</v>
      </c>
      <c r="F9755" s="122">
        <f>IFERROR(__xludf.DUMMYFUNCTION("""COMPUTED_VALUE"""),2.0E-4)</f>
        <v>0.0002</v>
      </c>
    </row>
    <row r="9756">
      <c r="A9756" s="131">
        <f>IFERROR(__xludf.DUMMYFUNCTION("""COMPUTED_VALUE"""),46187.693240740744)</f>
        <v>46187.69324</v>
      </c>
      <c r="B9756" s="126">
        <f>IFERROR(__xludf.DUMMYFUNCTION("""COMPUTED_VALUE"""),46187.0)</f>
        <v>46187</v>
      </c>
      <c r="C9756" s="122" t="str">
        <f>IFERROR(__xludf.DUMMYFUNCTION("""COMPUTED_VALUE"""),"LOAN")</f>
        <v>LOAN</v>
      </c>
      <c r="D9756" s="122" t="str">
        <f>IFERROR(__xludf.DUMMYFUNCTION("""COMPUTED_VALUE"""),"LoanLab")</f>
        <v>LoanLab</v>
      </c>
      <c r="E9756" s="122">
        <f>IFERROR(__xludf.DUMMYFUNCTION("""COMPUTED_VALUE"""),75.46)</f>
        <v>75.46</v>
      </c>
      <c r="F9756" s="122">
        <f>IFERROR(__xludf.DUMMYFUNCTION("""COMPUTED_VALUE"""),0.0063)</f>
        <v>0.0063</v>
      </c>
    </row>
    <row r="9757">
      <c r="A9757" s="131">
        <f>IFERROR(__xludf.DUMMYFUNCTION("""COMPUTED_VALUE"""),46187.693240740744)</f>
        <v>46187.69324</v>
      </c>
      <c r="B9757" s="126">
        <f>IFERROR(__xludf.DUMMYFUNCTION("""COMPUTED_VALUE"""),46187.0)</f>
        <v>46187</v>
      </c>
      <c r="C9757" s="122" t="str">
        <f>IFERROR(__xludf.DUMMYFUNCTION("""COMPUTED_VALUE"""),"LUXE")</f>
        <v>LUXE</v>
      </c>
      <c r="D9757" s="122" t="str">
        <f>IFERROR(__xludf.DUMMYFUNCTION("""COMPUTED_VALUE"""),"Luxury Locker")</f>
        <v>Luxury Locker</v>
      </c>
      <c r="E9757" s="122">
        <f>IFERROR(__xludf.DUMMYFUNCTION("""COMPUTED_VALUE"""),270.6)</f>
        <v>270.6</v>
      </c>
      <c r="F9757" s="122">
        <f>IFERROR(__xludf.DUMMYFUNCTION("""COMPUTED_VALUE"""),0.006)</f>
        <v>0.006</v>
      </c>
    </row>
    <row r="9758">
      <c r="A9758" s="131">
        <f>IFERROR(__xludf.DUMMYFUNCTION("""COMPUTED_VALUE"""),46187.693240740744)</f>
        <v>46187.69324</v>
      </c>
      <c r="B9758" s="126">
        <f>IFERROR(__xludf.DUMMYFUNCTION("""COMPUTED_VALUE"""),46187.0)</f>
        <v>46187</v>
      </c>
      <c r="C9758" s="122" t="str">
        <f>IFERROR(__xludf.DUMMYFUNCTION("""COMPUTED_VALUE"""),"DRIP")</f>
        <v>DRIP</v>
      </c>
      <c r="D9758" s="122" t="str">
        <f>IFERROR(__xludf.DUMMYFUNCTION("""COMPUTED_VALUE"""),"Drip Streetwear")</f>
        <v>Drip Streetwear</v>
      </c>
      <c r="E9758" s="122">
        <f>IFERROR(__xludf.DUMMYFUNCTION("""COMPUTED_VALUE"""),192.35)</f>
        <v>192.35</v>
      </c>
      <c r="F9758" s="122">
        <f>IFERROR(__xludf.DUMMYFUNCTION("""COMPUTED_VALUE"""),-0.0069)</f>
        <v>-0.0069</v>
      </c>
    </row>
    <row r="9759">
      <c r="A9759" s="131">
        <f>IFERROR(__xludf.DUMMYFUNCTION("""COMPUTED_VALUE"""),46187.693240740744)</f>
        <v>46187.69324</v>
      </c>
      <c r="B9759" s="126">
        <f>IFERROR(__xludf.DUMMYFUNCTION("""COMPUTED_VALUE"""),46187.0)</f>
        <v>46187</v>
      </c>
      <c r="C9759" s="122" t="str">
        <f>IFERROR(__xludf.DUMMYFUNCTION("""COMPUTED_VALUE"""),"KICK")</f>
        <v>KICK</v>
      </c>
      <c r="D9759" s="122" t="str">
        <f>IFERROR(__xludf.DUMMYFUNCTION("""COMPUTED_VALUE"""),"KickDrop Sneakers")</f>
        <v>KickDrop Sneakers</v>
      </c>
      <c r="E9759" s="122">
        <f>IFERROR(__xludf.DUMMYFUNCTION("""COMPUTED_VALUE"""),170.17)</f>
        <v>170.17</v>
      </c>
      <c r="F9759" s="122">
        <f>IFERROR(__xludf.DUMMYFUNCTION("""COMPUTED_VALUE"""),-0.008)</f>
        <v>-0.008</v>
      </c>
    </row>
    <row r="9760">
      <c r="A9760" s="131">
        <f>IFERROR(__xludf.DUMMYFUNCTION("""COMPUTED_VALUE"""),46187.693240740744)</f>
        <v>46187.69324</v>
      </c>
      <c r="B9760" s="126">
        <f>IFERROR(__xludf.DUMMYFUNCTION("""COMPUTED_VALUE"""),46187.0)</f>
        <v>46187</v>
      </c>
      <c r="C9760" s="122" t="str">
        <f>IFERROR(__xludf.DUMMYFUNCTION("""COMPUTED_VALUE"""),"GLAM")</f>
        <v>GLAM</v>
      </c>
      <c r="D9760" s="122" t="str">
        <f>IFERROR(__xludf.DUMMYFUNCTION("""COMPUTED_VALUE"""),"Glow Cosmetics")</f>
        <v>Glow Cosmetics</v>
      </c>
      <c r="E9760" s="122">
        <f>IFERROR(__xludf.DUMMYFUNCTION("""COMPUTED_VALUE"""),112.36)</f>
        <v>112.36</v>
      </c>
      <c r="F9760" s="122">
        <f>IFERROR(__xludf.DUMMYFUNCTION("""COMPUTED_VALUE"""),0.005)</f>
        <v>0.005</v>
      </c>
    </row>
    <row r="9761">
      <c r="A9761" s="131">
        <f>IFERROR(__xludf.DUMMYFUNCTION("""COMPUTED_VALUE"""),46187.693240740744)</f>
        <v>46187.69324</v>
      </c>
      <c r="B9761" s="126">
        <f>IFERROR(__xludf.DUMMYFUNCTION("""COMPUTED_VALUE"""),46187.0)</f>
        <v>46187</v>
      </c>
      <c r="C9761" s="122" t="str">
        <f>IFERROR(__xludf.DUMMYFUNCTION("""COMPUTED_VALUE"""),"BAGG")</f>
        <v>BAGG</v>
      </c>
      <c r="D9761" s="122" t="str">
        <f>IFERROR(__xludf.DUMMYFUNCTION("""COMPUTED_VALUE"""),"BagVault")</f>
        <v>BagVault</v>
      </c>
      <c r="E9761" s="122">
        <f>IFERROR(__xludf.DUMMYFUNCTION("""COMPUTED_VALUE"""),278.15)</f>
        <v>278.15</v>
      </c>
      <c r="F9761" s="122">
        <f>IFERROR(__xludf.DUMMYFUNCTION("""COMPUTED_VALUE"""),-0.0058)</f>
        <v>-0.0058</v>
      </c>
    </row>
    <row r="9762">
      <c r="A9762" s="131">
        <f>IFERROR(__xludf.DUMMYFUNCTION("""COMPUTED_VALUE"""),46187.693240740744)</f>
        <v>46187.69324</v>
      </c>
      <c r="B9762" s="126">
        <f>IFERROR(__xludf.DUMMYFUNCTION("""COMPUTED_VALUE"""),46187.0)</f>
        <v>46187</v>
      </c>
      <c r="C9762" s="122" t="str">
        <f>IFERROR(__xludf.DUMMYFUNCTION("""COMPUTED_VALUE"""),"FAST")</f>
        <v>FAST</v>
      </c>
      <c r="D9762" s="122" t="str">
        <f>IFERROR(__xludf.DUMMYFUNCTION("""COMPUTED_VALUE"""),"Flash Logistics")</f>
        <v>Flash Logistics</v>
      </c>
      <c r="E9762" s="122">
        <f>IFERROR(__xludf.DUMMYFUNCTION("""COMPUTED_VALUE"""),110.05)</f>
        <v>110.05</v>
      </c>
      <c r="F9762" s="122">
        <f>IFERROR(__xludf.DUMMYFUNCTION("""COMPUTED_VALUE"""),0.0038)</f>
        <v>0.0038</v>
      </c>
    </row>
    <row r="9763">
      <c r="A9763" s="131">
        <f>IFERROR(__xludf.DUMMYFUNCTION("""COMPUTED_VALUE"""),46187.693240740744)</f>
        <v>46187.69324</v>
      </c>
      <c r="B9763" s="126">
        <f>IFERROR(__xludf.DUMMYFUNCTION("""COMPUTED_VALUE"""),46187.0)</f>
        <v>46187</v>
      </c>
      <c r="C9763" s="122" t="str">
        <f>IFERROR(__xludf.DUMMYFUNCTION("""COMPUTED_VALUE"""),"SHIP")</f>
        <v>SHIP</v>
      </c>
      <c r="D9763" s="122" t="str">
        <f>IFERROR(__xludf.DUMMYFUNCTION("""COMPUTED_VALUE"""),"Seoul Shipping")</f>
        <v>Seoul Shipping</v>
      </c>
      <c r="E9763" s="122">
        <f>IFERROR(__xludf.DUMMYFUNCTION("""COMPUTED_VALUE"""),132.03)</f>
        <v>132.03</v>
      </c>
      <c r="F9763" s="122">
        <f>IFERROR(__xludf.DUMMYFUNCTION("""COMPUTED_VALUE"""),0.006)</f>
        <v>0.006</v>
      </c>
    </row>
    <row r="9764">
      <c r="A9764" s="131">
        <f>IFERROR(__xludf.DUMMYFUNCTION("""COMPUTED_VALUE"""),46187.693240740744)</f>
        <v>46187.69324</v>
      </c>
      <c r="B9764" s="126">
        <f>IFERROR(__xludf.DUMMYFUNCTION("""COMPUTED_VALUE"""),46187.0)</f>
        <v>46187</v>
      </c>
      <c r="C9764" s="122" t="str">
        <f>IFERROR(__xludf.DUMMYFUNCTION("""COMPUTED_VALUE"""),"DRON")</f>
        <v>DRON</v>
      </c>
      <c r="D9764" s="122" t="str">
        <f>IFERROR(__xludf.DUMMYFUNCTION("""COMPUTED_VALUE"""),"DroneDrop")</f>
        <v>DroneDrop</v>
      </c>
      <c r="E9764" s="122">
        <f>IFERROR(__xludf.DUMMYFUNCTION("""COMPUTED_VALUE"""),121.69)</f>
        <v>121.69</v>
      </c>
      <c r="F9764" s="122">
        <f>IFERROR(__xludf.DUMMYFUNCTION("""COMPUTED_VALUE"""),-0.0038)</f>
        <v>-0.0038</v>
      </c>
    </row>
    <row r="9765">
      <c r="A9765" s="131">
        <f>IFERROR(__xludf.DUMMYFUNCTION("""COMPUTED_VALUE"""),46187.693240740744)</f>
        <v>46187.69324</v>
      </c>
      <c r="B9765" s="126">
        <f>IFERROR(__xludf.DUMMYFUNCTION("""COMPUTED_VALUE"""),46187.0)</f>
        <v>46187</v>
      </c>
      <c r="C9765" s="122" t="str">
        <f>IFERROR(__xludf.DUMMYFUNCTION("""COMPUTED_VALUE"""),"RIDE")</f>
        <v>RIDE</v>
      </c>
      <c r="D9765" s="122" t="str">
        <f>IFERROR(__xludf.DUMMYFUNCTION("""COMPUTED_VALUE"""),"QuickRide")</f>
        <v>QuickRide</v>
      </c>
      <c r="E9765" s="122">
        <f>IFERROR(__xludf.DUMMYFUNCTION("""COMPUTED_VALUE"""),97.72)</f>
        <v>97.72</v>
      </c>
      <c r="F9765" s="122">
        <f>IFERROR(__xludf.DUMMYFUNCTION("""COMPUTED_VALUE"""),-0.0035)</f>
        <v>-0.0035</v>
      </c>
    </row>
    <row r="9766">
      <c r="A9766" s="131">
        <f>IFERROR(__xludf.DUMMYFUNCTION("""COMPUTED_VALUE"""),46187.693240740744)</f>
        <v>46187.69324</v>
      </c>
      <c r="B9766" s="126">
        <f>IFERROR(__xludf.DUMMYFUNCTION("""COMPUTED_VALUE"""),46187.0)</f>
        <v>46187</v>
      </c>
      <c r="C9766" s="122" t="str">
        <f>IFERROR(__xludf.DUMMYFUNCTION("""COMPUTED_VALUE"""),"RAIL")</f>
        <v>RAIL</v>
      </c>
      <c r="D9766" s="122" t="str">
        <f>IFERROR(__xludf.DUMMYFUNCTION("""COMPUTED_VALUE"""),"MetroRail Corp")</f>
        <v>MetroRail Corp</v>
      </c>
      <c r="E9766" s="122">
        <f>IFERROR(__xludf.DUMMYFUNCTION("""COMPUTED_VALUE"""),129.84)</f>
        <v>129.84</v>
      </c>
      <c r="F9766" s="122">
        <f>IFERROR(__xludf.DUMMYFUNCTION("""COMPUTED_VALUE"""),0.0018)</f>
        <v>0.0018</v>
      </c>
    </row>
    <row r="9767">
      <c r="A9767" s="131">
        <f>IFERROR(__xludf.DUMMYFUNCTION("""COMPUTED_VALUE"""),46187.693240740744)</f>
        <v>46187.69324</v>
      </c>
      <c r="B9767" s="126">
        <f>IFERROR(__xludf.DUMMYFUNCTION("""COMPUTED_VALUE"""),46187.0)</f>
        <v>46187</v>
      </c>
      <c r="C9767" s="122" t="str">
        <f>IFERROR(__xludf.DUMMYFUNCTION("""COMPUTED_VALUE"""),"MEDX")</f>
        <v>MEDX</v>
      </c>
      <c r="D9767" s="122" t="str">
        <f>IFERROR(__xludf.DUMMYFUNCTION("""COMPUTED_VALUE"""),"MediCore")</f>
        <v>MediCore</v>
      </c>
      <c r="E9767" s="122">
        <f>IFERROR(__xludf.DUMMYFUNCTION("""COMPUTED_VALUE"""),139.23)</f>
        <v>139.23</v>
      </c>
      <c r="F9767" s="122">
        <f>IFERROR(__xludf.DUMMYFUNCTION("""COMPUTED_VALUE"""),-0.0032)</f>
        <v>-0.0032</v>
      </c>
    </row>
    <row r="9768">
      <c r="A9768" s="131">
        <f>IFERROR(__xludf.DUMMYFUNCTION("""COMPUTED_VALUE"""),46187.693240740744)</f>
        <v>46187.69324</v>
      </c>
      <c r="B9768" s="126">
        <f>IFERROR(__xludf.DUMMYFUNCTION("""COMPUTED_VALUE"""),46187.0)</f>
        <v>46187</v>
      </c>
      <c r="C9768" s="122" t="str">
        <f>IFERROR(__xludf.DUMMYFUNCTION("""COMPUTED_VALUE"""),"GYMX")</f>
        <v>GYMX</v>
      </c>
      <c r="D9768" s="122" t="str">
        <f>IFERROR(__xludf.DUMMYFUNCTION("""COMPUTED_VALUE"""),"GymX Fitness")</f>
        <v>GymX Fitness</v>
      </c>
      <c r="E9768" s="122">
        <f>IFERROR(__xludf.DUMMYFUNCTION("""COMPUTED_VALUE"""),80.79)</f>
        <v>80.79</v>
      </c>
      <c r="F9768" s="122">
        <f>IFERROR(__xludf.DUMMYFUNCTION("""COMPUTED_VALUE"""),0.0011)</f>
        <v>0.0011</v>
      </c>
    </row>
    <row r="9769">
      <c r="A9769" s="131">
        <f>IFERROR(__xludf.DUMMYFUNCTION("""COMPUTED_VALUE"""),46187.693240740744)</f>
        <v>46187.69324</v>
      </c>
      <c r="B9769" s="126">
        <f>IFERROR(__xludf.DUMMYFUNCTION("""COMPUTED_VALUE"""),46187.0)</f>
        <v>46187</v>
      </c>
      <c r="C9769" s="122" t="str">
        <f>IFERROR(__xludf.DUMMYFUNCTION("""COMPUTED_VALUE"""),"VITA")</f>
        <v>VITA</v>
      </c>
      <c r="D9769" s="122" t="str">
        <f>IFERROR(__xludf.DUMMYFUNCTION("""COMPUTED_VALUE"""),"VitaPlus")</f>
        <v>VitaPlus</v>
      </c>
      <c r="E9769" s="122">
        <f>IFERROR(__xludf.DUMMYFUNCTION("""COMPUTED_VALUE"""),71.57)</f>
        <v>71.57</v>
      </c>
      <c r="F9769" s="122">
        <f>IFERROR(__xludf.DUMMYFUNCTION("""COMPUTED_VALUE"""),-0.0014)</f>
        <v>-0.0014</v>
      </c>
    </row>
    <row r="9770">
      <c r="A9770" s="131">
        <f>IFERROR(__xludf.DUMMYFUNCTION("""COMPUTED_VALUE"""),46187.693240740744)</f>
        <v>46187.69324</v>
      </c>
      <c r="B9770" s="126">
        <f>IFERROR(__xludf.DUMMYFUNCTION("""COMPUTED_VALUE"""),46187.0)</f>
        <v>46187</v>
      </c>
      <c r="C9770" s="122" t="str">
        <f>IFERROR(__xludf.DUMMYFUNCTION("""COMPUTED_VALUE"""),"CARE")</f>
        <v>CARE</v>
      </c>
      <c r="D9770" s="122" t="str">
        <f>IFERROR(__xludf.DUMMYFUNCTION("""COMPUTED_VALUE"""),"CareCloud")</f>
        <v>CareCloud</v>
      </c>
      <c r="E9770" s="122">
        <f>IFERROR(__xludf.DUMMYFUNCTION("""COMPUTED_VALUE"""),186.18)</f>
        <v>186.18</v>
      </c>
      <c r="F9770" s="122">
        <f>IFERROR(__xludf.DUMMYFUNCTION("""COMPUTED_VALUE"""),0.0038)</f>
        <v>0.0038</v>
      </c>
    </row>
    <row r="9771">
      <c r="A9771" s="131">
        <f>IFERROR(__xludf.DUMMYFUNCTION("""COMPUTED_VALUE"""),46187.693240740744)</f>
        <v>46187.69324</v>
      </c>
      <c r="B9771" s="126">
        <f>IFERROR(__xludf.DUMMYFUNCTION("""COMPUTED_VALUE"""),46187.0)</f>
        <v>46187</v>
      </c>
      <c r="C9771" s="122" t="str">
        <f>IFERROR(__xludf.DUMMYFUNCTION("""COMPUTED_VALUE"""),"DENT")</f>
        <v>DENT</v>
      </c>
      <c r="D9771" s="122" t="str">
        <f>IFERROR(__xludf.DUMMYFUNCTION("""COMPUTED_VALUE"""),"SmileWorks")</f>
        <v>SmileWorks</v>
      </c>
      <c r="E9771" s="122">
        <f>IFERROR(__xludf.DUMMYFUNCTION("""COMPUTED_VALUE"""),100.09)</f>
        <v>100.09</v>
      </c>
      <c r="F9771" s="122">
        <f>IFERROR(__xludf.DUMMYFUNCTION("""COMPUTED_VALUE"""),9.0E-4)</f>
        <v>0.0009</v>
      </c>
    </row>
    <row r="9772">
      <c r="A9772" s="131">
        <f>IFERROR(__xludf.DUMMYFUNCTION("""COMPUTED_VALUE"""),46187.693240740744)</f>
        <v>46187.69324</v>
      </c>
      <c r="B9772" s="126">
        <f>IFERROR(__xludf.DUMMYFUNCTION("""COMPUTED_VALUE"""),46187.0)</f>
        <v>46187</v>
      </c>
      <c r="C9772" s="122" t="str">
        <f>IFERROR(__xludf.DUMMYFUNCTION("""COMPUTED_VALUE"""),"EDUX")</f>
        <v>EDUX</v>
      </c>
      <c r="D9772" s="122" t="str">
        <f>IFERROR(__xludf.DUMMYFUNCTION("""COMPUTED_VALUE"""),"EduMax Learning")</f>
        <v>EduMax Learning</v>
      </c>
      <c r="E9772" s="122">
        <f>IFERROR(__xludf.DUMMYFUNCTION("""COMPUTED_VALUE"""),155.29)</f>
        <v>155.29</v>
      </c>
      <c r="F9772" s="122">
        <f>IFERROR(__xludf.DUMMYFUNCTION("""COMPUTED_VALUE"""),-5.0E-4)</f>
        <v>-0.0005</v>
      </c>
    </row>
    <row r="9773">
      <c r="A9773" s="131">
        <f>IFERROR(__xludf.DUMMYFUNCTION("""COMPUTED_VALUE"""),46187.693240740744)</f>
        <v>46187.69324</v>
      </c>
      <c r="B9773" s="126">
        <f>IFERROR(__xludf.DUMMYFUNCTION("""COMPUTED_VALUE"""),46187.0)</f>
        <v>46187</v>
      </c>
      <c r="C9773" s="122" t="str">
        <f>IFERROR(__xludf.DUMMYFUNCTION("""COMPUTED_VALUE"""),"BOOK")</f>
        <v>BOOK</v>
      </c>
      <c r="D9773" s="122" t="str">
        <f>IFERROR(__xludf.DUMMYFUNCTION("""COMPUTED_VALUE"""),"BookBridge")</f>
        <v>BookBridge</v>
      </c>
      <c r="E9773" s="122">
        <f>IFERROR(__xludf.DUMMYFUNCTION("""COMPUTED_VALUE"""),121.18)</f>
        <v>121.18</v>
      </c>
      <c r="F9773" s="122">
        <f>IFERROR(__xludf.DUMMYFUNCTION("""COMPUTED_VALUE"""),0.0053)</f>
        <v>0.0053</v>
      </c>
    </row>
    <row r="9774">
      <c r="A9774" s="131">
        <f>IFERROR(__xludf.DUMMYFUNCTION("""COMPUTED_VALUE"""),46187.693240740744)</f>
        <v>46187.69324</v>
      </c>
      <c r="B9774" s="126">
        <f>IFERROR(__xludf.DUMMYFUNCTION("""COMPUTED_VALUE"""),46187.0)</f>
        <v>46187</v>
      </c>
      <c r="C9774" s="122" t="str">
        <f>IFERROR(__xludf.DUMMYFUNCTION("""COMPUTED_VALUE"""),"TUTR")</f>
        <v>TUTR</v>
      </c>
      <c r="D9774" s="122" t="str">
        <f>IFERROR(__xludf.DUMMYFUNCTION("""COMPUTED_VALUE"""),"TutorTown")</f>
        <v>TutorTown</v>
      </c>
      <c r="E9774" s="122">
        <f>IFERROR(__xludf.DUMMYFUNCTION("""COMPUTED_VALUE"""),93.71)</f>
        <v>93.71</v>
      </c>
      <c r="F9774" s="122">
        <f>IFERROR(__xludf.DUMMYFUNCTION("""COMPUTED_VALUE"""),-0.0039)</f>
        <v>-0.0039</v>
      </c>
    </row>
    <row r="9775">
      <c r="A9775" s="131">
        <f>IFERROR(__xludf.DUMMYFUNCTION("""COMPUTED_VALUE"""),46187.693240740744)</f>
        <v>46187.69324</v>
      </c>
      <c r="B9775" s="126">
        <f>IFERROR(__xludf.DUMMYFUNCTION("""COMPUTED_VALUE"""),46187.0)</f>
        <v>46187</v>
      </c>
      <c r="C9775" s="122" t="str">
        <f>IFERROR(__xludf.DUMMYFUNCTION("""COMPUTED_VALUE"""),"LANG")</f>
        <v>LANG</v>
      </c>
      <c r="D9775" s="122" t="str">
        <f>IFERROR(__xludf.DUMMYFUNCTION("""COMPUTED_VALUE"""),"LinguaLab")</f>
        <v>LinguaLab</v>
      </c>
      <c r="E9775" s="122">
        <f>IFERROR(__xludf.DUMMYFUNCTION("""COMPUTED_VALUE"""),103.57)</f>
        <v>103.57</v>
      </c>
      <c r="F9775" s="122">
        <f>IFERROR(__xludf.DUMMYFUNCTION("""COMPUTED_VALUE"""),-0.0025)</f>
        <v>-0.0025</v>
      </c>
    </row>
    <row r="9776">
      <c r="A9776" s="131">
        <f>IFERROR(__xludf.DUMMYFUNCTION("""COMPUTED_VALUE"""),46187.693240740744)</f>
        <v>46187.69324</v>
      </c>
      <c r="B9776" s="126">
        <f>IFERROR(__xludf.DUMMYFUNCTION("""COMPUTED_VALUE"""),46187.0)</f>
        <v>46187</v>
      </c>
      <c r="C9776" s="122" t="str">
        <f>IFERROR(__xludf.DUMMYFUNCTION("""COMPUTED_VALUE"""),"TEST")</f>
        <v>TEST</v>
      </c>
      <c r="D9776" s="122" t="str">
        <f>IFERROR(__xludf.DUMMYFUNCTION("""COMPUTED_VALUE"""),"TestPrep Pro")</f>
        <v>TestPrep Pro</v>
      </c>
      <c r="E9776" s="122">
        <f>IFERROR(__xludf.DUMMYFUNCTION("""COMPUTED_VALUE"""),86.67)</f>
        <v>86.67</v>
      </c>
      <c r="F9776" s="122">
        <f>IFERROR(__xludf.DUMMYFUNCTION("""COMPUTED_VALUE"""),0.0038)</f>
        <v>0.0038</v>
      </c>
    </row>
    <row r="9777">
      <c r="A9777" s="131">
        <f>IFERROR(__xludf.DUMMYFUNCTION("""COMPUTED_VALUE"""),46187.693240740744)</f>
        <v>46187.69324</v>
      </c>
      <c r="B9777" s="126">
        <f>IFERROR(__xludf.DUMMYFUNCTION("""COMPUTED_VALUE"""),46187.0)</f>
        <v>46187</v>
      </c>
      <c r="C9777" s="122" t="str">
        <f>IFERROR(__xludf.DUMMYFUNCTION("""COMPUTED_VALUE"""),"MOVI")</f>
        <v>MOVI</v>
      </c>
      <c r="D9777" s="122" t="str">
        <f>IFERROR(__xludf.DUMMYFUNCTION("""COMPUTED_VALUE"""),"MovieBox")</f>
        <v>MovieBox</v>
      </c>
      <c r="E9777" s="122">
        <f>IFERROR(__xludf.DUMMYFUNCTION("""COMPUTED_VALUE"""),83.5)</f>
        <v>83.5</v>
      </c>
      <c r="F9777" s="122">
        <f>IFERROR(__xludf.DUMMYFUNCTION("""COMPUTED_VALUE"""),-0.0075)</f>
        <v>-0.0075</v>
      </c>
    </row>
    <row r="9778">
      <c r="A9778" s="131">
        <f>IFERROR(__xludf.DUMMYFUNCTION("""COMPUTED_VALUE"""),46187.693240740744)</f>
        <v>46187.69324</v>
      </c>
      <c r="B9778" s="126">
        <f>IFERROR(__xludf.DUMMYFUNCTION("""COMPUTED_VALUE"""),46187.0)</f>
        <v>46187</v>
      </c>
      <c r="C9778" s="122" t="str">
        <f>IFERROR(__xludf.DUMMYFUNCTION("""COMPUTED_VALUE"""),"MUSC")</f>
        <v>MUSC</v>
      </c>
      <c r="D9778" s="122" t="str">
        <f>IFERROR(__xludf.DUMMYFUNCTION("""COMPUTED_VALUE"""),"MusicWave")</f>
        <v>MusicWave</v>
      </c>
      <c r="E9778" s="122">
        <f>IFERROR(__xludf.DUMMYFUNCTION("""COMPUTED_VALUE"""),103.02)</f>
        <v>103.02</v>
      </c>
      <c r="F9778" s="122">
        <f>IFERROR(__xludf.DUMMYFUNCTION("""COMPUTED_VALUE"""),0.0032)</f>
        <v>0.0032</v>
      </c>
    </row>
    <row r="9779">
      <c r="A9779" s="131">
        <f>IFERROR(__xludf.DUMMYFUNCTION("""COMPUTED_VALUE"""),46187.693240740744)</f>
        <v>46187.69324</v>
      </c>
      <c r="B9779" s="126">
        <f>IFERROR(__xludf.DUMMYFUNCTION("""COMPUTED_VALUE"""),46187.0)</f>
        <v>46187</v>
      </c>
      <c r="C9779" s="122" t="str">
        <f>IFERROR(__xludf.DUMMYFUNCTION("""COMPUTED_VALUE"""),"IDOL")</f>
        <v>IDOL</v>
      </c>
      <c r="D9779" s="122" t="str">
        <f>IFERROR(__xludf.DUMMYFUNCTION("""COMPUTED_VALUE"""),"Idol Agency")</f>
        <v>Idol Agency</v>
      </c>
      <c r="E9779" s="122">
        <f>IFERROR(__xludf.DUMMYFUNCTION("""COMPUTED_VALUE"""),187.19)</f>
        <v>187.19</v>
      </c>
      <c r="F9779" s="122">
        <f>IFERROR(__xludf.DUMMYFUNCTION("""COMPUTED_VALUE"""),-0.0041)</f>
        <v>-0.0041</v>
      </c>
    </row>
    <row r="9780">
      <c r="A9780" s="131">
        <f>IFERROR(__xludf.DUMMYFUNCTION("""COMPUTED_VALUE"""),46187.693240740744)</f>
        <v>46187.69324</v>
      </c>
      <c r="B9780" s="126">
        <f>IFERROR(__xludf.DUMMYFUNCTION("""COMPUTED_VALUE"""),46187.0)</f>
        <v>46187</v>
      </c>
      <c r="C9780" s="122" t="str">
        <f>IFERROR(__xludf.DUMMYFUNCTION("""COMPUTED_VALUE"""),"MEME")</f>
        <v>MEME</v>
      </c>
      <c r="D9780" s="122" t="str">
        <f>IFERROR(__xludf.DUMMYFUNCTION("""COMPUTED_VALUE"""),"Meme Media")</f>
        <v>Meme Media</v>
      </c>
      <c r="E9780" s="122">
        <f>IFERROR(__xludf.DUMMYFUNCTION("""COMPUTED_VALUE"""),75.62)</f>
        <v>75.62</v>
      </c>
      <c r="F9780" s="122">
        <f>IFERROR(__xludf.DUMMYFUNCTION("""COMPUTED_VALUE"""),0.0033)</f>
        <v>0.0033</v>
      </c>
    </row>
    <row r="9781">
      <c r="A9781" s="131">
        <f>IFERROR(__xludf.DUMMYFUNCTION("""COMPUTED_VALUE"""),46187.693240740744)</f>
        <v>46187.69324</v>
      </c>
      <c r="B9781" s="126">
        <f>IFERROR(__xludf.DUMMYFUNCTION("""COMPUTED_VALUE"""),46187.0)</f>
        <v>46187</v>
      </c>
      <c r="C9781" s="122" t="str">
        <f>IFERROR(__xludf.DUMMYFUNCTION("""COMPUTED_VALUE"""),"STRM")</f>
        <v>STRM</v>
      </c>
      <c r="D9781" s="122" t="str">
        <f>IFERROR(__xludf.DUMMYFUNCTION("""COMPUTED_VALUE"""),"Streamly")</f>
        <v>Streamly</v>
      </c>
      <c r="E9781" s="122">
        <f>IFERROR(__xludf.DUMMYFUNCTION("""COMPUTED_VALUE"""),128.45)</f>
        <v>128.45</v>
      </c>
      <c r="F9781" s="122">
        <f>IFERROR(__xludf.DUMMYFUNCTION("""COMPUTED_VALUE"""),-0.0096)</f>
        <v>-0.0096</v>
      </c>
    </row>
    <row r="9782">
      <c r="A9782" s="131">
        <f>IFERROR(__xludf.DUMMYFUNCTION("""COMPUTED_VALUE"""),46187.693240740744)</f>
        <v>46187.69324</v>
      </c>
      <c r="B9782" s="126">
        <f>IFERROR(__xludf.DUMMYFUNCTION("""COMPUTED_VALUE"""),46187.0)</f>
        <v>46187</v>
      </c>
      <c r="C9782" s="122" t="str">
        <f>IFERROR(__xludf.DUMMYFUNCTION("""COMPUTED_VALUE"""),"FARM")</f>
        <v>FARM</v>
      </c>
      <c r="D9782" s="122" t="str">
        <f>IFERROR(__xludf.DUMMYFUNCTION("""COMPUTED_VALUE"""),"Future Farms")</f>
        <v>Future Farms</v>
      </c>
      <c r="E9782" s="122">
        <f>IFERROR(__xludf.DUMMYFUNCTION("""COMPUTED_VALUE"""),101.95)</f>
        <v>101.95</v>
      </c>
      <c r="F9782" s="122">
        <f>IFERROR(__xludf.DUMMYFUNCTION("""COMPUTED_VALUE"""),0.0026)</f>
        <v>0.0026</v>
      </c>
    </row>
    <row r="9783">
      <c r="A9783" s="131">
        <f>IFERROR(__xludf.DUMMYFUNCTION("""COMPUTED_VALUE"""),46187.693240740744)</f>
        <v>46187.69324</v>
      </c>
      <c r="B9783" s="126">
        <f>IFERROR(__xludf.DUMMYFUNCTION("""COMPUTED_VALUE"""),46187.0)</f>
        <v>46187</v>
      </c>
      <c r="C9783" s="122" t="str">
        <f>IFERROR(__xludf.DUMMYFUNCTION("""COMPUTED_VALUE"""),"MEAT")</f>
        <v>MEAT</v>
      </c>
      <c r="D9783" s="122" t="str">
        <f>IFERROR(__xludf.DUMMYFUNCTION("""COMPUTED_VALUE"""),"MeatWorks")</f>
        <v>MeatWorks</v>
      </c>
      <c r="E9783" s="122">
        <f>IFERROR(__xludf.DUMMYFUNCTION("""COMPUTED_VALUE"""),104.72)</f>
        <v>104.72</v>
      </c>
      <c r="F9783" s="122">
        <f>IFERROR(__xludf.DUMMYFUNCTION("""COMPUTED_VALUE"""),-0.0053)</f>
        <v>-0.0053</v>
      </c>
    </row>
    <row r="9784">
      <c r="A9784" s="131">
        <f>IFERROR(__xludf.DUMMYFUNCTION("""COMPUTED_VALUE"""),46187.693240740744)</f>
        <v>46187.69324</v>
      </c>
      <c r="B9784" s="126">
        <f>IFERROR(__xludf.DUMMYFUNCTION("""COMPUTED_VALUE"""),46187.0)</f>
        <v>46187</v>
      </c>
      <c r="C9784" s="122" t="str">
        <f>IFERROR(__xludf.DUMMYFUNCTION("""COMPUTED_VALUE"""),"VEGI")</f>
        <v>VEGI</v>
      </c>
      <c r="D9784" s="122" t="str">
        <f>IFERROR(__xludf.DUMMYFUNCTION("""COMPUTED_VALUE"""),"Green Basket")</f>
        <v>Green Basket</v>
      </c>
      <c r="E9784" s="122">
        <f>IFERROR(__xludf.DUMMYFUNCTION("""COMPUTED_VALUE"""),76.67)</f>
        <v>76.67</v>
      </c>
      <c r="F9784" s="122">
        <f>IFERROR(__xludf.DUMMYFUNCTION("""COMPUTED_VALUE"""),-0.0049)</f>
        <v>-0.0049</v>
      </c>
    </row>
    <row r="9785">
      <c r="A9785" s="131">
        <f>IFERROR(__xludf.DUMMYFUNCTION("""COMPUTED_VALUE"""),46187.693240740744)</f>
        <v>46187.69324</v>
      </c>
      <c r="B9785" s="126">
        <f>IFERROR(__xludf.DUMMYFUNCTION("""COMPUTED_VALUE"""),46187.0)</f>
        <v>46187</v>
      </c>
      <c r="C9785" s="122" t="str">
        <f>IFERROR(__xludf.DUMMYFUNCTION("""COMPUTED_VALUE"""),"CAFE")</f>
        <v>CAFE</v>
      </c>
      <c r="D9785" s="122" t="str">
        <f>IFERROR(__xludf.DUMMYFUNCTION("""COMPUTED_VALUE"""),"Cafe Cloud")</f>
        <v>Cafe Cloud</v>
      </c>
      <c r="E9785" s="122">
        <f>IFERROR(__xludf.DUMMYFUNCTION("""COMPUTED_VALUE"""),105.91)</f>
        <v>105.91</v>
      </c>
      <c r="F9785" s="122">
        <f>IFERROR(__xludf.DUMMYFUNCTION("""COMPUTED_VALUE"""),0.0067)</f>
        <v>0.0067</v>
      </c>
    </row>
    <row r="9786">
      <c r="A9786" s="131">
        <f>IFERROR(__xludf.DUMMYFUNCTION("""COMPUTED_VALUE"""),46187.693240740744)</f>
        <v>46187.69324</v>
      </c>
      <c r="B9786" s="126">
        <f>IFERROR(__xludf.DUMMYFUNCTION("""COMPUTED_VALUE"""),46187.0)</f>
        <v>46187</v>
      </c>
      <c r="C9786" s="122" t="str">
        <f>IFERROR(__xludf.DUMMYFUNCTION("""COMPUTED_VALUE"""),"BAKE")</f>
        <v>BAKE</v>
      </c>
      <c r="D9786" s="122" t="str">
        <f>IFERROR(__xludf.DUMMYFUNCTION("""COMPUTED_VALUE"""),"BakeHouse")</f>
        <v>BakeHouse</v>
      </c>
      <c r="E9786" s="122">
        <f>IFERROR(__xludf.DUMMYFUNCTION("""COMPUTED_VALUE"""),99.39)</f>
        <v>99.39</v>
      </c>
      <c r="F9786" s="122">
        <f>IFERROR(__xludf.DUMMYFUNCTION("""COMPUTED_VALUE"""),-0.004)</f>
        <v>-0.004</v>
      </c>
    </row>
    <row r="9787">
      <c r="A9787" s="131">
        <f>IFERROR(__xludf.DUMMYFUNCTION("""COMPUTED_VALUE"""),46187.693240740744)</f>
        <v>46187.69324</v>
      </c>
      <c r="B9787" s="126">
        <f>IFERROR(__xludf.DUMMYFUNCTION("""COMPUTED_VALUE"""),46187.0)</f>
        <v>46187</v>
      </c>
      <c r="C9787" s="122" t="str">
        <f>IFERROR(__xludf.DUMMYFUNCTION("""COMPUTED_VALUE"""),"OILX")</f>
        <v>OILX</v>
      </c>
      <c r="D9787" s="122" t="str">
        <f>IFERROR(__xludf.DUMMYFUNCTION("""COMPUTED_VALUE"""),"OilMax Energy")</f>
        <v>OilMax Energy</v>
      </c>
      <c r="E9787" s="122">
        <f>IFERROR(__xludf.DUMMYFUNCTION("""COMPUTED_VALUE"""),133.98)</f>
        <v>133.98</v>
      </c>
      <c r="F9787" s="122">
        <f>IFERROR(__xludf.DUMMYFUNCTION("""COMPUTED_VALUE"""),-0.0019)</f>
        <v>-0.0019</v>
      </c>
    </row>
    <row r="9788">
      <c r="A9788" s="131">
        <f>IFERROR(__xludf.DUMMYFUNCTION("""COMPUTED_VALUE"""),46187.693240740744)</f>
        <v>46187.69324</v>
      </c>
      <c r="B9788" s="126">
        <f>IFERROR(__xludf.DUMMYFUNCTION("""COMPUTED_VALUE"""),46187.0)</f>
        <v>46187</v>
      </c>
      <c r="C9788" s="122" t="str">
        <f>IFERROR(__xludf.DUMMYFUNCTION("""COMPUTED_VALUE"""),"SOLR")</f>
        <v>SOLR</v>
      </c>
      <c r="D9788" s="122" t="str">
        <f>IFERROR(__xludf.DUMMYFUNCTION("""COMPUTED_VALUE"""),"SolarSpark")</f>
        <v>SolarSpark</v>
      </c>
      <c r="E9788" s="122">
        <f>IFERROR(__xludf.DUMMYFUNCTION("""COMPUTED_VALUE"""),110.2)</f>
        <v>110.2</v>
      </c>
      <c r="F9788" s="122">
        <f>IFERROR(__xludf.DUMMYFUNCTION("""COMPUTED_VALUE"""),0.0062)</f>
        <v>0.0062</v>
      </c>
    </row>
    <row r="9789">
      <c r="A9789" s="131">
        <f>IFERROR(__xludf.DUMMYFUNCTION("""COMPUTED_VALUE"""),46187.693240740744)</f>
        <v>46187.69324</v>
      </c>
      <c r="B9789" s="126">
        <f>IFERROR(__xludf.DUMMYFUNCTION("""COMPUTED_VALUE"""),46187.0)</f>
        <v>46187</v>
      </c>
      <c r="C9789" s="122" t="str">
        <f>IFERROR(__xludf.DUMMYFUNCTION("""COMPUTED_VALUE"""),"BATT")</f>
        <v>BATT</v>
      </c>
      <c r="D9789" s="122" t="str">
        <f>IFERROR(__xludf.DUMMYFUNCTION("""COMPUTED_VALUE"""),"BatteryBox")</f>
        <v>BatteryBox</v>
      </c>
      <c r="E9789" s="122">
        <f>IFERROR(__xludf.DUMMYFUNCTION("""COMPUTED_VALUE"""),117.22)</f>
        <v>117.22</v>
      </c>
      <c r="F9789" s="122">
        <f>IFERROR(__xludf.DUMMYFUNCTION("""COMPUTED_VALUE"""),-0.0106)</f>
        <v>-0.0106</v>
      </c>
    </row>
    <row r="9790">
      <c r="A9790" s="131">
        <f>IFERROR(__xludf.DUMMYFUNCTION("""COMPUTED_VALUE"""),46187.693240740744)</f>
        <v>46187.69324</v>
      </c>
      <c r="B9790" s="126">
        <f>IFERROR(__xludf.DUMMYFUNCTION("""COMPUTED_VALUE"""),46187.0)</f>
        <v>46187</v>
      </c>
      <c r="C9790" s="122" t="str">
        <f>IFERROR(__xludf.DUMMYFUNCTION("""COMPUTED_VALUE"""),"WIND")</f>
        <v>WIND</v>
      </c>
      <c r="D9790" s="122" t="str">
        <f>IFERROR(__xludf.DUMMYFUNCTION("""COMPUTED_VALUE"""),"WindWorks")</f>
        <v>WindWorks</v>
      </c>
      <c r="E9790" s="122">
        <f>IFERROR(__xludf.DUMMYFUNCTION("""COMPUTED_VALUE"""),86.66)</f>
        <v>86.66</v>
      </c>
      <c r="F9790" s="122">
        <f>IFERROR(__xludf.DUMMYFUNCTION("""COMPUTED_VALUE"""),-0.0046)</f>
        <v>-0.0046</v>
      </c>
    </row>
    <row r="9791">
      <c r="A9791" s="131">
        <f>IFERROR(__xludf.DUMMYFUNCTION("""COMPUTED_VALUE"""),46187.693240740744)</f>
        <v>46187.69324</v>
      </c>
      <c r="B9791" s="126">
        <f>IFERROR(__xludf.DUMMYFUNCTION("""COMPUTED_VALUE"""),46187.0)</f>
        <v>46187</v>
      </c>
      <c r="C9791" s="122" t="str">
        <f>IFERROR(__xludf.DUMMYFUNCTION("""COMPUTED_VALUE"""),"GRID")</f>
        <v>GRID</v>
      </c>
      <c r="D9791" s="122" t="str">
        <f>IFERROR(__xludf.DUMMYFUNCTION("""COMPUTED_VALUE"""),"GridPower")</f>
        <v>GridPower</v>
      </c>
      <c r="E9791" s="122">
        <f>IFERROR(__xludf.DUMMYFUNCTION("""COMPUTED_VALUE"""),126.12)</f>
        <v>126.12</v>
      </c>
      <c r="F9791" s="122">
        <f>IFERROR(__xludf.DUMMYFUNCTION("""COMPUTED_VALUE"""),0.0033)</f>
        <v>0.0033</v>
      </c>
    </row>
    <row r="9792">
      <c r="A9792" s="131">
        <f>IFERROR(__xludf.DUMMYFUNCTION("""COMPUTED_VALUE"""),46187.693240740744)</f>
        <v>46187.69324</v>
      </c>
      <c r="B9792" s="126">
        <f>IFERROR(__xludf.DUMMYFUNCTION("""COMPUTED_VALUE"""),46187.0)</f>
        <v>46187</v>
      </c>
      <c r="C9792" s="122" t="str">
        <f>IFERROR(__xludf.DUMMYFUNCTION("""COMPUTED_VALUE"""),"HOME")</f>
        <v>HOME</v>
      </c>
      <c r="D9792" s="122" t="str">
        <f>IFERROR(__xludf.DUMMYFUNCTION("""COMPUTED_VALUE"""),"HomeHub")</f>
        <v>HomeHub</v>
      </c>
      <c r="E9792" s="122">
        <f>IFERROR(__xludf.DUMMYFUNCTION("""COMPUTED_VALUE"""),163.95)</f>
        <v>163.95</v>
      </c>
      <c r="F9792" s="122">
        <f>IFERROR(__xludf.DUMMYFUNCTION("""COMPUTED_VALUE"""),0.0016)</f>
        <v>0.0016</v>
      </c>
    </row>
    <row r="9793">
      <c r="A9793" s="131">
        <f>IFERROR(__xludf.DUMMYFUNCTION("""COMPUTED_VALUE"""),46187.693240740744)</f>
        <v>46187.69324</v>
      </c>
      <c r="B9793" s="126">
        <f>IFERROR(__xludf.DUMMYFUNCTION("""COMPUTED_VALUE"""),46187.0)</f>
        <v>46187</v>
      </c>
      <c r="C9793" s="122" t="str">
        <f>IFERROR(__xludf.DUMMYFUNCTION("""COMPUTED_VALUE"""),"RENT")</f>
        <v>RENT</v>
      </c>
      <c r="D9793" s="122" t="str">
        <f>IFERROR(__xludf.DUMMYFUNCTION("""COMPUTED_VALUE"""),"RentRight")</f>
        <v>RentRight</v>
      </c>
      <c r="E9793" s="122">
        <f>IFERROR(__xludf.DUMMYFUNCTION("""COMPUTED_VALUE"""),88.8)</f>
        <v>88.8</v>
      </c>
      <c r="F9793" s="122">
        <f>IFERROR(__xludf.DUMMYFUNCTION("""COMPUTED_VALUE"""),-0.0056)</f>
        <v>-0.0056</v>
      </c>
    </row>
    <row r="9794">
      <c r="A9794" s="131">
        <f>IFERROR(__xludf.DUMMYFUNCTION("""COMPUTED_VALUE"""),46187.693240740744)</f>
        <v>46187.69324</v>
      </c>
      <c r="B9794" s="126">
        <f>IFERROR(__xludf.DUMMYFUNCTION("""COMPUTED_VALUE"""),46187.0)</f>
        <v>46187</v>
      </c>
      <c r="C9794" s="122" t="str">
        <f>IFERROR(__xludf.DUMMYFUNCTION("""COMPUTED_VALUE"""),"MALL")</f>
        <v>MALL</v>
      </c>
      <c r="D9794" s="122" t="str">
        <f>IFERROR(__xludf.DUMMYFUNCTION("""COMPUTED_VALUE"""),"MegaMall")</f>
        <v>MegaMall</v>
      </c>
      <c r="E9794" s="122">
        <f>IFERROR(__xludf.DUMMYFUNCTION("""COMPUTED_VALUE"""),101.93)</f>
        <v>101.93</v>
      </c>
      <c r="F9794" s="122">
        <f>IFERROR(__xludf.DUMMYFUNCTION("""COMPUTED_VALUE"""),-0.0027)</f>
        <v>-0.0027</v>
      </c>
    </row>
    <row r="9795">
      <c r="A9795" s="131">
        <f>IFERROR(__xludf.DUMMYFUNCTION("""COMPUTED_VALUE"""),46187.693240740744)</f>
        <v>46187.69324</v>
      </c>
      <c r="B9795" s="126">
        <f>IFERROR(__xludf.DUMMYFUNCTION("""COMPUTED_VALUE"""),46187.0)</f>
        <v>46187</v>
      </c>
      <c r="C9795" s="122" t="str">
        <f>IFERROR(__xludf.DUMMYFUNCTION("""COMPUTED_VALUE"""),"HOTL")</f>
        <v>HOTL</v>
      </c>
      <c r="D9795" s="122" t="str">
        <f>IFERROR(__xludf.DUMMYFUNCTION("""COMPUTED_VALUE"""),"HotelHive")</f>
        <v>HotelHive</v>
      </c>
      <c r="E9795" s="122">
        <f>IFERROR(__xludf.DUMMYFUNCTION("""COMPUTED_VALUE"""),118.54)</f>
        <v>118.54</v>
      </c>
      <c r="F9795" s="122">
        <f>IFERROR(__xludf.DUMMYFUNCTION("""COMPUTED_VALUE"""),0.0073)</f>
        <v>0.0073</v>
      </c>
    </row>
    <row r="9796">
      <c r="A9796" s="131">
        <f>IFERROR(__xludf.DUMMYFUNCTION("""COMPUTED_VALUE"""),46187.693240740744)</f>
        <v>46187.69324</v>
      </c>
      <c r="B9796" s="126">
        <f>IFERROR(__xludf.DUMMYFUNCTION("""COMPUTED_VALUE"""),46187.0)</f>
        <v>46187</v>
      </c>
      <c r="C9796" s="122" t="str">
        <f>IFERROR(__xludf.DUMMYFUNCTION("""COMPUTED_VALUE"""),"LAND")</f>
        <v>LAND</v>
      </c>
      <c r="D9796" s="122" t="str">
        <f>IFERROR(__xludf.DUMMYFUNCTION("""COMPUTED_VALUE"""),"LandLink")</f>
        <v>LandLink</v>
      </c>
      <c r="E9796" s="122">
        <f>IFERROR(__xludf.DUMMYFUNCTION("""COMPUTED_VALUE"""),186.94)</f>
        <v>186.94</v>
      </c>
      <c r="F9796" s="122">
        <f>IFERROR(__xludf.DUMMYFUNCTION("""COMPUTED_VALUE"""),-0.004)</f>
        <v>-0.004</v>
      </c>
    </row>
    <row r="9797">
      <c r="A9797" s="131">
        <f>IFERROR(__xludf.DUMMYFUNCTION("""COMPUTED_VALUE"""),46187.693240740744)</f>
        <v>46187.69324</v>
      </c>
      <c r="B9797" s="126">
        <f>IFERROR(__xludf.DUMMYFUNCTION("""COMPUTED_VALUE"""),46187.0)</f>
        <v>46187</v>
      </c>
      <c r="C9797" s="122" t="str">
        <f>IFERROR(__xludf.DUMMYFUNCTION("""COMPUTED_VALUE"""),"CARS")</f>
        <v>CARS</v>
      </c>
      <c r="D9797" s="122" t="str">
        <f>IFERROR(__xludf.DUMMYFUNCTION("""COMPUTED_VALUE"""),"AutoArena")</f>
        <v>AutoArena</v>
      </c>
      <c r="E9797" s="122">
        <f>IFERROR(__xludf.DUMMYFUNCTION("""COMPUTED_VALUE"""),81.02)</f>
        <v>81.02</v>
      </c>
      <c r="F9797" s="122">
        <f>IFERROR(__xludf.DUMMYFUNCTION("""COMPUTED_VALUE"""),-0.0117)</f>
        <v>-0.0117</v>
      </c>
    </row>
    <row r="9798">
      <c r="A9798" s="131">
        <f>IFERROR(__xludf.DUMMYFUNCTION("""COMPUTED_VALUE"""),46187.693240740744)</f>
        <v>46187.69324</v>
      </c>
      <c r="B9798" s="126">
        <f>IFERROR(__xludf.DUMMYFUNCTION("""COMPUTED_VALUE"""),46187.0)</f>
        <v>46187</v>
      </c>
      <c r="C9798" s="122" t="str">
        <f>IFERROR(__xludf.DUMMYFUNCTION("""COMPUTED_VALUE"""),"EVGO")</f>
        <v>EVGO</v>
      </c>
      <c r="D9798" s="122" t="str">
        <f>IFERROR(__xludf.DUMMYFUNCTION("""COMPUTED_VALUE"""),"EVGo Motors")</f>
        <v>EVGo Motors</v>
      </c>
      <c r="E9798" s="122">
        <f>IFERROR(__xludf.DUMMYFUNCTION("""COMPUTED_VALUE"""),195.12)</f>
        <v>195.12</v>
      </c>
      <c r="F9798" s="122">
        <f>IFERROR(__xludf.DUMMYFUNCTION("""COMPUTED_VALUE"""),0.0076)</f>
        <v>0.0076</v>
      </c>
    </row>
    <row r="9799">
      <c r="A9799" s="131">
        <f>IFERROR(__xludf.DUMMYFUNCTION("""COMPUTED_VALUE"""),46187.693240740744)</f>
        <v>46187.69324</v>
      </c>
      <c r="B9799" s="126">
        <f>IFERROR(__xludf.DUMMYFUNCTION("""COMPUTED_VALUE"""),46187.0)</f>
        <v>46187</v>
      </c>
      <c r="C9799" s="122" t="str">
        <f>IFERROR(__xludf.DUMMYFUNCTION("""COMPUTED_VALUE"""),"TIRE")</f>
        <v>TIRE</v>
      </c>
      <c r="D9799" s="122" t="str">
        <f>IFERROR(__xludf.DUMMYFUNCTION("""COMPUTED_VALUE"""),"TireTown")</f>
        <v>TireTown</v>
      </c>
      <c r="E9799" s="122">
        <f>IFERROR(__xludf.DUMMYFUNCTION("""COMPUTED_VALUE"""),99.63)</f>
        <v>99.63</v>
      </c>
      <c r="F9799" s="122">
        <f>IFERROR(__xludf.DUMMYFUNCTION("""COMPUTED_VALUE"""),-0.0034)</f>
        <v>-0.0034</v>
      </c>
    </row>
    <row r="9800">
      <c r="A9800" s="131">
        <f>IFERROR(__xludf.DUMMYFUNCTION("""COMPUTED_VALUE"""),46187.693240740744)</f>
        <v>46187.69324</v>
      </c>
      <c r="B9800" s="126">
        <f>IFERROR(__xludf.DUMMYFUNCTION("""COMPUTED_VALUE"""),46187.0)</f>
        <v>46187</v>
      </c>
      <c r="C9800" s="122" t="str">
        <f>IFERROR(__xludf.DUMMYFUNCTION("""COMPUTED_VALUE"""),"BIKE")</f>
        <v>BIKE</v>
      </c>
      <c r="D9800" s="122" t="str">
        <f>IFERROR(__xludf.DUMMYFUNCTION("""COMPUTED_VALUE"""),"BikeBox")</f>
        <v>BikeBox</v>
      </c>
      <c r="E9800" s="122">
        <f>IFERROR(__xludf.DUMMYFUNCTION("""COMPUTED_VALUE"""),50.84)</f>
        <v>50.84</v>
      </c>
      <c r="F9800" s="122">
        <f>IFERROR(__xludf.DUMMYFUNCTION("""COMPUTED_VALUE"""),-0.0072)</f>
        <v>-0.0072</v>
      </c>
    </row>
    <row r="9801">
      <c r="A9801" s="131">
        <f>IFERROR(__xludf.DUMMYFUNCTION("""COMPUTED_VALUE"""),46187.693240740744)</f>
        <v>46187.69324</v>
      </c>
      <c r="B9801" s="126">
        <f>IFERROR(__xludf.DUMMYFUNCTION("""COMPUTED_VALUE"""),46187.0)</f>
        <v>46187</v>
      </c>
      <c r="C9801" s="122" t="str">
        <f>IFERROR(__xludf.DUMMYFUNCTION("""COMPUTED_VALUE"""),"WASH")</f>
        <v>WASH</v>
      </c>
      <c r="D9801" s="122" t="str">
        <f>IFERROR(__xludf.DUMMYFUNCTION("""COMPUTED_VALUE"""),"CarWash Co")</f>
        <v>CarWash Co</v>
      </c>
      <c r="E9801" s="122">
        <f>IFERROR(__xludf.DUMMYFUNCTION("""COMPUTED_VALUE"""),123.56)</f>
        <v>123.56</v>
      </c>
      <c r="F9801" s="122">
        <f>IFERROR(__xludf.DUMMYFUNCTION("""COMPUTED_VALUE"""),0.0041)</f>
        <v>0.0041</v>
      </c>
    </row>
    <row r="9802">
      <c r="A9802" s="131">
        <f>IFERROR(__xludf.DUMMYFUNCTION("""COMPUTED_VALUE"""),46187.693240740744)</f>
        <v>46187.69324</v>
      </c>
      <c r="B9802" s="126">
        <f>IFERROR(__xludf.DUMMYFUNCTION("""COMPUTED_VALUE"""),46187.0)</f>
        <v>46187</v>
      </c>
      <c r="C9802" s="122" t="str">
        <f>IFERROR(__xludf.DUMMYFUNCTION("""COMPUTED_VALUE"""),"GBND")</f>
        <v>GBND</v>
      </c>
      <c r="D9802" s="122" t="str">
        <f>IFERROR(__xludf.DUMMYFUNCTION("""COMPUTED_VALUE"""),"Classroom Government Bond")</f>
        <v>Classroom Government Bond</v>
      </c>
      <c r="E9802" s="122">
        <f>IFERROR(__xludf.DUMMYFUNCTION("""COMPUTED_VALUE"""),101.23)</f>
        <v>101.23</v>
      </c>
      <c r="F9802" s="122">
        <f>IFERROR(__xludf.DUMMYFUNCTION("""COMPUTED_VALUE"""),3.0E-4)</f>
        <v>0.0003</v>
      </c>
    </row>
    <row r="9803">
      <c r="A9803" s="131">
        <f>IFERROR(__xludf.DUMMYFUNCTION("""COMPUTED_VALUE"""),46187.693240740744)</f>
        <v>46187.69324</v>
      </c>
      <c r="B9803" s="126">
        <f>IFERROR(__xludf.DUMMYFUNCTION("""COMPUTED_VALUE"""),46187.0)</f>
        <v>46187</v>
      </c>
      <c r="C9803" s="122" t="str">
        <f>IFERROR(__xludf.DUMMYFUNCTION("""COMPUTED_VALUE"""),"SBND")</f>
        <v>SBND</v>
      </c>
      <c r="D9803" s="122" t="str">
        <f>IFERROR(__xludf.DUMMYFUNCTION("""COMPUTED_VALUE"""),"School Savings Bond")</f>
        <v>School Savings Bond</v>
      </c>
      <c r="E9803" s="122">
        <f>IFERROR(__xludf.DUMMYFUNCTION("""COMPUTED_VALUE"""),99.24)</f>
        <v>99.24</v>
      </c>
      <c r="F9803" s="122">
        <f>IFERROR(__xludf.DUMMYFUNCTION("""COMPUTED_VALUE"""),-2.0E-4)</f>
        <v>-0.0002</v>
      </c>
    </row>
    <row r="9804">
      <c r="A9804" s="131">
        <f>IFERROR(__xludf.DUMMYFUNCTION("""COMPUTED_VALUE"""),46187.693240740744)</f>
        <v>46187.69324</v>
      </c>
      <c r="B9804" s="126">
        <f>IFERROR(__xludf.DUMMYFUNCTION("""COMPUTED_VALUE"""),46187.0)</f>
        <v>46187</v>
      </c>
      <c r="C9804" s="122" t="str">
        <f>IFERROR(__xludf.DUMMYFUNCTION("""COMPUTED_VALUE"""),"CBND")</f>
        <v>CBND</v>
      </c>
      <c r="D9804" s="122" t="str">
        <f>IFERROR(__xludf.DUMMYFUNCTION("""COMPUTED_VALUE"""),"Corporate Classroom Bond")</f>
        <v>Corporate Classroom Bond</v>
      </c>
      <c r="E9804" s="122">
        <f>IFERROR(__xludf.DUMMYFUNCTION("""COMPUTED_VALUE"""),98.1)</f>
        <v>98.1</v>
      </c>
      <c r="F9804" s="122">
        <f>IFERROR(__xludf.DUMMYFUNCTION("""COMPUTED_VALUE"""),5.0E-4)</f>
        <v>0.0005</v>
      </c>
    </row>
    <row r="9805">
      <c r="A9805" s="131">
        <f>IFERROR(__xludf.DUMMYFUNCTION("""COMPUTED_VALUE"""),46187.693240740744)</f>
        <v>46187.69324</v>
      </c>
      <c r="B9805" s="126">
        <f>IFERROR(__xludf.DUMMYFUNCTION("""COMPUTED_VALUE"""),46187.0)</f>
        <v>46187</v>
      </c>
      <c r="C9805" s="122" t="str">
        <f>IFERROR(__xludf.DUMMYFUNCTION("""COMPUTED_VALUE"""),"TBIL")</f>
        <v>TBIL</v>
      </c>
      <c r="D9805" s="122" t="str">
        <f>IFERROR(__xludf.DUMMYFUNCTION("""COMPUTED_VALUE"""),"Treasury Bill")</f>
        <v>Treasury Bill</v>
      </c>
      <c r="E9805" s="122">
        <f>IFERROR(__xludf.DUMMYFUNCTION("""COMPUTED_VALUE"""),97.82)</f>
        <v>97.82</v>
      </c>
      <c r="F9805" s="122">
        <f>IFERROR(__xludf.DUMMYFUNCTION("""COMPUTED_VALUE"""),-2.0E-4)</f>
        <v>-0.0002</v>
      </c>
    </row>
    <row r="9806">
      <c r="A9806" s="131">
        <f>IFERROR(__xludf.DUMMYFUNCTION("""COMPUTED_VALUE"""),46187.693240740744)</f>
        <v>46187.69324</v>
      </c>
      <c r="B9806" s="126">
        <f>IFERROR(__xludf.DUMMYFUNCTION("""COMPUTED_VALUE"""),46187.0)</f>
        <v>46187</v>
      </c>
      <c r="C9806" s="122" t="str">
        <f>IFERROR(__xludf.DUMMYFUNCTION("""COMPUTED_VALUE"""),"IBND")</f>
        <v>IBND</v>
      </c>
      <c r="D9806" s="122" t="str">
        <f>IFERROR(__xludf.DUMMYFUNCTION("""COMPUTED_VALUE"""),"Inflation Protected Bond")</f>
        <v>Inflation Protected Bond</v>
      </c>
      <c r="E9806" s="122">
        <f>IFERROR(__xludf.DUMMYFUNCTION("""COMPUTED_VALUE"""),100.67)</f>
        <v>100.67</v>
      </c>
      <c r="F9806" s="122">
        <f>IFERROR(__xludf.DUMMYFUNCTION("""COMPUTED_VALUE"""),-2.0E-4)</f>
        <v>-0.0002</v>
      </c>
    </row>
    <row r="9807">
      <c r="A9807" s="131">
        <f>IFERROR(__xludf.DUMMYFUNCTION("""COMPUTED_VALUE"""),46187.69594907408)</f>
        <v>46187.69595</v>
      </c>
      <c r="B9807" s="126">
        <f>IFERROR(__xludf.DUMMYFUNCTION("""COMPUTED_VALUE"""),46187.0)</f>
        <v>46187</v>
      </c>
      <c r="C9807" s="122" t="str">
        <f>IFERROR(__xludf.DUMMYFUNCTION("""COMPUTED_VALUE"""),"SNAX")</f>
        <v>SNAX</v>
      </c>
      <c r="D9807" s="122" t="str">
        <f>IFERROR(__xludf.DUMMYFUNCTION("""COMPUTED_VALUE"""),"MICA Snacks")</f>
        <v>MICA Snacks</v>
      </c>
      <c r="E9807" s="122">
        <f>IFERROR(__xludf.DUMMYFUNCTION("""COMPUTED_VALUE"""),122.23)</f>
        <v>122.23</v>
      </c>
      <c r="F9807" s="122">
        <f>IFERROR(__xludf.DUMMYFUNCTION("""COMPUTED_VALUE"""),0.0027)</f>
        <v>0.0027</v>
      </c>
    </row>
    <row r="9808">
      <c r="A9808" s="131">
        <f>IFERROR(__xludf.DUMMYFUNCTION("""COMPUTED_VALUE"""),46187.69594907408)</f>
        <v>46187.69595</v>
      </c>
      <c r="B9808" s="126">
        <f>IFERROR(__xludf.DUMMYFUNCTION("""COMPUTED_VALUE"""),46187.0)</f>
        <v>46187</v>
      </c>
      <c r="C9808" s="122" t="str">
        <f>IFERROR(__xludf.DUMMYFUNCTION("""COMPUTED_VALUE"""),"RAMN")</f>
        <v>RAMN</v>
      </c>
      <c r="D9808" s="122" t="str">
        <f>IFERROR(__xludf.DUMMYFUNCTION("""COMPUTED_VALUE"""),"Ramen Republic")</f>
        <v>Ramen Republic</v>
      </c>
      <c r="E9808" s="122">
        <f>IFERROR(__xludf.DUMMYFUNCTION("""COMPUTED_VALUE"""),58.97)</f>
        <v>58.97</v>
      </c>
      <c r="F9808" s="122">
        <f>IFERROR(__xludf.DUMMYFUNCTION("""COMPUTED_VALUE"""),-0.0071)</f>
        <v>-0.0071</v>
      </c>
    </row>
    <row r="9809">
      <c r="A9809" s="131">
        <f>IFERROR(__xludf.DUMMYFUNCTION("""COMPUTED_VALUE"""),46187.69594907408)</f>
        <v>46187.69595</v>
      </c>
      <c r="B9809" s="126">
        <f>IFERROR(__xludf.DUMMYFUNCTION("""COMPUTED_VALUE"""),46187.0)</f>
        <v>46187</v>
      </c>
      <c r="C9809" s="122" t="str">
        <f>IFERROR(__xludf.DUMMYFUNCTION("""COMPUTED_VALUE"""),"COLA")</f>
        <v>COLA</v>
      </c>
      <c r="D9809" s="122" t="str">
        <f>IFERROR(__xludf.DUMMYFUNCTION("""COMPUTED_VALUE"""),"K-Pop Cola")</f>
        <v>K-Pop Cola</v>
      </c>
      <c r="E9809" s="122">
        <f>IFERROR(__xludf.DUMMYFUNCTION("""COMPUTED_VALUE"""),114.29)</f>
        <v>114.29</v>
      </c>
      <c r="F9809" s="122">
        <f>IFERROR(__xludf.DUMMYFUNCTION("""COMPUTED_VALUE"""),-0.0037)</f>
        <v>-0.0037</v>
      </c>
    </row>
    <row r="9810">
      <c r="A9810" s="131">
        <f>IFERROR(__xludf.DUMMYFUNCTION("""COMPUTED_VALUE"""),46187.69594907408)</f>
        <v>46187.69595</v>
      </c>
      <c r="B9810" s="126">
        <f>IFERROR(__xludf.DUMMYFUNCTION("""COMPUTED_VALUE"""),46187.0)</f>
        <v>46187</v>
      </c>
      <c r="C9810" s="122" t="str">
        <f>IFERROR(__xludf.DUMMYFUNCTION("""COMPUTED_VALUE"""),"CHIP")</f>
        <v>CHIP</v>
      </c>
      <c r="D9810" s="122" t="str">
        <f>IFERROR(__xludf.DUMMYFUNCTION("""COMPUTED_VALUE"""),"Chip Empire")</f>
        <v>Chip Empire</v>
      </c>
      <c r="E9810" s="122">
        <f>IFERROR(__xludf.DUMMYFUNCTION("""COMPUTED_VALUE"""),81.98)</f>
        <v>81.98</v>
      </c>
      <c r="F9810" s="122">
        <f>IFERROR(__xludf.DUMMYFUNCTION("""COMPUTED_VALUE"""),0.0086)</f>
        <v>0.0086</v>
      </c>
    </row>
    <row r="9811">
      <c r="A9811" s="131">
        <f>IFERROR(__xludf.DUMMYFUNCTION("""COMPUTED_VALUE"""),46187.69594907408)</f>
        <v>46187.69595</v>
      </c>
      <c r="B9811" s="126">
        <f>IFERROR(__xludf.DUMMYFUNCTION("""COMPUTED_VALUE"""),46187.0)</f>
        <v>46187</v>
      </c>
      <c r="C9811" s="122" t="str">
        <f>IFERROR(__xludf.DUMMYFUNCTION("""COMPUTED_VALUE"""),"CAND")</f>
        <v>CAND</v>
      </c>
      <c r="D9811" s="122" t="str">
        <f>IFERROR(__xludf.DUMMYFUNCTION("""COMPUTED_VALUE"""),"Candy Capital")</f>
        <v>Candy Capital</v>
      </c>
      <c r="E9811" s="122">
        <f>IFERROR(__xludf.DUMMYFUNCTION("""COMPUTED_VALUE"""),76.47)</f>
        <v>76.47</v>
      </c>
      <c r="F9811" s="122">
        <f>IFERROR(__xludf.DUMMYFUNCTION("""COMPUTED_VALUE"""),0.0087)</f>
        <v>0.0087</v>
      </c>
    </row>
    <row r="9812">
      <c r="A9812" s="131">
        <f>IFERROR(__xludf.DUMMYFUNCTION("""COMPUTED_VALUE"""),46187.69594907408)</f>
        <v>46187.69595</v>
      </c>
      <c r="B9812" s="126">
        <f>IFERROR(__xludf.DUMMYFUNCTION("""COMPUTED_VALUE"""),46187.0)</f>
        <v>46187</v>
      </c>
      <c r="C9812" s="122" t="str">
        <f>IFERROR(__xludf.DUMMYFUNCTION("""COMPUTED_VALUE"""),"TECH")</f>
        <v>TECH</v>
      </c>
      <c r="D9812" s="122" t="str">
        <f>IFERROR(__xludf.DUMMYFUNCTION("""COMPUTED_VALUE"""),"Dragon Tech")</f>
        <v>Dragon Tech</v>
      </c>
      <c r="E9812" s="122">
        <f>IFERROR(__xludf.DUMMYFUNCTION("""COMPUTED_VALUE"""),252.72)</f>
        <v>252.72</v>
      </c>
      <c r="F9812" s="122">
        <f>IFERROR(__xludf.DUMMYFUNCTION("""COMPUTED_VALUE"""),-0.0032)</f>
        <v>-0.0032</v>
      </c>
    </row>
    <row r="9813">
      <c r="A9813" s="131">
        <f>IFERROR(__xludf.DUMMYFUNCTION("""COMPUTED_VALUE"""),46187.69594907408)</f>
        <v>46187.69595</v>
      </c>
      <c r="B9813" s="126">
        <f>IFERROR(__xludf.DUMMYFUNCTION("""COMPUTED_VALUE"""),46187.0)</f>
        <v>46187</v>
      </c>
      <c r="C9813" s="122" t="str">
        <f>IFERROR(__xludf.DUMMYFUNCTION("""COMPUTED_VALUE"""),"AIBO")</f>
        <v>AIBO</v>
      </c>
      <c r="D9813" s="122" t="str">
        <f>IFERROR(__xludf.DUMMYFUNCTION("""COMPUTED_VALUE"""),"Homework AI")</f>
        <v>Homework AI</v>
      </c>
      <c r="E9813" s="122">
        <f>IFERROR(__xludf.DUMMYFUNCTION("""COMPUTED_VALUE"""),193.5)</f>
        <v>193.5</v>
      </c>
      <c r="F9813" s="122">
        <f>IFERROR(__xludf.DUMMYFUNCTION("""COMPUTED_VALUE"""),-0.0073)</f>
        <v>-0.0073</v>
      </c>
    </row>
    <row r="9814">
      <c r="A9814" s="131">
        <f>IFERROR(__xludf.DUMMYFUNCTION("""COMPUTED_VALUE"""),46187.69594907408)</f>
        <v>46187.69595</v>
      </c>
      <c r="B9814" s="126">
        <f>IFERROR(__xludf.DUMMYFUNCTION("""COMPUTED_VALUE"""),46187.0)</f>
        <v>46187</v>
      </c>
      <c r="C9814" s="122" t="str">
        <f>IFERROR(__xludf.DUMMYFUNCTION("""COMPUTED_VALUE"""),"GAME")</f>
        <v>GAME</v>
      </c>
      <c r="D9814" s="122" t="str">
        <f>IFERROR(__xludf.DUMMYFUNCTION("""COMPUTED_VALUE"""),"GameBox Media")</f>
        <v>GameBox Media</v>
      </c>
      <c r="E9814" s="122">
        <f>IFERROR(__xludf.DUMMYFUNCTION("""COMPUTED_VALUE"""),103.35)</f>
        <v>103.35</v>
      </c>
      <c r="F9814" s="122">
        <f>IFERROR(__xludf.DUMMYFUNCTION("""COMPUTED_VALUE"""),-7.0E-4)</f>
        <v>-0.0007</v>
      </c>
    </row>
    <row r="9815">
      <c r="A9815" s="131">
        <f>IFERROR(__xludf.DUMMYFUNCTION("""COMPUTED_VALUE"""),46187.69594907408)</f>
        <v>46187.69595</v>
      </c>
      <c r="B9815" s="126">
        <f>IFERROR(__xludf.DUMMYFUNCTION("""COMPUTED_VALUE"""),46187.0)</f>
        <v>46187</v>
      </c>
      <c r="C9815" s="122" t="str">
        <f>IFERROR(__xludf.DUMMYFUNCTION("""COMPUTED_VALUE"""),"VRSE")</f>
        <v>VRSE</v>
      </c>
      <c r="D9815" s="122" t="str">
        <f>IFERROR(__xludf.DUMMYFUNCTION("""COMPUTED_VALUE"""),"VerseVR")</f>
        <v>VerseVR</v>
      </c>
      <c r="E9815" s="122">
        <f>IFERROR(__xludf.DUMMYFUNCTION("""COMPUTED_VALUE"""),147.15)</f>
        <v>147.15</v>
      </c>
      <c r="F9815" s="122">
        <f>IFERROR(__xludf.DUMMYFUNCTION("""COMPUTED_VALUE"""),0.0079)</f>
        <v>0.0079</v>
      </c>
    </row>
    <row r="9816">
      <c r="A9816" s="131">
        <f>IFERROR(__xludf.DUMMYFUNCTION("""COMPUTED_VALUE"""),46187.69594907408)</f>
        <v>46187.69595</v>
      </c>
      <c r="B9816" s="126">
        <f>IFERROR(__xludf.DUMMYFUNCTION("""COMPUTED_VALUE"""),46187.0)</f>
        <v>46187</v>
      </c>
      <c r="C9816" s="122" t="str">
        <f>IFERROR(__xludf.DUMMYFUNCTION("""COMPUTED_VALUE"""),"BYTE")</f>
        <v>BYTE</v>
      </c>
      <c r="D9816" s="122" t="str">
        <f>IFERROR(__xludf.DUMMYFUNCTION("""COMPUTED_VALUE"""),"ByteWorks")</f>
        <v>ByteWorks</v>
      </c>
      <c r="E9816" s="122">
        <f>IFERROR(__xludf.DUMMYFUNCTION("""COMPUTED_VALUE"""),111.66)</f>
        <v>111.66</v>
      </c>
      <c r="F9816" s="122">
        <f>IFERROR(__xludf.DUMMYFUNCTION("""COMPUTED_VALUE"""),-0.0083)</f>
        <v>-0.0083</v>
      </c>
    </row>
    <row r="9817">
      <c r="A9817" s="131">
        <f>IFERROR(__xludf.DUMMYFUNCTION("""COMPUTED_VALUE"""),46187.69594907408)</f>
        <v>46187.69595</v>
      </c>
      <c r="B9817" s="126">
        <f>IFERROR(__xludf.DUMMYFUNCTION("""COMPUTED_VALUE"""),46187.0)</f>
        <v>46187</v>
      </c>
      <c r="C9817" s="122" t="str">
        <f>IFERROR(__xludf.DUMMYFUNCTION("""COMPUTED_VALUE"""),"BANK")</f>
        <v>BANK</v>
      </c>
      <c r="D9817" s="122" t="str">
        <f>IFERROR(__xludf.DUMMYFUNCTION("""COMPUTED_VALUE"""),"Tiger Bank")</f>
        <v>Tiger Bank</v>
      </c>
      <c r="E9817" s="122">
        <f>IFERROR(__xludf.DUMMYFUNCTION("""COMPUTED_VALUE"""),133.43)</f>
        <v>133.43</v>
      </c>
      <c r="F9817" s="122">
        <f>IFERROR(__xludf.DUMMYFUNCTION("""COMPUTED_VALUE"""),2.0E-4)</f>
        <v>0.0002</v>
      </c>
    </row>
    <row r="9818">
      <c r="A9818" s="131">
        <f>IFERROR(__xludf.DUMMYFUNCTION("""COMPUTED_VALUE"""),46187.69594907408)</f>
        <v>46187.69595</v>
      </c>
      <c r="B9818" s="126">
        <f>IFERROR(__xludf.DUMMYFUNCTION("""COMPUTED_VALUE"""),46187.0)</f>
        <v>46187</v>
      </c>
      <c r="C9818" s="122" t="str">
        <f>IFERROR(__xludf.DUMMYFUNCTION("""COMPUTED_VALUE"""),"CRED")</f>
        <v>CRED</v>
      </c>
      <c r="D9818" s="122" t="str">
        <f>IFERROR(__xludf.DUMMYFUNCTION("""COMPUTED_VALUE"""),"Credit Castle")</f>
        <v>Credit Castle</v>
      </c>
      <c r="E9818" s="122">
        <f>IFERROR(__xludf.DUMMYFUNCTION("""COMPUTED_VALUE"""),67.44)</f>
        <v>67.44</v>
      </c>
      <c r="F9818" s="122">
        <f>IFERROR(__xludf.DUMMYFUNCTION("""COMPUTED_VALUE"""),-0.005)</f>
        <v>-0.005</v>
      </c>
    </row>
    <row r="9819">
      <c r="A9819" s="131">
        <f>IFERROR(__xludf.DUMMYFUNCTION("""COMPUTED_VALUE"""),46187.69594907408)</f>
        <v>46187.69595</v>
      </c>
      <c r="B9819" s="126">
        <f>IFERROR(__xludf.DUMMYFUNCTION("""COMPUTED_VALUE"""),46187.0)</f>
        <v>46187</v>
      </c>
      <c r="C9819" s="122" t="str">
        <f>IFERROR(__xludf.DUMMYFUNCTION("""COMPUTED_VALUE"""),"BOND")</f>
        <v>BOND</v>
      </c>
      <c r="D9819" s="122" t="str">
        <f>IFERROR(__xludf.DUMMYFUNCTION("""COMPUTED_VALUE"""),"BondBridge")</f>
        <v>BondBridge</v>
      </c>
      <c r="E9819" s="122">
        <f>IFERROR(__xludf.DUMMYFUNCTION("""COMPUTED_VALUE"""),107.53)</f>
        <v>107.53</v>
      </c>
      <c r="F9819" s="122">
        <f>IFERROR(__xludf.DUMMYFUNCTION("""COMPUTED_VALUE"""),0.0012)</f>
        <v>0.0012</v>
      </c>
    </row>
    <row r="9820">
      <c r="A9820" s="131">
        <f>IFERROR(__xludf.DUMMYFUNCTION("""COMPUTED_VALUE"""),46187.69594907408)</f>
        <v>46187.69595</v>
      </c>
      <c r="B9820" s="126">
        <f>IFERROR(__xludf.DUMMYFUNCTION("""COMPUTED_VALUE"""),46187.0)</f>
        <v>46187</v>
      </c>
      <c r="C9820" s="122" t="str">
        <f>IFERROR(__xludf.DUMMYFUNCTION("""COMPUTED_VALUE"""),"INSR")</f>
        <v>INSR</v>
      </c>
      <c r="D9820" s="122" t="str">
        <f>IFERROR(__xludf.DUMMYFUNCTION("""COMPUTED_VALUE"""),"Shield Insurance")</f>
        <v>Shield Insurance</v>
      </c>
      <c r="E9820" s="122">
        <f>IFERROR(__xludf.DUMMYFUNCTION("""COMPUTED_VALUE"""),158.02)</f>
        <v>158.02</v>
      </c>
      <c r="F9820" s="122">
        <f>IFERROR(__xludf.DUMMYFUNCTION("""COMPUTED_VALUE"""),-0.0035)</f>
        <v>-0.0035</v>
      </c>
    </row>
    <row r="9821">
      <c r="A9821" s="131">
        <f>IFERROR(__xludf.DUMMYFUNCTION("""COMPUTED_VALUE"""),46187.69594907408)</f>
        <v>46187.69595</v>
      </c>
      <c r="B9821" s="126">
        <f>IFERROR(__xludf.DUMMYFUNCTION("""COMPUTED_VALUE"""),46187.0)</f>
        <v>46187</v>
      </c>
      <c r="C9821" s="122" t="str">
        <f>IFERROR(__xludf.DUMMYFUNCTION("""COMPUTED_VALUE"""),"LOAN")</f>
        <v>LOAN</v>
      </c>
      <c r="D9821" s="122" t="str">
        <f>IFERROR(__xludf.DUMMYFUNCTION("""COMPUTED_VALUE"""),"LoanLab")</f>
        <v>LoanLab</v>
      </c>
      <c r="E9821" s="122">
        <f>IFERROR(__xludf.DUMMYFUNCTION("""COMPUTED_VALUE"""),75.57)</f>
        <v>75.57</v>
      </c>
      <c r="F9821" s="122">
        <f>IFERROR(__xludf.DUMMYFUNCTION("""COMPUTED_VALUE"""),0.0015)</f>
        <v>0.0015</v>
      </c>
    </row>
    <row r="9822">
      <c r="A9822" s="131">
        <f>IFERROR(__xludf.DUMMYFUNCTION("""COMPUTED_VALUE"""),46187.69594907408)</f>
        <v>46187.69595</v>
      </c>
      <c r="B9822" s="126">
        <f>IFERROR(__xludf.DUMMYFUNCTION("""COMPUTED_VALUE"""),46187.0)</f>
        <v>46187</v>
      </c>
      <c r="C9822" s="122" t="str">
        <f>IFERROR(__xludf.DUMMYFUNCTION("""COMPUTED_VALUE"""),"LUXE")</f>
        <v>LUXE</v>
      </c>
      <c r="D9822" s="122" t="str">
        <f>IFERROR(__xludf.DUMMYFUNCTION("""COMPUTED_VALUE"""),"Luxury Locker")</f>
        <v>Luxury Locker</v>
      </c>
      <c r="E9822" s="122">
        <f>IFERROR(__xludf.DUMMYFUNCTION("""COMPUTED_VALUE"""),270.26)</f>
        <v>270.26</v>
      </c>
      <c r="F9822" s="122">
        <f>IFERROR(__xludf.DUMMYFUNCTION("""COMPUTED_VALUE"""),-0.0013)</f>
        <v>-0.0013</v>
      </c>
    </row>
    <row r="9823">
      <c r="A9823" s="131">
        <f>IFERROR(__xludf.DUMMYFUNCTION("""COMPUTED_VALUE"""),46187.69594907408)</f>
        <v>46187.69595</v>
      </c>
      <c r="B9823" s="126">
        <f>IFERROR(__xludf.DUMMYFUNCTION("""COMPUTED_VALUE"""),46187.0)</f>
        <v>46187</v>
      </c>
      <c r="C9823" s="122" t="str">
        <f>IFERROR(__xludf.DUMMYFUNCTION("""COMPUTED_VALUE"""),"DRIP")</f>
        <v>DRIP</v>
      </c>
      <c r="D9823" s="122" t="str">
        <f>IFERROR(__xludf.DUMMYFUNCTION("""COMPUTED_VALUE"""),"Drip Streetwear")</f>
        <v>Drip Streetwear</v>
      </c>
      <c r="E9823" s="122">
        <f>IFERROR(__xludf.DUMMYFUNCTION("""COMPUTED_VALUE"""),190.77)</f>
        <v>190.77</v>
      </c>
      <c r="F9823" s="122">
        <f>IFERROR(__xludf.DUMMYFUNCTION("""COMPUTED_VALUE"""),-0.0082)</f>
        <v>-0.0082</v>
      </c>
    </row>
    <row r="9824">
      <c r="A9824" s="131">
        <f>IFERROR(__xludf.DUMMYFUNCTION("""COMPUTED_VALUE"""),46187.69594907408)</f>
        <v>46187.69595</v>
      </c>
      <c r="B9824" s="126">
        <f>IFERROR(__xludf.DUMMYFUNCTION("""COMPUTED_VALUE"""),46187.0)</f>
        <v>46187</v>
      </c>
      <c r="C9824" s="122" t="str">
        <f>IFERROR(__xludf.DUMMYFUNCTION("""COMPUTED_VALUE"""),"KICK")</f>
        <v>KICK</v>
      </c>
      <c r="D9824" s="122" t="str">
        <f>IFERROR(__xludf.DUMMYFUNCTION("""COMPUTED_VALUE"""),"KickDrop Sneakers")</f>
        <v>KickDrop Sneakers</v>
      </c>
      <c r="E9824" s="122">
        <f>IFERROR(__xludf.DUMMYFUNCTION("""COMPUTED_VALUE"""),168.81)</f>
        <v>168.81</v>
      </c>
      <c r="F9824" s="122">
        <f>IFERROR(__xludf.DUMMYFUNCTION("""COMPUTED_VALUE"""),-0.008)</f>
        <v>-0.008</v>
      </c>
    </row>
    <row r="9825">
      <c r="A9825" s="131">
        <f>IFERROR(__xludf.DUMMYFUNCTION("""COMPUTED_VALUE"""),46187.69594907408)</f>
        <v>46187.69595</v>
      </c>
      <c r="B9825" s="126">
        <f>IFERROR(__xludf.DUMMYFUNCTION("""COMPUTED_VALUE"""),46187.0)</f>
        <v>46187</v>
      </c>
      <c r="C9825" s="122" t="str">
        <f>IFERROR(__xludf.DUMMYFUNCTION("""COMPUTED_VALUE"""),"GLAM")</f>
        <v>GLAM</v>
      </c>
      <c r="D9825" s="122" t="str">
        <f>IFERROR(__xludf.DUMMYFUNCTION("""COMPUTED_VALUE"""),"Glow Cosmetics")</f>
        <v>Glow Cosmetics</v>
      </c>
      <c r="E9825" s="122">
        <f>IFERROR(__xludf.DUMMYFUNCTION("""COMPUTED_VALUE"""),111.74)</f>
        <v>111.74</v>
      </c>
      <c r="F9825" s="122">
        <f>IFERROR(__xludf.DUMMYFUNCTION("""COMPUTED_VALUE"""),-0.0055)</f>
        <v>-0.0055</v>
      </c>
    </row>
    <row r="9826">
      <c r="A9826" s="131">
        <f>IFERROR(__xludf.DUMMYFUNCTION("""COMPUTED_VALUE"""),46187.69594907408)</f>
        <v>46187.69595</v>
      </c>
      <c r="B9826" s="126">
        <f>IFERROR(__xludf.DUMMYFUNCTION("""COMPUTED_VALUE"""),46187.0)</f>
        <v>46187</v>
      </c>
      <c r="C9826" s="122" t="str">
        <f>IFERROR(__xludf.DUMMYFUNCTION("""COMPUTED_VALUE"""),"BAGG")</f>
        <v>BAGG</v>
      </c>
      <c r="D9826" s="122" t="str">
        <f>IFERROR(__xludf.DUMMYFUNCTION("""COMPUTED_VALUE"""),"BagVault")</f>
        <v>BagVault</v>
      </c>
      <c r="E9826" s="122">
        <f>IFERROR(__xludf.DUMMYFUNCTION("""COMPUTED_VALUE"""),279.69)</f>
        <v>279.69</v>
      </c>
      <c r="F9826" s="122">
        <f>IFERROR(__xludf.DUMMYFUNCTION("""COMPUTED_VALUE"""),0.0055)</f>
        <v>0.0055</v>
      </c>
    </row>
    <row r="9827">
      <c r="A9827" s="131">
        <f>IFERROR(__xludf.DUMMYFUNCTION("""COMPUTED_VALUE"""),46187.69594907408)</f>
        <v>46187.69595</v>
      </c>
      <c r="B9827" s="126">
        <f>IFERROR(__xludf.DUMMYFUNCTION("""COMPUTED_VALUE"""),46187.0)</f>
        <v>46187</v>
      </c>
      <c r="C9827" s="122" t="str">
        <f>IFERROR(__xludf.DUMMYFUNCTION("""COMPUTED_VALUE"""),"FAST")</f>
        <v>FAST</v>
      </c>
      <c r="D9827" s="122" t="str">
        <f>IFERROR(__xludf.DUMMYFUNCTION("""COMPUTED_VALUE"""),"Flash Logistics")</f>
        <v>Flash Logistics</v>
      </c>
      <c r="E9827" s="122">
        <f>IFERROR(__xludf.DUMMYFUNCTION("""COMPUTED_VALUE"""),109.98)</f>
        <v>109.98</v>
      </c>
      <c r="F9827" s="122">
        <f>IFERROR(__xludf.DUMMYFUNCTION("""COMPUTED_VALUE"""),-6.0E-4)</f>
        <v>-0.0006</v>
      </c>
    </row>
    <row r="9828">
      <c r="A9828" s="131">
        <f>IFERROR(__xludf.DUMMYFUNCTION("""COMPUTED_VALUE"""),46187.69594907408)</f>
        <v>46187.69595</v>
      </c>
      <c r="B9828" s="126">
        <f>IFERROR(__xludf.DUMMYFUNCTION("""COMPUTED_VALUE"""),46187.0)</f>
        <v>46187</v>
      </c>
      <c r="C9828" s="122" t="str">
        <f>IFERROR(__xludf.DUMMYFUNCTION("""COMPUTED_VALUE"""),"SHIP")</f>
        <v>SHIP</v>
      </c>
      <c r="D9828" s="122" t="str">
        <f>IFERROR(__xludf.DUMMYFUNCTION("""COMPUTED_VALUE"""),"Seoul Shipping")</f>
        <v>Seoul Shipping</v>
      </c>
      <c r="E9828" s="122">
        <f>IFERROR(__xludf.DUMMYFUNCTION("""COMPUTED_VALUE"""),131.17)</f>
        <v>131.17</v>
      </c>
      <c r="F9828" s="122">
        <f>IFERROR(__xludf.DUMMYFUNCTION("""COMPUTED_VALUE"""),-0.0065)</f>
        <v>-0.0065</v>
      </c>
    </row>
    <row r="9829">
      <c r="A9829" s="131">
        <f>IFERROR(__xludf.DUMMYFUNCTION("""COMPUTED_VALUE"""),46187.69594907408)</f>
        <v>46187.69595</v>
      </c>
      <c r="B9829" s="126">
        <f>IFERROR(__xludf.DUMMYFUNCTION("""COMPUTED_VALUE"""),46187.0)</f>
        <v>46187</v>
      </c>
      <c r="C9829" s="122" t="str">
        <f>IFERROR(__xludf.DUMMYFUNCTION("""COMPUTED_VALUE"""),"DRON")</f>
        <v>DRON</v>
      </c>
      <c r="D9829" s="122" t="str">
        <f>IFERROR(__xludf.DUMMYFUNCTION("""COMPUTED_VALUE"""),"DroneDrop")</f>
        <v>DroneDrop</v>
      </c>
      <c r="E9829" s="122">
        <f>IFERROR(__xludf.DUMMYFUNCTION("""COMPUTED_VALUE"""),122.77)</f>
        <v>122.77</v>
      </c>
      <c r="F9829" s="122">
        <f>IFERROR(__xludf.DUMMYFUNCTION("""COMPUTED_VALUE"""),0.0089)</f>
        <v>0.0089</v>
      </c>
    </row>
    <row r="9830">
      <c r="A9830" s="131">
        <f>IFERROR(__xludf.DUMMYFUNCTION("""COMPUTED_VALUE"""),46187.69594907408)</f>
        <v>46187.69595</v>
      </c>
      <c r="B9830" s="126">
        <f>IFERROR(__xludf.DUMMYFUNCTION("""COMPUTED_VALUE"""),46187.0)</f>
        <v>46187</v>
      </c>
      <c r="C9830" s="122" t="str">
        <f>IFERROR(__xludf.DUMMYFUNCTION("""COMPUTED_VALUE"""),"RIDE")</f>
        <v>RIDE</v>
      </c>
      <c r="D9830" s="122" t="str">
        <f>IFERROR(__xludf.DUMMYFUNCTION("""COMPUTED_VALUE"""),"QuickRide")</f>
        <v>QuickRide</v>
      </c>
      <c r="E9830" s="122">
        <f>IFERROR(__xludf.DUMMYFUNCTION("""COMPUTED_VALUE"""),98.61)</f>
        <v>98.61</v>
      </c>
      <c r="F9830" s="122">
        <f>IFERROR(__xludf.DUMMYFUNCTION("""COMPUTED_VALUE"""),0.0091)</f>
        <v>0.0091</v>
      </c>
    </row>
    <row r="9831">
      <c r="A9831" s="131">
        <f>IFERROR(__xludf.DUMMYFUNCTION("""COMPUTED_VALUE"""),46187.69594907408)</f>
        <v>46187.69595</v>
      </c>
      <c r="B9831" s="126">
        <f>IFERROR(__xludf.DUMMYFUNCTION("""COMPUTED_VALUE"""),46187.0)</f>
        <v>46187</v>
      </c>
      <c r="C9831" s="122" t="str">
        <f>IFERROR(__xludf.DUMMYFUNCTION("""COMPUTED_VALUE"""),"RAIL")</f>
        <v>RAIL</v>
      </c>
      <c r="D9831" s="122" t="str">
        <f>IFERROR(__xludf.DUMMYFUNCTION("""COMPUTED_VALUE"""),"MetroRail Corp")</f>
        <v>MetroRail Corp</v>
      </c>
      <c r="E9831" s="122">
        <f>IFERROR(__xludf.DUMMYFUNCTION("""COMPUTED_VALUE"""),130.11)</f>
        <v>130.11</v>
      </c>
      <c r="F9831" s="122">
        <f>IFERROR(__xludf.DUMMYFUNCTION("""COMPUTED_VALUE"""),0.0021)</f>
        <v>0.0021</v>
      </c>
    </row>
    <row r="9832">
      <c r="A9832" s="131">
        <f>IFERROR(__xludf.DUMMYFUNCTION("""COMPUTED_VALUE"""),46187.69594907408)</f>
        <v>46187.69595</v>
      </c>
      <c r="B9832" s="126">
        <f>IFERROR(__xludf.DUMMYFUNCTION("""COMPUTED_VALUE"""),46187.0)</f>
        <v>46187</v>
      </c>
      <c r="C9832" s="122" t="str">
        <f>IFERROR(__xludf.DUMMYFUNCTION("""COMPUTED_VALUE"""),"MEDX")</f>
        <v>MEDX</v>
      </c>
      <c r="D9832" s="122" t="str">
        <f>IFERROR(__xludf.DUMMYFUNCTION("""COMPUTED_VALUE"""),"MediCore")</f>
        <v>MediCore</v>
      </c>
      <c r="E9832" s="122">
        <f>IFERROR(__xludf.DUMMYFUNCTION("""COMPUTED_VALUE"""),139.56)</f>
        <v>139.56</v>
      </c>
      <c r="F9832" s="122">
        <f>IFERROR(__xludf.DUMMYFUNCTION("""COMPUTED_VALUE"""),0.0024)</f>
        <v>0.0024</v>
      </c>
    </row>
    <row r="9833">
      <c r="A9833" s="131">
        <f>IFERROR(__xludf.DUMMYFUNCTION("""COMPUTED_VALUE"""),46187.69594907408)</f>
        <v>46187.69595</v>
      </c>
      <c r="B9833" s="126">
        <f>IFERROR(__xludf.DUMMYFUNCTION("""COMPUTED_VALUE"""),46187.0)</f>
        <v>46187</v>
      </c>
      <c r="C9833" s="122" t="str">
        <f>IFERROR(__xludf.DUMMYFUNCTION("""COMPUTED_VALUE"""),"GYMX")</f>
        <v>GYMX</v>
      </c>
      <c r="D9833" s="122" t="str">
        <f>IFERROR(__xludf.DUMMYFUNCTION("""COMPUTED_VALUE"""),"GymX Fitness")</f>
        <v>GymX Fitness</v>
      </c>
      <c r="E9833" s="122">
        <f>IFERROR(__xludf.DUMMYFUNCTION("""COMPUTED_VALUE"""),80.64)</f>
        <v>80.64</v>
      </c>
      <c r="F9833" s="122">
        <f>IFERROR(__xludf.DUMMYFUNCTION("""COMPUTED_VALUE"""),-0.0019)</f>
        <v>-0.0019</v>
      </c>
    </row>
    <row r="9834">
      <c r="A9834" s="131">
        <f>IFERROR(__xludf.DUMMYFUNCTION("""COMPUTED_VALUE"""),46187.69594907408)</f>
        <v>46187.69595</v>
      </c>
      <c r="B9834" s="126">
        <f>IFERROR(__xludf.DUMMYFUNCTION("""COMPUTED_VALUE"""),46187.0)</f>
        <v>46187</v>
      </c>
      <c r="C9834" s="122" t="str">
        <f>IFERROR(__xludf.DUMMYFUNCTION("""COMPUTED_VALUE"""),"VITA")</f>
        <v>VITA</v>
      </c>
      <c r="D9834" s="122" t="str">
        <f>IFERROR(__xludf.DUMMYFUNCTION("""COMPUTED_VALUE"""),"VitaPlus")</f>
        <v>VitaPlus</v>
      </c>
      <c r="E9834" s="122">
        <f>IFERROR(__xludf.DUMMYFUNCTION("""COMPUTED_VALUE"""),71.84)</f>
        <v>71.84</v>
      </c>
      <c r="F9834" s="122">
        <f>IFERROR(__xludf.DUMMYFUNCTION("""COMPUTED_VALUE"""),0.0038)</f>
        <v>0.0038</v>
      </c>
    </row>
    <row r="9835">
      <c r="A9835" s="131">
        <f>IFERROR(__xludf.DUMMYFUNCTION("""COMPUTED_VALUE"""),46187.69594907408)</f>
        <v>46187.69595</v>
      </c>
      <c r="B9835" s="126">
        <f>IFERROR(__xludf.DUMMYFUNCTION("""COMPUTED_VALUE"""),46187.0)</f>
        <v>46187</v>
      </c>
      <c r="C9835" s="122" t="str">
        <f>IFERROR(__xludf.DUMMYFUNCTION("""COMPUTED_VALUE"""),"CARE")</f>
        <v>CARE</v>
      </c>
      <c r="D9835" s="122" t="str">
        <f>IFERROR(__xludf.DUMMYFUNCTION("""COMPUTED_VALUE"""),"CareCloud")</f>
        <v>CareCloud</v>
      </c>
      <c r="E9835" s="122">
        <f>IFERROR(__xludf.DUMMYFUNCTION("""COMPUTED_VALUE"""),187.52)</f>
        <v>187.52</v>
      </c>
      <c r="F9835" s="122">
        <f>IFERROR(__xludf.DUMMYFUNCTION("""COMPUTED_VALUE"""),0.0072)</f>
        <v>0.0072</v>
      </c>
    </row>
    <row r="9836">
      <c r="A9836" s="131">
        <f>IFERROR(__xludf.DUMMYFUNCTION("""COMPUTED_VALUE"""),46187.69594907408)</f>
        <v>46187.69595</v>
      </c>
      <c r="B9836" s="126">
        <f>IFERROR(__xludf.DUMMYFUNCTION("""COMPUTED_VALUE"""),46187.0)</f>
        <v>46187</v>
      </c>
      <c r="C9836" s="122" t="str">
        <f>IFERROR(__xludf.DUMMYFUNCTION("""COMPUTED_VALUE"""),"DENT")</f>
        <v>DENT</v>
      </c>
      <c r="D9836" s="122" t="str">
        <f>IFERROR(__xludf.DUMMYFUNCTION("""COMPUTED_VALUE"""),"SmileWorks")</f>
        <v>SmileWorks</v>
      </c>
      <c r="E9836" s="122">
        <f>IFERROR(__xludf.DUMMYFUNCTION("""COMPUTED_VALUE"""),100.15)</f>
        <v>100.15</v>
      </c>
      <c r="F9836" s="122">
        <f>IFERROR(__xludf.DUMMYFUNCTION("""COMPUTED_VALUE"""),6.0E-4)</f>
        <v>0.0006</v>
      </c>
    </row>
    <row r="9837">
      <c r="A9837" s="131">
        <f>IFERROR(__xludf.DUMMYFUNCTION("""COMPUTED_VALUE"""),46187.69594907408)</f>
        <v>46187.69595</v>
      </c>
      <c r="B9837" s="126">
        <f>IFERROR(__xludf.DUMMYFUNCTION("""COMPUTED_VALUE"""),46187.0)</f>
        <v>46187</v>
      </c>
      <c r="C9837" s="122" t="str">
        <f>IFERROR(__xludf.DUMMYFUNCTION("""COMPUTED_VALUE"""),"EDUX")</f>
        <v>EDUX</v>
      </c>
      <c r="D9837" s="122" t="str">
        <f>IFERROR(__xludf.DUMMYFUNCTION("""COMPUTED_VALUE"""),"EduMax Learning")</f>
        <v>EduMax Learning</v>
      </c>
      <c r="E9837" s="122">
        <f>IFERROR(__xludf.DUMMYFUNCTION("""COMPUTED_VALUE"""),155.02)</f>
        <v>155.02</v>
      </c>
      <c r="F9837" s="122">
        <f>IFERROR(__xludf.DUMMYFUNCTION("""COMPUTED_VALUE"""),-0.0017)</f>
        <v>-0.0017</v>
      </c>
    </row>
    <row r="9838">
      <c r="A9838" s="131">
        <f>IFERROR(__xludf.DUMMYFUNCTION("""COMPUTED_VALUE"""),46187.69594907408)</f>
        <v>46187.69595</v>
      </c>
      <c r="B9838" s="126">
        <f>IFERROR(__xludf.DUMMYFUNCTION("""COMPUTED_VALUE"""),46187.0)</f>
        <v>46187</v>
      </c>
      <c r="C9838" s="122" t="str">
        <f>IFERROR(__xludf.DUMMYFUNCTION("""COMPUTED_VALUE"""),"BOOK")</f>
        <v>BOOK</v>
      </c>
      <c r="D9838" s="122" t="str">
        <f>IFERROR(__xludf.DUMMYFUNCTION("""COMPUTED_VALUE"""),"BookBridge")</f>
        <v>BookBridge</v>
      </c>
      <c r="E9838" s="122">
        <f>IFERROR(__xludf.DUMMYFUNCTION("""COMPUTED_VALUE"""),121.11)</f>
        <v>121.11</v>
      </c>
      <c r="F9838" s="122">
        <f>IFERROR(__xludf.DUMMYFUNCTION("""COMPUTED_VALUE"""),-6.0E-4)</f>
        <v>-0.0006</v>
      </c>
    </row>
    <row r="9839">
      <c r="A9839" s="131">
        <f>IFERROR(__xludf.DUMMYFUNCTION("""COMPUTED_VALUE"""),46187.69594907408)</f>
        <v>46187.69595</v>
      </c>
      <c r="B9839" s="126">
        <f>IFERROR(__xludf.DUMMYFUNCTION("""COMPUTED_VALUE"""),46187.0)</f>
        <v>46187</v>
      </c>
      <c r="C9839" s="122" t="str">
        <f>IFERROR(__xludf.DUMMYFUNCTION("""COMPUTED_VALUE"""),"TUTR")</f>
        <v>TUTR</v>
      </c>
      <c r="D9839" s="122" t="str">
        <f>IFERROR(__xludf.DUMMYFUNCTION("""COMPUTED_VALUE"""),"TutorTown")</f>
        <v>TutorTown</v>
      </c>
      <c r="E9839" s="122">
        <f>IFERROR(__xludf.DUMMYFUNCTION("""COMPUTED_VALUE"""),93.21)</f>
        <v>93.21</v>
      </c>
      <c r="F9839" s="122">
        <f>IFERROR(__xludf.DUMMYFUNCTION("""COMPUTED_VALUE"""),-0.0053)</f>
        <v>-0.0053</v>
      </c>
    </row>
    <row r="9840">
      <c r="A9840" s="131">
        <f>IFERROR(__xludf.DUMMYFUNCTION("""COMPUTED_VALUE"""),46187.69594907408)</f>
        <v>46187.69595</v>
      </c>
      <c r="B9840" s="126">
        <f>IFERROR(__xludf.DUMMYFUNCTION("""COMPUTED_VALUE"""),46187.0)</f>
        <v>46187</v>
      </c>
      <c r="C9840" s="122" t="str">
        <f>IFERROR(__xludf.DUMMYFUNCTION("""COMPUTED_VALUE"""),"LANG")</f>
        <v>LANG</v>
      </c>
      <c r="D9840" s="122" t="str">
        <f>IFERROR(__xludf.DUMMYFUNCTION("""COMPUTED_VALUE"""),"LinguaLab")</f>
        <v>LinguaLab</v>
      </c>
      <c r="E9840" s="122">
        <f>IFERROR(__xludf.DUMMYFUNCTION("""COMPUTED_VALUE"""),103.54)</f>
        <v>103.54</v>
      </c>
      <c r="F9840" s="122">
        <f>IFERROR(__xludf.DUMMYFUNCTION("""COMPUTED_VALUE"""),-3.0E-4)</f>
        <v>-0.0003</v>
      </c>
    </row>
    <row r="9841">
      <c r="A9841" s="131">
        <f>IFERROR(__xludf.DUMMYFUNCTION("""COMPUTED_VALUE"""),46187.69594907408)</f>
        <v>46187.69595</v>
      </c>
      <c r="B9841" s="126">
        <f>IFERROR(__xludf.DUMMYFUNCTION("""COMPUTED_VALUE"""),46187.0)</f>
        <v>46187</v>
      </c>
      <c r="C9841" s="122" t="str">
        <f>IFERROR(__xludf.DUMMYFUNCTION("""COMPUTED_VALUE"""),"TEST")</f>
        <v>TEST</v>
      </c>
      <c r="D9841" s="122" t="str">
        <f>IFERROR(__xludf.DUMMYFUNCTION("""COMPUTED_VALUE"""),"TestPrep Pro")</f>
        <v>TestPrep Pro</v>
      </c>
      <c r="E9841" s="122">
        <f>IFERROR(__xludf.DUMMYFUNCTION("""COMPUTED_VALUE"""),86.06)</f>
        <v>86.06</v>
      </c>
      <c r="F9841" s="122">
        <f>IFERROR(__xludf.DUMMYFUNCTION("""COMPUTED_VALUE"""),-0.007)</f>
        <v>-0.007</v>
      </c>
    </row>
    <row r="9842">
      <c r="A9842" s="131">
        <f>IFERROR(__xludf.DUMMYFUNCTION("""COMPUTED_VALUE"""),46187.69594907408)</f>
        <v>46187.69595</v>
      </c>
      <c r="B9842" s="126">
        <f>IFERROR(__xludf.DUMMYFUNCTION("""COMPUTED_VALUE"""),46187.0)</f>
        <v>46187</v>
      </c>
      <c r="C9842" s="122" t="str">
        <f>IFERROR(__xludf.DUMMYFUNCTION("""COMPUTED_VALUE"""),"MOVI")</f>
        <v>MOVI</v>
      </c>
      <c r="D9842" s="122" t="str">
        <f>IFERROR(__xludf.DUMMYFUNCTION("""COMPUTED_VALUE"""),"MovieBox")</f>
        <v>MovieBox</v>
      </c>
      <c r="E9842" s="122">
        <f>IFERROR(__xludf.DUMMYFUNCTION("""COMPUTED_VALUE"""),83.2)</f>
        <v>83.2</v>
      </c>
      <c r="F9842" s="122">
        <f>IFERROR(__xludf.DUMMYFUNCTION("""COMPUTED_VALUE"""),-0.0036)</f>
        <v>-0.0036</v>
      </c>
    </row>
    <row r="9843">
      <c r="A9843" s="131">
        <f>IFERROR(__xludf.DUMMYFUNCTION("""COMPUTED_VALUE"""),46187.69594907408)</f>
        <v>46187.69595</v>
      </c>
      <c r="B9843" s="126">
        <f>IFERROR(__xludf.DUMMYFUNCTION("""COMPUTED_VALUE"""),46187.0)</f>
        <v>46187</v>
      </c>
      <c r="C9843" s="122" t="str">
        <f>IFERROR(__xludf.DUMMYFUNCTION("""COMPUTED_VALUE"""),"MUSC")</f>
        <v>MUSC</v>
      </c>
      <c r="D9843" s="122" t="str">
        <f>IFERROR(__xludf.DUMMYFUNCTION("""COMPUTED_VALUE"""),"MusicWave")</f>
        <v>MusicWave</v>
      </c>
      <c r="E9843" s="122">
        <f>IFERROR(__xludf.DUMMYFUNCTION("""COMPUTED_VALUE"""),103.43)</f>
        <v>103.43</v>
      </c>
      <c r="F9843" s="122">
        <f>IFERROR(__xludf.DUMMYFUNCTION("""COMPUTED_VALUE"""),0.004)</f>
        <v>0.004</v>
      </c>
    </row>
    <row r="9844">
      <c r="A9844" s="131">
        <f>IFERROR(__xludf.DUMMYFUNCTION("""COMPUTED_VALUE"""),46187.69594907408)</f>
        <v>46187.69595</v>
      </c>
      <c r="B9844" s="126">
        <f>IFERROR(__xludf.DUMMYFUNCTION("""COMPUTED_VALUE"""),46187.0)</f>
        <v>46187</v>
      </c>
      <c r="C9844" s="122" t="str">
        <f>IFERROR(__xludf.DUMMYFUNCTION("""COMPUTED_VALUE"""),"IDOL")</f>
        <v>IDOL</v>
      </c>
      <c r="D9844" s="122" t="str">
        <f>IFERROR(__xludf.DUMMYFUNCTION("""COMPUTED_VALUE"""),"Idol Agency")</f>
        <v>Idol Agency</v>
      </c>
      <c r="E9844" s="122">
        <f>IFERROR(__xludf.DUMMYFUNCTION("""COMPUTED_VALUE"""),187.82)</f>
        <v>187.82</v>
      </c>
      <c r="F9844" s="122">
        <f>IFERROR(__xludf.DUMMYFUNCTION("""COMPUTED_VALUE"""),0.0034)</f>
        <v>0.0034</v>
      </c>
    </row>
    <row r="9845">
      <c r="A9845" s="131">
        <f>IFERROR(__xludf.DUMMYFUNCTION("""COMPUTED_VALUE"""),46187.69594907408)</f>
        <v>46187.69595</v>
      </c>
      <c r="B9845" s="126">
        <f>IFERROR(__xludf.DUMMYFUNCTION("""COMPUTED_VALUE"""),46187.0)</f>
        <v>46187</v>
      </c>
      <c r="C9845" s="122" t="str">
        <f>IFERROR(__xludf.DUMMYFUNCTION("""COMPUTED_VALUE"""),"MEME")</f>
        <v>MEME</v>
      </c>
      <c r="D9845" s="122" t="str">
        <f>IFERROR(__xludf.DUMMYFUNCTION("""COMPUTED_VALUE"""),"Meme Media")</f>
        <v>Meme Media</v>
      </c>
      <c r="E9845" s="122">
        <f>IFERROR(__xludf.DUMMYFUNCTION("""COMPUTED_VALUE"""),75.81)</f>
        <v>75.81</v>
      </c>
      <c r="F9845" s="122">
        <f>IFERROR(__xludf.DUMMYFUNCTION("""COMPUTED_VALUE"""),0.0025)</f>
        <v>0.0025</v>
      </c>
    </row>
    <row r="9846">
      <c r="A9846" s="131">
        <f>IFERROR(__xludf.DUMMYFUNCTION("""COMPUTED_VALUE"""),46187.69594907408)</f>
        <v>46187.69595</v>
      </c>
      <c r="B9846" s="126">
        <f>IFERROR(__xludf.DUMMYFUNCTION("""COMPUTED_VALUE"""),46187.0)</f>
        <v>46187</v>
      </c>
      <c r="C9846" s="122" t="str">
        <f>IFERROR(__xludf.DUMMYFUNCTION("""COMPUTED_VALUE"""),"STRM")</f>
        <v>STRM</v>
      </c>
      <c r="D9846" s="122" t="str">
        <f>IFERROR(__xludf.DUMMYFUNCTION("""COMPUTED_VALUE"""),"Streamly")</f>
        <v>Streamly</v>
      </c>
      <c r="E9846" s="122">
        <f>IFERROR(__xludf.DUMMYFUNCTION("""COMPUTED_VALUE"""),128.07)</f>
        <v>128.07</v>
      </c>
      <c r="F9846" s="122">
        <f>IFERROR(__xludf.DUMMYFUNCTION("""COMPUTED_VALUE"""),-0.003)</f>
        <v>-0.003</v>
      </c>
    </row>
    <row r="9847">
      <c r="A9847" s="131">
        <f>IFERROR(__xludf.DUMMYFUNCTION("""COMPUTED_VALUE"""),46187.69594907408)</f>
        <v>46187.69595</v>
      </c>
      <c r="B9847" s="126">
        <f>IFERROR(__xludf.DUMMYFUNCTION("""COMPUTED_VALUE"""),46187.0)</f>
        <v>46187</v>
      </c>
      <c r="C9847" s="122" t="str">
        <f>IFERROR(__xludf.DUMMYFUNCTION("""COMPUTED_VALUE"""),"FARM")</f>
        <v>FARM</v>
      </c>
      <c r="D9847" s="122" t="str">
        <f>IFERROR(__xludf.DUMMYFUNCTION("""COMPUTED_VALUE"""),"Future Farms")</f>
        <v>Future Farms</v>
      </c>
      <c r="E9847" s="122">
        <f>IFERROR(__xludf.DUMMYFUNCTION("""COMPUTED_VALUE"""),102.57)</f>
        <v>102.57</v>
      </c>
      <c r="F9847" s="122">
        <f>IFERROR(__xludf.DUMMYFUNCTION("""COMPUTED_VALUE"""),0.0061)</f>
        <v>0.0061</v>
      </c>
    </row>
    <row r="9848">
      <c r="A9848" s="131">
        <f>IFERROR(__xludf.DUMMYFUNCTION("""COMPUTED_VALUE"""),46187.69594907408)</f>
        <v>46187.69595</v>
      </c>
      <c r="B9848" s="126">
        <f>IFERROR(__xludf.DUMMYFUNCTION("""COMPUTED_VALUE"""),46187.0)</f>
        <v>46187</v>
      </c>
      <c r="C9848" s="122" t="str">
        <f>IFERROR(__xludf.DUMMYFUNCTION("""COMPUTED_VALUE"""),"MEAT")</f>
        <v>MEAT</v>
      </c>
      <c r="D9848" s="122" t="str">
        <f>IFERROR(__xludf.DUMMYFUNCTION("""COMPUTED_VALUE"""),"MeatWorks")</f>
        <v>MeatWorks</v>
      </c>
      <c r="E9848" s="122">
        <f>IFERROR(__xludf.DUMMYFUNCTION("""COMPUTED_VALUE"""),105.48)</f>
        <v>105.48</v>
      </c>
      <c r="F9848" s="122">
        <f>IFERROR(__xludf.DUMMYFUNCTION("""COMPUTED_VALUE"""),0.0073)</f>
        <v>0.0073</v>
      </c>
    </row>
    <row r="9849">
      <c r="A9849" s="131">
        <f>IFERROR(__xludf.DUMMYFUNCTION("""COMPUTED_VALUE"""),46187.69594907408)</f>
        <v>46187.69595</v>
      </c>
      <c r="B9849" s="126">
        <f>IFERROR(__xludf.DUMMYFUNCTION("""COMPUTED_VALUE"""),46187.0)</f>
        <v>46187</v>
      </c>
      <c r="C9849" s="122" t="str">
        <f>IFERROR(__xludf.DUMMYFUNCTION("""COMPUTED_VALUE"""),"VEGI")</f>
        <v>VEGI</v>
      </c>
      <c r="D9849" s="122" t="str">
        <f>IFERROR(__xludf.DUMMYFUNCTION("""COMPUTED_VALUE"""),"Green Basket")</f>
        <v>Green Basket</v>
      </c>
      <c r="E9849" s="122">
        <f>IFERROR(__xludf.DUMMYFUNCTION("""COMPUTED_VALUE"""),76.47)</f>
        <v>76.47</v>
      </c>
      <c r="F9849" s="122">
        <f>IFERROR(__xludf.DUMMYFUNCTION("""COMPUTED_VALUE"""),-0.0026)</f>
        <v>-0.0026</v>
      </c>
    </row>
    <row r="9850">
      <c r="A9850" s="131">
        <f>IFERROR(__xludf.DUMMYFUNCTION("""COMPUTED_VALUE"""),46187.69594907408)</f>
        <v>46187.69595</v>
      </c>
      <c r="B9850" s="126">
        <f>IFERROR(__xludf.DUMMYFUNCTION("""COMPUTED_VALUE"""),46187.0)</f>
        <v>46187</v>
      </c>
      <c r="C9850" s="122" t="str">
        <f>IFERROR(__xludf.DUMMYFUNCTION("""COMPUTED_VALUE"""),"CAFE")</f>
        <v>CAFE</v>
      </c>
      <c r="D9850" s="122" t="str">
        <f>IFERROR(__xludf.DUMMYFUNCTION("""COMPUTED_VALUE"""),"Cafe Cloud")</f>
        <v>Cafe Cloud</v>
      </c>
      <c r="E9850" s="122">
        <f>IFERROR(__xludf.DUMMYFUNCTION("""COMPUTED_VALUE"""),105.65)</f>
        <v>105.65</v>
      </c>
      <c r="F9850" s="122">
        <f>IFERROR(__xludf.DUMMYFUNCTION("""COMPUTED_VALUE"""),-0.0025)</f>
        <v>-0.0025</v>
      </c>
    </row>
    <row r="9851">
      <c r="A9851" s="131">
        <f>IFERROR(__xludf.DUMMYFUNCTION("""COMPUTED_VALUE"""),46187.69594907408)</f>
        <v>46187.69595</v>
      </c>
      <c r="B9851" s="126">
        <f>IFERROR(__xludf.DUMMYFUNCTION("""COMPUTED_VALUE"""),46187.0)</f>
        <v>46187</v>
      </c>
      <c r="C9851" s="122" t="str">
        <f>IFERROR(__xludf.DUMMYFUNCTION("""COMPUTED_VALUE"""),"BAKE")</f>
        <v>BAKE</v>
      </c>
      <c r="D9851" s="122" t="str">
        <f>IFERROR(__xludf.DUMMYFUNCTION("""COMPUTED_VALUE"""),"BakeHouse")</f>
        <v>BakeHouse</v>
      </c>
      <c r="E9851" s="122">
        <f>IFERROR(__xludf.DUMMYFUNCTION("""COMPUTED_VALUE"""),99.74)</f>
        <v>99.74</v>
      </c>
      <c r="F9851" s="122">
        <f>IFERROR(__xludf.DUMMYFUNCTION("""COMPUTED_VALUE"""),0.0035)</f>
        <v>0.0035</v>
      </c>
    </row>
    <row r="9852">
      <c r="A9852" s="131">
        <f>IFERROR(__xludf.DUMMYFUNCTION("""COMPUTED_VALUE"""),46187.69594907408)</f>
        <v>46187.69595</v>
      </c>
      <c r="B9852" s="126">
        <f>IFERROR(__xludf.DUMMYFUNCTION("""COMPUTED_VALUE"""),46187.0)</f>
        <v>46187</v>
      </c>
      <c r="C9852" s="122" t="str">
        <f>IFERROR(__xludf.DUMMYFUNCTION("""COMPUTED_VALUE"""),"OILX")</f>
        <v>OILX</v>
      </c>
      <c r="D9852" s="122" t="str">
        <f>IFERROR(__xludf.DUMMYFUNCTION("""COMPUTED_VALUE"""),"OilMax Energy")</f>
        <v>OilMax Energy</v>
      </c>
      <c r="E9852" s="122">
        <f>IFERROR(__xludf.DUMMYFUNCTION("""COMPUTED_VALUE"""),134.31)</f>
        <v>134.31</v>
      </c>
      <c r="F9852" s="122">
        <f>IFERROR(__xludf.DUMMYFUNCTION("""COMPUTED_VALUE"""),0.0025)</f>
        <v>0.0025</v>
      </c>
    </row>
    <row r="9853">
      <c r="A9853" s="131">
        <f>IFERROR(__xludf.DUMMYFUNCTION("""COMPUTED_VALUE"""),46187.69594907408)</f>
        <v>46187.69595</v>
      </c>
      <c r="B9853" s="126">
        <f>IFERROR(__xludf.DUMMYFUNCTION("""COMPUTED_VALUE"""),46187.0)</f>
        <v>46187</v>
      </c>
      <c r="C9853" s="122" t="str">
        <f>IFERROR(__xludf.DUMMYFUNCTION("""COMPUTED_VALUE"""),"SOLR")</f>
        <v>SOLR</v>
      </c>
      <c r="D9853" s="122" t="str">
        <f>IFERROR(__xludf.DUMMYFUNCTION("""COMPUTED_VALUE"""),"SolarSpark")</f>
        <v>SolarSpark</v>
      </c>
      <c r="E9853" s="122">
        <f>IFERROR(__xludf.DUMMYFUNCTION("""COMPUTED_VALUE"""),110.07)</f>
        <v>110.07</v>
      </c>
      <c r="F9853" s="122">
        <f>IFERROR(__xludf.DUMMYFUNCTION("""COMPUTED_VALUE"""),-0.0012)</f>
        <v>-0.0012</v>
      </c>
    </row>
    <row r="9854">
      <c r="A9854" s="131">
        <f>IFERROR(__xludf.DUMMYFUNCTION("""COMPUTED_VALUE"""),46187.69594907408)</f>
        <v>46187.69595</v>
      </c>
      <c r="B9854" s="126">
        <f>IFERROR(__xludf.DUMMYFUNCTION("""COMPUTED_VALUE"""),46187.0)</f>
        <v>46187</v>
      </c>
      <c r="C9854" s="122" t="str">
        <f>IFERROR(__xludf.DUMMYFUNCTION("""COMPUTED_VALUE"""),"BATT")</f>
        <v>BATT</v>
      </c>
      <c r="D9854" s="122" t="str">
        <f>IFERROR(__xludf.DUMMYFUNCTION("""COMPUTED_VALUE"""),"BatteryBox")</f>
        <v>BatteryBox</v>
      </c>
      <c r="E9854" s="122">
        <f>IFERROR(__xludf.DUMMYFUNCTION("""COMPUTED_VALUE"""),116.54)</f>
        <v>116.54</v>
      </c>
      <c r="F9854" s="122">
        <f>IFERROR(__xludf.DUMMYFUNCTION("""COMPUTED_VALUE"""),-0.0058)</f>
        <v>-0.0058</v>
      </c>
    </row>
    <row r="9855">
      <c r="A9855" s="131">
        <f>IFERROR(__xludf.DUMMYFUNCTION("""COMPUTED_VALUE"""),46187.69594907408)</f>
        <v>46187.69595</v>
      </c>
      <c r="B9855" s="126">
        <f>IFERROR(__xludf.DUMMYFUNCTION("""COMPUTED_VALUE"""),46187.0)</f>
        <v>46187</v>
      </c>
      <c r="C9855" s="122" t="str">
        <f>IFERROR(__xludf.DUMMYFUNCTION("""COMPUTED_VALUE"""),"WIND")</f>
        <v>WIND</v>
      </c>
      <c r="D9855" s="122" t="str">
        <f>IFERROR(__xludf.DUMMYFUNCTION("""COMPUTED_VALUE"""),"WindWorks")</f>
        <v>WindWorks</v>
      </c>
      <c r="E9855" s="122">
        <f>IFERROR(__xludf.DUMMYFUNCTION("""COMPUTED_VALUE"""),86.16)</f>
        <v>86.16</v>
      </c>
      <c r="F9855" s="122">
        <f>IFERROR(__xludf.DUMMYFUNCTION("""COMPUTED_VALUE"""),-0.0058)</f>
        <v>-0.0058</v>
      </c>
    </row>
    <row r="9856">
      <c r="A9856" s="131">
        <f>IFERROR(__xludf.DUMMYFUNCTION("""COMPUTED_VALUE"""),46187.69594907408)</f>
        <v>46187.69595</v>
      </c>
      <c r="B9856" s="126">
        <f>IFERROR(__xludf.DUMMYFUNCTION("""COMPUTED_VALUE"""),46187.0)</f>
        <v>46187</v>
      </c>
      <c r="C9856" s="122" t="str">
        <f>IFERROR(__xludf.DUMMYFUNCTION("""COMPUTED_VALUE"""),"GRID")</f>
        <v>GRID</v>
      </c>
      <c r="D9856" s="122" t="str">
        <f>IFERROR(__xludf.DUMMYFUNCTION("""COMPUTED_VALUE"""),"GridPower")</f>
        <v>GridPower</v>
      </c>
      <c r="E9856" s="122">
        <f>IFERROR(__xludf.DUMMYFUNCTION("""COMPUTED_VALUE"""),126.27)</f>
        <v>126.27</v>
      </c>
      <c r="F9856" s="122">
        <f>IFERROR(__xludf.DUMMYFUNCTION("""COMPUTED_VALUE"""),0.0012)</f>
        <v>0.0012</v>
      </c>
    </row>
    <row r="9857">
      <c r="A9857" s="131">
        <f>IFERROR(__xludf.DUMMYFUNCTION("""COMPUTED_VALUE"""),46187.69594907408)</f>
        <v>46187.69595</v>
      </c>
      <c r="B9857" s="126">
        <f>IFERROR(__xludf.DUMMYFUNCTION("""COMPUTED_VALUE"""),46187.0)</f>
        <v>46187</v>
      </c>
      <c r="C9857" s="122" t="str">
        <f>IFERROR(__xludf.DUMMYFUNCTION("""COMPUTED_VALUE"""),"HOME")</f>
        <v>HOME</v>
      </c>
      <c r="D9857" s="122" t="str">
        <f>IFERROR(__xludf.DUMMYFUNCTION("""COMPUTED_VALUE"""),"HomeHub")</f>
        <v>HomeHub</v>
      </c>
      <c r="E9857" s="122">
        <f>IFERROR(__xludf.DUMMYFUNCTION("""COMPUTED_VALUE"""),163.69)</f>
        <v>163.69</v>
      </c>
      <c r="F9857" s="122">
        <f>IFERROR(__xludf.DUMMYFUNCTION("""COMPUTED_VALUE"""),-0.0016)</f>
        <v>-0.0016</v>
      </c>
    </row>
    <row r="9858">
      <c r="A9858" s="131">
        <f>IFERROR(__xludf.DUMMYFUNCTION("""COMPUTED_VALUE"""),46187.69594907408)</f>
        <v>46187.69595</v>
      </c>
      <c r="B9858" s="126">
        <f>IFERROR(__xludf.DUMMYFUNCTION("""COMPUTED_VALUE"""),46187.0)</f>
        <v>46187</v>
      </c>
      <c r="C9858" s="122" t="str">
        <f>IFERROR(__xludf.DUMMYFUNCTION("""COMPUTED_VALUE"""),"RENT")</f>
        <v>RENT</v>
      </c>
      <c r="D9858" s="122" t="str">
        <f>IFERROR(__xludf.DUMMYFUNCTION("""COMPUTED_VALUE"""),"RentRight")</f>
        <v>RentRight</v>
      </c>
      <c r="E9858" s="122">
        <f>IFERROR(__xludf.DUMMYFUNCTION("""COMPUTED_VALUE"""),88.49)</f>
        <v>88.49</v>
      </c>
      <c r="F9858" s="122">
        <f>IFERROR(__xludf.DUMMYFUNCTION("""COMPUTED_VALUE"""),-0.0035)</f>
        <v>-0.0035</v>
      </c>
    </row>
    <row r="9859">
      <c r="A9859" s="131">
        <f>IFERROR(__xludf.DUMMYFUNCTION("""COMPUTED_VALUE"""),46187.69594907408)</f>
        <v>46187.69595</v>
      </c>
      <c r="B9859" s="126">
        <f>IFERROR(__xludf.DUMMYFUNCTION("""COMPUTED_VALUE"""),46187.0)</f>
        <v>46187</v>
      </c>
      <c r="C9859" s="122" t="str">
        <f>IFERROR(__xludf.DUMMYFUNCTION("""COMPUTED_VALUE"""),"MALL")</f>
        <v>MALL</v>
      </c>
      <c r="D9859" s="122" t="str">
        <f>IFERROR(__xludf.DUMMYFUNCTION("""COMPUTED_VALUE"""),"MegaMall")</f>
        <v>MegaMall</v>
      </c>
      <c r="E9859" s="122">
        <f>IFERROR(__xludf.DUMMYFUNCTION("""COMPUTED_VALUE"""),102.35)</f>
        <v>102.35</v>
      </c>
      <c r="F9859" s="122">
        <f>IFERROR(__xludf.DUMMYFUNCTION("""COMPUTED_VALUE"""),0.0041)</f>
        <v>0.0041</v>
      </c>
    </row>
    <row r="9860">
      <c r="A9860" s="131">
        <f>IFERROR(__xludf.DUMMYFUNCTION("""COMPUTED_VALUE"""),46187.69594907408)</f>
        <v>46187.69595</v>
      </c>
      <c r="B9860" s="126">
        <f>IFERROR(__xludf.DUMMYFUNCTION("""COMPUTED_VALUE"""),46187.0)</f>
        <v>46187</v>
      </c>
      <c r="C9860" s="122" t="str">
        <f>IFERROR(__xludf.DUMMYFUNCTION("""COMPUTED_VALUE"""),"HOTL")</f>
        <v>HOTL</v>
      </c>
      <c r="D9860" s="122" t="str">
        <f>IFERROR(__xludf.DUMMYFUNCTION("""COMPUTED_VALUE"""),"HotelHive")</f>
        <v>HotelHive</v>
      </c>
      <c r="E9860" s="122">
        <f>IFERROR(__xludf.DUMMYFUNCTION("""COMPUTED_VALUE"""),118.25)</f>
        <v>118.25</v>
      </c>
      <c r="F9860" s="122">
        <f>IFERROR(__xludf.DUMMYFUNCTION("""COMPUTED_VALUE"""),-0.0024)</f>
        <v>-0.0024</v>
      </c>
    </row>
    <row r="9861">
      <c r="A9861" s="131">
        <f>IFERROR(__xludf.DUMMYFUNCTION("""COMPUTED_VALUE"""),46187.69594907408)</f>
        <v>46187.69595</v>
      </c>
      <c r="B9861" s="126">
        <f>IFERROR(__xludf.DUMMYFUNCTION("""COMPUTED_VALUE"""),46187.0)</f>
        <v>46187</v>
      </c>
      <c r="C9861" s="122" t="str">
        <f>IFERROR(__xludf.DUMMYFUNCTION("""COMPUTED_VALUE"""),"LAND")</f>
        <v>LAND</v>
      </c>
      <c r="D9861" s="122" t="str">
        <f>IFERROR(__xludf.DUMMYFUNCTION("""COMPUTED_VALUE"""),"LandLink")</f>
        <v>LandLink</v>
      </c>
      <c r="E9861" s="122">
        <f>IFERROR(__xludf.DUMMYFUNCTION("""COMPUTED_VALUE"""),186.91)</f>
        <v>186.91</v>
      </c>
      <c r="F9861" s="122">
        <f>IFERROR(__xludf.DUMMYFUNCTION("""COMPUTED_VALUE"""),-2.0E-4)</f>
        <v>-0.0002</v>
      </c>
    </row>
    <row r="9862">
      <c r="A9862" s="131">
        <f>IFERROR(__xludf.DUMMYFUNCTION("""COMPUTED_VALUE"""),46187.69594907408)</f>
        <v>46187.69595</v>
      </c>
      <c r="B9862" s="126">
        <f>IFERROR(__xludf.DUMMYFUNCTION("""COMPUTED_VALUE"""),46187.0)</f>
        <v>46187</v>
      </c>
      <c r="C9862" s="122" t="str">
        <f>IFERROR(__xludf.DUMMYFUNCTION("""COMPUTED_VALUE"""),"CARS")</f>
        <v>CARS</v>
      </c>
      <c r="D9862" s="122" t="str">
        <f>IFERROR(__xludf.DUMMYFUNCTION("""COMPUTED_VALUE"""),"AutoArena")</f>
        <v>AutoArena</v>
      </c>
      <c r="E9862" s="122">
        <f>IFERROR(__xludf.DUMMYFUNCTION("""COMPUTED_VALUE"""),80.19)</f>
        <v>80.19</v>
      </c>
      <c r="F9862" s="122">
        <f>IFERROR(__xludf.DUMMYFUNCTION("""COMPUTED_VALUE"""),-0.0102)</f>
        <v>-0.0102</v>
      </c>
    </row>
    <row r="9863">
      <c r="A9863" s="131">
        <f>IFERROR(__xludf.DUMMYFUNCTION("""COMPUTED_VALUE"""),46187.69594907408)</f>
        <v>46187.69595</v>
      </c>
      <c r="B9863" s="126">
        <f>IFERROR(__xludf.DUMMYFUNCTION("""COMPUTED_VALUE"""),46187.0)</f>
        <v>46187</v>
      </c>
      <c r="C9863" s="122" t="str">
        <f>IFERROR(__xludf.DUMMYFUNCTION("""COMPUTED_VALUE"""),"EVGO")</f>
        <v>EVGO</v>
      </c>
      <c r="D9863" s="122" t="str">
        <f>IFERROR(__xludf.DUMMYFUNCTION("""COMPUTED_VALUE"""),"EVGo Motors")</f>
        <v>EVGo Motors</v>
      </c>
      <c r="E9863" s="122">
        <f>IFERROR(__xludf.DUMMYFUNCTION("""COMPUTED_VALUE"""),195.79)</f>
        <v>195.79</v>
      </c>
      <c r="F9863" s="122">
        <f>IFERROR(__xludf.DUMMYFUNCTION("""COMPUTED_VALUE"""),0.0034)</f>
        <v>0.0034</v>
      </c>
    </row>
    <row r="9864">
      <c r="A9864" s="131">
        <f>IFERROR(__xludf.DUMMYFUNCTION("""COMPUTED_VALUE"""),46187.69594907408)</f>
        <v>46187.69595</v>
      </c>
      <c r="B9864" s="126">
        <f>IFERROR(__xludf.DUMMYFUNCTION("""COMPUTED_VALUE"""),46187.0)</f>
        <v>46187</v>
      </c>
      <c r="C9864" s="122" t="str">
        <f>IFERROR(__xludf.DUMMYFUNCTION("""COMPUTED_VALUE"""),"TIRE")</f>
        <v>TIRE</v>
      </c>
      <c r="D9864" s="122" t="str">
        <f>IFERROR(__xludf.DUMMYFUNCTION("""COMPUTED_VALUE"""),"TireTown")</f>
        <v>TireTown</v>
      </c>
      <c r="E9864" s="122">
        <f>IFERROR(__xludf.DUMMYFUNCTION("""COMPUTED_VALUE"""),99.28)</f>
        <v>99.28</v>
      </c>
      <c r="F9864" s="122">
        <f>IFERROR(__xludf.DUMMYFUNCTION("""COMPUTED_VALUE"""),-0.0035)</f>
        <v>-0.0035</v>
      </c>
    </row>
    <row r="9865">
      <c r="A9865" s="131">
        <f>IFERROR(__xludf.DUMMYFUNCTION("""COMPUTED_VALUE"""),46187.69594907408)</f>
        <v>46187.69595</v>
      </c>
      <c r="B9865" s="126">
        <f>IFERROR(__xludf.DUMMYFUNCTION("""COMPUTED_VALUE"""),46187.0)</f>
        <v>46187</v>
      </c>
      <c r="C9865" s="122" t="str">
        <f>IFERROR(__xludf.DUMMYFUNCTION("""COMPUTED_VALUE"""),"BIKE")</f>
        <v>BIKE</v>
      </c>
      <c r="D9865" s="122" t="str">
        <f>IFERROR(__xludf.DUMMYFUNCTION("""COMPUTED_VALUE"""),"BikeBox")</f>
        <v>BikeBox</v>
      </c>
      <c r="E9865" s="122">
        <f>IFERROR(__xludf.DUMMYFUNCTION("""COMPUTED_VALUE"""),50.6)</f>
        <v>50.6</v>
      </c>
      <c r="F9865" s="122">
        <f>IFERROR(__xludf.DUMMYFUNCTION("""COMPUTED_VALUE"""),-0.0047)</f>
        <v>-0.0047</v>
      </c>
    </row>
    <row r="9866">
      <c r="A9866" s="131">
        <f>IFERROR(__xludf.DUMMYFUNCTION("""COMPUTED_VALUE"""),46187.69594907408)</f>
        <v>46187.69595</v>
      </c>
      <c r="B9866" s="126">
        <f>IFERROR(__xludf.DUMMYFUNCTION("""COMPUTED_VALUE"""),46187.0)</f>
        <v>46187</v>
      </c>
      <c r="C9866" s="122" t="str">
        <f>IFERROR(__xludf.DUMMYFUNCTION("""COMPUTED_VALUE"""),"WASH")</f>
        <v>WASH</v>
      </c>
      <c r="D9866" s="122" t="str">
        <f>IFERROR(__xludf.DUMMYFUNCTION("""COMPUTED_VALUE"""),"CarWash Co")</f>
        <v>CarWash Co</v>
      </c>
      <c r="E9866" s="122">
        <f>IFERROR(__xludf.DUMMYFUNCTION("""COMPUTED_VALUE"""),123.5)</f>
        <v>123.5</v>
      </c>
      <c r="F9866" s="122">
        <f>IFERROR(__xludf.DUMMYFUNCTION("""COMPUTED_VALUE"""),-5.0E-4)</f>
        <v>-0.0005</v>
      </c>
    </row>
    <row r="9867">
      <c r="A9867" s="131">
        <f>IFERROR(__xludf.DUMMYFUNCTION("""COMPUTED_VALUE"""),46187.69594907408)</f>
        <v>46187.69595</v>
      </c>
      <c r="B9867" s="126">
        <f>IFERROR(__xludf.DUMMYFUNCTION("""COMPUTED_VALUE"""),46187.0)</f>
        <v>46187</v>
      </c>
      <c r="C9867" s="122" t="str">
        <f>IFERROR(__xludf.DUMMYFUNCTION("""COMPUTED_VALUE"""),"GBND")</f>
        <v>GBND</v>
      </c>
      <c r="D9867" s="122" t="str">
        <f>IFERROR(__xludf.DUMMYFUNCTION("""COMPUTED_VALUE"""),"Classroom Government Bond")</f>
        <v>Classroom Government Bond</v>
      </c>
      <c r="E9867" s="122">
        <f>IFERROR(__xludf.DUMMYFUNCTION("""COMPUTED_VALUE"""),101.19)</f>
        <v>101.19</v>
      </c>
      <c r="F9867" s="122">
        <f>IFERROR(__xludf.DUMMYFUNCTION("""COMPUTED_VALUE"""),-4.0E-4)</f>
        <v>-0.0004</v>
      </c>
    </row>
    <row r="9868">
      <c r="A9868" s="131">
        <f>IFERROR(__xludf.DUMMYFUNCTION("""COMPUTED_VALUE"""),46187.69594907408)</f>
        <v>46187.69595</v>
      </c>
      <c r="B9868" s="126">
        <f>IFERROR(__xludf.DUMMYFUNCTION("""COMPUTED_VALUE"""),46187.0)</f>
        <v>46187</v>
      </c>
      <c r="C9868" s="122" t="str">
        <f>IFERROR(__xludf.DUMMYFUNCTION("""COMPUTED_VALUE"""),"SBND")</f>
        <v>SBND</v>
      </c>
      <c r="D9868" s="122" t="str">
        <f>IFERROR(__xludf.DUMMYFUNCTION("""COMPUTED_VALUE"""),"School Savings Bond")</f>
        <v>School Savings Bond</v>
      </c>
      <c r="E9868" s="122">
        <f>IFERROR(__xludf.DUMMYFUNCTION("""COMPUTED_VALUE"""),99.22)</f>
        <v>99.22</v>
      </c>
      <c r="F9868" s="122">
        <f>IFERROR(__xludf.DUMMYFUNCTION("""COMPUTED_VALUE"""),-2.0E-4)</f>
        <v>-0.0002</v>
      </c>
    </row>
    <row r="9869">
      <c r="A9869" s="131">
        <f>IFERROR(__xludf.DUMMYFUNCTION("""COMPUTED_VALUE"""),46187.69594907408)</f>
        <v>46187.69595</v>
      </c>
      <c r="B9869" s="126">
        <f>IFERROR(__xludf.DUMMYFUNCTION("""COMPUTED_VALUE"""),46187.0)</f>
        <v>46187</v>
      </c>
      <c r="C9869" s="122" t="str">
        <f>IFERROR(__xludf.DUMMYFUNCTION("""COMPUTED_VALUE"""),"CBND")</f>
        <v>CBND</v>
      </c>
      <c r="D9869" s="122" t="str">
        <f>IFERROR(__xludf.DUMMYFUNCTION("""COMPUTED_VALUE"""),"Corporate Classroom Bond")</f>
        <v>Corporate Classroom Bond</v>
      </c>
      <c r="E9869" s="122">
        <f>IFERROR(__xludf.DUMMYFUNCTION("""COMPUTED_VALUE"""),98.1)</f>
        <v>98.1</v>
      </c>
      <c r="F9869" s="122">
        <f>IFERROR(__xludf.DUMMYFUNCTION("""COMPUTED_VALUE"""),0.0)</f>
        <v>0</v>
      </c>
    </row>
    <row r="9870">
      <c r="A9870" s="131">
        <f>IFERROR(__xludf.DUMMYFUNCTION("""COMPUTED_VALUE"""),46187.69594907408)</f>
        <v>46187.69595</v>
      </c>
      <c r="B9870" s="126">
        <f>IFERROR(__xludf.DUMMYFUNCTION("""COMPUTED_VALUE"""),46187.0)</f>
        <v>46187</v>
      </c>
      <c r="C9870" s="122" t="str">
        <f>IFERROR(__xludf.DUMMYFUNCTION("""COMPUTED_VALUE"""),"TBIL")</f>
        <v>TBIL</v>
      </c>
      <c r="D9870" s="122" t="str">
        <f>IFERROR(__xludf.DUMMYFUNCTION("""COMPUTED_VALUE"""),"Treasury Bill")</f>
        <v>Treasury Bill</v>
      </c>
      <c r="E9870" s="122">
        <f>IFERROR(__xludf.DUMMYFUNCTION("""COMPUTED_VALUE"""),97.84)</f>
        <v>97.84</v>
      </c>
      <c r="F9870" s="122">
        <f>IFERROR(__xludf.DUMMYFUNCTION("""COMPUTED_VALUE"""),2.0E-4)</f>
        <v>0.0002</v>
      </c>
    </row>
    <row r="9871">
      <c r="A9871" s="131">
        <f>IFERROR(__xludf.DUMMYFUNCTION("""COMPUTED_VALUE"""),46187.69594907408)</f>
        <v>46187.69595</v>
      </c>
      <c r="B9871" s="126">
        <f>IFERROR(__xludf.DUMMYFUNCTION("""COMPUTED_VALUE"""),46187.0)</f>
        <v>46187</v>
      </c>
      <c r="C9871" s="122" t="str">
        <f>IFERROR(__xludf.DUMMYFUNCTION("""COMPUTED_VALUE"""),"IBND")</f>
        <v>IBND</v>
      </c>
      <c r="D9871" s="122" t="str">
        <f>IFERROR(__xludf.DUMMYFUNCTION("""COMPUTED_VALUE"""),"Inflation Protected Bond")</f>
        <v>Inflation Protected Bond</v>
      </c>
      <c r="E9871" s="122">
        <f>IFERROR(__xludf.DUMMYFUNCTION("""COMPUTED_VALUE"""),100.64)</f>
        <v>100.64</v>
      </c>
      <c r="F9871" s="122">
        <f>IFERROR(__xludf.DUMMYFUNCTION("""COMPUTED_VALUE"""),-3.0E-4)</f>
        <v>-0.0003</v>
      </c>
    </row>
    <row r="9872">
      <c r="A9872" s="131">
        <f>IFERROR(__xludf.DUMMYFUNCTION("""COMPUTED_VALUE"""),46187.69939814815)</f>
        <v>46187.6994</v>
      </c>
      <c r="B9872" s="126">
        <f>IFERROR(__xludf.DUMMYFUNCTION("""COMPUTED_VALUE"""),46187.0)</f>
        <v>46187</v>
      </c>
      <c r="C9872" s="122" t="str">
        <f>IFERROR(__xludf.DUMMYFUNCTION("""COMPUTED_VALUE"""),"SNAX")</f>
        <v>SNAX</v>
      </c>
      <c r="D9872" s="122" t="str">
        <f>IFERROR(__xludf.DUMMYFUNCTION("""COMPUTED_VALUE"""),"MICA Snacks")</f>
        <v>MICA Snacks</v>
      </c>
      <c r="E9872" s="122">
        <f>IFERROR(__xludf.DUMMYFUNCTION("""COMPUTED_VALUE"""),122.87)</f>
        <v>122.87</v>
      </c>
      <c r="F9872" s="122">
        <f>IFERROR(__xludf.DUMMYFUNCTION("""COMPUTED_VALUE"""),0.0052)</f>
        <v>0.0052</v>
      </c>
    </row>
    <row r="9873">
      <c r="A9873" s="131">
        <f>IFERROR(__xludf.DUMMYFUNCTION("""COMPUTED_VALUE"""),46187.69939814815)</f>
        <v>46187.6994</v>
      </c>
      <c r="B9873" s="126">
        <f>IFERROR(__xludf.DUMMYFUNCTION("""COMPUTED_VALUE"""),46187.0)</f>
        <v>46187</v>
      </c>
      <c r="C9873" s="122" t="str">
        <f>IFERROR(__xludf.DUMMYFUNCTION("""COMPUTED_VALUE"""),"RAMN")</f>
        <v>RAMN</v>
      </c>
      <c r="D9873" s="122" t="str">
        <f>IFERROR(__xludf.DUMMYFUNCTION("""COMPUTED_VALUE"""),"Ramen Republic")</f>
        <v>Ramen Republic</v>
      </c>
      <c r="E9873" s="122">
        <f>IFERROR(__xludf.DUMMYFUNCTION("""COMPUTED_VALUE"""),58.81)</f>
        <v>58.81</v>
      </c>
      <c r="F9873" s="122">
        <f>IFERROR(__xludf.DUMMYFUNCTION("""COMPUTED_VALUE"""),-0.0027)</f>
        <v>-0.0027</v>
      </c>
    </row>
    <row r="9874">
      <c r="A9874" s="131">
        <f>IFERROR(__xludf.DUMMYFUNCTION("""COMPUTED_VALUE"""),46187.69939814815)</f>
        <v>46187.6994</v>
      </c>
      <c r="B9874" s="126">
        <f>IFERROR(__xludf.DUMMYFUNCTION("""COMPUTED_VALUE"""),46187.0)</f>
        <v>46187</v>
      </c>
      <c r="C9874" s="122" t="str">
        <f>IFERROR(__xludf.DUMMYFUNCTION("""COMPUTED_VALUE"""),"COLA")</f>
        <v>COLA</v>
      </c>
      <c r="D9874" s="122" t="str">
        <f>IFERROR(__xludf.DUMMYFUNCTION("""COMPUTED_VALUE"""),"K-Pop Cola")</f>
        <v>K-Pop Cola</v>
      </c>
      <c r="E9874" s="122">
        <f>IFERROR(__xludf.DUMMYFUNCTION("""COMPUTED_VALUE"""),115.12)</f>
        <v>115.12</v>
      </c>
      <c r="F9874" s="122">
        <f>IFERROR(__xludf.DUMMYFUNCTION("""COMPUTED_VALUE"""),0.0073)</f>
        <v>0.0073</v>
      </c>
    </row>
    <row r="9875">
      <c r="A9875" s="131">
        <f>IFERROR(__xludf.DUMMYFUNCTION("""COMPUTED_VALUE"""),46187.69939814815)</f>
        <v>46187.6994</v>
      </c>
      <c r="B9875" s="126">
        <f>IFERROR(__xludf.DUMMYFUNCTION("""COMPUTED_VALUE"""),46187.0)</f>
        <v>46187</v>
      </c>
      <c r="C9875" s="122" t="str">
        <f>IFERROR(__xludf.DUMMYFUNCTION("""COMPUTED_VALUE"""),"CHIP")</f>
        <v>CHIP</v>
      </c>
      <c r="D9875" s="122" t="str">
        <f>IFERROR(__xludf.DUMMYFUNCTION("""COMPUTED_VALUE"""),"Chip Empire")</f>
        <v>Chip Empire</v>
      </c>
      <c r="E9875" s="122">
        <f>IFERROR(__xludf.DUMMYFUNCTION("""COMPUTED_VALUE"""),82.39)</f>
        <v>82.39</v>
      </c>
      <c r="F9875" s="122">
        <f>IFERROR(__xludf.DUMMYFUNCTION("""COMPUTED_VALUE"""),0.005)</f>
        <v>0.005</v>
      </c>
    </row>
    <row r="9876">
      <c r="A9876" s="131">
        <f>IFERROR(__xludf.DUMMYFUNCTION("""COMPUTED_VALUE"""),46187.69939814815)</f>
        <v>46187.6994</v>
      </c>
      <c r="B9876" s="126">
        <f>IFERROR(__xludf.DUMMYFUNCTION("""COMPUTED_VALUE"""),46187.0)</f>
        <v>46187</v>
      </c>
      <c r="C9876" s="122" t="str">
        <f>IFERROR(__xludf.DUMMYFUNCTION("""COMPUTED_VALUE"""),"CAND")</f>
        <v>CAND</v>
      </c>
      <c r="D9876" s="122" t="str">
        <f>IFERROR(__xludf.DUMMYFUNCTION("""COMPUTED_VALUE"""),"Candy Capital")</f>
        <v>Candy Capital</v>
      </c>
      <c r="E9876" s="122">
        <f>IFERROR(__xludf.DUMMYFUNCTION("""COMPUTED_VALUE"""),76.91)</f>
        <v>76.91</v>
      </c>
      <c r="F9876" s="122">
        <f>IFERROR(__xludf.DUMMYFUNCTION("""COMPUTED_VALUE"""),0.0058)</f>
        <v>0.0058</v>
      </c>
    </row>
    <row r="9877">
      <c r="A9877" s="131">
        <f>IFERROR(__xludf.DUMMYFUNCTION("""COMPUTED_VALUE"""),46187.69939814815)</f>
        <v>46187.6994</v>
      </c>
      <c r="B9877" s="126">
        <f>IFERROR(__xludf.DUMMYFUNCTION("""COMPUTED_VALUE"""),46187.0)</f>
        <v>46187</v>
      </c>
      <c r="C9877" s="122" t="str">
        <f>IFERROR(__xludf.DUMMYFUNCTION("""COMPUTED_VALUE"""),"TECH")</f>
        <v>TECH</v>
      </c>
      <c r="D9877" s="122" t="str">
        <f>IFERROR(__xludf.DUMMYFUNCTION("""COMPUTED_VALUE"""),"Dragon Tech")</f>
        <v>Dragon Tech</v>
      </c>
      <c r="E9877" s="122">
        <f>IFERROR(__xludf.DUMMYFUNCTION("""COMPUTED_VALUE"""),250.42)</f>
        <v>250.42</v>
      </c>
      <c r="F9877" s="122">
        <f>IFERROR(__xludf.DUMMYFUNCTION("""COMPUTED_VALUE"""),-0.0091)</f>
        <v>-0.0091</v>
      </c>
    </row>
    <row r="9878">
      <c r="A9878" s="131">
        <f>IFERROR(__xludf.DUMMYFUNCTION("""COMPUTED_VALUE"""),46187.69939814815)</f>
        <v>46187.6994</v>
      </c>
      <c r="B9878" s="126">
        <f>IFERROR(__xludf.DUMMYFUNCTION("""COMPUTED_VALUE"""),46187.0)</f>
        <v>46187</v>
      </c>
      <c r="C9878" s="122" t="str">
        <f>IFERROR(__xludf.DUMMYFUNCTION("""COMPUTED_VALUE"""),"AIBO")</f>
        <v>AIBO</v>
      </c>
      <c r="D9878" s="122" t="str">
        <f>IFERROR(__xludf.DUMMYFUNCTION("""COMPUTED_VALUE"""),"Homework AI")</f>
        <v>Homework AI</v>
      </c>
      <c r="E9878" s="122">
        <f>IFERROR(__xludf.DUMMYFUNCTION("""COMPUTED_VALUE"""),192.38)</f>
        <v>192.38</v>
      </c>
      <c r="F9878" s="122">
        <f>IFERROR(__xludf.DUMMYFUNCTION("""COMPUTED_VALUE"""),-0.0058)</f>
        <v>-0.0058</v>
      </c>
    </row>
    <row r="9879">
      <c r="A9879" s="131">
        <f>IFERROR(__xludf.DUMMYFUNCTION("""COMPUTED_VALUE"""),46187.69939814815)</f>
        <v>46187.6994</v>
      </c>
      <c r="B9879" s="126">
        <f>IFERROR(__xludf.DUMMYFUNCTION("""COMPUTED_VALUE"""),46187.0)</f>
        <v>46187</v>
      </c>
      <c r="C9879" s="122" t="str">
        <f>IFERROR(__xludf.DUMMYFUNCTION("""COMPUTED_VALUE"""),"GAME")</f>
        <v>GAME</v>
      </c>
      <c r="D9879" s="122" t="str">
        <f>IFERROR(__xludf.DUMMYFUNCTION("""COMPUTED_VALUE"""),"GameBox Media")</f>
        <v>GameBox Media</v>
      </c>
      <c r="E9879" s="122">
        <f>IFERROR(__xludf.DUMMYFUNCTION("""COMPUTED_VALUE"""),103.19)</f>
        <v>103.19</v>
      </c>
      <c r="F9879" s="122">
        <f>IFERROR(__xludf.DUMMYFUNCTION("""COMPUTED_VALUE"""),-0.0015)</f>
        <v>-0.0015</v>
      </c>
    </row>
    <row r="9880">
      <c r="A9880" s="131">
        <f>IFERROR(__xludf.DUMMYFUNCTION("""COMPUTED_VALUE"""),46187.69939814815)</f>
        <v>46187.6994</v>
      </c>
      <c r="B9880" s="126">
        <f>IFERROR(__xludf.DUMMYFUNCTION("""COMPUTED_VALUE"""),46187.0)</f>
        <v>46187</v>
      </c>
      <c r="C9880" s="122" t="str">
        <f>IFERROR(__xludf.DUMMYFUNCTION("""COMPUTED_VALUE"""),"VRSE")</f>
        <v>VRSE</v>
      </c>
      <c r="D9880" s="122" t="str">
        <f>IFERROR(__xludf.DUMMYFUNCTION("""COMPUTED_VALUE"""),"VerseVR")</f>
        <v>VerseVR</v>
      </c>
      <c r="E9880" s="122">
        <f>IFERROR(__xludf.DUMMYFUNCTION("""COMPUTED_VALUE"""),147.12)</f>
        <v>147.12</v>
      </c>
      <c r="F9880" s="122">
        <f>IFERROR(__xludf.DUMMYFUNCTION("""COMPUTED_VALUE"""),-2.0E-4)</f>
        <v>-0.0002</v>
      </c>
    </row>
    <row r="9881">
      <c r="A9881" s="131">
        <f>IFERROR(__xludf.DUMMYFUNCTION("""COMPUTED_VALUE"""),46187.69939814815)</f>
        <v>46187.6994</v>
      </c>
      <c r="B9881" s="126">
        <f>IFERROR(__xludf.DUMMYFUNCTION("""COMPUTED_VALUE"""),46187.0)</f>
        <v>46187</v>
      </c>
      <c r="C9881" s="122" t="str">
        <f>IFERROR(__xludf.DUMMYFUNCTION("""COMPUTED_VALUE"""),"BYTE")</f>
        <v>BYTE</v>
      </c>
      <c r="D9881" s="122" t="str">
        <f>IFERROR(__xludf.DUMMYFUNCTION("""COMPUTED_VALUE"""),"ByteWorks")</f>
        <v>ByteWorks</v>
      </c>
      <c r="E9881" s="122">
        <f>IFERROR(__xludf.DUMMYFUNCTION("""COMPUTED_VALUE"""),111.2)</f>
        <v>111.2</v>
      </c>
      <c r="F9881" s="122">
        <f>IFERROR(__xludf.DUMMYFUNCTION("""COMPUTED_VALUE"""),-0.0041)</f>
        <v>-0.0041</v>
      </c>
    </row>
    <row r="9882">
      <c r="A9882" s="131">
        <f>IFERROR(__xludf.DUMMYFUNCTION("""COMPUTED_VALUE"""),46187.69939814815)</f>
        <v>46187.6994</v>
      </c>
      <c r="B9882" s="126">
        <f>IFERROR(__xludf.DUMMYFUNCTION("""COMPUTED_VALUE"""),46187.0)</f>
        <v>46187</v>
      </c>
      <c r="C9882" s="122" t="str">
        <f>IFERROR(__xludf.DUMMYFUNCTION("""COMPUTED_VALUE"""),"BANK")</f>
        <v>BANK</v>
      </c>
      <c r="D9882" s="122" t="str">
        <f>IFERROR(__xludf.DUMMYFUNCTION("""COMPUTED_VALUE"""),"Tiger Bank")</f>
        <v>Tiger Bank</v>
      </c>
      <c r="E9882" s="122">
        <f>IFERROR(__xludf.DUMMYFUNCTION("""COMPUTED_VALUE"""),133.56)</f>
        <v>133.56</v>
      </c>
      <c r="F9882" s="122">
        <f>IFERROR(__xludf.DUMMYFUNCTION("""COMPUTED_VALUE"""),0.001)</f>
        <v>0.001</v>
      </c>
    </row>
    <row r="9883">
      <c r="A9883" s="131">
        <f>IFERROR(__xludf.DUMMYFUNCTION("""COMPUTED_VALUE"""),46187.69939814815)</f>
        <v>46187.6994</v>
      </c>
      <c r="B9883" s="126">
        <f>IFERROR(__xludf.DUMMYFUNCTION("""COMPUTED_VALUE"""),46187.0)</f>
        <v>46187</v>
      </c>
      <c r="C9883" s="122" t="str">
        <f>IFERROR(__xludf.DUMMYFUNCTION("""COMPUTED_VALUE"""),"CRED")</f>
        <v>CRED</v>
      </c>
      <c r="D9883" s="122" t="str">
        <f>IFERROR(__xludf.DUMMYFUNCTION("""COMPUTED_VALUE"""),"Credit Castle")</f>
        <v>Credit Castle</v>
      </c>
      <c r="E9883" s="122">
        <f>IFERROR(__xludf.DUMMYFUNCTION("""COMPUTED_VALUE"""),67.56)</f>
        <v>67.56</v>
      </c>
      <c r="F9883" s="122">
        <f>IFERROR(__xludf.DUMMYFUNCTION("""COMPUTED_VALUE"""),0.0018)</f>
        <v>0.0018</v>
      </c>
    </row>
    <row r="9884">
      <c r="A9884" s="131">
        <f>IFERROR(__xludf.DUMMYFUNCTION("""COMPUTED_VALUE"""),46187.69939814815)</f>
        <v>46187.6994</v>
      </c>
      <c r="B9884" s="126">
        <f>IFERROR(__xludf.DUMMYFUNCTION("""COMPUTED_VALUE"""),46187.0)</f>
        <v>46187</v>
      </c>
      <c r="C9884" s="122" t="str">
        <f>IFERROR(__xludf.DUMMYFUNCTION("""COMPUTED_VALUE"""),"BOND")</f>
        <v>BOND</v>
      </c>
      <c r="D9884" s="122" t="str">
        <f>IFERROR(__xludf.DUMMYFUNCTION("""COMPUTED_VALUE"""),"BondBridge")</f>
        <v>BondBridge</v>
      </c>
      <c r="E9884" s="122">
        <f>IFERROR(__xludf.DUMMYFUNCTION("""COMPUTED_VALUE"""),107.77)</f>
        <v>107.77</v>
      </c>
      <c r="F9884" s="122">
        <f>IFERROR(__xludf.DUMMYFUNCTION("""COMPUTED_VALUE"""),0.0022)</f>
        <v>0.0022</v>
      </c>
    </row>
    <row r="9885">
      <c r="A9885" s="131">
        <f>IFERROR(__xludf.DUMMYFUNCTION("""COMPUTED_VALUE"""),46187.69939814815)</f>
        <v>46187.6994</v>
      </c>
      <c r="B9885" s="126">
        <f>IFERROR(__xludf.DUMMYFUNCTION("""COMPUTED_VALUE"""),46187.0)</f>
        <v>46187</v>
      </c>
      <c r="C9885" s="122" t="str">
        <f>IFERROR(__xludf.DUMMYFUNCTION("""COMPUTED_VALUE"""),"INSR")</f>
        <v>INSR</v>
      </c>
      <c r="D9885" s="122" t="str">
        <f>IFERROR(__xludf.DUMMYFUNCTION("""COMPUTED_VALUE"""),"Shield Insurance")</f>
        <v>Shield Insurance</v>
      </c>
      <c r="E9885" s="122">
        <f>IFERROR(__xludf.DUMMYFUNCTION("""COMPUTED_VALUE"""),158.28)</f>
        <v>158.28</v>
      </c>
      <c r="F9885" s="122">
        <f>IFERROR(__xludf.DUMMYFUNCTION("""COMPUTED_VALUE"""),0.0016)</f>
        <v>0.0016</v>
      </c>
    </row>
    <row r="9886">
      <c r="A9886" s="131">
        <f>IFERROR(__xludf.DUMMYFUNCTION("""COMPUTED_VALUE"""),46187.69939814815)</f>
        <v>46187.6994</v>
      </c>
      <c r="B9886" s="126">
        <f>IFERROR(__xludf.DUMMYFUNCTION("""COMPUTED_VALUE"""),46187.0)</f>
        <v>46187</v>
      </c>
      <c r="C9886" s="122" t="str">
        <f>IFERROR(__xludf.DUMMYFUNCTION("""COMPUTED_VALUE"""),"LOAN")</f>
        <v>LOAN</v>
      </c>
      <c r="D9886" s="122" t="str">
        <f>IFERROR(__xludf.DUMMYFUNCTION("""COMPUTED_VALUE"""),"LoanLab")</f>
        <v>LoanLab</v>
      </c>
      <c r="E9886" s="122">
        <f>IFERROR(__xludf.DUMMYFUNCTION("""COMPUTED_VALUE"""),76.05)</f>
        <v>76.05</v>
      </c>
      <c r="F9886" s="122">
        <f>IFERROR(__xludf.DUMMYFUNCTION("""COMPUTED_VALUE"""),0.0064)</f>
        <v>0.0064</v>
      </c>
    </row>
    <row r="9887">
      <c r="A9887" s="131">
        <f>IFERROR(__xludf.DUMMYFUNCTION("""COMPUTED_VALUE"""),46187.69939814815)</f>
        <v>46187.6994</v>
      </c>
      <c r="B9887" s="126">
        <f>IFERROR(__xludf.DUMMYFUNCTION("""COMPUTED_VALUE"""),46187.0)</f>
        <v>46187</v>
      </c>
      <c r="C9887" s="122" t="str">
        <f>IFERROR(__xludf.DUMMYFUNCTION("""COMPUTED_VALUE"""),"LUXE")</f>
        <v>LUXE</v>
      </c>
      <c r="D9887" s="122" t="str">
        <f>IFERROR(__xludf.DUMMYFUNCTION("""COMPUTED_VALUE"""),"Luxury Locker")</f>
        <v>Luxury Locker</v>
      </c>
      <c r="E9887" s="122">
        <f>IFERROR(__xludf.DUMMYFUNCTION("""COMPUTED_VALUE"""),271.64)</f>
        <v>271.64</v>
      </c>
      <c r="F9887" s="122">
        <f>IFERROR(__xludf.DUMMYFUNCTION("""COMPUTED_VALUE"""),0.0051)</f>
        <v>0.0051</v>
      </c>
    </row>
    <row r="9888">
      <c r="A9888" s="131">
        <f>IFERROR(__xludf.DUMMYFUNCTION("""COMPUTED_VALUE"""),46187.69939814815)</f>
        <v>46187.6994</v>
      </c>
      <c r="B9888" s="126">
        <f>IFERROR(__xludf.DUMMYFUNCTION("""COMPUTED_VALUE"""),46187.0)</f>
        <v>46187</v>
      </c>
      <c r="C9888" s="122" t="str">
        <f>IFERROR(__xludf.DUMMYFUNCTION("""COMPUTED_VALUE"""),"DRIP")</f>
        <v>DRIP</v>
      </c>
      <c r="D9888" s="122" t="str">
        <f>IFERROR(__xludf.DUMMYFUNCTION("""COMPUTED_VALUE"""),"Drip Streetwear")</f>
        <v>Drip Streetwear</v>
      </c>
      <c r="E9888" s="122">
        <f>IFERROR(__xludf.DUMMYFUNCTION("""COMPUTED_VALUE"""),190.31)</f>
        <v>190.31</v>
      </c>
      <c r="F9888" s="122">
        <f>IFERROR(__xludf.DUMMYFUNCTION("""COMPUTED_VALUE"""),-0.0024)</f>
        <v>-0.0024</v>
      </c>
    </row>
    <row r="9889">
      <c r="A9889" s="131">
        <f>IFERROR(__xludf.DUMMYFUNCTION("""COMPUTED_VALUE"""),46187.69939814815)</f>
        <v>46187.6994</v>
      </c>
      <c r="B9889" s="126">
        <f>IFERROR(__xludf.DUMMYFUNCTION("""COMPUTED_VALUE"""),46187.0)</f>
        <v>46187</v>
      </c>
      <c r="C9889" s="122" t="str">
        <f>IFERROR(__xludf.DUMMYFUNCTION("""COMPUTED_VALUE"""),"KICK")</f>
        <v>KICK</v>
      </c>
      <c r="D9889" s="122" t="str">
        <f>IFERROR(__xludf.DUMMYFUNCTION("""COMPUTED_VALUE"""),"KickDrop Sneakers")</f>
        <v>KickDrop Sneakers</v>
      </c>
      <c r="E9889" s="122">
        <f>IFERROR(__xludf.DUMMYFUNCTION("""COMPUTED_VALUE"""),169.85)</f>
        <v>169.85</v>
      </c>
      <c r="F9889" s="122">
        <f>IFERROR(__xludf.DUMMYFUNCTION("""COMPUTED_VALUE"""),0.0062)</f>
        <v>0.0062</v>
      </c>
    </row>
    <row r="9890">
      <c r="A9890" s="131">
        <f>IFERROR(__xludf.DUMMYFUNCTION("""COMPUTED_VALUE"""),46187.69939814815)</f>
        <v>46187.6994</v>
      </c>
      <c r="B9890" s="126">
        <f>IFERROR(__xludf.DUMMYFUNCTION("""COMPUTED_VALUE"""),46187.0)</f>
        <v>46187</v>
      </c>
      <c r="C9890" s="122" t="str">
        <f>IFERROR(__xludf.DUMMYFUNCTION("""COMPUTED_VALUE"""),"GLAM")</f>
        <v>GLAM</v>
      </c>
      <c r="D9890" s="122" t="str">
        <f>IFERROR(__xludf.DUMMYFUNCTION("""COMPUTED_VALUE"""),"Glow Cosmetics")</f>
        <v>Glow Cosmetics</v>
      </c>
      <c r="E9890" s="122">
        <f>IFERROR(__xludf.DUMMYFUNCTION("""COMPUTED_VALUE"""),112.01)</f>
        <v>112.01</v>
      </c>
      <c r="F9890" s="122">
        <f>IFERROR(__xludf.DUMMYFUNCTION("""COMPUTED_VALUE"""),0.0024)</f>
        <v>0.0024</v>
      </c>
    </row>
    <row r="9891">
      <c r="A9891" s="131">
        <f>IFERROR(__xludf.DUMMYFUNCTION("""COMPUTED_VALUE"""),46187.69939814815)</f>
        <v>46187.6994</v>
      </c>
      <c r="B9891" s="126">
        <f>IFERROR(__xludf.DUMMYFUNCTION("""COMPUTED_VALUE"""),46187.0)</f>
        <v>46187</v>
      </c>
      <c r="C9891" s="122" t="str">
        <f>IFERROR(__xludf.DUMMYFUNCTION("""COMPUTED_VALUE"""),"BAGG")</f>
        <v>BAGG</v>
      </c>
      <c r="D9891" s="122" t="str">
        <f>IFERROR(__xludf.DUMMYFUNCTION("""COMPUTED_VALUE"""),"BagVault")</f>
        <v>BagVault</v>
      </c>
      <c r="E9891" s="122">
        <f>IFERROR(__xludf.DUMMYFUNCTION("""COMPUTED_VALUE"""),280.2)</f>
        <v>280.2</v>
      </c>
      <c r="F9891" s="122">
        <f>IFERROR(__xludf.DUMMYFUNCTION("""COMPUTED_VALUE"""),0.0018)</f>
        <v>0.0018</v>
      </c>
    </row>
    <row r="9892">
      <c r="A9892" s="131">
        <f>IFERROR(__xludf.DUMMYFUNCTION("""COMPUTED_VALUE"""),46187.69939814815)</f>
        <v>46187.6994</v>
      </c>
      <c r="B9892" s="126">
        <f>IFERROR(__xludf.DUMMYFUNCTION("""COMPUTED_VALUE"""),46187.0)</f>
        <v>46187</v>
      </c>
      <c r="C9892" s="122" t="str">
        <f>IFERROR(__xludf.DUMMYFUNCTION("""COMPUTED_VALUE"""),"FAST")</f>
        <v>FAST</v>
      </c>
      <c r="D9892" s="122" t="str">
        <f>IFERROR(__xludf.DUMMYFUNCTION("""COMPUTED_VALUE"""),"Flash Logistics")</f>
        <v>Flash Logistics</v>
      </c>
      <c r="E9892" s="122">
        <f>IFERROR(__xludf.DUMMYFUNCTION("""COMPUTED_VALUE"""),110.59)</f>
        <v>110.59</v>
      </c>
      <c r="F9892" s="122">
        <f>IFERROR(__xludf.DUMMYFUNCTION("""COMPUTED_VALUE"""),0.0055)</f>
        <v>0.0055</v>
      </c>
    </row>
    <row r="9893">
      <c r="A9893" s="131">
        <f>IFERROR(__xludf.DUMMYFUNCTION("""COMPUTED_VALUE"""),46187.69939814815)</f>
        <v>46187.6994</v>
      </c>
      <c r="B9893" s="126">
        <f>IFERROR(__xludf.DUMMYFUNCTION("""COMPUTED_VALUE"""),46187.0)</f>
        <v>46187</v>
      </c>
      <c r="C9893" s="122" t="str">
        <f>IFERROR(__xludf.DUMMYFUNCTION("""COMPUTED_VALUE"""),"SHIP")</f>
        <v>SHIP</v>
      </c>
      <c r="D9893" s="122" t="str">
        <f>IFERROR(__xludf.DUMMYFUNCTION("""COMPUTED_VALUE"""),"Seoul Shipping")</f>
        <v>Seoul Shipping</v>
      </c>
      <c r="E9893" s="122">
        <f>IFERROR(__xludf.DUMMYFUNCTION("""COMPUTED_VALUE"""),132.15)</f>
        <v>132.15</v>
      </c>
      <c r="F9893" s="122">
        <f>IFERROR(__xludf.DUMMYFUNCTION("""COMPUTED_VALUE"""),0.0075)</f>
        <v>0.0075</v>
      </c>
    </row>
    <row r="9894">
      <c r="A9894" s="131">
        <f>IFERROR(__xludf.DUMMYFUNCTION("""COMPUTED_VALUE"""),46187.69939814815)</f>
        <v>46187.6994</v>
      </c>
      <c r="B9894" s="126">
        <f>IFERROR(__xludf.DUMMYFUNCTION("""COMPUTED_VALUE"""),46187.0)</f>
        <v>46187</v>
      </c>
      <c r="C9894" s="122" t="str">
        <f>IFERROR(__xludf.DUMMYFUNCTION("""COMPUTED_VALUE"""),"DRON")</f>
        <v>DRON</v>
      </c>
      <c r="D9894" s="122" t="str">
        <f>IFERROR(__xludf.DUMMYFUNCTION("""COMPUTED_VALUE"""),"DroneDrop")</f>
        <v>DroneDrop</v>
      </c>
      <c r="E9894" s="122">
        <f>IFERROR(__xludf.DUMMYFUNCTION("""COMPUTED_VALUE"""),123.27)</f>
        <v>123.27</v>
      </c>
      <c r="F9894" s="122">
        <f>IFERROR(__xludf.DUMMYFUNCTION("""COMPUTED_VALUE"""),0.0041)</f>
        <v>0.0041</v>
      </c>
    </row>
    <row r="9895">
      <c r="A9895" s="131">
        <f>IFERROR(__xludf.DUMMYFUNCTION("""COMPUTED_VALUE"""),46187.69939814815)</f>
        <v>46187.6994</v>
      </c>
      <c r="B9895" s="126">
        <f>IFERROR(__xludf.DUMMYFUNCTION("""COMPUTED_VALUE"""),46187.0)</f>
        <v>46187</v>
      </c>
      <c r="C9895" s="122" t="str">
        <f>IFERROR(__xludf.DUMMYFUNCTION("""COMPUTED_VALUE"""),"RIDE")</f>
        <v>RIDE</v>
      </c>
      <c r="D9895" s="122" t="str">
        <f>IFERROR(__xludf.DUMMYFUNCTION("""COMPUTED_VALUE"""),"QuickRide")</f>
        <v>QuickRide</v>
      </c>
      <c r="E9895" s="122">
        <f>IFERROR(__xludf.DUMMYFUNCTION("""COMPUTED_VALUE"""),98.67)</f>
        <v>98.67</v>
      </c>
      <c r="F9895" s="122">
        <f>IFERROR(__xludf.DUMMYFUNCTION("""COMPUTED_VALUE"""),6.0E-4)</f>
        <v>0.0006</v>
      </c>
    </row>
    <row r="9896">
      <c r="A9896" s="131">
        <f>IFERROR(__xludf.DUMMYFUNCTION("""COMPUTED_VALUE"""),46187.69939814815)</f>
        <v>46187.6994</v>
      </c>
      <c r="B9896" s="126">
        <f>IFERROR(__xludf.DUMMYFUNCTION("""COMPUTED_VALUE"""),46187.0)</f>
        <v>46187</v>
      </c>
      <c r="C9896" s="122" t="str">
        <f>IFERROR(__xludf.DUMMYFUNCTION("""COMPUTED_VALUE"""),"RAIL")</f>
        <v>RAIL</v>
      </c>
      <c r="D9896" s="122" t="str">
        <f>IFERROR(__xludf.DUMMYFUNCTION("""COMPUTED_VALUE"""),"MetroRail Corp")</f>
        <v>MetroRail Corp</v>
      </c>
      <c r="E9896" s="122">
        <f>IFERROR(__xludf.DUMMYFUNCTION("""COMPUTED_VALUE"""),129.95)</f>
        <v>129.95</v>
      </c>
      <c r="F9896" s="122">
        <f>IFERROR(__xludf.DUMMYFUNCTION("""COMPUTED_VALUE"""),-0.0012)</f>
        <v>-0.0012</v>
      </c>
    </row>
    <row r="9897">
      <c r="A9897" s="131">
        <f>IFERROR(__xludf.DUMMYFUNCTION("""COMPUTED_VALUE"""),46187.69939814815)</f>
        <v>46187.6994</v>
      </c>
      <c r="B9897" s="126">
        <f>IFERROR(__xludf.DUMMYFUNCTION("""COMPUTED_VALUE"""),46187.0)</f>
        <v>46187</v>
      </c>
      <c r="C9897" s="122" t="str">
        <f>IFERROR(__xludf.DUMMYFUNCTION("""COMPUTED_VALUE"""),"MEDX")</f>
        <v>MEDX</v>
      </c>
      <c r="D9897" s="122" t="str">
        <f>IFERROR(__xludf.DUMMYFUNCTION("""COMPUTED_VALUE"""),"MediCore")</f>
        <v>MediCore</v>
      </c>
      <c r="E9897" s="122">
        <f>IFERROR(__xludf.DUMMYFUNCTION("""COMPUTED_VALUE"""),139.52)</f>
        <v>139.52</v>
      </c>
      <c r="F9897" s="122">
        <f>IFERROR(__xludf.DUMMYFUNCTION("""COMPUTED_VALUE"""),-3.0E-4)</f>
        <v>-0.0003</v>
      </c>
    </row>
    <row r="9898">
      <c r="A9898" s="131">
        <f>IFERROR(__xludf.DUMMYFUNCTION("""COMPUTED_VALUE"""),46187.69939814815)</f>
        <v>46187.6994</v>
      </c>
      <c r="B9898" s="126">
        <f>IFERROR(__xludf.DUMMYFUNCTION("""COMPUTED_VALUE"""),46187.0)</f>
        <v>46187</v>
      </c>
      <c r="C9898" s="122" t="str">
        <f>IFERROR(__xludf.DUMMYFUNCTION("""COMPUTED_VALUE"""),"GYMX")</f>
        <v>GYMX</v>
      </c>
      <c r="D9898" s="122" t="str">
        <f>IFERROR(__xludf.DUMMYFUNCTION("""COMPUTED_VALUE"""),"GymX Fitness")</f>
        <v>GymX Fitness</v>
      </c>
      <c r="E9898" s="122">
        <f>IFERROR(__xludf.DUMMYFUNCTION("""COMPUTED_VALUE"""),80.87)</f>
        <v>80.87</v>
      </c>
      <c r="F9898" s="122">
        <f>IFERROR(__xludf.DUMMYFUNCTION("""COMPUTED_VALUE"""),0.0029)</f>
        <v>0.0029</v>
      </c>
    </row>
    <row r="9899">
      <c r="A9899" s="131">
        <f>IFERROR(__xludf.DUMMYFUNCTION("""COMPUTED_VALUE"""),46187.69939814815)</f>
        <v>46187.6994</v>
      </c>
      <c r="B9899" s="126">
        <f>IFERROR(__xludf.DUMMYFUNCTION("""COMPUTED_VALUE"""),46187.0)</f>
        <v>46187</v>
      </c>
      <c r="C9899" s="122" t="str">
        <f>IFERROR(__xludf.DUMMYFUNCTION("""COMPUTED_VALUE"""),"VITA")</f>
        <v>VITA</v>
      </c>
      <c r="D9899" s="122" t="str">
        <f>IFERROR(__xludf.DUMMYFUNCTION("""COMPUTED_VALUE"""),"VitaPlus")</f>
        <v>VitaPlus</v>
      </c>
      <c r="E9899" s="122">
        <f>IFERROR(__xludf.DUMMYFUNCTION("""COMPUTED_VALUE"""),71.75)</f>
        <v>71.75</v>
      </c>
      <c r="F9899" s="122">
        <f>IFERROR(__xludf.DUMMYFUNCTION("""COMPUTED_VALUE"""),-0.0013)</f>
        <v>-0.0013</v>
      </c>
    </row>
    <row r="9900">
      <c r="A9900" s="131">
        <f>IFERROR(__xludf.DUMMYFUNCTION("""COMPUTED_VALUE"""),46187.69939814815)</f>
        <v>46187.6994</v>
      </c>
      <c r="B9900" s="126">
        <f>IFERROR(__xludf.DUMMYFUNCTION("""COMPUTED_VALUE"""),46187.0)</f>
        <v>46187</v>
      </c>
      <c r="C9900" s="122" t="str">
        <f>IFERROR(__xludf.DUMMYFUNCTION("""COMPUTED_VALUE"""),"CARE")</f>
        <v>CARE</v>
      </c>
      <c r="D9900" s="122" t="str">
        <f>IFERROR(__xludf.DUMMYFUNCTION("""COMPUTED_VALUE"""),"CareCloud")</f>
        <v>CareCloud</v>
      </c>
      <c r="E9900" s="122">
        <f>IFERROR(__xludf.DUMMYFUNCTION("""COMPUTED_VALUE"""),186.44)</f>
        <v>186.44</v>
      </c>
      <c r="F9900" s="122">
        <f>IFERROR(__xludf.DUMMYFUNCTION("""COMPUTED_VALUE"""),-0.0058)</f>
        <v>-0.0058</v>
      </c>
    </row>
    <row r="9901">
      <c r="A9901" s="131">
        <f>IFERROR(__xludf.DUMMYFUNCTION("""COMPUTED_VALUE"""),46187.69939814815)</f>
        <v>46187.6994</v>
      </c>
      <c r="B9901" s="126">
        <f>IFERROR(__xludf.DUMMYFUNCTION("""COMPUTED_VALUE"""),46187.0)</f>
        <v>46187</v>
      </c>
      <c r="C9901" s="122" t="str">
        <f>IFERROR(__xludf.DUMMYFUNCTION("""COMPUTED_VALUE"""),"DENT")</f>
        <v>DENT</v>
      </c>
      <c r="D9901" s="122" t="str">
        <f>IFERROR(__xludf.DUMMYFUNCTION("""COMPUTED_VALUE"""),"SmileWorks")</f>
        <v>SmileWorks</v>
      </c>
      <c r="E9901" s="122">
        <f>IFERROR(__xludf.DUMMYFUNCTION("""COMPUTED_VALUE"""),100.29)</f>
        <v>100.29</v>
      </c>
      <c r="F9901" s="122">
        <f>IFERROR(__xludf.DUMMYFUNCTION("""COMPUTED_VALUE"""),0.0014)</f>
        <v>0.0014</v>
      </c>
    </row>
    <row r="9902">
      <c r="A9902" s="131">
        <f>IFERROR(__xludf.DUMMYFUNCTION("""COMPUTED_VALUE"""),46187.69939814815)</f>
        <v>46187.6994</v>
      </c>
      <c r="B9902" s="126">
        <f>IFERROR(__xludf.DUMMYFUNCTION("""COMPUTED_VALUE"""),46187.0)</f>
        <v>46187</v>
      </c>
      <c r="C9902" s="122" t="str">
        <f>IFERROR(__xludf.DUMMYFUNCTION("""COMPUTED_VALUE"""),"EDUX")</f>
        <v>EDUX</v>
      </c>
      <c r="D9902" s="122" t="str">
        <f>IFERROR(__xludf.DUMMYFUNCTION("""COMPUTED_VALUE"""),"EduMax Learning")</f>
        <v>EduMax Learning</v>
      </c>
      <c r="E9902" s="122">
        <f>IFERROR(__xludf.DUMMYFUNCTION("""COMPUTED_VALUE"""),156.18)</f>
        <v>156.18</v>
      </c>
      <c r="F9902" s="122">
        <f>IFERROR(__xludf.DUMMYFUNCTION("""COMPUTED_VALUE"""),0.0075)</f>
        <v>0.0075</v>
      </c>
    </row>
    <row r="9903">
      <c r="A9903" s="131">
        <f>IFERROR(__xludf.DUMMYFUNCTION("""COMPUTED_VALUE"""),46187.69939814815)</f>
        <v>46187.6994</v>
      </c>
      <c r="B9903" s="126">
        <f>IFERROR(__xludf.DUMMYFUNCTION("""COMPUTED_VALUE"""),46187.0)</f>
        <v>46187</v>
      </c>
      <c r="C9903" s="122" t="str">
        <f>IFERROR(__xludf.DUMMYFUNCTION("""COMPUTED_VALUE"""),"BOOK")</f>
        <v>BOOK</v>
      </c>
      <c r="D9903" s="122" t="str">
        <f>IFERROR(__xludf.DUMMYFUNCTION("""COMPUTED_VALUE"""),"BookBridge")</f>
        <v>BookBridge</v>
      </c>
      <c r="E9903" s="122">
        <f>IFERROR(__xludf.DUMMYFUNCTION("""COMPUTED_VALUE"""),120.77)</f>
        <v>120.77</v>
      </c>
      <c r="F9903" s="122">
        <f>IFERROR(__xludf.DUMMYFUNCTION("""COMPUTED_VALUE"""),-0.0028)</f>
        <v>-0.0028</v>
      </c>
    </row>
    <row r="9904">
      <c r="A9904" s="131">
        <f>IFERROR(__xludf.DUMMYFUNCTION("""COMPUTED_VALUE"""),46187.69939814815)</f>
        <v>46187.6994</v>
      </c>
      <c r="B9904" s="126">
        <f>IFERROR(__xludf.DUMMYFUNCTION("""COMPUTED_VALUE"""),46187.0)</f>
        <v>46187</v>
      </c>
      <c r="C9904" s="122" t="str">
        <f>IFERROR(__xludf.DUMMYFUNCTION("""COMPUTED_VALUE"""),"TUTR")</f>
        <v>TUTR</v>
      </c>
      <c r="D9904" s="122" t="str">
        <f>IFERROR(__xludf.DUMMYFUNCTION("""COMPUTED_VALUE"""),"TutorTown")</f>
        <v>TutorTown</v>
      </c>
      <c r="E9904" s="122">
        <f>IFERROR(__xludf.DUMMYFUNCTION("""COMPUTED_VALUE"""),92.84)</f>
        <v>92.84</v>
      </c>
      <c r="F9904" s="122">
        <f>IFERROR(__xludf.DUMMYFUNCTION("""COMPUTED_VALUE"""),-0.004)</f>
        <v>-0.004</v>
      </c>
    </row>
    <row r="9905">
      <c r="A9905" s="131">
        <f>IFERROR(__xludf.DUMMYFUNCTION("""COMPUTED_VALUE"""),46187.69939814815)</f>
        <v>46187.6994</v>
      </c>
      <c r="B9905" s="126">
        <f>IFERROR(__xludf.DUMMYFUNCTION("""COMPUTED_VALUE"""),46187.0)</f>
        <v>46187</v>
      </c>
      <c r="C9905" s="122" t="str">
        <f>IFERROR(__xludf.DUMMYFUNCTION("""COMPUTED_VALUE"""),"LANG")</f>
        <v>LANG</v>
      </c>
      <c r="D9905" s="122" t="str">
        <f>IFERROR(__xludf.DUMMYFUNCTION("""COMPUTED_VALUE"""),"LinguaLab")</f>
        <v>LinguaLab</v>
      </c>
      <c r="E9905" s="122">
        <f>IFERROR(__xludf.DUMMYFUNCTION("""COMPUTED_VALUE"""),103.27)</f>
        <v>103.27</v>
      </c>
      <c r="F9905" s="122">
        <f>IFERROR(__xludf.DUMMYFUNCTION("""COMPUTED_VALUE"""),-0.0026)</f>
        <v>-0.0026</v>
      </c>
    </row>
    <row r="9906">
      <c r="A9906" s="131">
        <f>IFERROR(__xludf.DUMMYFUNCTION("""COMPUTED_VALUE"""),46187.69939814815)</f>
        <v>46187.6994</v>
      </c>
      <c r="B9906" s="126">
        <f>IFERROR(__xludf.DUMMYFUNCTION("""COMPUTED_VALUE"""),46187.0)</f>
        <v>46187</v>
      </c>
      <c r="C9906" s="122" t="str">
        <f>IFERROR(__xludf.DUMMYFUNCTION("""COMPUTED_VALUE"""),"TEST")</f>
        <v>TEST</v>
      </c>
      <c r="D9906" s="122" t="str">
        <f>IFERROR(__xludf.DUMMYFUNCTION("""COMPUTED_VALUE"""),"TestPrep Pro")</f>
        <v>TestPrep Pro</v>
      </c>
      <c r="E9906" s="122">
        <f>IFERROR(__xludf.DUMMYFUNCTION("""COMPUTED_VALUE"""),86.19)</f>
        <v>86.19</v>
      </c>
      <c r="F9906" s="122">
        <f>IFERROR(__xludf.DUMMYFUNCTION("""COMPUTED_VALUE"""),0.0015)</f>
        <v>0.0015</v>
      </c>
    </row>
    <row r="9907">
      <c r="A9907" s="131">
        <f>IFERROR(__xludf.DUMMYFUNCTION("""COMPUTED_VALUE"""),46187.69939814815)</f>
        <v>46187.6994</v>
      </c>
      <c r="B9907" s="126">
        <f>IFERROR(__xludf.DUMMYFUNCTION("""COMPUTED_VALUE"""),46187.0)</f>
        <v>46187</v>
      </c>
      <c r="C9907" s="122" t="str">
        <f>IFERROR(__xludf.DUMMYFUNCTION("""COMPUTED_VALUE"""),"MOVI")</f>
        <v>MOVI</v>
      </c>
      <c r="D9907" s="122" t="str">
        <f>IFERROR(__xludf.DUMMYFUNCTION("""COMPUTED_VALUE"""),"MovieBox")</f>
        <v>MovieBox</v>
      </c>
      <c r="E9907" s="122">
        <f>IFERROR(__xludf.DUMMYFUNCTION("""COMPUTED_VALUE"""),83.83)</f>
        <v>83.83</v>
      </c>
      <c r="F9907" s="122">
        <f>IFERROR(__xludf.DUMMYFUNCTION("""COMPUTED_VALUE"""),0.0076)</f>
        <v>0.0076</v>
      </c>
    </row>
    <row r="9908">
      <c r="A9908" s="131">
        <f>IFERROR(__xludf.DUMMYFUNCTION("""COMPUTED_VALUE"""),46187.69939814815)</f>
        <v>46187.6994</v>
      </c>
      <c r="B9908" s="126">
        <f>IFERROR(__xludf.DUMMYFUNCTION("""COMPUTED_VALUE"""),46187.0)</f>
        <v>46187</v>
      </c>
      <c r="C9908" s="122" t="str">
        <f>IFERROR(__xludf.DUMMYFUNCTION("""COMPUTED_VALUE"""),"MUSC")</f>
        <v>MUSC</v>
      </c>
      <c r="D9908" s="122" t="str">
        <f>IFERROR(__xludf.DUMMYFUNCTION("""COMPUTED_VALUE"""),"MusicWave")</f>
        <v>MusicWave</v>
      </c>
      <c r="E9908" s="122">
        <f>IFERROR(__xludf.DUMMYFUNCTION("""COMPUTED_VALUE"""),104.12)</f>
        <v>104.12</v>
      </c>
      <c r="F9908" s="122">
        <f>IFERROR(__xludf.DUMMYFUNCTION("""COMPUTED_VALUE"""),0.0067)</f>
        <v>0.0067</v>
      </c>
    </row>
    <row r="9909">
      <c r="A9909" s="131">
        <f>IFERROR(__xludf.DUMMYFUNCTION("""COMPUTED_VALUE"""),46187.69939814815)</f>
        <v>46187.6994</v>
      </c>
      <c r="B9909" s="126">
        <f>IFERROR(__xludf.DUMMYFUNCTION("""COMPUTED_VALUE"""),46187.0)</f>
        <v>46187</v>
      </c>
      <c r="C9909" s="122" t="str">
        <f>IFERROR(__xludf.DUMMYFUNCTION("""COMPUTED_VALUE"""),"IDOL")</f>
        <v>IDOL</v>
      </c>
      <c r="D9909" s="122" t="str">
        <f>IFERROR(__xludf.DUMMYFUNCTION("""COMPUTED_VALUE"""),"Idol Agency")</f>
        <v>Idol Agency</v>
      </c>
      <c r="E9909" s="122">
        <f>IFERROR(__xludf.DUMMYFUNCTION("""COMPUTED_VALUE"""),188.73)</f>
        <v>188.73</v>
      </c>
      <c r="F9909" s="122">
        <f>IFERROR(__xludf.DUMMYFUNCTION("""COMPUTED_VALUE"""),0.0048)</f>
        <v>0.0048</v>
      </c>
    </row>
    <row r="9910">
      <c r="A9910" s="131">
        <f>IFERROR(__xludf.DUMMYFUNCTION("""COMPUTED_VALUE"""),46187.69939814815)</f>
        <v>46187.6994</v>
      </c>
      <c r="B9910" s="126">
        <f>IFERROR(__xludf.DUMMYFUNCTION("""COMPUTED_VALUE"""),46187.0)</f>
        <v>46187</v>
      </c>
      <c r="C9910" s="122" t="str">
        <f>IFERROR(__xludf.DUMMYFUNCTION("""COMPUTED_VALUE"""),"MEME")</f>
        <v>MEME</v>
      </c>
      <c r="D9910" s="122" t="str">
        <f>IFERROR(__xludf.DUMMYFUNCTION("""COMPUTED_VALUE"""),"Meme Media")</f>
        <v>Meme Media</v>
      </c>
      <c r="E9910" s="122">
        <f>IFERROR(__xludf.DUMMYFUNCTION("""COMPUTED_VALUE"""),75.89)</f>
        <v>75.89</v>
      </c>
      <c r="F9910" s="122">
        <f>IFERROR(__xludf.DUMMYFUNCTION("""COMPUTED_VALUE"""),0.0011)</f>
        <v>0.0011</v>
      </c>
    </row>
    <row r="9911">
      <c r="A9911" s="131">
        <f>IFERROR(__xludf.DUMMYFUNCTION("""COMPUTED_VALUE"""),46187.69939814815)</f>
        <v>46187.6994</v>
      </c>
      <c r="B9911" s="126">
        <f>IFERROR(__xludf.DUMMYFUNCTION("""COMPUTED_VALUE"""),46187.0)</f>
        <v>46187</v>
      </c>
      <c r="C9911" s="122" t="str">
        <f>IFERROR(__xludf.DUMMYFUNCTION("""COMPUTED_VALUE"""),"STRM")</f>
        <v>STRM</v>
      </c>
      <c r="D9911" s="122" t="str">
        <f>IFERROR(__xludf.DUMMYFUNCTION("""COMPUTED_VALUE"""),"Streamly")</f>
        <v>Streamly</v>
      </c>
      <c r="E9911" s="122">
        <f>IFERROR(__xludf.DUMMYFUNCTION("""COMPUTED_VALUE"""),127.31)</f>
        <v>127.31</v>
      </c>
      <c r="F9911" s="122">
        <f>IFERROR(__xludf.DUMMYFUNCTION("""COMPUTED_VALUE"""),-0.0059)</f>
        <v>-0.0059</v>
      </c>
    </row>
    <row r="9912">
      <c r="A9912" s="131">
        <f>IFERROR(__xludf.DUMMYFUNCTION("""COMPUTED_VALUE"""),46187.69939814815)</f>
        <v>46187.6994</v>
      </c>
      <c r="B9912" s="126">
        <f>IFERROR(__xludf.DUMMYFUNCTION("""COMPUTED_VALUE"""),46187.0)</f>
        <v>46187</v>
      </c>
      <c r="C9912" s="122" t="str">
        <f>IFERROR(__xludf.DUMMYFUNCTION("""COMPUTED_VALUE"""),"FARM")</f>
        <v>FARM</v>
      </c>
      <c r="D9912" s="122" t="str">
        <f>IFERROR(__xludf.DUMMYFUNCTION("""COMPUTED_VALUE"""),"Future Farms")</f>
        <v>Future Farms</v>
      </c>
      <c r="E9912" s="122">
        <f>IFERROR(__xludf.DUMMYFUNCTION("""COMPUTED_VALUE"""),102.49)</f>
        <v>102.49</v>
      </c>
      <c r="F9912" s="122">
        <f>IFERROR(__xludf.DUMMYFUNCTION("""COMPUTED_VALUE"""),-8.0E-4)</f>
        <v>-0.0008</v>
      </c>
    </row>
    <row r="9913">
      <c r="A9913" s="131">
        <f>IFERROR(__xludf.DUMMYFUNCTION("""COMPUTED_VALUE"""),46187.69939814815)</f>
        <v>46187.6994</v>
      </c>
      <c r="B9913" s="126">
        <f>IFERROR(__xludf.DUMMYFUNCTION("""COMPUTED_VALUE"""),46187.0)</f>
        <v>46187</v>
      </c>
      <c r="C9913" s="122" t="str">
        <f>IFERROR(__xludf.DUMMYFUNCTION("""COMPUTED_VALUE"""),"MEAT")</f>
        <v>MEAT</v>
      </c>
      <c r="D9913" s="122" t="str">
        <f>IFERROR(__xludf.DUMMYFUNCTION("""COMPUTED_VALUE"""),"MeatWorks")</f>
        <v>MeatWorks</v>
      </c>
      <c r="E9913" s="122">
        <f>IFERROR(__xludf.DUMMYFUNCTION("""COMPUTED_VALUE"""),106.28)</f>
        <v>106.28</v>
      </c>
      <c r="F9913" s="122">
        <f>IFERROR(__xludf.DUMMYFUNCTION("""COMPUTED_VALUE"""),0.0076)</f>
        <v>0.0076</v>
      </c>
    </row>
    <row r="9914">
      <c r="A9914" s="131">
        <f>IFERROR(__xludf.DUMMYFUNCTION("""COMPUTED_VALUE"""),46187.69939814815)</f>
        <v>46187.6994</v>
      </c>
      <c r="B9914" s="126">
        <f>IFERROR(__xludf.DUMMYFUNCTION("""COMPUTED_VALUE"""),46187.0)</f>
        <v>46187</v>
      </c>
      <c r="C9914" s="122" t="str">
        <f>IFERROR(__xludf.DUMMYFUNCTION("""COMPUTED_VALUE"""),"VEGI")</f>
        <v>VEGI</v>
      </c>
      <c r="D9914" s="122" t="str">
        <f>IFERROR(__xludf.DUMMYFUNCTION("""COMPUTED_VALUE"""),"Green Basket")</f>
        <v>Green Basket</v>
      </c>
      <c r="E9914" s="122">
        <f>IFERROR(__xludf.DUMMYFUNCTION("""COMPUTED_VALUE"""),76.25)</f>
        <v>76.25</v>
      </c>
      <c r="F9914" s="122">
        <f>IFERROR(__xludf.DUMMYFUNCTION("""COMPUTED_VALUE"""),-0.0029)</f>
        <v>-0.0029</v>
      </c>
    </row>
    <row r="9915">
      <c r="A9915" s="131">
        <f>IFERROR(__xludf.DUMMYFUNCTION("""COMPUTED_VALUE"""),46187.69939814815)</f>
        <v>46187.6994</v>
      </c>
      <c r="B9915" s="126">
        <f>IFERROR(__xludf.DUMMYFUNCTION("""COMPUTED_VALUE"""),46187.0)</f>
        <v>46187</v>
      </c>
      <c r="C9915" s="122" t="str">
        <f>IFERROR(__xludf.DUMMYFUNCTION("""COMPUTED_VALUE"""),"CAFE")</f>
        <v>CAFE</v>
      </c>
      <c r="D9915" s="122" t="str">
        <f>IFERROR(__xludf.DUMMYFUNCTION("""COMPUTED_VALUE"""),"Cafe Cloud")</f>
        <v>Cafe Cloud</v>
      </c>
      <c r="E9915" s="122">
        <f>IFERROR(__xludf.DUMMYFUNCTION("""COMPUTED_VALUE"""),104.95)</f>
        <v>104.95</v>
      </c>
      <c r="F9915" s="122">
        <f>IFERROR(__xludf.DUMMYFUNCTION("""COMPUTED_VALUE"""),-0.0066)</f>
        <v>-0.0066</v>
      </c>
    </row>
    <row r="9916">
      <c r="A9916" s="131">
        <f>IFERROR(__xludf.DUMMYFUNCTION("""COMPUTED_VALUE"""),46187.69939814815)</f>
        <v>46187.6994</v>
      </c>
      <c r="B9916" s="126">
        <f>IFERROR(__xludf.DUMMYFUNCTION("""COMPUTED_VALUE"""),46187.0)</f>
        <v>46187</v>
      </c>
      <c r="C9916" s="122" t="str">
        <f>IFERROR(__xludf.DUMMYFUNCTION("""COMPUTED_VALUE"""),"BAKE")</f>
        <v>BAKE</v>
      </c>
      <c r="D9916" s="122" t="str">
        <f>IFERROR(__xludf.DUMMYFUNCTION("""COMPUTED_VALUE"""),"BakeHouse")</f>
        <v>BakeHouse</v>
      </c>
      <c r="E9916" s="122">
        <f>IFERROR(__xludf.DUMMYFUNCTION("""COMPUTED_VALUE"""),99.55)</f>
        <v>99.55</v>
      </c>
      <c r="F9916" s="122">
        <f>IFERROR(__xludf.DUMMYFUNCTION("""COMPUTED_VALUE"""),-0.0019)</f>
        <v>-0.0019</v>
      </c>
    </row>
    <row r="9917">
      <c r="A9917" s="131">
        <f>IFERROR(__xludf.DUMMYFUNCTION("""COMPUTED_VALUE"""),46187.69939814815)</f>
        <v>46187.6994</v>
      </c>
      <c r="B9917" s="126">
        <f>IFERROR(__xludf.DUMMYFUNCTION("""COMPUTED_VALUE"""),46187.0)</f>
        <v>46187</v>
      </c>
      <c r="C9917" s="122" t="str">
        <f>IFERROR(__xludf.DUMMYFUNCTION("""COMPUTED_VALUE"""),"OILX")</f>
        <v>OILX</v>
      </c>
      <c r="D9917" s="122" t="str">
        <f>IFERROR(__xludf.DUMMYFUNCTION("""COMPUTED_VALUE"""),"OilMax Energy")</f>
        <v>OilMax Energy</v>
      </c>
      <c r="E9917" s="122">
        <f>IFERROR(__xludf.DUMMYFUNCTION("""COMPUTED_VALUE"""),134.93)</f>
        <v>134.93</v>
      </c>
      <c r="F9917" s="122">
        <f>IFERROR(__xludf.DUMMYFUNCTION("""COMPUTED_VALUE"""),0.0046)</f>
        <v>0.0046</v>
      </c>
    </row>
    <row r="9918">
      <c r="A9918" s="131">
        <f>IFERROR(__xludf.DUMMYFUNCTION("""COMPUTED_VALUE"""),46187.69939814815)</f>
        <v>46187.6994</v>
      </c>
      <c r="B9918" s="126">
        <f>IFERROR(__xludf.DUMMYFUNCTION("""COMPUTED_VALUE"""),46187.0)</f>
        <v>46187</v>
      </c>
      <c r="C9918" s="122" t="str">
        <f>IFERROR(__xludf.DUMMYFUNCTION("""COMPUTED_VALUE"""),"SOLR")</f>
        <v>SOLR</v>
      </c>
      <c r="D9918" s="122" t="str">
        <f>IFERROR(__xludf.DUMMYFUNCTION("""COMPUTED_VALUE"""),"SolarSpark")</f>
        <v>SolarSpark</v>
      </c>
      <c r="E9918" s="122">
        <f>IFERROR(__xludf.DUMMYFUNCTION("""COMPUTED_VALUE"""),109.99)</f>
        <v>109.99</v>
      </c>
      <c r="F9918" s="122">
        <f>IFERROR(__xludf.DUMMYFUNCTION("""COMPUTED_VALUE"""),-7.0E-4)</f>
        <v>-0.0007</v>
      </c>
    </row>
    <row r="9919">
      <c r="A9919" s="131">
        <f>IFERROR(__xludf.DUMMYFUNCTION("""COMPUTED_VALUE"""),46187.69939814815)</f>
        <v>46187.6994</v>
      </c>
      <c r="B9919" s="126">
        <f>IFERROR(__xludf.DUMMYFUNCTION("""COMPUTED_VALUE"""),46187.0)</f>
        <v>46187</v>
      </c>
      <c r="C9919" s="122" t="str">
        <f>IFERROR(__xludf.DUMMYFUNCTION("""COMPUTED_VALUE"""),"BATT")</f>
        <v>BATT</v>
      </c>
      <c r="D9919" s="122" t="str">
        <f>IFERROR(__xludf.DUMMYFUNCTION("""COMPUTED_VALUE"""),"BatteryBox")</f>
        <v>BatteryBox</v>
      </c>
      <c r="E9919" s="122">
        <f>IFERROR(__xludf.DUMMYFUNCTION("""COMPUTED_VALUE"""),115.34)</f>
        <v>115.34</v>
      </c>
      <c r="F9919" s="122">
        <f>IFERROR(__xludf.DUMMYFUNCTION("""COMPUTED_VALUE"""),-0.0103)</f>
        <v>-0.0103</v>
      </c>
    </row>
    <row r="9920">
      <c r="A9920" s="131">
        <f>IFERROR(__xludf.DUMMYFUNCTION("""COMPUTED_VALUE"""),46187.69939814815)</f>
        <v>46187.6994</v>
      </c>
      <c r="B9920" s="126">
        <f>IFERROR(__xludf.DUMMYFUNCTION("""COMPUTED_VALUE"""),46187.0)</f>
        <v>46187</v>
      </c>
      <c r="C9920" s="122" t="str">
        <f>IFERROR(__xludf.DUMMYFUNCTION("""COMPUTED_VALUE"""),"WIND")</f>
        <v>WIND</v>
      </c>
      <c r="D9920" s="122" t="str">
        <f>IFERROR(__xludf.DUMMYFUNCTION("""COMPUTED_VALUE"""),"WindWorks")</f>
        <v>WindWorks</v>
      </c>
      <c r="E9920" s="122">
        <f>IFERROR(__xludf.DUMMYFUNCTION("""COMPUTED_VALUE"""),86.43)</f>
        <v>86.43</v>
      </c>
      <c r="F9920" s="122">
        <f>IFERROR(__xludf.DUMMYFUNCTION("""COMPUTED_VALUE"""),0.0031)</f>
        <v>0.0031</v>
      </c>
    </row>
    <row r="9921">
      <c r="A9921" s="131">
        <f>IFERROR(__xludf.DUMMYFUNCTION("""COMPUTED_VALUE"""),46187.69939814815)</f>
        <v>46187.6994</v>
      </c>
      <c r="B9921" s="126">
        <f>IFERROR(__xludf.DUMMYFUNCTION("""COMPUTED_VALUE"""),46187.0)</f>
        <v>46187</v>
      </c>
      <c r="C9921" s="122" t="str">
        <f>IFERROR(__xludf.DUMMYFUNCTION("""COMPUTED_VALUE"""),"GRID")</f>
        <v>GRID</v>
      </c>
      <c r="D9921" s="122" t="str">
        <f>IFERROR(__xludf.DUMMYFUNCTION("""COMPUTED_VALUE"""),"GridPower")</f>
        <v>GridPower</v>
      </c>
      <c r="E9921" s="122">
        <f>IFERROR(__xludf.DUMMYFUNCTION("""COMPUTED_VALUE"""),126.54)</f>
        <v>126.54</v>
      </c>
      <c r="F9921" s="122">
        <f>IFERROR(__xludf.DUMMYFUNCTION("""COMPUTED_VALUE"""),0.0021)</f>
        <v>0.0021</v>
      </c>
    </row>
    <row r="9922">
      <c r="A9922" s="131">
        <f>IFERROR(__xludf.DUMMYFUNCTION("""COMPUTED_VALUE"""),46187.69939814815)</f>
        <v>46187.6994</v>
      </c>
      <c r="B9922" s="126">
        <f>IFERROR(__xludf.DUMMYFUNCTION("""COMPUTED_VALUE"""),46187.0)</f>
        <v>46187</v>
      </c>
      <c r="C9922" s="122" t="str">
        <f>IFERROR(__xludf.DUMMYFUNCTION("""COMPUTED_VALUE"""),"HOME")</f>
        <v>HOME</v>
      </c>
      <c r="D9922" s="122" t="str">
        <f>IFERROR(__xludf.DUMMYFUNCTION("""COMPUTED_VALUE"""),"HomeHub")</f>
        <v>HomeHub</v>
      </c>
      <c r="E9922" s="122">
        <f>IFERROR(__xludf.DUMMYFUNCTION("""COMPUTED_VALUE"""),163.4)</f>
        <v>163.4</v>
      </c>
      <c r="F9922" s="122">
        <f>IFERROR(__xludf.DUMMYFUNCTION("""COMPUTED_VALUE"""),-0.0018)</f>
        <v>-0.0018</v>
      </c>
    </row>
    <row r="9923">
      <c r="A9923" s="131">
        <f>IFERROR(__xludf.DUMMYFUNCTION("""COMPUTED_VALUE"""),46187.69939814815)</f>
        <v>46187.6994</v>
      </c>
      <c r="B9923" s="126">
        <f>IFERROR(__xludf.DUMMYFUNCTION("""COMPUTED_VALUE"""),46187.0)</f>
        <v>46187</v>
      </c>
      <c r="C9923" s="122" t="str">
        <f>IFERROR(__xludf.DUMMYFUNCTION("""COMPUTED_VALUE"""),"RENT")</f>
        <v>RENT</v>
      </c>
      <c r="D9923" s="122" t="str">
        <f>IFERROR(__xludf.DUMMYFUNCTION("""COMPUTED_VALUE"""),"RentRight")</f>
        <v>RentRight</v>
      </c>
      <c r="E9923" s="122">
        <f>IFERROR(__xludf.DUMMYFUNCTION("""COMPUTED_VALUE"""),87.98)</f>
        <v>87.98</v>
      </c>
      <c r="F9923" s="122">
        <f>IFERROR(__xludf.DUMMYFUNCTION("""COMPUTED_VALUE"""),-0.0058)</f>
        <v>-0.0058</v>
      </c>
    </row>
    <row r="9924">
      <c r="A9924" s="131">
        <f>IFERROR(__xludf.DUMMYFUNCTION("""COMPUTED_VALUE"""),46187.69939814815)</f>
        <v>46187.6994</v>
      </c>
      <c r="B9924" s="126">
        <f>IFERROR(__xludf.DUMMYFUNCTION("""COMPUTED_VALUE"""),46187.0)</f>
        <v>46187</v>
      </c>
      <c r="C9924" s="122" t="str">
        <f>IFERROR(__xludf.DUMMYFUNCTION("""COMPUTED_VALUE"""),"MALL")</f>
        <v>MALL</v>
      </c>
      <c r="D9924" s="122" t="str">
        <f>IFERROR(__xludf.DUMMYFUNCTION("""COMPUTED_VALUE"""),"MegaMall")</f>
        <v>MegaMall</v>
      </c>
      <c r="E9924" s="122">
        <f>IFERROR(__xludf.DUMMYFUNCTION("""COMPUTED_VALUE"""),101.88)</f>
        <v>101.88</v>
      </c>
      <c r="F9924" s="122">
        <f>IFERROR(__xludf.DUMMYFUNCTION("""COMPUTED_VALUE"""),-0.0046)</f>
        <v>-0.0046</v>
      </c>
    </row>
    <row r="9925">
      <c r="A9925" s="131">
        <f>IFERROR(__xludf.DUMMYFUNCTION("""COMPUTED_VALUE"""),46187.69939814815)</f>
        <v>46187.6994</v>
      </c>
      <c r="B9925" s="126">
        <f>IFERROR(__xludf.DUMMYFUNCTION("""COMPUTED_VALUE"""),46187.0)</f>
        <v>46187</v>
      </c>
      <c r="C9925" s="122" t="str">
        <f>IFERROR(__xludf.DUMMYFUNCTION("""COMPUTED_VALUE"""),"HOTL")</f>
        <v>HOTL</v>
      </c>
      <c r="D9925" s="122" t="str">
        <f>IFERROR(__xludf.DUMMYFUNCTION("""COMPUTED_VALUE"""),"HotelHive")</f>
        <v>HotelHive</v>
      </c>
      <c r="E9925" s="122">
        <f>IFERROR(__xludf.DUMMYFUNCTION("""COMPUTED_VALUE"""),118.98)</f>
        <v>118.98</v>
      </c>
      <c r="F9925" s="122">
        <f>IFERROR(__xludf.DUMMYFUNCTION("""COMPUTED_VALUE"""),0.0062)</f>
        <v>0.0062</v>
      </c>
    </row>
    <row r="9926">
      <c r="A9926" s="131">
        <f>IFERROR(__xludf.DUMMYFUNCTION("""COMPUTED_VALUE"""),46187.69939814815)</f>
        <v>46187.6994</v>
      </c>
      <c r="B9926" s="126">
        <f>IFERROR(__xludf.DUMMYFUNCTION("""COMPUTED_VALUE"""),46187.0)</f>
        <v>46187</v>
      </c>
      <c r="C9926" s="122" t="str">
        <f>IFERROR(__xludf.DUMMYFUNCTION("""COMPUTED_VALUE"""),"LAND")</f>
        <v>LAND</v>
      </c>
      <c r="D9926" s="122" t="str">
        <f>IFERROR(__xludf.DUMMYFUNCTION("""COMPUTED_VALUE"""),"LandLink")</f>
        <v>LandLink</v>
      </c>
      <c r="E9926" s="122">
        <f>IFERROR(__xludf.DUMMYFUNCTION("""COMPUTED_VALUE"""),186.5)</f>
        <v>186.5</v>
      </c>
      <c r="F9926" s="122">
        <f>IFERROR(__xludf.DUMMYFUNCTION("""COMPUTED_VALUE"""),-0.0022)</f>
        <v>-0.0022</v>
      </c>
    </row>
    <row r="9927">
      <c r="A9927" s="131">
        <f>IFERROR(__xludf.DUMMYFUNCTION("""COMPUTED_VALUE"""),46187.69939814815)</f>
        <v>46187.6994</v>
      </c>
      <c r="B9927" s="126">
        <f>IFERROR(__xludf.DUMMYFUNCTION("""COMPUTED_VALUE"""),46187.0)</f>
        <v>46187</v>
      </c>
      <c r="C9927" s="122" t="str">
        <f>IFERROR(__xludf.DUMMYFUNCTION("""COMPUTED_VALUE"""),"CARS")</f>
        <v>CARS</v>
      </c>
      <c r="D9927" s="122" t="str">
        <f>IFERROR(__xludf.DUMMYFUNCTION("""COMPUTED_VALUE"""),"AutoArena")</f>
        <v>AutoArena</v>
      </c>
      <c r="E9927" s="122">
        <f>IFERROR(__xludf.DUMMYFUNCTION("""COMPUTED_VALUE"""),79.53)</f>
        <v>79.53</v>
      </c>
      <c r="F9927" s="122">
        <f>IFERROR(__xludf.DUMMYFUNCTION("""COMPUTED_VALUE"""),-0.0082)</f>
        <v>-0.0082</v>
      </c>
    </row>
    <row r="9928">
      <c r="A9928" s="131">
        <f>IFERROR(__xludf.DUMMYFUNCTION("""COMPUTED_VALUE"""),46187.69939814815)</f>
        <v>46187.6994</v>
      </c>
      <c r="B9928" s="126">
        <f>IFERROR(__xludf.DUMMYFUNCTION("""COMPUTED_VALUE"""),46187.0)</f>
        <v>46187</v>
      </c>
      <c r="C9928" s="122" t="str">
        <f>IFERROR(__xludf.DUMMYFUNCTION("""COMPUTED_VALUE"""),"EVGO")</f>
        <v>EVGO</v>
      </c>
      <c r="D9928" s="122" t="str">
        <f>IFERROR(__xludf.DUMMYFUNCTION("""COMPUTED_VALUE"""),"EVGo Motors")</f>
        <v>EVGo Motors</v>
      </c>
      <c r="E9928" s="122">
        <f>IFERROR(__xludf.DUMMYFUNCTION("""COMPUTED_VALUE"""),194.24)</f>
        <v>194.24</v>
      </c>
      <c r="F9928" s="122">
        <f>IFERROR(__xludf.DUMMYFUNCTION("""COMPUTED_VALUE"""),-0.0079)</f>
        <v>-0.0079</v>
      </c>
    </row>
    <row r="9929">
      <c r="A9929" s="131">
        <f>IFERROR(__xludf.DUMMYFUNCTION("""COMPUTED_VALUE"""),46187.69939814815)</f>
        <v>46187.6994</v>
      </c>
      <c r="B9929" s="126">
        <f>IFERROR(__xludf.DUMMYFUNCTION("""COMPUTED_VALUE"""),46187.0)</f>
        <v>46187</v>
      </c>
      <c r="C9929" s="122" t="str">
        <f>IFERROR(__xludf.DUMMYFUNCTION("""COMPUTED_VALUE"""),"TIRE")</f>
        <v>TIRE</v>
      </c>
      <c r="D9929" s="122" t="str">
        <f>IFERROR(__xludf.DUMMYFUNCTION("""COMPUTED_VALUE"""),"TireTown")</f>
        <v>TireTown</v>
      </c>
      <c r="E9929" s="122">
        <f>IFERROR(__xludf.DUMMYFUNCTION("""COMPUTED_VALUE"""),99.04)</f>
        <v>99.04</v>
      </c>
      <c r="F9929" s="122">
        <f>IFERROR(__xludf.DUMMYFUNCTION("""COMPUTED_VALUE"""),-0.0024)</f>
        <v>-0.0024</v>
      </c>
    </row>
    <row r="9930">
      <c r="A9930" s="131">
        <f>IFERROR(__xludf.DUMMYFUNCTION("""COMPUTED_VALUE"""),46187.69939814815)</f>
        <v>46187.6994</v>
      </c>
      <c r="B9930" s="126">
        <f>IFERROR(__xludf.DUMMYFUNCTION("""COMPUTED_VALUE"""),46187.0)</f>
        <v>46187</v>
      </c>
      <c r="C9930" s="122" t="str">
        <f>IFERROR(__xludf.DUMMYFUNCTION("""COMPUTED_VALUE"""),"BIKE")</f>
        <v>BIKE</v>
      </c>
      <c r="D9930" s="122" t="str">
        <f>IFERROR(__xludf.DUMMYFUNCTION("""COMPUTED_VALUE"""),"BikeBox")</f>
        <v>BikeBox</v>
      </c>
      <c r="E9930" s="122">
        <f>IFERROR(__xludf.DUMMYFUNCTION("""COMPUTED_VALUE"""),50.58)</f>
        <v>50.58</v>
      </c>
      <c r="F9930" s="122">
        <f>IFERROR(__xludf.DUMMYFUNCTION("""COMPUTED_VALUE"""),-4.0E-4)</f>
        <v>-0.0004</v>
      </c>
    </row>
    <row r="9931">
      <c r="A9931" s="131">
        <f>IFERROR(__xludf.DUMMYFUNCTION("""COMPUTED_VALUE"""),46187.69939814815)</f>
        <v>46187.6994</v>
      </c>
      <c r="B9931" s="126">
        <f>IFERROR(__xludf.DUMMYFUNCTION("""COMPUTED_VALUE"""),46187.0)</f>
        <v>46187</v>
      </c>
      <c r="C9931" s="122" t="str">
        <f>IFERROR(__xludf.DUMMYFUNCTION("""COMPUTED_VALUE"""),"WASH")</f>
        <v>WASH</v>
      </c>
      <c r="D9931" s="122" t="str">
        <f>IFERROR(__xludf.DUMMYFUNCTION("""COMPUTED_VALUE"""),"CarWash Co")</f>
        <v>CarWash Co</v>
      </c>
      <c r="E9931" s="122">
        <f>IFERROR(__xludf.DUMMYFUNCTION("""COMPUTED_VALUE"""),123.86)</f>
        <v>123.86</v>
      </c>
      <c r="F9931" s="122">
        <f>IFERROR(__xludf.DUMMYFUNCTION("""COMPUTED_VALUE"""),0.0029)</f>
        <v>0.0029</v>
      </c>
    </row>
    <row r="9932">
      <c r="A9932" s="131">
        <f>IFERROR(__xludf.DUMMYFUNCTION("""COMPUTED_VALUE"""),46187.69939814815)</f>
        <v>46187.6994</v>
      </c>
      <c r="B9932" s="126">
        <f>IFERROR(__xludf.DUMMYFUNCTION("""COMPUTED_VALUE"""),46187.0)</f>
        <v>46187</v>
      </c>
      <c r="C9932" s="122" t="str">
        <f>IFERROR(__xludf.DUMMYFUNCTION("""COMPUTED_VALUE"""),"GBND")</f>
        <v>GBND</v>
      </c>
      <c r="D9932" s="122" t="str">
        <f>IFERROR(__xludf.DUMMYFUNCTION("""COMPUTED_VALUE"""),"Classroom Government Bond")</f>
        <v>Classroom Government Bond</v>
      </c>
      <c r="E9932" s="122">
        <f>IFERROR(__xludf.DUMMYFUNCTION("""COMPUTED_VALUE"""),101.19)</f>
        <v>101.19</v>
      </c>
      <c r="F9932" s="122">
        <f>IFERROR(__xludf.DUMMYFUNCTION("""COMPUTED_VALUE"""),0.0)</f>
        <v>0</v>
      </c>
    </row>
    <row r="9933">
      <c r="A9933" s="131">
        <f>IFERROR(__xludf.DUMMYFUNCTION("""COMPUTED_VALUE"""),46187.69939814815)</f>
        <v>46187.6994</v>
      </c>
      <c r="B9933" s="126">
        <f>IFERROR(__xludf.DUMMYFUNCTION("""COMPUTED_VALUE"""),46187.0)</f>
        <v>46187</v>
      </c>
      <c r="C9933" s="122" t="str">
        <f>IFERROR(__xludf.DUMMYFUNCTION("""COMPUTED_VALUE"""),"SBND")</f>
        <v>SBND</v>
      </c>
      <c r="D9933" s="122" t="str">
        <f>IFERROR(__xludf.DUMMYFUNCTION("""COMPUTED_VALUE"""),"School Savings Bond")</f>
        <v>School Savings Bond</v>
      </c>
      <c r="E9933" s="122">
        <f>IFERROR(__xludf.DUMMYFUNCTION("""COMPUTED_VALUE"""),99.2)</f>
        <v>99.2</v>
      </c>
      <c r="F9933" s="122">
        <f>IFERROR(__xludf.DUMMYFUNCTION("""COMPUTED_VALUE"""),-2.0E-4)</f>
        <v>-0.0002</v>
      </c>
    </row>
    <row r="9934">
      <c r="A9934" s="131">
        <f>IFERROR(__xludf.DUMMYFUNCTION("""COMPUTED_VALUE"""),46187.69939814815)</f>
        <v>46187.6994</v>
      </c>
      <c r="B9934" s="126">
        <f>IFERROR(__xludf.DUMMYFUNCTION("""COMPUTED_VALUE"""),46187.0)</f>
        <v>46187</v>
      </c>
      <c r="C9934" s="122" t="str">
        <f>IFERROR(__xludf.DUMMYFUNCTION("""COMPUTED_VALUE"""),"CBND")</f>
        <v>CBND</v>
      </c>
      <c r="D9934" s="122" t="str">
        <f>IFERROR(__xludf.DUMMYFUNCTION("""COMPUTED_VALUE"""),"Corporate Classroom Bond")</f>
        <v>Corporate Classroom Bond</v>
      </c>
      <c r="E9934" s="122">
        <f>IFERROR(__xludf.DUMMYFUNCTION("""COMPUTED_VALUE"""),98.08)</f>
        <v>98.08</v>
      </c>
      <c r="F9934" s="122">
        <f>IFERROR(__xludf.DUMMYFUNCTION("""COMPUTED_VALUE"""),-2.0E-4)</f>
        <v>-0.0002</v>
      </c>
    </row>
    <row r="9935">
      <c r="A9935" s="131">
        <f>IFERROR(__xludf.DUMMYFUNCTION("""COMPUTED_VALUE"""),46187.69939814815)</f>
        <v>46187.6994</v>
      </c>
      <c r="B9935" s="126">
        <f>IFERROR(__xludf.DUMMYFUNCTION("""COMPUTED_VALUE"""),46187.0)</f>
        <v>46187</v>
      </c>
      <c r="C9935" s="122" t="str">
        <f>IFERROR(__xludf.DUMMYFUNCTION("""COMPUTED_VALUE"""),"TBIL")</f>
        <v>TBIL</v>
      </c>
      <c r="D9935" s="122" t="str">
        <f>IFERROR(__xludf.DUMMYFUNCTION("""COMPUTED_VALUE"""),"Treasury Bill")</f>
        <v>Treasury Bill</v>
      </c>
      <c r="E9935" s="122">
        <f>IFERROR(__xludf.DUMMYFUNCTION("""COMPUTED_VALUE"""),97.85)</f>
        <v>97.85</v>
      </c>
      <c r="F9935" s="122">
        <f>IFERROR(__xludf.DUMMYFUNCTION("""COMPUTED_VALUE"""),1.0E-4)</f>
        <v>0.0001</v>
      </c>
    </row>
    <row r="9936">
      <c r="A9936" s="131">
        <f>IFERROR(__xludf.DUMMYFUNCTION("""COMPUTED_VALUE"""),46187.69939814815)</f>
        <v>46187.6994</v>
      </c>
      <c r="B9936" s="126">
        <f>IFERROR(__xludf.DUMMYFUNCTION("""COMPUTED_VALUE"""),46187.0)</f>
        <v>46187</v>
      </c>
      <c r="C9936" s="122" t="str">
        <f>IFERROR(__xludf.DUMMYFUNCTION("""COMPUTED_VALUE"""),"IBND")</f>
        <v>IBND</v>
      </c>
      <c r="D9936" s="122" t="str">
        <f>IFERROR(__xludf.DUMMYFUNCTION("""COMPUTED_VALUE"""),"Inflation Protected Bond")</f>
        <v>Inflation Protected Bond</v>
      </c>
      <c r="E9936" s="122">
        <f>IFERROR(__xludf.DUMMYFUNCTION("""COMPUTED_VALUE"""),100.62)</f>
        <v>100.62</v>
      </c>
      <c r="F9936" s="122">
        <f>IFERROR(__xludf.DUMMYFUNCTION("""COMPUTED_VALUE"""),-2.0E-4)</f>
        <v>-0.0002</v>
      </c>
    </row>
    <row r="9937">
      <c r="A9937" s="131">
        <f>IFERROR(__xludf.DUMMYFUNCTION("""COMPUTED_VALUE"""),46187.700902777775)</f>
        <v>46187.7009</v>
      </c>
      <c r="B9937" s="126">
        <f>IFERROR(__xludf.DUMMYFUNCTION("""COMPUTED_VALUE"""),46187.0)</f>
        <v>46187</v>
      </c>
      <c r="C9937" s="130">
        <f>IFERROR(__xludf.DUMMYFUNCTION("""COMPUTED_VALUE"""),0.7009027777777778)</f>
        <v>0.7009027778</v>
      </c>
      <c r="D9937" s="122" t="str">
        <f>IFERROR(__xludf.DUMMYFUNCTION("""COMPUTED_VALUE"""),"SNAX")</f>
        <v>SNAX</v>
      </c>
      <c r="E9937" s="122" t="str">
        <f>IFERROR(__xludf.DUMMYFUNCTION("""COMPUTED_VALUE"""),"MICA Snacks")</f>
        <v>MICA Snacks</v>
      </c>
      <c r="F9937" s="122" t="str">
        <f>IFERROR(__xludf.DUMMYFUNCTION("""COMPUTED_VALUE"""),"Consumer Goods")</f>
        <v>Consumer Goods</v>
      </c>
    </row>
    <row r="9938">
      <c r="A9938" s="131">
        <f>IFERROR(__xludf.DUMMYFUNCTION("""COMPUTED_VALUE"""),46187.700902777775)</f>
        <v>46187.7009</v>
      </c>
      <c r="B9938" s="126">
        <f>IFERROR(__xludf.DUMMYFUNCTION("""COMPUTED_VALUE"""),46187.0)</f>
        <v>46187</v>
      </c>
      <c r="C9938" s="130">
        <f>IFERROR(__xludf.DUMMYFUNCTION("""COMPUTED_VALUE"""),0.7009027777777778)</f>
        <v>0.7009027778</v>
      </c>
      <c r="D9938" s="122" t="str">
        <f>IFERROR(__xludf.DUMMYFUNCTION("""COMPUTED_VALUE"""),"RAMN")</f>
        <v>RAMN</v>
      </c>
      <c r="E9938" s="122" t="str">
        <f>IFERROR(__xludf.DUMMYFUNCTION("""COMPUTED_VALUE"""),"Ramen Republic")</f>
        <v>Ramen Republic</v>
      </c>
      <c r="F9938" s="122" t="str">
        <f>IFERROR(__xludf.DUMMYFUNCTION("""COMPUTED_VALUE"""),"Food")</f>
        <v>Food</v>
      </c>
    </row>
    <row r="9939">
      <c r="A9939" s="131">
        <f>IFERROR(__xludf.DUMMYFUNCTION("""COMPUTED_VALUE"""),46187.700902777775)</f>
        <v>46187.7009</v>
      </c>
      <c r="B9939" s="126">
        <f>IFERROR(__xludf.DUMMYFUNCTION("""COMPUTED_VALUE"""),46187.0)</f>
        <v>46187</v>
      </c>
      <c r="C9939" s="130">
        <f>IFERROR(__xludf.DUMMYFUNCTION("""COMPUTED_VALUE"""),0.7009027777777778)</f>
        <v>0.7009027778</v>
      </c>
      <c r="D9939" s="122" t="str">
        <f>IFERROR(__xludf.DUMMYFUNCTION("""COMPUTED_VALUE"""),"COLA")</f>
        <v>COLA</v>
      </c>
      <c r="E9939" s="122" t="str">
        <f>IFERROR(__xludf.DUMMYFUNCTION("""COMPUTED_VALUE"""),"K-Pop Cola")</f>
        <v>K-Pop Cola</v>
      </c>
      <c r="F9939" s="122" t="str">
        <f>IFERROR(__xludf.DUMMYFUNCTION("""COMPUTED_VALUE"""),"Beverage")</f>
        <v>Beverage</v>
      </c>
    </row>
    <row r="9940">
      <c r="A9940" s="131">
        <f>IFERROR(__xludf.DUMMYFUNCTION("""COMPUTED_VALUE"""),46187.700902777775)</f>
        <v>46187.7009</v>
      </c>
      <c r="B9940" s="126">
        <f>IFERROR(__xludf.DUMMYFUNCTION("""COMPUTED_VALUE"""),46187.0)</f>
        <v>46187</v>
      </c>
      <c r="C9940" s="130">
        <f>IFERROR(__xludf.DUMMYFUNCTION("""COMPUTED_VALUE"""),0.7009027777777778)</f>
        <v>0.7009027778</v>
      </c>
      <c r="D9940" s="122" t="str">
        <f>IFERROR(__xludf.DUMMYFUNCTION("""COMPUTED_VALUE"""),"CHIP")</f>
        <v>CHIP</v>
      </c>
      <c r="E9940" s="122" t="str">
        <f>IFERROR(__xludf.DUMMYFUNCTION("""COMPUTED_VALUE"""),"Chip Empire")</f>
        <v>Chip Empire</v>
      </c>
      <c r="F9940" s="122" t="str">
        <f>IFERROR(__xludf.DUMMYFUNCTION("""COMPUTED_VALUE"""),"Consumer Goods")</f>
        <v>Consumer Goods</v>
      </c>
    </row>
    <row r="9941">
      <c r="A9941" s="131">
        <f>IFERROR(__xludf.DUMMYFUNCTION("""COMPUTED_VALUE"""),46187.700902777775)</f>
        <v>46187.7009</v>
      </c>
      <c r="B9941" s="126">
        <f>IFERROR(__xludf.DUMMYFUNCTION("""COMPUTED_VALUE"""),46187.0)</f>
        <v>46187</v>
      </c>
      <c r="C9941" s="130">
        <f>IFERROR(__xludf.DUMMYFUNCTION("""COMPUTED_VALUE"""),0.7009027777777778)</f>
        <v>0.7009027778</v>
      </c>
      <c r="D9941" s="122" t="str">
        <f>IFERROR(__xludf.DUMMYFUNCTION("""COMPUTED_VALUE"""),"CAND")</f>
        <v>CAND</v>
      </c>
      <c r="E9941" s="122" t="str">
        <f>IFERROR(__xludf.DUMMYFUNCTION("""COMPUTED_VALUE"""),"Candy Capital")</f>
        <v>Candy Capital</v>
      </c>
      <c r="F9941" s="122" t="str">
        <f>IFERROR(__xludf.DUMMYFUNCTION("""COMPUTED_VALUE"""),"Consumer Goods")</f>
        <v>Consumer Goods</v>
      </c>
    </row>
    <row r="9942">
      <c r="A9942" s="131">
        <f>IFERROR(__xludf.DUMMYFUNCTION("""COMPUTED_VALUE"""),46187.700902777775)</f>
        <v>46187.7009</v>
      </c>
      <c r="B9942" s="126">
        <f>IFERROR(__xludf.DUMMYFUNCTION("""COMPUTED_VALUE"""),46187.0)</f>
        <v>46187</v>
      </c>
      <c r="C9942" s="130">
        <f>IFERROR(__xludf.DUMMYFUNCTION("""COMPUTED_VALUE"""),0.7009027777777778)</f>
        <v>0.7009027778</v>
      </c>
      <c r="D9942" s="122" t="str">
        <f>IFERROR(__xludf.DUMMYFUNCTION("""COMPUTED_VALUE"""),"TECH")</f>
        <v>TECH</v>
      </c>
      <c r="E9942" s="122" t="str">
        <f>IFERROR(__xludf.DUMMYFUNCTION("""COMPUTED_VALUE"""),"Dragon Tech")</f>
        <v>Dragon Tech</v>
      </c>
      <c r="F9942" s="122" t="str">
        <f>IFERROR(__xludf.DUMMYFUNCTION("""COMPUTED_VALUE"""),"Technology")</f>
        <v>Technology</v>
      </c>
    </row>
    <row r="9943">
      <c r="A9943" s="131">
        <f>IFERROR(__xludf.DUMMYFUNCTION("""COMPUTED_VALUE"""),46187.700902777775)</f>
        <v>46187.7009</v>
      </c>
      <c r="B9943" s="126">
        <f>IFERROR(__xludf.DUMMYFUNCTION("""COMPUTED_VALUE"""),46187.0)</f>
        <v>46187</v>
      </c>
      <c r="C9943" s="130">
        <f>IFERROR(__xludf.DUMMYFUNCTION("""COMPUTED_VALUE"""),0.7009027777777778)</f>
        <v>0.7009027778</v>
      </c>
      <c r="D9943" s="122" t="str">
        <f>IFERROR(__xludf.DUMMYFUNCTION("""COMPUTED_VALUE"""),"AIBO")</f>
        <v>AIBO</v>
      </c>
      <c r="E9943" s="122" t="str">
        <f>IFERROR(__xludf.DUMMYFUNCTION("""COMPUTED_VALUE"""),"Homework AI")</f>
        <v>Homework AI</v>
      </c>
      <c r="F9943" s="122" t="str">
        <f>IFERROR(__xludf.DUMMYFUNCTION("""COMPUTED_VALUE"""),"Technology")</f>
        <v>Technology</v>
      </c>
    </row>
    <row r="9944">
      <c r="A9944" s="131">
        <f>IFERROR(__xludf.DUMMYFUNCTION("""COMPUTED_VALUE"""),46187.700902777775)</f>
        <v>46187.7009</v>
      </c>
      <c r="B9944" s="126">
        <f>IFERROR(__xludf.DUMMYFUNCTION("""COMPUTED_VALUE"""),46187.0)</f>
        <v>46187</v>
      </c>
      <c r="C9944" s="130">
        <f>IFERROR(__xludf.DUMMYFUNCTION("""COMPUTED_VALUE"""),0.7009027777777778)</f>
        <v>0.7009027778</v>
      </c>
      <c r="D9944" s="122" t="str">
        <f>IFERROR(__xludf.DUMMYFUNCTION("""COMPUTED_VALUE"""),"GAME")</f>
        <v>GAME</v>
      </c>
      <c r="E9944" s="122" t="str">
        <f>IFERROR(__xludf.DUMMYFUNCTION("""COMPUTED_VALUE"""),"GameBox Media")</f>
        <v>GameBox Media</v>
      </c>
      <c r="F9944" s="122" t="str">
        <f>IFERROR(__xludf.DUMMYFUNCTION("""COMPUTED_VALUE"""),"Entertainment")</f>
        <v>Entertainment</v>
      </c>
    </row>
    <row r="9945">
      <c r="A9945" s="131">
        <f>IFERROR(__xludf.DUMMYFUNCTION("""COMPUTED_VALUE"""),46187.700902777775)</f>
        <v>46187.7009</v>
      </c>
      <c r="B9945" s="126">
        <f>IFERROR(__xludf.DUMMYFUNCTION("""COMPUTED_VALUE"""),46187.0)</f>
        <v>46187</v>
      </c>
      <c r="C9945" s="130">
        <f>IFERROR(__xludf.DUMMYFUNCTION("""COMPUTED_VALUE"""),0.7009027777777778)</f>
        <v>0.7009027778</v>
      </c>
      <c r="D9945" s="122" t="str">
        <f>IFERROR(__xludf.DUMMYFUNCTION("""COMPUTED_VALUE"""),"VRSE")</f>
        <v>VRSE</v>
      </c>
      <c r="E9945" s="122" t="str">
        <f>IFERROR(__xludf.DUMMYFUNCTION("""COMPUTED_VALUE"""),"VerseVR")</f>
        <v>VerseVR</v>
      </c>
      <c r="F9945" s="122" t="str">
        <f>IFERROR(__xludf.DUMMYFUNCTION("""COMPUTED_VALUE"""),"Technology")</f>
        <v>Technology</v>
      </c>
    </row>
    <row r="9946">
      <c r="A9946" s="131">
        <f>IFERROR(__xludf.DUMMYFUNCTION("""COMPUTED_VALUE"""),46187.700902777775)</f>
        <v>46187.7009</v>
      </c>
      <c r="B9946" s="126">
        <f>IFERROR(__xludf.DUMMYFUNCTION("""COMPUTED_VALUE"""),46187.0)</f>
        <v>46187</v>
      </c>
      <c r="C9946" s="130">
        <f>IFERROR(__xludf.DUMMYFUNCTION("""COMPUTED_VALUE"""),0.7009027777777778)</f>
        <v>0.7009027778</v>
      </c>
      <c r="D9946" s="122" t="str">
        <f>IFERROR(__xludf.DUMMYFUNCTION("""COMPUTED_VALUE"""),"BYTE")</f>
        <v>BYTE</v>
      </c>
      <c r="E9946" s="122" t="str">
        <f>IFERROR(__xludf.DUMMYFUNCTION("""COMPUTED_VALUE"""),"ByteWorks")</f>
        <v>ByteWorks</v>
      </c>
      <c r="F9946" s="122" t="str">
        <f>IFERROR(__xludf.DUMMYFUNCTION("""COMPUTED_VALUE"""),"Technology")</f>
        <v>Technology</v>
      </c>
    </row>
    <row r="9947">
      <c r="A9947" s="131">
        <f>IFERROR(__xludf.DUMMYFUNCTION("""COMPUTED_VALUE"""),46187.700902777775)</f>
        <v>46187.7009</v>
      </c>
      <c r="B9947" s="126">
        <f>IFERROR(__xludf.DUMMYFUNCTION("""COMPUTED_VALUE"""),46187.0)</f>
        <v>46187</v>
      </c>
      <c r="C9947" s="130">
        <f>IFERROR(__xludf.DUMMYFUNCTION("""COMPUTED_VALUE"""),0.7009027777777778)</f>
        <v>0.7009027778</v>
      </c>
      <c r="D9947" s="122" t="str">
        <f>IFERROR(__xludf.DUMMYFUNCTION("""COMPUTED_VALUE"""),"BANK")</f>
        <v>BANK</v>
      </c>
      <c r="E9947" s="122" t="str">
        <f>IFERROR(__xludf.DUMMYFUNCTION("""COMPUTED_VALUE"""),"Tiger Bank")</f>
        <v>Tiger Bank</v>
      </c>
      <c r="F9947" s="122" t="str">
        <f>IFERROR(__xludf.DUMMYFUNCTION("""COMPUTED_VALUE"""),"Finance")</f>
        <v>Finance</v>
      </c>
    </row>
    <row r="9948">
      <c r="A9948" s="131">
        <f>IFERROR(__xludf.DUMMYFUNCTION("""COMPUTED_VALUE"""),46187.700902777775)</f>
        <v>46187.7009</v>
      </c>
      <c r="B9948" s="126">
        <f>IFERROR(__xludf.DUMMYFUNCTION("""COMPUTED_VALUE"""),46187.0)</f>
        <v>46187</v>
      </c>
      <c r="C9948" s="130">
        <f>IFERROR(__xludf.DUMMYFUNCTION("""COMPUTED_VALUE"""),0.7009027777777778)</f>
        <v>0.7009027778</v>
      </c>
      <c r="D9948" s="122" t="str">
        <f>IFERROR(__xludf.DUMMYFUNCTION("""COMPUTED_VALUE"""),"CRED")</f>
        <v>CRED</v>
      </c>
      <c r="E9948" s="122" t="str">
        <f>IFERROR(__xludf.DUMMYFUNCTION("""COMPUTED_VALUE"""),"Credit Castle")</f>
        <v>Credit Castle</v>
      </c>
      <c r="F9948" s="122" t="str">
        <f>IFERROR(__xludf.DUMMYFUNCTION("""COMPUTED_VALUE"""),"Finance")</f>
        <v>Finance</v>
      </c>
    </row>
    <row r="9949">
      <c r="A9949" s="131">
        <f>IFERROR(__xludf.DUMMYFUNCTION("""COMPUTED_VALUE"""),46187.700902777775)</f>
        <v>46187.7009</v>
      </c>
      <c r="B9949" s="126">
        <f>IFERROR(__xludf.DUMMYFUNCTION("""COMPUTED_VALUE"""),46187.0)</f>
        <v>46187</v>
      </c>
      <c r="C9949" s="130">
        <f>IFERROR(__xludf.DUMMYFUNCTION("""COMPUTED_VALUE"""),0.7009027777777778)</f>
        <v>0.7009027778</v>
      </c>
      <c r="D9949" s="122" t="str">
        <f>IFERROR(__xludf.DUMMYFUNCTION("""COMPUTED_VALUE"""),"BOND")</f>
        <v>BOND</v>
      </c>
      <c r="E9949" s="122" t="str">
        <f>IFERROR(__xludf.DUMMYFUNCTION("""COMPUTED_VALUE"""),"BondBridge")</f>
        <v>BondBridge</v>
      </c>
      <c r="F9949" s="122" t="str">
        <f>IFERROR(__xludf.DUMMYFUNCTION("""COMPUTED_VALUE"""),"Finance")</f>
        <v>Finance</v>
      </c>
    </row>
    <row r="9950">
      <c r="A9950" s="131">
        <f>IFERROR(__xludf.DUMMYFUNCTION("""COMPUTED_VALUE"""),46187.700902777775)</f>
        <v>46187.7009</v>
      </c>
      <c r="B9950" s="126">
        <f>IFERROR(__xludf.DUMMYFUNCTION("""COMPUTED_VALUE"""),46187.0)</f>
        <v>46187</v>
      </c>
      <c r="C9950" s="130">
        <f>IFERROR(__xludf.DUMMYFUNCTION("""COMPUTED_VALUE"""),0.7009027777777778)</f>
        <v>0.7009027778</v>
      </c>
      <c r="D9950" s="122" t="str">
        <f>IFERROR(__xludf.DUMMYFUNCTION("""COMPUTED_VALUE"""),"INSR")</f>
        <v>INSR</v>
      </c>
      <c r="E9950" s="122" t="str">
        <f>IFERROR(__xludf.DUMMYFUNCTION("""COMPUTED_VALUE"""),"Shield Insurance")</f>
        <v>Shield Insurance</v>
      </c>
      <c r="F9950" s="122" t="str">
        <f>IFERROR(__xludf.DUMMYFUNCTION("""COMPUTED_VALUE"""),"Finance")</f>
        <v>Finance</v>
      </c>
    </row>
    <row r="9951">
      <c r="A9951" s="131">
        <f>IFERROR(__xludf.DUMMYFUNCTION("""COMPUTED_VALUE"""),46187.700902777775)</f>
        <v>46187.7009</v>
      </c>
      <c r="B9951" s="126">
        <f>IFERROR(__xludf.DUMMYFUNCTION("""COMPUTED_VALUE"""),46187.0)</f>
        <v>46187</v>
      </c>
      <c r="C9951" s="130">
        <f>IFERROR(__xludf.DUMMYFUNCTION("""COMPUTED_VALUE"""),0.7009027777777778)</f>
        <v>0.7009027778</v>
      </c>
      <c r="D9951" s="122" t="str">
        <f>IFERROR(__xludf.DUMMYFUNCTION("""COMPUTED_VALUE"""),"LOAN")</f>
        <v>LOAN</v>
      </c>
      <c r="E9951" s="122" t="str">
        <f>IFERROR(__xludf.DUMMYFUNCTION("""COMPUTED_VALUE"""),"LoanLab")</f>
        <v>LoanLab</v>
      </c>
      <c r="F9951" s="122" t="str">
        <f>IFERROR(__xludf.DUMMYFUNCTION("""COMPUTED_VALUE"""),"Finance")</f>
        <v>Finance</v>
      </c>
    </row>
    <row r="9952">
      <c r="A9952" s="131">
        <f>IFERROR(__xludf.DUMMYFUNCTION("""COMPUTED_VALUE"""),46187.700902777775)</f>
        <v>46187.7009</v>
      </c>
      <c r="B9952" s="126">
        <f>IFERROR(__xludf.DUMMYFUNCTION("""COMPUTED_VALUE"""),46187.0)</f>
        <v>46187</v>
      </c>
      <c r="C9952" s="130">
        <f>IFERROR(__xludf.DUMMYFUNCTION("""COMPUTED_VALUE"""),0.7009027777777778)</f>
        <v>0.7009027778</v>
      </c>
      <c r="D9952" s="122" t="str">
        <f>IFERROR(__xludf.DUMMYFUNCTION("""COMPUTED_VALUE"""),"LUXE")</f>
        <v>LUXE</v>
      </c>
      <c r="E9952" s="122" t="str">
        <f>IFERROR(__xludf.DUMMYFUNCTION("""COMPUTED_VALUE"""),"Luxury Locker")</f>
        <v>Luxury Locker</v>
      </c>
      <c r="F9952" s="122" t="str">
        <f>IFERROR(__xludf.DUMMYFUNCTION("""COMPUTED_VALUE"""),"Luxury Goods")</f>
        <v>Luxury Goods</v>
      </c>
    </row>
    <row r="9953">
      <c r="A9953" s="131">
        <f>IFERROR(__xludf.DUMMYFUNCTION("""COMPUTED_VALUE"""),46187.700902777775)</f>
        <v>46187.7009</v>
      </c>
      <c r="B9953" s="126">
        <f>IFERROR(__xludf.DUMMYFUNCTION("""COMPUTED_VALUE"""),46187.0)</f>
        <v>46187</v>
      </c>
      <c r="C9953" s="130">
        <f>IFERROR(__xludf.DUMMYFUNCTION("""COMPUTED_VALUE"""),0.7009027777777778)</f>
        <v>0.7009027778</v>
      </c>
      <c r="D9953" s="122" t="str">
        <f>IFERROR(__xludf.DUMMYFUNCTION("""COMPUTED_VALUE"""),"DRIP")</f>
        <v>DRIP</v>
      </c>
      <c r="E9953" s="122" t="str">
        <f>IFERROR(__xludf.DUMMYFUNCTION("""COMPUTED_VALUE"""),"Drip Streetwear")</f>
        <v>Drip Streetwear</v>
      </c>
      <c r="F9953" s="122" t="str">
        <f>IFERROR(__xludf.DUMMYFUNCTION("""COMPUTED_VALUE"""),"Fashion")</f>
        <v>Fashion</v>
      </c>
    </row>
    <row r="9954">
      <c r="A9954" s="131">
        <f>IFERROR(__xludf.DUMMYFUNCTION("""COMPUTED_VALUE"""),46187.700902777775)</f>
        <v>46187.7009</v>
      </c>
      <c r="B9954" s="126">
        <f>IFERROR(__xludf.DUMMYFUNCTION("""COMPUTED_VALUE"""),46187.0)</f>
        <v>46187</v>
      </c>
      <c r="C9954" s="130">
        <f>IFERROR(__xludf.DUMMYFUNCTION("""COMPUTED_VALUE"""),0.7009027777777778)</f>
        <v>0.7009027778</v>
      </c>
      <c r="D9954" s="122" t="str">
        <f>IFERROR(__xludf.DUMMYFUNCTION("""COMPUTED_VALUE"""),"KICK")</f>
        <v>KICK</v>
      </c>
      <c r="E9954" s="122" t="str">
        <f>IFERROR(__xludf.DUMMYFUNCTION("""COMPUTED_VALUE"""),"KickDrop Sneakers")</f>
        <v>KickDrop Sneakers</v>
      </c>
      <c r="F9954" s="122" t="str">
        <f>IFERROR(__xludf.DUMMYFUNCTION("""COMPUTED_VALUE"""),"Fashion")</f>
        <v>Fashion</v>
      </c>
    </row>
    <row r="9955">
      <c r="A9955" s="131">
        <f>IFERROR(__xludf.DUMMYFUNCTION("""COMPUTED_VALUE"""),46187.700902777775)</f>
        <v>46187.7009</v>
      </c>
      <c r="B9955" s="126">
        <f>IFERROR(__xludf.DUMMYFUNCTION("""COMPUTED_VALUE"""),46187.0)</f>
        <v>46187</v>
      </c>
      <c r="C9955" s="130">
        <f>IFERROR(__xludf.DUMMYFUNCTION("""COMPUTED_VALUE"""),0.7009027777777778)</f>
        <v>0.7009027778</v>
      </c>
      <c r="D9955" s="122" t="str">
        <f>IFERROR(__xludf.DUMMYFUNCTION("""COMPUTED_VALUE"""),"GLAM")</f>
        <v>GLAM</v>
      </c>
      <c r="E9955" s="122" t="str">
        <f>IFERROR(__xludf.DUMMYFUNCTION("""COMPUTED_VALUE"""),"Glow Cosmetics")</f>
        <v>Glow Cosmetics</v>
      </c>
      <c r="F9955" s="122" t="str">
        <f>IFERROR(__xludf.DUMMYFUNCTION("""COMPUTED_VALUE"""),"Fashion")</f>
        <v>Fashion</v>
      </c>
    </row>
    <row r="9956">
      <c r="A9956" s="131">
        <f>IFERROR(__xludf.DUMMYFUNCTION("""COMPUTED_VALUE"""),46187.700902777775)</f>
        <v>46187.7009</v>
      </c>
      <c r="B9956" s="126">
        <f>IFERROR(__xludf.DUMMYFUNCTION("""COMPUTED_VALUE"""),46187.0)</f>
        <v>46187</v>
      </c>
      <c r="C9956" s="130">
        <f>IFERROR(__xludf.DUMMYFUNCTION("""COMPUTED_VALUE"""),0.7009027777777778)</f>
        <v>0.7009027778</v>
      </c>
      <c r="D9956" s="122" t="str">
        <f>IFERROR(__xludf.DUMMYFUNCTION("""COMPUTED_VALUE"""),"BAGG")</f>
        <v>BAGG</v>
      </c>
      <c r="E9956" s="122" t="str">
        <f>IFERROR(__xludf.DUMMYFUNCTION("""COMPUTED_VALUE"""),"BagVault")</f>
        <v>BagVault</v>
      </c>
      <c r="F9956" s="122" t="str">
        <f>IFERROR(__xludf.DUMMYFUNCTION("""COMPUTED_VALUE"""),"Fashion")</f>
        <v>Fashion</v>
      </c>
    </row>
    <row r="9957">
      <c r="A9957" s="131">
        <f>IFERROR(__xludf.DUMMYFUNCTION("""COMPUTED_VALUE"""),46187.700902777775)</f>
        <v>46187.7009</v>
      </c>
      <c r="B9957" s="126">
        <f>IFERROR(__xludf.DUMMYFUNCTION("""COMPUTED_VALUE"""),46187.0)</f>
        <v>46187</v>
      </c>
      <c r="C9957" s="130">
        <f>IFERROR(__xludf.DUMMYFUNCTION("""COMPUTED_VALUE"""),0.7009027777777778)</f>
        <v>0.7009027778</v>
      </c>
      <c r="D9957" s="122" t="str">
        <f>IFERROR(__xludf.DUMMYFUNCTION("""COMPUTED_VALUE"""),"FAST")</f>
        <v>FAST</v>
      </c>
      <c r="E9957" s="122" t="str">
        <f>IFERROR(__xludf.DUMMYFUNCTION("""COMPUTED_VALUE"""),"Flash Logistics")</f>
        <v>Flash Logistics</v>
      </c>
      <c r="F9957" s="122" t="str">
        <f>IFERROR(__xludf.DUMMYFUNCTION("""COMPUTED_VALUE"""),"Logistics")</f>
        <v>Logistics</v>
      </c>
    </row>
    <row r="9958">
      <c r="A9958" s="131">
        <f>IFERROR(__xludf.DUMMYFUNCTION("""COMPUTED_VALUE"""),46187.700902777775)</f>
        <v>46187.7009</v>
      </c>
      <c r="B9958" s="126">
        <f>IFERROR(__xludf.DUMMYFUNCTION("""COMPUTED_VALUE"""),46187.0)</f>
        <v>46187</v>
      </c>
      <c r="C9958" s="130">
        <f>IFERROR(__xludf.DUMMYFUNCTION("""COMPUTED_VALUE"""),0.7009027777777778)</f>
        <v>0.7009027778</v>
      </c>
      <c r="D9958" s="122" t="str">
        <f>IFERROR(__xludf.DUMMYFUNCTION("""COMPUTED_VALUE"""),"SHIP")</f>
        <v>SHIP</v>
      </c>
      <c r="E9958" s="122" t="str">
        <f>IFERROR(__xludf.DUMMYFUNCTION("""COMPUTED_VALUE"""),"Seoul Shipping")</f>
        <v>Seoul Shipping</v>
      </c>
      <c r="F9958" s="122" t="str">
        <f>IFERROR(__xludf.DUMMYFUNCTION("""COMPUTED_VALUE"""),"Logistics")</f>
        <v>Logistics</v>
      </c>
    </row>
    <row r="9959">
      <c r="A9959" s="131">
        <f>IFERROR(__xludf.DUMMYFUNCTION("""COMPUTED_VALUE"""),46187.700902777775)</f>
        <v>46187.7009</v>
      </c>
      <c r="B9959" s="126">
        <f>IFERROR(__xludf.DUMMYFUNCTION("""COMPUTED_VALUE"""),46187.0)</f>
        <v>46187</v>
      </c>
      <c r="C9959" s="130">
        <f>IFERROR(__xludf.DUMMYFUNCTION("""COMPUTED_VALUE"""),0.7009027777777778)</f>
        <v>0.7009027778</v>
      </c>
      <c r="D9959" s="122" t="str">
        <f>IFERROR(__xludf.DUMMYFUNCTION("""COMPUTED_VALUE"""),"DRON")</f>
        <v>DRON</v>
      </c>
      <c r="E9959" s="122" t="str">
        <f>IFERROR(__xludf.DUMMYFUNCTION("""COMPUTED_VALUE"""),"DroneDrop")</f>
        <v>DroneDrop</v>
      </c>
      <c r="F9959" s="122" t="str">
        <f>IFERROR(__xludf.DUMMYFUNCTION("""COMPUTED_VALUE"""),"Logistics")</f>
        <v>Logistics</v>
      </c>
    </row>
    <row r="9960">
      <c r="A9960" s="131">
        <f>IFERROR(__xludf.DUMMYFUNCTION("""COMPUTED_VALUE"""),46187.700902777775)</f>
        <v>46187.7009</v>
      </c>
      <c r="B9960" s="126">
        <f>IFERROR(__xludf.DUMMYFUNCTION("""COMPUTED_VALUE"""),46187.0)</f>
        <v>46187</v>
      </c>
      <c r="C9960" s="130">
        <f>IFERROR(__xludf.DUMMYFUNCTION("""COMPUTED_VALUE"""),0.7009027777777778)</f>
        <v>0.7009027778</v>
      </c>
      <c r="D9960" s="122" t="str">
        <f>IFERROR(__xludf.DUMMYFUNCTION("""COMPUTED_VALUE"""),"RIDE")</f>
        <v>RIDE</v>
      </c>
      <c r="E9960" s="122" t="str">
        <f>IFERROR(__xludf.DUMMYFUNCTION("""COMPUTED_VALUE"""),"QuickRide")</f>
        <v>QuickRide</v>
      </c>
      <c r="F9960" s="122" t="str">
        <f>IFERROR(__xludf.DUMMYFUNCTION("""COMPUTED_VALUE"""),"Transportation")</f>
        <v>Transportation</v>
      </c>
    </row>
    <row r="9961">
      <c r="A9961" s="131">
        <f>IFERROR(__xludf.DUMMYFUNCTION("""COMPUTED_VALUE"""),46187.700902777775)</f>
        <v>46187.7009</v>
      </c>
      <c r="B9961" s="126">
        <f>IFERROR(__xludf.DUMMYFUNCTION("""COMPUTED_VALUE"""),46187.0)</f>
        <v>46187</v>
      </c>
      <c r="C9961" s="130">
        <f>IFERROR(__xludf.DUMMYFUNCTION("""COMPUTED_VALUE"""),0.7009027777777778)</f>
        <v>0.7009027778</v>
      </c>
      <c r="D9961" s="122" t="str">
        <f>IFERROR(__xludf.DUMMYFUNCTION("""COMPUTED_VALUE"""),"RAIL")</f>
        <v>RAIL</v>
      </c>
      <c r="E9961" s="122" t="str">
        <f>IFERROR(__xludf.DUMMYFUNCTION("""COMPUTED_VALUE"""),"MetroRail Corp")</f>
        <v>MetroRail Corp</v>
      </c>
      <c r="F9961" s="122" t="str">
        <f>IFERROR(__xludf.DUMMYFUNCTION("""COMPUTED_VALUE"""),"Transportation")</f>
        <v>Transportation</v>
      </c>
    </row>
    <row r="9962">
      <c r="A9962" s="131">
        <f>IFERROR(__xludf.DUMMYFUNCTION("""COMPUTED_VALUE"""),46187.700902777775)</f>
        <v>46187.7009</v>
      </c>
      <c r="B9962" s="126">
        <f>IFERROR(__xludf.DUMMYFUNCTION("""COMPUTED_VALUE"""),46187.0)</f>
        <v>46187</v>
      </c>
      <c r="C9962" s="130">
        <f>IFERROR(__xludf.DUMMYFUNCTION("""COMPUTED_VALUE"""),0.7009027777777778)</f>
        <v>0.7009027778</v>
      </c>
      <c r="D9962" s="122" t="str">
        <f>IFERROR(__xludf.DUMMYFUNCTION("""COMPUTED_VALUE"""),"MEDX")</f>
        <v>MEDX</v>
      </c>
      <c r="E9962" s="122" t="str">
        <f>IFERROR(__xludf.DUMMYFUNCTION("""COMPUTED_VALUE"""),"MediCore")</f>
        <v>MediCore</v>
      </c>
      <c r="F9962" s="122" t="str">
        <f>IFERROR(__xludf.DUMMYFUNCTION("""COMPUTED_VALUE"""),"Healthcare")</f>
        <v>Healthcare</v>
      </c>
    </row>
    <row r="9963">
      <c r="A9963" s="131">
        <f>IFERROR(__xludf.DUMMYFUNCTION("""COMPUTED_VALUE"""),46187.700902777775)</f>
        <v>46187.7009</v>
      </c>
      <c r="B9963" s="126">
        <f>IFERROR(__xludf.DUMMYFUNCTION("""COMPUTED_VALUE"""),46187.0)</f>
        <v>46187</v>
      </c>
      <c r="C9963" s="130">
        <f>IFERROR(__xludf.DUMMYFUNCTION("""COMPUTED_VALUE"""),0.7009027777777778)</f>
        <v>0.7009027778</v>
      </c>
      <c r="D9963" s="122" t="str">
        <f>IFERROR(__xludf.DUMMYFUNCTION("""COMPUTED_VALUE"""),"GYMX")</f>
        <v>GYMX</v>
      </c>
      <c r="E9963" s="122" t="str">
        <f>IFERROR(__xludf.DUMMYFUNCTION("""COMPUTED_VALUE"""),"GymX Fitness")</f>
        <v>GymX Fitness</v>
      </c>
      <c r="F9963" s="122" t="str">
        <f>IFERROR(__xludf.DUMMYFUNCTION("""COMPUTED_VALUE"""),"Healthcare")</f>
        <v>Healthcare</v>
      </c>
    </row>
    <row r="9964">
      <c r="A9964" s="131">
        <f>IFERROR(__xludf.DUMMYFUNCTION("""COMPUTED_VALUE"""),46187.700902777775)</f>
        <v>46187.7009</v>
      </c>
      <c r="B9964" s="126">
        <f>IFERROR(__xludf.DUMMYFUNCTION("""COMPUTED_VALUE"""),46187.0)</f>
        <v>46187</v>
      </c>
      <c r="C9964" s="130">
        <f>IFERROR(__xludf.DUMMYFUNCTION("""COMPUTED_VALUE"""),0.7009027777777778)</f>
        <v>0.7009027778</v>
      </c>
      <c r="D9964" s="122" t="str">
        <f>IFERROR(__xludf.DUMMYFUNCTION("""COMPUTED_VALUE"""),"VITA")</f>
        <v>VITA</v>
      </c>
      <c r="E9964" s="122" t="str">
        <f>IFERROR(__xludf.DUMMYFUNCTION("""COMPUTED_VALUE"""),"VitaPlus")</f>
        <v>VitaPlus</v>
      </c>
      <c r="F9964" s="122" t="str">
        <f>IFERROR(__xludf.DUMMYFUNCTION("""COMPUTED_VALUE"""),"Healthcare")</f>
        <v>Healthcare</v>
      </c>
    </row>
    <row r="9965">
      <c r="A9965" s="131">
        <f>IFERROR(__xludf.DUMMYFUNCTION("""COMPUTED_VALUE"""),46187.700902777775)</f>
        <v>46187.7009</v>
      </c>
      <c r="B9965" s="126">
        <f>IFERROR(__xludf.DUMMYFUNCTION("""COMPUTED_VALUE"""),46187.0)</f>
        <v>46187</v>
      </c>
      <c r="C9965" s="130">
        <f>IFERROR(__xludf.DUMMYFUNCTION("""COMPUTED_VALUE"""),0.7009027777777778)</f>
        <v>0.7009027778</v>
      </c>
      <c r="D9965" s="122" t="str">
        <f>IFERROR(__xludf.DUMMYFUNCTION("""COMPUTED_VALUE"""),"CARE")</f>
        <v>CARE</v>
      </c>
      <c r="E9965" s="122" t="str">
        <f>IFERROR(__xludf.DUMMYFUNCTION("""COMPUTED_VALUE"""),"CareCloud")</f>
        <v>CareCloud</v>
      </c>
      <c r="F9965" s="122" t="str">
        <f>IFERROR(__xludf.DUMMYFUNCTION("""COMPUTED_VALUE"""),"Healthcare")</f>
        <v>Healthcare</v>
      </c>
    </row>
    <row r="9966">
      <c r="A9966" s="131">
        <f>IFERROR(__xludf.DUMMYFUNCTION("""COMPUTED_VALUE"""),46187.700902777775)</f>
        <v>46187.7009</v>
      </c>
      <c r="B9966" s="126">
        <f>IFERROR(__xludf.DUMMYFUNCTION("""COMPUTED_VALUE"""),46187.0)</f>
        <v>46187</v>
      </c>
      <c r="C9966" s="130">
        <f>IFERROR(__xludf.DUMMYFUNCTION("""COMPUTED_VALUE"""),0.7009027777777778)</f>
        <v>0.7009027778</v>
      </c>
      <c r="D9966" s="122" t="str">
        <f>IFERROR(__xludf.DUMMYFUNCTION("""COMPUTED_VALUE"""),"DENT")</f>
        <v>DENT</v>
      </c>
      <c r="E9966" s="122" t="str">
        <f>IFERROR(__xludf.DUMMYFUNCTION("""COMPUTED_VALUE"""),"SmileWorks")</f>
        <v>SmileWorks</v>
      </c>
      <c r="F9966" s="122" t="str">
        <f>IFERROR(__xludf.DUMMYFUNCTION("""COMPUTED_VALUE"""),"Healthcare")</f>
        <v>Healthcare</v>
      </c>
    </row>
    <row r="9967">
      <c r="A9967" s="131">
        <f>IFERROR(__xludf.DUMMYFUNCTION("""COMPUTED_VALUE"""),46187.700902777775)</f>
        <v>46187.7009</v>
      </c>
      <c r="B9967" s="126">
        <f>IFERROR(__xludf.DUMMYFUNCTION("""COMPUTED_VALUE"""),46187.0)</f>
        <v>46187</v>
      </c>
      <c r="C9967" s="130">
        <f>IFERROR(__xludf.DUMMYFUNCTION("""COMPUTED_VALUE"""),0.7009027777777778)</f>
        <v>0.7009027778</v>
      </c>
      <c r="D9967" s="122" t="str">
        <f>IFERROR(__xludf.DUMMYFUNCTION("""COMPUTED_VALUE"""),"EDUX")</f>
        <v>EDUX</v>
      </c>
      <c r="E9967" s="122" t="str">
        <f>IFERROR(__xludf.DUMMYFUNCTION("""COMPUTED_VALUE"""),"EduMax Learning")</f>
        <v>EduMax Learning</v>
      </c>
      <c r="F9967" s="122" t="str">
        <f>IFERROR(__xludf.DUMMYFUNCTION("""COMPUTED_VALUE"""),"Education")</f>
        <v>Education</v>
      </c>
    </row>
    <row r="9968">
      <c r="A9968" s="131">
        <f>IFERROR(__xludf.DUMMYFUNCTION("""COMPUTED_VALUE"""),46187.700902777775)</f>
        <v>46187.7009</v>
      </c>
      <c r="B9968" s="126">
        <f>IFERROR(__xludf.DUMMYFUNCTION("""COMPUTED_VALUE"""),46187.0)</f>
        <v>46187</v>
      </c>
      <c r="C9968" s="130">
        <f>IFERROR(__xludf.DUMMYFUNCTION("""COMPUTED_VALUE"""),0.7009027777777778)</f>
        <v>0.7009027778</v>
      </c>
      <c r="D9968" s="122" t="str">
        <f>IFERROR(__xludf.DUMMYFUNCTION("""COMPUTED_VALUE"""),"BOOK")</f>
        <v>BOOK</v>
      </c>
      <c r="E9968" s="122" t="str">
        <f>IFERROR(__xludf.DUMMYFUNCTION("""COMPUTED_VALUE"""),"BookBridge")</f>
        <v>BookBridge</v>
      </c>
      <c r="F9968" s="122" t="str">
        <f>IFERROR(__xludf.DUMMYFUNCTION("""COMPUTED_VALUE"""),"Education")</f>
        <v>Education</v>
      </c>
    </row>
    <row r="9969">
      <c r="A9969" s="131">
        <f>IFERROR(__xludf.DUMMYFUNCTION("""COMPUTED_VALUE"""),46187.700902777775)</f>
        <v>46187.7009</v>
      </c>
      <c r="B9969" s="126">
        <f>IFERROR(__xludf.DUMMYFUNCTION("""COMPUTED_VALUE"""),46187.0)</f>
        <v>46187</v>
      </c>
      <c r="C9969" s="130">
        <f>IFERROR(__xludf.DUMMYFUNCTION("""COMPUTED_VALUE"""),0.7009027777777778)</f>
        <v>0.7009027778</v>
      </c>
      <c r="D9969" s="122" t="str">
        <f>IFERROR(__xludf.DUMMYFUNCTION("""COMPUTED_VALUE"""),"TUTR")</f>
        <v>TUTR</v>
      </c>
      <c r="E9969" s="122" t="str">
        <f>IFERROR(__xludf.DUMMYFUNCTION("""COMPUTED_VALUE"""),"TutorTown")</f>
        <v>TutorTown</v>
      </c>
      <c r="F9969" s="122" t="str">
        <f>IFERROR(__xludf.DUMMYFUNCTION("""COMPUTED_VALUE"""),"Education")</f>
        <v>Education</v>
      </c>
    </row>
    <row r="9970">
      <c r="A9970" s="131">
        <f>IFERROR(__xludf.DUMMYFUNCTION("""COMPUTED_VALUE"""),46187.700902777775)</f>
        <v>46187.7009</v>
      </c>
      <c r="B9970" s="126">
        <f>IFERROR(__xludf.DUMMYFUNCTION("""COMPUTED_VALUE"""),46187.0)</f>
        <v>46187</v>
      </c>
      <c r="C9970" s="130">
        <f>IFERROR(__xludf.DUMMYFUNCTION("""COMPUTED_VALUE"""),0.7009027777777778)</f>
        <v>0.7009027778</v>
      </c>
      <c r="D9970" s="122" t="str">
        <f>IFERROR(__xludf.DUMMYFUNCTION("""COMPUTED_VALUE"""),"LANG")</f>
        <v>LANG</v>
      </c>
      <c r="E9970" s="122" t="str">
        <f>IFERROR(__xludf.DUMMYFUNCTION("""COMPUTED_VALUE"""),"LinguaLab")</f>
        <v>LinguaLab</v>
      </c>
      <c r="F9970" s="122" t="str">
        <f>IFERROR(__xludf.DUMMYFUNCTION("""COMPUTED_VALUE"""),"Education")</f>
        <v>Education</v>
      </c>
    </row>
    <row r="9971">
      <c r="A9971" s="131">
        <f>IFERROR(__xludf.DUMMYFUNCTION("""COMPUTED_VALUE"""),46187.700902777775)</f>
        <v>46187.7009</v>
      </c>
      <c r="B9971" s="126">
        <f>IFERROR(__xludf.DUMMYFUNCTION("""COMPUTED_VALUE"""),46187.0)</f>
        <v>46187</v>
      </c>
      <c r="C9971" s="130">
        <f>IFERROR(__xludf.DUMMYFUNCTION("""COMPUTED_VALUE"""),0.7009027777777778)</f>
        <v>0.7009027778</v>
      </c>
      <c r="D9971" s="122" t="str">
        <f>IFERROR(__xludf.DUMMYFUNCTION("""COMPUTED_VALUE"""),"TEST")</f>
        <v>TEST</v>
      </c>
      <c r="E9971" s="122" t="str">
        <f>IFERROR(__xludf.DUMMYFUNCTION("""COMPUTED_VALUE"""),"TestPrep Pro")</f>
        <v>TestPrep Pro</v>
      </c>
      <c r="F9971" s="122" t="str">
        <f>IFERROR(__xludf.DUMMYFUNCTION("""COMPUTED_VALUE"""),"Education")</f>
        <v>Education</v>
      </c>
    </row>
    <row r="9972">
      <c r="A9972" s="131">
        <f>IFERROR(__xludf.DUMMYFUNCTION("""COMPUTED_VALUE"""),46187.700902777775)</f>
        <v>46187.7009</v>
      </c>
      <c r="B9972" s="126">
        <f>IFERROR(__xludf.DUMMYFUNCTION("""COMPUTED_VALUE"""),46187.0)</f>
        <v>46187</v>
      </c>
      <c r="C9972" s="130">
        <f>IFERROR(__xludf.DUMMYFUNCTION("""COMPUTED_VALUE"""),0.7009027777777778)</f>
        <v>0.7009027778</v>
      </c>
      <c r="D9972" s="122" t="str">
        <f>IFERROR(__xludf.DUMMYFUNCTION("""COMPUTED_VALUE"""),"MOVI")</f>
        <v>MOVI</v>
      </c>
      <c r="E9972" s="122" t="str">
        <f>IFERROR(__xludf.DUMMYFUNCTION("""COMPUTED_VALUE"""),"MovieBox")</f>
        <v>MovieBox</v>
      </c>
      <c r="F9972" s="122" t="str">
        <f>IFERROR(__xludf.DUMMYFUNCTION("""COMPUTED_VALUE"""),"Entertainment")</f>
        <v>Entertainment</v>
      </c>
    </row>
    <row r="9973">
      <c r="A9973" s="131">
        <f>IFERROR(__xludf.DUMMYFUNCTION("""COMPUTED_VALUE"""),46187.700902777775)</f>
        <v>46187.7009</v>
      </c>
      <c r="B9973" s="126">
        <f>IFERROR(__xludf.DUMMYFUNCTION("""COMPUTED_VALUE"""),46187.0)</f>
        <v>46187</v>
      </c>
      <c r="C9973" s="130">
        <f>IFERROR(__xludf.DUMMYFUNCTION("""COMPUTED_VALUE"""),0.7009027777777778)</f>
        <v>0.7009027778</v>
      </c>
      <c r="D9973" s="122" t="str">
        <f>IFERROR(__xludf.DUMMYFUNCTION("""COMPUTED_VALUE"""),"MUSC")</f>
        <v>MUSC</v>
      </c>
      <c r="E9973" s="122" t="str">
        <f>IFERROR(__xludf.DUMMYFUNCTION("""COMPUTED_VALUE"""),"MusicWave")</f>
        <v>MusicWave</v>
      </c>
      <c r="F9973" s="122" t="str">
        <f>IFERROR(__xludf.DUMMYFUNCTION("""COMPUTED_VALUE"""),"Entertainment")</f>
        <v>Entertainment</v>
      </c>
    </row>
    <row r="9974">
      <c r="A9974" s="131">
        <f>IFERROR(__xludf.DUMMYFUNCTION("""COMPUTED_VALUE"""),46187.700902777775)</f>
        <v>46187.7009</v>
      </c>
      <c r="B9974" s="126">
        <f>IFERROR(__xludf.DUMMYFUNCTION("""COMPUTED_VALUE"""),46187.0)</f>
        <v>46187</v>
      </c>
      <c r="C9974" s="130">
        <f>IFERROR(__xludf.DUMMYFUNCTION("""COMPUTED_VALUE"""),0.7009027777777778)</f>
        <v>0.7009027778</v>
      </c>
      <c r="D9974" s="122" t="str">
        <f>IFERROR(__xludf.DUMMYFUNCTION("""COMPUTED_VALUE"""),"IDOL")</f>
        <v>IDOL</v>
      </c>
      <c r="E9974" s="122" t="str">
        <f>IFERROR(__xludf.DUMMYFUNCTION("""COMPUTED_VALUE"""),"Idol Agency")</f>
        <v>Idol Agency</v>
      </c>
      <c r="F9974" s="122" t="str">
        <f>IFERROR(__xludf.DUMMYFUNCTION("""COMPUTED_VALUE"""),"Entertainment")</f>
        <v>Entertainment</v>
      </c>
    </row>
    <row r="9975">
      <c r="A9975" s="131">
        <f>IFERROR(__xludf.DUMMYFUNCTION("""COMPUTED_VALUE"""),46187.700902777775)</f>
        <v>46187.7009</v>
      </c>
      <c r="B9975" s="126">
        <f>IFERROR(__xludf.DUMMYFUNCTION("""COMPUTED_VALUE"""),46187.0)</f>
        <v>46187</v>
      </c>
      <c r="C9975" s="130">
        <f>IFERROR(__xludf.DUMMYFUNCTION("""COMPUTED_VALUE"""),0.7009027777777778)</f>
        <v>0.7009027778</v>
      </c>
      <c r="D9975" s="122" t="str">
        <f>IFERROR(__xludf.DUMMYFUNCTION("""COMPUTED_VALUE"""),"MEME")</f>
        <v>MEME</v>
      </c>
      <c r="E9975" s="122" t="str">
        <f>IFERROR(__xludf.DUMMYFUNCTION("""COMPUTED_VALUE"""),"Meme Media")</f>
        <v>Meme Media</v>
      </c>
      <c r="F9975" s="122" t="str">
        <f>IFERROR(__xludf.DUMMYFUNCTION("""COMPUTED_VALUE"""),"Entertainment")</f>
        <v>Entertainment</v>
      </c>
    </row>
    <row r="9976">
      <c r="A9976" s="131">
        <f>IFERROR(__xludf.DUMMYFUNCTION("""COMPUTED_VALUE"""),46187.700902777775)</f>
        <v>46187.7009</v>
      </c>
      <c r="B9976" s="126">
        <f>IFERROR(__xludf.DUMMYFUNCTION("""COMPUTED_VALUE"""),46187.0)</f>
        <v>46187</v>
      </c>
      <c r="C9976" s="130">
        <f>IFERROR(__xludf.DUMMYFUNCTION("""COMPUTED_VALUE"""),0.7009027777777778)</f>
        <v>0.7009027778</v>
      </c>
      <c r="D9976" s="122" t="str">
        <f>IFERROR(__xludf.DUMMYFUNCTION("""COMPUTED_VALUE"""),"STRM")</f>
        <v>STRM</v>
      </c>
      <c r="E9976" s="122" t="str">
        <f>IFERROR(__xludf.DUMMYFUNCTION("""COMPUTED_VALUE"""),"Streamly")</f>
        <v>Streamly</v>
      </c>
      <c r="F9976" s="122" t="str">
        <f>IFERROR(__xludf.DUMMYFUNCTION("""COMPUTED_VALUE"""),"Entertainment")</f>
        <v>Entertainment</v>
      </c>
    </row>
    <row r="9977">
      <c r="A9977" s="131">
        <f>IFERROR(__xludf.DUMMYFUNCTION("""COMPUTED_VALUE"""),46187.700902777775)</f>
        <v>46187.7009</v>
      </c>
      <c r="B9977" s="126">
        <f>IFERROR(__xludf.DUMMYFUNCTION("""COMPUTED_VALUE"""),46187.0)</f>
        <v>46187</v>
      </c>
      <c r="C9977" s="130">
        <f>IFERROR(__xludf.DUMMYFUNCTION("""COMPUTED_VALUE"""),0.7009027777777778)</f>
        <v>0.7009027778</v>
      </c>
      <c r="D9977" s="122" t="str">
        <f>IFERROR(__xludf.DUMMYFUNCTION("""COMPUTED_VALUE"""),"FARM")</f>
        <v>FARM</v>
      </c>
      <c r="E9977" s="122" t="str">
        <f>IFERROR(__xludf.DUMMYFUNCTION("""COMPUTED_VALUE"""),"Future Farms")</f>
        <v>Future Farms</v>
      </c>
      <c r="F9977" s="122" t="str">
        <f>IFERROR(__xludf.DUMMYFUNCTION("""COMPUTED_VALUE"""),"Agriculture")</f>
        <v>Agriculture</v>
      </c>
    </row>
    <row r="9978">
      <c r="A9978" s="131">
        <f>IFERROR(__xludf.DUMMYFUNCTION("""COMPUTED_VALUE"""),46187.700902777775)</f>
        <v>46187.7009</v>
      </c>
      <c r="B9978" s="126">
        <f>IFERROR(__xludf.DUMMYFUNCTION("""COMPUTED_VALUE"""),46187.0)</f>
        <v>46187</v>
      </c>
      <c r="C9978" s="130">
        <f>IFERROR(__xludf.DUMMYFUNCTION("""COMPUTED_VALUE"""),0.7009027777777778)</f>
        <v>0.7009027778</v>
      </c>
      <c r="D9978" s="122" t="str">
        <f>IFERROR(__xludf.DUMMYFUNCTION("""COMPUTED_VALUE"""),"MEAT")</f>
        <v>MEAT</v>
      </c>
      <c r="E9978" s="122" t="str">
        <f>IFERROR(__xludf.DUMMYFUNCTION("""COMPUTED_VALUE"""),"MeatWorks")</f>
        <v>MeatWorks</v>
      </c>
      <c r="F9978" s="122" t="str">
        <f>IFERROR(__xludf.DUMMYFUNCTION("""COMPUTED_VALUE"""),"Food")</f>
        <v>Food</v>
      </c>
    </row>
    <row r="9979">
      <c r="A9979" s="131">
        <f>IFERROR(__xludf.DUMMYFUNCTION("""COMPUTED_VALUE"""),46187.700902777775)</f>
        <v>46187.7009</v>
      </c>
      <c r="B9979" s="126">
        <f>IFERROR(__xludf.DUMMYFUNCTION("""COMPUTED_VALUE"""),46187.0)</f>
        <v>46187</v>
      </c>
      <c r="C9979" s="130">
        <f>IFERROR(__xludf.DUMMYFUNCTION("""COMPUTED_VALUE"""),0.7009027777777778)</f>
        <v>0.7009027778</v>
      </c>
      <c r="D9979" s="122" t="str">
        <f>IFERROR(__xludf.DUMMYFUNCTION("""COMPUTED_VALUE"""),"VEGI")</f>
        <v>VEGI</v>
      </c>
      <c r="E9979" s="122" t="str">
        <f>IFERROR(__xludf.DUMMYFUNCTION("""COMPUTED_VALUE"""),"Green Basket")</f>
        <v>Green Basket</v>
      </c>
      <c r="F9979" s="122" t="str">
        <f>IFERROR(__xludf.DUMMYFUNCTION("""COMPUTED_VALUE"""),"Food")</f>
        <v>Food</v>
      </c>
    </row>
    <row r="9980">
      <c r="A9980" s="131">
        <f>IFERROR(__xludf.DUMMYFUNCTION("""COMPUTED_VALUE"""),46187.700902777775)</f>
        <v>46187.7009</v>
      </c>
      <c r="B9980" s="126">
        <f>IFERROR(__xludf.DUMMYFUNCTION("""COMPUTED_VALUE"""),46187.0)</f>
        <v>46187</v>
      </c>
      <c r="C9980" s="130">
        <f>IFERROR(__xludf.DUMMYFUNCTION("""COMPUTED_VALUE"""),0.7009027777777778)</f>
        <v>0.7009027778</v>
      </c>
      <c r="D9980" s="122" t="str">
        <f>IFERROR(__xludf.DUMMYFUNCTION("""COMPUTED_VALUE"""),"CAFE")</f>
        <v>CAFE</v>
      </c>
      <c r="E9980" s="122" t="str">
        <f>IFERROR(__xludf.DUMMYFUNCTION("""COMPUTED_VALUE"""),"Cafe Cloud")</f>
        <v>Cafe Cloud</v>
      </c>
      <c r="F9980" s="122" t="str">
        <f>IFERROR(__xludf.DUMMYFUNCTION("""COMPUTED_VALUE"""),"Food")</f>
        <v>Food</v>
      </c>
    </row>
    <row r="9981">
      <c r="A9981" s="131">
        <f>IFERROR(__xludf.DUMMYFUNCTION("""COMPUTED_VALUE"""),46187.700902777775)</f>
        <v>46187.7009</v>
      </c>
      <c r="B9981" s="126">
        <f>IFERROR(__xludf.DUMMYFUNCTION("""COMPUTED_VALUE"""),46187.0)</f>
        <v>46187</v>
      </c>
      <c r="C9981" s="130">
        <f>IFERROR(__xludf.DUMMYFUNCTION("""COMPUTED_VALUE"""),0.7009027777777778)</f>
        <v>0.7009027778</v>
      </c>
      <c r="D9981" s="122" t="str">
        <f>IFERROR(__xludf.DUMMYFUNCTION("""COMPUTED_VALUE"""),"BAKE")</f>
        <v>BAKE</v>
      </c>
      <c r="E9981" s="122" t="str">
        <f>IFERROR(__xludf.DUMMYFUNCTION("""COMPUTED_VALUE"""),"BakeHouse")</f>
        <v>BakeHouse</v>
      </c>
      <c r="F9981" s="122" t="str">
        <f>IFERROR(__xludf.DUMMYFUNCTION("""COMPUTED_VALUE"""),"Food")</f>
        <v>Food</v>
      </c>
    </row>
    <row r="9982">
      <c r="A9982" s="131">
        <f>IFERROR(__xludf.DUMMYFUNCTION("""COMPUTED_VALUE"""),46187.700902777775)</f>
        <v>46187.7009</v>
      </c>
      <c r="B9982" s="126">
        <f>IFERROR(__xludf.DUMMYFUNCTION("""COMPUTED_VALUE"""),46187.0)</f>
        <v>46187</v>
      </c>
      <c r="C9982" s="130">
        <f>IFERROR(__xludf.DUMMYFUNCTION("""COMPUTED_VALUE"""),0.7009027777777778)</f>
        <v>0.7009027778</v>
      </c>
      <c r="D9982" s="122" t="str">
        <f>IFERROR(__xludf.DUMMYFUNCTION("""COMPUTED_VALUE"""),"OILX")</f>
        <v>OILX</v>
      </c>
      <c r="E9982" s="122" t="str">
        <f>IFERROR(__xludf.DUMMYFUNCTION("""COMPUTED_VALUE"""),"OilMax Energy")</f>
        <v>OilMax Energy</v>
      </c>
      <c r="F9982" s="122" t="str">
        <f>IFERROR(__xludf.DUMMYFUNCTION("""COMPUTED_VALUE"""),"Energy")</f>
        <v>Energy</v>
      </c>
    </row>
    <row r="9983">
      <c r="A9983" s="131">
        <f>IFERROR(__xludf.DUMMYFUNCTION("""COMPUTED_VALUE"""),46187.700902777775)</f>
        <v>46187.7009</v>
      </c>
      <c r="B9983" s="126">
        <f>IFERROR(__xludf.DUMMYFUNCTION("""COMPUTED_VALUE"""),46187.0)</f>
        <v>46187</v>
      </c>
      <c r="C9983" s="130">
        <f>IFERROR(__xludf.DUMMYFUNCTION("""COMPUTED_VALUE"""),0.7009027777777778)</f>
        <v>0.7009027778</v>
      </c>
      <c r="D9983" s="122" t="str">
        <f>IFERROR(__xludf.DUMMYFUNCTION("""COMPUTED_VALUE"""),"SOLR")</f>
        <v>SOLR</v>
      </c>
      <c r="E9983" s="122" t="str">
        <f>IFERROR(__xludf.DUMMYFUNCTION("""COMPUTED_VALUE"""),"SolarSpark")</f>
        <v>SolarSpark</v>
      </c>
      <c r="F9983" s="122" t="str">
        <f>IFERROR(__xludf.DUMMYFUNCTION("""COMPUTED_VALUE"""),"Energy")</f>
        <v>Energy</v>
      </c>
    </row>
    <row r="9984">
      <c r="A9984" s="131">
        <f>IFERROR(__xludf.DUMMYFUNCTION("""COMPUTED_VALUE"""),46187.700902777775)</f>
        <v>46187.7009</v>
      </c>
      <c r="B9984" s="126">
        <f>IFERROR(__xludf.DUMMYFUNCTION("""COMPUTED_VALUE"""),46187.0)</f>
        <v>46187</v>
      </c>
      <c r="C9984" s="130">
        <f>IFERROR(__xludf.DUMMYFUNCTION("""COMPUTED_VALUE"""),0.7009027777777778)</f>
        <v>0.7009027778</v>
      </c>
      <c r="D9984" s="122" t="str">
        <f>IFERROR(__xludf.DUMMYFUNCTION("""COMPUTED_VALUE"""),"BATT")</f>
        <v>BATT</v>
      </c>
      <c r="E9984" s="122" t="str">
        <f>IFERROR(__xludf.DUMMYFUNCTION("""COMPUTED_VALUE"""),"BatteryBox")</f>
        <v>BatteryBox</v>
      </c>
      <c r="F9984" s="122" t="str">
        <f>IFERROR(__xludf.DUMMYFUNCTION("""COMPUTED_VALUE"""),"Energy")</f>
        <v>Energy</v>
      </c>
    </row>
    <row r="9985">
      <c r="A9985" s="131">
        <f>IFERROR(__xludf.DUMMYFUNCTION("""COMPUTED_VALUE"""),46187.700902777775)</f>
        <v>46187.7009</v>
      </c>
      <c r="B9985" s="126">
        <f>IFERROR(__xludf.DUMMYFUNCTION("""COMPUTED_VALUE"""),46187.0)</f>
        <v>46187</v>
      </c>
      <c r="C9985" s="130">
        <f>IFERROR(__xludf.DUMMYFUNCTION("""COMPUTED_VALUE"""),0.7009027777777778)</f>
        <v>0.7009027778</v>
      </c>
      <c r="D9985" s="122" t="str">
        <f>IFERROR(__xludf.DUMMYFUNCTION("""COMPUTED_VALUE"""),"WIND")</f>
        <v>WIND</v>
      </c>
      <c r="E9985" s="122" t="str">
        <f>IFERROR(__xludf.DUMMYFUNCTION("""COMPUTED_VALUE"""),"WindWorks")</f>
        <v>WindWorks</v>
      </c>
      <c r="F9985" s="122" t="str">
        <f>IFERROR(__xludf.DUMMYFUNCTION("""COMPUTED_VALUE"""),"Energy")</f>
        <v>Energy</v>
      </c>
    </row>
    <row r="9986">
      <c r="A9986" s="131">
        <f>IFERROR(__xludf.DUMMYFUNCTION("""COMPUTED_VALUE"""),46187.700902777775)</f>
        <v>46187.7009</v>
      </c>
      <c r="B9986" s="126">
        <f>IFERROR(__xludf.DUMMYFUNCTION("""COMPUTED_VALUE"""),46187.0)</f>
        <v>46187</v>
      </c>
      <c r="C9986" s="130">
        <f>IFERROR(__xludf.DUMMYFUNCTION("""COMPUTED_VALUE"""),0.7009027777777778)</f>
        <v>0.7009027778</v>
      </c>
      <c r="D9986" s="122" t="str">
        <f>IFERROR(__xludf.DUMMYFUNCTION("""COMPUTED_VALUE"""),"GRID")</f>
        <v>GRID</v>
      </c>
      <c r="E9986" s="122" t="str">
        <f>IFERROR(__xludf.DUMMYFUNCTION("""COMPUTED_VALUE"""),"GridPower")</f>
        <v>GridPower</v>
      </c>
      <c r="F9986" s="122" t="str">
        <f>IFERROR(__xludf.DUMMYFUNCTION("""COMPUTED_VALUE"""),"Energy")</f>
        <v>Energy</v>
      </c>
    </row>
    <row r="9987">
      <c r="A9987" s="131">
        <f>IFERROR(__xludf.DUMMYFUNCTION("""COMPUTED_VALUE"""),46187.700902777775)</f>
        <v>46187.7009</v>
      </c>
      <c r="B9987" s="126">
        <f>IFERROR(__xludf.DUMMYFUNCTION("""COMPUTED_VALUE"""),46187.0)</f>
        <v>46187</v>
      </c>
      <c r="C9987" s="130">
        <f>IFERROR(__xludf.DUMMYFUNCTION("""COMPUTED_VALUE"""),0.7009027777777778)</f>
        <v>0.7009027778</v>
      </c>
      <c r="D9987" s="122" t="str">
        <f>IFERROR(__xludf.DUMMYFUNCTION("""COMPUTED_VALUE"""),"HOME")</f>
        <v>HOME</v>
      </c>
      <c r="E9987" s="122" t="str">
        <f>IFERROR(__xludf.DUMMYFUNCTION("""COMPUTED_VALUE"""),"HomeHub")</f>
        <v>HomeHub</v>
      </c>
      <c r="F9987" s="122" t="str">
        <f>IFERROR(__xludf.DUMMYFUNCTION("""COMPUTED_VALUE"""),"Real Estate")</f>
        <v>Real Estate</v>
      </c>
    </row>
    <row r="9988">
      <c r="A9988" s="131">
        <f>IFERROR(__xludf.DUMMYFUNCTION("""COMPUTED_VALUE"""),46187.700902777775)</f>
        <v>46187.7009</v>
      </c>
      <c r="B9988" s="126">
        <f>IFERROR(__xludf.DUMMYFUNCTION("""COMPUTED_VALUE"""),46187.0)</f>
        <v>46187</v>
      </c>
      <c r="C9988" s="130">
        <f>IFERROR(__xludf.DUMMYFUNCTION("""COMPUTED_VALUE"""),0.7009027777777778)</f>
        <v>0.7009027778</v>
      </c>
      <c r="D9988" s="122" t="str">
        <f>IFERROR(__xludf.DUMMYFUNCTION("""COMPUTED_VALUE"""),"RENT")</f>
        <v>RENT</v>
      </c>
      <c r="E9988" s="122" t="str">
        <f>IFERROR(__xludf.DUMMYFUNCTION("""COMPUTED_VALUE"""),"RentRight")</f>
        <v>RentRight</v>
      </c>
      <c r="F9988" s="122" t="str">
        <f>IFERROR(__xludf.DUMMYFUNCTION("""COMPUTED_VALUE"""),"Real Estate")</f>
        <v>Real Estate</v>
      </c>
    </row>
    <row r="9989">
      <c r="A9989" s="131">
        <f>IFERROR(__xludf.DUMMYFUNCTION("""COMPUTED_VALUE"""),46187.700902777775)</f>
        <v>46187.7009</v>
      </c>
      <c r="B9989" s="126">
        <f>IFERROR(__xludf.DUMMYFUNCTION("""COMPUTED_VALUE"""),46187.0)</f>
        <v>46187</v>
      </c>
      <c r="C9989" s="130">
        <f>IFERROR(__xludf.DUMMYFUNCTION("""COMPUTED_VALUE"""),0.7009027777777778)</f>
        <v>0.7009027778</v>
      </c>
      <c r="D9989" s="122" t="str">
        <f>IFERROR(__xludf.DUMMYFUNCTION("""COMPUTED_VALUE"""),"MALL")</f>
        <v>MALL</v>
      </c>
      <c r="E9989" s="122" t="str">
        <f>IFERROR(__xludf.DUMMYFUNCTION("""COMPUTED_VALUE"""),"MegaMall")</f>
        <v>MegaMall</v>
      </c>
      <c r="F9989" s="122" t="str">
        <f>IFERROR(__xludf.DUMMYFUNCTION("""COMPUTED_VALUE"""),"Real Estate")</f>
        <v>Real Estate</v>
      </c>
    </row>
    <row r="9990">
      <c r="A9990" s="131">
        <f>IFERROR(__xludf.DUMMYFUNCTION("""COMPUTED_VALUE"""),46187.700902777775)</f>
        <v>46187.7009</v>
      </c>
      <c r="B9990" s="126">
        <f>IFERROR(__xludf.DUMMYFUNCTION("""COMPUTED_VALUE"""),46187.0)</f>
        <v>46187</v>
      </c>
      <c r="C9990" s="130">
        <f>IFERROR(__xludf.DUMMYFUNCTION("""COMPUTED_VALUE"""),0.7009027777777778)</f>
        <v>0.7009027778</v>
      </c>
      <c r="D9990" s="122" t="str">
        <f>IFERROR(__xludf.DUMMYFUNCTION("""COMPUTED_VALUE"""),"HOTL")</f>
        <v>HOTL</v>
      </c>
      <c r="E9990" s="122" t="str">
        <f>IFERROR(__xludf.DUMMYFUNCTION("""COMPUTED_VALUE"""),"HotelHive")</f>
        <v>HotelHive</v>
      </c>
      <c r="F9990" s="122" t="str">
        <f>IFERROR(__xludf.DUMMYFUNCTION("""COMPUTED_VALUE"""),"Real Estate")</f>
        <v>Real Estate</v>
      </c>
    </row>
    <row r="9991">
      <c r="A9991" s="131">
        <f>IFERROR(__xludf.DUMMYFUNCTION("""COMPUTED_VALUE"""),46187.700902777775)</f>
        <v>46187.7009</v>
      </c>
      <c r="B9991" s="126">
        <f>IFERROR(__xludf.DUMMYFUNCTION("""COMPUTED_VALUE"""),46187.0)</f>
        <v>46187</v>
      </c>
      <c r="C9991" s="130">
        <f>IFERROR(__xludf.DUMMYFUNCTION("""COMPUTED_VALUE"""),0.7009027777777778)</f>
        <v>0.7009027778</v>
      </c>
      <c r="D9991" s="122" t="str">
        <f>IFERROR(__xludf.DUMMYFUNCTION("""COMPUTED_VALUE"""),"LAND")</f>
        <v>LAND</v>
      </c>
      <c r="E9991" s="122" t="str">
        <f>IFERROR(__xludf.DUMMYFUNCTION("""COMPUTED_VALUE"""),"LandLink")</f>
        <v>LandLink</v>
      </c>
      <c r="F9991" s="122" t="str">
        <f>IFERROR(__xludf.DUMMYFUNCTION("""COMPUTED_VALUE"""),"Real Estate")</f>
        <v>Real Estate</v>
      </c>
    </row>
    <row r="9992">
      <c r="A9992" s="131">
        <f>IFERROR(__xludf.DUMMYFUNCTION("""COMPUTED_VALUE"""),46187.700902777775)</f>
        <v>46187.7009</v>
      </c>
      <c r="B9992" s="126">
        <f>IFERROR(__xludf.DUMMYFUNCTION("""COMPUTED_VALUE"""),46187.0)</f>
        <v>46187</v>
      </c>
      <c r="C9992" s="130">
        <f>IFERROR(__xludf.DUMMYFUNCTION("""COMPUTED_VALUE"""),0.7009027777777778)</f>
        <v>0.7009027778</v>
      </c>
      <c r="D9992" s="122" t="str">
        <f>IFERROR(__xludf.DUMMYFUNCTION("""COMPUTED_VALUE"""),"CARS")</f>
        <v>CARS</v>
      </c>
      <c r="E9992" s="122" t="str">
        <f>IFERROR(__xludf.DUMMYFUNCTION("""COMPUTED_VALUE"""),"AutoArena")</f>
        <v>AutoArena</v>
      </c>
      <c r="F9992" s="122" t="str">
        <f>IFERROR(__xludf.DUMMYFUNCTION("""COMPUTED_VALUE"""),"Automotive")</f>
        <v>Automotive</v>
      </c>
    </row>
    <row r="9993">
      <c r="A9993" s="131">
        <f>IFERROR(__xludf.DUMMYFUNCTION("""COMPUTED_VALUE"""),46187.700902777775)</f>
        <v>46187.7009</v>
      </c>
      <c r="B9993" s="126">
        <f>IFERROR(__xludf.DUMMYFUNCTION("""COMPUTED_VALUE"""),46187.0)</f>
        <v>46187</v>
      </c>
      <c r="C9993" s="130">
        <f>IFERROR(__xludf.DUMMYFUNCTION("""COMPUTED_VALUE"""),0.7009027777777778)</f>
        <v>0.7009027778</v>
      </c>
      <c r="D9993" s="122" t="str">
        <f>IFERROR(__xludf.DUMMYFUNCTION("""COMPUTED_VALUE"""),"EVGO")</f>
        <v>EVGO</v>
      </c>
      <c r="E9993" s="122" t="str">
        <f>IFERROR(__xludf.DUMMYFUNCTION("""COMPUTED_VALUE"""),"EVGo Motors")</f>
        <v>EVGo Motors</v>
      </c>
      <c r="F9993" s="122" t="str">
        <f>IFERROR(__xludf.DUMMYFUNCTION("""COMPUTED_VALUE"""),"Automotive")</f>
        <v>Automotive</v>
      </c>
    </row>
    <row r="9994">
      <c r="A9994" s="131">
        <f>IFERROR(__xludf.DUMMYFUNCTION("""COMPUTED_VALUE"""),46187.700902777775)</f>
        <v>46187.7009</v>
      </c>
      <c r="B9994" s="126">
        <f>IFERROR(__xludf.DUMMYFUNCTION("""COMPUTED_VALUE"""),46187.0)</f>
        <v>46187</v>
      </c>
      <c r="C9994" s="130">
        <f>IFERROR(__xludf.DUMMYFUNCTION("""COMPUTED_VALUE"""),0.7009027777777778)</f>
        <v>0.7009027778</v>
      </c>
      <c r="D9994" s="122" t="str">
        <f>IFERROR(__xludf.DUMMYFUNCTION("""COMPUTED_VALUE"""),"TIRE")</f>
        <v>TIRE</v>
      </c>
      <c r="E9994" s="122" t="str">
        <f>IFERROR(__xludf.DUMMYFUNCTION("""COMPUTED_VALUE"""),"TireTown")</f>
        <v>TireTown</v>
      </c>
      <c r="F9994" s="122" t="str">
        <f>IFERROR(__xludf.DUMMYFUNCTION("""COMPUTED_VALUE"""),"Automotive")</f>
        <v>Automotive</v>
      </c>
    </row>
    <row r="9995">
      <c r="A9995" s="131">
        <f>IFERROR(__xludf.DUMMYFUNCTION("""COMPUTED_VALUE"""),46187.700902777775)</f>
        <v>46187.7009</v>
      </c>
      <c r="B9995" s="126">
        <f>IFERROR(__xludf.DUMMYFUNCTION("""COMPUTED_VALUE"""),46187.0)</f>
        <v>46187</v>
      </c>
      <c r="C9995" s="130">
        <f>IFERROR(__xludf.DUMMYFUNCTION("""COMPUTED_VALUE"""),0.7009027777777778)</f>
        <v>0.7009027778</v>
      </c>
      <c r="D9995" s="122" t="str">
        <f>IFERROR(__xludf.DUMMYFUNCTION("""COMPUTED_VALUE"""),"BIKE")</f>
        <v>BIKE</v>
      </c>
      <c r="E9995" s="122" t="str">
        <f>IFERROR(__xludf.DUMMYFUNCTION("""COMPUTED_VALUE"""),"BikeBox")</f>
        <v>BikeBox</v>
      </c>
      <c r="F9995" s="122" t="str">
        <f>IFERROR(__xludf.DUMMYFUNCTION("""COMPUTED_VALUE"""),"Automotive")</f>
        <v>Automotive</v>
      </c>
    </row>
    <row r="9996">
      <c r="A9996" s="131">
        <f>IFERROR(__xludf.DUMMYFUNCTION("""COMPUTED_VALUE"""),46187.700902777775)</f>
        <v>46187.7009</v>
      </c>
      <c r="B9996" s="126">
        <f>IFERROR(__xludf.DUMMYFUNCTION("""COMPUTED_VALUE"""),46187.0)</f>
        <v>46187</v>
      </c>
      <c r="C9996" s="130">
        <f>IFERROR(__xludf.DUMMYFUNCTION("""COMPUTED_VALUE"""),0.7009027777777778)</f>
        <v>0.7009027778</v>
      </c>
      <c r="D9996" s="122" t="str">
        <f>IFERROR(__xludf.DUMMYFUNCTION("""COMPUTED_VALUE"""),"WASH")</f>
        <v>WASH</v>
      </c>
      <c r="E9996" s="122" t="str">
        <f>IFERROR(__xludf.DUMMYFUNCTION("""COMPUTED_VALUE"""),"CarWash Co")</f>
        <v>CarWash Co</v>
      </c>
      <c r="F9996" s="122" t="str">
        <f>IFERROR(__xludf.DUMMYFUNCTION("""COMPUTED_VALUE"""),"Automotive")</f>
        <v>Automotive</v>
      </c>
    </row>
    <row r="9997">
      <c r="A9997" s="131">
        <f>IFERROR(__xludf.DUMMYFUNCTION("""COMPUTED_VALUE"""),46187.700902777775)</f>
        <v>46187.7009</v>
      </c>
      <c r="B9997" s="126">
        <f>IFERROR(__xludf.DUMMYFUNCTION("""COMPUTED_VALUE"""),46187.0)</f>
        <v>46187</v>
      </c>
      <c r="C9997" s="130">
        <f>IFERROR(__xludf.DUMMYFUNCTION("""COMPUTED_VALUE"""),0.7009027777777778)</f>
        <v>0.7009027778</v>
      </c>
      <c r="D9997" s="122" t="str">
        <f>IFERROR(__xludf.DUMMYFUNCTION("""COMPUTED_VALUE"""),"GBND")</f>
        <v>GBND</v>
      </c>
      <c r="E9997" s="122" t="str">
        <f>IFERROR(__xludf.DUMMYFUNCTION("""COMPUTED_VALUE"""),"Classroom Government Bond")</f>
        <v>Classroom Government Bond</v>
      </c>
      <c r="F9997" s="122" t="str">
        <f>IFERROR(__xludf.DUMMYFUNCTION("""COMPUTED_VALUE"""),"Bond")</f>
        <v>Bond</v>
      </c>
    </row>
    <row r="9998">
      <c r="A9998" s="131">
        <f>IFERROR(__xludf.DUMMYFUNCTION("""COMPUTED_VALUE"""),46187.700902777775)</f>
        <v>46187.7009</v>
      </c>
      <c r="B9998" s="126">
        <f>IFERROR(__xludf.DUMMYFUNCTION("""COMPUTED_VALUE"""),46187.0)</f>
        <v>46187</v>
      </c>
      <c r="C9998" s="130">
        <f>IFERROR(__xludf.DUMMYFUNCTION("""COMPUTED_VALUE"""),0.7009027777777778)</f>
        <v>0.7009027778</v>
      </c>
      <c r="D9998" s="122" t="str">
        <f>IFERROR(__xludf.DUMMYFUNCTION("""COMPUTED_VALUE"""),"SBND")</f>
        <v>SBND</v>
      </c>
      <c r="E9998" s="122" t="str">
        <f>IFERROR(__xludf.DUMMYFUNCTION("""COMPUTED_VALUE"""),"School Savings Bond")</f>
        <v>School Savings Bond</v>
      </c>
      <c r="F9998" s="122" t="str">
        <f>IFERROR(__xludf.DUMMYFUNCTION("""COMPUTED_VALUE"""),"Bond")</f>
        <v>Bond</v>
      </c>
    </row>
    <row r="9999">
      <c r="A9999" s="131">
        <f>IFERROR(__xludf.DUMMYFUNCTION("""COMPUTED_VALUE"""),46187.700902777775)</f>
        <v>46187.7009</v>
      </c>
      <c r="B9999" s="126">
        <f>IFERROR(__xludf.DUMMYFUNCTION("""COMPUTED_VALUE"""),46187.0)</f>
        <v>46187</v>
      </c>
      <c r="C9999" s="130">
        <f>IFERROR(__xludf.DUMMYFUNCTION("""COMPUTED_VALUE"""),0.7009027777777778)</f>
        <v>0.7009027778</v>
      </c>
      <c r="D9999" s="122" t="str">
        <f>IFERROR(__xludf.DUMMYFUNCTION("""COMPUTED_VALUE"""),"CBND")</f>
        <v>CBND</v>
      </c>
      <c r="E9999" s="122" t="str">
        <f>IFERROR(__xludf.DUMMYFUNCTION("""COMPUTED_VALUE"""),"Corporate Classroom Bond")</f>
        <v>Corporate Classroom Bond</v>
      </c>
      <c r="F9999" s="122" t="str">
        <f>IFERROR(__xludf.DUMMYFUNCTION("""COMPUTED_VALUE"""),"Bond")</f>
        <v>Bond</v>
      </c>
    </row>
    <row r="10000">
      <c r="A10000" s="131">
        <f>IFERROR(__xludf.DUMMYFUNCTION("""COMPUTED_VALUE"""),46187.700902777775)</f>
        <v>46187.7009</v>
      </c>
      <c r="B10000" s="126">
        <f>IFERROR(__xludf.DUMMYFUNCTION("""COMPUTED_VALUE"""),46187.0)</f>
        <v>46187</v>
      </c>
      <c r="C10000" s="130">
        <f>IFERROR(__xludf.DUMMYFUNCTION("""COMPUTED_VALUE"""),0.7009027777777778)</f>
        <v>0.7009027778</v>
      </c>
      <c r="D10000" s="122" t="str">
        <f>IFERROR(__xludf.DUMMYFUNCTION("""COMPUTED_VALUE"""),"TBIL")</f>
        <v>TBIL</v>
      </c>
      <c r="E10000" s="122" t="str">
        <f>IFERROR(__xludf.DUMMYFUNCTION("""COMPUTED_VALUE"""),"Treasury Bill")</f>
        <v>Treasury Bill</v>
      </c>
      <c r="F10000" s="122" t="str">
        <f>IFERROR(__xludf.DUMMYFUNCTION("""COMPUTED_VALUE"""),"Bond")</f>
        <v>Bond</v>
      </c>
    </row>
    <row r="10001">
      <c r="A10001" s="131">
        <f>IFERROR(__xludf.DUMMYFUNCTION("""COMPUTED_VALUE"""),46187.700902777775)</f>
        <v>46187.7009</v>
      </c>
      <c r="B10001" s="126">
        <f>IFERROR(__xludf.DUMMYFUNCTION("""COMPUTED_VALUE"""),46187.0)</f>
        <v>46187</v>
      </c>
      <c r="C10001" s="130">
        <f>IFERROR(__xludf.DUMMYFUNCTION("""COMPUTED_VALUE"""),0.7009027777777778)</f>
        <v>0.7009027778</v>
      </c>
      <c r="D10001" s="122" t="str">
        <f>IFERROR(__xludf.DUMMYFUNCTION("""COMPUTED_VALUE"""),"IBND")</f>
        <v>IBND</v>
      </c>
      <c r="E10001" s="122" t="str">
        <f>IFERROR(__xludf.DUMMYFUNCTION("""COMPUTED_VALUE"""),"Inflation Protected Bond")</f>
        <v>Inflation Protected Bond</v>
      </c>
      <c r="F10001" s="122" t="str">
        <f>IFERROR(__xludf.DUMMYFUNCTION("""COMPUTED_VALUE"""),"Bond")</f>
        <v>Bond</v>
      </c>
    </row>
    <row r="10002">
      <c r="A10002" s="131">
        <f>IFERROR(__xludf.DUMMYFUNCTION("""COMPUTED_VALUE"""),46187.70298611111)</f>
        <v>46187.70299</v>
      </c>
      <c r="B10002" s="126">
        <f>IFERROR(__xludf.DUMMYFUNCTION("""COMPUTED_VALUE"""),46187.0)</f>
        <v>46187</v>
      </c>
      <c r="C10002" s="122" t="str">
        <f>IFERROR(__xludf.DUMMYFUNCTION("""COMPUTED_VALUE"""),"SNAX")</f>
        <v>SNAX</v>
      </c>
      <c r="D10002" s="122" t="str">
        <f>IFERROR(__xludf.DUMMYFUNCTION("""COMPUTED_VALUE"""),"MICA Snacks")</f>
        <v>MICA Snacks</v>
      </c>
      <c r="E10002" s="122">
        <f>IFERROR(__xludf.DUMMYFUNCTION("""COMPUTED_VALUE"""),122.59)</f>
        <v>122.59</v>
      </c>
      <c r="F10002" s="122">
        <f>IFERROR(__xludf.DUMMYFUNCTION("""COMPUTED_VALUE"""),-0.0023)</f>
        <v>-0.0023</v>
      </c>
    </row>
    <row r="10003">
      <c r="A10003" s="131">
        <f>IFERROR(__xludf.DUMMYFUNCTION("""COMPUTED_VALUE"""),46187.70298611111)</f>
        <v>46187.70299</v>
      </c>
      <c r="B10003" s="126">
        <f>IFERROR(__xludf.DUMMYFUNCTION("""COMPUTED_VALUE"""),46187.0)</f>
        <v>46187</v>
      </c>
      <c r="C10003" s="122" t="str">
        <f>IFERROR(__xludf.DUMMYFUNCTION("""COMPUTED_VALUE"""),"RAMN")</f>
        <v>RAMN</v>
      </c>
      <c r="D10003" s="122" t="str">
        <f>IFERROR(__xludf.DUMMYFUNCTION("""COMPUTED_VALUE"""),"Ramen Republic")</f>
        <v>Ramen Republic</v>
      </c>
      <c r="E10003" s="122">
        <f>IFERROR(__xludf.DUMMYFUNCTION("""COMPUTED_VALUE"""),58.68)</f>
        <v>58.68</v>
      </c>
      <c r="F10003" s="122">
        <f>IFERROR(__xludf.DUMMYFUNCTION("""COMPUTED_VALUE"""),-0.0022)</f>
        <v>-0.0022</v>
      </c>
    </row>
    <row r="10004">
      <c r="A10004" s="131">
        <f>IFERROR(__xludf.DUMMYFUNCTION("""COMPUTED_VALUE"""),46187.70298611111)</f>
        <v>46187.70299</v>
      </c>
      <c r="B10004" s="126">
        <f>IFERROR(__xludf.DUMMYFUNCTION("""COMPUTED_VALUE"""),46187.0)</f>
        <v>46187</v>
      </c>
      <c r="C10004" s="122" t="str">
        <f>IFERROR(__xludf.DUMMYFUNCTION("""COMPUTED_VALUE"""),"COLA")</f>
        <v>COLA</v>
      </c>
      <c r="D10004" s="122" t="str">
        <f>IFERROR(__xludf.DUMMYFUNCTION("""COMPUTED_VALUE"""),"K-Pop Cola")</f>
        <v>K-Pop Cola</v>
      </c>
      <c r="E10004" s="122">
        <f>IFERROR(__xludf.DUMMYFUNCTION("""COMPUTED_VALUE"""),115.84)</f>
        <v>115.84</v>
      </c>
      <c r="F10004" s="122">
        <f>IFERROR(__xludf.DUMMYFUNCTION("""COMPUTED_VALUE"""),0.0063)</f>
        <v>0.0063</v>
      </c>
    </row>
    <row r="10005">
      <c r="A10005" s="131">
        <f>IFERROR(__xludf.DUMMYFUNCTION("""COMPUTED_VALUE"""),46187.70298611111)</f>
        <v>46187.70299</v>
      </c>
      <c r="B10005" s="126">
        <f>IFERROR(__xludf.DUMMYFUNCTION("""COMPUTED_VALUE"""),46187.0)</f>
        <v>46187</v>
      </c>
      <c r="C10005" s="122" t="str">
        <f>IFERROR(__xludf.DUMMYFUNCTION("""COMPUTED_VALUE"""),"CHIP")</f>
        <v>CHIP</v>
      </c>
      <c r="D10005" s="122" t="str">
        <f>IFERROR(__xludf.DUMMYFUNCTION("""COMPUTED_VALUE"""),"Chip Empire")</f>
        <v>Chip Empire</v>
      </c>
      <c r="E10005" s="122">
        <f>IFERROR(__xludf.DUMMYFUNCTION("""COMPUTED_VALUE"""),82.63)</f>
        <v>82.63</v>
      </c>
      <c r="F10005" s="122">
        <f>IFERROR(__xludf.DUMMYFUNCTION("""COMPUTED_VALUE"""),0.0029)</f>
        <v>0.0029</v>
      </c>
    </row>
    <row r="10006">
      <c r="A10006" s="131">
        <f>IFERROR(__xludf.DUMMYFUNCTION("""COMPUTED_VALUE"""),46187.70298611111)</f>
        <v>46187.70299</v>
      </c>
      <c r="B10006" s="126">
        <f>IFERROR(__xludf.DUMMYFUNCTION("""COMPUTED_VALUE"""),46187.0)</f>
        <v>46187</v>
      </c>
      <c r="C10006" s="122" t="str">
        <f>IFERROR(__xludf.DUMMYFUNCTION("""COMPUTED_VALUE"""),"CAND")</f>
        <v>CAND</v>
      </c>
      <c r="D10006" s="122" t="str">
        <f>IFERROR(__xludf.DUMMYFUNCTION("""COMPUTED_VALUE"""),"Candy Capital")</f>
        <v>Candy Capital</v>
      </c>
      <c r="E10006" s="122">
        <f>IFERROR(__xludf.DUMMYFUNCTION("""COMPUTED_VALUE"""),77.03)</f>
        <v>77.03</v>
      </c>
      <c r="F10006" s="122">
        <f>IFERROR(__xludf.DUMMYFUNCTION("""COMPUTED_VALUE"""),0.0016)</f>
        <v>0.0016</v>
      </c>
    </row>
    <row r="10007">
      <c r="A10007" s="131">
        <f>IFERROR(__xludf.DUMMYFUNCTION("""COMPUTED_VALUE"""),46187.70298611111)</f>
        <v>46187.70299</v>
      </c>
      <c r="B10007" s="126">
        <f>IFERROR(__xludf.DUMMYFUNCTION("""COMPUTED_VALUE"""),46187.0)</f>
        <v>46187</v>
      </c>
      <c r="C10007" s="122" t="str">
        <f>IFERROR(__xludf.DUMMYFUNCTION("""COMPUTED_VALUE"""),"TECH")</f>
        <v>TECH</v>
      </c>
      <c r="D10007" s="122" t="str">
        <f>IFERROR(__xludf.DUMMYFUNCTION("""COMPUTED_VALUE"""),"Dragon Tech")</f>
        <v>Dragon Tech</v>
      </c>
      <c r="E10007" s="122">
        <f>IFERROR(__xludf.DUMMYFUNCTION("""COMPUTED_VALUE"""),248.84)</f>
        <v>248.84</v>
      </c>
      <c r="F10007" s="122">
        <f>IFERROR(__xludf.DUMMYFUNCTION("""COMPUTED_VALUE"""),-0.0063)</f>
        <v>-0.0063</v>
      </c>
    </row>
    <row r="10008">
      <c r="A10008" s="131">
        <f>IFERROR(__xludf.DUMMYFUNCTION("""COMPUTED_VALUE"""),46187.70298611111)</f>
        <v>46187.70299</v>
      </c>
      <c r="B10008" s="126">
        <f>IFERROR(__xludf.DUMMYFUNCTION("""COMPUTED_VALUE"""),46187.0)</f>
        <v>46187</v>
      </c>
      <c r="C10008" s="122" t="str">
        <f>IFERROR(__xludf.DUMMYFUNCTION("""COMPUTED_VALUE"""),"AIBO")</f>
        <v>AIBO</v>
      </c>
      <c r="D10008" s="122" t="str">
        <f>IFERROR(__xludf.DUMMYFUNCTION("""COMPUTED_VALUE"""),"Homework AI")</f>
        <v>Homework AI</v>
      </c>
      <c r="E10008" s="122">
        <f>IFERROR(__xludf.DUMMYFUNCTION("""COMPUTED_VALUE"""),193.3)</f>
        <v>193.3</v>
      </c>
      <c r="F10008" s="122">
        <f>IFERROR(__xludf.DUMMYFUNCTION("""COMPUTED_VALUE"""),0.0048)</f>
        <v>0.0048</v>
      </c>
    </row>
    <row r="10009">
      <c r="A10009" s="131">
        <f>IFERROR(__xludf.DUMMYFUNCTION("""COMPUTED_VALUE"""),46187.70298611111)</f>
        <v>46187.70299</v>
      </c>
      <c r="B10009" s="126">
        <f>IFERROR(__xludf.DUMMYFUNCTION("""COMPUTED_VALUE"""),46187.0)</f>
        <v>46187</v>
      </c>
      <c r="C10009" s="122" t="str">
        <f>IFERROR(__xludf.DUMMYFUNCTION("""COMPUTED_VALUE"""),"GAME")</f>
        <v>GAME</v>
      </c>
      <c r="D10009" s="122" t="str">
        <f>IFERROR(__xludf.DUMMYFUNCTION("""COMPUTED_VALUE"""),"GameBox Media")</f>
        <v>GameBox Media</v>
      </c>
      <c r="E10009" s="122">
        <f>IFERROR(__xludf.DUMMYFUNCTION("""COMPUTED_VALUE"""),103.79)</f>
        <v>103.79</v>
      </c>
      <c r="F10009" s="122">
        <f>IFERROR(__xludf.DUMMYFUNCTION("""COMPUTED_VALUE"""),0.0058)</f>
        <v>0.0058</v>
      </c>
    </row>
    <row r="10010">
      <c r="A10010" s="131">
        <f>IFERROR(__xludf.DUMMYFUNCTION("""COMPUTED_VALUE"""),46187.70298611111)</f>
        <v>46187.70299</v>
      </c>
      <c r="B10010" s="126">
        <f>IFERROR(__xludf.DUMMYFUNCTION("""COMPUTED_VALUE"""),46187.0)</f>
        <v>46187</v>
      </c>
      <c r="C10010" s="122" t="str">
        <f>IFERROR(__xludf.DUMMYFUNCTION("""COMPUTED_VALUE"""),"VRSE")</f>
        <v>VRSE</v>
      </c>
      <c r="D10010" s="122" t="str">
        <f>IFERROR(__xludf.DUMMYFUNCTION("""COMPUTED_VALUE"""),"VerseVR")</f>
        <v>VerseVR</v>
      </c>
      <c r="E10010" s="122">
        <f>IFERROR(__xludf.DUMMYFUNCTION("""COMPUTED_VALUE"""),147.05)</f>
        <v>147.05</v>
      </c>
      <c r="F10010" s="122">
        <f>IFERROR(__xludf.DUMMYFUNCTION("""COMPUTED_VALUE"""),-5.0E-4)</f>
        <v>-0.0005</v>
      </c>
    </row>
    <row r="10011">
      <c r="A10011" s="131">
        <f>IFERROR(__xludf.DUMMYFUNCTION("""COMPUTED_VALUE"""),46187.70298611111)</f>
        <v>46187.70299</v>
      </c>
      <c r="B10011" s="126">
        <f>IFERROR(__xludf.DUMMYFUNCTION("""COMPUTED_VALUE"""),46187.0)</f>
        <v>46187</v>
      </c>
      <c r="C10011" s="122" t="str">
        <f>IFERROR(__xludf.DUMMYFUNCTION("""COMPUTED_VALUE"""),"BYTE")</f>
        <v>BYTE</v>
      </c>
      <c r="D10011" s="122" t="str">
        <f>IFERROR(__xludf.DUMMYFUNCTION("""COMPUTED_VALUE"""),"ByteWorks")</f>
        <v>ByteWorks</v>
      </c>
      <c r="E10011" s="122">
        <f>IFERROR(__xludf.DUMMYFUNCTION("""COMPUTED_VALUE"""),111.3)</f>
        <v>111.3</v>
      </c>
      <c r="F10011" s="122">
        <f>IFERROR(__xludf.DUMMYFUNCTION("""COMPUTED_VALUE"""),9.0E-4)</f>
        <v>0.0009</v>
      </c>
    </row>
    <row r="10012">
      <c r="A10012" s="131">
        <f>IFERROR(__xludf.DUMMYFUNCTION("""COMPUTED_VALUE"""),46187.70298611111)</f>
        <v>46187.70299</v>
      </c>
      <c r="B10012" s="126">
        <f>IFERROR(__xludf.DUMMYFUNCTION("""COMPUTED_VALUE"""),46187.0)</f>
        <v>46187</v>
      </c>
      <c r="C10012" s="122" t="str">
        <f>IFERROR(__xludf.DUMMYFUNCTION("""COMPUTED_VALUE"""),"BANK")</f>
        <v>BANK</v>
      </c>
      <c r="D10012" s="122" t="str">
        <f>IFERROR(__xludf.DUMMYFUNCTION("""COMPUTED_VALUE"""),"Tiger Bank")</f>
        <v>Tiger Bank</v>
      </c>
      <c r="E10012" s="122">
        <f>IFERROR(__xludf.DUMMYFUNCTION("""COMPUTED_VALUE"""),133.29)</f>
        <v>133.29</v>
      </c>
      <c r="F10012" s="122">
        <f>IFERROR(__xludf.DUMMYFUNCTION("""COMPUTED_VALUE"""),-0.002)</f>
        <v>-0.002</v>
      </c>
    </row>
    <row r="10013">
      <c r="A10013" s="131">
        <f>IFERROR(__xludf.DUMMYFUNCTION("""COMPUTED_VALUE"""),46187.70298611111)</f>
        <v>46187.70299</v>
      </c>
      <c r="B10013" s="126">
        <f>IFERROR(__xludf.DUMMYFUNCTION("""COMPUTED_VALUE"""),46187.0)</f>
        <v>46187</v>
      </c>
      <c r="C10013" s="122" t="str">
        <f>IFERROR(__xludf.DUMMYFUNCTION("""COMPUTED_VALUE"""),"CRED")</f>
        <v>CRED</v>
      </c>
      <c r="D10013" s="122" t="str">
        <f>IFERROR(__xludf.DUMMYFUNCTION("""COMPUTED_VALUE"""),"Credit Castle")</f>
        <v>Credit Castle</v>
      </c>
      <c r="E10013" s="122">
        <f>IFERROR(__xludf.DUMMYFUNCTION("""COMPUTED_VALUE"""),67.59)</f>
        <v>67.59</v>
      </c>
      <c r="F10013" s="122">
        <f>IFERROR(__xludf.DUMMYFUNCTION("""COMPUTED_VALUE"""),4.0E-4)</f>
        <v>0.0004</v>
      </c>
    </row>
    <row r="10014">
      <c r="A10014" s="131">
        <f>IFERROR(__xludf.DUMMYFUNCTION("""COMPUTED_VALUE"""),46187.70298611111)</f>
        <v>46187.70299</v>
      </c>
      <c r="B10014" s="126">
        <f>IFERROR(__xludf.DUMMYFUNCTION("""COMPUTED_VALUE"""),46187.0)</f>
        <v>46187</v>
      </c>
      <c r="C10014" s="122" t="str">
        <f>IFERROR(__xludf.DUMMYFUNCTION("""COMPUTED_VALUE"""),"BOND")</f>
        <v>BOND</v>
      </c>
      <c r="D10014" s="122" t="str">
        <f>IFERROR(__xludf.DUMMYFUNCTION("""COMPUTED_VALUE"""),"BondBridge")</f>
        <v>BondBridge</v>
      </c>
      <c r="E10014" s="122">
        <f>IFERROR(__xludf.DUMMYFUNCTION("""COMPUTED_VALUE"""),108.07)</f>
        <v>108.07</v>
      </c>
      <c r="F10014" s="122">
        <f>IFERROR(__xludf.DUMMYFUNCTION("""COMPUTED_VALUE"""),0.0028)</f>
        <v>0.0028</v>
      </c>
    </row>
    <row r="10015">
      <c r="A10015" s="131">
        <f>IFERROR(__xludf.DUMMYFUNCTION("""COMPUTED_VALUE"""),46187.70298611111)</f>
        <v>46187.70299</v>
      </c>
      <c r="B10015" s="126">
        <f>IFERROR(__xludf.DUMMYFUNCTION("""COMPUTED_VALUE"""),46187.0)</f>
        <v>46187</v>
      </c>
      <c r="C10015" s="122" t="str">
        <f>IFERROR(__xludf.DUMMYFUNCTION("""COMPUTED_VALUE"""),"INSR")</f>
        <v>INSR</v>
      </c>
      <c r="D10015" s="122" t="str">
        <f>IFERROR(__xludf.DUMMYFUNCTION("""COMPUTED_VALUE"""),"Shield Insurance")</f>
        <v>Shield Insurance</v>
      </c>
      <c r="E10015" s="122">
        <f>IFERROR(__xludf.DUMMYFUNCTION("""COMPUTED_VALUE"""),158.74)</f>
        <v>158.74</v>
      </c>
      <c r="F10015" s="122">
        <f>IFERROR(__xludf.DUMMYFUNCTION("""COMPUTED_VALUE"""),0.0029)</f>
        <v>0.0029</v>
      </c>
    </row>
    <row r="10016">
      <c r="A10016" s="131">
        <f>IFERROR(__xludf.DUMMYFUNCTION("""COMPUTED_VALUE"""),46187.70298611111)</f>
        <v>46187.70299</v>
      </c>
      <c r="B10016" s="126">
        <f>IFERROR(__xludf.DUMMYFUNCTION("""COMPUTED_VALUE"""),46187.0)</f>
        <v>46187</v>
      </c>
      <c r="C10016" s="122" t="str">
        <f>IFERROR(__xludf.DUMMYFUNCTION("""COMPUTED_VALUE"""),"LOAN")</f>
        <v>LOAN</v>
      </c>
      <c r="D10016" s="122" t="str">
        <f>IFERROR(__xludf.DUMMYFUNCTION("""COMPUTED_VALUE"""),"LoanLab")</f>
        <v>LoanLab</v>
      </c>
      <c r="E10016" s="122">
        <f>IFERROR(__xludf.DUMMYFUNCTION("""COMPUTED_VALUE"""),76.41)</f>
        <v>76.41</v>
      </c>
      <c r="F10016" s="122">
        <f>IFERROR(__xludf.DUMMYFUNCTION("""COMPUTED_VALUE"""),0.0047)</f>
        <v>0.0047</v>
      </c>
    </row>
    <row r="10017">
      <c r="A10017" s="131">
        <f>IFERROR(__xludf.DUMMYFUNCTION("""COMPUTED_VALUE"""),46187.70298611111)</f>
        <v>46187.70299</v>
      </c>
      <c r="B10017" s="126">
        <f>IFERROR(__xludf.DUMMYFUNCTION("""COMPUTED_VALUE"""),46187.0)</f>
        <v>46187</v>
      </c>
      <c r="C10017" s="122" t="str">
        <f>IFERROR(__xludf.DUMMYFUNCTION("""COMPUTED_VALUE"""),"LUXE")</f>
        <v>LUXE</v>
      </c>
      <c r="D10017" s="122" t="str">
        <f>IFERROR(__xludf.DUMMYFUNCTION("""COMPUTED_VALUE"""),"Luxury Locker")</f>
        <v>Luxury Locker</v>
      </c>
      <c r="E10017" s="122">
        <f>IFERROR(__xludf.DUMMYFUNCTION("""COMPUTED_VALUE"""),271.96)</f>
        <v>271.96</v>
      </c>
      <c r="F10017" s="122">
        <f>IFERROR(__xludf.DUMMYFUNCTION("""COMPUTED_VALUE"""),0.0012)</f>
        <v>0.0012</v>
      </c>
    </row>
    <row r="10018">
      <c r="A10018" s="131">
        <f>IFERROR(__xludf.DUMMYFUNCTION("""COMPUTED_VALUE"""),46187.70298611111)</f>
        <v>46187.70299</v>
      </c>
      <c r="B10018" s="126">
        <f>IFERROR(__xludf.DUMMYFUNCTION("""COMPUTED_VALUE"""),46187.0)</f>
        <v>46187</v>
      </c>
      <c r="C10018" s="122" t="str">
        <f>IFERROR(__xludf.DUMMYFUNCTION("""COMPUTED_VALUE"""),"DRIP")</f>
        <v>DRIP</v>
      </c>
      <c r="D10018" s="122" t="str">
        <f>IFERROR(__xludf.DUMMYFUNCTION("""COMPUTED_VALUE"""),"Drip Streetwear")</f>
        <v>Drip Streetwear</v>
      </c>
      <c r="E10018" s="122">
        <f>IFERROR(__xludf.DUMMYFUNCTION("""COMPUTED_VALUE"""),190.36)</f>
        <v>190.36</v>
      </c>
      <c r="F10018" s="122">
        <f>IFERROR(__xludf.DUMMYFUNCTION("""COMPUTED_VALUE"""),3.0E-4)</f>
        <v>0.0003</v>
      </c>
    </row>
    <row r="10019">
      <c r="A10019" s="131">
        <f>IFERROR(__xludf.DUMMYFUNCTION("""COMPUTED_VALUE"""),46187.70298611111)</f>
        <v>46187.70299</v>
      </c>
      <c r="B10019" s="126">
        <f>IFERROR(__xludf.DUMMYFUNCTION("""COMPUTED_VALUE"""),46187.0)</f>
        <v>46187</v>
      </c>
      <c r="C10019" s="122" t="str">
        <f>IFERROR(__xludf.DUMMYFUNCTION("""COMPUTED_VALUE"""),"KICK")</f>
        <v>KICK</v>
      </c>
      <c r="D10019" s="122" t="str">
        <f>IFERROR(__xludf.DUMMYFUNCTION("""COMPUTED_VALUE"""),"KickDrop Sneakers")</f>
        <v>KickDrop Sneakers</v>
      </c>
      <c r="E10019" s="122">
        <f>IFERROR(__xludf.DUMMYFUNCTION("""COMPUTED_VALUE"""),169.76)</f>
        <v>169.76</v>
      </c>
      <c r="F10019" s="122">
        <f>IFERROR(__xludf.DUMMYFUNCTION("""COMPUTED_VALUE"""),-5.0E-4)</f>
        <v>-0.0005</v>
      </c>
    </row>
    <row r="10020">
      <c r="A10020" s="131">
        <f>IFERROR(__xludf.DUMMYFUNCTION("""COMPUTED_VALUE"""),46187.70298611111)</f>
        <v>46187.70299</v>
      </c>
      <c r="B10020" s="126">
        <f>IFERROR(__xludf.DUMMYFUNCTION("""COMPUTED_VALUE"""),46187.0)</f>
        <v>46187</v>
      </c>
      <c r="C10020" s="122" t="str">
        <f>IFERROR(__xludf.DUMMYFUNCTION("""COMPUTED_VALUE"""),"GLAM")</f>
        <v>GLAM</v>
      </c>
      <c r="D10020" s="122" t="str">
        <f>IFERROR(__xludf.DUMMYFUNCTION("""COMPUTED_VALUE"""),"Glow Cosmetics")</f>
        <v>Glow Cosmetics</v>
      </c>
      <c r="E10020" s="122">
        <f>IFERROR(__xludf.DUMMYFUNCTION("""COMPUTED_VALUE"""),112.97)</f>
        <v>112.97</v>
      </c>
      <c r="F10020" s="122">
        <f>IFERROR(__xludf.DUMMYFUNCTION("""COMPUTED_VALUE"""),0.0086)</f>
        <v>0.0086</v>
      </c>
    </row>
    <row r="10021">
      <c r="A10021" s="131">
        <f>IFERROR(__xludf.DUMMYFUNCTION("""COMPUTED_VALUE"""),46187.70298611111)</f>
        <v>46187.70299</v>
      </c>
      <c r="B10021" s="126">
        <f>IFERROR(__xludf.DUMMYFUNCTION("""COMPUTED_VALUE"""),46187.0)</f>
        <v>46187</v>
      </c>
      <c r="C10021" s="122" t="str">
        <f>IFERROR(__xludf.DUMMYFUNCTION("""COMPUTED_VALUE"""),"BAGG")</f>
        <v>BAGG</v>
      </c>
      <c r="D10021" s="122" t="str">
        <f>IFERROR(__xludf.DUMMYFUNCTION("""COMPUTED_VALUE"""),"BagVault")</f>
        <v>BagVault</v>
      </c>
      <c r="E10021" s="122">
        <f>IFERROR(__xludf.DUMMYFUNCTION("""COMPUTED_VALUE"""),281.07)</f>
        <v>281.07</v>
      </c>
      <c r="F10021" s="122">
        <f>IFERROR(__xludf.DUMMYFUNCTION("""COMPUTED_VALUE"""),0.0031)</f>
        <v>0.0031</v>
      </c>
    </row>
    <row r="10022">
      <c r="A10022" s="131">
        <f>IFERROR(__xludf.DUMMYFUNCTION("""COMPUTED_VALUE"""),46187.70298611111)</f>
        <v>46187.70299</v>
      </c>
      <c r="B10022" s="126">
        <f>IFERROR(__xludf.DUMMYFUNCTION("""COMPUTED_VALUE"""),46187.0)</f>
        <v>46187</v>
      </c>
      <c r="C10022" s="122" t="str">
        <f>IFERROR(__xludf.DUMMYFUNCTION("""COMPUTED_VALUE"""),"FAST")</f>
        <v>FAST</v>
      </c>
      <c r="D10022" s="122" t="str">
        <f>IFERROR(__xludf.DUMMYFUNCTION("""COMPUTED_VALUE"""),"Flash Logistics")</f>
        <v>Flash Logistics</v>
      </c>
      <c r="E10022" s="122">
        <f>IFERROR(__xludf.DUMMYFUNCTION("""COMPUTED_VALUE"""),111.02)</f>
        <v>111.02</v>
      </c>
      <c r="F10022" s="122">
        <f>IFERROR(__xludf.DUMMYFUNCTION("""COMPUTED_VALUE"""),0.0039)</f>
        <v>0.0039</v>
      </c>
    </row>
    <row r="10023">
      <c r="A10023" s="131">
        <f>IFERROR(__xludf.DUMMYFUNCTION("""COMPUTED_VALUE"""),46187.70298611111)</f>
        <v>46187.70299</v>
      </c>
      <c r="B10023" s="126">
        <f>IFERROR(__xludf.DUMMYFUNCTION("""COMPUTED_VALUE"""),46187.0)</f>
        <v>46187</v>
      </c>
      <c r="C10023" s="122" t="str">
        <f>IFERROR(__xludf.DUMMYFUNCTION("""COMPUTED_VALUE"""),"SHIP")</f>
        <v>SHIP</v>
      </c>
      <c r="D10023" s="122" t="str">
        <f>IFERROR(__xludf.DUMMYFUNCTION("""COMPUTED_VALUE"""),"Seoul Shipping")</f>
        <v>Seoul Shipping</v>
      </c>
      <c r="E10023" s="122">
        <f>IFERROR(__xludf.DUMMYFUNCTION("""COMPUTED_VALUE"""),133.14)</f>
        <v>133.14</v>
      </c>
      <c r="F10023" s="122">
        <f>IFERROR(__xludf.DUMMYFUNCTION("""COMPUTED_VALUE"""),0.0075)</f>
        <v>0.0075</v>
      </c>
    </row>
    <row r="10024">
      <c r="A10024" s="131">
        <f>IFERROR(__xludf.DUMMYFUNCTION("""COMPUTED_VALUE"""),46187.70298611111)</f>
        <v>46187.70299</v>
      </c>
      <c r="B10024" s="126">
        <f>IFERROR(__xludf.DUMMYFUNCTION("""COMPUTED_VALUE"""),46187.0)</f>
        <v>46187</v>
      </c>
      <c r="C10024" s="122" t="str">
        <f>IFERROR(__xludf.DUMMYFUNCTION("""COMPUTED_VALUE"""),"DRON")</f>
        <v>DRON</v>
      </c>
      <c r="D10024" s="122" t="str">
        <f>IFERROR(__xludf.DUMMYFUNCTION("""COMPUTED_VALUE"""),"DroneDrop")</f>
        <v>DroneDrop</v>
      </c>
      <c r="E10024" s="122">
        <f>IFERROR(__xludf.DUMMYFUNCTION("""COMPUTED_VALUE"""),122.45)</f>
        <v>122.45</v>
      </c>
      <c r="F10024" s="122">
        <f>IFERROR(__xludf.DUMMYFUNCTION("""COMPUTED_VALUE"""),-0.0067)</f>
        <v>-0.0067</v>
      </c>
    </row>
    <row r="10025">
      <c r="A10025" s="131">
        <f>IFERROR(__xludf.DUMMYFUNCTION("""COMPUTED_VALUE"""),46187.70298611111)</f>
        <v>46187.70299</v>
      </c>
      <c r="B10025" s="126">
        <f>IFERROR(__xludf.DUMMYFUNCTION("""COMPUTED_VALUE"""),46187.0)</f>
        <v>46187</v>
      </c>
      <c r="C10025" s="122" t="str">
        <f>IFERROR(__xludf.DUMMYFUNCTION("""COMPUTED_VALUE"""),"RIDE")</f>
        <v>RIDE</v>
      </c>
      <c r="D10025" s="122" t="str">
        <f>IFERROR(__xludf.DUMMYFUNCTION("""COMPUTED_VALUE"""),"QuickRide")</f>
        <v>QuickRide</v>
      </c>
      <c r="E10025" s="122">
        <f>IFERROR(__xludf.DUMMYFUNCTION("""COMPUTED_VALUE"""),98.82)</f>
        <v>98.82</v>
      </c>
      <c r="F10025" s="122">
        <f>IFERROR(__xludf.DUMMYFUNCTION("""COMPUTED_VALUE"""),0.0015)</f>
        <v>0.0015</v>
      </c>
    </row>
    <row r="10026">
      <c r="A10026" s="131">
        <f>IFERROR(__xludf.DUMMYFUNCTION("""COMPUTED_VALUE"""),46187.70298611111)</f>
        <v>46187.70299</v>
      </c>
      <c r="B10026" s="126">
        <f>IFERROR(__xludf.DUMMYFUNCTION("""COMPUTED_VALUE"""),46187.0)</f>
        <v>46187</v>
      </c>
      <c r="C10026" s="122" t="str">
        <f>IFERROR(__xludf.DUMMYFUNCTION("""COMPUTED_VALUE"""),"RAIL")</f>
        <v>RAIL</v>
      </c>
      <c r="D10026" s="122" t="str">
        <f>IFERROR(__xludf.DUMMYFUNCTION("""COMPUTED_VALUE"""),"MetroRail Corp")</f>
        <v>MetroRail Corp</v>
      </c>
      <c r="E10026" s="122">
        <f>IFERROR(__xludf.DUMMYFUNCTION("""COMPUTED_VALUE"""),129.91)</f>
        <v>129.91</v>
      </c>
      <c r="F10026" s="122">
        <f>IFERROR(__xludf.DUMMYFUNCTION("""COMPUTED_VALUE"""),-3.0E-4)</f>
        <v>-0.0003</v>
      </c>
    </row>
    <row r="10027">
      <c r="A10027" s="131">
        <f>IFERROR(__xludf.DUMMYFUNCTION("""COMPUTED_VALUE"""),46187.70298611111)</f>
        <v>46187.70299</v>
      </c>
      <c r="B10027" s="126">
        <f>IFERROR(__xludf.DUMMYFUNCTION("""COMPUTED_VALUE"""),46187.0)</f>
        <v>46187</v>
      </c>
      <c r="C10027" s="122" t="str">
        <f>IFERROR(__xludf.DUMMYFUNCTION("""COMPUTED_VALUE"""),"MEDX")</f>
        <v>MEDX</v>
      </c>
      <c r="D10027" s="122" t="str">
        <f>IFERROR(__xludf.DUMMYFUNCTION("""COMPUTED_VALUE"""),"MediCore")</f>
        <v>MediCore</v>
      </c>
      <c r="E10027" s="122">
        <f>IFERROR(__xludf.DUMMYFUNCTION("""COMPUTED_VALUE"""),139.05)</f>
        <v>139.05</v>
      </c>
      <c r="F10027" s="122">
        <f>IFERROR(__xludf.DUMMYFUNCTION("""COMPUTED_VALUE"""),-0.0034)</f>
        <v>-0.0034</v>
      </c>
    </row>
    <row r="10028">
      <c r="A10028" s="131">
        <f>IFERROR(__xludf.DUMMYFUNCTION("""COMPUTED_VALUE"""),46187.70298611111)</f>
        <v>46187.70299</v>
      </c>
      <c r="B10028" s="126">
        <f>IFERROR(__xludf.DUMMYFUNCTION("""COMPUTED_VALUE"""),46187.0)</f>
        <v>46187</v>
      </c>
      <c r="C10028" s="122" t="str">
        <f>IFERROR(__xludf.DUMMYFUNCTION("""COMPUTED_VALUE"""),"GYMX")</f>
        <v>GYMX</v>
      </c>
      <c r="D10028" s="122" t="str">
        <f>IFERROR(__xludf.DUMMYFUNCTION("""COMPUTED_VALUE"""),"GymX Fitness")</f>
        <v>GymX Fitness</v>
      </c>
      <c r="E10028" s="122">
        <f>IFERROR(__xludf.DUMMYFUNCTION("""COMPUTED_VALUE"""),80.82)</f>
        <v>80.82</v>
      </c>
      <c r="F10028" s="122">
        <f>IFERROR(__xludf.DUMMYFUNCTION("""COMPUTED_VALUE"""),-6.0E-4)</f>
        <v>-0.0006</v>
      </c>
    </row>
    <row r="10029">
      <c r="A10029" s="131">
        <f>IFERROR(__xludf.DUMMYFUNCTION("""COMPUTED_VALUE"""),46187.70298611111)</f>
        <v>46187.70299</v>
      </c>
      <c r="B10029" s="126">
        <f>IFERROR(__xludf.DUMMYFUNCTION("""COMPUTED_VALUE"""),46187.0)</f>
        <v>46187</v>
      </c>
      <c r="C10029" s="122" t="str">
        <f>IFERROR(__xludf.DUMMYFUNCTION("""COMPUTED_VALUE"""),"VITA")</f>
        <v>VITA</v>
      </c>
      <c r="D10029" s="122" t="str">
        <f>IFERROR(__xludf.DUMMYFUNCTION("""COMPUTED_VALUE"""),"VitaPlus")</f>
        <v>VitaPlus</v>
      </c>
      <c r="E10029" s="122">
        <f>IFERROR(__xludf.DUMMYFUNCTION("""COMPUTED_VALUE"""),71.67)</f>
        <v>71.67</v>
      </c>
      <c r="F10029" s="122">
        <f>IFERROR(__xludf.DUMMYFUNCTION("""COMPUTED_VALUE"""),-0.0011)</f>
        <v>-0.0011</v>
      </c>
    </row>
    <row r="10030">
      <c r="A10030" s="131">
        <f>IFERROR(__xludf.DUMMYFUNCTION("""COMPUTED_VALUE"""),46187.70298611111)</f>
        <v>46187.70299</v>
      </c>
      <c r="B10030" s="126">
        <f>IFERROR(__xludf.DUMMYFUNCTION("""COMPUTED_VALUE"""),46187.0)</f>
        <v>46187</v>
      </c>
      <c r="C10030" s="122" t="str">
        <f>IFERROR(__xludf.DUMMYFUNCTION("""COMPUTED_VALUE"""),"CARE")</f>
        <v>CARE</v>
      </c>
      <c r="D10030" s="122" t="str">
        <f>IFERROR(__xludf.DUMMYFUNCTION("""COMPUTED_VALUE"""),"CareCloud")</f>
        <v>CareCloud</v>
      </c>
      <c r="E10030" s="122">
        <f>IFERROR(__xludf.DUMMYFUNCTION("""COMPUTED_VALUE"""),186.14)</f>
        <v>186.14</v>
      </c>
      <c r="F10030" s="122">
        <f>IFERROR(__xludf.DUMMYFUNCTION("""COMPUTED_VALUE"""),-0.0016)</f>
        <v>-0.0016</v>
      </c>
    </row>
    <row r="10031">
      <c r="A10031" s="131">
        <f>IFERROR(__xludf.DUMMYFUNCTION("""COMPUTED_VALUE"""),46187.70298611111)</f>
        <v>46187.70299</v>
      </c>
      <c r="B10031" s="126">
        <f>IFERROR(__xludf.DUMMYFUNCTION("""COMPUTED_VALUE"""),46187.0)</f>
        <v>46187</v>
      </c>
      <c r="C10031" s="122" t="str">
        <f>IFERROR(__xludf.DUMMYFUNCTION("""COMPUTED_VALUE"""),"DENT")</f>
        <v>DENT</v>
      </c>
      <c r="D10031" s="122" t="str">
        <f>IFERROR(__xludf.DUMMYFUNCTION("""COMPUTED_VALUE"""),"SmileWorks")</f>
        <v>SmileWorks</v>
      </c>
      <c r="E10031" s="122">
        <f>IFERROR(__xludf.DUMMYFUNCTION("""COMPUTED_VALUE"""),100.36)</f>
        <v>100.36</v>
      </c>
      <c r="F10031" s="122">
        <f>IFERROR(__xludf.DUMMYFUNCTION("""COMPUTED_VALUE"""),7.0E-4)</f>
        <v>0.0007</v>
      </c>
    </row>
    <row r="10032">
      <c r="A10032" s="131">
        <f>IFERROR(__xludf.DUMMYFUNCTION("""COMPUTED_VALUE"""),46187.70298611111)</f>
        <v>46187.70299</v>
      </c>
      <c r="B10032" s="126">
        <f>IFERROR(__xludf.DUMMYFUNCTION("""COMPUTED_VALUE"""),46187.0)</f>
        <v>46187</v>
      </c>
      <c r="C10032" s="122" t="str">
        <f>IFERROR(__xludf.DUMMYFUNCTION("""COMPUTED_VALUE"""),"EDUX")</f>
        <v>EDUX</v>
      </c>
      <c r="D10032" s="122" t="str">
        <f>IFERROR(__xludf.DUMMYFUNCTION("""COMPUTED_VALUE"""),"EduMax Learning")</f>
        <v>EduMax Learning</v>
      </c>
      <c r="E10032" s="122">
        <f>IFERROR(__xludf.DUMMYFUNCTION("""COMPUTED_VALUE"""),156.65)</f>
        <v>156.65</v>
      </c>
      <c r="F10032" s="122">
        <f>IFERROR(__xludf.DUMMYFUNCTION("""COMPUTED_VALUE"""),0.003)</f>
        <v>0.003</v>
      </c>
    </row>
    <row r="10033">
      <c r="A10033" s="131">
        <f>IFERROR(__xludf.DUMMYFUNCTION("""COMPUTED_VALUE"""),46187.70298611111)</f>
        <v>46187.70299</v>
      </c>
      <c r="B10033" s="126">
        <f>IFERROR(__xludf.DUMMYFUNCTION("""COMPUTED_VALUE"""),46187.0)</f>
        <v>46187</v>
      </c>
      <c r="C10033" s="122" t="str">
        <f>IFERROR(__xludf.DUMMYFUNCTION("""COMPUTED_VALUE"""),"BOOK")</f>
        <v>BOOK</v>
      </c>
      <c r="D10033" s="122" t="str">
        <f>IFERROR(__xludf.DUMMYFUNCTION("""COMPUTED_VALUE"""),"BookBridge")</f>
        <v>BookBridge</v>
      </c>
      <c r="E10033" s="122">
        <f>IFERROR(__xludf.DUMMYFUNCTION("""COMPUTED_VALUE"""),121.29)</f>
        <v>121.29</v>
      </c>
      <c r="F10033" s="122">
        <f>IFERROR(__xludf.DUMMYFUNCTION("""COMPUTED_VALUE"""),0.0043)</f>
        <v>0.0043</v>
      </c>
    </row>
    <row r="10034">
      <c r="A10034" s="131">
        <f>IFERROR(__xludf.DUMMYFUNCTION("""COMPUTED_VALUE"""),46187.70298611111)</f>
        <v>46187.70299</v>
      </c>
      <c r="B10034" s="126">
        <f>IFERROR(__xludf.DUMMYFUNCTION("""COMPUTED_VALUE"""),46187.0)</f>
        <v>46187</v>
      </c>
      <c r="C10034" s="122" t="str">
        <f>IFERROR(__xludf.DUMMYFUNCTION("""COMPUTED_VALUE"""),"TUTR")</f>
        <v>TUTR</v>
      </c>
      <c r="D10034" s="122" t="str">
        <f>IFERROR(__xludf.DUMMYFUNCTION("""COMPUTED_VALUE"""),"TutorTown")</f>
        <v>TutorTown</v>
      </c>
      <c r="E10034" s="122">
        <f>IFERROR(__xludf.DUMMYFUNCTION("""COMPUTED_VALUE"""),92.48)</f>
        <v>92.48</v>
      </c>
      <c r="F10034" s="122">
        <f>IFERROR(__xludf.DUMMYFUNCTION("""COMPUTED_VALUE"""),-0.0039)</f>
        <v>-0.0039</v>
      </c>
    </row>
    <row r="10035">
      <c r="A10035" s="131">
        <f>IFERROR(__xludf.DUMMYFUNCTION("""COMPUTED_VALUE"""),46187.70298611111)</f>
        <v>46187.70299</v>
      </c>
      <c r="B10035" s="126">
        <f>IFERROR(__xludf.DUMMYFUNCTION("""COMPUTED_VALUE"""),46187.0)</f>
        <v>46187</v>
      </c>
      <c r="C10035" s="122" t="str">
        <f>IFERROR(__xludf.DUMMYFUNCTION("""COMPUTED_VALUE"""),"LANG")</f>
        <v>LANG</v>
      </c>
      <c r="D10035" s="122" t="str">
        <f>IFERROR(__xludf.DUMMYFUNCTION("""COMPUTED_VALUE"""),"LinguaLab")</f>
        <v>LinguaLab</v>
      </c>
      <c r="E10035" s="122">
        <f>IFERROR(__xludf.DUMMYFUNCTION("""COMPUTED_VALUE"""),103.16)</f>
        <v>103.16</v>
      </c>
      <c r="F10035" s="122">
        <f>IFERROR(__xludf.DUMMYFUNCTION("""COMPUTED_VALUE"""),-0.0011)</f>
        <v>-0.0011</v>
      </c>
    </row>
    <row r="10036">
      <c r="A10036" s="131">
        <f>IFERROR(__xludf.DUMMYFUNCTION("""COMPUTED_VALUE"""),46187.70298611111)</f>
        <v>46187.70299</v>
      </c>
      <c r="B10036" s="126">
        <f>IFERROR(__xludf.DUMMYFUNCTION("""COMPUTED_VALUE"""),46187.0)</f>
        <v>46187</v>
      </c>
      <c r="C10036" s="122" t="str">
        <f>IFERROR(__xludf.DUMMYFUNCTION("""COMPUTED_VALUE"""),"TEST")</f>
        <v>TEST</v>
      </c>
      <c r="D10036" s="122" t="str">
        <f>IFERROR(__xludf.DUMMYFUNCTION("""COMPUTED_VALUE"""),"TestPrep Pro")</f>
        <v>TestPrep Pro</v>
      </c>
      <c r="E10036" s="122">
        <f>IFERROR(__xludf.DUMMYFUNCTION("""COMPUTED_VALUE"""),85.93)</f>
        <v>85.93</v>
      </c>
      <c r="F10036" s="122">
        <f>IFERROR(__xludf.DUMMYFUNCTION("""COMPUTED_VALUE"""),-0.003)</f>
        <v>-0.003</v>
      </c>
    </row>
    <row r="10037">
      <c r="A10037" s="131">
        <f>IFERROR(__xludf.DUMMYFUNCTION("""COMPUTED_VALUE"""),46187.70298611111)</f>
        <v>46187.70299</v>
      </c>
      <c r="B10037" s="126">
        <f>IFERROR(__xludf.DUMMYFUNCTION("""COMPUTED_VALUE"""),46187.0)</f>
        <v>46187</v>
      </c>
      <c r="C10037" s="122" t="str">
        <f>IFERROR(__xludf.DUMMYFUNCTION("""COMPUTED_VALUE"""),"MOVI")</f>
        <v>MOVI</v>
      </c>
      <c r="D10037" s="122" t="str">
        <f>IFERROR(__xludf.DUMMYFUNCTION("""COMPUTED_VALUE"""),"MovieBox")</f>
        <v>MovieBox</v>
      </c>
      <c r="E10037" s="122">
        <f>IFERROR(__xludf.DUMMYFUNCTION("""COMPUTED_VALUE"""),83.68)</f>
        <v>83.68</v>
      </c>
      <c r="F10037" s="122">
        <f>IFERROR(__xludf.DUMMYFUNCTION("""COMPUTED_VALUE"""),-0.0018)</f>
        <v>-0.0018</v>
      </c>
    </row>
    <row r="10038">
      <c r="A10038" s="131">
        <f>IFERROR(__xludf.DUMMYFUNCTION("""COMPUTED_VALUE"""),46187.70298611111)</f>
        <v>46187.70299</v>
      </c>
      <c r="B10038" s="126">
        <f>IFERROR(__xludf.DUMMYFUNCTION("""COMPUTED_VALUE"""),46187.0)</f>
        <v>46187</v>
      </c>
      <c r="C10038" s="122" t="str">
        <f>IFERROR(__xludf.DUMMYFUNCTION("""COMPUTED_VALUE"""),"MUSC")</f>
        <v>MUSC</v>
      </c>
      <c r="D10038" s="122" t="str">
        <f>IFERROR(__xludf.DUMMYFUNCTION("""COMPUTED_VALUE"""),"MusicWave")</f>
        <v>MusicWave</v>
      </c>
      <c r="E10038" s="122">
        <f>IFERROR(__xludf.DUMMYFUNCTION("""COMPUTED_VALUE"""),104.65)</f>
        <v>104.65</v>
      </c>
      <c r="F10038" s="122">
        <f>IFERROR(__xludf.DUMMYFUNCTION("""COMPUTED_VALUE"""),0.0051)</f>
        <v>0.0051</v>
      </c>
    </row>
    <row r="10039">
      <c r="A10039" s="131">
        <f>IFERROR(__xludf.DUMMYFUNCTION("""COMPUTED_VALUE"""),46187.70298611111)</f>
        <v>46187.70299</v>
      </c>
      <c r="B10039" s="126">
        <f>IFERROR(__xludf.DUMMYFUNCTION("""COMPUTED_VALUE"""),46187.0)</f>
        <v>46187</v>
      </c>
      <c r="C10039" s="122" t="str">
        <f>IFERROR(__xludf.DUMMYFUNCTION("""COMPUTED_VALUE"""),"IDOL")</f>
        <v>IDOL</v>
      </c>
      <c r="D10039" s="122" t="str">
        <f>IFERROR(__xludf.DUMMYFUNCTION("""COMPUTED_VALUE"""),"Idol Agency")</f>
        <v>Idol Agency</v>
      </c>
      <c r="E10039" s="122">
        <f>IFERROR(__xludf.DUMMYFUNCTION("""COMPUTED_VALUE"""),188.13)</f>
        <v>188.13</v>
      </c>
      <c r="F10039" s="122">
        <f>IFERROR(__xludf.DUMMYFUNCTION("""COMPUTED_VALUE"""),-0.0032)</f>
        <v>-0.0032</v>
      </c>
    </row>
    <row r="10040">
      <c r="A10040" s="131">
        <f>IFERROR(__xludf.DUMMYFUNCTION("""COMPUTED_VALUE"""),46187.70298611111)</f>
        <v>46187.70299</v>
      </c>
      <c r="B10040" s="126">
        <f>IFERROR(__xludf.DUMMYFUNCTION("""COMPUTED_VALUE"""),46187.0)</f>
        <v>46187</v>
      </c>
      <c r="C10040" s="122" t="str">
        <f>IFERROR(__xludf.DUMMYFUNCTION("""COMPUTED_VALUE"""),"MEME")</f>
        <v>MEME</v>
      </c>
      <c r="D10040" s="122" t="str">
        <f>IFERROR(__xludf.DUMMYFUNCTION("""COMPUTED_VALUE"""),"Meme Media")</f>
        <v>Meme Media</v>
      </c>
      <c r="E10040" s="122">
        <f>IFERROR(__xludf.DUMMYFUNCTION("""COMPUTED_VALUE"""),75.22)</f>
        <v>75.22</v>
      </c>
      <c r="F10040" s="122">
        <f>IFERROR(__xludf.DUMMYFUNCTION("""COMPUTED_VALUE"""),-0.0088)</f>
        <v>-0.0088</v>
      </c>
    </row>
    <row r="10041">
      <c r="A10041" s="131">
        <f>IFERROR(__xludf.DUMMYFUNCTION("""COMPUTED_VALUE"""),46187.70298611111)</f>
        <v>46187.70299</v>
      </c>
      <c r="B10041" s="126">
        <f>IFERROR(__xludf.DUMMYFUNCTION("""COMPUTED_VALUE"""),46187.0)</f>
        <v>46187</v>
      </c>
      <c r="C10041" s="122" t="str">
        <f>IFERROR(__xludf.DUMMYFUNCTION("""COMPUTED_VALUE"""),"STRM")</f>
        <v>STRM</v>
      </c>
      <c r="D10041" s="122" t="str">
        <f>IFERROR(__xludf.DUMMYFUNCTION("""COMPUTED_VALUE"""),"Streamly")</f>
        <v>Streamly</v>
      </c>
      <c r="E10041" s="122">
        <f>IFERROR(__xludf.DUMMYFUNCTION("""COMPUTED_VALUE"""),126.78)</f>
        <v>126.78</v>
      </c>
      <c r="F10041" s="122">
        <f>IFERROR(__xludf.DUMMYFUNCTION("""COMPUTED_VALUE"""),-0.0042)</f>
        <v>-0.0042</v>
      </c>
    </row>
    <row r="10042">
      <c r="A10042" s="131">
        <f>IFERROR(__xludf.DUMMYFUNCTION("""COMPUTED_VALUE"""),46187.70298611111)</f>
        <v>46187.70299</v>
      </c>
      <c r="B10042" s="126">
        <f>IFERROR(__xludf.DUMMYFUNCTION("""COMPUTED_VALUE"""),46187.0)</f>
        <v>46187</v>
      </c>
      <c r="C10042" s="122" t="str">
        <f>IFERROR(__xludf.DUMMYFUNCTION("""COMPUTED_VALUE"""),"FARM")</f>
        <v>FARM</v>
      </c>
      <c r="D10042" s="122" t="str">
        <f>IFERROR(__xludf.DUMMYFUNCTION("""COMPUTED_VALUE"""),"Future Farms")</f>
        <v>Future Farms</v>
      </c>
      <c r="E10042" s="122">
        <f>IFERROR(__xludf.DUMMYFUNCTION("""COMPUTED_VALUE"""),102.72)</f>
        <v>102.72</v>
      </c>
      <c r="F10042" s="122">
        <f>IFERROR(__xludf.DUMMYFUNCTION("""COMPUTED_VALUE"""),0.0022)</f>
        <v>0.0022</v>
      </c>
    </row>
    <row r="10043">
      <c r="A10043" s="131">
        <f>IFERROR(__xludf.DUMMYFUNCTION("""COMPUTED_VALUE"""),46187.70298611111)</f>
        <v>46187.70299</v>
      </c>
      <c r="B10043" s="126">
        <f>IFERROR(__xludf.DUMMYFUNCTION("""COMPUTED_VALUE"""),46187.0)</f>
        <v>46187</v>
      </c>
      <c r="C10043" s="122" t="str">
        <f>IFERROR(__xludf.DUMMYFUNCTION("""COMPUTED_VALUE"""),"MEAT")</f>
        <v>MEAT</v>
      </c>
      <c r="D10043" s="122" t="str">
        <f>IFERROR(__xludf.DUMMYFUNCTION("""COMPUTED_VALUE"""),"MeatWorks")</f>
        <v>MeatWorks</v>
      </c>
      <c r="E10043" s="122">
        <f>IFERROR(__xludf.DUMMYFUNCTION("""COMPUTED_VALUE"""),106.62)</f>
        <v>106.62</v>
      </c>
      <c r="F10043" s="122">
        <f>IFERROR(__xludf.DUMMYFUNCTION("""COMPUTED_VALUE"""),0.0032)</f>
        <v>0.0032</v>
      </c>
    </row>
    <row r="10044">
      <c r="A10044" s="131">
        <f>IFERROR(__xludf.DUMMYFUNCTION("""COMPUTED_VALUE"""),46187.70298611111)</f>
        <v>46187.70299</v>
      </c>
      <c r="B10044" s="126">
        <f>IFERROR(__xludf.DUMMYFUNCTION("""COMPUTED_VALUE"""),46187.0)</f>
        <v>46187</v>
      </c>
      <c r="C10044" s="122" t="str">
        <f>IFERROR(__xludf.DUMMYFUNCTION("""COMPUTED_VALUE"""),"VEGI")</f>
        <v>VEGI</v>
      </c>
      <c r="D10044" s="122" t="str">
        <f>IFERROR(__xludf.DUMMYFUNCTION("""COMPUTED_VALUE"""),"Green Basket")</f>
        <v>Green Basket</v>
      </c>
      <c r="E10044" s="122">
        <f>IFERROR(__xludf.DUMMYFUNCTION("""COMPUTED_VALUE"""),76.12)</f>
        <v>76.12</v>
      </c>
      <c r="F10044" s="122">
        <f>IFERROR(__xludf.DUMMYFUNCTION("""COMPUTED_VALUE"""),-0.0017)</f>
        <v>-0.0017</v>
      </c>
    </row>
    <row r="10045">
      <c r="A10045" s="131">
        <f>IFERROR(__xludf.DUMMYFUNCTION("""COMPUTED_VALUE"""),46187.70298611111)</f>
        <v>46187.70299</v>
      </c>
      <c r="B10045" s="126">
        <f>IFERROR(__xludf.DUMMYFUNCTION("""COMPUTED_VALUE"""),46187.0)</f>
        <v>46187</v>
      </c>
      <c r="C10045" s="122" t="str">
        <f>IFERROR(__xludf.DUMMYFUNCTION("""COMPUTED_VALUE"""),"CAFE")</f>
        <v>CAFE</v>
      </c>
      <c r="D10045" s="122" t="str">
        <f>IFERROR(__xludf.DUMMYFUNCTION("""COMPUTED_VALUE"""),"Cafe Cloud")</f>
        <v>Cafe Cloud</v>
      </c>
      <c r="E10045" s="122">
        <f>IFERROR(__xludf.DUMMYFUNCTION("""COMPUTED_VALUE"""),104.69)</f>
        <v>104.69</v>
      </c>
      <c r="F10045" s="122">
        <f>IFERROR(__xludf.DUMMYFUNCTION("""COMPUTED_VALUE"""),-0.0025)</f>
        <v>-0.0025</v>
      </c>
    </row>
    <row r="10046">
      <c r="A10046" s="131">
        <f>IFERROR(__xludf.DUMMYFUNCTION("""COMPUTED_VALUE"""),46187.70298611111)</f>
        <v>46187.70299</v>
      </c>
      <c r="B10046" s="126">
        <f>IFERROR(__xludf.DUMMYFUNCTION("""COMPUTED_VALUE"""),46187.0)</f>
        <v>46187</v>
      </c>
      <c r="C10046" s="122" t="str">
        <f>IFERROR(__xludf.DUMMYFUNCTION("""COMPUTED_VALUE"""),"BAKE")</f>
        <v>BAKE</v>
      </c>
      <c r="D10046" s="122" t="str">
        <f>IFERROR(__xludf.DUMMYFUNCTION("""COMPUTED_VALUE"""),"BakeHouse")</f>
        <v>BakeHouse</v>
      </c>
      <c r="E10046" s="122">
        <f>IFERROR(__xludf.DUMMYFUNCTION("""COMPUTED_VALUE"""),99.74)</f>
        <v>99.74</v>
      </c>
      <c r="F10046" s="122">
        <f>IFERROR(__xludf.DUMMYFUNCTION("""COMPUTED_VALUE"""),0.0019)</f>
        <v>0.0019</v>
      </c>
    </row>
    <row r="10047">
      <c r="A10047" s="131">
        <f>IFERROR(__xludf.DUMMYFUNCTION("""COMPUTED_VALUE"""),46187.70298611111)</f>
        <v>46187.70299</v>
      </c>
      <c r="B10047" s="126">
        <f>IFERROR(__xludf.DUMMYFUNCTION("""COMPUTED_VALUE"""),46187.0)</f>
        <v>46187</v>
      </c>
      <c r="C10047" s="122" t="str">
        <f>IFERROR(__xludf.DUMMYFUNCTION("""COMPUTED_VALUE"""),"OILX")</f>
        <v>OILX</v>
      </c>
      <c r="D10047" s="122" t="str">
        <f>IFERROR(__xludf.DUMMYFUNCTION("""COMPUTED_VALUE"""),"OilMax Energy")</f>
        <v>OilMax Energy</v>
      </c>
      <c r="E10047" s="122">
        <f>IFERROR(__xludf.DUMMYFUNCTION("""COMPUTED_VALUE"""),135.44)</f>
        <v>135.44</v>
      </c>
      <c r="F10047" s="122">
        <f>IFERROR(__xludf.DUMMYFUNCTION("""COMPUTED_VALUE"""),0.0038)</f>
        <v>0.0038</v>
      </c>
    </row>
    <row r="10048">
      <c r="A10048" s="131">
        <f>IFERROR(__xludf.DUMMYFUNCTION("""COMPUTED_VALUE"""),46187.70298611111)</f>
        <v>46187.70299</v>
      </c>
      <c r="B10048" s="126">
        <f>IFERROR(__xludf.DUMMYFUNCTION("""COMPUTED_VALUE"""),46187.0)</f>
        <v>46187</v>
      </c>
      <c r="C10048" s="122" t="str">
        <f>IFERROR(__xludf.DUMMYFUNCTION("""COMPUTED_VALUE"""),"SOLR")</f>
        <v>SOLR</v>
      </c>
      <c r="D10048" s="122" t="str">
        <f>IFERROR(__xludf.DUMMYFUNCTION("""COMPUTED_VALUE"""),"SolarSpark")</f>
        <v>SolarSpark</v>
      </c>
      <c r="E10048" s="122">
        <f>IFERROR(__xludf.DUMMYFUNCTION("""COMPUTED_VALUE"""),110.01)</f>
        <v>110.01</v>
      </c>
      <c r="F10048" s="122">
        <f>IFERROR(__xludf.DUMMYFUNCTION("""COMPUTED_VALUE"""),2.0E-4)</f>
        <v>0.0002</v>
      </c>
    </row>
    <row r="10049">
      <c r="A10049" s="131">
        <f>IFERROR(__xludf.DUMMYFUNCTION("""COMPUTED_VALUE"""),46187.70298611111)</f>
        <v>46187.70299</v>
      </c>
      <c r="B10049" s="126">
        <f>IFERROR(__xludf.DUMMYFUNCTION("""COMPUTED_VALUE"""),46187.0)</f>
        <v>46187</v>
      </c>
      <c r="C10049" s="122" t="str">
        <f>IFERROR(__xludf.DUMMYFUNCTION("""COMPUTED_VALUE"""),"BATT")</f>
        <v>BATT</v>
      </c>
      <c r="D10049" s="122" t="str">
        <f>IFERROR(__xludf.DUMMYFUNCTION("""COMPUTED_VALUE"""),"BatteryBox")</f>
        <v>BatteryBox</v>
      </c>
      <c r="E10049" s="122">
        <f>IFERROR(__xludf.DUMMYFUNCTION("""COMPUTED_VALUE"""),114.76)</f>
        <v>114.76</v>
      </c>
      <c r="F10049" s="122">
        <f>IFERROR(__xludf.DUMMYFUNCTION("""COMPUTED_VALUE"""),-0.005)</f>
        <v>-0.005</v>
      </c>
    </row>
    <row r="10050">
      <c r="A10050" s="131">
        <f>IFERROR(__xludf.DUMMYFUNCTION("""COMPUTED_VALUE"""),46187.70298611111)</f>
        <v>46187.70299</v>
      </c>
      <c r="B10050" s="126">
        <f>IFERROR(__xludf.DUMMYFUNCTION("""COMPUTED_VALUE"""),46187.0)</f>
        <v>46187</v>
      </c>
      <c r="C10050" s="122" t="str">
        <f>IFERROR(__xludf.DUMMYFUNCTION("""COMPUTED_VALUE"""),"WIND")</f>
        <v>WIND</v>
      </c>
      <c r="D10050" s="122" t="str">
        <f>IFERROR(__xludf.DUMMYFUNCTION("""COMPUTED_VALUE"""),"WindWorks")</f>
        <v>WindWorks</v>
      </c>
      <c r="E10050" s="122">
        <f>IFERROR(__xludf.DUMMYFUNCTION("""COMPUTED_VALUE"""),86.77)</f>
        <v>86.77</v>
      </c>
      <c r="F10050" s="122">
        <f>IFERROR(__xludf.DUMMYFUNCTION("""COMPUTED_VALUE"""),0.0039)</f>
        <v>0.0039</v>
      </c>
    </row>
    <row r="10051">
      <c r="A10051" s="131">
        <f>IFERROR(__xludf.DUMMYFUNCTION("""COMPUTED_VALUE"""),46187.70298611111)</f>
        <v>46187.70299</v>
      </c>
      <c r="B10051" s="126">
        <f>IFERROR(__xludf.DUMMYFUNCTION("""COMPUTED_VALUE"""),46187.0)</f>
        <v>46187</v>
      </c>
      <c r="C10051" s="122" t="str">
        <f>IFERROR(__xludf.DUMMYFUNCTION("""COMPUTED_VALUE"""),"GRID")</f>
        <v>GRID</v>
      </c>
      <c r="D10051" s="122" t="str">
        <f>IFERROR(__xludf.DUMMYFUNCTION("""COMPUTED_VALUE"""),"GridPower")</f>
        <v>GridPower</v>
      </c>
      <c r="E10051" s="122">
        <f>IFERROR(__xludf.DUMMYFUNCTION("""COMPUTED_VALUE"""),127.02)</f>
        <v>127.02</v>
      </c>
      <c r="F10051" s="122">
        <f>IFERROR(__xludf.DUMMYFUNCTION("""COMPUTED_VALUE"""),0.0038)</f>
        <v>0.0038</v>
      </c>
    </row>
    <row r="10052">
      <c r="A10052" s="131">
        <f>IFERROR(__xludf.DUMMYFUNCTION("""COMPUTED_VALUE"""),46187.70298611111)</f>
        <v>46187.70299</v>
      </c>
      <c r="B10052" s="126">
        <f>IFERROR(__xludf.DUMMYFUNCTION("""COMPUTED_VALUE"""),46187.0)</f>
        <v>46187</v>
      </c>
      <c r="C10052" s="122" t="str">
        <f>IFERROR(__xludf.DUMMYFUNCTION("""COMPUTED_VALUE"""),"HOME")</f>
        <v>HOME</v>
      </c>
      <c r="D10052" s="122" t="str">
        <f>IFERROR(__xludf.DUMMYFUNCTION("""COMPUTED_VALUE"""),"HomeHub")</f>
        <v>HomeHub</v>
      </c>
      <c r="E10052" s="122">
        <f>IFERROR(__xludf.DUMMYFUNCTION("""COMPUTED_VALUE"""),162.91)</f>
        <v>162.91</v>
      </c>
      <c r="F10052" s="122">
        <f>IFERROR(__xludf.DUMMYFUNCTION("""COMPUTED_VALUE"""),-0.003)</f>
        <v>-0.003</v>
      </c>
    </row>
    <row r="10053">
      <c r="A10053" s="131">
        <f>IFERROR(__xludf.DUMMYFUNCTION("""COMPUTED_VALUE"""),46187.70298611111)</f>
        <v>46187.70299</v>
      </c>
      <c r="B10053" s="126">
        <f>IFERROR(__xludf.DUMMYFUNCTION("""COMPUTED_VALUE"""),46187.0)</f>
        <v>46187</v>
      </c>
      <c r="C10053" s="122" t="str">
        <f>IFERROR(__xludf.DUMMYFUNCTION("""COMPUTED_VALUE"""),"RENT")</f>
        <v>RENT</v>
      </c>
      <c r="D10053" s="122" t="str">
        <f>IFERROR(__xludf.DUMMYFUNCTION("""COMPUTED_VALUE"""),"RentRight")</f>
        <v>RentRight</v>
      </c>
      <c r="E10053" s="122">
        <f>IFERROR(__xludf.DUMMYFUNCTION("""COMPUTED_VALUE"""),87.78)</f>
        <v>87.78</v>
      </c>
      <c r="F10053" s="122">
        <f>IFERROR(__xludf.DUMMYFUNCTION("""COMPUTED_VALUE"""),-0.0023)</f>
        <v>-0.0023</v>
      </c>
    </row>
    <row r="10054">
      <c r="A10054" s="131">
        <f>IFERROR(__xludf.DUMMYFUNCTION("""COMPUTED_VALUE"""),46187.70298611111)</f>
        <v>46187.70299</v>
      </c>
      <c r="B10054" s="126">
        <f>IFERROR(__xludf.DUMMYFUNCTION("""COMPUTED_VALUE"""),46187.0)</f>
        <v>46187</v>
      </c>
      <c r="C10054" s="122" t="str">
        <f>IFERROR(__xludf.DUMMYFUNCTION("""COMPUTED_VALUE"""),"MALL")</f>
        <v>MALL</v>
      </c>
      <c r="D10054" s="122" t="str">
        <f>IFERROR(__xludf.DUMMYFUNCTION("""COMPUTED_VALUE"""),"MegaMall")</f>
        <v>MegaMall</v>
      </c>
      <c r="E10054" s="122">
        <f>IFERROR(__xludf.DUMMYFUNCTION("""COMPUTED_VALUE"""),101.99)</f>
        <v>101.99</v>
      </c>
      <c r="F10054" s="122">
        <f>IFERROR(__xludf.DUMMYFUNCTION("""COMPUTED_VALUE"""),0.0011)</f>
        <v>0.0011</v>
      </c>
    </row>
    <row r="10055">
      <c r="A10055" s="131">
        <f>IFERROR(__xludf.DUMMYFUNCTION("""COMPUTED_VALUE"""),46187.70298611111)</f>
        <v>46187.70299</v>
      </c>
      <c r="B10055" s="126">
        <f>IFERROR(__xludf.DUMMYFUNCTION("""COMPUTED_VALUE"""),46187.0)</f>
        <v>46187</v>
      </c>
      <c r="C10055" s="122" t="str">
        <f>IFERROR(__xludf.DUMMYFUNCTION("""COMPUTED_VALUE"""),"HOTL")</f>
        <v>HOTL</v>
      </c>
      <c r="D10055" s="122" t="str">
        <f>IFERROR(__xludf.DUMMYFUNCTION("""COMPUTED_VALUE"""),"HotelHive")</f>
        <v>HotelHive</v>
      </c>
      <c r="E10055" s="122">
        <f>IFERROR(__xludf.DUMMYFUNCTION("""COMPUTED_VALUE"""),118.37)</f>
        <v>118.37</v>
      </c>
      <c r="F10055" s="122">
        <f>IFERROR(__xludf.DUMMYFUNCTION("""COMPUTED_VALUE"""),-0.0051)</f>
        <v>-0.0051</v>
      </c>
    </row>
    <row r="10056">
      <c r="A10056" s="131">
        <f>IFERROR(__xludf.DUMMYFUNCTION("""COMPUTED_VALUE"""),46187.70298611111)</f>
        <v>46187.70299</v>
      </c>
      <c r="B10056" s="126">
        <f>IFERROR(__xludf.DUMMYFUNCTION("""COMPUTED_VALUE"""),46187.0)</f>
        <v>46187</v>
      </c>
      <c r="C10056" s="122" t="str">
        <f>IFERROR(__xludf.DUMMYFUNCTION("""COMPUTED_VALUE"""),"LAND")</f>
        <v>LAND</v>
      </c>
      <c r="D10056" s="122" t="str">
        <f>IFERROR(__xludf.DUMMYFUNCTION("""COMPUTED_VALUE"""),"LandLink")</f>
        <v>LandLink</v>
      </c>
      <c r="E10056" s="122">
        <f>IFERROR(__xludf.DUMMYFUNCTION("""COMPUTED_VALUE"""),187.07)</f>
        <v>187.07</v>
      </c>
      <c r="F10056" s="122">
        <f>IFERROR(__xludf.DUMMYFUNCTION("""COMPUTED_VALUE"""),0.0031)</f>
        <v>0.0031</v>
      </c>
    </row>
    <row r="10057">
      <c r="A10057" s="131">
        <f>IFERROR(__xludf.DUMMYFUNCTION("""COMPUTED_VALUE"""),46187.70298611111)</f>
        <v>46187.70299</v>
      </c>
      <c r="B10057" s="126">
        <f>IFERROR(__xludf.DUMMYFUNCTION("""COMPUTED_VALUE"""),46187.0)</f>
        <v>46187</v>
      </c>
      <c r="C10057" s="122" t="str">
        <f>IFERROR(__xludf.DUMMYFUNCTION("""COMPUTED_VALUE"""),"CARS")</f>
        <v>CARS</v>
      </c>
      <c r="D10057" s="122" t="str">
        <f>IFERROR(__xludf.DUMMYFUNCTION("""COMPUTED_VALUE"""),"AutoArena")</f>
        <v>AutoArena</v>
      </c>
      <c r="E10057" s="122">
        <f>IFERROR(__xludf.DUMMYFUNCTION("""COMPUTED_VALUE"""),79.24)</f>
        <v>79.24</v>
      </c>
      <c r="F10057" s="122">
        <f>IFERROR(__xludf.DUMMYFUNCTION("""COMPUTED_VALUE"""),-0.0036)</f>
        <v>-0.0036</v>
      </c>
    </row>
    <row r="10058">
      <c r="A10058" s="131">
        <f>IFERROR(__xludf.DUMMYFUNCTION("""COMPUTED_VALUE"""),46187.70298611111)</f>
        <v>46187.70299</v>
      </c>
      <c r="B10058" s="126">
        <f>IFERROR(__xludf.DUMMYFUNCTION("""COMPUTED_VALUE"""),46187.0)</f>
        <v>46187</v>
      </c>
      <c r="C10058" s="122" t="str">
        <f>IFERROR(__xludf.DUMMYFUNCTION("""COMPUTED_VALUE"""),"EVGO")</f>
        <v>EVGO</v>
      </c>
      <c r="D10058" s="122" t="str">
        <f>IFERROR(__xludf.DUMMYFUNCTION("""COMPUTED_VALUE"""),"EVGo Motors")</f>
        <v>EVGo Motors</v>
      </c>
      <c r="E10058" s="122">
        <f>IFERROR(__xludf.DUMMYFUNCTION("""COMPUTED_VALUE"""),192.66)</f>
        <v>192.66</v>
      </c>
      <c r="F10058" s="122">
        <f>IFERROR(__xludf.DUMMYFUNCTION("""COMPUTED_VALUE"""),-0.0081)</f>
        <v>-0.0081</v>
      </c>
    </row>
    <row r="10059">
      <c r="A10059" s="131">
        <f>IFERROR(__xludf.DUMMYFUNCTION("""COMPUTED_VALUE"""),46187.70298611111)</f>
        <v>46187.70299</v>
      </c>
      <c r="B10059" s="126">
        <f>IFERROR(__xludf.DUMMYFUNCTION("""COMPUTED_VALUE"""),46187.0)</f>
        <v>46187</v>
      </c>
      <c r="C10059" s="122" t="str">
        <f>IFERROR(__xludf.DUMMYFUNCTION("""COMPUTED_VALUE"""),"TIRE")</f>
        <v>TIRE</v>
      </c>
      <c r="D10059" s="122" t="str">
        <f>IFERROR(__xludf.DUMMYFUNCTION("""COMPUTED_VALUE"""),"TireTown")</f>
        <v>TireTown</v>
      </c>
      <c r="E10059" s="122">
        <f>IFERROR(__xludf.DUMMYFUNCTION("""COMPUTED_VALUE"""),99.32)</f>
        <v>99.32</v>
      </c>
      <c r="F10059" s="122">
        <f>IFERROR(__xludf.DUMMYFUNCTION("""COMPUTED_VALUE"""),0.0028)</f>
        <v>0.0028</v>
      </c>
    </row>
    <row r="10060">
      <c r="A10060" s="131">
        <f>IFERROR(__xludf.DUMMYFUNCTION("""COMPUTED_VALUE"""),46187.70298611111)</f>
        <v>46187.70299</v>
      </c>
      <c r="B10060" s="126">
        <f>IFERROR(__xludf.DUMMYFUNCTION("""COMPUTED_VALUE"""),46187.0)</f>
        <v>46187</v>
      </c>
      <c r="C10060" s="122" t="str">
        <f>IFERROR(__xludf.DUMMYFUNCTION("""COMPUTED_VALUE"""),"BIKE")</f>
        <v>BIKE</v>
      </c>
      <c r="D10060" s="122" t="str">
        <f>IFERROR(__xludf.DUMMYFUNCTION("""COMPUTED_VALUE"""),"BikeBox")</f>
        <v>BikeBox</v>
      </c>
      <c r="E10060" s="122">
        <f>IFERROR(__xludf.DUMMYFUNCTION("""COMPUTED_VALUE"""),50.44)</f>
        <v>50.44</v>
      </c>
      <c r="F10060" s="122">
        <f>IFERROR(__xludf.DUMMYFUNCTION("""COMPUTED_VALUE"""),-0.0028)</f>
        <v>-0.0028</v>
      </c>
    </row>
    <row r="10061">
      <c r="A10061" s="131">
        <f>IFERROR(__xludf.DUMMYFUNCTION("""COMPUTED_VALUE"""),46187.70298611111)</f>
        <v>46187.70299</v>
      </c>
      <c r="B10061" s="126">
        <f>IFERROR(__xludf.DUMMYFUNCTION("""COMPUTED_VALUE"""),46187.0)</f>
        <v>46187</v>
      </c>
      <c r="C10061" s="122" t="str">
        <f>IFERROR(__xludf.DUMMYFUNCTION("""COMPUTED_VALUE"""),"WASH")</f>
        <v>WASH</v>
      </c>
      <c r="D10061" s="122" t="str">
        <f>IFERROR(__xludf.DUMMYFUNCTION("""COMPUTED_VALUE"""),"CarWash Co")</f>
        <v>CarWash Co</v>
      </c>
      <c r="E10061" s="122">
        <f>IFERROR(__xludf.DUMMYFUNCTION("""COMPUTED_VALUE"""),123.88)</f>
        <v>123.88</v>
      </c>
      <c r="F10061" s="122">
        <f>IFERROR(__xludf.DUMMYFUNCTION("""COMPUTED_VALUE"""),2.0E-4)</f>
        <v>0.0002</v>
      </c>
    </row>
    <row r="10062">
      <c r="A10062" s="131">
        <f>IFERROR(__xludf.DUMMYFUNCTION("""COMPUTED_VALUE"""),46187.70298611111)</f>
        <v>46187.70299</v>
      </c>
      <c r="B10062" s="126">
        <f>IFERROR(__xludf.DUMMYFUNCTION("""COMPUTED_VALUE"""),46187.0)</f>
        <v>46187</v>
      </c>
      <c r="C10062" s="122" t="str">
        <f>IFERROR(__xludf.DUMMYFUNCTION("""COMPUTED_VALUE"""),"GBND")</f>
        <v>GBND</v>
      </c>
      <c r="D10062" s="122" t="str">
        <f>IFERROR(__xludf.DUMMYFUNCTION("""COMPUTED_VALUE"""),"Classroom Government Bond")</f>
        <v>Classroom Government Bond</v>
      </c>
      <c r="E10062" s="122">
        <f>IFERROR(__xludf.DUMMYFUNCTION("""COMPUTED_VALUE"""),101.15)</f>
        <v>101.15</v>
      </c>
      <c r="F10062" s="122">
        <f>IFERROR(__xludf.DUMMYFUNCTION("""COMPUTED_VALUE"""),-4.0E-4)</f>
        <v>-0.0004</v>
      </c>
    </row>
    <row r="10063">
      <c r="A10063" s="131">
        <f>IFERROR(__xludf.DUMMYFUNCTION("""COMPUTED_VALUE"""),46187.70298611111)</f>
        <v>46187.70299</v>
      </c>
      <c r="B10063" s="126">
        <f>IFERROR(__xludf.DUMMYFUNCTION("""COMPUTED_VALUE"""),46187.0)</f>
        <v>46187</v>
      </c>
      <c r="C10063" s="122" t="str">
        <f>IFERROR(__xludf.DUMMYFUNCTION("""COMPUTED_VALUE"""),"SBND")</f>
        <v>SBND</v>
      </c>
      <c r="D10063" s="122" t="str">
        <f>IFERROR(__xludf.DUMMYFUNCTION("""COMPUTED_VALUE"""),"School Savings Bond")</f>
        <v>School Savings Bond</v>
      </c>
      <c r="E10063" s="122">
        <f>IFERROR(__xludf.DUMMYFUNCTION("""COMPUTED_VALUE"""),99.17)</f>
        <v>99.17</v>
      </c>
      <c r="F10063" s="122">
        <f>IFERROR(__xludf.DUMMYFUNCTION("""COMPUTED_VALUE"""),-3.0E-4)</f>
        <v>-0.0003</v>
      </c>
    </row>
    <row r="10064">
      <c r="A10064" s="131">
        <f>IFERROR(__xludf.DUMMYFUNCTION("""COMPUTED_VALUE"""),46187.70298611111)</f>
        <v>46187.70299</v>
      </c>
      <c r="B10064" s="126">
        <f>IFERROR(__xludf.DUMMYFUNCTION("""COMPUTED_VALUE"""),46187.0)</f>
        <v>46187</v>
      </c>
      <c r="C10064" s="122" t="str">
        <f>IFERROR(__xludf.DUMMYFUNCTION("""COMPUTED_VALUE"""),"CBND")</f>
        <v>CBND</v>
      </c>
      <c r="D10064" s="122" t="str">
        <f>IFERROR(__xludf.DUMMYFUNCTION("""COMPUTED_VALUE"""),"Corporate Classroom Bond")</f>
        <v>Corporate Classroom Bond</v>
      </c>
      <c r="E10064" s="122">
        <f>IFERROR(__xludf.DUMMYFUNCTION("""COMPUTED_VALUE"""),98.08)</f>
        <v>98.08</v>
      </c>
      <c r="F10064" s="122">
        <f>IFERROR(__xludf.DUMMYFUNCTION("""COMPUTED_VALUE"""),0.0)</f>
        <v>0</v>
      </c>
    </row>
    <row r="10065">
      <c r="A10065" s="131">
        <f>IFERROR(__xludf.DUMMYFUNCTION("""COMPUTED_VALUE"""),46187.70298611111)</f>
        <v>46187.70299</v>
      </c>
      <c r="B10065" s="126">
        <f>IFERROR(__xludf.DUMMYFUNCTION("""COMPUTED_VALUE"""),46187.0)</f>
        <v>46187</v>
      </c>
      <c r="C10065" s="122" t="str">
        <f>IFERROR(__xludf.DUMMYFUNCTION("""COMPUTED_VALUE"""),"TBIL")</f>
        <v>TBIL</v>
      </c>
      <c r="D10065" s="122" t="str">
        <f>IFERROR(__xludf.DUMMYFUNCTION("""COMPUTED_VALUE"""),"Treasury Bill")</f>
        <v>Treasury Bill</v>
      </c>
      <c r="E10065" s="122">
        <f>IFERROR(__xludf.DUMMYFUNCTION("""COMPUTED_VALUE"""),97.88)</f>
        <v>97.88</v>
      </c>
      <c r="F10065" s="122">
        <f>IFERROR(__xludf.DUMMYFUNCTION("""COMPUTED_VALUE"""),3.0E-4)</f>
        <v>0.0003</v>
      </c>
    </row>
    <row r="10066">
      <c r="A10066" s="131">
        <f>IFERROR(__xludf.DUMMYFUNCTION("""COMPUTED_VALUE"""),46187.70298611111)</f>
        <v>46187.70299</v>
      </c>
      <c r="B10066" s="126">
        <f>IFERROR(__xludf.DUMMYFUNCTION("""COMPUTED_VALUE"""),46187.0)</f>
        <v>46187</v>
      </c>
      <c r="C10066" s="122" t="str">
        <f>IFERROR(__xludf.DUMMYFUNCTION("""COMPUTED_VALUE"""),"IBND")</f>
        <v>IBND</v>
      </c>
      <c r="D10066" s="122" t="str">
        <f>IFERROR(__xludf.DUMMYFUNCTION("""COMPUTED_VALUE"""),"Inflation Protected Bond")</f>
        <v>Inflation Protected Bond</v>
      </c>
      <c r="E10066" s="122">
        <f>IFERROR(__xludf.DUMMYFUNCTION("""COMPUTED_VALUE"""),100.59)</f>
        <v>100.59</v>
      </c>
      <c r="F10066" s="122">
        <f>IFERROR(__xludf.DUMMYFUNCTION("""COMPUTED_VALUE"""),-3.0E-4)</f>
        <v>-0.0003</v>
      </c>
    </row>
    <row r="10067">
      <c r="A10067" s="131">
        <f>IFERROR(__xludf.DUMMYFUNCTION("""COMPUTED_VALUE"""),46187.706400462965)</f>
        <v>46187.7064</v>
      </c>
      <c r="B10067" s="126">
        <f>IFERROR(__xludf.DUMMYFUNCTION("""COMPUTED_VALUE"""),46187.0)</f>
        <v>46187</v>
      </c>
      <c r="C10067" s="122" t="str">
        <f>IFERROR(__xludf.DUMMYFUNCTION("""COMPUTED_VALUE"""),"SNAX")</f>
        <v>SNAX</v>
      </c>
      <c r="D10067" s="122" t="str">
        <f>IFERROR(__xludf.DUMMYFUNCTION("""COMPUTED_VALUE"""),"MICA Snacks")</f>
        <v>MICA Snacks</v>
      </c>
      <c r="E10067" s="122">
        <f>IFERROR(__xludf.DUMMYFUNCTION("""COMPUTED_VALUE"""),122.55)</f>
        <v>122.55</v>
      </c>
      <c r="F10067" s="122">
        <f>IFERROR(__xludf.DUMMYFUNCTION("""COMPUTED_VALUE"""),-3.0E-4)</f>
        <v>-0.0003</v>
      </c>
    </row>
    <row r="10068">
      <c r="A10068" s="131">
        <f>IFERROR(__xludf.DUMMYFUNCTION("""COMPUTED_VALUE"""),46187.706400462965)</f>
        <v>46187.7064</v>
      </c>
      <c r="B10068" s="126">
        <f>IFERROR(__xludf.DUMMYFUNCTION("""COMPUTED_VALUE"""),46187.0)</f>
        <v>46187</v>
      </c>
      <c r="C10068" s="122" t="str">
        <f>IFERROR(__xludf.DUMMYFUNCTION("""COMPUTED_VALUE"""),"RAMN")</f>
        <v>RAMN</v>
      </c>
      <c r="D10068" s="122" t="str">
        <f>IFERROR(__xludf.DUMMYFUNCTION("""COMPUTED_VALUE"""),"Ramen Republic")</f>
        <v>Ramen Republic</v>
      </c>
      <c r="E10068" s="122">
        <f>IFERROR(__xludf.DUMMYFUNCTION("""COMPUTED_VALUE"""),58.7)</f>
        <v>58.7</v>
      </c>
      <c r="F10068" s="122">
        <f>IFERROR(__xludf.DUMMYFUNCTION("""COMPUTED_VALUE"""),3.0E-4)</f>
        <v>0.0003</v>
      </c>
    </row>
    <row r="10069">
      <c r="A10069" s="131">
        <f>IFERROR(__xludf.DUMMYFUNCTION("""COMPUTED_VALUE"""),46187.706400462965)</f>
        <v>46187.7064</v>
      </c>
      <c r="B10069" s="126">
        <f>IFERROR(__xludf.DUMMYFUNCTION("""COMPUTED_VALUE"""),46187.0)</f>
        <v>46187</v>
      </c>
      <c r="C10069" s="122" t="str">
        <f>IFERROR(__xludf.DUMMYFUNCTION("""COMPUTED_VALUE"""),"COLA")</f>
        <v>COLA</v>
      </c>
      <c r="D10069" s="122" t="str">
        <f>IFERROR(__xludf.DUMMYFUNCTION("""COMPUTED_VALUE"""),"K-Pop Cola")</f>
        <v>K-Pop Cola</v>
      </c>
      <c r="E10069" s="122">
        <f>IFERROR(__xludf.DUMMYFUNCTION("""COMPUTED_VALUE"""),116.04)</f>
        <v>116.04</v>
      </c>
      <c r="F10069" s="122">
        <f>IFERROR(__xludf.DUMMYFUNCTION("""COMPUTED_VALUE"""),0.0017)</f>
        <v>0.0017</v>
      </c>
    </row>
    <row r="10070">
      <c r="A10070" s="131">
        <f>IFERROR(__xludf.DUMMYFUNCTION("""COMPUTED_VALUE"""),46187.706400462965)</f>
        <v>46187.7064</v>
      </c>
      <c r="B10070" s="126">
        <f>IFERROR(__xludf.DUMMYFUNCTION("""COMPUTED_VALUE"""),46187.0)</f>
        <v>46187</v>
      </c>
      <c r="C10070" s="122" t="str">
        <f>IFERROR(__xludf.DUMMYFUNCTION("""COMPUTED_VALUE"""),"CHIP")</f>
        <v>CHIP</v>
      </c>
      <c r="D10070" s="122" t="str">
        <f>IFERROR(__xludf.DUMMYFUNCTION("""COMPUTED_VALUE"""),"Chip Empire")</f>
        <v>Chip Empire</v>
      </c>
      <c r="E10070" s="122">
        <f>IFERROR(__xludf.DUMMYFUNCTION("""COMPUTED_VALUE"""),81.96)</f>
        <v>81.96</v>
      </c>
      <c r="F10070" s="122">
        <f>IFERROR(__xludf.DUMMYFUNCTION("""COMPUTED_VALUE"""),-0.0081)</f>
        <v>-0.0081</v>
      </c>
    </row>
    <row r="10071">
      <c r="A10071" s="131">
        <f>IFERROR(__xludf.DUMMYFUNCTION("""COMPUTED_VALUE"""),46187.706400462965)</f>
        <v>46187.7064</v>
      </c>
      <c r="B10071" s="126">
        <f>IFERROR(__xludf.DUMMYFUNCTION("""COMPUTED_VALUE"""),46187.0)</f>
        <v>46187</v>
      </c>
      <c r="C10071" s="122" t="str">
        <f>IFERROR(__xludf.DUMMYFUNCTION("""COMPUTED_VALUE"""),"CAND")</f>
        <v>CAND</v>
      </c>
      <c r="D10071" s="122" t="str">
        <f>IFERROR(__xludf.DUMMYFUNCTION("""COMPUTED_VALUE"""),"Candy Capital")</f>
        <v>Candy Capital</v>
      </c>
      <c r="E10071" s="122">
        <f>IFERROR(__xludf.DUMMYFUNCTION("""COMPUTED_VALUE"""),77.29)</f>
        <v>77.29</v>
      </c>
      <c r="F10071" s="122">
        <f>IFERROR(__xludf.DUMMYFUNCTION("""COMPUTED_VALUE"""),0.0034)</f>
        <v>0.0034</v>
      </c>
    </row>
    <row r="10072">
      <c r="A10072" s="131">
        <f>IFERROR(__xludf.DUMMYFUNCTION("""COMPUTED_VALUE"""),46187.706400462965)</f>
        <v>46187.7064</v>
      </c>
      <c r="B10072" s="126">
        <f>IFERROR(__xludf.DUMMYFUNCTION("""COMPUTED_VALUE"""),46187.0)</f>
        <v>46187</v>
      </c>
      <c r="C10072" s="122" t="str">
        <f>IFERROR(__xludf.DUMMYFUNCTION("""COMPUTED_VALUE"""),"TECH")</f>
        <v>TECH</v>
      </c>
      <c r="D10072" s="122" t="str">
        <f>IFERROR(__xludf.DUMMYFUNCTION("""COMPUTED_VALUE"""),"Dragon Tech")</f>
        <v>Dragon Tech</v>
      </c>
      <c r="E10072" s="122">
        <f>IFERROR(__xludf.DUMMYFUNCTION("""COMPUTED_VALUE"""),246.95)</f>
        <v>246.95</v>
      </c>
      <c r="F10072" s="122">
        <f>IFERROR(__xludf.DUMMYFUNCTION("""COMPUTED_VALUE"""),-0.0076)</f>
        <v>-0.0076</v>
      </c>
    </row>
    <row r="10073">
      <c r="A10073" s="131">
        <f>IFERROR(__xludf.DUMMYFUNCTION("""COMPUTED_VALUE"""),46187.706400462965)</f>
        <v>46187.7064</v>
      </c>
      <c r="B10073" s="126">
        <f>IFERROR(__xludf.DUMMYFUNCTION("""COMPUTED_VALUE"""),46187.0)</f>
        <v>46187</v>
      </c>
      <c r="C10073" s="122" t="str">
        <f>IFERROR(__xludf.DUMMYFUNCTION("""COMPUTED_VALUE"""),"AIBO")</f>
        <v>AIBO</v>
      </c>
      <c r="D10073" s="122" t="str">
        <f>IFERROR(__xludf.DUMMYFUNCTION("""COMPUTED_VALUE"""),"Homework AI")</f>
        <v>Homework AI</v>
      </c>
      <c r="E10073" s="122">
        <f>IFERROR(__xludf.DUMMYFUNCTION("""COMPUTED_VALUE"""),194.32)</f>
        <v>194.32</v>
      </c>
      <c r="F10073" s="122">
        <f>IFERROR(__xludf.DUMMYFUNCTION("""COMPUTED_VALUE"""),0.0053)</f>
        <v>0.0053</v>
      </c>
    </row>
    <row r="10074">
      <c r="A10074" s="131">
        <f>IFERROR(__xludf.DUMMYFUNCTION("""COMPUTED_VALUE"""),46187.706400462965)</f>
        <v>46187.7064</v>
      </c>
      <c r="B10074" s="126">
        <f>IFERROR(__xludf.DUMMYFUNCTION("""COMPUTED_VALUE"""),46187.0)</f>
        <v>46187</v>
      </c>
      <c r="C10074" s="122" t="str">
        <f>IFERROR(__xludf.DUMMYFUNCTION("""COMPUTED_VALUE"""),"GAME")</f>
        <v>GAME</v>
      </c>
      <c r="D10074" s="122" t="str">
        <f>IFERROR(__xludf.DUMMYFUNCTION("""COMPUTED_VALUE"""),"GameBox Media")</f>
        <v>GameBox Media</v>
      </c>
      <c r="E10074" s="122">
        <f>IFERROR(__xludf.DUMMYFUNCTION("""COMPUTED_VALUE"""),103.19)</f>
        <v>103.19</v>
      </c>
      <c r="F10074" s="122">
        <f>IFERROR(__xludf.DUMMYFUNCTION("""COMPUTED_VALUE"""),-0.0058)</f>
        <v>-0.0058</v>
      </c>
    </row>
    <row r="10075">
      <c r="A10075" s="131">
        <f>IFERROR(__xludf.DUMMYFUNCTION("""COMPUTED_VALUE"""),46187.706400462965)</f>
        <v>46187.7064</v>
      </c>
      <c r="B10075" s="126">
        <f>IFERROR(__xludf.DUMMYFUNCTION("""COMPUTED_VALUE"""),46187.0)</f>
        <v>46187</v>
      </c>
      <c r="C10075" s="122" t="str">
        <f>IFERROR(__xludf.DUMMYFUNCTION("""COMPUTED_VALUE"""),"VRSE")</f>
        <v>VRSE</v>
      </c>
      <c r="D10075" s="122" t="str">
        <f>IFERROR(__xludf.DUMMYFUNCTION("""COMPUTED_VALUE"""),"VerseVR")</f>
        <v>VerseVR</v>
      </c>
      <c r="E10075" s="122">
        <f>IFERROR(__xludf.DUMMYFUNCTION("""COMPUTED_VALUE"""),146.1)</f>
        <v>146.1</v>
      </c>
      <c r="F10075" s="122">
        <f>IFERROR(__xludf.DUMMYFUNCTION("""COMPUTED_VALUE"""),-0.0065)</f>
        <v>-0.0065</v>
      </c>
    </row>
    <row r="10076">
      <c r="A10076" s="131">
        <f>IFERROR(__xludf.DUMMYFUNCTION("""COMPUTED_VALUE"""),46187.706400462965)</f>
        <v>46187.7064</v>
      </c>
      <c r="B10076" s="126">
        <f>IFERROR(__xludf.DUMMYFUNCTION("""COMPUTED_VALUE"""),46187.0)</f>
        <v>46187</v>
      </c>
      <c r="C10076" s="122" t="str">
        <f>IFERROR(__xludf.DUMMYFUNCTION("""COMPUTED_VALUE"""),"BYTE")</f>
        <v>BYTE</v>
      </c>
      <c r="D10076" s="122" t="str">
        <f>IFERROR(__xludf.DUMMYFUNCTION("""COMPUTED_VALUE"""),"ByteWorks")</f>
        <v>ByteWorks</v>
      </c>
      <c r="E10076" s="122">
        <f>IFERROR(__xludf.DUMMYFUNCTION("""COMPUTED_VALUE"""),110.27)</f>
        <v>110.27</v>
      </c>
      <c r="F10076" s="122">
        <f>IFERROR(__xludf.DUMMYFUNCTION("""COMPUTED_VALUE"""),-0.0093)</f>
        <v>-0.0093</v>
      </c>
    </row>
    <row r="10077">
      <c r="A10077" s="131">
        <f>IFERROR(__xludf.DUMMYFUNCTION("""COMPUTED_VALUE"""),46187.706400462965)</f>
        <v>46187.7064</v>
      </c>
      <c r="B10077" s="126">
        <f>IFERROR(__xludf.DUMMYFUNCTION("""COMPUTED_VALUE"""),46187.0)</f>
        <v>46187</v>
      </c>
      <c r="C10077" s="122" t="str">
        <f>IFERROR(__xludf.DUMMYFUNCTION("""COMPUTED_VALUE"""),"BANK")</f>
        <v>BANK</v>
      </c>
      <c r="D10077" s="122" t="str">
        <f>IFERROR(__xludf.DUMMYFUNCTION("""COMPUTED_VALUE"""),"Tiger Bank")</f>
        <v>Tiger Bank</v>
      </c>
      <c r="E10077" s="122">
        <f>IFERROR(__xludf.DUMMYFUNCTION("""COMPUTED_VALUE"""),133.21)</f>
        <v>133.21</v>
      </c>
      <c r="F10077" s="122">
        <f>IFERROR(__xludf.DUMMYFUNCTION("""COMPUTED_VALUE"""),-6.0E-4)</f>
        <v>-0.0006</v>
      </c>
    </row>
    <row r="10078">
      <c r="A10078" s="131">
        <f>IFERROR(__xludf.DUMMYFUNCTION("""COMPUTED_VALUE"""),46187.706400462965)</f>
        <v>46187.7064</v>
      </c>
      <c r="B10078" s="126">
        <f>IFERROR(__xludf.DUMMYFUNCTION("""COMPUTED_VALUE"""),46187.0)</f>
        <v>46187</v>
      </c>
      <c r="C10078" s="122" t="str">
        <f>IFERROR(__xludf.DUMMYFUNCTION("""COMPUTED_VALUE"""),"CRED")</f>
        <v>CRED</v>
      </c>
      <c r="D10078" s="122" t="str">
        <f>IFERROR(__xludf.DUMMYFUNCTION("""COMPUTED_VALUE"""),"Credit Castle")</f>
        <v>Credit Castle</v>
      </c>
      <c r="E10078" s="122">
        <f>IFERROR(__xludf.DUMMYFUNCTION("""COMPUTED_VALUE"""),67.35)</f>
        <v>67.35</v>
      </c>
      <c r="F10078" s="122">
        <f>IFERROR(__xludf.DUMMYFUNCTION("""COMPUTED_VALUE"""),-0.0036)</f>
        <v>-0.0036</v>
      </c>
    </row>
    <row r="10079">
      <c r="A10079" s="131">
        <f>IFERROR(__xludf.DUMMYFUNCTION("""COMPUTED_VALUE"""),46187.706400462965)</f>
        <v>46187.7064</v>
      </c>
      <c r="B10079" s="126">
        <f>IFERROR(__xludf.DUMMYFUNCTION("""COMPUTED_VALUE"""),46187.0)</f>
        <v>46187</v>
      </c>
      <c r="C10079" s="122" t="str">
        <f>IFERROR(__xludf.DUMMYFUNCTION("""COMPUTED_VALUE"""),"BOND")</f>
        <v>BOND</v>
      </c>
      <c r="D10079" s="122" t="str">
        <f>IFERROR(__xludf.DUMMYFUNCTION("""COMPUTED_VALUE"""),"BondBridge")</f>
        <v>BondBridge</v>
      </c>
      <c r="E10079" s="122">
        <f>IFERROR(__xludf.DUMMYFUNCTION("""COMPUTED_VALUE"""),108.25)</f>
        <v>108.25</v>
      </c>
      <c r="F10079" s="122">
        <f>IFERROR(__xludf.DUMMYFUNCTION("""COMPUTED_VALUE"""),0.0017)</f>
        <v>0.0017</v>
      </c>
    </row>
    <row r="10080">
      <c r="A10080" s="131">
        <f>IFERROR(__xludf.DUMMYFUNCTION("""COMPUTED_VALUE"""),46187.706400462965)</f>
        <v>46187.7064</v>
      </c>
      <c r="B10080" s="126">
        <f>IFERROR(__xludf.DUMMYFUNCTION("""COMPUTED_VALUE"""),46187.0)</f>
        <v>46187</v>
      </c>
      <c r="C10080" s="122" t="str">
        <f>IFERROR(__xludf.DUMMYFUNCTION("""COMPUTED_VALUE"""),"INSR")</f>
        <v>INSR</v>
      </c>
      <c r="D10080" s="122" t="str">
        <f>IFERROR(__xludf.DUMMYFUNCTION("""COMPUTED_VALUE"""),"Shield Insurance")</f>
        <v>Shield Insurance</v>
      </c>
      <c r="E10080" s="122">
        <f>IFERROR(__xludf.DUMMYFUNCTION("""COMPUTED_VALUE"""),158.44)</f>
        <v>158.44</v>
      </c>
      <c r="F10080" s="122">
        <f>IFERROR(__xludf.DUMMYFUNCTION("""COMPUTED_VALUE"""),-0.0019)</f>
        <v>-0.0019</v>
      </c>
    </row>
    <row r="10081">
      <c r="A10081" s="131">
        <f>IFERROR(__xludf.DUMMYFUNCTION("""COMPUTED_VALUE"""),46187.706400462965)</f>
        <v>46187.7064</v>
      </c>
      <c r="B10081" s="126">
        <f>IFERROR(__xludf.DUMMYFUNCTION("""COMPUTED_VALUE"""),46187.0)</f>
        <v>46187</v>
      </c>
      <c r="C10081" s="122" t="str">
        <f>IFERROR(__xludf.DUMMYFUNCTION("""COMPUTED_VALUE"""),"LOAN")</f>
        <v>LOAN</v>
      </c>
      <c r="D10081" s="122" t="str">
        <f>IFERROR(__xludf.DUMMYFUNCTION("""COMPUTED_VALUE"""),"LoanLab")</f>
        <v>LoanLab</v>
      </c>
      <c r="E10081" s="122">
        <f>IFERROR(__xludf.DUMMYFUNCTION("""COMPUTED_VALUE"""),76.99)</f>
        <v>76.99</v>
      </c>
      <c r="F10081" s="122">
        <f>IFERROR(__xludf.DUMMYFUNCTION("""COMPUTED_VALUE"""),0.0076)</f>
        <v>0.0076</v>
      </c>
    </row>
    <row r="10082">
      <c r="A10082" s="131">
        <f>IFERROR(__xludf.DUMMYFUNCTION("""COMPUTED_VALUE"""),46187.706400462965)</f>
        <v>46187.7064</v>
      </c>
      <c r="B10082" s="126">
        <f>IFERROR(__xludf.DUMMYFUNCTION("""COMPUTED_VALUE"""),46187.0)</f>
        <v>46187</v>
      </c>
      <c r="C10082" s="122" t="str">
        <f>IFERROR(__xludf.DUMMYFUNCTION("""COMPUTED_VALUE"""),"LUXE")</f>
        <v>LUXE</v>
      </c>
      <c r="D10082" s="122" t="str">
        <f>IFERROR(__xludf.DUMMYFUNCTION("""COMPUTED_VALUE"""),"Luxury Locker")</f>
        <v>Luxury Locker</v>
      </c>
      <c r="E10082" s="122">
        <f>IFERROR(__xludf.DUMMYFUNCTION("""COMPUTED_VALUE"""),272.26)</f>
        <v>272.26</v>
      </c>
      <c r="F10082" s="122">
        <f>IFERROR(__xludf.DUMMYFUNCTION("""COMPUTED_VALUE"""),0.0011)</f>
        <v>0.0011</v>
      </c>
    </row>
    <row r="10083">
      <c r="A10083" s="131">
        <f>IFERROR(__xludf.DUMMYFUNCTION("""COMPUTED_VALUE"""),46187.706400462965)</f>
        <v>46187.7064</v>
      </c>
      <c r="B10083" s="126">
        <f>IFERROR(__xludf.DUMMYFUNCTION("""COMPUTED_VALUE"""),46187.0)</f>
        <v>46187</v>
      </c>
      <c r="C10083" s="122" t="str">
        <f>IFERROR(__xludf.DUMMYFUNCTION("""COMPUTED_VALUE"""),"DRIP")</f>
        <v>DRIP</v>
      </c>
      <c r="D10083" s="122" t="str">
        <f>IFERROR(__xludf.DUMMYFUNCTION("""COMPUTED_VALUE"""),"Drip Streetwear")</f>
        <v>Drip Streetwear</v>
      </c>
      <c r="E10083" s="122">
        <f>IFERROR(__xludf.DUMMYFUNCTION("""COMPUTED_VALUE"""),191.93)</f>
        <v>191.93</v>
      </c>
      <c r="F10083" s="122">
        <f>IFERROR(__xludf.DUMMYFUNCTION("""COMPUTED_VALUE"""),0.0082)</f>
        <v>0.0082</v>
      </c>
    </row>
    <row r="10084">
      <c r="A10084" s="131">
        <f>IFERROR(__xludf.DUMMYFUNCTION("""COMPUTED_VALUE"""),46187.706400462965)</f>
        <v>46187.7064</v>
      </c>
      <c r="B10084" s="126">
        <f>IFERROR(__xludf.DUMMYFUNCTION("""COMPUTED_VALUE"""),46187.0)</f>
        <v>46187</v>
      </c>
      <c r="C10084" s="122" t="str">
        <f>IFERROR(__xludf.DUMMYFUNCTION("""COMPUTED_VALUE"""),"KICK")</f>
        <v>KICK</v>
      </c>
      <c r="D10084" s="122" t="str">
        <f>IFERROR(__xludf.DUMMYFUNCTION("""COMPUTED_VALUE"""),"KickDrop Sneakers")</f>
        <v>KickDrop Sneakers</v>
      </c>
      <c r="E10084" s="122">
        <f>IFERROR(__xludf.DUMMYFUNCTION("""COMPUTED_VALUE"""),169.19)</f>
        <v>169.19</v>
      </c>
      <c r="F10084" s="122">
        <f>IFERROR(__xludf.DUMMYFUNCTION("""COMPUTED_VALUE"""),-0.0034)</f>
        <v>-0.0034</v>
      </c>
    </row>
    <row r="10085">
      <c r="A10085" s="131">
        <f>IFERROR(__xludf.DUMMYFUNCTION("""COMPUTED_VALUE"""),46187.706400462965)</f>
        <v>46187.7064</v>
      </c>
      <c r="B10085" s="126">
        <f>IFERROR(__xludf.DUMMYFUNCTION("""COMPUTED_VALUE"""),46187.0)</f>
        <v>46187</v>
      </c>
      <c r="C10085" s="122" t="str">
        <f>IFERROR(__xludf.DUMMYFUNCTION("""COMPUTED_VALUE"""),"GLAM")</f>
        <v>GLAM</v>
      </c>
      <c r="D10085" s="122" t="str">
        <f>IFERROR(__xludf.DUMMYFUNCTION("""COMPUTED_VALUE"""),"Glow Cosmetics")</f>
        <v>Glow Cosmetics</v>
      </c>
      <c r="E10085" s="122">
        <f>IFERROR(__xludf.DUMMYFUNCTION("""COMPUTED_VALUE"""),113.44)</f>
        <v>113.44</v>
      </c>
      <c r="F10085" s="122">
        <f>IFERROR(__xludf.DUMMYFUNCTION("""COMPUTED_VALUE"""),0.0042)</f>
        <v>0.0042</v>
      </c>
    </row>
    <row r="10086">
      <c r="A10086" s="131">
        <f>IFERROR(__xludf.DUMMYFUNCTION("""COMPUTED_VALUE"""),46187.706400462965)</f>
        <v>46187.7064</v>
      </c>
      <c r="B10086" s="126">
        <f>IFERROR(__xludf.DUMMYFUNCTION("""COMPUTED_VALUE"""),46187.0)</f>
        <v>46187</v>
      </c>
      <c r="C10086" s="122" t="str">
        <f>IFERROR(__xludf.DUMMYFUNCTION("""COMPUTED_VALUE"""),"BAGG")</f>
        <v>BAGG</v>
      </c>
      <c r="D10086" s="122" t="str">
        <f>IFERROR(__xludf.DUMMYFUNCTION("""COMPUTED_VALUE"""),"BagVault")</f>
        <v>BagVault</v>
      </c>
      <c r="E10086" s="122">
        <f>IFERROR(__xludf.DUMMYFUNCTION("""COMPUTED_VALUE"""),281.53)</f>
        <v>281.53</v>
      </c>
      <c r="F10086" s="122">
        <f>IFERROR(__xludf.DUMMYFUNCTION("""COMPUTED_VALUE"""),0.0016)</f>
        <v>0.0016</v>
      </c>
    </row>
    <row r="10087">
      <c r="A10087" s="131">
        <f>IFERROR(__xludf.DUMMYFUNCTION("""COMPUTED_VALUE"""),46187.706400462965)</f>
        <v>46187.7064</v>
      </c>
      <c r="B10087" s="126">
        <f>IFERROR(__xludf.DUMMYFUNCTION("""COMPUTED_VALUE"""),46187.0)</f>
        <v>46187</v>
      </c>
      <c r="C10087" s="122" t="str">
        <f>IFERROR(__xludf.DUMMYFUNCTION("""COMPUTED_VALUE"""),"FAST")</f>
        <v>FAST</v>
      </c>
      <c r="D10087" s="122" t="str">
        <f>IFERROR(__xludf.DUMMYFUNCTION("""COMPUTED_VALUE"""),"Flash Logistics")</f>
        <v>Flash Logistics</v>
      </c>
      <c r="E10087" s="122">
        <f>IFERROR(__xludf.DUMMYFUNCTION("""COMPUTED_VALUE"""),111.39)</f>
        <v>111.39</v>
      </c>
      <c r="F10087" s="122">
        <f>IFERROR(__xludf.DUMMYFUNCTION("""COMPUTED_VALUE"""),0.0033)</f>
        <v>0.0033</v>
      </c>
    </row>
    <row r="10088">
      <c r="A10088" s="131">
        <f>IFERROR(__xludf.DUMMYFUNCTION("""COMPUTED_VALUE"""),46187.706400462965)</f>
        <v>46187.7064</v>
      </c>
      <c r="B10088" s="126">
        <f>IFERROR(__xludf.DUMMYFUNCTION("""COMPUTED_VALUE"""),46187.0)</f>
        <v>46187</v>
      </c>
      <c r="C10088" s="122" t="str">
        <f>IFERROR(__xludf.DUMMYFUNCTION("""COMPUTED_VALUE"""),"SHIP")</f>
        <v>SHIP</v>
      </c>
      <c r="D10088" s="122" t="str">
        <f>IFERROR(__xludf.DUMMYFUNCTION("""COMPUTED_VALUE"""),"Seoul Shipping")</f>
        <v>Seoul Shipping</v>
      </c>
      <c r="E10088" s="122">
        <f>IFERROR(__xludf.DUMMYFUNCTION("""COMPUTED_VALUE"""),132.25)</f>
        <v>132.25</v>
      </c>
      <c r="F10088" s="122">
        <f>IFERROR(__xludf.DUMMYFUNCTION("""COMPUTED_VALUE"""),-0.0067)</f>
        <v>-0.0067</v>
      </c>
    </row>
    <row r="10089">
      <c r="A10089" s="131">
        <f>IFERROR(__xludf.DUMMYFUNCTION("""COMPUTED_VALUE"""),46187.706400462965)</f>
        <v>46187.7064</v>
      </c>
      <c r="B10089" s="126">
        <f>IFERROR(__xludf.DUMMYFUNCTION("""COMPUTED_VALUE"""),46187.0)</f>
        <v>46187</v>
      </c>
      <c r="C10089" s="122" t="str">
        <f>IFERROR(__xludf.DUMMYFUNCTION("""COMPUTED_VALUE"""),"DRON")</f>
        <v>DRON</v>
      </c>
      <c r="D10089" s="122" t="str">
        <f>IFERROR(__xludf.DUMMYFUNCTION("""COMPUTED_VALUE"""),"DroneDrop")</f>
        <v>DroneDrop</v>
      </c>
      <c r="E10089" s="122">
        <f>IFERROR(__xludf.DUMMYFUNCTION("""COMPUTED_VALUE"""),121.18)</f>
        <v>121.18</v>
      </c>
      <c r="F10089" s="122">
        <f>IFERROR(__xludf.DUMMYFUNCTION("""COMPUTED_VALUE"""),-0.0104)</f>
        <v>-0.0104</v>
      </c>
    </row>
    <row r="10090">
      <c r="A10090" s="131">
        <f>IFERROR(__xludf.DUMMYFUNCTION("""COMPUTED_VALUE"""),46187.706400462965)</f>
        <v>46187.7064</v>
      </c>
      <c r="B10090" s="126">
        <f>IFERROR(__xludf.DUMMYFUNCTION("""COMPUTED_VALUE"""),46187.0)</f>
        <v>46187</v>
      </c>
      <c r="C10090" s="122" t="str">
        <f>IFERROR(__xludf.DUMMYFUNCTION("""COMPUTED_VALUE"""),"RIDE")</f>
        <v>RIDE</v>
      </c>
      <c r="D10090" s="122" t="str">
        <f>IFERROR(__xludf.DUMMYFUNCTION("""COMPUTED_VALUE"""),"QuickRide")</f>
        <v>QuickRide</v>
      </c>
      <c r="E10090" s="122">
        <f>IFERROR(__xludf.DUMMYFUNCTION("""COMPUTED_VALUE"""),98.17)</f>
        <v>98.17</v>
      </c>
      <c r="F10090" s="122">
        <f>IFERROR(__xludf.DUMMYFUNCTION("""COMPUTED_VALUE"""),-0.0066)</f>
        <v>-0.0066</v>
      </c>
    </row>
    <row r="10091">
      <c r="A10091" s="131">
        <f>IFERROR(__xludf.DUMMYFUNCTION("""COMPUTED_VALUE"""),46187.706400462965)</f>
        <v>46187.7064</v>
      </c>
      <c r="B10091" s="126">
        <f>IFERROR(__xludf.DUMMYFUNCTION("""COMPUTED_VALUE"""),46187.0)</f>
        <v>46187</v>
      </c>
      <c r="C10091" s="122" t="str">
        <f>IFERROR(__xludf.DUMMYFUNCTION("""COMPUTED_VALUE"""),"RAIL")</f>
        <v>RAIL</v>
      </c>
      <c r="D10091" s="122" t="str">
        <f>IFERROR(__xludf.DUMMYFUNCTION("""COMPUTED_VALUE"""),"MetroRail Corp")</f>
        <v>MetroRail Corp</v>
      </c>
      <c r="E10091" s="122">
        <f>IFERROR(__xludf.DUMMYFUNCTION("""COMPUTED_VALUE"""),129.88)</f>
        <v>129.88</v>
      </c>
      <c r="F10091" s="122">
        <f>IFERROR(__xludf.DUMMYFUNCTION("""COMPUTED_VALUE"""),-2.0E-4)</f>
        <v>-0.0002</v>
      </c>
    </row>
    <row r="10092">
      <c r="A10092" s="131">
        <f>IFERROR(__xludf.DUMMYFUNCTION("""COMPUTED_VALUE"""),46187.706400462965)</f>
        <v>46187.7064</v>
      </c>
      <c r="B10092" s="126">
        <f>IFERROR(__xludf.DUMMYFUNCTION("""COMPUTED_VALUE"""),46187.0)</f>
        <v>46187</v>
      </c>
      <c r="C10092" s="122" t="str">
        <f>IFERROR(__xludf.DUMMYFUNCTION("""COMPUTED_VALUE"""),"MEDX")</f>
        <v>MEDX</v>
      </c>
      <c r="D10092" s="122" t="str">
        <f>IFERROR(__xludf.DUMMYFUNCTION("""COMPUTED_VALUE"""),"MediCore")</f>
        <v>MediCore</v>
      </c>
      <c r="E10092" s="122">
        <f>IFERROR(__xludf.DUMMYFUNCTION("""COMPUTED_VALUE"""),139.38)</f>
        <v>139.38</v>
      </c>
      <c r="F10092" s="122">
        <f>IFERROR(__xludf.DUMMYFUNCTION("""COMPUTED_VALUE"""),0.0024)</f>
        <v>0.0024</v>
      </c>
    </row>
    <row r="10093">
      <c r="A10093" s="131">
        <f>IFERROR(__xludf.DUMMYFUNCTION("""COMPUTED_VALUE"""),46187.706400462965)</f>
        <v>46187.7064</v>
      </c>
      <c r="B10093" s="126">
        <f>IFERROR(__xludf.DUMMYFUNCTION("""COMPUTED_VALUE"""),46187.0)</f>
        <v>46187</v>
      </c>
      <c r="C10093" s="122" t="str">
        <f>IFERROR(__xludf.DUMMYFUNCTION("""COMPUTED_VALUE"""),"GYMX")</f>
        <v>GYMX</v>
      </c>
      <c r="D10093" s="122" t="str">
        <f>IFERROR(__xludf.DUMMYFUNCTION("""COMPUTED_VALUE"""),"GymX Fitness")</f>
        <v>GymX Fitness</v>
      </c>
      <c r="E10093" s="122">
        <f>IFERROR(__xludf.DUMMYFUNCTION("""COMPUTED_VALUE"""),80.33)</f>
        <v>80.33</v>
      </c>
      <c r="F10093" s="122">
        <f>IFERROR(__xludf.DUMMYFUNCTION("""COMPUTED_VALUE"""),-0.0061)</f>
        <v>-0.0061</v>
      </c>
    </row>
    <row r="10094">
      <c r="A10094" s="131">
        <f>IFERROR(__xludf.DUMMYFUNCTION("""COMPUTED_VALUE"""),46187.706400462965)</f>
        <v>46187.7064</v>
      </c>
      <c r="B10094" s="126">
        <f>IFERROR(__xludf.DUMMYFUNCTION("""COMPUTED_VALUE"""),46187.0)</f>
        <v>46187</v>
      </c>
      <c r="C10094" s="122" t="str">
        <f>IFERROR(__xludf.DUMMYFUNCTION("""COMPUTED_VALUE"""),"VITA")</f>
        <v>VITA</v>
      </c>
      <c r="D10094" s="122" t="str">
        <f>IFERROR(__xludf.DUMMYFUNCTION("""COMPUTED_VALUE"""),"VitaPlus")</f>
        <v>VitaPlus</v>
      </c>
      <c r="E10094" s="122">
        <f>IFERROR(__xludf.DUMMYFUNCTION("""COMPUTED_VALUE"""),72.0)</f>
        <v>72</v>
      </c>
      <c r="F10094" s="122">
        <f>IFERROR(__xludf.DUMMYFUNCTION("""COMPUTED_VALUE"""),0.0046)</f>
        <v>0.0046</v>
      </c>
    </row>
    <row r="10095">
      <c r="A10095" s="131">
        <f>IFERROR(__xludf.DUMMYFUNCTION("""COMPUTED_VALUE"""),46187.706400462965)</f>
        <v>46187.7064</v>
      </c>
      <c r="B10095" s="126">
        <f>IFERROR(__xludf.DUMMYFUNCTION("""COMPUTED_VALUE"""),46187.0)</f>
        <v>46187</v>
      </c>
      <c r="C10095" s="122" t="str">
        <f>IFERROR(__xludf.DUMMYFUNCTION("""COMPUTED_VALUE"""),"CARE")</f>
        <v>CARE</v>
      </c>
      <c r="D10095" s="122" t="str">
        <f>IFERROR(__xludf.DUMMYFUNCTION("""COMPUTED_VALUE"""),"CareCloud")</f>
        <v>CareCloud</v>
      </c>
      <c r="E10095" s="122">
        <f>IFERROR(__xludf.DUMMYFUNCTION("""COMPUTED_VALUE"""),187.5)</f>
        <v>187.5</v>
      </c>
      <c r="F10095" s="122">
        <f>IFERROR(__xludf.DUMMYFUNCTION("""COMPUTED_VALUE"""),0.0073)</f>
        <v>0.0073</v>
      </c>
    </row>
    <row r="10096">
      <c r="A10096" s="131">
        <f>IFERROR(__xludf.DUMMYFUNCTION("""COMPUTED_VALUE"""),46187.706400462965)</f>
        <v>46187.7064</v>
      </c>
      <c r="B10096" s="126">
        <f>IFERROR(__xludf.DUMMYFUNCTION("""COMPUTED_VALUE"""),46187.0)</f>
        <v>46187</v>
      </c>
      <c r="C10096" s="122" t="str">
        <f>IFERROR(__xludf.DUMMYFUNCTION("""COMPUTED_VALUE"""),"DENT")</f>
        <v>DENT</v>
      </c>
      <c r="D10096" s="122" t="str">
        <f>IFERROR(__xludf.DUMMYFUNCTION("""COMPUTED_VALUE"""),"SmileWorks")</f>
        <v>SmileWorks</v>
      </c>
      <c r="E10096" s="122">
        <f>IFERROR(__xludf.DUMMYFUNCTION("""COMPUTED_VALUE"""),100.2)</f>
        <v>100.2</v>
      </c>
      <c r="F10096" s="122">
        <f>IFERROR(__xludf.DUMMYFUNCTION("""COMPUTED_VALUE"""),-0.0016)</f>
        <v>-0.0016</v>
      </c>
    </row>
    <row r="10097">
      <c r="A10097" s="131">
        <f>IFERROR(__xludf.DUMMYFUNCTION("""COMPUTED_VALUE"""),46187.706400462965)</f>
        <v>46187.7064</v>
      </c>
      <c r="B10097" s="126">
        <f>IFERROR(__xludf.DUMMYFUNCTION("""COMPUTED_VALUE"""),46187.0)</f>
        <v>46187</v>
      </c>
      <c r="C10097" s="122" t="str">
        <f>IFERROR(__xludf.DUMMYFUNCTION("""COMPUTED_VALUE"""),"EDUX")</f>
        <v>EDUX</v>
      </c>
      <c r="D10097" s="122" t="str">
        <f>IFERROR(__xludf.DUMMYFUNCTION("""COMPUTED_VALUE"""),"EduMax Learning")</f>
        <v>EduMax Learning</v>
      </c>
      <c r="E10097" s="122">
        <f>IFERROR(__xludf.DUMMYFUNCTION("""COMPUTED_VALUE"""),156.24)</f>
        <v>156.24</v>
      </c>
      <c r="F10097" s="122">
        <f>IFERROR(__xludf.DUMMYFUNCTION("""COMPUTED_VALUE"""),-0.0026)</f>
        <v>-0.0026</v>
      </c>
    </row>
    <row r="10098">
      <c r="A10098" s="131">
        <f>IFERROR(__xludf.DUMMYFUNCTION("""COMPUTED_VALUE"""),46187.706400462965)</f>
        <v>46187.7064</v>
      </c>
      <c r="B10098" s="126">
        <f>IFERROR(__xludf.DUMMYFUNCTION("""COMPUTED_VALUE"""),46187.0)</f>
        <v>46187</v>
      </c>
      <c r="C10098" s="122" t="str">
        <f>IFERROR(__xludf.DUMMYFUNCTION("""COMPUTED_VALUE"""),"BOOK")</f>
        <v>BOOK</v>
      </c>
      <c r="D10098" s="122" t="str">
        <f>IFERROR(__xludf.DUMMYFUNCTION("""COMPUTED_VALUE"""),"BookBridge")</f>
        <v>BookBridge</v>
      </c>
      <c r="E10098" s="122">
        <f>IFERROR(__xludf.DUMMYFUNCTION("""COMPUTED_VALUE"""),121.84)</f>
        <v>121.84</v>
      </c>
      <c r="F10098" s="122">
        <f>IFERROR(__xludf.DUMMYFUNCTION("""COMPUTED_VALUE"""),0.0045)</f>
        <v>0.0045</v>
      </c>
    </row>
    <row r="10099">
      <c r="A10099" s="131">
        <f>IFERROR(__xludf.DUMMYFUNCTION("""COMPUTED_VALUE"""),46187.706400462965)</f>
        <v>46187.7064</v>
      </c>
      <c r="B10099" s="126">
        <f>IFERROR(__xludf.DUMMYFUNCTION("""COMPUTED_VALUE"""),46187.0)</f>
        <v>46187</v>
      </c>
      <c r="C10099" s="122" t="str">
        <f>IFERROR(__xludf.DUMMYFUNCTION("""COMPUTED_VALUE"""),"TUTR")</f>
        <v>TUTR</v>
      </c>
      <c r="D10099" s="122" t="str">
        <f>IFERROR(__xludf.DUMMYFUNCTION("""COMPUTED_VALUE"""),"TutorTown")</f>
        <v>TutorTown</v>
      </c>
      <c r="E10099" s="122">
        <f>IFERROR(__xludf.DUMMYFUNCTION("""COMPUTED_VALUE"""),92.46)</f>
        <v>92.46</v>
      </c>
      <c r="F10099" s="122">
        <f>IFERROR(__xludf.DUMMYFUNCTION("""COMPUTED_VALUE"""),-2.0E-4)</f>
        <v>-0.0002</v>
      </c>
    </row>
    <row r="10100">
      <c r="A10100" s="131">
        <f>IFERROR(__xludf.DUMMYFUNCTION("""COMPUTED_VALUE"""),46187.706400462965)</f>
        <v>46187.7064</v>
      </c>
      <c r="B10100" s="126">
        <f>IFERROR(__xludf.DUMMYFUNCTION("""COMPUTED_VALUE"""),46187.0)</f>
        <v>46187</v>
      </c>
      <c r="C10100" s="122" t="str">
        <f>IFERROR(__xludf.DUMMYFUNCTION("""COMPUTED_VALUE"""),"LANG")</f>
        <v>LANG</v>
      </c>
      <c r="D10100" s="122" t="str">
        <f>IFERROR(__xludf.DUMMYFUNCTION("""COMPUTED_VALUE"""),"LinguaLab")</f>
        <v>LinguaLab</v>
      </c>
      <c r="E10100" s="122">
        <f>IFERROR(__xludf.DUMMYFUNCTION("""COMPUTED_VALUE"""),103.53)</f>
        <v>103.53</v>
      </c>
      <c r="F10100" s="122">
        <f>IFERROR(__xludf.DUMMYFUNCTION("""COMPUTED_VALUE"""),0.0036)</f>
        <v>0.0036</v>
      </c>
    </row>
    <row r="10101">
      <c r="A10101" s="131">
        <f>IFERROR(__xludf.DUMMYFUNCTION("""COMPUTED_VALUE"""),46187.706400462965)</f>
        <v>46187.7064</v>
      </c>
      <c r="B10101" s="126">
        <f>IFERROR(__xludf.DUMMYFUNCTION("""COMPUTED_VALUE"""),46187.0)</f>
        <v>46187</v>
      </c>
      <c r="C10101" s="122" t="str">
        <f>IFERROR(__xludf.DUMMYFUNCTION("""COMPUTED_VALUE"""),"TEST")</f>
        <v>TEST</v>
      </c>
      <c r="D10101" s="122" t="str">
        <f>IFERROR(__xludf.DUMMYFUNCTION("""COMPUTED_VALUE"""),"TestPrep Pro")</f>
        <v>TestPrep Pro</v>
      </c>
      <c r="E10101" s="122">
        <f>IFERROR(__xludf.DUMMYFUNCTION("""COMPUTED_VALUE"""),85.34)</f>
        <v>85.34</v>
      </c>
      <c r="F10101" s="122">
        <f>IFERROR(__xludf.DUMMYFUNCTION("""COMPUTED_VALUE"""),-0.0069)</f>
        <v>-0.0069</v>
      </c>
    </row>
    <row r="10102">
      <c r="A10102" s="131">
        <f>IFERROR(__xludf.DUMMYFUNCTION("""COMPUTED_VALUE"""),46187.706400462965)</f>
        <v>46187.7064</v>
      </c>
      <c r="B10102" s="126">
        <f>IFERROR(__xludf.DUMMYFUNCTION("""COMPUTED_VALUE"""),46187.0)</f>
        <v>46187</v>
      </c>
      <c r="C10102" s="122" t="str">
        <f>IFERROR(__xludf.DUMMYFUNCTION("""COMPUTED_VALUE"""),"MOVI")</f>
        <v>MOVI</v>
      </c>
      <c r="D10102" s="122" t="str">
        <f>IFERROR(__xludf.DUMMYFUNCTION("""COMPUTED_VALUE"""),"MovieBox")</f>
        <v>MovieBox</v>
      </c>
      <c r="E10102" s="122">
        <f>IFERROR(__xludf.DUMMYFUNCTION("""COMPUTED_VALUE"""),84.08)</f>
        <v>84.08</v>
      </c>
      <c r="F10102" s="122">
        <f>IFERROR(__xludf.DUMMYFUNCTION("""COMPUTED_VALUE"""),0.0048)</f>
        <v>0.0048</v>
      </c>
    </row>
    <row r="10103">
      <c r="A10103" s="131">
        <f>IFERROR(__xludf.DUMMYFUNCTION("""COMPUTED_VALUE"""),46187.706400462965)</f>
        <v>46187.7064</v>
      </c>
      <c r="B10103" s="126">
        <f>IFERROR(__xludf.DUMMYFUNCTION("""COMPUTED_VALUE"""),46187.0)</f>
        <v>46187</v>
      </c>
      <c r="C10103" s="122" t="str">
        <f>IFERROR(__xludf.DUMMYFUNCTION("""COMPUTED_VALUE"""),"MUSC")</f>
        <v>MUSC</v>
      </c>
      <c r="D10103" s="122" t="str">
        <f>IFERROR(__xludf.DUMMYFUNCTION("""COMPUTED_VALUE"""),"MusicWave")</f>
        <v>MusicWave</v>
      </c>
      <c r="E10103" s="122">
        <f>IFERROR(__xludf.DUMMYFUNCTION("""COMPUTED_VALUE"""),104.89)</f>
        <v>104.89</v>
      </c>
      <c r="F10103" s="122">
        <f>IFERROR(__xludf.DUMMYFUNCTION("""COMPUTED_VALUE"""),0.0023)</f>
        <v>0.0023</v>
      </c>
    </row>
    <row r="10104">
      <c r="A10104" s="131">
        <f>IFERROR(__xludf.DUMMYFUNCTION("""COMPUTED_VALUE"""),46187.706400462965)</f>
        <v>46187.7064</v>
      </c>
      <c r="B10104" s="126">
        <f>IFERROR(__xludf.DUMMYFUNCTION("""COMPUTED_VALUE"""),46187.0)</f>
        <v>46187</v>
      </c>
      <c r="C10104" s="122" t="str">
        <f>IFERROR(__xludf.DUMMYFUNCTION("""COMPUTED_VALUE"""),"IDOL")</f>
        <v>IDOL</v>
      </c>
      <c r="D10104" s="122" t="str">
        <f>IFERROR(__xludf.DUMMYFUNCTION("""COMPUTED_VALUE"""),"Idol Agency")</f>
        <v>Idol Agency</v>
      </c>
      <c r="E10104" s="122">
        <f>IFERROR(__xludf.DUMMYFUNCTION("""COMPUTED_VALUE"""),188.23)</f>
        <v>188.23</v>
      </c>
      <c r="F10104" s="122">
        <f>IFERROR(__xludf.DUMMYFUNCTION("""COMPUTED_VALUE"""),5.0E-4)</f>
        <v>0.0005</v>
      </c>
    </row>
    <row r="10105">
      <c r="A10105" s="131">
        <f>IFERROR(__xludf.DUMMYFUNCTION("""COMPUTED_VALUE"""),46187.706400462965)</f>
        <v>46187.7064</v>
      </c>
      <c r="B10105" s="126">
        <f>IFERROR(__xludf.DUMMYFUNCTION("""COMPUTED_VALUE"""),46187.0)</f>
        <v>46187</v>
      </c>
      <c r="C10105" s="122" t="str">
        <f>IFERROR(__xludf.DUMMYFUNCTION("""COMPUTED_VALUE"""),"MEME")</f>
        <v>MEME</v>
      </c>
      <c r="D10105" s="122" t="str">
        <f>IFERROR(__xludf.DUMMYFUNCTION("""COMPUTED_VALUE"""),"Meme Media")</f>
        <v>Meme Media</v>
      </c>
      <c r="E10105" s="122">
        <f>IFERROR(__xludf.DUMMYFUNCTION("""COMPUTED_VALUE"""),74.38)</f>
        <v>74.38</v>
      </c>
      <c r="F10105" s="122">
        <f>IFERROR(__xludf.DUMMYFUNCTION("""COMPUTED_VALUE"""),-0.0112)</f>
        <v>-0.0112</v>
      </c>
    </row>
    <row r="10106">
      <c r="A10106" s="131">
        <f>IFERROR(__xludf.DUMMYFUNCTION("""COMPUTED_VALUE"""),46187.706400462965)</f>
        <v>46187.7064</v>
      </c>
      <c r="B10106" s="126">
        <f>IFERROR(__xludf.DUMMYFUNCTION("""COMPUTED_VALUE"""),46187.0)</f>
        <v>46187</v>
      </c>
      <c r="C10106" s="122" t="str">
        <f>IFERROR(__xludf.DUMMYFUNCTION("""COMPUTED_VALUE"""),"STRM")</f>
        <v>STRM</v>
      </c>
      <c r="D10106" s="122" t="str">
        <f>IFERROR(__xludf.DUMMYFUNCTION("""COMPUTED_VALUE"""),"Streamly")</f>
        <v>Streamly</v>
      </c>
      <c r="E10106" s="122">
        <f>IFERROR(__xludf.DUMMYFUNCTION("""COMPUTED_VALUE"""),126.38)</f>
        <v>126.38</v>
      </c>
      <c r="F10106" s="122">
        <f>IFERROR(__xludf.DUMMYFUNCTION("""COMPUTED_VALUE"""),-0.0032)</f>
        <v>-0.0032</v>
      </c>
    </row>
    <row r="10107">
      <c r="A10107" s="131">
        <f>IFERROR(__xludf.DUMMYFUNCTION("""COMPUTED_VALUE"""),46187.706400462965)</f>
        <v>46187.7064</v>
      </c>
      <c r="B10107" s="126">
        <f>IFERROR(__xludf.DUMMYFUNCTION("""COMPUTED_VALUE"""),46187.0)</f>
        <v>46187</v>
      </c>
      <c r="C10107" s="122" t="str">
        <f>IFERROR(__xludf.DUMMYFUNCTION("""COMPUTED_VALUE"""),"FARM")</f>
        <v>FARM</v>
      </c>
      <c r="D10107" s="122" t="str">
        <f>IFERROR(__xludf.DUMMYFUNCTION("""COMPUTED_VALUE"""),"Future Farms")</f>
        <v>Future Farms</v>
      </c>
      <c r="E10107" s="122">
        <f>IFERROR(__xludf.DUMMYFUNCTION("""COMPUTED_VALUE"""),103.14)</f>
        <v>103.14</v>
      </c>
      <c r="F10107" s="122">
        <f>IFERROR(__xludf.DUMMYFUNCTION("""COMPUTED_VALUE"""),0.0041)</f>
        <v>0.0041</v>
      </c>
    </row>
    <row r="10108">
      <c r="A10108" s="131">
        <f>IFERROR(__xludf.DUMMYFUNCTION("""COMPUTED_VALUE"""),46187.706400462965)</f>
        <v>46187.7064</v>
      </c>
      <c r="B10108" s="126">
        <f>IFERROR(__xludf.DUMMYFUNCTION("""COMPUTED_VALUE"""),46187.0)</f>
        <v>46187</v>
      </c>
      <c r="C10108" s="122" t="str">
        <f>IFERROR(__xludf.DUMMYFUNCTION("""COMPUTED_VALUE"""),"MEAT")</f>
        <v>MEAT</v>
      </c>
      <c r="D10108" s="122" t="str">
        <f>IFERROR(__xludf.DUMMYFUNCTION("""COMPUTED_VALUE"""),"MeatWorks")</f>
        <v>MeatWorks</v>
      </c>
      <c r="E10108" s="122">
        <f>IFERROR(__xludf.DUMMYFUNCTION("""COMPUTED_VALUE"""),106.12)</f>
        <v>106.12</v>
      </c>
      <c r="F10108" s="122">
        <f>IFERROR(__xludf.DUMMYFUNCTION("""COMPUTED_VALUE"""),-0.0047)</f>
        <v>-0.0047</v>
      </c>
    </row>
    <row r="10109">
      <c r="A10109" s="131">
        <f>IFERROR(__xludf.DUMMYFUNCTION("""COMPUTED_VALUE"""),46187.706400462965)</f>
        <v>46187.7064</v>
      </c>
      <c r="B10109" s="126">
        <f>IFERROR(__xludf.DUMMYFUNCTION("""COMPUTED_VALUE"""),46187.0)</f>
        <v>46187</v>
      </c>
      <c r="C10109" s="122" t="str">
        <f>IFERROR(__xludf.DUMMYFUNCTION("""COMPUTED_VALUE"""),"VEGI")</f>
        <v>VEGI</v>
      </c>
      <c r="D10109" s="122" t="str">
        <f>IFERROR(__xludf.DUMMYFUNCTION("""COMPUTED_VALUE"""),"Green Basket")</f>
        <v>Green Basket</v>
      </c>
      <c r="E10109" s="122">
        <f>IFERROR(__xludf.DUMMYFUNCTION("""COMPUTED_VALUE"""),76.36)</f>
        <v>76.36</v>
      </c>
      <c r="F10109" s="122">
        <f>IFERROR(__xludf.DUMMYFUNCTION("""COMPUTED_VALUE"""),0.0032)</f>
        <v>0.0032</v>
      </c>
    </row>
    <row r="10110">
      <c r="A10110" s="131">
        <f>IFERROR(__xludf.DUMMYFUNCTION("""COMPUTED_VALUE"""),46187.706400462965)</f>
        <v>46187.7064</v>
      </c>
      <c r="B10110" s="126">
        <f>IFERROR(__xludf.DUMMYFUNCTION("""COMPUTED_VALUE"""),46187.0)</f>
        <v>46187</v>
      </c>
      <c r="C10110" s="122" t="str">
        <f>IFERROR(__xludf.DUMMYFUNCTION("""COMPUTED_VALUE"""),"CAFE")</f>
        <v>CAFE</v>
      </c>
      <c r="D10110" s="122" t="str">
        <f>IFERROR(__xludf.DUMMYFUNCTION("""COMPUTED_VALUE"""),"Cafe Cloud")</f>
        <v>Cafe Cloud</v>
      </c>
      <c r="E10110" s="122">
        <f>IFERROR(__xludf.DUMMYFUNCTION("""COMPUTED_VALUE"""),104.91)</f>
        <v>104.91</v>
      </c>
      <c r="F10110" s="122">
        <f>IFERROR(__xludf.DUMMYFUNCTION("""COMPUTED_VALUE"""),0.0021)</f>
        <v>0.0021</v>
      </c>
    </row>
    <row r="10111">
      <c r="A10111" s="131">
        <f>IFERROR(__xludf.DUMMYFUNCTION("""COMPUTED_VALUE"""),46187.706400462965)</f>
        <v>46187.7064</v>
      </c>
      <c r="B10111" s="126">
        <f>IFERROR(__xludf.DUMMYFUNCTION("""COMPUTED_VALUE"""),46187.0)</f>
        <v>46187</v>
      </c>
      <c r="C10111" s="122" t="str">
        <f>IFERROR(__xludf.DUMMYFUNCTION("""COMPUTED_VALUE"""),"BAKE")</f>
        <v>BAKE</v>
      </c>
      <c r="D10111" s="122" t="str">
        <f>IFERROR(__xludf.DUMMYFUNCTION("""COMPUTED_VALUE"""),"BakeHouse")</f>
        <v>BakeHouse</v>
      </c>
      <c r="E10111" s="122">
        <f>IFERROR(__xludf.DUMMYFUNCTION("""COMPUTED_VALUE"""),99.72)</f>
        <v>99.72</v>
      </c>
      <c r="F10111" s="122">
        <f>IFERROR(__xludf.DUMMYFUNCTION("""COMPUTED_VALUE"""),-2.0E-4)</f>
        <v>-0.0002</v>
      </c>
    </row>
    <row r="10112">
      <c r="A10112" s="131">
        <f>IFERROR(__xludf.DUMMYFUNCTION("""COMPUTED_VALUE"""),46187.706400462965)</f>
        <v>46187.7064</v>
      </c>
      <c r="B10112" s="126">
        <f>IFERROR(__xludf.DUMMYFUNCTION("""COMPUTED_VALUE"""),46187.0)</f>
        <v>46187</v>
      </c>
      <c r="C10112" s="122" t="str">
        <f>IFERROR(__xludf.DUMMYFUNCTION("""COMPUTED_VALUE"""),"OILX")</f>
        <v>OILX</v>
      </c>
      <c r="D10112" s="122" t="str">
        <f>IFERROR(__xludf.DUMMYFUNCTION("""COMPUTED_VALUE"""),"OilMax Energy")</f>
        <v>OilMax Energy</v>
      </c>
      <c r="E10112" s="122">
        <f>IFERROR(__xludf.DUMMYFUNCTION("""COMPUTED_VALUE"""),134.87)</f>
        <v>134.87</v>
      </c>
      <c r="F10112" s="122">
        <f>IFERROR(__xludf.DUMMYFUNCTION("""COMPUTED_VALUE"""),-0.0042)</f>
        <v>-0.0042</v>
      </c>
    </row>
    <row r="10113">
      <c r="A10113" s="131">
        <f>IFERROR(__xludf.DUMMYFUNCTION("""COMPUTED_VALUE"""),46187.706400462965)</f>
        <v>46187.7064</v>
      </c>
      <c r="B10113" s="126">
        <f>IFERROR(__xludf.DUMMYFUNCTION("""COMPUTED_VALUE"""),46187.0)</f>
        <v>46187</v>
      </c>
      <c r="C10113" s="122" t="str">
        <f>IFERROR(__xludf.DUMMYFUNCTION("""COMPUTED_VALUE"""),"SOLR")</f>
        <v>SOLR</v>
      </c>
      <c r="D10113" s="122" t="str">
        <f>IFERROR(__xludf.DUMMYFUNCTION("""COMPUTED_VALUE"""),"SolarSpark")</f>
        <v>SolarSpark</v>
      </c>
      <c r="E10113" s="122">
        <f>IFERROR(__xludf.DUMMYFUNCTION("""COMPUTED_VALUE"""),110.22)</f>
        <v>110.22</v>
      </c>
      <c r="F10113" s="122">
        <f>IFERROR(__xludf.DUMMYFUNCTION("""COMPUTED_VALUE"""),0.0019)</f>
        <v>0.0019</v>
      </c>
    </row>
    <row r="10114">
      <c r="A10114" s="131">
        <f>IFERROR(__xludf.DUMMYFUNCTION("""COMPUTED_VALUE"""),46187.706400462965)</f>
        <v>46187.7064</v>
      </c>
      <c r="B10114" s="126">
        <f>IFERROR(__xludf.DUMMYFUNCTION("""COMPUTED_VALUE"""),46187.0)</f>
        <v>46187</v>
      </c>
      <c r="C10114" s="122" t="str">
        <f>IFERROR(__xludf.DUMMYFUNCTION("""COMPUTED_VALUE"""),"BATT")</f>
        <v>BATT</v>
      </c>
      <c r="D10114" s="122" t="str">
        <f>IFERROR(__xludf.DUMMYFUNCTION("""COMPUTED_VALUE"""),"BatteryBox")</f>
        <v>BatteryBox</v>
      </c>
      <c r="E10114" s="122">
        <f>IFERROR(__xludf.DUMMYFUNCTION("""COMPUTED_VALUE"""),115.9)</f>
        <v>115.9</v>
      </c>
      <c r="F10114" s="122">
        <f>IFERROR(__xludf.DUMMYFUNCTION("""COMPUTED_VALUE"""),0.0099)</f>
        <v>0.0099</v>
      </c>
    </row>
    <row r="10115">
      <c r="A10115" s="131">
        <f>IFERROR(__xludf.DUMMYFUNCTION("""COMPUTED_VALUE"""),46187.706400462965)</f>
        <v>46187.7064</v>
      </c>
      <c r="B10115" s="126">
        <f>IFERROR(__xludf.DUMMYFUNCTION("""COMPUTED_VALUE"""),46187.0)</f>
        <v>46187</v>
      </c>
      <c r="C10115" s="122" t="str">
        <f>IFERROR(__xludf.DUMMYFUNCTION("""COMPUTED_VALUE"""),"WIND")</f>
        <v>WIND</v>
      </c>
      <c r="D10115" s="122" t="str">
        <f>IFERROR(__xludf.DUMMYFUNCTION("""COMPUTED_VALUE"""),"WindWorks")</f>
        <v>WindWorks</v>
      </c>
      <c r="E10115" s="122">
        <f>IFERROR(__xludf.DUMMYFUNCTION("""COMPUTED_VALUE"""),86.82)</f>
        <v>86.82</v>
      </c>
      <c r="F10115" s="122">
        <f>IFERROR(__xludf.DUMMYFUNCTION("""COMPUTED_VALUE"""),6.0E-4)</f>
        <v>0.0006</v>
      </c>
    </row>
    <row r="10116">
      <c r="A10116" s="131">
        <f>IFERROR(__xludf.DUMMYFUNCTION("""COMPUTED_VALUE"""),46187.706400462965)</f>
        <v>46187.7064</v>
      </c>
      <c r="B10116" s="126">
        <f>IFERROR(__xludf.DUMMYFUNCTION("""COMPUTED_VALUE"""),46187.0)</f>
        <v>46187</v>
      </c>
      <c r="C10116" s="122" t="str">
        <f>IFERROR(__xludf.DUMMYFUNCTION("""COMPUTED_VALUE"""),"GRID")</f>
        <v>GRID</v>
      </c>
      <c r="D10116" s="122" t="str">
        <f>IFERROR(__xludf.DUMMYFUNCTION("""COMPUTED_VALUE"""),"GridPower")</f>
        <v>GridPower</v>
      </c>
      <c r="E10116" s="122">
        <f>IFERROR(__xludf.DUMMYFUNCTION("""COMPUTED_VALUE"""),127.55)</f>
        <v>127.55</v>
      </c>
      <c r="F10116" s="122">
        <f>IFERROR(__xludf.DUMMYFUNCTION("""COMPUTED_VALUE"""),0.0042)</f>
        <v>0.0042</v>
      </c>
    </row>
    <row r="10117">
      <c r="A10117" s="131">
        <f>IFERROR(__xludf.DUMMYFUNCTION("""COMPUTED_VALUE"""),46187.706400462965)</f>
        <v>46187.7064</v>
      </c>
      <c r="B10117" s="126">
        <f>IFERROR(__xludf.DUMMYFUNCTION("""COMPUTED_VALUE"""),46187.0)</f>
        <v>46187</v>
      </c>
      <c r="C10117" s="122" t="str">
        <f>IFERROR(__xludf.DUMMYFUNCTION("""COMPUTED_VALUE"""),"HOME")</f>
        <v>HOME</v>
      </c>
      <c r="D10117" s="122" t="str">
        <f>IFERROR(__xludf.DUMMYFUNCTION("""COMPUTED_VALUE"""),"HomeHub")</f>
        <v>HomeHub</v>
      </c>
      <c r="E10117" s="122">
        <f>IFERROR(__xludf.DUMMYFUNCTION("""COMPUTED_VALUE"""),163.18)</f>
        <v>163.18</v>
      </c>
      <c r="F10117" s="122">
        <f>IFERROR(__xludf.DUMMYFUNCTION("""COMPUTED_VALUE"""),0.0017)</f>
        <v>0.0017</v>
      </c>
    </row>
    <row r="10118">
      <c r="A10118" s="131">
        <f>IFERROR(__xludf.DUMMYFUNCTION("""COMPUTED_VALUE"""),46187.706400462965)</f>
        <v>46187.7064</v>
      </c>
      <c r="B10118" s="126">
        <f>IFERROR(__xludf.DUMMYFUNCTION("""COMPUTED_VALUE"""),46187.0)</f>
        <v>46187</v>
      </c>
      <c r="C10118" s="122" t="str">
        <f>IFERROR(__xludf.DUMMYFUNCTION("""COMPUTED_VALUE"""),"RENT")</f>
        <v>RENT</v>
      </c>
      <c r="D10118" s="122" t="str">
        <f>IFERROR(__xludf.DUMMYFUNCTION("""COMPUTED_VALUE"""),"RentRight")</f>
        <v>RentRight</v>
      </c>
      <c r="E10118" s="122">
        <f>IFERROR(__xludf.DUMMYFUNCTION("""COMPUTED_VALUE"""),87.86)</f>
        <v>87.86</v>
      </c>
      <c r="F10118" s="122">
        <f>IFERROR(__xludf.DUMMYFUNCTION("""COMPUTED_VALUE"""),9.0E-4)</f>
        <v>0.0009</v>
      </c>
    </row>
    <row r="10119">
      <c r="A10119" s="131">
        <f>IFERROR(__xludf.DUMMYFUNCTION("""COMPUTED_VALUE"""),46187.706400462965)</f>
        <v>46187.7064</v>
      </c>
      <c r="B10119" s="126">
        <f>IFERROR(__xludf.DUMMYFUNCTION("""COMPUTED_VALUE"""),46187.0)</f>
        <v>46187</v>
      </c>
      <c r="C10119" s="122" t="str">
        <f>IFERROR(__xludf.DUMMYFUNCTION("""COMPUTED_VALUE"""),"MALL")</f>
        <v>MALL</v>
      </c>
      <c r="D10119" s="122" t="str">
        <f>IFERROR(__xludf.DUMMYFUNCTION("""COMPUTED_VALUE"""),"MegaMall")</f>
        <v>MegaMall</v>
      </c>
      <c r="E10119" s="122">
        <f>IFERROR(__xludf.DUMMYFUNCTION("""COMPUTED_VALUE"""),101.9)</f>
        <v>101.9</v>
      </c>
      <c r="F10119" s="122">
        <f>IFERROR(__xludf.DUMMYFUNCTION("""COMPUTED_VALUE"""),-9.0E-4)</f>
        <v>-0.0009</v>
      </c>
    </row>
    <row r="10120">
      <c r="A10120" s="131">
        <f>IFERROR(__xludf.DUMMYFUNCTION("""COMPUTED_VALUE"""),46187.706400462965)</f>
        <v>46187.7064</v>
      </c>
      <c r="B10120" s="126">
        <f>IFERROR(__xludf.DUMMYFUNCTION("""COMPUTED_VALUE"""),46187.0)</f>
        <v>46187</v>
      </c>
      <c r="C10120" s="122" t="str">
        <f>IFERROR(__xludf.DUMMYFUNCTION("""COMPUTED_VALUE"""),"HOTL")</f>
        <v>HOTL</v>
      </c>
      <c r="D10120" s="122" t="str">
        <f>IFERROR(__xludf.DUMMYFUNCTION("""COMPUTED_VALUE"""),"HotelHive")</f>
        <v>HotelHive</v>
      </c>
      <c r="E10120" s="122">
        <f>IFERROR(__xludf.DUMMYFUNCTION("""COMPUTED_VALUE"""),118.73)</f>
        <v>118.73</v>
      </c>
      <c r="F10120" s="122">
        <f>IFERROR(__xludf.DUMMYFUNCTION("""COMPUTED_VALUE"""),0.003)</f>
        <v>0.003</v>
      </c>
    </row>
    <row r="10121">
      <c r="A10121" s="131">
        <f>IFERROR(__xludf.DUMMYFUNCTION("""COMPUTED_VALUE"""),46187.706400462965)</f>
        <v>46187.7064</v>
      </c>
      <c r="B10121" s="126">
        <f>IFERROR(__xludf.DUMMYFUNCTION("""COMPUTED_VALUE"""),46187.0)</f>
        <v>46187</v>
      </c>
      <c r="C10121" s="122" t="str">
        <f>IFERROR(__xludf.DUMMYFUNCTION("""COMPUTED_VALUE"""),"LAND")</f>
        <v>LAND</v>
      </c>
      <c r="D10121" s="122" t="str">
        <f>IFERROR(__xludf.DUMMYFUNCTION("""COMPUTED_VALUE"""),"LandLink")</f>
        <v>LandLink</v>
      </c>
      <c r="E10121" s="122">
        <f>IFERROR(__xludf.DUMMYFUNCTION("""COMPUTED_VALUE"""),186.63)</f>
        <v>186.63</v>
      </c>
      <c r="F10121" s="122">
        <f>IFERROR(__xludf.DUMMYFUNCTION("""COMPUTED_VALUE"""),-0.0024)</f>
        <v>-0.0024</v>
      </c>
    </row>
    <row r="10122">
      <c r="A10122" s="131">
        <f>IFERROR(__xludf.DUMMYFUNCTION("""COMPUTED_VALUE"""),46187.706400462965)</f>
        <v>46187.7064</v>
      </c>
      <c r="B10122" s="126">
        <f>IFERROR(__xludf.DUMMYFUNCTION("""COMPUTED_VALUE"""),46187.0)</f>
        <v>46187</v>
      </c>
      <c r="C10122" s="122" t="str">
        <f>IFERROR(__xludf.DUMMYFUNCTION("""COMPUTED_VALUE"""),"CARS")</f>
        <v>CARS</v>
      </c>
      <c r="D10122" s="122" t="str">
        <f>IFERROR(__xludf.DUMMYFUNCTION("""COMPUTED_VALUE"""),"AutoArena")</f>
        <v>AutoArena</v>
      </c>
      <c r="E10122" s="122">
        <f>IFERROR(__xludf.DUMMYFUNCTION("""COMPUTED_VALUE"""),78.3)</f>
        <v>78.3</v>
      </c>
      <c r="F10122" s="122">
        <f>IFERROR(__xludf.DUMMYFUNCTION("""COMPUTED_VALUE"""),-0.0119)</f>
        <v>-0.0119</v>
      </c>
    </row>
    <row r="10123">
      <c r="A10123" s="131">
        <f>IFERROR(__xludf.DUMMYFUNCTION("""COMPUTED_VALUE"""),46187.706400462965)</f>
        <v>46187.7064</v>
      </c>
      <c r="B10123" s="126">
        <f>IFERROR(__xludf.DUMMYFUNCTION("""COMPUTED_VALUE"""),46187.0)</f>
        <v>46187</v>
      </c>
      <c r="C10123" s="122" t="str">
        <f>IFERROR(__xludf.DUMMYFUNCTION("""COMPUTED_VALUE"""),"EVGO")</f>
        <v>EVGO</v>
      </c>
      <c r="D10123" s="122" t="str">
        <f>IFERROR(__xludf.DUMMYFUNCTION("""COMPUTED_VALUE"""),"EVGo Motors")</f>
        <v>EVGo Motors</v>
      </c>
      <c r="E10123" s="122">
        <f>IFERROR(__xludf.DUMMYFUNCTION("""COMPUTED_VALUE"""),194.06)</f>
        <v>194.06</v>
      </c>
      <c r="F10123" s="122">
        <f>IFERROR(__xludf.DUMMYFUNCTION("""COMPUTED_VALUE"""),0.0073)</f>
        <v>0.0073</v>
      </c>
    </row>
    <row r="10124">
      <c r="A10124" s="131">
        <f>IFERROR(__xludf.DUMMYFUNCTION("""COMPUTED_VALUE"""),46187.706400462965)</f>
        <v>46187.7064</v>
      </c>
      <c r="B10124" s="126">
        <f>IFERROR(__xludf.DUMMYFUNCTION("""COMPUTED_VALUE"""),46187.0)</f>
        <v>46187</v>
      </c>
      <c r="C10124" s="122" t="str">
        <f>IFERROR(__xludf.DUMMYFUNCTION("""COMPUTED_VALUE"""),"TIRE")</f>
        <v>TIRE</v>
      </c>
      <c r="D10124" s="122" t="str">
        <f>IFERROR(__xludf.DUMMYFUNCTION("""COMPUTED_VALUE"""),"TireTown")</f>
        <v>TireTown</v>
      </c>
      <c r="E10124" s="122">
        <f>IFERROR(__xludf.DUMMYFUNCTION("""COMPUTED_VALUE"""),99.77)</f>
        <v>99.77</v>
      </c>
      <c r="F10124" s="122">
        <f>IFERROR(__xludf.DUMMYFUNCTION("""COMPUTED_VALUE"""),0.0045)</f>
        <v>0.0045</v>
      </c>
    </row>
    <row r="10125">
      <c r="A10125" s="131">
        <f>IFERROR(__xludf.DUMMYFUNCTION("""COMPUTED_VALUE"""),46187.706400462965)</f>
        <v>46187.7064</v>
      </c>
      <c r="B10125" s="126">
        <f>IFERROR(__xludf.DUMMYFUNCTION("""COMPUTED_VALUE"""),46187.0)</f>
        <v>46187</v>
      </c>
      <c r="C10125" s="122" t="str">
        <f>IFERROR(__xludf.DUMMYFUNCTION("""COMPUTED_VALUE"""),"BIKE")</f>
        <v>BIKE</v>
      </c>
      <c r="D10125" s="122" t="str">
        <f>IFERROR(__xludf.DUMMYFUNCTION("""COMPUTED_VALUE"""),"BikeBox")</f>
        <v>BikeBox</v>
      </c>
      <c r="E10125" s="122">
        <f>IFERROR(__xludf.DUMMYFUNCTION("""COMPUTED_VALUE"""),50.24)</f>
        <v>50.24</v>
      </c>
      <c r="F10125" s="122">
        <f>IFERROR(__xludf.DUMMYFUNCTION("""COMPUTED_VALUE"""),-0.004)</f>
        <v>-0.004</v>
      </c>
    </row>
    <row r="10126">
      <c r="A10126" s="131">
        <f>IFERROR(__xludf.DUMMYFUNCTION("""COMPUTED_VALUE"""),46187.706400462965)</f>
        <v>46187.7064</v>
      </c>
      <c r="B10126" s="126">
        <f>IFERROR(__xludf.DUMMYFUNCTION("""COMPUTED_VALUE"""),46187.0)</f>
        <v>46187</v>
      </c>
      <c r="C10126" s="122" t="str">
        <f>IFERROR(__xludf.DUMMYFUNCTION("""COMPUTED_VALUE"""),"WASH")</f>
        <v>WASH</v>
      </c>
      <c r="D10126" s="122" t="str">
        <f>IFERROR(__xludf.DUMMYFUNCTION("""COMPUTED_VALUE"""),"CarWash Co")</f>
        <v>CarWash Co</v>
      </c>
      <c r="E10126" s="122">
        <f>IFERROR(__xludf.DUMMYFUNCTION("""COMPUTED_VALUE"""),124.11)</f>
        <v>124.11</v>
      </c>
      <c r="F10126" s="122">
        <f>IFERROR(__xludf.DUMMYFUNCTION("""COMPUTED_VALUE"""),0.0019)</f>
        <v>0.0019</v>
      </c>
    </row>
    <row r="10127">
      <c r="A10127" s="131">
        <f>IFERROR(__xludf.DUMMYFUNCTION("""COMPUTED_VALUE"""),46187.706400462965)</f>
        <v>46187.7064</v>
      </c>
      <c r="B10127" s="126">
        <f>IFERROR(__xludf.DUMMYFUNCTION("""COMPUTED_VALUE"""),46187.0)</f>
        <v>46187</v>
      </c>
      <c r="C10127" s="122" t="str">
        <f>IFERROR(__xludf.DUMMYFUNCTION("""COMPUTED_VALUE"""),"GBND")</f>
        <v>GBND</v>
      </c>
      <c r="D10127" s="122" t="str">
        <f>IFERROR(__xludf.DUMMYFUNCTION("""COMPUTED_VALUE"""),"Classroom Government Bond")</f>
        <v>Classroom Government Bond</v>
      </c>
      <c r="E10127" s="122">
        <f>IFERROR(__xludf.DUMMYFUNCTION("""COMPUTED_VALUE"""),101.2)</f>
        <v>101.2</v>
      </c>
      <c r="F10127" s="122">
        <f>IFERROR(__xludf.DUMMYFUNCTION("""COMPUTED_VALUE"""),5.0E-4)</f>
        <v>0.0005</v>
      </c>
    </row>
    <row r="10128">
      <c r="A10128" s="131">
        <f>IFERROR(__xludf.DUMMYFUNCTION("""COMPUTED_VALUE"""),46187.706400462965)</f>
        <v>46187.7064</v>
      </c>
      <c r="B10128" s="126">
        <f>IFERROR(__xludf.DUMMYFUNCTION("""COMPUTED_VALUE"""),46187.0)</f>
        <v>46187</v>
      </c>
      <c r="C10128" s="122" t="str">
        <f>IFERROR(__xludf.DUMMYFUNCTION("""COMPUTED_VALUE"""),"SBND")</f>
        <v>SBND</v>
      </c>
      <c r="D10128" s="122" t="str">
        <f>IFERROR(__xludf.DUMMYFUNCTION("""COMPUTED_VALUE"""),"School Savings Bond")</f>
        <v>School Savings Bond</v>
      </c>
      <c r="E10128" s="122">
        <f>IFERROR(__xludf.DUMMYFUNCTION("""COMPUTED_VALUE"""),99.19)</f>
        <v>99.19</v>
      </c>
      <c r="F10128" s="122">
        <f>IFERROR(__xludf.DUMMYFUNCTION("""COMPUTED_VALUE"""),2.0E-4)</f>
        <v>0.0002</v>
      </c>
    </row>
    <row r="10129">
      <c r="A10129" s="131">
        <f>IFERROR(__xludf.DUMMYFUNCTION("""COMPUTED_VALUE"""),46187.706400462965)</f>
        <v>46187.7064</v>
      </c>
      <c r="B10129" s="126">
        <f>IFERROR(__xludf.DUMMYFUNCTION("""COMPUTED_VALUE"""),46187.0)</f>
        <v>46187</v>
      </c>
      <c r="C10129" s="122" t="str">
        <f>IFERROR(__xludf.DUMMYFUNCTION("""COMPUTED_VALUE"""),"CBND")</f>
        <v>CBND</v>
      </c>
      <c r="D10129" s="122" t="str">
        <f>IFERROR(__xludf.DUMMYFUNCTION("""COMPUTED_VALUE"""),"Corporate Classroom Bond")</f>
        <v>Corporate Classroom Bond</v>
      </c>
      <c r="E10129" s="122">
        <f>IFERROR(__xludf.DUMMYFUNCTION("""COMPUTED_VALUE"""),98.12)</f>
        <v>98.12</v>
      </c>
      <c r="F10129" s="122">
        <f>IFERROR(__xludf.DUMMYFUNCTION("""COMPUTED_VALUE"""),4.0E-4)</f>
        <v>0.0004</v>
      </c>
    </row>
    <row r="10130">
      <c r="A10130" s="131">
        <f>IFERROR(__xludf.DUMMYFUNCTION("""COMPUTED_VALUE"""),46187.706400462965)</f>
        <v>46187.7064</v>
      </c>
      <c r="B10130" s="126">
        <f>IFERROR(__xludf.DUMMYFUNCTION("""COMPUTED_VALUE"""),46187.0)</f>
        <v>46187</v>
      </c>
      <c r="C10130" s="122" t="str">
        <f>IFERROR(__xludf.DUMMYFUNCTION("""COMPUTED_VALUE"""),"TBIL")</f>
        <v>TBIL</v>
      </c>
      <c r="D10130" s="122" t="str">
        <f>IFERROR(__xludf.DUMMYFUNCTION("""COMPUTED_VALUE"""),"Treasury Bill")</f>
        <v>Treasury Bill</v>
      </c>
      <c r="E10130" s="122">
        <f>IFERROR(__xludf.DUMMYFUNCTION("""COMPUTED_VALUE"""),97.85)</f>
        <v>97.85</v>
      </c>
      <c r="F10130" s="122">
        <f>IFERROR(__xludf.DUMMYFUNCTION("""COMPUTED_VALUE"""),-3.0E-4)</f>
        <v>-0.0003</v>
      </c>
    </row>
    <row r="10131">
      <c r="A10131" s="131">
        <f>IFERROR(__xludf.DUMMYFUNCTION("""COMPUTED_VALUE"""),46187.706400462965)</f>
        <v>46187.7064</v>
      </c>
      <c r="B10131" s="126">
        <f>IFERROR(__xludf.DUMMYFUNCTION("""COMPUTED_VALUE"""),46187.0)</f>
        <v>46187</v>
      </c>
      <c r="C10131" s="122" t="str">
        <f>IFERROR(__xludf.DUMMYFUNCTION("""COMPUTED_VALUE"""),"IBND")</f>
        <v>IBND</v>
      </c>
      <c r="D10131" s="122" t="str">
        <f>IFERROR(__xludf.DUMMYFUNCTION("""COMPUTED_VALUE"""),"Inflation Protected Bond")</f>
        <v>Inflation Protected Bond</v>
      </c>
      <c r="E10131" s="122">
        <f>IFERROR(__xludf.DUMMYFUNCTION("""COMPUTED_VALUE"""),100.54)</f>
        <v>100.54</v>
      </c>
      <c r="F10131" s="122">
        <f>IFERROR(__xludf.DUMMYFUNCTION("""COMPUTED_VALUE"""),-5.0E-4)</f>
        <v>-0.0005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IFERROR(__xludf.DUMMYFUNCTION("IMPORTRANGE(""https://docs.google.com/spreadsheets/d/1xmGsP2eOXdfhJ9DjzCOVFJKoZ2DuuwRb_dbNg1M77M8/edit?gid=138364344#gid=138364344"",""Student_Inventory!A:I"")"),"Student Inventory")</f>
        <v>Student Inventory</v>
      </c>
      <c r="B1" s="122"/>
      <c r="C1" s="122"/>
      <c r="D1" s="122"/>
      <c r="E1" s="122"/>
      <c r="F1" s="122"/>
      <c r="G1" s="122"/>
      <c r="H1" s="122"/>
      <c r="I1" s="122"/>
    </row>
    <row r="2">
      <c r="A2" s="122"/>
      <c r="B2" s="122"/>
      <c r="C2" s="122"/>
      <c r="D2" s="122"/>
      <c r="E2" s="122"/>
      <c r="F2" s="122"/>
      <c r="G2" s="122"/>
      <c r="H2" s="122"/>
      <c r="I2" s="122"/>
    </row>
    <row r="3">
      <c r="A3" s="122" t="str">
        <f>IFERROR(__xludf.DUMMYFUNCTION("""COMPUTED_VALUE"""),"Card_ID")</f>
        <v>Card_ID</v>
      </c>
      <c r="B3" s="122" t="str">
        <f>IFERROR(__xludf.DUMMYFUNCTION("""COMPUTED_VALUE"""),"Student_Name")</f>
        <v>Student_Name</v>
      </c>
      <c r="C3" s="122" t="str">
        <f>IFERROR(__xludf.DUMMYFUNCTION("""COMPUTED_VALUE"""),"Item_ID")</f>
        <v>Item_ID</v>
      </c>
      <c r="D3" s="122" t="str">
        <f>IFERROR(__xludf.DUMMYFUNCTION("""COMPUTED_VALUE"""),"Item_Name")</f>
        <v>Item_Name</v>
      </c>
      <c r="E3" s="122" t="str">
        <f>IFERROR(__xludf.DUMMYFUNCTION("""COMPUTED_VALUE"""),"Category")</f>
        <v>Category</v>
      </c>
      <c r="F3" s="125" t="str">
        <f>IFERROR(__xludf.DUMMYFUNCTION("""COMPUTED_VALUE"""),"Quantity_Purchased")</f>
        <v>Quantity_Purchased</v>
      </c>
      <c r="G3" s="60" t="str">
        <f>IFERROR(__xludf.DUMMYFUNCTION("""COMPUTED_VALUE"""),"Total_Spent")</f>
        <v>Total_Spent</v>
      </c>
      <c r="H3" s="122" t="str">
        <f>IFERROR(__xludf.DUMMYFUNCTION("""COMPUTED_VALUE"""),"Last_Purchased")</f>
        <v>Last_Purchased</v>
      </c>
      <c r="I3" s="122" t="str">
        <f>IFERROR(__xludf.DUMMYFUNCTION("""COMPUTED_VALUE"""),"Last_Updated")</f>
        <v>Last_Updated</v>
      </c>
    </row>
    <row r="4">
      <c r="A4" s="122" t="str">
        <f>IFERROR(__xludf.DUMMYFUNCTION("""COMPUTED_VALUE"""),"ae072910")</f>
        <v>ae072910</v>
      </c>
      <c r="B4" s="122" t="str">
        <f>IFERROR(__xludf.DUMMYFUNCTION("""COMPUTED_VALUE"""),"Selena Jung")</f>
        <v>Selena Jung</v>
      </c>
      <c r="C4" s="122">
        <f>IFERROR(__xludf.DUMMYFUNCTION("""COMPUTED_VALUE"""),9965.0)</f>
        <v>9965</v>
      </c>
      <c r="D4" s="122" t="str">
        <f>IFERROR(__xludf.DUMMYFUNCTION("""COMPUTED_VALUE"""),"Market Prediction Report")</f>
        <v>Market Prediction Report</v>
      </c>
      <c r="E4" s="122" t="str">
        <f>IFERROR(__xludf.DUMMYFUNCTION("""COMPUTED_VALUE"""),"Bonus")</f>
        <v>Bonus</v>
      </c>
      <c r="F4" s="125">
        <f>IFERROR(__xludf.DUMMYFUNCTION("""COMPUTED_VALUE"""),1.0)</f>
        <v>1</v>
      </c>
      <c r="G4" s="60">
        <f>IFERROR(__xludf.DUMMYFUNCTION("""COMPUTED_VALUE"""),100.0)</f>
        <v>100</v>
      </c>
      <c r="H4" s="131">
        <f>IFERROR(__xludf.DUMMYFUNCTION("""COMPUTED_VALUE"""),46183.49633101852)</f>
        <v>46183.49633</v>
      </c>
      <c r="I4" s="131">
        <f>IFERROR(__xludf.DUMMYFUNCTION("""COMPUTED_VALUE"""),46183.49633101852)</f>
        <v>46183.49633</v>
      </c>
    </row>
    <row r="5">
      <c r="A5" s="122">
        <f>IFERROR(__xludf.DUMMYFUNCTION("""COMPUTED_VALUE"""),1234.0)</f>
        <v>1234</v>
      </c>
      <c r="B5" s="122" t="str">
        <f>IFERROR(__xludf.DUMMYFUNCTION("""COMPUTED_VALUE"""),"Test")</f>
        <v>Test</v>
      </c>
      <c r="C5" s="122">
        <f>IFERROR(__xludf.DUMMYFUNCTION("""COMPUTED_VALUE"""),5587.0)</f>
        <v>5587</v>
      </c>
      <c r="D5" s="122" t="str">
        <f>IFERROR(__xludf.DUMMYFUNCTION("""COMPUTED_VALUE"""),"Homework Pass")</f>
        <v>Homework Pass</v>
      </c>
      <c r="E5" s="122" t="str">
        <f>IFERROR(__xludf.DUMMYFUNCTION("""COMPUTED_VALUE"""),"Academic")</f>
        <v>Academic</v>
      </c>
      <c r="F5" s="125">
        <f>IFERROR(__xludf.DUMMYFUNCTION("""COMPUTED_VALUE"""),0.0)</f>
        <v>0</v>
      </c>
      <c r="G5" s="60">
        <f>IFERROR(__xludf.DUMMYFUNCTION("""COMPUTED_VALUE"""),600.0)</f>
        <v>600</v>
      </c>
      <c r="H5" s="131">
        <f>IFERROR(__xludf.DUMMYFUNCTION("""COMPUTED_VALUE"""),46183.58010416667)</f>
        <v>46183.5801</v>
      </c>
      <c r="I5" s="131">
        <f>IFERROR(__xludf.DUMMYFUNCTION("""COMPUTED_VALUE"""),46183.64454861111)</f>
        <v>46183.64455</v>
      </c>
    </row>
    <row r="6">
      <c r="A6" s="122">
        <f>IFERROR(__xludf.DUMMYFUNCTION("""COMPUTED_VALUE"""),7302.0)</f>
        <v>7302</v>
      </c>
      <c r="B6" s="122" t="str">
        <f>IFERROR(__xludf.DUMMYFUNCTION("""COMPUTED_VALUE"""),"Claire Yang")</f>
        <v>Claire Yang</v>
      </c>
      <c r="C6" s="122">
        <f>IFERROR(__xludf.DUMMYFUNCTION("""COMPUTED_VALUE"""),5587.0)</f>
        <v>5587</v>
      </c>
      <c r="D6" s="122" t="str">
        <f>IFERROR(__xludf.DUMMYFUNCTION("""COMPUTED_VALUE"""),"Homework Pass")</f>
        <v>Homework Pass</v>
      </c>
      <c r="E6" s="122" t="str">
        <f>IFERROR(__xludf.DUMMYFUNCTION("""COMPUTED_VALUE"""),"Academic")</f>
        <v>Academic</v>
      </c>
      <c r="F6" s="125">
        <f>IFERROR(__xludf.DUMMYFUNCTION("""COMPUTED_VALUE"""),4.0)</f>
        <v>4</v>
      </c>
      <c r="G6" s="60">
        <f>IFERROR(__xludf.DUMMYFUNCTION("""COMPUTED_VALUE"""),800.0)</f>
        <v>800</v>
      </c>
      <c r="H6" s="131">
        <f>IFERROR(__xludf.DUMMYFUNCTION("""COMPUTED_VALUE"""),46183.55645833333)</f>
        <v>46183.55646</v>
      </c>
      <c r="I6" s="131">
        <f>IFERROR(__xludf.DUMMYFUNCTION("""COMPUTED_VALUE"""),46183.55645833333)</f>
        <v>46183.55646</v>
      </c>
    </row>
    <row r="7">
      <c r="A7" s="122">
        <f>IFERROR(__xludf.DUMMYFUNCTION("""COMPUTED_VALUE"""),3466.0)</f>
        <v>3466</v>
      </c>
      <c r="B7" s="122" t="str">
        <f>IFERROR(__xludf.DUMMYFUNCTION("""COMPUTED_VALUE"""),"Jay Kim")</f>
        <v>Jay Kim</v>
      </c>
      <c r="C7" s="122">
        <f>IFERROR(__xludf.DUMMYFUNCTION("""COMPUTED_VALUE"""),9965.0)</f>
        <v>9965</v>
      </c>
      <c r="D7" s="122" t="str">
        <f>IFERROR(__xludf.DUMMYFUNCTION("""COMPUTED_VALUE"""),"Market Prediction Report")</f>
        <v>Market Prediction Report</v>
      </c>
      <c r="E7" s="122" t="str">
        <f>IFERROR(__xludf.DUMMYFUNCTION("""COMPUTED_VALUE"""),"Bonus")</f>
        <v>Bonus</v>
      </c>
      <c r="F7" s="125">
        <f>IFERROR(__xludf.DUMMYFUNCTION("""COMPUTED_VALUE"""),0.0)</f>
        <v>0</v>
      </c>
      <c r="G7" s="60">
        <f>IFERROR(__xludf.DUMMYFUNCTION("""COMPUTED_VALUE"""),100.0)</f>
        <v>100</v>
      </c>
      <c r="H7" s="131">
        <f>IFERROR(__xludf.DUMMYFUNCTION("""COMPUTED_VALUE"""),46183.55420138889)</f>
        <v>46183.5542</v>
      </c>
      <c r="I7" s="131">
        <f>IFERROR(__xludf.DUMMYFUNCTION("""COMPUTED_VALUE"""),46183.57497685185)</f>
        <v>46183.57498</v>
      </c>
    </row>
    <row r="8">
      <c r="A8" s="122">
        <f>IFERROR(__xludf.DUMMYFUNCTION("""COMPUTED_VALUE"""),7302.0)</f>
        <v>7302</v>
      </c>
      <c r="B8" s="122" t="str">
        <f>IFERROR(__xludf.DUMMYFUNCTION("""COMPUTED_VALUE"""),"Claire Yang")</f>
        <v>Claire Yang</v>
      </c>
      <c r="C8" s="122">
        <f>IFERROR(__xludf.DUMMYFUNCTION("""COMPUTED_VALUE"""),2241.0)</f>
        <v>2241</v>
      </c>
      <c r="D8" s="122" t="str">
        <f>IFERROR(__xludf.DUMMYFUNCTION("""COMPUTED_VALUE"""),"Relaxation Pass")</f>
        <v>Relaxation Pass</v>
      </c>
      <c r="E8" s="122" t="str">
        <f>IFERROR(__xludf.DUMMYFUNCTION("""COMPUTED_VALUE"""),"Privilege")</f>
        <v>Privilege</v>
      </c>
      <c r="F8" s="125">
        <f>IFERROR(__xludf.DUMMYFUNCTION("""COMPUTED_VALUE"""),1.0)</f>
        <v>1</v>
      </c>
      <c r="G8" s="60">
        <f>IFERROR(__xludf.DUMMYFUNCTION("""COMPUTED_VALUE"""),100.0)</f>
        <v>100</v>
      </c>
      <c r="H8" s="131">
        <f>IFERROR(__xludf.DUMMYFUNCTION("""COMPUTED_VALUE"""),46183.55446759259)</f>
        <v>46183.55447</v>
      </c>
      <c r="I8" s="131">
        <f>IFERROR(__xludf.DUMMYFUNCTION("""COMPUTED_VALUE"""),46183.55446759259)</f>
        <v>46183.55447</v>
      </c>
    </row>
    <row r="9">
      <c r="A9" s="122">
        <f>IFERROR(__xludf.DUMMYFUNCTION("""COMPUTED_VALUE"""),8300.0)</f>
        <v>8300</v>
      </c>
      <c r="B9" s="122" t="str">
        <f>IFERROR(__xludf.DUMMYFUNCTION("""COMPUTED_VALUE"""),"Andy Lee")</f>
        <v>Andy Lee</v>
      </c>
      <c r="C9" s="122">
        <f>IFERROR(__xludf.DUMMYFUNCTION("""COMPUTED_VALUE"""),3313.0)</f>
        <v>3313</v>
      </c>
      <c r="D9" s="122" t="str">
        <f>IFERROR(__xludf.DUMMYFUNCTION("""COMPUTED_VALUE"""),"+1 Assignment Bonus Token")</f>
        <v>+1 Assignment Bonus Token</v>
      </c>
      <c r="E9" s="122" t="str">
        <f>IFERROR(__xludf.DUMMYFUNCTION("""COMPUTED_VALUE"""),"Academic")</f>
        <v>Academic</v>
      </c>
      <c r="F9" s="125">
        <f>IFERROR(__xludf.DUMMYFUNCTION("""COMPUTED_VALUE"""),2.0)</f>
        <v>2</v>
      </c>
      <c r="G9" s="60">
        <f>IFERROR(__xludf.DUMMYFUNCTION("""COMPUTED_VALUE"""),200.0)</f>
        <v>200</v>
      </c>
      <c r="H9" s="131">
        <f>IFERROR(__xludf.DUMMYFUNCTION("""COMPUTED_VALUE"""),46183.5553125)</f>
        <v>46183.55531</v>
      </c>
      <c r="I9" s="131">
        <f>IFERROR(__xludf.DUMMYFUNCTION("""COMPUTED_VALUE"""),46183.5553125)</f>
        <v>46183.55531</v>
      </c>
    </row>
    <row r="10">
      <c r="A10" s="122">
        <f>IFERROR(__xludf.DUMMYFUNCTION("""COMPUTED_VALUE"""),7302.0)</f>
        <v>7302</v>
      </c>
      <c r="B10" s="122" t="str">
        <f>IFERROR(__xludf.DUMMYFUNCTION("""COMPUTED_VALUE"""),"Claire Yang")</f>
        <v>Claire Yang</v>
      </c>
      <c r="C10" s="122">
        <f>IFERROR(__xludf.DUMMYFUNCTION("""COMPUTED_VALUE"""),6655.0)</f>
        <v>6655</v>
      </c>
      <c r="D10" s="122" t="str">
        <f>IFERROR(__xludf.DUMMYFUNCTION("""COMPUTED_VALUE"""),"Open-Note Quiz Pass")</f>
        <v>Open-Note Quiz Pass</v>
      </c>
      <c r="E10" s="122" t="str">
        <f>IFERROR(__xludf.DUMMYFUNCTION("""COMPUTED_VALUE"""),"Academic")</f>
        <v>Academic</v>
      </c>
      <c r="F10" s="125">
        <f>IFERROR(__xludf.DUMMYFUNCTION("""COMPUTED_VALUE"""),1.0)</f>
        <v>1</v>
      </c>
      <c r="G10" s="60">
        <f>IFERROR(__xludf.DUMMYFUNCTION("""COMPUTED_VALUE"""),100.0)</f>
        <v>100</v>
      </c>
      <c r="H10" s="131">
        <f>IFERROR(__xludf.DUMMYFUNCTION("""COMPUTED_VALUE"""),46183.5568287037)</f>
        <v>46183.55683</v>
      </c>
      <c r="I10" s="131">
        <f>IFERROR(__xludf.DUMMYFUNCTION("""COMPUTED_VALUE"""),46183.5568287037)</f>
        <v>46183.55683</v>
      </c>
    </row>
    <row r="11">
      <c r="A11" s="122">
        <f>IFERROR(__xludf.DUMMYFUNCTION("""COMPUTED_VALUE"""),4647.0)</f>
        <v>4647</v>
      </c>
      <c r="B11" s="122" t="str">
        <f>IFERROR(__xludf.DUMMYFUNCTION("""COMPUTED_VALUE"""),"Jake Kim")</f>
        <v>Jake Kim</v>
      </c>
      <c r="C11" s="122">
        <f>IFERROR(__xludf.DUMMYFUNCTION("""COMPUTED_VALUE"""),5587.0)</f>
        <v>5587</v>
      </c>
      <c r="D11" s="122" t="str">
        <f>IFERROR(__xludf.DUMMYFUNCTION("""COMPUTED_VALUE"""),"Homework Pass")</f>
        <v>Homework Pass</v>
      </c>
      <c r="E11" s="122" t="str">
        <f>IFERROR(__xludf.DUMMYFUNCTION("""COMPUTED_VALUE"""),"Academic")</f>
        <v>Academic</v>
      </c>
      <c r="F11" s="125">
        <f>IFERROR(__xludf.DUMMYFUNCTION("""COMPUTED_VALUE"""),0.0)</f>
        <v>0</v>
      </c>
      <c r="G11" s="60">
        <f>IFERROR(__xludf.DUMMYFUNCTION("""COMPUTED_VALUE"""),200.0)</f>
        <v>200</v>
      </c>
      <c r="H11" s="131">
        <f>IFERROR(__xludf.DUMMYFUNCTION("""COMPUTED_VALUE"""),46183.587129629625)</f>
        <v>46183.58713</v>
      </c>
      <c r="I11" s="131">
        <f>IFERROR(__xludf.DUMMYFUNCTION("""COMPUTED_VALUE"""),46183.58868055556)</f>
        <v>46183.58868</v>
      </c>
    </row>
    <row r="12">
      <c r="A12" s="122">
        <f>IFERROR(__xludf.DUMMYFUNCTION("""COMPUTED_VALUE"""),4647.0)</f>
        <v>4647</v>
      </c>
      <c r="B12" s="122" t="str">
        <f>IFERROR(__xludf.DUMMYFUNCTION("""COMPUTED_VALUE"""),"Jake Kim")</f>
        <v>Jake Kim</v>
      </c>
      <c r="C12" s="122">
        <f>IFERROR(__xludf.DUMMYFUNCTION("""COMPUTED_VALUE"""),2241.0)</f>
        <v>2241</v>
      </c>
      <c r="D12" s="122" t="str">
        <f>IFERROR(__xludf.DUMMYFUNCTION("""COMPUTED_VALUE"""),"Relaxation Pass")</f>
        <v>Relaxation Pass</v>
      </c>
      <c r="E12" s="122" t="str">
        <f>IFERROR(__xludf.DUMMYFUNCTION("""COMPUTED_VALUE"""),"Privilege")</f>
        <v>Privilege</v>
      </c>
      <c r="F12" s="125">
        <f>IFERROR(__xludf.DUMMYFUNCTION("""COMPUTED_VALUE"""),2.0)</f>
        <v>2</v>
      </c>
      <c r="G12" s="60">
        <f>IFERROR(__xludf.DUMMYFUNCTION("""COMPUTED_VALUE"""),200.0)</f>
        <v>200</v>
      </c>
      <c r="H12" s="131">
        <f>IFERROR(__xludf.DUMMYFUNCTION("""COMPUTED_VALUE"""),46183.58738425926)</f>
        <v>46183.58738</v>
      </c>
      <c r="I12" s="131">
        <f>IFERROR(__xludf.DUMMYFUNCTION("""COMPUTED_VALUE"""),46183.58738425926)</f>
        <v>46183.58738</v>
      </c>
    </row>
    <row r="13">
      <c r="A13" s="122">
        <f>IFERROR(__xludf.DUMMYFUNCTION("""COMPUTED_VALUE"""),4647.0)</f>
        <v>4647</v>
      </c>
      <c r="B13" s="122" t="str">
        <f>IFERROR(__xludf.DUMMYFUNCTION("""COMPUTED_VALUE"""),"Jake Kim")</f>
        <v>Jake Kim</v>
      </c>
      <c r="C13" s="122">
        <f>IFERROR(__xludf.DUMMYFUNCTION("""COMPUTED_VALUE"""),3487.0)</f>
        <v>3487</v>
      </c>
      <c r="D13" s="122" t="str">
        <f>IFERROR(__xludf.DUMMYFUNCTION("""COMPUTED_VALUE"""),"Preferred Seating Pass")</f>
        <v>Preferred Seating Pass</v>
      </c>
      <c r="E13" s="122" t="str">
        <f>IFERROR(__xludf.DUMMYFUNCTION("""COMPUTED_VALUE"""),"Privilege")</f>
        <v>Privilege</v>
      </c>
      <c r="F13" s="125">
        <f>IFERROR(__xludf.DUMMYFUNCTION("""COMPUTED_VALUE"""),5.0)</f>
        <v>5</v>
      </c>
      <c r="G13" s="60">
        <f>IFERROR(__xludf.DUMMYFUNCTION("""COMPUTED_VALUE"""),500.0)</f>
        <v>500</v>
      </c>
      <c r="H13" s="131">
        <f>IFERROR(__xludf.DUMMYFUNCTION("""COMPUTED_VALUE"""),46183.58782407407)</f>
        <v>46183.58782</v>
      </c>
      <c r="I13" s="131">
        <f>IFERROR(__xludf.DUMMYFUNCTION("""COMPUTED_VALUE"""),46183.58782407407)</f>
        <v>46183.58782</v>
      </c>
    </row>
    <row r="14">
      <c r="A14" s="122">
        <f>IFERROR(__xludf.DUMMYFUNCTION("""COMPUTED_VALUE"""),7920.0)</f>
        <v>7920</v>
      </c>
      <c r="B14" s="122" t="str">
        <f>IFERROR(__xludf.DUMMYFUNCTION("""COMPUTED_VALUE"""),"Alyssa Shin")</f>
        <v>Alyssa Shin</v>
      </c>
      <c r="C14" s="122">
        <f>IFERROR(__xludf.DUMMYFUNCTION("""COMPUTED_VALUE"""),6655.0)</f>
        <v>6655</v>
      </c>
      <c r="D14" s="122" t="str">
        <f>IFERROR(__xludf.DUMMYFUNCTION("""COMPUTED_VALUE"""),"Open-Note Quiz Pass")</f>
        <v>Open-Note Quiz Pass</v>
      </c>
      <c r="E14" s="122" t="str">
        <f>IFERROR(__xludf.DUMMYFUNCTION("""COMPUTED_VALUE"""),"Academic")</f>
        <v>Academic</v>
      </c>
      <c r="F14" s="125">
        <f>IFERROR(__xludf.DUMMYFUNCTION("""COMPUTED_VALUE"""),1.0)</f>
        <v>1</v>
      </c>
      <c r="G14" s="60">
        <f>IFERROR(__xludf.DUMMYFUNCTION("""COMPUTED_VALUE"""),100.0)</f>
        <v>100</v>
      </c>
      <c r="H14" s="131">
        <f>IFERROR(__xludf.DUMMYFUNCTION("""COMPUTED_VALUE"""),46183.58793981482)</f>
        <v>46183.58794</v>
      </c>
      <c r="I14" s="131">
        <f>IFERROR(__xludf.DUMMYFUNCTION("""COMPUTED_VALUE"""),46183.58793981482)</f>
        <v>46183.58794</v>
      </c>
    </row>
    <row r="15">
      <c r="A15" s="122">
        <f>IFERROR(__xludf.DUMMYFUNCTION("""COMPUTED_VALUE"""),2233.0)</f>
        <v>2233</v>
      </c>
      <c r="B15" s="122" t="str">
        <f>IFERROR(__xludf.DUMMYFUNCTION("""COMPUTED_VALUE"""),"John")</f>
        <v>John</v>
      </c>
      <c r="C15" s="122">
        <f>IFERROR(__xludf.DUMMYFUNCTION("""COMPUTED_VALUE"""),3313.0)</f>
        <v>3313</v>
      </c>
      <c r="D15" s="122" t="str">
        <f>IFERROR(__xludf.DUMMYFUNCTION("""COMPUTED_VALUE"""),"+1 Assignment Bonus Token")</f>
        <v>+1 Assignment Bonus Token</v>
      </c>
      <c r="E15" s="122" t="str">
        <f>IFERROR(__xludf.DUMMYFUNCTION("""COMPUTED_VALUE"""),"Academic")</f>
        <v>Academic</v>
      </c>
      <c r="F15" s="125">
        <f>IFERROR(__xludf.DUMMYFUNCTION("""COMPUTED_VALUE"""),4.0)</f>
        <v>4</v>
      </c>
      <c r="G15" s="60">
        <f>IFERROR(__xludf.DUMMYFUNCTION("""COMPUTED_VALUE"""),500.0)</f>
        <v>500</v>
      </c>
      <c r="H15" s="131">
        <f>IFERROR(__xludf.DUMMYFUNCTION("""COMPUTED_VALUE"""),46183.6499537037)</f>
        <v>46183.64995</v>
      </c>
      <c r="I15" s="131">
        <f>IFERROR(__xludf.DUMMYFUNCTION("""COMPUTED_VALUE"""),46183.6503125)</f>
        <v>46183.65031</v>
      </c>
    </row>
    <row r="16">
      <c r="A16" s="122">
        <f>IFERROR(__xludf.DUMMYFUNCTION("""COMPUTED_VALUE"""),1234.0)</f>
        <v>1234</v>
      </c>
      <c r="B16" s="122" t="str">
        <f>IFERROR(__xludf.DUMMYFUNCTION("""COMPUTED_VALUE"""),"Test")</f>
        <v>Test</v>
      </c>
      <c r="C16" s="122">
        <f>IFERROR(__xludf.DUMMYFUNCTION("""COMPUTED_VALUE"""),6655.0)</f>
        <v>6655</v>
      </c>
      <c r="D16" s="122" t="str">
        <f>IFERROR(__xludf.DUMMYFUNCTION("""COMPUTED_VALUE"""),"Open-Note Quiz Pass")</f>
        <v>Open-Note Quiz Pass</v>
      </c>
      <c r="E16" s="122" t="str">
        <f>IFERROR(__xludf.DUMMYFUNCTION("""COMPUTED_VALUE"""),"Academic")</f>
        <v>Academic</v>
      </c>
      <c r="F16" s="125">
        <f>IFERROR(__xludf.DUMMYFUNCTION("""COMPUTED_VALUE"""),0.0)</f>
        <v>0</v>
      </c>
      <c r="G16" s="60">
        <f>IFERROR(__xludf.DUMMYFUNCTION("""COMPUTED_VALUE"""),100.0)</f>
        <v>100</v>
      </c>
      <c r="H16" s="131">
        <f>IFERROR(__xludf.DUMMYFUNCTION("""COMPUTED_VALUE"""),46183.65277777778)</f>
        <v>46183.65278</v>
      </c>
      <c r="I16" s="131">
        <f>IFERROR(__xludf.DUMMYFUNCTION("""COMPUTED_VALUE"""),46183.654131944444)</f>
        <v>46183.65413</v>
      </c>
    </row>
    <row r="17">
      <c r="A17" s="122">
        <f>IFERROR(__xludf.DUMMYFUNCTION("""COMPUTED_VALUE"""),1234.0)</f>
        <v>1234</v>
      </c>
      <c r="B17" s="122" t="str">
        <f>IFERROR(__xludf.DUMMYFUNCTION("""COMPUTED_VALUE"""),"Test")</f>
        <v>Test</v>
      </c>
      <c r="C17" s="122">
        <f>IFERROR(__xludf.DUMMYFUNCTION("""COMPUTED_VALUE"""),3965.0)</f>
        <v>3965</v>
      </c>
      <c r="D17" s="122" t="str">
        <f>IFERROR(__xludf.DUMMYFUNCTION("""COMPUTED_VALUE"""),"Insurance Contract")</f>
        <v>Insurance Contract</v>
      </c>
      <c r="E17" s="122" t="str">
        <f>IFERROR(__xludf.DUMMYFUNCTION("""COMPUTED_VALUE"""),"Bonus")</f>
        <v>Bonus</v>
      </c>
      <c r="F17" s="125">
        <f>IFERROR(__xludf.DUMMYFUNCTION("""COMPUTED_VALUE"""),0.0)</f>
        <v>0</v>
      </c>
      <c r="G17" s="60">
        <f>IFERROR(__xludf.DUMMYFUNCTION("""COMPUTED_VALUE"""),200.0)</f>
        <v>200</v>
      </c>
      <c r="H17" s="131">
        <f>IFERROR(__xludf.DUMMYFUNCTION("""COMPUTED_VALUE"""),46183.66354166667)</f>
        <v>46183.66354</v>
      </c>
      <c r="I17" s="131">
        <f>IFERROR(__xludf.DUMMYFUNCTION("""COMPUTED_VALUE"""),46183.870787037034)</f>
        <v>46183.87079</v>
      </c>
    </row>
    <row r="18">
      <c r="A18" s="122">
        <f>IFERROR(__xludf.DUMMYFUNCTION("""COMPUTED_VALUE"""),1234.0)</f>
        <v>1234</v>
      </c>
      <c r="B18" s="122" t="str">
        <f>IFERROR(__xludf.DUMMYFUNCTION("""COMPUTED_VALUE"""),"Test")</f>
        <v>Test</v>
      </c>
      <c r="C18" s="122">
        <f>IFERROR(__xludf.DUMMYFUNCTION("""COMPUTED_VALUE"""),7898.0)</f>
        <v>7898</v>
      </c>
      <c r="D18" s="122" t="str">
        <f>IFERROR(__xludf.DUMMYFUNCTION("""COMPUTED_VALUE"""),"Participation Recovery Token")</f>
        <v>Participation Recovery Token</v>
      </c>
      <c r="E18" s="122" t="str">
        <f>IFERROR(__xludf.DUMMYFUNCTION("""COMPUTED_VALUE"""),"Privilege")</f>
        <v>Privilege</v>
      </c>
      <c r="F18" s="125">
        <f>IFERROR(__xludf.DUMMYFUNCTION("""COMPUTED_VALUE"""),0.0)</f>
        <v>0</v>
      </c>
      <c r="G18" s="60">
        <f>IFERROR(__xludf.DUMMYFUNCTION("""COMPUTED_VALUE"""),100.0)</f>
        <v>100</v>
      </c>
      <c r="H18" s="131">
        <f>IFERROR(__xludf.DUMMYFUNCTION("""COMPUTED_VALUE"""),46183.662881944445)</f>
        <v>46183.66288</v>
      </c>
      <c r="I18" s="131">
        <f>IFERROR(__xludf.DUMMYFUNCTION("""COMPUTED_VALUE"""),46184.64734953704)</f>
        <v>46184.64735</v>
      </c>
    </row>
    <row r="19">
      <c r="A19" s="122" t="str">
        <f>IFERROR(__xludf.DUMMYFUNCTION("""COMPUTED_VALUE"""),"7c4e261e")</f>
        <v>7c4e261e</v>
      </c>
      <c r="B19" s="122" t="str">
        <f>IFERROR(__xludf.DUMMYFUNCTION("""COMPUTED_VALUE"""),"Suha Lee")</f>
        <v>Suha Lee</v>
      </c>
      <c r="C19" s="122">
        <f>IFERROR(__xludf.DUMMYFUNCTION("""COMPUTED_VALUE"""),7734.0)</f>
        <v>7734</v>
      </c>
      <c r="D19" s="122" t="str">
        <f>IFERROR(__xludf.DUMMYFUNCTION("""COMPUTED_VALUE"""),"Extra credit 1%")</f>
        <v>Extra credit 1%</v>
      </c>
      <c r="E19" s="122" t="str">
        <f>IFERROR(__xludf.DUMMYFUNCTION("""COMPUTED_VALUE"""),"Academic")</f>
        <v>Academic</v>
      </c>
      <c r="F19" s="125">
        <f>IFERROR(__xludf.DUMMYFUNCTION("""COMPUTED_VALUE"""),0.0)</f>
        <v>0</v>
      </c>
      <c r="G19" s="60">
        <f>IFERROR(__xludf.DUMMYFUNCTION("""COMPUTED_VALUE"""),600.0)</f>
        <v>600</v>
      </c>
      <c r="H19" s="131">
        <f>IFERROR(__xludf.DUMMYFUNCTION("""COMPUTED_VALUE"""),46184.44496527778)</f>
        <v>46184.44497</v>
      </c>
      <c r="I19" s="131">
        <f>IFERROR(__xludf.DUMMYFUNCTION("""COMPUTED_VALUE"""),46184.44567129629)</f>
        <v>46184.44567</v>
      </c>
    </row>
    <row r="20">
      <c r="A20" s="122" t="str">
        <f>IFERROR(__xludf.DUMMYFUNCTION("""COMPUTED_VALUE"""),"5c07fef4")</f>
        <v>5c07fef4</v>
      </c>
      <c r="B20" s="122" t="str">
        <f>IFERROR(__xludf.DUMMYFUNCTION("""COMPUTED_VALUE"""),"Tiffany Kim")</f>
        <v>Tiffany Kim</v>
      </c>
      <c r="C20" s="122">
        <f>IFERROR(__xludf.DUMMYFUNCTION("""COMPUTED_VALUE"""),7734.0)</f>
        <v>7734</v>
      </c>
      <c r="D20" s="122" t="str">
        <f>IFERROR(__xludf.DUMMYFUNCTION("""COMPUTED_VALUE"""),"Extra credit 1%")</f>
        <v>Extra credit 1%</v>
      </c>
      <c r="E20" s="122" t="str">
        <f>IFERROR(__xludf.DUMMYFUNCTION("""COMPUTED_VALUE"""),"Academic")</f>
        <v>Academic</v>
      </c>
      <c r="F20" s="125">
        <f>IFERROR(__xludf.DUMMYFUNCTION("""COMPUTED_VALUE"""),0.0)</f>
        <v>0</v>
      </c>
      <c r="G20" s="60">
        <f>IFERROR(__xludf.DUMMYFUNCTION("""COMPUTED_VALUE"""),300.0)</f>
        <v>300</v>
      </c>
      <c r="H20" s="131">
        <f>IFERROR(__xludf.DUMMYFUNCTION("""COMPUTED_VALUE"""),46184.44913194445)</f>
        <v>46184.44913</v>
      </c>
      <c r="I20" s="131">
        <f>IFERROR(__xludf.DUMMYFUNCTION("""COMPUTED_VALUE"""),46184.45030092593)</f>
        <v>46184.4503</v>
      </c>
    </row>
    <row r="21">
      <c r="A21" s="122">
        <f>IFERROR(__xludf.DUMMYFUNCTION("""COMPUTED_VALUE"""),6665.0)</f>
        <v>6665</v>
      </c>
      <c r="B21" s="122" t="str">
        <f>IFERROR(__xludf.DUMMYFUNCTION("""COMPUTED_VALUE"""),"Jinwoo")</f>
        <v>Jinwoo</v>
      </c>
      <c r="C21" s="122">
        <f>IFERROR(__xludf.DUMMYFUNCTION("""COMPUTED_VALUE"""),7734.0)</f>
        <v>7734</v>
      </c>
      <c r="D21" s="122" t="str">
        <f>IFERROR(__xludf.DUMMYFUNCTION("""COMPUTED_VALUE"""),"Extra credit 1%")</f>
        <v>Extra credit 1%</v>
      </c>
      <c r="E21" s="122" t="str">
        <f>IFERROR(__xludf.DUMMYFUNCTION("""COMPUTED_VALUE"""),"Academic")</f>
        <v>Academic</v>
      </c>
      <c r="F21" s="125">
        <f>IFERROR(__xludf.DUMMYFUNCTION("""COMPUTED_VALUE"""),1.0)</f>
        <v>1</v>
      </c>
      <c r="G21" s="60">
        <f>IFERROR(__xludf.DUMMYFUNCTION("""COMPUTED_VALUE"""),100.0)</f>
        <v>100</v>
      </c>
      <c r="H21" s="131">
        <f>IFERROR(__xludf.DUMMYFUNCTION("""COMPUTED_VALUE"""),46184.530590277776)</f>
        <v>46184.53059</v>
      </c>
      <c r="I21" s="131">
        <f>IFERROR(__xludf.DUMMYFUNCTION("""COMPUTED_VALUE"""),46184.530590277776)</f>
        <v>46184.53059</v>
      </c>
    </row>
    <row r="22">
      <c r="A22" s="122" t="str">
        <f>IFERROR(__xludf.DUMMYFUNCTION("""COMPUTED_VALUE"""),"5a032611")</f>
        <v>5a032611</v>
      </c>
      <c r="B22" s="122" t="str">
        <f>IFERROR(__xludf.DUMMYFUNCTION("""COMPUTED_VALUE"""),"Harold Dou")</f>
        <v>Harold Dou</v>
      </c>
      <c r="C22" s="122">
        <f>IFERROR(__xludf.DUMMYFUNCTION("""COMPUTED_VALUE"""),7734.0)</f>
        <v>7734</v>
      </c>
      <c r="D22" s="122" t="str">
        <f>IFERROR(__xludf.DUMMYFUNCTION("""COMPUTED_VALUE"""),"Extra credit 1%")</f>
        <v>Extra credit 1%</v>
      </c>
      <c r="E22" s="122" t="str">
        <f>IFERROR(__xludf.DUMMYFUNCTION("""COMPUTED_VALUE"""),"Academic")</f>
        <v>Academic</v>
      </c>
      <c r="F22" s="125">
        <f>IFERROR(__xludf.DUMMYFUNCTION("""COMPUTED_VALUE"""),0.0)</f>
        <v>0</v>
      </c>
      <c r="G22" s="60">
        <f>IFERROR(__xludf.DUMMYFUNCTION("""COMPUTED_VALUE"""),1000.0)</f>
        <v>1000</v>
      </c>
      <c r="H22" s="131">
        <f>IFERROR(__xludf.DUMMYFUNCTION("""COMPUTED_VALUE"""),46184.606087962966)</f>
        <v>46184.60609</v>
      </c>
      <c r="I22" s="131">
        <f>IFERROR(__xludf.DUMMYFUNCTION("""COMPUTED_VALUE"""),46185.381689814814)</f>
        <v>46185.38169</v>
      </c>
    </row>
    <row r="23">
      <c r="A23" s="122">
        <f>IFERROR(__xludf.DUMMYFUNCTION("""COMPUTED_VALUE"""),1234.0)</f>
        <v>1234</v>
      </c>
      <c r="B23" s="122" t="str">
        <f>IFERROR(__xludf.DUMMYFUNCTION("""COMPUTED_VALUE"""),"Test")</f>
        <v>Test</v>
      </c>
      <c r="C23" s="122">
        <f>IFERROR(__xludf.DUMMYFUNCTION("""COMPUTED_VALUE"""),7734.0)</f>
        <v>7734</v>
      </c>
      <c r="D23" s="122" t="str">
        <f>IFERROR(__xludf.DUMMYFUNCTION("""COMPUTED_VALUE"""),"Extra credit 1%")</f>
        <v>Extra credit 1%</v>
      </c>
      <c r="E23" s="122" t="str">
        <f>IFERROR(__xludf.DUMMYFUNCTION("""COMPUTED_VALUE"""),"Academic")</f>
        <v>Academic</v>
      </c>
      <c r="F23" s="125">
        <f>IFERROR(__xludf.DUMMYFUNCTION("""COMPUTED_VALUE"""),2.0)</f>
        <v>2</v>
      </c>
      <c r="G23" s="60">
        <f>IFERROR(__xludf.DUMMYFUNCTION("""COMPUTED_VALUE"""),400.0)</f>
        <v>400</v>
      </c>
      <c r="H23" s="131">
        <f>IFERROR(__xludf.DUMMYFUNCTION("""COMPUTED_VALUE"""),46186.37940972222)</f>
        <v>46186.37941</v>
      </c>
      <c r="I23" s="131">
        <f>IFERROR(__xludf.DUMMYFUNCTION("""COMPUTED_VALUE"""),46186.37940972222)</f>
        <v>46186.37941</v>
      </c>
    </row>
    <row r="24">
      <c r="A24" s="122"/>
      <c r="B24" s="122"/>
      <c r="C24" s="122"/>
      <c r="D24" s="122"/>
      <c r="E24" s="122"/>
      <c r="F24" s="122"/>
      <c r="G24" s="122"/>
      <c r="H24" s="122"/>
      <c r="I24" s="122"/>
    </row>
    <row r="25">
      <c r="A25" s="122"/>
      <c r="B25" s="122"/>
      <c r="C25" s="122"/>
      <c r="D25" s="122"/>
      <c r="E25" s="122"/>
      <c r="F25" s="122"/>
      <c r="G25" s="122"/>
      <c r="H25" s="122"/>
      <c r="I25" s="122"/>
    </row>
    <row r="26">
      <c r="A26" s="122"/>
      <c r="B26" s="122"/>
      <c r="C26" s="122"/>
      <c r="D26" s="122"/>
      <c r="E26" s="122"/>
      <c r="F26" s="122"/>
      <c r="G26" s="122"/>
      <c r="H26" s="122"/>
      <c r="I26" s="122"/>
    </row>
    <row r="27">
      <c r="A27" s="122"/>
      <c r="B27" s="122"/>
      <c r="C27" s="122"/>
      <c r="D27" s="122"/>
      <c r="E27" s="122"/>
      <c r="F27" s="122"/>
      <c r="G27" s="122"/>
      <c r="H27" s="122"/>
      <c r="I27" s="122"/>
    </row>
    <row r="28">
      <c r="A28" s="122"/>
      <c r="B28" s="122"/>
      <c r="C28" s="122"/>
      <c r="D28" s="122"/>
      <c r="E28" s="122"/>
      <c r="F28" s="122"/>
      <c r="G28" s="122"/>
      <c r="H28" s="122"/>
      <c r="I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</row>
    <row r="31">
      <c r="A31" s="122"/>
      <c r="B31" s="122"/>
      <c r="C31" s="122"/>
      <c r="D31" s="122"/>
      <c r="E31" s="122"/>
      <c r="F31" s="122"/>
      <c r="G31" s="122"/>
      <c r="H31" s="122"/>
      <c r="I31" s="122"/>
    </row>
    <row r="32">
      <c r="A32" s="122"/>
      <c r="B32" s="122"/>
      <c r="C32" s="122"/>
      <c r="D32" s="122"/>
      <c r="E32" s="122"/>
      <c r="F32" s="122"/>
      <c r="G32" s="122"/>
      <c r="H32" s="122"/>
      <c r="I32" s="122"/>
    </row>
    <row r="33">
      <c r="A33" s="122"/>
      <c r="B33" s="122"/>
      <c r="C33" s="122"/>
      <c r="D33" s="122"/>
      <c r="E33" s="122"/>
      <c r="F33" s="122"/>
      <c r="G33" s="122"/>
      <c r="H33" s="122"/>
      <c r="I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IFERROR(__xludf.DUMMYFUNCTION("IMPORTRANGE(""https://docs.google.com/spreadsheets/d/1xmGsP2eOXdfhJ9DjzCOVFJKoZ2DuuwRb_dbNg1M77M8/edit?gid=138364344#gid=138364344"",""Store!A:G"")"),"Classroom Store")</f>
        <v>Classroom Store</v>
      </c>
      <c r="B1" s="122"/>
      <c r="C1" s="122"/>
      <c r="D1" s="122"/>
      <c r="E1" s="122"/>
      <c r="F1" s="122"/>
      <c r="G1" s="122"/>
    </row>
    <row r="2">
      <c r="A2" s="122"/>
      <c r="B2" s="122"/>
      <c r="C2" s="122"/>
      <c r="D2" s="122"/>
      <c r="E2" s="122"/>
      <c r="F2" s="122"/>
      <c r="G2" s="122"/>
    </row>
    <row r="3">
      <c r="A3" s="122" t="str">
        <f>IFERROR(__xludf.DUMMYFUNCTION("""COMPUTED_VALUE"""),"Item_ID")</f>
        <v>Item_ID</v>
      </c>
      <c r="B3" s="122" t="str">
        <f>IFERROR(__xludf.DUMMYFUNCTION("""COMPUTED_VALUE"""),"Item_Name")</f>
        <v>Item_Name</v>
      </c>
      <c r="C3" s="123" t="str">
        <f>IFERROR(__xludf.DUMMYFUNCTION("""COMPUTED_VALUE"""),"Price")</f>
        <v>Price</v>
      </c>
      <c r="D3" s="122" t="str">
        <f>IFERROR(__xludf.DUMMYFUNCTION("""COMPUTED_VALUE"""),"Active")</f>
        <v>Active</v>
      </c>
      <c r="E3" s="122" t="str">
        <f>IFERROR(__xludf.DUMMYFUNCTION("""COMPUTED_VALUE"""),"Inventory")</f>
        <v>Inventory</v>
      </c>
      <c r="F3" s="122" t="str">
        <f>IFERROR(__xludf.DUMMYFUNCTION("""COMPUTED_VALUE"""),"Category")</f>
        <v>Category</v>
      </c>
      <c r="G3" s="122" t="str">
        <f>IFERROR(__xludf.DUMMYFUNCTION("""COMPUTED_VALUE"""),"Description")</f>
        <v>Description</v>
      </c>
    </row>
    <row r="4">
      <c r="A4" s="122">
        <f>IFERROR(__xludf.DUMMYFUNCTION("""COMPUTED_VALUE"""),5896.0)</f>
        <v>5896</v>
      </c>
      <c r="B4" s="122" t="str">
        <f>IFERROR(__xludf.DUMMYFUNCTION("""COMPUTED_VALUE"""),"Snack Pass")</f>
        <v>Snack Pass</v>
      </c>
      <c r="C4" s="123">
        <f>IFERROR(__xludf.DUMMYFUNCTION("""COMPUTED_VALUE"""),50.0)</f>
        <v>50</v>
      </c>
      <c r="D4" s="122" t="str">
        <f>IFERROR(__xludf.DUMMYFUNCTION("""COMPUTED_VALUE"""),"No")</f>
        <v>No</v>
      </c>
      <c r="E4" s="122">
        <f>IFERROR(__xludf.DUMMYFUNCTION("""COMPUTED_VALUE"""),0.0)</f>
        <v>0</v>
      </c>
      <c r="F4" s="122" t="str">
        <f>IFERROR(__xludf.DUMMYFUNCTION("""COMPUTED_VALUE"""),"Reward")</f>
        <v>Reward</v>
      </c>
      <c r="G4" s="122" t="str">
        <f>IFERROR(__xludf.DUMMYFUNCTION("""COMPUTED_VALUE"""),"Student can eat snacks in the classroom ")</f>
        <v>Student can eat snacks in the classroom </v>
      </c>
    </row>
    <row r="5">
      <c r="A5" s="122">
        <f>IFERROR(__xludf.DUMMYFUNCTION("""COMPUTED_VALUE"""),5587.0)</f>
        <v>5587</v>
      </c>
      <c r="B5" s="122" t="str">
        <f>IFERROR(__xludf.DUMMYFUNCTION("""COMPUTED_VALUE"""),"Homework Pass")</f>
        <v>Homework Pass</v>
      </c>
      <c r="C5" s="123">
        <f>IFERROR(__xludf.DUMMYFUNCTION("""COMPUTED_VALUE"""),200.0)</f>
        <v>200</v>
      </c>
      <c r="D5" s="122" t="str">
        <f>IFERROR(__xludf.DUMMYFUNCTION("""COMPUTED_VALUE"""),"No")</f>
        <v>No</v>
      </c>
      <c r="E5" s="122">
        <f>IFERROR(__xludf.DUMMYFUNCTION("""COMPUTED_VALUE"""),0.0)</f>
        <v>0</v>
      </c>
      <c r="F5" s="122" t="str">
        <f>IFERROR(__xludf.DUMMYFUNCTION("""COMPUTED_VALUE"""),"Academic")</f>
        <v>Academic</v>
      </c>
      <c r="G5" s="122" t="str">
        <f>IFERROR(__xludf.DUMMYFUNCTION("""COMPUTED_VALUE"""),"Student may use one limited homework pass, subject to teacher approval.")</f>
        <v>Student may use one limited homework pass, subject to teacher approval.</v>
      </c>
    </row>
    <row r="6">
      <c r="A6" s="122">
        <f>IFERROR(__xludf.DUMMYFUNCTION("""COMPUTED_VALUE"""),3965.0)</f>
        <v>3965</v>
      </c>
      <c r="B6" s="122" t="str">
        <f>IFERROR(__xludf.DUMMYFUNCTION("""COMPUTED_VALUE"""),"Insurance Contract")</f>
        <v>Insurance Contract</v>
      </c>
      <c r="C6" s="123">
        <f>IFERROR(__xludf.DUMMYFUNCTION("""COMPUTED_VALUE"""),100.0)</f>
        <v>100</v>
      </c>
      <c r="D6" s="122" t="str">
        <f>IFERROR(__xludf.DUMMYFUNCTION("""COMPUTED_VALUE"""),"No")</f>
        <v>No</v>
      </c>
      <c r="E6" s="122">
        <f>IFERROR(__xludf.DUMMYFUNCTION("""COMPUTED_VALUE"""),8.0)</f>
        <v>8</v>
      </c>
      <c r="F6" s="122" t="str">
        <f>IFERROR(__xludf.DUMMYFUNCTION("""COMPUTED_VALUE"""),"Bonus")</f>
        <v>Bonus</v>
      </c>
      <c r="G6" s="122" t="str">
        <f>IFERROR(__xludf.DUMMYFUNCTION("""COMPUTED_VALUE"""),"Protects the student from one negative market event.")</f>
        <v>Protects the student from one negative market event.</v>
      </c>
    </row>
    <row r="7">
      <c r="A7" s="122">
        <f>IFERROR(__xludf.DUMMYFUNCTION("""COMPUTED_VALUE"""),9965.0)</f>
        <v>9965</v>
      </c>
      <c r="B7" s="122" t="str">
        <f>IFERROR(__xludf.DUMMYFUNCTION("""COMPUTED_VALUE"""),"Market Prediction Report")</f>
        <v>Market Prediction Report</v>
      </c>
      <c r="C7" s="123">
        <f>IFERROR(__xludf.DUMMYFUNCTION("""COMPUTED_VALUE"""),100.0)</f>
        <v>100</v>
      </c>
      <c r="D7" s="122" t="str">
        <f>IFERROR(__xludf.DUMMYFUNCTION("""COMPUTED_VALUE"""),"No")</f>
        <v>No</v>
      </c>
      <c r="E7" s="122">
        <f>IFERROR(__xludf.DUMMYFUNCTION("""COMPUTED_VALUE"""),0.0)</f>
        <v>0</v>
      </c>
      <c r="F7" s="122" t="str">
        <f>IFERROR(__xludf.DUMMYFUNCTION("""COMPUTED_VALUE"""),"Bonus")</f>
        <v>Bonus</v>
      </c>
      <c r="G7" s="122" t="str">
        <f>IFERROR(__xludf.DUMMYFUNCTION("""COMPUTED_VALUE"""),"Provides one market prediction news article before the next market update.")</f>
        <v>Provides one market prediction news article before the next market update.</v>
      </c>
    </row>
    <row r="8">
      <c r="A8" s="122">
        <f>IFERROR(__xludf.DUMMYFUNCTION("""COMPUTED_VALUE"""),2241.0)</f>
        <v>2241</v>
      </c>
      <c r="B8" s="122" t="str">
        <f>IFERROR(__xludf.DUMMYFUNCTION("""COMPUTED_VALUE"""),"Relaxation Pass")</f>
        <v>Relaxation Pass</v>
      </c>
      <c r="C8" s="123">
        <f>IFERROR(__xludf.DUMMYFUNCTION("""COMPUTED_VALUE"""),100.0)</f>
        <v>100</v>
      </c>
      <c r="D8" s="122" t="str">
        <f>IFERROR(__xludf.DUMMYFUNCTION("""COMPUTED_VALUE"""),"No")</f>
        <v>No</v>
      </c>
      <c r="E8" s="122">
        <f>IFERROR(__xludf.DUMMYFUNCTION("""COMPUTED_VALUE"""),0.0)</f>
        <v>0</v>
      </c>
      <c r="F8" s="122" t="str">
        <f>IFERROR(__xludf.DUMMYFUNCTION("""COMPUTED_VALUE"""),"Privilege")</f>
        <v>Privilege</v>
      </c>
      <c r="G8" s="122" t="str">
        <f>IFERROR(__xludf.DUMMYFUNCTION("""COMPUTED_VALUE"""),"Allows the student to take one short rest period during class.")</f>
        <v>Allows the student to take one short rest period during class.</v>
      </c>
    </row>
    <row r="9">
      <c r="A9" s="122">
        <f>IFERROR(__xludf.DUMMYFUNCTION("""COMPUTED_VALUE"""),3487.0)</f>
        <v>3487</v>
      </c>
      <c r="B9" s="122" t="str">
        <f>IFERROR(__xludf.DUMMYFUNCTION("""COMPUTED_VALUE"""),"Preferred Seating Pass")</f>
        <v>Preferred Seating Pass</v>
      </c>
      <c r="C9" s="123">
        <f>IFERROR(__xludf.DUMMYFUNCTION("""COMPUTED_VALUE"""),100.0)</f>
        <v>100</v>
      </c>
      <c r="D9" s="122" t="str">
        <f>IFERROR(__xludf.DUMMYFUNCTION("""COMPUTED_VALUE"""),"No")</f>
        <v>No</v>
      </c>
      <c r="E9" s="122">
        <f>IFERROR(__xludf.DUMMYFUNCTION("""COMPUTED_VALUE"""),0.0)</f>
        <v>0</v>
      </c>
      <c r="F9" s="122" t="str">
        <f>IFERROR(__xludf.DUMMYFUNCTION("""COMPUTED_VALUE"""),"Privilege")</f>
        <v>Privilege</v>
      </c>
      <c r="G9" s="122" t="str">
        <f>IFERROR(__xludf.DUMMYFUNCTION("""COMPUTED_VALUE"""),"Student may choose their seat for one class period.")</f>
        <v>Student may choose their seat for one class period.</v>
      </c>
    </row>
    <row r="10">
      <c r="A10" s="122">
        <f>IFERROR(__xludf.DUMMYFUNCTION("""COMPUTED_VALUE"""),6655.0)</f>
        <v>6655</v>
      </c>
      <c r="B10" s="122" t="str">
        <f>IFERROR(__xludf.DUMMYFUNCTION("""COMPUTED_VALUE"""),"Open-Note Quiz Pass")</f>
        <v>Open-Note Quiz Pass</v>
      </c>
      <c r="C10" s="123">
        <f>IFERROR(__xludf.DUMMYFUNCTION("""COMPUTED_VALUE"""),100.0)</f>
        <v>100</v>
      </c>
      <c r="D10" s="122" t="str">
        <f>IFERROR(__xludf.DUMMYFUNCTION("""COMPUTED_VALUE"""),"No")</f>
        <v>No</v>
      </c>
      <c r="E10" s="122">
        <f>IFERROR(__xludf.DUMMYFUNCTION("""COMPUTED_VALUE"""),2.0)</f>
        <v>2</v>
      </c>
      <c r="F10" s="122" t="str">
        <f>IFERROR(__xludf.DUMMYFUNCTION("""COMPUTED_VALUE"""),"Academic")</f>
        <v>Academic</v>
      </c>
      <c r="G10" s="122" t="str">
        <f>IFERROR(__xludf.DUMMYFUNCTION("""COMPUTED_VALUE"""),"Student may use their own notes during one quiz.")</f>
        <v>Student may use their own notes during one quiz.</v>
      </c>
    </row>
    <row r="11">
      <c r="A11" s="122">
        <f>IFERROR(__xludf.DUMMYFUNCTION("""COMPUTED_VALUE"""),7898.0)</f>
        <v>7898</v>
      </c>
      <c r="B11" s="122" t="str">
        <f>IFERROR(__xludf.DUMMYFUNCTION("""COMPUTED_VALUE"""),"Participation Recovery Token")</f>
        <v>Participation Recovery Token</v>
      </c>
      <c r="C11" s="123">
        <f>IFERROR(__xludf.DUMMYFUNCTION("""COMPUTED_VALUE"""),100.0)</f>
        <v>100</v>
      </c>
      <c r="D11" s="122" t="str">
        <f>IFERROR(__xludf.DUMMYFUNCTION("""COMPUTED_VALUE"""),"No")</f>
        <v>No</v>
      </c>
      <c r="E11" s="122">
        <f>IFERROR(__xludf.DUMMYFUNCTION("""COMPUTED_VALUE"""),4.0)</f>
        <v>4</v>
      </c>
      <c r="F11" s="122" t="str">
        <f>IFERROR(__xludf.DUMMYFUNCTION("""COMPUTED_VALUE"""),"Privilege")</f>
        <v>Privilege</v>
      </c>
      <c r="G11" s="122" t="str">
        <f>IFERROR(__xludf.DUMMYFUNCTION("""COMPUTED_VALUE"""),"Student may reserve a preferred seat for one class period.")</f>
        <v>Student may reserve a preferred seat for one class period.</v>
      </c>
    </row>
    <row r="12">
      <c r="A12" s="122">
        <f>IFERROR(__xludf.DUMMYFUNCTION("""COMPUTED_VALUE"""),3313.0)</f>
        <v>3313</v>
      </c>
      <c r="B12" s="122" t="str">
        <f>IFERROR(__xludf.DUMMYFUNCTION("""COMPUTED_VALUE"""),"+1 Assignment Bonus Token")</f>
        <v>+1 Assignment Bonus Token</v>
      </c>
      <c r="C12" s="123">
        <f>IFERROR(__xludf.DUMMYFUNCTION("""COMPUTED_VALUE"""),100.0)</f>
        <v>100</v>
      </c>
      <c r="D12" s="122" t="str">
        <f>IFERROR(__xludf.DUMMYFUNCTION("""COMPUTED_VALUE"""),"No")</f>
        <v>No</v>
      </c>
      <c r="E12" s="122">
        <f>IFERROR(__xludf.DUMMYFUNCTION("""COMPUTED_VALUE"""),3.0)</f>
        <v>3</v>
      </c>
      <c r="F12" s="122" t="str">
        <f>IFERROR(__xludf.DUMMYFUNCTION("""COMPUTED_VALUE"""),"Academic")</f>
        <v>Academic</v>
      </c>
      <c r="G12" s="122" t="str">
        <f>IFERROR(__xludf.DUMMYFUNCTION("""COMPUTED_VALUE"""),"Adds 1 bonus point to one eligible assignment.")</f>
        <v>Adds 1 bonus point to one eligible assignment.</v>
      </c>
    </row>
    <row r="13">
      <c r="A13" s="122">
        <f>IFERROR(__xludf.DUMMYFUNCTION("""COMPUTED_VALUE"""),4478.0)</f>
        <v>4478</v>
      </c>
      <c r="B13" s="122" t="str">
        <f>IFERROR(__xludf.DUMMYFUNCTION("""COMPUTED_VALUE"""),"Assignment Pass")</f>
        <v>Assignment Pass</v>
      </c>
      <c r="C13" s="123">
        <f>IFERROR(__xludf.DUMMYFUNCTION("""COMPUTED_VALUE"""),100.0)</f>
        <v>100</v>
      </c>
      <c r="D13" s="122" t="str">
        <f>IFERROR(__xludf.DUMMYFUNCTION("""COMPUTED_VALUE"""),"No")</f>
        <v>No</v>
      </c>
      <c r="E13" s="122">
        <f>IFERROR(__xludf.DUMMYFUNCTION("""COMPUTED_VALUE"""),10.0)</f>
        <v>10</v>
      </c>
      <c r="F13" s="122" t="str">
        <f>IFERROR(__xludf.DUMMYFUNCTION("""COMPUTED_VALUE"""),"Academic")</f>
        <v>Academic</v>
      </c>
      <c r="G13" s="122" t="str">
        <f>IFERROR(__xludf.DUMMYFUNCTION("""COMPUTED_VALUE"""),"Adds 1 bonus point to one eligible assignment.")</f>
        <v>Adds 1 bonus point to one eligible assignment.</v>
      </c>
    </row>
    <row r="14">
      <c r="A14" s="122">
        <f>IFERROR(__xludf.DUMMYFUNCTION("""COMPUTED_VALUE"""),3649.0)</f>
        <v>3649</v>
      </c>
      <c r="B14" s="122" t="str">
        <f>IFERROR(__xludf.DUMMYFUNCTION("""COMPUTED_VALUE"""),"Test Retake")</f>
        <v>Test Retake</v>
      </c>
      <c r="C14" s="123">
        <f>IFERROR(__xludf.DUMMYFUNCTION("""COMPUTED_VALUE"""),100.0)</f>
        <v>100</v>
      </c>
      <c r="D14" s="122" t="str">
        <f>IFERROR(__xludf.DUMMYFUNCTION("""COMPUTED_VALUE"""),"No")</f>
        <v>No</v>
      </c>
      <c r="E14" s="122">
        <f>IFERROR(__xludf.DUMMYFUNCTION("""COMPUTED_VALUE"""),10.0)</f>
        <v>10</v>
      </c>
      <c r="F14" s="122" t="str">
        <f>IFERROR(__xludf.DUMMYFUNCTION("""COMPUTED_VALUE"""),"Academic")</f>
        <v>Academic</v>
      </c>
      <c r="G14" s="122"/>
    </row>
    <row r="15">
      <c r="A15" s="122">
        <f>IFERROR(__xludf.DUMMYFUNCTION("""COMPUTED_VALUE"""),7589.0)</f>
        <v>7589</v>
      </c>
      <c r="B15" s="122" t="str">
        <f>IFERROR(__xludf.DUMMYFUNCTION("""COMPUTED_VALUE"""),"Essay pass")</f>
        <v>Essay pass</v>
      </c>
      <c r="C15" s="123">
        <f>IFERROR(__xludf.DUMMYFUNCTION("""COMPUTED_VALUE"""),100.0)</f>
        <v>100</v>
      </c>
      <c r="D15" s="122" t="str">
        <f>IFERROR(__xludf.DUMMYFUNCTION("""COMPUTED_VALUE"""),"No")</f>
        <v>No</v>
      </c>
      <c r="E15" s="122">
        <f>IFERROR(__xludf.DUMMYFUNCTION("""COMPUTED_VALUE"""),10.0)</f>
        <v>10</v>
      </c>
      <c r="F15" s="122" t="str">
        <f>IFERROR(__xludf.DUMMYFUNCTION("""COMPUTED_VALUE"""),"Academic")</f>
        <v>Academic</v>
      </c>
      <c r="G15" s="122"/>
    </row>
    <row r="16">
      <c r="A16" s="122">
        <f>IFERROR(__xludf.DUMMYFUNCTION("""COMPUTED_VALUE"""),3345.0)</f>
        <v>3345</v>
      </c>
      <c r="B16" s="122" t="str">
        <f>IFERROR(__xludf.DUMMYFUNCTION("""COMPUTED_VALUE"""),"Assignment Extention ")</f>
        <v>Assignment Extention </v>
      </c>
      <c r="C16" s="123">
        <f>IFERROR(__xludf.DUMMYFUNCTION("""COMPUTED_VALUE"""),100.0)</f>
        <v>100</v>
      </c>
      <c r="D16" s="122" t="str">
        <f>IFERROR(__xludf.DUMMYFUNCTION("""COMPUTED_VALUE"""),"No")</f>
        <v>No</v>
      </c>
      <c r="E16" s="122">
        <f>IFERROR(__xludf.DUMMYFUNCTION("""COMPUTED_VALUE"""),10.0)</f>
        <v>10</v>
      </c>
      <c r="F16" s="122" t="str">
        <f>IFERROR(__xludf.DUMMYFUNCTION("""COMPUTED_VALUE"""),"Academic")</f>
        <v>Academic</v>
      </c>
      <c r="G16" s="122"/>
    </row>
    <row r="17">
      <c r="A17" s="122">
        <f>IFERROR(__xludf.DUMMYFUNCTION("""COMPUTED_VALUE"""),7734.0)</f>
        <v>7734</v>
      </c>
      <c r="B17" s="122" t="str">
        <f>IFERROR(__xludf.DUMMYFUNCTION("""COMPUTED_VALUE"""),"Extra credit 1%")</f>
        <v>Extra credit 1%</v>
      </c>
      <c r="C17" s="123">
        <f>IFERROR(__xludf.DUMMYFUNCTION("""COMPUTED_VALUE"""),100.0)</f>
        <v>100</v>
      </c>
      <c r="D17" s="122" t="str">
        <f>IFERROR(__xludf.DUMMYFUNCTION("""COMPUTED_VALUE"""),"Yes")</f>
        <v>Yes</v>
      </c>
      <c r="E17" s="122">
        <f>IFERROR(__xludf.DUMMYFUNCTION("""COMPUTED_VALUE"""),76.0)</f>
        <v>76</v>
      </c>
      <c r="F17" s="122" t="str">
        <f>IFERROR(__xludf.DUMMYFUNCTION("""COMPUTED_VALUE"""),"Academic")</f>
        <v>Academic</v>
      </c>
      <c r="G17" s="122" t="str">
        <f>IFERROR(__xludf.DUMMYFUNCTION("""COMPUTED_VALUE"""),"Get 1% extra credit on an assignment")</f>
        <v>Get 1% extra credit on an assignment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8.25"/>
    <col customWidth="1" min="2" max="2" width="25.5"/>
    <col customWidth="1" min="3" max="6" width="18.25"/>
    <col customWidth="1" hidden="1" min="7" max="7" width="18.25"/>
    <col customWidth="1" min="8" max="9" width="18.25"/>
  </cols>
  <sheetData>
    <row r="1">
      <c r="A1" s="59" t="s">
        <v>60</v>
      </c>
    </row>
    <row r="2">
      <c r="E2" s="132"/>
      <c r="F2" s="60"/>
      <c r="I2" s="132"/>
    </row>
    <row r="3">
      <c r="A3" s="133" t="s">
        <v>61</v>
      </c>
      <c r="B3" s="134"/>
      <c r="E3" s="132"/>
      <c r="F3" s="60"/>
      <c r="I3" s="132"/>
    </row>
    <row r="4">
      <c r="A4" s="133" t="s">
        <v>62</v>
      </c>
      <c r="B4" s="33"/>
      <c r="E4" s="132"/>
      <c r="F4" s="60"/>
      <c r="I4" s="132"/>
    </row>
    <row r="5">
      <c r="A5" s="133" t="s">
        <v>46</v>
      </c>
      <c r="B5" s="135"/>
      <c r="E5" s="132"/>
      <c r="F5" s="60"/>
      <c r="I5" s="132"/>
    </row>
    <row r="6">
      <c r="A6" s="133" t="s">
        <v>63</v>
      </c>
      <c r="B6" s="136"/>
      <c r="E6" s="132"/>
      <c r="F6" s="60"/>
      <c r="I6" s="132"/>
    </row>
    <row r="7">
      <c r="A7" s="63"/>
      <c r="E7" s="132"/>
      <c r="F7" s="60"/>
      <c r="I7" s="132"/>
    </row>
    <row r="8">
      <c r="A8" s="133" t="s">
        <v>4</v>
      </c>
      <c r="B8" s="64" t="s">
        <v>64</v>
      </c>
      <c r="C8" s="137"/>
      <c r="D8" s="137"/>
      <c r="E8" s="138"/>
      <c r="F8" s="65"/>
      <c r="G8" s="137"/>
      <c r="H8" s="137"/>
      <c r="I8" s="138"/>
    </row>
    <row r="9">
      <c r="A9" s="62"/>
      <c r="B9" s="62"/>
      <c r="C9" s="139"/>
      <c r="D9" s="139"/>
      <c r="E9" s="132"/>
      <c r="F9" s="60"/>
      <c r="G9" s="139"/>
      <c r="H9" s="139"/>
      <c r="I9" s="132"/>
    </row>
    <row r="10">
      <c r="A10" s="62"/>
      <c r="B10" s="62"/>
      <c r="C10" s="139"/>
      <c r="D10" s="139"/>
      <c r="E10" s="132"/>
      <c r="F10" s="60"/>
      <c r="G10" s="139"/>
      <c r="H10" s="139"/>
      <c r="I10" s="132"/>
    </row>
    <row r="11">
      <c r="A11" s="133" t="s">
        <v>65</v>
      </c>
    </row>
    <row r="12">
      <c r="A12" s="67" t="s">
        <v>46</v>
      </c>
      <c r="B12" s="67" t="s">
        <v>66</v>
      </c>
      <c r="C12" s="67" t="s">
        <v>67</v>
      </c>
      <c r="D12" s="67" t="s">
        <v>56</v>
      </c>
      <c r="E12" s="140" t="s">
        <v>68</v>
      </c>
      <c r="F12" s="68" t="s">
        <v>69</v>
      </c>
      <c r="G12" s="67" t="s">
        <v>70</v>
      </c>
      <c r="H12" s="67" t="s">
        <v>71</v>
      </c>
      <c r="I12" s="140" t="s">
        <v>72</v>
      </c>
    </row>
    <row r="13">
      <c r="A13" s="141" t="str">
        <f>IFERROR(__xludf.DUMMYFUNCTION("IFNA(FILTER({Imported_Stock_Market!A2:A77,Imported_Stock_Market!B2:B77,Imported_Stock_Market!C2:C77,Imported_Stock_Market!D2:D77,Imported_Stock_Market!F2:F77,Imported_Stock_Market!G2:G77,Imported_Stock_Market!I2:I77,Imported_Stock_Market!L2:L77,Imported_S"&amp;"tock_Market!O2:O77},Imported_Stock_Market!A2:A77&lt;&gt;""""),""No stock market data found"")"),"SNAX")</f>
        <v>SNAX</v>
      </c>
      <c r="B13" s="141" t="str">
        <f>IFERROR(__xludf.DUMMYFUNCTION("""COMPUTED_VALUE"""),"MICA Snacks")</f>
        <v>MICA Snacks</v>
      </c>
      <c r="C13" s="141" t="str">
        <f>IFERROR(__xludf.DUMMYFUNCTION("""COMPUTED_VALUE"""),"Consumer Goods")</f>
        <v>Consumer Goods</v>
      </c>
      <c r="D13" s="142">
        <f>IFERROR(__xludf.DUMMYFUNCTION("""COMPUTED_VALUE"""),122.55)</f>
        <v>122.55</v>
      </c>
      <c r="E13" s="143">
        <f>IFERROR(__xludf.DUMMYFUNCTION("""COMPUTED_VALUE"""),-3.0E-4)</f>
        <v>-0.0003</v>
      </c>
      <c r="F13" s="142">
        <f>IFERROR(__xludf.DUMMYFUNCTION("""COMPUTED_VALUE"""),-0.04)</f>
        <v>-0.04</v>
      </c>
      <c r="G13" s="144" t="str">
        <f>IFERROR(__xludf.DUMMYFUNCTION("""COMPUTED_VALUE"""),"Stable")</f>
        <v>Stable</v>
      </c>
      <c r="H13" s="145" t="str">
        <f>IFERROR(__xludf.DUMMYFUNCTION("""COMPUTED_VALUE"""),"STOCK")</f>
        <v>STOCK</v>
      </c>
      <c r="I13" s="146"/>
    </row>
    <row r="14">
      <c r="A14" s="147" t="str">
        <f>IFERROR(__xludf.DUMMYFUNCTION("""COMPUTED_VALUE"""),"RAMN")</f>
        <v>RAMN</v>
      </c>
      <c r="B14" s="147" t="str">
        <f>IFERROR(__xludf.DUMMYFUNCTION("""COMPUTED_VALUE"""),"Ramen Republic")</f>
        <v>Ramen Republic</v>
      </c>
      <c r="C14" s="147" t="str">
        <f>IFERROR(__xludf.DUMMYFUNCTION("""COMPUTED_VALUE"""),"Food")</f>
        <v>Food</v>
      </c>
      <c r="D14" s="71">
        <f>IFERROR(__xludf.DUMMYFUNCTION("""COMPUTED_VALUE"""),58.7)</f>
        <v>58.7</v>
      </c>
      <c r="E14" s="148">
        <f>IFERROR(__xludf.DUMMYFUNCTION("""COMPUTED_VALUE"""),3.0E-4)</f>
        <v>0.0003</v>
      </c>
      <c r="F14" s="149">
        <f>IFERROR(__xludf.DUMMYFUNCTION("""COMPUTED_VALUE"""),0.02)</f>
        <v>0.02</v>
      </c>
      <c r="G14" s="150" t="str">
        <f>IFERROR(__xludf.DUMMYFUNCTION("""COMPUTED_VALUE"""),"Crash")</f>
        <v>Crash</v>
      </c>
      <c r="H14" s="151" t="str">
        <f>IFERROR(__xludf.DUMMYFUNCTION("""COMPUTED_VALUE"""),"STOCK")</f>
        <v>STOCK</v>
      </c>
      <c r="I14" s="152"/>
    </row>
    <row r="15">
      <c r="A15" s="153" t="str">
        <f>IFERROR(__xludf.DUMMYFUNCTION("""COMPUTED_VALUE"""),"COLA")</f>
        <v>COLA</v>
      </c>
      <c r="B15" s="153" t="str">
        <f>IFERROR(__xludf.DUMMYFUNCTION("""COMPUTED_VALUE"""),"K-Pop Cola")</f>
        <v>K-Pop Cola</v>
      </c>
      <c r="C15" s="153" t="str">
        <f>IFERROR(__xludf.DUMMYFUNCTION("""COMPUTED_VALUE"""),"Beverage")</f>
        <v>Beverage</v>
      </c>
      <c r="D15" s="77">
        <f>IFERROR(__xludf.DUMMYFUNCTION("""COMPUTED_VALUE"""),116.04)</f>
        <v>116.04</v>
      </c>
      <c r="E15" s="154">
        <f>IFERROR(__xludf.DUMMYFUNCTION("""COMPUTED_VALUE"""),0.0017)</f>
        <v>0.0017</v>
      </c>
      <c r="F15" s="155">
        <f>IFERROR(__xludf.DUMMYFUNCTION("""COMPUTED_VALUE"""),0.2)</f>
        <v>0.2</v>
      </c>
      <c r="G15" s="156" t="str">
        <f>IFERROR(__xludf.DUMMYFUNCTION("""COMPUTED_VALUE"""),"Growth")</f>
        <v>Growth</v>
      </c>
      <c r="H15" s="157" t="str">
        <f>IFERROR(__xludf.DUMMYFUNCTION("""COMPUTED_VALUE"""),"STOCK")</f>
        <v>STOCK</v>
      </c>
      <c r="I15" s="158"/>
    </row>
    <row r="16">
      <c r="A16" s="147" t="str">
        <f>IFERROR(__xludf.DUMMYFUNCTION("""COMPUTED_VALUE"""),"CHIP")</f>
        <v>CHIP</v>
      </c>
      <c r="B16" s="147" t="str">
        <f>IFERROR(__xludf.DUMMYFUNCTION("""COMPUTED_VALUE"""),"Chip Empire")</f>
        <v>Chip Empire</v>
      </c>
      <c r="C16" s="147" t="str">
        <f>IFERROR(__xludf.DUMMYFUNCTION("""COMPUTED_VALUE"""),"Consumer Goods")</f>
        <v>Consumer Goods</v>
      </c>
      <c r="D16" s="71">
        <f>IFERROR(__xludf.DUMMYFUNCTION("""COMPUTED_VALUE"""),81.96)</f>
        <v>81.96</v>
      </c>
      <c r="E16" s="148">
        <f>IFERROR(__xludf.DUMMYFUNCTION("""COMPUTED_VALUE"""),-0.0081)</f>
        <v>-0.0081</v>
      </c>
      <c r="F16" s="159">
        <f>IFERROR(__xludf.DUMMYFUNCTION("""COMPUTED_VALUE"""),-0.67)</f>
        <v>-0.67</v>
      </c>
      <c r="G16" s="160" t="str">
        <f>IFERROR(__xludf.DUMMYFUNCTION("""COMPUTED_VALUE"""),"Stable")</f>
        <v>Stable</v>
      </c>
      <c r="H16" s="151" t="str">
        <f>IFERROR(__xludf.DUMMYFUNCTION("""COMPUTED_VALUE"""),"STOCK")</f>
        <v>STOCK</v>
      </c>
      <c r="I16" s="152"/>
    </row>
    <row r="17">
      <c r="A17" s="153" t="str">
        <f>IFERROR(__xludf.DUMMYFUNCTION("""COMPUTED_VALUE"""),"CAND")</f>
        <v>CAND</v>
      </c>
      <c r="B17" s="153" t="str">
        <f>IFERROR(__xludf.DUMMYFUNCTION("""COMPUTED_VALUE"""),"Candy Capital")</f>
        <v>Candy Capital</v>
      </c>
      <c r="C17" s="153" t="str">
        <f>IFERROR(__xludf.DUMMYFUNCTION("""COMPUTED_VALUE"""),"Consumer Goods")</f>
        <v>Consumer Goods</v>
      </c>
      <c r="D17" s="77">
        <f>IFERROR(__xludf.DUMMYFUNCTION("""COMPUTED_VALUE"""),77.29)</f>
        <v>77.29</v>
      </c>
      <c r="E17" s="154">
        <f>IFERROR(__xludf.DUMMYFUNCTION("""COMPUTED_VALUE"""),0.0034)</f>
        <v>0.0034</v>
      </c>
      <c r="F17" s="161">
        <f>IFERROR(__xludf.DUMMYFUNCTION("""COMPUTED_VALUE"""),0.26)</f>
        <v>0.26</v>
      </c>
      <c r="G17" s="156" t="str">
        <f>IFERROR(__xludf.DUMMYFUNCTION("""COMPUTED_VALUE"""),"Stable")</f>
        <v>Stable</v>
      </c>
      <c r="H17" s="157" t="str">
        <f>IFERROR(__xludf.DUMMYFUNCTION("""COMPUTED_VALUE"""),"STOCK")</f>
        <v>STOCK</v>
      </c>
      <c r="I17" s="158"/>
    </row>
    <row r="18">
      <c r="A18" s="147" t="str">
        <f>IFERROR(__xludf.DUMMYFUNCTION("""COMPUTED_VALUE"""),"TECH")</f>
        <v>TECH</v>
      </c>
      <c r="B18" s="147" t="str">
        <f>IFERROR(__xludf.DUMMYFUNCTION("""COMPUTED_VALUE"""),"Dragon Tech")</f>
        <v>Dragon Tech</v>
      </c>
      <c r="C18" s="147" t="str">
        <f>IFERROR(__xludf.DUMMYFUNCTION("""COMPUTED_VALUE"""),"Technology")</f>
        <v>Technology</v>
      </c>
      <c r="D18" s="71">
        <f>IFERROR(__xludf.DUMMYFUNCTION("""COMPUTED_VALUE"""),246.95)</f>
        <v>246.95</v>
      </c>
      <c r="E18" s="148">
        <f>IFERROR(__xludf.DUMMYFUNCTION("""COMPUTED_VALUE"""),-0.0076)</f>
        <v>-0.0076</v>
      </c>
      <c r="F18" s="162">
        <f>IFERROR(__xludf.DUMMYFUNCTION("""COMPUTED_VALUE"""),-1.89)</f>
        <v>-1.89</v>
      </c>
      <c r="G18" s="160" t="str">
        <f>IFERROR(__xludf.DUMMYFUNCTION("""COMPUTED_VALUE"""),"Growth")</f>
        <v>Growth</v>
      </c>
      <c r="H18" s="151" t="str">
        <f>IFERROR(__xludf.DUMMYFUNCTION("""COMPUTED_VALUE"""),"STOCK")</f>
        <v>STOCK</v>
      </c>
      <c r="I18" s="152"/>
    </row>
    <row r="19">
      <c r="A19" s="153" t="str">
        <f>IFERROR(__xludf.DUMMYFUNCTION("""COMPUTED_VALUE"""),"AIBO")</f>
        <v>AIBO</v>
      </c>
      <c r="B19" s="153" t="str">
        <f>IFERROR(__xludf.DUMMYFUNCTION("""COMPUTED_VALUE"""),"Homework AI")</f>
        <v>Homework AI</v>
      </c>
      <c r="C19" s="153" t="str">
        <f>IFERROR(__xludf.DUMMYFUNCTION("""COMPUTED_VALUE"""),"Technology")</f>
        <v>Technology</v>
      </c>
      <c r="D19" s="77">
        <f>IFERROR(__xludf.DUMMYFUNCTION("""COMPUTED_VALUE"""),194.32)</f>
        <v>194.32</v>
      </c>
      <c r="E19" s="154">
        <f>IFERROR(__xludf.DUMMYFUNCTION("""COMPUTED_VALUE"""),0.0053)</f>
        <v>0.0053</v>
      </c>
      <c r="F19" s="163">
        <f>IFERROR(__xludf.DUMMYFUNCTION("""COMPUTED_VALUE"""),1.02)</f>
        <v>1.02</v>
      </c>
      <c r="G19" s="164" t="str">
        <f>IFERROR(__xludf.DUMMYFUNCTION("""COMPUTED_VALUE"""),"Hot")</f>
        <v>Hot</v>
      </c>
      <c r="H19" s="157" t="str">
        <f>IFERROR(__xludf.DUMMYFUNCTION("""COMPUTED_VALUE"""),"STOCK")</f>
        <v>STOCK</v>
      </c>
      <c r="I19" s="158"/>
    </row>
    <row r="20">
      <c r="A20" s="147" t="str">
        <f>IFERROR(__xludf.DUMMYFUNCTION("""COMPUTED_VALUE"""),"GAME")</f>
        <v>GAME</v>
      </c>
      <c r="B20" s="147" t="str">
        <f>IFERROR(__xludf.DUMMYFUNCTION("""COMPUTED_VALUE"""),"GameBox Media")</f>
        <v>GameBox Media</v>
      </c>
      <c r="C20" s="147" t="str">
        <f>IFERROR(__xludf.DUMMYFUNCTION("""COMPUTED_VALUE"""),"Entertainment")</f>
        <v>Entertainment</v>
      </c>
      <c r="D20" s="71">
        <f>IFERROR(__xludf.DUMMYFUNCTION("""COMPUTED_VALUE"""),103.19)</f>
        <v>103.19</v>
      </c>
      <c r="E20" s="148">
        <f>IFERROR(__xludf.DUMMYFUNCTION("""COMPUTED_VALUE"""),-0.0058)</f>
        <v>-0.0058</v>
      </c>
      <c r="F20" s="165">
        <f>IFERROR(__xludf.DUMMYFUNCTION("""COMPUTED_VALUE"""),-0.6)</f>
        <v>-0.6</v>
      </c>
      <c r="G20" s="150" t="str">
        <f>IFERROR(__xludf.DUMMYFUNCTION("""COMPUTED_VALUE"""),"Stable")</f>
        <v>Stable</v>
      </c>
      <c r="H20" s="151" t="str">
        <f>IFERROR(__xludf.DUMMYFUNCTION("""COMPUTED_VALUE"""),"STOCK")</f>
        <v>STOCK</v>
      </c>
      <c r="I20" s="152"/>
    </row>
    <row r="21">
      <c r="A21" s="153" t="str">
        <f>IFERROR(__xludf.DUMMYFUNCTION("""COMPUTED_VALUE"""),"VRSE")</f>
        <v>VRSE</v>
      </c>
      <c r="B21" s="153" t="str">
        <f>IFERROR(__xludf.DUMMYFUNCTION("""COMPUTED_VALUE"""),"VerseVR")</f>
        <v>VerseVR</v>
      </c>
      <c r="C21" s="153" t="str">
        <f>IFERROR(__xludf.DUMMYFUNCTION("""COMPUTED_VALUE"""),"Technology")</f>
        <v>Technology</v>
      </c>
      <c r="D21" s="77">
        <f>IFERROR(__xludf.DUMMYFUNCTION("""COMPUTED_VALUE"""),146.1)</f>
        <v>146.1</v>
      </c>
      <c r="E21" s="154">
        <f>IFERROR(__xludf.DUMMYFUNCTION("""COMPUTED_VALUE"""),-0.0065)</f>
        <v>-0.0065</v>
      </c>
      <c r="F21" s="166">
        <f>IFERROR(__xludf.DUMMYFUNCTION("""COMPUTED_VALUE"""),-0.95)</f>
        <v>-0.95</v>
      </c>
      <c r="G21" s="156" t="str">
        <f>IFERROR(__xludf.DUMMYFUNCTION("""COMPUTED_VALUE"""),"Stable")</f>
        <v>Stable</v>
      </c>
      <c r="H21" s="157" t="str">
        <f>IFERROR(__xludf.DUMMYFUNCTION("""COMPUTED_VALUE"""),"STOCK")</f>
        <v>STOCK</v>
      </c>
      <c r="I21" s="158"/>
    </row>
    <row r="22">
      <c r="A22" s="147" t="str">
        <f>IFERROR(__xludf.DUMMYFUNCTION("""COMPUTED_VALUE"""),"BYTE")</f>
        <v>BYTE</v>
      </c>
      <c r="B22" s="147" t="str">
        <f>IFERROR(__xludf.DUMMYFUNCTION("""COMPUTED_VALUE"""),"ByteWorks")</f>
        <v>ByteWorks</v>
      </c>
      <c r="C22" s="147" t="str">
        <f>IFERROR(__xludf.DUMMYFUNCTION("""COMPUTED_VALUE"""),"Technology")</f>
        <v>Technology</v>
      </c>
      <c r="D22" s="71">
        <f>IFERROR(__xludf.DUMMYFUNCTION("""COMPUTED_VALUE"""),110.27)</f>
        <v>110.27</v>
      </c>
      <c r="E22" s="148">
        <f>IFERROR(__xludf.DUMMYFUNCTION("""COMPUTED_VALUE"""),-0.0093)</f>
        <v>-0.0093</v>
      </c>
      <c r="F22" s="167">
        <f>IFERROR(__xludf.DUMMYFUNCTION("""COMPUTED_VALUE"""),-1.03)</f>
        <v>-1.03</v>
      </c>
      <c r="G22" s="150" t="str">
        <f>IFERROR(__xludf.DUMMYFUNCTION("""COMPUTED_VALUE"""),"Stable")</f>
        <v>Stable</v>
      </c>
      <c r="H22" s="151" t="str">
        <f>IFERROR(__xludf.DUMMYFUNCTION("""COMPUTED_VALUE"""),"STOCK")</f>
        <v>STOCK</v>
      </c>
      <c r="I22" s="152"/>
    </row>
    <row r="23">
      <c r="A23" s="153" t="str">
        <f>IFERROR(__xludf.DUMMYFUNCTION("""COMPUTED_VALUE"""),"BANK")</f>
        <v>BANK</v>
      </c>
      <c r="B23" s="153" t="str">
        <f>IFERROR(__xludf.DUMMYFUNCTION("""COMPUTED_VALUE"""),"Tiger Bank")</f>
        <v>Tiger Bank</v>
      </c>
      <c r="C23" s="153" t="str">
        <f>IFERROR(__xludf.DUMMYFUNCTION("""COMPUTED_VALUE"""),"Finance")</f>
        <v>Finance</v>
      </c>
      <c r="D23" s="77">
        <f>IFERROR(__xludf.DUMMYFUNCTION("""COMPUTED_VALUE"""),133.21)</f>
        <v>133.21</v>
      </c>
      <c r="E23" s="154">
        <f>IFERROR(__xludf.DUMMYFUNCTION("""COMPUTED_VALUE"""),-6.0E-4)</f>
        <v>-0.0006</v>
      </c>
      <c r="F23" s="168">
        <f>IFERROR(__xludf.DUMMYFUNCTION("""COMPUTED_VALUE"""),-0.08)</f>
        <v>-0.08</v>
      </c>
      <c r="G23" s="164" t="str">
        <f>IFERROR(__xludf.DUMMYFUNCTION("""COMPUTED_VALUE"""),"Volatile")</f>
        <v>Volatile</v>
      </c>
      <c r="H23" s="157" t="str">
        <f>IFERROR(__xludf.DUMMYFUNCTION("""COMPUTED_VALUE"""),"STOCK")</f>
        <v>STOCK</v>
      </c>
      <c r="I23" s="158"/>
    </row>
    <row r="24">
      <c r="A24" s="147" t="str">
        <f>IFERROR(__xludf.DUMMYFUNCTION("""COMPUTED_VALUE"""),"CRED")</f>
        <v>CRED</v>
      </c>
      <c r="B24" s="147" t="str">
        <f>IFERROR(__xludf.DUMMYFUNCTION("""COMPUTED_VALUE"""),"Credit Castle")</f>
        <v>Credit Castle</v>
      </c>
      <c r="C24" s="147" t="str">
        <f>IFERROR(__xludf.DUMMYFUNCTION("""COMPUTED_VALUE"""),"Finance")</f>
        <v>Finance</v>
      </c>
      <c r="D24" s="71">
        <f>IFERROR(__xludf.DUMMYFUNCTION("""COMPUTED_VALUE"""),67.35)</f>
        <v>67.35</v>
      </c>
      <c r="E24" s="148">
        <f>IFERROR(__xludf.DUMMYFUNCTION("""COMPUTED_VALUE"""),-0.0036)</f>
        <v>-0.0036</v>
      </c>
      <c r="F24" s="169">
        <f>IFERROR(__xludf.DUMMYFUNCTION("""COMPUTED_VALUE"""),-0.24)</f>
        <v>-0.24</v>
      </c>
      <c r="G24" s="150" t="str">
        <f>IFERROR(__xludf.DUMMYFUNCTION("""COMPUTED_VALUE"""),"Stable")</f>
        <v>Stable</v>
      </c>
      <c r="H24" s="151" t="str">
        <f>IFERROR(__xludf.DUMMYFUNCTION("""COMPUTED_VALUE"""),"STOCK")</f>
        <v>STOCK</v>
      </c>
      <c r="I24" s="152"/>
    </row>
    <row r="25">
      <c r="A25" s="153" t="str">
        <f>IFERROR(__xludf.DUMMYFUNCTION("""COMPUTED_VALUE"""),"BOND")</f>
        <v>BOND</v>
      </c>
      <c r="B25" s="153" t="str">
        <f>IFERROR(__xludf.DUMMYFUNCTION("""COMPUTED_VALUE"""),"BondBridge")</f>
        <v>BondBridge</v>
      </c>
      <c r="C25" s="153" t="str">
        <f>IFERROR(__xludf.DUMMYFUNCTION("""COMPUTED_VALUE"""),"Finance")</f>
        <v>Finance</v>
      </c>
      <c r="D25" s="77">
        <f>IFERROR(__xludf.DUMMYFUNCTION("""COMPUTED_VALUE"""),108.25)</f>
        <v>108.25</v>
      </c>
      <c r="E25" s="154">
        <f>IFERROR(__xludf.DUMMYFUNCTION("""COMPUTED_VALUE"""),0.0017)</f>
        <v>0.0017</v>
      </c>
      <c r="F25" s="170">
        <f>IFERROR(__xludf.DUMMYFUNCTION("""COMPUTED_VALUE"""),0.18)</f>
        <v>0.18</v>
      </c>
      <c r="G25" s="156" t="str">
        <f>IFERROR(__xludf.DUMMYFUNCTION("""COMPUTED_VALUE"""),"Growth")</f>
        <v>Growth</v>
      </c>
      <c r="H25" s="157" t="str">
        <f>IFERROR(__xludf.DUMMYFUNCTION("""COMPUTED_VALUE"""),"STOCK")</f>
        <v>STOCK</v>
      </c>
      <c r="I25" s="158"/>
    </row>
    <row r="26">
      <c r="A26" s="147" t="str">
        <f>IFERROR(__xludf.DUMMYFUNCTION("""COMPUTED_VALUE"""),"INSR")</f>
        <v>INSR</v>
      </c>
      <c r="B26" s="147" t="str">
        <f>IFERROR(__xludf.DUMMYFUNCTION("""COMPUTED_VALUE"""),"Shield Insurance")</f>
        <v>Shield Insurance</v>
      </c>
      <c r="C26" s="147" t="str">
        <f>IFERROR(__xludf.DUMMYFUNCTION("""COMPUTED_VALUE"""),"Finance")</f>
        <v>Finance</v>
      </c>
      <c r="D26" s="71">
        <f>IFERROR(__xludf.DUMMYFUNCTION("""COMPUTED_VALUE"""),158.44)</f>
        <v>158.44</v>
      </c>
      <c r="E26" s="148">
        <f>IFERROR(__xludf.DUMMYFUNCTION("""COMPUTED_VALUE"""),-0.0019)</f>
        <v>-0.0019</v>
      </c>
      <c r="F26" s="171">
        <f>IFERROR(__xludf.DUMMYFUNCTION("""COMPUTED_VALUE"""),-0.3)</f>
        <v>-0.3</v>
      </c>
      <c r="G26" s="160" t="str">
        <f>IFERROR(__xludf.DUMMYFUNCTION("""COMPUTED_VALUE"""),"Stable")</f>
        <v>Stable</v>
      </c>
      <c r="H26" s="151" t="str">
        <f>IFERROR(__xludf.DUMMYFUNCTION("""COMPUTED_VALUE"""),"STOCK")</f>
        <v>STOCK</v>
      </c>
      <c r="I26" s="152"/>
    </row>
    <row r="27">
      <c r="A27" s="153" t="str">
        <f>IFERROR(__xludf.DUMMYFUNCTION("""COMPUTED_VALUE"""),"LOAN")</f>
        <v>LOAN</v>
      </c>
      <c r="B27" s="153" t="str">
        <f>IFERROR(__xludf.DUMMYFUNCTION("""COMPUTED_VALUE"""),"LoanLab")</f>
        <v>LoanLab</v>
      </c>
      <c r="C27" s="153" t="str">
        <f>IFERROR(__xludf.DUMMYFUNCTION("""COMPUTED_VALUE"""),"Finance")</f>
        <v>Finance</v>
      </c>
      <c r="D27" s="77">
        <f>IFERROR(__xludf.DUMMYFUNCTION("""COMPUTED_VALUE"""),76.99)</f>
        <v>76.99</v>
      </c>
      <c r="E27" s="154">
        <f>IFERROR(__xludf.DUMMYFUNCTION("""COMPUTED_VALUE"""),0.0076)</f>
        <v>0.0076</v>
      </c>
      <c r="F27" s="172">
        <f>IFERROR(__xludf.DUMMYFUNCTION("""COMPUTED_VALUE"""),0.58)</f>
        <v>0.58</v>
      </c>
      <c r="G27" s="164" t="str">
        <f>IFERROR(__xludf.DUMMYFUNCTION("""COMPUTED_VALUE"""),"Hot")</f>
        <v>Hot</v>
      </c>
      <c r="H27" s="157" t="str">
        <f>IFERROR(__xludf.DUMMYFUNCTION("""COMPUTED_VALUE"""),"STOCK")</f>
        <v>STOCK</v>
      </c>
      <c r="I27" s="158"/>
    </row>
    <row r="28">
      <c r="A28" s="147" t="str">
        <f>IFERROR(__xludf.DUMMYFUNCTION("""COMPUTED_VALUE"""),"LUXE")</f>
        <v>LUXE</v>
      </c>
      <c r="B28" s="147" t="str">
        <f>IFERROR(__xludf.DUMMYFUNCTION("""COMPUTED_VALUE"""),"Luxury Locker")</f>
        <v>Luxury Locker</v>
      </c>
      <c r="C28" s="147" t="str">
        <f>IFERROR(__xludf.DUMMYFUNCTION("""COMPUTED_VALUE"""),"Luxury Goods")</f>
        <v>Luxury Goods</v>
      </c>
      <c r="D28" s="71">
        <f>IFERROR(__xludf.DUMMYFUNCTION("""COMPUTED_VALUE"""),272.26)</f>
        <v>272.26</v>
      </c>
      <c r="E28" s="148">
        <f>IFERROR(__xludf.DUMMYFUNCTION("""COMPUTED_VALUE"""),0.0011)</f>
        <v>0.0011</v>
      </c>
      <c r="F28" s="173">
        <f>IFERROR(__xludf.DUMMYFUNCTION("""COMPUTED_VALUE"""),0.3)</f>
        <v>0.3</v>
      </c>
      <c r="G28" s="150" t="str">
        <f>IFERROR(__xludf.DUMMYFUNCTION("""COMPUTED_VALUE"""),"Stable")</f>
        <v>Stable</v>
      </c>
      <c r="H28" s="151" t="str">
        <f>IFERROR(__xludf.DUMMYFUNCTION("""COMPUTED_VALUE"""),"STOCK")</f>
        <v>STOCK</v>
      </c>
      <c r="I28" s="152"/>
    </row>
    <row r="29">
      <c r="A29" s="153" t="str">
        <f>IFERROR(__xludf.DUMMYFUNCTION("""COMPUTED_VALUE"""),"DRIP")</f>
        <v>DRIP</v>
      </c>
      <c r="B29" s="153" t="str">
        <f>IFERROR(__xludf.DUMMYFUNCTION("""COMPUTED_VALUE"""),"Drip Streetwear")</f>
        <v>Drip Streetwear</v>
      </c>
      <c r="C29" s="153" t="str">
        <f>IFERROR(__xludf.DUMMYFUNCTION("""COMPUTED_VALUE"""),"Fashion")</f>
        <v>Fashion</v>
      </c>
      <c r="D29" s="77">
        <f>IFERROR(__xludf.DUMMYFUNCTION("""COMPUTED_VALUE"""),191.93)</f>
        <v>191.93</v>
      </c>
      <c r="E29" s="154">
        <f>IFERROR(__xludf.DUMMYFUNCTION("""COMPUTED_VALUE"""),0.0082)</f>
        <v>0.0082</v>
      </c>
      <c r="F29" s="174">
        <f>IFERROR(__xludf.DUMMYFUNCTION("""COMPUTED_VALUE"""),1.57)</f>
        <v>1.57</v>
      </c>
      <c r="G29" s="164" t="str">
        <f>IFERROR(__xludf.DUMMYFUNCTION("""COMPUTED_VALUE"""),"Decline")</f>
        <v>Decline</v>
      </c>
      <c r="H29" s="157" t="str">
        <f>IFERROR(__xludf.DUMMYFUNCTION("""COMPUTED_VALUE"""),"STOCK")</f>
        <v>STOCK</v>
      </c>
      <c r="I29" s="158"/>
    </row>
    <row r="30">
      <c r="A30" s="147" t="str">
        <f>IFERROR(__xludf.DUMMYFUNCTION("""COMPUTED_VALUE"""),"KICK")</f>
        <v>KICK</v>
      </c>
      <c r="B30" s="147" t="str">
        <f>IFERROR(__xludf.DUMMYFUNCTION("""COMPUTED_VALUE"""),"KickDrop Sneakers")</f>
        <v>KickDrop Sneakers</v>
      </c>
      <c r="C30" s="147" t="str">
        <f>IFERROR(__xludf.DUMMYFUNCTION("""COMPUTED_VALUE"""),"Fashion")</f>
        <v>Fashion</v>
      </c>
      <c r="D30" s="71">
        <f>IFERROR(__xludf.DUMMYFUNCTION("""COMPUTED_VALUE"""),169.19)</f>
        <v>169.19</v>
      </c>
      <c r="E30" s="148">
        <f>IFERROR(__xludf.DUMMYFUNCTION("""COMPUTED_VALUE"""),-0.0034)</f>
        <v>-0.0034</v>
      </c>
      <c r="F30" s="175">
        <f>IFERROR(__xludf.DUMMYFUNCTION("""COMPUTED_VALUE"""),-0.57)</f>
        <v>-0.57</v>
      </c>
      <c r="G30" s="160" t="str">
        <f>IFERROR(__xludf.DUMMYFUNCTION("""COMPUTED_VALUE"""),"Volatile")</f>
        <v>Volatile</v>
      </c>
      <c r="H30" s="151" t="str">
        <f>IFERROR(__xludf.DUMMYFUNCTION("""COMPUTED_VALUE"""),"STOCK")</f>
        <v>STOCK</v>
      </c>
      <c r="I30" s="152"/>
    </row>
    <row r="31">
      <c r="A31" s="153" t="str">
        <f>IFERROR(__xludf.DUMMYFUNCTION("""COMPUTED_VALUE"""),"GLAM")</f>
        <v>GLAM</v>
      </c>
      <c r="B31" s="153" t="str">
        <f>IFERROR(__xludf.DUMMYFUNCTION("""COMPUTED_VALUE"""),"Glow Cosmetics")</f>
        <v>Glow Cosmetics</v>
      </c>
      <c r="C31" s="153" t="str">
        <f>IFERROR(__xludf.DUMMYFUNCTION("""COMPUTED_VALUE"""),"Fashion")</f>
        <v>Fashion</v>
      </c>
      <c r="D31" s="77">
        <f>IFERROR(__xludf.DUMMYFUNCTION("""COMPUTED_VALUE"""),113.44)</f>
        <v>113.44</v>
      </c>
      <c r="E31" s="154">
        <f>IFERROR(__xludf.DUMMYFUNCTION("""COMPUTED_VALUE"""),0.0042)</f>
        <v>0.0042</v>
      </c>
      <c r="F31" s="172">
        <f>IFERROR(__xludf.DUMMYFUNCTION("""COMPUTED_VALUE"""),0.47)</f>
        <v>0.47</v>
      </c>
      <c r="G31" s="164" t="str">
        <f>IFERROR(__xludf.DUMMYFUNCTION("""COMPUTED_VALUE"""),"Growth")</f>
        <v>Growth</v>
      </c>
      <c r="H31" s="157" t="str">
        <f>IFERROR(__xludf.DUMMYFUNCTION("""COMPUTED_VALUE"""),"STOCK")</f>
        <v>STOCK</v>
      </c>
      <c r="I31" s="158"/>
    </row>
    <row r="32">
      <c r="A32" s="147" t="str">
        <f>IFERROR(__xludf.DUMMYFUNCTION("""COMPUTED_VALUE"""),"BAGG")</f>
        <v>BAGG</v>
      </c>
      <c r="B32" s="147" t="str">
        <f>IFERROR(__xludf.DUMMYFUNCTION("""COMPUTED_VALUE"""),"BagVault")</f>
        <v>BagVault</v>
      </c>
      <c r="C32" s="147" t="str">
        <f>IFERROR(__xludf.DUMMYFUNCTION("""COMPUTED_VALUE"""),"Fashion")</f>
        <v>Fashion</v>
      </c>
      <c r="D32" s="71">
        <f>IFERROR(__xludf.DUMMYFUNCTION("""COMPUTED_VALUE"""),281.53)</f>
        <v>281.53</v>
      </c>
      <c r="E32" s="148">
        <f>IFERROR(__xludf.DUMMYFUNCTION("""COMPUTED_VALUE"""),0.0016)</f>
        <v>0.0016</v>
      </c>
      <c r="F32" s="176">
        <f>IFERROR(__xludf.DUMMYFUNCTION("""COMPUTED_VALUE"""),0.46)</f>
        <v>0.46</v>
      </c>
      <c r="G32" s="150" t="str">
        <f>IFERROR(__xludf.DUMMYFUNCTION("""COMPUTED_VALUE"""),"Growth")</f>
        <v>Growth</v>
      </c>
      <c r="H32" s="151" t="str">
        <f>IFERROR(__xludf.DUMMYFUNCTION("""COMPUTED_VALUE"""),"STOCK")</f>
        <v>STOCK</v>
      </c>
      <c r="I32" s="152"/>
    </row>
    <row r="33">
      <c r="A33" s="153" t="str">
        <f>IFERROR(__xludf.DUMMYFUNCTION("""COMPUTED_VALUE"""),"FAST")</f>
        <v>FAST</v>
      </c>
      <c r="B33" s="153" t="str">
        <f>IFERROR(__xludf.DUMMYFUNCTION("""COMPUTED_VALUE"""),"Flash Logistics")</f>
        <v>Flash Logistics</v>
      </c>
      <c r="C33" s="153" t="str">
        <f>IFERROR(__xludf.DUMMYFUNCTION("""COMPUTED_VALUE"""),"Logistics")</f>
        <v>Logistics</v>
      </c>
      <c r="D33" s="77">
        <f>IFERROR(__xludf.DUMMYFUNCTION("""COMPUTED_VALUE"""),111.39)</f>
        <v>111.39</v>
      </c>
      <c r="E33" s="154">
        <f>IFERROR(__xludf.DUMMYFUNCTION("""COMPUTED_VALUE"""),0.0033)</f>
        <v>0.0033</v>
      </c>
      <c r="F33" s="163">
        <f>IFERROR(__xludf.DUMMYFUNCTION("""COMPUTED_VALUE"""),0.37)</f>
        <v>0.37</v>
      </c>
      <c r="G33" s="164" t="str">
        <f>IFERROR(__xludf.DUMMYFUNCTION("""COMPUTED_VALUE"""),"Growth")</f>
        <v>Growth</v>
      </c>
      <c r="H33" s="157" t="str">
        <f>IFERROR(__xludf.DUMMYFUNCTION("""COMPUTED_VALUE"""),"STOCK")</f>
        <v>STOCK</v>
      </c>
      <c r="I33" s="158"/>
    </row>
    <row r="34">
      <c r="A34" s="147" t="str">
        <f>IFERROR(__xludf.DUMMYFUNCTION("""COMPUTED_VALUE"""),"SHIP")</f>
        <v>SHIP</v>
      </c>
      <c r="B34" s="147" t="str">
        <f>IFERROR(__xludf.DUMMYFUNCTION("""COMPUTED_VALUE"""),"Seoul Shipping")</f>
        <v>Seoul Shipping</v>
      </c>
      <c r="C34" s="147" t="str">
        <f>IFERROR(__xludf.DUMMYFUNCTION("""COMPUTED_VALUE"""),"Logistics")</f>
        <v>Logistics</v>
      </c>
      <c r="D34" s="71">
        <f>IFERROR(__xludf.DUMMYFUNCTION("""COMPUTED_VALUE"""),132.25)</f>
        <v>132.25</v>
      </c>
      <c r="E34" s="148">
        <f>IFERROR(__xludf.DUMMYFUNCTION("""COMPUTED_VALUE"""),-0.0067)</f>
        <v>-0.0067</v>
      </c>
      <c r="F34" s="177">
        <f>IFERROR(__xludf.DUMMYFUNCTION("""COMPUTED_VALUE"""),-0.89)</f>
        <v>-0.89</v>
      </c>
      <c r="G34" s="150" t="str">
        <f>IFERROR(__xludf.DUMMYFUNCTION("""COMPUTED_VALUE"""),"Stable")</f>
        <v>Stable</v>
      </c>
      <c r="H34" s="151" t="str">
        <f>IFERROR(__xludf.DUMMYFUNCTION("""COMPUTED_VALUE"""),"STOCK")</f>
        <v>STOCK</v>
      </c>
      <c r="I34" s="152"/>
    </row>
    <row r="35">
      <c r="A35" s="153" t="str">
        <f>IFERROR(__xludf.DUMMYFUNCTION("""COMPUTED_VALUE"""),"DRON")</f>
        <v>DRON</v>
      </c>
      <c r="B35" s="153" t="str">
        <f>IFERROR(__xludf.DUMMYFUNCTION("""COMPUTED_VALUE"""),"DroneDrop")</f>
        <v>DroneDrop</v>
      </c>
      <c r="C35" s="153" t="str">
        <f>IFERROR(__xludf.DUMMYFUNCTION("""COMPUTED_VALUE"""),"Logistics")</f>
        <v>Logistics</v>
      </c>
      <c r="D35" s="77">
        <f>IFERROR(__xludf.DUMMYFUNCTION("""COMPUTED_VALUE"""),121.18)</f>
        <v>121.18</v>
      </c>
      <c r="E35" s="154">
        <f>IFERROR(__xludf.DUMMYFUNCTION("""COMPUTED_VALUE"""),-0.0104)</f>
        <v>-0.0104</v>
      </c>
      <c r="F35" s="169">
        <f>IFERROR(__xludf.DUMMYFUNCTION("""COMPUTED_VALUE"""),-1.27)</f>
        <v>-1.27</v>
      </c>
      <c r="G35" s="156" t="str">
        <f>IFERROR(__xludf.DUMMYFUNCTION("""COMPUTED_VALUE"""),"Stable")</f>
        <v>Stable</v>
      </c>
      <c r="H35" s="157" t="str">
        <f>IFERROR(__xludf.DUMMYFUNCTION("""COMPUTED_VALUE"""),"STOCK")</f>
        <v>STOCK</v>
      </c>
      <c r="I35" s="158"/>
    </row>
    <row r="36">
      <c r="A36" s="147" t="str">
        <f>IFERROR(__xludf.DUMMYFUNCTION("""COMPUTED_VALUE"""),"RIDE")</f>
        <v>RIDE</v>
      </c>
      <c r="B36" s="147" t="str">
        <f>IFERROR(__xludf.DUMMYFUNCTION("""COMPUTED_VALUE"""),"QuickRide")</f>
        <v>QuickRide</v>
      </c>
      <c r="C36" s="147" t="str">
        <f>IFERROR(__xludf.DUMMYFUNCTION("""COMPUTED_VALUE"""),"Transportation")</f>
        <v>Transportation</v>
      </c>
      <c r="D36" s="71">
        <f>IFERROR(__xludf.DUMMYFUNCTION("""COMPUTED_VALUE"""),98.17)</f>
        <v>98.17</v>
      </c>
      <c r="E36" s="148">
        <f>IFERROR(__xludf.DUMMYFUNCTION("""COMPUTED_VALUE"""),-0.0066)</f>
        <v>-0.0066</v>
      </c>
      <c r="F36" s="178">
        <f>IFERROR(__xludf.DUMMYFUNCTION("""COMPUTED_VALUE"""),-0.65)</f>
        <v>-0.65</v>
      </c>
      <c r="G36" s="160" t="str">
        <f>IFERROR(__xludf.DUMMYFUNCTION("""COMPUTED_VALUE"""),"Stable")</f>
        <v>Stable</v>
      </c>
      <c r="H36" s="151" t="str">
        <f>IFERROR(__xludf.DUMMYFUNCTION("""COMPUTED_VALUE"""),"STOCK")</f>
        <v>STOCK</v>
      </c>
      <c r="I36" s="152"/>
    </row>
    <row r="37">
      <c r="A37" s="153" t="str">
        <f>IFERROR(__xludf.DUMMYFUNCTION("""COMPUTED_VALUE"""),"RAIL")</f>
        <v>RAIL</v>
      </c>
      <c r="B37" s="153" t="str">
        <f>IFERROR(__xludf.DUMMYFUNCTION("""COMPUTED_VALUE"""),"MetroRail Corp")</f>
        <v>MetroRail Corp</v>
      </c>
      <c r="C37" s="153" t="str">
        <f>IFERROR(__xludf.DUMMYFUNCTION("""COMPUTED_VALUE"""),"Transportation")</f>
        <v>Transportation</v>
      </c>
      <c r="D37" s="77">
        <f>IFERROR(__xludf.DUMMYFUNCTION("""COMPUTED_VALUE"""),129.88)</f>
        <v>129.88</v>
      </c>
      <c r="E37" s="154">
        <f>IFERROR(__xludf.DUMMYFUNCTION("""COMPUTED_VALUE"""),-2.0E-4)</f>
        <v>-0.0002</v>
      </c>
      <c r="F37" s="179">
        <f>IFERROR(__xludf.DUMMYFUNCTION("""COMPUTED_VALUE"""),-0.03)</f>
        <v>-0.03</v>
      </c>
      <c r="G37" s="156" t="str">
        <f>IFERROR(__xludf.DUMMYFUNCTION("""COMPUTED_VALUE"""),"Decline")</f>
        <v>Decline</v>
      </c>
      <c r="H37" s="157" t="str">
        <f>IFERROR(__xludf.DUMMYFUNCTION("""COMPUTED_VALUE"""),"STOCK")</f>
        <v>STOCK</v>
      </c>
      <c r="I37" s="158"/>
    </row>
    <row r="38">
      <c r="A38" s="147" t="str">
        <f>IFERROR(__xludf.DUMMYFUNCTION("""COMPUTED_VALUE"""),"MEDX")</f>
        <v>MEDX</v>
      </c>
      <c r="B38" s="147" t="str">
        <f>IFERROR(__xludf.DUMMYFUNCTION("""COMPUTED_VALUE"""),"MediCore")</f>
        <v>MediCore</v>
      </c>
      <c r="C38" s="147" t="str">
        <f>IFERROR(__xludf.DUMMYFUNCTION("""COMPUTED_VALUE"""),"Healthcare")</f>
        <v>Healthcare</v>
      </c>
      <c r="D38" s="71">
        <f>IFERROR(__xludf.DUMMYFUNCTION("""COMPUTED_VALUE"""),139.38)</f>
        <v>139.38</v>
      </c>
      <c r="E38" s="148">
        <f>IFERROR(__xludf.DUMMYFUNCTION("""COMPUTED_VALUE"""),0.0024)</f>
        <v>0.0024</v>
      </c>
      <c r="F38" s="172">
        <f>IFERROR(__xludf.DUMMYFUNCTION("""COMPUTED_VALUE"""),0.33)</f>
        <v>0.33</v>
      </c>
      <c r="G38" s="160" t="str">
        <f>IFERROR(__xludf.DUMMYFUNCTION("""COMPUTED_VALUE"""),"Stable")</f>
        <v>Stable</v>
      </c>
      <c r="H38" s="151" t="str">
        <f>IFERROR(__xludf.DUMMYFUNCTION("""COMPUTED_VALUE"""),"STOCK")</f>
        <v>STOCK</v>
      </c>
      <c r="I38" s="152"/>
    </row>
    <row r="39">
      <c r="A39" s="153" t="str">
        <f>IFERROR(__xludf.DUMMYFUNCTION("""COMPUTED_VALUE"""),"GYMX")</f>
        <v>GYMX</v>
      </c>
      <c r="B39" s="153" t="str">
        <f>IFERROR(__xludf.DUMMYFUNCTION("""COMPUTED_VALUE"""),"GymX Fitness")</f>
        <v>GymX Fitness</v>
      </c>
      <c r="C39" s="153" t="str">
        <f>IFERROR(__xludf.DUMMYFUNCTION("""COMPUTED_VALUE"""),"Healthcare")</f>
        <v>Healthcare</v>
      </c>
      <c r="D39" s="77">
        <f>IFERROR(__xludf.DUMMYFUNCTION("""COMPUTED_VALUE"""),80.33)</f>
        <v>80.33</v>
      </c>
      <c r="E39" s="154">
        <f>IFERROR(__xludf.DUMMYFUNCTION("""COMPUTED_VALUE"""),-0.0061)</f>
        <v>-0.0061</v>
      </c>
      <c r="F39" s="180">
        <f>IFERROR(__xludf.DUMMYFUNCTION("""COMPUTED_VALUE"""),-0.49)</f>
        <v>-0.49</v>
      </c>
      <c r="G39" s="156" t="str">
        <f>IFERROR(__xludf.DUMMYFUNCTION("""COMPUTED_VALUE"""),"Stable")</f>
        <v>Stable</v>
      </c>
      <c r="H39" s="157" t="str">
        <f>IFERROR(__xludf.DUMMYFUNCTION("""COMPUTED_VALUE"""),"STOCK")</f>
        <v>STOCK</v>
      </c>
      <c r="I39" s="158"/>
    </row>
    <row r="40">
      <c r="A40" s="147" t="str">
        <f>IFERROR(__xludf.DUMMYFUNCTION("""COMPUTED_VALUE"""),"VITA")</f>
        <v>VITA</v>
      </c>
      <c r="B40" s="147" t="str">
        <f>IFERROR(__xludf.DUMMYFUNCTION("""COMPUTED_VALUE"""),"VitaPlus")</f>
        <v>VitaPlus</v>
      </c>
      <c r="C40" s="147" t="str">
        <f>IFERROR(__xludf.DUMMYFUNCTION("""COMPUTED_VALUE"""),"Healthcare")</f>
        <v>Healthcare</v>
      </c>
      <c r="D40" s="71">
        <f>IFERROR(__xludf.DUMMYFUNCTION("""COMPUTED_VALUE"""),72.0)</f>
        <v>72</v>
      </c>
      <c r="E40" s="148">
        <f>IFERROR(__xludf.DUMMYFUNCTION("""COMPUTED_VALUE"""),0.0046)</f>
        <v>0.0046</v>
      </c>
      <c r="F40" s="181">
        <f>IFERROR(__xludf.DUMMYFUNCTION("""COMPUTED_VALUE"""),0.33)</f>
        <v>0.33</v>
      </c>
      <c r="G40" s="160" t="str">
        <f>IFERROR(__xludf.DUMMYFUNCTION("""COMPUTED_VALUE"""),"Stable")</f>
        <v>Stable</v>
      </c>
      <c r="H40" s="151" t="str">
        <f>IFERROR(__xludf.DUMMYFUNCTION("""COMPUTED_VALUE"""),"STOCK")</f>
        <v>STOCK</v>
      </c>
      <c r="I40" s="152"/>
    </row>
    <row r="41">
      <c r="A41" s="153" t="str">
        <f>IFERROR(__xludf.DUMMYFUNCTION("""COMPUTED_VALUE"""),"CARE")</f>
        <v>CARE</v>
      </c>
      <c r="B41" s="153" t="str">
        <f>IFERROR(__xludf.DUMMYFUNCTION("""COMPUTED_VALUE"""),"CareCloud")</f>
        <v>CareCloud</v>
      </c>
      <c r="C41" s="153" t="str">
        <f>IFERROR(__xludf.DUMMYFUNCTION("""COMPUTED_VALUE"""),"Healthcare")</f>
        <v>Healthcare</v>
      </c>
      <c r="D41" s="77">
        <f>IFERROR(__xludf.DUMMYFUNCTION("""COMPUTED_VALUE"""),187.5)</f>
        <v>187.5</v>
      </c>
      <c r="E41" s="154">
        <f>IFERROR(__xludf.DUMMYFUNCTION("""COMPUTED_VALUE"""),0.0073)</f>
        <v>0.0073</v>
      </c>
      <c r="F41" s="182">
        <f>IFERROR(__xludf.DUMMYFUNCTION("""COMPUTED_VALUE"""),1.36)</f>
        <v>1.36</v>
      </c>
      <c r="G41" s="156" t="str">
        <f>IFERROR(__xludf.DUMMYFUNCTION("""COMPUTED_VALUE"""),"Volatile")</f>
        <v>Volatile</v>
      </c>
      <c r="H41" s="157" t="str">
        <f>IFERROR(__xludf.DUMMYFUNCTION("""COMPUTED_VALUE"""),"STOCK")</f>
        <v>STOCK</v>
      </c>
      <c r="I41" s="158"/>
    </row>
    <row r="42">
      <c r="A42" s="147" t="str">
        <f>IFERROR(__xludf.DUMMYFUNCTION("""COMPUTED_VALUE"""),"DENT")</f>
        <v>DENT</v>
      </c>
      <c r="B42" s="147" t="str">
        <f>IFERROR(__xludf.DUMMYFUNCTION("""COMPUTED_VALUE"""),"SmileWorks")</f>
        <v>SmileWorks</v>
      </c>
      <c r="C42" s="147" t="str">
        <f>IFERROR(__xludf.DUMMYFUNCTION("""COMPUTED_VALUE"""),"Healthcare")</f>
        <v>Healthcare</v>
      </c>
      <c r="D42" s="71">
        <f>IFERROR(__xludf.DUMMYFUNCTION("""COMPUTED_VALUE"""),100.2)</f>
        <v>100.2</v>
      </c>
      <c r="E42" s="148">
        <f>IFERROR(__xludf.DUMMYFUNCTION("""COMPUTED_VALUE"""),-0.0016)</f>
        <v>-0.0016</v>
      </c>
      <c r="F42" s="183">
        <f>IFERROR(__xludf.DUMMYFUNCTION("""COMPUTED_VALUE"""),-0.16)</f>
        <v>-0.16</v>
      </c>
      <c r="G42" s="160" t="str">
        <f>IFERROR(__xludf.DUMMYFUNCTION("""COMPUTED_VALUE"""),"Hot")</f>
        <v>Hot</v>
      </c>
      <c r="H42" s="151" t="str">
        <f>IFERROR(__xludf.DUMMYFUNCTION("""COMPUTED_VALUE"""),"STOCK")</f>
        <v>STOCK</v>
      </c>
      <c r="I42" s="152"/>
    </row>
    <row r="43">
      <c r="A43" s="153" t="str">
        <f>IFERROR(__xludf.DUMMYFUNCTION("""COMPUTED_VALUE"""),"EDUX")</f>
        <v>EDUX</v>
      </c>
      <c r="B43" s="153" t="str">
        <f>IFERROR(__xludf.DUMMYFUNCTION("""COMPUTED_VALUE"""),"EduMax Learning")</f>
        <v>EduMax Learning</v>
      </c>
      <c r="C43" s="153" t="str">
        <f>IFERROR(__xludf.DUMMYFUNCTION("""COMPUTED_VALUE"""),"Education")</f>
        <v>Education</v>
      </c>
      <c r="D43" s="77">
        <f>IFERROR(__xludf.DUMMYFUNCTION("""COMPUTED_VALUE"""),156.24)</f>
        <v>156.24</v>
      </c>
      <c r="E43" s="154">
        <f>IFERROR(__xludf.DUMMYFUNCTION("""COMPUTED_VALUE"""),-0.0026)</f>
        <v>-0.0026</v>
      </c>
      <c r="F43" s="181">
        <f>IFERROR(__xludf.DUMMYFUNCTION("""COMPUTED_VALUE"""),-0.41)</f>
        <v>-0.41</v>
      </c>
      <c r="G43" s="164" t="str">
        <f>IFERROR(__xludf.DUMMYFUNCTION("""COMPUTED_VALUE"""),"Growth")</f>
        <v>Growth</v>
      </c>
      <c r="H43" s="157" t="str">
        <f>IFERROR(__xludf.DUMMYFUNCTION("""COMPUTED_VALUE"""),"STOCK")</f>
        <v>STOCK</v>
      </c>
      <c r="I43" s="158"/>
    </row>
    <row r="44">
      <c r="A44" s="147" t="str">
        <f>IFERROR(__xludf.DUMMYFUNCTION("""COMPUTED_VALUE"""),"BOOK")</f>
        <v>BOOK</v>
      </c>
      <c r="B44" s="147" t="str">
        <f>IFERROR(__xludf.DUMMYFUNCTION("""COMPUTED_VALUE"""),"BookBridge")</f>
        <v>BookBridge</v>
      </c>
      <c r="C44" s="147" t="str">
        <f>IFERROR(__xludf.DUMMYFUNCTION("""COMPUTED_VALUE"""),"Education")</f>
        <v>Education</v>
      </c>
      <c r="D44" s="71">
        <f>IFERROR(__xludf.DUMMYFUNCTION("""COMPUTED_VALUE"""),121.84)</f>
        <v>121.84</v>
      </c>
      <c r="E44" s="148">
        <f>IFERROR(__xludf.DUMMYFUNCTION("""COMPUTED_VALUE"""),0.0045)</f>
        <v>0.0045</v>
      </c>
      <c r="F44" s="184">
        <f>IFERROR(__xludf.DUMMYFUNCTION("""COMPUTED_VALUE"""),0.55)</f>
        <v>0.55</v>
      </c>
      <c r="G44" s="150" t="str">
        <f>IFERROR(__xludf.DUMMYFUNCTION("""COMPUTED_VALUE"""),"Growth")</f>
        <v>Growth</v>
      </c>
      <c r="H44" s="151" t="str">
        <f>IFERROR(__xludf.DUMMYFUNCTION("""COMPUTED_VALUE"""),"STOCK")</f>
        <v>STOCK</v>
      </c>
      <c r="I44" s="152"/>
    </row>
    <row r="45">
      <c r="A45" s="153" t="str">
        <f>IFERROR(__xludf.DUMMYFUNCTION("""COMPUTED_VALUE"""),"TUTR")</f>
        <v>TUTR</v>
      </c>
      <c r="B45" s="153" t="str">
        <f>IFERROR(__xludf.DUMMYFUNCTION("""COMPUTED_VALUE"""),"TutorTown")</f>
        <v>TutorTown</v>
      </c>
      <c r="C45" s="153" t="str">
        <f>IFERROR(__xludf.DUMMYFUNCTION("""COMPUTED_VALUE"""),"Education")</f>
        <v>Education</v>
      </c>
      <c r="D45" s="77">
        <f>IFERROR(__xludf.DUMMYFUNCTION("""COMPUTED_VALUE"""),92.46)</f>
        <v>92.46</v>
      </c>
      <c r="E45" s="154">
        <f>IFERROR(__xludf.DUMMYFUNCTION("""COMPUTED_VALUE"""),-2.0E-4)</f>
        <v>-0.0002</v>
      </c>
      <c r="F45" s="163">
        <f>IFERROR(__xludf.DUMMYFUNCTION("""COMPUTED_VALUE"""),-0.02)</f>
        <v>-0.02</v>
      </c>
      <c r="G45" s="164" t="str">
        <f>IFERROR(__xludf.DUMMYFUNCTION("""COMPUTED_VALUE"""),"Stable")</f>
        <v>Stable</v>
      </c>
      <c r="H45" s="157" t="str">
        <f>IFERROR(__xludf.DUMMYFUNCTION("""COMPUTED_VALUE"""),"STOCK")</f>
        <v>STOCK</v>
      </c>
      <c r="I45" s="158"/>
    </row>
    <row r="46">
      <c r="A46" s="147" t="str">
        <f>IFERROR(__xludf.DUMMYFUNCTION("""COMPUTED_VALUE"""),"LANG")</f>
        <v>LANG</v>
      </c>
      <c r="B46" s="147" t="str">
        <f>IFERROR(__xludf.DUMMYFUNCTION("""COMPUTED_VALUE"""),"LinguaLab")</f>
        <v>LinguaLab</v>
      </c>
      <c r="C46" s="147" t="str">
        <f>IFERROR(__xludf.DUMMYFUNCTION("""COMPUTED_VALUE"""),"Education")</f>
        <v>Education</v>
      </c>
      <c r="D46" s="71">
        <f>IFERROR(__xludf.DUMMYFUNCTION("""COMPUTED_VALUE"""),103.53)</f>
        <v>103.53</v>
      </c>
      <c r="E46" s="148">
        <f>IFERROR(__xludf.DUMMYFUNCTION("""COMPUTED_VALUE"""),0.0036)</f>
        <v>0.0036</v>
      </c>
      <c r="F46" s="168">
        <f>IFERROR(__xludf.DUMMYFUNCTION("""COMPUTED_VALUE"""),0.37)</f>
        <v>0.37</v>
      </c>
      <c r="G46" s="160" t="str">
        <f>IFERROR(__xludf.DUMMYFUNCTION("""COMPUTED_VALUE"""),"Growth")</f>
        <v>Growth</v>
      </c>
      <c r="H46" s="151" t="str">
        <f>IFERROR(__xludf.DUMMYFUNCTION("""COMPUTED_VALUE"""),"STOCK")</f>
        <v>STOCK</v>
      </c>
      <c r="I46" s="152"/>
    </row>
    <row r="47">
      <c r="A47" s="153" t="str">
        <f>IFERROR(__xludf.DUMMYFUNCTION("""COMPUTED_VALUE"""),"TEST")</f>
        <v>TEST</v>
      </c>
      <c r="B47" s="153" t="str">
        <f>IFERROR(__xludf.DUMMYFUNCTION("""COMPUTED_VALUE"""),"TestPrep Pro")</f>
        <v>TestPrep Pro</v>
      </c>
      <c r="C47" s="153" t="str">
        <f>IFERROR(__xludf.DUMMYFUNCTION("""COMPUTED_VALUE"""),"Education")</f>
        <v>Education</v>
      </c>
      <c r="D47" s="77">
        <f>IFERROR(__xludf.DUMMYFUNCTION("""COMPUTED_VALUE"""),85.34)</f>
        <v>85.34</v>
      </c>
      <c r="E47" s="154">
        <f>IFERROR(__xludf.DUMMYFUNCTION("""COMPUTED_VALUE"""),-0.0069)</f>
        <v>-0.0069</v>
      </c>
      <c r="F47" s="185">
        <f>IFERROR(__xludf.DUMMYFUNCTION("""COMPUTED_VALUE"""),-0.59)</f>
        <v>-0.59</v>
      </c>
      <c r="G47" s="156" t="str">
        <f>IFERROR(__xludf.DUMMYFUNCTION("""COMPUTED_VALUE"""),"Decline")</f>
        <v>Decline</v>
      </c>
      <c r="H47" s="157" t="str">
        <f>IFERROR(__xludf.DUMMYFUNCTION("""COMPUTED_VALUE"""),"STOCK")</f>
        <v>STOCK</v>
      </c>
      <c r="I47" s="158"/>
    </row>
    <row r="48">
      <c r="A48" s="147" t="str">
        <f>IFERROR(__xludf.DUMMYFUNCTION("""COMPUTED_VALUE"""),"MOVI")</f>
        <v>MOVI</v>
      </c>
      <c r="B48" s="147" t="str">
        <f>IFERROR(__xludf.DUMMYFUNCTION("""COMPUTED_VALUE"""),"MovieBox")</f>
        <v>MovieBox</v>
      </c>
      <c r="C48" s="147" t="str">
        <f>IFERROR(__xludf.DUMMYFUNCTION("""COMPUTED_VALUE"""),"Entertainment")</f>
        <v>Entertainment</v>
      </c>
      <c r="D48" s="71">
        <f>IFERROR(__xludf.DUMMYFUNCTION("""COMPUTED_VALUE"""),84.08)</f>
        <v>84.08</v>
      </c>
      <c r="E48" s="148">
        <f>IFERROR(__xludf.DUMMYFUNCTION("""COMPUTED_VALUE"""),0.0048)</f>
        <v>0.0048</v>
      </c>
      <c r="F48" s="186">
        <f>IFERROR(__xludf.DUMMYFUNCTION("""COMPUTED_VALUE"""),0.4)</f>
        <v>0.4</v>
      </c>
      <c r="G48" s="150" t="str">
        <f>IFERROR(__xludf.DUMMYFUNCTION("""COMPUTED_VALUE"""),"Stable")</f>
        <v>Stable</v>
      </c>
      <c r="H48" s="151" t="str">
        <f>IFERROR(__xludf.DUMMYFUNCTION("""COMPUTED_VALUE"""),"STOCK")</f>
        <v>STOCK</v>
      </c>
      <c r="I48" s="152"/>
    </row>
    <row r="49">
      <c r="A49" s="153" t="str">
        <f>IFERROR(__xludf.DUMMYFUNCTION("""COMPUTED_VALUE"""),"MUSC")</f>
        <v>MUSC</v>
      </c>
      <c r="B49" s="153" t="str">
        <f>IFERROR(__xludf.DUMMYFUNCTION("""COMPUTED_VALUE"""),"MusicWave")</f>
        <v>MusicWave</v>
      </c>
      <c r="C49" s="153" t="str">
        <f>IFERROR(__xludf.DUMMYFUNCTION("""COMPUTED_VALUE"""),"Entertainment")</f>
        <v>Entertainment</v>
      </c>
      <c r="D49" s="77">
        <f>IFERROR(__xludf.DUMMYFUNCTION("""COMPUTED_VALUE"""),104.89)</f>
        <v>104.89</v>
      </c>
      <c r="E49" s="154">
        <f>IFERROR(__xludf.DUMMYFUNCTION("""COMPUTED_VALUE"""),0.0023)</f>
        <v>0.0023</v>
      </c>
      <c r="F49" s="163">
        <f>IFERROR(__xludf.DUMMYFUNCTION("""COMPUTED_VALUE"""),0.24)</f>
        <v>0.24</v>
      </c>
      <c r="G49" s="164" t="str">
        <f>IFERROR(__xludf.DUMMYFUNCTION("""COMPUTED_VALUE"""),"Growth")</f>
        <v>Growth</v>
      </c>
      <c r="H49" s="157" t="str">
        <f>IFERROR(__xludf.DUMMYFUNCTION("""COMPUTED_VALUE"""),"STOCK")</f>
        <v>STOCK</v>
      </c>
      <c r="I49" s="158"/>
    </row>
    <row r="50">
      <c r="A50" s="147" t="str">
        <f>IFERROR(__xludf.DUMMYFUNCTION("""COMPUTED_VALUE"""),"IDOL")</f>
        <v>IDOL</v>
      </c>
      <c r="B50" s="147" t="str">
        <f>IFERROR(__xludf.DUMMYFUNCTION("""COMPUTED_VALUE"""),"Idol Agency")</f>
        <v>Idol Agency</v>
      </c>
      <c r="C50" s="147" t="str">
        <f>IFERROR(__xludf.DUMMYFUNCTION("""COMPUTED_VALUE"""),"Entertainment")</f>
        <v>Entertainment</v>
      </c>
      <c r="D50" s="71">
        <f>IFERROR(__xludf.DUMMYFUNCTION("""COMPUTED_VALUE"""),188.23)</f>
        <v>188.23</v>
      </c>
      <c r="E50" s="148">
        <f>IFERROR(__xludf.DUMMYFUNCTION("""COMPUTED_VALUE"""),5.0E-4)</f>
        <v>0.0005</v>
      </c>
      <c r="F50" s="187">
        <f>IFERROR(__xludf.DUMMYFUNCTION("""COMPUTED_VALUE"""),0.1)</f>
        <v>0.1</v>
      </c>
      <c r="G50" s="160" t="str">
        <f>IFERROR(__xludf.DUMMYFUNCTION("""COMPUTED_VALUE"""),"Decline")</f>
        <v>Decline</v>
      </c>
      <c r="H50" s="151" t="str">
        <f>IFERROR(__xludf.DUMMYFUNCTION("""COMPUTED_VALUE"""),"STOCK")</f>
        <v>STOCK</v>
      </c>
      <c r="I50" s="152"/>
    </row>
    <row r="51">
      <c r="A51" s="153" t="str">
        <f>IFERROR(__xludf.DUMMYFUNCTION("""COMPUTED_VALUE"""),"MEME")</f>
        <v>MEME</v>
      </c>
      <c r="B51" s="153" t="str">
        <f>IFERROR(__xludf.DUMMYFUNCTION("""COMPUTED_VALUE"""),"Meme Media")</f>
        <v>Meme Media</v>
      </c>
      <c r="C51" s="153" t="str">
        <f>IFERROR(__xludf.DUMMYFUNCTION("""COMPUTED_VALUE"""),"Entertainment")</f>
        <v>Entertainment</v>
      </c>
      <c r="D51" s="77">
        <f>IFERROR(__xludf.DUMMYFUNCTION("""COMPUTED_VALUE"""),74.38)</f>
        <v>74.38</v>
      </c>
      <c r="E51" s="154">
        <f>IFERROR(__xludf.DUMMYFUNCTION("""COMPUTED_VALUE"""),-0.0112)</f>
        <v>-0.0112</v>
      </c>
      <c r="F51" s="188">
        <f>IFERROR(__xludf.DUMMYFUNCTION("""COMPUTED_VALUE"""),-0.84)</f>
        <v>-0.84</v>
      </c>
      <c r="G51" s="164" t="str">
        <f>IFERROR(__xludf.DUMMYFUNCTION("""COMPUTED_VALUE"""),"Stable")</f>
        <v>Stable</v>
      </c>
      <c r="H51" s="157" t="str">
        <f>IFERROR(__xludf.DUMMYFUNCTION("""COMPUTED_VALUE"""),"STOCK")</f>
        <v>STOCK</v>
      </c>
      <c r="I51" s="158"/>
    </row>
    <row r="52">
      <c r="A52" s="147" t="str">
        <f>IFERROR(__xludf.DUMMYFUNCTION("""COMPUTED_VALUE"""),"STRM")</f>
        <v>STRM</v>
      </c>
      <c r="B52" s="147" t="str">
        <f>IFERROR(__xludf.DUMMYFUNCTION("""COMPUTED_VALUE"""),"Streamly")</f>
        <v>Streamly</v>
      </c>
      <c r="C52" s="147" t="str">
        <f>IFERROR(__xludf.DUMMYFUNCTION("""COMPUTED_VALUE"""),"Entertainment")</f>
        <v>Entertainment</v>
      </c>
      <c r="D52" s="71">
        <f>IFERROR(__xludf.DUMMYFUNCTION("""COMPUTED_VALUE"""),126.38)</f>
        <v>126.38</v>
      </c>
      <c r="E52" s="148">
        <f>IFERROR(__xludf.DUMMYFUNCTION("""COMPUTED_VALUE"""),-0.0032)</f>
        <v>-0.0032</v>
      </c>
      <c r="F52" s="159">
        <f>IFERROR(__xludf.DUMMYFUNCTION("""COMPUTED_VALUE"""),-0.4)</f>
        <v>-0.4</v>
      </c>
      <c r="G52" s="160" t="str">
        <f>IFERROR(__xludf.DUMMYFUNCTION("""COMPUTED_VALUE"""),"Decline")</f>
        <v>Decline</v>
      </c>
      <c r="H52" s="151" t="str">
        <f>IFERROR(__xludf.DUMMYFUNCTION("""COMPUTED_VALUE"""),"STOCK")</f>
        <v>STOCK</v>
      </c>
      <c r="I52" s="152"/>
    </row>
    <row r="53">
      <c r="A53" s="153" t="str">
        <f>IFERROR(__xludf.DUMMYFUNCTION("""COMPUTED_VALUE"""),"FARM")</f>
        <v>FARM</v>
      </c>
      <c r="B53" s="153" t="str">
        <f>IFERROR(__xludf.DUMMYFUNCTION("""COMPUTED_VALUE"""),"Future Farms")</f>
        <v>Future Farms</v>
      </c>
      <c r="C53" s="153" t="str">
        <f>IFERROR(__xludf.DUMMYFUNCTION("""COMPUTED_VALUE"""),"Agriculture")</f>
        <v>Agriculture</v>
      </c>
      <c r="D53" s="77">
        <f>IFERROR(__xludf.DUMMYFUNCTION("""COMPUTED_VALUE"""),103.14)</f>
        <v>103.14</v>
      </c>
      <c r="E53" s="154">
        <f>IFERROR(__xludf.DUMMYFUNCTION("""COMPUTED_VALUE"""),0.0041)</f>
        <v>0.0041</v>
      </c>
      <c r="F53" s="189">
        <f>IFERROR(__xludf.DUMMYFUNCTION("""COMPUTED_VALUE"""),0.42)</f>
        <v>0.42</v>
      </c>
      <c r="G53" s="156" t="str">
        <f>IFERROR(__xludf.DUMMYFUNCTION("""COMPUTED_VALUE"""),"Hot")</f>
        <v>Hot</v>
      </c>
      <c r="H53" s="157" t="str">
        <f>IFERROR(__xludf.DUMMYFUNCTION("""COMPUTED_VALUE"""),"STOCK")</f>
        <v>STOCK</v>
      </c>
      <c r="I53" s="158"/>
    </row>
    <row r="54">
      <c r="A54" s="147" t="str">
        <f>IFERROR(__xludf.DUMMYFUNCTION("""COMPUTED_VALUE"""),"MEAT")</f>
        <v>MEAT</v>
      </c>
      <c r="B54" s="147" t="str">
        <f>IFERROR(__xludf.DUMMYFUNCTION("""COMPUTED_VALUE"""),"MeatWorks")</f>
        <v>MeatWorks</v>
      </c>
      <c r="C54" s="147" t="str">
        <f>IFERROR(__xludf.DUMMYFUNCTION("""COMPUTED_VALUE"""),"Food")</f>
        <v>Food</v>
      </c>
      <c r="D54" s="71">
        <f>IFERROR(__xludf.DUMMYFUNCTION("""COMPUTED_VALUE"""),106.12)</f>
        <v>106.12</v>
      </c>
      <c r="E54" s="148">
        <f>IFERROR(__xludf.DUMMYFUNCTION("""COMPUTED_VALUE"""),-0.0047)</f>
        <v>-0.0047</v>
      </c>
      <c r="F54" s="163">
        <f>IFERROR(__xludf.DUMMYFUNCTION("""COMPUTED_VALUE"""),-0.5)</f>
        <v>-0.5</v>
      </c>
      <c r="G54" s="160" t="str">
        <f>IFERROR(__xludf.DUMMYFUNCTION("""COMPUTED_VALUE"""),"Growth")</f>
        <v>Growth</v>
      </c>
      <c r="H54" s="151" t="str">
        <f>IFERROR(__xludf.DUMMYFUNCTION("""COMPUTED_VALUE"""),"STOCK")</f>
        <v>STOCK</v>
      </c>
      <c r="I54" s="152"/>
    </row>
    <row r="55">
      <c r="A55" s="153" t="str">
        <f>IFERROR(__xludf.DUMMYFUNCTION("""COMPUTED_VALUE"""),"VEGI")</f>
        <v>VEGI</v>
      </c>
      <c r="B55" s="153" t="str">
        <f>IFERROR(__xludf.DUMMYFUNCTION("""COMPUTED_VALUE"""),"Green Basket")</f>
        <v>Green Basket</v>
      </c>
      <c r="C55" s="153" t="str">
        <f>IFERROR(__xludf.DUMMYFUNCTION("""COMPUTED_VALUE"""),"Food")</f>
        <v>Food</v>
      </c>
      <c r="D55" s="77">
        <f>IFERROR(__xludf.DUMMYFUNCTION("""COMPUTED_VALUE"""),76.36)</f>
        <v>76.36</v>
      </c>
      <c r="E55" s="154">
        <f>IFERROR(__xludf.DUMMYFUNCTION("""COMPUTED_VALUE"""),0.0032)</f>
        <v>0.0032</v>
      </c>
      <c r="F55" s="190">
        <f>IFERROR(__xludf.DUMMYFUNCTION("""COMPUTED_VALUE"""),0.24)</f>
        <v>0.24</v>
      </c>
      <c r="G55" s="164" t="str">
        <f>IFERROR(__xludf.DUMMYFUNCTION("""COMPUTED_VALUE"""),"Decline")</f>
        <v>Decline</v>
      </c>
      <c r="H55" s="157" t="str">
        <f>IFERROR(__xludf.DUMMYFUNCTION("""COMPUTED_VALUE"""),"STOCK")</f>
        <v>STOCK</v>
      </c>
      <c r="I55" s="158"/>
    </row>
    <row r="56">
      <c r="A56" s="147" t="str">
        <f>IFERROR(__xludf.DUMMYFUNCTION("""COMPUTED_VALUE"""),"CAFE")</f>
        <v>CAFE</v>
      </c>
      <c r="B56" s="147" t="str">
        <f>IFERROR(__xludf.DUMMYFUNCTION("""COMPUTED_VALUE"""),"Cafe Cloud")</f>
        <v>Cafe Cloud</v>
      </c>
      <c r="C56" s="147" t="str">
        <f>IFERROR(__xludf.DUMMYFUNCTION("""COMPUTED_VALUE"""),"Food")</f>
        <v>Food</v>
      </c>
      <c r="D56" s="71">
        <f>IFERROR(__xludf.DUMMYFUNCTION("""COMPUTED_VALUE"""),104.91)</f>
        <v>104.91</v>
      </c>
      <c r="E56" s="148">
        <f>IFERROR(__xludf.DUMMYFUNCTION("""COMPUTED_VALUE"""),0.0021)</f>
        <v>0.0021</v>
      </c>
      <c r="F56" s="191">
        <f>IFERROR(__xludf.DUMMYFUNCTION("""COMPUTED_VALUE"""),0.22)</f>
        <v>0.22</v>
      </c>
      <c r="G56" s="150" t="str">
        <f>IFERROR(__xludf.DUMMYFUNCTION("""COMPUTED_VALUE"""),"Growth")</f>
        <v>Growth</v>
      </c>
      <c r="H56" s="151" t="str">
        <f>IFERROR(__xludf.DUMMYFUNCTION("""COMPUTED_VALUE"""),"STOCK")</f>
        <v>STOCK</v>
      </c>
      <c r="I56" s="152"/>
    </row>
    <row r="57">
      <c r="A57" s="153" t="str">
        <f>IFERROR(__xludf.DUMMYFUNCTION("""COMPUTED_VALUE"""),"BAKE")</f>
        <v>BAKE</v>
      </c>
      <c r="B57" s="153" t="str">
        <f>IFERROR(__xludf.DUMMYFUNCTION("""COMPUTED_VALUE"""),"BakeHouse")</f>
        <v>BakeHouse</v>
      </c>
      <c r="C57" s="153" t="str">
        <f>IFERROR(__xludf.DUMMYFUNCTION("""COMPUTED_VALUE"""),"Food")</f>
        <v>Food</v>
      </c>
      <c r="D57" s="77">
        <f>IFERROR(__xludf.DUMMYFUNCTION("""COMPUTED_VALUE"""),99.72)</f>
        <v>99.72</v>
      </c>
      <c r="E57" s="154">
        <f>IFERROR(__xludf.DUMMYFUNCTION("""COMPUTED_VALUE"""),-2.0E-4)</f>
        <v>-0.0002</v>
      </c>
      <c r="F57" s="173">
        <f>IFERROR(__xludf.DUMMYFUNCTION("""COMPUTED_VALUE"""),-0.02)</f>
        <v>-0.02</v>
      </c>
      <c r="G57" s="156" t="str">
        <f>IFERROR(__xludf.DUMMYFUNCTION("""COMPUTED_VALUE"""),"Volatile")</f>
        <v>Volatile</v>
      </c>
      <c r="H57" s="157" t="str">
        <f>IFERROR(__xludf.DUMMYFUNCTION("""COMPUTED_VALUE"""),"STOCK")</f>
        <v>STOCK</v>
      </c>
      <c r="I57" s="158"/>
    </row>
    <row r="58">
      <c r="A58" s="147" t="str">
        <f>IFERROR(__xludf.DUMMYFUNCTION("""COMPUTED_VALUE"""),"OILX")</f>
        <v>OILX</v>
      </c>
      <c r="B58" s="147" t="str">
        <f>IFERROR(__xludf.DUMMYFUNCTION("""COMPUTED_VALUE"""),"OilMax Energy")</f>
        <v>OilMax Energy</v>
      </c>
      <c r="C58" s="147" t="str">
        <f>IFERROR(__xludf.DUMMYFUNCTION("""COMPUTED_VALUE"""),"Energy")</f>
        <v>Energy</v>
      </c>
      <c r="D58" s="71">
        <f>IFERROR(__xludf.DUMMYFUNCTION("""COMPUTED_VALUE"""),134.87)</f>
        <v>134.87</v>
      </c>
      <c r="E58" s="148">
        <f>IFERROR(__xludf.DUMMYFUNCTION("""COMPUTED_VALUE"""),-0.0042)</f>
        <v>-0.0042</v>
      </c>
      <c r="F58" s="192">
        <f>IFERROR(__xludf.DUMMYFUNCTION("""COMPUTED_VALUE"""),-0.57)</f>
        <v>-0.57</v>
      </c>
      <c r="G58" s="160" t="str">
        <f>IFERROR(__xludf.DUMMYFUNCTION("""COMPUTED_VALUE"""),"Stable")</f>
        <v>Stable</v>
      </c>
      <c r="H58" s="151" t="str">
        <f>IFERROR(__xludf.DUMMYFUNCTION("""COMPUTED_VALUE"""),"STOCK")</f>
        <v>STOCK</v>
      </c>
      <c r="I58" s="152"/>
    </row>
    <row r="59">
      <c r="A59" s="153" t="str">
        <f>IFERROR(__xludf.DUMMYFUNCTION("""COMPUTED_VALUE"""),"SOLR")</f>
        <v>SOLR</v>
      </c>
      <c r="B59" s="153" t="str">
        <f>IFERROR(__xludf.DUMMYFUNCTION("""COMPUTED_VALUE"""),"SolarSpark")</f>
        <v>SolarSpark</v>
      </c>
      <c r="C59" s="153" t="str">
        <f>IFERROR(__xludf.DUMMYFUNCTION("""COMPUTED_VALUE"""),"Energy")</f>
        <v>Energy</v>
      </c>
      <c r="D59" s="77">
        <f>IFERROR(__xludf.DUMMYFUNCTION("""COMPUTED_VALUE"""),110.22)</f>
        <v>110.22</v>
      </c>
      <c r="E59" s="154">
        <f>IFERROR(__xludf.DUMMYFUNCTION("""COMPUTED_VALUE"""),0.0019)</f>
        <v>0.0019</v>
      </c>
      <c r="F59" s="159">
        <f>IFERROR(__xludf.DUMMYFUNCTION("""COMPUTED_VALUE"""),0.21)</f>
        <v>0.21</v>
      </c>
      <c r="G59" s="164" t="str">
        <f>IFERROR(__xludf.DUMMYFUNCTION("""COMPUTED_VALUE"""),"Hot")</f>
        <v>Hot</v>
      </c>
      <c r="H59" s="157" t="str">
        <f>IFERROR(__xludf.DUMMYFUNCTION("""COMPUTED_VALUE"""),"STOCK")</f>
        <v>STOCK</v>
      </c>
      <c r="I59" s="158"/>
    </row>
    <row r="60">
      <c r="A60" s="147" t="str">
        <f>IFERROR(__xludf.DUMMYFUNCTION("""COMPUTED_VALUE"""),"BATT")</f>
        <v>BATT</v>
      </c>
      <c r="B60" s="147" t="str">
        <f>IFERROR(__xludf.DUMMYFUNCTION("""COMPUTED_VALUE"""),"BatteryBox")</f>
        <v>BatteryBox</v>
      </c>
      <c r="C60" s="147" t="str">
        <f>IFERROR(__xludf.DUMMYFUNCTION("""COMPUTED_VALUE"""),"Energy")</f>
        <v>Energy</v>
      </c>
      <c r="D60" s="71">
        <f>IFERROR(__xludf.DUMMYFUNCTION("""COMPUTED_VALUE"""),115.9)</f>
        <v>115.9</v>
      </c>
      <c r="E60" s="148">
        <f>IFERROR(__xludf.DUMMYFUNCTION("""COMPUTED_VALUE"""),0.0099)</f>
        <v>0.0099</v>
      </c>
      <c r="F60" s="193">
        <f>IFERROR(__xludf.DUMMYFUNCTION("""COMPUTED_VALUE"""),1.14)</f>
        <v>1.14</v>
      </c>
      <c r="G60" s="160" t="str">
        <f>IFERROR(__xludf.DUMMYFUNCTION("""COMPUTED_VALUE"""),"Volatile")</f>
        <v>Volatile</v>
      </c>
      <c r="H60" s="151" t="str">
        <f>IFERROR(__xludf.DUMMYFUNCTION("""COMPUTED_VALUE"""),"STOCK")</f>
        <v>STOCK</v>
      </c>
      <c r="I60" s="152"/>
    </row>
    <row r="61">
      <c r="A61" s="153" t="str">
        <f>IFERROR(__xludf.DUMMYFUNCTION("""COMPUTED_VALUE"""),"WIND")</f>
        <v>WIND</v>
      </c>
      <c r="B61" s="153" t="str">
        <f>IFERROR(__xludf.DUMMYFUNCTION("""COMPUTED_VALUE"""),"WindWorks")</f>
        <v>WindWorks</v>
      </c>
      <c r="C61" s="153" t="str">
        <f>IFERROR(__xludf.DUMMYFUNCTION("""COMPUTED_VALUE"""),"Energy")</f>
        <v>Energy</v>
      </c>
      <c r="D61" s="77">
        <f>IFERROR(__xludf.DUMMYFUNCTION("""COMPUTED_VALUE"""),86.82)</f>
        <v>86.82</v>
      </c>
      <c r="E61" s="154">
        <f>IFERROR(__xludf.DUMMYFUNCTION("""COMPUTED_VALUE"""),6.0E-4)</f>
        <v>0.0006</v>
      </c>
      <c r="F61" s="166">
        <f>IFERROR(__xludf.DUMMYFUNCTION("""COMPUTED_VALUE"""),0.05)</f>
        <v>0.05</v>
      </c>
      <c r="G61" s="156" t="str">
        <f>IFERROR(__xludf.DUMMYFUNCTION("""COMPUTED_VALUE"""),"Stable")</f>
        <v>Stable</v>
      </c>
      <c r="H61" s="157" t="str">
        <f>IFERROR(__xludf.DUMMYFUNCTION("""COMPUTED_VALUE"""),"STOCK")</f>
        <v>STOCK</v>
      </c>
      <c r="I61" s="158"/>
    </row>
    <row r="62">
      <c r="A62" s="147" t="str">
        <f>IFERROR(__xludf.DUMMYFUNCTION("""COMPUTED_VALUE"""),"GRID")</f>
        <v>GRID</v>
      </c>
      <c r="B62" s="147" t="str">
        <f>IFERROR(__xludf.DUMMYFUNCTION("""COMPUTED_VALUE"""),"GridPower")</f>
        <v>GridPower</v>
      </c>
      <c r="C62" s="147" t="str">
        <f>IFERROR(__xludf.DUMMYFUNCTION("""COMPUTED_VALUE"""),"Energy")</f>
        <v>Energy</v>
      </c>
      <c r="D62" s="71">
        <f>IFERROR(__xludf.DUMMYFUNCTION("""COMPUTED_VALUE"""),127.55)</f>
        <v>127.55</v>
      </c>
      <c r="E62" s="148">
        <f>IFERROR(__xludf.DUMMYFUNCTION("""COMPUTED_VALUE"""),0.0042)</f>
        <v>0.0042</v>
      </c>
      <c r="F62" s="194">
        <f>IFERROR(__xludf.DUMMYFUNCTION("""COMPUTED_VALUE"""),0.53)</f>
        <v>0.53</v>
      </c>
      <c r="G62" s="160" t="str">
        <f>IFERROR(__xludf.DUMMYFUNCTION("""COMPUTED_VALUE"""),"Crash")</f>
        <v>Crash</v>
      </c>
      <c r="H62" s="151" t="str">
        <f>IFERROR(__xludf.DUMMYFUNCTION("""COMPUTED_VALUE"""),"STOCK")</f>
        <v>STOCK</v>
      </c>
      <c r="I62" s="152"/>
    </row>
    <row r="63">
      <c r="A63" s="153" t="str">
        <f>IFERROR(__xludf.DUMMYFUNCTION("""COMPUTED_VALUE"""),"HOME")</f>
        <v>HOME</v>
      </c>
      <c r="B63" s="153" t="str">
        <f>IFERROR(__xludf.DUMMYFUNCTION("""COMPUTED_VALUE"""),"HomeHub")</f>
        <v>HomeHub</v>
      </c>
      <c r="C63" s="153" t="str">
        <f>IFERROR(__xludf.DUMMYFUNCTION("""COMPUTED_VALUE"""),"Real Estate")</f>
        <v>Real Estate</v>
      </c>
      <c r="D63" s="77">
        <f>IFERROR(__xludf.DUMMYFUNCTION("""COMPUTED_VALUE"""),163.18)</f>
        <v>163.18</v>
      </c>
      <c r="E63" s="154">
        <f>IFERROR(__xludf.DUMMYFUNCTION("""COMPUTED_VALUE"""),0.0017)</f>
        <v>0.0017</v>
      </c>
      <c r="F63" s="195">
        <f>IFERROR(__xludf.DUMMYFUNCTION("""COMPUTED_VALUE"""),0.27)</f>
        <v>0.27</v>
      </c>
      <c r="G63" s="156" t="str">
        <f>IFERROR(__xludf.DUMMYFUNCTION("""COMPUTED_VALUE"""),"Growth")</f>
        <v>Growth</v>
      </c>
      <c r="H63" s="157" t="str">
        <f>IFERROR(__xludf.DUMMYFUNCTION("""COMPUTED_VALUE"""),"STOCK")</f>
        <v>STOCK</v>
      </c>
      <c r="I63" s="158"/>
    </row>
    <row r="64">
      <c r="A64" s="147" t="str">
        <f>IFERROR(__xludf.DUMMYFUNCTION("""COMPUTED_VALUE"""),"RENT")</f>
        <v>RENT</v>
      </c>
      <c r="B64" s="147" t="str">
        <f>IFERROR(__xludf.DUMMYFUNCTION("""COMPUTED_VALUE"""),"RentRight")</f>
        <v>RentRight</v>
      </c>
      <c r="C64" s="147" t="str">
        <f>IFERROR(__xludf.DUMMYFUNCTION("""COMPUTED_VALUE"""),"Real Estate")</f>
        <v>Real Estate</v>
      </c>
      <c r="D64" s="71">
        <f>IFERROR(__xludf.DUMMYFUNCTION("""COMPUTED_VALUE"""),87.86)</f>
        <v>87.86</v>
      </c>
      <c r="E64" s="148">
        <f>IFERROR(__xludf.DUMMYFUNCTION("""COMPUTED_VALUE"""),9.0E-4)</f>
        <v>0.0009</v>
      </c>
      <c r="F64" s="183">
        <f>IFERROR(__xludf.DUMMYFUNCTION("""COMPUTED_VALUE"""),0.08)</f>
        <v>0.08</v>
      </c>
      <c r="G64" s="160" t="str">
        <f>IFERROR(__xludf.DUMMYFUNCTION("""COMPUTED_VALUE"""),"Volatile")</f>
        <v>Volatile</v>
      </c>
      <c r="H64" s="151" t="str">
        <f>IFERROR(__xludf.DUMMYFUNCTION("""COMPUTED_VALUE"""),"STOCK")</f>
        <v>STOCK</v>
      </c>
      <c r="I64" s="152"/>
    </row>
    <row r="65">
      <c r="A65" s="153" t="str">
        <f>IFERROR(__xludf.DUMMYFUNCTION("""COMPUTED_VALUE"""),"MALL")</f>
        <v>MALL</v>
      </c>
      <c r="B65" s="153" t="str">
        <f>IFERROR(__xludf.DUMMYFUNCTION("""COMPUTED_VALUE"""),"MegaMall")</f>
        <v>MegaMall</v>
      </c>
      <c r="C65" s="153" t="str">
        <f>IFERROR(__xludf.DUMMYFUNCTION("""COMPUTED_VALUE"""),"Real Estate")</f>
        <v>Real Estate</v>
      </c>
      <c r="D65" s="77">
        <f>IFERROR(__xludf.DUMMYFUNCTION("""COMPUTED_VALUE"""),101.9)</f>
        <v>101.9</v>
      </c>
      <c r="E65" s="154">
        <f>IFERROR(__xludf.DUMMYFUNCTION("""COMPUTED_VALUE"""),-9.0E-4)</f>
        <v>-0.0009</v>
      </c>
      <c r="F65" s="180">
        <f>IFERROR(__xludf.DUMMYFUNCTION("""COMPUTED_VALUE"""),-0.09)</f>
        <v>-0.09</v>
      </c>
      <c r="G65" s="156" t="str">
        <f>IFERROR(__xludf.DUMMYFUNCTION("""COMPUTED_VALUE"""),"Growth")</f>
        <v>Growth</v>
      </c>
      <c r="H65" s="157" t="str">
        <f>IFERROR(__xludf.DUMMYFUNCTION("""COMPUTED_VALUE"""),"STOCK")</f>
        <v>STOCK</v>
      </c>
      <c r="I65" s="158"/>
    </row>
    <row r="66">
      <c r="A66" s="147" t="str">
        <f>IFERROR(__xludf.DUMMYFUNCTION("""COMPUTED_VALUE"""),"HOTL")</f>
        <v>HOTL</v>
      </c>
      <c r="B66" s="147" t="str">
        <f>IFERROR(__xludf.DUMMYFUNCTION("""COMPUTED_VALUE"""),"HotelHive")</f>
        <v>HotelHive</v>
      </c>
      <c r="C66" s="147" t="str">
        <f>IFERROR(__xludf.DUMMYFUNCTION("""COMPUTED_VALUE"""),"Real Estate")</f>
        <v>Real Estate</v>
      </c>
      <c r="D66" s="71">
        <f>IFERROR(__xludf.DUMMYFUNCTION("""COMPUTED_VALUE"""),118.73)</f>
        <v>118.73</v>
      </c>
      <c r="E66" s="148">
        <f>IFERROR(__xludf.DUMMYFUNCTION("""COMPUTED_VALUE"""),0.003)</f>
        <v>0.003</v>
      </c>
      <c r="F66" s="196">
        <f>IFERROR(__xludf.DUMMYFUNCTION("""COMPUTED_VALUE"""),0.36)</f>
        <v>0.36</v>
      </c>
      <c r="G66" s="160" t="str">
        <f>IFERROR(__xludf.DUMMYFUNCTION("""COMPUTED_VALUE"""),"Decline")</f>
        <v>Decline</v>
      </c>
      <c r="H66" s="151" t="str">
        <f>IFERROR(__xludf.DUMMYFUNCTION("""COMPUTED_VALUE"""),"STOCK")</f>
        <v>STOCK</v>
      </c>
      <c r="I66" s="152"/>
    </row>
    <row r="67">
      <c r="A67" s="153" t="str">
        <f>IFERROR(__xludf.DUMMYFUNCTION("""COMPUTED_VALUE"""),"LAND")</f>
        <v>LAND</v>
      </c>
      <c r="B67" s="153" t="str">
        <f>IFERROR(__xludf.DUMMYFUNCTION("""COMPUTED_VALUE"""),"LandLink")</f>
        <v>LandLink</v>
      </c>
      <c r="C67" s="153" t="str">
        <f>IFERROR(__xludf.DUMMYFUNCTION("""COMPUTED_VALUE"""),"Real Estate")</f>
        <v>Real Estate</v>
      </c>
      <c r="D67" s="77">
        <f>IFERROR(__xludf.DUMMYFUNCTION("""COMPUTED_VALUE"""),186.63)</f>
        <v>186.63</v>
      </c>
      <c r="E67" s="154">
        <f>IFERROR(__xludf.DUMMYFUNCTION("""COMPUTED_VALUE"""),-0.0024)</f>
        <v>-0.0024</v>
      </c>
      <c r="F67" s="197">
        <f>IFERROR(__xludf.DUMMYFUNCTION("""COMPUTED_VALUE"""),-0.44)</f>
        <v>-0.44</v>
      </c>
      <c r="G67" s="156" t="str">
        <f>IFERROR(__xludf.DUMMYFUNCTION("""COMPUTED_VALUE"""),"Volatile")</f>
        <v>Volatile</v>
      </c>
      <c r="H67" s="157" t="str">
        <f>IFERROR(__xludf.DUMMYFUNCTION("""COMPUTED_VALUE"""),"STOCK")</f>
        <v>STOCK</v>
      </c>
      <c r="I67" s="158"/>
    </row>
    <row r="68">
      <c r="A68" s="147" t="str">
        <f>IFERROR(__xludf.DUMMYFUNCTION("""COMPUTED_VALUE"""),"CARS")</f>
        <v>CARS</v>
      </c>
      <c r="B68" s="147" t="str">
        <f>IFERROR(__xludf.DUMMYFUNCTION("""COMPUTED_VALUE"""),"AutoArena")</f>
        <v>AutoArena</v>
      </c>
      <c r="C68" s="147" t="str">
        <f>IFERROR(__xludf.DUMMYFUNCTION("""COMPUTED_VALUE"""),"Automotive")</f>
        <v>Automotive</v>
      </c>
      <c r="D68" s="71">
        <f>IFERROR(__xludf.DUMMYFUNCTION("""COMPUTED_VALUE"""),78.3)</f>
        <v>78.3</v>
      </c>
      <c r="E68" s="148">
        <f>IFERROR(__xludf.DUMMYFUNCTION("""COMPUTED_VALUE"""),-0.0119)</f>
        <v>-0.0119</v>
      </c>
      <c r="F68" s="191">
        <f>IFERROR(__xludf.DUMMYFUNCTION("""COMPUTED_VALUE"""),-0.94)</f>
        <v>-0.94</v>
      </c>
      <c r="G68" s="150" t="str">
        <f>IFERROR(__xludf.DUMMYFUNCTION("""COMPUTED_VALUE"""),"Stable")</f>
        <v>Stable</v>
      </c>
      <c r="H68" s="151" t="str">
        <f>IFERROR(__xludf.DUMMYFUNCTION("""COMPUTED_VALUE"""),"STOCK")</f>
        <v>STOCK</v>
      </c>
      <c r="I68" s="152"/>
    </row>
    <row r="69">
      <c r="A69" s="153" t="str">
        <f>IFERROR(__xludf.DUMMYFUNCTION("""COMPUTED_VALUE"""),"EVGO")</f>
        <v>EVGO</v>
      </c>
      <c r="B69" s="153" t="str">
        <f>IFERROR(__xludf.DUMMYFUNCTION("""COMPUTED_VALUE"""),"EVGo Motors")</f>
        <v>EVGo Motors</v>
      </c>
      <c r="C69" s="153" t="str">
        <f>IFERROR(__xludf.DUMMYFUNCTION("""COMPUTED_VALUE"""),"Automotive")</f>
        <v>Automotive</v>
      </c>
      <c r="D69" s="77">
        <f>IFERROR(__xludf.DUMMYFUNCTION("""COMPUTED_VALUE"""),194.06)</f>
        <v>194.06</v>
      </c>
      <c r="E69" s="154">
        <f>IFERROR(__xludf.DUMMYFUNCTION("""COMPUTED_VALUE"""),0.0073)</f>
        <v>0.0073</v>
      </c>
      <c r="F69" s="198">
        <f>IFERROR(__xludf.DUMMYFUNCTION("""COMPUTED_VALUE"""),1.4)</f>
        <v>1.4</v>
      </c>
      <c r="G69" s="156" t="str">
        <f>IFERROR(__xludf.DUMMYFUNCTION("""COMPUTED_VALUE"""),"Decline")</f>
        <v>Decline</v>
      </c>
      <c r="H69" s="157" t="str">
        <f>IFERROR(__xludf.DUMMYFUNCTION("""COMPUTED_VALUE"""),"STOCK")</f>
        <v>STOCK</v>
      </c>
      <c r="I69" s="158"/>
    </row>
    <row r="70">
      <c r="A70" s="147" t="str">
        <f>IFERROR(__xludf.DUMMYFUNCTION("""COMPUTED_VALUE"""),"TIRE")</f>
        <v>TIRE</v>
      </c>
      <c r="B70" s="147" t="str">
        <f>IFERROR(__xludf.DUMMYFUNCTION("""COMPUTED_VALUE"""),"TireTown")</f>
        <v>TireTown</v>
      </c>
      <c r="C70" s="147" t="str">
        <f>IFERROR(__xludf.DUMMYFUNCTION("""COMPUTED_VALUE"""),"Automotive")</f>
        <v>Automotive</v>
      </c>
      <c r="D70" s="71">
        <f>IFERROR(__xludf.DUMMYFUNCTION("""COMPUTED_VALUE"""),99.77)</f>
        <v>99.77</v>
      </c>
      <c r="E70" s="148">
        <f>IFERROR(__xludf.DUMMYFUNCTION("""COMPUTED_VALUE"""),0.0045)</f>
        <v>0.0045</v>
      </c>
      <c r="F70" s="199">
        <f>IFERROR(__xludf.DUMMYFUNCTION("""COMPUTED_VALUE"""),0.45)</f>
        <v>0.45</v>
      </c>
      <c r="G70" s="160" t="str">
        <f>IFERROR(__xludf.DUMMYFUNCTION("""COMPUTED_VALUE"""),"Growth")</f>
        <v>Growth</v>
      </c>
      <c r="H70" s="151" t="str">
        <f>IFERROR(__xludf.DUMMYFUNCTION("""COMPUTED_VALUE"""),"STOCK")</f>
        <v>STOCK</v>
      </c>
      <c r="I70" s="152"/>
    </row>
    <row r="71">
      <c r="A71" s="153" t="str">
        <f>IFERROR(__xludf.DUMMYFUNCTION("""COMPUTED_VALUE"""),"BIKE")</f>
        <v>BIKE</v>
      </c>
      <c r="B71" s="153" t="str">
        <f>IFERROR(__xludf.DUMMYFUNCTION("""COMPUTED_VALUE"""),"BikeBox")</f>
        <v>BikeBox</v>
      </c>
      <c r="C71" s="153" t="str">
        <f>IFERROR(__xludf.DUMMYFUNCTION("""COMPUTED_VALUE"""),"Automotive")</f>
        <v>Automotive</v>
      </c>
      <c r="D71" s="77">
        <f>IFERROR(__xludf.DUMMYFUNCTION("""COMPUTED_VALUE"""),50.24)</f>
        <v>50.24</v>
      </c>
      <c r="E71" s="154">
        <f>IFERROR(__xludf.DUMMYFUNCTION("""COMPUTED_VALUE"""),-0.004)</f>
        <v>-0.004</v>
      </c>
      <c r="F71" s="155">
        <f>IFERROR(__xludf.DUMMYFUNCTION("""COMPUTED_VALUE"""),-0.2)</f>
        <v>-0.2</v>
      </c>
      <c r="G71" s="156" t="str">
        <f>IFERROR(__xludf.DUMMYFUNCTION("""COMPUTED_VALUE"""),"Decline")</f>
        <v>Decline</v>
      </c>
      <c r="H71" s="157" t="str">
        <f>IFERROR(__xludf.DUMMYFUNCTION("""COMPUTED_VALUE"""),"STOCK")</f>
        <v>STOCK</v>
      </c>
      <c r="I71" s="158"/>
    </row>
    <row r="72">
      <c r="A72" s="147" t="str">
        <f>IFERROR(__xludf.DUMMYFUNCTION("""COMPUTED_VALUE"""),"WASH")</f>
        <v>WASH</v>
      </c>
      <c r="B72" s="147" t="str">
        <f>IFERROR(__xludf.DUMMYFUNCTION("""COMPUTED_VALUE"""),"CarWash Co")</f>
        <v>CarWash Co</v>
      </c>
      <c r="C72" s="147" t="str">
        <f>IFERROR(__xludf.DUMMYFUNCTION("""COMPUTED_VALUE"""),"Automotive")</f>
        <v>Automotive</v>
      </c>
      <c r="D72" s="71">
        <f>IFERROR(__xludf.DUMMYFUNCTION("""COMPUTED_VALUE"""),124.11)</f>
        <v>124.11</v>
      </c>
      <c r="E72" s="148">
        <f>IFERROR(__xludf.DUMMYFUNCTION("""COMPUTED_VALUE"""),0.0019)</f>
        <v>0.0019</v>
      </c>
      <c r="F72" s="200">
        <f>IFERROR(__xludf.DUMMYFUNCTION("""COMPUTED_VALUE"""),0.23)</f>
        <v>0.23</v>
      </c>
      <c r="G72" s="150" t="str">
        <f>IFERROR(__xludf.DUMMYFUNCTION("""COMPUTED_VALUE"""),"Volatile")</f>
        <v>Volatile</v>
      </c>
      <c r="H72" s="151" t="str">
        <f>IFERROR(__xludf.DUMMYFUNCTION("""COMPUTED_VALUE"""),"STOCK")</f>
        <v>STOCK</v>
      </c>
      <c r="I72" s="152"/>
    </row>
    <row r="73">
      <c r="A73" s="153" t="str">
        <f>IFERROR(__xludf.DUMMYFUNCTION("""COMPUTED_VALUE"""),"GBND")</f>
        <v>GBND</v>
      </c>
      <c r="B73" s="153" t="str">
        <f>IFERROR(__xludf.DUMMYFUNCTION("""COMPUTED_VALUE"""),"Classroom Government Bond")</f>
        <v>Classroom Government Bond</v>
      </c>
      <c r="C73" s="153" t="str">
        <f>IFERROR(__xludf.DUMMYFUNCTION("""COMPUTED_VALUE"""),"Bond")</f>
        <v>Bond</v>
      </c>
      <c r="D73" s="77">
        <f>IFERROR(__xludf.DUMMYFUNCTION("""COMPUTED_VALUE"""),101.2)</f>
        <v>101.2</v>
      </c>
      <c r="E73" s="154">
        <f>IFERROR(__xludf.DUMMYFUNCTION("""COMPUTED_VALUE"""),5.0E-4)</f>
        <v>0.0005</v>
      </c>
      <c r="F73" s="172">
        <f>IFERROR(__xludf.DUMMYFUNCTION("""COMPUTED_VALUE"""),0.05)</f>
        <v>0.05</v>
      </c>
      <c r="G73" s="164" t="str">
        <f>IFERROR(__xludf.DUMMYFUNCTION("""COMPUTED_VALUE"""),"Stable")</f>
        <v>Stable</v>
      </c>
      <c r="H73" s="157" t="str">
        <f>IFERROR(__xludf.DUMMYFUNCTION("""COMPUTED_VALUE"""),"BOND")</f>
        <v>BOND</v>
      </c>
      <c r="I73" s="158">
        <f>IFERROR(__xludf.DUMMYFUNCTION("""COMPUTED_VALUE"""),0.02)</f>
        <v>0.02</v>
      </c>
    </row>
    <row r="74">
      <c r="A74" s="147" t="str">
        <f>IFERROR(__xludf.DUMMYFUNCTION("""COMPUTED_VALUE"""),"SBND")</f>
        <v>SBND</v>
      </c>
      <c r="B74" s="147" t="str">
        <f>IFERROR(__xludf.DUMMYFUNCTION("""COMPUTED_VALUE"""),"School Savings Bond")</f>
        <v>School Savings Bond</v>
      </c>
      <c r="C74" s="147" t="str">
        <f>IFERROR(__xludf.DUMMYFUNCTION("""COMPUTED_VALUE"""),"Bond")</f>
        <v>Bond</v>
      </c>
      <c r="D74" s="71">
        <f>IFERROR(__xludf.DUMMYFUNCTION("""COMPUTED_VALUE"""),99.19)</f>
        <v>99.19</v>
      </c>
      <c r="E74" s="148">
        <f>IFERROR(__xludf.DUMMYFUNCTION("""COMPUTED_VALUE"""),2.0E-4)</f>
        <v>0.0002</v>
      </c>
      <c r="F74" s="163">
        <f>IFERROR(__xludf.DUMMYFUNCTION("""COMPUTED_VALUE"""),0.02)</f>
        <v>0.02</v>
      </c>
      <c r="G74" s="160" t="str">
        <f>IFERROR(__xludf.DUMMYFUNCTION("""COMPUTED_VALUE"""),"Stable")</f>
        <v>Stable</v>
      </c>
      <c r="H74" s="151" t="str">
        <f>IFERROR(__xludf.DUMMYFUNCTION("""COMPUTED_VALUE"""),"BOND")</f>
        <v>BOND</v>
      </c>
      <c r="I74" s="152">
        <f>IFERROR(__xludf.DUMMYFUNCTION("""COMPUTED_VALUE"""),0.015)</f>
        <v>0.015</v>
      </c>
    </row>
    <row r="75">
      <c r="A75" s="153" t="str">
        <f>IFERROR(__xludf.DUMMYFUNCTION("""COMPUTED_VALUE"""),"CBND")</f>
        <v>CBND</v>
      </c>
      <c r="B75" s="153" t="str">
        <f>IFERROR(__xludf.DUMMYFUNCTION("""COMPUTED_VALUE"""),"Corporate Classroom Bond")</f>
        <v>Corporate Classroom Bond</v>
      </c>
      <c r="C75" s="153" t="str">
        <f>IFERROR(__xludf.DUMMYFUNCTION("""COMPUTED_VALUE"""),"Bond")</f>
        <v>Bond</v>
      </c>
      <c r="D75" s="77">
        <f>IFERROR(__xludf.DUMMYFUNCTION("""COMPUTED_VALUE"""),98.12)</f>
        <v>98.12</v>
      </c>
      <c r="E75" s="154">
        <f>IFERROR(__xludf.DUMMYFUNCTION("""COMPUTED_VALUE"""),4.0E-4)</f>
        <v>0.0004</v>
      </c>
      <c r="F75" s="201">
        <f>IFERROR(__xludf.DUMMYFUNCTION("""COMPUTED_VALUE"""),0.04)</f>
        <v>0.04</v>
      </c>
      <c r="G75" s="156" t="str">
        <f>IFERROR(__xludf.DUMMYFUNCTION("""COMPUTED_VALUE"""),"Stable")</f>
        <v>Stable</v>
      </c>
      <c r="H75" s="157" t="str">
        <f>IFERROR(__xludf.DUMMYFUNCTION("""COMPUTED_VALUE"""),"BOND")</f>
        <v>BOND</v>
      </c>
      <c r="I75" s="158">
        <f>IFERROR(__xludf.DUMMYFUNCTION("""COMPUTED_VALUE"""),0.03)</f>
        <v>0.03</v>
      </c>
    </row>
    <row r="76">
      <c r="A76" s="147" t="str">
        <f>IFERROR(__xludf.DUMMYFUNCTION("""COMPUTED_VALUE"""),"TBIL")</f>
        <v>TBIL</v>
      </c>
      <c r="B76" s="147" t="str">
        <f>IFERROR(__xludf.DUMMYFUNCTION("""COMPUTED_VALUE"""),"Treasury Bill")</f>
        <v>Treasury Bill</v>
      </c>
      <c r="C76" s="147" t="str">
        <f>IFERROR(__xludf.DUMMYFUNCTION("""COMPUTED_VALUE"""),"Bond")</f>
        <v>Bond</v>
      </c>
      <c r="D76" s="71">
        <f>IFERROR(__xludf.DUMMYFUNCTION("""COMPUTED_VALUE"""),97.85)</f>
        <v>97.85</v>
      </c>
      <c r="E76" s="148">
        <f>IFERROR(__xludf.DUMMYFUNCTION("""COMPUTED_VALUE"""),-3.0E-4)</f>
        <v>-0.0003</v>
      </c>
      <c r="F76" s="201">
        <f>IFERROR(__xludf.DUMMYFUNCTION("""COMPUTED_VALUE"""),-0.03)</f>
        <v>-0.03</v>
      </c>
      <c r="G76" s="150" t="str">
        <f>IFERROR(__xludf.DUMMYFUNCTION("""COMPUTED_VALUE"""),"Stable")</f>
        <v>Stable</v>
      </c>
      <c r="H76" s="151" t="str">
        <f>IFERROR(__xludf.DUMMYFUNCTION("""COMPUTED_VALUE"""),"BOND")</f>
        <v>BOND</v>
      </c>
      <c r="I76" s="152">
        <f>IFERROR(__xludf.DUMMYFUNCTION("""COMPUTED_VALUE"""),0.01)</f>
        <v>0.01</v>
      </c>
    </row>
    <row r="77">
      <c r="A77" s="153" t="str">
        <f>IFERROR(__xludf.DUMMYFUNCTION("""COMPUTED_VALUE"""),"IBND")</f>
        <v>IBND</v>
      </c>
      <c r="B77" s="153" t="str">
        <f>IFERROR(__xludf.DUMMYFUNCTION("""COMPUTED_VALUE"""),"Inflation Protected Bond")</f>
        <v>Inflation Protected Bond</v>
      </c>
      <c r="C77" s="153" t="str">
        <f>IFERROR(__xludf.DUMMYFUNCTION("""COMPUTED_VALUE"""),"Bond")</f>
        <v>Bond</v>
      </c>
      <c r="D77" s="77">
        <f>IFERROR(__xludf.DUMMYFUNCTION("""COMPUTED_VALUE"""),100.54)</f>
        <v>100.54</v>
      </c>
      <c r="E77" s="154">
        <f>IFERROR(__xludf.DUMMYFUNCTION("""COMPUTED_VALUE"""),-5.0E-4)</f>
        <v>-0.0005</v>
      </c>
      <c r="F77" s="163">
        <f>IFERROR(__xludf.DUMMYFUNCTION("""COMPUTED_VALUE"""),-0.05)</f>
        <v>-0.05</v>
      </c>
      <c r="G77" s="164" t="str">
        <f>IFERROR(__xludf.DUMMYFUNCTION("""COMPUTED_VALUE"""),"Stable")</f>
        <v>Stable</v>
      </c>
      <c r="H77" s="157" t="str">
        <f>IFERROR(__xludf.DUMMYFUNCTION("""COMPUTED_VALUE"""),"BOND")</f>
        <v>BOND</v>
      </c>
      <c r="I77" s="158">
        <f>IFERROR(__xludf.DUMMYFUNCTION("""COMPUTED_VALUE"""),0.018)</f>
        <v>0.018</v>
      </c>
    </row>
  </sheetData>
  <mergeCells count="2">
    <mergeCell ref="A1:I1"/>
    <mergeCell ref="A11:I11"/>
  </mergeCells>
  <conditionalFormatting sqref="G13:G77">
    <cfRule type="cellIs" dxfId="7" priority="1" operator="equal">
      <formula>"Growth"</formula>
    </cfRule>
  </conditionalFormatting>
  <conditionalFormatting sqref="G13:G77">
    <cfRule type="cellIs" dxfId="8" priority="2" operator="equal">
      <formula>"Decline"</formula>
    </cfRule>
  </conditionalFormatting>
  <conditionalFormatting sqref="G13:G77">
    <cfRule type="cellIs" dxfId="9" priority="3" operator="equal">
      <formula>"Volatile"</formula>
    </cfRule>
  </conditionalFormatting>
  <conditionalFormatting sqref="G13:G77">
    <cfRule type="cellIs" dxfId="10" priority="4" operator="equal">
      <formula>"Stable"</formula>
    </cfRule>
  </conditionalFormatting>
  <conditionalFormatting sqref="E13:F77">
    <cfRule type="cellIs" dxfId="11" priority="5" operator="lessThanOrEqual">
      <formula>0</formula>
    </cfRule>
  </conditionalFormatting>
  <conditionalFormatting sqref="E13:F77">
    <cfRule type="cellIs" dxfId="12" priority="6" operator="greaterThanOrEqual">
      <formula>0</formula>
    </cfRule>
  </conditionalFormatting>
  <conditionalFormatting sqref="G13:G77">
    <cfRule type="cellIs" dxfId="13" priority="7" operator="equal">
      <formula>"Crash"</formula>
    </cfRule>
  </conditionalFormatting>
  <conditionalFormatting sqref="B3">
    <cfRule type="notContainsBlanks" dxfId="5" priority="8">
      <formula>LEN(TRIM(B3))&gt;0</formula>
    </cfRule>
  </conditionalFormatting>
  <conditionalFormatting sqref="B3">
    <cfRule type="containsBlanks" dxfId="5" priority="9">
      <formula>LEN(TRIM(B3))=0</formula>
    </cfRule>
  </conditionalFormatting>
  <dataValidations>
    <dataValidation type="list" allowBlank="1" showErrorMessage="1" sqref="B5">
      <formula1>Imported_Stock_Market!$A$2:A77</formula1>
    </dataValidation>
    <dataValidation type="list" allowBlank="1" showErrorMessage="1" sqref="B4">
      <formula1>"BUY,SELL"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cols>
    <col customWidth="1" min="1" max="8" width="20.13"/>
  </cols>
  <sheetData>
    <row r="1">
      <c r="A1" s="202" t="s">
        <v>73</v>
      </c>
    </row>
    <row r="2">
      <c r="A2" s="203"/>
      <c r="B2" s="203"/>
      <c r="C2" s="203"/>
      <c r="D2" s="203"/>
      <c r="E2" s="203"/>
      <c r="F2" s="203"/>
      <c r="G2" s="203"/>
      <c r="H2" s="203"/>
    </row>
    <row r="3">
      <c r="A3" s="204" t="s">
        <v>74</v>
      </c>
      <c r="B3" s="205"/>
      <c r="C3" s="203"/>
      <c r="D3" s="203"/>
      <c r="E3" s="203"/>
      <c r="F3" s="203"/>
      <c r="G3" s="203"/>
      <c r="H3" s="203"/>
    </row>
    <row r="4">
      <c r="A4" s="203"/>
      <c r="B4" s="203"/>
      <c r="C4" s="203"/>
      <c r="D4" s="203"/>
      <c r="E4" s="203"/>
      <c r="F4" s="203"/>
      <c r="G4" s="203"/>
      <c r="H4" s="203"/>
    </row>
    <row r="5">
      <c r="A5" s="206" t="s">
        <v>75</v>
      </c>
      <c r="B5" s="207" t="str">
        <f t="array" ref="B5">IF($B$3="","",IFNA(XLOOKUP($B$3,Imported_Stock_Market!$A:$A,Imported_Stock_Market!$B:$B),"Ticker not found"))</f>
        <v/>
      </c>
      <c r="C5" s="203"/>
      <c r="D5" s="203"/>
      <c r="E5" s="203"/>
      <c r="F5" s="203"/>
      <c r="G5" s="203"/>
      <c r="H5" s="203"/>
    </row>
    <row r="6">
      <c r="A6" s="208" t="s">
        <v>67</v>
      </c>
      <c r="B6" s="209" t="str">
        <f t="array" ref="B6">IF($B$3="","",IFNA(XLOOKUP($B$3,Imported_Stock_Market!$A:$A,Imported_Stock_Market!$C:$C),""))</f>
        <v/>
      </c>
      <c r="C6" s="203"/>
      <c r="D6" s="203"/>
      <c r="E6" s="203"/>
      <c r="F6" s="203"/>
      <c r="G6" s="203"/>
      <c r="H6" s="203"/>
    </row>
    <row r="7">
      <c r="A7" s="208" t="s">
        <v>56</v>
      </c>
      <c r="B7" s="210" t="str">
        <f t="array" ref="B7">IF($B$3="","",IFNA(XLOOKUP($B$3,Imported_Stock_Market!$A:$A,Imported_Stock_Market!$D:$D),""))</f>
        <v/>
      </c>
      <c r="C7" s="203"/>
      <c r="D7" s="203"/>
      <c r="E7" s="203"/>
      <c r="F7" s="203"/>
      <c r="G7" s="203"/>
      <c r="H7" s="203"/>
    </row>
    <row r="8">
      <c r="A8" s="208" t="s">
        <v>76</v>
      </c>
      <c r="B8" s="210" t="str">
        <f t="array" ref="B8">IF($B$3="","",IFNA(XLOOKUP($B$3,Imported_Stock_Market!$A:$A,Imported_Stock_Market!$E:$E),""))</f>
        <v/>
      </c>
      <c r="C8" s="203"/>
      <c r="D8" s="203"/>
      <c r="E8" s="203"/>
      <c r="F8" s="203"/>
      <c r="G8" s="203"/>
      <c r="H8" s="203"/>
    </row>
    <row r="9">
      <c r="A9" s="208" t="s">
        <v>68</v>
      </c>
      <c r="B9" s="211" t="str">
        <f t="array" ref="B9">IF($B$3="","",IFNA(XLOOKUP($B$3,Imported_Stock_Market!$A:$A,Imported_Stock_Market!$F:$F),""))</f>
        <v/>
      </c>
      <c r="C9" s="203"/>
      <c r="D9" s="203"/>
      <c r="E9" s="203"/>
      <c r="F9" s="203"/>
      <c r="G9" s="203"/>
      <c r="H9" s="203"/>
    </row>
    <row r="10">
      <c r="A10" s="208" t="s">
        <v>69</v>
      </c>
      <c r="B10" s="210" t="str">
        <f t="array" ref="B10">IF($B$3="","",IFNA(XLOOKUP($B$3,Imported_Stock_Market!$A:$A,Imported_Stock_Market!$G:$G),""))</f>
        <v/>
      </c>
      <c r="C10" s="203"/>
      <c r="D10" s="203"/>
      <c r="E10" s="203"/>
      <c r="F10" s="203"/>
      <c r="G10" s="203"/>
      <c r="H10" s="203"/>
    </row>
    <row r="11">
      <c r="A11" s="208" t="s">
        <v>77</v>
      </c>
      <c r="B11" s="212" t="str">
        <f t="array" ref="B11">IF($B$3="","",IFNA(XLOOKUP($B$3,Imported_Stock_Market!$A:$A,Imported_Stock_Market!$H:$H),""))</f>
        <v/>
      </c>
      <c r="C11" s="203"/>
      <c r="D11" s="203"/>
      <c r="E11" s="203"/>
      <c r="F11" s="203"/>
      <c r="G11" s="203"/>
      <c r="H11" s="203"/>
    </row>
    <row r="12">
      <c r="A12" s="208" t="s">
        <v>70</v>
      </c>
      <c r="B12" s="209" t="str">
        <f t="array" ref="B12">IF($B$3="","",IFNA(XLOOKUP($B$3,Imported_Stock_Market!$A:$A,Imported_Stock_Market!$I:$I),""))</f>
        <v/>
      </c>
      <c r="C12" s="203"/>
      <c r="D12" s="203"/>
      <c r="E12" s="203"/>
      <c r="F12" s="203"/>
      <c r="G12" s="203"/>
      <c r="H12" s="203"/>
    </row>
    <row r="13" hidden="1">
      <c r="A13" s="208" t="s">
        <v>78</v>
      </c>
      <c r="B13" s="213" t="str">
        <f t="array" ref="B13">IF($B$3="","",IFNA(XLOOKUP($B$3,Stock_Market!$A:$A,Stock_Market!$J:$J),""))</f>
        <v/>
      </c>
      <c r="C13" s="203"/>
      <c r="D13" s="203"/>
      <c r="E13" s="203"/>
      <c r="F13" s="203"/>
      <c r="G13" s="203"/>
      <c r="H13" s="203"/>
    </row>
    <row r="14">
      <c r="A14" s="208" t="s">
        <v>59</v>
      </c>
      <c r="B14" s="214" t="str">
        <f t="array" ref="B14">IF($B$3="","",IFNA(XLOOKUP($B$3,Imported_Stock_Market!$A:$A,Imported_Stock_Market!$K:$K),""))</f>
        <v/>
      </c>
      <c r="C14" s="203"/>
      <c r="D14" s="203"/>
      <c r="E14" s="203"/>
      <c r="F14" s="203"/>
      <c r="G14" s="203"/>
      <c r="H14" s="203"/>
    </row>
    <row r="15">
      <c r="A15" s="208" t="s">
        <v>71</v>
      </c>
      <c r="B15" s="209" t="str">
        <f t="array" ref="B15">IF($B$3="","",IFNA(XLOOKUP($B$3,Imported_Stock_Market!$A:$A,Imported_Stock_Market!$L:$L),""))</f>
        <v/>
      </c>
      <c r="C15" s="203"/>
      <c r="D15" s="203"/>
      <c r="E15" s="203"/>
      <c r="F15" s="203"/>
      <c r="G15" s="203"/>
      <c r="H15" s="203"/>
    </row>
    <row r="16">
      <c r="A16" s="215" t="s">
        <v>72</v>
      </c>
      <c r="B16" s="216" t="str">
        <f t="array" ref="B16">IF($B$3="","",IFNA(XLOOKUP($B$3,Imported_Stock_Market!$A:$A,Imported_Stock_Market!$O:$O),""))</f>
        <v/>
      </c>
      <c r="C16" s="203"/>
      <c r="D16" s="203"/>
      <c r="E16" s="203"/>
      <c r="F16" s="203"/>
      <c r="G16" s="203"/>
      <c r="H16" s="203"/>
    </row>
    <row r="17">
      <c r="A17" s="203"/>
      <c r="B17" s="203"/>
      <c r="C17" s="203"/>
      <c r="D17" s="203"/>
      <c r="E17" s="203"/>
      <c r="F17" s="203"/>
      <c r="G17" s="203"/>
      <c r="H17" s="203"/>
    </row>
    <row r="18">
      <c r="A18" s="203"/>
      <c r="B18" s="203"/>
      <c r="C18" s="203"/>
      <c r="D18" s="203"/>
      <c r="E18" s="203"/>
      <c r="F18" s="203"/>
      <c r="G18" s="203"/>
      <c r="H18" s="203"/>
    </row>
    <row r="19">
      <c r="A19" s="204" t="s">
        <v>79</v>
      </c>
    </row>
    <row r="20">
      <c r="A20" s="217" t="s">
        <v>80</v>
      </c>
      <c r="B20" s="217" t="s">
        <v>81</v>
      </c>
      <c r="D20" s="217" t="s">
        <v>82</v>
      </c>
      <c r="E20" s="217"/>
      <c r="F20" s="217"/>
      <c r="G20" s="217"/>
      <c r="H20" s="217"/>
    </row>
    <row r="21">
      <c r="A21" s="218" t="str">
        <f>IFERROR(__xludf.DUMMYFUNCTION("IF($B$3="""","""",IFNA(QUERY(SORT(FILTER({Imported_Stock_News!A2:A47,Imported_Stock_News!C2:C47,IF(Imported_Stock_News!A2:A47&lt;&gt;"""","""",),Imported_Stock_News!D2:D47},Imported_Stock_News!B2:B47=$B$3),1,FALSE),""limit 5"",0),""No news found""))"),"")</f>
        <v/>
      </c>
      <c r="B21" s="219"/>
      <c r="D21" s="219"/>
    </row>
    <row r="22">
      <c r="A22" s="220"/>
      <c r="B22" s="203"/>
      <c r="D22" s="203"/>
    </row>
    <row r="23">
      <c r="A23" s="220"/>
      <c r="B23" s="203"/>
      <c r="D23" s="203"/>
    </row>
    <row r="24">
      <c r="A24" s="220"/>
      <c r="B24" s="203"/>
      <c r="D24" s="203"/>
    </row>
    <row r="25">
      <c r="A25" s="220"/>
      <c r="B25" s="203"/>
      <c r="D25" s="203"/>
    </row>
    <row r="26">
      <c r="A26" s="220"/>
      <c r="B26" s="203"/>
      <c r="D26" s="203"/>
    </row>
    <row r="27">
      <c r="A27" s="220"/>
      <c r="B27" s="203"/>
      <c r="D27" s="203"/>
    </row>
    <row r="28">
      <c r="A28" s="220"/>
      <c r="B28" s="203"/>
      <c r="D28" s="203"/>
    </row>
    <row r="29">
      <c r="A29" s="220"/>
      <c r="B29" s="203"/>
      <c r="D29" s="203"/>
    </row>
    <row r="30">
      <c r="A30" s="204" t="s">
        <v>83</v>
      </c>
    </row>
    <row r="31">
      <c r="A31" s="221" t="s">
        <v>46</v>
      </c>
      <c r="B31" s="221" t="s">
        <v>84</v>
      </c>
      <c r="C31" s="221" t="s">
        <v>85</v>
      </c>
      <c r="D31" s="221" t="s">
        <v>86</v>
      </c>
      <c r="E31" s="221" t="s">
        <v>87</v>
      </c>
      <c r="F31" s="221" t="s">
        <v>88</v>
      </c>
      <c r="G31" s="221" t="s">
        <v>89</v>
      </c>
      <c r="H31" s="221" t="s">
        <v>90</v>
      </c>
    </row>
    <row r="32">
      <c r="A32" s="203" t="str">
        <f>IFERROR(__xludf.DUMMYFUNCTION("IF($B$3="""","""",IFNA(FILTER(Imported_Stock_Financials!A:H,Imported_Stock_Financials!A:A=$B$3),""No financials found""))"),"")</f>
        <v/>
      </c>
      <c r="B32" s="222"/>
      <c r="C32" s="222"/>
      <c r="D32" s="222"/>
      <c r="E32" s="222"/>
      <c r="F32" s="223"/>
      <c r="G32" s="203"/>
      <c r="H32" s="203"/>
    </row>
    <row r="33">
      <c r="A33" s="203"/>
      <c r="B33" s="203"/>
      <c r="C33" s="203"/>
      <c r="D33" s="203"/>
      <c r="E33" s="203"/>
      <c r="F33" s="203"/>
      <c r="G33" s="203"/>
      <c r="H33" s="203"/>
    </row>
    <row r="34">
      <c r="A34" s="203"/>
      <c r="B34" s="203"/>
      <c r="C34" s="203"/>
      <c r="D34" s="203"/>
      <c r="E34" s="203"/>
      <c r="F34" s="203"/>
      <c r="G34" s="203"/>
      <c r="H34" s="203"/>
    </row>
    <row r="35">
      <c r="A35" s="203"/>
      <c r="B35" s="203"/>
      <c r="C35" s="203"/>
      <c r="D35" s="203"/>
      <c r="E35" s="203"/>
      <c r="F35" s="203"/>
      <c r="G35" s="203"/>
      <c r="H35" s="203"/>
    </row>
    <row r="36">
      <c r="A36" s="203"/>
      <c r="B36" s="203"/>
      <c r="C36" s="203"/>
      <c r="D36" s="203"/>
      <c r="E36" s="203"/>
      <c r="F36" s="203"/>
      <c r="G36" s="203"/>
      <c r="H36" s="203"/>
    </row>
    <row r="37">
      <c r="A37" s="203"/>
      <c r="B37" s="203"/>
      <c r="C37" s="203"/>
      <c r="D37" s="203"/>
      <c r="E37" s="203"/>
      <c r="F37" s="203"/>
      <c r="G37" s="203"/>
      <c r="H37" s="203"/>
    </row>
    <row r="38">
      <c r="A38" s="203"/>
      <c r="B38" s="203"/>
      <c r="C38" s="203"/>
      <c r="D38" s="203"/>
      <c r="E38" s="203"/>
      <c r="F38" s="203"/>
      <c r="G38" s="203"/>
      <c r="H38" s="203"/>
    </row>
    <row r="39">
      <c r="A39" s="203"/>
      <c r="B39" s="203"/>
      <c r="C39" s="203"/>
      <c r="D39" s="203"/>
      <c r="E39" s="203"/>
      <c r="F39" s="203"/>
      <c r="G39" s="203"/>
      <c r="H39" s="203"/>
    </row>
    <row r="40">
      <c r="A40" s="224"/>
      <c r="B40" s="203"/>
      <c r="C40" s="203"/>
      <c r="D40" s="203"/>
      <c r="E40" s="203"/>
      <c r="F40" s="203"/>
      <c r="G40" s="203"/>
      <c r="H40" s="203"/>
    </row>
    <row r="41">
      <c r="A41" s="204" t="s">
        <v>91</v>
      </c>
    </row>
    <row r="42">
      <c r="A42" s="225"/>
      <c r="B42" s="225"/>
      <c r="C42" s="225"/>
      <c r="D42" s="225"/>
      <c r="E42" s="225"/>
      <c r="F42" s="225"/>
      <c r="G42" s="225"/>
      <c r="H42" s="225"/>
    </row>
    <row r="43">
      <c r="A43" s="203" t="str">
        <f>IFERROR(__xludf.DUMMYFUNCTION("IF($B$3="""","""",IFNA(QUERY(SORT(FILTER(Imported_Stock_Ratings!A:F,Imported_Stock_Ratings!B:B=$B$3),1,FALSE),""limit 5"",0),""No ratings found""))"),"")</f>
        <v/>
      </c>
      <c r="B43" s="203"/>
      <c r="C43" s="203"/>
      <c r="D43" s="203"/>
      <c r="E43" s="203"/>
      <c r="F43" s="203"/>
      <c r="G43" s="203"/>
      <c r="H43" s="203"/>
    </row>
    <row r="44">
      <c r="A44" s="203"/>
      <c r="B44" s="203"/>
      <c r="C44" s="203"/>
      <c r="D44" s="203"/>
      <c r="E44" s="203"/>
      <c r="F44" s="203"/>
      <c r="G44" s="203"/>
      <c r="H44" s="203"/>
    </row>
    <row r="45">
      <c r="A45" s="203"/>
      <c r="B45" s="203"/>
      <c r="C45" s="203"/>
      <c r="D45" s="203"/>
      <c r="E45" s="203"/>
      <c r="F45" s="203"/>
      <c r="G45" s="203"/>
      <c r="H45" s="203"/>
    </row>
  </sheetData>
  <mergeCells count="23">
    <mergeCell ref="A1:H1"/>
    <mergeCell ref="A19:H19"/>
    <mergeCell ref="B20:C20"/>
    <mergeCell ref="B21:C21"/>
    <mergeCell ref="D21:H21"/>
    <mergeCell ref="B22:C22"/>
    <mergeCell ref="D22:H22"/>
    <mergeCell ref="B26:C26"/>
    <mergeCell ref="B27:C27"/>
    <mergeCell ref="B28:C28"/>
    <mergeCell ref="B29:C29"/>
    <mergeCell ref="D27:H27"/>
    <mergeCell ref="D28:H28"/>
    <mergeCell ref="D29:H29"/>
    <mergeCell ref="A30:H30"/>
    <mergeCell ref="A41:H41"/>
    <mergeCell ref="B23:C23"/>
    <mergeCell ref="D23:H23"/>
    <mergeCell ref="B24:C24"/>
    <mergeCell ref="D24:H24"/>
    <mergeCell ref="B25:C25"/>
    <mergeCell ref="D25:H25"/>
    <mergeCell ref="D26:H26"/>
  </mergeCells>
  <dataValidations>
    <dataValidation type="list" allowBlank="1" showErrorMessage="1" sqref="B3">
      <formula1>Imported_Stock_Market!$A$2:$A47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28.88"/>
  </cols>
  <sheetData>
    <row r="1">
      <c r="A1" s="226" t="s">
        <v>92</v>
      </c>
    </row>
    <row r="2">
      <c r="A2" s="227"/>
      <c r="B2" s="227"/>
      <c r="C2" s="227"/>
      <c r="D2" s="227"/>
    </row>
    <row r="3">
      <c r="A3" s="133" t="s">
        <v>74</v>
      </c>
      <c r="B3" s="228"/>
      <c r="C3" s="227"/>
      <c r="D3" s="227"/>
    </row>
    <row r="4">
      <c r="A4" s="229"/>
      <c r="B4" s="227"/>
      <c r="C4" s="227"/>
      <c r="D4" s="227"/>
    </row>
    <row r="5">
      <c r="A5" s="230" t="s">
        <v>56</v>
      </c>
      <c r="B5" s="231" t="str">
        <f t="array" ref="B5">IF($B$3="","",IFNA(XLOOKUP($B$3,Imported_Stock_Market!$A:$A,Imported_Stock_Market!$D:$D),""))</f>
        <v/>
      </c>
      <c r="C5" s="227"/>
      <c r="D5" s="227"/>
    </row>
    <row r="6">
      <c r="A6" s="232" t="s">
        <v>84</v>
      </c>
      <c r="B6" s="233" t="str">
        <f t="array" ref="B6">IF($B$3="","",IFNA(XLOOKUP($B$3,Imported_Stock_Financials!$A:$A,Imported_Stock_Financials!$B:$B),""))</f>
        <v/>
      </c>
      <c r="C6" s="227"/>
      <c r="D6" s="227"/>
    </row>
    <row r="7">
      <c r="A7" s="232" t="s">
        <v>85</v>
      </c>
      <c r="B7" s="233" t="str">
        <f t="array" ref="B7">IF($B$3="","",IFNA(XLOOKUP($B$3,Imported_Stock_Financials!$A:$A,Imported_Stock_Financials!$C:$C),""))</f>
        <v/>
      </c>
      <c r="C7" s="227"/>
      <c r="D7" s="227"/>
    </row>
    <row r="8">
      <c r="A8" s="232" t="s">
        <v>86</v>
      </c>
      <c r="B8" s="233" t="str">
        <f t="array" ref="B8">IF($B$3="","",IFNA(XLOOKUP($B$3,Imported_Stock_Financials!$A:$A,Imported_Stock_Financials!$D:$D),""))</f>
        <v/>
      </c>
      <c r="C8" s="227"/>
      <c r="D8" s="227"/>
    </row>
    <row r="9">
      <c r="A9" s="232" t="s">
        <v>87</v>
      </c>
      <c r="B9" s="233" t="str">
        <f t="array" ref="B9">IF($B$3="","",IFNA(XLOOKUP($B$3,Imported_Stock_Financials!$A:$A,Imported_Stock_Financials!$E:$E),""))</f>
        <v/>
      </c>
      <c r="C9" s="227"/>
      <c r="D9" s="227"/>
    </row>
    <row r="10">
      <c r="A10" s="232" t="s">
        <v>93</v>
      </c>
      <c r="B10" s="234" t="str">
        <f t="array" ref="B10">IF($B$3="","",IFNA(XLOOKUP($B$3,Imported_Stock_Financials!$A:$A,Imported_Stock_Financials!$F:$F),""))</f>
        <v/>
      </c>
      <c r="C10" s="227"/>
      <c r="D10" s="227"/>
    </row>
    <row r="11">
      <c r="A11" s="232" t="s">
        <v>94</v>
      </c>
      <c r="B11" s="235" t="str">
        <f t="array" ref="B11">IF($B$3="","",IFNA(XLOOKUP($B$3,Imported_Stock_Financials!$A:$A,Imported_Stock_Financials!$G:$G),""))</f>
        <v/>
      </c>
      <c r="C11" s="227"/>
      <c r="D11" s="227"/>
    </row>
    <row r="12">
      <c r="A12" s="232" t="s">
        <v>70</v>
      </c>
      <c r="B12" s="235" t="str">
        <f t="array" ref="B12">IF($B$3="","",IFNA(XLOOKUP($B$3,Imported_Stock_Financials!$A:$A,Imported_Stock_Financials!$I:$I),""))</f>
        <v/>
      </c>
      <c r="C12" s="227"/>
      <c r="D12" s="227"/>
    </row>
    <row r="13">
      <c r="A13" s="232" t="s">
        <v>95</v>
      </c>
      <c r="B13" s="235" t="str">
        <f>IFERROR(__xludf.DUMMYFUNCTION("IF($B$3="""","""",IFNA(INDEX(SORT(FILTER(Imported_Stock_News!E:E,Imported_Stock_News!B:B=$B$3),ROW(FILTER(Imported_Stock_News!E:E,Imported_Stock_News!B:B=$B$3)),FALSE),1),""Neutral""))"),"")</f>
        <v/>
      </c>
      <c r="C13" s="227"/>
      <c r="D13" s="227"/>
    </row>
    <row r="14">
      <c r="A14" s="232" t="s">
        <v>96</v>
      </c>
      <c r="B14" s="235" t="str">
        <f>IF($B$3="","",IF(OR(B10&gt;0.08,B11="Low",B12="Growth",B12="Hot"),"Bullish",IF(OR(B10&lt;0,B11="High",B12="Crash",B12="Decline"),"Bearish","Neutral")))</f>
        <v/>
      </c>
      <c r="C14" s="227"/>
      <c r="D14" s="227"/>
    </row>
    <row r="15">
      <c r="A15" s="232" t="s">
        <v>97</v>
      </c>
      <c r="B15" s="235" t="str">
        <f>IF($B$3="","",IF(B14="Bullish",B5*1.01,IF(B14="Bearish",B5*0.99,B5)))</f>
        <v/>
      </c>
      <c r="C15" s="227"/>
      <c r="D15" s="227"/>
    </row>
    <row r="16">
      <c r="A16" s="236" t="s">
        <v>98</v>
      </c>
      <c r="B16" s="237" t="str">
        <f>IF($B$3="","",IF(B14="Bullish",B5*1.05,IF(B14="Bearish",B5*0.95,B5)))</f>
        <v/>
      </c>
      <c r="C16" s="227"/>
      <c r="D16" s="227"/>
    </row>
    <row r="17">
      <c r="A17" s="227"/>
      <c r="B17" s="227"/>
      <c r="C17" s="227"/>
      <c r="D17" s="227"/>
    </row>
    <row r="18">
      <c r="A18" s="227"/>
      <c r="B18" s="227"/>
      <c r="C18" s="227"/>
      <c r="D18" s="227"/>
    </row>
    <row r="19">
      <c r="A19" s="238" t="s">
        <v>99</v>
      </c>
      <c r="B19" s="227"/>
      <c r="C19" s="227"/>
      <c r="D19" s="227"/>
    </row>
    <row r="20">
      <c r="A20" s="239" t="s">
        <v>100</v>
      </c>
    </row>
  </sheetData>
  <mergeCells count="2">
    <mergeCell ref="A1:D1"/>
    <mergeCell ref="A20:D20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IFERROR(__xludf.DUMMYFUNCTION("IMPORTRANGE(""1R2r21OUCmsRB4LtOboB6fOM_WL3_ezt7cytLM-cfMvg"",""Stock_Ratings!A:M"")"),"Timestamp")</f>
        <v>Timestamp</v>
      </c>
      <c r="B1" s="122" t="str">
        <f>IFERROR(__xludf.DUMMYFUNCTION("""COMPUTED_VALUE"""),"Date")</f>
        <v>Date</v>
      </c>
      <c r="C1" s="122" t="str">
        <f>IFERROR(__xludf.DUMMYFUNCTION("""COMPUTED_VALUE"""),"Card_ID")</f>
        <v>Card_ID</v>
      </c>
      <c r="D1" s="122" t="str">
        <f>IFERROR(__xludf.DUMMYFUNCTION("""COMPUTED_VALUE"""),"Student_Name")</f>
        <v>Student_Name</v>
      </c>
      <c r="E1" s="122" t="str">
        <f>IFERROR(__xludf.DUMMYFUNCTION("""COMPUTED_VALUE"""),"Ticker")</f>
        <v>Ticker</v>
      </c>
      <c r="F1" s="122" t="str">
        <f>IFERROR(__xludf.DUMMYFUNCTION("""COMPUTED_VALUE"""),"Rating")</f>
        <v>Rating</v>
      </c>
      <c r="G1" s="122" t="str">
        <f>IFERROR(__xludf.DUMMYFUNCTION("""COMPUTED_VALUE"""),"Target_Price")</f>
        <v>Target_Price</v>
      </c>
      <c r="H1" s="122" t="str">
        <f>IFERROR(__xludf.DUMMYFUNCTION("""COMPUTED_VALUE"""),"Reason")</f>
        <v>Reason</v>
      </c>
      <c r="I1" s="122" t="str">
        <f>IFERROR(__xludf.DUMMYFUNCTION("""COMPUTED_VALUE"""),"Check_Date")</f>
        <v>Check_Date</v>
      </c>
      <c r="J1" s="122" t="str">
        <f>IFERROR(__xludf.DUMMYFUNCTION("""COMPUTED_VALUE"""),"End_Of_Day_Price")</f>
        <v>End_Of_Day_Price</v>
      </c>
      <c r="K1" s="122" t="str">
        <f>IFERROR(__xludf.DUMMYFUNCTION("""COMPUTED_VALUE"""),"Accuracy_%")</f>
        <v>Accuracy_%</v>
      </c>
      <c r="L1" s="122" t="str">
        <f>IFERROR(__xludf.DUMMYFUNCTION("""COMPUTED_VALUE"""),"Reward_Status")</f>
        <v>Reward_Status</v>
      </c>
      <c r="M1" s="122" t="str">
        <f>IFERROR(__xludf.DUMMYFUNCTION("""COMPUTED_VALUE"""),"Reward_Amount")</f>
        <v>Reward_Amount</v>
      </c>
    </row>
    <row r="2">
      <c r="A2" s="131">
        <f>IFERROR(__xludf.DUMMYFUNCTION("""COMPUTED_VALUE"""),46183.496875)</f>
        <v>46183.49688</v>
      </c>
      <c r="B2" s="126">
        <f>IFERROR(__xludf.DUMMYFUNCTION("""COMPUTED_VALUE"""),46183.0)</f>
        <v>46183</v>
      </c>
      <c r="C2" s="122" t="str">
        <f>IFERROR(__xludf.DUMMYFUNCTION("""COMPUTED_VALUE"""),"ae072910")</f>
        <v>ae072910</v>
      </c>
      <c r="D2" s="122" t="str">
        <f>IFERROR(__xludf.DUMMYFUNCTION("""COMPUTED_VALUE"""),"Selena Jung")</f>
        <v>Selena Jung</v>
      </c>
      <c r="E2" s="122" t="str">
        <f>IFERROR(__xludf.DUMMYFUNCTION("""COMPUTED_VALUE"""),"SNAX")</f>
        <v>SNAX</v>
      </c>
      <c r="F2" s="122" t="str">
        <f>IFERROR(__xludf.DUMMYFUNCTION("""COMPUTED_VALUE"""),"BUY")</f>
        <v>BUY</v>
      </c>
      <c r="G2" s="122">
        <f>IFERROR(__xludf.DUMMYFUNCTION("""COMPUTED_VALUE"""),20.0)</f>
        <v>20</v>
      </c>
      <c r="H2" s="122" t="str">
        <f>IFERROR(__xludf.DUMMYFUNCTION("""COMPUTED_VALUE"""),"i dont know")</f>
        <v>i dont know</v>
      </c>
      <c r="I2" s="126">
        <f>IFERROR(__xludf.DUMMYFUNCTION("""COMPUTED_VALUE"""),46183.0)</f>
        <v>46183</v>
      </c>
      <c r="J2" s="122">
        <f>IFERROR(__xludf.DUMMYFUNCTION("""COMPUTED_VALUE"""),100.62)</f>
        <v>100.62</v>
      </c>
      <c r="K2" s="122">
        <f>IFERROR(__xludf.DUMMYFUNCTION("""COMPUTED_VALUE"""),4.031)</f>
        <v>4.031</v>
      </c>
      <c r="L2" s="122" t="str">
        <f>IFERROR(__xludf.DUMMYFUNCTION("""COMPUTED_VALUE"""),"Missed")</f>
        <v>Missed</v>
      </c>
      <c r="M2" s="122">
        <f>IFERROR(__xludf.DUMMYFUNCTION("""COMPUTED_VALUE"""),0.0)</f>
        <v>0</v>
      </c>
    </row>
    <row r="3">
      <c r="A3" s="131">
        <f>IFERROR(__xludf.DUMMYFUNCTION("""COMPUTED_VALUE"""),46183.54975694444)</f>
        <v>46183.54976</v>
      </c>
      <c r="B3" s="126">
        <f>IFERROR(__xludf.DUMMYFUNCTION("""COMPUTED_VALUE"""),46183.0)</f>
        <v>46183</v>
      </c>
      <c r="C3" s="122">
        <f>IFERROR(__xludf.DUMMYFUNCTION("""COMPUTED_VALUE"""),1234.0)</f>
        <v>1234</v>
      </c>
      <c r="D3" s="122" t="str">
        <f>IFERROR(__xludf.DUMMYFUNCTION("""COMPUTED_VALUE"""),"Test")</f>
        <v>Test</v>
      </c>
      <c r="E3" s="122" t="str">
        <f>IFERROR(__xludf.DUMMYFUNCTION("""COMPUTED_VALUE"""),"BYTE")</f>
        <v>BYTE</v>
      </c>
      <c r="F3" s="122" t="str">
        <f>IFERROR(__xludf.DUMMYFUNCTION("""COMPUTED_VALUE"""),"HOLD")</f>
        <v>HOLD</v>
      </c>
      <c r="G3" s="122">
        <f>IFERROR(__xludf.DUMMYFUNCTION("""COMPUTED_VALUE"""),100.0)</f>
        <v>100</v>
      </c>
      <c r="H3" s="122" t="str">
        <f>IFERROR(__xludf.DUMMYFUNCTION("""COMPUTED_VALUE"""),"Testing rating submission from api-test-logger.gs")</f>
        <v>Testing rating submission from api-test-logger.gs</v>
      </c>
      <c r="I3" s="126">
        <f>IFERROR(__xludf.DUMMYFUNCTION("""COMPUTED_VALUE"""),46183.0)</f>
        <v>46183</v>
      </c>
      <c r="J3" s="122">
        <f>IFERROR(__xludf.DUMMYFUNCTION("""COMPUTED_VALUE"""),112.36)</f>
        <v>112.36</v>
      </c>
      <c r="K3" s="122">
        <f>IFERROR(__xludf.DUMMYFUNCTION("""COMPUTED_VALUE"""),0.1236)</f>
        <v>0.1236</v>
      </c>
      <c r="L3" s="122" t="str">
        <f>IFERROR(__xludf.DUMMYFUNCTION("""COMPUTED_VALUE"""),"Missed")</f>
        <v>Missed</v>
      </c>
      <c r="M3" s="122">
        <f>IFERROR(__xludf.DUMMYFUNCTION("""COMPUTED_VALUE"""),0.0)</f>
        <v>0</v>
      </c>
    </row>
    <row r="4">
      <c r="A4" s="131">
        <f>IFERROR(__xludf.DUMMYFUNCTION("""COMPUTED_VALUE"""),46183.55482638889)</f>
        <v>46183.55483</v>
      </c>
      <c r="B4" s="126">
        <f>IFERROR(__xludf.DUMMYFUNCTION("""COMPUTED_VALUE"""),46183.0)</f>
        <v>46183</v>
      </c>
      <c r="C4" s="122">
        <f>IFERROR(__xludf.DUMMYFUNCTION("""COMPUTED_VALUE"""),8300.0)</f>
        <v>8300</v>
      </c>
      <c r="D4" s="122" t="str">
        <f>IFERROR(__xludf.DUMMYFUNCTION("""COMPUTED_VALUE"""),"Andy Lee")</f>
        <v>Andy Lee</v>
      </c>
      <c r="E4" s="122" t="str">
        <f>IFERROR(__xludf.DUMMYFUNCTION("""COMPUTED_VALUE"""),"AIBO")</f>
        <v>AIBO</v>
      </c>
      <c r="F4" s="122" t="str">
        <f>IFERROR(__xludf.DUMMYFUNCTION("""COMPUTED_VALUE"""),"BUY")</f>
        <v>BUY</v>
      </c>
      <c r="G4" s="122">
        <f>IFERROR(__xludf.DUMMYFUNCTION("""COMPUTED_VALUE"""),125.0)</f>
        <v>125</v>
      </c>
      <c r="H4" s="122" t="str">
        <f>IFERROR(__xludf.DUMMYFUNCTION("""COMPUTED_VALUE"""),"AIBBUNGTOONII")</f>
        <v>AIBBUNGTOONII</v>
      </c>
      <c r="I4" s="126">
        <f>IFERROR(__xludf.DUMMYFUNCTION("""COMPUTED_VALUE"""),46183.0)</f>
        <v>46183</v>
      </c>
      <c r="J4" s="122">
        <f>IFERROR(__xludf.DUMMYFUNCTION("""COMPUTED_VALUE"""),179.08)</f>
        <v>179.08</v>
      </c>
      <c r="K4" s="122">
        <f>IFERROR(__xludf.DUMMYFUNCTION("""COMPUTED_VALUE"""),0.4326)</f>
        <v>0.4326</v>
      </c>
      <c r="L4" s="122" t="str">
        <f>IFERROR(__xludf.DUMMYFUNCTION("""COMPUTED_VALUE"""),"Missed")</f>
        <v>Missed</v>
      </c>
      <c r="M4" s="122">
        <f>IFERROR(__xludf.DUMMYFUNCTION("""COMPUTED_VALUE"""),0.0)</f>
        <v>0</v>
      </c>
    </row>
    <row r="5">
      <c r="A5" s="131">
        <f>IFERROR(__xludf.DUMMYFUNCTION("""COMPUTED_VALUE"""),46183.55520833333)</f>
        <v>46183.55521</v>
      </c>
      <c r="B5" s="126">
        <f>IFERROR(__xludf.DUMMYFUNCTION("""COMPUTED_VALUE"""),46183.0)</f>
        <v>46183</v>
      </c>
      <c r="C5" s="122">
        <f>IFERROR(__xludf.DUMMYFUNCTION("""COMPUTED_VALUE"""),3846.0)</f>
        <v>3846</v>
      </c>
      <c r="D5" s="122" t="str">
        <f>IFERROR(__xludf.DUMMYFUNCTION("""COMPUTED_VALUE"""),"Jace Kim")</f>
        <v>Jace Kim</v>
      </c>
      <c r="E5" s="122" t="str">
        <f>IFERROR(__xludf.DUMMYFUNCTION("""COMPUTED_VALUE"""),"BYTE")</f>
        <v>BYTE</v>
      </c>
      <c r="F5" s="122" t="str">
        <f>IFERROR(__xludf.DUMMYFUNCTION("""COMPUTED_VALUE"""),"SELL")</f>
        <v>SELL</v>
      </c>
      <c r="G5" s="122">
        <f>IFERROR(__xludf.DUMMYFUNCTION("""COMPUTED_VALUE"""),80.0)</f>
        <v>80</v>
      </c>
      <c r="H5" s="122" t="str">
        <f>IFERROR(__xludf.DUMMYFUNCTION("""COMPUTED_VALUE"""),"It sounds so cool.")</f>
        <v>It sounds so cool.</v>
      </c>
      <c r="I5" s="126">
        <f>IFERROR(__xludf.DUMMYFUNCTION("""COMPUTED_VALUE"""),46183.0)</f>
        <v>46183</v>
      </c>
      <c r="J5" s="122">
        <f>IFERROR(__xludf.DUMMYFUNCTION("""COMPUTED_VALUE"""),112.36)</f>
        <v>112.36</v>
      </c>
      <c r="K5" s="122">
        <f>IFERROR(__xludf.DUMMYFUNCTION("""COMPUTED_VALUE"""),0.4045)</f>
        <v>0.4045</v>
      </c>
      <c r="L5" s="122" t="str">
        <f>IFERROR(__xludf.DUMMYFUNCTION("""COMPUTED_VALUE"""),"Missed")</f>
        <v>Missed</v>
      </c>
      <c r="M5" s="122">
        <f>IFERROR(__xludf.DUMMYFUNCTION("""COMPUTED_VALUE"""),0.0)</f>
        <v>0</v>
      </c>
    </row>
    <row r="6">
      <c r="A6" s="131">
        <f>IFERROR(__xludf.DUMMYFUNCTION("""COMPUTED_VALUE"""),46183.55571759259)</f>
        <v>46183.55572</v>
      </c>
      <c r="B6" s="126">
        <f>IFERROR(__xludf.DUMMYFUNCTION("""COMPUTED_VALUE"""),46183.0)</f>
        <v>46183</v>
      </c>
      <c r="C6" s="122">
        <f>IFERROR(__xludf.DUMMYFUNCTION("""COMPUTED_VALUE"""),2659.0)</f>
        <v>2659</v>
      </c>
      <c r="D6" s="122" t="str">
        <f>IFERROR(__xludf.DUMMYFUNCTION("""COMPUTED_VALUE"""),"Jin Park")</f>
        <v>Jin Park</v>
      </c>
      <c r="E6" s="122" t="str">
        <f>IFERROR(__xludf.DUMMYFUNCTION("""COMPUTED_VALUE"""),"SNAX")</f>
        <v>SNAX</v>
      </c>
      <c r="F6" s="122" t="str">
        <f>IFERROR(__xludf.DUMMYFUNCTION("""COMPUTED_VALUE"""),"BUY")</f>
        <v>BUY</v>
      </c>
      <c r="G6" s="122">
        <f>IFERROR(__xludf.DUMMYFUNCTION("""COMPUTED_VALUE"""),228.0)</f>
        <v>228</v>
      </c>
      <c r="H6" s="122" t="str">
        <f>IFERROR(__xludf.DUMMYFUNCTION("""COMPUTED_VALUE"""),"Decreased demands")</f>
        <v>Decreased demands</v>
      </c>
      <c r="I6" s="126">
        <f>IFERROR(__xludf.DUMMYFUNCTION("""COMPUTED_VALUE"""),46183.0)</f>
        <v>46183</v>
      </c>
      <c r="J6" s="122">
        <f>IFERROR(__xludf.DUMMYFUNCTION("""COMPUTED_VALUE"""),100.62)</f>
        <v>100.62</v>
      </c>
      <c r="K6" s="122">
        <f>IFERROR(__xludf.DUMMYFUNCTION("""COMPUTED_VALUE"""),0.5587)</f>
        <v>0.5587</v>
      </c>
      <c r="L6" s="122" t="str">
        <f>IFERROR(__xludf.DUMMYFUNCTION("""COMPUTED_VALUE"""),"Missed")</f>
        <v>Missed</v>
      </c>
      <c r="M6" s="122">
        <f>IFERROR(__xludf.DUMMYFUNCTION("""COMPUTED_VALUE"""),0.0)</f>
        <v>0</v>
      </c>
    </row>
    <row r="7">
      <c r="A7" s="131">
        <f>IFERROR(__xludf.DUMMYFUNCTION("""COMPUTED_VALUE"""),46183.55608796296)</f>
        <v>46183.55609</v>
      </c>
      <c r="B7" s="126">
        <f>IFERROR(__xludf.DUMMYFUNCTION("""COMPUTED_VALUE"""),46183.0)</f>
        <v>46183</v>
      </c>
      <c r="C7" s="122">
        <f>IFERROR(__xludf.DUMMYFUNCTION("""COMPUTED_VALUE"""),2659.0)</f>
        <v>2659</v>
      </c>
      <c r="D7" s="122" t="str">
        <f>IFERROR(__xludf.DUMMYFUNCTION("""COMPUTED_VALUE"""),"Jin Park")</f>
        <v>Jin Park</v>
      </c>
      <c r="E7" s="122" t="str">
        <f>IFERROR(__xludf.DUMMYFUNCTION("""COMPUTED_VALUE"""),"SNAX")</f>
        <v>SNAX</v>
      </c>
      <c r="F7" s="122" t="str">
        <f>IFERROR(__xludf.DUMMYFUNCTION("""COMPUTED_VALUE"""),"SELL")</f>
        <v>SELL</v>
      </c>
      <c r="G7" s="122">
        <f>IFERROR(__xludf.DUMMYFUNCTION("""COMPUTED_VALUE"""),45.0)</f>
        <v>45</v>
      </c>
      <c r="H7" s="122" t="str">
        <f>IFERROR(__xludf.DUMMYFUNCTION("""COMPUTED_VALUE"""),"more competitiors")</f>
        <v>more competitiors</v>
      </c>
      <c r="I7" s="126">
        <f>IFERROR(__xludf.DUMMYFUNCTION("""COMPUTED_VALUE"""),46183.0)</f>
        <v>46183</v>
      </c>
      <c r="J7" s="122">
        <f>IFERROR(__xludf.DUMMYFUNCTION("""COMPUTED_VALUE"""),100.62)</f>
        <v>100.62</v>
      </c>
      <c r="K7" s="122">
        <f>IFERROR(__xludf.DUMMYFUNCTION("""COMPUTED_VALUE"""),1.236)</f>
        <v>1.236</v>
      </c>
      <c r="L7" s="122" t="str">
        <f>IFERROR(__xludf.DUMMYFUNCTION("""COMPUTED_VALUE"""),"Missed")</f>
        <v>Missed</v>
      </c>
      <c r="M7" s="122">
        <f>IFERROR(__xludf.DUMMYFUNCTION("""COMPUTED_VALUE"""),0.0)</f>
        <v>0</v>
      </c>
    </row>
    <row r="8">
      <c r="A8" s="131">
        <f>IFERROR(__xludf.DUMMYFUNCTION("""COMPUTED_VALUE"""),46183.5562037037)</f>
        <v>46183.5562</v>
      </c>
      <c r="B8" s="126">
        <f>IFERROR(__xludf.DUMMYFUNCTION("""COMPUTED_VALUE"""),46183.0)</f>
        <v>46183</v>
      </c>
      <c r="C8" s="122">
        <f>IFERROR(__xludf.DUMMYFUNCTION("""COMPUTED_VALUE"""),1688.0)</f>
        <v>1688</v>
      </c>
      <c r="D8" s="122" t="str">
        <f>IFERROR(__xludf.DUMMYFUNCTION("""COMPUTED_VALUE"""),"Junwoo Yoon")</f>
        <v>Junwoo Yoon</v>
      </c>
      <c r="E8" s="122" t="str">
        <f>IFERROR(__xludf.DUMMYFUNCTION("""COMPUTED_VALUE"""),"AIBO")</f>
        <v>AIBO</v>
      </c>
      <c r="F8" s="122" t="str">
        <f>IFERROR(__xludf.DUMMYFUNCTION("""COMPUTED_VALUE"""),"BUY")</f>
        <v>BUY</v>
      </c>
      <c r="G8" s="122">
        <f>IFERROR(__xludf.DUMMYFUNCTION("""COMPUTED_VALUE"""),600.0)</f>
        <v>600</v>
      </c>
      <c r="H8" s="122" t="str">
        <f>IFERROR(__xludf.DUMMYFUNCTION("""COMPUTED_VALUE"""),"Because many people use ai for the homework these days")</f>
        <v>Because many people use ai for the homework these days</v>
      </c>
      <c r="I8" s="126">
        <f>IFERROR(__xludf.DUMMYFUNCTION("""COMPUTED_VALUE"""),46183.0)</f>
        <v>46183</v>
      </c>
      <c r="J8" s="122">
        <f>IFERROR(__xludf.DUMMYFUNCTION("""COMPUTED_VALUE"""),179.08)</f>
        <v>179.08</v>
      </c>
      <c r="K8" s="122">
        <f>IFERROR(__xludf.DUMMYFUNCTION("""COMPUTED_VALUE"""),0.7015)</f>
        <v>0.7015</v>
      </c>
      <c r="L8" s="122" t="str">
        <f>IFERROR(__xludf.DUMMYFUNCTION("""COMPUTED_VALUE"""),"Missed")</f>
        <v>Missed</v>
      </c>
      <c r="M8" s="122">
        <f>IFERROR(__xludf.DUMMYFUNCTION("""COMPUTED_VALUE"""),0.0)</f>
        <v>0</v>
      </c>
    </row>
    <row r="9">
      <c r="A9" s="131">
        <f>IFERROR(__xludf.DUMMYFUNCTION("""COMPUTED_VALUE"""),46183.55657407407)</f>
        <v>46183.55657</v>
      </c>
      <c r="B9" s="126">
        <f>IFERROR(__xludf.DUMMYFUNCTION("""COMPUTED_VALUE"""),46183.0)</f>
        <v>46183</v>
      </c>
      <c r="C9" s="122">
        <f>IFERROR(__xludf.DUMMYFUNCTION("""COMPUTED_VALUE"""),2659.0)</f>
        <v>2659</v>
      </c>
      <c r="D9" s="122" t="str">
        <f>IFERROR(__xludf.DUMMYFUNCTION("""COMPUTED_VALUE"""),"Jin Park")</f>
        <v>Jin Park</v>
      </c>
      <c r="E9" s="122" t="str">
        <f>IFERROR(__xludf.DUMMYFUNCTION("""COMPUTED_VALUE"""),"TECH")</f>
        <v>TECH</v>
      </c>
      <c r="F9" s="122" t="str">
        <f>IFERROR(__xludf.DUMMYFUNCTION("""COMPUTED_VALUE"""),"BUY")</f>
        <v>BUY</v>
      </c>
      <c r="G9" s="122">
        <f>IFERROR(__xludf.DUMMYFUNCTION("""COMPUTED_VALUE"""),107.0)</f>
        <v>107</v>
      </c>
      <c r="H9" s="122" t="str">
        <f>IFERROR(__xludf.DUMMYFUNCTION("""COMPUTED_VALUE"""),"Its a tech")</f>
        <v>Its a tech</v>
      </c>
      <c r="I9" s="126">
        <f>IFERROR(__xludf.DUMMYFUNCTION("""COMPUTED_VALUE"""),46183.0)</f>
        <v>46183</v>
      </c>
      <c r="J9" s="122">
        <f>IFERROR(__xludf.DUMMYFUNCTION("""COMPUTED_VALUE"""),150.89)</f>
        <v>150.89</v>
      </c>
      <c r="K9" s="122">
        <f>IFERROR(__xludf.DUMMYFUNCTION("""COMPUTED_VALUE"""),0.4102)</f>
        <v>0.4102</v>
      </c>
      <c r="L9" s="122" t="str">
        <f>IFERROR(__xludf.DUMMYFUNCTION("""COMPUTED_VALUE"""),"Missed")</f>
        <v>Missed</v>
      </c>
      <c r="M9" s="122">
        <f>IFERROR(__xludf.DUMMYFUNCTION("""COMPUTED_VALUE"""),0.0)</f>
        <v>0</v>
      </c>
    </row>
    <row r="10">
      <c r="A10" s="131">
        <f>IFERROR(__xludf.DUMMYFUNCTION("""COMPUTED_VALUE"""),46183.55664351852)</f>
        <v>46183.55664</v>
      </c>
      <c r="B10" s="126">
        <f>IFERROR(__xludf.DUMMYFUNCTION("""COMPUTED_VALUE"""),46183.0)</f>
        <v>46183</v>
      </c>
      <c r="C10" s="122">
        <f>IFERROR(__xludf.DUMMYFUNCTION("""COMPUTED_VALUE"""),3466.0)</f>
        <v>3466</v>
      </c>
      <c r="D10" s="122" t="str">
        <f>IFERROR(__xludf.DUMMYFUNCTION("""COMPUTED_VALUE"""),"Jay Kim")</f>
        <v>Jay Kim</v>
      </c>
      <c r="E10" s="122" t="str">
        <f>IFERROR(__xludf.DUMMYFUNCTION("""COMPUTED_VALUE"""),"SNAX")</f>
        <v>SNAX</v>
      </c>
      <c r="F10" s="122" t="str">
        <f>IFERROR(__xludf.DUMMYFUNCTION("""COMPUTED_VALUE"""),"BUY")</f>
        <v>BUY</v>
      </c>
      <c r="G10" s="122">
        <f>IFERROR(__xludf.DUMMYFUNCTION("""COMPUTED_VALUE"""),501.0)</f>
        <v>501</v>
      </c>
      <c r="H10" s="122" t="str">
        <f>IFERROR(__xludf.DUMMYFUNCTION("""COMPUTED_VALUE"""),"jace is honors council president so it will go up. GO Jace!;")</f>
        <v>jace is honors council president so it will go up. GO Jace!;</v>
      </c>
      <c r="I10" s="126">
        <f>IFERROR(__xludf.DUMMYFUNCTION("""COMPUTED_VALUE"""),46183.0)</f>
        <v>46183</v>
      </c>
      <c r="J10" s="122">
        <f>IFERROR(__xludf.DUMMYFUNCTION("""COMPUTED_VALUE"""),100.62)</f>
        <v>100.62</v>
      </c>
      <c r="K10" s="122">
        <f>IFERROR(__xludf.DUMMYFUNCTION("""COMPUTED_VALUE"""),0.7992)</f>
        <v>0.7992</v>
      </c>
      <c r="L10" s="122" t="str">
        <f>IFERROR(__xludf.DUMMYFUNCTION("""COMPUTED_VALUE"""),"Missed")</f>
        <v>Missed</v>
      </c>
      <c r="M10" s="122">
        <f>IFERROR(__xludf.DUMMYFUNCTION("""COMPUTED_VALUE"""),0.0)</f>
        <v>0</v>
      </c>
    </row>
    <row r="11">
      <c r="A11" s="131">
        <f>IFERROR(__xludf.DUMMYFUNCTION("""COMPUTED_VALUE"""),46183.5571412037)</f>
        <v>46183.55714</v>
      </c>
      <c r="B11" s="126">
        <f>IFERROR(__xludf.DUMMYFUNCTION("""COMPUTED_VALUE"""),46183.0)</f>
        <v>46183</v>
      </c>
      <c r="C11" s="122">
        <f>IFERROR(__xludf.DUMMYFUNCTION("""COMPUTED_VALUE"""),2659.0)</f>
        <v>2659</v>
      </c>
      <c r="D11" s="122" t="str">
        <f>IFERROR(__xludf.DUMMYFUNCTION("""COMPUTED_VALUE"""),"Jin Park")</f>
        <v>Jin Park</v>
      </c>
      <c r="E11" s="122" t="str">
        <f>IFERROR(__xludf.DUMMYFUNCTION("""COMPUTED_VALUE"""),"AIBO")</f>
        <v>AIBO</v>
      </c>
      <c r="F11" s="122" t="str">
        <f>IFERROR(__xludf.DUMMYFUNCTION("""COMPUTED_VALUE"""),"BUY")</f>
        <v>BUY</v>
      </c>
      <c r="G11" s="122">
        <f>IFERROR(__xludf.DUMMYFUNCTION("""COMPUTED_VALUE"""),580.0)</f>
        <v>580</v>
      </c>
      <c r="H11" s="122" t="str">
        <f>IFERROR(__xludf.DUMMYFUNCTION("""COMPUTED_VALUE"""),"there will be insane ai boom")</f>
        <v>there will be insane ai boom</v>
      </c>
      <c r="I11" s="126">
        <f>IFERROR(__xludf.DUMMYFUNCTION("""COMPUTED_VALUE"""),46183.0)</f>
        <v>46183</v>
      </c>
      <c r="J11" s="122">
        <f>IFERROR(__xludf.DUMMYFUNCTION("""COMPUTED_VALUE"""),179.08)</f>
        <v>179.08</v>
      </c>
      <c r="K11" s="122">
        <f>IFERROR(__xludf.DUMMYFUNCTION("""COMPUTED_VALUE"""),0.6912)</f>
        <v>0.6912</v>
      </c>
      <c r="L11" s="122" t="str">
        <f>IFERROR(__xludf.DUMMYFUNCTION("""COMPUTED_VALUE"""),"Missed")</f>
        <v>Missed</v>
      </c>
      <c r="M11" s="122">
        <f>IFERROR(__xludf.DUMMYFUNCTION("""COMPUTED_VALUE"""),0.0)</f>
        <v>0</v>
      </c>
    </row>
    <row r="12">
      <c r="A12" s="131">
        <f>IFERROR(__xludf.DUMMYFUNCTION("""COMPUTED_VALUE"""),46183.55886574074)</f>
        <v>46183.55887</v>
      </c>
      <c r="B12" s="126">
        <f>IFERROR(__xludf.DUMMYFUNCTION("""COMPUTED_VALUE"""),46183.0)</f>
        <v>46183</v>
      </c>
      <c r="C12" s="122">
        <f>IFERROR(__xludf.DUMMYFUNCTION("""COMPUTED_VALUE"""),1688.0)</f>
        <v>1688</v>
      </c>
      <c r="D12" s="122" t="str">
        <f>IFERROR(__xludf.DUMMYFUNCTION("""COMPUTED_VALUE"""),"Junwoo Yoon")</f>
        <v>Junwoo Yoon</v>
      </c>
      <c r="E12" s="122" t="str">
        <f>IFERROR(__xludf.DUMMYFUNCTION("""COMPUTED_VALUE"""),"VRSE")</f>
        <v>VRSE</v>
      </c>
      <c r="F12" s="122" t="str">
        <f>IFERROR(__xludf.DUMMYFUNCTION("""COMPUTED_VALUE"""),"BUY")</f>
        <v>BUY</v>
      </c>
      <c r="G12" s="122">
        <f>IFERROR(__xludf.DUMMYFUNCTION("""COMPUTED_VALUE"""),500.0)</f>
        <v>500</v>
      </c>
      <c r="H12" s="122" t="str">
        <f>IFERROR(__xludf.DUMMYFUNCTION("""COMPUTED_VALUE"""),"Many people will use this VR systems")</f>
        <v>Many people will use this VR systems</v>
      </c>
      <c r="I12" s="126">
        <f>IFERROR(__xludf.DUMMYFUNCTION("""COMPUTED_VALUE"""),46183.0)</f>
        <v>46183</v>
      </c>
      <c r="J12" s="122">
        <f>IFERROR(__xludf.DUMMYFUNCTION("""COMPUTED_VALUE"""),131.88)</f>
        <v>131.88</v>
      </c>
      <c r="K12" s="122">
        <f>IFERROR(__xludf.DUMMYFUNCTION("""COMPUTED_VALUE"""),0.7362)</f>
        <v>0.7362</v>
      </c>
      <c r="L12" s="122" t="str">
        <f>IFERROR(__xludf.DUMMYFUNCTION("""COMPUTED_VALUE"""),"Missed")</f>
        <v>Missed</v>
      </c>
      <c r="M12" s="122">
        <f>IFERROR(__xludf.DUMMYFUNCTION("""COMPUTED_VALUE"""),0.0)</f>
        <v>0</v>
      </c>
    </row>
    <row r="13">
      <c r="A13" s="131">
        <f>IFERROR(__xludf.DUMMYFUNCTION("""COMPUTED_VALUE"""),46183.5594675926)</f>
        <v>46183.55947</v>
      </c>
      <c r="B13" s="126">
        <f>IFERROR(__xludf.DUMMYFUNCTION("""COMPUTED_VALUE"""),46183.0)</f>
        <v>46183</v>
      </c>
      <c r="C13" s="122">
        <f>IFERROR(__xludf.DUMMYFUNCTION("""COMPUTED_VALUE"""),1688.0)</f>
        <v>1688</v>
      </c>
      <c r="D13" s="122" t="str">
        <f>IFERROR(__xludf.DUMMYFUNCTION("""COMPUTED_VALUE"""),"Junwoo Yoon")</f>
        <v>Junwoo Yoon</v>
      </c>
      <c r="E13" s="122" t="str">
        <f>IFERROR(__xludf.DUMMYFUNCTION("""COMPUTED_VALUE"""),"VRSE")</f>
        <v>VRSE</v>
      </c>
      <c r="F13" s="122" t="str">
        <f>IFERROR(__xludf.DUMMYFUNCTION("""COMPUTED_VALUE"""),"BUY")</f>
        <v>BUY</v>
      </c>
      <c r="G13" s="122">
        <f>IFERROR(__xludf.DUMMYFUNCTION("""COMPUTED_VALUE"""),400.0)</f>
        <v>400</v>
      </c>
      <c r="H13" s="122" t="str">
        <f>IFERROR(__xludf.DUMMYFUNCTION("""COMPUTED_VALUE"""),"Because many people will use this VR thing")</f>
        <v>Because many people will use this VR thing</v>
      </c>
      <c r="I13" s="126">
        <f>IFERROR(__xludf.DUMMYFUNCTION("""COMPUTED_VALUE"""),46183.0)</f>
        <v>46183</v>
      </c>
      <c r="J13" s="122">
        <f>IFERROR(__xludf.DUMMYFUNCTION("""COMPUTED_VALUE"""),131.88)</f>
        <v>131.88</v>
      </c>
      <c r="K13" s="122">
        <f>IFERROR(__xludf.DUMMYFUNCTION("""COMPUTED_VALUE"""),0.6703)</f>
        <v>0.6703</v>
      </c>
      <c r="L13" s="122" t="str">
        <f>IFERROR(__xludf.DUMMYFUNCTION("""COMPUTED_VALUE"""),"Missed")</f>
        <v>Missed</v>
      </c>
      <c r="M13" s="122">
        <f>IFERROR(__xludf.DUMMYFUNCTION("""COMPUTED_VALUE"""),0.0)</f>
        <v>0</v>
      </c>
    </row>
    <row r="14">
      <c r="A14" s="131">
        <f>IFERROR(__xludf.DUMMYFUNCTION("""COMPUTED_VALUE"""),46183.56002314815)</f>
        <v>46183.56002</v>
      </c>
      <c r="B14" s="126">
        <f>IFERROR(__xludf.DUMMYFUNCTION("""COMPUTED_VALUE"""),46183.0)</f>
        <v>46183</v>
      </c>
      <c r="C14" s="122">
        <f>IFERROR(__xludf.DUMMYFUNCTION("""COMPUTED_VALUE"""),1688.0)</f>
        <v>1688</v>
      </c>
      <c r="D14" s="122" t="str">
        <f>IFERROR(__xludf.DUMMYFUNCTION("""COMPUTED_VALUE"""),"Junwoo Yoon")</f>
        <v>Junwoo Yoon</v>
      </c>
      <c r="E14" s="122" t="str">
        <f>IFERROR(__xludf.DUMMYFUNCTION("""COMPUTED_VALUE"""),"COLA")</f>
        <v>COLA</v>
      </c>
      <c r="F14" s="122" t="str">
        <f>IFERROR(__xludf.DUMMYFUNCTION("""COMPUTED_VALUE"""),"BUY")</f>
        <v>BUY</v>
      </c>
      <c r="G14" s="122">
        <f>IFERROR(__xludf.DUMMYFUNCTION("""COMPUTED_VALUE"""),200.0)</f>
        <v>200</v>
      </c>
      <c r="H14" s="122" t="str">
        <f>IFERROR(__xludf.DUMMYFUNCTION("""COMPUTED_VALUE"""),"many people would like KPOP")</f>
        <v>many people would like KPOP</v>
      </c>
      <c r="I14" s="126">
        <f>IFERROR(__xludf.DUMMYFUNCTION("""COMPUTED_VALUE"""),46183.0)</f>
        <v>46183</v>
      </c>
      <c r="J14" s="122">
        <f>IFERROR(__xludf.DUMMYFUNCTION("""COMPUTED_VALUE"""),95.88)</f>
        <v>95.88</v>
      </c>
      <c r="K14" s="122">
        <f>IFERROR(__xludf.DUMMYFUNCTION("""COMPUTED_VALUE"""),0.5206)</f>
        <v>0.5206</v>
      </c>
      <c r="L14" s="122" t="str">
        <f>IFERROR(__xludf.DUMMYFUNCTION("""COMPUTED_VALUE"""),"Missed")</f>
        <v>Missed</v>
      </c>
      <c r="M14" s="122">
        <f>IFERROR(__xludf.DUMMYFUNCTION("""COMPUTED_VALUE"""),0.0)</f>
        <v>0</v>
      </c>
    </row>
    <row r="15">
      <c r="A15" s="131">
        <f>IFERROR(__xludf.DUMMYFUNCTION("""COMPUTED_VALUE"""),46183.56010416667)</f>
        <v>46183.5601</v>
      </c>
      <c r="B15" s="126">
        <f>IFERROR(__xludf.DUMMYFUNCTION("""COMPUTED_VALUE"""),46183.0)</f>
        <v>46183</v>
      </c>
      <c r="C15" s="122">
        <f>IFERROR(__xludf.DUMMYFUNCTION("""COMPUTED_VALUE"""),3846.0)</f>
        <v>3846</v>
      </c>
      <c r="D15" s="122" t="str">
        <f>IFERROR(__xludf.DUMMYFUNCTION("""COMPUTED_VALUE"""),"Jace Kim")</f>
        <v>Jace Kim</v>
      </c>
      <c r="E15" s="122" t="str">
        <f>IFERROR(__xludf.DUMMYFUNCTION("""COMPUTED_VALUE"""),"BYTE")</f>
        <v>BYTE</v>
      </c>
      <c r="F15" s="122" t="str">
        <f>IFERROR(__xludf.DUMMYFUNCTION("""COMPUTED_VALUE"""),"SELL")</f>
        <v>SELL</v>
      </c>
      <c r="G15" s="122">
        <f>IFERROR(__xludf.DUMMYFUNCTION("""COMPUTED_VALUE"""),80.0)</f>
        <v>80</v>
      </c>
      <c r="H15" s="122" t="str">
        <f>IFERROR(__xludf.DUMMYFUNCTION("""COMPUTED_VALUE"""),"I think it is a volatile stock. This has a lower price value in the stock market.")</f>
        <v>I think it is a volatile stock. This has a lower price value in the stock market.</v>
      </c>
      <c r="I15" s="126">
        <f>IFERROR(__xludf.DUMMYFUNCTION("""COMPUTED_VALUE"""),46183.0)</f>
        <v>46183</v>
      </c>
      <c r="J15" s="122">
        <f>IFERROR(__xludf.DUMMYFUNCTION("""COMPUTED_VALUE"""),112.36)</f>
        <v>112.36</v>
      </c>
      <c r="K15" s="122">
        <f>IFERROR(__xludf.DUMMYFUNCTION("""COMPUTED_VALUE"""),0.4045)</f>
        <v>0.4045</v>
      </c>
      <c r="L15" s="122" t="str">
        <f>IFERROR(__xludf.DUMMYFUNCTION("""COMPUTED_VALUE"""),"Missed")</f>
        <v>Missed</v>
      </c>
      <c r="M15" s="122">
        <f>IFERROR(__xludf.DUMMYFUNCTION("""COMPUTED_VALUE"""),0.0)</f>
        <v>0</v>
      </c>
    </row>
    <row r="16">
      <c r="A16" s="131">
        <f>IFERROR(__xludf.DUMMYFUNCTION("""COMPUTED_VALUE"""),46183.56078703704)</f>
        <v>46183.56079</v>
      </c>
      <c r="B16" s="126">
        <f>IFERROR(__xludf.DUMMYFUNCTION("""COMPUTED_VALUE"""),46183.0)</f>
        <v>46183</v>
      </c>
      <c r="C16" s="122">
        <f>IFERROR(__xludf.DUMMYFUNCTION("""COMPUTED_VALUE"""),5420.0)</f>
        <v>5420</v>
      </c>
      <c r="D16" s="122" t="str">
        <f>IFERROR(__xludf.DUMMYFUNCTION("""COMPUTED_VALUE"""),"Daniel Park")</f>
        <v>Daniel Park</v>
      </c>
      <c r="E16" s="122" t="str">
        <f>IFERROR(__xludf.DUMMYFUNCTION("""COMPUTED_VALUE"""),"RAMN")</f>
        <v>RAMN</v>
      </c>
      <c r="F16" s="122" t="str">
        <f>IFERROR(__xludf.DUMMYFUNCTION("""COMPUTED_VALUE"""),"BUY")</f>
        <v>BUY</v>
      </c>
      <c r="G16" s="122">
        <f>IFERROR(__xludf.DUMMYFUNCTION("""COMPUTED_VALUE"""),70.0)</f>
        <v>70</v>
      </c>
      <c r="H16" s="122" t="str">
        <f>IFERROR(__xludf.DUMMYFUNCTION("""COMPUTED_VALUE"""),"As RAMN is not hot or volatile in this market industry, it would be in peak about around to $70 and experience downfall around $60")</f>
        <v>As RAMN is not hot or volatile in this market industry, it would be in peak about around to $70 and experience downfall around $60</v>
      </c>
      <c r="I16" s="126">
        <f>IFERROR(__xludf.DUMMYFUNCTION("""COMPUTED_VALUE"""),46183.0)</f>
        <v>46183</v>
      </c>
      <c r="J16" s="122">
        <f>IFERROR(__xludf.DUMMYFUNCTION("""COMPUTED_VALUE"""),79.75)</f>
        <v>79.75</v>
      </c>
      <c r="K16" s="122">
        <f>IFERROR(__xludf.DUMMYFUNCTION("""COMPUTED_VALUE"""),0.1393)</f>
        <v>0.1393</v>
      </c>
      <c r="L16" s="122" t="str">
        <f>IFERROR(__xludf.DUMMYFUNCTION("""COMPUTED_VALUE"""),"Missed")</f>
        <v>Missed</v>
      </c>
      <c r="M16" s="122">
        <f>IFERROR(__xludf.DUMMYFUNCTION("""COMPUTED_VALUE"""),0.0)</f>
        <v>0</v>
      </c>
    </row>
    <row r="17">
      <c r="A17" s="131">
        <f>IFERROR(__xludf.DUMMYFUNCTION("""COMPUTED_VALUE"""),46183.56164351852)</f>
        <v>46183.56164</v>
      </c>
      <c r="B17" s="126">
        <f>IFERROR(__xludf.DUMMYFUNCTION("""COMPUTED_VALUE"""),46183.0)</f>
        <v>46183</v>
      </c>
      <c r="C17" s="122">
        <f>IFERROR(__xludf.DUMMYFUNCTION("""COMPUTED_VALUE"""),1688.0)</f>
        <v>1688</v>
      </c>
      <c r="D17" s="122" t="str">
        <f>IFERROR(__xludf.DUMMYFUNCTION("""COMPUTED_VALUE"""),"Junwoo Yoon")</f>
        <v>Junwoo Yoon</v>
      </c>
      <c r="E17" s="122" t="str">
        <f>IFERROR(__xludf.DUMMYFUNCTION("""COMPUTED_VALUE"""),"IDOL")</f>
        <v>IDOL</v>
      </c>
      <c r="F17" s="122" t="str">
        <f>IFERROR(__xludf.DUMMYFUNCTION("""COMPUTED_VALUE"""),"SELL")</f>
        <v>SELL</v>
      </c>
      <c r="G17" s="122">
        <f>IFERROR(__xludf.DUMMYFUNCTION("""COMPUTED_VALUE"""),100.0)</f>
        <v>100</v>
      </c>
      <c r="H17" s="122" t="str">
        <f>IFERROR(__xludf.DUMMYFUNCTION("""COMPUTED_VALUE"""),"Idol agency is important")</f>
        <v>Idol agency is important</v>
      </c>
      <c r="I17" s="126">
        <f>IFERROR(__xludf.DUMMYFUNCTION("""COMPUTED_VALUE"""),46183.0)</f>
        <v>46183</v>
      </c>
      <c r="J17" s="122">
        <f>IFERROR(__xludf.DUMMYFUNCTION("""COMPUTED_VALUE"""),170.29)</f>
        <v>170.29</v>
      </c>
      <c r="K17" s="122">
        <f>IFERROR(__xludf.DUMMYFUNCTION("""COMPUTED_VALUE"""),0.7029)</f>
        <v>0.7029</v>
      </c>
      <c r="L17" s="122" t="str">
        <f>IFERROR(__xludf.DUMMYFUNCTION("""COMPUTED_VALUE"""),"Missed")</f>
        <v>Missed</v>
      </c>
      <c r="M17" s="122">
        <f>IFERROR(__xludf.DUMMYFUNCTION("""COMPUTED_VALUE"""),0.0)</f>
        <v>0</v>
      </c>
    </row>
    <row r="18">
      <c r="A18" s="131">
        <f>IFERROR(__xludf.DUMMYFUNCTION("""COMPUTED_VALUE"""),46183.563125)</f>
        <v>46183.56313</v>
      </c>
      <c r="B18" s="126">
        <f>IFERROR(__xludf.DUMMYFUNCTION("""COMPUTED_VALUE"""),46183.0)</f>
        <v>46183</v>
      </c>
      <c r="C18" s="122">
        <f>IFERROR(__xludf.DUMMYFUNCTION("""COMPUTED_VALUE"""),1688.0)</f>
        <v>1688</v>
      </c>
      <c r="D18" s="122" t="str">
        <f>IFERROR(__xludf.DUMMYFUNCTION("""COMPUTED_VALUE"""),"Junwoo Yoon")</f>
        <v>Junwoo Yoon</v>
      </c>
      <c r="E18" s="122" t="str">
        <f>IFERROR(__xludf.DUMMYFUNCTION("""COMPUTED_VALUE"""),"MEDX")</f>
        <v>MEDX</v>
      </c>
      <c r="F18" s="122" t="str">
        <f>IFERROR(__xludf.DUMMYFUNCTION("""COMPUTED_VALUE"""),"BUY")</f>
        <v>BUY</v>
      </c>
      <c r="G18" s="122">
        <f>IFERROR(__xludf.DUMMYFUNCTION("""COMPUTED_VALUE"""),50.0)</f>
        <v>50</v>
      </c>
      <c r="H18" s="122" t="str">
        <f>IFERROR(__xludf.DUMMYFUNCTION("""COMPUTED_VALUE"""),"cause it is decreasing, i gotta buy")</f>
        <v>cause it is decreasing, i gotta buy</v>
      </c>
      <c r="I18" s="126">
        <f>IFERROR(__xludf.DUMMYFUNCTION("""COMPUTED_VALUE"""),46183.0)</f>
        <v>46183</v>
      </c>
      <c r="J18" s="122">
        <f>IFERROR(__xludf.DUMMYFUNCTION("""COMPUTED_VALUE"""),145.36)</f>
        <v>145.36</v>
      </c>
      <c r="K18" s="122">
        <f>IFERROR(__xludf.DUMMYFUNCTION("""COMPUTED_VALUE"""),1.9072)</f>
        <v>1.9072</v>
      </c>
      <c r="L18" s="122" t="str">
        <f>IFERROR(__xludf.DUMMYFUNCTION("""COMPUTED_VALUE"""),"Missed")</f>
        <v>Missed</v>
      </c>
      <c r="M18" s="122">
        <f>IFERROR(__xludf.DUMMYFUNCTION("""COMPUTED_VALUE"""),0.0)</f>
        <v>0</v>
      </c>
    </row>
    <row r="19">
      <c r="A19" s="131">
        <f>IFERROR(__xludf.DUMMYFUNCTION("""COMPUTED_VALUE"""),46183.56385416667)</f>
        <v>46183.56385</v>
      </c>
      <c r="B19" s="126">
        <f>IFERROR(__xludf.DUMMYFUNCTION("""COMPUTED_VALUE"""),46183.0)</f>
        <v>46183</v>
      </c>
      <c r="C19" s="122">
        <f>IFERROR(__xludf.DUMMYFUNCTION("""COMPUTED_VALUE"""),1688.0)</f>
        <v>1688</v>
      </c>
      <c r="D19" s="122" t="str">
        <f>IFERROR(__xludf.DUMMYFUNCTION("""COMPUTED_VALUE"""),"Junwoo Yoon")</f>
        <v>Junwoo Yoon</v>
      </c>
      <c r="E19" s="122" t="str">
        <f>IFERROR(__xludf.DUMMYFUNCTION("""COMPUTED_VALUE"""),"BANK")</f>
        <v>BANK</v>
      </c>
      <c r="F19" s="122" t="str">
        <f>IFERROR(__xludf.DUMMYFUNCTION("""COMPUTED_VALUE"""),"SELL")</f>
        <v>SELL</v>
      </c>
      <c r="G19" s="122">
        <f>IFERROR(__xludf.DUMMYFUNCTION("""COMPUTED_VALUE"""),600.0)</f>
        <v>600</v>
      </c>
      <c r="H19" s="122" t="str">
        <f>IFERROR(__xludf.DUMMYFUNCTION("""COMPUTED_VALUE"""),"I love jay that's the reason")</f>
        <v>I love jay that's the reason</v>
      </c>
      <c r="I19" s="126">
        <f>IFERROR(__xludf.DUMMYFUNCTION("""COMPUTED_VALUE"""),46183.0)</f>
        <v>46183</v>
      </c>
      <c r="J19" s="122">
        <f>IFERROR(__xludf.DUMMYFUNCTION("""COMPUTED_VALUE"""),120.33)</f>
        <v>120.33</v>
      </c>
      <c r="K19" s="122">
        <f>IFERROR(__xludf.DUMMYFUNCTION("""COMPUTED_VALUE"""),0.7995)</f>
        <v>0.7995</v>
      </c>
      <c r="L19" s="122" t="str">
        <f>IFERROR(__xludf.DUMMYFUNCTION("""COMPUTED_VALUE"""),"Missed")</f>
        <v>Missed</v>
      </c>
      <c r="M19" s="122">
        <f>IFERROR(__xludf.DUMMYFUNCTION("""COMPUTED_VALUE"""),0.0)</f>
        <v>0</v>
      </c>
    </row>
    <row r="20">
      <c r="A20" s="131">
        <f>IFERROR(__xludf.DUMMYFUNCTION("""COMPUTED_VALUE"""),46183.56584490741)</f>
        <v>46183.56584</v>
      </c>
      <c r="B20" s="126">
        <f>IFERROR(__xludf.DUMMYFUNCTION("""COMPUTED_VALUE"""),46183.0)</f>
        <v>46183</v>
      </c>
      <c r="C20" s="122">
        <f>IFERROR(__xludf.DUMMYFUNCTION("""COMPUTED_VALUE"""),5420.0)</f>
        <v>5420</v>
      </c>
      <c r="D20" s="122" t="str">
        <f>IFERROR(__xludf.DUMMYFUNCTION("""COMPUTED_VALUE"""),"Daniel Park")</f>
        <v>Daniel Park</v>
      </c>
      <c r="E20" s="122" t="str">
        <f>IFERROR(__xludf.DUMMYFUNCTION("""COMPUTED_VALUE"""),"RIDE")</f>
        <v>RIDE</v>
      </c>
      <c r="F20" s="122" t="str">
        <f>IFERROR(__xludf.DUMMYFUNCTION("""COMPUTED_VALUE"""),"SELL")</f>
        <v>SELL</v>
      </c>
      <c r="G20" s="122">
        <f>IFERROR(__xludf.DUMMYFUNCTION("""COMPUTED_VALUE"""),40.0)</f>
        <v>40</v>
      </c>
      <c r="H20" s="122" t="str">
        <f>IFERROR(__xludf.DUMMYFUNCTION("""COMPUTED_VALUE"""),"As it's volatile status, it would crash out around $40-30")</f>
        <v>As it's volatile status, it would crash out around $40-30</v>
      </c>
      <c r="I20" s="126">
        <f>IFERROR(__xludf.DUMMYFUNCTION("""COMPUTED_VALUE"""),46183.0)</f>
        <v>46183</v>
      </c>
      <c r="J20" s="122">
        <f>IFERROR(__xludf.DUMMYFUNCTION("""COMPUTED_VALUE"""),74.6)</f>
        <v>74.6</v>
      </c>
      <c r="K20" s="122">
        <f>IFERROR(__xludf.DUMMYFUNCTION("""COMPUTED_VALUE"""),0.865)</f>
        <v>0.865</v>
      </c>
      <c r="L20" s="122" t="str">
        <f>IFERROR(__xludf.DUMMYFUNCTION("""COMPUTED_VALUE"""),"Missed")</f>
        <v>Missed</v>
      </c>
      <c r="M20" s="122">
        <f>IFERROR(__xludf.DUMMYFUNCTION("""COMPUTED_VALUE"""),0.0)</f>
        <v>0</v>
      </c>
    </row>
    <row r="21">
      <c r="A21" s="131">
        <f>IFERROR(__xludf.DUMMYFUNCTION("""COMPUTED_VALUE"""),46183.589317129634)</f>
        <v>46183.58932</v>
      </c>
      <c r="B21" s="126">
        <f>IFERROR(__xludf.DUMMYFUNCTION("""COMPUTED_VALUE"""),46183.0)</f>
        <v>46183</v>
      </c>
      <c r="C21" s="122">
        <f>IFERROR(__xludf.DUMMYFUNCTION("""COMPUTED_VALUE"""),2399.0)</f>
        <v>2399</v>
      </c>
      <c r="D21" s="122" t="str">
        <f>IFERROR(__xludf.DUMMYFUNCTION("""COMPUTED_VALUE"""),"Seoyi Hong")</f>
        <v>Seoyi Hong</v>
      </c>
      <c r="E21" s="122" t="str">
        <f>IFERROR(__xludf.DUMMYFUNCTION("""COMPUTED_VALUE"""),"BYTE")</f>
        <v>BYTE</v>
      </c>
      <c r="F21" s="122" t="str">
        <f>IFERROR(__xludf.DUMMYFUNCTION("""COMPUTED_VALUE"""),"BUY")</f>
        <v>BUY</v>
      </c>
      <c r="G21" s="122">
        <f>IFERROR(__xludf.DUMMYFUNCTION("""COMPUTED_VALUE"""),125.0)</f>
        <v>125</v>
      </c>
      <c r="H21" s="122" t="str">
        <f>IFERROR(__xludf.DUMMYFUNCTION("""COMPUTED_VALUE"""),"I want money")</f>
        <v>I want money</v>
      </c>
      <c r="I21" s="126">
        <f>IFERROR(__xludf.DUMMYFUNCTION("""COMPUTED_VALUE"""),46183.0)</f>
        <v>46183</v>
      </c>
      <c r="J21" s="122">
        <f>IFERROR(__xludf.DUMMYFUNCTION("""COMPUTED_VALUE"""),112.36)</f>
        <v>112.36</v>
      </c>
      <c r="K21" s="122">
        <f>IFERROR(__xludf.DUMMYFUNCTION("""COMPUTED_VALUE"""),0.1011)</f>
        <v>0.1011</v>
      </c>
      <c r="L21" s="122" t="str">
        <f>IFERROR(__xludf.DUMMYFUNCTION("""COMPUTED_VALUE"""),"Missed")</f>
        <v>Missed</v>
      </c>
      <c r="M21" s="122">
        <f>IFERROR(__xludf.DUMMYFUNCTION("""COMPUTED_VALUE"""),0.0)</f>
        <v>0</v>
      </c>
    </row>
    <row r="22">
      <c r="A22" s="131">
        <f>IFERROR(__xludf.DUMMYFUNCTION("""COMPUTED_VALUE"""),46183.59505787037)</f>
        <v>46183.59506</v>
      </c>
      <c r="B22" s="126">
        <f>IFERROR(__xludf.DUMMYFUNCTION("""COMPUTED_VALUE"""),46183.0)</f>
        <v>46183</v>
      </c>
      <c r="C22" s="122">
        <f>IFERROR(__xludf.DUMMYFUNCTION("""COMPUTED_VALUE"""),8375.0)</f>
        <v>8375</v>
      </c>
      <c r="D22" s="122" t="str">
        <f>IFERROR(__xludf.DUMMYFUNCTION("""COMPUTED_VALUE"""),"Annie Lee")</f>
        <v>Annie Lee</v>
      </c>
      <c r="E22" s="122" t="str">
        <f>IFERROR(__xludf.DUMMYFUNCTION("""COMPUTED_VALUE"""),"SNAX")</f>
        <v>SNAX</v>
      </c>
      <c r="F22" s="122" t="str">
        <f>IFERROR(__xludf.DUMMYFUNCTION("""COMPUTED_VALUE"""),"BUY")</f>
        <v>BUY</v>
      </c>
      <c r="G22" s="122">
        <f>IFERROR(__xludf.DUMMYFUNCTION("""COMPUTED_VALUE"""),53.32)</f>
        <v>53.32</v>
      </c>
      <c r="H22" s="122" t="str">
        <f>IFERROR(__xludf.DUMMYFUNCTION("""COMPUTED_VALUE"""),"Whatisthis?")</f>
        <v>Whatisthis?</v>
      </c>
      <c r="I22" s="126">
        <f>IFERROR(__xludf.DUMMYFUNCTION("""COMPUTED_VALUE"""),46183.0)</f>
        <v>46183</v>
      </c>
      <c r="J22" s="122">
        <f>IFERROR(__xludf.DUMMYFUNCTION("""COMPUTED_VALUE"""),100.62)</f>
        <v>100.62</v>
      </c>
      <c r="K22" s="122">
        <f>IFERROR(__xludf.DUMMYFUNCTION("""COMPUTED_VALUE"""),0.8871)</f>
        <v>0.8871</v>
      </c>
      <c r="L22" s="122" t="str">
        <f>IFERROR(__xludf.DUMMYFUNCTION("""COMPUTED_VALUE"""),"Missed")</f>
        <v>Missed</v>
      </c>
      <c r="M22" s="122">
        <f>IFERROR(__xludf.DUMMYFUNCTION("""COMPUTED_VALUE"""),0.0)</f>
        <v>0</v>
      </c>
    </row>
    <row r="23">
      <c r="A23" s="131">
        <f>IFERROR(__xludf.DUMMYFUNCTION("""COMPUTED_VALUE"""),46183.60513888889)</f>
        <v>46183.60514</v>
      </c>
      <c r="B23" s="126">
        <f>IFERROR(__xludf.DUMMYFUNCTION("""COMPUTED_VALUE"""),46183.0)</f>
        <v>46183</v>
      </c>
      <c r="C23" s="122">
        <f>IFERROR(__xludf.DUMMYFUNCTION("""COMPUTED_VALUE"""),9658.0)</f>
        <v>9658</v>
      </c>
      <c r="D23" s="122" t="str">
        <f>IFERROR(__xludf.DUMMYFUNCTION("""COMPUTED_VALUE"""),"Austin Han")</f>
        <v>Austin Han</v>
      </c>
      <c r="E23" s="122" t="str">
        <f>IFERROR(__xludf.DUMMYFUNCTION("""COMPUTED_VALUE"""),"LANG")</f>
        <v>LANG</v>
      </c>
      <c r="F23" s="122" t="str">
        <f>IFERROR(__xludf.DUMMYFUNCTION("""COMPUTED_VALUE"""),"BUY")</f>
        <v>BUY</v>
      </c>
      <c r="G23" s="122">
        <f>IFERROR(__xludf.DUMMYFUNCTION("""COMPUTED_VALUE"""),10.0)</f>
        <v>10</v>
      </c>
      <c r="H23" s="122" t="str">
        <f>IFERROR(__xludf.DUMMYFUNCTION("""COMPUTED_VALUE"""),"I think it will increase because its status is doing very well and is never decreasing, this will probably be the last increase")</f>
        <v>I think it will increase because its status is doing very well and is never decreasing, this will probably be the last increase</v>
      </c>
      <c r="I23" s="126">
        <f>IFERROR(__xludf.DUMMYFUNCTION("""COMPUTED_VALUE"""),46183.0)</f>
        <v>46183</v>
      </c>
      <c r="J23" s="122">
        <f>IFERROR(__xludf.DUMMYFUNCTION("""COMPUTED_VALUE"""),90.54)</f>
        <v>90.54</v>
      </c>
      <c r="K23" s="122">
        <f>IFERROR(__xludf.DUMMYFUNCTION("""COMPUTED_VALUE"""),8.054)</f>
        <v>8.054</v>
      </c>
      <c r="L23" s="122" t="str">
        <f>IFERROR(__xludf.DUMMYFUNCTION("""COMPUTED_VALUE"""),"Missed")</f>
        <v>Missed</v>
      </c>
      <c r="M23" s="122">
        <f>IFERROR(__xludf.DUMMYFUNCTION("""COMPUTED_VALUE"""),0.0)</f>
        <v>0</v>
      </c>
    </row>
    <row r="24">
      <c r="A24" s="131">
        <f>IFERROR(__xludf.DUMMYFUNCTION("""COMPUTED_VALUE"""),46184.41076388889)</f>
        <v>46184.41076</v>
      </c>
      <c r="B24" s="126">
        <f>IFERROR(__xludf.DUMMYFUNCTION("""COMPUTED_VALUE"""),46184.0)</f>
        <v>46184</v>
      </c>
      <c r="C24" s="122">
        <f>IFERROR(__xludf.DUMMYFUNCTION("""COMPUTED_VALUE"""),1064.0)</f>
        <v>1064</v>
      </c>
      <c r="D24" s="122" t="str">
        <f>IFERROR(__xludf.DUMMYFUNCTION("""COMPUTED_VALUE"""),"Christine Kim")</f>
        <v>Christine Kim</v>
      </c>
      <c r="E24" s="122" t="str">
        <f>IFERROR(__xludf.DUMMYFUNCTION("""COMPUTED_VALUE"""),"SNAX")</f>
        <v>SNAX</v>
      </c>
      <c r="F24" s="122" t="str">
        <f>IFERROR(__xludf.DUMMYFUNCTION("""COMPUTED_VALUE"""),"SELL")</f>
        <v>SELL</v>
      </c>
      <c r="G24" s="122">
        <f>IFERROR(__xludf.DUMMYFUNCTION("""COMPUTED_VALUE"""),300.0)</f>
        <v>300</v>
      </c>
      <c r="H24" s="122" t="str">
        <f>IFERROR(__xludf.DUMMYFUNCTION("""COMPUTED_VALUE"""),"because yes")</f>
        <v>because yes</v>
      </c>
      <c r="I24" s="126">
        <f>IFERROR(__xludf.DUMMYFUNCTION("""COMPUTED_VALUE"""),46184.0)</f>
        <v>46184</v>
      </c>
      <c r="J24" s="122">
        <f>IFERROR(__xludf.DUMMYFUNCTION("""COMPUTED_VALUE"""),91.2)</f>
        <v>91.2</v>
      </c>
      <c r="K24" s="122">
        <f>IFERROR(__xludf.DUMMYFUNCTION("""COMPUTED_VALUE"""),0.696)</f>
        <v>0.696</v>
      </c>
      <c r="L24" s="122" t="str">
        <f>IFERROR(__xludf.DUMMYFUNCTION("""COMPUTED_VALUE"""),"Missed")</f>
        <v>Missed</v>
      </c>
      <c r="M24" s="122">
        <f>IFERROR(__xludf.DUMMYFUNCTION("""COMPUTED_VALUE"""),0.0)</f>
        <v>0</v>
      </c>
    </row>
    <row r="25">
      <c r="A25" s="131">
        <f>IFERROR(__xludf.DUMMYFUNCTION("""COMPUTED_VALUE"""),46184.42097222222)</f>
        <v>46184.42097</v>
      </c>
      <c r="B25" s="126">
        <f>IFERROR(__xludf.DUMMYFUNCTION("""COMPUTED_VALUE"""),46184.0)</f>
        <v>46184</v>
      </c>
      <c r="C25" s="122">
        <f>IFERROR(__xludf.DUMMYFUNCTION("""COMPUTED_VALUE"""),3553.0)</f>
        <v>3553</v>
      </c>
      <c r="D25" s="122" t="str">
        <f>IFERROR(__xludf.DUMMYFUNCTION("""COMPUTED_VALUE"""),"Ryan Kim")</f>
        <v>Ryan Kim</v>
      </c>
      <c r="E25" s="122" t="str">
        <f>IFERROR(__xludf.DUMMYFUNCTION("""COMPUTED_VALUE"""),"CAND")</f>
        <v>CAND</v>
      </c>
      <c r="F25" s="122" t="str">
        <f>IFERROR(__xludf.DUMMYFUNCTION("""COMPUTED_VALUE"""),"BUY")</f>
        <v>BUY</v>
      </c>
      <c r="G25" s="122">
        <f>IFERROR(__xludf.DUMMYFUNCTION("""COMPUTED_VALUE"""),56.0)</f>
        <v>56</v>
      </c>
      <c r="H25" s="122" t="str">
        <f>IFERROR(__xludf.DUMMYFUNCTION("""COMPUTED_VALUE"""),"It has been showing growth over three periods.")</f>
        <v>It has been showing growth over three periods.</v>
      </c>
      <c r="I25" s="126">
        <f>IFERROR(__xludf.DUMMYFUNCTION("""COMPUTED_VALUE"""),46184.0)</f>
        <v>46184</v>
      </c>
      <c r="J25" s="122">
        <f>IFERROR(__xludf.DUMMYFUNCTION("""COMPUTED_VALUE"""),57.66)</f>
        <v>57.66</v>
      </c>
      <c r="K25" s="122">
        <f>IFERROR(__xludf.DUMMYFUNCTION("""COMPUTED_VALUE"""),0.0296)</f>
        <v>0.0296</v>
      </c>
      <c r="L25" s="122" t="str">
        <f>IFERROR(__xludf.DUMMYFUNCTION("""COMPUTED_VALUE"""),"Rewarded")</f>
        <v>Rewarded</v>
      </c>
      <c r="M25" s="122">
        <f>IFERROR(__xludf.DUMMYFUNCTION("""COMPUTED_VALUE"""),50.0)</f>
        <v>50</v>
      </c>
    </row>
    <row r="26">
      <c r="A26" s="131">
        <f>IFERROR(__xludf.DUMMYFUNCTION("""COMPUTED_VALUE"""),46184.4278587963)</f>
        <v>46184.42786</v>
      </c>
      <c r="B26" s="126">
        <f>IFERROR(__xludf.DUMMYFUNCTION("""COMPUTED_VALUE"""),46184.0)</f>
        <v>46184</v>
      </c>
      <c r="C26" s="122">
        <f>IFERROR(__xludf.DUMMYFUNCTION("""COMPUTED_VALUE"""),7260.0)</f>
        <v>7260</v>
      </c>
      <c r="D26" s="122" t="str">
        <f>IFERROR(__xludf.DUMMYFUNCTION("""COMPUTED_VALUE"""),"Soyeon Park")</f>
        <v>Soyeon Park</v>
      </c>
      <c r="E26" s="122" t="str">
        <f>IFERROR(__xludf.DUMMYFUNCTION("""COMPUTED_VALUE"""),"GAME")</f>
        <v>GAME</v>
      </c>
      <c r="F26" s="122" t="str">
        <f>IFERROR(__xludf.DUMMYFUNCTION("""COMPUTED_VALUE"""),"BUY")</f>
        <v>BUY</v>
      </c>
      <c r="G26" s="122">
        <f>IFERROR(__xludf.DUMMYFUNCTION("""COMPUTED_VALUE"""),25.0)</f>
        <v>25</v>
      </c>
      <c r="H26" s="122" t="str">
        <f>IFERROR(__xludf.DUMMYFUNCTION("""COMPUTED_VALUE"""),"It's a growing business")</f>
        <v>It's a growing business</v>
      </c>
      <c r="I26" s="126">
        <f>IFERROR(__xludf.DUMMYFUNCTION("""COMPUTED_VALUE"""),46184.0)</f>
        <v>46184</v>
      </c>
      <c r="J26" s="122">
        <f>IFERROR(__xludf.DUMMYFUNCTION("""COMPUTED_VALUE"""),82.77)</f>
        <v>82.77</v>
      </c>
      <c r="K26" s="122">
        <f>IFERROR(__xludf.DUMMYFUNCTION("""COMPUTED_VALUE"""),2.3108)</f>
        <v>2.3108</v>
      </c>
      <c r="L26" s="122" t="str">
        <f>IFERROR(__xludf.DUMMYFUNCTION("""COMPUTED_VALUE"""),"Missed")</f>
        <v>Missed</v>
      </c>
      <c r="M26" s="122">
        <f>IFERROR(__xludf.DUMMYFUNCTION("""COMPUTED_VALUE"""),0.0)</f>
        <v>0</v>
      </c>
    </row>
    <row r="27">
      <c r="A27" s="131">
        <f>IFERROR(__xludf.DUMMYFUNCTION("""COMPUTED_VALUE"""),46184.522152777776)</f>
        <v>46184.52215</v>
      </c>
      <c r="B27" s="126">
        <f>IFERROR(__xludf.DUMMYFUNCTION("""COMPUTED_VALUE"""),46184.0)</f>
        <v>46184</v>
      </c>
      <c r="C27" s="122">
        <f>IFERROR(__xludf.DUMMYFUNCTION("""COMPUTED_VALUE"""),8765.0)</f>
        <v>8765</v>
      </c>
      <c r="D27" s="122" t="str">
        <f>IFERROR(__xludf.DUMMYFUNCTION("""COMPUTED_VALUE"""),"Minjun")</f>
        <v>Minjun</v>
      </c>
      <c r="E27" s="122" t="str">
        <f>IFERROR(__xludf.DUMMYFUNCTION("""COMPUTED_VALUE"""),"TECH")</f>
        <v>TECH</v>
      </c>
      <c r="F27" s="122" t="str">
        <f>IFERROR(__xludf.DUMMYFUNCTION("""COMPUTED_VALUE"""),"BUY")</f>
        <v>BUY</v>
      </c>
      <c r="G27" s="122">
        <f>IFERROR(__xludf.DUMMYFUNCTION("""COMPUTED_VALUE"""),178.0)</f>
        <v>178</v>
      </c>
      <c r="H27" s="122" t="str">
        <f>IFERROR(__xludf.DUMMYFUNCTION("""COMPUTED_VALUE"""),"I think it will go up.")</f>
        <v>I think it will go up.</v>
      </c>
      <c r="I27" s="126">
        <f>IFERROR(__xludf.DUMMYFUNCTION("""COMPUTED_VALUE"""),46184.0)</f>
        <v>46184</v>
      </c>
      <c r="J27" s="122">
        <f>IFERROR(__xludf.DUMMYFUNCTION("""COMPUTED_VALUE"""),208.55)</f>
        <v>208.55</v>
      </c>
      <c r="K27" s="122">
        <f>IFERROR(__xludf.DUMMYFUNCTION("""COMPUTED_VALUE"""),0.1716)</f>
        <v>0.1716</v>
      </c>
      <c r="L27" s="122" t="str">
        <f>IFERROR(__xludf.DUMMYFUNCTION("""COMPUTED_VALUE"""),"Missed")</f>
        <v>Missed</v>
      </c>
      <c r="M27" s="122">
        <f>IFERROR(__xludf.DUMMYFUNCTION("""COMPUTED_VALUE"""),0.0)</f>
        <v>0</v>
      </c>
    </row>
    <row r="28">
      <c r="A28" s="131">
        <f>IFERROR(__xludf.DUMMYFUNCTION("""COMPUTED_VALUE"""),46184.52296296296)</f>
        <v>46184.52296</v>
      </c>
      <c r="B28" s="126">
        <f>IFERROR(__xludf.DUMMYFUNCTION("""COMPUTED_VALUE"""),46184.0)</f>
        <v>46184</v>
      </c>
      <c r="C28" s="122">
        <f>IFERROR(__xludf.DUMMYFUNCTION("""COMPUTED_VALUE"""),8765.0)</f>
        <v>8765</v>
      </c>
      <c r="D28" s="122" t="str">
        <f>IFERROR(__xludf.DUMMYFUNCTION("""COMPUTED_VALUE"""),"Minjun")</f>
        <v>Minjun</v>
      </c>
      <c r="E28" s="122" t="str">
        <f>IFERROR(__xludf.DUMMYFUNCTION("""COMPUTED_VALUE"""),"BAGG")</f>
        <v>BAGG</v>
      </c>
      <c r="F28" s="122" t="str">
        <f>IFERROR(__xludf.DUMMYFUNCTION("""COMPUTED_VALUE"""),"BUY")</f>
        <v>BUY</v>
      </c>
      <c r="G28" s="122">
        <f>IFERROR(__xludf.DUMMYFUNCTION("""COMPUTED_VALUE"""),172.0)</f>
        <v>172</v>
      </c>
      <c r="H28" s="122" t="str">
        <f>IFERROR(__xludf.DUMMYFUNCTION("""COMPUTED_VALUE"""),"I think it will increase slowly.")</f>
        <v>I think it will increase slowly.</v>
      </c>
      <c r="I28" s="126">
        <f>IFERROR(__xludf.DUMMYFUNCTION("""COMPUTED_VALUE"""),46184.0)</f>
        <v>46184</v>
      </c>
      <c r="J28" s="122">
        <f>IFERROR(__xludf.DUMMYFUNCTION("""COMPUTED_VALUE"""),188.21)</f>
        <v>188.21</v>
      </c>
      <c r="K28" s="122">
        <f>IFERROR(__xludf.DUMMYFUNCTION("""COMPUTED_VALUE"""),0.0942)</f>
        <v>0.0942</v>
      </c>
      <c r="L28" s="122" t="str">
        <f>IFERROR(__xludf.DUMMYFUNCTION("""COMPUTED_VALUE"""),"Rewarded")</f>
        <v>Rewarded</v>
      </c>
      <c r="M28" s="122">
        <f>IFERROR(__xludf.DUMMYFUNCTION("""COMPUTED_VALUE"""),10.0)</f>
        <v>10</v>
      </c>
    </row>
    <row r="29">
      <c r="A29" s="131">
        <f>IFERROR(__xludf.DUMMYFUNCTION("""COMPUTED_VALUE"""),46184.5237037037)</f>
        <v>46184.5237</v>
      </c>
      <c r="B29" s="126">
        <f>IFERROR(__xludf.DUMMYFUNCTION("""COMPUTED_VALUE"""),46184.0)</f>
        <v>46184</v>
      </c>
      <c r="C29" s="122">
        <f>IFERROR(__xludf.DUMMYFUNCTION("""COMPUTED_VALUE"""),8765.0)</f>
        <v>8765</v>
      </c>
      <c r="D29" s="122" t="str">
        <f>IFERROR(__xludf.DUMMYFUNCTION("""COMPUTED_VALUE"""),"Minjun")</f>
        <v>Minjun</v>
      </c>
      <c r="E29" s="122" t="str">
        <f>IFERROR(__xludf.DUMMYFUNCTION("""COMPUTED_VALUE"""),"RIDE")</f>
        <v>RIDE</v>
      </c>
      <c r="F29" s="122" t="str">
        <f>IFERROR(__xludf.DUMMYFUNCTION("""COMPUTED_VALUE"""),"BUY")</f>
        <v>BUY</v>
      </c>
      <c r="G29" s="122">
        <f>IFERROR(__xludf.DUMMYFUNCTION("""COMPUTED_VALUE"""),76.44)</f>
        <v>76.44</v>
      </c>
      <c r="H29" s="122" t="str">
        <f>IFERROR(__xludf.DUMMYFUNCTION("""COMPUTED_VALUE"""),"I think it will go up.")</f>
        <v>I think it will go up.</v>
      </c>
      <c r="I29" s="126">
        <f>IFERROR(__xludf.DUMMYFUNCTION("""COMPUTED_VALUE"""),46184.0)</f>
        <v>46184</v>
      </c>
      <c r="J29" s="122">
        <f>IFERROR(__xludf.DUMMYFUNCTION("""COMPUTED_VALUE"""),72.67)</f>
        <v>72.67</v>
      </c>
      <c r="K29" s="122">
        <f>IFERROR(__xludf.DUMMYFUNCTION("""COMPUTED_VALUE"""),0.0493)</f>
        <v>0.0493</v>
      </c>
      <c r="L29" s="122" t="str">
        <f>IFERROR(__xludf.DUMMYFUNCTION("""COMPUTED_VALUE"""),"Rewarded")</f>
        <v>Rewarded</v>
      </c>
      <c r="M29" s="122">
        <f>IFERROR(__xludf.DUMMYFUNCTION("""COMPUTED_VALUE"""),50.0)</f>
        <v>50</v>
      </c>
    </row>
    <row r="30">
      <c r="A30" s="131">
        <f>IFERROR(__xludf.DUMMYFUNCTION("""COMPUTED_VALUE"""),46184.524930555555)</f>
        <v>46184.52493</v>
      </c>
      <c r="B30" s="126">
        <f>IFERROR(__xludf.DUMMYFUNCTION("""COMPUTED_VALUE"""),46184.0)</f>
        <v>46184</v>
      </c>
      <c r="C30" s="122">
        <f>IFERROR(__xludf.DUMMYFUNCTION("""COMPUTED_VALUE"""),8765.0)</f>
        <v>8765</v>
      </c>
      <c r="D30" s="122" t="str">
        <f>IFERROR(__xludf.DUMMYFUNCTION("""COMPUTED_VALUE"""),"Minjun")</f>
        <v>Minjun</v>
      </c>
      <c r="E30" s="122" t="str">
        <f>IFERROR(__xludf.DUMMYFUNCTION("""COMPUTED_VALUE"""),"SNAX")</f>
        <v>SNAX</v>
      </c>
      <c r="F30" s="122" t="str">
        <f>IFERROR(__xludf.DUMMYFUNCTION("""COMPUTED_VALUE"""),"BUY")</f>
        <v>BUY</v>
      </c>
      <c r="G30" s="122">
        <f>IFERROR(__xludf.DUMMYFUNCTION("""COMPUTED_VALUE"""),124.5)</f>
        <v>124.5</v>
      </c>
      <c r="H30" s="122" t="str">
        <f>IFERROR(__xludf.DUMMYFUNCTION("""COMPUTED_VALUE"""),"It will probably go up.")</f>
        <v>It will probably go up.</v>
      </c>
      <c r="I30" s="126">
        <f>IFERROR(__xludf.DUMMYFUNCTION("""COMPUTED_VALUE"""),46184.0)</f>
        <v>46184</v>
      </c>
      <c r="J30" s="122">
        <f>IFERROR(__xludf.DUMMYFUNCTION("""COMPUTED_VALUE"""),91.2)</f>
        <v>91.2</v>
      </c>
      <c r="K30" s="122">
        <f>IFERROR(__xludf.DUMMYFUNCTION("""COMPUTED_VALUE"""),0.2675)</f>
        <v>0.2675</v>
      </c>
      <c r="L30" s="122" t="str">
        <f>IFERROR(__xludf.DUMMYFUNCTION("""COMPUTED_VALUE"""),"Missed")</f>
        <v>Missed</v>
      </c>
      <c r="M30" s="122">
        <f>IFERROR(__xludf.DUMMYFUNCTION("""COMPUTED_VALUE"""),0.0)</f>
        <v>0</v>
      </c>
    </row>
    <row r="31">
      <c r="A31" s="131">
        <f>IFERROR(__xludf.DUMMYFUNCTION("""COMPUTED_VALUE"""),46184.59140046296)</f>
        <v>46184.5914</v>
      </c>
      <c r="B31" s="126">
        <f>IFERROR(__xludf.DUMMYFUNCTION("""COMPUTED_VALUE"""),46184.0)</f>
        <v>46184</v>
      </c>
      <c r="C31" s="122">
        <f>IFERROR(__xludf.DUMMYFUNCTION("""COMPUTED_VALUE"""),6050.0)</f>
        <v>6050</v>
      </c>
      <c r="D31" s="122" t="str">
        <f>IFERROR(__xludf.DUMMYFUNCTION("""COMPUTED_VALUE"""),"Claire Jeong")</f>
        <v>Claire Jeong</v>
      </c>
      <c r="E31" s="122" t="str">
        <f>IFERROR(__xludf.DUMMYFUNCTION("""COMPUTED_VALUE"""),"TECH")</f>
        <v>TECH</v>
      </c>
      <c r="F31" s="122" t="str">
        <f>IFERROR(__xludf.DUMMYFUNCTION("""COMPUTED_VALUE"""),"SELL")</f>
        <v>SELL</v>
      </c>
      <c r="G31" s="122">
        <f>IFERROR(__xludf.DUMMYFUNCTION("""COMPUTED_VALUE"""),100.0)</f>
        <v>100</v>
      </c>
      <c r="H31" s="122" t="str">
        <f>IFERROR(__xludf.DUMMYFUNCTION("""COMPUTED_VALUE"""),"I need money")</f>
        <v>I need money</v>
      </c>
      <c r="I31" s="126">
        <f>IFERROR(__xludf.DUMMYFUNCTION("""COMPUTED_VALUE"""),46184.0)</f>
        <v>46184</v>
      </c>
      <c r="J31" s="122">
        <f>IFERROR(__xludf.DUMMYFUNCTION("""COMPUTED_VALUE"""),208.55)</f>
        <v>208.55</v>
      </c>
      <c r="K31" s="122">
        <f>IFERROR(__xludf.DUMMYFUNCTION("""COMPUTED_VALUE"""),1.0855)</f>
        <v>1.0855</v>
      </c>
      <c r="L31" s="122" t="str">
        <f>IFERROR(__xludf.DUMMYFUNCTION("""COMPUTED_VALUE"""),"Missed")</f>
        <v>Missed</v>
      </c>
      <c r="M31" s="122">
        <f>IFERROR(__xludf.DUMMYFUNCTION("""COMPUTED_VALUE"""),0.0)</f>
        <v>0</v>
      </c>
    </row>
    <row r="32">
      <c r="A32" s="131">
        <f>IFERROR(__xludf.DUMMYFUNCTION("""COMPUTED_VALUE"""),46184.596817129626)</f>
        <v>46184.59682</v>
      </c>
      <c r="B32" s="126">
        <f>IFERROR(__xludf.DUMMYFUNCTION("""COMPUTED_VALUE"""),46184.0)</f>
        <v>46184</v>
      </c>
      <c r="C32" s="122">
        <f>IFERROR(__xludf.DUMMYFUNCTION("""COMPUTED_VALUE"""),6050.0)</f>
        <v>6050</v>
      </c>
      <c r="D32" s="122" t="str">
        <f>IFERROR(__xludf.DUMMYFUNCTION("""COMPUTED_VALUE"""),"Claire Jeong")</f>
        <v>Claire Jeong</v>
      </c>
      <c r="E32" s="122" t="str">
        <f>IFERROR(__xludf.DUMMYFUNCTION("""COMPUTED_VALUE"""),"HOTL")</f>
        <v>HOTL</v>
      </c>
      <c r="F32" s="122" t="str">
        <f>IFERROR(__xludf.DUMMYFUNCTION("""COMPUTED_VALUE"""),"BUY")</f>
        <v>BUY</v>
      </c>
      <c r="G32" s="122">
        <f>IFERROR(__xludf.DUMMYFUNCTION("""COMPUTED_VALUE"""),100.0)</f>
        <v>100</v>
      </c>
      <c r="H32" s="122" t="str">
        <f>IFERROR(__xludf.DUMMYFUNCTION("""COMPUTED_VALUE"""),"I saw this is increasing")</f>
        <v>I saw this is increasing</v>
      </c>
      <c r="I32" s="126">
        <f>IFERROR(__xludf.DUMMYFUNCTION("""COMPUTED_VALUE"""),46184.0)</f>
        <v>46184</v>
      </c>
      <c r="J32" s="122">
        <f>IFERROR(__xludf.DUMMYFUNCTION("""COMPUTED_VALUE"""),114.24)</f>
        <v>114.24</v>
      </c>
      <c r="K32" s="122">
        <f>IFERROR(__xludf.DUMMYFUNCTION("""COMPUTED_VALUE"""),0.1424)</f>
        <v>0.1424</v>
      </c>
      <c r="L32" s="122" t="str">
        <f>IFERROR(__xludf.DUMMYFUNCTION("""COMPUTED_VALUE"""),"Missed")</f>
        <v>Missed</v>
      </c>
      <c r="M32" s="122">
        <f>IFERROR(__xludf.DUMMYFUNCTION("""COMPUTED_VALUE"""),0.0)</f>
        <v>0</v>
      </c>
    </row>
    <row r="33">
      <c r="A33" s="131">
        <f>IFERROR(__xludf.DUMMYFUNCTION("""COMPUTED_VALUE"""),46184.60505787037)</f>
        <v>46184.60506</v>
      </c>
      <c r="B33" s="126">
        <f>IFERROR(__xludf.DUMMYFUNCTION("""COMPUTED_VALUE"""),46184.0)</f>
        <v>46184</v>
      </c>
      <c r="C33" s="122">
        <f>IFERROR(__xludf.DUMMYFUNCTION("""COMPUTED_VALUE"""),6050.0)</f>
        <v>6050</v>
      </c>
      <c r="D33" s="122" t="str">
        <f>IFERROR(__xludf.DUMMYFUNCTION("""COMPUTED_VALUE"""),"Claire Jeong")</f>
        <v>Claire Jeong</v>
      </c>
      <c r="E33" s="122" t="str">
        <f>IFERROR(__xludf.DUMMYFUNCTION("""COMPUTED_VALUE"""),"BANK")</f>
        <v>BANK</v>
      </c>
      <c r="F33" s="122" t="str">
        <f>IFERROR(__xludf.DUMMYFUNCTION("""COMPUTED_VALUE"""),"BUY")</f>
        <v>BUY</v>
      </c>
      <c r="G33" s="122">
        <f>IFERROR(__xludf.DUMMYFUNCTION("""COMPUTED_VALUE"""),67.0)</f>
        <v>67</v>
      </c>
      <c r="H33" s="122" t="str">
        <f>IFERROR(__xludf.DUMMYFUNCTION("""COMPUTED_VALUE"""),"I JUST WANNA BUY IT DHD")</f>
        <v>I JUST WANNA BUY IT DHD</v>
      </c>
      <c r="I33" s="126">
        <f>IFERROR(__xludf.DUMMYFUNCTION("""COMPUTED_VALUE"""),46184.0)</f>
        <v>46184</v>
      </c>
      <c r="J33" s="122">
        <f>IFERROR(__xludf.DUMMYFUNCTION("""COMPUTED_VALUE"""),114.9)</f>
        <v>114.9</v>
      </c>
      <c r="K33" s="122">
        <f>IFERROR(__xludf.DUMMYFUNCTION("""COMPUTED_VALUE"""),0.7149)</f>
        <v>0.7149</v>
      </c>
      <c r="L33" s="122" t="str">
        <f>IFERROR(__xludf.DUMMYFUNCTION("""COMPUTED_VALUE"""),"Missed")</f>
        <v>Missed</v>
      </c>
      <c r="M33" s="122">
        <f>IFERROR(__xludf.DUMMYFUNCTION("""COMPUTED_VALUE"""),0.0)</f>
        <v>0</v>
      </c>
    </row>
    <row r="34">
      <c r="A34" s="131">
        <f>IFERROR(__xludf.DUMMYFUNCTION("""COMPUTED_VALUE"""),46184.6059837963)</f>
        <v>46184.60598</v>
      </c>
      <c r="B34" s="126">
        <f>IFERROR(__xludf.DUMMYFUNCTION("""COMPUTED_VALUE"""),46184.0)</f>
        <v>46184</v>
      </c>
      <c r="C34" s="122">
        <f>IFERROR(__xludf.DUMMYFUNCTION("""COMPUTED_VALUE"""),9658.0)</f>
        <v>9658</v>
      </c>
      <c r="D34" s="122" t="str">
        <f>IFERROR(__xludf.DUMMYFUNCTION("""COMPUTED_VALUE"""),"Austin Han")</f>
        <v>Austin Han</v>
      </c>
      <c r="E34" s="122" t="str">
        <f>IFERROR(__xludf.DUMMYFUNCTION("""COMPUTED_VALUE"""),"IDOL")</f>
        <v>IDOL</v>
      </c>
      <c r="F34" s="122" t="str">
        <f>IFERROR(__xludf.DUMMYFUNCTION("""COMPUTED_VALUE"""),"HOLD")</f>
        <v>HOLD</v>
      </c>
      <c r="G34" s="122">
        <f>IFERROR(__xludf.DUMMYFUNCTION("""COMPUTED_VALUE"""),40.0)</f>
        <v>40</v>
      </c>
      <c r="H34" s="122" t="str">
        <f>IFERROR(__xludf.DUMMYFUNCTION("""COMPUTED_VALUE"""),"It will increase because it is almost -1.1% and almost nowhere to go")</f>
        <v>It will increase because it is almost -1.1% and almost nowhere to go</v>
      </c>
      <c r="I34" s="126">
        <f>IFERROR(__xludf.DUMMYFUNCTION("""COMPUTED_VALUE"""),46184.0)</f>
        <v>46184</v>
      </c>
      <c r="J34" s="122">
        <f>IFERROR(__xludf.DUMMYFUNCTION("""COMPUTED_VALUE"""),175.3)</f>
        <v>175.3</v>
      </c>
      <c r="K34" s="122">
        <f>IFERROR(__xludf.DUMMYFUNCTION("""COMPUTED_VALUE"""),3.3825)</f>
        <v>3.3825</v>
      </c>
      <c r="L34" s="122" t="str">
        <f>IFERROR(__xludf.DUMMYFUNCTION("""COMPUTED_VALUE"""),"Missed")</f>
        <v>Missed</v>
      </c>
      <c r="M34" s="122">
        <f>IFERROR(__xludf.DUMMYFUNCTION("""COMPUTED_VALUE"""),0.0)</f>
        <v>0</v>
      </c>
    </row>
    <row r="35">
      <c r="A35" s="131">
        <f>IFERROR(__xludf.DUMMYFUNCTION("""COMPUTED_VALUE"""),46185.421805555554)</f>
        <v>46185.42181</v>
      </c>
      <c r="B35" s="126">
        <f>IFERROR(__xludf.DUMMYFUNCTION("""COMPUTED_VALUE"""),46185.0)</f>
        <v>46185</v>
      </c>
      <c r="C35" s="122">
        <f>IFERROR(__xludf.DUMMYFUNCTION("""COMPUTED_VALUE"""),8765.0)</f>
        <v>8765</v>
      </c>
      <c r="D35" s="122" t="str">
        <f>IFERROR(__xludf.DUMMYFUNCTION("""COMPUTED_VALUE"""),"Minjun")</f>
        <v>Minjun</v>
      </c>
      <c r="E35" s="122" t="str">
        <f>IFERROR(__xludf.DUMMYFUNCTION("""COMPUTED_VALUE"""),"SNAX")</f>
        <v>SNAX</v>
      </c>
      <c r="F35" s="122" t="str">
        <f>IFERROR(__xludf.DUMMYFUNCTION("""COMPUTED_VALUE"""),"BUY")</f>
        <v>BUY</v>
      </c>
      <c r="G35" s="122">
        <f>IFERROR(__xludf.DUMMYFUNCTION("""COMPUTED_VALUE"""),95.8)</f>
        <v>95.8</v>
      </c>
      <c r="H35" s="122" t="str">
        <f>IFERROR(__xludf.DUMMYFUNCTION("""COMPUTED_VALUE"""),"I think it will rise.")</f>
        <v>I think it will rise.</v>
      </c>
      <c r="I35" s="126">
        <f>IFERROR(__xludf.DUMMYFUNCTION("""COMPUTED_VALUE"""),46185.0)</f>
        <v>46185</v>
      </c>
      <c r="J35" s="122">
        <f>IFERROR(__xludf.DUMMYFUNCTION("""COMPUTED_VALUE"""),111.59)</f>
        <v>111.59</v>
      </c>
      <c r="K35" s="122">
        <f>IFERROR(__xludf.DUMMYFUNCTION("""COMPUTED_VALUE"""),0.1648)</f>
        <v>0.1648</v>
      </c>
      <c r="L35" s="122" t="str">
        <f>IFERROR(__xludf.DUMMYFUNCTION("""COMPUTED_VALUE"""),"Missed")</f>
        <v>Missed</v>
      </c>
      <c r="M35" s="122">
        <f>IFERROR(__xludf.DUMMYFUNCTION("""COMPUTED_VALUE"""),0.0)</f>
        <v>0</v>
      </c>
    </row>
    <row r="36">
      <c r="A36" s="131">
        <f>IFERROR(__xludf.DUMMYFUNCTION("""COMPUTED_VALUE"""),46185.42245370371)</f>
        <v>46185.42245</v>
      </c>
      <c r="B36" s="126">
        <f>IFERROR(__xludf.DUMMYFUNCTION("""COMPUTED_VALUE"""),46185.0)</f>
        <v>46185</v>
      </c>
      <c r="C36" s="122">
        <f>IFERROR(__xludf.DUMMYFUNCTION("""COMPUTED_VALUE"""),8765.0)</f>
        <v>8765</v>
      </c>
      <c r="D36" s="122" t="str">
        <f>IFERROR(__xludf.DUMMYFUNCTION("""COMPUTED_VALUE"""),"Minjun")</f>
        <v>Minjun</v>
      </c>
      <c r="E36" s="122" t="str">
        <f>IFERROR(__xludf.DUMMYFUNCTION("""COMPUTED_VALUE"""),"RAMN")</f>
        <v>RAMN</v>
      </c>
      <c r="F36" s="122" t="str">
        <f>IFERROR(__xludf.DUMMYFUNCTION("""COMPUTED_VALUE"""),"SELL")</f>
        <v>SELL</v>
      </c>
      <c r="G36" s="122">
        <f>IFERROR(__xludf.DUMMYFUNCTION("""COMPUTED_VALUE"""),82.16)</f>
        <v>82.16</v>
      </c>
      <c r="H36" s="122" t="str">
        <f>IFERROR(__xludf.DUMMYFUNCTION("""COMPUTED_VALUE"""),"It will go down more.")</f>
        <v>It will go down more.</v>
      </c>
      <c r="I36" s="126">
        <f>IFERROR(__xludf.DUMMYFUNCTION("""COMPUTED_VALUE"""),46185.0)</f>
        <v>46185</v>
      </c>
      <c r="J36" s="122">
        <f>IFERROR(__xludf.DUMMYFUNCTION("""COMPUTED_VALUE"""),81.47)</f>
        <v>81.47</v>
      </c>
      <c r="K36" s="122">
        <f>IFERROR(__xludf.DUMMYFUNCTION("""COMPUTED_VALUE"""),0.0084)</f>
        <v>0.0084</v>
      </c>
      <c r="L36" s="122" t="str">
        <f>IFERROR(__xludf.DUMMYFUNCTION("""COMPUTED_VALUE"""),"Rewarded")</f>
        <v>Rewarded</v>
      </c>
      <c r="M36" s="122">
        <f>IFERROR(__xludf.DUMMYFUNCTION("""COMPUTED_VALUE"""),100.0)</f>
        <v>100</v>
      </c>
    </row>
    <row r="37">
      <c r="A37" s="131">
        <f>IFERROR(__xludf.DUMMYFUNCTION("""COMPUTED_VALUE"""),46185.42283564815)</f>
        <v>46185.42284</v>
      </c>
      <c r="B37" s="126">
        <f>IFERROR(__xludf.DUMMYFUNCTION("""COMPUTED_VALUE"""),46185.0)</f>
        <v>46185</v>
      </c>
      <c r="C37" s="122">
        <f>IFERROR(__xludf.DUMMYFUNCTION("""COMPUTED_VALUE"""),8765.0)</f>
        <v>8765</v>
      </c>
      <c r="D37" s="122" t="str">
        <f>IFERROR(__xludf.DUMMYFUNCTION("""COMPUTED_VALUE"""),"Minjun")</f>
        <v>Minjun</v>
      </c>
      <c r="E37" s="122" t="str">
        <f>IFERROR(__xludf.DUMMYFUNCTION("""COMPUTED_VALUE"""),"CHIP")</f>
        <v>CHIP</v>
      </c>
      <c r="F37" s="122" t="str">
        <f>IFERROR(__xludf.DUMMYFUNCTION("""COMPUTED_VALUE"""),"BUY")</f>
        <v>BUY</v>
      </c>
      <c r="G37" s="122">
        <f>IFERROR(__xludf.DUMMYFUNCTION("""COMPUTED_VALUE"""),68.5)</f>
        <v>68.5</v>
      </c>
      <c r="H37" s="122" t="str">
        <f>IFERROR(__xludf.DUMMYFUNCTION("""COMPUTED_VALUE"""),"I think it will go up.")</f>
        <v>I think it will go up.</v>
      </c>
      <c r="I37" s="126">
        <f>IFERROR(__xludf.DUMMYFUNCTION("""COMPUTED_VALUE"""),46185.0)</f>
        <v>46185</v>
      </c>
      <c r="J37" s="122">
        <f>IFERROR(__xludf.DUMMYFUNCTION("""COMPUTED_VALUE"""),72.38)</f>
        <v>72.38</v>
      </c>
      <c r="K37" s="122">
        <f>IFERROR(__xludf.DUMMYFUNCTION("""COMPUTED_VALUE"""),0.0566)</f>
        <v>0.0566</v>
      </c>
      <c r="L37" s="122" t="str">
        <f>IFERROR(__xludf.DUMMYFUNCTION("""COMPUTED_VALUE"""),"Rewarded")</f>
        <v>Rewarded</v>
      </c>
      <c r="M37" s="122">
        <f>IFERROR(__xludf.DUMMYFUNCTION("""COMPUTED_VALUE"""),10.0)</f>
        <v>10</v>
      </c>
    </row>
    <row r="38">
      <c r="A38" s="131">
        <f>IFERROR(__xludf.DUMMYFUNCTION("""COMPUTED_VALUE"""),46185.42532407407)</f>
        <v>46185.42532</v>
      </c>
      <c r="B38" s="126">
        <f>IFERROR(__xludf.DUMMYFUNCTION("""COMPUTED_VALUE"""),46185.0)</f>
        <v>46185</v>
      </c>
      <c r="C38" s="122">
        <f>IFERROR(__xludf.DUMMYFUNCTION("""COMPUTED_VALUE"""),8765.0)</f>
        <v>8765</v>
      </c>
      <c r="D38" s="122" t="str">
        <f>IFERROR(__xludf.DUMMYFUNCTION("""COMPUTED_VALUE"""),"Minjun")</f>
        <v>Minjun</v>
      </c>
      <c r="E38" s="122" t="str">
        <f>IFERROR(__xludf.DUMMYFUNCTION("""COMPUTED_VALUE"""),"SNAX")</f>
        <v>SNAX</v>
      </c>
      <c r="F38" s="122" t="str">
        <f>IFERROR(__xludf.DUMMYFUNCTION("""COMPUTED_VALUE"""),"BUY")</f>
        <v>BUY</v>
      </c>
      <c r="G38" s="122">
        <f>IFERROR(__xludf.DUMMYFUNCTION("""COMPUTED_VALUE"""),106.99)</f>
        <v>106.99</v>
      </c>
      <c r="H38" s="122" t="str">
        <f>IFERROR(__xludf.DUMMYFUNCTION("""COMPUTED_VALUE"""),"I think it will go down.")</f>
        <v>I think it will go down.</v>
      </c>
      <c r="I38" s="126">
        <f>IFERROR(__xludf.DUMMYFUNCTION("""COMPUTED_VALUE"""),46185.0)</f>
        <v>46185</v>
      </c>
      <c r="J38" s="122">
        <f>IFERROR(__xludf.DUMMYFUNCTION("""COMPUTED_VALUE"""),111.59)</f>
        <v>111.59</v>
      </c>
      <c r="K38" s="122">
        <f>IFERROR(__xludf.DUMMYFUNCTION("""COMPUTED_VALUE"""),0.043)</f>
        <v>0.043</v>
      </c>
      <c r="L38" s="122" t="str">
        <f>IFERROR(__xludf.DUMMYFUNCTION("""COMPUTED_VALUE"""),"Rewarded")</f>
        <v>Rewarded</v>
      </c>
      <c r="M38" s="122">
        <f>IFERROR(__xludf.DUMMYFUNCTION("""COMPUTED_VALUE"""),50.0)</f>
        <v>50</v>
      </c>
    </row>
    <row r="39">
      <c r="A39" s="131">
        <f>IFERROR(__xludf.DUMMYFUNCTION("""COMPUTED_VALUE"""),46185.42597222222)</f>
        <v>46185.42597</v>
      </c>
      <c r="B39" s="126">
        <f>IFERROR(__xludf.DUMMYFUNCTION("""COMPUTED_VALUE"""),46185.0)</f>
        <v>46185</v>
      </c>
      <c r="C39" s="122">
        <f>IFERROR(__xludf.DUMMYFUNCTION("""COMPUTED_VALUE"""),8765.0)</f>
        <v>8765</v>
      </c>
      <c r="D39" s="122" t="str">
        <f>IFERROR(__xludf.DUMMYFUNCTION("""COMPUTED_VALUE"""),"Minjun")</f>
        <v>Minjun</v>
      </c>
      <c r="E39" s="122" t="str">
        <f>IFERROR(__xludf.DUMMYFUNCTION("""COMPUTED_VALUE"""),"CAND")</f>
        <v>CAND</v>
      </c>
      <c r="F39" s="122" t="str">
        <f>IFERROR(__xludf.DUMMYFUNCTION("""COMPUTED_VALUE"""),"BUY")</f>
        <v>BUY</v>
      </c>
      <c r="G39" s="122">
        <f>IFERROR(__xludf.DUMMYFUNCTION("""COMPUTED_VALUE"""),60.3)</f>
        <v>60.3</v>
      </c>
      <c r="H39" s="122" t="str">
        <f>IFERROR(__xludf.DUMMYFUNCTION("""COMPUTED_VALUE"""),"I think it will go up.")</f>
        <v>I think it will go up.</v>
      </c>
      <c r="I39" s="126">
        <f>IFERROR(__xludf.DUMMYFUNCTION("""COMPUTED_VALUE"""),46185.0)</f>
        <v>46185</v>
      </c>
      <c r="J39" s="122">
        <f>IFERROR(__xludf.DUMMYFUNCTION("""COMPUTED_VALUE"""),74.76)</f>
        <v>74.76</v>
      </c>
      <c r="K39" s="122">
        <f>IFERROR(__xludf.DUMMYFUNCTION("""COMPUTED_VALUE"""),0.2398)</f>
        <v>0.2398</v>
      </c>
      <c r="L39" s="122" t="str">
        <f>IFERROR(__xludf.DUMMYFUNCTION("""COMPUTED_VALUE"""),"Missed")</f>
        <v>Missed</v>
      </c>
      <c r="M39" s="122">
        <f>IFERROR(__xludf.DUMMYFUNCTION("""COMPUTED_VALUE"""),0.0)</f>
        <v>0</v>
      </c>
    </row>
    <row r="40">
      <c r="A40" s="131">
        <f>IFERROR(__xludf.DUMMYFUNCTION("""COMPUTED_VALUE"""),46185.427523148144)</f>
        <v>46185.42752</v>
      </c>
      <c r="B40" s="126">
        <f>IFERROR(__xludf.DUMMYFUNCTION("""COMPUTED_VALUE"""),46185.0)</f>
        <v>46185</v>
      </c>
      <c r="C40" s="122">
        <f>IFERROR(__xludf.DUMMYFUNCTION("""COMPUTED_VALUE"""),8765.0)</f>
        <v>8765</v>
      </c>
      <c r="D40" s="122" t="str">
        <f>IFERROR(__xludf.DUMMYFUNCTION("""COMPUTED_VALUE"""),"Minjun")</f>
        <v>Minjun</v>
      </c>
      <c r="E40" s="122" t="str">
        <f>IFERROR(__xludf.DUMMYFUNCTION("""COMPUTED_VALUE"""),"AIBO")</f>
        <v>AIBO</v>
      </c>
      <c r="F40" s="122" t="str">
        <f>IFERROR(__xludf.DUMMYFUNCTION("""COMPUTED_VALUE"""),"SELL")</f>
        <v>SELL</v>
      </c>
      <c r="G40" s="122">
        <f>IFERROR(__xludf.DUMMYFUNCTION("""COMPUTED_VALUE"""),181.5)</f>
        <v>181.5</v>
      </c>
      <c r="H40" s="122" t="str">
        <f>IFERROR(__xludf.DUMMYFUNCTION("""COMPUTED_VALUE"""),"I think it will go down.")</f>
        <v>I think it will go down.</v>
      </c>
      <c r="I40" s="126">
        <f>IFERROR(__xludf.DUMMYFUNCTION("""COMPUTED_VALUE"""),46185.0)</f>
        <v>46185</v>
      </c>
      <c r="J40" s="122">
        <f>IFERROR(__xludf.DUMMYFUNCTION("""COMPUTED_VALUE"""),168.21)</f>
        <v>168.21</v>
      </c>
      <c r="K40" s="122">
        <f>IFERROR(__xludf.DUMMYFUNCTION("""COMPUTED_VALUE"""),0.0732)</f>
        <v>0.0732</v>
      </c>
      <c r="L40" s="122" t="str">
        <f>IFERROR(__xludf.DUMMYFUNCTION("""COMPUTED_VALUE"""),"Rewarded")</f>
        <v>Rewarded</v>
      </c>
      <c r="M40" s="122">
        <f>IFERROR(__xludf.DUMMYFUNCTION("""COMPUTED_VALUE"""),10.0)</f>
        <v>10</v>
      </c>
    </row>
    <row r="41">
      <c r="A41" s="131">
        <f>IFERROR(__xludf.DUMMYFUNCTION("""COMPUTED_VALUE"""),46185.42798611111)</f>
        <v>46185.42799</v>
      </c>
      <c r="B41" s="126">
        <f>IFERROR(__xludf.DUMMYFUNCTION("""COMPUTED_VALUE"""),46185.0)</f>
        <v>46185</v>
      </c>
      <c r="C41" s="122">
        <f>IFERROR(__xludf.DUMMYFUNCTION("""COMPUTED_VALUE"""),8765.0)</f>
        <v>8765</v>
      </c>
      <c r="D41" s="122" t="str">
        <f>IFERROR(__xludf.DUMMYFUNCTION("""COMPUTED_VALUE"""),"Minjun")</f>
        <v>Minjun</v>
      </c>
      <c r="E41" s="122" t="str">
        <f>IFERROR(__xludf.DUMMYFUNCTION("""COMPUTED_VALUE"""),"GAME")</f>
        <v>GAME</v>
      </c>
      <c r="F41" s="122" t="str">
        <f>IFERROR(__xludf.DUMMYFUNCTION("""COMPUTED_VALUE"""),"SELL")</f>
        <v>SELL</v>
      </c>
      <c r="G41" s="122">
        <f>IFERROR(__xludf.DUMMYFUNCTION("""COMPUTED_VALUE"""),85.55)</f>
        <v>85.55</v>
      </c>
      <c r="H41" s="122" t="str">
        <f>IFERROR(__xludf.DUMMYFUNCTION("""COMPUTED_VALUE"""),"I think it will go down.")</f>
        <v>I think it will go down.</v>
      </c>
      <c r="I41" s="126">
        <f>IFERROR(__xludf.DUMMYFUNCTION("""COMPUTED_VALUE"""),46185.0)</f>
        <v>46185</v>
      </c>
      <c r="J41" s="122">
        <f>IFERROR(__xludf.DUMMYFUNCTION("""COMPUTED_VALUE"""),88.67)</f>
        <v>88.67</v>
      </c>
      <c r="K41" s="122">
        <f>IFERROR(__xludf.DUMMYFUNCTION("""COMPUTED_VALUE"""),0.0365)</f>
        <v>0.0365</v>
      </c>
      <c r="L41" s="122" t="str">
        <f>IFERROR(__xludf.DUMMYFUNCTION("""COMPUTED_VALUE"""),"Rewarded")</f>
        <v>Rewarded</v>
      </c>
      <c r="M41" s="122">
        <f>IFERROR(__xludf.DUMMYFUNCTION("""COMPUTED_VALUE"""),50.0)</f>
        <v>50</v>
      </c>
    </row>
    <row r="42">
      <c r="A42" s="131">
        <f>IFERROR(__xludf.DUMMYFUNCTION("""COMPUTED_VALUE"""),46185.42884259259)</f>
        <v>46185.42884</v>
      </c>
      <c r="B42" s="126">
        <f>IFERROR(__xludf.DUMMYFUNCTION("""COMPUTED_VALUE"""),46185.0)</f>
        <v>46185</v>
      </c>
      <c r="C42" s="122">
        <f>IFERROR(__xludf.DUMMYFUNCTION("""COMPUTED_VALUE"""),8765.0)</f>
        <v>8765</v>
      </c>
      <c r="D42" s="122" t="str">
        <f>IFERROR(__xludf.DUMMYFUNCTION("""COMPUTED_VALUE"""),"Minjun")</f>
        <v>Minjun</v>
      </c>
      <c r="E42" s="122" t="str">
        <f>IFERROR(__xludf.DUMMYFUNCTION("""COMPUTED_VALUE"""),"VRSE")</f>
        <v>VRSE</v>
      </c>
      <c r="F42" s="122" t="str">
        <f>IFERROR(__xludf.DUMMYFUNCTION("""COMPUTED_VALUE"""),"SELL")</f>
        <v>SELL</v>
      </c>
      <c r="G42" s="122">
        <f>IFERROR(__xludf.DUMMYFUNCTION("""COMPUTED_VALUE"""),150.0)</f>
        <v>150</v>
      </c>
      <c r="H42" s="122" t="str">
        <f>IFERROR(__xludf.DUMMYFUNCTION("""COMPUTED_VALUE"""),"It will go down.")</f>
        <v>It will go down.</v>
      </c>
      <c r="I42" s="126">
        <f>IFERROR(__xludf.DUMMYFUNCTION("""COMPUTED_VALUE"""),46185.0)</f>
        <v>46185</v>
      </c>
      <c r="J42" s="122">
        <f>IFERROR(__xludf.DUMMYFUNCTION("""COMPUTED_VALUE"""),158.37)</f>
        <v>158.37</v>
      </c>
      <c r="K42" s="122">
        <f>IFERROR(__xludf.DUMMYFUNCTION("""COMPUTED_VALUE"""),0.0558)</f>
        <v>0.0558</v>
      </c>
      <c r="L42" s="122" t="str">
        <f>IFERROR(__xludf.DUMMYFUNCTION("""COMPUTED_VALUE"""),"Rewarded")</f>
        <v>Rewarded</v>
      </c>
      <c r="M42" s="122">
        <f>IFERROR(__xludf.DUMMYFUNCTION("""COMPUTED_VALUE"""),10.0)</f>
        <v>10</v>
      </c>
    </row>
    <row r="43">
      <c r="A43" s="131">
        <f>IFERROR(__xludf.DUMMYFUNCTION("""COMPUTED_VALUE"""),46185.44020833333)</f>
        <v>46185.44021</v>
      </c>
      <c r="B43" s="126">
        <f>IFERROR(__xludf.DUMMYFUNCTION("""COMPUTED_VALUE"""),46185.0)</f>
        <v>46185</v>
      </c>
      <c r="C43" s="122">
        <f>IFERROR(__xludf.DUMMYFUNCTION("""COMPUTED_VALUE"""),2217.0)</f>
        <v>2217</v>
      </c>
      <c r="D43" s="122" t="str">
        <f>IFERROR(__xludf.DUMMYFUNCTION("""COMPUTED_VALUE"""),"DK")</f>
        <v>DK</v>
      </c>
      <c r="E43" s="122" t="str">
        <f>IFERROR(__xludf.DUMMYFUNCTION("""COMPUTED_VALUE"""),"SNAX")</f>
        <v>SNAX</v>
      </c>
      <c r="F43" s="122" t="str">
        <f>IFERROR(__xludf.DUMMYFUNCTION("""COMPUTED_VALUE"""),"SELL")</f>
        <v>SELL</v>
      </c>
      <c r="G43" s="122">
        <f>IFERROR(__xludf.DUMMYFUNCTION("""COMPUTED_VALUE"""),95.2)</f>
        <v>95.2</v>
      </c>
      <c r="H43" s="122" t="str">
        <f>IFERROR(__xludf.DUMMYFUNCTION("""COMPUTED_VALUE"""),"I think it will go down.")</f>
        <v>I think it will go down.</v>
      </c>
      <c r="I43" s="126">
        <f>IFERROR(__xludf.DUMMYFUNCTION("""COMPUTED_VALUE"""),46185.0)</f>
        <v>46185</v>
      </c>
      <c r="J43" s="122">
        <f>IFERROR(__xludf.DUMMYFUNCTION("""COMPUTED_VALUE"""),111.59)</f>
        <v>111.59</v>
      </c>
      <c r="K43" s="122">
        <f>IFERROR(__xludf.DUMMYFUNCTION("""COMPUTED_VALUE"""),0.1722)</f>
        <v>0.1722</v>
      </c>
      <c r="L43" s="122" t="str">
        <f>IFERROR(__xludf.DUMMYFUNCTION("""COMPUTED_VALUE"""),"Missed")</f>
        <v>Missed</v>
      </c>
      <c r="M43" s="122">
        <f>IFERROR(__xludf.DUMMYFUNCTION("""COMPUTED_VALUE"""),0.0)</f>
        <v>0</v>
      </c>
    </row>
    <row r="44">
      <c r="A44" s="131">
        <f>IFERROR(__xludf.DUMMYFUNCTION("""COMPUTED_VALUE"""),46185.52337962963)</f>
        <v>46185.52338</v>
      </c>
      <c r="B44" s="126">
        <f>IFERROR(__xludf.DUMMYFUNCTION("""COMPUTED_VALUE"""),46185.0)</f>
        <v>46185</v>
      </c>
      <c r="C44" s="122">
        <f>IFERROR(__xludf.DUMMYFUNCTION("""COMPUTED_VALUE"""),2217.0)</f>
        <v>2217</v>
      </c>
      <c r="D44" s="122" t="str">
        <f>IFERROR(__xludf.DUMMYFUNCTION("""COMPUTED_VALUE"""),"DK")</f>
        <v>DK</v>
      </c>
      <c r="E44" s="122" t="str">
        <f>IFERROR(__xludf.DUMMYFUNCTION("""COMPUTED_VALUE"""),"SNAX")</f>
        <v>SNAX</v>
      </c>
      <c r="F44" s="122" t="str">
        <f>IFERROR(__xludf.DUMMYFUNCTION("""COMPUTED_VALUE"""),"SELL")</f>
        <v>SELL</v>
      </c>
      <c r="G44" s="122">
        <f>IFERROR(__xludf.DUMMYFUNCTION("""COMPUTED_VALUE"""),102.3)</f>
        <v>102.3</v>
      </c>
      <c r="H44" s="122" t="str">
        <f>IFERROR(__xludf.DUMMYFUNCTION("""COMPUTED_VALUE"""),"I think it will go down.")</f>
        <v>I think it will go down.</v>
      </c>
      <c r="I44" s="126">
        <f>IFERROR(__xludf.DUMMYFUNCTION("""COMPUTED_VALUE"""),46185.0)</f>
        <v>46185</v>
      </c>
      <c r="J44" s="122">
        <f>IFERROR(__xludf.DUMMYFUNCTION("""COMPUTED_VALUE"""),111.59)</f>
        <v>111.59</v>
      </c>
      <c r="K44" s="122">
        <f>IFERROR(__xludf.DUMMYFUNCTION("""COMPUTED_VALUE"""),0.0908)</f>
        <v>0.0908</v>
      </c>
      <c r="L44" s="122" t="str">
        <f>IFERROR(__xludf.DUMMYFUNCTION("""COMPUTED_VALUE"""),"Rewarded")</f>
        <v>Rewarded</v>
      </c>
      <c r="M44" s="122">
        <f>IFERROR(__xludf.DUMMYFUNCTION("""COMPUTED_VALUE"""),10.0)</f>
        <v>10</v>
      </c>
    </row>
    <row r="45">
      <c r="A45" s="131">
        <f>IFERROR(__xludf.DUMMYFUNCTION("""COMPUTED_VALUE"""),46185.58592592593)</f>
        <v>46185.58593</v>
      </c>
      <c r="B45" s="126">
        <f>IFERROR(__xludf.DUMMYFUNCTION("""COMPUTED_VALUE"""),46185.0)</f>
        <v>46185</v>
      </c>
      <c r="C45" s="122">
        <f>IFERROR(__xludf.DUMMYFUNCTION("""COMPUTED_VALUE"""),6050.0)</f>
        <v>6050</v>
      </c>
      <c r="D45" s="122" t="str">
        <f>IFERROR(__xludf.DUMMYFUNCTION("""COMPUTED_VALUE"""),"Claire Jeong")</f>
        <v>Claire Jeong</v>
      </c>
      <c r="E45" s="122" t="str">
        <f>IFERROR(__xludf.DUMMYFUNCTION("""COMPUTED_VALUE"""),"TECH")</f>
        <v>TECH</v>
      </c>
      <c r="F45" s="122" t="str">
        <f>IFERROR(__xludf.DUMMYFUNCTION("""COMPUTED_VALUE"""),"SELL")</f>
        <v>SELL</v>
      </c>
      <c r="G45" s="122">
        <f>IFERROR(__xludf.DUMMYFUNCTION("""COMPUTED_VALUE"""),125.0)</f>
        <v>125</v>
      </c>
      <c r="H45" s="122" t="str">
        <f>IFERROR(__xludf.DUMMYFUNCTION("""COMPUTED_VALUE"""),"It increased")</f>
        <v>It increased</v>
      </c>
      <c r="I45" s="126">
        <f>IFERROR(__xludf.DUMMYFUNCTION("""COMPUTED_VALUE"""),46185.0)</f>
        <v>46185</v>
      </c>
      <c r="J45" s="122">
        <f>IFERROR(__xludf.DUMMYFUNCTION("""COMPUTED_VALUE"""),229.51)</f>
        <v>229.51</v>
      </c>
      <c r="K45" s="122">
        <f>IFERROR(__xludf.DUMMYFUNCTION("""COMPUTED_VALUE"""),0.8361)</f>
        <v>0.8361</v>
      </c>
      <c r="L45" s="122" t="str">
        <f>IFERROR(__xludf.DUMMYFUNCTION("""COMPUTED_VALUE"""),"Missed")</f>
        <v>Missed</v>
      </c>
      <c r="M45" s="122">
        <f>IFERROR(__xludf.DUMMYFUNCTION("""COMPUTED_VALUE"""),0.0)</f>
        <v>0</v>
      </c>
    </row>
    <row r="46">
      <c r="A46" s="131">
        <f>IFERROR(__xludf.DUMMYFUNCTION("""COMPUTED_VALUE"""),46185.593206018515)</f>
        <v>46185.59321</v>
      </c>
      <c r="B46" s="126">
        <f>IFERROR(__xludf.DUMMYFUNCTION("""COMPUTED_VALUE"""),46185.0)</f>
        <v>46185</v>
      </c>
      <c r="C46" s="122">
        <f>IFERROR(__xludf.DUMMYFUNCTION("""COMPUTED_VALUE"""),6050.0)</f>
        <v>6050</v>
      </c>
      <c r="D46" s="122" t="str">
        <f>IFERROR(__xludf.DUMMYFUNCTION("""COMPUTED_VALUE"""),"Claire Jeong")</f>
        <v>Claire Jeong</v>
      </c>
      <c r="E46" s="122" t="str">
        <f>IFERROR(__xludf.DUMMYFUNCTION("""COMPUTED_VALUE"""),"SNAX")</f>
        <v>SNAX</v>
      </c>
      <c r="F46" s="122" t="str">
        <f>IFERROR(__xludf.DUMMYFUNCTION("""COMPUTED_VALUE"""),"BUY")</f>
        <v>BUY</v>
      </c>
      <c r="G46" s="122">
        <f>IFERROR(__xludf.DUMMYFUNCTION("""COMPUTED_VALUE"""),40.0)</f>
        <v>40</v>
      </c>
      <c r="H46" s="122" t="str">
        <f>IFERROR(__xludf.DUMMYFUNCTION("""COMPUTED_VALUE"""),"I just wanna buy")</f>
        <v>I just wanna buy</v>
      </c>
      <c r="I46" s="126">
        <f>IFERROR(__xludf.DUMMYFUNCTION("""COMPUTED_VALUE"""),46185.0)</f>
        <v>46185</v>
      </c>
      <c r="J46" s="122">
        <f>IFERROR(__xludf.DUMMYFUNCTION("""COMPUTED_VALUE"""),111.59)</f>
        <v>111.59</v>
      </c>
      <c r="K46" s="122">
        <f>IFERROR(__xludf.DUMMYFUNCTION("""COMPUTED_VALUE"""),1.7898)</f>
        <v>1.7898</v>
      </c>
      <c r="L46" s="122" t="str">
        <f>IFERROR(__xludf.DUMMYFUNCTION("""COMPUTED_VALUE"""),"Missed")</f>
        <v>Missed</v>
      </c>
      <c r="M46" s="122">
        <f>IFERROR(__xludf.DUMMYFUNCTION("""COMPUTED_VALUE"""),0.0)</f>
        <v>0</v>
      </c>
    </row>
    <row r="47">
      <c r="A47" s="131">
        <f>IFERROR(__xludf.DUMMYFUNCTION("""COMPUTED_VALUE"""),46185.5953587963)</f>
        <v>46185.59536</v>
      </c>
      <c r="B47" s="126">
        <f>IFERROR(__xludf.DUMMYFUNCTION("""COMPUTED_VALUE"""),46185.0)</f>
        <v>46185</v>
      </c>
      <c r="C47" s="122">
        <f>IFERROR(__xludf.DUMMYFUNCTION("""COMPUTED_VALUE"""),5121.0)</f>
        <v>5121</v>
      </c>
      <c r="D47" s="122" t="str">
        <f>IFERROR(__xludf.DUMMYFUNCTION("""COMPUTED_VALUE"""),"Ryan Kang")</f>
        <v>Ryan Kang</v>
      </c>
      <c r="E47" s="122" t="str">
        <f>IFERROR(__xludf.DUMMYFUNCTION("""COMPUTED_VALUE"""),"SNAX")</f>
        <v>SNAX</v>
      </c>
      <c r="F47" s="122" t="str">
        <f>IFERROR(__xludf.DUMMYFUNCTION("""COMPUTED_VALUE"""),"BUY")</f>
        <v>BUY</v>
      </c>
      <c r="G47" s="122">
        <f>IFERROR(__xludf.DUMMYFUNCTION("""COMPUTED_VALUE"""),110.0)</f>
        <v>110</v>
      </c>
      <c r="H47" s="122" t="str">
        <f>IFERROR(__xludf.DUMMYFUNCTION("""COMPUTED_VALUE"""),"Because it is increasing")</f>
        <v>Because it is increasing</v>
      </c>
      <c r="I47" s="126">
        <f>IFERROR(__xludf.DUMMYFUNCTION("""COMPUTED_VALUE"""),46185.0)</f>
        <v>46185</v>
      </c>
      <c r="J47" s="122">
        <f>IFERROR(__xludf.DUMMYFUNCTION("""COMPUTED_VALUE"""),111.59)</f>
        <v>111.59</v>
      </c>
      <c r="K47" s="122">
        <f>IFERROR(__xludf.DUMMYFUNCTION("""COMPUTED_VALUE"""),0.0145)</f>
        <v>0.0145</v>
      </c>
      <c r="L47" s="122" t="str">
        <f>IFERROR(__xludf.DUMMYFUNCTION("""COMPUTED_VALUE"""),"Rewarded")</f>
        <v>Rewarded</v>
      </c>
      <c r="M47" s="122">
        <f>IFERROR(__xludf.DUMMYFUNCTION("""COMPUTED_VALUE"""),50.0)</f>
        <v>50</v>
      </c>
    </row>
    <row r="48">
      <c r="A48" s="131">
        <f>IFERROR(__xludf.DUMMYFUNCTION("""COMPUTED_VALUE"""),46185.59547453704)</f>
        <v>46185.59547</v>
      </c>
      <c r="B48" s="126">
        <f>IFERROR(__xludf.DUMMYFUNCTION("""COMPUTED_VALUE"""),46185.0)</f>
        <v>46185</v>
      </c>
      <c r="C48" s="122">
        <f>IFERROR(__xludf.DUMMYFUNCTION("""COMPUTED_VALUE"""),8043.0)</f>
        <v>8043</v>
      </c>
      <c r="D48" s="122" t="str">
        <f>IFERROR(__xludf.DUMMYFUNCTION("""COMPUTED_VALUE"""),"Jayden Hong")</f>
        <v>Jayden Hong</v>
      </c>
      <c r="E48" s="122" t="str">
        <f>IFERROR(__xludf.DUMMYFUNCTION("""COMPUTED_VALUE"""),"SNAX")</f>
        <v>SNAX</v>
      </c>
      <c r="F48" s="122" t="str">
        <f>IFERROR(__xludf.DUMMYFUNCTION("""COMPUTED_VALUE"""),"BUY")</f>
        <v>BUY</v>
      </c>
      <c r="G48" s="122">
        <f>IFERROR(__xludf.DUMMYFUNCTION("""COMPUTED_VALUE"""),155.0)</f>
        <v>155</v>
      </c>
      <c r="H48" s="122" t="str">
        <f>IFERROR(__xludf.DUMMYFUNCTION("""COMPUTED_VALUE"""),"the graph is slowly going up so I think it will increase until 155.")</f>
        <v>the graph is slowly going up so I think it will increase until 155.</v>
      </c>
      <c r="I48" s="126">
        <f>IFERROR(__xludf.DUMMYFUNCTION("""COMPUTED_VALUE"""),46185.0)</f>
        <v>46185</v>
      </c>
      <c r="J48" s="122">
        <f>IFERROR(__xludf.DUMMYFUNCTION("""COMPUTED_VALUE"""),111.59)</f>
        <v>111.59</v>
      </c>
      <c r="K48" s="122">
        <f>IFERROR(__xludf.DUMMYFUNCTION("""COMPUTED_VALUE"""),0.2801)</f>
        <v>0.2801</v>
      </c>
      <c r="L48" s="122" t="str">
        <f>IFERROR(__xludf.DUMMYFUNCTION("""COMPUTED_VALUE"""),"Missed")</f>
        <v>Missed</v>
      </c>
      <c r="M48" s="122">
        <f>IFERROR(__xludf.DUMMYFUNCTION("""COMPUTED_VALUE"""),0.0)</f>
        <v>0</v>
      </c>
    </row>
    <row r="49">
      <c r="A49" s="131">
        <f>IFERROR(__xludf.DUMMYFUNCTION("""COMPUTED_VALUE"""),46185.5955787037)</f>
        <v>46185.59558</v>
      </c>
      <c r="B49" s="126">
        <f>IFERROR(__xludf.DUMMYFUNCTION("""COMPUTED_VALUE"""),46185.0)</f>
        <v>46185</v>
      </c>
      <c r="C49" s="122">
        <f>IFERROR(__xludf.DUMMYFUNCTION("""COMPUTED_VALUE"""),4647.0)</f>
        <v>4647</v>
      </c>
      <c r="D49" s="122" t="str">
        <f>IFERROR(__xludf.DUMMYFUNCTION("""COMPUTED_VALUE"""),"Jake Kim")</f>
        <v>Jake Kim</v>
      </c>
      <c r="E49" s="122" t="str">
        <f>IFERROR(__xludf.DUMMYFUNCTION("""COMPUTED_VALUE"""),"INSR")</f>
        <v>INSR</v>
      </c>
      <c r="F49" s="122" t="str">
        <f>IFERROR(__xludf.DUMMYFUNCTION("""COMPUTED_VALUE"""),"SELL")</f>
        <v>SELL</v>
      </c>
      <c r="G49" s="122">
        <f>IFERROR(__xludf.DUMMYFUNCTION("""COMPUTED_VALUE"""),140.0)</f>
        <v>140</v>
      </c>
      <c r="H49" s="122" t="str">
        <f>IFERROR(__xludf.DUMMYFUNCTION("""COMPUTED_VALUE"""),"It has been increasing since this morning")</f>
        <v>It has been increasing since this morning</v>
      </c>
      <c r="I49" s="126">
        <f>IFERROR(__xludf.DUMMYFUNCTION("""COMPUTED_VALUE"""),46185.0)</f>
        <v>46185</v>
      </c>
      <c r="J49" s="122">
        <f>IFERROR(__xludf.DUMMYFUNCTION("""COMPUTED_VALUE"""),146.98)</f>
        <v>146.98</v>
      </c>
      <c r="K49" s="122">
        <f>IFERROR(__xludf.DUMMYFUNCTION("""COMPUTED_VALUE"""),0.0499)</f>
        <v>0.0499</v>
      </c>
      <c r="L49" s="122" t="str">
        <f>IFERROR(__xludf.DUMMYFUNCTION("""COMPUTED_VALUE"""),"Rewarded")</f>
        <v>Rewarded</v>
      </c>
      <c r="M49" s="122">
        <f>IFERROR(__xludf.DUMMYFUNCTION("""COMPUTED_VALUE"""),50.0)</f>
        <v>50</v>
      </c>
    </row>
    <row r="50">
      <c r="A50" s="131">
        <f>IFERROR(__xludf.DUMMYFUNCTION("""COMPUTED_VALUE"""),46185.595821759256)</f>
        <v>46185.59582</v>
      </c>
      <c r="B50" s="126">
        <f>IFERROR(__xludf.DUMMYFUNCTION("""COMPUTED_VALUE"""),46185.0)</f>
        <v>46185</v>
      </c>
      <c r="C50" s="122">
        <f>IFERROR(__xludf.DUMMYFUNCTION("""COMPUTED_VALUE"""),8043.0)</f>
        <v>8043</v>
      </c>
      <c r="D50" s="122" t="str">
        <f>IFERROR(__xludf.DUMMYFUNCTION("""COMPUTED_VALUE"""),"Jayden Hong")</f>
        <v>Jayden Hong</v>
      </c>
      <c r="E50" s="122" t="str">
        <f>IFERROR(__xludf.DUMMYFUNCTION("""COMPUTED_VALUE"""),"SNAX")</f>
        <v>SNAX</v>
      </c>
      <c r="F50" s="122" t="str">
        <f>IFERROR(__xludf.DUMMYFUNCTION("""COMPUTED_VALUE"""),"BUY")</f>
        <v>BUY</v>
      </c>
      <c r="G50" s="122">
        <f>IFERROR(__xludf.DUMMYFUNCTION("""COMPUTED_VALUE"""),127.0)</f>
        <v>127</v>
      </c>
      <c r="H50" s="122" t="str">
        <f>IFERROR(__xludf.DUMMYFUNCTION("""COMPUTED_VALUE"""),"It appears to be going up so I think people will buy it")</f>
        <v>It appears to be going up so I think people will buy it</v>
      </c>
      <c r="I50" s="126">
        <f>IFERROR(__xludf.DUMMYFUNCTION("""COMPUTED_VALUE"""),46185.0)</f>
        <v>46185</v>
      </c>
      <c r="J50" s="122">
        <f>IFERROR(__xludf.DUMMYFUNCTION("""COMPUTED_VALUE"""),111.59)</f>
        <v>111.59</v>
      </c>
      <c r="K50" s="122">
        <f>IFERROR(__xludf.DUMMYFUNCTION("""COMPUTED_VALUE"""),0.1213)</f>
        <v>0.1213</v>
      </c>
      <c r="L50" s="122" t="str">
        <f>IFERROR(__xludf.DUMMYFUNCTION("""COMPUTED_VALUE"""),"Missed")</f>
        <v>Missed</v>
      </c>
      <c r="M50" s="122">
        <f>IFERROR(__xludf.DUMMYFUNCTION("""COMPUTED_VALUE"""),0.0)</f>
        <v>0</v>
      </c>
    </row>
    <row r="51">
      <c r="A51" s="131">
        <f>IFERROR(__xludf.DUMMYFUNCTION("""COMPUTED_VALUE"""),46185.59625)</f>
        <v>46185.59625</v>
      </c>
      <c r="B51" s="126">
        <f>IFERROR(__xludf.DUMMYFUNCTION("""COMPUTED_VALUE"""),46185.0)</f>
        <v>46185</v>
      </c>
      <c r="C51" s="122">
        <f>IFERROR(__xludf.DUMMYFUNCTION("""COMPUTED_VALUE"""),4346.0)</f>
        <v>4346</v>
      </c>
      <c r="D51" s="122" t="str">
        <f>IFERROR(__xludf.DUMMYFUNCTION("""COMPUTED_VALUE"""),"Shay Baek")</f>
        <v>Shay Baek</v>
      </c>
      <c r="E51" s="122" t="str">
        <f>IFERROR(__xludf.DUMMYFUNCTION("""COMPUTED_VALUE"""),"TBIL")</f>
        <v>TBIL</v>
      </c>
      <c r="F51" s="122" t="str">
        <f>IFERROR(__xludf.DUMMYFUNCTION("""COMPUTED_VALUE"""),"HOLD")</f>
        <v>HOLD</v>
      </c>
      <c r="G51" s="122">
        <f>IFERROR(__xludf.DUMMYFUNCTION("""COMPUTED_VALUE"""),98.26)</f>
        <v>98.26</v>
      </c>
      <c r="H51" s="122" t="str">
        <f>IFERROR(__xludf.DUMMYFUNCTION("""COMPUTED_VALUE"""),"Because it is stable")</f>
        <v>Because it is stable</v>
      </c>
      <c r="I51" s="126">
        <f>IFERROR(__xludf.DUMMYFUNCTION("""COMPUTED_VALUE"""),46185.0)</f>
        <v>46185</v>
      </c>
      <c r="J51" s="122">
        <f>IFERROR(__xludf.DUMMYFUNCTION("""COMPUTED_VALUE"""),98.1)</f>
        <v>98.1</v>
      </c>
      <c r="K51" s="122">
        <f>IFERROR(__xludf.DUMMYFUNCTION("""COMPUTED_VALUE"""),0.0016)</f>
        <v>0.0016</v>
      </c>
      <c r="L51" s="122" t="str">
        <f>IFERROR(__xludf.DUMMYFUNCTION("""COMPUTED_VALUE"""),"Rewarded")</f>
        <v>Rewarded</v>
      </c>
      <c r="M51" s="122">
        <f>IFERROR(__xludf.DUMMYFUNCTION("""COMPUTED_VALUE"""),100.0)</f>
        <v>100</v>
      </c>
    </row>
    <row r="52">
      <c r="A52" s="131">
        <f>IFERROR(__xludf.DUMMYFUNCTION("""COMPUTED_VALUE"""),46185.59642361111)</f>
        <v>46185.59642</v>
      </c>
      <c r="B52" s="126">
        <f>IFERROR(__xludf.DUMMYFUNCTION("""COMPUTED_VALUE"""),46185.0)</f>
        <v>46185</v>
      </c>
      <c r="C52" s="122">
        <f>IFERROR(__xludf.DUMMYFUNCTION("""COMPUTED_VALUE"""),1117.0)</f>
        <v>1117</v>
      </c>
      <c r="D52" s="122" t="str">
        <f>IFERROR(__xludf.DUMMYFUNCTION("""COMPUTED_VALUE"""),"Hyeonjun Kim")</f>
        <v>Hyeonjun Kim</v>
      </c>
      <c r="E52" s="122" t="str">
        <f>IFERROR(__xludf.DUMMYFUNCTION("""COMPUTED_VALUE"""),"SNAX")</f>
        <v>SNAX</v>
      </c>
      <c r="F52" s="122" t="str">
        <f>IFERROR(__xludf.DUMMYFUNCTION("""COMPUTED_VALUE"""),"BUY")</f>
        <v>BUY</v>
      </c>
      <c r="G52" s="122">
        <f>IFERROR(__xludf.DUMMYFUNCTION("""COMPUTED_VALUE"""),60.0)</f>
        <v>60</v>
      </c>
      <c r="H52" s="122" t="str">
        <f>IFERROR(__xludf.DUMMYFUNCTION("""COMPUTED_VALUE"""),"Trust me gng")</f>
        <v>Trust me gng</v>
      </c>
      <c r="I52" s="126">
        <f>IFERROR(__xludf.DUMMYFUNCTION("""COMPUTED_VALUE"""),46185.0)</f>
        <v>46185</v>
      </c>
      <c r="J52" s="122">
        <f>IFERROR(__xludf.DUMMYFUNCTION("""COMPUTED_VALUE"""),111.59)</f>
        <v>111.59</v>
      </c>
      <c r="K52" s="122">
        <f>IFERROR(__xludf.DUMMYFUNCTION("""COMPUTED_VALUE"""),0.8598)</f>
        <v>0.8598</v>
      </c>
      <c r="L52" s="122" t="str">
        <f>IFERROR(__xludf.DUMMYFUNCTION("""COMPUTED_VALUE"""),"Missed")</f>
        <v>Missed</v>
      </c>
      <c r="M52" s="122">
        <f>IFERROR(__xludf.DUMMYFUNCTION("""COMPUTED_VALUE"""),0.0)</f>
        <v>0</v>
      </c>
    </row>
    <row r="53">
      <c r="A53" s="131">
        <f>IFERROR(__xludf.DUMMYFUNCTION("""COMPUTED_VALUE"""),46185.59674768518)</f>
        <v>46185.59675</v>
      </c>
      <c r="B53" s="126">
        <f>IFERROR(__xludf.DUMMYFUNCTION("""COMPUTED_VALUE"""),46185.0)</f>
        <v>46185</v>
      </c>
      <c r="C53" s="122">
        <f>IFERROR(__xludf.DUMMYFUNCTION("""COMPUTED_VALUE"""),1117.0)</f>
        <v>1117</v>
      </c>
      <c r="D53" s="122" t="str">
        <f>IFERROR(__xludf.DUMMYFUNCTION("""COMPUTED_VALUE"""),"Hyeonjun Kim")</f>
        <v>Hyeonjun Kim</v>
      </c>
      <c r="E53" s="122" t="str">
        <f>IFERROR(__xludf.DUMMYFUNCTION("""COMPUTED_VALUE"""),"CHIP")</f>
        <v>CHIP</v>
      </c>
      <c r="F53" s="122" t="str">
        <f>IFERROR(__xludf.DUMMYFUNCTION("""COMPUTED_VALUE"""),"BUY")</f>
        <v>BUY</v>
      </c>
      <c r="G53" s="122">
        <f>IFERROR(__xludf.DUMMYFUNCTION("""COMPUTED_VALUE"""),62.0)</f>
        <v>62</v>
      </c>
      <c r="H53" s="122" t="str">
        <f>IFERROR(__xludf.DUMMYFUNCTION("""COMPUTED_VALUE"""),"This is real")</f>
        <v>This is real</v>
      </c>
      <c r="I53" s="126">
        <f>IFERROR(__xludf.DUMMYFUNCTION("""COMPUTED_VALUE"""),46185.0)</f>
        <v>46185</v>
      </c>
      <c r="J53" s="122">
        <f>IFERROR(__xludf.DUMMYFUNCTION("""COMPUTED_VALUE"""),72.38)</f>
        <v>72.38</v>
      </c>
      <c r="K53" s="122">
        <f>IFERROR(__xludf.DUMMYFUNCTION("""COMPUTED_VALUE"""),0.1674)</f>
        <v>0.1674</v>
      </c>
      <c r="L53" s="122" t="str">
        <f>IFERROR(__xludf.DUMMYFUNCTION("""COMPUTED_VALUE"""),"Missed")</f>
        <v>Missed</v>
      </c>
      <c r="M53" s="122">
        <f>IFERROR(__xludf.DUMMYFUNCTION("""COMPUTED_VALUE"""),0.0)</f>
        <v>0</v>
      </c>
    </row>
    <row r="54">
      <c r="A54" s="131">
        <f>IFERROR(__xludf.DUMMYFUNCTION("""COMPUTED_VALUE"""),46185.59707175926)</f>
        <v>46185.59707</v>
      </c>
      <c r="B54" s="126">
        <f>IFERROR(__xludf.DUMMYFUNCTION("""COMPUTED_VALUE"""),46185.0)</f>
        <v>46185</v>
      </c>
      <c r="C54" s="122">
        <f>IFERROR(__xludf.DUMMYFUNCTION("""COMPUTED_VALUE"""),1117.0)</f>
        <v>1117</v>
      </c>
      <c r="D54" s="122" t="str">
        <f>IFERROR(__xludf.DUMMYFUNCTION("""COMPUTED_VALUE"""),"Hyeonjun Kim")</f>
        <v>Hyeonjun Kim</v>
      </c>
      <c r="E54" s="122" t="str">
        <f>IFERROR(__xludf.DUMMYFUNCTION("""COMPUTED_VALUE"""),"SNAX")</f>
        <v>SNAX</v>
      </c>
      <c r="F54" s="122" t="str">
        <f>IFERROR(__xludf.DUMMYFUNCTION("""COMPUTED_VALUE"""),"BUY")</f>
        <v>BUY</v>
      </c>
      <c r="G54" s="122">
        <f>IFERROR(__xludf.DUMMYFUNCTION("""COMPUTED_VALUE"""),64.0)</f>
        <v>64</v>
      </c>
      <c r="H54" s="122" t="str">
        <f>IFERROR(__xludf.DUMMYFUNCTION("""COMPUTED_VALUE"""),"Minimum 10")</f>
        <v>Minimum 10</v>
      </c>
      <c r="I54" s="126">
        <f>IFERROR(__xludf.DUMMYFUNCTION("""COMPUTED_VALUE"""),46185.0)</f>
        <v>46185</v>
      </c>
      <c r="J54" s="122">
        <f>IFERROR(__xludf.DUMMYFUNCTION("""COMPUTED_VALUE"""),111.59)</f>
        <v>111.59</v>
      </c>
      <c r="K54" s="122">
        <f>IFERROR(__xludf.DUMMYFUNCTION("""COMPUTED_VALUE"""),0.7436)</f>
        <v>0.7436</v>
      </c>
      <c r="L54" s="122" t="str">
        <f>IFERROR(__xludf.DUMMYFUNCTION("""COMPUTED_VALUE"""),"Missed")</f>
        <v>Missed</v>
      </c>
      <c r="M54" s="122">
        <f>IFERROR(__xludf.DUMMYFUNCTION("""COMPUTED_VALUE"""),0.0)</f>
        <v>0</v>
      </c>
    </row>
    <row r="55">
      <c r="A55" s="131">
        <f>IFERROR(__xludf.DUMMYFUNCTION("""COMPUTED_VALUE"""),46185.59842592593)</f>
        <v>46185.59843</v>
      </c>
      <c r="B55" s="126">
        <f>IFERROR(__xludf.DUMMYFUNCTION("""COMPUTED_VALUE"""),46185.0)</f>
        <v>46185</v>
      </c>
      <c r="C55" s="122">
        <f>IFERROR(__xludf.DUMMYFUNCTION("""COMPUTED_VALUE"""),6742.0)</f>
        <v>6742</v>
      </c>
      <c r="D55" s="122" t="str">
        <f>IFERROR(__xludf.DUMMYFUNCTION("""COMPUTED_VALUE"""),"Raoul Kim")</f>
        <v>Raoul Kim</v>
      </c>
      <c r="E55" s="122" t="str">
        <f>IFERROR(__xludf.DUMMYFUNCTION("""COMPUTED_VALUE"""),"SNAX")</f>
        <v>SNAX</v>
      </c>
      <c r="F55" s="122" t="str">
        <f>IFERROR(__xludf.DUMMYFUNCTION("""COMPUTED_VALUE"""),"BUY")</f>
        <v>BUY</v>
      </c>
      <c r="G55" s="122">
        <f>IFERROR(__xludf.DUMMYFUNCTION("""COMPUTED_VALUE"""),108.0)</f>
        <v>108</v>
      </c>
      <c r="H55" s="122" t="str">
        <f>IFERROR(__xludf.DUMMYFUNCTION("""COMPUTED_VALUE"""),"I think Mica Snacks will increase very slowly till the end of today")</f>
        <v>I think Mica Snacks will increase very slowly till the end of today</v>
      </c>
      <c r="I55" s="126">
        <f>IFERROR(__xludf.DUMMYFUNCTION("""COMPUTED_VALUE"""),46185.0)</f>
        <v>46185</v>
      </c>
      <c r="J55" s="122">
        <f>IFERROR(__xludf.DUMMYFUNCTION("""COMPUTED_VALUE"""),111.59)</f>
        <v>111.59</v>
      </c>
      <c r="K55" s="122">
        <f>IFERROR(__xludf.DUMMYFUNCTION("""COMPUTED_VALUE"""),0.0332)</f>
        <v>0.0332</v>
      </c>
      <c r="L55" s="122" t="str">
        <f>IFERROR(__xludf.DUMMYFUNCTION("""COMPUTED_VALUE"""),"Rewarded")</f>
        <v>Rewarded</v>
      </c>
      <c r="M55" s="122">
        <f>IFERROR(__xludf.DUMMYFUNCTION("""COMPUTED_VALUE"""),50.0)</f>
        <v>50</v>
      </c>
    </row>
    <row r="56">
      <c r="A56" s="131">
        <f>IFERROR(__xludf.DUMMYFUNCTION("""COMPUTED_VALUE"""),46185.5997337963)</f>
        <v>46185.59973</v>
      </c>
      <c r="B56" s="126">
        <f>IFERROR(__xludf.DUMMYFUNCTION("""COMPUTED_VALUE"""),46185.0)</f>
        <v>46185</v>
      </c>
      <c r="C56" s="122">
        <f>IFERROR(__xludf.DUMMYFUNCTION("""COMPUTED_VALUE"""),6050.0)</f>
        <v>6050</v>
      </c>
      <c r="D56" s="122" t="str">
        <f>IFERROR(__xludf.DUMMYFUNCTION("""COMPUTED_VALUE"""),"Claire Jeong")</f>
        <v>Claire Jeong</v>
      </c>
      <c r="E56" s="122" t="str">
        <f>IFERROR(__xludf.DUMMYFUNCTION("""COMPUTED_VALUE"""),"SNAX")</f>
        <v>SNAX</v>
      </c>
      <c r="F56" s="122" t="str">
        <f>IFERROR(__xludf.DUMMYFUNCTION("""COMPUTED_VALUE"""),"BUY")</f>
        <v>BUY</v>
      </c>
      <c r="G56" s="122">
        <f>IFERROR(__xludf.DUMMYFUNCTION("""COMPUTED_VALUE"""),60000.0)</f>
        <v>60000</v>
      </c>
      <c r="H56" s="122" t="str">
        <f>IFERROR(__xludf.DUMMYFUNCTION("""COMPUTED_VALUE"""),"I don’t have a reason I just decided to spend every money")</f>
        <v>I don’t have a reason I just decided to spend every money</v>
      </c>
      <c r="I56" s="126">
        <f>IFERROR(__xludf.DUMMYFUNCTION("""COMPUTED_VALUE"""),46185.0)</f>
        <v>46185</v>
      </c>
      <c r="J56" s="122">
        <f>IFERROR(__xludf.DUMMYFUNCTION("""COMPUTED_VALUE"""),111.59)</f>
        <v>111.59</v>
      </c>
      <c r="K56" s="122">
        <f>IFERROR(__xludf.DUMMYFUNCTION("""COMPUTED_VALUE"""),0.9981)</f>
        <v>0.9981</v>
      </c>
      <c r="L56" s="122" t="str">
        <f>IFERROR(__xludf.DUMMYFUNCTION("""COMPUTED_VALUE"""),"Missed")</f>
        <v>Missed</v>
      </c>
      <c r="M56" s="122">
        <f>IFERROR(__xludf.DUMMYFUNCTION("""COMPUTED_VALUE"""),0.0)</f>
        <v>0</v>
      </c>
    </row>
    <row r="57">
      <c r="A57" s="131">
        <f>IFERROR(__xludf.DUMMYFUNCTION("""COMPUTED_VALUE"""),46185.60288194445)</f>
        <v>46185.60288</v>
      </c>
      <c r="B57" s="126">
        <f>IFERROR(__xludf.DUMMYFUNCTION("""COMPUTED_VALUE"""),46185.0)</f>
        <v>46185</v>
      </c>
      <c r="C57" s="122">
        <f>IFERROR(__xludf.DUMMYFUNCTION("""COMPUTED_VALUE"""),6050.0)</f>
        <v>6050</v>
      </c>
      <c r="D57" s="122" t="str">
        <f>IFERROR(__xludf.DUMMYFUNCTION("""COMPUTED_VALUE"""),"Claire Jeong")</f>
        <v>Claire Jeong</v>
      </c>
      <c r="E57" s="122" t="str">
        <f>IFERROR(__xludf.DUMMYFUNCTION("""COMPUTED_VALUE"""),"RAMN")</f>
        <v>RAMN</v>
      </c>
      <c r="F57" s="122" t="str">
        <f>IFERROR(__xludf.DUMMYFUNCTION("""COMPUTED_VALUE"""),"BUY")</f>
        <v>BUY</v>
      </c>
      <c r="G57" s="122">
        <f>IFERROR(__xludf.DUMMYFUNCTION("""COMPUTED_VALUE"""),1000.0)</f>
        <v>1000</v>
      </c>
      <c r="H57" s="122" t="str">
        <f>IFERROR(__xludf.DUMMYFUNCTION("""COMPUTED_VALUE"""),"I want more money")</f>
        <v>I want more money</v>
      </c>
      <c r="I57" s="126">
        <f>IFERROR(__xludf.DUMMYFUNCTION("""COMPUTED_VALUE"""),46185.0)</f>
        <v>46185</v>
      </c>
      <c r="J57" s="122">
        <f>IFERROR(__xludf.DUMMYFUNCTION("""COMPUTED_VALUE"""),81.47)</f>
        <v>81.47</v>
      </c>
      <c r="K57" s="122">
        <f>IFERROR(__xludf.DUMMYFUNCTION("""COMPUTED_VALUE"""),0.9185)</f>
        <v>0.9185</v>
      </c>
      <c r="L57" s="122" t="str">
        <f>IFERROR(__xludf.DUMMYFUNCTION("""COMPUTED_VALUE"""),"Missed")</f>
        <v>Missed</v>
      </c>
      <c r="M57" s="122">
        <f>IFERROR(__xludf.DUMMYFUNCTION("""COMPUTED_VALUE"""),0.0)</f>
        <v>0</v>
      </c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IFERROR(__xludf.DUMMYFUNCTION("IMPORTRANGE(""1R2r21OUCmsRB4LtOboB6fOM_WL3_ezt7cytLM-cfMvg"",""Stock_Market!A:O"")"),"Ticker")</f>
        <v>Ticker</v>
      </c>
      <c r="B1" s="122" t="str">
        <f>IFERROR(__xludf.DUMMYFUNCTION("""COMPUTED_VALUE"""),"Company_Name")</f>
        <v>Company_Name</v>
      </c>
      <c r="C1" s="122" t="str">
        <f>IFERROR(__xludf.DUMMYFUNCTION("""COMPUTED_VALUE"""),"Sector")</f>
        <v>Sector</v>
      </c>
      <c r="D1" s="60" t="str">
        <f>IFERROR(__xludf.DUMMYFUNCTION("""COMPUTED_VALUE"""),"Current_Price")</f>
        <v>Current_Price</v>
      </c>
      <c r="E1" s="60" t="str">
        <f>IFERROR(__xludf.DUMMYFUNCTION("""COMPUTED_VALUE"""),"Previous_Price")</f>
        <v>Previous_Price</v>
      </c>
      <c r="F1" s="122" t="str">
        <f>IFERROR(__xludf.DUMMYFUNCTION("""COMPUTED_VALUE"""),"Change_%")</f>
        <v>Change_%</v>
      </c>
      <c r="G1" s="60" t="str">
        <f>IFERROR(__xludf.DUMMYFUNCTION("""COMPUTED_VALUE"""),"Change_Amount")</f>
        <v>Change_Amount</v>
      </c>
      <c r="H1" s="122" t="str">
        <f>IFERROR(__xludf.DUMMYFUNCTION("""COMPUTED_VALUE"""),"Volatility")</f>
        <v>Volatility</v>
      </c>
      <c r="I1" s="122" t="str">
        <f>IFERROR(__xludf.DUMMYFUNCTION("""COMPUTED_VALUE"""),"Trend")</f>
        <v>Trend</v>
      </c>
      <c r="J1" s="122" t="str">
        <f>IFERROR(__xludf.DUMMYFUNCTION("""COMPUTED_VALUE"""),"Active")</f>
        <v>Active</v>
      </c>
      <c r="K1" s="122" t="str">
        <f>IFERROR(__xludf.DUMMYFUNCTION("""COMPUTED_VALUE"""),"Last_Updated")</f>
        <v>Last_Updated</v>
      </c>
      <c r="L1" s="122" t="str">
        <f>IFERROR(__xludf.DUMMYFUNCTION("""COMPUTED_VALUE"""),"Asset_Type")</f>
        <v>Asset_Type</v>
      </c>
      <c r="M1" s="122" t="str">
        <f>IFERROR(__xludf.DUMMYFUNCTION("""COMPUTED_VALUE"""),"Stable_Volatility")</f>
        <v>Stable_Volatility</v>
      </c>
      <c r="N1" s="122" t="str">
        <f>IFERROR(__xludf.DUMMYFUNCTION("""COMPUTED_VALUE"""),"Shock_Protected")</f>
        <v>Shock_Protected</v>
      </c>
      <c r="O1" s="122" t="str">
        <f>IFERROR(__xludf.DUMMYFUNCTION("""COMPUTED_VALUE"""),"Coupon_Rate")</f>
        <v>Coupon_Rate</v>
      </c>
    </row>
    <row r="2">
      <c r="A2" s="122" t="str">
        <f>IFERROR(__xludf.DUMMYFUNCTION("""COMPUTED_VALUE"""),"SNAX")</f>
        <v>SNAX</v>
      </c>
      <c r="B2" s="122" t="str">
        <f>IFERROR(__xludf.DUMMYFUNCTION("""COMPUTED_VALUE"""),"MICA Snacks")</f>
        <v>MICA Snacks</v>
      </c>
      <c r="C2" s="122" t="str">
        <f>IFERROR(__xludf.DUMMYFUNCTION("""COMPUTED_VALUE"""),"Consumer Goods")</f>
        <v>Consumer Goods</v>
      </c>
      <c r="D2" s="60">
        <f>IFERROR(__xludf.DUMMYFUNCTION("""COMPUTED_VALUE"""),122.55)</f>
        <v>122.55</v>
      </c>
      <c r="E2" s="60">
        <f>IFERROR(__xludf.DUMMYFUNCTION("""COMPUTED_VALUE"""),122.59)</f>
        <v>122.59</v>
      </c>
      <c r="F2" s="132">
        <f>IFERROR(__xludf.DUMMYFUNCTION("""COMPUTED_VALUE"""),-3.0E-4)</f>
        <v>-0.0003</v>
      </c>
      <c r="G2" s="60">
        <f>IFERROR(__xludf.DUMMYFUNCTION("""COMPUTED_VALUE"""),-0.04)</f>
        <v>-0.04</v>
      </c>
      <c r="H2" s="240">
        <f>IFERROR(__xludf.DUMMYFUNCTION("""COMPUTED_VALUE"""),6.98)</f>
        <v>6.98</v>
      </c>
      <c r="I2" s="240" t="str">
        <f>IFERROR(__xludf.DUMMYFUNCTION("""COMPUTED_VALUE"""),"Stable")</f>
        <v>Stable</v>
      </c>
      <c r="J2" s="122" t="str">
        <f>IFERROR(__xludf.DUMMYFUNCTION("""COMPUTED_VALUE"""),"Yes")</f>
        <v>Yes</v>
      </c>
      <c r="K2" s="131">
        <f>IFERROR(__xludf.DUMMYFUNCTION("""COMPUTED_VALUE"""),46187.706400462965)</f>
        <v>46187.7064</v>
      </c>
      <c r="L2" s="122" t="str">
        <f>IFERROR(__xludf.DUMMYFUNCTION("""COMPUTED_VALUE"""),"STOCK")</f>
        <v>STOCK</v>
      </c>
      <c r="M2" s="122"/>
      <c r="N2" s="122" t="str">
        <f>IFERROR(__xludf.DUMMYFUNCTION("""COMPUTED_VALUE"""),"No")</f>
        <v>No</v>
      </c>
      <c r="O2" s="122"/>
    </row>
    <row r="3">
      <c r="A3" s="122" t="str">
        <f>IFERROR(__xludf.DUMMYFUNCTION("""COMPUTED_VALUE"""),"RAMN")</f>
        <v>RAMN</v>
      </c>
      <c r="B3" s="122" t="str">
        <f>IFERROR(__xludf.DUMMYFUNCTION("""COMPUTED_VALUE"""),"Ramen Republic")</f>
        <v>Ramen Republic</v>
      </c>
      <c r="C3" s="122" t="str">
        <f>IFERROR(__xludf.DUMMYFUNCTION("""COMPUTED_VALUE"""),"Food")</f>
        <v>Food</v>
      </c>
      <c r="D3" s="60">
        <f>IFERROR(__xludf.DUMMYFUNCTION("""COMPUTED_VALUE"""),58.7)</f>
        <v>58.7</v>
      </c>
      <c r="E3" s="60">
        <f>IFERROR(__xludf.DUMMYFUNCTION("""COMPUTED_VALUE"""),58.68)</f>
        <v>58.68</v>
      </c>
      <c r="F3" s="132">
        <f>IFERROR(__xludf.DUMMYFUNCTION("""COMPUTED_VALUE"""),3.0E-4)</f>
        <v>0.0003</v>
      </c>
      <c r="G3" s="60">
        <f>IFERROR(__xludf.DUMMYFUNCTION("""COMPUTED_VALUE"""),0.02)</f>
        <v>0.02</v>
      </c>
      <c r="H3" s="240">
        <f>IFERROR(__xludf.DUMMYFUNCTION("""COMPUTED_VALUE"""),5.71)</f>
        <v>5.71</v>
      </c>
      <c r="I3" s="240" t="str">
        <f>IFERROR(__xludf.DUMMYFUNCTION("""COMPUTED_VALUE"""),"Crash")</f>
        <v>Crash</v>
      </c>
      <c r="J3" s="122" t="str">
        <f>IFERROR(__xludf.DUMMYFUNCTION("""COMPUTED_VALUE"""),"Yes")</f>
        <v>Yes</v>
      </c>
      <c r="K3" s="131">
        <f>IFERROR(__xludf.DUMMYFUNCTION("""COMPUTED_VALUE"""),46187.706400462965)</f>
        <v>46187.7064</v>
      </c>
      <c r="L3" s="122" t="str">
        <f>IFERROR(__xludf.DUMMYFUNCTION("""COMPUTED_VALUE"""),"STOCK")</f>
        <v>STOCK</v>
      </c>
      <c r="M3" s="122"/>
      <c r="N3" s="122" t="str">
        <f>IFERROR(__xludf.DUMMYFUNCTION("""COMPUTED_VALUE"""),"No")</f>
        <v>No</v>
      </c>
      <c r="O3" s="122"/>
    </row>
    <row r="4">
      <c r="A4" s="122" t="str">
        <f>IFERROR(__xludf.DUMMYFUNCTION("""COMPUTED_VALUE"""),"COLA")</f>
        <v>COLA</v>
      </c>
      <c r="B4" s="122" t="str">
        <f>IFERROR(__xludf.DUMMYFUNCTION("""COMPUTED_VALUE"""),"K-Pop Cola")</f>
        <v>K-Pop Cola</v>
      </c>
      <c r="C4" s="122" t="str">
        <f>IFERROR(__xludf.DUMMYFUNCTION("""COMPUTED_VALUE"""),"Beverage")</f>
        <v>Beverage</v>
      </c>
      <c r="D4" s="60">
        <f>IFERROR(__xludf.DUMMYFUNCTION("""COMPUTED_VALUE"""),116.04)</f>
        <v>116.04</v>
      </c>
      <c r="E4" s="60">
        <f>IFERROR(__xludf.DUMMYFUNCTION("""COMPUTED_VALUE"""),115.84)</f>
        <v>115.84</v>
      </c>
      <c r="F4" s="132">
        <f>IFERROR(__xludf.DUMMYFUNCTION("""COMPUTED_VALUE"""),0.0017)</f>
        <v>0.0017</v>
      </c>
      <c r="G4" s="60">
        <f>IFERROR(__xludf.DUMMYFUNCTION("""COMPUTED_VALUE"""),0.2)</f>
        <v>0.2</v>
      </c>
      <c r="H4" s="240">
        <f>IFERROR(__xludf.DUMMYFUNCTION("""COMPUTED_VALUE"""),7.19)</f>
        <v>7.19</v>
      </c>
      <c r="I4" s="240" t="str">
        <f>IFERROR(__xludf.DUMMYFUNCTION("""COMPUTED_VALUE"""),"Growth")</f>
        <v>Growth</v>
      </c>
      <c r="J4" s="122" t="str">
        <f>IFERROR(__xludf.DUMMYFUNCTION("""COMPUTED_VALUE"""),"Yes")</f>
        <v>Yes</v>
      </c>
      <c r="K4" s="131">
        <f>IFERROR(__xludf.DUMMYFUNCTION("""COMPUTED_VALUE"""),46187.706400462965)</f>
        <v>46187.7064</v>
      </c>
      <c r="L4" s="122" t="str">
        <f>IFERROR(__xludf.DUMMYFUNCTION("""COMPUTED_VALUE"""),"STOCK")</f>
        <v>STOCK</v>
      </c>
      <c r="M4" s="122"/>
      <c r="N4" s="122" t="str">
        <f>IFERROR(__xludf.DUMMYFUNCTION("""COMPUTED_VALUE"""),"No")</f>
        <v>No</v>
      </c>
      <c r="O4" s="122"/>
    </row>
    <row r="5">
      <c r="A5" s="122" t="str">
        <f>IFERROR(__xludf.DUMMYFUNCTION("""COMPUTED_VALUE"""),"CHIP")</f>
        <v>CHIP</v>
      </c>
      <c r="B5" s="122" t="str">
        <f>IFERROR(__xludf.DUMMYFUNCTION("""COMPUTED_VALUE"""),"Chip Empire")</f>
        <v>Chip Empire</v>
      </c>
      <c r="C5" s="122" t="str">
        <f>IFERROR(__xludf.DUMMYFUNCTION("""COMPUTED_VALUE"""),"Consumer Goods")</f>
        <v>Consumer Goods</v>
      </c>
      <c r="D5" s="60">
        <f>IFERROR(__xludf.DUMMYFUNCTION("""COMPUTED_VALUE"""),81.96)</f>
        <v>81.96</v>
      </c>
      <c r="E5" s="60">
        <f>IFERROR(__xludf.DUMMYFUNCTION("""COMPUTED_VALUE"""),82.63)</f>
        <v>82.63</v>
      </c>
      <c r="F5" s="132">
        <f>IFERROR(__xludf.DUMMYFUNCTION("""COMPUTED_VALUE"""),-0.0081)</f>
        <v>-0.0081</v>
      </c>
      <c r="G5" s="60">
        <f>IFERROR(__xludf.DUMMYFUNCTION("""COMPUTED_VALUE"""),-0.67)</f>
        <v>-0.67</v>
      </c>
      <c r="H5" s="240">
        <f>IFERROR(__xludf.DUMMYFUNCTION("""COMPUTED_VALUE"""),9.9)</f>
        <v>9.9</v>
      </c>
      <c r="I5" s="240" t="str">
        <f>IFERROR(__xludf.DUMMYFUNCTION("""COMPUTED_VALUE"""),"Stable")</f>
        <v>Stable</v>
      </c>
      <c r="J5" s="122" t="str">
        <f>IFERROR(__xludf.DUMMYFUNCTION("""COMPUTED_VALUE"""),"Yes")</f>
        <v>Yes</v>
      </c>
      <c r="K5" s="131">
        <f>IFERROR(__xludf.DUMMYFUNCTION("""COMPUTED_VALUE"""),46187.706400462965)</f>
        <v>46187.7064</v>
      </c>
      <c r="L5" s="122" t="str">
        <f>IFERROR(__xludf.DUMMYFUNCTION("""COMPUTED_VALUE"""),"STOCK")</f>
        <v>STOCK</v>
      </c>
      <c r="M5" s="122"/>
      <c r="N5" s="122" t="str">
        <f>IFERROR(__xludf.DUMMYFUNCTION("""COMPUTED_VALUE"""),"No")</f>
        <v>No</v>
      </c>
      <c r="O5" s="122"/>
    </row>
    <row r="6">
      <c r="A6" s="122" t="str">
        <f>IFERROR(__xludf.DUMMYFUNCTION("""COMPUTED_VALUE"""),"CAND")</f>
        <v>CAND</v>
      </c>
      <c r="B6" s="122" t="str">
        <f>IFERROR(__xludf.DUMMYFUNCTION("""COMPUTED_VALUE"""),"Candy Capital")</f>
        <v>Candy Capital</v>
      </c>
      <c r="C6" s="122" t="str">
        <f>IFERROR(__xludf.DUMMYFUNCTION("""COMPUTED_VALUE"""),"Consumer Goods")</f>
        <v>Consumer Goods</v>
      </c>
      <c r="D6" s="60">
        <f>IFERROR(__xludf.DUMMYFUNCTION("""COMPUTED_VALUE"""),77.29)</f>
        <v>77.29</v>
      </c>
      <c r="E6" s="60">
        <f>IFERROR(__xludf.DUMMYFUNCTION("""COMPUTED_VALUE"""),77.03)</f>
        <v>77.03</v>
      </c>
      <c r="F6" s="132">
        <f>IFERROR(__xludf.DUMMYFUNCTION("""COMPUTED_VALUE"""),0.0034)</f>
        <v>0.0034</v>
      </c>
      <c r="G6" s="60">
        <f>IFERROR(__xludf.DUMMYFUNCTION("""COMPUTED_VALUE"""),0.26)</f>
        <v>0.26</v>
      </c>
      <c r="H6" s="240">
        <f>IFERROR(__xludf.DUMMYFUNCTION("""COMPUTED_VALUE"""),8.87)</f>
        <v>8.87</v>
      </c>
      <c r="I6" s="240" t="str">
        <f>IFERROR(__xludf.DUMMYFUNCTION("""COMPUTED_VALUE"""),"Stable")</f>
        <v>Stable</v>
      </c>
      <c r="J6" s="122" t="str">
        <f>IFERROR(__xludf.DUMMYFUNCTION("""COMPUTED_VALUE"""),"Yes")</f>
        <v>Yes</v>
      </c>
      <c r="K6" s="131">
        <f>IFERROR(__xludf.DUMMYFUNCTION("""COMPUTED_VALUE"""),46187.706400462965)</f>
        <v>46187.7064</v>
      </c>
      <c r="L6" s="122" t="str">
        <f>IFERROR(__xludf.DUMMYFUNCTION("""COMPUTED_VALUE"""),"STOCK")</f>
        <v>STOCK</v>
      </c>
      <c r="M6" s="122"/>
      <c r="N6" s="122" t="str">
        <f>IFERROR(__xludf.DUMMYFUNCTION("""COMPUTED_VALUE"""),"No")</f>
        <v>No</v>
      </c>
      <c r="O6" s="122"/>
    </row>
    <row r="7">
      <c r="A7" s="122" t="str">
        <f>IFERROR(__xludf.DUMMYFUNCTION("""COMPUTED_VALUE"""),"TECH")</f>
        <v>TECH</v>
      </c>
      <c r="B7" s="122" t="str">
        <f>IFERROR(__xludf.DUMMYFUNCTION("""COMPUTED_VALUE"""),"Dragon Tech")</f>
        <v>Dragon Tech</v>
      </c>
      <c r="C7" s="122" t="str">
        <f>IFERROR(__xludf.DUMMYFUNCTION("""COMPUTED_VALUE"""),"Technology")</f>
        <v>Technology</v>
      </c>
      <c r="D7" s="60">
        <f>IFERROR(__xludf.DUMMYFUNCTION("""COMPUTED_VALUE"""),246.95)</f>
        <v>246.95</v>
      </c>
      <c r="E7" s="60">
        <f>IFERROR(__xludf.DUMMYFUNCTION("""COMPUTED_VALUE"""),248.84)</f>
        <v>248.84</v>
      </c>
      <c r="F7" s="132">
        <f>IFERROR(__xludf.DUMMYFUNCTION("""COMPUTED_VALUE"""),-0.0076)</f>
        <v>-0.0076</v>
      </c>
      <c r="G7" s="60">
        <f>IFERROR(__xludf.DUMMYFUNCTION("""COMPUTED_VALUE"""),-1.89)</f>
        <v>-1.89</v>
      </c>
      <c r="H7" s="240">
        <f>IFERROR(__xludf.DUMMYFUNCTION("""COMPUTED_VALUE"""),11.58)</f>
        <v>11.58</v>
      </c>
      <c r="I7" s="240" t="str">
        <f>IFERROR(__xludf.DUMMYFUNCTION("""COMPUTED_VALUE"""),"Growth")</f>
        <v>Growth</v>
      </c>
      <c r="J7" s="122" t="str">
        <f>IFERROR(__xludf.DUMMYFUNCTION("""COMPUTED_VALUE"""),"Yes")</f>
        <v>Yes</v>
      </c>
      <c r="K7" s="131">
        <f>IFERROR(__xludf.DUMMYFUNCTION("""COMPUTED_VALUE"""),46187.706400462965)</f>
        <v>46187.7064</v>
      </c>
      <c r="L7" s="122" t="str">
        <f>IFERROR(__xludf.DUMMYFUNCTION("""COMPUTED_VALUE"""),"STOCK")</f>
        <v>STOCK</v>
      </c>
      <c r="M7" s="122"/>
      <c r="N7" s="122" t="str">
        <f>IFERROR(__xludf.DUMMYFUNCTION("""COMPUTED_VALUE"""),"No")</f>
        <v>No</v>
      </c>
      <c r="O7" s="122"/>
    </row>
    <row r="8">
      <c r="A8" s="122" t="str">
        <f>IFERROR(__xludf.DUMMYFUNCTION("""COMPUTED_VALUE"""),"AIBO")</f>
        <v>AIBO</v>
      </c>
      <c r="B8" s="122" t="str">
        <f>IFERROR(__xludf.DUMMYFUNCTION("""COMPUTED_VALUE"""),"Homework AI")</f>
        <v>Homework AI</v>
      </c>
      <c r="C8" s="122" t="str">
        <f>IFERROR(__xludf.DUMMYFUNCTION("""COMPUTED_VALUE"""),"Technology")</f>
        <v>Technology</v>
      </c>
      <c r="D8" s="60">
        <f>IFERROR(__xludf.DUMMYFUNCTION("""COMPUTED_VALUE"""),194.32)</f>
        <v>194.32</v>
      </c>
      <c r="E8" s="60">
        <f>IFERROR(__xludf.DUMMYFUNCTION("""COMPUTED_VALUE"""),193.3)</f>
        <v>193.3</v>
      </c>
      <c r="F8" s="132">
        <f>IFERROR(__xludf.DUMMYFUNCTION("""COMPUTED_VALUE"""),0.0053)</f>
        <v>0.0053</v>
      </c>
      <c r="G8" s="60">
        <f>IFERROR(__xludf.DUMMYFUNCTION("""COMPUTED_VALUE"""),1.02)</f>
        <v>1.02</v>
      </c>
      <c r="H8" s="240">
        <f>IFERROR(__xludf.DUMMYFUNCTION("""COMPUTED_VALUE"""),13.0)</f>
        <v>13</v>
      </c>
      <c r="I8" s="240" t="str">
        <f>IFERROR(__xludf.DUMMYFUNCTION("""COMPUTED_VALUE"""),"Hot")</f>
        <v>Hot</v>
      </c>
      <c r="J8" s="122" t="str">
        <f>IFERROR(__xludf.DUMMYFUNCTION("""COMPUTED_VALUE"""),"Yes")</f>
        <v>Yes</v>
      </c>
      <c r="K8" s="131">
        <f>IFERROR(__xludf.DUMMYFUNCTION("""COMPUTED_VALUE"""),46187.706400462965)</f>
        <v>46187.7064</v>
      </c>
      <c r="L8" s="122" t="str">
        <f>IFERROR(__xludf.DUMMYFUNCTION("""COMPUTED_VALUE"""),"STOCK")</f>
        <v>STOCK</v>
      </c>
      <c r="M8" s="122"/>
      <c r="N8" s="122" t="str">
        <f>IFERROR(__xludf.DUMMYFUNCTION("""COMPUTED_VALUE"""),"No")</f>
        <v>No</v>
      </c>
      <c r="O8" s="122"/>
    </row>
    <row r="9">
      <c r="A9" s="122" t="str">
        <f>IFERROR(__xludf.DUMMYFUNCTION("""COMPUTED_VALUE"""),"GAME")</f>
        <v>GAME</v>
      </c>
      <c r="B9" s="122" t="str">
        <f>IFERROR(__xludf.DUMMYFUNCTION("""COMPUTED_VALUE"""),"GameBox Media")</f>
        <v>GameBox Media</v>
      </c>
      <c r="C9" s="122" t="str">
        <f>IFERROR(__xludf.DUMMYFUNCTION("""COMPUTED_VALUE"""),"Entertainment")</f>
        <v>Entertainment</v>
      </c>
      <c r="D9" s="60">
        <f>IFERROR(__xludf.DUMMYFUNCTION("""COMPUTED_VALUE"""),103.19)</f>
        <v>103.19</v>
      </c>
      <c r="E9" s="60">
        <f>IFERROR(__xludf.DUMMYFUNCTION("""COMPUTED_VALUE"""),103.79)</f>
        <v>103.79</v>
      </c>
      <c r="F9" s="132">
        <f>IFERROR(__xludf.DUMMYFUNCTION("""COMPUTED_VALUE"""),-0.0058)</f>
        <v>-0.0058</v>
      </c>
      <c r="G9" s="60">
        <f>IFERROR(__xludf.DUMMYFUNCTION("""COMPUTED_VALUE"""),-0.6)</f>
        <v>-0.6</v>
      </c>
      <c r="H9" s="240">
        <f>IFERROR(__xludf.DUMMYFUNCTION("""COMPUTED_VALUE"""),11.64)</f>
        <v>11.64</v>
      </c>
      <c r="I9" s="240" t="str">
        <f>IFERROR(__xludf.DUMMYFUNCTION("""COMPUTED_VALUE"""),"Stable")</f>
        <v>Stable</v>
      </c>
      <c r="J9" s="122" t="str">
        <f>IFERROR(__xludf.DUMMYFUNCTION("""COMPUTED_VALUE"""),"Yes")</f>
        <v>Yes</v>
      </c>
      <c r="K9" s="131">
        <f>IFERROR(__xludf.DUMMYFUNCTION("""COMPUTED_VALUE"""),46187.706400462965)</f>
        <v>46187.7064</v>
      </c>
      <c r="L9" s="122" t="str">
        <f>IFERROR(__xludf.DUMMYFUNCTION("""COMPUTED_VALUE"""),"STOCK")</f>
        <v>STOCK</v>
      </c>
      <c r="M9" s="122"/>
      <c r="N9" s="122" t="str">
        <f>IFERROR(__xludf.DUMMYFUNCTION("""COMPUTED_VALUE"""),"No")</f>
        <v>No</v>
      </c>
      <c r="O9" s="122"/>
    </row>
    <row r="10">
      <c r="A10" s="122" t="str">
        <f>IFERROR(__xludf.DUMMYFUNCTION("""COMPUTED_VALUE"""),"VRSE")</f>
        <v>VRSE</v>
      </c>
      <c r="B10" s="122" t="str">
        <f>IFERROR(__xludf.DUMMYFUNCTION("""COMPUTED_VALUE"""),"VerseVR")</f>
        <v>VerseVR</v>
      </c>
      <c r="C10" s="122" t="str">
        <f>IFERROR(__xludf.DUMMYFUNCTION("""COMPUTED_VALUE"""),"Technology")</f>
        <v>Technology</v>
      </c>
      <c r="D10" s="60">
        <f>IFERROR(__xludf.DUMMYFUNCTION("""COMPUTED_VALUE"""),146.1)</f>
        <v>146.1</v>
      </c>
      <c r="E10" s="60">
        <f>IFERROR(__xludf.DUMMYFUNCTION("""COMPUTED_VALUE"""),147.05)</f>
        <v>147.05</v>
      </c>
      <c r="F10" s="132">
        <f>IFERROR(__xludf.DUMMYFUNCTION("""COMPUTED_VALUE"""),-0.0065)</f>
        <v>-0.0065</v>
      </c>
      <c r="G10" s="60">
        <f>IFERROR(__xludf.DUMMYFUNCTION("""COMPUTED_VALUE"""),-0.95)</f>
        <v>-0.95</v>
      </c>
      <c r="H10" s="240">
        <f>IFERROR(__xludf.DUMMYFUNCTION("""COMPUTED_VALUE"""),11.08)</f>
        <v>11.08</v>
      </c>
      <c r="I10" s="240" t="str">
        <f>IFERROR(__xludf.DUMMYFUNCTION("""COMPUTED_VALUE"""),"Stable")</f>
        <v>Stable</v>
      </c>
      <c r="J10" s="122" t="str">
        <f>IFERROR(__xludf.DUMMYFUNCTION("""COMPUTED_VALUE"""),"Yes")</f>
        <v>Yes</v>
      </c>
      <c r="K10" s="131">
        <f>IFERROR(__xludf.DUMMYFUNCTION("""COMPUTED_VALUE"""),46187.706400462965)</f>
        <v>46187.7064</v>
      </c>
      <c r="L10" s="122" t="str">
        <f>IFERROR(__xludf.DUMMYFUNCTION("""COMPUTED_VALUE"""),"STOCK")</f>
        <v>STOCK</v>
      </c>
      <c r="M10" s="122"/>
      <c r="N10" s="122" t="str">
        <f>IFERROR(__xludf.DUMMYFUNCTION("""COMPUTED_VALUE"""),"No")</f>
        <v>No</v>
      </c>
      <c r="O10" s="122"/>
    </row>
    <row r="11">
      <c r="A11" s="122" t="str">
        <f>IFERROR(__xludf.DUMMYFUNCTION("""COMPUTED_VALUE"""),"BYTE")</f>
        <v>BYTE</v>
      </c>
      <c r="B11" s="122" t="str">
        <f>IFERROR(__xludf.DUMMYFUNCTION("""COMPUTED_VALUE"""),"ByteWorks")</f>
        <v>ByteWorks</v>
      </c>
      <c r="C11" s="122" t="str">
        <f>IFERROR(__xludf.DUMMYFUNCTION("""COMPUTED_VALUE"""),"Technology")</f>
        <v>Technology</v>
      </c>
      <c r="D11" s="60">
        <f>IFERROR(__xludf.DUMMYFUNCTION("""COMPUTED_VALUE"""),110.27)</f>
        <v>110.27</v>
      </c>
      <c r="E11" s="60">
        <f>IFERROR(__xludf.DUMMYFUNCTION("""COMPUTED_VALUE"""),111.3)</f>
        <v>111.3</v>
      </c>
      <c r="F11" s="132">
        <f>IFERROR(__xludf.DUMMYFUNCTION("""COMPUTED_VALUE"""),-0.0093)</f>
        <v>-0.0093</v>
      </c>
      <c r="G11" s="60">
        <f>IFERROR(__xludf.DUMMYFUNCTION("""COMPUTED_VALUE"""),-1.03)</f>
        <v>-1.03</v>
      </c>
      <c r="H11" s="240">
        <f>IFERROR(__xludf.DUMMYFUNCTION("""COMPUTED_VALUE"""),9.73)</f>
        <v>9.73</v>
      </c>
      <c r="I11" s="240" t="str">
        <f>IFERROR(__xludf.DUMMYFUNCTION("""COMPUTED_VALUE"""),"Stable")</f>
        <v>Stable</v>
      </c>
      <c r="J11" s="122" t="str">
        <f>IFERROR(__xludf.DUMMYFUNCTION("""COMPUTED_VALUE"""),"Yes")</f>
        <v>Yes</v>
      </c>
      <c r="K11" s="131">
        <f>IFERROR(__xludf.DUMMYFUNCTION("""COMPUTED_VALUE"""),46187.706400462965)</f>
        <v>46187.7064</v>
      </c>
      <c r="L11" s="122" t="str">
        <f>IFERROR(__xludf.DUMMYFUNCTION("""COMPUTED_VALUE"""),"STOCK")</f>
        <v>STOCK</v>
      </c>
      <c r="M11" s="122"/>
      <c r="N11" s="122" t="str">
        <f>IFERROR(__xludf.DUMMYFUNCTION("""COMPUTED_VALUE"""),"No")</f>
        <v>No</v>
      </c>
      <c r="O11" s="122"/>
    </row>
    <row r="12">
      <c r="A12" s="122" t="str">
        <f>IFERROR(__xludf.DUMMYFUNCTION("""COMPUTED_VALUE"""),"BANK")</f>
        <v>BANK</v>
      </c>
      <c r="B12" s="122" t="str">
        <f>IFERROR(__xludf.DUMMYFUNCTION("""COMPUTED_VALUE"""),"Tiger Bank")</f>
        <v>Tiger Bank</v>
      </c>
      <c r="C12" s="122" t="str">
        <f>IFERROR(__xludf.DUMMYFUNCTION("""COMPUTED_VALUE"""),"Finance")</f>
        <v>Finance</v>
      </c>
      <c r="D12" s="60">
        <f>IFERROR(__xludf.DUMMYFUNCTION("""COMPUTED_VALUE"""),133.21)</f>
        <v>133.21</v>
      </c>
      <c r="E12" s="60">
        <f>IFERROR(__xludf.DUMMYFUNCTION("""COMPUTED_VALUE"""),133.29)</f>
        <v>133.29</v>
      </c>
      <c r="F12" s="132">
        <f>IFERROR(__xludf.DUMMYFUNCTION("""COMPUTED_VALUE"""),-6.0E-4)</f>
        <v>-0.0006</v>
      </c>
      <c r="G12" s="60">
        <f>IFERROR(__xludf.DUMMYFUNCTION("""COMPUTED_VALUE"""),-0.08)</f>
        <v>-0.08</v>
      </c>
      <c r="H12" s="240">
        <f>IFERROR(__xludf.DUMMYFUNCTION("""COMPUTED_VALUE"""),3.54)</f>
        <v>3.54</v>
      </c>
      <c r="I12" s="240" t="str">
        <f>IFERROR(__xludf.DUMMYFUNCTION("""COMPUTED_VALUE"""),"Volatile")</f>
        <v>Volatile</v>
      </c>
      <c r="J12" s="122" t="str">
        <f>IFERROR(__xludf.DUMMYFUNCTION("""COMPUTED_VALUE"""),"Yes")</f>
        <v>Yes</v>
      </c>
      <c r="K12" s="131">
        <f>IFERROR(__xludf.DUMMYFUNCTION("""COMPUTED_VALUE"""),46187.706400462965)</f>
        <v>46187.7064</v>
      </c>
      <c r="L12" s="122" t="str">
        <f>IFERROR(__xludf.DUMMYFUNCTION("""COMPUTED_VALUE"""),"STOCK")</f>
        <v>STOCK</v>
      </c>
      <c r="M12" s="122"/>
      <c r="N12" s="122" t="str">
        <f>IFERROR(__xludf.DUMMYFUNCTION("""COMPUTED_VALUE"""),"No")</f>
        <v>No</v>
      </c>
      <c r="O12" s="122"/>
    </row>
    <row r="13">
      <c r="A13" s="122" t="str">
        <f>IFERROR(__xludf.DUMMYFUNCTION("""COMPUTED_VALUE"""),"CRED")</f>
        <v>CRED</v>
      </c>
      <c r="B13" s="122" t="str">
        <f>IFERROR(__xludf.DUMMYFUNCTION("""COMPUTED_VALUE"""),"Credit Castle")</f>
        <v>Credit Castle</v>
      </c>
      <c r="C13" s="122" t="str">
        <f>IFERROR(__xludf.DUMMYFUNCTION("""COMPUTED_VALUE"""),"Finance")</f>
        <v>Finance</v>
      </c>
      <c r="D13" s="60">
        <f>IFERROR(__xludf.DUMMYFUNCTION("""COMPUTED_VALUE"""),67.35)</f>
        <v>67.35</v>
      </c>
      <c r="E13" s="60">
        <f>IFERROR(__xludf.DUMMYFUNCTION("""COMPUTED_VALUE"""),67.59)</f>
        <v>67.59</v>
      </c>
      <c r="F13" s="132">
        <f>IFERROR(__xludf.DUMMYFUNCTION("""COMPUTED_VALUE"""),-0.0036)</f>
        <v>-0.0036</v>
      </c>
      <c r="G13" s="60">
        <f>IFERROR(__xludf.DUMMYFUNCTION("""COMPUTED_VALUE"""),-0.24)</f>
        <v>-0.24</v>
      </c>
      <c r="H13" s="240">
        <f>IFERROR(__xludf.DUMMYFUNCTION("""COMPUTED_VALUE"""),5.81)</f>
        <v>5.81</v>
      </c>
      <c r="I13" s="240" t="str">
        <f>IFERROR(__xludf.DUMMYFUNCTION("""COMPUTED_VALUE"""),"Stable")</f>
        <v>Stable</v>
      </c>
      <c r="J13" s="122" t="str">
        <f>IFERROR(__xludf.DUMMYFUNCTION("""COMPUTED_VALUE"""),"Yes")</f>
        <v>Yes</v>
      </c>
      <c r="K13" s="131">
        <f>IFERROR(__xludf.DUMMYFUNCTION("""COMPUTED_VALUE"""),46187.706400462965)</f>
        <v>46187.7064</v>
      </c>
      <c r="L13" s="122" t="str">
        <f>IFERROR(__xludf.DUMMYFUNCTION("""COMPUTED_VALUE"""),"STOCK")</f>
        <v>STOCK</v>
      </c>
      <c r="M13" s="122"/>
      <c r="N13" s="122" t="str">
        <f>IFERROR(__xludf.DUMMYFUNCTION("""COMPUTED_VALUE"""),"No")</f>
        <v>No</v>
      </c>
      <c r="O13" s="122"/>
    </row>
    <row r="14">
      <c r="A14" s="122" t="str">
        <f>IFERROR(__xludf.DUMMYFUNCTION("""COMPUTED_VALUE"""),"BOND")</f>
        <v>BOND</v>
      </c>
      <c r="B14" s="122" t="str">
        <f>IFERROR(__xludf.DUMMYFUNCTION("""COMPUTED_VALUE"""),"BondBridge")</f>
        <v>BondBridge</v>
      </c>
      <c r="C14" s="122" t="str">
        <f>IFERROR(__xludf.DUMMYFUNCTION("""COMPUTED_VALUE"""),"Finance")</f>
        <v>Finance</v>
      </c>
      <c r="D14" s="60">
        <f>IFERROR(__xludf.DUMMYFUNCTION("""COMPUTED_VALUE"""),108.25)</f>
        <v>108.25</v>
      </c>
      <c r="E14" s="60">
        <f>IFERROR(__xludf.DUMMYFUNCTION("""COMPUTED_VALUE"""),108.07)</f>
        <v>108.07</v>
      </c>
      <c r="F14" s="132">
        <f>IFERROR(__xludf.DUMMYFUNCTION("""COMPUTED_VALUE"""),0.0017)</f>
        <v>0.0017</v>
      </c>
      <c r="G14" s="60">
        <f>IFERROR(__xludf.DUMMYFUNCTION("""COMPUTED_VALUE"""),0.18)</f>
        <v>0.18</v>
      </c>
      <c r="H14" s="240">
        <f>IFERROR(__xludf.DUMMYFUNCTION("""COMPUTED_VALUE"""),2.11)</f>
        <v>2.11</v>
      </c>
      <c r="I14" s="240" t="str">
        <f>IFERROR(__xludf.DUMMYFUNCTION("""COMPUTED_VALUE"""),"Growth")</f>
        <v>Growth</v>
      </c>
      <c r="J14" s="122" t="str">
        <f>IFERROR(__xludf.DUMMYFUNCTION("""COMPUTED_VALUE"""),"Yes")</f>
        <v>Yes</v>
      </c>
      <c r="K14" s="131">
        <f>IFERROR(__xludf.DUMMYFUNCTION("""COMPUTED_VALUE"""),46187.706400462965)</f>
        <v>46187.7064</v>
      </c>
      <c r="L14" s="122" t="str">
        <f>IFERROR(__xludf.DUMMYFUNCTION("""COMPUTED_VALUE"""),"STOCK")</f>
        <v>STOCK</v>
      </c>
      <c r="M14" s="122"/>
      <c r="N14" s="122" t="str">
        <f>IFERROR(__xludf.DUMMYFUNCTION("""COMPUTED_VALUE"""),"No")</f>
        <v>No</v>
      </c>
      <c r="O14" s="122"/>
    </row>
    <row r="15">
      <c r="A15" s="122" t="str">
        <f>IFERROR(__xludf.DUMMYFUNCTION("""COMPUTED_VALUE"""),"INSR")</f>
        <v>INSR</v>
      </c>
      <c r="B15" s="122" t="str">
        <f>IFERROR(__xludf.DUMMYFUNCTION("""COMPUTED_VALUE"""),"Shield Insurance")</f>
        <v>Shield Insurance</v>
      </c>
      <c r="C15" s="122" t="str">
        <f>IFERROR(__xludf.DUMMYFUNCTION("""COMPUTED_VALUE"""),"Finance")</f>
        <v>Finance</v>
      </c>
      <c r="D15" s="60">
        <f>IFERROR(__xludf.DUMMYFUNCTION("""COMPUTED_VALUE"""),158.44)</f>
        <v>158.44</v>
      </c>
      <c r="E15" s="60">
        <f>IFERROR(__xludf.DUMMYFUNCTION("""COMPUTED_VALUE"""),158.74)</f>
        <v>158.74</v>
      </c>
      <c r="F15" s="132">
        <f>IFERROR(__xludf.DUMMYFUNCTION("""COMPUTED_VALUE"""),-0.0019)</f>
        <v>-0.0019</v>
      </c>
      <c r="G15" s="60">
        <f>IFERROR(__xludf.DUMMYFUNCTION("""COMPUTED_VALUE"""),-0.3)</f>
        <v>-0.3</v>
      </c>
      <c r="H15" s="240">
        <f>IFERROR(__xludf.DUMMYFUNCTION("""COMPUTED_VALUE"""),4.03)</f>
        <v>4.03</v>
      </c>
      <c r="I15" s="240" t="str">
        <f>IFERROR(__xludf.DUMMYFUNCTION("""COMPUTED_VALUE"""),"Stable")</f>
        <v>Stable</v>
      </c>
      <c r="J15" s="122" t="str">
        <f>IFERROR(__xludf.DUMMYFUNCTION("""COMPUTED_VALUE"""),"Yes")</f>
        <v>Yes</v>
      </c>
      <c r="K15" s="131">
        <f>IFERROR(__xludf.DUMMYFUNCTION("""COMPUTED_VALUE"""),46187.706400462965)</f>
        <v>46187.7064</v>
      </c>
      <c r="L15" s="122" t="str">
        <f>IFERROR(__xludf.DUMMYFUNCTION("""COMPUTED_VALUE"""),"STOCK")</f>
        <v>STOCK</v>
      </c>
      <c r="M15" s="122"/>
      <c r="N15" s="122" t="str">
        <f>IFERROR(__xludf.DUMMYFUNCTION("""COMPUTED_VALUE"""),"No")</f>
        <v>No</v>
      </c>
      <c r="O15" s="122"/>
    </row>
    <row r="16">
      <c r="A16" s="122" t="str">
        <f>IFERROR(__xludf.DUMMYFUNCTION("""COMPUTED_VALUE"""),"LOAN")</f>
        <v>LOAN</v>
      </c>
      <c r="B16" s="122" t="str">
        <f>IFERROR(__xludf.DUMMYFUNCTION("""COMPUTED_VALUE"""),"LoanLab")</f>
        <v>LoanLab</v>
      </c>
      <c r="C16" s="122" t="str">
        <f>IFERROR(__xludf.DUMMYFUNCTION("""COMPUTED_VALUE"""),"Finance")</f>
        <v>Finance</v>
      </c>
      <c r="D16" s="60">
        <f>IFERROR(__xludf.DUMMYFUNCTION("""COMPUTED_VALUE"""),76.99)</f>
        <v>76.99</v>
      </c>
      <c r="E16" s="60">
        <f>IFERROR(__xludf.DUMMYFUNCTION("""COMPUTED_VALUE"""),76.41)</f>
        <v>76.41</v>
      </c>
      <c r="F16" s="132">
        <f>IFERROR(__xludf.DUMMYFUNCTION("""COMPUTED_VALUE"""),0.0076)</f>
        <v>0.0076</v>
      </c>
      <c r="G16" s="60">
        <f>IFERROR(__xludf.DUMMYFUNCTION("""COMPUTED_VALUE"""),0.58)</f>
        <v>0.58</v>
      </c>
      <c r="H16" s="240">
        <f>IFERROR(__xludf.DUMMYFUNCTION("""COMPUTED_VALUE"""),6.7)</f>
        <v>6.7</v>
      </c>
      <c r="I16" s="240" t="str">
        <f>IFERROR(__xludf.DUMMYFUNCTION("""COMPUTED_VALUE"""),"Hot")</f>
        <v>Hot</v>
      </c>
      <c r="J16" s="122" t="str">
        <f>IFERROR(__xludf.DUMMYFUNCTION("""COMPUTED_VALUE"""),"Yes")</f>
        <v>Yes</v>
      </c>
      <c r="K16" s="131">
        <f>IFERROR(__xludf.DUMMYFUNCTION("""COMPUTED_VALUE"""),46187.706400462965)</f>
        <v>46187.7064</v>
      </c>
      <c r="L16" s="122" t="str">
        <f>IFERROR(__xludf.DUMMYFUNCTION("""COMPUTED_VALUE"""),"STOCK")</f>
        <v>STOCK</v>
      </c>
      <c r="M16" s="122"/>
      <c r="N16" s="122" t="str">
        <f>IFERROR(__xludf.DUMMYFUNCTION("""COMPUTED_VALUE"""),"No")</f>
        <v>No</v>
      </c>
      <c r="O16" s="122"/>
    </row>
    <row r="17">
      <c r="A17" s="122" t="str">
        <f>IFERROR(__xludf.DUMMYFUNCTION("""COMPUTED_VALUE"""),"LUXE")</f>
        <v>LUXE</v>
      </c>
      <c r="B17" s="122" t="str">
        <f>IFERROR(__xludf.DUMMYFUNCTION("""COMPUTED_VALUE"""),"Luxury Locker")</f>
        <v>Luxury Locker</v>
      </c>
      <c r="C17" s="122" t="str">
        <f>IFERROR(__xludf.DUMMYFUNCTION("""COMPUTED_VALUE"""),"Luxury Goods")</f>
        <v>Luxury Goods</v>
      </c>
      <c r="D17" s="60">
        <f>IFERROR(__xludf.DUMMYFUNCTION("""COMPUTED_VALUE"""),272.26)</f>
        <v>272.26</v>
      </c>
      <c r="E17" s="60">
        <f>IFERROR(__xludf.DUMMYFUNCTION("""COMPUTED_VALUE"""),271.96)</f>
        <v>271.96</v>
      </c>
      <c r="F17" s="132">
        <f>IFERROR(__xludf.DUMMYFUNCTION("""COMPUTED_VALUE"""),0.0011)</f>
        <v>0.0011</v>
      </c>
      <c r="G17" s="60">
        <f>IFERROR(__xludf.DUMMYFUNCTION("""COMPUTED_VALUE"""),0.3)</f>
        <v>0.3</v>
      </c>
      <c r="H17" s="240">
        <f>IFERROR(__xludf.DUMMYFUNCTION("""COMPUTED_VALUE"""),6.5)</f>
        <v>6.5</v>
      </c>
      <c r="I17" s="240" t="str">
        <f>IFERROR(__xludf.DUMMYFUNCTION("""COMPUTED_VALUE"""),"Stable")</f>
        <v>Stable</v>
      </c>
      <c r="J17" s="122" t="str">
        <f>IFERROR(__xludf.DUMMYFUNCTION("""COMPUTED_VALUE"""),"Yes")</f>
        <v>Yes</v>
      </c>
      <c r="K17" s="131">
        <f>IFERROR(__xludf.DUMMYFUNCTION("""COMPUTED_VALUE"""),46187.706400462965)</f>
        <v>46187.7064</v>
      </c>
      <c r="L17" s="122" t="str">
        <f>IFERROR(__xludf.DUMMYFUNCTION("""COMPUTED_VALUE"""),"STOCK")</f>
        <v>STOCK</v>
      </c>
      <c r="M17" s="122"/>
      <c r="N17" s="122" t="str">
        <f>IFERROR(__xludf.DUMMYFUNCTION("""COMPUTED_VALUE"""),"No")</f>
        <v>No</v>
      </c>
      <c r="O17" s="122"/>
    </row>
    <row r="18">
      <c r="A18" s="122" t="str">
        <f>IFERROR(__xludf.DUMMYFUNCTION("""COMPUTED_VALUE"""),"DRIP")</f>
        <v>DRIP</v>
      </c>
      <c r="B18" s="122" t="str">
        <f>IFERROR(__xludf.DUMMYFUNCTION("""COMPUTED_VALUE"""),"Drip Streetwear")</f>
        <v>Drip Streetwear</v>
      </c>
      <c r="C18" s="122" t="str">
        <f>IFERROR(__xludf.DUMMYFUNCTION("""COMPUTED_VALUE"""),"Fashion")</f>
        <v>Fashion</v>
      </c>
      <c r="D18" s="60">
        <f>IFERROR(__xludf.DUMMYFUNCTION("""COMPUTED_VALUE"""),191.93)</f>
        <v>191.93</v>
      </c>
      <c r="E18" s="60">
        <f>IFERROR(__xludf.DUMMYFUNCTION("""COMPUTED_VALUE"""),190.36)</f>
        <v>190.36</v>
      </c>
      <c r="F18" s="132">
        <f>IFERROR(__xludf.DUMMYFUNCTION("""COMPUTED_VALUE"""),0.0082)</f>
        <v>0.0082</v>
      </c>
      <c r="G18" s="60">
        <f>IFERROR(__xludf.DUMMYFUNCTION("""COMPUTED_VALUE"""),1.57)</f>
        <v>1.57</v>
      </c>
      <c r="H18" s="240">
        <f>IFERROR(__xludf.DUMMYFUNCTION("""COMPUTED_VALUE"""),11.31)</f>
        <v>11.31</v>
      </c>
      <c r="I18" s="240" t="str">
        <f>IFERROR(__xludf.DUMMYFUNCTION("""COMPUTED_VALUE"""),"Decline")</f>
        <v>Decline</v>
      </c>
      <c r="J18" s="122" t="str">
        <f>IFERROR(__xludf.DUMMYFUNCTION("""COMPUTED_VALUE"""),"Yes")</f>
        <v>Yes</v>
      </c>
      <c r="K18" s="131">
        <f>IFERROR(__xludf.DUMMYFUNCTION("""COMPUTED_VALUE"""),46187.706400462965)</f>
        <v>46187.7064</v>
      </c>
      <c r="L18" s="122" t="str">
        <f>IFERROR(__xludf.DUMMYFUNCTION("""COMPUTED_VALUE"""),"STOCK")</f>
        <v>STOCK</v>
      </c>
      <c r="M18" s="122"/>
      <c r="N18" s="122" t="str">
        <f>IFERROR(__xludf.DUMMYFUNCTION("""COMPUTED_VALUE"""),"No")</f>
        <v>No</v>
      </c>
      <c r="O18" s="122"/>
    </row>
    <row r="19">
      <c r="A19" s="122" t="str">
        <f>IFERROR(__xludf.DUMMYFUNCTION("""COMPUTED_VALUE"""),"KICK")</f>
        <v>KICK</v>
      </c>
      <c r="B19" s="122" t="str">
        <f>IFERROR(__xludf.DUMMYFUNCTION("""COMPUTED_VALUE"""),"KickDrop Sneakers")</f>
        <v>KickDrop Sneakers</v>
      </c>
      <c r="C19" s="122" t="str">
        <f>IFERROR(__xludf.DUMMYFUNCTION("""COMPUTED_VALUE"""),"Fashion")</f>
        <v>Fashion</v>
      </c>
      <c r="D19" s="60">
        <f>IFERROR(__xludf.DUMMYFUNCTION("""COMPUTED_VALUE"""),169.19)</f>
        <v>169.19</v>
      </c>
      <c r="E19" s="60">
        <f>IFERROR(__xludf.DUMMYFUNCTION("""COMPUTED_VALUE"""),169.76)</f>
        <v>169.76</v>
      </c>
      <c r="F19" s="132">
        <f>IFERROR(__xludf.DUMMYFUNCTION("""COMPUTED_VALUE"""),-0.0034)</f>
        <v>-0.0034</v>
      </c>
      <c r="G19" s="60">
        <f>IFERROR(__xludf.DUMMYFUNCTION("""COMPUTED_VALUE"""),-0.57)</f>
        <v>-0.57</v>
      </c>
      <c r="H19" s="240">
        <f>IFERROR(__xludf.DUMMYFUNCTION("""COMPUTED_VALUE"""),10.18)</f>
        <v>10.18</v>
      </c>
      <c r="I19" s="240" t="str">
        <f>IFERROR(__xludf.DUMMYFUNCTION("""COMPUTED_VALUE"""),"Volatile")</f>
        <v>Volatile</v>
      </c>
      <c r="J19" s="122" t="str">
        <f>IFERROR(__xludf.DUMMYFUNCTION("""COMPUTED_VALUE"""),"Yes")</f>
        <v>Yes</v>
      </c>
      <c r="K19" s="131">
        <f>IFERROR(__xludf.DUMMYFUNCTION("""COMPUTED_VALUE"""),46187.706400462965)</f>
        <v>46187.7064</v>
      </c>
      <c r="L19" s="122" t="str">
        <f>IFERROR(__xludf.DUMMYFUNCTION("""COMPUTED_VALUE"""),"STOCK")</f>
        <v>STOCK</v>
      </c>
      <c r="M19" s="122"/>
      <c r="N19" s="122" t="str">
        <f>IFERROR(__xludf.DUMMYFUNCTION("""COMPUTED_VALUE"""),"No")</f>
        <v>No</v>
      </c>
      <c r="O19" s="122"/>
    </row>
    <row r="20">
      <c r="A20" s="122" t="str">
        <f>IFERROR(__xludf.DUMMYFUNCTION("""COMPUTED_VALUE"""),"GLAM")</f>
        <v>GLAM</v>
      </c>
      <c r="B20" s="122" t="str">
        <f>IFERROR(__xludf.DUMMYFUNCTION("""COMPUTED_VALUE"""),"Glow Cosmetics")</f>
        <v>Glow Cosmetics</v>
      </c>
      <c r="C20" s="122" t="str">
        <f>IFERROR(__xludf.DUMMYFUNCTION("""COMPUTED_VALUE"""),"Fashion")</f>
        <v>Fashion</v>
      </c>
      <c r="D20" s="60">
        <f>IFERROR(__xludf.DUMMYFUNCTION("""COMPUTED_VALUE"""),113.44)</f>
        <v>113.44</v>
      </c>
      <c r="E20" s="60">
        <f>IFERROR(__xludf.DUMMYFUNCTION("""COMPUTED_VALUE"""),112.97)</f>
        <v>112.97</v>
      </c>
      <c r="F20" s="132">
        <f>IFERROR(__xludf.DUMMYFUNCTION("""COMPUTED_VALUE"""),0.0042)</f>
        <v>0.0042</v>
      </c>
      <c r="G20" s="60">
        <f>IFERROR(__xludf.DUMMYFUNCTION("""COMPUTED_VALUE"""),0.47)</f>
        <v>0.47</v>
      </c>
      <c r="H20" s="240">
        <f>IFERROR(__xludf.DUMMYFUNCTION("""COMPUTED_VALUE"""),7.33)</f>
        <v>7.33</v>
      </c>
      <c r="I20" s="240" t="str">
        <f>IFERROR(__xludf.DUMMYFUNCTION("""COMPUTED_VALUE"""),"Growth")</f>
        <v>Growth</v>
      </c>
      <c r="J20" s="122" t="str">
        <f>IFERROR(__xludf.DUMMYFUNCTION("""COMPUTED_VALUE"""),"Yes")</f>
        <v>Yes</v>
      </c>
      <c r="K20" s="131">
        <f>IFERROR(__xludf.DUMMYFUNCTION("""COMPUTED_VALUE"""),46187.706400462965)</f>
        <v>46187.7064</v>
      </c>
      <c r="L20" s="122" t="str">
        <f>IFERROR(__xludf.DUMMYFUNCTION("""COMPUTED_VALUE"""),"STOCK")</f>
        <v>STOCK</v>
      </c>
      <c r="M20" s="122"/>
      <c r="N20" s="122" t="str">
        <f>IFERROR(__xludf.DUMMYFUNCTION("""COMPUTED_VALUE"""),"No")</f>
        <v>No</v>
      </c>
      <c r="O20" s="122"/>
    </row>
    <row r="21">
      <c r="A21" s="122" t="str">
        <f>IFERROR(__xludf.DUMMYFUNCTION("""COMPUTED_VALUE"""),"BAGG")</f>
        <v>BAGG</v>
      </c>
      <c r="B21" s="122" t="str">
        <f>IFERROR(__xludf.DUMMYFUNCTION("""COMPUTED_VALUE"""),"BagVault")</f>
        <v>BagVault</v>
      </c>
      <c r="C21" s="122" t="str">
        <f>IFERROR(__xludf.DUMMYFUNCTION("""COMPUTED_VALUE"""),"Fashion")</f>
        <v>Fashion</v>
      </c>
      <c r="D21" s="60">
        <f>IFERROR(__xludf.DUMMYFUNCTION("""COMPUTED_VALUE"""),281.53)</f>
        <v>281.53</v>
      </c>
      <c r="E21" s="60">
        <f>IFERROR(__xludf.DUMMYFUNCTION("""COMPUTED_VALUE"""),281.07)</f>
        <v>281.07</v>
      </c>
      <c r="F21" s="132">
        <f>IFERROR(__xludf.DUMMYFUNCTION("""COMPUTED_VALUE"""),0.0016)</f>
        <v>0.0016</v>
      </c>
      <c r="G21" s="60">
        <f>IFERROR(__xludf.DUMMYFUNCTION("""COMPUTED_VALUE"""),0.46)</f>
        <v>0.46</v>
      </c>
      <c r="H21" s="240">
        <f>IFERROR(__xludf.DUMMYFUNCTION("""COMPUTED_VALUE"""),9.0)</f>
        <v>9</v>
      </c>
      <c r="I21" s="240" t="str">
        <f>IFERROR(__xludf.DUMMYFUNCTION("""COMPUTED_VALUE"""),"Growth")</f>
        <v>Growth</v>
      </c>
      <c r="J21" s="122" t="str">
        <f>IFERROR(__xludf.DUMMYFUNCTION("""COMPUTED_VALUE"""),"Yes")</f>
        <v>Yes</v>
      </c>
      <c r="K21" s="131">
        <f>IFERROR(__xludf.DUMMYFUNCTION("""COMPUTED_VALUE"""),46187.706400462965)</f>
        <v>46187.7064</v>
      </c>
      <c r="L21" s="122" t="str">
        <f>IFERROR(__xludf.DUMMYFUNCTION("""COMPUTED_VALUE"""),"STOCK")</f>
        <v>STOCK</v>
      </c>
      <c r="M21" s="122"/>
      <c r="N21" s="122" t="str">
        <f>IFERROR(__xludf.DUMMYFUNCTION("""COMPUTED_VALUE"""),"No")</f>
        <v>No</v>
      </c>
      <c r="O21" s="122"/>
    </row>
    <row r="22">
      <c r="A22" s="122" t="str">
        <f>IFERROR(__xludf.DUMMYFUNCTION("""COMPUTED_VALUE"""),"FAST")</f>
        <v>FAST</v>
      </c>
      <c r="B22" s="122" t="str">
        <f>IFERROR(__xludf.DUMMYFUNCTION("""COMPUTED_VALUE"""),"Flash Logistics")</f>
        <v>Flash Logistics</v>
      </c>
      <c r="C22" s="122" t="str">
        <f>IFERROR(__xludf.DUMMYFUNCTION("""COMPUTED_VALUE"""),"Logistics")</f>
        <v>Logistics</v>
      </c>
      <c r="D22" s="60">
        <f>IFERROR(__xludf.DUMMYFUNCTION("""COMPUTED_VALUE"""),111.39)</f>
        <v>111.39</v>
      </c>
      <c r="E22" s="60">
        <f>IFERROR(__xludf.DUMMYFUNCTION("""COMPUTED_VALUE"""),111.02)</f>
        <v>111.02</v>
      </c>
      <c r="F22" s="132">
        <f>IFERROR(__xludf.DUMMYFUNCTION("""COMPUTED_VALUE"""),0.0033)</f>
        <v>0.0033</v>
      </c>
      <c r="G22" s="60">
        <f>IFERROR(__xludf.DUMMYFUNCTION("""COMPUTED_VALUE"""),0.37)</f>
        <v>0.37</v>
      </c>
      <c r="H22" s="240">
        <f>IFERROR(__xludf.DUMMYFUNCTION("""COMPUTED_VALUE"""),4.87)</f>
        <v>4.87</v>
      </c>
      <c r="I22" s="240" t="str">
        <f>IFERROR(__xludf.DUMMYFUNCTION("""COMPUTED_VALUE"""),"Growth")</f>
        <v>Growth</v>
      </c>
      <c r="J22" s="122" t="str">
        <f>IFERROR(__xludf.DUMMYFUNCTION("""COMPUTED_VALUE"""),"Yes")</f>
        <v>Yes</v>
      </c>
      <c r="K22" s="131">
        <f>IFERROR(__xludf.DUMMYFUNCTION("""COMPUTED_VALUE"""),46187.706400462965)</f>
        <v>46187.7064</v>
      </c>
      <c r="L22" s="122" t="str">
        <f>IFERROR(__xludf.DUMMYFUNCTION("""COMPUTED_VALUE"""),"STOCK")</f>
        <v>STOCK</v>
      </c>
      <c r="M22" s="122"/>
      <c r="N22" s="122" t="str">
        <f>IFERROR(__xludf.DUMMYFUNCTION("""COMPUTED_VALUE"""),"No")</f>
        <v>No</v>
      </c>
      <c r="O22" s="122"/>
    </row>
    <row r="23">
      <c r="A23" s="122" t="str">
        <f>IFERROR(__xludf.DUMMYFUNCTION("""COMPUTED_VALUE"""),"SHIP")</f>
        <v>SHIP</v>
      </c>
      <c r="B23" s="122" t="str">
        <f>IFERROR(__xludf.DUMMYFUNCTION("""COMPUTED_VALUE"""),"Seoul Shipping")</f>
        <v>Seoul Shipping</v>
      </c>
      <c r="C23" s="122" t="str">
        <f>IFERROR(__xludf.DUMMYFUNCTION("""COMPUTED_VALUE"""),"Logistics")</f>
        <v>Logistics</v>
      </c>
      <c r="D23" s="60">
        <f>IFERROR(__xludf.DUMMYFUNCTION("""COMPUTED_VALUE"""),132.25)</f>
        <v>132.25</v>
      </c>
      <c r="E23" s="60">
        <f>IFERROR(__xludf.DUMMYFUNCTION("""COMPUTED_VALUE"""),133.14)</f>
        <v>133.14</v>
      </c>
      <c r="F23" s="132">
        <f>IFERROR(__xludf.DUMMYFUNCTION("""COMPUTED_VALUE"""),-0.0067)</f>
        <v>-0.0067</v>
      </c>
      <c r="G23" s="60">
        <f>IFERROR(__xludf.DUMMYFUNCTION("""COMPUTED_VALUE"""),-0.89)</f>
        <v>-0.89</v>
      </c>
      <c r="H23" s="240">
        <f>IFERROR(__xludf.DUMMYFUNCTION("""COMPUTED_VALUE"""),7.27)</f>
        <v>7.27</v>
      </c>
      <c r="I23" s="240" t="str">
        <f>IFERROR(__xludf.DUMMYFUNCTION("""COMPUTED_VALUE"""),"Stable")</f>
        <v>Stable</v>
      </c>
      <c r="J23" s="122" t="str">
        <f>IFERROR(__xludf.DUMMYFUNCTION("""COMPUTED_VALUE"""),"Yes")</f>
        <v>Yes</v>
      </c>
      <c r="K23" s="131">
        <f>IFERROR(__xludf.DUMMYFUNCTION("""COMPUTED_VALUE"""),46187.706400462965)</f>
        <v>46187.7064</v>
      </c>
      <c r="L23" s="122" t="str">
        <f>IFERROR(__xludf.DUMMYFUNCTION("""COMPUTED_VALUE"""),"STOCK")</f>
        <v>STOCK</v>
      </c>
      <c r="M23" s="122"/>
      <c r="N23" s="122" t="str">
        <f>IFERROR(__xludf.DUMMYFUNCTION("""COMPUTED_VALUE"""),"No")</f>
        <v>No</v>
      </c>
      <c r="O23" s="122"/>
    </row>
    <row r="24">
      <c r="A24" s="122" t="str">
        <f>IFERROR(__xludf.DUMMYFUNCTION("""COMPUTED_VALUE"""),"DRON")</f>
        <v>DRON</v>
      </c>
      <c r="B24" s="122" t="str">
        <f>IFERROR(__xludf.DUMMYFUNCTION("""COMPUTED_VALUE"""),"DroneDrop")</f>
        <v>DroneDrop</v>
      </c>
      <c r="C24" s="122" t="str">
        <f>IFERROR(__xludf.DUMMYFUNCTION("""COMPUTED_VALUE"""),"Logistics")</f>
        <v>Logistics</v>
      </c>
      <c r="D24" s="60">
        <f>IFERROR(__xludf.DUMMYFUNCTION("""COMPUTED_VALUE"""),121.18)</f>
        <v>121.18</v>
      </c>
      <c r="E24" s="60">
        <f>IFERROR(__xludf.DUMMYFUNCTION("""COMPUTED_VALUE"""),122.45)</f>
        <v>122.45</v>
      </c>
      <c r="F24" s="132">
        <f>IFERROR(__xludf.DUMMYFUNCTION("""COMPUTED_VALUE"""),-0.0104)</f>
        <v>-0.0104</v>
      </c>
      <c r="G24" s="60">
        <f>IFERROR(__xludf.DUMMYFUNCTION("""COMPUTED_VALUE"""),-1.27)</f>
        <v>-1.27</v>
      </c>
      <c r="H24" s="240">
        <f>IFERROR(__xludf.DUMMYFUNCTION("""COMPUTED_VALUE"""),11.89)</f>
        <v>11.89</v>
      </c>
      <c r="I24" s="240" t="str">
        <f>IFERROR(__xludf.DUMMYFUNCTION("""COMPUTED_VALUE"""),"Stable")</f>
        <v>Stable</v>
      </c>
      <c r="J24" s="122" t="str">
        <f>IFERROR(__xludf.DUMMYFUNCTION("""COMPUTED_VALUE"""),"Yes")</f>
        <v>Yes</v>
      </c>
      <c r="K24" s="131">
        <f>IFERROR(__xludf.DUMMYFUNCTION("""COMPUTED_VALUE"""),46187.706400462965)</f>
        <v>46187.7064</v>
      </c>
      <c r="L24" s="122" t="str">
        <f>IFERROR(__xludf.DUMMYFUNCTION("""COMPUTED_VALUE"""),"STOCK")</f>
        <v>STOCK</v>
      </c>
      <c r="M24" s="122"/>
      <c r="N24" s="122" t="str">
        <f>IFERROR(__xludf.DUMMYFUNCTION("""COMPUTED_VALUE"""),"No")</f>
        <v>No</v>
      </c>
      <c r="O24" s="122"/>
    </row>
    <row r="25">
      <c r="A25" s="122" t="str">
        <f>IFERROR(__xludf.DUMMYFUNCTION("""COMPUTED_VALUE"""),"RIDE")</f>
        <v>RIDE</v>
      </c>
      <c r="B25" s="122" t="str">
        <f>IFERROR(__xludf.DUMMYFUNCTION("""COMPUTED_VALUE"""),"QuickRide")</f>
        <v>QuickRide</v>
      </c>
      <c r="C25" s="122" t="str">
        <f>IFERROR(__xludf.DUMMYFUNCTION("""COMPUTED_VALUE"""),"Transportation")</f>
        <v>Transportation</v>
      </c>
      <c r="D25" s="60">
        <f>IFERROR(__xludf.DUMMYFUNCTION("""COMPUTED_VALUE"""),98.17)</f>
        <v>98.17</v>
      </c>
      <c r="E25" s="60">
        <f>IFERROR(__xludf.DUMMYFUNCTION("""COMPUTED_VALUE"""),98.82)</f>
        <v>98.82</v>
      </c>
      <c r="F25" s="132">
        <f>IFERROR(__xludf.DUMMYFUNCTION("""COMPUTED_VALUE"""),-0.0066)</f>
        <v>-0.0066</v>
      </c>
      <c r="G25" s="60">
        <f>IFERROR(__xludf.DUMMYFUNCTION("""COMPUTED_VALUE"""),-0.65)</f>
        <v>-0.65</v>
      </c>
      <c r="H25" s="240">
        <f>IFERROR(__xludf.DUMMYFUNCTION("""COMPUTED_VALUE"""),11.56)</f>
        <v>11.56</v>
      </c>
      <c r="I25" s="240" t="str">
        <f>IFERROR(__xludf.DUMMYFUNCTION("""COMPUTED_VALUE"""),"Stable")</f>
        <v>Stable</v>
      </c>
      <c r="J25" s="122" t="str">
        <f>IFERROR(__xludf.DUMMYFUNCTION("""COMPUTED_VALUE"""),"Yes")</f>
        <v>Yes</v>
      </c>
      <c r="K25" s="131">
        <f>IFERROR(__xludf.DUMMYFUNCTION("""COMPUTED_VALUE"""),46187.706400462965)</f>
        <v>46187.7064</v>
      </c>
      <c r="L25" s="122" t="str">
        <f>IFERROR(__xludf.DUMMYFUNCTION("""COMPUTED_VALUE"""),"STOCK")</f>
        <v>STOCK</v>
      </c>
      <c r="M25" s="122"/>
      <c r="N25" s="122" t="str">
        <f>IFERROR(__xludf.DUMMYFUNCTION("""COMPUTED_VALUE"""),"No")</f>
        <v>No</v>
      </c>
      <c r="O25" s="122"/>
    </row>
    <row r="26">
      <c r="A26" s="122" t="str">
        <f>IFERROR(__xludf.DUMMYFUNCTION("""COMPUTED_VALUE"""),"RAIL")</f>
        <v>RAIL</v>
      </c>
      <c r="B26" s="122" t="str">
        <f>IFERROR(__xludf.DUMMYFUNCTION("""COMPUTED_VALUE"""),"MetroRail Corp")</f>
        <v>MetroRail Corp</v>
      </c>
      <c r="C26" s="122" t="str">
        <f>IFERROR(__xludf.DUMMYFUNCTION("""COMPUTED_VALUE"""),"Transportation")</f>
        <v>Transportation</v>
      </c>
      <c r="D26" s="60">
        <f>IFERROR(__xludf.DUMMYFUNCTION("""COMPUTED_VALUE"""),129.88)</f>
        <v>129.88</v>
      </c>
      <c r="E26" s="60">
        <f>IFERROR(__xludf.DUMMYFUNCTION("""COMPUTED_VALUE"""),129.91)</f>
        <v>129.91</v>
      </c>
      <c r="F26" s="132">
        <f>IFERROR(__xludf.DUMMYFUNCTION("""COMPUTED_VALUE"""),-2.0E-4)</f>
        <v>-0.0002</v>
      </c>
      <c r="G26" s="60">
        <f>IFERROR(__xludf.DUMMYFUNCTION("""COMPUTED_VALUE"""),-0.03)</f>
        <v>-0.03</v>
      </c>
      <c r="H26" s="240">
        <f>IFERROR(__xludf.DUMMYFUNCTION("""COMPUTED_VALUE"""),3.66)</f>
        <v>3.66</v>
      </c>
      <c r="I26" s="240" t="str">
        <f>IFERROR(__xludf.DUMMYFUNCTION("""COMPUTED_VALUE"""),"Decline")</f>
        <v>Decline</v>
      </c>
      <c r="J26" s="122" t="str">
        <f>IFERROR(__xludf.DUMMYFUNCTION("""COMPUTED_VALUE"""),"Yes")</f>
        <v>Yes</v>
      </c>
      <c r="K26" s="131">
        <f>IFERROR(__xludf.DUMMYFUNCTION("""COMPUTED_VALUE"""),46187.706400462965)</f>
        <v>46187.7064</v>
      </c>
      <c r="L26" s="122" t="str">
        <f>IFERROR(__xludf.DUMMYFUNCTION("""COMPUTED_VALUE"""),"STOCK")</f>
        <v>STOCK</v>
      </c>
      <c r="M26" s="122"/>
      <c r="N26" s="122" t="str">
        <f>IFERROR(__xludf.DUMMYFUNCTION("""COMPUTED_VALUE"""),"No")</f>
        <v>No</v>
      </c>
      <c r="O26" s="122"/>
    </row>
    <row r="27">
      <c r="A27" s="122" t="str">
        <f>IFERROR(__xludf.DUMMYFUNCTION("""COMPUTED_VALUE"""),"MEDX")</f>
        <v>MEDX</v>
      </c>
      <c r="B27" s="122" t="str">
        <f>IFERROR(__xludf.DUMMYFUNCTION("""COMPUTED_VALUE"""),"MediCore")</f>
        <v>MediCore</v>
      </c>
      <c r="C27" s="122" t="str">
        <f>IFERROR(__xludf.DUMMYFUNCTION("""COMPUTED_VALUE"""),"Healthcare")</f>
        <v>Healthcare</v>
      </c>
      <c r="D27" s="60">
        <f>IFERROR(__xludf.DUMMYFUNCTION("""COMPUTED_VALUE"""),139.38)</f>
        <v>139.38</v>
      </c>
      <c r="E27" s="60">
        <f>IFERROR(__xludf.DUMMYFUNCTION("""COMPUTED_VALUE"""),139.05)</f>
        <v>139.05</v>
      </c>
      <c r="F27" s="132">
        <f>IFERROR(__xludf.DUMMYFUNCTION("""COMPUTED_VALUE"""),0.0024)</f>
        <v>0.0024</v>
      </c>
      <c r="G27" s="60">
        <f>IFERROR(__xludf.DUMMYFUNCTION("""COMPUTED_VALUE"""),0.33)</f>
        <v>0.33</v>
      </c>
      <c r="H27" s="240">
        <f>IFERROR(__xludf.DUMMYFUNCTION("""COMPUTED_VALUE"""),3.55)</f>
        <v>3.55</v>
      </c>
      <c r="I27" s="240" t="str">
        <f>IFERROR(__xludf.DUMMYFUNCTION("""COMPUTED_VALUE"""),"Stable")</f>
        <v>Stable</v>
      </c>
      <c r="J27" s="122" t="str">
        <f>IFERROR(__xludf.DUMMYFUNCTION("""COMPUTED_VALUE"""),"Yes")</f>
        <v>Yes</v>
      </c>
      <c r="K27" s="131">
        <f>IFERROR(__xludf.DUMMYFUNCTION("""COMPUTED_VALUE"""),46187.706400462965)</f>
        <v>46187.7064</v>
      </c>
      <c r="L27" s="122" t="str">
        <f>IFERROR(__xludf.DUMMYFUNCTION("""COMPUTED_VALUE"""),"STOCK")</f>
        <v>STOCK</v>
      </c>
      <c r="M27" s="122"/>
      <c r="N27" s="122" t="str">
        <f>IFERROR(__xludf.DUMMYFUNCTION("""COMPUTED_VALUE"""),"No")</f>
        <v>No</v>
      </c>
      <c r="O27" s="122"/>
    </row>
    <row r="28">
      <c r="A28" s="122" t="str">
        <f>IFERROR(__xludf.DUMMYFUNCTION("""COMPUTED_VALUE"""),"GYMX")</f>
        <v>GYMX</v>
      </c>
      <c r="B28" s="122" t="str">
        <f>IFERROR(__xludf.DUMMYFUNCTION("""COMPUTED_VALUE"""),"GymX Fitness")</f>
        <v>GymX Fitness</v>
      </c>
      <c r="C28" s="122" t="str">
        <f>IFERROR(__xludf.DUMMYFUNCTION("""COMPUTED_VALUE"""),"Healthcare")</f>
        <v>Healthcare</v>
      </c>
      <c r="D28" s="60">
        <f>IFERROR(__xludf.DUMMYFUNCTION("""COMPUTED_VALUE"""),80.33)</f>
        <v>80.33</v>
      </c>
      <c r="E28" s="60">
        <f>IFERROR(__xludf.DUMMYFUNCTION("""COMPUTED_VALUE"""),80.82)</f>
        <v>80.82</v>
      </c>
      <c r="F28" s="132">
        <f>IFERROR(__xludf.DUMMYFUNCTION("""COMPUTED_VALUE"""),-0.0061)</f>
        <v>-0.0061</v>
      </c>
      <c r="G28" s="60">
        <f>IFERROR(__xludf.DUMMYFUNCTION("""COMPUTED_VALUE"""),-0.49)</f>
        <v>-0.49</v>
      </c>
      <c r="H28" s="240">
        <f>IFERROR(__xludf.DUMMYFUNCTION("""COMPUTED_VALUE"""),6.98)</f>
        <v>6.98</v>
      </c>
      <c r="I28" s="240" t="str">
        <f>IFERROR(__xludf.DUMMYFUNCTION("""COMPUTED_VALUE"""),"Stable")</f>
        <v>Stable</v>
      </c>
      <c r="J28" s="122" t="str">
        <f>IFERROR(__xludf.DUMMYFUNCTION("""COMPUTED_VALUE"""),"Yes")</f>
        <v>Yes</v>
      </c>
      <c r="K28" s="131">
        <f>IFERROR(__xludf.DUMMYFUNCTION("""COMPUTED_VALUE"""),46187.706400462965)</f>
        <v>46187.7064</v>
      </c>
      <c r="L28" s="122" t="str">
        <f>IFERROR(__xludf.DUMMYFUNCTION("""COMPUTED_VALUE"""),"STOCK")</f>
        <v>STOCK</v>
      </c>
      <c r="M28" s="122"/>
      <c r="N28" s="122" t="str">
        <f>IFERROR(__xludf.DUMMYFUNCTION("""COMPUTED_VALUE"""),"No")</f>
        <v>No</v>
      </c>
      <c r="O28" s="122"/>
    </row>
    <row r="29">
      <c r="A29" s="122" t="str">
        <f>IFERROR(__xludf.DUMMYFUNCTION("""COMPUTED_VALUE"""),"VITA")</f>
        <v>VITA</v>
      </c>
      <c r="B29" s="122" t="str">
        <f>IFERROR(__xludf.DUMMYFUNCTION("""COMPUTED_VALUE"""),"VitaPlus")</f>
        <v>VitaPlus</v>
      </c>
      <c r="C29" s="122" t="str">
        <f>IFERROR(__xludf.DUMMYFUNCTION("""COMPUTED_VALUE"""),"Healthcare")</f>
        <v>Healthcare</v>
      </c>
      <c r="D29" s="60">
        <f>IFERROR(__xludf.DUMMYFUNCTION("""COMPUTED_VALUE"""),72.0)</f>
        <v>72</v>
      </c>
      <c r="E29" s="60">
        <f>IFERROR(__xludf.DUMMYFUNCTION("""COMPUTED_VALUE"""),71.67)</f>
        <v>71.67</v>
      </c>
      <c r="F29" s="132">
        <f>IFERROR(__xludf.DUMMYFUNCTION("""COMPUTED_VALUE"""),0.0046)</f>
        <v>0.0046</v>
      </c>
      <c r="G29" s="60">
        <f>IFERROR(__xludf.DUMMYFUNCTION("""COMPUTED_VALUE"""),0.33)</f>
        <v>0.33</v>
      </c>
      <c r="H29" s="240">
        <f>IFERROR(__xludf.DUMMYFUNCTION("""COMPUTED_VALUE"""),6.13)</f>
        <v>6.13</v>
      </c>
      <c r="I29" s="240" t="str">
        <f>IFERROR(__xludf.DUMMYFUNCTION("""COMPUTED_VALUE"""),"Stable")</f>
        <v>Stable</v>
      </c>
      <c r="J29" s="122" t="str">
        <f>IFERROR(__xludf.DUMMYFUNCTION("""COMPUTED_VALUE"""),"Yes")</f>
        <v>Yes</v>
      </c>
      <c r="K29" s="131">
        <f>IFERROR(__xludf.DUMMYFUNCTION("""COMPUTED_VALUE"""),46187.706400462965)</f>
        <v>46187.7064</v>
      </c>
      <c r="L29" s="122" t="str">
        <f>IFERROR(__xludf.DUMMYFUNCTION("""COMPUTED_VALUE"""),"STOCK")</f>
        <v>STOCK</v>
      </c>
      <c r="M29" s="122"/>
      <c r="N29" s="122" t="str">
        <f>IFERROR(__xludf.DUMMYFUNCTION("""COMPUTED_VALUE"""),"No")</f>
        <v>No</v>
      </c>
      <c r="O29" s="122"/>
    </row>
    <row r="30">
      <c r="A30" s="122" t="str">
        <f>IFERROR(__xludf.DUMMYFUNCTION("""COMPUTED_VALUE"""),"CARE")</f>
        <v>CARE</v>
      </c>
      <c r="B30" s="122" t="str">
        <f>IFERROR(__xludf.DUMMYFUNCTION("""COMPUTED_VALUE"""),"CareCloud")</f>
        <v>CareCloud</v>
      </c>
      <c r="C30" s="122" t="str">
        <f>IFERROR(__xludf.DUMMYFUNCTION("""COMPUTED_VALUE"""),"Healthcare")</f>
        <v>Healthcare</v>
      </c>
      <c r="D30" s="60">
        <f>IFERROR(__xludf.DUMMYFUNCTION("""COMPUTED_VALUE"""),187.5)</f>
        <v>187.5</v>
      </c>
      <c r="E30" s="60">
        <f>IFERROR(__xludf.DUMMYFUNCTION("""COMPUTED_VALUE"""),186.14)</f>
        <v>186.14</v>
      </c>
      <c r="F30" s="132">
        <f>IFERROR(__xludf.DUMMYFUNCTION("""COMPUTED_VALUE"""),0.0073)</f>
        <v>0.0073</v>
      </c>
      <c r="G30" s="60">
        <f>IFERROR(__xludf.DUMMYFUNCTION("""COMPUTED_VALUE"""),1.36)</f>
        <v>1.36</v>
      </c>
      <c r="H30" s="240">
        <f>IFERROR(__xludf.DUMMYFUNCTION("""COMPUTED_VALUE"""),8.24)</f>
        <v>8.24</v>
      </c>
      <c r="I30" s="240" t="str">
        <f>IFERROR(__xludf.DUMMYFUNCTION("""COMPUTED_VALUE"""),"Volatile")</f>
        <v>Volatile</v>
      </c>
      <c r="J30" s="122" t="str">
        <f>IFERROR(__xludf.DUMMYFUNCTION("""COMPUTED_VALUE"""),"Yes")</f>
        <v>Yes</v>
      </c>
      <c r="K30" s="131">
        <f>IFERROR(__xludf.DUMMYFUNCTION("""COMPUTED_VALUE"""),46187.706400462965)</f>
        <v>46187.7064</v>
      </c>
      <c r="L30" s="122" t="str">
        <f>IFERROR(__xludf.DUMMYFUNCTION("""COMPUTED_VALUE"""),"STOCK")</f>
        <v>STOCK</v>
      </c>
      <c r="M30" s="122"/>
      <c r="N30" s="122" t="str">
        <f>IFERROR(__xludf.DUMMYFUNCTION("""COMPUTED_VALUE"""),"No")</f>
        <v>No</v>
      </c>
      <c r="O30" s="122"/>
    </row>
    <row r="31">
      <c r="A31" s="122" t="str">
        <f>IFERROR(__xludf.DUMMYFUNCTION("""COMPUTED_VALUE"""),"DENT")</f>
        <v>DENT</v>
      </c>
      <c r="B31" s="122" t="str">
        <f>IFERROR(__xludf.DUMMYFUNCTION("""COMPUTED_VALUE"""),"SmileWorks")</f>
        <v>SmileWorks</v>
      </c>
      <c r="C31" s="122" t="str">
        <f>IFERROR(__xludf.DUMMYFUNCTION("""COMPUTED_VALUE"""),"Healthcare")</f>
        <v>Healthcare</v>
      </c>
      <c r="D31" s="60">
        <f>IFERROR(__xludf.DUMMYFUNCTION("""COMPUTED_VALUE"""),100.2)</f>
        <v>100.2</v>
      </c>
      <c r="E31" s="60">
        <f>IFERROR(__xludf.DUMMYFUNCTION("""COMPUTED_VALUE"""),100.36)</f>
        <v>100.36</v>
      </c>
      <c r="F31" s="132">
        <f>IFERROR(__xludf.DUMMYFUNCTION("""COMPUTED_VALUE"""),-0.0016)</f>
        <v>-0.0016</v>
      </c>
      <c r="G31" s="60">
        <f>IFERROR(__xludf.DUMMYFUNCTION("""COMPUTED_VALUE"""),-0.16)</f>
        <v>-0.16</v>
      </c>
      <c r="H31" s="240">
        <f>IFERROR(__xludf.DUMMYFUNCTION("""COMPUTED_VALUE"""),4.94)</f>
        <v>4.94</v>
      </c>
      <c r="I31" s="240" t="str">
        <f>IFERROR(__xludf.DUMMYFUNCTION("""COMPUTED_VALUE"""),"Hot")</f>
        <v>Hot</v>
      </c>
      <c r="J31" s="122" t="str">
        <f>IFERROR(__xludf.DUMMYFUNCTION("""COMPUTED_VALUE"""),"Yes")</f>
        <v>Yes</v>
      </c>
      <c r="K31" s="131">
        <f>IFERROR(__xludf.DUMMYFUNCTION("""COMPUTED_VALUE"""),46187.706400462965)</f>
        <v>46187.7064</v>
      </c>
      <c r="L31" s="122" t="str">
        <f>IFERROR(__xludf.DUMMYFUNCTION("""COMPUTED_VALUE"""),"STOCK")</f>
        <v>STOCK</v>
      </c>
      <c r="M31" s="122"/>
      <c r="N31" s="122" t="str">
        <f>IFERROR(__xludf.DUMMYFUNCTION("""COMPUTED_VALUE"""),"No")</f>
        <v>No</v>
      </c>
      <c r="O31" s="122"/>
    </row>
    <row r="32">
      <c r="A32" s="122" t="str">
        <f>IFERROR(__xludf.DUMMYFUNCTION("""COMPUTED_VALUE"""),"EDUX")</f>
        <v>EDUX</v>
      </c>
      <c r="B32" s="122" t="str">
        <f>IFERROR(__xludf.DUMMYFUNCTION("""COMPUTED_VALUE"""),"EduMax Learning")</f>
        <v>EduMax Learning</v>
      </c>
      <c r="C32" s="122" t="str">
        <f>IFERROR(__xludf.DUMMYFUNCTION("""COMPUTED_VALUE"""),"Education")</f>
        <v>Education</v>
      </c>
      <c r="D32" s="60">
        <f>IFERROR(__xludf.DUMMYFUNCTION("""COMPUTED_VALUE"""),156.24)</f>
        <v>156.24</v>
      </c>
      <c r="E32" s="60">
        <f>IFERROR(__xludf.DUMMYFUNCTION("""COMPUTED_VALUE"""),156.65)</f>
        <v>156.65</v>
      </c>
      <c r="F32" s="132">
        <f>IFERROR(__xludf.DUMMYFUNCTION("""COMPUTED_VALUE"""),-0.0026)</f>
        <v>-0.0026</v>
      </c>
      <c r="G32" s="60">
        <f>IFERROR(__xludf.DUMMYFUNCTION("""COMPUTED_VALUE"""),-0.41)</f>
        <v>-0.41</v>
      </c>
      <c r="H32" s="240">
        <f>IFERROR(__xludf.DUMMYFUNCTION("""COMPUTED_VALUE"""),6.42)</f>
        <v>6.42</v>
      </c>
      <c r="I32" s="240" t="str">
        <f>IFERROR(__xludf.DUMMYFUNCTION("""COMPUTED_VALUE"""),"Growth")</f>
        <v>Growth</v>
      </c>
      <c r="J32" s="122" t="str">
        <f>IFERROR(__xludf.DUMMYFUNCTION("""COMPUTED_VALUE"""),"Yes")</f>
        <v>Yes</v>
      </c>
      <c r="K32" s="131">
        <f>IFERROR(__xludf.DUMMYFUNCTION("""COMPUTED_VALUE"""),46187.706400462965)</f>
        <v>46187.7064</v>
      </c>
      <c r="L32" s="122" t="str">
        <f>IFERROR(__xludf.DUMMYFUNCTION("""COMPUTED_VALUE"""),"STOCK")</f>
        <v>STOCK</v>
      </c>
      <c r="M32" s="122"/>
      <c r="N32" s="122" t="str">
        <f>IFERROR(__xludf.DUMMYFUNCTION("""COMPUTED_VALUE"""),"No")</f>
        <v>No</v>
      </c>
      <c r="O32" s="122"/>
    </row>
    <row r="33">
      <c r="A33" s="122" t="str">
        <f>IFERROR(__xludf.DUMMYFUNCTION("""COMPUTED_VALUE"""),"BOOK")</f>
        <v>BOOK</v>
      </c>
      <c r="B33" s="122" t="str">
        <f>IFERROR(__xludf.DUMMYFUNCTION("""COMPUTED_VALUE"""),"BookBridge")</f>
        <v>BookBridge</v>
      </c>
      <c r="C33" s="122" t="str">
        <f>IFERROR(__xludf.DUMMYFUNCTION("""COMPUTED_VALUE"""),"Education")</f>
        <v>Education</v>
      </c>
      <c r="D33" s="60">
        <f>IFERROR(__xludf.DUMMYFUNCTION("""COMPUTED_VALUE"""),121.84)</f>
        <v>121.84</v>
      </c>
      <c r="E33" s="60">
        <f>IFERROR(__xludf.DUMMYFUNCTION("""COMPUTED_VALUE"""),121.29)</f>
        <v>121.29</v>
      </c>
      <c r="F33" s="132">
        <f>IFERROR(__xludf.DUMMYFUNCTION("""COMPUTED_VALUE"""),0.0045)</f>
        <v>0.0045</v>
      </c>
      <c r="G33" s="60">
        <f>IFERROR(__xludf.DUMMYFUNCTION("""COMPUTED_VALUE"""),0.55)</f>
        <v>0.55</v>
      </c>
      <c r="H33" s="240">
        <f>IFERROR(__xludf.DUMMYFUNCTION("""COMPUTED_VALUE"""),4.84)</f>
        <v>4.84</v>
      </c>
      <c r="I33" s="240" t="str">
        <f>IFERROR(__xludf.DUMMYFUNCTION("""COMPUTED_VALUE"""),"Growth")</f>
        <v>Growth</v>
      </c>
      <c r="J33" s="122" t="str">
        <f>IFERROR(__xludf.DUMMYFUNCTION("""COMPUTED_VALUE"""),"Yes")</f>
        <v>Yes</v>
      </c>
      <c r="K33" s="131">
        <f>IFERROR(__xludf.DUMMYFUNCTION("""COMPUTED_VALUE"""),46187.706400462965)</f>
        <v>46187.7064</v>
      </c>
      <c r="L33" s="122" t="str">
        <f>IFERROR(__xludf.DUMMYFUNCTION("""COMPUTED_VALUE"""),"STOCK")</f>
        <v>STOCK</v>
      </c>
      <c r="M33" s="122"/>
      <c r="N33" s="122" t="str">
        <f>IFERROR(__xludf.DUMMYFUNCTION("""COMPUTED_VALUE"""),"No")</f>
        <v>No</v>
      </c>
      <c r="O33" s="122"/>
    </row>
    <row r="34">
      <c r="A34" s="122" t="str">
        <f>IFERROR(__xludf.DUMMYFUNCTION("""COMPUTED_VALUE"""),"TUTR")</f>
        <v>TUTR</v>
      </c>
      <c r="B34" s="122" t="str">
        <f>IFERROR(__xludf.DUMMYFUNCTION("""COMPUTED_VALUE"""),"TutorTown")</f>
        <v>TutorTown</v>
      </c>
      <c r="C34" s="122" t="str">
        <f>IFERROR(__xludf.DUMMYFUNCTION("""COMPUTED_VALUE"""),"Education")</f>
        <v>Education</v>
      </c>
      <c r="D34" s="60">
        <f>IFERROR(__xludf.DUMMYFUNCTION("""COMPUTED_VALUE"""),92.46)</f>
        <v>92.46</v>
      </c>
      <c r="E34" s="60">
        <f>IFERROR(__xludf.DUMMYFUNCTION("""COMPUTED_VALUE"""),92.48)</f>
        <v>92.48</v>
      </c>
      <c r="F34" s="132">
        <f>IFERROR(__xludf.DUMMYFUNCTION("""COMPUTED_VALUE"""),-2.0E-4)</f>
        <v>-0.0002</v>
      </c>
      <c r="G34" s="60">
        <f>IFERROR(__xludf.DUMMYFUNCTION("""COMPUTED_VALUE"""),-0.02)</f>
        <v>-0.02</v>
      </c>
      <c r="H34" s="240">
        <f>IFERROR(__xludf.DUMMYFUNCTION("""COMPUTED_VALUE"""),6.74)</f>
        <v>6.74</v>
      </c>
      <c r="I34" s="240" t="str">
        <f>IFERROR(__xludf.DUMMYFUNCTION("""COMPUTED_VALUE"""),"Stable")</f>
        <v>Stable</v>
      </c>
      <c r="J34" s="122" t="str">
        <f>IFERROR(__xludf.DUMMYFUNCTION("""COMPUTED_VALUE"""),"Yes")</f>
        <v>Yes</v>
      </c>
      <c r="K34" s="131">
        <f>IFERROR(__xludf.DUMMYFUNCTION("""COMPUTED_VALUE"""),46187.706400462965)</f>
        <v>46187.7064</v>
      </c>
      <c r="L34" s="122" t="str">
        <f>IFERROR(__xludf.DUMMYFUNCTION("""COMPUTED_VALUE"""),"STOCK")</f>
        <v>STOCK</v>
      </c>
      <c r="M34" s="122"/>
      <c r="N34" s="122" t="str">
        <f>IFERROR(__xludf.DUMMYFUNCTION("""COMPUTED_VALUE"""),"No")</f>
        <v>No</v>
      </c>
      <c r="O34" s="122"/>
    </row>
    <row r="35">
      <c r="A35" s="122" t="str">
        <f>IFERROR(__xludf.DUMMYFUNCTION("""COMPUTED_VALUE"""),"LANG")</f>
        <v>LANG</v>
      </c>
      <c r="B35" s="122" t="str">
        <f>IFERROR(__xludf.DUMMYFUNCTION("""COMPUTED_VALUE"""),"LinguaLab")</f>
        <v>LinguaLab</v>
      </c>
      <c r="C35" s="122" t="str">
        <f>IFERROR(__xludf.DUMMYFUNCTION("""COMPUTED_VALUE"""),"Education")</f>
        <v>Education</v>
      </c>
      <c r="D35" s="60">
        <f>IFERROR(__xludf.DUMMYFUNCTION("""COMPUTED_VALUE"""),103.53)</f>
        <v>103.53</v>
      </c>
      <c r="E35" s="60">
        <f>IFERROR(__xludf.DUMMYFUNCTION("""COMPUTED_VALUE"""),103.16)</f>
        <v>103.16</v>
      </c>
      <c r="F35" s="132">
        <f>IFERROR(__xludf.DUMMYFUNCTION("""COMPUTED_VALUE"""),0.0036)</f>
        <v>0.0036</v>
      </c>
      <c r="G35" s="60">
        <f>IFERROR(__xludf.DUMMYFUNCTION("""COMPUTED_VALUE"""),0.37)</f>
        <v>0.37</v>
      </c>
      <c r="H35" s="240">
        <f>IFERROR(__xludf.DUMMYFUNCTION("""COMPUTED_VALUE"""),4.38)</f>
        <v>4.38</v>
      </c>
      <c r="I35" s="240" t="str">
        <f>IFERROR(__xludf.DUMMYFUNCTION("""COMPUTED_VALUE"""),"Growth")</f>
        <v>Growth</v>
      </c>
      <c r="J35" s="122" t="str">
        <f>IFERROR(__xludf.DUMMYFUNCTION("""COMPUTED_VALUE"""),"Yes")</f>
        <v>Yes</v>
      </c>
      <c r="K35" s="131">
        <f>IFERROR(__xludf.DUMMYFUNCTION("""COMPUTED_VALUE"""),46187.706400462965)</f>
        <v>46187.7064</v>
      </c>
      <c r="L35" s="122" t="str">
        <f>IFERROR(__xludf.DUMMYFUNCTION("""COMPUTED_VALUE"""),"STOCK")</f>
        <v>STOCK</v>
      </c>
      <c r="M35" s="122"/>
      <c r="N35" s="122" t="str">
        <f>IFERROR(__xludf.DUMMYFUNCTION("""COMPUTED_VALUE"""),"No")</f>
        <v>No</v>
      </c>
      <c r="O35" s="122"/>
    </row>
    <row r="36">
      <c r="A36" s="122" t="str">
        <f>IFERROR(__xludf.DUMMYFUNCTION("""COMPUTED_VALUE"""),"TEST")</f>
        <v>TEST</v>
      </c>
      <c r="B36" s="122" t="str">
        <f>IFERROR(__xludf.DUMMYFUNCTION("""COMPUTED_VALUE"""),"TestPrep Pro")</f>
        <v>TestPrep Pro</v>
      </c>
      <c r="C36" s="122" t="str">
        <f>IFERROR(__xludf.DUMMYFUNCTION("""COMPUTED_VALUE"""),"Education")</f>
        <v>Education</v>
      </c>
      <c r="D36" s="60">
        <f>IFERROR(__xludf.DUMMYFUNCTION("""COMPUTED_VALUE"""),85.34)</f>
        <v>85.34</v>
      </c>
      <c r="E36" s="60">
        <f>IFERROR(__xludf.DUMMYFUNCTION("""COMPUTED_VALUE"""),85.93)</f>
        <v>85.93</v>
      </c>
      <c r="F36" s="132">
        <f>IFERROR(__xludf.DUMMYFUNCTION("""COMPUTED_VALUE"""),-0.0069)</f>
        <v>-0.0069</v>
      </c>
      <c r="G36" s="60">
        <f>IFERROR(__xludf.DUMMYFUNCTION("""COMPUTED_VALUE"""),-0.59)</f>
        <v>-0.59</v>
      </c>
      <c r="H36" s="240">
        <f>IFERROR(__xludf.DUMMYFUNCTION("""COMPUTED_VALUE"""),8.81)</f>
        <v>8.81</v>
      </c>
      <c r="I36" s="240" t="str">
        <f>IFERROR(__xludf.DUMMYFUNCTION("""COMPUTED_VALUE"""),"Decline")</f>
        <v>Decline</v>
      </c>
      <c r="J36" s="122" t="str">
        <f>IFERROR(__xludf.DUMMYFUNCTION("""COMPUTED_VALUE"""),"Yes")</f>
        <v>Yes</v>
      </c>
      <c r="K36" s="131">
        <f>IFERROR(__xludf.DUMMYFUNCTION("""COMPUTED_VALUE"""),46187.706400462965)</f>
        <v>46187.7064</v>
      </c>
      <c r="L36" s="122" t="str">
        <f>IFERROR(__xludf.DUMMYFUNCTION("""COMPUTED_VALUE"""),"STOCK")</f>
        <v>STOCK</v>
      </c>
      <c r="M36" s="122"/>
      <c r="N36" s="122" t="str">
        <f>IFERROR(__xludf.DUMMYFUNCTION("""COMPUTED_VALUE"""),"No")</f>
        <v>No</v>
      </c>
      <c r="O36" s="122"/>
    </row>
    <row r="37">
      <c r="A37" s="122" t="str">
        <f>IFERROR(__xludf.DUMMYFUNCTION("""COMPUTED_VALUE"""),"MOVI")</f>
        <v>MOVI</v>
      </c>
      <c r="B37" s="122" t="str">
        <f>IFERROR(__xludf.DUMMYFUNCTION("""COMPUTED_VALUE"""),"MovieBox")</f>
        <v>MovieBox</v>
      </c>
      <c r="C37" s="122" t="str">
        <f>IFERROR(__xludf.DUMMYFUNCTION("""COMPUTED_VALUE"""),"Entertainment")</f>
        <v>Entertainment</v>
      </c>
      <c r="D37" s="60">
        <f>IFERROR(__xludf.DUMMYFUNCTION("""COMPUTED_VALUE"""),84.08)</f>
        <v>84.08</v>
      </c>
      <c r="E37" s="60">
        <f>IFERROR(__xludf.DUMMYFUNCTION("""COMPUTED_VALUE"""),83.68)</f>
        <v>83.68</v>
      </c>
      <c r="F37" s="132">
        <f>IFERROR(__xludf.DUMMYFUNCTION("""COMPUTED_VALUE"""),0.0048)</f>
        <v>0.0048</v>
      </c>
      <c r="G37" s="60">
        <f>IFERROR(__xludf.DUMMYFUNCTION("""COMPUTED_VALUE"""),0.4)</f>
        <v>0.4</v>
      </c>
      <c r="H37" s="240">
        <f>IFERROR(__xludf.DUMMYFUNCTION("""COMPUTED_VALUE"""),8.47)</f>
        <v>8.47</v>
      </c>
      <c r="I37" s="240" t="str">
        <f>IFERROR(__xludf.DUMMYFUNCTION("""COMPUTED_VALUE"""),"Stable")</f>
        <v>Stable</v>
      </c>
      <c r="J37" s="122" t="str">
        <f>IFERROR(__xludf.DUMMYFUNCTION("""COMPUTED_VALUE"""),"Yes")</f>
        <v>Yes</v>
      </c>
      <c r="K37" s="131">
        <f>IFERROR(__xludf.DUMMYFUNCTION("""COMPUTED_VALUE"""),46187.706400462965)</f>
        <v>46187.7064</v>
      </c>
      <c r="L37" s="122" t="str">
        <f>IFERROR(__xludf.DUMMYFUNCTION("""COMPUTED_VALUE"""),"STOCK")</f>
        <v>STOCK</v>
      </c>
      <c r="M37" s="122"/>
      <c r="N37" s="122" t="str">
        <f>IFERROR(__xludf.DUMMYFUNCTION("""COMPUTED_VALUE"""),"No")</f>
        <v>No</v>
      </c>
      <c r="O37" s="122"/>
    </row>
    <row r="38">
      <c r="A38" s="122" t="str">
        <f>IFERROR(__xludf.DUMMYFUNCTION("""COMPUTED_VALUE"""),"MUSC")</f>
        <v>MUSC</v>
      </c>
      <c r="B38" s="122" t="str">
        <f>IFERROR(__xludf.DUMMYFUNCTION("""COMPUTED_VALUE"""),"MusicWave")</f>
        <v>MusicWave</v>
      </c>
      <c r="C38" s="122" t="str">
        <f>IFERROR(__xludf.DUMMYFUNCTION("""COMPUTED_VALUE"""),"Entertainment")</f>
        <v>Entertainment</v>
      </c>
      <c r="D38" s="60">
        <f>IFERROR(__xludf.DUMMYFUNCTION("""COMPUTED_VALUE"""),104.89)</f>
        <v>104.89</v>
      </c>
      <c r="E38" s="60">
        <f>IFERROR(__xludf.DUMMYFUNCTION("""COMPUTED_VALUE"""),104.65)</f>
        <v>104.65</v>
      </c>
      <c r="F38" s="132">
        <f>IFERROR(__xludf.DUMMYFUNCTION("""COMPUTED_VALUE"""),0.0023)</f>
        <v>0.0023</v>
      </c>
      <c r="G38" s="60">
        <f>IFERROR(__xludf.DUMMYFUNCTION("""COMPUTED_VALUE"""),0.24)</f>
        <v>0.24</v>
      </c>
      <c r="H38" s="240">
        <f>IFERROR(__xludf.DUMMYFUNCTION("""COMPUTED_VALUE"""),8.12)</f>
        <v>8.12</v>
      </c>
      <c r="I38" s="240" t="str">
        <f>IFERROR(__xludf.DUMMYFUNCTION("""COMPUTED_VALUE"""),"Growth")</f>
        <v>Growth</v>
      </c>
      <c r="J38" s="122" t="str">
        <f>IFERROR(__xludf.DUMMYFUNCTION("""COMPUTED_VALUE"""),"Yes")</f>
        <v>Yes</v>
      </c>
      <c r="K38" s="131">
        <f>IFERROR(__xludf.DUMMYFUNCTION("""COMPUTED_VALUE"""),46187.706400462965)</f>
        <v>46187.7064</v>
      </c>
      <c r="L38" s="122" t="str">
        <f>IFERROR(__xludf.DUMMYFUNCTION("""COMPUTED_VALUE"""),"STOCK")</f>
        <v>STOCK</v>
      </c>
      <c r="M38" s="122"/>
      <c r="N38" s="122" t="str">
        <f>IFERROR(__xludf.DUMMYFUNCTION("""COMPUTED_VALUE"""),"No")</f>
        <v>No</v>
      </c>
      <c r="O38" s="122"/>
    </row>
    <row r="39">
      <c r="A39" s="122" t="str">
        <f>IFERROR(__xludf.DUMMYFUNCTION("""COMPUTED_VALUE"""),"IDOL")</f>
        <v>IDOL</v>
      </c>
      <c r="B39" s="122" t="str">
        <f>IFERROR(__xludf.DUMMYFUNCTION("""COMPUTED_VALUE"""),"Idol Agency")</f>
        <v>Idol Agency</v>
      </c>
      <c r="C39" s="122" t="str">
        <f>IFERROR(__xludf.DUMMYFUNCTION("""COMPUTED_VALUE"""),"Entertainment")</f>
        <v>Entertainment</v>
      </c>
      <c r="D39" s="60">
        <f>IFERROR(__xludf.DUMMYFUNCTION("""COMPUTED_VALUE"""),188.23)</f>
        <v>188.23</v>
      </c>
      <c r="E39" s="60">
        <f>IFERROR(__xludf.DUMMYFUNCTION("""COMPUTED_VALUE"""),188.13)</f>
        <v>188.13</v>
      </c>
      <c r="F39" s="132">
        <f>IFERROR(__xludf.DUMMYFUNCTION("""COMPUTED_VALUE"""),5.0E-4)</f>
        <v>0.0005</v>
      </c>
      <c r="G39" s="60">
        <f>IFERROR(__xludf.DUMMYFUNCTION("""COMPUTED_VALUE"""),0.1)</f>
        <v>0.1</v>
      </c>
      <c r="H39" s="240">
        <f>IFERROR(__xludf.DUMMYFUNCTION("""COMPUTED_VALUE"""),12.94)</f>
        <v>12.94</v>
      </c>
      <c r="I39" s="240" t="str">
        <f>IFERROR(__xludf.DUMMYFUNCTION("""COMPUTED_VALUE"""),"Decline")</f>
        <v>Decline</v>
      </c>
      <c r="J39" s="122" t="str">
        <f>IFERROR(__xludf.DUMMYFUNCTION("""COMPUTED_VALUE"""),"Yes")</f>
        <v>Yes</v>
      </c>
      <c r="K39" s="131">
        <f>IFERROR(__xludf.DUMMYFUNCTION("""COMPUTED_VALUE"""),46187.706400462965)</f>
        <v>46187.7064</v>
      </c>
      <c r="L39" s="122" t="str">
        <f>IFERROR(__xludf.DUMMYFUNCTION("""COMPUTED_VALUE"""),"STOCK")</f>
        <v>STOCK</v>
      </c>
      <c r="M39" s="122"/>
      <c r="N39" s="122" t="str">
        <f>IFERROR(__xludf.DUMMYFUNCTION("""COMPUTED_VALUE"""),"No")</f>
        <v>No</v>
      </c>
      <c r="O39" s="122"/>
    </row>
    <row r="40">
      <c r="A40" s="122" t="str">
        <f>IFERROR(__xludf.DUMMYFUNCTION("""COMPUTED_VALUE"""),"MEME")</f>
        <v>MEME</v>
      </c>
      <c r="B40" s="122" t="str">
        <f>IFERROR(__xludf.DUMMYFUNCTION("""COMPUTED_VALUE"""),"Meme Media")</f>
        <v>Meme Media</v>
      </c>
      <c r="C40" s="122" t="str">
        <f>IFERROR(__xludf.DUMMYFUNCTION("""COMPUTED_VALUE"""),"Entertainment")</f>
        <v>Entertainment</v>
      </c>
      <c r="D40" s="60">
        <f>IFERROR(__xludf.DUMMYFUNCTION("""COMPUTED_VALUE"""),74.38)</f>
        <v>74.38</v>
      </c>
      <c r="E40" s="60">
        <f>IFERROR(__xludf.DUMMYFUNCTION("""COMPUTED_VALUE"""),75.22)</f>
        <v>75.22</v>
      </c>
      <c r="F40" s="132">
        <f>IFERROR(__xludf.DUMMYFUNCTION("""COMPUTED_VALUE"""),-0.0112)</f>
        <v>-0.0112</v>
      </c>
      <c r="G40" s="60">
        <f>IFERROR(__xludf.DUMMYFUNCTION("""COMPUTED_VALUE"""),-0.84)</f>
        <v>-0.84</v>
      </c>
      <c r="H40" s="240">
        <f>IFERROR(__xludf.DUMMYFUNCTION("""COMPUTED_VALUE"""),15.0)</f>
        <v>15</v>
      </c>
      <c r="I40" s="240" t="str">
        <f>IFERROR(__xludf.DUMMYFUNCTION("""COMPUTED_VALUE"""),"Stable")</f>
        <v>Stable</v>
      </c>
      <c r="J40" s="122" t="str">
        <f>IFERROR(__xludf.DUMMYFUNCTION("""COMPUTED_VALUE"""),"Yes")</f>
        <v>Yes</v>
      </c>
      <c r="K40" s="131">
        <f>IFERROR(__xludf.DUMMYFUNCTION("""COMPUTED_VALUE"""),46187.706400462965)</f>
        <v>46187.7064</v>
      </c>
      <c r="L40" s="122" t="str">
        <f>IFERROR(__xludf.DUMMYFUNCTION("""COMPUTED_VALUE"""),"STOCK")</f>
        <v>STOCK</v>
      </c>
      <c r="M40" s="122"/>
      <c r="N40" s="122" t="str">
        <f>IFERROR(__xludf.DUMMYFUNCTION("""COMPUTED_VALUE"""),"No")</f>
        <v>No</v>
      </c>
      <c r="O40" s="122"/>
    </row>
    <row r="41">
      <c r="A41" s="122" t="str">
        <f>IFERROR(__xludf.DUMMYFUNCTION("""COMPUTED_VALUE"""),"STRM")</f>
        <v>STRM</v>
      </c>
      <c r="B41" s="122" t="str">
        <f>IFERROR(__xludf.DUMMYFUNCTION("""COMPUTED_VALUE"""),"Streamly")</f>
        <v>Streamly</v>
      </c>
      <c r="C41" s="122" t="str">
        <f>IFERROR(__xludf.DUMMYFUNCTION("""COMPUTED_VALUE"""),"Entertainment")</f>
        <v>Entertainment</v>
      </c>
      <c r="D41" s="60">
        <f>IFERROR(__xludf.DUMMYFUNCTION("""COMPUTED_VALUE"""),126.38)</f>
        <v>126.38</v>
      </c>
      <c r="E41" s="60">
        <f>IFERROR(__xludf.DUMMYFUNCTION("""COMPUTED_VALUE"""),126.78)</f>
        <v>126.78</v>
      </c>
      <c r="F41" s="132">
        <f>IFERROR(__xludf.DUMMYFUNCTION("""COMPUTED_VALUE"""),-0.0032)</f>
        <v>-0.0032</v>
      </c>
      <c r="G41" s="60">
        <f>IFERROR(__xludf.DUMMYFUNCTION("""COMPUTED_VALUE"""),-0.4)</f>
        <v>-0.4</v>
      </c>
      <c r="H41" s="240">
        <f>IFERROR(__xludf.DUMMYFUNCTION("""COMPUTED_VALUE"""),9.21)</f>
        <v>9.21</v>
      </c>
      <c r="I41" s="240" t="str">
        <f>IFERROR(__xludf.DUMMYFUNCTION("""COMPUTED_VALUE"""),"Decline")</f>
        <v>Decline</v>
      </c>
      <c r="J41" s="122" t="str">
        <f>IFERROR(__xludf.DUMMYFUNCTION("""COMPUTED_VALUE"""),"Yes")</f>
        <v>Yes</v>
      </c>
      <c r="K41" s="131">
        <f>IFERROR(__xludf.DUMMYFUNCTION("""COMPUTED_VALUE"""),46187.706400462965)</f>
        <v>46187.7064</v>
      </c>
      <c r="L41" s="122" t="str">
        <f>IFERROR(__xludf.DUMMYFUNCTION("""COMPUTED_VALUE"""),"STOCK")</f>
        <v>STOCK</v>
      </c>
      <c r="M41" s="122"/>
      <c r="N41" s="122" t="str">
        <f>IFERROR(__xludf.DUMMYFUNCTION("""COMPUTED_VALUE"""),"No")</f>
        <v>No</v>
      </c>
      <c r="O41" s="122"/>
    </row>
    <row r="42">
      <c r="A42" s="122" t="str">
        <f>IFERROR(__xludf.DUMMYFUNCTION("""COMPUTED_VALUE"""),"FARM")</f>
        <v>FARM</v>
      </c>
      <c r="B42" s="122" t="str">
        <f>IFERROR(__xludf.DUMMYFUNCTION("""COMPUTED_VALUE"""),"Future Farms")</f>
        <v>Future Farms</v>
      </c>
      <c r="C42" s="122" t="str">
        <f>IFERROR(__xludf.DUMMYFUNCTION("""COMPUTED_VALUE"""),"Agriculture")</f>
        <v>Agriculture</v>
      </c>
      <c r="D42" s="60">
        <f>IFERROR(__xludf.DUMMYFUNCTION("""COMPUTED_VALUE"""),103.14)</f>
        <v>103.14</v>
      </c>
      <c r="E42" s="60">
        <f>IFERROR(__xludf.DUMMYFUNCTION("""COMPUTED_VALUE"""),102.72)</f>
        <v>102.72</v>
      </c>
      <c r="F42" s="132">
        <f>IFERROR(__xludf.DUMMYFUNCTION("""COMPUTED_VALUE"""),0.0041)</f>
        <v>0.0041</v>
      </c>
      <c r="G42" s="60">
        <f>IFERROR(__xludf.DUMMYFUNCTION("""COMPUTED_VALUE"""),0.42)</f>
        <v>0.42</v>
      </c>
      <c r="H42" s="240">
        <f>IFERROR(__xludf.DUMMYFUNCTION("""COMPUTED_VALUE"""),4.0)</f>
        <v>4</v>
      </c>
      <c r="I42" s="240" t="str">
        <f>IFERROR(__xludf.DUMMYFUNCTION("""COMPUTED_VALUE"""),"Hot")</f>
        <v>Hot</v>
      </c>
      <c r="J42" s="122" t="str">
        <f>IFERROR(__xludf.DUMMYFUNCTION("""COMPUTED_VALUE"""),"Yes")</f>
        <v>Yes</v>
      </c>
      <c r="K42" s="131">
        <f>IFERROR(__xludf.DUMMYFUNCTION("""COMPUTED_VALUE"""),46187.706400462965)</f>
        <v>46187.7064</v>
      </c>
      <c r="L42" s="122" t="str">
        <f>IFERROR(__xludf.DUMMYFUNCTION("""COMPUTED_VALUE"""),"STOCK")</f>
        <v>STOCK</v>
      </c>
      <c r="M42" s="122"/>
      <c r="N42" s="122" t="str">
        <f>IFERROR(__xludf.DUMMYFUNCTION("""COMPUTED_VALUE"""),"No")</f>
        <v>No</v>
      </c>
      <c r="O42" s="122"/>
    </row>
    <row r="43">
      <c r="A43" s="122" t="str">
        <f>IFERROR(__xludf.DUMMYFUNCTION("""COMPUTED_VALUE"""),"MEAT")</f>
        <v>MEAT</v>
      </c>
      <c r="B43" s="122" t="str">
        <f>IFERROR(__xludf.DUMMYFUNCTION("""COMPUTED_VALUE"""),"MeatWorks")</f>
        <v>MeatWorks</v>
      </c>
      <c r="C43" s="122" t="str">
        <f>IFERROR(__xludf.DUMMYFUNCTION("""COMPUTED_VALUE"""),"Food")</f>
        <v>Food</v>
      </c>
      <c r="D43" s="60">
        <f>IFERROR(__xludf.DUMMYFUNCTION("""COMPUTED_VALUE"""),106.12)</f>
        <v>106.12</v>
      </c>
      <c r="E43" s="60">
        <f>IFERROR(__xludf.DUMMYFUNCTION("""COMPUTED_VALUE"""),106.62)</f>
        <v>106.62</v>
      </c>
      <c r="F43" s="132">
        <f>IFERROR(__xludf.DUMMYFUNCTION("""COMPUTED_VALUE"""),-0.0047)</f>
        <v>-0.0047</v>
      </c>
      <c r="G43" s="60">
        <f>IFERROR(__xludf.DUMMYFUNCTION("""COMPUTED_VALUE"""),-0.5)</f>
        <v>-0.5</v>
      </c>
      <c r="H43" s="240">
        <f>IFERROR(__xludf.DUMMYFUNCTION("""COMPUTED_VALUE"""),6.7)</f>
        <v>6.7</v>
      </c>
      <c r="I43" s="240" t="str">
        <f>IFERROR(__xludf.DUMMYFUNCTION("""COMPUTED_VALUE"""),"Growth")</f>
        <v>Growth</v>
      </c>
      <c r="J43" s="122" t="str">
        <f>IFERROR(__xludf.DUMMYFUNCTION("""COMPUTED_VALUE"""),"Yes")</f>
        <v>Yes</v>
      </c>
      <c r="K43" s="131">
        <f>IFERROR(__xludf.DUMMYFUNCTION("""COMPUTED_VALUE"""),46187.706400462965)</f>
        <v>46187.7064</v>
      </c>
      <c r="L43" s="122" t="str">
        <f>IFERROR(__xludf.DUMMYFUNCTION("""COMPUTED_VALUE"""),"STOCK")</f>
        <v>STOCK</v>
      </c>
      <c r="M43" s="122"/>
      <c r="N43" s="122" t="str">
        <f>IFERROR(__xludf.DUMMYFUNCTION("""COMPUTED_VALUE"""),"No")</f>
        <v>No</v>
      </c>
      <c r="O43" s="122"/>
    </row>
    <row r="44">
      <c r="A44" s="122" t="str">
        <f>IFERROR(__xludf.DUMMYFUNCTION("""COMPUTED_VALUE"""),"VEGI")</f>
        <v>VEGI</v>
      </c>
      <c r="B44" s="122" t="str">
        <f>IFERROR(__xludf.DUMMYFUNCTION("""COMPUTED_VALUE"""),"Green Basket")</f>
        <v>Green Basket</v>
      </c>
      <c r="C44" s="122" t="str">
        <f>IFERROR(__xludf.DUMMYFUNCTION("""COMPUTED_VALUE"""),"Food")</f>
        <v>Food</v>
      </c>
      <c r="D44" s="60">
        <f>IFERROR(__xludf.DUMMYFUNCTION("""COMPUTED_VALUE"""),76.36)</f>
        <v>76.36</v>
      </c>
      <c r="E44" s="60">
        <f>IFERROR(__xludf.DUMMYFUNCTION("""COMPUTED_VALUE"""),76.12)</f>
        <v>76.12</v>
      </c>
      <c r="F44" s="132">
        <f>IFERROR(__xludf.DUMMYFUNCTION("""COMPUTED_VALUE"""),0.0032)</f>
        <v>0.0032</v>
      </c>
      <c r="G44" s="60">
        <f>IFERROR(__xludf.DUMMYFUNCTION("""COMPUTED_VALUE"""),0.24)</f>
        <v>0.24</v>
      </c>
      <c r="H44" s="240">
        <f>IFERROR(__xludf.DUMMYFUNCTION("""COMPUTED_VALUE"""),4.51)</f>
        <v>4.51</v>
      </c>
      <c r="I44" s="240" t="str">
        <f>IFERROR(__xludf.DUMMYFUNCTION("""COMPUTED_VALUE"""),"Decline")</f>
        <v>Decline</v>
      </c>
      <c r="J44" s="122" t="str">
        <f>IFERROR(__xludf.DUMMYFUNCTION("""COMPUTED_VALUE"""),"Yes")</f>
        <v>Yes</v>
      </c>
      <c r="K44" s="131">
        <f>IFERROR(__xludf.DUMMYFUNCTION("""COMPUTED_VALUE"""),46187.706400462965)</f>
        <v>46187.7064</v>
      </c>
      <c r="L44" s="122" t="str">
        <f>IFERROR(__xludf.DUMMYFUNCTION("""COMPUTED_VALUE"""),"STOCK")</f>
        <v>STOCK</v>
      </c>
      <c r="M44" s="122"/>
      <c r="N44" s="122" t="str">
        <f>IFERROR(__xludf.DUMMYFUNCTION("""COMPUTED_VALUE"""),"No")</f>
        <v>No</v>
      </c>
      <c r="O44" s="122"/>
    </row>
    <row r="45">
      <c r="A45" s="122" t="str">
        <f>IFERROR(__xludf.DUMMYFUNCTION("""COMPUTED_VALUE"""),"CAFE")</f>
        <v>CAFE</v>
      </c>
      <c r="B45" s="122" t="str">
        <f>IFERROR(__xludf.DUMMYFUNCTION("""COMPUTED_VALUE"""),"Cafe Cloud")</f>
        <v>Cafe Cloud</v>
      </c>
      <c r="C45" s="122" t="str">
        <f>IFERROR(__xludf.DUMMYFUNCTION("""COMPUTED_VALUE"""),"Food")</f>
        <v>Food</v>
      </c>
      <c r="D45" s="60">
        <f>IFERROR(__xludf.DUMMYFUNCTION("""COMPUTED_VALUE"""),104.91)</f>
        <v>104.91</v>
      </c>
      <c r="E45" s="60">
        <f>IFERROR(__xludf.DUMMYFUNCTION("""COMPUTED_VALUE"""),104.69)</f>
        <v>104.69</v>
      </c>
      <c r="F45" s="132">
        <f>IFERROR(__xludf.DUMMYFUNCTION("""COMPUTED_VALUE"""),0.0021)</f>
        <v>0.0021</v>
      </c>
      <c r="G45" s="60">
        <f>IFERROR(__xludf.DUMMYFUNCTION("""COMPUTED_VALUE"""),0.22)</f>
        <v>0.22</v>
      </c>
      <c r="H45" s="240">
        <f>IFERROR(__xludf.DUMMYFUNCTION("""COMPUTED_VALUE"""),10.4)</f>
        <v>10.4</v>
      </c>
      <c r="I45" s="240" t="str">
        <f>IFERROR(__xludf.DUMMYFUNCTION("""COMPUTED_VALUE"""),"Growth")</f>
        <v>Growth</v>
      </c>
      <c r="J45" s="122" t="str">
        <f>IFERROR(__xludf.DUMMYFUNCTION("""COMPUTED_VALUE"""),"Yes")</f>
        <v>Yes</v>
      </c>
      <c r="K45" s="131">
        <f>IFERROR(__xludf.DUMMYFUNCTION("""COMPUTED_VALUE"""),46187.706400462965)</f>
        <v>46187.7064</v>
      </c>
      <c r="L45" s="122" t="str">
        <f>IFERROR(__xludf.DUMMYFUNCTION("""COMPUTED_VALUE"""),"STOCK")</f>
        <v>STOCK</v>
      </c>
      <c r="M45" s="122"/>
      <c r="N45" s="122" t="str">
        <f>IFERROR(__xludf.DUMMYFUNCTION("""COMPUTED_VALUE"""),"No")</f>
        <v>No</v>
      </c>
      <c r="O45" s="122"/>
    </row>
    <row r="46">
      <c r="A46" s="122" t="str">
        <f>IFERROR(__xludf.DUMMYFUNCTION("""COMPUTED_VALUE"""),"BAKE")</f>
        <v>BAKE</v>
      </c>
      <c r="B46" s="122" t="str">
        <f>IFERROR(__xludf.DUMMYFUNCTION("""COMPUTED_VALUE"""),"BakeHouse")</f>
        <v>BakeHouse</v>
      </c>
      <c r="C46" s="122" t="str">
        <f>IFERROR(__xludf.DUMMYFUNCTION("""COMPUTED_VALUE"""),"Food")</f>
        <v>Food</v>
      </c>
      <c r="D46" s="60">
        <f>IFERROR(__xludf.DUMMYFUNCTION("""COMPUTED_VALUE"""),99.72)</f>
        <v>99.72</v>
      </c>
      <c r="E46" s="60">
        <f>IFERROR(__xludf.DUMMYFUNCTION("""COMPUTED_VALUE"""),99.74)</f>
        <v>99.74</v>
      </c>
      <c r="F46" s="132">
        <f>IFERROR(__xludf.DUMMYFUNCTION("""COMPUTED_VALUE"""),-2.0E-4)</f>
        <v>-0.0002</v>
      </c>
      <c r="G46" s="60">
        <f>IFERROR(__xludf.DUMMYFUNCTION("""COMPUTED_VALUE"""),-0.02)</f>
        <v>-0.02</v>
      </c>
      <c r="H46" s="240">
        <f>IFERROR(__xludf.DUMMYFUNCTION("""COMPUTED_VALUE"""),4.94)</f>
        <v>4.94</v>
      </c>
      <c r="I46" s="240" t="str">
        <f>IFERROR(__xludf.DUMMYFUNCTION("""COMPUTED_VALUE"""),"Volatile")</f>
        <v>Volatile</v>
      </c>
      <c r="J46" s="122" t="str">
        <f>IFERROR(__xludf.DUMMYFUNCTION("""COMPUTED_VALUE"""),"Yes")</f>
        <v>Yes</v>
      </c>
      <c r="K46" s="131">
        <f>IFERROR(__xludf.DUMMYFUNCTION("""COMPUTED_VALUE"""),46187.706400462965)</f>
        <v>46187.7064</v>
      </c>
      <c r="L46" s="122" t="str">
        <f>IFERROR(__xludf.DUMMYFUNCTION("""COMPUTED_VALUE"""),"STOCK")</f>
        <v>STOCK</v>
      </c>
      <c r="M46" s="122"/>
      <c r="N46" s="122" t="str">
        <f>IFERROR(__xludf.DUMMYFUNCTION("""COMPUTED_VALUE"""),"No")</f>
        <v>No</v>
      </c>
      <c r="O46" s="122"/>
    </row>
    <row r="47">
      <c r="A47" s="122" t="str">
        <f>IFERROR(__xludf.DUMMYFUNCTION("""COMPUTED_VALUE"""),"OILX")</f>
        <v>OILX</v>
      </c>
      <c r="B47" s="122" t="str">
        <f>IFERROR(__xludf.DUMMYFUNCTION("""COMPUTED_VALUE"""),"OilMax Energy")</f>
        <v>OilMax Energy</v>
      </c>
      <c r="C47" s="122" t="str">
        <f>IFERROR(__xludf.DUMMYFUNCTION("""COMPUTED_VALUE"""),"Energy")</f>
        <v>Energy</v>
      </c>
      <c r="D47" s="60">
        <f>IFERROR(__xludf.DUMMYFUNCTION("""COMPUTED_VALUE"""),134.87)</f>
        <v>134.87</v>
      </c>
      <c r="E47" s="60">
        <f>IFERROR(__xludf.DUMMYFUNCTION("""COMPUTED_VALUE"""),135.44)</f>
        <v>135.44</v>
      </c>
      <c r="F47" s="132">
        <f>IFERROR(__xludf.DUMMYFUNCTION("""COMPUTED_VALUE"""),-0.0042)</f>
        <v>-0.0042</v>
      </c>
      <c r="G47" s="60">
        <f>IFERROR(__xludf.DUMMYFUNCTION("""COMPUTED_VALUE"""),-0.57)</f>
        <v>-0.57</v>
      </c>
      <c r="H47" s="240">
        <f>IFERROR(__xludf.DUMMYFUNCTION("""COMPUTED_VALUE"""),10.79)</f>
        <v>10.79</v>
      </c>
      <c r="I47" s="240" t="str">
        <f>IFERROR(__xludf.DUMMYFUNCTION("""COMPUTED_VALUE"""),"Stable")</f>
        <v>Stable</v>
      </c>
      <c r="J47" s="122" t="str">
        <f>IFERROR(__xludf.DUMMYFUNCTION("""COMPUTED_VALUE"""),"Yes")</f>
        <v>Yes</v>
      </c>
      <c r="K47" s="131">
        <f>IFERROR(__xludf.DUMMYFUNCTION("""COMPUTED_VALUE"""),46187.706400462965)</f>
        <v>46187.7064</v>
      </c>
      <c r="L47" s="122" t="str">
        <f>IFERROR(__xludf.DUMMYFUNCTION("""COMPUTED_VALUE"""),"STOCK")</f>
        <v>STOCK</v>
      </c>
      <c r="M47" s="122"/>
      <c r="N47" s="122" t="str">
        <f>IFERROR(__xludf.DUMMYFUNCTION("""COMPUTED_VALUE"""),"No")</f>
        <v>No</v>
      </c>
      <c r="O47" s="122"/>
    </row>
    <row r="48">
      <c r="A48" s="122" t="str">
        <f>IFERROR(__xludf.DUMMYFUNCTION("""COMPUTED_VALUE"""),"SOLR")</f>
        <v>SOLR</v>
      </c>
      <c r="B48" s="122" t="str">
        <f>IFERROR(__xludf.DUMMYFUNCTION("""COMPUTED_VALUE"""),"SolarSpark")</f>
        <v>SolarSpark</v>
      </c>
      <c r="C48" s="122" t="str">
        <f>IFERROR(__xludf.DUMMYFUNCTION("""COMPUTED_VALUE"""),"Energy")</f>
        <v>Energy</v>
      </c>
      <c r="D48" s="60">
        <f>IFERROR(__xludf.DUMMYFUNCTION("""COMPUTED_VALUE"""),110.22)</f>
        <v>110.22</v>
      </c>
      <c r="E48" s="60">
        <f>IFERROR(__xludf.DUMMYFUNCTION("""COMPUTED_VALUE"""),110.01)</f>
        <v>110.01</v>
      </c>
      <c r="F48" s="132">
        <f>IFERROR(__xludf.DUMMYFUNCTION("""COMPUTED_VALUE"""),0.0019)</f>
        <v>0.0019</v>
      </c>
      <c r="G48" s="60">
        <f>IFERROR(__xludf.DUMMYFUNCTION("""COMPUTED_VALUE"""),0.21)</f>
        <v>0.21</v>
      </c>
      <c r="H48" s="240">
        <f>IFERROR(__xludf.DUMMYFUNCTION("""COMPUTED_VALUE"""),8.68)</f>
        <v>8.68</v>
      </c>
      <c r="I48" s="240" t="str">
        <f>IFERROR(__xludf.DUMMYFUNCTION("""COMPUTED_VALUE"""),"Hot")</f>
        <v>Hot</v>
      </c>
      <c r="J48" s="122" t="str">
        <f>IFERROR(__xludf.DUMMYFUNCTION("""COMPUTED_VALUE"""),"Yes")</f>
        <v>Yes</v>
      </c>
      <c r="K48" s="131">
        <f>IFERROR(__xludf.DUMMYFUNCTION("""COMPUTED_VALUE"""),46187.706400462965)</f>
        <v>46187.7064</v>
      </c>
      <c r="L48" s="122" t="str">
        <f>IFERROR(__xludf.DUMMYFUNCTION("""COMPUTED_VALUE"""),"STOCK")</f>
        <v>STOCK</v>
      </c>
      <c r="M48" s="122"/>
      <c r="N48" s="122" t="str">
        <f>IFERROR(__xludf.DUMMYFUNCTION("""COMPUTED_VALUE"""),"No")</f>
        <v>No</v>
      </c>
      <c r="O48" s="122"/>
    </row>
    <row r="49">
      <c r="A49" s="122" t="str">
        <f>IFERROR(__xludf.DUMMYFUNCTION("""COMPUTED_VALUE"""),"BATT")</f>
        <v>BATT</v>
      </c>
      <c r="B49" s="122" t="str">
        <f>IFERROR(__xludf.DUMMYFUNCTION("""COMPUTED_VALUE"""),"BatteryBox")</f>
        <v>BatteryBox</v>
      </c>
      <c r="C49" s="122" t="str">
        <f>IFERROR(__xludf.DUMMYFUNCTION("""COMPUTED_VALUE"""),"Energy")</f>
        <v>Energy</v>
      </c>
      <c r="D49" s="60">
        <f>IFERROR(__xludf.DUMMYFUNCTION("""COMPUTED_VALUE"""),115.9)</f>
        <v>115.9</v>
      </c>
      <c r="E49" s="60">
        <f>IFERROR(__xludf.DUMMYFUNCTION("""COMPUTED_VALUE"""),114.76)</f>
        <v>114.76</v>
      </c>
      <c r="F49" s="132">
        <f>IFERROR(__xludf.DUMMYFUNCTION("""COMPUTED_VALUE"""),0.0099)</f>
        <v>0.0099</v>
      </c>
      <c r="G49" s="60">
        <f>IFERROR(__xludf.DUMMYFUNCTION("""COMPUTED_VALUE"""),1.14)</f>
        <v>1.14</v>
      </c>
      <c r="H49" s="240">
        <f>IFERROR(__xludf.DUMMYFUNCTION("""COMPUTED_VALUE"""),11.41)</f>
        <v>11.41</v>
      </c>
      <c r="I49" s="240" t="str">
        <f>IFERROR(__xludf.DUMMYFUNCTION("""COMPUTED_VALUE"""),"Volatile")</f>
        <v>Volatile</v>
      </c>
      <c r="J49" s="122" t="str">
        <f>IFERROR(__xludf.DUMMYFUNCTION("""COMPUTED_VALUE"""),"Yes")</f>
        <v>Yes</v>
      </c>
      <c r="K49" s="131">
        <f>IFERROR(__xludf.DUMMYFUNCTION("""COMPUTED_VALUE"""),46187.706400462965)</f>
        <v>46187.7064</v>
      </c>
      <c r="L49" s="122" t="str">
        <f>IFERROR(__xludf.DUMMYFUNCTION("""COMPUTED_VALUE"""),"STOCK")</f>
        <v>STOCK</v>
      </c>
      <c r="M49" s="122"/>
      <c r="N49" s="122" t="str">
        <f>IFERROR(__xludf.DUMMYFUNCTION("""COMPUTED_VALUE"""),"No")</f>
        <v>No</v>
      </c>
      <c r="O49" s="122"/>
    </row>
    <row r="50">
      <c r="A50" s="122" t="str">
        <f>IFERROR(__xludf.DUMMYFUNCTION("""COMPUTED_VALUE"""),"WIND")</f>
        <v>WIND</v>
      </c>
      <c r="B50" s="122" t="str">
        <f>IFERROR(__xludf.DUMMYFUNCTION("""COMPUTED_VALUE"""),"WindWorks")</f>
        <v>WindWorks</v>
      </c>
      <c r="C50" s="122" t="str">
        <f>IFERROR(__xludf.DUMMYFUNCTION("""COMPUTED_VALUE"""),"Energy")</f>
        <v>Energy</v>
      </c>
      <c r="D50" s="60">
        <f>IFERROR(__xludf.DUMMYFUNCTION("""COMPUTED_VALUE"""),86.82)</f>
        <v>86.82</v>
      </c>
      <c r="E50" s="60">
        <f>IFERROR(__xludf.DUMMYFUNCTION("""COMPUTED_VALUE"""),86.77)</f>
        <v>86.77</v>
      </c>
      <c r="F50" s="132">
        <f>IFERROR(__xludf.DUMMYFUNCTION("""COMPUTED_VALUE"""),6.0E-4)</f>
        <v>0.0006</v>
      </c>
      <c r="G50" s="60">
        <f>IFERROR(__xludf.DUMMYFUNCTION("""COMPUTED_VALUE"""),0.05)</f>
        <v>0.05</v>
      </c>
      <c r="H50" s="240">
        <f>IFERROR(__xludf.DUMMYFUNCTION("""COMPUTED_VALUE"""),7.04)</f>
        <v>7.04</v>
      </c>
      <c r="I50" s="240" t="str">
        <f>IFERROR(__xludf.DUMMYFUNCTION("""COMPUTED_VALUE"""),"Stable")</f>
        <v>Stable</v>
      </c>
      <c r="J50" s="122" t="str">
        <f>IFERROR(__xludf.DUMMYFUNCTION("""COMPUTED_VALUE"""),"Yes")</f>
        <v>Yes</v>
      </c>
      <c r="K50" s="131">
        <f>IFERROR(__xludf.DUMMYFUNCTION("""COMPUTED_VALUE"""),46187.706400462965)</f>
        <v>46187.7064</v>
      </c>
      <c r="L50" s="122" t="str">
        <f>IFERROR(__xludf.DUMMYFUNCTION("""COMPUTED_VALUE"""),"STOCK")</f>
        <v>STOCK</v>
      </c>
      <c r="M50" s="122"/>
      <c r="N50" s="122" t="str">
        <f>IFERROR(__xludf.DUMMYFUNCTION("""COMPUTED_VALUE"""),"No")</f>
        <v>No</v>
      </c>
      <c r="O50" s="122"/>
    </row>
    <row r="51">
      <c r="A51" s="122" t="str">
        <f>IFERROR(__xludf.DUMMYFUNCTION("""COMPUTED_VALUE"""),"GRID")</f>
        <v>GRID</v>
      </c>
      <c r="B51" s="122" t="str">
        <f>IFERROR(__xludf.DUMMYFUNCTION("""COMPUTED_VALUE"""),"GridPower")</f>
        <v>GridPower</v>
      </c>
      <c r="C51" s="122" t="str">
        <f>IFERROR(__xludf.DUMMYFUNCTION("""COMPUTED_VALUE"""),"Energy")</f>
        <v>Energy</v>
      </c>
      <c r="D51" s="60">
        <f>IFERROR(__xludf.DUMMYFUNCTION("""COMPUTED_VALUE"""),127.55)</f>
        <v>127.55</v>
      </c>
      <c r="E51" s="60">
        <f>IFERROR(__xludf.DUMMYFUNCTION("""COMPUTED_VALUE"""),127.02)</f>
        <v>127.02</v>
      </c>
      <c r="F51" s="132">
        <f>IFERROR(__xludf.DUMMYFUNCTION("""COMPUTED_VALUE"""),0.0042)</f>
        <v>0.0042</v>
      </c>
      <c r="G51" s="60">
        <f>IFERROR(__xludf.DUMMYFUNCTION("""COMPUTED_VALUE"""),0.53)</f>
        <v>0.53</v>
      </c>
      <c r="H51" s="240">
        <f>IFERROR(__xludf.DUMMYFUNCTION("""COMPUTED_VALUE"""),6.15)</f>
        <v>6.15</v>
      </c>
      <c r="I51" s="240" t="str">
        <f>IFERROR(__xludf.DUMMYFUNCTION("""COMPUTED_VALUE"""),"Crash")</f>
        <v>Crash</v>
      </c>
      <c r="J51" s="122" t="str">
        <f>IFERROR(__xludf.DUMMYFUNCTION("""COMPUTED_VALUE"""),"Yes")</f>
        <v>Yes</v>
      </c>
      <c r="K51" s="131">
        <f>IFERROR(__xludf.DUMMYFUNCTION("""COMPUTED_VALUE"""),46187.706400462965)</f>
        <v>46187.7064</v>
      </c>
      <c r="L51" s="122" t="str">
        <f>IFERROR(__xludf.DUMMYFUNCTION("""COMPUTED_VALUE"""),"STOCK")</f>
        <v>STOCK</v>
      </c>
      <c r="M51" s="122"/>
      <c r="N51" s="122" t="str">
        <f>IFERROR(__xludf.DUMMYFUNCTION("""COMPUTED_VALUE"""),"No")</f>
        <v>No</v>
      </c>
      <c r="O51" s="122"/>
    </row>
    <row r="52">
      <c r="A52" s="122" t="str">
        <f>IFERROR(__xludf.DUMMYFUNCTION("""COMPUTED_VALUE"""),"HOME")</f>
        <v>HOME</v>
      </c>
      <c r="B52" s="122" t="str">
        <f>IFERROR(__xludf.DUMMYFUNCTION("""COMPUTED_VALUE"""),"HomeHub")</f>
        <v>HomeHub</v>
      </c>
      <c r="C52" s="122" t="str">
        <f>IFERROR(__xludf.DUMMYFUNCTION("""COMPUTED_VALUE"""),"Real Estate")</f>
        <v>Real Estate</v>
      </c>
      <c r="D52" s="60">
        <f>IFERROR(__xludf.DUMMYFUNCTION("""COMPUTED_VALUE"""),163.18)</f>
        <v>163.18</v>
      </c>
      <c r="E52" s="60">
        <f>IFERROR(__xludf.DUMMYFUNCTION("""COMPUTED_VALUE"""),162.91)</f>
        <v>162.91</v>
      </c>
      <c r="F52" s="132">
        <f>IFERROR(__xludf.DUMMYFUNCTION("""COMPUTED_VALUE"""),0.0017)</f>
        <v>0.0017</v>
      </c>
      <c r="G52" s="60">
        <f>IFERROR(__xludf.DUMMYFUNCTION("""COMPUTED_VALUE"""),0.27)</f>
        <v>0.27</v>
      </c>
      <c r="H52" s="240">
        <f>IFERROR(__xludf.DUMMYFUNCTION("""COMPUTED_VALUE"""),4.35)</f>
        <v>4.35</v>
      </c>
      <c r="I52" s="240" t="str">
        <f>IFERROR(__xludf.DUMMYFUNCTION("""COMPUTED_VALUE"""),"Growth")</f>
        <v>Growth</v>
      </c>
      <c r="J52" s="122" t="str">
        <f>IFERROR(__xludf.DUMMYFUNCTION("""COMPUTED_VALUE"""),"Yes")</f>
        <v>Yes</v>
      </c>
      <c r="K52" s="131">
        <f>IFERROR(__xludf.DUMMYFUNCTION("""COMPUTED_VALUE"""),46187.706400462965)</f>
        <v>46187.7064</v>
      </c>
      <c r="L52" s="122" t="str">
        <f>IFERROR(__xludf.DUMMYFUNCTION("""COMPUTED_VALUE"""),"STOCK")</f>
        <v>STOCK</v>
      </c>
      <c r="M52" s="122"/>
      <c r="N52" s="122" t="str">
        <f>IFERROR(__xludf.DUMMYFUNCTION("""COMPUTED_VALUE"""),"No")</f>
        <v>No</v>
      </c>
      <c r="O52" s="122"/>
    </row>
    <row r="53">
      <c r="A53" s="122" t="str">
        <f>IFERROR(__xludf.DUMMYFUNCTION("""COMPUTED_VALUE"""),"RENT")</f>
        <v>RENT</v>
      </c>
      <c r="B53" s="122" t="str">
        <f>IFERROR(__xludf.DUMMYFUNCTION("""COMPUTED_VALUE"""),"RentRight")</f>
        <v>RentRight</v>
      </c>
      <c r="C53" s="122" t="str">
        <f>IFERROR(__xludf.DUMMYFUNCTION("""COMPUTED_VALUE"""),"Real Estate")</f>
        <v>Real Estate</v>
      </c>
      <c r="D53" s="60">
        <f>IFERROR(__xludf.DUMMYFUNCTION("""COMPUTED_VALUE"""),87.86)</f>
        <v>87.86</v>
      </c>
      <c r="E53" s="60">
        <f>IFERROR(__xludf.DUMMYFUNCTION("""COMPUTED_VALUE"""),87.78)</f>
        <v>87.78</v>
      </c>
      <c r="F53" s="132">
        <f>IFERROR(__xludf.DUMMYFUNCTION("""COMPUTED_VALUE"""),9.0E-4)</f>
        <v>0.0009</v>
      </c>
      <c r="G53" s="60">
        <f>IFERROR(__xludf.DUMMYFUNCTION("""COMPUTED_VALUE"""),0.08)</f>
        <v>0.08</v>
      </c>
      <c r="H53" s="240">
        <f>IFERROR(__xludf.DUMMYFUNCTION("""COMPUTED_VALUE"""),6.47)</f>
        <v>6.47</v>
      </c>
      <c r="I53" s="240" t="str">
        <f>IFERROR(__xludf.DUMMYFUNCTION("""COMPUTED_VALUE"""),"Volatile")</f>
        <v>Volatile</v>
      </c>
      <c r="J53" s="122" t="str">
        <f>IFERROR(__xludf.DUMMYFUNCTION("""COMPUTED_VALUE"""),"Yes")</f>
        <v>Yes</v>
      </c>
      <c r="K53" s="131">
        <f>IFERROR(__xludf.DUMMYFUNCTION("""COMPUTED_VALUE"""),46187.706400462965)</f>
        <v>46187.7064</v>
      </c>
      <c r="L53" s="122" t="str">
        <f>IFERROR(__xludf.DUMMYFUNCTION("""COMPUTED_VALUE"""),"STOCK")</f>
        <v>STOCK</v>
      </c>
      <c r="M53" s="122"/>
      <c r="N53" s="122" t="str">
        <f>IFERROR(__xludf.DUMMYFUNCTION("""COMPUTED_VALUE"""),"No")</f>
        <v>No</v>
      </c>
      <c r="O53" s="122"/>
    </row>
    <row r="54">
      <c r="A54" s="122" t="str">
        <f>IFERROR(__xludf.DUMMYFUNCTION("""COMPUTED_VALUE"""),"MALL")</f>
        <v>MALL</v>
      </c>
      <c r="B54" s="122" t="str">
        <f>IFERROR(__xludf.DUMMYFUNCTION("""COMPUTED_VALUE"""),"MegaMall")</f>
        <v>MegaMall</v>
      </c>
      <c r="C54" s="122" t="str">
        <f>IFERROR(__xludf.DUMMYFUNCTION("""COMPUTED_VALUE"""),"Real Estate")</f>
        <v>Real Estate</v>
      </c>
      <c r="D54" s="60">
        <f>IFERROR(__xludf.DUMMYFUNCTION("""COMPUTED_VALUE"""),101.9)</f>
        <v>101.9</v>
      </c>
      <c r="E54" s="60">
        <f>IFERROR(__xludf.DUMMYFUNCTION("""COMPUTED_VALUE"""),101.99)</f>
        <v>101.99</v>
      </c>
      <c r="F54" s="132">
        <f>IFERROR(__xludf.DUMMYFUNCTION("""COMPUTED_VALUE"""),-9.0E-4)</f>
        <v>-0.0009</v>
      </c>
      <c r="G54" s="60">
        <f>IFERROR(__xludf.DUMMYFUNCTION("""COMPUTED_VALUE"""),-0.09)</f>
        <v>-0.09</v>
      </c>
      <c r="H54" s="240">
        <f>IFERROR(__xludf.DUMMYFUNCTION("""COMPUTED_VALUE"""),6.82)</f>
        <v>6.82</v>
      </c>
      <c r="I54" s="240" t="str">
        <f>IFERROR(__xludf.DUMMYFUNCTION("""COMPUTED_VALUE"""),"Growth")</f>
        <v>Growth</v>
      </c>
      <c r="J54" s="122" t="str">
        <f>IFERROR(__xludf.DUMMYFUNCTION("""COMPUTED_VALUE"""),"Yes")</f>
        <v>Yes</v>
      </c>
      <c r="K54" s="131">
        <f>IFERROR(__xludf.DUMMYFUNCTION("""COMPUTED_VALUE"""),46187.706400462965)</f>
        <v>46187.7064</v>
      </c>
      <c r="L54" s="122" t="str">
        <f>IFERROR(__xludf.DUMMYFUNCTION("""COMPUTED_VALUE"""),"STOCK")</f>
        <v>STOCK</v>
      </c>
      <c r="M54" s="122"/>
      <c r="N54" s="122" t="str">
        <f>IFERROR(__xludf.DUMMYFUNCTION("""COMPUTED_VALUE"""),"No")</f>
        <v>No</v>
      </c>
      <c r="O54" s="122"/>
    </row>
    <row r="55">
      <c r="A55" s="122" t="str">
        <f>IFERROR(__xludf.DUMMYFUNCTION("""COMPUTED_VALUE"""),"HOTL")</f>
        <v>HOTL</v>
      </c>
      <c r="B55" s="122" t="str">
        <f>IFERROR(__xludf.DUMMYFUNCTION("""COMPUTED_VALUE"""),"HotelHive")</f>
        <v>HotelHive</v>
      </c>
      <c r="C55" s="122" t="str">
        <f>IFERROR(__xludf.DUMMYFUNCTION("""COMPUTED_VALUE"""),"Real Estate")</f>
        <v>Real Estate</v>
      </c>
      <c r="D55" s="60">
        <f>IFERROR(__xludf.DUMMYFUNCTION("""COMPUTED_VALUE"""),118.73)</f>
        <v>118.73</v>
      </c>
      <c r="E55" s="60">
        <f>IFERROR(__xludf.DUMMYFUNCTION("""COMPUTED_VALUE"""),118.37)</f>
        <v>118.37</v>
      </c>
      <c r="F55" s="132">
        <f>IFERROR(__xludf.DUMMYFUNCTION("""COMPUTED_VALUE"""),0.003)</f>
        <v>0.003</v>
      </c>
      <c r="G55" s="60">
        <f>IFERROR(__xludf.DUMMYFUNCTION("""COMPUTED_VALUE"""),0.36)</f>
        <v>0.36</v>
      </c>
      <c r="H55" s="240">
        <f>IFERROR(__xludf.DUMMYFUNCTION("""COMPUTED_VALUE"""),9.62)</f>
        <v>9.62</v>
      </c>
      <c r="I55" s="240" t="str">
        <f>IFERROR(__xludf.DUMMYFUNCTION("""COMPUTED_VALUE"""),"Decline")</f>
        <v>Decline</v>
      </c>
      <c r="J55" s="122" t="str">
        <f>IFERROR(__xludf.DUMMYFUNCTION("""COMPUTED_VALUE"""),"Yes")</f>
        <v>Yes</v>
      </c>
      <c r="K55" s="131">
        <f>IFERROR(__xludf.DUMMYFUNCTION("""COMPUTED_VALUE"""),46187.706400462965)</f>
        <v>46187.7064</v>
      </c>
      <c r="L55" s="122" t="str">
        <f>IFERROR(__xludf.DUMMYFUNCTION("""COMPUTED_VALUE"""),"STOCK")</f>
        <v>STOCK</v>
      </c>
      <c r="M55" s="122"/>
      <c r="N55" s="122" t="str">
        <f>IFERROR(__xludf.DUMMYFUNCTION("""COMPUTED_VALUE"""),"No")</f>
        <v>No</v>
      </c>
      <c r="O55" s="122"/>
    </row>
    <row r="56">
      <c r="A56" s="122" t="str">
        <f>IFERROR(__xludf.DUMMYFUNCTION("""COMPUTED_VALUE"""),"LAND")</f>
        <v>LAND</v>
      </c>
      <c r="B56" s="122" t="str">
        <f>IFERROR(__xludf.DUMMYFUNCTION("""COMPUTED_VALUE"""),"LandLink")</f>
        <v>LandLink</v>
      </c>
      <c r="C56" s="122" t="str">
        <f>IFERROR(__xludf.DUMMYFUNCTION("""COMPUTED_VALUE"""),"Real Estate")</f>
        <v>Real Estate</v>
      </c>
      <c r="D56" s="60">
        <f>IFERROR(__xludf.DUMMYFUNCTION("""COMPUTED_VALUE"""),186.63)</f>
        <v>186.63</v>
      </c>
      <c r="E56" s="60">
        <f>IFERROR(__xludf.DUMMYFUNCTION("""COMPUTED_VALUE"""),187.07)</f>
        <v>187.07</v>
      </c>
      <c r="F56" s="132">
        <f>IFERROR(__xludf.DUMMYFUNCTION("""COMPUTED_VALUE"""),-0.0024)</f>
        <v>-0.0024</v>
      </c>
      <c r="G56" s="60">
        <f>IFERROR(__xludf.DUMMYFUNCTION("""COMPUTED_VALUE"""),-0.44)</f>
        <v>-0.44</v>
      </c>
      <c r="H56" s="240">
        <f>IFERROR(__xludf.DUMMYFUNCTION("""COMPUTED_VALUE"""),5.17)</f>
        <v>5.17</v>
      </c>
      <c r="I56" s="240" t="str">
        <f>IFERROR(__xludf.DUMMYFUNCTION("""COMPUTED_VALUE"""),"Volatile")</f>
        <v>Volatile</v>
      </c>
      <c r="J56" s="122" t="str">
        <f>IFERROR(__xludf.DUMMYFUNCTION("""COMPUTED_VALUE"""),"Yes")</f>
        <v>Yes</v>
      </c>
      <c r="K56" s="131">
        <f>IFERROR(__xludf.DUMMYFUNCTION("""COMPUTED_VALUE"""),46187.706400462965)</f>
        <v>46187.7064</v>
      </c>
      <c r="L56" s="122" t="str">
        <f>IFERROR(__xludf.DUMMYFUNCTION("""COMPUTED_VALUE"""),"STOCK")</f>
        <v>STOCK</v>
      </c>
      <c r="M56" s="122"/>
      <c r="N56" s="122" t="str">
        <f>IFERROR(__xludf.DUMMYFUNCTION("""COMPUTED_VALUE"""),"No")</f>
        <v>No</v>
      </c>
      <c r="O56" s="122"/>
    </row>
    <row r="57">
      <c r="A57" s="122" t="str">
        <f>IFERROR(__xludf.DUMMYFUNCTION("""COMPUTED_VALUE"""),"CARS")</f>
        <v>CARS</v>
      </c>
      <c r="B57" s="122" t="str">
        <f>IFERROR(__xludf.DUMMYFUNCTION("""COMPUTED_VALUE"""),"AutoArena")</f>
        <v>AutoArena</v>
      </c>
      <c r="C57" s="122" t="str">
        <f>IFERROR(__xludf.DUMMYFUNCTION("""COMPUTED_VALUE"""),"Automotive")</f>
        <v>Automotive</v>
      </c>
      <c r="D57" s="60">
        <f>IFERROR(__xludf.DUMMYFUNCTION("""COMPUTED_VALUE"""),78.3)</f>
        <v>78.3</v>
      </c>
      <c r="E57" s="60">
        <f>IFERROR(__xludf.DUMMYFUNCTION("""COMPUTED_VALUE"""),79.24)</f>
        <v>79.24</v>
      </c>
      <c r="F57" s="132">
        <f>IFERROR(__xludf.DUMMYFUNCTION("""COMPUTED_VALUE"""),-0.0119)</f>
        <v>-0.0119</v>
      </c>
      <c r="G57" s="60">
        <f>IFERROR(__xludf.DUMMYFUNCTION("""COMPUTED_VALUE"""),-0.94)</f>
        <v>-0.94</v>
      </c>
      <c r="H57" s="240">
        <f>IFERROR(__xludf.DUMMYFUNCTION("""COMPUTED_VALUE"""),11.59)</f>
        <v>11.59</v>
      </c>
      <c r="I57" s="240" t="str">
        <f>IFERROR(__xludf.DUMMYFUNCTION("""COMPUTED_VALUE"""),"Stable")</f>
        <v>Stable</v>
      </c>
      <c r="J57" s="122" t="str">
        <f>IFERROR(__xludf.DUMMYFUNCTION("""COMPUTED_VALUE"""),"Yes")</f>
        <v>Yes</v>
      </c>
      <c r="K57" s="131">
        <f>IFERROR(__xludf.DUMMYFUNCTION("""COMPUTED_VALUE"""),46187.706400462965)</f>
        <v>46187.7064</v>
      </c>
      <c r="L57" s="122" t="str">
        <f>IFERROR(__xludf.DUMMYFUNCTION("""COMPUTED_VALUE"""),"STOCK")</f>
        <v>STOCK</v>
      </c>
      <c r="M57" s="122"/>
      <c r="N57" s="122" t="str">
        <f>IFERROR(__xludf.DUMMYFUNCTION("""COMPUTED_VALUE"""),"No")</f>
        <v>No</v>
      </c>
      <c r="O57" s="122"/>
    </row>
    <row r="58">
      <c r="A58" s="122" t="str">
        <f>IFERROR(__xludf.DUMMYFUNCTION("""COMPUTED_VALUE"""),"EVGO")</f>
        <v>EVGO</v>
      </c>
      <c r="B58" s="122" t="str">
        <f>IFERROR(__xludf.DUMMYFUNCTION("""COMPUTED_VALUE"""),"EVGo Motors")</f>
        <v>EVGo Motors</v>
      </c>
      <c r="C58" s="122" t="str">
        <f>IFERROR(__xludf.DUMMYFUNCTION("""COMPUTED_VALUE"""),"Automotive")</f>
        <v>Automotive</v>
      </c>
      <c r="D58" s="60">
        <f>IFERROR(__xludf.DUMMYFUNCTION("""COMPUTED_VALUE"""),194.06)</f>
        <v>194.06</v>
      </c>
      <c r="E58" s="60">
        <f>IFERROR(__xludf.DUMMYFUNCTION("""COMPUTED_VALUE"""),192.66)</f>
        <v>192.66</v>
      </c>
      <c r="F58" s="132">
        <f>IFERROR(__xludf.DUMMYFUNCTION("""COMPUTED_VALUE"""),0.0073)</f>
        <v>0.0073</v>
      </c>
      <c r="G58" s="60">
        <f>IFERROR(__xludf.DUMMYFUNCTION("""COMPUTED_VALUE"""),1.4)</f>
        <v>1.4</v>
      </c>
      <c r="H58" s="240">
        <f>IFERROR(__xludf.DUMMYFUNCTION("""COMPUTED_VALUE"""),12.58)</f>
        <v>12.58</v>
      </c>
      <c r="I58" s="240" t="str">
        <f>IFERROR(__xludf.DUMMYFUNCTION("""COMPUTED_VALUE"""),"Decline")</f>
        <v>Decline</v>
      </c>
      <c r="J58" s="122" t="str">
        <f>IFERROR(__xludf.DUMMYFUNCTION("""COMPUTED_VALUE"""),"Yes")</f>
        <v>Yes</v>
      </c>
      <c r="K58" s="131">
        <f>IFERROR(__xludf.DUMMYFUNCTION("""COMPUTED_VALUE"""),46187.706400462965)</f>
        <v>46187.7064</v>
      </c>
      <c r="L58" s="122" t="str">
        <f>IFERROR(__xludf.DUMMYFUNCTION("""COMPUTED_VALUE"""),"STOCK")</f>
        <v>STOCK</v>
      </c>
      <c r="M58" s="122"/>
      <c r="N58" s="122" t="str">
        <f>IFERROR(__xludf.DUMMYFUNCTION("""COMPUTED_VALUE"""),"No")</f>
        <v>No</v>
      </c>
      <c r="O58" s="122"/>
    </row>
    <row r="59">
      <c r="A59" s="122" t="str">
        <f>IFERROR(__xludf.DUMMYFUNCTION("""COMPUTED_VALUE"""),"TIRE")</f>
        <v>TIRE</v>
      </c>
      <c r="B59" s="122" t="str">
        <f>IFERROR(__xludf.DUMMYFUNCTION("""COMPUTED_VALUE"""),"TireTown")</f>
        <v>TireTown</v>
      </c>
      <c r="C59" s="122" t="str">
        <f>IFERROR(__xludf.DUMMYFUNCTION("""COMPUTED_VALUE"""),"Automotive")</f>
        <v>Automotive</v>
      </c>
      <c r="D59" s="60">
        <f>IFERROR(__xludf.DUMMYFUNCTION("""COMPUTED_VALUE"""),99.77)</f>
        <v>99.77</v>
      </c>
      <c r="E59" s="60">
        <f>IFERROR(__xludf.DUMMYFUNCTION("""COMPUTED_VALUE"""),99.32)</f>
        <v>99.32</v>
      </c>
      <c r="F59" s="132">
        <f>IFERROR(__xludf.DUMMYFUNCTION("""COMPUTED_VALUE"""),0.0045)</f>
        <v>0.0045</v>
      </c>
      <c r="G59" s="60">
        <f>IFERROR(__xludf.DUMMYFUNCTION("""COMPUTED_VALUE"""),0.45)</f>
        <v>0.45</v>
      </c>
      <c r="H59" s="240">
        <f>IFERROR(__xludf.DUMMYFUNCTION("""COMPUTED_VALUE"""),5.16)</f>
        <v>5.16</v>
      </c>
      <c r="I59" s="240" t="str">
        <f>IFERROR(__xludf.DUMMYFUNCTION("""COMPUTED_VALUE"""),"Growth")</f>
        <v>Growth</v>
      </c>
      <c r="J59" s="122" t="str">
        <f>IFERROR(__xludf.DUMMYFUNCTION("""COMPUTED_VALUE"""),"Yes")</f>
        <v>Yes</v>
      </c>
      <c r="K59" s="131">
        <f>IFERROR(__xludf.DUMMYFUNCTION("""COMPUTED_VALUE"""),46187.706400462965)</f>
        <v>46187.7064</v>
      </c>
      <c r="L59" s="122" t="str">
        <f>IFERROR(__xludf.DUMMYFUNCTION("""COMPUTED_VALUE"""),"STOCK")</f>
        <v>STOCK</v>
      </c>
      <c r="M59" s="122"/>
      <c r="N59" s="122" t="str">
        <f>IFERROR(__xludf.DUMMYFUNCTION("""COMPUTED_VALUE"""),"No")</f>
        <v>No</v>
      </c>
      <c r="O59" s="122"/>
    </row>
    <row r="60">
      <c r="A60" s="122" t="str">
        <f>IFERROR(__xludf.DUMMYFUNCTION("""COMPUTED_VALUE"""),"BIKE")</f>
        <v>BIKE</v>
      </c>
      <c r="B60" s="122" t="str">
        <f>IFERROR(__xludf.DUMMYFUNCTION("""COMPUTED_VALUE"""),"BikeBox")</f>
        <v>BikeBox</v>
      </c>
      <c r="C60" s="122" t="str">
        <f>IFERROR(__xludf.DUMMYFUNCTION("""COMPUTED_VALUE"""),"Automotive")</f>
        <v>Automotive</v>
      </c>
      <c r="D60" s="60">
        <f>IFERROR(__xludf.DUMMYFUNCTION("""COMPUTED_VALUE"""),50.24)</f>
        <v>50.24</v>
      </c>
      <c r="E60" s="60">
        <f>IFERROR(__xludf.DUMMYFUNCTION("""COMPUTED_VALUE"""),50.44)</f>
        <v>50.44</v>
      </c>
      <c r="F60" s="132">
        <f>IFERROR(__xludf.DUMMYFUNCTION("""COMPUTED_VALUE"""),-0.004)</f>
        <v>-0.004</v>
      </c>
      <c r="G60" s="60">
        <f>IFERROR(__xludf.DUMMYFUNCTION("""COMPUTED_VALUE"""),-0.2)</f>
        <v>-0.2</v>
      </c>
      <c r="H60" s="240">
        <f>IFERROR(__xludf.DUMMYFUNCTION("""COMPUTED_VALUE"""),6.45)</f>
        <v>6.45</v>
      </c>
      <c r="I60" s="240" t="str">
        <f>IFERROR(__xludf.DUMMYFUNCTION("""COMPUTED_VALUE"""),"Decline")</f>
        <v>Decline</v>
      </c>
      <c r="J60" s="122" t="str">
        <f>IFERROR(__xludf.DUMMYFUNCTION("""COMPUTED_VALUE"""),"Yes")</f>
        <v>Yes</v>
      </c>
      <c r="K60" s="131">
        <f>IFERROR(__xludf.DUMMYFUNCTION("""COMPUTED_VALUE"""),46187.706400462965)</f>
        <v>46187.7064</v>
      </c>
      <c r="L60" s="122" t="str">
        <f>IFERROR(__xludf.DUMMYFUNCTION("""COMPUTED_VALUE"""),"STOCK")</f>
        <v>STOCK</v>
      </c>
      <c r="M60" s="122"/>
      <c r="N60" s="122" t="str">
        <f>IFERROR(__xludf.DUMMYFUNCTION("""COMPUTED_VALUE"""),"No")</f>
        <v>No</v>
      </c>
      <c r="O60" s="122"/>
    </row>
    <row r="61">
      <c r="A61" s="122" t="str">
        <f>IFERROR(__xludf.DUMMYFUNCTION("""COMPUTED_VALUE"""),"WASH")</f>
        <v>WASH</v>
      </c>
      <c r="B61" s="122" t="str">
        <f>IFERROR(__xludf.DUMMYFUNCTION("""COMPUTED_VALUE"""),"CarWash Co")</f>
        <v>CarWash Co</v>
      </c>
      <c r="C61" s="122" t="str">
        <f>IFERROR(__xludf.DUMMYFUNCTION("""COMPUTED_VALUE"""),"Automotive")</f>
        <v>Automotive</v>
      </c>
      <c r="D61" s="60">
        <f>IFERROR(__xludf.DUMMYFUNCTION("""COMPUTED_VALUE"""),124.11)</f>
        <v>124.11</v>
      </c>
      <c r="E61" s="60">
        <f>IFERROR(__xludf.DUMMYFUNCTION("""COMPUTED_VALUE"""),123.88)</f>
        <v>123.88</v>
      </c>
      <c r="F61" s="132">
        <f>IFERROR(__xludf.DUMMYFUNCTION("""COMPUTED_VALUE"""),0.0019)</f>
        <v>0.0019</v>
      </c>
      <c r="G61" s="60">
        <f>IFERROR(__xludf.DUMMYFUNCTION("""COMPUTED_VALUE"""),0.23)</f>
        <v>0.23</v>
      </c>
      <c r="H61" s="240">
        <f>IFERROR(__xludf.DUMMYFUNCTION("""COMPUTED_VALUE"""),4.46)</f>
        <v>4.46</v>
      </c>
      <c r="I61" s="240" t="str">
        <f>IFERROR(__xludf.DUMMYFUNCTION("""COMPUTED_VALUE"""),"Volatile")</f>
        <v>Volatile</v>
      </c>
      <c r="J61" s="122" t="str">
        <f>IFERROR(__xludf.DUMMYFUNCTION("""COMPUTED_VALUE"""),"Yes")</f>
        <v>Yes</v>
      </c>
      <c r="K61" s="131">
        <f>IFERROR(__xludf.DUMMYFUNCTION("""COMPUTED_VALUE"""),46187.706400462965)</f>
        <v>46187.7064</v>
      </c>
      <c r="L61" s="122" t="str">
        <f>IFERROR(__xludf.DUMMYFUNCTION("""COMPUTED_VALUE"""),"STOCK")</f>
        <v>STOCK</v>
      </c>
      <c r="M61" s="122"/>
      <c r="N61" s="122" t="str">
        <f>IFERROR(__xludf.DUMMYFUNCTION("""COMPUTED_VALUE"""),"No")</f>
        <v>No</v>
      </c>
      <c r="O61" s="122"/>
    </row>
    <row r="62">
      <c r="A62" s="122" t="str">
        <f>IFERROR(__xludf.DUMMYFUNCTION("""COMPUTED_VALUE"""),"GBND")</f>
        <v>GBND</v>
      </c>
      <c r="B62" s="122" t="str">
        <f>IFERROR(__xludf.DUMMYFUNCTION("""COMPUTED_VALUE"""),"Classroom Government Bond")</f>
        <v>Classroom Government Bond</v>
      </c>
      <c r="C62" s="122" t="str">
        <f>IFERROR(__xludf.DUMMYFUNCTION("""COMPUTED_VALUE"""),"Bond")</f>
        <v>Bond</v>
      </c>
      <c r="D62" s="60">
        <f>IFERROR(__xludf.DUMMYFUNCTION("""COMPUTED_VALUE"""),101.2)</f>
        <v>101.2</v>
      </c>
      <c r="E62" s="60">
        <f>IFERROR(__xludf.DUMMYFUNCTION("""COMPUTED_VALUE"""),101.15)</f>
        <v>101.15</v>
      </c>
      <c r="F62" s="132">
        <f>IFERROR(__xludf.DUMMYFUNCTION("""COMPUTED_VALUE"""),5.0E-4)</f>
        <v>0.0005</v>
      </c>
      <c r="G62" s="60">
        <f>IFERROR(__xludf.DUMMYFUNCTION("""COMPUTED_VALUE"""),0.05)</f>
        <v>0.05</v>
      </c>
      <c r="H62" s="240">
        <f>IFERROR(__xludf.DUMMYFUNCTION("""COMPUTED_VALUE"""),0.5)</f>
        <v>0.5</v>
      </c>
      <c r="I62" s="240" t="str">
        <f>IFERROR(__xludf.DUMMYFUNCTION("""COMPUTED_VALUE"""),"Stable")</f>
        <v>Stable</v>
      </c>
      <c r="J62" s="122" t="str">
        <f>IFERROR(__xludf.DUMMYFUNCTION("""COMPUTED_VALUE"""),"Yes")</f>
        <v>Yes</v>
      </c>
      <c r="K62" s="131">
        <f>IFERROR(__xludf.DUMMYFUNCTION("""COMPUTED_VALUE"""),46187.706400462965)</f>
        <v>46187.7064</v>
      </c>
      <c r="L62" s="122" t="str">
        <f>IFERROR(__xludf.DUMMYFUNCTION("""COMPUTED_VALUE"""),"BOND")</f>
        <v>BOND</v>
      </c>
      <c r="M62" s="122">
        <f>IFERROR(__xludf.DUMMYFUNCTION("""COMPUTED_VALUE"""),0.5)</f>
        <v>0.5</v>
      </c>
      <c r="N62" s="122" t="str">
        <f>IFERROR(__xludf.DUMMYFUNCTION("""COMPUTED_VALUE"""),"Yes")</f>
        <v>Yes</v>
      </c>
      <c r="O62" s="122">
        <f>IFERROR(__xludf.DUMMYFUNCTION("""COMPUTED_VALUE"""),0.02)</f>
        <v>0.02</v>
      </c>
    </row>
    <row r="63">
      <c r="A63" s="122" t="str">
        <f>IFERROR(__xludf.DUMMYFUNCTION("""COMPUTED_VALUE"""),"SBND")</f>
        <v>SBND</v>
      </c>
      <c r="B63" s="122" t="str">
        <f>IFERROR(__xludf.DUMMYFUNCTION("""COMPUTED_VALUE"""),"School Savings Bond")</f>
        <v>School Savings Bond</v>
      </c>
      <c r="C63" s="122" t="str">
        <f>IFERROR(__xludf.DUMMYFUNCTION("""COMPUTED_VALUE"""),"Bond")</f>
        <v>Bond</v>
      </c>
      <c r="D63" s="60">
        <f>IFERROR(__xludf.DUMMYFUNCTION("""COMPUTED_VALUE"""),99.19)</f>
        <v>99.19</v>
      </c>
      <c r="E63" s="60">
        <f>IFERROR(__xludf.DUMMYFUNCTION("""COMPUTED_VALUE"""),99.17)</f>
        <v>99.17</v>
      </c>
      <c r="F63" s="132">
        <f>IFERROR(__xludf.DUMMYFUNCTION("""COMPUTED_VALUE"""),2.0E-4)</f>
        <v>0.0002</v>
      </c>
      <c r="G63" s="60">
        <f>IFERROR(__xludf.DUMMYFUNCTION("""COMPUTED_VALUE"""),0.02)</f>
        <v>0.02</v>
      </c>
      <c r="H63" s="240">
        <f>IFERROR(__xludf.DUMMYFUNCTION("""COMPUTED_VALUE"""),0.4)</f>
        <v>0.4</v>
      </c>
      <c r="I63" s="240" t="str">
        <f>IFERROR(__xludf.DUMMYFUNCTION("""COMPUTED_VALUE"""),"Stable")</f>
        <v>Stable</v>
      </c>
      <c r="J63" s="122" t="str">
        <f>IFERROR(__xludf.DUMMYFUNCTION("""COMPUTED_VALUE"""),"Yes")</f>
        <v>Yes</v>
      </c>
      <c r="K63" s="131">
        <f>IFERROR(__xludf.DUMMYFUNCTION("""COMPUTED_VALUE"""),46187.706400462965)</f>
        <v>46187.7064</v>
      </c>
      <c r="L63" s="122" t="str">
        <f>IFERROR(__xludf.DUMMYFUNCTION("""COMPUTED_VALUE"""),"BOND")</f>
        <v>BOND</v>
      </c>
      <c r="M63" s="122">
        <f>IFERROR(__xludf.DUMMYFUNCTION("""COMPUTED_VALUE"""),0.4)</f>
        <v>0.4</v>
      </c>
      <c r="N63" s="122" t="str">
        <f>IFERROR(__xludf.DUMMYFUNCTION("""COMPUTED_VALUE"""),"Yes")</f>
        <v>Yes</v>
      </c>
      <c r="O63" s="122">
        <f>IFERROR(__xludf.DUMMYFUNCTION("""COMPUTED_VALUE"""),0.015)</f>
        <v>0.015</v>
      </c>
    </row>
    <row r="64">
      <c r="A64" s="122" t="str">
        <f>IFERROR(__xludf.DUMMYFUNCTION("""COMPUTED_VALUE"""),"CBND")</f>
        <v>CBND</v>
      </c>
      <c r="B64" s="122" t="str">
        <f>IFERROR(__xludf.DUMMYFUNCTION("""COMPUTED_VALUE"""),"Corporate Classroom Bond")</f>
        <v>Corporate Classroom Bond</v>
      </c>
      <c r="C64" s="122" t="str">
        <f>IFERROR(__xludf.DUMMYFUNCTION("""COMPUTED_VALUE"""),"Bond")</f>
        <v>Bond</v>
      </c>
      <c r="D64" s="60">
        <f>IFERROR(__xludf.DUMMYFUNCTION("""COMPUTED_VALUE"""),98.12)</f>
        <v>98.12</v>
      </c>
      <c r="E64" s="60">
        <f>IFERROR(__xludf.DUMMYFUNCTION("""COMPUTED_VALUE"""),98.08)</f>
        <v>98.08</v>
      </c>
      <c r="F64" s="132">
        <f>IFERROR(__xludf.DUMMYFUNCTION("""COMPUTED_VALUE"""),4.0E-4)</f>
        <v>0.0004</v>
      </c>
      <c r="G64" s="60">
        <f>IFERROR(__xludf.DUMMYFUNCTION("""COMPUTED_VALUE"""),0.04)</f>
        <v>0.04</v>
      </c>
      <c r="H64" s="240">
        <f>IFERROR(__xludf.DUMMYFUNCTION("""COMPUTED_VALUE"""),0.8)</f>
        <v>0.8</v>
      </c>
      <c r="I64" s="240" t="str">
        <f>IFERROR(__xludf.DUMMYFUNCTION("""COMPUTED_VALUE"""),"Stable")</f>
        <v>Stable</v>
      </c>
      <c r="J64" s="122" t="str">
        <f>IFERROR(__xludf.DUMMYFUNCTION("""COMPUTED_VALUE"""),"Yes")</f>
        <v>Yes</v>
      </c>
      <c r="K64" s="131">
        <f>IFERROR(__xludf.DUMMYFUNCTION("""COMPUTED_VALUE"""),46187.706400462965)</f>
        <v>46187.7064</v>
      </c>
      <c r="L64" s="122" t="str">
        <f>IFERROR(__xludf.DUMMYFUNCTION("""COMPUTED_VALUE"""),"BOND")</f>
        <v>BOND</v>
      </c>
      <c r="M64" s="122">
        <f>IFERROR(__xludf.DUMMYFUNCTION("""COMPUTED_VALUE"""),0.8)</f>
        <v>0.8</v>
      </c>
      <c r="N64" s="122" t="str">
        <f>IFERROR(__xludf.DUMMYFUNCTION("""COMPUTED_VALUE"""),"Yes")</f>
        <v>Yes</v>
      </c>
      <c r="O64" s="122">
        <f>IFERROR(__xludf.DUMMYFUNCTION("""COMPUTED_VALUE"""),0.03)</f>
        <v>0.03</v>
      </c>
    </row>
    <row r="65">
      <c r="A65" s="122" t="str">
        <f>IFERROR(__xludf.DUMMYFUNCTION("""COMPUTED_VALUE"""),"TBIL")</f>
        <v>TBIL</v>
      </c>
      <c r="B65" s="122" t="str">
        <f>IFERROR(__xludf.DUMMYFUNCTION("""COMPUTED_VALUE"""),"Treasury Bill")</f>
        <v>Treasury Bill</v>
      </c>
      <c r="C65" s="122" t="str">
        <f>IFERROR(__xludf.DUMMYFUNCTION("""COMPUTED_VALUE"""),"Bond")</f>
        <v>Bond</v>
      </c>
      <c r="D65" s="60">
        <f>IFERROR(__xludf.DUMMYFUNCTION("""COMPUTED_VALUE"""),97.85)</f>
        <v>97.85</v>
      </c>
      <c r="E65" s="60">
        <f>IFERROR(__xludf.DUMMYFUNCTION("""COMPUTED_VALUE"""),97.88)</f>
        <v>97.88</v>
      </c>
      <c r="F65" s="132">
        <f>IFERROR(__xludf.DUMMYFUNCTION("""COMPUTED_VALUE"""),-3.0E-4)</f>
        <v>-0.0003</v>
      </c>
      <c r="G65" s="60">
        <f>IFERROR(__xludf.DUMMYFUNCTION("""COMPUTED_VALUE"""),-0.03)</f>
        <v>-0.03</v>
      </c>
      <c r="H65" s="240">
        <f>IFERROR(__xludf.DUMMYFUNCTION("""COMPUTED_VALUE"""),0.25)</f>
        <v>0.25</v>
      </c>
      <c r="I65" s="240" t="str">
        <f>IFERROR(__xludf.DUMMYFUNCTION("""COMPUTED_VALUE"""),"Stable")</f>
        <v>Stable</v>
      </c>
      <c r="J65" s="122" t="str">
        <f>IFERROR(__xludf.DUMMYFUNCTION("""COMPUTED_VALUE"""),"Yes")</f>
        <v>Yes</v>
      </c>
      <c r="K65" s="131">
        <f>IFERROR(__xludf.DUMMYFUNCTION("""COMPUTED_VALUE"""),46187.706400462965)</f>
        <v>46187.7064</v>
      </c>
      <c r="L65" s="122" t="str">
        <f>IFERROR(__xludf.DUMMYFUNCTION("""COMPUTED_VALUE"""),"BOND")</f>
        <v>BOND</v>
      </c>
      <c r="M65" s="122">
        <f>IFERROR(__xludf.DUMMYFUNCTION("""COMPUTED_VALUE"""),0.25)</f>
        <v>0.25</v>
      </c>
      <c r="N65" s="122" t="str">
        <f>IFERROR(__xludf.DUMMYFUNCTION("""COMPUTED_VALUE"""),"Yes")</f>
        <v>Yes</v>
      </c>
      <c r="O65" s="122">
        <f>IFERROR(__xludf.DUMMYFUNCTION("""COMPUTED_VALUE"""),0.01)</f>
        <v>0.01</v>
      </c>
    </row>
    <row r="66">
      <c r="A66" s="122" t="str">
        <f>IFERROR(__xludf.DUMMYFUNCTION("""COMPUTED_VALUE"""),"IBND")</f>
        <v>IBND</v>
      </c>
      <c r="B66" s="122" t="str">
        <f>IFERROR(__xludf.DUMMYFUNCTION("""COMPUTED_VALUE"""),"Inflation Protected Bond")</f>
        <v>Inflation Protected Bond</v>
      </c>
      <c r="C66" s="122" t="str">
        <f>IFERROR(__xludf.DUMMYFUNCTION("""COMPUTED_VALUE"""),"Bond")</f>
        <v>Bond</v>
      </c>
      <c r="D66" s="60">
        <f>IFERROR(__xludf.DUMMYFUNCTION("""COMPUTED_VALUE"""),100.54)</f>
        <v>100.54</v>
      </c>
      <c r="E66" s="60">
        <f>IFERROR(__xludf.DUMMYFUNCTION("""COMPUTED_VALUE"""),100.59)</f>
        <v>100.59</v>
      </c>
      <c r="F66" s="132">
        <f>IFERROR(__xludf.DUMMYFUNCTION("""COMPUTED_VALUE"""),-5.0E-4)</f>
        <v>-0.0005</v>
      </c>
      <c r="G66" s="60">
        <f>IFERROR(__xludf.DUMMYFUNCTION("""COMPUTED_VALUE"""),-0.05)</f>
        <v>-0.05</v>
      </c>
      <c r="H66" s="240">
        <f>IFERROR(__xludf.DUMMYFUNCTION("""COMPUTED_VALUE"""),0.35)</f>
        <v>0.35</v>
      </c>
      <c r="I66" s="240" t="str">
        <f>IFERROR(__xludf.DUMMYFUNCTION("""COMPUTED_VALUE"""),"Stable")</f>
        <v>Stable</v>
      </c>
      <c r="J66" s="122" t="str">
        <f>IFERROR(__xludf.DUMMYFUNCTION("""COMPUTED_VALUE"""),"Yes")</f>
        <v>Yes</v>
      </c>
      <c r="K66" s="131">
        <f>IFERROR(__xludf.DUMMYFUNCTION("""COMPUTED_VALUE"""),46187.706400462965)</f>
        <v>46187.7064</v>
      </c>
      <c r="L66" s="122" t="str">
        <f>IFERROR(__xludf.DUMMYFUNCTION("""COMPUTED_VALUE"""),"BOND")</f>
        <v>BOND</v>
      </c>
      <c r="M66" s="122">
        <f>IFERROR(__xludf.DUMMYFUNCTION("""COMPUTED_VALUE"""),0.35)</f>
        <v>0.35</v>
      </c>
      <c r="N66" s="122" t="str">
        <f>IFERROR(__xludf.DUMMYFUNCTION("""COMPUTED_VALUE"""),"Yes")</f>
        <v>Yes</v>
      </c>
      <c r="O66" s="122">
        <f>IFERROR(__xludf.DUMMYFUNCTION("""COMPUTED_VALUE"""),0.018)</f>
        <v>0.018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7.63"/>
    <col customWidth="1" min="3" max="3" width="30.25"/>
  </cols>
  <sheetData>
    <row r="1">
      <c r="A1" s="226" t="s">
        <v>101</v>
      </c>
    </row>
    <row r="2">
      <c r="A2" s="227"/>
      <c r="B2" s="227"/>
      <c r="C2" s="227"/>
    </row>
    <row r="3">
      <c r="A3" s="133" t="s">
        <v>61</v>
      </c>
      <c r="B3" s="241"/>
      <c r="C3" s="227"/>
    </row>
    <row r="4">
      <c r="A4" s="133" t="s">
        <v>46</v>
      </c>
      <c r="B4" s="241"/>
      <c r="C4" s="227"/>
    </row>
    <row r="5">
      <c r="A5" s="133" t="s">
        <v>102</v>
      </c>
      <c r="B5" s="242"/>
      <c r="C5" s="227"/>
    </row>
    <row r="6">
      <c r="A6" s="133" t="s">
        <v>103</v>
      </c>
      <c r="B6" s="243"/>
      <c r="C6" s="227"/>
    </row>
    <row r="7">
      <c r="A7" s="133" t="s">
        <v>104</v>
      </c>
      <c r="B7" s="242"/>
      <c r="C7" s="227"/>
    </row>
    <row r="8">
      <c r="A8" s="229"/>
      <c r="B8" s="227"/>
      <c r="C8" s="227"/>
    </row>
    <row r="9">
      <c r="A9" s="133" t="s">
        <v>4</v>
      </c>
      <c r="B9" s="244" t="s">
        <v>105</v>
      </c>
      <c r="C9" s="245"/>
    </row>
  </sheetData>
  <mergeCells count="1">
    <mergeCell ref="A1:C1"/>
  </mergeCells>
  <dataValidations>
    <dataValidation type="list" allowBlank="1" showErrorMessage="1" sqref="B5">
      <formula1>"BUY,HOLD,SELL"</formula1>
    </dataValidation>
    <dataValidation type="list" allowBlank="1" showErrorMessage="1" sqref="B4">
      <formula1>Imported_Stock_Market!$A$2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IFERROR(__xludf.DUMMYFUNCTION("IMPORTRANGE(""1R2r21OUCmsRB4LtOboB6fOM_WL3_ezt7cytLM-cfMvg"",""Stock_News!A:H"")"),"Timestamp")</f>
        <v>Timestamp</v>
      </c>
      <c r="B1" s="122" t="str">
        <f>IFERROR(__xludf.DUMMYFUNCTION("""COMPUTED_VALUE"""),"Ticker")</f>
        <v>Ticker</v>
      </c>
      <c r="C1" s="122" t="str">
        <f>IFERROR(__xludf.DUMMYFUNCTION("""COMPUTED_VALUE"""),"Headline")</f>
        <v>Headline</v>
      </c>
      <c r="D1" s="122" t="str">
        <f>IFERROR(__xludf.DUMMYFUNCTION("""COMPUTED_VALUE"""),"Body")</f>
        <v>Body</v>
      </c>
      <c r="E1" s="122" t="str">
        <f>IFERROR(__xludf.DUMMYFUNCTION("""COMPUTED_VALUE"""),"Impact_Type")</f>
        <v>Impact_Type</v>
      </c>
      <c r="F1" s="122" t="str">
        <f>IFERROR(__xludf.DUMMYFUNCTION("""COMPUTED_VALUE"""),"Price_Impact_%")</f>
        <v>Price_Impact_%</v>
      </c>
      <c r="G1" s="122" t="str">
        <f>IFERROR(__xludf.DUMMYFUNCTION("""COMPUTED_VALUE"""),"Volatility_Impact")</f>
        <v>Volatility_Impact</v>
      </c>
      <c r="H1" s="122" t="str">
        <f>IFERROR(__xludf.DUMMYFUNCTION("""COMPUTED_VALUE"""),"Status")</f>
        <v>Status</v>
      </c>
    </row>
    <row r="2">
      <c r="A2" s="131">
        <f>IFERROR(__xludf.DUMMYFUNCTION("""COMPUTED_VALUE"""),46165.31756944444)</f>
        <v>46165.31757</v>
      </c>
      <c r="B2" s="122" t="str">
        <f>IFERROR(__xludf.DUMMYFUNCTION("""COMPUTED_VALUE"""),"BYTE")</f>
        <v>BYTE</v>
      </c>
      <c r="C2" s="122" t="str">
        <f>IFERROR(__xludf.DUMMYFUNCTION("""COMPUTED_VALUE"""),"ByteWorks releases earnings report: Miss profit, guidance Lowered.")</f>
        <v>ByteWorks releases earnings report: Miss profit, guidance Lowered.</v>
      </c>
      <c r="D2" s="122" t="str">
        <f>IFERROR(__xludf.DUMMYFUNCTION("""COMPUTED_VALUE"""),"Earnings report: revenue Miss, profit Miss, debt Worse, guidance Lowered.")</f>
        <v>Earnings report: revenue Miss, profit Miss, debt Worse, guidance Lowered.</v>
      </c>
      <c r="E2" s="122" t="str">
        <f>IFERROR(__xludf.DUMMYFUNCTION("""COMPUTED_VALUE"""),"Negative")</f>
        <v>Negative</v>
      </c>
      <c r="F2" s="122">
        <f>IFERROR(__xludf.DUMMYFUNCTION("""COMPUTED_VALUE"""),-0.03526377876459241)</f>
        <v>-0.03526377876</v>
      </c>
      <c r="G2" s="122">
        <f>IFERROR(__xludf.DUMMYFUNCTION("""COMPUTED_VALUE"""),0.8815944691148103)</f>
        <v>0.8815944691</v>
      </c>
      <c r="H2" s="122" t="str">
        <f>IFERROR(__xludf.DUMMYFUNCTION("""COMPUTED_VALUE"""),"Active")</f>
        <v>Active</v>
      </c>
    </row>
    <row r="3">
      <c r="A3" s="131">
        <f>IFERROR(__xludf.DUMMYFUNCTION("""COMPUTED_VALUE"""),46165.31762731481)</f>
        <v>46165.31763</v>
      </c>
      <c r="B3" s="122" t="str">
        <f>IFERROR(__xludf.DUMMYFUNCTION("""COMPUTED_VALUE"""),"FARM")</f>
        <v>FARM</v>
      </c>
      <c r="C3" s="122" t="str">
        <f>IFERROR(__xludf.DUMMYFUNCTION("""COMPUTED_VALUE"""),"Future Farms releases earnings report: Beat profit, guidance Raised.")</f>
        <v>Future Farms releases earnings report: Beat profit, guidance Raised.</v>
      </c>
      <c r="D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" s="122" t="str">
        <f>IFERROR(__xludf.DUMMYFUNCTION("""COMPUTED_VALUE"""),"Positive")</f>
        <v>Positive</v>
      </c>
      <c r="F3" s="122">
        <f>IFERROR(__xludf.DUMMYFUNCTION("""COMPUTED_VALUE"""),0.025644107773859663)</f>
        <v>0.02564410777</v>
      </c>
      <c r="G3" s="122">
        <f>IFERROR(__xludf.DUMMYFUNCTION("""COMPUTED_VALUE"""),0.6411026943464916)</f>
        <v>0.6411026943</v>
      </c>
      <c r="H3" s="122" t="str">
        <f>IFERROR(__xludf.DUMMYFUNCTION("""COMPUTED_VALUE"""),"Active")</f>
        <v>Active</v>
      </c>
    </row>
    <row r="4">
      <c r="A4" s="131">
        <f>IFERROR(__xludf.DUMMYFUNCTION("""COMPUTED_VALUE"""),46165.31769675926)</f>
        <v>46165.3177</v>
      </c>
      <c r="B4" s="122" t="str">
        <f>IFERROR(__xludf.DUMMYFUNCTION("""COMPUTED_VALUE"""),"MEAT")</f>
        <v>MEAT</v>
      </c>
      <c r="C4" s="122" t="str">
        <f>IFERROR(__xludf.DUMMYFUNCTION("""COMPUTED_VALUE"""),"MeatWorks releases earnings report: Miss profit, guidance Maintained.")</f>
        <v>MeatWorks releases earnings report: Miss profit, guidance Maintained.</v>
      </c>
      <c r="D4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4" s="122" t="str">
        <f>IFERROR(__xludf.DUMMYFUNCTION("""COMPUTED_VALUE"""),"Negative")</f>
        <v>Negative</v>
      </c>
      <c r="F4" s="122">
        <f>IFERROR(__xludf.DUMMYFUNCTION("""COMPUTED_VALUE"""),-0.016832111999912462)</f>
        <v>-0.016832112</v>
      </c>
      <c r="G4" s="122">
        <f>IFERROR(__xludf.DUMMYFUNCTION("""COMPUTED_VALUE"""),0.42080279999781156)</f>
        <v>0.4208028</v>
      </c>
      <c r="H4" s="122" t="str">
        <f>IFERROR(__xludf.DUMMYFUNCTION("""COMPUTED_VALUE"""),"Active")</f>
        <v>Active</v>
      </c>
    </row>
    <row r="5">
      <c r="A5" s="131">
        <f>IFERROR(__xludf.DUMMYFUNCTION("""COMPUTED_VALUE"""),46165.31774305556)</f>
        <v>46165.31774</v>
      </c>
      <c r="B5" s="122" t="str">
        <f>IFERROR(__xludf.DUMMYFUNCTION("""COMPUTED_VALUE"""),"DENT")</f>
        <v>DENT</v>
      </c>
      <c r="C5" s="122" t="str">
        <f>IFERROR(__xludf.DUMMYFUNCTION("""COMPUTED_VALUE"""),"SmileWorks releases earnings report: Beat profit, guidance Raised.")</f>
        <v>SmileWorks releases earnings report: Beat profit, guidance Raised.</v>
      </c>
      <c r="D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5" s="122" t="str">
        <f>IFERROR(__xludf.DUMMYFUNCTION("""COMPUTED_VALUE"""),"Positive")</f>
        <v>Positive</v>
      </c>
      <c r="F5" s="122">
        <f>IFERROR(__xludf.DUMMYFUNCTION("""COMPUTED_VALUE"""),0.05004347979791755)</f>
        <v>0.0500434798</v>
      </c>
      <c r="G5" s="122">
        <f>IFERROR(__xludf.DUMMYFUNCTION("""COMPUTED_VALUE"""),1.2510869949479388)</f>
        <v>1.251086995</v>
      </c>
      <c r="H5" s="122" t="str">
        <f>IFERROR(__xludf.DUMMYFUNCTION("""COMPUTED_VALUE"""),"Active")</f>
        <v>Active</v>
      </c>
    </row>
    <row r="6">
      <c r="A6" s="131">
        <f>IFERROR(__xludf.DUMMYFUNCTION("""COMPUTED_VALUE"""),46165.31780092593)</f>
        <v>46165.3178</v>
      </c>
      <c r="B6" s="122" t="str">
        <f>IFERROR(__xludf.DUMMYFUNCTION("""COMPUTED_VALUE"""),"EDUX")</f>
        <v>EDUX</v>
      </c>
      <c r="C6" s="122" t="str">
        <f>IFERROR(__xludf.DUMMYFUNCTION("""COMPUTED_VALUE"""),"EduMax Learning releases earnings report: Miss profit, guidance Maintained.")</f>
        <v>EduMax Learning releases earnings report: Miss profit, guidance Maintained.</v>
      </c>
      <c r="D6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6" s="122" t="str">
        <f>IFERROR(__xludf.DUMMYFUNCTION("""COMPUTED_VALUE"""),"Neutral")</f>
        <v>Neutral</v>
      </c>
      <c r="F6" s="122">
        <f>IFERROR(__xludf.DUMMYFUNCTION("""COMPUTED_VALUE"""),-0.009493326276486988)</f>
        <v>-0.009493326276</v>
      </c>
      <c r="G6" s="122">
        <f>IFERROR(__xludf.DUMMYFUNCTION("""COMPUTED_VALUE"""),0.2373331569121747)</f>
        <v>0.2373331569</v>
      </c>
      <c r="H6" s="122" t="str">
        <f>IFERROR(__xludf.DUMMYFUNCTION("""COMPUTED_VALUE"""),"Active")</f>
        <v>Active</v>
      </c>
    </row>
    <row r="7">
      <c r="A7" s="131">
        <f>IFERROR(__xludf.DUMMYFUNCTION("""COMPUTED_VALUE"""),46165.3178587963)</f>
        <v>46165.31786</v>
      </c>
      <c r="B7" s="122" t="str">
        <f>IFERROR(__xludf.DUMMYFUNCTION("""COMPUTED_VALUE"""),"RIDE")</f>
        <v>RIDE</v>
      </c>
      <c r="C7" s="122" t="str">
        <f>IFERROR(__xludf.DUMMYFUNCTION("""COMPUTED_VALUE"""),"QuickRide releases earnings report: Miss profit, guidance Lowered.")</f>
        <v>QuickRide releases earnings report: Miss profit, guidance Lowered.</v>
      </c>
      <c r="D7" s="122" t="str">
        <f>IFERROR(__xludf.DUMMYFUNCTION("""COMPUTED_VALUE"""),"Earnings report: revenue Miss, profit Miss, debt Worse, guidance Lowered.")</f>
        <v>Earnings report: revenue Miss, profit Miss, debt Worse, guidance Lowered.</v>
      </c>
      <c r="E7" s="122" t="str">
        <f>IFERROR(__xludf.DUMMYFUNCTION("""COMPUTED_VALUE"""),"Negative")</f>
        <v>Negative</v>
      </c>
      <c r="F7" s="122">
        <f>IFERROR(__xludf.DUMMYFUNCTION("""COMPUTED_VALUE"""),-0.033893284460803356)</f>
        <v>-0.03389328446</v>
      </c>
      <c r="G7" s="122">
        <f>IFERROR(__xludf.DUMMYFUNCTION("""COMPUTED_VALUE"""),0.8473321115200839)</f>
        <v>0.8473321115</v>
      </c>
      <c r="H7" s="122" t="str">
        <f>IFERROR(__xludf.DUMMYFUNCTION("""COMPUTED_VALUE"""),"Active")</f>
        <v>Active</v>
      </c>
    </row>
    <row r="8">
      <c r="A8" s="131">
        <f>IFERROR(__xludf.DUMMYFUNCTION("""COMPUTED_VALUE"""),46165.31790509259)</f>
        <v>46165.31791</v>
      </c>
      <c r="B8" s="122" t="str">
        <f>IFERROR(__xludf.DUMMYFUNCTION("""COMPUTED_VALUE"""),"KICK")</f>
        <v>KICK</v>
      </c>
      <c r="C8" s="122" t="str">
        <f>IFERROR(__xludf.DUMMYFUNCTION("""COMPUTED_VALUE"""),"KickDrop Sneakers releases earnings report: Miss profit, guidance Maintained.")</f>
        <v>KickDrop Sneakers releases earnings report: Miss profit, guidance Maintained.</v>
      </c>
      <c r="D8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8" s="122" t="str">
        <f>IFERROR(__xludf.DUMMYFUNCTION("""COMPUTED_VALUE"""),"Negative")</f>
        <v>Negative</v>
      </c>
      <c r="F8" s="122">
        <f>IFERROR(__xludf.DUMMYFUNCTION("""COMPUTED_VALUE"""),-0.012865241054655984)</f>
        <v>-0.01286524105</v>
      </c>
      <c r="G8" s="122">
        <f>IFERROR(__xludf.DUMMYFUNCTION("""COMPUTED_VALUE"""),0.3216310263663996)</f>
        <v>0.3216310264</v>
      </c>
      <c r="H8" s="122" t="str">
        <f>IFERROR(__xludf.DUMMYFUNCTION("""COMPUTED_VALUE"""),"Active")</f>
        <v>Active</v>
      </c>
    </row>
    <row r="9">
      <c r="A9" s="131">
        <f>IFERROR(__xludf.DUMMYFUNCTION("""COMPUTED_VALUE"""),46165.31796296296)</f>
        <v>46165.31796</v>
      </c>
      <c r="B9" s="122" t="str">
        <f>IFERROR(__xludf.DUMMYFUNCTION("""COMPUTED_VALUE"""),"INSR")</f>
        <v>INSR</v>
      </c>
      <c r="C9" s="122" t="str">
        <f>IFERROR(__xludf.DUMMYFUNCTION("""COMPUTED_VALUE"""),"Shield Insurance releases earnings report: Beat profit, guidance Raised.")</f>
        <v>Shield Insurance releases earnings report: Beat profit, guidance Raised.</v>
      </c>
      <c r="D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" s="122" t="str">
        <f>IFERROR(__xludf.DUMMYFUNCTION("""COMPUTED_VALUE"""),"Positive")</f>
        <v>Positive</v>
      </c>
      <c r="F9" s="122">
        <f>IFERROR(__xludf.DUMMYFUNCTION("""COMPUTED_VALUE"""),0.02347368398986414)</f>
        <v>0.02347368399</v>
      </c>
      <c r="G9" s="122">
        <f>IFERROR(__xludf.DUMMYFUNCTION("""COMPUTED_VALUE"""),0.5868420997466035)</f>
        <v>0.5868420997</v>
      </c>
      <c r="H9" s="122" t="str">
        <f>IFERROR(__xludf.DUMMYFUNCTION("""COMPUTED_VALUE"""),"Active")</f>
        <v>Active</v>
      </c>
    </row>
    <row r="10">
      <c r="A10" s="131">
        <f>IFERROR(__xludf.DUMMYFUNCTION("""COMPUTED_VALUE"""),46165.31800925926)</f>
        <v>46165.31801</v>
      </c>
      <c r="B10" s="122" t="str">
        <f>IFERROR(__xludf.DUMMYFUNCTION("""COMPUTED_VALUE"""),"CARE")</f>
        <v>CARE</v>
      </c>
      <c r="C10" s="122" t="str">
        <f>IFERROR(__xludf.DUMMYFUNCTION("""COMPUTED_VALUE"""),"CareCloud releases earnings report: Beat profit, guidance Raised.")</f>
        <v>CareCloud releases earnings report: Beat profit, guidance Raised.</v>
      </c>
      <c r="D1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0" s="122" t="str">
        <f>IFERROR(__xludf.DUMMYFUNCTION("""COMPUTED_VALUE"""),"Positive")</f>
        <v>Positive</v>
      </c>
      <c r="F10" s="122">
        <f>IFERROR(__xludf.DUMMYFUNCTION("""COMPUTED_VALUE"""),0.04520042231143404)</f>
        <v>0.04520042231</v>
      </c>
      <c r="G10" s="122">
        <f>IFERROR(__xludf.DUMMYFUNCTION("""COMPUTED_VALUE"""),1.130010557785851)</f>
        <v>1.130010558</v>
      </c>
      <c r="H10" s="122" t="str">
        <f>IFERROR(__xludf.DUMMYFUNCTION("""COMPUTED_VALUE"""),"Active")</f>
        <v>Active</v>
      </c>
    </row>
    <row r="11">
      <c r="A11" s="131">
        <f>IFERROR(__xludf.DUMMYFUNCTION("""COMPUTED_VALUE"""),46165.3308912037)</f>
        <v>46165.33089</v>
      </c>
      <c r="B11" s="122" t="str">
        <f>IFERROR(__xludf.DUMMYFUNCTION("""COMPUTED_VALUE"""),"SNAX")</f>
        <v>SNAX</v>
      </c>
      <c r="C11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11" s="122" t="str">
        <f>IFERROR(__xludf.DUMMYFUNCTION("""COMPUTED_VALUE"""),"MICA Snacks appears steady with no major changes reported.")</f>
        <v>MICA Snacks appears steady with no major changes reported.</v>
      </c>
      <c r="E11" s="122" t="str">
        <f>IFERROR(__xludf.DUMMYFUNCTION("""COMPUTED_VALUE"""),"Neutral")</f>
        <v>Neutral</v>
      </c>
      <c r="F11" s="122">
        <f>IFERROR(__xludf.DUMMYFUNCTION("""COMPUTED_VALUE"""),0.0)</f>
        <v>0</v>
      </c>
      <c r="G11" s="122">
        <f>IFERROR(__xludf.DUMMYFUNCTION("""COMPUTED_VALUE"""),0.0)</f>
        <v>0</v>
      </c>
      <c r="H11" s="122" t="str">
        <f>IFERROR(__xludf.DUMMYFUNCTION("""COMPUTED_VALUE"""),"Active")</f>
        <v>Active</v>
      </c>
    </row>
    <row r="12">
      <c r="A12" s="131">
        <f>IFERROR(__xludf.DUMMYFUNCTION("""COMPUTED_VALUE"""),46165.33090277778)</f>
        <v>46165.3309</v>
      </c>
      <c r="B12" s="122" t="str">
        <f>IFERROR(__xludf.DUMMYFUNCTION("""COMPUTED_VALUE"""),"RAMN")</f>
        <v>RAMN</v>
      </c>
      <c r="C12" s="122" t="str">
        <f>IFERROR(__xludf.DUMMYFUNCTION("""COMPUTED_VALUE"""),"Ramen Republic remains stable as the Food market shows normal activity.")</f>
        <v>Ramen Republic remains stable as the Food market shows normal activity.</v>
      </c>
      <c r="D12" s="122" t="str">
        <f>IFERROR(__xludf.DUMMYFUNCTION("""COMPUTED_VALUE"""),"Ramen Republic appears steady with no major changes reported.")</f>
        <v>Ramen Republic appears steady with no major changes reported.</v>
      </c>
      <c r="E12" s="122" t="str">
        <f>IFERROR(__xludf.DUMMYFUNCTION("""COMPUTED_VALUE"""),"Neutral")</f>
        <v>Neutral</v>
      </c>
      <c r="F12" s="122">
        <f>IFERROR(__xludf.DUMMYFUNCTION("""COMPUTED_VALUE"""),0.0)</f>
        <v>0</v>
      </c>
      <c r="G12" s="122">
        <f>IFERROR(__xludf.DUMMYFUNCTION("""COMPUTED_VALUE"""),0.0)</f>
        <v>0</v>
      </c>
      <c r="H12" s="122" t="str">
        <f>IFERROR(__xludf.DUMMYFUNCTION("""COMPUTED_VALUE"""),"Active")</f>
        <v>Active</v>
      </c>
    </row>
    <row r="13">
      <c r="A13" s="131">
        <f>IFERROR(__xludf.DUMMYFUNCTION("""COMPUTED_VALUE"""),46165.33090277778)</f>
        <v>46165.3309</v>
      </c>
      <c r="B13" s="122" t="str">
        <f>IFERROR(__xludf.DUMMYFUNCTION("""COMPUTED_VALUE"""),"COLA")</f>
        <v>COLA</v>
      </c>
      <c r="C13" s="122" t="str">
        <f>IFERROR(__xludf.DUMMYFUNCTION("""COMPUTED_VALUE"""),"K-Pop Cola reports steady growth and improved market confidence.")</f>
        <v>K-Pop Cola reports steady growth and improved market confidence.</v>
      </c>
      <c r="D13" s="122" t="str">
        <f>IFERROR(__xludf.DUMMYFUNCTION("""COMPUTED_VALUE"""),"K-Pop Cola continues to show positive momentum with moderate risk.")</f>
        <v>K-Pop Cola continues to show positive momentum with moderate risk.</v>
      </c>
      <c r="E13" s="122" t="str">
        <f>IFERROR(__xludf.DUMMYFUNCTION("""COMPUTED_VALUE"""),"Positive")</f>
        <v>Positive</v>
      </c>
      <c r="F13" s="122">
        <f>IFERROR(__xludf.DUMMYFUNCTION("""COMPUTED_VALUE"""),0.015)</f>
        <v>0.015</v>
      </c>
      <c r="G13" s="122">
        <f>IFERROR(__xludf.DUMMYFUNCTION("""COMPUTED_VALUE"""),0.5)</f>
        <v>0.5</v>
      </c>
      <c r="H13" s="122" t="str">
        <f>IFERROR(__xludf.DUMMYFUNCTION("""COMPUTED_VALUE"""),"Active")</f>
        <v>Active</v>
      </c>
    </row>
    <row r="14">
      <c r="A14" s="131">
        <f>IFERROR(__xludf.DUMMYFUNCTION("""COMPUTED_VALUE"""),46165.33090277778)</f>
        <v>46165.3309</v>
      </c>
      <c r="B14" s="122" t="str">
        <f>IFERROR(__xludf.DUMMYFUNCTION("""COMPUTED_VALUE"""),"CHIP")</f>
        <v>CHIP</v>
      </c>
      <c r="C14" s="122" t="str">
        <f>IFERROR(__xludf.DUMMYFUNCTION("""COMPUTED_VALUE"""),"Chip Empire reports steady growth and improved market confidence.")</f>
        <v>Chip Empire reports steady growth and improved market confidence.</v>
      </c>
      <c r="D14" s="122" t="str">
        <f>IFERROR(__xludf.DUMMYFUNCTION("""COMPUTED_VALUE"""),"Chip Empire continues to show positive momentum with moderate risk.")</f>
        <v>Chip Empire continues to show positive momentum with moderate risk.</v>
      </c>
      <c r="E14" s="122" t="str">
        <f>IFERROR(__xludf.DUMMYFUNCTION("""COMPUTED_VALUE"""),"Positive")</f>
        <v>Positive</v>
      </c>
      <c r="F14" s="122">
        <f>IFERROR(__xludf.DUMMYFUNCTION("""COMPUTED_VALUE"""),0.015)</f>
        <v>0.015</v>
      </c>
      <c r="G14" s="122">
        <f>IFERROR(__xludf.DUMMYFUNCTION("""COMPUTED_VALUE"""),0.5)</f>
        <v>0.5</v>
      </c>
      <c r="H14" s="122" t="str">
        <f>IFERROR(__xludf.DUMMYFUNCTION("""COMPUTED_VALUE"""),"Active")</f>
        <v>Active</v>
      </c>
    </row>
    <row r="15">
      <c r="A15" s="131">
        <f>IFERROR(__xludf.DUMMYFUNCTION("""COMPUTED_VALUE"""),46165.33091435185)</f>
        <v>46165.33091</v>
      </c>
      <c r="B15" s="122" t="str">
        <f>IFERROR(__xludf.DUMMYFUNCTION("""COMPUTED_VALUE"""),"CAND")</f>
        <v>CAND</v>
      </c>
      <c r="C15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15" s="122" t="str">
        <f>IFERROR(__xludf.DUMMYFUNCTION("""COMPUTED_VALUE"""),"Candy Capital appears steady with no major changes reported.")</f>
        <v>Candy Capital appears steady with no major changes reported.</v>
      </c>
      <c r="E15" s="122" t="str">
        <f>IFERROR(__xludf.DUMMYFUNCTION("""COMPUTED_VALUE"""),"Neutral")</f>
        <v>Neutral</v>
      </c>
      <c r="F15" s="122">
        <f>IFERROR(__xludf.DUMMYFUNCTION("""COMPUTED_VALUE"""),0.0)</f>
        <v>0</v>
      </c>
      <c r="G15" s="122">
        <f>IFERROR(__xludf.DUMMYFUNCTION("""COMPUTED_VALUE"""),0.0)</f>
        <v>0</v>
      </c>
      <c r="H15" s="122" t="str">
        <f>IFERROR(__xludf.DUMMYFUNCTION("""COMPUTED_VALUE"""),"Active")</f>
        <v>Active</v>
      </c>
    </row>
    <row r="16">
      <c r="A16" s="131">
        <f>IFERROR(__xludf.DUMMYFUNCTION("""COMPUTED_VALUE"""),46165.33091435185)</f>
        <v>46165.33091</v>
      </c>
      <c r="B16" s="122" t="str">
        <f>IFERROR(__xludf.DUMMYFUNCTION("""COMPUTED_VALUE"""),"TECH")</f>
        <v>TECH</v>
      </c>
      <c r="C16" s="122" t="str">
        <f>IFERROR(__xludf.DUMMYFUNCTION("""COMPUTED_VALUE"""),"Dragon Tech remains stable as the Technology market shows normal activity.")</f>
        <v>Dragon Tech remains stable as the Technology market shows normal activity.</v>
      </c>
      <c r="D16" s="122" t="str">
        <f>IFERROR(__xludf.DUMMYFUNCTION("""COMPUTED_VALUE"""),"Dragon Tech appears steady with no major changes reported.")</f>
        <v>Dragon Tech appears steady with no major changes reported.</v>
      </c>
      <c r="E16" s="122" t="str">
        <f>IFERROR(__xludf.DUMMYFUNCTION("""COMPUTED_VALUE"""),"Neutral")</f>
        <v>Neutral</v>
      </c>
      <c r="F16" s="122">
        <f>IFERROR(__xludf.DUMMYFUNCTION("""COMPUTED_VALUE"""),0.0)</f>
        <v>0</v>
      </c>
      <c r="G16" s="122">
        <f>IFERROR(__xludf.DUMMYFUNCTION("""COMPUTED_VALUE"""),0.0)</f>
        <v>0</v>
      </c>
      <c r="H16" s="122" t="str">
        <f>IFERROR(__xludf.DUMMYFUNCTION("""COMPUTED_VALUE"""),"Active")</f>
        <v>Active</v>
      </c>
    </row>
    <row r="17">
      <c r="A17" s="131">
        <f>IFERROR(__xludf.DUMMYFUNCTION("""COMPUTED_VALUE"""),46165.33091435185)</f>
        <v>46165.33091</v>
      </c>
      <c r="B17" s="122" t="str">
        <f>IFERROR(__xludf.DUMMYFUNCTION("""COMPUTED_VALUE"""),"AIBO")</f>
        <v>AIBO</v>
      </c>
      <c r="C17" s="122" t="str">
        <f>IFERROR(__xludf.DUMMYFUNCTION("""COMPUTED_VALUE"""),"Homework AI remains stable as the Technology market shows normal activity.")</f>
        <v>Homework AI remains stable as the Technology market shows normal activity.</v>
      </c>
      <c r="D17" s="122" t="str">
        <f>IFERROR(__xludf.DUMMYFUNCTION("""COMPUTED_VALUE"""),"Homework AI appears steady with no major changes reported.")</f>
        <v>Homework AI appears steady with no major changes reported.</v>
      </c>
      <c r="E17" s="122" t="str">
        <f>IFERROR(__xludf.DUMMYFUNCTION("""COMPUTED_VALUE"""),"Neutral")</f>
        <v>Neutral</v>
      </c>
      <c r="F17" s="122">
        <f>IFERROR(__xludf.DUMMYFUNCTION("""COMPUTED_VALUE"""),0.0)</f>
        <v>0</v>
      </c>
      <c r="G17" s="122">
        <f>IFERROR(__xludf.DUMMYFUNCTION("""COMPUTED_VALUE"""),0.0)</f>
        <v>0</v>
      </c>
      <c r="H17" s="122" t="str">
        <f>IFERROR(__xludf.DUMMYFUNCTION("""COMPUTED_VALUE"""),"Active")</f>
        <v>Active</v>
      </c>
    </row>
    <row r="18">
      <c r="A18" s="131">
        <f>IFERROR(__xludf.DUMMYFUNCTION("""COMPUTED_VALUE"""),46165.33091435185)</f>
        <v>46165.33091</v>
      </c>
      <c r="B18" s="122" t="str">
        <f>IFERROR(__xludf.DUMMYFUNCTION("""COMPUTED_VALUE"""),"GAME")</f>
        <v>GAME</v>
      </c>
      <c r="C18" s="122" t="str">
        <f>IFERROR(__xludf.DUMMYFUNCTION("""COMPUTED_VALUE"""),"GameBox Media sees uncertain trading as investors react to mixed signals.")</f>
        <v>GameBox Media sees uncertain trading as investors react to mixed signals.</v>
      </c>
      <c r="D18" s="122" t="str">
        <f>IFERROR(__xludf.DUMMYFUNCTION("""COMPUTED_VALUE"""),"GameBox Media may experience larger price swings as investors disagree on direction.")</f>
        <v>GameBox Media may experience larger price swings as investors disagree on direction.</v>
      </c>
      <c r="E18" s="122" t="str">
        <f>IFERROR(__xludf.DUMMYFUNCTION("""COMPUTED_VALUE"""),"Mixed")</f>
        <v>Mixed</v>
      </c>
      <c r="F18" s="122">
        <f>IFERROR(__xludf.DUMMYFUNCTION("""COMPUTED_VALUE"""),-0.010329448262897145)</f>
        <v>-0.01032944826</v>
      </c>
      <c r="G18" s="122">
        <f>IFERROR(__xludf.DUMMYFUNCTION("""COMPUTED_VALUE"""),1.5)</f>
        <v>1.5</v>
      </c>
      <c r="H18" s="122" t="str">
        <f>IFERROR(__xludf.DUMMYFUNCTION("""COMPUTED_VALUE"""),"Active")</f>
        <v>Active</v>
      </c>
    </row>
    <row r="19">
      <c r="A19" s="131">
        <f>IFERROR(__xludf.DUMMYFUNCTION("""COMPUTED_VALUE"""),46165.330925925926)</f>
        <v>46165.33093</v>
      </c>
      <c r="B19" s="122" t="str">
        <f>IFERROR(__xludf.DUMMYFUNCTION("""COMPUTED_VALUE"""),"VRSE")</f>
        <v>VRSE</v>
      </c>
      <c r="C19" s="122" t="str">
        <f>IFERROR(__xludf.DUMMYFUNCTION("""COMPUTED_VALUE"""),"VerseVR faces weaker demand and cautious investor sentiment.")</f>
        <v>VerseVR faces weaker demand and cautious investor sentiment.</v>
      </c>
      <c r="D19" s="122" t="str">
        <f>IFERROR(__xludf.DUMMYFUNCTION("""COMPUTED_VALUE"""),"Investors are watching VerseVR closely as demand weakens.")</f>
        <v>Investors are watching VerseVR closely as demand weakens.</v>
      </c>
      <c r="E19" s="122" t="str">
        <f>IFERROR(__xludf.DUMMYFUNCTION("""COMPUTED_VALUE"""),"Negative")</f>
        <v>Negative</v>
      </c>
      <c r="F19" s="122">
        <f>IFERROR(__xludf.DUMMYFUNCTION("""COMPUTED_VALUE"""),-0.015)</f>
        <v>-0.015</v>
      </c>
      <c r="G19" s="122">
        <f>IFERROR(__xludf.DUMMYFUNCTION("""COMPUTED_VALUE"""),0.75)</f>
        <v>0.75</v>
      </c>
      <c r="H19" s="122" t="str">
        <f>IFERROR(__xludf.DUMMYFUNCTION("""COMPUTED_VALUE"""),"Active")</f>
        <v>Active</v>
      </c>
    </row>
    <row r="20">
      <c r="A20" s="131">
        <f>IFERROR(__xludf.DUMMYFUNCTION("""COMPUTED_VALUE"""),46165.330925925926)</f>
        <v>46165.33093</v>
      </c>
      <c r="B20" s="122" t="str">
        <f>IFERROR(__xludf.DUMMYFUNCTION("""COMPUTED_VALUE"""),"BYTE")</f>
        <v>BYTE</v>
      </c>
      <c r="C20" s="122" t="str">
        <f>IFERROR(__xludf.DUMMYFUNCTION("""COMPUTED_VALUE"""),"ByteWorks reports steady growth and improved market confidence.")</f>
        <v>ByteWorks reports steady growth and improved market confidence.</v>
      </c>
      <c r="D20" s="122" t="str">
        <f>IFERROR(__xludf.DUMMYFUNCTION("""COMPUTED_VALUE"""),"ByteWorks continues to show positive momentum with moderate risk.")</f>
        <v>ByteWorks continues to show positive momentum with moderate risk.</v>
      </c>
      <c r="E20" s="122" t="str">
        <f>IFERROR(__xludf.DUMMYFUNCTION("""COMPUTED_VALUE"""),"Positive")</f>
        <v>Positive</v>
      </c>
      <c r="F20" s="122">
        <f>IFERROR(__xludf.DUMMYFUNCTION("""COMPUTED_VALUE"""),0.015)</f>
        <v>0.015</v>
      </c>
      <c r="G20" s="122">
        <f>IFERROR(__xludf.DUMMYFUNCTION("""COMPUTED_VALUE"""),0.5)</f>
        <v>0.5</v>
      </c>
      <c r="H20" s="122" t="str">
        <f>IFERROR(__xludf.DUMMYFUNCTION("""COMPUTED_VALUE"""),"Active")</f>
        <v>Active</v>
      </c>
    </row>
    <row r="21">
      <c r="A21" s="131">
        <f>IFERROR(__xludf.DUMMYFUNCTION("""COMPUTED_VALUE"""),46165.330925925926)</f>
        <v>46165.33093</v>
      </c>
      <c r="B21" s="122" t="str">
        <f>IFERROR(__xludf.DUMMYFUNCTION("""COMPUTED_VALUE"""),"BANK")</f>
        <v>BANK</v>
      </c>
      <c r="C21" s="122" t="str">
        <f>IFERROR(__xludf.DUMMYFUNCTION("""COMPUTED_VALUE"""),"Tiger Bank reports steady growth and improved market confidence.")</f>
        <v>Tiger Bank reports steady growth and improved market confidence.</v>
      </c>
      <c r="D21" s="122" t="str">
        <f>IFERROR(__xludf.DUMMYFUNCTION("""COMPUTED_VALUE"""),"Tiger Bank continues to show positive momentum with moderate risk.")</f>
        <v>Tiger Bank continues to show positive momentum with moderate risk.</v>
      </c>
      <c r="E21" s="122" t="str">
        <f>IFERROR(__xludf.DUMMYFUNCTION("""COMPUTED_VALUE"""),"Positive")</f>
        <v>Positive</v>
      </c>
      <c r="F21" s="122">
        <f>IFERROR(__xludf.DUMMYFUNCTION("""COMPUTED_VALUE"""),0.015)</f>
        <v>0.015</v>
      </c>
      <c r="G21" s="122">
        <f>IFERROR(__xludf.DUMMYFUNCTION("""COMPUTED_VALUE"""),0.5)</f>
        <v>0.5</v>
      </c>
      <c r="H21" s="122" t="str">
        <f>IFERROR(__xludf.DUMMYFUNCTION("""COMPUTED_VALUE"""),"Active")</f>
        <v>Active</v>
      </c>
    </row>
    <row r="22">
      <c r="A22" s="131">
        <f>IFERROR(__xludf.DUMMYFUNCTION("""COMPUTED_VALUE"""),46165.3309375)</f>
        <v>46165.33094</v>
      </c>
      <c r="B22" s="122" t="str">
        <f>IFERROR(__xludf.DUMMYFUNCTION("""COMPUTED_VALUE"""),"CRED")</f>
        <v>CRED</v>
      </c>
      <c r="C22" s="122" t="str">
        <f>IFERROR(__xludf.DUMMYFUNCTION("""COMPUTED_VALUE"""),"Credit Castle remains stable as the Finance market shows normal activity.")</f>
        <v>Credit Castle remains stable as the Finance market shows normal activity.</v>
      </c>
      <c r="D22" s="122" t="str">
        <f>IFERROR(__xludf.DUMMYFUNCTION("""COMPUTED_VALUE"""),"Credit Castle appears steady with no major changes reported.")</f>
        <v>Credit Castle appears steady with no major changes reported.</v>
      </c>
      <c r="E22" s="122" t="str">
        <f>IFERROR(__xludf.DUMMYFUNCTION("""COMPUTED_VALUE"""),"Neutral")</f>
        <v>Neutral</v>
      </c>
      <c r="F22" s="122">
        <f>IFERROR(__xludf.DUMMYFUNCTION("""COMPUTED_VALUE"""),0.0)</f>
        <v>0</v>
      </c>
      <c r="G22" s="122">
        <f>IFERROR(__xludf.DUMMYFUNCTION("""COMPUTED_VALUE"""),0.0)</f>
        <v>0</v>
      </c>
      <c r="H22" s="122" t="str">
        <f>IFERROR(__xludf.DUMMYFUNCTION("""COMPUTED_VALUE"""),"Active")</f>
        <v>Active</v>
      </c>
    </row>
    <row r="23">
      <c r="A23" s="131">
        <f>IFERROR(__xludf.DUMMYFUNCTION("""COMPUTED_VALUE"""),46165.3309375)</f>
        <v>46165.33094</v>
      </c>
      <c r="B23" s="122" t="str">
        <f>IFERROR(__xludf.DUMMYFUNCTION("""COMPUTED_VALUE"""),"BOND")</f>
        <v>BOND</v>
      </c>
      <c r="C23" s="122" t="str">
        <f>IFERROR(__xludf.DUMMYFUNCTION("""COMPUTED_VALUE"""),"BondBridge faces weaker demand and cautious investor sentiment.")</f>
        <v>BondBridge faces weaker demand and cautious investor sentiment.</v>
      </c>
      <c r="D23" s="122" t="str">
        <f>IFERROR(__xludf.DUMMYFUNCTION("""COMPUTED_VALUE"""),"Investors are watching BondBridge closely as demand weakens.")</f>
        <v>Investors are watching BondBridge closely as demand weakens.</v>
      </c>
      <c r="E23" s="122" t="str">
        <f>IFERROR(__xludf.DUMMYFUNCTION("""COMPUTED_VALUE"""),"Negative")</f>
        <v>Negative</v>
      </c>
      <c r="F23" s="122">
        <f>IFERROR(__xludf.DUMMYFUNCTION("""COMPUTED_VALUE"""),-0.015)</f>
        <v>-0.015</v>
      </c>
      <c r="G23" s="122">
        <f>IFERROR(__xludf.DUMMYFUNCTION("""COMPUTED_VALUE"""),0.75)</f>
        <v>0.75</v>
      </c>
      <c r="H23" s="122" t="str">
        <f>IFERROR(__xludf.DUMMYFUNCTION("""COMPUTED_VALUE"""),"Active")</f>
        <v>Active</v>
      </c>
    </row>
    <row r="24">
      <c r="A24" s="131">
        <f>IFERROR(__xludf.DUMMYFUNCTION("""COMPUTED_VALUE"""),46165.3309375)</f>
        <v>46165.33094</v>
      </c>
      <c r="B24" s="122" t="str">
        <f>IFERROR(__xludf.DUMMYFUNCTION("""COMPUTED_VALUE"""),"INSR")</f>
        <v>INSR</v>
      </c>
      <c r="C24" s="122" t="str">
        <f>IFERROR(__xludf.DUMMYFUNCTION("""COMPUTED_VALUE"""),"Shield Insurance faces weaker demand and cautious investor sentiment.")</f>
        <v>Shield Insurance faces weaker demand and cautious investor sentiment.</v>
      </c>
      <c r="D24" s="122" t="str">
        <f>IFERROR(__xludf.DUMMYFUNCTION("""COMPUTED_VALUE"""),"Investors are watching Shield Insurance closely as demand weakens.")</f>
        <v>Investors are watching Shield Insurance closely as demand weakens.</v>
      </c>
      <c r="E24" s="122" t="str">
        <f>IFERROR(__xludf.DUMMYFUNCTION("""COMPUTED_VALUE"""),"Negative")</f>
        <v>Negative</v>
      </c>
      <c r="F24" s="122">
        <f>IFERROR(__xludf.DUMMYFUNCTION("""COMPUTED_VALUE"""),-0.015)</f>
        <v>-0.015</v>
      </c>
      <c r="G24" s="122">
        <f>IFERROR(__xludf.DUMMYFUNCTION("""COMPUTED_VALUE"""),0.75)</f>
        <v>0.75</v>
      </c>
      <c r="H24" s="122" t="str">
        <f>IFERROR(__xludf.DUMMYFUNCTION("""COMPUTED_VALUE"""),"Active")</f>
        <v>Active</v>
      </c>
    </row>
    <row r="25">
      <c r="A25" s="131">
        <f>IFERROR(__xludf.DUMMYFUNCTION("""COMPUTED_VALUE"""),46165.33094907407)</f>
        <v>46165.33095</v>
      </c>
      <c r="B25" s="122" t="str">
        <f>IFERROR(__xludf.DUMMYFUNCTION("""COMPUTED_VALUE"""),"LOAN")</f>
        <v>LOAN</v>
      </c>
      <c r="C25" s="122" t="str">
        <f>IFERROR(__xludf.DUMMYFUNCTION("""COMPUTED_VALUE"""),"LoanLab faces weaker demand and cautious investor sentiment.")</f>
        <v>LoanLab faces weaker demand and cautious investor sentiment.</v>
      </c>
      <c r="D25" s="122" t="str">
        <f>IFERROR(__xludf.DUMMYFUNCTION("""COMPUTED_VALUE"""),"Investors are watching LoanLab closely as demand weakens.")</f>
        <v>Investors are watching LoanLab closely as demand weakens.</v>
      </c>
      <c r="E25" s="122" t="str">
        <f>IFERROR(__xludf.DUMMYFUNCTION("""COMPUTED_VALUE"""),"Negative")</f>
        <v>Negative</v>
      </c>
      <c r="F25" s="122">
        <f>IFERROR(__xludf.DUMMYFUNCTION("""COMPUTED_VALUE"""),-0.015)</f>
        <v>-0.015</v>
      </c>
      <c r="G25" s="122">
        <f>IFERROR(__xludf.DUMMYFUNCTION("""COMPUTED_VALUE"""),0.75)</f>
        <v>0.75</v>
      </c>
      <c r="H25" s="122" t="str">
        <f>IFERROR(__xludf.DUMMYFUNCTION("""COMPUTED_VALUE"""),"Active")</f>
        <v>Active</v>
      </c>
    </row>
    <row r="26">
      <c r="A26" s="131">
        <f>IFERROR(__xludf.DUMMYFUNCTION("""COMPUTED_VALUE"""),46165.33094907407)</f>
        <v>46165.33095</v>
      </c>
      <c r="B26" s="122" t="str">
        <f>IFERROR(__xludf.DUMMYFUNCTION("""COMPUTED_VALUE"""),"LUXE")</f>
        <v>LUXE</v>
      </c>
      <c r="C26" s="122" t="str">
        <f>IFERROR(__xludf.DUMMYFUNCTION("""COMPUTED_VALUE"""),"Luxury Locker reports steady growth and improved market confidence.")</f>
        <v>Luxury Locker reports steady growth and improved market confidence.</v>
      </c>
      <c r="D26" s="122" t="str">
        <f>IFERROR(__xludf.DUMMYFUNCTION("""COMPUTED_VALUE"""),"Luxury Locker continues to show positive momentum with moderate risk.")</f>
        <v>Luxury Locker continues to show positive momentum with moderate risk.</v>
      </c>
      <c r="E26" s="122" t="str">
        <f>IFERROR(__xludf.DUMMYFUNCTION("""COMPUTED_VALUE"""),"Positive")</f>
        <v>Positive</v>
      </c>
      <c r="F26" s="122">
        <f>IFERROR(__xludf.DUMMYFUNCTION("""COMPUTED_VALUE"""),0.015)</f>
        <v>0.015</v>
      </c>
      <c r="G26" s="122">
        <f>IFERROR(__xludf.DUMMYFUNCTION("""COMPUTED_VALUE"""),0.5)</f>
        <v>0.5</v>
      </c>
      <c r="H26" s="122" t="str">
        <f>IFERROR(__xludf.DUMMYFUNCTION("""COMPUTED_VALUE"""),"Active")</f>
        <v>Active</v>
      </c>
    </row>
    <row r="27">
      <c r="A27" s="131">
        <f>IFERROR(__xludf.DUMMYFUNCTION("""COMPUTED_VALUE"""),46165.33096064815)</f>
        <v>46165.33096</v>
      </c>
      <c r="B27" s="122" t="str">
        <f>IFERROR(__xludf.DUMMYFUNCTION("""COMPUTED_VALUE"""),"DRIP")</f>
        <v>DRIP</v>
      </c>
      <c r="C27" s="122" t="str">
        <f>IFERROR(__xludf.DUMMYFUNCTION("""COMPUTED_VALUE"""),"Drip Streetwear faces weaker demand and cautious investor sentiment.")</f>
        <v>Drip Streetwear faces weaker demand and cautious investor sentiment.</v>
      </c>
      <c r="D27" s="122" t="str">
        <f>IFERROR(__xludf.DUMMYFUNCTION("""COMPUTED_VALUE"""),"Investors are watching Drip Streetwear closely as demand weakens.")</f>
        <v>Investors are watching Drip Streetwear closely as demand weakens.</v>
      </c>
      <c r="E27" s="122" t="str">
        <f>IFERROR(__xludf.DUMMYFUNCTION("""COMPUTED_VALUE"""),"Negative")</f>
        <v>Negative</v>
      </c>
      <c r="F27" s="122">
        <f>IFERROR(__xludf.DUMMYFUNCTION("""COMPUTED_VALUE"""),-0.015)</f>
        <v>-0.015</v>
      </c>
      <c r="G27" s="122">
        <f>IFERROR(__xludf.DUMMYFUNCTION("""COMPUTED_VALUE"""),0.75)</f>
        <v>0.75</v>
      </c>
      <c r="H27" s="122" t="str">
        <f>IFERROR(__xludf.DUMMYFUNCTION("""COMPUTED_VALUE"""),"Active")</f>
        <v>Active</v>
      </c>
    </row>
    <row r="28">
      <c r="A28" s="131">
        <f>IFERROR(__xludf.DUMMYFUNCTION("""COMPUTED_VALUE"""),46165.33096064815)</f>
        <v>46165.33096</v>
      </c>
      <c r="B28" s="122" t="str">
        <f>IFERROR(__xludf.DUMMYFUNCTION("""COMPUTED_VALUE"""),"KICK")</f>
        <v>KICK</v>
      </c>
      <c r="C28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28" s="122" t="str">
        <f>IFERROR(__xludf.DUMMYFUNCTION("""COMPUTED_VALUE"""),"KickDrop Sneakers appears steady with no major changes reported.")</f>
        <v>KickDrop Sneakers appears steady with no major changes reported.</v>
      </c>
      <c r="E28" s="122" t="str">
        <f>IFERROR(__xludf.DUMMYFUNCTION("""COMPUTED_VALUE"""),"Neutral")</f>
        <v>Neutral</v>
      </c>
      <c r="F28" s="122">
        <f>IFERROR(__xludf.DUMMYFUNCTION("""COMPUTED_VALUE"""),0.0)</f>
        <v>0</v>
      </c>
      <c r="G28" s="122">
        <f>IFERROR(__xludf.DUMMYFUNCTION("""COMPUTED_VALUE"""),0.0)</f>
        <v>0</v>
      </c>
      <c r="H28" s="122" t="str">
        <f>IFERROR(__xludf.DUMMYFUNCTION("""COMPUTED_VALUE"""),"Active")</f>
        <v>Active</v>
      </c>
    </row>
    <row r="29">
      <c r="A29" s="131">
        <f>IFERROR(__xludf.DUMMYFUNCTION("""COMPUTED_VALUE"""),46165.33096064815)</f>
        <v>46165.33096</v>
      </c>
      <c r="B29" s="122" t="str">
        <f>IFERROR(__xludf.DUMMYFUNCTION("""COMPUTED_VALUE"""),"GLAM")</f>
        <v>GLAM</v>
      </c>
      <c r="C29" s="122" t="str">
        <f>IFERROR(__xludf.DUMMYFUNCTION("""COMPUTED_VALUE"""),"Glow Cosmetics reports steady growth and improved market confidence.")</f>
        <v>Glow Cosmetics reports steady growth and improved market confidence.</v>
      </c>
      <c r="D29" s="122" t="str">
        <f>IFERROR(__xludf.DUMMYFUNCTION("""COMPUTED_VALUE"""),"Glow Cosmetics continues to show positive momentum with moderate risk.")</f>
        <v>Glow Cosmetics continues to show positive momentum with moderate risk.</v>
      </c>
      <c r="E29" s="122" t="str">
        <f>IFERROR(__xludf.DUMMYFUNCTION("""COMPUTED_VALUE"""),"Positive")</f>
        <v>Positive</v>
      </c>
      <c r="F29" s="122">
        <f>IFERROR(__xludf.DUMMYFUNCTION("""COMPUTED_VALUE"""),0.015)</f>
        <v>0.015</v>
      </c>
      <c r="G29" s="122">
        <f>IFERROR(__xludf.DUMMYFUNCTION("""COMPUTED_VALUE"""),0.5)</f>
        <v>0.5</v>
      </c>
      <c r="H29" s="122" t="str">
        <f>IFERROR(__xludf.DUMMYFUNCTION("""COMPUTED_VALUE"""),"Active")</f>
        <v>Active</v>
      </c>
    </row>
    <row r="30">
      <c r="A30" s="131">
        <f>IFERROR(__xludf.DUMMYFUNCTION("""COMPUTED_VALUE"""),46165.330972222226)</f>
        <v>46165.33097</v>
      </c>
      <c r="B30" s="122" t="str">
        <f>IFERROR(__xludf.DUMMYFUNCTION("""COMPUTED_VALUE"""),"BAGG")</f>
        <v>BAGG</v>
      </c>
      <c r="C30" s="122" t="str">
        <f>IFERROR(__xludf.DUMMYFUNCTION("""COMPUTED_VALUE"""),"BagVault sees uncertain trading as investors react to mixed signals.")</f>
        <v>BagVault sees uncertain trading as investors react to mixed signals.</v>
      </c>
      <c r="D30" s="122" t="str">
        <f>IFERROR(__xludf.DUMMYFUNCTION("""COMPUTED_VALUE"""),"BagVault may experience larger price swings as investors disagree on direction.")</f>
        <v>BagVault may experience larger price swings as investors disagree on direction.</v>
      </c>
      <c r="E30" s="122" t="str">
        <f>IFERROR(__xludf.DUMMYFUNCTION("""COMPUTED_VALUE"""),"Mixed")</f>
        <v>Mixed</v>
      </c>
      <c r="F30" s="122">
        <f>IFERROR(__xludf.DUMMYFUNCTION("""COMPUTED_VALUE"""),0.0054415932424695945)</f>
        <v>0.005441593242</v>
      </c>
      <c r="G30" s="122">
        <f>IFERROR(__xludf.DUMMYFUNCTION("""COMPUTED_VALUE"""),1.5)</f>
        <v>1.5</v>
      </c>
      <c r="H30" s="122" t="str">
        <f>IFERROR(__xludf.DUMMYFUNCTION("""COMPUTED_VALUE"""),"Active")</f>
        <v>Active</v>
      </c>
    </row>
    <row r="31">
      <c r="A31" s="131">
        <f>IFERROR(__xludf.DUMMYFUNCTION("""COMPUTED_VALUE"""),46165.330972222226)</f>
        <v>46165.33097</v>
      </c>
      <c r="B31" s="122" t="str">
        <f>IFERROR(__xludf.DUMMYFUNCTION("""COMPUTED_VALUE"""),"FAST")</f>
        <v>FAST</v>
      </c>
      <c r="C31" s="122" t="str">
        <f>IFERROR(__xludf.DUMMYFUNCTION("""COMPUTED_VALUE"""),"Flash Logistics sees uncertain trading as investors react to mixed signals.")</f>
        <v>Flash Logistics sees uncertain trading as investors react to mixed signals.</v>
      </c>
      <c r="D31" s="122" t="str">
        <f>IFERROR(__xludf.DUMMYFUNCTION("""COMPUTED_VALUE"""),"Flash Logistics may experience larger price swings as investors disagree on direction.")</f>
        <v>Flash Logistics may experience larger price swings as investors disagree on direction.</v>
      </c>
      <c r="E31" s="122" t="str">
        <f>IFERROR(__xludf.DUMMYFUNCTION("""COMPUTED_VALUE"""),"Mixed")</f>
        <v>Mixed</v>
      </c>
      <c r="F31" s="122">
        <f>IFERROR(__xludf.DUMMYFUNCTION("""COMPUTED_VALUE"""),0.008466321653702993)</f>
        <v>0.008466321654</v>
      </c>
      <c r="G31" s="122">
        <f>IFERROR(__xludf.DUMMYFUNCTION("""COMPUTED_VALUE"""),1.5)</f>
        <v>1.5</v>
      </c>
      <c r="H31" s="122" t="str">
        <f>IFERROR(__xludf.DUMMYFUNCTION("""COMPUTED_VALUE"""),"Active")</f>
        <v>Active</v>
      </c>
    </row>
    <row r="32">
      <c r="A32" s="131">
        <f>IFERROR(__xludf.DUMMYFUNCTION("""COMPUTED_VALUE"""),46165.330983796295)</f>
        <v>46165.33098</v>
      </c>
      <c r="B32" s="122" t="str">
        <f>IFERROR(__xludf.DUMMYFUNCTION("""COMPUTED_VALUE"""),"SHIP")</f>
        <v>SHIP</v>
      </c>
      <c r="C32" s="122" t="str">
        <f>IFERROR(__xludf.DUMMYFUNCTION("""COMPUTED_VALUE"""),"Seoul Shipping faces weaker demand and cautious investor sentiment.")</f>
        <v>Seoul Shipping faces weaker demand and cautious investor sentiment.</v>
      </c>
      <c r="D32" s="122" t="str">
        <f>IFERROR(__xludf.DUMMYFUNCTION("""COMPUTED_VALUE"""),"Investors are watching Seoul Shipping closely as demand weakens.")</f>
        <v>Investors are watching Seoul Shipping closely as demand weakens.</v>
      </c>
      <c r="E32" s="122" t="str">
        <f>IFERROR(__xludf.DUMMYFUNCTION("""COMPUTED_VALUE"""),"Negative")</f>
        <v>Negative</v>
      </c>
      <c r="F32" s="122">
        <f>IFERROR(__xludf.DUMMYFUNCTION("""COMPUTED_VALUE"""),-0.015)</f>
        <v>-0.015</v>
      </c>
      <c r="G32" s="122">
        <f>IFERROR(__xludf.DUMMYFUNCTION("""COMPUTED_VALUE"""),0.75)</f>
        <v>0.75</v>
      </c>
      <c r="H32" s="122" t="str">
        <f>IFERROR(__xludf.DUMMYFUNCTION("""COMPUTED_VALUE"""),"Active")</f>
        <v>Active</v>
      </c>
    </row>
    <row r="33">
      <c r="A33" s="131">
        <f>IFERROR(__xludf.DUMMYFUNCTION("""COMPUTED_VALUE"""),46165.330983796295)</f>
        <v>46165.33098</v>
      </c>
      <c r="B33" s="122" t="str">
        <f>IFERROR(__xludf.DUMMYFUNCTION("""COMPUTED_VALUE"""),"DRON")</f>
        <v>DRON</v>
      </c>
      <c r="C33" s="122" t="str">
        <f>IFERROR(__xludf.DUMMYFUNCTION("""COMPUTED_VALUE"""),"DroneDrop remains stable as the Logistics market shows normal activity.")</f>
        <v>DroneDrop remains stable as the Logistics market shows normal activity.</v>
      </c>
      <c r="D33" s="122" t="str">
        <f>IFERROR(__xludf.DUMMYFUNCTION("""COMPUTED_VALUE"""),"DroneDrop appears steady with no major changes reported.")</f>
        <v>DroneDrop appears steady with no major changes reported.</v>
      </c>
      <c r="E33" s="122" t="str">
        <f>IFERROR(__xludf.DUMMYFUNCTION("""COMPUTED_VALUE"""),"Neutral")</f>
        <v>Neutral</v>
      </c>
      <c r="F33" s="122">
        <f>IFERROR(__xludf.DUMMYFUNCTION("""COMPUTED_VALUE"""),0.0)</f>
        <v>0</v>
      </c>
      <c r="G33" s="122">
        <f>IFERROR(__xludf.DUMMYFUNCTION("""COMPUTED_VALUE"""),0.0)</f>
        <v>0</v>
      </c>
      <c r="H33" s="122" t="str">
        <f>IFERROR(__xludf.DUMMYFUNCTION("""COMPUTED_VALUE"""),"Active")</f>
        <v>Active</v>
      </c>
    </row>
    <row r="34">
      <c r="A34" s="131">
        <f>IFERROR(__xludf.DUMMYFUNCTION("""COMPUTED_VALUE"""),46165.33099537037)</f>
        <v>46165.331</v>
      </c>
      <c r="B34" s="122" t="str">
        <f>IFERROR(__xludf.DUMMYFUNCTION("""COMPUTED_VALUE"""),"RIDE")</f>
        <v>RIDE</v>
      </c>
      <c r="C34" s="122" t="str">
        <f>IFERROR(__xludf.DUMMYFUNCTION("""COMPUTED_VALUE"""),"QuickRide drops sharply after major concerns hit the market.")</f>
        <v>QuickRide drops sharply after major concerns hit the market.</v>
      </c>
      <c r="D34" s="122" t="str">
        <f>IFERROR(__xludf.DUMMYFUNCTION("""COMPUTED_VALUE"""),"QuickRide is under pressure as investors react to worsening conditions.")</f>
        <v>QuickRide is under pressure as investors react to worsening conditions.</v>
      </c>
      <c r="E34" s="122" t="str">
        <f>IFERROR(__xludf.DUMMYFUNCTION("""COMPUTED_VALUE"""),"Negative")</f>
        <v>Negative</v>
      </c>
      <c r="F34" s="122">
        <f>IFERROR(__xludf.DUMMYFUNCTION("""COMPUTED_VALUE"""),-0.04)</f>
        <v>-0.04</v>
      </c>
      <c r="G34" s="122">
        <f>IFERROR(__xludf.DUMMYFUNCTION("""COMPUTED_VALUE"""),2.0)</f>
        <v>2</v>
      </c>
      <c r="H34" s="122" t="str">
        <f>IFERROR(__xludf.DUMMYFUNCTION("""COMPUTED_VALUE"""),"Active")</f>
        <v>Active</v>
      </c>
    </row>
    <row r="35">
      <c r="A35" s="131">
        <f>IFERROR(__xludf.DUMMYFUNCTION("""COMPUTED_VALUE"""),46165.33099537037)</f>
        <v>46165.331</v>
      </c>
      <c r="B35" s="122" t="str">
        <f>IFERROR(__xludf.DUMMYFUNCTION("""COMPUTED_VALUE"""),"RAIL")</f>
        <v>RAIL</v>
      </c>
      <c r="C35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35" s="122" t="str">
        <f>IFERROR(__xludf.DUMMYFUNCTION("""COMPUTED_VALUE"""),"MetroRail Corp appears steady with no major changes reported.")</f>
        <v>MetroRail Corp appears steady with no major changes reported.</v>
      </c>
      <c r="E35" s="122" t="str">
        <f>IFERROR(__xludf.DUMMYFUNCTION("""COMPUTED_VALUE"""),"Neutral")</f>
        <v>Neutral</v>
      </c>
      <c r="F35" s="122">
        <f>IFERROR(__xludf.DUMMYFUNCTION("""COMPUTED_VALUE"""),0.0)</f>
        <v>0</v>
      </c>
      <c r="G35" s="122">
        <f>IFERROR(__xludf.DUMMYFUNCTION("""COMPUTED_VALUE"""),0.0)</f>
        <v>0</v>
      </c>
      <c r="H35" s="122" t="str">
        <f>IFERROR(__xludf.DUMMYFUNCTION("""COMPUTED_VALUE"""),"Active")</f>
        <v>Active</v>
      </c>
    </row>
    <row r="36">
      <c r="A36" s="131">
        <f>IFERROR(__xludf.DUMMYFUNCTION("""COMPUTED_VALUE"""),46165.33099537037)</f>
        <v>46165.331</v>
      </c>
      <c r="B36" s="122" t="str">
        <f>IFERROR(__xludf.DUMMYFUNCTION("""COMPUTED_VALUE"""),"MEDX")</f>
        <v>MEDX</v>
      </c>
      <c r="C36" s="122" t="str">
        <f>IFERROR(__xludf.DUMMYFUNCTION("""COMPUTED_VALUE"""),"MediCore remains stable as the Healthcare market shows normal activity.")</f>
        <v>MediCore remains stable as the Healthcare market shows normal activity.</v>
      </c>
      <c r="D36" s="122" t="str">
        <f>IFERROR(__xludf.DUMMYFUNCTION("""COMPUTED_VALUE"""),"MediCore appears steady with no major changes reported.")</f>
        <v>MediCore appears steady with no major changes reported.</v>
      </c>
      <c r="E36" s="122" t="str">
        <f>IFERROR(__xludf.DUMMYFUNCTION("""COMPUTED_VALUE"""),"Neutral")</f>
        <v>Neutral</v>
      </c>
      <c r="F36" s="122">
        <f>IFERROR(__xludf.DUMMYFUNCTION("""COMPUTED_VALUE"""),0.0)</f>
        <v>0</v>
      </c>
      <c r="G36" s="122">
        <f>IFERROR(__xludf.DUMMYFUNCTION("""COMPUTED_VALUE"""),0.0)</f>
        <v>0</v>
      </c>
      <c r="H36" s="122" t="str">
        <f>IFERROR(__xludf.DUMMYFUNCTION("""COMPUTED_VALUE"""),"Active")</f>
        <v>Active</v>
      </c>
    </row>
    <row r="37">
      <c r="A37" s="131">
        <f>IFERROR(__xludf.DUMMYFUNCTION("""COMPUTED_VALUE"""),46165.33100694444)</f>
        <v>46165.33101</v>
      </c>
      <c r="B37" s="122" t="str">
        <f>IFERROR(__xludf.DUMMYFUNCTION("""COMPUTED_VALUE"""),"GYMX")</f>
        <v>GYMX</v>
      </c>
      <c r="C37" s="122" t="str">
        <f>IFERROR(__xludf.DUMMYFUNCTION("""COMPUTED_VALUE"""),"GymX Fitness drops sharply after major concerns hit the market.")</f>
        <v>GymX Fitness drops sharply after major concerns hit the market.</v>
      </c>
      <c r="D37" s="122" t="str">
        <f>IFERROR(__xludf.DUMMYFUNCTION("""COMPUTED_VALUE"""),"GymX Fitness is under pressure as investors react to worsening conditions.")</f>
        <v>GymX Fitness is under pressure as investors react to worsening conditions.</v>
      </c>
      <c r="E37" s="122" t="str">
        <f>IFERROR(__xludf.DUMMYFUNCTION("""COMPUTED_VALUE"""),"Negative")</f>
        <v>Negative</v>
      </c>
      <c r="F37" s="122">
        <f>IFERROR(__xludf.DUMMYFUNCTION("""COMPUTED_VALUE"""),-0.04)</f>
        <v>-0.04</v>
      </c>
      <c r="G37" s="122">
        <f>IFERROR(__xludf.DUMMYFUNCTION("""COMPUTED_VALUE"""),2.0)</f>
        <v>2</v>
      </c>
      <c r="H37" s="122" t="str">
        <f>IFERROR(__xludf.DUMMYFUNCTION("""COMPUTED_VALUE"""),"Active")</f>
        <v>Active</v>
      </c>
    </row>
    <row r="38">
      <c r="A38" s="131">
        <f>IFERROR(__xludf.DUMMYFUNCTION("""COMPUTED_VALUE"""),46165.33100694444)</f>
        <v>46165.33101</v>
      </c>
      <c r="B38" s="122" t="str">
        <f>IFERROR(__xludf.DUMMYFUNCTION("""COMPUTED_VALUE"""),"VITA")</f>
        <v>VITA</v>
      </c>
      <c r="C38" s="122" t="str">
        <f>IFERROR(__xludf.DUMMYFUNCTION("""COMPUTED_VALUE"""),"VitaPlus remains stable as the Healthcare market shows normal activity.")</f>
        <v>VitaPlus remains stable as the Healthcare market shows normal activity.</v>
      </c>
      <c r="D38" s="122" t="str">
        <f>IFERROR(__xludf.DUMMYFUNCTION("""COMPUTED_VALUE"""),"VitaPlus appears steady with no major changes reported.")</f>
        <v>VitaPlus appears steady with no major changes reported.</v>
      </c>
      <c r="E38" s="122" t="str">
        <f>IFERROR(__xludf.DUMMYFUNCTION("""COMPUTED_VALUE"""),"Neutral")</f>
        <v>Neutral</v>
      </c>
      <c r="F38" s="122">
        <f>IFERROR(__xludf.DUMMYFUNCTION("""COMPUTED_VALUE"""),0.0)</f>
        <v>0</v>
      </c>
      <c r="G38" s="122">
        <f>IFERROR(__xludf.DUMMYFUNCTION("""COMPUTED_VALUE"""),0.0)</f>
        <v>0</v>
      </c>
      <c r="H38" s="122" t="str">
        <f>IFERROR(__xludf.DUMMYFUNCTION("""COMPUTED_VALUE"""),"Active")</f>
        <v>Active</v>
      </c>
    </row>
    <row r="39">
      <c r="A39" s="131">
        <f>IFERROR(__xludf.DUMMYFUNCTION("""COMPUTED_VALUE"""),46165.33100694444)</f>
        <v>46165.33101</v>
      </c>
      <c r="B39" s="122" t="str">
        <f>IFERROR(__xludf.DUMMYFUNCTION("""COMPUTED_VALUE"""),"CARE")</f>
        <v>CARE</v>
      </c>
      <c r="C39" s="122" t="str">
        <f>IFERROR(__xludf.DUMMYFUNCTION("""COMPUTED_VALUE"""),"CareCloud faces weaker demand and cautious investor sentiment.")</f>
        <v>CareCloud faces weaker demand and cautious investor sentiment.</v>
      </c>
      <c r="D39" s="122" t="str">
        <f>IFERROR(__xludf.DUMMYFUNCTION("""COMPUTED_VALUE"""),"Investors are watching CareCloud closely as demand weakens.")</f>
        <v>Investors are watching CareCloud closely as demand weakens.</v>
      </c>
      <c r="E39" s="122" t="str">
        <f>IFERROR(__xludf.DUMMYFUNCTION("""COMPUTED_VALUE"""),"Negative")</f>
        <v>Negative</v>
      </c>
      <c r="F39" s="122">
        <f>IFERROR(__xludf.DUMMYFUNCTION("""COMPUTED_VALUE"""),-0.015)</f>
        <v>-0.015</v>
      </c>
      <c r="G39" s="122">
        <f>IFERROR(__xludf.DUMMYFUNCTION("""COMPUTED_VALUE"""),0.75)</f>
        <v>0.75</v>
      </c>
      <c r="H39" s="122" t="str">
        <f>IFERROR(__xludf.DUMMYFUNCTION("""COMPUTED_VALUE"""),"Active")</f>
        <v>Active</v>
      </c>
    </row>
    <row r="40">
      <c r="A40" s="131">
        <f>IFERROR(__xludf.DUMMYFUNCTION("""COMPUTED_VALUE"""),46165.33101851852)</f>
        <v>46165.33102</v>
      </c>
      <c r="B40" s="122" t="str">
        <f>IFERROR(__xludf.DUMMYFUNCTION("""COMPUTED_VALUE"""),"DENT")</f>
        <v>DENT</v>
      </c>
      <c r="C40" s="122" t="str">
        <f>IFERROR(__xludf.DUMMYFUNCTION("""COMPUTED_VALUE"""),"SmileWorks remains stable as the Healthcare market shows normal activity.")</f>
        <v>SmileWorks remains stable as the Healthcare market shows normal activity.</v>
      </c>
      <c r="D40" s="122" t="str">
        <f>IFERROR(__xludf.DUMMYFUNCTION("""COMPUTED_VALUE"""),"SmileWorks appears steady with no major changes reported.")</f>
        <v>SmileWorks appears steady with no major changes reported.</v>
      </c>
      <c r="E40" s="122" t="str">
        <f>IFERROR(__xludf.DUMMYFUNCTION("""COMPUTED_VALUE"""),"Neutral")</f>
        <v>Neutral</v>
      </c>
      <c r="F40" s="122">
        <f>IFERROR(__xludf.DUMMYFUNCTION("""COMPUTED_VALUE"""),0.0)</f>
        <v>0</v>
      </c>
      <c r="G40" s="122">
        <f>IFERROR(__xludf.DUMMYFUNCTION("""COMPUTED_VALUE"""),0.0)</f>
        <v>0</v>
      </c>
      <c r="H40" s="122" t="str">
        <f>IFERROR(__xludf.DUMMYFUNCTION("""COMPUTED_VALUE"""),"Active")</f>
        <v>Active</v>
      </c>
    </row>
    <row r="41">
      <c r="A41" s="131">
        <f>IFERROR(__xludf.DUMMYFUNCTION("""COMPUTED_VALUE"""),46165.33101851852)</f>
        <v>46165.33102</v>
      </c>
      <c r="B41" s="122" t="str">
        <f>IFERROR(__xludf.DUMMYFUNCTION("""COMPUTED_VALUE"""),"EDUX")</f>
        <v>EDUX</v>
      </c>
      <c r="C41" s="122" t="str">
        <f>IFERROR(__xludf.DUMMYFUNCTION("""COMPUTED_VALUE"""),"EduMax Learning faces weaker demand and cautious investor sentiment.")</f>
        <v>EduMax Learning faces weaker demand and cautious investor sentiment.</v>
      </c>
      <c r="D41" s="122" t="str">
        <f>IFERROR(__xludf.DUMMYFUNCTION("""COMPUTED_VALUE"""),"Investors are watching EduMax Learning closely as demand weakens.")</f>
        <v>Investors are watching EduMax Learning closely as demand weakens.</v>
      </c>
      <c r="E41" s="122" t="str">
        <f>IFERROR(__xludf.DUMMYFUNCTION("""COMPUTED_VALUE"""),"Negative")</f>
        <v>Negative</v>
      </c>
      <c r="F41" s="122">
        <f>IFERROR(__xludf.DUMMYFUNCTION("""COMPUTED_VALUE"""),-0.015)</f>
        <v>-0.015</v>
      </c>
      <c r="G41" s="122">
        <f>IFERROR(__xludf.DUMMYFUNCTION("""COMPUTED_VALUE"""),0.75)</f>
        <v>0.75</v>
      </c>
      <c r="H41" s="122" t="str">
        <f>IFERROR(__xludf.DUMMYFUNCTION("""COMPUTED_VALUE"""),"Active")</f>
        <v>Active</v>
      </c>
    </row>
    <row r="42">
      <c r="A42" s="131">
        <f>IFERROR(__xludf.DUMMYFUNCTION("""COMPUTED_VALUE"""),46165.33101851852)</f>
        <v>46165.33102</v>
      </c>
      <c r="B42" s="122" t="str">
        <f>IFERROR(__xludf.DUMMYFUNCTION("""COMPUTED_VALUE"""),"BOOK")</f>
        <v>BOOK</v>
      </c>
      <c r="C42" s="122" t="str">
        <f>IFERROR(__xludf.DUMMYFUNCTION("""COMPUTED_VALUE"""),"BookBridge remains stable as the Education market shows normal activity.")</f>
        <v>BookBridge remains stable as the Education market shows normal activity.</v>
      </c>
      <c r="D42" s="122" t="str">
        <f>IFERROR(__xludf.DUMMYFUNCTION("""COMPUTED_VALUE"""),"BookBridge appears steady with no major changes reported.")</f>
        <v>BookBridge appears steady with no major changes reported.</v>
      </c>
      <c r="E42" s="122" t="str">
        <f>IFERROR(__xludf.DUMMYFUNCTION("""COMPUTED_VALUE"""),"Neutral")</f>
        <v>Neutral</v>
      </c>
      <c r="F42" s="122">
        <f>IFERROR(__xludf.DUMMYFUNCTION("""COMPUTED_VALUE"""),0.0)</f>
        <v>0</v>
      </c>
      <c r="G42" s="122">
        <f>IFERROR(__xludf.DUMMYFUNCTION("""COMPUTED_VALUE"""),0.0)</f>
        <v>0</v>
      </c>
      <c r="H42" s="122" t="str">
        <f>IFERROR(__xludf.DUMMYFUNCTION("""COMPUTED_VALUE"""),"Active")</f>
        <v>Active</v>
      </c>
    </row>
    <row r="43">
      <c r="A43" s="131">
        <f>IFERROR(__xludf.DUMMYFUNCTION("""COMPUTED_VALUE"""),46165.33101851852)</f>
        <v>46165.33102</v>
      </c>
      <c r="B43" s="122" t="str">
        <f>IFERROR(__xludf.DUMMYFUNCTION("""COMPUTED_VALUE"""),"TUTR")</f>
        <v>TUTR</v>
      </c>
      <c r="C43" s="122" t="str">
        <f>IFERROR(__xludf.DUMMYFUNCTION("""COMPUTED_VALUE"""),"TutorTown remains stable as the Education market shows normal activity.")</f>
        <v>TutorTown remains stable as the Education market shows normal activity.</v>
      </c>
      <c r="D43" s="122" t="str">
        <f>IFERROR(__xludf.DUMMYFUNCTION("""COMPUTED_VALUE"""),"TutorTown appears steady with no major changes reported.")</f>
        <v>TutorTown appears steady with no major changes reported.</v>
      </c>
      <c r="E43" s="122" t="str">
        <f>IFERROR(__xludf.DUMMYFUNCTION("""COMPUTED_VALUE"""),"Neutral")</f>
        <v>Neutral</v>
      </c>
      <c r="F43" s="122">
        <f>IFERROR(__xludf.DUMMYFUNCTION("""COMPUTED_VALUE"""),0.0)</f>
        <v>0</v>
      </c>
      <c r="G43" s="122">
        <f>IFERROR(__xludf.DUMMYFUNCTION("""COMPUTED_VALUE"""),0.0)</f>
        <v>0</v>
      </c>
      <c r="H43" s="122" t="str">
        <f>IFERROR(__xludf.DUMMYFUNCTION("""COMPUTED_VALUE"""),"Active")</f>
        <v>Active</v>
      </c>
    </row>
    <row r="44">
      <c r="A44" s="131">
        <f>IFERROR(__xludf.DUMMYFUNCTION("""COMPUTED_VALUE"""),46165.331030092595)</f>
        <v>46165.33103</v>
      </c>
      <c r="B44" s="122" t="str">
        <f>IFERROR(__xludf.DUMMYFUNCTION("""COMPUTED_VALUE"""),"LANG")</f>
        <v>LANG</v>
      </c>
      <c r="C44" s="122" t="str">
        <f>IFERROR(__xludf.DUMMYFUNCTION("""COMPUTED_VALUE"""),"LinguaLab remains stable as the Education market shows normal activity.")</f>
        <v>LinguaLab remains stable as the Education market shows normal activity.</v>
      </c>
      <c r="D44" s="122" t="str">
        <f>IFERROR(__xludf.DUMMYFUNCTION("""COMPUTED_VALUE"""),"LinguaLab appears steady with no major changes reported.")</f>
        <v>LinguaLab appears steady with no major changes reported.</v>
      </c>
      <c r="E44" s="122" t="str">
        <f>IFERROR(__xludf.DUMMYFUNCTION("""COMPUTED_VALUE"""),"Neutral")</f>
        <v>Neutral</v>
      </c>
      <c r="F44" s="122">
        <f>IFERROR(__xludf.DUMMYFUNCTION("""COMPUTED_VALUE"""),0.0)</f>
        <v>0</v>
      </c>
      <c r="G44" s="122">
        <f>IFERROR(__xludf.DUMMYFUNCTION("""COMPUTED_VALUE"""),0.0)</f>
        <v>0</v>
      </c>
      <c r="H44" s="122" t="str">
        <f>IFERROR(__xludf.DUMMYFUNCTION("""COMPUTED_VALUE"""),"Active")</f>
        <v>Active</v>
      </c>
    </row>
    <row r="45">
      <c r="A45" s="131">
        <f>IFERROR(__xludf.DUMMYFUNCTION("""COMPUTED_VALUE"""),46165.331030092595)</f>
        <v>46165.33103</v>
      </c>
      <c r="B45" s="122" t="str">
        <f>IFERROR(__xludf.DUMMYFUNCTION("""COMPUTED_VALUE"""),"TEST")</f>
        <v>TEST</v>
      </c>
      <c r="C45" s="122" t="str">
        <f>IFERROR(__xludf.DUMMYFUNCTION("""COMPUTED_VALUE"""),"TestPrep Pro reports steady growth and improved market confidence.")</f>
        <v>TestPrep Pro reports steady growth and improved market confidence.</v>
      </c>
      <c r="D45" s="122" t="str">
        <f>IFERROR(__xludf.DUMMYFUNCTION("""COMPUTED_VALUE"""),"TestPrep Pro continues to show positive momentum with moderate risk.")</f>
        <v>TestPrep Pro continues to show positive momentum with moderate risk.</v>
      </c>
      <c r="E45" s="122" t="str">
        <f>IFERROR(__xludf.DUMMYFUNCTION("""COMPUTED_VALUE"""),"Positive")</f>
        <v>Positive</v>
      </c>
      <c r="F45" s="122">
        <f>IFERROR(__xludf.DUMMYFUNCTION("""COMPUTED_VALUE"""),0.015)</f>
        <v>0.015</v>
      </c>
      <c r="G45" s="122">
        <f>IFERROR(__xludf.DUMMYFUNCTION("""COMPUTED_VALUE"""),0.5)</f>
        <v>0.5</v>
      </c>
      <c r="H45" s="122" t="str">
        <f>IFERROR(__xludf.DUMMYFUNCTION("""COMPUTED_VALUE"""),"Active")</f>
        <v>Active</v>
      </c>
    </row>
    <row r="46">
      <c r="A46" s="131">
        <f>IFERROR(__xludf.DUMMYFUNCTION("""COMPUTED_VALUE"""),46165.331030092595)</f>
        <v>46165.33103</v>
      </c>
      <c r="B46" s="122" t="str">
        <f>IFERROR(__xludf.DUMMYFUNCTION("""COMPUTED_VALUE"""),"MOVI")</f>
        <v>MOVI</v>
      </c>
      <c r="C46" s="122" t="str">
        <f>IFERROR(__xludf.DUMMYFUNCTION("""COMPUTED_VALUE"""),"MovieBox remains stable as the Entertainment market shows normal activity.")</f>
        <v>MovieBox remains stable as the Entertainment market shows normal activity.</v>
      </c>
      <c r="D46" s="122" t="str">
        <f>IFERROR(__xludf.DUMMYFUNCTION("""COMPUTED_VALUE"""),"MovieBox appears steady with no major changes reported.")</f>
        <v>MovieBox appears steady with no major changes reported.</v>
      </c>
      <c r="E46" s="122" t="str">
        <f>IFERROR(__xludf.DUMMYFUNCTION("""COMPUTED_VALUE"""),"Neutral")</f>
        <v>Neutral</v>
      </c>
      <c r="F46" s="122">
        <f>IFERROR(__xludf.DUMMYFUNCTION("""COMPUTED_VALUE"""),0.0)</f>
        <v>0</v>
      </c>
      <c r="G46" s="122">
        <f>IFERROR(__xludf.DUMMYFUNCTION("""COMPUTED_VALUE"""),0.0)</f>
        <v>0</v>
      </c>
      <c r="H46" s="122" t="str">
        <f>IFERROR(__xludf.DUMMYFUNCTION("""COMPUTED_VALUE"""),"Active")</f>
        <v>Active</v>
      </c>
    </row>
    <row r="47">
      <c r="A47" s="131">
        <f>IFERROR(__xludf.DUMMYFUNCTION("""COMPUTED_VALUE"""),46165.331041666665)</f>
        <v>46165.33104</v>
      </c>
      <c r="B47" s="122" t="str">
        <f>IFERROR(__xludf.DUMMYFUNCTION("""COMPUTED_VALUE"""),"MUSC")</f>
        <v>MUSC</v>
      </c>
      <c r="C47" s="122" t="str">
        <f>IFERROR(__xludf.DUMMYFUNCTION("""COMPUTED_VALUE"""),"MusicWave reports steady growth and improved market confidence.")</f>
        <v>MusicWave reports steady growth and improved market confidence.</v>
      </c>
      <c r="D47" s="122" t="str">
        <f>IFERROR(__xludf.DUMMYFUNCTION("""COMPUTED_VALUE"""),"MusicWave continues to show positive momentum with moderate risk.")</f>
        <v>MusicWave continues to show positive momentum with moderate risk.</v>
      </c>
      <c r="E47" s="122" t="str">
        <f>IFERROR(__xludf.DUMMYFUNCTION("""COMPUTED_VALUE"""),"Positive")</f>
        <v>Positive</v>
      </c>
      <c r="F47" s="122">
        <f>IFERROR(__xludf.DUMMYFUNCTION("""COMPUTED_VALUE"""),0.015)</f>
        <v>0.015</v>
      </c>
      <c r="G47" s="122">
        <f>IFERROR(__xludf.DUMMYFUNCTION("""COMPUTED_VALUE"""),0.5)</f>
        <v>0.5</v>
      </c>
      <c r="H47" s="122" t="str">
        <f>IFERROR(__xludf.DUMMYFUNCTION("""COMPUTED_VALUE"""),"Active")</f>
        <v>Active</v>
      </c>
    </row>
    <row r="48">
      <c r="A48" s="131">
        <f>IFERROR(__xludf.DUMMYFUNCTION("""COMPUTED_VALUE"""),46165.331041666665)</f>
        <v>46165.33104</v>
      </c>
      <c r="B48" s="122" t="str">
        <f>IFERROR(__xludf.DUMMYFUNCTION("""COMPUTED_VALUE"""),"IDOL")</f>
        <v>IDOL</v>
      </c>
      <c r="C48" s="122" t="str">
        <f>IFERROR(__xludf.DUMMYFUNCTION("""COMPUTED_VALUE"""),"Idol Agency faces weaker demand and cautious investor sentiment.")</f>
        <v>Idol Agency faces weaker demand and cautious investor sentiment.</v>
      </c>
      <c r="D48" s="122" t="str">
        <f>IFERROR(__xludf.DUMMYFUNCTION("""COMPUTED_VALUE"""),"Investors are watching Idol Agency closely as demand weakens.")</f>
        <v>Investors are watching Idol Agency closely as demand weakens.</v>
      </c>
      <c r="E48" s="122" t="str">
        <f>IFERROR(__xludf.DUMMYFUNCTION("""COMPUTED_VALUE"""),"Negative")</f>
        <v>Negative</v>
      </c>
      <c r="F48" s="122">
        <f>IFERROR(__xludf.DUMMYFUNCTION("""COMPUTED_VALUE"""),-0.015)</f>
        <v>-0.015</v>
      </c>
      <c r="G48" s="122">
        <f>IFERROR(__xludf.DUMMYFUNCTION("""COMPUTED_VALUE"""),0.75)</f>
        <v>0.75</v>
      </c>
      <c r="H48" s="122" t="str">
        <f>IFERROR(__xludf.DUMMYFUNCTION("""COMPUTED_VALUE"""),"Active")</f>
        <v>Active</v>
      </c>
    </row>
    <row r="49">
      <c r="A49" s="131">
        <f>IFERROR(__xludf.DUMMYFUNCTION("""COMPUTED_VALUE"""),46165.331041666665)</f>
        <v>46165.33104</v>
      </c>
      <c r="B49" s="122" t="str">
        <f>IFERROR(__xludf.DUMMYFUNCTION("""COMPUTED_VALUE"""),"MEME")</f>
        <v>MEME</v>
      </c>
      <c r="C49" s="122" t="str">
        <f>IFERROR(__xludf.DUMMYFUNCTION("""COMPUTED_VALUE"""),"Meme Media drops sharply after major concerns hit the market.")</f>
        <v>Meme Media drops sharply after major concerns hit the market.</v>
      </c>
      <c r="D49" s="122" t="str">
        <f>IFERROR(__xludf.DUMMYFUNCTION("""COMPUTED_VALUE"""),"Meme Media is under pressure as investors react to worsening conditions.")</f>
        <v>Meme Media is under pressure as investors react to worsening conditions.</v>
      </c>
      <c r="E49" s="122" t="str">
        <f>IFERROR(__xludf.DUMMYFUNCTION("""COMPUTED_VALUE"""),"Negative")</f>
        <v>Negative</v>
      </c>
      <c r="F49" s="122">
        <f>IFERROR(__xludf.DUMMYFUNCTION("""COMPUTED_VALUE"""),-0.04)</f>
        <v>-0.04</v>
      </c>
      <c r="G49" s="122">
        <f>IFERROR(__xludf.DUMMYFUNCTION("""COMPUTED_VALUE"""),2.0)</f>
        <v>2</v>
      </c>
      <c r="H49" s="122" t="str">
        <f>IFERROR(__xludf.DUMMYFUNCTION("""COMPUTED_VALUE"""),"Active")</f>
        <v>Active</v>
      </c>
    </row>
    <row r="50">
      <c r="A50" s="131">
        <f>IFERROR(__xludf.DUMMYFUNCTION("""COMPUTED_VALUE"""),46165.33105324074)</f>
        <v>46165.33105</v>
      </c>
      <c r="B50" s="122" t="str">
        <f>IFERROR(__xludf.DUMMYFUNCTION("""COMPUTED_VALUE"""),"STRM")</f>
        <v>STRM</v>
      </c>
      <c r="C50" s="122" t="str">
        <f>IFERROR(__xludf.DUMMYFUNCTION("""COMPUTED_VALUE"""),"Streamly reports steady growth and improved market confidence.")</f>
        <v>Streamly reports steady growth and improved market confidence.</v>
      </c>
      <c r="D50" s="122" t="str">
        <f>IFERROR(__xludf.DUMMYFUNCTION("""COMPUTED_VALUE"""),"Streamly continues to show positive momentum with moderate risk.")</f>
        <v>Streamly continues to show positive momentum with moderate risk.</v>
      </c>
      <c r="E50" s="122" t="str">
        <f>IFERROR(__xludf.DUMMYFUNCTION("""COMPUTED_VALUE"""),"Positive")</f>
        <v>Positive</v>
      </c>
      <c r="F50" s="122">
        <f>IFERROR(__xludf.DUMMYFUNCTION("""COMPUTED_VALUE"""),0.015)</f>
        <v>0.015</v>
      </c>
      <c r="G50" s="122">
        <f>IFERROR(__xludf.DUMMYFUNCTION("""COMPUTED_VALUE"""),0.5)</f>
        <v>0.5</v>
      </c>
      <c r="H50" s="122" t="str">
        <f>IFERROR(__xludf.DUMMYFUNCTION("""COMPUTED_VALUE"""),"Active")</f>
        <v>Active</v>
      </c>
    </row>
    <row r="51">
      <c r="A51" s="131">
        <f>IFERROR(__xludf.DUMMYFUNCTION("""COMPUTED_VALUE"""),46165.33106481482)</f>
        <v>46165.33106</v>
      </c>
      <c r="B51" s="122" t="str">
        <f>IFERROR(__xludf.DUMMYFUNCTION("""COMPUTED_VALUE"""),"FARM")</f>
        <v>FARM</v>
      </c>
      <c r="C51" s="122" t="str">
        <f>IFERROR(__xludf.DUMMYFUNCTION("""COMPUTED_VALUE"""),"Future Farms faces weaker demand and cautious investor sentiment.")</f>
        <v>Future Farms faces weaker demand and cautious investor sentiment.</v>
      </c>
      <c r="D51" s="122" t="str">
        <f>IFERROR(__xludf.DUMMYFUNCTION("""COMPUTED_VALUE"""),"Investors are watching Future Farms closely as demand weakens.")</f>
        <v>Investors are watching Future Farms closely as demand weakens.</v>
      </c>
      <c r="E51" s="122" t="str">
        <f>IFERROR(__xludf.DUMMYFUNCTION("""COMPUTED_VALUE"""),"Negative")</f>
        <v>Negative</v>
      </c>
      <c r="F51" s="122">
        <f>IFERROR(__xludf.DUMMYFUNCTION("""COMPUTED_VALUE"""),-0.015)</f>
        <v>-0.015</v>
      </c>
      <c r="G51" s="122">
        <f>IFERROR(__xludf.DUMMYFUNCTION("""COMPUTED_VALUE"""),0.75)</f>
        <v>0.75</v>
      </c>
      <c r="H51" s="122" t="str">
        <f>IFERROR(__xludf.DUMMYFUNCTION("""COMPUTED_VALUE"""),"Active")</f>
        <v>Active</v>
      </c>
    </row>
    <row r="52">
      <c r="A52" s="131">
        <f>IFERROR(__xludf.DUMMYFUNCTION("""COMPUTED_VALUE"""),46165.33107638889)</f>
        <v>46165.33108</v>
      </c>
      <c r="B52" s="122" t="str">
        <f>IFERROR(__xludf.DUMMYFUNCTION("""COMPUTED_VALUE"""),"MEAT")</f>
        <v>MEAT</v>
      </c>
      <c r="C52" s="122" t="str">
        <f>IFERROR(__xludf.DUMMYFUNCTION("""COMPUTED_VALUE"""),"MeatWorks remains stable as the Food market shows normal activity.")</f>
        <v>MeatWorks remains stable as the Food market shows normal activity.</v>
      </c>
      <c r="D52" s="122" t="str">
        <f>IFERROR(__xludf.DUMMYFUNCTION("""COMPUTED_VALUE"""),"MeatWorks appears steady with no major changes reported.")</f>
        <v>MeatWorks appears steady with no major changes reported.</v>
      </c>
      <c r="E52" s="122" t="str">
        <f>IFERROR(__xludf.DUMMYFUNCTION("""COMPUTED_VALUE"""),"Neutral")</f>
        <v>Neutral</v>
      </c>
      <c r="F52" s="122">
        <f>IFERROR(__xludf.DUMMYFUNCTION("""COMPUTED_VALUE"""),0.0)</f>
        <v>0</v>
      </c>
      <c r="G52" s="122">
        <f>IFERROR(__xludf.DUMMYFUNCTION("""COMPUTED_VALUE"""),0.0)</f>
        <v>0</v>
      </c>
      <c r="H52" s="122" t="str">
        <f>IFERROR(__xludf.DUMMYFUNCTION("""COMPUTED_VALUE"""),"Active")</f>
        <v>Active</v>
      </c>
    </row>
    <row r="53">
      <c r="A53" s="131">
        <f>IFERROR(__xludf.DUMMYFUNCTION("""COMPUTED_VALUE"""),46165.33107638889)</f>
        <v>46165.33108</v>
      </c>
      <c r="B53" s="122" t="str">
        <f>IFERROR(__xludf.DUMMYFUNCTION("""COMPUTED_VALUE"""),"VEGI")</f>
        <v>VEGI</v>
      </c>
      <c r="C53" s="122" t="str">
        <f>IFERROR(__xludf.DUMMYFUNCTION("""COMPUTED_VALUE"""),"Green Basket faces weaker demand and cautious investor sentiment.")</f>
        <v>Green Basket faces weaker demand and cautious investor sentiment.</v>
      </c>
      <c r="D53" s="122" t="str">
        <f>IFERROR(__xludf.DUMMYFUNCTION("""COMPUTED_VALUE"""),"Investors are watching Green Basket closely as demand weakens.")</f>
        <v>Investors are watching Green Basket closely as demand weakens.</v>
      </c>
      <c r="E53" s="122" t="str">
        <f>IFERROR(__xludf.DUMMYFUNCTION("""COMPUTED_VALUE"""),"Negative")</f>
        <v>Negative</v>
      </c>
      <c r="F53" s="122">
        <f>IFERROR(__xludf.DUMMYFUNCTION("""COMPUTED_VALUE"""),-0.015)</f>
        <v>-0.015</v>
      </c>
      <c r="G53" s="122">
        <f>IFERROR(__xludf.DUMMYFUNCTION("""COMPUTED_VALUE"""),0.75)</f>
        <v>0.75</v>
      </c>
      <c r="H53" s="122" t="str">
        <f>IFERROR(__xludf.DUMMYFUNCTION("""COMPUTED_VALUE"""),"Active")</f>
        <v>Active</v>
      </c>
    </row>
    <row r="54">
      <c r="A54" s="131">
        <f>IFERROR(__xludf.DUMMYFUNCTION("""COMPUTED_VALUE"""),46165.33107638889)</f>
        <v>46165.33108</v>
      </c>
      <c r="B54" s="122" t="str">
        <f>IFERROR(__xludf.DUMMYFUNCTION("""COMPUTED_VALUE"""),"CAFE")</f>
        <v>CAFE</v>
      </c>
      <c r="C54" s="122" t="str">
        <f>IFERROR(__xludf.DUMMYFUNCTION("""COMPUTED_VALUE"""),"Cafe Cloud remains stable as the Food market shows normal activity.")</f>
        <v>Cafe Cloud remains stable as the Food market shows normal activity.</v>
      </c>
      <c r="D54" s="122" t="str">
        <f>IFERROR(__xludf.DUMMYFUNCTION("""COMPUTED_VALUE"""),"Cafe Cloud appears steady with no major changes reported.")</f>
        <v>Cafe Cloud appears steady with no major changes reported.</v>
      </c>
      <c r="E54" s="122" t="str">
        <f>IFERROR(__xludf.DUMMYFUNCTION("""COMPUTED_VALUE"""),"Neutral")</f>
        <v>Neutral</v>
      </c>
      <c r="F54" s="122">
        <f>IFERROR(__xludf.DUMMYFUNCTION("""COMPUTED_VALUE"""),0.0)</f>
        <v>0</v>
      </c>
      <c r="G54" s="122">
        <f>IFERROR(__xludf.DUMMYFUNCTION("""COMPUTED_VALUE"""),0.0)</f>
        <v>0</v>
      </c>
      <c r="H54" s="122" t="str">
        <f>IFERROR(__xludf.DUMMYFUNCTION("""COMPUTED_VALUE"""),"Active")</f>
        <v>Active</v>
      </c>
    </row>
    <row r="55">
      <c r="A55" s="131">
        <f>IFERROR(__xludf.DUMMYFUNCTION("""COMPUTED_VALUE"""),46165.33107638889)</f>
        <v>46165.33108</v>
      </c>
      <c r="B55" s="122" t="str">
        <f>IFERROR(__xludf.DUMMYFUNCTION("""COMPUTED_VALUE"""),"BAKE")</f>
        <v>BAKE</v>
      </c>
      <c r="C55" s="122" t="str">
        <f>IFERROR(__xludf.DUMMYFUNCTION("""COMPUTED_VALUE"""),"BakeHouse faces weaker demand and cautious investor sentiment.")</f>
        <v>BakeHouse faces weaker demand and cautious investor sentiment.</v>
      </c>
      <c r="D55" s="122" t="str">
        <f>IFERROR(__xludf.DUMMYFUNCTION("""COMPUTED_VALUE"""),"Investors are watching BakeHouse closely as demand weakens.")</f>
        <v>Investors are watching BakeHouse closely as demand weakens.</v>
      </c>
      <c r="E55" s="122" t="str">
        <f>IFERROR(__xludf.DUMMYFUNCTION("""COMPUTED_VALUE"""),"Negative")</f>
        <v>Negative</v>
      </c>
      <c r="F55" s="122">
        <f>IFERROR(__xludf.DUMMYFUNCTION("""COMPUTED_VALUE"""),-0.015)</f>
        <v>-0.015</v>
      </c>
      <c r="G55" s="122">
        <f>IFERROR(__xludf.DUMMYFUNCTION("""COMPUTED_VALUE"""),0.75)</f>
        <v>0.75</v>
      </c>
      <c r="H55" s="122" t="str">
        <f>IFERROR(__xludf.DUMMYFUNCTION("""COMPUTED_VALUE"""),"Active")</f>
        <v>Active</v>
      </c>
    </row>
    <row r="56">
      <c r="A56" s="131">
        <f>IFERROR(__xludf.DUMMYFUNCTION("""COMPUTED_VALUE"""),46165.331087962964)</f>
        <v>46165.33109</v>
      </c>
      <c r="B56" s="122" t="str">
        <f>IFERROR(__xludf.DUMMYFUNCTION("""COMPUTED_VALUE"""),"OILX")</f>
        <v>OILX</v>
      </c>
      <c r="C56" s="122" t="str">
        <f>IFERROR(__xludf.DUMMYFUNCTION("""COMPUTED_VALUE"""),"OilMax Energy faces weaker demand and cautious investor sentiment.")</f>
        <v>OilMax Energy faces weaker demand and cautious investor sentiment.</v>
      </c>
      <c r="D56" s="122" t="str">
        <f>IFERROR(__xludf.DUMMYFUNCTION("""COMPUTED_VALUE"""),"Investors are watching OilMax Energy closely as demand weakens.")</f>
        <v>Investors are watching OilMax Energy closely as demand weakens.</v>
      </c>
      <c r="E56" s="122" t="str">
        <f>IFERROR(__xludf.DUMMYFUNCTION("""COMPUTED_VALUE"""),"Negative")</f>
        <v>Negative</v>
      </c>
      <c r="F56" s="122">
        <f>IFERROR(__xludf.DUMMYFUNCTION("""COMPUTED_VALUE"""),-0.015)</f>
        <v>-0.015</v>
      </c>
      <c r="G56" s="122">
        <f>IFERROR(__xludf.DUMMYFUNCTION("""COMPUTED_VALUE"""),0.75)</f>
        <v>0.75</v>
      </c>
      <c r="H56" s="122" t="str">
        <f>IFERROR(__xludf.DUMMYFUNCTION("""COMPUTED_VALUE"""),"Active")</f>
        <v>Active</v>
      </c>
    </row>
    <row r="57">
      <c r="A57" s="131">
        <f>IFERROR(__xludf.DUMMYFUNCTION("""COMPUTED_VALUE"""),46165.331087962964)</f>
        <v>46165.33109</v>
      </c>
      <c r="B57" s="122" t="str">
        <f>IFERROR(__xludf.DUMMYFUNCTION("""COMPUTED_VALUE"""),"SOLR")</f>
        <v>SOLR</v>
      </c>
      <c r="C57" s="122" t="str">
        <f>IFERROR(__xludf.DUMMYFUNCTION("""COMPUTED_VALUE"""),"SolarSpark remains stable as the Energy market shows normal activity.")</f>
        <v>SolarSpark remains stable as the Energy market shows normal activity.</v>
      </c>
      <c r="D57" s="122" t="str">
        <f>IFERROR(__xludf.DUMMYFUNCTION("""COMPUTED_VALUE"""),"SolarSpark appears steady with no major changes reported.")</f>
        <v>SolarSpark appears steady with no major changes reported.</v>
      </c>
      <c r="E57" s="122" t="str">
        <f>IFERROR(__xludf.DUMMYFUNCTION("""COMPUTED_VALUE"""),"Neutral")</f>
        <v>Neutral</v>
      </c>
      <c r="F57" s="122">
        <f>IFERROR(__xludf.DUMMYFUNCTION("""COMPUTED_VALUE"""),0.0)</f>
        <v>0</v>
      </c>
      <c r="G57" s="122">
        <f>IFERROR(__xludf.DUMMYFUNCTION("""COMPUTED_VALUE"""),0.0)</f>
        <v>0</v>
      </c>
      <c r="H57" s="122" t="str">
        <f>IFERROR(__xludf.DUMMYFUNCTION("""COMPUTED_VALUE"""),"Active")</f>
        <v>Active</v>
      </c>
    </row>
    <row r="58">
      <c r="A58" s="131">
        <f>IFERROR(__xludf.DUMMYFUNCTION("""COMPUTED_VALUE"""),46165.331087962964)</f>
        <v>46165.33109</v>
      </c>
      <c r="B58" s="122" t="str">
        <f>IFERROR(__xludf.DUMMYFUNCTION("""COMPUTED_VALUE"""),"BATT")</f>
        <v>BATT</v>
      </c>
      <c r="C58" s="122" t="str">
        <f>IFERROR(__xludf.DUMMYFUNCTION("""COMPUTED_VALUE"""),"BatteryBox faces weaker demand and cautious investor sentiment.")</f>
        <v>BatteryBox faces weaker demand and cautious investor sentiment.</v>
      </c>
      <c r="D58" s="122" t="str">
        <f>IFERROR(__xludf.DUMMYFUNCTION("""COMPUTED_VALUE"""),"Investors are watching BatteryBox closely as demand weakens.")</f>
        <v>Investors are watching BatteryBox closely as demand weakens.</v>
      </c>
      <c r="E58" s="122" t="str">
        <f>IFERROR(__xludf.DUMMYFUNCTION("""COMPUTED_VALUE"""),"Negative")</f>
        <v>Negative</v>
      </c>
      <c r="F58" s="122">
        <f>IFERROR(__xludf.DUMMYFUNCTION("""COMPUTED_VALUE"""),-0.015)</f>
        <v>-0.015</v>
      </c>
      <c r="G58" s="122">
        <f>IFERROR(__xludf.DUMMYFUNCTION("""COMPUTED_VALUE"""),0.75)</f>
        <v>0.75</v>
      </c>
      <c r="H58" s="122" t="str">
        <f>IFERROR(__xludf.DUMMYFUNCTION("""COMPUTED_VALUE"""),"Active")</f>
        <v>Active</v>
      </c>
    </row>
    <row r="59">
      <c r="A59" s="131">
        <f>IFERROR(__xludf.DUMMYFUNCTION("""COMPUTED_VALUE"""),46165.331099537034)</f>
        <v>46165.3311</v>
      </c>
      <c r="B59" s="122" t="str">
        <f>IFERROR(__xludf.DUMMYFUNCTION("""COMPUTED_VALUE"""),"WIND")</f>
        <v>WIND</v>
      </c>
      <c r="C59" s="122" t="str">
        <f>IFERROR(__xludf.DUMMYFUNCTION("""COMPUTED_VALUE"""),"WindWorks surges as demand rises across the Energy sector.")</f>
        <v>WindWorks surges as demand rises across the Energy sector.</v>
      </c>
      <c r="D59" s="122" t="str">
        <f>IFERROR(__xludf.DUMMYFUNCTION("""COMPUTED_VALUE"""),"WindWorks is seeing strong demand, which may increase investor confidence.")</f>
        <v>WindWorks is seeing strong demand, which may increase investor confidence.</v>
      </c>
      <c r="E59" s="122" t="str">
        <f>IFERROR(__xludf.DUMMYFUNCTION("""COMPUTED_VALUE"""),"Positive")</f>
        <v>Positive</v>
      </c>
      <c r="F59" s="122">
        <f>IFERROR(__xludf.DUMMYFUNCTION("""COMPUTED_VALUE"""),0.03)</f>
        <v>0.03</v>
      </c>
      <c r="G59" s="122">
        <f>IFERROR(__xludf.DUMMYFUNCTION("""COMPUTED_VALUE"""),1.0)</f>
        <v>1</v>
      </c>
      <c r="H59" s="122" t="str">
        <f>IFERROR(__xludf.DUMMYFUNCTION("""COMPUTED_VALUE"""),"Active")</f>
        <v>Active</v>
      </c>
    </row>
    <row r="60">
      <c r="A60" s="131">
        <f>IFERROR(__xludf.DUMMYFUNCTION("""COMPUTED_VALUE"""),46165.331099537034)</f>
        <v>46165.3311</v>
      </c>
      <c r="B60" s="122" t="str">
        <f>IFERROR(__xludf.DUMMYFUNCTION("""COMPUTED_VALUE"""),"GRID")</f>
        <v>GRID</v>
      </c>
      <c r="C60" s="122" t="str">
        <f>IFERROR(__xludf.DUMMYFUNCTION("""COMPUTED_VALUE"""),"GridPower remains stable as the Energy market shows normal activity.")</f>
        <v>GridPower remains stable as the Energy market shows normal activity.</v>
      </c>
      <c r="D60" s="122" t="str">
        <f>IFERROR(__xludf.DUMMYFUNCTION("""COMPUTED_VALUE"""),"GridPower appears steady with no major changes reported.")</f>
        <v>GridPower appears steady with no major changes reported.</v>
      </c>
      <c r="E60" s="122" t="str">
        <f>IFERROR(__xludf.DUMMYFUNCTION("""COMPUTED_VALUE"""),"Neutral")</f>
        <v>Neutral</v>
      </c>
      <c r="F60" s="122">
        <f>IFERROR(__xludf.DUMMYFUNCTION("""COMPUTED_VALUE"""),0.0)</f>
        <v>0</v>
      </c>
      <c r="G60" s="122">
        <f>IFERROR(__xludf.DUMMYFUNCTION("""COMPUTED_VALUE"""),0.0)</f>
        <v>0</v>
      </c>
      <c r="H60" s="122" t="str">
        <f>IFERROR(__xludf.DUMMYFUNCTION("""COMPUTED_VALUE"""),"Active")</f>
        <v>Active</v>
      </c>
    </row>
    <row r="61">
      <c r="A61" s="131">
        <f>IFERROR(__xludf.DUMMYFUNCTION("""COMPUTED_VALUE"""),46165.331099537034)</f>
        <v>46165.3311</v>
      </c>
      <c r="B61" s="122" t="str">
        <f>IFERROR(__xludf.DUMMYFUNCTION("""COMPUTED_VALUE"""),"HOME")</f>
        <v>HOME</v>
      </c>
      <c r="C61" s="122" t="str">
        <f>IFERROR(__xludf.DUMMYFUNCTION("""COMPUTED_VALUE"""),"HomeHub remains stable as the Real Estate market shows normal activity.")</f>
        <v>HomeHub remains stable as the Real Estate market shows normal activity.</v>
      </c>
      <c r="D61" s="122" t="str">
        <f>IFERROR(__xludf.DUMMYFUNCTION("""COMPUTED_VALUE"""),"HomeHub appears steady with no major changes reported.")</f>
        <v>HomeHub appears steady with no major changes reported.</v>
      </c>
      <c r="E61" s="122" t="str">
        <f>IFERROR(__xludf.DUMMYFUNCTION("""COMPUTED_VALUE"""),"Neutral")</f>
        <v>Neutral</v>
      </c>
      <c r="F61" s="122">
        <f>IFERROR(__xludf.DUMMYFUNCTION("""COMPUTED_VALUE"""),0.0)</f>
        <v>0</v>
      </c>
      <c r="G61" s="122">
        <f>IFERROR(__xludf.DUMMYFUNCTION("""COMPUTED_VALUE"""),0.0)</f>
        <v>0</v>
      </c>
      <c r="H61" s="122" t="str">
        <f>IFERROR(__xludf.DUMMYFUNCTION("""COMPUTED_VALUE"""),"Active")</f>
        <v>Active</v>
      </c>
    </row>
    <row r="62">
      <c r="A62" s="131">
        <f>IFERROR(__xludf.DUMMYFUNCTION("""COMPUTED_VALUE"""),46165.33111111111)</f>
        <v>46165.33111</v>
      </c>
      <c r="B62" s="122" t="str">
        <f>IFERROR(__xludf.DUMMYFUNCTION("""COMPUTED_VALUE"""),"RENT")</f>
        <v>RENT</v>
      </c>
      <c r="C62" s="122" t="str">
        <f>IFERROR(__xludf.DUMMYFUNCTION("""COMPUTED_VALUE"""),"RentRight remains stable as the Real Estate market shows normal activity.")</f>
        <v>RentRight remains stable as the Real Estate market shows normal activity.</v>
      </c>
      <c r="D62" s="122" t="str">
        <f>IFERROR(__xludf.DUMMYFUNCTION("""COMPUTED_VALUE"""),"RentRight appears steady with no major changes reported.")</f>
        <v>RentRight appears steady with no major changes reported.</v>
      </c>
      <c r="E62" s="122" t="str">
        <f>IFERROR(__xludf.DUMMYFUNCTION("""COMPUTED_VALUE"""),"Neutral")</f>
        <v>Neutral</v>
      </c>
      <c r="F62" s="122">
        <f>IFERROR(__xludf.DUMMYFUNCTION("""COMPUTED_VALUE"""),0.0)</f>
        <v>0</v>
      </c>
      <c r="G62" s="122">
        <f>IFERROR(__xludf.DUMMYFUNCTION("""COMPUTED_VALUE"""),0.0)</f>
        <v>0</v>
      </c>
      <c r="H62" s="122" t="str">
        <f>IFERROR(__xludf.DUMMYFUNCTION("""COMPUTED_VALUE"""),"Active")</f>
        <v>Active</v>
      </c>
    </row>
    <row r="63">
      <c r="A63" s="131">
        <f>IFERROR(__xludf.DUMMYFUNCTION("""COMPUTED_VALUE"""),46165.33111111111)</f>
        <v>46165.33111</v>
      </c>
      <c r="B63" s="122" t="str">
        <f>IFERROR(__xludf.DUMMYFUNCTION("""COMPUTED_VALUE"""),"MALL")</f>
        <v>MALL</v>
      </c>
      <c r="C63" s="122" t="str">
        <f>IFERROR(__xludf.DUMMYFUNCTION("""COMPUTED_VALUE"""),"MegaMall faces weaker demand and cautious investor sentiment.")</f>
        <v>MegaMall faces weaker demand and cautious investor sentiment.</v>
      </c>
      <c r="D63" s="122" t="str">
        <f>IFERROR(__xludf.DUMMYFUNCTION("""COMPUTED_VALUE"""),"Investors are watching MegaMall closely as demand weakens.")</f>
        <v>Investors are watching MegaMall closely as demand weakens.</v>
      </c>
      <c r="E63" s="122" t="str">
        <f>IFERROR(__xludf.DUMMYFUNCTION("""COMPUTED_VALUE"""),"Negative")</f>
        <v>Negative</v>
      </c>
      <c r="F63" s="122">
        <f>IFERROR(__xludf.DUMMYFUNCTION("""COMPUTED_VALUE"""),-0.015)</f>
        <v>-0.015</v>
      </c>
      <c r="G63" s="122">
        <f>IFERROR(__xludf.DUMMYFUNCTION("""COMPUTED_VALUE"""),0.75)</f>
        <v>0.75</v>
      </c>
      <c r="H63" s="122" t="str">
        <f>IFERROR(__xludf.DUMMYFUNCTION("""COMPUTED_VALUE"""),"Active")</f>
        <v>Active</v>
      </c>
    </row>
    <row r="64">
      <c r="A64" s="131">
        <f>IFERROR(__xludf.DUMMYFUNCTION("""COMPUTED_VALUE"""),46165.33111111111)</f>
        <v>46165.33111</v>
      </c>
      <c r="B64" s="122" t="str">
        <f>IFERROR(__xludf.DUMMYFUNCTION("""COMPUTED_VALUE"""),"HOTL")</f>
        <v>HOTL</v>
      </c>
      <c r="C64" s="122" t="str">
        <f>IFERROR(__xludf.DUMMYFUNCTION("""COMPUTED_VALUE"""),"HotelHive faces weaker demand and cautious investor sentiment.")</f>
        <v>HotelHive faces weaker demand and cautious investor sentiment.</v>
      </c>
      <c r="D64" s="122" t="str">
        <f>IFERROR(__xludf.DUMMYFUNCTION("""COMPUTED_VALUE"""),"Investors are watching HotelHive closely as demand weakens.")</f>
        <v>Investors are watching HotelHive closely as demand weakens.</v>
      </c>
      <c r="E64" s="122" t="str">
        <f>IFERROR(__xludf.DUMMYFUNCTION("""COMPUTED_VALUE"""),"Negative")</f>
        <v>Negative</v>
      </c>
      <c r="F64" s="122">
        <f>IFERROR(__xludf.DUMMYFUNCTION("""COMPUTED_VALUE"""),-0.015)</f>
        <v>-0.015</v>
      </c>
      <c r="G64" s="122">
        <f>IFERROR(__xludf.DUMMYFUNCTION("""COMPUTED_VALUE"""),0.75)</f>
        <v>0.75</v>
      </c>
      <c r="H64" s="122" t="str">
        <f>IFERROR(__xludf.DUMMYFUNCTION("""COMPUTED_VALUE"""),"Active")</f>
        <v>Active</v>
      </c>
    </row>
    <row r="65">
      <c r="A65" s="131">
        <f>IFERROR(__xludf.DUMMYFUNCTION("""COMPUTED_VALUE"""),46165.33111111111)</f>
        <v>46165.33111</v>
      </c>
      <c r="B65" s="122" t="str">
        <f>IFERROR(__xludf.DUMMYFUNCTION("""COMPUTED_VALUE"""),"LAND")</f>
        <v>LAND</v>
      </c>
      <c r="C65" s="122" t="str">
        <f>IFERROR(__xludf.DUMMYFUNCTION("""COMPUTED_VALUE"""),"LandLink reports steady growth and improved market confidence.")</f>
        <v>LandLink reports steady growth and improved market confidence.</v>
      </c>
      <c r="D65" s="122" t="str">
        <f>IFERROR(__xludf.DUMMYFUNCTION("""COMPUTED_VALUE"""),"LandLink continues to show positive momentum with moderate risk.")</f>
        <v>LandLink continues to show positive momentum with moderate risk.</v>
      </c>
      <c r="E65" s="122" t="str">
        <f>IFERROR(__xludf.DUMMYFUNCTION("""COMPUTED_VALUE"""),"Positive")</f>
        <v>Positive</v>
      </c>
      <c r="F65" s="122">
        <f>IFERROR(__xludf.DUMMYFUNCTION("""COMPUTED_VALUE"""),0.015)</f>
        <v>0.015</v>
      </c>
      <c r="G65" s="122">
        <f>IFERROR(__xludf.DUMMYFUNCTION("""COMPUTED_VALUE"""),0.5)</f>
        <v>0.5</v>
      </c>
      <c r="H65" s="122" t="str">
        <f>IFERROR(__xludf.DUMMYFUNCTION("""COMPUTED_VALUE"""),"Active")</f>
        <v>Active</v>
      </c>
    </row>
    <row r="66">
      <c r="A66" s="131">
        <f>IFERROR(__xludf.DUMMYFUNCTION("""COMPUTED_VALUE"""),46165.33112268519)</f>
        <v>46165.33112</v>
      </c>
      <c r="B66" s="122" t="str">
        <f>IFERROR(__xludf.DUMMYFUNCTION("""COMPUTED_VALUE"""),"CARS")</f>
        <v>CARS</v>
      </c>
      <c r="C66" s="122" t="str">
        <f>IFERROR(__xludf.DUMMYFUNCTION("""COMPUTED_VALUE"""),"AutoArena faces weaker demand and cautious investor sentiment.")</f>
        <v>AutoArena faces weaker demand and cautious investor sentiment.</v>
      </c>
      <c r="D66" s="122" t="str">
        <f>IFERROR(__xludf.DUMMYFUNCTION("""COMPUTED_VALUE"""),"Investors are watching AutoArena closely as demand weakens.")</f>
        <v>Investors are watching AutoArena closely as demand weakens.</v>
      </c>
      <c r="E66" s="122" t="str">
        <f>IFERROR(__xludf.DUMMYFUNCTION("""COMPUTED_VALUE"""),"Negative")</f>
        <v>Negative</v>
      </c>
      <c r="F66" s="122">
        <f>IFERROR(__xludf.DUMMYFUNCTION("""COMPUTED_VALUE"""),-0.015)</f>
        <v>-0.015</v>
      </c>
      <c r="G66" s="122">
        <f>IFERROR(__xludf.DUMMYFUNCTION("""COMPUTED_VALUE"""),0.75)</f>
        <v>0.75</v>
      </c>
      <c r="H66" s="122" t="str">
        <f>IFERROR(__xludf.DUMMYFUNCTION("""COMPUTED_VALUE"""),"Active")</f>
        <v>Active</v>
      </c>
    </row>
    <row r="67">
      <c r="A67" s="131">
        <f>IFERROR(__xludf.DUMMYFUNCTION("""COMPUTED_VALUE"""),46165.33112268519)</f>
        <v>46165.33112</v>
      </c>
      <c r="B67" s="122" t="str">
        <f>IFERROR(__xludf.DUMMYFUNCTION("""COMPUTED_VALUE"""),"EVGO")</f>
        <v>EVGO</v>
      </c>
      <c r="C67" s="122" t="str">
        <f>IFERROR(__xludf.DUMMYFUNCTION("""COMPUTED_VALUE"""),"EVGo Motors reports steady growth and improved market confidence.")</f>
        <v>EVGo Motors reports steady growth and improved market confidence.</v>
      </c>
      <c r="D67" s="122" t="str">
        <f>IFERROR(__xludf.DUMMYFUNCTION("""COMPUTED_VALUE"""),"EVGo Motors continues to show positive momentum with moderate risk.")</f>
        <v>EVGo Motors continues to show positive momentum with moderate risk.</v>
      </c>
      <c r="E67" s="122" t="str">
        <f>IFERROR(__xludf.DUMMYFUNCTION("""COMPUTED_VALUE"""),"Positive")</f>
        <v>Positive</v>
      </c>
      <c r="F67" s="122">
        <f>IFERROR(__xludf.DUMMYFUNCTION("""COMPUTED_VALUE"""),0.015)</f>
        <v>0.015</v>
      </c>
      <c r="G67" s="122">
        <f>IFERROR(__xludf.DUMMYFUNCTION("""COMPUTED_VALUE"""),0.5)</f>
        <v>0.5</v>
      </c>
      <c r="H67" s="122" t="str">
        <f>IFERROR(__xludf.DUMMYFUNCTION("""COMPUTED_VALUE"""),"Active")</f>
        <v>Active</v>
      </c>
    </row>
    <row r="68">
      <c r="A68" s="131">
        <f>IFERROR(__xludf.DUMMYFUNCTION("""COMPUTED_VALUE"""),46165.33112268519)</f>
        <v>46165.33112</v>
      </c>
      <c r="B68" s="122" t="str">
        <f>IFERROR(__xludf.DUMMYFUNCTION("""COMPUTED_VALUE"""),"TIRE")</f>
        <v>TIRE</v>
      </c>
      <c r="C68" s="122" t="str">
        <f>IFERROR(__xludf.DUMMYFUNCTION("""COMPUTED_VALUE"""),"TireTown remains stable as the Automotive market shows normal activity.")</f>
        <v>TireTown remains stable as the Automotive market shows normal activity.</v>
      </c>
      <c r="D68" s="122" t="str">
        <f>IFERROR(__xludf.DUMMYFUNCTION("""COMPUTED_VALUE"""),"TireTown appears steady with no major changes reported.")</f>
        <v>TireTown appears steady with no major changes reported.</v>
      </c>
      <c r="E68" s="122" t="str">
        <f>IFERROR(__xludf.DUMMYFUNCTION("""COMPUTED_VALUE"""),"Neutral")</f>
        <v>Neutral</v>
      </c>
      <c r="F68" s="122">
        <f>IFERROR(__xludf.DUMMYFUNCTION("""COMPUTED_VALUE"""),0.0)</f>
        <v>0</v>
      </c>
      <c r="G68" s="122">
        <f>IFERROR(__xludf.DUMMYFUNCTION("""COMPUTED_VALUE"""),0.0)</f>
        <v>0</v>
      </c>
      <c r="H68" s="122" t="str">
        <f>IFERROR(__xludf.DUMMYFUNCTION("""COMPUTED_VALUE"""),"Active")</f>
        <v>Active</v>
      </c>
    </row>
    <row r="69">
      <c r="A69" s="131">
        <f>IFERROR(__xludf.DUMMYFUNCTION("""COMPUTED_VALUE"""),46165.33113425926)</f>
        <v>46165.33113</v>
      </c>
      <c r="B69" s="122" t="str">
        <f>IFERROR(__xludf.DUMMYFUNCTION("""COMPUTED_VALUE"""),"BIKE")</f>
        <v>BIKE</v>
      </c>
      <c r="C69" s="122" t="str">
        <f>IFERROR(__xludf.DUMMYFUNCTION("""COMPUTED_VALUE"""),"BikeBox remains stable as the Automotive market shows normal activity.")</f>
        <v>BikeBox remains stable as the Automotive market shows normal activity.</v>
      </c>
      <c r="D69" s="122" t="str">
        <f>IFERROR(__xludf.DUMMYFUNCTION("""COMPUTED_VALUE"""),"BikeBox appears steady with no major changes reported.")</f>
        <v>BikeBox appears steady with no major changes reported.</v>
      </c>
      <c r="E69" s="122" t="str">
        <f>IFERROR(__xludf.DUMMYFUNCTION("""COMPUTED_VALUE"""),"Neutral")</f>
        <v>Neutral</v>
      </c>
      <c r="F69" s="122">
        <f>IFERROR(__xludf.DUMMYFUNCTION("""COMPUTED_VALUE"""),0.0)</f>
        <v>0</v>
      </c>
      <c r="G69" s="122">
        <f>IFERROR(__xludf.DUMMYFUNCTION("""COMPUTED_VALUE"""),0.0)</f>
        <v>0</v>
      </c>
      <c r="H69" s="122" t="str">
        <f>IFERROR(__xludf.DUMMYFUNCTION("""COMPUTED_VALUE"""),"Active")</f>
        <v>Active</v>
      </c>
    </row>
    <row r="70">
      <c r="A70" s="131">
        <f>IFERROR(__xludf.DUMMYFUNCTION("""COMPUTED_VALUE"""),46165.33113425926)</f>
        <v>46165.33113</v>
      </c>
      <c r="B70" s="122" t="str">
        <f>IFERROR(__xludf.DUMMYFUNCTION("""COMPUTED_VALUE"""),"WASH")</f>
        <v>WASH</v>
      </c>
      <c r="C70" s="122" t="str">
        <f>IFERROR(__xludf.DUMMYFUNCTION("""COMPUTED_VALUE"""),"CarWash Co remains stable as the Automotive market shows normal activity.")</f>
        <v>CarWash Co remains stable as the Automotive market shows normal activity.</v>
      </c>
      <c r="D70" s="122" t="str">
        <f>IFERROR(__xludf.DUMMYFUNCTION("""COMPUTED_VALUE"""),"CarWash Co appears steady with no major changes reported.")</f>
        <v>CarWash Co appears steady with no major changes reported.</v>
      </c>
      <c r="E70" s="122" t="str">
        <f>IFERROR(__xludf.DUMMYFUNCTION("""COMPUTED_VALUE"""),"Neutral")</f>
        <v>Neutral</v>
      </c>
      <c r="F70" s="122">
        <f>IFERROR(__xludf.DUMMYFUNCTION("""COMPUTED_VALUE"""),0.0)</f>
        <v>0</v>
      </c>
      <c r="G70" s="122">
        <f>IFERROR(__xludf.DUMMYFUNCTION("""COMPUTED_VALUE"""),0.0)</f>
        <v>0</v>
      </c>
      <c r="H70" s="122" t="str">
        <f>IFERROR(__xludf.DUMMYFUNCTION("""COMPUTED_VALUE"""),"Active")</f>
        <v>Active</v>
      </c>
    </row>
    <row r="71">
      <c r="A71" s="131">
        <f>IFERROR(__xludf.DUMMYFUNCTION("""COMPUTED_VALUE"""),46165.33113425926)</f>
        <v>46165.33113</v>
      </c>
      <c r="B71" s="122" t="str">
        <f>IFERROR(__xludf.DUMMYFUNCTION("""COMPUTED_VALUE"""),"GBND")</f>
        <v>GBND</v>
      </c>
      <c r="C71" s="122" t="str">
        <f>IFERROR(__xludf.DUMMYFUNCTION("""COMPUTED_VALUE"""),"Classroom Government Bond remains steady as investors seek stability.")</f>
        <v>Classroom Government Bond remains steady as investors seek stability.</v>
      </c>
      <c r="D71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71" s="122" t="str">
        <f>IFERROR(__xludf.DUMMYFUNCTION("""COMPUTED_VALUE"""),"Neutral")</f>
        <v>Neutral</v>
      </c>
      <c r="F71" s="122">
        <f>IFERROR(__xludf.DUMMYFUNCTION("""COMPUTED_VALUE"""),0.0)</f>
        <v>0</v>
      </c>
      <c r="G71" s="122">
        <f>IFERROR(__xludf.DUMMYFUNCTION("""COMPUTED_VALUE"""),0.0)</f>
        <v>0</v>
      </c>
      <c r="H71" s="122" t="str">
        <f>IFERROR(__xludf.DUMMYFUNCTION("""COMPUTED_VALUE"""),"Active")</f>
        <v>Active</v>
      </c>
    </row>
    <row r="72">
      <c r="A72" s="131">
        <f>IFERROR(__xludf.DUMMYFUNCTION("""COMPUTED_VALUE"""),46165.33113425926)</f>
        <v>46165.33113</v>
      </c>
      <c r="B72" s="122" t="str">
        <f>IFERROR(__xludf.DUMMYFUNCTION("""COMPUTED_VALUE"""),"SBND")</f>
        <v>SBND</v>
      </c>
      <c r="C72" s="122" t="str">
        <f>IFERROR(__xludf.DUMMYFUNCTION("""COMPUTED_VALUE"""),"School Savings Bond remains steady as investors seek stability.")</f>
        <v>School Savings Bond remains steady as investors seek stability.</v>
      </c>
      <c r="D72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72" s="122" t="str">
        <f>IFERROR(__xludf.DUMMYFUNCTION("""COMPUTED_VALUE"""),"Neutral")</f>
        <v>Neutral</v>
      </c>
      <c r="F72" s="122">
        <f>IFERROR(__xludf.DUMMYFUNCTION("""COMPUTED_VALUE"""),0.0)</f>
        <v>0</v>
      </c>
      <c r="G72" s="122">
        <f>IFERROR(__xludf.DUMMYFUNCTION("""COMPUTED_VALUE"""),0.0)</f>
        <v>0</v>
      </c>
      <c r="H72" s="122" t="str">
        <f>IFERROR(__xludf.DUMMYFUNCTION("""COMPUTED_VALUE"""),"Active")</f>
        <v>Active</v>
      </c>
    </row>
    <row r="73">
      <c r="A73" s="131">
        <f>IFERROR(__xludf.DUMMYFUNCTION("""COMPUTED_VALUE"""),46165.331145833334)</f>
        <v>46165.33115</v>
      </c>
      <c r="B73" s="122" t="str">
        <f>IFERROR(__xludf.DUMMYFUNCTION("""COMPUTED_VALUE"""),"CBND")</f>
        <v>CBND</v>
      </c>
      <c r="C73" s="122" t="str">
        <f>IFERROR(__xludf.DUMMYFUNCTION("""COMPUTED_VALUE"""),"Corporate Classroom Bond remains steady as investors seek stability.")</f>
        <v>Corporate Classroom Bond remains steady as investors seek stability.</v>
      </c>
      <c r="D73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73" s="122" t="str">
        <f>IFERROR(__xludf.DUMMYFUNCTION("""COMPUTED_VALUE"""),"Neutral")</f>
        <v>Neutral</v>
      </c>
      <c r="F73" s="122">
        <f>IFERROR(__xludf.DUMMYFUNCTION("""COMPUTED_VALUE"""),0.0)</f>
        <v>0</v>
      </c>
      <c r="G73" s="122">
        <f>IFERROR(__xludf.DUMMYFUNCTION("""COMPUTED_VALUE"""),0.0)</f>
        <v>0</v>
      </c>
      <c r="H73" s="122" t="str">
        <f>IFERROR(__xludf.DUMMYFUNCTION("""COMPUTED_VALUE"""),"Active")</f>
        <v>Active</v>
      </c>
    </row>
    <row r="74">
      <c r="A74" s="131">
        <f>IFERROR(__xludf.DUMMYFUNCTION("""COMPUTED_VALUE"""),46165.331145833334)</f>
        <v>46165.33115</v>
      </c>
      <c r="B74" s="122" t="str">
        <f>IFERROR(__xludf.DUMMYFUNCTION("""COMPUTED_VALUE"""),"TBIL")</f>
        <v>TBIL</v>
      </c>
      <c r="C74" s="122" t="str">
        <f>IFERROR(__xludf.DUMMYFUNCTION("""COMPUTED_VALUE"""),"Treasury Bill remains steady as investors seek stability.")</f>
        <v>Treasury Bill remains steady as investors seek stability.</v>
      </c>
      <c r="D74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74" s="122" t="str">
        <f>IFERROR(__xludf.DUMMYFUNCTION("""COMPUTED_VALUE"""),"Neutral")</f>
        <v>Neutral</v>
      </c>
      <c r="F74" s="122">
        <f>IFERROR(__xludf.DUMMYFUNCTION("""COMPUTED_VALUE"""),0.0)</f>
        <v>0</v>
      </c>
      <c r="G74" s="122">
        <f>IFERROR(__xludf.DUMMYFUNCTION("""COMPUTED_VALUE"""),0.0)</f>
        <v>0</v>
      </c>
      <c r="H74" s="122" t="str">
        <f>IFERROR(__xludf.DUMMYFUNCTION("""COMPUTED_VALUE"""),"Active")</f>
        <v>Active</v>
      </c>
    </row>
    <row r="75">
      <c r="A75" s="131">
        <f>IFERROR(__xludf.DUMMYFUNCTION("""COMPUTED_VALUE"""),46165.33115740741)</f>
        <v>46165.33116</v>
      </c>
      <c r="B75" s="122" t="str">
        <f>IFERROR(__xludf.DUMMYFUNCTION("""COMPUTED_VALUE"""),"IBND")</f>
        <v>IBND</v>
      </c>
      <c r="C75" s="122" t="str">
        <f>IFERROR(__xludf.DUMMYFUNCTION("""COMPUTED_VALUE"""),"Inflation Protected Bond remains steady as investors seek stability.")</f>
        <v>Inflation Protected Bond remains steady as investors seek stability.</v>
      </c>
      <c r="D75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75" s="122" t="str">
        <f>IFERROR(__xludf.DUMMYFUNCTION("""COMPUTED_VALUE"""),"Neutral")</f>
        <v>Neutral</v>
      </c>
      <c r="F75" s="122">
        <f>IFERROR(__xludf.DUMMYFUNCTION("""COMPUTED_VALUE"""),0.0)</f>
        <v>0</v>
      </c>
      <c r="G75" s="122">
        <f>IFERROR(__xludf.DUMMYFUNCTION("""COMPUTED_VALUE"""),0.0)</f>
        <v>0</v>
      </c>
      <c r="H75" s="122" t="str">
        <f>IFERROR(__xludf.DUMMYFUNCTION("""COMPUTED_VALUE"""),"Active")</f>
        <v>Active</v>
      </c>
    </row>
    <row r="76">
      <c r="A76" s="131">
        <f>IFERROR(__xludf.DUMMYFUNCTION("""COMPUTED_VALUE"""),46166.31752314815)</f>
        <v>46166.31752</v>
      </c>
      <c r="B76" s="122" t="str">
        <f>IFERROR(__xludf.DUMMYFUNCTION("""COMPUTED_VALUE"""),"WIND")</f>
        <v>WIND</v>
      </c>
      <c r="C76" s="122" t="str">
        <f>IFERROR(__xludf.DUMMYFUNCTION("""COMPUTED_VALUE"""),"WindWorks releases earnings report: Inline profit, guidance Maintained.")</f>
        <v>WindWorks releases earnings report: Inline profit, guidance Maintained.</v>
      </c>
      <c r="D76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76" s="122" t="str">
        <f>IFERROR(__xludf.DUMMYFUNCTION("""COMPUTED_VALUE"""),"Neutral")</f>
        <v>Neutral</v>
      </c>
      <c r="F76" s="122">
        <f>IFERROR(__xludf.DUMMYFUNCTION("""COMPUTED_VALUE"""),0.006890304964202558)</f>
        <v>0.006890304964</v>
      </c>
      <c r="G76" s="122">
        <f>IFERROR(__xludf.DUMMYFUNCTION("""COMPUTED_VALUE"""),0.17225762410506396)</f>
        <v>0.1722576241</v>
      </c>
      <c r="H76" s="122" t="str">
        <f>IFERROR(__xludf.DUMMYFUNCTION("""COMPUTED_VALUE"""),"Active")</f>
        <v>Active</v>
      </c>
    </row>
    <row r="77">
      <c r="A77" s="131">
        <f>IFERROR(__xludf.DUMMYFUNCTION("""COMPUTED_VALUE"""),46166.31756944444)</f>
        <v>46166.31757</v>
      </c>
      <c r="B77" s="122" t="str">
        <f>IFERROR(__xludf.DUMMYFUNCTION("""COMPUTED_VALUE"""),"HOTL")</f>
        <v>HOTL</v>
      </c>
      <c r="C77" s="122" t="str">
        <f>IFERROR(__xludf.DUMMYFUNCTION("""COMPUTED_VALUE"""),"HotelHive releases earnings report: Miss profit, guidance Maintained.")</f>
        <v>HotelHive releases earnings report: Miss profit, guidance Maintained.</v>
      </c>
      <c r="D77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77" s="122" t="str">
        <f>IFERROR(__xludf.DUMMYFUNCTION("""COMPUTED_VALUE"""),"Negative")</f>
        <v>Negative</v>
      </c>
      <c r="F77" s="122">
        <f>IFERROR(__xludf.DUMMYFUNCTION("""COMPUTED_VALUE"""),-0.013937429693860883)</f>
        <v>-0.01393742969</v>
      </c>
      <c r="G77" s="122">
        <f>IFERROR(__xludf.DUMMYFUNCTION("""COMPUTED_VALUE"""),0.3484357423465221)</f>
        <v>0.3484357423</v>
      </c>
      <c r="H77" s="122" t="str">
        <f>IFERROR(__xludf.DUMMYFUNCTION("""COMPUTED_VALUE"""),"Active")</f>
        <v>Active</v>
      </c>
    </row>
    <row r="78">
      <c r="A78" s="131">
        <f>IFERROR(__xludf.DUMMYFUNCTION("""COMPUTED_VALUE"""),46166.31760416667)</f>
        <v>46166.3176</v>
      </c>
      <c r="B78" s="122" t="str">
        <f>IFERROR(__xludf.DUMMYFUNCTION("""COMPUTED_VALUE"""),"TIRE")</f>
        <v>TIRE</v>
      </c>
      <c r="C78" s="122" t="str">
        <f>IFERROR(__xludf.DUMMYFUNCTION("""COMPUTED_VALUE"""),"TireTown releases earnings report: Beat profit, guidance Raised.")</f>
        <v>TireTown releases earnings report: Beat profit, guidance Raised.</v>
      </c>
      <c r="D7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78" s="122" t="str">
        <f>IFERROR(__xludf.DUMMYFUNCTION("""COMPUTED_VALUE"""),"Positive")</f>
        <v>Positive</v>
      </c>
      <c r="F78" s="122">
        <f>IFERROR(__xludf.DUMMYFUNCTION("""COMPUTED_VALUE"""),0.05225159368871376)</f>
        <v>0.05225159369</v>
      </c>
      <c r="G78" s="122">
        <f>IFERROR(__xludf.DUMMYFUNCTION("""COMPUTED_VALUE"""),1.306289842217844)</f>
        <v>1.306289842</v>
      </c>
      <c r="H78" s="122" t="str">
        <f>IFERROR(__xludf.DUMMYFUNCTION("""COMPUTED_VALUE"""),"Active")</f>
        <v>Active</v>
      </c>
    </row>
    <row r="79">
      <c r="A79" s="131">
        <f>IFERROR(__xludf.DUMMYFUNCTION("""COMPUTED_VALUE"""),46166.31762731481)</f>
        <v>46166.31763</v>
      </c>
      <c r="B79" s="122" t="str">
        <f>IFERROR(__xludf.DUMMYFUNCTION("""COMPUTED_VALUE"""),"MUSC")</f>
        <v>MUSC</v>
      </c>
      <c r="C79" s="122" t="str">
        <f>IFERROR(__xludf.DUMMYFUNCTION("""COMPUTED_VALUE"""),"MusicWave releases earnings report: Miss profit, guidance Maintained.")</f>
        <v>MusicWave releases earnings report: Miss profit, guidance Maintained.</v>
      </c>
      <c r="D79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79" s="122" t="str">
        <f>IFERROR(__xludf.DUMMYFUNCTION("""COMPUTED_VALUE"""),"Negative")</f>
        <v>Negative</v>
      </c>
      <c r="F79" s="122">
        <f>IFERROR(__xludf.DUMMYFUNCTION("""COMPUTED_VALUE"""),-0.01574238814151093)</f>
        <v>-0.01574238814</v>
      </c>
      <c r="G79" s="122">
        <f>IFERROR(__xludf.DUMMYFUNCTION("""COMPUTED_VALUE"""),0.39355970353777325)</f>
        <v>0.3935597035</v>
      </c>
      <c r="H79" s="122" t="str">
        <f>IFERROR(__xludf.DUMMYFUNCTION("""COMPUTED_VALUE"""),"Active")</f>
        <v>Active</v>
      </c>
    </row>
    <row r="80">
      <c r="A80" s="131">
        <f>IFERROR(__xludf.DUMMYFUNCTION("""COMPUTED_VALUE"""),46166.31767361111)</f>
        <v>46166.31767</v>
      </c>
      <c r="B80" s="122" t="str">
        <f>IFERROR(__xludf.DUMMYFUNCTION("""COMPUTED_VALUE"""),"BYTE")</f>
        <v>BYTE</v>
      </c>
      <c r="C80" s="122" t="str">
        <f>IFERROR(__xludf.DUMMYFUNCTION("""COMPUTED_VALUE"""),"ByteWorks releases earnings report: Beat profit, guidance Raised.")</f>
        <v>ByteWorks releases earnings report: Beat profit, guidance Raised.</v>
      </c>
      <c r="D8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80" s="122" t="str">
        <f>IFERROR(__xludf.DUMMYFUNCTION("""COMPUTED_VALUE"""),"Positive")</f>
        <v>Positive</v>
      </c>
      <c r="F80" s="122">
        <f>IFERROR(__xludf.DUMMYFUNCTION("""COMPUTED_VALUE"""),0.054324627609564954)</f>
        <v>0.05432462761</v>
      </c>
      <c r="G80" s="122">
        <f>IFERROR(__xludf.DUMMYFUNCTION("""COMPUTED_VALUE"""),1.3581156902391238)</f>
        <v>1.35811569</v>
      </c>
      <c r="H80" s="122" t="str">
        <f>IFERROR(__xludf.DUMMYFUNCTION("""COMPUTED_VALUE"""),"Active")</f>
        <v>Active</v>
      </c>
    </row>
    <row r="81">
      <c r="A81" s="131">
        <f>IFERROR(__xludf.DUMMYFUNCTION("""COMPUTED_VALUE"""),46166.31769675926)</f>
        <v>46166.3177</v>
      </c>
      <c r="B81" s="122" t="str">
        <f>IFERROR(__xludf.DUMMYFUNCTION("""COMPUTED_VALUE"""),"VEGI")</f>
        <v>VEGI</v>
      </c>
      <c r="C81" s="122" t="str">
        <f>IFERROR(__xludf.DUMMYFUNCTION("""COMPUTED_VALUE"""),"Green Basket releases earnings report: Miss profit, guidance Maintained.")</f>
        <v>Green Basket releases earnings report: Miss profit, guidance Maintained.</v>
      </c>
      <c r="D81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81" s="122" t="str">
        <f>IFERROR(__xludf.DUMMYFUNCTION("""COMPUTED_VALUE"""),"Negative")</f>
        <v>Negative</v>
      </c>
      <c r="F81" s="122">
        <f>IFERROR(__xludf.DUMMYFUNCTION("""COMPUTED_VALUE"""),-0.01765481734043447)</f>
        <v>-0.01765481734</v>
      </c>
      <c r="G81" s="122">
        <f>IFERROR(__xludf.DUMMYFUNCTION("""COMPUTED_VALUE"""),0.4413704335108617)</f>
        <v>0.4413704335</v>
      </c>
      <c r="H81" s="122" t="str">
        <f>IFERROR(__xludf.DUMMYFUNCTION("""COMPUTED_VALUE"""),"Active")</f>
        <v>Active</v>
      </c>
    </row>
    <row r="82">
      <c r="A82" s="131">
        <f>IFERROR(__xludf.DUMMYFUNCTION("""COMPUTED_VALUE"""),46166.31773148148)</f>
        <v>46166.31773</v>
      </c>
      <c r="B82" s="122" t="str">
        <f>IFERROR(__xludf.DUMMYFUNCTION("""COMPUTED_VALUE"""),"MEAT")</f>
        <v>MEAT</v>
      </c>
      <c r="C82" s="122" t="str">
        <f>IFERROR(__xludf.DUMMYFUNCTION("""COMPUTED_VALUE"""),"MeatWorks releases earnings report: Beat profit, guidance Maintained.")</f>
        <v>MeatWorks releases earnings report: Beat profit, guidance Maintained.</v>
      </c>
      <c r="D82" s="122" t="str">
        <f>IFERROR(__xludf.DUMMYFUNCTION("""COMPUTED_VALUE"""),"Earnings report: revenue Beat, profit Beat, debt Stable, guidance Maintained.")</f>
        <v>Earnings report: revenue Beat, profit Beat, debt Stable, guidance Maintained.</v>
      </c>
      <c r="E82" s="122" t="str">
        <f>IFERROR(__xludf.DUMMYFUNCTION("""COMPUTED_VALUE"""),"Positive")</f>
        <v>Positive</v>
      </c>
      <c r="F82" s="122">
        <f>IFERROR(__xludf.DUMMYFUNCTION("""COMPUTED_VALUE"""),0.01534435654504617)</f>
        <v>0.01534435655</v>
      </c>
      <c r="G82" s="122">
        <f>IFERROR(__xludf.DUMMYFUNCTION("""COMPUTED_VALUE"""),0.38360891362615424)</f>
        <v>0.3836089136</v>
      </c>
      <c r="H82" s="122" t="str">
        <f>IFERROR(__xludf.DUMMYFUNCTION("""COMPUTED_VALUE"""),"Active")</f>
        <v>Active</v>
      </c>
    </row>
    <row r="83">
      <c r="A83" s="131">
        <f>IFERROR(__xludf.DUMMYFUNCTION("""COMPUTED_VALUE"""),46166.31775462963)</f>
        <v>46166.31775</v>
      </c>
      <c r="B83" s="122" t="str">
        <f>IFERROR(__xludf.DUMMYFUNCTION("""COMPUTED_VALUE"""),"EVGO")</f>
        <v>EVGO</v>
      </c>
      <c r="C83" s="122" t="str">
        <f>IFERROR(__xludf.DUMMYFUNCTION("""COMPUTED_VALUE"""),"EVGo Motors releases earnings report: Miss profit, guidance Maintained.")</f>
        <v>EVGo Motors releases earnings report: Miss profit, guidance Maintained.</v>
      </c>
      <c r="D83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83" s="122" t="str">
        <f>IFERROR(__xludf.DUMMYFUNCTION("""COMPUTED_VALUE"""),"Negative")</f>
        <v>Negative</v>
      </c>
      <c r="F83" s="122">
        <f>IFERROR(__xludf.DUMMYFUNCTION("""COMPUTED_VALUE"""),-0.010936773352476812)</f>
        <v>-0.01093677335</v>
      </c>
      <c r="G83" s="122">
        <f>IFERROR(__xludf.DUMMYFUNCTION("""COMPUTED_VALUE"""),0.2734193338119203)</f>
        <v>0.2734193338</v>
      </c>
      <c r="H83" s="122" t="str">
        <f>IFERROR(__xludf.DUMMYFUNCTION("""COMPUTED_VALUE"""),"Active")</f>
        <v>Active</v>
      </c>
    </row>
    <row r="84">
      <c r="A84" s="131">
        <f>IFERROR(__xludf.DUMMYFUNCTION("""COMPUTED_VALUE"""),46166.31778935185)</f>
        <v>46166.31779</v>
      </c>
      <c r="B84" s="122" t="str">
        <f>IFERROR(__xludf.DUMMYFUNCTION("""COMPUTED_VALUE"""),"LOAN")</f>
        <v>LOAN</v>
      </c>
      <c r="C84" s="122" t="str">
        <f>IFERROR(__xludf.DUMMYFUNCTION("""COMPUTED_VALUE"""),"LoanLab releases earnings report: Miss profit, guidance Maintained.")</f>
        <v>LoanLab releases earnings report: Miss profit, guidance Maintained.</v>
      </c>
      <c r="D84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84" s="122" t="str">
        <f>IFERROR(__xludf.DUMMYFUNCTION("""COMPUTED_VALUE"""),"Negative")</f>
        <v>Negative</v>
      </c>
      <c r="F84" s="122">
        <f>IFERROR(__xludf.DUMMYFUNCTION("""COMPUTED_VALUE"""),-0.01791061243393815)</f>
        <v>-0.01791061243</v>
      </c>
      <c r="G84" s="122">
        <f>IFERROR(__xludf.DUMMYFUNCTION("""COMPUTED_VALUE"""),0.4477653108484537)</f>
        <v>0.4477653108</v>
      </c>
      <c r="H84" s="122" t="str">
        <f>IFERROR(__xludf.DUMMYFUNCTION("""COMPUTED_VALUE"""),"Active")</f>
        <v>Active</v>
      </c>
    </row>
    <row r="85">
      <c r="A85" s="131">
        <f>IFERROR(__xludf.DUMMYFUNCTION("""COMPUTED_VALUE"""),46166.330879629626)</f>
        <v>46166.33088</v>
      </c>
      <c r="B85" s="122" t="str">
        <f>IFERROR(__xludf.DUMMYFUNCTION("""COMPUTED_VALUE"""),"SNAX")</f>
        <v>SNAX</v>
      </c>
      <c r="C85" s="122" t="str">
        <f>IFERROR(__xludf.DUMMYFUNCTION("""COMPUTED_VALUE"""),"MICA Snacks surges as demand rises across the Consumer Goods sector.")</f>
        <v>MICA Snacks surges as demand rises across the Consumer Goods sector.</v>
      </c>
      <c r="D85" s="122" t="str">
        <f>IFERROR(__xludf.DUMMYFUNCTION("""COMPUTED_VALUE"""),"MICA Snacks is seeing strong demand, which may increase investor confidence.")</f>
        <v>MICA Snacks is seeing strong demand, which may increase investor confidence.</v>
      </c>
      <c r="E85" s="122" t="str">
        <f>IFERROR(__xludf.DUMMYFUNCTION("""COMPUTED_VALUE"""),"Positive")</f>
        <v>Positive</v>
      </c>
      <c r="F85" s="122">
        <f>IFERROR(__xludf.DUMMYFUNCTION("""COMPUTED_VALUE"""),0.03)</f>
        <v>0.03</v>
      </c>
      <c r="G85" s="122">
        <f>IFERROR(__xludf.DUMMYFUNCTION("""COMPUTED_VALUE"""),1.0)</f>
        <v>1</v>
      </c>
      <c r="H85" s="122" t="str">
        <f>IFERROR(__xludf.DUMMYFUNCTION("""COMPUTED_VALUE"""),"Active")</f>
        <v>Active</v>
      </c>
    </row>
    <row r="86">
      <c r="A86" s="131">
        <f>IFERROR(__xludf.DUMMYFUNCTION("""COMPUTED_VALUE"""),46166.3308912037)</f>
        <v>46166.33089</v>
      </c>
      <c r="B86" s="122" t="str">
        <f>IFERROR(__xludf.DUMMYFUNCTION("""COMPUTED_VALUE"""),"RAMN")</f>
        <v>RAMN</v>
      </c>
      <c r="C86" s="122" t="str">
        <f>IFERROR(__xludf.DUMMYFUNCTION("""COMPUTED_VALUE"""),"Ramen Republic faces weaker demand and cautious investor sentiment.")</f>
        <v>Ramen Republic faces weaker demand and cautious investor sentiment.</v>
      </c>
      <c r="D86" s="122" t="str">
        <f>IFERROR(__xludf.DUMMYFUNCTION("""COMPUTED_VALUE"""),"Investors are watching Ramen Republic closely as demand weakens.")</f>
        <v>Investors are watching Ramen Republic closely as demand weakens.</v>
      </c>
      <c r="E86" s="122" t="str">
        <f>IFERROR(__xludf.DUMMYFUNCTION("""COMPUTED_VALUE"""),"Negative")</f>
        <v>Negative</v>
      </c>
      <c r="F86" s="122">
        <f>IFERROR(__xludf.DUMMYFUNCTION("""COMPUTED_VALUE"""),-0.015)</f>
        <v>-0.015</v>
      </c>
      <c r="G86" s="122">
        <f>IFERROR(__xludf.DUMMYFUNCTION("""COMPUTED_VALUE"""),0.75)</f>
        <v>0.75</v>
      </c>
      <c r="H86" s="122" t="str">
        <f>IFERROR(__xludf.DUMMYFUNCTION("""COMPUTED_VALUE"""),"Active")</f>
        <v>Active</v>
      </c>
    </row>
    <row r="87">
      <c r="A87" s="131">
        <f>IFERROR(__xludf.DUMMYFUNCTION("""COMPUTED_VALUE"""),46166.3308912037)</f>
        <v>46166.33089</v>
      </c>
      <c r="B87" s="122" t="str">
        <f>IFERROR(__xludf.DUMMYFUNCTION("""COMPUTED_VALUE"""),"COLA")</f>
        <v>COLA</v>
      </c>
      <c r="C87" s="122" t="str">
        <f>IFERROR(__xludf.DUMMYFUNCTION("""COMPUTED_VALUE"""),"K-Pop Cola faces weaker demand and cautious investor sentiment.")</f>
        <v>K-Pop Cola faces weaker demand and cautious investor sentiment.</v>
      </c>
      <c r="D87" s="122" t="str">
        <f>IFERROR(__xludf.DUMMYFUNCTION("""COMPUTED_VALUE"""),"Investors are watching K-Pop Cola closely as demand weakens.")</f>
        <v>Investors are watching K-Pop Cola closely as demand weakens.</v>
      </c>
      <c r="E87" s="122" t="str">
        <f>IFERROR(__xludf.DUMMYFUNCTION("""COMPUTED_VALUE"""),"Negative")</f>
        <v>Negative</v>
      </c>
      <c r="F87" s="122">
        <f>IFERROR(__xludf.DUMMYFUNCTION("""COMPUTED_VALUE"""),-0.015)</f>
        <v>-0.015</v>
      </c>
      <c r="G87" s="122">
        <f>IFERROR(__xludf.DUMMYFUNCTION("""COMPUTED_VALUE"""),0.75)</f>
        <v>0.75</v>
      </c>
      <c r="H87" s="122" t="str">
        <f>IFERROR(__xludf.DUMMYFUNCTION("""COMPUTED_VALUE"""),"Active")</f>
        <v>Active</v>
      </c>
    </row>
    <row r="88">
      <c r="A88" s="131">
        <f>IFERROR(__xludf.DUMMYFUNCTION("""COMPUTED_VALUE"""),46166.3308912037)</f>
        <v>46166.33089</v>
      </c>
      <c r="B88" s="122" t="str">
        <f>IFERROR(__xludf.DUMMYFUNCTION("""COMPUTED_VALUE"""),"CHIP")</f>
        <v>CHIP</v>
      </c>
      <c r="C88" s="122" t="str">
        <f>IFERROR(__xludf.DUMMYFUNCTION("""COMPUTED_VALUE"""),"Chip Empire faces weaker demand and cautious investor sentiment.")</f>
        <v>Chip Empire faces weaker demand and cautious investor sentiment.</v>
      </c>
      <c r="D88" s="122" t="str">
        <f>IFERROR(__xludf.DUMMYFUNCTION("""COMPUTED_VALUE"""),"Investors are watching Chip Empire closely as demand weakens.")</f>
        <v>Investors are watching Chip Empire closely as demand weakens.</v>
      </c>
      <c r="E88" s="122" t="str">
        <f>IFERROR(__xludf.DUMMYFUNCTION("""COMPUTED_VALUE"""),"Negative")</f>
        <v>Negative</v>
      </c>
      <c r="F88" s="122">
        <f>IFERROR(__xludf.DUMMYFUNCTION("""COMPUTED_VALUE"""),-0.015)</f>
        <v>-0.015</v>
      </c>
      <c r="G88" s="122">
        <f>IFERROR(__xludf.DUMMYFUNCTION("""COMPUTED_VALUE"""),0.75)</f>
        <v>0.75</v>
      </c>
      <c r="H88" s="122" t="str">
        <f>IFERROR(__xludf.DUMMYFUNCTION("""COMPUTED_VALUE"""),"Active")</f>
        <v>Active</v>
      </c>
    </row>
    <row r="89">
      <c r="A89" s="131">
        <f>IFERROR(__xludf.DUMMYFUNCTION("""COMPUTED_VALUE"""),46166.33090277778)</f>
        <v>46166.3309</v>
      </c>
      <c r="B89" s="122" t="str">
        <f>IFERROR(__xludf.DUMMYFUNCTION("""COMPUTED_VALUE"""),"CAND")</f>
        <v>CAND</v>
      </c>
      <c r="C89" s="122" t="str">
        <f>IFERROR(__xludf.DUMMYFUNCTION("""COMPUTED_VALUE"""),"Candy Capital faces weaker demand and cautious investor sentiment.")</f>
        <v>Candy Capital faces weaker demand and cautious investor sentiment.</v>
      </c>
      <c r="D89" s="122" t="str">
        <f>IFERROR(__xludf.DUMMYFUNCTION("""COMPUTED_VALUE"""),"Investors are watching Candy Capital closely as demand weakens.")</f>
        <v>Investors are watching Candy Capital closely as demand weakens.</v>
      </c>
      <c r="E89" s="122" t="str">
        <f>IFERROR(__xludf.DUMMYFUNCTION("""COMPUTED_VALUE"""),"Negative")</f>
        <v>Negative</v>
      </c>
      <c r="F89" s="122">
        <f>IFERROR(__xludf.DUMMYFUNCTION("""COMPUTED_VALUE"""),-0.015)</f>
        <v>-0.015</v>
      </c>
      <c r="G89" s="122">
        <f>IFERROR(__xludf.DUMMYFUNCTION("""COMPUTED_VALUE"""),0.75)</f>
        <v>0.75</v>
      </c>
      <c r="H89" s="122" t="str">
        <f>IFERROR(__xludf.DUMMYFUNCTION("""COMPUTED_VALUE"""),"Active")</f>
        <v>Active</v>
      </c>
    </row>
    <row r="90">
      <c r="A90" s="131">
        <f>IFERROR(__xludf.DUMMYFUNCTION("""COMPUTED_VALUE"""),46166.33090277778)</f>
        <v>46166.3309</v>
      </c>
      <c r="B90" s="122" t="str">
        <f>IFERROR(__xludf.DUMMYFUNCTION("""COMPUTED_VALUE"""),"TECH")</f>
        <v>TECH</v>
      </c>
      <c r="C90" s="122" t="str">
        <f>IFERROR(__xludf.DUMMYFUNCTION("""COMPUTED_VALUE"""),"Dragon Tech remains stable as the Technology market shows normal activity.")</f>
        <v>Dragon Tech remains stable as the Technology market shows normal activity.</v>
      </c>
      <c r="D90" s="122" t="str">
        <f>IFERROR(__xludf.DUMMYFUNCTION("""COMPUTED_VALUE"""),"Dragon Tech appears steady with no major changes reported.")</f>
        <v>Dragon Tech appears steady with no major changes reported.</v>
      </c>
      <c r="E90" s="122" t="str">
        <f>IFERROR(__xludf.DUMMYFUNCTION("""COMPUTED_VALUE"""),"Neutral")</f>
        <v>Neutral</v>
      </c>
      <c r="F90" s="122">
        <f>IFERROR(__xludf.DUMMYFUNCTION("""COMPUTED_VALUE"""),0.0)</f>
        <v>0</v>
      </c>
      <c r="G90" s="122">
        <f>IFERROR(__xludf.DUMMYFUNCTION("""COMPUTED_VALUE"""),0.0)</f>
        <v>0</v>
      </c>
      <c r="H90" s="122" t="str">
        <f>IFERROR(__xludf.DUMMYFUNCTION("""COMPUTED_VALUE"""),"Active")</f>
        <v>Active</v>
      </c>
    </row>
    <row r="91">
      <c r="A91" s="131">
        <f>IFERROR(__xludf.DUMMYFUNCTION("""COMPUTED_VALUE"""),46166.33091435185)</f>
        <v>46166.33091</v>
      </c>
      <c r="B91" s="122" t="str">
        <f>IFERROR(__xludf.DUMMYFUNCTION("""COMPUTED_VALUE"""),"AIBO")</f>
        <v>AIBO</v>
      </c>
      <c r="C91" s="122" t="str">
        <f>IFERROR(__xludf.DUMMYFUNCTION("""COMPUTED_VALUE"""),"Homework AI reports steady growth and improved market confidence.")</f>
        <v>Homework AI reports steady growth and improved market confidence.</v>
      </c>
      <c r="D91" s="122" t="str">
        <f>IFERROR(__xludf.DUMMYFUNCTION("""COMPUTED_VALUE"""),"Homework AI continues to show positive momentum with moderate risk.")</f>
        <v>Homework AI continues to show positive momentum with moderate risk.</v>
      </c>
      <c r="E91" s="122" t="str">
        <f>IFERROR(__xludf.DUMMYFUNCTION("""COMPUTED_VALUE"""),"Positive")</f>
        <v>Positive</v>
      </c>
      <c r="F91" s="122">
        <f>IFERROR(__xludf.DUMMYFUNCTION("""COMPUTED_VALUE"""),0.015)</f>
        <v>0.015</v>
      </c>
      <c r="G91" s="122">
        <f>IFERROR(__xludf.DUMMYFUNCTION("""COMPUTED_VALUE"""),0.5)</f>
        <v>0.5</v>
      </c>
      <c r="H91" s="122" t="str">
        <f>IFERROR(__xludf.DUMMYFUNCTION("""COMPUTED_VALUE"""),"Active")</f>
        <v>Active</v>
      </c>
    </row>
    <row r="92">
      <c r="A92" s="131">
        <f>IFERROR(__xludf.DUMMYFUNCTION("""COMPUTED_VALUE"""),46166.33091435185)</f>
        <v>46166.33091</v>
      </c>
      <c r="B92" s="122" t="str">
        <f>IFERROR(__xludf.DUMMYFUNCTION("""COMPUTED_VALUE"""),"GAME")</f>
        <v>GAME</v>
      </c>
      <c r="C92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92" s="122" t="str">
        <f>IFERROR(__xludf.DUMMYFUNCTION("""COMPUTED_VALUE"""),"GameBox Media appears steady with no major changes reported.")</f>
        <v>GameBox Media appears steady with no major changes reported.</v>
      </c>
      <c r="E92" s="122" t="str">
        <f>IFERROR(__xludf.DUMMYFUNCTION("""COMPUTED_VALUE"""),"Neutral")</f>
        <v>Neutral</v>
      </c>
      <c r="F92" s="122">
        <f>IFERROR(__xludf.DUMMYFUNCTION("""COMPUTED_VALUE"""),0.0)</f>
        <v>0</v>
      </c>
      <c r="G92" s="122">
        <f>IFERROR(__xludf.DUMMYFUNCTION("""COMPUTED_VALUE"""),0.0)</f>
        <v>0</v>
      </c>
      <c r="H92" s="122" t="str">
        <f>IFERROR(__xludf.DUMMYFUNCTION("""COMPUTED_VALUE"""),"Active")</f>
        <v>Active</v>
      </c>
    </row>
    <row r="93">
      <c r="A93" s="131">
        <f>IFERROR(__xludf.DUMMYFUNCTION("""COMPUTED_VALUE"""),46166.33091435185)</f>
        <v>46166.33091</v>
      </c>
      <c r="B93" s="122" t="str">
        <f>IFERROR(__xludf.DUMMYFUNCTION("""COMPUTED_VALUE"""),"VRSE")</f>
        <v>VRSE</v>
      </c>
      <c r="C93" s="122" t="str">
        <f>IFERROR(__xludf.DUMMYFUNCTION("""COMPUTED_VALUE"""),"VerseVR faces weaker demand and cautious investor sentiment.")</f>
        <v>VerseVR faces weaker demand and cautious investor sentiment.</v>
      </c>
      <c r="D93" s="122" t="str">
        <f>IFERROR(__xludf.DUMMYFUNCTION("""COMPUTED_VALUE"""),"Investors are watching VerseVR closely as demand weakens.")</f>
        <v>Investors are watching VerseVR closely as demand weakens.</v>
      </c>
      <c r="E93" s="122" t="str">
        <f>IFERROR(__xludf.DUMMYFUNCTION("""COMPUTED_VALUE"""),"Negative")</f>
        <v>Negative</v>
      </c>
      <c r="F93" s="122">
        <f>IFERROR(__xludf.DUMMYFUNCTION("""COMPUTED_VALUE"""),-0.015)</f>
        <v>-0.015</v>
      </c>
      <c r="G93" s="122">
        <f>IFERROR(__xludf.DUMMYFUNCTION("""COMPUTED_VALUE"""),0.75)</f>
        <v>0.75</v>
      </c>
      <c r="H93" s="122" t="str">
        <f>IFERROR(__xludf.DUMMYFUNCTION("""COMPUTED_VALUE"""),"Active")</f>
        <v>Active</v>
      </c>
    </row>
    <row r="94">
      <c r="A94" s="131">
        <f>IFERROR(__xludf.DUMMYFUNCTION("""COMPUTED_VALUE"""),46166.330925925926)</f>
        <v>46166.33093</v>
      </c>
      <c r="B94" s="122" t="str">
        <f>IFERROR(__xludf.DUMMYFUNCTION("""COMPUTED_VALUE"""),"BYTE")</f>
        <v>BYTE</v>
      </c>
      <c r="C94" s="122" t="str">
        <f>IFERROR(__xludf.DUMMYFUNCTION("""COMPUTED_VALUE"""),"ByteWorks remains stable as the Technology market shows normal activity.")</f>
        <v>ByteWorks remains stable as the Technology market shows normal activity.</v>
      </c>
      <c r="D94" s="122" t="str">
        <f>IFERROR(__xludf.DUMMYFUNCTION("""COMPUTED_VALUE"""),"ByteWorks appears steady with no major changes reported.")</f>
        <v>ByteWorks appears steady with no major changes reported.</v>
      </c>
      <c r="E94" s="122" t="str">
        <f>IFERROR(__xludf.DUMMYFUNCTION("""COMPUTED_VALUE"""),"Neutral")</f>
        <v>Neutral</v>
      </c>
      <c r="F94" s="122">
        <f>IFERROR(__xludf.DUMMYFUNCTION("""COMPUTED_VALUE"""),0.0)</f>
        <v>0</v>
      </c>
      <c r="G94" s="122">
        <f>IFERROR(__xludf.DUMMYFUNCTION("""COMPUTED_VALUE"""),0.0)</f>
        <v>0</v>
      </c>
      <c r="H94" s="122" t="str">
        <f>IFERROR(__xludf.DUMMYFUNCTION("""COMPUTED_VALUE"""),"Active")</f>
        <v>Active</v>
      </c>
    </row>
    <row r="95">
      <c r="A95" s="131">
        <f>IFERROR(__xludf.DUMMYFUNCTION("""COMPUTED_VALUE"""),46166.330925925926)</f>
        <v>46166.33093</v>
      </c>
      <c r="B95" s="122" t="str">
        <f>IFERROR(__xludf.DUMMYFUNCTION("""COMPUTED_VALUE"""),"BANK")</f>
        <v>BANK</v>
      </c>
      <c r="C95" s="122" t="str">
        <f>IFERROR(__xludf.DUMMYFUNCTION("""COMPUTED_VALUE"""),"Tiger Bank reports steady growth and improved market confidence.")</f>
        <v>Tiger Bank reports steady growth and improved market confidence.</v>
      </c>
      <c r="D95" s="122" t="str">
        <f>IFERROR(__xludf.DUMMYFUNCTION("""COMPUTED_VALUE"""),"Tiger Bank continues to show positive momentum with moderate risk.")</f>
        <v>Tiger Bank continues to show positive momentum with moderate risk.</v>
      </c>
      <c r="E95" s="122" t="str">
        <f>IFERROR(__xludf.DUMMYFUNCTION("""COMPUTED_VALUE"""),"Positive")</f>
        <v>Positive</v>
      </c>
      <c r="F95" s="122">
        <f>IFERROR(__xludf.DUMMYFUNCTION("""COMPUTED_VALUE"""),0.015)</f>
        <v>0.015</v>
      </c>
      <c r="G95" s="122">
        <f>IFERROR(__xludf.DUMMYFUNCTION("""COMPUTED_VALUE"""),0.5)</f>
        <v>0.5</v>
      </c>
      <c r="H95" s="122" t="str">
        <f>IFERROR(__xludf.DUMMYFUNCTION("""COMPUTED_VALUE"""),"Active")</f>
        <v>Active</v>
      </c>
    </row>
    <row r="96">
      <c r="A96" s="131">
        <f>IFERROR(__xludf.DUMMYFUNCTION("""COMPUTED_VALUE"""),46166.3309375)</f>
        <v>46166.33094</v>
      </c>
      <c r="B96" s="122" t="str">
        <f>IFERROR(__xludf.DUMMYFUNCTION("""COMPUTED_VALUE"""),"CRED")</f>
        <v>CRED</v>
      </c>
      <c r="C96" s="122" t="str">
        <f>IFERROR(__xludf.DUMMYFUNCTION("""COMPUTED_VALUE"""),"Credit Castle remains stable as the Finance market shows normal activity.")</f>
        <v>Credit Castle remains stable as the Finance market shows normal activity.</v>
      </c>
      <c r="D96" s="122" t="str">
        <f>IFERROR(__xludf.DUMMYFUNCTION("""COMPUTED_VALUE"""),"Credit Castle appears steady with no major changes reported.")</f>
        <v>Credit Castle appears steady with no major changes reported.</v>
      </c>
      <c r="E96" s="122" t="str">
        <f>IFERROR(__xludf.DUMMYFUNCTION("""COMPUTED_VALUE"""),"Neutral")</f>
        <v>Neutral</v>
      </c>
      <c r="F96" s="122">
        <f>IFERROR(__xludf.DUMMYFUNCTION("""COMPUTED_VALUE"""),0.0)</f>
        <v>0</v>
      </c>
      <c r="G96" s="122">
        <f>IFERROR(__xludf.DUMMYFUNCTION("""COMPUTED_VALUE"""),0.0)</f>
        <v>0</v>
      </c>
      <c r="H96" s="122" t="str">
        <f>IFERROR(__xludf.DUMMYFUNCTION("""COMPUTED_VALUE"""),"Active")</f>
        <v>Active</v>
      </c>
    </row>
    <row r="97">
      <c r="A97" s="131">
        <f>IFERROR(__xludf.DUMMYFUNCTION("""COMPUTED_VALUE"""),46166.3309375)</f>
        <v>46166.33094</v>
      </c>
      <c r="B97" s="122" t="str">
        <f>IFERROR(__xludf.DUMMYFUNCTION("""COMPUTED_VALUE"""),"BOND")</f>
        <v>BOND</v>
      </c>
      <c r="C97" s="122" t="str">
        <f>IFERROR(__xludf.DUMMYFUNCTION("""COMPUTED_VALUE"""),"BondBridge remains stable as the Finance market shows normal activity.")</f>
        <v>BondBridge remains stable as the Finance market shows normal activity.</v>
      </c>
      <c r="D97" s="122" t="str">
        <f>IFERROR(__xludf.DUMMYFUNCTION("""COMPUTED_VALUE"""),"BondBridge appears steady with no major changes reported.")</f>
        <v>BondBridge appears steady with no major changes reported.</v>
      </c>
      <c r="E97" s="122" t="str">
        <f>IFERROR(__xludf.DUMMYFUNCTION("""COMPUTED_VALUE"""),"Neutral")</f>
        <v>Neutral</v>
      </c>
      <c r="F97" s="122">
        <f>IFERROR(__xludf.DUMMYFUNCTION("""COMPUTED_VALUE"""),0.0)</f>
        <v>0</v>
      </c>
      <c r="G97" s="122">
        <f>IFERROR(__xludf.DUMMYFUNCTION("""COMPUTED_VALUE"""),0.0)</f>
        <v>0</v>
      </c>
      <c r="H97" s="122" t="str">
        <f>IFERROR(__xludf.DUMMYFUNCTION("""COMPUTED_VALUE"""),"Active")</f>
        <v>Active</v>
      </c>
    </row>
    <row r="98">
      <c r="A98" s="131">
        <f>IFERROR(__xludf.DUMMYFUNCTION("""COMPUTED_VALUE"""),46166.3309375)</f>
        <v>46166.33094</v>
      </c>
      <c r="B98" s="122" t="str">
        <f>IFERROR(__xludf.DUMMYFUNCTION("""COMPUTED_VALUE"""),"INSR")</f>
        <v>INSR</v>
      </c>
      <c r="C98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98" s="122" t="str">
        <f>IFERROR(__xludf.DUMMYFUNCTION("""COMPUTED_VALUE"""),"Shield Insurance appears steady with no major changes reported.")</f>
        <v>Shield Insurance appears steady with no major changes reported.</v>
      </c>
      <c r="E98" s="122" t="str">
        <f>IFERROR(__xludf.DUMMYFUNCTION("""COMPUTED_VALUE"""),"Neutral")</f>
        <v>Neutral</v>
      </c>
      <c r="F98" s="122">
        <f>IFERROR(__xludf.DUMMYFUNCTION("""COMPUTED_VALUE"""),0.0)</f>
        <v>0</v>
      </c>
      <c r="G98" s="122">
        <f>IFERROR(__xludf.DUMMYFUNCTION("""COMPUTED_VALUE"""),0.0)</f>
        <v>0</v>
      </c>
      <c r="H98" s="122" t="str">
        <f>IFERROR(__xludf.DUMMYFUNCTION("""COMPUTED_VALUE"""),"Active")</f>
        <v>Active</v>
      </c>
    </row>
    <row r="99">
      <c r="A99" s="131">
        <f>IFERROR(__xludf.DUMMYFUNCTION("""COMPUTED_VALUE"""),46166.33094907407)</f>
        <v>46166.33095</v>
      </c>
      <c r="B99" s="122" t="str">
        <f>IFERROR(__xludf.DUMMYFUNCTION("""COMPUTED_VALUE"""),"LOAN")</f>
        <v>LOAN</v>
      </c>
      <c r="C99" s="122" t="str">
        <f>IFERROR(__xludf.DUMMYFUNCTION("""COMPUTED_VALUE"""),"LoanLab faces weaker demand and cautious investor sentiment.")</f>
        <v>LoanLab faces weaker demand and cautious investor sentiment.</v>
      </c>
      <c r="D99" s="122" t="str">
        <f>IFERROR(__xludf.DUMMYFUNCTION("""COMPUTED_VALUE"""),"Investors are watching LoanLab closely as demand weakens.")</f>
        <v>Investors are watching LoanLab closely as demand weakens.</v>
      </c>
      <c r="E99" s="122" t="str">
        <f>IFERROR(__xludf.DUMMYFUNCTION("""COMPUTED_VALUE"""),"Negative")</f>
        <v>Negative</v>
      </c>
      <c r="F99" s="122">
        <f>IFERROR(__xludf.DUMMYFUNCTION("""COMPUTED_VALUE"""),-0.015)</f>
        <v>-0.015</v>
      </c>
      <c r="G99" s="122">
        <f>IFERROR(__xludf.DUMMYFUNCTION("""COMPUTED_VALUE"""),0.75)</f>
        <v>0.75</v>
      </c>
      <c r="H99" s="122" t="str">
        <f>IFERROR(__xludf.DUMMYFUNCTION("""COMPUTED_VALUE"""),"Active")</f>
        <v>Active</v>
      </c>
    </row>
    <row r="100">
      <c r="A100" s="131">
        <f>IFERROR(__xludf.DUMMYFUNCTION("""COMPUTED_VALUE"""),46166.33094907407)</f>
        <v>46166.33095</v>
      </c>
      <c r="B100" s="122" t="str">
        <f>IFERROR(__xludf.DUMMYFUNCTION("""COMPUTED_VALUE"""),"LUXE")</f>
        <v>LUXE</v>
      </c>
      <c r="C100" s="122" t="str">
        <f>IFERROR(__xludf.DUMMYFUNCTION("""COMPUTED_VALUE"""),"Luxury Locker reports steady growth and improved market confidence.")</f>
        <v>Luxury Locker reports steady growth and improved market confidence.</v>
      </c>
      <c r="D100" s="122" t="str">
        <f>IFERROR(__xludf.DUMMYFUNCTION("""COMPUTED_VALUE"""),"Luxury Locker continues to show positive momentum with moderate risk.")</f>
        <v>Luxury Locker continues to show positive momentum with moderate risk.</v>
      </c>
      <c r="E100" s="122" t="str">
        <f>IFERROR(__xludf.DUMMYFUNCTION("""COMPUTED_VALUE"""),"Positive")</f>
        <v>Positive</v>
      </c>
      <c r="F100" s="122">
        <f>IFERROR(__xludf.DUMMYFUNCTION("""COMPUTED_VALUE"""),0.015)</f>
        <v>0.015</v>
      </c>
      <c r="G100" s="122">
        <f>IFERROR(__xludf.DUMMYFUNCTION("""COMPUTED_VALUE"""),0.5)</f>
        <v>0.5</v>
      </c>
      <c r="H100" s="122" t="str">
        <f>IFERROR(__xludf.DUMMYFUNCTION("""COMPUTED_VALUE"""),"Active")</f>
        <v>Active</v>
      </c>
    </row>
    <row r="101">
      <c r="A101" s="131">
        <f>IFERROR(__xludf.DUMMYFUNCTION("""COMPUTED_VALUE"""),46166.33094907407)</f>
        <v>46166.33095</v>
      </c>
      <c r="B101" s="122" t="str">
        <f>IFERROR(__xludf.DUMMYFUNCTION("""COMPUTED_VALUE"""),"DRIP")</f>
        <v>DRIP</v>
      </c>
      <c r="C101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01" s="122" t="str">
        <f>IFERROR(__xludf.DUMMYFUNCTION("""COMPUTED_VALUE"""),"Drip Streetwear appears steady with no major changes reported.")</f>
        <v>Drip Streetwear appears steady with no major changes reported.</v>
      </c>
      <c r="E101" s="122" t="str">
        <f>IFERROR(__xludf.DUMMYFUNCTION("""COMPUTED_VALUE"""),"Neutral")</f>
        <v>Neutral</v>
      </c>
      <c r="F101" s="122">
        <f>IFERROR(__xludf.DUMMYFUNCTION("""COMPUTED_VALUE"""),0.0)</f>
        <v>0</v>
      </c>
      <c r="G101" s="122">
        <f>IFERROR(__xludf.DUMMYFUNCTION("""COMPUTED_VALUE"""),0.0)</f>
        <v>0</v>
      </c>
      <c r="H101" s="122" t="str">
        <f>IFERROR(__xludf.DUMMYFUNCTION("""COMPUTED_VALUE"""),"Active")</f>
        <v>Active</v>
      </c>
    </row>
    <row r="102">
      <c r="A102" s="131">
        <f>IFERROR(__xludf.DUMMYFUNCTION("""COMPUTED_VALUE"""),46166.33096064815)</f>
        <v>46166.33096</v>
      </c>
      <c r="B102" s="122" t="str">
        <f>IFERROR(__xludf.DUMMYFUNCTION("""COMPUTED_VALUE"""),"KICK")</f>
        <v>KICK</v>
      </c>
      <c r="C102" s="122" t="str">
        <f>IFERROR(__xludf.DUMMYFUNCTION("""COMPUTED_VALUE"""),"KickDrop Sneakers surges as demand rises across the Fashion sector.")</f>
        <v>KickDrop Sneakers surges as demand rises across the Fashion sector.</v>
      </c>
      <c r="D102" s="122" t="str">
        <f>IFERROR(__xludf.DUMMYFUNCTION("""COMPUTED_VALUE"""),"KickDrop Sneakers is seeing strong demand, which may increase investor confidence.")</f>
        <v>KickDrop Sneakers is seeing strong demand, which may increase investor confidence.</v>
      </c>
      <c r="E102" s="122" t="str">
        <f>IFERROR(__xludf.DUMMYFUNCTION("""COMPUTED_VALUE"""),"Positive")</f>
        <v>Positive</v>
      </c>
      <c r="F102" s="122">
        <f>IFERROR(__xludf.DUMMYFUNCTION("""COMPUTED_VALUE"""),0.03)</f>
        <v>0.03</v>
      </c>
      <c r="G102" s="122">
        <f>IFERROR(__xludf.DUMMYFUNCTION("""COMPUTED_VALUE"""),1.0)</f>
        <v>1</v>
      </c>
      <c r="H102" s="122" t="str">
        <f>IFERROR(__xludf.DUMMYFUNCTION("""COMPUTED_VALUE"""),"Active")</f>
        <v>Active</v>
      </c>
    </row>
    <row r="103">
      <c r="A103" s="131">
        <f>IFERROR(__xludf.DUMMYFUNCTION("""COMPUTED_VALUE"""),46166.33096064815)</f>
        <v>46166.33096</v>
      </c>
      <c r="B103" s="122" t="str">
        <f>IFERROR(__xludf.DUMMYFUNCTION("""COMPUTED_VALUE"""),"GLAM")</f>
        <v>GLAM</v>
      </c>
      <c r="C103" s="122" t="str">
        <f>IFERROR(__xludf.DUMMYFUNCTION("""COMPUTED_VALUE"""),"Glow Cosmetics remains stable as the Fashion market shows normal activity.")</f>
        <v>Glow Cosmetics remains stable as the Fashion market shows normal activity.</v>
      </c>
      <c r="D103" s="122" t="str">
        <f>IFERROR(__xludf.DUMMYFUNCTION("""COMPUTED_VALUE"""),"Glow Cosmetics appears steady with no major changes reported.")</f>
        <v>Glow Cosmetics appears steady with no major changes reported.</v>
      </c>
      <c r="E103" s="122" t="str">
        <f>IFERROR(__xludf.DUMMYFUNCTION("""COMPUTED_VALUE"""),"Neutral")</f>
        <v>Neutral</v>
      </c>
      <c r="F103" s="122">
        <f>IFERROR(__xludf.DUMMYFUNCTION("""COMPUTED_VALUE"""),0.0)</f>
        <v>0</v>
      </c>
      <c r="G103" s="122">
        <f>IFERROR(__xludf.DUMMYFUNCTION("""COMPUTED_VALUE"""),0.0)</f>
        <v>0</v>
      </c>
      <c r="H103" s="122" t="str">
        <f>IFERROR(__xludf.DUMMYFUNCTION("""COMPUTED_VALUE"""),"Active")</f>
        <v>Active</v>
      </c>
    </row>
    <row r="104">
      <c r="A104" s="131">
        <f>IFERROR(__xludf.DUMMYFUNCTION("""COMPUTED_VALUE"""),46166.33096064815)</f>
        <v>46166.33096</v>
      </c>
      <c r="B104" s="122" t="str">
        <f>IFERROR(__xludf.DUMMYFUNCTION("""COMPUTED_VALUE"""),"BAGG")</f>
        <v>BAGG</v>
      </c>
      <c r="C104" s="122" t="str">
        <f>IFERROR(__xludf.DUMMYFUNCTION("""COMPUTED_VALUE"""),"BagVault surges as demand rises across the Fashion sector.")</f>
        <v>BagVault surges as demand rises across the Fashion sector.</v>
      </c>
      <c r="D104" s="122" t="str">
        <f>IFERROR(__xludf.DUMMYFUNCTION("""COMPUTED_VALUE"""),"BagVault is seeing strong demand, which may increase investor confidence.")</f>
        <v>BagVault is seeing strong demand, which may increase investor confidence.</v>
      </c>
      <c r="E104" s="122" t="str">
        <f>IFERROR(__xludf.DUMMYFUNCTION("""COMPUTED_VALUE"""),"Positive")</f>
        <v>Positive</v>
      </c>
      <c r="F104" s="122">
        <f>IFERROR(__xludf.DUMMYFUNCTION("""COMPUTED_VALUE"""),0.03)</f>
        <v>0.03</v>
      </c>
      <c r="G104" s="122">
        <f>IFERROR(__xludf.DUMMYFUNCTION("""COMPUTED_VALUE"""),1.0)</f>
        <v>1</v>
      </c>
      <c r="H104" s="122" t="str">
        <f>IFERROR(__xludf.DUMMYFUNCTION("""COMPUTED_VALUE"""),"Active")</f>
        <v>Active</v>
      </c>
    </row>
    <row r="105">
      <c r="A105" s="131">
        <f>IFERROR(__xludf.DUMMYFUNCTION("""COMPUTED_VALUE"""),46166.330972222226)</f>
        <v>46166.33097</v>
      </c>
      <c r="B105" s="122" t="str">
        <f>IFERROR(__xludf.DUMMYFUNCTION("""COMPUTED_VALUE"""),"FAST")</f>
        <v>FAST</v>
      </c>
      <c r="C105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105" s="122" t="str">
        <f>IFERROR(__xludf.DUMMYFUNCTION("""COMPUTED_VALUE"""),"Flash Logistics appears steady with no major changes reported.")</f>
        <v>Flash Logistics appears steady with no major changes reported.</v>
      </c>
      <c r="E105" s="122" t="str">
        <f>IFERROR(__xludf.DUMMYFUNCTION("""COMPUTED_VALUE"""),"Neutral")</f>
        <v>Neutral</v>
      </c>
      <c r="F105" s="122">
        <f>IFERROR(__xludf.DUMMYFUNCTION("""COMPUTED_VALUE"""),0.0)</f>
        <v>0</v>
      </c>
      <c r="G105" s="122">
        <f>IFERROR(__xludf.DUMMYFUNCTION("""COMPUTED_VALUE"""),0.0)</f>
        <v>0</v>
      </c>
      <c r="H105" s="122" t="str">
        <f>IFERROR(__xludf.DUMMYFUNCTION("""COMPUTED_VALUE"""),"Active")</f>
        <v>Active</v>
      </c>
    </row>
    <row r="106">
      <c r="A106" s="131">
        <f>IFERROR(__xludf.DUMMYFUNCTION("""COMPUTED_VALUE"""),46166.330972222226)</f>
        <v>46166.33097</v>
      </c>
      <c r="B106" s="122" t="str">
        <f>IFERROR(__xludf.DUMMYFUNCTION("""COMPUTED_VALUE"""),"SHIP")</f>
        <v>SHIP</v>
      </c>
      <c r="C106" s="122" t="str">
        <f>IFERROR(__xludf.DUMMYFUNCTION("""COMPUTED_VALUE"""),"Seoul Shipping reports steady growth and improved market confidence.")</f>
        <v>Seoul Shipping reports steady growth and improved market confidence.</v>
      </c>
      <c r="D106" s="122" t="str">
        <f>IFERROR(__xludf.DUMMYFUNCTION("""COMPUTED_VALUE"""),"Seoul Shipping continues to show positive momentum with moderate risk.")</f>
        <v>Seoul Shipping continues to show positive momentum with moderate risk.</v>
      </c>
      <c r="E106" s="122" t="str">
        <f>IFERROR(__xludf.DUMMYFUNCTION("""COMPUTED_VALUE"""),"Positive")</f>
        <v>Positive</v>
      </c>
      <c r="F106" s="122">
        <f>IFERROR(__xludf.DUMMYFUNCTION("""COMPUTED_VALUE"""),0.015)</f>
        <v>0.015</v>
      </c>
      <c r="G106" s="122">
        <f>IFERROR(__xludf.DUMMYFUNCTION("""COMPUTED_VALUE"""),0.5)</f>
        <v>0.5</v>
      </c>
      <c r="H106" s="122" t="str">
        <f>IFERROR(__xludf.DUMMYFUNCTION("""COMPUTED_VALUE"""),"Active")</f>
        <v>Active</v>
      </c>
    </row>
    <row r="107">
      <c r="A107" s="131">
        <f>IFERROR(__xludf.DUMMYFUNCTION("""COMPUTED_VALUE"""),46166.330972222226)</f>
        <v>46166.33097</v>
      </c>
      <c r="B107" s="122" t="str">
        <f>IFERROR(__xludf.DUMMYFUNCTION("""COMPUTED_VALUE"""),"DRON")</f>
        <v>DRON</v>
      </c>
      <c r="C107" s="122" t="str">
        <f>IFERROR(__xludf.DUMMYFUNCTION("""COMPUTED_VALUE"""),"DroneDrop surges as demand rises across the Logistics sector.")</f>
        <v>DroneDrop surges as demand rises across the Logistics sector.</v>
      </c>
      <c r="D107" s="122" t="str">
        <f>IFERROR(__xludf.DUMMYFUNCTION("""COMPUTED_VALUE"""),"DroneDrop is seeing strong demand, which may increase investor confidence.")</f>
        <v>DroneDrop is seeing strong demand, which may increase investor confidence.</v>
      </c>
      <c r="E107" s="122" t="str">
        <f>IFERROR(__xludf.DUMMYFUNCTION("""COMPUTED_VALUE"""),"Positive")</f>
        <v>Positive</v>
      </c>
      <c r="F107" s="122">
        <f>IFERROR(__xludf.DUMMYFUNCTION("""COMPUTED_VALUE"""),0.03)</f>
        <v>0.03</v>
      </c>
      <c r="G107" s="122">
        <f>IFERROR(__xludf.DUMMYFUNCTION("""COMPUTED_VALUE"""),1.0)</f>
        <v>1</v>
      </c>
      <c r="H107" s="122" t="str">
        <f>IFERROR(__xludf.DUMMYFUNCTION("""COMPUTED_VALUE"""),"Active")</f>
        <v>Active</v>
      </c>
    </row>
    <row r="108">
      <c r="A108" s="131">
        <f>IFERROR(__xludf.DUMMYFUNCTION("""COMPUTED_VALUE"""),46166.330983796295)</f>
        <v>46166.33098</v>
      </c>
      <c r="B108" s="122" t="str">
        <f>IFERROR(__xludf.DUMMYFUNCTION("""COMPUTED_VALUE"""),"RIDE")</f>
        <v>RIDE</v>
      </c>
      <c r="C108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108" s="122" t="str">
        <f>IFERROR(__xludf.DUMMYFUNCTION("""COMPUTED_VALUE"""),"QuickRide appears steady with no major changes reported.")</f>
        <v>QuickRide appears steady with no major changes reported.</v>
      </c>
      <c r="E108" s="122" t="str">
        <f>IFERROR(__xludf.DUMMYFUNCTION("""COMPUTED_VALUE"""),"Neutral")</f>
        <v>Neutral</v>
      </c>
      <c r="F108" s="122">
        <f>IFERROR(__xludf.DUMMYFUNCTION("""COMPUTED_VALUE"""),0.0)</f>
        <v>0</v>
      </c>
      <c r="G108" s="122">
        <f>IFERROR(__xludf.DUMMYFUNCTION("""COMPUTED_VALUE"""),0.0)</f>
        <v>0</v>
      </c>
      <c r="H108" s="122" t="str">
        <f>IFERROR(__xludf.DUMMYFUNCTION("""COMPUTED_VALUE"""),"Active")</f>
        <v>Active</v>
      </c>
    </row>
    <row r="109">
      <c r="A109" s="131">
        <f>IFERROR(__xludf.DUMMYFUNCTION("""COMPUTED_VALUE"""),46166.330983796295)</f>
        <v>46166.33098</v>
      </c>
      <c r="B109" s="122" t="str">
        <f>IFERROR(__xludf.DUMMYFUNCTION("""COMPUTED_VALUE"""),"RAIL")</f>
        <v>RAIL</v>
      </c>
      <c r="C109" s="122" t="str">
        <f>IFERROR(__xludf.DUMMYFUNCTION("""COMPUTED_VALUE"""),"MetroRail Corp surges as demand rises across the Transportation sector.")</f>
        <v>MetroRail Corp surges as demand rises across the Transportation sector.</v>
      </c>
      <c r="D109" s="122" t="str">
        <f>IFERROR(__xludf.DUMMYFUNCTION("""COMPUTED_VALUE"""),"MetroRail Corp is seeing strong demand, which may increase investor confidence.")</f>
        <v>MetroRail Corp is seeing strong demand, which may increase investor confidence.</v>
      </c>
      <c r="E109" s="122" t="str">
        <f>IFERROR(__xludf.DUMMYFUNCTION("""COMPUTED_VALUE"""),"Positive")</f>
        <v>Positive</v>
      </c>
      <c r="F109" s="122">
        <f>IFERROR(__xludf.DUMMYFUNCTION("""COMPUTED_VALUE"""),0.03)</f>
        <v>0.03</v>
      </c>
      <c r="G109" s="122">
        <f>IFERROR(__xludf.DUMMYFUNCTION("""COMPUTED_VALUE"""),1.0)</f>
        <v>1</v>
      </c>
      <c r="H109" s="122" t="str">
        <f>IFERROR(__xludf.DUMMYFUNCTION("""COMPUTED_VALUE"""),"Active")</f>
        <v>Active</v>
      </c>
    </row>
    <row r="110">
      <c r="A110" s="131">
        <f>IFERROR(__xludf.DUMMYFUNCTION("""COMPUTED_VALUE"""),46166.33099537037)</f>
        <v>46166.331</v>
      </c>
      <c r="B110" s="122" t="str">
        <f>IFERROR(__xludf.DUMMYFUNCTION("""COMPUTED_VALUE"""),"MEDX")</f>
        <v>MEDX</v>
      </c>
      <c r="C110" s="122" t="str">
        <f>IFERROR(__xludf.DUMMYFUNCTION("""COMPUTED_VALUE"""),"MediCore surges as demand rises across the Healthcare sector.")</f>
        <v>MediCore surges as demand rises across the Healthcare sector.</v>
      </c>
      <c r="D110" s="122" t="str">
        <f>IFERROR(__xludf.DUMMYFUNCTION("""COMPUTED_VALUE"""),"MediCore is seeing strong demand, which may increase investor confidence.")</f>
        <v>MediCore is seeing strong demand, which may increase investor confidence.</v>
      </c>
      <c r="E110" s="122" t="str">
        <f>IFERROR(__xludf.DUMMYFUNCTION("""COMPUTED_VALUE"""),"Positive")</f>
        <v>Positive</v>
      </c>
      <c r="F110" s="122">
        <f>IFERROR(__xludf.DUMMYFUNCTION("""COMPUTED_VALUE"""),0.03)</f>
        <v>0.03</v>
      </c>
      <c r="G110" s="122">
        <f>IFERROR(__xludf.DUMMYFUNCTION("""COMPUTED_VALUE"""),1.0)</f>
        <v>1</v>
      </c>
      <c r="H110" s="122" t="str">
        <f>IFERROR(__xludf.DUMMYFUNCTION("""COMPUTED_VALUE"""),"Active")</f>
        <v>Active</v>
      </c>
    </row>
    <row r="111">
      <c r="A111" s="131">
        <f>IFERROR(__xludf.DUMMYFUNCTION("""COMPUTED_VALUE"""),46166.33099537037)</f>
        <v>46166.331</v>
      </c>
      <c r="B111" s="122" t="str">
        <f>IFERROR(__xludf.DUMMYFUNCTION("""COMPUTED_VALUE"""),"GYMX")</f>
        <v>GYMX</v>
      </c>
      <c r="C111" s="122" t="str">
        <f>IFERROR(__xludf.DUMMYFUNCTION("""COMPUTED_VALUE"""),"GymX Fitness faces weaker demand and cautious investor sentiment.")</f>
        <v>GymX Fitness faces weaker demand and cautious investor sentiment.</v>
      </c>
      <c r="D111" s="122" t="str">
        <f>IFERROR(__xludf.DUMMYFUNCTION("""COMPUTED_VALUE"""),"Investors are watching GymX Fitness closely as demand weakens.")</f>
        <v>Investors are watching GymX Fitness closely as demand weakens.</v>
      </c>
      <c r="E111" s="122" t="str">
        <f>IFERROR(__xludf.DUMMYFUNCTION("""COMPUTED_VALUE"""),"Negative")</f>
        <v>Negative</v>
      </c>
      <c r="F111" s="122">
        <f>IFERROR(__xludf.DUMMYFUNCTION("""COMPUTED_VALUE"""),-0.015)</f>
        <v>-0.015</v>
      </c>
      <c r="G111" s="122">
        <f>IFERROR(__xludf.DUMMYFUNCTION("""COMPUTED_VALUE"""),0.75)</f>
        <v>0.75</v>
      </c>
      <c r="H111" s="122" t="str">
        <f>IFERROR(__xludf.DUMMYFUNCTION("""COMPUTED_VALUE"""),"Active")</f>
        <v>Active</v>
      </c>
    </row>
    <row r="112">
      <c r="A112" s="131">
        <f>IFERROR(__xludf.DUMMYFUNCTION("""COMPUTED_VALUE"""),46166.33100694444)</f>
        <v>46166.33101</v>
      </c>
      <c r="B112" s="122" t="str">
        <f>IFERROR(__xludf.DUMMYFUNCTION("""COMPUTED_VALUE"""),"VITA")</f>
        <v>VITA</v>
      </c>
      <c r="C112" s="122" t="str">
        <f>IFERROR(__xludf.DUMMYFUNCTION("""COMPUTED_VALUE"""),"VitaPlus remains stable as the Healthcare market shows normal activity.")</f>
        <v>VitaPlus remains stable as the Healthcare market shows normal activity.</v>
      </c>
      <c r="D112" s="122" t="str">
        <f>IFERROR(__xludf.DUMMYFUNCTION("""COMPUTED_VALUE"""),"VitaPlus appears steady with no major changes reported.")</f>
        <v>VitaPlus appears steady with no major changes reported.</v>
      </c>
      <c r="E112" s="122" t="str">
        <f>IFERROR(__xludf.DUMMYFUNCTION("""COMPUTED_VALUE"""),"Neutral")</f>
        <v>Neutral</v>
      </c>
      <c r="F112" s="122">
        <f>IFERROR(__xludf.DUMMYFUNCTION("""COMPUTED_VALUE"""),0.0)</f>
        <v>0</v>
      </c>
      <c r="G112" s="122">
        <f>IFERROR(__xludf.DUMMYFUNCTION("""COMPUTED_VALUE"""),0.0)</f>
        <v>0</v>
      </c>
      <c r="H112" s="122" t="str">
        <f>IFERROR(__xludf.DUMMYFUNCTION("""COMPUTED_VALUE"""),"Active")</f>
        <v>Active</v>
      </c>
    </row>
    <row r="113">
      <c r="A113" s="131">
        <f>IFERROR(__xludf.DUMMYFUNCTION("""COMPUTED_VALUE"""),46166.33100694444)</f>
        <v>46166.33101</v>
      </c>
      <c r="B113" s="122" t="str">
        <f>IFERROR(__xludf.DUMMYFUNCTION("""COMPUTED_VALUE"""),"CARE")</f>
        <v>CARE</v>
      </c>
      <c r="C113" s="122" t="str">
        <f>IFERROR(__xludf.DUMMYFUNCTION("""COMPUTED_VALUE"""),"CareCloud reports steady growth and improved market confidence.")</f>
        <v>CareCloud reports steady growth and improved market confidence.</v>
      </c>
      <c r="D113" s="122" t="str">
        <f>IFERROR(__xludf.DUMMYFUNCTION("""COMPUTED_VALUE"""),"CareCloud continues to show positive momentum with moderate risk.")</f>
        <v>CareCloud continues to show positive momentum with moderate risk.</v>
      </c>
      <c r="E113" s="122" t="str">
        <f>IFERROR(__xludf.DUMMYFUNCTION("""COMPUTED_VALUE"""),"Positive")</f>
        <v>Positive</v>
      </c>
      <c r="F113" s="122">
        <f>IFERROR(__xludf.DUMMYFUNCTION("""COMPUTED_VALUE"""),0.015)</f>
        <v>0.015</v>
      </c>
      <c r="G113" s="122">
        <f>IFERROR(__xludf.DUMMYFUNCTION("""COMPUTED_VALUE"""),0.5)</f>
        <v>0.5</v>
      </c>
      <c r="H113" s="122" t="str">
        <f>IFERROR(__xludf.DUMMYFUNCTION("""COMPUTED_VALUE"""),"Active")</f>
        <v>Active</v>
      </c>
    </row>
    <row r="114">
      <c r="A114" s="131">
        <f>IFERROR(__xludf.DUMMYFUNCTION("""COMPUTED_VALUE"""),46166.33100694444)</f>
        <v>46166.33101</v>
      </c>
      <c r="B114" s="122" t="str">
        <f>IFERROR(__xludf.DUMMYFUNCTION("""COMPUTED_VALUE"""),"DENT")</f>
        <v>DENT</v>
      </c>
      <c r="C114" s="122" t="str">
        <f>IFERROR(__xludf.DUMMYFUNCTION("""COMPUTED_VALUE"""),"SmileWorks reports steady growth and improved market confidence.")</f>
        <v>SmileWorks reports steady growth and improved market confidence.</v>
      </c>
      <c r="D114" s="122" t="str">
        <f>IFERROR(__xludf.DUMMYFUNCTION("""COMPUTED_VALUE"""),"SmileWorks continues to show positive momentum with moderate risk.")</f>
        <v>SmileWorks continues to show positive momentum with moderate risk.</v>
      </c>
      <c r="E114" s="122" t="str">
        <f>IFERROR(__xludf.DUMMYFUNCTION("""COMPUTED_VALUE"""),"Positive")</f>
        <v>Positive</v>
      </c>
      <c r="F114" s="122">
        <f>IFERROR(__xludf.DUMMYFUNCTION("""COMPUTED_VALUE"""),0.015)</f>
        <v>0.015</v>
      </c>
      <c r="G114" s="122">
        <f>IFERROR(__xludf.DUMMYFUNCTION("""COMPUTED_VALUE"""),0.5)</f>
        <v>0.5</v>
      </c>
      <c r="H114" s="122" t="str">
        <f>IFERROR(__xludf.DUMMYFUNCTION("""COMPUTED_VALUE"""),"Active")</f>
        <v>Active</v>
      </c>
    </row>
    <row r="115">
      <c r="A115" s="131">
        <f>IFERROR(__xludf.DUMMYFUNCTION("""COMPUTED_VALUE"""),46166.33101851852)</f>
        <v>46166.33102</v>
      </c>
      <c r="B115" s="122" t="str">
        <f>IFERROR(__xludf.DUMMYFUNCTION("""COMPUTED_VALUE"""),"EDUX")</f>
        <v>EDUX</v>
      </c>
      <c r="C115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15" s="122" t="str">
        <f>IFERROR(__xludf.DUMMYFUNCTION("""COMPUTED_VALUE"""),"EduMax Learning appears steady with no major changes reported.")</f>
        <v>EduMax Learning appears steady with no major changes reported.</v>
      </c>
      <c r="E115" s="122" t="str">
        <f>IFERROR(__xludf.DUMMYFUNCTION("""COMPUTED_VALUE"""),"Neutral")</f>
        <v>Neutral</v>
      </c>
      <c r="F115" s="122">
        <f>IFERROR(__xludf.DUMMYFUNCTION("""COMPUTED_VALUE"""),0.0)</f>
        <v>0</v>
      </c>
      <c r="G115" s="122">
        <f>IFERROR(__xludf.DUMMYFUNCTION("""COMPUTED_VALUE"""),0.0)</f>
        <v>0</v>
      </c>
      <c r="H115" s="122" t="str">
        <f>IFERROR(__xludf.DUMMYFUNCTION("""COMPUTED_VALUE"""),"Active")</f>
        <v>Active</v>
      </c>
    </row>
    <row r="116">
      <c r="A116" s="131">
        <f>IFERROR(__xludf.DUMMYFUNCTION("""COMPUTED_VALUE"""),46166.33101851852)</f>
        <v>46166.33102</v>
      </c>
      <c r="B116" s="122" t="str">
        <f>IFERROR(__xludf.DUMMYFUNCTION("""COMPUTED_VALUE"""),"BOOK")</f>
        <v>BOOK</v>
      </c>
      <c r="C116" s="122" t="str">
        <f>IFERROR(__xludf.DUMMYFUNCTION("""COMPUTED_VALUE"""),"BookBridge remains stable as the Education market shows normal activity.")</f>
        <v>BookBridge remains stable as the Education market shows normal activity.</v>
      </c>
      <c r="D116" s="122" t="str">
        <f>IFERROR(__xludf.DUMMYFUNCTION("""COMPUTED_VALUE"""),"BookBridge appears steady with no major changes reported.")</f>
        <v>BookBridge appears steady with no major changes reported.</v>
      </c>
      <c r="E116" s="122" t="str">
        <f>IFERROR(__xludf.DUMMYFUNCTION("""COMPUTED_VALUE"""),"Neutral")</f>
        <v>Neutral</v>
      </c>
      <c r="F116" s="122">
        <f>IFERROR(__xludf.DUMMYFUNCTION("""COMPUTED_VALUE"""),0.0)</f>
        <v>0</v>
      </c>
      <c r="G116" s="122">
        <f>IFERROR(__xludf.DUMMYFUNCTION("""COMPUTED_VALUE"""),0.0)</f>
        <v>0</v>
      </c>
      <c r="H116" s="122" t="str">
        <f>IFERROR(__xludf.DUMMYFUNCTION("""COMPUTED_VALUE"""),"Active")</f>
        <v>Active</v>
      </c>
    </row>
    <row r="117">
      <c r="A117" s="131">
        <f>IFERROR(__xludf.DUMMYFUNCTION("""COMPUTED_VALUE"""),46166.33101851852)</f>
        <v>46166.33102</v>
      </c>
      <c r="B117" s="122" t="str">
        <f>IFERROR(__xludf.DUMMYFUNCTION("""COMPUTED_VALUE"""),"TUTR")</f>
        <v>TUTR</v>
      </c>
      <c r="C117" s="122" t="str">
        <f>IFERROR(__xludf.DUMMYFUNCTION("""COMPUTED_VALUE"""),"TutorTown faces weaker demand and cautious investor sentiment.")</f>
        <v>TutorTown faces weaker demand and cautious investor sentiment.</v>
      </c>
      <c r="D117" s="122" t="str">
        <f>IFERROR(__xludf.DUMMYFUNCTION("""COMPUTED_VALUE"""),"Investors are watching TutorTown closely as demand weakens.")</f>
        <v>Investors are watching TutorTown closely as demand weakens.</v>
      </c>
      <c r="E117" s="122" t="str">
        <f>IFERROR(__xludf.DUMMYFUNCTION("""COMPUTED_VALUE"""),"Negative")</f>
        <v>Negative</v>
      </c>
      <c r="F117" s="122">
        <f>IFERROR(__xludf.DUMMYFUNCTION("""COMPUTED_VALUE"""),-0.015)</f>
        <v>-0.015</v>
      </c>
      <c r="G117" s="122">
        <f>IFERROR(__xludf.DUMMYFUNCTION("""COMPUTED_VALUE"""),0.75)</f>
        <v>0.75</v>
      </c>
      <c r="H117" s="122" t="str">
        <f>IFERROR(__xludf.DUMMYFUNCTION("""COMPUTED_VALUE"""),"Active")</f>
        <v>Active</v>
      </c>
    </row>
    <row r="118">
      <c r="A118" s="131">
        <f>IFERROR(__xludf.DUMMYFUNCTION("""COMPUTED_VALUE"""),46166.331030092595)</f>
        <v>46166.33103</v>
      </c>
      <c r="B118" s="122" t="str">
        <f>IFERROR(__xludf.DUMMYFUNCTION("""COMPUTED_VALUE"""),"LANG")</f>
        <v>LANG</v>
      </c>
      <c r="C118" s="122" t="str">
        <f>IFERROR(__xludf.DUMMYFUNCTION("""COMPUTED_VALUE"""),"LinguaLab faces weaker demand and cautious investor sentiment.")</f>
        <v>LinguaLab faces weaker demand and cautious investor sentiment.</v>
      </c>
      <c r="D118" s="122" t="str">
        <f>IFERROR(__xludf.DUMMYFUNCTION("""COMPUTED_VALUE"""),"Investors are watching LinguaLab closely as demand weakens.")</f>
        <v>Investors are watching LinguaLab closely as demand weakens.</v>
      </c>
      <c r="E118" s="122" t="str">
        <f>IFERROR(__xludf.DUMMYFUNCTION("""COMPUTED_VALUE"""),"Negative")</f>
        <v>Negative</v>
      </c>
      <c r="F118" s="122">
        <f>IFERROR(__xludf.DUMMYFUNCTION("""COMPUTED_VALUE"""),-0.015)</f>
        <v>-0.015</v>
      </c>
      <c r="G118" s="122">
        <f>IFERROR(__xludf.DUMMYFUNCTION("""COMPUTED_VALUE"""),0.75)</f>
        <v>0.75</v>
      </c>
      <c r="H118" s="122" t="str">
        <f>IFERROR(__xludf.DUMMYFUNCTION("""COMPUTED_VALUE"""),"Active")</f>
        <v>Active</v>
      </c>
    </row>
    <row r="119">
      <c r="A119" s="131">
        <f>IFERROR(__xludf.DUMMYFUNCTION("""COMPUTED_VALUE"""),46166.331030092595)</f>
        <v>46166.33103</v>
      </c>
      <c r="B119" s="122" t="str">
        <f>IFERROR(__xludf.DUMMYFUNCTION("""COMPUTED_VALUE"""),"TEST")</f>
        <v>TEST</v>
      </c>
      <c r="C119" s="122" t="str">
        <f>IFERROR(__xludf.DUMMYFUNCTION("""COMPUTED_VALUE"""),"TestPrep Pro surges as demand rises across the Education sector.")</f>
        <v>TestPrep Pro surges as demand rises across the Education sector.</v>
      </c>
      <c r="D119" s="122" t="str">
        <f>IFERROR(__xludf.DUMMYFUNCTION("""COMPUTED_VALUE"""),"TestPrep Pro is seeing strong demand, which may increase investor confidence.")</f>
        <v>TestPrep Pro is seeing strong demand, which may increase investor confidence.</v>
      </c>
      <c r="E119" s="122" t="str">
        <f>IFERROR(__xludf.DUMMYFUNCTION("""COMPUTED_VALUE"""),"Positive")</f>
        <v>Positive</v>
      </c>
      <c r="F119" s="122">
        <f>IFERROR(__xludf.DUMMYFUNCTION("""COMPUTED_VALUE"""),0.03)</f>
        <v>0.03</v>
      </c>
      <c r="G119" s="122">
        <f>IFERROR(__xludf.DUMMYFUNCTION("""COMPUTED_VALUE"""),1.0)</f>
        <v>1</v>
      </c>
      <c r="H119" s="122" t="str">
        <f>IFERROR(__xludf.DUMMYFUNCTION("""COMPUTED_VALUE"""),"Active")</f>
        <v>Active</v>
      </c>
    </row>
    <row r="120">
      <c r="A120" s="131">
        <f>IFERROR(__xludf.DUMMYFUNCTION("""COMPUTED_VALUE"""),46166.331041666665)</f>
        <v>46166.33104</v>
      </c>
      <c r="B120" s="122" t="str">
        <f>IFERROR(__xludf.DUMMYFUNCTION("""COMPUTED_VALUE"""),"MOVI")</f>
        <v>MOVI</v>
      </c>
      <c r="C120" s="122" t="str">
        <f>IFERROR(__xludf.DUMMYFUNCTION("""COMPUTED_VALUE"""),"MovieBox remains stable as the Entertainment market shows normal activity.")</f>
        <v>MovieBox remains stable as the Entertainment market shows normal activity.</v>
      </c>
      <c r="D120" s="122" t="str">
        <f>IFERROR(__xludf.DUMMYFUNCTION("""COMPUTED_VALUE"""),"MovieBox appears steady with no major changes reported.")</f>
        <v>MovieBox appears steady with no major changes reported.</v>
      </c>
      <c r="E120" s="122" t="str">
        <f>IFERROR(__xludf.DUMMYFUNCTION("""COMPUTED_VALUE"""),"Neutral")</f>
        <v>Neutral</v>
      </c>
      <c r="F120" s="122">
        <f>IFERROR(__xludf.DUMMYFUNCTION("""COMPUTED_VALUE"""),0.0)</f>
        <v>0</v>
      </c>
      <c r="G120" s="122">
        <f>IFERROR(__xludf.DUMMYFUNCTION("""COMPUTED_VALUE"""),0.0)</f>
        <v>0</v>
      </c>
      <c r="H120" s="122" t="str">
        <f>IFERROR(__xludf.DUMMYFUNCTION("""COMPUTED_VALUE"""),"Active")</f>
        <v>Active</v>
      </c>
    </row>
    <row r="121">
      <c r="A121" s="131">
        <f>IFERROR(__xludf.DUMMYFUNCTION("""COMPUTED_VALUE"""),46166.331041666665)</f>
        <v>46166.33104</v>
      </c>
      <c r="B121" s="122" t="str">
        <f>IFERROR(__xludf.DUMMYFUNCTION("""COMPUTED_VALUE"""),"MUSC")</f>
        <v>MUSC</v>
      </c>
      <c r="C121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121" s="122" t="str">
        <f>IFERROR(__xludf.DUMMYFUNCTION("""COMPUTED_VALUE"""),"MusicWave appears steady with no major changes reported.")</f>
        <v>MusicWave appears steady with no major changes reported.</v>
      </c>
      <c r="E121" s="122" t="str">
        <f>IFERROR(__xludf.DUMMYFUNCTION("""COMPUTED_VALUE"""),"Neutral")</f>
        <v>Neutral</v>
      </c>
      <c r="F121" s="122">
        <f>IFERROR(__xludf.DUMMYFUNCTION("""COMPUTED_VALUE"""),0.0)</f>
        <v>0</v>
      </c>
      <c r="G121" s="122">
        <f>IFERROR(__xludf.DUMMYFUNCTION("""COMPUTED_VALUE"""),0.0)</f>
        <v>0</v>
      </c>
      <c r="H121" s="122" t="str">
        <f>IFERROR(__xludf.DUMMYFUNCTION("""COMPUTED_VALUE"""),"Active")</f>
        <v>Active</v>
      </c>
    </row>
    <row r="122">
      <c r="A122" s="131">
        <f>IFERROR(__xludf.DUMMYFUNCTION("""COMPUTED_VALUE"""),46166.331041666665)</f>
        <v>46166.33104</v>
      </c>
      <c r="B122" s="122" t="str">
        <f>IFERROR(__xludf.DUMMYFUNCTION("""COMPUTED_VALUE"""),"IDOL")</f>
        <v>IDOL</v>
      </c>
      <c r="C122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122" s="122" t="str">
        <f>IFERROR(__xludf.DUMMYFUNCTION("""COMPUTED_VALUE"""),"Idol Agency appears steady with no major changes reported.")</f>
        <v>Idol Agency appears steady with no major changes reported.</v>
      </c>
      <c r="E122" s="122" t="str">
        <f>IFERROR(__xludf.DUMMYFUNCTION("""COMPUTED_VALUE"""),"Neutral")</f>
        <v>Neutral</v>
      </c>
      <c r="F122" s="122">
        <f>IFERROR(__xludf.DUMMYFUNCTION("""COMPUTED_VALUE"""),0.0)</f>
        <v>0</v>
      </c>
      <c r="G122" s="122">
        <f>IFERROR(__xludf.DUMMYFUNCTION("""COMPUTED_VALUE"""),0.0)</f>
        <v>0</v>
      </c>
      <c r="H122" s="122" t="str">
        <f>IFERROR(__xludf.DUMMYFUNCTION("""COMPUTED_VALUE"""),"Active")</f>
        <v>Active</v>
      </c>
    </row>
    <row r="123">
      <c r="A123" s="131">
        <f>IFERROR(__xludf.DUMMYFUNCTION("""COMPUTED_VALUE"""),46166.33105324074)</f>
        <v>46166.33105</v>
      </c>
      <c r="B123" s="122" t="str">
        <f>IFERROR(__xludf.DUMMYFUNCTION("""COMPUTED_VALUE"""),"MEME")</f>
        <v>MEME</v>
      </c>
      <c r="C123" s="122" t="str">
        <f>IFERROR(__xludf.DUMMYFUNCTION("""COMPUTED_VALUE"""),"Meme Media surges as demand rises across the Entertainment sector.")</f>
        <v>Meme Media surges as demand rises across the Entertainment sector.</v>
      </c>
      <c r="D123" s="122" t="str">
        <f>IFERROR(__xludf.DUMMYFUNCTION("""COMPUTED_VALUE"""),"Meme Media is seeing strong demand, which may increase investor confidence.")</f>
        <v>Meme Media is seeing strong demand, which may increase investor confidence.</v>
      </c>
      <c r="E123" s="122" t="str">
        <f>IFERROR(__xludf.DUMMYFUNCTION("""COMPUTED_VALUE"""),"Positive")</f>
        <v>Positive</v>
      </c>
      <c r="F123" s="122">
        <f>IFERROR(__xludf.DUMMYFUNCTION("""COMPUTED_VALUE"""),0.03)</f>
        <v>0.03</v>
      </c>
      <c r="G123" s="122">
        <f>IFERROR(__xludf.DUMMYFUNCTION("""COMPUTED_VALUE"""),1.0)</f>
        <v>1</v>
      </c>
      <c r="H123" s="122" t="str">
        <f>IFERROR(__xludf.DUMMYFUNCTION("""COMPUTED_VALUE"""),"Active")</f>
        <v>Active</v>
      </c>
    </row>
    <row r="124">
      <c r="A124" s="131">
        <f>IFERROR(__xludf.DUMMYFUNCTION("""COMPUTED_VALUE"""),46166.33105324074)</f>
        <v>46166.33105</v>
      </c>
      <c r="B124" s="122" t="str">
        <f>IFERROR(__xludf.DUMMYFUNCTION("""COMPUTED_VALUE"""),"STRM")</f>
        <v>STRM</v>
      </c>
      <c r="C124" s="122" t="str">
        <f>IFERROR(__xludf.DUMMYFUNCTION("""COMPUTED_VALUE"""),"Streamly remains stable as the Entertainment market shows normal activity.")</f>
        <v>Streamly remains stable as the Entertainment market shows normal activity.</v>
      </c>
      <c r="D124" s="122" t="str">
        <f>IFERROR(__xludf.DUMMYFUNCTION("""COMPUTED_VALUE"""),"Streamly appears steady with no major changes reported.")</f>
        <v>Streamly appears steady with no major changes reported.</v>
      </c>
      <c r="E124" s="122" t="str">
        <f>IFERROR(__xludf.DUMMYFUNCTION("""COMPUTED_VALUE"""),"Neutral")</f>
        <v>Neutral</v>
      </c>
      <c r="F124" s="122">
        <f>IFERROR(__xludf.DUMMYFUNCTION("""COMPUTED_VALUE"""),0.0)</f>
        <v>0</v>
      </c>
      <c r="G124" s="122">
        <f>IFERROR(__xludf.DUMMYFUNCTION("""COMPUTED_VALUE"""),0.0)</f>
        <v>0</v>
      </c>
      <c r="H124" s="122" t="str">
        <f>IFERROR(__xludf.DUMMYFUNCTION("""COMPUTED_VALUE"""),"Active")</f>
        <v>Active</v>
      </c>
    </row>
    <row r="125">
      <c r="A125" s="131">
        <f>IFERROR(__xludf.DUMMYFUNCTION("""COMPUTED_VALUE"""),46166.33105324074)</f>
        <v>46166.33105</v>
      </c>
      <c r="B125" s="122" t="str">
        <f>IFERROR(__xludf.DUMMYFUNCTION("""COMPUTED_VALUE"""),"FARM")</f>
        <v>FARM</v>
      </c>
      <c r="C125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25" s="122" t="str">
        <f>IFERROR(__xludf.DUMMYFUNCTION("""COMPUTED_VALUE"""),"Future Farms appears steady with no major changes reported.")</f>
        <v>Future Farms appears steady with no major changes reported.</v>
      </c>
      <c r="E125" s="122" t="str">
        <f>IFERROR(__xludf.DUMMYFUNCTION("""COMPUTED_VALUE"""),"Neutral")</f>
        <v>Neutral</v>
      </c>
      <c r="F125" s="122">
        <f>IFERROR(__xludf.DUMMYFUNCTION("""COMPUTED_VALUE"""),0.0)</f>
        <v>0</v>
      </c>
      <c r="G125" s="122">
        <f>IFERROR(__xludf.DUMMYFUNCTION("""COMPUTED_VALUE"""),0.0)</f>
        <v>0</v>
      </c>
      <c r="H125" s="122" t="str">
        <f>IFERROR(__xludf.DUMMYFUNCTION("""COMPUTED_VALUE"""),"Active")</f>
        <v>Active</v>
      </c>
    </row>
    <row r="126">
      <c r="A126" s="131">
        <f>IFERROR(__xludf.DUMMYFUNCTION("""COMPUTED_VALUE"""),46166.33106481482)</f>
        <v>46166.33106</v>
      </c>
      <c r="B126" s="122" t="str">
        <f>IFERROR(__xludf.DUMMYFUNCTION("""COMPUTED_VALUE"""),"MEAT")</f>
        <v>MEAT</v>
      </c>
      <c r="C126" s="122" t="str">
        <f>IFERROR(__xludf.DUMMYFUNCTION("""COMPUTED_VALUE"""),"MeatWorks faces weaker demand and cautious investor sentiment.")</f>
        <v>MeatWorks faces weaker demand and cautious investor sentiment.</v>
      </c>
      <c r="D126" s="122" t="str">
        <f>IFERROR(__xludf.DUMMYFUNCTION("""COMPUTED_VALUE"""),"Investors are watching MeatWorks closely as demand weakens.")</f>
        <v>Investors are watching MeatWorks closely as demand weakens.</v>
      </c>
      <c r="E126" s="122" t="str">
        <f>IFERROR(__xludf.DUMMYFUNCTION("""COMPUTED_VALUE"""),"Negative")</f>
        <v>Negative</v>
      </c>
      <c r="F126" s="122">
        <f>IFERROR(__xludf.DUMMYFUNCTION("""COMPUTED_VALUE"""),-0.015)</f>
        <v>-0.015</v>
      </c>
      <c r="G126" s="122">
        <f>IFERROR(__xludf.DUMMYFUNCTION("""COMPUTED_VALUE"""),0.75)</f>
        <v>0.75</v>
      </c>
      <c r="H126" s="122" t="str">
        <f>IFERROR(__xludf.DUMMYFUNCTION("""COMPUTED_VALUE"""),"Active")</f>
        <v>Active</v>
      </c>
    </row>
    <row r="127">
      <c r="A127" s="131">
        <f>IFERROR(__xludf.DUMMYFUNCTION("""COMPUTED_VALUE"""),46166.33106481482)</f>
        <v>46166.33106</v>
      </c>
      <c r="B127" s="122" t="str">
        <f>IFERROR(__xludf.DUMMYFUNCTION("""COMPUTED_VALUE"""),"VEGI")</f>
        <v>VEGI</v>
      </c>
      <c r="C127" s="122" t="str">
        <f>IFERROR(__xludf.DUMMYFUNCTION("""COMPUTED_VALUE"""),"Green Basket remains stable as the Food market shows normal activity.")</f>
        <v>Green Basket remains stable as the Food market shows normal activity.</v>
      </c>
      <c r="D127" s="122" t="str">
        <f>IFERROR(__xludf.DUMMYFUNCTION("""COMPUTED_VALUE"""),"Green Basket appears steady with no major changes reported.")</f>
        <v>Green Basket appears steady with no major changes reported.</v>
      </c>
      <c r="E127" s="122" t="str">
        <f>IFERROR(__xludf.DUMMYFUNCTION("""COMPUTED_VALUE"""),"Neutral")</f>
        <v>Neutral</v>
      </c>
      <c r="F127" s="122">
        <f>IFERROR(__xludf.DUMMYFUNCTION("""COMPUTED_VALUE"""),0.0)</f>
        <v>0</v>
      </c>
      <c r="G127" s="122">
        <f>IFERROR(__xludf.DUMMYFUNCTION("""COMPUTED_VALUE"""),0.0)</f>
        <v>0</v>
      </c>
      <c r="H127" s="122" t="str">
        <f>IFERROR(__xludf.DUMMYFUNCTION("""COMPUTED_VALUE"""),"Active")</f>
        <v>Active</v>
      </c>
    </row>
    <row r="128">
      <c r="A128" s="131">
        <f>IFERROR(__xludf.DUMMYFUNCTION("""COMPUTED_VALUE"""),46166.33106481482)</f>
        <v>46166.33106</v>
      </c>
      <c r="B128" s="122" t="str">
        <f>IFERROR(__xludf.DUMMYFUNCTION("""COMPUTED_VALUE"""),"CAFE")</f>
        <v>CAFE</v>
      </c>
      <c r="C128" s="122" t="str">
        <f>IFERROR(__xludf.DUMMYFUNCTION("""COMPUTED_VALUE"""),"Cafe Cloud faces weaker demand and cautious investor sentiment.")</f>
        <v>Cafe Cloud faces weaker demand and cautious investor sentiment.</v>
      </c>
      <c r="D128" s="122" t="str">
        <f>IFERROR(__xludf.DUMMYFUNCTION("""COMPUTED_VALUE"""),"Investors are watching Cafe Cloud closely as demand weakens.")</f>
        <v>Investors are watching Cafe Cloud closely as demand weakens.</v>
      </c>
      <c r="E128" s="122" t="str">
        <f>IFERROR(__xludf.DUMMYFUNCTION("""COMPUTED_VALUE"""),"Negative")</f>
        <v>Negative</v>
      </c>
      <c r="F128" s="122">
        <f>IFERROR(__xludf.DUMMYFUNCTION("""COMPUTED_VALUE"""),-0.015)</f>
        <v>-0.015</v>
      </c>
      <c r="G128" s="122">
        <f>IFERROR(__xludf.DUMMYFUNCTION("""COMPUTED_VALUE"""),0.75)</f>
        <v>0.75</v>
      </c>
      <c r="H128" s="122" t="str">
        <f>IFERROR(__xludf.DUMMYFUNCTION("""COMPUTED_VALUE"""),"Active")</f>
        <v>Active</v>
      </c>
    </row>
    <row r="129">
      <c r="A129" s="131">
        <f>IFERROR(__xludf.DUMMYFUNCTION("""COMPUTED_VALUE"""),46166.33106481482)</f>
        <v>46166.33106</v>
      </c>
      <c r="B129" s="122" t="str">
        <f>IFERROR(__xludf.DUMMYFUNCTION("""COMPUTED_VALUE"""),"BAKE")</f>
        <v>BAKE</v>
      </c>
      <c r="C129" s="122" t="str">
        <f>IFERROR(__xludf.DUMMYFUNCTION("""COMPUTED_VALUE"""),"BakeHouse reports steady growth and improved market confidence.")</f>
        <v>BakeHouse reports steady growth and improved market confidence.</v>
      </c>
      <c r="D129" s="122" t="str">
        <f>IFERROR(__xludf.DUMMYFUNCTION("""COMPUTED_VALUE"""),"BakeHouse continues to show positive momentum with moderate risk.")</f>
        <v>BakeHouse continues to show positive momentum with moderate risk.</v>
      </c>
      <c r="E129" s="122" t="str">
        <f>IFERROR(__xludf.DUMMYFUNCTION("""COMPUTED_VALUE"""),"Positive")</f>
        <v>Positive</v>
      </c>
      <c r="F129" s="122">
        <f>IFERROR(__xludf.DUMMYFUNCTION("""COMPUTED_VALUE"""),0.015)</f>
        <v>0.015</v>
      </c>
      <c r="G129" s="122">
        <f>IFERROR(__xludf.DUMMYFUNCTION("""COMPUTED_VALUE"""),0.5)</f>
        <v>0.5</v>
      </c>
      <c r="H129" s="122" t="str">
        <f>IFERROR(__xludf.DUMMYFUNCTION("""COMPUTED_VALUE"""),"Active")</f>
        <v>Active</v>
      </c>
    </row>
    <row r="130">
      <c r="A130" s="131">
        <f>IFERROR(__xludf.DUMMYFUNCTION("""COMPUTED_VALUE"""),46166.33107638889)</f>
        <v>46166.33108</v>
      </c>
      <c r="B130" s="122" t="str">
        <f>IFERROR(__xludf.DUMMYFUNCTION("""COMPUTED_VALUE"""),"OILX")</f>
        <v>OILX</v>
      </c>
      <c r="C130" s="122" t="str">
        <f>IFERROR(__xludf.DUMMYFUNCTION("""COMPUTED_VALUE"""),"OilMax Energy faces weaker demand and cautious investor sentiment.")</f>
        <v>OilMax Energy faces weaker demand and cautious investor sentiment.</v>
      </c>
      <c r="D130" s="122" t="str">
        <f>IFERROR(__xludf.DUMMYFUNCTION("""COMPUTED_VALUE"""),"Investors are watching OilMax Energy closely as demand weakens.")</f>
        <v>Investors are watching OilMax Energy closely as demand weakens.</v>
      </c>
      <c r="E130" s="122" t="str">
        <f>IFERROR(__xludf.DUMMYFUNCTION("""COMPUTED_VALUE"""),"Negative")</f>
        <v>Negative</v>
      </c>
      <c r="F130" s="122">
        <f>IFERROR(__xludf.DUMMYFUNCTION("""COMPUTED_VALUE"""),-0.015)</f>
        <v>-0.015</v>
      </c>
      <c r="G130" s="122">
        <f>IFERROR(__xludf.DUMMYFUNCTION("""COMPUTED_VALUE"""),0.75)</f>
        <v>0.75</v>
      </c>
      <c r="H130" s="122" t="str">
        <f>IFERROR(__xludf.DUMMYFUNCTION("""COMPUTED_VALUE"""),"Active")</f>
        <v>Active</v>
      </c>
    </row>
    <row r="131">
      <c r="A131" s="131">
        <f>IFERROR(__xludf.DUMMYFUNCTION("""COMPUTED_VALUE"""),46166.331087962964)</f>
        <v>46166.33109</v>
      </c>
      <c r="B131" s="122" t="str">
        <f>IFERROR(__xludf.DUMMYFUNCTION("""COMPUTED_VALUE"""),"SOLR")</f>
        <v>SOLR</v>
      </c>
      <c r="C131" s="122" t="str">
        <f>IFERROR(__xludf.DUMMYFUNCTION("""COMPUTED_VALUE"""),"SolarSpark remains stable as the Energy market shows normal activity.")</f>
        <v>SolarSpark remains stable as the Energy market shows normal activity.</v>
      </c>
      <c r="D131" s="122" t="str">
        <f>IFERROR(__xludf.DUMMYFUNCTION("""COMPUTED_VALUE"""),"SolarSpark appears steady with no major changes reported.")</f>
        <v>SolarSpark appears steady with no major changes reported.</v>
      </c>
      <c r="E131" s="122" t="str">
        <f>IFERROR(__xludf.DUMMYFUNCTION("""COMPUTED_VALUE"""),"Neutral")</f>
        <v>Neutral</v>
      </c>
      <c r="F131" s="122">
        <f>IFERROR(__xludf.DUMMYFUNCTION("""COMPUTED_VALUE"""),0.0)</f>
        <v>0</v>
      </c>
      <c r="G131" s="122">
        <f>IFERROR(__xludf.DUMMYFUNCTION("""COMPUTED_VALUE"""),0.0)</f>
        <v>0</v>
      </c>
      <c r="H131" s="122" t="str">
        <f>IFERROR(__xludf.DUMMYFUNCTION("""COMPUTED_VALUE"""),"Active")</f>
        <v>Active</v>
      </c>
    </row>
    <row r="132">
      <c r="A132" s="131">
        <f>IFERROR(__xludf.DUMMYFUNCTION("""COMPUTED_VALUE"""),46166.331087962964)</f>
        <v>46166.33109</v>
      </c>
      <c r="B132" s="122" t="str">
        <f>IFERROR(__xludf.DUMMYFUNCTION("""COMPUTED_VALUE"""),"BATT")</f>
        <v>BATT</v>
      </c>
      <c r="C132" s="122" t="str">
        <f>IFERROR(__xludf.DUMMYFUNCTION("""COMPUTED_VALUE"""),"BatteryBox sees uncertain trading as investors react to mixed signals.")</f>
        <v>BatteryBox sees uncertain trading as investors react to mixed signals.</v>
      </c>
      <c r="D132" s="122" t="str">
        <f>IFERROR(__xludf.DUMMYFUNCTION("""COMPUTED_VALUE"""),"BatteryBox may experience larger price swings as investors disagree on direction.")</f>
        <v>BatteryBox may experience larger price swings as investors disagree on direction.</v>
      </c>
      <c r="E132" s="122" t="str">
        <f>IFERROR(__xludf.DUMMYFUNCTION("""COMPUTED_VALUE"""),"Mixed")</f>
        <v>Mixed</v>
      </c>
      <c r="F132" s="122">
        <f>IFERROR(__xludf.DUMMYFUNCTION("""COMPUTED_VALUE"""),0.006724489334530518)</f>
        <v>0.006724489335</v>
      </c>
      <c r="G132" s="122">
        <f>IFERROR(__xludf.DUMMYFUNCTION("""COMPUTED_VALUE"""),1.5)</f>
        <v>1.5</v>
      </c>
      <c r="H132" s="122" t="str">
        <f>IFERROR(__xludf.DUMMYFUNCTION("""COMPUTED_VALUE"""),"Active")</f>
        <v>Active</v>
      </c>
    </row>
    <row r="133">
      <c r="A133" s="131">
        <f>IFERROR(__xludf.DUMMYFUNCTION("""COMPUTED_VALUE"""),46166.331087962964)</f>
        <v>46166.33109</v>
      </c>
      <c r="B133" s="122" t="str">
        <f>IFERROR(__xludf.DUMMYFUNCTION("""COMPUTED_VALUE"""),"WIND")</f>
        <v>WIND</v>
      </c>
      <c r="C133" s="122" t="str">
        <f>IFERROR(__xludf.DUMMYFUNCTION("""COMPUTED_VALUE"""),"WindWorks surges as demand rises across the Energy sector.")</f>
        <v>WindWorks surges as demand rises across the Energy sector.</v>
      </c>
      <c r="D133" s="122" t="str">
        <f>IFERROR(__xludf.DUMMYFUNCTION("""COMPUTED_VALUE"""),"WindWorks is seeing strong demand, which may increase investor confidence.")</f>
        <v>WindWorks is seeing strong demand, which may increase investor confidence.</v>
      </c>
      <c r="E133" s="122" t="str">
        <f>IFERROR(__xludf.DUMMYFUNCTION("""COMPUTED_VALUE"""),"Positive")</f>
        <v>Positive</v>
      </c>
      <c r="F133" s="122">
        <f>IFERROR(__xludf.DUMMYFUNCTION("""COMPUTED_VALUE"""),0.03)</f>
        <v>0.03</v>
      </c>
      <c r="G133" s="122">
        <f>IFERROR(__xludf.DUMMYFUNCTION("""COMPUTED_VALUE"""),1.0)</f>
        <v>1</v>
      </c>
      <c r="H133" s="122" t="str">
        <f>IFERROR(__xludf.DUMMYFUNCTION("""COMPUTED_VALUE"""),"Active")</f>
        <v>Active</v>
      </c>
    </row>
    <row r="134">
      <c r="A134" s="131">
        <f>IFERROR(__xludf.DUMMYFUNCTION("""COMPUTED_VALUE"""),46166.331099537034)</f>
        <v>46166.3311</v>
      </c>
      <c r="B134" s="122" t="str">
        <f>IFERROR(__xludf.DUMMYFUNCTION("""COMPUTED_VALUE"""),"GRID")</f>
        <v>GRID</v>
      </c>
      <c r="C134" s="122" t="str">
        <f>IFERROR(__xludf.DUMMYFUNCTION("""COMPUTED_VALUE"""),"GridPower reports steady growth and improved market confidence.")</f>
        <v>GridPower reports steady growth and improved market confidence.</v>
      </c>
      <c r="D134" s="122" t="str">
        <f>IFERROR(__xludf.DUMMYFUNCTION("""COMPUTED_VALUE"""),"GridPower continues to show positive momentum with moderate risk.")</f>
        <v>GridPower continues to show positive momentum with moderate risk.</v>
      </c>
      <c r="E134" s="122" t="str">
        <f>IFERROR(__xludf.DUMMYFUNCTION("""COMPUTED_VALUE"""),"Positive")</f>
        <v>Positive</v>
      </c>
      <c r="F134" s="122">
        <f>IFERROR(__xludf.DUMMYFUNCTION("""COMPUTED_VALUE"""),0.015)</f>
        <v>0.015</v>
      </c>
      <c r="G134" s="122">
        <f>IFERROR(__xludf.DUMMYFUNCTION("""COMPUTED_VALUE"""),0.5)</f>
        <v>0.5</v>
      </c>
      <c r="H134" s="122" t="str">
        <f>IFERROR(__xludf.DUMMYFUNCTION("""COMPUTED_VALUE"""),"Active")</f>
        <v>Active</v>
      </c>
    </row>
    <row r="135">
      <c r="A135" s="131">
        <f>IFERROR(__xludf.DUMMYFUNCTION("""COMPUTED_VALUE"""),46166.331099537034)</f>
        <v>46166.3311</v>
      </c>
      <c r="B135" s="122" t="str">
        <f>IFERROR(__xludf.DUMMYFUNCTION("""COMPUTED_VALUE"""),"HOME")</f>
        <v>HOME</v>
      </c>
      <c r="C135" s="122" t="str">
        <f>IFERROR(__xludf.DUMMYFUNCTION("""COMPUTED_VALUE"""),"HomeHub reports steady growth and improved market confidence.")</f>
        <v>HomeHub reports steady growth and improved market confidence.</v>
      </c>
      <c r="D135" s="122" t="str">
        <f>IFERROR(__xludf.DUMMYFUNCTION("""COMPUTED_VALUE"""),"HomeHub continues to show positive momentum with moderate risk.")</f>
        <v>HomeHub continues to show positive momentum with moderate risk.</v>
      </c>
      <c r="E135" s="122" t="str">
        <f>IFERROR(__xludf.DUMMYFUNCTION("""COMPUTED_VALUE"""),"Positive")</f>
        <v>Positive</v>
      </c>
      <c r="F135" s="122">
        <f>IFERROR(__xludf.DUMMYFUNCTION("""COMPUTED_VALUE"""),0.015)</f>
        <v>0.015</v>
      </c>
      <c r="G135" s="122">
        <f>IFERROR(__xludf.DUMMYFUNCTION("""COMPUTED_VALUE"""),0.5)</f>
        <v>0.5</v>
      </c>
      <c r="H135" s="122" t="str">
        <f>IFERROR(__xludf.DUMMYFUNCTION("""COMPUTED_VALUE"""),"Active")</f>
        <v>Active</v>
      </c>
    </row>
    <row r="136">
      <c r="A136" s="131">
        <f>IFERROR(__xludf.DUMMYFUNCTION("""COMPUTED_VALUE"""),46166.33111111111)</f>
        <v>46166.33111</v>
      </c>
      <c r="B136" s="122" t="str">
        <f>IFERROR(__xludf.DUMMYFUNCTION("""COMPUTED_VALUE"""),"RENT")</f>
        <v>RENT</v>
      </c>
      <c r="C136" s="122" t="str">
        <f>IFERROR(__xludf.DUMMYFUNCTION("""COMPUTED_VALUE"""),"RentRight reports steady growth and improved market confidence.")</f>
        <v>RentRight reports steady growth and improved market confidence.</v>
      </c>
      <c r="D136" s="122" t="str">
        <f>IFERROR(__xludf.DUMMYFUNCTION("""COMPUTED_VALUE"""),"RentRight continues to show positive momentum with moderate risk.")</f>
        <v>RentRight continues to show positive momentum with moderate risk.</v>
      </c>
      <c r="E136" s="122" t="str">
        <f>IFERROR(__xludf.DUMMYFUNCTION("""COMPUTED_VALUE"""),"Positive")</f>
        <v>Positive</v>
      </c>
      <c r="F136" s="122">
        <f>IFERROR(__xludf.DUMMYFUNCTION("""COMPUTED_VALUE"""),0.015)</f>
        <v>0.015</v>
      </c>
      <c r="G136" s="122">
        <f>IFERROR(__xludf.DUMMYFUNCTION("""COMPUTED_VALUE"""),0.5)</f>
        <v>0.5</v>
      </c>
      <c r="H136" s="122" t="str">
        <f>IFERROR(__xludf.DUMMYFUNCTION("""COMPUTED_VALUE"""),"Active")</f>
        <v>Active</v>
      </c>
    </row>
    <row r="137">
      <c r="A137" s="131">
        <f>IFERROR(__xludf.DUMMYFUNCTION("""COMPUTED_VALUE"""),46166.33111111111)</f>
        <v>46166.33111</v>
      </c>
      <c r="B137" s="122" t="str">
        <f>IFERROR(__xludf.DUMMYFUNCTION("""COMPUTED_VALUE"""),"MALL")</f>
        <v>MALL</v>
      </c>
      <c r="C137" s="122" t="str">
        <f>IFERROR(__xludf.DUMMYFUNCTION("""COMPUTED_VALUE"""),"MegaMall remains stable as the Real Estate market shows normal activity.")</f>
        <v>MegaMall remains stable as the Real Estate market shows normal activity.</v>
      </c>
      <c r="D137" s="122" t="str">
        <f>IFERROR(__xludf.DUMMYFUNCTION("""COMPUTED_VALUE"""),"MegaMall appears steady with no major changes reported.")</f>
        <v>MegaMall appears steady with no major changes reported.</v>
      </c>
      <c r="E137" s="122" t="str">
        <f>IFERROR(__xludf.DUMMYFUNCTION("""COMPUTED_VALUE"""),"Neutral")</f>
        <v>Neutral</v>
      </c>
      <c r="F137" s="122">
        <f>IFERROR(__xludf.DUMMYFUNCTION("""COMPUTED_VALUE"""),0.0)</f>
        <v>0</v>
      </c>
      <c r="G137" s="122">
        <f>IFERROR(__xludf.DUMMYFUNCTION("""COMPUTED_VALUE"""),0.0)</f>
        <v>0</v>
      </c>
      <c r="H137" s="122" t="str">
        <f>IFERROR(__xludf.DUMMYFUNCTION("""COMPUTED_VALUE"""),"Active")</f>
        <v>Active</v>
      </c>
    </row>
    <row r="138">
      <c r="A138" s="131">
        <f>IFERROR(__xludf.DUMMYFUNCTION("""COMPUTED_VALUE"""),46166.33111111111)</f>
        <v>46166.33111</v>
      </c>
      <c r="B138" s="122" t="str">
        <f>IFERROR(__xludf.DUMMYFUNCTION("""COMPUTED_VALUE"""),"HOTL")</f>
        <v>HOTL</v>
      </c>
      <c r="C138" s="122" t="str">
        <f>IFERROR(__xludf.DUMMYFUNCTION("""COMPUTED_VALUE"""),"HotelHive remains stable as the Real Estate market shows normal activity.")</f>
        <v>HotelHive remains stable as the Real Estate market shows normal activity.</v>
      </c>
      <c r="D138" s="122" t="str">
        <f>IFERROR(__xludf.DUMMYFUNCTION("""COMPUTED_VALUE"""),"HotelHive appears steady with no major changes reported.")</f>
        <v>HotelHive appears steady with no major changes reported.</v>
      </c>
      <c r="E138" s="122" t="str">
        <f>IFERROR(__xludf.DUMMYFUNCTION("""COMPUTED_VALUE"""),"Neutral")</f>
        <v>Neutral</v>
      </c>
      <c r="F138" s="122">
        <f>IFERROR(__xludf.DUMMYFUNCTION("""COMPUTED_VALUE"""),0.0)</f>
        <v>0</v>
      </c>
      <c r="G138" s="122">
        <f>IFERROR(__xludf.DUMMYFUNCTION("""COMPUTED_VALUE"""),0.0)</f>
        <v>0</v>
      </c>
      <c r="H138" s="122" t="str">
        <f>IFERROR(__xludf.DUMMYFUNCTION("""COMPUTED_VALUE"""),"Active")</f>
        <v>Active</v>
      </c>
    </row>
    <row r="139">
      <c r="A139" s="131">
        <f>IFERROR(__xludf.DUMMYFUNCTION("""COMPUTED_VALUE"""),46166.33112268519)</f>
        <v>46166.33112</v>
      </c>
      <c r="B139" s="122" t="str">
        <f>IFERROR(__xludf.DUMMYFUNCTION("""COMPUTED_VALUE"""),"LAND")</f>
        <v>LAND</v>
      </c>
      <c r="C139" s="122" t="str">
        <f>IFERROR(__xludf.DUMMYFUNCTION("""COMPUTED_VALUE"""),"LandLink faces weaker demand and cautious investor sentiment.")</f>
        <v>LandLink faces weaker demand and cautious investor sentiment.</v>
      </c>
      <c r="D139" s="122" t="str">
        <f>IFERROR(__xludf.DUMMYFUNCTION("""COMPUTED_VALUE"""),"Investors are watching LandLink closely as demand weakens.")</f>
        <v>Investors are watching LandLink closely as demand weakens.</v>
      </c>
      <c r="E139" s="122" t="str">
        <f>IFERROR(__xludf.DUMMYFUNCTION("""COMPUTED_VALUE"""),"Negative")</f>
        <v>Negative</v>
      </c>
      <c r="F139" s="122">
        <f>IFERROR(__xludf.DUMMYFUNCTION("""COMPUTED_VALUE"""),-0.015)</f>
        <v>-0.015</v>
      </c>
      <c r="G139" s="122">
        <f>IFERROR(__xludf.DUMMYFUNCTION("""COMPUTED_VALUE"""),0.75)</f>
        <v>0.75</v>
      </c>
      <c r="H139" s="122" t="str">
        <f>IFERROR(__xludf.DUMMYFUNCTION("""COMPUTED_VALUE"""),"Active")</f>
        <v>Active</v>
      </c>
    </row>
    <row r="140">
      <c r="A140" s="131">
        <f>IFERROR(__xludf.DUMMYFUNCTION("""COMPUTED_VALUE"""),46166.33112268519)</f>
        <v>46166.33112</v>
      </c>
      <c r="B140" s="122" t="str">
        <f>IFERROR(__xludf.DUMMYFUNCTION("""COMPUTED_VALUE"""),"CARS")</f>
        <v>CARS</v>
      </c>
      <c r="C140" s="122" t="str">
        <f>IFERROR(__xludf.DUMMYFUNCTION("""COMPUTED_VALUE"""),"AutoArena remains stable as the Automotive market shows normal activity.")</f>
        <v>AutoArena remains stable as the Automotive market shows normal activity.</v>
      </c>
      <c r="D140" s="122" t="str">
        <f>IFERROR(__xludf.DUMMYFUNCTION("""COMPUTED_VALUE"""),"AutoArena appears steady with no major changes reported.")</f>
        <v>AutoArena appears steady with no major changes reported.</v>
      </c>
      <c r="E140" s="122" t="str">
        <f>IFERROR(__xludf.DUMMYFUNCTION("""COMPUTED_VALUE"""),"Neutral")</f>
        <v>Neutral</v>
      </c>
      <c r="F140" s="122">
        <f>IFERROR(__xludf.DUMMYFUNCTION("""COMPUTED_VALUE"""),0.0)</f>
        <v>0</v>
      </c>
      <c r="G140" s="122">
        <f>IFERROR(__xludf.DUMMYFUNCTION("""COMPUTED_VALUE"""),0.0)</f>
        <v>0</v>
      </c>
      <c r="H140" s="122" t="str">
        <f>IFERROR(__xludf.DUMMYFUNCTION("""COMPUTED_VALUE"""),"Active")</f>
        <v>Active</v>
      </c>
    </row>
    <row r="141">
      <c r="A141" s="131">
        <f>IFERROR(__xludf.DUMMYFUNCTION("""COMPUTED_VALUE"""),46166.33112268519)</f>
        <v>46166.33112</v>
      </c>
      <c r="B141" s="122" t="str">
        <f>IFERROR(__xludf.DUMMYFUNCTION("""COMPUTED_VALUE"""),"EVGO")</f>
        <v>EVGO</v>
      </c>
      <c r="C141" s="122" t="str">
        <f>IFERROR(__xludf.DUMMYFUNCTION("""COMPUTED_VALUE"""),"EVGo Motors sees uncertain trading as investors react to mixed signals.")</f>
        <v>EVGo Motors sees uncertain trading as investors react to mixed signals.</v>
      </c>
      <c r="D141" s="122" t="str">
        <f>IFERROR(__xludf.DUMMYFUNCTION("""COMPUTED_VALUE"""),"EVGo Motors may experience larger price swings as investors disagree on direction.")</f>
        <v>EVGo Motors may experience larger price swings as investors disagree on direction.</v>
      </c>
      <c r="E141" s="122" t="str">
        <f>IFERROR(__xludf.DUMMYFUNCTION("""COMPUTED_VALUE"""),"Mixed")</f>
        <v>Mixed</v>
      </c>
      <c r="F141" s="122">
        <f>IFERROR(__xludf.DUMMYFUNCTION("""COMPUTED_VALUE"""),0.010995284125346342)</f>
        <v>0.01099528413</v>
      </c>
      <c r="G141" s="122">
        <f>IFERROR(__xludf.DUMMYFUNCTION("""COMPUTED_VALUE"""),1.5)</f>
        <v>1.5</v>
      </c>
      <c r="H141" s="122" t="str">
        <f>IFERROR(__xludf.DUMMYFUNCTION("""COMPUTED_VALUE"""),"Active")</f>
        <v>Active</v>
      </c>
    </row>
    <row r="142">
      <c r="A142" s="131">
        <f>IFERROR(__xludf.DUMMYFUNCTION("""COMPUTED_VALUE"""),46166.33113425926)</f>
        <v>46166.33113</v>
      </c>
      <c r="B142" s="122" t="str">
        <f>IFERROR(__xludf.DUMMYFUNCTION("""COMPUTED_VALUE"""),"TIRE")</f>
        <v>TIRE</v>
      </c>
      <c r="C142" s="122" t="str">
        <f>IFERROR(__xludf.DUMMYFUNCTION("""COMPUTED_VALUE"""),"TireTown remains stable as the Automotive market shows normal activity.")</f>
        <v>TireTown remains stable as the Automotive market shows normal activity.</v>
      </c>
      <c r="D142" s="122" t="str">
        <f>IFERROR(__xludf.DUMMYFUNCTION("""COMPUTED_VALUE"""),"TireTown appears steady with no major changes reported.")</f>
        <v>TireTown appears steady with no major changes reported.</v>
      </c>
      <c r="E142" s="122" t="str">
        <f>IFERROR(__xludf.DUMMYFUNCTION("""COMPUTED_VALUE"""),"Neutral")</f>
        <v>Neutral</v>
      </c>
      <c r="F142" s="122">
        <f>IFERROR(__xludf.DUMMYFUNCTION("""COMPUTED_VALUE"""),0.0)</f>
        <v>0</v>
      </c>
      <c r="G142" s="122">
        <f>IFERROR(__xludf.DUMMYFUNCTION("""COMPUTED_VALUE"""),0.0)</f>
        <v>0</v>
      </c>
      <c r="H142" s="122" t="str">
        <f>IFERROR(__xludf.DUMMYFUNCTION("""COMPUTED_VALUE"""),"Active")</f>
        <v>Active</v>
      </c>
    </row>
    <row r="143">
      <c r="A143" s="131">
        <f>IFERROR(__xludf.DUMMYFUNCTION("""COMPUTED_VALUE"""),46166.33113425926)</f>
        <v>46166.33113</v>
      </c>
      <c r="B143" s="122" t="str">
        <f>IFERROR(__xludf.DUMMYFUNCTION("""COMPUTED_VALUE"""),"BIKE")</f>
        <v>BIKE</v>
      </c>
      <c r="C143" s="122" t="str">
        <f>IFERROR(__xludf.DUMMYFUNCTION("""COMPUTED_VALUE"""),"BikeBox surges as demand rises across the Automotive sector.")</f>
        <v>BikeBox surges as demand rises across the Automotive sector.</v>
      </c>
      <c r="D143" s="122" t="str">
        <f>IFERROR(__xludf.DUMMYFUNCTION("""COMPUTED_VALUE"""),"BikeBox is seeing strong demand, which may increase investor confidence.")</f>
        <v>BikeBox is seeing strong demand, which may increase investor confidence.</v>
      </c>
      <c r="E143" s="122" t="str">
        <f>IFERROR(__xludf.DUMMYFUNCTION("""COMPUTED_VALUE"""),"Positive")</f>
        <v>Positive</v>
      </c>
      <c r="F143" s="122">
        <f>IFERROR(__xludf.DUMMYFUNCTION("""COMPUTED_VALUE"""),0.03)</f>
        <v>0.03</v>
      </c>
      <c r="G143" s="122">
        <f>IFERROR(__xludf.DUMMYFUNCTION("""COMPUTED_VALUE"""),1.0)</f>
        <v>1</v>
      </c>
      <c r="H143" s="122" t="str">
        <f>IFERROR(__xludf.DUMMYFUNCTION("""COMPUTED_VALUE"""),"Active")</f>
        <v>Active</v>
      </c>
    </row>
    <row r="144">
      <c r="A144" s="131">
        <f>IFERROR(__xludf.DUMMYFUNCTION("""COMPUTED_VALUE"""),46166.33113425926)</f>
        <v>46166.33113</v>
      </c>
      <c r="B144" s="122" t="str">
        <f>IFERROR(__xludf.DUMMYFUNCTION("""COMPUTED_VALUE"""),"WASH")</f>
        <v>WASH</v>
      </c>
      <c r="C144" s="122" t="str">
        <f>IFERROR(__xludf.DUMMYFUNCTION("""COMPUTED_VALUE"""),"CarWash Co remains stable as the Automotive market shows normal activity.")</f>
        <v>CarWash Co remains stable as the Automotive market shows normal activity.</v>
      </c>
      <c r="D144" s="122" t="str">
        <f>IFERROR(__xludf.DUMMYFUNCTION("""COMPUTED_VALUE"""),"CarWash Co appears steady with no major changes reported.")</f>
        <v>CarWash Co appears steady with no major changes reported.</v>
      </c>
      <c r="E144" s="122" t="str">
        <f>IFERROR(__xludf.DUMMYFUNCTION("""COMPUTED_VALUE"""),"Neutral")</f>
        <v>Neutral</v>
      </c>
      <c r="F144" s="122">
        <f>IFERROR(__xludf.DUMMYFUNCTION("""COMPUTED_VALUE"""),0.0)</f>
        <v>0</v>
      </c>
      <c r="G144" s="122">
        <f>IFERROR(__xludf.DUMMYFUNCTION("""COMPUTED_VALUE"""),0.0)</f>
        <v>0</v>
      </c>
      <c r="H144" s="122" t="str">
        <f>IFERROR(__xludf.DUMMYFUNCTION("""COMPUTED_VALUE"""),"Active")</f>
        <v>Active</v>
      </c>
    </row>
    <row r="145">
      <c r="A145" s="131">
        <f>IFERROR(__xludf.DUMMYFUNCTION("""COMPUTED_VALUE"""),46166.331145833334)</f>
        <v>46166.33115</v>
      </c>
      <c r="B145" s="122" t="str">
        <f>IFERROR(__xludf.DUMMYFUNCTION("""COMPUTED_VALUE"""),"GBND")</f>
        <v>GBND</v>
      </c>
      <c r="C145" s="122" t="str">
        <f>IFERROR(__xludf.DUMMYFUNCTION("""COMPUTED_VALUE"""),"Classroom Government Bond remains steady as investors seek stability.")</f>
        <v>Classroom Government Bond remains steady as investors seek stability.</v>
      </c>
      <c r="D145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45" s="122" t="str">
        <f>IFERROR(__xludf.DUMMYFUNCTION("""COMPUTED_VALUE"""),"Neutral")</f>
        <v>Neutral</v>
      </c>
      <c r="F145" s="122">
        <f>IFERROR(__xludf.DUMMYFUNCTION("""COMPUTED_VALUE"""),0.0)</f>
        <v>0</v>
      </c>
      <c r="G145" s="122">
        <f>IFERROR(__xludf.DUMMYFUNCTION("""COMPUTED_VALUE"""),0.0)</f>
        <v>0</v>
      </c>
      <c r="H145" s="122" t="str">
        <f>IFERROR(__xludf.DUMMYFUNCTION("""COMPUTED_VALUE"""),"Active")</f>
        <v>Active</v>
      </c>
    </row>
    <row r="146">
      <c r="A146" s="131">
        <f>IFERROR(__xludf.DUMMYFUNCTION("""COMPUTED_VALUE"""),46166.331145833334)</f>
        <v>46166.33115</v>
      </c>
      <c r="B146" s="122" t="str">
        <f>IFERROR(__xludf.DUMMYFUNCTION("""COMPUTED_VALUE"""),"SBND")</f>
        <v>SBND</v>
      </c>
      <c r="C146" s="122" t="str">
        <f>IFERROR(__xludf.DUMMYFUNCTION("""COMPUTED_VALUE"""),"School Savings Bond remains steady as investors seek stability.")</f>
        <v>School Savings Bond remains steady as investors seek stability.</v>
      </c>
      <c r="D146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46" s="122" t="str">
        <f>IFERROR(__xludf.DUMMYFUNCTION("""COMPUTED_VALUE"""),"Neutral")</f>
        <v>Neutral</v>
      </c>
      <c r="F146" s="122">
        <f>IFERROR(__xludf.DUMMYFUNCTION("""COMPUTED_VALUE"""),0.0)</f>
        <v>0</v>
      </c>
      <c r="G146" s="122">
        <f>IFERROR(__xludf.DUMMYFUNCTION("""COMPUTED_VALUE"""),0.0)</f>
        <v>0</v>
      </c>
      <c r="H146" s="122" t="str">
        <f>IFERROR(__xludf.DUMMYFUNCTION("""COMPUTED_VALUE"""),"Active")</f>
        <v>Active</v>
      </c>
    </row>
    <row r="147">
      <c r="A147" s="131">
        <f>IFERROR(__xludf.DUMMYFUNCTION("""COMPUTED_VALUE"""),46166.331145833334)</f>
        <v>46166.33115</v>
      </c>
      <c r="B147" s="122" t="str">
        <f>IFERROR(__xludf.DUMMYFUNCTION("""COMPUTED_VALUE"""),"CBND")</f>
        <v>CBND</v>
      </c>
      <c r="C147" s="122" t="str">
        <f>IFERROR(__xludf.DUMMYFUNCTION("""COMPUTED_VALUE"""),"Corporate Classroom Bond remains steady as investors seek stability.")</f>
        <v>Corporate Classroom Bond remains steady as investors seek stability.</v>
      </c>
      <c r="D147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47" s="122" t="str">
        <f>IFERROR(__xludf.DUMMYFUNCTION("""COMPUTED_VALUE"""),"Neutral")</f>
        <v>Neutral</v>
      </c>
      <c r="F147" s="122">
        <f>IFERROR(__xludf.DUMMYFUNCTION("""COMPUTED_VALUE"""),0.0)</f>
        <v>0</v>
      </c>
      <c r="G147" s="122">
        <f>IFERROR(__xludf.DUMMYFUNCTION("""COMPUTED_VALUE"""),0.0)</f>
        <v>0</v>
      </c>
      <c r="H147" s="122" t="str">
        <f>IFERROR(__xludf.DUMMYFUNCTION("""COMPUTED_VALUE"""),"Active")</f>
        <v>Active</v>
      </c>
    </row>
    <row r="148">
      <c r="A148" s="131">
        <f>IFERROR(__xludf.DUMMYFUNCTION("""COMPUTED_VALUE"""),46166.33115740741)</f>
        <v>46166.33116</v>
      </c>
      <c r="B148" s="122" t="str">
        <f>IFERROR(__xludf.DUMMYFUNCTION("""COMPUTED_VALUE"""),"TBIL")</f>
        <v>TBIL</v>
      </c>
      <c r="C148" s="122" t="str">
        <f>IFERROR(__xludf.DUMMYFUNCTION("""COMPUTED_VALUE"""),"Treasury Bill remains steady as investors seek stability.")</f>
        <v>Treasury Bill remains steady as investors seek stability.</v>
      </c>
      <c r="D148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48" s="122" t="str">
        <f>IFERROR(__xludf.DUMMYFUNCTION("""COMPUTED_VALUE"""),"Neutral")</f>
        <v>Neutral</v>
      </c>
      <c r="F148" s="122">
        <f>IFERROR(__xludf.DUMMYFUNCTION("""COMPUTED_VALUE"""),0.0)</f>
        <v>0</v>
      </c>
      <c r="G148" s="122">
        <f>IFERROR(__xludf.DUMMYFUNCTION("""COMPUTED_VALUE"""),0.0)</f>
        <v>0</v>
      </c>
      <c r="H148" s="122" t="str">
        <f>IFERROR(__xludf.DUMMYFUNCTION("""COMPUTED_VALUE"""),"Active")</f>
        <v>Active</v>
      </c>
    </row>
    <row r="149">
      <c r="A149" s="131">
        <f>IFERROR(__xludf.DUMMYFUNCTION("""COMPUTED_VALUE"""),46166.33115740741)</f>
        <v>46166.33116</v>
      </c>
      <c r="B149" s="122" t="str">
        <f>IFERROR(__xludf.DUMMYFUNCTION("""COMPUTED_VALUE"""),"IBND")</f>
        <v>IBND</v>
      </c>
      <c r="C149" s="122" t="str">
        <f>IFERROR(__xludf.DUMMYFUNCTION("""COMPUTED_VALUE"""),"Inflation Protected Bond remains steady as investors seek stability.")</f>
        <v>Inflation Protected Bond remains steady as investors seek stability.</v>
      </c>
      <c r="D149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49" s="122" t="str">
        <f>IFERROR(__xludf.DUMMYFUNCTION("""COMPUTED_VALUE"""),"Neutral")</f>
        <v>Neutral</v>
      </c>
      <c r="F149" s="122">
        <f>IFERROR(__xludf.DUMMYFUNCTION("""COMPUTED_VALUE"""),0.0)</f>
        <v>0</v>
      </c>
      <c r="G149" s="122">
        <f>IFERROR(__xludf.DUMMYFUNCTION("""COMPUTED_VALUE"""),0.0)</f>
        <v>0</v>
      </c>
      <c r="H149" s="122" t="str">
        <f>IFERROR(__xludf.DUMMYFUNCTION("""COMPUTED_VALUE"""),"Active")</f>
        <v>Active</v>
      </c>
    </row>
    <row r="150">
      <c r="A150" s="131">
        <f>IFERROR(__xludf.DUMMYFUNCTION("""COMPUTED_VALUE"""),46166.338784722226)</f>
        <v>46166.33878</v>
      </c>
      <c r="B150" s="122" t="str">
        <f>IFERROR(__xludf.DUMMYFUNCTION("""COMPUTED_VALUE"""),"MARKET")</f>
        <v>MARKET</v>
      </c>
      <c r="C150" s="122" t="str">
        <f>IFERROR(__xludf.DUMMYFUNCTION("""COMPUTED_VALUE"""),"Weekly Market Outlook")</f>
        <v>Weekly Market Outlook</v>
      </c>
      <c r="D150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150" s="122" t="str">
        <f>IFERROR(__xludf.DUMMYFUNCTION("""COMPUTED_VALUE"""),"Neutral")</f>
        <v>Neutral</v>
      </c>
      <c r="F150" s="122">
        <f>IFERROR(__xludf.DUMMYFUNCTION("""COMPUTED_VALUE"""),0.0)</f>
        <v>0</v>
      </c>
      <c r="G150" s="122">
        <f>IFERROR(__xludf.DUMMYFUNCTION("""COMPUTED_VALUE"""),0.0)</f>
        <v>0</v>
      </c>
      <c r="H150" s="122" t="str">
        <f>IFERROR(__xludf.DUMMYFUNCTION("""COMPUTED_VALUE"""),"Active")</f>
        <v>Active</v>
      </c>
    </row>
    <row r="151">
      <c r="A151" s="131">
        <f>IFERROR(__xludf.DUMMYFUNCTION("""COMPUTED_VALUE"""),46166.338784722226)</f>
        <v>46166.33878</v>
      </c>
      <c r="B151" s="122" t="str">
        <f>IFERROR(__xludf.DUMMYFUNCTION("""COMPUTED_VALUE"""),"MARKET")</f>
        <v>MARKET</v>
      </c>
      <c r="C151" s="122" t="str">
        <f>IFERROR(__xludf.DUMMYFUNCTION("""COMPUTED_VALUE"""),"Market Stability Report")</f>
        <v>Market Stability Report</v>
      </c>
      <c r="D151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151" s="122" t="str">
        <f>IFERROR(__xludf.DUMMYFUNCTION("""COMPUTED_VALUE"""),"Neutral")</f>
        <v>Neutral</v>
      </c>
      <c r="F151" s="122">
        <f>IFERROR(__xludf.DUMMYFUNCTION("""COMPUTED_VALUE"""),0.0)</f>
        <v>0</v>
      </c>
      <c r="G151" s="122">
        <f>IFERROR(__xludf.DUMMYFUNCTION("""COMPUTED_VALUE"""),0.0)</f>
        <v>0</v>
      </c>
      <c r="H151" s="122" t="str">
        <f>IFERROR(__xludf.DUMMYFUNCTION("""COMPUTED_VALUE"""),"Active")</f>
        <v>Active</v>
      </c>
    </row>
    <row r="152">
      <c r="A152" s="131">
        <f>IFERROR(__xludf.DUMMYFUNCTION("""COMPUTED_VALUE"""),46167.29238425926)</f>
        <v>46167.29238</v>
      </c>
      <c r="B152" s="122" t="str">
        <f>IFERROR(__xludf.DUMMYFUNCTION("""COMPUTED_VALUE"""),"MARKET")</f>
        <v>MARKET</v>
      </c>
      <c r="C152" s="122" t="str">
        <f>IFERROR(__xludf.DUMMYFUNCTION("""COMPUTED_VALUE"""),"Weekly Market Outlook")</f>
        <v>Weekly Market Outlook</v>
      </c>
      <c r="D152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152" s="122" t="str">
        <f>IFERROR(__xludf.DUMMYFUNCTION("""COMPUTED_VALUE"""),"Neutral")</f>
        <v>Neutral</v>
      </c>
      <c r="F152" s="122">
        <f>IFERROR(__xludf.DUMMYFUNCTION("""COMPUTED_VALUE"""),0.0)</f>
        <v>0</v>
      </c>
      <c r="G152" s="122">
        <f>IFERROR(__xludf.DUMMYFUNCTION("""COMPUTED_VALUE"""),0.0)</f>
        <v>0</v>
      </c>
      <c r="H152" s="122" t="str">
        <f>IFERROR(__xludf.DUMMYFUNCTION("""COMPUTED_VALUE"""),"Active")</f>
        <v>Active</v>
      </c>
    </row>
    <row r="153">
      <c r="A153" s="131">
        <f>IFERROR(__xludf.DUMMYFUNCTION("""COMPUTED_VALUE"""),46167.31761574074)</f>
        <v>46167.31762</v>
      </c>
      <c r="B153" s="122" t="str">
        <f>IFERROR(__xludf.DUMMYFUNCTION("""COMPUTED_VALUE"""),"HOME")</f>
        <v>HOME</v>
      </c>
      <c r="C153" s="122" t="str">
        <f>IFERROR(__xludf.DUMMYFUNCTION("""COMPUTED_VALUE"""),"HomeHub releases earnings report: Beat profit, guidance Raised.")</f>
        <v>HomeHub releases earnings report: Beat profit, guidance Raised.</v>
      </c>
      <c r="D15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3" s="122" t="str">
        <f>IFERROR(__xludf.DUMMYFUNCTION("""COMPUTED_VALUE"""),"Positive")</f>
        <v>Positive</v>
      </c>
      <c r="F153" s="122">
        <f>IFERROR(__xludf.DUMMYFUNCTION("""COMPUTED_VALUE"""),0.05297207582987681)</f>
        <v>0.05297207583</v>
      </c>
      <c r="G153" s="122">
        <f>IFERROR(__xludf.DUMMYFUNCTION("""COMPUTED_VALUE"""),1.3243018957469201)</f>
        <v>1.324301896</v>
      </c>
      <c r="H153" s="122" t="str">
        <f>IFERROR(__xludf.DUMMYFUNCTION("""COMPUTED_VALUE"""),"Active")</f>
        <v>Active</v>
      </c>
    </row>
    <row r="154">
      <c r="A154" s="131">
        <f>IFERROR(__xludf.DUMMYFUNCTION("""COMPUTED_VALUE"""),46167.317719907405)</f>
        <v>46167.31772</v>
      </c>
      <c r="B154" s="122" t="str">
        <f>IFERROR(__xludf.DUMMYFUNCTION("""COMPUTED_VALUE"""),"SNAX")</f>
        <v>SNAX</v>
      </c>
      <c r="C154" s="122" t="str">
        <f>IFERROR(__xludf.DUMMYFUNCTION("""COMPUTED_VALUE"""),"MICA Snacks releases earnings report: Beat profit, guidance Raised.")</f>
        <v>MICA Snacks releases earnings report: Beat profit, guidance Raised.</v>
      </c>
      <c r="D15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4" s="122" t="str">
        <f>IFERROR(__xludf.DUMMYFUNCTION("""COMPUTED_VALUE"""),"Positive")</f>
        <v>Positive</v>
      </c>
      <c r="F154" s="122">
        <f>IFERROR(__xludf.DUMMYFUNCTION("""COMPUTED_VALUE"""),0.036520144269781306)</f>
        <v>0.03652014427</v>
      </c>
      <c r="G154" s="122">
        <f>IFERROR(__xludf.DUMMYFUNCTION("""COMPUTED_VALUE"""),0.9130036067445326)</f>
        <v>0.9130036067</v>
      </c>
      <c r="H154" s="122" t="str">
        <f>IFERROR(__xludf.DUMMYFUNCTION("""COMPUTED_VALUE"""),"Active")</f>
        <v>Active</v>
      </c>
    </row>
    <row r="155">
      <c r="A155" s="131">
        <f>IFERROR(__xludf.DUMMYFUNCTION("""COMPUTED_VALUE"""),46167.317824074074)</f>
        <v>46167.31782</v>
      </c>
      <c r="B155" s="122" t="str">
        <f>IFERROR(__xludf.DUMMYFUNCTION("""COMPUTED_VALUE"""),"BOND")</f>
        <v>BOND</v>
      </c>
      <c r="C155" s="122" t="str">
        <f>IFERROR(__xludf.DUMMYFUNCTION("""COMPUTED_VALUE"""),"BondBridge releases earnings report: Miss profit, guidance Maintained.")</f>
        <v>BondBridge releases earnings report: Miss profit, guidance Maintained.</v>
      </c>
      <c r="D155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155" s="122" t="str">
        <f>IFERROR(__xludf.DUMMYFUNCTION("""COMPUTED_VALUE"""),"Negative")</f>
        <v>Negative</v>
      </c>
      <c r="F155" s="122">
        <f>IFERROR(__xludf.DUMMYFUNCTION("""COMPUTED_VALUE"""),-0.017238900791102355)</f>
        <v>-0.01723890079</v>
      </c>
      <c r="G155" s="122">
        <f>IFERROR(__xludf.DUMMYFUNCTION("""COMPUTED_VALUE"""),0.4309725197775589)</f>
        <v>0.4309725198</v>
      </c>
      <c r="H155" s="122" t="str">
        <f>IFERROR(__xludf.DUMMYFUNCTION("""COMPUTED_VALUE"""),"Active")</f>
        <v>Active</v>
      </c>
    </row>
    <row r="156">
      <c r="A156" s="131">
        <f>IFERROR(__xludf.DUMMYFUNCTION("""COMPUTED_VALUE"""),46167.31790509259)</f>
        <v>46167.31791</v>
      </c>
      <c r="B156" s="122" t="str">
        <f>IFERROR(__xludf.DUMMYFUNCTION("""COMPUTED_VALUE"""),"TUTR")</f>
        <v>TUTR</v>
      </c>
      <c r="C156" s="122" t="str">
        <f>IFERROR(__xludf.DUMMYFUNCTION("""COMPUTED_VALUE"""),"TutorTown releases earnings report: Miss profit, guidance Lowered.")</f>
        <v>TutorTown releases earnings report: Miss profit, guidance Lowered.</v>
      </c>
      <c r="D156" s="122" t="str">
        <f>IFERROR(__xludf.DUMMYFUNCTION("""COMPUTED_VALUE"""),"Earnings report: revenue Miss, profit Miss, debt Worse, guidance Lowered.")</f>
        <v>Earnings report: revenue Miss, profit Miss, debt Worse, guidance Lowered.</v>
      </c>
      <c r="E156" s="122" t="str">
        <f>IFERROR(__xludf.DUMMYFUNCTION("""COMPUTED_VALUE"""),"Negative")</f>
        <v>Negative</v>
      </c>
      <c r="F156" s="122">
        <f>IFERROR(__xludf.DUMMYFUNCTION("""COMPUTED_VALUE"""),-0.046923600811664336)</f>
        <v>-0.04692360081</v>
      </c>
      <c r="G156" s="122">
        <f>IFERROR(__xludf.DUMMYFUNCTION("""COMPUTED_VALUE"""),1.1730900202916084)</f>
        <v>1.17309002</v>
      </c>
      <c r="H156" s="122" t="str">
        <f>IFERROR(__xludf.DUMMYFUNCTION("""COMPUTED_VALUE"""),"Active")</f>
        <v>Active</v>
      </c>
    </row>
    <row r="157">
      <c r="A157" s="131">
        <f>IFERROR(__xludf.DUMMYFUNCTION("""COMPUTED_VALUE"""),46167.31800925926)</f>
        <v>46167.31801</v>
      </c>
      <c r="B157" s="122" t="str">
        <f>IFERROR(__xludf.DUMMYFUNCTION("""COMPUTED_VALUE"""),"KICK")</f>
        <v>KICK</v>
      </c>
      <c r="C157" s="122" t="str">
        <f>IFERROR(__xludf.DUMMYFUNCTION("""COMPUTED_VALUE"""),"KickDrop Sneakers releases earnings report: Beat profit, guidance Raised.")</f>
        <v>KickDrop Sneakers releases earnings report: Beat profit, guidance Raised.</v>
      </c>
      <c r="D15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7" s="122" t="str">
        <f>IFERROR(__xludf.DUMMYFUNCTION("""COMPUTED_VALUE"""),"Positive")</f>
        <v>Positive</v>
      </c>
      <c r="F157" s="122">
        <f>IFERROR(__xludf.DUMMYFUNCTION("""COMPUTED_VALUE"""),0.027392347179411)</f>
        <v>0.02739234718</v>
      </c>
      <c r="G157" s="122">
        <f>IFERROR(__xludf.DUMMYFUNCTION("""COMPUTED_VALUE"""),0.684808679485275)</f>
        <v>0.6848086795</v>
      </c>
      <c r="H157" s="122" t="str">
        <f>IFERROR(__xludf.DUMMYFUNCTION("""COMPUTED_VALUE"""),"Active")</f>
        <v>Active</v>
      </c>
    </row>
    <row r="158">
      <c r="A158" s="131">
        <f>IFERROR(__xludf.DUMMYFUNCTION("""COMPUTED_VALUE"""),46167.31811342593)</f>
        <v>46167.31811</v>
      </c>
      <c r="B158" s="122" t="str">
        <f>IFERROR(__xludf.DUMMYFUNCTION("""COMPUTED_VALUE"""),"HOTL")</f>
        <v>HOTL</v>
      </c>
      <c r="C158" s="122" t="str">
        <f>IFERROR(__xludf.DUMMYFUNCTION("""COMPUTED_VALUE"""),"HotelHive releases earnings report: Beat profit, guidance Raised.")</f>
        <v>HotelHive releases earnings report: Beat profit, guidance Raised.</v>
      </c>
      <c r="D15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8" s="122" t="str">
        <f>IFERROR(__xludf.DUMMYFUNCTION("""COMPUTED_VALUE"""),"Positive")</f>
        <v>Positive</v>
      </c>
      <c r="F158" s="122">
        <f>IFERROR(__xludf.DUMMYFUNCTION("""COMPUTED_VALUE"""),0.039428281459458085)</f>
        <v>0.03942828146</v>
      </c>
      <c r="G158" s="122">
        <f>IFERROR(__xludf.DUMMYFUNCTION("""COMPUTED_VALUE"""),0.9857070364864521)</f>
        <v>0.9857070365</v>
      </c>
      <c r="H158" s="122" t="str">
        <f>IFERROR(__xludf.DUMMYFUNCTION("""COMPUTED_VALUE"""),"Active")</f>
        <v>Active</v>
      </c>
    </row>
    <row r="159">
      <c r="A159" s="131">
        <f>IFERROR(__xludf.DUMMYFUNCTION("""COMPUTED_VALUE"""),46167.31821759259)</f>
        <v>46167.31822</v>
      </c>
      <c r="B159" s="122" t="str">
        <f>IFERROR(__xludf.DUMMYFUNCTION("""COMPUTED_VALUE"""),"VRSE")</f>
        <v>VRSE</v>
      </c>
      <c r="C159" s="122" t="str">
        <f>IFERROR(__xludf.DUMMYFUNCTION("""COMPUTED_VALUE"""),"VerseVR releases earnings report: Beat profit, guidance Raised.")</f>
        <v>VerseVR releases earnings report: Beat profit, guidance Raised.</v>
      </c>
      <c r="D15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9" s="122" t="str">
        <f>IFERROR(__xludf.DUMMYFUNCTION("""COMPUTED_VALUE"""),"Positive")</f>
        <v>Positive</v>
      </c>
      <c r="F159" s="122">
        <f>IFERROR(__xludf.DUMMYFUNCTION("""COMPUTED_VALUE"""),0.052928879481850974)</f>
        <v>0.05292887948</v>
      </c>
      <c r="G159" s="122">
        <f>IFERROR(__xludf.DUMMYFUNCTION("""COMPUTED_VALUE"""),1.3232219870462743)</f>
        <v>1.323221987</v>
      </c>
      <c r="H159" s="122" t="str">
        <f>IFERROR(__xludf.DUMMYFUNCTION("""COMPUTED_VALUE"""),"Active")</f>
        <v>Active</v>
      </c>
    </row>
    <row r="160">
      <c r="A160" s="131">
        <f>IFERROR(__xludf.DUMMYFUNCTION("""COMPUTED_VALUE"""),46167.31835648148)</f>
        <v>46167.31836</v>
      </c>
      <c r="B160" s="122" t="str">
        <f>IFERROR(__xludf.DUMMYFUNCTION("""COMPUTED_VALUE"""),"LANG")</f>
        <v>LANG</v>
      </c>
      <c r="C160" s="122" t="str">
        <f>IFERROR(__xludf.DUMMYFUNCTION("""COMPUTED_VALUE"""),"LinguaLab releases earnings report: Inline profit, guidance Maintained.")</f>
        <v>LinguaLab releases earnings report: Inline profit, guidance Maintained.</v>
      </c>
      <c r="D160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60" s="122" t="str">
        <f>IFERROR(__xludf.DUMMYFUNCTION("""COMPUTED_VALUE"""),"Neutral")</f>
        <v>Neutral</v>
      </c>
      <c r="F160" s="122">
        <f>IFERROR(__xludf.DUMMYFUNCTION("""COMPUTED_VALUE"""),-0.002961893405467859)</f>
        <v>-0.002961893405</v>
      </c>
      <c r="G160" s="122">
        <f>IFERROR(__xludf.DUMMYFUNCTION("""COMPUTED_VALUE"""),0.07404733513669648)</f>
        <v>0.07404733514</v>
      </c>
      <c r="H160" s="122" t="str">
        <f>IFERROR(__xludf.DUMMYFUNCTION("""COMPUTED_VALUE"""),"Active")</f>
        <v>Active</v>
      </c>
    </row>
    <row r="161">
      <c r="A161" s="131">
        <f>IFERROR(__xludf.DUMMYFUNCTION("""COMPUTED_VALUE"""),46167.3184375)</f>
        <v>46167.31844</v>
      </c>
      <c r="B161" s="122" t="str">
        <f>IFERROR(__xludf.DUMMYFUNCTION("""COMPUTED_VALUE"""),"DRIP")</f>
        <v>DRIP</v>
      </c>
      <c r="C161" s="122" t="str">
        <f>IFERROR(__xludf.DUMMYFUNCTION("""COMPUTED_VALUE"""),"Drip Streetwear releases earnings report: Beat profit, guidance Raised.")</f>
        <v>Drip Streetwear releases earnings report: Beat profit, guidance Raised.</v>
      </c>
      <c r="D161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61" s="122" t="str">
        <f>IFERROR(__xludf.DUMMYFUNCTION("""COMPUTED_VALUE"""),"Positive")</f>
        <v>Positive</v>
      </c>
      <c r="F161" s="122">
        <f>IFERROR(__xludf.DUMMYFUNCTION("""COMPUTED_VALUE"""),0.03142139700786754)</f>
        <v>0.03142139701</v>
      </c>
      <c r="G161" s="122">
        <f>IFERROR(__xludf.DUMMYFUNCTION("""COMPUTED_VALUE"""),0.7855349251966884)</f>
        <v>0.7855349252</v>
      </c>
      <c r="H161" s="122" t="str">
        <f>IFERROR(__xludf.DUMMYFUNCTION("""COMPUTED_VALUE"""),"Active")</f>
        <v>Active</v>
      </c>
    </row>
    <row r="162">
      <c r="A162" s="131">
        <f>IFERROR(__xludf.DUMMYFUNCTION("""COMPUTED_VALUE"""),46167.331412037034)</f>
        <v>46167.33141</v>
      </c>
      <c r="B162" s="122" t="str">
        <f>IFERROR(__xludf.DUMMYFUNCTION("""COMPUTED_VALUE"""),"SNAX")</f>
        <v>SNAX</v>
      </c>
      <c r="C162" s="122" t="str">
        <f>IFERROR(__xludf.DUMMYFUNCTION("""COMPUTED_VALUE"""),"MICA Snacks faces weaker demand and cautious investor sentiment.")</f>
        <v>MICA Snacks faces weaker demand and cautious investor sentiment.</v>
      </c>
      <c r="D162" s="122" t="str">
        <f>IFERROR(__xludf.DUMMYFUNCTION("""COMPUTED_VALUE"""),"Investors are watching MICA Snacks closely as demand weakens.")</f>
        <v>Investors are watching MICA Snacks closely as demand weakens.</v>
      </c>
      <c r="E162" s="122" t="str">
        <f>IFERROR(__xludf.DUMMYFUNCTION("""COMPUTED_VALUE"""),"Negative")</f>
        <v>Negative</v>
      </c>
      <c r="F162" s="122">
        <f>IFERROR(__xludf.DUMMYFUNCTION("""COMPUTED_VALUE"""),-0.015)</f>
        <v>-0.015</v>
      </c>
      <c r="G162" s="122">
        <f>IFERROR(__xludf.DUMMYFUNCTION("""COMPUTED_VALUE"""),0.75)</f>
        <v>0.75</v>
      </c>
      <c r="H162" s="122" t="str">
        <f>IFERROR(__xludf.DUMMYFUNCTION("""COMPUTED_VALUE"""),"Active")</f>
        <v>Active</v>
      </c>
    </row>
    <row r="163">
      <c r="A163" s="131">
        <f>IFERROR(__xludf.DUMMYFUNCTION("""COMPUTED_VALUE"""),46167.33142361111)</f>
        <v>46167.33142</v>
      </c>
      <c r="B163" s="122" t="str">
        <f>IFERROR(__xludf.DUMMYFUNCTION("""COMPUTED_VALUE"""),"RAMN")</f>
        <v>RAMN</v>
      </c>
      <c r="C163" s="122" t="str">
        <f>IFERROR(__xludf.DUMMYFUNCTION("""COMPUTED_VALUE"""),"Ramen Republic faces weaker demand and cautious investor sentiment.")</f>
        <v>Ramen Republic faces weaker demand and cautious investor sentiment.</v>
      </c>
      <c r="D163" s="122" t="str">
        <f>IFERROR(__xludf.DUMMYFUNCTION("""COMPUTED_VALUE"""),"Investors are watching Ramen Republic closely as demand weakens.")</f>
        <v>Investors are watching Ramen Republic closely as demand weakens.</v>
      </c>
      <c r="E163" s="122" t="str">
        <f>IFERROR(__xludf.DUMMYFUNCTION("""COMPUTED_VALUE"""),"Negative")</f>
        <v>Negative</v>
      </c>
      <c r="F163" s="122">
        <f>IFERROR(__xludf.DUMMYFUNCTION("""COMPUTED_VALUE"""),-0.015)</f>
        <v>-0.015</v>
      </c>
      <c r="G163" s="122">
        <f>IFERROR(__xludf.DUMMYFUNCTION("""COMPUTED_VALUE"""),0.75)</f>
        <v>0.75</v>
      </c>
      <c r="H163" s="122" t="str">
        <f>IFERROR(__xludf.DUMMYFUNCTION("""COMPUTED_VALUE"""),"Active")</f>
        <v>Active</v>
      </c>
    </row>
    <row r="164">
      <c r="A164" s="131">
        <f>IFERROR(__xludf.DUMMYFUNCTION("""COMPUTED_VALUE"""),46167.33143518519)</f>
        <v>46167.33144</v>
      </c>
      <c r="B164" s="122" t="str">
        <f>IFERROR(__xludf.DUMMYFUNCTION("""COMPUTED_VALUE"""),"COLA")</f>
        <v>COLA</v>
      </c>
      <c r="C164" s="122" t="str">
        <f>IFERROR(__xludf.DUMMYFUNCTION("""COMPUTED_VALUE"""),"K-Pop Cola remains stable as the Beverage market shows normal activity.")</f>
        <v>K-Pop Cola remains stable as the Beverage market shows normal activity.</v>
      </c>
      <c r="D164" s="122" t="str">
        <f>IFERROR(__xludf.DUMMYFUNCTION("""COMPUTED_VALUE"""),"K-Pop Cola appears steady with no major changes reported.")</f>
        <v>K-Pop Cola appears steady with no major changes reported.</v>
      </c>
      <c r="E164" s="122" t="str">
        <f>IFERROR(__xludf.DUMMYFUNCTION("""COMPUTED_VALUE"""),"Neutral")</f>
        <v>Neutral</v>
      </c>
      <c r="F164" s="122">
        <f>IFERROR(__xludf.DUMMYFUNCTION("""COMPUTED_VALUE"""),0.0)</f>
        <v>0</v>
      </c>
      <c r="G164" s="122">
        <f>IFERROR(__xludf.DUMMYFUNCTION("""COMPUTED_VALUE"""),0.0)</f>
        <v>0</v>
      </c>
      <c r="H164" s="122" t="str">
        <f>IFERROR(__xludf.DUMMYFUNCTION("""COMPUTED_VALUE"""),"Active")</f>
        <v>Active</v>
      </c>
    </row>
    <row r="165">
      <c r="A165" s="131">
        <f>IFERROR(__xludf.DUMMYFUNCTION("""COMPUTED_VALUE"""),46167.33144675926)</f>
        <v>46167.33145</v>
      </c>
      <c r="B165" s="122" t="str">
        <f>IFERROR(__xludf.DUMMYFUNCTION("""COMPUTED_VALUE"""),"CHIP")</f>
        <v>CHIP</v>
      </c>
      <c r="C165" s="122" t="str">
        <f>IFERROR(__xludf.DUMMYFUNCTION("""COMPUTED_VALUE"""),"Chip Empire reports steady growth and improved market confidence.")</f>
        <v>Chip Empire reports steady growth and improved market confidence.</v>
      </c>
      <c r="D165" s="122" t="str">
        <f>IFERROR(__xludf.DUMMYFUNCTION("""COMPUTED_VALUE"""),"Chip Empire continues to show positive momentum with moderate risk.")</f>
        <v>Chip Empire continues to show positive momentum with moderate risk.</v>
      </c>
      <c r="E165" s="122" t="str">
        <f>IFERROR(__xludf.DUMMYFUNCTION("""COMPUTED_VALUE"""),"Positive")</f>
        <v>Positive</v>
      </c>
      <c r="F165" s="122">
        <f>IFERROR(__xludf.DUMMYFUNCTION("""COMPUTED_VALUE"""),0.015)</f>
        <v>0.015</v>
      </c>
      <c r="G165" s="122">
        <f>IFERROR(__xludf.DUMMYFUNCTION("""COMPUTED_VALUE"""),0.5)</f>
        <v>0.5</v>
      </c>
      <c r="H165" s="122" t="str">
        <f>IFERROR(__xludf.DUMMYFUNCTION("""COMPUTED_VALUE"""),"Active")</f>
        <v>Active</v>
      </c>
    </row>
    <row r="166">
      <c r="A166" s="131">
        <f>IFERROR(__xludf.DUMMYFUNCTION("""COMPUTED_VALUE"""),46167.331458333334)</f>
        <v>46167.33146</v>
      </c>
      <c r="B166" s="122" t="str">
        <f>IFERROR(__xludf.DUMMYFUNCTION("""COMPUTED_VALUE"""),"CAND")</f>
        <v>CAND</v>
      </c>
      <c r="C166" s="122" t="str">
        <f>IFERROR(__xludf.DUMMYFUNCTION("""COMPUTED_VALUE"""),"Candy Capital reports steady growth and improved market confidence.")</f>
        <v>Candy Capital reports steady growth and improved market confidence.</v>
      </c>
      <c r="D166" s="122" t="str">
        <f>IFERROR(__xludf.DUMMYFUNCTION("""COMPUTED_VALUE"""),"Candy Capital continues to show positive momentum with moderate risk.")</f>
        <v>Candy Capital continues to show positive momentum with moderate risk.</v>
      </c>
      <c r="E166" s="122" t="str">
        <f>IFERROR(__xludf.DUMMYFUNCTION("""COMPUTED_VALUE"""),"Positive")</f>
        <v>Positive</v>
      </c>
      <c r="F166" s="122">
        <f>IFERROR(__xludf.DUMMYFUNCTION("""COMPUTED_VALUE"""),0.015)</f>
        <v>0.015</v>
      </c>
      <c r="G166" s="122">
        <f>IFERROR(__xludf.DUMMYFUNCTION("""COMPUTED_VALUE"""),0.5)</f>
        <v>0.5</v>
      </c>
      <c r="H166" s="122" t="str">
        <f>IFERROR(__xludf.DUMMYFUNCTION("""COMPUTED_VALUE"""),"Active")</f>
        <v>Active</v>
      </c>
    </row>
    <row r="167">
      <c r="A167" s="131">
        <f>IFERROR(__xludf.DUMMYFUNCTION("""COMPUTED_VALUE"""),46167.331458333334)</f>
        <v>46167.33146</v>
      </c>
      <c r="B167" s="122" t="str">
        <f>IFERROR(__xludf.DUMMYFUNCTION("""COMPUTED_VALUE"""),"TECH")</f>
        <v>TECH</v>
      </c>
      <c r="C167" s="122" t="str">
        <f>IFERROR(__xludf.DUMMYFUNCTION("""COMPUTED_VALUE"""),"Dragon Tech remains stable as the Technology market shows normal activity.")</f>
        <v>Dragon Tech remains stable as the Technology market shows normal activity.</v>
      </c>
      <c r="D167" s="122" t="str">
        <f>IFERROR(__xludf.DUMMYFUNCTION("""COMPUTED_VALUE"""),"Dragon Tech appears steady with no major changes reported.")</f>
        <v>Dragon Tech appears steady with no major changes reported.</v>
      </c>
      <c r="E167" s="122" t="str">
        <f>IFERROR(__xludf.DUMMYFUNCTION("""COMPUTED_VALUE"""),"Neutral")</f>
        <v>Neutral</v>
      </c>
      <c r="F167" s="122">
        <f>IFERROR(__xludf.DUMMYFUNCTION("""COMPUTED_VALUE"""),0.0)</f>
        <v>0</v>
      </c>
      <c r="G167" s="122">
        <f>IFERROR(__xludf.DUMMYFUNCTION("""COMPUTED_VALUE"""),0.0)</f>
        <v>0</v>
      </c>
      <c r="H167" s="122" t="str">
        <f>IFERROR(__xludf.DUMMYFUNCTION("""COMPUTED_VALUE"""),"Active")</f>
        <v>Active</v>
      </c>
    </row>
    <row r="168">
      <c r="A168" s="131">
        <f>IFERROR(__xludf.DUMMYFUNCTION("""COMPUTED_VALUE"""),46167.33146990741)</f>
        <v>46167.33147</v>
      </c>
      <c r="B168" s="122" t="str">
        <f>IFERROR(__xludf.DUMMYFUNCTION("""COMPUTED_VALUE"""),"AIBO")</f>
        <v>AIBO</v>
      </c>
      <c r="C168" s="122" t="str">
        <f>IFERROR(__xludf.DUMMYFUNCTION("""COMPUTED_VALUE"""),"Homework AI faces weaker demand and cautious investor sentiment.")</f>
        <v>Homework AI faces weaker demand and cautious investor sentiment.</v>
      </c>
      <c r="D168" s="122" t="str">
        <f>IFERROR(__xludf.DUMMYFUNCTION("""COMPUTED_VALUE"""),"Investors are watching Homework AI closely as demand weakens.")</f>
        <v>Investors are watching Homework AI closely as demand weakens.</v>
      </c>
      <c r="E168" s="122" t="str">
        <f>IFERROR(__xludf.DUMMYFUNCTION("""COMPUTED_VALUE"""),"Negative")</f>
        <v>Negative</v>
      </c>
      <c r="F168" s="122">
        <f>IFERROR(__xludf.DUMMYFUNCTION("""COMPUTED_VALUE"""),-0.015)</f>
        <v>-0.015</v>
      </c>
      <c r="G168" s="122">
        <f>IFERROR(__xludf.DUMMYFUNCTION("""COMPUTED_VALUE"""),0.75)</f>
        <v>0.75</v>
      </c>
      <c r="H168" s="122" t="str">
        <f>IFERROR(__xludf.DUMMYFUNCTION("""COMPUTED_VALUE"""),"Active")</f>
        <v>Active</v>
      </c>
    </row>
    <row r="169">
      <c r="A169" s="131">
        <f>IFERROR(__xludf.DUMMYFUNCTION("""COMPUTED_VALUE"""),46167.33148148148)</f>
        <v>46167.33148</v>
      </c>
      <c r="B169" s="122" t="str">
        <f>IFERROR(__xludf.DUMMYFUNCTION("""COMPUTED_VALUE"""),"GAME")</f>
        <v>GAME</v>
      </c>
      <c r="C169" s="122" t="str">
        <f>IFERROR(__xludf.DUMMYFUNCTION("""COMPUTED_VALUE"""),"GameBox Media surges as demand rises across the Entertainment sector.")</f>
        <v>GameBox Media surges as demand rises across the Entertainment sector.</v>
      </c>
      <c r="D169" s="122" t="str">
        <f>IFERROR(__xludf.DUMMYFUNCTION("""COMPUTED_VALUE"""),"GameBox Media is seeing strong demand, which may increase investor confidence.")</f>
        <v>GameBox Media is seeing strong demand, which may increase investor confidence.</v>
      </c>
      <c r="E169" s="122" t="str">
        <f>IFERROR(__xludf.DUMMYFUNCTION("""COMPUTED_VALUE"""),"Positive")</f>
        <v>Positive</v>
      </c>
      <c r="F169" s="122">
        <f>IFERROR(__xludf.DUMMYFUNCTION("""COMPUTED_VALUE"""),0.03)</f>
        <v>0.03</v>
      </c>
      <c r="G169" s="122">
        <f>IFERROR(__xludf.DUMMYFUNCTION("""COMPUTED_VALUE"""),1.0)</f>
        <v>1</v>
      </c>
      <c r="H169" s="122" t="str">
        <f>IFERROR(__xludf.DUMMYFUNCTION("""COMPUTED_VALUE"""),"Active")</f>
        <v>Active</v>
      </c>
    </row>
    <row r="170">
      <c r="A170" s="131">
        <f>IFERROR(__xludf.DUMMYFUNCTION("""COMPUTED_VALUE"""),46167.33150462963)</f>
        <v>46167.3315</v>
      </c>
      <c r="B170" s="122" t="str">
        <f>IFERROR(__xludf.DUMMYFUNCTION("""COMPUTED_VALUE"""),"VRSE")</f>
        <v>VRSE</v>
      </c>
      <c r="C170" s="122" t="str">
        <f>IFERROR(__xludf.DUMMYFUNCTION("""COMPUTED_VALUE"""),"VerseVR faces weaker demand and cautious investor sentiment.")</f>
        <v>VerseVR faces weaker demand and cautious investor sentiment.</v>
      </c>
      <c r="D170" s="122" t="str">
        <f>IFERROR(__xludf.DUMMYFUNCTION("""COMPUTED_VALUE"""),"Investors are watching VerseVR closely as demand weakens.")</f>
        <v>Investors are watching VerseVR closely as demand weakens.</v>
      </c>
      <c r="E170" s="122" t="str">
        <f>IFERROR(__xludf.DUMMYFUNCTION("""COMPUTED_VALUE"""),"Negative")</f>
        <v>Negative</v>
      </c>
      <c r="F170" s="122">
        <f>IFERROR(__xludf.DUMMYFUNCTION("""COMPUTED_VALUE"""),-0.015)</f>
        <v>-0.015</v>
      </c>
      <c r="G170" s="122">
        <f>IFERROR(__xludf.DUMMYFUNCTION("""COMPUTED_VALUE"""),0.75)</f>
        <v>0.75</v>
      </c>
      <c r="H170" s="122" t="str">
        <f>IFERROR(__xludf.DUMMYFUNCTION("""COMPUTED_VALUE"""),"Active")</f>
        <v>Active</v>
      </c>
    </row>
    <row r="171">
      <c r="A171" s="131">
        <f>IFERROR(__xludf.DUMMYFUNCTION("""COMPUTED_VALUE"""),46167.3315162037)</f>
        <v>46167.33152</v>
      </c>
      <c r="B171" s="122" t="str">
        <f>IFERROR(__xludf.DUMMYFUNCTION("""COMPUTED_VALUE"""),"BYTE")</f>
        <v>BYTE</v>
      </c>
      <c r="C171" s="122" t="str">
        <f>IFERROR(__xludf.DUMMYFUNCTION("""COMPUTED_VALUE"""),"ByteWorks remains stable as the Technology market shows normal activity.")</f>
        <v>ByteWorks remains stable as the Technology market shows normal activity.</v>
      </c>
      <c r="D171" s="122" t="str">
        <f>IFERROR(__xludf.DUMMYFUNCTION("""COMPUTED_VALUE"""),"ByteWorks appears steady with no major changes reported.")</f>
        <v>ByteWorks appears steady with no major changes reported.</v>
      </c>
      <c r="E171" s="122" t="str">
        <f>IFERROR(__xludf.DUMMYFUNCTION("""COMPUTED_VALUE"""),"Neutral")</f>
        <v>Neutral</v>
      </c>
      <c r="F171" s="122">
        <f>IFERROR(__xludf.DUMMYFUNCTION("""COMPUTED_VALUE"""),0.0)</f>
        <v>0</v>
      </c>
      <c r="G171" s="122">
        <f>IFERROR(__xludf.DUMMYFUNCTION("""COMPUTED_VALUE"""),0.0)</f>
        <v>0</v>
      </c>
      <c r="H171" s="122" t="str">
        <f>IFERROR(__xludf.DUMMYFUNCTION("""COMPUTED_VALUE"""),"Active")</f>
        <v>Active</v>
      </c>
    </row>
    <row r="172">
      <c r="A172" s="131">
        <f>IFERROR(__xludf.DUMMYFUNCTION("""COMPUTED_VALUE"""),46167.33152777778)</f>
        <v>46167.33153</v>
      </c>
      <c r="B172" s="122" t="str">
        <f>IFERROR(__xludf.DUMMYFUNCTION("""COMPUTED_VALUE"""),"BANK")</f>
        <v>BANK</v>
      </c>
      <c r="C172" s="122" t="str">
        <f>IFERROR(__xludf.DUMMYFUNCTION("""COMPUTED_VALUE"""),"Tiger Bank faces weaker demand and cautious investor sentiment.")</f>
        <v>Tiger Bank faces weaker demand and cautious investor sentiment.</v>
      </c>
      <c r="D172" s="122" t="str">
        <f>IFERROR(__xludf.DUMMYFUNCTION("""COMPUTED_VALUE"""),"Investors are watching Tiger Bank closely as demand weakens.")</f>
        <v>Investors are watching Tiger Bank closely as demand weakens.</v>
      </c>
      <c r="E172" s="122" t="str">
        <f>IFERROR(__xludf.DUMMYFUNCTION("""COMPUTED_VALUE"""),"Negative")</f>
        <v>Negative</v>
      </c>
      <c r="F172" s="122">
        <f>IFERROR(__xludf.DUMMYFUNCTION("""COMPUTED_VALUE"""),-0.015)</f>
        <v>-0.015</v>
      </c>
      <c r="G172" s="122">
        <f>IFERROR(__xludf.DUMMYFUNCTION("""COMPUTED_VALUE"""),0.75)</f>
        <v>0.75</v>
      </c>
      <c r="H172" s="122" t="str">
        <f>IFERROR(__xludf.DUMMYFUNCTION("""COMPUTED_VALUE"""),"Active")</f>
        <v>Active</v>
      </c>
    </row>
    <row r="173">
      <c r="A173" s="131">
        <f>IFERROR(__xludf.DUMMYFUNCTION("""COMPUTED_VALUE"""),46167.33153935185)</f>
        <v>46167.33154</v>
      </c>
      <c r="B173" s="122" t="str">
        <f>IFERROR(__xludf.DUMMYFUNCTION("""COMPUTED_VALUE"""),"CRED")</f>
        <v>CRED</v>
      </c>
      <c r="C173" s="122" t="str">
        <f>IFERROR(__xludf.DUMMYFUNCTION("""COMPUTED_VALUE"""),"Credit Castle remains stable as the Finance market shows normal activity.")</f>
        <v>Credit Castle remains stable as the Finance market shows normal activity.</v>
      </c>
      <c r="D173" s="122" t="str">
        <f>IFERROR(__xludf.DUMMYFUNCTION("""COMPUTED_VALUE"""),"Credit Castle appears steady with no major changes reported.")</f>
        <v>Credit Castle appears steady with no major changes reported.</v>
      </c>
      <c r="E173" s="122" t="str">
        <f>IFERROR(__xludf.DUMMYFUNCTION("""COMPUTED_VALUE"""),"Neutral")</f>
        <v>Neutral</v>
      </c>
      <c r="F173" s="122">
        <f>IFERROR(__xludf.DUMMYFUNCTION("""COMPUTED_VALUE"""),0.0)</f>
        <v>0</v>
      </c>
      <c r="G173" s="122">
        <f>IFERROR(__xludf.DUMMYFUNCTION("""COMPUTED_VALUE"""),0.0)</f>
        <v>0</v>
      </c>
      <c r="H173" s="122" t="str">
        <f>IFERROR(__xludf.DUMMYFUNCTION("""COMPUTED_VALUE"""),"Active")</f>
        <v>Active</v>
      </c>
    </row>
    <row r="174">
      <c r="A174" s="131">
        <f>IFERROR(__xludf.DUMMYFUNCTION("""COMPUTED_VALUE"""),46167.33157407407)</f>
        <v>46167.33157</v>
      </c>
      <c r="B174" s="122" t="str">
        <f>IFERROR(__xludf.DUMMYFUNCTION("""COMPUTED_VALUE"""),"BOND")</f>
        <v>BOND</v>
      </c>
      <c r="C174" s="122" t="str">
        <f>IFERROR(__xludf.DUMMYFUNCTION("""COMPUTED_VALUE"""),"BondBridge faces weaker demand and cautious investor sentiment.")</f>
        <v>BondBridge faces weaker demand and cautious investor sentiment.</v>
      </c>
      <c r="D174" s="122" t="str">
        <f>IFERROR(__xludf.DUMMYFUNCTION("""COMPUTED_VALUE"""),"Investors are watching BondBridge closely as demand weakens.")</f>
        <v>Investors are watching BondBridge closely as demand weakens.</v>
      </c>
      <c r="E174" s="122" t="str">
        <f>IFERROR(__xludf.DUMMYFUNCTION("""COMPUTED_VALUE"""),"Negative")</f>
        <v>Negative</v>
      </c>
      <c r="F174" s="122">
        <f>IFERROR(__xludf.DUMMYFUNCTION("""COMPUTED_VALUE"""),-0.015)</f>
        <v>-0.015</v>
      </c>
      <c r="G174" s="122">
        <f>IFERROR(__xludf.DUMMYFUNCTION("""COMPUTED_VALUE"""),0.75)</f>
        <v>0.75</v>
      </c>
      <c r="H174" s="122" t="str">
        <f>IFERROR(__xludf.DUMMYFUNCTION("""COMPUTED_VALUE"""),"Active")</f>
        <v>Active</v>
      </c>
    </row>
    <row r="175">
      <c r="A175" s="131">
        <f>IFERROR(__xludf.DUMMYFUNCTION("""COMPUTED_VALUE"""),46167.33158564815)</f>
        <v>46167.33159</v>
      </c>
      <c r="B175" s="122" t="str">
        <f>IFERROR(__xludf.DUMMYFUNCTION("""COMPUTED_VALUE"""),"INSR")</f>
        <v>INSR</v>
      </c>
      <c r="C175" s="122" t="str">
        <f>IFERROR(__xludf.DUMMYFUNCTION("""COMPUTED_VALUE"""),"Shield Insurance sees uncertain trading as investors react to mixed signals.")</f>
        <v>Shield Insurance sees uncertain trading as investors react to mixed signals.</v>
      </c>
      <c r="D175" s="122" t="str">
        <f>IFERROR(__xludf.DUMMYFUNCTION("""COMPUTED_VALUE"""),"Shield Insurance may experience larger price swings as investors disagree on direction.")</f>
        <v>Shield Insurance may experience larger price swings as investors disagree on direction.</v>
      </c>
      <c r="E175" s="122" t="str">
        <f>IFERROR(__xludf.DUMMYFUNCTION("""COMPUTED_VALUE"""),"Mixed")</f>
        <v>Mixed</v>
      </c>
      <c r="F175" s="122">
        <f>IFERROR(__xludf.DUMMYFUNCTION("""COMPUTED_VALUE"""),0.007397638053886237)</f>
        <v>0.007397638054</v>
      </c>
      <c r="G175" s="122">
        <f>IFERROR(__xludf.DUMMYFUNCTION("""COMPUTED_VALUE"""),1.5)</f>
        <v>1.5</v>
      </c>
      <c r="H175" s="122" t="str">
        <f>IFERROR(__xludf.DUMMYFUNCTION("""COMPUTED_VALUE"""),"Active")</f>
        <v>Active</v>
      </c>
    </row>
    <row r="176">
      <c r="A176" s="131">
        <f>IFERROR(__xludf.DUMMYFUNCTION("""COMPUTED_VALUE"""),46167.33159722222)</f>
        <v>46167.3316</v>
      </c>
      <c r="B176" s="122" t="str">
        <f>IFERROR(__xludf.DUMMYFUNCTION("""COMPUTED_VALUE"""),"LOAN")</f>
        <v>LOAN</v>
      </c>
      <c r="C176" s="122" t="str">
        <f>IFERROR(__xludf.DUMMYFUNCTION("""COMPUTED_VALUE"""),"LoanLab remains stable as the Finance market shows normal activity.")</f>
        <v>LoanLab remains stable as the Finance market shows normal activity.</v>
      </c>
      <c r="D176" s="122" t="str">
        <f>IFERROR(__xludf.DUMMYFUNCTION("""COMPUTED_VALUE"""),"LoanLab appears steady with no major changes reported.")</f>
        <v>LoanLab appears steady with no major changes reported.</v>
      </c>
      <c r="E176" s="122" t="str">
        <f>IFERROR(__xludf.DUMMYFUNCTION("""COMPUTED_VALUE"""),"Neutral")</f>
        <v>Neutral</v>
      </c>
      <c r="F176" s="122">
        <f>IFERROR(__xludf.DUMMYFUNCTION("""COMPUTED_VALUE"""),0.0)</f>
        <v>0</v>
      </c>
      <c r="G176" s="122">
        <f>IFERROR(__xludf.DUMMYFUNCTION("""COMPUTED_VALUE"""),0.0)</f>
        <v>0</v>
      </c>
      <c r="H176" s="122" t="str">
        <f>IFERROR(__xludf.DUMMYFUNCTION("""COMPUTED_VALUE"""),"Active")</f>
        <v>Active</v>
      </c>
    </row>
    <row r="177">
      <c r="A177" s="131">
        <f>IFERROR(__xludf.DUMMYFUNCTION("""COMPUTED_VALUE"""),46167.331608796296)</f>
        <v>46167.33161</v>
      </c>
      <c r="B177" s="122" t="str">
        <f>IFERROR(__xludf.DUMMYFUNCTION("""COMPUTED_VALUE"""),"LUXE")</f>
        <v>LUXE</v>
      </c>
      <c r="C177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177" s="122" t="str">
        <f>IFERROR(__xludf.DUMMYFUNCTION("""COMPUTED_VALUE"""),"Luxury Locker appears steady with no major changes reported.")</f>
        <v>Luxury Locker appears steady with no major changes reported.</v>
      </c>
      <c r="E177" s="122" t="str">
        <f>IFERROR(__xludf.DUMMYFUNCTION("""COMPUTED_VALUE"""),"Neutral")</f>
        <v>Neutral</v>
      </c>
      <c r="F177" s="122">
        <f>IFERROR(__xludf.DUMMYFUNCTION("""COMPUTED_VALUE"""),0.0)</f>
        <v>0</v>
      </c>
      <c r="G177" s="122">
        <f>IFERROR(__xludf.DUMMYFUNCTION("""COMPUTED_VALUE"""),0.0)</f>
        <v>0</v>
      </c>
      <c r="H177" s="122" t="str">
        <f>IFERROR(__xludf.DUMMYFUNCTION("""COMPUTED_VALUE"""),"Active")</f>
        <v>Active</v>
      </c>
    </row>
    <row r="178">
      <c r="A178" s="131">
        <f>IFERROR(__xludf.DUMMYFUNCTION("""COMPUTED_VALUE"""),46167.33162037037)</f>
        <v>46167.33162</v>
      </c>
      <c r="B178" s="122" t="str">
        <f>IFERROR(__xludf.DUMMYFUNCTION("""COMPUTED_VALUE"""),"DRIP")</f>
        <v>DRIP</v>
      </c>
      <c r="C178" s="122" t="str">
        <f>IFERROR(__xludf.DUMMYFUNCTION("""COMPUTED_VALUE"""),"Drip Streetwear faces weaker demand and cautious investor sentiment.")</f>
        <v>Drip Streetwear faces weaker demand and cautious investor sentiment.</v>
      </c>
      <c r="D178" s="122" t="str">
        <f>IFERROR(__xludf.DUMMYFUNCTION("""COMPUTED_VALUE"""),"Investors are watching Drip Streetwear closely as demand weakens.")</f>
        <v>Investors are watching Drip Streetwear closely as demand weakens.</v>
      </c>
      <c r="E178" s="122" t="str">
        <f>IFERROR(__xludf.DUMMYFUNCTION("""COMPUTED_VALUE"""),"Negative")</f>
        <v>Negative</v>
      </c>
      <c r="F178" s="122">
        <f>IFERROR(__xludf.DUMMYFUNCTION("""COMPUTED_VALUE"""),-0.015)</f>
        <v>-0.015</v>
      </c>
      <c r="G178" s="122">
        <f>IFERROR(__xludf.DUMMYFUNCTION("""COMPUTED_VALUE"""),0.75)</f>
        <v>0.75</v>
      </c>
      <c r="H178" s="122" t="str">
        <f>IFERROR(__xludf.DUMMYFUNCTION("""COMPUTED_VALUE"""),"Active")</f>
        <v>Active</v>
      </c>
    </row>
    <row r="179">
      <c r="A179" s="131">
        <f>IFERROR(__xludf.DUMMYFUNCTION("""COMPUTED_VALUE"""),46167.33163194444)</f>
        <v>46167.33163</v>
      </c>
      <c r="B179" s="122" t="str">
        <f>IFERROR(__xludf.DUMMYFUNCTION("""COMPUTED_VALUE"""),"KICK")</f>
        <v>KICK</v>
      </c>
      <c r="C179" s="122" t="str">
        <f>IFERROR(__xludf.DUMMYFUNCTION("""COMPUTED_VALUE"""),"KickDrop Sneakers reports steady growth and improved market confidence.")</f>
        <v>KickDrop Sneakers reports steady growth and improved market confidence.</v>
      </c>
      <c r="D179" s="122" t="str">
        <f>IFERROR(__xludf.DUMMYFUNCTION("""COMPUTED_VALUE"""),"KickDrop Sneakers continues to show positive momentum with moderate risk.")</f>
        <v>KickDrop Sneakers continues to show positive momentum with moderate risk.</v>
      </c>
      <c r="E179" s="122" t="str">
        <f>IFERROR(__xludf.DUMMYFUNCTION("""COMPUTED_VALUE"""),"Positive")</f>
        <v>Positive</v>
      </c>
      <c r="F179" s="122">
        <f>IFERROR(__xludf.DUMMYFUNCTION("""COMPUTED_VALUE"""),0.015)</f>
        <v>0.015</v>
      </c>
      <c r="G179" s="122">
        <f>IFERROR(__xludf.DUMMYFUNCTION("""COMPUTED_VALUE"""),0.5)</f>
        <v>0.5</v>
      </c>
      <c r="H179" s="122" t="str">
        <f>IFERROR(__xludf.DUMMYFUNCTION("""COMPUTED_VALUE"""),"Active")</f>
        <v>Active</v>
      </c>
    </row>
    <row r="180">
      <c r="A180" s="131">
        <f>IFERROR(__xludf.DUMMYFUNCTION("""COMPUTED_VALUE"""),46167.33164351852)</f>
        <v>46167.33164</v>
      </c>
      <c r="B180" s="122" t="str">
        <f>IFERROR(__xludf.DUMMYFUNCTION("""COMPUTED_VALUE"""),"GLAM")</f>
        <v>GLAM</v>
      </c>
      <c r="C180" s="122" t="str">
        <f>IFERROR(__xludf.DUMMYFUNCTION("""COMPUTED_VALUE"""),"Glow Cosmetics remains stable as the Fashion market shows normal activity.")</f>
        <v>Glow Cosmetics remains stable as the Fashion market shows normal activity.</v>
      </c>
      <c r="D180" s="122" t="str">
        <f>IFERROR(__xludf.DUMMYFUNCTION("""COMPUTED_VALUE"""),"Glow Cosmetics appears steady with no major changes reported.")</f>
        <v>Glow Cosmetics appears steady with no major changes reported.</v>
      </c>
      <c r="E180" s="122" t="str">
        <f>IFERROR(__xludf.DUMMYFUNCTION("""COMPUTED_VALUE"""),"Neutral")</f>
        <v>Neutral</v>
      </c>
      <c r="F180" s="122">
        <f>IFERROR(__xludf.DUMMYFUNCTION("""COMPUTED_VALUE"""),0.0)</f>
        <v>0</v>
      </c>
      <c r="G180" s="122">
        <f>IFERROR(__xludf.DUMMYFUNCTION("""COMPUTED_VALUE"""),0.0)</f>
        <v>0</v>
      </c>
      <c r="H180" s="122" t="str">
        <f>IFERROR(__xludf.DUMMYFUNCTION("""COMPUTED_VALUE"""),"Active")</f>
        <v>Active</v>
      </c>
    </row>
    <row r="181">
      <c r="A181" s="131">
        <f>IFERROR(__xludf.DUMMYFUNCTION("""COMPUTED_VALUE"""),46167.331655092596)</f>
        <v>46167.33166</v>
      </c>
      <c r="B181" s="122" t="str">
        <f>IFERROR(__xludf.DUMMYFUNCTION("""COMPUTED_VALUE"""),"BAGG")</f>
        <v>BAGG</v>
      </c>
      <c r="C181" s="122" t="str">
        <f>IFERROR(__xludf.DUMMYFUNCTION("""COMPUTED_VALUE"""),"BagVault faces weaker demand and cautious investor sentiment.")</f>
        <v>BagVault faces weaker demand and cautious investor sentiment.</v>
      </c>
      <c r="D181" s="122" t="str">
        <f>IFERROR(__xludf.DUMMYFUNCTION("""COMPUTED_VALUE"""),"Investors are watching BagVault closely as demand weakens.")</f>
        <v>Investors are watching BagVault closely as demand weakens.</v>
      </c>
      <c r="E181" s="122" t="str">
        <f>IFERROR(__xludf.DUMMYFUNCTION("""COMPUTED_VALUE"""),"Negative")</f>
        <v>Negative</v>
      </c>
      <c r="F181" s="122">
        <f>IFERROR(__xludf.DUMMYFUNCTION("""COMPUTED_VALUE"""),-0.015)</f>
        <v>-0.015</v>
      </c>
      <c r="G181" s="122">
        <f>IFERROR(__xludf.DUMMYFUNCTION("""COMPUTED_VALUE"""),0.75)</f>
        <v>0.75</v>
      </c>
      <c r="H181" s="122" t="str">
        <f>IFERROR(__xludf.DUMMYFUNCTION("""COMPUTED_VALUE"""),"Active")</f>
        <v>Active</v>
      </c>
    </row>
    <row r="182">
      <c r="A182" s="131">
        <f>IFERROR(__xludf.DUMMYFUNCTION("""COMPUTED_VALUE"""),46167.331655092596)</f>
        <v>46167.33166</v>
      </c>
      <c r="B182" s="122" t="str">
        <f>IFERROR(__xludf.DUMMYFUNCTION("""COMPUTED_VALUE"""),"FAST")</f>
        <v>FAST</v>
      </c>
      <c r="C182" s="122" t="str">
        <f>IFERROR(__xludf.DUMMYFUNCTION("""COMPUTED_VALUE"""),"Flash Logistics reports steady growth and improved market confidence.")</f>
        <v>Flash Logistics reports steady growth and improved market confidence.</v>
      </c>
      <c r="D182" s="122" t="str">
        <f>IFERROR(__xludf.DUMMYFUNCTION("""COMPUTED_VALUE"""),"Flash Logistics continues to show positive momentum with moderate risk.")</f>
        <v>Flash Logistics continues to show positive momentum with moderate risk.</v>
      </c>
      <c r="E182" s="122" t="str">
        <f>IFERROR(__xludf.DUMMYFUNCTION("""COMPUTED_VALUE"""),"Positive")</f>
        <v>Positive</v>
      </c>
      <c r="F182" s="122">
        <f>IFERROR(__xludf.DUMMYFUNCTION("""COMPUTED_VALUE"""),0.015)</f>
        <v>0.015</v>
      </c>
      <c r="G182" s="122">
        <f>IFERROR(__xludf.DUMMYFUNCTION("""COMPUTED_VALUE"""),0.5)</f>
        <v>0.5</v>
      </c>
      <c r="H182" s="122" t="str">
        <f>IFERROR(__xludf.DUMMYFUNCTION("""COMPUTED_VALUE"""),"Active")</f>
        <v>Active</v>
      </c>
    </row>
    <row r="183">
      <c r="A183" s="131">
        <f>IFERROR(__xludf.DUMMYFUNCTION("""COMPUTED_VALUE"""),46167.33170138889)</f>
        <v>46167.3317</v>
      </c>
      <c r="B183" s="122" t="str">
        <f>IFERROR(__xludf.DUMMYFUNCTION("""COMPUTED_VALUE"""),"SHIP")</f>
        <v>SHIP</v>
      </c>
      <c r="C183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83" s="122" t="str">
        <f>IFERROR(__xludf.DUMMYFUNCTION("""COMPUTED_VALUE"""),"Seoul Shipping appears steady with no major changes reported.")</f>
        <v>Seoul Shipping appears steady with no major changes reported.</v>
      </c>
      <c r="E183" s="122" t="str">
        <f>IFERROR(__xludf.DUMMYFUNCTION("""COMPUTED_VALUE"""),"Neutral")</f>
        <v>Neutral</v>
      </c>
      <c r="F183" s="122">
        <f>IFERROR(__xludf.DUMMYFUNCTION("""COMPUTED_VALUE"""),0.0)</f>
        <v>0</v>
      </c>
      <c r="G183" s="122">
        <f>IFERROR(__xludf.DUMMYFUNCTION("""COMPUTED_VALUE"""),0.0)</f>
        <v>0</v>
      </c>
      <c r="H183" s="122" t="str">
        <f>IFERROR(__xludf.DUMMYFUNCTION("""COMPUTED_VALUE"""),"Active")</f>
        <v>Active</v>
      </c>
    </row>
    <row r="184">
      <c r="A184" s="131">
        <f>IFERROR(__xludf.DUMMYFUNCTION("""COMPUTED_VALUE"""),46167.331712962965)</f>
        <v>46167.33171</v>
      </c>
      <c r="B184" s="122" t="str">
        <f>IFERROR(__xludf.DUMMYFUNCTION("""COMPUTED_VALUE"""),"DRON")</f>
        <v>DRON</v>
      </c>
      <c r="C184" s="122" t="str">
        <f>IFERROR(__xludf.DUMMYFUNCTION("""COMPUTED_VALUE"""),"DroneDrop sees uncertain trading as investors react to mixed signals.")</f>
        <v>DroneDrop sees uncertain trading as investors react to mixed signals.</v>
      </c>
      <c r="D184" s="122" t="str">
        <f>IFERROR(__xludf.DUMMYFUNCTION("""COMPUTED_VALUE"""),"DroneDrop may experience larger price swings as investors disagree on direction.")</f>
        <v>DroneDrop may experience larger price swings as investors disagree on direction.</v>
      </c>
      <c r="E184" s="122" t="str">
        <f>IFERROR(__xludf.DUMMYFUNCTION("""COMPUTED_VALUE"""),"Mixed")</f>
        <v>Mixed</v>
      </c>
      <c r="F184" s="122">
        <f>IFERROR(__xludf.DUMMYFUNCTION("""COMPUTED_VALUE"""),0.016181172782908804)</f>
        <v>0.01618117278</v>
      </c>
      <c r="G184" s="122">
        <f>IFERROR(__xludf.DUMMYFUNCTION("""COMPUTED_VALUE"""),1.5)</f>
        <v>1.5</v>
      </c>
      <c r="H184" s="122" t="str">
        <f>IFERROR(__xludf.DUMMYFUNCTION("""COMPUTED_VALUE"""),"Active")</f>
        <v>Active</v>
      </c>
    </row>
    <row r="185">
      <c r="A185" s="131">
        <f>IFERROR(__xludf.DUMMYFUNCTION("""COMPUTED_VALUE"""),46167.33173611111)</f>
        <v>46167.33174</v>
      </c>
      <c r="B185" s="122" t="str">
        <f>IFERROR(__xludf.DUMMYFUNCTION("""COMPUTED_VALUE"""),"RIDE")</f>
        <v>RIDE</v>
      </c>
      <c r="C185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185" s="122" t="str">
        <f>IFERROR(__xludf.DUMMYFUNCTION("""COMPUTED_VALUE"""),"QuickRide appears steady with no major changes reported.")</f>
        <v>QuickRide appears steady with no major changes reported.</v>
      </c>
      <c r="E185" s="122" t="str">
        <f>IFERROR(__xludf.DUMMYFUNCTION("""COMPUTED_VALUE"""),"Neutral")</f>
        <v>Neutral</v>
      </c>
      <c r="F185" s="122">
        <f>IFERROR(__xludf.DUMMYFUNCTION("""COMPUTED_VALUE"""),0.0)</f>
        <v>0</v>
      </c>
      <c r="G185" s="122">
        <f>IFERROR(__xludf.DUMMYFUNCTION("""COMPUTED_VALUE"""),0.0)</f>
        <v>0</v>
      </c>
      <c r="H185" s="122" t="str">
        <f>IFERROR(__xludf.DUMMYFUNCTION("""COMPUTED_VALUE"""),"Active")</f>
        <v>Active</v>
      </c>
    </row>
    <row r="186">
      <c r="A186" s="131">
        <f>IFERROR(__xludf.DUMMYFUNCTION("""COMPUTED_VALUE"""),46167.331770833334)</f>
        <v>46167.33177</v>
      </c>
      <c r="B186" s="122" t="str">
        <f>IFERROR(__xludf.DUMMYFUNCTION("""COMPUTED_VALUE"""),"RAIL")</f>
        <v>RAIL</v>
      </c>
      <c r="C186" s="122" t="str">
        <f>IFERROR(__xludf.DUMMYFUNCTION("""COMPUTED_VALUE"""),"MetroRail Corp reports steady growth and improved market confidence.")</f>
        <v>MetroRail Corp reports steady growth and improved market confidence.</v>
      </c>
      <c r="D186" s="122" t="str">
        <f>IFERROR(__xludf.DUMMYFUNCTION("""COMPUTED_VALUE"""),"MetroRail Corp continues to show positive momentum with moderate risk.")</f>
        <v>MetroRail Corp continues to show positive momentum with moderate risk.</v>
      </c>
      <c r="E186" s="122" t="str">
        <f>IFERROR(__xludf.DUMMYFUNCTION("""COMPUTED_VALUE"""),"Positive")</f>
        <v>Positive</v>
      </c>
      <c r="F186" s="122">
        <f>IFERROR(__xludf.DUMMYFUNCTION("""COMPUTED_VALUE"""),0.015)</f>
        <v>0.015</v>
      </c>
      <c r="G186" s="122">
        <f>IFERROR(__xludf.DUMMYFUNCTION("""COMPUTED_VALUE"""),0.5)</f>
        <v>0.5</v>
      </c>
      <c r="H186" s="122" t="str">
        <f>IFERROR(__xludf.DUMMYFUNCTION("""COMPUTED_VALUE"""),"Active")</f>
        <v>Active</v>
      </c>
    </row>
    <row r="187">
      <c r="A187" s="131">
        <f>IFERROR(__xludf.DUMMYFUNCTION("""COMPUTED_VALUE"""),46167.331782407404)</f>
        <v>46167.33178</v>
      </c>
      <c r="B187" s="122" t="str">
        <f>IFERROR(__xludf.DUMMYFUNCTION("""COMPUTED_VALUE"""),"MEDX")</f>
        <v>MEDX</v>
      </c>
      <c r="C187" s="122" t="str">
        <f>IFERROR(__xludf.DUMMYFUNCTION("""COMPUTED_VALUE"""),"MediCore remains stable as the Healthcare market shows normal activity.")</f>
        <v>MediCore remains stable as the Healthcare market shows normal activity.</v>
      </c>
      <c r="D187" s="122" t="str">
        <f>IFERROR(__xludf.DUMMYFUNCTION("""COMPUTED_VALUE"""),"MediCore appears steady with no major changes reported.")</f>
        <v>MediCore appears steady with no major changes reported.</v>
      </c>
      <c r="E187" s="122" t="str">
        <f>IFERROR(__xludf.DUMMYFUNCTION("""COMPUTED_VALUE"""),"Neutral")</f>
        <v>Neutral</v>
      </c>
      <c r="F187" s="122">
        <f>IFERROR(__xludf.DUMMYFUNCTION("""COMPUTED_VALUE"""),0.0)</f>
        <v>0</v>
      </c>
      <c r="G187" s="122">
        <f>IFERROR(__xludf.DUMMYFUNCTION("""COMPUTED_VALUE"""),0.0)</f>
        <v>0</v>
      </c>
      <c r="H187" s="122" t="str">
        <f>IFERROR(__xludf.DUMMYFUNCTION("""COMPUTED_VALUE"""),"Active")</f>
        <v>Active</v>
      </c>
    </row>
    <row r="188">
      <c r="A188" s="131">
        <f>IFERROR(__xludf.DUMMYFUNCTION("""COMPUTED_VALUE"""),46167.33179398148)</f>
        <v>46167.33179</v>
      </c>
      <c r="B188" s="122" t="str">
        <f>IFERROR(__xludf.DUMMYFUNCTION("""COMPUTED_VALUE"""),"GYMX")</f>
        <v>GYMX</v>
      </c>
      <c r="C188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188" s="122" t="str">
        <f>IFERROR(__xludf.DUMMYFUNCTION("""COMPUTED_VALUE"""),"GymX Fitness appears steady with no major changes reported.")</f>
        <v>GymX Fitness appears steady with no major changes reported.</v>
      </c>
      <c r="E188" s="122" t="str">
        <f>IFERROR(__xludf.DUMMYFUNCTION("""COMPUTED_VALUE"""),"Neutral")</f>
        <v>Neutral</v>
      </c>
      <c r="F188" s="122">
        <f>IFERROR(__xludf.DUMMYFUNCTION("""COMPUTED_VALUE"""),0.0)</f>
        <v>0</v>
      </c>
      <c r="G188" s="122">
        <f>IFERROR(__xludf.DUMMYFUNCTION("""COMPUTED_VALUE"""),0.0)</f>
        <v>0</v>
      </c>
      <c r="H188" s="122" t="str">
        <f>IFERROR(__xludf.DUMMYFUNCTION("""COMPUTED_VALUE"""),"Active")</f>
        <v>Active</v>
      </c>
    </row>
    <row r="189">
      <c r="A189" s="131">
        <f>IFERROR(__xludf.DUMMYFUNCTION("""COMPUTED_VALUE"""),46167.33180555556)</f>
        <v>46167.33181</v>
      </c>
      <c r="B189" s="122" t="str">
        <f>IFERROR(__xludf.DUMMYFUNCTION("""COMPUTED_VALUE"""),"VITA")</f>
        <v>VITA</v>
      </c>
      <c r="C189" s="122" t="str">
        <f>IFERROR(__xludf.DUMMYFUNCTION("""COMPUTED_VALUE"""),"VitaPlus surges as demand rises across the Healthcare sector.")</f>
        <v>VitaPlus surges as demand rises across the Healthcare sector.</v>
      </c>
      <c r="D189" s="122" t="str">
        <f>IFERROR(__xludf.DUMMYFUNCTION("""COMPUTED_VALUE"""),"VitaPlus is seeing strong demand, which may increase investor confidence.")</f>
        <v>VitaPlus is seeing strong demand, which may increase investor confidence.</v>
      </c>
      <c r="E189" s="122" t="str">
        <f>IFERROR(__xludf.DUMMYFUNCTION("""COMPUTED_VALUE"""),"Positive")</f>
        <v>Positive</v>
      </c>
      <c r="F189" s="122">
        <f>IFERROR(__xludf.DUMMYFUNCTION("""COMPUTED_VALUE"""),0.03)</f>
        <v>0.03</v>
      </c>
      <c r="G189" s="122">
        <f>IFERROR(__xludf.DUMMYFUNCTION("""COMPUTED_VALUE"""),1.0)</f>
        <v>1</v>
      </c>
      <c r="H189" s="122" t="str">
        <f>IFERROR(__xludf.DUMMYFUNCTION("""COMPUTED_VALUE"""),"Active")</f>
        <v>Active</v>
      </c>
    </row>
    <row r="190">
      <c r="A190" s="131">
        <f>IFERROR(__xludf.DUMMYFUNCTION("""COMPUTED_VALUE"""),46167.33181712963)</f>
        <v>46167.33182</v>
      </c>
      <c r="B190" s="122" t="str">
        <f>IFERROR(__xludf.DUMMYFUNCTION("""COMPUTED_VALUE"""),"CARE")</f>
        <v>CARE</v>
      </c>
      <c r="C190" s="122" t="str">
        <f>IFERROR(__xludf.DUMMYFUNCTION("""COMPUTED_VALUE"""),"CareCloud reports steady growth and improved market confidence.")</f>
        <v>CareCloud reports steady growth and improved market confidence.</v>
      </c>
      <c r="D190" s="122" t="str">
        <f>IFERROR(__xludf.DUMMYFUNCTION("""COMPUTED_VALUE"""),"CareCloud continues to show positive momentum with moderate risk.")</f>
        <v>CareCloud continues to show positive momentum with moderate risk.</v>
      </c>
      <c r="E190" s="122" t="str">
        <f>IFERROR(__xludf.DUMMYFUNCTION("""COMPUTED_VALUE"""),"Positive")</f>
        <v>Positive</v>
      </c>
      <c r="F190" s="122">
        <f>IFERROR(__xludf.DUMMYFUNCTION("""COMPUTED_VALUE"""),0.015)</f>
        <v>0.015</v>
      </c>
      <c r="G190" s="122">
        <f>IFERROR(__xludf.DUMMYFUNCTION("""COMPUTED_VALUE"""),0.5)</f>
        <v>0.5</v>
      </c>
      <c r="H190" s="122" t="str">
        <f>IFERROR(__xludf.DUMMYFUNCTION("""COMPUTED_VALUE"""),"Active")</f>
        <v>Active</v>
      </c>
    </row>
    <row r="191">
      <c r="A191" s="131">
        <f>IFERROR(__xludf.DUMMYFUNCTION("""COMPUTED_VALUE"""),46167.331828703704)</f>
        <v>46167.33183</v>
      </c>
      <c r="B191" s="122" t="str">
        <f>IFERROR(__xludf.DUMMYFUNCTION("""COMPUTED_VALUE"""),"DENT")</f>
        <v>DENT</v>
      </c>
      <c r="C191" s="122" t="str">
        <f>IFERROR(__xludf.DUMMYFUNCTION("""COMPUTED_VALUE"""),"SmileWorks remains stable as the Healthcare market shows normal activity.")</f>
        <v>SmileWorks remains stable as the Healthcare market shows normal activity.</v>
      </c>
      <c r="D191" s="122" t="str">
        <f>IFERROR(__xludf.DUMMYFUNCTION("""COMPUTED_VALUE"""),"SmileWorks appears steady with no major changes reported.")</f>
        <v>SmileWorks appears steady with no major changes reported.</v>
      </c>
      <c r="E191" s="122" t="str">
        <f>IFERROR(__xludf.DUMMYFUNCTION("""COMPUTED_VALUE"""),"Neutral")</f>
        <v>Neutral</v>
      </c>
      <c r="F191" s="122">
        <f>IFERROR(__xludf.DUMMYFUNCTION("""COMPUTED_VALUE"""),0.0)</f>
        <v>0</v>
      </c>
      <c r="G191" s="122">
        <f>IFERROR(__xludf.DUMMYFUNCTION("""COMPUTED_VALUE"""),0.0)</f>
        <v>0</v>
      </c>
      <c r="H191" s="122" t="str">
        <f>IFERROR(__xludf.DUMMYFUNCTION("""COMPUTED_VALUE"""),"Active")</f>
        <v>Active</v>
      </c>
    </row>
    <row r="192">
      <c r="A192" s="131">
        <f>IFERROR(__xludf.DUMMYFUNCTION("""COMPUTED_VALUE"""),46167.33184027778)</f>
        <v>46167.33184</v>
      </c>
      <c r="B192" s="122" t="str">
        <f>IFERROR(__xludf.DUMMYFUNCTION("""COMPUTED_VALUE"""),"EDUX")</f>
        <v>EDUX</v>
      </c>
      <c r="C192" s="122" t="str">
        <f>IFERROR(__xludf.DUMMYFUNCTION("""COMPUTED_VALUE"""),"EduMax Learning faces weaker demand and cautious investor sentiment.")</f>
        <v>EduMax Learning faces weaker demand and cautious investor sentiment.</v>
      </c>
      <c r="D192" s="122" t="str">
        <f>IFERROR(__xludf.DUMMYFUNCTION("""COMPUTED_VALUE"""),"Investors are watching EduMax Learning closely as demand weakens.")</f>
        <v>Investors are watching EduMax Learning closely as demand weakens.</v>
      </c>
      <c r="E192" s="122" t="str">
        <f>IFERROR(__xludf.DUMMYFUNCTION("""COMPUTED_VALUE"""),"Negative")</f>
        <v>Negative</v>
      </c>
      <c r="F192" s="122">
        <f>IFERROR(__xludf.DUMMYFUNCTION("""COMPUTED_VALUE"""),-0.015)</f>
        <v>-0.015</v>
      </c>
      <c r="G192" s="122">
        <f>IFERROR(__xludf.DUMMYFUNCTION("""COMPUTED_VALUE"""),0.75)</f>
        <v>0.75</v>
      </c>
      <c r="H192" s="122" t="str">
        <f>IFERROR(__xludf.DUMMYFUNCTION("""COMPUTED_VALUE"""),"Active")</f>
        <v>Active</v>
      </c>
    </row>
    <row r="193">
      <c r="A193" s="131">
        <f>IFERROR(__xludf.DUMMYFUNCTION("""COMPUTED_VALUE"""),46167.33185185185)</f>
        <v>46167.33185</v>
      </c>
      <c r="B193" s="122" t="str">
        <f>IFERROR(__xludf.DUMMYFUNCTION("""COMPUTED_VALUE"""),"BOOK")</f>
        <v>BOOK</v>
      </c>
      <c r="C193" s="122" t="str">
        <f>IFERROR(__xludf.DUMMYFUNCTION("""COMPUTED_VALUE"""),"BookBridge remains stable as the Education market shows normal activity.")</f>
        <v>BookBridge remains stable as the Education market shows normal activity.</v>
      </c>
      <c r="D193" s="122" t="str">
        <f>IFERROR(__xludf.DUMMYFUNCTION("""COMPUTED_VALUE"""),"BookBridge appears steady with no major changes reported.")</f>
        <v>BookBridge appears steady with no major changes reported.</v>
      </c>
      <c r="E193" s="122" t="str">
        <f>IFERROR(__xludf.DUMMYFUNCTION("""COMPUTED_VALUE"""),"Neutral")</f>
        <v>Neutral</v>
      </c>
      <c r="F193" s="122">
        <f>IFERROR(__xludf.DUMMYFUNCTION("""COMPUTED_VALUE"""),0.0)</f>
        <v>0</v>
      </c>
      <c r="G193" s="122">
        <f>IFERROR(__xludf.DUMMYFUNCTION("""COMPUTED_VALUE"""),0.0)</f>
        <v>0</v>
      </c>
      <c r="H193" s="122" t="str">
        <f>IFERROR(__xludf.DUMMYFUNCTION("""COMPUTED_VALUE"""),"Active")</f>
        <v>Active</v>
      </c>
    </row>
    <row r="194">
      <c r="A194" s="131">
        <f>IFERROR(__xludf.DUMMYFUNCTION("""COMPUTED_VALUE"""),46167.331875)</f>
        <v>46167.33188</v>
      </c>
      <c r="B194" s="122" t="str">
        <f>IFERROR(__xludf.DUMMYFUNCTION("""COMPUTED_VALUE"""),"TUTR")</f>
        <v>TUTR</v>
      </c>
      <c r="C194" s="122" t="str">
        <f>IFERROR(__xludf.DUMMYFUNCTION("""COMPUTED_VALUE"""),"TutorTown remains stable as the Education market shows normal activity.")</f>
        <v>TutorTown remains stable as the Education market shows normal activity.</v>
      </c>
      <c r="D194" s="122" t="str">
        <f>IFERROR(__xludf.DUMMYFUNCTION("""COMPUTED_VALUE"""),"TutorTown appears steady with no major changes reported.")</f>
        <v>TutorTown appears steady with no major changes reported.</v>
      </c>
      <c r="E194" s="122" t="str">
        <f>IFERROR(__xludf.DUMMYFUNCTION("""COMPUTED_VALUE"""),"Neutral")</f>
        <v>Neutral</v>
      </c>
      <c r="F194" s="122">
        <f>IFERROR(__xludf.DUMMYFUNCTION("""COMPUTED_VALUE"""),0.0)</f>
        <v>0</v>
      </c>
      <c r="G194" s="122">
        <f>IFERROR(__xludf.DUMMYFUNCTION("""COMPUTED_VALUE"""),0.0)</f>
        <v>0</v>
      </c>
      <c r="H194" s="122" t="str">
        <f>IFERROR(__xludf.DUMMYFUNCTION("""COMPUTED_VALUE"""),"Active")</f>
        <v>Active</v>
      </c>
    </row>
    <row r="195">
      <c r="A195" s="131">
        <f>IFERROR(__xludf.DUMMYFUNCTION("""COMPUTED_VALUE"""),46167.33188657407)</f>
        <v>46167.33189</v>
      </c>
      <c r="B195" s="122" t="str">
        <f>IFERROR(__xludf.DUMMYFUNCTION("""COMPUTED_VALUE"""),"LANG")</f>
        <v>LANG</v>
      </c>
      <c r="C195" s="122" t="str">
        <f>IFERROR(__xludf.DUMMYFUNCTION("""COMPUTED_VALUE"""),"LinguaLab reports steady growth and improved market confidence.")</f>
        <v>LinguaLab reports steady growth and improved market confidence.</v>
      </c>
      <c r="D195" s="122" t="str">
        <f>IFERROR(__xludf.DUMMYFUNCTION("""COMPUTED_VALUE"""),"LinguaLab continues to show positive momentum with moderate risk.")</f>
        <v>LinguaLab continues to show positive momentum with moderate risk.</v>
      </c>
      <c r="E195" s="122" t="str">
        <f>IFERROR(__xludf.DUMMYFUNCTION("""COMPUTED_VALUE"""),"Positive")</f>
        <v>Positive</v>
      </c>
      <c r="F195" s="122">
        <f>IFERROR(__xludf.DUMMYFUNCTION("""COMPUTED_VALUE"""),0.015)</f>
        <v>0.015</v>
      </c>
      <c r="G195" s="122">
        <f>IFERROR(__xludf.DUMMYFUNCTION("""COMPUTED_VALUE"""),0.5)</f>
        <v>0.5</v>
      </c>
      <c r="H195" s="122" t="str">
        <f>IFERROR(__xludf.DUMMYFUNCTION("""COMPUTED_VALUE"""),"Active")</f>
        <v>Active</v>
      </c>
    </row>
    <row r="196">
      <c r="A196" s="131">
        <f>IFERROR(__xludf.DUMMYFUNCTION("""COMPUTED_VALUE"""),46167.33190972222)</f>
        <v>46167.33191</v>
      </c>
      <c r="B196" s="122" t="str">
        <f>IFERROR(__xludf.DUMMYFUNCTION("""COMPUTED_VALUE"""),"TEST")</f>
        <v>TEST</v>
      </c>
      <c r="C196" s="122" t="str">
        <f>IFERROR(__xludf.DUMMYFUNCTION("""COMPUTED_VALUE"""),"TestPrep Pro remains stable as the Education market shows normal activity.")</f>
        <v>TestPrep Pro remains stable as the Education market shows normal activity.</v>
      </c>
      <c r="D196" s="122" t="str">
        <f>IFERROR(__xludf.DUMMYFUNCTION("""COMPUTED_VALUE"""),"TestPrep Pro appears steady with no major changes reported.")</f>
        <v>TestPrep Pro appears steady with no major changes reported.</v>
      </c>
      <c r="E196" s="122" t="str">
        <f>IFERROR(__xludf.DUMMYFUNCTION("""COMPUTED_VALUE"""),"Neutral")</f>
        <v>Neutral</v>
      </c>
      <c r="F196" s="122">
        <f>IFERROR(__xludf.DUMMYFUNCTION("""COMPUTED_VALUE"""),0.0)</f>
        <v>0</v>
      </c>
      <c r="G196" s="122">
        <f>IFERROR(__xludf.DUMMYFUNCTION("""COMPUTED_VALUE"""),0.0)</f>
        <v>0</v>
      </c>
      <c r="H196" s="122" t="str">
        <f>IFERROR(__xludf.DUMMYFUNCTION("""COMPUTED_VALUE"""),"Active")</f>
        <v>Active</v>
      </c>
    </row>
    <row r="197">
      <c r="A197" s="131">
        <f>IFERROR(__xludf.DUMMYFUNCTION("""COMPUTED_VALUE"""),46167.33193287037)</f>
        <v>46167.33193</v>
      </c>
      <c r="B197" s="122" t="str">
        <f>IFERROR(__xludf.DUMMYFUNCTION("""COMPUTED_VALUE"""),"MOVI")</f>
        <v>MOVI</v>
      </c>
      <c r="C197" s="122" t="str">
        <f>IFERROR(__xludf.DUMMYFUNCTION("""COMPUTED_VALUE"""),"MovieBox faces weaker demand and cautious investor sentiment.")</f>
        <v>MovieBox faces weaker demand and cautious investor sentiment.</v>
      </c>
      <c r="D197" s="122" t="str">
        <f>IFERROR(__xludf.DUMMYFUNCTION("""COMPUTED_VALUE"""),"Investors are watching MovieBox closely as demand weakens.")</f>
        <v>Investors are watching MovieBox closely as demand weakens.</v>
      </c>
      <c r="E197" s="122" t="str">
        <f>IFERROR(__xludf.DUMMYFUNCTION("""COMPUTED_VALUE"""),"Negative")</f>
        <v>Negative</v>
      </c>
      <c r="F197" s="122">
        <f>IFERROR(__xludf.DUMMYFUNCTION("""COMPUTED_VALUE"""),-0.015)</f>
        <v>-0.015</v>
      </c>
      <c r="G197" s="122">
        <f>IFERROR(__xludf.DUMMYFUNCTION("""COMPUTED_VALUE"""),0.75)</f>
        <v>0.75</v>
      </c>
      <c r="H197" s="122" t="str">
        <f>IFERROR(__xludf.DUMMYFUNCTION("""COMPUTED_VALUE"""),"Active")</f>
        <v>Active</v>
      </c>
    </row>
    <row r="198">
      <c r="A198" s="131">
        <f>IFERROR(__xludf.DUMMYFUNCTION("""COMPUTED_VALUE"""),46167.33194444444)</f>
        <v>46167.33194</v>
      </c>
      <c r="B198" s="122" t="str">
        <f>IFERROR(__xludf.DUMMYFUNCTION("""COMPUTED_VALUE"""),"MUSC")</f>
        <v>MUSC</v>
      </c>
      <c r="C198" s="122" t="str">
        <f>IFERROR(__xludf.DUMMYFUNCTION("""COMPUTED_VALUE"""),"MusicWave sees uncertain trading as investors react to mixed signals.")</f>
        <v>MusicWave sees uncertain trading as investors react to mixed signals.</v>
      </c>
      <c r="D198" s="122" t="str">
        <f>IFERROR(__xludf.DUMMYFUNCTION("""COMPUTED_VALUE"""),"MusicWave may experience larger price swings as investors disagree on direction.")</f>
        <v>MusicWave may experience larger price swings as investors disagree on direction.</v>
      </c>
      <c r="E198" s="122" t="str">
        <f>IFERROR(__xludf.DUMMYFUNCTION("""COMPUTED_VALUE"""),"Mixed")</f>
        <v>Mixed</v>
      </c>
      <c r="F198" s="122">
        <f>IFERROR(__xludf.DUMMYFUNCTION("""COMPUTED_VALUE"""),-0.018192488329630163)</f>
        <v>-0.01819248833</v>
      </c>
      <c r="G198" s="122">
        <f>IFERROR(__xludf.DUMMYFUNCTION("""COMPUTED_VALUE"""),1.5)</f>
        <v>1.5</v>
      </c>
      <c r="H198" s="122" t="str">
        <f>IFERROR(__xludf.DUMMYFUNCTION("""COMPUTED_VALUE"""),"Active")</f>
        <v>Active</v>
      </c>
    </row>
    <row r="199">
      <c r="A199" s="131">
        <f>IFERROR(__xludf.DUMMYFUNCTION("""COMPUTED_VALUE"""),46167.33195601852)</f>
        <v>46167.33196</v>
      </c>
      <c r="B199" s="122" t="str">
        <f>IFERROR(__xludf.DUMMYFUNCTION("""COMPUTED_VALUE"""),"IDOL")</f>
        <v>IDOL</v>
      </c>
      <c r="C199" s="122" t="str">
        <f>IFERROR(__xludf.DUMMYFUNCTION("""COMPUTED_VALUE"""),"Idol Agency reports steady growth and improved market confidence.")</f>
        <v>Idol Agency reports steady growth and improved market confidence.</v>
      </c>
      <c r="D199" s="122" t="str">
        <f>IFERROR(__xludf.DUMMYFUNCTION("""COMPUTED_VALUE"""),"Idol Agency continues to show positive momentum with moderate risk.")</f>
        <v>Idol Agency continues to show positive momentum with moderate risk.</v>
      </c>
      <c r="E199" s="122" t="str">
        <f>IFERROR(__xludf.DUMMYFUNCTION("""COMPUTED_VALUE"""),"Positive")</f>
        <v>Positive</v>
      </c>
      <c r="F199" s="122">
        <f>IFERROR(__xludf.DUMMYFUNCTION("""COMPUTED_VALUE"""),0.015)</f>
        <v>0.015</v>
      </c>
      <c r="G199" s="122">
        <f>IFERROR(__xludf.DUMMYFUNCTION("""COMPUTED_VALUE"""),0.5)</f>
        <v>0.5</v>
      </c>
      <c r="H199" s="122" t="str">
        <f>IFERROR(__xludf.DUMMYFUNCTION("""COMPUTED_VALUE"""),"Active")</f>
        <v>Active</v>
      </c>
    </row>
    <row r="200">
      <c r="A200" s="131">
        <f>IFERROR(__xludf.DUMMYFUNCTION("""COMPUTED_VALUE"""),46167.331967592596)</f>
        <v>46167.33197</v>
      </c>
      <c r="B200" s="122" t="str">
        <f>IFERROR(__xludf.DUMMYFUNCTION("""COMPUTED_VALUE"""),"MEME")</f>
        <v>MEME</v>
      </c>
      <c r="C200" s="122" t="str">
        <f>IFERROR(__xludf.DUMMYFUNCTION("""COMPUTED_VALUE"""),"Meme Media faces weaker demand and cautious investor sentiment.")</f>
        <v>Meme Media faces weaker demand and cautious investor sentiment.</v>
      </c>
      <c r="D200" s="122" t="str">
        <f>IFERROR(__xludf.DUMMYFUNCTION("""COMPUTED_VALUE"""),"Investors are watching Meme Media closely as demand weakens.")</f>
        <v>Investors are watching Meme Media closely as demand weakens.</v>
      </c>
      <c r="E200" s="122" t="str">
        <f>IFERROR(__xludf.DUMMYFUNCTION("""COMPUTED_VALUE"""),"Negative")</f>
        <v>Negative</v>
      </c>
      <c r="F200" s="122">
        <f>IFERROR(__xludf.DUMMYFUNCTION("""COMPUTED_VALUE"""),-0.015)</f>
        <v>-0.015</v>
      </c>
      <c r="G200" s="122">
        <f>IFERROR(__xludf.DUMMYFUNCTION("""COMPUTED_VALUE"""),0.75)</f>
        <v>0.75</v>
      </c>
      <c r="H200" s="122" t="str">
        <f>IFERROR(__xludf.DUMMYFUNCTION("""COMPUTED_VALUE"""),"Active")</f>
        <v>Active</v>
      </c>
    </row>
    <row r="201">
      <c r="A201" s="131">
        <f>IFERROR(__xludf.DUMMYFUNCTION("""COMPUTED_VALUE"""),46167.331967592596)</f>
        <v>46167.33197</v>
      </c>
      <c r="B201" s="122" t="str">
        <f>IFERROR(__xludf.DUMMYFUNCTION("""COMPUTED_VALUE"""),"STRM")</f>
        <v>STRM</v>
      </c>
      <c r="C201" s="122" t="str">
        <f>IFERROR(__xludf.DUMMYFUNCTION("""COMPUTED_VALUE"""),"Streamly reports steady growth and improved market confidence.")</f>
        <v>Streamly reports steady growth and improved market confidence.</v>
      </c>
      <c r="D201" s="122" t="str">
        <f>IFERROR(__xludf.DUMMYFUNCTION("""COMPUTED_VALUE"""),"Streamly continues to show positive momentum with moderate risk.")</f>
        <v>Streamly continues to show positive momentum with moderate risk.</v>
      </c>
      <c r="E201" s="122" t="str">
        <f>IFERROR(__xludf.DUMMYFUNCTION("""COMPUTED_VALUE"""),"Positive")</f>
        <v>Positive</v>
      </c>
      <c r="F201" s="122">
        <f>IFERROR(__xludf.DUMMYFUNCTION("""COMPUTED_VALUE"""),0.015)</f>
        <v>0.015</v>
      </c>
      <c r="G201" s="122">
        <f>IFERROR(__xludf.DUMMYFUNCTION("""COMPUTED_VALUE"""),0.5)</f>
        <v>0.5</v>
      </c>
      <c r="H201" s="122" t="str">
        <f>IFERROR(__xludf.DUMMYFUNCTION("""COMPUTED_VALUE"""),"Active")</f>
        <v>Active</v>
      </c>
    </row>
    <row r="202">
      <c r="A202" s="131">
        <f>IFERROR(__xludf.DUMMYFUNCTION("""COMPUTED_VALUE"""),46167.33199074074)</f>
        <v>46167.33199</v>
      </c>
      <c r="B202" s="122" t="str">
        <f>IFERROR(__xludf.DUMMYFUNCTION("""COMPUTED_VALUE"""),"FARM")</f>
        <v>FARM</v>
      </c>
      <c r="C202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202" s="122" t="str">
        <f>IFERROR(__xludf.DUMMYFUNCTION("""COMPUTED_VALUE"""),"Future Farms appears steady with no major changes reported.")</f>
        <v>Future Farms appears steady with no major changes reported.</v>
      </c>
      <c r="E202" s="122" t="str">
        <f>IFERROR(__xludf.DUMMYFUNCTION("""COMPUTED_VALUE"""),"Neutral")</f>
        <v>Neutral</v>
      </c>
      <c r="F202" s="122">
        <f>IFERROR(__xludf.DUMMYFUNCTION("""COMPUTED_VALUE"""),0.0)</f>
        <v>0</v>
      </c>
      <c r="G202" s="122">
        <f>IFERROR(__xludf.DUMMYFUNCTION("""COMPUTED_VALUE"""),0.0)</f>
        <v>0</v>
      </c>
      <c r="H202" s="122" t="str">
        <f>IFERROR(__xludf.DUMMYFUNCTION("""COMPUTED_VALUE"""),"Active")</f>
        <v>Active</v>
      </c>
    </row>
    <row r="203">
      <c r="A203" s="131">
        <f>IFERROR(__xludf.DUMMYFUNCTION("""COMPUTED_VALUE"""),46167.33200231481)</f>
        <v>46167.332</v>
      </c>
      <c r="B203" s="122" t="str">
        <f>IFERROR(__xludf.DUMMYFUNCTION("""COMPUTED_VALUE"""),"MEAT")</f>
        <v>MEAT</v>
      </c>
      <c r="C203" s="122" t="str">
        <f>IFERROR(__xludf.DUMMYFUNCTION("""COMPUTED_VALUE"""),"MeatWorks faces weaker demand and cautious investor sentiment.")</f>
        <v>MeatWorks faces weaker demand and cautious investor sentiment.</v>
      </c>
      <c r="D203" s="122" t="str">
        <f>IFERROR(__xludf.DUMMYFUNCTION("""COMPUTED_VALUE"""),"Investors are watching MeatWorks closely as demand weakens.")</f>
        <v>Investors are watching MeatWorks closely as demand weakens.</v>
      </c>
      <c r="E203" s="122" t="str">
        <f>IFERROR(__xludf.DUMMYFUNCTION("""COMPUTED_VALUE"""),"Negative")</f>
        <v>Negative</v>
      </c>
      <c r="F203" s="122">
        <f>IFERROR(__xludf.DUMMYFUNCTION("""COMPUTED_VALUE"""),-0.015)</f>
        <v>-0.015</v>
      </c>
      <c r="G203" s="122">
        <f>IFERROR(__xludf.DUMMYFUNCTION("""COMPUTED_VALUE"""),0.75)</f>
        <v>0.75</v>
      </c>
      <c r="H203" s="122" t="str">
        <f>IFERROR(__xludf.DUMMYFUNCTION("""COMPUTED_VALUE"""),"Active")</f>
        <v>Active</v>
      </c>
    </row>
    <row r="204">
      <c r="A204" s="131">
        <f>IFERROR(__xludf.DUMMYFUNCTION("""COMPUTED_VALUE"""),46167.33201388889)</f>
        <v>46167.33201</v>
      </c>
      <c r="B204" s="122" t="str">
        <f>IFERROR(__xludf.DUMMYFUNCTION("""COMPUTED_VALUE"""),"VEGI")</f>
        <v>VEGI</v>
      </c>
      <c r="C204" s="122" t="str">
        <f>IFERROR(__xludf.DUMMYFUNCTION("""COMPUTED_VALUE"""),"Green Basket surges as demand rises across the Food sector.")</f>
        <v>Green Basket surges as demand rises across the Food sector.</v>
      </c>
      <c r="D204" s="122" t="str">
        <f>IFERROR(__xludf.DUMMYFUNCTION("""COMPUTED_VALUE"""),"Green Basket is seeing strong demand, which may increase investor confidence.")</f>
        <v>Green Basket is seeing strong demand, which may increase investor confidence.</v>
      </c>
      <c r="E204" s="122" t="str">
        <f>IFERROR(__xludf.DUMMYFUNCTION("""COMPUTED_VALUE"""),"Positive")</f>
        <v>Positive</v>
      </c>
      <c r="F204" s="122">
        <f>IFERROR(__xludf.DUMMYFUNCTION("""COMPUTED_VALUE"""),0.03)</f>
        <v>0.03</v>
      </c>
      <c r="G204" s="122">
        <f>IFERROR(__xludf.DUMMYFUNCTION("""COMPUTED_VALUE"""),1.0)</f>
        <v>1</v>
      </c>
      <c r="H204" s="122" t="str">
        <f>IFERROR(__xludf.DUMMYFUNCTION("""COMPUTED_VALUE"""),"Active")</f>
        <v>Active</v>
      </c>
    </row>
    <row r="205">
      <c r="A205" s="131">
        <f>IFERROR(__xludf.DUMMYFUNCTION("""COMPUTED_VALUE"""),46167.332025462965)</f>
        <v>46167.33203</v>
      </c>
      <c r="B205" s="122" t="str">
        <f>IFERROR(__xludf.DUMMYFUNCTION("""COMPUTED_VALUE"""),"CAFE")</f>
        <v>CAFE</v>
      </c>
      <c r="C205" s="122" t="str">
        <f>IFERROR(__xludf.DUMMYFUNCTION("""COMPUTED_VALUE"""),"Cafe Cloud faces weaker demand and cautious investor sentiment.")</f>
        <v>Cafe Cloud faces weaker demand and cautious investor sentiment.</v>
      </c>
      <c r="D205" s="122" t="str">
        <f>IFERROR(__xludf.DUMMYFUNCTION("""COMPUTED_VALUE"""),"Investors are watching Cafe Cloud closely as demand weakens.")</f>
        <v>Investors are watching Cafe Cloud closely as demand weakens.</v>
      </c>
      <c r="E205" s="122" t="str">
        <f>IFERROR(__xludf.DUMMYFUNCTION("""COMPUTED_VALUE"""),"Negative")</f>
        <v>Negative</v>
      </c>
      <c r="F205" s="122">
        <f>IFERROR(__xludf.DUMMYFUNCTION("""COMPUTED_VALUE"""),-0.015)</f>
        <v>-0.015</v>
      </c>
      <c r="G205" s="122">
        <f>IFERROR(__xludf.DUMMYFUNCTION("""COMPUTED_VALUE"""),0.75)</f>
        <v>0.75</v>
      </c>
      <c r="H205" s="122" t="str">
        <f>IFERROR(__xludf.DUMMYFUNCTION("""COMPUTED_VALUE"""),"Active")</f>
        <v>Active</v>
      </c>
    </row>
    <row r="206">
      <c r="A206" s="131">
        <f>IFERROR(__xludf.DUMMYFUNCTION("""COMPUTED_VALUE"""),46167.332037037035)</f>
        <v>46167.33204</v>
      </c>
      <c r="B206" s="122" t="str">
        <f>IFERROR(__xludf.DUMMYFUNCTION("""COMPUTED_VALUE"""),"BAKE")</f>
        <v>BAKE</v>
      </c>
      <c r="C206" s="122" t="str">
        <f>IFERROR(__xludf.DUMMYFUNCTION("""COMPUTED_VALUE"""),"BakeHouse remains stable as the Food market shows normal activity.")</f>
        <v>BakeHouse remains stable as the Food market shows normal activity.</v>
      </c>
      <c r="D206" s="122" t="str">
        <f>IFERROR(__xludf.DUMMYFUNCTION("""COMPUTED_VALUE"""),"BakeHouse appears steady with no major changes reported.")</f>
        <v>BakeHouse appears steady with no major changes reported.</v>
      </c>
      <c r="E206" s="122" t="str">
        <f>IFERROR(__xludf.DUMMYFUNCTION("""COMPUTED_VALUE"""),"Neutral")</f>
        <v>Neutral</v>
      </c>
      <c r="F206" s="122">
        <f>IFERROR(__xludf.DUMMYFUNCTION("""COMPUTED_VALUE"""),0.0)</f>
        <v>0</v>
      </c>
      <c r="G206" s="122">
        <f>IFERROR(__xludf.DUMMYFUNCTION("""COMPUTED_VALUE"""),0.0)</f>
        <v>0</v>
      </c>
      <c r="H206" s="122" t="str">
        <f>IFERROR(__xludf.DUMMYFUNCTION("""COMPUTED_VALUE"""),"Active")</f>
        <v>Active</v>
      </c>
    </row>
    <row r="207">
      <c r="A207" s="131">
        <f>IFERROR(__xludf.DUMMYFUNCTION("""COMPUTED_VALUE"""),46167.33204861111)</f>
        <v>46167.33205</v>
      </c>
      <c r="B207" s="122" t="str">
        <f>IFERROR(__xludf.DUMMYFUNCTION("""COMPUTED_VALUE"""),"OILX")</f>
        <v>OILX</v>
      </c>
      <c r="C207" s="122" t="str">
        <f>IFERROR(__xludf.DUMMYFUNCTION("""COMPUTED_VALUE"""),"OilMax Energy remains stable as the Energy market shows normal activity.")</f>
        <v>OilMax Energy remains stable as the Energy market shows normal activity.</v>
      </c>
      <c r="D207" s="122" t="str">
        <f>IFERROR(__xludf.DUMMYFUNCTION("""COMPUTED_VALUE"""),"OilMax Energy appears steady with no major changes reported.")</f>
        <v>OilMax Energy appears steady with no major changes reported.</v>
      </c>
      <c r="E207" s="122" t="str">
        <f>IFERROR(__xludf.DUMMYFUNCTION("""COMPUTED_VALUE"""),"Neutral")</f>
        <v>Neutral</v>
      </c>
      <c r="F207" s="122">
        <f>IFERROR(__xludf.DUMMYFUNCTION("""COMPUTED_VALUE"""),0.0)</f>
        <v>0</v>
      </c>
      <c r="G207" s="122">
        <f>IFERROR(__xludf.DUMMYFUNCTION("""COMPUTED_VALUE"""),0.0)</f>
        <v>0</v>
      </c>
      <c r="H207" s="122" t="str">
        <f>IFERROR(__xludf.DUMMYFUNCTION("""COMPUTED_VALUE"""),"Active")</f>
        <v>Active</v>
      </c>
    </row>
    <row r="208">
      <c r="A208" s="131">
        <f>IFERROR(__xludf.DUMMYFUNCTION("""COMPUTED_VALUE"""),46167.33204861111)</f>
        <v>46167.33205</v>
      </c>
      <c r="B208" s="122" t="str">
        <f>IFERROR(__xludf.DUMMYFUNCTION("""COMPUTED_VALUE"""),"SOLR")</f>
        <v>SOLR</v>
      </c>
      <c r="C208" s="122" t="str">
        <f>IFERROR(__xludf.DUMMYFUNCTION("""COMPUTED_VALUE"""),"SolarSpark sees uncertain trading as investors react to mixed signals.")</f>
        <v>SolarSpark sees uncertain trading as investors react to mixed signals.</v>
      </c>
      <c r="D208" s="122" t="str">
        <f>IFERROR(__xludf.DUMMYFUNCTION("""COMPUTED_VALUE"""),"SolarSpark may experience larger price swings as investors disagree on direction.")</f>
        <v>SolarSpark may experience larger price swings as investors disagree on direction.</v>
      </c>
      <c r="E208" s="122" t="str">
        <f>IFERROR(__xludf.DUMMYFUNCTION("""COMPUTED_VALUE"""),"Mixed")</f>
        <v>Mixed</v>
      </c>
      <c r="F208" s="122">
        <f>IFERROR(__xludf.DUMMYFUNCTION("""COMPUTED_VALUE"""),0.0023559786945347924)</f>
        <v>0.002355978695</v>
      </c>
      <c r="G208" s="122">
        <f>IFERROR(__xludf.DUMMYFUNCTION("""COMPUTED_VALUE"""),1.5)</f>
        <v>1.5</v>
      </c>
      <c r="H208" s="122" t="str">
        <f>IFERROR(__xludf.DUMMYFUNCTION("""COMPUTED_VALUE"""),"Active")</f>
        <v>Active</v>
      </c>
    </row>
    <row r="209">
      <c r="A209" s="131">
        <f>IFERROR(__xludf.DUMMYFUNCTION("""COMPUTED_VALUE"""),46167.33207175926)</f>
        <v>46167.33207</v>
      </c>
      <c r="B209" s="122" t="str">
        <f>IFERROR(__xludf.DUMMYFUNCTION("""COMPUTED_VALUE"""),"BATT")</f>
        <v>BATT</v>
      </c>
      <c r="C209" s="122" t="str">
        <f>IFERROR(__xludf.DUMMYFUNCTION("""COMPUTED_VALUE"""),"BatteryBox surges as demand rises across the Energy sector.")</f>
        <v>BatteryBox surges as demand rises across the Energy sector.</v>
      </c>
      <c r="D209" s="122" t="str">
        <f>IFERROR(__xludf.DUMMYFUNCTION("""COMPUTED_VALUE"""),"BatteryBox is seeing strong demand, which may increase investor confidence.")</f>
        <v>BatteryBox is seeing strong demand, which may increase investor confidence.</v>
      </c>
      <c r="E209" s="122" t="str">
        <f>IFERROR(__xludf.DUMMYFUNCTION("""COMPUTED_VALUE"""),"Positive")</f>
        <v>Positive</v>
      </c>
      <c r="F209" s="122">
        <f>IFERROR(__xludf.DUMMYFUNCTION("""COMPUTED_VALUE"""),0.03)</f>
        <v>0.03</v>
      </c>
      <c r="G209" s="122">
        <f>IFERROR(__xludf.DUMMYFUNCTION("""COMPUTED_VALUE"""),1.0)</f>
        <v>1</v>
      </c>
      <c r="H209" s="122" t="str">
        <f>IFERROR(__xludf.DUMMYFUNCTION("""COMPUTED_VALUE"""),"Active")</f>
        <v>Active</v>
      </c>
    </row>
    <row r="210">
      <c r="A210" s="131">
        <f>IFERROR(__xludf.DUMMYFUNCTION("""COMPUTED_VALUE"""),46167.332083333335)</f>
        <v>46167.33208</v>
      </c>
      <c r="B210" s="122" t="str">
        <f>IFERROR(__xludf.DUMMYFUNCTION("""COMPUTED_VALUE"""),"WIND")</f>
        <v>WIND</v>
      </c>
      <c r="C210" s="122" t="str">
        <f>IFERROR(__xludf.DUMMYFUNCTION("""COMPUTED_VALUE"""),"WindWorks remains stable as the Energy market shows normal activity.")</f>
        <v>WindWorks remains stable as the Energy market shows normal activity.</v>
      </c>
      <c r="D210" s="122" t="str">
        <f>IFERROR(__xludf.DUMMYFUNCTION("""COMPUTED_VALUE"""),"WindWorks appears steady with no major changes reported.")</f>
        <v>WindWorks appears steady with no major changes reported.</v>
      </c>
      <c r="E210" s="122" t="str">
        <f>IFERROR(__xludf.DUMMYFUNCTION("""COMPUTED_VALUE"""),"Neutral")</f>
        <v>Neutral</v>
      </c>
      <c r="F210" s="122">
        <f>IFERROR(__xludf.DUMMYFUNCTION("""COMPUTED_VALUE"""),0.0)</f>
        <v>0</v>
      </c>
      <c r="G210" s="122">
        <f>IFERROR(__xludf.DUMMYFUNCTION("""COMPUTED_VALUE"""),0.0)</f>
        <v>0</v>
      </c>
      <c r="H210" s="122" t="str">
        <f>IFERROR(__xludf.DUMMYFUNCTION("""COMPUTED_VALUE"""),"Active")</f>
        <v>Active</v>
      </c>
    </row>
    <row r="211">
      <c r="A211" s="131">
        <f>IFERROR(__xludf.DUMMYFUNCTION("""COMPUTED_VALUE"""),46167.332094907404)</f>
        <v>46167.33209</v>
      </c>
      <c r="B211" s="122" t="str">
        <f>IFERROR(__xludf.DUMMYFUNCTION("""COMPUTED_VALUE"""),"GRID")</f>
        <v>GRID</v>
      </c>
      <c r="C211" s="122" t="str">
        <f>IFERROR(__xludf.DUMMYFUNCTION("""COMPUTED_VALUE"""),"GridPower remains stable as the Energy market shows normal activity.")</f>
        <v>GridPower remains stable as the Energy market shows normal activity.</v>
      </c>
      <c r="D211" s="122" t="str">
        <f>IFERROR(__xludf.DUMMYFUNCTION("""COMPUTED_VALUE"""),"GridPower appears steady with no major changes reported.")</f>
        <v>GridPower appears steady with no major changes reported.</v>
      </c>
      <c r="E211" s="122" t="str">
        <f>IFERROR(__xludf.DUMMYFUNCTION("""COMPUTED_VALUE"""),"Neutral")</f>
        <v>Neutral</v>
      </c>
      <c r="F211" s="122">
        <f>IFERROR(__xludf.DUMMYFUNCTION("""COMPUTED_VALUE"""),0.0)</f>
        <v>0</v>
      </c>
      <c r="G211" s="122">
        <f>IFERROR(__xludf.DUMMYFUNCTION("""COMPUTED_VALUE"""),0.0)</f>
        <v>0</v>
      </c>
      <c r="H211" s="122" t="str">
        <f>IFERROR(__xludf.DUMMYFUNCTION("""COMPUTED_VALUE"""),"Active")</f>
        <v>Active</v>
      </c>
    </row>
    <row r="212">
      <c r="A212" s="131">
        <f>IFERROR(__xludf.DUMMYFUNCTION("""COMPUTED_VALUE"""),46167.33210648148)</f>
        <v>46167.33211</v>
      </c>
      <c r="B212" s="122" t="str">
        <f>IFERROR(__xludf.DUMMYFUNCTION("""COMPUTED_VALUE"""),"HOME")</f>
        <v>HOME</v>
      </c>
      <c r="C212" s="122" t="str">
        <f>IFERROR(__xludf.DUMMYFUNCTION("""COMPUTED_VALUE"""),"HomeHub faces weaker demand and cautious investor sentiment.")</f>
        <v>HomeHub faces weaker demand and cautious investor sentiment.</v>
      </c>
      <c r="D212" s="122" t="str">
        <f>IFERROR(__xludf.DUMMYFUNCTION("""COMPUTED_VALUE"""),"Investors are watching HomeHub closely as demand weakens.")</f>
        <v>Investors are watching HomeHub closely as demand weakens.</v>
      </c>
      <c r="E212" s="122" t="str">
        <f>IFERROR(__xludf.DUMMYFUNCTION("""COMPUTED_VALUE"""),"Negative")</f>
        <v>Negative</v>
      </c>
      <c r="F212" s="122">
        <f>IFERROR(__xludf.DUMMYFUNCTION("""COMPUTED_VALUE"""),-0.015)</f>
        <v>-0.015</v>
      </c>
      <c r="G212" s="122">
        <f>IFERROR(__xludf.DUMMYFUNCTION("""COMPUTED_VALUE"""),0.75)</f>
        <v>0.75</v>
      </c>
      <c r="H212" s="122" t="str">
        <f>IFERROR(__xludf.DUMMYFUNCTION("""COMPUTED_VALUE"""),"Active")</f>
        <v>Active</v>
      </c>
    </row>
    <row r="213">
      <c r="A213" s="131">
        <f>IFERROR(__xludf.DUMMYFUNCTION("""COMPUTED_VALUE"""),46167.33210648148)</f>
        <v>46167.33211</v>
      </c>
      <c r="B213" s="122" t="str">
        <f>IFERROR(__xludf.DUMMYFUNCTION("""COMPUTED_VALUE"""),"RENT")</f>
        <v>RENT</v>
      </c>
      <c r="C213" s="122" t="str">
        <f>IFERROR(__xludf.DUMMYFUNCTION("""COMPUTED_VALUE"""),"RentRight remains stable as the Real Estate market shows normal activity.")</f>
        <v>RentRight remains stable as the Real Estate market shows normal activity.</v>
      </c>
      <c r="D213" s="122" t="str">
        <f>IFERROR(__xludf.DUMMYFUNCTION("""COMPUTED_VALUE"""),"RentRight appears steady with no major changes reported.")</f>
        <v>RentRight appears steady with no major changes reported.</v>
      </c>
      <c r="E213" s="122" t="str">
        <f>IFERROR(__xludf.DUMMYFUNCTION("""COMPUTED_VALUE"""),"Neutral")</f>
        <v>Neutral</v>
      </c>
      <c r="F213" s="122">
        <f>IFERROR(__xludf.DUMMYFUNCTION("""COMPUTED_VALUE"""),0.0)</f>
        <v>0</v>
      </c>
      <c r="G213" s="122">
        <f>IFERROR(__xludf.DUMMYFUNCTION("""COMPUTED_VALUE"""),0.0)</f>
        <v>0</v>
      </c>
      <c r="H213" s="122" t="str">
        <f>IFERROR(__xludf.DUMMYFUNCTION("""COMPUTED_VALUE"""),"Active")</f>
        <v>Active</v>
      </c>
    </row>
    <row r="214">
      <c r="A214" s="131">
        <f>IFERROR(__xludf.DUMMYFUNCTION("""COMPUTED_VALUE"""),46167.33215277778)</f>
        <v>46167.33215</v>
      </c>
      <c r="B214" s="122" t="str">
        <f>IFERROR(__xludf.DUMMYFUNCTION("""COMPUTED_VALUE"""),"MALL")</f>
        <v>MALL</v>
      </c>
      <c r="C214" s="122" t="str">
        <f>IFERROR(__xludf.DUMMYFUNCTION("""COMPUTED_VALUE"""),"MegaMall faces weaker demand and cautious investor sentiment.")</f>
        <v>MegaMall faces weaker demand and cautious investor sentiment.</v>
      </c>
      <c r="D214" s="122" t="str">
        <f>IFERROR(__xludf.DUMMYFUNCTION("""COMPUTED_VALUE"""),"Investors are watching MegaMall closely as demand weakens.")</f>
        <v>Investors are watching MegaMall closely as demand weakens.</v>
      </c>
      <c r="E214" s="122" t="str">
        <f>IFERROR(__xludf.DUMMYFUNCTION("""COMPUTED_VALUE"""),"Negative")</f>
        <v>Negative</v>
      </c>
      <c r="F214" s="122">
        <f>IFERROR(__xludf.DUMMYFUNCTION("""COMPUTED_VALUE"""),-0.015)</f>
        <v>-0.015</v>
      </c>
      <c r="G214" s="122">
        <f>IFERROR(__xludf.DUMMYFUNCTION("""COMPUTED_VALUE"""),0.75)</f>
        <v>0.75</v>
      </c>
      <c r="H214" s="122" t="str">
        <f>IFERROR(__xludf.DUMMYFUNCTION("""COMPUTED_VALUE"""),"Active")</f>
        <v>Active</v>
      </c>
    </row>
    <row r="215">
      <c r="A215" s="131">
        <f>IFERROR(__xludf.DUMMYFUNCTION("""COMPUTED_VALUE"""),46167.33215277778)</f>
        <v>46167.33215</v>
      </c>
      <c r="B215" s="122" t="str">
        <f>IFERROR(__xludf.DUMMYFUNCTION("""COMPUTED_VALUE"""),"HOTL")</f>
        <v>HOTL</v>
      </c>
      <c r="C215" s="122" t="str">
        <f>IFERROR(__xludf.DUMMYFUNCTION("""COMPUTED_VALUE"""),"HotelHive faces weaker demand and cautious investor sentiment.")</f>
        <v>HotelHive faces weaker demand and cautious investor sentiment.</v>
      </c>
      <c r="D215" s="122" t="str">
        <f>IFERROR(__xludf.DUMMYFUNCTION("""COMPUTED_VALUE"""),"Investors are watching HotelHive closely as demand weakens.")</f>
        <v>Investors are watching HotelHive closely as demand weakens.</v>
      </c>
      <c r="E215" s="122" t="str">
        <f>IFERROR(__xludf.DUMMYFUNCTION("""COMPUTED_VALUE"""),"Negative")</f>
        <v>Negative</v>
      </c>
      <c r="F215" s="122">
        <f>IFERROR(__xludf.DUMMYFUNCTION("""COMPUTED_VALUE"""),-0.015)</f>
        <v>-0.015</v>
      </c>
      <c r="G215" s="122">
        <f>IFERROR(__xludf.DUMMYFUNCTION("""COMPUTED_VALUE"""),0.75)</f>
        <v>0.75</v>
      </c>
      <c r="H215" s="122" t="str">
        <f>IFERROR(__xludf.DUMMYFUNCTION("""COMPUTED_VALUE"""),"Active")</f>
        <v>Active</v>
      </c>
    </row>
    <row r="216">
      <c r="A216" s="131">
        <f>IFERROR(__xludf.DUMMYFUNCTION("""COMPUTED_VALUE"""),46167.33215277778)</f>
        <v>46167.33215</v>
      </c>
      <c r="B216" s="122" t="str">
        <f>IFERROR(__xludf.DUMMYFUNCTION("""COMPUTED_VALUE"""),"LAND")</f>
        <v>LAND</v>
      </c>
      <c r="C216" s="122" t="str">
        <f>IFERROR(__xludf.DUMMYFUNCTION("""COMPUTED_VALUE"""),"LandLink reports steady growth and improved market confidence.")</f>
        <v>LandLink reports steady growth and improved market confidence.</v>
      </c>
      <c r="D216" s="122" t="str">
        <f>IFERROR(__xludf.DUMMYFUNCTION("""COMPUTED_VALUE"""),"LandLink continues to show positive momentum with moderate risk.")</f>
        <v>LandLink continues to show positive momentum with moderate risk.</v>
      </c>
      <c r="E216" s="122" t="str">
        <f>IFERROR(__xludf.DUMMYFUNCTION("""COMPUTED_VALUE"""),"Positive")</f>
        <v>Positive</v>
      </c>
      <c r="F216" s="122">
        <f>IFERROR(__xludf.DUMMYFUNCTION("""COMPUTED_VALUE"""),0.015)</f>
        <v>0.015</v>
      </c>
      <c r="G216" s="122">
        <f>IFERROR(__xludf.DUMMYFUNCTION("""COMPUTED_VALUE"""),0.5)</f>
        <v>0.5</v>
      </c>
      <c r="H216" s="122" t="str">
        <f>IFERROR(__xludf.DUMMYFUNCTION("""COMPUTED_VALUE"""),"Active")</f>
        <v>Active</v>
      </c>
    </row>
    <row r="217">
      <c r="A217" s="131">
        <f>IFERROR(__xludf.DUMMYFUNCTION("""COMPUTED_VALUE"""),46167.33216435185)</f>
        <v>46167.33216</v>
      </c>
      <c r="B217" s="122" t="str">
        <f>IFERROR(__xludf.DUMMYFUNCTION("""COMPUTED_VALUE"""),"CARS")</f>
        <v>CARS</v>
      </c>
      <c r="C217" s="122" t="str">
        <f>IFERROR(__xludf.DUMMYFUNCTION("""COMPUTED_VALUE"""),"AutoArena reports steady growth and improved market confidence.")</f>
        <v>AutoArena reports steady growth and improved market confidence.</v>
      </c>
      <c r="D217" s="122" t="str">
        <f>IFERROR(__xludf.DUMMYFUNCTION("""COMPUTED_VALUE"""),"AutoArena continues to show positive momentum with moderate risk.")</f>
        <v>AutoArena continues to show positive momentum with moderate risk.</v>
      </c>
      <c r="E217" s="122" t="str">
        <f>IFERROR(__xludf.DUMMYFUNCTION("""COMPUTED_VALUE"""),"Positive")</f>
        <v>Positive</v>
      </c>
      <c r="F217" s="122">
        <f>IFERROR(__xludf.DUMMYFUNCTION("""COMPUTED_VALUE"""),0.015)</f>
        <v>0.015</v>
      </c>
      <c r="G217" s="122">
        <f>IFERROR(__xludf.DUMMYFUNCTION("""COMPUTED_VALUE"""),0.5)</f>
        <v>0.5</v>
      </c>
      <c r="H217" s="122" t="str">
        <f>IFERROR(__xludf.DUMMYFUNCTION("""COMPUTED_VALUE"""),"Active")</f>
        <v>Active</v>
      </c>
    </row>
    <row r="218">
      <c r="A218" s="131">
        <f>IFERROR(__xludf.DUMMYFUNCTION("""COMPUTED_VALUE"""),46167.33217592593)</f>
        <v>46167.33218</v>
      </c>
      <c r="B218" s="122" t="str">
        <f>IFERROR(__xludf.DUMMYFUNCTION("""COMPUTED_VALUE"""),"EVGO")</f>
        <v>EVGO</v>
      </c>
      <c r="C218" s="122" t="str">
        <f>IFERROR(__xludf.DUMMYFUNCTION("""COMPUTED_VALUE"""),"EVGo Motors remains stable as the Automotive market shows normal activity.")</f>
        <v>EVGo Motors remains stable as the Automotive market shows normal activity.</v>
      </c>
      <c r="D218" s="122" t="str">
        <f>IFERROR(__xludf.DUMMYFUNCTION("""COMPUTED_VALUE"""),"EVGo Motors appears steady with no major changes reported.")</f>
        <v>EVGo Motors appears steady with no major changes reported.</v>
      </c>
      <c r="E218" s="122" t="str">
        <f>IFERROR(__xludf.DUMMYFUNCTION("""COMPUTED_VALUE"""),"Neutral")</f>
        <v>Neutral</v>
      </c>
      <c r="F218" s="122">
        <f>IFERROR(__xludf.DUMMYFUNCTION("""COMPUTED_VALUE"""),0.0)</f>
        <v>0</v>
      </c>
      <c r="G218" s="122">
        <f>IFERROR(__xludf.DUMMYFUNCTION("""COMPUTED_VALUE"""),0.0)</f>
        <v>0</v>
      </c>
      <c r="H218" s="122" t="str">
        <f>IFERROR(__xludf.DUMMYFUNCTION("""COMPUTED_VALUE"""),"Active")</f>
        <v>Active</v>
      </c>
    </row>
    <row r="219">
      <c r="A219" s="131">
        <f>IFERROR(__xludf.DUMMYFUNCTION("""COMPUTED_VALUE"""),46167.33219907407)</f>
        <v>46167.3322</v>
      </c>
      <c r="B219" s="122" t="str">
        <f>IFERROR(__xludf.DUMMYFUNCTION("""COMPUTED_VALUE"""),"TIRE")</f>
        <v>TIRE</v>
      </c>
      <c r="C219" s="122" t="str">
        <f>IFERROR(__xludf.DUMMYFUNCTION("""COMPUTED_VALUE"""),"TireTown surges as demand rises across the Automotive sector.")</f>
        <v>TireTown surges as demand rises across the Automotive sector.</v>
      </c>
      <c r="D219" s="122" t="str">
        <f>IFERROR(__xludf.DUMMYFUNCTION("""COMPUTED_VALUE"""),"TireTown is seeing strong demand, which may increase investor confidence.")</f>
        <v>TireTown is seeing strong demand, which may increase investor confidence.</v>
      </c>
      <c r="E219" s="122" t="str">
        <f>IFERROR(__xludf.DUMMYFUNCTION("""COMPUTED_VALUE"""),"Positive")</f>
        <v>Positive</v>
      </c>
      <c r="F219" s="122">
        <f>IFERROR(__xludf.DUMMYFUNCTION("""COMPUTED_VALUE"""),0.03)</f>
        <v>0.03</v>
      </c>
      <c r="G219" s="122">
        <f>IFERROR(__xludf.DUMMYFUNCTION("""COMPUTED_VALUE"""),1.0)</f>
        <v>1</v>
      </c>
      <c r="H219" s="122" t="str">
        <f>IFERROR(__xludf.DUMMYFUNCTION("""COMPUTED_VALUE"""),"Active")</f>
        <v>Active</v>
      </c>
    </row>
    <row r="220">
      <c r="A220" s="131">
        <f>IFERROR(__xludf.DUMMYFUNCTION("""COMPUTED_VALUE"""),46167.33221064815)</f>
        <v>46167.33221</v>
      </c>
      <c r="B220" s="122" t="str">
        <f>IFERROR(__xludf.DUMMYFUNCTION("""COMPUTED_VALUE"""),"BIKE")</f>
        <v>BIKE</v>
      </c>
      <c r="C220" s="122" t="str">
        <f>IFERROR(__xludf.DUMMYFUNCTION("""COMPUTED_VALUE"""),"BikeBox reports steady growth and improved market confidence.")</f>
        <v>BikeBox reports steady growth and improved market confidence.</v>
      </c>
      <c r="D220" s="122" t="str">
        <f>IFERROR(__xludf.DUMMYFUNCTION("""COMPUTED_VALUE"""),"BikeBox continues to show positive momentum with moderate risk.")</f>
        <v>BikeBox continues to show positive momentum with moderate risk.</v>
      </c>
      <c r="E220" s="122" t="str">
        <f>IFERROR(__xludf.DUMMYFUNCTION("""COMPUTED_VALUE"""),"Positive")</f>
        <v>Positive</v>
      </c>
      <c r="F220" s="122">
        <f>IFERROR(__xludf.DUMMYFUNCTION("""COMPUTED_VALUE"""),0.015)</f>
        <v>0.015</v>
      </c>
      <c r="G220" s="122">
        <f>IFERROR(__xludf.DUMMYFUNCTION("""COMPUTED_VALUE"""),0.5)</f>
        <v>0.5</v>
      </c>
      <c r="H220" s="122" t="str">
        <f>IFERROR(__xludf.DUMMYFUNCTION("""COMPUTED_VALUE"""),"Active")</f>
        <v>Active</v>
      </c>
    </row>
    <row r="221">
      <c r="A221" s="131">
        <f>IFERROR(__xludf.DUMMYFUNCTION("""COMPUTED_VALUE"""),46167.33222222222)</f>
        <v>46167.33222</v>
      </c>
      <c r="B221" s="122" t="str">
        <f>IFERROR(__xludf.DUMMYFUNCTION("""COMPUTED_VALUE"""),"WASH")</f>
        <v>WASH</v>
      </c>
      <c r="C221" s="122" t="str">
        <f>IFERROR(__xludf.DUMMYFUNCTION("""COMPUTED_VALUE"""),"CarWash Co faces weaker demand and cautious investor sentiment.")</f>
        <v>CarWash Co faces weaker demand and cautious investor sentiment.</v>
      </c>
      <c r="D221" s="122" t="str">
        <f>IFERROR(__xludf.DUMMYFUNCTION("""COMPUTED_VALUE"""),"Investors are watching CarWash Co closely as demand weakens.")</f>
        <v>Investors are watching CarWash Co closely as demand weakens.</v>
      </c>
      <c r="E221" s="122" t="str">
        <f>IFERROR(__xludf.DUMMYFUNCTION("""COMPUTED_VALUE"""),"Negative")</f>
        <v>Negative</v>
      </c>
      <c r="F221" s="122">
        <f>IFERROR(__xludf.DUMMYFUNCTION("""COMPUTED_VALUE"""),-0.015)</f>
        <v>-0.015</v>
      </c>
      <c r="G221" s="122">
        <f>IFERROR(__xludf.DUMMYFUNCTION("""COMPUTED_VALUE"""),0.75)</f>
        <v>0.75</v>
      </c>
      <c r="H221" s="122" t="str">
        <f>IFERROR(__xludf.DUMMYFUNCTION("""COMPUTED_VALUE"""),"Active")</f>
        <v>Active</v>
      </c>
    </row>
    <row r="222">
      <c r="A222" s="131">
        <f>IFERROR(__xludf.DUMMYFUNCTION("""COMPUTED_VALUE"""),46167.33222222222)</f>
        <v>46167.33222</v>
      </c>
      <c r="B222" s="122" t="str">
        <f>IFERROR(__xludf.DUMMYFUNCTION("""COMPUTED_VALUE"""),"GBND")</f>
        <v>GBND</v>
      </c>
      <c r="C222" s="122" t="str">
        <f>IFERROR(__xludf.DUMMYFUNCTION("""COMPUTED_VALUE"""),"Classroom Government Bond remains steady as investors seek stability.")</f>
        <v>Classroom Government Bond remains steady as investors seek stability.</v>
      </c>
      <c r="D22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222" s="122" t="str">
        <f>IFERROR(__xludf.DUMMYFUNCTION("""COMPUTED_VALUE"""),"Neutral")</f>
        <v>Neutral</v>
      </c>
      <c r="F222" s="122">
        <f>IFERROR(__xludf.DUMMYFUNCTION("""COMPUTED_VALUE"""),0.0)</f>
        <v>0</v>
      </c>
      <c r="G222" s="122">
        <f>IFERROR(__xludf.DUMMYFUNCTION("""COMPUTED_VALUE"""),0.0)</f>
        <v>0</v>
      </c>
      <c r="H222" s="122" t="str">
        <f>IFERROR(__xludf.DUMMYFUNCTION("""COMPUTED_VALUE"""),"Active")</f>
        <v>Active</v>
      </c>
    </row>
    <row r="223">
      <c r="A223" s="131">
        <f>IFERROR(__xludf.DUMMYFUNCTION("""COMPUTED_VALUE"""),46167.33224537037)</f>
        <v>46167.33225</v>
      </c>
      <c r="B223" s="122" t="str">
        <f>IFERROR(__xludf.DUMMYFUNCTION("""COMPUTED_VALUE"""),"SBND")</f>
        <v>SBND</v>
      </c>
      <c r="C223" s="122" t="str">
        <f>IFERROR(__xludf.DUMMYFUNCTION("""COMPUTED_VALUE"""),"School Savings Bond remains steady as investors seek stability.")</f>
        <v>School Savings Bond remains steady as investors seek stability.</v>
      </c>
      <c r="D22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223" s="122" t="str">
        <f>IFERROR(__xludf.DUMMYFUNCTION("""COMPUTED_VALUE"""),"Neutral")</f>
        <v>Neutral</v>
      </c>
      <c r="F223" s="122">
        <f>IFERROR(__xludf.DUMMYFUNCTION("""COMPUTED_VALUE"""),0.0)</f>
        <v>0</v>
      </c>
      <c r="G223" s="122">
        <f>IFERROR(__xludf.DUMMYFUNCTION("""COMPUTED_VALUE"""),0.0)</f>
        <v>0</v>
      </c>
      <c r="H223" s="122" t="str">
        <f>IFERROR(__xludf.DUMMYFUNCTION("""COMPUTED_VALUE"""),"Active")</f>
        <v>Active</v>
      </c>
    </row>
    <row r="224">
      <c r="A224" s="131">
        <f>IFERROR(__xludf.DUMMYFUNCTION("""COMPUTED_VALUE"""),46167.33225694444)</f>
        <v>46167.33226</v>
      </c>
      <c r="B224" s="122" t="str">
        <f>IFERROR(__xludf.DUMMYFUNCTION("""COMPUTED_VALUE"""),"CBND")</f>
        <v>CBND</v>
      </c>
      <c r="C224" s="122" t="str">
        <f>IFERROR(__xludf.DUMMYFUNCTION("""COMPUTED_VALUE"""),"Corporate Classroom Bond remains steady as investors seek stability.")</f>
        <v>Corporate Classroom Bond remains steady as investors seek stability.</v>
      </c>
      <c r="D22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224" s="122" t="str">
        <f>IFERROR(__xludf.DUMMYFUNCTION("""COMPUTED_VALUE"""),"Neutral")</f>
        <v>Neutral</v>
      </c>
      <c r="F224" s="122">
        <f>IFERROR(__xludf.DUMMYFUNCTION("""COMPUTED_VALUE"""),0.0)</f>
        <v>0</v>
      </c>
      <c r="G224" s="122">
        <f>IFERROR(__xludf.DUMMYFUNCTION("""COMPUTED_VALUE"""),0.0)</f>
        <v>0</v>
      </c>
      <c r="H224" s="122" t="str">
        <f>IFERROR(__xludf.DUMMYFUNCTION("""COMPUTED_VALUE"""),"Active")</f>
        <v>Active</v>
      </c>
    </row>
    <row r="225">
      <c r="A225" s="131">
        <f>IFERROR(__xludf.DUMMYFUNCTION("""COMPUTED_VALUE"""),46167.33226851852)</f>
        <v>46167.33227</v>
      </c>
      <c r="B225" s="122" t="str">
        <f>IFERROR(__xludf.DUMMYFUNCTION("""COMPUTED_VALUE"""),"TBIL")</f>
        <v>TBIL</v>
      </c>
      <c r="C225" s="122" t="str">
        <f>IFERROR(__xludf.DUMMYFUNCTION("""COMPUTED_VALUE"""),"Treasury Bill remains steady as investors seek stability.")</f>
        <v>Treasury Bill remains steady as investors seek stability.</v>
      </c>
      <c r="D22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225" s="122" t="str">
        <f>IFERROR(__xludf.DUMMYFUNCTION("""COMPUTED_VALUE"""),"Neutral")</f>
        <v>Neutral</v>
      </c>
      <c r="F225" s="122">
        <f>IFERROR(__xludf.DUMMYFUNCTION("""COMPUTED_VALUE"""),0.0)</f>
        <v>0</v>
      </c>
      <c r="G225" s="122">
        <f>IFERROR(__xludf.DUMMYFUNCTION("""COMPUTED_VALUE"""),0.0)</f>
        <v>0</v>
      </c>
      <c r="H225" s="122" t="str">
        <f>IFERROR(__xludf.DUMMYFUNCTION("""COMPUTED_VALUE"""),"Active")</f>
        <v>Active</v>
      </c>
    </row>
    <row r="226">
      <c r="A226" s="131">
        <f>IFERROR(__xludf.DUMMYFUNCTION("""COMPUTED_VALUE"""),46167.332291666666)</f>
        <v>46167.33229</v>
      </c>
      <c r="B226" s="122" t="str">
        <f>IFERROR(__xludf.DUMMYFUNCTION("""COMPUTED_VALUE"""),"IBND")</f>
        <v>IBND</v>
      </c>
      <c r="C226" s="122" t="str">
        <f>IFERROR(__xludf.DUMMYFUNCTION("""COMPUTED_VALUE"""),"Inflation Protected Bond remains steady as investors seek stability.")</f>
        <v>Inflation Protected Bond remains steady as investors seek stability.</v>
      </c>
      <c r="D22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226" s="122" t="str">
        <f>IFERROR(__xludf.DUMMYFUNCTION("""COMPUTED_VALUE"""),"Neutral")</f>
        <v>Neutral</v>
      </c>
      <c r="F226" s="122">
        <f>IFERROR(__xludf.DUMMYFUNCTION("""COMPUTED_VALUE"""),0.0)</f>
        <v>0</v>
      </c>
      <c r="G226" s="122">
        <f>IFERROR(__xludf.DUMMYFUNCTION("""COMPUTED_VALUE"""),0.0)</f>
        <v>0</v>
      </c>
      <c r="H226" s="122" t="str">
        <f>IFERROR(__xludf.DUMMYFUNCTION("""COMPUTED_VALUE"""),"Active")</f>
        <v>Active</v>
      </c>
    </row>
    <row r="227">
      <c r="A227" s="131">
        <f>IFERROR(__xludf.DUMMYFUNCTION("""COMPUTED_VALUE"""),46167.338784722226)</f>
        <v>46167.33878</v>
      </c>
      <c r="B227" s="122" t="str">
        <f>IFERROR(__xludf.DUMMYFUNCTION("""COMPUTED_VALUE"""),"MARKET")</f>
        <v>MARKET</v>
      </c>
      <c r="C227" s="122" t="str">
        <f>IFERROR(__xludf.DUMMYFUNCTION("""COMPUTED_VALUE"""),"Market Stability Report")</f>
        <v>Market Stability Report</v>
      </c>
      <c r="D227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227" s="122" t="str">
        <f>IFERROR(__xludf.DUMMYFUNCTION("""COMPUTED_VALUE"""),"Neutral")</f>
        <v>Neutral</v>
      </c>
      <c r="F227" s="122">
        <f>IFERROR(__xludf.DUMMYFUNCTION("""COMPUTED_VALUE"""),0.0)</f>
        <v>0</v>
      </c>
      <c r="G227" s="122">
        <f>IFERROR(__xludf.DUMMYFUNCTION("""COMPUTED_VALUE"""),0.0)</f>
        <v>0</v>
      </c>
      <c r="H227" s="122" t="str">
        <f>IFERROR(__xludf.DUMMYFUNCTION("""COMPUTED_VALUE"""),"Active")</f>
        <v>Active</v>
      </c>
    </row>
    <row r="228">
      <c r="A228" s="131">
        <f>IFERROR(__xludf.DUMMYFUNCTION("""COMPUTED_VALUE"""),46168.3175462963)</f>
        <v>46168.31755</v>
      </c>
      <c r="B228" s="122" t="str">
        <f>IFERROR(__xludf.DUMMYFUNCTION("""COMPUTED_VALUE"""),"EDUX")</f>
        <v>EDUX</v>
      </c>
      <c r="C228" s="122" t="str">
        <f>IFERROR(__xludf.DUMMYFUNCTION("""COMPUTED_VALUE"""),"EduMax Learning releases earnings report: Inline profit, guidance Maintained.")</f>
        <v>EduMax Learning releases earnings report: Inline profit, guidance Maintained.</v>
      </c>
      <c r="D228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228" s="122" t="str">
        <f>IFERROR(__xludf.DUMMYFUNCTION("""COMPUTED_VALUE"""),"Neutral")</f>
        <v>Neutral</v>
      </c>
      <c r="F228" s="122">
        <f>IFERROR(__xludf.DUMMYFUNCTION("""COMPUTED_VALUE"""),-2.829940130856645E-4)</f>
        <v>-0.0002829940131</v>
      </c>
      <c r="G228" s="122">
        <f>IFERROR(__xludf.DUMMYFUNCTION("""COMPUTED_VALUE"""),0.007074850327141613)</f>
        <v>0.007074850327</v>
      </c>
      <c r="H228" s="122" t="str">
        <f>IFERROR(__xludf.DUMMYFUNCTION("""COMPUTED_VALUE"""),"Active")</f>
        <v>Active</v>
      </c>
    </row>
    <row r="229">
      <c r="A229" s="131">
        <f>IFERROR(__xludf.DUMMYFUNCTION("""COMPUTED_VALUE"""),46168.31760416667)</f>
        <v>46168.3176</v>
      </c>
      <c r="B229" s="122" t="str">
        <f>IFERROR(__xludf.DUMMYFUNCTION("""COMPUTED_VALUE"""),"CRED")</f>
        <v>CRED</v>
      </c>
      <c r="C229" s="122" t="str">
        <f>IFERROR(__xludf.DUMMYFUNCTION("""COMPUTED_VALUE"""),"Credit Castle releases earnings report: Beat profit, guidance Raised.")</f>
        <v>Credit Castle releases earnings report: Beat profit, guidance Raised.</v>
      </c>
      <c r="D22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229" s="122" t="str">
        <f>IFERROR(__xludf.DUMMYFUNCTION("""COMPUTED_VALUE"""),"Positive")</f>
        <v>Positive</v>
      </c>
      <c r="F229" s="122">
        <f>IFERROR(__xludf.DUMMYFUNCTION("""COMPUTED_VALUE"""),0.02662689674227947)</f>
        <v>0.02662689674</v>
      </c>
      <c r="G229" s="122">
        <f>IFERROR(__xludf.DUMMYFUNCTION("""COMPUTED_VALUE"""),0.6656724185569868)</f>
        <v>0.6656724186</v>
      </c>
      <c r="H229" s="122" t="str">
        <f>IFERROR(__xludf.DUMMYFUNCTION("""COMPUTED_VALUE"""),"Active")</f>
        <v>Active</v>
      </c>
    </row>
    <row r="230">
      <c r="A230" s="131">
        <f>IFERROR(__xludf.DUMMYFUNCTION("""COMPUTED_VALUE"""),46168.31765046297)</f>
        <v>46168.31765</v>
      </c>
      <c r="B230" s="122" t="str">
        <f>IFERROR(__xludf.DUMMYFUNCTION("""COMPUTED_VALUE"""),"FAST")</f>
        <v>FAST</v>
      </c>
      <c r="C230" s="122" t="str">
        <f>IFERROR(__xludf.DUMMYFUNCTION("""COMPUTED_VALUE"""),"Flash Logistics releases earnings report: Inline profit, guidance Maintained.")</f>
        <v>Flash Logistics releases earnings report: Inline profit, guidance Maintained.</v>
      </c>
      <c r="D230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230" s="122" t="str">
        <f>IFERROR(__xludf.DUMMYFUNCTION("""COMPUTED_VALUE"""),"Neutral")</f>
        <v>Neutral</v>
      </c>
      <c r="F230" s="122">
        <f>IFERROR(__xludf.DUMMYFUNCTION("""COMPUTED_VALUE"""),-0.006364356781453053)</f>
        <v>-0.006364356781</v>
      </c>
      <c r="G230" s="122">
        <f>IFERROR(__xludf.DUMMYFUNCTION("""COMPUTED_VALUE"""),0.15910891953632633)</f>
        <v>0.1591089195</v>
      </c>
      <c r="H230" s="122" t="str">
        <f>IFERROR(__xludf.DUMMYFUNCTION("""COMPUTED_VALUE"""),"Active")</f>
        <v>Active</v>
      </c>
    </row>
    <row r="231">
      <c r="A231" s="131">
        <f>IFERROR(__xludf.DUMMYFUNCTION("""COMPUTED_VALUE"""),46168.317719907405)</f>
        <v>46168.31772</v>
      </c>
      <c r="B231" s="122" t="str">
        <f>IFERROR(__xludf.DUMMYFUNCTION("""COMPUTED_VALUE"""),"BOOK")</f>
        <v>BOOK</v>
      </c>
      <c r="C231" s="122" t="str">
        <f>IFERROR(__xludf.DUMMYFUNCTION("""COMPUTED_VALUE"""),"BookBridge releases earnings report: Beat profit, guidance Raised.")</f>
        <v>BookBridge releases earnings report: Beat profit, guidance Raised.</v>
      </c>
      <c r="D231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231" s="122" t="str">
        <f>IFERROR(__xludf.DUMMYFUNCTION("""COMPUTED_VALUE"""),"Positive")</f>
        <v>Positive</v>
      </c>
      <c r="F231" s="122">
        <f>IFERROR(__xludf.DUMMYFUNCTION("""COMPUTED_VALUE"""),0.045124796347750004)</f>
        <v>0.04512479635</v>
      </c>
      <c r="G231" s="122">
        <f>IFERROR(__xludf.DUMMYFUNCTION("""COMPUTED_VALUE"""),1.1281199086937501)</f>
        <v>1.128119909</v>
      </c>
      <c r="H231" s="122" t="str">
        <f>IFERROR(__xludf.DUMMYFUNCTION("""COMPUTED_VALUE"""),"Active")</f>
        <v>Active</v>
      </c>
    </row>
    <row r="232">
      <c r="A232" s="131">
        <f>IFERROR(__xludf.DUMMYFUNCTION("""COMPUTED_VALUE"""),46168.317766203705)</f>
        <v>46168.31777</v>
      </c>
      <c r="B232" s="122" t="str">
        <f>IFERROR(__xludf.DUMMYFUNCTION("""COMPUTED_VALUE"""),"GLAM")</f>
        <v>GLAM</v>
      </c>
      <c r="C232" s="122" t="str">
        <f>IFERROR(__xludf.DUMMYFUNCTION("""COMPUTED_VALUE"""),"Glow Cosmetics releases earnings report: Beat profit, guidance Raised.")</f>
        <v>Glow Cosmetics releases earnings report: Beat profit, guidance Raised.</v>
      </c>
      <c r="D23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232" s="122" t="str">
        <f>IFERROR(__xludf.DUMMYFUNCTION("""COMPUTED_VALUE"""),"Positive")</f>
        <v>Positive</v>
      </c>
      <c r="F232" s="122">
        <f>IFERROR(__xludf.DUMMYFUNCTION("""COMPUTED_VALUE"""),0.05935151860676467)</f>
        <v>0.05935151861</v>
      </c>
      <c r="G232" s="122">
        <f>IFERROR(__xludf.DUMMYFUNCTION("""COMPUTED_VALUE"""),1.4837879651691168)</f>
        <v>1.483787965</v>
      </c>
      <c r="H232" s="122" t="str">
        <f>IFERROR(__xludf.DUMMYFUNCTION("""COMPUTED_VALUE"""),"Active")</f>
        <v>Active</v>
      </c>
    </row>
    <row r="233">
      <c r="A233" s="131">
        <f>IFERROR(__xludf.DUMMYFUNCTION("""COMPUTED_VALUE"""),46168.317824074074)</f>
        <v>46168.31782</v>
      </c>
      <c r="B233" s="122" t="str">
        <f>IFERROR(__xludf.DUMMYFUNCTION("""COMPUTED_VALUE"""),"WIND")</f>
        <v>WIND</v>
      </c>
      <c r="C233" s="122" t="str">
        <f>IFERROR(__xludf.DUMMYFUNCTION("""COMPUTED_VALUE"""),"WindWorks releases earnings report: Miss profit, guidance Maintained.")</f>
        <v>WindWorks releases earnings report: Miss profit, guidance Maintained.</v>
      </c>
      <c r="D233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233" s="122" t="str">
        <f>IFERROR(__xludf.DUMMYFUNCTION("""COMPUTED_VALUE"""),"Negative")</f>
        <v>Negative</v>
      </c>
      <c r="F233" s="122">
        <f>IFERROR(__xludf.DUMMYFUNCTION("""COMPUTED_VALUE"""),-0.014157109626406199)</f>
        <v>-0.01415710963</v>
      </c>
      <c r="G233" s="122">
        <f>IFERROR(__xludf.DUMMYFUNCTION("""COMPUTED_VALUE"""),0.353927740660155)</f>
        <v>0.3539277407</v>
      </c>
      <c r="H233" s="122" t="str">
        <f>IFERROR(__xludf.DUMMYFUNCTION("""COMPUTED_VALUE"""),"Active")</f>
        <v>Active</v>
      </c>
    </row>
    <row r="234">
      <c r="A234" s="131">
        <f>IFERROR(__xludf.DUMMYFUNCTION("""COMPUTED_VALUE"""),46168.31787037037)</f>
        <v>46168.31787</v>
      </c>
      <c r="B234" s="122" t="str">
        <f>IFERROR(__xludf.DUMMYFUNCTION("""COMPUTED_VALUE"""),"CHIP")</f>
        <v>CHIP</v>
      </c>
      <c r="C234" s="122" t="str">
        <f>IFERROR(__xludf.DUMMYFUNCTION("""COMPUTED_VALUE"""),"Chip Empire releases earnings report: Beat profit, guidance Raised.")</f>
        <v>Chip Empire releases earnings report: Beat profit, guidance Raised.</v>
      </c>
      <c r="D23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234" s="122" t="str">
        <f>IFERROR(__xludf.DUMMYFUNCTION("""COMPUTED_VALUE"""),"Positive")</f>
        <v>Positive</v>
      </c>
      <c r="F234" s="122">
        <f>IFERROR(__xludf.DUMMYFUNCTION("""COMPUTED_VALUE"""),0.05472509502800877)</f>
        <v>0.05472509503</v>
      </c>
      <c r="G234" s="122">
        <f>IFERROR(__xludf.DUMMYFUNCTION("""COMPUTED_VALUE"""),1.3681273757002193)</f>
        <v>1.368127376</v>
      </c>
      <c r="H234" s="122" t="str">
        <f>IFERROR(__xludf.DUMMYFUNCTION("""COMPUTED_VALUE"""),"Active")</f>
        <v>Active</v>
      </c>
    </row>
    <row r="235">
      <c r="A235" s="131">
        <f>IFERROR(__xludf.DUMMYFUNCTION("""COMPUTED_VALUE"""),46168.317928240744)</f>
        <v>46168.31793</v>
      </c>
      <c r="B235" s="122" t="str">
        <f>IFERROR(__xludf.DUMMYFUNCTION("""COMPUTED_VALUE"""),"CAND")</f>
        <v>CAND</v>
      </c>
      <c r="C235" s="122" t="str">
        <f>IFERROR(__xludf.DUMMYFUNCTION("""COMPUTED_VALUE"""),"Candy Capital releases earnings report: Miss profit, guidance Lowered.")</f>
        <v>Candy Capital releases earnings report: Miss profit, guidance Lowered.</v>
      </c>
      <c r="D235" s="122" t="str">
        <f>IFERROR(__xludf.DUMMYFUNCTION("""COMPUTED_VALUE"""),"Earnings report: revenue Miss, profit Miss, debt Worse, guidance Lowered.")</f>
        <v>Earnings report: revenue Miss, profit Miss, debt Worse, guidance Lowered.</v>
      </c>
      <c r="E235" s="122" t="str">
        <f>IFERROR(__xludf.DUMMYFUNCTION("""COMPUTED_VALUE"""),"Negative")</f>
        <v>Negative</v>
      </c>
      <c r="F235" s="122">
        <f>IFERROR(__xludf.DUMMYFUNCTION("""COMPUTED_VALUE"""),-0.03462751757417813)</f>
        <v>-0.03462751757</v>
      </c>
      <c r="G235" s="122">
        <f>IFERROR(__xludf.DUMMYFUNCTION("""COMPUTED_VALUE"""),0.8656879393544533)</f>
        <v>0.8656879394</v>
      </c>
      <c r="H235" s="122" t="str">
        <f>IFERROR(__xludf.DUMMYFUNCTION("""COMPUTED_VALUE"""),"Active")</f>
        <v>Active</v>
      </c>
    </row>
    <row r="236">
      <c r="A236" s="131">
        <f>IFERROR(__xludf.DUMMYFUNCTION("""COMPUTED_VALUE"""),46168.31798611111)</f>
        <v>46168.31799</v>
      </c>
      <c r="B236" s="122" t="str">
        <f>IFERROR(__xludf.DUMMYFUNCTION("""COMPUTED_VALUE"""),"SNAX")</f>
        <v>SNAX</v>
      </c>
      <c r="C236" s="122" t="str">
        <f>IFERROR(__xludf.DUMMYFUNCTION("""COMPUTED_VALUE"""),"MICA Snacks releases earnings report: Beat profit, guidance Raised.")</f>
        <v>MICA Snacks releases earnings report: Beat profit, guidance Raised.</v>
      </c>
      <c r="D23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236" s="122" t="str">
        <f>IFERROR(__xludf.DUMMYFUNCTION("""COMPUTED_VALUE"""),"Positive")</f>
        <v>Positive</v>
      </c>
      <c r="F236" s="122">
        <f>IFERROR(__xludf.DUMMYFUNCTION("""COMPUTED_VALUE"""),0.03418162153350848)</f>
        <v>0.03418162153</v>
      </c>
      <c r="G236" s="122">
        <f>IFERROR(__xludf.DUMMYFUNCTION("""COMPUTED_VALUE"""),0.854540538337712)</f>
        <v>0.8545405383</v>
      </c>
      <c r="H236" s="122" t="str">
        <f>IFERROR(__xludf.DUMMYFUNCTION("""COMPUTED_VALUE"""),"Active")</f>
        <v>Active</v>
      </c>
    </row>
    <row r="237">
      <c r="A237" s="131">
        <f>IFERROR(__xludf.DUMMYFUNCTION("""COMPUTED_VALUE"""),46168.33091435185)</f>
        <v>46168.33091</v>
      </c>
      <c r="B237" s="122" t="str">
        <f>IFERROR(__xludf.DUMMYFUNCTION("""COMPUTED_VALUE"""),"SNAX")</f>
        <v>SNAX</v>
      </c>
      <c r="C237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237" s="122" t="str">
        <f>IFERROR(__xludf.DUMMYFUNCTION("""COMPUTED_VALUE"""),"MICA Snacks appears steady with no major changes reported.")</f>
        <v>MICA Snacks appears steady with no major changes reported.</v>
      </c>
      <c r="E237" s="122" t="str">
        <f>IFERROR(__xludf.DUMMYFUNCTION("""COMPUTED_VALUE"""),"Neutral")</f>
        <v>Neutral</v>
      </c>
      <c r="F237" s="122">
        <f>IFERROR(__xludf.DUMMYFUNCTION("""COMPUTED_VALUE"""),0.0)</f>
        <v>0</v>
      </c>
      <c r="G237" s="122">
        <f>IFERROR(__xludf.DUMMYFUNCTION("""COMPUTED_VALUE"""),0.0)</f>
        <v>0</v>
      </c>
      <c r="H237" s="122" t="str">
        <f>IFERROR(__xludf.DUMMYFUNCTION("""COMPUTED_VALUE"""),"Active")</f>
        <v>Active</v>
      </c>
    </row>
    <row r="238">
      <c r="A238" s="131">
        <f>IFERROR(__xludf.DUMMYFUNCTION("""COMPUTED_VALUE"""),46168.33091435185)</f>
        <v>46168.33091</v>
      </c>
      <c r="B238" s="122" t="str">
        <f>IFERROR(__xludf.DUMMYFUNCTION("""COMPUTED_VALUE"""),"RAMN")</f>
        <v>RAMN</v>
      </c>
      <c r="C238" s="122" t="str">
        <f>IFERROR(__xludf.DUMMYFUNCTION("""COMPUTED_VALUE"""),"Ramen Republic remains stable as the Food market shows normal activity.")</f>
        <v>Ramen Republic remains stable as the Food market shows normal activity.</v>
      </c>
      <c r="D238" s="122" t="str">
        <f>IFERROR(__xludf.DUMMYFUNCTION("""COMPUTED_VALUE"""),"Ramen Republic appears steady with no major changes reported.")</f>
        <v>Ramen Republic appears steady with no major changes reported.</v>
      </c>
      <c r="E238" s="122" t="str">
        <f>IFERROR(__xludf.DUMMYFUNCTION("""COMPUTED_VALUE"""),"Neutral")</f>
        <v>Neutral</v>
      </c>
      <c r="F238" s="122">
        <f>IFERROR(__xludf.DUMMYFUNCTION("""COMPUTED_VALUE"""),0.0)</f>
        <v>0</v>
      </c>
      <c r="G238" s="122">
        <f>IFERROR(__xludf.DUMMYFUNCTION("""COMPUTED_VALUE"""),0.0)</f>
        <v>0</v>
      </c>
      <c r="H238" s="122" t="str">
        <f>IFERROR(__xludf.DUMMYFUNCTION("""COMPUTED_VALUE"""),"Active")</f>
        <v>Active</v>
      </c>
    </row>
    <row r="239">
      <c r="A239" s="131">
        <f>IFERROR(__xludf.DUMMYFUNCTION("""COMPUTED_VALUE"""),46168.33091435185)</f>
        <v>46168.33091</v>
      </c>
      <c r="B239" s="122" t="str">
        <f>IFERROR(__xludf.DUMMYFUNCTION("""COMPUTED_VALUE"""),"COLA")</f>
        <v>COLA</v>
      </c>
      <c r="C239" s="122" t="str">
        <f>IFERROR(__xludf.DUMMYFUNCTION("""COMPUTED_VALUE"""),"K-Pop Cola reports steady growth and improved market confidence.")</f>
        <v>K-Pop Cola reports steady growth and improved market confidence.</v>
      </c>
      <c r="D239" s="122" t="str">
        <f>IFERROR(__xludf.DUMMYFUNCTION("""COMPUTED_VALUE"""),"K-Pop Cola continues to show positive momentum with moderate risk.")</f>
        <v>K-Pop Cola continues to show positive momentum with moderate risk.</v>
      </c>
      <c r="E239" s="122" t="str">
        <f>IFERROR(__xludf.DUMMYFUNCTION("""COMPUTED_VALUE"""),"Positive")</f>
        <v>Positive</v>
      </c>
      <c r="F239" s="122">
        <f>IFERROR(__xludf.DUMMYFUNCTION("""COMPUTED_VALUE"""),0.015)</f>
        <v>0.015</v>
      </c>
      <c r="G239" s="122">
        <f>IFERROR(__xludf.DUMMYFUNCTION("""COMPUTED_VALUE"""),0.5)</f>
        <v>0.5</v>
      </c>
      <c r="H239" s="122" t="str">
        <f>IFERROR(__xludf.DUMMYFUNCTION("""COMPUTED_VALUE"""),"Active")</f>
        <v>Active</v>
      </c>
    </row>
    <row r="240">
      <c r="A240" s="131">
        <f>IFERROR(__xludf.DUMMYFUNCTION("""COMPUTED_VALUE"""),46168.330925925926)</f>
        <v>46168.33093</v>
      </c>
      <c r="B240" s="122" t="str">
        <f>IFERROR(__xludf.DUMMYFUNCTION("""COMPUTED_VALUE"""),"CHIP")</f>
        <v>CHIP</v>
      </c>
      <c r="C240" s="122" t="str">
        <f>IFERROR(__xludf.DUMMYFUNCTION("""COMPUTED_VALUE"""),"Chip Empire faces weaker demand and cautious investor sentiment.")</f>
        <v>Chip Empire faces weaker demand and cautious investor sentiment.</v>
      </c>
      <c r="D240" s="122" t="str">
        <f>IFERROR(__xludf.DUMMYFUNCTION("""COMPUTED_VALUE"""),"Investors are watching Chip Empire closely as demand weakens.")</f>
        <v>Investors are watching Chip Empire closely as demand weakens.</v>
      </c>
      <c r="E240" s="122" t="str">
        <f>IFERROR(__xludf.DUMMYFUNCTION("""COMPUTED_VALUE"""),"Negative")</f>
        <v>Negative</v>
      </c>
      <c r="F240" s="122">
        <f>IFERROR(__xludf.DUMMYFUNCTION("""COMPUTED_VALUE"""),-0.015)</f>
        <v>-0.015</v>
      </c>
      <c r="G240" s="122">
        <f>IFERROR(__xludf.DUMMYFUNCTION("""COMPUTED_VALUE"""),0.75)</f>
        <v>0.75</v>
      </c>
      <c r="H240" s="122" t="str">
        <f>IFERROR(__xludf.DUMMYFUNCTION("""COMPUTED_VALUE"""),"Active")</f>
        <v>Active</v>
      </c>
    </row>
    <row r="241">
      <c r="A241" s="131">
        <f>IFERROR(__xludf.DUMMYFUNCTION("""COMPUTED_VALUE"""),46168.330925925926)</f>
        <v>46168.33093</v>
      </c>
      <c r="B241" s="122" t="str">
        <f>IFERROR(__xludf.DUMMYFUNCTION("""COMPUTED_VALUE"""),"CAND")</f>
        <v>CAND</v>
      </c>
      <c r="C241" s="122" t="str">
        <f>IFERROR(__xludf.DUMMYFUNCTION("""COMPUTED_VALUE"""),"Candy Capital reports steady growth and improved market confidence.")</f>
        <v>Candy Capital reports steady growth and improved market confidence.</v>
      </c>
      <c r="D241" s="122" t="str">
        <f>IFERROR(__xludf.DUMMYFUNCTION("""COMPUTED_VALUE"""),"Candy Capital continues to show positive momentum with moderate risk.")</f>
        <v>Candy Capital continues to show positive momentum with moderate risk.</v>
      </c>
      <c r="E241" s="122" t="str">
        <f>IFERROR(__xludf.DUMMYFUNCTION("""COMPUTED_VALUE"""),"Positive")</f>
        <v>Positive</v>
      </c>
      <c r="F241" s="122">
        <f>IFERROR(__xludf.DUMMYFUNCTION("""COMPUTED_VALUE"""),0.015)</f>
        <v>0.015</v>
      </c>
      <c r="G241" s="122">
        <f>IFERROR(__xludf.DUMMYFUNCTION("""COMPUTED_VALUE"""),0.5)</f>
        <v>0.5</v>
      </c>
      <c r="H241" s="122" t="str">
        <f>IFERROR(__xludf.DUMMYFUNCTION("""COMPUTED_VALUE"""),"Active")</f>
        <v>Active</v>
      </c>
    </row>
    <row r="242">
      <c r="A242" s="131">
        <f>IFERROR(__xludf.DUMMYFUNCTION("""COMPUTED_VALUE"""),46168.3309375)</f>
        <v>46168.33094</v>
      </c>
      <c r="B242" s="122" t="str">
        <f>IFERROR(__xludf.DUMMYFUNCTION("""COMPUTED_VALUE"""),"TECH")</f>
        <v>TECH</v>
      </c>
      <c r="C242" s="122" t="str">
        <f>IFERROR(__xludf.DUMMYFUNCTION("""COMPUTED_VALUE"""),"Dragon Tech faces weaker demand and cautious investor sentiment.")</f>
        <v>Dragon Tech faces weaker demand and cautious investor sentiment.</v>
      </c>
      <c r="D242" s="122" t="str">
        <f>IFERROR(__xludf.DUMMYFUNCTION("""COMPUTED_VALUE"""),"Investors are watching Dragon Tech closely as demand weakens.")</f>
        <v>Investors are watching Dragon Tech closely as demand weakens.</v>
      </c>
      <c r="E242" s="122" t="str">
        <f>IFERROR(__xludf.DUMMYFUNCTION("""COMPUTED_VALUE"""),"Negative")</f>
        <v>Negative</v>
      </c>
      <c r="F242" s="122">
        <f>IFERROR(__xludf.DUMMYFUNCTION("""COMPUTED_VALUE"""),-0.015)</f>
        <v>-0.015</v>
      </c>
      <c r="G242" s="122">
        <f>IFERROR(__xludf.DUMMYFUNCTION("""COMPUTED_VALUE"""),0.75)</f>
        <v>0.75</v>
      </c>
      <c r="H242" s="122" t="str">
        <f>IFERROR(__xludf.DUMMYFUNCTION("""COMPUTED_VALUE"""),"Active")</f>
        <v>Active</v>
      </c>
    </row>
    <row r="243">
      <c r="A243" s="131">
        <f>IFERROR(__xludf.DUMMYFUNCTION("""COMPUTED_VALUE"""),46168.3309375)</f>
        <v>46168.33094</v>
      </c>
      <c r="B243" s="122" t="str">
        <f>IFERROR(__xludf.DUMMYFUNCTION("""COMPUTED_VALUE"""),"AIBO")</f>
        <v>AIBO</v>
      </c>
      <c r="C243" s="122" t="str">
        <f>IFERROR(__xludf.DUMMYFUNCTION("""COMPUTED_VALUE"""),"Homework AI faces weaker demand and cautious investor sentiment.")</f>
        <v>Homework AI faces weaker demand and cautious investor sentiment.</v>
      </c>
      <c r="D243" s="122" t="str">
        <f>IFERROR(__xludf.DUMMYFUNCTION("""COMPUTED_VALUE"""),"Investors are watching Homework AI closely as demand weakens.")</f>
        <v>Investors are watching Homework AI closely as demand weakens.</v>
      </c>
      <c r="E243" s="122" t="str">
        <f>IFERROR(__xludf.DUMMYFUNCTION("""COMPUTED_VALUE"""),"Negative")</f>
        <v>Negative</v>
      </c>
      <c r="F243" s="122">
        <f>IFERROR(__xludf.DUMMYFUNCTION("""COMPUTED_VALUE"""),-0.015)</f>
        <v>-0.015</v>
      </c>
      <c r="G243" s="122">
        <f>IFERROR(__xludf.DUMMYFUNCTION("""COMPUTED_VALUE"""),0.75)</f>
        <v>0.75</v>
      </c>
      <c r="H243" s="122" t="str">
        <f>IFERROR(__xludf.DUMMYFUNCTION("""COMPUTED_VALUE"""),"Active")</f>
        <v>Active</v>
      </c>
    </row>
    <row r="244">
      <c r="A244" s="131">
        <f>IFERROR(__xludf.DUMMYFUNCTION("""COMPUTED_VALUE"""),46168.3309375)</f>
        <v>46168.33094</v>
      </c>
      <c r="B244" s="122" t="str">
        <f>IFERROR(__xludf.DUMMYFUNCTION("""COMPUTED_VALUE"""),"GAME")</f>
        <v>GAME</v>
      </c>
      <c r="C244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244" s="122" t="str">
        <f>IFERROR(__xludf.DUMMYFUNCTION("""COMPUTED_VALUE"""),"GameBox Media appears steady with no major changes reported.")</f>
        <v>GameBox Media appears steady with no major changes reported.</v>
      </c>
      <c r="E244" s="122" t="str">
        <f>IFERROR(__xludf.DUMMYFUNCTION("""COMPUTED_VALUE"""),"Neutral")</f>
        <v>Neutral</v>
      </c>
      <c r="F244" s="122">
        <f>IFERROR(__xludf.DUMMYFUNCTION("""COMPUTED_VALUE"""),0.0)</f>
        <v>0</v>
      </c>
      <c r="G244" s="122">
        <f>IFERROR(__xludf.DUMMYFUNCTION("""COMPUTED_VALUE"""),0.0)</f>
        <v>0</v>
      </c>
      <c r="H244" s="122" t="str">
        <f>IFERROR(__xludf.DUMMYFUNCTION("""COMPUTED_VALUE"""),"Active")</f>
        <v>Active</v>
      </c>
    </row>
    <row r="245">
      <c r="A245" s="131">
        <f>IFERROR(__xludf.DUMMYFUNCTION("""COMPUTED_VALUE"""),46168.33094907407)</f>
        <v>46168.33095</v>
      </c>
      <c r="B245" s="122" t="str">
        <f>IFERROR(__xludf.DUMMYFUNCTION("""COMPUTED_VALUE"""),"VRSE")</f>
        <v>VRSE</v>
      </c>
      <c r="C245" s="122" t="str">
        <f>IFERROR(__xludf.DUMMYFUNCTION("""COMPUTED_VALUE"""),"VerseVR remains stable as the Technology market shows normal activity.")</f>
        <v>VerseVR remains stable as the Technology market shows normal activity.</v>
      </c>
      <c r="D245" s="122" t="str">
        <f>IFERROR(__xludf.DUMMYFUNCTION("""COMPUTED_VALUE"""),"VerseVR appears steady with no major changes reported.")</f>
        <v>VerseVR appears steady with no major changes reported.</v>
      </c>
      <c r="E245" s="122" t="str">
        <f>IFERROR(__xludf.DUMMYFUNCTION("""COMPUTED_VALUE"""),"Neutral")</f>
        <v>Neutral</v>
      </c>
      <c r="F245" s="122">
        <f>IFERROR(__xludf.DUMMYFUNCTION("""COMPUTED_VALUE"""),0.0)</f>
        <v>0</v>
      </c>
      <c r="G245" s="122">
        <f>IFERROR(__xludf.DUMMYFUNCTION("""COMPUTED_VALUE"""),0.0)</f>
        <v>0</v>
      </c>
      <c r="H245" s="122" t="str">
        <f>IFERROR(__xludf.DUMMYFUNCTION("""COMPUTED_VALUE"""),"Active")</f>
        <v>Active</v>
      </c>
    </row>
    <row r="246">
      <c r="A246" s="131">
        <f>IFERROR(__xludf.DUMMYFUNCTION("""COMPUTED_VALUE"""),46168.33094907407)</f>
        <v>46168.33095</v>
      </c>
      <c r="B246" s="122" t="str">
        <f>IFERROR(__xludf.DUMMYFUNCTION("""COMPUTED_VALUE"""),"BYTE")</f>
        <v>BYTE</v>
      </c>
      <c r="C246" s="122" t="str">
        <f>IFERROR(__xludf.DUMMYFUNCTION("""COMPUTED_VALUE"""),"ByteWorks faces weaker demand and cautious investor sentiment.")</f>
        <v>ByteWorks faces weaker demand and cautious investor sentiment.</v>
      </c>
      <c r="D246" s="122" t="str">
        <f>IFERROR(__xludf.DUMMYFUNCTION("""COMPUTED_VALUE"""),"Investors are watching ByteWorks closely as demand weakens.")</f>
        <v>Investors are watching ByteWorks closely as demand weakens.</v>
      </c>
      <c r="E246" s="122" t="str">
        <f>IFERROR(__xludf.DUMMYFUNCTION("""COMPUTED_VALUE"""),"Negative")</f>
        <v>Negative</v>
      </c>
      <c r="F246" s="122">
        <f>IFERROR(__xludf.DUMMYFUNCTION("""COMPUTED_VALUE"""),-0.015)</f>
        <v>-0.015</v>
      </c>
      <c r="G246" s="122">
        <f>IFERROR(__xludf.DUMMYFUNCTION("""COMPUTED_VALUE"""),0.75)</f>
        <v>0.75</v>
      </c>
      <c r="H246" s="122" t="str">
        <f>IFERROR(__xludf.DUMMYFUNCTION("""COMPUTED_VALUE"""),"Active")</f>
        <v>Active</v>
      </c>
    </row>
    <row r="247">
      <c r="A247" s="131">
        <f>IFERROR(__xludf.DUMMYFUNCTION("""COMPUTED_VALUE"""),46168.33096064815)</f>
        <v>46168.33096</v>
      </c>
      <c r="B247" s="122" t="str">
        <f>IFERROR(__xludf.DUMMYFUNCTION("""COMPUTED_VALUE"""),"BANK")</f>
        <v>BANK</v>
      </c>
      <c r="C247" s="122" t="str">
        <f>IFERROR(__xludf.DUMMYFUNCTION("""COMPUTED_VALUE"""),"Tiger Bank surges as demand rises across the Finance sector.")</f>
        <v>Tiger Bank surges as demand rises across the Finance sector.</v>
      </c>
      <c r="D247" s="122" t="str">
        <f>IFERROR(__xludf.DUMMYFUNCTION("""COMPUTED_VALUE"""),"Tiger Bank is seeing strong demand, which may increase investor confidence.")</f>
        <v>Tiger Bank is seeing strong demand, which may increase investor confidence.</v>
      </c>
      <c r="E247" s="122" t="str">
        <f>IFERROR(__xludf.DUMMYFUNCTION("""COMPUTED_VALUE"""),"Positive")</f>
        <v>Positive</v>
      </c>
      <c r="F247" s="122">
        <f>IFERROR(__xludf.DUMMYFUNCTION("""COMPUTED_VALUE"""),0.03)</f>
        <v>0.03</v>
      </c>
      <c r="G247" s="122">
        <f>IFERROR(__xludf.DUMMYFUNCTION("""COMPUTED_VALUE"""),1.0)</f>
        <v>1</v>
      </c>
      <c r="H247" s="122" t="str">
        <f>IFERROR(__xludf.DUMMYFUNCTION("""COMPUTED_VALUE"""),"Active")</f>
        <v>Active</v>
      </c>
    </row>
    <row r="248">
      <c r="A248" s="131">
        <f>IFERROR(__xludf.DUMMYFUNCTION("""COMPUTED_VALUE"""),46168.33096064815)</f>
        <v>46168.33096</v>
      </c>
      <c r="B248" s="122" t="str">
        <f>IFERROR(__xludf.DUMMYFUNCTION("""COMPUTED_VALUE"""),"CRED")</f>
        <v>CRED</v>
      </c>
      <c r="C248" s="122" t="str">
        <f>IFERROR(__xludf.DUMMYFUNCTION("""COMPUTED_VALUE"""),"Credit Castle remains stable as the Finance market shows normal activity.")</f>
        <v>Credit Castle remains stable as the Finance market shows normal activity.</v>
      </c>
      <c r="D248" s="122" t="str">
        <f>IFERROR(__xludf.DUMMYFUNCTION("""COMPUTED_VALUE"""),"Credit Castle appears steady with no major changes reported.")</f>
        <v>Credit Castle appears steady with no major changes reported.</v>
      </c>
      <c r="E248" s="122" t="str">
        <f>IFERROR(__xludf.DUMMYFUNCTION("""COMPUTED_VALUE"""),"Neutral")</f>
        <v>Neutral</v>
      </c>
      <c r="F248" s="122">
        <f>IFERROR(__xludf.DUMMYFUNCTION("""COMPUTED_VALUE"""),0.0)</f>
        <v>0</v>
      </c>
      <c r="G248" s="122">
        <f>IFERROR(__xludf.DUMMYFUNCTION("""COMPUTED_VALUE"""),0.0)</f>
        <v>0</v>
      </c>
      <c r="H248" s="122" t="str">
        <f>IFERROR(__xludf.DUMMYFUNCTION("""COMPUTED_VALUE"""),"Active")</f>
        <v>Active</v>
      </c>
    </row>
    <row r="249">
      <c r="A249" s="131">
        <f>IFERROR(__xludf.DUMMYFUNCTION("""COMPUTED_VALUE"""),46168.330972222226)</f>
        <v>46168.33097</v>
      </c>
      <c r="B249" s="122" t="str">
        <f>IFERROR(__xludf.DUMMYFUNCTION("""COMPUTED_VALUE"""),"BOND")</f>
        <v>BOND</v>
      </c>
      <c r="C249" s="122" t="str">
        <f>IFERROR(__xludf.DUMMYFUNCTION("""COMPUTED_VALUE"""),"BondBridge reports steady growth and improved market confidence.")</f>
        <v>BondBridge reports steady growth and improved market confidence.</v>
      </c>
      <c r="D249" s="122" t="str">
        <f>IFERROR(__xludf.DUMMYFUNCTION("""COMPUTED_VALUE"""),"BondBridge continues to show positive momentum with moderate risk.")</f>
        <v>BondBridge continues to show positive momentum with moderate risk.</v>
      </c>
      <c r="E249" s="122" t="str">
        <f>IFERROR(__xludf.DUMMYFUNCTION("""COMPUTED_VALUE"""),"Positive")</f>
        <v>Positive</v>
      </c>
      <c r="F249" s="122">
        <f>IFERROR(__xludf.DUMMYFUNCTION("""COMPUTED_VALUE"""),0.015)</f>
        <v>0.015</v>
      </c>
      <c r="G249" s="122">
        <f>IFERROR(__xludf.DUMMYFUNCTION("""COMPUTED_VALUE"""),0.5)</f>
        <v>0.5</v>
      </c>
      <c r="H249" s="122" t="str">
        <f>IFERROR(__xludf.DUMMYFUNCTION("""COMPUTED_VALUE"""),"Active")</f>
        <v>Active</v>
      </c>
    </row>
    <row r="250">
      <c r="A250" s="131">
        <f>IFERROR(__xludf.DUMMYFUNCTION("""COMPUTED_VALUE"""),46168.330972222226)</f>
        <v>46168.33097</v>
      </c>
      <c r="B250" s="122" t="str">
        <f>IFERROR(__xludf.DUMMYFUNCTION("""COMPUTED_VALUE"""),"INSR")</f>
        <v>INSR</v>
      </c>
      <c r="C250" s="122" t="str">
        <f>IFERROR(__xludf.DUMMYFUNCTION("""COMPUTED_VALUE"""),"Shield Insurance faces weaker demand and cautious investor sentiment.")</f>
        <v>Shield Insurance faces weaker demand and cautious investor sentiment.</v>
      </c>
      <c r="D250" s="122" t="str">
        <f>IFERROR(__xludf.DUMMYFUNCTION("""COMPUTED_VALUE"""),"Investors are watching Shield Insurance closely as demand weakens.")</f>
        <v>Investors are watching Shield Insurance closely as demand weakens.</v>
      </c>
      <c r="E250" s="122" t="str">
        <f>IFERROR(__xludf.DUMMYFUNCTION("""COMPUTED_VALUE"""),"Negative")</f>
        <v>Negative</v>
      </c>
      <c r="F250" s="122">
        <f>IFERROR(__xludf.DUMMYFUNCTION("""COMPUTED_VALUE"""),-0.015)</f>
        <v>-0.015</v>
      </c>
      <c r="G250" s="122">
        <f>IFERROR(__xludf.DUMMYFUNCTION("""COMPUTED_VALUE"""),0.75)</f>
        <v>0.75</v>
      </c>
      <c r="H250" s="122" t="str">
        <f>IFERROR(__xludf.DUMMYFUNCTION("""COMPUTED_VALUE"""),"Active")</f>
        <v>Active</v>
      </c>
    </row>
    <row r="251">
      <c r="A251" s="131">
        <f>IFERROR(__xludf.DUMMYFUNCTION("""COMPUTED_VALUE"""),46168.330983796295)</f>
        <v>46168.33098</v>
      </c>
      <c r="B251" s="122" t="str">
        <f>IFERROR(__xludf.DUMMYFUNCTION("""COMPUTED_VALUE"""),"LOAN")</f>
        <v>LOAN</v>
      </c>
      <c r="C251" s="122" t="str">
        <f>IFERROR(__xludf.DUMMYFUNCTION("""COMPUTED_VALUE"""),"LoanLab reports steady growth and improved market confidence.")</f>
        <v>LoanLab reports steady growth and improved market confidence.</v>
      </c>
      <c r="D251" s="122" t="str">
        <f>IFERROR(__xludf.DUMMYFUNCTION("""COMPUTED_VALUE"""),"LoanLab continues to show positive momentum with moderate risk.")</f>
        <v>LoanLab continues to show positive momentum with moderate risk.</v>
      </c>
      <c r="E251" s="122" t="str">
        <f>IFERROR(__xludf.DUMMYFUNCTION("""COMPUTED_VALUE"""),"Positive")</f>
        <v>Positive</v>
      </c>
      <c r="F251" s="122">
        <f>IFERROR(__xludf.DUMMYFUNCTION("""COMPUTED_VALUE"""),0.015)</f>
        <v>0.015</v>
      </c>
      <c r="G251" s="122">
        <f>IFERROR(__xludf.DUMMYFUNCTION("""COMPUTED_VALUE"""),0.5)</f>
        <v>0.5</v>
      </c>
      <c r="H251" s="122" t="str">
        <f>IFERROR(__xludf.DUMMYFUNCTION("""COMPUTED_VALUE"""),"Active")</f>
        <v>Active</v>
      </c>
    </row>
    <row r="252">
      <c r="A252" s="131">
        <f>IFERROR(__xludf.DUMMYFUNCTION("""COMPUTED_VALUE"""),46168.330983796295)</f>
        <v>46168.33098</v>
      </c>
      <c r="B252" s="122" t="str">
        <f>IFERROR(__xludf.DUMMYFUNCTION("""COMPUTED_VALUE"""),"LUXE")</f>
        <v>LUXE</v>
      </c>
      <c r="C252" s="122" t="str">
        <f>IFERROR(__xludf.DUMMYFUNCTION("""COMPUTED_VALUE"""),"Luxury Locker faces weaker demand and cautious investor sentiment.")</f>
        <v>Luxury Locker faces weaker demand and cautious investor sentiment.</v>
      </c>
      <c r="D252" s="122" t="str">
        <f>IFERROR(__xludf.DUMMYFUNCTION("""COMPUTED_VALUE"""),"Investors are watching Luxury Locker closely as demand weakens.")</f>
        <v>Investors are watching Luxury Locker closely as demand weakens.</v>
      </c>
      <c r="E252" s="122" t="str">
        <f>IFERROR(__xludf.DUMMYFUNCTION("""COMPUTED_VALUE"""),"Negative")</f>
        <v>Negative</v>
      </c>
      <c r="F252" s="122">
        <f>IFERROR(__xludf.DUMMYFUNCTION("""COMPUTED_VALUE"""),-0.015)</f>
        <v>-0.015</v>
      </c>
      <c r="G252" s="122">
        <f>IFERROR(__xludf.DUMMYFUNCTION("""COMPUTED_VALUE"""),0.75)</f>
        <v>0.75</v>
      </c>
      <c r="H252" s="122" t="str">
        <f>IFERROR(__xludf.DUMMYFUNCTION("""COMPUTED_VALUE"""),"Active")</f>
        <v>Active</v>
      </c>
    </row>
    <row r="253">
      <c r="A253" s="131">
        <f>IFERROR(__xludf.DUMMYFUNCTION("""COMPUTED_VALUE"""),46168.33099537037)</f>
        <v>46168.331</v>
      </c>
      <c r="B253" s="122" t="str">
        <f>IFERROR(__xludf.DUMMYFUNCTION("""COMPUTED_VALUE"""),"DRIP")</f>
        <v>DRIP</v>
      </c>
      <c r="C253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253" s="122" t="str">
        <f>IFERROR(__xludf.DUMMYFUNCTION("""COMPUTED_VALUE"""),"Drip Streetwear appears steady with no major changes reported.")</f>
        <v>Drip Streetwear appears steady with no major changes reported.</v>
      </c>
      <c r="E253" s="122" t="str">
        <f>IFERROR(__xludf.DUMMYFUNCTION("""COMPUTED_VALUE"""),"Neutral")</f>
        <v>Neutral</v>
      </c>
      <c r="F253" s="122">
        <f>IFERROR(__xludf.DUMMYFUNCTION("""COMPUTED_VALUE"""),0.0)</f>
        <v>0</v>
      </c>
      <c r="G253" s="122">
        <f>IFERROR(__xludf.DUMMYFUNCTION("""COMPUTED_VALUE"""),0.0)</f>
        <v>0</v>
      </c>
      <c r="H253" s="122" t="str">
        <f>IFERROR(__xludf.DUMMYFUNCTION("""COMPUTED_VALUE"""),"Active")</f>
        <v>Active</v>
      </c>
    </row>
    <row r="254">
      <c r="A254" s="131">
        <f>IFERROR(__xludf.DUMMYFUNCTION("""COMPUTED_VALUE"""),46168.33099537037)</f>
        <v>46168.331</v>
      </c>
      <c r="B254" s="122" t="str">
        <f>IFERROR(__xludf.DUMMYFUNCTION("""COMPUTED_VALUE"""),"KICK")</f>
        <v>KICK</v>
      </c>
      <c r="C254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254" s="122" t="str">
        <f>IFERROR(__xludf.DUMMYFUNCTION("""COMPUTED_VALUE"""),"KickDrop Sneakers appears steady with no major changes reported.")</f>
        <v>KickDrop Sneakers appears steady with no major changes reported.</v>
      </c>
      <c r="E254" s="122" t="str">
        <f>IFERROR(__xludf.DUMMYFUNCTION("""COMPUTED_VALUE"""),"Neutral")</f>
        <v>Neutral</v>
      </c>
      <c r="F254" s="122">
        <f>IFERROR(__xludf.DUMMYFUNCTION("""COMPUTED_VALUE"""),0.0)</f>
        <v>0</v>
      </c>
      <c r="G254" s="122">
        <f>IFERROR(__xludf.DUMMYFUNCTION("""COMPUTED_VALUE"""),0.0)</f>
        <v>0</v>
      </c>
      <c r="H254" s="122" t="str">
        <f>IFERROR(__xludf.DUMMYFUNCTION("""COMPUTED_VALUE"""),"Active")</f>
        <v>Active</v>
      </c>
    </row>
    <row r="255">
      <c r="A255" s="131">
        <f>IFERROR(__xludf.DUMMYFUNCTION("""COMPUTED_VALUE"""),46168.33099537037)</f>
        <v>46168.331</v>
      </c>
      <c r="B255" s="122" t="str">
        <f>IFERROR(__xludf.DUMMYFUNCTION("""COMPUTED_VALUE"""),"GLAM")</f>
        <v>GLAM</v>
      </c>
      <c r="C255" s="122" t="str">
        <f>IFERROR(__xludf.DUMMYFUNCTION("""COMPUTED_VALUE"""),"Glow Cosmetics sees uncertain trading as investors react to mixed signals.")</f>
        <v>Glow Cosmetics sees uncertain trading as investors react to mixed signals.</v>
      </c>
      <c r="D255" s="122" t="str">
        <f>IFERROR(__xludf.DUMMYFUNCTION("""COMPUTED_VALUE"""),"Glow Cosmetics may experience larger price swings as investors disagree on direction.")</f>
        <v>Glow Cosmetics may experience larger price swings as investors disagree on direction.</v>
      </c>
      <c r="E255" s="122" t="str">
        <f>IFERROR(__xludf.DUMMYFUNCTION("""COMPUTED_VALUE"""),"Mixed")</f>
        <v>Mixed</v>
      </c>
      <c r="F255" s="122">
        <f>IFERROR(__xludf.DUMMYFUNCTION("""COMPUTED_VALUE"""),-0.01550221354851761)</f>
        <v>-0.01550221355</v>
      </c>
      <c r="G255" s="122">
        <f>IFERROR(__xludf.DUMMYFUNCTION("""COMPUTED_VALUE"""),1.5)</f>
        <v>1.5</v>
      </c>
      <c r="H255" s="122" t="str">
        <f>IFERROR(__xludf.DUMMYFUNCTION("""COMPUTED_VALUE"""),"Active")</f>
        <v>Active</v>
      </c>
    </row>
    <row r="256">
      <c r="A256" s="131">
        <f>IFERROR(__xludf.DUMMYFUNCTION("""COMPUTED_VALUE"""),46168.33100694444)</f>
        <v>46168.33101</v>
      </c>
      <c r="B256" s="122" t="str">
        <f>IFERROR(__xludf.DUMMYFUNCTION("""COMPUTED_VALUE"""),"BAGG")</f>
        <v>BAGG</v>
      </c>
      <c r="C256" s="122" t="str">
        <f>IFERROR(__xludf.DUMMYFUNCTION("""COMPUTED_VALUE"""),"BagVault remains stable as the Fashion market shows normal activity.")</f>
        <v>BagVault remains stable as the Fashion market shows normal activity.</v>
      </c>
      <c r="D256" s="122" t="str">
        <f>IFERROR(__xludf.DUMMYFUNCTION("""COMPUTED_VALUE"""),"BagVault appears steady with no major changes reported.")</f>
        <v>BagVault appears steady with no major changes reported.</v>
      </c>
      <c r="E256" s="122" t="str">
        <f>IFERROR(__xludf.DUMMYFUNCTION("""COMPUTED_VALUE"""),"Neutral")</f>
        <v>Neutral</v>
      </c>
      <c r="F256" s="122">
        <f>IFERROR(__xludf.DUMMYFUNCTION("""COMPUTED_VALUE"""),0.0)</f>
        <v>0</v>
      </c>
      <c r="G256" s="122">
        <f>IFERROR(__xludf.DUMMYFUNCTION("""COMPUTED_VALUE"""),0.0)</f>
        <v>0</v>
      </c>
      <c r="H256" s="122" t="str">
        <f>IFERROR(__xludf.DUMMYFUNCTION("""COMPUTED_VALUE"""),"Active")</f>
        <v>Active</v>
      </c>
    </row>
    <row r="257">
      <c r="A257" s="131">
        <f>IFERROR(__xludf.DUMMYFUNCTION("""COMPUTED_VALUE"""),46168.33100694444)</f>
        <v>46168.33101</v>
      </c>
      <c r="B257" s="122" t="str">
        <f>IFERROR(__xludf.DUMMYFUNCTION("""COMPUTED_VALUE"""),"FAST")</f>
        <v>FAST</v>
      </c>
      <c r="C257" s="122" t="str">
        <f>IFERROR(__xludf.DUMMYFUNCTION("""COMPUTED_VALUE"""),"Flash Logistics faces weaker demand and cautious investor sentiment.")</f>
        <v>Flash Logistics faces weaker demand and cautious investor sentiment.</v>
      </c>
      <c r="D257" s="122" t="str">
        <f>IFERROR(__xludf.DUMMYFUNCTION("""COMPUTED_VALUE"""),"Investors are watching Flash Logistics closely as demand weakens.")</f>
        <v>Investors are watching Flash Logistics closely as demand weakens.</v>
      </c>
      <c r="E257" s="122" t="str">
        <f>IFERROR(__xludf.DUMMYFUNCTION("""COMPUTED_VALUE"""),"Negative")</f>
        <v>Negative</v>
      </c>
      <c r="F257" s="122">
        <f>IFERROR(__xludf.DUMMYFUNCTION("""COMPUTED_VALUE"""),-0.015)</f>
        <v>-0.015</v>
      </c>
      <c r="G257" s="122">
        <f>IFERROR(__xludf.DUMMYFUNCTION("""COMPUTED_VALUE"""),0.75)</f>
        <v>0.75</v>
      </c>
      <c r="H257" s="122" t="str">
        <f>IFERROR(__xludf.DUMMYFUNCTION("""COMPUTED_VALUE"""),"Active")</f>
        <v>Active</v>
      </c>
    </row>
    <row r="258">
      <c r="A258" s="131">
        <f>IFERROR(__xludf.DUMMYFUNCTION("""COMPUTED_VALUE"""),46168.33100694444)</f>
        <v>46168.33101</v>
      </c>
      <c r="B258" s="122" t="str">
        <f>IFERROR(__xludf.DUMMYFUNCTION("""COMPUTED_VALUE"""),"SHIP")</f>
        <v>SHIP</v>
      </c>
      <c r="C258" s="122" t="str">
        <f>IFERROR(__xludf.DUMMYFUNCTION("""COMPUTED_VALUE"""),"Seoul Shipping faces weaker demand and cautious investor sentiment.")</f>
        <v>Seoul Shipping faces weaker demand and cautious investor sentiment.</v>
      </c>
      <c r="D258" s="122" t="str">
        <f>IFERROR(__xludf.DUMMYFUNCTION("""COMPUTED_VALUE"""),"Investors are watching Seoul Shipping closely as demand weakens.")</f>
        <v>Investors are watching Seoul Shipping closely as demand weakens.</v>
      </c>
      <c r="E258" s="122" t="str">
        <f>IFERROR(__xludf.DUMMYFUNCTION("""COMPUTED_VALUE"""),"Negative")</f>
        <v>Negative</v>
      </c>
      <c r="F258" s="122">
        <f>IFERROR(__xludf.DUMMYFUNCTION("""COMPUTED_VALUE"""),-0.015)</f>
        <v>-0.015</v>
      </c>
      <c r="G258" s="122">
        <f>IFERROR(__xludf.DUMMYFUNCTION("""COMPUTED_VALUE"""),0.75)</f>
        <v>0.75</v>
      </c>
      <c r="H258" s="122" t="str">
        <f>IFERROR(__xludf.DUMMYFUNCTION("""COMPUTED_VALUE"""),"Active")</f>
        <v>Active</v>
      </c>
    </row>
    <row r="259">
      <c r="A259" s="131">
        <f>IFERROR(__xludf.DUMMYFUNCTION("""COMPUTED_VALUE"""),46168.33101851852)</f>
        <v>46168.33102</v>
      </c>
      <c r="B259" s="122" t="str">
        <f>IFERROR(__xludf.DUMMYFUNCTION("""COMPUTED_VALUE"""),"DRON")</f>
        <v>DRON</v>
      </c>
      <c r="C259" s="122" t="str">
        <f>IFERROR(__xludf.DUMMYFUNCTION("""COMPUTED_VALUE"""),"DroneDrop remains stable as the Logistics market shows normal activity.")</f>
        <v>DroneDrop remains stable as the Logistics market shows normal activity.</v>
      </c>
      <c r="D259" s="122" t="str">
        <f>IFERROR(__xludf.DUMMYFUNCTION("""COMPUTED_VALUE"""),"DroneDrop appears steady with no major changes reported.")</f>
        <v>DroneDrop appears steady with no major changes reported.</v>
      </c>
      <c r="E259" s="122" t="str">
        <f>IFERROR(__xludf.DUMMYFUNCTION("""COMPUTED_VALUE"""),"Neutral")</f>
        <v>Neutral</v>
      </c>
      <c r="F259" s="122">
        <f>IFERROR(__xludf.DUMMYFUNCTION("""COMPUTED_VALUE"""),0.0)</f>
        <v>0</v>
      </c>
      <c r="G259" s="122">
        <f>IFERROR(__xludf.DUMMYFUNCTION("""COMPUTED_VALUE"""),0.0)</f>
        <v>0</v>
      </c>
      <c r="H259" s="122" t="str">
        <f>IFERROR(__xludf.DUMMYFUNCTION("""COMPUTED_VALUE"""),"Active")</f>
        <v>Active</v>
      </c>
    </row>
    <row r="260">
      <c r="A260" s="131">
        <f>IFERROR(__xludf.DUMMYFUNCTION("""COMPUTED_VALUE"""),46168.33101851852)</f>
        <v>46168.33102</v>
      </c>
      <c r="B260" s="122" t="str">
        <f>IFERROR(__xludf.DUMMYFUNCTION("""COMPUTED_VALUE"""),"RIDE")</f>
        <v>RIDE</v>
      </c>
      <c r="C260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260" s="122" t="str">
        <f>IFERROR(__xludf.DUMMYFUNCTION("""COMPUTED_VALUE"""),"QuickRide appears steady with no major changes reported.")</f>
        <v>QuickRide appears steady with no major changes reported.</v>
      </c>
      <c r="E260" s="122" t="str">
        <f>IFERROR(__xludf.DUMMYFUNCTION("""COMPUTED_VALUE"""),"Neutral")</f>
        <v>Neutral</v>
      </c>
      <c r="F260" s="122">
        <f>IFERROR(__xludf.DUMMYFUNCTION("""COMPUTED_VALUE"""),0.0)</f>
        <v>0</v>
      </c>
      <c r="G260" s="122">
        <f>IFERROR(__xludf.DUMMYFUNCTION("""COMPUTED_VALUE"""),0.0)</f>
        <v>0</v>
      </c>
      <c r="H260" s="122" t="str">
        <f>IFERROR(__xludf.DUMMYFUNCTION("""COMPUTED_VALUE"""),"Active")</f>
        <v>Active</v>
      </c>
    </row>
    <row r="261">
      <c r="A261" s="131">
        <f>IFERROR(__xludf.DUMMYFUNCTION("""COMPUTED_VALUE"""),46168.331030092595)</f>
        <v>46168.33103</v>
      </c>
      <c r="B261" s="122" t="str">
        <f>IFERROR(__xludf.DUMMYFUNCTION("""COMPUTED_VALUE"""),"RAIL")</f>
        <v>RAIL</v>
      </c>
      <c r="C261" s="122" t="str">
        <f>IFERROR(__xludf.DUMMYFUNCTION("""COMPUTED_VALUE"""),"MetroRail Corp reports steady growth and improved market confidence.")</f>
        <v>MetroRail Corp reports steady growth and improved market confidence.</v>
      </c>
      <c r="D261" s="122" t="str">
        <f>IFERROR(__xludf.DUMMYFUNCTION("""COMPUTED_VALUE"""),"MetroRail Corp continues to show positive momentum with moderate risk.")</f>
        <v>MetroRail Corp continues to show positive momentum with moderate risk.</v>
      </c>
      <c r="E261" s="122" t="str">
        <f>IFERROR(__xludf.DUMMYFUNCTION("""COMPUTED_VALUE"""),"Positive")</f>
        <v>Positive</v>
      </c>
      <c r="F261" s="122">
        <f>IFERROR(__xludf.DUMMYFUNCTION("""COMPUTED_VALUE"""),0.015)</f>
        <v>0.015</v>
      </c>
      <c r="G261" s="122">
        <f>IFERROR(__xludf.DUMMYFUNCTION("""COMPUTED_VALUE"""),0.5)</f>
        <v>0.5</v>
      </c>
      <c r="H261" s="122" t="str">
        <f>IFERROR(__xludf.DUMMYFUNCTION("""COMPUTED_VALUE"""),"Active")</f>
        <v>Active</v>
      </c>
    </row>
    <row r="262">
      <c r="A262" s="131">
        <f>IFERROR(__xludf.DUMMYFUNCTION("""COMPUTED_VALUE"""),46168.331030092595)</f>
        <v>46168.33103</v>
      </c>
      <c r="B262" s="122" t="str">
        <f>IFERROR(__xludf.DUMMYFUNCTION("""COMPUTED_VALUE"""),"MEDX")</f>
        <v>MEDX</v>
      </c>
      <c r="C262" s="122" t="str">
        <f>IFERROR(__xludf.DUMMYFUNCTION("""COMPUTED_VALUE"""),"MediCore sees uncertain trading as investors react to mixed signals.")</f>
        <v>MediCore sees uncertain trading as investors react to mixed signals.</v>
      </c>
      <c r="D262" s="122" t="str">
        <f>IFERROR(__xludf.DUMMYFUNCTION("""COMPUTED_VALUE"""),"MediCore may experience larger price swings as investors disagree on direction.")</f>
        <v>MediCore may experience larger price swings as investors disagree on direction.</v>
      </c>
      <c r="E262" s="122" t="str">
        <f>IFERROR(__xludf.DUMMYFUNCTION("""COMPUTED_VALUE"""),"Mixed")</f>
        <v>Mixed</v>
      </c>
      <c r="F262" s="122">
        <f>IFERROR(__xludf.DUMMYFUNCTION("""COMPUTED_VALUE"""),-0.013327872647443338)</f>
        <v>-0.01332787265</v>
      </c>
      <c r="G262" s="122">
        <f>IFERROR(__xludf.DUMMYFUNCTION("""COMPUTED_VALUE"""),1.5)</f>
        <v>1.5</v>
      </c>
      <c r="H262" s="122" t="str">
        <f>IFERROR(__xludf.DUMMYFUNCTION("""COMPUTED_VALUE"""),"Active")</f>
        <v>Active</v>
      </c>
    </row>
    <row r="263">
      <c r="A263" s="131">
        <f>IFERROR(__xludf.DUMMYFUNCTION("""COMPUTED_VALUE"""),46168.331041666665)</f>
        <v>46168.33104</v>
      </c>
      <c r="B263" s="122" t="str">
        <f>IFERROR(__xludf.DUMMYFUNCTION("""COMPUTED_VALUE"""),"GYMX")</f>
        <v>GYMX</v>
      </c>
      <c r="C263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263" s="122" t="str">
        <f>IFERROR(__xludf.DUMMYFUNCTION("""COMPUTED_VALUE"""),"GymX Fitness appears steady with no major changes reported.")</f>
        <v>GymX Fitness appears steady with no major changes reported.</v>
      </c>
      <c r="E263" s="122" t="str">
        <f>IFERROR(__xludf.DUMMYFUNCTION("""COMPUTED_VALUE"""),"Neutral")</f>
        <v>Neutral</v>
      </c>
      <c r="F263" s="122">
        <f>IFERROR(__xludf.DUMMYFUNCTION("""COMPUTED_VALUE"""),0.0)</f>
        <v>0</v>
      </c>
      <c r="G263" s="122">
        <f>IFERROR(__xludf.DUMMYFUNCTION("""COMPUTED_VALUE"""),0.0)</f>
        <v>0</v>
      </c>
      <c r="H263" s="122" t="str">
        <f>IFERROR(__xludf.DUMMYFUNCTION("""COMPUTED_VALUE"""),"Active")</f>
        <v>Active</v>
      </c>
    </row>
    <row r="264">
      <c r="A264" s="131">
        <f>IFERROR(__xludf.DUMMYFUNCTION("""COMPUTED_VALUE"""),46168.331041666665)</f>
        <v>46168.33104</v>
      </c>
      <c r="B264" s="122" t="str">
        <f>IFERROR(__xludf.DUMMYFUNCTION("""COMPUTED_VALUE"""),"VITA")</f>
        <v>VITA</v>
      </c>
      <c r="C264" s="122" t="str">
        <f>IFERROR(__xludf.DUMMYFUNCTION("""COMPUTED_VALUE"""),"VitaPlus drops sharply after major concerns hit the market.")</f>
        <v>VitaPlus drops sharply after major concerns hit the market.</v>
      </c>
      <c r="D264" s="122" t="str">
        <f>IFERROR(__xludf.DUMMYFUNCTION("""COMPUTED_VALUE"""),"VitaPlus is under pressure as investors react to worsening conditions.")</f>
        <v>VitaPlus is under pressure as investors react to worsening conditions.</v>
      </c>
      <c r="E264" s="122" t="str">
        <f>IFERROR(__xludf.DUMMYFUNCTION("""COMPUTED_VALUE"""),"Negative")</f>
        <v>Negative</v>
      </c>
      <c r="F264" s="122">
        <f>IFERROR(__xludf.DUMMYFUNCTION("""COMPUTED_VALUE"""),-0.04)</f>
        <v>-0.04</v>
      </c>
      <c r="G264" s="122">
        <f>IFERROR(__xludf.DUMMYFUNCTION("""COMPUTED_VALUE"""),2.0)</f>
        <v>2</v>
      </c>
      <c r="H264" s="122" t="str">
        <f>IFERROR(__xludf.DUMMYFUNCTION("""COMPUTED_VALUE"""),"Active")</f>
        <v>Active</v>
      </c>
    </row>
    <row r="265">
      <c r="A265" s="131">
        <f>IFERROR(__xludf.DUMMYFUNCTION("""COMPUTED_VALUE"""),46168.331041666665)</f>
        <v>46168.33104</v>
      </c>
      <c r="B265" s="122" t="str">
        <f>IFERROR(__xludf.DUMMYFUNCTION("""COMPUTED_VALUE"""),"CARE")</f>
        <v>CARE</v>
      </c>
      <c r="C265" s="122" t="str">
        <f>IFERROR(__xludf.DUMMYFUNCTION("""COMPUTED_VALUE"""),"CareCloud faces weaker demand and cautious investor sentiment.")</f>
        <v>CareCloud faces weaker demand and cautious investor sentiment.</v>
      </c>
      <c r="D265" s="122" t="str">
        <f>IFERROR(__xludf.DUMMYFUNCTION("""COMPUTED_VALUE"""),"Investors are watching CareCloud closely as demand weakens.")</f>
        <v>Investors are watching CareCloud closely as demand weakens.</v>
      </c>
      <c r="E265" s="122" t="str">
        <f>IFERROR(__xludf.DUMMYFUNCTION("""COMPUTED_VALUE"""),"Negative")</f>
        <v>Negative</v>
      </c>
      <c r="F265" s="122">
        <f>IFERROR(__xludf.DUMMYFUNCTION("""COMPUTED_VALUE"""),-0.015)</f>
        <v>-0.015</v>
      </c>
      <c r="G265" s="122">
        <f>IFERROR(__xludf.DUMMYFUNCTION("""COMPUTED_VALUE"""),0.75)</f>
        <v>0.75</v>
      </c>
      <c r="H265" s="122" t="str">
        <f>IFERROR(__xludf.DUMMYFUNCTION("""COMPUTED_VALUE"""),"Active")</f>
        <v>Active</v>
      </c>
    </row>
    <row r="266">
      <c r="A266" s="131">
        <f>IFERROR(__xludf.DUMMYFUNCTION("""COMPUTED_VALUE"""),46168.33105324074)</f>
        <v>46168.33105</v>
      </c>
      <c r="B266" s="122" t="str">
        <f>IFERROR(__xludf.DUMMYFUNCTION("""COMPUTED_VALUE"""),"DENT")</f>
        <v>DENT</v>
      </c>
      <c r="C266" s="122" t="str">
        <f>IFERROR(__xludf.DUMMYFUNCTION("""COMPUTED_VALUE"""),"SmileWorks reports steady growth and improved market confidence.")</f>
        <v>SmileWorks reports steady growth and improved market confidence.</v>
      </c>
      <c r="D266" s="122" t="str">
        <f>IFERROR(__xludf.DUMMYFUNCTION("""COMPUTED_VALUE"""),"SmileWorks continues to show positive momentum with moderate risk.")</f>
        <v>SmileWorks continues to show positive momentum with moderate risk.</v>
      </c>
      <c r="E266" s="122" t="str">
        <f>IFERROR(__xludf.DUMMYFUNCTION("""COMPUTED_VALUE"""),"Positive")</f>
        <v>Positive</v>
      </c>
      <c r="F266" s="122">
        <f>IFERROR(__xludf.DUMMYFUNCTION("""COMPUTED_VALUE"""),0.015)</f>
        <v>0.015</v>
      </c>
      <c r="G266" s="122">
        <f>IFERROR(__xludf.DUMMYFUNCTION("""COMPUTED_VALUE"""),0.5)</f>
        <v>0.5</v>
      </c>
      <c r="H266" s="122" t="str">
        <f>IFERROR(__xludf.DUMMYFUNCTION("""COMPUTED_VALUE"""),"Active")</f>
        <v>Active</v>
      </c>
    </row>
    <row r="267">
      <c r="A267" s="131">
        <f>IFERROR(__xludf.DUMMYFUNCTION("""COMPUTED_VALUE"""),46168.33105324074)</f>
        <v>46168.33105</v>
      </c>
      <c r="B267" s="122" t="str">
        <f>IFERROR(__xludf.DUMMYFUNCTION("""COMPUTED_VALUE"""),"EDUX")</f>
        <v>EDUX</v>
      </c>
      <c r="C267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267" s="122" t="str">
        <f>IFERROR(__xludf.DUMMYFUNCTION("""COMPUTED_VALUE"""),"EduMax Learning appears steady with no major changes reported.")</f>
        <v>EduMax Learning appears steady with no major changes reported.</v>
      </c>
      <c r="E267" s="122" t="str">
        <f>IFERROR(__xludf.DUMMYFUNCTION("""COMPUTED_VALUE"""),"Neutral")</f>
        <v>Neutral</v>
      </c>
      <c r="F267" s="122">
        <f>IFERROR(__xludf.DUMMYFUNCTION("""COMPUTED_VALUE"""),0.0)</f>
        <v>0</v>
      </c>
      <c r="G267" s="122">
        <f>IFERROR(__xludf.DUMMYFUNCTION("""COMPUTED_VALUE"""),0.0)</f>
        <v>0</v>
      </c>
      <c r="H267" s="122" t="str">
        <f>IFERROR(__xludf.DUMMYFUNCTION("""COMPUTED_VALUE"""),"Active")</f>
        <v>Active</v>
      </c>
    </row>
    <row r="268">
      <c r="A268" s="131">
        <f>IFERROR(__xludf.DUMMYFUNCTION("""COMPUTED_VALUE"""),46168.33105324074)</f>
        <v>46168.33105</v>
      </c>
      <c r="B268" s="122" t="str">
        <f>IFERROR(__xludf.DUMMYFUNCTION("""COMPUTED_VALUE"""),"BOOK")</f>
        <v>BOOK</v>
      </c>
      <c r="C268" s="122" t="str">
        <f>IFERROR(__xludf.DUMMYFUNCTION("""COMPUTED_VALUE"""),"BookBridge surges as demand rises across the Education sector.")</f>
        <v>BookBridge surges as demand rises across the Education sector.</v>
      </c>
      <c r="D268" s="122" t="str">
        <f>IFERROR(__xludf.DUMMYFUNCTION("""COMPUTED_VALUE"""),"BookBridge is seeing strong demand, which may increase investor confidence.")</f>
        <v>BookBridge is seeing strong demand, which may increase investor confidence.</v>
      </c>
      <c r="E268" s="122" t="str">
        <f>IFERROR(__xludf.DUMMYFUNCTION("""COMPUTED_VALUE"""),"Positive")</f>
        <v>Positive</v>
      </c>
      <c r="F268" s="122">
        <f>IFERROR(__xludf.DUMMYFUNCTION("""COMPUTED_VALUE"""),0.03)</f>
        <v>0.03</v>
      </c>
      <c r="G268" s="122">
        <f>IFERROR(__xludf.DUMMYFUNCTION("""COMPUTED_VALUE"""),1.0)</f>
        <v>1</v>
      </c>
      <c r="H268" s="122" t="str">
        <f>IFERROR(__xludf.DUMMYFUNCTION("""COMPUTED_VALUE"""),"Active")</f>
        <v>Active</v>
      </c>
    </row>
    <row r="269">
      <c r="A269" s="131">
        <f>IFERROR(__xludf.DUMMYFUNCTION("""COMPUTED_VALUE"""),46168.33106481482)</f>
        <v>46168.33106</v>
      </c>
      <c r="B269" s="122" t="str">
        <f>IFERROR(__xludf.DUMMYFUNCTION("""COMPUTED_VALUE"""),"TUTR")</f>
        <v>TUTR</v>
      </c>
      <c r="C269" s="122" t="str">
        <f>IFERROR(__xludf.DUMMYFUNCTION("""COMPUTED_VALUE"""),"TutorTown reports steady growth and improved market confidence.")</f>
        <v>TutorTown reports steady growth and improved market confidence.</v>
      </c>
      <c r="D269" s="122" t="str">
        <f>IFERROR(__xludf.DUMMYFUNCTION("""COMPUTED_VALUE"""),"TutorTown continues to show positive momentum with moderate risk.")</f>
        <v>TutorTown continues to show positive momentum with moderate risk.</v>
      </c>
      <c r="E269" s="122" t="str">
        <f>IFERROR(__xludf.DUMMYFUNCTION("""COMPUTED_VALUE"""),"Positive")</f>
        <v>Positive</v>
      </c>
      <c r="F269" s="122">
        <f>IFERROR(__xludf.DUMMYFUNCTION("""COMPUTED_VALUE"""),0.015)</f>
        <v>0.015</v>
      </c>
      <c r="G269" s="122">
        <f>IFERROR(__xludf.DUMMYFUNCTION("""COMPUTED_VALUE"""),0.5)</f>
        <v>0.5</v>
      </c>
      <c r="H269" s="122" t="str">
        <f>IFERROR(__xludf.DUMMYFUNCTION("""COMPUTED_VALUE"""),"Active")</f>
        <v>Active</v>
      </c>
    </row>
    <row r="270">
      <c r="A270" s="131">
        <f>IFERROR(__xludf.DUMMYFUNCTION("""COMPUTED_VALUE"""),46168.33106481482)</f>
        <v>46168.33106</v>
      </c>
      <c r="B270" s="122" t="str">
        <f>IFERROR(__xludf.DUMMYFUNCTION("""COMPUTED_VALUE"""),"LANG")</f>
        <v>LANG</v>
      </c>
      <c r="C270" s="122" t="str">
        <f>IFERROR(__xludf.DUMMYFUNCTION("""COMPUTED_VALUE"""),"LinguaLab surges as demand rises across the Education sector.")</f>
        <v>LinguaLab surges as demand rises across the Education sector.</v>
      </c>
      <c r="D270" s="122" t="str">
        <f>IFERROR(__xludf.DUMMYFUNCTION("""COMPUTED_VALUE"""),"LinguaLab is seeing strong demand, which may increase investor confidence.")</f>
        <v>LinguaLab is seeing strong demand, which may increase investor confidence.</v>
      </c>
      <c r="E270" s="122" t="str">
        <f>IFERROR(__xludf.DUMMYFUNCTION("""COMPUTED_VALUE"""),"Positive")</f>
        <v>Positive</v>
      </c>
      <c r="F270" s="122">
        <f>IFERROR(__xludf.DUMMYFUNCTION("""COMPUTED_VALUE"""),0.03)</f>
        <v>0.03</v>
      </c>
      <c r="G270" s="122">
        <f>IFERROR(__xludf.DUMMYFUNCTION("""COMPUTED_VALUE"""),1.0)</f>
        <v>1</v>
      </c>
      <c r="H270" s="122" t="str">
        <f>IFERROR(__xludf.DUMMYFUNCTION("""COMPUTED_VALUE"""),"Active")</f>
        <v>Active</v>
      </c>
    </row>
    <row r="271">
      <c r="A271" s="131">
        <f>IFERROR(__xludf.DUMMYFUNCTION("""COMPUTED_VALUE"""),46168.33107638889)</f>
        <v>46168.33108</v>
      </c>
      <c r="B271" s="122" t="str">
        <f>IFERROR(__xludf.DUMMYFUNCTION("""COMPUTED_VALUE"""),"TEST")</f>
        <v>TEST</v>
      </c>
      <c r="C271" s="122" t="str">
        <f>IFERROR(__xludf.DUMMYFUNCTION("""COMPUTED_VALUE"""),"TestPrep Pro remains stable as the Education market shows normal activity.")</f>
        <v>TestPrep Pro remains stable as the Education market shows normal activity.</v>
      </c>
      <c r="D271" s="122" t="str">
        <f>IFERROR(__xludf.DUMMYFUNCTION("""COMPUTED_VALUE"""),"TestPrep Pro appears steady with no major changes reported.")</f>
        <v>TestPrep Pro appears steady with no major changes reported.</v>
      </c>
      <c r="E271" s="122" t="str">
        <f>IFERROR(__xludf.DUMMYFUNCTION("""COMPUTED_VALUE"""),"Neutral")</f>
        <v>Neutral</v>
      </c>
      <c r="F271" s="122">
        <f>IFERROR(__xludf.DUMMYFUNCTION("""COMPUTED_VALUE"""),0.0)</f>
        <v>0</v>
      </c>
      <c r="G271" s="122">
        <f>IFERROR(__xludf.DUMMYFUNCTION("""COMPUTED_VALUE"""),0.0)</f>
        <v>0</v>
      </c>
      <c r="H271" s="122" t="str">
        <f>IFERROR(__xludf.DUMMYFUNCTION("""COMPUTED_VALUE"""),"Active")</f>
        <v>Active</v>
      </c>
    </row>
    <row r="272">
      <c r="A272" s="131">
        <f>IFERROR(__xludf.DUMMYFUNCTION("""COMPUTED_VALUE"""),46168.33107638889)</f>
        <v>46168.33108</v>
      </c>
      <c r="B272" s="122" t="str">
        <f>IFERROR(__xludf.DUMMYFUNCTION("""COMPUTED_VALUE"""),"MOVI")</f>
        <v>MOVI</v>
      </c>
      <c r="C272" s="122" t="str">
        <f>IFERROR(__xludf.DUMMYFUNCTION("""COMPUTED_VALUE"""),"MovieBox remains stable as the Entertainment market shows normal activity.")</f>
        <v>MovieBox remains stable as the Entertainment market shows normal activity.</v>
      </c>
      <c r="D272" s="122" t="str">
        <f>IFERROR(__xludf.DUMMYFUNCTION("""COMPUTED_VALUE"""),"MovieBox appears steady with no major changes reported.")</f>
        <v>MovieBox appears steady with no major changes reported.</v>
      </c>
      <c r="E272" s="122" t="str">
        <f>IFERROR(__xludf.DUMMYFUNCTION("""COMPUTED_VALUE"""),"Neutral")</f>
        <v>Neutral</v>
      </c>
      <c r="F272" s="122">
        <f>IFERROR(__xludf.DUMMYFUNCTION("""COMPUTED_VALUE"""),0.0)</f>
        <v>0</v>
      </c>
      <c r="G272" s="122">
        <f>IFERROR(__xludf.DUMMYFUNCTION("""COMPUTED_VALUE"""),0.0)</f>
        <v>0</v>
      </c>
      <c r="H272" s="122" t="str">
        <f>IFERROR(__xludf.DUMMYFUNCTION("""COMPUTED_VALUE"""),"Active")</f>
        <v>Active</v>
      </c>
    </row>
    <row r="273">
      <c r="A273" s="131">
        <f>IFERROR(__xludf.DUMMYFUNCTION("""COMPUTED_VALUE"""),46168.331087962964)</f>
        <v>46168.33109</v>
      </c>
      <c r="B273" s="122" t="str">
        <f>IFERROR(__xludf.DUMMYFUNCTION("""COMPUTED_VALUE"""),"MUSC")</f>
        <v>MUSC</v>
      </c>
      <c r="C273" s="122" t="str">
        <f>IFERROR(__xludf.DUMMYFUNCTION("""COMPUTED_VALUE"""),"MusicWave reports steady growth and improved market confidence.")</f>
        <v>MusicWave reports steady growth and improved market confidence.</v>
      </c>
      <c r="D273" s="122" t="str">
        <f>IFERROR(__xludf.DUMMYFUNCTION("""COMPUTED_VALUE"""),"MusicWave continues to show positive momentum with moderate risk.")</f>
        <v>MusicWave continues to show positive momentum with moderate risk.</v>
      </c>
      <c r="E273" s="122" t="str">
        <f>IFERROR(__xludf.DUMMYFUNCTION("""COMPUTED_VALUE"""),"Positive")</f>
        <v>Positive</v>
      </c>
      <c r="F273" s="122">
        <f>IFERROR(__xludf.DUMMYFUNCTION("""COMPUTED_VALUE"""),0.015)</f>
        <v>0.015</v>
      </c>
      <c r="G273" s="122">
        <f>IFERROR(__xludf.DUMMYFUNCTION("""COMPUTED_VALUE"""),0.5)</f>
        <v>0.5</v>
      </c>
      <c r="H273" s="122" t="str">
        <f>IFERROR(__xludf.DUMMYFUNCTION("""COMPUTED_VALUE"""),"Active")</f>
        <v>Active</v>
      </c>
    </row>
    <row r="274">
      <c r="A274" s="131">
        <f>IFERROR(__xludf.DUMMYFUNCTION("""COMPUTED_VALUE"""),46168.331087962964)</f>
        <v>46168.33109</v>
      </c>
      <c r="B274" s="122" t="str">
        <f>IFERROR(__xludf.DUMMYFUNCTION("""COMPUTED_VALUE"""),"IDOL")</f>
        <v>IDOL</v>
      </c>
      <c r="C274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274" s="122" t="str">
        <f>IFERROR(__xludf.DUMMYFUNCTION("""COMPUTED_VALUE"""),"Idol Agency appears steady with no major changes reported.")</f>
        <v>Idol Agency appears steady with no major changes reported.</v>
      </c>
      <c r="E274" s="122" t="str">
        <f>IFERROR(__xludf.DUMMYFUNCTION("""COMPUTED_VALUE"""),"Neutral")</f>
        <v>Neutral</v>
      </c>
      <c r="F274" s="122">
        <f>IFERROR(__xludf.DUMMYFUNCTION("""COMPUTED_VALUE"""),0.0)</f>
        <v>0</v>
      </c>
      <c r="G274" s="122">
        <f>IFERROR(__xludf.DUMMYFUNCTION("""COMPUTED_VALUE"""),0.0)</f>
        <v>0</v>
      </c>
      <c r="H274" s="122" t="str">
        <f>IFERROR(__xludf.DUMMYFUNCTION("""COMPUTED_VALUE"""),"Active")</f>
        <v>Active</v>
      </c>
    </row>
    <row r="275">
      <c r="A275" s="131">
        <f>IFERROR(__xludf.DUMMYFUNCTION("""COMPUTED_VALUE"""),46168.331087962964)</f>
        <v>46168.33109</v>
      </c>
      <c r="B275" s="122" t="str">
        <f>IFERROR(__xludf.DUMMYFUNCTION("""COMPUTED_VALUE"""),"MEME")</f>
        <v>MEME</v>
      </c>
      <c r="C275" s="122" t="str">
        <f>IFERROR(__xludf.DUMMYFUNCTION("""COMPUTED_VALUE"""),"Meme Media sees uncertain trading as investors react to mixed signals.")</f>
        <v>Meme Media sees uncertain trading as investors react to mixed signals.</v>
      </c>
      <c r="D275" s="122" t="str">
        <f>IFERROR(__xludf.DUMMYFUNCTION("""COMPUTED_VALUE"""),"Meme Media may experience larger price swings as investors disagree on direction.")</f>
        <v>Meme Media may experience larger price swings as investors disagree on direction.</v>
      </c>
      <c r="E275" s="122" t="str">
        <f>IFERROR(__xludf.DUMMYFUNCTION("""COMPUTED_VALUE"""),"Mixed")</f>
        <v>Mixed</v>
      </c>
      <c r="F275" s="122">
        <f>IFERROR(__xludf.DUMMYFUNCTION("""COMPUTED_VALUE"""),-0.015539245430696468)</f>
        <v>-0.01553924543</v>
      </c>
      <c r="G275" s="122">
        <f>IFERROR(__xludf.DUMMYFUNCTION("""COMPUTED_VALUE"""),1.5)</f>
        <v>1.5</v>
      </c>
      <c r="H275" s="122" t="str">
        <f>IFERROR(__xludf.DUMMYFUNCTION("""COMPUTED_VALUE"""),"Active")</f>
        <v>Active</v>
      </c>
    </row>
    <row r="276">
      <c r="A276" s="131">
        <f>IFERROR(__xludf.DUMMYFUNCTION("""COMPUTED_VALUE"""),46168.331099537034)</f>
        <v>46168.3311</v>
      </c>
      <c r="B276" s="122" t="str">
        <f>IFERROR(__xludf.DUMMYFUNCTION("""COMPUTED_VALUE"""),"STRM")</f>
        <v>STRM</v>
      </c>
      <c r="C276" s="122" t="str">
        <f>IFERROR(__xludf.DUMMYFUNCTION("""COMPUTED_VALUE"""),"Streamly sees uncertain trading as investors react to mixed signals.")</f>
        <v>Streamly sees uncertain trading as investors react to mixed signals.</v>
      </c>
      <c r="D276" s="122" t="str">
        <f>IFERROR(__xludf.DUMMYFUNCTION("""COMPUTED_VALUE"""),"Streamly may experience larger price swings as investors disagree on direction.")</f>
        <v>Streamly may experience larger price swings as investors disagree on direction.</v>
      </c>
      <c r="E276" s="122" t="str">
        <f>IFERROR(__xludf.DUMMYFUNCTION("""COMPUTED_VALUE"""),"Mixed")</f>
        <v>Mixed</v>
      </c>
      <c r="F276" s="122">
        <f>IFERROR(__xludf.DUMMYFUNCTION("""COMPUTED_VALUE"""),-0.003982260465931049)</f>
        <v>-0.003982260466</v>
      </c>
      <c r="G276" s="122">
        <f>IFERROR(__xludf.DUMMYFUNCTION("""COMPUTED_VALUE"""),1.5)</f>
        <v>1.5</v>
      </c>
      <c r="H276" s="122" t="str">
        <f>IFERROR(__xludf.DUMMYFUNCTION("""COMPUTED_VALUE"""),"Active")</f>
        <v>Active</v>
      </c>
    </row>
    <row r="277">
      <c r="A277" s="131">
        <f>IFERROR(__xludf.DUMMYFUNCTION("""COMPUTED_VALUE"""),46168.331099537034)</f>
        <v>46168.3311</v>
      </c>
      <c r="B277" s="122" t="str">
        <f>IFERROR(__xludf.DUMMYFUNCTION("""COMPUTED_VALUE"""),"FARM")</f>
        <v>FARM</v>
      </c>
      <c r="C277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277" s="122" t="str">
        <f>IFERROR(__xludf.DUMMYFUNCTION("""COMPUTED_VALUE"""),"Future Farms appears steady with no major changes reported.")</f>
        <v>Future Farms appears steady with no major changes reported.</v>
      </c>
      <c r="E277" s="122" t="str">
        <f>IFERROR(__xludf.DUMMYFUNCTION("""COMPUTED_VALUE"""),"Neutral")</f>
        <v>Neutral</v>
      </c>
      <c r="F277" s="122">
        <f>IFERROR(__xludf.DUMMYFUNCTION("""COMPUTED_VALUE"""),0.0)</f>
        <v>0</v>
      </c>
      <c r="G277" s="122">
        <f>IFERROR(__xludf.DUMMYFUNCTION("""COMPUTED_VALUE"""),0.0)</f>
        <v>0</v>
      </c>
      <c r="H277" s="122" t="str">
        <f>IFERROR(__xludf.DUMMYFUNCTION("""COMPUTED_VALUE"""),"Active")</f>
        <v>Active</v>
      </c>
    </row>
    <row r="278">
      <c r="A278" s="131">
        <f>IFERROR(__xludf.DUMMYFUNCTION("""COMPUTED_VALUE"""),46168.331099537034)</f>
        <v>46168.3311</v>
      </c>
      <c r="B278" s="122" t="str">
        <f>IFERROR(__xludf.DUMMYFUNCTION("""COMPUTED_VALUE"""),"MEAT")</f>
        <v>MEAT</v>
      </c>
      <c r="C278" s="122" t="str">
        <f>IFERROR(__xludf.DUMMYFUNCTION("""COMPUTED_VALUE"""),"MeatWorks remains stable as the Food market shows normal activity.")</f>
        <v>MeatWorks remains stable as the Food market shows normal activity.</v>
      </c>
      <c r="D278" s="122" t="str">
        <f>IFERROR(__xludf.DUMMYFUNCTION("""COMPUTED_VALUE"""),"MeatWorks appears steady with no major changes reported.")</f>
        <v>MeatWorks appears steady with no major changes reported.</v>
      </c>
      <c r="E278" s="122" t="str">
        <f>IFERROR(__xludf.DUMMYFUNCTION("""COMPUTED_VALUE"""),"Neutral")</f>
        <v>Neutral</v>
      </c>
      <c r="F278" s="122">
        <f>IFERROR(__xludf.DUMMYFUNCTION("""COMPUTED_VALUE"""),0.0)</f>
        <v>0</v>
      </c>
      <c r="G278" s="122">
        <f>IFERROR(__xludf.DUMMYFUNCTION("""COMPUTED_VALUE"""),0.0)</f>
        <v>0</v>
      </c>
      <c r="H278" s="122" t="str">
        <f>IFERROR(__xludf.DUMMYFUNCTION("""COMPUTED_VALUE"""),"Active")</f>
        <v>Active</v>
      </c>
    </row>
    <row r="279">
      <c r="A279" s="131">
        <f>IFERROR(__xludf.DUMMYFUNCTION("""COMPUTED_VALUE"""),46168.33111111111)</f>
        <v>46168.33111</v>
      </c>
      <c r="B279" s="122" t="str">
        <f>IFERROR(__xludf.DUMMYFUNCTION("""COMPUTED_VALUE"""),"VEGI")</f>
        <v>VEGI</v>
      </c>
      <c r="C279" s="122" t="str">
        <f>IFERROR(__xludf.DUMMYFUNCTION("""COMPUTED_VALUE"""),"Green Basket surges as demand rises across the Food sector.")</f>
        <v>Green Basket surges as demand rises across the Food sector.</v>
      </c>
      <c r="D279" s="122" t="str">
        <f>IFERROR(__xludf.DUMMYFUNCTION("""COMPUTED_VALUE"""),"Green Basket is seeing strong demand, which may increase investor confidence.")</f>
        <v>Green Basket is seeing strong demand, which may increase investor confidence.</v>
      </c>
      <c r="E279" s="122" t="str">
        <f>IFERROR(__xludf.DUMMYFUNCTION("""COMPUTED_VALUE"""),"Positive")</f>
        <v>Positive</v>
      </c>
      <c r="F279" s="122">
        <f>IFERROR(__xludf.DUMMYFUNCTION("""COMPUTED_VALUE"""),0.03)</f>
        <v>0.03</v>
      </c>
      <c r="G279" s="122">
        <f>IFERROR(__xludf.DUMMYFUNCTION("""COMPUTED_VALUE"""),1.0)</f>
        <v>1</v>
      </c>
      <c r="H279" s="122" t="str">
        <f>IFERROR(__xludf.DUMMYFUNCTION("""COMPUTED_VALUE"""),"Active")</f>
        <v>Active</v>
      </c>
    </row>
    <row r="280">
      <c r="A280" s="131">
        <f>IFERROR(__xludf.DUMMYFUNCTION("""COMPUTED_VALUE"""),46168.33111111111)</f>
        <v>46168.33111</v>
      </c>
      <c r="B280" s="122" t="str">
        <f>IFERROR(__xludf.DUMMYFUNCTION("""COMPUTED_VALUE"""),"CAFE")</f>
        <v>CAFE</v>
      </c>
      <c r="C280" s="122" t="str">
        <f>IFERROR(__xludf.DUMMYFUNCTION("""COMPUTED_VALUE"""),"Cafe Cloud reports steady growth and improved market confidence.")</f>
        <v>Cafe Cloud reports steady growth and improved market confidence.</v>
      </c>
      <c r="D280" s="122" t="str">
        <f>IFERROR(__xludf.DUMMYFUNCTION("""COMPUTED_VALUE"""),"Cafe Cloud continues to show positive momentum with moderate risk.")</f>
        <v>Cafe Cloud continues to show positive momentum with moderate risk.</v>
      </c>
      <c r="E280" s="122" t="str">
        <f>IFERROR(__xludf.DUMMYFUNCTION("""COMPUTED_VALUE"""),"Positive")</f>
        <v>Positive</v>
      </c>
      <c r="F280" s="122">
        <f>IFERROR(__xludf.DUMMYFUNCTION("""COMPUTED_VALUE"""),0.015)</f>
        <v>0.015</v>
      </c>
      <c r="G280" s="122">
        <f>IFERROR(__xludf.DUMMYFUNCTION("""COMPUTED_VALUE"""),0.5)</f>
        <v>0.5</v>
      </c>
      <c r="H280" s="122" t="str">
        <f>IFERROR(__xludf.DUMMYFUNCTION("""COMPUTED_VALUE"""),"Active")</f>
        <v>Active</v>
      </c>
    </row>
    <row r="281">
      <c r="A281" s="131">
        <f>IFERROR(__xludf.DUMMYFUNCTION("""COMPUTED_VALUE"""),46168.33112268519)</f>
        <v>46168.33112</v>
      </c>
      <c r="B281" s="122" t="str">
        <f>IFERROR(__xludf.DUMMYFUNCTION("""COMPUTED_VALUE"""),"BAKE")</f>
        <v>BAKE</v>
      </c>
      <c r="C281" s="122" t="str">
        <f>IFERROR(__xludf.DUMMYFUNCTION("""COMPUTED_VALUE"""),"BakeHouse reports steady growth and improved market confidence.")</f>
        <v>BakeHouse reports steady growth and improved market confidence.</v>
      </c>
      <c r="D281" s="122" t="str">
        <f>IFERROR(__xludf.DUMMYFUNCTION("""COMPUTED_VALUE"""),"BakeHouse continues to show positive momentum with moderate risk.")</f>
        <v>BakeHouse continues to show positive momentum with moderate risk.</v>
      </c>
      <c r="E281" s="122" t="str">
        <f>IFERROR(__xludf.DUMMYFUNCTION("""COMPUTED_VALUE"""),"Positive")</f>
        <v>Positive</v>
      </c>
      <c r="F281" s="122">
        <f>IFERROR(__xludf.DUMMYFUNCTION("""COMPUTED_VALUE"""),0.015)</f>
        <v>0.015</v>
      </c>
      <c r="G281" s="122">
        <f>IFERROR(__xludf.DUMMYFUNCTION("""COMPUTED_VALUE"""),0.5)</f>
        <v>0.5</v>
      </c>
      <c r="H281" s="122" t="str">
        <f>IFERROR(__xludf.DUMMYFUNCTION("""COMPUTED_VALUE"""),"Active")</f>
        <v>Active</v>
      </c>
    </row>
    <row r="282">
      <c r="A282" s="131">
        <f>IFERROR(__xludf.DUMMYFUNCTION("""COMPUTED_VALUE"""),46168.33112268519)</f>
        <v>46168.33112</v>
      </c>
      <c r="B282" s="122" t="str">
        <f>IFERROR(__xludf.DUMMYFUNCTION("""COMPUTED_VALUE"""),"OILX")</f>
        <v>OILX</v>
      </c>
      <c r="C282" s="122" t="str">
        <f>IFERROR(__xludf.DUMMYFUNCTION("""COMPUTED_VALUE"""),"OilMax Energy remains stable as the Energy market shows normal activity.")</f>
        <v>OilMax Energy remains stable as the Energy market shows normal activity.</v>
      </c>
      <c r="D282" s="122" t="str">
        <f>IFERROR(__xludf.DUMMYFUNCTION("""COMPUTED_VALUE"""),"OilMax Energy appears steady with no major changes reported.")</f>
        <v>OilMax Energy appears steady with no major changes reported.</v>
      </c>
      <c r="E282" s="122" t="str">
        <f>IFERROR(__xludf.DUMMYFUNCTION("""COMPUTED_VALUE"""),"Neutral")</f>
        <v>Neutral</v>
      </c>
      <c r="F282" s="122">
        <f>IFERROR(__xludf.DUMMYFUNCTION("""COMPUTED_VALUE"""),0.0)</f>
        <v>0</v>
      </c>
      <c r="G282" s="122">
        <f>IFERROR(__xludf.DUMMYFUNCTION("""COMPUTED_VALUE"""),0.0)</f>
        <v>0</v>
      </c>
      <c r="H282" s="122" t="str">
        <f>IFERROR(__xludf.DUMMYFUNCTION("""COMPUTED_VALUE"""),"Active")</f>
        <v>Active</v>
      </c>
    </row>
    <row r="283">
      <c r="A283" s="131">
        <f>IFERROR(__xludf.DUMMYFUNCTION("""COMPUTED_VALUE"""),46168.33113425926)</f>
        <v>46168.33113</v>
      </c>
      <c r="B283" s="122" t="str">
        <f>IFERROR(__xludf.DUMMYFUNCTION("""COMPUTED_VALUE"""),"SOLR")</f>
        <v>SOLR</v>
      </c>
      <c r="C283" s="122" t="str">
        <f>IFERROR(__xludf.DUMMYFUNCTION("""COMPUTED_VALUE"""),"SolarSpark remains stable as the Energy market shows normal activity.")</f>
        <v>SolarSpark remains stable as the Energy market shows normal activity.</v>
      </c>
      <c r="D283" s="122" t="str">
        <f>IFERROR(__xludf.DUMMYFUNCTION("""COMPUTED_VALUE"""),"SolarSpark appears steady with no major changes reported.")</f>
        <v>SolarSpark appears steady with no major changes reported.</v>
      </c>
      <c r="E283" s="122" t="str">
        <f>IFERROR(__xludf.DUMMYFUNCTION("""COMPUTED_VALUE"""),"Neutral")</f>
        <v>Neutral</v>
      </c>
      <c r="F283" s="122">
        <f>IFERROR(__xludf.DUMMYFUNCTION("""COMPUTED_VALUE"""),0.0)</f>
        <v>0</v>
      </c>
      <c r="G283" s="122">
        <f>IFERROR(__xludf.DUMMYFUNCTION("""COMPUTED_VALUE"""),0.0)</f>
        <v>0</v>
      </c>
      <c r="H283" s="122" t="str">
        <f>IFERROR(__xludf.DUMMYFUNCTION("""COMPUTED_VALUE"""),"Active")</f>
        <v>Active</v>
      </c>
    </row>
    <row r="284">
      <c r="A284" s="131">
        <f>IFERROR(__xludf.DUMMYFUNCTION("""COMPUTED_VALUE"""),46168.33113425926)</f>
        <v>46168.33113</v>
      </c>
      <c r="B284" s="122" t="str">
        <f>IFERROR(__xludf.DUMMYFUNCTION("""COMPUTED_VALUE"""),"BATT")</f>
        <v>BATT</v>
      </c>
      <c r="C284" s="122" t="str">
        <f>IFERROR(__xludf.DUMMYFUNCTION("""COMPUTED_VALUE"""),"BatteryBox reports steady growth and improved market confidence.")</f>
        <v>BatteryBox reports steady growth and improved market confidence.</v>
      </c>
      <c r="D284" s="122" t="str">
        <f>IFERROR(__xludf.DUMMYFUNCTION("""COMPUTED_VALUE"""),"BatteryBox continues to show positive momentum with moderate risk.")</f>
        <v>BatteryBox continues to show positive momentum with moderate risk.</v>
      </c>
      <c r="E284" s="122" t="str">
        <f>IFERROR(__xludf.DUMMYFUNCTION("""COMPUTED_VALUE"""),"Positive")</f>
        <v>Positive</v>
      </c>
      <c r="F284" s="122">
        <f>IFERROR(__xludf.DUMMYFUNCTION("""COMPUTED_VALUE"""),0.015)</f>
        <v>0.015</v>
      </c>
      <c r="G284" s="122">
        <f>IFERROR(__xludf.DUMMYFUNCTION("""COMPUTED_VALUE"""),0.5)</f>
        <v>0.5</v>
      </c>
      <c r="H284" s="122" t="str">
        <f>IFERROR(__xludf.DUMMYFUNCTION("""COMPUTED_VALUE"""),"Active")</f>
        <v>Active</v>
      </c>
    </row>
    <row r="285">
      <c r="A285" s="131">
        <f>IFERROR(__xludf.DUMMYFUNCTION("""COMPUTED_VALUE"""),46168.33113425926)</f>
        <v>46168.33113</v>
      </c>
      <c r="B285" s="122" t="str">
        <f>IFERROR(__xludf.DUMMYFUNCTION("""COMPUTED_VALUE"""),"WIND")</f>
        <v>WIND</v>
      </c>
      <c r="C285" s="122" t="str">
        <f>IFERROR(__xludf.DUMMYFUNCTION("""COMPUTED_VALUE"""),"WindWorks remains stable as the Energy market shows normal activity.")</f>
        <v>WindWorks remains stable as the Energy market shows normal activity.</v>
      </c>
      <c r="D285" s="122" t="str">
        <f>IFERROR(__xludf.DUMMYFUNCTION("""COMPUTED_VALUE"""),"WindWorks appears steady with no major changes reported.")</f>
        <v>WindWorks appears steady with no major changes reported.</v>
      </c>
      <c r="E285" s="122" t="str">
        <f>IFERROR(__xludf.DUMMYFUNCTION("""COMPUTED_VALUE"""),"Neutral")</f>
        <v>Neutral</v>
      </c>
      <c r="F285" s="122">
        <f>IFERROR(__xludf.DUMMYFUNCTION("""COMPUTED_VALUE"""),0.0)</f>
        <v>0</v>
      </c>
      <c r="G285" s="122">
        <f>IFERROR(__xludf.DUMMYFUNCTION("""COMPUTED_VALUE"""),0.0)</f>
        <v>0</v>
      </c>
      <c r="H285" s="122" t="str">
        <f>IFERROR(__xludf.DUMMYFUNCTION("""COMPUTED_VALUE"""),"Active")</f>
        <v>Active</v>
      </c>
    </row>
    <row r="286">
      <c r="A286" s="131">
        <f>IFERROR(__xludf.DUMMYFUNCTION("""COMPUTED_VALUE"""),46168.331145833334)</f>
        <v>46168.33115</v>
      </c>
      <c r="B286" s="122" t="str">
        <f>IFERROR(__xludf.DUMMYFUNCTION("""COMPUTED_VALUE"""),"GRID")</f>
        <v>GRID</v>
      </c>
      <c r="C286" s="122" t="str">
        <f>IFERROR(__xludf.DUMMYFUNCTION("""COMPUTED_VALUE"""),"GridPower remains stable as the Energy market shows normal activity.")</f>
        <v>GridPower remains stable as the Energy market shows normal activity.</v>
      </c>
      <c r="D286" s="122" t="str">
        <f>IFERROR(__xludf.DUMMYFUNCTION("""COMPUTED_VALUE"""),"GridPower appears steady with no major changes reported.")</f>
        <v>GridPower appears steady with no major changes reported.</v>
      </c>
      <c r="E286" s="122" t="str">
        <f>IFERROR(__xludf.DUMMYFUNCTION("""COMPUTED_VALUE"""),"Neutral")</f>
        <v>Neutral</v>
      </c>
      <c r="F286" s="122">
        <f>IFERROR(__xludf.DUMMYFUNCTION("""COMPUTED_VALUE"""),0.0)</f>
        <v>0</v>
      </c>
      <c r="G286" s="122">
        <f>IFERROR(__xludf.DUMMYFUNCTION("""COMPUTED_VALUE"""),0.0)</f>
        <v>0</v>
      </c>
      <c r="H286" s="122" t="str">
        <f>IFERROR(__xludf.DUMMYFUNCTION("""COMPUTED_VALUE"""),"Active")</f>
        <v>Active</v>
      </c>
    </row>
    <row r="287">
      <c r="A287" s="131">
        <f>IFERROR(__xludf.DUMMYFUNCTION("""COMPUTED_VALUE"""),46168.331145833334)</f>
        <v>46168.33115</v>
      </c>
      <c r="B287" s="122" t="str">
        <f>IFERROR(__xludf.DUMMYFUNCTION("""COMPUTED_VALUE"""),"HOME")</f>
        <v>HOME</v>
      </c>
      <c r="C287" s="122" t="str">
        <f>IFERROR(__xludf.DUMMYFUNCTION("""COMPUTED_VALUE"""),"HomeHub remains stable as the Real Estate market shows normal activity.")</f>
        <v>HomeHub remains stable as the Real Estate market shows normal activity.</v>
      </c>
      <c r="D287" s="122" t="str">
        <f>IFERROR(__xludf.DUMMYFUNCTION("""COMPUTED_VALUE"""),"HomeHub appears steady with no major changes reported.")</f>
        <v>HomeHub appears steady with no major changes reported.</v>
      </c>
      <c r="E287" s="122" t="str">
        <f>IFERROR(__xludf.DUMMYFUNCTION("""COMPUTED_VALUE"""),"Neutral")</f>
        <v>Neutral</v>
      </c>
      <c r="F287" s="122">
        <f>IFERROR(__xludf.DUMMYFUNCTION("""COMPUTED_VALUE"""),0.0)</f>
        <v>0</v>
      </c>
      <c r="G287" s="122">
        <f>IFERROR(__xludf.DUMMYFUNCTION("""COMPUTED_VALUE"""),0.0)</f>
        <v>0</v>
      </c>
      <c r="H287" s="122" t="str">
        <f>IFERROR(__xludf.DUMMYFUNCTION("""COMPUTED_VALUE"""),"Active")</f>
        <v>Active</v>
      </c>
    </row>
    <row r="288">
      <c r="A288" s="131">
        <f>IFERROR(__xludf.DUMMYFUNCTION("""COMPUTED_VALUE"""),46168.33115740741)</f>
        <v>46168.33116</v>
      </c>
      <c r="B288" s="122" t="str">
        <f>IFERROR(__xludf.DUMMYFUNCTION("""COMPUTED_VALUE"""),"RENT")</f>
        <v>RENT</v>
      </c>
      <c r="C288" s="122" t="str">
        <f>IFERROR(__xludf.DUMMYFUNCTION("""COMPUTED_VALUE"""),"RentRight remains stable as the Real Estate market shows normal activity.")</f>
        <v>RentRight remains stable as the Real Estate market shows normal activity.</v>
      </c>
      <c r="D288" s="122" t="str">
        <f>IFERROR(__xludf.DUMMYFUNCTION("""COMPUTED_VALUE"""),"RentRight appears steady with no major changes reported.")</f>
        <v>RentRight appears steady with no major changes reported.</v>
      </c>
      <c r="E288" s="122" t="str">
        <f>IFERROR(__xludf.DUMMYFUNCTION("""COMPUTED_VALUE"""),"Neutral")</f>
        <v>Neutral</v>
      </c>
      <c r="F288" s="122">
        <f>IFERROR(__xludf.DUMMYFUNCTION("""COMPUTED_VALUE"""),0.0)</f>
        <v>0</v>
      </c>
      <c r="G288" s="122">
        <f>IFERROR(__xludf.DUMMYFUNCTION("""COMPUTED_VALUE"""),0.0)</f>
        <v>0</v>
      </c>
      <c r="H288" s="122" t="str">
        <f>IFERROR(__xludf.DUMMYFUNCTION("""COMPUTED_VALUE"""),"Active")</f>
        <v>Active</v>
      </c>
    </row>
    <row r="289">
      <c r="A289" s="131">
        <f>IFERROR(__xludf.DUMMYFUNCTION("""COMPUTED_VALUE"""),46168.33116898148)</f>
        <v>46168.33117</v>
      </c>
      <c r="B289" s="122" t="str">
        <f>IFERROR(__xludf.DUMMYFUNCTION("""COMPUTED_VALUE"""),"MALL")</f>
        <v>MALL</v>
      </c>
      <c r="C289" s="122" t="str">
        <f>IFERROR(__xludf.DUMMYFUNCTION("""COMPUTED_VALUE"""),"MegaMall faces weaker demand and cautious investor sentiment.")</f>
        <v>MegaMall faces weaker demand and cautious investor sentiment.</v>
      </c>
      <c r="D289" s="122" t="str">
        <f>IFERROR(__xludf.DUMMYFUNCTION("""COMPUTED_VALUE"""),"Investors are watching MegaMall closely as demand weakens.")</f>
        <v>Investors are watching MegaMall closely as demand weakens.</v>
      </c>
      <c r="E289" s="122" t="str">
        <f>IFERROR(__xludf.DUMMYFUNCTION("""COMPUTED_VALUE"""),"Negative")</f>
        <v>Negative</v>
      </c>
      <c r="F289" s="122">
        <f>IFERROR(__xludf.DUMMYFUNCTION("""COMPUTED_VALUE"""),-0.015)</f>
        <v>-0.015</v>
      </c>
      <c r="G289" s="122">
        <f>IFERROR(__xludf.DUMMYFUNCTION("""COMPUTED_VALUE"""),0.75)</f>
        <v>0.75</v>
      </c>
      <c r="H289" s="122" t="str">
        <f>IFERROR(__xludf.DUMMYFUNCTION("""COMPUTED_VALUE"""),"Active")</f>
        <v>Active</v>
      </c>
    </row>
    <row r="290">
      <c r="A290" s="131">
        <f>IFERROR(__xludf.DUMMYFUNCTION("""COMPUTED_VALUE"""),46168.33116898148)</f>
        <v>46168.33117</v>
      </c>
      <c r="B290" s="122" t="str">
        <f>IFERROR(__xludf.DUMMYFUNCTION("""COMPUTED_VALUE"""),"HOTL")</f>
        <v>HOTL</v>
      </c>
      <c r="C290" s="122" t="str">
        <f>IFERROR(__xludf.DUMMYFUNCTION("""COMPUTED_VALUE"""),"HotelHive reports steady growth and improved market confidence.")</f>
        <v>HotelHive reports steady growth and improved market confidence.</v>
      </c>
      <c r="D290" s="122" t="str">
        <f>IFERROR(__xludf.DUMMYFUNCTION("""COMPUTED_VALUE"""),"HotelHive continues to show positive momentum with moderate risk.")</f>
        <v>HotelHive continues to show positive momentum with moderate risk.</v>
      </c>
      <c r="E290" s="122" t="str">
        <f>IFERROR(__xludf.DUMMYFUNCTION("""COMPUTED_VALUE"""),"Positive")</f>
        <v>Positive</v>
      </c>
      <c r="F290" s="122">
        <f>IFERROR(__xludf.DUMMYFUNCTION("""COMPUTED_VALUE"""),0.015)</f>
        <v>0.015</v>
      </c>
      <c r="G290" s="122">
        <f>IFERROR(__xludf.DUMMYFUNCTION("""COMPUTED_VALUE"""),0.5)</f>
        <v>0.5</v>
      </c>
      <c r="H290" s="122" t="str">
        <f>IFERROR(__xludf.DUMMYFUNCTION("""COMPUTED_VALUE"""),"Active")</f>
        <v>Active</v>
      </c>
    </row>
    <row r="291">
      <c r="A291" s="131">
        <f>IFERROR(__xludf.DUMMYFUNCTION("""COMPUTED_VALUE"""),46168.33116898148)</f>
        <v>46168.33117</v>
      </c>
      <c r="B291" s="122" t="str">
        <f>IFERROR(__xludf.DUMMYFUNCTION("""COMPUTED_VALUE"""),"LAND")</f>
        <v>LAND</v>
      </c>
      <c r="C291" s="122" t="str">
        <f>IFERROR(__xludf.DUMMYFUNCTION("""COMPUTED_VALUE"""),"LandLink faces weaker demand and cautious investor sentiment.")</f>
        <v>LandLink faces weaker demand and cautious investor sentiment.</v>
      </c>
      <c r="D291" s="122" t="str">
        <f>IFERROR(__xludf.DUMMYFUNCTION("""COMPUTED_VALUE"""),"Investors are watching LandLink closely as demand weakens.")</f>
        <v>Investors are watching LandLink closely as demand weakens.</v>
      </c>
      <c r="E291" s="122" t="str">
        <f>IFERROR(__xludf.DUMMYFUNCTION("""COMPUTED_VALUE"""),"Negative")</f>
        <v>Negative</v>
      </c>
      <c r="F291" s="122">
        <f>IFERROR(__xludf.DUMMYFUNCTION("""COMPUTED_VALUE"""),-0.015)</f>
        <v>-0.015</v>
      </c>
      <c r="G291" s="122">
        <f>IFERROR(__xludf.DUMMYFUNCTION("""COMPUTED_VALUE"""),0.75)</f>
        <v>0.75</v>
      </c>
      <c r="H291" s="122" t="str">
        <f>IFERROR(__xludf.DUMMYFUNCTION("""COMPUTED_VALUE"""),"Active")</f>
        <v>Active</v>
      </c>
    </row>
    <row r="292">
      <c r="A292" s="131">
        <f>IFERROR(__xludf.DUMMYFUNCTION("""COMPUTED_VALUE"""),46168.33118055556)</f>
        <v>46168.33118</v>
      </c>
      <c r="B292" s="122" t="str">
        <f>IFERROR(__xludf.DUMMYFUNCTION("""COMPUTED_VALUE"""),"CARS")</f>
        <v>CARS</v>
      </c>
      <c r="C292" s="122" t="str">
        <f>IFERROR(__xludf.DUMMYFUNCTION("""COMPUTED_VALUE"""),"AutoArena remains stable as the Automotive market shows normal activity.")</f>
        <v>AutoArena remains stable as the Automotive market shows normal activity.</v>
      </c>
      <c r="D292" s="122" t="str">
        <f>IFERROR(__xludf.DUMMYFUNCTION("""COMPUTED_VALUE"""),"AutoArena appears steady with no major changes reported.")</f>
        <v>AutoArena appears steady with no major changes reported.</v>
      </c>
      <c r="E292" s="122" t="str">
        <f>IFERROR(__xludf.DUMMYFUNCTION("""COMPUTED_VALUE"""),"Neutral")</f>
        <v>Neutral</v>
      </c>
      <c r="F292" s="122">
        <f>IFERROR(__xludf.DUMMYFUNCTION("""COMPUTED_VALUE"""),0.0)</f>
        <v>0</v>
      </c>
      <c r="G292" s="122">
        <f>IFERROR(__xludf.DUMMYFUNCTION("""COMPUTED_VALUE"""),0.0)</f>
        <v>0</v>
      </c>
      <c r="H292" s="122" t="str">
        <f>IFERROR(__xludf.DUMMYFUNCTION("""COMPUTED_VALUE"""),"Active")</f>
        <v>Active</v>
      </c>
    </row>
    <row r="293">
      <c r="A293" s="131">
        <f>IFERROR(__xludf.DUMMYFUNCTION("""COMPUTED_VALUE"""),46168.33118055556)</f>
        <v>46168.33118</v>
      </c>
      <c r="B293" s="122" t="str">
        <f>IFERROR(__xludf.DUMMYFUNCTION("""COMPUTED_VALUE"""),"EVGO")</f>
        <v>EVGO</v>
      </c>
      <c r="C293" s="122" t="str">
        <f>IFERROR(__xludf.DUMMYFUNCTION("""COMPUTED_VALUE"""),"EVGo Motors sees uncertain trading as investors react to mixed signals.")</f>
        <v>EVGo Motors sees uncertain trading as investors react to mixed signals.</v>
      </c>
      <c r="D293" s="122" t="str">
        <f>IFERROR(__xludf.DUMMYFUNCTION("""COMPUTED_VALUE"""),"EVGo Motors may experience larger price swings as investors disagree on direction.")</f>
        <v>EVGo Motors may experience larger price swings as investors disagree on direction.</v>
      </c>
      <c r="E293" s="122" t="str">
        <f>IFERROR(__xludf.DUMMYFUNCTION("""COMPUTED_VALUE"""),"Mixed")</f>
        <v>Mixed</v>
      </c>
      <c r="F293" s="122">
        <f>IFERROR(__xludf.DUMMYFUNCTION("""COMPUTED_VALUE"""),-0.019426649618776905)</f>
        <v>-0.01942664962</v>
      </c>
      <c r="G293" s="122">
        <f>IFERROR(__xludf.DUMMYFUNCTION("""COMPUTED_VALUE"""),1.5)</f>
        <v>1.5</v>
      </c>
      <c r="H293" s="122" t="str">
        <f>IFERROR(__xludf.DUMMYFUNCTION("""COMPUTED_VALUE"""),"Active")</f>
        <v>Active</v>
      </c>
    </row>
    <row r="294">
      <c r="A294" s="131">
        <f>IFERROR(__xludf.DUMMYFUNCTION("""COMPUTED_VALUE"""),46168.331192129626)</f>
        <v>46168.33119</v>
      </c>
      <c r="B294" s="122" t="str">
        <f>IFERROR(__xludf.DUMMYFUNCTION("""COMPUTED_VALUE"""),"TIRE")</f>
        <v>TIRE</v>
      </c>
      <c r="C294" s="122" t="str">
        <f>IFERROR(__xludf.DUMMYFUNCTION("""COMPUTED_VALUE"""),"TireTown surges as demand rises across the Automotive sector.")</f>
        <v>TireTown surges as demand rises across the Automotive sector.</v>
      </c>
      <c r="D294" s="122" t="str">
        <f>IFERROR(__xludf.DUMMYFUNCTION("""COMPUTED_VALUE"""),"TireTown is seeing strong demand, which may increase investor confidence.")</f>
        <v>TireTown is seeing strong demand, which may increase investor confidence.</v>
      </c>
      <c r="E294" s="122" t="str">
        <f>IFERROR(__xludf.DUMMYFUNCTION("""COMPUTED_VALUE"""),"Positive")</f>
        <v>Positive</v>
      </c>
      <c r="F294" s="122">
        <f>IFERROR(__xludf.DUMMYFUNCTION("""COMPUTED_VALUE"""),0.03)</f>
        <v>0.03</v>
      </c>
      <c r="G294" s="122">
        <f>IFERROR(__xludf.DUMMYFUNCTION("""COMPUTED_VALUE"""),1.0)</f>
        <v>1</v>
      </c>
      <c r="H294" s="122" t="str">
        <f>IFERROR(__xludf.DUMMYFUNCTION("""COMPUTED_VALUE"""),"Active")</f>
        <v>Active</v>
      </c>
    </row>
    <row r="295">
      <c r="A295" s="131">
        <f>IFERROR(__xludf.DUMMYFUNCTION("""COMPUTED_VALUE"""),46168.331192129626)</f>
        <v>46168.33119</v>
      </c>
      <c r="B295" s="122" t="str">
        <f>IFERROR(__xludf.DUMMYFUNCTION("""COMPUTED_VALUE"""),"BIKE")</f>
        <v>BIKE</v>
      </c>
      <c r="C295" s="122" t="str">
        <f>IFERROR(__xludf.DUMMYFUNCTION("""COMPUTED_VALUE"""),"BikeBox remains stable as the Automotive market shows normal activity.")</f>
        <v>BikeBox remains stable as the Automotive market shows normal activity.</v>
      </c>
      <c r="D295" s="122" t="str">
        <f>IFERROR(__xludf.DUMMYFUNCTION("""COMPUTED_VALUE"""),"BikeBox appears steady with no major changes reported.")</f>
        <v>BikeBox appears steady with no major changes reported.</v>
      </c>
      <c r="E295" s="122" t="str">
        <f>IFERROR(__xludf.DUMMYFUNCTION("""COMPUTED_VALUE"""),"Neutral")</f>
        <v>Neutral</v>
      </c>
      <c r="F295" s="122">
        <f>IFERROR(__xludf.DUMMYFUNCTION("""COMPUTED_VALUE"""),0.0)</f>
        <v>0</v>
      </c>
      <c r="G295" s="122">
        <f>IFERROR(__xludf.DUMMYFUNCTION("""COMPUTED_VALUE"""),0.0)</f>
        <v>0</v>
      </c>
      <c r="H295" s="122" t="str">
        <f>IFERROR(__xludf.DUMMYFUNCTION("""COMPUTED_VALUE"""),"Active")</f>
        <v>Active</v>
      </c>
    </row>
    <row r="296">
      <c r="A296" s="131">
        <f>IFERROR(__xludf.DUMMYFUNCTION("""COMPUTED_VALUE"""),46168.331192129626)</f>
        <v>46168.33119</v>
      </c>
      <c r="B296" s="122" t="str">
        <f>IFERROR(__xludf.DUMMYFUNCTION("""COMPUTED_VALUE"""),"WASH")</f>
        <v>WASH</v>
      </c>
      <c r="C296" s="122" t="str">
        <f>IFERROR(__xludf.DUMMYFUNCTION("""COMPUTED_VALUE"""),"CarWash Co reports steady growth and improved market confidence.")</f>
        <v>CarWash Co reports steady growth and improved market confidence.</v>
      </c>
      <c r="D296" s="122" t="str">
        <f>IFERROR(__xludf.DUMMYFUNCTION("""COMPUTED_VALUE"""),"CarWash Co continues to show positive momentum with moderate risk.")</f>
        <v>CarWash Co continues to show positive momentum with moderate risk.</v>
      </c>
      <c r="E296" s="122" t="str">
        <f>IFERROR(__xludf.DUMMYFUNCTION("""COMPUTED_VALUE"""),"Positive")</f>
        <v>Positive</v>
      </c>
      <c r="F296" s="122">
        <f>IFERROR(__xludf.DUMMYFUNCTION("""COMPUTED_VALUE"""),0.015)</f>
        <v>0.015</v>
      </c>
      <c r="G296" s="122">
        <f>IFERROR(__xludf.DUMMYFUNCTION("""COMPUTED_VALUE"""),0.5)</f>
        <v>0.5</v>
      </c>
      <c r="H296" s="122" t="str">
        <f>IFERROR(__xludf.DUMMYFUNCTION("""COMPUTED_VALUE"""),"Active")</f>
        <v>Active</v>
      </c>
    </row>
    <row r="297">
      <c r="A297" s="131">
        <f>IFERROR(__xludf.DUMMYFUNCTION("""COMPUTED_VALUE"""),46168.3312037037)</f>
        <v>46168.3312</v>
      </c>
      <c r="B297" s="122" t="str">
        <f>IFERROR(__xludf.DUMMYFUNCTION("""COMPUTED_VALUE"""),"GBND")</f>
        <v>GBND</v>
      </c>
      <c r="C297" s="122" t="str">
        <f>IFERROR(__xludf.DUMMYFUNCTION("""COMPUTED_VALUE"""),"Classroom Government Bond remains steady as investors seek stability.")</f>
        <v>Classroom Government Bond remains steady as investors seek stability.</v>
      </c>
      <c r="D29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297" s="122" t="str">
        <f>IFERROR(__xludf.DUMMYFUNCTION("""COMPUTED_VALUE"""),"Neutral")</f>
        <v>Neutral</v>
      </c>
      <c r="F297" s="122">
        <f>IFERROR(__xludf.DUMMYFUNCTION("""COMPUTED_VALUE"""),0.0)</f>
        <v>0</v>
      </c>
      <c r="G297" s="122">
        <f>IFERROR(__xludf.DUMMYFUNCTION("""COMPUTED_VALUE"""),0.0)</f>
        <v>0</v>
      </c>
      <c r="H297" s="122" t="str">
        <f>IFERROR(__xludf.DUMMYFUNCTION("""COMPUTED_VALUE"""),"Active")</f>
        <v>Active</v>
      </c>
    </row>
    <row r="298">
      <c r="A298" s="131">
        <f>IFERROR(__xludf.DUMMYFUNCTION("""COMPUTED_VALUE"""),46168.3312037037)</f>
        <v>46168.3312</v>
      </c>
      <c r="B298" s="122" t="str">
        <f>IFERROR(__xludf.DUMMYFUNCTION("""COMPUTED_VALUE"""),"SBND")</f>
        <v>SBND</v>
      </c>
      <c r="C298" s="122" t="str">
        <f>IFERROR(__xludf.DUMMYFUNCTION("""COMPUTED_VALUE"""),"School Savings Bond remains steady as investors seek stability.")</f>
        <v>School Savings Bond remains steady as investors seek stability.</v>
      </c>
      <c r="D29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298" s="122" t="str">
        <f>IFERROR(__xludf.DUMMYFUNCTION("""COMPUTED_VALUE"""),"Neutral")</f>
        <v>Neutral</v>
      </c>
      <c r="F298" s="122">
        <f>IFERROR(__xludf.DUMMYFUNCTION("""COMPUTED_VALUE"""),0.0)</f>
        <v>0</v>
      </c>
      <c r="G298" s="122">
        <f>IFERROR(__xludf.DUMMYFUNCTION("""COMPUTED_VALUE"""),0.0)</f>
        <v>0</v>
      </c>
      <c r="H298" s="122" t="str">
        <f>IFERROR(__xludf.DUMMYFUNCTION("""COMPUTED_VALUE"""),"Active")</f>
        <v>Active</v>
      </c>
    </row>
    <row r="299">
      <c r="A299" s="131">
        <f>IFERROR(__xludf.DUMMYFUNCTION("""COMPUTED_VALUE"""),46168.3312037037)</f>
        <v>46168.3312</v>
      </c>
      <c r="B299" s="122" t="str">
        <f>IFERROR(__xludf.DUMMYFUNCTION("""COMPUTED_VALUE"""),"CBND")</f>
        <v>CBND</v>
      </c>
      <c r="C299" s="122" t="str">
        <f>IFERROR(__xludf.DUMMYFUNCTION("""COMPUTED_VALUE"""),"Corporate Classroom Bond remains steady as investors seek stability.")</f>
        <v>Corporate Classroom Bond remains steady as investors seek stability.</v>
      </c>
      <c r="D29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299" s="122" t="str">
        <f>IFERROR(__xludf.DUMMYFUNCTION("""COMPUTED_VALUE"""),"Neutral")</f>
        <v>Neutral</v>
      </c>
      <c r="F299" s="122">
        <f>IFERROR(__xludf.DUMMYFUNCTION("""COMPUTED_VALUE"""),0.0)</f>
        <v>0</v>
      </c>
      <c r="G299" s="122">
        <f>IFERROR(__xludf.DUMMYFUNCTION("""COMPUTED_VALUE"""),0.0)</f>
        <v>0</v>
      </c>
      <c r="H299" s="122" t="str">
        <f>IFERROR(__xludf.DUMMYFUNCTION("""COMPUTED_VALUE"""),"Active")</f>
        <v>Active</v>
      </c>
    </row>
    <row r="300">
      <c r="A300" s="131">
        <f>IFERROR(__xludf.DUMMYFUNCTION("""COMPUTED_VALUE"""),46168.33121527778)</f>
        <v>46168.33122</v>
      </c>
      <c r="B300" s="122" t="str">
        <f>IFERROR(__xludf.DUMMYFUNCTION("""COMPUTED_VALUE"""),"TBIL")</f>
        <v>TBIL</v>
      </c>
      <c r="C300" s="122" t="str">
        <f>IFERROR(__xludf.DUMMYFUNCTION("""COMPUTED_VALUE"""),"Treasury Bill remains steady as investors seek stability.")</f>
        <v>Treasury Bill remains steady as investors seek stability.</v>
      </c>
      <c r="D30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300" s="122" t="str">
        <f>IFERROR(__xludf.DUMMYFUNCTION("""COMPUTED_VALUE"""),"Neutral")</f>
        <v>Neutral</v>
      </c>
      <c r="F300" s="122">
        <f>IFERROR(__xludf.DUMMYFUNCTION("""COMPUTED_VALUE"""),0.0)</f>
        <v>0</v>
      </c>
      <c r="G300" s="122">
        <f>IFERROR(__xludf.DUMMYFUNCTION("""COMPUTED_VALUE"""),0.0)</f>
        <v>0</v>
      </c>
      <c r="H300" s="122" t="str">
        <f>IFERROR(__xludf.DUMMYFUNCTION("""COMPUTED_VALUE"""),"Active")</f>
        <v>Active</v>
      </c>
    </row>
    <row r="301">
      <c r="A301" s="131">
        <f>IFERROR(__xludf.DUMMYFUNCTION("""COMPUTED_VALUE"""),46168.33121527778)</f>
        <v>46168.33122</v>
      </c>
      <c r="B301" s="122" t="str">
        <f>IFERROR(__xludf.DUMMYFUNCTION("""COMPUTED_VALUE"""),"IBND")</f>
        <v>IBND</v>
      </c>
      <c r="C301" s="122" t="str">
        <f>IFERROR(__xludf.DUMMYFUNCTION("""COMPUTED_VALUE"""),"Inflation Protected Bond remains steady as investors seek stability.")</f>
        <v>Inflation Protected Bond remains steady as investors seek stability.</v>
      </c>
      <c r="D30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301" s="122" t="str">
        <f>IFERROR(__xludf.DUMMYFUNCTION("""COMPUTED_VALUE"""),"Neutral")</f>
        <v>Neutral</v>
      </c>
      <c r="F301" s="122">
        <f>IFERROR(__xludf.DUMMYFUNCTION("""COMPUTED_VALUE"""),0.0)</f>
        <v>0</v>
      </c>
      <c r="G301" s="122">
        <f>IFERROR(__xludf.DUMMYFUNCTION("""COMPUTED_VALUE"""),0.0)</f>
        <v>0</v>
      </c>
      <c r="H301" s="122" t="str">
        <f>IFERROR(__xludf.DUMMYFUNCTION("""COMPUTED_VALUE"""),"Active")</f>
        <v>Active</v>
      </c>
    </row>
    <row r="302">
      <c r="A302" s="131">
        <f>IFERROR(__xludf.DUMMYFUNCTION("""COMPUTED_VALUE"""),46168.338784722226)</f>
        <v>46168.33878</v>
      </c>
      <c r="B302" s="122" t="str">
        <f>IFERROR(__xludf.DUMMYFUNCTION("""COMPUTED_VALUE"""),"MARKET")</f>
        <v>MARKET</v>
      </c>
      <c r="C302" s="122" t="str">
        <f>IFERROR(__xludf.DUMMYFUNCTION("""COMPUTED_VALUE"""),"Market Stability Report")</f>
        <v>Market Stability Report</v>
      </c>
      <c r="D302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302" s="122" t="str">
        <f>IFERROR(__xludf.DUMMYFUNCTION("""COMPUTED_VALUE"""),"Neutral")</f>
        <v>Neutral</v>
      </c>
      <c r="F302" s="122">
        <f>IFERROR(__xludf.DUMMYFUNCTION("""COMPUTED_VALUE"""),0.0)</f>
        <v>0</v>
      </c>
      <c r="G302" s="122">
        <f>IFERROR(__xludf.DUMMYFUNCTION("""COMPUTED_VALUE"""),0.0)</f>
        <v>0</v>
      </c>
      <c r="H302" s="122" t="str">
        <f>IFERROR(__xludf.DUMMYFUNCTION("""COMPUTED_VALUE"""),"Active")</f>
        <v>Active</v>
      </c>
    </row>
    <row r="303">
      <c r="A303" s="131">
        <f>IFERROR(__xludf.DUMMYFUNCTION("""COMPUTED_VALUE"""),46169.31760416667)</f>
        <v>46169.3176</v>
      </c>
      <c r="B303" s="122" t="str">
        <f>IFERROR(__xludf.DUMMYFUNCTION("""COMPUTED_VALUE"""),"COLA")</f>
        <v>COLA</v>
      </c>
      <c r="C303" s="122" t="str">
        <f>IFERROR(__xludf.DUMMYFUNCTION("""COMPUTED_VALUE"""),"K-Pop Cola releases earnings report: Beat profit, guidance Maintained.")</f>
        <v>K-Pop Cola releases earnings report: Beat profit, guidance Maintained.</v>
      </c>
      <c r="D303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303" s="122" t="str">
        <f>IFERROR(__xludf.DUMMYFUNCTION("""COMPUTED_VALUE"""),"Positive")</f>
        <v>Positive</v>
      </c>
      <c r="F303" s="122">
        <f>IFERROR(__xludf.DUMMYFUNCTION("""COMPUTED_VALUE"""),0.012308892245044731)</f>
        <v>0.01230889225</v>
      </c>
      <c r="G303" s="122">
        <f>IFERROR(__xludf.DUMMYFUNCTION("""COMPUTED_VALUE"""),0.3077223061261183)</f>
        <v>0.3077223061</v>
      </c>
      <c r="H303" s="122" t="str">
        <f>IFERROR(__xludf.DUMMYFUNCTION("""COMPUTED_VALUE"""),"Active")</f>
        <v>Active</v>
      </c>
    </row>
    <row r="304">
      <c r="A304" s="131">
        <f>IFERROR(__xludf.DUMMYFUNCTION("""COMPUTED_VALUE"""),46169.317708333336)</f>
        <v>46169.31771</v>
      </c>
      <c r="B304" s="122" t="str">
        <f>IFERROR(__xludf.DUMMYFUNCTION("""COMPUTED_VALUE"""),"WIND")</f>
        <v>WIND</v>
      </c>
      <c r="C304" s="122" t="str">
        <f>IFERROR(__xludf.DUMMYFUNCTION("""COMPUTED_VALUE"""),"WindWorks releases earnings report: Beat profit, guidance Raised.")</f>
        <v>WindWorks releases earnings report: Beat profit, guidance Raised.</v>
      </c>
      <c r="D30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04" s="122" t="str">
        <f>IFERROR(__xludf.DUMMYFUNCTION("""COMPUTED_VALUE"""),"Positive")</f>
        <v>Positive</v>
      </c>
      <c r="F304" s="122">
        <f>IFERROR(__xludf.DUMMYFUNCTION("""COMPUTED_VALUE"""),0.053998833784995176)</f>
        <v>0.05399883378</v>
      </c>
      <c r="G304" s="122">
        <f>IFERROR(__xludf.DUMMYFUNCTION("""COMPUTED_VALUE"""),1.3499708446248795)</f>
        <v>1.349970845</v>
      </c>
      <c r="H304" s="122" t="str">
        <f>IFERROR(__xludf.DUMMYFUNCTION("""COMPUTED_VALUE"""),"Active")</f>
        <v>Active</v>
      </c>
    </row>
    <row r="305">
      <c r="A305" s="131">
        <f>IFERROR(__xludf.DUMMYFUNCTION("""COMPUTED_VALUE"""),46169.317777777775)</f>
        <v>46169.31778</v>
      </c>
      <c r="B305" s="122" t="str">
        <f>IFERROR(__xludf.DUMMYFUNCTION("""COMPUTED_VALUE"""),"SNAX")</f>
        <v>SNAX</v>
      </c>
      <c r="C305" s="122" t="str">
        <f>IFERROR(__xludf.DUMMYFUNCTION("""COMPUTED_VALUE"""),"MICA Snacks releases earnings report: Miss profit, guidance Lowered.")</f>
        <v>MICA Snacks releases earnings report: Miss profit, guidance Lowered.</v>
      </c>
      <c r="D305" s="122" t="str">
        <f>IFERROR(__xludf.DUMMYFUNCTION("""COMPUTED_VALUE"""),"Earnings report: revenue Miss, profit Miss, debt Worse, guidance Lowered.")</f>
        <v>Earnings report: revenue Miss, profit Miss, debt Worse, guidance Lowered.</v>
      </c>
      <c r="E305" s="122" t="str">
        <f>IFERROR(__xludf.DUMMYFUNCTION("""COMPUTED_VALUE"""),"Negative")</f>
        <v>Negative</v>
      </c>
      <c r="F305" s="122">
        <f>IFERROR(__xludf.DUMMYFUNCTION("""COMPUTED_VALUE"""),-0.05516485416550586)</f>
        <v>-0.05516485417</v>
      </c>
      <c r="G305" s="122">
        <f>IFERROR(__xludf.DUMMYFUNCTION("""COMPUTED_VALUE"""),1.3791213541376464)</f>
        <v>1.379121354</v>
      </c>
      <c r="H305" s="122" t="str">
        <f>IFERROR(__xludf.DUMMYFUNCTION("""COMPUTED_VALUE"""),"Active")</f>
        <v>Active</v>
      </c>
    </row>
    <row r="306">
      <c r="A306" s="131">
        <f>IFERROR(__xludf.DUMMYFUNCTION("""COMPUTED_VALUE"""),46169.31787037037)</f>
        <v>46169.31787</v>
      </c>
      <c r="B306" s="122" t="str">
        <f>IFERROR(__xludf.DUMMYFUNCTION("""COMPUTED_VALUE"""),"IDOL")</f>
        <v>IDOL</v>
      </c>
      <c r="C306" s="122" t="str">
        <f>IFERROR(__xludf.DUMMYFUNCTION("""COMPUTED_VALUE"""),"Idol Agency releases earnings report: Miss profit, guidance Lowered.")</f>
        <v>Idol Agency releases earnings report: Miss profit, guidance Lowered.</v>
      </c>
      <c r="D306" s="122" t="str">
        <f>IFERROR(__xludf.DUMMYFUNCTION("""COMPUTED_VALUE"""),"Earnings report: revenue Miss, profit Miss, debt Worse, guidance Lowered.")</f>
        <v>Earnings report: revenue Miss, profit Miss, debt Worse, guidance Lowered.</v>
      </c>
      <c r="E306" s="122" t="str">
        <f>IFERROR(__xludf.DUMMYFUNCTION("""COMPUTED_VALUE"""),"Negative")</f>
        <v>Negative</v>
      </c>
      <c r="F306" s="122">
        <f>IFERROR(__xludf.DUMMYFUNCTION("""COMPUTED_VALUE"""),-0.0366138615239005)</f>
        <v>-0.03661386152</v>
      </c>
      <c r="G306" s="122">
        <f>IFERROR(__xludf.DUMMYFUNCTION("""COMPUTED_VALUE"""),0.9153465380975124)</f>
        <v>0.9153465381</v>
      </c>
      <c r="H306" s="122" t="str">
        <f>IFERROR(__xludf.DUMMYFUNCTION("""COMPUTED_VALUE"""),"Active")</f>
        <v>Active</v>
      </c>
    </row>
    <row r="307">
      <c r="A307" s="131">
        <f>IFERROR(__xludf.DUMMYFUNCTION("""COMPUTED_VALUE"""),46169.31793981481)</f>
        <v>46169.31794</v>
      </c>
      <c r="B307" s="122" t="str">
        <f>IFERROR(__xludf.DUMMYFUNCTION("""COMPUTED_VALUE"""),"VITA")</f>
        <v>VITA</v>
      </c>
      <c r="C307" s="122" t="str">
        <f>IFERROR(__xludf.DUMMYFUNCTION("""COMPUTED_VALUE"""),"VitaPlus releases earnings report: Inline profit, guidance Maintained.")</f>
        <v>VitaPlus releases earnings report: Inline profit, guidance Maintained.</v>
      </c>
      <c r="D307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307" s="122" t="str">
        <f>IFERROR(__xludf.DUMMYFUNCTION("""COMPUTED_VALUE"""),"Neutral")</f>
        <v>Neutral</v>
      </c>
      <c r="F307" s="122">
        <f>IFERROR(__xludf.DUMMYFUNCTION("""COMPUTED_VALUE"""),-0.00582738263309011)</f>
        <v>-0.005827382633</v>
      </c>
      <c r="G307" s="122">
        <f>IFERROR(__xludf.DUMMYFUNCTION("""COMPUTED_VALUE"""),0.14568456582725275)</f>
        <v>0.1456845658</v>
      </c>
      <c r="H307" s="122" t="str">
        <f>IFERROR(__xludf.DUMMYFUNCTION("""COMPUTED_VALUE"""),"Active")</f>
        <v>Active</v>
      </c>
    </row>
    <row r="308">
      <c r="A308" s="131">
        <f>IFERROR(__xludf.DUMMYFUNCTION("""COMPUTED_VALUE"""),46169.318020833336)</f>
        <v>46169.31802</v>
      </c>
      <c r="B308" s="122" t="str">
        <f>IFERROR(__xludf.DUMMYFUNCTION("""COMPUTED_VALUE"""),"OILX")</f>
        <v>OILX</v>
      </c>
      <c r="C308" s="122" t="str">
        <f>IFERROR(__xludf.DUMMYFUNCTION("""COMPUTED_VALUE"""),"OilMax Energy releases earnings report: Beat profit, guidance Raised.")</f>
        <v>OilMax Energy releases earnings report: Beat profit, guidance Raised.</v>
      </c>
      <c r="D30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08" s="122" t="str">
        <f>IFERROR(__xludf.DUMMYFUNCTION("""COMPUTED_VALUE"""),"Positive")</f>
        <v>Positive</v>
      </c>
      <c r="F308" s="122">
        <f>IFERROR(__xludf.DUMMYFUNCTION("""COMPUTED_VALUE"""),0.04277967920477134)</f>
        <v>0.0427796792</v>
      </c>
      <c r="G308" s="122">
        <f>IFERROR(__xludf.DUMMYFUNCTION("""COMPUTED_VALUE"""),1.0694919801192835)</f>
        <v>1.06949198</v>
      </c>
      <c r="H308" s="122" t="str">
        <f>IFERROR(__xludf.DUMMYFUNCTION("""COMPUTED_VALUE"""),"Active")</f>
        <v>Active</v>
      </c>
    </row>
    <row r="309">
      <c r="A309" s="131">
        <f>IFERROR(__xludf.DUMMYFUNCTION("""COMPUTED_VALUE"""),46169.31811342593)</f>
        <v>46169.31811</v>
      </c>
      <c r="B309" s="122" t="str">
        <f>IFERROR(__xludf.DUMMYFUNCTION("""COMPUTED_VALUE"""),"GAME")</f>
        <v>GAME</v>
      </c>
      <c r="C309" s="122" t="str">
        <f>IFERROR(__xludf.DUMMYFUNCTION("""COMPUTED_VALUE"""),"GameBox Media releases earnings report: Miss profit, guidance Maintained.")</f>
        <v>GameBox Media releases earnings report: Miss profit, guidance Maintained.</v>
      </c>
      <c r="D309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309" s="122" t="str">
        <f>IFERROR(__xludf.DUMMYFUNCTION("""COMPUTED_VALUE"""),"Negative")</f>
        <v>Negative</v>
      </c>
      <c r="F309" s="122">
        <f>IFERROR(__xludf.DUMMYFUNCTION("""COMPUTED_VALUE"""),-0.016476187075705615)</f>
        <v>-0.01647618708</v>
      </c>
      <c r="G309" s="122">
        <f>IFERROR(__xludf.DUMMYFUNCTION("""COMPUTED_VALUE"""),0.4119046768926404)</f>
        <v>0.4119046769</v>
      </c>
      <c r="H309" s="122" t="str">
        <f>IFERROR(__xludf.DUMMYFUNCTION("""COMPUTED_VALUE"""),"Active")</f>
        <v>Active</v>
      </c>
    </row>
    <row r="310">
      <c r="A310" s="131">
        <f>IFERROR(__xludf.DUMMYFUNCTION("""COMPUTED_VALUE"""),46169.31818287037)</f>
        <v>46169.31818</v>
      </c>
      <c r="B310" s="122" t="str">
        <f>IFERROR(__xludf.DUMMYFUNCTION("""COMPUTED_VALUE"""),"HOTL")</f>
        <v>HOTL</v>
      </c>
      <c r="C310" s="122" t="str">
        <f>IFERROR(__xludf.DUMMYFUNCTION("""COMPUTED_VALUE"""),"HotelHive releases earnings report: Inline profit, guidance Maintained.")</f>
        <v>HotelHive releases earnings report: Inline profit, guidance Maintained.</v>
      </c>
      <c r="D310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310" s="122" t="str">
        <f>IFERROR(__xludf.DUMMYFUNCTION("""COMPUTED_VALUE"""),"Neutral")</f>
        <v>Neutral</v>
      </c>
      <c r="F310" s="122">
        <f>IFERROR(__xludf.DUMMYFUNCTION("""COMPUTED_VALUE"""),0.0010374784815408412)</f>
        <v>0.001037478482</v>
      </c>
      <c r="G310" s="122">
        <f>IFERROR(__xludf.DUMMYFUNCTION("""COMPUTED_VALUE"""),0.025936962038521028)</f>
        <v>0.02593696204</v>
      </c>
      <c r="H310" s="122" t="str">
        <f>IFERROR(__xludf.DUMMYFUNCTION("""COMPUTED_VALUE"""),"Active")</f>
        <v>Active</v>
      </c>
    </row>
    <row r="311">
      <c r="A311" s="131">
        <f>IFERROR(__xludf.DUMMYFUNCTION("""COMPUTED_VALUE"""),46169.31826388889)</f>
        <v>46169.31826</v>
      </c>
      <c r="B311" s="122" t="str">
        <f>IFERROR(__xludf.DUMMYFUNCTION("""COMPUTED_VALUE"""),"SOLR")</f>
        <v>SOLR</v>
      </c>
      <c r="C311" s="122" t="str">
        <f>IFERROR(__xludf.DUMMYFUNCTION("""COMPUTED_VALUE"""),"SolarSpark releases earnings report: Miss profit, guidance Lowered.")</f>
        <v>SolarSpark releases earnings report: Miss profit, guidance Lowered.</v>
      </c>
      <c r="D311" s="122" t="str">
        <f>IFERROR(__xludf.DUMMYFUNCTION("""COMPUTED_VALUE"""),"Earnings report: revenue Miss, profit Miss, debt Worse, guidance Lowered.")</f>
        <v>Earnings report: revenue Miss, profit Miss, debt Worse, guidance Lowered.</v>
      </c>
      <c r="E311" s="122" t="str">
        <f>IFERROR(__xludf.DUMMYFUNCTION("""COMPUTED_VALUE"""),"Negative")</f>
        <v>Negative</v>
      </c>
      <c r="F311" s="122">
        <f>IFERROR(__xludf.DUMMYFUNCTION("""COMPUTED_VALUE"""),-0.03751081576412149)</f>
        <v>-0.03751081576</v>
      </c>
      <c r="G311" s="122">
        <f>IFERROR(__xludf.DUMMYFUNCTION("""COMPUTED_VALUE"""),0.9377703941030373)</f>
        <v>0.9377703941</v>
      </c>
      <c r="H311" s="122" t="str">
        <f>IFERROR(__xludf.DUMMYFUNCTION("""COMPUTED_VALUE"""),"Active")</f>
        <v>Active</v>
      </c>
    </row>
    <row r="312">
      <c r="A312" s="131">
        <f>IFERROR(__xludf.DUMMYFUNCTION("""COMPUTED_VALUE"""),46169.331099537034)</f>
        <v>46169.3311</v>
      </c>
      <c r="B312" s="122" t="str">
        <f>IFERROR(__xludf.DUMMYFUNCTION("""COMPUTED_VALUE"""),"SNAX")</f>
        <v>SNAX</v>
      </c>
      <c r="C312" s="122" t="str">
        <f>IFERROR(__xludf.DUMMYFUNCTION("""COMPUTED_VALUE"""),"MICA Snacks reports steady growth and improved market confidence.")</f>
        <v>MICA Snacks reports steady growth and improved market confidence.</v>
      </c>
      <c r="D312" s="122" t="str">
        <f>IFERROR(__xludf.DUMMYFUNCTION("""COMPUTED_VALUE"""),"MICA Snacks continues to show positive momentum with moderate risk.")</f>
        <v>MICA Snacks continues to show positive momentum with moderate risk.</v>
      </c>
      <c r="E312" s="122" t="str">
        <f>IFERROR(__xludf.DUMMYFUNCTION("""COMPUTED_VALUE"""),"Positive")</f>
        <v>Positive</v>
      </c>
      <c r="F312" s="122">
        <f>IFERROR(__xludf.DUMMYFUNCTION("""COMPUTED_VALUE"""),0.015)</f>
        <v>0.015</v>
      </c>
      <c r="G312" s="122">
        <f>IFERROR(__xludf.DUMMYFUNCTION("""COMPUTED_VALUE"""),0.5)</f>
        <v>0.5</v>
      </c>
      <c r="H312" s="122" t="str">
        <f>IFERROR(__xludf.DUMMYFUNCTION("""COMPUTED_VALUE"""),"Active")</f>
        <v>Active</v>
      </c>
    </row>
    <row r="313">
      <c r="A313" s="131">
        <f>IFERROR(__xludf.DUMMYFUNCTION("""COMPUTED_VALUE"""),46169.33111111111)</f>
        <v>46169.33111</v>
      </c>
      <c r="B313" s="122" t="str">
        <f>IFERROR(__xludf.DUMMYFUNCTION("""COMPUTED_VALUE"""),"RAMN")</f>
        <v>RAMN</v>
      </c>
      <c r="C313" s="122" t="str">
        <f>IFERROR(__xludf.DUMMYFUNCTION("""COMPUTED_VALUE"""),"Ramen Republic faces weaker demand and cautious investor sentiment.")</f>
        <v>Ramen Republic faces weaker demand and cautious investor sentiment.</v>
      </c>
      <c r="D313" s="122" t="str">
        <f>IFERROR(__xludf.DUMMYFUNCTION("""COMPUTED_VALUE"""),"Investors are watching Ramen Republic closely as demand weakens.")</f>
        <v>Investors are watching Ramen Republic closely as demand weakens.</v>
      </c>
      <c r="E313" s="122" t="str">
        <f>IFERROR(__xludf.DUMMYFUNCTION("""COMPUTED_VALUE"""),"Negative")</f>
        <v>Negative</v>
      </c>
      <c r="F313" s="122">
        <f>IFERROR(__xludf.DUMMYFUNCTION("""COMPUTED_VALUE"""),-0.015)</f>
        <v>-0.015</v>
      </c>
      <c r="G313" s="122">
        <f>IFERROR(__xludf.DUMMYFUNCTION("""COMPUTED_VALUE"""),0.75)</f>
        <v>0.75</v>
      </c>
      <c r="H313" s="122" t="str">
        <f>IFERROR(__xludf.DUMMYFUNCTION("""COMPUTED_VALUE"""),"Active")</f>
        <v>Active</v>
      </c>
    </row>
    <row r="314">
      <c r="A314" s="131">
        <f>IFERROR(__xludf.DUMMYFUNCTION("""COMPUTED_VALUE"""),46169.33112268519)</f>
        <v>46169.33112</v>
      </c>
      <c r="B314" s="122" t="str">
        <f>IFERROR(__xludf.DUMMYFUNCTION("""COMPUTED_VALUE"""),"COLA")</f>
        <v>COLA</v>
      </c>
      <c r="C314" s="122" t="str">
        <f>IFERROR(__xludf.DUMMYFUNCTION("""COMPUTED_VALUE"""),"K-Pop Cola surges as demand rises across the Beverage sector.")</f>
        <v>K-Pop Cola surges as demand rises across the Beverage sector.</v>
      </c>
      <c r="D314" s="122" t="str">
        <f>IFERROR(__xludf.DUMMYFUNCTION("""COMPUTED_VALUE"""),"K-Pop Cola is seeing strong demand, which may increase investor confidence.")</f>
        <v>K-Pop Cola is seeing strong demand, which may increase investor confidence.</v>
      </c>
      <c r="E314" s="122" t="str">
        <f>IFERROR(__xludf.DUMMYFUNCTION("""COMPUTED_VALUE"""),"Positive")</f>
        <v>Positive</v>
      </c>
      <c r="F314" s="122">
        <f>IFERROR(__xludf.DUMMYFUNCTION("""COMPUTED_VALUE"""),0.03)</f>
        <v>0.03</v>
      </c>
      <c r="G314" s="122">
        <f>IFERROR(__xludf.DUMMYFUNCTION("""COMPUTED_VALUE"""),1.0)</f>
        <v>1</v>
      </c>
      <c r="H314" s="122" t="str">
        <f>IFERROR(__xludf.DUMMYFUNCTION("""COMPUTED_VALUE"""),"Active")</f>
        <v>Active</v>
      </c>
    </row>
    <row r="315">
      <c r="A315" s="131">
        <f>IFERROR(__xludf.DUMMYFUNCTION("""COMPUTED_VALUE"""),46169.33113425926)</f>
        <v>46169.33113</v>
      </c>
      <c r="B315" s="122" t="str">
        <f>IFERROR(__xludf.DUMMYFUNCTION("""COMPUTED_VALUE"""),"CHIP")</f>
        <v>CHIP</v>
      </c>
      <c r="C315" s="122" t="str">
        <f>IFERROR(__xludf.DUMMYFUNCTION("""COMPUTED_VALUE"""),"Chip Empire reports steady growth and improved market confidence.")</f>
        <v>Chip Empire reports steady growth and improved market confidence.</v>
      </c>
      <c r="D315" s="122" t="str">
        <f>IFERROR(__xludf.DUMMYFUNCTION("""COMPUTED_VALUE"""),"Chip Empire continues to show positive momentum with moderate risk.")</f>
        <v>Chip Empire continues to show positive momentum with moderate risk.</v>
      </c>
      <c r="E315" s="122" t="str">
        <f>IFERROR(__xludf.DUMMYFUNCTION("""COMPUTED_VALUE"""),"Positive")</f>
        <v>Positive</v>
      </c>
      <c r="F315" s="122">
        <f>IFERROR(__xludf.DUMMYFUNCTION("""COMPUTED_VALUE"""),0.015)</f>
        <v>0.015</v>
      </c>
      <c r="G315" s="122">
        <f>IFERROR(__xludf.DUMMYFUNCTION("""COMPUTED_VALUE"""),0.5)</f>
        <v>0.5</v>
      </c>
      <c r="H315" s="122" t="str">
        <f>IFERROR(__xludf.DUMMYFUNCTION("""COMPUTED_VALUE"""),"Active")</f>
        <v>Active</v>
      </c>
    </row>
    <row r="316">
      <c r="A316" s="131">
        <f>IFERROR(__xludf.DUMMYFUNCTION("""COMPUTED_VALUE"""),46169.331145833334)</f>
        <v>46169.33115</v>
      </c>
      <c r="B316" s="122" t="str">
        <f>IFERROR(__xludf.DUMMYFUNCTION("""COMPUTED_VALUE"""),"CAND")</f>
        <v>CAND</v>
      </c>
      <c r="C316" s="122" t="str">
        <f>IFERROR(__xludf.DUMMYFUNCTION("""COMPUTED_VALUE"""),"Candy Capital reports steady growth and improved market confidence.")</f>
        <v>Candy Capital reports steady growth and improved market confidence.</v>
      </c>
      <c r="D316" s="122" t="str">
        <f>IFERROR(__xludf.DUMMYFUNCTION("""COMPUTED_VALUE"""),"Candy Capital continues to show positive momentum with moderate risk.")</f>
        <v>Candy Capital continues to show positive momentum with moderate risk.</v>
      </c>
      <c r="E316" s="122" t="str">
        <f>IFERROR(__xludf.DUMMYFUNCTION("""COMPUTED_VALUE"""),"Positive")</f>
        <v>Positive</v>
      </c>
      <c r="F316" s="122">
        <f>IFERROR(__xludf.DUMMYFUNCTION("""COMPUTED_VALUE"""),0.015)</f>
        <v>0.015</v>
      </c>
      <c r="G316" s="122">
        <f>IFERROR(__xludf.DUMMYFUNCTION("""COMPUTED_VALUE"""),0.5)</f>
        <v>0.5</v>
      </c>
      <c r="H316" s="122" t="str">
        <f>IFERROR(__xludf.DUMMYFUNCTION("""COMPUTED_VALUE"""),"Active")</f>
        <v>Active</v>
      </c>
    </row>
    <row r="317">
      <c r="A317" s="131">
        <f>IFERROR(__xludf.DUMMYFUNCTION("""COMPUTED_VALUE"""),46169.331145833334)</f>
        <v>46169.33115</v>
      </c>
      <c r="B317" s="122" t="str">
        <f>IFERROR(__xludf.DUMMYFUNCTION("""COMPUTED_VALUE"""),"TECH")</f>
        <v>TECH</v>
      </c>
      <c r="C317" s="122" t="str">
        <f>IFERROR(__xludf.DUMMYFUNCTION("""COMPUTED_VALUE"""),"Dragon Tech reports steady growth and improved market confidence.")</f>
        <v>Dragon Tech reports steady growth and improved market confidence.</v>
      </c>
      <c r="D317" s="122" t="str">
        <f>IFERROR(__xludf.DUMMYFUNCTION("""COMPUTED_VALUE"""),"Dragon Tech continues to show positive momentum with moderate risk.")</f>
        <v>Dragon Tech continues to show positive momentum with moderate risk.</v>
      </c>
      <c r="E317" s="122" t="str">
        <f>IFERROR(__xludf.DUMMYFUNCTION("""COMPUTED_VALUE"""),"Positive")</f>
        <v>Positive</v>
      </c>
      <c r="F317" s="122">
        <f>IFERROR(__xludf.DUMMYFUNCTION("""COMPUTED_VALUE"""),0.015)</f>
        <v>0.015</v>
      </c>
      <c r="G317" s="122">
        <f>IFERROR(__xludf.DUMMYFUNCTION("""COMPUTED_VALUE"""),0.5)</f>
        <v>0.5</v>
      </c>
      <c r="H317" s="122" t="str">
        <f>IFERROR(__xludf.DUMMYFUNCTION("""COMPUTED_VALUE"""),"Active")</f>
        <v>Active</v>
      </c>
    </row>
    <row r="318">
      <c r="A318" s="131">
        <f>IFERROR(__xludf.DUMMYFUNCTION("""COMPUTED_VALUE"""),46169.33116898148)</f>
        <v>46169.33117</v>
      </c>
      <c r="B318" s="122" t="str">
        <f>IFERROR(__xludf.DUMMYFUNCTION("""COMPUTED_VALUE"""),"AIBO")</f>
        <v>AIBO</v>
      </c>
      <c r="C318" s="122" t="str">
        <f>IFERROR(__xludf.DUMMYFUNCTION("""COMPUTED_VALUE"""),"Homework AI surges as demand rises across the Technology sector.")</f>
        <v>Homework AI surges as demand rises across the Technology sector.</v>
      </c>
      <c r="D318" s="122" t="str">
        <f>IFERROR(__xludf.DUMMYFUNCTION("""COMPUTED_VALUE"""),"Homework AI is seeing strong demand, which may increase investor confidence.")</f>
        <v>Homework AI is seeing strong demand, which may increase investor confidence.</v>
      </c>
      <c r="E318" s="122" t="str">
        <f>IFERROR(__xludf.DUMMYFUNCTION("""COMPUTED_VALUE"""),"Positive")</f>
        <v>Positive</v>
      </c>
      <c r="F318" s="122">
        <f>IFERROR(__xludf.DUMMYFUNCTION("""COMPUTED_VALUE"""),0.03)</f>
        <v>0.03</v>
      </c>
      <c r="G318" s="122">
        <f>IFERROR(__xludf.DUMMYFUNCTION("""COMPUTED_VALUE"""),1.0)</f>
        <v>1</v>
      </c>
      <c r="H318" s="122" t="str">
        <f>IFERROR(__xludf.DUMMYFUNCTION("""COMPUTED_VALUE"""),"Active")</f>
        <v>Active</v>
      </c>
    </row>
    <row r="319">
      <c r="A319" s="131">
        <f>IFERROR(__xludf.DUMMYFUNCTION("""COMPUTED_VALUE"""),46169.33116898148)</f>
        <v>46169.33117</v>
      </c>
      <c r="B319" s="122" t="str">
        <f>IFERROR(__xludf.DUMMYFUNCTION("""COMPUTED_VALUE"""),"GAME")</f>
        <v>GAME</v>
      </c>
      <c r="C319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319" s="122" t="str">
        <f>IFERROR(__xludf.DUMMYFUNCTION("""COMPUTED_VALUE"""),"GameBox Media appears steady with no major changes reported.")</f>
        <v>GameBox Media appears steady with no major changes reported.</v>
      </c>
      <c r="E319" s="122" t="str">
        <f>IFERROR(__xludf.DUMMYFUNCTION("""COMPUTED_VALUE"""),"Neutral")</f>
        <v>Neutral</v>
      </c>
      <c r="F319" s="122">
        <f>IFERROR(__xludf.DUMMYFUNCTION("""COMPUTED_VALUE"""),0.0)</f>
        <v>0</v>
      </c>
      <c r="G319" s="122">
        <f>IFERROR(__xludf.DUMMYFUNCTION("""COMPUTED_VALUE"""),0.0)</f>
        <v>0</v>
      </c>
      <c r="H319" s="122" t="str">
        <f>IFERROR(__xludf.DUMMYFUNCTION("""COMPUTED_VALUE"""),"Active")</f>
        <v>Active</v>
      </c>
    </row>
    <row r="320">
      <c r="A320" s="131">
        <f>IFERROR(__xludf.DUMMYFUNCTION("""COMPUTED_VALUE"""),46169.33118055556)</f>
        <v>46169.33118</v>
      </c>
      <c r="B320" s="122" t="str">
        <f>IFERROR(__xludf.DUMMYFUNCTION("""COMPUTED_VALUE"""),"VRSE")</f>
        <v>VRSE</v>
      </c>
      <c r="C320" s="122" t="str">
        <f>IFERROR(__xludf.DUMMYFUNCTION("""COMPUTED_VALUE"""),"VerseVR remains stable as the Technology market shows normal activity.")</f>
        <v>VerseVR remains stable as the Technology market shows normal activity.</v>
      </c>
      <c r="D320" s="122" t="str">
        <f>IFERROR(__xludf.DUMMYFUNCTION("""COMPUTED_VALUE"""),"VerseVR appears steady with no major changes reported.")</f>
        <v>VerseVR appears steady with no major changes reported.</v>
      </c>
      <c r="E320" s="122" t="str">
        <f>IFERROR(__xludf.DUMMYFUNCTION("""COMPUTED_VALUE"""),"Neutral")</f>
        <v>Neutral</v>
      </c>
      <c r="F320" s="122">
        <f>IFERROR(__xludf.DUMMYFUNCTION("""COMPUTED_VALUE"""),0.0)</f>
        <v>0</v>
      </c>
      <c r="G320" s="122">
        <f>IFERROR(__xludf.DUMMYFUNCTION("""COMPUTED_VALUE"""),0.0)</f>
        <v>0</v>
      </c>
      <c r="H320" s="122" t="str">
        <f>IFERROR(__xludf.DUMMYFUNCTION("""COMPUTED_VALUE"""),"Active")</f>
        <v>Active</v>
      </c>
    </row>
    <row r="321">
      <c r="A321" s="131">
        <f>IFERROR(__xludf.DUMMYFUNCTION("""COMPUTED_VALUE"""),46169.331192129626)</f>
        <v>46169.33119</v>
      </c>
      <c r="B321" s="122" t="str">
        <f>IFERROR(__xludf.DUMMYFUNCTION("""COMPUTED_VALUE"""),"BYTE")</f>
        <v>BYTE</v>
      </c>
      <c r="C321" s="122" t="str">
        <f>IFERROR(__xludf.DUMMYFUNCTION("""COMPUTED_VALUE"""),"ByteWorks faces weaker demand and cautious investor sentiment.")</f>
        <v>ByteWorks faces weaker demand and cautious investor sentiment.</v>
      </c>
      <c r="D321" s="122" t="str">
        <f>IFERROR(__xludf.DUMMYFUNCTION("""COMPUTED_VALUE"""),"Investors are watching ByteWorks closely as demand weakens.")</f>
        <v>Investors are watching ByteWorks closely as demand weakens.</v>
      </c>
      <c r="E321" s="122" t="str">
        <f>IFERROR(__xludf.DUMMYFUNCTION("""COMPUTED_VALUE"""),"Negative")</f>
        <v>Negative</v>
      </c>
      <c r="F321" s="122">
        <f>IFERROR(__xludf.DUMMYFUNCTION("""COMPUTED_VALUE"""),-0.015)</f>
        <v>-0.015</v>
      </c>
      <c r="G321" s="122">
        <f>IFERROR(__xludf.DUMMYFUNCTION("""COMPUTED_VALUE"""),0.75)</f>
        <v>0.75</v>
      </c>
      <c r="H321" s="122" t="str">
        <f>IFERROR(__xludf.DUMMYFUNCTION("""COMPUTED_VALUE"""),"Active")</f>
        <v>Active</v>
      </c>
    </row>
    <row r="322">
      <c r="A322" s="131">
        <f>IFERROR(__xludf.DUMMYFUNCTION("""COMPUTED_VALUE"""),46169.331192129626)</f>
        <v>46169.33119</v>
      </c>
      <c r="B322" s="122" t="str">
        <f>IFERROR(__xludf.DUMMYFUNCTION("""COMPUTED_VALUE"""),"BANK")</f>
        <v>BANK</v>
      </c>
      <c r="C322" s="122" t="str">
        <f>IFERROR(__xludf.DUMMYFUNCTION("""COMPUTED_VALUE"""),"Tiger Bank remains stable as the Finance market shows normal activity.")</f>
        <v>Tiger Bank remains stable as the Finance market shows normal activity.</v>
      </c>
      <c r="D322" s="122" t="str">
        <f>IFERROR(__xludf.DUMMYFUNCTION("""COMPUTED_VALUE"""),"Tiger Bank appears steady with no major changes reported.")</f>
        <v>Tiger Bank appears steady with no major changes reported.</v>
      </c>
      <c r="E322" s="122" t="str">
        <f>IFERROR(__xludf.DUMMYFUNCTION("""COMPUTED_VALUE"""),"Neutral")</f>
        <v>Neutral</v>
      </c>
      <c r="F322" s="122">
        <f>IFERROR(__xludf.DUMMYFUNCTION("""COMPUTED_VALUE"""),0.0)</f>
        <v>0</v>
      </c>
      <c r="G322" s="122">
        <f>IFERROR(__xludf.DUMMYFUNCTION("""COMPUTED_VALUE"""),0.0)</f>
        <v>0</v>
      </c>
      <c r="H322" s="122" t="str">
        <f>IFERROR(__xludf.DUMMYFUNCTION("""COMPUTED_VALUE"""),"Active")</f>
        <v>Active</v>
      </c>
    </row>
    <row r="323">
      <c r="A323" s="131">
        <f>IFERROR(__xludf.DUMMYFUNCTION("""COMPUTED_VALUE"""),46169.3312037037)</f>
        <v>46169.3312</v>
      </c>
      <c r="B323" s="122" t="str">
        <f>IFERROR(__xludf.DUMMYFUNCTION("""COMPUTED_VALUE"""),"CRED")</f>
        <v>CRED</v>
      </c>
      <c r="C323" s="122" t="str">
        <f>IFERROR(__xludf.DUMMYFUNCTION("""COMPUTED_VALUE"""),"Credit Castle reports steady growth and improved market confidence.")</f>
        <v>Credit Castle reports steady growth and improved market confidence.</v>
      </c>
      <c r="D323" s="122" t="str">
        <f>IFERROR(__xludf.DUMMYFUNCTION("""COMPUTED_VALUE"""),"Credit Castle continues to show positive momentum with moderate risk.")</f>
        <v>Credit Castle continues to show positive momentum with moderate risk.</v>
      </c>
      <c r="E323" s="122" t="str">
        <f>IFERROR(__xludf.DUMMYFUNCTION("""COMPUTED_VALUE"""),"Positive")</f>
        <v>Positive</v>
      </c>
      <c r="F323" s="122">
        <f>IFERROR(__xludf.DUMMYFUNCTION("""COMPUTED_VALUE"""),0.015)</f>
        <v>0.015</v>
      </c>
      <c r="G323" s="122">
        <f>IFERROR(__xludf.DUMMYFUNCTION("""COMPUTED_VALUE"""),0.5)</f>
        <v>0.5</v>
      </c>
      <c r="H323" s="122" t="str">
        <f>IFERROR(__xludf.DUMMYFUNCTION("""COMPUTED_VALUE"""),"Active")</f>
        <v>Active</v>
      </c>
    </row>
    <row r="324">
      <c r="A324" s="131">
        <f>IFERROR(__xludf.DUMMYFUNCTION("""COMPUTED_VALUE"""),46169.33121527778)</f>
        <v>46169.33122</v>
      </c>
      <c r="B324" s="122" t="str">
        <f>IFERROR(__xludf.DUMMYFUNCTION("""COMPUTED_VALUE"""),"BOND")</f>
        <v>BOND</v>
      </c>
      <c r="C324" s="122" t="str">
        <f>IFERROR(__xludf.DUMMYFUNCTION("""COMPUTED_VALUE"""),"BondBridge reports steady growth and improved market confidence.")</f>
        <v>BondBridge reports steady growth and improved market confidence.</v>
      </c>
      <c r="D324" s="122" t="str">
        <f>IFERROR(__xludf.DUMMYFUNCTION("""COMPUTED_VALUE"""),"BondBridge continues to show positive momentum with moderate risk.")</f>
        <v>BondBridge continues to show positive momentum with moderate risk.</v>
      </c>
      <c r="E324" s="122" t="str">
        <f>IFERROR(__xludf.DUMMYFUNCTION("""COMPUTED_VALUE"""),"Positive")</f>
        <v>Positive</v>
      </c>
      <c r="F324" s="122">
        <f>IFERROR(__xludf.DUMMYFUNCTION("""COMPUTED_VALUE"""),0.015)</f>
        <v>0.015</v>
      </c>
      <c r="G324" s="122">
        <f>IFERROR(__xludf.DUMMYFUNCTION("""COMPUTED_VALUE"""),0.5)</f>
        <v>0.5</v>
      </c>
      <c r="H324" s="122" t="str">
        <f>IFERROR(__xludf.DUMMYFUNCTION("""COMPUTED_VALUE"""),"Active")</f>
        <v>Active</v>
      </c>
    </row>
    <row r="325">
      <c r="A325" s="131">
        <f>IFERROR(__xludf.DUMMYFUNCTION("""COMPUTED_VALUE"""),46169.33121527778)</f>
        <v>46169.33122</v>
      </c>
      <c r="B325" s="122" t="str">
        <f>IFERROR(__xludf.DUMMYFUNCTION("""COMPUTED_VALUE"""),"INSR")</f>
        <v>INSR</v>
      </c>
      <c r="C325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325" s="122" t="str">
        <f>IFERROR(__xludf.DUMMYFUNCTION("""COMPUTED_VALUE"""),"Shield Insurance appears steady with no major changes reported.")</f>
        <v>Shield Insurance appears steady with no major changes reported.</v>
      </c>
      <c r="E325" s="122" t="str">
        <f>IFERROR(__xludf.DUMMYFUNCTION("""COMPUTED_VALUE"""),"Neutral")</f>
        <v>Neutral</v>
      </c>
      <c r="F325" s="122">
        <f>IFERROR(__xludf.DUMMYFUNCTION("""COMPUTED_VALUE"""),0.0)</f>
        <v>0</v>
      </c>
      <c r="G325" s="122">
        <f>IFERROR(__xludf.DUMMYFUNCTION("""COMPUTED_VALUE"""),0.0)</f>
        <v>0</v>
      </c>
      <c r="H325" s="122" t="str">
        <f>IFERROR(__xludf.DUMMYFUNCTION("""COMPUTED_VALUE"""),"Active")</f>
        <v>Active</v>
      </c>
    </row>
    <row r="326">
      <c r="A326" s="131">
        <f>IFERROR(__xludf.DUMMYFUNCTION("""COMPUTED_VALUE"""),46169.33122685185)</f>
        <v>46169.33123</v>
      </c>
      <c r="B326" s="122" t="str">
        <f>IFERROR(__xludf.DUMMYFUNCTION("""COMPUTED_VALUE"""),"LOAN")</f>
        <v>LOAN</v>
      </c>
      <c r="C326" s="122" t="str">
        <f>IFERROR(__xludf.DUMMYFUNCTION("""COMPUTED_VALUE"""),"LoanLab remains stable as the Finance market shows normal activity.")</f>
        <v>LoanLab remains stable as the Finance market shows normal activity.</v>
      </c>
      <c r="D326" s="122" t="str">
        <f>IFERROR(__xludf.DUMMYFUNCTION("""COMPUTED_VALUE"""),"LoanLab appears steady with no major changes reported.")</f>
        <v>LoanLab appears steady with no major changes reported.</v>
      </c>
      <c r="E326" s="122" t="str">
        <f>IFERROR(__xludf.DUMMYFUNCTION("""COMPUTED_VALUE"""),"Neutral")</f>
        <v>Neutral</v>
      </c>
      <c r="F326" s="122">
        <f>IFERROR(__xludf.DUMMYFUNCTION("""COMPUTED_VALUE"""),0.0)</f>
        <v>0</v>
      </c>
      <c r="G326" s="122">
        <f>IFERROR(__xludf.DUMMYFUNCTION("""COMPUTED_VALUE"""),0.0)</f>
        <v>0</v>
      </c>
      <c r="H326" s="122" t="str">
        <f>IFERROR(__xludf.DUMMYFUNCTION("""COMPUTED_VALUE"""),"Active")</f>
        <v>Active</v>
      </c>
    </row>
    <row r="327">
      <c r="A327" s="131">
        <f>IFERROR(__xludf.DUMMYFUNCTION("""COMPUTED_VALUE"""),46169.331238425926)</f>
        <v>46169.33124</v>
      </c>
      <c r="B327" s="122" t="str">
        <f>IFERROR(__xludf.DUMMYFUNCTION("""COMPUTED_VALUE"""),"LUXE")</f>
        <v>LUXE</v>
      </c>
      <c r="C327" s="122" t="str">
        <f>IFERROR(__xludf.DUMMYFUNCTION("""COMPUTED_VALUE"""),"Luxury Locker reports steady growth and improved market confidence.")</f>
        <v>Luxury Locker reports steady growth and improved market confidence.</v>
      </c>
      <c r="D327" s="122" t="str">
        <f>IFERROR(__xludf.DUMMYFUNCTION("""COMPUTED_VALUE"""),"Luxury Locker continues to show positive momentum with moderate risk.")</f>
        <v>Luxury Locker continues to show positive momentum with moderate risk.</v>
      </c>
      <c r="E327" s="122" t="str">
        <f>IFERROR(__xludf.DUMMYFUNCTION("""COMPUTED_VALUE"""),"Positive")</f>
        <v>Positive</v>
      </c>
      <c r="F327" s="122">
        <f>IFERROR(__xludf.DUMMYFUNCTION("""COMPUTED_VALUE"""),0.015)</f>
        <v>0.015</v>
      </c>
      <c r="G327" s="122">
        <f>IFERROR(__xludf.DUMMYFUNCTION("""COMPUTED_VALUE"""),0.5)</f>
        <v>0.5</v>
      </c>
      <c r="H327" s="122" t="str">
        <f>IFERROR(__xludf.DUMMYFUNCTION("""COMPUTED_VALUE"""),"Active")</f>
        <v>Active</v>
      </c>
    </row>
    <row r="328">
      <c r="A328" s="131">
        <f>IFERROR(__xludf.DUMMYFUNCTION("""COMPUTED_VALUE"""),46169.33125)</f>
        <v>46169.33125</v>
      </c>
      <c r="B328" s="122" t="str">
        <f>IFERROR(__xludf.DUMMYFUNCTION("""COMPUTED_VALUE"""),"DRIP")</f>
        <v>DRIP</v>
      </c>
      <c r="C328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328" s="122" t="str">
        <f>IFERROR(__xludf.DUMMYFUNCTION("""COMPUTED_VALUE"""),"Drip Streetwear appears steady with no major changes reported.")</f>
        <v>Drip Streetwear appears steady with no major changes reported.</v>
      </c>
      <c r="E328" s="122" t="str">
        <f>IFERROR(__xludf.DUMMYFUNCTION("""COMPUTED_VALUE"""),"Neutral")</f>
        <v>Neutral</v>
      </c>
      <c r="F328" s="122">
        <f>IFERROR(__xludf.DUMMYFUNCTION("""COMPUTED_VALUE"""),0.0)</f>
        <v>0</v>
      </c>
      <c r="G328" s="122">
        <f>IFERROR(__xludf.DUMMYFUNCTION("""COMPUTED_VALUE"""),0.0)</f>
        <v>0</v>
      </c>
      <c r="H328" s="122" t="str">
        <f>IFERROR(__xludf.DUMMYFUNCTION("""COMPUTED_VALUE"""),"Active")</f>
        <v>Active</v>
      </c>
    </row>
    <row r="329">
      <c r="A329" s="131">
        <f>IFERROR(__xludf.DUMMYFUNCTION("""COMPUTED_VALUE"""),46169.33126157407)</f>
        <v>46169.33126</v>
      </c>
      <c r="B329" s="122" t="str">
        <f>IFERROR(__xludf.DUMMYFUNCTION("""COMPUTED_VALUE"""),"KICK")</f>
        <v>KICK</v>
      </c>
      <c r="C329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329" s="122" t="str">
        <f>IFERROR(__xludf.DUMMYFUNCTION("""COMPUTED_VALUE"""),"KickDrop Sneakers appears steady with no major changes reported.")</f>
        <v>KickDrop Sneakers appears steady with no major changes reported.</v>
      </c>
      <c r="E329" s="122" t="str">
        <f>IFERROR(__xludf.DUMMYFUNCTION("""COMPUTED_VALUE"""),"Neutral")</f>
        <v>Neutral</v>
      </c>
      <c r="F329" s="122">
        <f>IFERROR(__xludf.DUMMYFUNCTION("""COMPUTED_VALUE"""),0.0)</f>
        <v>0</v>
      </c>
      <c r="G329" s="122">
        <f>IFERROR(__xludf.DUMMYFUNCTION("""COMPUTED_VALUE"""),0.0)</f>
        <v>0</v>
      </c>
      <c r="H329" s="122" t="str">
        <f>IFERROR(__xludf.DUMMYFUNCTION("""COMPUTED_VALUE"""),"Active")</f>
        <v>Active</v>
      </c>
    </row>
    <row r="330">
      <c r="A330" s="131">
        <f>IFERROR(__xludf.DUMMYFUNCTION("""COMPUTED_VALUE"""),46169.33127314815)</f>
        <v>46169.33127</v>
      </c>
      <c r="B330" s="122" t="str">
        <f>IFERROR(__xludf.DUMMYFUNCTION("""COMPUTED_VALUE"""),"GLAM")</f>
        <v>GLAM</v>
      </c>
      <c r="C330" s="122" t="str">
        <f>IFERROR(__xludf.DUMMYFUNCTION("""COMPUTED_VALUE"""),"Glow Cosmetics faces weaker demand and cautious investor sentiment.")</f>
        <v>Glow Cosmetics faces weaker demand and cautious investor sentiment.</v>
      </c>
      <c r="D330" s="122" t="str">
        <f>IFERROR(__xludf.DUMMYFUNCTION("""COMPUTED_VALUE"""),"Investors are watching Glow Cosmetics closely as demand weakens.")</f>
        <v>Investors are watching Glow Cosmetics closely as demand weakens.</v>
      </c>
      <c r="E330" s="122" t="str">
        <f>IFERROR(__xludf.DUMMYFUNCTION("""COMPUTED_VALUE"""),"Negative")</f>
        <v>Negative</v>
      </c>
      <c r="F330" s="122">
        <f>IFERROR(__xludf.DUMMYFUNCTION("""COMPUTED_VALUE"""),-0.015)</f>
        <v>-0.015</v>
      </c>
      <c r="G330" s="122">
        <f>IFERROR(__xludf.DUMMYFUNCTION("""COMPUTED_VALUE"""),0.75)</f>
        <v>0.75</v>
      </c>
      <c r="H330" s="122" t="str">
        <f>IFERROR(__xludf.DUMMYFUNCTION("""COMPUTED_VALUE"""),"Active")</f>
        <v>Active</v>
      </c>
    </row>
    <row r="331">
      <c r="A331" s="131">
        <f>IFERROR(__xludf.DUMMYFUNCTION("""COMPUTED_VALUE"""),46169.33127314815)</f>
        <v>46169.33127</v>
      </c>
      <c r="B331" s="122" t="str">
        <f>IFERROR(__xludf.DUMMYFUNCTION("""COMPUTED_VALUE"""),"BAGG")</f>
        <v>BAGG</v>
      </c>
      <c r="C331" s="122" t="str">
        <f>IFERROR(__xludf.DUMMYFUNCTION("""COMPUTED_VALUE"""),"BagVault faces weaker demand and cautious investor sentiment.")</f>
        <v>BagVault faces weaker demand and cautious investor sentiment.</v>
      </c>
      <c r="D331" s="122" t="str">
        <f>IFERROR(__xludf.DUMMYFUNCTION("""COMPUTED_VALUE"""),"Investors are watching BagVault closely as demand weakens.")</f>
        <v>Investors are watching BagVault closely as demand weakens.</v>
      </c>
      <c r="E331" s="122" t="str">
        <f>IFERROR(__xludf.DUMMYFUNCTION("""COMPUTED_VALUE"""),"Negative")</f>
        <v>Negative</v>
      </c>
      <c r="F331" s="122">
        <f>IFERROR(__xludf.DUMMYFUNCTION("""COMPUTED_VALUE"""),-0.015)</f>
        <v>-0.015</v>
      </c>
      <c r="G331" s="122">
        <f>IFERROR(__xludf.DUMMYFUNCTION("""COMPUTED_VALUE"""),0.75)</f>
        <v>0.75</v>
      </c>
      <c r="H331" s="122" t="str">
        <f>IFERROR(__xludf.DUMMYFUNCTION("""COMPUTED_VALUE"""),"Active")</f>
        <v>Active</v>
      </c>
    </row>
    <row r="332">
      <c r="A332" s="131">
        <f>IFERROR(__xludf.DUMMYFUNCTION("""COMPUTED_VALUE"""),46169.33127314815)</f>
        <v>46169.33127</v>
      </c>
      <c r="B332" s="122" t="str">
        <f>IFERROR(__xludf.DUMMYFUNCTION("""COMPUTED_VALUE"""),"FAST")</f>
        <v>FAST</v>
      </c>
      <c r="C332" s="122" t="str">
        <f>IFERROR(__xludf.DUMMYFUNCTION("""COMPUTED_VALUE"""),"Flash Logistics surges as demand rises across the Logistics sector.")</f>
        <v>Flash Logistics surges as demand rises across the Logistics sector.</v>
      </c>
      <c r="D332" s="122" t="str">
        <f>IFERROR(__xludf.DUMMYFUNCTION("""COMPUTED_VALUE"""),"Flash Logistics is seeing strong demand, which may increase investor confidence.")</f>
        <v>Flash Logistics is seeing strong demand, which may increase investor confidence.</v>
      </c>
      <c r="E332" s="122" t="str">
        <f>IFERROR(__xludf.DUMMYFUNCTION("""COMPUTED_VALUE"""),"Positive")</f>
        <v>Positive</v>
      </c>
      <c r="F332" s="122">
        <f>IFERROR(__xludf.DUMMYFUNCTION("""COMPUTED_VALUE"""),0.03)</f>
        <v>0.03</v>
      </c>
      <c r="G332" s="122">
        <f>IFERROR(__xludf.DUMMYFUNCTION("""COMPUTED_VALUE"""),1.0)</f>
        <v>1</v>
      </c>
      <c r="H332" s="122" t="str">
        <f>IFERROR(__xludf.DUMMYFUNCTION("""COMPUTED_VALUE"""),"Active")</f>
        <v>Active</v>
      </c>
    </row>
    <row r="333">
      <c r="A333" s="131">
        <f>IFERROR(__xludf.DUMMYFUNCTION("""COMPUTED_VALUE"""),46169.33128472222)</f>
        <v>46169.33128</v>
      </c>
      <c r="B333" s="122" t="str">
        <f>IFERROR(__xludf.DUMMYFUNCTION("""COMPUTED_VALUE"""),"SHIP")</f>
        <v>SHIP</v>
      </c>
      <c r="C333" s="122" t="str">
        <f>IFERROR(__xludf.DUMMYFUNCTION("""COMPUTED_VALUE"""),"Seoul Shipping drops sharply after major concerns hit the market.")</f>
        <v>Seoul Shipping drops sharply after major concerns hit the market.</v>
      </c>
      <c r="D333" s="122" t="str">
        <f>IFERROR(__xludf.DUMMYFUNCTION("""COMPUTED_VALUE"""),"Seoul Shipping is under pressure as investors react to worsening conditions.")</f>
        <v>Seoul Shipping is under pressure as investors react to worsening conditions.</v>
      </c>
      <c r="E333" s="122" t="str">
        <f>IFERROR(__xludf.DUMMYFUNCTION("""COMPUTED_VALUE"""),"Negative")</f>
        <v>Negative</v>
      </c>
      <c r="F333" s="122">
        <f>IFERROR(__xludf.DUMMYFUNCTION("""COMPUTED_VALUE"""),-0.04)</f>
        <v>-0.04</v>
      </c>
      <c r="G333" s="122">
        <f>IFERROR(__xludf.DUMMYFUNCTION("""COMPUTED_VALUE"""),2.0)</f>
        <v>2</v>
      </c>
      <c r="H333" s="122" t="str">
        <f>IFERROR(__xludf.DUMMYFUNCTION("""COMPUTED_VALUE"""),"Active")</f>
        <v>Active</v>
      </c>
    </row>
    <row r="334">
      <c r="A334" s="131">
        <f>IFERROR(__xludf.DUMMYFUNCTION("""COMPUTED_VALUE"""),46169.331296296295)</f>
        <v>46169.3313</v>
      </c>
      <c r="B334" s="122" t="str">
        <f>IFERROR(__xludf.DUMMYFUNCTION("""COMPUTED_VALUE"""),"DRON")</f>
        <v>DRON</v>
      </c>
      <c r="C334" s="122" t="str">
        <f>IFERROR(__xludf.DUMMYFUNCTION("""COMPUTED_VALUE"""),"DroneDrop faces weaker demand and cautious investor sentiment.")</f>
        <v>DroneDrop faces weaker demand and cautious investor sentiment.</v>
      </c>
      <c r="D334" s="122" t="str">
        <f>IFERROR(__xludf.DUMMYFUNCTION("""COMPUTED_VALUE"""),"Investors are watching DroneDrop closely as demand weakens.")</f>
        <v>Investors are watching DroneDrop closely as demand weakens.</v>
      </c>
      <c r="E334" s="122" t="str">
        <f>IFERROR(__xludf.DUMMYFUNCTION("""COMPUTED_VALUE"""),"Negative")</f>
        <v>Negative</v>
      </c>
      <c r="F334" s="122">
        <f>IFERROR(__xludf.DUMMYFUNCTION("""COMPUTED_VALUE"""),-0.015)</f>
        <v>-0.015</v>
      </c>
      <c r="G334" s="122">
        <f>IFERROR(__xludf.DUMMYFUNCTION("""COMPUTED_VALUE"""),0.75)</f>
        <v>0.75</v>
      </c>
      <c r="H334" s="122" t="str">
        <f>IFERROR(__xludf.DUMMYFUNCTION("""COMPUTED_VALUE"""),"Active")</f>
        <v>Active</v>
      </c>
    </row>
    <row r="335">
      <c r="A335" s="131">
        <f>IFERROR(__xludf.DUMMYFUNCTION("""COMPUTED_VALUE"""),46169.331296296295)</f>
        <v>46169.3313</v>
      </c>
      <c r="B335" s="122" t="str">
        <f>IFERROR(__xludf.DUMMYFUNCTION("""COMPUTED_VALUE"""),"RIDE")</f>
        <v>RIDE</v>
      </c>
      <c r="C335" s="122" t="str">
        <f>IFERROR(__xludf.DUMMYFUNCTION("""COMPUTED_VALUE"""),"QuickRide faces weaker demand and cautious investor sentiment.")</f>
        <v>QuickRide faces weaker demand and cautious investor sentiment.</v>
      </c>
      <c r="D335" s="122" t="str">
        <f>IFERROR(__xludf.DUMMYFUNCTION("""COMPUTED_VALUE"""),"Investors are watching QuickRide closely as demand weakens.")</f>
        <v>Investors are watching QuickRide closely as demand weakens.</v>
      </c>
      <c r="E335" s="122" t="str">
        <f>IFERROR(__xludf.DUMMYFUNCTION("""COMPUTED_VALUE"""),"Negative")</f>
        <v>Negative</v>
      </c>
      <c r="F335" s="122">
        <f>IFERROR(__xludf.DUMMYFUNCTION("""COMPUTED_VALUE"""),-0.015)</f>
        <v>-0.015</v>
      </c>
      <c r="G335" s="122">
        <f>IFERROR(__xludf.DUMMYFUNCTION("""COMPUTED_VALUE"""),0.75)</f>
        <v>0.75</v>
      </c>
      <c r="H335" s="122" t="str">
        <f>IFERROR(__xludf.DUMMYFUNCTION("""COMPUTED_VALUE"""),"Active")</f>
        <v>Active</v>
      </c>
    </row>
    <row r="336">
      <c r="A336" s="131">
        <f>IFERROR(__xludf.DUMMYFUNCTION("""COMPUTED_VALUE"""),46169.33130787037)</f>
        <v>46169.33131</v>
      </c>
      <c r="B336" s="122" t="str">
        <f>IFERROR(__xludf.DUMMYFUNCTION("""COMPUTED_VALUE"""),"RAIL")</f>
        <v>RAIL</v>
      </c>
      <c r="C336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336" s="122" t="str">
        <f>IFERROR(__xludf.DUMMYFUNCTION("""COMPUTED_VALUE"""),"MetroRail Corp appears steady with no major changes reported.")</f>
        <v>MetroRail Corp appears steady with no major changes reported.</v>
      </c>
      <c r="E336" s="122" t="str">
        <f>IFERROR(__xludf.DUMMYFUNCTION("""COMPUTED_VALUE"""),"Neutral")</f>
        <v>Neutral</v>
      </c>
      <c r="F336" s="122">
        <f>IFERROR(__xludf.DUMMYFUNCTION("""COMPUTED_VALUE"""),0.0)</f>
        <v>0</v>
      </c>
      <c r="G336" s="122">
        <f>IFERROR(__xludf.DUMMYFUNCTION("""COMPUTED_VALUE"""),0.0)</f>
        <v>0</v>
      </c>
      <c r="H336" s="122" t="str">
        <f>IFERROR(__xludf.DUMMYFUNCTION("""COMPUTED_VALUE"""),"Active")</f>
        <v>Active</v>
      </c>
    </row>
    <row r="337">
      <c r="A337" s="131">
        <f>IFERROR(__xludf.DUMMYFUNCTION("""COMPUTED_VALUE"""),46169.33131944444)</f>
        <v>46169.33132</v>
      </c>
      <c r="B337" s="122" t="str">
        <f>IFERROR(__xludf.DUMMYFUNCTION("""COMPUTED_VALUE"""),"MEDX")</f>
        <v>MEDX</v>
      </c>
      <c r="C337" s="122" t="str">
        <f>IFERROR(__xludf.DUMMYFUNCTION("""COMPUTED_VALUE"""),"MediCore drops sharply after major concerns hit the market.")</f>
        <v>MediCore drops sharply after major concerns hit the market.</v>
      </c>
      <c r="D337" s="122" t="str">
        <f>IFERROR(__xludf.DUMMYFUNCTION("""COMPUTED_VALUE"""),"MediCore is under pressure as investors react to worsening conditions.")</f>
        <v>MediCore is under pressure as investors react to worsening conditions.</v>
      </c>
      <c r="E337" s="122" t="str">
        <f>IFERROR(__xludf.DUMMYFUNCTION("""COMPUTED_VALUE"""),"Negative")</f>
        <v>Negative</v>
      </c>
      <c r="F337" s="122">
        <f>IFERROR(__xludf.DUMMYFUNCTION("""COMPUTED_VALUE"""),-0.04)</f>
        <v>-0.04</v>
      </c>
      <c r="G337" s="122">
        <f>IFERROR(__xludf.DUMMYFUNCTION("""COMPUTED_VALUE"""),2.0)</f>
        <v>2</v>
      </c>
      <c r="H337" s="122" t="str">
        <f>IFERROR(__xludf.DUMMYFUNCTION("""COMPUTED_VALUE"""),"Active")</f>
        <v>Active</v>
      </c>
    </row>
    <row r="338">
      <c r="A338" s="131">
        <f>IFERROR(__xludf.DUMMYFUNCTION("""COMPUTED_VALUE"""),46169.33131944444)</f>
        <v>46169.33132</v>
      </c>
      <c r="B338" s="122" t="str">
        <f>IFERROR(__xludf.DUMMYFUNCTION("""COMPUTED_VALUE"""),"GYMX")</f>
        <v>GYMX</v>
      </c>
      <c r="C338" s="122" t="str">
        <f>IFERROR(__xludf.DUMMYFUNCTION("""COMPUTED_VALUE"""),"GymX Fitness faces weaker demand and cautious investor sentiment.")</f>
        <v>GymX Fitness faces weaker demand and cautious investor sentiment.</v>
      </c>
      <c r="D338" s="122" t="str">
        <f>IFERROR(__xludf.DUMMYFUNCTION("""COMPUTED_VALUE"""),"Investors are watching GymX Fitness closely as demand weakens.")</f>
        <v>Investors are watching GymX Fitness closely as demand weakens.</v>
      </c>
      <c r="E338" s="122" t="str">
        <f>IFERROR(__xludf.DUMMYFUNCTION("""COMPUTED_VALUE"""),"Negative")</f>
        <v>Negative</v>
      </c>
      <c r="F338" s="122">
        <f>IFERROR(__xludf.DUMMYFUNCTION("""COMPUTED_VALUE"""),-0.015)</f>
        <v>-0.015</v>
      </c>
      <c r="G338" s="122">
        <f>IFERROR(__xludf.DUMMYFUNCTION("""COMPUTED_VALUE"""),0.75)</f>
        <v>0.75</v>
      </c>
      <c r="H338" s="122" t="str">
        <f>IFERROR(__xludf.DUMMYFUNCTION("""COMPUTED_VALUE"""),"Active")</f>
        <v>Active</v>
      </c>
    </row>
    <row r="339">
      <c r="A339" s="131">
        <f>IFERROR(__xludf.DUMMYFUNCTION("""COMPUTED_VALUE"""),46169.33133101852)</f>
        <v>46169.33133</v>
      </c>
      <c r="B339" s="122" t="str">
        <f>IFERROR(__xludf.DUMMYFUNCTION("""COMPUTED_VALUE"""),"VITA")</f>
        <v>VITA</v>
      </c>
      <c r="C339" s="122" t="str">
        <f>IFERROR(__xludf.DUMMYFUNCTION("""COMPUTED_VALUE"""),"VitaPlus reports steady growth and improved market confidence.")</f>
        <v>VitaPlus reports steady growth and improved market confidence.</v>
      </c>
      <c r="D339" s="122" t="str">
        <f>IFERROR(__xludf.DUMMYFUNCTION("""COMPUTED_VALUE"""),"VitaPlus continues to show positive momentum with moderate risk.")</f>
        <v>VitaPlus continues to show positive momentum with moderate risk.</v>
      </c>
      <c r="E339" s="122" t="str">
        <f>IFERROR(__xludf.DUMMYFUNCTION("""COMPUTED_VALUE"""),"Positive")</f>
        <v>Positive</v>
      </c>
      <c r="F339" s="122">
        <f>IFERROR(__xludf.DUMMYFUNCTION("""COMPUTED_VALUE"""),0.015)</f>
        <v>0.015</v>
      </c>
      <c r="G339" s="122">
        <f>IFERROR(__xludf.DUMMYFUNCTION("""COMPUTED_VALUE"""),0.5)</f>
        <v>0.5</v>
      </c>
      <c r="H339" s="122" t="str">
        <f>IFERROR(__xludf.DUMMYFUNCTION("""COMPUTED_VALUE"""),"Active")</f>
        <v>Active</v>
      </c>
    </row>
    <row r="340">
      <c r="A340" s="131">
        <f>IFERROR(__xludf.DUMMYFUNCTION("""COMPUTED_VALUE"""),46169.33133101852)</f>
        <v>46169.33133</v>
      </c>
      <c r="B340" s="122" t="str">
        <f>IFERROR(__xludf.DUMMYFUNCTION("""COMPUTED_VALUE"""),"CARE")</f>
        <v>CARE</v>
      </c>
      <c r="C340" s="122" t="str">
        <f>IFERROR(__xludf.DUMMYFUNCTION("""COMPUTED_VALUE"""),"CareCloud reports steady growth and improved market confidence.")</f>
        <v>CareCloud reports steady growth and improved market confidence.</v>
      </c>
      <c r="D340" s="122" t="str">
        <f>IFERROR(__xludf.DUMMYFUNCTION("""COMPUTED_VALUE"""),"CareCloud continues to show positive momentum with moderate risk.")</f>
        <v>CareCloud continues to show positive momentum with moderate risk.</v>
      </c>
      <c r="E340" s="122" t="str">
        <f>IFERROR(__xludf.DUMMYFUNCTION("""COMPUTED_VALUE"""),"Positive")</f>
        <v>Positive</v>
      </c>
      <c r="F340" s="122">
        <f>IFERROR(__xludf.DUMMYFUNCTION("""COMPUTED_VALUE"""),0.015)</f>
        <v>0.015</v>
      </c>
      <c r="G340" s="122">
        <f>IFERROR(__xludf.DUMMYFUNCTION("""COMPUTED_VALUE"""),0.5)</f>
        <v>0.5</v>
      </c>
      <c r="H340" s="122" t="str">
        <f>IFERROR(__xludf.DUMMYFUNCTION("""COMPUTED_VALUE"""),"Active")</f>
        <v>Active</v>
      </c>
    </row>
    <row r="341">
      <c r="A341" s="131">
        <f>IFERROR(__xludf.DUMMYFUNCTION("""COMPUTED_VALUE"""),46169.331342592595)</f>
        <v>46169.33134</v>
      </c>
      <c r="B341" s="122" t="str">
        <f>IFERROR(__xludf.DUMMYFUNCTION("""COMPUTED_VALUE"""),"DENT")</f>
        <v>DENT</v>
      </c>
      <c r="C341" s="122" t="str">
        <f>IFERROR(__xludf.DUMMYFUNCTION("""COMPUTED_VALUE"""),"SmileWorks faces weaker demand and cautious investor sentiment.")</f>
        <v>SmileWorks faces weaker demand and cautious investor sentiment.</v>
      </c>
      <c r="D341" s="122" t="str">
        <f>IFERROR(__xludf.DUMMYFUNCTION("""COMPUTED_VALUE"""),"Investors are watching SmileWorks closely as demand weakens.")</f>
        <v>Investors are watching SmileWorks closely as demand weakens.</v>
      </c>
      <c r="E341" s="122" t="str">
        <f>IFERROR(__xludf.DUMMYFUNCTION("""COMPUTED_VALUE"""),"Negative")</f>
        <v>Negative</v>
      </c>
      <c r="F341" s="122">
        <f>IFERROR(__xludf.DUMMYFUNCTION("""COMPUTED_VALUE"""),-0.015)</f>
        <v>-0.015</v>
      </c>
      <c r="G341" s="122">
        <f>IFERROR(__xludf.DUMMYFUNCTION("""COMPUTED_VALUE"""),0.75)</f>
        <v>0.75</v>
      </c>
      <c r="H341" s="122" t="str">
        <f>IFERROR(__xludf.DUMMYFUNCTION("""COMPUTED_VALUE"""),"Active")</f>
        <v>Active</v>
      </c>
    </row>
    <row r="342">
      <c r="A342" s="131">
        <f>IFERROR(__xludf.DUMMYFUNCTION("""COMPUTED_VALUE"""),46169.331354166665)</f>
        <v>46169.33135</v>
      </c>
      <c r="B342" s="122" t="str">
        <f>IFERROR(__xludf.DUMMYFUNCTION("""COMPUTED_VALUE"""),"EDUX")</f>
        <v>EDUX</v>
      </c>
      <c r="C342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342" s="122" t="str">
        <f>IFERROR(__xludf.DUMMYFUNCTION("""COMPUTED_VALUE"""),"EduMax Learning appears steady with no major changes reported.")</f>
        <v>EduMax Learning appears steady with no major changes reported.</v>
      </c>
      <c r="E342" s="122" t="str">
        <f>IFERROR(__xludf.DUMMYFUNCTION("""COMPUTED_VALUE"""),"Neutral")</f>
        <v>Neutral</v>
      </c>
      <c r="F342" s="122">
        <f>IFERROR(__xludf.DUMMYFUNCTION("""COMPUTED_VALUE"""),0.0)</f>
        <v>0</v>
      </c>
      <c r="G342" s="122">
        <f>IFERROR(__xludf.DUMMYFUNCTION("""COMPUTED_VALUE"""),0.0)</f>
        <v>0</v>
      </c>
      <c r="H342" s="122" t="str">
        <f>IFERROR(__xludf.DUMMYFUNCTION("""COMPUTED_VALUE"""),"Active")</f>
        <v>Active</v>
      </c>
    </row>
    <row r="343">
      <c r="A343" s="131">
        <f>IFERROR(__xludf.DUMMYFUNCTION("""COMPUTED_VALUE"""),46169.331354166665)</f>
        <v>46169.33135</v>
      </c>
      <c r="B343" s="122" t="str">
        <f>IFERROR(__xludf.DUMMYFUNCTION("""COMPUTED_VALUE"""),"BOOK")</f>
        <v>BOOK</v>
      </c>
      <c r="C343" s="122" t="str">
        <f>IFERROR(__xludf.DUMMYFUNCTION("""COMPUTED_VALUE"""),"BookBridge remains stable as the Education market shows normal activity.")</f>
        <v>BookBridge remains stable as the Education market shows normal activity.</v>
      </c>
      <c r="D343" s="122" t="str">
        <f>IFERROR(__xludf.DUMMYFUNCTION("""COMPUTED_VALUE"""),"BookBridge appears steady with no major changes reported.")</f>
        <v>BookBridge appears steady with no major changes reported.</v>
      </c>
      <c r="E343" s="122" t="str">
        <f>IFERROR(__xludf.DUMMYFUNCTION("""COMPUTED_VALUE"""),"Neutral")</f>
        <v>Neutral</v>
      </c>
      <c r="F343" s="122">
        <f>IFERROR(__xludf.DUMMYFUNCTION("""COMPUTED_VALUE"""),0.0)</f>
        <v>0</v>
      </c>
      <c r="G343" s="122">
        <f>IFERROR(__xludf.DUMMYFUNCTION("""COMPUTED_VALUE"""),0.0)</f>
        <v>0</v>
      </c>
      <c r="H343" s="122" t="str">
        <f>IFERROR(__xludf.DUMMYFUNCTION("""COMPUTED_VALUE"""),"Active")</f>
        <v>Active</v>
      </c>
    </row>
    <row r="344">
      <c r="A344" s="131">
        <f>IFERROR(__xludf.DUMMYFUNCTION("""COMPUTED_VALUE"""),46169.33136574074)</f>
        <v>46169.33137</v>
      </c>
      <c r="B344" s="122" t="str">
        <f>IFERROR(__xludf.DUMMYFUNCTION("""COMPUTED_VALUE"""),"TUTR")</f>
        <v>TUTR</v>
      </c>
      <c r="C344" s="122" t="str">
        <f>IFERROR(__xludf.DUMMYFUNCTION("""COMPUTED_VALUE"""),"TutorTown faces weaker demand and cautious investor sentiment.")</f>
        <v>TutorTown faces weaker demand and cautious investor sentiment.</v>
      </c>
      <c r="D344" s="122" t="str">
        <f>IFERROR(__xludf.DUMMYFUNCTION("""COMPUTED_VALUE"""),"Investors are watching TutorTown closely as demand weakens.")</f>
        <v>Investors are watching TutorTown closely as demand weakens.</v>
      </c>
      <c r="E344" s="122" t="str">
        <f>IFERROR(__xludf.DUMMYFUNCTION("""COMPUTED_VALUE"""),"Negative")</f>
        <v>Negative</v>
      </c>
      <c r="F344" s="122">
        <f>IFERROR(__xludf.DUMMYFUNCTION("""COMPUTED_VALUE"""),-0.015)</f>
        <v>-0.015</v>
      </c>
      <c r="G344" s="122">
        <f>IFERROR(__xludf.DUMMYFUNCTION("""COMPUTED_VALUE"""),0.75)</f>
        <v>0.75</v>
      </c>
      <c r="H344" s="122" t="str">
        <f>IFERROR(__xludf.DUMMYFUNCTION("""COMPUTED_VALUE"""),"Active")</f>
        <v>Active</v>
      </c>
    </row>
    <row r="345">
      <c r="A345" s="131">
        <f>IFERROR(__xludf.DUMMYFUNCTION("""COMPUTED_VALUE"""),46169.33136574074)</f>
        <v>46169.33137</v>
      </c>
      <c r="B345" s="122" t="str">
        <f>IFERROR(__xludf.DUMMYFUNCTION("""COMPUTED_VALUE"""),"LANG")</f>
        <v>LANG</v>
      </c>
      <c r="C345" s="122" t="str">
        <f>IFERROR(__xludf.DUMMYFUNCTION("""COMPUTED_VALUE"""),"LinguaLab remains stable as the Education market shows normal activity.")</f>
        <v>LinguaLab remains stable as the Education market shows normal activity.</v>
      </c>
      <c r="D345" s="122" t="str">
        <f>IFERROR(__xludf.DUMMYFUNCTION("""COMPUTED_VALUE"""),"LinguaLab appears steady with no major changes reported.")</f>
        <v>LinguaLab appears steady with no major changes reported.</v>
      </c>
      <c r="E345" s="122" t="str">
        <f>IFERROR(__xludf.DUMMYFUNCTION("""COMPUTED_VALUE"""),"Neutral")</f>
        <v>Neutral</v>
      </c>
      <c r="F345" s="122">
        <f>IFERROR(__xludf.DUMMYFUNCTION("""COMPUTED_VALUE"""),0.0)</f>
        <v>0</v>
      </c>
      <c r="G345" s="122">
        <f>IFERROR(__xludf.DUMMYFUNCTION("""COMPUTED_VALUE"""),0.0)</f>
        <v>0</v>
      </c>
      <c r="H345" s="122" t="str">
        <f>IFERROR(__xludf.DUMMYFUNCTION("""COMPUTED_VALUE"""),"Active")</f>
        <v>Active</v>
      </c>
    </row>
    <row r="346">
      <c r="A346" s="131">
        <f>IFERROR(__xludf.DUMMYFUNCTION("""COMPUTED_VALUE"""),46169.33137731482)</f>
        <v>46169.33138</v>
      </c>
      <c r="B346" s="122" t="str">
        <f>IFERROR(__xludf.DUMMYFUNCTION("""COMPUTED_VALUE"""),"TEST")</f>
        <v>TEST</v>
      </c>
      <c r="C346" s="122" t="str">
        <f>IFERROR(__xludf.DUMMYFUNCTION("""COMPUTED_VALUE"""),"TestPrep Pro remains stable as the Education market shows normal activity.")</f>
        <v>TestPrep Pro remains stable as the Education market shows normal activity.</v>
      </c>
      <c r="D346" s="122" t="str">
        <f>IFERROR(__xludf.DUMMYFUNCTION("""COMPUTED_VALUE"""),"TestPrep Pro appears steady with no major changes reported.")</f>
        <v>TestPrep Pro appears steady with no major changes reported.</v>
      </c>
      <c r="E346" s="122" t="str">
        <f>IFERROR(__xludf.DUMMYFUNCTION("""COMPUTED_VALUE"""),"Neutral")</f>
        <v>Neutral</v>
      </c>
      <c r="F346" s="122">
        <f>IFERROR(__xludf.DUMMYFUNCTION("""COMPUTED_VALUE"""),0.0)</f>
        <v>0</v>
      </c>
      <c r="G346" s="122">
        <f>IFERROR(__xludf.DUMMYFUNCTION("""COMPUTED_VALUE"""),0.0)</f>
        <v>0</v>
      </c>
      <c r="H346" s="122" t="str">
        <f>IFERROR(__xludf.DUMMYFUNCTION("""COMPUTED_VALUE"""),"Active")</f>
        <v>Active</v>
      </c>
    </row>
    <row r="347">
      <c r="A347" s="131">
        <f>IFERROR(__xludf.DUMMYFUNCTION("""COMPUTED_VALUE"""),46169.33137731482)</f>
        <v>46169.33138</v>
      </c>
      <c r="B347" s="122" t="str">
        <f>IFERROR(__xludf.DUMMYFUNCTION("""COMPUTED_VALUE"""),"MOVI")</f>
        <v>MOVI</v>
      </c>
      <c r="C347" s="122" t="str">
        <f>IFERROR(__xludf.DUMMYFUNCTION("""COMPUTED_VALUE"""),"MovieBox faces weaker demand and cautious investor sentiment.")</f>
        <v>MovieBox faces weaker demand and cautious investor sentiment.</v>
      </c>
      <c r="D347" s="122" t="str">
        <f>IFERROR(__xludf.DUMMYFUNCTION("""COMPUTED_VALUE"""),"Investors are watching MovieBox closely as demand weakens.")</f>
        <v>Investors are watching MovieBox closely as demand weakens.</v>
      </c>
      <c r="E347" s="122" t="str">
        <f>IFERROR(__xludf.DUMMYFUNCTION("""COMPUTED_VALUE"""),"Negative")</f>
        <v>Negative</v>
      </c>
      <c r="F347" s="122">
        <f>IFERROR(__xludf.DUMMYFUNCTION("""COMPUTED_VALUE"""),-0.015)</f>
        <v>-0.015</v>
      </c>
      <c r="G347" s="122">
        <f>IFERROR(__xludf.DUMMYFUNCTION("""COMPUTED_VALUE"""),0.75)</f>
        <v>0.75</v>
      </c>
      <c r="H347" s="122" t="str">
        <f>IFERROR(__xludf.DUMMYFUNCTION("""COMPUTED_VALUE"""),"Active")</f>
        <v>Active</v>
      </c>
    </row>
    <row r="348">
      <c r="A348" s="131">
        <f>IFERROR(__xludf.DUMMYFUNCTION("""COMPUTED_VALUE"""),46169.33138888889)</f>
        <v>46169.33139</v>
      </c>
      <c r="B348" s="122" t="str">
        <f>IFERROR(__xludf.DUMMYFUNCTION("""COMPUTED_VALUE"""),"MUSC")</f>
        <v>MUSC</v>
      </c>
      <c r="C348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348" s="122" t="str">
        <f>IFERROR(__xludf.DUMMYFUNCTION("""COMPUTED_VALUE"""),"MusicWave appears steady with no major changes reported.")</f>
        <v>MusicWave appears steady with no major changes reported.</v>
      </c>
      <c r="E348" s="122" t="str">
        <f>IFERROR(__xludf.DUMMYFUNCTION("""COMPUTED_VALUE"""),"Neutral")</f>
        <v>Neutral</v>
      </c>
      <c r="F348" s="122">
        <f>IFERROR(__xludf.DUMMYFUNCTION("""COMPUTED_VALUE"""),0.0)</f>
        <v>0</v>
      </c>
      <c r="G348" s="122">
        <f>IFERROR(__xludf.DUMMYFUNCTION("""COMPUTED_VALUE"""),0.0)</f>
        <v>0</v>
      </c>
      <c r="H348" s="122" t="str">
        <f>IFERROR(__xludf.DUMMYFUNCTION("""COMPUTED_VALUE"""),"Active")</f>
        <v>Active</v>
      </c>
    </row>
    <row r="349">
      <c r="A349" s="131">
        <f>IFERROR(__xludf.DUMMYFUNCTION("""COMPUTED_VALUE"""),46169.33138888889)</f>
        <v>46169.33139</v>
      </c>
      <c r="B349" s="122" t="str">
        <f>IFERROR(__xludf.DUMMYFUNCTION("""COMPUTED_VALUE"""),"IDOL")</f>
        <v>IDOL</v>
      </c>
      <c r="C349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349" s="122" t="str">
        <f>IFERROR(__xludf.DUMMYFUNCTION("""COMPUTED_VALUE"""),"Idol Agency appears steady with no major changes reported.")</f>
        <v>Idol Agency appears steady with no major changes reported.</v>
      </c>
      <c r="E349" s="122" t="str">
        <f>IFERROR(__xludf.DUMMYFUNCTION("""COMPUTED_VALUE"""),"Neutral")</f>
        <v>Neutral</v>
      </c>
      <c r="F349" s="122">
        <f>IFERROR(__xludf.DUMMYFUNCTION("""COMPUTED_VALUE"""),0.0)</f>
        <v>0</v>
      </c>
      <c r="G349" s="122">
        <f>IFERROR(__xludf.DUMMYFUNCTION("""COMPUTED_VALUE"""),0.0)</f>
        <v>0</v>
      </c>
      <c r="H349" s="122" t="str">
        <f>IFERROR(__xludf.DUMMYFUNCTION("""COMPUTED_VALUE"""),"Active")</f>
        <v>Active</v>
      </c>
    </row>
    <row r="350">
      <c r="A350" s="131">
        <f>IFERROR(__xludf.DUMMYFUNCTION("""COMPUTED_VALUE"""),46169.331400462965)</f>
        <v>46169.3314</v>
      </c>
      <c r="B350" s="122" t="str">
        <f>IFERROR(__xludf.DUMMYFUNCTION("""COMPUTED_VALUE"""),"MEME")</f>
        <v>MEME</v>
      </c>
      <c r="C350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350" s="122" t="str">
        <f>IFERROR(__xludf.DUMMYFUNCTION("""COMPUTED_VALUE"""),"Meme Media appears steady with no major changes reported.")</f>
        <v>Meme Media appears steady with no major changes reported.</v>
      </c>
      <c r="E350" s="122" t="str">
        <f>IFERROR(__xludf.DUMMYFUNCTION("""COMPUTED_VALUE"""),"Neutral")</f>
        <v>Neutral</v>
      </c>
      <c r="F350" s="122">
        <f>IFERROR(__xludf.DUMMYFUNCTION("""COMPUTED_VALUE"""),0.0)</f>
        <v>0</v>
      </c>
      <c r="G350" s="122">
        <f>IFERROR(__xludf.DUMMYFUNCTION("""COMPUTED_VALUE"""),0.0)</f>
        <v>0</v>
      </c>
      <c r="H350" s="122" t="str">
        <f>IFERROR(__xludf.DUMMYFUNCTION("""COMPUTED_VALUE"""),"Active")</f>
        <v>Active</v>
      </c>
    </row>
    <row r="351">
      <c r="A351" s="131">
        <f>IFERROR(__xludf.DUMMYFUNCTION("""COMPUTED_VALUE"""),46169.331400462965)</f>
        <v>46169.3314</v>
      </c>
      <c r="B351" s="122" t="str">
        <f>IFERROR(__xludf.DUMMYFUNCTION("""COMPUTED_VALUE"""),"STRM")</f>
        <v>STRM</v>
      </c>
      <c r="C351" s="122" t="str">
        <f>IFERROR(__xludf.DUMMYFUNCTION("""COMPUTED_VALUE"""),"Streamly sees uncertain trading as investors react to mixed signals.")</f>
        <v>Streamly sees uncertain trading as investors react to mixed signals.</v>
      </c>
      <c r="D351" s="122" t="str">
        <f>IFERROR(__xludf.DUMMYFUNCTION("""COMPUTED_VALUE"""),"Streamly may experience larger price swings as investors disagree on direction.")</f>
        <v>Streamly may experience larger price swings as investors disagree on direction.</v>
      </c>
      <c r="E351" s="122" t="str">
        <f>IFERROR(__xludf.DUMMYFUNCTION("""COMPUTED_VALUE"""),"Mixed")</f>
        <v>Mixed</v>
      </c>
      <c r="F351" s="122">
        <f>IFERROR(__xludf.DUMMYFUNCTION("""COMPUTED_VALUE"""),-0.009755647865044854)</f>
        <v>-0.009755647865</v>
      </c>
      <c r="G351" s="122">
        <f>IFERROR(__xludf.DUMMYFUNCTION("""COMPUTED_VALUE"""),1.5)</f>
        <v>1.5</v>
      </c>
      <c r="H351" s="122" t="str">
        <f>IFERROR(__xludf.DUMMYFUNCTION("""COMPUTED_VALUE"""),"Active")</f>
        <v>Active</v>
      </c>
    </row>
    <row r="352">
      <c r="A352" s="131">
        <f>IFERROR(__xludf.DUMMYFUNCTION("""COMPUTED_VALUE"""),46169.331412037034)</f>
        <v>46169.33141</v>
      </c>
      <c r="B352" s="122" t="str">
        <f>IFERROR(__xludf.DUMMYFUNCTION("""COMPUTED_VALUE"""),"FARM")</f>
        <v>FARM</v>
      </c>
      <c r="C352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352" s="122" t="str">
        <f>IFERROR(__xludf.DUMMYFUNCTION("""COMPUTED_VALUE"""),"Future Farms appears steady with no major changes reported.")</f>
        <v>Future Farms appears steady with no major changes reported.</v>
      </c>
      <c r="E352" s="122" t="str">
        <f>IFERROR(__xludf.DUMMYFUNCTION("""COMPUTED_VALUE"""),"Neutral")</f>
        <v>Neutral</v>
      </c>
      <c r="F352" s="122">
        <f>IFERROR(__xludf.DUMMYFUNCTION("""COMPUTED_VALUE"""),0.0)</f>
        <v>0</v>
      </c>
      <c r="G352" s="122">
        <f>IFERROR(__xludf.DUMMYFUNCTION("""COMPUTED_VALUE"""),0.0)</f>
        <v>0</v>
      </c>
      <c r="H352" s="122" t="str">
        <f>IFERROR(__xludf.DUMMYFUNCTION("""COMPUTED_VALUE"""),"Active")</f>
        <v>Active</v>
      </c>
    </row>
    <row r="353">
      <c r="A353" s="131">
        <f>IFERROR(__xludf.DUMMYFUNCTION("""COMPUTED_VALUE"""),46169.33142361111)</f>
        <v>46169.33142</v>
      </c>
      <c r="B353" s="122" t="str">
        <f>IFERROR(__xludf.DUMMYFUNCTION("""COMPUTED_VALUE"""),"MEAT")</f>
        <v>MEAT</v>
      </c>
      <c r="C353" s="122" t="str">
        <f>IFERROR(__xludf.DUMMYFUNCTION("""COMPUTED_VALUE"""),"MeatWorks sees uncertain trading as investors react to mixed signals.")</f>
        <v>MeatWorks sees uncertain trading as investors react to mixed signals.</v>
      </c>
      <c r="D353" s="122" t="str">
        <f>IFERROR(__xludf.DUMMYFUNCTION("""COMPUTED_VALUE"""),"MeatWorks may experience larger price swings as investors disagree on direction.")</f>
        <v>MeatWorks may experience larger price swings as investors disagree on direction.</v>
      </c>
      <c r="E353" s="122" t="str">
        <f>IFERROR(__xludf.DUMMYFUNCTION("""COMPUTED_VALUE"""),"Mixed")</f>
        <v>Mixed</v>
      </c>
      <c r="F353" s="122">
        <f>IFERROR(__xludf.DUMMYFUNCTION("""COMPUTED_VALUE"""),-0.008770053094330953)</f>
        <v>-0.008770053094</v>
      </c>
      <c r="G353" s="122">
        <f>IFERROR(__xludf.DUMMYFUNCTION("""COMPUTED_VALUE"""),1.5)</f>
        <v>1.5</v>
      </c>
      <c r="H353" s="122" t="str">
        <f>IFERROR(__xludf.DUMMYFUNCTION("""COMPUTED_VALUE"""),"Active")</f>
        <v>Active</v>
      </c>
    </row>
    <row r="354">
      <c r="A354" s="131">
        <f>IFERROR(__xludf.DUMMYFUNCTION("""COMPUTED_VALUE"""),46169.33142361111)</f>
        <v>46169.33142</v>
      </c>
      <c r="B354" s="122" t="str">
        <f>IFERROR(__xludf.DUMMYFUNCTION("""COMPUTED_VALUE"""),"VEGI")</f>
        <v>VEGI</v>
      </c>
      <c r="C354" s="122" t="str">
        <f>IFERROR(__xludf.DUMMYFUNCTION("""COMPUTED_VALUE"""),"Green Basket reports steady growth and improved market confidence.")</f>
        <v>Green Basket reports steady growth and improved market confidence.</v>
      </c>
      <c r="D354" s="122" t="str">
        <f>IFERROR(__xludf.DUMMYFUNCTION("""COMPUTED_VALUE"""),"Green Basket continues to show positive momentum with moderate risk.")</f>
        <v>Green Basket continues to show positive momentum with moderate risk.</v>
      </c>
      <c r="E354" s="122" t="str">
        <f>IFERROR(__xludf.DUMMYFUNCTION("""COMPUTED_VALUE"""),"Positive")</f>
        <v>Positive</v>
      </c>
      <c r="F354" s="122">
        <f>IFERROR(__xludf.DUMMYFUNCTION("""COMPUTED_VALUE"""),0.015)</f>
        <v>0.015</v>
      </c>
      <c r="G354" s="122">
        <f>IFERROR(__xludf.DUMMYFUNCTION("""COMPUTED_VALUE"""),0.5)</f>
        <v>0.5</v>
      </c>
      <c r="H354" s="122" t="str">
        <f>IFERROR(__xludf.DUMMYFUNCTION("""COMPUTED_VALUE"""),"Active")</f>
        <v>Active</v>
      </c>
    </row>
    <row r="355">
      <c r="A355" s="131">
        <f>IFERROR(__xludf.DUMMYFUNCTION("""COMPUTED_VALUE"""),46169.33143518519)</f>
        <v>46169.33144</v>
      </c>
      <c r="B355" s="122" t="str">
        <f>IFERROR(__xludf.DUMMYFUNCTION("""COMPUTED_VALUE"""),"CAFE")</f>
        <v>CAFE</v>
      </c>
      <c r="C355" s="122" t="str">
        <f>IFERROR(__xludf.DUMMYFUNCTION("""COMPUTED_VALUE"""),"Cafe Cloud sees uncertain trading as investors react to mixed signals.")</f>
        <v>Cafe Cloud sees uncertain trading as investors react to mixed signals.</v>
      </c>
      <c r="D355" s="122" t="str">
        <f>IFERROR(__xludf.DUMMYFUNCTION("""COMPUTED_VALUE"""),"Cafe Cloud may experience larger price swings as investors disagree on direction.")</f>
        <v>Cafe Cloud may experience larger price swings as investors disagree on direction.</v>
      </c>
      <c r="E355" s="122" t="str">
        <f>IFERROR(__xludf.DUMMYFUNCTION("""COMPUTED_VALUE"""),"Mixed")</f>
        <v>Mixed</v>
      </c>
      <c r="F355" s="122">
        <f>IFERROR(__xludf.DUMMYFUNCTION("""COMPUTED_VALUE"""),-0.015116928381747514)</f>
        <v>-0.01511692838</v>
      </c>
      <c r="G355" s="122">
        <f>IFERROR(__xludf.DUMMYFUNCTION("""COMPUTED_VALUE"""),1.5)</f>
        <v>1.5</v>
      </c>
      <c r="H355" s="122" t="str">
        <f>IFERROR(__xludf.DUMMYFUNCTION("""COMPUTED_VALUE"""),"Active")</f>
        <v>Active</v>
      </c>
    </row>
    <row r="356">
      <c r="A356" s="131">
        <f>IFERROR(__xludf.DUMMYFUNCTION("""COMPUTED_VALUE"""),46169.33143518519)</f>
        <v>46169.33144</v>
      </c>
      <c r="B356" s="122" t="str">
        <f>IFERROR(__xludf.DUMMYFUNCTION("""COMPUTED_VALUE"""),"BAKE")</f>
        <v>BAKE</v>
      </c>
      <c r="C356" s="122" t="str">
        <f>IFERROR(__xludf.DUMMYFUNCTION("""COMPUTED_VALUE"""),"BakeHouse faces weaker demand and cautious investor sentiment.")</f>
        <v>BakeHouse faces weaker demand and cautious investor sentiment.</v>
      </c>
      <c r="D356" s="122" t="str">
        <f>IFERROR(__xludf.DUMMYFUNCTION("""COMPUTED_VALUE"""),"Investors are watching BakeHouse closely as demand weakens.")</f>
        <v>Investors are watching BakeHouse closely as demand weakens.</v>
      </c>
      <c r="E356" s="122" t="str">
        <f>IFERROR(__xludf.DUMMYFUNCTION("""COMPUTED_VALUE"""),"Negative")</f>
        <v>Negative</v>
      </c>
      <c r="F356" s="122">
        <f>IFERROR(__xludf.DUMMYFUNCTION("""COMPUTED_VALUE"""),-0.015)</f>
        <v>-0.015</v>
      </c>
      <c r="G356" s="122">
        <f>IFERROR(__xludf.DUMMYFUNCTION("""COMPUTED_VALUE"""),0.75)</f>
        <v>0.75</v>
      </c>
      <c r="H356" s="122" t="str">
        <f>IFERROR(__xludf.DUMMYFUNCTION("""COMPUTED_VALUE"""),"Active")</f>
        <v>Active</v>
      </c>
    </row>
    <row r="357">
      <c r="A357" s="131">
        <f>IFERROR(__xludf.DUMMYFUNCTION("""COMPUTED_VALUE"""),46169.33144675926)</f>
        <v>46169.33145</v>
      </c>
      <c r="B357" s="122" t="str">
        <f>IFERROR(__xludf.DUMMYFUNCTION("""COMPUTED_VALUE"""),"OILX")</f>
        <v>OILX</v>
      </c>
      <c r="C357" s="122" t="str">
        <f>IFERROR(__xludf.DUMMYFUNCTION("""COMPUTED_VALUE"""),"OilMax Energy surges as demand rises across the Energy sector.")</f>
        <v>OilMax Energy surges as demand rises across the Energy sector.</v>
      </c>
      <c r="D357" s="122" t="str">
        <f>IFERROR(__xludf.DUMMYFUNCTION("""COMPUTED_VALUE"""),"OilMax Energy is seeing strong demand, which may increase investor confidence.")</f>
        <v>OilMax Energy is seeing strong demand, which may increase investor confidence.</v>
      </c>
      <c r="E357" s="122" t="str">
        <f>IFERROR(__xludf.DUMMYFUNCTION("""COMPUTED_VALUE"""),"Positive")</f>
        <v>Positive</v>
      </c>
      <c r="F357" s="122">
        <f>IFERROR(__xludf.DUMMYFUNCTION("""COMPUTED_VALUE"""),0.03)</f>
        <v>0.03</v>
      </c>
      <c r="G357" s="122">
        <f>IFERROR(__xludf.DUMMYFUNCTION("""COMPUTED_VALUE"""),1.0)</f>
        <v>1</v>
      </c>
      <c r="H357" s="122" t="str">
        <f>IFERROR(__xludf.DUMMYFUNCTION("""COMPUTED_VALUE"""),"Active")</f>
        <v>Active</v>
      </c>
    </row>
    <row r="358">
      <c r="A358" s="131">
        <f>IFERROR(__xludf.DUMMYFUNCTION("""COMPUTED_VALUE"""),46169.331458333334)</f>
        <v>46169.33146</v>
      </c>
      <c r="B358" s="122" t="str">
        <f>IFERROR(__xludf.DUMMYFUNCTION("""COMPUTED_VALUE"""),"SOLR")</f>
        <v>SOLR</v>
      </c>
      <c r="C358" s="122" t="str">
        <f>IFERROR(__xludf.DUMMYFUNCTION("""COMPUTED_VALUE"""),"SolarSpark faces weaker demand and cautious investor sentiment.")</f>
        <v>SolarSpark faces weaker demand and cautious investor sentiment.</v>
      </c>
      <c r="D358" s="122" t="str">
        <f>IFERROR(__xludf.DUMMYFUNCTION("""COMPUTED_VALUE"""),"Investors are watching SolarSpark closely as demand weakens.")</f>
        <v>Investors are watching SolarSpark closely as demand weakens.</v>
      </c>
      <c r="E358" s="122" t="str">
        <f>IFERROR(__xludf.DUMMYFUNCTION("""COMPUTED_VALUE"""),"Negative")</f>
        <v>Negative</v>
      </c>
      <c r="F358" s="122">
        <f>IFERROR(__xludf.DUMMYFUNCTION("""COMPUTED_VALUE"""),-0.015)</f>
        <v>-0.015</v>
      </c>
      <c r="G358" s="122">
        <f>IFERROR(__xludf.DUMMYFUNCTION("""COMPUTED_VALUE"""),0.75)</f>
        <v>0.75</v>
      </c>
      <c r="H358" s="122" t="str">
        <f>IFERROR(__xludf.DUMMYFUNCTION("""COMPUTED_VALUE"""),"Active")</f>
        <v>Active</v>
      </c>
    </row>
    <row r="359">
      <c r="A359" s="131">
        <f>IFERROR(__xludf.DUMMYFUNCTION("""COMPUTED_VALUE"""),46169.331458333334)</f>
        <v>46169.33146</v>
      </c>
      <c r="B359" s="122" t="str">
        <f>IFERROR(__xludf.DUMMYFUNCTION("""COMPUTED_VALUE"""),"BATT")</f>
        <v>BATT</v>
      </c>
      <c r="C359" s="122" t="str">
        <f>IFERROR(__xludf.DUMMYFUNCTION("""COMPUTED_VALUE"""),"BatteryBox remains stable as the Energy market shows normal activity.")</f>
        <v>BatteryBox remains stable as the Energy market shows normal activity.</v>
      </c>
      <c r="D359" s="122" t="str">
        <f>IFERROR(__xludf.DUMMYFUNCTION("""COMPUTED_VALUE"""),"BatteryBox appears steady with no major changes reported.")</f>
        <v>BatteryBox appears steady with no major changes reported.</v>
      </c>
      <c r="E359" s="122" t="str">
        <f>IFERROR(__xludf.DUMMYFUNCTION("""COMPUTED_VALUE"""),"Neutral")</f>
        <v>Neutral</v>
      </c>
      <c r="F359" s="122">
        <f>IFERROR(__xludf.DUMMYFUNCTION("""COMPUTED_VALUE"""),0.0)</f>
        <v>0</v>
      </c>
      <c r="G359" s="122">
        <f>IFERROR(__xludf.DUMMYFUNCTION("""COMPUTED_VALUE"""),0.0)</f>
        <v>0</v>
      </c>
      <c r="H359" s="122" t="str">
        <f>IFERROR(__xludf.DUMMYFUNCTION("""COMPUTED_VALUE"""),"Active")</f>
        <v>Active</v>
      </c>
    </row>
    <row r="360">
      <c r="A360" s="131">
        <f>IFERROR(__xludf.DUMMYFUNCTION("""COMPUTED_VALUE"""),46169.33146990741)</f>
        <v>46169.33147</v>
      </c>
      <c r="B360" s="122" t="str">
        <f>IFERROR(__xludf.DUMMYFUNCTION("""COMPUTED_VALUE"""),"WIND")</f>
        <v>WIND</v>
      </c>
      <c r="C360" s="122" t="str">
        <f>IFERROR(__xludf.DUMMYFUNCTION("""COMPUTED_VALUE"""),"WindWorks remains stable as the Energy market shows normal activity.")</f>
        <v>WindWorks remains stable as the Energy market shows normal activity.</v>
      </c>
      <c r="D360" s="122" t="str">
        <f>IFERROR(__xludf.DUMMYFUNCTION("""COMPUTED_VALUE"""),"WindWorks appears steady with no major changes reported.")</f>
        <v>WindWorks appears steady with no major changes reported.</v>
      </c>
      <c r="E360" s="122" t="str">
        <f>IFERROR(__xludf.DUMMYFUNCTION("""COMPUTED_VALUE"""),"Neutral")</f>
        <v>Neutral</v>
      </c>
      <c r="F360" s="122">
        <f>IFERROR(__xludf.DUMMYFUNCTION("""COMPUTED_VALUE"""),0.0)</f>
        <v>0</v>
      </c>
      <c r="G360" s="122">
        <f>IFERROR(__xludf.DUMMYFUNCTION("""COMPUTED_VALUE"""),0.0)</f>
        <v>0</v>
      </c>
      <c r="H360" s="122" t="str">
        <f>IFERROR(__xludf.DUMMYFUNCTION("""COMPUTED_VALUE"""),"Active")</f>
        <v>Active</v>
      </c>
    </row>
    <row r="361">
      <c r="A361" s="131">
        <f>IFERROR(__xludf.DUMMYFUNCTION("""COMPUTED_VALUE"""),46169.33146990741)</f>
        <v>46169.33147</v>
      </c>
      <c r="B361" s="122" t="str">
        <f>IFERROR(__xludf.DUMMYFUNCTION("""COMPUTED_VALUE"""),"GRID")</f>
        <v>GRID</v>
      </c>
      <c r="C361" s="122" t="str">
        <f>IFERROR(__xludf.DUMMYFUNCTION("""COMPUTED_VALUE"""),"GridPower reports steady growth and improved market confidence.")</f>
        <v>GridPower reports steady growth and improved market confidence.</v>
      </c>
      <c r="D361" s="122" t="str">
        <f>IFERROR(__xludf.DUMMYFUNCTION("""COMPUTED_VALUE"""),"GridPower continues to show positive momentum with moderate risk.")</f>
        <v>GridPower continues to show positive momentum with moderate risk.</v>
      </c>
      <c r="E361" s="122" t="str">
        <f>IFERROR(__xludf.DUMMYFUNCTION("""COMPUTED_VALUE"""),"Positive")</f>
        <v>Positive</v>
      </c>
      <c r="F361" s="122">
        <f>IFERROR(__xludf.DUMMYFUNCTION("""COMPUTED_VALUE"""),0.015)</f>
        <v>0.015</v>
      </c>
      <c r="G361" s="122">
        <f>IFERROR(__xludf.DUMMYFUNCTION("""COMPUTED_VALUE"""),0.5)</f>
        <v>0.5</v>
      </c>
      <c r="H361" s="122" t="str">
        <f>IFERROR(__xludf.DUMMYFUNCTION("""COMPUTED_VALUE"""),"Active")</f>
        <v>Active</v>
      </c>
    </row>
    <row r="362">
      <c r="A362" s="131">
        <f>IFERROR(__xludf.DUMMYFUNCTION("""COMPUTED_VALUE"""),46169.33148148148)</f>
        <v>46169.33148</v>
      </c>
      <c r="B362" s="122" t="str">
        <f>IFERROR(__xludf.DUMMYFUNCTION("""COMPUTED_VALUE"""),"HOME")</f>
        <v>HOME</v>
      </c>
      <c r="C362" s="122" t="str">
        <f>IFERROR(__xludf.DUMMYFUNCTION("""COMPUTED_VALUE"""),"HomeHub faces weaker demand and cautious investor sentiment.")</f>
        <v>HomeHub faces weaker demand and cautious investor sentiment.</v>
      </c>
      <c r="D362" s="122" t="str">
        <f>IFERROR(__xludf.DUMMYFUNCTION("""COMPUTED_VALUE"""),"Investors are watching HomeHub closely as demand weakens.")</f>
        <v>Investors are watching HomeHub closely as demand weakens.</v>
      </c>
      <c r="E362" s="122" t="str">
        <f>IFERROR(__xludf.DUMMYFUNCTION("""COMPUTED_VALUE"""),"Negative")</f>
        <v>Negative</v>
      </c>
      <c r="F362" s="122">
        <f>IFERROR(__xludf.DUMMYFUNCTION("""COMPUTED_VALUE"""),-0.015)</f>
        <v>-0.015</v>
      </c>
      <c r="G362" s="122">
        <f>IFERROR(__xludf.DUMMYFUNCTION("""COMPUTED_VALUE"""),0.75)</f>
        <v>0.75</v>
      </c>
      <c r="H362" s="122" t="str">
        <f>IFERROR(__xludf.DUMMYFUNCTION("""COMPUTED_VALUE"""),"Active")</f>
        <v>Active</v>
      </c>
    </row>
    <row r="363">
      <c r="A363" s="131">
        <f>IFERROR(__xludf.DUMMYFUNCTION("""COMPUTED_VALUE"""),46169.33148148148)</f>
        <v>46169.33148</v>
      </c>
      <c r="B363" s="122" t="str">
        <f>IFERROR(__xludf.DUMMYFUNCTION("""COMPUTED_VALUE"""),"RENT")</f>
        <v>RENT</v>
      </c>
      <c r="C363" s="122" t="str">
        <f>IFERROR(__xludf.DUMMYFUNCTION("""COMPUTED_VALUE"""),"RentRight remains stable as the Real Estate market shows normal activity.")</f>
        <v>RentRight remains stable as the Real Estate market shows normal activity.</v>
      </c>
      <c r="D363" s="122" t="str">
        <f>IFERROR(__xludf.DUMMYFUNCTION("""COMPUTED_VALUE"""),"RentRight appears steady with no major changes reported.")</f>
        <v>RentRight appears steady with no major changes reported.</v>
      </c>
      <c r="E363" s="122" t="str">
        <f>IFERROR(__xludf.DUMMYFUNCTION("""COMPUTED_VALUE"""),"Neutral")</f>
        <v>Neutral</v>
      </c>
      <c r="F363" s="122">
        <f>IFERROR(__xludf.DUMMYFUNCTION("""COMPUTED_VALUE"""),0.0)</f>
        <v>0</v>
      </c>
      <c r="G363" s="122">
        <f>IFERROR(__xludf.DUMMYFUNCTION("""COMPUTED_VALUE"""),0.0)</f>
        <v>0</v>
      </c>
      <c r="H363" s="122" t="str">
        <f>IFERROR(__xludf.DUMMYFUNCTION("""COMPUTED_VALUE"""),"Active")</f>
        <v>Active</v>
      </c>
    </row>
    <row r="364">
      <c r="A364" s="131">
        <f>IFERROR(__xludf.DUMMYFUNCTION("""COMPUTED_VALUE"""),46169.33149305556)</f>
        <v>46169.33149</v>
      </c>
      <c r="B364" s="122" t="str">
        <f>IFERROR(__xludf.DUMMYFUNCTION("""COMPUTED_VALUE"""),"MALL")</f>
        <v>MALL</v>
      </c>
      <c r="C364" s="122" t="str">
        <f>IFERROR(__xludf.DUMMYFUNCTION("""COMPUTED_VALUE"""),"MegaMall remains stable as the Real Estate market shows normal activity.")</f>
        <v>MegaMall remains stable as the Real Estate market shows normal activity.</v>
      </c>
      <c r="D364" s="122" t="str">
        <f>IFERROR(__xludf.DUMMYFUNCTION("""COMPUTED_VALUE"""),"MegaMall appears steady with no major changes reported.")</f>
        <v>MegaMall appears steady with no major changes reported.</v>
      </c>
      <c r="E364" s="122" t="str">
        <f>IFERROR(__xludf.DUMMYFUNCTION("""COMPUTED_VALUE"""),"Neutral")</f>
        <v>Neutral</v>
      </c>
      <c r="F364" s="122">
        <f>IFERROR(__xludf.DUMMYFUNCTION("""COMPUTED_VALUE"""),0.0)</f>
        <v>0</v>
      </c>
      <c r="G364" s="122">
        <f>IFERROR(__xludf.DUMMYFUNCTION("""COMPUTED_VALUE"""),0.0)</f>
        <v>0</v>
      </c>
      <c r="H364" s="122" t="str">
        <f>IFERROR(__xludf.DUMMYFUNCTION("""COMPUTED_VALUE"""),"Active")</f>
        <v>Active</v>
      </c>
    </row>
    <row r="365">
      <c r="A365" s="131">
        <f>IFERROR(__xludf.DUMMYFUNCTION("""COMPUTED_VALUE"""),46169.33150462963)</f>
        <v>46169.3315</v>
      </c>
      <c r="B365" s="122" t="str">
        <f>IFERROR(__xludf.DUMMYFUNCTION("""COMPUTED_VALUE"""),"HOTL")</f>
        <v>HOTL</v>
      </c>
      <c r="C365" s="122" t="str">
        <f>IFERROR(__xludf.DUMMYFUNCTION("""COMPUTED_VALUE"""),"HotelHive surges as demand rises across the Real Estate sector.")</f>
        <v>HotelHive surges as demand rises across the Real Estate sector.</v>
      </c>
      <c r="D365" s="122" t="str">
        <f>IFERROR(__xludf.DUMMYFUNCTION("""COMPUTED_VALUE"""),"HotelHive is seeing strong demand, which may increase investor confidence.")</f>
        <v>HotelHive is seeing strong demand, which may increase investor confidence.</v>
      </c>
      <c r="E365" s="122" t="str">
        <f>IFERROR(__xludf.DUMMYFUNCTION("""COMPUTED_VALUE"""),"Positive")</f>
        <v>Positive</v>
      </c>
      <c r="F365" s="122">
        <f>IFERROR(__xludf.DUMMYFUNCTION("""COMPUTED_VALUE"""),0.03)</f>
        <v>0.03</v>
      </c>
      <c r="G365" s="122">
        <f>IFERROR(__xludf.DUMMYFUNCTION("""COMPUTED_VALUE"""),1.0)</f>
        <v>1</v>
      </c>
      <c r="H365" s="122" t="str">
        <f>IFERROR(__xludf.DUMMYFUNCTION("""COMPUTED_VALUE"""),"Active")</f>
        <v>Active</v>
      </c>
    </row>
    <row r="366">
      <c r="A366" s="131">
        <f>IFERROR(__xludf.DUMMYFUNCTION("""COMPUTED_VALUE"""),46169.33150462963)</f>
        <v>46169.3315</v>
      </c>
      <c r="B366" s="122" t="str">
        <f>IFERROR(__xludf.DUMMYFUNCTION("""COMPUTED_VALUE"""),"LAND")</f>
        <v>LAND</v>
      </c>
      <c r="C366" s="122" t="str">
        <f>IFERROR(__xludf.DUMMYFUNCTION("""COMPUTED_VALUE"""),"LandLink remains stable as the Real Estate market shows normal activity.")</f>
        <v>LandLink remains stable as the Real Estate market shows normal activity.</v>
      </c>
      <c r="D366" s="122" t="str">
        <f>IFERROR(__xludf.DUMMYFUNCTION("""COMPUTED_VALUE"""),"LandLink appears steady with no major changes reported.")</f>
        <v>LandLink appears steady with no major changes reported.</v>
      </c>
      <c r="E366" s="122" t="str">
        <f>IFERROR(__xludf.DUMMYFUNCTION("""COMPUTED_VALUE"""),"Neutral")</f>
        <v>Neutral</v>
      </c>
      <c r="F366" s="122">
        <f>IFERROR(__xludf.DUMMYFUNCTION("""COMPUTED_VALUE"""),0.0)</f>
        <v>0</v>
      </c>
      <c r="G366" s="122">
        <f>IFERROR(__xludf.DUMMYFUNCTION("""COMPUTED_VALUE"""),0.0)</f>
        <v>0</v>
      </c>
      <c r="H366" s="122" t="str">
        <f>IFERROR(__xludf.DUMMYFUNCTION("""COMPUTED_VALUE"""),"Active")</f>
        <v>Active</v>
      </c>
    </row>
    <row r="367">
      <c r="A367" s="131">
        <f>IFERROR(__xludf.DUMMYFUNCTION("""COMPUTED_VALUE"""),46169.33150462963)</f>
        <v>46169.3315</v>
      </c>
      <c r="B367" s="122" t="str">
        <f>IFERROR(__xludf.DUMMYFUNCTION("""COMPUTED_VALUE"""),"CARS")</f>
        <v>CARS</v>
      </c>
      <c r="C367" s="122" t="str">
        <f>IFERROR(__xludf.DUMMYFUNCTION("""COMPUTED_VALUE"""),"AutoArena remains stable as the Automotive market shows normal activity.")</f>
        <v>AutoArena remains stable as the Automotive market shows normal activity.</v>
      </c>
      <c r="D367" s="122" t="str">
        <f>IFERROR(__xludf.DUMMYFUNCTION("""COMPUTED_VALUE"""),"AutoArena appears steady with no major changes reported.")</f>
        <v>AutoArena appears steady with no major changes reported.</v>
      </c>
      <c r="E367" s="122" t="str">
        <f>IFERROR(__xludf.DUMMYFUNCTION("""COMPUTED_VALUE"""),"Neutral")</f>
        <v>Neutral</v>
      </c>
      <c r="F367" s="122">
        <f>IFERROR(__xludf.DUMMYFUNCTION("""COMPUTED_VALUE"""),0.0)</f>
        <v>0</v>
      </c>
      <c r="G367" s="122">
        <f>IFERROR(__xludf.DUMMYFUNCTION("""COMPUTED_VALUE"""),0.0)</f>
        <v>0</v>
      </c>
      <c r="H367" s="122" t="str">
        <f>IFERROR(__xludf.DUMMYFUNCTION("""COMPUTED_VALUE"""),"Active")</f>
        <v>Active</v>
      </c>
    </row>
    <row r="368">
      <c r="A368" s="131">
        <f>IFERROR(__xludf.DUMMYFUNCTION("""COMPUTED_VALUE"""),46169.3315162037)</f>
        <v>46169.33152</v>
      </c>
      <c r="B368" s="122" t="str">
        <f>IFERROR(__xludf.DUMMYFUNCTION("""COMPUTED_VALUE"""),"EVGO")</f>
        <v>EVGO</v>
      </c>
      <c r="C368" s="122" t="str">
        <f>IFERROR(__xludf.DUMMYFUNCTION("""COMPUTED_VALUE"""),"EVGo Motors remains stable as the Automotive market shows normal activity.")</f>
        <v>EVGo Motors remains stable as the Automotive market shows normal activity.</v>
      </c>
      <c r="D368" s="122" t="str">
        <f>IFERROR(__xludf.DUMMYFUNCTION("""COMPUTED_VALUE"""),"EVGo Motors appears steady with no major changes reported.")</f>
        <v>EVGo Motors appears steady with no major changes reported.</v>
      </c>
      <c r="E368" s="122" t="str">
        <f>IFERROR(__xludf.DUMMYFUNCTION("""COMPUTED_VALUE"""),"Neutral")</f>
        <v>Neutral</v>
      </c>
      <c r="F368" s="122">
        <f>IFERROR(__xludf.DUMMYFUNCTION("""COMPUTED_VALUE"""),0.0)</f>
        <v>0</v>
      </c>
      <c r="G368" s="122">
        <f>IFERROR(__xludf.DUMMYFUNCTION("""COMPUTED_VALUE"""),0.0)</f>
        <v>0</v>
      </c>
      <c r="H368" s="122" t="str">
        <f>IFERROR(__xludf.DUMMYFUNCTION("""COMPUTED_VALUE"""),"Active")</f>
        <v>Active</v>
      </c>
    </row>
    <row r="369">
      <c r="A369" s="131">
        <f>IFERROR(__xludf.DUMMYFUNCTION("""COMPUTED_VALUE"""),46169.33152777778)</f>
        <v>46169.33153</v>
      </c>
      <c r="B369" s="122" t="str">
        <f>IFERROR(__xludf.DUMMYFUNCTION("""COMPUTED_VALUE"""),"TIRE")</f>
        <v>TIRE</v>
      </c>
      <c r="C369" s="122" t="str">
        <f>IFERROR(__xludf.DUMMYFUNCTION("""COMPUTED_VALUE"""),"TireTown reports steady growth and improved market confidence.")</f>
        <v>TireTown reports steady growth and improved market confidence.</v>
      </c>
      <c r="D369" s="122" t="str">
        <f>IFERROR(__xludf.DUMMYFUNCTION("""COMPUTED_VALUE"""),"TireTown continues to show positive momentum with moderate risk.")</f>
        <v>TireTown continues to show positive momentum with moderate risk.</v>
      </c>
      <c r="E369" s="122" t="str">
        <f>IFERROR(__xludf.DUMMYFUNCTION("""COMPUTED_VALUE"""),"Positive")</f>
        <v>Positive</v>
      </c>
      <c r="F369" s="122">
        <f>IFERROR(__xludf.DUMMYFUNCTION("""COMPUTED_VALUE"""),0.015)</f>
        <v>0.015</v>
      </c>
      <c r="G369" s="122">
        <f>IFERROR(__xludf.DUMMYFUNCTION("""COMPUTED_VALUE"""),0.5)</f>
        <v>0.5</v>
      </c>
      <c r="H369" s="122" t="str">
        <f>IFERROR(__xludf.DUMMYFUNCTION("""COMPUTED_VALUE"""),"Active")</f>
        <v>Active</v>
      </c>
    </row>
    <row r="370">
      <c r="A370" s="131">
        <f>IFERROR(__xludf.DUMMYFUNCTION("""COMPUTED_VALUE"""),46169.33152777778)</f>
        <v>46169.33153</v>
      </c>
      <c r="B370" s="122" t="str">
        <f>IFERROR(__xludf.DUMMYFUNCTION("""COMPUTED_VALUE"""),"BIKE")</f>
        <v>BIKE</v>
      </c>
      <c r="C370" s="122" t="str">
        <f>IFERROR(__xludf.DUMMYFUNCTION("""COMPUTED_VALUE"""),"BikeBox reports steady growth and improved market confidence.")</f>
        <v>BikeBox reports steady growth and improved market confidence.</v>
      </c>
      <c r="D370" s="122" t="str">
        <f>IFERROR(__xludf.DUMMYFUNCTION("""COMPUTED_VALUE"""),"BikeBox continues to show positive momentum with moderate risk.")</f>
        <v>BikeBox continues to show positive momentum with moderate risk.</v>
      </c>
      <c r="E370" s="122" t="str">
        <f>IFERROR(__xludf.DUMMYFUNCTION("""COMPUTED_VALUE"""),"Positive")</f>
        <v>Positive</v>
      </c>
      <c r="F370" s="122">
        <f>IFERROR(__xludf.DUMMYFUNCTION("""COMPUTED_VALUE"""),0.015)</f>
        <v>0.015</v>
      </c>
      <c r="G370" s="122">
        <f>IFERROR(__xludf.DUMMYFUNCTION("""COMPUTED_VALUE"""),0.5)</f>
        <v>0.5</v>
      </c>
      <c r="H370" s="122" t="str">
        <f>IFERROR(__xludf.DUMMYFUNCTION("""COMPUTED_VALUE"""),"Active")</f>
        <v>Active</v>
      </c>
    </row>
    <row r="371">
      <c r="A371" s="131">
        <f>IFERROR(__xludf.DUMMYFUNCTION("""COMPUTED_VALUE"""),46169.33153935185)</f>
        <v>46169.33154</v>
      </c>
      <c r="B371" s="122" t="str">
        <f>IFERROR(__xludf.DUMMYFUNCTION("""COMPUTED_VALUE"""),"WASH")</f>
        <v>WASH</v>
      </c>
      <c r="C371" s="122" t="str">
        <f>IFERROR(__xludf.DUMMYFUNCTION("""COMPUTED_VALUE"""),"CarWash Co sees uncertain trading as investors react to mixed signals.")</f>
        <v>CarWash Co sees uncertain trading as investors react to mixed signals.</v>
      </c>
      <c r="D371" s="122" t="str">
        <f>IFERROR(__xludf.DUMMYFUNCTION("""COMPUTED_VALUE"""),"CarWash Co may experience larger price swings as investors disagree on direction.")</f>
        <v>CarWash Co may experience larger price swings as investors disagree on direction.</v>
      </c>
      <c r="E371" s="122" t="str">
        <f>IFERROR(__xludf.DUMMYFUNCTION("""COMPUTED_VALUE"""),"Mixed")</f>
        <v>Mixed</v>
      </c>
      <c r="F371" s="122">
        <f>IFERROR(__xludf.DUMMYFUNCTION("""COMPUTED_VALUE"""),0.014334053949229996)</f>
        <v>0.01433405395</v>
      </c>
      <c r="G371" s="122">
        <f>IFERROR(__xludf.DUMMYFUNCTION("""COMPUTED_VALUE"""),1.5)</f>
        <v>1.5</v>
      </c>
      <c r="H371" s="122" t="str">
        <f>IFERROR(__xludf.DUMMYFUNCTION("""COMPUTED_VALUE"""),"Active")</f>
        <v>Active</v>
      </c>
    </row>
    <row r="372">
      <c r="A372" s="131">
        <f>IFERROR(__xludf.DUMMYFUNCTION("""COMPUTED_VALUE"""),46169.33153935185)</f>
        <v>46169.33154</v>
      </c>
      <c r="B372" s="122" t="str">
        <f>IFERROR(__xludf.DUMMYFUNCTION("""COMPUTED_VALUE"""),"GBND")</f>
        <v>GBND</v>
      </c>
      <c r="C372" s="122" t="str">
        <f>IFERROR(__xludf.DUMMYFUNCTION("""COMPUTED_VALUE"""),"Classroom Government Bond remains steady as investors seek stability.")</f>
        <v>Classroom Government Bond remains steady as investors seek stability.</v>
      </c>
      <c r="D37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372" s="122" t="str">
        <f>IFERROR(__xludf.DUMMYFUNCTION("""COMPUTED_VALUE"""),"Neutral")</f>
        <v>Neutral</v>
      </c>
      <c r="F372" s="122">
        <f>IFERROR(__xludf.DUMMYFUNCTION("""COMPUTED_VALUE"""),0.0)</f>
        <v>0</v>
      </c>
      <c r="G372" s="122">
        <f>IFERROR(__xludf.DUMMYFUNCTION("""COMPUTED_VALUE"""),0.0)</f>
        <v>0</v>
      </c>
      <c r="H372" s="122" t="str">
        <f>IFERROR(__xludf.DUMMYFUNCTION("""COMPUTED_VALUE"""),"Active")</f>
        <v>Active</v>
      </c>
    </row>
    <row r="373">
      <c r="A373" s="131">
        <f>IFERROR(__xludf.DUMMYFUNCTION("""COMPUTED_VALUE"""),46169.33155092593)</f>
        <v>46169.33155</v>
      </c>
      <c r="B373" s="122" t="str">
        <f>IFERROR(__xludf.DUMMYFUNCTION("""COMPUTED_VALUE"""),"SBND")</f>
        <v>SBND</v>
      </c>
      <c r="C373" s="122" t="str">
        <f>IFERROR(__xludf.DUMMYFUNCTION("""COMPUTED_VALUE"""),"School Savings Bond remains steady as investors seek stability.")</f>
        <v>School Savings Bond remains steady as investors seek stability.</v>
      </c>
      <c r="D37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373" s="122" t="str">
        <f>IFERROR(__xludf.DUMMYFUNCTION("""COMPUTED_VALUE"""),"Neutral")</f>
        <v>Neutral</v>
      </c>
      <c r="F373" s="122">
        <f>IFERROR(__xludf.DUMMYFUNCTION("""COMPUTED_VALUE"""),0.0)</f>
        <v>0</v>
      </c>
      <c r="G373" s="122">
        <f>IFERROR(__xludf.DUMMYFUNCTION("""COMPUTED_VALUE"""),0.0)</f>
        <v>0</v>
      </c>
      <c r="H373" s="122" t="str">
        <f>IFERROR(__xludf.DUMMYFUNCTION("""COMPUTED_VALUE"""),"Active")</f>
        <v>Active</v>
      </c>
    </row>
    <row r="374">
      <c r="A374" s="131">
        <f>IFERROR(__xludf.DUMMYFUNCTION("""COMPUTED_VALUE"""),46169.33155092593)</f>
        <v>46169.33155</v>
      </c>
      <c r="B374" s="122" t="str">
        <f>IFERROR(__xludf.DUMMYFUNCTION("""COMPUTED_VALUE"""),"CBND")</f>
        <v>CBND</v>
      </c>
      <c r="C374" s="122" t="str">
        <f>IFERROR(__xludf.DUMMYFUNCTION("""COMPUTED_VALUE"""),"Corporate Classroom Bond remains steady as investors seek stability.")</f>
        <v>Corporate Classroom Bond remains steady as investors seek stability.</v>
      </c>
      <c r="D37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374" s="122" t="str">
        <f>IFERROR(__xludf.DUMMYFUNCTION("""COMPUTED_VALUE"""),"Neutral")</f>
        <v>Neutral</v>
      </c>
      <c r="F374" s="122">
        <f>IFERROR(__xludf.DUMMYFUNCTION("""COMPUTED_VALUE"""),0.0)</f>
        <v>0</v>
      </c>
      <c r="G374" s="122">
        <f>IFERROR(__xludf.DUMMYFUNCTION("""COMPUTED_VALUE"""),0.0)</f>
        <v>0</v>
      </c>
      <c r="H374" s="122" t="str">
        <f>IFERROR(__xludf.DUMMYFUNCTION("""COMPUTED_VALUE"""),"Active")</f>
        <v>Active</v>
      </c>
    </row>
    <row r="375">
      <c r="A375" s="131">
        <f>IFERROR(__xludf.DUMMYFUNCTION("""COMPUTED_VALUE"""),46169.3315625)</f>
        <v>46169.33156</v>
      </c>
      <c r="B375" s="122" t="str">
        <f>IFERROR(__xludf.DUMMYFUNCTION("""COMPUTED_VALUE"""),"TBIL")</f>
        <v>TBIL</v>
      </c>
      <c r="C375" s="122" t="str">
        <f>IFERROR(__xludf.DUMMYFUNCTION("""COMPUTED_VALUE"""),"Treasury Bill remains steady as investors seek stability.")</f>
        <v>Treasury Bill remains steady as investors seek stability.</v>
      </c>
      <c r="D37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375" s="122" t="str">
        <f>IFERROR(__xludf.DUMMYFUNCTION("""COMPUTED_VALUE"""),"Neutral")</f>
        <v>Neutral</v>
      </c>
      <c r="F375" s="122">
        <f>IFERROR(__xludf.DUMMYFUNCTION("""COMPUTED_VALUE"""),0.0)</f>
        <v>0</v>
      </c>
      <c r="G375" s="122">
        <f>IFERROR(__xludf.DUMMYFUNCTION("""COMPUTED_VALUE"""),0.0)</f>
        <v>0</v>
      </c>
      <c r="H375" s="122" t="str">
        <f>IFERROR(__xludf.DUMMYFUNCTION("""COMPUTED_VALUE"""),"Active")</f>
        <v>Active</v>
      </c>
    </row>
    <row r="376">
      <c r="A376" s="131">
        <f>IFERROR(__xludf.DUMMYFUNCTION("""COMPUTED_VALUE"""),46169.33157407407)</f>
        <v>46169.33157</v>
      </c>
      <c r="B376" s="122" t="str">
        <f>IFERROR(__xludf.DUMMYFUNCTION("""COMPUTED_VALUE"""),"IBND")</f>
        <v>IBND</v>
      </c>
      <c r="C376" s="122" t="str">
        <f>IFERROR(__xludf.DUMMYFUNCTION("""COMPUTED_VALUE"""),"Inflation Protected Bond remains steady as investors seek stability.")</f>
        <v>Inflation Protected Bond remains steady as investors seek stability.</v>
      </c>
      <c r="D37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376" s="122" t="str">
        <f>IFERROR(__xludf.DUMMYFUNCTION("""COMPUTED_VALUE"""),"Neutral")</f>
        <v>Neutral</v>
      </c>
      <c r="F376" s="122">
        <f>IFERROR(__xludf.DUMMYFUNCTION("""COMPUTED_VALUE"""),0.0)</f>
        <v>0</v>
      </c>
      <c r="G376" s="122">
        <f>IFERROR(__xludf.DUMMYFUNCTION("""COMPUTED_VALUE"""),0.0)</f>
        <v>0</v>
      </c>
      <c r="H376" s="122" t="str">
        <f>IFERROR(__xludf.DUMMYFUNCTION("""COMPUTED_VALUE"""),"Active")</f>
        <v>Active</v>
      </c>
    </row>
    <row r="377">
      <c r="A377" s="131">
        <f>IFERROR(__xludf.DUMMYFUNCTION("""COMPUTED_VALUE"""),46169.338784722226)</f>
        <v>46169.33878</v>
      </c>
      <c r="B377" s="122" t="str">
        <f>IFERROR(__xludf.DUMMYFUNCTION("""COMPUTED_VALUE"""),"MARKET")</f>
        <v>MARKET</v>
      </c>
      <c r="C377" s="122" t="str">
        <f>IFERROR(__xludf.DUMMYFUNCTION("""COMPUTED_VALUE"""),"Market Stability Report")</f>
        <v>Market Stability Report</v>
      </c>
      <c r="D377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377" s="122" t="str">
        <f>IFERROR(__xludf.DUMMYFUNCTION("""COMPUTED_VALUE"""),"Neutral")</f>
        <v>Neutral</v>
      </c>
      <c r="F377" s="122">
        <f>IFERROR(__xludf.DUMMYFUNCTION("""COMPUTED_VALUE"""),0.0)</f>
        <v>0</v>
      </c>
      <c r="G377" s="122">
        <f>IFERROR(__xludf.DUMMYFUNCTION("""COMPUTED_VALUE"""),0.0)</f>
        <v>0</v>
      </c>
      <c r="H377" s="122" t="str">
        <f>IFERROR(__xludf.DUMMYFUNCTION("""COMPUTED_VALUE"""),"Active")</f>
        <v>Active</v>
      </c>
    </row>
    <row r="378">
      <c r="A378" s="131">
        <f>IFERROR(__xludf.DUMMYFUNCTION("""COMPUTED_VALUE"""),46170.31768518518)</f>
        <v>46170.31769</v>
      </c>
      <c r="B378" s="122" t="str">
        <f>IFERROR(__xludf.DUMMYFUNCTION("""COMPUTED_VALUE"""),"DRON")</f>
        <v>DRON</v>
      </c>
      <c r="C378" s="122" t="str">
        <f>IFERROR(__xludf.DUMMYFUNCTION("""COMPUTED_VALUE"""),"DroneDrop releases earnings report: Beat profit, guidance Raised.")</f>
        <v>DroneDrop releases earnings report: Beat profit, guidance Raised.</v>
      </c>
      <c r="D37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78" s="122" t="str">
        <f>IFERROR(__xludf.DUMMYFUNCTION("""COMPUTED_VALUE"""),"Positive")</f>
        <v>Positive</v>
      </c>
      <c r="F378" s="122">
        <f>IFERROR(__xludf.DUMMYFUNCTION("""COMPUTED_VALUE"""),0.0356845724691054)</f>
        <v>0.03568457247</v>
      </c>
      <c r="G378" s="122">
        <f>IFERROR(__xludf.DUMMYFUNCTION("""COMPUTED_VALUE"""),0.892114311727635)</f>
        <v>0.8921143117</v>
      </c>
      <c r="H378" s="122" t="str">
        <f>IFERROR(__xludf.DUMMYFUNCTION("""COMPUTED_VALUE"""),"Active")</f>
        <v>Active</v>
      </c>
    </row>
    <row r="379">
      <c r="A379" s="131">
        <f>IFERROR(__xludf.DUMMYFUNCTION("""COMPUTED_VALUE"""),46170.31778935185)</f>
        <v>46170.31779</v>
      </c>
      <c r="B379" s="122" t="str">
        <f>IFERROR(__xludf.DUMMYFUNCTION("""COMPUTED_VALUE"""),"CARE")</f>
        <v>CARE</v>
      </c>
      <c r="C379" s="122" t="str">
        <f>IFERROR(__xludf.DUMMYFUNCTION("""COMPUTED_VALUE"""),"CareCloud releases earnings report: Miss profit, guidance Lowered.")</f>
        <v>CareCloud releases earnings report: Miss profit, guidance Lowered.</v>
      </c>
      <c r="D379" s="122" t="str">
        <f>IFERROR(__xludf.DUMMYFUNCTION("""COMPUTED_VALUE"""),"Earnings report: revenue Miss, profit Miss, debt Worse, guidance Lowered.")</f>
        <v>Earnings report: revenue Miss, profit Miss, debt Worse, guidance Lowered.</v>
      </c>
      <c r="E379" s="122" t="str">
        <f>IFERROR(__xludf.DUMMYFUNCTION("""COMPUTED_VALUE"""),"Negative")</f>
        <v>Negative</v>
      </c>
      <c r="F379" s="122">
        <f>IFERROR(__xludf.DUMMYFUNCTION("""COMPUTED_VALUE"""),-0.04107246625448308)</f>
        <v>-0.04107246625</v>
      </c>
      <c r="G379" s="122">
        <f>IFERROR(__xludf.DUMMYFUNCTION("""COMPUTED_VALUE"""),1.026811656362077)</f>
        <v>1.026811656</v>
      </c>
      <c r="H379" s="122" t="str">
        <f>IFERROR(__xludf.DUMMYFUNCTION("""COMPUTED_VALUE"""),"Active")</f>
        <v>Active</v>
      </c>
    </row>
    <row r="380">
      <c r="A380" s="131">
        <f>IFERROR(__xludf.DUMMYFUNCTION("""COMPUTED_VALUE"""),46170.31789351852)</f>
        <v>46170.31789</v>
      </c>
      <c r="B380" s="122" t="str">
        <f>IFERROR(__xludf.DUMMYFUNCTION("""COMPUTED_VALUE"""),"MUSC")</f>
        <v>MUSC</v>
      </c>
      <c r="C380" s="122" t="str">
        <f>IFERROR(__xludf.DUMMYFUNCTION("""COMPUTED_VALUE"""),"MusicWave releases earnings report: Inline profit, guidance Maintained.")</f>
        <v>MusicWave releases earnings report: Inline profit, guidance Maintained.</v>
      </c>
      <c r="D380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380" s="122" t="str">
        <f>IFERROR(__xludf.DUMMYFUNCTION("""COMPUTED_VALUE"""),"Neutral")</f>
        <v>Neutral</v>
      </c>
      <c r="F380" s="122">
        <f>IFERROR(__xludf.DUMMYFUNCTION("""COMPUTED_VALUE"""),0.008965975244063657)</f>
        <v>0.008965975244</v>
      </c>
      <c r="G380" s="122">
        <f>IFERROR(__xludf.DUMMYFUNCTION("""COMPUTED_VALUE"""),0.22414938110159144)</f>
        <v>0.2241493811</v>
      </c>
      <c r="H380" s="122" t="str">
        <f>IFERROR(__xludf.DUMMYFUNCTION("""COMPUTED_VALUE"""),"Active")</f>
        <v>Active</v>
      </c>
    </row>
    <row r="381">
      <c r="A381" s="131">
        <f>IFERROR(__xludf.DUMMYFUNCTION("""COMPUTED_VALUE"""),46170.31798611111)</f>
        <v>46170.31799</v>
      </c>
      <c r="B381" s="122" t="str">
        <f>IFERROR(__xludf.DUMMYFUNCTION("""COMPUTED_VALUE"""),"EVGO")</f>
        <v>EVGO</v>
      </c>
      <c r="C381" s="122" t="str">
        <f>IFERROR(__xludf.DUMMYFUNCTION("""COMPUTED_VALUE"""),"EVGo Motors releases earnings report: Miss profit, guidance Lowered.")</f>
        <v>EVGo Motors releases earnings report: Miss profit, guidance Lowered.</v>
      </c>
      <c r="D381" s="122" t="str">
        <f>IFERROR(__xludf.DUMMYFUNCTION("""COMPUTED_VALUE"""),"Earnings report: revenue Miss, profit Miss, debt Worse, guidance Lowered.")</f>
        <v>Earnings report: revenue Miss, profit Miss, debt Worse, guidance Lowered.</v>
      </c>
      <c r="E381" s="122" t="str">
        <f>IFERROR(__xludf.DUMMYFUNCTION("""COMPUTED_VALUE"""),"Negative")</f>
        <v>Negative</v>
      </c>
      <c r="F381" s="122">
        <f>IFERROR(__xludf.DUMMYFUNCTION("""COMPUTED_VALUE"""),-0.05411220958334446)</f>
        <v>-0.05411220958</v>
      </c>
      <c r="G381" s="122">
        <f>IFERROR(__xludf.DUMMYFUNCTION("""COMPUTED_VALUE"""),1.3528052395836114)</f>
        <v>1.35280524</v>
      </c>
      <c r="H381" s="122" t="str">
        <f>IFERROR(__xludf.DUMMYFUNCTION("""COMPUTED_VALUE"""),"Active")</f>
        <v>Active</v>
      </c>
    </row>
    <row r="382">
      <c r="A382" s="131">
        <f>IFERROR(__xludf.DUMMYFUNCTION("""COMPUTED_VALUE"""),46170.31806712963)</f>
        <v>46170.31807</v>
      </c>
      <c r="B382" s="122" t="str">
        <f>IFERROR(__xludf.DUMMYFUNCTION("""COMPUTED_VALUE"""),"INSR")</f>
        <v>INSR</v>
      </c>
      <c r="C382" s="122" t="str">
        <f>IFERROR(__xludf.DUMMYFUNCTION("""COMPUTED_VALUE"""),"Shield Insurance releases earnings report: Inline profit, guidance Maintained.")</f>
        <v>Shield Insurance releases earnings report: Inline profit, guidance Maintained.</v>
      </c>
      <c r="D382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382" s="122" t="str">
        <f>IFERROR(__xludf.DUMMYFUNCTION("""COMPUTED_VALUE"""),"Neutral")</f>
        <v>Neutral</v>
      </c>
      <c r="F382" s="122">
        <f>IFERROR(__xludf.DUMMYFUNCTION("""COMPUTED_VALUE"""),-0.004627103560145622)</f>
        <v>-0.00462710356</v>
      </c>
      <c r="G382" s="122">
        <f>IFERROR(__xludf.DUMMYFUNCTION("""COMPUTED_VALUE"""),0.11567758900364056)</f>
        <v>0.115677589</v>
      </c>
      <c r="H382" s="122" t="str">
        <f>IFERROR(__xludf.DUMMYFUNCTION("""COMPUTED_VALUE"""),"Active")</f>
        <v>Active</v>
      </c>
    </row>
    <row r="383">
      <c r="A383" s="131">
        <f>IFERROR(__xludf.DUMMYFUNCTION("""COMPUTED_VALUE"""),46170.31814814815)</f>
        <v>46170.31815</v>
      </c>
      <c r="B383" s="122" t="str">
        <f>IFERROR(__xludf.DUMMYFUNCTION("""COMPUTED_VALUE"""),"BATT")</f>
        <v>BATT</v>
      </c>
      <c r="C383" s="122" t="str">
        <f>IFERROR(__xludf.DUMMYFUNCTION("""COMPUTED_VALUE"""),"BatteryBox releases earnings report: Miss profit, guidance Lowered.")</f>
        <v>BatteryBox releases earnings report: Miss profit, guidance Lowered.</v>
      </c>
      <c r="D383" s="122" t="str">
        <f>IFERROR(__xludf.DUMMYFUNCTION("""COMPUTED_VALUE"""),"Earnings report: revenue Miss, profit Miss, debt Worse, guidance Lowered.")</f>
        <v>Earnings report: revenue Miss, profit Miss, debt Worse, guidance Lowered.</v>
      </c>
      <c r="E383" s="122" t="str">
        <f>IFERROR(__xludf.DUMMYFUNCTION("""COMPUTED_VALUE"""),"Negative")</f>
        <v>Negative</v>
      </c>
      <c r="F383" s="122">
        <f>IFERROR(__xludf.DUMMYFUNCTION("""COMPUTED_VALUE"""),-0.04774067360740699)</f>
        <v>-0.04774067361</v>
      </c>
      <c r="G383" s="122">
        <f>IFERROR(__xludf.DUMMYFUNCTION("""COMPUTED_VALUE"""),1.1935168401851748)</f>
        <v>1.19351684</v>
      </c>
      <c r="H383" s="122" t="str">
        <f>IFERROR(__xludf.DUMMYFUNCTION("""COMPUTED_VALUE"""),"Active")</f>
        <v>Active</v>
      </c>
    </row>
    <row r="384">
      <c r="A384" s="131">
        <f>IFERROR(__xludf.DUMMYFUNCTION("""COMPUTED_VALUE"""),46170.31821759259)</f>
        <v>46170.31822</v>
      </c>
      <c r="B384" s="122" t="str">
        <f>IFERROR(__xludf.DUMMYFUNCTION("""COMPUTED_VALUE"""),"BIKE")</f>
        <v>BIKE</v>
      </c>
      <c r="C384" s="122" t="str">
        <f>IFERROR(__xludf.DUMMYFUNCTION("""COMPUTED_VALUE"""),"BikeBox releases earnings report: Beat profit, guidance Raised.")</f>
        <v>BikeBox releases earnings report: Beat profit, guidance Raised.</v>
      </c>
      <c r="D38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84" s="122" t="str">
        <f>IFERROR(__xludf.DUMMYFUNCTION("""COMPUTED_VALUE"""),"Positive")</f>
        <v>Positive</v>
      </c>
      <c r="F384" s="122">
        <f>IFERROR(__xludf.DUMMYFUNCTION("""COMPUTED_VALUE"""),0.05535667161985892)</f>
        <v>0.05535667162</v>
      </c>
      <c r="G384" s="122">
        <f>IFERROR(__xludf.DUMMYFUNCTION("""COMPUTED_VALUE"""),1.3839167904964729)</f>
        <v>1.38391679</v>
      </c>
      <c r="H384" s="122" t="str">
        <f>IFERROR(__xludf.DUMMYFUNCTION("""COMPUTED_VALUE"""),"Active")</f>
        <v>Active</v>
      </c>
    </row>
    <row r="385">
      <c r="A385" s="131">
        <f>IFERROR(__xludf.DUMMYFUNCTION("""COMPUTED_VALUE"""),46170.31831018518)</f>
        <v>46170.31831</v>
      </c>
      <c r="B385" s="122" t="str">
        <f>IFERROR(__xludf.DUMMYFUNCTION("""COMPUTED_VALUE"""),"AIBO")</f>
        <v>AIBO</v>
      </c>
      <c r="C385" s="122" t="str">
        <f>IFERROR(__xludf.DUMMYFUNCTION("""COMPUTED_VALUE"""),"Homework AI releases earnings report: Miss profit, guidance Maintained.")</f>
        <v>Homework AI releases earnings report: Miss profit, guidance Maintained.</v>
      </c>
      <c r="D385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385" s="122" t="str">
        <f>IFERROR(__xludf.DUMMYFUNCTION("""COMPUTED_VALUE"""),"Negative")</f>
        <v>Negative</v>
      </c>
      <c r="F385" s="122">
        <f>IFERROR(__xludf.DUMMYFUNCTION("""COMPUTED_VALUE"""),-0.017117578964826068)</f>
        <v>-0.01711757896</v>
      </c>
      <c r="G385" s="122">
        <f>IFERROR(__xludf.DUMMYFUNCTION("""COMPUTED_VALUE"""),0.4279394741206517)</f>
        <v>0.4279394741</v>
      </c>
      <c r="H385" s="122" t="str">
        <f>IFERROR(__xludf.DUMMYFUNCTION("""COMPUTED_VALUE"""),"Active")</f>
        <v>Active</v>
      </c>
    </row>
    <row r="386">
      <c r="A386" s="131">
        <f>IFERROR(__xludf.DUMMYFUNCTION("""COMPUTED_VALUE"""),46170.318391203706)</f>
        <v>46170.31839</v>
      </c>
      <c r="B386" s="122" t="str">
        <f>IFERROR(__xludf.DUMMYFUNCTION("""COMPUTED_VALUE"""),"MALL")</f>
        <v>MALL</v>
      </c>
      <c r="C386" s="122" t="str">
        <f>IFERROR(__xludf.DUMMYFUNCTION("""COMPUTED_VALUE"""),"MegaMall releases earnings report: Beat profit, guidance Raised.")</f>
        <v>MegaMall releases earnings report: Beat profit, guidance Raised.</v>
      </c>
      <c r="D38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386" s="122" t="str">
        <f>IFERROR(__xludf.DUMMYFUNCTION("""COMPUTED_VALUE"""),"Positive")</f>
        <v>Positive</v>
      </c>
      <c r="F386" s="122">
        <f>IFERROR(__xludf.DUMMYFUNCTION("""COMPUTED_VALUE"""),0.027709181791708146)</f>
        <v>0.02770918179</v>
      </c>
      <c r="G386" s="122">
        <f>IFERROR(__xludf.DUMMYFUNCTION("""COMPUTED_VALUE"""),0.6927295447927037)</f>
        <v>0.6927295448</v>
      </c>
      <c r="H386" s="122" t="str">
        <f>IFERROR(__xludf.DUMMYFUNCTION("""COMPUTED_VALUE"""),"Active")</f>
        <v>Active</v>
      </c>
    </row>
    <row r="387">
      <c r="A387" s="131">
        <f>IFERROR(__xludf.DUMMYFUNCTION("""COMPUTED_VALUE"""),46170.3308912037)</f>
        <v>46170.33089</v>
      </c>
      <c r="B387" s="122" t="str">
        <f>IFERROR(__xludf.DUMMYFUNCTION("""COMPUTED_VALUE"""),"SNAX")</f>
        <v>SNAX</v>
      </c>
      <c r="C387" s="122" t="str">
        <f>IFERROR(__xludf.DUMMYFUNCTION("""COMPUTED_VALUE"""),"MICA Snacks reports steady growth and improved market confidence.")</f>
        <v>MICA Snacks reports steady growth and improved market confidence.</v>
      </c>
      <c r="D387" s="122" t="str">
        <f>IFERROR(__xludf.DUMMYFUNCTION("""COMPUTED_VALUE"""),"MICA Snacks continues to show positive momentum with moderate risk.")</f>
        <v>MICA Snacks continues to show positive momentum with moderate risk.</v>
      </c>
      <c r="E387" s="122" t="str">
        <f>IFERROR(__xludf.DUMMYFUNCTION("""COMPUTED_VALUE"""),"Positive")</f>
        <v>Positive</v>
      </c>
      <c r="F387" s="122">
        <f>IFERROR(__xludf.DUMMYFUNCTION("""COMPUTED_VALUE"""),0.015)</f>
        <v>0.015</v>
      </c>
      <c r="G387" s="122">
        <f>IFERROR(__xludf.DUMMYFUNCTION("""COMPUTED_VALUE"""),0.5)</f>
        <v>0.5</v>
      </c>
      <c r="H387" s="122" t="str">
        <f>IFERROR(__xludf.DUMMYFUNCTION("""COMPUTED_VALUE"""),"Active")</f>
        <v>Active</v>
      </c>
    </row>
    <row r="388">
      <c r="A388" s="131">
        <f>IFERROR(__xludf.DUMMYFUNCTION("""COMPUTED_VALUE"""),46170.33090277778)</f>
        <v>46170.3309</v>
      </c>
      <c r="B388" s="122" t="str">
        <f>IFERROR(__xludf.DUMMYFUNCTION("""COMPUTED_VALUE"""),"RAMN")</f>
        <v>RAMN</v>
      </c>
      <c r="C388" s="122" t="str">
        <f>IFERROR(__xludf.DUMMYFUNCTION("""COMPUTED_VALUE"""),"Ramen Republic drops sharply after major concerns hit the market.")</f>
        <v>Ramen Republic drops sharply after major concerns hit the market.</v>
      </c>
      <c r="D388" s="122" t="str">
        <f>IFERROR(__xludf.DUMMYFUNCTION("""COMPUTED_VALUE"""),"Ramen Republic is under pressure as investors react to worsening conditions.")</f>
        <v>Ramen Republic is under pressure as investors react to worsening conditions.</v>
      </c>
      <c r="E388" s="122" t="str">
        <f>IFERROR(__xludf.DUMMYFUNCTION("""COMPUTED_VALUE"""),"Negative")</f>
        <v>Negative</v>
      </c>
      <c r="F388" s="122">
        <f>IFERROR(__xludf.DUMMYFUNCTION("""COMPUTED_VALUE"""),-0.04)</f>
        <v>-0.04</v>
      </c>
      <c r="G388" s="122">
        <f>IFERROR(__xludf.DUMMYFUNCTION("""COMPUTED_VALUE"""),2.0)</f>
        <v>2</v>
      </c>
      <c r="H388" s="122" t="str">
        <f>IFERROR(__xludf.DUMMYFUNCTION("""COMPUTED_VALUE"""),"Active")</f>
        <v>Active</v>
      </c>
    </row>
    <row r="389">
      <c r="A389" s="131">
        <f>IFERROR(__xludf.DUMMYFUNCTION("""COMPUTED_VALUE"""),46170.33090277778)</f>
        <v>46170.3309</v>
      </c>
      <c r="B389" s="122" t="str">
        <f>IFERROR(__xludf.DUMMYFUNCTION("""COMPUTED_VALUE"""),"COLA")</f>
        <v>COLA</v>
      </c>
      <c r="C389" s="122" t="str">
        <f>IFERROR(__xludf.DUMMYFUNCTION("""COMPUTED_VALUE"""),"K-Pop Cola sees uncertain trading as investors react to mixed signals.")</f>
        <v>K-Pop Cola sees uncertain trading as investors react to mixed signals.</v>
      </c>
      <c r="D389" s="122" t="str">
        <f>IFERROR(__xludf.DUMMYFUNCTION("""COMPUTED_VALUE"""),"K-Pop Cola may experience larger price swings as investors disagree on direction.")</f>
        <v>K-Pop Cola may experience larger price swings as investors disagree on direction.</v>
      </c>
      <c r="E389" s="122" t="str">
        <f>IFERROR(__xludf.DUMMYFUNCTION("""COMPUTED_VALUE"""),"Mixed")</f>
        <v>Mixed</v>
      </c>
      <c r="F389" s="122">
        <f>IFERROR(__xludf.DUMMYFUNCTION("""COMPUTED_VALUE"""),-0.008768300257137778)</f>
        <v>-0.008768300257</v>
      </c>
      <c r="G389" s="122">
        <f>IFERROR(__xludf.DUMMYFUNCTION("""COMPUTED_VALUE"""),1.5)</f>
        <v>1.5</v>
      </c>
      <c r="H389" s="122" t="str">
        <f>IFERROR(__xludf.DUMMYFUNCTION("""COMPUTED_VALUE"""),"Active")</f>
        <v>Active</v>
      </c>
    </row>
    <row r="390">
      <c r="A390" s="131">
        <f>IFERROR(__xludf.DUMMYFUNCTION("""COMPUTED_VALUE"""),46170.33090277778)</f>
        <v>46170.3309</v>
      </c>
      <c r="B390" s="122" t="str">
        <f>IFERROR(__xludf.DUMMYFUNCTION("""COMPUTED_VALUE"""),"CHIP")</f>
        <v>CHIP</v>
      </c>
      <c r="C390" s="122" t="str">
        <f>IFERROR(__xludf.DUMMYFUNCTION("""COMPUTED_VALUE"""),"Chip Empire faces weaker demand and cautious investor sentiment.")</f>
        <v>Chip Empire faces weaker demand and cautious investor sentiment.</v>
      </c>
      <c r="D390" s="122" t="str">
        <f>IFERROR(__xludf.DUMMYFUNCTION("""COMPUTED_VALUE"""),"Investors are watching Chip Empire closely as demand weakens.")</f>
        <v>Investors are watching Chip Empire closely as demand weakens.</v>
      </c>
      <c r="E390" s="122" t="str">
        <f>IFERROR(__xludf.DUMMYFUNCTION("""COMPUTED_VALUE"""),"Negative")</f>
        <v>Negative</v>
      </c>
      <c r="F390" s="122">
        <f>IFERROR(__xludf.DUMMYFUNCTION("""COMPUTED_VALUE"""),-0.015)</f>
        <v>-0.015</v>
      </c>
      <c r="G390" s="122">
        <f>IFERROR(__xludf.DUMMYFUNCTION("""COMPUTED_VALUE"""),0.75)</f>
        <v>0.75</v>
      </c>
      <c r="H390" s="122" t="str">
        <f>IFERROR(__xludf.DUMMYFUNCTION("""COMPUTED_VALUE"""),"Active")</f>
        <v>Active</v>
      </c>
    </row>
    <row r="391">
      <c r="A391" s="131">
        <f>IFERROR(__xludf.DUMMYFUNCTION("""COMPUTED_VALUE"""),46170.33091435185)</f>
        <v>46170.33091</v>
      </c>
      <c r="B391" s="122" t="str">
        <f>IFERROR(__xludf.DUMMYFUNCTION("""COMPUTED_VALUE"""),"CAND")</f>
        <v>CAND</v>
      </c>
      <c r="C391" s="122" t="str">
        <f>IFERROR(__xludf.DUMMYFUNCTION("""COMPUTED_VALUE"""),"Candy Capital sees uncertain trading as investors react to mixed signals.")</f>
        <v>Candy Capital sees uncertain trading as investors react to mixed signals.</v>
      </c>
      <c r="D391" s="122" t="str">
        <f>IFERROR(__xludf.DUMMYFUNCTION("""COMPUTED_VALUE"""),"Candy Capital may experience larger price swings as investors disagree on direction.")</f>
        <v>Candy Capital may experience larger price swings as investors disagree on direction.</v>
      </c>
      <c r="E391" s="122" t="str">
        <f>IFERROR(__xludf.DUMMYFUNCTION("""COMPUTED_VALUE"""),"Mixed")</f>
        <v>Mixed</v>
      </c>
      <c r="F391" s="122">
        <f>IFERROR(__xludf.DUMMYFUNCTION("""COMPUTED_VALUE"""),-0.0024128453211774703)</f>
        <v>-0.002412845321</v>
      </c>
      <c r="G391" s="122">
        <f>IFERROR(__xludf.DUMMYFUNCTION("""COMPUTED_VALUE"""),1.5)</f>
        <v>1.5</v>
      </c>
      <c r="H391" s="122" t="str">
        <f>IFERROR(__xludf.DUMMYFUNCTION("""COMPUTED_VALUE"""),"Active")</f>
        <v>Active</v>
      </c>
    </row>
    <row r="392">
      <c r="A392" s="131">
        <f>IFERROR(__xludf.DUMMYFUNCTION("""COMPUTED_VALUE"""),46170.330925925926)</f>
        <v>46170.33093</v>
      </c>
      <c r="B392" s="122" t="str">
        <f>IFERROR(__xludf.DUMMYFUNCTION("""COMPUTED_VALUE"""),"TECH")</f>
        <v>TECH</v>
      </c>
      <c r="C392" s="122" t="str">
        <f>IFERROR(__xludf.DUMMYFUNCTION("""COMPUTED_VALUE"""),"Dragon Tech faces weaker demand and cautious investor sentiment.")</f>
        <v>Dragon Tech faces weaker demand and cautious investor sentiment.</v>
      </c>
      <c r="D392" s="122" t="str">
        <f>IFERROR(__xludf.DUMMYFUNCTION("""COMPUTED_VALUE"""),"Investors are watching Dragon Tech closely as demand weakens.")</f>
        <v>Investors are watching Dragon Tech closely as demand weakens.</v>
      </c>
      <c r="E392" s="122" t="str">
        <f>IFERROR(__xludf.DUMMYFUNCTION("""COMPUTED_VALUE"""),"Negative")</f>
        <v>Negative</v>
      </c>
      <c r="F392" s="122">
        <f>IFERROR(__xludf.DUMMYFUNCTION("""COMPUTED_VALUE"""),-0.015)</f>
        <v>-0.015</v>
      </c>
      <c r="G392" s="122">
        <f>IFERROR(__xludf.DUMMYFUNCTION("""COMPUTED_VALUE"""),0.75)</f>
        <v>0.75</v>
      </c>
      <c r="H392" s="122" t="str">
        <f>IFERROR(__xludf.DUMMYFUNCTION("""COMPUTED_VALUE"""),"Active")</f>
        <v>Active</v>
      </c>
    </row>
    <row r="393">
      <c r="A393" s="131">
        <f>IFERROR(__xludf.DUMMYFUNCTION("""COMPUTED_VALUE"""),46170.330925925926)</f>
        <v>46170.33093</v>
      </c>
      <c r="B393" s="122" t="str">
        <f>IFERROR(__xludf.DUMMYFUNCTION("""COMPUTED_VALUE"""),"AIBO")</f>
        <v>AIBO</v>
      </c>
      <c r="C393" s="122" t="str">
        <f>IFERROR(__xludf.DUMMYFUNCTION("""COMPUTED_VALUE"""),"Homework AI faces weaker demand and cautious investor sentiment.")</f>
        <v>Homework AI faces weaker demand and cautious investor sentiment.</v>
      </c>
      <c r="D393" s="122" t="str">
        <f>IFERROR(__xludf.DUMMYFUNCTION("""COMPUTED_VALUE"""),"Investors are watching Homework AI closely as demand weakens.")</f>
        <v>Investors are watching Homework AI closely as demand weakens.</v>
      </c>
      <c r="E393" s="122" t="str">
        <f>IFERROR(__xludf.DUMMYFUNCTION("""COMPUTED_VALUE"""),"Negative")</f>
        <v>Negative</v>
      </c>
      <c r="F393" s="122">
        <f>IFERROR(__xludf.DUMMYFUNCTION("""COMPUTED_VALUE"""),-0.015)</f>
        <v>-0.015</v>
      </c>
      <c r="G393" s="122">
        <f>IFERROR(__xludf.DUMMYFUNCTION("""COMPUTED_VALUE"""),0.75)</f>
        <v>0.75</v>
      </c>
      <c r="H393" s="122" t="str">
        <f>IFERROR(__xludf.DUMMYFUNCTION("""COMPUTED_VALUE"""),"Active")</f>
        <v>Active</v>
      </c>
    </row>
    <row r="394">
      <c r="A394" s="131">
        <f>IFERROR(__xludf.DUMMYFUNCTION("""COMPUTED_VALUE"""),46170.330925925926)</f>
        <v>46170.33093</v>
      </c>
      <c r="B394" s="122" t="str">
        <f>IFERROR(__xludf.DUMMYFUNCTION("""COMPUTED_VALUE"""),"GAME")</f>
        <v>GAME</v>
      </c>
      <c r="C394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394" s="122" t="str">
        <f>IFERROR(__xludf.DUMMYFUNCTION("""COMPUTED_VALUE"""),"GameBox Media appears steady with no major changes reported.")</f>
        <v>GameBox Media appears steady with no major changes reported.</v>
      </c>
      <c r="E394" s="122" t="str">
        <f>IFERROR(__xludf.DUMMYFUNCTION("""COMPUTED_VALUE"""),"Neutral")</f>
        <v>Neutral</v>
      </c>
      <c r="F394" s="122">
        <f>IFERROR(__xludf.DUMMYFUNCTION("""COMPUTED_VALUE"""),0.0)</f>
        <v>0</v>
      </c>
      <c r="G394" s="122">
        <f>IFERROR(__xludf.DUMMYFUNCTION("""COMPUTED_VALUE"""),0.0)</f>
        <v>0</v>
      </c>
      <c r="H394" s="122" t="str">
        <f>IFERROR(__xludf.DUMMYFUNCTION("""COMPUTED_VALUE"""),"Active")</f>
        <v>Active</v>
      </c>
    </row>
    <row r="395">
      <c r="A395" s="131">
        <f>IFERROR(__xludf.DUMMYFUNCTION("""COMPUTED_VALUE"""),46170.3309375)</f>
        <v>46170.33094</v>
      </c>
      <c r="B395" s="122" t="str">
        <f>IFERROR(__xludf.DUMMYFUNCTION("""COMPUTED_VALUE"""),"VRSE")</f>
        <v>VRSE</v>
      </c>
      <c r="C395" s="122" t="str">
        <f>IFERROR(__xludf.DUMMYFUNCTION("""COMPUTED_VALUE"""),"VerseVR reports steady growth and improved market confidence.")</f>
        <v>VerseVR reports steady growth and improved market confidence.</v>
      </c>
      <c r="D395" s="122" t="str">
        <f>IFERROR(__xludf.DUMMYFUNCTION("""COMPUTED_VALUE"""),"VerseVR continues to show positive momentum with moderate risk.")</f>
        <v>VerseVR continues to show positive momentum with moderate risk.</v>
      </c>
      <c r="E395" s="122" t="str">
        <f>IFERROR(__xludf.DUMMYFUNCTION("""COMPUTED_VALUE"""),"Positive")</f>
        <v>Positive</v>
      </c>
      <c r="F395" s="122">
        <f>IFERROR(__xludf.DUMMYFUNCTION("""COMPUTED_VALUE"""),0.015)</f>
        <v>0.015</v>
      </c>
      <c r="G395" s="122">
        <f>IFERROR(__xludf.DUMMYFUNCTION("""COMPUTED_VALUE"""),0.5)</f>
        <v>0.5</v>
      </c>
      <c r="H395" s="122" t="str">
        <f>IFERROR(__xludf.DUMMYFUNCTION("""COMPUTED_VALUE"""),"Active")</f>
        <v>Active</v>
      </c>
    </row>
    <row r="396">
      <c r="A396" s="131">
        <f>IFERROR(__xludf.DUMMYFUNCTION("""COMPUTED_VALUE"""),46170.3309375)</f>
        <v>46170.33094</v>
      </c>
      <c r="B396" s="122" t="str">
        <f>IFERROR(__xludf.DUMMYFUNCTION("""COMPUTED_VALUE"""),"BYTE")</f>
        <v>BYTE</v>
      </c>
      <c r="C396" s="122" t="str">
        <f>IFERROR(__xludf.DUMMYFUNCTION("""COMPUTED_VALUE"""),"ByteWorks remains stable as the Technology market shows normal activity.")</f>
        <v>ByteWorks remains stable as the Technology market shows normal activity.</v>
      </c>
      <c r="D396" s="122" t="str">
        <f>IFERROR(__xludf.DUMMYFUNCTION("""COMPUTED_VALUE"""),"ByteWorks appears steady with no major changes reported.")</f>
        <v>ByteWorks appears steady with no major changes reported.</v>
      </c>
      <c r="E396" s="122" t="str">
        <f>IFERROR(__xludf.DUMMYFUNCTION("""COMPUTED_VALUE"""),"Neutral")</f>
        <v>Neutral</v>
      </c>
      <c r="F396" s="122">
        <f>IFERROR(__xludf.DUMMYFUNCTION("""COMPUTED_VALUE"""),0.0)</f>
        <v>0</v>
      </c>
      <c r="G396" s="122">
        <f>IFERROR(__xludf.DUMMYFUNCTION("""COMPUTED_VALUE"""),0.0)</f>
        <v>0</v>
      </c>
      <c r="H396" s="122" t="str">
        <f>IFERROR(__xludf.DUMMYFUNCTION("""COMPUTED_VALUE"""),"Active")</f>
        <v>Active</v>
      </c>
    </row>
    <row r="397">
      <c r="A397" s="131">
        <f>IFERROR(__xludf.DUMMYFUNCTION("""COMPUTED_VALUE"""),46170.33094907407)</f>
        <v>46170.33095</v>
      </c>
      <c r="B397" s="122" t="str">
        <f>IFERROR(__xludf.DUMMYFUNCTION("""COMPUTED_VALUE"""),"BANK")</f>
        <v>BANK</v>
      </c>
      <c r="C397" s="122" t="str">
        <f>IFERROR(__xludf.DUMMYFUNCTION("""COMPUTED_VALUE"""),"Tiger Bank remains stable as the Finance market shows normal activity.")</f>
        <v>Tiger Bank remains stable as the Finance market shows normal activity.</v>
      </c>
      <c r="D397" s="122" t="str">
        <f>IFERROR(__xludf.DUMMYFUNCTION("""COMPUTED_VALUE"""),"Tiger Bank appears steady with no major changes reported.")</f>
        <v>Tiger Bank appears steady with no major changes reported.</v>
      </c>
      <c r="E397" s="122" t="str">
        <f>IFERROR(__xludf.DUMMYFUNCTION("""COMPUTED_VALUE"""),"Neutral")</f>
        <v>Neutral</v>
      </c>
      <c r="F397" s="122">
        <f>IFERROR(__xludf.DUMMYFUNCTION("""COMPUTED_VALUE"""),0.0)</f>
        <v>0</v>
      </c>
      <c r="G397" s="122">
        <f>IFERROR(__xludf.DUMMYFUNCTION("""COMPUTED_VALUE"""),0.0)</f>
        <v>0</v>
      </c>
      <c r="H397" s="122" t="str">
        <f>IFERROR(__xludf.DUMMYFUNCTION("""COMPUTED_VALUE"""),"Active")</f>
        <v>Active</v>
      </c>
    </row>
    <row r="398">
      <c r="A398" s="131">
        <f>IFERROR(__xludf.DUMMYFUNCTION("""COMPUTED_VALUE"""),46170.33094907407)</f>
        <v>46170.33095</v>
      </c>
      <c r="B398" s="122" t="str">
        <f>IFERROR(__xludf.DUMMYFUNCTION("""COMPUTED_VALUE"""),"CRED")</f>
        <v>CRED</v>
      </c>
      <c r="C398" s="122" t="str">
        <f>IFERROR(__xludf.DUMMYFUNCTION("""COMPUTED_VALUE"""),"Credit Castle remains stable as the Finance market shows normal activity.")</f>
        <v>Credit Castle remains stable as the Finance market shows normal activity.</v>
      </c>
      <c r="D398" s="122" t="str">
        <f>IFERROR(__xludf.DUMMYFUNCTION("""COMPUTED_VALUE"""),"Credit Castle appears steady with no major changes reported.")</f>
        <v>Credit Castle appears steady with no major changes reported.</v>
      </c>
      <c r="E398" s="122" t="str">
        <f>IFERROR(__xludf.DUMMYFUNCTION("""COMPUTED_VALUE"""),"Neutral")</f>
        <v>Neutral</v>
      </c>
      <c r="F398" s="122">
        <f>IFERROR(__xludf.DUMMYFUNCTION("""COMPUTED_VALUE"""),0.0)</f>
        <v>0</v>
      </c>
      <c r="G398" s="122">
        <f>IFERROR(__xludf.DUMMYFUNCTION("""COMPUTED_VALUE"""),0.0)</f>
        <v>0</v>
      </c>
      <c r="H398" s="122" t="str">
        <f>IFERROR(__xludf.DUMMYFUNCTION("""COMPUTED_VALUE"""),"Active")</f>
        <v>Active</v>
      </c>
    </row>
    <row r="399">
      <c r="A399" s="131">
        <f>IFERROR(__xludf.DUMMYFUNCTION("""COMPUTED_VALUE"""),46170.33094907407)</f>
        <v>46170.33095</v>
      </c>
      <c r="B399" s="122" t="str">
        <f>IFERROR(__xludf.DUMMYFUNCTION("""COMPUTED_VALUE"""),"BOND")</f>
        <v>BOND</v>
      </c>
      <c r="C399" s="122" t="str">
        <f>IFERROR(__xludf.DUMMYFUNCTION("""COMPUTED_VALUE"""),"BondBridge reports steady growth and improved market confidence.")</f>
        <v>BondBridge reports steady growth and improved market confidence.</v>
      </c>
      <c r="D399" s="122" t="str">
        <f>IFERROR(__xludf.DUMMYFUNCTION("""COMPUTED_VALUE"""),"BondBridge continues to show positive momentum with moderate risk.")</f>
        <v>BondBridge continues to show positive momentum with moderate risk.</v>
      </c>
      <c r="E399" s="122" t="str">
        <f>IFERROR(__xludf.DUMMYFUNCTION("""COMPUTED_VALUE"""),"Positive")</f>
        <v>Positive</v>
      </c>
      <c r="F399" s="122">
        <f>IFERROR(__xludf.DUMMYFUNCTION("""COMPUTED_VALUE"""),0.015)</f>
        <v>0.015</v>
      </c>
      <c r="G399" s="122">
        <f>IFERROR(__xludf.DUMMYFUNCTION("""COMPUTED_VALUE"""),0.5)</f>
        <v>0.5</v>
      </c>
      <c r="H399" s="122" t="str">
        <f>IFERROR(__xludf.DUMMYFUNCTION("""COMPUTED_VALUE"""),"Active")</f>
        <v>Active</v>
      </c>
    </row>
    <row r="400">
      <c r="A400" s="131">
        <f>IFERROR(__xludf.DUMMYFUNCTION("""COMPUTED_VALUE"""),46170.33096064815)</f>
        <v>46170.33096</v>
      </c>
      <c r="B400" s="122" t="str">
        <f>IFERROR(__xludf.DUMMYFUNCTION("""COMPUTED_VALUE"""),"INSR")</f>
        <v>INSR</v>
      </c>
      <c r="C400" s="122" t="str">
        <f>IFERROR(__xludf.DUMMYFUNCTION("""COMPUTED_VALUE"""),"Shield Insurance faces weaker demand and cautious investor sentiment.")</f>
        <v>Shield Insurance faces weaker demand and cautious investor sentiment.</v>
      </c>
      <c r="D400" s="122" t="str">
        <f>IFERROR(__xludf.DUMMYFUNCTION("""COMPUTED_VALUE"""),"Investors are watching Shield Insurance closely as demand weakens.")</f>
        <v>Investors are watching Shield Insurance closely as demand weakens.</v>
      </c>
      <c r="E400" s="122" t="str">
        <f>IFERROR(__xludf.DUMMYFUNCTION("""COMPUTED_VALUE"""),"Negative")</f>
        <v>Negative</v>
      </c>
      <c r="F400" s="122">
        <f>IFERROR(__xludf.DUMMYFUNCTION("""COMPUTED_VALUE"""),-0.015)</f>
        <v>-0.015</v>
      </c>
      <c r="G400" s="122">
        <f>IFERROR(__xludf.DUMMYFUNCTION("""COMPUTED_VALUE"""),0.75)</f>
        <v>0.75</v>
      </c>
      <c r="H400" s="122" t="str">
        <f>IFERROR(__xludf.DUMMYFUNCTION("""COMPUTED_VALUE"""),"Active")</f>
        <v>Active</v>
      </c>
    </row>
    <row r="401">
      <c r="A401" s="131">
        <f>IFERROR(__xludf.DUMMYFUNCTION("""COMPUTED_VALUE"""),46170.33096064815)</f>
        <v>46170.33096</v>
      </c>
      <c r="B401" s="122" t="str">
        <f>IFERROR(__xludf.DUMMYFUNCTION("""COMPUTED_VALUE"""),"LOAN")</f>
        <v>LOAN</v>
      </c>
      <c r="C401" s="122" t="str">
        <f>IFERROR(__xludf.DUMMYFUNCTION("""COMPUTED_VALUE"""),"LoanLab remains stable as the Finance market shows normal activity.")</f>
        <v>LoanLab remains stable as the Finance market shows normal activity.</v>
      </c>
      <c r="D401" s="122" t="str">
        <f>IFERROR(__xludf.DUMMYFUNCTION("""COMPUTED_VALUE"""),"LoanLab appears steady with no major changes reported.")</f>
        <v>LoanLab appears steady with no major changes reported.</v>
      </c>
      <c r="E401" s="122" t="str">
        <f>IFERROR(__xludf.DUMMYFUNCTION("""COMPUTED_VALUE"""),"Neutral")</f>
        <v>Neutral</v>
      </c>
      <c r="F401" s="122">
        <f>IFERROR(__xludf.DUMMYFUNCTION("""COMPUTED_VALUE"""),0.0)</f>
        <v>0</v>
      </c>
      <c r="G401" s="122">
        <f>IFERROR(__xludf.DUMMYFUNCTION("""COMPUTED_VALUE"""),0.0)</f>
        <v>0</v>
      </c>
      <c r="H401" s="122" t="str">
        <f>IFERROR(__xludf.DUMMYFUNCTION("""COMPUTED_VALUE"""),"Active")</f>
        <v>Active</v>
      </c>
    </row>
    <row r="402">
      <c r="A402" s="131">
        <f>IFERROR(__xludf.DUMMYFUNCTION("""COMPUTED_VALUE"""),46170.330972222226)</f>
        <v>46170.33097</v>
      </c>
      <c r="B402" s="122" t="str">
        <f>IFERROR(__xludf.DUMMYFUNCTION("""COMPUTED_VALUE"""),"LUXE")</f>
        <v>LUXE</v>
      </c>
      <c r="C402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402" s="122" t="str">
        <f>IFERROR(__xludf.DUMMYFUNCTION("""COMPUTED_VALUE"""),"Luxury Locker appears steady with no major changes reported.")</f>
        <v>Luxury Locker appears steady with no major changes reported.</v>
      </c>
      <c r="E402" s="122" t="str">
        <f>IFERROR(__xludf.DUMMYFUNCTION("""COMPUTED_VALUE"""),"Neutral")</f>
        <v>Neutral</v>
      </c>
      <c r="F402" s="122">
        <f>IFERROR(__xludf.DUMMYFUNCTION("""COMPUTED_VALUE"""),0.0)</f>
        <v>0</v>
      </c>
      <c r="G402" s="122">
        <f>IFERROR(__xludf.DUMMYFUNCTION("""COMPUTED_VALUE"""),0.0)</f>
        <v>0</v>
      </c>
      <c r="H402" s="122" t="str">
        <f>IFERROR(__xludf.DUMMYFUNCTION("""COMPUTED_VALUE"""),"Active")</f>
        <v>Active</v>
      </c>
    </row>
    <row r="403">
      <c r="A403" s="131">
        <f>IFERROR(__xludf.DUMMYFUNCTION("""COMPUTED_VALUE"""),46170.330972222226)</f>
        <v>46170.33097</v>
      </c>
      <c r="B403" s="122" t="str">
        <f>IFERROR(__xludf.DUMMYFUNCTION("""COMPUTED_VALUE"""),"DRIP")</f>
        <v>DRIP</v>
      </c>
      <c r="C403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403" s="122" t="str">
        <f>IFERROR(__xludf.DUMMYFUNCTION("""COMPUTED_VALUE"""),"Drip Streetwear appears steady with no major changes reported.")</f>
        <v>Drip Streetwear appears steady with no major changes reported.</v>
      </c>
      <c r="E403" s="122" t="str">
        <f>IFERROR(__xludf.DUMMYFUNCTION("""COMPUTED_VALUE"""),"Neutral")</f>
        <v>Neutral</v>
      </c>
      <c r="F403" s="122">
        <f>IFERROR(__xludf.DUMMYFUNCTION("""COMPUTED_VALUE"""),0.0)</f>
        <v>0</v>
      </c>
      <c r="G403" s="122">
        <f>IFERROR(__xludf.DUMMYFUNCTION("""COMPUTED_VALUE"""),0.0)</f>
        <v>0</v>
      </c>
      <c r="H403" s="122" t="str">
        <f>IFERROR(__xludf.DUMMYFUNCTION("""COMPUTED_VALUE"""),"Active")</f>
        <v>Active</v>
      </c>
    </row>
    <row r="404">
      <c r="A404" s="131">
        <f>IFERROR(__xludf.DUMMYFUNCTION("""COMPUTED_VALUE"""),46170.330972222226)</f>
        <v>46170.33097</v>
      </c>
      <c r="B404" s="122" t="str">
        <f>IFERROR(__xludf.DUMMYFUNCTION("""COMPUTED_VALUE"""),"KICK")</f>
        <v>KICK</v>
      </c>
      <c r="C404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404" s="122" t="str">
        <f>IFERROR(__xludf.DUMMYFUNCTION("""COMPUTED_VALUE"""),"KickDrop Sneakers appears steady with no major changes reported.")</f>
        <v>KickDrop Sneakers appears steady with no major changes reported.</v>
      </c>
      <c r="E404" s="122" t="str">
        <f>IFERROR(__xludf.DUMMYFUNCTION("""COMPUTED_VALUE"""),"Neutral")</f>
        <v>Neutral</v>
      </c>
      <c r="F404" s="122">
        <f>IFERROR(__xludf.DUMMYFUNCTION("""COMPUTED_VALUE"""),0.0)</f>
        <v>0</v>
      </c>
      <c r="G404" s="122">
        <f>IFERROR(__xludf.DUMMYFUNCTION("""COMPUTED_VALUE"""),0.0)</f>
        <v>0</v>
      </c>
      <c r="H404" s="122" t="str">
        <f>IFERROR(__xludf.DUMMYFUNCTION("""COMPUTED_VALUE"""),"Active")</f>
        <v>Active</v>
      </c>
    </row>
    <row r="405">
      <c r="A405" s="131">
        <f>IFERROR(__xludf.DUMMYFUNCTION("""COMPUTED_VALUE"""),46170.330983796295)</f>
        <v>46170.33098</v>
      </c>
      <c r="B405" s="122" t="str">
        <f>IFERROR(__xludf.DUMMYFUNCTION("""COMPUTED_VALUE"""),"GLAM")</f>
        <v>GLAM</v>
      </c>
      <c r="C405" s="122" t="str">
        <f>IFERROR(__xludf.DUMMYFUNCTION("""COMPUTED_VALUE"""),"Glow Cosmetics remains stable as the Fashion market shows normal activity.")</f>
        <v>Glow Cosmetics remains stable as the Fashion market shows normal activity.</v>
      </c>
      <c r="D405" s="122" t="str">
        <f>IFERROR(__xludf.DUMMYFUNCTION("""COMPUTED_VALUE"""),"Glow Cosmetics appears steady with no major changes reported.")</f>
        <v>Glow Cosmetics appears steady with no major changes reported.</v>
      </c>
      <c r="E405" s="122" t="str">
        <f>IFERROR(__xludf.DUMMYFUNCTION("""COMPUTED_VALUE"""),"Neutral")</f>
        <v>Neutral</v>
      </c>
      <c r="F405" s="122">
        <f>IFERROR(__xludf.DUMMYFUNCTION("""COMPUTED_VALUE"""),0.0)</f>
        <v>0</v>
      </c>
      <c r="G405" s="122">
        <f>IFERROR(__xludf.DUMMYFUNCTION("""COMPUTED_VALUE"""),0.0)</f>
        <v>0</v>
      </c>
      <c r="H405" s="122" t="str">
        <f>IFERROR(__xludf.DUMMYFUNCTION("""COMPUTED_VALUE"""),"Active")</f>
        <v>Active</v>
      </c>
    </row>
    <row r="406">
      <c r="A406" s="131">
        <f>IFERROR(__xludf.DUMMYFUNCTION("""COMPUTED_VALUE"""),46170.330983796295)</f>
        <v>46170.33098</v>
      </c>
      <c r="B406" s="122" t="str">
        <f>IFERROR(__xludf.DUMMYFUNCTION("""COMPUTED_VALUE"""),"BAGG")</f>
        <v>BAGG</v>
      </c>
      <c r="C406" s="122" t="str">
        <f>IFERROR(__xludf.DUMMYFUNCTION("""COMPUTED_VALUE"""),"BagVault reports steady growth and improved market confidence.")</f>
        <v>BagVault reports steady growth and improved market confidence.</v>
      </c>
      <c r="D406" s="122" t="str">
        <f>IFERROR(__xludf.DUMMYFUNCTION("""COMPUTED_VALUE"""),"BagVault continues to show positive momentum with moderate risk.")</f>
        <v>BagVault continues to show positive momentum with moderate risk.</v>
      </c>
      <c r="E406" s="122" t="str">
        <f>IFERROR(__xludf.DUMMYFUNCTION("""COMPUTED_VALUE"""),"Positive")</f>
        <v>Positive</v>
      </c>
      <c r="F406" s="122">
        <f>IFERROR(__xludf.DUMMYFUNCTION("""COMPUTED_VALUE"""),0.015)</f>
        <v>0.015</v>
      </c>
      <c r="G406" s="122">
        <f>IFERROR(__xludf.DUMMYFUNCTION("""COMPUTED_VALUE"""),0.5)</f>
        <v>0.5</v>
      </c>
      <c r="H406" s="122" t="str">
        <f>IFERROR(__xludf.DUMMYFUNCTION("""COMPUTED_VALUE"""),"Active")</f>
        <v>Active</v>
      </c>
    </row>
    <row r="407">
      <c r="A407" s="131">
        <f>IFERROR(__xludf.DUMMYFUNCTION("""COMPUTED_VALUE"""),46170.330983796295)</f>
        <v>46170.33098</v>
      </c>
      <c r="B407" s="122" t="str">
        <f>IFERROR(__xludf.DUMMYFUNCTION("""COMPUTED_VALUE"""),"FAST")</f>
        <v>FAST</v>
      </c>
      <c r="C407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407" s="122" t="str">
        <f>IFERROR(__xludf.DUMMYFUNCTION("""COMPUTED_VALUE"""),"Flash Logistics appears steady with no major changes reported.")</f>
        <v>Flash Logistics appears steady with no major changes reported.</v>
      </c>
      <c r="E407" s="122" t="str">
        <f>IFERROR(__xludf.DUMMYFUNCTION("""COMPUTED_VALUE"""),"Neutral")</f>
        <v>Neutral</v>
      </c>
      <c r="F407" s="122">
        <f>IFERROR(__xludf.DUMMYFUNCTION("""COMPUTED_VALUE"""),0.0)</f>
        <v>0</v>
      </c>
      <c r="G407" s="122">
        <f>IFERROR(__xludf.DUMMYFUNCTION("""COMPUTED_VALUE"""),0.0)</f>
        <v>0</v>
      </c>
      <c r="H407" s="122" t="str">
        <f>IFERROR(__xludf.DUMMYFUNCTION("""COMPUTED_VALUE"""),"Active")</f>
        <v>Active</v>
      </c>
    </row>
    <row r="408">
      <c r="A408" s="131">
        <f>IFERROR(__xludf.DUMMYFUNCTION("""COMPUTED_VALUE"""),46170.33099537037)</f>
        <v>46170.331</v>
      </c>
      <c r="B408" s="122" t="str">
        <f>IFERROR(__xludf.DUMMYFUNCTION("""COMPUTED_VALUE"""),"SHIP")</f>
        <v>SHIP</v>
      </c>
      <c r="C408" s="122" t="str">
        <f>IFERROR(__xludf.DUMMYFUNCTION("""COMPUTED_VALUE"""),"Seoul Shipping sees uncertain trading as investors react to mixed signals.")</f>
        <v>Seoul Shipping sees uncertain trading as investors react to mixed signals.</v>
      </c>
      <c r="D408" s="122" t="str">
        <f>IFERROR(__xludf.DUMMYFUNCTION("""COMPUTED_VALUE"""),"Seoul Shipping may experience larger price swings as investors disagree on direction.")</f>
        <v>Seoul Shipping may experience larger price swings as investors disagree on direction.</v>
      </c>
      <c r="E408" s="122" t="str">
        <f>IFERROR(__xludf.DUMMYFUNCTION("""COMPUTED_VALUE"""),"Mixed")</f>
        <v>Mixed</v>
      </c>
      <c r="F408" s="122">
        <f>IFERROR(__xludf.DUMMYFUNCTION("""COMPUTED_VALUE"""),0.014347169007434272)</f>
        <v>0.01434716901</v>
      </c>
      <c r="G408" s="122">
        <f>IFERROR(__xludf.DUMMYFUNCTION("""COMPUTED_VALUE"""),1.5)</f>
        <v>1.5</v>
      </c>
      <c r="H408" s="122" t="str">
        <f>IFERROR(__xludf.DUMMYFUNCTION("""COMPUTED_VALUE"""),"Active")</f>
        <v>Active</v>
      </c>
    </row>
    <row r="409">
      <c r="A409" s="131">
        <f>IFERROR(__xludf.DUMMYFUNCTION("""COMPUTED_VALUE"""),46170.33099537037)</f>
        <v>46170.331</v>
      </c>
      <c r="B409" s="122" t="str">
        <f>IFERROR(__xludf.DUMMYFUNCTION("""COMPUTED_VALUE"""),"DRON")</f>
        <v>DRON</v>
      </c>
      <c r="C409" s="122" t="str">
        <f>IFERROR(__xludf.DUMMYFUNCTION("""COMPUTED_VALUE"""),"DroneDrop remains stable as the Logistics market shows normal activity.")</f>
        <v>DroneDrop remains stable as the Logistics market shows normal activity.</v>
      </c>
      <c r="D409" s="122" t="str">
        <f>IFERROR(__xludf.DUMMYFUNCTION("""COMPUTED_VALUE"""),"DroneDrop appears steady with no major changes reported.")</f>
        <v>DroneDrop appears steady with no major changes reported.</v>
      </c>
      <c r="E409" s="122" t="str">
        <f>IFERROR(__xludf.DUMMYFUNCTION("""COMPUTED_VALUE"""),"Neutral")</f>
        <v>Neutral</v>
      </c>
      <c r="F409" s="122">
        <f>IFERROR(__xludf.DUMMYFUNCTION("""COMPUTED_VALUE"""),0.0)</f>
        <v>0</v>
      </c>
      <c r="G409" s="122">
        <f>IFERROR(__xludf.DUMMYFUNCTION("""COMPUTED_VALUE"""),0.0)</f>
        <v>0</v>
      </c>
      <c r="H409" s="122" t="str">
        <f>IFERROR(__xludf.DUMMYFUNCTION("""COMPUTED_VALUE"""),"Active")</f>
        <v>Active</v>
      </c>
    </row>
    <row r="410">
      <c r="A410" s="131">
        <f>IFERROR(__xludf.DUMMYFUNCTION("""COMPUTED_VALUE"""),46170.33099537037)</f>
        <v>46170.331</v>
      </c>
      <c r="B410" s="122" t="str">
        <f>IFERROR(__xludf.DUMMYFUNCTION("""COMPUTED_VALUE"""),"RIDE")</f>
        <v>RIDE</v>
      </c>
      <c r="C410" s="122" t="str">
        <f>IFERROR(__xludf.DUMMYFUNCTION("""COMPUTED_VALUE"""),"QuickRide reports steady growth and improved market confidence.")</f>
        <v>QuickRide reports steady growth and improved market confidence.</v>
      </c>
      <c r="D410" s="122" t="str">
        <f>IFERROR(__xludf.DUMMYFUNCTION("""COMPUTED_VALUE"""),"QuickRide continues to show positive momentum with moderate risk.")</f>
        <v>QuickRide continues to show positive momentum with moderate risk.</v>
      </c>
      <c r="E410" s="122" t="str">
        <f>IFERROR(__xludf.DUMMYFUNCTION("""COMPUTED_VALUE"""),"Positive")</f>
        <v>Positive</v>
      </c>
      <c r="F410" s="122">
        <f>IFERROR(__xludf.DUMMYFUNCTION("""COMPUTED_VALUE"""),0.015)</f>
        <v>0.015</v>
      </c>
      <c r="G410" s="122">
        <f>IFERROR(__xludf.DUMMYFUNCTION("""COMPUTED_VALUE"""),0.5)</f>
        <v>0.5</v>
      </c>
      <c r="H410" s="122" t="str">
        <f>IFERROR(__xludf.DUMMYFUNCTION("""COMPUTED_VALUE"""),"Active")</f>
        <v>Active</v>
      </c>
    </row>
    <row r="411">
      <c r="A411" s="131">
        <f>IFERROR(__xludf.DUMMYFUNCTION("""COMPUTED_VALUE"""),46170.33100694444)</f>
        <v>46170.33101</v>
      </c>
      <c r="B411" s="122" t="str">
        <f>IFERROR(__xludf.DUMMYFUNCTION("""COMPUTED_VALUE"""),"RAIL")</f>
        <v>RAIL</v>
      </c>
      <c r="C411" s="122" t="str">
        <f>IFERROR(__xludf.DUMMYFUNCTION("""COMPUTED_VALUE"""),"MetroRail Corp faces weaker demand and cautious investor sentiment.")</f>
        <v>MetroRail Corp faces weaker demand and cautious investor sentiment.</v>
      </c>
      <c r="D411" s="122" t="str">
        <f>IFERROR(__xludf.DUMMYFUNCTION("""COMPUTED_VALUE"""),"Investors are watching MetroRail Corp closely as demand weakens.")</f>
        <v>Investors are watching MetroRail Corp closely as demand weakens.</v>
      </c>
      <c r="E411" s="122" t="str">
        <f>IFERROR(__xludf.DUMMYFUNCTION("""COMPUTED_VALUE"""),"Negative")</f>
        <v>Negative</v>
      </c>
      <c r="F411" s="122">
        <f>IFERROR(__xludf.DUMMYFUNCTION("""COMPUTED_VALUE"""),-0.015)</f>
        <v>-0.015</v>
      </c>
      <c r="G411" s="122">
        <f>IFERROR(__xludf.DUMMYFUNCTION("""COMPUTED_VALUE"""),0.75)</f>
        <v>0.75</v>
      </c>
      <c r="H411" s="122" t="str">
        <f>IFERROR(__xludf.DUMMYFUNCTION("""COMPUTED_VALUE"""),"Active")</f>
        <v>Active</v>
      </c>
    </row>
    <row r="412">
      <c r="A412" s="131">
        <f>IFERROR(__xludf.DUMMYFUNCTION("""COMPUTED_VALUE"""),46170.33100694444)</f>
        <v>46170.33101</v>
      </c>
      <c r="B412" s="122" t="str">
        <f>IFERROR(__xludf.DUMMYFUNCTION("""COMPUTED_VALUE"""),"MEDX")</f>
        <v>MEDX</v>
      </c>
      <c r="C412" s="122" t="str">
        <f>IFERROR(__xludf.DUMMYFUNCTION("""COMPUTED_VALUE"""),"MediCore faces weaker demand and cautious investor sentiment.")</f>
        <v>MediCore faces weaker demand and cautious investor sentiment.</v>
      </c>
      <c r="D412" s="122" t="str">
        <f>IFERROR(__xludf.DUMMYFUNCTION("""COMPUTED_VALUE"""),"Investors are watching MediCore closely as demand weakens.")</f>
        <v>Investors are watching MediCore closely as demand weakens.</v>
      </c>
      <c r="E412" s="122" t="str">
        <f>IFERROR(__xludf.DUMMYFUNCTION("""COMPUTED_VALUE"""),"Negative")</f>
        <v>Negative</v>
      </c>
      <c r="F412" s="122">
        <f>IFERROR(__xludf.DUMMYFUNCTION("""COMPUTED_VALUE"""),-0.015)</f>
        <v>-0.015</v>
      </c>
      <c r="G412" s="122">
        <f>IFERROR(__xludf.DUMMYFUNCTION("""COMPUTED_VALUE"""),0.75)</f>
        <v>0.75</v>
      </c>
      <c r="H412" s="122" t="str">
        <f>IFERROR(__xludf.DUMMYFUNCTION("""COMPUTED_VALUE"""),"Active")</f>
        <v>Active</v>
      </c>
    </row>
    <row r="413">
      <c r="A413" s="131">
        <f>IFERROR(__xludf.DUMMYFUNCTION("""COMPUTED_VALUE"""),46170.33101851852)</f>
        <v>46170.33102</v>
      </c>
      <c r="B413" s="122" t="str">
        <f>IFERROR(__xludf.DUMMYFUNCTION("""COMPUTED_VALUE"""),"GYMX")</f>
        <v>GYMX</v>
      </c>
      <c r="C413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413" s="122" t="str">
        <f>IFERROR(__xludf.DUMMYFUNCTION("""COMPUTED_VALUE"""),"GymX Fitness appears steady with no major changes reported.")</f>
        <v>GymX Fitness appears steady with no major changes reported.</v>
      </c>
      <c r="E413" s="122" t="str">
        <f>IFERROR(__xludf.DUMMYFUNCTION("""COMPUTED_VALUE"""),"Neutral")</f>
        <v>Neutral</v>
      </c>
      <c r="F413" s="122">
        <f>IFERROR(__xludf.DUMMYFUNCTION("""COMPUTED_VALUE"""),0.0)</f>
        <v>0</v>
      </c>
      <c r="G413" s="122">
        <f>IFERROR(__xludf.DUMMYFUNCTION("""COMPUTED_VALUE"""),0.0)</f>
        <v>0</v>
      </c>
      <c r="H413" s="122" t="str">
        <f>IFERROR(__xludf.DUMMYFUNCTION("""COMPUTED_VALUE"""),"Active")</f>
        <v>Active</v>
      </c>
    </row>
    <row r="414">
      <c r="A414" s="131">
        <f>IFERROR(__xludf.DUMMYFUNCTION("""COMPUTED_VALUE"""),46170.33101851852)</f>
        <v>46170.33102</v>
      </c>
      <c r="B414" s="122" t="str">
        <f>IFERROR(__xludf.DUMMYFUNCTION("""COMPUTED_VALUE"""),"VITA")</f>
        <v>VITA</v>
      </c>
      <c r="C414" s="122" t="str">
        <f>IFERROR(__xludf.DUMMYFUNCTION("""COMPUTED_VALUE"""),"VitaPlus remains stable as the Healthcare market shows normal activity.")</f>
        <v>VitaPlus remains stable as the Healthcare market shows normal activity.</v>
      </c>
      <c r="D414" s="122" t="str">
        <f>IFERROR(__xludf.DUMMYFUNCTION("""COMPUTED_VALUE"""),"VitaPlus appears steady with no major changes reported.")</f>
        <v>VitaPlus appears steady with no major changes reported.</v>
      </c>
      <c r="E414" s="122" t="str">
        <f>IFERROR(__xludf.DUMMYFUNCTION("""COMPUTED_VALUE"""),"Neutral")</f>
        <v>Neutral</v>
      </c>
      <c r="F414" s="122">
        <f>IFERROR(__xludf.DUMMYFUNCTION("""COMPUTED_VALUE"""),0.0)</f>
        <v>0</v>
      </c>
      <c r="G414" s="122">
        <f>IFERROR(__xludf.DUMMYFUNCTION("""COMPUTED_VALUE"""),0.0)</f>
        <v>0</v>
      </c>
      <c r="H414" s="122" t="str">
        <f>IFERROR(__xludf.DUMMYFUNCTION("""COMPUTED_VALUE"""),"Active")</f>
        <v>Active</v>
      </c>
    </row>
    <row r="415">
      <c r="A415" s="131">
        <f>IFERROR(__xludf.DUMMYFUNCTION("""COMPUTED_VALUE"""),46170.33101851852)</f>
        <v>46170.33102</v>
      </c>
      <c r="B415" s="122" t="str">
        <f>IFERROR(__xludf.DUMMYFUNCTION("""COMPUTED_VALUE"""),"CARE")</f>
        <v>CARE</v>
      </c>
      <c r="C415" s="122" t="str">
        <f>IFERROR(__xludf.DUMMYFUNCTION("""COMPUTED_VALUE"""),"CareCloud remains stable as the Healthcare market shows normal activity.")</f>
        <v>CareCloud remains stable as the Healthcare market shows normal activity.</v>
      </c>
      <c r="D415" s="122" t="str">
        <f>IFERROR(__xludf.DUMMYFUNCTION("""COMPUTED_VALUE"""),"CareCloud appears steady with no major changes reported.")</f>
        <v>CareCloud appears steady with no major changes reported.</v>
      </c>
      <c r="E415" s="122" t="str">
        <f>IFERROR(__xludf.DUMMYFUNCTION("""COMPUTED_VALUE"""),"Neutral")</f>
        <v>Neutral</v>
      </c>
      <c r="F415" s="122">
        <f>IFERROR(__xludf.DUMMYFUNCTION("""COMPUTED_VALUE"""),0.0)</f>
        <v>0</v>
      </c>
      <c r="G415" s="122">
        <f>IFERROR(__xludf.DUMMYFUNCTION("""COMPUTED_VALUE"""),0.0)</f>
        <v>0</v>
      </c>
      <c r="H415" s="122" t="str">
        <f>IFERROR(__xludf.DUMMYFUNCTION("""COMPUTED_VALUE"""),"Active")</f>
        <v>Active</v>
      </c>
    </row>
    <row r="416">
      <c r="A416" s="131">
        <f>IFERROR(__xludf.DUMMYFUNCTION("""COMPUTED_VALUE"""),46170.331030092595)</f>
        <v>46170.33103</v>
      </c>
      <c r="B416" s="122" t="str">
        <f>IFERROR(__xludf.DUMMYFUNCTION("""COMPUTED_VALUE"""),"DENT")</f>
        <v>DENT</v>
      </c>
      <c r="C416" s="122" t="str">
        <f>IFERROR(__xludf.DUMMYFUNCTION("""COMPUTED_VALUE"""),"SmileWorks surges as demand rises across the Healthcare sector.")</f>
        <v>SmileWorks surges as demand rises across the Healthcare sector.</v>
      </c>
      <c r="D416" s="122" t="str">
        <f>IFERROR(__xludf.DUMMYFUNCTION("""COMPUTED_VALUE"""),"SmileWorks is seeing strong demand, which may increase investor confidence.")</f>
        <v>SmileWorks is seeing strong demand, which may increase investor confidence.</v>
      </c>
      <c r="E416" s="122" t="str">
        <f>IFERROR(__xludf.DUMMYFUNCTION("""COMPUTED_VALUE"""),"Positive")</f>
        <v>Positive</v>
      </c>
      <c r="F416" s="122">
        <f>IFERROR(__xludf.DUMMYFUNCTION("""COMPUTED_VALUE"""),0.03)</f>
        <v>0.03</v>
      </c>
      <c r="G416" s="122">
        <f>IFERROR(__xludf.DUMMYFUNCTION("""COMPUTED_VALUE"""),1.0)</f>
        <v>1</v>
      </c>
      <c r="H416" s="122" t="str">
        <f>IFERROR(__xludf.DUMMYFUNCTION("""COMPUTED_VALUE"""),"Active")</f>
        <v>Active</v>
      </c>
    </row>
    <row r="417">
      <c r="A417" s="131">
        <f>IFERROR(__xludf.DUMMYFUNCTION("""COMPUTED_VALUE"""),46170.331030092595)</f>
        <v>46170.33103</v>
      </c>
      <c r="B417" s="122" t="str">
        <f>IFERROR(__xludf.DUMMYFUNCTION("""COMPUTED_VALUE"""),"EDUX")</f>
        <v>EDUX</v>
      </c>
      <c r="C417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417" s="122" t="str">
        <f>IFERROR(__xludf.DUMMYFUNCTION("""COMPUTED_VALUE"""),"EduMax Learning appears steady with no major changes reported.")</f>
        <v>EduMax Learning appears steady with no major changes reported.</v>
      </c>
      <c r="E417" s="122" t="str">
        <f>IFERROR(__xludf.DUMMYFUNCTION("""COMPUTED_VALUE"""),"Neutral")</f>
        <v>Neutral</v>
      </c>
      <c r="F417" s="122">
        <f>IFERROR(__xludf.DUMMYFUNCTION("""COMPUTED_VALUE"""),0.0)</f>
        <v>0</v>
      </c>
      <c r="G417" s="122">
        <f>IFERROR(__xludf.DUMMYFUNCTION("""COMPUTED_VALUE"""),0.0)</f>
        <v>0</v>
      </c>
      <c r="H417" s="122" t="str">
        <f>IFERROR(__xludf.DUMMYFUNCTION("""COMPUTED_VALUE"""),"Active")</f>
        <v>Active</v>
      </c>
    </row>
    <row r="418">
      <c r="A418" s="131">
        <f>IFERROR(__xludf.DUMMYFUNCTION("""COMPUTED_VALUE"""),46170.331041666665)</f>
        <v>46170.33104</v>
      </c>
      <c r="B418" s="122" t="str">
        <f>IFERROR(__xludf.DUMMYFUNCTION("""COMPUTED_VALUE"""),"BOOK")</f>
        <v>BOOK</v>
      </c>
      <c r="C418" s="122" t="str">
        <f>IFERROR(__xludf.DUMMYFUNCTION("""COMPUTED_VALUE"""),"BookBridge surges as demand rises across the Education sector.")</f>
        <v>BookBridge surges as demand rises across the Education sector.</v>
      </c>
      <c r="D418" s="122" t="str">
        <f>IFERROR(__xludf.DUMMYFUNCTION("""COMPUTED_VALUE"""),"BookBridge is seeing strong demand, which may increase investor confidence.")</f>
        <v>BookBridge is seeing strong demand, which may increase investor confidence.</v>
      </c>
      <c r="E418" s="122" t="str">
        <f>IFERROR(__xludf.DUMMYFUNCTION("""COMPUTED_VALUE"""),"Positive")</f>
        <v>Positive</v>
      </c>
      <c r="F418" s="122">
        <f>IFERROR(__xludf.DUMMYFUNCTION("""COMPUTED_VALUE"""),0.03)</f>
        <v>0.03</v>
      </c>
      <c r="G418" s="122">
        <f>IFERROR(__xludf.DUMMYFUNCTION("""COMPUTED_VALUE"""),1.0)</f>
        <v>1</v>
      </c>
      <c r="H418" s="122" t="str">
        <f>IFERROR(__xludf.DUMMYFUNCTION("""COMPUTED_VALUE"""),"Active")</f>
        <v>Active</v>
      </c>
    </row>
    <row r="419">
      <c r="A419" s="131">
        <f>IFERROR(__xludf.DUMMYFUNCTION("""COMPUTED_VALUE"""),46170.331041666665)</f>
        <v>46170.33104</v>
      </c>
      <c r="B419" s="122" t="str">
        <f>IFERROR(__xludf.DUMMYFUNCTION("""COMPUTED_VALUE"""),"TUTR")</f>
        <v>TUTR</v>
      </c>
      <c r="C419" s="122" t="str">
        <f>IFERROR(__xludf.DUMMYFUNCTION("""COMPUTED_VALUE"""),"TutorTown faces weaker demand and cautious investor sentiment.")</f>
        <v>TutorTown faces weaker demand and cautious investor sentiment.</v>
      </c>
      <c r="D419" s="122" t="str">
        <f>IFERROR(__xludf.DUMMYFUNCTION("""COMPUTED_VALUE"""),"Investors are watching TutorTown closely as demand weakens.")</f>
        <v>Investors are watching TutorTown closely as demand weakens.</v>
      </c>
      <c r="E419" s="122" t="str">
        <f>IFERROR(__xludf.DUMMYFUNCTION("""COMPUTED_VALUE"""),"Negative")</f>
        <v>Negative</v>
      </c>
      <c r="F419" s="122">
        <f>IFERROR(__xludf.DUMMYFUNCTION("""COMPUTED_VALUE"""),-0.015)</f>
        <v>-0.015</v>
      </c>
      <c r="G419" s="122">
        <f>IFERROR(__xludf.DUMMYFUNCTION("""COMPUTED_VALUE"""),0.75)</f>
        <v>0.75</v>
      </c>
      <c r="H419" s="122" t="str">
        <f>IFERROR(__xludf.DUMMYFUNCTION("""COMPUTED_VALUE"""),"Active")</f>
        <v>Active</v>
      </c>
    </row>
    <row r="420">
      <c r="A420" s="131">
        <f>IFERROR(__xludf.DUMMYFUNCTION("""COMPUTED_VALUE"""),46170.331041666665)</f>
        <v>46170.33104</v>
      </c>
      <c r="B420" s="122" t="str">
        <f>IFERROR(__xludf.DUMMYFUNCTION("""COMPUTED_VALUE"""),"LANG")</f>
        <v>LANG</v>
      </c>
      <c r="C420" s="122" t="str">
        <f>IFERROR(__xludf.DUMMYFUNCTION("""COMPUTED_VALUE"""),"LinguaLab reports steady growth and improved market confidence.")</f>
        <v>LinguaLab reports steady growth and improved market confidence.</v>
      </c>
      <c r="D420" s="122" t="str">
        <f>IFERROR(__xludf.DUMMYFUNCTION("""COMPUTED_VALUE"""),"LinguaLab continues to show positive momentum with moderate risk.")</f>
        <v>LinguaLab continues to show positive momentum with moderate risk.</v>
      </c>
      <c r="E420" s="122" t="str">
        <f>IFERROR(__xludf.DUMMYFUNCTION("""COMPUTED_VALUE"""),"Positive")</f>
        <v>Positive</v>
      </c>
      <c r="F420" s="122">
        <f>IFERROR(__xludf.DUMMYFUNCTION("""COMPUTED_VALUE"""),0.015)</f>
        <v>0.015</v>
      </c>
      <c r="G420" s="122">
        <f>IFERROR(__xludf.DUMMYFUNCTION("""COMPUTED_VALUE"""),0.5)</f>
        <v>0.5</v>
      </c>
      <c r="H420" s="122" t="str">
        <f>IFERROR(__xludf.DUMMYFUNCTION("""COMPUTED_VALUE"""),"Active")</f>
        <v>Active</v>
      </c>
    </row>
    <row r="421">
      <c r="A421" s="131">
        <f>IFERROR(__xludf.DUMMYFUNCTION("""COMPUTED_VALUE"""),46170.33105324074)</f>
        <v>46170.33105</v>
      </c>
      <c r="B421" s="122" t="str">
        <f>IFERROR(__xludf.DUMMYFUNCTION("""COMPUTED_VALUE"""),"TEST")</f>
        <v>TEST</v>
      </c>
      <c r="C421" s="122" t="str">
        <f>IFERROR(__xludf.DUMMYFUNCTION("""COMPUTED_VALUE"""),"TestPrep Pro faces weaker demand and cautious investor sentiment.")</f>
        <v>TestPrep Pro faces weaker demand and cautious investor sentiment.</v>
      </c>
      <c r="D421" s="122" t="str">
        <f>IFERROR(__xludf.DUMMYFUNCTION("""COMPUTED_VALUE"""),"Investors are watching TestPrep Pro closely as demand weakens.")</f>
        <v>Investors are watching TestPrep Pro closely as demand weakens.</v>
      </c>
      <c r="E421" s="122" t="str">
        <f>IFERROR(__xludf.DUMMYFUNCTION("""COMPUTED_VALUE"""),"Negative")</f>
        <v>Negative</v>
      </c>
      <c r="F421" s="122">
        <f>IFERROR(__xludf.DUMMYFUNCTION("""COMPUTED_VALUE"""),-0.015)</f>
        <v>-0.015</v>
      </c>
      <c r="G421" s="122">
        <f>IFERROR(__xludf.DUMMYFUNCTION("""COMPUTED_VALUE"""),0.75)</f>
        <v>0.75</v>
      </c>
      <c r="H421" s="122" t="str">
        <f>IFERROR(__xludf.DUMMYFUNCTION("""COMPUTED_VALUE"""),"Active")</f>
        <v>Active</v>
      </c>
    </row>
    <row r="422">
      <c r="A422" s="131">
        <f>IFERROR(__xludf.DUMMYFUNCTION("""COMPUTED_VALUE"""),46170.33105324074)</f>
        <v>46170.33105</v>
      </c>
      <c r="B422" s="122" t="str">
        <f>IFERROR(__xludf.DUMMYFUNCTION("""COMPUTED_VALUE"""),"MOVI")</f>
        <v>MOVI</v>
      </c>
      <c r="C422" s="122" t="str">
        <f>IFERROR(__xludf.DUMMYFUNCTION("""COMPUTED_VALUE"""),"MovieBox sees uncertain trading as investors react to mixed signals.")</f>
        <v>MovieBox sees uncertain trading as investors react to mixed signals.</v>
      </c>
      <c r="D422" s="122" t="str">
        <f>IFERROR(__xludf.DUMMYFUNCTION("""COMPUTED_VALUE"""),"MovieBox may experience larger price swings as investors disagree on direction.")</f>
        <v>MovieBox may experience larger price swings as investors disagree on direction.</v>
      </c>
      <c r="E422" s="122" t="str">
        <f>IFERROR(__xludf.DUMMYFUNCTION("""COMPUTED_VALUE"""),"Mixed")</f>
        <v>Mixed</v>
      </c>
      <c r="F422" s="122">
        <f>IFERROR(__xludf.DUMMYFUNCTION("""COMPUTED_VALUE"""),0.010816399567279894)</f>
        <v>0.01081639957</v>
      </c>
      <c r="G422" s="122">
        <f>IFERROR(__xludf.DUMMYFUNCTION("""COMPUTED_VALUE"""),1.5)</f>
        <v>1.5</v>
      </c>
      <c r="H422" s="122" t="str">
        <f>IFERROR(__xludf.DUMMYFUNCTION("""COMPUTED_VALUE"""),"Active")</f>
        <v>Active</v>
      </c>
    </row>
    <row r="423">
      <c r="A423" s="131">
        <f>IFERROR(__xludf.DUMMYFUNCTION("""COMPUTED_VALUE"""),46170.33105324074)</f>
        <v>46170.33105</v>
      </c>
      <c r="B423" s="122" t="str">
        <f>IFERROR(__xludf.DUMMYFUNCTION("""COMPUTED_VALUE"""),"MUSC")</f>
        <v>MUSC</v>
      </c>
      <c r="C423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423" s="122" t="str">
        <f>IFERROR(__xludf.DUMMYFUNCTION("""COMPUTED_VALUE"""),"MusicWave appears steady with no major changes reported.")</f>
        <v>MusicWave appears steady with no major changes reported.</v>
      </c>
      <c r="E423" s="122" t="str">
        <f>IFERROR(__xludf.DUMMYFUNCTION("""COMPUTED_VALUE"""),"Neutral")</f>
        <v>Neutral</v>
      </c>
      <c r="F423" s="122">
        <f>IFERROR(__xludf.DUMMYFUNCTION("""COMPUTED_VALUE"""),0.0)</f>
        <v>0</v>
      </c>
      <c r="G423" s="122">
        <f>IFERROR(__xludf.DUMMYFUNCTION("""COMPUTED_VALUE"""),0.0)</f>
        <v>0</v>
      </c>
      <c r="H423" s="122" t="str">
        <f>IFERROR(__xludf.DUMMYFUNCTION("""COMPUTED_VALUE"""),"Active")</f>
        <v>Active</v>
      </c>
    </row>
    <row r="424">
      <c r="A424" s="131">
        <f>IFERROR(__xludf.DUMMYFUNCTION("""COMPUTED_VALUE"""),46170.33106481482)</f>
        <v>46170.33106</v>
      </c>
      <c r="B424" s="122" t="str">
        <f>IFERROR(__xludf.DUMMYFUNCTION("""COMPUTED_VALUE"""),"IDOL")</f>
        <v>IDOL</v>
      </c>
      <c r="C424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424" s="122" t="str">
        <f>IFERROR(__xludf.DUMMYFUNCTION("""COMPUTED_VALUE"""),"Idol Agency appears steady with no major changes reported.")</f>
        <v>Idol Agency appears steady with no major changes reported.</v>
      </c>
      <c r="E424" s="122" t="str">
        <f>IFERROR(__xludf.DUMMYFUNCTION("""COMPUTED_VALUE"""),"Neutral")</f>
        <v>Neutral</v>
      </c>
      <c r="F424" s="122">
        <f>IFERROR(__xludf.DUMMYFUNCTION("""COMPUTED_VALUE"""),0.0)</f>
        <v>0</v>
      </c>
      <c r="G424" s="122">
        <f>IFERROR(__xludf.DUMMYFUNCTION("""COMPUTED_VALUE"""),0.0)</f>
        <v>0</v>
      </c>
      <c r="H424" s="122" t="str">
        <f>IFERROR(__xludf.DUMMYFUNCTION("""COMPUTED_VALUE"""),"Active")</f>
        <v>Active</v>
      </c>
    </row>
    <row r="425">
      <c r="A425" s="131">
        <f>IFERROR(__xludf.DUMMYFUNCTION("""COMPUTED_VALUE"""),46170.33106481482)</f>
        <v>46170.33106</v>
      </c>
      <c r="B425" s="122" t="str">
        <f>IFERROR(__xludf.DUMMYFUNCTION("""COMPUTED_VALUE"""),"MEME")</f>
        <v>MEME</v>
      </c>
      <c r="C425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425" s="122" t="str">
        <f>IFERROR(__xludf.DUMMYFUNCTION("""COMPUTED_VALUE"""),"Meme Media appears steady with no major changes reported.")</f>
        <v>Meme Media appears steady with no major changes reported.</v>
      </c>
      <c r="E425" s="122" t="str">
        <f>IFERROR(__xludf.DUMMYFUNCTION("""COMPUTED_VALUE"""),"Neutral")</f>
        <v>Neutral</v>
      </c>
      <c r="F425" s="122">
        <f>IFERROR(__xludf.DUMMYFUNCTION("""COMPUTED_VALUE"""),0.0)</f>
        <v>0</v>
      </c>
      <c r="G425" s="122">
        <f>IFERROR(__xludf.DUMMYFUNCTION("""COMPUTED_VALUE"""),0.0)</f>
        <v>0</v>
      </c>
      <c r="H425" s="122" t="str">
        <f>IFERROR(__xludf.DUMMYFUNCTION("""COMPUTED_VALUE"""),"Active")</f>
        <v>Active</v>
      </c>
    </row>
    <row r="426">
      <c r="A426" s="131">
        <f>IFERROR(__xludf.DUMMYFUNCTION("""COMPUTED_VALUE"""),46170.33106481482)</f>
        <v>46170.33106</v>
      </c>
      <c r="B426" s="122" t="str">
        <f>IFERROR(__xludf.DUMMYFUNCTION("""COMPUTED_VALUE"""),"STRM")</f>
        <v>STRM</v>
      </c>
      <c r="C426" s="122" t="str">
        <f>IFERROR(__xludf.DUMMYFUNCTION("""COMPUTED_VALUE"""),"Streamly surges as demand rises across the Entertainment sector.")</f>
        <v>Streamly surges as demand rises across the Entertainment sector.</v>
      </c>
      <c r="D426" s="122" t="str">
        <f>IFERROR(__xludf.DUMMYFUNCTION("""COMPUTED_VALUE"""),"Streamly is seeing strong demand, which may increase investor confidence.")</f>
        <v>Streamly is seeing strong demand, which may increase investor confidence.</v>
      </c>
      <c r="E426" s="122" t="str">
        <f>IFERROR(__xludf.DUMMYFUNCTION("""COMPUTED_VALUE"""),"Positive")</f>
        <v>Positive</v>
      </c>
      <c r="F426" s="122">
        <f>IFERROR(__xludf.DUMMYFUNCTION("""COMPUTED_VALUE"""),0.03)</f>
        <v>0.03</v>
      </c>
      <c r="G426" s="122">
        <f>IFERROR(__xludf.DUMMYFUNCTION("""COMPUTED_VALUE"""),1.0)</f>
        <v>1</v>
      </c>
      <c r="H426" s="122" t="str">
        <f>IFERROR(__xludf.DUMMYFUNCTION("""COMPUTED_VALUE"""),"Active")</f>
        <v>Active</v>
      </c>
    </row>
    <row r="427">
      <c r="A427" s="131">
        <f>IFERROR(__xludf.DUMMYFUNCTION("""COMPUTED_VALUE"""),46170.33106481482)</f>
        <v>46170.33106</v>
      </c>
      <c r="B427" s="122" t="str">
        <f>IFERROR(__xludf.DUMMYFUNCTION("""COMPUTED_VALUE"""),"FARM")</f>
        <v>FARM</v>
      </c>
      <c r="C427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427" s="122" t="str">
        <f>IFERROR(__xludf.DUMMYFUNCTION("""COMPUTED_VALUE"""),"Future Farms appears steady with no major changes reported.")</f>
        <v>Future Farms appears steady with no major changes reported.</v>
      </c>
      <c r="E427" s="122" t="str">
        <f>IFERROR(__xludf.DUMMYFUNCTION("""COMPUTED_VALUE"""),"Neutral")</f>
        <v>Neutral</v>
      </c>
      <c r="F427" s="122">
        <f>IFERROR(__xludf.DUMMYFUNCTION("""COMPUTED_VALUE"""),0.0)</f>
        <v>0</v>
      </c>
      <c r="G427" s="122">
        <f>IFERROR(__xludf.DUMMYFUNCTION("""COMPUTED_VALUE"""),0.0)</f>
        <v>0</v>
      </c>
      <c r="H427" s="122" t="str">
        <f>IFERROR(__xludf.DUMMYFUNCTION("""COMPUTED_VALUE"""),"Active")</f>
        <v>Active</v>
      </c>
    </row>
    <row r="428">
      <c r="A428" s="131">
        <f>IFERROR(__xludf.DUMMYFUNCTION("""COMPUTED_VALUE"""),46170.33107638889)</f>
        <v>46170.33108</v>
      </c>
      <c r="B428" s="122" t="str">
        <f>IFERROR(__xludf.DUMMYFUNCTION("""COMPUTED_VALUE"""),"MEAT")</f>
        <v>MEAT</v>
      </c>
      <c r="C428" s="122" t="str">
        <f>IFERROR(__xludf.DUMMYFUNCTION("""COMPUTED_VALUE"""),"MeatWorks faces weaker demand and cautious investor sentiment.")</f>
        <v>MeatWorks faces weaker demand and cautious investor sentiment.</v>
      </c>
      <c r="D428" s="122" t="str">
        <f>IFERROR(__xludf.DUMMYFUNCTION("""COMPUTED_VALUE"""),"Investors are watching MeatWorks closely as demand weakens.")</f>
        <v>Investors are watching MeatWorks closely as demand weakens.</v>
      </c>
      <c r="E428" s="122" t="str">
        <f>IFERROR(__xludf.DUMMYFUNCTION("""COMPUTED_VALUE"""),"Negative")</f>
        <v>Negative</v>
      </c>
      <c r="F428" s="122">
        <f>IFERROR(__xludf.DUMMYFUNCTION("""COMPUTED_VALUE"""),-0.015)</f>
        <v>-0.015</v>
      </c>
      <c r="G428" s="122">
        <f>IFERROR(__xludf.DUMMYFUNCTION("""COMPUTED_VALUE"""),0.75)</f>
        <v>0.75</v>
      </c>
      <c r="H428" s="122" t="str">
        <f>IFERROR(__xludf.DUMMYFUNCTION("""COMPUTED_VALUE"""),"Active")</f>
        <v>Active</v>
      </c>
    </row>
    <row r="429">
      <c r="A429" s="131">
        <f>IFERROR(__xludf.DUMMYFUNCTION("""COMPUTED_VALUE"""),46170.33107638889)</f>
        <v>46170.33108</v>
      </c>
      <c r="B429" s="122" t="str">
        <f>IFERROR(__xludf.DUMMYFUNCTION("""COMPUTED_VALUE"""),"VEGI")</f>
        <v>VEGI</v>
      </c>
      <c r="C429" s="122" t="str">
        <f>IFERROR(__xludf.DUMMYFUNCTION("""COMPUTED_VALUE"""),"Green Basket remains stable as the Food market shows normal activity.")</f>
        <v>Green Basket remains stable as the Food market shows normal activity.</v>
      </c>
      <c r="D429" s="122" t="str">
        <f>IFERROR(__xludf.DUMMYFUNCTION("""COMPUTED_VALUE"""),"Green Basket appears steady with no major changes reported.")</f>
        <v>Green Basket appears steady with no major changes reported.</v>
      </c>
      <c r="E429" s="122" t="str">
        <f>IFERROR(__xludf.DUMMYFUNCTION("""COMPUTED_VALUE"""),"Neutral")</f>
        <v>Neutral</v>
      </c>
      <c r="F429" s="122">
        <f>IFERROR(__xludf.DUMMYFUNCTION("""COMPUTED_VALUE"""),0.0)</f>
        <v>0</v>
      </c>
      <c r="G429" s="122">
        <f>IFERROR(__xludf.DUMMYFUNCTION("""COMPUTED_VALUE"""),0.0)</f>
        <v>0</v>
      </c>
      <c r="H429" s="122" t="str">
        <f>IFERROR(__xludf.DUMMYFUNCTION("""COMPUTED_VALUE"""),"Active")</f>
        <v>Active</v>
      </c>
    </row>
    <row r="430">
      <c r="A430" s="131">
        <f>IFERROR(__xludf.DUMMYFUNCTION("""COMPUTED_VALUE"""),46170.331087962964)</f>
        <v>46170.33109</v>
      </c>
      <c r="B430" s="122" t="str">
        <f>IFERROR(__xludf.DUMMYFUNCTION("""COMPUTED_VALUE"""),"CAFE")</f>
        <v>CAFE</v>
      </c>
      <c r="C430" s="122" t="str">
        <f>IFERROR(__xludf.DUMMYFUNCTION("""COMPUTED_VALUE"""),"Cafe Cloud remains stable as the Food market shows normal activity.")</f>
        <v>Cafe Cloud remains stable as the Food market shows normal activity.</v>
      </c>
      <c r="D430" s="122" t="str">
        <f>IFERROR(__xludf.DUMMYFUNCTION("""COMPUTED_VALUE"""),"Cafe Cloud appears steady with no major changes reported.")</f>
        <v>Cafe Cloud appears steady with no major changes reported.</v>
      </c>
      <c r="E430" s="122" t="str">
        <f>IFERROR(__xludf.DUMMYFUNCTION("""COMPUTED_VALUE"""),"Neutral")</f>
        <v>Neutral</v>
      </c>
      <c r="F430" s="122">
        <f>IFERROR(__xludf.DUMMYFUNCTION("""COMPUTED_VALUE"""),0.0)</f>
        <v>0</v>
      </c>
      <c r="G430" s="122">
        <f>IFERROR(__xludf.DUMMYFUNCTION("""COMPUTED_VALUE"""),0.0)</f>
        <v>0</v>
      </c>
      <c r="H430" s="122" t="str">
        <f>IFERROR(__xludf.DUMMYFUNCTION("""COMPUTED_VALUE"""),"Active")</f>
        <v>Active</v>
      </c>
    </row>
    <row r="431">
      <c r="A431" s="131">
        <f>IFERROR(__xludf.DUMMYFUNCTION("""COMPUTED_VALUE"""),46170.331087962964)</f>
        <v>46170.33109</v>
      </c>
      <c r="B431" s="122" t="str">
        <f>IFERROR(__xludf.DUMMYFUNCTION("""COMPUTED_VALUE"""),"BAKE")</f>
        <v>BAKE</v>
      </c>
      <c r="C431" s="122" t="str">
        <f>IFERROR(__xludf.DUMMYFUNCTION("""COMPUTED_VALUE"""),"BakeHouse reports steady growth and improved market confidence.")</f>
        <v>BakeHouse reports steady growth and improved market confidence.</v>
      </c>
      <c r="D431" s="122" t="str">
        <f>IFERROR(__xludf.DUMMYFUNCTION("""COMPUTED_VALUE"""),"BakeHouse continues to show positive momentum with moderate risk.")</f>
        <v>BakeHouse continues to show positive momentum with moderate risk.</v>
      </c>
      <c r="E431" s="122" t="str">
        <f>IFERROR(__xludf.DUMMYFUNCTION("""COMPUTED_VALUE"""),"Positive")</f>
        <v>Positive</v>
      </c>
      <c r="F431" s="122">
        <f>IFERROR(__xludf.DUMMYFUNCTION("""COMPUTED_VALUE"""),0.015)</f>
        <v>0.015</v>
      </c>
      <c r="G431" s="122">
        <f>IFERROR(__xludf.DUMMYFUNCTION("""COMPUTED_VALUE"""),0.5)</f>
        <v>0.5</v>
      </c>
      <c r="H431" s="122" t="str">
        <f>IFERROR(__xludf.DUMMYFUNCTION("""COMPUTED_VALUE"""),"Active")</f>
        <v>Active</v>
      </c>
    </row>
    <row r="432">
      <c r="A432" s="131">
        <f>IFERROR(__xludf.DUMMYFUNCTION("""COMPUTED_VALUE"""),46170.331099537034)</f>
        <v>46170.3311</v>
      </c>
      <c r="B432" s="122" t="str">
        <f>IFERROR(__xludf.DUMMYFUNCTION("""COMPUTED_VALUE"""),"OILX")</f>
        <v>OILX</v>
      </c>
      <c r="C432" s="122" t="str">
        <f>IFERROR(__xludf.DUMMYFUNCTION("""COMPUTED_VALUE"""),"OilMax Energy surges as demand rises across the Energy sector.")</f>
        <v>OilMax Energy surges as demand rises across the Energy sector.</v>
      </c>
      <c r="D432" s="122" t="str">
        <f>IFERROR(__xludf.DUMMYFUNCTION("""COMPUTED_VALUE"""),"OilMax Energy is seeing strong demand, which may increase investor confidence.")</f>
        <v>OilMax Energy is seeing strong demand, which may increase investor confidence.</v>
      </c>
      <c r="E432" s="122" t="str">
        <f>IFERROR(__xludf.DUMMYFUNCTION("""COMPUTED_VALUE"""),"Positive")</f>
        <v>Positive</v>
      </c>
      <c r="F432" s="122">
        <f>IFERROR(__xludf.DUMMYFUNCTION("""COMPUTED_VALUE"""),0.03)</f>
        <v>0.03</v>
      </c>
      <c r="G432" s="122">
        <f>IFERROR(__xludf.DUMMYFUNCTION("""COMPUTED_VALUE"""),1.0)</f>
        <v>1</v>
      </c>
      <c r="H432" s="122" t="str">
        <f>IFERROR(__xludf.DUMMYFUNCTION("""COMPUTED_VALUE"""),"Active")</f>
        <v>Active</v>
      </c>
    </row>
    <row r="433">
      <c r="A433" s="131">
        <f>IFERROR(__xludf.DUMMYFUNCTION("""COMPUTED_VALUE"""),46170.331099537034)</f>
        <v>46170.3311</v>
      </c>
      <c r="B433" s="122" t="str">
        <f>IFERROR(__xludf.DUMMYFUNCTION("""COMPUTED_VALUE"""),"SOLR")</f>
        <v>SOLR</v>
      </c>
      <c r="C433" s="122" t="str">
        <f>IFERROR(__xludf.DUMMYFUNCTION("""COMPUTED_VALUE"""),"SolarSpark reports steady growth and improved market confidence.")</f>
        <v>SolarSpark reports steady growth and improved market confidence.</v>
      </c>
      <c r="D433" s="122" t="str">
        <f>IFERROR(__xludf.DUMMYFUNCTION("""COMPUTED_VALUE"""),"SolarSpark continues to show positive momentum with moderate risk.")</f>
        <v>SolarSpark continues to show positive momentum with moderate risk.</v>
      </c>
      <c r="E433" s="122" t="str">
        <f>IFERROR(__xludf.DUMMYFUNCTION("""COMPUTED_VALUE"""),"Positive")</f>
        <v>Positive</v>
      </c>
      <c r="F433" s="122">
        <f>IFERROR(__xludf.DUMMYFUNCTION("""COMPUTED_VALUE"""),0.015)</f>
        <v>0.015</v>
      </c>
      <c r="G433" s="122">
        <f>IFERROR(__xludf.DUMMYFUNCTION("""COMPUTED_VALUE"""),0.5)</f>
        <v>0.5</v>
      </c>
      <c r="H433" s="122" t="str">
        <f>IFERROR(__xludf.DUMMYFUNCTION("""COMPUTED_VALUE"""),"Active")</f>
        <v>Active</v>
      </c>
    </row>
    <row r="434">
      <c r="A434" s="131">
        <f>IFERROR(__xludf.DUMMYFUNCTION("""COMPUTED_VALUE"""),46170.33111111111)</f>
        <v>46170.33111</v>
      </c>
      <c r="B434" s="122" t="str">
        <f>IFERROR(__xludf.DUMMYFUNCTION("""COMPUTED_VALUE"""),"BATT")</f>
        <v>BATT</v>
      </c>
      <c r="C434" s="122" t="str">
        <f>IFERROR(__xludf.DUMMYFUNCTION("""COMPUTED_VALUE"""),"BatteryBox sees uncertain trading as investors react to mixed signals.")</f>
        <v>BatteryBox sees uncertain trading as investors react to mixed signals.</v>
      </c>
      <c r="D434" s="122" t="str">
        <f>IFERROR(__xludf.DUMMYFUNCTION("""COMPUTED_VALUE"""),"BatteryBox may experience larger price swings as investors disagree on direction.")</f>
        <v>BatteryBox may experience larger price swings as investors disagree on direction.</v>
      </c>
      <c r="E434" s="122" t="str">
        <f>IFERROR(__xludf.DUMMYFUNCTION("""COMPUTED_VALUE"""),"Mixed")</f>
        <v>Mixed</v>
      </c>
      <c r="F434" s="122">
        <f>IFERROR(__xludf.DUMMYFUNCTION("""COMPUTED_VALUE"""),-0.010815333973217798)</f>
        <v>-0.01081533397</v>
      </c>
      <c r="G434" s="122">
        <f>IFERROR(__xludf.DUMMYFUNCTION("""COMPUTED_VALUE"""),1.5)</f>
        <v>1.5</v>
      </c>
      <c r="H434" s="122" t="str">
        <f>IFERROR(__xludf.DUMMYFUNCTION("""COMPUTED_VALUE"""),"Active")</f>
        <v>Active</v>
      </c>
    </row>
    <row r="435">
      <c r="A435" s="131">
        <f>IFERROR(__xludf.DUMMYFUNCTION("""COMPUTED_VALUE"""),46170.33111111111)</f>
        <v>46170.33111</v>
      </c>
      <c r="B435" s="122" t="str">
        <f>IFERROR(__xludf.DUMMYFUNCTION("""COMPUTED_VALUE"""),"WIND")</f>
        <v>WIND</v>
      </c>
      <c r="C435" s="122" t="str">
        <f>IFERROR(__xludf.DUMMYFUNCTION("""COMPUTED_VALUE"""),"WindWorks surges as demand rises across the Energy sector.")</f>
        <v>WindWorks surges as demand rises across the Energy sector.</v>
      </c>
      <c r="D435" s="122" t="str">
        <f>IFERROR(__xludf.DUMMYFUNCTION("""COMPUTED_VALUE"""),"WindWorks is seeing strong demand, which may increase investor confidence.")</f>
        <v>WindWorks is seeing strong demand, which may increase investor confidence.</v>
      </c>
      <c r="E435" s="122" t="str">
        <f>IFERROR(__xludf.DUMMYFUNCTION("""COMPUTED_VALUE"""),"Positive")</f>
        <v>Positive</v>
      </c>
      <c r="F435" s="122">
        <f>IFERROR(__xludf.DUMMYFUNCTION("""COMPUTED_VALUE"""),0.03)</f>
        <v>0.03</v>
      </c>
      <c r="G435" s="122">
        <f>IFERROR(__xludf.DUMMYFUNCTION("""COMPUTED_VALUE"""),1.0)</f>
        <v>1</v>
      </c>
      <c r="H435" s="122" t="str">
        <f>IFERROR(__xludf.DUMMYFUNCTION("""COMPUTED_VALUE"""),"Active")</f>
        <v>Active</v>
      </c>
    </row>
    <row r="436">
      <c r="A436" s="131">
        <f>IFERROR(__xludf.DUMMYFUNCTION("""COMPUTED_VALUE"""),46170.33111111111)</f>
        <v>46170.33111</v>
      </c>
      <c r="B436" s="122" t="str">
        <f>IFERROR(__xludf.DUMMYFUNCTION("""COMPUTED_VALUE"""),"GRID")</f>
        <v>GRID</v>
      </c>
      <c r="C436" s="122" t="str">
        <f>IFERROR(__xludf.DUMMYFUNCTION("""COMPUTED_VALUE"""),"GridPower faces weaker demand and cautious investor sentiment.")</f>
        <v>GridPower faces weaker demand and cautious investor sentiment.</v>
      </c>
      <c r="D436" s="122" t="str">
        <f>IFERROR(__xludf.DUMMYFUNCTION("""COMPUTED_VALUE"""),"Investors are watching GridPower closely as demand weakens.")</f>
        <v>Investors are watching GridPower closely as demand weakens.</v>
      </c>
      <c r="E436" s="122" t="str">
        <f>IFERROR(__xludf.DUMMYFUNCTION("""COMPUTED_VALUE"""),"Negative")</f>
        <v>Negative</v>
      </c>
      <c r="F436" s="122">
        <f>IFERROR(__xludf.DUMMYFUNCTION("""COMPUTED_VALUE"""),-0.015)</f>
        <v>-0.015</v>
      </c>
      <c r="G436" s="122">
        <f>IFERROR(__xludf.DUMMYFUNCTION("""COMPUTED_VALUE"""),0.75)</f>
        <v>0.75</v>
      </c>
      <c r="H436" s="122" t="str">
        <f>IFERROR(__xludf.DUMMYFUNCTION("""COMPUTED_VALUE"""),"Active")</f>
        <v>Active</v>
      </c>
    </row>
    <row r="437">
      <c r="A437" s="131">
        <f>IFERROR(__xludf.DUMMYFUNCTION("""COMPUTED_VALUE"""),46170.33112268519)</f>
        <v>46170.33112</v>
      </c>
      <c r="B437" s="122" t="str">
        <f>IFERROR(__xludf.DUMMYFUNCTION("""COMPUTED_VALUE"""),"HOME")</f>
        <v>HOME</v>
      </c>
      <c r="C437" s="122" t="str">
        <f>IFERROR(__xludf.DUMMYFUNCTION("""COMPUTED_VALUE"""),"HomeHub reports steady growth and improved market confidence.")</f>
        <v>HomeHub reports steady growth and improved market confidence.</v>
      </c>
      <c r="D437" s="122" t="str">
        <f>IFERROR(__xludf.DUMMYFUNCTION("""COMPUTED_VALUE"""),"HomeHub continues to show positive momentum with moderate risk.")</f>
        <v>HomeHub continues to show positive momentum with moderate risk.</v>
      </c>
      <c r="E437" s="122" t="str">
        <f>IFERROR(__xludf.DUMMYFUNCTION("""COMPUTED_VALUE"""),"Positive")</f>
        <v>Positive</v>
      </c>
      <c r="F437" s="122">
        <f>IFERROR(__xludf.DUMMYFUNCTION("""COMPUTED_VALUE"""),0.015)</f>
        <v>0.015</v>
      </c>
      <c r="G437" s="122">
        <f>IFERROR(__xludf.DUMMYFUNCTION("""COMPUTED_VALUE"""),0.5)</f>
        <v>0.5</v>
      </c>
      <c r="H437" s="122" t="str">
        <f>IFERROR(__xludf.DUMMYFUNCTION("""COMPUTED_VALUE"""),"Active")</f>
        <v>Active</v>
      </c>
    </row>
    <row r="438">
      <c r="A438" s="131">
        <f>IFERROR(__xludf.DUMMYFUNCTION("""COMPUTED_VALUE"""),46170.33113425926)</f>
        <v>46170.33113</v>
      </c>
      <c r="B438" s="122" t="str">
        <f>IFERROR(__xludf.DUMMYFUNCTION("""COMPUTED_VALUE"""),"RENT")</f>
        <v>RENT</v>
      </c>
      <c r="C438" s="122" t="str">
        <f>IFERROR(__xludf.DUMMYFUNCTION("""COMPUTED_VALUE"""),"RentRight reports steady growth and improved market confidence.")</f>
        <v>RentRight reports steady growth and improved market confidence.</v>
      </c>
      <c r="D438" s="122" t="str">
        <f>IFERROR(__xludf.DUMMYFUNCTION("""COMPUTED_VALUE"""),"RentRight continues to show positive momentum with moderate risk.")</f>
        <v>RentRight continues to show positive momentum with moderate risk.</v>
      </c>
      <c r="E438" s="122" t="str">
        <f>IFERROR(__xludf.DUMMYFUNCTION("""COMPUTED_VALUE"""),"Positive")</f>
        <v>Positive</v>
      </c>
      <c r="F438" s="122">
        <f>IFERROR(__xludf.DUMMYFUNCTION("""COMPUTED_VALUE"""),0.015)</f>
        <v>0.015</v>
      </c>
      <c r="G438" s="122">
        <f>IFERROR(__xludf.DUMMYFUNCTION("""COMPUTED_VALUE"""),0.5)</f>
        <v>0.5</v>
      </c>
      <c r="H438" s="122" t="str">
        <f>IFERROR(__xludf.DUMMYFUNCTION("""COMPUTED_VALUE"""),"Active")</f>
        <v>Active</v>
      </c>
    </row>
    <row r="439">
      <c r="A439" s="131">
        <f>IFERROR(__xludf.DUMMYFUNCTION("""COMPUTED_VALUE"""),46170.33113425926)</f>
        <v>46170.33113</v>
      </c>
      <c r="B439" s="122" t="str">
        <f>IFERROR(__xludf.DUMMYFUNCTION("""COMPUTED_VALUE"""),"MALL")</f>
        <v>MALL</v>
      </c>
      <c r="C439" s="122" t="str">
        <f>IFERROR(__xludf.DUMMYFUNCTION("""COMPUTED_VALUE"""),"MegaMall faces weaker demand and cautious investor sentiment.")</f>
        <v>MegaMall faces weaker demand and cautious investor sentiment.</v>
      </c>
      <c r="D439" s="122" t="str">
        <f>IFERROR(__xludf.DUMMYFUNCTION("""COMPUTED_VALUE"""),"Investors are watching MegaMall closely as demand weakens.")</f>
        <v>Investors are watching MegaMall closely as demand weakens.</v>
      </c>
      <c r="E439" s="122" t="str">
        <f>IFERROR(__xludf.DUMMYFUNCTION("""COMPUTED_VALUE"""),"Negative")</f>
        <v>Negative</v>
      </c>
      <c r="F439" s="122">
        <f>IFERROR(__xludf.DUMMYFUNCTION("""COMPUTED_VALUE"""),-0.015)</f>
        <v>-0.015</v>
      </c>
      <c r="G439" s="122">
        <f>IFERROR(__xludf.DUMMYFUNCTION("""COMPUTED_VALUE"""),0.75)</f>
        <v>0.75</v>
      </c>
      <c r="H439" s="122" t="str">
        <f>IFERROR(__xludf.DUMMYFUNCTION("""COMPUTED_VALUE"""),"Active")</f>
        <v>Active</v>
      </c>
    </row>
    <row r="440">
      <c r="A440" s="131">
        <f>IFERROR(__xludf.DUMMYFUNCTION("""COMPUTED_VALUE"""),46170.331145833334)</f>
        <v>46170.33115</v>
      </c>
      <c r="B440" s="122" t="str">
        <f>IFERROR(__xludf.DUMMYFUNCTION("""COMPUTED_VALUE"""),"HOTL")</f>
        <v>HOTL</v>
      </c>
      <c r="C440" s="122" t="str">
        <f>IFERROR(__xludf.DUMMYFUNCTION("""COMPUTED_VALUE"""),"HotelHive remains stable as the Real Estate market shows normal activity.")</f>
        <v>HotelHive remains stable as the Real Estate market shows normal activity.</v>
      </c>
      <c r="D440" s="122" t="str">
        <f>IFERROR(__xludf.DUMMYFUNCTION("""COMPUTED_VALUE"""),"HotelHive appears steady with no major changes reported.")</f>
        <v>HotelHive appears steady with no major changes reported.</v>
      </c>
      <c r="E440" s="122" t="str">
        <f>IFERROR(__xludf.DUMMYFUNCTION("""COMPUTED_VALUE"""),"Neutral")</f>
        <v>Neutral</v>
      </c>
      <c r="F440" s="122">
        <f>IFERROR(__xludf.DUMMYFUNCTION("""COMPUTED_VALUE"""),0.0)</f>
        <v>0</v>
      </c>
      <c r="G440" s="122">
        <f>IFERROR(__xludf.DUMMYFUNCTION("""COMPUTED_VALUE"""),0.0)</f>
        <v>0</v>
      </c>
      <c r="H440" s="122" t="str">
        <f>IFERROR(__xludf.DUMMYFUNCTION("""COMPUTED_VALUE"""),"Active")</f>
        <v>Active</v>
      </c>
    </row>
    <row r="441">
      <c r="A441" s="131">
        <f>IFERROR(__xludf.DUMMYFUNCTION("""COMPUTED_VALUE"""),46170.331145833334)</f>
        <v>46170.33115</v>
      </c>
      <c r="B441" s="122" t="str">
        <f>IFERROR(__xludf.DUMMYFUNCTION("""COMPUTED_VALUE"""),"LAND")</f>
        <v>LAND</v>
      </c>
      <c r="C441" s="122" t="str">
        <f>IFERROR(__xludf.DUMMYFUNCTION("""COMPUTED_VALUE"""),"LandLink remains stable as the Real Estate market shows normal activity.")</f>
        <v>LandLink remains stable as the Real Estate market shows normal activity.</v>
      </c>
      <c r="D441" s="122" t="str">
        <f>IFERROR(__xludf.DUMMYFUNCTION("""COMPUTED_VALUE"""),"LandLink appears steady with no major changes reported.")</f>
        <v>LandLink appears steady with no major changes reported.</v>
      </c>
      <c r="E441" s="122" t="str">
        <f>IFERROR(__xludf.DUMMYFUNCTION("""COMPUTED_VALUE"""),"Neutral")</f>
        <v>Neutral</v>
      </c>
      <c r="F441" s="122">
        <f>IFERROR(__xludf.DUMMYFUNCTION("""COMPUTED_VALUE"""),0.0)</f>
        <v>0</v>
      </c>
      <c r="G441" s="122">
        <f>IFERROR(__xludf.DUMMYFUNCTION("""COMPUTED_VALUE"""),0.0)</f>
        <v>0</v>
      </c>
      <c r="H441" s="122" t="str">
        <f>IFERROR(__xludf.DUMMYFUNCTION("""COMPUTED_VALUE"""),"Active")</f>
        <v>Active</v>
      </c>
    </row>
    <row r="442">
      <c r="A442" s="131">
        <f>IFERROR(__xludf.DUMMYFUNCTION("""COMPUTED_VALUE"""),46170.331145833334)</f>
        <v>46170.33115</v>
      </c>
      <c r="B442" s="122" t="str">
        <f>IFERROR(__xludf.DUMMYFUNCTION("""COMPUTED_VALUE"""),"CARS")</f>
        <v>CARS</v>
      </c>
      <c r="C442" s="122" t="str">
        <f>IFERROR(__xludf.DUMMYFUNCTION("""COMPUTED_VALUE"""),"AutoArena drops sharply after major concerns hit the market.")</f>
        <v>AutoArena drops sharply after major concerns hit the market.</v>
      </c>
      <c r="D442" s="122" t="str">
        <f>IFERROR(__xludf.DUMMYFUNCTION("""COMPUTED_VALUE"""),"AutoArena is under pressure as investors react to worsening conditions.")</f>
        <v>AutoArena is under pressure as investors react to worsening conditions.</v>
      </c>
      <c r="E442" s="122" t="str">
        <f>IFERROR(__xludf.DUMMYFUNCTION("""COMPUTED_VALUE"""),"Negative")</f>
        <v>Negative</v>
      </c>
      <c r="F442" s="122">
        <f>IFERROR(__xludf.DUMMYFUNCTION("""COMPUTED_VALUE"""),-0.04)</f>
        <v>-0.04</v>
      </c>
      <c r="G442" s="122">
        <f>IFERROR(__xludf.DUMMYFUNCTION("""COMPUTED_VALUE"""),2.0)</f>
        <v>2</v>
      </c>
      <c r="H442" s="122" t="str">
        <f>IFERROR(__xludf.DUMMYFUNCTION("""COMPUTED_VALUE"""),"Active")</f>
        <v>Active</v>
      </c>
    </row>
    <row r="443">
      <c r="A443" s="131">
        <f>IFERROR(__xludf.DUMMYFUNCTION("""COMPUTED_VALUE"""),46170.331145833334)</f>
        <v>46170.33115</v>
      </c>
      <c r="B443" s="122" t="str">
        <f>IFERROR(__xludf.DUMMYFUNCTION("""COMPUTED_VALUE"""),"EVGO")</f>
        <v>EVGO</v>
      </c>
      <c r="C443" s="122" t="str">
        <f>IFERROR(__xludf.DUMMYFUNCTION("""COMPUTED_VALUE"""),"EVGo Motors remains stable as the Automotive market shows normal activity.")</f>
        <v>EVGo Motors remains stable as the Automotive market shows normal activity.</v>
      </c>
      <c r="D443" s="122" t="str">
        <f>IFERROR(__xludf.DUMMYFUNCTION("""COMPUTED_VALUE"""),"EVGo Motors appears steady with no major changes reported.")</f>
        <v>EVGo Motors appears steady with no major changes reported.</v>
      </c>
      <c r="E443" s="122" t="str">
        <f>IFERROR(__xludf.DUMMYFUNCTION("""COMPUTED_VALUE"""),"Neutral")</f>
        <v>Neutral</v>
      </c>
      <c r="F443" s="122">
        <f>IFERROR(__xludf.DUMMYFUNCTION("""COMPUTED_VALUE"""),0.0)</f>
        <v>0</v>
      </c>
      <c r="G443" s="122">
        <f>IFERROR(__xludf.DUMMYFUNCTION("""COMPUTED_VALUE"""),0.0)</f>
        <v>0</v>
      </c>
      <c r="H443" s="122" t="str">
        <f>IFERROR(__xludf.DUMMYFUNCTION("""COMPUTED_VALUE"""),"Active")</f>
        <v>Active</v>
      </c>
    </row>
    <row r="444">
      <c r="A444" s="131">
        <f>IFERROR(__xludf.DUMMYFUNCTION("""COMPUTED_VALUE"""),46170.33115740741)</f>
        <v>46170.33116</v>
      </c>
      <c r="B444" s="122" t="str">
        <f>IFERROR(__xludf.DUMMYFUNCTION("""COMPUTED_VALUE"""),"TIRE")</f>
        <v>TIRE</v>
      </c>
      <c r="C444" s="122" t="str">
        <f>IFERROR(__xludf.DUMMYFUNCTION("""COMPUTED_VALUE"""),"TireTown sees uncertain trading as investors react to mixed signals.")</f>
        <v>TireTown sees uncertain trading as investors react to mixed signals.</v>
      </c>
      <c r="D444" s="122" t="str">
        <f>IFERROR(__xludf.DUMMYFUNCTION("""COMPUTED_VALUE"""),"TireTown may experience larger price swings as investors disagree on direction.")</f>
        <v>TireTown may experience larger price swings as investors disagree on direction.</v>
      </c>
      <c r="E444" s="122" t="str">
        <f>IFERROR(__xludf.DUMMYFUNCTION("""COMPUTED_VALUE"""),"Mixed")</f>
        <v>Mixed</v>
      </c>
      <c r="F444" s="122">
        <f>IFERROR(__xludf.DUMMYFUNCTION("""COMPUTED_VALUE"""),0.012556810887854878)</f>
        <v>0.01255681089</v>
      </c>
      <c r="G444" s="122">
        <f>IFERROR(__xludf.DUMMYFUNCTION("""COMPUTED_VALUE"""),1.5)</f>
        <v>1.5</v>
      </c>
      <c r="H444" s="122" t="str">
        <f>IFERROR(__xludf.DUMMYFUNCTION("""COMPUTED_VALUE"""),"Active")</f>
        <v>Active</v>
      </c>
    </row>
    <row r="445">
      <c r="A445" s="131">
        <f>IFERROR(__xludf.DUMMYFUNCTION("""COMPUTED_VALUE"""),46170.33116898148)</f>
        <v>46170.33117</v>
      </c>
      <c r="B445" s="122" t="str">
        <f>IFERROR(__xludf.DUMMYFUNCTION("""COMPUTED_VALUE"""),"BIKE")</f>
        <v>BIKE</v>
      </c>
      <c r="C445" s="122" t="str">
        <f>IFERROR(__xludf.DUMMYFUNCTION("""COMPUTED_VALUE"""),"BikeBox faces weaker demand and cautious investor sentiment.")</f>
        <v>BikeBox faces weaker demand and cautious investor sentiment.</v>
      </c>
      <c r="D445" s="122" t="str">
        <f>IFERROR(__xludf.DUMMYFUNCTION("""COMPUTED_VALUE"""),"Investors are watching BikeBox closely as demand weakens.")</f>
        <v>Investors are watching BikeBox closely as demand weakens.</v>
      </c>
      <c r="E445" s="122" t="str">
        <f>IFERROR(__xludf.DUMMYFUNCTION("""COMPUTED_VALUE"""),"Negative")</f>
        <v>Negative</v>
      </c>
      <c r="F445" s="122">
        <f>IFERROR(__xludf.DUMMYFUNCTION("""COMPUTED_VALUE"""),-0.015)</f>
        <v>-0.015</v>
      </c>
      <c r="G445" s="122">
        <f>IFERROR(__xludf.DUMMYFUNCTION("""COMPUTED_VALUE"""),0.75)</f>
        <v>0.75</v>
      </c>
      <c r="H445" s="122" t="str">
        <f>IFERROR(__xludf.DUMMYFUNCTION("""COMPUTED_VALUE"""),"Active")</f>
        <v>Active</v>
      </c>
    </row>
    <row r="446">
      <c r="A446" s="131">
        <f>IFERROR(__xludf.DUMMYFUNCTION("""COMPUTED_VALUE"""),46170.33116898148)</f>
        <v>46170.33117</v>
      </c>
      <c r="B446" s="122" t="str">
        <f>IFERROR(__xludf.DUMMYFUNCTION("""COMPUTED_VALUE"""),"WASH")</f>
        <v>WASH</v>
      </c>
      <c r="C446" s="122" t="str">
        <f>IFERROR(__xludf.DUMMYFUNCTION("""COMPUTED_VALUE"""),"CarWash Co surges as demand rises across the Automotive sector.")</f>
        <v>CarWash Co surges as demand rises across the Automotive sector.</v>
      </c>
      <c r="D446" s="122" t="str">
        <f>IFERROR(__xludf.DUMMYFUNCTION("""COMPUTED_VALUE"""),"CarWash Co is seeing strong demand, which may increase investor confidence.")</f>
        <v>CarWash Co is seeing strong demand, which may increase investor confidence.</v>
      </c>
      <c r="E446" s="122" t="str">
        <f>IFERROR(__xludf.DUMMYFUNCTION("""COMPUTED_VALUE"""),"Positive")</f>
        <v>Positive</v>
      </c>
      <c r="F446" s="122">
        <f>IFERROR(__xludf.DUMMYFUNCTION("""COMPUTED_VALUE"""),0.03)</f>
        <v>0.03</v>
      </c>
      <c r="G446" s="122">
        <f>IFERROR(__xludf.DUMMYFUNCTION("""COMPUTED_VALUE"""),1.0)</f>
        <v>1</v>
      </c>
      <c r="H446" s="122" t="str">
        <f>IFERROR(__xludf.DUMMYFUNCTION("""COMPUTED_VALUE"""),"Active")</f>
        <v>Active</v>
      </c>
    </row>
    <row r="447">
      <c r="A447" s="131">
        <f>IFERROR(__xludf.DUMMYFUNCTION("""COMPUTED_VALUE"""),46170.33116898148)</f>
        <v>46170.33117</v>
      </c>
      <c r="B447" s="122" t="str">
        <f>IFERROR(__xludf.DUMMYFUNCTION("""COMPUTED_VALUE"""),"GBND")</f>
        <v>GBND</v>
      </c>
      <c r="C447" s="122" t="str">
        <f>IFERROR(__xludf.DUMMYFUNCTION("""COMPUTED_VALUE"""),"Classroom Government Bond remains steady as investors seek stability.")</f>
        <v>Classroom Government Bond remains steady as investors seek stability.</v>
      </c>
      <c r="D44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447" s="122" t="str">
        <f>IFERROR(__xludf.DUMMYFUNCTION("""COMPUTED_VALUE"""),"Neutral")</f>
        <v>Neutral</v>
      </c>
      <c r="F447" s="122">
        <f>IFERROR(__xludf.DUMMYFUNCTION("""COMPUTED_VALUE"""),0.0)</f>
        <v>0</v>
      </c>
      <c r="G447" s="122">
        <f>IFERROR(__xludf.DUMMYFUNCTION("""COMPUTED_VALUE"""),0.0)</f>
        <v>0</v>
      </c>
      <c r="H447" s="122" t="str">
        <f>IFERROR(__xludf.DUMMYFUNCTION("""COMPUTED_VALUE"""),"Active")</f>
        <v>Active</v>
      </c>
    </row>
    <row r="448">
      <c r="A448" s="131">
        <f>IFERROR(__xludf.DUMMYFUNCTION("""COMPUTED_VALUE"""),46170.33118055556)</f>
        <v>46170.33118</v>
      </c>
      <c r="B448" s="122" t="str">
        <f>IFERROR(__xludf.DUMMYFUNCTION("""COMPUTED_VALUE"""),"SBND")</f>
        <v>SBND</v>
      </c>
      <c r="C448" s="122" t="str">
        <f>IFERROR(__xludf.DUMMYFUNCTION("""COMPUTED_VALUE"""),"School Savings Bond remains steady as investors seek stability.")</f>
        <v>School Savings Bond remains steady as investors seek stability.</v>
      </c>
      <c r="D44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448" s="122" t="str">
        <f>IFERROR(__xludf.DUMMYFUNCTION("""COMPUTED_VALUE"""),"Neutral")</f>
        <v>Neutral</v>
      </c>
      <c r="F448" s="122">
        <f>IFERROR(__xludf.DUMMYFUNCTION("""COMPUTED_VALUE"""),0.0)</f>
        <v>0</v>
      </c>
      <c r="G448" s="122">
        <f>IFERROR(__xludf.DUMMYFUNCTION("""COMPUTED_VALUE"""),0.0)</f>
        <v>0</v>
      </c>
      <c r="H448" s="122" t="str">
        <f>IFERROR(__xludf.DUMMYFUNCTION("""COMPUTED_VALUE"""),"Active")</f>
        <v>Active</v>
      </c>
    </row>
    <row r="449">
      <c r="A449" s="131">
        <f>IFERROR(__xludf.DUMMYFUNCTION("""COMPUTED_VALUE"""),46170.33118055556)</f>
        <v>46170.33118</v>
      </c>
      <c r="B449" s="122" t="str">
        <f>IFERROR(__xludf.DUMMYFUNCTION("""COMPUTED_VALUE"""),"CBND")</f>
        <v>CBND</v>
      </c>
      <c r="C449" s="122" t="str">
        <f>IFERROR(__xludf.DUMMYFUNCTION("""COMPUTED_VALUE"""),"Corporate Classroom Bond remains steady as investors seek stability.")</f>
        <v>Corporate Classroom Bond remains steady as investors seek stability.</v>
      </c>
      <c r="D44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449" s="122" t="str">
        <f>IFERROR(__xludf.DUMMYFUNCTION("""COMPUTED_VALUE"""),"Neutral")</f>
        <v>Neutral</v>
      </c>
      <c r="F449" s="122">
        <f>IFERROR(__xludf.DUMMYFUNCTION("""COMPUTED_VALUE"""),0.0)</f>
        <v>0</v>
      </c>
      <c r="G449" s="122">
        <f>IFERROR(__xludf.DUMMYFUNCTION("""COMPUTED_VALUE"""),0.0)</f>
        <v>0</v>
      </c>
      <c r="H449" s="122" t="str">
        <f>IFERROR(__xludf.DUMMYFUNCTION("""COMPUTED_VALUE"""),"Active")</f>
        <v>Active</v>
      </c>
    </row>
    <row r="450">
      <c r="A450" s="131">
        <f>IFERROR(__xludf.DUMMYFUNCTION("""COMPUTED_VALUE"""),46170.33118055556)</f>
        <v>46170.33118</v>
      </c>
      <c r="B450" s="122" t="str">
        <f>IFERROR(__xludf.DUMMYFUNCTION("""COMPUTED_VALUE"""),"TBIL")</f>
        <v>TBIL</v>
      </c>
      <c r="C450" s="122" t="str">
        <f>IFERROR(__xludf.DUMMYFUNCTION("""COMPUTED_VALUE"""),"Treasury Bill remains steady as investors seek stability.")</f>
        <v>Treasury Bill remains steady as investors seek stability.</v>
      </c>
      <c r="D45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450" s="122" t="str">
        <f>IFERROR(__xludf.DUMMYFUNCTION("""COMPUTED_VALUE"""),"Neutral")</f>
        <v>Neutral</v>
      </c>
      <c r="F450" s="122">
        <f>IFERROR(__xludf.DUMMYFUNCTION("""COMPUTED_VALUE"""),0.0)</f>
        <v>0</v>
      </c>
      <c r="G450" s="122">
        <f>IFERROR(__xludf.DUMMYFUNCTION("""COMPUTED_VALUE"""),0.0)</f>
        <v>0</v>
      </c>
      <c r="H450" s="122" t="str">
        <f>IFERROR(__xludf.DUMMYFUNCTION("""COMPUTED_VALUE"""),"Active")</f>
        <v>Active</v>
      </c>
    </row>
    <row r="451">
      <c r="A451" s="131">
        <f>IFERROR(__xludf.DUMMYFUNCTION("""COMPUTED_VALUE"""),46170.331192129626)</f>
        <v>46170.33119</v>
      </c>
      <c r="B451" s="122" t="str">
        <f>IFERROR(__xludf.DUMMYFUNCTION("""COMPUTED_VALUE"""),"IBND")</f>
        <v>IBND</v>
      </c>
      <c r="C451" s="122" t="str">
        <f>IFERROR(__xludf.DUMMYFUNCTION("""COMPUTED_VALUE"""),"Inflation Protected Bond remains steady as investors seek stability.")</f>
        <v>Inflation Protected Bond remains steady as investors seek stability.</v>
      </c>
      <c r="D45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451" s="122" t="str">
        <f>IFERROR(__xludf.DUMMYFUNCTION("""COMPUTED_VALUE"""),"Neutral")</f>
        <v>Neutral</v>
      </c>
      <c r="F451" s="122">
        <f>IFERROR(__xludf.DUMMYFUNCTION("""COMPUTED_VALUE"""),0.0)</f>
        <v>0</v>
      </c>
      <c r="G451" s="122">
        <f>IFERROR(__xludf.DUMMYFUNCTION("""COMPUTED_VALUE"""),0.0)</f>
        <v>0</v>
      </c>
      <c r="H451" s="122" t="str">
        <f>IFERROR(__xludf.DUMMYFUNCTION("""COMPUTED_VALUE"""),"Active")</f>
        <v>Active</v>
      </c>
    </row>
    <row r="452">
      <c r="A452" s="131">
        <f>IFERROR(__xludf.DUMMYFUNCTION("""COMPUTED_VALUE"""),46170.338784722226)</f>
        <v>46170.33878</v>
      </c>
      <c r="B452" s="122" t="str">
        <f>IFERROR(__xludf.DUMMYFUNCTION("""COMPUTED_VALUE"""),"MARKET")</f>
        <v>MARKET</v>
      </c>
      <c r="C452" s="122" t="str">
        <f>IFERROR(__xludf.DUMMYFUNCTION("""COMPUTED_VALUE"""),"Market Stability Report")</f>
        <v>Market Stability Report</v>
      </c>
      <c r="D452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452" s="122" t="str">
        <f>IFERROR(__xludf.DUMMYFUNCTION("""COMPUTED_VALUE"""),"Neutral")</f>
        <v>Neutral</v>
      </c>
      <c r="F452" s="122">
        <f>IFERROR(__xludf.DUMMYFUNCTION("""COMPUTED_VALUE"""),0.0)</f>
        <v>0</v>
      </c>
      <c r="G452" s="122">
        <f>IFERROR(__xludf.DUMMYFUNCTION("""COMPUTED_VALUE"""),0.0)</f>
        <v>0</v>
      </c>
      <c r="H452" s="122" t="str">
        <f>IFERROR(__xludf.DUMMYFUNCTION("""COMPUTED_VALUE"""),"Active")</f>
        <v>Active</v>
      </c>
    </row>
    <row r="453">
      <c r="A453" s="131">
        <f>IFERROR(__xludf.DUMMYFUNCTION("""COMPUTED_VALUE"""),46171.3178125)</f>
        <v>46171.31781</v>
      </c>
      <c r="B453" s="122" t="str">
        <f>IFERROR(__xludf.DUMMYFUNCTION("""COMPUTED_VALUE"""),"EVGO")</f>
        <v>EVGO</v>
      </c>
      <c r="C453" s="122" t="str">
        <f>IFERROR(__xludf.DUMMYFUNCTION("""COMPUTED_VALUE"""),"EVGo Motors releases earnings report: Beat profit, guidance Raised.")</f>
        <v>EVGo Motors releases earnings report: Beat profit, guidance Raised.</v>
      </c>
      <c r="D45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453" s="122" t="str">
        <f>IFERROR(__xludf.DUMMYFUNCTION("""COMPUTED_VALUE"""),"Positive")</f>
        <v>Positive</v>
      </c>
      <c r="F453" s="122">
        <f>IFERROR(__xludf.DUMMYFUNCTION("""COMPUTED_VALUE"""),0.04064724473505681)</f>
        <v>0.04064724474</v>
      </c>
      <c r="G453" s="122">
        <f>IFERROR(__xludf.DUMMYFUNCTION("""COMPUTED_VALUE"""),1.0161811183764202)</f>
        <v>1.016181118</v>
      </c>
      <c r="H453" s="122" t="str">
        <f>IFERROR(__xludf.DUMMYFUNCTION("""COMPUTED_VALUE"""),"Active")</f>
        <v>Active</v>
      </c>
    </row>
    <row r="454">
      <c r="A454" s="131">
        <f>IFERROR(__xludf.DUMMYFUNCTION("""COMPUTED_VALUE"""),46171.31795138889)</f>
        <v>46171.31795</v>
      </c>
      <c r="B454" s="122" t="str">
        <f>IFERROR(__xludf.DUMMYFUNCTION("""COMPUTED_VALUE"""),"STRM")</f>
        <v>STRM</v>
      </c>
      <c r="C454" s="122" t="str">
        <f>IFERROR(__xludf.DUMMYFUNCTION("""COMPUTED_VALUE"""),"Streamly releases earnings report: Miss profit, guidance Lowered.")</f>
        <v>Streamly releases earnings report: Miss profit, guidance Lowered.</v>
      </c>
      <c r="D454" s="122" t="str">
        <f>IFERROR(__xludf.DUMMYFUNCTION("""COMPUTED_VALUE"""),"Earnings report: revenue Miss, profit Miss, debt Worse, guidance Lowered.")</f>
        <v>Earnings report: revenue Miss, profit Miss, debt Worse, guidance Lowered.</v>
      </c>
      <c r="E454" s="122" t="str">
        <f>IFERROR(__xludf.DUMMYFUNCTION("""COMPUTED_VALUE"""),"Negative")</f>
        <v>Negative</v>
      </c>
      <c r="F454" s="122">
        <f>IFERROR(__xludf.DUMMYFUNCTION("""COMPUTED_VALUE"""),-0.02995267097046434)</f>
        <v>-0.02995267097</v>
      </c>
      <c r="G454" s="122">
        <f>IFERROR(__xludf.DUMMYFUNCTION("""COMPUTED_VALUE"""),0.7488167742616085)</f>
        <v>0.7488167743</v>
      </c>
      <c r="H454" s="122" t="str">
        <f>IFERROR(__xludf.DUMMYFUNCTION("""COMPUTED_VALUE"""),"Active")</f>
        <v>Active</v>
      </c>
    </row>
    <row r="455">
      <c r="A455" s="131">
        <f>IFERROR(__xludf.DUMMYFUNCTION("""COMPUTED_VALUE"""),46171.318078703705)</f>
        <v>46171.31808</v>
      </c>
      <c r="B455" s="122" t="str">
        <f>IFERROR(__xludf.DUMMYFUNCTION("""COMPUTED_VALUE"""),"TECH")</f>
        <v>TECH</v>
      </c>
      <c r="C455" s="122" t="str">
        <f>IFERROR(__xludf.DUMMYFUNCTION("""COMPUTED_VALUE"""),"Dragon Tech releases earnings report: Miss profit, guidance Lowered.")</f>
        <v>Dragon Tech releases earnings report: Miss profit, guidance Lowered.</v>
      </c>
      <c r="D455" s="122" t="str">
        <f>IFERROR(__xludf.DUMMYFUNCTION("""COMPUTED_VALUE"""),"Earnings report: revenue Miss, profit Miss, debt Stable, guidance Lowered.")</f>
        <v>Earnings report: revenue Miss, profit Miss, debt Stable, guidance Lowered.</v>
      </c>
      <c r="E455" s="122" t="str">
        <f>IFERROR(__xludf.DUMMYFUNCTION("""COMPUTED_VALUE"""),"Negative")</f>
        <v>Negative</v>
      </c>
      <c r="F455" s="122">
        <f>IFERROR(__xludf.DUMMYFUNCTION("""COMPUTED_VALUE"""),-0.0197568000368542)</f>
        <v>-0.01975680004</v>
      </c>
      <c r="G455" s="122">
        <f>IFERROR(__xludf.DUMMYFUNCTION("""COMPUTED_VALUE"""),0.493920000921355)</f>
        <v>0.4939200009</v>
      </c>
      <c r="H455" s="122" t="str">
        <f>IFERROR(__xludf.DUMMYFUNCTION("""COMPUTED_VALUE"""),"Active")</f>
        <v>Active</v>
      </c>
    </row>
    <row r="456">
      <c r="A456" s="131">
        <f>IFERROR(__xludf.DUMMYFUNCTION("""COMPUTED_VALUE"""),46171.318194444444)</f>
        <v>46171.31819</v>
      </c>
      <c r="B456" s="122" t="str">
        <f>IFERROR(__xludf.DUMMYFUNCTION("""COMPUTED_VALUE"""),"MEAT")</f>
        <v>MEAT</v>
      </c>
      <c r="C456" s="122" t="str">
        <f>IFERROR(__xludf.DUMMYFUNCTION("""COMPUTED_VALUE"""),"MeatWorks releases earnings report: Miss profit, guidance Maintained.")</f>
        <v>MeatWorks releases earnings report: Miss profit, guidance Maintained.</v>
      </c>
      <c r="D456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456" s="122" t="str">
        <f>IFERROR(__xludf.DUMMYFUNCTION("""COMPUTED_VALUE"""),"Negative")</f>
        <v>Negative</v>
      </c>
      <c r="F456" s="122">
        <f>IFERROR(__xludf.DUMMYFUNCTION("""COMPUTED_VALUE"""),-0.012945327000532138)</f>
        <v>-0.012945327</v>
      </c>
      <c r="G456" s="122">
        <f>IFERROR(__xludf.DUMMYFUNCTION("""COMPUTED_VALUE"""),0.32363317501330346)</f>
        <v>0.323633175</v>
      </c>
      <c r="H456" s="122" t="str">
        <f>IFERROR(__xludf.DUMMYFUNCTION("""COMPUTED_VALUE"""),"Active")</f>
        <v>Active</v>
      </c>
    </row>
    <row r="457">
      <c r="A457" s="131">
        <f>IFERROR(__xludf.DUMMYFUNCTION("""COMPUTED_VALUE"""),46171.318344907406)</f>
        <v>46171.31834</v>
      </c>
      <c r="B457" s="122" t="str">
        <f>IFERROR(__xludf.DUMMYFUNCTION("""COMPUTED_VALUE"""),"KICK")</f>
        <v>KICK</v>
      </c>
      <c r="C457" s="122" t="str">
        <f>IFERROR(__xludf.DUMMYFUNCTION("""COMPUTED_VALUE"""),"KickDrop Sneakers releases earnings report: Inline profit, guidance Maintained.")</f>
        <v>KickDrop Sneakers releases earnings report: Inline profit, guidance Maintained.</v>
      </c>
      <c r="D457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457" s="122" t="str">
        <f>IFERROR(__xludf.DUMMYFUNCTION("""COMPUTED_VALUE"""),"Neutral")</f>
        <v>Neutral</v>
      </c>
      <c r="F457" s="122">
        <f>IFERROR(__xludf.DUMMYFUNCTION("""COMPUTED_VALUE"""),-0.004399443024848182)</f>
        <v>-0.004399443025</v>
      </c>
      <c r="G457" s="122">
        <f>IFERROR(__xludf.DUMMYFUNCTION("""COMPUTED_VALUE"""),0.10998607562120455)</f>
        <v>0.1099860756</v>
      </c>
      <c r="H457" s="122" t="str">
        <f>IFERROR(__xludf.DUMMYFUNCTION("""COMPUTED_VALUE"""),"Active")</f>
        <v>Active</v>
      </c>
    </row>
    <row r="458">
      <c r="A458" s="131">
        <f>IFERROR(__xludf.DUMMYFUNCTION("""COMPUTED_VALUE"""),46171.3184837963)</f>
        <v>46171.31848</v>
      </c>
      <c r="B458" s="122" t="str">
        <f>IFERROR(__xludf.DUMMYFUNCTION("""COMPUTED_VALUE"""),"CARE")</f>
        <v>CARE</v>
      </c>
      <c r="C458" s="122" t="str">
        <f>IFERROR(__xludf.DUMMYFUNCTION("""COMPUTED_VALUE"""),"CareCloud releases earnings report: Miss profit, guidance Lowered.")</f>
        <v>CareCloud releases earnings report: Miss profit, guidance Lowered.</v>
      </c>
      <c r="D458" s="122" t="str">
        <f>IFERROR(__xludf.DUMMYFUNCTION("""COMPUTED_VALUE"""),"Earnings report: revenue Miss, profit Miss, debt Worse, guidance Lowered.")</f>
        <v>Earnings report: revenue Miss, profit Miss, debt Worse, guidance Lowered.</v>
      </c>
      <c r="E458" s="122" t="str">
        <f>IFERROR(__xludf.DUMMYFUNCTION("""COMPUTED_VALUE"""),"Negative")</f>
        <v>Negative</v>
      </c>
      <c r="F458" s="122">
        <f>IFERROR(__xludf.DUMMYFUNCTION("""COMPUTED_VALUE"""),-0.05928305677894924)</f>
        <v>-0.05928305678</v>
      </c>
      <c r="G458" s="122">
        <f>IFERROR(__xludf.DUMMYFUNCTION("""COMPUTED_VALUE"""),1.482076419473731)</f>
        <v>1.482076419</v>
      </c>
      <c r="H458" s="122" t="str">
        <f>IFERROR(__xludf.DUMMYFUNCTION("""COMPUTED_VALUE"""),"Active")</f>
        <v>Active</v>
      </c>
    </row>
    <row r="459">
      <c r="A459" s="131">
        <f>IFERROR(__xludf.DUMMYFUNCTION("""COMPUTED_VALUE"""),46171.31861111111)</f>
        <v>46171.31861</v>
      </c>
      <c r="B459" s="122" t="str">
        <f>IFERROR(__xludf.DUMMYFUNCTION("""COMPUTED_VALUE"""),"INSR")</f>
        <v>INSR</v>
      </c>
      <c r="C459" s="122" t="str">
        <f>IFERROR(__xludf.DUMMYFUNCTION("""COMPUTED_VALUE"""),"Shield Insurance releases earnings report: Inline profit, guidance Maintained.")</f>
        <v>Shield Insurance releases earnings report: Inline profit, guidance Maintained.</v>
      </c>
      <c r="D459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459" s="122" t="str">
        <f>IFERROR(__xludf.DUMMYFUNCTION("""COMPUTED_VALUE"""),"Neutral")</f>
        <v>Neutral</v>
      </c>
      <c r="F459" s="122">
        <f>IFERROR(__xludf.DUMMYFUNCTION("""COMPUTED_VALUE"""),-0.007603138356918437)</f>
        <v>-0.007603138357</v>
      </c>
      <c r="G459" s="122">
        <f>IFERROR(__xludf.DUMMYFUNCTION("""COMPUTED_VALUE"""),0.19007845892296094)</f>
        <v>0.1900784589</v>
      </c>
      <c r="H459" s="122" t="str">
        <f>IFERROR(__xludf.DUMMYFUNCTION("""COMPUTED_VALUE"""),"Active")</f>
        <v>Active</v>
      </c>
    </row>
    <row r="460">
      <c r="A460" s="131">
        <f>IFERROR(__xludf.DUMMYFUNCTION("""COMPUTED_VALUE"""),46171.31875)</f>
        <v>46171.31875</v>
      </c>
      <c r="B460" s="122" t="str">
        <f>IFERROR(__xludf.DUMMYFUNCTION("""COMPUTED_VALUE"""),"BANK")</f>
        <v>BANK</v>
      </c>
      <c r="C460" s="122" t="str">
        <f>IFERROR(__xludf.DUMMYFUNCTION("""COMPUTED_VALUE"""),"Tiger Bank releases earnings report: Miss profit, guidance Lowered.")</f>
        <v>Tiger Bank releases earnings report: Miss profit, guidance Lowered.</v>
      </c>
      <c r="D460" s="122" t="str">
        <f>IFERROR(__xludf.DUMMYFUNCTION("""COMPUTED_VALUE"""),"Earnings report: revenue Miss, profit Miss, debt Stable, guidance Lowered.")</f>
        <v>Earnings report: revenue Miss, profit Miss, debt Stable, guidance Lowered.</v>
      </c>
      <c r="E460" s="122" t="str">
        <f>IFERROR(__xludf.DUMMYFUNCTION("""COMPUTED_VALUE"""),"Negative")</f>
        <v>Negative</v>
      </c>
      <c r="F460" s="122">
        <f>IFERROR(__xludf.DUMMYFUNCTION("""COMPUTED_VALUE"""),-0.020990780242166402)</f>
        <v>-0.02099078024</v>
      </c>
      <c r="G460" s="122">
        <f>IFERROR(__xludf.DUMMYFUNCTION("""COMPUTED_VALUE"""),0.5247695060541601)</f>
        <v>0.5247695061</v>
      </c>
      <c r="H460" s="122" t="str">
        <f>IFERROR(__xludf.DUMMYFUNCTION("""COMPUTED_VALUE"""),"Active")</f>
        <v>Active</v>
      </c>
    </row>
    <row r="461">
      <c r="A461" s="131">
        <f>IFERROR(__xludf.DUMMYFUNCTION("""COMPUTED_VALUE"""),46171.31899305555)</f>
        <v>46171.31899</v>
      </c>
      <c r="B461" s="122" t="str">
        <f>IFERROR(__xludf.DUMMYFUNCTION("""COMPUTED_VALUE"""),"HOTL")</f>
        <v>HOTL</v>
      </c>
      <c r="C461" s="122" t="str">
        <f>IFERROR(__xludf.DUMMYFUNCTION("""COMPUTED_VALUE"""),"HotelHive releases earnings report: Beat profit, guidance Raised.")</f>
        <v>HotelHive releases earnings report: Beat profit, guidance Raised.</v>
      </c>
      <c r="D461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461" s="122" t="str">
        <f>IFERROR(__xludf.DUMMYFUNCTION("""COMPUTED_VALUE"""),"Positive")</f>
        <v>Positive</v>
      </c>
      <c r="F461" s="122">
        <f>IFERROR(__xludf.DUMMYFUNCTION("""COMPUTED_VALUE"""),0.025386512161276298)</f>
        <v>0.02538651216</v>
      </c>
      <c r="G461" s="122">
        <f>IFERROR(__xludf.DUMMYFUNCTION("""COMPUTED_VALUE"""),0.6346628040319074)</f>
        <v>0.634662804</v>
      </c>
      <c r="H461" s="122" t="str">
        <f>IFERROR(__xludf.DUMMYFUNCTION("""COMPUTED_VALUE"""),"Active")</f>
        <v>Active</v>
      </c>
    </row>
    <row r="462">
      <c r="A462" s="131">
        <f>IFERROR(__xludf.DUMMYFUNCTION("""COMPUTED_VALUE"""),46171.33091435185)</f>
        <v>46171.33091</v>
      </c>
      <c r="B462" s="122" t="str">
        <f>IFERROR(__xludf.DUMMYFUNCTION("""COMPUTED_VALUE"""),"SNAX")</f>
        <v>SNAX</v>
      </c>
      <c r="C462" s="122" t="str">
        <f>IFERROR(__xludf.DUMMYFUNCTION("""COMPUTED_VALUE"""),"MICA Snacks reports steady growth and improved market confidence.")</f>
        <v>MICA Snacks reports steady growth and improved market confidence.</v>
      </c>
      <c r="D462" s="122" t="str">
        <f>IFERROR(__xludf.DUMMYFUNCTION("""COMPUTED_VALUE"""),"MICA Snacks continues to show positive momentum with moderate risk.")</f>
        <v>MICA Snacks continues to show positive momentum with moderate risk.</v>
      </c>
      <c r="E462" s="122" t="str">
        <f>IFERROR(__xludf.DUMMYFUNCTION("""COMPUTED_VALUE"""),"Positive")</f>
        <v>Positive</v>
      </c>
      <c r="F462" s="122">
        <f>IFERROR(__xludf.DUMMYFUNCTION("""COMPUTED_VALUE"""),0.015)</f>
        <v>0.015</v>
      </c>
      <c r="G462" s="122">
        <f>IFERROR(__xludf.DUMMYFUNCTION("""COMPUTED_VALUE"""),0.5)</f>
        <v>0.5</v>
      </c>
      <c r="H462" s="122" t="str">
        <f>IFERROR(__xludf.DUMMYFUNCTION("""COMPUTED_VALUE"""),"Active")</f>
        <v>Active</v>
      </c>
    </row>
    <row r="463">
      <c r="A463" s="131">
        <f>IFERROR(__xludf.DUMMYFUNCTION("""COMPUTED_VALUE"""),46171.330925925926)</f>
        <v>46171.33093</v>
      </c>
      <c r="B463" s="122" t="str">
        <f>IFERROR(__xludf.DUMMYFUNCTION("""COMPUTED_VALUE"""),"RAMN")</f>
        <v>RAMN</v>
      </c>
      <c r="C463" s="122" t="str">
        <f>IFERROR(__xludf.DUMMYFUNCTION("""COMPUTED_VALUE"""),"Ramen Republic faces weaker demand and cautious investor sentiment.")</f>
        <v>Ramen Republic faces weaker demand and cautious investor sentiment.</v>
      </c>
      <c r="D463" s="122" t="str">
        <f>IFERROR(__xludf.DUMMYFUNCTION("""COMPUTED_VALUE"""),"Investors are watching Ramen Republic closely as demand weakens.")</f>
        <v>Investors are watching Ramen Republic closely as demand weakens.</v>
      </c>
      <c r="E463" s="122" t="str">
        <f>IFERROR(__xludf.DUMMYFUNCTION("""COMPUTED_VALUE"""),"Negative")</f>
        <v>Negative</v>
      </c>
      <c r="F463" s="122">
        <f>IFERROR(__xludf.DUMMYFUNCTION("""COMPUTED_VALUE"""),-0.015)</f>
        <v>-0.015</v>
      </c>
      <c r="G463" s="122">
        <f>IFERROR(__xludf.DUMMYFUNCTION("""COMPUTED_VALUE"""),0.75)</f>
        <v>0.75</v>
      </c>
      <c r="H463" s="122" t="str">
        <f>IFERROR(__xludf.DUMMYFUNCTION("""COMPUTED_VALUE"""),"Active")</f>
        <v>Active</v>
      </c>
    </row>
    <row r="464">
      <c r="A464" s="131">
        <f>IFERROR(__xludf.DUMMYFUNCTION("""COMPUTED_VALUE"""),46171.330925925926)</f>
        <v>46171.33093</v>
      </c>
      <c r="B464" s="122" t="str">
        <f>IFERROR(__xludf.DUMMYFUNCTION("""COMPUTED_VALUE"""),"COLA")</f>
        <v>COLA</v>
      </c>
      <c r="C464" s="122" t="str">
        <f>IFERROR(__xludf.DUMMYFUNCTION("""COMPUTED_VALUE"""),"K-Pop Cola reports steady growth and improved market confidence.")</f>
        <v>K-Pop Cola reports steady growth and improved market confidence.</v>
      </c>
      <c r="D464" s="122" t="str">
        <f>IFERROR(__xludf.DUMMYFUNCTION("""COMPUTED_VALUE"""),"K-Pop Cola continues to show positive momentum with moderate risk.")</f>
        <v>K-Pop Cola continues to show positive momentum with moderate risk.</v>
      </c>
      <c r="E464" s="122" t="str">
        <f>IFERROR(__xludf.DUMMYFUNCTION("""COMPUTED_VALUE"""),"Positive")</f>
        <v>Positive</v>
      </c>
      <c r="F464" s="122">
        <f>IFERROR(__xludf.DUMMYFUNCTION("""COMPUTED_VALUE"""),0.015)</f>
        <v>0.015</v>
      </c>
      <c r="G464" s="122">
        <f>IFERROR(__xludf.DUMMYFUNCTION("""COMPUTED_VALUE"""),0.5)</f>
        <v>0.5</v>
      </c>
      <c r="H464" s="122" t="str">
        <f>IFERROR(__xludf.DUMMYFUNCTION("""COMPUTED_VALUE"""),"Active")</f>
        <v>Active</v>
      </c>
    </row>
    <row r="465">
      <c r="A465" s="131">
        <f>IFERROR(__xludf.DUMMYFUNCTION("""COMPUTED_VALUE"""),46171.3309375)</f>
        <v>46171.33094</v>
      </c>
      <c r="B465" s="122" t="str">
        <f>IFERROR(__xludf.DUMMYFUNCTION("""COMPUTED_VALUE"""),"CHIP")</f>
        <v>CHIP</v>
      </c>
      <c r="C465" s="122" t="str">
        <f>IFERROR(__xludf.DUMMYFUNCTION("""COMPUTED_VALUE"""),"Chip Empire drops sharply after major concerns hit the market.")</f>
        <v>Chip Empire drops sharply after major concerns hit the market.</v>
      </c>
      <c r="D465" s="122" t="str">
        <f>IFERROR(__xludf.DUMMYFUNCTION("""COMPUTED_VALUE"""),"Chip Empire is under pressure as investors react to worsening conditions.")</f>
        <v>Chip Empire is under pressure as investors react to worsening conditions.</v>
      </c>
      <c r="E465" s="122" t="str">
        <f>IFERROR(__xludf.DUMMYFUNCTION("""COMPUTED_VALUE"""),"Negative")</f>
        <v>Negative</v>
      </c>
      <c r="F465" s="122">
        <f>IFERROR(__xludf.DUMMYFUNCTION("""COMPUTED_VALUE"""),-0.04)</f>
        <v>-0.04</v>
      </c>
      <c r="G465" s="122">
        <f>IFERROR(__xludf.DUMMYFUNCTION("""COMPUTED_VALUE"""),2.0)</f>
        <v>2</v>
      </c>
      <c r="H465" s="122" t="str">
        <f>IFERROR(__xludf.DUMMYFUNCTION("""COMPUTED_VALUE"""),"Active")</f>
        <v>Active</v>
      </c>
    </row>
    <row r="466">
      <c r="A466" s="131">
        <f>IFERROR(__xludf.DUMMYFUNCTION("""COMPUTED_VALUE"""),46171.3309375)</f>
        <v>46171.33094</v>
      </c>
      <c r="B466" s="122" t="str">
        <f>IFERROR(__xludf.DUMMYFUNCTION("""COMPUTED_VALUE"""),"CAND")</f>
        <v>CAND</v>
      </c>
      <c r="C466" s="122" t="str">
        <f>IFERROR(__xludf.DUMMYFUNCTION("""COMPUTED_VALUE"""),"Candy Capital faces weaker demand and cautious investor sentiment.")</f>
        <v>Candy Capital faces weaker demand and cautious investor sentiment.</v>
      </c>
      <c r="D466" s="122" t="str">
        <f>IFERROR(__xludf.DUMMYFUNCTION("""COMPUTED_VALUE"""),"Investors are watching Candy Capital closely as demand weakens.")</f>
        <v>Investors are watching Candy Capital closely as demand weakens.</v>
      </c>
      <c r="E466" s="122" t="str">
        <f>IFERROR(__xludf.DUMMYFUNCTION("""COMPUTED_VALUE"""),"Negative")</f>
        <v>Negative</v>
      </c>
      <c r="F466" s="122">
        <f>IFERROR(__xludf.DUMMYFUNCTION("""COMPUTED_VALUE"""),-0.015)</f>
        <v>-0.015</v>
      </c>
      <c r="G466" s="122">
        <f>IFERROR(__xludf.DUMMYFUNCTION("""COMPUTED_VALUE"""),0.75)</f>
        <v>0.75</v>
      </c>
      <c r="H466" s="122" t="str">
        <f>IFERROR(__xludf.DUMMYFUNCTION("""COMPUTED_VALUE"""),"Active")</f>
        <v>Active</v>
      </c>
    </row>
    <row r="467">
      <c r="A467" s="131">
        <f>IFERROR(__xludf.DUMMYFUNCTION("""COMPUTED_VALUE"""),46171.33094907407)</f>
        <v>46171.33095</v>
      </c>
      <c r="B467" s="122" t="str">
        <f>IFERROR(__xludf.DUMMYFUNCTION("""COMPUTED_VALUE"""),"TECH")</f>
        <v>TECH</v>
      </c>
      <c r="C467" s="122" t="str">
        <f>IFERROR(__xludf.DUMMYFUNCTION("""COMPUTED_VALUE"""),"Dragon Tech faces weaker demand and cautious investor sentiment.")</f>
        <v>Dragon Tech faces weaker demand and cautious investor sentiment.</v>
      </c>
      <c r="D467" s="122" t="str">
        <f>IFERROR(__xludf.DUMMYFUNCTION("""COMPUTED_VALUE"""),"Investors are watching Dragon Tech closely as demand weakens.")</f>
        <v>Investors are watching Dragon Tech closely as demand weakens.</v>
      </c>
      <c r="E467" s="122" t="str">
        <f>IFERROR(__xludf.DUMMYFUNCTION("""COMPUTED_VALUE"""),"Negative")</f>
        <v>Negative</v>
      </c>
      <c r="F467" s="122">
        <f>IFERROR(__xludf.DUMMYFUNCTION("""COMPUTED_VALUE"""),-0.015)</f>
        <v>-0.015</v>
      </c>
      <c r="G467" s="122">
        <f>IFERROR(__xludf.DUMMYFUNCTION("""COMPUTED_VALUE"""),0.75)</f>
        <v>0.75</v>
      </c>
      <c r="H467" s="122" t="str">
        <f>IFERROR(__xludf.DUMMYFUNCTION("""COMPUTED_VALUE"""),"Active")</f>
        <v>Active</v>
      </c>
    </row>
    <row r="468">
      <c r="A468" s="131">
        <f>IFERROR(__xludf.DUMMYFUNCTION("""COMPUTED_VALUE"""),46171.33094907407)</f>
        <v>46171.33095</v>
      </c>
      <c r="B468" s="122" t="str">
        <f>IFERROR(__xludf.DUMMYFUNCTION("""COMPUTED_VALUE"""),"AIBO")</f>
        <v>AIBO</v>
      </c>
      <c r="C468" s="122" t="str">
        <f>IFERROR(__xludf.DUMMYFUNCTION("""COMPUTED_VALUE"""),"Homework AI reports steady growth and improved market confidence.")</f>
        <v>Homework AI reports steady growth and improved market confidence.</v>
      </c>
      <c r="D468" s="122" t="str">
        <f>IFERROR(__xludf.DUMMYFUNCTION("""COMPUTED_VALUE"""),"Homework AI continues to show positive momentum with moderate risk.")</f>
        <v>Homework AI continues to show positive momentum with moderate risk.</v>
      </c>
      <c r="E468" s="122" t="str">
        <f>IFERROR(__xludf.DUMMYFUNCTION("""COMPUTED_VALUE"""),"Positive")</f>
        <v>Positive</v>
      </c>
      <c r="F468" s="122">
        <f>IFERROR(__xludf.DUMMYFUNCTION("""COMPUTED_VALUE"""),0.015)</f>
        <v>0.015</v>
      </c>
      <c r="G468" s="122">
        <f>IFERROR(__xludf.DUMMYFUNCTION("""COMPUTED_VALUE"""),0.5)</f>
        <v>0.5</v>
      </c>
      <c r="H468" s="122" t="str">
        <f>IFERROR(__xludf.DUMMYFUNCTION("""COMPUTED_VALUE"""),"Active")</f>
        <v>Active</v>
      </c>
    </row>
    <row r="469">
      <c r="A469" s="131">
        <f>IFERROR(__xludf.DUMMYFUNCTION("""COMPUTED_VALUE"""),46171.33096064815)</f>
        <v>46171.33096</v>
      </c>
      <c r="B469" s="122" t="str">
        <f>IFERROR(__xludf.DUMMYFUNCTION("""COMPUTED_VALUE"""),"GAME")</f>
        <v>GAME</v>
      </c>
      <c r="C469" s="122" t="str">
        <f>IFERROR(__xludf.DUMMYFUNCTION("""COMPUTED_VALUE"""),"GameBox Media reports steady growth and improved market confidence.")</f>
        <v>GameBox Media reports steady growth and improved market confidence.</v>
      </c>
      <c r="D469" s="122" t="str">
        <f>IFERROR(__xludf.DUMMYFUNCTION("""COMPUTED_VALUE"""),"GameBox Media continues to show positive momentum with moderate risk.")</f>
        <v>GameBox Media continues to show positive momentum with moderate risk.</v>
      </c>
      <c r="E469" s="122" t="str">
        <f>IFERROR(__xludf.DUMMYFUNCTION("""COMPUTED_VALUE"""),"Positive")</f>
        <v>Positive</v>
      </c>
      <c r="F469" s="122">
        <f>IFERROR(__xludf.DUMMYFUNCTION("""COMPUTED_VALUE"""),0.015)</f>
        <v>0.015</v>
      </c>
      <c r="G469" s="122">
        <f>IFERROR(__xludf.DUMMYFUNCTION("""COMPUTED_VALUE"""),0.5)</f>
        <v>0.5</v>
      </c>
      <c r="H469" s="122" t="str">
        <f>IFERROR(__xludf.DUMMYFUNCTION("""COMPUTED_VALUE"""),"Active")</f>
        <v>Active</v>
      </c>
    </row>
    <row r="470">
      <c r="A470" s="131">
        <f>IFERROR(__xludf.DUMMYFUNCTION("""COMPUTED_VALUE"""),46171.33096064815)</f>
        <v>46171.33096</v>
      </c>
      <c r="B470" s="122" t="str">
        <f>IFERROR(__xludf.DUMMYFUNCTION("""COMPUTED_VALUE"""),"VRSE")</f>
        <v>VRSE</v>
      </c>
      <c r="C470" s="122" t="str">
        <f>IFERROR(__xludf.DUMMYFUNCTION("""COMPUTED_VALUE"""),"VerseVR faces weaker demand and cautious investor sentiment.")</f>
        <v>VerseVR faces weaker demand and cautious investor sentiment.</v>
      </c>
      <c r="D470" s="122" t="str">
        <f>IFERROR(__xludf.DUMMYFUNCTION("""COMPUTED_VALUE"""),"Investors are watching VerseVR closely as demand weakens.")</f>
        <v>Investors are watching VerseVR closely as demand weakens.</v>
      </c>
      <c r="E470" s="122" t="str">
        <f>IFERROR(__xludf.DUMMYFUNCTION("""COMPUTED_VALUE"""),"Negative")</f>
        <v>Negative</v>
      </c>
      <c r="F470" s="122">
        <f>IFERROR(__xludf.DUMMYFUNCTION("""COMPUTED_VALUE"""),-0.015)</f>
        <v>-0.015</v>
      </c>
      <c r="G470" s="122">
        <f>IFERROR(__xludf.DUMMYFUNCTION("""COMPUTED_VALUE"""),0.75)</f>
        <v>0.75</v>
      </c>
      <c r="H470" s="122" t="str">
        <f>IFERROR(__xludf.DUMMYFUNCTION("""COMPUTED_VALUE"""),"Active")</f>
        <v>Active</v>
      </c>
    </row>
    <row r="471">
      <c r="A471" s="131">
        <f>IFERROR(__xludf.DUMMYFUNCTION("""COMPUTED_VALUE"""),46171.33096064815)</f>
        <v>46171.33096</v>
      </c>
      <c r="B471" s="122" t="str">
        <f>IFERROR(__xludf.DUMMYFUNCTION("""COMPUTED_VALUE"""),"BYTE")</f>
        <v>BYTE</v>
      </c>
      <c r="C471" s="122" t="str">
        <f>IFERROR(__xludf.DUMMYFUNCTION("""COMPUTED_VALUE"""),"ByteWorks remains stable as the Technology market shows normal activity.")</f>
        <v>ByteWorks remains stable as the Technology market shows normal activity.</v>
      </c>
      <c r="D471" s="122" t="str">
        <f>IFERROR(__xludf.DUMMYFUNCTION("""COMPUTED_VALUE"""),"ByteWorks appears steady with no major changes reported.")</f>
        <v>ByteWorks appears steady with no major changes reported.</v>
      </c>
      <c r="E471" s="122" t="str">
        <f>IFERROR(__xludf.DUMMYFUNCTION("""COMPUTED_VALUE"""),"Neutral")</f>
        <v>Neutral</v>
      </c>
      <c r="F471" s="122">
        <f>IFERROR(__xludf.DUMMYFUNCTION("""COMPUTED_VALUE"""),0.0)</f>
        <v>0</v>
      </c>
      <c r="G471" s="122">
        <f>IFERROR(__xludf.DUMMYFUNCTION("""COMPUTED_VALUE"""),0.0)</f>
        <v>0</v>
      </c>
      <c r="H471" s="122" t="str">
        <f>IFERROR(__xludf.DUMMYFUNCTION("""COMPUTED_VALUE"""),"Active")</f>
        <v>Active</v>
      </c>
    </row>
    <row r="472">
      <c r="A472" s="131">
        <f>IFERROR(__xludf.DUMMYFUNCTION("""COMPUTED_VALUE"""),46171.330983796295)</f>
        <v>46171.33098</v>
      </c>
      <c r="B472" s="122" t="str">
        <f>IFERROR(__xludf.DUMMYFUNCTION("""COMPUTED_VALUE"""),"BANK")</f>
        <v>BANK</v>
      </c>
      <c r="C472" s="122" t="str">
        <f>IFERROR(__xludf.DUMMYFUNCTION("""COMPUTED_VALUE"""),"Tiger Bank reports steady growth and improved market confidence.")</f>
        <v>Tiger Bank reports steady growth and improved market confidence.</v>
      </c>
      <c r="D472" s="122" t="str">
        <f>IFERROR(__xludf.DUMMYFUNCTION("""COMPUTED_VALUE"""),"Tiger Bank continues to show positive momentum with moderate risk.")</f>
        <v>Tiger Bank continues to show positive momentum with moderate risk.</v>
      </c>
      <c r="E472" s="122" t="str">
        <f>IFERROR(__xludf.DUMMYFUNCTION("""COMPUTED_VALUE"""),"Positive")</f>
        <v>Positive</v>
      </c>
      <c r="F472" s="122">
        <f>IFERROR(__xludf.DUMMYFUNCTION("""COMPUTED_VALUE"""),0.015)</f>
        <v>0.015</v>
      </c>
      <c r="G472" s="122">
        <f>IFERROR(__xludf.DUMMYFUNCTION("""COMPUTED_VALUE"""),0.5)</f>
        <v>0.5</v>
      </c>
      <c r="H472" s="122" t="str">
        <f>IFERROR(__xludf.DUMMYFUNCTION("""COMPUTED_VALUE"""),"Active")</f>
        <v>Active</v>
      </c>
    </row>
    <row r="473">
      <c r="A473" s="131">
        <f>IFERROR(__xludf.DUMMYFUNCTION("""COMPUTED_VALUE"""),46171.330983796295)</f>
        <v>46171.33098</v>
      </c>
      <c r="B473" s="122" t="str">
        <f>IFERROR(__xludf.DUMMYFUNCTION("""COMPUTED_VALUE"""),"CRED")</f>
        <v>CRED</v>
      </c>
      <c r="C473" s="122" t="str">
        <f>IFERROR(__xludf.DUMMYFUNCTION("""COMPUTED_VALUE"""),"Credit Castle faces weaker demand and cautious investor sentiment.")</f>
        <v>Credit Castle faces weaker demand and cautious investor sentiment.</v>
      </c>
      <c r="D473" s="122" t="str">
        <f>IFERROR(__xludf.DUMMYFUNCTION("""COMPUTED_VALUE"""),"Investors are watching Credit Castle closely as demand weakens.")</f>
        <v>Investors are watching Credit Castle closely as demand weakens.</v>
      </c>
      <c r="E473" s="122" t="str">
        <f>IFERROR(__xludf.DUMMYFUNCTION("""COMPUTED_VALUE"""),"Negative")</f>
        <v>Negative</v>
      </c>
      <c r="F473" s="122">
        <f>IFERROR(__xludf.DUMMYFUNCTION("""COMPUTED_VALUE"""),-0.015)</f>
        <v>-0.015</v>
      </c>
      <c r="G473" s="122">
        <f>IFERROR(__xludf.DUMMYFUNCTION("""COMPUTED_VALUE"""),0.75)</f>
        <v>0.75</v>
      </c>
      <c r="H473" s="122" t="str">
        <f>IFERROR(__xludf.DUMMYFUNCTION("""COMPUTED_VALUE"""),"Active")</f>
        <v>Active</v>
      </c>
    </row>
    <row r="474">
      <c r="A474" s="131">
        <f>IFERROR(__xludf.DUMMYFUNCTION("""COMPUTED_VALUE"""),46171.330983796295)</f>
        <v>46171.33098</v>
      </c>
      <c r="B474" s="122" t="str">
        <f>IFERROR(__xludf.DUMMYFUNCTION("""COMPUTED_VALUE"""),"BOND")</f>
        <v>BOND</v>
      </c>
      <c r="C474" s="122" t="str">
        <f>IFERROR(__xludf.DUMMYFUNCTION("""COMPUTED_VALUE"""),"BondBridge faces weaker demand and cautious investor sentiment.")</f>
        <v>BondBridge faces weaker demand and cautious investor sentiment.</v>
      </c>
      <c r="D474" s="122" t="str">
        <f>IFERROR(__xludf.DUMMYFUNCTION("""COMPUTED_VALUE"""),"Investors are watching BondBridge closely as demand weakens.")</f>
        <v>Investors are watching BondBridge closely as demand weakens.</v>
      </c>
      <c r="E474" s="122" t="str">
        <f>IFERROR(__xludf.DUMMYFUNCTION("""COMPUTED_VALUE"""),"Negative")</f>
        <v>Negative</v>
      </c>
      <c r="F474" s="122">
        <f>IFERROR(__xludf.DUMMYFUNCTION("""COMPUTED_VALUE"""),-0.015)</f>
        <v>-0.015</v>
      </c>
      <c r="G474" s="122">
        <f>IFERROR(__xludf.DUMMYFUNCTION("""COMPUTED_VALUE"""),0.75)</f>
        <v>0.75</v>
      </c>
      <c r="H474" s="122" t="str">
        <f>IFERROR(__xludf.DUMMYFUNCTION("""COMPUTED_VALUE"""),"Active")</f>
        <v>Active</v>
      </c>
    </row>
    <row r="475">
      <c r="A475" s="131">
        <f>IFERROR(__xludf.DUMMYFUNCTION("""COMPUTED_VALUE"""),46171.33099537037)</f>
        <v>46171.331</v>
      </c>
      <c r="B475" s="122" t="str">
        <f>IFERROR(__xludf.DUMMYFUNCTION("""COMPUTED_VALUE"""),"INSR")</f>
        <v>INSR</v>
      </c>
      <c r="C475" s="122" t="str">
        <f>IFERROR(__xludf.DUMMYFUNCTION("""COMPUTED_VALUE"""),"Shield Insurance sees uncertain trading as investors react to mixed signals.")</f>
        <v>Shield Insurance sees uncertain trading as investors react to mixed signals.</v>
      </c>
      <c r="D475" s="122" t="str">
        <f>IFERROR(__xludf.DUMMYFUNCTION("""COMPUTED_VALUE"""),"Shield Insurance may experience larger price swings as investors disagree on direction.")</f>
        <v>Shield Insurance may experience larger price swings as investors disagree on direction.</v>
      </c>
      <c r="E475" s="122" t="str">
        <f>IFERROR(__xludf.DUMMYFUNCTION("""COMPUTED_VALUE"""),"Mixed")</f>
        <v>Mixed</v>
      </c>
      <c r="F475" s="122">
        <f>IFERROR(__xludf.DUMMYFUNCTION("""COMPUTED_VALUE"""),0.01115213354176283)</f>
        <v>0.01115213354</v>
      </c>
      <c r="G475" s="122">
        <f>IFERROR(__xludf.DUMMYFUNCTION("""COMPUTED_VALUE"""),1.5)</f>
        <v>1.5</v>
      </c>
      <c r="H475" s="122" t="str">
        <f>IFERROR(__xludf.DUMMYFUNCTION("""COMPUTED_VALUE"""),"Active")</f>
        <v>Active</v>
      </c>
    </row>
    <row r="476">
      <c r="A476" s="131">
        <f>IFERROR(__xludf.DUMMYFUNCTION("""COMPUTED_VALUE"""),46171.33099537037)</f>
        <v>46171.331</v>
      </c>
      <c r="B476" s="122" t="str">
        <f>IFERROR(__xludf.DUMMYFUNCTION("""COMPUTED_VALUE"""),"LOAN")</f>
        <v>LOAN</v>
      </c>
      <c r="C476" s="122" t="str">
        <f>IFERROR(__xludf.DUMMYFUNCTION("""COMPUTED_VALUE"""),"LoanLab faces weaker demand and cautious investor sentiment.")</f>
        <v>LoanLab faces weaker demand and cautious investor sentiment.</v>
      </c>
      <c r="D476" s="122" t="str">
        <f>IFERROR(__xludf.DUMMYFUNCTION("""COMPUTED_VALUE"""),"Investors are watching LoanLab closely as demand weakens.")</f>
        <v>Investors are watching LoanLab closely as demand weakens.</v>
      </c>
      <c r="E476" s="122" t="str">
        <f>IFERROR(__xludf.DUMMYFUNCTION("""COMPUTED_VALUE"""),"Negative")</f>
        <v>Negative</v>
      </c>
      <c r="F476" s="122">
        <f>IFERROR(__xludf.DUMMYFUNCTION("""COMPUTED_VALUE"""),-0.015)</f>
        <v>-0.015</v>
      </c>
      <c r="G476" s="122">
        <f>IFERROR(__xludf.DUMMYFUNCTION("""COMPUTED_VALUE"""),0.75)</f>
        <v>0.75</v>
      </c>
      <c r="H476" s="122" t="str">
        <f>IFERROR(__xludf.DUMMYFUNCTION("""COMPUTED_VALUE"""),"Active")</f>
        <v>Active</v>
      </c>
    </row>
    <row r="477">
      <c r="A477" s="131">
        <f>IFERROR(__xludf.DUMMYFUNCTION("""COMPUTED_VALUE"""),46171.33099537037)</f>
        <v>46171.331</v>
      </c>
      <c r="B477" s="122" t="str">
        <f>IFERROR(__xludf.DUMMYFUNCTION("""COMPUTED_VALUE"""),"LUXE")</f>
        <v>LUXE</v>
      </c>
      <c r="C477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477" s="122" t="str">
        <f>IFERROR(__xludf.DUMMYFUNCTION("""COMPUTED_VALUE"""),"Luxury Locker appears steady with no major changes reported.")</f>
        <v>Luxury Locker appears steady with no major changes reported.</v>
      </c>
      <c r="E477" s="122" t="str">
        <f>IFERROR(__xludf.DUMMYFUNCTION("""COMPUTED_VALUE"""),"Neutral")</f>
        <v>Neutral</v>
      </c>
      <c r="F477" s="122">
        <f>IFERROR(__xludf.DUMMYFUNCTION("""COMPUTED_VALUE"""),0.0)</f>
        <v>0</v>
      </c>
      <c r="G477" s="122">
        <f>IFERROR(__xludf.DUMMYFUNCTION("""COMPUTED_VALUE"""),0.0)</f>
        <v>0</v>
      </c>
      <c r="H477" s="122" t="str">
        <f>IFERROR(__xludf.DUMMYFUNCTION("""COMPUTED_VALUE"""),"Active")</f>
        <v>Active</v>
      </c>
    </row>
    <row r="478">
      <c r="A478" s="131">
        <f>IFERROR(__xludf.DUMMYFUNCTION("""COMPUTED_VALUE"""),46171.33100694444)</f>
        <v>46171.33101</v>
      </c>
      <c r="B478" s="122" t="str">
        <f>IFERROR(__xludf.DUMMYFUNCTION("""COMPUTED_VALUE"""),"DRIP")</f>
        <v>DRIP</v>
      </c>
      <c r="C478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478" s="122" t="str">
        <f>IFERROR(__xludf.DUMMYFUNCTION("""COMPUTED_VALUE"""),"Drip Streetwear appears steady with no major changes reported.")</f>
        <v>Drip Streetwear appears steady with no major changes reported.</v>
      </c>
      <c r="E478" s="122" t="str">
        <f>IFERROR(__xludf.DUMMYFUNCTION("""COMPUTED_VALUE"""),"Neutral")</f>
        <v>Neutral</v>
      </c>
      <c r="F478" s="122">
        <f>IFERROR(__xludf.DUMMYFUNCTION("""COMPUTED_VALUE"""),0.0)</f>
        <v>0</v>
      </c>
      <c r="G478" s="122">
        <f>IFERROR(__xludf.DUMMYFUNCTION("""COMPUTED_VALUE"""),0.0)</f>
        <v>0</v>
      </c>
      <c r="H478" s="122" t="str">
        <f>IFERROR(__xludf.DUMMYFUNCTION("""COMPUTED_VALUE"""),"Active")</f>
        <v>Active</v>
      </c>
    </row>
    <row r="479">
      <c r="A479" s="131">
        <f>IFERROR(__xludf.DUMMYFUNCTION("""COMPUTED_VALUE"""),46171.33100694444)</f>
        <v>46171.33101</v>
      </c>
      <c r="B479" s="122" t="str">
        <f>IFERROR(__xludf.DUMMYFUNCTION("""COMPUTED_VALUE"""),"KICK")</f>
        <v>KICK</v>
      </c>
      <c r="C479" s="122" t="str">
        <f>IFERROR(__xludf.DUMMYFUNCTION("""COMPUTED_VALUE"""),"KickDrop Sneakers reports steady growth and improved market confidence.")</f>
        <v>KickDrop Sneakers reports steady growth and improved market confidence.</v>
      </c>
      <c r="D479" s="122" t="str">
        <f>IFERROR(__xludf.DUMMYFUNCTION("""COMPUTED_VALUE"""),"KickDrop Sneakers continues to show positive momentum with moderate risk.")</f>
        <v>KickDrop Sneakers continues to show positive momentum with moderate risk.</v>
      </c>
      <c r="E479" s="122" t="str">
        <f>IFERROR(__xludf.DUMMYFUNCTION("""COMPUTED_VALUE"""),"Positive")</f>
        <v>Positive</v>
      </c>
      <c r="F479" s="122">
        <f>IFERROR(__xludf.DUMMYFUNCTION("""COMPUTED_VALUE"""),0.015)</f>
        <v>0.015</v>
      </c>
      <c r="G479" s="122">
        <f>IFERROR(__xludf.DUMMYFUNCTION("""COMPUTED_VALUE"""),0.5)</f>
        <v>0.5</v>
      </c>
      <c r="H479" s="122" t="str">
        <f>IFERROR(__xludf.DUMMYFUNCTION("""COMPUTED_VALUE"""),"Active")</f>
        <v>Active</v>
      </c>
    </row>
    <row r="480">
      <c r="A480" s="131">
        <f>IFERROR(__xludf.DUMMYFUNCTION("""COMPUTED_VALUE"""),46171.33100694444)</f>
        <v>46171.33101</v>
      </c>
      <c r="B480" s="122" t="str">
        <f>IFERROR(__xludf.DUMMYFUNCTION("""COMPUTED_VALUE"""),"GLAM")</f>
        <v>GLAM</v>
      </c>
      <c r="C480" s="122" t="str">
        <f>IFERROR(__xludf.DUMMYFUNCTION("""COMPUTED_VALUE"""),"Glow Cosmetics remains stable as the Fashion market shows normal activity.")</f>
        <v>Glow Cosmetics remains stable as the Fashion market shows normal activity.</v>
      </c>
      <c r="D480" s="122" t="str">
        <f>IFERROR(__xludf.DUMMYFUNCTION("""COMPUTED_VALUE"""),"Glow Cosmetics appears steady with no major changes reported.")</f>
        <v>Glow Cosmetics appears steady with no major changes reported.</v>
      </c>
      <c r="E480" s="122" t="str">
        <f>IFERROR(__xludf.DUMMYFUNCTION("""COMPUTED_VALUE"""),"Neutral")</f>
        <v>Neutral</v>
      </c>
      <c r="F480" s="122">
        <f>IFERROR(__xludf.DUMMYFUNCTION("""COMPUTED_VALUE"""),0.0)</f>
        <v>0</v>
      </c>
      <c r="G480" s="122">
        <f>IFERROR(__xludf.DUMMYFUNCTION("""COMPUTED_VALUE"""),0.0)</f>
        <v>0</v>
      </c>
      <c r="H480" s="122" t="str">
        <f>IFERROR(__xludf.DUMMYFUNCTION("""COMPUTED_VALUE"""),"Active")</f>
        <v>Active</v>
      </c>
    </row>
    <row r="481">
      <c r="A481" s="131">
        <f>IFERROR(__xludf.DUMMYFUNCTION("""COMPUTED_VALUE"""),46171.33101851852)</f>
        <v>46171.33102</v>
      </c>
      <c r="B481" s="122" t="str">
        <f>IFERROR(__xludf.DUMMYFUNCTION("""COMPUTED_VALUE"""),"BAGG")</f>
        <v>BAGG</v>
      </c>
      <c r="C481" s="122" t="str">
        <f>IFERROR(__xludf.DUMMYFUNCTION("""COMPUTED_VALUE"""),"BagVault reports steady growth and improved market confidence.")</f>
        <v>BagVault reports steady growth and improved market confidence.</v>
      </c>
      <c r="D481" s="122" t="str">
        <f>IFERROR(__xludf.DUMMYFUNCTION("""COMPUTED_VALUE"""),"BagVault continues to show positive momentum with moderate risk.")</f>
        <v>BagVault continues to show positive momentum with moderate risk.</v>
      </c>
      <c r="E481" s="122" t="str">
        <f>IFERROR(__xludf.DUMMYFUNCTION("""COMPUTED_VALUE"""),"Positive")</f>
        <v>Positive</v>
      </c>
      <c r="F481" s="122">
        <f>IFERROR(__xludf.DUMMYFUNCTION("""COMPUTED_VALUE"""),0.015)</f>
        <v>0.015</v>
      </c>
      <c r="G481" s="122">
        <f>IFERROR(__xludf.DUMMYFUNCTION("""COMPUTED_VALUE"""),0.5)</f>
        <v>0.5</v>
      </c>
      <c r="H481" s="122" t="str">
        <f>IFERROR(__xludf.DUMMYFUNCTION("""COMPUTED_VALUE"""),"Active")</f>
        <v>Active</v>
      </c>
    </row>
    <row r="482">
      <c r="A482" s="131">
        <f>IFERROR(__xludf.DUMMYFUNCTION("""COMPUTED_VALUE"""),46171.33101851852)</f>
        <v>46171.33102</v>
      </c>
      <c r="B482" s="122" t="str">
        <f>IFERROR(__xludf.DUMMYFUNCTION("""COMPUTED_VALUE"""),"FAST")</f>
        <v>FAST</v>
      </c>
      <c r="C482" s="122" t="str">
        <f>IFERROR(__xludf.DUMMYFUNCTION("""COMPUTED_VALUE"""),"Flash Logistics drops sharply after major concerns hit the market.")</f>
        <v>Flash Logistics drops sharply after major concerns hit the market.</v>
      </c>
      <c r="D482" s="122" t="str">
        <f>IFERROR(__xludf.DUMMYFUNCTION("""COMPUTED_VALUE"""),"Flash Logistics is under pressure as investors react to worsening conditions.")</f>
        <v>Flash Logistics is under pressure as investors react to worsening conditions.</v>
      </c>
      <c r="E482" s="122" t="str">
        <f>IFERROR(__xludf.DUMMYFUNCTION("""COMPUTED_VALUE"""),"Negative")</f>
        <v>Negative</v>
      </c>
      <c r="F482" s="122">
        <f>IFERROR(__xludf.DUMMYFUNCTION("""COMPUTED_VALUE"""),-0.04)</f>
        <v>-0.04</v>
      </c>
      <c r="G482" s="122">
        <f>IFERROR(__xludf.DUMMYFUNCTION("""COMPUTED_VALUE"""),2.0)</f>
        <v>2</v>
      </c>
      <c r="H482" s="122" t="str">
        <f>IFERROR(__xludf.DUMMYFUNCTION("""COMPUTED_VALUE"""),"Active")</f>
        <v>Active</v>
      </c>
    </row>
    <row r="483">
      <c r="A483" s="131">
        <f>IFERROR(__xludf.DUMMYFUNCTION("""COMPUTED_VALUE"""),46171.331030092595)</f>
        <v>46171.33103</v>
      </c>
      <c r="B483" s="122" t="str">
        <f>IFERROR(__xludf.DUMMYFUNCTION("""COMPUTED_VALUE"""),"SHIP")</f>
        <v>SHIP</v>
      </c>
      <c r="C483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483" s="122" t="str">
        <f>IFERROR(__xludf.DUMMYFUNCTION("""COMPUTED_VALUE"""),"Seoul Shipping appears steady with no major changes reported.")</f>
        <v>Seoul Shipping appears steady with no major changes reported.</v>
      </c>
      <c r="E483" s="122" t="str">
        <f>IFERROR(__xludf.DUMMYFUNCTION("""COMPUTED_VALUE"""),"Neutral")</f>
        <v>Neutral</v>
      </c>
      <c r="F483" s="122">
        <f>IFERROR(__xludf.DUMMYFUNCTION("""COMPUTED_VALUE"""),0.0)</f>
        <v>0</v>
      </c>
      <c r="G483" s="122">
        <f>IFERROR(__xludf.DUMMYFUNCTION("""COMPUTED_VALUE"""),0.0)</f>
        <v>0</v>
      </c>
      <c r="H483" s="122" t="str">
        <f>IFERROR(__xludf.DUMMYFUNCTION("""COMPUTED_VALUE"""),"Active")</f>
        <v>Active</v>
      </c>
    </row>
    <row r="484">
      <c r="A484" s="131">
        <f>IFERROR(__xludf.DUMMYFUNCTION("""COMPUTED_VALUE"""),46171.331030092595)</f>
        <v>46171.33103</v>
      </c>
      <c r="B484" s="122" t="str">
        <f>IFERROR(__xludf.DUMMYFUNCTION("""COMPUTED_VALUE"""),"DRON")</f>
        <v>DRON</v>
      </c>
      <c r="C484" s="122" t="str">
        <f>IFERROR(__xludf.DUMMYFUNCTION("""COMPUTED_VALUE"""),"DroneDrop reports steady growth and improved market confidence.")</f>
        <v>DroneDrop reports steady growth and improved market confidence.</v>
      </c>
      <c r="D484" s="122" t="str">
        <f>IFERROR(__xludf.DUMMYFUNCTION("""COMPUTED_VALUE"""),"DroneDrop continues to show positive momentum with moderate risk.")</f>
        <v>DroneDrop continues to show positive momentum with moderate risk.</v>
      </c>
      <c r="E484" s="122" t="str">
        <f>IFERROR(__xludf.DUMMYFUNCTION("""COMPUTED_VALUE"""),"Positive")</f>
        <v>Positive</v>
      </c>
      <c r="F484" s="122">
        <f>IFERROR(__xludf.DUMMYFUNCTION("""COMPUTED_VALUE"""),0.015)</f>
        <v>0.015</v>
      </c>
      <c r="G484" s="122">
        <f>IFERROR(__xludf.DUMMYFUNCTION("""COMPUTED_VALUE"""),0.5)</f>
        <v>0.5</v>
      </c>
      <c r="H484" s="122" t="str">
        <f>IFERROR(__xludf.DUMMYFUNCTION("""COMPUTED_VALUE"""),"Active")</f>
        <v>Active</v>
      </c>
    </row>
    <row r="485">
      <c r="A485" s="131">
        <f>IFERROR(__xludf.DUMMYFUNCTION("""COMPUTED_VALUE"""),46171.331030092595)</f>
        <v>46171.33103</v>
      </c>
      <c r="B485" s="122" t="str">
        <f>IFERROR(__xludf.DUMMYFUNCTION("""COMPUTED_VALUE"""),"RIDE")</f>
        <v>RIDE</v>
      </c>
      <c r="C485" s="122" t="str">
        <f>IFERROR(__xludf.DUMMYFUNCTION("""COMPUTED_VALUE"""),"QuickRide faces weaker demand and cautious investor sentiment.")</f>
        <v>QuickRide faces weaker demand and cautious investor sentiment.</v>
      </c>
      <c r="D485" s="122" t="str">
        <f>IFERROR(__xludf.DUMMYFUNCTION("""COMPUTED_VALUE"""),"Investors are watching QuickRide closely as demand weakens.")</f>
        <v>Investors are watching QuickRide closely as demand weakens.</v>
      </c>
      <c r="E485" s="122" t="str">
        <f>IFERROR(__xludf.DUMMYFUNCTION("""COMPUTED_VALUE"""),"Negative")</f>
        <v>Negative</v>
      </c>
      <c r="F485" s="122">
        <f>IFERROR(__xludf.DUMMYFUNCTION("""COMPUTED_VALUE"""),-0.015)</f>
        <v>-0.015</v>
      </c>
      <c r="G485" s="122">
        <f>IFERROR(__xludf.DUMMYFUNCTION("""COMPUTED_VALUE"""),0.75)</f>
        <v>0.75</v>
      </c>
      <c r="H485" s="122" t="str">
        <f>IFERROR(__xludf.DUMMYFUNCTION("""COMPUTED_VALUE"""),"Active")</f>
        <v>Active</v>
      </c>
    </row>
    <row r="486">
      <c r="A486" s="131">
        <f>IFERROR(__xludf.DUMMYFUNCTION("""COMPUTED_VALUE"""),46171.331041666665)</f>
        <v>46171.33104</v>
      </c>
      <c r="B486" s="122" t="str">
        <f>IFERROR(__xludf.DUMMYFUNCTION("""COMPUTED_VALUE"""),"RAIL")</f>
        <v>RAIL</v>
      </c>
      <c r="C486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486" s="122" t="str">
        <f>IFERROR(__xludf.DUMMYFUNCTION("""COMPUTED_VALUE"""),"MetroRail Corp appears steady with no major changes reported.")</f>
        <v>MetroRail Corp appears steady with no major changes reported.</v>
      </c>
      <c r="E486" s="122" t="str">
        <f>IFERROR(__xludf.DUMMYFUNCTION("""COMPUTED_VALUE"""),"Neutral")</f>
        <v>Neutral</v>
      </c>
      <c r="F486" s="122">
        <f>IFERROR(__xludf.DUMMYFUNCTION("""COMPUTED_VALUE"""),0.0)</f>
        <v>0</v>
      </c>
      <c r="G486" s="122">
        <f>IFERROR(__xludf.DUMMYFUNCTION("""COMPUTED_VALUE"""),0.0)</f>
        <v>0</v>
      </c>
      <c r="H486" s="122" t="str">
        <f>IFERROR(__xludf.DUMMYFUNCTION("""COMPUTED_VALUE"""),"Active")</f>
        <v>Active</v>
      </c>
    </row>
    <row r="487">
      <c r="A487" s="131">
        <f>IFERROR(__xludf.DUMMYFUNCTION("""COMPUTED_VALUE"""),46171.331041666665)</f>
        <v>46171.33104</v>
      </c>
      <c r="B487" s="122" t="str">
        <f>IFERROR(__xludf.DUMMYFUNCTION("""COMPUTED_VALUE"""),"MEDX")</f>
        <v>MEDX</v>
      </c>
      <c r="C487" s="122" t="str">
        <f>IFERROR(__xludf.DUMMYFUNCTION("""COMPUTED_VALUE"""),"MediCore faces weaker demand and cautious investor sentiment.")</f>
        <v>MediCore faces weaker demand and cautious investor sentiment.</v>
      </c>
      <c r="D487" s="122" t="str">
        <f>IFERROR(__xludf.DUMMYFUNCTION("""COMPUTED_VALUE"""),"Investors are watching MediCore closely as demand weakens.")</f>
        <v>Investors are watching MediCore closely as demand weakens.</v>
      </c>
      <c r="E487" s="122" t="str">
        <f>IFERROR(__xludf.DUMMYFUNCTION("""COMPUTED_VALUE"""),"Negative")</f>
        <v>Negative</v>
      </c>
      <c r="F487" s="122">
        <f>IFERROR(__xludf.DUMMYFUNCTION("""COMPUTED_VALUE"""),-0.015)</f>
        <v>-0.015</v>
      </c>
      <c r="G487" s="122">
        <f>IFERROR(__xludf.DUMMYFUNCTION("""COMPUTED_VALUE"""),0.75)</f>
        <v>0.75</v>
      </c>
      <c r="H487" s="122" t="str">
        <f>IFERROR(__xludf.DUMMYFUNCTION("""COMPUTED_VALUE"""),"Active")</f>
        <v>Active</v>
      </c>
    </row>
    <row r="488">
      <c r="A488" s="131">
        <f>IFERROR(__xludf.DUMMYFUNCTION("""COMPUTED_VALUE"""),46171.33105324074)</f>
        <v>46171.33105</v>
      </c>
      <c r="B488" s="122" t="str">
        <f>IFERROR(__xludf.DUMMYFUNCTION("""COMPUTED_VALUE"""),"GYMX")</f>
        <v>GYMX</v>
      </c>
      <c r="C488" s="122" t="str">
        <f>IFERROR(__xludf.DUMMYFUNCTION("""COMPUTED_VALUE"""),"GymX Fitness sees uncertain trading as investors react to mixed signals.")</f>
        <v>GymX Fitness sees uncertain trading as investors react to mixed signals.</v>
      </c>
      <c r="D488" s="122" t="str">
        <f>IFERROR(__xludf.DUMMYFUNCTION("""COMPUTED_VALUE"""),"GymX Fitness may experience larger price swings as investors disagree on direction.")</f>
        <v>GymX Fitness may experience larger price swings as investors disagree on direction.</v>
      </c>
      <c r="E488" s="122" t="str">
        <f>IFERROR(__xludf.DUMMYFUNCTION("""COMPUTED_VALUE"""),"Mixed")</f>
        <v>Mixed</v>
      </c>
      <c r="F488" s="122">
        <f>IFERROR(__xludf.DUMMYFUNCTION("""COMPUTED_VALUE"""),0.011918384408666657)</f>
        <v>0.01191838441</v>
      </c>
      <c r="G488" s="122">
        <f>IFERROR(__xludf.DUMMYFUNCTION("""COMPUTED_VALUE"""),1.5)</f>
        <v>1.5</v>
      </c>
      <c r="H488" s="122" t="str">
        <f>IFERROR(__xludf.DUMMYFUNCTION("""COMPUTED_VALUE"""),"Active")</f>
        <v>Active</v>
      </c>
    </row>
    <row r="489">
      <c r="A489" s="131">
        <f>IFERROR(__xludf.DUMMYFUNCTION("""COMPUTED_VALUE"""),46171.33106481482)</f>
        <v>46171.33106</v>
      </c>
      <c r="B489" s="122" t="str">
        <f>IFERROR(__xludf.DUMMYFUNCTION("""COMPUTED_VALUE"""),"VITA")</f>
        <v>VITA</v>
      </c>
      <c r="C489" s="122" t="str">
        <f>IFERROR(__xludf.DUMMYFUNCTION("""COMPUTED_VALUE"""),"VitaPlus reports steady growth and improved market confidence.")</f>
        <v>VitaPlus reports steady growth and improved market confidence.</v>
      </c>
      <c r="D489" s="122" t="str">
        <f>IFERROR(__xludf.DUMMYFUNCTION("""COMPUTED_VALUE"""),"VitaPlus continues to show positive momentum with moderate risk.")</f>
        <v>VitaPlus continues to show positive momentum with moderate risk.</v>
      </c>
      <c r="E489" s="122" t="str">
        <f>IFERROR(__xludf.DUMMYFUNCTION("""COMPUTED_VALUE"""),"Positive")</f>
        <v>Positive</v>
      </c>
      <c r="F489" s="122">
        <f>IFERROR(__xludf.DUMMYFUNCTION("""COMPUTED_VALUE"""),0.015)</f>
        <v>0.015</v>
      </c>
      <c r="G489" s="122">
        <f>IFERROR(__xludf.DUMMYFUNCTION("""COMPUTED_VALUE"""),0.5)</f>
        <v>0.5</v>
      </c>
      <c r="H489" s="122" t="str">
        <f>IFERROR(__xludf.DUMMYFUNCTION("""COMPUTED_VALUE"""),"Active")</f>
        <v>Active</v>
      </c>
    </row>
    <row r="490">
      <c r="A490" s="131">
        <f>IFERROR(__xludf.DUMMYFUNCTION("""COMPUTED_VALUE"""),46171.33107638889)</f>
        <v>46171.33108</v>
      </c>
      <c r="B490" s="122" t="str">
        <f>IFERROR(__xludf.DUMMYFUNCTION("""COMPUTED_VALUE"""),"CARE")</f>
        <v>CARE</v>
      </c>
      <c r="C490" s="122" t="str">
        <f>IFERROR(__xludf.DUMMYFUNCTION("""COMPUTED_VALUE"""),"CareCloud sees uncertain trading as investors react to mixed signals.")</f>
        <v>CareCloud sees uncertain trading as investors react to mixed signals.</v>
      </c>
      <c r="D490" s="122" t="str">
        <f>IFERROR(__xludf.DUMMYFUNCTION("""COMPUTED_VALUE"""),"CareCloud may experience larger price swings as investors disagree on direction.")</f>
        <v>CareCloud may experience larger price swings as investors disagree on direction.</v>
      </c>
      <c r="E490" s="122" t="str">
        <f>IFERROR(__xludf.DUMMYFUNCTION("""COMPUTED_VALUE"""),"Mixed")</f>
        <v>Mixed</v>
      </c>
      <c r="F490" s="122">
        <f>IFERROR(__xludf.DUMMYFUNCTION("""COMPUTED_VALUE"""),0.0016480514997361875)</f>
        <v>0.0016480515</v>
      </c>
      <c r="G490" s="122">
        <f>IFERROR(__xludf.DUMMYFUNCTION("""COMPUTED_VALUE"""),1.5)</f>
        <v>1.5</v>
      </c>
      <c r="H490" s="122" t="str">
        <f>IFERROR(__xludf.DUMMYFUNCTION("""COMPUTED_VALUE"""),"Active")</f>
        <v>Active</v>
      </c>
    </row>
    <row r="491">
      <c r="A491" s="131">
        <f>IFERROR(__xludf.DUMMYFUNCTION("""COMPUTED_VALUE"""),46171.331087962964)</f>
        <v>46171.33109</v>
      </c>
      <c r="B491" s="122" t="str">
        <f>IFERROR(__xludf.DUMMYFUNCTION("""COMPUTED_VALUE"""),"DENT")</f>
        <v>DENT</v>
      </c>
      <c r="C491" s="122" t="str">
        <f>IFERROR(__xludf.DUMMYFUNCTION("""COMPUTED_VALUE"""),"SmileWorks faces weaker demand and cautious investor sentiment.")</f>
        <v>SmileWorks faces weaker demand and cautious investor sentiment.</v>
      </c>
      <c r="D491" s="122" t="str">
        <f>IFERROR(__xludf.DUMMYFUNCTION("""COMPUTED_VALUE"""),"Investors are watching SmileWorks closely as demand weakens.")</f>
        <v>Investors are watching SmileWorks closely as demand weakens.</v>
      </c>
      <c r="E491" s="122" t="str">
        <f>IFERROR(__xludf.DUMMYFUNCTION("""COMPUTED_VALUE"""),"Negative")</f>
        <v>Negative</v>
      </c>
      <c r="F491" s="122">
        <f>IFERROR(__xludf.DUMMYFUNCTION("""COMPUTED_VALUE"""),-0.015)</f>
        <v>-0.015</v>
      </c>
      <c r="G491" s="122">
        <f>IFERROR(__xludf.DUMMYFUNCTION("""COMPUTED_VALUE"""),0.75)</f>
        <v>0.75</v>
      </c>
      <c r="H491" s="122" t="str">
        <f>IFERROR(__xludf.DUMMYFUNCTION("""COMPUTED_VALUE"""),"Active")</f>
        <v>Active</v>
      </c>
    </row>
    <row r="492">
      <c r="A492" s="131">
        <f>IFERROR(__xludf.DUMMYFUNCTION("""COMPUTED_VALUE"""),46171.331087962964)</f>
        <v>46171.33109</v>
      </c>
      <c r="B492" s="122" t="str">
        <f>IFERROR(__xludf.DUMMYFUNCTION("""COMPUTED_VALUE"""),"EDUX")</f>
        <v>EDUX</v>
      </c>
      <c r="C492" s="122" t="str">
        <f>IFERROR(__xludf.DUMMYFUNCTION("""COMPUTED_VALUE"""),"EduMax Learning surges as demand rises across the Education sector.")</f>
        <v>EduMax Learning surges as demand rises across the Education sector.</v>
      </c>
      <c r="D492" s="122" t="str">
        <f>IFERROR(__xludf.DUMMYFUNCTION("""COMPUTED_VALUE"""),"EduMax Learning is seeing strong demand, which may increase investor confidence.")</f>
        <v>EduMax Learning is seeing strong demand, which may increase investor confidence.</v>
      </c>
      <c r="E492" s="122" t="str">
        <f>IFERROR(__xludf.DUMMYFUNCTION("""COMPUTED_VALUE"""),"Positive")</f>
        <v>Positive</v>
      </c>
      <c r="F492" s="122">
        <f>IFERROR(__xludf.DUMMYFUNCTION("""COMPUTED_VALUE"""),0.03)</f>
        <v>0.03</v>
      </c>
      <c r="G492" s="122">
        <f>IFERROR(__xludf.DUMMYFUNCTION("""COMPUTED_VALUE"""),1.0)</f>
        <v>1</v>
      </c>
      <c r="H492" s="122" t="str">
        <f>IFERROR(__xludf.DUMMYFUNCTION("""COMPUTED_VALUE"""),"Active")</f>
        <v>Active</v>
      </c>
    </row>
    <row r="493">
      <c r="A493" s="131">
        <f>IFERROR(__xludf.DUMMYFUNCTION("""COMPUTED_VALUE"""),46171.331099537034)</f>
        <v>46171.3311</v>
      </c>
      <c r="B493" s="122" t="str">
        <f>IFERROR(__xludf.DUMMYFUNCTION("""COMPUTED_VALUE"""),"BOOK")</f>
        <v>BOOK</v>
      </c>
      <c r="C493" s="122" t="str">
        <f>IFERROR(__xludf.DUMMYFUNCTION("""COMPUTED_VALUE"""),"BookBridge remains stable as the Education market shows normal activity.")</f>
        <v>BookBridge remains stable as the Education market shows normal activity.</v>
      </c>
      <c r="D493" s="122" t="str">
        <f>IFERROR(__xludf.DUMMYFUNCTION("""COMPUTED_VALUE"""),"BookBridge appears steady with no major changes reported.")</f>
        <v>BookBridge appears steady with no major changes reported.</v>
      </c>
      <c r="E493" s="122" t="str">
        <f>IFERROR(__xludf.DUMMYFUNCTION("""COMPUTED_VALUE"""),"Neutral")</f>
        <v>Neutral</v>
      </c>
      <c r="F493" s="122">
        <f>IFERROR(__xludf.DUMMYFUNCTION("""COMPUTED_VALUE"""),0.0)</f>
        <v>0</v>
      </c>
      <c r="G493" s="122">
        <f>IFERROR(__xludf.DUMMYFUNCTION("""COMPUTED_VALUE"""),0.0)</f>
        <v>0</v>
      </c>
      <c r="H493" s="122" t="str">
        <f>IFERROR(__xludf.DUMMYFUNCTION("""COMPUTED_VALUE"""),"Active")</f>
        <v>Active</v>
      </c>
    </row>
    <row r="494">
      <c r="A494" s="131">
        <f>IFERROR(__xludf.DUMMYFUNCTION("""COMPUTED_VALUE"""),46171.331099537034)</f>
        <v>46171.3311</v>
      </c>
      <c r="B494" s="122" t="str">
        <f>IFERROR(__xludf.DUMMYFUNCTION("""COMPUTED_VALUE"""),"TUTR")</f>
        <v>TUTR</v>
      </c>
      <c r="C494" s="122" t="str">
        <f>IFERROR(__xludf.DUMMYFUNCTION("""COMPUTED_VALUE"""),"TutorTown remains stable as the Education market shows normal activity.")</f>
        <v>TutorTown remains stable as the Education market shows normal activity.</v>
      </c>
      <c r="D494" s="122" t="str">
        <f>IFERROR(__xludf.DUMMYFUNCTION("""COMPUTED_VALUE"""),"TutorTown appears steady with no major changes reported.")</f>
        <v>TutorTown appears steady with no major changes reported.</v>
      </c>
      <c r="E494" s="122" t="str">
        <f>IFERROR(__xludf.DUMMYFUNCTION("""COMPUTED_VALUE"""),"Neutral")</f>
        <v>Neutral</v>
      </c>
      <c r="F494" s="122">
        <f>IFERROR(__xludf.DUMMYFUNCTION("""COMPUTED_VALUE"""),0.0)</f>
        <v>0</v>
      </c>
      <c r="G494" s="122">
        <f>IFERROR(__xludf.DUMMYFUNCTION("""COMPUTED_VALUE"""),0.0)</f>
        <v>0</v>
      </c>
      <c r="H494" s="122" t="str">
        <f>IFERROR(__xludf.DUMMYFUNCTION("""COMPUTED_VALUE"""),"Active")</f>
        <v>Active</v>
      </c>
    </row>
    <row r="495">
      <c r="A495" s="131">
        <f>IFERROR(__xludf.DUMMYFUNCTION("""COMPUTED_VALUE"""),46171.331099537034)</f>
        <v>46171.3311</v>
      </c>
      <c r="B495" s="122" t="str">
        <f>IFERROR(__xludf.DUMMYFUNCTION("""COMPUTED_VALUE"""),"LANG")</f>
        <v>LANG</v>
      </c>
      <c r="C495" s="122" t="str">
        <f>IFERROR(__xludf.DUMMYFUNCTION("""COMPUTED_VALUE"""),"LinguaLab remains stable as the Education market shows normal activity.")</f>
        <v>LinguaLab remains stable as the Education market shows normal activity.</v>
      </c>
      <c r="D495" s="122" t="str">
        <f>IFERROR(__xludf.DUMMYFUNCTION("""COMPUTED_VALUE"""),"LinguaLab appears steady with no major changes reported.")</f>
        <v>LinguaLab appears steady with no major changes reported.</v>
      </c>
      <c r="E495" s="122" t="str">
        <f>IFERROR(__xludf.DUMMYFUNCTION("""COMPUTED_VALUE"""),"Neutral")</f>
        <v>Neutral</v>
      </c>
      <c r="F495" s="122">
        <f>IFERROR(__xludf.DUMMYFUNCTION("""COMPUTED_VALUE"""),0.0)</f>
        <v>0</v>
      </c>
      <c r="G495" s="122">
        <f>IFERROR(__xludf.DUMMYFUNCTION("""COMPUTED_VALUE"""),0.0)</f>
        <v>0</v>
      </c>
      <c r="H495" s="122" t="str">
        <f>IFERROR(__xludf.DUMMYFUNCTION("""COMPUTED_VALUE"""),"Active")</f>
        <v>Active</v>
      </c>
    </row>
    <row r="496">
      <c r="A496" s="131">
        <f>IFERROR(__xludf.DUMMYFUNCTION("""COMPUTED_VALUE"""),46171.33111111111)</f>
        <v>46171.33111</v>
      </c>
      <c r="B496" s="122" t="str">
        <f>IFERROR(__xludf.DUMMYFUNCTION("""COMPUTED_VALUE"""),"TEST")</f>
        <v>TEST</v>
      </c>
      <c r="C496" s="122" t="str">
        <f>IFERROR(__xludf.DUMMYFUNCTION("""COMPUTED_VALUE"""),"TestPrep Pro reports steady growth and improved market confidence.")</f>
        <v>TestPrep Pro reports steady growth and improved market confidence.</v>
      </c>
      <c r="D496" s="122" t="str">
        <f>IFERROR(__xludf.DUMMYFUNCTION("""COMPUTED_VALUE"""),"TestPrep Pro continues to show positive momentum with moderate risk.")</f>
        <v>TestPrep Pro continues to show positive momentum with moderate risk.</v>
      </c>
      <c r="E496" s="122" t="str">
        <f>IFERROR(__xludf.DUMMYFUNCTION("""COMPUTED_VALUE"""),"Positive")</f>
        <v>Positive</v>
      </c>
      <c r="F496" s="122">
        <f>IFERROR(__xludf.DUMMYFUNCTION("""COMPUTED_VALUE"""),0.015)</f>
        <v>0.015</v>
      </c>
      <c r="G496" s="122">
        <f>IFERROR(__xludf.DUMMYFUNCTION("""COMPUTED_VALUE"""),0.5)</f>
        <v>0.5</v>
      </c>
      <c r="H496" s="122" t="str">
        <f>IFERROR(__xludf.DUMMYFUNCTION("""COMPUTED_VALUE"""),"Active")</f>
        <v>Active</v>
      </c>
    </row>
    <row r="497">
      <c r="A497" s="131">
        <f>IFERROR(__xludf.DUMMYFUNCTION("""COMPUTED_VALUE"""),46171.33111111111)</f>
        <v>46171.33111</v>
      </c>
      <c r="B497" s="122" t="str">
        <f>IFERROR(__xludf.DUMMYFUNCTION("""COMPUTED_VALUE"""),"MOVI")</f>
        <v>MOVI</v>
      </c>
      <c r="C497" s="122" t="str">
        <f>IFERROR(__xludf.DUMMYFUNCTION("""COMPUTED_VALUE"""),"MovieBox remains stable as the Entertainment market shows normal activity.")</f>
        <v>MovieBox remains stable as the Entertainment market shows normal activity.</v>
      </c>
      <c r="D497" s="122" t="str">
        <f>IFERROR(__xludf.DUMMYFUNCTION("""COMPUTED_VALUE"""),"MovieBox appears steady with no major changes reported.")</f>
        <v>MovieBox appears steady with no major changes reported.</v>
      </c>
      <c r="E497" s="122" t="str">
        <f>IFERROR(__xludf.DUMMYFUNCTION("""COMPUTED_VALUE"""),"Neutral")</f>
        <v>Neutral</v>
      </c>
      <c r="F497" s="122">
        <f>IFERROR(__xludf.DUMMYFUNCTION("""COMPUTED_VALUE"""),0.0)</f>
        <v>0</v>
      </c>
      <c r="G497" s="122">
        <f>IFERROR(__xludf.DUMMYFUNCTION("""COMPUTED_VALUE"""),0.0)</f>
        <v>0</v>
      </c>
      <c r="H497" s="122" t="str">
        <f>IFERROR(__xludf.DUMMYFUNCTION("""COMPUTED_VALUE"""),"Active")</f>
        <v>Active</v>
      </c>
    </row>
    <row r="498">
      <c r="A498" s="131">
        <f>IFERROR(__xludf.DUMMYFUNCTION("""COMPUTED_VALUE"""),46171.33111111111)</f>
        <v>46171.33111</v>
      </c>
      <c r="B498" s="122" t="str">
        <f>IFERROR(__xludf.DUMMYFUNCTION("""COMPUTED_VALUE"""),"MUSC")</f>
        <v>MUSC</v>
      </c>
      <c r="C498" s="122" t="str">
        <f>IFERROR(__xludf.DUMMYFUNCTION("""COMPUTED_VALUE"""),"MusicWave reports steady growth and improved market confidence.")</f>
        <v>MusicWave reports steady growth and improved market confidence.</v>
      </c>
      <c r="D498" s="122" t="str">
        <f>IFERROR(__xludf.DUMMYFUNCTION("""COMPUTED_VALUE"""),"MusicWave continues to show positive momentum with moderate risk.")</f>
        <v>MusicWave continues to show positive momentum with moderate risk.</v>
      </c>
      <c r="E498" s="122" t="str">
        <f>IFERROR(__xludf.DUMMYFUNCTION("""COMPUTED_VALUE"""),"Positive")</f>
        <v>Positive</v>
      </c>
      <c r="F498" s="122">
        <f>IFERROR(__xludf.DUMMYFUNCTION("""COMPUTED_VALUE"""),0.015)</f>
        <v>0.015</v>
      </c>
      <c r="G498" s="122">
        <f>IFERROR(__xludf.DUMMYFUNCTION("""COMPUTED_VALUE"""),0.5)</f>
        <v>0.5</v>
      </c>
      <c r="H498" s="122" t="str">
        <f>IFERROR(__xludf.DUMMYFUNCTION("""COMPUTED_VALUE"""),"Active")</f>
        <v>Active</v>
      </c>
    </row>
    <row r="499">
      <c r="A499" s="131">
        <f>IFERROR(__xludf.DUMMYFUNCTION("""COMPUTED_VALUE"""),46171.33112268519)</f>
        <v>46171.33112</v>
      </c>
      <c r="B499" s="122" t="str">
        <f>IFERROR(__xludf.DUMMYFUNCTION("""COMPUTED_VALUE"""),"IDOL")</f>
        <v>IDOL</v>
      </c>
      <c r="C499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499" s="122" t="str">
        <f>IFERROR(__xludf.DUMMYFUNCTION("""COMPUTED_VALUE"""),"Idol Agency appears steady with no major changes reported.")</f>
        <v>Idol Agency appears steady with no major changes reported.</v>
      </c>
      <c r="E499" s="122" t="str">
        <f>IFERROR(__xludf.DUMMYFUNCTION("""COMPUTED_VALUE"""),"Neutral")</f>
        <v>Neutral</v>
      </c>
      <c r="F499" s="122">
        <f>IFERROR(__xludf.DUMMYFUNCTION("""COMPUTED_VALUE"""),0.0)</f>
        <v>0</v>
      </c>
      <c r="G499" s="122">
        <f>IFERROR(__xludf.DUMMYFUNCTION("""COMPUTED_VALUE"""),0.0)</f>
        <v>0</v>
      </c>
      <c r="H499" s="122" t="str">
        <f>IFERROR(__xludf.DUMMYFUNCTION("""COMPUTED_VALUE"""),"Active")</f>
        <v>Active</v>
      </c>
    </row>
    <row r="500">
      <c r="A500" s="131">
        <f>IFERROR(__xludf.DUMMYFUNCTION("""COMPUTED_VALUE"""),46171.33112268519)</f>
        <v>46171.33112</v>
      </c>
      <c r="B500" s="122" t="str">
        <f>IFERROR(__xludf.DUMMYFUNCTION("""COMPUTED_VALUE"""),"MEME")</f>
        <v>MEME</v>
      </c>
      <c r="C500" s="122" t="str">
        <f>IFERROR(__xludf.DUMMYFUNCTION("""COMPUTED_VALUE"""),"Meme Media reports steady growth and improved market confidence.")</f>
        <v>Meme Media reports steady growth and improved market confidence.</v>
      </c>
      <c r="D500" s="122" t="str">
        <f>IFERROR(__xludf.DUMMYFUNCTION("""COMPUTED_VALUE"""),"Meme Media continues to show positive momentum with moderate risk.")</f>
        <v>Meme Media continues to show positive momentum with moderate risk.</v>
      </c>
      <c r="E500" s="122" t="str">
        <f>IFERROR(__xludf.DUMMYFUNCTION("""COMPUTED_VALUE"""),"Positive")</f>
        <v>Positive</v>
      </c>
      <c r="F500" s="122">
        <f>IFERROR(__xludf.DUMMYFUNCTION("""COMPUTED_VALUE"""),0.015)</f>
        <v>0.015</v>
      </c>
      <c r="G500" s="122">
        <f>IFERROR(__xludf.DUMMYFUNCTION("""COMPUTED_VALUE"""),0.5)</f>
        <v>0.5</v>
      </c>
      <c r="H500" s="122" t="str">
        <f>IFERROR(__xludf.DUMMYFUNCTION("""COMPUTED_VALUE"""),"Active")</f>
        <v>Active</v>
      </c>
    </row>
    <row r="501">
      <c r="A501" s="131">
        <f>IFERROR(__xludf.DUMMYFUNCTION("""COMPUTED_VALUE"""),46171.33112268519)</f>
        <v>46171.33112</v>
      </c>
      <c r="B501" s="122" t="str">
        <f>IFERROR(__xludf.DUMMYFUNCTION("""COMPUTED_VALUE"""),"STRM")</f>
        <v>STRM</v>
      </c>
      <c r="C501" s="122" t="str">
        <f>IFERROR(__xludf.DUMMYFUNCTION("""COMPUTED_VALUE"""),"Streamly reports steady growth and improved market confidence.")</f>
        <v>Streamly reports steady growth and improved market confidence.</v>
      </c>
      <c r="D501" s="122" t="str">
        <f>IFERROR(__xludf.DUMMYFUNCTION("""COMPUTED_VALUE"""),"Streamly continues to show positive momentum with moderate risk.")</f>
        <v>Streamly continues to show positive momentum with moderate risk.</v>
      </c>
      <c r="E501" s="122" t="str">
        <f>IFERROR(__xludf.DUMMYFUNCTION("""COMPUTED_VALUE"""),"Positive")</f>
        <v>Positive</v>
      </c>
      <c r="F501" s="122">
        <f>IFERROR(__xludf.DUMMYFUNCTION("""COMPUTED_VALUE"""),0.015)</f>
        <v>0.015</v>
      </c>
      <c r="G501" s="122">
        <f>IFERROR(__xludf.DUMMYFUNCTION("""COMPUTED_VALUE"""),0.5)</f>
        <v>0.5</v>
      </c>
      <c r="H501" s="122" t="str">
        <f>IFERROR(__xludf.DUMMYFUNCTION("""COMPUTED_VALUE"""),"Active")</f>
        <v>Active</v>
      </c>
    </row>
    <row r="502">
      <c r="A502" s="131">
        <f>IFERROR(__xludf.DUMMYFUNCTION("""COMPUTED_VALUE"""),46171.33113425926)</f>
        <v>46171.33113</v>
      </c>
      <c r="B502" s="122" t="str">
        <f>IFERROR(__xludf.DUMMYFUNCTION("""COMPUTED_VALUE"""),"FARM")</f>
        <v>FARM</v>
      </c>
      <c r="C502" s="122" t="str">
        <f>IFERROR(__xludf.DUMMYFUNCTION("""COMPUTED_VALUE"""),"Future Farms reports steady growth and improved market confidence.")</f>
        <v>Future Farms reports steady growth and improved market confidence.</v>
      </c>
      <c r="D502" s="122" t="str">
        <f>IFERROR(__xludf.DUMMYFUNCTION("""COMPUTED_VALUE"""),"Future Farms continues to show positive momentum with moderate risk.")</f>
        <v>Future Farms continues to show positive momentum with moderate risk.</v>
      </c>
      <c r="E502" s="122" t="str">
        <f>IFERROR(__xludf.DUMMYFUNCTION("""COMPUTED_VALUE"""),"Positive")</f>
        <v>Positive</v>
      </c>
      <c r="F502" s="122">
        <f>IFERROR(__xludf.DUMMYFUNCTION("""COMPUTED_VALUE"""),0.015)</f>
        <v>0.015</v>
      </c>
      <c r="G502" s="122">
        <f>IFERROR(__xludf.DUMMYFUNCTION("""COMPUTED_VALUE"""),0.5)</f>
        <v>0.5</v>
      </c>
      <c r="H502" s="122" t="str">
        <f>IFERROR(__xludf.DUMMYFUNCTION("""COMPUTED_VALUE"""),"Active")</f>
        <v>Active</v>
      </c>
    </row>
    <row r="503">
      <c r="A503" s="131">
        <f>IFERROR(__xludf.DUMMYFUNCTION("""COMPUTED_VALUE"""),46171.33113425926)</f>
        <v>46171.33113</v>
      </c>
      <c r="B503" s="122" t="str">
        <f>IFERROR(__xludf.DUMMYFUNCTION("""COMPUTED_VALUE"""),"MEAT")</f>
        <v>MEAT</v>
      </c>
      <c r="C503" s="122" t="str">
        <f>IFERROR(__xludf.DUMMYFUNCTION("""COMPUTED_VALUE"""),"MeatWorks faces weaker demand and cautious investor sentiment.")</f>
        <v>MeatWorks faces weaker demand and cautious investor sentiment.</v>
      </c>
      <c r="D503" s="122" t="str">
        <f>IFERROR(__xludf.DUMMYFUNCTION("""COMPUTED_VALUE"""),"Investors are watching MeatWorks closely as demand weakens.")</f>
        <v>Investors are watching MeatWorks closely as demand weakens.</v>
      </c>
      <c r="E503" s="122" t="str">
        <f>IFERROR(__xludf.DUMMYFUNCTION("""COMPUTED_VALUE"""),"Negative")</f>
        <v>Negative</v>
      </c>
      <c r="F503" s="122">
        <f>IFERROR(__xludf.DUMMYFUNCTION("""COMPUTED_VALUE"""),-0.015)</f>
        <v>-0.015</v>
      </c>
      <c r="G503" s="122">
        <f>IFERROR(__xludf.DUMMYFUNCTION("""COMPUTED_VALUE"""),0.75)</f>
        <v>0.75</v>
      </c>
      <c r="H503" s="122" t="str">
        <f>IFERROR(__xludf.DUMMYFUNCTION("""COMPUTED_VALUE"""),"Active")</f>
        <v>Active</v>
      </c>
    </row>
    <row r="504">
      <c r="A504" s="131">
        <f>IFERROR(__xludf.DUMMYFUNCTION("""COMPUTED_VALUE"""),46171.33113425926)</f>
        <v>46171.33113</v>
      </c>
      <c r="B504" s="122" t="str">
        <f>IFERROR(__xludf.DUMMYFUNCTION("""COMPUTED_VALUE"""),"VEGI")</f>
        <v>VEGI</v>
      </c>
      <c r="C504" s="122" t="str">
        <f>IFERROR(__xludf.DUMMYFUNCTION("""COMPUTED_VALUE"""),"Green Basket remains stable as the Food market shows normal activity.")</f>
        <v>Green Basket remains stable as the Food market shows normal activity.</v>
      </c>
      <c r="D504" s="122" t="str">
        <f>IFERROR(__xludf.DUMMYFUNCTION("""COMPUTED_VALUE"""),"Green Basket appears steady with no major changes reported.")</f>
        <v>Green Basket appears steady with no major changes reported.</v>
      </c>
      <c r="E504" s="122" t="str">
        <f>IFERROR(__xludf.DUMMYFUNCTION("""COMPUTED_VALUE"""),"Neutral")</f>
        <v>Neutral</v>
      </c>
      <c r="F504" s="122">
        <f>IFERROR(__xludf.DUMMYFUNCTION("""COMPUTED_VALUE"""),0.0)</f>
        <v>0</v>
      </c>
      <c r="G504" s="122">
        <f>IFERROR(__xludf.DUMMYFUNCTION("""COMPUTED_VALUE"""),0.0)</f>
        <v>0</v>
      </c>
      <c r="H504" s="122" t="str">
        <f>IFERROR(__xludf.DUMMYFUNCTION("""COMPUTED_VALUE"""),"Active")</f>
        <v>Active</v>
      </c>
    </row>
    <row r="505">
      <c r="A505" s="131">
        <f>IFERROR(__xludf.DUMMYFUNCTION("""COMPUTED_VALUE"""),46171.331145833334)</f>
        <v>46171.33115</v>
      </c>
      <c r="B505" s="122" t="str">
        <f>IFERROR(__xludf.DUMMYFUNCTION("""COMPUTED_VALUE"""),"CAFE")</f>
        <v>CAFE</v>
      </c>
      <c r="C505" s="122" t="str">
        <f>IFERROR(__xludf.DUMMYFUNCTION("""COMPUTED_VALUE"""),"Cafe Cloud faces weaker demand and cautious investor sentiment.")</f>
        <v>Cafe Cloud faces weaker demand and cautious investor sentiment.</v>
      </c>
      <c r="D505" s="122" t="str">
        <f>IFERROR(__xludf.DUMMYFUNCTION("""COMPUTED_VALUE"""),"Investors are watching Cafe Cloud closely as demand weakens.")</f>
        <v>Investors are watching Cafe Cloud closely as demand weakens.</v>
      </c>
      <c r="E505" s="122" t="str">
        <f>IFERROR(__xludf.DUMMYFUNCTION("""COMPUTED_VALUE"""),"Negative")</f>
        <v>Negative</v>
      </c>
      <c r="F505" s="122">
        <f>IFERROR(__xludf.DUMMYFUNCTION("""COMPUTED_VALUE"""),-0.015)</f>
        <v>-0.015</v>
      </c>
      <c r="G505" s="122">
        <f>IFERROR(__xludf.DUMMYFUNCTION("""COMPUTED_VALUE"""),0.75)</f>
        <v>0.75</v>
      </c>
      <c r="H505" s="122" t="str">
        <f>IFERROR(__xludf.DUMMYFUNCTION("""COMPUTED_VALUE"""),"Active")</f>
        <v>Active</v>
      </c>
    </row>
    <row r="506">
      <c r="A506" s="131">
        <f>IFERROR(__xludf.DUMMYFUNCTION("""COMPUTED_VALUE"""),46171.331145833334)</f>
        <v>46171.33115</v>
      </c>
      <c r="B506" s="122" t="str">
        <f>IFERROR(__xludf.DUMMYFUNCTION("""COMPUTED_VALUE"""),"BAKE")</f>
        <v>BAKE</v>
      </c>
      <c r="C506" s="122" t="str">
        <f>IFERROR(__xludf.DUMMYFUNCTION("""COMPUTED_VALUE"""),"BakeHouse remains stable as the Food market shows normal activity.")</f>
        <v>BakeHouse remains stable as the Food market shows normal activity.</v>
      </c>
      <c r="D506" s="122" t="str">
        <f>IFERROR(__xludf.DUMMYFUNCTION("""COMPUTED_VALUE"""),"BakeHouse appears steady with no major changes reported.")</f>
        <v>BakeHouse appears steady with no major changes reported.</v>
      </c>
      <c r="E506" s="122" t="str">
        <f>IFERROR(__xludf.DUMMYFUNCTION("""COMPUTED_VALUE"""),"Neutral")</f>
        <v>Neutral</v>
      </c>
      <c r="F506" s="122">
        <f>IFERROR(__xludf.DUMMYFUNCTION("""COMPUTED_VALUE"""),0.0)</f>
        <v>0</v>
      </c>
      <c r="G506" s="122">
        <f>IFERROR(__xludf.DUMMYFUNCTION("""COMPUTED_VALUE"""),0.0)</f>
        <v>0</v>
      </c>
      <c r="H506" s="122" t="str">
        <f>IFERROR(__xludf.DUMMYFUNCTION("""COMPUTED_VALUE"""),"Active")</f>
        <v>Active</v>
      </c>
    </row>
    <row r="507">
      <c r="A507" s="131">
        <f>IFERROR(__xludf.DUMMYFUNCTION("""COMPUTED_VALUE"""),46171.33115740741)</f>
        <v>46171.33116</v>
      </c>
      <c r="B507" s="122" t="str">
        <f>IFERROR(__xludf.DUMMYFUNCTION("""COMPUTED_VALUE"""),"OILX")</f>
        <v>OILX</v>
      </c>
      <c r="C507" s="122" t="str">
        <f>IFERROR(__xludf.DUMMYFUNCTION("""COMPUTED_VALUE"""),"OilMax Energy surges as demand rises across the Energy sector.")</f>
        <v>OilMax Energy surges as demand rises across the Energy sector.</v>
      </c>
      <c r="D507" s="122" t="str">
        <f>IFERROR(__xludf.DUMMYFUNCTION("""COMPUTED_VALUE"""),"OilMax Energy is seeing strong demand, which may increase investor confidence.")</f>
        <v>OilMax Energy is seeing strong demand, which may increase investor confidence.</v>
      </c>
      <c r="E507" s="122" t="str">
        <f>IFERROR(__xludf.DUMMYFUNCTION("""COMPUTED_VALUE"""),"Positive")</f>
        <v>Positive</v>
      </c>
      <c r="F507" s="122">
        <f>IFERROR(__xludf.DUMMYFUNCTION("""COMPUTED_VALUE"""),0.03)</f>
        <v>0.03</v>
      </c>
      <c r="G507" s="122">
        <f>IFERROR(__xludf.DUMMYFUNCTION("""COMPUTED_VALUE"""),1.0)</f>
        <v>1</v>
      </c>
      <c r="H507" s="122" t="str">
        <f>IFERROR(__xludf.DUMMYFUNCTION("""COMPUTED_VALUE"""),"Active")</f>
        <v>Active</v>
      </c>
    </row>
    <row r="508">
      <c r="A508" s="131">
        <f>IFERROR(__xludf.DUMMYFUNCTION("""COMPUTED_VALUE"""),46171.33115740741)</f>
        <v>46171.33116</v>
      </c>
      <c r="B508" s="122" t="str">
        <f>IFERROR(__xludf.DUMMYFUNCTION("""COMPUTED_VALUE"""),"SOLR")</f>
        <v>SOLR</v>
      </c>
      <c r="C508" s="122" t="str">
        <f>IFERROR(__xludf.DUMMYFUNCTION("""COMPUTED_VALUE"""),"SolarSpark sees uncertain trading as investors react to mixed signals.")</f>
        <v>SolarSpark sees uncertain trading as investors react to mixed signals.</v>
      </c>
      <c r="D508" s="122" t="str">
        <f>IFERROR(__xludf.DUMMYFUNCTION("""COMPUTED_VALUE"""),"SolarSpark may experience larger price swings as investors disagree on direction.")</f>
        <v>SolarSpark may experience larger price swings as investors disagree on direction.</v>
      </c>
      <c r="E508" s="122" t="str">
        <f>IFERROR(__xludf.DUMMYFUNCTION("""COMPUTED_VALUE"""),"Mixed")</f>
        <v>Mixed</v>
      </c>
      <c r="F508" s="122">
        <f>IFERROR(__xludf.DUMMYFUNCTION("""COMPUTED_VALUE"""),-0.015447145161947269)</f>
        <v>-0.01544714516</v>
      </c>
      <c r="G508" s="122">
        <f>IFERROR(__xludf.DUMMYFUNCTION("""COMPUTED_VALUE"""),1.5)</f>
        <v>1.5</v>
      </c>
      <c r="H508" s="122" t="str">
        <f>IFERROR(__xludf.DUMMYFUNCTION("""COMPUTED_VALUE"""),"Active")</f>
        <v>Active</v>
      </c>
    </row>
    <row r="509">
      <c r="A509" s="131">
        <f>IFERROR(__xludf.DUMMYFUNCTION("""COMPUTED_VALUE"""),46171.33116898148)</f>
        <v>46171.33117</v>
      </c>
      <c r="B509" s="122" t="str">
        <f>IFERROR(__xludf.DUMMYFUNCTION("""COMPUTED_VALUE"""),"BATT")</f>
        <v>BATT</v>
      </c>
      <c r="C509" s="122" t="str">
        <f>IFERROR(__xludf.DUMMYFUNCTION("""COMPUTED_VALUE"""),"BatteryBox remains stable as the Energy market shows normal activity.")</f>
        <v>BatteryBox remains stable as the Energy market shows normal activity.</v>
      </c>
      <c r="D509" s="122" t="str">
        <f>IFERROR(__xludf.DUMMYFUNCTION("""COMPUTED_VALUE"""),"BatteryBox appears steady with no major changes reported.")</f>
        <v>BatteryBox appears steady with no major changes reported.</v>
      </c>
      <c r="E509" s="122" t="str">
        <f>IFERROR(__xludf.DUMMYFUNCTION("""COMPUTED_VALUE"""),"Neutral")</f>
        <v>Neutral</v>
      </c>
      <c r="F509" s="122">
        <f>IFERROR(__xludf.DUMMYFUNCTION("""COMPUTED_VALUE"""),0.0)</f>
        <v>0</v>
      </c>
      <c r="G509" s="122">
        <f>IFERROR(__xludf.DUMMYFUNCTION("""COMPUTED_VALUE"""),0.0)</f>
        <v>0</v>
      </c>
      <c r="H509" s="122" t="str">
        <f>IFERROR(__xludf.DUMMYFUNCTION("""COMPUTED_VALUE"""),"Active")</f>
        <v>Active</v>
      </c>
    </row>
    <row r="510">
      <c r="A510" s="131">
        <f>IFERROR(__xludf.DUMMYFUNCTION("""COMPUTED_VALUE"""),46171.33116898148)</f>
        <v>46171.33117</v>
      </c>
      <c r="B510" s="122" t="str">
        <f>IFERROR(__xludf.DUMMYFUNCTION("""COMPUTED_VALUE"""),"WIND")</f>
        <v>WIND</v>
      </c>
      <c r="C510" s="122" t="str">
        <f>IFERROR(__xludf.DUMMYFUNCTION("""COMPUTED_VALUE"""),"WindWorks reports steady growth and improved market confidence.")</f>
        <v>WindWorks reports steady growth and improved market confidence.</v>
      </c>
      <c r="D510" s="122" t="str">
        <f>IFERROR(__xludf.DUMMYFUNCTION("""COMPUTED_VALUE"""),"WindWorks continues to show positive momentum with moderate risk.")</f>
        <v>WindWorks continues to show positive momentum with moderate risk.</v>
      </c>
      <c r="E510" s="122" t="str">
        <f>IFERROR(__xludf.DUMMYFUNCTION("""COMPUTED_VALUE"""),"Positive")</f>
        <v>Positive</v>
      </c>
      <c r="F510" s="122">
        <f>IFERROR(__xludf.DUMMYFUNCTION("""COMPUTED_VALUE"""),0.015)</f>
        <v>0.015</v>
      </c>
      <c r="G510" s="122">
        <f>IFERROR(__xludf.DUMMYFUNCTION("""COMPUTED_VALUE"""),0.5)</f>
        <v>0.5</v>
      </c>
      <c r="H510" s="122" t="str">
        <f>IFERROR(__xludf.DUMMYFUNCTION("""COMPUTED_VALUE"""),"Active")</f>
        <v>Active</v>
      </c>
    </row>
    <row r="511">
      <c r="A511" s="131">
        <f>IFERROR(__xludf.DUMMYFUNCTION("""COMPUTED_VALUE"""),46171.33118055556)</f>
        <v>46171.33118</v>
      </c>
      <c r="B511" s="122" t="str">
        <f>IFERROR(__xludf.DUMMYFUNCTION("""COMPUTED_VALUE"""),"GRID")</f>
        <v>GRID</v>
      </c>
      <c r="C511" s="122" t="str">
        <f>IFERROR(__xludf.DUMMYFUNCTION("""COMPUTED_VALUE"""),"GridPower faces weaker demand and cautious investor sentiment.")</f>
        <v>GridPower faces weaker demand and cautious investor sentiment.</v>
      </c>
      <c r="D511" s="122" t="str">
        <f>IFERROR(__xludf.DUMMYFUNCTION("""COMPUTED_VALUE"""),"Investors are watching GridPower closely as demand weakens.")</f>
        <v>Investors are watching GridPower closely as demand weakens.</v>
      </c>
      <c r="E511" s="122" t="str">
        <f>IFERROR(__xludf.DUMMYFUNCTION("""COMPUTED_VALUE"""),"Negative")</f>
        <v>Negative</v>
      </c>
      <c r="F511" s="122">
        <f>IFERROR(__xludf.DUMMYFUNCTION("""COMPUTED_VALUE"""),-0.015)</f>
        <v>-0.015</v>
      </c>
      <c r="G511" s="122">
        <f>IFERROR(__xludf.DUMMYFUNCTION("""COMPUTED_VALUE"""),0.75)</f>
        <v>0.75</v>
      </c>
      <c r="H511" s="122" t="str">
        <f>IFERROR(__xludf.DUMMYFUNCTION("""COMPUTED_VALUE"""),"Active")</f>
        <v>Active</v>
      </c>
    </row>
    <row r="512">
      <c r="A512" s="131">
        <f>IFERROR(__xludf.DUMMYFUNCTION("""COMPUTED_VALUE"""),46171.33118055556)</f>
        <v>46171.33118</v>
      </c>
      <c r="B512" s="122" t="str">
        <f>IFERROR(__xludf.DUMMYFUNCTION("""COMPUTED_VALUE"""),"HOME")</f>
        <v>HOME</v>
      </c>
      <c r="C512" s="122" t="str">
        <f>IFERROR(__xludf.DUMMYFUNCTION("""COMPUTED_VALUE"""),"HomeHub reports steady growth and improved market confidence.")</f>
        <v>HomeHub reports steady growth and improved market confidence.</v>
      </c>
      <c r="D512" s="122" t="str">
        <f>IFERROR(__xludf.DUMMYFUNCTION("""COMPUTED_VALUE"""),"HomeHub continues to show positive momentum with moderate risk.")</f>
        <v>HomeHub continues to show positive momentum with moderate risk.</v>
      </c>
      <c r="E512" s="122" t="str">
        <f>IFERROR(__xludf.DUMMYFUNCTION("""COMPUTED_VALUE"""),"Positive")</f>
        <v>Positive</v>
      </c>
      <c r="F512" s="122">
        <f>IFERROR(__xludf.DUMMYFUNCTION("""COMPUTED_VALUE"""),0.015)</f>
        <v>0.015</v>
      </c>
      <c r="G512" s="122">
        <f>IFERROR(__xludf.DUMMYFUNCTION("""COMPUTED_VALUE"""),0.5)</f>
        <v>0.5</v>
      </c>
      <c r="H512" s="122" t="str">
        <f>IFERROR(__xludf.DUMMYFUNCTION("""COMPUTED_VALUE"""),"Active")</f>
        <v>Active</v>
      </c>
    </row>
    <row r="513">
      <c r="A513" s="131">
        <f>IFERROR(__xludf.DUMMYFUNCTION("""COMPUTED_VALUE"""),46171.331192129626)</f>
        <v>46171.33119</v>
      </c>
      <c r="B513" s="122" t="str">
        <f>IFERROR(__xludf.DUMMYFUNCTION("""COMPUTED_VALUE"""),"RENT")</f>
        <v>RENT</v>
      </c>
      <c r="C513" s="122" t="str">
        <f>IFERROR(__xludf.DUMMYFUNCTION("""COMPUTED_VALUE"""),"RentRight reports steady growth and improved market confidence.")</f>
        <v>RentRight reports steady growth and improved market confidence.</v>
      </c>
      <c r="D513" s="122" t="str">
        <f>IFERROR(__xludf.DUMMYFUNCTION("""COMPUTED_VALUE"""),"RentRight continues to show positive momentum with moderate risk.")</f>
        <v>RentRight continues to show positive momentum with moderate risk.</v>
      </c>
      <c r="E513" s="122" t="str">
        <f>IFERROR(__xludf.DUMMYFUNCTION("""COMPUTED_VALUE"""),"Positive")</f>
        <v>Positive</v>
      </c>
      <c r="F513" s="122">
        <f>IFERROR(__xludf.DUMMYFUNCTION("""COMPUTED_VALUE"""),0.015)</f>
        <v>0.015</v>
      </c>
      <c r="G513" s="122">
        <f>IFERROR(__xludf.DUMMYFUNCTION("""COMPUTED_VALUE"""),0.5)</f>
        <v>0.5</v>
      </c>
      <c r="H513" s="122" t="str">
        <f>IFERROR(__xludf.DUMMYFUNCTION("""COMPUTED_VALUE"""),"Active")</f>
        <v>Active</v>
      </c>
    </row>
    <row r="514">
      <c r="A514" s="131">
        <f>IFERROR(__xludf.DUMMYFUNCTION("""COMPUTED_VALUE"""),46171.331192129626)</f>
        <v>46171.33119</v>
      </c>
      <c r="B514" s="122" t="str">
        <f>IFERROR(__xludf.DUMMYFUNCTION("""COMPUTED_VALUE"""),"MALL")</f>
        <v>MALL</v>
      </c>
      <c r="C514" s="122" t="str">
        <f>IFERROR(__xludf.DUMMYFUNCTION("""COMPUTED_VALUE"""),"MegaMall remains stable as the Real Estate market shows normal activity.")</f>
        <v>MegaMall remains stable as the Real Estate market shows normal activity.</v>
      </c>
      <c r="D514" s="122" t="str">
        <f>IFERROR(__xludf.DUMMYFUNCTION("""COMPUTED_VALUE"""),"MegaMall appears steady with no major changes reported.")</f>
        <v>MegaMall appears steady with no major changes reported.</v>
      </c>
      <c r="E514" s="122" t="str">
        <f>IFERROR(__xludf.DUMMYFUNCTION("""COMPUTED_VALUE"""),"Neutral")</f>
        <v>Neutral</v>
      </c>
      <c r="F514" s="122">
        <f>IFERROR(__xludf.DUMMYFUNCTION("""COMPUTED_VALUE"""),0.0)</f>
        <v>0</v>
      </c>
      <c r="G514" s="122">
        <f>IFERROR(__xludf.DUMMYFUNCTION("""COMPUTED_VALUE"""),0.0)</f>
        <v>0</v>
      </c>
      <c r="H514" s="122" t="str">
        <f>IFERROR(__xludf.DUMMYFUNCTION("""COMPUTED_VALUE"""),"Active")</f>
        <v>Active</v>
      </c>
    </row>
    <row r="515">
      <c r="A515" s="131">
        <f>IFERROR(__xludf.DUMMYFUNCTION("""COMPUTED_VALUE"""),46171.3312037037)</f>
        <v>46171.3312</v>
      </c>
      <c r="B515" s="122" t="str">
        <f>IFERROR(__xludf.DUMMYFUNCTION("""COMPUTED_VALUE"""),"HOTL")</f>
        <v>HOTL</v>
      </c>
      <c r="C515" s="122" t="str">
        <f>IFERROR(__xludf.DUMMYFUNCTION("""COMPUTED_VALUE"""),"HotelHive remains stable as the Real Estate market shows normal activity.")</f>
        <v>HotelHive remains stable as the Real Estate market shows normal activity.</v>
      </c>
      <c r="D515" s="122" t="str">
        <f>IFERROR(__xludf.DUMMYFUNCTION("""COMPUTED_VALUE"""),"HotelHive appears steady with no major changes reported.")</f>
        <v>HotelHive appears steady with no major changes reported.</v>
      </c>
      <c r="E515" s="122" t="str">
        <f>IFERROR(__xludf.DUMMYFUNCTION("""COMPUTED_VALUE"""),"Neutral")</f>
        <v>Neutral</v>
      </c>
      <c r="F515" s="122">
        <f>IFERROR(__xludf.DUMMYFUNCTION("""COMPUTED_VALUE"""),0.0)</f>
        <v>0</v>
      </c>
      <c r="G515" s="122">
        <f>IFERROR(__xludf.DUMMYFUNCTION("""COMPUTED_VALUE"""),0.0)</f>
        <v>0</v>
      </c>
      <c r="H515" s="122" t="str">
        <f>IFERROR(__xludf.DUMMYFUNCTION("""COMPUTED_VALUE"""),"Active")</f>
        <v>Active</v>
      </c>
    </row>
    <row r="516">
      <c r="A516" s="131">
        <f>IFERROR(__xludf.DUMMYFUNCTION("""COMPUTED_VALUE"""),46171.33121527778)</f>
        <v>46171.33122</v>
      </c>
      <c r="B516" s="122" t="str">
        <f>IFERROR(__xludf.DUMMYFUNCTION("""COMPUTED_VALUE"""),"LAND")</f>
        <v>LAND</v>
      </c>
      <c r="C516" s="122" t="str">
        <f>IFERROR(__xludf.DUMMYFUNCTION("""COMPUTED_VALUE"""),"LandLink faces weaker demand and cautious investor sentiment.")</f>
        <v>LandLink faces weaker demand and cautious investor sentiment.</v>
      </c>
      <c r="D516" s="122" t="str">
        <f>IFERROR(__xludf.DUMMYFUNCTION("""COMPUTED_VALUE"""),"Investors are watching LandLink closely as demand weakens.")</f>
        <v>Investors are watching LandLink closely as demand weakens.</v>
      </c>
      <c r="E516" s="122" t="str">
        <f>IFERROR(__xludf.DUMMYFUNCTION("""COMPUTED_VALUE"""),"Negative")</f>
        <v>Negative</v>
      </c>
      <c r="F516" s="122">
        <f>IFERROR(__xludf.DUMMYFUNCTION("""COMPUTED_VALUE"""),-0.015)</f>
        <v>-0.015</v>
      </c>
      <c r="G516" s="122">
        <f>IFERROR(__xludf.DUMMYFUNCTION("""COMPUTED_VALUE"""),0.75)</f>
        <v>0.75</v>
      </c>
      <c r="H516" s="122" t="str">
        <f>IFERROR(__xludf.DUMMYFUNCTION("""COMPUTED_VALUE"""),"Active")</f>
        <v>Active</v>
      </c>
    </row>
    <row r="517">
      <c r="A517" s="131">
        <f>IFERROR(__xludf.DUMMYFUNCTION("""COMPUTED_VALUE"""),46171.33121527778)</f>
        <v>46171.33122</v>
      </c>
      <c r="B517" s="122" t="str">
        <f>IFERROR(__xludf.DUMMYFUNCTION("""COMPUTED_VALUE"""),"CARS")</f>
        <v>CARS</v>
      </c>
      <c r="C517" s="122" t="str">
        <f>IFERROR(__xludf.DUMMYFUNCTION("""COMPUTED_VALUE"""),"AutoArena remains stable as the Automotive market shows normal activity.")</f>
        <v>AutoArena remains stable as the Automotive market shows normal activity.</v>
      </c>
      <c r="D517" s="122" t="str">
        <f>IFERROR(__xludf.DUMMYFUNCTION("""COMPUTED_VALUE"""),"AutoArena appears steady with no major changes reported.")</f>
        <v>AutoArena appears steady with no major changes reported.</v>
      </c>
      <c r="E517" s="122" t="str">
        <f>IFERROR(__xludf.DUMMYFUNCTION("""COMPUTED_VALUE"""),"Neutral")</f>
        <v>Neutral</v>
      </c>
      <c r="F517" s="122">
        <f>IFERROR(__xludf.DUMMYFUNCTION("""COMPUTED_VALUE"""),0.0)</f>
        <v>0</v>
      </c>
      <c r="G517" s="122">
        <f>IFERROR(__xludf.DUMMYFUNCTION("""COMPUTED_VALUE"""),0.0)</f>
        <v>0</v>
      </c>
      <c r="H517" s="122" t="str">
        <f>IFERROR(__xludf.DUMMYFUNCTION("""COMPUTED_VALUE"""),"Active")</f>
        <v>Active</v>
      </c>
    </row>
    <row r="518">
      <c r="A518" s="131">
        <f>IFERROR(__xludf.DUMMYFUNCTION("""COMPUTED_VALUE"""),46171.33122685185)</f>
        <v>46171.33123</v>
      </c>
      <c r="B518" s="122" t="str">
        <f>IFERROR(__xludf.DUMMYFUNCTION("""COMPUTED_VALUE"""),"EVGO")</f>
        <v>EVGO</v>
      </c>
      <c r="C518" s="122" t="str">
        <f>IFERROR(__xludf.DUMMYFUNCTION("""COMPUTED_VALUE"""),"EVGo Motors remains stable as the Automotive market shows normal activity.")</f>
        <v>EVGo Motors remains stable as the Automotive market shows normal activity.</v>
      </c>
      <c r="D518" s="122" t="str">
        <f>IFERROR(__xludf.DUMMYFUNCTION("""COMPUTED_VALUE"""),"EVGo Motors appears steady with no major changes reported.")</f>
        <v>EVGo Motors appears steady with no major changes reported.</v>
      </c>
      <c r="E518" s="122" t="str">
        <f>IFERROR(__xludf.DUMMYFUNCTION("""COMPUTED_VALUE"""),"Neutral")</f>
        <v>Neutral</v>
      </c>
      <c r="F518" s="122">
        <f>IFERROR(__xludf.DUMMYFUNCTION("""COMPUTED_VALUE"""),0.0)</f>
        <v>0</v>
      </c>
      <c r="G518" s="122">
        <f>IFERROR(__xludf.DUMMYFUNCTION("""COMPUTED_VALUE"""),0.0)</f>
        <v>0</v>
      </c>
      <c r="H518" s="122" t="str">
        <f>IFERROR(__xludf.DUMMYFUNCTION("""COMPUTED_VALUE"""),"Active")</f>
        <v>Active</v>
      </c>
    </row>
    <row r="519">
      <c r="A519" s="131">
        <f>IFERROR(__xludf.DUMMYFUNCTION("""COMPUTED_VALUE"""),46171.33122685185)</f>
        <v>46171.33123</v>
      </c>
      <c r="B519" s="122" t="str">
        <f>IFERROR(__xludf.DUMMYFUNCTION("""COMPUTED_VALUE"""),"TIRE")</f>
        <v>TIRE</v>
      </c>
      <c r="C519" s="122" t="str">
        <f>IFERROR(__xludf.DUMMYFUNCTION("""COMPUTED_VALUE"""),"TireTown sees uncertain trading as investors react to mixed signals.")</f>
        <v>TireTown sees uncertain trading as investors react to mixed signals.</v>
      </c>
      <c r="D519" s="122" t="str">
        <f>IFERROR(__xludf.DUMMYFUNCTION("""COMPUTED_VALUE"""),"TireTown may experience larger price swings as investors disagree on direction.")</f>
        <v>TireTown may experience larger price swings as investors disagree on direction.</v>
      </c>
      <c r="E519" s="122" t="str">
        <f>IFERROR(__xludf.DUMMYFUNCTION("""COMPUTED_VALUE"""),"Mixed")</f>
        <v>Mixed</v>
      </c>
      <c r="F519" s="122">
        <f>IFERROR(__xludf.DUMMYFUNCTION("""COMPUTED_VALUE"""),-0.015069238226347523)</f>
        <v>-0.01506923823</v>
      </c>
      <c r="G519" s="122">
        <f>IFERROR(__xludf.DUMMYFUNCTION("""COMPUTED_VALUE"""),1.5)</f>
        <v>1.5</v>
      </c>
      <c r="H519" s="122" t="str">
        <f>IFERROR(__xludf.DUMMYFUNCTION("""COMPUTED_VALUE"""),"Active")</f>
        <v>Active</v>
      </c>
    </row>
    <row r="520">
      <c r="A520" s="131">
        <f>IFERROR(__xludf.DUMMYFUNCTION("""COMPUTED_VALUE"""),46171.331238425926)</f>
        <v>46171.33124</v>
      </c>
      <c r="B520" s="122" t="str">
        <f>IFERROR(__xludf.DUMMYFUNCTION("""COMPUTED_VALUE"""),"BIKE")</f>
        <v>BIKE</v>
      </c>
      <c r="C520" s="122" t="str">
        <f>IFERROR(__xludf.DUMMYFUNCTION("""COMPUTED_VALUE"""),"BikeBox reports steady growth and improved market confidence.")</f>
        <v>BikeBox reports steady growth and improved market confidence.</v>
      </c>
      <c r="D520" s="122" t="str">
        <f>IFERROR(__xludf.DUMMYFUNCTION("""COMPUTED_VALUE"""),"BikeBox continues to show positive momentum with moderate risk.")</f>
        <v>BikeBox continues to show positive momentum with moderate risk.</v>
      </c>
      <c r="E520" s="122" t="str">
        <f>IFERROR(__xludf.DUMMYFUNCTION("""COMPUTED_VALUE"""),"Positive")</f>
        <v>Positive</v>
      </c>
      <c r="F520" s="122">
        <f>IFERROR(__xludf.DUMMYFUNCTION("""COMPUTED_VALUE"""),0.015)</f>
        <v>0.015</v>
      </c>
      <c r="G520" s="122">
        <f>IFERROR(__xludf.DUMMYFUNCTION("""COMPUTED_VALUE"""),0.5)</f>
        <v>0.5</v>
      </c>
      <c r="H520" s="122" t="str">
        <f>IFERROR(__xludf.DUMMYFUNCTION("""COMPUTED_VALUE"""),"Active")</f>
        <v>Active</v>
      </c>
    </row>
    <row r="521">
      <c r="A521" s="131">
        <f>IFERROR(__xludf.DUMMYFUNCTION("""COMPUTED_VALUE"""),46171.331238425926)</f>
        <v>46171.33124</v>
      </c>
      <c r="B521" s="122" t="str">
        <f>IFERROR(__xludf.DUMMYFUNCTION("""COMPUTED_VALUE"""),"WASH")</f>
        <v>WASH</v>
      </c>
      <c r="C521" s="122" t="str">
        <f>IFERROR(__xludf.DUMMYFUNCTION("""COMPUTED_VALUE"""),"CarWash Co faces weaker demand and cautious investor sentiment.")</f>
        <v>CarWash Co faces weaker demand and cautious investor sentiment.</v>
      </c>
      <c r="D521" s="122" t="str">
        <f>IFERROR(__xludf.DUMMYFUNCTION("""COMPUTED_VALUE"""),"Investors are watching CarWash Co closely as demand weakens.")</f>
        <v>Investors are watching CarWash Co closely as demand weakens.</v>
      </c>
      <c r="E521" s="122" t="str">
        <f>IFERROR(__xludf.DUMMYFUNCTION("""COMPUTED_VALUE"""),"Negative")</f>
        <v>Negative</v>
      </c>
      <c r="F521" s="122">
        <f>IFERROR(__xludf.DUMMYFUNCTION("""COMPUTED_VALUE"""),-0.015)</f>
        <v>-0.015</v>
      </c>
      <c r="G521" s="122">
        <f>IFERROR(__xludf.DUMMYFUNCTION("""COMPUTED_VALUE"""),0.75)</f>
        <v>0.75</v>
      </c>
      <c r="H521" s="122" t="str">
        <f>IFERROR(__xludf.DUMMYFUNCTION("""COMPUTED_VALUE"""),"Active")</f>
        <v>Active</v>
      </c>
    </row>
    <row r="522">
      <c r="A522" s="131">
        <f>IFERROR(__xludf.DUMMYFUNCTION("""COMPUTED_VALUE"""),46171.33125)</f>
        <v>46171.33125</v>
      </c>
      <c r="B522" s="122" t="str">
        <f>IFERROR(__xludf.DUMMYFUNCTION("""COMPUTED_VALUE"""),"GBND")</f>
        <v>GBND</v>
      </c>
      <c r="C522" s="122" t="str">
        <f>IFERROR(__xludf.DUMMYFUNCTION("""COMPUTED_VALUE"""),"Classroom Government Bond remains steady as investors seek stability.")</f>
        <v>Classroom Government Bond remains steady as investors seek stability.</v>
      </c>
      <c r="D52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522" s="122" t="str">
        <f>IFERROR(__xludf.DUMMYFUNCTION("""COMPUTED_VALUE"""),"Neutral")</f>
        <v>Neutral</v>
      </c>
      <c r="F522" s="122">
        <f>IFERROR(__xludf.DUMMYFUNCTION("""COMPUTED_VALUE"""),0.0)</f>
        <v>0</v>
      </c>
      <c r="G522" s="122">
        <f>IFERROR(__xludf.DUMMYFUNCTION("""COMPUTED_VALUE"""),0.0)</f>
        <v>0</v>
      </c>
      <c r="H522" s="122" t="str">
        <f>IFERROR(__xludf.DUMMYFUNCTION("""COMPUTED_VALUE"""),"Active")</f>
        <v>Active</v>
      </c>
    </row>
    <row r="523">
      <c r="A523" s="131">
        <f>IFERROR(__xludf.DUMMYFUNCTION("""COMPUTED_VALUE"""),46171.33125)</f>
        <v>46171.33125</v>
      </c>
      <c r="B523" s="122" t="str">
        <f>IFERROR(__xludf.DUMMYFUNCTION("""COMPUTED_VALUE"""),"SBND")</f>
        <v>SBND</v>
      </c>
      <c r="C523" s="122" t="str">
        <f>IFERROR(__xludf.DUMMYFUNCTION("""COMPUTED_VALUE"""),"School Savings Bond remains steady as investors seek stability.")</f>
        <v>School Savings Bond remains steady as investors seek stability.</v>
      </c>
      <c r="D52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523" s="122" t="str">
        <f>IFERROR(__xludf.DUMMYFUNCTION("""COMPUTED_VALUE"""),"Neutral")</f>
        <v>Neutral</v>
      </c>
      <c r="F523" s="122">
        <f>IFERROR(__xludf.DUMMYFUNCTION("""COMPUTED_VALUE"""),0.0)</f>
        <v>0</v>
      </c>
      <c r="G523" s="122">
        <f>IFERROR(__xludf.DUMMYFUNCTION("""COMPUTED_VALUE"""),0.0)</f>
        <v>0</v>
      </c>
      <c r="H523" s="122" t="str">
        <f>IFERROR(__xludf.DUMMYFUNCTION("""COMPUTED_VALUE"""),"Active")</f>
        <v>Active</v>
      </c>
    </row>
    <row r="524">
      <c r="A524" s="131">
        <f>IFERROR(__xludf.DUMMYFUNCTION("""COMPUTED_VALUE"""),46171.33125)</f>
        <v>46171.33125</v>
      </c>
      <c r="B524" s="122" t="str">
        <f>IFERROR(__xludf.DUMMYFUNCTION("""COMPUTED_VALUE"""),"CBND")</f>
        <v>CBND</v>
      </c>
      <c r="C524" s="122" t="str">
        <f>IFERROR(__xludf.DUMMYFUNCTION("""COMPUTED_VALUE"""),"Corporate Classroom Bond remains steady as investors seek stability.")</f>
        <v>Corporate Classroom Bond remains steady as investors seek stability.</v>
      </c>
      <c r="D52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524" s="122" t="str">
        <f>IFERROR(__xludf.DUMMYFUNCTION("""COMPUTED_VALUE"""),"Neutral")</f>
        <v>Neutral</v>
      </c>
      <c r="F524" s="122">
        <f>IFERROR(__xludf.DUMMYFUNCTION("""COMPUTED_VALUE"""),0.0)</f>
        <v>0</v>
      </c>
      <c r="G524" s="122">
        <f>IFERROR(__xludf.DUMMYFUNCTION("""COMPUTED_VALUE"""),0.0)</f>
        <v>0</v>
      </c>
      <c r="H524" s="122" t="str">
        <f>IFERROR(__xludf.DUMMYFUNCTION("""COMPUTED_VALUE"""),"Active")</f>
        <v>Active</v>
      </c>
    </row>
    <row r="525">
      <c r="A525" s="131">
        <f>IFERROR(__xludf.DUMMYFUNCTION("""COMPUTED_VALUE"""),46171.33127314815)</f>
        <v>46171.33127</v>
      </c>
      <c r="B525" s="122" t="str">
        <f>IFERROR(__xludf.DUMMYFUNCTION("""COMPUTED_VALUE"""),"TBIL")</f>
        <v>TBIL</v>
      </c>
      <c r="C525" s="122" t="str">
        <f>IFERROR(__xludf.DUMMYFUNCTION("""COMPUTED_VALUE"""),"Treasury Bill remains steady as investors seek stability.")</f>
        <v>Treasury Bill remains steady as investors seek stability.</v>
      </c>
      <c r="D52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525" s="122" t="str">
        <f>IFERROR(__xludf.DUMMYFUNCTION("""COMPUTED_VALUE"""),"Neutral")</f>
        <v>Neutral</v>
      </c>
      <c r="F525" s="122">
        <f>IFERROR(__xludf.DUMMYFUNCTION("""COMPUTED_VALUE"""),0.0)</f>
        <v>0</v>
      </c>
      <c r="G525" s="122">
        <f>IFERROR(__xludf.DUMMYFUNCTION("""COMPUTED_VALUE"""),0.0)</f>
        <v>0</v>
      </c>
      <c r="H525" s="122" t="str">
        <f>IFERROR(__xludf.DUMMYFUNCTION("""COMPUTED_VALUE"""),"Active")</f>
        <v>Active</v>
      </c>
    </row>
    <row r="526">
      <c r="A526" s="131">
        <f>IFERROR(__xludf.DUMMYFUNCTION("""COMPUTED_VALUE"""),46171.33127314815)</f>
        <v>46171.33127</v>
      </c>
      <c r="B526" s="122" t="str">
        <f>IFERROR(__xludf.DUMMYFUNCTION("""COMPUTED_VALUE"""),"IBND")</f>
        <v>IBND</v>
      </c>
      <c r="C526" s="122" t="str">
        <f>IFERROR(__xludf.DUMMYFUNCTION("""COMPUTED_VALUE"""),"Inflation Protected Bond remains steady as investors seek stability.")</f>
        <v>Inflation Protected Bond remains steady as investors seek stability.</v>
      </c>
      <c r="D52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526" s="122" t="str">
        <f>IFERROR(__xludf.DUMMYFUNCTION("""COMPUTED_VALUE"""),"Neutral")</f>
        <v>Neutral</v>
      </c>
      <c r="F526" s="122">
        <f>IFERROR(__xludf.DUMMYFUNCTION("""COMPUTED_VALUE"""),0.0)</f>
        <v>0</v>
      </c>
      <c r="G526" s="122">
        <f>IFERROR(__xludf.DUMMYFUNCTION("""COMPUTED_VALUE"""),0.0)</f>
        <v>0</v>
      </c>
      <c r="H526" s="122" t="str">
        <f>IFERROR(__xludf.DUMMYFUNCTION("""COMPUTED_VALUE"""),"Active")</f>
        <v>Active</v>
      </c>
    </row>
    <row r="527">
      <c r="A527" s="131">
        <f>IFERROR(__xludf.DUMMYFUNCTION("""COMPUTED_VALUE"""),46171.338796296295)</f>
        <v>46171.3388</v>
      </c>
      <c r="B527" s="122" t="str">
        <f>IFERROR(__xludf.DUMMYFUNCTION("""COMPUTED_VALUE"""),"MARKET")</f>
        <v>MARKET</v>
      </c>
      <c r="C527" s="122" t="str">
        <f>IFERROR(__xludf.DUMMYFUNCTION("""COMPUTED_VALUE"""),"Economic Shock Hits the Market")</f>
        <v>Economic Shock Hits the Market</v>
      </c>
      <c r="D527" s="122" t="str">
        <f>IFERROR(__xludf.DUMMYFUNCTION("""COMPUTED_VALUE"""),"A sudden economic shock hit the classroom market today. Around 60% of non-bond companies were affected, causing sharp price declines and increased volatility across multiple sectors. Bond instruments remained comparatively stable.")</f>
        <v>A sudden economic shock hit the classroom market today. Around 60% of non-bond companies were affected, causing sharp price declines and increased volatility across multiple sectors. Bond instruments remained comparatively stable.</v>
      </c>
      <c r="E527" s="122" t="str">
        <f>IFERROR(__xludf.DUMMYFUNCTION("""COMPUTED_VALUE"""),"Negative")</f>
        <v>Negative</v>
      </c>
      <c r="F527" s="122">
        <f>IFERROR(__xludf.DUMMYFUNCTION("""COMPUTED_VALUE"""),-0.08)</f>
        <v>-0.08</v>
      </c>
      <c r="G527" s="122">
        <f>IFERROR(__xludf.DUMMYFUNCTION("""COMPUTED_VALUE"""),2.0)</f>
        <v>2</v>
      </c>
      <c r="H527" s="122" t="str">
        <f>IFERROR(__xludf.DUMMYFUNCTION("""COMPUTED_VALUE"""),"Active")</f>
        <v>Active</v>
      </c>
    </row>
    <row r="528">
      <c r="A528" s="131">
        <f>IFERROR(__xludf.DUMMYFUNCTION("""COMPUTED_VALUE"""),46172.317708333336)</f>
        <v>46172.31771</v>
      </c>
      <c r="B528" s="122" t="str">
        <f>IFERROR(__xludf.DUMMYFUNCTION("""COMPUTED_VALUE"""),"CARS")</f>
        <v>CARS</v>
      </c>
      <c r="C528" s="122" t="str">
        <f>IFERROR(__xludf.DUMMYFUNCTION("""COMPUTED_VALUE"""),"AutoArena releases earnings report: Beat profit, guidance Maintained.")</f>
        <v>AutoArena releases earnings report: Beat profit, guidance Maintained.</v>
      </c>
      <c r="D528" s="122" t="str">
        <f>IFERROR(__xludf.DUMMYFUNCTION("""COMPUTED_VALUE"""),"Earnings report: revenue Beat, profit Beat, debt Stable, guidance Maintained.")</f>
        <v>Earnings report: revenue Beat, profit Beat, debt Stable, guidance Maintained.</v>
      </c>
      <c r="E528" s="122" t="str">
        <f>IFERROR(__xludf.DUMMYFUNCTION("""COMPUTED_VALUE"""),"Positive")</f>
        <v>Positive</v>
      </c>
      <c r="F528" s="122">
        <f>IFERROR(__xludf.DUMMYFUNCTION("""COMPUTED_VALUE"""),0.01509378084168608)</f>
        <v>0.01509378084</v>
      </c>
      <c r="G528" s="122">
        <f>IFERROR(__xludf.DUMMYFUNCTION("""COMPUTED_VALUE"""),0.377344521042152)</f>
        <v>0.377344521</v>
      </c>
      <c r="H528" s="122" t="str">
        <f>IFERROR(__xludf.DUMMYFUNCTION("""COMPUTED_VALUE"""),"Active")</f>
        <v>Active</v>
      </c>
    </row>
    <row r="529">
      <c r="A529" s="131">
        <f>IFERROR(__xludf.DUMMYFUNCTION("""COMPUTED_VALUE"""),46172.31780092593)</f>
        <v>46172.3178</v>
      </c>
      <c r="B529" s="122" t="str">
        <f>IFERROR(__xludf.DUMMYFUNCTION("""COMPUTED_VALUE"""),"BANK")</f>
        <v>BANK</v>
      </c>
      <c r="C529" s="122" t="str">
        <f>IFERROR(__xludf.DUMMYFUNCTION("""COMPUTED_VALUE"""),"Tiger Bank releases earnings report: Miss profit, guidance Lowered.")</f>
        <v>Tiger Bank releases earnings report: Miss profit, guidance Lowered.</v>
      </c>
      <c r="D529" s="122" t="str">
        <f>IFERROR(__xludf.DUMMYFUNCTION("""COMPUTED_VALUE"""),"Earnings report: revenue Miss, profit Miss, debt Worse, guidance Lowered.")</f>
        <v>Earnings report: revenue Miss, profit Miss, debt Worse, guidance Lowered.</v>
      </c>
      <c r="E529" s="122" t="str">
        <f>IFERROR(__xludf.DUMMYFUNCTION("""COMPUTED_VALUE"""),"Negative")</f>
        <v>Negative</v>
      </c>
      <c r="F529" s="122">
        <f>IFERROR(__xludf.DUMMYFUNCTION("""COMPUTED_VALUE"""),-0.04912255280801749)</f>
        <v>-0.04912255281</v>
      </c>
      <c r="G529" s="122">
        <f>IFERROR(__xludf.DUMMYFUNCTION("""COMPUTED_VALUE"""),1.2280638202004373)</f>
        <v>1.22806382</v>
      </c>
      <c r="H529" s="122" t="str">
        <f>IFERROR(__xludf.DUMMYFUNCTION("""COMPUTED_VALUE"""),"Active")</f>
        <v>Active</v>
      </c>
    </row>
    <row r="530">
      <c r="A530" s="131">
        <f>IFERROR(__xludf.DUMMYFUNCTION("""COMPUTED_VALUE"""),46172.31790509259)</f>
        <v>46172.31791</v>
      </c>
      <c r="B530" s="122" t="str">
        <f>IFERROR(__xludf.DUMMYFUNCTION("""COMPUTED_VALUE"""),"CARE")</f>
        <v>CARE</v>
      </c>
      <c r="C530" s="122" t="str">
        <f>IFERROR(__xludf.DUMMYFUNCTION("""COMPUTED_VALUE"""),"CareCloud releases earnings report: Miss profit, guidance Lowered.")</f>
        <v>CareCloud releases earnings report: Miss profit, guidance Lowered.</v>
      </c>
      <c r="D530" s="122" t="str">
        <f>IFERROR(__xludf.DUMMYFUNCTION("""COMPUTED_VALUE"""),"Earnings report: revenue Miss, profit Miss, debt Worse, guidance Lowered.")</f>
        <v>Earnings report: revenue Miss, profit Miss, debt Worse, guidance Lowered.</v>
      </c>
      <c r="E530" s="122" t="str">
        <f>IFERROR(__xludf.DUMMYFUNCTION("""COMPUTED_VALUE"""),"Negative")</f>
        <v>Negative</v>
      </c>
      <c r="F530" s="122">
        <f>IFERROR(__xludf.DUMMYFUNCTION("""COMPUTED_VALUE"""),-0.053606010094657465)</f>
        <v>-0.05360601009</v>
      </c>
      <c r="G530" s="122">
        <f>IFERROR(__xludf.DUMMYFUNCTION("""COMPUTED_VALUE"""),1.3401502523664366)</f>
        <v>1.340150252</v>
      </c>
      <c r="H530" s="122" t="str">
        <f>IFERROR(__xludf.DUMMYFUNCTION("""COMPUTED_VALUE"""),"Active")</f>
        <v>Active</v>
      </c>
    </row>
    <row r="531">
      <c r="A531" s="131">
        <f>IFERROR(__xludf.DUMMYFUNCTION("""COMPUTED_VALUE"""),46172.31800925926)</f>
        <v>46172.31801</v>
      </c>
      <c r="B531" s="122" t="str">
        <f>IFERROR(__xludf.DUMMYFUNCTION("""COMPUTED_VALUE"""),"LAND")</f>
        <v>LAND</v>
      </c>
      <c r="C531" s="122" t="str">
        <f>IFERROR(__xludf.DUMMYFUNCTION("""COMPUTED_VALUE"""),"LandLink releases earnings report: Miss profit, guidance Lowered.")</f>
        <v>LandLink releases earnings report: Miss profit, guidance Lowered.</v>
      </c>
      <c r="D531" s="122" t="str">
        <f>IFERROR(__xludf.DUMMYFUNCTION("""COMPUTED_VALUE"""),"Earnings report: revenue Miss, profit Miss, debt Worse, guidance Lowered.")</f>
        <v>Earnings report: revenue Miss, profit Miss, debt Worse, guidance Lowered.</v>
      </c>
      <c r="E531" s="122" t="str">
        <f>IFERROR(__xludf.DUMMYFUNCTION("""COMPUTED_VALUE"""),"Negative")</f>
        <v>Negative</v>
      </c>
      <c r="F531" s="122">
        <f>IFERROR(__xludf.DUMMYFUNCTION("""COMPUTED_VALUE"""),-0.03388319841745224)</f>
        <v>-0.03388319842</v>
      </c>
      <c r="G531" s="122">
        <f>IFERROR(__xludf.DUMMYFUNCTION("""COMPUTED_VALUE"""),0.8470799604363061)</f>
        <v>0.8470799604</v>
      </c>
      <c r="H531" s="122" t="str">
        <f>IFERROR(__xludf.DUMMYFUNCTION("""COMPUTED_VALUE"""),"Active")</f>
        <v>Active</v>
      </c>
    </row>
    <row r="532">
      <c r="A532" s="131">
        <f>IFERROR(__xludf.DUMMYFUNCTION("""COMPUTED_VALUE"""),46172.318136574075)</f>
        <v>46172.31814</v>
      </c>
      <c r="B532" s="122" t="str">
        <f>IFERROR(__xludf.DUMMYFUNCTION("""COMPUTED_VALUE"""),"HOTL")</f>
        <v>HOTL</v>
      </c>
      <c r="C532" s="122" t="str">
        <f>IFERROR(__xludf.DUMMYFUNCTION("""COMPUTED_VALUE"""),"HotelHive releases earnings report: Beat profit, guidance Raised.")</f>
        <v>HotelHive releases earnings report: Beat profit, guidance Raised.</v>
      </c>
      <c r="D53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532" s="122" t="str">
        <f>IFERROR(__xludf.DUMMYFUNCTION("""COMPUTED_VALUE"""),"Positive")</f>
        <v>Positive</v>
      </c>
      <c r="F532" s="122">
        <f>IFERROR(__xludf.DUMMYFUNCTION("""COMPUTED_VALUE"""),0.03769422785655556)</f>
        <v>0.03769422786</v>
      </c>
      <c r="G532" s="122">
        <f>IFERROR(__xludf.DUMMYFUNCTION("""COMPUTED_VALUE"""),0.9423556964138889)</f>
        <v>0.9423556964</v>
      </c>
      <c r="H532" s="122" t="str">
        <f>IFERROR(__xludf.DUMMYFUNCTION("""COMPUTED_VALUE"""),"Active")</f>
        <v>Active</v>
      </c>
    </row>
    <row r="533">
      <c r="A533" s="131">
        <f>IFERROR(__xludf.DUMMYFUNCTION("""COMPUTED_VALUE"""),46172.31825231481)</f>
        <v>46172.31825</v>
      </c>
      <c r="B533" s="122" t="str">
        <f>IFERROR(__xludf.DUMMYFUNCTION("""COMPUTED_VALUE"""),"IDOL")</f>
        <v>IDOL</v>
      </c>
      <c r="C533" s="122" t="str">
        <f>IFERROR(__xludf.DUMMYFUNCTION("""COMPUTED_VALUE"""),"Idol Agency releases earnings report: Beat profit, guidance Raised.")</f>
        <v>Idol Agency releases earnings report: Beat profit, guidance Raised.</v>
      </c>
      <c r="D53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533" s="122" t="str">
        <f>IFERROR(__xludf.DUMMYFUNCTION("""COMPUTED_VALUE"""),"Positive")</f>
        <v>Positive</v>
      </c>
      <c r="F533" s="122">
        <f>IFERROR(__xludf.DUMMYFUNCTION("""COMPUTED_VALUE"""),0.02552040047746087)</f>
        <v>0.02552040048</v>
      </c>
      <c r="G533" s="122">
        <f>IFERROR(__xludf.DUMMYFUNCTION("""COMPUTED_VALUE"""),0.6380100119365217)</f>
        <v>0.6380100119</v>
      </c>
      <c r="H533" s="122" t="str">
        <f>IFERROR(__xludf.DUMMYFUNCTION("""COMPUTED_VALUE"""),"Active")</f>
        <v>Active</v>
      </c>
    </row>
    <row r="534">
      <c r="A534" s="131">
        <f>IFERROR(__xludf.DUMMYFUNCTION("""COMPUTED_VALUE"""),46172.31835648148)</f>
        <v>46172.31836</v>
      </c>
      <c r="B534" s="122" t="str">
        <f>IFERROR(__xludf.DUMMYFUNCTION("""COMPUTED_VALUE"""),"HOME")</f>
        <v>HOME</v>
      </c>
      <c r="C534" s="122" t="str">
        <f>IFERROR(__xludf.DUMMYFUNCTION("""COMPUTED_VALUE"""),"HomeHub releases earnings report: Miss profit, guidance Lowered.")</f>
        <v>HomeHub releases earnings report: Miss profit, guidance Lowered.</v>
      </c>
      <c r="D534" s="122" t="str">
        <f>IFERROR(__xludf.DUMMYFUNCTION("""COMPUTED_VALUE"""),"Earnings report: revenue Miss, profit Miss, debt Worse, guidance Lowered.")</f>
        <v>Earnings report: revenue Miss, profit Miss, debt Worse, guidance Lowered.</v>
      </c>
      <c r="E534" s="122" t="str">
        <f>IFERROR(__xludf.DUMMYFUNCTION("""COMPUTED_VALUE"""),"Negative")</f>
        <v>Negative</v>
      </c>
      <c r="F534" s="122">
        <f>IFERROR(__xludf.DUMMYFUNCTION("""COMPUTED_VALUE"""),-0.0419900428906931)</f>
        <v>-0.04199004289</v>
      </c>
      <c r="G534" s="122">
        <f>IFERROR(__xludf.DUMMYFUNCTION("""COMPUTED_VALUE"""),1.0497510722673276)</f>
        <v>1.049751072</v>
      </c>
      <c r="H534" s="122" t="str">
        <f>IFERROR(__xludf.DUMMYFUNCTION("""COMPUTED_VALUE"""),"Active")</f>
        <v>Active</v>
      </c>
    </row>
    <row r="535">
      <c r="A535" s="131">
        <f>IFERROR(__xludf.DUMMYFUNCTION("""COMPUTED_VALUE"""),46172.318449074075)</f>
        <v>46172.31845</v>
      </c>
      <c r="B535" s="122" t="str">
        <f>IFERROR(__xludf.DUMMYFUNCTION("""COMPUTED_VALUE"""),"CAND")</f>
        <v>CAND</v>
      </c>
      <c r="C535" s="122" t="str">
        <f>IFERROR(__xludf.DUMMYFUNCTION("""COMPUTED_VALUE"""),"Candy Capital releases earnings report: Beat profit, guidance Raised.")</f>
        <v>Candy Capital releases earnings report: Beat profit, guidance Raised.</v>
      </c>
      <c r="D53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535" s="122" t="str">
        <f>IFERROR(__xludf.DUMMYFUNCTION("""COMPUTED_VALUE"""),"Positive")</f>
        <v>Positive</v>
      </c>
      <c r="F535" s="122">
        <f>IFERROR(__xludf.DUMMYFUNCTION("""COMPUTED_VALUE"""),0.052221457932610495)</f>
        <v>0.05222145793</v>
      </c>
      <c r="G535" s="122">
        <f>IFERROR(__xludf.DUMMYFUNCTION("""COMPUTED_VALUE"""),1.3055364483152623)</f>
        <v>1.305536448</v>
      </c>
      <c r="H535" s="122" t="str">
        <f>IFERROR(__xludf.DUMMYFUNCTION("""COMPUTED_VALUE"""),"Active")</f>
        <v>Active</v>
      </c>
    </row>
    <row r="536">
      <c r="A536" s="131">
        <f>IFERROR(__xludf.DUMMYFUNCTION("""COMPUTED_VALUE"""),46172.31851851852)</f>
        <v>46172.31852</v>
      </c>
      <c r="B536" s="122" t="str">
        <f>IFERROR(__xludf.DUMMYFUNCTION("""COMPUTED_VALUE"""),"DRON")</f>
        <v>DRON</v>
      </c>
      <c r="C536" s="122" t="str">
        <f>IFERROR(__xludf.DUMMYFUNCTION("""COMPUTED_VALUE"""),"DroneDrop releases earnings report: Beat profit, guidance Raised.")</f>
        <v>DroneDrop releases earnings report: Beat profit, guidance Raised.</v>
      </c>
      <c r="D536" s="122" t="str">
        <f>IFERROR(__xludf.DUMMYFUNCTION("""COMPUTED_VALUE"""),"Earnings report: revenue Beat, profit Beat, debt Stable, guidance Raised.")</f>
        <v>Earnings report: revenue Beat, profit Beat, debt Stable, guidance Raised.</v>
      </c>
      <c r="E536" s="122" t="str">
        <f>IFERROR(__xludf.DUMMYFUNCTION("""COMPUTED_VALUE"""),"Positive")</f>
        <v>Positive</v>
      </c>
      <c r="F536" s="122">
        <f>IFERROR(__xludf.DUMMYFUNCTION("""COMPUTED_VALUE"""),0.01887904821550218)</f>
        <v>0.01887904822</v>
      </c>
      <c r="G536" s="122">
        <f>IFERROR(__xludf.DUMMYFUNCTION("""COMPUTED_VALUE"""),0.4719762053875545)</f>
        <v>0.4719762054</v>
      </c>
      <c r="H536" s="122" t="str">
        <f>IFERROR(__xludf.DUMMYFUNCTION("""COMPUTED_VALUE"""),"Active")</f>
        <v>Active</v>
      </c>
    </row>
    <row r="537">
      <c r="A537" s="131">
        <f>IFERROR(__xludf.DUMMYFUNCTION("""COMPUTED_VALUE"""),46172.33091435185)</f>
        <v>46172.33091</v>
      </c>
      <c r="B537" s="122" t="str">
        <f>IFERROR(__xludf.DUMMYFUNCTION("""COMPUTED_VALUE"""),"SNAX")</f>
        <v>SNAX</v>
      </c>
      <c r="C537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537" s="122" t="str">
        <f>IFERROR(__xludf.DUMMYFUNCTION("""COMPUTED_VALUE"""),"MICA Snacks appears steady with no major changes reported.")</f>
        <v>MICA Snacks appears steady with no major changes reported.</v>
      </c>
      <c r="E537" s="122" t="str">
        <f>IFERROR(__xludf.DUMMYFUNCTION("""COMPUTED_VALUE"""),"Neutral")</f>
        <v>Neutral</v>
      </c>
      <c r="F537" s="122">
        <f>IFERROR(__xludf.DUMMYFUNCTION("""COMPUTED_VALUE"""),0.0)</f>
        <v>0</v>
      </c>
      <c r="G537" s="122">
        <f>IFERROR(__xludf.DUMMYFUNCTION("""COMPUTED_VALUE"""),0.0)</f>
        <v>0</v>
      </c>
      <c r="H537" s="122" t="str">
        <f>IFERROR(__xludf.DUMMYFUNCTION("""COMPUTED_VALUE"""),"Active")</f>
        <v>Active</v>
      </c>
    </row>
    <row r="538">
      <c r="A538" s="131">
        <f>IFERROR(__xludf.DUMMYFUNCTION("""COMPUTED_VALUE"""),46172.33091435185)</f>
        <v>46172.33091</v>
      </c>
      <c r="B538" s="122" t="str">
        <f>IFERROR(__xludf.DUMMYFUNCTION("""COMPUTED_VALUE"""),"RAMN")</f>
        <v>RAMN</v>
      </c>
      <c r="C538" s="122" t="str">
        <f>IFERROR(__xludf.DUMMYFUNCTION("""COMPUTED_VALUE"""),"Ramen Republic remains stable as the Food market shows normal activity.")</f>
        <v>Ramen Republic remains stable as the Food market shows normal activity.</v>
      </c>
      <c r="D538" s="122" t="str">
        <f>IFERROR(__xludf.DUMMYFUNCTION("""COMPUTED_VALUE"""),"Ramen Republic appears steady with no major changes reported.")</f>
        <v>Ramen Republic appears steady with no major changes reported.</v>
      </c>
      <c r="E538" s="122" t="str">
        <f>IFERROR(__xludf.DUMMYFUNCTION("""COMPUTED_VALUE"""),"Neutral")</f>
        <v>Neutral</v>
      </c>
      <c r="F538" s="122">
        <f>IFERROR(__xludf.DUMMYFUNCTION("""COMPUTED_VALUE"""),0.0)</f>
        <v>0</v>
      </c>
      <c r="G538" s="122">
        <f>IFERROR(__xludf.DUMMYFUNCTION("""COMPUTED_VALUE"""),0.0)</f>
        <v>0</v>
      </c>
      <c r="H538" s="122" t="str">
        <f>IFERROR(__xludf.DUMMYFUNCTION("""COMPUTED_VALUE"""),"Active")</f>
        <v>Active</v>
      </c>
    </row>
    <row r="539">
      <c r="A539" s="131">
        <f>IFERROR(__xludf.DUMMYFUNCTION("""COMPUTED_VALUE"""),46172.330925925926)</f>
        <v>46172.33093</v>
      </c>
      <c r="B539" s="122" t="str">
        <f>IFERROR(__xludf.DUMMYFUNCTION("""COMPUTED_VALUE"""),"COLA")</f>
        <v>COLA</v>
      </c>
      <c r="C539" s="122" t="str">
        <f>IFERROR(__xludf.DUMMYFUNCTION("""COMPUTED_VALUE"""),"K-Pop Cola reports steady growth and improved market confidence.")</f>
        <v>K-Pop Cola reports steady growth and improved market confidence.</v>
      </c>
      <c r="D539" s="122" t="str">
        <f>IFERROR(__xludf.DUMMYFUNCTION("""COMPUTED_VALUE"""),"K-Pop Cola continues to show positive momentum with moderate risk.")</f>
        <v>K-Pop Cola continues to show positive momentum with moderate risk.</v>
      </c>
      <c r="E539" s="122" t="str">
        <f>IFERROR(__xludf.DUMMYFUNCTION("""COMPUTED_VALUE"""),"Positive")</f>
        <v>Positive</v>
      </c>
      <c r="F539" s="122">
        <f>IFERROR(__xludf.DUMMYFUNCTION("""COMPUTED_VALUE"""),0.015)</f>
        <v>0.015</v>
      </c>
      <c r="G539" s="122">
        <f>IFERROR(__xludf.DUMMYFUNCTION("""COMPUTED_VALUE"""),0.5)</f>
        <v>0.5</v>
      </c>
      <c r="H539" s="122" t="str">
        <f>IFERROR(__xludf.DUMMYFUNCTION("""COMPUTED_VALUE"""),"Active")</f>
        <v>Active</v>
      </c>
    </row>
    <row r="540">
      <c r="A540" s="131">
        <f>IFERROR(__xludf.DUMMYFUNCTION("""COMPUTED_VALUE"""),46172.330925925926)</f>
        <v>46172.33093</v>
      </c>
      <c r="B540" s="122" t="str">
        <f>IFERROR(__xludf.DUMMYFUNCTION("""COMPUTED_VALUE"""),"CHIP")</f>
        <v>CHIP</v>
      </c>
      <c r="C540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540" s="122" t="str">
        <f>IFERROR(__xludf.DUMMYFUNCTION("""COMPUTED_VALUE"""),"Chip Empire appears steady with no major changes reported.")</f>
        <v>Chip Empire appears steady with no major changes reported.</v>
      </c>
      <c r="E540" s="122" t="str">
        <f>IFERROR(__xludf.DUMMYFUNCTION("""COMPUTED_VALUE"""),"Neutral")</f>
        <v>Neutral</v>
      </c>
      <c r="F540" s="122">
        <f>IFERROR(__xludf.DUMMYFUNCTION("""COMPUTED_VALUE"""),0.0)</f>
        <v>0</v>
      </c>
      <c r="G540" s="122">
        <f>IFERROR(__xludf.DUMMYFUNCTION("""COMPUTED_VALUE"""),0.0)</f>
        <v>0</v>
      </c>
      <c r="H540" s="122" t="str">
        <f>IFERROR(__xludf.DUMMYFUNCTION("""COMPUTED_VALUE"""),"Active")</f>
        <v>Active</v>
      </c>
    </row>
    <row r="541">
      <c r="A541" s="131">
        <f>IFERROR(__xludf.DUMMYFUNCTION("""COMPUTED_VALUE"""),46172.3309375)</f>
        <v>46172.33094</v>
      </c>
      <c r="B541" s="122" t="str">
        <f>IFERROR(__xludf.DUMMYFUNCTION("""COMPUTED_VALUE"""),"CAND")</f>
        <v>CAND</v>
      </c>
      <c r="C541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541" s="122" t="str">
        <f>IFERROR(__xludf.DUMMYFUNCTION("""COMPUTED_VALUE"""),"Candy Capital appears steady with no major changes reported.")</f>
        <v>Candy Capital appears steady with no major changes reported.</v>
      </c>
      <c r="E541" s="122" t="str">
        <f>IFERROR(__xludf.DUMMYFUNCTION("""COMPUTED_VALUE"""),"Neutral")</f>
        <v>Neutral</v>
      </c>
      <c r="F541" s="122">
        <f>IFERROR(__xludf.DUMMYFUNCTION("""COMPUTED_VALUE"""),0.0)</f>
        <v>0</v>
      </c>
      <c r="G541" s="122">
        <f>IFERROR(__xludf.DUMMYFUNCTION("""COMPUTED_VALUE"""),0.0)</f>
        <v>0</v>
      </c>
      <c r="H541" s="122" t="str">
        <f>IFERROR(__xludf.DUMMYFUNCTION("""COMPUTED_VALUE"""),"Active")</f>
        <v>Active</v>
      </c>
    </row>
    <row r="542">
      <c r="A542" s="131">
        <f>IFERROR(__xludf.DUMMYFUNCTION("""COMPUTED_VALUE"""),46172.3309375)</f>
        <v>46172.33094</v>
      </c>
      <c r="B542" s="122" t="str">
        <f>IFERROR(__xludf.DUMMYFUNCTION("""COMPUTED_VALUE"""),"TECH")</f>
        <v>TECH</v>
      </c>
      <c r="C542" s="122" t="str">
        <f>IFERROR(__xludf.DUMMYFUNCTION("""COMPUTED_VALUE"""),"Dragon Tech reports steady growth and improved market confidence.")</f>
        <v>Dragon Tech reports steady growth and improved market confidence.</v>
      </c>
      <c r="D542" s="122" t="str">
        <f>IFERROR(__xludf.DUMMYFUNCTION("""COMPUTED_VALUE"""),"Dragon Tech continues to show positive momentum with moderate risk.")</f>
        <v>Dragon Tech continues to show positive momentum with moderate risk.</v>
      </c>
      <c r="E542" s="122" t="str">
        <f>IFERROR(__xludf.DUMMYFUNCTION("""COMPUTED_VALUE"""),"Positive")</f>
        <v>Positive</v>
      </c>
      <c r="F542" s="122">
        <f>IFERROR(__xludf.DUMMYFUNCTION("""COMPUTED_VALUE"""),0.015)</f>
        <v>0.015</v>
      </c>
      <c r="G542" s="122">
        <f>IFERROR(__xludf.DUMMYFUNCTION("""COMPUTED_VALUE"""),0.5)</f>
        <v>0.5</v>
      </c>
      <c r="H542" s="122" t="str">
        <f>IFERROR(__xludf.DUMMYFUNCTION("""COMPUTED_VALUE"""),"Active")</f>
        <v>Active</v>
      </c>
    </row>
    <row r="543">
      <c r="A543" s="131">
        <f>IFERROR(__xludf.DUMMYFUNCTION("""COMPUTED_VALUE"""),46172.33094907407)</f>
        <v>46172.33095</v>
      </c>
      <c r="B543" s="122" t="str">
        <f>IFERROR(__xludf.DUMMYFUNCTION("""COMPUTED_VALUE"""),"AIBO")</f>
        <v>AIBO</v>
      </c>
      <c r="C543" s="122" t="str">
        <f>IFERROR(__xludf.DUMMYFUNCTION("""COMPUTED_VALUE"""),"Homework AI faces weaker demand and cautious investor sentiment.")</f>
        <v>Homework AI faces weaker demand and cautious investor sentiment.</v>
      </c>
      <c r="D543" s="122" t="str">
        <f>IFERROR(__xludf.DUMMYFUNCTION("""COMPUTED_VALUE"""),"Investors are watching Homework AI closely as demand weakens.")</f>
        <v>Investors are watching Homework AI closely as demand weakens.</v>
      </c>
      <c r="E543" s="122" t="str">
        <f>IFERROR(__xludf.DUMMYFUNCTION("""COMPUTED_VALUE"""),"Negative")</f>
        <v>Negative</v>
      </c>
      <c r="F543" s="122">
        <f>IFERROR(__xludf.DUMMYFUNCTION("""COMPUTED_VALUE"""),-0.015)</f>
        <v>-0.015</v>
      </c>
      <c r="G543" s="122">
        <f>IFERROR(__xludf.DUMMYFUNCTION("""COMPUTED_VALUE"""),0.75)</f>
        <v>0.75</v>
      </c>
      <c r="H543" s="122" t="str">
        <f>IFERROR(__xludf.DUMMYFUNCTION("""COMPUTED_VALUE"""),"Active")</f>
        <v>Active</v>
      </c>
    </row>
    <row r="544">
      <c r="A544" s="131">
        <f>IFERROR(__xludf.DUMMYFUNCTION("""COMPUTED_VALUE"""),46172.33094907407)</f>
        <v>46172.33095</v>
      </c>
      <c r="B544" s="122" t="str">
        <f>IFERROR(__xludf.DUMMYFUNCTION("""COMPUTED_VALUE"""),"GAME")</f>
        <v>GAME</v>
      </c>
      <c r="C544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544" s="122" t="str">
        <f>IFERROR(__xludf.DUMMYFUNCTION("""COMPUTED_VALUE"""),"GameBox Media appears steady with no major changes reported.")</f>
        <v>GameBox Media appears steady with no major changes reported.</v>
      </c>
      <c r="E544" s="122" t="str">
        <f>IFERROR(__xludf.DUMMYFUNCTION("""COMPUTED_VALUE"""),"Neutral")</f>
        <v>Neutral</v>
      </c>
      <c r="F544" s="122">
        <f>IFERROR(__xludf.DUMMYFUNCTION("""COMPUTED_VALUE"""),0.0)</f>
        <v>0</v>
      </c>
      <c r="G544" s="122">
        <f>IFERROR(__xludf.DUMMYFUNCTION("""COMPUTED_VALUE"""),0.0)</f>
        <v>0</v>
      </c>
      <c r="H544" s="122" t="str">
        <f>IFERROR(__xludf.DUMMYFUNCTION("""COMPUTED_VALUE"""),"Active")</f>
        <v>Active</v>
      </c>
    </row>
    <row r="545">
      <c r="A545" s="131">
        <f>IFERROR(__xludf.DUMMYFUNCTION("""COMPUTED_VALUE"""),46172.33094907407)</f>
        <v>46172.33095</v>
      </c>
      <c r="B545" s="122" t="str">
        <f>IFERROR(__xludf.DUMMYFUNCTION("""COMPUTED_VALUE"""),"VRSE")</f>
        <v>VRSE</v>
      </c>
      <c r="C545" s="122" t="str">
        <f>IFERROR(__xludf.DUMMYFUNCTION("""COMPUTED_VALUE"""),"VerseVR remains stable as the Technology market shows normal activity.")</f>
        <v>VerseVR remains stable as the Technology market shows normal activity.</v>
      </c>
      <c r="D545" s="122" t="str">
        <f>IFERROR(__xludf.DUMMYFUNCTION("""COMPUTED_VALUE"""),"VerseVR appears steady with no major changes reported.")</f>
        <v>VerseVR appears steady with no major changes reported.</v>
      </c>
      <c r="E545" s="122" t="str">
        <f>IFERROR(__xludf.DUMMYFUNCTION("""COMPUTED_VALUE"""),"Neutral")</f>
        <v>Neutral</v>
      </c>
      <c r="F545" s="122">
        <f>IFERROR(__xludf.DUMMYFUNCTION("""COMPUTED_VALUE"""),0.0)</f>
        <v>0</v>
      </c>
      <c r="G545" s="122">
        <f>IFERROR(__xludf.DUMMYFUNCTION("""COMPUTED_VALUE"""),0.0)</f>
        <v>0</v>
      </c>
      <c r="H545" s="122" t="str">
        <f>IFERROR(__xludf.DUMMYFUNCTION("""COMPUTED_VALUE"""),"Active")</f>
        <v>Active</v>
      </c>
    </row>
    <row r="546">
      <c r="A546" s="131">
        <f>IFERROR(__xludf.DUMMYFUNCTION("""COMPUTED_VALUE"""),46172.33096064815)</f>
        <v>46172.33096</v>
      </c>
      <c r="B546" s="122" t="str">
        <f>IFERROR(__xludf.DUMMYFUNCTION("""COMPUTED_VALUE"""),"BYTE")</f>
        <v>BYTE</v>
      </c>
      <c r="C546" s="122" t="str">
        <f>IFERROR(__xludf.DUMMYFUNCTION("""COMPUTED_VALUE"""),"ByteWorks remains stable as the Technology market shows normal activity.")</f>
        <v>ByteWorks remains stable as the Technology market shows normal activity.</v>
      </c>
      <c r="D546" s="122" t="str">
        <f>IFERROR(__xludf.DUMMYFUNCTION("""COMPUTED_VALUE"""),"ByteWorks appears steady with no major changes reported.")</f>
        <v>ByteWorks appears steady with no major changes reported.</v>
      </c>
      <c r="E546" s="122" t="str">
        <f>IFERROR(__xludf.DUMMYFUNCTION("""COMPUTED_VALUE"""),"Neutral")</f>
        <v>Neutral</v>
      </c>
      <c r="F546" s="122">
        <f>IFERROR(__xludf.DUMMYFUNCTION("""COMPUTED_VALUE"""),0.0)</f>
        <v>0</v>
      </c>
      <c r="G546" s="122">
        <f>IFERROR(__xludf.DUMMYFUNCTION("""COMPUTED_VALUE"""),0.0)</f>
        <v>0</v>
      </c>
      <c r="H546" s="122" t="str">
        <f>IFERROR(__xludf.DUMMYFUNCTION("""COMPUTED_VALUE"""),"Active")</f>
        <v>Active</v>
      </c>
    </row>
    <row r="547">
      <c r="A547" s="131">
        <f>IFERROR(__xludf.DUMMYFUNCTION("""COMPUTED_VALUE"""),46172.33096064815)</f>
        <v>46172.33096</v>
      </c>
      <c r="B547" s="122" t="str">
        <f>IFERROR(__xludf.DUMMYFUNCTION("""COMPUTED_VALUE"""),"BANK")</f>
        <v>BANK</v>
      </c>
      <c r="C547" s="122" t="str">
        <f>IFERROR(__xludf.DUMMYFUNCTION("""COMPUTED_VALUE"""),"Tiger Bank remains stable as the Finance market shows normal activity.")</f>
        <v>Tiger Bank remains stable as the Finance market shows normal activity.</v>
      </c>
      <c r="D547" s="122" t="str">
        <f>IFERROR(__xludf.DUMMYFUNCTION("""COMPUTED_VALUE"""),"Tiger Bank appears steady with no major changes reported.")</f>
        <v>Tiger Bank appears steady with no major changes reported.</v>
      </c>
      <c r="E547" s="122" t="str">
        <f>IFERROR(__xludf.DUMMYFUNCTION("""COMPUTED_VALUE"""),"Neutral")</f>
        <v>Neutral</v>
      </c>
      <c r="F547" s="122">
        <f>IFERROR(__xludf.DUMMYFUNCTION("""COMPUTED_VALUE"""),0.0)</f>
        <v>0</v>
      </c>
      <c r="G547" s="122">
        <f>IFERROR(__xludf.DUMMYFUNCTION("""COMPUTED_VALUE"""),0.0)</f>
        <v>0</v>
      </c>
      <c r="H547" s="122" t="str">
        <f>IFERROR(__xludf.DUMMYFUNCTION("""COMPUTED_VALUE"""),"Active")</f>
        <v>Active</v>
      </c>
    </row>
    <row r="548">
      <c r="A548" s="131">
        <f>IFERROR(__xludf.DUMMYFUNCTION("""COMPUTED_VALUE"""),46172.33096064815)</f>
        <v>46172.33096</v>
      </c>
      <c r="B548" s="122" t="str">
        <f>IFERROR(__xludf.DUMMYFUNCTION("""COMPUTED_VALUE"""),"CRED")</f>
        <v>CRED</v>
      </c>
      <c r="C548" s="122" t="str">
        <f>IFERROR(__xludf.DUMMYFUNCTION("""COMPUTED_VALUE"""),"Credit Castle faces weaker demand and cautious investor sentiment.")</f>
        <v>Credit Castle faces weaker demand and cautious investor sentiment.</v>
      </c>
      <c r="D548" s="122" t="str">
        <f>IFERROR(__xludf.DUMMYFUNCTION("""COMPUTED_VALUE"""),"Investors are watching Credit Castle closely as demand weakens.")</f>
        <v>Investors are watching Credit Castle closely as demand weakens.</v>
      </c>
      <c r="E548" s="122" t="str">
        <f>IFERROR(__xludf.DUMMYFUNCTION("""COMPUTED_VALUE"""),"Negative")</f>
        <v>Negative</v>
      </c>
      <c r="F548" s="122">
        <f>IFERROR(__xludf.DUMMYFUNCTION("""COMPUTED_VALUE"""),-0.015)</f>
        <v>-0.015</v>
      </c>
      <c r="G548" s="122">
        <f>IFERROR(__xludf.DUMMYFUNCTION("""COMPUTED_VALUE"""),0.75)</f>
        <v>0.75</v>
      </c>
      <c r="H548" s="122" t="str">
        <f>IFERROR(__xludf.DUMMYFUNCTION("""COMPUTED_VALUE"""),"Active")</f>
        <v>Active</v>
      </c>
    </row>
    <row r="549">
      <c r="A549" s="131">
        <f>IFERROR(__xludf.DUMMYFUNCTION("""COMPUTED_VALUE"""),46172.330972222226)</f>
        <v>46172.33097</v>
      </c>
      <c r="B549" s="122" t="str">
        <f>IFERROR(__xludf.DUMMYFUNCTION("""COMPUTED_VALUE"""),"BOND")</f>
        <v>BOND</v>
      </c>
      <c r="C549" s="122" t="str">
        <f>IFERROR(__xludf.DUMMYFUNCTION("""COMPUTED_VALUE"""),"BondBridge faces weaker demand and cautious investor sentiment.")</f>
        <v>BondBridge faces weaker demand and cautious investor sentiment.</v>
      </c>
      <c r="D549" s="122" t="str">
        <f>IFERROR(__xludf.DUMMYFUNCTION("""COMPUTED_VALUE"""),"Investors are watching BondBridge closely as demand weakens.")</f>
        <v>Investors are watching BondBridge closely as demand weakens.</v>
      </c>
      <c r="E549" s="122" t="str">
        <f>IFERROR(__xludf.DUMMYFUNCTION("""COMPUTED_VALUE"""),"Negative")</f>
        <v>Negative</v>
      </c>
      <c r="F549" s="122">
        <f>IFERROR(__xludf.DUMMYFUNCTION("""COMPUTED_VALUE"""),-0.015)</f>
        <v>-0.015</v>
      </c>
      <c r="G549" s="122">
        <f>IFERROR(__xludf.DUMMYFUNCTION("""COMPUTED_VALUE"""),0.75)</f>
        <v>0.75</v>
      </c>
      <c r="H549" s="122" t="str">
        <f>IFERROR(__xludf.DUMMYFUNCTION("""COMPUTED_VALUE"""),"Active")</f>
        <v>Active</v>
      </c>
    </row>
    <row r="550">
      <c r="A550" s="131">
        <f>IFERROR(__xludf.DUMMYFUNCTION("""COMPUTED_VALUE"""),46172.330972222226)</f>
        <v>46172.33097</v>
      </c>
      <c r="B550" s="122" t="str">
        <f>IFERROR(__xludf.DUMMYFUNCTION("""COMPUTED_VALUE"""),"INSR")</f>
        <v>INSR</v>
      </c>
      <c r="C550" s="122" t="str">
        <f>IFERROR(__xludf.DUMMYFUNCTION("""COMPUTED_VALUE"""),"Shield Insurance drops sharply after major concerns hit the market.")</f>
        <v>Shield Insurance drops sharply after major concerns hit the market.</v>
      </c>
      <c r="D550" s="122" t="str">
        <f>IFERROR(__xludf.DUMMYFUNCTION("""COMPUTED_VALUE"""),"Shield Insurance is under pressure as investors react to worsening conditions.")</f>
        <v>Shield Insurance is under pressure as investors react to worsening conditions.</v>
      </c>
      <c r="E550" s="122" t="str">
        <f>IFERROR(__xludf.DUMMYFUNCTION("""COMPUTED_VALUE"""),"Negative")</f>
        <v>Negative</v>
      </c>
      <c r="F550" s="122">
        <f>IFERROR(__xludf.DUMMYFUNCTION("""COMPUTED_VALUE"""),-0.04)</f>
        <v>-0.04</v>
      </c>
      <c r="G550" s="122">
        <f>IFERROR(__xludf.DUMMYFUNCTION("""COMPUTED_VALUE"""),2.0)</f>
        <v>2</v>
      </c>
      <c r="H550" s="122" t="str">
        <f>IFERROR(__xludf.DUMMYFUNCTION("""COMPUTED_VALUE"""),"Active")</f>
        <v>Active</v>
      </c>
    </row>
    <row r="551">
      <c r="A551" s="131">
        <f>IFERROR(__xludf.DUMMYFUNCTION("""COMPUTED_VALUE"""),46172.330972222226)</f>
        <v>46172.33097</v>
      </c>
      <c r="B551" s="122" t="str">
        <f>IFERROR(__xludf.DUMMYFUNCTION("""COMPUTED_VALUE"""),"LOAN")</f>
        <v>LOAN</v>
      </c>
      <c r="C551" s="122" t="str">
        <f>IFERROR(__xludf.DUMMYFUNCTION("""COMPUTED_VALUE"""),"LoanLab remains stable as the Finance market shows normal activity.")</f>
        <v>LoanLab remains stable as the Finance market shows normal activity.</v>
      </c>
      <c r="D551" s="122" t="str">
        <f>IFERROR(__xludf.DUMMYFUNCTION("""COMPUTED_VALUE"""),"LoanLab appears steady with no major changes reported.")</f>
        <v>LoanLab appears steady with no major changes reported.</v>
      </c>
      <c r="E551" s="122" t="str">
        <f>IFERROR(__xludf.DUMMYFUNCTION("""COMPUTED_VALUE"""),"Neutral")</f>
        <v>Neutral</v>
      </c>
      <c r="F551" s="122">
        <f>IFERROR(__xludf.DUMMYFUNCTION("""COMPUTED_VALUE"""),0.0)</f>
        <v>0</v>
      </c>
      <c r="G551" s="122">
        <f>IFERROR(__xludf.DUMMYFUNCTION("""COMPUTED_VALUE"""),0.0)</f>
        <v>0</v>
      </c>
      <c r="H551" s="122" t="str">
        <f>IFERROR(__xludf.DUMMYFUNCTION("""COMPUTED_VALUE"""),"Active")</f>
        <v>Active</v>
      </c>
    </row>
    <row r="552">
      <c r="A552" s="131">
        <f>IFERROR(__xludf.DUMMYFUNCTION("""COMPUTED_VALUE"""),46172.330983796295)</f>
        <v>46172.33098</v>
      </c>
      <c r="B552" s="122" t="str">
        <f>IFERROR(__xludf.DUMMYFUNCTION("""COMPUTED_VALUE"""),"LUXE")</f>
        <v>LUXE</v>
      </c>
      <c r="C552" s="122" t="str">
        <f>IFERROR(__xludf.DUMMYFUNCTION("""COMPUTED_VALUE"""),"Luxury Locker faces weaker demand and cautious investor sentiment.")</f>
        <v>Luxury Locker faces weaker demand and cautious investor sentiment.</v>
      </c>
      <c r="D552" s="122" t="str">
        <f>IFERROR(__xludf.DUMMYFUNCTION("""COMPUTED_VALUE"""),"Investors are watching Luxury Locker closely as demand weakens.")</f>
        <v>Investors are watching Luxury Locker closely as demand weakens.</v>
      </c>
      <c r="E552" s="122" t="str">
        <f>IFERROR(__xludf.DUMMYFUNCTION("""COMPUTED_VALUE"""),"Negative")</f>
        <v>Negative</v>
      </c>
      <c r="F552" s="122">
        <f>IFERROR(__xludf.DUMMYFUNCTION("""COMPUTED_VALUE"""),-0.015)</f>
        <v>-0.015</v>
      </c>
      <c r="G552" s="122">
        <f>IFERROR(__xludf.DUMMYFUNCTION("""COMPUTED_VALUE"""),0.75)</f>
        <v>0.75</v>
      </c>
      <c r="H552" s="122" t="str">
        <f>IFERROR(__xludf.DUMMYFUNCTION("""COMPUTED_VALUE"""),"Active")</f>
        <v>Active</v>
      </c>
    </row>
    <row r="553">
      <c r="A553" s="131">
        <f>IFERROR(__xludf.DUMMYFUNCTION("""COMPUTED_VALUE"""),46172.330983796295)</f>
        <v>46172.33098</v>
      </c>
      <c r="B553" s="122" t="str">
        <f>IFERROR(__xludf.DUMMYFUNCTION("""COMPUTED_VALUE"""),"DRIP")</f>
        <v>DRIP</v>
      </c>
      <c r="C553" s="122" t="str">
        <f>IFERROR(__xludf.DUMMYFUNCTION("""COMPUTED_VALUE"""),"Drip Streetwear faces weaker demand and cautious investor sentiment.")</f>
        <v>Drip Streetwear faces weaker demand and cautious investor sentiment.</v>
      </c>
      <c r="D553" s="122" t="str">
        <f>IFERROR(__xludf.DUMMYFUNCTION("""COMPUTED_VALUE"""),"Investors are watching Drip Streetwear closely as demand weakens.")</f>
        <v>Investors are watching Drip Streetwear closely as demand weakens.</v>
      </c>
      <c r="E553" s="122" t="str">
        <f>IFERROR(__xludf.DUMMYFUNCTION("""COMPUTED_VALUE"""),"Negative")</f>
        <v>Negative</v>
      </c>
      <c r="F553" s="122">
        <f>IFERROR(__xludf.DUMMYFUNCTION("""COMPUTED_VALUE"""),-0.015)</f>
        <v>-0.015</v>
      </c>
      <c r="G553" s="122">
        <f>IFERROR(__xludf.DUMMYFUNCTION("""COMPUTED_VALUE"""),0.75)</f>
        <v>0.75</v>
      </c>
      <c r="H553" s="122" t="str">
        <f>IFERROR(__xludf.DUMMYFUNCTION("""COMPUTED_VALUE"""),"Active")</f>
        <v>Active</v>
      </c>
    </row>
    <row r="554">
      <c r="A554" s="131">
        <f>IFERROR(__xludf.DUMMYFUNCTION("""COMPUTED_VALUE"""),46172.330983796295)</f>
        <v>46172.33098</v>
      </c>
      <c r="B554" s="122" t="str">
        <f>IFERROR(__xludf.DUMMYFUNCTION("""COMPUTED_VALUE"""),"KICK")</f>
        <v>KICK</v>
      </c>
      <c r="C554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554" s="122" t="str">
        <f>IFERROR(__xludf.DUMMYFUNCTION("""COMPUTED_VALUE"""),"KickDrop Sneakers appears steady with no major changes reported.")</f>
        <v>KickDrop Sneakers appears steady with no major changes reported.</v>
      </c>
      <c r="E554" s="122" t="str">
        <f>IFERROR(__xludf.DUMMYFUNCTION("""COMPUTED_VALUE"""),"Neutral")</f>
        <v>Neutral</v>
      </c>
      <c r="F554" s="122">
        <f>IFERROR(__xludf.DUMMYFUNCTION("""COMPUTED_VALUE"""),0.0)</f>
        <v>0</v>
      </c>
      <c r="G554" s="122">
        <f>IFERROR(__xludf.DUMMYFUNCTION("""COMPUTED_VALUE"""),0.0)</f>
        <v>0</v>
      </c>
      <c r="H554" s="122" t="str">
        <f>IFERROR(__xludf.DUMMYFUNCTION("""COMPUTED_VALUE"""),"Active")</f>
        <v>Active</v>
      </c>
    </row>
    <row r="555">
      <c r="A555" s="131">
        <f>IFERROR(__xludf.DUMMYFUNCTION("""COMPUTED_VALUE"""),46172.33099537037)</f>
        <v>46172.331</v>
      </c>
      <c r="B555" s="122" t="str">
        <f>IFERROR(__xludf.DUMMYFUNCTION("""COMPUTED_VALUE"""),"GLAM")</f>
        <v>GLAM</v>
      </c>
      <c r="C555" s="122" t="str">
        <f>IFERROR(__xludf.DUMMYFUNCTION("""COMPUTED_VALUE"""),"Glow Cosmetics reports steady growth and improved market confidence.")</f>
        <v>Glow Cosmetics reports steady growth and improved market confidence.</v>
      </c>
      <c r="D555" s="122" t="str">
        <f>IFERROR(__xludf.DUMMYFUNCTION("""COMPUTED_VALUE"""),"Glow Cosmetics continues to show positive momentum with moderate risk.")</f>
        <v>Glow Cosmetics continues to show positive momentum with moderate risk.</v>
      </c>
      <c r="E555" s="122" t="str">
        <f>IFERROR(__xludf.DUMMYFUNCTION("""COMPUTED_VALUE"""),"Positive")</f>
        <v>Positive</v>
      </c>
      <c r="F555" s="122">
        <f>IFERROR(__xludf.DUMMYFUNCTION("""COMPUTED_VALUE"""),0.015)</f>
        <v>0.015</v>
      </c>
      <c r="G555" s="122">
        <f>IFERROR(__xludf.DUMMYFUNCTION("""COMPUTED_VALUE"""),0.5)</f>
        <v>0.5</v>
      </c>
      <c r="H555" s="122" t="str">
        <f>IFERROR(__xludf.DUMMYFUNCTION("""COMPUTED_VALUE"""),"Active")</f>
        <v>Active</v>
      </c>
    </row>
    <row r="556">
      <c r="A556" s="131">
        <f>IFERROR(__xludf.DUMMYFUNCTION("""COMPUTED_VALUE"""),46172.33099537037)</f>
        <v>46172.331</v>
      </c>
      <c r="B556" s="122" t="str">
        <f>IFERROR(__xludf.DUMMYFUNCTION("""COMPUTED_VALUE"""),"BAGG")</f>
        <v>BAGG</v>
      </c>
      <c r="C556" s="122" t="str">
        <f>IFERROR(__xludf.DUMMYFUNCTION("""COMPUTED_VALUE"""),"BagVault remains stable as the Fashion market shows normal activity.")</f>
        <v>BagVault remains stable as the Fashion market shows normal activity.</v>
      </c>
      <c r="D556" s="122" t="str">
        <f>IFERROR(__xludf.DUMMYFUNCTION("""COMPUTED_VALUE"""),"BagVault appears steady with no major changes reported.")</f>
        <v>BagVault appears steady with no major changes reported.</v>
      </c>
      <c r="E556" s="122" t="str">
        <f>IFERROR(__xludf.DUMMYFUNCTION("""COMPUTED_VALUE"""),"Neutral")</f>
        <v>Neutral</v>
      </c>
      <c r="F556" s="122">
        <f>IFERROR(__xludf.DUMMYFUNCTION("""COMPUTED_VALUE"""),0.0)</f>
        <v>0</v>
      </c>
      <c r="G556" s="122">
        <f>IFERROR(__xludf.DUMMYFUNCTION("""COMPUTED_VALUE"""),0.0)</f>
        <v>0</v>
      </c>
      <c r="H556" s="122" t="str">
        <f>IFERROR(__xludf.DUMMYFUNCTION("""COMPUTED_VALUE"""),"Active")</f>
        <v>Active</v>
      </c>
    </row>
    <row r="557">
      <c r="A557" s="131">
        <f>IFERROR(__xludf.DUMMYFUNCTION("""COMPUTED_VALUE"""),46172.33099537037)</f>
        <v>46172.331</v>
      </c>
      <c r="B557" s="122" t="str">
        <f>IFERROR(__xludf.DUMMYFUNCTION("""COMPUTED_VALUE"""),"FAST")</f>
        <v>FAST</v>
      </c>
      <c r="C557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557" s="122" t="str">
        <f>IFERROR(__xludf.DUMMYFUNCTION("""COMPUTED_VALUE"""),"Flash Logistics appears steady with no major changes reported.")</f>
        <v>Flash Logistics appears steady with no major changes reported.</v>
      </c>
      <c r="E557" s="122" t="str">
        <f>IFERROR(__xludf.DUMMYFUNCTION("""COMPUTED_VALUE"""),"Neutral")</f>
        <v>Neutral</v>
      </c>
      <c r="F557" s="122">
        <f>IFERROR(__xludf.DUMMYFUNCTION("""COMPUTED_VALUE"""),0.0)</f>
        <v>0</v>
      </c>
      <c r="G557" s="122">
        <f>IFERROR(__xludf.DUMMYFUNCTION("""COMPUTED_VALUE"""),0.0)</f>
        <v>0</v>
      </c>
      <c r="H557" s="122" t="str">
        <f>IFERROR(__xludf.DUMMYFUNCTION("""COMPUTED_VALUE"""),"Active")</f>
        <v>Active</v>
      </c>
    </row>
    <row r="558">
      <c r="A558" s="131">
        <f>IFERROR(__xludf.DUMMYFUNCTION("""COMPUTED_VALUE"""),46172.33100694444)</f>
        <v>46172.33101</v>
      </c>
      <c r="B558" s="122" t="str">
        <f>IFERROR(__xludf.DUMMYFUNCTION("""COMPUTED_VALUE"""),"SHIP")</f>
        <v>SHIP</v>
      </c>
      <c r="C558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558" s="122" t="str">
        <f>IFERROR(__xludf.DUMMYFUNCTION("""COMPUTED_VALUE"""),"Seoul Shipping appears steady with no major changes reported.")</f>
        <v>Seoul Shipping appears steady with no major changes reported.</v>
      </c>
      <c r="E558" s="122" t="str">
        <f>IFERROR(__xludf.DUMMYFUNCTION("""COMPUTED_VALUE"""),"Neutral")</f>
        <v>Neutral</v>
      </c>
      <c r="F558" s="122">
        <f>IFERROR(__xludf.DUMMYFUNCTION("""COMPUTED_VALUE"""),0.0)</f>
        <v>0</v>
      </c>
      <c r="G558" s="122">
        <f>IFERROR(__xludf.DUMMYFUNCTION("""COMPUTED_VALUE"""),0.0)</f>
        <v>0</v>
      </c>
      <c r="H558" s="122" t="str">
        <f>IFERROR(__xludf.DUMMYFUNCTION("""COMPUTED_VALUE"""),"Active")</f>
        <v>Active</v>
      </c>
    </row>
    <row r="559">
      <c r="A559" s="131">
        <f>IFERROR(__xludf.DUMMYFUNCTION("""COMPUTED_VALUE"""),46172.33100694444)</f>
        <v>46172.33101</v>
      </c>
      <c r="B559" s="122" t="str">
        <f>IFERROR(__xludf.DUMMYFUNCTION("""COMPUTED_VALUE"""),"DRON")</f>
        <v>DRON</v>
      </c>
      <c r="C559" s="122" t="str">
        <f>IFERROR(__xludf.DUMMYFUNCTION("""COMPUTED_VALUE"""),"DroneDrop remains stable as the Logistics market shows normal activity.")</f>
        <v>DroneDrop remains stable as the Logistics market shows normal activity.</v>
      </c>
      <c r="D559" s="122" t="str">
        <f>IFERROR(__xludf.DUMMYFUNCTION("""COMPUTED_VALUE"""),"DroneDrop appears steady with no major changes reported.")</f>
        <v>DroneDrop appears steady with no major changes reported.</v>
      </c>
      <c r="E559" s="122" t="str">
        <f>IFERROR(__xludf.DUMMYFUNCTION("""COMPUTED_VALUE"""),"Neutral")</f>
        <v>Neutral</v>
      </c>
      <c r="F559" s="122">
        <f>IFERROR(__xludf.DUMMYFUNCTION("""COMPUTED_VALUE"""),0.0)</f>
        <v>0</v>
      </c>
      <c r="G559" s="122">
        <f>IFERROR(__xludf.DUMMYFUNCTION("""COMPUTED_VALUE"""),0.0)</f>
        <v>0</v>
      </c>
      <c r="H559" s="122" t="str">
        <f>IFERROR(__xludf.DUMMYFUNCTION("""COMPUTED_VALUE"""),"Active")</f>
        <v>Active</v>
      </c>
    </row>
    <row r="560">
      <c r="A560" s="131">
        <f>IFERROR(__xludf.DUMMYFUNCTION("""COMPUTED_VALUE"""),46172.33100694444)</f>
        <v>46172.33101</v>
      </c>
      <c r="B560" s="122" t="str">
        <f>IFERROR(__xludf.DUMMYFUNCTION("""COMPUTED_VALUE"""),"RIDE")</f>
        <v>RIDE</v>
      </c>
      <c r="C560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560" s="122" t="str">
        <f>IFERROR(__xludf.DUMMYFUNCTION("""COMPUTED_VALUE"""),"QuickRide appears steady with no major changes reported.")</f>
        <v>QuickRide appears steady with no major changes reported.</v>
      </c>
      <c r="E560" s="122" t="str">
        <f>IFERROR(__xludf.DUMMYFUNCTION("""COMPUTED_VALUE"""),"Neutral")</f>
        <v>Neutral</v>
      </c>
      <c r="F560" s="122">
        <f>IFERROR(__xludf.DUMMYFUNCTION("""COMPUTED_VALUE"""),0.0)</f>
        <v>0</v>
      </c>
      <c r="G560" s="122">
        <f>IFERROR(__xludf.DUMMYFUNCTION("""COMPUTED_VALUE"""),0.0)</f>
        <v>0</v>
      </c>
      <c r="H560" s="122" t="str">
        <f>IFERROR(__xludf.DUMMYFUNCTION("""COMPUTED_VALUE"""),"Active")</f>
        <v>Active</v>
      </c>
    </row>
    <row r="561">
      <c r="A561" s="131">
        <f>IFERROR(__xludf.DUMMYFUNCTION("""COMPUTED_VALUE"""),46172.33101851852)</f>
        <v>46172.33102</v>
      </c>
      <c r="B561" s="122" t="str">
        <f>IFERROR(__xludf.DUMMYFUNCTION("""COMPUTED_VALUE"""),"RAIL")</f>
        <v>RAIL</v>
      </c>
      <c r="C561" s="122" t="str">
        <f>IFERROR(__xludf.DUMMYFUNCTION("""COMPUTED_VALUE"""),"MetroRail Corp sees uncertain trading as investors react to mixed signals.")</f>
        <v>MetroRail Corp sees uncertain trading as investors react to mixed signals.</v>
      </c>
      <c r="D561" s="122" t="str">
        <f>IFERROR(__xludf.DUMMYFUNCTION("""COMPUTED_VALUE"""),"MetroRail Corp may experience larger price swings as investors disagree on direction.")</f>
        <v>MetroRail Corp may experience larger price swings as investors disagree on direction.</v>
      </c>
      <c r="E561" s="122" t="str">
        <f>IFERROR(__xludf.DUMMYFUNCTION("""COMPUTED_VALUE"""),"Mixed")</f>
        <v>Mixed</v>
      </c>
      <c r="F561" s="122">
        <f>IFERROR(__xludf.DUMMYFUNCTION("""COMPUTED_VALUE"""),-0.0071528017643396336)</f>
        <v>-0.007152801764</v>
      </c>
      <c r="G561" s="122">
        <f>IFERROR(__xludf.DUMMYFUNCTION("""COMPUTED_VALUE"""),1.5)</f>
        <v>1.5</v>
      </c>
      <c r="H561" s="122" t="str">
        <f>IFERROR(__xludf.DUMMYFUNCTION("""COMPUTED_VALUE"""),"Active")</f>
        <v>Active</v>
      </c>
    </row>
    <row r="562">
      <c r="A562" s="131">
        <f>IFERROR(__xludf.DUMMYFUNCTION("""COMPUTED_VALUE"""),46172.33101851852)</f>
        <v>46172.33102</v>
      </c>
      <c r="B562" s="122" t="str">
        <f>IFERROR(__xludf.DUMMYFUNCTION("""COMPUTED_VALUE"""),"MEDX")</f>
        <v>MEDX</v>
      </c>
      <c r="C562" s="122" t="str">
        <f>IFERROR(__xludf.DUMMYFUNCTION("""COMPUTED_VALUE"""),"MediCore sees uncertain trading as investors react to mixed signals.")</f>
        <v>MediCore sees uncertain trading as investors react to mixed signals.</v>
      </c>
      <c r="D562" s="122" t="str">
        <f>IFERROR(__xludf.DUMMYFUNCTION("""COMPUTED_VALUE"""),"MediCore may experience larger price swings as investors disagree on direction.")</f>
        <v>MediCore may experience larger price swings as investors disagree on direction.</v>
      </c>
      <c r="E562" s="122" t="str">
        <f>IFERROR(__xludf.DUMMYFUNCTION("""COMPUTED_VALUE"""),"Mixed")</f>
        <v>Mixed</v>
      </c>
      <c r="F562" s="122">
        <f>IFERROR(__xludf.DUMMYFUNCTION("""COMPUTED_VALUE"""),0.012442830183093976)</f>
        <v>0.01244283018</v>
      </c>
      <c r="G562" s="122">
        <f>IFERROR(__xludf.DUMMYFUNCTION("""COMPUTED_VALUE"""),1.5)</f>
        <v>1.5</v>
      </c>
      <c r="H562" s="122" t="str">
        <f>IFERROR(__xludf.DUMMYFUNCTION("""COMPUTED_VALUE"""),"Active")</f>
        <v>Active</v>
      </c>
    </row>
    <row r="563">
      <c r="A563" s="131">
        <f>IFERROR(__xludf.DUMMYFUNCTION("""COMPUTED_VALUE"""),46172.331030092595)</f>
        <v>46172.33103</v>
      </c>
      <c r="B563" s="122" t="str">
        <f>IFERROR(__xludf.DUMMYFUNCTION("""COMPUTED_VALUE"""),"GYMX")</f>
        <v>GYMX</v>
      </c>
      <c r="C563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563" s="122" t="str">
        <f>IFERROR(__xludf.DUMMYFUNCTION("""COMPUTED_VALUE"""),"GymX Fitness appears steady with no major changes reported.")</f>
        <v>GymX Fitness appears steady with no major changes reported.</v>
      </c>
      <c r="E563" s="122" t="str">
        <f>IFERROR(__xludf.DUMMYFUNCTION("""COMPUTED_VALUE"""),"Neutral")</f>
        <v>Neutral</v>
      </c>
      <c r="F563" s="122">
        <f>IFERROR(__xludf.DUMMYFUNCTION("""COMPUTED_VALUE"""),0.0)</f>
        <v>0</v>
      </c>
      <c r="G563" s="122">
        <f>IFERROR(__xludf.DUMMYFUNCTION("""COMPUTED_VALUE"""),0.0)</f>
        <v>0</v>
      </c>
      <c r="H563" s="122" t="str">
        <f>IFERROR(__xludf.DUMMYFUNCTION("""COMPUTED_VALUE"""),"Active")</f>
        <v>Active</v>
      </c>
    </row>
    <row r="564">
      <c r="A564" s="131">
        <f>IFERROR(__xludf.DUMMYFUNCTION("""COMPUTED_VALUE"""),46172.331030092595)</f>
        <v>46172.33103</v>
      </c>
      <c r="B564" s="122" t="str">
        <f>IFERROR(__xludf.DUMMYFUNCTION("""COMPUTED_VALUE"""),"VITA")</f>
        <v>VITA</v>
      </c>
      <c r="C564" s="122" t="str">
        <f>IFERROR(__xludf.DUMMYFUNCTION("""COMPUTED_VALUE"""),"VitaPlus surges as demand rises across the Healthcare sector.")</f>
        <v>VitaPlus surges as demand rises across the Healthcare sector.</v>
      </c>
      <c r="D564" s="122" t="str">
        <f>IFERROR(__xludf.DUMMYFUNCTION("""COMPUTED_VALUE"""),"VitaPlus is seeing strong demand, which may increase investor confidence.")</f>
        <v>VitaPlus is seeing strong demand, which may increase investor confidence.</v>
      </c>
      <c r="E564" s="122" t="str">
        <f>IFERROR(__xludf.DUMMYFUNCTION("""COMPUTED_VALUE"""),"Positive")</f>
        <v>Positive</v>
      </c>
      <c r="F564" s="122">
        <f>IFERROR(__xludf.DUMMYFUNCTION("""COMPUTED_VALUE"""),0.03)</f>
        <v>0.03</v>
      </c>
      <c r="G564" s="122">
        <f>IFERROR(__xludf.DUMMYFUNCTION("""COMPUTED_VALUE"""),1.0)</f>
        <v>1</v>
      </c>
      <c r="H564" s="122" t="str">
        <f>IFERROR(__xludf.DUMMYFUNCTION("""COMPUTED_VALUE"""),"Active")</f>
        <v>Active</v>
      </c>
    </row>
    <row r="565">
      <c r="A565" s="131">
        <f>IFERROR(__xludf.DUMMYFUNCTION("""COMPUTED_VALUE"""),46172.331030092595)</f>
        <v>46172.33103</v>
      </c>
      <c r="B565" s="122" t="str">
        <f>IFERROR(__xludf.DUMMYFUNCTION("""COMPUTED_VALUE"""),"CARE")</f>
        <v>CARE</v>
      </c>
      <c r="C565" s="122" t="str">
        <f>IFERROR(__xludf.DUMMYFUNCTION("""COMPUTED_VALUE"""),"CareCloud faces weaker demand and cautious investor sentiment.")</f>
        <v>CareCloud faces weaker demand and cautious investor sentiment.</v>
      </c>
      <c r="D565" s="122" t="str">
        <f>IFERROR(__xludf.DUMMYFUNCTION("""COMPUTED_VALUE"""),"Investors are watching CareCloud closely as demand weakens.")</f>
        <v>Investors are watching CareCloud closely as demand weakens.</v>
      </c>
      <c r="E565" s="122" t="str">
        <f>IFERROR(__xludf.DUMMYFUNCTION("""COMPUTED_VALUE"""),"Negative")</f>
        <v>Negative</v>
      </c>
      <c r="F565" s="122">
        <f>IFERROR(__xludf.DUMMYFUNCTION("""COMPUTED_VALUE"""),-0.015)</f>
        <v>-0.015</v>
      </c>
      <c r="G565" s="122">
        <f>IFERROR(__xludf.DUMMYFUNCTION("""COMPUTED_VALUE"""),0.75)</f>
        <v>0.75</v>
      </c>
      <c r="H565" s="122" t="str">
        <f>IFERROR(__xludf.DUMMYFUNCTION("""COMPUTED_VALUE"""),"Active")</f>
        <v>Active</v>
      </c>
    </row>
    <row r="566">
      <c r="A566" s="131">
        <f>IFERROR(__xludf.DUMMYFUNCTION("""COMPUTED_VALUE"""),46172.331041666665)</f>
        <v>46172.33104</v>
      </c>
      <c r="B566" s="122" t="str">
        <f>IFERROR(__xludf.DUMMYFUNCTION("""COMPUTED_VALUE"""),"DENT")</f>
        <v>DENT</v>
      </c>
      <c r="C566" s="122" t="str">
        <f>IFERROR(__xludf.DUMMYFUNCTION("""COMPUTED_VALUE"""),"SmileWorks remains stable as the Healthcare market shows normal activity.")</f>
        <v>SmileWorks remains stable as the Healthcare market shows normal activity.</v>
      </c>
      <c r="D566" s="122" t="str">
        <f>IFERROR(__xludf.DUMMYFUNCTION("""COMPUTED_VALUE"""),"SmileWorks appears steady with no major changes reported.")</f>
        <v>SmileWorks appears steady with no major changes reported.</v>
      </c>
      <c r="E566" s="122" t="str">
        <f>IFERROR(__xludf.DUMMYFUNCTION("""COMPUTED_VALUE"""),"Neutral")</f>
        <v>Neutral</v>
      </c>
      <c r="F566" s="122">
        <f>IFERROR(__xludf.DUMMYFUNCTION("""COMPUTED_VALUE"""),0.0)</f>
        <v>0</v>
      </c>
      <c r="G566" s="122">
        <f>IFERROR(__xludf.DUMMYFUNCTION("""COMPUTED_VALUE"""),0.0)</f>
        <v>0</v>
      </c>
      <c r="H566" s="122" t="str">
        <f>IFERROR(__xludf.DUMMYFUNCTION("""COMPUTED_VALUE"""),"Active")</f>
        <v>Active</v>
      </c>
    </row>
    <row r="567">
      <c r="A567" s="131">
        <f>IFERROR(__xludf.DUMMYFUNCTION("""COMPUTED_VALUE"""),46172.33105324074)</f>
        <v>46172.33105</v>
      </c>
      <c r="B567" s="122" t="str">
        <f>IFERROR(__xludf.DUMMYFUNCTION("""COMPUTED_VALUE"""),"EDUX")</f>
        <v>EDUX</v>
      </c>
      <c r="C567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567" s="122" t="str">
        <f>IFERROR(__xludf.DUMMYFUNCTION("""COMPUTED_VALUE"""),"EduMax Learning appears steady with no major changes reported.")</f>
        <v>EduMax Learning appears steady with no major changes reported.</v>
      </c>
      <c r="E567" s="122" t="str">
        <f>IFERROR(__xludf.DUMMYFUNCTION("""COMPUTED_VALUE"""),"Neutral")</f>
        <v>Neutral</v>
      </c>
      <c r="F567" s="122">
        <f>IFERROR(__xludf.DUMMYFUNCTION("""COMPUTED_VALUE"""),0.0)</f>
        <v>0</v>
      </c>
      <c r="G567" s="122">
        <f>IFERROR(__xludf.DUMMYFUNCTION("""COMPUTED_VALUE"""),0.0)</f>
        <v>0</v>
      </c>
      <c r="H567" s="122" t="str">
        <f>IFERROR(__xludf.DUMMYFUNCTION("""COMPUTED_VALUE"""),"Active")</f>
        <v>Active</v>
      </c>
    </row>
    <row r="568">
      <c r="A568" s="131">
        <f>IFERROR(__xludf.DUMMYFUNCTION("""COMPUTED_VALUE"""),46172.33105324074)</f>
        <v>46172.33105</v>
      </c>
      <c r="B568" s="122" t="str">
        <f>IFERROR(__xludf.DUMMYFUNCTION("""COMPUTED_VALUE"""),"BOOK")</f>
        <v>BOOK</v>
      </c>
      <c r="C568" s="122" t="str">
        <f>IFERROR(__xludf.DUMMYFUNCTION("""COMPUTED_VALUE"""),"BookBridge surges as demand rises across the Education sector.")</f>
        <v>BookBridge surges as demand rises across the Education sector.</v>
      </c>
      <c r="D568" s="122" t="str">
        <f>IFERROR(__xludf.DUMMYFUNCTION("""COMPUTED_VALUE"""),"BookBridge is seeing strong demand, which may increase investor confidence.")</f>
        <v>BookBridge is seeing strong demand, which may increase investor confidence.</v>
      </c>
      <c r="E568" s="122" t="str">
        <f>IFERROR(__xludf.DUMMYFUNCTION("""COMPUTED_VALUE"""),"Positive")</f>
        <v>Positive</v>
      </c>
      <c r="F568" s="122">
        <f>IFERROR(__xludf.DUMMYFUNCTION("""COMPUTED_VALUE"""),0.03)</f>
        <v>0.03</v>
      </c>
      <c r="G568" s="122">
        <f>IFERROR(__xludf.DUMMYFUNCTION("""COMPUTED_VALUE"""),1.0)</f>
        <v>1</v>
      </c>
      <c r="H568" s="122" t="str">
        <f>IFERROR(__xludf.DUMMYFUNCTION("""COMPUTED_VALUE"""),"Active")</f>
        <v>Active</v>
      </c>
    </row>
    <row r="569">
      <c r="A569" s="131">
        <f>IFERROR(__xludf.DUMMYFUNCTION("""COMPUTED_VALUE"""),46172.33105324074)</f>
        <v>46172.33105</v>
      </c>
      <c r="B569" s="122" t="str">
        <f>IFERROR(__xludf.DUMMYFUNCTION("""COMPUTED_VALUE"""),"TUTR")</f>
        <v>TUTR</v>
      </c>
      <c r="C569" s="122" t="str">
        <f>IFERROR(__xludf.DUMMYFUNCTION("""COMPUTED_VALUE"""),"TutorTown remains stable as the Education market shows normal activity.")</f>
        <v>TutorTown remains stable as the Education market shows normal activity.</v>
      </c>
      <c r="D569" s="122" t="str">
        <f>IFERROR(__xludf.DUMMYFUNCTION("""COMPUTED_VALUE"""),"TutorTown appears steady with no major changes reported.")</f>
        <v>TutorTown appears steady with no major changes reported.</v>
      </c>
      <c r="E569" s="122" t="str">
        <f>IFERROR(__xludf.DUMMYFUNCTION("""COMPUTED_VALUE"""),"Neutral")</f>
        <v>Neutral</v>
      </c>
      <c r="F569" s="122">
        <f>IFERROR(__xludf.DUMMYFUNCTION("""COMPUTED_VALUE"""),0.0)</f>
        <v>0</v>
      </c>
      <c r="G569" s="122">
        <f>IFERROR(__xludf.DUMMYFUNCTION("""COMPUTED_VALUE"""),0.0)</f>
        <v>0</v>
      </c>
      <c r="H569" s="122" t="str">
        <f>IFERROR(__xludf.DUMMYFUNCTION("""COMPUTED_VALUE"""),"Active")</f>
        <v>Active</v>
      </c>
    </row>
    <row r="570">
      <c r="A570" s="131">
        <f>IFERROR(__xludf.DUMMYFUNCTION("""COMPUTED_VALUE"""),46172.33106481482)</f>
        <v>46172.33106</v>
      </c>
      <c r="B570" s="122" t="str">
        <f>IFERROR(__xludf.DUMMYFUNCTION("""COMPUTED_VALUE"""),"LANG")</f>
        <v>LANG</v>
      </c>
      <c r="C570" s="122" t="str">
        <f>IFERROR(__xludf.DUMMYFUNCTION("""COMPUTED_VALUE"""),"LinguaLab remains stable as the Education market shows normal activity.")</f>
        <v>LinguaLab remains stable as the Education market shows normal activity.</v>
      </c>
      <c r="D570" s="122" t="str">
        <f>IFERROR(__xludf.DUMMYFUNCTION("""COMPUTED_VALUE"""),"LinguaLab appears steady with no major changes reported.")</f>
        <v>LinguaLab appears steady with no major changes reported.</v>
      </c>
      <c r="E570" s="122" t="str">
        <f>IFERROR(__xludf.DUMMYFUNCTION("""COMPUTED_VALUE"""),"Neutral")</f>
        <v>Neutral</v>
      </c>
      <c r="F570" s="122">
        <f>IFERROR(__xludf.DUMMYFUNCTION("""COMPUTED_VALUE"""),0.0)</f>
        <v>0</v>
      </c>
      <c r="G570" s="122">
        <f>IFERROR(__xludf.DUMMYFUNCTION("""COMPUTED_VALUE"""),0.0)</f>
        <v>0</v>
      </c>
      <c r="H570" s="122" t="str">
        <f>IFERROR(__xludf.DUMMYFUNCTION("""COMPUTED_VALUE"""),"Active")</f>
        <v>Active</v>
      </c>
    </row>
    <row r="571">
      <c r="A571" s="131">
        <f>IFERROR(__xludf.DUMMYFUNCTION("""COMPUTED_VALUE"""),46172.33107638889)</f>
        <v>46172.33108</v>
      </c>
      <c r="B571" s="122" t="str">
        <f>IFERROR(__xludf.DUMMYFUNCTION("""COMPUTED_VALUE"""),"TEST")</f>
        <v>TEST</v>
      </c>
      <c r="C571" s="122" t="str">
        <f>IFERROR(__xludf.DUMMYFUNCTION("""COMPUTED_VALUE"""),"TestPrep Pro remains stable as the Education market shows normal activity.")</f>
        <v>TestPrep Pro remains stable as the Education market shows normal activity.</v>
      </c>
      <c r="D571" s="122" t="str">
        <f>IFERROR(__xludf.DUMMYFUNCTION("""COMPUTED_VALUE"""),"TestPrep Pro appears steady with no major changes reported.")</f>
        <v>TestPrep Pro appears steady with no major changes reported.</v>
      </c>
      <c r="E571" s="122" t="str">
        <f>IFERROR(__xludf.DUMMYFUNCTION("""COMPUTED_VALUE"""),"Neutral")</f>
        <v>Neutral</v>
      </c>
      <c r="F571" s="122">
        <f>IFERROR(__xludf.DUMMYFUNCTION("""COMPUTED_VALUE"""),0.0)</f>
        <v>0</v>
      </c>
      <c r="G571" s="122">
        <f>IFERROR(__xludf.DUMMYFUNCTION("""COMPUTED_VALUE"""),0.0)</f>
        <v>0</v>
      </c>
      <c r="H571" s="122" t="str">
        <f>IFERROR(__xludf.DUMMYFUNCTION("""COMPUTED_VALUE"""),"Active")</f>
        <v>Active</v>
      </c>
    </row>
    <row r="572">
      <c r="A572" s="131">
        <f>IFERROR(__xludf.DUMMYFUNCTION("""COMPUTED_VALUE"""),46172.33107638889)</f>
        <v>46172.33108</v>
      </c>
      <c r="B572" s="122" t="str">
        <f>IFERROR(__xludf.DUMMYFUNCTION("""COMPUTED_VALUE"""),"MOVI")</f>
        <v>MOVI</v>
      </c>
      <c r="C572" s="122" t="str">
        <f>IFERROR(__xludf.DUMMYFUNCTION("""COMPUTED_VALUE"""),"MovieBox faces weaker demand and cautious investor sentiment.")</f>
        <v>MovieBox faces weaker demand and cautious investor sentiment.</v>
      </c>
      <c r="D572" s="122" t="str">
        <f>IFERROR(__xludf.DUMMYFUNCTION("""COMPUTED_VALUE"""),"Investors are watching MovieBox closely as demand weakens.")</f>
        <v>Investors are watching MovieBox closely as demand weakens.</v>
      </c>
      <c r="E572" s="122" t="str">
        <f>IFERROR(__xludf.DUMMYFUNCTION("""COMPUTED_VALUE"""),"Negative")</f>
        <v>Negative</v>
      </c>
      <c r="F572" s="122">
        <f>IFERROR(__xludf.DUMMYFUNCTION("""COMPUTED_VALUE"""),-0.015)</f>
        <v>-0.015</v>
      </c>
      <c r="G572" s="122">
        <f>IFERROR(__xludf.DUMMYFUNCTION("""COMPUTED_VALUE"""),0.75)</f>
        <v>0.75</v>
      </c>
      <c r="H572" s="122" t="str">
        <f>IFERROR(__xludf.DUMMYFUNCTION("""COMPUTED_VALUE"""),"Active")</f>
        <v>Active</v>
      </c>
    </row>
    <row r="573">
      <c r="A573" s="131">
        <f>IFERROR(__xludf.DUMMYFUNCTION("""COMPUTED_VALUE"""),46172.331087962964)</f>
        <v>46172.33109</v>
      </c>
      <c r="B573" s="122" t="str">
        <f>IFERROR(__xludf.DUMMYFUNCTION("""COMPUTED_VALUE"""),"MUSC")</f>
        <v>MUSC</v>
      </c>
      <c r="C573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573" s="122" t="str">
        <f>IFERROR(__xludf.DUMMYFUNCTION("""COMPUTED_VALUE"""),"MusicWave appears steady with no major changes reported.")</f>
        <v>MusicWave appears steady with no major changes reported.</v>
      </c>
      <c r="E573" s="122" t="str">
        <f>IFERROR(__xludf.DUMMYFUNCTION("""COMPUTED_VALUE"""),"Neutral")</f>
        <v>Neutral</v>
      </c>
      <c r="F573" s="122">
        <f>IFERROR(__xludf.DUMMYFUNCTION("""COMPUTED_VALUE"""),0.0)</f>
        <v>0</v>
      </c>
      <c r="G573" s="122">
        <f>IFERROR(__xludf.DUMMYFUNCTION("""COMPUTED_VALUE"""),0.0)</f>
        <v>0</v>
      </c>
      <c r="H573" s="122" t="str">
        <f>IFERROR(__xludf.DUMMYFUNCTION("""COMPUTED_VALUE"""),"Active")</f>
        <v>Active</v>
      </c>
    </row>
    <row r="574">
      <c r="A574" s="131">
        <f>IFERROR(__xludf.DUMMYFUNCTION("""COMPUTED_VALUE"""),46172.331099537034)</f>
        <v>46172.3311</v>
      </c>
      <c r="B574" s="122" t="str">
        <f>IFERROR(__xludf.DUMMYFUNCTION("""COMPUTED_VALUE"""),"IDOL")</f>
        <v>IDOL</v>
      </c>
      <c r="C574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574" s="122" t="str">
        <f>IFERROR(__xludf.DUMMYFUNCTION("""COMPUTED_VALUE"""),"Idol Agency appears steady with no major changes reported.")</f>
        <v>Idol Agency appears steady with no major changes reported.</v>
      </c>
      <c r="E574" s="122" t="str">
        <f>IFERROR(__xludf.DUMMYFUNCTION("""COMPUTED_VALUE"""),"Neutral")</f>
        <v>Neutral</v>
      </c>
      <c r="F574" s="122">
        <f>IFERROR(__xludf.DUMMYFUNCTION("""COMPUTED_VALUE"""),0.0)</f>
        <v>0</v>
      </c>
      <c r="G574" s="122">
        <f>IFERROR(__xludf.DUMMYFUNCTION("""COMPUTED_VALUE"""),0.0)</f>
        <v>0</v>
      </c>
      <c r="H574" s="122" t="str">
        <f>IFERROR(__xludf.DUMMYFUNCTION("""COMPUTED_VALUE"""),"Active")</f>
        <v>Active</v>
      </c>
    </row>
    <row r="575">
      <c r="A575" s="131">
        <f>IFERROR(__xludf.DUMMYFUNCTION("""COMPUTED_VALUE"""),46172.331099537034)</f>
        <v>46172.3311</v>
      </c>
      <c r="B575" s="122" t="str">
        <f>IFERROR(__xludf.DUMMYFUNCTION("""COMPUTED_VALUE"""),"MEME")</f>
        <v>MEME</v>
      </c>
      <c r="C575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575" s="122" t="str">
        <f>IFERROR(__xludf.DUMMYFUNCTION("""COMPUTED_VALUE"""),"Meme Media appears steady with no major changes reported.")</f>
        <v>Meme Media appears steady with no major changes reported.</v>
      </c>
      <c r="E575" s="122" t="str">
        <f>IFERROR(__xludf.DUMMYFUNCTION("""COMPUTED_VALUE"""),"Neutral")</f>
        <v>Neutral</v>
      </c>
      <c r="F575" s="122">
        <f>IFERROR(__xludf.DUMMYFUNCTION("""COMPUTED_VALUE"""),0.0)</f>
        <v>0</v>
      </c>
      <c r="G575" s="122">
        <f>IFERROR(__xludf.DUMMYFUNCTION("""COMPUTED_VALUE"""),0.0)</f>
        <v>0</v>
      </c>
      <c r="H575" s="122" t="str">
        <f>IFERROR(__xludf.DUMMYFUNCTION("""COMPUTED_VALUE"""),"Active")</f>
        <v>Active</v>
      </c>
    </row>
    <row r="576">
      <c r="A576" s="131">
        <f>IFERROR(__xludf.DUMMYFUNCTION("""COMPUTED_VALUE"""),46172.331099537034)</f>
        <v>46172.3311</v>
      </c>
      <c r="B576" s="122" t="str">
        <f>IFERROR(__xludf.DUMMYFUNCTION("""COMPUTED_VALUE"""),"STRM")</f>
        <v>STRM</v>
      </c>
      <c r="C576" s="122" t="str">
        <f>IFERROR(__xludf.DUMMYFUNCTION("""COMPUTED_VALUE"""),"Streamly reports steady growth and improved market confidence.")</f>
        <v>Streamly reports steady growth and improved market confidence.</v>
      </c>
      <c r="D576" s="122" t="str">
        <f>IFERROR(__xludf.DUMMYFUNCTION("""COMPUTED_VALUE"""),"Streamly continues to show positive momentum with moderate risk.")</f>
        <v>Streamly continues to show positive momentum with moderate risk.</v>
      </c>
      <c r="E576" s="122" t="str">
        <f>IFERROR(__xludf.DUMMYFUNCTION("""COMPUTED_VALUE"""),"Positive")</f>
        <v>Positive</v>
      </c>
      <c r="F576" s="122">
        <f>IFERROR(__xludf.DUMMYFUNCTION("""COMPUTED_VALUE"""),0.015)</f>
        <v>0.015</v>
      </c>
      <c r="G576" s="122">
        <f>IFERROR(__xludf.DUMMYFUNCTION("""COMPUTED_VALUE"""),0.5)</f>
        <v>0.5</v>
      </c>
      <c r="H576" s="122" t="str">
        <f>IFERROR(__xludf.DUMMYFUNCTION("""COMPUTED_VALUE"""),"Active")</f>
        <v>Active</v>
      </c>
    </row>
    <row r="577">
      <c r="A577" s="131">
        <f>IFERROR(__xludf.DUMMYFUNCTION("""COMPUTED_VALUE"""),46172.331099537034)</f>
        <v>46172.3311</v>
      </c>
      <c r="B577" s="122" t="str">
        <f>IFERROR(__xludf.DUMMYFUNCTION("""COMPUTED_VALUE"""),"FARM")</f>
        <v>FARM</v>
      </c>
      <c r="C577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577" s="122" t="str">
        <f>IFERROR(__xludf.DUMMYFUNCTION("""COMPUTED_VALUE"""),"Future Farms appears steady with no major changes reported.")</f>
        <v>Future Farms appears steady with no major changes reported.</v>
      </c>
      <c r="E577" s="122" t="str">
        <f>IFERROR(__xludf.DUMMYFUNCTION("""COMPUTED_VALUE"""),"Neutral")</f>
        <v>Neutral</v>
      </c>
      <c r="F577" s="122">
        <f>IFERROR(__xludf.DUMMYFUNCTION("""COMPUTED_VALUE"""),0.0)</f>
        <v>0</v>
      </c>
      <c r="G577" s="122">
        <f>IFERROR(__xludf.DUMMYFUNCTION("""COMPUTED_VALUE"""),0.0)</f>
        <v>0</v>
      </c>
      <c r="H577" s="122" t="str">
        <f>IFERROR(__xludf.DUMMYFUNCTION("""COMPUTED_VALUE"""),"Active")</f>
        <v>Active</v>
      </c>
    </row>
    <row r="578">
      <c r="A578" s="131">
        <f>IFERROR(__xludf.DUMMYFUNCTION("""COMPUTED_VALUE"""),46172.33111111111)</f>
        <v>46172.33111</v>
      </c>
      <c r="B578" s="122" t="str">
        <f>IFERROR(__xludf.DUMMYFUNCTION("""COMPUTED_VALUE"""),"MEAT")</f>
        <v>MEAT</v>
      </c>
      <c r="C578" s="122" t="str">
        <f>IFERROR(__xludf.DUMMYFUNCTION("""COMPUTED_VALUE"""),"MeatWorks remains stable as the Food market shows normal activity.")</f>
        <v>MeatWorks remains stable as the Food market shows normal activity.</v>
      </c>
      <c r="D578" s="122" t="str">
        <f>IFERROR(__xludf.DUMMYFUNCTION("""COMPUTED_VALUE"""),"MeatWorks appears steady with no major changes reported.")</f>
        <v>MeatWorks appears steady with no major changes reported.</v>
      </c>
      <c r="E578" s="122" t="str">
        <f>IFERROR(__xludf.DUMMYFUNCTION("""COMPUTED_VALUE"""),"Neutral")</f>
        <v>Neutral</v>
      </c>
      <c r="F578" s="122">
        <f>IFERROR(__xludf.DUMMYFUNCTION("""COMPUTED_VALUE"""),0.0)</f>
        <v>0</v>
      </c>
      <c r="G578" s="122">
        <f>IFERROR(__xludf.DUMMYFUNCTION("""COMPUTED_VALUE"""),0.0)</f>
        <v>0</v>
      </c>
      <c r="H578" s="122" t="str">
        <f>IFERROR(__xludf.DUMMYFUNCTION("""COMPUTED_VALUE"""),"Active")</f>
        <v>Active</v>
      </c>
    </row>
    <row r="579">
      <c r="A579" s="131">
        <f>IFERROR(__xludf.DUMMYFUNCTION("""COMPUTED_VALUE"""),46172.33111111111)</f>
        <v>46172.33111</v>
      </c>
      <c r="B579" s="122" t="str">
        <f>IFERROR(__xludf.DUMMYFUNCTION("""COMPUTED_VALUE"""),"VEGI")</f>
        <v>VEGI</v>
      </c>
      <c r="C579" s="122" t="str">
        <f>IFERROR(__xludf.DUMMYFUNCTION("""COMPUTED_VALUE"""),"Green Basket remains stable as the Food market shows normal activity.")</f>
        <v>Green Basket remains stable as the Food market shows normal activity.</v>
      </c>
      <c r="D579" s="122" t="str">
        <f>IFERROR(__xludf.DUMMYFUNCTION("""COMPUTED_VALUE"""),"Green Basket appears steady with no major changes reported.")</f>
        <v>Green Basket appears steady with no major changes reported.</v>
      </c>
      <c r="E579" s="122" t="str">
        <f>IFERROR(__xludf.DUMMYFUNCTION("""COMPUTED_VALUE"""),"Neutral")</f>
        <v>Neutral</v>
      </c>
      <c r="F579" s="122">
        <f>IFERROR(__xludf.DUMMYFUNCTION("""COMPUTED_VALUE"""),0.0)</f>
        <v>0</v>
      </c>
      <c r="G579" s="122">
        <f>IFERROR(__xludf.DUMMYFUNCTION("""COMPUTED_VALUE"""),0.0)</f>
        <v>0</v>
      </c>
      <c r="H579" s="122" t="str">
        <f>IFERROR(__xludf.DUMMYFUNCTION("""COMPUTED_VALUE"""),"Active")</f>
        <v>Active</v>
      </c>
    </row>
    <row r="580">
      <c r="A580" s="131">
        <f>IFERROR(__xludf.DUMMYFUNCTION("""COMPUTED_VALUE"""),46172.33111111111)</f>
        <v>46172.33111</v>
      </c>
      <c r="B580" s="122" t="str">
        <f>IFERROR(__xludf.DUMMYFUNCTION("""COMPUTED_VALUE"""),"CAFE")</f>
        <v>CAFE</v>
      </c>
      <c r="C580" s="122" t="str">
        <f>IFERROR(__xludf.DUMMYFUNCTION("""COMPUTED_VALUE"""),"Cafe Cloud reports steady growth and improved market confidence.")</f>
        <v>Cafe Cloud reports steady growth and improved market confidence.</v>
      </c>
      <c r="D580" s="122" t="str">
        <f>IFERROR(__xludf.DUMMYFUNCTION("""COMPUTED_VALUE"""),"Cafe Cloud continues to show positive momentum with moderate risk.")</f>
        <v>Cafe Cloud continues to show positive momentum with moderate risk.</v>
      </c>
      <c r="E580" s="122" t="str">
        <f>IFERROR(__xludf.DUMMYFUNCTION("""COMPUTED_VALUE"""),"Positive")</f>
        <v>Positive</v>
      </c>
      <c r="F580" s="122">
        <f>IFERROR(__xludf.DUMMYFUNCTION("""COMPUTED_VALUE"""),0.015)</f>
        <v>0.015</v>
      </c>
      <c r="G580" s="122">
        <f>IFERROR(__xludf.DUMMYFUNCTION("""COMPUTED_VALUE"""),0.5)</f>
        <v>0.5</v>
      </c>
      <c r="H580" s="122" t="str">
        <f>IFERROR(__xludf.DUMMYFUNCTION("""COMPUTED_VALUE"""),"Active")</f>
        <v>Active</v>
      </c>
    </row>
    <row r="581">
      <c r="A581" s="131">
        <f>IFERROR(__xludf.DUMMYFUNCTION("""COMPUTED_VALUE"""),46172.33112268519)</f>
        <v>46172.33112</v>
      </c>
      <c r="B581" s="122" t="str">
        <f>IFERROR(__xludf.DUMMYFUNCTION("""COMPUTED_VALUE"""),"BAKE")</f>
        <v>BAKE</v>
      </c>
      <c r="C581" s="122" t="str">
        <f>IFERROR(__xludf.DUMMYFUNCTION("""COMPUTED_VALUE"""),"BakeHouse sees uncertain trading as investors react to mixed signals.")</f>
        <v>BakeHouse sees uncertain trading as investors react to mixed signals.</v>
      </c>
      <c r="D581" s="122" t="str">
        <f>IFERROR(__xludf.DUMMYFUNCTION("""COMPUTED_VALUE"""),"BakeHouse may experience larger price swings as investors disagree on direction.")</f>
        <v>BakeHouse may experience larger price swings as investors disagree on direction.</v>
      </c>
      <c r="E581" s="122" t="str">
        <f>IFERROR(__xludf.DUMMYFUNCTION("""COMPUTED_VALUE"""),"Mixed")</f>
        <v>Mixed</v>
      </c>
      <c r="F581" s="122">
        <f>IFERROR(__xludf.DUMMYFUNCTION("""COMPUTED_VALUE"""),-0.010842210114033564)</f>
        <v>-0.01084221011</v>
      </c>
      <c r="G581" s="122">
        <f>IFERROR(__xludf.DUMMYFUNCTION("""COMPUTED_VALUE"""),1.5)</f>
        <v>1.5</v>
      </c>
      <c r="H581" s="122" t="str">
        <f>IFERROR(__xludf.DUMMYFUNCTION("""COMPUTED_VALUE"""),"Active")</f>
        <v>Active</v>
      </c>
    </row>
    <row r="582">
      <c r="A582" s="131">
        <f>IFERROR(__xludf.DUMMYFUNCTION("""COMPUTED_VALUE"""),46172.33112268519)</f>
        <v>46172.33112</v>
      </c>
      <c r="B582" s="122" t="str">
        <f>IFERROR(__xludf.DUMMYFUNCTION("""COMPUTED_VALUE"""),"OILX")</f>
        <v>OILX</v>
      </c>
      <c r="C582" s="122" t="str">
        <f>IFERROR(__xludf.DUMMYFUNCTION("""COMPUTED_VALUE"""),"OilMax Energy reports steady growth and improved market confidence.")</f>
        <v>OilMax Energy reports steady growth and improved market confidence.</v>
      </c>
      <c r="D582" s="122" t="str">
        <f>IFERROR(__xludf.DUMMYFUNCTION("""COMPUTED_VALUE"""),"OilMax Energy continues to show positive momentum with moderate risk.")</f>
        <v>OilMax Energy continues to show positive momentum with moderate risk.</v>
      </c>
      <c r="E582" s="122" t="str">
        <f>IFERROR(__xludf.DUMMYFUNCTION("""COMPUTED_VALUE"""),"Positive")</f>
        <v>Positive</v>
      </c>
      <c r="F582" s="122">
        <f>IFERROR(__xludf.DUMMYFUNCTION("""COMPUTED_VALUE"""),0.015)</f>
        <v>0.015</v>
      </c>
      <c r="G582" s="122">
        <f>IFERROR(__xludf.DUMMYFUNCTION("""COMPUTED_VALUE"""),0.5)</f>
        <v>0.5</v>
      </c>
      <c r="H582" s="122" t="str">
        <f>IFERROR(__xludf.DUMMYFUNCTION("""COMPUTED_VALUE"""),"Active")</f>
        <v>Active</v>
      </c>
    </row>
    <row r="583">
      <c r="A583" s="131">
        <f>IFERROR(__xludf.DUMMYFUNCTION("""COMPUTED_VALUE"""),46172.33112268519)</f>
        <v>46172.33112</v>
      </c>
      <c r="B583" s="122" t="str">
        <f>IFERROR(__xludf.DUMMYFUNCTION("""COMPUTED_VALUE"""),"SOLR")</f>
        <v>SOLR</v>
      </c>
      <c r="C583" s="122" t="str">
        <f>IFERROR(__xludf.DUMMYFUNCTION("""COMPUTED_VALUE"""),"SolarSpark surges as demand rises across the Energy sector.")</f>
        <v>SolarSpark surges as demand rises across the Energy sector.</v>
      </c>
      <c r="D583" s="122" t="str">
        <f>IFERROR(__xludf.DUMMYFUNCTION("""COMPUTED_VALUE"""),"SolarSpark is seeing strong demand, which may increase investor confidence.")</f>
        <v>SolarSpark is seeing strong demand, which may increase investor confidence.</v>
      </c>
      <c r="E583" s="122" t="str">
        <f>IFERROR(__xludf.DUMMYFUNCTION("""COMPUTED_VALUE"""),"Positive")</f>
        <v>Positive</v>
      </c>
      <c r="F583" s="122">
        <f>IFERROR(__xludf.DUMMYFUNCTION("""COMPUTED_VALUE"""),0.03)</f>
        <v>0.03</v>
      </c>
      <c r="G583" s="122">
        <f>IFERROR(__xludf.DUMMYFUNCTION("""COMPUTED_VALUE"""),1.0)</f>
        <v>1</v>
      </c>
      <c r="H583" s="122" t="str">
        <f>IFERROR(__xludf.DUMMYFUNCTION("""COMPUTED_VALUE"""),"Active")</f>
        <v>Active</v>
      </c>
    </row>
    <row r="584">
      <c r="A584" s="131">
        <f>IFERROR(__xludf.DUMMYFUNCTION("""COMPUTED_VALUE"""),46172.33113425926)</f>
        <v>46172.33113</v>
      </c>
      <c r="B584" s="122" t="str">
        <f>IFERROR(__xludf.DUMMYFUNCTION("""COMPUTED_VALUE"""),"BATT")</f>
        <v>BATT</v>
      </c>
      <c r="C584" s="122" t="str">
        <f>IFERROR(__xludf.DUMMYFUNCTION("""COMPUTED_VALUE"""),"BatteryBox sees uncertain trading as investors react to mixed signals.")</f>
        <v>BatteryBox sees uncertain trading as investors react to mixed signals.</v>
      </c>
      <c r="D584" s="122" t="str">
        <f>IFERROR(__xludf.DUMMYFUNCTION("""COMPUTED_VALUE"""),"BatteryBox may experience larger price swings as investors disagree on direction.")</f>
        <v>BatteryBox may experience larger price swings as investors disagree on direction.</v>
      </c>
      <c r="E584" s="122" t="str">
        <f>IFERROR(__xludf.DUMMYFUNCTION("""COMPUTED_VALUE"""),"Mixed")</f>
        <v>Mixed</v>
      </c>
      <c r="F584" s="122">
        <f>IFERROR(__xludf.DUMMYFUNCTION("""COMPUTED_VALUE"""),0.01935505122661996)</f>
        <v>0.01935505123</v>
      </c>
      <c r="G584" s="122">
        <f>IFERROR(__xludf.DUMMYFUNCTION("""COMPUTED_VALUE"""),1.5)</f>
        <v>1.5</v>
      </c>
      <c r="H584" s="122" t="str">
        <f>IFERROR(__xludf.DUMMYFUNCTION("""COMPUTED_VALUE"""),"Active")</f>
        <v>Active</v>
      </c>
    </row>
    <row r="585">
      <c r="A585" s="131">
        <f>IFERROR(__xludf.DUMMYFUNCTION("""COMPUTED_VALUE"""),46172.33113425926)</f>
        <v>46172.33113</v>
      </c>
      <c r="B585" s="122" t="str">
        <f>IFERROR(__xludf.DUMMYFUNCTION("""COMPUTED_VALUE"""),"WIND")</f>
        <v>WIND</v>
      </c>
      <c r="C585" s="122" t="str">
        <f>IFERROR(__xludf.DUMMYFUNCTION("""COMPUTED_VALUE"""),"WindWorks sees uncertain trading as investors react to mixed signals.")</f>
        <v>WindWorks sees uncertain trading as investors react to mixed signals.</v>
      </c>
      <c r="D585" s="122" t="str">
        <f>IFERROR(__xludf.DUMMYFUNCTION("""COMPUTED_VALUE"""),"WindWorks may experience larger price swings as investors disagree on direction.")</f>
        <v>WindWorks may experience larger price swings as investors disagree on direction.</v>
      </c>
      <c r="E585" s="122" t="str">
        <f>IFERROR(__xludf.DUMMYFUNCTION("""COMPUTED_VALUE"""),"Mixed")</f>
        <v>Mixed</v>
      </c>
      <c r="F585" s="122">
        <f>IFERROR(__xludf.DUMMYFUNCTION("""COMPUTED_VALUE"""),0.005578771053173524)</f>
        <v>0.005578771053</v>
      </c>
      <c r="G585" s="122">
        <f>IFERROR(__xludf.DUMMYFUNCTION("""COMPUTED_VALUE"""),1.5)</f>
        <v>1.5</v>
      </c>
      <c r="H585" s="122" t="str">
        <f>IFERROR(__xludf.DUMMYFUNCTION("""COMPUTED_VALUE"""),"Active")</f>
        <v>Active</v>
      </c>
    </row>
    <row r="586">
      <c r="A586" s="131">
        <f>IFERROR(__xludf.DUMMYFUNCTION("""COMPUTED_VALUE"""),46172.331145833334)</f>
        <v>46172.33115</v>
      </c>
      <c r="B586" s="122" t="str">
        <f>IFERROR(__xludf.DUMMYFUNCTION("""COMPUTED_VALUE"""),"GRID")</f>
        <v>GRID</v>
      </c>
      <c r="C586" s="122" t="str">
        <f>IFERROR(__xludf.DUMMYFUNCTION("""COMPUTED_VALUE"""),"GridPower sees uncertain trading as investors react to mixed signals.")</f>
        <v>GridPower sees uncertain trading as investors react to mixed signals.</v>
      </c>
      <c r="D586" s="122" t="str">
        <f>IFERROR(__xludf.DUMMYFUNCTION("""COMPUTED_VALUE"""),"GridPower may experience larger price swings as investors disagree on direction.")</f>
        <v>GridPower may experience larger price swings as investors disagree on direction.</v>
      </c>
      <c r="E586" s="122" t="str">
        <f>IFERROR(__xludf.DUMMYFUNCTION("""COMPUTED_VALUE"""),"Mixed")</f>
        <v>Mixed</v>
      </c>
      <c r="F586" s="122">
        <f>IFERROR(__xludf.DUMMYFUNCTION("""COMPUTED_VALUE"""),-0.007622151831928532)</f>
        <v>-0.007622151832</v>
      </c>
      <c r="G586" s="122">
        <f>IFERROR(__xludf.DUMMYFUNCTION("""COMPUTED_VALUE"""),1.5)</f>
        <v>1.5</v>
      </c>
      <c r="H586" s="122" t="str">
        <f>IFERROR(__xludf.DUMMYFUNCTION("""COMPUTED_VALUE"""),"Active")</f>
        <v>Active</v>
      </c>
    </row>
    <row r="587">
      <c r="A587" s="131">
        <f>IFERROR(__xludf.DUMMYFUNCTION("""COMPUTED_VALUE"""),46172.331145833334)</f>
        <v>46172.33115</v>
      </c>
      <c r="B587" s="122" t="str">
        <f>IFERROR(__xludf.DUMMYFUNCTION("""COMPUTED_VALUE"""),"HOME")</f>
        <v>HOME</v>
      </c>
      <c r="C587" s="122" t="str">
        <f>IFERROR(__xludf.DUMMYFUNCTION("""COMPUTED_VALUE"""),"HomeHub reports steady growth and improved market confidence.")</f>
        <v>HomeHub reports steady growth and improved market confidence.</v>
      </c>
      <c r="D587" s="122" t="str">
        <f>IFERROR(__xludf.DUMMYFUNCTION("""COMPUTED_VALUE"""),"HomeHub continues to show positive momentum with moderate risk.")</f>
        <v>HomeHub continues to show positive momentum with moderate risk.</v>
      </c>
      <c r="E587" s="122" t="str">
        <f>IFERROR(__xludf.DUMMYFUNCTION("""COMPUTED_VALUE"""),"Positive")</f>
        <v>Positive</v>
      </c>
      <c r="F587" s="122">
        <f>IFERROR(__xludf.DUMMYFUNCTION("""COMPUTED_VALUE"""),0.015)</f>
        <v>0.015</v>
      </c>
      <c r="G587" s="122">
        <f>IFERROR(__xludf.DUMMYFUNCTION("""COMPUTED_VALUE"""),0.5)</f>
        <v>0.5</v>
      </c>
      <c r="H587" s="122" t="str">
        <f>IFERROR(__xludf.DUMMYFUNCTION("""COMPUTED_VALUE"""),"Active")</f>
        <v>Active</v>
      </c>
    </row>
    <row r="588">
      <c r="A588" s="131">
        <f>IFERROR(__xludf.DUMMYFUNCTION("""COMPUTED_VALUE"""),46172.331145833334)</f>
        <v>46172.33115</v>
      </c>
      <c r="B588" s="122" t="str">
        <f>IFERROR(__xludf.DUMMYFUNCTION("""COMPUTED_VALUE"""),"RENT")</f>
        <v>RENT</v>
      </c>
      <c r="C588" s="122" t="str">
        <f>IFERROR(__xludf.DUMMYFUNCTION("""COMPUTED_VALUE"""),"RentRight remains stable as the Real Estate market shows normal activity.")</f>
        <v>RentRight remains stable as the Real Estate market shows normal activity.</v>
      </c>
      <c r="D588" s="122" t="str">
        <f>IFERROR(__xludf.DUMMYFUNCTION("""COMPUTED_VALUE"""),"RentRight appears steady with no major changes reported.")</f>
        <v>RentRight appears steady with no major changes reported.</v>
      </c>
      <c r="E588" s="122" t="str">
        <f>IFERROR(__xludf.DUMMYFUNCTION("""COMPUTED_VALUE"""),"Neutral")</f>
        <v>Neutral</v>
      </c>
      <c r="F588" s="122">
        <f>IFERROR(__xludf.DUMMYFUNCTION("""COMPUTED_VALUE"""),0.0)</f>
        <v>0</v>
      </c>
      <c r="G588" s="122">
        <f>IFERROR(__xludf.DUMMYFUNCTION("""COMPUTED_VALUE"""),0.0)</f>
        <v>0</v>
      </c>
      <c r="H588" s="122" t="str">
        <f>IFERROR(__xludf.DUMMYFUNCTION("""COMPUTED_VALUE"""),"Active")</f>
        <v>Active</v>
      </c>
    </row>
    <row r="589">
      <c r="A589" s="131">
        <f>IFERROR(__xludf.DUMMYFUNCTION("""COMPUTED_VALUE"""),46172.33116898148)</f>
        <v>46172.33117</v>
      </c>
      <c r="B589" s="122" t="str">
        <f>IFERROR(__xludf.DUMMYFUNCTION("""COMPUTED_VALUE"""),"MALL")</f>
        <v>MALL</v>
      </c>
      <c r="C589" s="122" t="str">
        <f>IFERROR(__xludf.DUMMYFUNCTION("""COMPUTED_VALUE"""),"MegaMall faces weaker demand and cautious investor sentiment.")</f>
        <v>MegaMall faces weaker demand and cautious investor sentiment.</v>
      </c>
      <c r="D589" s="122" t="str">
        <f>IFERROR(__xludf.DUMMYFUNCTION("""COMPUTED_VALUE"""),"Investors are watching MegaMall closely as demand weakens.")</f>
        <v>Investors are watching MegaMall closely as demand weakens.</v>
      </c>
      <c r="E589" s="122" t="str">
        <f>IFERROR(__xludf.DUMMYFUNCTION("""COMPUTED_VALUE"""),"Negative")</f>
        <v>Negative</v>
      </c>
      <c r="F589" s="122">
        <f>IFERROR(__xludf.DUMMYFUNCTION("""COMPUTED_VALUE"""),-0.015)</f>
        <v>-0.015</v>
      </c>
      <c r="G589" s="122">
        <f>IFERROR(__xludf.DUMMYFUNCTION("""COMPUTED_VALUE"""),0.75)</f>
        <v>0.75</v>
      </c>
      <c r="H589" s="122" t="str">
        <f>IFERROR(__xludf.DUMMYFUNCTION("""COMPUTED_VALUE"""),"Active")</f>
        <v>Active</v>
      </c>
    </row>
    <row r="590">
      <c r="A590" s="131">
        <f>IFERROR(__xludf.DUMMYFUNCTION("""COMPUTED_VALUE"""),46172.33116898148)</f>
        <v>46172.33117</v>
      </c>
      <c r="B590" s="122" t="str">
        <f>IFERROR(__xludf.DUMMYFUNCTION("""COMPUTED_VALUE"""),"HOTL")</f>
        <v>HOTL</v>
      </c>
      <c r="C590" s="122" t="str">
        <f>IFERROR(__xludf.DUMMYFUNCTION("""COMPUTED_VALUE"""),"HotelHive remains stable as the Real Estate market shows normal activity.")</f>
        <v>HotelHive remains stable as the Real Estate market shows normal activity.</v>
      </c>
      <c r="D590" s="122" t="str">
        <f>IFERROR(__xludf.DUMMYFUNCTION("""COMPUTED_VALUE"""),"HotelHive appears steady with no major changes reported.")</f>
        <v>HotelHive appears steady with no major changes reported.</v>
      </c>
      <c r="E590" s="122" t="str">
        <f>IFERROR(__xludf.DUMMYFUNCTION("""COMPUTED_VALUE"""),"Neutral")</f>
        <v>Neutral</v>
      </c>
      <c r="F590" s="122">
        <f>IFERROR(__xludf.DUMMYFUNCTION("""COMPUTED_VALUE"""),0.0)</f>
        <v>0</v>
      </c>
      <c r="G590" s="122">
        <f>IFERROR(__xludf.DUMMYFUNCTION("""COMPUTED_VALUE"""),0.0)</f>
        <v>0</v>
      </c>
      <c r="H590" s="122" t="str">
        <f>IFERROR(__xludf.DUMMYFUNCTION("""COMPUTED_VALUE"""),"Active")</f>
        <v>Active</v>
      </c>
    </row>
    <row r="591">
      <c r="A591" s="131">
        <f>IFERROR(__xludf.DUMMYFUNCTION("""COMPUTED_VALUE"""),46172.33116898148)</f>
        <v>46172.33117</v>
      </c>
      <c r="B591" s="122" t="str">
        <f>IFERROR(__xludf.DUMMYFUNCTION("""COMPUTED_VALUE"""),"LAND")</f>
        <v>LAND</v>
      </c>
      <c r="C591" s="122" t="str">
        <f>IFERROR(__xludf.DUMMYFUNCTION("""COMPUTED_VALUE"""),"LandLink remains stable as the Real Estate market shows normal activity.")</f>
        <v>LandLink remains stable as the Real Estate market shows normal activity.</v>
      </c>
      <c r="D591" s="122" t="str">
        <f>IFERROR(__xludf.DUMMYFUNCTION("""COMPUTED_VALUE"""),"LandLink appears steady with no major changes reported.")</f>
        <v>LandLink appears steady with no major changes reported.</v>
      </c>
      <c r="E591" s="122" t="str">
        <f>IFERROR(__xludf.DUMMYFUNCTION("""COMPUTED_VALUE"""),"Neutral")</f>
        <v>Neutral</v>
      </c>
      <c r="F591" s="122">
        <f>IFERROR(__xludf.DUMMYFUNCTION("""COMPUTED_VALUE"""),0.0)</f>
        <v>0</v>
      </c>
      <c r="G591" s="122">
        <f>IFERROR(__xludf.DUMMYFUNCTION("""COMPUTED_VALUE"""),0.0)</f>
        <v>0</v>
      </c>
      <c r="H591" s="122" t="str">
        <f>IFERROR(__xludf.DUMMYFUNCTION("""COMPUTED_VALUE"""),"Active")</f>
        <v>Active</v>
      </c>
    </row>
    <row r="592">
      <c r="A592" s="131">
        <f>IFERROR(__xludf.DUMMYFUNCTION("""COMPUTED_VALUE"""),46172.33118055556)</f>
        <v>46172.33118</v>
      </c>
      <c r="B592" s="122" t="str">
        <f>IFERROR(__xludf.DUMMYFUNCTION("""COMPUTED_VALUE"""),"CARS")</f>
        <v>CARS</v>
      </c>
      <c r="C592" s="122" t="str">
        <f>IFERROR(__xludf.DUMMYFUNCTION("""COMPUTED_VALUE"""),"AutoArena drops sharply after major concerns hit the market.")</f>
        <v>AutoArena drops sharply after major concerns hit the market.</v>
      </c>
      <c r="D592" s="122" t="str">
        <f>IFERROR(__xludf.DUMMYFUNCTION("""COMPUTED_VALUE"""),"AutoArena is under pressure as investors react to worsening conditions.")</f>
        <v>AutoArena is under pressure as investors react to worsening conditions.</v>
      </c>
      <c r="E592" s="122" t="str">
        <f>IFERROR(__xludf.DUMMYFUNCTION("""COMPUTED_VALUE"""),"Negative")</f>
        <v>Negative</v>
      </c>
      <c r="F592" s="122">
        <f>IFERROR(__xludf.DUMMYFUNCTION("""COMPUTED_VALUE"""),-0.04)</f>
        <v>-0.04</v>
      </c>
      <c r="G592" s="122">
        <f>IFERROR(__xludf.DUMMYFUNCTION("""COMPUTED_VALUE"""),2.0)</f>
        <v>2</v>
      </c>
      <c r="H592" s="122" t="str">
        <f>IFERROR(__xludf.DUMMYFUNCTION("""COMPUTED_VALUE"""),"Active")</f>
        <v>Active</v>
      </c>
    </row>
    <row r="593">
      <c r="A593" s="131">
        <f>IFERROR(__xludf.DUMMYFUNCTION("""COMPUTED_VALUE"""),46172.33118055556)</f>
        <v>46172.33118</v>
      </c>
      <c r="B593" s="122" t="str">
        <f>IFERROR(__xludf.DUMMYFUNCTION("""COMPUTED_VALUE"""),"EVGO")</f>
        <v>EVGO</v>
      </c>
      <c r="C593" s="122" t="str">
        <f>IFERROR(__xludf.DUMMYFUNCTION("""COMPUTED_VALUE"""),"EVGo Motors reports steady growth and improved market confidence.")</f>
        <v>EVGo Motors reports steady growth and improved market confidence.</v>
      </c>
      <c r="D593" s="122" t="str">
        <f>IFERROR(__xludf.DUMMYFUNCTION("""COMPUTED_VALUE"""),"EVGo Motors continues to show positive momentum with moderate risk.")</f>
        <v>EVGo Motors continues to show positive momentum with moderate risk.</v>
      </c>
      <c r="E593" s="122" t="str">
        <f>IFERROR(__xludf.DUMMYFUNCTION("""COMPUTED_VALUE"""),"Positive")</f>
        <v>Positive</v>
      </c>
      <c r="F593" s="122">
        <f>IFERROR(__xludf.DUMMYFUNCTION("""COMPUTED_VALUE"""),0.015)</f>
        <v>0.015</v>
      </c>
      <c r="G593" s="122">
        <f>IFERROR(__xludf.DUMMYFUNCTION("""COMPUTED_VALUE"""),0.5)</f>
        <v>0.5</v>
      </c>
      <c r="H593" s="122" t="str">
        <f>IFERROR(__xludf.DUMMYFUNCTION("""COMPUTED_VALUE"""),"Active")</f>
        <v>Active</v>
      </c>
    </row>
    <row r="594">
      <c r="A594" s="131">
        <f>IFERROR(__xludf.DUMMYFUNCTION("""COMPUTED_VALUE"""),46172.33118055556)</f>
        <v>46172.33118</v>
      </c>
      <c r="B594" s="122" t="str">
        <f>IFERROR(__xludf.DUMMYFUNCTION("""COMPUTED_VALUE"""),"TIRE")</f>
        <v>TIRE</v>
      </c>
      <c r="C594" s="122" t="str">
        <f>IFERROR(__xludf.DUMMYFUNCTION("""COMPUTED_VALUE"""),"TireTown reports steady growth and improved market confidence.")</f>
        <v>TireTown reports steady growth and improved market confidence.</v>
      </c>
      <c r="D594" s="122" t="str">
        <f>IFERROR(__xludf.DUMMYFUNCTION("""COMPUTED_VALUE"""),"TireTown continues to show positive momentum with moderate risk.")</f>
        <v>TireTown continues to show positive momentum with moderate risk.</v>
      </c>
      <c r="E594" s="122" t="str">
        <f>IFERROR(__xludf.DUMMYFUNCTION("""COMPUTED_VALUE"""),"Positive")</f>
        <v>Positive</v>
      </c>
      <c r="F594" s="122">
        <f>IFERROR(__xludf.DUMMYFUNCTION("""COMPUTED_VALUE"""),0.015)</f>
        <v>0.015</v>
      </c>
      <c r="G594" s="122">
        <f>IFERROR(__xludf.DUMMYFUNCTION("""COMPUTED_VALUE"""),0.5)</f>
        <v>0.5</v>
      </c>
      <c r="H594" s="122" t="str">
        <f>IFERROR(__xludf.DUMMYFUNCTION("""COMPUTED_VALUE"""),"Active")</f>
        <v>Active</v>
      </c>
    </row>
    <row r="595">
      <c r="A595" s="131">
        <f>IFERROR(__xludf.DUMMYFUNCTION("""COMPUTED_VALUE"""),46172.33118055556)</f>
        <v>46172.33118</v>
      </c>
      <c r="B595" s="122" t="str">
        <f>IFERROR(__xludf.DUMMYFUNCTION("""COMPUTED_VALUE"""),"BIKE")</f>
        <v>BIKE</v>
      </c>
      <c r="C595" s="122" t="str">
        <f>IFERROR(__xludf.DUMMYFUNCTION("""COMPUTED_VALUE"""),"BikeBox remains stable as the Automotive market shows normal activity.")</f>
        <v>BikeBox remains stable as the Automotive market shows normal activity.</v>
      </c>
      <c r="D595" s="122" t="str">
        <f>IFERROR(__xludf.DUMMYFUNCTION("""COMPUTED_VALUE"""),"BikeBox appears steady with no major changes reported.")</f>
        <v>BikeBox appears steady with no major changes reported.</v>
      </c>
      <c r="E595" s="122" t="str">
        <f>IFERROR(__xludf.DUMMYFUNCTION("""COMPUTED_VALUE"""),"Neutral")</f>
        <v>Neutral</v>
      </c>
      <c r="F595" s="122">
        <f>IFERROR(__xludf.DUMMYFUNCTION("""COMPUTED_VALUE"""),0.0)</f>
        <v>0</v>
      </c>
      <c r="G595" s="122">
        <f>IFERROR(__xludf.DUMMYFUNCTION("""COMPUTED_VALUE"""),0.0)</f>
        <v>0</v>
      </c>
      <c r="H595" s="122" t="str">
        <f>IFERROR(__xludf.DUMMYFUNCTION("""COMPUTED_VALUE"""),"Active")</f>
        <v>Active</v>
      </c>
    </row>
    <row r="596">
      <c r="A596" s="131">
        <f>IFERROR(__xludf.DUMMYFUNCTION("""COMPUTED_VALUE"""),46172.331192129626)</f>
        <v>46172.33119</v>
      </c>
      <c r="B596" s="122" t="str">
        <f>IFERROR(__xludf.DUMMYFUNCTION("""COMPUTED_VALUE"""),"WASH")</f>
        <v>WASH</v>
      </c>
      <c r="C596" s="122" t="str">
        <f>IFERROR(__xludf.DUMMYFUNCTION("""COMPUTED_VALUE"""),"CarWash Co remains stable as the Automotive market shows normal activity.")</f>
        <v>CarWash Co remains stable as the Automotive market shows normal activity.</v>
      </c>
      <c r="D596" s="122" t="str">
        <f>IFERROR(__xludf.DUMMYFUNCTION("""COMPUTED_VALUE"""),"CarWash Co appears steady with no major changes reported.")</f>
        <v>CarWash Co appears steady with no major changes reported.</v>
      </c>
      <c r="E596" s="122" t="str">
        <f>IFERROR(__xludf.DUMMYFUNCTION("""COMPUTED_VALUE"""),"Neutral")</f>
        <v>Neutral</v>
      </c>
      <c r="F596" s="122">
        <f>IFERROR(__xludf.DUMMYFUNCTION("""COMPUTED_VALUE"""),0.0)</f>
        <v>0</v>
      </c>
      <c r="G596" s="122">
        <f>IFERROR(__xludf.DUMMYFUNCTION("""COMPUTED_VALUE"""),0.0)</f>
        <v>0</v>
      </c>
      <c r="H596" s="122" t="str">
        <f>IFERROR(__xludf.DUMMYFUNCTION("""COMPUTED_VALUE"""),"Active")</f>
        <v>Active</v>
      </c>
    </row>
    <row r="597">
      <c r="A597" s="131">
        <f>IFERROR(__xludf.DUMMYFUNCTION("""COMPUTED_VALUE"""),46172.331192129626)</f>
        <v>46172.33119</v>
      </c>
      <c r="B597" s="122" t="str">
        <f>IFERROR(__xludf.DUMMYFUNCTION("""COMPUTED_VALUE"""),"GBND")</f>
        <v>GBND</v>
      </c>
      <c r="C597" s="122" t="str">
        <f>IFERROR(__xludf.DUMMYFUNCTION("""COMPUTED_VALUE"""),"Classroom Government Bond remains steady as investors seek stability.")</f>
        <v>Classroom Government Bond remains steady as investors seek stability.</v>
      </c>
      <c r="D59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597" s="122" t="str">
        <f>IFERROR(__xludf.DUMMYFUNCTION("""COMPUTED_VALUE"""),"Neutral")</f>
        <v>Neutral</v>
      </c>
      <c r="F597" s="122">
        <f>IFERROR(__xludf.DUMMYFUNCTION("""COMPUTED_VALUE"""),0.0)</f>
        <v>0</v>
      </c>
      <c r="G597" s="122">
        <f>IFERROR(__xludf.DUMMYFUNCTION("""COMPUTED_VALUE"""),0.0)</f>
        <v>0</v>
      </c>
      <c r="H597" s="122" t="str">
        <f>IFERROR(__xludf.DUMMYFUNCTION("""COMPUTED_VALUE"""),"Active")</f>
        <v>Active</v>
      </c>
    </row>
    <row r="598">
      <c r="A598" s="131">
        <f>IFERROR(__xludf.DUMMYFUNCTION("""COMPUTED_VALUE"""),46172.3312037037)</f>
        <v>46172.3312</v>
      </c>
      <c r="B598" s="122" t="str">
        <f>IFERROR(__xludf.DUMMYFUNCTION("""COMPUTED_VALUE"""),"SBND")</f>
        <v>SBND</v>
      </c>
      <c r="C598" s="122" t="str">
        <f>IFERROR(__xludf.DUMMYFUNCTION("""COMPUTED_VALUE"""),"School Savings Bond remains steady as investors seek stability.")</f>
        <v>School Savings Bond remains steady as investors seek stability.</v>
      </c>
      <c r="D59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598" s="122" t="str">
        <f>IFERROR(__xludf.DUMMYFUNCTION("""COMPUTED_VALUE"""),"Neutral")</f>
        <v>Neutral</v>
      </c>
      <c r="F598" s="122">
        <f>IFERROR(__xludf.DUMMYFUNCTION("""COMPUTED_VALUE"""),0.0)</f>
        <v>0</v>
      </c>
      <c r="G598" s="122">
        <f>IFERROR(__xludf.DUMMYFUNCTION("""COMPUTED_VALUE"""),0.0)</f>
        <v>0</v>
      </c>
      <c r="H598" s="122" t="str">
        <f>IFERROR(__xludf.DUMMYFUNCTION("""COMPUTED_VALUE"""),"Active")</f>
        <v>Active</v>
      </c>
    </row>
    <row r="599">
      <c r="A599" s="131">
        <f>IFERROR(__xludf.DUMMYFUNCTION("""COMPUTED_VALUE"""),46172.3312037037)</f>
        <v>46172.3312</v>
      </c>
      <c r="B599" s="122" t="str">
        <f>IFERROR(__xludf.DUMMYFUNCTION("""COMPUTED_VALUE"""),"CBND")</f>
        <v>CBND</v>
      </c>
      <c r="C599" s="122" t="str">
        <f>IFERROR(__xludf.DUMMYFUNCTION("""COMPUTED_VALUE"""),"Corporate Classroom Bond remains steady as investors seek stability.")</f>
        <v>Corporate Classroom Bond remains steady as investors seek stability.</v>
      </c>
      <c r="D59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599" s="122" t="str">
        <f>IFERROR(__xludf.DUMMYFUNCTION("""COMPUTED_VALUE"""),"Neutral")</f>
        <v>Neutral</v>
      </c>
      <c r="F599" s="122">
        <f>IFERROR(__xludf.DUMMYFUNCTION("""COMPUTED_VALUE"""),0.0)</f>
        <v>0</v>
      </c>
      <c r="G599" s="122">
        <f>IFERROR(__xludf.DUMMYFUNCTION("""COMPUTED_VALUE"""),0.0)</f>
        <v>0</v>
      </c>
      <c r="H599" s="122" t="str">
        <f>IFERROR(__xludf.DUMMYFUNCTION("""COMPUTED_VALUE"""),"Active")</f>
        <v>Active</v>
      </c>
    </row>
    <row r="600">
      <c r="A600" s="131">
        <f>IFERROR(__xludf.DUMMYFUNCTION("""COMPUTED_VALUE"""),46172.3312037037)</f>
        <v>46172.3312</v>
      </c>
      <c r="B600" s="122" t="str">
        <f>IFERROR(__xludf.DUMMYFUNCTION("""COMPUTED_VALUE"""),"TBIL")</f>
        <v>TBIL</v>
      </c>
      <c r="C600" s="122" t="str">
        <f>IFERROR(__xludf.DUMMYFUNCTION("""COMPUTED_VALUE"""),"Treasury Bill remains steady as investors seek stability.")</f>
        <v>Treasury Bill remains steady as investors seek stability.</v>
      </c>
      <c r="D60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600" s="122" t="str">
        <f>IFERROR(__xludf.DUMMYFUNCTION("""COMPUTED_VALUE"""),"Neutral")</f>
        <v>Neutral</v>
      </c>
      <c r="F600" s="122">
        <f>IFERROR(__xludf.DUMMYFUNCTION("""COMPUTED_VALUE"""),0.0)</f>
        <v>0</v>
      </c>
      <c r="G600" s="122">
        <f>IFERROR(__xludf.DUMMYFUNCTION("""COMPUTED_VALUE"""),0.0)</f>
        <v>0</v>
      </c>
      <c r="H600" s="122" t="str">
        <f>IFERROR(__xludf.DUMMYFUNCTION("""COMPUTED_VALUE"""),"Active")</f>
        <v>Active</v>
      </c>
    </row>
    <row r="601">
      <c r="A601" s="131">
        <f>IFERROR(__xludf.DUMMYFUNCTION("""COMPUTED_VALUE"""),46172.33121527778)</f>
        <v>46172.33122</v>
      </c>
      <c r="B601" s="122" t="str">
        <f>IFERROR(__xludf.DUMMYFUNCTION("""COMPUTED_VALUE"""),"IBND")</f>
        <v>IBND</v>
      </c>
      <c r="C601" s="122" t="str">
        <f>IFERROR(__xludf.DUMMYFUNCTION("""COMPUTED_VALUE"""),"Inflation Protected Bond remains steady as investors seek stability.")</f>
        <v>Inflation Protected Bond remains steady as investors seek stability.</v>
      </c>
      <c r="D60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601" s="122" t="str">
        <f>IFERROR(__xludf.DUMMYFUNCTION("""COMPUTED_VALUE"""),"Neutral")</f>
        <v>Neutral</v>
      </c>
      <c r="F601" s="122">
        <f>IFERROR(__xludf.DUMMYFUNCTION("""COMPUTED_VALUE"""),0.0)</f>
        <v>0</v>
      </c>
      <c r="G601" s="122">
        <f>IFERROR(__xludf.DUMMYFUNCTION("""COMPUTED_VALUE"""),0.0)</f>
        <v>0</v>
      </c>
      <c r="H601" s="122" t="str">
        <f>IFERROR(__xludf.DUMMYFUNCTION("""COMPUTED_VALUE"""),"Active")</f>
        <v>Active</v>
      </c>
    </row>
    <row r="602">
      <c r="A602" s="131">
        <f>IFERROR(__xludf.DUMMYFUNCTION("""COMPUTED_VALUE"""),46173.317662037036)</f>
        <v>46173.31766</v>
      </c>
      <c r="B602" s="122" t="str">
        <f>IFERROR(__xludf.DUMMYFUNCTION("""COMPUTED_VALUE"""),"CRED")</f>
        <v>CRED</v>
      </c>
      <c r="C602" s="122" t="str">
        <f>IFERROR(__xludf.DUMMYFUNCTION("""COMPUTED_VALUE"""),"Credit Castle releases earnings report: Beat profit, guidance Raised.")</f>
        <v>Credit Castle releases earnings report: Beat profit, guidance Raised.</v>
      </c>
      <c r="D60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02" s="122" t="str">
        <f>IFERROR(__xludf.DUMMYFUNCTION("""COMPUTED_VALUE"""),"Positive")</f>
        <v>Positive</v>
      </c>
      <c r="F602" s="122">
        <f>IFERROR(__xludf.DUMMYFUNCTION("""COMPUTED_VALUE"""),0.05432042075340958)</f>
        <v>0.05432042075</v>
      </c>
      <c r="G602" s="122">
        <f>IFERROR(__xludf.DUMMYFUNCTION("""COMPUTED_VALUE"""),1.3580105188352394)</f>
        <v>1.358010519</v>
      </c>
      <c r="H602" s="122" t="str">
        <f>IFERROR(__xludf.DUMMYFUNCTION("""COMPUTED_VALUE"""),"Active")</f>
        <v>Active</v>
      </c>
    </row>
    <row r="603">
      <c r="A603" s="131">
        <f>IFERROR(__xludf.DUMMYFUNCTION("""COMPUTED_VALUE"""),46173.31774305556)</f>
        <v>46173.31774</v>
      </c>
      <c r="B603" s="122" t="str">
        <f>IFERROR(__xludf.DUMMYFUNCTION("""COMPUTED_VALUE"""),"BANK")</f>
        <v>BANK</v>
      </c>
      <c r="C603" s="122" t="str">
        <f>IFERROR(__xludf.DUMMYFUNCTION("""COMPUTED_VALUE"""),"Tiger Bank releases earnings report: Inline profit, guidance Maintained.")</f>
        <v>Tiger Bank releases earnings report: Inline profit, guidance Maintained.</v>
      </c>
      <c r="D603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603" s="122" t="str">
        <f>IFERROR(__xludf.DUMMYFUNCTION("""COMPUTED_VALUE"""),"Neutral")</f>
        <v>Neutral</v>
      </c>
      <c r="F603" s="122">
        <f>IFERROR(__xludf.DUMMYFUNCTION("""COMPUTED_VALUE"""),-0.004316322527655534)</f>
        <v>-0.004316322528</v>
      </c>
      <c r="G603" s="122">
        <f>IFERROR(__xludf.DUMMYFUNCTION("""COMPUTED_VALUE"""),0.10790806319138835)</f>
        <v>0.1079080632</v>
      </c>
      <c r="H603" s="122" t="str">
        <f>IFERROR(__xludf.DUMMYFUNCTION("""COMPUTED_VALUE"""),"Active")</f>
        <v>Active</v>
      </c>
    </row>
    <row r="604">
      <c r="A604" s="131">
        <f>IFERROR(__xludf.DUMMYFUNCTION("""COMPUTED_VALUE"""),46173.317824074074)</f>
        <v>46173.31782</v>
      </c>
      <c r="B604" s="122" t="str">
        <f>IFERROR(__xludf.DUMMYFUNCTION("""COMPUTED_VALUE"""),"AIBO")</f>
        <v>AIBO</v>
      </c>
      <c r="C604" s="122" t="str">
        <f>IFERROR(__xludf.DUMMYFUNCTION("""COMPUTED_VALUE"""),"Homework AI releases earnings report: Miss profit, guidance Maintained.")</f>
        <v>Homework AI releases earnings report: Miss profit, guidance Maintained.</v>
      </c>
      <c r="D604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604" s="122" t="str">
        <f>IFERROR(__xludf.DUMMYFUNCTION("""COMPUTED_VALUE"""),"Negative")</f>
        <v>Negative</v>
      </c>
      <c r="F604" s="122">
        <f>IFERROR(__xludf.DUMMYFUNCTION("""COMPUTED_VALUE"""),-0.01507603319758575)</f>
        <v>-0.0150760332</v>
      </c>
      <c r="G604" s="122">
        <f>IFERROR(__xludf.DUMMYFUNCTION("""COMPUTED_VALUE"""),0.37690082993964374)</f>
        <v>0.3769008299</v>
      </c>
      <c r="H604" s="122" t="str">
        <f>IFERROR(__xludf.DUMMYFUNCTION("""COMPUTED_VALUE"""),"Active")</f>
        <v>Active</v>
      </c>
    </row>
    <row r="605">
      <c r="A605" s="131">
        <f>IFERROR(__xludf.DUMMYFUNCTION("""COMPUTED_VALUE"""),46173.31789351852)</f>
        <v>46173.31789</v>
      </c>
      <c r="B605" s="122" t="str">
        <f>IFERROR(__xludf.DUMMYFUNCTION("""COMPUTED_VALUE"""),"LAND")</f>
        <v>LAND</v>
      </c>
      <c r="C605" s="122" t="str">
        <f>IFERROR(__xludf.DUMMYFUNCTION("""COMPUTED_VALUE"""),"LandLink releases earnings report: Beat profit, guidance Raised.")</f>
        <v>LandLink releases earnings report: Beat profit, guidance Raised.</v>
      </c>
      <c r="D60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05" s="122" t="str">
        <f>IFERROR(__xludf.DUMMYFUNCTION("""COMPUTED_VALUE"""),"Positive")</f>
        <v>Positive</v>
      </c>
      <c r="F605" s="122">
        <f>IFERROR(__xludf.DUMMYFUNCTION("""COMPUTED_VALUE"""),0.042228481409184365)</f>
        <v>0.04222848141</v>
      </c>
      <c r="G605" s="122">
        <f>IFERROR(__xludf.DUMMYFUNCTION("""COMPUTED_VALUE"""),1.0557120352296092)</f>
        <v>1.055712035</v>
      </c>
      <c r="H605" s="122" t="str">
        <f>IFERROR(__xludf.DUMMYFUNCTION("""COMPUTED_VALUE"""),"Active")</f>
        <v>Active</v>
      </c>
    </row>
    <row r="606">
      <c r="A606" s="131">
        <f>IFERROR(__xludf.DUMMYFUNCTION("""COMPUTED_VALUE"""),46173.31798611111)</f>
        <v>46173.31799</v>
      </c>
      <c r="B606" s="122" t="str">
        <f>IFERROR(__xludf.DUMMYFUNCTION("""COMPUTED_VALUE"""),"CARE")</f>
        <v>CARE</v>
      </c>
      <c r="C606" s="122" t="str">
        <f>IFERROR(__xludf.DUMMYFUNCTION("""COMPUTED_VALUE"""),"CareCloud releases earnings report: Inline profit, guidance Maintained.")</f>
        <v>CareCloud releases earnings report: Inline profit, guidance Maintained.</v>
      </c>
      <c r="D606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606" s="122" t="str">
        <f>IFERROR(__xludf.DUMMYFUNCTION("""COMPUTED_VALUE"""),"Neutral")</f>
        <v>Neutral</v>
      </c>
      <c r="F606" s="122">
        <f>IFERROR(__xludf.DUMMYFUNCTION("""COMPUTED_VALUE"""),-0.0045510584436637865)</f>
        <v>-0.004551058444</v>
      </c>
      <c r="G606" s="122">
        <f>IFERROR(__xludf.DUMMYFUNCTION("""COMPUTED_VALUE"""),0.11377646109159466)</f>
        <v>0.1137764611</v>
      </c>
      <c r="H606" s="122" t="str">
        <f>IFERROR(__xludf.DUMMYFUNCTION("""COMPUTED_VALUE"""),"Active")</f>
        <v>Active</v>
      </c>
    </row>
    <row r="607">
      <c r="A607" s="131">
        <f>IFERROR(__xludf.DUMMYFUNCTION("""COMPUTED_VALUE"""),46173.31804398148)</f>
        <v>46173.31804</v>
      </c>
      <c r="B607" s="122" t="str">
        <f>IFERROR(__xludf.DUMMYFUNCTION("""COMPUTED_VALUE"""),"RAIL")</f>
        <v>RAIL</v>
      </c>
      <c r="C607" s="122" t="str">
        <f>IFERROR(__xludf.DUMMYFUNCTION("""COMPUTED_VALUE"""),"MetroRail Corp releases earnings report: Beat profit, guidance Raised.")</f>
        <v>MetroRail Corp releases earnings report: Beat profit, guidance Raised.</v>
      </c>
      <c r="D60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07" s="122" t="str">
        <f>IFERROR(__xludf.DUMMYFUNCTION("""COMPUTED_VALUE"""),"Positive")</f>
        <v>Positive</v>
      </c>
      <c r="F607" s="122">
        <f>IFERROR(__xludf.DUMMYFUNCTION("""COMPUTED_VALUE"""),0.04214087731350991)</f>
        <v>0.04214087731</v>
      </c>
      <c r="G607" s="122">
        <f>IFERROR(__xludf.DUMMYFUNCTION("""COMPUTED_VALUE"""),1.0535219328377479)</f>
        <v>1.053521933</v>
      </c>
      <c r="H607" s="122" t="str">
        <f>IFERROR(__xludf.DUMMYFUNCTION("""COMPUTED_VALUE"""),"Active")</f>
        <v>Active</v>
      </c>
    </row>
    <row r="608">
      <c r="A608" s="131">
        <f>IFERROR(__xludf.DUMMYFUNCTION("""COMPUTED_VALUE"""),46173.31811342593)</f>
        <v>46173.31811</v>
      </c>
      <c r="B608" s="122" t="str">
        <f>IFERROR(__xludf.DUMMYFUNCTION("""COMPUTED_VALUE"""),"BAGG")</f>
        <v>BAGG</v>
      </c>
      <c r="C608" s="122" t="str">
        <f>IFERROR(__xludf.DUMMYFUNCTION("""COMPUTED_VALUE"""),"BagVault releases earnings report: Miss profit, guidance Maintained.")</f>
        <v>BagVault releases earnings report: Miss profit, guidance Maintained.</v>
      </c>
      <c r="D608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608" s="122" t="str">
        <f>IFERROR(__xludf.DUMMYFUNCTION("""COMPUTED_VALUE"""),"Negative")</f>
        <v>Negative</v>
      </c>
      <c r="F608" s="122">
        <f>IFERROR(__xludf.DUMMYFUNCTION("""COMPUTED_VALUE"""),-0.01599529122624258)</f>
        <v>-0.01599529123</v>
      </c>
      <c r="G608" s="122">
        <f>IFERROR(__xludf.DUMMYFUNCTION("""COMPUTED_VALUE"""),0.39988228065606446)</f>
        <v>0.3998822807</v>
      </c>
      <c r="H608" s="122" t="str">
        <f>IFERROR(__xludf.DUMMYFUNCTION("""COMPUTED_VALUE"""),"Active")</f>
        <v>Active</v>
      </c>
    </row>
    <row r="609">
      <c r="A609" s="131">
        <f>IFERROR(__xludf.DUMMYFUNCTION("""COMPUTED_VALUE"""),46173.31818287037)</f>
        <v>46173.31818</v>
      </c>
      <c r="B609" s="122" t="str">
        <f>IFERROR(__xludf.DUMMYFUNCTION("""COMPUTED_VALUE"""),"SHIP")</f>
        <v>SHIP</v>
      </c>
      <c r="C609" s="122" t="str">
        <f>IFERROR(__xludf.DUMMYFUNCTION("""COMPUTED_VALUE"""),"Seoul Shipping releases earnings report: Beat profit, guidance Raised.")</f>
        <v>Seoul Shipping releases earnings report: Beat profit, guidance Raised.</v>
      </c>
      <c r="D60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09" s="122" t="str">
        <f>IFERROR(__xludf.DUMMYFUNCTION("""COMPUTED_VALUE"""),"Positive")</f>
        <v>Positive</v>
      </c>
      <c r="F609" s="122">
        <f>IFERROR(__xludf.DUMMYFUNCTION("""COMPUTED_VALUE"""),0.041910745556061495)</f>
        <v>0.04191074556</v>
      </c>
      <c r="G609" s="122">
        <f>IFERROR(__xludf.DUMMYFUNCTION("""COMPUTED_VALUE"""),1.0477686389015373)</f>
        <v>1.047768639</v>
      </c>
      <c r="H609" s="122" t="str">
        <f>IFERROR(__xludf.DUMMYFUNCTION("""COMPUTED_VALUE"""),"Active")</f>
        <v>Active</v>
      </c>
    </row>
    <row r="610">
      <c r="A610" s="131">
        <f>IFERROR(__xludf.DUMMYFUNCTION("""COMPUTED_VALUE"""),46173.31826388889)</f>
        <v>46173.31826</v>
      </c>
      <c r="B610" s="122" t="str">
        <f>IFERROR(__xludf.DUMMYFUNCTION("""COMPUTED_VALUE"""),"DRIP")</f>
        <v>DRIP</v>
      </c>
      <c r="C610" s="122" t="str">
        <f>IFERROR(__xludf.DUMMYFUNCTION("""COMPUTED_VALUE"""),"Drip Streetwear releases earnings report: Inline profit, guidance Maintained.")</f>
        <v>Drip Streetwear releases earnings report: Inline profit, guidance Maintained.</v>
      </c>
      <c r="D610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610" s="122" t="str">
        <f>IFERROR(__xludf.DUMMYFUNCTION("""COMPUTED_VALUE"""),"Neutral")</f>
        <v>Neutral</v>
      </c>
      <c r="F610" s="122">
        <f>IFERROR(__xludf.DUMMYFUNCTION("""COMPUTED_VALUE"""),0.0012135894723801944)</f>
        <v>0.001213589472</v>
      </c>
      <c r="G610" s="122">
        <f>IFERROR(__xludf.DUMMYFUNCTION("""COMPUTED_VALUE"""),0.030339736809504858)</f>
        <v>0.03033973681</v>
      </c>
      <c r="H610" s="122" t="str">
        <f>IFERROR(__xludf.DUMMYFUNCTION("""COMPUTED_VALUE"""),"Active")</f>
        <v>Active</v>
      </c>
    </row>
    <row r="611">
      <c r="A611" s="131">
        <f>IFERROR(__xludf.DUMMYFUNCTION("""COMPUTED_VALUE"""),46173.3308912037)</f>
        <v>46173.33089</v>
      </c>
      <c r="B611" s="122" t="str">
        <f>IFERROR(__xludf.DUMMYFUNCTION("""COMPUTED_VALUE"""),"SNAX")</f>
        <v>SNAX</v>
      </c>
      <c r="C611" s="122" t="str">
        <f>IFERROR(__xludf.DUMMYFUNCTION("""COMPUTED_VALUE"""),"MICA Snacks reports steady growth and improved market confidence.")</f>
        <v>MICA Snacks reports steady growth and improved market confidence.</v>
      </c>
      <c r="D611" s="122" t="str">
        <f>IFERROR(__xludf.DUMMYFUNCTION("""COMPUTED_VALUE"""),"MICA Snacks continues to show positive momentum with moderate risk.")</f>
        <v>MICA Snacks continues to show positive momentum with moderate risk.</v>
      </c>
      <c r="E611" s="122" t="str">
        <f>IFERROR(__xludf.DUMMYFUNCTION("""COMPUTED_VALUE"""),"Positive")</f>
        <v>Positive</v>
      </c>
      <c r="F611" s="122">
        <f>IFERROR(__xludf.DUMMYFUNCTION("""COMPUTED_VALUE"""),0.015)</f>
        <v>0.015</v>
      </c>
      <c r="G611" s="122">
        <f>IFERROR(__xludf.DUMMYFUNCTION("""COMPUTED_VALUE"""),0.5)</f>
        <v>0.5</v>
      </c>
      <c r="H611" s="122" t="str">
        <f>IFERROR(__xludf.DUMMYFUNCTION("""COMPUTED_VALUE"""),"Active")</f>
        <v>Active</v>
      </c>
    </row>
    <row r="612">
      <c r="A612" s="131">
        <f>IFERROR(__xludf.DUMMYFUNCTION("""COMPUTED_VALUE"""),46173.3308912037)</f>
        <v>46173.33089</v>
      </c>
      <c r="B612" s="122" t="str">
        <f>IFERROR(__xludf.DUMMYFUNCTION("""COMPUTED_VALUE"""),"RAMN")</f>
        <v>RAMN</v>
      </c>
      <c r="C612" s="122" t="str">
        <f>IFERROR(__xludf.DUMMYFUNCTION("""COMPUTED_VALUE"""),"Ramen Republic remains stable as the Food market shows normal activity.")</f>
        <v>Ramen Republic remains stable as the Food market shows normal activity.</v>
      </c>
      <c r="D612" s="122" t="str">
        <f>IFERROR(__xludf.DUMMYFUNCTION("""COMPUTED_VALUE"""),"Ramen Republic appears steady with no major changes reported.")</f>
        <v>Ramen Republic appears steady with no major changes reported.</v>
      </c>
      <c r="E612" s="122" t="str">
        <f>IFERROR(__xludf.DUMMYFUNCTION("""COMPUTED_VALUE"""),"Neutral")</f>
        <v>Neutral</v>
      </c>
      <c r="F612" s="122">
        <f>IFERROR(__xludf.DUMMYFUNCTION("""COMPUTED_VALUE"""),0.0)</f>
        <v>0</v>
      </c>
      <c r="G612" s="122">
        <f>IFERROR(__xludf.DUMMYFUNCTION("""COMPUTED_VALUE"""),0.0)</f>
        <v>0</v>
      </c>
      <c r="H612" s="122" t="str">
        <f>IFERROR(__xludf.DUMMYFUNCTION("""COMPUTED_VALUE"""),"Active")</f>
        <v>Active</v>
      </c>
    </row>
    <row r="613">
      <c r="A613" s="131">
        <f>IFERROR(__xludf.DUMMYFUNCTION("""COMPUTED_VALUE"""),46173.3308912037)</f>
        <v>46173.33089</v>
      </c>
      <c r="B613" s="122" t="str">
        <f>IFERROR(__xludf.DUMMYFUNCTION("""COMPUTED_VALUE"""),"COLA")</f>
        <v>COLA</v>
      </c>
      <c r="C613" s="122" t="str">
        <f>IFERROR(__xludf.DUMMYFUNCTION("""COMPUTED_VALUE"""),"K-Pop Cola sees uncertain trading as investors react to mixed signals.")</f>
        <v>K-Pop Cola sees uncertain trading as investors react to mixed signals.</v>
      </c>
      <c r="D613" s="122" t="str">
        <f>IFERROR(__xludf.DUMMYFUNCTION("""COMPUTED_VALUE"""),"K-Pop Cola may experience larger price swings as investors disagree on direction.")</f>
        <v>K-Pop Cola may experience larger price swings as investors disagree on direction.</v>
      </c>
      <c r="E613" s="122" t="str">
        <f>IFERROR(__xludf.DUMMYFUNCTION("""COMPUTED_VALUE"""),"Mixed")</f>
        <v>Mixed</v>
      </c>
      <c r="F613" s="122">
        <f>IFERROR(__xludf.DUMMYFUNCTION("""COMPUTED_VALUE"""),-0.0026445621566153175)</f>
        <v>-0.002644562157</v>
      </c>
      <c r="G613" s="122">
        <f>IFERROR(__xludf.DUMMYFUNCTION("""COMPUTED_VALUE"""),1.5)</f>
        <v>1.5</v>
      </c>
      <c r="H613" s="122" t="str">
        <f>IFERROR(__xludf.DUMMYFUNCTION("""COMPUTED_VALUE"""),"Active")</f>
        <v>Active</v>
      </c>
    </row>
    <row r="614">
      <c r="A614" s="131">
        <f>IFERROR(__xludf.DUMMYFUNCTION("""COMPUTED_VALUE"""),46173.3308912037)</f>
        <v>46173.33089</v>
      </c>
      <c r="B614" s="122" t="str">
        <f>IFERROR(__xludf.DUMMYFUNCTION("""COMPUTED_VALUE"""),"CHIP")</f>
        <v>CHIP</v>
      </c>
      <c r="C614" s="122" t="str">
        <f>IFERROR(__xludf.DUMMYFUNCTION("""COMPUTED_VALUE"""),"Chip Empire faces weaker demand and cautious investor sentiment.")</f>
        <v>Chip Empire faces weaker demand and cautious investor sentiment.</v>
      </c>
      <c r="D614" s="122" t="str">
        <f>IFERROR(__xludf.DUMMYFUNCTION("""COMPUTED_VALUE"""),"Investors are watching Chip Empire closely as demand weakens.")</f>
        <v>Investors are watching Chip Empire closely as demand weakens.</v>
      </c>
      <c r="E614" s="122" t="str">
        <f>IFERROR(__xludf.DUMMYFUNCTION("""COMPUTED_VALUE"""),"Negative")</f>
        <v>Negative</v>
      </c>
      <c r="F614" s="122">
        <f>IFERROR(__xludf.DUMMYFUNCTION("""COMPUTED_VALUE"""),-0.015)</f>
        <v>-0.015</v>
      </c>
      <c r="G614" s="122">
        <f>IFERROR(__xludf.DUMMYFUNCTION("""COMPUTED_VALUE"""),0.75)</f>
        <v>0.75</v>
      </c>
      <c r="H614" s="122" t="str">
        <f>IFERROR(__xludf.DUMMYFUNCTION("""COMPUTED_VALUE"""),"Active")</f>
        <v>Active</v>
      </c>
    </row>
    <row r="615">
      <c r="A615" s="131">
        <f>IFERROR(__xludf.DUMMYFUNCTION("""COMPUTED_VALUE"""),46173.33090277778)</f>
        <v>46173.3309</v>
      </c>
      <c r="B615" s="122" t="str">
        <f>IFERROR(__xludf.DUMMYFUNCTION("""COMPUTED_VALUE"""),"CAND")</f>
        <v>CAND</v>
      </c>
      <c r="C615" s="122" t="str">
        <f>IFERROR(__xludf.DUMMYFUNCTION("""COMPUTED_VALUE"""),"Candy Capital faces weaker demand and cautious investor sentiment.")</f>
        <v>Candy Capital faces weaker demand and cautious investor sentiment.</v>
      </c>
      <c r="D615" s="122" t="str">
        <f>IFERROR(__xludf.DUMMYFUNCTION("""COMPUTED_VALUE"""),"Investors are watching Candy Capital closely as demand weakens.")</f>
        <v>Investors are watching Candy Capital closely as demand weakens.</v>
      </c>
      <c r="E615" s="122" t="str">
        <f>IFERROR(__xludf.DUMMYFUNCTION("""COMPUTED_VALUE"""),"Negative")</f>
        <v>Negative</v>
      </c>
      <c r="F615" s="122">
        <f>IFERROR(__xludf.DUMMYFUNCTION("""COMPUTED_VALUE"""),-0.015)</f>
        <v>-0.015</v>
      </c>
      <c r="G615" s="122">
        <f>IFERROR(__xludf.DUMMYFUNCTION("""COMPUTED_VALUE"""),0.75)</f>
        <v>0.75</v>
      </c>
      <c r="H615" s="122" t="str">
        <f>IFERROR(__xludf.DUMMYFUNCTION("""COMPUTED_VALUE"""),"Active")</f>
        <v>Active</v>
      </c>
    </row>
    <row r="616">
      <c r="A616" s="131">
        <f>IFERROR(__xludf.DUMMYFUNCTION("""COMPUTED_VALUE"""),46173.33090277778)</f>
        <v>46173.3309</v>
      </c>
      <c r="B616" s="122" t="str">
        <f>IFERROR(__xludf.DUMMYFUNCTION("""COMPUTED_VALUE"""),"TECH")</f>
        <v>TECH</v>
      </c>
      <c r="C616" s="122" t="str">
        <f>IFERROR(__xludf.DUMMYFUNCTION("""COMPUTED_VALUE"""),"Dragon Tech surges as demand rises across the Technology sector.")</f>
        <v>Dragon Tech surges as demand rises across the Technology sector.</v>
      </c>
      <c r="D616" s="122" t="str">
        <f>IFERROR(__xludf.DUMMYFUNCTION("""COMPUTED_VALUE"""),"Dragon Tech is seeing strong demand, which may increase investor confidence.")</f>
        <v>Dragon Tech is seeing strong demand, which may increase investor confidence.</v>
      </c>
      <c r="E616" s="122" t="str">
        <f>IFERROR(__xludf.DUMMYFUNCTION("""COMPUTED_VALUE"""),"Positive")</f>
        <v>Positive</v>
      </c>
      <c r="F616" s="122">
        <f>IFERROR(__xludf.DUMMYFUNCTION("""COMPUTED_VALUE"""),0.03)</f>
        <v>0.03</v>
      </c>
      <c r="G616" s="122">
        <f>IFERROR(__xludf.DUMMYFUNCTION("""COMPUTED_VALUE"""),1.0)</f>
        <v>1</v>
      </c>
      <c r="H616" s="122" t="str">
        <f>IFERROR(__xludf.DUMMYFUNCTION("""COMPUTED_VALUE"""),"Active")</f>
        <v>Active</v>
      </c>
    </row>
    <row r="617">
      <c r="A617" s="131">
        <f>IFERROR(__xludf.DUMMYFUNCTION("""COMPUTED_VALUE"""),46173.33090277778)</f>
        <v>46173.3309</v>
      </c>
      <c r="B617" s="122" t="str">
        <f>IFERROR(__xludf.DUMMYFUNCTION("""COMPUTED_VALUE"""),"AIBO")</f>
        <v>AIBO</v>
      </c>
      <c r="C617" s="122" t="str">
        <f>IFERROR(__xludf.DUMMYFUNCTION("""COMPUTED_VALUE"""),"Homework AI remains stable as the Technology market shows normal activity.")</f>
        <v>Homework AI remains stable as the Technology market shows normal activity.</v>
      </c>
      <c r="D617" s="122" t="str">
        <f>IFERROR(__xludf.DUMMYFUNCTION("""COMPUTED_VALUE"""),"Homework AI appears steady with no major changes reported.")</f>
        <v>Homework AI appears steady with no major changes reported.</v>
      </c>
      <c r="E617" s="122" t="str">
        <f>IFERROR(__xludf.DUMMYFUNCTION("""COMPUTED_VALUE"""),"Neutral")</f>
        <v>Neutral</v>
      </c>
      <c r="F617" s="122">
        <f>IFERROR(__xludf.DUMMYFUNCTION("""COMPUTED_VALUE"""),0.0)</f>
        <v>0</v>
      </c>
      <c r="G617" s="122">
        <f>IFERROR(__xludf.DUMMYFUNCTION("""COMPUTED_VALUE"""),0.0)</f>
        <v>0</v>
      </c>
      <c r="H617" s="122" t="str">
        <f>IFERROR(__xludf.DUMMYFUNCTION("""COMPUTED_VALUE"""),"Active")</f>
        <v>Active</v>
      </c>
    </row>
    <row r="618">
      <c r="A618" s="131">
        <f>IFERROR(__xludf.DUMMYFUNCTION("""COMPUTED_VALUE"""),46173.33091435185)</f>
        <v>46173.33091</v>
      </c>
      <c r="B618" s="122" t="str">
        <f>IFERROR(__xludf.DUMMYFUNCTION("""COMPUTED_VALUE"""),"GAME")</f>
        <v>GAME</v>
      </c>
      <c r="C618" s="122" t="str">
        <f>IFERROR(__xludf.DUMMYFUNCTION("""COMPUTED_VALUE"""),"GameBox Media faces weaker demand and cautious investor sentiment.")</f>
        <v>GameBox Media faces weaker demand and cautious investor sentiment.</v>
      </c>
      <c r="D618" s="122" t="str">
        <f>IFERROR(__xludf.DUMMYFUNCTION("""COMPUTED_VALUE"""),"Investors are watching GameBox Media closely as demand weakens.")</f>
        <v>Investors are watching GameBox Media closely as demand weakens.</v>
      </c>
      <c r="E618" s="122" t="str">
        <f>IFERROR(__xludf.DUMMYFUNCTION("""COMPUTED_VALUE"""),"Negative")</f>
        <v>Negative</v>
      </c>
      <c r="F618" s="122">
        <f>IFERROR(__xludf.DUMMYFUNCTION("""COMPUTED_VALUE"""),-0.015)</f>
        <v>-0.015</v>
      </c>
      <c r="G618" s="122">
        <f>IFERROR(__xludf.DUMMYFUNCTION("""COMPUTED_VALUE"""),0.75)</f>
        <v>0.75</v>
      </c>
      <c r="H618" s="122" t="str">
        <f>IFERROR(__xludf.DUMMYFUNCTION("""COMPUTED_VALUE"""),"Active")</f>
        <v>Active</v>
      </c>
    </row>
    <row r="619">
      <c r="A619" s="131">
        <f>IFERROR(__xludf.DUMMYFUNCTION("""COMPUTED_VALUE"""),46173.33091435185)</f>
        <v>46173.33091</v>
      </c>
      <c r="B619" s="122" t="str">
        <f>IFERROR(__xludf.DUMMYFUNCTION("""COMPUTED_VALUE"""),"VRSE")</f>
        <v>VRSE</v>
      </c>
      <c r="C619" s="122" t="str">
        <f>IFERROR(__xludf.DUMMYFUNCTION("""COMPUTED_VALUE"""),"VerseVR remains stable as the Technology market shows normal activity.")</f>
        <v>VerseVR remains stable as the Technology market shows normal activity.</v>
      </c>
      <c r="D619" s="122" t="str">
        <f>IFERROR(__xludf.DUMMYFUNCTION("""COMPUTED_VALUE"""),"VerseVR appears steady with no major changes reported.")</f>
        <v>VerseVR appears steady with no major changes reported.</v>
      </c>
      <c r="E619" s="122" t="str">
        <f>IFERROR(__xludf.DUMMYFUNCTION("""COMPUTED_VALUE"""),"Neutral")</f>
        <v>Neutral</v>
      </c>
      <c r="F619" s="122">
        <f>IFERROR(__xludf.DUMMYFUNCTION("""COMPUTED_VALUE"""),0.0)</f>
        <v>0</v>
      </c>
      <c r="G619" s="122">
        <f>IFERROR(__xludf.DUMMYFUNCTION("""COMPUTED_VALUE"""),0.0)</f>
        <v>0</v>
      </c>
      <c r="H619" s="122" t="str">
        <f>IFERROR(__xludf.DUMMYFUNCTION("""COMPUTED_VALUE"""),"Active")</f>
        <v>Active</v>
      </c>
    </row>
    <row r="620">
      <c r="A620" s="131">
        <f>IFERROR(__xludf.DUMMYFUNCTION("""COMPUTED_VALUE"""),46173.33091435185)</f>
        <v>46173.33091</v>
      </c>
      <c r="B620" s="122" t="str">
        <f>IFERROR(__xludf.DUMMYFUNCTION("""COMPUTED_VALUE"""),"BYTE")</f>
        <v>BYTE</v>
      </c>
      <c r="C620" s="122" t="str">
        <f>IFERROR(__xludf.DUMMYFUNCTION("""COMPUTED_VALUE"""),"ByteWorks faces weaker demand and cautious investor sentiment.")</f>
        <v>ByteWorks faces weaker demand and cautious investor sentiment.</v>
      </c>
      <c r="D620" s="122" t="str">
        <f>IFERROR(__xludf.DUMMYFUNCTION("""COMPUTED_VALUE"""),"Investors are watching ByteWorks closely as demand weakens.")</f>
        <v>Investors are watching ByteWorks closely as demand weakens.</v>
      </c>
      <c r="E620" s="122" t="str">
        <f>IFERROR(__xludf.DUMMYFUNCTION("""COMPUTED_VALUE"""),"Negative")</f>
        <v>Negative</v>
      </c>
      <c r="F620" s="122">
        <f>IFERROR(__xludf.DUMMYFUNCTION("""COMPUTED_VALUE"""),-0.015)</f>
        <v>-0.015</v>
      </c>
      <c r="G620" s="122">
        <f>IFERROR(__xludf.DUMMYFUNCTION("""COMPUTED_VALUE"""),0.75)</f>
        <v>0.75</v>
      </c>
      <c r="H620" s="122" t="str">
        <f>IFERROR(__xludf.DUMMYFUNCTION("""COMPUTED_VALUE"""),"Active")</f>
        <v>Active</v>
      </c>
    </row>
    <row r="621">
      <c r="A621" s="131">
        <f>IFERROR(__xludf.DUMMYFUNCTION("""COMPUTED_VALUE"""),46173.330925925926)</f>
        <v>46173.33093</v>
      </c>
      <c r="B621" s="122" t="str">
        <f>IFERROR(__xludf.DUMMYFUNCTION("""COMPUTED_VALUE"""),"BANK")</f>
        <v>BANK</v>
      </c>
      <c r="C621" s="122" t="str">
        <f>IFERROR(__xludf.DUMMYFUNCTION("""COMPUTED_VALUE"""),"Tiger Bank faces weaker demand and cautious investor sentiment.")</f>
        <v>Tiger Bank faces weaker demand and cautious investor sentiment.</v>
      </c>
      <c r="D621" s="122" t="str">
        <f>IFERROR(__xludf.DUMMYFUNCTION("""COMPUTED_VALUE"""),"Investors are watching Tiger Bank closely as demand weakens.")</f>
        <v>Investors are watching Tiger Bank closely as demand weakens.</v>
      </c>
      <c r="E621" s="122" t="str">
        <f>IFERROR(__xludf.DUMMYFUNCTION("""COMPUTED_VALUE"""),"Negative")</f>
        <v>Negative</v>
      </c>
      <c r="F621" s="122">
        <f>IFERROR(__xludf.DUMMYFUNCTION("""COMPUTED_VALUE"""),-0.015)</f>
        <v>-0.015</v>
      </c>
      <c r="G621" s="122">
        <f>IFERROR(__xludf.DUMMYFUNCTION("""COMPUTED_VALUE"""),0.75)</f>
        <v>0.75</v>
      </c>
      <c r="H621" s="122" t="str">
        <f>IFERROR(__xludf.DUMMYFUNCTION("""COMPUTED_VALUE"""),"Active")</f>
        <v>Active</v>
      </c>
    </row>
    <row r="622">
      <c r="A622" s="131">
        <f>IFERROR(__xludf.DUMMYFUNCTION("""COMPUTED_VALUE"""),46173.330925925926)</f>
        <v>46173.33093</v>
      </c>
      <c r="B622" s="122" t="str">
        <f>IFERROR(__xludf.DUMMYFUNCTION("""COMPUTED_VALUE"""),"CRED")</f>
        <v>CRED</v>
      </c>
      <c r="C622" s="122" t="str">
        <f>IFERROR(__xludf.DUMMYFUNCTION("""COMPUTED_VALUE"""),"Credit Castle remains stable as the Finance market shows normal activity.")</f>
        <v>Credit Castle remains stable as the Finance market shows normal activity.</v>
      </c>
      <c r="D622" s="122" t="str">
        <f>IFERROR(__xludf.DUMMYFUNCTION("""COMPUTED_VALUE"""),"Credit Castle appears steady with no major changes reported.")</f>
        <v>Credit Castle appears steady with no major changes reported.</v>
      </c>
      <c r="E622" s="122" t="str">
        <f>IFERROR(__xludf.DUMMYFUNCTION("""COMPUTED_VALUE"""),"Neutral")</f>
        <v>Neutral</v>
      </c>
      <c r="F622" s="122">
        <f>IFERROR(__xludf.DUMMYFUNCTION("""COMPUTED_VALUE"""),0.0)</f>
        <v>0</v>
      </c>
      <c r="G622" s="122">
        <f>IFERROR(__xludf.DUMMYFUNCTION("""COMPUTED_VALUE"""),0.0)</f>
        <v>0</v>
      </c>
      <c r="H622" s="122" t="str">
        <f>IFERROR(__xludf.DUMMYFUNCTION("""COMPUTED_VALUE"""),"Active")</f>
        <v>Active</v>
      </c>
    </row>
    <row r="623">
      <c r="A623" s="131">
        <f>IFERROR(__xludf.DUMMYFUNCTION("""COMPUTED_VALUE"""),46173.3309375)</f>
        <v>46173.33094</v>
      </c>
      <c r="B623" s="122" t="str">
        <f>IFERROR(__xludf.DUMMYFUNCTION("""COMPUTED_VALUE"""),"BOND")</f>
        <v>BOND</v>
      </c>
      <c r="C623" s="122" t="str">
        <f>IFERROR(__xludf.DUMMYFUNCTION("""COMPUTED_VALUE"""),"BondBridge faces weaker demand and cautious investor sentiment.")</f>
        <v>BondBridge faces weaker demand and cautious investor sentiment.</v>
      </c>
      <c r="D623" s="122" t="str">
        <f>IFERROR(__xludf.DUMMYFUNCTION("""COMPUTED_VALUE"""),"Investors are watching BondBridge closely as demand weakens.")</f>
        <v>Investors are watching BondBridge closely as demand weakens.</v>
      </c>
      <c r="E623" s="122" t="str">
        <f>IFERROR(__xludf.DUMMYFUNCTION("""COMPUTED_VALUE"""),"Negative")</f>
        <v>Negative</v>
      </c>
      <c r="F623" s="122">
        <f>IFERROR(__xludf.DUMMYFUNCTION("""COMPUTED_VALUE"""),-0.015)</f>
        <v>-0.015</v>
      </c>
      <c r="G623" s="122">
        <f>IFERROR(__xludf.DUMMYFUNCTION("""COMPUTED_VALUE"""),0.75)</f>
        <v>0.75</v>
      </c>
      <c r="H623" s="122" t="str">
        <f>IFERROR(__xludf.DUMMYFUNCTION("""COMPUTED_VALUE"""),"Active")</f>
        <v>Active</v>
      </c>
    </row>
    <row r="624">
      <c r="A624" s="131">
        <f>IFERROR(__xludf.DUMMYFUNCTION("""COMPUTED_VALUE"""),46173.3309375)</f>
        <v>46173.33094</v>
      </c>
      <c r="B624" s="122" t="str">
        <f>IFERROR(__xludf.DUMMYFUNCTION("""COMPUTED_VALUE"""),"INSR")</f>
        <v>INSR</v>
      </c>
      <c r="C624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624" s="122" t="str">
        <f>IFERROR(__xludf.DUMMYFUNCTION("""COMPUTED_VALUE"""),"Shield Insurance appears steady with no major changes reported.")</f>
        <v>Shield Insurance appears steady with no major changes reported.</v>
      </c>
      <c r="E624" s="122" t="str">
        <f>IFERROR(__xludf.DUMMYFUNCTION("""COMPUTED_VALUE"""),"Neutral")</f>
        <v>Neutral</v>
      </c>
      <c r="F624" s="122">
        <f>IFERROR(__xludf.DUMMYFUNCTION("""COMPUTED_VALUE"""),0.0)</f>
        <v>0</v>
      </c>
      <c r="G624" s="122">
        <f>IFERROR(__xludf.DUMMYFUNCTION("""COMPUTED_VALUE"""),0.0)</f>
        <v>0</v>
      </c>
      <c r="H624" s="122" t="str">
        <f>IFERROR(__xludf.DUMMYFUNCTION("""COMPUTED_VALUE"""),"Active")</f>
        <v>Active</v>
      </c>
    </row>
    <row r="625">
      <c r="A625" s="131">
        <f>IFERROR(__xludf.DUMMYFUNCTION("""COMPUTED_VALUE"""),46173.3309375)</f>
        <v>46173.33094</v>
      </c>
      <c r="B625" s="122" t="str">
        <f>IFERROR(__xludf.DUMMYFUNCTION("""COMPUTED_VALUE"""),"LOAN")</f>
        <v>LOAN</v>
      </c>
      <c r="C625" s="122" t="str">
        <f>IFERROR(__xludf.DUMMYFUNCTION("""COMPUTED_VALUE"""),"LoanLab faces weaker demand and cautious investor sentiment.")</f>
        <v>LoanLab faces weaker demand and cautious investor sentiment.</v>
      </c>
      <c r="D625" s="122" t="str">
        <f>IFERROR(__xludf.DUMMYFUNCTION("""COMPUTED_VALUE"""),"Investors are watching LoanLab closely as demand weakens.")</f>
        <v>Investors are watching LoanLab closely as demand weakens.</v>
      </c>
      <c r="E625" s="122" t="str">
        <f>IFERROR(__xludf.DUMMYFUNCTION("""COMPUTED_VALUE"""),"Negative")</f>
        <v>Negative</v>
      </c>
      <c r="F625" s="122">
        <f>IFERROR(__xludf.DUMMYFUNCTION("""COMPUTED_VALUE"""),-0.015)</f>
        <v>-0.015</v>
      </c>
      <c r="G625" s="122">
        <f>IFERROR(__xludf.DUMMYFUNCTION("""COMPUTED_VALUE"""),0.75)</f>
        <v>0.75</v>
      </c>
      <c r="H625" s="122" t="str">
        <f>IFERROR(__xludf.DUMMYFUNCTION("""COMPUTED_VALUE"""),"Active")</f>
        <v>Active</v>
      </c>
    </row>
    <row r="626">
      <c r="A626" s="131">
        <f>IFERROR(__xludf.DUMMYFUNCTION("""COMPUTED_VALUE"""),46173.33094907407)</f>
        <v>46173.33095</v>
      </c>
      <c r="B626" s="122" t="str">
        <f>IFERROR(__xludf.DUMMYFUNCTION("""COMPUTED_VALUE"""),"LUXE")</f>
        <v>LUXE</v>
      </c>
      <c r="C626" s="122" t="str">
        <f>IFERROR(__xludf.DUMMYFUNCTION("""COMPUTED_VALUE"""),"Luxury Locker faces weaker demand and cautious investor sentiment.")</f>
        <v>Luxury Locker faces weaker demand and cautious investor sentiment.</v>
      </c>
      <c r="D626" s="122" t="str">
        <f>IFERROR(__xludf.DUMMYFUNCTION("""COMPUTED_VALUE"""),"Investors are watching Luxury Locker closely as demand weakens.")</f>
        <v>Investors are watching Luxury Locker closely as demand weakens.</v>
      </c>
      <c r="E626" s="122" t="str">
        <f>IFERROR(__xludf.DUMMYFUNCTION("""COMPUTED_VALUE"""),"Negative")</f>
        <v>Negative</v>
      </c>
      <c r="F626" s="122">
        <f>IFERROR(__xludf.DUMMYFUNCTION("""COMPUTED_VALUE"""),-0.015)</f>
        <v>-0.015</v>
      </c>
      <c r="G626" s="122">
        <f>IFERROR(__xludf.DUMMYFUNCTION("""COMPUTED_VALUE"""),0.75)</f>
        <v>0.75</v>
      </c>
      <c r="H626" s="122" t="str">
        <f>IFERROR(__xludf.DUMMYFUNCTION("""COMPUTED_VALUE"""),"Active")</f>
        <v>Active</v>
      </c>
    </row>
    <row r="627">
      <c r="A627" s="131">
        <f>IFERROR(__xludf.DUMMYFUNCTION("""COMPUTED_VALUE"""),46173.33094907407)</f>
        <v>46173.33095</v>
      </c>
      <c r="B627" s="122" t="str">
        <f>IFERROR(__xludf.DUMMYFUNCTION("""COMPUTED_VALUE"""),"DRIP")</f>
        <v>DRIP</v>
      </c>
      <c r="C627" s="122" t="str">
        <f>IFERROR(__xludf.DUMMYFUNCTION("""COMPUTED_VALUE"""),"Drip Streetwear faces weaker demand and cautious investor sentiment.")</f>
        <v>Drip Streetwear faces weaker demand and cautious investor sentiment.</v>
      </c>
      <c r="D627" s="122" t="str">
        <f>IFERROR(__xludf.DUMMYFUNCTION("""COMPUTED_VALUE"""),"Investors are watching Drip Streetwear closely as demand weakens.")</f>
        <v>Investors are watching Drip Streetwear closely as demand weakens.</v>
      </c>
      <c r="E627" s="122" t="str">
        <f>IFERROR(__xludf.DUMMYFUNCTION("""COMPUTED_VALUE"""),"Negative")</f>
        <v>Negative</v>
      </c>
      <c r="F627" s="122">
        <f>IFERROR(__xludf.DUMMYFUNCTION("""COMPUTED_VALUE"""),-0.015)</f>
        <v>-0.015</v>
      </c>
      <c r="G627" s="122">
        <f>IFERROR(__xludf.DUMMYFUNCTION("""COMPUTED_VALUE"""),0.75)</f>
        <v>0.75</v>
      </c>
      <c r="H627" s="122" t="str">
        <f>IFERROR(__xludf.DUMMYFUNCTION("""COMPUTED_VALUE"""),"Active")</f>
        <v>Active</v>
      </c>
    </row>
    <row r="628">
      <c r="A628" s="131">
        <f>IFERROR(__xludf.DUMMYFUNCTION("""COMPUTED_VALUE"""),46173.33096064815)</f>
        <v>46173.33096</v>
      </c>
      <c r="B628" s="122" t="str">
        <f>IFERROR(__xludf.DUMMYFUNCTION("""COMPUTED_VALUE"""),"KICK")</f>
        <v>KICK</v>
      </c>
      <c r="C628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628" s="122" t="str">
        <f>IFERROR(__xludf.DUMMYFUNCTION("""COMPUTED_VALUE"""),"KickDrop Sneakers appears steady with no major changes reported.")</f>
        <v>KickDrop Sneakers appears steady with no major changes reported.</v>
      </c>
      <c r="E628" s="122" t="str">
        <f>IFERROR(__xludf.DUMMYFUNCTION("""COMPUTED_VALUE"""),"Neutral")</f>
        <v>Neutral</v>
      </c>
      <c r="F628" s="122">
        <f>IFERROR(__xludf.DUMMYFUNCTION("""COMPUTED_VALUE"""),0.0)</f>
        <v>0</v>
      </c>
      <c r="G628" s="122">
        <f>IFERROR(__xludf.DUMMYFUNCTION("""COMPUTED_VALUE"""),0.0)</f>
        <v>0</v>
      </c>
      <c r="H628" s="122" t="str">
        <f>IFERROR(__xludf.DUMMYFUNCTION("""COMPUTED_VALUE"""),"Active")</f>
        <v>Active</v>
      </c>
    </row>
    <row r="629">
      <c r="A629" s="131">
        <f>IFERROR(__xludf.DUMMYFUNCTION("""COMPUTED_VALUE"""),46173.33096064815)</f>
        <v>46173.33096</v>
      </c>
      <c r="B629" s="122" t="str">
        <f>IFERROR(__xludf.DUMMYFUNCTION("""COMPUTED_VALUE"""),"GLAM")</f>
        <v>GLAM</v>
      </c>
      <c r="C629" s="122" t="str">
        <f>IFERROR(__xludf.DUMMYFUNCTION("""COMPUTED_VALUE"""),"Glow Cosmetics faces weaker demand and cautious investor sentiment.")</f>
        <v>Glow Cosmetics faces weaker demand and cautious investor sentiment.</v>
      </c>
      <c r="D629" s="122" t="str">
        <f>IFERROR(__xludf.DUMMYFUNCTION("""COMPUTED_VALUE"""),"Investors are watching Glow Cosmetics closely as demand weakens.")</f>
        <v>Investors are watching Glow Cosmetics closely as demand weakens.</v>
      </c>
      <c r="E629" s="122" t="str">
        <f>IFERROR(__xludf.DUMMYFUNCTION("""COMPUTED_VALUE"""),"Negative")</f>
        <v>Negative</v>
      </c>
      <c r="F629" s="122">
        <f>IFERROR(__xludf.DUMMYFUNCTION("""COMPUTED_VALUE"""),-0.015)</f>
        <v>-0.015</v>
      </c>
      <c r="G629" s="122">
        <f>IFERROR(__xludf.DUMMYFUNCTION("""COMPUTED_VALUE"""),0.75)</f>
        <v>0.75</v>
      </c>
      <c r="H629" s="122" t="str">
        <f>IFERROR(__xludf.DUMMYFUNCTION("""COMPUTED_VALUE"""),"Active")</f>
        <v>Active</v>
      </c>
    </row>
    <row r="630">
      <c r="A630" s="131">
        <f>IFERROR(__xludf.DUMMYFUNCTION("""COMPUTED_VALUE"""),46173.33096064815)</f>
        <v>46173.33096</v>
      </c>
      <c r="B630" s="122" t="str">
        <f>IFERROR(__xludf.DUMMYFUNCTION("""COMPUTED_VALUE"""),"BAGG")</f>
        <v>BAGG</v>
      </c>
      <c r="C630" s="122" t="str">
        <f>IFERROR(__xludf.DUMMYFUNCTION("""COMPUTED_VALUE"""),"BagVault sees uncertain trading as investors react to mixed signals.")</f>
        <v>BagVault sees uncertain trading as investors react to mixed signals.</v>
      </c>
      <c r="D630" s="122" t="str">
        <f>IFERROR(__xludf.DUMMYFUNCTION("""COMPUTED_VALUE"""),"BagVault may experience larger price swings as investors disagree on direction.")</f>
        <v>BagVault may experience larger price swings as investors disagree on direction.</v>
      </c>
      <c r="E630" s="122" t="str">
        <f>IFERROR(__xludf.DUMMYFUNCTION("""COMPUTED_VALUE"""),"Mixed")</f>
        <v>Mixed</v>
      </c>
      <c r="F630" s="122">
        <f>IFERROR(__xludf.DUMMYFUNCTION("""COMPUTED_VALUE"""),0.005818461693650526)</f>
        <v>0.005818461694</v>
      </c>
      <c r="G630" s="122">
        <f>IFERROR(__xludf.DUMMYFUNCTION("""COMPUTED_VALUE"""),1.5)</f>
        <v>1.5</v>
      </c>
      <c r="H630" s="122" t="str">
        <f>IFERROR(__xludf.DUMMYFUNCTION("""COMPUTED_VALUE"""),"Active")</f>
        <v>Active</v>
      </c>
    </row>
    <row r="631">
      <c r="A631" s="131">
        <f>IFERROR(__xludf.DUMMYFUNCTION("""COMPUTED_VALUE"""),46173.330972222226)</f>
        <v>46173.33097</v>
      </c>
      <c r="B631" s="122" t="str">
        <f>IFERROR(__xludf.DUMMYFUNCTION("""COMPUTED_VALUE"""),"FAST")</f>
        <v>FAST</v>
      </c>
      <c r="C631" s="122" t="str">
        <f>IFERROR(__xludf.DUMMYFUNCTION("""COMPUTED_VALUE"""),"Flash Logistics sees uncertain trading as investors react to mixed signals.")</f>
        <v>Flash Logistics sees uncertain trading as investors react to mixed signals.</v>
      </c>
      <c r="D631" s="122" t="str">
        <f>IFERROR(__xludf.DUMMYFUNCTION("""COMPUTED_VALUE"""),"Flash Logistics may experience larger price swings as investors disagree on direction.")</f>
        <v>Flash Logistics may experience larger price swings as investors disagree on direction.</v>
      </c>
      <c r="E631" s="122" t="str">
        <f>IFERROR(__xludf.DUMMYFUNCTION("""COMPUTED_VALUE"""),"Mixed")</f>
        <v>Mixed</v>
      </c>
      <c r="F631" s="122">
        <f>IFERROR(__xludf.DUMMYFUNCTION("""COMPUTED_VALUE"""),-0.01289982780327255)</f>
        <v>-0.0128998278</v>
      </c>
      <c r="G631" s="122">
        <f>IFERROR(__xludf.DUMMYFUNCTION("""COMPUTED_VALUE"""),1.5)</f>
        <v>1.5</v>
      </c>
      <c r="H631" s="122" t="str">
        <f>IFERROR(__xludf.DUMMYFUNCTION("""COMPUTED_VALUE"""),"Active")</f>
        <v>Active</v>
      </c>
    </row>
    <row r="632">
      <c r="A632" s="131">
        <f>IFERROR(__xludf.DUMMYFUNCTION("""COMPUTED_VALUE"""),46173.330972222226)</f>
        <v>46173.33097</v>
      </c>
      <c r="B632" s="122" t="str">
        <f>IFERROR(__xludf.DUMMYFUNCTION("""COMPUTED_VALUE"""),"SHIP")</f>
        <v>SHIP</v>
      </c>
      <c r="C632" s="122" t="str">
        <f>IFERROR(__xludf.DUMMYFUNCTION("""COMPUTED_VALUE"""),"Seoul Shipping reports steady growth and improved market confidence.")</f>
        <v>Seoul Shipping reports steady growth and improved market confidence.</v>
      </c>
      <c r="D632" s="122" t="str">
        <f>IFERROR(__xludf.DUMMYFUNCTION("""COMPUTED_VALUE"""),"Seoul Shipping continues to show positive momentum with moderate risk.")</f>
        <v>Seoul Shipping continues to show positive momentum with moderate risk.</v>
      </c>
      <c r="E632" s="122" t="str">
        <f>IFERROR(__xludf.DUMMYFUNCTION("""COMPUTED_VALUE"""),"Positive")</f>
        <v>Positive</v>
      </c>
      <c r="F632" s="122">
        <f>IFERROR(__xludf.DUMMYFUNCTION("""COMPUTED_VALUE"""),0.015)</f>
        <v>0.015</v>
      </c>
      <c r="G632" s="122">
        <f>IFERROR(__xludf.DUMMYFUNCTION("""COMPUTED_VALUE"""),0.5)</f>
        <v>0.5</v>
      </c>
      <c r="H632" s="122" t="str">
        <f>IFERROR(__xludf.DUMMYFUNCTION("""COMPUTED_VALUE"""),"Active")</f>
        <v>Active</v>
      </c>
    </row>
    <row r="633">
      <c r="A633" s="131">
        <f>IFERROR(__xludf.DUMMYFUNCTION("""COMPUTED_VALUE"""),46173.330983796295)</f>
        <v>46173.33098</v>
      </c>
      <c r="B633" s="122" t="str">
        <f>IFERROR(__xludf.DUMMYFUNCTION("""COMPUTED_VALUE"""),"DRON")</f>
        <v>DRON</v>
      </c>
      <c r="C633" s="122" t="str">
        <f>IFERROR(__xludf.DUMMYFUNCTION("""COMPUTED_VALUE"""),"DroneDrop remains stable as the Logistics market shows normal activity.")</f>
        <v>DroneDrop remains stable as the Logistics market shows normal activity.</v>
      </c>
      <c r="D633" s="122" t="str">
        <f>IFERROR(__xludf.DUMMYFUNCTION("""COMPUTED_VALUE"""),"DroneDrop appears steady with no major changes reported.")</f>
        <v>DroneDrop appears steady with no major changes reported.</v>
      </c>
      <c r="E633" s="122" t="str">
        <f>IFERROR(__xludf.DUMMYFUNCTION("""COMPUTED_VALUE"""),"Neutral")</f>
        <v>Neutral</v>
      </c>
      <c r="F633" s="122">
        <f>IFERROR(__xludf.DUMMYFUNCTION("""COMPUTED_VALUE"""),0.0)</f>
        <v>0</v>
      </c>
      <c r="G633" s="122">
        <f>IFERROR(__xludf.DUMMYFUNCTION("""COMPUTED_VALUE"""),0.0)</f>
        <v>0</v>
      </c>
      <c r="H633" s="122" t="str">
        <f>IFERROR(__xludf.DUMMYFUNCTION("""COMPUTED_VALUE"""),"Active")</f>
        <v>Active</v>
      </c>
    </row>
    <row r="634">
      <c r="A634" s="131">
        <f>IFERROR(__xludf.DUMMYFUNCTION("""COMPUTED_VALUE"""),46173.330983796295)</f>
        <v>46173.33098</v>
      </c>
      <c r="B634" s="122" t="str">
        <f>IFERROR(__xludf.DUMMYFUNCTION("""COMPUTED_VALUE"""),"RIDE")</f>
        <v>RIDE</v>
      </c>
      <c r="C634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634" s="122" t="str">
        <f>IFERROR(__xludf.DUMMYFUNCTION("""COMPUTED_VALUE"""),"QuickRide appears steady with no major changes reported.")</f>
        <v>QuickRide appears steady with no major changes reported.</v>
      </c>
      <c r="E634" s="122" t="str">
        <f>IFERROR(__xludf.DUMMYFUNCTION("""COMPUTED_VALUE"""),"Neutral")</f>
        <v>Neutral</v>
      </c>
      <c r="F634" s="122">
        <f>IFERROR(__xludf.DUMMYFUNCTION("""COMPUTED_VALUE"""),0.0)</f>
        <v>0</v>
      </c>
      <c r="G634" s="122">
        <f>IFERROR(__xludf.DUMMYFUNCTION("""COMPUTED_VALUE"""),0.0)</f>
        <v>0</v>
      </c>
      <c r="H634" s="122" t="str">
        <f>IFERROR(__xludf.DUMMYFUNCTION("""COMPUTED_VALUE"""),"Active")</f>
        <v>Active</v>
      </c>
    </row>
    <row r="635">
      <c r="A635" s="131">
        <f>IFERROR(__xludf.DUMMYFUNCTION("""COMPUTED_VALUE"""),46173.330983796295)</f>
        <v>46173.33098</v>
      </c>
      <c r="B635" s="122" t="str">
        <f>IFERROR(__xludf.DUMMYFUNCTION("""COMPUTED_VALUE"""),"RAIL")</f>
        <v>RAIL</v>
      </c>
      <c r="C635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635" s="122" t="str">
        <f>IFERROR(__xludf.DUMMYFUNCTION("""COMPUTED_VALUE"""),"MetroRail Corp appears steady with no major changes reported.")</f>
        <v>MetroRail Corp appears steady with no major changes reported.</v>
      </c>
      <c r="E635" s="122" t="str">
        <f>IFERROR(__xludf.DUMMYFUNCTION("""COMPUTED_VALUE"""),"Neutral")</f>
        <v>Neutral</v>
      </c>
      <c r="F635" s="122">
        <f>IFERROR(__xludf.DUMMYFUNCTION("""COMPUTED_VALUE"""),0.0)</f>
        <v>0</v>
      </c>
      <c r="G635" s="122">
        <f>IFERROR(__xludf.DUMMYFUNCTION("""COMPUTED_VALUE"""),0.0)</f>
        <v>0</v>
      </c>
      <c r="H635" s="122" t="str">
        <f>IFERROR(__xludf.DUMMYFUNCTION("""COMPUTED_VALUE"""),"Active")</f>
        <v>Active</v>
      </c>
    </row>
    <row r="636">
      <c r="A636" s="131">
        <f>IFERROR(__xludf.DUMMYFUNCTION("""COMPUTED_VALUE"""),46173.33099537037)</f>
        <v>46173.331</v>
      </c>
      <c r="B636" s="122" t="str">
        <f>IFERROR(__xludf.DUMMYFUNCTION("""COMPUTED_VALUE"""),"MEDX")</f>
        <v>MEDX</v>
      </c>
      <c r="C636" s="122" t="str">
        <f>IFERROR(__xludf.DUMMYFUNCTION("""COMPUTED_VALUE"""),"MediCore reports steady growth and improved market confidence.")</f>
        <v>MediCore reports steady growth and improved market confidence.</v>
      </c>
      <c r="D636" s="122" t="str">
        <f>IFERROR(__xludf.DUMMYFUNCTION("""COMPUTED_VALUE"""),"MediCore continues to show positive momentum with moderate risk.")</f>
        <v>MediCore continues to show positive momentum with moderate risk.</v>
      </c>
      <c r="E636" s="122" t="str">
        <f>IFERROR(__xludf.DUMMYFUNCTION("""COMPUTED_VALUE"""),"Positive")</f>
        <v>Positive</v>
      </c>
      <c r="F636" s="122">
        <f>IFERROR(__xludf.DUMMYFUNCTION("""COMPUTED_VALUE"""),0.015)</f>
        <v>0.015</v>
      </c>
      <c r="G636" s="122">
        <f>IFERROR(__xludf.DUMMYFUNCTION("""COMPUTED_VALUE"""),0.5)</f>
        <v>0.5</v>
      </c>
      <c r="H636" s="122" t="str">
        <f>IFERROR(__xludf.DUMMYFUNCTION("""COMPUTED_VALUE"""),"Active")</f>
        <v>Active</v>
      </c>
    </row>
    <row r="637">
      <c r="A637" s="131">
        <f>IFERROR(__xludf.DUMMYFUNCTION("""COMPUTED_VALUE"""),46173.33100694444)</f>
        <v>46173.33101</v>
      </c>
      <c r="B637" s="122" t="str">
        <f>IFERROR(__xludf.DUMMYFUNCTION("""COMPUTED_VALUE"""),"GYMX")</f>
        <v>GYMX</v>
      </c>
      <c r="C637" s="122" t="str">
        <f>IFERROR(__xludf.DUMMYFUNCTION("""COMPUTED_VALUE"""),"GymX Fitness reports steady growth and improved market confidence.")</f>
        <v>GymX Fitness reports steady growth and improved market confidence.</v>
      </c>
      <c r="D637" s="122" t="str">
        <f>IFERROR(__xludf.DUMMYFUNCTION("""COMPUTED_VALUE"""),"GymX Fitness continues to show positive momentum with moderate risk.")</f>
        <v>GymX Fitness continues to show positive momentum with moderate risk.</v>
      </c>
      <c r="E637" s="122" t="str">
        <f>IFERROR(__xludf.DUMMYFUNCTION("""COMPUTED_VALUE"""),"Positive")</f>
        <v>Positive</v>
      </c>
      <c r="F637" s="122">
        <f>IFERROR(__xludf.DUMMYFUNCTION("""COMPUTED_VALUE"""),0.015)</f>
        <v>0.015</v>
      </c>
      <c r="G637" s="122">
        <f>IFERROR(__xludf.DUMMYFUNCTION("""COMPUTED_VALUE"""),0.5)</f>
        <v>0.5</v>
      </c>
      <c r="H637" s="122" t="str">
        <f>IFERROR(__xludf.DUMMYFUNCTION("""COMPUTED_VALUE"""),"Active")</f>
        <v>Active</v>
      </c>
    </row>
    <row r="638">
      <c r="A638" s="131">
        <f>IFERROR(__xludf.DUMMYFUNCTION("""COMPUTED_VALUE"""),46173.33100694444)</f>
        <v>46173.33101</v>
      </c>
      <c r="B638" s="122" t="str">
        <f>IFERROR(__xludf.DUMMYFUNCTION("""COMPUTED_VALUE"""),"VITA")</f>
        <v>VITA</v>
      </c>
      <c r="C638" s="122" t="str">
        <f>IFERROR(__xludf.DUMMYFUNCTION("""COMPUTED_VALUE"""),"VitaPlus remains stable as the Healthcare market shows normal activity.")</f>
        <v>VitaPlus remains stable as the Healthcare market shows normal activity.</v>
      </c>
      <c r="D638" s="122" t="str">
        <f>IFERROR(__xludf.DUMMYFUNCTION("""COMPUTED_VALUE"""),"VitaPlus appears steady with no major changes reported.")</f>
        <v>VitaPlus appears steady with no major changes reported.</v>
      </c>
      <c r="E638" s="122" t="str">
        <f>IFERROR(__xludf.DUMMYFUNCTION("""COMPUTED_VALUE"""),"Neutral")</f>
        <v>Neutral</v>
      </c>
      <c r="F638" s="122">
        <f>IFERROR(__xludf.DUMMYFUNCTION("""COMPUTED_VALUE"""),0.0)</f>
        <v>0</v>
      </c>
      <c r="G638" s="122">
        <f>IFERROR(__xludf.DUMMYFUNCTION("""COMPUTED_VALUE"""),0.0)</f>
        <v>0</v>
      </c>
      <c r="H638" s="122" t="str">
        <f>IFERROR(__xludf.DUMMYFUNCTION("""COMPUTED_VALUE"""),"Active")</f>
        <v>Active</v>
      </c>
    </row>
    <row r="639">
      <c r="A639" s="131">
        <f>IFERROR(__xludf.DUMMYFUNCTION("""COMPUTED_VALUE"""),46173.33100694444)</f>
        <v>46173.33101</v>
      </c>
      <c r="B639" s="122" t="str">
        <f>IFERROR(__xludf.DUMMYFUNCTION("""COMPUTED_VALUE"""),"CARE")</f>
        <v>CARE</v>
      </c>
      <c r="C639" s="122" t="str">
        <f>IFERROR(__xludf.DUMMYFUNCTION("""COMPUTED_VALUE"""),"CareCloud sees uncertain trading as investors react to mixed signals.")</f>
        <v>CareCloud sees uncertain trading as investors react to mixed signals.</v>
      </c>
      <c r="D639" s="122" t="str">
        <f>IFERROR(__xludf.DUMMYFUNCTION("""COMPUTED_VALUE"""),"CareCloud may experience larger price swings as investors disagree on direction.")</f>
        <v>CareCloud may experience larger price swings as investors disagree on direction.</v>
      </c>
      <c r="E639" s="122" t="str">
        <f>IFERROR(__xludf.DUMMYFUNCTION("""COMPUTED_VALUE"""),"Mixed")</f>
        <v>Mixed</v>
      </c>
      <c r="F639" s="122">
        <f>IFERROR(__xludf.DUMMYFUNCTION("""COMPUTED_VALUE"""),0.006176477161631295)</f>
        <v>0.006176477162</v>
      </c>
      <c r="G639" s="122">
        <f>IFERROR(__xludf.DUMMYFUNCTION("""COMPUTED_VALUE"""),1.5)</f>
        <v>1.5</v>
      </c>
      <c r="H639" s="122" t="str">
        <f>IFERROR(__xludf.DUMMYFUNCTION("""COMPUTED_VALUE"""),"Active")</f>
        <v>Active</v>
      </c>
    </row>
    <row r="640">
      <c r="A640" s="131">
        <f>IFERROR(__xludf.DUMMYFUNCTION("""COMPUTED_VALUE"""),46173.33101851852)</f>
        <v>46173.33102</v>
      </c>
      <c r="B640" s="122" t="str">
        <f>IFERROR(__xludf.DUMMYFUNCTION("""COMPUTED_VALUE"""),"DENT")</f>
        <v>DENT</v>
      </c>
      <c r="C640" s="122" t="str">
        <f>IFERROR(__xludf.DUMMYFUNCTION("""COMPUTED_VALUE"""),"SmileWorks remains stable as the Healthcare market shows normal activity.")</f>
        <v>SmileWorks remains stable as the Healthcare market shows normal activity.</v>
      </c>
      <c r="D640" s="122" t="str">
        <f>IFERROR(__xludf.DUMMYFUNCTION("""COMPUTED_VALUE"""),"SmileWorks appears steady with no major changes reported.")</f>
        <v>SmileWorks appears steady with no major changes reported.</v>
      </c>
      <c r="E640" s="122" t="str">
        <f>IFERROR(__xludf.DUMMYFUNCTION("""COMPUTED_VALUE"""),"Neutral")</f>
        <v>Neutral</v>
      </c>
      <c r="F640" s="122">
        <f>IFERROR(__xludf.DUMMYFUNCTION("""COMPUTED_VALUE"""),0.0)</f>
        <v>0</v>
      </c>
      <c r="G640" s="122">
        <f>IFERROR(__xludf.DUMMYFUNCTION("""COMPUTED_VALUE"""),0.0)</f>
        <v>0</v>
      </c>
      <c r="H640" s="122" t="str">
        <f>IFERROR(__xludf.DUMMYFUNCTION("""COMPUTED_VALUE"""),"Active")</f>
        <v>Active</v>
      </c>
    </row>
    <row r="641">
      <c r="A641" s="131">
        <f>IFERROR(__xludf.DUMMYFUNCTION("""COMPUTED_VALUE"""),46173.33101851852)</f>
        <v>46173.33102</v>
      </c>
      <c r="B641" s="122" t="str">
        <f>IFERROR(__xludf.DUMMYFUNCTION("""COMPUTED_VALUE"""),"EDUX")</f>
        <v>EDUX</v>
      </c>
      <c r="C641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641" s="122" t="str">
        <f>IFERROR(__xludf.DUMMYFUNCTION("""COMPUTED_VALUE"""),"EduMax Learning appears steady with no major changes reported.")</f>
        <v>EduMax Learning appears steady with no major changes reported.</v>
      </c>
      <c r="E641" s="122" t="str">
        <f>IFERROR(__xludf.DUMMYFUNCTION("""COMPUTED_VALUE"""),"Neutral")</f>
        <v>Neutral</v>
      </c>
      <c r="F641" s="122">
        <f>IFERROR(__xludf.DUMMYFUNCTION("""COMPUTED_VALUE"""),0.0)</f>
        <v>0</v>
      </c>
      <c r="G641" s="122">
        <f>IFERROR(__xludf.DUMMYFUNCTION("""COMPUTED_VALUE"""),0.0)</f>
        <v>0</v>
      </c>
      <c r="H641" s="122" t="str">
        <f>IFERROR(__xludf.DUMMYFUNCTION("""COMPUTED_VALUE"""),"Active")</f>
        <v>Active</v>
      </c>
    </row>
    <row r="642">
      <c r="A642" s="131">
        <f>IFERROR(__xludf.DUMMYFUNCTION("""COMPUTED_VALUE"""),46173.33101851852)</f>
        <v>46173.33102</v>
      </c>
      <c r="B642" s="122" t="str">
        <f>IFERROR(__xludf.DUMMYFUNCTION("""COMPUTED_VALUE"""),"BOOK")</f>
        <v>BOOK</v>
      </c>
      <c r="C642" s="122" t="str">
        <f>IFERROR(__xludf.DUMMYFUNCTION("""COMPUTED_VALUE"""),"BookBridge reports steady growth and improved market confidence.")</f>
        <v>BookBridge reports steady growth and improved market confidence.</v>
      </c>
      <c r="D642" s="122" t="str">
        <f>IFERROR(__xludf.DUMMYFUNCTION("""COMPUTED_VALUE"""),"BookBridge continues to show positive momentum with moderate risk.")</f>
        <v>BookBridge continues to show positive momentum with moderate risk.</v>
      </c>
      <c r="E642" s="122" t="str">
        <f>IFERROR(__xludf.DUMMYFUNCTION("""COMPUTED_VALUE"""),"Positive")</f>
        <v>Positive</v>
      </c>
      <c r="F642" s="122">
        <f>IFERROR(__xludf.DUMMYFUNCTION("""COMPUTED_VALUE"""),0.015)</f>
        <v>0.015</v>
      </c>
      <c r="G642" s="122">
        <f>IFERROR(__xludf.DUMMYFUNCTION("""COMPUTED_VALUE"""),0.5)</f>
        <v>0.5</v>
      </c>
      <c r="H642" s="122" t="str">
        <f>IFERROR(__xludf.DUMMYFUNCTION("""COMPUTED_VALUE"""),"Active")</f>
        <v>Active</v>
      </c>
    </row>
    <row r="643">
      <c r="A643" s="131">
        <f>IFERROR(__xludf.DUMMYFUNCTION("""COMPUTED_VALUE"""),46173.331030092595)</f>
        <v>46173.33103</v>
      </c>
      <c r="B643" s="122" t="str">
        <f>IFERROR(__xludf.DUMMYFUNCTION("""COMPUTED_VALUE"""),"TUTR")</f>
        <v>TUTR</v>
      </c>
      <c r="C643" s="122" t="str">
        <f>IFERROR(__xludf.DUMMYFUNCTION("""COMPUTED_VALUE"""),"TutorTown faces weaker demand and cautious investor sentiment.")</f>
        <v>TutorTown faces weaker demand and cautious investor sentiment.</v>
      </c>
      <c r="D643" s="122" t="str">
        <f>IFERROR(__xludf.DUMMYFUNCTION("""COMPUTED_VALUE"""),"Investors are watching TutorTown closely as demand weakens.")</f>
        <v>Investors are watching TutorTown closely as demand weakens.</v>
      </c>
      <c r="E643" s="122" t="str">
        <f>IFERROR(__xludf.DUMMYFUNCTION("""COMPUTED_VALUE"""),"Negative")</f>
        <v>Negative</v>
      </c>
      <c r="F643" s="122">
        <f>IFERROR(__xludf.DUMMYFUNCTION("""COMPUTED_VALUE"""),-0.015)</f>
        <v>-0.015</v>
      </c>
      <c r="G643" s="122">
        <f>IFERROR(__xludf.DUMMYFUNCTION("""COMPUTED_VALUE"""),0.75)</f>
        <v>0.75</v>
      </c>
      <c r="H643" s="122" t="str">
        <f>IFERROR(__xludf.DUMMYFUNCTION("""COMPUTED_VALUE"""),"Active")</f>
        <v>Active</v>
      </c>
    </row>
    <row r="644">
      <c r="A644" s="131">
        <f>IFERROR(__xludf.DUMMYFUNCTION("""COMPUTED_VALUE"""),46173.331030092595)</f>
        <v>46173.33103</v>
      </c>
      <c r="B644" s="122" t="str">
        <f>IFERROR(__xludf.DUMMYFUNCTION("""COMPUTED_VALUE"""),"LANG")</f>
        <v>LANG</v>
      </c>
      <c r="C644" s="122" t="str">
        <f>IFERROR(__xludf.DUMMYFUNCTION("""COMPUTED_VALUE"""),"LinguaLab faces weaker demand and cautious investor sentiment.")</f>
        <v>LinguaLab faces weaker demand and cautious investor sentiment.</v>
      </c>
      <c r="D644" s="122" t="str">
        <f>IFERROR(__xludf.DUMMYFUNCTION("""COMPUTED_VALUE"""),"Investors are watching LinguaLab closely as demand weakens.")</f>
        <v>Investors are watching LinguaLab closely as demand weakens.</v>
      </c>
      <c r="E644" s="122" t="str">
        <f>IFERROR(__xludf.DUMMYFUNCTION("""COMPUTED_VALUE"""),"Negative")</f>
        <v>Negative</v>
      </c>
      <c r="F644" s="122">
        <f>IFERROR(__xludf.DUMMYFUNCTION("""COMPUTED_VALUE"""),-0.015)</f>
        <v>-0.015</v>
      </c>
      <c r="G644" s="122">
        <f>IFERROR(__xludf.DUMMYFUNCTION("""COMPUTED_VALUE"""),0.75)</f>
        <v>0.75</v>
      </c>
      <c r="H644" s="122" t="str">
        <f>IFERROR(__xludf.DUMMYFUNCTION("""COMPUTED_VALUE"""),"Active")</f>
        <v>Active</v>
      </c>
    </row>
    <row r="645">
      <c r="A645" s="131">
        <f>IFERROR(__xludf.DUMMYFUNCTION("""COMPUTED_VALUE"""),46173.331030092595)</f>
        <v>46173.33103</v>
      </c>
      <c r="B645" s="122" t="str">
        <f>IFERROR(__xludf.DUMMYFUNCTION("""COMPUTED_VALUE"""),"TEST")</f>
        <v>TEST</v>
      </c>
      <c r="C645" s="122" t="str">
        <f>IFERROR(__xludf.DUMMYFUNCTION("""COMPUTED_VALUE"""),"TestPrep Pro remains stable as the Education market shows normal activity.")</f>
        <v>TestPrep Pro remains stable as the Education market shows normal activity.</v>
      </c>
      <c r="D645" s="122" t="str">
        <f>IFERROR(__xludf.DUMMYFUNCTION("""COMPUTED_VALUE"""),"TestPrep Pro appears steady with no major changes reported.")</f>
        <v>TestPrep Pro appears steady with no major changes reported.</v>
      </c>
      <c r="E645" s="122" t="str">
        <f>IFERROR(__xludf.DUMMYFUNCTION("""COMPUTED_VALUE"""),"Neutral")</f>
        <v>Neutral</v>
      </c>
      <c r="F645" s="122">
        <f>IFERROR(__xludf.DUMMYFUNCTION("""COMPUTED_VALUE"""),0.0)</f>
        <v>0</v>
      </c>
      <c r="G645" s="122">
        <f>IFERROR(__xludf.DUMMYFUNCTION("""COMPUTED_VALUE"""),0.0)</f>
        <v>0</v>
      </c>
      <c r="H645" s="122" t="str">
        <f>IFERROR(__xludf.DUMMYFUNCTION("""COMPUTED_VALUE"""),"Active")</f>
        <v>Active</v>
      </c>
    </row>
    <row r="646">
      <c r="A646" s="131">
        <f>IFERROR(__xludf.DUMMYFUNCTION("""COMPUTED_VALUE"""),46173.331041666665)</f>
        <v>46173.33104</v>
      </c>
      <c r="B646" s="122" t="str">
        <f>IFERROR(__xludf.DUMMYFUNCTION("""COMPUTED_VALUE"""),"MOVI")</f>
        <v>MOVI</v>
      </c>
      <c r="C646" s="122" t="str">
        <f>IFERROR(__xludf.DUMMYFUNCTION("""COMPUTED_VALUE"""),"MovieBox remains stable as the Entertainment market shows normal activity.")</f>
        <v>MovieBox remains stable as the Entertainment market shows normal activity.</v>
      </c>
      <c r="D646" s="122" t="str">
        <f>IFERROR(__xludf.DUMMYFUNCTION("""COMPUTED_VALUE"""),"MovieBox appears steady with no major changes reported.")</f>
        <v>MovieBox appears steady with no major changes reported.</v>
      </c>
      <c r="E646" s="122" t="str">
        <f>IFERROR(__xludf.DUMMYFUNCTION("""COMPUTED_VALUE"""),"Neutral")</f>
        <v>Neutral</v>
      </c>
      <c r="F646" s="122">
        <f>IFERROR(__xludf.DUMMYFUNCTION("""COMPUTED_VALUE"""),0.0)</f>
        <v>0</v>
      </c>
      <c r="G646" s="122">
        <f>IFERROR(__xludf.DUMMYFUNCTION("""COMPUTED_VALUE"""),0.0)</f>
        <v>0</v>
      </c>
      <c r="H646" s="122" t="str">
        <f>IFERROR(__xludf.DUMMYFUNCTION("""COMPUTED_VALUE"""),"Active")</f>
        <v>Active</v>
      </c>
    </row>
    <row r="647">
      <c r="A647" s="131">
        <f>IFERROR(__xludf.DUMMYFUNCTION("""COMPUTED_VALUE"""),46173.331041666665)</f>
        <v>46173.33104</v>
      </c>
      <c r="B647" s="122" t="str">
        <f>IFERROR(__xludf.DUMMYFUNCTION("""COMPUTED_VALUE"""),"MUSC")</f>
        <v>MUSC</v>
      </c>
      <c r="C647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647" s="122" t="str">
        <f>IFERROR(__xludf.DUMMYFUNCTION("""COMPUTED_VALUE"""),"MusicWave appears steady with no major changes reported.")</f>
        <v>MusicWave appears steady with no major changes reported.</v>
      </c>
      <c r="E647" s="122" t="str">
        <f>IFERROR(__xludf.DUMMYFUNCTION("""COMPUTED_VALUE"""),"Neutral")</f>
        <v>Neutral</v>
      </c>
      <c r="F647" s="122">
        <f>IFERROR(__xludf.DUMMYFUNCTION("""COMPUTED_VALUE"""),0.0)</f>
        <v>0</v>
      </c>
      <c r="G647" s="122">
        <f>IFERROR(__xludf.DUMMYFUNCTION("""COMPUTED_VALUE"""),0.0)</f>
        <v>0</v>
      </c>
      <c r="H647" s="122" t="str">
        <f>IFERROR(__xludf.DUMMYFUNCTION("""COMPUTED_VALUE"""),"Active")</f>
        <v>Active</v>
      </c>
    </row>
    <row r="648">
      <c r="A648" s="131">
        <f>IFERROR(__xludf.DUMMYFUNCTION("""COMPUTED_VALUE"""),46173.33105324074)</f>
        <v>46173.33105</v>
      </c>
      <c r="B648" s="122" t="str">
        <f>IFERROR(__xludf.DUMMYFUNCTION("""COMPUTED_VALUE"""),"IDOL")</f>
        <v>IDOL</v>
      </c>
      <c r="C648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648" s="122" t="str">
        <f>IFERROR(__xludf.DUMMYFUNCTION("""COMPUTED_VALUE"""),"Idol Agency appears steady with no major changes reported.")</f>
        <v>Idol Agency appears steady with no major changes reported.</v>
      </c>
      <c r="E648" s="122" t="str">
        <f>IFERROR(__xludf.DUMMYFUNCTION("""COMPUTED_VALUE"""),"Neutral")</f>
        <v>Neutral</v>
      </c>
      <c r="F648" s="122">
        <f>IFERROR(__xludf.DUMMYFUNCTION("""COMPUTED_VALUE"""),0.0)</f>
        <v>0</v>
      </c>
      <c r="G648" s="122">
        <f>IFERROR(__xludf.DUMMYFUNCTION("""COMPUTED_VALUE"""),0.0)</f>
        <v>0</v>
      </c>
      <c r="H648" s="122" t="str">
        <f>IFERROR(__xludf.DUMMYFUNCTION("""COMPUTED_VALUE"""),"Active")</f>
        <v>Active</v>
      </c>
    </row>
    <row r="649">
      <c r="A649" s="131">
        <f>IFERROR(__xludf.DUMMYFUNCTION("""COMPUTED_VALUE"""),46173.33105324074)</f>
        <v>46173.33105</v>
      </c>
      <c r="B649" s="122" t="str">
        <f>IFERROR(__xludf.DUMMYFUNCTION("""COMPUTED_VALUE"""),"MEME")</f>
        <v>MEME</v>
      </c>
      <c r="C649" s="122" t="str">
        <f>IFERROR(__xludf.DUMMYFUNCTION("""COMPUTED_VALUE"""),"Meme Media faces weaker demand and cautious investor sentiment.")</f>
        <v>Meme Media faces weaker demand and cautious investor sentiment.</v>
      </c>
      <c r="D649" s="122" t="str">
        <f>IFERROR(__xludf.DUMMYFUNCTION("""COMPUTED_VALUE"""),"Investors are watching Meme Media closely as demand weakens.")</f>
        <v>Investors are watching Meme Media closely as demand weakens.</v>
      </c>
      <c r="E649" s="122" t="str">
        <f>IFERROR(__xludf.DUMMYFUNCTION("""COMPUTED_VALUE"""),"Negative")</f>
        <v>Negative</v>
      </c>
      <c r="F649" s="122">
        <f>IFERROR(__xludf.DUMMYFUNCTION("""COMPUTED_VALUE"""),-0.015)</f>
        <v>-0.015</v>
      </c>
      <c r="G649" s="122">
        <f>IFERROR(__xludf.DUMMYFUNCTION("""COMPUTED_VALUE"""),0.75)</f>
        <v>0.75</v>
      </c>
      <c r="H649" s="122" t="str">
        <f>IFERROR(__xludf.DUMMYFUNCTION("""COMPUTED_VALUE"""),"Active")</f>
        <v>Active</v>
      </c>
    </row>
    <row r="650">
      <c r="A650" s="131">
        <f>IFERROR(__xludf.DUMMYFUNCTION("""COMPUTED_VALUE"""),46173.33105324074)</f>
        <v>46173.33105</v>
      </c>
      <c r="B650" s="122" t="str">
        <f>IFERROR(__xludf.DUMMYFUNCTION("""COMPUTED_VALUE"""),"STRM")</f>
        <v>STRM</v>
      </c>
      <c r="C650" s="122" t="str">
        <f>IFERROR(__xludf.DUMMYFUNCTION("""COMPUTED_VALUE"""),"Streamly faces weaker demand and cautious investor sentiment.")</f>
        <v>Streamly faces weaker demand and cautious investor sentiment.</v>
      </c>
      <c r="D650" s="122" t="str">
        <f>IFERROR(__xludf.DUMMYFUNCTION("""COMPUTED_VALUE"""),"Investors are watching Streamly closely as demand weakens.")</f>
        <v>Investors are watching Streamly closely as demand weakens.</v>
      </c>
      <c r="E650" s="122" t="str">
        <f>IFERROR(__xludf.DUMMYFUNCTION("""COMPUTED_VALUE"""),"Negative")</f>
        <v>Negative</v>
      </c>
      <c r="F650" s="122">
        <f>IFERROR(__xludf.DUMMYFUNCTION("""COMPUTED_VALUE"""),-0.015)</f>
        <v>-0.015</v>
      </c>
      <c r="G650" s="122">
        <f>IFERROR(__xludf.DUMMYFUNCTION("""COMPUTED_VALUE"""),0.75)</f>
        <v>0.75</v>
      </c>
      <c r="H650" s="122" t="str">
        <f>IFERROR(__xludf.DUMMYFUNCTION("""COMPUTED_VALUE"""),"Active")</f>
        <v>Active</v>
      </c>
    </row>
    <row r="651">
      <c r="A651" s="131">
        <f>IFERROR(__xludf.DUMMYFUNCTION("""COMPUTED_VALUE"""),46173.33106481482)</f>
        <v>46173.33106</v>
      </c>
      <c r="B651" s="122" t="str">
        <f>IFERROR(__xludf.DUMMYFUNCTION("""COMPUTED_VALUE"""),"FARM")</f>
        <v>FARM</v>
      </c>
      <c r="C651" s="122" t="str">
        <f>IFERROR(__xludf.DUMMYFUNCTION("""COMPUTED_VALUE"""),"Future Farms faces weaker demand and cautious investor sentiment.")</f>
        <v>Future Farms faces weaker demand and cautious investor sentiment.</v>
      </c>
      <c r="D651" s="122" t="str">
        <f>IFERROR(__xludf.DUMMYFUNCTION("""COMPUTED_VALUE"""),"Investors are watching Future Farms closely as demand weakens.")</f>
        <v>Investors are watching Future Farms closely as demand weakens.</v>
      </c>
      <c r="E651" s="122" t="str">
        <f>IFERROR(__xludf.DUMMYFUNCTION("""COMPUTED_VALUE"""),"Negative")</f>
        <v>Negative</v>
      </c>
      <c r="F651" s="122">
        <f>IFERROR(__xludf.DUMMYFUNCTION("""COMPUTED_VALUE"""),-0.015)</f>
        <v>-0.015</v>
      </c>
      <c r="G651" s="122">
        <f>IFERROR(__xludf.DUMMYFUNCTION("""COMPUTED_VALUE"""),0.75)</f>
        <v>0.75</v>
      </c>
      <c r="H651" s="122" t="str">
        <f>IFERROR(__xludf.DUMMYFUNCTION("""COMPUTED_VALUE"""),"Active")</f>
        <v>Active</v>
      </c>
    </row>
    <row r="652">
      <c r="A652" s="131">
        <f>IFERROR(__xludf.DUMMYFUNCTION("""COMPUTED_VALUE"""),46173.33106481482)</f>
        <v>46173.33106</v>
      </c>
      <c r="B652" s="122" t="str">
        <f>IFERROR(__xludf.DUMMYFUNCTION("""COMPUTED_VALUE"""),"MEAT")</f>
        <v>MEAT</v>
      </c>
      <c r="C652" s="122" t="str">
        <f>IFERROR(__xludf.DUMMYFUNCTION("""COMPUTED_VALUE"""),"MeatWorks remains stable as the Food market shows normal activity.")</f>
        <v>MeatWorks remains stable as the Food market shows normal activity.</v>
      </c>
      <c r="D652" s="122" t="str">
        <f>IFERROR(__xludf.DUMMYFUNCTION("""COMPUTED_VALUE"""),"MeatWorks appears steady with no major changes reported.")</f>
        <v>MeatWorks appears steady with no major changes reported.</v>
      </c>
      <c r="E652" s="122" t="str">
        <f>IFERROR(__xludf.DUMMYFUNCTION("""COMPUTED_VALUE"""),"Neutral")</f>
        <v>Neutral</v>
      </c>
      <c r="F652" s="122">
        <f>IFERROR(__xludf.DUMMYFUNCTION("""COMPUTED_VALUE"""),0.0)</f>
        <v>0</v>
      </c>
      <c r="G652" s="122">
        <f>IFERROR(__xludf.DUMMYFUNCTION("""COMPUTED_VALUE"""),0.0)</f>
        <v>0</v>
      </c>
      <c r="H652" s="122" t="str">
        <f>IFERROR(__xludf.DUMMYFUNCTION("""COMPUTED_VALUE"""),"Active")</f>
        <v>Active</v>
      </c>
    </row>
    <row r="653">
      <c r="A653" s="131">
        <f>IFERROR(__xludf.DUMMYFUNCTION("""COMPUTED_VALUE"""),46173.33106481482)</f>
        <v>46173.33106</v>
      </c>
      <c r="B653" s="122" t="str">
        <f>IFERROR(__xludf.DUMMYFUNCTION("""COMPUTED_VALUE"""),"VEGI")</f>
        <v>VEGI</v>
      </c>
      <c r="C653" s="122" t="str">
        <f>IFERROR(__xludf.DUMMYFUNCTION("""COMPUTED_VALUE"""),"Green Basket remains stable as the Food market shows normal activity.")</f>
        <v>Green Basket remains stable as the Food market shows normal activity.</v>
      </c>
      <c r="D653" s="122" t="str">
        <f>IFERROR(__xludf.DUMMYFUNCTION("""COMPUTED_VALUE"""),"Green Basket appears steady with no major changes reported.")</f>
        <v>Green Basket appears steady with no major changes reported.</v>
      </c>
      <c r="E653" s="122" t="str">
        <f>IFERROR(__xludf.DUMMYFUNCTION("""COMPUTED_VALUE"""),"Neutral")</f>
        <v>Neutral</v>
      </c>
      <c r="F653" s="122">
        <f>IFERROR(__xludf.DUMMYFUNCTION("""COMPUTED_VALUE"""),0.0)</f>
        <v>0</v>
      </c>
      <c r="G653" s="122">
        <f>IFERROR(__xludf.DUMMYFUNCTION("""COMPUTED_VALUE"""),0.0)</f>
        <v>0</v>
      </c>
      <c r="H653" s="122" t="str">
        <f>IFERROR(__xludf.DUMMYFUNCTION("""COMPUTED_VALUE"""),"Active")</f>
        <v>Active</v>
      </c>
    </row>
    <row r="654">
      <c r="A654" s="131">
        <f>IFERROR(__xludf.DUMMYFUNCTION("""COMPUTED_VALUE"""),46173.33107638889)</f>
        <v>46173.33108</v>
      </c>
      <c r="B654" s="122" t="str">
        <f>IFERROR(__xludf.DUMMYFUNCTION("""COMPUTED_VALUE"""),"CAFE")</f>
        <v>CAFE</v>
      </c>
      <c r="C654" s="122" t="str">
        <f>IFERROR(__xludf.DUMMYFUNCTION("""COMPUTED_VALUE"""),"Cafe Cloud drops sharply after major concerns hit the market.")</f>
        <v>Cafe Cloud drops sharply after major concerns hit the market.</v>
      </c>
      <c r="D654" s="122" t="str">
        <f>IFERROR(__xludf.DUMMYFUNCTION("""COMPUTED_VALUE"""),"Cafe Cloud is under pressure as investors react to worsening conditions.")</f>
        <v>Cafe Cloud is under pressure as investors react to worsening conditions.</v>
      </c>
      <c r="E654" s="122" t="str">
        <f>IFERROR(__xludf.DUMMYFUNCTION("""COMPUTED_VALUE"""),"Negative")</f>
        <v>Negative</v>
      </c>
      <c r="F654" s="122">
        <f>IFERROR(__xludf.DUMMYFUNCTION("""COMPUTED_VALUE"""),-0.04)</f>
        <v>-0.04</v>
      </c>
      <c r="G654" s="122">
        <f>IFERROR(__xludf.DUMMYFUNCTION("""COMPUTED_VALUE"""),2.0)</f>
        <v>2</v>
      </c>
      <c r="H654" s="122" t="str">
        <f>IFERROR(__xludf.DUMMYFUNCTION("""COMPUTED_VALUE"""),"Active")</f>
        <v>Active</v>
      </c>
    </row>
    <row r="655">
      <c r="A655" s="131">
        <f>IFERROR(__xludf.DUMMYFUNCTION("""COMPUTED_VALUE"""),46173.33107638889)</f>
        <v>46173.33108</v>
      </c>
      <c r="B655" s="122" t="str">
        <f>IFERROR(__xludf.DUMMYFUNCTION("""COMPUTED_VALUE"""),"BAKE")</f>
        <v>BAKE</v>
      </c>
      <c r="C655" s="122" t="str">
        <f>IFERROR(__xludf.DUMMYFUNCTION("""COMPUTED_VALUE"""),"BakeHouse reports steady growth and improved market confidence.")</f>
        <v>BakeHouse reports steady growth and improved market confidence.</v>
      </c>
      <c r="D655" s="122" t="str">
        <f>IFERROR(__xludf.DUMMYFUNCTION("""COMPUTED_VALUE"""),"BakeHouse continues to show positive momentum with moderate risk.")</f>
        <v>BakeHouse continues to show positive momentum with moderate risk.</v>
      </c>
      <c r="E655" s="122" t="str">
        <f>IFERROR(__xludf.DUMMYFUNCTION("""COMPUTED_VALUE"""),"Positive")</f>
        <v>Positive</v>
      </c>
      <c r="F655" s="122">
        <f>IFERROR(__xludf.DUMMYFUNCTION("""COMPUTED_VALUE"""),0.015)</f>
        <v>0.015</v>
      </c>
      <c r="G655" s="122">
        <f>IFERROR(__xludf.DUMMYFUNCTION("""COMPUTED_VALUE"""),0.5)</f>
        <v>0.5</v>
      </c>
      <c r="H655" s="122" t="str">
        <f>IFERROR(__xludf.DUMMYFUNCTION("""COMPUTED_VALUE"""),"Active")</f>
        <v>Active</v>
      </c>
    </row>
    <row r="656">
      <c r="A656" s="131">
        <f>IFERROR(__xludf.DUMMYFUNCTION("""COMPUTED_VALUE"""),46173.331087962964)</f>
        <v>46173.33109</v>
      </c>
      <c r="B656" s="122" t="str">
        <f>IFERROR(__xludf.DUMMYFUNCTION("""COMPUTED_VALUE"""),"OILX")</f>
        <v>OILX</v>
      </c>
      <c r="C656" s="122" t="str">
        <f>IFERROR(__xludf.DUMMYFUNCTION("""COMPUTED_VALUE"""),"OilMax Energy reports steady growth and improved market confidence.")</f>
        <v>OilMax Energy reports steady growth and improved market confidence.</v>
      </c>
      <c r="D656" s="122" t="str">
        <f>IFERROR(__xludf.DUMMYFUNCTION("""COMPUTED_VALUE"""),"OilMax Energy continues to show positive momentum with moderate risk.")</f>
        <v>OilMax Energy continues to show positive momentum with moderate risk.</v>
      </c>
      <c r="E656" s="122" t="str">
        <f>IFERROR(__xludf.DUMMYFUNCTION("""COMPUTED_VALUE"""),"Positive")</f>
        <v>Positive</v>
      </c>
      <c r="F656" s="122">
        <f>IFERROR(__xludf.DUMMYFUNCTION("""COMPUTED_VALUE"""),0.015)</f>
        <v>0.015</v>
      </c>
      <c r="G656" s="122">
        <f>IFERROR(__xludf.DUMMYFUNCTION("""COMPUTED_VALUE"""),0.5)</f>
        <v>0.5</v>
      </c>
      <c r="H656" s="122" t="str">
        <f>IFERROR(__xludf.DUMMYFUNCTION("""COMPUTED_VALUE"""),"Active")</f>
        <v>Active</v>
      </c>
    </row>
    <row r="657">
      <c r="A657" s="131">
        <f>IFERROR(__xludf.DUMMYFUNCTION("""COMPUTED_VALUE"""),46173.331087962964)</f>
        <v>46173.33109</v>
      </c>
      <c r="B657" s="122" t="str">
        <f>IFERROR(__xludf.DUMMYFUNCTION("""COMPUTED_VALUE"""),"SOLR")</f>
        <v>SOLR</v>
      </c>
      <c r="C657" s="122" t="str">
        <f>IFERROR(__xludf.DUMMYFUNCTION("""COMPUTED_VALUE"""),"SolarSpark surges as demand rises across the Energy sector.")</f>
        <v>SolarSpark surges as demand rises across the Energy sector.</v>
      </c>
      <c r="D657" s="122" t="str">
        <f>IFERROR(__xludf.DUMMYFUNCTION("""COMPUTED_VALUE"""),"SolarSpark is seeing strong demand, which may increase investor confidence.")</f>
        <v>SolarSpark is seeing strong demand, which may increase investor confidence.</v>
      </c>
      <c r="E657" s="122" t="str">
        <f>IFERROR(__xludf.DUMMYFUNCTION("""COMPUTED_VALUE"""),"Positive")</f>
        <v>Positive</v>
      </c>
      <c r="F657" s="122">
        <f>IFERROR(__xludf.DUMMYFUNCTION("""COMPUTED_VALUE"""),0.03)</f>
        <v>0.03</v>
      </c>
      <c r="G657" s="122">
        <f>IFERROR(__xludf.DUMMYFUNCTION("""COMPUTED_VALUE"""),1.0)</f>
        <v>1</v>
      </c>
      <c r="H657" s="122" t="str">
        <f>IFERROR(__xludf.DUMMYFUNCTION("""COMPUTED_VALUE"""),"Active")</f>
        <v>Active</v>
      </c>
    </row>
    <row r="658">
      <c r="A658" s="131">
        <f>IFERROR(__xludf.DUMMYFUNCTION("""COMPUTED_VALUE"""),46173.331099537034)</f>
        <v>46173.3311</v>
      </c>
      <c r="B658" s="122" t="str">
        <f>IFERROR(__xludf.DUMMYFUNCTION("""COMPUTED_VALUE"""),"BATT")</f>
        <v>BATT</v>
      </c>
      <c r="C658" s="122" t="str">
        <f>IFERROR(__xludf.DUMMYFUNCTION("""COMPUTED_VALUE"""),"BatteryBox faces weaker demand and cautious investor sentiment.")</f>
        <v>BatteryBox faces weaker demand and cautious investor sentiment.</v>
      </c>
      <c r="D658" s="122" t="str">
        <f>IFERROR(__xludf.DUMMYFUNCTION("""COMPUTED_VALUE"""),"Investors are watching BatteryBox closely as demand weakens.")</f>
        <v>Investors are watching BatteryBox closely as demand weakens.</v>
      </c>
      <c r="E658" s="122" t="str">
        <f>IFERROR(__xludf.DUMMYFUNCTION("""COMPUTED_VALUE"""),"Negative")</f>
        <v>Negative</v>
      </c>
      <c r="F658" s="122">
        <f>IFERROR(__xludf.DUMMYFUNCTION("""COMPUTED_VALUE"""),-0.015)</f>
        <v>-0.015</v>
      </c>
      <c r="G658" s="122">
        <f>IFERROR(__xludf.DUMMYFUNCTION("""COMPUTED_VALUE"""),0.75)</f>
        <v>0.75</v>
      </c>
      <c r="H658" s="122" t="str">
        <f>IFERROR(__xludf.DUMMYFUNCTION("""COMPUTED_VALUE"""),"Active")</f>
        <v>Active</v>
      </c>
    </row>
    <row r="659">
      <c r="A659" s="131">
        <f>IFERROR(__xludf.DUMMYFUNCTION("""COMPUTED_VALUE"""),46173.331099537034)</f>
        <v>46173.3311</v>
      </c>
      <c r="B659" s="122" t="str">
        <f>IFERROR(__xludf.DUMMYFUNCTION("""COMPUTED_VALUE"""),"WIND")</f>
        <v>WIND</v>
      </c>
      <c r="C659" s="122" t="str">
        <f>IFERROR(__xludf.DUMMYFUNCTION("""COMPUTED_VALUE"""),"WindWorks surges as demand rises across the Energy sector.")</f>
        <v>WindWorks surges as demand rises across the Energy sector.</v>
      </c>
      <c r="D659" s="122" t="str">
        <f>IFERROR(__xludf.DUMMYFUNCTION("""COMPUTED_VALUE"""),"WindWorks is seeing strong demand, which may increase investor confidence.")</f>
        <v>WindWorks is seeing strong demand, which may increase investor confidence.</v>
      </c>
      <c r="E659" s="122" t="str">
        <f>IFERROR(__xludf.DUMMYFUNCTION("""COMPUTED_VALUE"""),"Positive")</f>
        <v>Positive</v>
      </c>
      <c r="F659" s="122">
        <f>IFERROR(__xludf.DUMMYFUNCTION("""COMPUTED_VALUE"""),0.03)</f>
        <v>0.03</v>
      </c>
      <c r="G659" s="122">
        <f>IFERROR(__xludf.DUMMYFUNCTION("""COMPUTED_VALUE"""),1.0)</f>
        <v>1</v>
      </c>
      <c r="H659" s="122" t="str">
        <f>IFERROR(__xludf.DUMMYFUNCTION("""COMPUTED_VALUE"""),"Active")</f>
        <v>Active</v>
      </c>
    </row>
    <row r="660">
      <c r="A660" s="131">
        <f>IFERROR(__xludf.DUMMYFUNCTION("""COMPUTED_VALUE"""),46173.33111111111)</f>
        <v>46173.33111</v>
      </c>
      <c r="B660" s="122" t="str">
        <f>IFERROR(__xludf.DUMMYFUNCTION("""COMPUTED_VALUE"""),"GRID")</f>
        <v>GRID</v>
      </c>
      <c r="C660" s="122" t="str">
        <f>IFERROR(__xludf.DUMMYFUNCTION("""COMPUTED_VALUE"""),"GridPower remains stable as the Energy market shows normal activity.")</f>
        <v>GridPower remains stable as the Energy market shows normal activity.</v>
      </c>
      <c r="D660" s="122" t="str">
        <f>IFERROR(__xludf.DUMMYFUNCTION("""COMPUTED_VALUE"""),"GridPower appears steady with no major changes reported.")</f>
        <v>GridPower appears steady with no major changes reported.</v>
      </c>
      <c r="E660" s="122" t="str">
        <f>IFERROR(__xludf.DUMMYFUNCTION("""COMPUTED_VALUE"""),"Neutral")</f>
        <v>Neutral</v>
      </c>
      <c r="F660" s="122">
        <f>IFERROR(__xludf.DUMMYFUNCTION("""COMPUTED_VALUE"""),0.0)</f>
        <v>0</v>
      </c>
      <c r="G660" s="122">
        <f>IFERROR(__xludf.DUMMYFUNCTION("""COMPUTED_VALUE"""),0.0)</f>
        <v>0</v>
      </c>
      <c r="H660" s="122" t="str">
        <f>IFERROR(__xludf.DUMMYFUNCTION("""COMPUTED_VALUE"""),"Active")</f>
        <v>Active</v>
      </c>
    </row>
    <row r="661">
      <c r="A661" s="131">
        <f>IFERROR(__xludf.DUMMYFUNCTION("""COMPUTED_VALUE"""),46173.33111111111)</f>
        <v>46173.33111</v>
      </c>
      <c r="B661" s="122" t="str">
        <f>IFERROR(__xludf.DUMMYFUNCTION("""COMPUTED_VALUE"""),"HOME")</f>
        <v>HOME</v>
      </c>
      <c r="C661" s="122" t="str">
        <f>IFERROR(__xludf.DUMMYFUNCTION("""COMPUTED_VALUE"""),"HomeHub remains stable as the Real Estate market shows normal activity.")</f>
        <v>HomeHub remains stable as the Real Estate market shows normal activity.</v>
      </c>
      <c r="D661" s="122" t="str">
        <f>IFERROR(__xludf.DUMMYFUNCTION("""COMPUTED_VALUE"""),"HomeHub appears steady with no major changes reported.")</f>
        <v>HomeHub appears steady with no major changes reported.</v>
      </c>
      <c r="E661" s="122" t="str">
        <f>IFERROR(__xludf.DUMMYFUNCTION("""COMPUTED_VALUE"""),"Neutral")</f>
        <v>Neutral</v>
      </c>
      <c r="F661" s="122">
        <f>IFERROR(__xludf.DUMMYFUNCTION("""COMPUTED_VALUE"""),0.0)</f>
        <v>0</v>
      </c>
      <c r="G661" s="122">
        <f>IFERROR(__xludf.DUMMYFUNCTION("""COMPUTED_VALUE"""),0.0)</f>
        <v>0</v>
      </c>
      <c r="H661" s="122" t="str">
        <f>IFERROR(__xludf.DUMMYFUNCTION("""COMPUTED_VALUE"""),"Active")</f>
        <v>Active</v>
      </c>
    </row>
    <row r="662">
      <c r="A662" s="131">
        <f>IFERROR(__xludf.DUMMYFUNCTION("""COMPUTED_VALUE"""),46173.33111111111)</f>
        <v>46173.33111</v>
      </c>
      <c r="B662" s="122" t="str">
        <f>IFERROR(__xludf.DUMMYFUNCTION("""COMPUTED_VALUE"""),"RENT")</f>
        <v>RENT</v>
      </c>
      <c r="C662" s="122" t="str">
        <f>IFERROR(__xludf.DUMMYFUNCTION("""COMPUTED_VALUE"""),"RentRight remains stable as the Real Estate market shows normal activity.")</f>
        <v>RentRight remains stable as the Real Estate market shows normal activity.</v>
      </c>
      <c r="D662" s="122" t="str">
        <f>IFERROR(__xludf.DUMMYFUNCTION("""COMPUTED_VALUE"""),"RentRight appears steady with no major changes reported.")</f>
        <v>RentRight appears steady with no major changes reported.</v>
      </c>
      <c r="E662" s="122" t="str">
        <f>IFERROR(__xludf.DUMMYFUNCTION("""COMPUTED_VALUE"""),"Neutral")</f>
        <v>Neutral</v>
      </c>
      <c r="F662" s="122">
        <f>IFERROR(__xludf.DUMMYFUNCTION("""COMPUTED_VALUE"""),0.0)</f>
        <v>0</v>
      </c>
      <c r="G662" s="122">
        <f>IFERROR(__xludf.DUMMYFUNCTION("""COMPUTED_VALUE"""),0.0)</f>
        <v>0</v>
      </c>
      <c r="H662" s="122" t="str">
        <f>IFERROR(__xludf.DUMMYFUNCTION("""COMPUTED_VALUE"""),"Active")</f>
        <v>Active</v>
      </c>
    </row>
    <row r="663">
      <c r="A663" s="131">
        <f>IFERROR(__xludf.DUMMYFUNCTION("""COMPUTED_VALUE"""),46173.33112268519)</f>
        <v>46173.33112</v>
      </c>
      <c r="B663" s="122" t="str">
        <f>IFERROR(__xludf.DUMMYFUNCTION("""COMPUTED_VALUE"""),"MALL")</f>
        <v>MALL</v>
      </c>
      <c r="C663" s="122" t="str">
        <f>IFERROR(__xludf.DUMMYFUNCTION("""COMPUTED_VALUE"""),"MegaMall remains stable as the Real Estate market shows normal activity.")</f>
        <v>MegaMall remains stable as the Real Estate market shows normal activity.</v>
      </c>
      <c r="D663" s="122" t="str">
        <f>IFERROR(__xludf.DUMMYFUNCTION("""COMPUTED_VALUE"""),"MegaMall appears steady with no major changes reported.")</f>
        <v>MegaMall appears steady with no major changes reported.</v>
      </c>
      <c r="E663" s="122" t="str">
        <f>IFERROR(__xludf.DUMMYFUNCTION("""COMPUTED_VALUE"""),"Neutral")</f>
        <v>Neutral</v>
      </c>
      <c r="F663" s="122">
        <f>IFERROR(__xludf.DUMMYFUNCTION("""COMPUTED_VALUE"""),0.0)</f>
        <v>0</v>
      </c>
      <c r="G663" s="122">
        <f>IFERROR(__xludf.DUMMYFUNCTION("""COMPUTED_VALUE"""),0.0)</f>
        <v>0</v>
      </c>
      <c r="H663" s="122" t="str">
        <f>IFERROR(__xludf.DUMMYFUNCTION("""COMPUTED_VALUE"""),"Active")</f>
        <v>Active</v>
      </c>
    </row>
    <row r="664">
      <c r="A664" s="131">
        <f>IFERROR(__xludf.DUMMYFUNCTION("""COMPUTED_VALUE"""),46173.33112268519)</f>
        <v>46173.33112</v>
      </c>
      <c r="B664" s="122" t="str">
        <f>IFERROR(__xludf.DUMMYFUNCTION("""COMPUTED_VALUE"""),"HOTL")</f>
        <v>HOTL</v>
      </c>
      <c r="C664" s="122" t="str">
        <f>IFERROR(__xludf.DUMMYFUNCTION("""COMPUTED_VALUE"""),"HotelHive faces weaker demand and cautious investor sentiment.")</f>
        <v>HotelHive faces weaker demand and cautious investor sentiment.</v>
      </c>
      <c r="D664" s="122" t="str">
        <f>IFERROR(__xludf.DUMMYFUNCTION("""COMPUTED_VALUE"""),"Investors are watching HotelHive closely as demand weakens.")</f>
        <v>Investors are watching HotelHive closely as demand weakens.</v>
      </c>
      <c r="E664" s="122" t="str">
        <f>IFERROR(__xludf.DUMMYFUNCTION("""COMPUTED_VALUE"""),"Negative")</f>
        <v>Negative</v>
      </c>
      <c r="F664" s="122">
        <f>IFERROR(__xludf.DUMMYFUNCTION("""COMPUTED_VALUE"""),-0.015)</f>
        <v>-0.015</v>
      </c>
      <c r="G664" s="122">
        <f>IFERROR(__xludf.DUMMYFUNCTION("""COMPUTED_VALUE"""),0.75)</f>
        <v>0.75</v>
      </c>
      <c r="H664" s="122" t="str">
        <f>IFERROR(__xludf.DUMMYFUNCTION("""COMPUTED_VALUE"""),"Active")</f>
        <v>Active</v>
      </c>
    </row>
    <row r="665">
      <c r="A665" s="131">
        <f>IFERROR(__xludf.DUMMYFUNCTION("""COMPUTED_VALUE"""),46173.33112268519)</f>
        <v>46173.33112</v>
      </c>
      <c r="B665" s="122" t="str">
        <f>IFERROR(__xludf.DUMMYFUNCTION("""COMPUTED_VALUE"""),"LAND")</f>
        <v>LAND</v>
      </c>
      <c r="C665" s="122" t="str">
        <f>IFERROR(__xludf.DUMMYFUNCTION("""COMPUTED_VALUE"""),"LandLink drops sharply after major concerns hit the market.")</f>
        <v>LandLink drops sharply after major concerns hit the market.</v>
      </c>
      <c r="D665" s="122" t="str">
        <f>IFERROR(__xludf.DUMMYFUNCTION("""COMPUTED_VALUE"""),"LandLink is under pressure as investors react to worsening conditions.")</f>
        <v>LandLink is under pressure as investors react to worsening conditions.</v>
      </c>
      <c r="E665" s="122" t="str">
        <f>IFERROR(__xludf.DUMMYFUNCTION("""COMPUTED_VALUE"""),"Negative")</f>
        <v>Negative</v>
      </c>
      <c r="F665" s="122">
        <f>IFERROR(__xludf.DUMMYFUNCTION("""COMPUTED_VALUE"""),-0.04)</f>
        <v>-0.04</v>
      </c>
      <c r="G665" s="122">
        <f>IFERROR(__xludf.DUMMYFUNCTION("""COMPUTED_VALUE"""),2.0)</f>
        <v>2</v>
      </c>
      <c r="H665" s="122" t="str">
        <f>IFERROR(__xludf.DUMMYFUNCTION("""COMPUTED_VALUE"""),"Active")</f>
        <v>Active</v>
      </c>
    </row>
    <row r="666">
      <c r="A666" s="131">
        <f>IFERROR(__xludf.DUMMYFUNCTION("""COMPUTED_VALUE"""),46173.33113425926)</f>
        <v>46173.33113</v>
      </c>
      <c r="B666" s="122" t="str">
        <f>IFERROR(__xludf.DUMMYFUNCTION("""COMPUTED_VALUE"""),"CARS")</f>
        <v>CARS</v>
      </c>
      <c r="C666" s="122" t="str">
        <f>IFERROR(__xludf.DUMMYFUNCTION("""COMPUTED_VALUE"""),"AutoArena faces weaker demand and cautious investor sentiment.")</f>
        <v>AutoArena faces weaker demand and cautious investor sentiment.</v>
      </c>
      <c r="D666" s="122" t="str">
        <f>IFERROR(__xludf.DUMMYFUNCTION("""COMPUTED_VALUE"""),"Investors are watching AutoArena closely as demand weakens.")</f>
        <v>Investors are watching AutoArena closely as demand weakens.</v>
      </c>
      <c r="E666" s="122" t="str">
        <f>IFERROR(__xludf.DUMMYFUNCTION("""COMPUTED_VALUE"""),"Negative")</f>
        <v>Negative</v>
      </c>
      <c r="F666" s="122">
        <f>IFERROR(__xludf.DUMMYFUNCTION("""COMPUTED_VALUE"""),-0.015)</f>
        <v>-0.015</v>
      </c>
      <c r="G666" s="122">
        <f>IFERROR(__xludf.DUMMYFUNCTION("""COMPUTED_VALUE"""),0.75)</f>
        <v>0.75</v>
      </c>
      <c r="H666" s="122" t="str">
        <f>IFERROR(__xludf.DUMMYFUNCTION("""COMPUTED_VALUE"""),"Active")</f>
        <v>Active</v>
      </c>
    </row>
    <row r="667">
      <c r="A667" s="131">
        <f>IFERROR(__xludf.DUMMYFUNCTION("""COMPUTED_VALUE"""),46173.33113425926)</f>
        <v>46173.33113</v>
      </c>
      <c r="B667" s="122" t="str">
        <f>IFERROR(__xludf.DUMMYFUNCTION("""COMPUTED_VALUE"""),"EVGO")</f>
        <v>EVGO</v>
      </c>
      <c r="C667" s="122" t="str">
        <f>IFERROR(__xludf.DUMMYFUNCTION("""COMPUTED_VALUE"""),"EVGo Motors remains stable as the Automotive market shows normal activity.")</f>
        <v>EVGo Motors remains stable as the Automotive market shows normal activity.</v>
      </c>
      <c r="D667" s="122" t="str">
        <f>IFERROR(__xludf.DUMMYFUNCTION("""COMPUTED_VALUE"""),"EVGo Motors appears steady with no major changes reported.")</f>
        <v>EVGo Motors appears steady with no major changes reported.</v>
      </c>
      <c r="E667" s="122" t="str">
        <f>IFERROR(__xludf.DUMMYFUNCTION("""COMPUTED_VALUE"""),"Neutral")</f>
        <v>Neutral</v>
      </c>
      <c r="F667" s="122">
        <f>IFERROR(__xludf.DUMMYFUNCTION("""COMPUTED_VALUE"""),0.0)</f>
        <v>0</v>
      </c>
      <c r="G667" s="122">
        <f>IFERROR(__xludf.DUMMYFUNCTION("""COMPUTED_VALUE"""),0.0)</f>
        <v>0</v>
      </c>
      <c r="H667" s="122" t="str">
        <f>IFERROR(__xludf.DUMMYFUNCTION("""COMPUTED_VALUE"""),"Active")</f>
        <v>Active</v>
      </c>
    </row>
    <row r="668">
      <c r="A668" s="131">
        <f>IFERROR(__xludf.DUMMYFUNCTION("""COMPUTED_VALUE"""),46173.33113425926)</f>
        <v>46173.33113</v>
      </c>
      <c r="B668" s="122" t="str">
        <f>IFERROR(__xludf.DUMMYFUNCTION("""COMPUTED_VALUE"""),"TIRE")</f>
        <v>TIRE</v>
      </c>
      <c r="C668" s="122" t="str">
        <f>IFERROR(__xludf.DUMMYFUNCTION("""COMPUTED_VALUE"""),"TireTown remains stable as the Automotive market shows normal activity.")</f>
        <v>TireTown remains stable as the Automotive market shows normal activity.</v>
      </c>
      <c r="D668" s="122" t="str">
        <f>IFERROR(__xludf.DUMMYFUNCTION("""COMPUTED_VALUE"""),"TireTown appears steady with no major changes reported.")</f>
        <v>TireTown appears steady with no major changes reported.</v>
      </c>
      <c r="E668" s="122" t="str">
        <f>IFERROR(__xludf.DUMMYFUNCTION("""COMPUTED_VALUE"""),"Neutral")</f>
        <v>Neutral</v>
      </c>
      <c r="F668" s="122">
        <f>IFERROR(__xludf.DUMMYFUNCTION("""COMPUTED_VALUE"""),0.0)</f>
        <v>0</v>
      </c>
      <c r="G668" s="122">
        <f>IFERROR(__xludf.DUMMYFUNCTION("""COMPUTED_VALUE"""),0.0)</f>
        <v>0</v>
      </c>
      <c r="H668" s="122" t="str">
        <f>IFERROR(__xludf.DUMMYFUNCTION("""COMPUTED_VALUE"""),"Active")</f>
        <v>Active</v>
      </c>
    </row>
    <row r="669">
      <c r="A669" s="131">
        <f>IFERROR(__xludf.DUMMYFUNCTION("""COMPUTED_VALUE"""),46173.331145833334)</f>
        <v>46173.33115</v>
      </c>
      <c r="B669" s="122" t="str">
        <f>IFERROR(__xludf.DUMMYFUNCTION("""COMPUTED_VALUE"""),"BIKE")</f>
        <v>BIKE</v>
      </c>
      <c r="C669" s="122" t="str">
        <f>IFERROR(__xludf.DUMMYFUNCTION("""COMPUTED_VALUE"""),"BikeBox remains stable as the Automotive market shows normal activity.")</f>
        <v>BikeBox remains stable as the Automotive market shows normal activity.</v>
      </c>
      <c r="D669" s="122" t="str">
        <f>IFERROR(__xludf.DUMMYFUNCTION("""COMPUTED_VALUE"""),"BikeBox appears steady with no major changes reported.")</f>
        <v>BikeBox appears steady with no major changes reported.</v>
      </c>
      <c r="E669" s="122" t="str">
        <f>IFERROR(__xludf.DUMMYFUNCTION("""COMPUTED_VALUE"""),"Neutral")</f>
        <v>Neutral</v>
      </c>
      <c r="F669" s="122">
        <f>IFERROR(__xludf.DUMMYFUNCTION("""COMPUTED_VALUE"""),0.0)</f>
        <v>0</v>
      </c>
      <c r="G669" s="122">
        <f>IFERROR(__xludf.DUMMYFUNCTION("""COMPUTED_VALUE"""),0.0)</f>
        <v>0</v>
      </c>
      <c r="H669" s="122" t="str">
        <f>IFERROR(__xludf.DUMMYFUNCTION("""COMPUTED_VALUE"""),"Active")</f>
        <v>Active</v>
      </c>
    </row>
    <row r="670">
      <c r="A670" s="131">
        <f>IFERROR(__xludf.DUMMYFUNCTION("""COMPUTED_VALUE"""),46173.331145833334)</f>
        <v>46173.33115</v>
      </c>
      <c r="B670" s="122" t="str">
        <f>IFERROR(__xludf.DUMMYFUNCTION("""COMPUTED_VALUE"""),"WASH")</f>
        <v>WASH</v>
      </c>
      <c r="C670" s="122" t="str">
        <f>IFERROR(__xludf.DUMMYFUNCTION("""COMPUTED_VALUE"""),"CarWash Co remains stable as the Automotive market shows normal activity.")</f>
        <v>CarWash Co remains stable as the Automotive market shows normal activity.</v>
      </c>
      <c r="D670" s="122" t="str">
        <f>IFERROR(__xludf.DUMMYFUNCTION("""COMPUTED_VALUE"""),"CarWash Co appears steady with no major changes reported.")</f>
        <v>CarWash Co appears steady with no major changes reported.</v>
      </c>
      <c r="E670" s="122" t="str">
        <f>IFERROR(__xludf.DUMMYFUNCTION("""COMPUTED_VALUE"""),"Neutral")</f>
        <v>Neutral</v>
      </c>
      <c r="F670" s="122">
        <f>IFERROR(__xludf.DUMMYFUNCTION("""COMPUTED_VALUE"""),0.0)</f>
        <v>0</v>
      </c>
      <c r="G670" s="122">
        <f>IFERROR(__xludf.DUMMYFUNCTION("""COMPUTED_VALUE"""),0.0)</f>
        <v>0</v>
      </c>
      <c r="H670" s="122" t="str">
        <f>IFERROR(__xludf.DUMMYFUNCTION("""COMPUTED_VALUE"""),"Active")</f>
        <v>Active</v>
      </c>
    </row>
    <row r="671">
      <c r="A671" s="131">
        <f>IFERROR(__xludf.DUMMYFUNCTION("""COMPUTED_VALUE"""),46173.331145833334)</f>
        <v>46173.33115</v>
      </c>
      <c r="B671" s="122" t="str">
        <f>IFERROR(__xludf.DUMMYFUNCTION("""COMPUTED_VALUE"""),"GBND")</f>
        <v>GBND</v>
      </c>
      <c r="C671" s="122" t="str">
        <f>IFERROR(__xludf.DUMMYFUNCTION("""COMPUTED_VALUE"""),"Classroom Government Bond remains steady as investors seek stability.")</f>
        <v>Classroom Government Bond remains steady as investors seek stability.</v>
      </c>
      <c r="D671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671" s="122" t="str">
        <f>IFERROR(__xludf.DUMMYFUNCTION("""COMPUTED_VALUE"""),"Neutral")</f>
        <v>Neutral</v>
      </c>
      <c r="F671" s="122">
        <f>IFERROR(__xludf.DUMMYFUNCTION("""COMPUTED_VALUE"""),0.0)</f>
        <v>0</v>
      </c>
      <c r="G671" s="122">
        <f>IFERROR(__xludf.DUMMYFUNCTION("""COMPUTED_VALUE"""),0.0)</f>
        <v>0</v>
      </c>
      <c r="H671" s="122" t="str">
        <f>IFERROR(__xludf.DUMMYFUNCTION("""COMPUTED_VALUE"""),"Active")</f>
        <v>Active</v>
      </c>
    </row>
    <row r="672">
      <c r="A672" s="131">
        <f>IFERROR(__xludf.DUMMYFUNCTION("""COMPUTED_VALUE"""),46173.33115740741)</f>
        <v>46173.33116</v>
      </c>
      <c r="B672" s="122" t="str">
        <f>IFERROR(__xludf.DUMMYFUNCTION("""COMPUTED_VALUE"""),"SBND")</f>
        <v>SBND</v>
      </c>
      <c r="C672" s="122" t="str">
        <f>IFERROR(__xludf.DUMMYFUNCTION("""COMPUTED_VALUE"""),"School Savings Bond remains steady as investors seek stability.")</f>
        <v>School Savings Bond remains steady as investors seek stability.</v>
      </c>
      <c r="D672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672" s="122" t="str">
        <f>IFERROR(__xludf.DUMMYFUNCTION("""COMPUTED_VALUE"""),"Neutral")</f>
        <v>Neutral</v>
      </c>
      <c r="F672" s="122">
        <f>IFERROR(__xludf.DUMMYFUNCTION("""COMPUTED_VALUE"""),0.0)</f>
        <v>0</v>
      </c>
      <c r="G672" s="122">
        <f>IFERROR(__xludf.DUMMYFUNCTION("""COMPUTED_VALUE"""),0.0)</f>
        <v>0</v>
      </c>
      <c r="H672" s="122" t="str">
        <f>IFERROR(__xludf.DUMMYFUNCTION("""COMPUTED_VALUE"""),"Active")</f>
        <v>Active</v>
      </c>
    </row>
    <row r="673">
      <c r="A673" s="131">
        <f>IFERROR(__xludf.DUMMYFUNCTION("""COMPUTED_VALUE"""),46173.33115740741)</f>
        <v>46173.33116</v>
      </c>
      <c r="B673" s="122" t="str">
        <f>IFERROR(__xludf.DUMMYFUNCTION("""COMPUTED_VALUE"""),"CBND")</f>
        <v>CBND</v>
      </c>
      <c r="C673" s="122" t="str">
        <f>IFERROR(__xludf.DUMMYFUNCTION("""COMPUTED_VALUE"""),"Corporate Classroom Bond remains steady as investors seek stability.")</f>
        <v>Corporate Classroom Bond remains steady as investors seek stability.</v>
      </c>
      <c r="D673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673" s="122" t="str">
        <f>IFERROR(__xludf.DUMMYFUNCTION("""COMPUTED_VALUE"""),"Neutral")</f>
        <v>Neutral</v>
      </c>
      <c r="F673" s="122">
        <f>IFERROR(__xludf.DUMMYFUNCTION("""COMPUTED_VALUE"""),0.0)</f>
        <v>0</v>
      </c>
      <c r="G673" s="122">
        <f>IFERROR(__xludf.DUMMYFUNCTION("""COMPUTED_VALUE"""),0.0)</f>
        <v>0</v>
      </c>
      <c r="H673" s="122" t="str">
        <f>IFERROR(__xludf.DUMMYFUNCTION("""COMPUTED_VALUE"""),"Active")</f>
        <v>Active</v>
      </c>
    </row>
    <row r="674">
      <c r="A674" s="131">
        <f>IFERROR(__xludf.DUMMYFUNCTION("""COMPUTED_VALUE"""),46173.33116898148)</f>
        <v>46173.33117</v>
      </c>
      <c r="B674" s="122" t="str">
        <f>IFERROR(__xludf.DUMMYFUNCTION("""COMPUTED_VALUE"""),"TBIL")</f>
        <v>TBIL</v>
      </c>
      <c r="C674" s="122" t="str">
        <f>IFERROR(__xludf.DUMMYFUNCTION("""COMPUTED_VALUE"""),"Treasury Bill remains steady as investors seek stability.")</f>
        <v>Treasury Bill remains steady as investors seek stability.</v>
      </c>
      <c r="D674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674" s="122" t="str">
        <f>IFERROR(__xludf.DUMMYFUNCTION("""COMPUTED_VALUE"""),"Neutral")</f>
        <v>Neutral</v>
      </c>
      <c r="F674" s="122">
        <f>IFERROR(__xludf.DUMMYFUNCTION("""COMPUTED_VALUE"""),0.0)</f>
        <v>0</v>
      </c>
      <c r="G674" s="122">
        <f>IFERROR(__xludf.DUMMYFUNCTION("""COMPUTED_VALUE"""),0.0)</f>
        <v>0</v>
      </c>
      <c r="H674" s="122" t="str">
        <f>IFERROR(__xludf.DUMMYFUNCTION("""COMPUTED_VALUE"""),"Active")</f>
        <v>Active</v>
      </c>
    </row>
    <row r="675">
      <c r="A675" s="131">
        <f>IFERROR(__xludf.DUMMYFUNCTION("""COMPUTED_VALUE"""),46173.33116898148)</f>
        <v>46173.33117</v>
      </c>
      <c r="B675" s="122" t="str">
        <f>IFERROR(__xludf.DUMMYFUNCTION("""COMPUTED_VALUE"""),"IBND")</f>
        <v>IBND</v>
      </c>
      <c r="C675" s="122" t="str">
        <f>IFERROR(__xludf.DUMMYFUNCTION("""COMPUTED_VALUE"""),"Inflation Protected Bond remains steady as investors seek stability.")</f>
        <v>Inflation Protected Bond remains steady as investors seek stability.</v>
      </c>
      <c r="D675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675" s="122" t="str">
        <f>IFERROR(__xludf.DUMMYFUNCTION("""COMPUTED_VALUE"""),"Neutral")</f>
        <v>Neutral</v>
      </c>
      <c r="F675" s="122">
        <f>IFERROR(__xludf.DUMMYFUNCTION("""COMPUTED_VALUE"""),0.0)</f>
        <v>0</v>
      </c>
      <c r="G675" s="122">
        <f>IFERROR(__xludf.DUMMYFUNCTION("""COMPUTED_VALUE"""),0.0)</f>
        <v>0</v>
      </c>
      <c r="H675" s="122" t="str">
        <f>IFERROR(__xludf.DUMMYFUNCTION("""COMPUTED_VALUE"""),"Active")</f>
        <v>Active</v>
      </c>
    </row>
    <row r="676">
      <c r="A676" s="131">
        <f>IFERROR(__xludf.DUMMYFUNCTION("""COMPUTED_VALUE"""),46173.338784722226)</f>
        <v>46173.33878</v>
      </c>
      <c r="B676" s="122" t="str">
        <f>IFERROR(__xludf.DUMMYFUNCTION("""COMPUTED_VALUE"""),"MARKET")</f>
        <v>MARKET</v>
      </c>
      <c r="C676" s="122" t="str">
        <f>IFERROR(__xludf.DUMMYFUNCTION("""COMPUTED_VALUE"""),"Weekly Market Outlook")</f>
        <v>Weekly Market Outlook</v>
      </c>
      <c r="D676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676" s="122" t="str">
        <f>IFERROR(__xludf.DUMMYFUNCTION("""COMPUTED_VALUE"""),"Neutral")</f>
        <v>Neutral</v>
      </c>
      <c r="F676" s="122">
        <f>IFERROR(__xludf.DUMMYFUNCTION("""COMPUTED_VALUE"""),0.0)</f>
        <v>0</v>
      </c>
      <c r="G676" s="122">
        <f>IFERROR(__xludf.DUMMYFUNCTION("""COMPUTED_VALUE"""),0.0)</f>
        <v>0</v>
      </c>
      <c r="H676" s="122" t="str">
        <f>IFERROR(__xludf.DUMMYFUNCTION("""COMPUTED_VALUE"""),"Active")</f>
        <v>Active</v>
      </c>
    </row>
    <row r="677">
      <c r="A677" s="131">
        <f>IFERROR(__xludf.DUMMYFUNCTION("""COMPUTED_VALUE"""),46173.338784722226)</f>
        <v>46173.33878</v>
      </c>
      <c r="B677" s="122" t="str">
        <f>IFERROR(__xludf.DUMMYFUNCTION("""COMPUTED_VALUE"""),"MARKET")</f>
        <v>MARKET</v>
      </c>
      <c r="C677" s="122" t="str">
        <f>IFERROR(__xludf.DUMMYFUNCTION("""COMPUTED_VALUE"""),"Market Stability Report")</f>
        <v>Market Stability Report</v>
      </c>
      <c r="D677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677" s="122" t="str">
        <f>IFERROR(__xludf.DUMMYFUNCTION("""COMPUTED_VALUE"""),"Neutral")</f>
        <v>Neutral</v>
      </c>
      <c r="F677" s="122">
        <f>IFERROR(__xludf.DUMMYFUNCTION("""COMPUTED_VALUE"""),0.0)</f>
        <v>0</v>
      </c>
      <c r="G677" s="122">
        <f>IFERROR(__xludf.DUMMYFUNCTION("""COMPUTED_VALUE"""),0.0)</f>
        <v>0</v>
      </c>
      <c r="H677" s="122" t="str">
        <f>IFERROR(__xludf.DUMMYFUNCTION("""COMPUTED_VALUE"""),"Active")</f>
        <v>Active</v>
      </c>
    </row>
    <row r="678">
      <c r="A678" s="131">
        <f>IFERROR(__xludf.DUMMYFUNCTION("""COMPUTED_VALUE"""),46174.2924537037)</f>
        <v>46174.29245</v>
      </c>
      <c r="B678" s="122" t="str">
        <f>IFERROR(__xludf.DUMMYFUNCTION("""COMPUTED_VALUE"""),"MARKET")</f>
        <v>MARKET</v>
      </c>
      <c r="C678" s="122" t="str">
        <f>IFERROR(__xludf.DUMMYFUNCTION("""COMPUTED_VALUE"""),"Weekly Market Outlook")</f>
        <v>Weekly Market Outlook</v>
      </c>
      <c r="D678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678" s="122" t="str">
        <f>IFERROR(__xludf.DUMMYFUNCTION("""COMPUTED_VALUE"""),"Neutral")</f>
        <v>Neutral</v>
      </c>
      <c r="F678" s="122">
        <f>IFERROR(__xludf.DUMMYFUNCTION("""COMPUTED_VALUE"""),0.0)</f>
        <v>0</v>
      </c>
      <c r="G678" s="122">
        <f>IFERROR(__xludf.DUMMYFUNCTION("""COMPUTED_VALUE"""),0.0)</f>
        <v>0</v>
      </c>
      <c r="H678" s="122" t="str">
        <f>IFERROR(__xludf.DUMMYFUNCTION("""COMPUTED_VALUE"""),"Active")</f>
        <v>Active</v>
      </c>
    </row>
    <row r="679">
      <c r="A679" s="131">
        <f>IFERROR(__xludf.DUMMYFUNCTION("""COMPUTED_VALUE"""),46174.31758101852)</f>
        <v>46174.31758</v>
      </c>
      <c r="B679" s="122" t="str">
        <f>IFERROR(__xludf.DUMMYFUNCTION("""COMPUTED_VALUE"""),"CARE")</f>
        <v>CARE</v>
      </c>
      <c r="C679" s="122" t="str">
        <f>IFERROR(__xludf.DUMMYFUNCTION("""COMPUTED_VALUE"""),"CareCloud releases earnings report: Inline profit, guidance Maintained.")</f>
        <v>CareCloud releases earnings report: Inline profit, guidance Maintained.</v>
      </c>
      <c r="D679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679" s="122" t="str">
        <f>IFERROR(__xludf.DUMMYFUNCTION("""COMPUTED_VALUE"""),"Neutral")</f>
        <v>Neutral</v>
      </c>
      <c r="F679" s="122">
        <f>IFERROR(__xludf.DUMMYFUNCTION("""COMPUTED_VALUE"""),0.0052239293107377)</f>
        <v>0.005223929311</v>
      </c>
      <c r="G679" s="122">
        <f>IFERROR(__xludf.DUMMYFUNCTION("""COMPUTED_VALUE"""),0.13059823276844248)</f>
        <v>0.1305982328</v>
      </c>
      <c r="H679" s="122" t="str">
        <f>IFERROR(__xludf.DUMMYFUNCTION("""COMPUTED_VALUE"""),"Active")</f>
        <v>Active</v>
      </c>
    </row>
    <row r="680">
      <c r="A680" s="131">
        <f>IFERROR(__xludf.DUMMYFUNCTION("""COMPUTED_VALUE"""),46174.317662037036)</f>
        <v>46174.31766</v>
      </c>
      <c r="B680" s="122" t="str">
        <f>IFERROR(__xludf.DUMMYFUNCTION("""COMPUTED_VALUE"""),"BOOK")</f>
        <v>BOOK</v>
      </c>
      <c r="C680" s="122" t="str">
        <f>IFERROR(__xludf.DUMMYFUNCTION("""COMPUTED_VALUE"""),"BookBridge releases earnings report: Miss profit, guidance Lowered.")</f>
        <v>BookBridge releases earnings report: Miss profit, guidance Lowered.</v>
      </c>
      <c r="D680" s="122" t="str">
        <f>IFERROR(__xludf.DUMMYFUNCTION("""COMPUTED_VALUE"""),"Earnings report: revenue Miss, profit Miss, debt Worse, guidance Lowered.")</f>
        <v>Earnings report: revenue Miss, profit Miss, debt Worse, guidance Lowered.</v>
      </c>
      <c r="E680" s="122" t="str">
        <f>IFERROR(__xludf.DUMMYFUNCTION("""COMPUTED_VALUE"""),"Negative")</f>
        <v>Negative</v>
      </c>
      <c r="F680" s="122">
        <f>IFERROR(__xludf.DUMMYFUNCTION("""COMPUTED_VALUE"""),-0.05647848698721286)</f>
        <v>-0.05647848699</v>
      </c>
      <c r="G680" s="122">
        <f>IFERROR(__xludf.DUMMYFUNCTION("""COMPUTED_VALUE"""),1.4119621746803215)</f>
        <v>1.411962175</v>
      </c>
      <c r="H680" s="122" t="str">
        <f>IFERROR(__xludf.DUMMYFUNCTION("""COMPUTED_VALUE"""),"Active")</f>
        <v>Active</v>
      </c>
    </row>
    <row r="681">
      <c r="A681" s="131">
        <f>IFERROR(__xludf.DUMMYFUNCTION("""COMPUTED_VALUE"""),46174.31773148148)</f>
        <v>46174.31773</v>
      </c>
      <c r="B681" s="122" t="str">
        <f>IFERROR(__xludf.DUMMYFUNCTION("""COMPUTED_VALUE"""),"COLA")</f>
        <v>COLA</v>
      </c>
      <c r="C681" s="122" t="str">
        <f>IFERROR(__xludf.DUMMYFUNCTION("""COMPUTED_VALUE"""),"K-Pop Cola releases earnings report: Beat profit, guidance Raised.")</f>
        <v>K-Pop Cola releases earnings report: Beat profit, guidance Raised.</v>
      </c>
      <c r="D681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81" s="122" t="str">
        <f>IFERROR(__xludf.DUMMYFUNCTION("""COMPUTED_VALUE"""),"Positive")</f>
        <v>Positive</v>
      </c>
      <c r="F681" s="122">
        <f>IFERROR(__xludf.DUMMYFUNCTION("""COMPUTED_VALUE"""),0.04509783067666954)</f>
        <v>0.04509783068</v>
      </c>
      <c r="G681" s="122">
        <f>IFERROR(__xludf.DUMMYFUNCTION("""COMPUTED_VALUE"""),1.1274457669167384)</f>
        <v>1.127445767</v>
      </c>
      <c r="H681" s="122" t="str">
        <f>IFERROR(__xludf.DUMMYFUNCTION("""COMPUTED_VALUE"""),"Active")</f>
        <v>Active</v>
      </c>
    </row>
    <row r="682">
      <c r="A682" s="131">
        <f>IFERROR(__xludf.DUMMYFUNCTION("""COMPUTED_VALUE"""),46174.3178125)</f>
        <v>46174.31781</v>
      </c>
      <c r="B682" s="122" t="str">
        <f>IFERROR(__xludf.DUMMYFUNCTION("""COMPUTED_VALUE"""),"GAME")</f>
        <v>GAME</v>
      </c>
      <c r="C682" s="122" t="str">
        <f>IFERROR(__xludf.DUMMYFUNCTION("""COMPUTED_VALUE"""),"GameBox Media releases earnings report: Beat profit, guidance Raised.")</f>
        <v>GameBox Media releases earnings report: Beat profit, guidance Raised.</v>
      </c>
      <c r="D68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682" s="122" t="str">
        <f>IFERROR(__xludf.DUMMYFUNCTION("""COMPUTED_VALUE"""),"Positive")</f>
        <v>Positive</v>
      </c>
      <c r="F682" s="122">
        <f>IFERROR(__xludf.DUMMYFUNCTION("""COMPUTED_VALUE"""),0.04756480988643682)</f>
        <v>0.04756480989</v>
      </c>
      <c r="G682" s="122">
        <f>IFERROR(__xludf.DUMMYFUNCTION("""COMPUTED_VALUE"""),1.1891202471609206)</f>
        <v>1.189120247</v>
      </c>
      <c r="H682" s="122" t="str">
        <f>IFERROR(__xludf.DUMMYFUNCTION("""COMPUTED_VALUE"""),"Active")</f>
        <v>Active</v>
      </c>
    </row>
    <row r="683">
      <c r="A683" s="131">
        <f>IFERROR(__xludf.DUMMYFUNCTION("""COMPUTED_VALUE"""),46174.31787037037)</f>
        <v>46174.31787</v>
      </c>
      <c r="B683" s="122" t="str">
        <f>IFERROR(__xludf.DUMMYFUNCTION("""COMPUTED_VALUE"""),"WASH")</f>
        <v>WASH</v>
      </c>
      <c r="C683" s="122" t="str">
        <f>IFERROR(__xludf.DUMMYFUNCTION("""COMPUTED_VALUE"""),"CarWash Co releases earnings report: Miss profit, guidance Maintained.")</f>
        <v>CarWash Co releases earnings report: Miss profit, guidance Maintained.</v>
      </c>
      <c r="D683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683" s="122" t="str">
        <f>IFERROR(__xludf.DUMMYFUNCTION("""COMPUTED_VALUE"""),"Negative")</f>
        <v>Negative</v>
      </c>
      <c r="F683" s="122">
        <f>IFERROR(__xludf.DUMMYFUNCTION("""COMPUTED_VALUE"""),-0.010620372546672367)</f>
        <v>-0.01062037255</v>
      </c>
      <c r="G683" s="122">
        <f>IFERROR(__xludf.DUMMYFUNCTION("""COMPUTED_VALUE"""),0.2655093136668092)</f>
        <v>0.2655093137</v>
      </c>
      <c r="H683" s="122" t="str">
        <f>IFERROR(__xludf.DUMMYFUNCTION("""COMPUTED_VALUE"""),"Active")</f>
        <v>Active</v>
      </c>
    </row>
    <row r="684">
      <c r="A684" s="131">
        <f>IFERROR(__xludf.DUMMYFUNCTION("""COMPUTED_VALUE"""),46174.31796296296)</f>
        <v>46174.31796</v>
      </c>
      <c r="B684" s="122" t="str">
        <f>IFERROR(__xludf.DUMMYFUNCTION("""COMPUTED_VALUE"""),"TUTR")</f>
        <v>TUTR</v>
      </c>
      <c r="C684" s="122" t="str">
        <f>IFERROR(__xludf.DUMMYFUNCTION("""COMPUTED_VALUE"""),"TutorTown releases earnings report: Miss profit, guidance Lowered.")</f>
        <v>TutorTown releases earnings report: Miss profit, guidance Lowered.</v>
      </c>
      <c r="D684" s="122" t="str">
        <f>IFERROR(__xludf.DUMMYFUNCTION("""COMPUTED_VALUE"""),"Earnings report: revenue Miss, profit Miss, debt Worse, guidance Lowered.")</f>
        <v>Earnings report: revenue Miss, profit Miss, debt Worse, guidance Lowered.</v>
      </c>
      <c r="E684" s="122" t="str">
        <f>IFERROR(__xludf.DUMMYFUNCTION("""COMPUTED_VALUE"""),"Negative")</f>
        <v>Negative</v>
      </c>
      <c r="F684" s="122">
        <f>IFERROR(__xludf.DUMMYFUNCTION("""COMPUTED_VALUE"""),-0.04159257101383527)</f>
        <v>-0.04159257101</v>
      </c>
      <c r="G684" s="122">
        <f>IFERROR(__xludf.DUMMYFUNCTION("""COMPUTED_VALUE"""),1.0398142753458817)</f>
        <v>1.039814275</v>
      </c>
      <c r="H684" s="122" t="str">
        <f>IFERROR(__xludf.DUMMYFUNCTION("""COMPUTED_VALUE"""),"Active")</f>
        <v>Active</v>
      </c>
    </row>
    <row r="685">
      <c r="A685" s="131">
        <f>IFERROR(__xludf.DUMMYFUNCTION("""COMPUTED_VALUE"""),46174.318020833336)</f>
        <v>46174.31802</v>
      </c>
      <c r="B685" s="122" t="str">
        <f>IFERROR(__xludf.DUMMYFUNCTION("""COMPUTED_VALUE"""),"CAND")</f>
        <v>CAND</v>
      </c>
      <c r="C685" s="122" t="str">
        <f>IFERROR(__xludf.DUMMYFUNCTION("""COMPUTED_VALUE"""),"Candy Capital releases earnings report: Miss profit, guidance Lowered.")</f>
        <v>Candy Capital releases earnings report: Miss profit, guidance Lowered.</v>
      </c>
      <c r="D685" s="122" t="str">
        <f>IFERROR(__xludf.DUMMYFUNCTION("""COMPUTED_VALUE"""),"Earnings report: revenue Miss, profit Miss, debt Worse, guidance Lowered.")</f>
        <v>Earnings report: revenue Miss, profit Miss, debt Worse, guidance Lowered.</v>
      </c>
      <c r="E685" s="122" t="str">
        <f>IFERROR(__xludf.DUMMYFUNCTION("""COMPUTED_VALUE"""),"Negative")</f>
        <v>Negative</v>
      </c>
      <c r="F685" s="122">
        <f>IFERROR(__xludf.DUMMYFUNCTION("""COMPUTED_VALUE"""),-0.0528270678060458)</f>
        <v>-0.05282706781</v>
      </c>
      <c r="G685" s="122">
        <f>IFERROR(__xludf.DUMMYFUNCTION("""COMPUTED_VALUE"""),1.320676695151145)</f>
        <v>1.320676695</v>
      </c>
      <c r="H685" s="122" t="str">
        <f>IFERROR(__xludf.DUMMYFUNCTION("""COMPUTED_VALUE"""),"Active")</f>
        <v>Active</v>
      </c>
    </row>
    <row r="686">
      <c r="A686" s="131">
        <f>IFERROR(__xludf.DUMMYFUNCTION("""COMPUTED_VALUE"""),46174.318090277775)</f>
        <v>46174.31809</v>
      </c>
      <c r="B686" s="122" t="str">
        <f>IFERROR(__xludf.DUMMYFUNCTION("""COMPUTED_VALUE"""),"DENT")</f>
        <v>DENT</v>
      </c>
      <c r="C686" s="122" t="str">
        <f>IFERROR(__xludf.DUMMYFUNCTION("""COMPUTED_VALUE"""),"SmileWorks releases earnings report: Miss profit, guidance Lowered.")</f>
        <v>SmileWorks releases earnings report: Miss profit, guidance Lowered.</v>
      </c>
      <c r="D686" s="122" t="str">
        <f>IFERROR(__xludf.DUMMYFUNCTION("""COMPUTED_VALUE"""),"Earnings report: revenue Miss, profit Miss, debt Worse, guidance Lowered.")</f>
        <v>Earnings report: revenue Miss, profit Miss, debt Worse, guidance Lowered.</v>
      </c>
      <c r="E686" s="122" t="str">
        <f>IFERROR(__xludf.DUMMYFUNCTION("""COMPUTED_VALUE"""),"Negative")</f>
        <v>Negative</v>
      </c>
      <c r="F686" s="122">
        <f>IFERROR(__xludf.DUMMYFUNCTION("""COMPUTED_VALUE"""),-0.030628414255808385)</f>
        <v>-0.03062841426</v>
      </c>
      <c r="G686" s="122">
        <f>IFERROR(__xludf.DUMMYFUNCTION("""COMPUTED_VALUE"""),0.7657103563952096)</f>
        <v>0.7657103564</v>
      </c>
      <c r="H686" s="122" t="str">
        <f>IFERROR(__xludf.DUMMYFUNCTION("""COMPUTED_VALUE"""),"Active")</f>
        <v>Active</v>
      </c>
    </row>
    <row r="687">
      <c r="A687" s="131">
        <f>IFERROR(__xludf.DUMMYFUNCTION("""COMPUTED_VALUE"""),46174.31815972222)</f>
        <v>46174.31816</v>
      </c>
      <c r="B687" s="122" t="str">
        <f>IFERROR(__xludf.DUMMYFUNCTION("""COMPUTED_VALUE"""),"FAST")</f>
        <v>FAST</v>
      </c>
      <c r="C687" s="122" t="str">
        <f>IFERROR(__xludf.DUMMYFUNCTION("""COMPUTED_VALUE"""),"Flash Logistics releases earnings report: Miss profit, guidance Lowered.")</f>
        <v>Flash Logistics releases earnings report: Miss profit, guidance Lowered.</v>
      </c>
      <c r="D687" s="122" t="str">
        <f>IFERROR(__xludf.DUMMYFUNCTION("""COMPUTED_VALUE"""),"Earnings report: revenue Miss, profit Miss, debt Worse, guidance Lowered.")</f>
        <v>Earnings report: revenue Miss, profit Miss, debt Worse, guidance Lowered.</v>
      </c>
      <c r="E687" s="122" t="str">
        <f>IFERROR(__xludf.DUMMYFUNCTION("""COMPUTED_VALUE"""),"Negative")</f>
        <v>Negative</v>
      </c>
      <c r="F687" s="122">
        <f>IFERROR(__xludf.DUMMYFUNCTION("""COMPUTED_VALUE"""),-0.051493490406111446)</f>
        <v>-0.05149349041</v>
      </c>
      <c r="G687" s="122">
        <f>IFERROR(__xludf.DUMMYFUNCTION("""COMPUTED_VALUE"""),1.2873372601527862)</f>
        <v>1.28733726</v>
      </c>
      <c r="H687" s="122" t="str">
        <f>IFERROR(__xludf.DUMMYFUNCTION("""COMPUTED_VALUE"""),"Active")</f>
        <v>Active</v>
      </c>
    </row>
    <row r="688">
      <c r="A688" s="131">
        <f>IFERROR(__xludf.DUMMYFUNCTION("""COMPUTED_VALUE"""),46174.331145833334)</f>
        <v>46174.33115</v>
      </c>
      <c r="B688" s="122" t="str">
        <f>IFERROR(__xludf.DUMMYFUNCTION("""COMPUTED_VALUE"""),"SNAX")</f>
        <v>SNAX</v>
      </c>
      <c r="C688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688" s="122" t="str">
        <f>IFERROR(__xludf.DUMMYFUNCTION("""COMPUTED_VALUE"""),"MICA Snacks appears steady with no major changes reported.")</f>
        <v>MICA Snacks appears steady with no major changes reported.</v>
      </c>
      <c r="E688" s="122" t="str">
        <f>IFERROR(__xludf.DUMMYFUNCTION("""COMPUTED_VALUE"""),"Neutral")</f>
        <v>Neutral</v>
      </c>
      <c r="F688" s="122">
        <f>IFERROR(__xludf.DUMMYFUNCTION("""COMPUTED_VALUE"""),0.0)</f>
        <v>0</v>
      </c>
      <c r="G688" s="122">
        <f>IFERROR(__xludf.DUMMYFUNCTION("""COMPUTED_VALUE"""),0.0)</f>
        <v>0</v>
      </c>
      <c r="H688" s="122" t="str">
        <f>IFERROR(__xludf.DUMMYFUNCTION("""COMPUTED_VALUE"""),"Active")</f>
        <v>Active</v>
      </c>
    </row>
    <row r="689">
      <c r="A689" s="131">
        <f>IFERROR(__xludf.DUMMYFUNCTION("""COMPUTED_VALUE"""),46174.331145833334)</f>
        <v>46174.33115</v>
      </c>
      <c r="B689" s="122" t="str">
        <f>IFERROR(__xludf.DUMMYFUNCTION("""COMPUTED_VALUE"""),"RAMN")</f>
        <v>RAMN</v>
      </c>
      <c r="C689" s="122" t="str">
        <f>IFERROR(__xludf.DUMMYFUNCTION("""COMPUTED_VALUE"""),"Ramen Republic surges as demand rises across the Food sector.")</f>
        <v>Ramen Republic surges as demand rises across the Food sector.</v>
      </c>
      <c r="D689" s="122" t="str">
        <f>IFERROR(__xludf.DUMMYFUNCTION("""COMPUTED_VALUE"""),"Ramen Republic is seeing strong demand, which may increase investor confidence.")</f>
        <v>Ramen Republic is seeing strong demand, which may increase investor confidence.</v>
      </c>
      <c r="E689" s="122" t="str">
        <f>IFERROR(__xludf.DUMMYFUNCTION("""COMPUTED_VALUE"""),"Positive")</f>
        <v>Positive</v>
      </c>
      <c r="F689" s="122">
        <f>IFERROR(__xludf.DUMMYFUNCTION("""COMPUTED_VALUE"""),0.03)</f>
        <v>0.03</v>
      </c>
      <c r="G689" s="122">
        <f>IFERROR(__xludf.DUMMYFUNCTION("""COMPUTED_VALUE"""),1.0)</f>
        <v>1</v>
      </c>
      <c r="H689" s="122" t="str">
        <f>IFERROR(__xludf.DUMMYFUNCTION("""COMPUTED_VALUE"""),"Active")</f>
        <v>Active</v>
      </c>
    </row>
    <row r="690">
      <c r="A690" s="131">
        <f>IFERROR(__xludf.DUMMYFUNCTION("""COMPUTED_VALUE"""),46174.33115740741)</f>
        <v>46174.33116</v>
      </c>
      <c r="B690" s="122" t="str">
        <f>IFERROR(__xludf.DUMMYFUNCTION("""COMPUTED_VALUE"""),"COLA")</f>
        <v>COLA</v>
      </c>
      <c r="C690" s="122" t="str">
        <f>IFERROR(__xludf.DUMMYFUNCTION("""COMPUTED_VALUE"""),"K-Pop Cola faces weaker demand and cautious investor sentiment.")</f>
        <v>K-Pop Cola faces weaker demand and cautious investor sentiment.</v>
      </c>
      <c r="D690" s="122" t="str">
        <f>IFERROR(__xludf.DUMMYFUNCTION("""COMPUTED_VALUE"""),"Investors are watching K-Pop Cola closely as demand weakens.")</f>
        <v>Investors are watching K-Pop Cola closely as demand weakens.</v>
      </c>
      <c r="E690" s="122" t="str">
        <f>IFERROR(__xludf.DUMMYFUNCTION("""COMPUTED_VALUE"""),"Negative")</f>
        <v>Negative</v>
      </c>
      <c r="F690" s="122">
        <f>IFERROR(__xludf.DUMMYFUNCTION("""COMPUTED_VALUE"""),-0.015)</f>
        <v>-0.015</v>
      </c>
      <c r="G690" s="122">
        <f>IFERROR(__xludf.DUMMYFUNCTION("""COMPUTED_VALUE"""),0.75)</f>
        <v>0.75</v>
      </c>
      <c r="H690" s="122" t="str">
        <f>IFERROR(__xludf.DUMMYFUNCTION("""COMPUTED_VALUE"""),"Active")</f>
        <v>Active</v>
      </c>
    </row>
    <row r="691">
      <c r="A691" s="131">
        <f>IFERROR(__xludf.DUMMYFUNCTION("""COMPUTED_VALUE"""),46174.33115740741)</f>
        <v>46174.33116</v>
      </c>
      <c r="B691" s="122" t="str">
        <f>IFERROR(__xludf.DUMMYFUNCTION("""COMPUTED_VALUE"""),"CHIP")</f>
        <v>CHIP</v>
      </c>
      <c r="C691" s="122" t="str">
        <f>IFERROR(__xludf.DUMMYFUNCTION("""COMPUTED_VALUE"""),"Chip Empire reports steady growth and improved market confidence.")</f>
        <v>Chip Empire reports steady growth and improved market confidence.</v>
      </c>
      <c r="D691" s="122" t="str">
        <f>IFERROR(__xludf.DUMMYFUNCTION("""COMPUTED_VALUE"""),"Chip Empire continues to show positive momentum with moderate risk.")</f>
        <v>Chip Empire continues to show positive momentum with moderate risk.</v>
      </c>
      <c r="E691" s="122" t="str">
        <f>IFERROR(__xludf.DUMMYFUNCTION("""COMPUTED_VALUE"""),"Positive")</f>
        <v>Positive</v>
      </c>
      <c r="F691" s="122">
        <f>IFERROR(__xludf.DUMMYFUNCTION("""COMPUTED_VALUE"""),0.015)</f>
        <v>0.015</v>
      </c>
      <c r="G691" s="122">
        <f>IFERROR(__xludf.DUMMYFUNCTION("""COMPUTED_VALUE"""),0.5)</f>
        <v>0.5</v>
      </c>
      <c r="H691" s="122" t="str">
        <f>IFERROR(__xludf.DUMMYFUNCTION("""COMPUTED_VALUE"""),"Active")</f>
        <v>Active</v>
      </c>
    </row>
    <row r="692">
      <c r="A692" s="131">
        <f>IFERROR(__xludf.DUMMYFUNCTION("""COMPUTED_VALUE"""),46174.33115740741)</f>
        <v>46174.33116</v>
      </c>
      <c r="B692" s="122" t="str">
        <f>IFERROR(__xludf.DUMMYFUNCTION("""COMPUTED_VALUE"""),"CAND")</f>
        <v>CAND</v>
      </c>
      <c r="C692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692" s="122" t="str">
        <f>IFERROR(__xludf.DUMMYFUNCTION("""COMPUTED_VALUE"""),"Candy Capital appears steady with no major changes reported.")</f>
        <v>Candy Capital appears steady with no major changes reported.</v>
      </c>
      <c r="E692" s="122" t="str">
        <f>IFERROR(__xludf.DUMMYFUNCTION("""COMPUTED_VALUE"""),"Neutral")</f>
        <v>Neutral</v>
      </c>
      <c r="F692" s="122">
        <f>IFERROR(__xludf.DUMMYFUNCTION("""COMPUTED_VALUE"""),0.0)</f>
        <v>0</v>
      </c>
      <c r="G692" s="122">
        <f>IFERROR(__xludf.DUMMYFUNCTION("""COMPUTED_VALUE"""),0.0)</f>
        <v>0</v>
      </c>
      <c r="H692" s="122" t="str">
        <f>IFERROR(__xludf.DUMMYFUNCTION("""COMPUTED_VALUE"""),"Active")</f>
        <v>Active</v>
      </c>
    </row>
    <row r="693">
      <c r="A693" s="131">
        <f>IFERROR(__xludf.DUMMYFUNCTION("""COMPUTED_VALUE"""),46174.33116898148)</f>
        <v>46174.33117</v>
      </c>
      <c r="B693" s="122" t="str">
        <f>IFERROR(__xludf.DUMMYFUNCTION("""COMPUTED_VALUE"""),"TECH")</f>
        <v>TECH</v>
      </c>
      <c r="C693" s="122" t="str">
        <f>IFERROR(__xludf.DUMMYFUNCTION("""COMPUTED_VALUE"""),"Dragon Tech reports steady growth and improved market confidence.")</f>
        <v>Dragon Tech reports steady growth and improved market confidence.</v>
      </c>
      <c r="D693" s="122" t="str">
        <f>IFERROR(__xludf.DUMMYFUNCTION("""COMPUTED_VALUE"""),"Dragon Tech continues to show positive momentum with moderate risk.")</f>
        <v>Dragon Tech continues to show positive momentum with moderate risk.</v>
      </c>
      <c r="E693" s="122" t="str">
        <f>IFERROR(__xludf.DUMMYFUNCTION("""COMPUTED_VALUE"""),"Positive")</f>
        <v>Positive</v>
      </c>
      <c r="F693" s="122">
        <f>IFERROR(__xludf.DUMMYFUNCTION("""COMPUTED_VALUE"""),0.015)</f>
        <v>0.015</v>
      </c>
      <c r="G693" s="122">
        <f>IFERROR(__xludf.DUMMYFUNCTION("""COMPUTED_VALUE"""),0.5)</f>
        <v>0.5</v>
      </c>
      <c r="H693" s="122" t="str">
        <f>IFERROR(__xludf.DUMMYFUNCTION("""COMPUTED_VALUE"""),"Active")</f>
        <v>Active</v>
      </c>
    </row>
    <row r="694">
      <c r="A694" s="131">
        <f>IFERROR(__xludf.DUMMYFUNCTION("""COMPUTED_VALUE"""),46174.33116898148)</f>
        <v>46174.33117</v>
      </c>
      <c r="B694" s="122" t="str">
        <f>IFERROR(__xludf.DUMMYFUNCTION("""COMPUTED_VALUE"""),"AIBO")</f>
        <v>AIBO</v>
      </c>
      <c r="C694" s="122" t="str">
        <f>IFERROR(__xludf.DUMMYFUNCTION("""COMPUTED_VALUE"""),"Homework AI drops sharply after major concerns hit the market.")</f>
        <v>Homework AI drops sharply after major concerns hit the market.</v>
      </c>
      <c r="D694" s="122" t="str">
        <f>IFERROR(__xludf.DUMMYFUNCTION("""COMPUTED_VALUE"""),"Homework AI is under pressure as investors react to worsening conditions.")</f>
        <v>Homework AI is under pressure as investors react to worsening conditions.</v>
      </c>
      <c r="E694" s="122" t="str">
        <f>IFERROR(__xludf.DUMMYFUNCTION("""COMPUTED_VALUE"""),"Negative")</f>
        <v>Negative</v>
      </c>
      <c r="F694" s="122">
        <f>IFERROR(__xludf.DUMMYFUNCTION("""COMPUTED_VALUE"""),-0.04)</f>
        <v>-0.04</v>
      </c>
      <c r="G694" s="122">
        <f>IFERROR(__xludf.DUMMYFUNCTION("""COMPUTED_VALUE"""),2.0)</f>
        <v>2</v>
      </c>
      <c r="H694" s="122" t="str">
        <f>IFERROR(__xludf.DUMMYFUNCTION("""COMPUTED_VALUE"""),"Active")</f>
        <v>Active</v>
      </c>
    </row>
    <row r="695">
      <c r="A695" s="131">
        <f>IFERROR(__xludf.DUMMYFUNCTION("""COMPUTED_VALUE"""),46174.33118055556)</f>
        <v>46174.33118</v>
      </c>
      <c r="B695" s="122" t="str">
        <f>IFERROR(__xludf.DUMMYFUNCTION("""COMPUTED_VALUE"""),"GAME")</f>
        <v>GAME</v>
      </c>
      <c r="C695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695" s="122" t="str">
        <f>IFERROR(__xludf.DUMMYFUNCTION("""COMPUTED_VALUE"""),"GameBox Media appears steady with no major changes reported.")</f>
        <v>GameBox Media appears steady with no major changes reported.</v>
      </c>
      <c r="E695" s="122" t="str">
        <f>IFERROR(__xludf.DUMMYFUNCTION("""COMPUTED_VALUE"""),"Neutral")</f>
        <v>Neutral</v>
      </c>
      <c r="F695" s="122">
        <f>IFERROR(__xludf.DUMMYFUNCTION("""COMPUTED_VALUE"""),0.0)</f>
        <v>0</v>
      </c>
      <c r="G695" s="122">
        <f>IFERROR(__xludf.DUMMYFUNCTION("""COMPUTED_VALUE"""),0.0)</f>
        <v>0</v>
      </c>
      <c r="H695" s="122" t="str">
        <f>IFERROR(__xludf.DUMMYFUNCTION("""COMPUTED_VALUE"""),"Active")</f>
        <v>Active</v>
      </c>
    </row>
    <row r="696">
      <c r="A696" s="131">
        <f>IFERROR(__xludf.DUMMYFUNCTION("""COMPUTED_VALUE"""),46174.33118055556)</f>
        <v>46174.33118</v>
      </c>
      <c r="B696" s="122" t="str">
        <f>IFERROR(__xludf.DUMMYFUNCTION("""COMPUTED_VALUE"""),"VRSE")</f>
        <v>VRSE</v>
      </c>
      <c r="C696" s="122" t="str">
        <f>IFERROR(__xludf.DUMMYFUNCTION("""COMPUTED_VALUE"""),"VerseVR surges as demand rises across the Technology sector.")</f>
        <v>VerseVR surges as demand rises across the Technology sector.</v>
      </c>
      <c r="D696" s="122" t="str">
        <f>IFERROR(__xludf.DUMMYFUNCTION("""COMPUTED_VALUE"""),"VerseVR is seeing strong demand, which may increase investor confidence.")</f>
        <v>VerseVR is seeing strong demand, which may increase investor confidence.</v>
      </c>
      <c r="E696" s="122" t="str">
        <f>IFERROR(__xludf.DUMMYFUNCTION("""COMPUTED_VALUE"""),"Positive")</f>
        <v>Positive</v>
      </c>
      <c r="F696" s="122">
        <f>IFERROR(__xludf.DUMMYFUNCTION("""COMPUTED_VALUE"""),0.03)</f>
        <v>0.03</v>
      </c>
      <c r="G696" s="122">
        <f>IFERROR(__xludf.DUMMYFUNCTION("""COMPUTED_VALUE"""),1.0)</f>
        <v>1</v>
      </c>
      <c r="H696" s="122" t="str">
        <f>IFERROR(__xludf.DUMMYFUNCTION("""COMPUTED_VALUE"""),"Active")</f>
        <v>Active</v>
      </c>
    </row>
    <row r="697">
      <c r="A697" s="131">
        <f>IFERROR(__xludf.DUMMYFUNCTION("""COMPUTED_VALUE"""),46174.331192129626)</f>
        <v>46174.33119</v>
      </c>
      <c r="B697" s="122" t="str">
        <f>IFERROR(__xludf.DUMMYFUNCTION("""COMPUTED_VALUE"""),"BYTE")</f>
        <v>BYTE</v>
      </c>
      <c r="C697" s="122" t="str">
        <f>IFERROR(__xludf.DUMMYFUNCTION("""COMPUTED_VALUE"""),"ByteWorks faces weaker demand and cautious investor sentiment.")</f>
        <v>ByteWorks faces weaker demand and cautious investor sentiment.</v>
      </c>
      <c r="D697" s="122" t="str">
        <f>IFERROR(__xludf.DUMMYFUNCTION("""COMPUTED_VALUE"""),"Investors are watching ByteWorks closely as demand weakens.")</f>
        <v>Investors are watching ByteWorks closely as demand weakens.</v>
      </c>
      <c r="E697" s="122" t="str">
        <f>IFERROR(__xludf.DUMMYFUNCTION("""COMPUTED_VALUE"""),"Negative")</f>
        <v>Negative</v>
      </c>
      <c r="F697" s="122">
        <f>IFERROR(__xludf.DUMMYFUNCTION("""COMPUTED_VALUE"""),-0.015)</f>
        <v>-0.015</v>
      </c>
      <c r="G697" s="122">
        <f>IFERROR(__xludf.DUMMYFUNCTION("""COMPUTED_VALUE"""),0.75)</f>
        <v>0.75</v>
      </c>
      <c r="H697" s="122" t="str">
        <f>IFERROR(__xludf.DUMMYFUNCTION("""COMPUTED_VALUE"""),"Active")</f>
        <v>Active</v>
      </c>
    </row>
    <row r="698">
      <c r="A698" s="131">
        <f>IFERROR(__xludf.DUMMYFUNCTION("""COMPUTED_VALUE"""),46174.3312037037)</f>
        <v>46174.3312</v>
      </c>
      <c r="B698" s="122" t="str">
        <f>IFERROR(__xludf.DUMMYFUNCTION("""COMPUTED_VALUE"""),"BANK")</f>
        <v>BANK</v>
      </c>
      <c r="C698" s="122" t="str">
        <f>IFERROR(__xludf.DUMMYFUNCTION("""COMPUTED_VALUE"""),"Tiger Bank faces weaker demand and cautious investor sentiment.")</f>
        <v>Tiger Bank faces weaker demand and cautious investor sentiment.</v>
      </c>
      <c r="D698" s="122" t="str">
        <f>IFERROR(__xludf.DUMMYFUNCTION("""COMPUTED_VALUE"""),"Investors are watching Tiger Bank closely as demand weakens.")</f>
        <v>Investors are watching Tiger Bank closely as demand weakens.</v>
      </c>
      <c r="E698" s="122" t="str">
        <f>IFERROR(__xludf.DUMMYFUNCTION("""COMPUTED_VALUE"""),"Negative")</f>
        <v>Negative</v>
      </c>
      <c r="F698" s="122">
        <f>IFERROR(__xludf.DUMMYFUNCTION("""COMPUTED_VALUE"""),-0.015)</f>
        <v>-0.015</v>
      </c>
      <c r="G698" s="122">
        <f>IFERROR(__xludf.DUMMYFUNCTION("""COMPUTED_VALUE"""),0.75)</f>
        <v>0.75</v>
      </c>
      <c r="H698" s="122" t="str">
        <f>IFERROR(__xludf.DUMMYFUNCTION("""COMPUTED_VALUE"""),"Active")</f>
        <v>Active</v>
      </c>
    </row>
    <row r="699">
      <c r="A699" s="131">
        <f>IFERROR(__xludf.DUMMYFUNCTION("""COMPUTED_VALUE"""),46174.3312037037)</f>
        <v>46174.3312</v>
      </c>
      <c r="B699" s="122" t="str">
        <f>IFERROR(__xludf.DUMMYFUNCTION("""COMPUTED_VALUE"""),"CRED")</f>
        <v>CRED</v>
      </c>
      <c r="C699" s="122" t="str">
        <f>IFERROR(__xludf.DUMMYFUNCTION("""COMPUTED_VALUE"""),"Credit Castle remains stable as the Finance market shows normal activity.")</f>
        <v>Credit Castle remains stable as the Finance market shows normal activity.</v>
      </c>
      <c r="D699" s="122" t="str">
        <f>IFERROR(__xludf.DUMMYFUNCTION("""COMPUTED_VALUE"""),"Credit Castle appears steady with no major changes reported.")</f>
        <v>Credit Castle appears steady with no major changes reported.</v>
      </c>
      <c r="E699" s="122" t="str">
        <f>IFERROR(__xludf.DUMMYFUNCTION("""COMPUTED_VALUE"""),"Neutral")</f>
        <v>Neutral</v>
      </c>
      <c r="F699" s="122">
        <f>IFERROR(__xludf.DUMMYFUNCTION("""COMPUTED_VALUE"""),0.0)</f>
        <v>0</v>
      </c>
      <c r="G699" s="122">
        <f>IFERROR(__xludf.DUMMYFUNCTION("""COMPUTED_VALUE"""),0.0)</f>
        <v>0</v>
      </c>
      <c r="H699" s="122" t="str">
        <f>IFERROR(__xludf.DUMMYFUNCTION("""COMPUTED_VALUE"""),"Active")</f>
        <v>Active</v>
      </c>
    </row>
    <row r="700">
      <c r="A700" s="131">
        <f>IFERROR(__xludf.DUMMYFUNCTION("""COMPUTED_VALUE"""),46174.33121527778)</f>
        <v>46174.33122</v>
      </c>
      <c r="B700" s="122" t="str">
        <f>IFERROR(__xludf.DUMMYFUNCTION("""COMPUTED_VALUE"""),"BOND")</f>
        <v>BOND</v>
      </c>
      <c r="C700" s="122" t="str">
        <f>IFERROR(__xludf.DUMMYFUNCTION("""COMPUTED_VALUE"""),"BondBridge remains stable as the Finance market shows normal activity.")</f>
        <v>BondBridge remains stable as the Finance market shows normal activity.</v>
      </c>
      <c r="D700" s="122" t="str">
        <f>IFERROR(__xludf.DUMMYFUNCTION("""COMPUTED_VALUE"""),"BondBridge appears steady with no major changes reported.")</f>
        <v>BondBridge appears steady with no major changes reported.</v>
      </c>
      <c r="E700" s="122" t="str">
        <f>IFERROR(__xludf.DUMMYFUNCTION("""COMPUTED_VALUE"""),"Neutral")</f>
        <v>Neutral</v>
      </c>
      <c r="F700" s="122">
        <f>IFERROR(__xludf.DUMMYFUNCTION("""COMPUTED_VALUE"""),0.0)</f>
        <v>0</v>
      </c>
      <c r="G700" s="122">
        <f>IFERROR(__xludf.DUMMYFUNCTION("""COMPUTED_VALUE"""),0.0)</f>
        <v>0</v>
      </c>
      <c r="H700" s="122" t="str">
        <f>IFERROR(__xludf.DUMMYFUNCTION("""COMPUTED_VALUE"""),"Active")</f>
        <v>Active</v>
      </c>
    </row>
    <row r="701">
      <c r="A701" s="131">
        <f>IFERROR(__xludf.DUMMYFUNCTION("""COMPUTED_VALUE"""),46174.33121527778)</f>
        <v>46174.33122</v>
      </c>
      <c r="B701" s="122" t="str">
        <f>IFERROR(__xludf.DUMMYFUNCTION("""COMPUTED_VALUE"""),"INSR")</f>
        <v>INSR</v>
      </c>
      <c r="C701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701" s="122" t="str">
        <f>IFERROR(__xludf.DUMMYFUNCTION("""COMPUTED_VALUE"""),"Shield Insurance appears steady with no major changes reported.")</f>
        <v>Shield Insurance appears steady with no major changes reported.</v>
      </c>
      <c r="E701" s="122" t="str">
        <f>IFERROR(__xludf.DUMMYFUNCTION("""COMPUTED_VALUE"""),"Neutral")</f>
        <v>Neutral</v>
      </c>
      <c r="F701" s="122">
        <f>IFERROR(__xludf.DUMMYFUNCTION("""COMPUTED_VALUE"""),0.0)</f>
        <v>0</v>
      </c>
      <c r="G701" s="122">
        <f>IFERROR(__xludf.DUMMYFUNCTION("""COMPUTED_VALUE"""),0.0)</f>
        <v>0</v>
      </c>
      <c r="H701" s="122" t="str">
        <f>IFERROR(__xludf.DUMMYFUNCTION("""COMPUTED_VALUE"""),"Active")</f>
        <v>Active</v>
      </c>
    </row>
    <row r="702">
      <c r="A702" s="131">
        <f>IFERROR(__xludf.DUMMYFUNCTION("""COMPUTED_VALUE"""),46174.33122685185)</f>
        <v>46174.33123</v>
      </c>
      <c r="B702" s="122" t="str">
        <f>IFERROR(__xludf.DUMMYFUNCTION("""COMPUTED_VALUE"""),"LOAN")</f>
        <v>LOAN</v>
      </c>
      <c r="C702" s="122" t="str">
        <f>IFERROR(__xludf.DUMMYFUNCTION("""COMPUTED_VALUE"""),"LoanLab remains stable as the Finance market shows normal activity.")</f>
        <v>LoanLab remains stable as the Finance market shows normal activity.</v>
      </c>
      <c r="D702" s="122" t="str">
        <f>IFERROR(__xludf.DUMMYFUNCTION("""COMPUTED_VALUE"""),"LoanLab appears steady with no major changes reported.")</f>
        <v>LoanLab appears steady with no major changes reported.</v>
      </c>
      <c r="E702" s="122" t="str">
        <f>IFERROR(__xludf.DUMMYFUNCTION("""COMPUTED_VALUE"""),"Neutral")</f>
        <v>Neutral</v>
      </c>
      <c r="F702" s="122">
        <f>IFERROR(__xludf.DUMMYFUNCTION("""COMPUTED_VALUE"""),0.0)</f>
        <v>0</v>
      </c>
      <c r="G702" s="122">
        <f>IFERROR(__xludf.DUMMYFUNCTION("""COMPUTED_VALUE"""),0.0)</f>
        <v>0</v>
      </c>
      <c r="H702" s="122" t="str">
        <f>IFERROR(__xludf.DUMMYFUNCTION("""COMPUTED_VALUE"""),"Active")</f>
        <v>Active</v>
      </c>
    </row>
    <row r="703">
      <c r="A703" s="131">
        <f>IFERROR(__xludf.DUMMYFUNCTION("""COMPUTED_VALUE"""),46174.331238425926)</f>
        <v>46174.33124</v>
      </c>
      <c r="B703" s="122" t="str">
        <f>IFERROR(__xludf.DUMMYFUNCTION("""COMPUTED_VALUE"""),"LUXE")</f>
        <v>LUXE</v>
      </c>
      <c r="C703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703" s="122" t="str">
        <f>IFERROR(__xludf.DUMMYFUNCTION("""COMPUTED_VALUE"""),"Luxury Locker appears steady with no major changes reported.")</f>
        <v>Luxury Locker appears steady with no major changes reported.</v>
      </c>
      <c r="E703" s="122" t="str">
        <f>IFERROR(__xludf.DUMMYFUNCTION("""COMPUTED_VALUE"""),"Neutral")</f>
        <v>Neutral</v>
      </c>
      <c r="F703" s="122">
        <f>IFERROR(__xludf.DUMMYFUNCTION("""COMPUTED_VALUE"""),0.0)</f>
        <v>0</v>
      </c>
      <c r="G703" s="122">
        <f>IFERROR(__xludf.DUMMYFUNCTION("""COMPUTED_VALUE"""),0.0)</f>
        <v>0</v>
      </c>
      <c r="H703" s="122" t="str">
        <f>IFERROR(__xludf.DUMMYFUNCTION("""COMPUTED_VALUE"""),"Active")</f>
        <v>Active</v>
      </c>
    </row>
    <row r="704">
      <c r="A704" s="131">
        <f>IFERROR(__xludf.DUMMYFUNCTION("""COMPUTED_VALUE"""),46174.331238425926)</f>
        <v>46174.33124</v>
      </c>
      <c r="B704" s="122" t="str">
        <f>IFERROR(__xludf.DUMMYFUNCTION("""COMPUTED_VALUE"""),"DRIP")</f>
        <v>DRIP</v>
      </c>
      <c r="C704" s="122" t="str">
        <f>IFERROR(__xludf.DUMMYFUNCTION("""COMPUTED_VALUE"""),"Drip Streetwear reports steady growth and improved market confidence.")</f>
        <v>Drip Streetwear reports steady growth and improved market confidence.</v>
      </c>
      <c r="D704" s="122" t="str">
        <f>IFERROR(__xludf.DUMMYFUNCTION("""COMPUTED_VALUE"""),"Drip Streetwear continues to show positive momentum with moderate risk.")</f>
        <v>Drip Streetwear continues to show positive momentum with moderate risk.</v>
      </c>
      <c r="E704" s="122" t="str">
        <f>IFERROR(__xludf.DUMMYFUNCTION("""COMPUTED_VALUE"""),"Positive")</f>
        <v>Positive</v>
      </c>
      <c r="F704" s="122">
        <f>IFERROR(__xludf.DUMMYFUNCTION("""COMPUTED_VALUE"""),0.015)</f>
        <v>0.015</v>
      </c>
      <c r="G704" s="122">
        <f>IFERROR(__xludf.DUMMYFUNCTION("""COMPUTED_VALUE"""),0.5)</f>
        <v>0.5</v>
      </c>
      <c r="H704" s="122" t="str">
        <f>IFERROR(__xludf.DUMMYFUNCTION("""COMPUTED_VALUE"""),"Active")</f>
        <v>Active</v>
      </c>
    </row>
    <row r="705">
      <c r="A705" s="131">
        <f>IFERROR(__xludf.DUMMYFUNCTION("""COMPUTED_VALUE"""),46174.33125)</f>
        <v>46174.33125</v>
      </c>
      <c r="B705" s="122" t="str">
        <f>IFERROR(__xludf.DUMMYFUNCTION("""COMPUTED_VALUE"""),"KICK")</f>
        <v>KICK</v>
      </c>
      <c r="C705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705" s="122" t="str">
        <f>IFERROR(__xludf.DUMMYFUNCTION("""COMPUTED_VALUE"""),"KickDrop Sneakers appears steady with no major changes reported.")</f>
        <v>KickDrop Sneakers appears steady with no major changes reported.</v>
      </c>
      <c r="E705" s="122" t="str">
        <f>IFERROR(__xludf.DUMMYFUNCTION("""COMPUTED_VALUE"""),"Neutral")</f>
        <v>Neutral</v>
      </c>
      <c r="F705" s="122">
        <f>IFERROR(__xludf.DUMMYFUNCTION("""COMPUTED_VALUE"""),0.0)</f>
        <v>0</v>
      </c>
      <c r="G705" s="122">
        <f>IFERROR(__xludf.DUMMYFUNCTION("""COMPUTED_VALUE"""),0.0)</f>
        <v>0</v>
      </c>
      <c r="H705" s="122" t="str">
        <f>IFERROR(__xludf.DUMMYFUNCTION("""COMPUTED_VALUE"""),"Active")</f>
        <v>Active</v>
      </c>
    </row>
    <row r="706">
      <c r="A706" s="131">
        <f>IFERROR(__xludf.DUMMYFUNCTION("""COMPUTED_VALUE"""),46174.33125)</f>
        <v>46174.33125</v>
      </c>
      <c r="B706" s="122" t="str">
        <f>IFERROR(__xludf.DUMMYFUNCTION("""COMPUTED_VALUE"""),"GLAM")</f>
        <v>GLAM</v>
      </c>
      <c r="C706" s="122" t="str">
        <f>IFERROR(__xludf.DUMMYFUNCTION("""COMPUTED_VALUE"""),"Glow Cosmetics reports steady growth and improved market confidence.")</f>
        <v>Glow Cosmetics reports steady growth and improved market confidence.</v>
      </c>
      <c r="D706" s="122" t="str">
        <f>IFERROR(__xludf.DUMMYFUNCTION("""COMPUTED_VALUE"""),"Glow Cosmetics continues to show positive momentum with moderate risk.")</f>
        <v>Glow Cosmetics continues to show positive momentum with moderate risk.</v>
      </c>
      <c r="E706" s="122" t="str">
        <f>IFERROR(__xludf.DUMMYFUNCTION("""COMPUTED_VALUE"""),"Positive")</f>
        <v>Positive</v>
      </c>
      <c r="F706" s="122">
        <f>IFERROR(__xludf.DUMMYFUNCTION("""COMPUTED_VALUE"""),0.015)</f>
        <v>0.015</v>
      </c>
      <c r="G706" s="122">
        <f>IFERROR(__xludf.DUMMYFUNCTION("""COMPUTED_VALUE"""),0.5)</f>
        <v>0.5</v>
      </c>
      <c r="H706" s="122" t="str">
        <f>IFERROR(__xludf.DUMMYFUNCTION("""COMPUTED_VALUE"""),"Active")</f>
        <v>Active</v>
      </c>
    </row>
    <row r="707">
      <c r="A707" s="131">
        <f>IFERROR(__xludf.DUMMYFUNCTION("""COMPUTED_VALUE"""),46174.33126157407)</f>
        <v>46174.33126</v>
      </c>
      <c r="B707" s="122" t="str">
        <f>IFERROR(__xludf.DUMMYFUNCTION("""COMPUTED_VALUE"""),"BAGG")</f>
        <v>BAGG</v>
      </c>
      <c r="C707" s="122" t="str">
        <f>IFERROR(__xludf.DUMMYFUNCTION("""COMPUTED_VALUE"""),"BagVault surges as demand rises across the Fashion sector.")</f>
        <v>BagVault surges as demand rises across the Fashion sector.</v>
      </c>
      <c r="D707" s="122" t="str">
        <f>IFERROR(__xludf.DUMMYFUNCTION("""COMPUTED_VALUE"""),"BagVault is seeing strong demand, which may increase investor confidence.")</f>
        <v>BagVault is seeing strong demand, which may increase investor confidence.</v>
      </c>
      <c r="E707" s="122" t="str">
        <f>IFERROR(__xludf.DUMMYFUNCTION("""COMPUTED_VALUE"""),"Positive")</f>
        <v>Positive</v>
      </c>
      <c r="F707" s="122">
        <f>IFERROR(__xludf.DUMMYFUNCTION("""COMPUTED_VALUE"""),0.03)</f>
        <v>0.03</v>
      </c>
      <c r="G707" s="122">
        <f>IFERROR(__xludf.DUMMYFUNCTION("""COMPUTED_VALUE"""),1.0)</f>
        <v>1</v>
      </c>
      <c r="H707" s="122" t="str">
        <f>IFERROR(__xludf.DUMMYFUNCTION("""COMPUTED_VALUE"""),"Active")</f>
        <v>Active</v>
      </c>
    </row>
    <row r="708">
      <c r="A708" s="131">
        <f>IFERROR(__xludf.DUMMYFUNCTION("""COMPUTED_VALUE"""),46174.33127314815)</f>
        <v>46174.33127</v>
      </c>
      <c r="B708" s="122" t="str">
        <f>IFERROR(__xludf.DUMMYFUNCTION("""COMPUTED_VALUE"""),"FAST")</f>
        <v>FAST</v>
      </c>
      <c r="C708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708" s="122" t="str">
        <f>IFERROR(__xludf.DUMMYFUNCTION("""COMPUTED_VALUE"""),"Flash Logistics appears steady with no major changes reported.")</f>
        <v>Flash Logistics appears steady with no major changes reported.</v>
      </c>
      <c r="E708" s="122" t="str">
        <f>IFERROR(__xludf.DUMMYFUNCTION("""COMPUTED_VALUE"""),"Neutral")</f>
        <v>Neutral</v>
      </c>
      <c r="F708" s="122">
        <f>IFERROR(__xludf.DUMMYFUNCTION("""COMPUTED_VALUE"""),0.0)</f>
        <v>0</v>
      </c>
      <c r="G708" s="122">
        <f>IFERROR(__xludf.DUMMYFUNCTION("""COMPUTED_VALUE"""),0.0)</f>
        <v>0</v>
      </c>
      <c r="H708" s="122" t="str">
        <f>IFERROR(__xludf.DUMMYFUNCTION("""COMPUTED_VALUE"""),"Active")</f>
        <v>Active</v>
      </c>
    </row>
    <row r="709">
      <c r="A709" s="131">
        <f>IFERROR(__xludf.DUMMYFUNCTION("""COMPUTED_VALUE"""),46174.33127314815)</f>
        <v>46174.33127</v>
      </c>
      <c r="B709" s="122" t="str">
        <f>IFERROR(__xludf.DUMMYFUNCTION("""COMPUTED_VALUE"""),"SHIP")</f>
        <v>SHIP</v>
      </c>
      <c r="C709" s="122" t="str">
        <f>IFERROR(__xludf.DUMMYFUNCTION("""COMPUTED_VALUE"""),"Seoul Shipping faces weaker demand and cautious investor sentiment.")</f>
        <v>Seoul Shipping faces weaker demand and cautious investor sentiment.</v>
      </c>
      <c r="D709" s="122" t="str">
        <f>IFERROR(__xludf.DUMMYFUNCTION("""COMPUTED_VALUE"""),"Investors are watching Seoul Shipping closely as demand weakens.")</f>
        <v>Investors are watching Seoul Shipping closely as demand weakens.</v>
      </c>
      <c r="E709" s="122" t="str">
        <f>IFERROR(__xludf.DUMMYFUNCTION("""COMPUTED_VALUE"""),"Negative")</f>
        <v>Negative</v>
      </c>
      <c r="F709" s="122">
        <f>IFERROR(__xludf.DUMMYFUNCTION("""COMPUTED_VALUE"""),-0.015)</f>
        <v>-0.015</v>
      </c>
      <c r="G709" s="122">
        <f>IFERROR(__xludf.DUMMYFUNCTION("""COMPUTED_VALUE"""),0.75)</f>
        <v>0.75</v>
      </c>
      <c r="H709" s="122" t="str">
        <f>IFERROR(__xludf.DUMMYFUNCTION("""COMPUTED_VALUE"""),"Active")</f>
        <v>Active</v>
      </c>
    </row>
    <row r="710">
      <c r="A710" s="131">
        <f>IFERROR(__xludf.DUMMYFUNCTION("""COMPUTED_VALUE"""),46174.33128472222)</f>
        <v>46174.33128</v>
      </c>
      <c r="B710" s="122" t="str">
        <f>IFERROR(__xludf.DUMMYFUNCTION("""COMPUTED_VALUE"""),"DRON")</f>
        <v>DRON</v>
      </c>
      <c r="C710" s="122" t="str">
        <f>IFERROR(__xludf.DUMMYFUNCTION("""COMPUTED_VALUE"""),"DroneDrop remains stable as the Logistics market shows normal activity.")</f>
        <v>DroneDrop remains stable as the Logistics market shows normal activity.</v>
      </c>
      <c r="D710" s="122" t="str">
        <f>IFERROR(__xludf.DUMMYFUNCTION("""COMPUTED_VALUE"""),"DroneDrop appears steady with no major changes reported.")</f>
        <v>DroneDrop appears steady with no major changes reported.</v>
      </c>
      <c r="E710" s="122" t="str">
        <f>IFERROR(__xludf.DUMMYFUNCTION("""COMPUTED_VALUE"""),"Neutral")</f>
        <v>Neutral</v>
      </c>
      <c r="F710" s="122">
        <f>IFERROR(__xludf.DUMMYFUNCTION("""COMPUTED_VALUE"""),0.0)</f>
        <v>0</v>
      </c>
      <c r="G710" s="122">
        <f>IFERROR(__xludf.DUMMYFUNCTION("""COMPUTED_VALUE"""),0.0)</f>
        <v>0</v>
      </c>
      <c r="H710" s="122" t="str">
        <f>IFERROR(__xludf.DUMMYFUNCTION("""COMPUTED_VALUE"""),"Active")</f>
        <v>Active</v>
      </c>
    </row>
    <row r="711">
      <c r="A711" s="131">
        <f>IFERROR(__xludf.DUMMYFUNCTION("""COMPUTED_VALUE"""),46174.33128472222)</f>
        <v>46174.33128</v>
      </c>
      <c r="B711" s="122" t="str">
        <f>IFERROR(__xludf.DUMMYFUNCTION("""COMPUTED_VALUE"""),"RIDE")</f>
        <v>RIDE</v>
      </c>
      <c r="C711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711" s="122" t="str">
        <f>IFERROR(__xludf.DUMMYFUNCTION("""COMPUTED_VALUE"""),"QuickRide appears steady with no major changes reported.")</f>
        <v>QuickRide appears steady with no major changes reported.</v>
      </c>
      <c r="E711" s="122" t="str">
        <f>IFERROR(__xludf.DUMMYFUNCTION("""COMPUTED_VALUE"""),"Neutral")</f>
        <v>Neutral</v>
      </c>
      <c r="F711" s="122">
        <f>IFERROR(__xludf.DUMMYFUNCTION("""COMPUTED_VALUE"""),0.0)</f>
        <v>0</v>
      </c>
      <c r="G711" s="122">
        <f>IFERROR(__xludf.DUMMYFUNCTION("""COMPUTED_VALUE"""),0.0)</f>
        <v>0</v>
      </c>
      <c r="H711" s="122" t="str">
        <f>IFERROR(__xludf.DUMMYFUNCTION("""COMPUTED_VALUE"""),"Active")</f>
        <v>Active</v>
      </c>
    </row>
    <row r="712">
      <c r="A712" s="131">
        <f>IFERROR(__xludf.DUMMYFUNCTION("""COMPUTED_VALUE"""),46174.331296296295)</f>
        <v>46174.3313</v>
      </c>
      <c r="B712" s="122" t="str">
        <f>IFERROR(__xludf.DUMMYFUNCTION("""COMPUTED_VALUE"""),"RAIL")</f>
        <v>RAIL</v>
      </c>
      <c r="C712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712" s="122" t="str">
        <f>IFERROR(__xludf.DUMMYFUNCTION("""COMPUTED_VALUE"""),"MetroRail Corp appears steady with no major changes reported.")</f>
        <v>MetroRail Corp appears steady with no major changes reported.</v>
      </c>
      <c r="E712" s="122" t="str">
        <f>IFERROR(__xludf.DUMMYFUNCTION("""COMPUTED_VALUE"""),"Neutral")</f>
        <v>Neutral</v>
      </c>
      <c r="F712" s="122">
        <f>IFERROR(__xludf.DUMMYFUNCTION("""COMPUTED_VALUE"""),0.0)</f>
        <v>0</v>
      </c>
      <c r="G712" s="122">
        <f>IFERROR(__xludf.DUMMYFUNCTION("""COMPUTED_VALUE"""),0.0)</f>
        <v>0</v>
      </c>
      <c r="H712" s="122" t="str">
        <f>IFERROR(__xludf.DUMMYFUNCTION("""COMPUTED_VALUE"""),"Active")</f>
        <v>Active</v>
      </c>
    </row>
    <row r="713">
      <c r="A713" s="131">
        <f>IFERROR(__xludf.DUMMYFUNCTION("""COMPUTED_VALUE"""),46174.331296296295)</f>
        <v>46174.3313</v>
      </c>
      <c r="B713" s="122" t="str">
        <f>IFERROR(__xludf.DUMMYFUNCTION("""COMPUTED_VALUE"""),"MEDX")</f>
        <v>MEDX</v>
      </c>
      <c r="C713" s="122" t="str">
        <f>IFERROR(__xludf.DUMMYFUNCTION("""COMPUTED_VALUE"""),"MediCore surges as demand rises across the Healthcare sector.")</f>
        <v>MediCore surges as demand rises across the Healthcare sector.</v>
      </c>
      <c r="D713" s="122" t="str">
        <f>IFERROR(__xludf.DUMMYFUNCTION("""COMPUTED_VALUE"""),"MediCore is seeing strong demand, which may increase investor confidence.")</f>
        <v>MediCore is seeing strong demand, which may increase investor confidence.</v>
      </c>
      <c r="E713" s="122" t="str">
        <f>IFERROR(__xludf.DUMMYFUNCTION("""COMPUTED_VALUE"""),"Positive")</f>
        <v>Positive</v>
      </c>
      <c r="F713" s="122">
        <f>IFERROR(__xludf.DUMMYFUNCTION("""COMPUTED_VALUE"""),0.03)</f>
        <v>0.03</v>
      </c>
      <c r="G713" s="122">
        <f>IFERROR(__xludf.DUMMYFUNCTION("""COMPUTED_VALUE"""),1.0)</f>
        <v>1</v>
      </c>
      <c r="H713" s="122" t="str">
        <f>IFERROR(__xludf.DUMMYFUNCTION("""COMPUTED_VALUE"""),"Active")</f>
        <v>Active</v>
      </c>
    </row>
    <row r="714">
      <c r="A714" s="131">
        <f>IFERROR(__xludf.DUMMYFUNCTION("""COMPUTED_VALUE"""),46174.33130787037)</f>
        <v>46174.33131</v>
      </c>
      <c r="B714" s="122" t="str">
        <f>IFERROR(__xludf.DUMMYFUNCTION("""COMPUTED_VALUE"""),"GYMX")</f>
        <v>GYMX</v>
      </c>
      <c r="C714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714" s="122" t="str">
        <f>IFERROR(__xludf.DUMMYFUNCTION("""COMPUTED_VALUE"""),"GymX Fitness appears steady with no major changes reported.")</f>
        <v>GymX Fitness appears steady with no major changes reported.</v>
      </c>
      <c r="E714" s="122" t="str">
        <f>IFERROR(__xludf.DUMMYFUNCTION("""COMPUTED_VALUE"""),"Neutral")</f>
        <v>Neutral</v>
      </c>
      <c r="F714" s="122">
        <f>IFERROR(__xludf.DUMMYFUNCTION("""COMPUTED_VALUE"""),0.0)</f>
        <v>0</v>
      </c>
      <c r="G714" s="122">
        <f>IFERROR(__xludf.DUMMYFUNCTION("""COMPUTED_VALUE"""),0.0)</f>
        <v>0</v>
      </c>
      <c r="H714" s="122" t="str">
        <f>IFERROR(__xludf.DUMMYFUNCTION("""COMPUTED_VALUE"""),"Active")</f>
        <v>Active</v>
      </c>
    </row>
    <row r="715">
      <c r="A715" s="131">
        <f>IFERROR(__xludf.DUMMYFUNCTION("""COMPUTED_VALUE"""),46174.33131944444)</f>
        <v>46174.33132</v>
      </c>
      <c r="B715" s="122" t="str">
        <f>IFERROR(__xludf.DUMMYFUNCTION("""COMPUTED_VALUE"""),"VITA")</f>
        <v>VITA</v>
      </c>
      <c r="C715" s="122" t="str">
        <f>IFERROR(__xludf.DUMMYFUNCTION("""COMPUTED_VALUE"""),"VitaPlus faces weaker demand and cautious investor sentiment.")</f>
        <v>VitaPlus faces weaker demand and cautious investor sentiment.</v>
      </c>
      <c r="D715" s="122" t="str">
        <f>IFERROR(__xludf.DUMMYFUNCTION("""COMPUTED_VALUE"""),"Investors are watching VitaPlus closely as demand weakens.")</f>
        <v>Investors are watching VitaPlus closely as demand weakens.</v>
      </c>
      <c r="E715" s="122" t="str">
        <f>IFERROR(__xludf.DUMMYFUNCTION("""COMPUTED_VALUE"""),"Negative")</f>
        <v>Negative</v>
      </c>
      <c r="F715" s="122">
        <f>IFERROR(__xludf.DUMMYFUNCTION("""COMPUTED_VALUE"""),-0.015)</f>
        <v>-0.015</v>
      </c>
      <c r="G715" s="122">
        <f>IFERROR(__xludf.DUMMYFUNCTION("""COMPUTED_VALUE"""),0.75)</f>
        <v>0.75</v>
      </c>
      <c r="H715" s="122" t="str">
        <f>IFERROR(__xludf.DUMMYFUNCTION("""COMPUTED_VALUE"""),"Active")</f>
        <v>Active</v>
      </c>
    </row>
    <row r="716">
      <c r="A716" s="131">
        <f>IFERROR(__xludf.DUMMYFUNCTION("""COMPUTED_VALUE"""),46174.33133101852)</f>
        <v>46174.33133</v>
      </c>
      <c r="B716" s="122" t="str">
        <f>IFERROR(__xludf.DUMMYFUNCTION("""COMPUTED_VALUE"""),"CARE")</f>
        <v>CARE</v>
      </c>
      <c r="C716" s="122" t="str">
        <f>IFERROR(__xludf.DUMMYFUNCTION("""COMPUTED_VALUE"""),"CareCloud faces weaker demand and cautious investor sentiment.")</f>
        <v>CareCloud faces weaker demand and cautious investor sentiment.</v>
      </c>
      <c r="D716" s="122" t="str">
        <f>IFERROR(__xludf.DUMMYFUNCTION("""COMPUTED_VALUE"""),"Investors are watching CareCloud closely as demand weakens.")</f>
        <v>Investors are watching CareCloud closely as demand weakens.</v>
      </c>
      <c r="E716" s="122" t="str">
        <f>IFERROR(__xludf.DUMMYFUNCTION("""COMPUTED_VALUE"""),"Negative")</f>
        <v>Negative</v>
      </c>
      <c r="F716" s="122">
        <f>IFERROR(__xludf.DUMMYFUNCTION("""COMPUTED_VALUE"""),-0.015)</f>
        <v>-0.015</v>
      </c>
      <c r="G716" s="122">
        <f>IFERROR(__xludf.DUMMYFUNCTION("""COMPUTED_VALUE"""),0.75)</f>
        <v>0.75</v>
      </c>
      <c r="H716" s="122" t="str">
        <f>IFERROR(__xludf.DUMMYFUNCTION("""COMPUTED_VALUE"""),"Active")</f>
        <v>Active</v>
      </c>
    </row>
    <row r="717">
      <c r="A717" s="131">
        <f>IFERROR(__xludf.DUMMYFUNCTION("""COMPUTED_VALUE"""),46174.33133101852)</f>
        <v>46174.33133</v>
      </c>
      <c r="B717" s="122" t="str">
        <f>IFERROR(__xludf.DUMMYFUNCTION("""COMPUTED_VALUE"""),"DENT")</f>
        <v>DENT</v>
      </c>
      <c r="C717" s="122" t="str">
        <f>IFERROR(__xludf.DUMMYFUNCTION("""COMPUTED_VALUE"""),"SmileWorks remains stable as the Healthcare market shows normal activity.")</f>
        <v>SmileWorks remains stable as the Healthcare market shows normal activity.</v>
      </c>
      <c r="D717" s="122" t="str">
        <f>IFERROR(__xludf.DUMMYFUNCTION("""COMPUTED_VALUE"""),"SmileWorks appears steady with no major changes reported.")</f>
        <v>SmileWorks appears steady with no major changes reported.</v>
      </c>
      <c r="E717" s="122" t="str">
        <f>IFERROR(__xludf.DUMMYFUNCTION("""COMPUTED_VALUE"""),"Neutral")</f>
        <v>Neutral</v>
      </c>
      <c r="F717" s="122">
        <f>IFERROR(__xludf.DUMMYFUNCTION("""COMPUTED_VALUE"""),0.0)</f>
        <v>0</v>
      </c>
      <c r="G717" s="122">
        <f>IFERROR(__xludf.DUMMYFUNCTION("""COMPUTED_VALUE"""),0.0)</f>
        <v>0</v>
      </c>
      <c r="H717" s="122" t="str">
        <f>IFERROR(__xludf.DUMMYFUNCTION("""COMPUTED_VALUE"""),"Active")</f>
        <v>Active</v>
      </c>
    </row>
    <row r="718">
      <c r="A718" s="131">
        <f>IFERROR(__xludf.DUMMYFUNCTION("""COMPUTED_VALUE"""),46174.331342592595)</f>
        <v>46174.33134</v>
      </c>
      <c r="B718" s="122" t="str">
        <f>IFERROR(__xludf.DUMMYFUNCTION("""COMPUTED_VALUE"""),"EDUX")</f>
        <v>EDUX</v>
      </c>
      <c r="C718" s="122" t="str">
        <f>IFERROR(__xludf.DUMMYFUNCTION("""COMPUTED_VALUE"""),"EduMax Learning reports steady growth and improved market confidence.")</f>
        <v>EduMax Learning reports steady growth and improved market confidence.</v>
      </c>
      <c r="D718" s="122" t="str">
        <f>IFERROR(__xludf.DUMMYFUNCTION("""COMPUTED_VALUE"""),"EduMax Learning continues to show positive momentum with moderate risk.")</f>
        <v>EduMax Learning continues to show positive momentum with moderate risk.</v>
      </c>
      <c r="E718" s="122" t="str">
        <f>IFERROR(__xludf.DUMMYFUNCTION("""COMPUTED_VALUE"""),"Positive")</f>
        <v>Positive</v>
      </c>
      <c r="F718" s="122">
        <f>IFERROR(__xludf.DUMMYFUNCTION("""COMPUTED_VALUE"""),0.015)</f>
        <v>0.015</v>
      </c>
      <c r="G718" s="122">
        <f>IFERROR(__xludf.DUMMYFUNCTION("""COMPUTED_VALUE"""),0.5)</f>
        <v>0.5</v>
      </c>
      <c r="H718" s="122" t="str">
        <f>IFERROR(__xludf.DUMMYFUNCTION("""COMPUTED_VALUE"""),"Active")</f>
        <v>Active</v>
      </c>
    </row>
    <row r="719">
      <c r="A719" s="131">
        <f>IFERROR(__xludf.DUMMYFUNCTION("""COMPUTED_VALUE"""),46174.331342592595)</f>
        <v>46174.33134</v>
      </c>
      <c r="B719" s="122" t="str">
        <f>IFERROR(__xludf.DUMMYFUNCTION("""COMPUTED_VALUE"""),"BOOK")</f>
        <v>BOOK</v>
      </c>
      <c r="C719" s="122" t="str">
        <f>IFERROR(__xludf.DUMMYFUNCTION("""COMPUTED_VALUE"""),"BookBridge remains stable as the Education market shows normal activity.")</f>
        <v>BookBridge remains stable as the Education market shows normal activity.</v>
      </c>
      <c r="D719" s="122" t="str">
        <f>IFERROR(__xludf.DUMMYFUNCTION("""COMPUTED_VALUE"""),"BookBridge appears steady with no major changes reported.")</f>
        <v>BookBridge appears steady with no major changes reported.</v>
      </c>
      <c r="E719" s="122" t="str">
        <f>IFERROR(__xludf.DUMMYFUNCTION("""COMPUTED_VALUE"""),"Neutral")</f>
        <v>Neutral</v>
      </c>
      <c r="F719" s="122">
        <f>IFERROR(__xludf.DUMMYFUNCTION("""COMPUTED_VALUE"""),0.0)</f>
        <v>0</v>
      </c>
      <c r="G719" s="122">
        <f>IFERROR(__xludf.DUMMYFUNCTION("""COMPUTED_VALUE"""),0.0)</f>
        <v>0</v>
      </c>
      <c r="H719" s="122" t="str">
        <f>IFERROR(__xludf.DUMMYFUNCTION("""COMPUTED_VALUE"""),"Active")</f>
        <v>Active</v>
      </c>
    </row>
    <row r="720">
      <c r="A720" s="131">
        <f>IFERROR(__xludf.DUMMYFUNCTION("""COMPUTED_VALUE"""),46174.331354166665)</f>
        <v>46174.33135</v>
      </c>
      <c r="B720" s="122" t="str">
        <f>IFERROR(__xludf.DUMMYFUNCTION("""COMPUTED_VALUE"""),"TUTR")</f>
        <v>TUTR</v>
      </c>
      <c r="C720" s="122" t="str">
        <f>IFERROR(__xludf.DUMMYFUNCTION("""COMPUTED_VALUE"""),"TutorTown sees uncertain trading as investors react to mixed signals.")</f>
        <v>TutorTown sees uncertain trading as investors react to mixed signals.</v>
      </c>
      <c r="D720" s="122" t="str">
        <f>IFERROR(__xludf.DUMMYFUNCTION("""COMPUTED_VALUE"""),"TutorTown may experience larger price swings as investors disagree on direction.")</f>
        <v>TutorTown may experience larger price swings as investors disagree on direction.</v>
      </c>
      <c r="E720" s="122" t="str">
        <f>IFERROR(__xludf.DUMMYFUNCTION("""COMPUTED_VALUE"""),"Mixed")</f>
        <v>Mixed</v>
      </c>
      <c r="F720" s="122">
        <f>IFERROR(__xludf.DUMMYFUNCTION("""COMPUTED_VALUE"""),-0.01756049544378868)</f>
        <v>-0.01756049544</v>
      </c>
      <c r="G720" s="122">
        <f>IFERROR(__xludf.DUMMYFUNCTION("""COMPUTED_VALUE"""),1.5)</f>
        <v>1.5</v>
      </c>
      <c r="H720" s="122" t="str">
        <f>IFERROR(__xludf.DUMMYFUNCTION("""COMPUTED_VALUE"""),"Active")</f>
        <v>Active</v>
      </c>
    </row>
    <row r="721">
      <c r="A721" s="131">
        <f>IFERROR(__xludf.DUMMYFUNCTION("""COMPUTED_VALUE"""),46174.33136574074)</f>
        <v>46174.33137</v>
      </c>
      <c r="B721" s="122" t="str">
        <f>IFERROR(__xludf.DUMMYFUNCTION("""COMPUTED_VALUE"""),"LANG")</f>
        <v>LANG</v>
      </c>
      <c r="C721" s="122" t="str">
        <f>IFERROR(__xludf.DUMMYFUNCTION("""COMPUTED_VALUE"""),"LinguaLab remains stable as the Education market shows normal activity.")</f>
        <v>LinguaLab remains stable as the Education market shows normal activity.</v>
      </c>
      <c r="D721" s="122" t="str">
        <f>IFERROR(__xludf.DUMMYFUNCTION("""COMPUTED_VALUE"""),"LinguaLab appears steady with no major changes reported.")</f>
        <v>LinguaLab appears steady with no major changes reported.</v>
      </c>
      <c r="E721" s="122" t="str">
        <f>IFERROR(__xludf.DUMMYFUNCTION("""COMPUTED_VALUE"""),"Neutral")</f>
        <v>Neutral</v>
      </c>
      <c r="F721" s="122">
        <f>IFERROR(__xludf.DUMMYFUNCTION("""COMPUTED_VALUE"""),0.0)</f>
        <v>0</v>
      </c>
      <c r="G721" s="122">
        <f>IFERROR(__xludf.DUMMYFUNCTION("""COMPUTED_VALUE"""),0.0)</f>
        <v>0</v>
      </c>
      <c r="H721" s="122" t="str">
        <f>IFERROR(__xludf.DUMMYFUNCTION("""COMPUTED_VALUE"""),"Active")</f>
        <v>Active</v>
      </c>
    </row>
    <row r="722">
      <c r="A722" s="131">
        <f>IFERROR(__xludf.DUMMYFUNCTION("""COMPUTED_VALUE"""),46174.33136574074)</f>
        <v>46174.33137</v>
      </c>
      <c r="B722" s="122" t="str">
        <f>IFERROR(__xludf.DUMMYFUNCTION("""COMPUTED_VALUE"""),"TEST")</f>
        <v>TEST</v>
      </c>
      <c r="C722" s="122" t="str">
        <f>IFERROR(__xludf.DUMMYFUNCTION("""COMPUTED_VALUE"""),"TestPrep Pro remains stable as the Education market shows normal activity.")</f>
        <v>TestPrep Pro remains stable as the Education market shows normal activity.</v>
      </c>
      <c r="D722" s="122" t="str">
        <f>IFERROR(__xludf.DUMMYFUNCTION("""COMPUTED_VALUE"""),"TestPrep Pro appears steady with no major changes reported.")</f>
        <v>TestPrep Pro appears steady with no major changes reported.</v>
      </c>
      <c r="E722" s="122" t="str">
        <f>IFERROR(__xludf.DUMMYFUNCTION("""COMPUTED_VALUE"""),"Neutral")</f>
        <v>Neutral</v>
      </c>
      <c r="F722" s="122">
        <f>IFERROR(__xludf.DUMMYFUNCTION("""COMPUTED_VALUE"""),0.0)</f>
        <v>0</v>
      </c>
      <c r="G722" s="122">
        <f>IFERROR(__xludf.DUMMYFUNCTION("""COMPUTED_VALUE"""),0.0)</f>
        <v>0</v>
      </c>
      <c r="H722" s="122" t="str">
        <f>IFERROR(__xludf.DUMMYFUNCTION("""COMPUTED_VALUE"""),"Active")</f>
        <v>Active</v>
      </c>
    </row>
    <row r="723">
      <c r="A723" s="131">
        <f>IFERROR(__xludf.DUMMYFUNCTION("""COMPUTED_VALUE"""),46174.33137731482)</f>
        <v>46174.33138</v>
      </c>
      <c r="B723" s="122" t="str">
        <f>IFERROR(__xludf.DUMMYFUNCTION("""COMPUTED_VALUE"""),"MOVI")</f>
        <v>MOVI</v>
      </c>
      <c r="C723" s="122" t="str">
        <f>IFERROR(__xludf.DUMMYFUNCTION("""COMPUTED_VALUE"""),"MovieBox remains stable as the Entertainment market shows normal activity.")</f>
        <v>MovieBox remains stable as the Entertainment market shows normal activity.</v>
      </c>
      <c r="D723" s="122" t="str">
        <f>IFERROR(__xludf.DUMMYFUNCTION("""COMPUTED_VALUE"""),"MovieBox appears steady with no major changes reported.")</f>
        <v>MovieBox appears steady with no major changes reported.</v>
      </c>
      <c r="E723" s="122" t="str">
        <f>IFERROR(__xludf.DUMMYFUNCTION("""COMPUTED_VALUE"""),"Neutral")</f>
        <v>Neutral</v>
      </c>
      <c r="F723" s="122">
        <f>IFERROR(__xludf.DUMMYFUNCTION("""COMPUTED_VALUE"""),0.0)</f>
        <v>0</v>
      </c>
      <c r="G723" s="122">
        <f>IFERROR(__xludf.DUMMYFUNCTION("""COMPUTED_VALUE"""),0.0)</f>
        <v>0</v>
      </c>
      <c r="H723" s="122" t="str">
        <f>IFERROR(__xludf.DUMMYFUNCTION("""COMPUTED_VALUE"""),"Active")</f>
        <v>Active</v>
      </c>
    </row>
    <row r="724">
      <c r="A724" s="131">
        <f>IFERROR(__xludf.DUMMYFUNCTION("""COMPUTED_VALUE"""),46174.33138888889)</f>
        <v>46174.33139</v>
      </c>
      <c r="B724" s="122" t="str">
        <f>IFERROR(__xludf.DUMMYFUNCTION("""COMPUTED_VALUE"""),"MUSC")</f>
        <v>MUSC</v>
      </c>
      <c r="C724" s="122" t="str">
        <f>IFERROR(__xludf.DUMMYFUNCTION("""COMPUTED_VALUE"""),"MusicWave drops sharply after major concerns hit the market.")</f>
        <v>MusicWave drops sharply after major concerns hit the market.</v>
      </c>
      <c r="D724" s="122" t="str">
        <f>IFERROR(__xludf.DUMMYFUNCTION("""COMPUTED_VALUE"""),"MusicWave is under pressure as investors react to worsening conditions.")</f>
        <v>MusicWave is under pressure as investors react to worsening conditions.</v>
      </c>
      <c r="E724" s="122" t="str">
        <f>IFERROR(__xludf.DUMMYFUNCTION("""COMPUTED_VALUE"""),"Negative")</f>
        <v>Negative</v>
      </c>
      <c r="F724" s="122">
        <f>IFERROR(__xludf.DUMMYFUNCTION("""COMPUTED_VALUE"""),-0.04)</f>
        <v>-0.04</v>
      </c>
      <c r="G724" s="122">
        <f>IFERROR(__xludf.DUMMYFUNCTION("""COMPUTED_VALUE"""),2.0)</f>
        <v>2</v>
      </c>
      <c r="H724" s="122" t="str">
        <f>IFERROR(__xludf.DUMMYFUNCTION("""COMPUTED_VALUE"""),"Active")</f>
        <v>Active</v>
      </c>
    </row>
    <row r="725">
      <c r="A725" s="131">
        <f>IFERROR(__xludf.DUMMYFUNCTION("""COMPUTED_VALUE"""),46174.33138888889)</f>
        <v>46174.33139</v>
      </c>
      <c r="B725" s="122" t="str">
        <f>IFERROR(__xludf.DUMMYFUNCTION("""COMPUTED_VALUE"""),"IDOL")</f>
        <v>IDOL</v>
      </c>
      <c r="C725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725" s="122" t="str">
        <f>IFERROR(__xludf.DUMMYFUNCTION("""COMPUTED_VALUE"""),"Idol Agency appears steady with no major changes reported.")</f>
        <v>Idol Agency appears steady with no major changes reported.</v>
      </c>
      <c r="E725" s="122" t="str">
        <f>IFERROR(__xludf.DUMMYFUNCTION("""COMPUTED_VALUE"""),"Neutral")</f>
        <v>Neutral</v>
      </c>
      <c r="F725" s="122">
        <f>IFERROR(__xludf.DUMMYFUNCTION("""COMPUTED_VALUE"""),0.0)</f>
        <v>0</v>
      </c>
      <c r="G725" s="122">
        <f>IFERROR(__xludf.DUMMYFUNCTION("""COMPUTED_VALUE"""),0.0)</f>
        <v>0</v>
      </c>
      <c r="H725" s="122" t="str">
        <f>IFERROR(__xludf.DUMMYFUNCTION("""COMPUTED_VALUE"""),"Active")</f>
        <v>Active</v>
      </c>
    </row>
    <row r="726">
      <c r="A726" s="131">
        <f>IFERROR(__xludf.DUMMYFUNCTION("""COMPUTED_VALUE"""),46174.331400462965)</f>
        <v>46174.3314</v>
      </c>
      <c r="B726" s="122" t="str">
        <f>IFERROR(__xludf.DUMMYFUNCTION("""COMPUTED_VALUE"""),"MEME")</f>
        <v>MEME</v>
      </c>
      <c r="C726" s="122" t="str">
        <f>IFERROR(__xludf.DUMMYFUNCTION("""COMPUTED_VALUE"""),"Meme Media reports steady growth and improved market confidence.")</f>
        <v>Meme Media reports steady growth and improved market confidence.</v>
      </c>
      <c r="D726" s="122" t="str">
        <f>IFERROR(__xludf.DUMMYFUNCTION("""COMPUTED_VALUE"""),"Meme Media continues to show positive momentum with moderate risk.")</f>
        <v>Meme Media continues to show positive momentum with moderate risk.</v>
      </c>
      <c r="E726" s="122" t="str">
        <f>IFERROR(__xludf.DUMMYFUNCTION("""COMPUTED_VALUE"""),"Positive")</f>
        <v>Positive</v>
      </c>
      <c r="F726" s="122">
        <f>IFERROR(__xludf.DUMMYFUNCTION("""COMPUTED_VALUE"""),0.015)</f>
        <v>0.015</v>
      </c>
      <c r="G726" s="122">
        <f>IFERROR(__xludf.DUMMYFUNCTION("""COMPUTED_VALUE"""),0.5)</f>
        <v>0.5</v>
      </c>
      <c r="H726" s="122" t="str">
        <f>IFERROR(__xludf.DUMMYFUNCTION("""COMPUTED_VALUE"""),"Active")</f>
        <v>Active</v>
      </c>
    </row>
    <row r="727">
      <c r="A727" s="131">
        <f>IFERROR(__xludf.DUMMYFUNCTION("""COMPUTED_VALUE"""),46174.331400462965)</f>
        <v>46174.3314</v>
      </c>
      <c r="B727" s="122" t="str">
        <f>IFERROR(__xludf.DUMMYFUNCTION("""COMPUTED_VALUE"""),"STRM")</f>
        <v>STRM</v>
      </c>
      <c r="C727" s="122" t="str">
        <f>IFERROR(__xludf.DUMMYFUNCTION("""COMPUTED_VALUE"""),"Streamly drops sharply after major concerns hit the market.")</f>
        <v>Streamly drops sharply after major concerns hit the market.</v>
      </c>
      <c r="D727" s="122" t="str">
        <f>IFERROR(__xludf.DUMMYFUNCTION("""COMPUTED_VALUE"""),"Streamly is under pressure as investors react to worsening conditions.")</f>
        <v>Streamly is under pressure as investors react to worsening conditions.</v>
      </c>
      <c r="E727" s="122" t="str">
        <f>IFERROR(__xludf.DUMMYFUNCTION("""COMPUTED_VALUE"""),"Negative")</f>
        <v>Negative</v>
      </c>
      <c r="F727" s="122">
        <f>IFERROR(__xludf.DUMMYFUNCTION("""COMPUTED_VALUE"""),-0.04)</f>
        <v>-0.04</v>
      </c>
      <c r="G727" s="122">
        <f>IFERROR(__xludf.DUMMYFUNCTION("""COMPUTED_VALUE"""),2.0)</f>
        <v>2</v>
      </c>
      <c r="H727" s="122" t="str">
        <f>IFERROR(__xludf.DUMMYFUNCTION("""COMPUTED_VALUE"""),"Active")</f>
        <v>Active</v>
      </c>
    </row>
    <row r="728">
      <c r="A728" s="131">
        <f>IFERROR(__xludf.DUMMYFUNCTION("""COMPUTED_VALUE"""),46174.331412037034)</f>
        <v>46174.33141</v>
      </c>
      <c r="B728" s="122" t="str">
        <f>IFERROR(__xludf.DUMMYFUNCTION("""COMPUTED_VALUE"""),"FARM")</f>
        <v>FARM</v>
      </c>
      <c r="C728" s="122" t="str">
        <f>IFERROR(__xludf.DUMMYFUNCTION("""COMPUTED_VALUE"""),"Future Farms faces weaker demand and cautious investor sentiment.")</f>
        <v>Future Farms faces weaker demand and cautious investor sentiment.</v>
      </c>
      <c r="D728" s="122" t="str">
        <f>IFERROR(__xludf.DUMMYFUNCTION("""COMPUTED_VALUE"""),"Investors are watching Future Farms closely as demand weakens.")</f>
        <v>Investors are watching Future Farms closely as demand weakens.</v>
      </c>
      <c r="E728" s="122" t="str">
        <f>IFERROR(__xludf.DUMMYFUNCTION("""COMPUTED_VALUE"""),"Negative")</f>
        <v>Negative</v>
      </c>
      <c r="F728" s="122">
        <f>IFERROR(__xludf.DUMMYFUNCTION("""COMPUTED_VALUE"""),-0.015)</f>
        <v>-0.015</v>
      </c>
      <c r="G728" s="122">
        <f>IFERROR(__xludf.DUMMYFUNCTION("""COMPUTED_VALUE"""),0.75)</f>
        <v>0.75</v>
      </c>
      <c r="H728" s="122" t="str">
        <f>IFERROR(__xludf.DUMMYFUNCTION("""COMPUTED_VALUE"""),"Active")</f>
        <v>Active</v>
      </c>
    </row>
    <row r="729">
      <c r="A729" s="131">
        <f>IFERROR(__xludf.DUMMYFUNCTION("""COMPUTED_VALUE"""),46174.331412037034)</f>
        <v>46174.33141</v>
      </c>
      <c r="B729" s="122" t="str">
        <f>IFERROR(__xludf.DUMMYFUNCTION("""COMPUTED_VALUE"""),"MEAT")</f>
        <v>MEAT</v>
      </c>
      <c r="C729" s="122" t="str">
        <f>IFERROR(__xludf.DUMMYFUNCTION("""COMPUTED_VALUE"""),"MeatWorks reports steady growth and improved market confidence.")</f>
        <v>MeatWorks reports steady growth and improved market confidence.</v>
      </c>
      <c r="D729" s="122" t="str">
        <f>IFERROR(__xludf.DUMMYFUNCTION("""COMPUTED_VALUE"""),"MeatWorks continues to show positive momentum with moderate risk.")</f>
        <v>MeatWorks continues to show positive momentum with moderate risk.</v>
      </c>
      <c r="E729" s="122" t="str">
        <f>IFERROR(__xludf.DUMMYFUNCTION("""COMPUTED_VALUE"""),"Positive")</f>
        <v>Positive</v>
      </c>
      <c r="F729" s="122">
        <f>IFERROR(__xludf.DUMMYFUNCTION("""COMPUTED_VALUE"""),0.015)</f>
        <v>0.015</v>
      </c>
      <c r="G729" s="122">
        <f>IFERROR(__xludf.DUMMYFUNCTION("""COMPUTED_VALUE"""),0.5)</f>
        <v>0.5</v>
      </c>
      <c r="H729" s="122" t="str">
        <f>IFERROR(__xludf.DUMMYFUNCTION("""COMPUTED_VALUE"""),"Active")</f>
        <v>Active</v>
      </c>
    </row>
    <row r="730">
      <c r="A730" s="131">
        <f>IFERROR(__xludf.DUMMYFUNCTION("""COMPUTED_VALUE"""),46174.33142361111)</f>
        <v>46174.33142</v>
      </c>
      <c r="B730" s="122" t="str">
        <f>IFERROR(__xludf.DUMMYFUNCTION("""COMPUTED_VALUE"""),"VEGI")</f>
        <v>VEGI</v>
      </c>
      <c r="C730" s="122" t="str">
        <f>IFERROR(__xludf.DUMMYFUNCTION("""COMPUTED_VALUE"""),"Green Basket remains stable as the Food market shows normal activity.")</f>
        <v>Green Basket remains stable as the Food market shows normal activity.</v>
      </c>
      <c r="D730" s="122" t="str">
        <f>IFERROR(__xludf.DUMMYFUNCTION("""COMPUTED_VALUE"""),"Green Basket appears steady with no major changes reported.")</f>
        <v>Green Basket appears steady with no major changes reported.</v>
      </c>
      <c r="E730" s="122" t="str">
        <f>IFERROR(__xludf.DUMMYFUNCTION("""COMPUTED_VALUE"""),"Neutral")</f>
        <v>Neutral</v>
      </c>
      <c r="F730" s="122">
        <f>IFERROR(__xludf.DUMMYFUNCTION("""COMPUTED_VALUE"""),0.0)</f>
        <v>0</v>
      </c>
      <c r="G730" s="122">
        <f>IFERROR(__xludf.DUMMYFUNCTION("""COMPUTED_VALUE"""),0.0)</f>
        <v>0</v>
      </c>
      <c r="H730" s="122" t="str">
        <f>IFERROR(__xludf.DUMMYFUNCTION("""COMPUTED_VALUE"""),"Active")</f>
        <v>Active</v>
      </c>
    </row>
    <row r="731">
      <c r="A731" s="131">
        <f>IFERROR(__xludf.DUMMYFUNCTION("""COMPUTED_VALUE"""),46174.33142361111)</f>
        <v>46174.33142</v>
      </c>
      <c r="B731" s="122" t="str">
        <f>IFERROR(__xludf.DUMMYFUNCTION("""COMPUTED_VALUE"""),"CAFE")</f>
        <v>CAFE</v>
      </c>
      <c r="C731" s="122" t="str">
        <f>IFERROR(__xludf.DUMMYFUNCTION("""COMPUTED_VALUE"""),"Cafe Cloud surges as demand rises across the Food sector.")</f>
        <v>Cafe Cloud surges as demand rises across the Food sector.</v>
      </c>
      <c r="D731" s="122" t="str">
        <f>IFERROR(__xludf.DUMMYFUNCTION("""COMPUTED_VALUE"""),"Cafe Cloud is seeing strong demand, which may increase investor confidence.")</f>
        <v>Cafe Cloud is seeing strong demand, which may increase investor confidence.</v>
      </c>
      <c r="E731" s="122" t="str">
        <f>IFERROR(__xludf.DUMMYFUNCTION("""COMPUTED_VALUE"""),"Positive")</f>
        <v>Positive</v>
      </c>
      <c r="F731" s="122">
        <f>IFERROR(__xludf.DUMMYFUNCTION("""COMPUTED_VALUE"""),0.03)</f>
        <v>0.03</v>
      </c>
      <c r="G731" s="122">
        <f>IFERROR(__xludf.DUMMYFUNCTION("""COMPUTED_VALUE"""),1.0)</f>
        <v>1</v>
      </c>
      <c r="H731" s="122" t="str">
        <f>IFERROR(__xludf.DUMMYFUNCTION("""COMPUTED_VALUE"""),"Active")</f>
        <v>Active</v>
      </c>
    </row>
    <row r="732">
      <c r="A732" s="131">
        <f>IFERROR(__xludf.DUMMYFUNCTION("""COMPUTED_VALUE"""),46174.33143518519)</f>
        <v>46174.33144</v>
      </c>
      <c r="B732" s="122" t="str">
        <f>IFERROR(__xludf.DUMMYFUNCTION("""COMPUTED_VALUE"""),"BAKE")</f>
        <v>BAKE</v>
      </c>
      <c r="C732" s="122" t="str">
        <f>IFERROR(__xludf.DUMMYFUNCTION("""COMPUTED_VALUE"""),"BakeHouse remains stable as the Food market shows normal activity.")</f>
        <v>BakeHouse remains stable as the Food market shows normal activity.</v>
      </c>
      <c r="D732" s="122" t="str">
        <f>IFERROR(__xludf.DUMMYFUNCTION("""COMPUTED_VALUE"""),"BakeHouse appears steady with no major changes reported.")</f>
        <v>BakeHouse appears steady with no major changes reported.</v>
      </c>
      <c r="E732" s="122" t="str">
        <f>IFERROR(__xludf.DUMMYFUNCTION("""COMPUTED_VALUE"""),"Neutral")</f>
        <v>Neutral</v>
      </c>
      <c r="F732" s="122">
        <f>IFERROR(__xludf.DUMMYFUNCTION("""COMPUTED_VALUE"""),0.0)</f>
        <v>0</v>
      </c>
      <c r="G732" s="122">
        <f>IFERROR(__xludf.DUMMYFUNCTION("""COMPUTED_VALUE"""),0.0)</f>
        <v>0</v>
      </c>
      <c r="H732" s="122" t="str">
        <f>IFERROR(__xludf.DUMMYFUNCTION("""COMPUTED_VALUE"""),"Active")</f>
        <v>Active</v>
      </c>
    </row>
    <row r="733">
      <c r="A733" s="131">
        <f>IFERROR(__xludf.DUMMYFUNCTION("""COMPUTED_VALUE"""),46174.33144675926)</f>
        <v>46174.33145</v>
      </c>
      <c r="B733" s="122" t="str">
        <f>IFERROR(__xludf.DUMMYFUNCTION("""COMPUTED_VALUE"""),"OILX")</f>
        <v>OILX</v>
      </c>
      <c r="C733" s="122" t="str">
        <f>IFERROR(__xludf.DUMMYFUNCTION("""COMPUTED_VALUE"""),"OilMax Energy sees uncertain trading as investors react to mixed signals.")</f>
        <v>OilMax Energy sees uncertain trading as investors react to mixed signals.</v>
      </c>
      <c r="D733" s="122" t="str">
        <f>IFERROR(__xludf.DUMMYFUNCTION("""COMPUTED_VALUE"""),"OilMax Energy may experience larger price swings as investors disagree on direction.")</f>
        <v>OilMax Energy may experience larger price swings as investors disagree on direction.</v>
      </c>
      <c r="E733" s="122" t="str">
        <f>IFERROR(__xludf.DUMMYFUNCTION("""COMPUTED_VALUE"""),"Mixed")</f>
        <v>Mixed</v>
      </c>
      <c r="F733" s="122">
        <f>IFERROR(__xludf.DUMMYFUNCTION("""COMPUTED_VALUE"""),-0.008162730115562913)</f>
        <v>-0.008162730116</v>
      </c>
      <c r="G733" s="122">
        <f>IFERROR(__xludf.DUMMYFUNCTION("""COMPUTED_VALUE"""),1.5)</f>
        <v>1.5</v>
      </c>
      <c r="H733" s="122" t="str">
        <f>IFERROR(__xludf.DUMMYFUNCTION("""COMPUTED_VALUE"""),"Active")</f>
        <v>Active</v>
      </c>
    </row>
    <row r="734">
      <c r="A734" s="131">
        <f>IFERROR(__xludf.DUMMYFUNCTION("""COMPUTED_VALUE"""),46174.33144675926)</f>
        <v>46174.33145</v>
      </c>
      <c r="B734" s="122" t="str">
        <f>IFERROR(__xludf.DUMMYFUNCTION("""COMPUTED_VALUE"""),"SOLR")</f>
        <v>SOLR</v>
      </c>
      <c r="C734" s="122" t="str">
        <f>IFERROR(__xludf.DUMMYFUNCTION("""COMPUTED_VALUE"""),"SolarSpark drops sharply after major concerns hit the market.")</f>
        <v>SolarSpark drops sharply after major concerns hit the market.</v>
      </c>
      <c r="D734" s="122" t="str">
        <f>IFERROR(__xludf.DUMMYFUNCTION("""COMPUTED_VALUE"""),"SolarSpark is under pressure as investors react to worsening conditions.")</f>
        <v>SolarSpark is under pressure as investors react to worsening conditions.</v>
      </c>
      <c r="E734" s="122" t="str">
        <f>IFERROR(__xludf.DUMMYFUNCTION("""COMPUTED_VALUE"""),"Negative")</f>
        <v>Negative</v>
      </c>
      <c r="F734" s="122">
        <f>IFERROR(__xludf.DUMMYFUNCTION("""COMPUTED_VALUE"""),-0.04)</f>
        <v>-0.04</v>
      </c>
      <c r="G734" s="122">
        <f>IFERROR(__xludf.DUMMYFUNCTION("""COMPUTED_VALUE"""),2.0)</f>
        <v>2</v>
      </c>
      <c r="H734" s="122" t="str">
        <f>IFERROR(__xludf.DUMMYFUNCTION("""COMPUTED_VALUE"""),"Active")</f>
        <v>Active</v>
      </c>
    </row>
    <row r="735">
      <c r="A735" s="131">
        <f>IFERROR(__xludf.DUMMYFUNCTION("""COMPUTED_VALUE"""),46174.331458333334)</f>
        <v>46174.33146</v>
      </c>
      <c r="B735" s="122" t="str">
        <f>IFERROR(__xludf.DUMMYFUNCTION("""COMPUTED_VALUE"""),"BATT")</f>
        <v>BATT</v>
      </c>
      <c r="C735" s="122" t="str">
        <f>IFERROR(__xludf.DUMMYFUNCTION("""COMPUTED_VALUE"""),"BatteryBox surges as demand rises across the Energy sector.")</f>
        <v>BatteryBox surges as demand rises across the Energy sector.</v>
      </c>
      <c r="D735" s="122" t="str">
        <f>IFERROR(__xludf.DUMMYFUNCTION("""COMPUTED_VALUE"""),"BatteryBox is seeing strong demand, which may increase investor confidence.")</f>
        <v>BatteryBox is seeing strong demand, which may increase investor confidence.</v>
      </c>
      <c r="E735" s="122" t="str">
        <f>IFERROR(__xludf.DUMMYFUNCTION("""COMPUTED_VALUE"""),"Positive")</f>
        <v>Positive</v>
      </c>
      <c r="F735" s="122">
        <f>IFERROR(__xludf.DUMMYFUNCTION("""COMPUTED_VALUE"""),0.03)</f>
        <v>0.03</v>
      </c>
      <c r="G735" s="122">
        <f>IFERROR(__xludf.DUMMYFUNCTION("""COMPUTED_VALUE"""),1.0)</f>
        <v>1</v>
      </c>
      <c r="H735" s="122" t="str">
        <f>IFERROR(__xludf.DUMMYFUNCTION("""COMPUTED_VALUE"""),"Active")</f>
        <v>Active</v>
      </c>
    </row>
    <row r="736">
      <c r="A736" s="131">
        <f>IFERROR(__xludf.DUMMYFUNCTION("""COMPUTED_VALUE"""),46174.33146990741)</f>
        <v>46174.33147</v>
      </c>
      <c r="B736" s="122" t="str">
        <f>IFERROR(__xludf.DUMMYFUNCTION("""COMPUTED_VALUE"""),"WIND")</f>
        <v>WIND</v>
      </c>
      <c r="C736" s="122" t="str">
        <f>IFERROR(__xludf.DUMMYFUNCTION("""COMPUTED_VALUE"""),"WindWorks remains stable as the Energy market shows normal activity.")</f>
        <v>WindWorks remains stable as the Energy market shows normal activity.</v>
      </c>
      <c r="D736" s="122" t="str">
        <f>IFERROR(__xludf.DUMMYFUNCTION("""COMPUTED_VALUE"""),"WindWorks appears steady with no major changes reported.")</f>
        <v>WindWorks appears steady with no major changes reported.</v>
      </c>
      <c r="E736" s="122" t="str">
        <f>IFERROR(__xludf.DUMMYFUNCTION("""COMPUTED_VALUE"""),"Neutral")</f>
        <v>Neutral</v>
      </c>
      <c r="F736" s="122">
        <f>IFERROR(__xludf.DUMMYFUNCTION("""COMPUTED_VALUE"""),0.0)</f>
        <v>0</v>
      </c>
      <c r="G736" s="122">
        <f>IFERROR(__xludf.DUMMYFUNCTION("""COMPUTED_VALUE"""),0.0)</f>
        <v>0</v>
      </c>
      <c r="H736" s="122" t="str">
        <f>IFERROR(__xludf.DUMMYFUNCTION("""COMPUTED_VALUE"""),"Active")</f>
        <v>Active</v>
      </c>
    </row>
    <row r="737">
      <c r="A737" s="131">
        <f>IFERROR(__xludf.DUMMYFUNCTION("""COMPUTED_VALUE"""),46174.33146990741)</f>
        <v>46174.33147</v>
      </c>
      <c r="B737" s="122" t="str">
        <f>IFERROR(__xludf.DUMMYFUNCTION("""COMPUTED_VALUE"""),"GRID")</f>
        <v>GRID</v>
      </c>
      <c r="C737" s="122" t="str">
        <f>IFERROR(__xludf.DUMMYFUNCTION("""COMPUTED_VALUE"""),"GridPower faces weaker demand and cautious investor sentiment.")</f>
        <v>GridPower faces weaker demand and cautious investor sentiment.</v>
      </c>
      <c r="D737" s="122" t="str">
        <f>IFERROR(__xludf.DUMMYFUNCTION("""COMPUTED_VALUE"""),"Investors are watching GridPower closely as demand weakens.")</f>
        <v>Investors are watching GridPower closely as demand weakens.</v>
      </c>
      <c r="E737" s="122" t="str">
        <f>IFERROR(__xludf.DUMMYFUNCTION("""COMPUTED_VALUE"""),"Negative")</f>
        <v>Negative</v>
      </c>
      <c r="F737" s="122">
        <f>IFERROR(__xludf.DUMMYFUNCTION("""COMPUTED_VALUE"""),-0.015)</f>
        <v>-0.015</v>
      </c>
      <c r="G737" s="122">
        <f>IFERROR(__xludf.DUMMYFUNCTION("""COMPUTED_VALUE"""),0.75)</f>
        <v>0.75</v>
      </c>
      <c r="H737" s="122" t="str">
        <f>IFERROR(__xludf.DUMMYFUNCTION("""COMPUTED_VALUE"""),"Active")</f>
        <v>Active</v>
      </c>
    </row>
    <row r="738">
      <c r="A738" s="131">
        <f>IFERROR(__xludf.DUMMYFUNCTION("""COMPUTED_VALUE"""),46174.33148148148)</f>
        <v>46174.33148</v>
      </c>
      <c r="B738" s="122" t="str">
        <f>IFERROR(__xludf.DUMMYFUNCTION("""COMPUTED_VALUE"""),"HOME")</f>
        <v>HOME</v>
      </c>
      <c r="C738" s="122" t="str">
        <f>IFERROR(__xludf.DUMMYFUNCTION("""COMPUTED_VALUE"""),"HomeHub remains stable as the Real Estate market shows normal activity.")</f>
        <v>HomeHub remains stable as the Real Estate market shows normal activity.</v>
      </c>
      <c r="D738" s="122" t="str">
        <f>IFERROR(__xludf.DUMMYFUNCTION("""COMPUTED_VALUE"""),"HomeHub appears steady with no major changes reported.")</f>
        <v>HomeHub appears steady with no major changes reported.</v>
      </c>
      <c r="E738" s="122" t="str">
        <f>IFERROR(__xludf.DUMMYFUNCTION("""COMPUTED_VALUE"""),"Neutral")</f>
        <v>Neutral</v>
      </c>
      <c r="F738" s="122">
        <f>IFERROR(__xludf.DUMMYFUNCTION("""COMPUTED_VALUE"""),0.0)</f>
        <v>0</v>
      </c>
      <c r="G738" s="122">
        <f>IFERROR(__xludf.DUMMYFUNCTION("""COMPUTED_VALUE"""),0.0)</f>
        <v>0</v>
      </c>
      <c r="H738" s="122" t="str">
        <f>IFERROR(__xludf.DUMMYFUNCTION("""COMPUTED_VALUE"""),"Active")</f>
        <v>Active</v>
      </c>
    </row>
    <row r="739">
      <c r="A739" s="131">
        <f>IFERROR(__xludf.DUMMYFUNCTION("""COMPUTED_VALUE"""),46174.33149305556)</f>
        <v>46174.33149</v>
      </c>
      <c r="B739" s="122" t="str">
        <f>IFERROR(__xludf.DUMMYFUNCTION("""COMPUTED_VALUE"""),"RENT")</f>
        <v>RENT</v>
      </c>
      <c r="C739" s="122" t="str">
        <f>IFERROR(__xludf.DUMMYFUNCTION("""COMPUTED_VALUE"""),"RentRight remains stable as the Real Estate market shows normal activity.")</f>
        <v>RentRight remains stable as the Real Estate market shows normal activity.</v>
      </c>
      <c r="D739" s="122" t="str">
        <f>IFERROR(__xludf.DUMMYFUNCTION("""COMPUTED_VALUE"""),"RentRight appears steady with no major changes reported.")</f>
        <v>RentRight appears steady with no major changes reported.</v>
      </c>
      <c r="E739" s="122" t="str">
        <f>IFERROR(__xludf.DUMMYFUNCTION("""COMPUTED_VALUE"""),"Neutral")</f>
        <v>Neutral</v>
      </c>
      <c r="F739" s="122">
        <f>IFERROR(__xludf.DUMMYFUNCTION("""COMPUTED_VALUE"""),0.0)</f>
        <v>0</v>
      </c>
      <c r="G739" s="122">
        <f>IFERROR(__xludf.DUMMYFUNCTION("""COMPUTED_VALUE"""),0.0)</f>
        <v>0</v>
      </c>
      <c r="H739" s="122" t="str">
        <f>IFERROR(__xludf.DUMMYFUNCTION("""COMPUTED_VALUE"""),"Active")</f>
        <v>Active</v>
      </c>
    </row>
    <row r="740">
      <c r="A740" s="131">
        <f>IFERROR(__xludf.DUMMYFUNCTION("""COMPUTED_VALUE"""),46174.33150462963)</f>
        <v>46174.3315</v>
      </c>
      <c r="B740" s="122" t="str">
        <f>IFERROR(__xludf.DUMMYFUNCTION("""COMPUTED_VALUE"""),"MALL")</f>
        <v>MALL</v>
      </c>
      <c r="C740" s="122" t="str">
        <f>IFERROR(__xludf.DUMMYFUNCTION("""COMPUTED_VALUE"""),"MegaMall surges as demand rises across the Real Estate sector.")</f>
        <v>MegaMall surges as demand rises across the Real Estate sector.</v>
      </c>
      <c r="D740" s="122" t="str">
        <f>IFERROR(__xludf.DUMMYFUNCTION("""COMPUTED_VALUE"""),"MegaMall is seeing strong demand, which may increase investor confidence.")</f>
        <v>MegaMall is seeing strong demand, which may increase investor confidence.</v>
      </c>
      <c r="E740" s="122" t="str">
        <f>IFERROR(__xludf.DUMMYFUNCTION("""COMPUTED_VALUE"""),"Positive")</f>
        <v>Positive</v>
      </c>
      <c r="F740" s="122">
        <f>IFERROR(__xludf.DUMMYFUNCTION("""COMPUTED_VALUE"""),0.03)</f>
        <v>0.03</v>
      </c>
      <c r="G740" s="122">
        <f>IFERROR(__xludf.DUMMYFUNCTION("""COMPUTED_VALUE"""),1.0)</f>
        <v>1</v>
      </c>
      <c r="H740" s="122" t="str">
        <f>IFERROR(__xludf.DUMMYFUNCTION("""COMPUTED_VALUE"""),"Active")</f>
        <v>Active</v>
      </c>
    </row>
    <row r="741">
      <c r="A741" s="131">
        <f>IFERROR(__xludf.DUMMYFUNCTION("""COMPUTED_VALUE"""),46174.33150462963)</f>
        <v>46174.3315</v>
      </c>
      <c r="B741" s="122" t="str">
        <f>IFERROR(__xludf.DUMMYFUNCTION("""COMPUTED_VALUE"""),"HOTL")</f>
        <v>HOTL</v>
      </c>
      <c r="C741" s="122" t="str">
        <f>IFERROR(__xludf.DUMMYFUNCTION("""COMPUTED_VALUE"""),"HotelHive reports steady growth and improved market confidence.")</f>
        <v>HotelHive reports steady growth and improved market confidence.</v>
      </c>
      <c r="D741" s="122" t="str">
        <f>IFERROR(__xludf.DUMMYFUNCTION("""COMPUTED_VALUE"""),"HotelHive continues to show positive momentum with moderate risk.")</f>
        <v>HotelHive continues to show positive momentum with moderate risk.</v>
      </c>
      <c r="E741" s="122" t="str">
        <f>IFERROR(__xludf.DUMMYFUNCTION("""COMPUTED_VALUE"""),"Positive")</f>
        <v>Positive</v>
      </c>
      <c r="F741" s="122">
        <f>IFERROR(__xludf.DUMMYFUNCTION("""COMPUTED_VALUE"""),0.015)</f>
        <v>0.015</v>
      </c>
      <c r="G741" s="122">
        <f>IFERROR(__xludf.DUMMYFUNCTION("""COMPUTED_VALUE"""),0.5)</f>
        <v>0.5</v>
      </c>
      <c r="H741" s="122" t="str">
        <f>IFERROR(__xludf.DUMMYFUNCTION("""COMPUTED_VALUE"""),"Active")</f>
        <v>Active</v>
      </c>
    </row>
    <row r="742">
      <c r="A742" s="131">
        <f>IFERROR(__xludf.DUMMYFUNCTION("""COMPUTED_VALUE"""),46174.3315162037)</f>
        <v>46174.33152</v>
      </c>
      <c r="B742" s="122" t="str">
        <f>IFERROR(__xludf.DUMMYFUNCTION("""COMPUTED_VALUE"""),"LAND")</f>
        <v>LAND</v>
      </c>
      <c r="C742" s="122" t="str">
        <f>IFERROR(__xludf.DUMMYFUNCTION("""COMPUTED_VALUE"""),"LandLink remains stable as the Real Estate market shows normal activity.")</f>
        <v>LandLink remains stable as the Real Estate market shows normal activity.</v>
      </c>
      <c r="D742" s="122" t="str">
        <f>IFERROR(__xludf.DUMMYFUNCTION("""COMPUTED_VALUE"""),"LandLink appears steady with no major changes reported.")</f>
        <v>LandLink appears steady with no major changes reported.</v>
      </c>
      <c r="E742" s="122" t="str">
        <f>IFERROR(__xludf.DUMMYFUNCTION("""COMPUTED_VALUE"""),"Neutral")</f>
        <v>Neutral</v>
      </c>
      <c r="F742" s="122">
        <f>IFERROR(__xludf.DUMMYFUNCTION("""COMPUTED_VALUE"""),0.0)</f>
        <v>0</v>
      </c>
      <c r="G742" s="122">
        <f>IFERROR(__xludf.DUMMYFUNCTION("""COMPUTED_VALUE"""),0.0)</f>
        <v>0</v>
      </c>
      <c r="H742" s="122" t="str">
        <f>IFERROR(__xludf.DUMMYFUNCTION("""COMPUTED_VALUE"""),"Active")</f>
        <v>Active</v>
      </c>
    </row>
    <row r="743">
      <c r="A743" s="131">
        <f>IFERROR(__xludf.DUMMYFUNCTION("""COMPUTED_VALUE"""),46174.33152777778)</f>
        <v>46174.33153</v>
      </c>
      <c r="B743" s="122" t="str">
        <f>IFERROR(__xludf.DUMMYFUNCTION("""COMPUTED_VALUE"""),"CARS")</f>
        <v>CARS</v>
      </c>
      <c r="C743" s="122" t="str">
        <f>IFERROR(__xludf.DUMMYFUNCTION("""COMPUTED_VALUE"""),"AutoArena faces weaker demand and cautious investor sentiment.")</f>
        <v>AutoArena faces weaker demand and cautious investor sentiment.</v>
      </c>
      <c r="D743" s="122" t="str">
        <f>IFERROR(__xludf.DUMMYFUNCTION("""COMPUTED_VALUE"""),"Investors are watching AutoArena closely as demand weakens.")</f>
        <v>Investors are watching AutoArena closely as demand weakens.</v>
      </c>
      <c r="E743" s="122" t="str">
        <f>IFERROR(__xludf.DUMMYFUNCTION("""COMPUTED_VALUE"""),"Negative")</f>
        <v>Negative</v>
      </c>
      <c r="F743" s="122">
        <f>IFERROR(__xludf.DUMMYFUNCTION("""COMPUTED_VALUE"""),-0.015)</f>
        <v>-0.015</v>
      </c>
      <c r="G743" s="122">
        <f>IFERROR(__xludf.DUMMYFUNCTION("""COMPUTED_VALUE"""),0.75)</f>
        <v>0.75</v>
      </c>
      <c r="H743" s="122" t="str">
        <f>IFERROR(__xludf.DUMMYFUNCTION("""COMPUTED_VALUE"""),"Active")</f>
        <v>Active</v>
      </c>
    </row>
    <row r="744">
      <c r="A744" s="131">
        <f>IFERROR(__xludf.DUMMYFUNCTION("""COMPUTED_VALUE"""),46174.33152777778)</f>
        <v>46174.33153</v>
      </c>
      <c r="B744" s="122" t="str">
        <f>IFERROR(__xludf.DUMMYFUNCTION("""COMPUTED_VALUE"""),"EVGO")</f>
        <v>EVGO</v>
      </c>
      <c r="C744" s="122" t="str">
        <f>IFERROR(__xludf.DUMMYFUNCTION("""COMPUTED_VALUE"""),"EVGo Motors remains stable as the Automotive market shows normal activity.")</f>
        <v>EVGo Motors remains stable as the Automotive market shows normal activity.</v>
      </c>
      <c r="D744" s="122" t="str">
        <f>IFERROR(__xludf.DUMMYFUNCTION("""COMPUTED_VALUE"""),"EVGo Motors appears steady with no major changes reported.")</f>
        <v>EVGo Motors appears steady with no major changes reported.</v>
      </c>
      <c r="E744" s="122" t="str">
        <f>IFERROR(__xludf.DUMMYFUNCTION("""COMPUTED_VALUE"""),"Neutral")</f>
        <v>Neutral</v>
      </c>
      <c r="F744" s="122">
        <f>IFERROR(__xludf.DUMMYFUNCTION("""COMPUTED_VALUE"""),0.0)</f>
        <v>0</v>
      </c>
      <c r="G744" s="122">
        <f>IFERROR(__xludf.DUMMYFUNCTION("""COMPUTED_VALUE"""),0.0)</f>
        <v>0</v>
      </c>
      <c r="H744" s="122" t="str">
        <f>IFERROR(__xludf.DUMMYFUNCTION("""COMPUTED_VALUE"""),"Active")</f>
        <v>Active</v>
      </c>
    </row>
    <row r="745">
      <c r="A745" s="131">
        <f>IFERROR(__xludf.DUMMYFUNCTION("""COMPUTED_VALUE"""),46174.33153935185)</f>
        <v>46174.33154</v>
      </c>
      <c r="B745" s="122" t="str">
        <f>IFERROR(__xludf.DUMMYFUNCTION("""COMPUTED_VALUE"""),"TIRE")</f>
        <v>TIRE</v>
      </c>
      <c r="C745" s="122" t="str">
        <f>IFERROR(__xludf.DUMMYFUNCTION("""COMPUTED_VALUE"""),"TireTown reports steady growth and improved market confidence.")</f>
        <v>TireTown reports steady growth and improved market confidence.</v>
      </c>
      <c r="D745" s="122" t="str">
        <f>IFERROR(__xludf.DUMMYFUNCTION("""COMPUTED_VALUE"""),"TireTown continues to show positive momentum with moderate risk.")</f>
        <v>TireTown continues to show positive momentum with moderate risk.</v>
      </c>
      <c r="E745" s="122" t="str">
        <f>IFERROR(__xludf.DUMMYFUNCTION("""COMPUTED_VALUE"""),"Positive")</f>
        <v>Positive</v>
      </c>
      <c r="F745" s="122">
        <f>IFERROR(__xludf.DUMMYFUNCTION("""COMPUTED_VALUE"""),0.015)</f>
        <v>0.015</v>
      </c>
      <c r="G745" s="122">
        <f>IFERROR(__xludf.DUMMYFUNCTION("""COMPUTED_VALUE"""),0.5)</f>
        <v>0.5</v>
      </c>
      <c r="H745" s="122" t="str">
        <f>IFERROR(__xludf.DUMMYFUNCTION("""COMPUTED_VALUE"""),"Active")</f>
        <v>Active</v>
      </c>
    </row>
    <row r="746">
      <c r="A746" s="131">
        <f>IFERROR(__xludf.DUMMYFUNCTION("""COMPUTED_VALUE"""),46174.33155092593)</f>
        <v>46174.33155</v>
      </c>
      <c r="B746" s="122" t="str">
        <f>IFERROR(__xludf.DUMMYFUNCTION("""COMPUTED_VALUE"""),"BIKE")</f>
        <v>BIKE</v>
      </c>
      <c r="C746" s="122" t="str">
        <f>IFERROR(__xludf.DUMMYFUNCTION("""COMPUTED_VALUE"""),"BikeBox faces weaker demand and cautious investor sentiment.")</f>
        <v>BikeBox faces weaker demand and cautious investor sentiment.</v>
      </c>
      <c r="D746" s="122" t="str">
        <f>IFERROR(__xludf.DUMMYFUNCTION("""COMPUTED_VALUE"""),"Investors are watching BikeBox closely as demand weakens.")</f>
        <v>Investors are watching BikeBox closely as demand weakens.</v>
      </c>
      <c r="E746" s="122" t="str">
        <f>IFERROR(__xludf.DUMMYFUNCTION("""COMPUTED_VALUE"""),"Negative")</f>
        <v>Negative</v>
      </c>
      <c r="F746" s="122">
        <f>IFERROR(__xludf.DUMMYFUNCTION("""COMPUTED_VALUE"""),-0.015)</f>
        <v>-0.015</v>
      </c>
      <c r="G746" s="122">
        <f>IFERROR(__xludf.DUMMYFUNCTION("""COMPUTED_VALUE"""),0.75)</f>
        <v>0.75</v>
      </c>
      <c r="H746" s="122" t="str">
        <f>IFERROR(__xludf.DUMMYFUNCTION("""COMPUTED_VALUE"""),"Active")</f>
        <v>Active</v>
      </c>
    </row>
    <row r="747">
      <c r="A747" s="131">
        <f>IFERROR(__xludf.DUMMYFUNCTION("""COMPUTED_VALUE"""),46174.33155092593)</f>
        <v>46174.33155</v>
      </c>
      <c r="B747" s="122" t="str">
        <f>IFERROR(__xludf.DUMMYFUNCTION("""COMPUTED_VALUE"""),"WASH")</f>
        <v>WASH</v>
      </c>
      <c r="C747" s="122" t="str">
        <f>IFERROR(__xludf.DUMMYFUNCTION("""COMPUTED_VALUE"""),"CarWash Co drops sharply after major concerns hit the market.")</f>
        <v>CarWash Co drops sharply after major concerns hit the market.</v>
      </c>
      <c r="D747" s="122" t="str">
        <f>IFERROR(__xludf.DUMMYFUNCTION("""COMPUTED_VALUE"""),"CarWash Co is under pressure as investors react to worsening conditions.")</f>
        <v>CarWash Co is under pressure as investors react to worsening conditions.</v>
      </c>
      <c r="E747" s="122" t="str">
        <f>IFERROR(__xludf.DUMMYFUNCTION("""COMPUTED_VALUE"""),"Negative")</f>
        <v>Negative</v>
      </c>
      <c r="F747" s="122">
        <f>IFERROR(__xludf.DUMMYFUNCTION("""COMPUTED_VALUE"""),-0.04)</f>
        <v>-0.04</v>
      </c>
      <c r="G747" s="122">
        <f>IFERROR(__xludf.DUMMYFUNCTION("""COMPUTED_VALUE"""),2.0)</f>
        <v>2</v>
      </c>
      <c r="H747" s="122" t="str">
        <f>IFERROR(__xludf.DUMMYFUNCTION("""COMPUTED_VALUE"""),"Active")</f>
        <v>Active</v>
      </c>
    </row>
    <row r="748">
      <c r="A748" s="131">
        <f>IFERROR(__xludf.DUMMYFUNCTION("""COMPUTED_VALUE"""),46174.3315625)</f>
        <v>46174.33156</v>
      </c>
      <c r="B748" s="122" t="str">
        <f>IFERROR(__xludf.DUMMYFUNCTION("""COMPUTED_VALUE"""),"GBND")</f>
        <v>GBND</v>
      </c>
      <c r="C748" s="122" t="str">
        <f>IFERROR(__xludf.DUMMYFUNCTION("""COMPUTED_VALUE"""),"Classroom Government Bond remains steady as investors seek stability.")</f>
        <v>Classroom Government Bond remains steady as investors seek stability.</v>
      </c>
      <c r="D748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748" s="122" t="str">
        <f>IFERROR(__xludf.DUMMYFUNCTION("""COMPUTED_VALUE"""),"Neutral")</f>
        <v>Neutral</v>
      </c>
      <c r="F748" s="122">
        <f>IFERROR(__xludf.DUMMYFUNCTION("""COMPUTED_VALUE"""),0.0)</f>
        <v>0</v>
      </c>
      <c r="G748" s="122">
        <f>IFERROR(__xludf.DUMMYFUNCTION("""COMPUTED_VALUE"""),0.0)</f>
        <v>0</v>
      </c>
      <c r="H748" s="122" t="str">
        <f>IFERROR(__xludf.DUMMYFUNCTION("""COMPUTED_VALUE"""),"Active")</f>
        <v>Active</v>
      </c>
    </row>
    <row r="749">
      <c r="A749" s="131">
        <f>IFERROR(__xludf.DUMMYFUNCTION("""COMPUTED_VALUE"""),46174.33157407407)</f>
        <v>46174.33157</v>
      </c>
      <c r="B749" s="122" t="str">
        <f>IFERROR(__xludf.DUMMYFUNCTION("""COMPUTED_VALUE"""),"SBND")</f>
        <v>SBND</v>
      </c>
      <c r="C749" s="122" t="str">
        <f>IFERROR(__xludf.DUMMYFUNCTION("""COMPUTED_VALUE"""),"School Savings Bond remains steady as investors seek stability.")</f>
        <v>School Savings Bond remains steady as investors seek stability.</v>
      </c>
      <c r="D749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749" s="122" t="str">
        <f>IFERROR(__xludf.DUMMYFUNCTION("""COMPUTED_VALUE"""),"Neutral")</f>
        <v>Neutral</v>
      </c>
      <c r="F749" s="122">
        <f>IFERROR(__xludf.DUMMYFUNCTION("""COMPUTED_VALUE"""),0.0)</f>
        <v>0</v>
      </c>
      <c r="G749" s="122">
        <f>IFERROR(__xludf.DUMMYFUNCTION("""COMPUTED_VALUE"""),0.0)</f>
        <v>0</v>
      </c>
      <c r="H749" s="122" t="str">
        <f>IFERROR(__xludf.DUMMYFUNCTION("""COMPUTED_VALUE"""),"Active")</f>
        <v>Active</v>
      </c>
    </row>
    <row r="750">
      <c r="A750" s="131">
        <f>IFERROR(__xludf.DUMMYFUNCTION("""COMPUTED_VALUE"""),46174.33158564815)</f>
        <v>46174.33159</v>
      </c>
      <c r="B750" s="122" t="str">
        <f>IFERROR(__xludf.DUMMYFUNCTION("""COMPUTED_VALUE"""),"CBND")</f>
        <v>CBND</v>
      </c>
      <c r="C750" s="122" t="str">
        <f>IFERROR(__xludf.DUMMYFUNCTION("""COMPUTED_VALUE"""),"Corporate Classroom Bond remains steady as investors seek stability.")</f>
        <v>Corporate Classroom Bond remains steady as investors seek stability.</v>
      </c>
      <c r="D750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750" s="122" t="str">
        <f>IFERROR(__xludf.DUMMYFUNCTION("""COMPUTED_VALUE"""),"Neutral")</f>
        <v>Neutral</v>
      </c>
      <c r="F750" s="122">
        <f>IFERROR(__xludf.DUMMYFUNCTION("""COMPUTED_VALUE"""),0.0)</f>
        <v>0</v>
      </c>
      <c r="G750" s="122">
        <f>IFERROR(__xludf.DUMMYFUNCTION("""COMPUTED_VALUE"""),0.0)</f>
        <v>0</v>
      </c>
      <c r="H750" s="122" t="str">
        <f>IFERROR(__xludf.DUMMYFUNCTION("""COMPUTED_VALUE"""),"Active")</f>
        <v>Active</v>
      </c>
    </row>
    <row r="751">
      <c r="A751" s="131">
        <f>IFERROR(__xludf.DUMMYFUNCTION("""COMPUTED_VALUE"""),46174.33158564815)</f>
        <v>46174.33159</v>
      </c>
      <c r="B751" s="122" t="str">
        <f>IFERROR(__xludf.DUMMYFUNCTION("""COMPUTED_VALUE"""),"TBIL")</f>
        <v>TBIL</v>
      </c>
      <c r="C751" s="122" t="str">
        <f>IFERROR(__xludf.DUMMYFUNCTION("""COMPUTED_VALUE"""),"Treasury Bill remains steady as investors seek stability.")</f>
        <v>Treasury Bill remains steady as investors seek stability.</v>
      </c>
      <c r="D751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751" s="122" t="str">
        <f>IFERROR(__xludf.DUMMYFUNCTION("""COMPUTED_VALUE"""),"Neutral")</f>
        <v>Neutral</v>
      </c>
      <c r="F751" s="122">
        <f>IFERROR(__xludf.DUMMYFUNCTION("""COMPUTED_VALUE"""),0.0)</f>
        <v>0</v>
      </c>
      <c r="G751" s="122">
        <f>IFERROR(__xludf.DUMMYFUNCTION("""COMPUTED_VALUE"""),0.0)</f>
        <v>0</v>
      </c>
      <c r="H751" s="122" t="str">
        <f>IFERROR(__xludf.DUMMYFUNCTION("""COMPUTED_VALUE"""),"Active")</f>
        <v>Active</v>
      </c>
    </row>
    <row r="752">
      <c r="A752" s="131">
        <f>IFERROR(__xludf.DUMMYFUNCTION("""COMPUTED_VALUE"""),46174.33159722222)</f>
        <v>46174.3316</v>
      </c>
      <c r="B752" s="122" t="str">
        <f>IFERROR(__xludf.DUMMYFUNCTION("""COMPUTED_VALUE"""),"IBND")</f>
        <v>IBND</v>
      </c>
      <c r="C752" s="122" t="str">
        <f>IFERROR(__xludf.DUMMYFUNCTION("""COMPUTED_VALUE"""),"Inflation Protected Bond remains steady as investors seek stability.")</f>
        <v>Inflation Protected Bond remains steady as investors seek stability.</v>
      </c>
      <c r="D752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752" s="122" t="str">
        <f>IFERROR(__xludf.DUMMYFUNCTION("""COMPUTED_VALUE"""),"Neutral")</f>
        <v>Neutral</v>
      </c>
      <c r="F752" s="122">
        <f>IFERROR(__xludf.DUMMYFUNCTION("""COMPUTED_VALUE"""),0.0)</f>
        <v>0</v>
      </c>
      <c r="G752" s="122">
        <f>IFERROR(__xludf.DUMMYFUNCTION("""COMPUTED_VALUE"""),0.0)</f>
        <v>0</v>
      </c>
      <c r="H752" s="122" t="str">
        <f>IFERROR(__xludf.DUMMYFUNCTION("""COMPUTED_VALUE"""),"Active")</f>
        <v>Active</v>
      </c>
    </row>
    <row r="753">
      <c r="A753" s="131">
        <f>IFERROR(__xludf.DUMMYFUNCTION("""COMPUTED_VALUE"""),46174.33877314815)</f>
        <v>46174.33877</v>
      </c>
      <c r="B753" s="122" t="str">
        <f>IFERROR(__xludf.DUMMYFUNCTION("""COMPUTED_VALUE"""),"MARKET")</f>
        <v>MARKET</v>
      </c>
      <c r="C753" s="122" t="str">
        <f>IFERROR(__xludf.DUMMYFUNCTION("""COMPUTED_VALUE"""),"Market Stability Report")</f>
        <v>Market Stability Report</v>
      </c>
      <c r="D753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753" s="122" t="str">
        <f>IFERROR(__xludf.DUMMYFUNCTION("""COMPUTED_VALUE"""),"Neutral")</f>
        <v>Neutral</v>
      </c>
      <c r="F753" s="122">
        <f>IFERROR(__xludf.DUMMYFUNCTION("""COMPUTED_VALUE"""),0.0)</f>
        <v>0</v>
      </c>
      <c r="G753" s="122">
        <f>IFERROR(__xludf.DUMMYFUNCTION("""COMPUTED_VALUE"""),0.0)</f>
        <v>0</v>
      </c>
      <c r="H753" s="122" t="str">
        <f>IFERROR(__xludf.DUMMYFUNCTION("""COMPUTED_VALUE"""),"Active")</f>
        <v>Active</v>
      </c>
    </row>
    <row r="754">
      <c r="A754" s="131">
        <f>IFERROR(__xludf.DUMMYFUNCTION("""COMPUTED_VALUE"""),46175.317662037036)</f>
        <v>46175.31766</v>
      </c>
      <c r="B754" s="122" t="str">
        <f>IFERROR(__xludf.DUMMYFUNCTION("""COMPUTED_VALUE"""),"MEME")</f>
        <v>MEME</v>
      </c>
      <c r="C754" s="122" t="str">
        <f>IFERROR(__xludf.DUMMYFUNCTION("""COMPUTED_VALUE"""),"Meme Media releases earnings report: Inline profit, guidance Maintained.")</f>
        <v>Meme Media releases earnings report: Inline profit, guidance Maintained.</v>
      </c>
      <c r="D754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754" s="122" t="str">
        <f>IFERROR(__xludf.DUMMYFUNCTION("""COMPUTED_VALUE"""),"Neutral")</f>
        <v>Neutral</v>
      </c>
      <c r="F754" s="122">
        <f>IFERROR(__xludf.DUMMYFUNCTION("""COMPUTED_VALUE"""),0.005758555422064839)</f>
        <v>0.005758555422</v>
      </c>
      <c r="G754" s="122">
        <f>IFERROR(__xludf.DUMMYFUNCTION("""COMPUTED_VALUE"""),0.14396388555162098)</f>
        <v>0.1439638856</v>
      </c>
      <c r="H754" s="122" t="str">
        <f>IFERROR(__xludf.DUMMYFUNCTION("""COMPUTED_VALUE"""),"Active")</f>
        <v>Active</v>
      </c>
    </row>
    <row r="755">
      <c r="A755" s="131">
        <f>IFERROR(__xludf.DUMMYFUNCTION("""COMPUTED_VALUE"""),46175.317766203705)</f>
        <v>46175.31777</v>
      </c>
      <c r="B755" s="122" t="str">
        <f>IFERROR(__xludf.DUMMYFUNCTION("""COMPUTED_VALUE"""),"VITA")</f>
        <v>VITA</v>
      </c>
      <c r="C755" s="122" t="str">
        <f>IFERROR(__xludf.DUMMYFUNCTION("""COMPUTED_VALUE"""),"VitaPlus releases earnings report: Miss profit, guidance Lowered.")</f>
        <v>VitaPlus releases earnings report: Miss profit, guidance Lowered.</v>
      </c>
      <c r="D755" s="122" t="str">
        <f>IFERROR(__xludf.DUMMYFUNCTION("""COMPUTED_VALUE"""),"Earnings report: revenue Miss, profit Miss, debt Worse, guidance Lowered.")</f>
        <v>Earnings report: revenue Miss, profit Miss, debt Worse, guidance Lowered.</v>
      </c>
      <c r="E755" s="122" t="str">
        <f>IFERROR(__xludf.DUMMYFUNCTION("""COMPUTED_VALUE"""),"Negative")</f>
        <v>Negative</v>
      </c>
      <c r="F755" s="122">
        <f>IFERROR(__xludf.DUMMYFUNCTION("""COMPUTED_VALUE"""),-0.02423881172519103)</f>
        <v>-0.02423881173</v>
      </c>
      <c r="G755" s="122">
        <f>IFERROR(__xludf.DUMMYFUNCTION("""COMPUTED_VALUE"""),0.6059702931297758)</f>
        <v>0.6059702931</v>
      </c>
      <c r="H755" s="122" t="str">
        <f>IFERROR(__xludf.DUMMYFUNCTION("""COMPUTED_VALUE"""),"Active")</f>
        <v>Active</v>
      </c>
    </row>
    <row r="756">
      <c r="A756" s="131">
        <f>IFERROR(__xludf.DUMMYFUNCTION("""COMPUTED_VALUE"""),46175.31787037037)</f>
        <v>46175.31787</v>
      </c>
      <c r="B756" s="122" t="str">
        <f>IFERROR(__xludf.DUMMYFUNCTION("""COMPUTED_VALUE"""),"TEST")</f>
        <v>TEST</v>
      </c>
      <c r="C756" s="122" t="str">
        <f>IFERROR(__xludf.DUMMYFUNCTION("""COMPUTED_VALUE"""),"TestPrep Pro releases earnings report: Beat profit, guidance Raised.")</f>
        <v>TestPrep Pro releases earnings report: Beat profit, guidance Raised.</v>
      </c>
      <c r="D75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756" s="122" t="str">
        <f>IFERROR(__xludf.DUMMYFUNCTION("""COMPUTED_VALUE"""),"Positive")</f>
        <v>Positive</v>
      </c>
      <c r="F756" s="122">
        <f>IFERROR(__xludf.DUMMYFUNCTION("""COMPUTED_VALUE"""),0.03442273463198966)</f>
        <v>0.03442273463</v>
      </c>
      <c r="G756" s="122">
        <f>IFERROR(__xludf.DUMMYFUNCTION("""COMPUTED_VALUE"""),0.8605683657997415)</f>
        <v>0.8605683658</v>
      </c>
      <c r="H756" s="122" t="str">
        <f>IFERROR(__xludf.DUMMYFUNCTION("""COMPUTED_VALUE"""),"Active")</f>
        <v>Active</v>
      </c>
    </row>
    <row r="757">
      <c r="A757" s="131">
        <f>IFERROR(__xludf.DUMMYFUNCTION("""COMPUTED_VALUE"""),46175.31795138889)</f>
        <v>46175.31795</v>
      </c>
      <c r="B757" s="122" t="str">
        <f>IFERROR(__xludf.DUMMYFUNCTION("""COMPUTED_VALUE"""),"BYTE")</f>
        <v>BYTE</v>
      </c>
      <c r="C757" s="122" t="str">
        <f>IFERROR(__xludf.DUMMYFUNCTION("""COMPUTED_VALUE"""),"ByteWorks releases earnings report: Miss profit, guidance Lowered.")</f>
        <v>ByteWorks releases earnings report: Miss profit, guidance Lowered.</v>
      </c>
      <c r="D757" s="122" t="str">
        <f>IFERROR(__xludf.DUMMYFUNCTION("""COMPUTED_VALUE"""),"Earnings report: revenue Miss, profit Miss, debt Worse, guidance Lowered.")</f>
        <v>Earnings report: revenue Miss, profit Miss, debt Worse, guidance Lowered.</v>
      </c>
      <c r="E757" s="122" t="str">
        <f>IFERROR(__xludf.DUMMYFUNCTION("""COMPUTED_VALUE"""),"Negative")</f>
        <v>Negative</v>
      </c>
      <c r="F757" s="122">
        <f>IFERROR(__xludf.DUMMYFUNCTION("""COMPUTED_VALUE"""),-0.023437702903749788)</f>
        <v>-0.0234377029</v>
      </c>
      <c r="G757" s="122">
        <f>IFERROR(__xludf.DUMMYFUNCTION("""COMPUTED_VALUE"""),0.5859425725937447)</f>
        <v>0.5859425726</v>
      </c>
      <c r="H757" s="122" t="str">
        <f>IFERROR(__xludf.DUMMYFUNCTION("""COMPUTED_VALUE"""),"Active")</f>
        <v>Active</v>
      </c>
    </row>
    <row r="758">
      <c r="A758" s="131">
        <f>IFERROR(__xludf.DUMMYFUNCTION("""COMPUTED_VALUE"""),46175.31804398148)</f>
        <v>46175.31804</v>
      </c>
      <c r="B758" s="122" t="str">
        <f>IFERROR(__xludf.DUMMYFUNCTION("""COMPUTED_VALUE"""),"STRM")</f>
        <v>STRM</v>
      </c>
      <c r="C758" s="122" t="str">
        <f>IFERROR(__xludf.DUMMYFUNCTION("""COMPUTED_VALUE"""),"Streamly releases earnings report: Beat profit, guidance Raised.")</f>
        <v>Streamly releases earnings report: Beat profit, guidance Raised.</v>
      </c>
      <c r="D75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758" s="122" t="str">
        <f>IFERROR(__xludf.DUMMYFUNCTION("""COMPUTED_VALUE"""),"Positive")</f>
        <v>Positive</v>
      </c>
      <c r="F758" s="122">
        <f>IFERROR(__xludf.DUMMYFUNCTION("""COMPUTED_VALUE"""),0.05018740923033527)</f>
        <v>0.05018740923</v>
      </c>
      <c r="G758" s="122">
        <f>IFERROR(__xludf.DUMMYFUNCTION("""COMPUTED_VALUE"""),1.2546852307583816)</f>
        <v>1.254685231</v>
      </c>
      <c r="H758" s="122" t="str">
        <f>IFERROR(__xludf.DUMMYFUNCTION("""COMPUTED_VALUE"""),"Active")</f>
        <v>Active</v>
      </c>
    </row>
    <row r="759">
      <c r="A759" s="131">
        <f>IFERROR(__xludf.DUMMYFUNCTION("""COMPUTED_VALUE"""),46175.318136574075)</f>
        <v>46175.31814</v>
      </c>
      <c r="B759" s="122" t="str">
        <f>IFERROR(__xludf.DUMMYFUNCTION("""COMPUTED_VALUE"""),"BIKE")</f>
        <v>BIKE</v>
      </c>
      <c r="C759" s="122" t="str">
        <f>IFERROR(__xludf.DUMMYFUNCTION("""COMPUTED_VALUE"""),"BikeBox releases earnings report: Beat profit, guidance Raised.")</f>
        <v>BikeBox releases earnings report: Beat profit, guidance Raised.</v>
      </c>
      <c r="D75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759" s="122" t="str">
        <f>IFERROR(__xludf.DUMMYFUNCTION("""COMPUTED_VALUE"""),"Positive")</f>
        <v>Positive</v>
      </c>
      <c r="F759" s="122">
        <f>IFERROR(__xludf.DUMMYFUNCTION("""COMPUTED_VALUE"""),0.057729251773634686)</f>
        <v>0.05772925177</v>
      </c>
      <c r="G759" s="122">
        <f>IFERROR(__xludf.DUMMYFUNCTION("""COMPUTED_VALUE"""),1.4432312943408672)</f>
        <v>1.443231294</v>
      </c>
      <c r="H759" s="122" t="str">
        <f>IFERROR(__xludf.DUMMYFUNCTION("""COMPUTED_VALUE"""),"Active")</f>
        <v>Active</v>
      </c>
    </row>
    <row r="760">
      <c r="A760" s="131">
        <f>IFERROR(__xludf.DUMMYFUNCTION("""COMPUTED_VALUE"""),46175.31822916667)</f>
        <v>46175.31823</v>
      </c>
      <c r="B760" s="122" t="str">
        <f>IFERROR(__xludf.DUMMYFUNCTION("""COMPUTED_VALUE"""),"GAME")</f>
        <v>GAME</v>
      </c>
      <c r="C760" s="122" t="str">
        <f>IFERROR(__xludf.DUMMYFUNCTION("""COMPUTED_VALUE"""),"GameBox Media releases earnings report: Beat profit, guidance Raised.")</f>
        <v>GameBox Media releases earnings report: Beat profit, guidance Raised.</v>
      </c>
      <c r="D76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760" s="122" t="str">
        <f>IFERROR(__xludf.DUMMYFUNCTION("""COMPUTED_VALUE"""),"Positive")</f>
        <v>Positive</v>
      </c>
      <c r="F760" s="122">
        <f>IFERROR(__xludf.DUMMYFUNCTION("""COMPUTED_VALUE"""),0.024976163565742195)</f>
        <v>0.02497616357</v>
      </c>
      <c r="G760" s="122">
        <f>IFERROR(__xludf.DUMMYFUNCTION("""COMPUTED_VALUE"""),0.6244040891435548)</f>
        <v>0.6244040891</v>
      </c>
      <c r="H760" s="122" t="str">
        <f>IFERROR(__xludf.DUMMYFUNCTION("""COMPUTED_VALUE"""),"Active")</f>
        <v>Active</v>
      </c>
    </row>
    <row r="761">
      <c r="A761" s="131">
        <f>IFERROR(__xludf.DUMMYFUNCTION("""COMPUTED_VALUE"""),46175.31828703704)</f>
        <v>46175.31829</v>
      </c>
      <c r="B761" s="122" t="str">
        <f>IFERROR(__xludf.DUMMYFUNCTION("""COMPUTED_VALUE"""),"COLA")</f>
        <v>COLA</v>
      </c>
      <c r="C761" s="122" t="str">
        <f>IFERROR(__xludf.DUMMYFUNCTION("""COMPUTED_VALUE"""),"K-Pop Cola releases earnings report: Inline profit, guidance Maintained.")</f>
        <v>K-Pop Cola releases earnings report: Inline profit, guidance Maintained.</v>
      </c>
      <c r="D761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761" s="122" t="str">
        <f>IFERROR(__xludf.DUMMYFUNCTION("""COMPUTED_VALUE"""),"Neutral")</f>
        <v>Neutral</v>
      </c>
      <c r="F761" s="122">
        <f>IFERROR(__xludf.DUMMYFUNCTION("""COMPUTED_VALUE"""),-0.006183288740890935)</f>
        <v>-0.006183288741</v>
      </c>
      <c r="G761" s="122">
        <f>IFERROR(__xludf.DUMMYFUNCTION("""COMPUTED_VALUE"""),0.15458221852227338)</f>
        <v>0.1545822185</v>
      </c>
      <c r="H761" s="122" t="str">
        <f>IFERROR(__xludf.DUMMYFUNCTION("""COMPUTED_VALUE"""),"Active")</f>
        <v>Active</v>
      </c>
    </row>
    <row r="762">
      <c r="A762" s="131">
        <f>IFERROR(__xludf.DUMMYFUNCTION("""COMPUTED_VALUE"""),46175.31841435185)</f>
        <v>46175.31841</v>
      </c>
      <c r="B762" s="122" t="str">
        <f>IFERROR(__xludf.DUMMYFUNCTION("""COMPUTED_VALUE"""),"TECH")</f>
        <v>TECH</v>
      </c>
      <c r="C762" s="122" t="str">
        <f>IFERROR(__xludf.DUMMYFUNCTION("""COMPUTED_VALUE"""),"Dragon Tech releases earnings report: Miss profit, guidance Lowered.")</f>
        <v>Dragon Tech releases earnings report: Miss profit, guidance Lowered.</v>
      </c>
      <c r="D762" s="122" t="str">
        <f>IFERROR(__xludf.DUMMYFUNCTION("""COMPUTED_VALUE"""),"Earnings report: revenue Miss, profit Miss, debt Worse, guidance Lowered.")</f>
        <v>Earnings report: revenue Miss, profit Miss, debt Worse, guidance Lowered.</v>
      </c>
      <c r="E762" s="122" t="str">
        <f>IFERROR(__xludf.DUMMYFUNCTION("""COMPUTED_VALUE"""),"Negative")</f>
        <v>Negative</v>
      </c>
      <c r="F762" s="122">
        <f>IFERROR(__xludf.DUMMYFUNCTION("""COMPUTED_VALUE"""),-0.03260280797511986)</f>
        <v>-0.03260280798</v>
      </c>
      <c r="G762" s="122">
        <f>IFERROR(__xludf.DUMMYFUNCTION("""COMPUTED_VALUE"""),0.8150701993779964)</f>
        <v>0.8150701994</v>
      </c>
      <c r="H762" s="122" t="str">
        <f>IFERROR(__xludf.DUMMYFUNCTION("""COMPUTED_VALUE"""),"Active")</f>
        <v>Active</v>
      </c>
    </row>
    <row r="763">
      <c r="A763" s="131">
        <f>IFERROR(__xludf.DUMMYFUNCTION("""COMPUTED_VALUE"""),46175.33101851852)</f>
        <v>46175.33102</v>
      </c>
      <c r="B763" s="122" t="str">
        <f>IFERROR(__xludf.DUMMYFUNCTION("""COMPUTED_VALUE"""),"SNAX")</f>
        <v>SNAX</v>
      </c>
      <c r="C763" s="122" t="str">
        <f>IFERROR(__xludf.DUMMYFUNCTION("""COMPUTED_VALUE"""),"MICA Snacks reports steady growth and improved market confidence.")</f>
        <v>MICA Snacks reports steady growth and improved market confidence.</v>
      </c>
      <c r="D763" s="122" t="str">
        <f>IFERROR(__xludf.DUMMYFUNCTION("""COMPUTED_VALUE"""),"MICA Snacks continues to show positive momentum with moderate risk.")</f>
        <v>MICA Snacks continues to show positive momentum with moderate risk.</v>
      </c>
      <c r="E763" s="122" t="str">
        <f>IFERROR(__xludf.DUMMYFUNCTION("""COMPUTED_VALUE"""),"Positive")</f>
        <v>Positive</v>
      </c>
      <c r="F763" s="122">
        <f>IFERROR(__xludf.DUMMYFUNCTION("""COMPUTED_VALUE"""),0.015)</f>
        <v>0.015</v>
      </c>
      <c r="G763" s="122">
        <f>IFERROR(__xludf.DUMMYFUNCTION("""COMPUTED_VALUE"""),0.5)</f>
        <v>0.5</v>
      </c>
      <c r="H763" s="122" t="str">
        <f>IFERROR(__xludf.DUMMYFUNCTION("""COMPUTED_VALUE"""),"Active")</f>
        <v>Active</v>
      </c>
    </row>
    <row r="764">
      <c r="A764" s="131">
        <f>IFERROR(__xludf.DUMMYFUNCTION("""COMPUTED_VALUE"""),46175.331030092595)</f>
        <v>46175.33103</v>
      </c>
      <c r="B764" s="122" t="str">
        <f>IFERROR(__xludf.DUMMYFUNCTION("""COMPUTED_VALUE"""),"RAMN")</f>
        <v>RAMN</v>
      </c>
      <c r="C764" s="122" t="str">
        <f>IFERROR(__xludf.DUMMYFUNCTION("""COMPUTED_VALUE"""),"Ramen Republic remains stable as the Food market shows normal activity.")</f>
        <v>Ramen Republic remains stable as the Food market shows normal activity.</v>
      </c>
      <c r="D764" s="122" t="str">
        <f>IFERROR(__xludf.DUMMYFUNCTION("""COMPUTED_VALUE"""),"Ramen Republic appears steady with no major changes reported.")</f>
        <v>Ramen Republic appears steady with no major changes reported.</v>
      </c>
      <c r="E764" s="122" t="str">
        <f>IFERROR(__xludf.DUMMYFUNCTION("""COMPUTED_VALUE"""),"Neutral")</f>
        <v>Neutral</v>
      </c>
      <c r="F764" s="122">
        <f>IFERROR(__xludf.DUMMYFUNCTION("""COMPUTED_VALUE"""),0.0)</f>
        <v>0</v>
      </c>
      <c r="G764" s="122">
        <f>IFERROR(__xludf.DUMMYFUNCTION("""COMPUTED_VALUE"""),0.0)</f>
        <v>0</v>
      </c>
      <c r="H764" s="122" t="str">
        <f>IFERROR(__xludf.DUMMYFUNCTION("""COMPUTED_VALUE"""),"Active")</f>
        <v>Active</v>
      </c>
    </row>
    <row r="765">
      <c r="A765" s="131">
        <f>IFERROR(__xludf.DUMMYFUNCTION("""COMPUTED_VALUE"""),46175.331030092595)</f>
        <v>46175.33103</v>
      </c>
      <c r="B765" s="122" t="str">
        <f>IFERROR(__xludf.DUMMYFUNCTION("""COMPUTED_VALUE"""),"COLA")</f>
        <v>COLA</v>
      </c>
      <c r="C765" s="122" t="str">
        <f>IFERROR(__xludf.DUMMYFUNCTION("""COMPUTED_VALUE"""),"K-Pop Cola reports steady growth and improved market confidence.")</f>
        <v>K-Pop Cola reports steady growth and improved market confidence.</v>
      </c>
      <c r="D765" s="122" t="str">
        <f>IFERROR(__xludf.DUMMYFUNCTION("""COMPUTED_VALUE"""),"K-Pop Cola continues to show positive momentum with moderate risk.")</f>
        <v>K-Pop Cola continues to show positive momentum with moderate risk.</v>
      </c>
      <c r="E765" s="122" t="str">
        <f>IFERROR(__xludf.DUMMYFUNCTION("""COMPUTED_VALUE"""),"Positive")</f>
        <v>Positive</v>
      </c>
      <c r="F765" s="122">
        <f>IFERROR(__xludf.DUMMYFUNCTION("""COMPUTED_VALUE"""),0.015)</f>
        <v>0.015</v>
      </c>
      <c r="G765" s="122">
        <f>IFERROR(__xludf.DUMMYFUNCTION("""COMPUTED_VALUE"""),0.5)</f>
        <v>0.5</v>
      </c>
      <c r="H765" s="122" t="str">
        <f>IFERROR(__xludf.DUMMYFUNCTION("""COMPUTED_VALUE"""),"Active")</f>
        <v>Active</v>
      </c>
    </row>
    <row r="766">
      <c r="A766" s="131">
        <f>IFERROR(__xludf.DUMMYFUNCTION("""COMPUTED_VALUE"""),46175.331041666665)</f>
        <v>46175.33104</v>
      </c>
      <c r="B766" s="122" t="str">
        <f>IFERROR(__xludf.DUMMYFUNCTION("""COMPUTED_VALUE"""),"CHIP")</f>
        <v>CHIP</v>
      </c>
      <c r="C766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766" s="122" t="str">
        <f>IFERROR(__xludf.DUMMYFUNCTION("""COMPUTED_VALUE"""),"Chip Empire appears steady with no major changes reported.")</f>
        <v>Chip Empire appears steady with no major changes reported.</v>
      </c>
      <c r="E766" s="122" t="str">
        <f>IFERROR(__xludf.DUMMYFUNCTION("""COMPUTED_VALUE"""),"Neutral")</f>
        <v>Neutral</v>
      </c>
      <c r="F766" s="122">
        <f>IFERROR(__xludf.DUMMYFUNCTION("""COMPUTED_VALUE"""),0.0)</f>
        <v>0</v>
      </c>
      <c r="G766" s="122">
        <f>IFERROR(__xludf.DUMMYFUNCTION("""COMPUTED_VALUE"""),0.0)</f>
        <v>0</v>
      </c>
      <c r="H766" s="122" t="str">
        <f>IFERROR(__xludf.DUMMYFUNCTION("""COMPUTED_VALUE"""),"Active")</f>
        <v>Active</v>
      </c>
    </row>
    <row r="767">
      <c r="A767" s="131">
        <f>IFERROR(__xludf.DUMMYFUNCTION("""COMPUTED_VALUE"""),46175.33105324074)</f>
        <v>46175.33105</v>
      </c>
      <c r="B767" s="122" t="str">
        <f>IFERROR(__xludf.DUMMYFUNCTION("""COMPUTED_VALUE"""),"CAND")</f>
        <v>CAND</v>
      </c>
      <c r="C767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767" s="122" t="str">
        <f>IFERROR(__xludf.DUMMYFUNCTION("""COMPUTED_VALUE"""),"Candy Capital appears steady with no major changes reported.")</f>
        <v>Candy Capital appears steady with no major changes reported.</v>
      </c>
      <c r="E767" s="122" t="str">
        <f>IFERROR(__xludf.DUMMYFUNCTION("""COMPUTED_VALUE"""),"Neutral")</f>
        <v>Neutral</v>
      </c>
      <c r="F767" s="122">
        <f>IFERROR(__xludf.DUMMYFUNCTION("""COMPUTED_VALUE"""),0.0)</f>
        <v>0</v>
      </c>
      <c r="G767" s="122">
        <f>IFERROR(__xludf.DUMMYFUNCTION("""COMPUTED_VALUE"""),0.0)</f>
        <v>0</v>
      </c>
      <c r="H767" s="122" t="str">
        <f>IFERROR(__xludf.DUMMYFUNCTION("""COMPUTED_VALUE"""),"Active")</f>
        <v>Active</v>
      </c>
    </row>
    <row r="768">
      <c r="A768" s="131">
        <f>IFERROR(__xludf.DUMMYFUNCTION("""COMPUTED_VALUE"""),46175.33106481482)</f>
        <v>46175.33106</v>
      </c>
      <c r="B768" s="122" t="str">
        <f>IFERROR(__xludf.DUMMYFUNCTION("""COMPUTED_VALUE"""),"TECH")</f>
        <v>TECH</v>
      </c>
      <c r="C768" s="122" t="str">
        <f>IFERROR(__xludf.DUMMYFUNCTION("""COMPUTED_VALUE"""),"Dragon Tech reports steady growth and improved market confidence.")</f>
        <v>Dragon Tech reports steady growth and improved market confidence.</v>
      </c>
      <c r="D768" s="122" t="str">
        <f>IFERROR(__xludf.DUMMYFUNCTION("""COMPUTED_VALUE"""),"Dragon Tech continues to show positive momentum with moderate risk.")</f>
        <v>Dragon Tech continues to show positive momentum with moderate risk.</v>
      </c>
      <c r="E768" s="122" t="str">
        <f>IFERROR(__xludf.DUMMYFUNCTION("""COMPUTED_VALUE"""),"Positive")</f>
        <v>Positive</v>
      </c>
      <c r="F768" s="122">
        <f>IFERROR(__xludf.DUMMYFUNCTION("""COMPUTED_VALUE"""),0.015)</f>
        <v>0.015</v>
      </c>
      <c r="G768" s="122">
        <f>IFERROR(__xludf.DUMMYFUNCTION("""COMPUTED_VALUE"""),0.5)</f>
        <v>0.5</v>
      </c>
      <c r="H768" s="122" t="str">
        <f>IFERROR(__xludf.DUMMYFUNCTION("""COMPUTED_VALUE"""),"Active")</f>
        <v>Active</v>
      </c>
    </row>
    <row r="769">
      <c r="A769" s="131">
        <f>IFERROR(__xludf.DUMMYFUNCTION("""COMPUTED_VALUE"""),46175.33106481482)</f>
        <v>46175.33106</v>
      </c>
      <c r="B769" s="122" t="str">
        <f>IFERROR(__xludf.DUMMYFUNCTION("""COMPUTED_VALUE"""),"AIBO")</f>
        <v>AIBO</v>
      </c>
      <c r="C769" s="122" t="str">
        <f>IFERROR(__xludf.DUMMYFUNCTION("""COMPUTED_VALUE"""),"Homework AI faces weaker demand and cautious investor sentiment.")</f>
        <v>Homework AI faces weaker demand and cautious investor sentiment.</v>
      </c>
      <c r="D769" s="122" t="str">
        <f>IFERROR(__xludf.DUMMYFUNCTION("""COMPUTED_VALUE"""),"Investors are watching Homework AI closely as demand weakens.")</f>
        <v>Investors are watching Homework AI closely as demand weakens.</v>
      </c>
      <c r="E769" s="122" t="str">
        <f>IFERROR(__xludf.DUMMYFUNCTION("""COMPUTED_VALUE"""),"Negative")</f>
        <v>Negative</v>
      </c>
      <c r="F769" s="122">
        <f>IFERROR(__xludf.DUMMYFUNCTION("""COMPUTED_VALUE"""),-0.015)</f>
        <v>-0.015</v>
      </c>
      <c r="G769" s="122">
        <f>IFERROR(__xludf.DUMMYFUNCTION("""COMPUTED_VALUE"""),0.75)</f>
        <v>0.75</v>
      </c>
      <c r="H769" s="122" t="str">
        <f>IFERROR(__xludf.DUMMYFUNCTION("""COMPUTED_VALUE"""),"Active")</f>
        <v>Active</v>
      </c>
    </row>
    <row r="770">
      <c r="A770" s="131">
        <f>IFERROR(__xludf.DUMMYFUNCTION("""COMPUTED_VALUE"""),46175.33107638889)</f>
        <v>46175.33108</v>
      </c>
      <c r="B770" s="122" t="str">
        <f>IFERROR(__xludf.DUMMYFUNCTION("""COMPUTED_VALUE"""),"GAME")</f>
        <v>GAME</v>
      </c>
      <c r="C770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770" s="122" t="str">
        <f>IFERROR(__xludf.DUMMYFUNCTION("""COMPUTED_VALUE"""),"GameBox Media appears steady with no major changes reported.")</f>
        <v>GameBox Media appears steady with no major changes reported.</v>
      </c>
      <c r="E770" s="122" t="str">
        <f>IFERROR(__xludf.DUMMYFUNCTION("""COMPUTED_VALUE"""),"Neutral")</f>
        <v>Neutral</v>
      </c>
      <c r="F770" s="122">
        <f>IFERROR(__xludf.DUMMYFUNCTION("""COMPUTED_VALUE"""),0.0)</f>
        <v>0</v>
      </c>
      <c r="G770" s="122">
        <f>IFERROR(__xludf.DUMMYFUNCTION("""COMPUTED_VALUE"""),0.0)</f>
        <v>0</v>
      </c>
      <c r="H770" s="122" t="str">
        <f>IFERROR(__xludf.DUMMYFUNCTION("""COMPUTED_VALUE"""),"Active")</f>
        <v>Active</v>
      </c>
    </row>
    <row r="771">
      <c r="A771" s="131">
        <f>IFERROR(__xludf.DUMMYFUNCTION("""COMPUTED_VALUE"""),46175.331087962964)</f>
        <v>46175.33109</v>
      </c>
      <c r="B771" s="122" t="str">
        <f>IFERROR(__xludf.DUMMYFUNCTION("""COMPUTED_VALUE"""),"VRSE")</f>
        <v>VRSE</v>
      </c>
      <c r="C771" s="122" t="str">
        <f>IFERROR(__xludf.DUMMYFUNCTION("""COMPUTED_VALUE"""),"VerseVR remains stable as the Technology market shows normal activity.")</f>
        <v>VerseVR remains stable as the Technology market shows normal activity.</v>
      </c>
      <c r="D771" s="122" t="str">
        <f>IFERROR(__xludf.DUMMYFUNCTION("""COMPUTED_VALUE"""),"VerseVR appears steady with no major changes reported.")</f>
        <v>VerseVR appears steady with no major changes reported.</v>
      </c>
      <c r="E771" s="122" t="str">
        <f>IFERROR(__xludf.DUMMYFUNCTION("""COMPUTED_VALUE"""),"Neutral")</f>
        <v>Neutral</v>
      </c>
      <c r="F771" s="122">
        <f>IFERROR(__xludf.DUMMYFUNCTION("""COMPUTED_VALUE"""),0.0)</f>
        <v>0</v>
      </c>
      <c r="G771" s="122">
        <f>IFERROR(__xludf.DUMMYFUNCTION("""COMPUTED_VALUE"""),0.0)</f>
        <v>0</v>
      </c>
      <c r="H771" s="122" t="str">
        <f>IFERROR(__xludf.DUMMYFUNCTION("""COMPUTED_VALUE"""),"Active")</f>
        <v>Active</v>
      </c>
    </row>
    <row r="772">
      <c r="A772" s="131">
        <f>IFERROR(__xludf.DUMMYFUNCTION("""COMPUTED_VALUE"""),46175.331087962964)</f>
        <v>46175.33109</v>
      </c>
      <c r="B772" s="122" t="str">
        <f>IFERROR(__xludf.DUMMYFUNCTION("""COMPUTED_VALUE"""),"BYTE")</f>
        <v>BYTE</v>
      </c>
      <c r="C772" s="122" t="str">
        <f>IFERROR(__xludf.DUMMYFUNCTION("""COMPUTED_VALUE"""),"ByteWorks reports steady growth and improved market confidence.")</f>
        <v>ByteWorks reports steady growth and improved market confidence.</v>
      </c>
      <c r="D772" s="122" t="str">
        <f>IFERROR(__xludf.DUMMYFUNCTION("""COMPUTED_VALUE"""),"ByteWorks continues to show positive momentum with moderate risk.")</f>
        <v>ByteWorks continues to show positive momentum with moderate risk.</v>
      </c>
      <c r="E772" s="122" t="str">
        <f>IFERROR(__xludf.DUMMYFUNCTION("""COMPUTED_VALUE"""),"Positive")</f>
        <v>Positive</v>
      </c>
      <c r="F772" s="122">
        <f>IFERROR(__xludf.DUMMYFUNCTION("""COMPUTED_VALUE"""),0.015)</f>
        <v>0.015</v>
      </c>
      <c r="G772" s="122">
        <f>IFERROR(__xludf.DUMMYFUNCTION("""COMPUTED_VALUE"""),0.5)</f>
        <v>0.5</v>
      </c>
      <c r="H772" s="122" t="str">
        <f>IFERROR(__xludf.DUMMYFUNCTION("""COMPUTED_VALUE"""),"Active")</f>
        <v>Active</v>
      </c>
    </row>
    <row r="773">
      <c r="A773" s="131">
        <f>IFERROR(__xludf.DUMMYFUNCTION("""COMPUTED_VALUE"""),46175.331087962964)</f>
        <v>46175.33109</v>
      </c>
      <c r="B773" s="122" t="str">
        <f>IFERROR(__xludf.DUMMYFUNCTION("""COMPUTED_VALUE"""),"BANK")</f>
        <v>BANK</v>
      </c>
      <c r="C773" s="122" t="str">
        <f>IFERROR(__xludf.DUMMYFUNCTION("""COMPUTED_VALUE"""),"Tiger Bank surges as demand rises across the Finance sector.")</f>
        <v>Tiger Bank surges as demand rises across the Finance sector.</v>
      </c>
      <c r="D773" s="122" t="str">
        <f>IFERROR(__xludf.DUMMYFUNCTION("""COMPUTED_VALUE"""),"Tiger Bank is seeing strong demand, which may increase investor confidence.")</f>
        <v>Tiger Bank is seeing strong demand, which may increase investor confidence.</v>
      </c>
      <c r="E773" s="122" t="str">
        <f>IFERROR(__xludf.DUMMYFUNCTION("""COMPUTED_VALUE"""),"Positive")</f>
        <v>Positive</v>
      </c>
      <c r="F773" s="122">
        <f>IFERROR(__xludf.DUMMYFUNCTION("""COMPUTED_VALUE"""),0.03)</f>
        <v>0.03</v>
      </c>
      <c r="G773" s="122">
        <f>IFERROR(__xludf.DUMMYFUNCTION("""COMPUTED_VALUE"""),1.0)</f>
        <v>1</v>
      </c>
      <c r="H773" s="122" t="str">
        <f>IFERROR(__xludf.DUMMYFUNCTION("""COMPUTED_VALUE"""),"Active")</f>
        <v>Active</v>
      </c>
    </row>
    <row r="774">
      <c r="A774" s="131">
        <f>IFERROR(__xludf.DUMMYFUNCTION("""COMPUTED_VALUE"""),46175.331099537034)</f>
        <v>46175.3311</v>
      </c>
      <c r="B774" s="122" t="str">
        <f>IFERROR(__xludf.DUMMYFUNCTION("""COMPUTED_VALUE"""),"CRED")</f>
        <v>CRED</v>
      </c>
      <c r="C774" s="122" t="str">
        <f>IFERROR(__xludf.DUMMYFUNCTION("""COMPUTED_VALUE"""),"Credit Castle faces weaker demand and cautious investor sentiment.")</f>
        <v>Credit Castle faces weaker demand and cautious investor sentiment.</v>
      </c>
      <c r="D774" s="122" t="str">
        <f>IFERROR(__xludf.DUMMYFUNCTION("""COMPUTED_VALUE"""),"Investors are watching Credit Castle closely as demand weakens.")</f>
        <v>Investors are watching Credit Castle closely as demand weakens.</v>
      </c>
      <c r="E774" s="122" t="str">
        <f>IFERROR(__xludf.DUMMYFUNCTION("""COMPUTED_VALUE"""),"Negative")</f>
        <v>Negative</v>
      </c>
      <c r="F774" s="122">
        <f>IFERROR(__xludf.DUMMYFUNCTION("""COMPUTED_VALUE"""),-0.015)</f>
        <v>-0.015</v>
      </c>
      <c r="G774" s="122">
        <f>IFERROR(__xludf.DUMMYFUNCTION("""COMPUTED_VALUE"""),0.75)</f>
        <v>0.75</v>
      </c>
      <c r="H774" s="122" t="str">
        <f>IFERROR(__xludf.DUMMYFUNCTION("""COMPUTED_VALUE"""),"Active")</f>
        <v>Active</v>
      </c>
    </row>
    <row r="775">
      <c r="A775" s="131">
        <f>IFERROR(__xludf.DUMMYFUNCTION("""COMPUTED_VALUE"""),46175.33111111111)</f>
        <v>46175.33111</v>
      </c>
      <c r="B775" s="122" t="str">
        <f>IFERROR(__xludf.DUMMYFUNCTION("""COMPUTED_VALUE"""),"BOND")</f>
        <v>BOND</v>
      </c>
      <c r="C775" s="122" t="str">
        <f>IFERROR(__xludf.DUMMYFUNCTION("""COMPUTED_VALUE"""),"BondBridge faces weaker demand and cautious investor sentiment.")</f>
        <v>BondBridge faces weaker demand and cautious investor sentiment.</v>
      </c>
      <c r="D775" s="122" t="str">
        <f>IFERROR(__xludf.DUMMYFUNCTION("""COMPUTED_VALUE"""),"Investors are watching BondBridge closely as demand weakens.")</f>
        <v>Investors are watching BondBridge closely as demand weakens.</v>
      </c>
      <c r="E775" s="122" t="str">
        <f>IFERROR(__xludf.DUMMYFUNCTION("""COMPUTED_VALUE"""),"Negative")</f>
        <v>Negative</v>
      </c>
      <c r="F775" s="122">
        <f>IFERROR(__xludf.DUMMYFUNCTION("""COMPUTED_VALUE"""),-0.015)</f>
        <v>-0.015</v>
      </c>
      <c r="G775" s="122">
        <f>IFERROR(__xludf.DUMMYFUNCTION("""COMPUTED_VALUE"""),0.75)</f>
        <v>0.75</v>
      </c>
      <c r="H775" s="122" t="str">
        <f>IFERROR(__xludf.DUMMYFUNCTION("""COMPUTED_VALUE"""),"Active")</f>
        <v>Active</v>
      </c>
    </row>
    <row r="776">
      <c r="A776" s="131">
        <f>IFERROR(__xludf.DUMMYFUNCTION("""COMPUTED_VALUE"""),46175.33111111111)</f>
        <v>46175.33111</v>
      </c>
      <c r="B776" s="122" t="str">
        <f>IFERROR(__xludf.DUMMYFUNCTION("""COMPUTED_VALUE"""),"INSR")</f>
        <v>INSR</v>
      </c>
      <c r="C776" s="122" t="str">
        <f>IFERROR(__xludf.DUMMYFUNCTION("""COMPUTED_VALUE"""),"Shield Insurance faces weaker demand and cautious investor sentiment.")</f>
        <v>Shield Insurance faces weaker demand and cautious investor sentiment.</v>
      </c>
      <c r="D776" s="122" t="str">
        <f>IFERROR(__xludf.DUMMYFUNCTION("""COMPUTED_VALUE"""),"Investors are watching Shield Insurance closely as demand weakens.")</f>
        <v>Investors are watching Shield Insurance closely as demand weakens.</v>
      </c>
      <c r="E776" s="122" t="str">
        <f>IFERROR(__xludf.DUMMYFUNCTION("""COMPUTED_VALUE"""),"Negative")</f>
        <v>Negative</v>
      </c>
      <c r="F776" s="122">
        <f>IFERROR(__xludf.DUMMYFUNCTION("""COMPUTED_VALUE"""),-0.015)</f>
        <v>-0.015</v>
      </c>
      <c r="G776" s="122">
        <f>IFERROR(__xludf.DUMMYFUNCTION("""COMPUTED_VALUE"""),0.75)</f>
        <v>0.75</v>
      </c>
      <c r="H776" s="122" t="str">
        <f>IFERROR(__xludf.DUMMYFUNCTION("""COMPUTED_VALUE"""),"Active")</f>
        <v>Active</v>
      </c>
    </row>
    <row r="777">
      <c r="A777" s="131">
        <f>IFERROR(__xludf.DUMMYFUNCTION("""COMPUTED_VALUE"""),46175.33112268519)</f>
        <v>46175.33112</v>
      </c>
      <c r="B777" s="122" t="str">
        <f>IFERROR(__xludf.DUMMYFUNCTION("""COMPUTED_VALUE"""),"LOAN")</f>
        <v>LOAN</v>
      </c>
      <c r="C777" s="122" t="str">
        <f>IFERROR(__xludf.DUMMYFUNCTION("""COMPUTED_VALUE"""),"LoanLab reports steady growth and improved market confidence.")</f>
        <v>LoanLab reports steady growth and improved market confidence.</v>
      </c>
      <c r="D777" s="122" t="str">
        <f>IFERROR(__xludf.DUMMYFUNCTION("""COMPUTED_VALUE"""),"LoanLab continues to show positive momentum with moderate risk.")</f>
        <v>LoanLab continues to show positive momentum with moderate risk.</v>
      </c>
      <c r="E777" s="122" t="str">
        <f>IFERROR(__xludf.DUMMYFUNCTION("""COMPUTED_VALUE"""),"Positive")</f>
        <v>Positive</v>
      </c>
      <c r="F777" s="122">
        <f>IFERROR(__xludf.DUMMYFUNCTION("""COMPUTED_VALUE"""),0.015)</f>
        <v>0.015</v>
      </c>
      <c r="G777" s="122">
        <f>IFERROR(__xludf.DUMMYFUNCTION("""COMPUTED_VALUE"""),0.5)</f>
        <v>0.5</v>
      </c>
      <c r="H777" s="122" t="str">
        <f>IFERROR(__xludf.DUMMYFUNCTION("""COMPUTED_VALUE"""),"Active")</f>
        <v>Active</v>
      </c>
    </row>
    <row r="778">
      <c r="A778" s="131">
        <f>IFERROR(__xludf.DUMMYFUNCTION("""COMPUTED_VALUE"""),46175.33112268519)</f>
        <v>46175.33112</v>
      </c>
      <c r="B778" s="122" t="str">
        <f>IFERROR(__xludf.DUMMYFUNCTION("""COMPUTED_VALUE"""),"LUXE")</f>
        <v>LUXE</v>
      </c>
      <c r="C778" s="122" t="str">
        <f>IFERROR(__xludf.DUMMYFUNCTION("""COMPUTED_VALUE"""),"Luxury Locker faces weaker demand and cautious investor sentiment.")</f>
        <v>Luxury Locker faces weaker demand and cautious investor sentiment.</v>
      </c>
      <c r="D778" s="122" t="str">
        <f>IFERROR(__xludf.DUMMYFUNCTION("""COMPUTED_VALUE"""),"Investors are watching Luxury Locker closely as demand weakens.")</f>
        <v>Investors are watching Luxury Locker closely as demand weakens.</v>
      </c>
      <c r="E778" s="122" t="str">
        <f>IFERROR(__xludf.DUMMYFUNCTION("""COMPUTED_VALUE"""),"Negative")</f>
        <v>Negative</v>
      </c>
      <c r="F778" s="122">
        <f>IFERROR(__xludf.DUMMYFUNCTION("""COMPUTED_VALUE"""),-0.015)</f>
        <v>-0.015</v>
      </c>
      <c r="G778" s="122">
        <f>IFERROR(__xludf.DUMMYFUNCTION("""COMPUTED_VALUE"""),0.75)</f>
        <v>0.75</v>
      </c>
      <c r="H778" s="122" t="str">
        <f>IFERROR(__xludf.DUMMYFUNCTION("""COMPUTED_VALUE"""),"Active")</f>
        <v>Active</v>
      </c>
    </row>
    <row r="779">
      <c r="A779" s="131">
        <f>IFERROR(__xludf.DUMMYFUNCTION("""COMPUTED_VALUE"""),46175.33113425926)</f>
        <v>46175.33113</v>
      </c>
      <c r="B779" s="122" t="str">
        <f>IFERROR(__xludf.DUMMYFUNCTION("""COMPUTED_VALUE"""),"DRIP")</f>
        <v>DRIP</v>
      </c>
      <c r="C779" s="122" t="str">
        <f>IFERROR(__xludf.DUMMYFUNCTION("""COMPUTED_VALUE"""),"Drip Streetwear reports steady growth and improved market confidence.")</f>
        <v>Drip Streetwear reports steady growth and improved market confidence.</v>
      </c>
      <c r="D779" s="122" t="str">
        <f>IFERROR(__xludf.DUMMYFUNCTION("""COMPUTED_VALUE"""),"Drip Streetwear continues to show positive momentum with moderate risk.")</f>
        <v>Drip Streetwear continues to show positive momentum with moderate risk.</v>
      </c>
      <c r="E779" s="122" t="str">
        <f>IFERROR(__xludf.DUMMYFUNCTION("""COMPUTED_VALUE"""),"Positive")</f>
        <v>Positive</v>
      </c>
      <c r="F779" s="122">
        <f>IFERROR(__xludf.DUMMYFUNCTION("""COMPUTED_VALUE"""),0.015)</f>
        <v>0.015</v>
      </c>
      <c r="G779" s="122">
        <f>IFERROR(__xludf.DUMMYFUNCTION("""COMPUTED_VALUE"""),0.5)</f>
        <v>0.5</v>
      </c>
      <c r="H779" s="122" t="str">
        <f>IFERROR(__xludf.DUMMYFUNCTION("""COMPUTED_VALUE"""),"Active")</f>
        <v>Active</v>
      </c>
    </row>
    <row r="780">
      <c r="A780" s="131">
        <f>IFERROR(__xludf.DUMMYFUNCTION("""COMPUTED_VALUE"""),46175.33113425926)</f>
        <v>46175.33113</v>
      </c>
      <c r="B780" s="122" t="str">
        <f>IFERROR(__xludf.DUMMYFUNCTION("""COMPUTED_VALUE"""),"KICK")</f>
        <v>KICK</v>
      </c>
      <c r="C780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780" s="122" t="str">
        <f>IFERROR(__xludf.DUMMYFUNCTION("""COMPUTED_VALUE"""),"KickDrop Sneakers appears steady with no major changes reported.")</f>
        <v>KickDrop Sneakers appears steady with no major changes reported.</v>
      </c>
      <c r="E780" s="122" t="str">
        <f>IFERROR(__xludf.DUMMYFUNCTION("""COMPUTED_VALUE"""),"Neutral")</f>
        <v>Neutral</v>
      </c>
      <c r="F780" s="122">
        <f>IFERROR(__xludf.DUMMYFUNCTION("""COMPUTED_VALUE"""),0.0)</f>
        <v>0</v>
      </c>
      <c r="G780" s="122">
        <f>IFERROR(__xludf.DUMMYFUNCTION("""COMPUTED_VALUE"""),0.0)</f>
        <v>0</v>
      </c>
      <c r="H780" s="122" t="str">
        <f>IFERROR(__xludf.DUMMYFUNCTION("""COMPUTED_VALUE"""),"Active")</f>
        <v>Active</v>
      </c>
    </row>
    <row r="781">
      <c r="A781" s="131">
        <f>IFERROR(__xludf.DUMMYFUNCTION("""COMPUTED_VALUE"""),46175.33113425926)</f>
        <v>46175.33113</v>
      </c>
      <c r="B781" s="122" t="str">
        <f>IFERROR(__xludf.DUMMYFUNCTION("""COMPUTED_VALUE"""),"GLAM")</f>
        <v>GLAM</v>
      </c>
      <c r="C781" s="122" t="str">
        <f>IFERROR(__xludf.DUMMYFUNCTION("""COMPUTED_VALUE"""),"Glow Cosmetics sees uncertain trading as investors react to mixed signals.")</f>
        <v>Glow Cosmetics sees uncertain trading as investors react to mixed signals.</v>
      </c>
      <c r="D781" s="122" t="str">
        <f>IFERROR(__xludf.DUMMYFUNCTION("""COMPUTED_VALUE"""),"Glow Cosmetics may experience larger price swings as investors disagree on direction.")</f>
        <v>Glow Cosmetics may experience larger price swings as investors disagree on direction.</v>
      </c>
      <c r="E781" s="122" t="str">
        <f>IFERROR(__xludf.DUMMYFUNCTION("""COMPUTED_VALUE"""),"Mixed")</f>
        <v>Mixed</v>
      </c>
      <c r="F781" s="122">
        <f>IFERROR(__xludf.DUMMYFUNCTION("""COMPUTED_VALUE"""),-0.006488166762247087)</f>
        <v>-0.006488166762</v>
      </c>
      <c r="G781" s="122">
        <f>IFERROR(__xludf.DUMMYFUNCTION("""COMPUTED_VALUE"""),1.5)</f>
        <v>1.5</v>
      </c>
      <c r="H781" s="122" t="str">
        <f>IFERROR(__xludf.DUMMYFUNCTION("""COMPUTED_VALUE"""),"Active")</f>
        <v>Active</v>
      </c>
    </row>
    <row r="782">
      <c r="A782" s="131">
        <f>IFERROR(__xludf.DUMMYFUNCTION("""COMPUTED_VALUE"""),46175.331145833334)</f>
        <v>46175.33115</v>
      </c>
      <c r="B782" s="122" t="str">
        <f>IFERROR(__xludf.DUMMYFUNCTION("""COMPUTED_VALUE"""),"BAGG")</f>
        <v>BAGG</v>
      </c>
      <c r="C782" s="122" t="str">
        <f>IFERROR(__xludf.DUMMYFUNCTION("""COMPUTED_VALUE"""),"BagVault remains stable as the Fashion market shows normal activity.")</f>
        <v>BagVault remains stable as the Fashion market shows normal activity.</v>
      </c>
      <c r="D782" s="122" t="str">
        <f>IFERROR(__xludf.DUMMYFUNCTION("""COMPUTED_VALUE"""),"BagVault appears steady with no major changes reported.")</f>
        <v>BagVault appears steady with no major changes reported.</v>
      </c>
      <c r="E782" s="122" t="str">
        <f>IFERROR(__xludf.DUMMYFUNCTION("""COMPUTED_VALUE"""),"Neutral")</f>
        <v>Neutral</v>
      </c>
      <c r="F782" s="122">
        <f>IFERROR(__xludf.DUMMYFUNCTION("""COMPUTED_VALUE"""),0.0)</f>
        <v>0</v>
      </c>
      <c r="G782" s="122">
        <f>IFERROR(__xludf.DUMMYFUNCTION("""COMPUTED_VALUE"""),0.0)</f>
        <v>0</v>
      </c>
      <c r="H782" s="122" t="str">
        <f>IFERROR(__xludf.DUMMYFUNCTION("""COMPUTED_VALUE"""),"Active")</f>
        <v>Active</v>
      </c>
    </row>
    <row r="783">
      <c r="A783" s="131">
        <f>IFERROR(__xludf.DUMMYFUNCTION("""COMPUTED_VALUE"""),46175.33115740741)</f>
        <v>46175.33116</v>
      </c>
      <c r="B783" s="122" t="str">
        <f>IFERROR(__xludf.DUMMYFUNCTION("""COMPUTED_VALUE"""),"FAST")</f>
        <v>FAST</v>
      </c>
      <c r="C783" s="122" t="str">
        <f>IFERROR(__xludf.DUMMYFUNCTION("""COMPUTED_VALUE"""),"Flash Logistics faces weaker demand and cautious investor sentiment.")</f>
        <v>Flash Logistics faces weaker demand and cautious investor sentiment.</v>
      </c>
      <c r="D783" s="122" t="str">
        <f>IFERROR(__xludf.DUMMYFUNCTION("""COMPUTED_VALUE"""),"Investors are watching Flash Logistics closely as demand weakens.")</f>
        <v>Investors are watching Flash Logistics closely as demand weakens.</v>
      </c>
      <c r="E783" s="122" t="str">
        <f>IFERROR(__xludf.DUMMYFUNCTION("""COMPUTED_VALUE"""),"Negative")</f>
        <v>Negative</v>
      </c>
      <c r="F783" s="122">
        <f>IFERROR(__xludf.DUMMYFUNCTION("""COMPUTED_VALUE"""),-0.015)</f>
        <v>-0.015</v>
      </c>
      <c r="G783" s="122">
        <f>IFERROR(__xludf.DUMMYFUNCTION("""COMPUTED_VALUE"""),0.75)</f>
        <v>0.75</v>
      </c>
      <c r="H783" s="122" t="str">
        <f>IFERROR(__xludf.DUMMYFUNCTION("""COMPUTED_VALUE"""),"Active")</f>
        <v>Active</v>
      </c>
    </row>
    <row r="784">
      <c r="A784" s="131">
        <f>IFERROR(__xludf.DUMMYFUNCTION("""COMPUTED_VALUE"""),46175.33116898148)</f>
        <v>46175.33117</v>
      </c>
      <c r="B784" s="122" t="str">
        <f>IFERROR(__xludf.DUMMYFUNCTION("""COMPUTED_VALUE"""),"SHIP")</f>
        <v>SHIP</v>
      </c>
      <c r="C784" s="122" t="str">
        <f>IFERROR(__xludf.DUMMYFUNCTION("""COMPUTED_VALUE"""),"Seoul Shipping drops sharply after major concerns hit the market.")</f>
        <v>Seoul Shipping drops sharply after major concerns hit the market.</v>
      </c>
      <c r="D784" s="122" t="str">
        <f>IFERROR(__xludf.DUMMYFUNCTION("""COMPUTED_VALUE"""),"Seoul Shipping is under pressure as investors react to worsening conditions.")</f>
        <v>Seoul Shipping is under pressure as investors react to worsening conditions.</v>
      </c>
      <c r="E784" s="122" t="str">
        <f>IFERROR(__xludf.DUMMYFUNCTION("""COMPUTED_VALUE"""),"Negative")</f>
        <v>Negative</v>
      </c>
      <c r="F784" s="122">
        <f>IFERROR(__xludf.DUMMYFUNCTION("""COMPUTED_VALUE"""),-0.04)</f>
        <v>-0.04</v>
      </c>
      <c r="G784" s="122">
        <f>IFERROR(__xludf.DUMMYFUNCTION("""COMPUTED_VALUE"""),2.0)</f>
        <v>2</v>
      </c>
      <c r="H784" s="122" t="str">
        <f>IFERROR(__xludf.DUMMYFUNCTION("""COMPUTED_VALUE"""),"Active")</f>
        <v>Active</v>
      </c>
    </row>
    <row r="785">
      <c r="A785" s="131">
        <f>IFERROR(__xludf.DUMMYFUNCTION("""COMPUTED_VALUE"""),46175.33116898148)</f>
        <v>46175.33117</v>
      </c>
      <c r="B785" s="122" t="str">
        <f>IFERROR(__xludf.DUMMYFUNCTION("""COMPUTED_VALUE"""),"DRON")</f>
        <v>DRON</v>
      </c>
      <c r="C785" s="122" t="str">
        <f>IFERROR(__xludf.DUMMYFUNCTION("""COMPUTED_VALUE"""),"DroneDrop reports steady growth and improved market confidence.")</f>
        <v>DroneDrop reports steady growth and improved market confidence.</v>
      </c>
      <c r="D785" s="122" t="str">
        <f>IFERROR(__xludf.DUMMYFUNCTION("""COMPUTED_VALUE"""),"DroneDrop continues to show positive momentum with moderate risk.")</f>
        <v>DroneDrop continues to show positive momentum with moderate risk.</v>
      </c>
      <c r="E785" s="122" t="str">
        <f>IFERROR(__xludf.DUMMYFUNCTION("""COMPUTED_VALUE"""),"Positive")</f>
        <v>Positive</v>
      </c>
      <c r="F785" s="122">
        <f>IFERROR(__xludf.DUMMYFUNCTION("""COMPUTED_VALUE"""),0.015)</f>
        <v>0.015</v>
      </c>
      <c r="G785" s="122">
        <f>IFERROR(__xludf.DUMMYFUNCTION("""COMPUTED_VALUE"""),0.5)</f>
        <v>0.5</v>
      </c>
      <c r="H785" s="122" t="str">
        <f>IFERROR(__xludf.DUMMYFUNCTION("""COMPUTED_VALUE"""),"Active")</f>
        <v>Active</v>
      </c>
    </row>
    <row r="786">
      <c r="A786" s="131">
        <f>IFERROR(__xludf.DUMMYFUNCTION("""COMPUTED_VALUE"""),46175.33118055556)</f>
        <v>46175.33118</v>
      </c>
      <c r="B786" s="122" t="str">
        <f>IFERROR(__xludf.DUMMYFUNCTION("""COMPUTED_VALUE"""),"RIDE")</f>
        <v>RIDE</v>
      </c>
      <c r="C786" s="122" t="str">
        <f>IFERROR(__xludf.DUMMYFUNCTION("""COMPUTED_VALUE"""),"QuickRide faces weaker demand and cautious investor sentiment.")</f>
        <v>QuickRide faces weaker demand and cautious investor sentiment.</v>
      </c>
      <c r="D786" s="122" t="str">
        <f>IFERROR(__xludf.DUMMYFUNCTION("""COMPUTED_VALUE"""),"Investors are watching QuickRide closely as demand weakens.")</f>
        <v>Investors are watching QuickRide closely as demand weakens.</v>
      </c>
      <c r="E786" s="122" t="str">
        <f>IFERROR(__xludf.DUMMYFUNCTION("""COMPUTED_VALUE"""),"Negative")</f>
        <v>Negative</v>
      </c>
      <c r="F786" s="122">
        <f>IFERROR(__xludf.DUMMYFUNCTION("""COMPUTED_VALUE"""),-0.015)</f>
        <v>-0.015</v>
      </c>
      <c r="G786" s="122">
        <f>IFERROR(__xludf.DUMMYFUNCTION("""COMPUTED_VALUE"""),0.75)</f>
        <v>0.75</v>
      </c>
      <c r="H786" s="122" t="str">
        <f>IFERROR(__xludf.DUMMYFUNCTION("""COMPUTED_VALUE"""),"Active")</f>
        <v>Active</v>
      </c>
    </row>
    <row r="787">
      <c r="A787" s="131">
        <f>IFERROR(__xludf.DUMMYFUNCTION("""COMPUTED_VALUE"""),46175.33118055556)</f>
        <v>46175.33118</v>
      </c>
      <c r="B787" s="122" t="str">
        <f>IFERROR(__xludf.DUMMYFUNCTION("""COMPUTED_VALUE"""),"RAIL")</f>
        <v>RAIL</v>
      </c>
      <c r="C787" s="122" t="str">
        <f>IFERROR(__xludf.DUMMYFUNCTION("""COMPUTED_VALUE"""),"MetroRail Corp sees uncertain trading as investors react to mixed signals.")</f>
        <v>MetroRail Corp sees uncertain trading as investors react to mixed signals.</v>
      </c>
      <c r="D787" s="122" t="str">
        <f>IFERROR(__xludf.DUMMYFUNCTION("""COMPUTED_VALUE"""),"MetroRail Corp may experience larger price swings as investors disagree on direction.")</f>
        <v>MetroRail Corp may experience larger price swings as investors disagree on direction.</v>
      </c>
      <c r="E787" s="122" t="str">
        <f>IFERROR(__xludf.DUMMYFUNCTION("""COMPUTED_VALUE"""),"Mixed")</f>
        <v>Mixed</v>
      </c>
      <c r="F787" s="122">
        <f>IFERROR(__xludf.DUMMYFUNCTION("""COMPUTED_VALUE"""),0.017039066174629556)</f>
        <v>0.01703906617</v>
      </c>
      <c r="G787" s="122">
        <f>IFERROR(__xludf.DUMMYFUNCTION("""COMPUTED_VALUE"""),1.5)</f>
        <v>1.5</v>
      </c>
      <c r="H787" s="122" t="str">
        <f>IFERROR(__xludf.DUMMYFUNCTION("""COMPUTED_VALUE"""),"Active")</f>
        <v>Active</v>
      </c>
    </row>
    <row r="788">
      <c r="A788" s="131">
        <f>IFERROR(__xludf.DUMMYFUNCTION("""COMPUTED_VALUE"""),46175.331192129626)</f>
        <v>46175.33119</v>
      </c>
      <c r="B788" s="122" t="str">
        <f>IFERROR(__xludf.DUMMYFUNCTION("""COMPUTED_VALUE"""),"MEDX")</f>
        <v>MEDX</v>
      </c>
      <c r="C788" s="122" t="str">
        <f>IFERROR(__xludf.DUMMYFUNCTION("""COMPUTED_VALUE"""),"MediCore remains stable as the Healthcare market shows normal activity.")</f>
        <v>MediCore remains stable as the Healthcare market shows normal activity.</v>
      </c>
      <c r="D788" s="122" t="str">
        <f>IFERROR(__xludf.DUMMYFUNCTION("""COMPUTED_VALUE"""),"MediCore appears steady with no major changes reported.")</f>
        <v>MediCore appears steady with no major changes reported.</v>
      </c>
      <c r="E788" s="122" t="str">
        <f>IFERROR(__xludf.DUMMYFUNCTION("""COMPUTED_VALUE"""),"Neutral")</f>
        <v>Neutral</v>
      </c>
      <c r="F788" s="122">
        <f>IFERROR(__xludf.DUMMYFUNCTION("""COMPUTED_VALUE"""),0.0)</f>
        <v>0</v>
      </c>
      <c r="G788" s="122">
        <f>IFERROR(__xludf.DUMMYFUNCTION("""COMPUTED_VALUE"""),0.0)</f>
        <v>0</v>
      </c>
      <c r="H788" s="122" t="str">
        <f>IFERROR(__xludf.DUMMYFUNCTION("""COMPUTED_VALUE"""),"Active")</f>
        <v>Active</v>
      </c>
    </row>
    <row r="789">
      <c r="A789" s="131">
        <f>IFERROR(__xludf.DUMMYFUNCTION("""COMPUTED_VALUE"""),46175.331192129626)</f>
        <v>46175.33119</v>
      </c>
      <c r="B789" s="122" t="str">
        <f>IFERROR(__xludf.DUMMYFUNCTION("""COMPUTED_VALUE"""),"GYMX")</f>
        <v>GYMX</v>
      </c>
      <c r="C789" s="122" t="str">
        <f>IFERROR(__xludf.DUMMYFUNCTION("""COMPUTED_VALUE"""),"GymX Fitness reports steady growth and improved market confidence.")</f>
        <v>GymX Fitness reports steady growth and improved market confidence.</v>
      </c>
      <c r="D789" s="122" t="str">
        <f>IFERROR(__xludf.DUMMYFUNCTION("""COMPUTED_VALUE"""),"GymX Fitness continues to show positive momentum with moderate risk.")</f>
        <v>GymX Fitness continues to show positive momentum with moderate risk.</v>
      </c>
      <c r="E789" s="122" t="str">
        <f>IFERROR(__xludf.DUMMYFUNCTION("""COMPUTED_VALUE"""),"Positive")</f>
        <v>Positive</v>
      </c>
      <c r="F789" s="122">
        <f>IFERROR(__xludf.DUMMYFUNCTION("""COMPUTED_VALUE"""),0.015)</f>
        <v>0.015</v>
      </c>
      <c r="G789" s="122">
        <f>IFERROR(__xludf.DUMMYFUNCTION("""COMPUTED_VALUE"""),0.5)</f>
        <v>0.5</v>
      </c>
      <c r="H789" s="122" t="str">
        <f>IFERROR(__xludf.DUMMYFUNCTION("""COMPUTED_VALUE"""),"Active")</f>
        <v>Active</v>
      </c>
    </row>
    <row r="790">
      <c r="A790" s="131">
        <f>IFERROR(__xludf.DUMMYFUNCTION("""COMPUTED_VALUE"""),46175.3312037037)</f>
        <v>46175.3312</v>
      </c>
      <c r="B790" s="122" t="str">
        <f>IFERROR(__xludf.DUMMYFUNCTION("""COMPUTED_VALUE"""),"VITA")</f>
        <v>VITA</v>
      </c>
      <c r="C790" s="122" t="str">
        <f>IFERROR(__xludf.DUMMYFUNCTION("""COMPUTED_VALUE"""),"VitaPlus remains stable as the Healthcare market shows normal activity.")</f>
        <v>VitaPlus remains stable as the Healthcare market shows normal activity.</v>
      </c>
      <c r="D790" s="122" t="str">
        <f>IFERROR(__xludf.DUMMYFUNCTION("""COMPUTED_VALUE"""),"VitaPlus appears steady with no major changes reported.")</f>
        <v>VitaPlus appears steady with no major changes reported.</v>
      </c>
      <c r="E790" s="122" t="str">
        <f>IFERROR(__xludf.DUMMYFUNCTION("""COMPUTED_VALUE"""),"Neutral")</f>
        <v>Neutral</v>
      </c>
      <c r="F790" s="122">
        <f>IFERROR(__xludf.DUMMYFUNCTION("""COMPUTED_VALUE"""),0.0)</f>
        <v>0</v>
      </c>
      <c r="G790" s="122">
        <f>IFERROR(__xludf.DUMMYFUNCTION("""COMPUTED_VALUE"""),0.0)</f>
        <v>0</v>
      </c>
      <c r="H790" s="122" t="str">
        <f>IFERROR(__xludf.DUMMYFUNCTION("""COMPUTED_VALUE"""),"Active")</f>
        <v>Active</v>
      </c>
    </row>
    <row r="791">
      <c r="A791" s="131">
        <f>IFERROR(__xludf.DUMMYFUNCTION("""COMPUTED_VALUE"""),46175.3312037037)</f>
        <v>46175.3312</v>
      </c>
      <c r="B791" s="122" t="str">
        <f>IFERROR(__xludf.DUMMYFUNCTION("""COMPUTED_VALUE"""),"CARE")</f>
        <v>CARE</v>
      </c>
      <c r="C791" s="122" t="str">
        <f>IFERROR(__xludf.DUMMYFUNCTION("""COMPUTED_VALUE"""),"CareCloud sees uncertain trading as investors react to mixed signals.")</f>
        <v>CareCloud sees uncertain trading as investors react to mixed signals.</v>
      </c>
      <c r="D791" s="122" t="str">
        <f>IFERROR(__xludf.DUMMYFUNCTION("""COMPUTED_VALUE"""),"CareCloud may experience larger price swings as investors disagree on direction.")</f>
        <v>CareCloud may experience larger price swings as investors disagree on direction.</v>
      </c>
      <c r="E791" s="122" t="str">
        <f>IFERROR(__xludf.DUMMYFUNCTION("""COMPUTED_VALUE"""),"Mixed")</f>
        <v>Mixed</v>
      </c>
      <c r="F791" s="122">
        <f>IFERROR(__xludf.DUMMYFUNCTION("""COMPUTED_VALUE"""),-0.00881069337835247)</f>
        <v>-0.008810693378</v>
      </c>
      <c r="G791" s="122">
        <f>IFERROR(__xludf.DUMMYFUNCTION("""COMPUTED_VALUE"""),1.5)</f>
        <v>1.5</v>
      </c>
      <c r="H791" s="122" t="str">
        <f>IFERROR(__xludf.DUMMYFUNCTION("""COMPUTED_VALUE"""),"Active")</f>
        <v>Active</v>
      </c>
    </row>
    <row r="792">
      <c r="A792" s="131">
        <f>IFERROR(__xludf.DUMMYFUNCTION("""COMPUTED_VALUE"""),46175.33121527778)</f>
        <v>46175.33122</v>
      </c>
      <c r="B792" s="122" t="str">
        <f>IFERROR(__xludf.DUMMYFUNCTION("""COMPUTED_VALUE"""),"DENT")</f>
        <v>DENT</v>
      </c>
      <c r="C792" s="122" t="str">
        <f>IFERROR(__xludf.DUMMYFUNCTION("""COMPUTED_VALUE"""),"SmileWorks remains stable as the Healthcare market shows normal activity.")</f>
        <v>SmileWorks remains stable as the Healthcare market shows normal activity.</v>
      </c>
      <c r="D792" s="122" t="str">
        <f>IFERROR(__xludf.DUMMYFUNCTION("""COMPUTED_VALUE"""),"SmileWorks appears steady with no major changes reported.")</f>
        <v>SmileWorks appears steady with no major changes reported.</v>
      </c>
      <c r="E792" s="122" t="str">
        <f>IFERROR(__xludf.DUMMYFUNCTION("""COMPUTED_VALUE"""),"Neutral")</f>
        <v>Neutral</v>
      </c>
      <c r="F792" s="122">
        <f>IFERROR(__xludf.DUMMYFUNCTION("""COMPUTED_VALUE"""),0.0)</f>
        <v>0</v>
      </c>
      <c r="G792" s="122">
        <f>IFERROR(__xludf.DUMMYFUNCTION("""COMPUTED_VALUE"""),0.0)</f>
        <v>0</v>
      </c>
      <c r="H792" s="122" t="str">
        <f>IFERROR(__xludf.DUMMYFUNCTION("""COMPUTED_VALUE"""),"Active")</f>
        <v>Active</v>
      </c>
    </row>
    <row r="793">
      <c r="A793" s="131">
        <f>IFERROR(__xludf.DUMMYFUNCTION("""COMPUTED_VALUE"""),46175.33121527778)</f>
        <v>46175.33122</v>
      </c>
      <c r="B793" s="122" t="str">
        <f>IFERROR(__xludf.DUMMYFUNCTION("""COMPUTED_VALUE"""),"EDUX")</f>
        <v>EDUX</v>
      </c>
      <c r="C793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793" s="122" t="str">
        <f>IFERROR(__xludf.DUMMYFUNCTION("""COMPUTED_VALUE"""),"EduMax Learning appears steady with no major changes reported.")</f>
        <v>EduMax Learning appears steady with no major changes reported.</v>
      </c>
      <c r="E793" s="122" t="str">
        <f>IFERROR(__xludf.DUMMYFUNCTION("""COMPUTED_VALUE"""),"Neutral")</f>
        <v>Neutral</v>
      </c>
      <c r="F793" s="122">
        <f>IFERROR(__xludf.DUMMYFUNCTION("""COMPUTED_VALUE"""),0.0)</f>
        <v>0</v>
      </c>
      <c r="G793" s="122">
        <f>IFERROR(__xludf.DUMMYFUNCTION("""COMPUTED_VALUE"""),0.0)</f>
        <v>0</v>
      </c>
      <c r="H793" s="122" t="str">
        <f>IFERROR(__xludf.DUMMYFUNCTION("""COMPUTED_VALUE"""),"Active")</f>
        <v>Active</v>
      </c>
    </row>
    <row r="794">
      <c r="A794" s="131">
        <f>IFERROR(__xludf.DUMMYFUNCTION("""COMPUTED_VALUE"""),46175.331238425926)</f>
        <v>46175.33124</v>
      </c>
      <c r="B794" s="122" t="str">
        <f>IFERROR(__xludf.DUMMYFUNCTION("""COMPUTED_VALUE"""),"BOOK")</f>
        <v>BOOK</v>
      </c>
      <c r="C794" s="122" t="str">
        <f>IFERROR(__xludf.DUMMYFUNCTION("""COMPUTED_VALUE"""),"BookBridge reports steady growth and improved market confidence.")</f>
        <v>BookBridge reports steady growth and improved market confidence.</v>
      </c>
      <c r="D794" s="122" t="str">
        <f>IFERROR(__xludf.DUMMYFUNCTION("""COMPUTED_VALUE"""),"BookBridge continues to show positive momentum with moderate risk.")</f>
        <v>BookBridge continues to show positive momentum with moderate risk.</v>
      </c>
      <c r="E794" s="122" t="str">
        <f>IFERROR(__xludf.DUMMYFUNCTION("""COMPUTED_VALUE"""),"Positive")</f>
        <v>Positive</v>
      </c>
      <c r="F794" s="122">
        <f>IFERROR(__xludf.DUMMYFUNCTION("""COMPUTED_VALUE"""),0.015)</f>
        <v>0.015</v>
      </c>
      <c r="G794" s="122">
        <f>IFERROR(__xludf.DUMMYFUNCTION("""COMPUTED_VALUE"""),0.5)</f>
        <v>0.5</v>
      </c>
      <c r="H794" s="122" t="str">
        <f>IFERROR(__xludf.DUMMYFUNCTION("""COMPUTED_VALUE"""),"Active")</f>
        <v>Active</v>
      </c>
    </row>
    <row r="795">
      <c r="A795" s="131">
        <f>IFERROR(__xludf.DUMMYFUNCTION("""COMPUTED_VALUE"""),46175.331238425926)</f>
        <v>46175.33124</v>
      </c>
      <c r="B795" s="122" t="str">
        <f>IFERROR(__xludf.DUMMYFUNCTION("""COMPUTED_VALUE"""),"TUTR")</f>
        <v>TUTR</v>
      </c>
      <c r="C795" s="122" t="str">
        <f>IFERROR(__xludf.DUMMYFUNCTION("""COMPUTED_VALUE"""),"TutorTown remains stable as the Education market shows normal activity.")</f>
        <v>TutorTown remains stable as the Education market shows normal activity.</v>
      </c>
      <c r="D795" s="122" t="str">
        <f>IFERROR(__xludf.DUMMYFUNCTION("""COMPUTED_VALUE"""),"TutorTown appears steady with no major changes reported.")</f>
        <v>TutorTown appears steady with no major changes reported.</v>
      </c>
      <c r="E795" s="122" t="str">
        <f>IFERROR(__xludf.DUMMYFUNCTION("""COMPUTED_VALUE"""),"Neutral")</f>
        <v>Neutral</v>
      </c>
      <c r="F795" s="122">
        <f>IFERROR(__xludf.DUMMYFUNCTION("""COMPUTED_VALUE"""),0.0)</f>
        <v>0</v>
      </c>
      <c r="G795" s="122">
        <f>IFERROR(__xludf.DUMMYFUNCTION("""COMPUTED_VALUE"""),0.0)</f>
        <v>0</v>
      </c>
      <c r="H795" s="122" t="str">
        <f>IFERROR(__xludf.DUMMYFUNCTION("""COMPUTED_VALUE"""),"Active")</f>
        <v>Active</v>
      </c>
    </row>
    <row r="796">
      <c r="A796" s="131">
        <f>IFERROR(__xludf.DUMMYFUNCTION("""COMPUTED_VALUE"""),46175.33125)</f>
        <v>46175.33125</v>
      </c>
      <c r="B796" s="122" t="str">
        <f>IFERROR(__xludf.DUMMYFUNCTION("""COMPUTED_VALUE"""),"LANG")</f>
        <v>LANG</v>
      </c>
      <c r="C796" s="122" t="str">
        <f>IFERROR(__xludf.DUMMYFUNCTION("""COMPUTED_VALUE"""),"LinguaLab remains stable as the Education market shows normal activity.")</f>
        <v>LinguaLab remains stable as the Education market shows normal activity.</v>
      </c>
      <c r="D796" s="122" t="str">
        <f>IFERROR(__xludf.DUMMYFUNCTION("""COMPUTED_VALUE"""),"LinguaLab appears steady with no major changes reported.")</f>
        <v>LinguaLab appears steady with no major changes reported.</v>
      </c>
      <c r="E796" s="122" t="str">
        <f>IFERROR(__xludf.DUMMYFUNCTION("""COMPUTED_VALUE"""),"Neutral")</f>
        <v>Neutral</v>
      </c>
      <c r="F796" s="122">
        <f>IFERROR(__xludf.DUMMYFUNCTION("""COMPUTED_VALUE"""),0.0)</f>
        <v>0</v>
      </c>
      <c r="G796" s="122">
        <f>IFERROR(__xludf.DUMMYFUNCTION("""COMPUTED_VALUE"""),0.0)</f>
        <v>0</v>
      </c>
      <c r="H796" s="122" t="str">
        <f>IFERROR(__xludf.DUMMYFUNCTION("""COMPUTED_VALUE"""),"Active")</f>
        <v>Active</v>
      </c>
    </row>
    <row r="797">
      <c r="A797" s="131">
        <f>IFERROR(__xludf.DUMMYFUNCTION("""COMPUTED_VALUE"""),46175.33125)</f>
        <v>46175.33125</v>
      </c>
      <c r="B797" s="122" t="str">
        <f>IFERROR(__xludf.DUMMYFUNCTION("""COMPUTED_VALUE"""),"TEST")</f>
        <v>TEST</v>
      </c>
      <c r="C797" s="122" t="str">
        <f>IFERROR(__xludf.DUMMYFUNCTION("""COMPUTED_VALUE"""),"TestPrep Pro surges as demand rises across the Education sector.")</f>
        <v>TestPrep Pro surges as demand rises across the Education sector.</v>
      </c>
      <c r="D797" s="122" t="str">
        <f>IFERROR(__xludf.DUMMYFUNCTION("""COMPUTED_VALUE"""),"TestPrep Pro is seeing strong demand, which may increase investor confidence.")</f>
        <v>TestPrep Pro is seeing strong demand, which may increase investor confidence.</v>
      </c>
      <c r="E797" s="122" t="str">
        <f>IFERROR(__xludf.DUMMYFUNCTION("""COMPUTED_VALUE"""),"Positive")</f>
        <v>Positive</v>
      </c>
      <c r="F797" s="122">
        <f>IFERROR(__xludf.DUMMYFUNCTION("""COMPUTED_VALUE"""),0.03)</f>
        <v>0.03</v>
      </c>
      <c r="G797" s="122">
        <f>IFERROR(__xludf.DUMMYFUNCTION("""COMPUTED_VALUE"""),1.0)</f>
        <v>1</v>
      </c>
      <c r="H797" s="122" t="str">
        <f>IFERROR(__xludf.DUMMYFUNCTION("""COMPUTED_VALUE"""),"Active")</f>
        <v>Active</v>
      </c>
    </row>
    <row r="798">
      <c r="A798" s="131">
        <f>IFERROR(__xludf.DUMMYFUNCTION("""COMPUTED_VALUE"""),46175.33126157407)</f>
        <v>46175.33126</v>
      </c>
      <c r="B798" s="122" t="str">
        <f>IFERROR(__xludf.DUMMYFUNCTION("""COMPUTED_VALUE"""),"MOVI")</f>
        <v>MOVI</v>
      </c>
      <c r="C798" s="122" t="str">
        <f>IFERROR(__xludf.DUMMYFUNCTION("""COMPUTED_VALUE"""),"MovieBox sees uncertain trading as investors react to mixed signals.")</f>
        <v>MovieBox sees uncertain trading as investors react to mixed signals.</v>
      </c>
      <c r="D798" s="122" t="str">
        <f>IFERROR(__xludf.DUMMYFUNCTION("""COMPUTED_VALUE"""),"MovieBox may experience larger price swings as investors disagree on direction.")</f>
        <v>MovieBox may experience larger price swings as investors disagree on direction.</v>
      </c>
      <c r="E798" s="122" t="str">
        <f>IFERROR(__xludf.DUMMYFUNCTION("""COMPUTED_VALUE"""),"Mixed")</f>
        <v>Mixed</v>
      </c>
      <c r="F798" s="122">
        <f>IFERROR(__xludf.DUMMYFUNCTION("""COMPUTED_VALUE"""),-0.015367757135847197)</f>
        <v>-0.01536775714</v>
      </c>
      <c r="G798" s="122">
        <f>IFERROR(__xludf.DUMMYFUNCTION("""COMPUTED_VALUE"""),1.5)</f>
        <v>1.5</v>
      </c>
      <c r="H798" s="122" t="str">
        <f>IFERROR(__xludf.DUMMYFUNCTION("""COMPUTED_VALUE"""),"Active")</f>
        <v>Active</v>
      </c>
    </row>
    <row r="799">
      <c r="A799" s="131">
        <f>IFERROR(__xludf.DUMMYFUNCTION("""COMPUTED_VALUE"""),46175.33127314815)</f>
        <v>46175.33127</v>
      </c>
      <c r="B799" s="122" t="str">
        <f>IFERROR(__xludf.DUMMYFUNCTION("""COMPUTED_VALUE"""),"MUSC")</f>
        <v>MUSC</v>
      </c>
      <c r="C799" s="122" t="str">
        <f>IFERROR(__xludf.DUMMYFUNCTION("""COMPUTED_VALUE"""),"MusicWave faces weaker demand and cautious investor sentiment.")</f>
        <v>MusicWave faces weaker demand and cautious investor sentiment.</v>
      </c>
      <c r="D799" s="122" t="str">
        <f>IFERROR(__xludf.DUMMYFUNCTION("""COMPUTED_VALUE"""),"Investors are watching MusicWave closely as demand weakens.")</f>
        <v>Investors are watching MusicWave closely as demand weakens.</v>
      </c>
      <c r="E799" s="122" t="str">
        <f>IFERROR(__xludf.DUMMYFUNCTION("""COMPUTED_VALUE"""),"Negative")</f>
        <v>Negative</v>
      </c>
      <c r="F799" s="122">
        <f>IFERROR(__xludf.DUMMYFUNCTION("""COMPUTED_VALUE"""),-0.015)</f>
        <v>-0.015</v>
      </c>
      <c r="G799" s="122">
        <f>IFERROR(__xludf.DUMMYFUNCTION("""COMPUTED_VALUE"""),0.75)</f>
        <v>0.75</v>
      </c>
      <c r="H799" s="122" t="str">
        <f>IFERROR(__xludf.DUMMYFUNCTION("""COMPUTED_VALUE"""),"Active")</f>
        <v>Active</v>
      </c>
    </row>
    <row r="800">
      <c r="A800" s="131">
        <f>IFERROR(__xludf.DUMMYFUNCTION("""COMPUTED_VALUE"""),46175.33127314815)</f>
        <v>46175.33127</v>
      </c>
      <c r="B800" s="122" t="str">
        <f>IFERROR(__xludf.DUMMYFUNCTION("""COMPUTED_VALUE"""),"IDOL")</f>
        <v>IDOL</v>
      </c>
      <c r="C800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800" s="122" t="str">
        <f>IFERROR(__xludf.DUMMYFUNCTION("""COMPUTED_VALUE"""),"Idol Agency appears steady with no major changes reported.")</f>
        <v>Idol Agency appears steady with no major changes reported.</v>
      </c>
      <c r="E800" s="122" t="str">
        <f>IFERROR(__xludf.DUMMYFUNCTION("""COMPUTED_VALUE"""),"Neutral")</f>
        <v>Neutral</v>
      </c>
      <c r="F800" s="122">
        <f>IFERROR(__xludf.DUMMYFUNCTION("""COMPUTED_VALUE"""),0.0)</f>
        <v>0</v>
      </c>
      <c r="G800" s="122">
        <f>IFERROR(__xludf.DUMMYFUNCTION("""COMPUTED_VALUE"""),0.0)</f>
        <v>0</v>
      </c>
      <c r="H800" s="122" t="str">
        <f>IFERROR(__xludf.DUMMYFUNCTION("""COMPUTED_VALUE"""),"Active")</f>
        <v>Active</v>
      </c>
    </row>
    <row r="801">
      <c r="A801" s="131">
        <f>IFERROR(__xludf.DUMMYFUNCTION("""COMPUTED_VALUE"""),46175.33128472222)</f>
        <v>46175.33128</v>
      </c>
      <c r="B801" s="122" t="str">
        <f>IFERROR(__xludf.DUMMYFUNCTION("""COMPUTED_VALUE"""),"MEME")</f>
        <v>MEME</v>
      </c>
      <c r="C801" s="122" t="str">
        <f>IFERROR(__xludf.DUMMYFUNCTION("""COMPUTED_VALUE"""),"Meme Media reports steady growth and improved market confidence.")</f>
        <v>Meme Media reports steady growth and improved market confidence.</v>
      </c>
      <c r="D801" s="122" t="str">
        <f>IFERROR(__xludf.DUMMYFUNCTION("""COMPUTED_VALUE"""),"Meme Media continues to show positive momentum with moderate risk.")</f>
        <v>Meme Media continues to show positive momentum with moderate risk.</v>
      </c>
      <c r="E801" s="122" t="str">
        <f>IFERROR(__xludf.DUMMYFUNCTION("""COMPUTED_VALUE"""),"Positive")</f>
        <v>Positive</v>
      </c>
      <c r="F801" s="122">
        <f>IFERROR(__xludf.DUMMYFUNCTION("""COMPUTED_VALUE"""),0.015)</f>
        <v>0.015</v>
      </c>
      <c r="G801" s="122">
        <f>IFERROR(__xludf.DUMMYFUNCTION("""COMPUTED_VALUE"""),0.5)</f>
        <v>0.5</v>
      </c>
      <c r="H801" s="122" t="str">
        <f>IFERROR(__xludf.DUMMYFUNCTION("""COMPUTED_VALUE"""),"Active")</f>
        <v>Active</v>
      </c>
    </row>
    <row r="802">
      <c r="A802" s="131">
        <f>IFERROR(__xludf.DUMMYFUNCTION("""COMPUTED_VALUE"""),46175.331296296295)</f>
        <v>46175.3313</v>
      </c>
      <c r="B802" s="122" t="str">
        <f>IFERROR(__xludf.DUMMYFUNCTION("""COMPUTED_VALUE"""),"STRM")</f>
        <v>STRM</v>
      </c>
      <c r="C802" s="122" t="str">
        <f>IFERROR(__xludf.DUMMYFUNCTION("""COMPUTED_VALUE"""),"Streamly reports steady growth and improved market confidence.")</f>
        <v>Streamly reports steady growth and improved market confidence.</v>
      </c>
      <c r="D802" s="122" t="str">
        <f>IFERROR(__xludf.DUMMYFUNCTION("""COMPUTED_VALUE"""),"Streamly continues to show positive momentum with moderate risk.")</f>
        <v>Streamly continues to show positive momentum with moderate risk.</v>
      </c>
      <c r="E802" s="122" t="str">
        <f>IFERROR(__xludf.DUMMYFUNCTION("""COMPUTED_VALUE"""),"Positive")</f>
        <v>Positive</v>
      </c>
      <c r="F802" s="122">
        <f>IFERROR(__xludf.DUMMYFUNCTION("""COMPUTED_VALUE"""),0.015)</f>
        <v>0.015</v>
      </c>
      <c r="G802" s="122">
        <f>IFERROR(__xludf.DUMMYFUNCTION("""COMPUTED_VALUE"""),0.5)</f>
        <v>0.5</v>
      </c>
      <c r="H802" s="122" t="str">
        <f>IFERROR(__xludf.DUMMYFUNCTION("""COMPUTED_VALUE"""),"Active")</f>
        <v>Active</v>
      </c>
    </row>
    <row r="803">
      <c r="A803" s="131">
        <f>IFERROR(__xludf.DUMMYFUNCTION("""COMPUTED_VALUE"""),46175.331296296295)</f>
        <v>46175.3313</v>
      </c>
      <c r="B803" s="122" t="str">
        <f>IFERROR(__xludf.DUMMYFUNCTION("""COMPUTED_VALUE"""),"FARM")</f>
        <v>FARM</v>
      </c>
      <c r="C803" s="122" t="str">
        <f>IFERROR(__xludf.DUMMYFUNCTION("""COMPUTED_VALUE"""),"Future Farms reports steady growth and improved market confidence.")</f>
        <v>Future Farms reports steady growth and improved market confidence.</v>
      </c>
      <c r="D803" s="122" t="str">
        <f>IFERROR(__xludf.DUMMYFUNCTION("""COMPUTED_VALUE"""),"Future Farms continues to show positive momentum with moderate risk.")</f>
        <v>Future Farms continues to show positive momentum with moderate risk.</v>
      </c>
      <c r="E803" s="122" t="str">
        <f>IFERROR(__xludf.DUMMYFUNCTION("""COMPUTED_VALUE"""),"Positive")</f>
        <v>Positive</v>
      </c>
      <c r="F803" s="122">
        <f>IFERROR(__xludf.DUMMYFUNCTION("""COMPUTED_VALUE"""),0.015)</f>
        <v>0.015</v>
      </c>
      <c r="G803" s="122">
        <f>IFERROR(__xludf.DUMMYFUNCTION("""COMPUTED_VALUE"""),0.5)</f>
        <v>0.5</v>
      </c>
      <c r="H803" s="122" t="str">
        <f>IFERROR(__xludf.DUMMYFUNCTION("""COMPUTED_VALUE"""),"Active")</f>
        <v>Active</v>
      </c>
    </row>
    <row r="804">
      <c r="A804" s="131">
        <f>IFERROR(__xludf.DUMMYFUNCTION("""COMPUTED_VALUE"""),46175.33130787037)</f>
        <v>46175.33131</v>
      </c>
      <c r="B804" s="122" t="str">
        <f>IFERROR(__xludf.DUMMYFUNCTION("""COMPUTED_VALUE"""),"MEAT")</f>
        <v>MEAT</v>
      </c>
      <c r="C804" s="122" t="str">
        <f>IFERROR(__xludf.DUMMYFUNCTION("""COMPUTED_VALUE"""),"MeatWorks reports steady growth and improved market confidence.")</f>
        <v>MeatWorks reports steady growth and improved market confidence.</v>
      </c>
      <c r="D804" s="122" t="str">
        <f>IFERROR(__xludf.DUMMYFUNCTION("""COMPUTED_VALUE"""),"MeatWorks continues to show positive momentum with moderate risk.")</f>
        <v>MeatWorks continues to show positive momentum with moderate risk.</v>
      </c>
      <c r="E804" s="122" t="str">
        <f>IFERROR(__xludf.DUMMYFUNCTION("""COMPUTED_VALUE"""),"Positive")</f>
        <v>Positive</v>
      </c>
      <c r="F804" s="122">
        <f>IFERROR(__xludf.DUMMYFUNCTION("""COMPUTED_VALUE"""),0.015)</f>
        <v>0.015</v>
      </c>
      <c r="G804" s="122">
        <f>IFERROR(__xludf.DUMMYFUNCTION("""COMPUTED_VALUE"""),0.5)</f>
        <v>0.5</v>
      </c>
      <c r="H804" s="122" t="str">
        <f>IFERROR(__xludf.DUMMYFUNCTION("""COMPUTED_VALUE"""),"Active")</f>
        <v>Active</v>
      </c>
    </row>
    <row r="805">
      <c r="A805" s="131">
        <f>IFERROR(__xludf.DUMMYFUNCTION("""COMPUTED_VALUE"""),46175.33130787037)</f>
        <v>46175.33131</v>
      </c>
      <c r="B805" s="122" t="str">
        <f>IFERROR(__xludf.DUMMYFUNCTION("""COMPUTED_VALUE"""),"VEGI")</f>
        <v>VEGI</v>
      </c>
      <c r="C805" s="122" t="str">
        <f>IFERROR(__xludf.DUMMYFUNCTION("""COMPUTED_VALUE"""),"Green Basket sees uncertain trading as investors react to mixed signals.")</f>
        <v>Green Basket sees uncertain trading as investors react to mixed signals.</v>
      </c>
      <c r="D805" s="122" t="str">
        <f>IFERROR(__xludf.DUMMYFUNCTION("""COMPUTED_VALUE"""),"Green Basket may experience larger price swings as investors disagree on direction.")</f>
        <v>Green Basket may experience larger price swings as investors disagree on direction.</v>
      </c>
      <c r="E805" s="122" t="str">
        <f>IFERROR(__xludf.DUMMYFUNCTION("""COMPUTED_VALUE"""),"Mixed")</f>
        <v>Mixed</v>
      </c>
      <c r="F805" s="122">
        <f>IFERROR(__xludf.DUMMYFUNCTION("""COMPUTED_VALUE"""),-0.0069652916046434536)</f>
        <v>-0.006965291605</v>
      </c>
      <c r="G805" s="122">
        <f>IFERROR(__xludf.DUMMYFUNCTION("""COMPUTED_VALUE"""),1.5)</f>
        <v>1.5</v>
      </c>
      <c r="H805" s="122" t="str">
        <f>IFERROR(__xludf.DUMMYFUNCTION("""COMPUTED_VALUE"""),"Active")</f>
        <v>Active</v>
      </c>
    </row>
    <row r="806">
      <c r="A806" s="131">
        <f>IFERROR(__xludf.DUMMYFUNCTION("""COMPUTED_VALUE"""),46175.33131944444)</f>
        <v>46175.33132</v>
      </c>
      <c r="B806" s="122" t="str">
        <f>IFERROR(__xludf.DUMMYFUNCTION("""COMPUTED_VALUE"""),"CAFE")</f>
        <v>CAFE</v>
      </c>
      <c r="C806" s="122" t="str">
        <f>IFERROR(__xludf.DUMMYFUNCTION("""COMPUTED_VALUE"""),"Cafe Cloud remains stable as the Food market shows normal activity.")</f>
        <v>Cafe Cloud remains stable as the Food market shows normal activity.</v>
      </c>
      <c r="D806" s="122" t="str">
        <f>IFERROR(__xludf.DUMMYFUNCTION("""COMPUTED_VALUE"""),"Cafe Cloud appears steady with no major changes reported.")</f>
        <v>Cafe Cloud appears steady with no major changes reported.</v>
      </c>
      <c r="E806" s="122" t="str">
        <f>IFERROR(__xludf.DUMMYFUNCTION("""COMPUTED_VALUE"""),"Neutral")</f>
        <v>Neutral</v>
      </c>
      <c r="F806" s="122">
        <f>IFERROR(__xludf.DUMMYFUNCTION("""COMPUTED_VALUE"""),0.0)</f>
        <v>0</v>
      </c>
      <c r="G806" s="122">
        <f>IFERROR(__xludf.DUMMYFUNCTION("""COMPUTED_VALUE"""),0.0)</f>
        <v>0</v>
      </c>
      <c r="H806" s="122" t="str">
        <f>IFERROR(__xludf.DUMMYFUNCTION("""COMPUTED_VALUE"""),"Active")</f>
        <v>Active</v>
      </c>
    </row>
    <row r="807">
      <c r="A807" s="131">
        <f>IFERROR(__xludf.DUMMYFUNCTION("""COMPUTED_VALUE"""),46175.33133101852)</f>
        <v>46175.33133</v>
      </c>
      <c r="B807" s="122" t="str">
        <f>IFERROR(__xludf.DUMMYFUNCTION("""COMPUTED_VALUE"""),"BAKE")</f>
        <v>BAKE</v>
      </c>
      <c r="C807" s="122" t="str">
        <f>IFERROR(__xludf.DUMMYFUNCTION("""COMPUTED_VALUE"""),"BakeHouse remains stable as the Food market shows normal activity.")</f>
        <v>BakeHouse remains stable as the Food market shows normal activity.</v>
      </c>
      <c r="D807" s="122" t="str">
        <f>IFERROR(__xludf.DUMMYFUNCTION("""COMPUTED_VALUE"""),"BakeHouse appears steady with no major changes reported.")</f>
        <v>BakeHouse appears steady with no major changes reported.</v>
      </c>
      <c r="E807" s="122" t="str">
        <f>IFERROR(__xludf.DUMMYFUNCTION("""COMPUTED_VALUE"""),"Neutral")</f>
        <v>Neutral</v>
      </c>
      <c r="F807" s="122">
        <f>IFERROR(__xludf.DUMMYFUNCTION("""COMPUTED_VALUE"""),0.0)</f>
        <v>0</v>
      </c>
      <c r="G807" s="122">
        <f>IFERROR(__xludf.DUMMYFUNCTION("""COMPUTED_VALUE"""),0.0)</f>
        <v>0</v>
      </c>
      <c r="H807" s="122" t="str">
        <f>IFERROR(__xludf.DUMMYFUNCTION("""COMPUTED_VALUE"""),"Active")</f>
        <v>Active</v>
      </c>
    </row>
    <row r="808">
      <c r="A808" s="131">
        <f>IFERROR(__xludf.DUMMYFUNCTION("""COMPUTED_VALUE"""),46175.331342592595)</f>
        <v>46175.33134</v>
      </c>
      <c r="B808" s="122" t="str">
        <f>IFERROR(__xludf.DUMMYFUNCTION("""COMPUTED_VALUE"""),"OILX")</f>
        <v>OILX</v>
      </c>
      <c r="C808" s="122" t="str">
        <f>IFERROR(__xludf.DUMMYFUNCTION("""COMPUTED_VALUE"""),"OilMax Energy faces weaker demand and cautious investor sentiment.")</f>
        <v>OilMax Energy faces weaker demand and cautious investor sentiment.</v>
      </c>
      <c r="D808" s="122" t="str">
        <f>IFERROR(__xludf.DUMMYFUNCTION("""COMPUTED_VALUE"""),"Investors are watching OilMax Energy closely as demand weakens.")</f>
        <v>Investors are watching OilMax Energy closely as demand weakens.</v>
      </c>
      <c r="E808" s="122" t="str">
        <f>IFERROR(__xludf.DUMMYFUNCTION("""COMPUTED_VALUE"""),"Negative")</f>
        <v>Negative</v>
      </c>
      <c r="F808" s="122">
        <f>IFERROR(__xludf.DUMMYFUNCTION("""COMPUTED_VALUE"""),-0.015)</f>
        <v>-0.015</v>
      </c>
      <c r="G808" s="122">
        <f>IFERROR(__xludf.DUMMYFUNCTION("""COMPUTED_VALUE"""),0.75)</f>
        <v>0.75</v>
      </c>
      <c r="H808" s="122" t="str">
        <f>IFERROR(__xludf.DUMMYFUNCTION("""COMPUTED_VALUE"""),"Active")</f>
        <v>Active</v>
      </c>
    </row>
    <row r="809">
      <c r="A809" s="131">
        <f>IFERROR(__xludf.DUMMYFUNCTION("""COMPUTED_VALUE"""),46175.331354166665)</f>
        <v>46175.33135</v>
      </c>
      <c r="B809" s="122" t="str">
        <f>IFERROR(__xludf.DUMMYFUNCTION("""COMPUTED_VALUE"""),"SOLR")</f>
        <v>SOLR</v>
      </c>
      <c r="C809" s="122" t="str">
        <f>IFERROR(__xludf.DUMMYFUNCTION("""COMPUTED_VALUE"""),"SolarSpark surges as demand rises across the Energy sector.")</f>
        <v>SolarSpark surges as demand rises across the Energy sector.</v>
      </c>
      <c r="D809" s="122" t="str">
        <f>IFERROR(__xludf.DUMMYFUNCTION("""COMPUTED_VALUE"""),"SolarSpark is seeing strong demand, which may increase investor confidence.")</f>
        <v>SolarSpark is seeing strong demand, which may increase investor confidence.</v>
      </c>
      <c r="E809" s="122" t="str">
        <f>IFERROR(__xludf.DUMMYFUNCTION("""COMPUTED_VALUE"""),"Positive")</f>
        <v>Positive</v>
      </c>
      <c r="F809" s="122">
        <f>IFERROR(__xludf.DUMMYFUNCTION("""COMPUTED_VALUE"""),0.03)</f>
        <v>0.03</v>
      </c>
      <c r="G809" s="122">
        <f>IFERROR(__xludf.DUMMYFUNCTION("""COMPUTED_VALUE"""),1.0)</f>
        <v>1</v>
      </c>
      <c r="H809" s="122" t="str">
        <f>IFERROR(__xludf.DUMMYFUNCTION("""COMPUTED_VALUE"""),"Active")</f>
        <v>Active</v>
      </c>
    </row>
    <row r="810">
      <c r="A810" s="131">
        <f>IFERROR(__xludf.DUMMYFUNCTION("""COMPUTED_VALUE"""),46175.33136574074)</f>
        <v>46175.33137</v>
      </c>
      <c r="B810" s="122" t="str">
        <f>IFERROR(__xludf.DUMMYFUNCTION("""COMPUTED_VALUE"""),"BATT")</f>
        <v>BATT</v>
      </c>
      <c r="C810" s="122" t="str">
        <f>IFERROR(__xludf.DUMMYFUNCTION("""COMPUTED_VALUE"""),"BatteryBox reports steady growth and improved market confidence.")</f>
        <v>BatteryBox reports steady growth and improved market confidence.</v>
      </c>
      <c r="D810" s="122" t="str">
        <f>IFERROR(__xludf.DUMMYFUNCTION("""COMPUTED_VALUE"""),"BatteryBox continues to show positive momentum with moderate risk.")</f>
        <v>BatteryBox continues to show positive momentum with moderate risk.</v>
      </c>
      <c r="E810" s="122" t="str">
        <f>IFERROR(__xludf.DUMMYFUNCTION("""COMPUTED_VALUE"""),"Positive")</f>
        <v>Positive</v>
      </c>
      <c r="F810" s="122">
        <f>IFERROR(__xludf.DUMMYFUNCTION("""COMPUTED_VALUE"""),0.015)</f>
        <v>0.015</v>
      </c>
      <c r="G810" s="122">
        <f>IFERROR(__xludf.DUMMYFUNCTION("""COMPUTED_VALUE"""),0.5)</f>
        <v>0.5</v>
      </c>
      <c r="H810" s="122" t="str">
        <f>IFERROR(__xludf.DUMMYFUNCTION("""COMPUTED_VALUE"""),"Active")</f>
        <v>Active</v>
      </c>
    </row>
    <row r="811">
      <c r="A811" s="131">
        <f>IFERROR(__xludf.DUMMYFUNCTION("""COMPUTED_VALUE"""),46175.33136574074)</f>
        <v>46175.33137</v>
      </c>
      <c r="B811" s="122" t="str">
        <f>IFERROR(__xludf.DUMMYFUNCTION("""COMPUTED_VALUE"""),"WIND")</f>
        <v>WIND</v>
      </c>
      <c r="C811" s="122" t="str">
        <f>IFERROR(__xludf.DUMMYFUNCTION("""COMPUTED_VALUE"""),"WindWorks remains stable as the Energy market shows normal activity.")</f>
        <v>WindWorks remains stable as the Energy market shows normal activity.</v>
      </c>
      <c r="D811" s="122" t="str">
        <f>IFERROR(__xludf.DUMMYFUNCTION("""COMPUTED_VALUE"""),"WindWorks appears steady with no major changes reported.")</f>
        <v>WindWorks appears steady with no major changes reported.</v>
      </c>
      <c r="E811" s="122" t="str">
        <f>IFERROR(__xludf.DUMMYFUNCTION("""COMPUTED_VALUE"""),"Neutral")</f>
        <v>Neutral</v>
      </c>
      <c r="F811" s="122">
        <f>IFERROR(__xludf.DUMMYFUNCTION("""COMPUTED_VALUE"""),0.0)</f>
        <v>0</v>
      </c>
      <c r="G811" s="122">
        <f>IFERROR(__xludf.DUMMYFUNCTION("""COMPUTED_VALUE"""),0.0)</f>
        <v>0</v>
      </c>
      <c r="H811" s="122" t="str">
        <f>IFERROR(__xludf.DUMMYFUNCTION("""COMPUTED_VALUE"""),"Active")</f>
        <v>Active</v>
      </c>
    </row>
    <row r="812">
      <c r="A812" s="131">
        <f>IFERROR(__xludf.DUMMYFUNCTION("""COMPUTED_VALUE"""),46175.33137731482)</f>
        <v>46175.33138</v>
      </c>
      <c r="B812" s="122" t="str">
        <f>IFERROR(__xludf.DUMMYFUNCTION("""COMPUTED_VALUE"""),"GRID")</f>
        <v>GRID</v>
      </c>
      <c r="C812" s="122" t="str">
        <f>IFERROR(__xludf.DUMMYFUNCTION("""COMPUTED_VALUE"""),"GridPower faces weaker demand and cautious investor sentiment.")</f>
        <v>GridPower faces weaker demand and cautious investor sentiment.</v>
      </c>
      <c r="D812" s="122" t="str">
        <f>IFERROR(__xludf.DUMMYFUNCTION("""COMPUTED_VALUE"""),"Investors are watching GridPower closely as demand weakens.")</f>
        <v>Investors are watching GridPower closely as demand weakens.</v>
      </c>
      <c r="E812" s="122" t="str">
        <f>IFERROR(__xludf.DUMMYFUNCTION("""COMPUTED_VALUE"""),"Negative")</f>
        <v>Negative</v>
      </c>
      <c r="F812" s="122">
        <f>IFERROR(__xludf.DUMMYFUNCTION("""COMPUTED_VALUE"""),-0.015)</f>
        <v>-0.015</v>
      </c>
      <c r="G812" s="122">
        <f>IFERROR(__xludf.DUMMYFUNCTION("""COMPUTED_VALUE"""),0.75)</f>
        <v>0.75</v>
      </c>
      <c r="H812" s="122" t="str">
        <f>IFERROR(__xludf.DUMMYFUNCTION("""COMPUTED_VALUE"""),"Active")</f>
        <v>Active</v>
      </c>
    </row>
    <row r="813">
      <c r="A813" s="131">
        <f>IFERROR(__xludf.DUMMYFUNCTION("""COMPUTED_VALUE"""),46175.33138888889)</f>
        <v>46175.33139</v>
      </c>
      <c r="B813" s="122" t="str">
        <f>IFERROR(__xludf.DUMMYFUNCTION("""COMPUTED_VALUE"""),"HOME")</f>
        <v>HOME</v>
      </c>
      <c r="C813" s="122" t="str">
        <f>IFERROR(__xludf.DUMMYFUNCTION("""COMPUTED_VALUE"""),"HomeHub faces weaker demand and cautious investor sentiment.")</f>
        <v>HomeHub faces weaker demand and cautious investor sentiment.</v>
      </c>
      <c r="D813" s="122" t="str">
        <f>IFERROR(__xludf.DUMMYFUNCTION("""COMPUTED_VALUE"""),"Investors are watching HomeHub closely as demand weakens.")</f>
        <v>Investors are watching HomeHub closely as demand weakens.</v>
      </c>
      <c r="E813" s="122" t="str">
        <f>IFERROR(__xludf.DUMMYFUNCTION("""COMPUTED_VALUE"""),"Negative")</f>
        <v>Negative</v>
      </c>
      <c r="F813" s="122">
        <f>IFERROR(__xludf.DUMMYFUNCTION("""COMPUTED_VALUE"""),-0.015)</f>
        <v>-0.015</v>
      </c>
      <c r="G813" s="122">
        <f>IFERROR(__xludf.DUMMYFUNCTION("""COMPUTED_VALUE"""),0.75)</f>
        <v>0.75</v>
      </c>
      <c r="H813" s="122" t="str">
        <f>IFERROR(__xludf.DUMMYFUNCTION("""COMPUTED_VALUE"""),"Active")</f>
        <v>Active</v>
      </c>
    </row>
    <row r="814">
      <c r="A814" s="131">
        <f>IFERROR(__xludf.DUMMYFUNCTION("""COMPUTED_VALUE"""),46175.33138888889)</f>
        <v>46175.33139</v>
      </c>
      <c r="B814" s="122" t="str">
        <f>IFERROR(__xludf.DUMMYFUNCTION("""COMPUTED_VALUE"""),"RENT")</f>
        <v>RENT</v>
      </c>
      <c r="C814" s="122" t="str">
        <f>IFERROR(__xludf.DUMMYFUNCTION("""COMPUTED_VALUE"""),"RentRight faces weaker demand and cautious investor sentiment.")</f>
        <v>RentRight faces weaker demand and cautious investor sentiment.</v>
      </c>
      <c r="D814" s="122" t="str">
        <f>IFERROR(__xludf.DUMMYFUNCTION("""COMPUTED_VALUE"""),"Investors are watching RentRight closely as demand weakens.")</f>
        <v>Investors are watching RentRight closely as demand weakens.</v>
      </c>
      <c r="E814" s="122" t="str">
        <f>IFERROR(__xludf.DUMMYFUNCTION("""COMPUTED_VALUE"""),"Negative")</f>
        <v>Negative</v>
      </c>
      <c r="F814" s="122">
        <f>IFERROR(__xludf.DUMMYFUNCTION("""COMPUTED_VALUE"""),-0.015)</f>
        <v>-0.015</v>
      </c>
      <c r="G814" s="122">
        <f>IFERROR(__xludf.DUMMYFUNCTION("""COMPUTED_VALUE"""),0.75)</f>
        <v>0.75</v>
      </c>
      <c r="H814" s="122" t="str">
        <f>IFERROR(__xludf.DUMMYFUNCTION("""COMPUTED_VALUE"""),"Active")</f>
        <v>Active</v>
      </c>
    </row>
    <row r="815">
      <c r="A815" s="131">
        <f>IFERROR(__xludf.DUMMYFUNCTION("""COMPUTED_VALUE"""),46175.331400462965)</f>
        <v>46175.3314</v>
      </c>
      <c r="B815" s="122" t="str">
        <f>IFERROR(__xludf.DUMMYFUNCTION("""COMPUTED_VALUE"""),"MALL")</f>
        <v>MALL</v>
      </c>
      <c r="C815" s="122" t="str">
        <f>IFERROR(__xludf.DUMMYFUNCTION("""COMPUTED_VALUE"""),"MegaMall faces weaker demand and cautious investor sentiment.")</f>
        <v>MegaMall faces weaker demand and cautious investor sentiment.</v>
      </c>
      <c r="D815" s="122" t="str">
        <f>IFERROR(__xludf.DUMMYFUNCTION("""COMPUTED_VALUE"""),"Investors are watching MegaMall closely as demand weakens.")</f>
        <v>Investors are watching MegaMall closely as demand weakens.</v>
      </c>
      <c r="E815" s="122" t="str">
        <f>IFERROR(__xludf.DUMMYFUNCTION("""COMPUTED_VALUE"""),"Negative")</f>
        <v>Negative</v>
      </c>
      <c r="F815" s="122">
        <f>IFERROR(__xludf.DUMMYFUNCTION("""COMPUTED_VALUE"""),-0.015)</f>
        <v>-0.015</v>
      </c>
      <c r="G815" s="122">
        <f>IFERROR(__xludf.DUMMYFUNCTION("""COMPUTED_VALUE"""),0.75)</f>
        <v>0.75</v>
      </c>
      <c r="H815" s="122" t="str">
        <f>IFERROR(__xludf.DUMMYFUNCTION("""COMPUTED_VALUE"""),"Active")</f>
        <v>Active</v>
      </c>
    </row>
    <row r="816">
      <c r="A816" s="131">
        <f>IFERROR(__xludf.DUMMYFUNCTION("""COMPUTED_VALUE"""),46175.331412037034)</f>
        <v>46175.33141</v>
      </c>
      <c r="B816" s="122" t="str">
        <f>IFERROR(__xludf.DUMMYFUNCTION("""COMPUTED_VALUE"""),"HOTL")</f>
        <v>HOTL</v>
      </c>
      <c r="C816" s="122" t="str">
        <f>IFERROR(__xludf.DUMMYFUNCTION("""COMPUTED_VALUE"""),"HotelHive remains stable as the Real Estate market shows normal activity.")</f>
        <v>HotelHive remains stable as the Real Estate market shows normal activity.</v>
      </c>
      <c r="D816" s="122" t="str">
        <f>IFERROR(__xludf.DUMMYFUNCTION("""COMPUTED_VALUE"""),"HotelHive appears steady with no major changes reported.")</f>
        <v>HotelHive appears steady with no major changes reported.</v>
      </c>
      <c r="E816" s="122" t="str">
        <f>IFERROR(__xludf.DUMMYFUNCTION("""COMPUTED_VALUE"""),"Neutral")</f>
        <v>Neutral</v>
      </c>
      <c r="F816" s="122">
        <f>IFERROR(__xludf.DUMMYFUNCTION("""COMPUTED_VALUE"""),0.0)</f>
        <v>0</v>
      </c>
      <c r="G816" s="122">
        <f>IFERROR(__xludf.DUMMYFUNCTION("""COMPUTED_VALUE"""),0.0)</f>
        <v>0</v>
      </c>
      <c r="H816" s="122" t="str">
        <f>IFERROR(__xludf.DUMMYFUNCTION("""COMPUTED_VALUE"""),"Active")</f>
        <v>Active</v>
      </c>
    </row>
    <row r="817">
      <c r="A817" s="131">
        <f>IFERROR(__xludf.DUMMYFUNCTION("""COMPUTED_VALUE"""),46175.331412037034)</f>
        <v>46175.33141</v>
      </c>
      <c r="B817" s="122" t="str">
        <f>IFERROR(__xludf.DUMMYFUNCTION("""COMPUTED_VALUE"""),"LAND")</f>
        <v>LAND</v>
      </c>
      <c r="C817" s="122" t="str">
        <f>IFERROR(__xludf.DUMMYFUNCTION("""COMPUTED_VALUE"""),"LandLink faces weaker demand and cautious investor sentiment.")</f>
        <v>LandLink faces weaker demand and cautious investor sentiment.</v>
      </c>
      <c r="D817" s="122" t="str">
        <f>IFERROR(__xludf.DUMMYFUNCTION("""COMPUTED_VALUE"""),"Investors are watching LandLink closely as demand weakens.")</f>
        <v>Investors are watching LandLink closely as demand weakens.</v>
      </c>
      <c r="E817" s="122" t="str">
        <f>IFERROR(__xludf.DUMMYFUNCTION("""COMPUTED_VALUE"""),"Negative")</f>
        <v>Negative</v>
      </c>
      <c r="F817" s="122">
        <f>IFERROR(__xludf.DUMMYFUNCTION("""COMPUTED_VALUE"""),-0.015)</f>
        <v>-0.015</v>
      </c>
      <c r="G817" s="122">
        <f>IFERROR(__xludf.DUMMYFUNCTION("""COMPUTED_VALUE"""),0.75)</f>
        <v>0.75</v>
      </c>
      <c r="H817" s="122" t="str">
        <f>IFERROR(__xludf.DUMMYFUNCTION("""COMPUTED_VALUE"""),"Active")</f>
        <v>Active</v>
      </c>
    </row>
    <row r="818">
      <c r="A818" s="131">
        <f>IFERROR(__xludf.DUMMYFUNCTION("""COMPUTED_VALUE"""),46175.33142361111)</f>
        <v>46175.33142</v>
      </c>
      <c r="B818" s="122" t="str">
        <f>IFERROR(__xludf.DUMMYFUNCTION("""COMPUTED_VALUE"""),"CARS")</f>
        <v>CARS</v>
      </c>
      <c r="C818" s="122" t="str">
        <f>IFERROR(__xludf.DUMMYFUNCTION("""COMPUTED_VALUE"""),"AutoArena remains stable as the Automotive market shows normal activity.")</f>
        <v>AutoArena remains stable as the Automotive market shows normal activity.</v>
      </c>
      <c r="D818" s="122" t="str">
        <f>IFERROR(__xludf.DUMMYFUNCTION("""COMPUTED_VALUE"""),"AutoArena appears steady with no major changes reported.")</f>
        <v>AutoArena appears steady with no major changes reported.</v>
      </c>
      <c r="E818" s="122" t="str">
        <f>IFERROR(__xludf.DUMMYFUNCTION("""COMPUTED_VALUE"""),"Neutral")</f>
        <v>Neutral</v>
      </c>
      <c r="F818" s="122">
        <f>IFERROR(__xludf.DUMMYFUNCTION("""COMPUTED_VALUE"""),0.0)</f>
        <v>0</v>
      </c>
      <c r="G818" s="122">
        <f>IFERROR(__xludf.DUMMYFUNCTION("""COMPUTED_VALUE"""),0.0)</f>
        <v>0</v>
      </c>
      <c r="H818" s="122" t="str">
        <f>IFERROR(__xludf.DUMMYFUNCTION("""COMPUTED_VALUE"""),"Active")</f>
        <v>Active</v>
      </c>
    </row>
    <row r="819">
      <c r="A819" s="131">
        <f>IFERROR(__xludf.DUMMYFUNCTION("""COMPUTED_VALUE"""),46175.33142361111)</f>
        <v>46175.33142</v>
      </c>
      <c r="B819" s="122" t="str">
        <f>IFERROR(__xludf.DUMMYFUNCTION("""COMPUTED_VALUE"""),"EVGO")</f>
        <v>EVGO</v>
      </c>
      <c r="C819" s="122" t="str">
        <f>IFERROR(__xludf.DUMMYFUNCTION("""COMPUTED_VALUE"""),"EVGo Motors faces weaker demand and cautious investor sentiment.")</f>
        <v>EVGo Motors faces weaker demand and cautious investor sentiment.</v>
      </c>
      <c r="D819" s="122" t="str">
        <f>IFERROR(__xludf.DUMMYFUNCTION("""COMPUTED_VALUE"""),"Investors are watching EVGo Motors closely as demand weakens.")</f>
        <v>Investors are watching EVGo Motors closely as demand weakens.</v>
      </c>
      <c r="E819" s="122" t="str">
        <f>IFERROR(__xludf.DUMMYFUNCTION("""COMPUTED_VALUE"""),"Negative")</f>
        <v>Negative</v>
      </c>
      <c r="F819" s="122">
        <f>IFERROR(__xludf.DUMMYFUNCTION("""COMPUTED_VALUE"""),-0.015)</f>
        <v>-0.015</v>
      </c>
      <c r="G819" s="122">
        <f>IFERROR(__xludf.DUMMYFUNCTION("""COMPUTED_VALUE"""),0.75)</f>
        <v>0.75</v>
      </c>
      <c r="H819" s="122" t="str">
        <f>IFERROR(__xludf.DUMMYFUNCTION("""COMPUTED_VALUE"""),"Active")</f>
        <v>Active</v>
      </c>
    </row>
    <row r="820">
      <c r="A820" s="131">
        <f>IFERROR(__xludf.DUMMYFUNCTION("""COMPUTED_VALUE"""),46175.33143518519)</f>
        <v>46175.33144</v>
      </c>
      <c r="B820" s="122" t="str">
        <f>IFERROR(__xludf.DUMMYFUNCTION("""COMPUTED_VALUE"""),"TIRE")</f>
        <v>TIRE</v>
      </c>
      <c r="C820" s="122" t="str">
        <f>IFERROR(__xludf.DUMMYFUNCTION("""COMPUTED_VALUE"""),"TireTown reports steady growth and improved market confidence.")</f>
        <v>TireTown reports steady growth and improved market confidence.</v>
      </c>
      <c r="D820" s="122" t="str">
        <f>IFERROR(__xludf.DUMMYFUNCTION("""COMPUTED_VALUE"""),"TireTown continues to show positive momentum with moderate risk.")</f>
        <v>TireTown continues to show positive momentum with moderate risk.</v>
      </c>
      <c r="E820" s="122" t="str">
        <f>IFERROR(__xludf.DUMMYFUNCTION("""COMPUTED_VALUE"""),"Positive")</f>
        <v>Positive</v>
      </c>
      <c r="F820" s="122">
        <f>IFERROR(__xludf.DUMMYFUNCTION("""COMPUTED_VALUE"""),0.015)</f>
        <v>0.015</v>
      </c>
      <c r="G820" s="122">
        <f>IFERROR(__xludf.DUMMYFUNCTION("""COMPUTED_VALUE"""),0.5)</f>
        <v>0.5</v>
      </c>
      <c r="H820" s="122" t="str">
        <f>IFERROR(__xludf.DUMMYFUNCTION("""COMPUTED_VALUE"""),"Active")</f>
        <v>Active</v>
      </c>
    </row>
    <row r="821">
      <c r="A821" s="131">
        <f>IFERROR(__xludf.DUMMYFUNCTION("""COMPUTED_VALUE"""),46175.33143518519)</f>
        <v>46175.33144</v>
      </c>
      <c r="B821" s="122" t="str">
        <f>IFERROR(__xludf.DUMMYFUNCTION("""COMPUTED_VALUE"""),"BIKE")</f>
        <v>BIKE</v>
      </c>
      <c r="C821" s="122" t="str">
        <f>IFERROR(__xludf.DUMMYFUNCTION("""COMPUTED_VALUE"""),"BikeBox reports steady growth and improved market confidence.")</f>
        <v>BikeBox reports steady growth and improved market confidence.</v>
      </c>
      <c r="D821" s="122" t="str">
        <f>IFERROR(__xludf.DUMMYFUNCTION("""COMPUTED_VALUE"""),"BikeBox continues to show positive momentum with moderate risk.")</f>
        <v>BikeBox continues to show positive momentum with moderate risk.</v>
      </c>
      <c r="E821" s="122" t="str">
        <f>IFERROR(__xludf.DUMMYFUNCTION("""COMPUTED_VALUE"""),"Positive")</f>
        <v>Positive</v>
      </c>
      <c r="F821" s="122">
        <f>IFERROR(__xludf.DUMMYFUNCTION("""COMPUTED_VALUE"""),0.015)</f>
        <v>0.015</v>
      </c>
      <c r="G821" s="122">
        <f>IFERROR(__xludf.DUMMYFUNCTION("""COMPUTED_VALUE"""),0.5)</f>
        <v>0.5</v>
      </c>
      <c r="H821" s="122" t="str">
        <f>IFERROR(__xludf.DUMMYFUNCTION("""COMPUTED_VALUE"""),"Active")</f>
        <v>Active</v>
      </c>
    </row>
    <row r="822">
      <c r="A822" s="131">
        <f>IFERROR(__xludf.DUMMYFUNCTION("""COMPUTED_VALUE"""),46175.33144675926)</f>
        <v>46175.33145</v>
      </c>
      <c r="B822" s="122" t="str">
        <f>IFERROR(__xludf.DUMMYFUNCTION("""COMPUTED_VALUE"""),"WASH")</f>
        <v>WASH</v>
      </c>
      <c r="C822" s="122" t="str">
        <f>IFERROR(__xludf.DUMMYFUNCTION("""COMPUTED_VALUE"""),"CarWash Co reports steady growth and improved market confidence.")</f>
        <v>CarWash Co reports steady growth and improved market confidence.</v>
      </c>
      <c r="D822" s="122" t="str">
        <f>IFERROR(__xludf.DUMMYFUNCTION("""COMPUTED_VALUE"""),"CarWash Co continues to show positive momentum with moderate risk.")</f>
        <v>CarWash Co continues to show positive momentum with moderate risk.</v>
      </c>
      <c r="E822" s="122" t="str">
        <f>IFERROR(__xludf.DUMMYFUNCTION("""COMPUTED_VALUE"""),"Positive")</f>
        <v>Positive</v>
      </c>
      <c r="F822" s="122">
        <f>IFERROR(__xludf.DUMMYFUNCTION("""COMPUTED_VALUE"""),0.015)</f>
        <v>0.015</v>
      </c>
      <c r="G822" s="122">
        <f>IFERROR(__xludf.DUMMYFUNCTION("""COMPUTED_VALUE"""),0.5)</f>
        <v>0.5</v>
      </c>
      <c r="H822" s="122" t="str">
        <f>IFERROR(__xludf.DUMMYFUNCTION("""COMPUTED_VALUE"""),"Active")</f>
        <v>Active</v>
      </c>
    </row>
    <row r="823">
      <c r="A823" s="131">
        <f>IFERROR(__xludf.DUMMYFUNCTION("""COMPUTED_VALUE"""),46175.33144675926)</f>
        <v>46175.33145</v>
      </c>
      <c r="B823" s="122" t="str">
        <f>IFERROR(__xludf.DUMMYFUNCTION("""COMPUTED_VALUE"""),"GBND")</f>
        <v>GBND</v>
      </c>
      <c r="C823" s="122" t="str">
        <f>IFERROR(__xludf.DUMMYFUNCTION("""COMPUTED_VALUE"""),"Classroom Government Bond remains steady as investors seek stability.")</f>
        <v>Classroom Government Bond remains steady as investors seek stability.</v>
      </c>
      <c r="D823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823" s="122" t="str">
        <f>IFERROR(__xludf.DUMMYFUNCTION("""COMPUTED_VALUE"""),"Neutral")</f>
        <v>Neutral</v>
      </c>
      <c r="F823" s="122">
        <f>IFERROR(__xludf.DUMMYFUNCTION("""COMPUTED_VALUE"""),0.0)</f>
        <v>0</v>
      </c>
      <c r="G823" s="122">
        <f>IFERROR(__xludf.DUMMYFUNCTION("""COMPUTED_VALUE"""),0.0)</f>
        <v>0</v>
      </c>
      <c r="H823" s="122" t="str">
        <f>IFERROR(__xludf.DUMMYFUNCTION("""COMPUTED_VALUE"""),"Active")</f>
        <v>Active</v>
      </c>
    </row>
    <row r="824">
      <c r="A824" s="131">
        <f>IFERROR(__xludf.DUMMYFUNCTION("""COMPUTED_VALUE"""),46175.331458333334)</f>
        <v>46175.33146</v>
      </c>
      <c r="B824" s="122" t="str">
        <f>IFERROR(__xludf.DUMMYFUNCTION("""COMPUTED_VALUE"""),"SBND")</f>
        <v>SBND</v>
      </c>
      <c r="C824" s="122" t="str">
        <f>IFERROR(__xludf.DUMMYFUNCTION("""COMPUTED_VALUE"""),"School Savings Bond remains steady as investors seek stability.")</f>
        <v>School Savings Bond remains steady as investors seek stability.</v>
      </c>
      <c r="D824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824" s="122" t="str">
        <f>IFERROR(__xludf.DUMMYFUNCTION("""COMPUTED_VALUE"""),"Neutral")</f>
        <v>Neutral</v>
      </c>
      <c r="F824" s="122">
        <f>IFERROR(__xludf.DUMMYFUNCTION("""COMPUTED_VALUE"""),0.0)</f>
        <v>0</v>
      </c>
      <c r="G824" s="122">
        <f>IFERROR(__xludf.DUMMYFUNCTION("""COMPUTED_VALUE"""),0.0)</f>
        <v>0</v>
      </c>
      <c r="H824" s="122" t="str">
        <f>IFERROR(__xludf.DUMMYFUNCTION("""COMPUTED_VALUE"""),"Active")</f>
        <v>Active</v>
      </c>
    </row>
    <row r="825">
      <c r="A825" s="131">
        <f>IFERROR(__xludf.DUMMYFUNCTION("""COMPUTED_VALUE"""),46175.33146990741)</f>
        <v>46175.33147</v>
      </c>
      <c r="B825" s="122" t="str">
        <f>IFERROR(__xludf.DUMMYFUNCTION("""COMPUTED_VALUE"""),"CBND")</f>
        <v>CBND</v>
      </c>
      <c r="C825" s="122" t="str">
        <f>IFERROR(__xludf.DUMMYFUNCTION("""COMPUTED_VALUE"""),"Corporate Classroom Bond remains steady as investors seek stability.")</f>
        <v>Corporate Classroom Bond remains steady as investors seek stability.</v>
      </c>
      <c r="D825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825" s="122" t="str">
        <f>IFERROR(__xludf.DUMMYFUNCTION("""COMPUTED_VALUE"""),"Neutral")</f>
        <v>Neutral</v>
      </c>
      <c r="F825" s="122">
        <f>IFERROR(__xludf.DUMMYFUNCTION("""COMPUTED_VALUE"""),0.0)</f>
        <v>0</v>
      </c>
      <c r="G825" s="122">
        <f>IFERROR(__xludf.DUMMYFUNCTION("""COMPUTED_VALUE"""),0.0)</f>
        <v>0</v>
      </c>
      <c r="H825" s="122" t="str">
        <f>IFERROR(__xludf.DUMMYFUNCTION("""COMPUTED_VALUE"""),"Active")</f>
        <v>Active</v>
      </c>
    </row>
    <row r="826">
      <c r="A826" s="131">
        <f>IFERROR(__xludf.DUMMYFUNCTION("""COMPUTED_VALUE"""),46175.33148148148)</f>
        <v>46175.33148</v>
      </c>
      <c r="B826" s="122" t="str">
        <f>IFERROR(__xludf.DUMMYFUNCTION("""COMPUTED_VALUE"""),"TBIL")</f>
        <v>TBIL</v>
      </c>
      <c r="C826" s="122" t="str">
        <f>IFERROR(__xludf.DUMMYFUNCTION("""COMPUTED_VALUE"""),"Treasury Bill remains steady as investors seek stability.")</f>
        <v>Treasury Bill remains steady as investors seek stability.</v>
      </c>
      <c r="D826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826" s="122" t="str">
        <f>IFERROR(__xludf.DUMMYFUNCTION("""COMPUTED_VALUE"""),"Neutral")</f>
        <v>Neutral</v>
      </c>
      <c r="F826" s="122">
        <f>IFERROR(__xludf.DUMMYFUNCTION("""COMPUTED_VALUE"""),0.0)</f>
        <v>0</v>
      </c>
      <c r="G826" s="122">
        <f>IFERROR(__xludf.DUMMYFUNCTION("""COMPUTED_VALUE"""),0.0)</f>
        <v>0</v>
      </c>
      <c r="H826" s="122" t="str">
        <f>IFERROR(__xludf.DUMMYFUNCTION("""COMPUTED_VALUE"""),"Active")</f>
        <v>Active</v>
      </c>
    </row>
    <row r="827">
      <c r="A827" s="131">
        <f>IFERROR(__xludf.DUMMYFUNCTION("""COMPUTED_VALUE"""),46175.33149305556)</f>
        <v>46175.33149</v>
      </c>
      <c r="B827" s="122" t="str">
        <f>IFERROR(__xludf.DUMMYFUNCTION("""COMPUTED_VALUE"""),"IBND")</f>
        <v>IBND</v>
      </c>
      <c r="C827" s="122" t="str">
        <f>IFERROR(__xludf.DUMMYFUNCTION("""COMPUTED_VALUE"""),"Inflation Protected Bond remains steady as investors seek stability.")</f>
        <v>Inflation Protected Bond remains steady as investors seek stability.</v>
      </c>
      <c r="D827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827" s="122" t="str">
        <f>IFERROR(__xludf.DUMMYFUNCTION("""COMPUTED_VALUE"""),"Neutral")</f>
        <v>Neutral</v>
      </c>
      <c r="F827" s="122">
        <f>IFERROR(__xludf.DUMMYFUNCTION("""COMPUTED_VALUE"""),0.0)</f>
        <v>0</v>
      </c>
      <c r="G827" s="122">
        <f>IFERROR(__xludf.DUMMYFUNCTION("""COMPUTED_VALUE"""),0.0)</f>
        <v>0</v>
      </c>
      <c r="H827" s="122" t="str">
        <f>IFERROR(__xludf.DUMMYFUNCTION("""COMPUTED_VALUE"""),"Active")</f>
        <v>Active</v>
      </c>
    </row>
    <row r="828">
      <c r="A828" s="131">
        <f>IFERROR(__xludf.DUMMYFUNCTION("""COMPUTED_VALUE"""),46175.338784722226)</f>
        <v>46175.33878</v>
      </c>
      <c r="B828" s="122" t="str">
        <f>IFERROR(__xludf.DUMMYFUNCTION("""COMPUTED_VALUE"""),"MARKET")</f>
        <v>MARKET</v>
      </c>
      <c r="C828" s="122" t="str">
        <f>IFERROR(__xludf.DUMMYFUNCTION("""COMPUTED_VALUE"""),"Market Stability Report")</f>
        <v>Market Stability Report</v>
      </c>
      <c r="D828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828" s="122" t="str">
        <f>IFERROR(__xludf.DUMMYFUNCTION("""COMPUTED_VALUE"""),"Neutral")</f>
        <v>Neutral</v>
      </c>
      <c r="F828" s="122">
        <f>IFERROR(__xludf.DUMMYFUNCTION("""COMPUTED_VALUE"""),0.0)</f>
        <v>0</v>
      </c>
      <c r="G828" s="122">
        <f>IFERROR(__xludf.DUMMYFUNCTION("""COMPUTED_VALUE"""),0.0)</f>
        <v>0</v>
      </c>
      <c r="H828" s="122" t="str">
        <f>IFERROR(__xludf.DUMMYFUNCTION("""COMPUTED_VALUE"""),"Active")</f>
        <v>Active</v>
      </c>
    </row>
    <row r="829">
      <c r="A829" s="131">
        <f>IFERROR(__xludf.DUMMYFUNCTION("""COMPUTED_VALUE"""),46176.317766203705)</f>
        <v>46176.31777</v>
      </c>
      <c r="B829" s="122" t="str">
        <f>IFERROR(__xludf.DUMMYFUNCTION("""COMPUTED_VALUE"""),"FARM")</f>
        <v>FARM</v>
      </c>
      <c r="C829" s="122" t="str">
        <f>IFERROR(__xludf.DUMMYFUNCTION("""COMPUTED_VALUE"""),"Future Farms releases earnings report: Miss profit, guidance Lowered.")</f>
        <v>Future Farms releases earnings report: Miss profit, guidance Lowered.</v>
      </c>
      <c r="D829" s="122" t="str">
        <f>IFERROR(__xludf.DUMMYFUNCTION("""COMPUTED_VALUE"""),"Earnings report: revenue Miss, profit Miss, debt Worse, guidance Lowered.")</f>
        <v>Earnings report: revenue Miss, profit Miss, debt Worse, guidance Lowered.</v>
      </c>
      <c r="E829" s="122" t="str">
        <f>IFERROR(__xludf.DUMMYFUNCTION("""COMPUTED_VALUE"""),"Negative")</f>
        <v>Negative</v>
      </c>
      <c r="F829" s="122">
        <f>IFERROR(__xludf.DUMMYFUNCTION("""COMPUTED_VALUE"""),-0.05279674947520581)</f>
        <v>-0.05279674948</v>
      </c>
      <c r="G829" s="122">
        <f>IFERROR(__xludf.DUMMYFUNCTION("""COMPUTED_VALUE"""),1.3199187368801453)</f>
        <v>1.319918737</v>
      </c>
      <c r="H829" s="122" t="str">
        <f>IFERROR(__xludf.DUMMYFUNCTION("""COMPUTED_VALUE"""),"Active")</f>
        <v>Active</v>
      </c>
    </row>
    <row r="830">
      <c r="A830" s="131">
        <f>IFERROR(__xludf.DUMMYFUNCTION("""COMPUTED_VALUE"""),46176.3178587963)</f>
        <v>46176.31786</v>
      </c>
      <c r="B830" s="122" t="str">
        <f>IFERROR(__xludf.DUMMYFUNCTION("""COMPUTED_VALUE"""),"VITA")</f>
        <v>VITA</v>
      </c>
      <c r="C830" s="122" t="str">
        <f>IFERROR(__xludf.DUMMYFUNCTION("""COMPUTED_VALUE"""),"VitaPlus releases earnings report: Beat profit, guidance Raised.")</f>
        <v>VitaPlus releases earnings report: Beat profit, guidance Raised.</v>
      </c>
      <c r="D83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830" s="122" t="str">
        <f>IFERROR(__xludf.DUMMYFUNCTION("""COMPUTED_VALUE"""),"Positive")</f>
        <v>Positive</v>
      </c>
      <c r="F830" s="122">
        <f>IFERROR(__xludf.DUMMYFUNCTION("""COMPUTED_VALUE"""),0.023325249796008793)</f>
        <v>0.0233252498</v>
      </c>
      <c r="G830" s="122">
        <f>IFERROR(__xludf.DUMMYFUNCTION("""COMPUTED_VALUE"""),0.5831312449002198)</f>
        <v>0.5831312449</v>
      </c>
      <c r="H830" s="122" t="str">
        <f>IFERROR(__xludf.DUMMYFUNCTION("""COMPUTED_VALUE"""),"Active")</f>
        <v>Active</v>
      </c>
    </row>
    <row r="831">
      <c r="A831" s="131">
        <f>IFERROR(__xludf.DUMMYFUNCTION("""COMPUTED_VALUE"""),46176.31793981481)</f>
        <v>46176.31794</v>
      </c>
      <c r="B831" s="122" t="str">
        <f>IFERROR(__xludf.DUMMYFUNCTION("""COMPUTED_VALUE"""),"TUTR")</f>
        <v>TUTR</v>
      </c>
      <c r="C831" s="122" t="str">
        <f>IFERROR(__xludf.DUMMYFUNCTION("""COMPUTED_VALUE"""),"TutorTown releases earnings report: Miss profit, guidance Lowered.")</f>
        <v>TutorTown releases earnings report: Miss profit, guidance Lowered.</v>
      </c>
      <c r="D831" s="122" t="str">
        <f>IFERROR(__xludf.DUMMYFUNCTION("""COMPUTED_VALUE"""),"Earnings report: revenue Miss, profit Miss, debt Worse, guidance Lowered.")</f>
        <v>Earnings report: revenue Miss, profit Miss, debt Worse, guidance Lowered.</v>
      </c>
      <c r="E831" s="122" t="str">
        <f>IFERROR(__xludf.DUMMYFUNCTION("""COMPUTED_VALUE"""),"Negative")</f>
        <v>Negative</v>
      </c>
      <c r="F831" s="122">
        <f>IFERROR(__xludf.DUMMYFUNCTION("""COMPUTED_VALUE"""),-0.05370246699351924)</f>
        <v>-0.05370246699</v>
      </c>
      <c r="G831" s="122">
        <f>IFERROR(__xludf.DUMMYFUNCTION("""COMPUTED_VALUE"""),1.3425616748379812)</f>
        <v>1.342561675</v>
      </c>
      <c r="H831" s="122" t="str">
        <f>IFERROR(__xludf.DUMMYFUNCTION("""COMPUTED_VALUE"""),"Active")</f>
        <v>Active</v>
      </c>
    </row>
    <row r="832">
      <c r="A832" s="131">
        <f>IFERROR(__xludf.DUMMYFUNCTION("""COMPUTED_VALUE"""),46176.318032407406)</f>
        <v>46176.31803</v>
      </c>
      <c r="B832" s="122" t="str">
        <f>IFERROR(__xludf.DUMMYFUNCTION("""COMPUTED_VALUE"""),"TIRE")</f>
        <v>TIRE</v>
      </c>
      <c r="C832" s="122" t="str">
        <f>IFERROR(__xludf.DUMMYFUNCTION("""COMPUTED_VALUE"""),"TireTown releases earnings report: Inline profit, guidance Maintained.")</f>
        <v>TireTown releases earnings report: Inline profit, guidance Maintained.</v>
      </c>
      <c r="D832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832" s="122" t="str">
        <f>IFERROR(__xludf.DUMMYFUNCTION("""COMPUTED_VALUE"""),"Neutral")</f>
        <v>Neutral</v>
      </c>
      <c r="F832" s="122">
        <f>IFERROR(__xludf.DUMMYFUNCTION("""COMPUTED_VALUE"""),-0.008411535008801341)</f>
        <v>-0.008411535009</v>
      </c>
      <c r="G832" s="122">
        <f>IFERROR(__xludf.DUMMYFUNCTION("""COMPUTED_VALUE"""),0.21028837522003352)</f>
        <v>0.2102883752</v>
      </c>
      <c r="H832" s="122" t="str">
        <f>IFERROR(__xludf.DUMMYFUNCTION("""COMPUTED_VALUE"""),"Active")</f>
        <v>Active</v>
      </c>
    </row>
    <row r="833">
      <c r="A833" s="131">
        <f>IFERROR(__xludf.DUMMYFUNCTION("""COMPUTED_VALUE"""),46176.31810185185)</f>
        <v>46176.3181</v>
      </c>
      <c r="B833" s="122" t="str">
        <f>IFERROR(__xludf.DUMMYFUNCTION("""COMPUTED_VALUE"""),"HOME")</f>
        <v>HOME</v>
      </c>
      <c r="C833" s="122" t="str">
        <f>IFERROR(__xludf.DUMMYFUNCTION("""COMPUTED_VALUE"""),"HomeHub releases earnings report: Miss profit, guidance Maintained.")</f>
        <v>HomeHub releases earnings report: Miss profit, guidance Maintained.</v>
      </c>
      <c r="D833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833" s="122" t="str">
        <f>IFERROR(__xludf.DUMMYFUNCTION("""COMPUTED_VALUE"""),"Negative")</f>
        <v>Negative</v>
      </c>
      <c r="F833" s="122">
        <f>IFERROR(__xludf.DUMMYFUNCTION("""COMPUTED_VALUE"""),-0.017339684349903853)</f>
        <v>-0.01733968435</v>
      </c>
      <c r="G833" s="122">
        <f>IFERROR(__xludf.DUMMYFUNCTION("""COMPUTED_VALUE"""),0.43349210874759636)</f>
        <v>0.4334921087</v>
      </c>
      <c r="H833" s="122" t="str">
        <f>IFERROR(__xludf.DUMMYFUNCTION("""COMPUTED_VALUE"""),"Active")</f>
        <v>Active</v>
      </c>
    </row>
    <row r="834">
      <c r="A834" s="131">
        <f>IFERROR(__xludf.DUMMYFUNCTION("""COMPUTED_VALUE"""),46176.31818287037)</f>
        <v>46176.31818</v>
      </c>
      <c r="B834" s="122" t="str">
        <f>IFERROR(__xludf.DUMMYFUNCTION("""COMPUTED_VALUE"""),"BYTE")</f>
        <v>BYTE</v>
      </c>
      <c r="C834" s="122" t="str">
        <f>IFERROR(__xludf.DUMMYFUNCTION("""COMPUTED_VALUE"""),"ByteWorks releases earnings report: Inline profit, guidance Maintained.")</f>
        <v>ByteWorks releases earnings report: Inline profit, guidance Maintained.</v>
      </c>
      <c r="D834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834" s="122" t="str">
        <f>IFERROR(__xludf.DUMMYFUNCTION("""COMPUTED_VALUE"""),"Neutral")</f>
        <v>Neutral</v>
      </c>
      <c r="F834" s="122">
        <f>IFERROR(__xludf.DUMMYFUNCTION("""COMPUTED_VALUE"""),-0.004180468515315097)</f>
        <v>-0.004180468515</v>
      </c>
      <c r="G834" s="122">
        <f>IFERROR(__xludf.DUMMYFUNCTION("""COMPUTED_VALUE"""),0.10451171288287742)</f>
        <v>0.1045117129</v>
      </c>
      <c r="H834" s="122" t="str">
        <f>IFERROR(__xludf.DUMMYFUNCTION("""COMPUTED_VALUE"""),"Active")</f>
        <v>Active</v>
      </c>
    </row>
    <row r="835">
      <c r="A835" s="131">
        <f>IFERROR(__xludf.DUMMYFUNCTION("""COMPUTED_VALUE"""),46176.31826388889)</f>
        <v>46176.31826</v>
      </c>
      <c r="B835" s="122" t="str">
        <f>IFERROR(__xludf.DUMMYFUNCTION("""COMPUTED_VALUE"""),"COLA")</f>
        <v>COLA</v>
      </c>
      <c r="C835" s="122" t="str">
        <f>IFERROR(__xludf.DUMMYFUNCTION("""COMPUTED_VALUE"""),"K-Pop Cola releases earnings report: Beat profit, guidance Raised.")</f>
        <v>K-Pop Cola releases earnings report: Beat profit, guidance Raised.</v>
      </c>
      <c r="D83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835" s="122" t="str">
        <f>IFERROR(__xludf.DUMMYFUNCTION("""COMPUTED_VALUE"""),"Positive")</f>
        <v>Positive</v>
      </c>
      <c r="F835" s="122">
        <f>IFERROR(__xludf.DUMMYFUNCTION("""COMPUTED_VALUE"""),0.0352732702618667)</f>
        <v>0.03527327026</v>
      </c>
      <c r="G835" s="122">
        <f>IFERROR(__xludf.DUMMYFUNCTION("""COMPUTED_VALUE"""),0.8818317565466675)</f>
        <v>0.8818317565</v>
      </c>
      <c r="H835" s="122" t="str">
        <f>IFERROR(__xludf.DUMMYFUNCTION("""COMPUTED_VALUE"""),"Active")</f>
        <v>Active</v>
      </c>
    </row>
    <row r="836">
      <c r="A836" s="131">
        <f>IFERROR(__xludf.DUMMYFUNCTION("""COMPUTED_VALUE"""),46176.31835648148)</f>
        <v>46176.31836</v>
      </c>
      <c r="B836" s="122" t="str">
        <f>IFERROR(__xludf.DUMMYFUNCTION("""COMPUTED_VALUE"""),"BAKE")</f>
        <v>BAKE</v>
      </c>
      <c r="C836" s="122" t="str">
        <f>IFERROR(__xludf.DUMMYFUNCTION("""COMPUTED_VALUE"""),"BakeHouse releases earnings report: Beat profit, guidance Raised.")</f>
        <v>BakeHouse releases earnings report: Beat profit, guidance Raised.</v>
      </c>
      <c r="D83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836" s="122" t="str">
        <f>IFERROR(__xludf.DUMMYFUNCTION("""COMPUTED_VALUE"""),"Positive")</f>
        <v>Positive</v>
      </c>
      <c r="F836" s="122">
        <f>IFERROR(__xludf.DUMMYFUNCTION("""COMPUTED_VALUE"""),0.021466132134488104)</f>
        <v>0.02146613213</v>
      </c>
      <c r="G836" s="122">
        <f>IFERROR(__xludf.DUMMYFUNCTION("""COMPUTED_VALUE"""),0.5366533033622026)</f>
        <v>0.5366533034</v>
      </c>
      <c r="H836" s="122" t="str">
        <f>IFERROR(__xludf.DUMMYFUNCTION("""COMPUTED_VALUE"""),"Active")</f>
        <v>Active</v>
      </c>
    </row>
    <row r="837">
      <c r="A837" s="131">
        <f>IFERROR(__xludf.DUMMYFUNCTION("""COMPUTED_VALUE"""),46176.3184375)</f>
        <v>46176.31844</v>
      </c>
      <c r="B837" s="122" t="str">
        <f>IFERROR(__xludf.DUMMYFUNCTION("""COMPUTED_VALUE"""),"BANK")</f>
        <v>BANK</v>
      </c>
      <c r="C837" s="122" t="str">
        <f>IFERROR(__xludf.DUMMYFUNCTION("""COMPUTED_VALUE"""),"Tiger Bank releases earnings report: Beat profit, guidance Raised.")</f>
        <v>Tiger Bank releases earnings report: Beat profit, guidance Raised.</v>
      </c>
      <c r="D83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837" s="122" t="str">
        <f>IFERROR(__xludf.DUMMYFUNCTION("""COMPUTED_VALUE"""),"Positive")</f>
        <v>Positive</v>
      </c>
      <c r="F837" s="122">
        <f>IFERROR(__xludf.DUMMYFUNCTION("""COMPUTED_VALUE"""),0.055098851602481166)</f>
        <v>0.0550988516</v>
      </c>
      <c r="G837" s="122">
        <f>IFERROR(__xludf.DUMMYFUNCTION("""COMPUTED_VALUE"""),1.3774712900620292)</f>
        <v>1.37747129</v>
      </c>
      <c r="H837" s="122" t="str">
        <f>IFERROR(__xludf.DUMMYFUNCTION("""COMPUTED_VALUE"""),"Active")</f>
        <v>Active</v>
      </c>
    </row>
    <row r="838">
      <c r="A838" s="131">
        <f>IFERROR(__xludf.DUMMYFUNCTION("""COMPUTED_VALUE"""),46176.3309375)</f>
        <v>46176.33094</v>
      </c>
      <c r="B838" s="122" t="str">
        <f>IFERROR(__xludf.DUMMYFUNCTION("""COMPUTED_VALUE"""),"SNAX")</f>
        <v>SNAX</v>
      </c>
      <c r="C838" s="122" t="str">
        <f>IFERROR(__xludf.DUMMYFUNCTION("""COMPUTED_VALUE"""),"MICA Snacks drops sharply after major concerns hit the market.")</f>
        <v>MICA Snacks drops sharply after major concerns hit the market.</v>
      </c>
      <c r="D838" s="122" t="str">
        <f>IFERROR(__xludf.DUMMYFUNCTION("""COMPUTED_VALUE"""),"MICA Snacks is under pressure as investors react to worsening conditions.")</f>
        <v>MICA Snacks is under pressure as investors react to worsening conditions.</v>
      </c>
      <c r="E838" s="122" t="str">
        <f>IFERROR(__xludf.DUMMYFUNCTION("""COMPUTED_VALUE"""),"Negative")</f>
        <v>Negative</v>
      </c>
      <c r="F838" s="122">
        <f>IFERROR(__xludf.DUMMYFUNCTION("""COMPUTED_VALUE"""),-0.04)</f>
        <v>-0.04</v>
      </c>
      <c r="G838" s="122">
        <f>IFERROR(__xludf.DUMMYFUNCTION("""COMPUTED_VALUE"""),2.0)</f>
        <v>2</v>
      </c>
      <c r="H838" s="122" t="str">
        <f>IFERROR(__xludf.DUMMYFUNCTION("""COMPUTED_VALUE"""),"Active")</f>
        <v>Active</v>
      </c>
    </row>
    <row r="839">
      <c r="A839" s="131">
        <f>IFERROR(__xludf.DUMMYFUNCTION("""COMPUTED_VALUE"""),46176.3309375)</f>
        <v>46176.33094</v>
      </c>
      <c r="B839" s="122" t="str">
        <f>IFERROR(__xludf.DUMMYFUNCTION("""COMPUTED_VALUE"""),"RAMN")</f>
        <v>RAMN</v>
      </c>
      <c r="C839" s="122" t="str">
        <f>IFERROR(__xludf.DUMMYFUNCTION("""COMPUTED_VALUE"""),"Ramen Republic drops sharply after major concerns hit the market.")</f>
        <v>Ramen Republic drops sharply after major concerns hit the market.</v>
      </c>
      <c r="D839" s="122" t="str">
        <f>IFERROR(__xludf.DUMMYFUNCTION("""COMPUTED_VALUE"""),"Ramen Republic is under pressure as investors react to worsening conditions.")</f>
        <v>Ramen Republic is under pressure as investors react to worsening conditions.</v>
      </c>
      <c r="E839" s="122" t="str">
        <f>IFERROR(__xludf.DUMMYFUNCTION("""COMPUTED_VALUE"""),"Negative")</f>
        <v>Negative</v>
      </c>
      <c r="F839" s="122">
        <f>IFERROR(__xludf.DUMMYFUNCTION("""COMPUTED_VALUE"""),-0.04)</f>
        <v>-0.04</v>
      </c>
      <c r="G839" s="122">
        <f>IFERROR(__xludf.DUMMYFUNCTION("""COMPUTED_VALUE"""),2.0)</f>
        <v>2</v>
      </c>
      <c r="H839" s="122" t="str">
        <f>IFERROR(__xludf.DUMMYFUNCTION("""COMPUTED_VALUE"""),"Active")</f>
        <v>Active</v>
      </c>
    </row>
    <row r="840">
      <c r="A840" s="131">
        <f>IFERROR(__xludf.DUMMYFUNCTION("""COMPUTED_VALUE"""),46176.33094907407)</f>
        <v>46176.33095</v>
      </c>
      <c r="B840" s="122" t="str">
        <f>IFERROR(__xludf.DUMMYFUNCTION("""COMPUTED_VALUE"""),"COLA")</f>
        <v>COLA</v>
      </c>
      <c r="C840" s="122" t="str">
        <f>IFERROR(__xludf.DUMMYFUNCTION("""COMPUTED_VALUE"""),"K-Pop Cola remains stable as the Beverage market shows normal activity.")</f>
        <v>K-Pop Cola remains stable as the Beverage market shows normal activity.</v>
      </c>
      <c r="D840" s="122" t="str">
        <f>IFERROR(__xludf.DUMMYFUNCTION("""COMPUTED_VALUE"""),"K-Pop Cola appears steady with no major changes reported.")</f>
        <v>K-Pop Cola appears steady with no major changes reported.</v>
      </c>
      <c r="E840" s="122" t="str">
        <f>IFERROR(__xludf.DUMMYFUNCTION("""COMPUTED_VALUE"""),"Neutral")</f>
        <v>Neutral</v>
      </c>
      <c r="F840" s="122">
        <f>IFERROR(__xludf.DUMMYFUNCTION("""COMPUTED_VALUE"""),0.0)</f>
        <v>0</v>
      </c>
      <c r="G840" s="122">
        <f>IFERROR(__xludf.DUMMYFUNCTION("""COMPUTED_VALUE"""),0.0)</f>
        <v>0</v>
      </c>
      <c r="H840" s="122" t="str">
        <f>IFERROR(__xludf.DUMMYFUNCTION("""COMPUTED_VALUE"""),"Active")</f>
        <v>Active</v>
      </c>
    </row>
    <row r="841">
      <c r="A841" s="131">
        <f>IFERROR(__xludf.DUMMYFUNCTION("""COMPUTED_VALUE"""),46176.33094907407)</f>
        <v>46176.33095</v>
      </c>
      <c r="B841" s="122" t="str">
        <f>IFERROR(__xludf.DUMMYFUNCTION("""COMPUTED_VALUE"""),"CHIP")</f>
        <v>CHIP</v>
      </c>
      <c r="C841" s="122" t="str">
        <f>IFERROR(__xludf.DUMMYFUNCTION("""COMPUTED_VALUE"""),"Chip Empire faces weaker demand and cautious investor sentiment.")</f>
        <v>Chip Empire faces weaker demand and cautious investor sentiment.</v>
      </c>
      <c r="D841" s="122" t="str">
        <f>IFERROR(__xludf.DUMMYFUNCTION("""COMPUTED_VALUE"""),"Investors are watching Chip Empire closely as demand weakens.")</f>
        <v>Investors are watching Chip Empire closely as demand weakens.</v>
      </c>
      <c r="E841" s="122" t="str">
        <f>IFERROR(__xludf.DUMMYFUNCTION("""COMPUTED_VALUE"""),"Negative")</f>
        <v>Negative</v>
      </c>
      <c r="F841" s="122">
        <f>IFERROR(__xludf.DUMMYFUNCTION("""COMPUTED_VALUE"""),-0.015)</f>
        <v>-0.015</v>
      </c>
      <c r="G841" s="122">
        <f>IFERROR(__xludf.DUMMYFUNCTION("""COMPUTED_VALUE"""),0.75)</f>
        <v>0.75</v>
      </c>
      <c r="H841" s="122" t="str">
        <f>IFERROR(__xludf.DUMMYFUNCTION("""COMPUTED_VALUE"""),"Active")</f>
        <v>Active</v>
      </c>
    </row>
    <row r="842">
      <c r="A842" s="131">
        <f>IFERROR(__xludf.DUMMYFUNCTION("""COMPUTED_VALUE"""),46176.33096064815)</f>
        <v>46176.33096</v>
      </c>
      <c r="B842" s="122" t="str">
        <f>IFERROR(__xludf.DUMMYFUNCTION("""COMPUTED_VALUE"""),"CAND")</f>
        <v>CAND</v>
      </c>
      <c r="C842" s="122" t="str">
        <f>IFERROR(__xludf.DUMMYFUNCTION("""COMPUTED_VALUE"""),"Candy Capital surges as demand rises across the Consumer Goods sector.")</f>
        <v>Candy Capital surges as demand rises across the Consumer Goods sector.</v>
      </c>
      <c r="D842" s="122" t="str">
        <f>IFERROR(__xludf.DUMMYFUNCTION("""COMPUTED_VALUE"""),"Candy Capital is seeing strong demand, which may increase investor confidence.")</f>
        <v>Candy Capital is seeing strong demand, which may increase investor confidence.</v>
      </c>
      <c r="E842" s="122" t="str">
        <f>IFERROR(__xludf.DUMMYFUNCTION("""COMPUTED_VALUE"""),"Positive")</f>
        <v>Positive</v>
      </c>
      <c r="F842" s="122">
        <f>IFERROR(__xludf.DUMMYFUNCTION("""COMPUTED_VALUE"""),0.03)</f>
        <v>0.03</v>
      </c>
      <c r="G842" s="122">
        <f>IFERROR(__xludf.DUMMYFUNCTION("""COMPUTED_VALUE"""),1.0)</f>
        <v>1</v>
      </c>
      <c r="H842" s="122" t="str">
        <f>IFERROR(__xludf.DUMMYFUNCTION("""COMPUTED_VALUE"""),"Active")</f>
        <v>Active</v>
      </c>
    </row>
    <row r="843">
      <c r="A843" s="131">
        <f>IFERROR(__xludf.DUMMYFUNCTION("""COMPUTED_VALUE"""),46176.33096064815)</f>
        <v>46176.33096</v>
      </c>
      <c r="B843" s="122" t="str">
        <f>IFERROR(__xludf.DUMMYFUNCTION("""COMPUTED_VALUE"""),"TECH")</f>
        <v>TECH</v>
      </c>
      <c r="C843" s="122" t="str">
        <f>IFERROR(__xludf.DUMMYFUNCTION("""COMPUTED_VALUE"""),"Dragon Tech remains stable as the Technology market shows normal activity.")</f>
        <v>Dragon Tech remains stable as the Technology market shows normal activity.</v>
      </c>
      <c r="D843" s="122" t="str">
        <f>IFERROR(__xludf.DUMMYFUNCTION("""COMPUTED_VALUE"""),"Dragon Tech appears steady with no major changes reported.")</f>
        <v>Dragon Tech appears steady with no major changes reported.</v>
      </c>
      <c r="E843" s="122" t="str">
        <f>IFERROR(__xludf.DUMMYFUNCTION("""COMPUTED_VALUE"""),"Neutral")</f>
        <v>Neutral</v>
      </c>
      <c r="F843" s="122">
        <f>IFERROR(__xludf.DUMMYFUNCTION("""COMPUTED_VALUE"""),0.0)</f>
        <v>0</v>
      </c>
      <c r="G843" s="122">
        <f>IFERROR(__xludf.DUMMYFUNCTION("""COMPUTED_VALUE"""),0.0)</f>
        <v>0</v>
      </c>
      <c r="H843" s="122" t="str">
        <f>IFERROR(__xludf.DUMMYFUNCTION("""COMPUTED_VALUE"""),"Active")</f>
        <v>Active</v>
      </c>
    </row>
    <row r="844">
      <c r="A844" s="131">
        <f>IFERROR(__xludf.DUMMYFUNCTION("""COMPUTED_VALUE"""),46176.330972222226)</f>
        <v>46176.33097</v>
      </c>
      <c r="B844" s="122" t="str">
        <f>IFERROR(__xludf.DUMMYFUNCTION("""COMPUTED_VALUE"""),"AIBO")</f>
        <v>AIBO</v>
      </c>
      <c r="C844" s="122" t="str">
        <f>IFERROR(__xludf.DUMMYFUNCTION("""COMPUTED_VALUE"""),"Homework AI remains stable as the Technology market shows normal activity.")</f>
        <v>Homework AI remains stable as the Technology market shows normal activity.</v>
      </c>
      <c r="D844" s="122" t="str">
        <f>IFERROR(__xludf.DUMMYFUNCTION("""COMPUTED_VALUE"""),"Homework AI appears steady with no major changes reported.")</f>
        <v>Homework AI appears steady with no major changes reported.</v>
      </c>
      <c r="E844" s="122" t="str">
        <f>IFERROR(__xludf.DUMMYFUNCTION("""COMPUTED_VALUE"""),"Neutral")</f>
        <v>Neutral</v>
      </c>
      <c r="F844" s="122">
        <f>IFERROR(__xludf.DUMMYFUNCTION("""COMPUTED_VALUE"""),0.0)</f>
        <v>0</v>
      </c>
      <c r="G844" s="122">
        <f>IFERROR(__xludf.DUMMYFUNCTION("""COMPUTED_VALUE"""),0.0)</f>
        <v>0</v>
      </c>
      <c r="H844" s="122" t="str">
        <f>IFERROR(__xludf.DUMMYFUNCTION("""COMPUTED_VALUE"""),"Active")</f>
        <v>Active</v>
      </c>
    </row>
    <row r="845">
      <c r="A845" s="131">
        <f>IFERROR(__xludf.DUMMYFUNCTION("""COMPUTED_VALUE"""),46176.330972222226)</f>
        <v>46176.33097</v>
      </c>
      <c r="B845" s="122" t="str">
        <f>IFERROR(__xludf.DUMMYFUNCTION("""COMPUTED_VALUE"""),"GAME")</f>
        <v>GAME</v>
      </c>
      <c r="C845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845" s="122" t="str">
        <f>IFERROR(__xludf.DUMMYFUNCTION("""COMPUTED_VALUE"""),"GameBox Media appears steady with no major changes reported.")</f>
        <v>GameBox Media appears steady with no major changes reported.</v>
      </c>
      <c r="E845" s="122" t="str">
        <f>IFERROR(__xludf.DUMMYFUNCTION("""COMPUTED_VALUE"""),"Neutral")</f>
        <v>Neutral</v>
      </c>
      <c r="F845" s="122">
        <f>IFERROR(__xludf.DUMMYFUNCTION("""COMPUTED_VALUE"""),0.0)</f>
        <v>0</v>
      </c>
      <c r="G845" s="122">
        <f>IFERROR(__xludf.DUMMYFUNCTION("""COMPUTED_VALUE"""),0.0)</f>
        <v>0</v>
      </c>
      <c r="H845" s="122" t="str">
        <f>IFERROR(__xludf.DUMMYFUNCTION("""COMPUTED_VALUE"""),"Active")</f>
        <v>Active</v>
      </c>
    </row>
    <row r="846">
      <c r="A846" s="131">
        <f>IFERROR(__xludf.DUMMYFUNCTION("""COMPUTED_VALUE"""),46176.330983796295)</f>
        <v>46176.33098</v>
      </c>
      <c r="B846" s="122" t="str">
        <f>IFERROR(__xludf.DUMMYFUNCTION("""COMPUTED_VALUE"""),"VRSE")</f>
        <v>VRSE</v>
      </c>
      <c r="C846" s="122" t="str">
        <f>IFERROR(__xludf.DUMMYFUNCTION("""COMPUTED_VALUE"""),"VerseVR remains stable as the Technology market shows normal activity.")</f>
        <v>VerseVR remains stable as the Technology market shows normal activity.</v>
      </c>
      <c r="D846" s="122" t="str">
        <f>IFERROR(__xludf.DUMMYFUNCTION("""COMPUTED_VALUE"""),"VerseVR appears steady with no major changes reported.")</f>
        <v>VerseVR appears steady with no major changes reported.</v>
      </c>
      <c r="E846" s="122" t="str">
        <f>IFERROR(__xludf.DUMMYFUNCTION("""COMPUTED_VALUE"""),"Neutral")</f>
        <v>Neutral</v>
      </c>
      <c r="F846" s="122">
        <f>IFERROR(__xludf.DUMMYFUNCTION("""COMPUTED_VALUE"""),0.0)</f>
        <v>0</v>
      </c>
      <c r="G846" s="122">
        <f>IFERROR(__xludf.DUMMYFUNCTION("""COMPUTED_VALUE"""),0.0)</f>
        <v>0</v>
      </c>
      <c r="H846" s="122" t="str">
        <f>IFERROR(__xludf.DUMMYFUNCTION("""COMPUTED_VALUE"""),"Active")</f>
        <v>Active</v>
      </c>
    </row>
    <row r="847">
      <c r="A847" s="131">
        <f>IFERROR(__xludf.DUMMYFUNCTION("""COMPUTED_VALUE"""),46176.330983796295)</f>
        <v>46176.33098</v>
      </c>
      <c r="B847" s="122" t="str">
        <f>IFERROR(__xludf.DUMMYFUNCTION("""COMPUTED_VALUE"""),"BYTE")</f>
        <v>BYTE</v>
      </c>
      <c r="C847" s="122" t="str">
        <f>IFERROR(__xludf.DUMMYFUNCTION("""COMPUTED_VALUE"""),"ByteWorks remains stable as the Technology market shows normal activity.")</f>
        <v>ByteWorks remains stable as the Technology market shows normal activity.</v>
      </c>
      <c r="D847" s="122" t="str">
        <f>IFERROR(__xludf.DUMMYFUNCTION("""COMPUTED_VALUE"""),"ByteWorks appears steady with no major changes reported.")</f>
        <v>ByteWorks appears steady with no major changes reported.</v>
      </c>
      <c r="E847" s="122" t="str">
        <f>IFERROR(__xludf.DUMMYFUNCTION("""COMPUTED_VALUE"""),"Neutral")</f>
        <v>Neutral</v>
      </c>
      <c r="F847" s="122">
        <f>IFERROR(__xludf.DUMMYFUNCTION("""COMPUTED_VALUE"""),0.0)</f>
        <v>0</v>
      </c>
      <c r="G847" s="122">
        <f>IFERROR(__xludf.DUMMYFUNCTION("""COMPUTED_VALUE"""),0.0)</f>
        <v>0</v>
      </c>
      <c r="H847" s="122" t="str">
        <f>IFERROR(__xludf.DUMMYFUNCTION("""COMPUTED_VALUE"""),"Active")</f>
        <v>Active</v>
      </c>
    </row>
    <row r="848">
      <c r="A848" s="131">
        <f>IFERROR(__xludf.DUMMYFUNCTION("""COMPUTED_VALUE"""),46176.33099537037)</f>
        <v>46176.331</v>
      </c>
      <c r="B848" s="122" t="str">
        <f>IFERROR(__xludf.DUMMYFUNCTION("""COMPUTED_VALUE"""),"BANK")</f>
        <v>BANK</v>
      </c>
      <c r="C848" s="122" t="str">
        <f>IFERROR(__xludf.DUMMYFUNCTION("""COMPUTED_VALUE"""),"Tiger Bank faces weaker demand and cautious investor sentiment.")</f>
        <v>Tiger Bank faces weaker demand and cautious investor sentiment.</v>
      </c>
      <c r="D848" s="122" t="str">
        <f>IFERROR(__xludf.DUMMYFUNCTION("""COMPUTED_VALUE"""),"Investors are watching Tiger Bank closely as demand weakens.")</f>
        <v>Investors are watching Tiger Bank closely as demand weakens.</v>
      </c>
      <c r="E848" s="122" t="str">
        <f>IFERROR(__xludf.DUMMYFUNCTION("""COMPUTED_VALUE"""),"Negative")</f>
        <v>Negative</v>
      </c>
      <c r="F848" s="122">
        <f>IFERROR(__xludf.DUMMYFUNCTION("""COMPUTED_VALUE"""),-0.015)</f>
        <v>-0.015</v>
      </c>
      <c r="G848" s="122">
        <f>IFERROR(__xludf.DUMMYFUNCTION("""COMPUTED_VALUE"""),0.75)</f>
        <v>0.75</v>
      </c>
      <c r="H848" s="122" t="str">
        <f>IFERROR(__xludf.DUMMYFUNCTION("""COMPUTED_VALUE"""),"Active")</f>
        <v>Active</v>
      </c>
    </row>
    <row r="849">
      <c r="A849" s="131">
        <f>IFERROR(__xludf.DUMMYFUNCTION("""COMPUTED_VALUE"""),46176.33100694444)</f>
        <v>46176.33101</v>
      </c>
      <c r="B849" s="122" t="str">
        <f>IFERROR(__xludf.DUMMYFUNCTION("""COMPUTED_VALUE"""),"CRED")</f>
        <v>CRED</v>
      </c>
      <c r="C849" s="122" t="str">
        <f>IFERROR(__xludf.DUMMYFUNCTION("""COMPUTED_VALUE"""),"Credit Castle faces weaker demand and cautious investor sentiment.")</f>
        <v>Credit Castle faces weaker demand and cautious investor sentiment.</v>
      </c>
      <c r="D849" s="122" t="str">
        <f>IFERROR(__xludf.DUMMYFUNCTION("""COMPUTED_VALUE"""),"Investors are watching Credit Castle closely as demand weakens.")</f>
        <v>Investors are watching Credit Castle closely as demand weakens.</v>
      </c>
      <c r="E849" s="122" t="str">
        <f>IFERROR(__xludf.DUMMYFUNCTION("""COMPUTED_VALUE"""),"Negative")</f>
        <v>Negative</v>
      </c>
      <c r="F849" s="122">
        <f>IFERROR(__xludf.DUMMYFUNCTION("""COMPUTED_VALUE"""),-0.015)</f>
        <v>-0.015</v>
      </c>
      <c r="G849" s="122">
        <f>IFERROR(__xludf.DUMMYFUNCTION("""COMPUTED_VALUE"""),0.75)</f>
        <v>0.75</v>
      </c>
      <c r="H849" s="122" t="str">
        <f>IFERROR(__xludf.DUMMYFUNCTION("""COMPUTED_VALUE"""),"Active")</f>
        <v>Active</v>
      </c>
    </row>
    <row r="850">
      <c r="A850" s="131">
        <f>IFERROR(__xludf.DUMMYFUNCTION("""COMPUTED_VALUE"""),46176.33100694444)</f>
        <v>46176.33101</v>
      </c>
      <c r="B850" s="122" t="str">
        <f>IFERROR(__xludf.DUMMYFUNCTION("""COMPUTED_VALUE"""),"BOND")</f>
        <v>BOND</v>
      </c>
      <c r="C850" s="122" t="str">
        <f>IFERROR(__xludf.DUMMYFUNCTION("""COMPUTED_VALUE"""),"BondBridge remains stable as the Finance market shows normal activity.")</f>
        <v>BondBridge remains stable as the Finance market shows normal activity.</v>
      </c>
      <c r="D850" s="122" t="str">
        <f>IFERROR(__xludf.DUMMYFUNCTION("""COMPUTED_VALUE"""),"BondBridge appears steady with no major changes reported.")</f>
        <v>BondBridge appears steady with no major changes reported.</v>
      </c>
      <c r="E850" s="122" t="str">
        <f>IFERROR(__xludf.DUMMYFUNCTION("""COMPUTED_VALUE"""),"Neutral")</f>
        <v>Neutral</v>
      </c>
      <c r="F850" s="122">
        <f>IFERROR(__xludf.DUMMYFUNCTION("""COMPUTED_VALUE"""),0.0)</f>
        <v>0</v>
      </c>
      <c r="G850" s="122">
        <f>IFERROR(__xludf.DUMMYFUNCTION("""COMPUTED_VALUE"""),0.0)</f>
        <v>0</v>
      </c>
      <c r="H850" s="122" t="str">
        <f>IFERROR(__xludf.DUMMYFUNCTION("""COMPUTED_VALUE"""),"Active")</f>
        <v>Active</v>
      </c>
    </row>
    <row r="851">
      <c r="A851" s="131">
        <f>IFERROR(__xludf.DUMMYFUNCTION("""COMPUTED_VALUE"""),46176.33100694444)</f>
        <v>46176.33101</v>
      </c>
      <c r="B851" s="122" t="str">
        <f>IFERROR(__xludf.DUMMYFUNCTION("""COMPUTED_VALUE"""),"INSR")</f>
        <v>INSR</v>
      </c>
      <c r="C851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851" s="122" t="str">
        <f>IFERROR(__xludf.DUMMYFUNCTION("""COMPUTED_VALUE"""),"Shield Insurance appears steady with no major changes reported.")</f>
        <v>Shield Insurance appears steady with no major changes reported.</v>
      </c>
      <c r="E851" s="122" t="str">
        <f>IFERROR(__xludf.DUMMYFUNCTION("""COMPUTED_VALUE"""),"Neutral")</f>
        <v>Neutral</v>
      </c>
      <c r="F851" s="122">
        <f>IFERROR(__xludf.DUMMYFUNCTION("""COMPUTED_VALUE"""),0.0)</f>
        <v>0</v>
      </c>
      <c r="G851" s="122">
        <f>IFERROR(__xludf.DUMMYFUNCTION("""COMPUTED_VALUE"""),0.0)</f>
        <v>0</v>
      </c>
      <c r="H851" s="122" t="str">
        <f>IFERROR(__xludf.DUMMYFUNCTION("""COMPUTED_VALUE"""),"Active")</f>
        <v>Active</v>
      </c>
    </row>
    <row r="852">
      <c r="A852" s="131">
        <f>IFERROR(__xludf.DUMMYFUNCTION("""COMPUTED_VALUE"""),46176.33101851852)</f>
        <v>46176.33102</v>
      </c>
      <c r="B852" s="122" t="str">
        <f>IFERROR(__xludf.DUMMYFUNCTION("""COMPUTED_VALUE"""),"LOAN")</f>
        <v>LOAN</v>
      </c>
      <c r="C852" s="122" t="str">
        <f>IFERROR(__xludf.DUMMYFUNCTION("""COMPUTED_VALUE"""),"LoanLab remains stable as the Finance market shows normal activity.")</f>
        <v>LoanLab remains stable as the Finance market shows normal activity.</v>
      </c>
      <c r="D852" s="122" t="str">
        <f>IFERROR(__xludf.DUMMYFUNCTION("""COMPUTED_VALUE"""),"LoanLab appears steady with no major changes reported.")</f>
        <v>LoanLab appears steady with no major changes reported.</v>
      </c>
      <c r="E852" s="122" t="str">
        <f>IFERROR(__xludf.DUMMYFUNCTION("""COMPUTED_VALUE"""),"Neutral")</f>
        <v>Neutral</v>
      </c>
      <c r="F852" s="122">
        <f>IFERROR(__xludf.DUMMYFUNCTION("""COMPUTED_VALUE"""),0.0)</f>
        <v>0</v>
      </c>
      <c r="G852" s="122">
        <f>IFERROR(__xludf.DUMMYFUNCTION("""COMPUTED_VALUE"""),0.0)</f>
        <v>0</v>
      </c>
      <c r="H852" s="122" t="str">
        <f>IFERROR(__xludf.DUMMYFUNCTION("""COMPUTED_VALUE"""),"Active")</f>
        <v>Active</v>
      </c>
    </row>
    <row r="853">
      <c r="A853" s="131">
        <f>IFERROR(__xludf.DUMMYFUNCTION("""COMPUTED_VALUE"""),46176.331030092595)</f>
        <v>46176.33103</v>
      </c>
      <c r="B853" s="122" t="str">
        <f>IFERROR(__xludf.DUMMYFUNCTION("""COMPUTED_VALUE"""),"LUXE")</f>
        <v>LUXE</v>
      </c>
      <c r="C853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853" s="122" t="str">
        <f>IFERROR(__xludf.DUMMYFUNCTION("""COMPUTED_VALUE"""),"Luxury Locker appears steady with no major changes reported.")</f>
        <v>Luxury Locker appears steady with no major changes reported.</v>
      </c>
      <c r="E853" s="122" t="str">
        <f>IFERROR(__xludf.DUMMYFUNCTION("""COMPUTED_VALUE"""),"Neutral")</f>
        <v>Neutral</v>
      </c>
      <c r="F853" s="122">
        <f>IFERROR(__xludf.DUMMYFUNCTION("""COMPUTED_VALUE"""),0.0)</f>
        <v>0</v>
      </c>
      <c r="G853" s="122">
        <f>IFERROR(__xludf.DUMMYFUNCTION("""COMPUTED_VALUE"""),0.0)</f>
        <v>0</v>
      </c>
      <c r="H853" s="122" t="str">
        <f>IFERROR(__xludf.DUMMYFUNCTION("""COMPUTED_VALUE"""),"Active")</f>
        <v>Active</v>
      </c>
    </row>
    <row r="854">
      <c r="A854" s="131">
        <f>IFERROR(__xludf.DUMMYFUNCTION("""COMPUTED_VALUE"""),46176.331030092595)</f>
        <v>46176.33103</v>
      </c>
      <c r="B854" s="122" t="str">
        <f>IFERROR(__xludf.DUMMYFUNCTION("""COMPUTED_VALUE"""),"DRIP")</f>
        <v>DRIP</v>
      </c>
      <c r="C854" s="122" t="str">
        <f>IFERROR(__xludf.DUMMYFUNCTION("""COMPUTED_VALUE"""),"Drip Streetwear sees uncertain trading as investors react to mixed signals.")</f>
        <v>Drip Streetwear sees uncertain trading as investors react to mixed signals.</v>
      </c>
      <c r="D854" s="122" t="str">
        <f>IFERROR(__xludf.DUMMYFUNCTION("""COMPUTED_VALUE"""),"Drip Streetwear may experience larger price swings as investors disagree on direction.")</f>
        <v>Drip Streetwear may experience larger price swings as investors disagree on direction.</v>
      </c>
      <c r="E854" s="122" t="str">
        <f>IFERROR(__xludf.DUMMYFUNCTION("""COMPUTED_VALUE"""),"Mixed")</f>
        <v>Mixed</v>
      </c>
      <c r="F854" s="122">
        <f>IFERROR(__xludf.DUMMYFUNCTION("""COMPUTED_VALUE"""),0.009741875362546379)</f>
        <v>0.009741875363</v>
      </c>
      <c r="G854" s="122">
        <f>IFERROR(__xludf.DUMMYFUNCTION("""COMPUTED_VALUE"""),1.5)</f>
        <v>1.5</v>
      </c>
      <c r="H854" s="122" t="str">
        <f>IFERROR(__xludf.DUMMYFUNCTION("""COMPUTED_VALUE"""),"Active")</f>
        <v>Active</v>
      </c>
    </row>
    <row r="855">
      <c r="A855" s="131">
        <f>IFERROR(__xludf.DUMMYFUNCTION("""COMPUTED_VALUE"""),46176.331041666665)</f>
        <v>46176.33104</v>
      </c>
      <c r="B855" s="122" t="str">
        <f>IFERROR(__xludf.DUMMYFUNCTION("""COMPUTED_VALUE"""),"KICK")</f>
        <v>KICK</v>
      </c>
      <c r="C855" s="122" t="str">
        <f>IFERROR(__xludf.DUMMYFUNCTION("""COMPUTED_VALUE"""),"KickDrop Sneakers reports steady growth and improved market confidence.")</f>
        <v>KickDrop Sneakers reports steady growth and improved market confidence.</v>
      </c>
      <c r="D855" s="122" t="str">
        <f>IFERROR(__xludf.DUMMYFUNCTION("""COMPUTED_VALUE"""),"KickDrop Sneakers continues to show positive momentum with moderate risk.")</f>
        <v>KickDrop Sneakers continues to show positive momentum with moderate risk.</v>
      </c>
      <c r="E855" s="122" t="str">
        <f>IFERROR(__xludf.DUMMYFUNCTION("""COMPUTED_VALUE"""),"Positive")</f>
        <v>Positive</v>
      </c>
      <c r="F855" s="122">
        <f>IFERROR(__xludf.DUMMYFUNCTION("""COMPUTED_VALUE"""),0.015)</f>
        <v>0.015</v>
      </c>
      <c r="G855" s="122">
        <f>IFERROR(__xludf.DUMMYFUNCTION("""COMPUTED_VALUE"""),0.5)</f>
        <v>0.5</v>
      </c>
      <c r="H855" s="122" t="str">
        <f>IFERROR(__xludf.DUMMYFUNCTION("""COMPUTED_VALUE"""),"Active")</f>
        <v>Active</v>
      </c>
    </row>
    <row r="856">
      <c r="A856" s="131">
        <f>IFERROR(__xludf.DUMMYFUNCTION("""COMPUTED_VALUE"""),46176.331041666665)</f>
        <v>46176.33104</v>
      </c>
      <c r="B856" s="122" t="str">
        <f>IFERROR(__xludf.DUMMYFUNCTION("""COMPUTED_VALUE"""),"GLAM")</f>
        <v>GLAM</v>
      </c>
      <c r="C856" s="122" t="str">
        <f>IFERROR(__xludf.DUMMYFUNCTION("""COMPUTED_VALUE"""),"Glow Cosmetics remains stable as the Fashion market shows normal activity.")</f>
        <v>Glow Cosmetics remains stable as the Fashion market shows normal activity.</v>
      </c>
      <c r="D856" s="122" t="str">
        <f>IFERROR(__xludf.DUMMYFUNCTION("""COMPUTED_VALUE"""),"Glow Cosmetics appears steady with no major changes reported.")</f>
        <v>Glow Cosmetics appears steady with no major changes reported.</v>
      </c>
      <c r="E856" s="122" t="str">
        <f>IFERROR(__xludf.DUMMYFUNCTION("""COMPUTED_VALUE"""),"Neutral")</f>
        <v>Neutral</v>
      </c>
      <c r="F856" s="122">
        <f>IFERROR(__xludf.DUMMYFUNCTION("""COMPUTED_VALUE"""),0.0)</f>
        <v>0</v>
      </c>
      <c r="G856" s="122">
        <f>IFERROR(__xludf.DUMMYFUNCTION("""COMPUTED_VALUE"""),0.0)</f>
        <v>0</v>
      </c>
      <c r="H856" s="122" t="str">
        <f>IFERROR(__xludf.DUMMYFUNCTION("""COMPUTED_VALUE"""),"Active")</f>
        <v>Active</v>
      </c>
    </row>
    <row r="857">
      <c r="A857" s="131">
        <f>IFERROR(__xludf.DUMMYFUNCTION("""COMPUTED_VALUE"""),46176.33105324074)</f>
        <v>46176.33105</v>
      </c>
      <c r="B857" s="122" t="str">
        <f>IFERROR(__xludf.DUMMYFUNCTION("""COMPUTED_VALUE"""),"BAGG")</f>
        <v>BAGG</v>
      </c>
      <c r="C857" s="122" t="str">
        <f>IFERROR(__xludf.DUMMYFUNCTION("""COMPUTED_VALUE"""),"BagVault reports steady growth and improved market confidence.")</f>
        <v>BagVault reports steady growth and improved market confidence.</v>
      </c>
      <c r="D857" s="122" t="str">
        <f>IFERROR(__xludf.DUMMYFUNCTION("""COMPUTED_VALUE"""),"BagVault continues to show positive momentum with moderate risk.")</f>
        <v>BagVault continues to show positive momentum with moderate risk.</v>
      </c>
      <c r="E857" s="122" t="str">
        <f>IFERROR(__xludf.DUMMYFUNCTION("""COMPUTED_VALUE"""),"Positive")</f>
        <v>Positive</v>
      </c>
      <c r="F857" s="122">
        <f>IFERROR(__xludf.DUMMYFUNCTION("""COMPUTED_VALUE"""),0.015)</f>
        <v>0.015</v>
      </c>
      <c r="G857" s="122">
        <f>IFERROR(__xludf.DUMMYFUNCTION("""COMPUTED_VALUE"""),0.5)</f>
        <v>0.5</v>
      </c>
      <c r="H857" s="122" t="str">
        <f>IFERROR(__xludf.DUMMYFUNCTION("""COMPUTED_VALUE"""),"Active")</f>
        <v>Active</v>
      </c>
    </row>
    <row r="858">
      <c r="A858" s="131">
        <f>IFERROR(__xludf.DUMMYFUNCTION("""COMPUTED_VALUE"""),46176.33106481482)</f>
        <v>46176.33106</v>
      </c>
      <c r="B858" s="122" t="str">
        <f>IFERROR(__xludf.DUMMYFUNCTION("""COMPUTED_VALUE"""),"FAST")</f>
        <v>FAST</v>
      </c>
      <c r="C858" s="122" t="str">
        <f>IFERROR(__xludf.DUMMYFUNCTION("""COMPUTED_VALUE"""),"Flash Logistics reports steady growth and improved market confidence.")</f>
        <v>Flash Logistics reports steady growth and improved market confidence.</v>
      </c>
      <c r="D858" s="122" t="str">
        <f>IFERROR(__xludf.DUMMYFUNCTION("""COMPUTED_VALUE"""),"Flash Logistics continues to show positive momentum with moderate risk.")</f>
        <v>Flash Logistics continues to show positive momentum with moderate risk.</v>
      </c>
      <c r="E858" s="122" t="str">
        <f>IFERROR(__xludf.DUMMYFUNCTION("""COMPUTED_VALUE"""),"Positive")</f>
        <v>Positive</v>
      </c>
      <c r="F858" s="122">
        <f>IFERROR(__xludf.DUMMYFUNCTION("""COMPUTED_VALUE"""),0.015)</f>
        <v>0.015</v>
      </c>
      <c r="G858" s="122">
        <f>IFERROR(__xludf.DUMMYFUNCTION("""COMPUTED_VALUE"""),0.5)</f>
        <v>0.5</v>
      </c>
      <c r="H858" s="122" t="str">
        <f>IFERROR(__xludf.DUMMYFUNCTION("""COMPUTED_VALUE"""),"Active")</f>
        <v>Active</v>
      </c>
    </row>
    <row r="859">
      <c r="A859" s="131">
        <f>IFERROR(__xludf.DUMMYFUNCTION("""COMPUTED_VALUE"""),46176.33107638889)</f>
        <v>46176.33108</v>
      </c>
      <c r="B859" s="122" t="str">
        <f>IFERROR(__xludf.DUMMYFUNCTION("""COMPUTED_VALUE"""),"SHIP")</f>
        <v>SHIP</v>
      </c>
      <c r="C859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859" s="122" t="str">
        <f>IFERROR(__xludf.DUMMYFUNCTION("""COMPUTED_VALUE"""),"Seoul Shipping appears steady with no major changes reported.")</f>
        <v>Seoul Shipping appears steady with no major changes reported.</v>
      </c>
      <c r="E859" s="122" t="str">
        <f>IFERROR(__xludf.DUMMYFUNCTION("""COMPUTED_VALUE"""),"Neutral")</f>
        <v>Neutral</v>
      </c>
      <c r="F859" s="122">
        <f>IFERROR(__xludf.DUMMYFUNCTION("""COMPUTED_VALUE"""),0.0)</f>
        <v>0</v>
      </c>
      <c r="G859" s="122">
        <f>IFERROR(__xludf.DUMMYFUNCTION("""COMPUTED_VALUE"""),0.0)</f>
        <v>0</v>
      </c>
      <c r="H859" s="122" t="str">
        <f>IFERROR(__xludf.DUMMYFUNCTION("""COMPUTED_VALUE"""),"Active")</f>
        <v>Active</v>
      </c>
    </row>
    <row r="860">
      <c r="A860" s="131">
        <f>IFERROR(__xludf.DUMMYFUNCTION("""COMPUTED_VALUE"""),46176.33107638889)</f>
        <v>46176.33108</v>
      </c>
      <c r="B860" s="122" t="str">
        <f>IFERROR(__xludf.DUMMYFUNCTION("""COMPUTED_VALUE"""),"DRON")</f>
        <v>DRON</v>
      </c>
      <c r="C860" s="122" t="str">
        <f>IFERROR(__xludf.DUMMYFUNCTION("""COMPUTED_VALUE"""),"DroneDrop reports steady growth and improved market confidence.")</f>
        <v>DroneDrop reports steady growth and improved market confidence.</v>
      </c>
      <c r="D860" s="122" t="str">
        <f>IFERROR(__xludf.DUMMYFUNCTION("""COMPUTED_VALUE"""),"DroneDrop continues to show positive momentum with moderate risk.")</f>
        <v>DroneDrop continues to show positive momentum with moderate risk.</v>
      </c>
      <c r="E860" s="122" t="str">
        <f>IFERROR(__xludf.DUMMYFUNCTION("""COMPUTED_VALUE"""),"Positive")</f>
        <v>Positive</v>
      </c>
      <c r="F860" s="122">
        <f>IFERROR(__xludf.DUMMYFUNCTION("""COMPUTED_VALUE"""),0.015)</f>
        <v>0.015</v>
      </c>
      <c r="G860" s="122">
        <f>IFERROR(__xludf.DUMMYFUNCTION("""COMPUTED_VALUE"""),0.5)</f>
        <v>0.5</v>
      </c>
      <c r="H860" s="122" t="str">
        <f>IFERROR(__xludf.DUMMYFUNCTION("""COMPUTED_VALUE"""),"Active")</f>
        <v>Active</v>
      </c>
    </row>
    <row r="861">
      <c r="A861" s="131">
        <f>IFERROR(__xludf.DUMMYFUNCTION("""COMPUTED_VALUE"""),46176.33107638889)</f>
        <v>46176.33108</v>
      </c>
      <c r="B861" s="122" t="str">
        <f>IFERROR(__xludf.DUMMYFUNCTION("""COMPUTED_VALUE"""),"RIDE")</f>
        <v>RIDE</v>
      </c>
      <c r="C861" s="122" t="str">
        <f>IFERROR(__xludf.DUMMYFUNCTION("""COMPUTED_VALUE"""),"QuickRide faces weaker demand and cautious investor sentiment.")</f>
        <v>QuickRide faces weaker demand and cautious investor sentiment.</v>
      </c>
      <c r="D861" s="122" t="str">
        <f>IFERROR(__xludf.DUMMYFUNCTION("""COMPUTED_VALUE"""),"Investors are watching QuickRide closely as demand weakens.")</f>
        <v>Investors are watching QuickRide closely as demand weakens.</v>
      </c>
      <c r="E861" s="122" t="str">
        <f>IFERROR(__xludf.DUMMYFUNCTION("""COMPUTED_VALUE"""),"Negative")</f>
        <v>Negative</v>
      </c>
      <c r="F861" s="122">
        <f>IFERROR(__xludf.DUMMYFUNCTION("""COMPUTED_VALUE"""),-0.015)</f>
        <v>-0.015</v>
      </c>
      <c r="G861" s="122">
        <f>IFERROR(__xludf.DUMMYFUNCTION("""COMPUTED_VALUE"""),0.75)</f>
        <v>0.75</v>
      </c>
      <c r="H861" s="122" t="str">
        <f>IFERROR(__xludf.DUMMYFUNCTION("""COMPUTED_VALUE"""),"Active")</f>
        <v>Active</v>
      </c>
    </row>
    <row r="862">
      <c r="A862" s="131">
        <f>IFERROR(__xludf.DUMMYFUNCTION("""COMPUTED_VALUE"""),46176.331087962964)</f>
        <v>46176.33109</v>
      </c>
      <c r="B862" s="122" t="str">
        <f>IFERROR(__xludf.DUMMYFUNCTION("""COMPUTED_VALUE"""),"RAIL")</f>
        <v>RAIL</v>
      </c>
      <c r="C862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862" s="122" t="str">
        <f>IFERROR(__xludf.DUMMYFUNCTION("""COMPUTED_VALUE"""),"MetroRail Corp appears steady with no major changes reported.")</f>
        <v>MetroRail Corp appears steady with no major changes reported.</v>
      </c>
      <c r="E862" s="122" t="str">
        <f>IFERROR(__xludf.DUMMYFUNCTION("""COMPUTED_VALUE"""),"Neutral")</f>
        <v>Neutral</v>
      </c>
      <c r="F862" s="122">
        <f>IFERROR(__xludf.DUMMYFUNCTION("""COMPUTED_VALUE"""),0.0)</f>
        <v>0</v>
      </c>
      <c r="G862" s="122">
        <f>IFERROR(__xludf.DUMMYFUNCTION("""COMPUTED_VALUE"""),0.0)</f>
        <v>0</v>
      </c>
      <c r="H862" s="122" t="str">
        <f>IFERROR(__xludf.DUMMYFUNCTION("""COMPUTED_VALUE"""),"Active")</f>
        <v>Active</v>
      </c>
    </row>
    <row r="863">
      <c r="A863" s="131">
        <f>IFERROR(__xludf.DUMMYFUNCTION("""COMPUTED_VALUE"""),46176.331087962964)</f>
        <v>46176.33109</v>
      </c>
      <c r="B863" s="122" t="str">
        <f>IFERROR(__xludf.DUMMYFUNCTION("""COMPUTED_VALUE"""),"MEDX")</f>
        <v>MEDX</v>
      </c>
      <c r="C863" s="122" t="str">
        <f>IFERROR(__xludf.DUMMYFUNCTION("""COMPUTED_VALUE"""),"MediCore reports steady growth and improved market confidence.")</f>
        <v>MediCore reports steady growth and improved market confidence.</v>
      </c>
      <c r="D863" s="122" t="str">
        <f>IFERROR(__xludf.DUMMYFUNCTION("""COMPUTED_VALUE"""),"MediCore continues to show positive momentum with moderate risk.")</f>
        <v>MediCore continues to show positive momentum with moderate risk.</v>
      </c>
      <c r="E863" s="122" t="str">
        <f>IFERROR(__xludf.DUMMYFUNCTION("""COMPUTED_VALUE"""),"Positive")</f>
        <v>Positive</v>
      </c>
      <c r="F863" s="122">
        <f>IFERROR(__xludf.DUMMYFUNCTION("""COMPUTED_VALUE"""),0.015)</f>
        <v>0.015</v>
      </c>
      <c r="G863" s="122">
        <f>IFERROR(__xludf.DUMMYFUNCTION("""COMPUTED_VALUE"""),0.5)</f>
        <v>0.5</v>
      </c>
      <c r="H863" s="122" t="str">
        <f>IFERROR(__xludf.DUMMYFUNCTION("""COMPUTED_VALUE"""),"Active")</f>
        <v>Active</v>
      </c>
    </row>
    <row r="864">
      <c r="A864" s="131">
        <f>IFERROR(__xludf.DUMMYFUNCTION("""COMPUTED_VALUE"""),46176.331087962964)</f>
        <v>46176.33109</v>
      </c>
      <c r="B864" s="122" t="str">
        <f>IFERROR(__xludf.DUMMYFUNCTION("""COMPUTED_VALUE"""),"GYMX")</f>
        <v>GYMX</v>
      </c>
      <c r="C864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864" s="122" t="str">
        <f>IFERROR(__xludf.DUMMYFUNCTION("""COMPUTED_VALUE"""),"GymX Fitness appears steady with no major changes reported.")</f>
        <v>GymX Fitness appears steady with no major changes reported.</v>
      </c>
      <c r="E864" s="122" t="str">
        <f>IFERROR(__xludf.DUMMYFUNCTION("""COMPUTED_VALUE"""),"Neutral")</f>
        <v>Neutral</v>
      </c>
      <c r="F864" s="122">
        <f>IFERROR(__xludf.DUMMYFUNCTION("""COMPUTED_VALUE"""),0.0)</f>
        <v>0</v>
      </c>
      <c r="G864" s="122">
        <f>IFERROR(__xludf.DUMMYFUNCTION("""COMPUTED_VALUE"""),0.0)</f>
        <v>0</v>
      </c>
      <c r="H864" s="122" t="str">
        <f>IFERROR(__xludf.DUMMYFUNCTION("""COMPUTED_VALUE"""),"Active")</f>
        <v>Active</v>
      </c>
    </row>
    <row r="865">
      <c r="A865" s="131">
        <f>IFERROR(__xludf.DUMMYFUNCTION("""COMPUTED_VALUE"""),46176.331099537034)</f>
        <v>46176.3311</v>
      </c>
      <c r="B865" s="122" t="str">
        <f>IFERROR(__xludf.DUMMYFUNCTION("""COMPUTED_VALUE"""),"VITA")</f>
        <v>VITA</v>
      </c>
      <c r="C865" s="122" t="str">
        <f>IFERROR(__xludf.DUMMYFUNCTION("""COMPUTED_VALUE"""),"VitaPlus remains stable as the Healthcare market shows normal activity.")</f>
        <v>VitaPlus remains stable as the Healthcare market shows normal activity.</v>
      </c>
      <c r="D865" s="122" t="str">
        <f>IFERROR(__xludf.DUMMYFUNCTION("""COMPUTED_VALUE"""),"VitaPlus appears steady with no major changes reported.")</f>
        <v>VitaPlus appears steady with no major changes reported.</v>
      </c>
      <c r="E865" s="122" t="str">
        <f>IFERROR(__xludf.DUMMYFUNCTION("""COMPUTED_VALUE"""),"Neutral")</f>
        <v>Neutral</v>
      </c>
      <c r="F865" s="122">
        <f>IFERROR(__xludf.DUMMYFUNCTION("""COMPUTED_VALUE"""),0.0)</f>
        <v>0</v>
      </c>
      <c r="G865" s="122">
        <f>IFERROR(__xludf.DUMMYFUNCTION("""COMPUTED_VALUE"""),0.0)</f>
        <v>0</v>
      </c>
      <c r="H865" s="122" t="str">
        <f>IFERROR(__xludf.DUMMYFUNCTION("""COMPUTED_VALUE"""),"Active")</f>
        <v>Active</v>
      </c>
    </row>
    <row r="866">
      <c r="A866" s="131">
        <f>IFERROR(__xludf.DUMMYFUNCTION("""COMPUTED_VALUE"""),46176.331099537034)</f>
        <v>46176.3311</v>
      </c>
      <c r="B866" s="122" t="str">
        <f>IFERROR(__xludf.DUMMYFUNCTION("""COMPUTED_VALUE"""),"CARE")</f>
        <v>CARE</v>
      </c>
      <c r="C866" s="122" t="str">
        <f>IFERROR(__xludf.DUMMYFUNCTION("""COMPUTED_VALUE"""),"CareCloud remains stable as the Healthcare market shows normal activity.")</f>
        <v>CareCloud remains stable as the Healthcare market shows normal activity.</v>
      </c>
      <c r="D866" s="122" t="str">
        <f>IFERROR(__xludf.DUMMYFUNCTION("""COMPUTED_VALUE"""),"CareCloud appears steady with no major changes reported.")</f>
        <v>CareCloud appears steady with no major changes reported.</v>
      </c>
      <c r="E866" s="122" t="str">
        <f>IFERROR(__xludf.DUMMYFUNCTION("""COMPUTED_VALUE"""),"Neutral")</f>
        <v>Neutral</v>
      </c>
      <c r="F866" s="122">
        <f>IFERROR(__xludf.DUMMYFUNCTION("""COMPUTED_VALUE"""),0.0)</f>
        <v>0</v>
      </c>
      <c r="G866" s="122">
        <f>IFERROR(__xludf.DUMMYFUNCTION("""COMPUTED_VALUE"""),0.0)</f>
        <v>0</v>
      </c>
      <c r="H866" s="122" t="str">
        <f>IFERROR(__xludf.DUMMYFUNCTION("""COMPUTED_VALUE"""),"Active")</f>
        <v>Active</v>
      </c>
    </row>
    <row r="867">
      <c r="A867" s="131">
        <f>IFERROR(__xludf.DUMMYFUNCTION("""COMPUTED_VALUE"""),46176.331099537034)</f>
        <v>46176.3311</v>
      </c>
      <c r="B867" s="122" t="str">
        <f>IFERROR(__xludf.DUMMYFUNCTION("""COMPUTED_VALUE"""),"DENT")</f>
        <v>DENT</v>
      </c>
      <c r="C867" s="122" t="str">
        <f>IFERROR(__xludf.DUMMYFUNCTION("""COMPUTED_VALUE"""),"SmileWorks remains stable as the Healthcare market shows normal activity.")</f>
        <v>SmileWorks remains stable as the Healthcare market shows normal activity.</v>
      </c>
      <c r="D867" s="122" t="str">
        <f>IFERROR(__xludf.DUMMYFUNCTION("""COMPUTED_VALUE"""),"SmileWorks appears steady with no major changes reported.")</f>
        <v>SmileWorks appears steady with no major changes reported.</v>
      </c>
      <c r="E867" s="122" t="str">
        <f>IFERROR(__xludf.DUMMYFUNCTION("""COMPUTED_VALUE"""),"Neutral")</f>
        <v>Neutral</v>
      </c>
      <c r="F867" s="122">
        <f>IFERROR(__xludf.DUMMYFUNCTION("""COMPUTED_VALUE"""),0.0)</f>
        <v>0</v>
      </c>
      <c r="G867" s="122">
        <f>IFERROR(__xludf.DUMMYFUNCTION("""COMPUTED_VALUE"""),0.0)</f>
        <v>0</v>
      </c>
      <c r="H867" s="122" t="str">
        <f>IFERROR(__xludf.DUMMYFUNCTION("""COMPUTED_VALUE"""),"Active")</f>
        <v>Active</v>
      </c>
    </row>
    <row r="868">
      <c r="A868" s="131">
        <f>IFERROR(__xludf.DUMMYFUNCTION("""COMPUTED_VALUE"""),46176.33111111111)</f>
        <v>46176.33111</v>
      </c>
      <c r="B868" s="122" t="str">
        <f>IFERROR(__xludf.DUMMYFUNCTION("""COMPUTED_VALUE"""),"EDUX")</f>
        <v>EDUX</v>
      </c>
      <c r="C868" s="122" t="str">
        <f>IFERROR(__xludf.DUMMYFUNCTION("""COMPUTED_VALUE"""),"EduMax Learning surges as demand rises across the Education sector.")</f>
        <v>EduMax Learning surges as demand rises across the Education sector.</v>
      </c>
      <c r="D868" s="122" t="str">
        <f>IFERROR(__xludf.DUMMYFUNCTION("""COMPUTED_VALUE"""),"EduMax Learning is seeing strong demand, which may increase investor confidence.")</f>
        <v>EduMax Learning is seeing strong demand, which may increase investor confidence.</v>
      </c>
      <c r="E868" s="122" t="str">
        <f>IFERROR(__xludf.DUMMYFUNCTION("""COMPUTED_VALUE"""),"Positive")</f>
        <v>Positive</v>
      </c>
      <c r="F868" s="122">
        <f>IFERROR(__xludf.DUMMYFUNCTION("""COMPUTED_VALUE"""),0.03)</f>
        <v>0.03</v>
      </c>
      <c r="G868" s="122">
        <f>IFERROR(__xludf.DUMMYFUNCTION("""COMPUTED_VALUE"""),1.0)</f>
        <v>1</v>
      </c>
      <c r="H868" s="122" t="str">
        <f>IFERROR(__xludf.DUMMYFUNCTION("""COMPUTED_VALUE"""),"Active")</f>
        <v>Active</v>
      </c>
    </row>
    <row r="869">
      <c r="A869" s="131">
        <f>IFERROR(__xludf.DUMMYFUNCTION("""COMPUTED_VALUE"""),46176.33111111111)</f>
        <v>46176.33111</v>
      </c>
      <c r="B869" s="122" t="str">
        <f>IFERROR(__xludf.DUMMYFUNCTION("""COMPUTED_VALUE"""),"BOOK")</f>
        <v>BOOK</v>
      </c>
      <c r="C869" s="122" t="str">
        <f>IFERROR(__xludf.DUMMYFUNCTION("""COMPUTED_VALUE"""),"BookBridge remains stable as the Education market shows normal activity.")</f>
        <v>BookBridge remains stable as the Education market shows normal activity.</v>
      </c>
      <c r="D869" s="122" t="str">
        <f>IFERROR(__xludf.DUMMYFUNCTION("""COMPUTED_VALUE"""),"BookBridge appears steady with no major changes reported.")</f>
        <v>BookBridge appears steady with no major changes reported.</v>
      </c>
      <c r="E869" s="122" t="str">
        <f>IFERROR(__xludf.DUMMYFUNCTION("""COMPUTED_VALUE"""),"Neutral")</f>
        <v>Neutral</v>
      </c>
      <c r="F869" s="122">
        <f>IFERROR(__xludf.DUMMYFUNCTION("""COMPUTED_VALUE"""),0.0)</f>
        <v>0</v>
      </c>
      <c r="G869" s="122">
        <f>IFERROR(__xludf.DUMMYFUNCTION("""COMPUTED_VALUE"""),0.0)</f>
        <v>0</v>
      </c>
      <c r="H869" s="122" t="str">
        <f>IFERROR(__xludf.DUMMYFUNCTION("""COMPUTED_VALUE"""),"Active")</f>
        <v>Active</v>
      </c>
    </row>
    <row r="870">
      <c r="A870" s="131">
        <f>IFERROR(__xludf.DUMMYFUNCTION("""COMPUTED_VALUE"""),46176.33112268519)</f>
        <v>46176.33112</v>
      </c>
      <c r="B870" s="122" t="str">
        <f>IFERROR(__xludf.DUMMYFUNCTION("""COMPUTED_VALUE"""),"TUTR")</f>
        <v>TUTR</v>
      </c>
      <c r="C870" s="122" t="str">
        <f>IFERROR(__xludf.DUMMYFUNCTION("""COMPUTED_VALUE"""),"TutorTown remains stable as the Education market shows normal activity.")</f>
        <v>TutorTown remains stable as the Education market shows normal activity.</v>
      </c>
      <c r="D870" s="122" t="str">
        <f>IFERROR(__xludf.DUMMYFUNCTION("""COMPUTED_VALUE"""),"TutorTown appears steady with no major changes reported.")</f>
        <v>TutorTown appears steady with no major changes reported.</v>
      </c>
      <c r="E870" s="122" t="str">
        <f>IFERROR(__xludf.DUMMYFUNCTION("""COMPUTED_VALUE"""),"Neutral")</f>
        <v>Neutral</v>
      </c>
      <c r="F870" s="122">
        <f>IFERROR(__xludf.DUMMYFUNCTION("""COMPUTED_VALUE"""),0.0)</f>
        <v>0</v>
      </c>
      <c r="G870" s="122">
        <f>IFERROR(__xludf.DUMMYFUNCTION("""COMPUTED_VALUE"""),0.0)</f>
        <v>0</v>
      </c>
      <c r="H870" s="122" t="str">
        <f>IFERROR(__xludf.DUMMYFUNCTION("""COMPUTED_VALUE"""),"Active")</f>
        <v>Active</v>
      </c>
    </row>
    <row r="871">
      <c r="A871" s="131">
        <f>IFERROR(__xludf.DUMMYFUNCTION("""COMPUTED_VALUE"""),46176.33112268519)</f>
        <v>46176.33112</v>
      </c>
      <c r="B871" s="122" t="str">
        <f>IFERROR(__xludf.DUMMYFUNCTION("""COMPUTED_VALUE"""),"LANG")</f>
        <v>LANG</v>
      </c>
      <c r="C871" s="122" t="str">
        <f>IFERROR(__xludf.DUMMYFUNCTION("""COMPUTED_VALUE"""),"LinguaLab remains stable as the Education market shows normal activity.")</f>
        <v>LinguaLab remains stable as the Education market shows normal activity.</v>
      </c>
      <c r="D871" s="122" t="str">
        <f>IFERROR(__xludf.DUMMYFUNCTION("""COMPUTED_VALUE"""),"LinguaLab appears steady with no major changes reported.")</f>
        <v>LinguaLab appears steady with no major changes reported.</v>
      </c>
      <c r="E871" s="122" t="str">
        <f>IFERROR(__xludf.DUMMYFUNCTION("""COMPUTED_VALUE"""),"Neutral")</f>
        <v>Neutral</v>
      </c>
      <c r="F871" s="122">
        <f>IFERROR(__xludf.DUMMYFUNCTION("""COMPUTED_VALUE"""),0.0)</f>
        <v>0</v>
      </c>
      <c r="G871" s="122">
        <f>IFERROR(__xludf.DUMMYFUNCTION("""COMPUTED_VALUE"""),0.0)</f>
        <v>0</v>
      </c>
      <c r="H871" s="122" t="str">
        <f>IFERROR(__xludf.DUMMYFUNCTION("""COMPUTED_VALUE"""),"Active")</f>
        <v>Active</v>
      </c>
    </row>
    <row r="872">
      <c r="A872" s="131">
        <f>IFERROR(__xludf.DUMMYFUNCTION("""COMPUTED_VALUE"""),46176.33113425926)</f>
        <v>46176.33113</v>
      </c>
      <c r="B872" s="122" t="str">
        <f>IFERROR(__xludf.DUMMYFUNCTION("""COMPUTED_VALUE"""),"TEST")</f>
        <v>TEST</v>
      </c>
      <c r="C872" s="122" t="str">
        <f>IFERROR(__xludf.DUMMYFUNCTION("""COMPUTED_VALUE"""),"TestPrep Pro faces weaker demand and cautious investor sentiment.")</f>
        <v>TestPrep Pro faces weaker demand and cautious investor sentiment.</v>
      </c>
      <c r="D872" s="122" t="str">
        <f>IFERROR(__xludf.DUMMYFUNCTION("""COMPUTED_VALUE"""),"Investors are watching TestPrep Pro closely as demand weakens.")</f>
        <v>Investors are watching TestPrep Pro closely as demand weakens.</v>
      </c>
      <c r="E872" s="122" t="str">
        <f>IFERROR(__xludf.DUMMYFUNCTION("""COMPUTED_VALUE"""),"Negative")</f>
        <v>Negative</v>
      </c>
      <c r="F872" s="122">
        <f>IFERROR(__xludf.DUMMYFUNCTION("""COMPUTED_VALUE"""),-0.015)</f>
        <v>-0.015</v>
      </c>
      <c r="G872" s="122">
        <f>IFERROR(__xludf.DUMMYFUNCTION("""COMPUTED_VALUE"""),0.75)</f>
        <v>0.75</v>
      </c>
      <c r="H872" s="122" t="str">
        <f>IFERROR(__xludf.DUMMYFUNCTION("""COMPUTED_VALUE"""),"Active")</f>
        <v>Active</v>
      </c>
    </row>
    <row r="873">
      <c r="A873" s="131">
        <f>IFERROR(__xludf.DUMMYFUNCTION("""COMPUTED_VALUE"""),46176.331145833334)</f>
        <v>46176.33115</v>
      </c>
      <c r="B873" s="122" t="str">
        <f>IFERROR(__xludf.DUMMYFUNCTION("""COMPUTED_VALUE"""),"MOVI")</f>
        <v>MOVI</v>
      </c>
      <c r="C873" s="122" t="str">
        <f>IFERROR(__xludf.DUMMYFUNCTION("""COMPUTED_VALUE"""),"MovieBox remains stable as the Entertainment market shows normal activity.")</f>
        <v>MovieBox remains stable as the Entertainment market shows normal activity.</v>
      </c>
      <c r="D873" s="122" t="str">
        <f>IFERROR(__xludf.DUMMYFUNCTION("""COMPUTED_VALUE"""),"MovieBox appears steady with no major changes reported.")</f>
        <v>MovieBox appears steady with no major changes reported.</v>
      </c>
      <c r="E873" s="122" t="str">
        <f>IFERROR(__xludf.DUMMYFUNCTION("""COMPUTED_VALUE"""),"Neutral")</f>
        <v>Neutral</v>
      </c>
      <c r="F873" s="122">
        <f>IFERROR(__xludf.DUMMYFUNCTION("""COMPUTED_VALUE"""),0.0)</f>
        <v>0</v>
      </c>
      <c r="G873" s="122">
        <f>IFERROR(__xludf.DUMMYFUNCTION("""COMPUTED_VALUE"""),0.0)</f>
        <v>0</v>
      </c>
      <c r="H873" s="122" t="str">
        <f>IFERROR(__xludf.DUMMYFUNCTION("""COMPUTED_VALUE"""),"Active")</f>
        <v>Active</v>
      </c>
    </row>
    <row r="874">
      <c r="A874" s="131">
        <f>IFERROR(__xludf.DUMMYFUNCTION("""COMPUTED_VALUE"""),46176.331145833334)</f>
        <v>46176.33115</v>
      </c>
      <c r="B874" s="122" t="str">
        <f>IFERROR(__xludf.DUMMYFUNCTION("""COMPUTED_VALUE"""),"MUSC")</f>
        <v>MUSC</v>
      </c>
      <c r="C874" s="122" t="str">
        <f>IFERROR(__xludf.DUMMYFUNCTION("""COMPUTED_VALUE"""),"MusicWave sees uncertain trading as investors react to mixed signals.")</f>
        <v>MusicWave sees uncertain trading as investors react to mixed signals.</v>
      </c>
      <c r="D874" s="122" t="str">
        <f>IFERROR(__xludf.DUMMYFUNCTION("""COMPUTED_VALUE"""),"MusicWave may experience larger price swings as investors disagree on direction.")</f>
        <v>MusicWave may experience larger price swings as investors disagree on direction.</v>
      </c>
      <c r="E874" s="122" t="str">
        <f>IFERROR(__xludf.DUMMYFUNCTION("""COMPUTED_VALUE"""),"Mixed")</f>
        <v>Mixed</v>
      </c>
      <c r="F874" s="122">
        <f>IFERROR(__xludf.DUMMYFUNCTION("""COMPUTED_VALUE"""),0.0021599868552387227)</f>
        <v>0.002159986855</v>
      </c>
      <c r="G874" s="122">
        <f>IFERROR(__xludf.DUMMYFUNCTION("""COMPUTED_VALUE"""),1.5)</f>
        <v>1.5</v>
      </c>
      <c r="H874" s="122" t="str">
        <f>IFERROR(__xludf.DUMMYFUNCTION("""COMPUTED_VALUE"""),"Active")</f>
        <v>Active</v>
      </c>
    </row>
    <row r="875">
      <c r="A875" s="131">
        <f>IFERROR(__xludf.DUMMYFUNCTION("""COMPUTED_VALUE"""),46176.33115740741)</f>
        <v>46176.33116</v>
      </c>
      <c r="B875" s="122" t="str">
        <f>IFERROR(__xludf.DUMMYFUNCTION("""COMPUTED_VALUE"""),"IDOL")</f>
        <v>IDOL</v>
      </c>
      <c r="C875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875" s="122" t="str">
        <f>IFERROR(__xludf.DUMMYFUNCTION("""COMPUTED_VALUE"""),"Idol Agency appears steady with no major changes reported.")</f>
        <v>Idol Agency appears steady with no major changes reported.</v>
      </c>
      <c r="E875" s="122" t="str">
        <f>IFERROR(__xludf.DUMMYFUNCTION("""COMPUTED_VALUE"""),"Neutral")</f>
        <v>Neutral</v>
      </c>
      <c r="F875" s="122">
        <f>IFERROR(__xludf.DUMMYFUNCTION("""COMPUTED_VALUE"""),0.0)</f>
        <v>0</v>
      </c>
      <c r="G875" s="122">
        <f>IFERROR(__xludf.DUMMYFUNCTION("""COMPUTED_VALUE"""),0.0)</f>
        <v>0</v>
      </c>
      <c r="H875" s="122" t="str">
        <f>IFERROR(__xludf.DUMMYFUNCTION("""COMPUTED_VALUE"""),"Active")</f>
        <v>Active</v>
      </c>
    </row>
    <row r="876">
      <c r="A876" s="131">
        <f>IFERROR(__xludf.DUMMYFUNCTION("""COMPUTED_VALUE"""),46176.33115740741)</f>
        <v>46176.33116</v>
      </c>
      <c r="B876" s="122" t="str">
        <f>IFERROR(__xludf.DUMMYFUNCTION("""COMPUTED_VALUE"""),"MEME")</f>
        <v>MEME</v>
      </c>
      <c r="C876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876" s="122" t="str">
        <f>IFERROR(__xludf.DUMMYFUNCTION("""COMPUTED_VALUE"""),"Meme Media appears steady with no major changes reported.")</f>
        <v>Meme Media appears steady with no major changes reported.</v>
      </c>
      <c r="E876" s="122" t="str">
        <f>IFERROR(__xludf.DUMMYFUNCTION("""COMPUTED_VALUE"""),"Neutral")</f>
        <v>Neutral</v>
      </c>
      <c r="F876" s="122">
        <f>IFERROR(__xludf.DUMMYFUNCTION("""COMPUTED_VALUE"""),0.0)</f>
        <v>0</v>
      </c>
      <c r="G876" s="122">
        <f>IFERROR(__xludf.DUMMYFUNCTION("""COMPUTED_VALUE"""),0.0)</f>
        <v>0</v>
      </c>
      <c r="H876" s="122" t="str">
        <f>IFERROR(__xludf.DUMMYFUNCTION("""COMPUTED_VALUE"""),"Active")</f>
        <v>Active</v>
      </c>
    </row>
    <row r="877">
      <c r="A877" s="131">
        <f>IFERROR(__xludf.DUMMYFUNCTION("""COMPUTED_VALUE"""),46176.33115740741)</f>
        <v>46176.33116</v>
      </c>
      <c r="B877" s="122" t="str">
        <f>IFERROR(__xludf.DUMMYFUNCTION("""COMPUTED_VALUE"""),"STRM")</f>
        <v>STRM</v>
      </c>
      <c r="C877" s="122" t="str">
        <f>IFERROR(__xludf.DUMMYFUNCTION("""COMPUTED_VALUE"""),"Streamly faces weaker demand and cautious investor sentiment.")</f>
        <v>Streamly faces weaker demand and cautious investor sentiment.</v>
      </c>
      <c r="D877" s="122" t="str">
        <f>IFERROR(__xludf.DUMMYFUNCTION("""COMPUTED_VALUE"""),"Investors are watching Streamly closely as demand weakens.")</f>
        <v>Investors are watching Streamly closely as demand weakens.</v>
      </c>
      <c r="E877" s="122" t="str">
        <f>IFERROR(__xludf.DUMMYFUNCTION("""COMPUTED_VALUE"""),"Negative")</f>
        <v>Negative</v>
      </c>
      <c r="F877" s="122">
        <f>IFERROR(__xludf.DUMMYFUNCTION("""COMPUTED_VALUE"""),-0.015)</f>
        <v>-0.015</v>
      </c>
      <c r="G877" s="122">
        <f>IFERROR(__xludf.DUMMYFUNCTION("""COMPUTED_VALUE"""),0.75)</f>
        <v>0.75</v>
      </c>
      <c r="H877" s="122" t="str">
        <f>IFERROR(__xludf.DUMMYFUNCTION("""COMPUTED_VALUE"""),"Active")</f>
        <v>Active</v>
      </c>
    </row>
    <row r="878">
      <c r="A878" s="131">
        <f>IFERROR(__xludf.DUMMYFUNCTION("""COMPUTED_VALUE"""),46176.33116898148)</f>
        <v>46176.33117</v>
      </c>
      <c r="B878" s="122" t="str">
        <f>IFERROR(__xludf.DUMMYFUNCTION("""COMPUTED_VALUE"""),"FARM")</f>
        <v>FARM</v>
      </c>
      <c r="C878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878" s="122" t="str">
        <f>IFERROR(__xludf.DUMMYFUNCTION("""COMPUTED_VALUE"""),"Future Farms appears steady with no major changes reported.")</f>
        <v>Future Farms appears steady with no major changes reported.</v>
      </c>
      <c r="E878" s="122" t="str">
        <f>IFERROR(__xludf.DUMMYFUNCTION("""COMPUTED_VALUE"""),"Neutral")</f>
        <v>Neutral</v>
      </c>
      <c r="F878" s="122">
        <f>IFERROR(__xludf.DUMMYFUNCTION("""COMPUTED_VALUE"""),0.0)</f>
        <v>0</v>
      </c>
      <c r="G878" s="122">
        <f>IFERROR(__xludf.DUMMYFUNCTION("""COMPUTED_VALUE"""),0.0)</f>
        <v>0</v>
      </c>
      <c r="H878" s="122" t="str">
        <f>IFERROR(__xludf.DUMMYFUNCTION("""COMPUTED_VALUE"""),"Active")</f>
        <v>Active</v>
      </c>
    </row>
    <row r="879">
      <c r="A879" s="131">
        <f>IFERROR(__xludf.DUMMYFUNCTION("""COMPUTED_VALUE"""),46176.33116898148)</f>
        <v>46176.33117</v>
      </c>
      <c r="B879" s="122" t="str">
        <f>IFERROR(__xludf.DUMMYFUNCTION("""COMPUTED_VALUE"""),"MEAT")</f>
        <v>MEAT</v>
      </c>
      <c r="C879" s="122" t="str">
        <f>IFERROR(__xludf.DUMMYFUNCTION("""COMPUTED_VALUE"""),"MeatWorks reports steady growth and improved market confidence.")</f>
        <v>MeatWorks reports steady growth and improved market confidence.</v>
      </c>
      <c r="D879" s="122" t="str">
        <f>IFERROR(__xludf.DUMMYFUNCTION("""COMPUTED_VALUE"""),"MeatWorks continues to show positive momentum with moderate risk.")</f>
        <v>MeatWorks continues to show positive momentum with moderate risk.</v>
      </c>
      <c r="E879" s="122" t="str">
        <f>IFERROR(__xludf.DUMMYFUNCTION("""COMPUTED_VALUE"""),"Positive")</f>
        <v>Positive</v>
      </c>
      <c r="F879" s="122">
        <f>IFERROR(__xludf.DUMMYFUNCTION("""COMPUTED_VALUE"""),0.015)</f>
        <v>0.015</v>
      </c>
      <c r="G879" s="122">
        <f>IFERROR(__xludf.DUMMYFUNCTION("""COMPUTED_VALUE"""),0.5)</f>
        <v>0.5</v>
      </c>
      <c r="H879" s="122" t="str">
        <f>IFERROR(__xludf.DUMMYFUNCTION("""COMPUTED_VALUE"""),"Active")</f>
        <v>Active</v>
      </c>
    </row>
    <row r="880">
      <c r="A880" s="131">
        <f>IFERROR(__xludf.DUMMYFUNCTION("""COMPUTED_VALUE"""),46176.33116898148)</f>
        <v>46176.33117</v>
      </c>
      <c r="B880" s="122" t="str">
        <f>IFERROR(__xludf.DUMMYFUNCTION("""COMPUTED_VALUE"""),"VEGI")</f>
        <v>VEGI</v>
      </c>
      <c r="C880" s="122" t="str">
        <f>IFERROR(__xludf.DUMMYFUNCTION("""COMPUTED_VALUE"""),"Green Basket remains stable as the Food market shows normal activity.")</f>
        <v>Green Basket remains stable as the Food market shows normal activity.</v>
      </c>
      <c r="D880" s="122" t="str">
        <f>IFERROR(__xludf.DUMMYFUNCTION("""COMPUTED_VALUE"""),"Green Basket appears steady with no major changes reported.")</f>
        <v>Green Basket appears steady with no major changes reported.</v>
      </c>
      <c r="E880" s="122" t="str">
        <f>IFERROR(__xludf.DUMMYFUNCTION("""COMPUTED_VALUE"""),"Neutral")</f>
        <v>Neutral</v>
      </c>
      <c r="F880" s="122">
        <f>IFERROR(__xludf.DUMMYFUNCTION("""COMPUTED_VALUE"""),0.0)</f>
        <v>0</v>
      </c>
      <c r="G880" s="122">
        <f>IFERROR(__xludf.DUMMYFUNCTION("""COMPUTED_VALUE"""),0.0)</f>
        <v>0</v>
      </c>
      <c r="H880" s="122" t="str">
        <f>IFERROR(__xludf.DUMMYFUNCTION("""COMPUTED_VALUE"""),"Active")</f>
        <v>Active</v>
      </c>
    </row>
    <row r="881">
      <c r="A881" s="131">
        <f>IFERROR(__xludf.DUMMYFUNCTION("""COMPUTED_VALUE"""),46176.33118055556)</f>
        <v>46176.33118</v>
      </c>
      <c r="B881" s="122" t="str">
        <f>IFERROR(__xludf.DUMMYFUNCTION("""COMPUTED_VALUE"""),"CAFE")</f>
        <v>CAFE</v>
      </c>
      <c r="C881" s="122" t="str">
        <f>IFERROR(__xludf.DUMMYFUNCTION("""COMPUTED_VALUE"""),"Cafe Cloud faces weaker demand and cautious investor sentiment.")</f>
        <v>Cafe Cloud faces weaker demand and cautious investor sentiment.</v>
      </c>
      <c r="D881" s="122" t="str">
        <f>IFERROR(__xludf.DUMMYFUNCTION("""COMPUTED_VALUE"""),"Investors are watching Cafe Cloud closely as demand weakens.")</f>
        <v>Investors are watching Cafe Cloud closely as demand weakens.</v>
      </c>
      <c r="E881" s="122" t="str">
        <f>IFERROR(__xludf.DUMMYFUNCTION("""COMPUTED_VALUE"""),"Negative")</f>
        <v>Negative</v>
      </c>
      <c r="F881" s="122">
        <f>IFERROR(__xludf.DUMMYFUNCTION("""COMPUTED_VALUE"""),-0.015)</f>
        <v>-0.015</v>
      </c>
      <c r="G881" s="122">
        <f>IFERROR(__xludf.DUMMYFUNCTION("""COMPUTED_VALUE"""),0.75)</f>
        <v>0.75</v>
      </c>
      <c r="H881" s="122" t="str">
        <f>IFERROR(__xludf.DUMMYFUNCTION("""COMPUTED_VALUE"""),"Active")</f>
        <v>Active</v>
      </c>
    </row>
    <row r="882">
      <c r="A882" s="131">
        <f>IFERROR(__xludf.DUMMYFUNCTION("""COMPUTED_VALUE"""),46176.33118055556)</f>
        <v>46176.33118</v>
      </c>
      <c r="B882" s="122" t="str">
        <f>IFERROR(__xludf.DUMMYFUNCTION("""COMPUTED_VALUE"""),"BAKE")</f>
        <v>BAKE</v>
      </c>
      <c r="C882" s="122" t="str">
        <f>IFERROR(__xludf.DUMMYFUNCTION("""COMPUTED_VALUE"""),"BakeHouse reports steady growth and improved market confidence.")</f>
        <v>BakeHouse reports steady growth and improved market confidence.</v>
      </c>
      <c r="D882" s="122" t="str">
        <f>IFERROR(__xludf.DUMMYFUNCTION("""COMPUTED_VALUE"""),"BakeHouse continues to show positive momentum with moderate risk.")</f>
        <v>BakeHouse continues to show positive momentum with moderate risk.</v>
      </c>
      <c r="E882" s="122" t="str">
        <f>IFERROR(__xludf.DUMMYFUNCTION("""COMPUTED_VALUE"""),"Positive")</f>
        <v>Positive</v>
      </c>
      <c r="F882" s="122">
        <f>IFERROR(__xludf.DUMMYFUNCTION("""COMPUTED_VALUE"""),0.015)</f>
        <v>0.015</v>
      </c>
      <c r="G882" s="122">
        <f>IFERROR(__xludf.DUMMYFUNCTION("""COMPUTED_VALUE"""),0.5)</f>
        <v>0.5</v>
      </c>
      <c r="H882" s="122" t="str">
        <f>IFERROR(__xludf.DUMMYFUNCTION("""COMPUTED_VALUE"""),"Active")</f>
        <v>Active</v>
      </c>
    </row>
    <row r="883">
      <c r="A883" s="131">
        <f>IFERROR(__xludf.DUMMYFUNCTION("""COMPUTED_VALUE"""),46176.331192129626)</f>
        <v>46176.33119</v>
      </c>
      <c r="B883" s="122" t="str">
        <f>IFERROR(__xludf.DUMMYFUNCTION("""COMPUTED_VALUE"""),"OILX")</f>
        <v>OILX</v>
      </c>
      <c r="C883" s="122" t="str">
        <f>IFERROR(__xludf.DUMMYFUNCTION("""COMPUTED_VALUE"""),"OilMax Energy remains stable as the Energy market shows normal activity.")</f>
        <v>OilMax Energy remains stable as the Energy market shows normal activity.</v>
      </c>
      <c r="D883" s="122" t="str">
        <f>IFERROR(__xludf.DUMMYFUNCTION("""COMPUTED_VALUE"""),"OilMax Energy appears steady with no major changes reported.")</f>
        <v>OilMax Energy appears steady with no major changes reported.</v>
      </c>
      <c r="E883" s="122" t="str">
        <f>IFERROR(__xludf.DUMMYFUNCTION("""COMPUTED_VALUE"""),"Neutral")</f>
        <v>Neutral</v>
      </c>
      <c r="F883" s="122">
        <f>IFERROR(__xludf.DUMMYFUNCTION("""COMPUTED_VALUE"""),0.0)</f>
        <v>0</v>
      </c>
      <c r="G883" s="122">
        <f>IFERROR(__xludf.DUMMYFUNCTION("""COMPUTED_VALUE"""),0.0)</f>
        <v>0</v>
      </c>
      <c r="H883" s="122" t="str">
        <f>IFERROR(__xludf.DUMMYFUNCTION("""COMPUTED_VALUE"""),"Active")</f>
        <v>Active</v>
      </c>
    </row>
    <row r="884">
      <c r="A884" s="131">
        <f>IFERROR(__xludf.DUMMYFUNCTION("""COMPUTED_VALUE"""),46176.331192129626)</f>
        <v>46176.33119</v>
      </c>
      <c r="B884" s="122" t="str">
        <f>IFERROR(__xludf.DUMMYFUNCTION("""COMPUTED_VALUE"""),"SOLR")</f>
        <v>SOLR</v>
      </c>
      <c r="C884" s="122" t="str">
        <f>IFERROR(__xludf.DUMMYFUNCTION("""COMPUTED_VALUE"""),"SolarSpark remains stable as the Energy market shows normal activity.")</f>
        <v>SolarSpark remains stable as the Energy market shows normal activity.</v>
      </c>
      <c r="D884" s="122" t="str">
        <f>IFERROR(__xludf.DUMMYFUNCTION("""COMPUTED_VALUE"""),"SolarSpark appears steady with no major changes reported.")</f>
        <v>SolarSpark appears steady with no major changes reported.</v>
      </c>
      <c r="E884" s="122" t="str">
        <f>IFERROR(__xludf.DUMMYFUNCTION("""COMPUTED_VALUE"""),"Neutral")</f>
        <v>Neutral</v>
      </c>
      <c r="F884" s="122">
        <f>IFERROR(__xludf.DUMMYFUNCTION("""COMPUTED_VALUE"""),0.0)</f>
        <v>0</v>
      </c>
      <c r="G884" s="122">
        <f>IFERROR(__xludf.DUMMYFUNCTION("""COMPUTED_VALUE"""),0.0)</f>
        <v>0</v>
      </c>
      <c r="H884" s="122" t="str">
        <f>IFERROR(__xludf.DUMMYFUNCTION("""COMPUTED_VALUE"""),"Active")</f>
        <v>Active</v>
      </c>
    </row>
    <row r="885">
      <c r="A885" s="131">
        <f>IFERROR(__xludf.DUMMYFUNCTION("""COMPUTED_VALUE"""),46176.3312037037)</f>
        <v>46176.3312</v>
      </c>
      <c r="B885" s="122" t="str">
        <f>IFERROR(__xludf.DUMMYFUNCTION("""COMPUTED_VALUE"""),"BATT")</f>
        <v>BATT</v>
      </c>
      <c r="C885" s="122" t="str">
        <f>IFERROR(__xludf.DUMMYFUNCTION("""COMPUTED_VALUE"""),"BatteryBox reports steady growth and improved market confidence.")</f>
        <v>BatteryBox reports steady growth and improved market confidence.</v>
      </c>
      <c r="D885" s="122" t="str">
        <f>IFERROR(__xludf.DUMMYFUNCTION("""COMPUTED_VALUE"""),"BatteryBox continues to show positive momentum with moderate risk.")</f>
        <v>BatteryBox continues to show positive momentum with moderate risk.</v>
      </c>
      <c r="E885" s="122" t="str">
        <f>IFERROR(__xludf.DUMMYFUNCTION("""COMPUTED_VALUE"""),"Positive")</f>
        <v>Positive</v>
      </c>
      <c r="F885" s="122">
        <f>IFERROR(__xludf.DUMMYFUNCTION("""COMPUTED_VALUE"""),0.015)</f>
        <v>0.015</v>
      </c>
      <c r="G885" s="122">
        <f>IFERROR(__xludf.DUMMYFUNCTION("""COMPUTED_VALUE"""),0.5)</f>
        <v>0.5</v>
      </c>
      <c r="H885" s="122" t="str">
        <f>IFERROR(__xludf.DUMMYFUNCTION("""COMPUTED_VALUE"""),"Active")</f>
        <v>Active</v>
      </c>
    </row>
    <row r="886">
      <c r="A886" s="131">
        <f>IFERROR(__xludf.DUMMYFUNCTION("""COMPUTED_VALUE"""),46176.3312037037)</f>
        <v>46176.3312</v>
      </c>
      <c r="B886" s="122" t="str">
        <f>IFERROR(__xludf.DUMMYFUNCTION("""COMPUTED_VALUE"""),"WIND")</f>
        <v>WIND</v>
      </c>
      <c r="C886" s="122" t="str">
        <f>IFERROR(__xludf.DUMMYFUNCTION("""COMPUTED_VALUE"""),"WindWorks surges as demand rises across the Energy sector.")</f>
        <v>WindWorks surges as demand rises across the Energy sector.</v>
      </c>
      <c r="D886" s="122" t="str">
        <f>IFERROR(__xludf.DUMMYFUNCTION("""COMPUTED_VALUE"""),"WindWorks is seeing strong demand, which may increase investor confidence.")</f>
        <v>WindWorks is seeing strong demand, which may increase investor confidence.</v>
      </c>
      <c r="E886" s="122" t="str">
        <f>IFERROR(__xludf.DUMMYFUNCTION("""COMPUTED_VALUE"""),"Positive")</f>
        <v>Positive</v>
      </c>
      <c r="F886" s="122">
        <f>IFERROR(__xludf.DUMMYFUNCTION("""COMPUTED_VALUE"""),0.03)</f>
        <v>0.03</v>
      </c>
      <c r="G886" s="122">
        <f>IFERROR(__xludf.DUMMYFUNCTION("""COMPUTED_VALUE"""),1.0)</f>
        <v>1</v>
      </c>
      <c r="H886" s="122" t="str">
        <f>IFERROR(__xludf.DUMMYFUNCTION("""COMPUTED_VALUE"""),"Active")</f>
        <v>Active</v>
      </c>
    </row>
    <row r="887">
      <c r="A887" s="131">
        <f>IFERROR(__xludf.DUMMYFUNCTION("""COMPUTED_VALUE"""),46176.3312037037)</f>
        <v>46176.3312</v>
      </c>
      <c r="B887" s="122" t="str">
        <f>IFERROR(__xludf.DUMMYFUNCTION("""COMPUTED_VALUE"""),"GRID")</f>
        <v>GRID</v>
      </c>
      <c r="C887" s="122" t="str">
        <f>IFERROR(__xludf.DUMMYFUNCTION("""COMPUTED_VALUE"""),"GridPower reports steady growth and improved market confidence.")</f>
        <v>GridPower reports steady growth and improved market confidence.</v>
      </c>
      <c r="D887" s="122" t="str">
        <f>IFERROR(__xludf.DUMMYFUNCTION("""COMPUTED_VALUE"""),"GridPower continues to show positive momentum with moderate risk.")</f>
        <v>GridPower continues to show positive momentum with moderate risk.</v>
      </c>
      <c r="E887" s="122" t="str">
        <f>IFERROR(__xludf.DUMMYFUNCTION("""COMPUTED_VALUE"""),"Positive")</f>
        <v>Positive</v>
      </c>
      <c r="F887" s="122">
        <f>IFERROR(__xludf.DUMMYFUNCTION("""COMPUTED_VALUE"""),0.015)</f>
        <v>0.015</v>
      </c>
      <c r="G887" s="122">
        <f>IFERROR(__xludf.DUMMYFUNCTION("""COMPUTED_VALUE"""),0.5)</f>
        <v>0.5</v>
      </c>
      <c r="H887" s="122" t="str">
        <f>IFERROR(__xludf.DUMMYFUNCTION("""COMPUTED_VALUE"""),"Active")</f>
        <v>Active</v>
      </c>
    </row>
    <row r="888">
      <c r="A888" s="131">
        <f>IFERROR(__xludf.DUMMYFUNCTION("""COMPUTED_VALUE"""),46176.33121527778)</f>
        <v>46176.33122</v>
      </c>
      <c r="B888" s="122" t="str">
        <f>IFERROR(__xludf.DUMMYFUNCTION("""COMPUTED_VALUE"""),"HOME")</f>
        <v>HOME</v>
      </c>
      <c r="C888" s="122" t="str">
        <f>IFERROR(__xludf.DUMMYFUNCTION("""COMPUTED_VALUE"""),"HomeHub faces weaker demand and cautious investor sentiment.")</f>
        <v>HomeHub faces weaker demand and cautious investor sentiment.</v>
      </c>
      <c r="D888" s="122" t="str">
        <f>IFERROR(__xludf.DUMMYFUNCTION("""COMPUTED_VALUE"""),"Investors are watching HomeHub closely as demand weakens.")</f>
        <v>Investors are watching HomeHub closely as demand weakens.</v>
      </c>
      <c r="E888" s="122" t="str">
        <f>IFERROR(__xludf.DUMMYFUNCTION("""COMPUTED_VALUE"""),"Negative")</f>
        <v>Negative</v>
      </c>
      <c r="F888" s="122">
        <f>IFERROR(__xludf.DUMMYFUNCTION("""COMPUTED_VALUE"""),-0.015)</f>
        <v>-0.015</v>
      </c>
      <c r="G888" s="122">
        <f>IFERROR(__xludf.DUMMYFUNCTION("""COMPUTED_VALUE"""),0.75)</f>
        <v>0.75</v>
      </c>
      <c r="H888" s="122" t="str">
        <f>IFERROR(__xludf.DUMMYFUNCTION("""COMPUTED_VALUE"""),"Active")</f>
        <v>Active</v>
      </c>
    </row>
    <row r="889">
      <c r="A889" s="131">
        <f>IFERROR(__xludf.DUMMYFUNCTION("""COMPUTED_VALUE"""),46176.33121527778)</f>
        <v>46176.33122</v>
      </c>
      <c r="B889" s="122" t="str">
        <f>IFERROR(__xludf.DUMMYFUNCTION("""COMPUTED_VALUE"""),"RENT")</f>
        <v>RENT</v>
      </c>
      <c r="C889" s="122" t="str">
        <f>IFERROR(__xludf.DUMMYFUNCTION("""COMPUTED_VALUE"""),"RentRight drops sharply after major concerns hit the market.")</f>
        <v>RentRight drops sharply after major concerns hit the market.</v>
      </c>
      <c r="D889" s="122" t="str">
        <f>IFERROR(__xludf.DUMMYFUNCTION("""COMPUTED_VALUE"""),"RentRight is under pressure as investors react to worsening conditions.")</f>
        <v>RentRight is under pressure as investors react to worsening conditions.</v>
      </c>
      <c r="E889" s="122" t="str">
        <f>IFERROR(__xludf.DUMMYFUNCTION("""COMPUTED_VALUE"""),"Negative")</f>
        <v>Negative</v>
      </c>
      <c r="F889" s="122">
        <f>IFERROR(__xludf.DUMMYFUNCTION("""COMPUTED_VALUE"""),-0.04)</f>
        <v>-0.04</v>
      </c>
      <c r="G889" s="122">
        <f>IFERROR(__xludf.DUMMYFUNCTION("""COMPUTED_VALUE"""),2.0)</f>
        <v>2</v>
      </c>
      <c r="H889" s="122" t="str">
        <f>IFERROR(__xludf.DUMMYFUNCTION("""COMPUTED_VALUE"""),"Active")</f>
        <v>Active</v>
      </c>
    </row>
    <row r="890">
      <c r="A890" s="131">
        <f>IFERROR(__xludf.DUMMYFUNCTION("""COMPUTED_VALUE"""),46176.33121527778)</f>
        <v>46176.33122</v>
      </c>
      <c r="B890" s="122" t="str">
        <f>IFERROR(__xludf.DUMMYFUNCTION("""COMPUTED_VALUE"""),"MALL")</f>
        <v>MALL</v>
      </c>
      <c r="C890" s="122" t="str">
        <f>IFERROR(__xludf.DUMMYFUNCTION("""COMPUTED_VALUE"""),"MegaMall reports steady growth and improved market confidence.")</f>
        <v>MegaMall reports steady growth and improved market confidence.</v>
      </c>
      <c r="D890" s="122" t="str">
        <f>IFERROR(__xludf.DUMMYFUNCTION("""COMPUTED_VALUE"""),"MegaMall continues to show positive momentum with moderate risk.")</f>
        <v>MegaMall continues to show positive momentum with moderate risk.</v>
      </c>
      <c r="E890" s="122" t="str">
        <f>IFERROR(__xludf.DUMMYFUNCTION("""COMPUTED_VALUE"""),"Positive")</f>
        <v>Positive</v>
      </c>
      <c r="F890" s="122">
        <f>IFERROR(__xludf.DUMMYFUNCTION("""COMPUTED_VALUE"""),0.015)</f>
        <v>0.015</v>
      </c>
      <c r="G890" s="122">
        <f>IFERROR(__xludf.DUMMYFUNCTION("""COMPUTED_VALUE"""),0.5)</f>
        <v>0.5</v>
      </c>
      <c r="H890" s="122" t="str">
        <f>IFERROR(__xludf.DUMMYFUNCTION("""COMPUTED_VALUE"""),"Active")</f>
        <v>Active</v>
      </c>
    </row>
    <row r="891">
      <c r="A891" s="131">
        <f>IFERROR(__xludf.DUMMYFUNCTION("""COMPUTED_VALUE"""),46176.33122685185)</f>
        <v>46176.33123</v>
      </c>
      <c r="B891" s="122" t="str">
        <f>IFERROR(__xludf.DUMMYFUNCTION("""COMPUTED_VALUE"""),"HOTL")</f>
        <v>HOTL</v>
      </c>
      <c r="C891" s="122" t="str">
        <f>IFERROR(__xludf.DUMMYFUNCTION("""COMPUTED_VALUE"""),"HotelHive sees uncertain trading as investors react to mixed signals.")</f>
        <v>HotelHive sees uncertain trading as investors react to mixed signals.</v>
      </c>
      <c r="D891" s="122" t="str">
        <f>IFERROR(__xludf.DUMMYFUNCTION("""COMPUTED_VALUE"""),"HotelHive may experience larger price swings as investors disagree on direction.")</f>
        <v>HotelHive may experience larger price swings as investors disagree on direction.</v>
      </c>
      <c r="E891" s="122" t="str">
        <f>IFERROR(__xludf.DUMMYFUNCTION("""COMPUTED_VALUE"""),"Mixed")</f>
        <v>Mixed</v>
      </c>
      <c r="F891" s="122">
        <f>IFERROR(__xludf.DUMMYFUNCTION("""COMPUTED_VALUE"""),0.008531679969682564)</f>
        <v>0.00853167997</v>
      </c>
      <c r="G891" s="122">
        <f>IFERROR(__xludf.DUMMYFUNCTION("""COMPUTED_VALUE"""),1.5)</f>
        <v>1.5</v>
      </c>
      <c r="H891" s="122" t="str">
        <f>IFERROR(__xludf.DUMMYFUNCTION("""COMPUTED_VALUE"""),"Active")</f>
        <v>Active</v>
      </c>
    </row>
    <row r="892">
      <c r="A892" s="131">
        <f>IFERROR(__xludf.DUMMYFUNCTION("""COMPUTED_VALUE"""),46176.33122685185)</f>
        <v>46176.33123</v>
      </c>
      <c r="B892" s="122" t="str">
        <f>IFERROR(__xludf.DUMMYFUNCTION("""COMPUTED_VALUE"""),"LAND")</f>
        <v>LAND</v>
      </c>
      <c r="C892" s="122" t="str">
        <f>IFERROR(__xludf.DUMMYFUNCTION("""COMPUTED_VALUE"""),"LandLink remains stable as the Real Estate market shows normal activity.")</f>
        <v>LandLink remains stable as the Real Estate market shows normal activity.</v>
      </c>
      <c r="D892" s="122" t="str">
        <f>IFERROR(__xludf.DUMMYFUNCTION("""COMPUTED_VALUE"""),"LandLink appears steady with no major changes reported.")</f>
        <v>LandLink appears steady with no major changes reported.</v>
      </c>
      <c r="E892" s="122" t="str">
        <f>IFERROR(__xludf.DUMMYFUNCTION("""COMPUTED_VALUE"""),"Neutral")</f>
        <v>Neutral</v>
      </c>
      <c r="F892" s="122">
        <f>IFERROR(__xludf.DUMMYFUNCTION("""COMPUTED_VALUE"""),0.0)</f>
        <v>0</v>
      </c>
      <c r="G892" s="122">
        <f>IFERROR(__xludf.DUMMYFUNCTION("""COMPUTED_VALUE"""),0.0)</f>
        <v>0</v>
      </c>
      <c r="H892" s="122" t="str">
        <f>IFERROR(__xludf.DUMMYFUNCTION("""COMPUTED_VALUE"""),"Active")</f>
        <v>Active</v>
      </c>
    </row>
    <row r="893">
      <c r="A893" s="131">
        <f>IFERROR(__xludf.DUMMYFUNCTION("""COMPUTED_VALUE"""),46176.33122685185)</f>
        <v>46176.33123</v>
      </c>
      <c r="B893" s="122" t="str">
        <f>IFERROR(__xludf.DUMMYFUNCTION("""COMPUTED_VALUE"""),"CARS")</f>
        <v>CARS</v>
      </c>
      <c r="C893" s="122" t="str">
        <f>IFERROR(__xludf.DUMMYFUNCTION("""COMPUTED_VALUE"""),"AutoArena remains stable as the Automotive market shows normal activity.")</f>
        <v>AutoArena remains stable as the Automotive market shows normal activity.</v>
      </c>
      <c r="D893" s="122" t="str">
        <f>IFERROR(__xludf.DUMMYFUNCTION("""COMPUTED_VALUE"""),"AutoArena appears steady with no major changes reported.")</f>
        <v>AutoArena appears steady with no major changes reported.</v>
      </c>
      <c r="E893" s="122" t="str">
        <f>IFERROR(__xludf.DUMMYFUNCTION("""COMPUTED_VALUE"""),"Neutral")</f>
        <v>Neutral</v>
      </c>
      <c r="F893" s="122">
        <f>IFERROR(__xludf.DUMMYFUNCTION("""COMPUTED_VALUE"""),0.0)</f>
        <v>0</v>
      </c>
      <c r="G893" s="122">
        <f>IFERROR(__xludf.DUMMYFUNCTION("""COMPUTED_VALUE"""),0.0)</f>
        <v>0</v>
      </c>
      <c r="H893" s="122" t="str">
        <f>IFERROR(__xludf.DUMMYFUNCTION("""COMPUTED_VALUE"""),"Active")</f>
        <v>Active</v>
      </c>
    </row>
    <row r="894">
      <c r="A894" s="131">
        <f>IFERROR(__xludf.DUMMYFUNCTION("""COMPUTED_VALUE"""),46176.331238425926)</f>
        <v>46176.33124</v>
      </c>
      <c r="B894" s="122" t="str">
        <f>IFERROR(__xludf.DUMMYFUNCTION("""COMPUTED_VALUE"""),"EVGO")</f>
        <v>EVGO</v>
      </c>
      <c r="C894" s="122" t="str">
        <f>IFERROR(__xludf.DUMMYFUNCTION("""COMPUTED_VALUE"""),"EVGo Motors sees uncertain trading as investors react to mixed signals.")</f>
        <v>EVGo Motors sees uncertain trading as investors react to mixed signals.</v>
      </c>
      <c r="D894" s="122" t="str">
        <f>IFERROR(__xludf.DUMMYFUNCTION("""COMPUTED_VALUE"""),"EVGo Motors may experience larger price swings as investors disagree on direction.")</f>
        <v>EVGo Motors may experience larger price swings as investors disagree on direction.</v>
      </c>
      <c r="E894" s="122" t="str">
        <f>IFERROR(__xludf.DUMMYFUNCTION("""COMPUTED_VALUE"""),"Mixed")</f>
        <v>Mixed</v>
      </c>
      <c r="F894" s="122">
        <f>IFERROR(__xludf.DUMMYFUNCTION("""COMPUTED_VALUE"""),0.011109487457558024)</f>
        <v>0.01110948746</v>
      </c>
      <c r="G894" s="122">
        <f>IFERROR(__xludf.DUMMYFUNCTION("""COMPUTED_VALUE"""),1.5)</f>
        <v>1.5</v>
      </c>
      <c r="H894" s="122" t="str">
        <f>IFERROR(__xludf.DUMMYFUNCTION("""COMPUTED_VALUE"""),"Active")</f>
        <v>Active</v>
      </c>
    </row>
    <row r="895">
      <c r="A895" s="131">
        <f>IFERROR(__xludf.DUMMYFUNCTION("""COMPUTED_VALUE"""),46176.331238425926)</f>
        <v>46176.33124</v>
      </c>
      <c r="B895" s="122" t="str">
        <f>IFERROR(__xludf.DUMMYFUNCTION("""COMPUTED_VALUE"""),"TIRE")</f>
        <v>TIRE</v>
      </c>
      <c r="C895" s="122" t="str">
        <f>IFERROR(__xludf.DUMMYFUNCTION("""COMPUTED_VALUE"""),"TireTown reports steady growth and improved market confidence.")</f>
        <v>TireTown reports steady growth and improved market confidence.</v>
      </c>
      <c r="D895" s="122" t="str">
        <f>IFERROR(__xludf.DUMMYFUNCTION("""COMPUTED_VALUE"""),"TireTown continues to show positive momentum with moderate risk.")</f>
        <v>TireTown continues to show positive momentum with moderate risk.</v>
      </c>
      <c r="E895" s="122" t="str">
        <f>IFERROR(__xludf.DUMMYFUNCTION("""COMPUTED_VALUE"""),"Positive")</f>
        <v>Positive</v>
      </c>
      <c r="F895" s="122">
        <f>IFERROR(__xludf.DUMMYFUNCTION("""COMPUTED_VALUE"""),0.015)</f>
        <v>0.015</v>
      </c>
      <c r="G895" s="122">
        <f>IFERROR(__xludf.DUMMYFUNCTION("""COMPUTED_VALUE"""),0.5)</f>
        <v>0.5</v>
      </c>
      <c r="H895" s="122" t="str">
        <f>IFERROR(__xludf.DUMMYFUNCTION("""COMPUTED_VALUE"""),"Active")</f>
        <v>Active</v>
      </c>
    </row>
    <row r="896">
      <c r="A896" s="131">
        <f>IFERROR(__xludf.DUMMYFUNCTION("""COMPUTED_VALUE"""),46176.33125)</f>
        <v>46176.33125</v>
      </c>
      <c r="B896" s="122" t="str">
        <f>IFERROR(__xludf.DUMMYFUNCTION("""COMPUTED_VALUE"""),"BIKE")</f>
        <v>BIKE</v>
      </c>
      <c r="C896" s="122" t="str">
        <f>IFERROR(__xludf.DUMMYFUNCTION("""COMPUTED_VALUE"""),"BikeBox remains stable as the Automotive market shows normal activity.")</f>
        <v>BikeBox remains stable as the Automotive market shows normal activity.</v>
      </c>
      <c r="D896" s="122" t="str">
        <f>IFERROR(__xludf.DUMMYFUNCTION("""COMPUTED_VALUE"""),"BikeBox appears steady with no major changes reported.")</f>
        <v>BikeBox appears steady with no major changes reported.</v>
      </c>
      <c r="E896" s="122" t="str">
        <f>IFERROR(__xludf.DUMMYFUNCTION("""COMPUTED_VALUE"""),"Neutral")</f>
        <v>Neutral</v>
      </c>
      <c r="F896" s="122">
        <f>IFERROR(__xludf.DUMMYFUNCTION("""COMPUTED_VALUE"""),0.0)</f>
        <v>0</v>
      </c>
      <c r="G896" s="122">
        <f>IFERROR(__xludf.DUMMYFUNCTION("""COMPUTED_VALUE"""),0.0)</f>
        <v>0</v>
      </c>
      <c r="H896" s="122" t="str">
        <f>IFERROR(__xludf.DUMMYFUNCTION("""COMPUTED_VALUE"""),"Active")</f>
        <v>Active</v>
      </c>
    </row>
    <row r="897">
      <c r="A897" s="131">
        <f>IFERROR(__xludf.DUMMYFUNCTION("""COMPUTED_VALUE"""),46176.33125)</f>
        <v>46176.33125</v>
      </c>
      <c r="B897" s="122" t="str">
        <f>IFERROR(__xludf.DUMMYFUNCTION("""COMPUTED_VALUE"""),"WASH")</f>
        <v>WASH</v>
      </c>
      <c r="C897" s="122" t="str">
        <f>IFERROR(__xludf.DUMMYFUNCTION("""COMPUTED_VALUE"""),"CarWash Co faces weaker demand and cautious investor sentiment.")</f>
        <v>CarWash Co faces weaker demand and cautious investor sentiment.</v>
      </c>
      <c r="D897" s="122" t="str">
        <f>IFERROR(__xludf.DUMMYFUNCTION("""COMPUTED_VALUE"""),"Investors are watching CarWash Co closely as demand weakens.")</f>
        <v>Investors are watching CarWash Co closely as demand weakens.</v>
      </c>
      <c r="E897" s="122" t="str">
        <f>IFERROR(__xludf.DUMMYFUNCTION("""COMPUTED_VALUE"""),"Negative")</f>
        <v>Negative</v>
      </c>
      <c r="F897" s="122">
        <f>IFERROR(__xludf.DUMMYFUNCTION("""COMPUTED_VALUE"""),-0.015)</f>
        <v>-0.015</v>
      </c>
      <c r="G897" s="122">
        <f>IFERROR(__xludf.DUMMYFUNCTION("""COMPUTED_VALUE"""),0.75)</f>
        <v>0.75</v>
      </c>
      <c r="H897" s="122" t="str">
        <f>IFERROR(__xludf.DUMMYFUNCTION("""COMPUTED_VALUE"""),"Active")</f>
        <v>Active</v>
      </c>
    </row>
    <row r="898">
      <c r="A898" s="131">
        <f>IFERROR(__xludf.DUMMYFUNCTION("""COMPUTED_VALUE"""),46176.33125)</f>
        <v>46176.33125</v>
      </c>
      <c r="B898" s="122" t="str">
        <f>IFERROR(__xludf.DUMMYFUNCTION("""COMPUTED_VALUE"""),"GBND")</f>
        <v>GBND</v>
      </c>
      <c r="C898" s="122" t="str">
        <f>IFERROR(__xludf.DUMMYFUNCTION("""COMPUTED_VALUE"""),"Classroom Government Bond remains steady as investors seek stability.")</f>
        <v>Classroom Government Bond remains steady as investors seek stability.</v>
      </c>
      <c r="D898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898" s="122" t="str">
        <f>IFERROR(__xludf.DUMMYFUNCTION("""COMPUTED_VALUE"""),"Neutral")</f>
        <v>Neutral</v>
      </c>
      <c r="F898" s="122">
        <f>IFERROR(__xludf.DUMMYFUNCTION("""COMPUTED_VALUE"""),0.0)</f>
        <v>0</v>
      </c>
      <c r="G898" s="122">
        <f>IFERROR(__xludf.DUMMYFUNCTION("""COMPUTED_VALUE"""),0.0)</f>
        <v>0</v>
      </c>
      <c r="H898" s="122" t="str">
        <f>IFERROR(__xludf.DUMMYFUNCTION("""COMPUTED_VALUE"""),"Active")</f>
        <v>Active</v>
      </c>
    </row>
    <row r="899">
      <c r="A899" s="131">
        <f>IFERROR(__xludf.DUMMYFUNCTION("""COMPUTED_VALUE"""),46176.33126157407)</f>
        <v>46176.33126</v>
      </c>
      <c r="B899" s="122" t="str">
        <f>IFERROR(__xludf.DUMMYFUNCTION("""COMPUTED_VALUE"""),"SBND")</f>
        <v>SBND</v>
      </c>
      <c r="C899" s="122" t="str">
        <f>IFERROR(__xludf.DUMMYFUNCTION("""COMPUTED_VALUE"""),"School Savings Bond remains steady as investors seek stability.")</f>
        <v>School Savings Bond remains steady as investors seek stability.</v>
      </c>
      <c r="D899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899" s="122" t="str">
        <f>IFERROR(__xludf.DUMMYFUNCTION("""COMPUTED_VALUE"""),"Neutral")</f>
        <v>Neutral</v>
      </c>
      <c r="F899" s="122">
        <f>IFERROR(__xludf.DUMMYFUNCTION("""COMPUTED_VALUE"""),0.0)</f>
        <v>0</v>
      </c>
      <c r="G899" s="122">
        <f>IFERROR(__xludf.DUMMYFUNCTION("""COMPUTED_VALUE"""),0.0)</f>
        <v>0</v>
      </c>
      <c r="H899" s="122" t="str">
        <f>IFERROR(__xludf.DUMMYFUNCTION("""COMPUTED_VALUE"""),"Active")</f>
        <v>Active</v>
      </c>
    </row>
    <row r="900">
      <c r="A900" s="131">
        <f>IFERROR(__xludf.DUMMYFUNCTION("""COMPUTED_VALUE"""),46176.33126157407)</f>
        <v>46176.33126</v>
      </c>
      <c r="B900" s="122" t="str">
        <f>IFERROR(__xludf.DUMMYFUNCTION("""COMPUTED_VALUE"""),"CBND")</f>
        <v>CBND</v>
      </c>
      <c r="C900" s="122" t="str">
        <f>IFERROR(__xludf.DUMMYFUNCTION("""COMPUTED_VALUE"""),"Corporate Classroom Bond remains steady as investors seek stability.")</f>
        <v>Corporate Classroom Bond remains steady as investors seek stability.</v>
      </c>
      <c r="D900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900" s="122" t="str">
        <f>IFERROR(__xludf.DUMMYFUNCTION("""COMPUTED_VALUE"""),"Neutral")</f>
        <v>Neutral</v>
      </c>
      <c r="F900" s="122">
        <f>IFERROR(__xludf.DUMMYFUNCTION("""COMPUTED_VALUE"""),0.0)</f>
        <v>0</v>
      </c>
      <c r="G900" s="122">
        <f>IFERROR(__xludf.DUMMYFUNCTION("""COMPUTED_VALUE"""),0.0)</f>
        <v>0</v>
      </c>
      <c r="H900" s="122" t="str">
        <f>IFERROR(__xludf.DUMMYFUNCTION("""COMPUTED_VALUE"""),"Active")</f>
        <v>Active</v>
      </c>
    </row>
    <row r="901">
      <c r="A901" s="131">
        <f>IFERROR(__xludf.DUMMYFUNCTION("""COMPUTED_VALUE"""),46176.33127314815)</f>
        <v>46176.33127</v>
      </c>
      <c r="B901" s="122" t="str">
        <f>IFERROR(__xludf.DUMMYFUNCTION("""COMPUTED_VALUE"""),"TBIL")</f>
        <v>TBIL</v>
      </c>
      <c r="C901" s="122" t="str">
        <f>IFERROR(__xludf.DUMMYFUNCTION("""COMPUTED_VALUE"""),"Treasury Bill remains steady as investors seek stability.")</f>
        <v>Treasury Bill remains steady as investors seek stability.</v>
      </c>
      <c r="D901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901" s="122" t="str">
        <f>IFERROR(__xludf.DUMMYFUNCTION("""COMPUTED_VALUE"""),"Neutral")</f>
        <v>Neutral</v>
      </c>
      <c r="F901" s="122">
        <f>IFERROR(__xludf.DUMMYFUNCTION("""COMPUTED_VALUE"""),0.0)</f>
        <v>0</v>
      </c>
      <c r="G901" s="122">
        <f>IFERROR(__xludf.DUMMYFUNCTION("""COMPUTED_VALUE"""),0.0)</f>
        <v>0</v>
      </c>
      <c r="H901" s="122" t="str">
        <f>IFERROR(__xludf.DUMMYFUNCTION("""COMPUTED_VALUE"""),"Active")</f>
        <v>Active</v>
      </c>
    </row>
    <row r="902">
      <c r="A902" s="131">
        <f>IFERROR(__xludf.DUMMYFUNCTION("""COMPUTED_VALUE"""),46176.331296296295)</f>
        <v>46176.3313</v>
      </c>
      <c r="B902" s="122" t="str">
        <f>IFERROR(__xludf.DUMMYFUNCTION("""COMPUTED_VALUE"""),"IBND")</f>
        <v>IBND</v>
      </c>
      <c r="C902" s="122" t="str">
        <f>IFERROR(__xludf.DUMMYFUNCTION("""COMPUTED_VALUE"""),"Inflation Protected Bond remains steady as investors seek stability.")</f>
        <v>Inflation Protected Bond remains steady as investors seek stability.</v>
      </c>
      <c r="D902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902" s="122" t="str">
        <f>IFERROR(__xludf.DUMMYFUNCTION("""COMPUTED_VALUE"""),"Neutral")</f>
        <v>Neutral</v>
      </c>
      <c r="F902" s="122">
        <f>IFERROR(__xludf.DUMMYFUNCTION("""COMPUTED_VALUE"""),0.0)</f>
        <v>0</v>
      </c>
      <c r="G902" s="122">
        <f>IFERROR(__xludf.DUMMYFUNCTION("""COMPUTED_VALUE"""),0.0)</f>
        <v>0</v>
      </c>
      <c r="H902" s="122" t="str">
        <f>IFERROR(__xludf.DUMMYFUNCTION("""COMPUTED_VALUE"""),"Active")</f>
        <v>Active</v>
      </c>
    </row>
    <row r="903">
      <c r="A903" s="131">
        <f>IFERROR(__xludf.DUMMYFUNCTION("""COMPUTED_VALUE"""),46176.33880787037)</f>
        <v>46176.33881</v>
      </c>
      <c r="B903" s="122" t="str">
        <f>IFERROR(__xludf.DUMMYFUNCTION("""COMPUTED_VALUE"""),"MARKET")</f>
        <v>MARKET</v>
      </c>
      <c r="C903" s="122" t="str">
        <f>IFERROR(__xludf.DUMMYFUNCTION("""COMPUTED_VALUE"""),"Economic Shock Hits the Market")</f>
        <v>Economic Shock Hits the Market</v>
      </c>
      <c r="D903" s="122" t="str">
        <f>IFERROR(__xludf.DUMMYFUNCTION("""COMPUTED_VALUE"""),"A sudden economic shock hit the classroom market today. Around 60% of non-bond companies were affected, causing sharp price declines and increased volatility across multiple sectors. Bond instruments remained comparatively stable.")</f>
        <v>A sudden economic shock hit the classroom market today. Around 60% of non-bond companies were affected, causing sharp price declines and increased volatility across multiple sectors. Bond instruments remained comparatively stable.</v>
      </c>
      <c r="E903" s="122" t="str">
        <f>IFERROR(__xludf.DUMMYFUNCTION("""COMPUTED_VALUE"""),"Negative")</f>
        <v>Negative</v>
      </c>
      <c r="F903" s="122">
        <f>IFERROR(__xludf.DUMMYFUNCTION("""COMPUTED_VALUE"""),-0.08)</f>
        <v>-0.08</v>
      </c>
      <c r="G903" s="122">
        <f>IFERROR(__xludf.DUMMYFUNCTION("""COMPUTED_VALUE"""),2.0)</f>
        <v>2</v>
      </c>
      <c r="H903" s="122" t="str">
        <f>IFERROR(__xludf.DUMMYFUNCTION("""COMPUTED_VALUE"""),"Active")</f>
        <v>Active</v>
      </c>
    </row>
    <row r="904">
      <c r="A904" s="131">
        <f>IFERROR(__xludf.DUMMYFUNCTION("""COMPUTED_VALUE"""),46177.31756944444)</f>
        <v>46177.31757</v>
      </c>
      <c r="B904" s="122" t="str">
        <f>IFERROR(__xludf.DUMMYFUNCTION("""COMPUTED_VALUE"""),"IDOL")</f>
        <v>IDOL</v>
      </c>
      <c r="C904" s="122" t="str">
        <f>IFERROR(__xludf.DUMMYFUNCTION("""COMPUTED_VALUE"""),"Idol Agency releases earnings report: Miss profit, guidance Lowered.")</f>
        <v>Idol Agency releases earnings report: Miss profit, guidance Lowered.</v>
      </c>
      <c r="D904" s="122" t="str">
        <f>IFERROR(__xludf.DUMMYFUNCTION("""COMPUTED_VALUE"""),"Earnings report: revenue Miss, profit Miss, debt Worse, guidance Lowered.")</f>
        <v>Earnings report: revenue Miss, profit Miss, debt Worse, guidance Lowered.</v>
      </c>
      <c r="E904" s="122" t="str">
        <f>IFERROR(__xludf.DUMMYFUNCTION("""COMPUTED_VALUE"""),"Negative")</f>
        <v>Negative</v>
      </c>
      <c r="F904" s="122">
        <f>IFERROR(__xludf.DUMMYFUNCTION("""COMPUTED_VALUE"""),-0.0257687437667089)</f>
        <v>-0.02576874377</v>
      </c>
      <c r="G904" s="122">
        <f>IFERROR(__xludf.DUMMYFUNCTION("""COMPUTED_VALUE"""),0.6442185941677225)</f>
        <v>0.6442185942</v>
      </c>
      <c r="H904" s="122" t="str">
        <f>IFERROR(__xludf.DUMMYFUNCTION("""COMPUTED_VALUE"""),"Active")</f>
        <v>Active</v>
      </c>
    </row>
    <row r="905">
      <c r="A905" s="131">
        <f>IFERROR(__xludf.DUMMYFUNCTION("""COMPUTED_VALUE"""),46177.31765046297)</f>
        <v>46177.31765</v>
      </c>
      <c r="B905" s="122" t="str">
        <f>IFERROR(__xludf.DUMMYFUNCTION("""COMPUTED_VALUE"""),"VITA")</f>
        <v>VITA</v>
      </c>
      <c r="C905" s="122" t="str">
        <f>IFERROR(__xludf.DUMMYFUNCTION("""COMPUTED_VALUE"""),"VitaPlus releases earnings report: Miss profit, guidance Lowered.")</f>
        <v>VitaPlus releases earnings report: Miss profit, guidance Lowered.</v>
      </c>
      <c r="D905" s="122" t="str">
        <f>IFERROR(__xludf.DUMMYFUNCTION("""COMPUTED_VALUE"""),"Earnings report: revenue Miss, profit Miss, debt Worse, guidance Lowered.")</f>
        <v>Earnings report: revenue Miss, profit Miss, debt Worse, guidance Lowered.</v>
      </c>
      <c r="E905" s="122" t="str">
        <f>IFERROR(__xludf.DUMMYFUNCTION("""COMPUTED_VALUE"""),"Negative")</f>
        <v>Negative</v>
      </c>
      <c r="F905" s="122">
        <f>IFERROR(__xludf.DUMMYFUNCTION("""COMPUTED_VALUE"""),-0.05692715062451179)</f>
        <v>-0.05692715062</v>
      </c>
      <c r="G905" s="122">
        <f>IFERROR(__xludf.DUMMYFUNCTION("""COMPUTED_VALUE"""),1.4231787656127948)</f>
        <v>1.423178766</v>
      </c>
      <c r="H905" s="122" t="str">
        <f>IFERROR(__xludf.DUMMYFUNCTION("""COMPUTED_VALUE"""),"Active")</f>
        <v>Active</v>
      </c>
    </row>
    <row r="906">
      <c r="A906" s="131">
        <f>IFERROR(__xludf.DUMMYFUNCTION("""COMPUTED_VALUE"""),46177.317719907405)</f>
        <v>46177.31772</v>
      </c>
      <c r="B906" s="122" t="str">
        <f>IFERROR(__xludf.DUMMYFUNCTION("""COMPUTED_VALUE"""),"HOTL")</f>
        <v>HOTL</v>
      </c>
      <c r="C906" s="122" t="str">
        <f>IFERROR(__xludf.DUMMYFUNCTION("""COMPUTED_VALUE"""),"HotelHive releases earnings report: Beat profit, guidance Maintained.")</f>
        <v>HotelHive releases earnings report: Beat profit, guidance Maintained.</v>
      </c>
      <c r="D906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906" s="122" t="str">
        <f>IFERROR(__xludf.DUMMYFUNCTION("""COMPUTED_VALUE"""),"Positive")</f>
        <v>Positive</v>
      </c>
      <c r="F906" s="122">
        <f>IFERROR(__xludf.DUMMYFUNCTION("""COMPUTED_VALUE"""),0.012788416589461131)</f>
        <v>0.01278841659</v>
      </c>
      <c r="G906" s="122">
        <f>IFERROR(__xludf.DUMMYFUNCTION("""COMPUTED_VALUE"""),0.3197104147365283)</f>
        <v>0.3197104147</v>
      </c>
      <c r="H906" s="122" t="str">
        <f>IFERROR(__xludf.DUMMYFUNCTION("""COMPUTED_VALUE"""),"Active")</f>
        <v>Active</v>
      </c>
    </row>
    <row r="907">
      <c r="A907" s="131">
        <f>IFERROR(__xludf.DUMMYFUNCTION("""COMPUTED_VALUE"""),46177.3178125)</f>
        <v>46177.31781</v>
      </c>
      <c r="B907" s="122" t="str">
        <f>IFERROR(__xludf.DUMMYFUNCTION("""COMPUTED_VALUE"""),"TUTR")</f>
        <v>TUTR</v>
      </c>
      <c r="C907" s="122" t="str">
        <f>IFERROR(__xludf.DUMMYFUNCTION("""COMPUTED_VALUE"""),"TutorTown releases earnings report: Beat profit, guidance Raised.")</f>
        <v>TutorTown releases earnings report: Beat profit, guidance Raised.</v>
      </c>
      <c r="D90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07" s="122" t="str">
        <f>IFERROR(__xludf.DUMMYFUNCTION("""COMPUTED_VALUE"""),"Positive")</f>
        <v>Positive</v>
      </c>
      <c r="F907" s="122">
        <f>IFERROR(__xludf.DUMMYFUNCTION("""COMPUTED_VALUE"""),0.02937780830976602)</f>
        <v>0.02937780831</v>
      </c>
      <c r="G907" s="122">
        <f>IFERROR(__xludf.DUMMYFUNCTION("""COMPUTED_VALUE"""),0.7344452077441505)</f>
        <v>0.7344452077</v>
      </c>
      <c r="H907" s="122" t="str">
        <f>IFERROR(__xludf.DUMMYFUNCTION("""COMPUTED_VALUE"""),"Active")</f>
        <v>Active</v>
      </c>
    </row>
    <row r="908">
      <c r="A908" s="131">
        <f>IFERROR(__xludf.DUMMYFUNCTION("""COMPUTED_VALUE"""),46177.317881944444)</f>
        <v>46177.31788</v>
      </c>
      <c r="B908" s="122" t="str">
        <f>IFERROR(__xludf.DUMMYFUNCTION("""COMPUTED_VALUE"""),"CARS")</f>
        <v>CARS</v>
      </c>
      <c r="C908" s="122" t="str">
        <f>IFERROR(__xludf.DUMMYFUNCTION("""COMPUTED_VALUE"""),"AutoArena releases earnings report: Miss profit, guidance Lowered.")</f>
        <v>AutoArena releases earnings report: Miss profit, guidance Lowered.</v>
      </c>
      <c r="D908" s="122" t="str">
        <f>IFERROR(__xludf.DUMMYFUNCTION("""COMPUTED_VALUE"""),"Earnings report: revenue Miss, profit Miss, debt Worse, guidance Lowered.")</f>
        <v>Earnings report: revenue Miss, profit Miss, debt Worse, guidance Lowered.</v>
      </c>
      <c r="E908" s="122" t="str">
        <f>IFERROR(__xludf.DUMMYFUNCTION("""COMPUTED_VALUE"""),"Negative")</f>
        <v>Negative</v>
      </c>
      <c r="F908" s="122">
        <f>IFERROR(__xludf.DUMMYFUNCTION("""COMPUTED_VALUE"""),-0.024567570365422137)</f>
        <v>-0.02456757037</v>
      </c>
      <c r="G908" s="122">
        <f>IFERROR(__xludf.DUMMYFUNCTION("""COMPUTED_VALUE"""),0.6141892591355534)</f>
        <v>0.6141892591</v>
      </c>
      <c r="H908" s="122" t="str">
        <f>IFERROR(__xludf.DUMMYFUNCTION("""COMPUTED_VALUE"""),"Active")</f>
        <v>Active</v>
      </c>
    </row>
    <row r="909">
      <c r="A909" s="131">
        <f>IFERROR(__xludf.DUMMYFUNCTION("""COMPUTED_VALUE"""),46177.31795138889)</f>
        <v>46177.31795</v>
      </c>
      <c r="B909" s="122" t="str">
        <f>IFERROR(__xludf.DUMMYFUNCTION("""COMPUTED_VALUE"""),"VEGI")</f>
        <v>VEGI</v>
      </c>
      <c r="C909" s="122" t="str">
        <f>IFERROR(__xludf.DUMMYFUNCTION("""COMPUTED_VALUE"""),"Green Basket releases earnings report: Beat profit, guidance Raised.")</f>
        <v>Green Basket releases earnings report: Beat profit, guidance Raised.</v>
      </c>
      <c r="D90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09" s="122" t="str">
        <f>IFERROR(__xludf.DUMMYFUNCTION("""COMPUTED_VALUE"""),"Positive")</f>
        <v>Positive</v>
      </c>
      <c r="F909" s="122">
        <f>IFERROR(__xludf.DUMMYFUNCTION("""COMPUTED_VALUE"""),0.05300919829565045)</f>
        <v>0.0530091983</v>
      </c>
      <c r="G909" s="122">
        <f>IFERROR(__xludf.DUMMYFUNCTION("""COMPUTED_VALUE"""),1.3252299573912611)</f>
        <v>1.325229957</v>
      </c>
      <c r="H909" s="122" t="str">
        <f>IFERROR(__xludf.DUMMYFUNCTION("""COMPUTED_VALUE"""),"Active")</f>
        <v>Active</v>
      </c>
    </row>
    <row r="910">
      <c r="A910" s="131">
        <f>IFERROR(__xludf.DUMMYFUNCTION("""COMPUTED_VALUE"""),46177.318020833336)</f>
        <v>46177.31802</v>
      </c>
      <c r="B910" s="122" t="str">
        <f>IFERROR(__xludf.DUMMYFUNCTION("""COMPUTED_VALUE"""),"VRSE")</f>
        <v>VRSE</v>
      </c>
      <c r="C910" s="122" t="str">
        <f>IFERROR(__xludf.DUMMYFUNCTION("""COMPUTED_VALUE"""),"VerseVR releases earnings report: Beat profit, guidance Raised.")</f>
        <v>VerseVR releases earnings report: Beat profit, guidance Raised.</v>
      </c>
      <c r="D91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10" s="122" t="str">
        <f>IFERROR(__xludf.DUMMYFUNCTION("""COMPUTED_VALUE"""),"Positive")</f>
        <v>Positive</v>
      </c>
      <c r="F910" s="122">
        <f>IFERROR(__xludf.DUMMYFUNCTION("""COMPUTED_VALUE"""),0.04761452078381266)</f>
        <v>0.04761452078</v>
      </c>
      <c r="G910" s="122">
        <f>IFERROR(__xludf.DUMMYFUNCTION("""COMPUTED_VALUE"""),1.1903630195953165)</f>
        <v>1.19036302</v>
      </c>
      <c r="H910" s="122" t="str">
        <f>IFERROR(__xludf.DUMMYFUNCTION("""COMPUTED_VALUE"""),"Active")</f>
        <v>Active</v>
      </c>
    </row>
    <row r="911">
      <c r="A911" s="131">
        <f>IFERROR(__xludf.DUMMYFUNCTION("""COMPUTED_VALUE"""),46177.318078703705)</f>
        <v>46177.31808</v>
      </c>
      <c r="B911" s="122" t="str">
        <f>IFERROR(__xludf.DUMMYFUNCTION("""COMPUTED_VALUE"""),"DRON")</f>
        <v>DRON</v>
      </c>
      <c r="C911" s="122" t="str">
        <f>IFERROR(__xludf.DUMMYFUNCTION("""COMPUTED_VALUE"""),"DroneDrop releases earnings report: Miss profit, guidance Lowered.")</f>
        <v>DroneDrop releases earnings report: Miss profit, guidance Lowered.</v>
      </c>
      <c r="D911" s="122" t="str">
        <f>IFERROR(__xludf.DUMMYFUNCTION("""COMPUTED_VALUE"""),"Earnings report: revenue Miss, profit Miss, debt Worse, guidance Lowered.")</f>
        <v>Earnings report: revenue Miss, profit Miss, debt Worse, guidance Lowered.</v>
      </c>
      <c r="E911" s="122" t="str">
        <f>IFERROR(__xludf.DUMMYFUNCTION("""COMPUTED_VALUE"""),"Negative")</f>
        <v>Negative</v>
      </c>
      <c r="F911" s="122">
        <f>IFERROR(__xludf.DUMMYFUNCTION("""COMPUTED_VALUE"""),-0.02335704299443772)</f>
        <v>-0.02335704299</v>
      </c>
      <c r="G911" s="122">
        <f>IFERROR(__xludf.DUMMYFUNCTION("""COMPUTED_VALUE"""),0.5839260748609431)</f>
        <v>0.5839260749</v>
      </c>
      <c r="H911" s="122" t="str">
        <f>IFERROR(__xludf.DUMMYFUNCTION("""COMPUTED_VALUE"""),"Active")</f>
        <v>Active</v>
      </c>
    </row>
    <row r="912">
      <c r="A912" s="131">
        <f>IFERROR(__xludf.DUMMYFUNCTION("""COMPUTED_VALUE"""),46177.31815972222)</f>
        <v>46177.31816</v>
      </c>
      <c r="B912" s="122" t="str">
        <f>IFERROR(__xludf.DUMMYFUNCTION("""COMPUTED_VALUE"""),"FARM")</f>
        <v>FARM</v>
      </c>
      <c r="C912" s="122" t="str">
        <f>IFERROR(__xludf.DUMMYFUNCTION("""COMPUTED_VALUE"""),"Future Farms releases earnings report: Miss profit, guidance Lowered.")</f>
        <v>Future Farms releases earnings report: Miss profit, guidance Lowered.</v>
      </c>
      <c r="D912" s="122" t="str">
        <f>IFERROR(__xludf.DUMMYFUNCTION("""COMPUTED_VALUE"""),"Earnings report: revenue Miss, profit Miss, debt Worse, guidance Lowered.")</f>
        <v>Earnings report: revenue Miss, profit Miss, debt Worse, guidance Lowered.</v>
      </c>
      <c r="E912" s="122" t="str">
        <f>IFERROR(__xludf.DUMMYFUNCTION("""COMPUTED_VALUE"""),"Negative")</f>
        <v>Negative</v>
      </c>
      <c r="F912" s="122">
        <f>IFERROR(__xludf.DUMMYFUNCTION("""COMPUTED_VALUE"""),-0.030211718669446535)</f>
        <v>-0.03021171867</v>
      </c>
      <c r="G912" s="122">
        <f>IFERROR(__xludf.DUMMYFUNCTION("""COMPUTED_VALUE"""),0.7552929667361634)</f>
        <v>0.7552929667</v>
      </c>
      <c r="H912" s="122" t="str">
        <f>IFERROR(__xludf.DUMMYFUNCTION("""COMPUTED_VALUE"""),"Active")</f>
        <v>Active</v>
      </c>
    </row>
    <row r="913">
      <c r="A913" s="131">
        <f>IFERROR(__xludf.DUMMYFUNCTION("""COMPUTED_VALUE"""),46177.3308912037)</f>
        <v>46177.33089</v>
      </c>
      <c r="B913" s="122" t="str">
        <f>IFERROR(__xludf.DUMMYFUNCTION("""COMPUTED_VALUE"""),"SNAX")</f>
        <v>SNAX</v>
      </c>
      <c r="C913" s="122" t="str">
        <f>IFERROR(__xludf.DUMMYFUNCTION("""COMPUTED_VALUE"""),"MICA Snacks surges as demand rises across the Consumer Goods sector.")</f>
        <v>MICA Snacks surges as demand rises across the Consumer Goods sector.</v>
      </c>
      <c r="D913" s="122" t="str">
        <f>IFERROR(__xludf.DUMMYFUNCTION("""COMPUTED_VALUE"""),"MICA Snacks is seeing strong demand, which may increase investor confidence.")</f>
        <v>MICA Snacks is seeing strong demand, which may increase investor confidence.</v>
      </c>
      <c r="E913" s="122" t="str">
        <f>IFERROR(__xludf.DUMMYFUNCTION("""COMPUTED_VALUE"""),"Positive")</f>
        <v>Positive</v>
      </c>
      <c r="F913" s="122">
        <f>IFERROR(__xludf.DUMMYFUNCTION("""COMPUTED_VALUE"""),0.03)</f>
        <v>0.03</v>
      </c>
      <c r="G913" s="122">
        <f>IFERROR(__xludf.DUMMYFUNCTION("""COMPUTED_VALUE"""),1.0)</f>
        <v>1</v>
      </c>
      <c r="H913" s="122" t="str">
        <f>IFERROR(__xludf.DUMMYFUNCTION("""COMPUTED_VALUE"""),"Active")</f>
        <v>Active</v>
      </c>
    </row>
    <row r="914">
      <c r="A914" s="131">
        <f>IFERROR(__xludf.DUMMYFUNCTION("""COMPUTED_VALUE"""),46177.33090277778)</f>
        <v>46177.3309</v>
      </c>
      <c r="B914" s="122" t="str">
        <f>IFERROR(__xludf.DUMMYFUNCTION("""COMPUTED_VALUE"""),"RAMN")</f>
        <v>RAMN</v>
      </c>
      <c r="C914" s="122" t="str">
        <f>IFERROR(__xludf.DUMMYFUNCTION("""COMPUTED_VALUE"""),"Ramen Republic faces weaker demand and cautious investor sentiment.")</f>
        <v>Ramen Republic faces weaker demand and cautious investor sentiment.</v>
      </c>
      <c r="D914" s="122" t="str">
        <f>IFERROR(__xludf.DUMMYFUNCTION("""COMPUTED_VALUE"""),"Investors are watching Ramen Republic closely as demand weakens.")</f>
        <v>Investors are watching Ramen Republic closely as demand weakens.</v>
      </c>
      <c r="E914" s="122" t="str">
        <f>IFERROR(__xludf.DUMMYFUNCTION("""COMPUTED_VALUE"""),"Negative")</f>
        <v>Negative</v>
      </c>
      <c r="F914" s="122">
        <f>IFERROR(__xludf.DUMMYFUNCTION("""COMPUTED_VALUE"""),-0.015)</f>
        <v>-0.015</v>
      </c>
      <c r="G914" s="122">
        <f>IFERROR(__xludf.DUMMYFUNCTION("""COMPUTED_VALUE"""),0.75)</f>
        <v>0.75</v>
      </c>
      <c r="H914" s="122" t="str">
        <f>IFERROR(__xludf.DUMMYFUNCTION("""COMPUTED_VALUE"""),"Active")</f>
        <v>Active</v>
      </c>
    </row>
    <row r="915">
      <c r="A915" s="131">
        <f>IFERROR(__xludf.DUMMYFUNCTION("""COMPUTED_VALUE"""),46177.33090277778)</f>
        <v>46177.3309</v>
      </c>
      <c r="B915" s="122" t="str">
        <f>IFERROR(__xludf.DUMMYFUNCTION("""COMPUTED_VALUE"""),"COLA")</f>
        <v>COLA</v>
      </c>
      <c r="C915" s="122" t="str">
        <f>IFERROR(__xludf.DUMMYFUNCTION("""COMPUTED_VALUE"""),"K-Pop Cola remains stable as the Beverage market shows normal activity.")</f>
        <v>K-Pop Cola remains stable as the Beverage market shows normal activity.</v>
      </c>
      <c r="D915" s="122" t="str">
        <f>IFERROR(__xludf.DUMMYFUNCTION("""COMPUTED_VALUE"""),"K-Pop Cola appears steady with no major changes reported.")</f>
        <v>K-Pop Cola appears steady with no major changes reported.</v>
      </c>
      <c r="E915" s="122" t="str">
        <f>IFERROR(__xludf.DUMMYFUNCTION("""COMPUTED_VALUE"""),"Neutral")</f>
        <v>Neutral</v>
      </c>
      <c r="F915" s="122">
        <f>IFERROR(__xludf.DUMMYFUNCTION("""COMPUTED_VALUE"""),0.0)</f>
        <v>0</v>
      </c>
      <c r="G915" s="122">
        <f>IFERROR(__xludf.DUMMYFUNCTION("""COMPUTED_VALUE"""),0.0)</f>
        <v>0</v>
      </c>
      <c r="H915" s="122" t="str">
        <f>IFERROR(__xludf.DUMMYFUNCTION("""COMPUTED_VALUE"""),"Active")</f>
        <v>Active</v>
      </c>
    </row>
    <row r="916">
      <c r="A916" s="131">
        <f>IFERROR(__xludf.DUMMYFUNCTION("""COMPUTED_VALUE"""),46177.33090277778)</f>
        <v>46177.3309</v>
      </c>
      <c r="B916" s="122" t="str">
        <f>IFERROR(__xludf.DUMMYFUNCTION("""COMPUTED_VALUE"""),"CHIP")</f>
        <v>CHIP</v>
      </c>
      <c r="C916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916" s="122" t="str">
        <f>IFERROR(__xludf.DUMMYFUNCTION("""COMPUTED_VALUE"""),"Chip Empire appears steady with no major changes reported.")</f>
        <v>Chip Empire appears steady with no major changes reported.</v>
      </c>
      <c r="E916" s="122" t="str">
        <f>IFERROR(__xludf.DUMMYFUNCTION("""COMPUTED_VALUE"""),"Neutral")</f>
        <v>Neutral</v>
      </c>
      <c r="F916" s="122">
        <f>IFERROR(__xludf.DUMMYFUNCTION("""COMPUTED_VALUE"""),0.0)</f>
        <v>0</v>
      </c>
      <c r="G916" s="122">
        <f>IFERROR(__xludf.DUMMYFUNCTION("""COMPUTED_VALUE"""),0.0)</f>
        <v>0</v>
      </c>
      <c r="H916" s="122" t="str">
        <f>IFERROR(__xludf.DUMMYFUNCTION("""COMPUTED_VALUE"""),"Active")</f>
        <v>Active</v>
      </c>
    </row>
    <row r="917">
      <c r="A917" s="131">
        <f>IFERROR(__xludf.DUMMYFUNCTION("""COMPUTED_VALUE"""),46177.33091435185)</f>
        <v>46177.33091</v>
      </c>
      <c r="B917" s="122" t="str">
        <f>IFERROR(__xludf.DUMMYFUNCTION("""COMPUTED_VALUE"""),"CAND")</f>
        <v>CAND</v>
      </c>
      <c r="C917" s="122" t="str">
        <f>IFERROR(__xludf.DUMMYFUNCTION("""COMPUTED_VALUE"""),"Candy Capital reports steady growth and improved market confidence.")</f>
        <v>Candy Capital reports steady growth and improved market confidence.</v>
      </c>
      <c r="D917" s="122" t="str">
        <f>IFERROR(__xludf.DUMMYFUNCTION("""COMPUTED_VALUE"""),"Candy Capital continues to show positive momentum with moderate risk.")</f>
        <v>Candy Capital continues to show positive momentum with moderate risk.</v>
      </c>
      <c r="E917" s="122" t="str">
        <f>IFERROR(__xludf.DUMMYFUNCTION("""COMPUTED_VALUE"""),"Positive")</f>
        <v>Positive</v>
      </c>
      <c r="F917" s="122">
        <f>IFERROR(__xludf.DUMMYFUNCTION("""COMPUTED_VALUE"""),0.015)</f>
        <v>0.015</v>
      </c>
      <c r="G917" s="122">
        <f>IFERROR(__xludf.DUMMYFUNCTION("""COMPUTED_VALUE"""),0.5)</f>
        <v>0.5</v>
      </c>
      <c r="H917" s="122" t="str">
        <f>IFERROR(__xludf.DUMMYFUNCTION("""COMPUTED_VALUE"""),"Active")</f>
        <v>Active</v>
      </c>
    </row>
    <row r="918">
      <c r="A918" s="131">
        <f>IFERROR(__xludf.DUMMYFUNCTION("""COMPUTED_VALUE"""),46177.33091435185)</f>
        <v>46177.33091</v>
      </c>
      <c r="B918" s="122" t="str">
        <f>IFERROR(__xludf.DUMMYFUNCTION("""COMPUTED_VALUE"""),"TECH")</f>
        <v>TECH</v>
      </c>
      <c r="C918" s="122" t="str">
        <f>IFERROR(__xludf.DUMMYFUNCTION("""COMPUTED_VALUE"""),"Dragon Tech remains stable as the Technology market shows normal activity.")</f>
        <v>Dragon Tech remains stable as the Technology market shows normal activity.</v>
      </c>
      <c r="D918" s="122" t="str">
        <f>IFERROR(__xludf.DUMMYFUNCTION("""COMPUTED_VALUE"""),"Dragon Tech appears steady with no major changes reported.")</f>
        <v>Dragon Tech appears steady with no major changes reported.</v>
      </c>
      <c r="E918" s="122" t="str">
        <f>IFERROR(__xludf.DUMMYFUNCTION("""COMPUTED_VALUE"""),"Neutral")</f>
        <v>Neutral</v>
      </c>
      <c r="F918" s="122">
        <f>IFERROR(__xludf.DUMMYFUNCTION("""COMPUTED_VALUE"""),0.0)</f>
        <v>0</v>
      </c>
      <c r="G918" s="122">
        <f>IFERROR(__xludf.DUMMYFUNCTION("""COMPUTED_VALUE"""),0.0)</f>
        <v>0</v>
      </c>
      <c r="H918" s="122" t="str">
        <f>IFERROR(__xludf.DUMMYFUNCTION("""COMPUTED_VALUE"""),"Active")</f>
        <v>Active</v>
      </c>
    </row>
    <row r="919">
      <c r="A919" s="131">
        <f>IFERROR(__xludf.DUMMYFUNCTION("""COMPUTED_VALUE"""),46177.330925925926)</f>
        <v>46177.33093</v>
      </c>
      <c r="B919" s="122" t="str">
        <f>IFERROR(__xludf.DUMMYFUNCTION("""COMPUTED_VALUE"""),"AIBO")</f>
        <v>AIBO</v>
      </c>
      <c r="C919" s="122" t="str">
        <f>IFERROR(__xludf.DUMMYFUNCTION("""COMPUTED_VALUE"""),"Homework AI sees uncertain trading as investors react to mixed signals.")</f>
        <v>Homework AI sees uncertain trading as investors react to mixed signals.</v>
      </c>
      <c r="D919" s="122" t="str">
        <f>IFERROR(__xludf.DUMMYFUNCTION("""COMPUTED_VALUE"""),"Homework AI may experience larger price swings as investors disagree on direction.")</f>
        <v>Homework AI may experience larger price swings as investors disagree on direction.</v>
      </c>
      <c r="E919" s="122" t="str">
        <f>IFERROR(__xludf.DUMMYFUNCTION("""COMPUTED_VALUE"""),"Mixed")</f>
        <v>Mixed</v>
      </c>
      <c r="F919" s="122">
        <f>IFERROR(__xludf.DUMMYFUNCTION("""COMPUTED_VALUE"""),-0.007599538831211646)</f>
        <v>-0.007599538831</v>
      </c>
      <c r="G919" s="122">
        <f>IFERROR(__xludf.DUMMYFUNCTION("""COMPUTED_VALUE"""),1.5)</f>
        <v>1.5</v>
      </c>
      <c r="H919" s="122" t="str">
        <f>IFERROR(__xludf.DUMMYFUNCTION("""COMPUTED_VALUE"""),"Active")</f>
        <v>Active</v>
      </c>
    </row>
    <row r="920">
      <c r="A920" s="131">
        <f>IFERROR(__xludf.DUMMYFUNCTION("""COMPUTED_VALUE"""),46177.330925925926)</f>
        <v>46177.33093</v>
      </c>
      <c r="B920" s="122" t="str">
        <f>IFERROR(__xludf.DUMMYFUNCTION("""COMPUTED_VALUE"""),"GAME")</f>
        <v>GAME</v>
      </c>
      <c r="C920" s="122" t="str">
        <f>IFERROR(__xludf.DUMMYFUNCTION("""COMPUTED_VALUE"""),"GameBox Media surges as demand rises across the Entertainment sector.")</f>
        <v>GameBox Media surges as demand rises across the Entertainment sector.</v>
      </c>
      <c r="D920" s="122" t="str">
        <f>IFERROR(__xludf.DUMMYFUNCTION("""COMPUTED_VALUE"""),"GameBox Media is seeing strong demand, which may increase investor confidence.")</f>
        <v>GameBox Media is seeing strong demand, which may increase investor confidence.</v>
      </c>
      <c r="E920" s="122" t="str">
        <f>IFERROR(__xludf.DUMMYFUNCTION("""COMPUTED_VALUE"""),"Positive")</f>
        <v>Positive</v>
      </c>
      <c r="F920" s="122">
        <f>IFERROR(__xludf.DUMMYFUNCTION("""COMPUTED_VALUE"""),0.03)</f>
        <v>0.03</v>
      </c>
      <c r="G920" s="122">
        <f>IFERROR(__xludf.DUMMYFUNCTION("""COMPUTED_VALUE"""),1.0)</f>
        <v>1</v>
      </c>
      <c r="H920" s="122" t="str">
        <f>IFERROR(__xludf.DUMMYFUNCTION("""COMPUTED_VALUE"""),"Active")</f>
        <v>Active</v>
      </c>
    </row>
    <row r="921">
      <c r="A921" s="131">
        <f>IFERROR(__xludf.DUMMYFUNCTION("""COMPUTED_VALUE"""),46177.330925925926)</f>
        <v>46177.33093</v>
      </c>
      <c r="B921" s="122" t="str">
        <f>IFERROR(__xludf.DUMMYFUNCTION("""COMPUTED_VALUE"""),"VRSE")</f>
        <v>VRSE</v>
      </c>
      <c r="C921" s="122" t="str">
        <f>IFERROR(__xludf.DUMMYFUNCTION("""COMPUTED_VALUE"""),"VerseVR remains stable as the Technology market shows normal activity.")</f>
        <v>VerseVR remains stable as the Technology market shows normal activity.</v>
      </c>
      <c r="D921" s="122" t="str">
        <f>IFERROR(__xludf.DUMMYFUNCTION("""COMPUTED_VALUE"""),"VerseVR appears steady with no major changes reported.")</f>
        <v>VerseVR appears steady with no major changes reported.</v>
      </c>
      <c r="E921" s="122" t="str">
        <f>IFERROR(__xludf.DUMMYFUNCTION("""COMPUTED_VALUE"""),"Neutral")</f>
        <v>Neutral</v>
      </c>
      <c r="F921" s="122">
        <f>IFERROR(__xludf.DUMMYFUNCTION("""COMPUTED_VALUE"""),0.0)</f>
        <v>0</v>
      </c>
      <c r="G921" s="122">
        <f>IFERROR(__xludf.DUMMYFUNCTION("""COMPUTED_VALUE"""),0.0)</f>
        <v>0</v>
      </c>
      <c r="H921" s="122" t="str">
        <f>IFERROR(__xludf.DUMMYFUNCTION("""COMPUTED_VALUE"""),"Active")</f>
        <v>Active</v>
      </c>
    </row>
    <row r="922">
      <c r="A922" s="131">
        <f>IFERROR(__xludf.DUMMYFUNCTION("""COMPUTED_VALUE"""),46177.3309375)</f>
        <v>46177.33094</v>
      </c>
      <c r="B922" s="122" t="str">
        <f>IFERROR(__xludf.DUMMYFUNCTION("""COMPUTED_VALUE"""),"BYTE")</f>
        <v>BYTE</v>
      </c>
      <c r="C922" s="122" t="str">
        <f>IFERROR(__xludf.DUMMYFUNCTION("""COMPUTED_VALUE"""),"ByteWorks faces weaker demand and cautious investor sentiment.")</f>
        <v>ByteWorks faces weaker demand and cautious investor sentiment.</v>
      </c>
      <c r="D922" s="122" t="str">
        <f>IFERROR(__xludf.DUMMYFUNCTION("""COMPUTED_VALUE"""),"Investors are watching ByteWorks closely as demand weakens.")</f>
        <v>Investors are watching ByteWorks closely as demand weakens.</v>
      </c>
      <c r="E922" s="122" t="str">
        <f>IFERROR(__xludf.DUMMYFUNCTION("""COMPUTED_VALUE"""),"Negative")</f>
        <v>Negative</v>
      </c>
      <c r="F922" s="122">
        <f>IFERROR(__xludf.DUMMYFUNCTION("""COMPUTED_VALUE"""),-0.015)</f>
        <v>-0.015</v>
      </c>
      <c r="G922" s="122">
        <f>IFERROR(__xludf.DUMMYFUNCTION("""COMPUTED_VALUE"""),0.75)</f>
        <v>0.75</v>
      </c>
      <c r="H922" s="122" t="str">
        <f>IFERROR(__xludf.DUMMYFUNCTION("""COMPUTED_VALUE"""),"Active")</f>
        <v>Active</v>
      </c>
    </row>
    <row r="923">
      <c r="A923" s="131">
        <f>IFERROR(__xludf.DUMMYFUNCTION("""COMPUTED_VALUE"""),46177.33094907407)</f>
        <v>46177.33095</v>
      </c>
      <c r="B923" s="122" t="str">
        <f>IFERROR(__xludf.DUMMYFUNCTION("""COMPUTED_VALUE"""),"BANK")</f>
        <v>BANK</v>
      </c>
      <c r="C923" s="122" t="str">
        <f>IFERROR(__xludf.DUMMYFUNCTION("""COMPUTED_VALUE"""),"Tiger Bank remains stable as the Finance market shows normal activity.")</f>
        <v>Tiger Bank remains stable as the Finance market shows normal activity.</v>
      </c>
      <c r="D923" s="122" t="str">
        <f>IFERROR(__xludf.DUMMYFUNCTION("""COMPUTED_VALUE"""),"Tiger Bank appears steady with no major changes reported.")</f>
        <v>Tiger Bank appears steady with no major changes reported.</v>
      </c>
      <c r="E923" s="122" t="str">
        <f>IFERROR(__xludf.DUMMYFUNCTION("""COMPUTED_VALUE"""),"Neutral")</f>
        <v>Neutral</v>
      </c>
      <c r="F923" s="122">
        <f>IFERROR(__xludf.DUMMYFUNCTION("""COMPUTED_VALUE"""),0.0)</f>
        <v>0</v>
      </c>
      <c r="G923" s="122">
        <f>IFERROR(__xludf.DUMMYFUNCTION("""COMPUTED_VALUE"""),0.0)</f>
        <v>0</v>
      </c>
      <c r="H923" s="122" t="str">
        <f>IFERROR(__xludf.DUMMYFUNCTION("""COMPUTED_VALUE"""),"Active")</f>
        <v>Active</v>
      </c>
    </row>
    <row r="924">
      <c r="A924" s="131">
        <f>IFERROR(__xludf.DUMMYFUNCTION("""COMPUTED_VALUE"""),46177.33094907407)</f>
        <v>46177.33095</v>
      </c>
      <c r="B924" s="122" t="str">
        <f>IFERROR(__xludf.DUMMYFUNCTION("""COMPUTED_VALUE"""),"CRED")</f>
        <v>CRED</v>
      </c>
      <c r="C924" s="122" t="str">
        <f>IFERROR(__xludf.DUMMYFUNCTION("""COMPUTED_VALUE"""),"Credit Castle faces weaker demand and cautious investor sentiment.")</f>
        <v>Credit Castle faces weaker demand and cautious investor sentiment.</v>
      </c>
      <c r="D924" s="122" t="str">
        <f>IFERROR(__xludf.DUMMYFUNCTION("""COMPUTED_VALUE"""),"Investors are watching Credit Castle closely as demand weakens.")</f>
        <v>Investors are watching Credit Castle closely as demand weakens.</v>
      </c>
      <c r="E924" s="122" t="str">
        <f>IFERROR(__xludf.DUMMYFUNCTION("""COMPUTED_VALUE"""),"Negative")</f>
        <v>Negative</v>
      </c>
      <c r="F924" s="122">
        <f>IFERROR(__xludf.DUMMYFUNCTION("""COMPUTED_VALUE"""),-0.015)</f>
        <v>-0.015</v>
      </c>
      <c r="G924" s="122">
        <f>IFERROR(__xludf.DUMMYFUNCTION("""COMPUTED_VALUE"""),0.75)</f>
        <v>0.75</v>
      </c>
      <c r="H924" s="122" t="str">
        <f>IFERROR(__xludf.DUMMYFUNCTION("""COMPUTED_VALUE"""),"Active")</f>
        <v>Active</v>
      </c>
    </row>
    <row r="925">
      <c r="A925" s="131">
        <f>IFERROR(__xludf.DUMMYFUNCTION("""COMPUTED_VALUE"""),46177.33096064815)</f>
        <v>46177.33096</v>
      </c>
      <c r="B925" s="122" t="str">
        <f>IFERROR(__xludf.DUMMYFUNCTION("""COMPUTED_VALUE"""),"BOND")</f>
        <v>BOND</v>
      </c>
      <c r="C925" s="122" t="str">
        <f>IFERROR(__xludf.DUMMYFUNCTION("""COMPUTED_VALUE"""),"BondBridge remains stable as the Finance market shows normal activity.")</f>
        <v>BondBridge remains stable as the Finance market shows normal activity.</v>
      </c>
      <c r="D925" s="122" t="str">
        <f>IFERROR(__xludf.DUMMYFUNCTION("""COMPUTED_VALUE"""),"BondBridge appears steady with no major changes reported.")</f>
        <v>BondBridge appears steady with no major changes reported.</v>
      </c>
      <c r="E925" s="122" t="str">
        <f>IFERROR(__xludf.DUMMYFUNCTION("""COMPUTED_VALUE"""),"Neutral")</f>
        <v>Neutral</v>
      </c>
      <c r="F925" s="122">
        <f>IFERROR(__xludf.DUMMYFUNCTION("""COMPUTED_VALUE"""),0.0)</f>
        <v>0</v>
      </c>
      <c r="G925" s="122">
        <f>IFERROR(__xludf.DUMMYFUNCTION("""COMPUTED_VALUE"""),0.0)</f>
        <v>0</v>
      </c>
      <c r="H925" s="122" t="str">
        <f>IFERROR(__xludf.DUMMYFUNCTION("""COMPUTED_VALUE"""),"Active")</f>
        <v>Active</v>
      </c>
    </row>
    <row r="926">
      <c r="A926" s="131">
        <f>IFERROR(__xludf.DUMMYFUNCTION("""COMPUTED_VALUE"""),46177.33096064815)</f>
        <v>46177.33096</v>
      </c>
      <c r="B926" s="122" t="str">
        <f>IFERROR(__xludf.DUMMYFUNCTION("""COMPUTED_VALUE"""),"INSR")</f>
        <v>INSR</v>
      </c>
      <c r="C926" s="122" t="str">
        <f>IFERROR(__xludf.DUMMYFUNCTION("""COMPUTED_VALUE"""),"Shield Insurance faces weaker demand and cautious investor sentiment.")</f>
        <v>Shield Insurance faces weaker demand and cautious investor sentiment.</v>
      </c>
      <c r="D926" s="122" t="str">
        <f>IFERROR(__xludf.DUMMYFUNCTION("""COMPUTED_VALUE"""),"Investors are watching Shield Insurance closely as demand weakens.")</f>
        <v>Investors are watching Shield Insurance closely as demand weakens.</v>
      </c>
      <c r="E926" s="122" t="str">
        <f>IFERROR(__xludf.DUMMYFUNCTION("""COMPUTED_VALUE"""),"Negative")</f>
        <v>Negative</v>
      </c>
      <c r="F926" s="122">
        <f>IFERROR(__xludf.DUMMYFUNCTION("""COMPUTED_VALUE"""),-0.015)</f>
        <v>-0.015</v>
      </c>
      <c r="G926" s="122">
        <f>IFERROR(__xludf.DUMMYFUNCTION("""COMPUTED_VALUE"""),0.75)</f>
        <v>0.75</v>
      </c>
      <c r="H926" s="122" t="str">
        <f>IFERROR(__xludf.DUMMYFUNCTION("""COMPUTED_VALUE"""),"Active")</f>
        <v>Active</v>
      </c>
    </row>
    <row r="927">
      <c r="A927" s="131">
        <f>IFERROR(__xludf.DUMMYFUNCTION("""COMPUTED_VALUE"""),46177.33096064815)</f>
        <v>46177.33096</v>
      </c>
      <c r="B927" s="122" t="str">
        <f>IFERROR(__xludf.DUMMYFUNCTION("""COMPUTED_VALUE"""),"LOAN")</f>
        <v>LOAN</v>
      </c>
      <c r="C927" s="122" t="str">
        <f>IFERROR(__xludf.DUMMYFUNCTION("""COMPUTED_VALUE"""),"LoanLab faces weaker demand and cautious investor sentiment.")</f>
        <v>LoanLab faces weaker demand and cautious investor sentiment.</v>
      </c>
      <c r="D927" s="122" t="str">
        <f>IFERROR(__xludf.DUMMYFUNCTION("""COMPUTED_VALUE"""),"Investors are watching LoanLab closely as demand weakens.")</f>
        <v>Investors are watching LoanLab closely as demand weakens.</v>
      </c>
      <c r="E927" s="122" t="str">
        <f>IFERROR(__xludf.DUMMYFUNCTION("""COMPUTED_VALUE"""),"Negative")</f>
        <v>Negative</v>
      </c>
      <c r="F927" s="122">
        <f>IFERROR(__xludf.DUMMYFUNCTION("""COMPUTED_VALUE"""),-0.015)</f>
        <v>-0.015</v>
      </c>
      <c r="G927" s="122">
        <f>IFERROR(__xludf.DUMMYFUNCTION("""COMPUTED_VALUE"""),0.75)</f>
        <v>0.75</v>
      </c>
      <c r="H927" s="122" t="str">
        <f>IFERROR(__xludf.DUMMYFUNCTION("""COMPUTED_VALUE"""),"Active")</f>
        <v>Active</v>
      </c>
    </row>
    <row r="928">
      <c r="A928" s="131">
        <f>IFERROR(__xludf.DUMMYFUNCTION("""COMPUTED_VALUE"""),46177.33099537037)</f>
        <v>46177.331</v>
      </c>
      <c r="B928" s="122" t="str">
        <f>IFERROR(__xludf.DUMMYFUNCTION("""COMPUTED_VALUE"""),"LUXE")</f>
        <v>LUXE</v>
      </c>
      <c r="C928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928" s="122" t="str">
        <f>IFERROR(__xludf.DUMMYFUNCTION("""COMPUTED_VALUE"""),"Luxury Locker appears steady with no major changes reported.")</f>
        <v>Luxury Locker appears steady with no major changes reported.</v>
      </c>
      <c r="E928" s="122" t="str">
        <f>IFERROR(__xludf.DUMMYFUNCTION("""COMPUTED_VALUE"""),"Neutral")</f>
        <v>Neutral</v>
      </c>
      <c r="F928" s="122">
        <f>IFERROR(__xludf.DUMMYFUNCTION("""COMPUTED_VALUE"""),0.0)</f>
        <v>0</v>
      </c>
      <c r="G928" s="122">
        <f>IFERROR(__xludf.DUMMYFUNCTION("""COMPUTED_VALUE"""),0.0)</f>
        <v>0</v>
      </c>
      <c r="H928" s="122" t="str">
        <f>IFERROR(__xludf.DUMMYFUNCTION("""COMPUTED_VALUE"""),"Active")</f>
        <v>Active</v>
      </c>
    </row>
    <row r="929">
      <c r="A929" s="131">
        <f>IFERROR(__xludf.DUMMYFUNCTION("""COMPUTED_VALUE"""),46177.33100694444)</f>
        <v>46177.33101</v>
      </c>
      <c r="B929" s="122" t="str">
        <f>IFERROR(__xludf.DUMMYFUNCTION("""COMPUTED_VALUE"""),"DRIP")</f>
        <v>DRIP</v>
      </c>
      <c r="C929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929" s="122" t="str">
        <f>IFERROR(__xludf.DUMMYFUNCTION("""COMPUTED_VALUE"""),"Drip Streetwear appears steady with no major changes reported.")</f>
        <v>Drip Streetwear appears steady with no major changes reported.</v>
      </c>
      <c r="E929" s="122" t="str">
        <f>IFERROR(__xludf.DUMMYFUNCTION("""COMPUTED_VALUE"""),"Neutral")</f>
        <v>Neutral</v>
      </c>
      <c r="F929" s="122">
        <f>IFERROR(__xludf.DUMMYFUNCTION("""COMPUTED_VALUE"""),0.0)</f>
        <v>0</v>
      </c>
      <c r="G929" s="122">
        <f>IFERROR(__xludf.DUMMYFUNCTION("""COMPUTED_VALUE"""),0.0)</f>
        <v>0</v>
      </c>
      <c r="H929" s="122" t="str">
        <f>IFERROR(__xludf.DUMMYFUNCTION("""COMPUTED_VALUE"""),"Active")</f>
        <v>Active</v>
      </c>
    </row>
    <row r="930">
      <c r="A930" s="131">
        <f>IFERROR(__xludf.DUMMYFUNCTION("""COMPUTED_VALUE"""),46177.33100694444)</f>
        <v>46177.33101</v>
      </c>
      <c r="B930" s="122" t="str">
        <f>IFERROR(__xludf.DUMMYFUNCTION("""COMPUTED_VALUE"""),"KICK")</f>
        <v>KICK</v>
      </c>
      <c r="C930" s="122" t="str">
        <f>IFERROR(__xludf.DUMMYFUNCTION("""COMPUTED_VALUE"""),"KickDrop Sneakers faces weaker demand and cautious investor sentiment.")</f>
        <v>KickDrop Sneakers faces weaker demand and cautious investor sentiment.</v>
      </c>
      <c r="D930" s="122" t="str">
        <f>IFERROR(__xludf.DUMMYFUNCTION("""COMPUTED_VALUE"""),"Investors are watching KickDrop Sneakers closely as demand weakens.")</f>
        <v>Investors are watching KickDrop Sneakers closely as demand weakens.</v>
      </c>
      <c r="E930" s="122" t="str">
        <f>IFERROR(__xludf.DUMMYFUNCTION("""COMPUTED_VALUE"""),"Negative")</f>
        <v>Negative</v>
      </c>
      <c r="F930" s="122">
        <f>IFERROR(__xludf.DUMMYFUNCTION("""COMPUTED_VALUE"""),-0.015)</f>
        <v>-0.015</v>
      </c>
      <c r="G930" s="122">
        <f>IFERROR(__xludf.DUMMYFUNCTION("""COMPUTED_VALUE"""),0.75)</f>
        <v>0.75</v>
      </c>
      <c r="H930" s="122" t="str">
        <f>IFERROR(__xludf.DUMMYFUNCTION("""COMPUTED_VALUE"""),"Active")</f>
        <v>Active</v>
      </c>
    </row>
    <row r="931">
      <c r="A931" s="131">
        <f>IFERROR(__xludf.DUMMYFUNCTION("""COMPUTED_VALUE"""),46177.33100694444)</f>
        <v>46177.33101</v>
      </c>
      <c r="B931" s="122" t="str">
        <f>IFERROR(__xludf.DUMMYFUNCTION("""COMPUTED_VALUE"""),"GLAM")</f>
        <v>GLAM</v>
      </c>
      <c r="C931" s="122" t="str">
        <f>IFERROR(__xludf.DUMMYFUNCTION("""COMPUTED_VALUE"""),"Glow Cosmetics reports steady growth and improved market confidence.")</f>
        <v>Glow Cosmetics reports steady growth and improved market confidence.</v>
      </c>
      <c r="D931" s="122" t="str">
        <f>IFERROR(__xludf.DUMMYFUNCTION("""COMPUTED_VALUE"""),"Glow Cosmetics continues to show positive momentum with moderate risk.")</f>
        <v>Glow Cosmetics continues to show positive momentum with moderate risk.</v>
      </c>
      <c r="E931" s="122" t="str">
        <f>IFERROR(__xludf.DUMMYFUNCTION("""COMPUTED_VALUE"""),"Positive")</f>
        <v>Positive</v>
      </c>
      <c r="F931" s="122">
        <f>IFERROR(__xludf.DUMMYFUNCTION("""COMPUTED_VALUE"""),0.015)</f>
        <v>0.015</v>
      </c>
      <c r="G931" s="122">
        <f>IFERROR(__xludf.DUMMYFUNCTION("""COMPUTED_VALUE"""),0.5)</f>
        <v>0.5</v>
      </c>
      <c r="H931" s="122" t="str">
        <f>IFERROR(__xludf.DUMMYFUNCTION("""COMPUTED_VALUE"""),"Active")</f>
        <v>Active</v>
      </c>
    </row>
    <row r="932">
      <c r="A932" s="131">
        <f>IFERROR(__xludf.DUMMYFUNCTION("""COMPUTED_VALUE"""),46177.33101851852)</f>
        <v>46177.33102</v>
      </c>
      <c r="B932" s="122" t="str">
        <f>IFERROR(__xludf.DUMMYFUNCTION("""COMPUTED_VALUE"""),"BAGG")</f>
        <v>BAGG</v>
      </c>
      <c r="C932" s="122" t="str">
        <f>IFERROR(__xludf.DUMMYFUNCTION("""COMPUTED_VALUE"""),"BagVault remains stable as the Fashion market shows normal activity.")</f>
        <v>BagVault remains stable as the Fashion market shows normal activity.</v>
      </c>
      <c r="D932" s="122" t="str">
        <f>IFERROR(__xludf.DUMMYFUNCTION("""COMPUTED_VALUE"""),"BagVault appears steady with no major changes reported.")</f>
        <v>BagVault appears steady with no major changes reported.</v>
      </c>
      <c r="E932" s="122" t="str">
        <f>IFERROR(__xludf.DUMMYFUNCTION("""COMPUTED_VALUE"""),"Neutral")</f>
        <v>Neutral</v>
      </c>
      <c r="F932" s="122">
        <f>IFERROR(__xludf.DUMMYFUNCTION("""COMPUTED_VALUE"""),0.0)</f>
        <v>0</v>
      </c>
      <c r="G932" s="122">
        <f>IFERROR(__xludf.DUMMYFUNCTION("""COMPUTED_VALUE"""),0.0)</f>
        <v>0</v>
      </c>
      <c r="H932" s="122" t="str">
        <f>IFERROR(__xludf.DUMMYFUNCTION("""COMPUTED_VALUE"""),"Active")</f>
        <v>Active</v>
      </c>
    </row>
    <row r="933">
      <c r="A933" s="131">
        <f>IFERROR(__xludf.DUMMYFUNCTION("""COMPUTED_VALUE"""),46177.33101851852)</f>
        <v>46177.33102</v>
      </c>
      <c r="B933" s="122" t="str">
        <f>IFERROR(__xludf.DUMMYFUNCTION("""COMPUTED_VALUE"""),"FAST")</f>
        <v>FAST</v>
      </c>
      <c r="C933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933" s="122" t="str">
        <f>IFERROR(__xludf.DUMMYFUNCTION("""COMPUTED_VALUE"""),"Flash Logistics appears steady with no major changes reported.")</f>
        <v>Flash Logistics appears steady with no major changes reported.</v>
      </c>
      <c r="E933" s="122" t="str">
        <f>IFERROR(__xludf.DUMMYFUNCTION("""COMPUTED_VALUE"""),"Neutral")</f>
        <v>Neutral</v>
      </c>
      <c r="F933" s="122">
        <f>IFERROR(__xludf.DUMMYFUNCTION("""COMPUTED_VALUE"""),0.0)</f>
        <v>0</v>
      </c>
      <c r="G933" s="122">
        <f>IFERROR(__xludf.DUMMYFUNCTION("""COMPUTED_VALUE"""),0.0)</f>
        <v>0</v>
      </c>
      <c r="H933" s="122" t="str">
        <f>IFERROR(__xludf.DUMMYFUNCTION("""COMPUTED_VALUE"""),"Active")</f>
        <v>Active</v>
      </c>
    </row>
    <row r="934">
      <c r="A934" s="131">
        <f>IFERROR(__xludf.DUMMYFUNCTION("""COMPUTED_VALUE"""),46177.331030092595)</f>
        <v>46177.33103</v>
      </c>
      <c r="B934" s="122" t="str">
        <f>IFERROR(__xludf.DUMMYFUNCTION("""COMPUTED_VALUE"""),"SHIP")</f>
        <v>SHIP</v>
      </c>
      <c r="C934" s="122" t="str">
        <f>IFERROR(__xludf.DUMMYFUNCTION("""COMPUTED_VALUE"""),"Seoul Shipping reports steady growth and improved market confidence.")</f>
        <v>Seoul Shipping reports steady growth and improved market confidence.</v>
      </c>
      <c r="D934" s="122" t="str">
        <f>IFERROR(__xludf.DUMMYFUNCTION("""COMPUTED_VALUE"""),"Seoul Shipping continues to show positive momentum with moderate risk.")</f>
        <v>Seoul Shipping continues to show positive momentum with moderate risk.</v>
      </c>
      <c r="E934" s="122" t="str">
        <f>IFERROR(__xludf.DUMMYFUNCTION("""COMPUTED_VALUE"""),"Positive")</f>
        <v>Positive</v>
      </c>
      <c r="F934" s="122">
        <f>IFERROR(__xludf.DUMMYFUNCTION("""COMPUTED_VALUE"""),0.015)</f>
        <v>0.015</v>
      </c>
      <c r="G934" s="122">
        <f>IFERROR(__xludf.DUMMYFUNCTION("""COMPUTED_VALUE"""),0.5)</f>
        <v>0.5</v>
      </c>
      <c r="H934" s="122" t="str">
        <f>IFERROR(__xludf.DUMMYFUNCTION("""COMPUTED_VALUE"""),"Active")</f>
        <v>Active</v>
      </c>
    </row>
    <row r="935">
      <c r="A935" s="131">
        <f>IFERROR(__xludf.DUMMYFUNCTION("""COMPUTED_VALUE"""),46177.331030092595)</f>
        <v>46177.33103</v>
      </c>
      <c r="B935" s="122" t="str">
        <f>IFERROR(__xludf.DUMMYFUNCTION("""COMPUTED_VALUE"""),"DRON")</f>
        <v>DRON</v>
      </c>
      <c r="C935" s="122" t="str">
        <f>IFERROR(__xludf.DUMMYFUNCTION("""COMPUTED_VALUE"""),"DroneDrop faces weaker demand and cautious investor sentiment.")</f>
        <v>DroneDrop faces weaker demand and cautious investor sentiment.</v>
      </c>
      <c r="D935" s="122" t="str">
        <f>IFERROR(__xludf.DUMMYFUNCTION("""COMPUTED_VALUE"""),"Investors are watching DroneDrop closely as demand weakens.")</f>
        <v>Investors are watching DroneDrop closely as demand weakens.</v>
      </c>
      <c r="E935" s="122" t="str">
        <f>IFERROR(__xludf.DUMMYFUNCTION("""COMPUTED_VALUE"""),"Negative")</f>
        <v>Negative</v>
      </c>
      <c r="F935" s="122">
        <f>IFERROR(__xludf.DUMMYFUNCTION("""COMPUTED_VALUE"""),-0.015)</f>
        <v>-0.015</v>
      </c>
      <c r="G935" s="122">
        <f>IFERROR(__xludf.DUMMYFUNCTION("""COMPUTED_VALUE"""),0.75)</f>
        <v>0.75</v>
      </c>
      <c r="H935" s="122" t="str">
        <f>IFERROR(__xludf.DUMMYFUNCTION("""COMPUTED_VALUE"""),"Active")</f>
        <v>Active</v>
      </c>
    </row>
    <row r="936">
      <c r="A936" s="131">
        <f>IFERROR(__xludf.DUMMYFUNCTION("""COMPUTED_VALUE"""),46177.331030092595)</f>
        <v>46177.33103</v>
      </c>
      <c r="B936" s="122" t="str">
        <f>IFERROR(__xludf.DUMMYFUNCTION("""COMPUTED_VALUE"""),"RIDE")</f>
        <v>RIDE</v>
      </c>
      <c r="C936" s="122" t="str">
        <f>IFERROR(__xludf.DUMMYFUNCTION("""COMPUTED_VALUE"""),"QuickRide drops sharply after major concerns hit the market.")</f>
        <v>QuickRide drops sharply after major concerns hit the market.</v>
      </c>
      <c r="D936" s="122" t="str">
        <f>IFERROR(__xludf.DUMMYFUNCTION("""COMPUTED_VALUE"""),"QuickRide is under pressure as investors react to worsening conditions.")</f>
        <v>QuickRide is under pressure as investors react to worsening conditions.</v>
      </c>
      <c r="E936" s="122" t="str">
        <f>IFERROR(__xludf.DUMMYFUNCTION("""COMPUTED_VALUE"""),"Negative")</f>
        <v>Negative</v>
      </c>
      <c r="F936" s="122">
        <f>IFERROR(__xludf.DUMMYFUNCTION("""COMPUTED_VALUE"""),-0.04)</f>
        <v>-0.04</v>
      </c>
      <c r="G936" s="122">
        <f>IFERROR(__xludf.DUMMYFUNCTION("""COMPUTED_VALUE"""),2.0)</f>
        <v>2</v>
      </c>
      <c r="H936" s="122" t="str">
        <f>IFERROR(__xludf.DUMMYFUNCTION("""COMPUTED_VALUE"""),"Active")</f>
        <v>Active</v>
      </c>
    </row>
    <row r="937">
      <c r="A937" s="131">
        <f>IFERROR(__xludf.DUMMYFUNCTION("""COMPUTED_VALUE"""),46177.331041666665)</f>
        <v>46177.33104</v>
      </c>
      <c r="B937" s="122" t="str">
        <f>IFERROR(__xludf.DUMMYFUNCTION("""COMPUTED_VALUE"""),"RAIL")</f>
        <v>RAIL</v>
      </c>
      <c r="C937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937" s="122" t="str">
        <f>IFERROR(__xludf.DUMMYFUNCTION("""COMPUTED_VALUE"""),"MetroRail Corp appears steady with no major changes reported.")</f>
        <v>MetroRail Corp appears steady with no major changes reported.</v>
      </c>
      <c r="E937" s="122" t="str">
        <f>IFERROR(__xludf.DUMMYFUNCTION("""COMPUTED_VALUE"""),"Neutral")</f>
        <v>Neutral</v>
      </c>
      <c r="F937" s="122">
        <f>IFERROR(__xludf.DUMMYFUNCTION("""COMPUTED_VALUE"""),0.0)</f>
        <v>0</v>
      </c>
      <c r="G937" s="122">
        <f>IFERROR(__xludf.DUMMYFUNCTION("""COMPUTED_VALUE"""),0.0)</f>
        <v>0</v>
      </c>
      <c r="H937" s="122" t="str">
        <f>IFERROR(__xludf.DUMMYFUNCTION("""COMPUTED_VALUE"""),"Active")</f>
        <v>Active</v>
      </c>
    </row>
    <row r="938">
      <c r="A938" s="131">
        <f>IFERROR(__xludf.DUMMYFUNCTION("""COMPUTED_VALUE"""),46177.331041666665)</f>
        <v>46177.33104</v>
      </c>
      <c r="B938" s="122" t="str">
        <f>IFERROR(__xludf.DUMMYFUNCTION("""COMPUTED_VALUE"""),"MEDX")</f>
        <v>MEDX</v>
      </c>
      <c r="C938" s="122" t="str">
        <f>IFERROR(__xludf.DUMMYFUNCTION("""COMPUTED_VALUE"""),"MediCore faces weaker demand and cautious investor sentiment.")</f>
        <v>MediCore faces weaker demand and cautious investor sentiment.</v>
      </c>
      <c r="D938" s="122" t="str">
        <f>IFERROR(__xludf.DUMMYFUNCTION("""COMPUTED_VALUE"""),"Investors are watching MediCore closely as demand weakens.")</f>
        <v>Investors are watching MediCore closely as demand weakens.</v>
      </c>
      <c r="E938" s="122" t="str">
        <f>IFERROR(__xludf.DUMMYFUNCTION("""COMPUTED_VALUE"""),"Negative")</f>
        <v>Negative</v>
      </c>
      <c r="F938" s="122">
        <f>IFERROR(__xludf.DUMMYFUNCTION("""COMPUTED_VALUE"""),-0.015)</f>
        <v>-0.015</v>
      </c>
      <c r="G938" s="122">
        <f>IFERROR(__xludf.DUMMYFUNCTION("""COMPUTED_VALUE"""),0.75)</f>
        <v>0.75</v>
      </c>
      <c r="H938" s="122" t="str">
        <f>IFERROR(__xludf.DUMMYFUNCTION("""COMPUTED_VALUE"""),"Active")</f>
        <v>Active</v>
      </c>
    </row>
    <row r="939">
      <c r="A939" s="131">
        <f>IFERROR(__xludf.DUMMYFUNCTION("""COMPUTED_VALUE"""),46177.33105324074)</f>
        <v>46177.33105</v>
      </c>
      <c r="B939" s="122" t="str">
        <f>IFERROR(__xludf.DUMMYFUNCTION("""COMPUTED_VALUE"""),"GYMX")</f>
        <v>GYMX</v>
      </c>
      <c r="C939" s="122" t="str">
        <f>IFERROR(__xludf.DUMMYFUNCTION("""COMPUTED_VALUE"""),"GymX Fitness reports steady growth and improved market confidence.")</f>
        <v>GymX Fitness reports steady growth and improved market confidence.</v>
      </c>
      <c r="D939" s="122" t="str">
        <f>IFERROR(__xludf.DUMMYFUNCTION("""COMPUTED_VALUE"""),"GymX Fitness continues to show positive momentum with moderate risk.")</f>
        <v>GymX Fitness continues to show positive momentum with moderate risk.</v>
      </c>
      <c r="E939" s="122" t="str">
        <f>IFERROR(__xludf.DUMMYFUNCTION("""COMPUTED_VALUE"""),"Positive")</f>
        <v>Positive</v>
      </c>
      <c r="F939" s="122">
        <f>IFERROR(__xludf.DUMMYFUNCTION("""COMPUTED_VALUE"""),0.015)</f>
        <v>0.015</v>
      </c>
      <c r="G939" s="122">
        <f>IFERROR(__xludf.DUMMYFUNCTION("""COMPUTED_VALUE"""),0.5)</f>
        <v>0.5</v>
      </c>
      <c r="H939" s="122" t="str">
        <f>IFERROR(__xludf.DUMMYFUNCTION("""COMPUTED_VALUE"""),"Active")</f>
        <v>Active</v>
      </c>
    </row>
    <row r="940">
      <c r="A940" s="131">
        <f>IFERROR(__xludf.DUMMYFUNCTION("""COMPUTED_VALUE"""),46177.33105324074)</f>
        <v>46177.33105</v>
      </c>
      <c r="B940" s="122" t="str">
        <f>IFERROR(__xludf.DUMMYFUNCTION("""COMPUTED_VALUE"""),"VITA")</f>
        <v>VITA</v>
      </c>
      <c r="C940" s="122" t="str">
        <f>IFERROR(__xludf.DUMMYFUNCTION("""COMPUTED_VALUE"""),"VitaPlus sees uncertain trading as investors react to mixed signals.")</f>
        <v>VitaPlus sees uncertain trading as investors react to mixed signals.</v>
      </c>
      <c r="D940" s="122" t="str">
        <f>IFERROR(__xludf.DUMMYFUNCTION("""COMPUTED_VALUE"""),"VitaPlus may experience larger price swings as investors disagree on direction.")</f>
        <v>VitaPlus may experience larger price swings as investors disagree on direction.</v>
      </c>
      <c r="E940" s="122" t="str">
        <f>IFERROR(__xludf.DUMMYFUNCTION("""COMPUTED_VALUE"""),"Mixed")</f>
        <v>Mixed</v>
      </c>
      <c r="F940" s="122">
        <f>IFERROR(__xludf.DUMMYFUNCTION("""COMPUTED_VALUE"""),-0.011514455039963614)</f>
        <v>-0.01151445504</v>
      </c>
      <c r="G940" s="122">
        <f>IFERROR(__xludf.DUMMYFUNCTION("""COMPUTED_VALUE"""),1.5)</f>
        <v>1.5</v>
      </c>
      <c r="H940" s="122" t="str">
        <f>IFERROR(__xludf.DUMMYFUNCTION("""COMPUTED_VALUE"""),"Active")</f>
        <v>Active</v>
      </c>
    </row>
    <row r="941">
      <c r="A941" s="131">
        <f>IFERROR(__xludf.DUMMYFUNCTION("""COMPUTED_VALUE"""),46177.33106481482)</f>
        <v>46177.33106</v>
      </c>
      <c r="B941" s="122" t="str">
        <f>IFERROR(__xludf.DUMMYFUNCTION("""COMPUTED_VALUE"""),"CARE")</f>
        <v>CARE</v>
      </c>
      <c r="C941" s="122" t="str">
        <f>IFERROR(__xludf.DUMMYFUNCTION("""COMPUTED_VALUE"""),"CareCloud surges as demand rises across the Healthcare sector.")</f>
        <v>CareCloud surges as demand rises across the Healthcare sector.</v>
      </c>
      <c r="D941" s="122" t="str">
        <f>IFERROR(__xludf.DUMMYFUNCTION("""COMPUTED_VALUE"""),"CareCloud is seeing strong demand, which may increase investor confidence.")</f>
        <v>CareCloud is seeing strong demand, which may increase investor confidence.</v>
      </c>
      <c r="E941" s="122" t="str">
        <f>IFERROR(__xludf.DUMMYFUNCTION("""COMPUTED_VALUE"""),"Positive")</f>
        <v>Positive</v>
      </c>
      <c r="F941" s="122">
        <f>IFERROR(__xludf.DUMMYFUNCTION("""COMPUTED_VALUE"""),0.03)</f>
        <v>0.03</v>
      </c>
      <c r="G941" s="122">
        <f>IFERROR(__xludf.DUMMYFUNCTION("""COMPUTED_VALUE"""),1.0)</f>
        <v>1</v>
      </c>
      <c r="H941" s="122" t="str">
        <f>IFERROR(__xludf.DUMMYFUNCTION("""COMPUTED_VALUE"""),"Active")</f>
        <v>Active</v>
      </c>
    </row>
    <row r="942">
      <c r="A942" s="131">
        <f>IFERROR(__xludf.DUMMYFUNCTION("""COMPUTED_VALUE"""),46177.33106481482)</f>
        <v>46177.33106</v>
      </c>
      <c r="B942" s="122" t="str">
        <f>IFERROR(__xludf.DUMMYFUNCTION("""COMPUTED_VALUE"""),"DENT")</f>
        <v>DENT</v>
      </c>
      <c r="C942" s="122" t="str">
        <f>IFERROR(__xludf.DUMMYFUNCTION("""COMPUTED_VALUE"""),"SmileWorks remains stable as the Healthcare market shows normal activity.")</f>
        <v>SmileWorks remains stable as the Healthcare market shows normal activity.</v>
      </c>
      <c r="D942" s="122" t="str">
        <f>IFERROR(__xludf.DUMMYFUNCTION("""COMPUTED_VALUE"""),"SmileWorks appears steady with no major changes reported.")</f>
        <v>SmileWorks appears steady with no major changes reported.</v>
      </c>
      <c r="E942" s="122" t="str">
        <f>IFERROR(__xludf.DUMMYFUNCTION("""COMPUTED_VALUE"""),"Neutral")</f>
        <v>Neutral</v>
      </c>
      <c r="F942" s="122">
        <f>IFERROR(__xludf.DUMMYFUNCTION("""COMPUTED_VALUE"""),0.0)</f>
        <v>0</v>
      </c>
      <c r="G942" s="122">
        <f>IFERROR(__xludf.DUMMYFUNCTION("""COMPUTED_VALUE"""),0.0)</f>
        <v>0</v>
      </c>
      <c r="H942" s="122" t="str">
        <f>IFERROR(__xludf.DUMMYFUNCTION("""COMPUTED_VALUE"""),"Active")</f>
        <v>Active</v>
      </c>
    </row>
    <row r="943">
      <c r="A943" s="131">
        <f>IFERROR(__xludf.DUMMYFUNCTION("""COMPUTED_VALUE"""),46177.33107638889)</f>
        <v>46177.33108</v>
      </c>
      <c r="B943" s="122" t="str">
        <f>IFERROR(__xludf.DUMMYFUNCTION("""COMPUTED_VALUE"""),"EDUX")</f>
        <v>EDUX</v>
      </c>
      <c r="C943" s="122" t="str">
        <f>IFERROR(__xludf.DUMMYFUNCTION("""COMPUTED_VALUE"""),"EduMax Learning reports steady growth and improved market confidence.")</f>
        <v>EduMax Learning reports steady growth and improved market confidence.</v>
      </c>
      <c r="D943" s="122" t="str">
        <f>IFERROR(__xludf.DUMMYFUNCTION("""COMPUTED_VALUE"""),"EduMax Learning continues to show positive momentum with moderate risk.")</f>
        <v>EduMax Learning continues to show positive momentum with moderate risk.</v>
      </c>
      <c r="E943" s="122" t="str">
        <f>IFERROR(__xludf.DUMMYFUNCTION("""COMPUTED_VALUE"""),"Positive")</f>
        <v>Positive</v>
      </c>
      <c r="F943" s="122">
        <f>IFERROR(__xludf.DUMMYFUNCTION("""COMPUTED_VALUE"""),0.015)</f>
        <v>0.015</v>
      </c>
      <c r="G943" s="122">
        <f>IFERROR(__xludf.DUMMYFUNCTION("""COMPUTED_VALUE"""),0.5)</f>
        <v>0.5</v>
      </c>
      <c r="H943" s="122" t="str">
        <f>IFERROR(__xludf.DUMMYFUNCTION("""COMPUTED_VALUE"""),"Active")</f>
        <v>Active</v>
      </c>
    </row>
    <row r="944">
      <c r="A944" s="131">
        <f>IFERROR(__xludf.DUMMYFUNCTION("""COMPUTED_VALUE"""),46177.33107638889)</f>
        <v>46177.33108</v>
      </c>
      <c r="B944" s="122" t="str">
        <f>IFERROR(__xludf.DUMMYFUNCTION("""COMPUTED_VALUE"""),"BOOK")</f>
        <v>BOOK</v>
      </c>
      <c r="C944" s="122" t="str">
        <f>IFERROR(__xludf.DUMMYFUNCTION("""COMPUTED_VALUE"""),"BookBridge surges as demand rises across the Education sector.")</f>
        <v>BookBridge surges as demand rises across the Education sector.</v>
      </c>
      <c r="D944" s="122" t="str">
        <f>IFERROR(__xludf.DUMMYFUNCTION("""COMPUTED_VALUE"""),"BookBridge is seeing strong demand, which may increase investor confidence.")</f>
        <v>BookBridge is seeing strong demand, which may increase investor confidence.</v>
      </c>
      <c r="E944" s="122" t="str">
        <f>IFERROR(__xludf.DUMMYFUNCTION("""COMPUTED_VALUE"""),"Positive")</f>
        <v>Positive</v>
      </c>
      <c r="F944" s="122">
        <f>IFERROR(__xludf.DUMMYFUNCTION("""COMPUTED_VALUE"""),0.03)</f>
        <v>0.03</v>
      </c>
      <c r="G944" s="122">
        <f>IFERROR(__xludf.DUMMYFUNCTION("""COMPUTED_VALUE"""),1.0)</f>
        <v>1</v>
      </c>
      <c r="H944" s="122" t="str">
        <f>IFERROR(__xludf.DUMMYFUNCTION("""COMPUTED_VALUE"""),"Active")</f>
        <v>Active</v>
      </c>
    </row>
    <row r="945">
      <c r="A945" s="131">
        <f>IFERROR(__xludf.DUMMYFUNCTION("""COMPUTED_VALUE"""),46177.33107638889)</f>
        <v>46177.33108</v>
      </c>
      <c r="B945" s="122" t="str">
        <f>IFERROR(__xludf.DUMMYFUNCTION("""COMPUTED_VALUE"""),"TUTR")</f>
        <v>TUTR</v>
      </c>
      <c r="C945" s="122" t="str">
        <f>IFERROR(__xludf.DUMMYFUNCTION("""COMPUTED_VALUE"""),"TutorTown sees uncertain trading as investors react to mixed signals.")</f>
        <v>TutorTown sees uncertain trading as investors react to mixed signals.</v>
      </c>
      <c r="D945" s="122" t="str">
        <f>IFERROR(__xludf.DUMMYFUNCTION("""COMPUTED_VALUE"""),"TutorTown may experience larger price swings as investors disagree on direction.")</f>
        <v>TutorTown may experience larger price swings as investors disagree on direction.</v>
      </c>
      <c r="E945" s="122" t="str">
        <f>IFERROR(__xludf.DUMMYFUNCTION("""COMPUTED_VALUE"""),"Mixed")</f>
        <v>Mixed</v>
      </c>
      <c r="F945" s="122">
        <f>IFERROR(__xludf.DUMMYFUNCTION("""COMPUTED_VALUE"""),0.0022135860710808634)</f>
        <v>0.002213586071</v>
      </c>
      <c r="G945" s="122">
        <f>IFERROR(__xludf.DUMMYFUNCTION("""COMPUTED_VALUE"""),1.5)</f>
        <v>1.5</v>
      </c>
      <c r="H945" s="122" t="str">
        <f>IFERROR(__xludf.DUMMYFUNCTION("""COMPUTED_VALUE"""),"Active")</f>
        <v>Active</v>
      </c>
    </row>
    <row r="946">
      <c r="A946" s="131">
        <f>IFERROR(__xludf.DUMMYFUNCTION("""COMPUTED_VALUE"""),46177.331087962964)</f>
        <v>46177.33109</v>
      </c>
      <c r="B946" s="122" t="str">
        <f>IFERROR(__xludf.DUMMYFUNCTION("""COMPUTED_VALUE"""),"LANG")</f>
        <v>LANG</v>
      </c>
      <c r="C946" s="122" t="str">
        <f>IFERROR(__xludf.DUMMYFUNCTION("""COMPUTED_VALUE"""),"LinguaLab remains stable as the Education market shows normal activity.")</f>
        <v>LinguaLab remains stable as the Education market shows normal activity.</v>
      </c>
      <c r="D946" s="122" t="str">
        <f>IFERROR(__xludf.DUMMYFUNCTION("""COMPUTED_VALUE"""),"LinguaLab appears steady with no major changes reported.")</f>
        <v>LinguaLab appears steady with no major changes reported.</v>
      </c>
      <c r="E946" s="122" t="str">
        <f>IFERROR(__xludf.DUMMYFUNCTION("""COMPUTED_VALUE"""),"Neutral")</f>
        <v>Neutral</v>
      </c>
      <c r="F946" s="122">
        <f>IFERROR(__xludf.DUMMYFUNCTION("""COMPUTED_VALUE"""),0.0)</f>
        <v>0</v>
      </c>
      <c r="G946" s="122">
        <f>IFERROR(__xludf.DUMMYFUNCTION("""COMPUTED_VALUE"""),0.0)</f>
        <v>0</v>
      </c>
      <c r="H946" s="122" t="str">
        <f>IFERROR(__xludf.DUMMYFUNCTION("""COMPUTED_VALUE"""),"Active")</f>
        <v>Active</v>
      </c>
    </row>
    <row r="947">
      <c r="A947" s="131">
        <f>IFERROR(__xludf.DUMMYFUNCTION("""COMPUTED_VALUE"""),46177.331087962964)</f>
        <v>46177.33109</v>
      </c>
      <c r="B947" s="122" t="str">
        <f>IFERROR(__xludf.DUMMYFUNCTION("""COMPUTED_VALUE"""),"TEST")</f>
        <v>TEST</v>
      </c>
      <c r="C947" s="122" t="str">
        <f>IFERROR(__xludf.DUMMYFUNCTION("""COMPUTED_VALUE"""),"TestPrep Pro faces weaker demand and cautious investor sentiment.")</f>
        <v>TestPrep Pro faces weaker demand and cautious investor sentiment.</v>
      </c>
      <c r="D947" s="122" t="str">
        <f>IFERROR(__xludf.DUMMYFUNCTION("""COMPUTED_VALUE"""),"Investors are watching TestPrep Pro closely as demand weakens.")</f>
        <v>Investors are watching TestPrep Pro closely as demand weakens.</v>
      </c>
      <c r="E947" s="122" t="str">
        <f>IFERROR(__xludf.DUMMYFUNCTION("""COMPUTED_VALUE"""),"Negative")</f>
        <v>Negative</v>
      </c>
      <c r="F947" s="122">
        <f>IFERROR(__xludf.DUMMYFUNCTION("""COMPUTED_VALUE"""),-0.015)</f>
        <v>-0.015</v>
      </c>
      <c r="G947" s="122">
        <f>IFERROR(__xludf.DUMMYFUNCTION("""COMPUTED_VALUE"""),0.75)</f>
        <v>0.75</v>
      </c>
      <c r="H947" s="122" t="str">
        <f>IFERROR(__xludf.DUMMYFUNCTION("""COMPUTED_VALUE"""),"Active")</f>
        <v>Active</v>
      </c>
    </row>
    <row r="948">
      <c r="A948" s="131">
        <f>IFERROR(__xludf.DUMMYFUNCTION("""COMPUTED_VALUE"""),46177.331099537034)</f>
        <v>46177.3311</v>
      </c>
      <c r="B948" s="122" t="str">
        <f>IFERROR(__xludf.DUMMYFUNCTION("""COMPUTED_VALUE"""),"MOVI")</f>
        <v>MOVI</v>
      </c>
      <c r="C948" s="122" t="str">
        <f>IFERROR(__xludf.DUMMYFUNCTION("""COMPUTED_VALUE"""),"MovieBox remains stable as the Entertainment market shows normal activity.")</f>
        <v>MovieBox remains stable as the Entertainment market shows normal activity.</v>
      </c>
      <c r="D948" s="122" t="str">
        <f>IFERROR(__xludf.DUMMYFUNCTION("""COMPUTED_VALUE"""),"MovieBox appears steady with no major changes reported.")</f>
        <v>MovieBox appears steady with no major changes reported.</v>
      </c>
      <c r="E948" s="122" t="str">
        <f>IFERROR(__xludf.DUMMYFUNCTION("""COMPUTED_VALUE"""),"Neutral")</f>
        <v>Neutral</v>
      </c>
      <c r="F948" s="122">
        <f>IFERROR(__xludf.DUMMYFUNCTION("""COMPUTED_VALUE"""),0.0)</f>
        <v>0</v>
      </c>
      <c r="G948" s="122">
        <f>IFERROR(__xludf.DUMMYFUNCTION("""COMPUTED_VALUE"""),0.0)</f>
        <v>0</v>
      </c>
      <c r="H948" s="122" t="str">
        <f>IFERROR(__xludf.DUMMYFUNCTION("""COMPUTED_VALUE"""),"Active")</f>
        <v>Active</v>
      </c>
    </row>
    <row r="949">
      <c r="A949" s="131">
        <f>IFERROR(__xludf.DUMMYFUNCTION("""COMPUTED_VALUE"""),46177.331099537034)</f>
        <v>46177.3311</v>
      </c>
      <c r="B949" s="122" t="str">
        <f>IFERROR(__xludf.DUMMYFUNCTION("""COMPUTED_VALUE"""),"MUSC")</f>
        <v>MUSC</v>
      </c>
      <c r="C949" s="122" t="str">
        <f>IFERROR(__xludf.DUMMYFUNCTION("""COMPUTED_VALUE"""),"MusicWave reports steady growth and improved market confidence.")</f>
        <v>MusicWave reports steady growth and improved market confidence.</v>
      </c>
      <c r="D949" s="122" t="str">
        <f>IFERROR(__xludf.DUMMYFUNCTION("""COMPUTED_VALUE"""),"MusicWave continues to show positive momentum with moderate risk.")</f>
        <v>MusicWave continues to show positive momentum with moderate risk.</v>
      </c>
      <c r="E949" s="122" t="str">
        <f>IFERROR(__xludf.DUMMYFUNCTION("""COMPUTED_VALUE"""),"Positive")</f>
        <v>Positive</v>
      </c>
      <c r="F949" s="122">
        <f>IFERROR(__xludf.DUMMYFUNCTION("""COMPUTED_VALUE"""),0.015)</f>
        <v>0.015</v>
      </c>
      <c r="G949" s="122">
        <f>IFERROR(__xludf.DUMMYFUNCTION("""COMPUTED_VALUE"""),0.5)</f>
        <v>0.5</v>
      </c>
      <c r="H949" s="122" t="str">
        <f>IFERROR(__xludf.DUMMYFUNCTION("""COMPUTED_VALUE"""),"Active")</f>
        <v>Active</v>
      </c>
    </row>
    <row r="950">
      <c r="A950" s="131">
        <f>IFERROR(__xludf.DUMMYFUNCTION("""COMPUTED_VALUE"""),46177.331099537034)</f>
        <v>46177.3311</v>
      </c>
      <c r="B950" s="122" t="str">
        <f>IFERROR(__xludf.DUMMYFUNCTION("""COMPUTED_VALUE"""),"IDOL")</f>
        <v>IDOL</v>
      </c>
      <c r="C950" s="122" t="str">
        <f>IFERROR(__xludf.DUMMYFUNCTION("""COMPUTED_VALUE"""),"Idol Agency surges as demand rises across the Entertainment sector.")</f>
        <v>Idol Agency surges as demand rises across the Entertainment sector.</v>
      </c>
      <c r="D950" s="122" t="str">
        <f>IFERROR(__xludf.DUMMYFUNCTION("""COMPUTED_VALUE"""),"Idol Agency is seeing strong demand, which may increase investor confidence.")</f>
        <v>Idol Agency is seeing strong demand, which may increase investor confidence.</v>
      </c>
      <c r="E950" s="122" t="str">
        <f>IFERROR(__xludf.DUMMYFUNCTION("""COMPUTED_VALUE"""),"Positive")</f>
        <v>Positive</v>
      </c>
      <c r="F950" s="122">
        <f>IFERROR(__xludf.DUMMYFUNCTION("""COMPUTED_VALUE"""),0.03)</f>
        <v>0.03</v>
      </c>
      <c r="G950" s="122">
        <f>IFERROR(__xludf.DUMMYFUNCTION("""COMPUTED_VALUE"""),1.0)</f>
        <v>1</v>
      </c>
      <c r="H950" s="122" t="str">
        <f>IFERROR(__xludf.DUMMYFUNCTION("""COMPUTED_VALUE"""),"Active")</f>
        <v>Active</v>
      </c>
    </row>
    <row r="951">
      <c r="A951" s="131">
        <f>IFERROR(__xludf.DUMMYFUNCTION("""COMPUTED_VALUE"""),46177.33111111111)</f>
        <v>46177.33111</v>
      </c>
      <c r="B951" s="122" t="str">
        <f>IFERROR(__xludf.DUMMYFUNCTION("""COMPUTED_VALUE"""),"MEME")</f>
        <v>MEME</v>
      </c>
      <c r="C951" s="122" t="str">
        <f>IFERROR(__xludf.DUMMYFUNCTION("""COMPUTED_VALUE"""),"Meme Media faces weaker demand and cautious investor sentiment.")</f>
        <v>Meme Media faces weaker demand and cautious investor sentiment.</v>
      </c>
      <c r="D951" s="122" t="str">
        <f>IFERROR(__xludf.DUMMYFUNCTION("""COMPUTED_VALUE"""),"Investors are watching Meme Media closely as demand weakens.")</f>
        <v>Investors are watching Meme Media closely as demand weakens.</v>
      </c>
      <c r="E951" s="122" t="str">
        <f>IFERROR(__xludf.DUMMYFUNCTION("""COMPUTED_VALUE"""),"Negative")</f>
        <v>Negative</v>
      </c>
      <c r="F951" s="122">
        <f>IFERROR(__xludf.DUMMYFUNCTION("""COMPUTED_VALUE"""),-0.015)</f>
        <v>-0.015</v>
      </c>
      <c r="G951" s="122">
        <f>IFERROR(__xludf.DUMMYFUNCTION("""COMPUTED_VALUE"""),0.75)</f>
        <v>0.75</v>
      </c>
      <c r="H951" s="122" t="str">
        <f>IFERROR(__xludf.DUMMYFUNCTION("""COMPUTED_VALUE"""),"Active")</f>
        <v>Active</v>
      </c>
    </row>
    <row r="952">
      <c r="A952" s="131">
        <f>IFERROR(__xludf.DUMMYFUNCTION("""COMPUTED_VALUE"""),46177.33111111111)</f>
        <v>46177.33111</v>
      </c>
      <c r="B952" s="122" t="str">
        <f>IFERROR(__xludf.DUMMYFUNCTION("""COMPUTED_VALUE"""),"STRM")</f>
        <v>STRM</v>
      </c>
      <c r="C952" s="122" t="str">
        <f>IFERROR(__xludf.DUMMYFUNCTION("""COMPUTED_VALUE"""),"Streamly remains stable as the Entertainment market shows normal activity.")</f>
        <v>Streamly remains stable as the Entertainment market shows normal activity.</v>
      </c>
      <c r="D952" s="122" t="str">
        <f>IFERROR(__xludf.DUMMYFUNCTION("""COMPUTED_VALUE"""),"Streamly appears steady with no major changes reported.")</f>
        <v>Streamly appears steady with no major changes reported.</v>
      </c>
      <c r="E952" s="122" t="str">
        <f>IFERROR(__xludf.DUMMYFUNCTION("""COMPUTED_VALUE"""),"Neutral")</f>
        <v>Neutral</v>
      </c>
      <c r="F952" s="122">
        <f>IFERROR(__xludf.DUMMYFUNCTION("""COMPUTED_VALUE"""),0.0)</f>
        <v>0</v>
      </c>
      <c r="G952" s="122">
        <f>IFERROR(__xludf.DUMMYFUNCTION("""COMPUTED_VALUE"""),0.0)</f>
        <v>0</v>
      </c>
      <c r="H952" s="122" t="str">
        <f>IFERROR(__xludf.DUMMYFUNCTION("""COMPUTED_VALUE"""),"Active")</f>
        <v>Active</v>
      </c>
    </row>
    <row r="953">
      <c r="A953" s="131">
        <f>IFERROR(__xludf.DUMMYFUNCTION("""COMPUTED_VALUE"""),46177.33111111111)</f>
        <v>46177.33111</v>
      </c>
      <c r="B953" s="122" t="str">
        <f>IFERROR(__xludf.DUMMYFUNCTION("""COMPUTED_VALUE"""),"FARM")</f>
        <v>FARM</v>
      </c>
      <c r="C953" s="122" t="str">
        <f>IFERROR(__xludf.DUMMYFUNCTION("""COMPUTED_VALUE"""),"Future Farms faces weaker demand and cautious investor sentiment.")</f>
        <v>Future Farms faces weaker demand and cautious investor sentiment.</v>
      </c>
      <c r="D953" s="122" t="str">
        <f>IFERROR(__xludf.DUMMYFUNCTION("""COMPUTED_VALUE"""),"Investors are watching Future Farms closely as demand weakens.")</f>
        <v>Investors are watching Future Farms closely as demand weakens.</v>
      </c>
      <c r="E953" s="122" t="str">
        <f>IFERROR(__xludf.DUMMYFUNCTION("""COMPUTED_VALUE"""),"Negative")</f>
        <v>Negative</v>
      </c>
      <c r="F953" s="122">
        <f>IFERROR(__xludf.DUMMYFUNCTION("""COMPUTED_VALUE"""),-0.015)</f>
        <v>-0.015</v>
      </c>
      <c r="G953" s="122">
        <f>IFERROR(__xludf.DUMMYFUNCTION("""COMPUTED_VALUE"""),0.75)</f>
        <v>0.75</v>
      </c>
      <c r="H953" s="122" t="str">
        <f>IFERROR(__xludf.DUMMYFUNCTION("""COMPUTED_VALUE"""),"Active")</f>
        <v>Active</v>
      </c>
    </row>
    <row r="954">
      <c r="A954" s="131">
        <f>IFERROR(__xludf.DUMMYFUNCTION("""COMPUTED_VALUE"""),46177.33112268519)</f>
        <v>46177.33112</v>
      </c>
      <c r="B954" s="122" t="str">
        <f>IFERROR(__xludf.DUMMYFUNCTION("""COMPUTED_VALUE"""),"MEAT")</f>
        <v>MEAT</v>
      </c>
      <c r="C954" s="122" t="str">
        <f>IFERROR(__xludf.DUMMYFUNCTION("""COMPUTED_VALUE"""),"MeatWorks remains stable as the Food market shows normal activity.")</f>
        <v>MeatWorks remains stable as the Food market shows normal activity.</v>
      </c>
      <c r="D954" s="122" t="str">
        <f>IFERROR(__xludf.DUMMYFUNCTION("""COMPUTED_VALUE"""),"MeatWorks appears steady with no major changes reported.")</f>
        <v>MeatWorks appears steady with no major changes reported.</v>
      </c>
      <c r="E954" s="122" t="str">
        <f>IFERROR(__xludf.DUMMYFUNCTION("""COMPUTED_VALUE"""),"Neutral")</f>
        <v>Neutral</v>
      </c>
      <c r="F954" s="122">
        <f>IFERROR(__xludf.DUMMYFUNCTION("""COMPUTED_VALUE"""),0.0)</f>
        <v>0</v>
      </c>
      <c r="G954" s="122">
        <f>IFERROR(__xludf.DUMMYFUNCTION("""COMPUTED_VALUE"""),0.0)</f>
        <v>0</v>
      </c>
      <c r="H954" s="122" t="str">
        <f>IFERROR(__xludf.DUMMYFUNCTION("""COMPUTED_VALUE"""),"Active")</f>
        <v>Active</v>
      </c>
    </row>
    <row r="955">
      <c r="A955" s="131">
        <f>IFERROR(__xludf.DUMMYFUNCTION("""COMPUTED_VALUE"""),46177.33112268519)</f>
        <v>46177.33112</v>
      </c>
      <c r="B955" s="122" t="str">
        <f>IFERROR(__xludf.DUMMYFUNCTION("""COMPUTED_VALUE"""),"VEGI")</f>
        <v>VEGI</v>
      </c>
      <c r="C955" s="122" t="str">
        <f>IFERROR(__xludf.DUMMYFUNCTION("""COMPUTED_VALUE"""),"Green Basket remains stable as the Food market shows normal activity.")</f>
        <v>Green Basket remains stable as the Food market shows normal activity.</v>
      </c>
      <c r="D955" s="122" t="str">
        <f>IFERROR(__xludf.DUMMYFUNCTION("""COMPUTED_VALUE"""),"Green Basket appears steady with no major changes reported.")</f>
        <v>Green Basket appears steady with no major changes reported.</v>
      </c>
      <c r="E955" s="122" t="str">
        <f>IFERROR(__xludf.DUMMYFUNCTION("""COMPUTED_VALUE"""),"Neutral")</f>
        <v>Neutral</v>
      </c>
      <c r="F955" s="122">
        <f>IFERROR(__xludf.DUMMYFUNCTION("""COMPUTED_VALUE"""),0.0)</f>
        <v>0</v>
      </c>
      <c r="G955" s="122">
        <f>IFERROR(__xludf.DUMMYFUNCTION("""COMPUTED_VALUE"""),0.0)</f>
        <v>0</v>
      </c>
      <c r="H955" s="122" t="str">
        <f>IFERROR(__xludf.DUMMYFUNCTION("""COMPUTED_VALUE"""),"Active")</f>
        <v>Active</v>
      </c>
    </row>
    <row r="956">
      <c r="A956" s="131">
        <f>IFERROR(__xludf.DUMMYFUNCTION("""COMPUTED_VALUE"""),46177.33113425926)</f>
        <v>46177.33113</v>
      </c>
      <c r="B956" s="122" t="str">
        <f>IFERROR(__xludf.DUMMYFUNCTION("""COMPUTED_VALUE"""),"CAFE")</f>
        <v>CAFE</v>
      </c>
      <c r="C956" s="122" t="str">
        <f>IFERROR(__xludf.DUMMYFUNCTION("""COMPUTED_VALUE"""),"Cafe Cloud faces weaker demand and cautious investor sentiment.")</f>
        <v>Cafe Cloud faces weaker demand and cautious investor sentiment.</v>
      </c>
      <c r="D956" s="122" t="str">
        <f>IFERROR(__xludf.DUMMYFUNCTION("""COMPUTED_VALUE"""),"Investors are watching Cafe Cloud closely as demand weakens.")</f>
        <v>Investors are watching Cafe Cloud closely as demand weakens.</v>
      </c>
      <c r="E956" s="122" t="str">
        <f>IFERROR(__xludf.DUMMYFUNCTION("""COMPUTED_VALUE"""),"Negative")</f>
        <v>Negative</v>
      </c>
      <c r="F956" s="122">
        <f>IFERROR(__xludf.DUMMYFUNCTION("""COMPUTED_VALUE"""),-0.015)</f>
        <v>-0.015</v>
      </c>
      <c r="G956" s="122">
        <f>IFERROR(__xludf.DUMMYFUNCTION("""COMPUTED_VALUE"""),0.75)</f>
        <v>0.75</v>
      </c>
      <c r="H956" s="122" t="str">
        <f>IFERROR(__xludf.DUMMYFUNCTION("""COMPUTED_VALUE"""),"Active")</f>
        <v>Active</v>
      </c>
    </row>
    <row r="957">
      <c r="A957" s="131">
        <f>IFERROR(__xludf.DUMMYFUNCTION("""COMPUTED_VALUE"""),46177.33113425926)</f>
        <v>46177.33113</v>
      </c>
      <c r="B957" s="122" t="str">
        <f>IFERROR(__xludf.DUMMYFUNCTION("""COMPUTED_VALUE"""),"BAKE")</f>
        <v>BAKE</v>
      </c>
      <c r="C957" s="122" t="str">
        <f>IFERROR(__xludf.DUMMYFUNCTION("""COMPUTED_VALUE"""),"BakeHouse remains stable as the Food market shows normal activity.")</f>
        <v>BakeHouse remains stable as the Food market shows normal activity.</v>
      </c>
      <c r="D957" s="122" t="str">
        <f>IFERROR(__xludf.DUMMYFUNCTION("""COMPUTED_VALUE"""),"BakeHouse appears steady with no major changes reported.")</f>
        <v>BakeHouse appears steady with no major changes reported.</v>
      </c>
      <c r="E957" s="122" t="str">
        <f>IFERROR(__xludf.DUMMYFUNCTION("""COMPUTED_VALUE"""),"Neutral")</f>
        <v>Neutral</v>
      </c>
      <c r="F957" s="122">
        <f>IFERROR(__xludf.DUMMYFUNCTION("""COMPUTED_VALUE"""),0.0)</f>
        <v>0</v>
      </c>
      <c r="G957" s="122">
        <f>IFERROR(__xludf.DUMMYFUNCTION("""COMPUTED_VALUE"""),0.0)</f>
        <v>0</v>
      </c>
      <c r="H957" s="122" t="str">
        <f>IFERROR(__xludf.DUMMYFUNCTION("""COMPUTED_VALUE"""),"Active")</f>
        <v>Active</v>
      </c>
    </row>
    <row r="958">
      <c r="A958" s="131">
        <f>IFERROR(__xludf.DUMMYFUNCTION("""COMPUTED_VALUE"""),46177.33113425926)</f>
        <v>46177.33113</v>
      </c>
      <c r="B958" s="122" t="str">
        <f>IFERROR(__xludf.DUMMYFUNCTION("""COMPUTED_VALUE"""),"OILX")</f>
        <v>OILX</v>
      </c>
      <c r="C958" s="122" t="str">
        <f>IFERROR(__xludf.DUMMYFUNCTION("""COMPUTED_VALUE"""),"OilMax Energy surges as demand rises across the Energy sector.")</f>
        <v>OilMax Energy surges as demand rises across the Energy sector.</v>
      </c>
      <c r="D958" s="122" t="str">
        <f>IFERROR(__xludf.DUMMYFUNCTION("""COMPUTED_VALUE"""),"OilMax Energy is seeing strong demand, which may increase investor confidence.")</f>
        <v>OilMax Energy is seeing strong demand, which may increase investor confidence.</v>
      </c>
      <c r="E958" s="122" t="str">
        <f>IFERROR(__xludf.DUMMYFUNCTION("""COMPUTED_VALUE"""),"Positive")</f>
        <v>Positive</v>
      </c>
      <c r="F958" s="122">
        <f>IFERROR(__xludf.DUMMYFUNCTION("""COMPUTED_VALUE"""),0.03)</f>
        <v>0.03</v>
      </c>
      <c r="G958" s="122">
        <f>IFERROR(__xludf.DUMMYFUNCTION("""COMPUTED_VALUE"""),1.0)</f>
        <v>1</v>
      </c>
      <c r="H958" s="122" t="str">
        <f>IFERROR(__xludf.DUMMYFUNCTION("""COMPUTED_VALUE"""),"Active")</f>
        <v>Active</v>
      </c>
    </row>
    <row r="959">
      <c r="A959" s="131">
        <f>IFERROR(__xludf.DUMMYFUNCTION("""COMPUTED_VALUE"""),46177.331145833334)</f>
        <v>46177.33115</v>
      </c>
      <c r="B959" s="122" t="str">
        <f>IFERROR(__xludf.DUMMYFUNCTION("""COMPUTED_VALUE"""),"SOLR")</f>
        <v>SOLR</v>
      </c>
      <c r="C959" s="122" t="str">
        <f>IFERROR(__xludf.DUMMYFUNCTION("""COMPUTED_VALUE"""),"SolarSpark remains stable as the Energy market shows normal activity.")</f>
        <v>SolarSpark remains stable as the Energy market shows normal activity.</v>
      </c>
      <c r="D959" s="122" t="str">
        <f>IFERROR(__xludf.DUMMYFUNCTION("""COMPUTED_VALUE"""),"SolarSpark appears steady with no major changes reported.")</f>
        <v>SolarSpark appears steady with no major changes reported.</v>
      </c>
      <c r="E959" s="122" t="str">
        <f>IFERROR(__xludf.DUMMYFUNCTION("""COMPUTED_VALUE"""),"Neutral")</f>
        <v>Neutral</v>
      </c>
      <c r="F959" s="122">
        <f>IFERROR(__xludf.DUMMYFUNCTION("""COMPUTED_VALUE"""),0.0)</f>
        <v>0</v>
      </c>
      <c r="G959" s="122">
        <f>IFERROR(__xludf.DUMMYFUNCTION("""COMPUTED_VALUE"""),0.0)</f>
        <v>0</v>
      </c>
      <c r="H959" s="122" t="str">
        <f>IFERROR(__xludf.DUMMYFUNCTION("""COMPUTED_VALUE"""),"Active")</f>
        <v>Active</v>
      </c>
    </row>
    <row r="960">
      <c r="A960" s="131">
        <f>IFERROR(__xludf.DUMMYFUNCTION("""COMPUTED_VALUE"""),46177.331145833334)</f>
        <v>46177.33115</v>
      </c>
      <c r="B960" s="122" t="str">
        <f>IFERROR(__xludf.DUMMYFUNCTION("""COMPUTED_VALUE"""),"BATT")</f>
        <v>BATT</v>
      </c>
      <c r="C960" s="122" t="str">
        <f>IFERROR(__xludf.DUMMYFUNCTION("""COMPUTED_VALUE"""),"BatteryBox remains stable as the Energy market shows normal activity.")</f>
        <v>BatteryBox remains stable as the Energy market shows normal activity.</v>
      </c>
      <c r="D960" s="122" t="str">
        <f>IFERROR(__xludf.DUMMYFUNCTION("""COMPUTED_VALUE"""),"BatteryBox appears steady with no major changes reported.")</f>
        <v>BatteryBox appears steady with no major changes reported.</v>
      </c>
      <c r="E960" s="122" t="str">
        <f>IFERROR(__xludf.DUMMYFUNCTION("""COMPUTED_VALUE"""),"Neutral")</f>
        <v>Neutral</v>
      </c>
      <c r="F960" s="122">
        <f>IFERROR(__xludf.DUMMYFUNCTION("""COMPUTED_VALUE"""),0.0)</f>
        <v>0</v>
      </c>
      <c r="G960" s="122">
        <f>IFERROR(__xludf.DUMMYFUNCTION("""COMPUTED_VALUE"""),0.0)</f>
        <v>0</v>
      </c>
      <c r="H960" s="122" t="str">
        <f>IFERROR(__xludf.DUMMYFUNCTION("""COMPUTED_VALUE"""),"Active")</f>
        <v>Active</v>
      </c>
    </row>
    <row r="961">
      <c r="A961" s="131">
        <f>IFERROR(__xludf.DUMMYFUNCTION("""COMPUTED_VALUE"""),46177.331145833334)</f>
        <v>46177.33115</v>
      </c>
      <c r="B961" s="122" t="str">
        <f>IFERROR(__xludf.DUMMYFUNCTION("""COMPUTED_VALUE"""),"WIND")</f>
        <v>WIND</v>
      </c>
      <c r="C961" s="122" t="str">
        <f>IFERROR(__xludf.DUMMYFUNCTION("""COMPUTED_VALUE"""),"WindWorks surges as demand rises across the Energy sector.")</f>
        <v>WindWorks surges as demand rises across the Energy sector.</v>
      </c>
      <c r="D961" s="122" t="str">
        <f>IFERROR(__xludf.DUMMYFUNCTION("""COMPUTED_VALUE"""),"WindWorks is seeing strong demand, which may increase investor confidence.")</f>
        <v>WindWorks is seeing strong demand, which may increase investor confidence.</v>
      </c>
      <c r="E961" s="122" t="str">
        <f>IFERROR(__xludf.DUMMYFUNCTION("""COMPUTED_VALUE"""),"Positive")</f>
        <v>Positive</v>
      </c>
      <c r="F961" s="122">
        <f>IFERROR(__xludf.DUMMYFUNCTION("""COMPUTED_VALUE"""),0.03)</f>
        <v>0.03</v>
      </c>
      <c r="G961" s="122">
        <f>IFERROR(__xludf.DUMMYFUNCTION("""COMPUTED_VALUE"""),1.0)</f>
        <v>1</v>
      </c>
      <c r="H961" s="122" t="str">
        <f>IFERROR(__xludf.DUMMYFUNCTION("""COMPUTED_VALUE"""),"Active")</f>
        <v>Active</v>
      </c>
    </row>
    <row r="962">
      <c r="A962" s="131">
        <f>IFERROR(__xludf.DUMMYFUNCTION("""COMPUTED_VALUE"""),46177.33115740741)</f>
        <v>46177.33116</v>
      </c>
      <c r="B962" s="122" t="str">
        <f>IFERROR(__xludf.DUMMYFUNCTION("""COMPUTED_VALUE"""),"GRID")</f>
        <v>GRID</v>
      </c>
      <c r="C962" s="122" t="str">
        <f>IFERROR(__xludf.DUMMYFUNCTION("""COMPUTED_VALUE"""),"GridPower remains stable as the Energy market shows normal activity.")</f>
        <v>GridPower remains stable as the Energy market shows normal activity.</v>
      </c>
      <c r="D962" s="122" t="str">
        <f>IFERROR(__xludf.DUMMYFUNCTION("""COMPUTED_VALUE"""),"GridPower appears steady with no major changes reported.")</f>
        <v>GridPower appears steady with no major changes reported.</v>
      </c>
      <c r="E962" s="122" t="str">
        <f>IFERROR(__xludf.DUMMYFUNCTION("""COMPUTED_VALUE"""),"Neutral")</f>
        <v>Neutral</v>
      </c>
      <c r="F962" s="122">
        <f>IFERROR(__xludf.DUMMYFUNCTION("""COMPUTED_VALUE"""),0.0)</f>
        <v>0</v>
      </c>
      <c r="G962" s="122">
        <f>IFERROR(__xludf.DUMMYFUNCTION("""COMPUTED_VALUE"""),0.0)</f>
        <v>0</v>
      </c>
      <c r="H962" s="122" t="str">
        <f>IFERROR(__xludf.DUMMYFUNCTION("""COMPUTED_VALUE"""),"Active")</f>
        <v>Active</v>
      </c>
    </row>
    <row r="963">
      <c r="A963" s="131">
        <f>IFERROR(__xludf.DUMMYFUNCTION("""COMPUTED_VALUE"""),46177.33115740741)</f>
        <v>46177.33116</v>
      </c>
      <c r="B963" s="122" t="str">
        <f>IFERROR(__xludf.DUMMYFUNCTION("""COMPUTED_VALUE"""),"HOME")</f>
        <v>HOME</v>
      </c>
      <c r="C963" s="122" t="str">
        <f>IFERROR(__xludf.DUMMYFUNCTION("""COMPUTED_VALUE"""),"HomeHub reports steady growth and improved market confidence.")</f>
        <v>HomeHub reports steady growth and improved market confidence.</v>
      </c>
      <c r="D963" s="122" t="str">
        <f>IFERROR(__xludf.DUMMYFUNCTION("""COMPUTED_VALUE"""),"HomeHub continues to show positive momentum with moderate risk.")</f>
        <v>HomeHub continues to show positive momentum with moderate risk.</v>
      </c>
      <c r="E963" s="122" t="str">
        <f>IFERROR(__xludf.DUMMYFUNCTION("""COMPUTED_VALUE"""),"Positive")</f>
        <v>Positive</v>
      </c>
      <c r="F963" s="122">
        <f>IFERROR(__xludf.DUMMYFUNCTION("""COMPUTED_VALUE"""),0.015)</f>
        <v>0.015</v>
      </c>
      <c r="G963" s="122">
        <f>IFERROR(__xludf.DUMMYFUNCTION("""COMPUTED_VALUE"""),0.5)</f>
        <v>0.5</v>
      </c>
      <c r="H963" s="122" t="str">
        <f>IFERROR(__xludf.DUMMYFUNCTION("""COMPUTED_VALUE"""),"Active")</f>
        <v>Active</v>
      </c>
    </row>
    <row r="964">
      <c r="A964" s="131">
        <f>IFERROR(__xludf.DUMMYFUNCTION("""COMPUTED_VALUE"""),46177.33116898148)</f>
        <v>46177.33117</v>
      </c>
      <c r="B964" s="122" t="str">
        <f>IFERROR(__xludf.DUMMYFUNCTION("""COMPUTED_VALUE"""),"RENT")</f>
        <v>RENT</v>
      </c>
      <c r="C964" s="122" t="str">
        <f>IFERROR(__xludf.DUMMYFUNCTION("""COMPUTED_VALUE"""),"RentRight faces weaker demand and cautious investor sentiment.")</f>
        <v>RentRight faces weaker demand and cautious investor sentiment.</v>
      </c>
      <c r="D964" s="122" t="str">
        <f>IFERROR(__xludf.DUMMYFUNCTION("""COMPUTED_VALUE"""),"Investors are watching RentRight closely as demand weakens.")</f>
        <v>Investors are watching RentRight closely as demand weakens.</v>
      </c>
      <c r="E964" s="122" t="str">
        <f>IFERROR(__xludf.DUMMYFUNCTION("""COMPUTED_VALUE"""),"Negative")</f>
        <v>Negative</v>
      </c>
      <c r="F964" s="122">
        <f>IFERROR(__xludf.DUMMYFUNCTION("""COMPUTED_VALUE"""),-0.015)</f>
        <v>-0.015</v>
      </c>
      <c r="G964" s="122">
        <f>IFERROR(__xludf.DUMMYFUNCTION("""COMPUTED_VALUE"""),0.75)</f>
        <v>0.75</v>
      </c>
      <c r="H964" s="122" t="str">
        <f>IFERROR(__xludf.DUMMYFUNCTION("""COMPUTED_VALUE"""),"Active")</f>
        <v>Active</v>
      </c>
    </row>
    <row r="965">
      <c r="A965" s="131">
        <f>IFERROR(__xludf.DUMMYFUNCTION("""COMPUTED_VALUE"""),46177.33116898148)</f>
        <v>46177.33117</v>
      </c>
      <c r="B965" s="122" t="str">
        <f>IFERROR(__xludf.DUMMYFUNCTION("""COMPUTED_VALUE"""),"MALL")</f>
        <v>MALL</v>
      </c>
      <c r="C965" s="122" t="str">
        <f>IFERROR(__xludf.DUMMYFUNCTION("""COMPUTED_VALUE"""),"MegaMall remains stable as the Real Estate market shows normal activity.")</f>
        <v>MegaMall remains stable as the Real Estate market shows normal activity.</v>
      </c>
      <c r="D965" s="122" t="str">
        <f>IFERROR(__xludf.DUMMYFUNCTION("""COMPUTED_VALUE"""),"MegaMall appears steady with no major changes reported.")</f>
        <v>MegaMall appears steady with no major changes reported.</v>
      </c>
      <c r="E965" s="122" t="str">
        <f>IFERROR(__xludf.DUMMYFUNCTION("""COMPUTED_VALUE"""),"Neutral")</f>
        <v>Neutral</v>
      </c>
      <c r="F965" s="122">
        <f>IFERROR(__xludf.DUMMYFUNCTION("""COMPUTED_VALUE"""),0.0)</f>
        <v>0</v>
      </c>
      <c r="G965" s="122">
        <f>IFERROR(__xludf.DUMMYFUNCTION("""COMPUTED_VALUE"""),0.0)</f>
        <v>0</v>
      </c>
      <c r="H965" s="122" t="str">
        <f>IFERROR(__xludf.DUMMYFUNCTION("""COMPUTED_VALUE"""),"Active")</f>
        <v>Active</v>
      </c>
    </row>
    <row r="966">
      <c r="A966" s="131">
        <f>IFERROR(__xludf.DUMMYFUNCTION("""COMPUTED_VALUE"""),46177.33116898148)</f>
        <v>46177.33117</v>
      </c>
      <c r="B966" s="122" t="str">
        <f>IFERROR(__xludf.DUMMYFUNCTION("""COMPUTED_VALUE"""),"HOTL")</f>
        <v>HOTL</v>
      </c>
      <c r="C966" s="122" t="str">
        <f>IFERROR(__xludf.DUMMYFUNCTION("""COMPUTED_VALUE"""),"HotelHive surges as demand rises across the Real Estate sector.")</f>
        <v>HotelHive surges as demand rises across the Real Estate sector.</v>
      </c>
      <c r="D966" s="122" t="str">
        <f>IFERROR(__xludf.DUMMYFUNCTION("""COMPUTED_VALUE"""),"HotelHive is seeing strong demand, which may increase investor confidence.")</f>
        <v>HotelHive is seeing strong demand, which may increase investor confidence.</v>
      </c>
      <c r="E966" s="122" t="str">
        <f>IFERROR(__xludf.DUMMYFUNCTION("""COMPUTED_VALUE"""),"Positive")</f>
        <v>Positive</v>
      </c>
      <c r="F966" s="122">
        <f>IFERROR(__xludf.DUMMYFUNCTION("""COMPUTED_VALUE"""),0.03)</f>
        <v>0.03</v>
      </c>
      <c r="G966" s="122">
        <f>IFERROR(__xludf.DUMMYFUNCTION("""COMPUTED_VALUE"""),1.0)</f>
        <v>1</v>
      </c>
      <c r="H966" s="122" t="str">
        <f>IFERROR(__xludf.DUMMYFUNCTION("""COMPUTED_VALUE"""),"Active")</f>
        <v>Active</v>
      </c>
    </row>
    <row r="967">
      <c r="A967" s="131">
        <f>IFERROR(__xludf.DUMMYFUNCTION("""COMPUTED_VALUE"""),46177.33118055556)</f>
        <v>46177.33118</v>
      </c>
      <c r="B967" s="122" t="str">
        <f>IFERROR(__xludf.DUMMYFUNCTION("""COMPUTED_VALUE"""),"LAND")</f>
        <v>LAND</v>
      </c>
      <c r="C967" s="122" t="str">
        <f>IFERROR(__xludf.DUMMYFUNCTION("""COMPUTED_VALUE"""),"LandLink faces weaker demand and cautious investor sentiment.")</f>
        <v>LandLink faces weaker demand and cautious investor sentiment.</v>
      </c>
      <c r="D967" s="122" t="str">
        <f>IFERROR(__xludf.DUMMYFUNCTION("""COMPUTED_VALUE"""),"Investors are watching LandLink closely as demand weakens.")</f>
        <v>Investors are watching LandLink closely as demand weakens.</v>
      </c>
      <c r="E967" s="122" t="str">
        <f>IFERROR(__xludf.DUMMYFUNCTION("""COMPUTED_VALUE"""),"Negative")</f>
        <v>Negative</v>
      </c>
      <c r="F967" s="122">
        <f>IFERROR(__xludf.DUMMYFUNCTION("""COMPUTED_VALUE"""),-0.015)</f>
        <v>-0.015</v>
      </c>
      <c r="G967" s="122">
        <f>IFERROR(__xludf.DUMMYFUNCTION("""COMPUTED_VALUE"""),0.75)</f>
        <v>0.75</v>
      </c>
      <c r="H967" s="122" t="str">
        <f>IFERROR(__xludf.DUMMYFUNCTION("""COMPUTED_VALUE"""),"Active")</f>
        <v>Active</v>
      </c>
    </row>
    <row r="968">
      <c r="A968" s="131">
        <f>IFERROR(__xludf.DUMMYFUNCTION("""COMPUTED_VALUE"""),46177.33118055556)</f>
        <v>46177.33118</v>
      </c>
      <c r="B968" s="122" t="str">
        <f>IFERROR(__xludf.DUMMYFUNCTION("""COMPUTED_VALUE"""),"CARS")</f>
        <v>CARS</v>
      </c>
      <c r="C968" s="122" t="str">
        <f>IFERROR(__xludf.DUMMYFUNCTION("""COMPUTED_VALUE"""),"AutoArena remains stable as the Automotive market shows normal activity.")</f>
        <v>AutoArena remains stable as the Automotive market shows normal activity.</v>
      </c>
      <c r="D968" s="122" t="str">
        <f>IFERROR(__xludf.DUMMYFUNCTION("""COMPUTED_VALUE"""),"AutoArena appears steady with no major changes reported.")</f>
        <v>AutoArena appears steady with no major changes reported.</v>
      </c>
      <c r="E968" s="122" t="str">
        <f>IFERROR(__xludf.DUMMYFUNCTION("""COMPUTED_VALUE"""),"Neutral")</f>
        <v>Neutral</v>
      </c>
      <c r="F968" s="122">
        <f>IFERROR(__xludf.DUMMYFUNCTION("""COMPUTED_VALUE"""),0.0)</f>
        <v>0</v>
      </c>
      <c r="G968" s="122">
        <f>IFERROR(__xludf.DUMMYFUNCTION("""COMPUTED_VALUE"""),0.0)</f>
        <v>0</v>
      </c>
      <c r="H968" s="122" t="str">
        <f>IFERROR(__xludf.DUMMYFUNCTION("""COMPUTED_VALUE"""),"Active")</f>
        <v>Active</v>
      </c>
    </row>
    <row r="969">
      <c r="A969" s="131">
        <f>IFERROR(__xludf.DUMMYFUNCTION("""COMPUTED_VALUE"""),46177.33118055556)</f>
        <v>46177.33118</v>
      </c>
      <c r="B969" s="122" t="str">
        <f>IFERROR(__xludf.DUMMYFUNCTION("""COMPUTED_VALUE"""),"EVGO")</f>
        <v>EVGO</v>
      </c>
      <c r="C969" s="122" t="str">
        <f>IFERROR(__xludf.DUMMYFUNCTION("""COMPUTED_VALUE"""),"EVGo Motors reports steady growth and improved market confidence.")</f>
        <v>EVGo Motors reports steady growth and improved market confidence.</v>
      </c>
      <c r="D969" s="122" t="str">
        <f>IFERROR(__xludf.DUMMYFUNCTION("""COMPUTED_VALUE"""),"EVGo Motors continues to show positive momentum with moderate risk.")</f>
        <v>EVGo Motors continues to show positive momentum with moderate risk.</v>
      </c>
      <c r="E969" s="122" t="str">
        <f>IFERROR(__xludf.DUMMYFUNCTION("""COMPUTED_VALUE"""),"Positive")</f>
        <v>Positive</v>
      </c>
      <c r="F969" s="122">
        <f>IFERROR(__xludf.DUMMYFUNCTION("""COMPUTED_VALUE"""),0.015)</f>
        <v>0.015</v>
      </c>
      <c r="G969" s="122">
        <f>IFERROR(__xludf.DUMMYFUNCTION("""COMPUTED_VALUE"""),0.5)</f>
        <v>0.5</v>
      </c>
      <c r="H969" s="122" t="str">
        <f>IFERROR(__xludf.DUMMYFUNCTION("""COMPUTED_VALUE"""),"Active")</f>
        <v>Active</v>
      </c>
    </row>
    <row r="970">
      <c r="A970" s="131">
        <f>IFERROR(__xludf.DUMMYFUNCTION("""COMPUTED_VALUE"""),46177.331192129626)</f>
        <v>46177.33119</v>
      </c>
      <c r="B970" s="122" t="str">
        <f>IFERROR(__xludf.DUMMYFUNCTION("""COMPUTED_VALUE"""),"TIRE")</f>
        <v>TIRE</v>
      </c>
      <c r="C970" s="122" t="str">
        <f>IFERROR(__xludf.DUMMYFUNCTION("""COMPUTED_VALUE"""),"TireTown remains stable as the Automotive market shows normal activity.")</f>
        <v>TireTown remains stable as the Automotive market shows normal activity.</v>
      </c>
      <c r="D970" s="122" t="str">
        <f>IFERROR(__xludf.DUMMYFUNCTION("""COMPUTED_VALUE"""),"TireTown appears steady with no major changes reported.")</f>
        <v>TireTown appears steady with no major changes reported.</v>
      </c>
      <c r="E970" s="122" t="str">
        <f>IFERROR(__xludf.DUMMYFUNCTION("""COMPUTED_VALUE"""),"Neutral")</f>
        <v>Neutral</v>
      </c>
      <c r="F970" s="122">
        <f>IFERROR(__xludf.DUMMYFUNCTION("""COMPUTED_VALUE"""),0.0)</f>
        <v>0</v>
      </c>
      <c r="G970" s="122">
        <f>IFERROR(__xludf.DUMMYFUNCTION("""COMPUTED_VALUE"""),0.0)</f>
        <v>0</v>
      </c>
      <c r="H970" s="122" t="str">
        <f>IFERROR(__xludf.DUMMYFUNCTION("""COMPUTED_VALUE"""),"Active")</f>
        <v>Active</v>
      </c>
    </row>
    <row r="971">
      <c r="A971" s="131">
        <f>IFERROR(__xludf.DUMMYFUNCTION("""COMPUTED_VALUE"""),46177.331192129626)</f>
        <v>46177.33119</v>
      </c>
      <c r="B971" s="122" t="str">
        <f>IFERROR(__xludf.DUMMYFUNCTION("""COMPUTED_VALUE"""),"BIKE")</f>
        <v>BIKE</v>
      </c>
      <c r="C971" s="122" t="str">
        <f>IFERROR(__xludf.DUMMYFUNCTION("""COMPUTED_VALUE"""),"BikeBox faces weaker demand and cautious investor sentiment.")</f>
        <v>BikeBox faces weaker demand and cautious investor sentiment.</v>
      </c>
      <c r="D971" s="122" t="str">
        <f>IFERROR(__xludf.DUMMYFUNCTION("""COMPUTED_VALUE"""),"Investors are watching BikeBox closely as demand weakens.")</f>
        <v>Investors are watching BikeBox closely as demand weakens.</v>
      </c>
      <c r="E971" s="122" t="str">
        <f>IFERROR(__xludf.DUMMYFUNCTION("""COMPUTED_VALUE"""),"Negative")</f>
        <v>Negative</v>
      </c>
      <c r="F971" s="122">
        <f>IFERROR(__xludf.DUMMYFUNCTION("""COMPUTED_VALUE"""),-0.015)</f>
        <v>-0.015</v>
      </c>
      <c r="G971" s="122">
        <f>IFERROR(__xludf.DUMMYFUNCTION("""COMPUTED_VALUE"""),0.75)</f>
        <v>0.75</v>
      </c>
      <c r="H971" s="122" t="str">
        <f>IFERROR(__xludf.DUMMYFUNCTION("""COMPUTED_VALUE"""),"Active")</f>
        <v>Active</v>
      </c>
    </row>
    <row r="972">
      <c r="A972" s="131">
        <f>IFERROR(__xludf.DUMMYFUNCTION("""COMPUTED_VALUE"""),46177.3312037037)</f>
        <v>46177.3312</v>
      </c>
      <c r="B972" s="122" t="str">
        <f>IFERROR(__xludf.DUMMYFUNCTION("""COMPUTED_VALUE"""),"WASH")</f>
        <v>WASH</v>
      </c>
      <c r="C972" s="122" t="str">
        <f>IFERROR(__xludf.DUMMYFUNCTION("""COMPUTED_VALUE"""),"CarWash Co reports steady growth and improved market confidence.")</f>
        <v>CarWash Co reports steady growth and improved market confidence.</v>
      </c>
      <c r="D972" s="122" t="str">
        <f>IFERROR(__xludf.DUMMYFUNCTION("""COMPUTED_VALUE"""),"CarWash Co continues to show positive momentum with moderate risk.")</f>
        <v>CarWash Co continues to show positive momentum with moderate risk.</v>
      </c>
      <c r="E972" s="122" t="str">
        <f>IFERROR(__xludf.DUMMYFUNCTION("""COMPUTED_VALUE"""),"Positive")</f>
        <v>Positive</v>
      </c>
      <c r="F972" s="122">
        <f>IFERROR(__xludf.DUMMYFUNCTION("""COMPUTED_VALUE"""),0.015)</f>
        <v>0.015</v>
      </c>
      <c r="G972" s="122">
        <f>IFERROR(__xludf.DUMMYFUNCTION("""COMPUTED_VALUE"""),0.5)</f>
        <v>0.5</v>
      </c>
      <c r="H972" s="122" t="str">
        <f>IFERROR(__xludf.DUMMYFUNCTION("""COMPUTED_VALUE"""),"Active")</f>
        <v>Active</v>
      </c>
    </row>
    <row r="973">
      <c r="A973" s="131">
        <f>IFERROR(__xludf.DUMMYFUNCTION("""COMPUTED_VALUE"""),46177.33121527778)</f>
        <v>46177.33122</v>
      </c>
      <c r="B973" s="122" t="str">
        <f>IFERROR(__xludf.DUMMYFUNCTION("""COMPUTED_VALUE"""),"GBND")</f>
        <v>GBND</v>
      </c>
      <c r="C973" s="122" t="str">
        <f>IFERROR(__xludf.DUMMYFUNCTION("""COMPUTED_VALUE"""),"Classroom Government Bond remains steady as investors seek stability.")</f>
        <v>Classroom Government Bond remains steady as investors seek stability.</v>
      </c>
      <c r="D973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973" s="122" t="str">
        <f>IFERROR(__xludf.DUMMYFUNCTION("""COMPUTED_VALUE"""),"Neutral")</f>
        <v>Neutral</v>
      </c>
      <c r="F973" s="122">
        <f>IFERROR(__xludf.DUMMYFUNCTION("""COMPUTED_VALUE"""),0.0)</f>
        <v>0</v>
      </c>
      <c r="G973" s="122">
        <f>IFERROR(__xludf.DUMMYFUNCTION("""COMPUTED_VALUE"""),0.0)</f>
        <v>0</v>
      </c>
      <c r="H973" s="122" t="str">
        <f>IFERROR(__xludf.DUMMYFUNCTION("""COMPUTED_VALUE"""),"Active")</f>
        <v>Active</v>
      </c>
    </row>
    <row r="974">
      <c r="A974" s="131">
        <f>IFERROR(__xludf.DUMMYFUNCTION("""COMPUTED_VALUE"""),46177.33121527778)</f>
        <v>46177.33122</v>
      </c>
      <c r="B974" s="122" t="str">
        <f>IFERROR(__xludf.DUMMYFUNCTION("""COMPUTED_VALUE"""),"SBND")</f>
        <v>SBND</v>
      </c>
      <c r="C974" s="122" t="str">
        <f>IFERROR(__xludf.DUMMYFUNCTION("""COMPUTED_VALUE"""),"School Savings Bond remains steady as investors seek stability.")</f>
        <v>School Savings Bond remains steady as investors seek stability.</v>
      </c>
      <c r="D974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974" s="122" t="str">
        <f>IFERROR(__xludf.DUMMYFUNCTION("""COMPUTED_VALUE"""),"Neutral")</f>
        <v>Neutral</v>
      </c>
      <c r="F974" s="122">
        <f>IFERROR(__xludf.DUMMYFUNCTION("""COMPUTED_VALUE"""),0.0)</f>
        <v>0</v>
      </c>
      <c r="G974" s="122">
        <f>IFERROR(__xludf.DUMMYFUNCTION("""COMPUTED_VALUE"""),0.0)</f>
        <v>0</v>
      </c>
      <c r="H974" s="122" t="str">
        <f>IFERROR(__xludf.DUMMYFUNCTION("""COMPUTED_VALUE"""),"Active")</f>
        <v>Active</v>
      </c>
    </row>
    <row r="975">
      <c r="A975" s="131">
        <f>IFERROR(__xludf.DUMMYFUNCTION("""COMPUTED_VALUE"""),46177.33122685185)</f>
        <v>46177.33123</v>
      </c>
      <c r="B975" s="122" t="str">
        <f>IFERROR(__xludf.DUMMYFUNCTION("""COMPUTED_VALUE"""),"CBND")</f>
        <v>CBND</v>
      </c>
      <c r="C975" s="122" t="str">
        <f>IFERROR(__xludf.DUMMYFUNCTION("""COMPUTED_VALUE"""),"Corporate Classroom Bond remains steady as investors seek stability.")</f>
        <v>Corporate Classroom Bond remains steady as investors seek stability.</v>
      </c>
      <c r="D975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975" s="122" t="str">
        <f>IFERROR(__xludf.DUMMYFUNCTION("""COMPUTED_VALUE"""),"Neutral")</f>
        <v>Neutral</v>
      </c>
      <c r="F975" s="122">
        <f>IFERROR(__xludf.DUMMYFUNCTION("""COMPUTED_VALUE"""),0.0)</f>
        <v>0</v>
      </c>
      <c r="G975" s="122">
        <f>IFERROR(__xludf.DUMMYFUNCTION("""COMPUTED_VALUE"""),0.0)</f>
        <v>0</v>
      </c>
      <c r="H975" s="122" t="str">
        <f>IFERROR(__xludf.DUMMYFUNCTION("""COMPUTED_VALUE"""),"Active")</f>
        <v>Active</v>
      </c>
    </row>
    <row r="976">
      <c r="A976" s="131">
        <f>IFERROR(__xludf.DUMMYFUNCTION("""COMPUTED_VALUE"""),46177.33122685185)</f>
        <v>46177.33123</v>
      </c>
      <c r="B976" s="122" t="str">
        <f>IFERROR(__xludf.DUMMYFUNCTION("""COMPUTED_VALUE"""),"TBIL")</f>
        <v>TBIL</v>
      </c>
      <c r="C976" s="122" t="str">
        <f>IFERROR(__xludf.DUMMYFUNCTION("""COMPUTED_VALUE"""),"Treasury Bill remains steady as investors seek stability.")</f>
        <v>Treasury Bill remains steady as investors seek stability.</v>
      </c>
      <c r="D976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976" s="122" t="str">
        <f>IFERROR(__xludf.DUMMYFUNCTION("""COMPUTED_VALUE"""),"Neutral")</f>
        <v>Neutral</v>
      </c>
      <c r="F976" s="122">
        <f>IFERROR(__xludf.DUMMYFUNCTION("""COMPUTED_VALUE"""),0.0)</f>
        <v>0</v>
      </c>
      <c r="G976" s="122">
        <f>IFERROR(__xludf.DUMMYFUNCTION("""COMPUTED_VALUE"""),0.0)</f>
        <v>0</v>
      </c>
      <c r="H976" s="122" t="str">
        <f>IFERROR(__xludf.DUMMYFUNCTION("""COMPUTED_VALUE"""),"Active")</f>
        <v>Active</v>
      </c>
    </row>
    <row r="977">
      <c r="A977" s="131">
        <f>IFERROR(__xludf.DUMMYFUNCTION("""COMPUTED_VALUE"""),46177.331238425926)</f>
        <v>46177.33124</v>
      </c>
      <c r="B977" s="122" t="str">
        <f>IFERROR(__xludf.DUMMYFUNCTION("""COMPUTED_VALUE"""),"IBND")</f>
        <v>IBND</v>
      </c>
      <c r="C977" s="122" t="str">
        <f>IFERROR(__xludf.DUMMYFUNCTION("""COMPUTED_VALUE"""),"Inflation Protected Bond remains steady as investors seek stability.")</f>
        <v>Inflation Protected Bond remains steady as investors seek stability.</v>
      </c>
      <c r="D977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977" s="122" t="str">
        <f>IFERROR(__xludf.DUMMYFUNCTION("""COMPUTED_VALUE"""),"Neutral")</f>
        <v>Neutral</v>
      </c>
      <c r="F977" s="122">
        <f>IFERROR(__xludf.DUMMYFUNCTION("""COMPUTED_VALUE"""),0.0)</f>
        <v>0</v>
      </c>
      <c r="G977" s="122">
        <f>IFERROR(__xludf.DUMMYFUNCTION("""COMPUTED_VALUE"""),0.0)</f>
        <v>0</v>
      </c>
      <c r="H977" s="122" t="str">
        <f>IFERROR(__xludf.DUMMYFUNCTION("""COMPUTED_VALUE"""),"Active")</f>
        <v>Active</v>
      </c>
    </row>
    <row r="978">
      <c r="A978" s="131">
        <f>IFERROR(__xludf.DUMMYFUNCTION("""COMPUTED_VALUE"""),46178.31758101852)</f>
        <v>46178.31758</v>
      </c>
      <c r="B978" s="122" t="str">
        <f>IFERROR(__xludf.DUMMYFUNCTION("""COMPUTED_VALUE"""),"MEDX")</f>
        <v>MEDX</v>
      </c>
      <c r="C978" s="122" t="str">
        <f>IFERROR(__xludf.DUMMYFUNCTION("""COMPUTED_VALUE"""),"MediCore releases earnings report: Miss profit, guidance Lowered.")</f>
        <v>MediCore releases earnings report: Miss profit, guidance Lowered.</v>
      </c>
      <c r="D978" s="122" t="str">
        <f>IFERROR(__xludf.DUMMYFUNCTION("""COMPUTED_VALUE"""),"Earnings report: revenue Miss, profit Miss, debt Worse, guidance Lowered.")</f>
        <v>Earnings report: revenue Miss, profit Miss, debt Worse, guidance Lowered.</v>
      </c>
      <c r="E978" s="122" t="str">
        <f>IFERROR(__xludf.DUMMYFUNCTION("""COMPUTED_VALUE"""),"Negative")</f>
        <v>Negative</v>
      </c>
      <c r="F978" s="122">
        <f>IFERROR(__xludf.DUMMYFUNCTION("""COMPUTED_VALUE"""),-0.05892689504917056)</f>
        <v>-0.05892689505</v>
      </c>
      <c r="G978" s="122">
        <f>IFERROR(__xludf.DUMMYFUNCTION("""COMPUTED_VALUE"""),1.4731723762292641)</f>
        <v>1.473172376</v>
      </c>
      <c r="H978" s="122" t="str">
        <f>IFERROR(__xludf.DUMMYFUNCTION("""COMPUTED_VALUE"""),"Active")</f>
        <v>Active</v>
      </c>
    </row>
    <row r="979">
      <c r="A979" s="131">
        <f>IFERROR(__xludf.DUMMYFUNCTION("""COMPUTED_VALUE"""),46178.317662037036)</f>
        <v>46178.31766</v>
      </c>
      <c r="B979" s="122" t="str">
        <f>IFERROR(__xludf.DUMMYFUNCTION("""COMPUTED_VALUE"""),"BANK")</f>
        <v>BANK</v>
      </c>
      <c r="C979" s="122" t="str">
        <f>IFERROR(__xludf.DUMMYFUNCTION("""COMPUTED_VALUE"""),"Tiger Bank releases earnings report: Miss profit, guidance Lowered.")</f>
        <v>Tiger Bank releases earnings report: Miss profit, guidance Lowered.</v>
      </c>
      <c r="D979" s="122" t="str">
        <f>IFERROR(__xludf.DUMMYFUNCTION("""COMPUTED_VALUE"""),"Earnings report: revenue Miss, profit Miss, debt Worse, guidance Lowered.")</f>
        <v>Earnings report: revenue Miss, profit Miss, debt Worse, guidance Lowered.</v>
      </c>
      <c r="E979" s="122" t="str">
        <f>IFERROR(__xludf.DUMMYFUNCTION("""COMPUTED_VALUE"""),"Negative")</f>
        <v>Negative</v>
      </c>
      <c r="F979" s="122">
        <f>IFERROR(__xludf.DUMMYFUNCTION("""COMPUTED_VALUE"""),-0.05461742593981379)</f>
        <v>-0.05461742594</v>
      </c>
      <c r="G979" s="122">
        <f>IFERROR(__xludf.DUMMYFUNCTION("""COMPUTED_VALUE"""),1.365435648495345)</f>
        <v>1.365435648</v>
      </c>
      <c r="H979" s="122" t="str">
        <f>IFERROR(__xludf.DUMMYFUNCTION("""COMPUTED_VALUE"""),"Active")</f>
        <v>Active</v>
      </c>
    </row>
    <row r="980">
      <c r="A980" s="131">
        <f>IFERROR(__xludf.DUMMYFUNCTION("""COMPUTED_VALUE"""),46178.31773148148)</f>
        <v>46178.31773</v>
      </c>
      <c r="B980" s="122" t="str">
        <f>IFERROR(__xludf.DUMMYFUNCTION("""COMPUTED_VALUE"""),"MUSC")</f>
        <v>MUSC</v>
      </c>
      <c r="C980" s="122" t="str">
        <f>IFERROR(__xludf.DUMMYFUNCTION("""COMPUTED_VALUE"""),"MusicWave releases earnings report: Miss profit, guidance Lowered.")</f>
        <v>MusicWave releases earnings report: Miss profit, guidance Lowered.</v>
      </c>
      <c r="D980" s="122" t="str">
        <f>IFERROR(__xludf.DUMMYFUNCTION("""COMPUTED_VALUE"""),"Earnings report: revenue Miss, profit Miss, debt Worse, guidance Lowered.")</f>
        <v>Earnings report: revenue Miss, profit Miss, debt Worse, guidance Lowered.</v>
      </c>
      <c r="E980" s="122" t="str">
        <f>IFERROR(__xludf.DUMMYFUNCTION("""COMPUTED_VALUE"""),"Negative")</f>
        <v>Negative</v>
      </c>
      <c r="F980" s="122">
        <f>IFERROR(__xludf.DUMMYFUNCTION("""COMPUTED_VALUE"""),-0.03889898187397207)</f>
        <v>-0.03889898187</v>
      </c>
      <c r="G980" s="122">
        <f>IFERROR(__xludf.DUMMYFUNCTION("""COMPUTED_VALUE"""),0.9724745468493017)</f>
        <v>0.9724745468</v>
      </c>
      <c r="H980" s="122" t="str">
        <f>IFERROR(__xludf.DUMMYFUNCTION("""COMPUTED_VALUE"""),"Active")</f>
        <v>Active</v>
      </c>
    </row>
    <row r="981">
      <c r="A981" s="131">
        <f>IFERROR(__xludf.DUMMYFUNCTION("""COMPUTED_VALUE"""),46178.3178125)</f>
        <v>46178.31781</v>
      </c>
      <c r="B981" s="122" t="str">
        <f>IFERROR(__xludf.DUMMYFUNCTION("""COMPUTED_VALUE"""),"BIKE")</f>
        <v>BIKE</v>
      </c>
      <c r="C981" s="122" t="str">
        <f>IFERROR(__xludf.DUMMYFUNCTION("""COMPUTED_VALUE"""),"BikeBox releases earnings report: Inline profit, guidance Maintained.")</f>
        <v>BikeBox releases earnings report: Inline profit, guidance Maintained.</v>
      </c>
      <c r="D981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981" s="122" t="str">
        <f>IFERROR(__xludf.DUMMYFUNCTION("""COMPUTED_VALUE"""),"Neutral")</f>
        <v>Neutral</v>
      </c>
      <c r="F981" s="122">
        <f>IFERROR(__xludf.DUMMYFUNCTION("""COMPUTED_VALUE"""),0.008950658527919994)</f>
        <v>0.008950658528</v>
      </c>
      <c r="G981" s="122">
        <f>IFERROR(__xludf.DUMMYFUNCTION("""COMPUTED_VALUE"""),0.22376646319799987)</f>
        <v>0.2237664632</v>
      </c>
      <c r="H981" s="122" t="str">
        <f>IFERROR(__xludf.DUMMYFUNCTION("""COMPUTED_VALUE"""),"Active")</f>
        <v>Active</v>
      </c>
    </row>
    <row r="982">
      <c r="A982" s="131">
        <f>IFERROR(__xludf.DUMMYFUNCTION("""COMPUTED_VALUE"""),46178.317881944444)</f>
        <v>46178.31788</v>
      </c>
      <c r="B982" s="122" t="str">
        <f>IFERROR(__xludf.DUMMYFUNCTION("""COMPUTED_VALUE"""),"BOND")</f>
        <v>BOND</v>
      </c>
      <c r="C982" s="122" t="str">
        <f>IFERROR(__xludf.DUMMYFUNCTION("""COMPUTED_VALUE"""),"BondBridge releases earnings report: Miss profit, guidance Lowered.")</f>
        <v>BondBridge releases earnings report: Miss profit, guidance Lowered.</v>
      </c>
      <c r="D982" s="122" t="str">
        <f>IFERROR(__xludf.DUMMYFUNCTION("""COMPUTED_VALUE"""),"Earnings report: revenue Miss, profit Miss, debt Worse, guidance Lowered.")</f>
        <v>Earnings report: revenue Miss, profit Miss, debt Worse, guidance Lowered.</v>
      </c>
      <c r="E982" s="122" t="str">
        <f>IFERROR(__xludf.DUMMYFUNCTION("""COMPUTED_VALUE"""),"Negative")</f>
        <v>Negative</v>
      </c>
      <c r="F982" s="122">
        <f>IFERROR(__xludf.DUMMYFUNCTION("""COMPUTED_VALUE"""),-0.040511033402824206)</f>
        <v>-0.0405110334</v>
      </c>
      <c r="G982" s="122">
        <f>IFERROR(__xludf.DUMMYFUNCTION("""COMPUTED_VALUE"""),1.012775835070605)</f>
        <v>1.012775835</v>
      </c>
      <c r="H982" s="122" t="str">
        <f>IFERROR(__xludf.DUMMYFUNCTION("""COMPUTED_VALUE"""),"Active")</f>
        <v>Active</v>
      </c>
    </row>
    <row r="983">
      <c r="A983" s="131">
        <f>IFERROR(__xludf.DUMMYFUNCTION("""COMPUTED_VALUE"""),46178.31795138889)</f>
        <v>46178.31795</v>
      </c>
      <c r="B983" s="122" t="str">
        <f>IFERROR(__xludf.DUMMYFUNCTION("""COMPUTED_VALUE"""),"GAME")</f>
        <v>GAME</v>
      </c>
      <c r="C983" s="122" t="str">
        <f>IFERROR(__xludf.DUMMYFUNCTION("""COMPUTED_VALUE"""),"GameBox Media releases earnings report: Beat profit, guidance Maintained.")</f>
        <v>GameBox Media releases earnings report: Beat profit, guidance Maintained.</v>
      </c>
      <c r="D983" s="122" t="str">
        <f>IFERROR(__xludf.DUMMYFUNCTION("""COMPUTED_VALUE"""),"Earnings report: revenue Beat, profit Beat, debt Stable, guidance Maintained.")</f>
        <v>Earnings report: revenue Beat, profit Beat, debt Stable, guidance Maintained.</v>
      </c>
      <c r="E983" s="122" t="str">
        <f>IFERROR(__xludf.DUMMYFUNCTION("""COMPUTED_VALUE"""),"Positive")</f>
        <v>Positive</v>
      </c>
      <c r="F983" s="122">
        <f>IFERROR(__xludf.DUMMYFUNCTION("""COMPUTED_VALUE"""),0.017420852599426752)</f>
        <v>0.0174208526</v>
      </c>
      <c r="G983" s="122">
        <f>IFERROR(__xludf.DUMMYFUNCTION("""COMPUTED_VALUE"""),0.4355213149856688)</f>
        <v>0.435521315</v>
      </c>
      <c r="H983" s="122" t="str">
        <f>IFERROR(__xludf.DUMMYFUNCTION("""COMPUTED_VALUE"""),"Active")</f>
        <v>Active</v>
      </c>
    </row>
    <row r="984">
      <c r="A984" s="131">
        <f>IFERROR(__xludf.DUMMYFUNCTION("""COMPUTED_VALUE"""),46178.318032407406)</f>
        <v>46178.31803</v>
      </c>
      <c r="B984" s="122" t="str">
        <f>IFERROR(__xludf.DUMMYFUNCTION("""COMPUTED_VALUE"""),"BATT")</f>
        <v>BATT</v>
      </c>
      <c r="C984" s="122" t="str">
        <f>IFERROR(__xludf.DUMMYFUNCTION("""COMPUTED_VALUE"""),"BatteryBox releases earnings report: Miss profit, guidance Lowered.")</f>
        <v>BatteryBox releases earnings report: Miss profit, guidance Lowered.</v>
      </c>
      <c r="D984" s="122" t="str">
        <f>IFERROR(__xludf.DUMMYFUNCTION("""COMPUTED_VALUE"""),"Earnings report: revenue Miss, profit Miss, debt Stable, guidance Lowered.")</f>
        <v>Earnings report: revenue Miss, profit Miss, debt Stable, guidance Lowered.</v>
      </c>
      <c r="E984" s="122" t="str">
        <f>IFERROR(__xludf.DUMMYFUNCTION("""COMPUTED_VALUE"""),"Negative")</f>
        <v>Negative</v>
      </c>
      <c r="F984" s="122">
        <f>IFERROR(__xludf.DUMMYFUNCTION("""COMPUTED_VALUE"""),-0.020823930951878723)</f>
        <v>-0.02082393095</v>
      </c>
      <c r="G984" s="122">
        <f>IFERROR(__xludf.DUMMYFUNCTION("""COMPUTED_VALUE"""),0.5205982737969681)</f>
        <v>0.5205982738</v>
      </c>
      <c r="H984" s="122" t="str">
        <f>IFERROR(__xludf.DUMMYFUNCTION("""COMPUTED_VALUE"""),"Active")</f>
        <v>Active</v>
      </c>
    </row>
    <row r="985">
      <c r="A985" s="131">
        <f>IFERROR(__xludf.DUMMYFUNCTION("""COMPUTED_VALUE"""),46178.31811342593)</f>
        <v>46178.31811</v>
      </c>
      <c r="B985" s="122" t="str">
        <f>IFERROR(__xludf.DUMMYFUNCTION("""COMPUTED_VALUE"""),"RIDE")</f>
        <v>RIDE</v>
      </c>
      <c r="C985" s="122" t="str">
        <f>IFERROR(__xludf.DUMMYFUNCTION("""COMPUTED_VALUE"""),"QuickRide releases earnings report: Beat profit, guidance Raised.")</f>
        <v>QuickRide releases earnings report: Beat profit, guidance Raised.</v>
      </c>
      <c r="D98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85" s="122" t="str">
        <f>IFERROR(__xludf.DUMMYFUNCTION("""COMPUTED_VALUE"""),"Positive")</f>
        <v>Positive</v>
      </c>
      <c r="F985" s="122">
        <f>IFERROR(__xludf.DUMMYFUNCTION("""COMPUTED_VALUE"""),0.05584824525355212)</f>
        <v>0.05584824525</v>
      </c>
      <c r="G985" s="122">
        <f>IFERROR(__xludf.DUMMYFUNCTION("""COMPUTED_VALUE"""),1.396206131338803)</f>
        <v>1.396206131</v>
      </c>
      <c r="H985" s="122" t="str">
        <f>IFERROR(__xludf.DUMMYFUNCTION("""COMPUTED_VALUE"""),"Active")</f>
        <v>Active</v>
      </c>
    </row>
    <row r="986">
      <c r="A986" s="131">
        <f>IFERROR(__xludf.DUMMYFUNCTION("""COMPUTED_VALUE"""),46178.31818287037)</f>
        <v>46178.31818</v>
      </c>
      <c r="B986" s="122" t="str">
        <f>IFERROR(__xludf.DUMMYFUNCTION("""COMPUTED_VALUE"""),"FARM")</f>
        <v>FARM</v>
      </c>
      <c r="C986" s="122" t="str">
        <f>IFERROR(__xludf.DUMMYFUNCTION("""COMPUTED_VALUE"""),"Future Farms releases earnings report: Beat profit, guidance Raised.")</f>
        <v>Future Farms releases earnings report: Beat profit, guidance Raised.</v>
      </c>
      <c r="D98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986" s="122" t="str">
        <f>IFERROR(__xludf.DUMMYFUNCTION("""COMPUTED_VALUE"""),"Positive")</f>
        <v>Positive</v>
      </c>
      <c r="F986" s="122">
        <f>IFERROR(__xludf.DUMMYFUNCTION("""COMPUTED_VALUE"""),0.03745029265608693)</f>
        <v>0.03745029266</v>
      </c>
      <c r="G986" s="122">
        <f>IFERROR(__xludf.DUMMYFUNCTION("""COMPUTED_VALUE"""),0.9362573164021732)</f>
        <v>0.9362573164</v>
      </c>
      <c r="H986" s="122" t="str">
        <f>IFERROR(__xludf.DUMMYFUNCTION("""COMPUTED_VALUE"""),"Active")</f>
        <v>Active</v>
      </c>
    </row>
    <row r="987">
      <c r="A987" s="131">
        <f>IFERROR(__xludf.DUMMYFUNCTION("""COMPUTED_VALUE"""),46178.330925925926)</f>
        <v>46178.33093</v>
      </c>
      <c r="B987" s="122" t="str">
        <f>IFERROR(__xludf.DUMMYFUNCTION("""COMPUTED_VALUE"""),"SNAX")</f>
        <v>SNAX</v>
      </c>
      <c r="C987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987" s="122" t="str">
        <f>IFERROR(__xludf.DUMMYFUNCTION("""COMPUTED_VALUE"""),"MICA Snacks appears steady with no major changes reported.")</f>
        <v>MICA Snacks appears steady with no major changes reported.</v>
      </c>
      <c r="E987" s="122" t="str">
        <f>IFERROR(__xludf.DUMMYFUNCTION("""COMPUTED_VALUE"""),"Neutral")</f>
        <v>Neutral</v>
      </c>
      <c r="F987" s="122">
        <f>IFERROR(__xludf.DUMMYFUNCTION("""COMPUTED_VALUE"""),0.0)</f>
        <v>0</v>
      </c>
      <c r="G987" s="122">
        <f>IFERROR(__xludf.DUMMYFUNCTION("""COMPUTED_VALUE"""),0.0)</f>
        <v>0</v>
      </c>
      <c r="H987" s="122" t="str">
        <f>IFERROR(__xludf.DUMMYFUNCTION("""COMPUTED_VALUE"""),"Active")</f>
        <v>Active</v>
      </c>
    </row>
    <row r="988">
      <c r="A988" s="131">
        <f>IFERROR(__xludf.DUMMYFUNCTION("""COMPUTED_VALUE"""),46178.3309375)</f>
        <v>46178.33094</v>
      </c>
      <c r="B988" s="122" t="str">
        <f>IFERROR(__xludf.DUMMYFUNCTION("""COMPUTED_VALUE"""),"RAMN")</f>
        <v>RAMN</v>
      </c>
      <c r="C988" s="122" t="str">
        <f>IFERROR(__xludf.DUMMYFUNCTION("""COMPUTED_VALUE"""),"Ramen Republic remains stable as the Food market shows normal activity.")</f>
        <v>Ramen Republic remains stable as the Food market shows normal activity.</v>
      </c>
      <c r="D988" s="122" t="str">
        <f>IFERROR(__xludf.DUMMYFUNCTION("""COMPUTED_VALUE"""),"Ramen Republic appears steady with no major changes reported.")</f>
        <v>Ramen Republic appears steady with no major changes reported.</v>
      </c>
      <c r="E988" s="122" t="str">
        <f>IFERROR(__xludf.DUMMYFUNCTION("""COMPUTED_VALUE"""),"Neutral")</f>
        <v>Neutral</v>
      </c>
      <c r="F988" s="122">
        <f>IFERROR(__xludf.DUMMYFUNCTION("""COMPUTED_VALUE"""),0.0)</f>
        <v>0</v>
      </c>
      <c r="G988" s="122">
        <f>IFERROR(__xludf.DUMMYFUNCTION("""COMPUTED_VALUE"""),0.0)</f>
        <v>0</v>
      </c>
      <c r="H988" s="122" t="str">
        <f>IFERROR(__xludf.DUMMYFUNCTION("""COMPUTED_VALUE"""),"Active")</f>
        <v>Active</v>
      </c>
    </row>
    <row r="989">
      <c r="A989" s="131">
        <f>IFERROR(__xludf.DUMMYFUNCTION("""COMPUTED_VALUE"""),46178.3309375)</f>
        <v>46178.33094</v>
      </c>
      <c r="B989" s="122" t="str">
        <f>IFERROR(__xludf.DUMMYFUNCTION("""COMPUTED_VALUE"""),"COLA")</f>
        <v>COLA</v>
      </c>
      <c r="C989" s="122" t="str">
        <f>IFERROR(__xludf.DUMMYFUNCTION("""COMPUTED_VALUE"""),"K-Pop Cola remains stable as the Beverage market shows normal activity.")</f>
        <v>K-Pop Cola remains stable as the Beverage market shows normal activity.</v>
      </c>
      <c r="D989" s="122" t="str">
        <f>IFERROR(__xludf.DUMMYFUNCTION("""COMPUTED_VALUE"""),"K-Pop Cola appears steady with no major changes reported.")</f>
        <v>K-Pop Cola appears steady with no major changes reported.</v>
      </c>
      <c r="E989" s="122" t="str">
        <f>IFERROR(__xludf.DUMMYFUNCTION("""COMPUTED_VALUE"""),"Neutral")</f>
        <v>Neutral</v>
      </c>
      <c r="F989" s="122">
        <f>IFERROR(__xludf.DUMMYFUNCTION("""COMPUTED_VALUE"""),0.0)</f>
        <v>0</v>
      </c>
      <c r="G989" s="122">
        <f>IFERROR(__xludf.DUMMYFUNCTION("""COMPUTED_VALUE"""),0.0)</f>
        <v>0</v>
      </c>
      <c r="H989" s="122" t="str">
        <f>IFERROR(__xludf.DUMMYFUNCTION("""COMPUTED_VALUE"""),"Active")</f>
        <v>Active</v>
      </c>
    </row>
    <row r="990">
      <c r="A990" s="131">
        <f>IFERROR(__xludf.DUMMYFUNCTION("""COMPUTED_VALUE"""),46178.33094907407)</f>
        <v>46178.33095</v>
      </c>
      <c r="B990" s="122" t="str">
        <f>IFERROR(__xludf.DUMMYFUNCTION("""COMPUTED_VALUE"""),"CHIP")</f>
        <v>CHIP</v>
      </c>
      <c r="C990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990" s="122" t="str">
        <f>IFERROR(__xludf.DUMMYFUNCTION("""COMPUTED_VALUE"""),"Chip Empire appears steady with no major changes reported.")</f>
        <v>Chip Empire appears steady with no major changes reported.</v>
      </c>
      <c r="E990" s="122" t="str">
        <f>IFERROR(__xludf.DUMMYFUNCTION("""COMPUTED_VALUE"""),"Neutral")</f>
        <v>Neutral</v>
      </c>
      <c r="F990" s="122">
        <f>IFERROR(__xludf.DUMMYFUNCTION("""COMPUTED_VALUE"""),0.0)</f>
        <v>0</v>
      </c>
      <c r="G990" s="122">
        <f>IFERROR(__xludf.DUMMYFUNCTION("""COMPUTED_VALUE"""),0.0)</f>
        <v>0</v>
      </c>
      <c r="H990" s="122" t="str">
        <f>IFERROR(__xludf.DUMMYFUNCTION("""COMPUTED_VALUE"""),"Active")</f>
        <v>Active</v>
      </c>
    </row>
    <row r="991">
      <c r="A991" s="131">
        <f>IFERROR(__xludf.DUMMYFUNCTION("""COMPUTED_VALUE"""),46178.33094907407)</f>
        <v>46178.33095</v>
      </c>
      <c r="B991" s="122" t="str">
        <f>IFERROR(__xludf.DUMMYFUNCTION("""COMPUTED_VALUE"""),"CAND")</f>
        <v>CAND</v>
      </c>
      <c r="C991" s="122" t="str">
        <f>IFERROR(__xludf.DUMMYFUNCTION("""COMPUTED_VALUE"""),"Candy Capital reports steady growth and improved market confidence.")</f>
        <v>Candy Capital reports steady growth and improved market confidence.</v>
      </c>
      <c r="D991" s="122" t="str">
        <f>IFERROR(__xludf.DUMMYFUNCTION("""COMPUTED_VALUE"""),"Candy Capital continues to show positive momentum with moderate risk.")</f>
        <v>Candy Capital continues to show positive momentum with moderate risk.</v>
      </c>
      <c r="E991" s="122" t="str">
        <f>IFERROR(__xludf.DUMMYFUNCTION("""COMPUTED_VALUE"""),"Positive")</f>
        <v>Positive</v>
      </c>
      <c r="F991" s="122">
        <f>IFERROR(__xludf.DUMMYFUNCTION("""COMPUTED_VALUE"""),0.015)</f>
        <v>0.015</v>
      </c>
      <c r="G991" s="122">
        <f>IFERROR(__xludf.DUMMYFUNCTION("""COMPUTED_VALUE"""),0.5)</f>
        <v>0.5</v>
      </c>
      <c r="H991" s="122" t="str">
        <f>IFERROR(__xludf.DUMMYFUNCTION("""COMPUTED_VALUE"""),"Active")</f>
        <v>Active</v>
      </c>
    </row>
    <row r="992">
      <c r="A992" s="131">
        <f>IFERROR(__xludf.DUMMYFUNCTION("""COMPUTED_VALUE"""),46178.33096064815)</f>
        <v>46178.33096</v>
      </c>
      <c r="B992" s="122" t="str">
        <f>IFERROR(__xludf.DUMMYFUNCTION("""COMPUTED_VALUE"""),"TECH")</f>
        <v>TECH</v>
      </c>
      <c r="C992" s="122" t="str">
        <f>IFERROR(__xludf.DUMMYFUNCTION("""COMPUTED_VALUE"""),"Dragon Tech remains stable as the Technology market shows normal activity.")</f>
        <v>Dragon Tech remains stable as the Technology market shows normal activity.</v>
      </c>
      <c r="D992" s="122" t="str">
        <f>IFERROR(__xludf.DUMMYFUNCTION("""COMPUTED_VALUE"""),"Dragon Tech appears steady with no major changes reported.")</f>
        <v>Dragon Tech appears steady with no major changes reported.</v>
      </c>
      <c r="E992" s="122" t="str">
        <f>IFERROR(__xludf.DUMMYFUNCTION("""COMPUTED_VALUE"""),"Neutral")</f>
        <v>Neutral</v>
      </c>
      <c r="F992" s="122">
        <f>IFERROR(__xludf.DUMMYFUNCTION("""COMPUTED_VALUE"""),0.0)</f>
        <v>0</v>
      </c>
      <c r="G992" s="122">
        <f>IFERROR(__xludf.DUMMYFUNCTION("""COMPUTED_VALUE"""),0.0)</f>
        <v>0</v>
      </c>
      <c r="H992" s="122" t="str">
        <f>IFERROR(__xludf.DUMMYFUNCTION("""COMPUTED_VALUE"""),"Active")</f>
        <v>Active</v>
      </c>
    </row>
    <row r="993">
      <c r="A993" s="131">
        <f>IFERROR(__xludf.DUMMYFUNCTION("""COMPUTED_VALUE"""),46178.33096064815)</f>
        <v>46178.33096</v>
      </c>
      <c r="B993" s="122" t="str">
        <f>IFERROR(__xludf.DUMMYFUNCTION("""COMPUTED_VALUE"""),"AIBO")</f>
        <v>AIBO</v>
      </c>
      <c r="C993" s="122" t="str">
        <f>IFERROR(__xludf.DUMMYFUNCTION("""COMPUTED_VALUE"""),"Homework AI remains stable as the Technology market shows normal activity.")</f>
        <v>Homework AI remains stable as the Technology market shows normal activity.</v>
      </c>
      <c r="D993" s="122" t="str">
        <f>IFERROR(__xludf.DUMMYFUNCTION("""COMPUTED_VALUE"""),"Homework AI appears steady with no major changes reported.")</f>
        <v>Homework AI appears steady with no major changes reported.</v>
      </c>
      <c r="E993" s="122" t="str">
        <f>IFERROR(__xludf.DUMMYFUNCTION("""COMPUTED_VALUE"""),"Neutral")</f>
        <v>Neutral</v>
      </c>
      <c r="F993" s="122">
        <f>IFERROR(__xludf.DUMMYFUNCTION("""COMPUTED_VALUE"""),0.0)</f>
        <v>0</v>
      </c>
      <c r="G993" s="122">
        <f>IFERROR(__xludf.DUMMYFUNCTION("""COMPUTED_VALUE"""),0.0)</f>
        <v>0</v>
      </c>
      <c r="H993" s="122" t="str">
        <f>IFERROR(__xludf.DUMMYFUNCTION("""COMPUTED_VALUE"""),"Active")</f>
        <v>Active</v>
      </c>
    </row>
    <row r="994">
      <c r="A994" s="131">
        <f>IFERROR(__xludf.DUMMYFUNCTION("""COMPUTED_VALUE"""),46178.330972222226)</f>
        <v>46178.33097</v>
      </c>
      <c r="B994" s="122" t="str">
        <f>IFERROR(__xludf.DUMMYFUNCTION("""COMPUTED_VALUE"""),"GAME")</f>
        <v>GAME</v>
      </c>
      <c r="C994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994" s="122" t="str">
        <f>IFERROR(__xludf.DUMMYFUNCTION("""COMPUTED_VALUE"""),"GameBox Media appears steady with no major changes reported.")</f>
        <v>GameBox Media appears steady with no major changes reported.</v>
      </c>
      <c r="E994" s="122" t="str">
        <f>IFERROR(__xludf.DUMMYFUNCTION("""COMPUTED_VALUE"""),"Neutral")</f>
        <v>Neutral</v>
      </c>
      <c r="F994" s="122">
        <f>IFERROR(__xludf.DUMMYFUNCTION("""COMPUTED_VALUE"""),0.0)</f>
        <v>0</v>
      </c>
      <c r="G994" s="122">
        <f>IFERROR(__xludf.DUMMYFUNCTION("""COMPUTED_VALUE"""),0.0)</f>
        <v>0</v>
      </c>
      <c r="H994" s="122" t="str">
        <f>IFERROR(__xludf.DUMMYFUNCTION("""COMPUTED_VALUE"""),"Active")</f>
        <v>Active</v>
      </c>
    </row>
    <row r="995">
      <c r="A995" s="131">
        <f>IFERROR(__xludf.DUMMYFUNCTION("""COMPUTED_VALUE"""),46178.330972222226)</f>
        <v>46178.33097</v>
      </c>
      <c r="B995" s="122" t="str">
        <f>IFERROR(__xludf.DUMMYFUNCTION("""COMPUTED_VALUE"""),"VRSE")</f>
        <v>VRSE</v>
      </c>
      <c r="C995" s="122" t="str">
        <f>IFERROR(__xludf.DUMMYFUNCTION("""COMPUTED_VALUE"""),"VerseVR remains stable as the Technology market shows normal activity.")</f>
        <v>VerseVR remains stable as the Technology market shows normal activity.</v>
      </c>
      <c r="D995" s="122" t="str">
        <f>IFERROR(__xludf.DUMMYFUNCTION("""COMPUTED_VALUE"""),"VerseVR appears steady with no major changes reported.")</f>
        <v>VerseVR appears steady with no major changes reported.</v>
      </c>
      <c r="E995" s="122" t="str">
        <f>IFERROR(__xludf.DUMMYFUNCTION("""COMPUTED_VALUE"""),"Neutral")</f>
        <v>Neutral</v>
      </c>
      <c r="F995" s="122">
        <f>IFERROR(__xludf.DUMMYFUNCTION("""COMPUTED_VALUE"""),0.0)</f>
        <v>0</v>
      </c>
      <c r="G995" s="122">
        <f>IFERROR(__xludf.DUMMYFUNCTION("""COMPUTED_VALUE"""),0.0)</f>
        <v>0</v>
      </c>
      <c r="H995" s="122" t="str">
        <f>IFERROR(__xludf.DUMMYFUNCTION("""COMPUTED_VALUE"""),"Active")</f>
        <v>Active</v>
      </c>
    </row>
    <row r="996">
      <c r="A996" s="131">
        <f>IFERROR(__xludf.DUMMYFUNCTION("""COMPUTED_VALUE"""),46178.330983796295)</f>
        <v>46178.33098</v>
      </c>
      <c r="B996" s="122" t="str">
        <f>IFERROR(__xludf.DUMMYFUNCTION("""COMPUTED_VALUE"""),"BYTE")</f>
        <v>BYTE</v>
      </c>
      <c r="C996" s="122" t="str">
        <f>IFERROR(__xludf.DUMMYFUNCTION("""COMPUTED_VALUE"""),"ByteWorks remains stable as the Technology market shows normal activity.")</f>
        <v>ByteWorks remains stable as the Technology market shows normal activity.</v>
      </c>
      <c r="D996" s="122" t="str">
        <f>IFERROR(__xludf.DUMMYFUNCTION("""COMPUTED_VALUE"""),"ByteWorks appears steady with no major changes reported.")</f>
        <v>ByteWorks appears steady with no major changes reported.</v>
      </c>
      <c r="E996" s="122" t="str">
        <f>IFERROR(__xludf.DUMMYFUNCTION("""COMPUTED_VALUE"""),"Neutral")</f>
        <v>Neutral</v>
      </c>
      <c r="F996" s="122">
        <f>IFERROR(__xludf.DUMMYFUNCTION("""COMPUTED_VALUE"""),0.0)</f>
        <v>0</v>
      </c>
      <c r="G996" s="122">
        <f>IFERROR(__xludf.DUMMYFUNCTION("""COMPUTED_VALUE"""),0.0)</f>
        <v>0</v>
      </c>
      <c r="H996" s="122" t="str">
        <f>IFERROR(__xludf.DUMMYFUNCTION("""COMPUTED_VALUE"""),"Active")</f>
        <v>Active</v>
      </c>
    </row>
    <row r="997">
      <c r="A997" s="131">
        <f>IFERROR(__xludf.DUMMYFUNCTION("""COMPUTED_VALUE"""),46178.330983796295)</f>
        <v>46178.33098</v>
      </c>
      <c r="B997" s="122" t="str">
        <f>IFERROR(__xludf.DUMMYFUNCTION("""COMPUTED_VALUE"""),"BANK")</f>
        <v>BANK</v>
      </c>
      <c r="C997" s="122" t="str">
        <f>IFERROR(__xludf.DUMMYFUNCTION("""COMPUTED_VALUE"""),"Tiger Bank reports steady growth and improved market confidence.")</f>
        <v>Tiger Bank reports steady growth and improved market confidence.</v>
      </c>
      <c r="D997" s="122" t="str">
        <f>IFERROR(__xludf.DUMMYFUNCTION("""COMPUTED_VALUE"""),"Tiger Bank continues to show positive momentum with moderate risk.")</f>
        <v>Tiger Bank continues to show positive momentum with moderate risk.</v>
      </c>
      <c r="E997" s="122" t="str">
        <f>IFERROR(__xludf.DUMMYFUNCTION("""COMPUTED_VALUE"""),"Positive")</f>
        <v>Positive</v>
      </c>
      <c r="F997" s="122">
        <f>IFERROR(__xludf.DUMMYFUNCTION("""COMPUTED_VALUE"""),0.015)</f>
        <v>0.015</v>
      </c>
      <c r="G997" s="122">
        <f>IFERROR(__xludf.DUMMYFUNCTION("""COMPUTED_VALUE"""),0.5)</f>
        <v>0.5</v>
      </c>
      <c r="H997" s="122" t="str">
        <f>IFERROR(__xludf.DUMMYFUNCTION("""COMPUTED_VALUE"""),"Active")</f>
        <v>Active</v>
      </c>
    </row>
    <row r="998">
      <c r="A998" s="131">
        <f>IFERROR(__xludf.DUMMYFUNCTION("""COMPUTED_VALUE"""),46178.330983796295)</f>
        <v>46178.33098</v>
      </c>
      <c r="B998" s="122" t="str">
        <f>IFERROR(__xludf.DUMMYFUNCTION("""COMPUTED_VALUE"""),"CRED")</f>
        <v>CRED</v>
      </c>
      <c r="C998" s="122" t="str">
        <f>IFERROR(__xludf.DUMMYFUNCTION("""COMPUTED_VALUE"""),"Credit Castle drops sharply after major concerns hit the market.")</f>
        <v>Credit Castle drops sharply after major concerns hit the market.</v>
      </c>
      <c r="D998" s="122" t="str">
        <f>IFERROR(__xludf.DUMMYFUNCTION("""COMPUTED_VALUE"""),"Credit Castle is under pressure as investors react to worsening conditions.")</f>
        <v>Credit Castle is under pressure as investors react to worsening conditions.</v>
      </c>
      <c r="E998" s="122" t="str">
        <f>IFERROR(__xludf.DUMMYFUNCTION("""COMPUTED_VALUE"""),"Negative")</f>
        <v>Negative</v>
      </c>
      <c r="F998" s="122">
        <f>IFERROR(__xludf.DUMMYFUNCTION("""COMPUTED_VALUE"""),-0.04)</f>
        <v>-0.04</v>
      </c>
      <c r="G998" s="122">
        <f>IFERROR(__xludf.DUMMYFUNCTION("""COMPUTED_VALUE"""),2.0)</f>
        <v>2</v>
      </c>
      <c r="H998" s="122" t="str">
        <f>IFERROR(__xludf.DUMMYFUNCTION("""COMPUTED_VALUE"""),"Active")</f>
        <v>Active</v>
      </c>
    </row>
    <row r="999">
      <c r="A999" s="131">
        <f>IFERROR(__xludf.DUMMYFUNCTION("""COMPUTED_VALUE"""),46178.33099537037)</f>
        <v>46178.331</v>
      </c>
      <c r="B999" s="122" t="str">
        <f>IFERROR(__xludf.DUMMYFUNCTION("""COMPUTED_VALUE"""),"BOND")</f>
        <v>BOND</v>
      </c>
      <c r="C999" s="122" t="str">
        <f>IFERROR(__xludf.DUMMYFUNCTION("""COMPUTED_VALUE"""),"BondBridge remains stable as the Finance market shows normal activity.")</f>
        <v>BondBridge remains stable as the Finance market shows normal activity.</v>
      </c>
      <c r="D999" s="122" t="str">
        <f>IFERROR(__xludf.DUMMYFUNCTION("""COMPUTED_VALUE"""),"BondBridge appears steady with no major changes reported.")</f>
        <v>BondBridge appears steady with no major changes reported.</v>
      </c>
      <c r="E999" s="122" t="str">
        <f>IFERROR(__xludf.DUMMYFUNCTION("""COMPUTED_VALUE"""),"Neutral")</f>
        <v>Neutral</v>
      </c>
      <c r="F999" s="122">
        <f>IFERROR(__xludf.DUMMYFUNCTION("""COMPUTED_VALUE"""),0.0)</f>
        <v>0</v>
      </c>
      <c r="G999" s="122">
        <f>IFERROR(__xludf.DUMMYFUNCTION("""COMPUTED_VALUE"""),0.0)</f>
        <v>0</v>
      </c>
      <c r="H999" s="122" t="str">
        <f>IFERROR(__xludf.DUMMYFUNCTION("""COMPUTED_VALUE"""),"Active")</f>
        <v>Active</v>
      </c>
    </row>
    <row r="1000">
      <c r="A1000" s="131">
        <f>IFERROR(__xludf.DUMMYFUNCTION("""COMPUTED_VALUE"""),46178.33100694444)</f>
        <v>46178.33101</v>
      </c>
      <c r="B1000" s="122" t="str">
        <f>IFERROR(__xludf.DUMMYFUNCTION("""COMPUTED_VALUE"""),"INSR")</f>
        <v>INSR</v>
      </c>
      <c r="C1000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1000" s="122" t="str">
        <f>IFERROR(__xludf.DUMMYFUNCTION("""COMPUTED_VALUE"""),"Shield Insurance appears steady with no major changes reported.")</f>
        <v>Shield Insurance appears steady with no major changes reported.</v>
      </c>
      <c r="E1000" s="122" t="str">
        <f>IFERROR(__xludf.DUMMYFUNCTION("""COMPUTED_VALUE"""),"Neutral")</f>
        <v>Neutral</v>
      </c>
      <c r="F1000" s="122">
        <f>IFERROR(__xludf.DUMMYFUNCTION("""COMPUTED_VALUE"""),0.0)</f>
        <v>0</v>
      </c>
      <c r="G1000" s="122">
        <f>IFERROR(__xludf.DUMMYFUNCTION("""COMPUTED_VALUE"""),0.0)</f>
        <v>0</v>
      </c>
      <c r="H1000" s="122" t="str">
        <f>IFERROR(__xludf.DUMMYFUNCTION("""COMPUTED_VALUE"""),"Active")</f>
        <v>Active</v>
      </c>
    </row>
    <row r="1001">
      <c r="A1001" s="131">
        <f>IFERROR(__xludf.DUMMYFUNCTION("""COMPUTED_VALUE"""),46178.33101851852)</f>
        <v>46178.33102</v>
      </c>
      <c r="B1001" s="122" t="str">
        <f>IFERROR(__xludf.DUMMYFUNCTION("""COMPUTED_VALUE"""),"LOAN")</f>
        <v>LOAN</v>
      </c>
      <c r="C1001" s="122" t="str">
        <f>IFERROR(__xludf.DUMMYFUNCTION("""COMPUTED_VALUE"""),"LoanLab remains stable as the Finance market shows normal activity.")</f>
        <v>LoanLab remains stable as the Finance market shows normal activity.</v>
      </c>
      <c r="D1001" s="122" t="str">
        <f>IFERROR(__xludf.DUMMYFUNCTION("""COMPUTED_VALUE"""),"LoanLab appears steady with no major changes reported.")</f>
        <v>LoanLab appears steady with no major changes reported.</v>
      </c>
      <c r="E1001" s="122" t="str">
        <f>IFERROR(__xludf.DUMMYFUNCTION("""COMPUTED_VALUE"""),"Neutral")</f>
        <v>Neutral</v>
      </c>
      <c r="F1001" s="122">
        <f>IFERROR(__xludf.DUMMYFUNCTION("""COMPUTED_VALUE"""),0.0)</f>
        <v>0</v>
      </c>
      <c r="G1001" s="122">
        <f>IFERROR(__xludf.DUMMYFUNCTION("""COMPUTED_VALUE"""),0.0)</f>
        <v>0</v>
      </c>
      <c r="H1001" s="122" t="str">
        <f>IFERROR(__xludf.DUMMYFUNCTION("""COMPUTED_VALUE"""),"Active")</f>
        <v>Active</v>
      </c>
    </row>
    <row r="1002">
      <c r="A1002" s="131">
        <f>IFERROR(__xludf.DUMMYFUNCTION("""COMPUTED_VALUE"""),46178.33101851852)</f>
        <v>46178.33102</v>
      </c>
      <c r="B1002" s="122" t="str">
        <f>IFERROR(__xludf.DUMMYFUNCTION("""COMPUTED_VALUE"""),"LUXE")</f>
        <v>LUXE</v>
      </c>
      <c r="C1002" s="122" t="str">
        <f>IFERROR(__xludf.DUMMYFUNCTION("""COMPUTED_VALUE"""),"Luxury Locker reports steady growth and improved market confidence.")</f>
        <v>Luxury Locker reports steady growth and improved market confidence.</v>
      </c>
      <c r="D1002" s="122" t="str">
        <f>IFERROR(__xludf.DUMMYFUNCTION("""COMPUTED_VALUE"""),"Luxury Locker continues to show positive momentum with moderate risk.")</f>
        <v>Luxury Locker continues to show positive momentum with moderate risk.</v>
      </c>
      <c r="E1002" s="122" t="str">
        <f>IFERROR(__xludf.DUMMYFUNCTION("""COMPUTED_VALUE"""),"Positive")</f>
        <v>Positive</v>
      </c>
      <c r="F1002" s="122">
        <f>IFERROR(__xludf.DUMMYFUNCTION("""COMPUTED_VALUE"""),0.015)</f>
        <v>0.015</v>
      </c>
      <c r="G1002" s="122">
        <f>IFERROR(__xludf.DUMMYFUNCTION("""COMPUTED_VALUE"""),0.5)</f>
        <v>0.5</v>
      </c>
      <c r="H1002" s="122" t="str">
        <f>IFERROR(__xludf.DUMMYFUNCTION("""COMPUTED_VALUE"""),"Active")</f>
        <v>Active</v>
      </c>
    </row>
    <row r="1003">
      <c r="A1003" s="131">
        <f>IFERROR(__xludf.DUMMYFUNCTION("""COMPUTED_VALUE"""),46178.331030092595)</f>
        <v>46178.33103</v>
      </c>
      <c r="B1003" s="122" t="str">
        <f>IFERROR(__xludf.DUMMYFUNCTION("""COMPUTED_VALUE"""),"DRIP")</f>
        <v>DRIP</v>
      </c>
      <c r="C1003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003" s="122" t="str">
        <f>IFERROR(__xludf.DUMMYFUNCTION("""COMPUTED_VALUE"""),"Drip Streetwear appears steady with no major changes reported.")</f>
        <v>Drip Streetwear appears steady with no major changes reported.</v>
      </c>
      <c r="E1003" s="122" t="str">
        <f>IFERROR(__xludf.DUMMYFUNCTION("""COMPUTED_VALUE"""),"Neutral")</f>
        <v>Neutral</v>
      </c>
      <c r="F1003" s="122">
        <f>IFERROR(__xludf.DUMMYFUNCTION("""COMPUTED_VALUE"""),0.0)</f>
        <v>0</v>
      </c>
      <c r="G1003" s="122">
        <f>IFERROR(__xludf.DUMMYFUNCTION("""COMPUTED_VALUE"""),0.0)</f>
        <v>0</v>
      </c>
      <c r="H1003" s="122" t="str">
        <f>IFERROR(__xludf.DUMMYFUNCTION("""COMPUTED_VALUE"""),"Active")</f>
        <v>Active</v>
      </c>
    </row>
    <row r="1004">
      <c r="A1004" s="131">
        <f>IFERROR(__xludf.DUMMYFUNCTION("""COMPUTED_VALUE"""),46178.331041666665)</f>
        <v>46178.33104</v>
      </c>
      <c r="B1004" s="122" t="str">
        <f>IFERROR(__xludf.DUMMYFUNCTION("""COMPUTED_VALUE"""),"KICK")</f>
        <v>KICK</v>
      </c>
      <c r="C1004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1004" s="122" t="str">
        <f>IFERROR(__xludf.DUMMYFUNCTION("""COMPUTED_VALUE"""),"KickDrop Sneakers appears steady with no major changes reported.")</f>
        <v>KickDrop Sneakers appears steady with no major changes reported.</v>
      </c>
      <c r="E1004" s="122" t="str">
        <f>IFERROR(__xludf.DUMMYFUNCTION("""COMPUTED_VALUE"""),"Neutral")</f>
        <v>Neutral</v>
      </c>
      <c r="F1004" s="122">
        <f>IFERROR(__xludf.DUMMYFUNCTION("""COMPUTED_VALUE"""),0.0)</f>
        <v>0</v>
      </c>
      <c r="G1004" s="122">
        <f>IFERROR(__xludf.DUMMYFUNCTION("""COMPUTED_VALUE"""),0.0)</f>
        <v>0</v>
      </c>
      <c r="H1004" s="122" t="str">
        <f>IFERROR(__xludf.DUMMYFUNCTION("""COMPUTED_VALUE"""),"Active")</f>
        <v>Active</v>
      </c>
    </row>
    <row r="1005">
      <c r="A1005" s="131">
        <f>IFERROR(__xludf.DUMMYFUNCTION("""COMPUTED_VALUE"""),46178.33106481482)</f>
        <v>46178.33106</v>
      </c>
      <c r="B1005" s="122" t="str">
        <f>IFERROR(__xludf.DUMMYFUNCTION("""COMPUTED_VALUE"""),"GLAM")</f>
        <v>GLAM</v>
      </c>
      <c r="C1005" s="122" t="str">
        <f>IFERROR(__xludf.DUMMYFUNCTION("""COMPUTED_VALUE"""),"Glow Cosmetics reports steady growth and improved market confidence.")</f>
        <v>Glow Cosmetics reports steady growth and improved market confidence.</v>
      </c>
      <c r="D1005" s="122" t="str">
        <f>IFERROR(__xludf.DUMMYFUNCTION("""COMPUTED_VALUE"""),"Glow Cosmetics continues to show positive momentum with moderate risk.")</f>
        <v>Glow Cosmetics continues to show positive momentum with moderate risk.</v>
      </c>
      <c r="E1005" s="122" t="str">
        <f>IFERROR(__xludf.DUMMYFUNCTION("""COMPUTED_VALUE"""),"Positive")</f>
        <v>Positive</v>
      </c>
      <c r="F1005" s="122">
        <f>IFERROR(__xludf.DUMMYFUNCTION("""COMPUTED_VALUE"""),0.015)</f>
        <v>0.015</v>
      </c>
      <c r="G1005" s="122">
        <f>IFERROR(__xludf.DUMMYFUNCTION("""COMPUTED_VALUE"""),0.5)</f>
        <v>0.5</v>
      </c>
      <c r="H1005" s="122" t="str">
        <f>IFERROR(__xludf.DUMMYFUNCTION("""COMPUTED_VALUE"""),"Active")</f>
        <v>Active</v>
      </c>
    </row>
    <row r="1006">
      <c r="A1006" s="131">
        <f>IFERROR(__xludf.DUMMYFUNCTION("""COMPUTED_VALUE"""),46178.33106481482)</f>
        <v>46178.33106</v>
      </c>
      <c r="B1006" s="122" t="str">
        <f>IFERROR(__xludf.DUMMYFUNCTION("""COMPUTED_VALUE"""),"BAGG")</f>
        <v>BAGG</v>
      </c>
      <c r="C1006" s="122" t="str">
        <f>IFERROR(__xludf.DUMMYFUNCTION("""COMPUTED_VALUE"""),"BagVault remains stable as the Fashion market shows normal activity.")</f>
        <v>BagVault remains stable as the Fashion market shows normal activity.</v>
      </c>
      <c r="D1006" s="122" t="str">
        <f>IFERROR(__xludf.DUMMYFUNCTION("""COMPUTED_VALUE"""),"BagVault appears steady with no major changes reported.")</f>
        <v>BagVault appears steady with no major changes reported.</v>
      </c>
      <c r="E1006" s="122" t="str">
        <f>IFERROR(__xludf.DUMMYFUNCTION("""COMPUTED_VALUE"""),"Neutral")</f>
        <v>Neutral</v>
      </c>
      <c r="F1006" s="122">
        <f>IFERROR(__xludf.DUMMYFUNCTION("""COMPUTED_VALUE"""),0.0)</f>
        <v>0</v>
      </c>
      <c r="G1006" s="122">
        <f>IFERROR(__xludf.DUMMYFUNCTION("""COMPUTED_VALUE"""),0.0)</f>
        <v>0</v>
      </c>
      <c r="H1006" s="122" t="str">
        <f>IFERROR(__xludf.DUMMYFUNCTION("""COMPUTED_VALUE"""),"Active")</f>
        <v>Active</v>
      </c>
    </row>
    <row r="1007">
      <c r="A1007" s="131">
        <f>IFERROR(__xludf.DUMMYFUNCTION("""COMPUTED_VALUE"""),46178.33107638889)</f>
        <v>46178.33108</v>
      </c>
      <c r="B1007" s="122" t="str">
        <f>IFERROR(__xludf.DUMMYFUNCTION("""COMPUTED_VALUE"""),"FAST")</f>
        <v>FAST</v>
      </c>
      <c r="C1007" s="122" t="str">
        <f>IFERROR(__xludf.DUMMYFUNCTION("""COMPUTED_VALUE"""),"Flash Logistics faces weaker demand and cautious investor sentiment.")</f>
        <v>Flash Logistics faces weaker demand and cautious investor sentiment.</v>
      </c>
      <c r="D1007" s="122" t="str">
        <f>IFERROR(__xludf.DUMMYFUNCTION("""COMPUTED_VALUE"""),"Investors are watching Flash Logistics closely as demand weakens.")</f>
        <v>Investors are watching Flash Logistics closely as demand weakens.</v>
      </c>
      <c r="E1007" s="122" t="str">
        <f>IFERROR(__xludf.DUMMYFUNCTION("""COMPUTED_VALUE"""),"Negative")</f>
        <v>Negative</v>
      </c>
      <c r="F1007" s="122">
        <f>IFERROR(__xludf.DUMMYFUNCTION("""COMPUTED_VALUE"""),-0.015)</f>
        <v>-0.015</v>
      </c>
      <c r="G1007" s="122">
        <f>IFERROR(__xludf.DUMMYFUNCTION("""COMPUTED_VALUE"""),0.75)</f>
        <v>0.75</v>
      </c>
      <c r="H1007" s="122" t="str">
        <f>IFERROR(__xludf.DUMMYFUNCTION("""COMPUTED_VALUE"""),"Active")</f>
        <v>Active</v>
      </c>
    </row>
    <row r="1008">
      <c r="A1008" s="131">
        <f>IFERROR(__xludf.DUMMYFUNCTION("""COMPUTED_VALUE"""),46178.331087962964)</f>
        <v>46178.33109</v>
      </c>
      <c r="B1008" s="122" t="str">
        <f>IFERROR(__xludf.DUMMYFUNCTION("""COMPUTED_VALUE"""),"SHIP")</f>
        <v>SHIP</v>
      </c>
      <c r="C1008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008" s="122" t="str">
        <f>IFERROR(__xludf.DUMMYFUNCTION("""COMPUTED_VALUE"""),"Seoul Shipping appears steady with no major changes reported.")</f>
        <v>Seoul Shipping appears steady with no major changes reported.</v>
      </c>
      <c r="E1008" s="122" t="str">
        <f>IFERROR(__xludf.DUMMYFUNCTION("""COMPUTED_VALUE"""),"Neutral")</f>
        <v>Neutral</v>
      </c>
      <c r="F1008" s="122">
        <f>IFERROR(__xludf.DUMMYFUNCTION("""COMPUTED_VALUE"""),0.0)</f>
        <v>0</v>
      </c>
      <c r="G1008" s="122">
        <f>IFERROR(__xludf.DUMMYFUNCTION("""COMPUTED_VALUE"""),0.0)</f>
        <v>0</v>
      </c>
      <c r="H1008" s="122" t="str">
        <f>IFERROR(__xludf.DUMMYFUNCTION("""COMPUTED_VALUE"""),"Active")</f>
        <v>Active</v>
      </c>
    </row>
    <row r="1009">
      <c r="A1009" s="131">
        <f>IFERROR(__xludf.DUMMYFUNCTION("""COMPUTED_VALUE"""),46178.331099537034)</f>
        <v>46178.3311</v>
      </c>
      <c r="B1009" s="122" t="str">
        <f>IFERROR(__xludf.DUMMYFUNCTION("""COMPUTED_VALUE"""),"DRON")</f>
        <v>DRON</v>
      </c>
      <c r="C1009" s="122" t="str">
        <f>IFERROR(__xludf.DUMMYFUNCTION("""COMPUTED_VALUE"""),"DroneDrop remains stable as the Logistics market shows normal activity.")</f>
        <v>DroneDrop remains stable as the Logistics market shows normal activity.</v>
      </c>
      <c r="D1009" s="122" t="str">
        <f>IFERROR(__xludf.DUMMYFUNCTION("""COMPUTED_VALUE"""),"DroneDrop appears steady with no major changes reported.")</f>
        <v>DroneDrop appears steady with no major changes reported.</v>
      </c>
      <c r="E1009" s="122" t="str">
        <f>IFERROR(__xludf.DUMMYFUNCTION("""COMPUTED_VALUE"""),"Neutral")</f>
        <v>Neutral</v>
      </c>
      <c r="F1009" s="122">
        <f>IFERROR(__xludf.DUMMYFUNCTION("""COMPUTED_VALUE"""),0.0)</f>
        <v>0</v>
      </c>
      <c r="G1009" s="122">
        <f>IFERROR(__xludf.DUMMYFUNCTION("""COMPUTED_VALUE"""),0.0)</f>
        <v>0</v>
      </c>
      <c r="H1009" s="122" t="str">
        <f>IFERROR(__xludf.DUMMYFUNCTION("""COMPUTED_VALUE"""),"Active")</f>
        <v>Active</v>
      </c>
    </row>
    <row r="1010">
      <c r="A1010" s="131">
        <f>IFERROR(__xludf.DUMMYFUNCTION("""COMPUTED_VALUE"""),46178.33111111111)</f>
        <v>46178.33111</v>
      </c>
      <c r="B1010" s="122" t="str">
        <f>IFERROR(__xludf.DUMMYFUNCTION("""COMPUTED_VALUE"""),"RIDE")</f>
        <v>RIDE</v>
      </c>
      <c r="C1010" s="122" t="str">
        <f>IFERROR(__xludf.DUMMYFUNCTION("""COMPUTED_VALUE"""),"QuickRide reports steady growth and improved market confidence.")</f>
        <v>QuickRide reports steady growth and improved market confidence.</v>
      </c>
      <c r="D1010" s="122" t="str">
        <f>IFERROR(__xludf.DUMMYFUNCTION("""COMPUTED_VALUE"""),"QuickRide continues to show positive momentum with moderate risk.")</f>
        <v>QuickRide continues to show positive momentum with moderate risk.</v>
      </c>
      <c r="E1010" s="122" t="str">
        <f>IFERROR(__xludf.DUMMYFUNCTION("""COMPUTED_VALUE"""),"Positive")</f>
        <v>Positive</v>
      </c>
      <c r="F1010" s="122">
        <f>IFERROR(__xludf.DUMMYFUNCTION("""COMPUTED_VALUE"""),0.015)</f>
        <v>0.015</v>
      </c>
      <c r="G1010" s="122">
        <f>IFERROR(__xludf.DUMMYFUNCTION("""COMPUTED_VALUE"""),0.5)</f>
        <v>0.5</v>
      </c>
      <c r="H1010" s="122" t="str">
        <f>IFERROR(__xludf.DUMMYFUNCTION("""COMPUTED_VALUE"""),"Active")</f>
        <v>Active</v>
      </c>
    </row>
    <row r="1011">
      <c r="A1011" s="131">
        <f>IFERROR(__xludf.DUMMYFUNCTION("""COMPUTED_VALUE"""),46178.33111111111)</f>
        <v>46178.33111</v>
      </c>
      <c r="B1011" s="122" t="str">
        <f>IFERROR(__xludf.DUMMYFUNCTION("""COMPUTED_VALUE"""),"RAIL")</f>
        <v>RAIL</v>
      </c>
      <c r="C1011" s="122" t="str">
        <f>IFERROR(__xludf.DUMMYFUNCTION("""COMPUTED_VALUE"""),"MetroRail Corp remains stable as the Transportation market shows normal activity.")</f>
        <v>MetroRail Corp remains stable as the Transportation market shows normal activity.</v>
      </c>
      <c r="D1011" s="122" t="str">
        <f>IFERROR(__xludf.DUMMYFUNCTION("""COMPUTED_VALUE"""),"MetroRail Corp appears steady with no major changes reported.")</f>
        <v>MetroRail Corp appears steady with no major changes reported.</v>
      </c>
      <c r="E1011" s="122" t="str">
        <f>IFERROR(__xludf.DUMMYFUNCTION("""COMPUTED_VALUE"""),"Neutral")</f>
        <v>Neutral</v>
      </c>
      <c r="F1011" s="122">
        <f>IFERROR(__xludf.DUMMYFUNCTION("""COMPUTED_VALUE"""),0.0)</f>
        <v>0</v>
      </c>
      <c r="G1011" s="122">
        <f>IFERROR(__xludf.DUMMYFUNCTION("""COMPUTED_VALUE"""),0.0)</f>
        <v>0</v>
      </c>
      <c r="H1011" s="122" t="str">
        <f>IFERROR(__xludf.DUMMYFUNCTION("""COMPUTED_VALUE"""),"Active")</f>
        <v>Active</v>
      </c>
    </row>
    <row r="1012">
      <c r="A1012" s="131">
        <f>IFERROR(__xludf.DUMMYFUNCTION("""COMPUTED_VALUE"""),46178.33112268519)</f>
        <v>46178.33112</v>
      </c>
      <c r="B1012" s="122" t="str">
        <f>IFERROR(__xludf.DUMMYFUNCTION("""COMPUTED_VALUE"""),"MEDX")</f>
        <v>MEDX</v>
      </c>
      <c r="C1012" s="122" t="str">
        <f>IFERROR(__xludf.DUMMYFUNCTION("""COMPUTED_VALUE"""),"MediCore reports steady growth and improved market confidence.")</f>
        <v>MediCore reports steady growth and improved market confidence.</v>
      </c>
      <c r="D1012" s="122" t="str">
        <f>IFERROR(__xludf.DUMMYFUNCTION("""COMPUTED_VALUE"""),"MediCore continues to show positive momentum with moderate risk.")</f>
        <v>MediCore continues to show positive momentum with moderate risk.</v>
      </c>
      <c r="E1012" s="122" t="str">
        <f>IFERROR(__xludf.DUMMYFUNCTION("""COMPUTED_VALUE"""),"Positive")</f>
        <v>Positive</v>
      </c>
      <c r="F1012" s="122">
        <f>IFERROR(__xludf.DUMMYFUNCTION("""COMPUTED_VALUE"""),0.015)</f>
        <v>0.015</v>
      </c>
      <c r="G1012" s="122">
        <f>IFERROR(__xludf.DUMMYFUNCTION("""COMPUTED_VALUE"""),0.5)</f>
        <v>0.5</v>
      </c>
      <c r="H1012" s="122" t="str">
        <f>IFERROR(__xludf.DUMMYFUNCTION("""COMPUTED_VALUE"""),"Active")</f>
        <v>Active</v>
      </c>
    </row>
    <row r="1013">
      <c r="A1013" s="131">
        <f>IFERROR(__xludf.DUMMYFUNCTION("""COMPUTED_VALUE"""),46178.33113425926)</f>
        <v>46178.33113</v>
      </c>
      <c r="B1013" s="122" t="str">
        <f>IFERROR(__xludf.DUMMYFUNCTION("""COMPUTED_VALUE"""),"GYMX")</f>
        <v>GYMX</v>
      </c>
      <c r="C1013" s="122" t="str">
        <f>IFERROR(__xludf.DUMMYFUNCTION("""COMPUTED_VALUE"""),"GymX Fitness sees uncertain trading as investors react to mixed signals.")</f>
        <v>GymX Fitness sees uncertain trading as investors react to mixed signals.</v>
      </c>
      <c r="D1013" s="122" t="str">
        <f>IFERROR(__xludf.DUMMYFUNCTION("""COMPUTED_VALUE"""),"GymX Fitness may experience larger price swings as investors disagree on direction.")</f>
        <v>GymX Fitness may experience larger price swings as investors disagree on direction.</v>
      </c>
      <c r="E1013" s="122" t="str">
        <f>IFERROR(__xludf.DUMMYFUNCTION("""COMPUTED_VALUE"""),"Mixed")</f>
        <v>Mixed</v>
      </c>
      <c r="F1013" s="122">
        <f>IFERROR(__xludf.DUMMYFUNCTION("""COMPUTED_VALUE"""),0.01851511850673541)</f>
        <v>0.01851511851</v>
      </c>
      <c r="G1013" s="122">
        <f>IFERROR(__xludf.DUMMYFUNCTION("""COMPUTED_VALUE"""),1.5)</f>
        <v>1.5</v>
      </c>
      <c r="H1013" s="122" t="str">
        <f>IFERROR(__xludf.DUMMYFUNCTION("""COMPUTED_VALUE"""),"Active")</f>
        <v>Active</v>
      </c>
    </row>
    <row r="1014">
      <c r="A1014" s="131">
        <f>IFERROR(__xludf.DUMMYFUNCTION("""COMPUTED_VALUE"""),46178.33113425926)</f>
        <v>46178.33113</v>
      </c>
      <c r="B1014" s="122" t="str">
        <f>IFERROR(__xludf.DUMMYFUNCTION("""COMPUTED_VALUE"""),"VITA")</f>
        <v>VITA</v>
      </c>
      <c r="C1014" s="122" t="str">
        <f>IFERROR(__xludf.DUMMYFUNCTION("""COMPUTED_VALUE"""),"VitaPlus faces weaker demand and cautious investor sentiment.")</f>
        <v>VitaPlus faces weaker demand and cautious investor sentiment.</v>
      </c>
      <c r="D1014" s="122" t="str">
        <f>IFERROR(__xludf.DUMMYFUNCTION("""COMPUTED_VALUE"""),"Investors are watching VitaPlus closely as demand weakens.")</f>
        <v>Investors are watching VitaPlus closely as demand weakens.</v>
      </c>
      <c r="E1014" s="122" t="str">
        <f>IFERROR(__xludf.DUMMYFUNCTION("""COMPUTED_VALUE"""),"Negative")</f>
        <v>Negative</v>
      </c>
      <c r="F1014" s="122">
        <f>IFERROR(__xludf.DUMMYFUNCTION("""COMPUTED_VALUE"""),-0.015)</f>
        <v>-0.015</v>
      </c>
      <c r="G1014" s="122">
        <f>IFERROR(__xludf.DUMMYFUNCTION("""COMPUTED_VALUE"""),0.75)</f>
        <v>0.75</v>
      </c>
      <c r="H1014" s="122" t="str">
        <f>IFERROR(__xludf.DUMMYFUNCTION("""COMPUTED_VALUE"""),"Active")</f>
        <v>Active</v>
      </c>
    </row>
    <row r="1015">
      <c r="A1015" s="131">
        <f>IFERROR(__xludf.DUMMYFUNCTION("""COMPUTED_VALUE"""),46178.331145833334)</f>
        <v>46178.33115</v>
      </c>
      <c r="B1015" s="122" t="str">
        <f>IFERROR(__xludf.DUMMYFUNCTION("""COMPUTED_VALUE"""),"CARE")</f>
        <v>CARE</v>
      </c>
      <c r="C1015" s="122" t="str">
        <f>IFERROR(__xludf.DUMMYFUNCTION("""COMPUTED_VALUE"""),"CareCloud reports steady growth and improved market confidence.")</f>
        <v>CareCloud reports steady growth and improved market confidence.</v>
      </c>
      <c r="D1015" s="122" t="str">
        <f>IFERROR(__xludf.DUMMYFUNCTION("""COMPUTED_VALUE"""),"CareCloud continues to show positive momentum with moderate risk.")</f>
        <v>CareCloud continues to show positive momentum with moderate risk.</v>
      </c>
      <c r="E1015" s="122" t="str">
        <f>IFERROR(__xludf.DUMMYFUNCTION("""COMPUTED_VALUE"""),"Positive")</f>
        <v>Positive</v>
      </c>
      <c r="F1015" s="122">
        <f>IFERROR(__xludf.DUMMYFUNCTION("""COMPUTED_VALUE"""),0.015)</f>
        <v>0.015</v>
      </c>
      <c r="G1015" s="122">
        <f>IFERROR(__xludf.DUMMYFUNCTION("""COMPUTED_VALUE"""),0.5)</f>
        <v>0.5</v>
      </c>
      <c r="H1015" s="122" t="str">
        <f>IFERROR(__xludf.DUMMYFUNCTION("""COMPUTED_VALUE"""),"Active")</f>
        <v>Active</v>
      </c>
    </row>
    <row r="1016">
      <c r="A1016" s="131">
        <f>IFERROR(__xludf.DUMMYFUNCTION("""COMPUTED_VALUE"""),46178.33115740741)</f>
        <v>46178.33116</v>
      </c>
      <c r="B1016" s="122" t="str">
        <f>IFERROR(__xludf.DUMMYFUNCTION("""COMPUTED_VALUE"""),"DENT")</f>
        <v>DENT</v>
      </c>
      <c r="C1016" s="122" t="str">
        <f>IFERROR(__xludf.DUMMYFUNCTION("""COMPUTED_VALUE"""),"SmileWorks remains stable as the Healthcare market shows normal activity.")</f>
        <v>SmileWorks remains stable as the Healthcare market shows normal activity.</v>
      </c>
      <c r="D1016" s="122" t="str">
        <f>IFERROR(__xludf.DUMMYFUNCTION("""COMPUTED_VALUE"""),"SmileWorks appears steady with no major changes reported.")</f>
        <v>SmileWorks appears steady with no major changes reported.</v>
      </c>
      <c r="E1016" s="122" t="str">
        <f>IFERROR(__xludf.DUMMYFUNCTION("""COMPUTED_VALUE"""),"Neutral")</f>
        <v>Neutral</v>
      </c>
      <c r="F1016" s="122">
        <f>IFERROR(__xludf.DUMMYFUNCTION("""COMPUTED_VALUE"""),0.0)</f>
        <v>0</v>
      </c>
      <c r="G1016" s="122">
        <f>IFERROR(__xludf.DUMMYFUNCTION("""COMPUTED_VALUE"""),0.0)</f>
        <v>0</v>
      </c>
      <c r="H1016" s="122" t="str">
        <f>IFERROR(__xludf.DUMMYFUNCTION("""COMPUTED_VALUE"""),"Active")</f>
        <v>Active</v>
      </c>
    </row>
    <row r="1017">
      <c r="A1017" s="131">
        <f>IFERROR(__xludf.DUMMYFUNCTION("""COMPUTED_VALUE"""),46178.33115740741)</f>
        <v>46178.33116</v>
      </c>
      <c r="B1017" s="122" t="str">
        <f>IFERROR(__xludf.DUMMYFUNCTION("""COMPUTED_VALUE"""),"EDUX")</f>
        <v>EDUX</v>
      </c>
      <c r="C1017" s="122" t="str">
        <f>IFERROR(__xludf.DUMMYFUNCTION("""COMPUTED_VALUE"""),"EduMax Learning faces weaker demand and cautious investor sentiment.")</f>
        <v>EduMax Learning faces weaker demand and cautious investor sentiment.</v>
      </c>
      <c r="D1017" s="122" t="str">
        <f>IFERROR(__xludf.DUMMYFUNCTION("""COMPUTED_VALUE"""),"Investors are watching EduMax Learning closely as demand weakens.")</f>
        <v>Investors are watching EduMax Learning closely as demand weakens.</v>
      </c>
      <c r="E1017" s="122" t="str">
        <f>IFERROR(__xludf.DUMMYFUNCTION("""COMPUTED_VALUE"""),"Negative")</f>
        <v>Negative</v>
      </c>
      <c r="F1017" s="122">
        <f>IFERROR(__xludf.DUMMYFUNCTION("""COMPUTED_VALUE"""),-0.015)</f>
        <v>-0.015</v>
      </c>
      <c r="G1017" s="122">
        <f>IFERROR(__xludf.DUMMYFUNCTION("""COMPUTED_VALUE"""),0.75)</f>
        <v>0.75</v>
      </c>
      <c r="H1017" s="122" t="str">
        <f>IFERROR(__xludf.DUMMYFUNCTION("""COMPUTED_VALUE"""),"Active")</f>
        <v>Active</v>
      </c>
    </row>
    <row r="1018">
      <c r="A1018" s="131">
        <f>IFERROR(__xludf.DUMMYFUNCTION("""COMPUTED_VALUE"""),46178.33116898148)</f>
        <v>46178.33117</v>
      </c>
      <c r="B1018" s="122" t="str">
        <f>IFERROR(__xludf.DUMMYFUNCTION("""COMPUTED_VALUE"""),"BOOK")</f>
        <v>BOOK</v>
      </c>
      <c r="C1018" s="122" t="str">
        <f>IFERROR(__xludf.DUMMYFUNCTION("""COMPUTED_VALUE"""),"BookBridge faces weaker demand and cautious investor sentiment.")</f>
        <v>BookBridge faces weaker demand and cautious investor sentiment.</v>
      </c>
      <c r="D1018" s="122" t="str">
        <f>IFERROR(__xludf.DUMMYFUNCTION("""COMPUTED_VALUE"""),"Investors are watching BookBridge closely as demand weakens.")</f>
        <v>Investors are watching BookBridge closely as demand weakens.</v>
      </c>
      <c r="E1018" s="122" t="str">
        <f>IFERROR(__xludf.DUMMYFUNCTION("""COMPUTED_VALUE"""),"Negative")</f>
        <v>Negative</v>
      </c>
      <c r="F1018" s="122">
        <f>IFERROR(__xludf.DUMMYFUNCTION("""COMPUTED_VALUE"""),-0.015)</f>
        <v>-0.015</v>
      </c>
      <c r="G1018" s="122">
        <f>IFERROR(__xludf.DUMMYFUNCTION("""COMPUTED_VALUE"""),0.75)</f>
        <v>0.75</v>
      </c>
      <c r="H1018" s="122" t="str">
        <f>IFERROR(__xludf.DUMMYFUNCTION("""COMPUTED_VALUE"""),"Active")</f>
        <v>Active</v>
      </c>
    </row>
    <row r="1019">
      <c r="A1019" s="131">
        <f>IFERROR(__xludf.DUMMYFUNCTION("""COMPUTED_VALUE"""),46178.33118055556)</f>
        <v>46178.33118</v>
      </c>
      <c r="B1019" s="122" t="str">
        <f>IFERROR(__xludf.DUMMYFUNCTION("""COMPUTED_VALUE"""),"TUTR")</f>
        <v>TUTR</v>
      </c>
      <c r="C1019" s="122" t="str">
        <f>IFERROR(__xludf.DUMMYFUNCTION("""COMPUTED_VALUE"""),"TutorTown drops sharply after major concerns hit the market.")</f>
        <v>TutorTown drops sharply after major concerns hit the market.</v>
      </c>
      <c r="D1019" s="122" t="str">
        <f>IFERROR(__xludf.DUMMYFUNCTION("""COMPUTED_VALUE"""),"TutorTown is under pressure as investors react to worsening conditions.")</f>
        <v>TutorTown is under pressure as investors react to worsening conditions.</v>
      </c>
      <c r="E1019" s="122" t="str">
        <f>IFERROR(__xludf.DUMMYFUNCTION("""COMPUTED_VALUE"""),"Negative")</f>
        <v>Negative</v>
      </c>
      <c r="F1019" s="122">
        <f>IFERROR(__xludf.DUMMYFUNCTION("""COMPUTED_VALUE"""),-0.04)</f>
        <v>-0.04</v>
      </c>
      <c r="G1019" s="122">
        <f>IFERROR(__xludf.DUMMYFUNCTION("""COMPUTED_VALUE"""),2.0)</f>
        <v>2</v>
      </c>
      <c r="H1019" s="122" t="str">
        <f>IFERROR(__xludf.DUMMYFUNCTION("""COMPUTED_VALUE"""),"Active")</f>
        <v>Active</v>
      </c>
    </row>
    <row r="1020">
      <c r="A1020" s="131">
        <f>IFERROR(__xludf.DUMMYFUNCTION("""COMPUTED_VALUE"""),46178.33118055556)</f>
        <v>46178.33118</v>
      </c>
      <c r="B1020" s="122" t="str">
        <f>IFERROR(__xludf.DUMMYFUNCTION("""COMPUTED_VALUE"""),"LANG")</f>
        <v>LANG</v>
      </c>
      <c r="C1020" s="122" t="str">
        <f>IFERROR(__xludf.DUMMYFUNCTION("""COMPUTED_VALUE"""),"LinguaLab faces weaker demand and cautious investor sentiment.")</f>
        <v>LinguaLab faces weaker demand and cautious investor sentiment.</v>
      </c>
      <c r="D1020" s="122" t="str">
        <f>IFERROR(__xludf.DUMMYFUNCTION("""COMPUTED_VALUE"""),"Investors are watching LinguaLab closely as demand weakens.")</f>
        <v>Investors are watching LinguaLab closely as demand weakens.</v>
      </c>
      <c r="E1020" s="122" t="str">
        <f>IFERROR(__xludf.DUMMYFUNCTION("""COMPUTED_VALUE"""),"Negative")</f>
        <v>Negative</v>
      </c>
      <c r="F1020" s="122">
        <f>IFERROR(__xludf.DUMMYFUNCTION("""COMPUTED_VALUE"""),-0.015)</f>
        <v>-0.015</v>
      </c>
      <c r="G1020" s="122">
        <f>IFERROR(__xludf.DUMMYFUNCTION("""COMPUTED_VALUE"""),0.75)</f>
        <v>0.75</v>
      </c>
      <c r="H1020" s="122" t="str">
        <f>IFERROR(__xludf.DUMMYFUNCTION("""COMPUTED_VALUE"""),"Active")</f>
        <v>Active</v>
      </c>
    </row>
    <row r="1021">
      <c r="A1021" s="131">
        <f>IFERROR(__xludf.DUMMYFUNCTION("""COMPUTED_VALUE"""),46178.331192129626)</f>
        <v>46178.33119</v>
      </c>
      <c r="B1021" s="122" t="str">
        <f>IFERROR(__xludf.DUMMYFUNCTION("""COMPUTED_VALUE"""),"TEST")</f>
        <v>TEST</v>
      </c>
      <c r="C1021" s="122" t="str">
        <f>IFERROR(__xludf.DUMMYFUNCTION("""COMPUTED_VALUE"""),"TestPrep Pro remains stable as the Education market shows normal activity.")</f>
        <v>TestPrep Pro remains stable as the Education market shows normal activity.</v>
      </c>
      <c r="D1021" s="122" t="str">
        <f>IFERROR(__xludf.DUMMYFUNCTION("""COMPUTED_VALUE"""),"TestPrep Pro appears steady with no major changes reported.")</f>
        <v>TestPrep Pro appears steady with no major changes reported.</v>
      </c>
      <c r="E1021" s="122" t="str">
        <f>IFERROR(__xludf.DUMMYFUNCTION("""COMPUTED_VALUE"""),"Neutral")</f>
        <v>Neutral</v>
      </c>
      <c r="F1021" s="122">
        <f>IFERROR(__xludf.DUMMYFUNCTION("""COMPUTED_VALUE"""),0.0)</f>
        <v>0</v>
      </c>
      <c r="G1021" s="122">
        <f>IFERROR(__xludf.DUMMYFUNCTION("""COMPUTED_VALUE"""),0.0)</f>
        <v>0</v>
      </c>
      <c r="H1021" s="122" t="str">
        <f>IFERROR(__xludf.DUMMYFUNCTION("""COMPUTED_VALUE"""),"Active")</f>
        <v>Active</v>
      </c>
    </row>
    <row r="1022">
      <c r="A1022" s="131">
        <f>IFERROR(__xludf.DUMMYFUNCTION("""COMPUTED_VALUE"""),46178.3312037037)</f>
        <v>46178.3312</v>
      </c>
      <c r="B1022" s="122" t="str">
        <f>IFERROR(__xludf.DUMMYFUNCTION("""COMPUTED_VALUE"""),"MOVI")</f>
        <v>MOVI</v>
      </c>
      <c r="C1022" s="122" t="str">
        <f>IFERROR(__xludf.DUMMYFUNCTION("""COMPUTED_VALUE"""),"MovieBox remains stable as the Entertainment market shows normal activity.")</f>
        <v>MovieBox remains stable as the Entertainment market shows normal activity.</v>
      </c>
      <c r="D1022" s="122" t="str">
        <f>IFERROR(__xludf.DUMMYFUNCTION("""COMPUTED_VALUE"""),"MovieBox appears steady with no major changes reported.")</f>
        <v>MovieBox appears steady with no major changes reported.</v>
      </c>
      <c r="E1022" s="122" t="str">
        <f>IFERROR(__xludf.DUMMYFUNCTION("""COMPUTED_VALUE"""),"Neutral")</f>
        <v>Neutral</v>
      </c>
      <c r="F1022" s="122">
        <f>IFERROR(__xludf.DUMMYFUNCTION("""COMPUTED_VALUE"""),0.0)</f>
        <v>0</v>
      </c>
      <c r="G1022" s="122">
        <f>IFERROR(__xludf.DUMMYFUNCTION("""COMPUTED_VALUE"""),0.0)</f>
        <v>0</v>
      </c>
      <c r="H1022" s="122" t="str">
        <f>IFERROR(__xludf.DUMMYFUNCTION("""COMPUTED_VALUE"""),"Active")</f>
        <v>Active</v>
      </c>
    </row>
    <row r="1023">
      <c r="A1023" s="131">
        <f>IFERROR(__xludf.DUMMYFUNCTION("""COMPUTED_VALUE"""),46178.33121527778)</f>
        <v>46178.33122</v>
      </c>
      <c r="B1023" s="122" t="str">
        <f>IFERROR(__xludf.DUMMYFUNCTION("""COMPUTED_VALUE"""),"MUSC")</f>
        <v>MUSC</v>
      </c>
      <c r="C1023" s="122" t="str">
        <f>IFERROR(__xludf.DUMMYFUNCTION("""COMPUTED_VALUE"""),"MusicWave faces weaker demand and cautious investor sentiment.")</f>
        <v>MusicWave faces weaker demand and cautious investor sentiment.</v>
      </c>
      <c r="D1023" s="122" t="str">
        <f>IFERROR(__xludf.DUMMYFUNCTION("""COMPUTED_VALUE"""),"Investors are watching MusicWave closely as demand weakens.")</f>
        <v>Investors are watching MusicWave closely as demand weakens.</v>
      </c>
      <c r="E1023" s="122" t="str">
        <f>IFERROR(__xludf.DUMMYFUNCTION("""COMPUTED_VALUE"""),"Negative")</f>
        <v>Negative</v>
      </c>
      <c r="F1023" s="122">
        <f>IFERROR(__xludf.DUMMYFUNCTION("""COMPUTED_VALUE"""),-0.015)</f>
        <v>-0.015</v>
      </c>
      <c r="G1023" s="122">
        <f>IFERROR(__xludf.DUMMYFUNCTION("""COMPUTED_VALUE"""),0.75)</f>
        <v>0.75</v>
      </c>
      <c r="H1023" s="122" t="str">
        <f>IFERROR(__xludf.DUMMYFUNCTION("""COMPUTED_VALUE"""),"Active")</f>
        <v>Active</v>
      </c>
    </row>
    <row r="1024">
      <c r="A1024" s="131">
        <f>IFERROR(__xludf.DUMMYFUNCTION("""COMPUTED_VALUE"""),46178.33121527778)</f>
        <v>46178.33122</v>
      </c>
      <c r="B1024" s="122" t="str">
        <f>IFERROR(__xludf.DUMMYFUNCTION("""COMPUTED_VALUE"""),"IDOL")</f>
        <v>IDOL</v>
      </c>
      <c r="C1024" s="122" t="str">
        <f>IFERROR(__xludf.DUMMYFUNCTION("""COMPUTED_VALUE"""),"Idol Agency sees uncertain trading as investors react to mixed signals.")</f>
        <v>Idol Agency sees uncertain trading as investors react to mixed signals.</v>
      </c>
      <c r="D1024" s="122" t="str">
        <f>IFERROR(__xludf.DUMMYFUNCTION("""COMPUTED_VALUE"""),"Idol Agency may experience larger price swings as investors disagree on direction.")</f>
        <v>Idol Agency may experience larger price swings as investors disagree on direction.</v>
      </c>
      <c r="E1024" s="122" t="str">
        <f>IFERROR(__xludf.DUMMYFUNCTION("""COMPUTED_VALUE"""),"Mixed")</f>
        <v>Mixed</v>
      </c>
      <c r="F1024" s="122">
        <f>IFERROR(__xludf.DUMMYFUNCTION("""COMPUTED_VALUE"""),0.01317592847529565)</f>
        <v>0.01317592848</v>
      </c>
      <c r="G1024" s="122">
        <f>IFERROR(__xludf.DUMMYFUNCTION("""COMPUTED_VALUE"""),1.5)</f>
        <v>1.5</v>
      </c>
      <c r="H1024" s="122" t="str">
        <f>IFERROR(__xludf.DUMMYFUNCTION("""COMPUTED_VALUE"""),"Active")</f>
        <v>Active</v>
      </c>
    </row>
    <row r="1025">
      <c r="A1025" s="131">
        <f>IFERROR(__xludf.DUMMYFUNCTION("""COMPUTED_VALUE"""),46178.33122685185)</f>
        <v>46178.33123</v>
      </c>
      <c r="B1025" s="122" t="str">
        <f>IFERROR(__xludf.DUMMYFUNCTION("""COMPUTED_VALUE"""),"MEME")</f>
        <v>MEME</v>
      </c>
      <c r="C1025" s="122" t="str">
        <f>IFERROR(__xludf.DUMMYFUNCTION("""COMPUTED_VALUE"""),"Meme Media surges as demand rises across the Entertainment sector.")</f>
        <v>Meme Media surges as demand rises across the Entertainment sector.</v>
      </c>
      <c r="D1025" s="122" t="str">
        <f>IFERROR(__xludf.DUMMYFUNCTION("""COMPUTED_VALUE"""),"Meme Media is seeing strong demand, which may increase investor confidence.")</f>
        <v>Meme Media is seeing strong demand, which may increase investor confidence.</v>
      </c>
      <c r="E1025" s="122" t="str">
        <f>IFERROR(__xludf.DUMMYFUNCTION("""COMPUTED_VALUE"""),"Positive")</f>
        <v>Positive</v>
      </c>
      <c r="F1025" s="122">
        <f>IFERROR(__xludf.DUMMYFUNCTION("""COMPUTED_VALUE"""),0.03)</f>
        <v>0.03</v>
      </c>
      <c r="G1025" s="122">
        <f>IFERROR(__xludf.DUMMYFUNCTION("""COMPUTED_VALUE"""),1.0)</f>
        <v>1</v>
      </c>
      <c r="H1025" s="122" t="str">
        <f>IFERROR(__xludf.DUMMYFUNCTION("""COMPUTED_VALUE"""),"Active")</f>
        <v>Active</v>
      </c>
    </row>
    <row r="1026">
      <c r="A1026" s="131">
        <f>IFERROR(__xludf.DUMMYFUNCTION("""COMPUTED_VALUE"""),46178.331238425926)</f>
        <v>46178.33124</v>
      </c>
      <c r="B1026" s="122" t="str">
        <f>IFERROR(__xludf.DUMMYFUNCTION("""COMPUTED_VALUE"""),"STRM")</f>
        <v>STRM</v>
      </c>
      <c r="C1026" s="122" t="str">
        <f>IFERROR(__xludf.DUMMYFUNCTION("""COMPUTED_VALUE"""),"Streamly remains stable as the Entertainment market shows normal activity.")</f>
        <v>Streamly remains stable as the Entertainment market shows normal activity.</v>
      </c>
      <c r="D1026" s="122" t="str">
        <f>IFERROR(__xludf.DUMMYFUNCTION("""COMPUTED_VALUE"""),"Streamly appears steady with no major changes reported.")</f>
        <v>Streamly appears steady with no major changes reported.</v>
      </c>
      <c r="E1026" s="122" t="str">
        <f>IFERROR(__xludf.DUMMYFUNCTION("""COMPUTED_VALUE"""),"Neutral")</f>
        <v>Neutral</v>
      </c>
      <c r="F1026" s="122">
        <f>IFERROR(__xludf.DUMMYFUNCTION("""COMPUTED_VALUE"""),0.0)</f>
        <v>0</v>
      </c>
      <c r="G1026" s="122">
        <f>IFERROR(__xludf.DUMMYFUNCTION("""COMPUTED_VALUE"""),0.0)</f>
        <v>0</v>
      </c>
      <c r="H1026" s="122" t="str">
        <f>IFERROR(__xludf.DUMMYFUNCTION("""COMPUTED_VALUE"""),"Active")</f>
        <v>Active</v>
      </c>
    </row>
    <row r="1027">
      <c r="A1027" s="131">
        <f>IFERROR(__xludf.DUMMYFUNCTION("""COMPUTED_VALUE"""),46178.331238425926)</f>
        <v>46178.33124</v>
      </c>
      <c r="B1027" s="122" t="str">
        <f>IFERROR(__xludf.DUMMYFUNCTION("""COMPUTED_VALUE"""),"FARM")</f>
        <v>FARM</v>
      </c>
      <c r="C1027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027" s="122" t="str">
        <f>IFERROR(__xludf.DUMMYFUNCTION("""COMPUTED_VALUE"""),"Future Farms appears steady with no major changes reported.")</f>
        <v>Future Farms appears steady with no major changes reported.</v>
      </c>
      <c r="E1027" s="122" t="str">
        <f>IFERROR(__xludf.DUMMYFUNCTION("""COMPUTED_VALUE"""),"Neutral")</f>
        <v>Neutral</v>
      </c>
      <c r="F1027" s="122">
        <f>IFERROR(__xludf.DUMMYFUNCTION("""COMPUTED_VALUE"""),0.0)</f>
        <v>0</v>
      </c>
      <c r="G1027" s="122">
        <f>IFERROR(__xludf.DUMMYFUNCTION("""COMPUTED_VALUE"""),0.0)</f>
        <v>0</v>
      </c>
      <c r="H1027" s="122" t="str">
        <f>IFERROR(__xludf.DUMMYFUNCTION("""COMPUTED_VALUE"""),"Active")</f>
        <v>Active</v>
      </c>
    </row>
    <row r="1028">
      <c r="A1028" s="131">
        <f>IFERROR(__xludf.DUMMYFUNCTION("""COMPUTED_VALUE"""),46178.33125)</f>
        <v>46178.33125</v>
      </c>
      <c r="B1028" s="122" t="str">
        <f>IFERROR(__xludf.DUMMYFUNCTION("""COMPUTED_VALUE"""),"MEAT")</f>
        <v>MEAT</v>
      </c>
      <c r="C1028" s="122" t="str">
        <f>IFERROR(__xludf.DUMMYFUNCTION("""COMPUTED_VALUE"""),"MeatWorks reports steady growth and improved market confidence.")</f>
        <v>MeatWorks reports steady growth and improved market confidence.</v>
      </c>
      <c r="D1028" s="122" t="str">
        <f>IFERROR(__xludf.DUMMYFUNCTION("""COMPUTED_VALUE"""),"MeatWorks continues to show positive momentum with moderate risk.")</f>
        <v>MeatWorks continues to show positive momentum with moderate risk.</v>
      </c>
      <c r="E1028" s="122" t="str">
        <f>IFERROR(__xludf.DUMMYFUNCTION("""COMPUTED_VALUE"""),"Positive")</f>
        <v>Positive</v>
      </c>
      <c r="F1028" s="122">
        <f>IFERROR(__xludf.DUMMYFUNCTION("""COMPUTED_VALUE"""),0.015)</f>
        <v>0.015</v>
      </c>
      <c r="G1028" s="122">
        <f>IFERROR(__xludf.DUMMYFUNCTION("""COMPUTED_VALUE"""),0.5)</f>
        <v>0.5</v>
      </c>
      <c r="H1028" s="122" t="str">
        <f>IFERROR(__xludf.DUMMYFUNCTION("""COMPUTED_VALUE"""),"Active")</f>
        <v>Active</v>
      </c>
    </row>
    <row r="1029">
      <c r="A1029" s="131">
        <f>IFERROR(__xludf.DUMMYFUNCTION("""COMPUTED_VALUE"""),46178.33126157407)</f>
        <v>46178.33126</v>
      </c>
      <c r="B1029" s="122" t="str">
        <f>IFERROR(__xludf.DUMMYFUNCTION("""COMPUTED_VALUE"""),"VEGI")</f>
        <v>VEGI</v>
      </c>
      <c r="C1029" s="122" t="str">
        <f>IFERROR(__xludf.DUMMYFUNCTION("""COMPUTED_VALUE"""),"Green Basket reports steady growth and improved market confidence.")</f>
        <v>Green Basket reports steady growth and improved market confidence.</v>
      </c>
      <c r="D1029" s="122" t="str">
        <f>IFERROR(__xludf.DUMMYFUNCTION("""COMPUTED_VALUE"""),"Green Basket continues to show positive momentum with moderate risk.")</f>
        <v>Green Basket continues to show positive momentum with moderate risk.</v>
      </c>
      <c r="E1029" s="122" t="str">
        <f>IFERROR(__xludf.DUMMYFUNCTION("""COMPUTED_VALUE"""),"Positive")</f>
        <v>Positive</v>
      </c>
      <c r="F1029" s="122">
        <f>IFERROR(__xludf.DUMMYFUNCTION("""COMPUTED_VALUE"""),0.015)</f>
        <v>0.015</v>
      </c>
      <c r="G1029" s="122">
        <f>IFERROR(__xludf.DUMMYFUNCTION("""COMPUTED_VALUE"""),0.5)</f>
        <v>0.5</v>
      </c>
      <c r="H1029" s="122" t="str">
        <f>IFERROR(__xludf.DUMMYFUNCTION("""COMPUTED_VALUE"""),"Active")</f>
        <v>Active</v>
      </c>
    </row>
    <row r="1030">
      <c r="A1030" s="131">
        <f>IFERROR(__xludf.DUMMYFUNCTION("""COMPUTED_VALUE"""),46178.33126157407)</f>
        <v>46178.33126</v>
      </c>
      <c r="B1030" s="122" t="str">
        <f>IFERROR(__xludf.DUMMYFUNCTION("""COMPUTED_VALUE"""),"CAFE")</f>
        <v>CAFE</v>
      </c>
      <c r="C1030" s="122" t="str">
        <f>IFERROR(__xludf.DUMMYFUNCTION("""COMPUTED_VALUE"""),"Cafe Cloud reports steady growth and improved market confidence.")</f>
        <v>Cafe Cloud reports steady growth and improved market confidence.</v>
      </c>
      <c r="D1030" s="122" t="str">
        <f>IFERROR(__xludf.DUMMYFUNCTION("""COMPUTED_VALUE"""),"Cafe Cloud continues to show positive momentum with moderate risk.")</f>
        <v>Cafe Cloud continues to show positive momentum with moderate risk.</v>
      </c>
      <c r="E1030" s="122" t="str">
        <f>IFERROR(__xludf.DUMMYFUNCTION("""COMPUTED_VALUE"""),"Positive")</f>
        <v>Positive</v>
      </c>
      <c r="F1030" s="122">
        <f>IFERROR(__xludf.DUMMYFUNCTION("""COMPUTED_VALUE"""),0.015)</f>
        <v>0.015</v>
      </c>
      <c r="G1030" s="122">
        <f>IFERROR(__xludf.DUMMYFUNCTION("""COMPUTED_VALUE"""),0.5)</f>
        <v>0.5</v>
      </c>
      <c r="H1030" s="122" t="str">
        <f>IFERROR(__xludf.DUMMYFUNCTION("""COMPUTED_VALUE"""),"Active")</f>
        <v>Active</v>
      </c>
    </row>
    <row r="1031">
      <c r="A1031" s="131">
        <f>IFERROR(__xludf.DUMMYFUNCTION("""COMPUTED_VALUE"""),46178.33127314815)</f>
        <v>46178.33127</v>
      </c>
      <c r="B1031" s="122" t="str">
        <f>IFERROR(__xludf.DUMMYFUNCTION("""COMPUTED_VALUE"""),"BAKE")</f>
        <v>BAKE</v>
      </c>
      <c r="C1031" s="122" t="str">
        <f>IFERROR(__xludf.DUMMYFUNCTION("""COMPUTED_VALUE"""),"BakeHouse surges as demand rises across the Food sector.")</f>
        <v>BakeHouse surges as demand rises across the Food sector.</v>
      </c>
      <c r="D1031" s="122" t="str">
        <f>IFERROR(__xludf.DUMMYFUNCTION("""COMPUTED_VALUE"""),"BakeHouse is seeing strong demand, which may increase investor confidence.")</f>
        <v>BakeHouse is seeing strong demand, which may increase investor confidence.</v>
      </c>
      <c r="E1031" s="122" t="str">
        <f>IFERROR(__xludf.DUMMYFUNCTION("""COMPUTED_VALUE"""),"Positive")</f>
        <v>Positive</v>
      </c>
      <c r="F1031" s="122">
        <f>IFERROR(__xludf.DUMMYFUNCTION("""COMPUTED_VALUE"""),0.03)</f>
        <v>0.03</v>
      </c>
      <c r="G1031" s="122">
        <f>IFERROR(__xludf.DUMMYFUNCTION("""COMPUTED_VALUE"""),1.0)</f>
        <v>1</v>
      </c>
      <c r="H1031" s="122" t="str">
        <f>IFERROR(__xludf.DUMMYFUNCTION("""COMPUTED_VALUE"""),"Active")</f>
        <v>Active</v>
      </c>
    </row>
    <row r="1032">
      <c r="A1032" s="131">
        <f>IFERROR(__xludf.DUMMYFUNCTION("""COMPUTED_VALUE"""),46178.331296296295)</f>
        <v>46178.3313</v>
      </c>
      <c r="B1032" s="122" t="str">
        <f>IFERROR(__xludf.DUMMYFUNCTION("""COMPUTED_VALUE"""),"OILX")</f>
        <v>OILX</v>
      </c>
      <c r="C1032" s="122" t="str">
        <f>IFERROR(__xludf.DUMMYFUNCTION("""COMPUTED_VALUE"""),"OilMax Energy faces weaker demand and cautious investor sentiment.")</f>
        <v>OilMax Energy faces weaker demand and cautious investor sentiment.</v>
      </c>
      <c r="D1032" s="122" t="str">
        <f>IFERROR(__xludf.DUMMYFUNCTION("""COMPUTED_VALUE"""),"Investors are watching OilMax Energy closely as demand weakens.")</f>
        <v>Investors are watching OilMax Energy closely as demand weakens.</v>
      </c>
      <c r="E1032" s="122" t="str">
        <f>IFERROR(__xludf.DUMMYFUNCTION("""COMPUTED_VALUE"""),"Negative")</f>
        <v>Negative</v>
      </c>
      <c r="F1032" s="122">
        <f>IFERROR(__xludf.DUMMYFUNCTION("""COMPUTED_VALUE"""),-0.015)</f>
        <v>-0.015</v>
      </c>
      <c r="G1032" s="122">
        <f>IFERROR(__xludf.DUMMYFUNCTION("""COMPUTED_VALUE"""),0.75)</f>
        <v>0.75</v>
      </c>
      <c r="H1032" s="122" t="str">
        <f>IFERROR(__xludf.DUMMYFUNCTION("""COMPUTED_VALUE"""),"Active")</f>
        <v>Active</v>
      </c>
    </row>
    <row r="1033">
      <c r="A1033" s="131">
        <f>IFERROR(__xludf.DUMMYFUNCTION("""COMPUTED_VALUE"""),46178.331296296295)</f>
        <v>46178.3313</v>
      </c>
      <c r="B1033" s="122" t="str">
        <f>IFERROR(__xludf.DUMMYFUNCTION("""COMPUTED_VALUE"""),"SOLR")</f>
        <v>SOLR</v>
      </c>
      <c r="C1033" s="122" t="str">
        <f>IFERROR(__xludf.DUMMYFUNCTION("""COMPUTED_VALUE"""),"SolarSpark reports steady growth and improved market confidence.")</f>
        <v>SolarSpark reports steady growth and improved market confidence.</v>
      </c>
      <c r="D1033" s="122" t="str">
        <f>IFERROR(__xludf.DUMMYFUNCTION("""COMPUTED_VALUE"""),"SolarSpark continues to show positive momentum with moderate risk.")</f>
        <v>SolarSpark continues to show positive momentum with moderate risk.</v>
      </c>
      <c r="E1033" s="122" t="str">
        <f>IFERROR(__xludf.DUMMYFUNCTION("""COMPUTED_VALUE"""),"Positive")</f>
        <v>Positive</v>
      </c>
      <c r="F1033" s="122">
        <f>IFERROR(__xludf.DUMMYFUNCTION("""COMPUTED_VALUE"""),0.015)</f>
        <v>0.015</v>
      </c>
      <c r="G1033" s="122">
        <f>IFERROR(__xludf.DUMMYFUNCTION("""COMPUTED_VALUE"""),0.5)</f>
        <v>0.5</v>
      </c>
      <c r="H1033" s="122" t="str">
        <f>IFERROR(__xludf.DUMMYFUNCTION("""COMPUTED_VALUE"""),"Active")</f>
        <v>Active</v>
      </c>
    </row>
    <row r="1034">
      <c r="A1034" s="131">
        <f>IFERROR(__xludf.DUMMYFUNCTION("""COMPUTED_VALUE"""),46178.33130787037)</f>
        <v>46178.33131</v>
      </c>
      <c r="B1034" s="122" t="str">
        <f>IFERROR(__xludf.DUMMYFUNCTION("""COMPUTED_VALUE"""),"BATT")</f>
        <v>BATT</v>
      </c>
      <c r="C1034" s="122" t="str">
        <f>IFERROR(__xludf.DUMMYFUNCTION("""COMPUTED_VALUE"""),"BatteryBox sees uncertain trading as investors react to mixed signals.")</f>
        <v>BatteryBox sees uncertain trading as investors react to mixed signals.</v>
      </c>
      <c r="D1034" s="122" t="str">
        <f>IFERROR(__xludf.DUMMYFUNCTION("""COMPUTED_VALUE"""),"BatteryBox may experience larger price swings as investors disagree on direction.")</f>
        <v>BatteryBox may experience larger price swings as investors disagree on direction.</v>
      </c>
      <c r="E1034" s="122" t="str">
        <f>IFERROR(__xludf.DUMMYFUNCTION("""COMPUTED_VALUE"""),"Mixed")</f>
        <v>Mixed</v>
      </c>
      <c r="F1034" s="122">
        <f>IFERROR(__xludf.DUMMYFUNCTION("""COMPUTED_VALUE"""),-0.005462086215945119)</f>
        <v>-0.005462086216</v>
      </c>
      <c r="G1034" s="122">
        <f>IFERROR(__xludf.DUMMYFUNCTION("""COMPUTED_VALUE"""),1.5)</f>
        <v>1.5</v>
      </c>
      <c r="H1034" s="122" t="str">
        <f>IFERROR(__xludf.DUMMYFUNCTION("""COMPUTED_VALUE"""),"Active")</f>
        <v>Active</v>
      </c>
    </row>
    <row r="1035">
      <c r="A1035" s="131">
        <f>IFERROR(__xludf.DUMMYFUNCTION("""COMPUTED_VALUE"""),46178.33131944444)</f>
        <v>46178.33132</v>
      </c>
      <c r="B1035" s="122" t="str">
        <f>IFERROR(__xludf.DUMMYFUNCTION("""COMPUTED_VALUE"""),"WIND")</f>
        <v>WIND</v>
      </c>
      <c r="C1035" s="122" t="str">
        <f>IFERROR(__xludf.DUMMYFUNCTION("""COMPUTED_VALUE"""),"WindWorks faces weaker demand and cautious investor sentiment.")</f>
        <v>WindWorks faces weaker demand and cautious investor sentiment.</v>
      </c>
      <c r="D1035" s="122" t="str">
        <f>IFERROR(__xludf.DUMMYFUNCTION("""COMPUTED_VALUE"""),"Investors are watching WindWorks closely as demand weakens.")</f>
        <v>Investors are watching WindWorks closely as demand weakens.</v>
      </c>
      <c r="E1035" s="122" t="str">
        <f>IFERROR(__xludf.DUMMYFUNCTION("""COMPUTED_VALUE"""),"Negative")</f>
        <v>Negative</v>
      </c>
      <c r="F1035" s="122">
        <f>IFERROR(__xludf.DUMMYFUNCTION("""COMPUTED_VALUE"""),-0.015)</f>
        <v>-0.015</v>
      </c>
      <c r="G1035" s="122">
        <f>IFERROR(__xludf.DUMMYFUNCTION("""COMPUTED_VALUE"""),0.75)</f>
        <v>0.75</v>
      </c>
      <c r="H1035" s="122" t="str">
        <f>IFERROR(__xludf.DUMMYFUNCTION("""COMPUTED_VALUE"""),"Active")</f>
        <v>Active</v>
      </c>
    </row>
    <row r="1036">
      <c r="A1036" s="131">
        <f>IFERROR(__xludf.DUMMYFUNCTION("""COMPUTED_VALUE"""),46178.33133101852)</f>
        <v>46178.33133</v>
      </c>
      <c r="B1036" s="122" t="str">
        <f>IFERROR(__xludf.DUMMYFUNCTION("""COMPUTED_VALUE"""),"GRID")</f>
        <v>GRID</v>
      </c>
      <c r="C1036" s="122" t="str">
        <f>IFERROR(__xludf.DUMMYFUNCTION("""COMPUTED_VALUE"""),"GridPower reports steady growth and improved market confidence.")</f>
        <v>GridPower reports steady growth and improved market confidence.</v>
      </c>
      <c r="D1036" s="122" t="str">
        <f>IFERROR(__xludf.DUMMYFUNCTION("""COMPUTED_VALUE"""),"GridPower continues to show positive momentum with moderate risk.")</f>
        <v>GridPower continues to show positive momentum with moderate risk.</v>
      </c>
      <c r="E1036" s="122" t="str">
        <f>IFERROR(__xludf.DUMMYFUNCTION("""COMPUTED_VALUE"""),"Positive")</f>
        <v>Positive</v>
      </c>
      <c r="F1036" s="122">
        <f>IFERROR(__xludf.DUMMYFUNCTION("""COMPUTED_VALUE"""),0.015)</f>
        <v>0.015</v>
      </c>
      <c r="G1036" s="122">
        <f>IFERROR(__xludf.DUMMYFUNCTION("""COMPUTED_VALUE"""),0.5)</f>
        <v>0.5</v>
      </c>
      <c r="H1036" s="122" t="str">
        <f>IFERROR(__xludf.DUMMYFUNCTION("""COMPUTED_VALUE"""),"Active")</f>
        <v>Active</v>
      </c>
    </row>
    <row r="1037">
      <c r="A1037" s="131">
        <f>IFERROR(__xludf.DUMMYFUNCTION("""COMPUTED_VALUE"""),46178.331342592595)</f>
        <v>46178.33134</v>
      </c>
      <c r="B1037" s="122" t="str">
        <f>IFERROR(__xludf.DUMMYFUNCTION("""COMPUTED_VALUE"""),"HOME")</f>
        <v>HOME</v>
      </c>
      <c r="C1037" s="122" t="str">
        <f>IFERROR(__xludf.DUMMYFUNCTION("""COMPUTED_VALUE"""),"HomeHub faces weaker demand and cautious investor sentiment.")</f>
        <v>HomeHub faces weaker demand and cautious investor sentiment.</v>
      </c>
      <c r="D1037" s="122" t="str">
        <f>IFERROR(__xludf.DUMMYFUNCTION("""COMPUTED_VALUE"""),"Investors are watching HomeHub closely as demand weakens.")</f>
        <v>Investors are watching HomeHub closely as demand weakens.</v>
      </c>
      <c r="E1037" s="122" t="str">
        <f>IFERROR(__xludf.DUMMYFUNCTION("""COMPUTED_VALUE"""),"Negative")</f>
        <v>Negative</v>
      </c>
      <c r="F1037" s="122">
        <f>IFERROR(__xludf.DUMMYFUNCTION("""COMPUTED_VALUE"""),-0.015)</f>
        <v>-0.015</v>
      </c>
      <c r="G1037" s="122">
        <f>IFERROR(__xludf.DUMMYFUNCTION("""COMPUTED_VALUE"""),0.75)</f>
        <v>0.75</v>
      </c>
      <c r="H1037" s="122" t="str">
        <f>IFERROR(__xludf.DUMMYFUNCTION("""COMPUTED_VALUE"""),"Active")</f>
        <v>Active</v>
      </c>
    </row>
    <row r="1038">
      <c r="A1038" s="131">
        <f>IFERROR(__xludf.DUMMYFUNCTION("""COMPUTED_VALUE"""),46178.331354166665)</f>
        <v>46178.33135</v>
      </c>
      <c r="B1038" s="122" t="str">
        <f>IFERROR(__xludf.DUMMYFUNCTION("""COMPUTED_VALUE"""),"RENT")</f>
        <v>RENT</v>
      </c>
      <c r="C1038" s="122" t="str">
        <f>IFERROR(__xludf.DUMMYFUNCTION("""COMPUTED_VALUE"""),"RentRight faces weaker demand and cautious investor sentiment.")</f>
        <v>RentRight faces weaker demand and cautious investor sentiment.</v>
      </c>
      <c r="D1038" s="122" t="str">
        <f>IFERROR(__xludf.DUMMYFUNCTION("""COMPUTED_VALUE"""),"Investors are watching RentRight closely as demand weakens.")</f>
        <v>Investors are watching RentRight closely as demand weakens.</v>
      </c>
      <c r="E1038" s="122" t="str">
        <f>IFERROR(__xludf.DUMMYFUNCTION("""COMPUTED_VALUE"""),"Negative")</f>
        <v>Negative</v>
      </c>
      <c r="F1038" s="122">
        <f>IFERROR(__xludf.DUMMYFUNCTION("""COMPUTED_VALUE"""),-0.015)</f>
        <v>-0.015</v>
      </c>
      <c r="G1038" s="122">
        <f>IFERROR(__xludf.DUMMYFUNCTION("""COMPUTED_VALUE"""),0.75)</f>
        <v>0.75</v>
      </c>
      <c r="H1038" s="122" t="str">
        <f>IFERROR(__xludf.DUMMYFUNCTION("""COMPUTED_VALUE"""),"Active")</f>
        <v>Active</v>
      </c>
    </row>
    <row r="1039">
      <c r="A1039" s="131">
        <f>IFERROR(__xludf.DUMMYFUNCTION("""COMPUTED_VALUE"""),46178.33137731482)</f>
        <v>46178.33138</v>
      </c>
      <c r="B1039" s="122" t="str">
        <f>IFERROR(__xludf.DUMMYFUNCTION("""COMPUTED_VALUE"""),"MALL")</f>
        <v>MALL</v>
      </c>
      <c r="C1039" s="122" t="str">
        <f>IFERROR(__xludf.DUMMYFUNCTION("""COMPUTED_VALUE"""),"MegaMall faces weaker demand and cautious investor sentiment.")</f>
        <v>MegaMall faces weaker demand and cautious investor sentiment.</v>
      </c>
      <c r="D1039" s="122" t="str">
        <f>IFERROR(__xludf.DUMMYFUNCTION("""COMPUTED_VALUE"""),"Investors are watching MegaMall closely as demand weakens.")</f>
        <v>Investors are watching MegaMall closely as demand weakens.</v>
      </c>
      <c r="E1039" s="122" t="str">
        <f>IFERROR(__xludf.DUMMYFUNCTION("""COMPUTED_VALUE"""),"Negative")</f>
        <v>Negative</v>
      </c>
      <c r="F1039" s="122">
        <f>IFERROR(__xludf.DUMMYFUNCTION("""COMPUTED_VALUE"""),-0.015)</f>
        <v>-0.015</v>
      </c>
      <c r="G1039" s="122">
        <f>IFERROR(__xludf.DUMMYFUNCTION("""COMPUTED_VALUE"""),0.75)</f>
        <v>0.75</v>
      </c>
      <c r="H1039" s="122" t="str">
        <f>IFERROR(__xludf.DUMMYFUNCTION("""COMPUTED_VALUE"""),"Active")</f>
        <v>Active</v>
      </c>
    </row>
    <row r="1040">
      <c r="A1040" s="131">
        <f>IFERROR(__xludf.DUMMYFUNCTION("""COMPUTED_VALUE"""),46178.33138888889)</f>
        <v>46178.33139</v>
      </c>
      <c r="B1040" s="122" t="str">
        <f>IFERROR(__xludf.DUMMYFUNCTION("""COMPUTED_VALUE"""),"HOTL")</f>
        <v>HOTL</v>
      </c>
      <c r="C1040" s="122" t="str">
        <f>IFERROR(__xludf.DUMMYFUNCTION("""COMPUTED_VALUE"""),"HotelHive remains stable as the Real Estate market shows normal activity.")</f>
        <v>HotelHive remains stable as the Real Estate market shows normal activity.</v>
      </c>
      <c r="D1040" s="122" t="str">
        <f>IFERROR(__xludf.DUMMYFUNCTION("""COMPUTED_VALUE"""),"HotelHive appears steady with no major changes reported.")</f>
        <v>HotelHive appears steady with no major changes reported.</v>
      </c>
      <c r="E1040" s="122" t="str">
        <f>IFERROR(__xludf.DUMMYFUNCTION("""COMPUTED_VALUE"""),"Neutral")</f>
        <v>Neutral</v>
      </c>
      <c r="F1040" s="122">
        <f>IFERROR(__xludf.DUMMYFUNCTION("""COMPUTED_VALUE"""),0.0)</f>
        <v>0</v>
      </c>
      <c r="G1040" s="122">
        <f>IFERROR(__xludf.DUMMYFUNCTION("""COMPUTED_VALUE"""),0.0)</f>
        <v>0</v>
      </c>
      <c r="H1040" s="122" t="str">
        <f>IFERROR(__xludf.DUMMYFUNCTION("""COMPUTED_VALUE"""),"Active")</f>
        <v>Active</v>
      </c>
    </row>
    <row r="1041">
      <c r="A1041" s="131">
        <f>IFERROR(__xludf.DUMMYFUNCTION("""COMPUTED_VALUE"""),46178.33138888889)</f>
        <v>46178.33139</v>
      </c>
      <c r="B1041" s="122" t="str">
        <f>IFERROR(__xludf.DUMMYFUNCTION("""COMPUTED_VALUE"""),"LAND")</f>
        <v>LAND</v>
      </c>
      <c r="C1041" s="122" t="str">
        <f>IFERROR(__xludf.DUMMYFUNCTION("""COMPUTED_VALUE"""),"LandLink faces weaker demand and cautious investor sentiment.")</f>
        <v>LandLink faces weaker demand and cautious investor sentiment.</v>
      </c>
      <c r="D1041" s="122" t="str">
        <f>IFERROR(__xludf.DUMMYFUNCTION("""COMPUTED_VALUE"""),"Investors are watching LandLink closely as demand weakens.")</f>
        <v>Investors are watching LandLink closely as demand weakens.</v>
      </c>
      <c r="E1041" s="122" t="str">
        <f>IFERROR(__xludf.DUMMYFUNCTION("""COMPUTED_VALUE"""),"Negative")</f>
        <v>Negative</v>
      </c>
      <c r="F1041" s="122">
        <f>IFERROR(__xludf.DUMMYFUNCTION("""COMPUTED_VALUE"""),-0.015)</f>
        <v>-0.015</v>
      </c>
      <c r="G1041" s="122">
        <f>IFERROR(__xludf.DUMMYFUNCTION("""COMPUTED_VALUE"""),0.75)</f>
        <v>0.75</v>
      </c>
      <c r="H1041" s="122" t="str">
        <f>IFERROR(__xludf.DUMMYFUNCTION("""COMPUTED_VALUE"""),"Active")</f>
        <v>Active</v>
      </c>
    </row>
    <row r="1042">
      <c r="A1042" s="131">
        <f>IFERROR(__xludf.DUMMYFUNCTION("""COMPUTED_VALUE"""),46178.331400462965)</f>
        <v>46178.3314</v>
      </c>
      <c r="B1042" s="122" t="str">
        <f>IFERROR(__xludf.DUMMYFUNCTION("""COMPUTED_VALUE"""),"CARS")</f>
        <v>CARS</v>
      </c>
      <c r="C1042" s="122" t="str">
        <f>IFERROR(__xludf.DUMMYFUNCTION("""COMPUTED_VALUE"""),"AutoArena remains stable as the Automotive market shows normal activity.")</f>
        <v>AutoArena remains stable as the Automotive market shows normal activity.</v>
      </c>
      <c r="D1042" s="122" t="str">
        <f>IFERROR(__xludf.DUMMYFUNCTION("""COMPUTED_VALUE"""),"AutoArena appears steady with no major changes reported.")</f>
        <v>AutoArena appears steady with no major changes reported.</v>
      </c>
      <c r="E1042" s="122" t="str">
        <f>IFERROR(__xludf.DUMMYFUNCTION("""COMPUTED_VALUE"""),"Neutral")</f>
        <v>Neutral</v>
      </c>
      <c r="F1042" s="122">
        <f>IFERROR(__xludf.DUMMYFUNCTION("""COMPUTED_VALUE"""),0.0)</f>
        <v>0</v>
      </c>
      <c r="G1042" s="122">
        <f>IFERROR(__xludf.DUMMYFUNCTION("""COMPUTED_VALUE"""),0.0)</f>
        <v>0</v>
      </c>
      <c r="H1042" s="122" t="str">
        <f>IFERROR(__xludf.DUMMYFUNCTION("""COMPUTED_VALUE"""),"Active")</f>
        <v>Active</v>
      </c>
    </row>
    <row r="1043">
      <c r="A1043" s="131">
        <f>IFERROR(__xludf.DUMMYFUNCTION("""COMPUTED_VALUE"""),46178.331412037034)</f>
        <v>46178.33141</v>
      </c>
      <c r="B1043" s="122" t="str">
        <f>IFERROR(__xludf.DUMMYFUNCTION("""COMPUTED_VALUE"""),"EVGO")</f>
        <v>EVGO</v>
      </c>
      <c r="C1043" s="122" t="str">
        <f>IFERROR(__xludf.DUMMYFUNCTION("""COMPUTED_VALUE"""),"EVGo Motors reports steady growth and improved market confidence.")</f>
        <v>EVGo Motors reports steady growth and improved market confidence.</v>
      </c>
      <c r="D1043" s="122" t="str">
        <f>IFERROR(__xludf.DUMMYFUNCTION("""COMPUTED_VALUE"""),"EVGo Motors continues to show positive momentum with moderate risk.")</f>
        <v>EVGo Motors continues to show positive momentum with moderate risk.</v>
      </c>
      <c r="E1043" s="122" t="str">
        <f>IFERROR(__xludf.DUMMYFUNCTION("""COMPUTED_VALUE"""),"Positive")</f>
        <v>Positive</v>
      </c>
      <c r="F1043" s="122">
        <f>IFERROR(__xludf.DUMMYFUNCTION("""COMPUTED_VALUE"""),0.015)</f>
        <v>0.015</v>
      </c>
      <c r="G1043" s="122">
        <f>IFERROR(__xludf.DUMMYFUNCTION("""COMPUTED_VALUE"""),0.5)</f>
        <v>0.5</v>
      </c>
      <c r="H1043" s="122" t="str">
        <f>IFERROR(__xludf.DUMMYFUNCTION("""COMPUTED_VALUE"""),"Active")</f>
        <v>Active</v>
      </c>
    </row>
    <row r="1044">
      <c r="A1044" s="131">
        <f>IFERROR(__xludf.DUMMYFUNCTION("""COMPUTED_VALUE"""),46178.33143518519)</f>
        <v>46178.33144</v>
      </c>
      <c r="B1044" s="122" t="str">
        <f>IFERROR(__xludf.DUMMYFUNCTION("""COMPUTED_VALUE"""),"TIRE")</f>
        <v>TIRE</v>
      </c>
      <c r="C1044" s="122" t="str">
        <f>IFERROR(__xludf.DUMMYFUNCTION("""COMPUTED_VALUE"""),"TireTown remains stable as the Automotive market shows normal activity.")</f>
        <v>TireTown remains stable as the Automotive market shows normal activity.</v>
      </c>
      <c r="D1044" s="122" t="str">
        <f>IFERROR(__xludf.DUMMYFUNCTION("""COMPUTED_VALUE"""),"TireTown appears steady with no major changes reported.")</f>
        <v>TireTown appears steady with no major changes reported.</v>
      </c>
      <c r="E1044" s="122" t="str">
        <f>IFERROR(__xludf.DUMMYFUNCTION("""COMPUTED_VALUE"""),"Neutral")</f>
        <v>Neutral</v>
      </c>
      <c r="F1044" s="122">
        <f>IFERROR(__xludf.DUMMYFUNCTION("""COMPUTED_VALUE"""),0.0)</f>
        <v>0</v>
      </c>
      <c r="G1044" s="122">
        <f>IFERROR(__xludf.DUMMYFUNCTION("""COMPUTED_VALUE"""),0.0)</f>
        <v>0</v>
      </c>
      <c r="H1044" s="122" t="str">
        <f>IFERROR(__xludf.DUMMYFUNCTION("""COMPUTED_VALUE"""),"Active")</f>
        <v>Active</v>
      </c>
    </row>
    <row r="1045">
      <c r="A1045" s="131">
        <f>IFERROR(__xludf.DUMMYFUNCTION("""COMPUTED_VALUE"""),46178.33143518519)</f>
        <v>46178.33144</v>
      </c>
      <c r="B1045" s="122" t="str">
        <f>IFERROR(__xludf.DUMMYFUNCTION("""COMPUTED_VALUE"""),"BIKE")</f>
        <v>BIKE</v>
      </c>
      <c r="C1045" s="122" t="str">
        <f>IFERROR(__xludf.DUMMYFUNCTION("""COMPUTED_VALUE"""),"BikeBox faces weaker demand and cautious investor sentiment.")</f>
        <v>BikeBox faces weaker demand and cautious investor sentiment.</v>
      </c>
      <c r="D1045" s="122" t="str">
        <f>IFERROR(__xludf.DUMMYFUNCTION("""COMPUTED_VALUE"""),"Investors are watching BikeBox closely as demand weakens.")</f>
        <v>Investors are watching BikeBox closely as demand weakens.</v>
      </c>
      <c r="E1045" s="122" t="str">
        <f>IFERROR(__xludf.DUMMYFUNCTION("""COMPUTED_VALUE"""),"Negative")</f>
        <v>Negative</v>
      </c>
      <c r="F1045" s="122">
        <f>IFERROR(__xludf.DUMMYFUNCTION("""COMPUTED_VALUE"""),-0.015)</f>
        <v>-0.015</v>
      </c>
      <c r="G1045" s="122">
        <f>IFERROR(__xludf.DUMMYFUNCTION("""COMPUTED_VALUE"""),0.75)</f>
        <v>0.75</v>
      </c>
      <c r="H1045" s="122" t="str">
        <f>IFERROR(__xludf.DUMMYFUNCTION("""COMPUTED_VALUE"""),"Active")</f>
        <v>Active</v>
      </c>
    </row>
    <row r="1046">
      <c r="A1046" s="131">
        <f>IFERROR(__xludf.DUMMYFUNCTION("""COMPUTED_VALUE"""),46178.33144675926)</f>
        <v>46178.33145</v>
      </c>
      <c r="B1046" s="122" t="str">
        <f>IFERROR(__xludf.DUMMYFUNCTION("""COMPUTED_VALUE"""),"WASH")</f>
        <v>WASH</v>
      </c>
      <c r="C1046" s="122" t="str">
        <f>IFERROR(__xludf.DUMMYFUNCTION("""COMPUTED_VALUE"""),"CarWash Co remains stable as the Automotive market shows normal activity.")</f>
        <v>CarWash Co remains stable as the Automotive market shows normal activity.</v>
      </c>
      <c r="D1046" s="122" t="str">
        <f>IFERROR(__xludf.DUMMYFUNCTION("""COMPUTED_VALUE"""),"CarWash Co appears steady with no major changes reported.")</f>
        <v>CarWash Co appears steady with no major changes reported.</v>
      </c>
      <c r="E1046" s="122" t="str">
        <f>IFERROR(__xludf.DUMMYFUNCTION("""COMPUTED_VALUE"""),"Neutral")</f>
        <v>Neutral</v>
      </c>
      <c r="F1046" s="122">
        <f>IFERROR(__xludf.DUMMYFUNCTION("""COMPUTED_VALUE"""),0.0)</f>
        <v>0</v>
      </c>
      <c r="G1046" s="122">
        <f>IFERROR(__xludf.DUMMYFUNCTION("""COMPUTED_VALUE"""),0.0)</f>
        <v>0</v>
      </c>
      <c r="H1046" s="122" t="str">
        <f>IFERROR(__xludf.DUMMYFUNCTION("""COMPUTED_VALUE"""),"Active")</f>
        <v>Active</v>
      </c>
    </row>
    <row r="1047">
      <c r="A1047" s="131">
        <f>IFERROR(__xludf.DUMMYFUNCTION("""COMPUTED_VALUE"""),46178.331458333334)</f>
        <v>46178.33146</v>
      </c>
      <c r="B1047" s="122" t="str">
        <f>IFERROR(__xludf.DUMMYFUNCTION("""COMPUTED_VALUE"""),"GBND")</f>
        <v>GBND</v>
      </c>
      <c r="C1047" s="122" t="str">
        <f>IFERROR(__xludf.DUMMYFUNCTION("""COMPUTED_VALUE"""),"Classroom Government Bond remains steady as investors seek stability.")</f>
        <v>Classroom Government Bond remains steady as investors seek stability.</v>
      </c>
      <c r="D104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047" s="122" t="str">
        <f>IFERROR(__xludf.DUMMYFUNCTION("""COMPUTED_VALUE"""),"Neutral")</f>
        <v>Neutral</v>
      </c>
      <c r="F1047" s="122">
        <f>IFERROR(__xludf.DUMMYFUNCTION("""COMPUTED_VALUE"""),0.0)</f>
        <v>0</v>
      </c>
      <c r="G1047" s="122">
        <f>IFERROR(__xludf.DUMMYFUNCTION("""COMPUTED_VALUE"""),0.0)</f>
        <v>0</v>
      </c>
      <c r="H1047" s="122" t="str">
        <f>IFERROR(__xludf.DUMMYFUNCTION("""COMPUTED_VALUE"""),"Active")</f>
        <v>Active</v>
      </c>
    </row>
    <row r="1048">
      <c r="A1048" s="131">
        <f>IFERROR(__xludf.DUMMYFUNCTION("""COMPUTED_VALUE"""),46178.33146990741)</f>
        <v>46178.33147</v>
      </c>
      <c r="B1048" s="122" t="str">
        <f>IFERROR(__xludf.DUMMYFUNCTION("""COMPUTED_VALUE"""),"SBND")</f>
        <v>SBND</v>
      </c>
      <c r="C1048" s="122" t="str">
        <f>IFERROR(__xludf.DUMMYFUNCTION("""COMPUTED_VALUE"""),"School Savings Bond remains steady as investors seek stability.")</f>
        <v>School Savings Bond remains steady as investors seek stability.</v>
      </c>
      <c r="D104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048" s="122" t="str">
        <f>IFERROR(__xludf.DUMMYFUNCTION("""COMPUTED_VALUE"""),"Neutral")</f>
        <v>Neutral</v>
      </c>
      <c r="F1048" s="122">
        <f>IFERROR(__xludf.DUMMYFUNCTION("""COMPUTED_VALUE"""),0.0)</f>
        <v>0</v>
      </c>
      <c r="G1048" s="122">
        <f>IFERROR(__xludf.DUMMYFUNCTION("""COMPUTED_VALUE"""),0.0)</f>
        <v>0</v>
      </c>
      <c r="H1048" s="122" t="str">
        <f>IFERROR(__xludf.DUMMYFUNCTION("""COMPUTED_VALUE"""),"Active")</f>
        <v>Active</v>
      </c>
    </row>
    <row r="1049">
      <c r="A1049" s="131">
        <f>IFERROR(__xludf.DUMMYFUNCTION("""COMPUTED_VALUE"""),46178.33148148148)</f>
        <v>46178.33148</v>
      </c>
      <c r="B1049" s="122" t="str">
        <f>IFERROR(__xludf.DUMMYFUNCTION("""COMPUTED_VALUE"""),"CBND")</f>
        <v>CBND</v>
      </c>
      <c r="C1049" s="122" t="str">
        <f>IFERROR(__xludf.DUMMYFUNCTION("""COMPUTED_VALUE"""),"Corporate Classroom Bond remains steady as investors seek stability.")</f>
        <v>Corporate Classroom Bond remains steady as investors seek stability.</v>
      </c>
      <c r="D104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049" s="122" t="str">
        <f>IFERROR(__xludf.DUMMYFUNCTION("""COMPUTED_VALUE"""),"Neutral")</f>
        <v>Neutral</v>
      </c>
      <c r="F1049" s="122">
        <f>IFERROR(__xludf.DUMMYFUNCTION("""COMPUTED_VALUE"""),0.0)</f>
        <v>0</v>
      </c>
      <c r="G1049" s="122">
        <f>IFERROR(__xludf.DUMMYFUNCTION("""COMPUTED_VALUE"""),0.0)</f>
        <v>0</v>
      </c>
      <c r="H1049" s="122" t="str">
        <f>IFERROR(__xludf.DUMMYFUNCTION("""COMPUTED_VALUE"""),"Active")</f>
        <v>Active</v>
      </c>
    </row>
    <row r="1050">
      <c r="A1050" s="131">
        <f>IFERROR(__xludf.DUMMYFUNCTION("""COMPUTED_VALUE"""),46178.33150462963)</f>
        <v>46178.3315</v>
      </c>
      <c r="B1050" s="122" t="str">
        <f>IFERROR(__xludf.DUMMYFUNCTION("""COMPUTED_VALUE"""),"TBIL")</f>
        <v>TBIL</v>
      </c>
      <c r="C1050" s="122" t="str">
        <f>IFERROR(__xludf.DUMMYFUNCTION("""COMPUTED_VALUE"""),"Treasury Bill remains steady as investors seek stability.")</f>
        <v>Treasury Bill remains steady as investors seek stability.</v>
      </c>
      <c r="D105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050" s="122" t="str">
        <f>IFERROR(__xludf.DUMMYFUNCTION("""COMPUTED_VALUE"""),"Neutral")</f>
        <v>Neutral</v>
      </c>
      <c r="F1050" s="122">
        <f>IFERROR(__xludf.DUMMYFUNCTION("""COMPUTED_VALUE"""),0.0)</f>
        <v>0</v>
      </c>
      <c r="G1050" s="122">
        <f>IFERROR(__xludf.DUMMYFUNCTION("""COMPUTED_VALUE"""),0.0)</f>
        <v>0</v>
      </c>
      <c r="H1050" s="122" t="str">
        <f>IFERROR(__xludf.DUMMYFUNCTION("""COMPUTED_VALUE"""),"Active")</f>
        <v>Active</v>
      </c>
    </row>
    <row r="1051">
      <c r="A1051" s="131">
        <f>IFERROR(__xludf.DUMMYFUNCTION("""COMPUTED_VALUE"""),46178.33150462963)</f>
        <v>46178.3315</v>
      </c>
      <c r="B1051" s="122" t="str">
        <f>IFERROR(__xludf.DUMMYFUNCTION("""COMPUTED_VALUE"""),"IBND")</f>
        <v>IBND</v>
      </c>
      <c r="C1051" s="122" t="str">
        <f>IFERROR(__xludf.DUMMYFUNCTION("""COMPUTED_VALUE"""),"Inflation Protected Bond remains steady as investors seek stability.")</f>
        <v>Inflation Protected Bond remains steady as investors seek stability.</v>
      </c>
      <c r="D105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051" s="122" t="str">
        <f>IFERROR(__xludf.DUMMYFUNCTION("""COMPUTED_VALUE"""),"Neutral")</f>
        <v>Neutral</v>
      </c>
      <c r="F1051" s="122">
        <f>IFERROR(__xludf.DUMMYFUNCTION("""COMPUTED_VALUE"""),0.0)</f>
        <v>0</v>
      </c>
      <c r="G1051" s="122">
        <f>IFERROR(__xludf.DUMMYFUNCTION("""COMPUTED_VALUE"""),0.0)</f>
        <v>0</v>
      </c>
      <c r="H1051" s="122" t="str">
        <f>IFERROR(__xludf.DUMMYFUNCTION("""COMPUTED_VALUE"""),"Active")</f>
        <v>Active</v>
      </c>
    </row>
    <row r="1052">
      <c r="A1052" s="131">
        <f>IFERROR(__xludf.DUMMYFUNCTION("""COMPUTED_VALUE"""),46179.3175462963)</f>
        <v>46179.31755</v>
      </c>
      <c r="B1052" s="122" t="str">
        <f>IFERROR(__xludf.DUMMYFUNCTION("""COMPUTED_VALUE"""),"WIND")</f>
        <v>WIND</v>
      </c>
      <c r="C1052" s="122" t="str">
        <f>IFERROR(__xludf.DUMMYFUNCTION("""COMPUTED_VALUE"""),"WindWorks releases earnings report: Miss profit, guidance Lowered.")</f>
        <v>WindWorks releases earnings report: Miss profit, guidance Lowered.</v>
      </c>
      <c r="D1052" s="122" t="str">
        <f>IFERROR(__xludf.DUMMYFUNCTION("""COMPUTED_VALUE"""),"Earnings report: revenue Miss, profit Miss, debt Worse, guidance Lowered.")</f>
        <v>Earnings report: revenue Miss, profit Miss, debt Worse, guidance Lowered.</v>
      </c>
      <c r="E1052" s="122" t="str">
        <f>IFERROR(__xludf.DUMMYFUNCTION("""COMPUTED_VALUE"""),"Negative")</f>
        <v>Negative</v>
      </c>
      <c r="F1052" s="122">
        <f>IFERROR(__xludf.DUMMYFUNCTION("""COMPUTED_VALUE"""),-0.04256652376138429)</f>
        <v>-0.04256652376</v>
      </c>
      <c r="G1052" s="122">
        <f>IFERROR(__xludf.DUMMYFUNCTION("""COMPUTED_VALUE"""),1.0641630940346072)</f>
        <v>1.064163094</v>
      </c>
      <c r="H1052" s="122" t="str">
        <f>IFERROR(__xludf.DUMMYFUNCTION("""COMPUTED_VALUE"""),"Active")</f>
        <v>Active</v>
      </c>
    </row>
    <row r="1053">
      <c r="A1053" s="131">
        <f>IFERROR(__xludf.DUMMYFUNCTION("""COMPUTED_VALUE"""),46179.31760416667)</f>
        <v>46179.3176</v>
      </c>
      <c r="B1053" s="122" t="str">
        <f>IFERROR(__xludf.DUMMYFUNCTION("""COMPUTED_VALUE"""),"BIKE")</f>
        <v>BIKE</v>
      </c>
      <c r="C1053" s="122" t="str">
        <f>IFERROR(__xludf.DUMMYFUNCTION("""COMPUTED_VALUE"""),"BikeBox releases earnings report: Inline profit, guidance Maintained.")</f>
        <v>BikeBox releases earnings report: Inline profit, guidance Maintained.</v>
      </c>
      <c r="D1053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053" s="122" t="str">
        <f>IFERROR(__xludf.DUMMYFUNCTION("""COMPUTED_VALUE"""),"Neutral")</f>
        <v>Neutral</v>
      </c>
      <c r="F1053" s="122">
        <f>IFERROR(__xludf.DUMMYFUNCTION("""COMPUTED_VALUE"""),-0.007833720750058606)</f>
        <v>-0.00783372075</v>
      </c>
      <c r="G1053" s="122">
        <f>IFERROR(__xludf.DUMMYFUNCTION("""COMPUTED_VALUE"""),0.19584301875146515)</f>
        <v>0.1958430188</v>
      </c>
      <c r="H1053" s="122" t="str">
        <f>IFERROR(__xludf.DUMMYFUNCTION("""COMPUTED_VALUE"""),"Active")</f>
        <v>Active</v>
      </c>
    </row>
    <row r="1054">
      <c r="A1054" s="131">
        <f>IFERROR(__xludf.DUMMYFUNCTION("""COMPUTED_VALUE"""),46179.31765046297)</f>
        <v>46179.31765</v>
      </c>
      <c r="B1054" s="122" t="str">
        <f>IFERROR(__xludf.DUMMYFUNCTION("""COMPUTED_VALUE"""),"SOLR")</f>
        <v>SOLR</v>
      </c>
      <c r="C1054" s="122" t="str">
        <f>IFERROR(__xludf.DUMMYFUNCTION("""COMPUTED_VALUE"""),"SolarSpark releases earnings report: Beat profit, guidance Raised.")</f>
        <v>SolarSpark releases earnings report: Beat profit, guidance Raised.</v>
      </c>
      <c r="D105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054" s="122" t="str">
        <f>IFERROR(__xludf.DUMMYFUNCTION("""COMPUTED_VALUE"""),"Positive")</f>
        <v>Positive</v>
      </c>
      <c r="F1054" s="122">
        <f>IFERROR(__xludf.DUMMYFUNCTION("""COMPUTED_VALUE"""),0.02853081362678668)</f>
        <v>0.02853081363</v>
      </c>
      <c r="G1054" s="122">
        <f>IFERROR(__xludf.DUMMYFUNCTION("""COMPUTED_VALUE"""),0.713270340669667)</f>
        <v>0.7132703407</v>
      </c>
      <c r="H1054" s="122" t="str">
        <f>IFERROR(__xludf.DUMMYFUNCTION("""COMPUTED_VALUE"""),"Active")</f>
        <v>Active</v>
      </c>
    </row>
    <row r="1055">
      <c r="A1055" s="131">
        <f>IFERROR(__xludf.DUMMYFUNCTION("""COMPUTED_VALUE"""),46179.317708333336)</f>
        <v>46179.31771</v>
      </c>
      <c r="B1055" s="122" t="str">
        <f>IFERROR(__xludf.DUMMYFUNCTION("""COMPUTED_VALUE"""),"COLA")</f>
        <v>COLA</v>
      </c>
      <c r="C1055" s="122" t="str">
        <f>IFERROR(__xludf.DUMMYFUNCTION("""COMPUTED_VALUE"""),"K-Pop Cola releases earnings report: Inline profit, guidance Maintained.")</f>
        <v>K-Pop Cola releases earnings report: Inline profit, guidance Maintained.</v>
      </c>
      <c r="D1055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055" s="122" t="str">
        <f>IFERROR(__xludf.DUMMYFUNCTION("""COMPUTED_VALUE"""),"Neutral")</f>
        <v>Neutral</v>
      </c>
      <c r="F1055" s="122">
        <f>IFERROR(__xludf.DUMMYFUNCTION("""COMPUTED_VALUE"""),-0.00439033497298825)</f>
        <v>-0.004390334973</v>
      </c>
      <c r="G1055" s="122">
        <f>IFERROR(__xludf.DUMMYFUNCTION("""COMPUTED_VALUE"""),0.10975837432470625)</f>
        <v>0.1097583743</v>
      </c>
      <c r="H1055" s="122" t="str">
        <f>IFERROR(__xludf.DUMMYFUNCTION("""COMPUTED_VALUE"""),"Active")</f>
        <v>Active</v>
      </c>
    </row>
    <row r="1056">
      <c r="A1056" s="131">
        <f>IFERROR(__xludf.DUMMYFUNCTION("""COMPUTED_VALUE"""),46179.31775462963)</f>
        <v>46179.31775</v>
      </c>
      <c r="B1056" s="122" t="str">
        <f>IFERROR(__xludf.DUMMYFUNCTION("""COMPUTED_VALUE"""),"IDOL")</f>
        <v>IDOL</v>
      </c>
      <c r="C1056" s="122" t="str">
        <f>IFERROR(__xludf.DUMMYFUNCTION("""COMPUTED_VALUE"""),"Idol Agency releases earnings report: Beat profit, guidance Raised.")</f>
        <v>Idol Agency releases earnings report: Beat profit, guidance Raised.</v>
      </c>
      <c r="D105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056" s="122" t="str">
        <f>IFERROR(__xludf.DUMMYFUNCTION("""COMPUTED_VALUE"""),"Positive")</f>
        <v>Positive</v>
      </c>
      <c r="F1056" s="122">
        <f>IFERROR(__xludf.DUMMYFUNCTION("""COMPUTED_VALUE"""),0.049332884505859965)</f>
        <v>0.04933288451</v>
      </c>
      <c r="G1056" s="122">
        <f>IFERROR(__xludf.DUMMYFUNCTION("""COMPUTED_VALUE"""),1.233322112646499)</f>
        <v>1.233322113</v>
      </c>
      <c r="H1056" s="122" t="str">
        <f>IFERROR(__xludf.DUMMYFUNCTION("""COMPUTED_VALUE"""),"Active")</f>
        <v>Active</v>
      </c>
    </row>
    <row r="1057">
      <c r="A1057" s="131">
        <f>IFERROR(__xludf.DUMMYFUNCTION("""COMPUTED_VALUE"""),46179.31778935185)</f>
        <v>46179.31779</v>
      </c>
      <c r="B1057" s="122" t="str">
        <f>IFERROR(__xludf.DUMMYFUNCTION("""COMPUTED_VALUE"""),"DRIP")</f>
        <v>DRIP</v>
      </c>
      <c r="C1057" s="122" t="str">
        <f>IFERROR(__xludf.DUMMYFUNCTION("""COMPUTED_VALUE"""),"Drip Streetwear releases earnings report: Miss profit, guidance Maintained.")</f>
        <v>Drip Streetwear releases earnings report: Miss profit, guidance Maintained.</v>
      </c>
      <c r="D1057" s="122" t="str">
        <f>IFERROR(__xludf.DUMMYFUNCTION("""COMPUTED_VALUE"""),"Earnings report: revenue Miss, profit Miss, debt Stable, guidance Maintained.")</f>
        <v>Earnings report: revenue Miss, profit Miss, debt Stable, guidance Maintained.</v>
      </c>
      <c r="E1057" s="122" t="str">
        <f>IFERROR(__xludf.DUMMYFUNCTION("""COMPUTED_VALUE"""),"Negative")</f>
        <v>Negative</v>
      </c>
      <c r="F1057" s="122">
        <f>IFERROR(__xludf.DUMMYFUNCTION("""COMPUTED_VALUE"""),-0.017995823419972096)</f>
        <v>-0.01799582342</v>
      </c>
      <c r="G1057" s="122">
        <f>IFERROR(__xludf.DUMMYFUNCTION("""COMPUTED_VALUE"""),0.4498955854993024)</f>
        <v>0.4498955855</v>
      </c>
      <c r="H1057" s="122" t="str">
        <f>IFERROR(__xludf.DUMMYFUNCTION("""COMPUTED_VALUE"""),"Active")</f>
        <v>Active</v>
      </c>
    </row>
    <row r="1058">
      <c r="A1058" s="131">
        <f>IFERROR(__xludf.DUMMYFUNCTION("""COMPUTED_VALUE"""),46179.31784722222)</f>
        <v>46179.31785</v>
      </c>
      <c r="B1058" s="122" t="str">
        <f>IFERROR(__xludf.DUMMYFUNCTION("""COMPUTED_VALUE"""),"FAST")</f>
        <v>FAST</v>
      </c>
      <c r="C1058" s="122" t="str">
        <f>IFERROR(__xludf.DUMMYFUNCTION("""COMPUTED_VALUE"""),"Flash Logistics releases earnings report: Miss profit, guidance Maintained.")</f>
        <v>Flash Logistics releases earnings report: Miss profit, guidance Maintained.</v>
      </c>
      <c r="D1058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058" s="122" t="str">
        <f>IFERROR(__xludf.DUMMYFUNCTION("""COMPUTED_VALUE"""),"Negative")</f>
        <v>Negative</v>
      </c>
      <c r="F1058" s="122">
        <f>IFERROR(__xludf.DUMMYFUNCTION("""COMPUTED_VALUE"""),-0.012630958763193392)</f>
        <v>-0.01263095876</v>
      </c>
      <c r="G1058" s="122">
        <f>IFERROR(__xludf.DUMMYFUNCTION("""COMPUTED_VALUE"""),0.3157739690798348)</f>
        <v>0.3157739691</v>
      </c>
      <c r="H1058" s="122" t="str">
        <f>IFERROR(__xludf.DUMMYFUNCTION("""COMPUTED_VALUE"""),"Active")</f>
        <v>Active</v>
      </c>
    </row>
    <row r="1059">
      <c r="A1059" s="131">
        <f>IFERROR(__xludf.DUMMYFUNCTION("""COMPUTED_VALUE"""),46179.317881944444)</f>
        <v>46179.31788</v>
      </c>
      <c r="B1059" s="122" t="str">
        <f>IFERROR(__xludf.DUMMYFUNCTION("""COMPUTED_VALUE"""),"MEME")</f>
        <v>MEME</v>
      </c>
      <c r="C1059" s="122" t="str">
        <f>IFERROR(__xludf.DUMMYFUNCTION("""COMPUTED_VALUE"""),"Meme Media releases earnings report: Inline profit, guidance Maintained.")</f>
        <v>Meme Media releases earnings report: Inline profit, guidance Maintained.</v>
      </c>
      <c r="D1059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059" s="122" t="str">
        <f>IFERROR(__xludf.DUMMYFUNCTION("""COMPUTED_VALUE"""),"Neutral")</f>
        <v>Neutral</v>
      </c>
      <c r="F1059" s="122">
        <f>IFERROR(__xludf.DUMMYFUNCTION("""COMPUTED_VALUE"""),-0.0066549911802245764)</f>
        <v>-0.00665499118</v>
      </c>
      <c r="G1059" s="122">
        <f>IFERROR(__xludf.DUMMYFUNCTION("""COMPUTED_VALUE"""),0.1663747795056144)</f>
        <v>0.1663747795</v>
      </c>
      <c r="H1059" s="122" t="str">
        <f>IFERROR(__xludf.DUMMYFUNCTION("""COMPUTED_VALUE"""),"Active")</f>
        <v>Active</v>
      </c>
    </row>
    <row r="1060">
      <c r="A1060" s="131">
        <f>IFERROR(__xludf.DUMMYFUNCTION("""COMPUTED_VALUE"""),46179.317928240744)</f>
        <v>46179.31793</v>
      </c>
      <c r="B1060" s="122" t="str">
        <f>IFERROR(__xludf.DUMMYFUNCTION("""COMPUTED_VALUE"""),"STRM")</f>
        <v>STRM</v>
      </c>
      <c r="C1060" s="122" t="str">
        <f>IFERROR(__xludf.DUMMYFUNCTION("""COMPUTED_VALUE"""),"Streamly releases earnings report: Beat profit, guidance Raised.")</f>
        <v>Streamly releases earnings report: Beat profit, guidance Raised.</v>
      </c>
      <c r="D106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060" s="122" t="str">
        <f>IFERROR(__xludf.DUMMYFUNCTION("""COMPUTED_VALUE"""),"Positive")</f>
        <v>Positive</v>
      </c>
      <c r="F1060" s="122">
        <f>IFERROR(__xludf.DUMMYFUNCTION("""COMPUTED_VALUE"""),0.044533221102463716)</f>
        <v>0.0445332211</v>
      </c>
      <c r="G1060" s="122">
        <f>IFERROR(__xludf.DUMMYFUNCTION("""COMPUTED_VALUE"""),1.113330527561593)</f>
        <v>1.113330528</v>
      </c>
      <c r="H1060" s="122" t="str">
        <f>IFERROR(__xludf.DUMMYFUNCTION("""COMPUTED_VALUE"""),"Active")</f>
        <v>Active</v>
      </c>
    </row>
    <row r="1061">
      <c r="A1061" s="131">
        <f>IFERROR(__xludf.DUMMYFUNCTION("""COMPUTED_VALUE"""),46179.330983796295)</f>
        <v>46179.33098</v>
      </c>
      <c r="B1061" s="122" t="str">
        <f>IFERROR(__xludf.DUMMYFUNCTION("""COMPUTED_VALUE"""),"SNAX")</f>
        <v>SNAX</v>
      </c>
      <c r="C1061" s="122" t="str">
        <f>IFERROR(__xludf.DUMMYFUNCTION("""COMPUTED_VALUE"""),"MICA Snacks surges as demand rises across the Consumer Goods sector.")</f>
        <v>MICA Snacks surges as demand rises across the Consumer Goods sector.</v>
      </c>
      <c r="D1061" s="122" t="str">
        <f>IFERROR(__xludf.DUMMYFUNCTION("""COMPUTED_VALUE"""),"MICA Snacks is seeing strong demand, which may increase investor confidence.")</f>
        <v>MICA Snacks is seeing strong demand, which may increase investor confidence.</v>
      </c>
      <c r="E1061" s="122" t="str">
        <f>IFERROR(__xludf.DUMMYFUNCTION("""COMPUTED_VALUE"""),"Positive")</f>
        <v>Positive</v>
      </c>
      <c r="F1061" s="122">
        <f>IFERROR(__xludf.DUMMYFUNCTION("""COMPUTED_VALUE"""),0.03)</f>
        <v>0.03</v>
      </c>
      <c r="G1061" s="122">
        <f>IFERROR(__xludf.DUMMYFUNCTION("""COMPUTED_VALUE"""),1.0)</f>
        <v>1</v>
      </c>
      <c r="H1061" s="122" t="str">
        <f>IFERROR(__xludf.DUMMYFUNCTION("""COMPUTED_VALUE"""),"Active")</f>
        <v>Active</v>
      </c>
    </row>
    <row r="1062">
      <c r="A1062" s="131">
        <f>IFERROR(__xludf.DUMMYFUNCTION("""COMPUTED_VALUE"""),46179.33099537037)</f>
        <v>46179.331</v>
      </c>
      <c r="B1062" s="122" t="str">
        <f>IFERROR(__xludf.DUMMYFUNCTION("""COMPUTED_VALUE"""),"RAMN")</f>
        <v>RAMN</v>
      </c>
      <c r="C1062" s="122" t="str">
        <f>IFERROR(__xludf.DUMMYFUNCTION("""COMPUTED_VALUE"""),"Ramen Republic sees uncertain trading as investors react to mixed signals.")</f>
        <v>Ramen Republic sees uncertain trading as investors react to mixed signals.</v>
      </c>
      <c r="D1062" s="122" t="str">
        <f>IFERROR(__xludf.DUMMYFUNCTION("""COMPUTED_VALUE"""),"Ramen Republic may experience larger price swings as investors disagree on direction.")</f>
        <v>Ramen Republic may experience larger price swings as investors disagree on direction.</v>
      </c>
      <c r="E1062" s="122" t="str">
        <f>IFERROR(__xludf.DUMMYFUNCTION("""COMPUTED_VALUE"""),"Mixed")</f>
        <v>Mixed</v>
      </c>
      <c r="F1062" s="122">
        <f>IFERROR(__xludf.DUMMYFUNCTION("""COMPUTED_VALUE"""),-0.016406201896170168)</f>
        <v>-0.0164062019</v>
      </c>
      <c r="G1062" s="122">
        <f>IFERROR(__xludf.DUMMYFUNCTION("""COMPUTED_VALUE"""),1.5)</f>
        <v>1.5</v>
      </c>
      <c r="H1062" s="122" t="str">
        <f>IFERROR(__xludf.DUMMYFUNCTION("""COMPUTED_VALUE"""),"Active")</f>
        <v>Active</v>
      </c>
    </row>
    <row r="1063">
      <c r="A1063" s="131">
        <f>IFERROR(__xludf.DUMMYFUNCTION("""COMPUTED_VALUE"""),46179.33100694444)</f>
        <v>46179.33101</v>
      </c>
      <c r="B1063" s="122" t="str">
        <f>IFERROR(__xludf.DUMMYFUNCTION("""COMPUTED_VALUE"""),"COLA")</f>
        <v>COLA</v>
      </c>
      <c r="C1063" s="122" t="str">
        <f>IFERROR(__xludf.DUMMYFUNCTION("""COMPUTED_VALUE"""),"K-Pop Cola sees uncertain trading as investors react to mixed signals.")</f>
        <v>K-Pop Cola sees uncertain trading as investors react to mixed signals.</v>
      </c>
      <c r="D1063" s="122" t="str">
        <f>IFERROR(__xludf.DUMMYFUNCTION("""COMPUTED_VALUE"""),"K-Pop Cola may experience larger price swings as investors disagree on direction.")</f>
        <v>K-Pop Cola may experience larger price swings as investors disagree on direction.</v>
      </c>
      <c r="E1063" s="122" t="str">
        <f>IFERROR(__xludf.DUMMYFUNCTION("""COMPUTED_VALUE"""),"Mixed")</f>
        <v>Mixed</v>
      </c>
      <c r="F1063" s="122">
        <f>IFERROR(__xludf.DUMMYFUNCTION("""COMPUTED_VALUE"""),0.01921483717463932)</f>
        <v>0.01921483717</v>
      </c>
      <c r="G1063" s="122">
        <f>IFERROR(__xludf.DUMMYFUNCTION("""COMPUTED_VALUE"""),1.5)</f>
        <v>1.5</v>
      </c>
      <c r="H1063" s="122" t="str">
        <f>IFERROR(__xludf.DUMMYFUNCTION("""COMPUTED_VALUE"""),"Active")</f>
        <v>Active</v>
      </c>
    </row>
    <row r="1064">
      <c r="A1064" s="131">
        <f>IFERROR(__xludf.DUMMYFUNCTION("""COMPUTED_VALUE"""),46179.33101851852)</f>
        <v>46179.33102</v>
      </c>
      <c r="B1064" s="122" t="str">
        <f>IFERROR(__xludf.DUMMYFUNCTION("""COMPUTED_VALUE"""),"CHIP")</f>
        <v>CHIP</v>
      </c>
      <c r="C1064" s="122" t="str">
        <f>IFERROR(__xludf.DUMMYFUNCTION("""COMPUTED_VALUE"""),"Chip Empire surges as demand rises across the Consumer Goods sector.")</f>
        <v>Chip Empire surges as demand rises across the Consumer Goods sector.</v>
      </c>
      <c r="D1064" s="122" t="str">
        <f>IFERROR(__xludf.DUMMYFUNCTION("""COMPUTED_VALUE"""),"Chip Empire is seeing strong demand, which may increase investor confidence.")</f>
        <v>Chip Empire is seeing strong demand, which may increase investor confidence.</v>
      </c>
      <c r="E1064" s="122" t="str">
        <f>IFERROR(__xludf.DUMMYFUNCTION("""COMPUTED_VALUE"""),"Positive")</f>
        <v>Positive</v>
      </c>
      <c r="F1064" s="122">
        <f>IFERROR(__xludf.DUMMYFUNCTION("""COMPUTED_VALUE"""),0.03)</f>
        <v>0.03</v>
      </c>
      <c r="G1064" s="122">
        <f>IFERROR(__xludf.DUMMYFUNCTION("""COMPUTED_VALUE"""),1.0)</f>
        <v>1</v>
      </c>
      <c r="H1064" s="122" t="str">
        <f>IFERROR(__xludf.DUMMYFUNCTION("""COMPUTED_VALUE"""),"Active")</f>
        <v>Active</v>
      </c>
    </row>
    <row r="1065">
      <c r="A1065" s="131">
        <f>IFERROR(__xludf.DUMMYFUNCTION("""COMPUTED_VALUE"""),46179.331030092595)</f>
        <v>46179.33103</v>
      </c>
      <c r="B1065" s="122" t="str">
        <f>IFERROR(__xludf.DUMMYFUNCTION("""COMPUTED_VALUE"""),"CAND")</f>
        <v>CAND</v>
      </c>
      <c r="C1065" s="122" t="str">
        <f>IFERROR(__xludf.DUMMYFUNCTION("""COMPUTED_VALUE"""),"Candy Capital surges as demand rises across the Consumer Goods sector.")</f>
        <v>Candy Capital surges as demand rises across the Consumer Goods sector.</v>
      </c>
      <c r="D1065" s="122" t="str">
        <f>IFERROR(__xludf.DUMMYFUNCTION("""COMPUTED_VALUE"""),"Candy Capital is seeing strong demand, which may increase investor confidence.")</f>
        <v>Candy Capital is seeing strong demand, which may increase investor confidence.</v>
      </c>
      <c r="E1065" s="122" t="str">
        <f>IFERROR(__xludf.DUMMYFUNCTION("""COMPUTED_VALUE"""),"Positive")</f>
        <v>Positive</v>
      </c>
      <c r="F1065" s="122">
        <f>IFERROR(__xludf.DUMMYFUNCTION("""COMPUTED_VALUE"""),0.03)</f>
        <v>0.03</v>
      </c>
      <c r="G1065" s="122">
        <f>IFERROR(__xludf.DUMMYFUNCTION("""COMPUTED_VALUE"""),1.0)</f>
        <v>1</v>
      </c>
      <c r="H1065" s="122" t="str">
        <f>IFERROR(__xludf.DUMMYFUNCTION("""COMPUTED_VALUE"""),"Active")</f>
        <v>Active</v>
      </c>
    </row>
    <row r="1066">
      <c r="A1066" s="131">
        <f>IFERROR(__xludf.DUMMYFUNCTION("""COMPUTED_VALUE"""),46179.331030092595)</f>
        <v>46179.33103</v>
      </c>
      <c r="B1066" s="122" t="str">
        <f>IFERROR(__xludf.DUMMYFUNCTION("""COMPUTED_VALUE"""),"TECH")</f>
        <v>TECH</v>
      </c>
      <c r="C1066" s="122" t="str">
        <f>IFERROR(__xludf.DUMMYFUNCTION("""COMPUTED_VALUE"""),"Dragon Tech faces weaker demand and cautious investor sentiment.")</f>
        <v>Dragon Tech faces weaker demand and cautious investor sentiment.</v>
      </c>
      <c r="D1066" s="122" t="str">
        <f>IFERROR(__xludf.DUMMYFUNCTION("""COMPUTED_VALUE"""),"Investors are watching Dragon Tech closely as demand weakens.")</f>
        <v>Investors are watching Dragon Tech closely as demand weakens.</v>
      </c>
      <c r="E1066" s="122" t="str">
        <f>IFERROR(__xludf.DUMMYFUNCTION("""COMPUTED_VALUE"""),"Negative")</f>
        <v>Negative</v>
      </c>
      <c r="F1066" s="122">
        <f>IFERROR(__xludf.DUMMYFUNCTION("""COMPUTED_VALUE"""),-0.015)</f>
        <v>-0.015</v>
      </c>
      <c r="G1066" s="122">
        <f>IFERROR(__xludf.DUMMYFUNCTION("""COMPUTED_VALUE"""),0.75)</f>
        <v>0.75</v>
      </c>
      <c r="H1066" s="122" t="str">
        <f>IFERROR(__xludf.DUMMYFUNCTION("""COMPUTED_VALUE"""),"Active")</f>
        <v>Active</v>
      </c>
    </row>
    <row r="1067">
      <c r="A1067" s="131">
        <f>IFERROR(__xludf.DUMMYFUNCTION("""COMPUTED_VALUE"""),46179.331041666665)</f>
        <v>46179.33104</v>
      </c>
      <c r="B1067" s="122" t="str">
        <f>IFERROR(__xludf.DUMMYFUNCTION("""COMPUTED_VALUE"""),"AIBO")</f>
        <v>AIBO</v>
      </c>
      <c r="C1067" s="122" t="str">
        <f>IFERROR(__xludf.DUMMYFUNCTION("""COMPUTED_VALUE"""),"Homework AI sees uncertain trading as investors react to mixed signals.")</f>
        <v>Homework AI sees uncertain trading as investors react to mixed signals.</v>
      </c>
      <c r="D1067" s="122" t="str">
        <f>IFERROR(__xludf.DUMMYFUNCTION("""COMPUTED_VALUE"""),"Homework AI may experience larger price swings as investors disagree on direction.")</f>
        <v>Homework AI may experience larger price swings as investors disagree on direction.</v>
      </c>
      <c r="E1067" s="122" t="str">
        <f>IFERROR(__xludf.DUMMYFUNCTION("""COMPUTED_VALUE"""),"Mixed")</f>
        <v>Mixed</v>
      </c>
      <c r="F1067" s="122">
        <f>IFERROR(__xludf.DUMMYFUNCTION("""COMPUTED_VALUE"""),0.014318642474678494)</f>
        <v>0.01431864247</v>
      </c>
      <c r="G1067" s="122">
        <f>IFERROR(__xludf.DUMMYFUNCTION("""COMPUTED_VALUE"""),1.5)</f>
        <v>1.5</v>
      </c>
      <c r="H1067" s="122" t="str">
        <f>IFERROR(__xludf.DUMMYFUNCTION("""COMPUTED_VALUE"""),"Active")</f>
        <v>Active</v>
      </c>
    </row>
    <row r="1068">
      <c r="A1068" s="131">
        <f>IFERROR(__xludf.DUMMYFUNCTION("""COMPUTED_VALUE"""),46179.33105324074)</f>
        <v>46179.33105</v>
      </c>
      <c r="B1068" s="122" t="str">
        <f>IFERROR(__xludf.DUMMYFUNCTION("""COMPUTED_VALUE"""),"GAME")</f>
        <v>GAME</v>
      </c>
      <c r="C1068" s="122" t="str">
        <f>IFERROR(__xludf.DUMMYFUNCTION("""COMPUTED_VALUE"""),"GameBox Media reports steady growth and improved market confidence.")</f>
        <v>GameBox Media reports steady growth and improved market confidence.</v>
      </c>
      <c r="D1068" s="122" t="str">
        <f>IFERROR(__xludf.DUMMYFUNCTION("""COMPUTED_VALUE"""),"GameBox Media continues to show positive momentum with moderate risk.")</f>
        <v>GameBox Media continues to show positive momentum with moderate risk.</v>
      </c>
      <c r="E1068" s="122" t="str">
        <f>IFERROR(__xludf.DUMMYFUNCTION("""COMPUTED_VALUE"""),"Positive")</f>
        <v>Positive</v>
      </c>
      <c r="F1068" s="122">
        <f>IFERROR(__xludf.DUMMYFUNCTION("""COMPUTED_VALUE"""),0.015)</f>
        <v>0.015</v>
      </c>
      <c r="G1068" s="122">
        <f>IFERROR(__xludf.DUMMYFUNCTION("""COMPUTED_VALUE"""),0.5)</f>
        <v>0.5</v>
      </c>
      <c r="H1068" s="122" t="str">
        <f>IFERROR(__xludf.DUMMYFUNCTION("""COMPUTED_VALUE"""),"Active")</f>
        <v>Active</v>
      </c>
    </row>
    <row r="1069">
      <c r="A1069" s="131">
        <f>IFERROR(__xludf.DUMMYFUNCTION("""COMPUTED_VALUE"""),46179.33106481482)</f>
        <v>46179.33106</v>
      </c>
      <c r="B1069" s="122" t="str">
        <f>IFERROR(__xludf.DUMMYFUNCTION("""COMPUTED_VALUE"""),"VRSE")</f>
        <v>VRSE</v>
      </c>
      <c r="C1069" s="122" t="str">
        <f>IFERROR(__xludf.DUMMYFUNCTION("""COMPUTED_VALUE"""),"VerseVR remains stable as the Technology market shows normal activity.")</f>
        <v>VerseVR remains stable as the Technology market shows normal activity.</v>
      </c>
      <c r="D1069" s="122" t="str">
        <f>IFERROR(__xludf.DUMMYFUNCTION("""COMPUTED_VALUE"""),"VerseVR appears steady with no major changes reported.")</f>
        <v>VerseVR appears steady with no major changes reported.</v>
      </c>
      <c r="E1069" s="122" t="str">
        <f>IFERROR(__xludf.DUMMYFUNCTION("""COMPUTED_VALUE"""),"Neutral")</f>
        <v>Neutral</v>
      </c>
      <c r="F1069" s="122">
        <f>IFERROR(__xludf.DUMMYFUNCTION("""COMPUTED_VALUE"""),0.0)</f>
        <v>0</v>
      </c>
      <c r="G1069" s="122">
        <f>IFERROR(__xludf.DUMMYFUNCTION("""COMPUTED_VALUE"""),0.0)</f>
        <v>0</v>
      </c>
      <c r="H1069" s="122" t="str">
        <f>IFERROR(__xludf.DUMMYFUNCTION("""COMPUTED_VALUE"""),"Active")</f>
        <v>Active</v>
      </c>
    </row>
    <row r="1070">
      <c r="A1070" s="131">
        <f>IFERROR(__xludf.DUMMYFUNCTION("""COMPUTED_VALUE"""),46179.33107638889)</f>
        <v>46179.33108</v>
      </c>
      <c r="B1070" s="122" t="str">
        <f>IFERROR(__xludf.DUMMYFUNCTION("""COMPUTED_VALUE"""),"BYTE")</f>
        <v>BYTE</v>
      </c>
      <c r="C1070" s="122" t="str">
        <f>IFERROR(__xludf.DUMMYFUNCTION("""COMPUTED_VALUE"""),"ByteWorks remains stable as the Technology market shows normal activity.")</f>
        <v>ByteWorks remains stable as the Technology market shows normal activity.</v>
      </c>
      <c r="D1070" s="122" t="str">
        <f>IFERROR(__xludf.DUMMYFUNCTION("""COMPUTED_VALUE"""),"ByteWorks appears steady with no major changes reported.")</f>
        <v>ByteWorks appears steady with no major changes reported.</v>
      </c>
      <c r="E1070" s="122" t="str">
        <f>IFERROR(__xludf.DUMMYFUNCTION("""COMPUTED_VALUE"""),"Neutral")</f>
        <v>Neutral</v>
      </c>
      <c r="F1070" s="122">
        <f>IFERROR(__xludf.DUMMYFUNCTION("""COMPUTED_VALUE"""),0.0)</f>
        <v>0</v>
      </c>
      <c r="G1070" s="122">
        <f>IFERROR(__xludf.DUMMYFUNCTION("""COMPUTED_VALUE"""),0.0)</f>
        <v>0</v>
      </c>
      <c r="H1070" s="122" t="str">
        <f>IFERROR(__xludf.DUMMYFUNCTION("""COMPUTED_VALUE"""),"Active")</f>
        <v>Active</v>
      </c>
    </row>
    <row r="1071">
      <c r="A1071" s="131">
        <f>IFERROR(__xludf.DUMMYFUNCTION("""COMPUTED_VALUE"""),46179.331087962964)</f>
        <v>46179.33109</v>
      </c>
      <c r="B1071" s="122" t="str">
        <f>IFERROR(__xludf.DUMMYFUNCTION("""COMPUTED_VALUE"""),"BANK")</f>
        <v>BANK</v>
      </c>
      <c r="C1071" s="122" t="str">
        <f>IFERROR(__xludf.DUMMYFUNCTION("""COMPUTED_VALUE"""),"Tiger Bank reports steady growth and improved market confidence.")</f>
        <v>Tiger Bank reports steady growth and improved market confidence.</v>
      </c>
      <c r="D1071" s="122" t="str">
        <f>IFERROR(__xludf.DUMMYFUNCTION("""COMPUTED_VALUE"""),"Tiger Bank continues to show positive momentum with moderate risk.")</f>
        <v>Tiger Bank continues to show positive momentum with moderate risk.</v>
      </c>
      <c r="E1071" s="122" t="str">
        <f>IFERROR(__xludf.DUMMYFUNCTION("""COMPUTED_VALUE"""),"Positive")</f>
        <v>Positive</v>
      </c>
      <c r="F1071" s="122">
        <f>IFERROR(__xludf.DUMMYFUNCTION("""COMPUTED_VALUE"""),0.015)</f>
        <v>0.015</v>
      </c>
      <c r="G1071" s="122">
        <f>IFERROR(__xludf.DUMMYFUNCTION("""COMPUTED_VALUE"""),0.5)</f>
        <v>0.5</v>
      </c>
      <c r="H1071" s="122" t="str">
        <f>IFERROR(__xludf.DUMMYFUNCTION("""COMPUTED_VALUE"""),"Active")</f>
        <v>Active</v>
      </c>
    </row>
    <row r="1072">
      <c r="A1072" s="131">
        <f>IFERROR(__xludf.DUMMYFUNCTION("""COMPUTED_VALUE"""),46179.33111111111)</f>
        <v>46179.33111</v>
      </c>
      <c r="B1072" s="122" t="str">
        <f>IFERROR(__xludf.DUMMYFUNCTION("""COMPUTED_VALUE"""),"CRED")</f>
        <v>CRED</v>
      </c>
      <c r="C1072" s="122" t="str">
        <f>IFERROR(__xludf.DUMMYFUNCTION("""COMPUTED_VALUE"""),"Credit Castle surges as demand rises across the Finance sector.")</f>
        <v>Credit Castle surges as demand rises across the Finance sector.</v>
      </c>
      <c r="D1072" s="122" t="str">
        <f>IFERROR(__xludf.DUMMYFUNCTION("""COMPUTED_VALUE"""),"Credit Castle is seeing strong demand, which may increase investor confidence.")</f>
        <v>Credit Castle is seeing strong demand, which may increase investor confidence.</v>
      </c>
      <c r="E1072" s="122" t="str">
        <f>IFERROR(__xludf.DUMMYFUNCTION("""COMPUTED_VALUE"""),"Positive")</f>
        <v>Positive</v>
      </c>
      <c r="F1072" s="122">
        <f>IFERROR(__xludf.DUMMYFUNCTION("""COMPUTED_VALUE"""),0.03)</f>
        <v>0.03</v>
      </c>
      <c r="G1072" s="122">
        <f>IFERROR(__xludf.DUMMYFUNCTION("""COMPUTED_VALUE"""),1.0)</f>
        <v>1</v>
      </c>
      <c r="H1072" s="122" t="str">
        <f>IFERROR(__xludf.DUMMYFUNCTION("""COMPUTED_VALUE"""),"Active")</f>
        <v>Active</v>
      </c>
    </row>
    <row r="1073">
      <c r="A1073" s="131">
        <f>IFERROR(__xludf.DUMMYFUNCTION("""COMPUTED_VALUE"""),46179.33111111111)</f>
        <v>46179.33111</v>
      </c>
      <c r="B1073" s="122" t="str">
        <f>IFERROR(__xludf.DUMMYFUNCTION("""COMPUTED_VALUE"""),"BOND")</f>
        <v>BOND</v>
      </c>
      <c r="C1073" s="122" t="str">
        <f>IFERROR(__xludf.DUMMYFUNCTION("""COMPUTED_VALUE"""),"BondBridge faces weaker demand and cautious investor sentiment.")</f>
        <v>BondBridge faces weaker demand and cautious investor sentiment.</v>
      </c>
      <c r="D1073" s="122" t="str">
        <f>IFERROR(__xludf.DUMMYFUNCTION("""COMPUTED_VALUE"""),"Investors are watching BondBridge closely as demand weakens.")</f>
        <v>Investors are watching BondBridge closely as demand weakens.</v>
      </c>
      <c r="E1073" s="122" t="str">
        <f>IFERROR(__xludf.DUMMYFUNCTION("""COMPUTED_VALUE"""),"Negative")</f>
        <v>Negative</v>
      </c>
      <c r="F1073" s="122">
        <f>IFERROR(__xludf.DUMMYFUNCTION("""COMPUTED_VALUE"""),-0.015)</f>
        <v>-0.015</v>
      </c>
      <c r="G1073" s="122">
        <f>IFERROR(__xludf.DUMMYFUNCTION("""COMPUTED_VALUE"""),0.75)</f>
        <v>0.75</v>
      </c>
      <c r="H1073" s="122" t="str">
        <f>IFERROR(__xludf.DUMMYFUNCTION("""COMPUTED_VALUE"""),"Active")</f>
        <v>Active</v>
      </c>
    </row>
    <row r="1074">
      <c r="A1074" s="131">
        <f>IFERROR(__xludf.DUMMYFUNCTION("""COMPUTED_VALUE"""),46179.33112268519)</f>
        <v>46179.33112</v>
      </c>
      <c r="B1074" s="122" t="str">
        <f>IFERROR(__xludf.DUMMYFUNCTION("""COMPUTED_VALUE"""),"INSR")</f>
        <v>INSR</v>
      </c>
      <c r="C1074" s="122" t="str">
        <f>IFERROR(__xludf.DUMMYFUNCTION("""COMPUTED_VALUE"""),"Shield Insurance reports steady growth and improved market confidence.")</f>
        <v>Shield Insurance reports steady growth and improved market confidence.</v>
      </c>
      <c r="D1074" s="122" t="str">
        <f>IFERROR(__xludf.DUMMYFUNCTION("""COMPUTED_VALUE"""),"Shield Insurance continues to show positive momentum with moderate risk.")</f>
        <v>Shield Insurance continues to show positive momentum with moderate risk.</v>
      </c>
      <c r="E1074" s="122" t="str">
        <f>IFERROR(__xludf.DUMMYFUNCTION("""COMPUTED_VALUE"""),"Positive")</f>
        <v>Positive</v>
      </c>
      <c r="F1074" s="122">
        <f>IFERROR(__xludf.DUMMYFUNCTION("""COMPUTED_VALUE"""),0.015)</f>
        <v>0.015</v>
      </c>
      <c r="G1074" s="122">
        <f>IFERROR(__xludf.DUMMYFUNCTION("""COMPUTED_VALUE"""),0.5)</f>
        <v>0.5</v>
      </c>
      <c r="H1074" s="122" t="str">
        <f>IFERROR(__xludf.DUMMYFUNCTION("""COMPUTED_VALUE"""),"Active")</f>
        <v>Active</v>
      </c>
    </row>
    <row r="1075">
      <c r="A1075" s="131">
        <f>IFERROR(__xludf.DUMMYFUNCTION("""COMPUTED_VALUE"""),46179.33113425926)</f>
        <v>46179.33113</v>
      </c>
      <c r="B1075" s="122" t="str">
        <f>IFERROR(__xludf.DUMMYFUNCTION("""COMPUTED_VALUE"""),"LOAN")</f>
        <v>LOAN</v>
      </c>
      <c r="C1075" s="122" t="str">
        <f>IFERROR(__xludf.DUMMYFUNCTION("""COMPUTED_VALUE"""),"LoanLab reports steady growth and improved market confidence.")</f>
        <v>LoanLab reports steady growth and improved market confidence.</v>
      </c>
      <c r="D1075" s="122" t="str">
        <f>IFERROR(__xludf.DUMMYFUNCTION("""COMPUTED_VALUE"""),"LoanLab continues to show positive momentum with moderate risk.")</f>
        <v>LoanLab continues to show positive momentum with moderate risk.</v>
      </c>
      <c r="E1075" s="122" t="str">
        <f>IFERROR(__xludf.DUMMYFUNCTION("""COMPUTED_VALUE"""),"Positive")</f>
        <v>Positive</v>
      </c>
      <c r="F1075" s="122">
        <f>IFERROR(__xludf.DUMMYFUNCTION("""COMPUTED_VALUE"""),0.015)</f>
        <v>0.015</v>
      </c>
      <c r="G1075" s="122">
        <f>IFERROR(__xludf.DUMMYFUNCTION("""COMPUTED_VALUE"""),0.5)</f>
        <v>0.5</v>
      </c>
      <c r="H1075" s="122" t="str">
        <f>IFERROR(__xludf.DUMMYFUNCTION("""COMPUTED_VALUE"""),"Active")</f>
        <v>Active</v>
      </c>
    </row>
    <row r="1076">
      <c r="A1076" s="131">
        <f>IFERROR(__xludf.DUMMYFUNCTION("""COMPUTED_VALUE"""),46179.331145833334)</f>
        <v>46179.33115</v>
      </c>
      <c r="B1076" s="122" t="str">
        <f>IFERROR(__xludf.DUMMYFUNCTION("""COMPUTED_VALUE"""),"LUXE")</f>
        <v>LUXE</v>
      </c>
      <c r="C1076" s="122" t="str">
        <f>IFERROR(__xludf.DUMMYFUNCTION("""COMPUTED_VALUE"""),"Luxury Locker surges as demand rises across the Luxury Goods sector.")</f>
        <v>Luxury Locker surges as demand rises across the Luxury Goods sector.</v>
      </c>
      <c r="D1076" s="122" t="str">
        <f>IFERROR(__xludf.DUMMYFUNCTION("""COMPUTED_VALUE"""),"Luxury Locker is seeing strong demand, which may increase investor confidence.")</f>
        <v>Luxury Locker is seeing strong demand, which may increase investor confidence.</v>
      </c>
      <c r="E1076" s="122" t="str">
        <f>IFERROR(__xludf.DUMMYFUNCTION("""COMPUTED_VALUE"""),"Positive")</f>
        <v>Positive</v>
      </c>
      <c r="F1076" s="122">
        <f>IFERROR(__xludf.DUMMYFUNCTION("""COMPUTED_VALUE"""),0.03)</f>
        <v>0.03</v>
      </c>
      <c r="G1076" s="122">
        <f>IFERROR(__xludf.DUMMYFUNCTION("""COMPUTED_VALUE"""),1.0)</f>
        <v>1</v>
      </c>
      <c r="H1076" s="122" t="str">
        <f>IFERROR(__xludf.DUMMYFUNCTION("""COMPUTED_VALUE"""),"Active")</f>
        <v>Active</v>
      </c>
    </row>
    <row r="1077">
      <c r="A1077" s="131">
        <f>IFERROR(__xludf.DUMMYFUNCTION("""COMPUTED_VALUE"""),46179.331145833334)</f>
        <v>46179.33115</v>
      </c>
      <c r="B1077" s="122" t="str">
        <f>IFERROR(__xludf.DUMMYFUNCTION("""COMPUTED_VALUE"""),"DRIP")</f>
        <v>DRIP</v>
      </c>
      <c r="C1077" s="122" t="str">
        <f>IFERROR(__xludf.DUMMYFUNCTION("""COMPUTED_VALUE"""),"Drip Streetwear sees uncertain trading as investors react to mixed signals.")</f>
        <v>Drip Streetwear sees uncertain trading as investors react to mixed signals.</v>
      </c>
      <c r="D1077" s="122" t="str">
        <f>IFERROR(__xludf.DUMMYFUNCTION("""COMPUTED_VALUE"""),"Drip Streetwear may experience larger price swings as investors disagree on direction.")</f>
        <v>Drip Streetwear may experience larger price swings as investors disagree on direction.</v>
      </c>
      <c r="E1077" s="122" t="str">
        <f>IFERROR(__xludf.DUMMYFUNCTION("""COMPUTED_VALUE"""),"Mixed")</f>
        <v>Mixed</v>
      </c>
      <c r="F1077" s="122">
        <f>IFERROR(__xludf.DUMMYFUNCTION("""COMPUTED_VALUE"""),0.0016316212520999136)</f>
        <v>0.001631621252</v>
      </c>
      <c r="G1077" s="122">
        <f>IFERROR(__xludf.DUMMYFUNCTION("""COMPUTED_VALUE"""),1.5)</f>
        <v>1.5</v>
      </c>
      <c r="H1077" s="122" t="str">
        <f>IFERROR(__xludf.DUMMYFUNCTION("""COMPUTED_VALUE"""),"Active")</f>
        <v>Active</v>
      </c>
    </row>
    <row r="1078">
      <c r="A1078" s="131">
        <f>IFERROR(__xludf.DUMMYFUNCTION("""COMPUTED_VALUE"""),46179.33115740741)</f>
        <v>46179.33116</v>
      </c>
      <c r="B1078" s="122" t="str">
        <f>IFERROR(__xludf.DUMMYFUNCTION("""COMPUTED_VALUE"""),"KICK")</f>
        <v>KICK</v>
      </c>
      <c r="C1078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1078" s="122" t="str">
        <f>IFERROR(__xludf.DUMMYFUNCTION("""COMPUTED_VALUE"""),"KickDrop Sneakers appears steady with no major changes reported.")</f>
        <v>KickDrop Sneakers appears steady with no major changes reported.</v>
      </c>
      <c r="E1078" s="122" t="str">
        <f>IFERROR(__xludf.DUMMYFUNCTION("""COMPUTED_VALUE"""),"Neutral")</f>
        <v>Neutral</v>
      </c>
      <c r="F1078" s="122">
        <f>IFERROR(__xludf.DUMMYFUNCTION("""COMPUTED_VALUE"""),0.0)</f>
        <v>0</v>
      </c>
      <c r="G1078" s="122">
        <f>IFERROR(__xludf.DUMMYFUNCTION("""COMPUTED_VALUE"""),0.0)</f>
        <v>0</v>
      </c>
      <c r="H1078" s="122" t="str">
        <f>IFERROR(__xludf.DUMMYFUNCTION("""COMPUTED_VALUE"""),"Active")</f>
        <v>Active</v>
      </c>
    </row>
    <row r="1079">
      <c r="A1079" s="131">
        <f>IFERROR(__xludf.DUMMYFUNCTION("""COMPUTED_VALUE"""),46179.33116898148)</f>
        <v>46179.33117</v>
      </c>
      <c r="B1079" s="122" t="str">
        <f>IFERROR(__xludf.DUMMYFUNCTION("""COMPUTED_VALUE"""),"GLAM")</f>
        <v>GLAM</v>
      </c>
      <c r="C1079" s="122" t="str">
        <f>IFERROR(__xludf.DUMMYFUNCTION("""COMPUTED_VALUE"""),"Glow Cosmetics remains stable as the Fashion market shows normal activity.")</f>
        <v>Glow Cosmetics remains stable as the Fashion market shows normal activity.</v>
      </c>
      <c r="D1079" s="122" t="str">
        <f>IFERROR(__xludf.DUMMYFUNCTION("""COMPUTED_VALUE"""),"Glow Cosmetics appears steady with no major changes reported.")</f>
        <v>Glow Cosmetics appears steady with no major changes reported.</v>
      </c>
      <c r="E1079" s="122" t="str">
        <f>IFERROR(__xludf.DUMMYFUNCTION("""COMPUTED_VALUE"""),"Neutral")</f>
        <v>Neutral</v>
      </c>
      <c r="F1079" s="122">
        <f>IFERROR(__xludf.DUMMYFUNCTION("""COMPUTED_VALUE"""),0.0)</f>
        <v>0</v>
      </c>
      <c r="G1079" s="122">
        <f>IFERROR(__xludf.DUMMYFUNCTION("""COMPUTED_VALUE"""),0.0)</f>
        <v>0</v>
      </c>
      <c r="H1079" s="122" t="str">
        <f>IFERROR(__xludf.DUMMYFUNCTION("""COMPUTED_VALUE"""),"Active")</f>
        <v>Active</v>
      </c>
    </row>
    <row r="1080">
      <c r="A1080" s="131">
        <f>IFERROR(__xludf.DUMMYFUNCTION("""COMPUTED_VALUE"""),46179.33116898148)</f>
        <v>46179.33117</v>
      </c>
      <c r="B1080" s="122" t="str">
        <f>IFERROR(__xludf.DUMMYFUNCTION("""COMPUTED_VALUE"""),"BAGG")</f>
        <v>BAGG</v>
      </c>
      <c r="C1080" s="122" t="str">
        <f>IFERROR(__xludf.DUMMYFUNCTION("""COMPUTED_VALUE"""),"BagVault remains stable as the Fashion market shows normal activity.")</f>
        <v>BagVault remains stable as the Fashion market shows normal activity.</v>
      </c>
      <c r="D1080" s="122" t="str">
        <f>IFERROR(__xludf.DUMMYFUNCTION("""COMPUTED_VALUE"""),"BagVault appears steady with no major changes reported.")</f>
        <v>BagVault appears steady with no major changes reported.</v>
      </c>
      <c r="E1080" s="122" t="str">
        <f>IFERROR(__xludf.DUMMYFUNCTION("""COMPUTED_VALUE"""),"Neutral")</f>
        <v>Neutral</v>
      </c>
      <c r="F1080" s="122">
        <f>IFERROR(__xludf.DUMMYFUNCTION("""COMPUTED_VALUE"""),0.0)</f>
        <v>0</v>
      </c>
      <c r="G1080" s="122">
        <f>IFERROR(__xludf.DUMMYFUNCTION("""COMPUTED_VALUE"""),0.0)</f>
        <v>0</v>
      </c>
      <c r="H1080" s="122" t="str">
        <f>IFERROR(__xludf.DUMMYFUNCTION("""COMPUTED_VALUE"""),"Active")</f>
        <v>Active</v>
      </c>
    </row>
    <row r="1081">
      <c r="A1081" s="131">
        <f>IFERROR(__xludf.DUMMYFUNCTION("""COMPUTED_VALUE"""),46179.33118055556)</f>
        <v>46179.33118</v>
      </c>
      <c r="B1081" s="122" t="str">
        <f>IFERROR(__xludf.DUMMYFUNCTION("""COMPUTED_VALUE"""),"FAST")</f>
        <v>FAST</v>
      </c>
      <c r="C1081" s="122" t="str">
        <f>IFERROR(__xludf.DUMMYFUNCTION("""COMPUTED_VALUE"""),"Flash Logistics reports steady growth and improved market confidence.")</f>
        <v>Flash Logistics reports steady growth and improved market confidence.</v>
      </c>
      <c r="D1081" s="122" t="str">
        <f>IFERROR(__xludf.DUMMYFUNCTION("""COMPUTED_VALUE"""),"Flash Logistics continues to show positive momentum with moderate risk.")</f>
        <v>Flash Logistics continues to show positive momentum with moderate risk.</v>
      </c>
      <c r="E1081" s="122" t="str">
        <f>IFERROR(__xludf.DUMMYFUNCTION("""COMPUTED_VALUE"""),"Positive")</f>
        <v>Positive</v>
      </c>
      <c r="F1081" s="122">
        <f>IFERROR(__xludf.DUMMYFUNCTION("""COMPUTED_VALUE"""),0.015)</f>
        <v>0.015</v>
      </c>
      <c r="G1081" s="122">
        <f>IFERROR(__xludf.DUMMYFUNCTION("""COMPUTED_VALUE"""),0.5)</f>
        <v>0.5</v>
      </c>
      <c r="H1081" s="122" t="str">
        <f>IFERROR(__xludf.DUMMYFUNCTION("""COMPUTED_VALUE"""),"Active")</f>
        <v>Active</v>
      </c>
    </row>
    <row r="1082">
      <c r="A1082" s="131">
        <f>IFERROR(__xludf.DUMMYFUNCTION("""COMPUTED_VALUE"""),46179.331192129626)</f>
        <v>46179.33119</v>
      </c>
      <c r="B1082" s="122" t="str">
        <f>IFERROR(__xludf.DUMMYFUNCTION("""COMPUTED_VALUE"""),"SHIP")</f>
        <v>SHIP</v>
      </c>
      <c r="C1082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082" s="122" t="str">
        <f>IFERROR(__xludf.DUMMYFUNCTION("""COMPUTED_VALUE"""),"Seoul Shipping appears steady with no major changes reported.")</f>
        <v>Seoul Shipping appears steady with no major changes reported.</v>
      </c>
      <c r="E1082" s="122" t="str">
        <f>IFERROR(__xludf.DUMMYFUNCTION("""COMPUTED_VALUE"""),"Neutral")</f>
        <v>Neutral</v>
      </c>
      <c r="F1082" s="122">
        <f>IFERROR(__xludf.DUMMYFUNCTION("""COMPUTED_VALUE"""),0.0)</f>
        <v>0</v>
      </c>
      <c r="G1082" s="122">
        <f>IFERROR(__xludf.DUMMYFUNCTION("""COMPUTED_VALUE"""),0.0)</f>
        <v>0</v>
      </c>
      <c r="H1082" s="122" t="str">
        <f>IFERROR(__xludf.DUMMYFUNCTION("""COMPUTED_VALUE"""),"Active")</f>
        <v>Active</v>
      </c>
    </row>
    <row r="1083">
      <c r="A1083" s="131">
        <f>IFERROR(__xludf.DUMMYFUNCTION("""COMPUTED_VALUE"""),46179.331192129626)</f>
        <v>46179.33119</v>
      </c>
      <c r="B1083" s="122" t="str">
        <f>IFERROR(__xludf.DUMMYFUNCTION("""COMPUTED_VALUE"""),"DRON")</f>
        <v>DRON</v>
      </c>
      <c r="C1083" s="122" t="str">
        <f>IFERROR(__xludf.DUMMYFUNCTION("""COMPUTED_VALUE"""),"DroneDrop reports steady growth and improved market confidence.")</f>
        <v>DroneDrop reports steady growth and improved market confidence.</v>
      </c>
      <c r="D1083" s="122" t="str">
        <f>IFERROR(__xludf.DUMMYFUNCTION("""COMPUTED_VALUE"""),"DroneDrop continues to show positive momentum with moderate risk.")</f>
        <v>DroneDrop continues to show positive momentum with moderate risk.</v>
      </c>
      <c r="E1083" s="122" t="str">
        <f>IFERROR(__xludf.DUMMYFUNCTION("""COMPUTED_VALUE"""),"Positive")</f>
        <v>Positive</v>
      </c>
      <c r="F1083" s="122">
        <f>IFERROR(__xludf.DUMMYFUNCTION("""COMPUTED_VALUE"""),0.015)</f>
        <v>0.015</v>
      </c>
      <c r="G1083" s="122">
        <f>IFERROR(__xludf.DUMMYFUNCTION("""COMPUTED_VALUE"""),0.5)</f>
        <v>0.5</v>
      </c>
      <c r="H1083" s="122" t="str">
        <f>IFERROR(__xludf.DUMMYFUNCTION("""COMPUTED_VALUE"""),"Active")</f>
        <v>Active</v>
      </c>
    </row>
    <row r="1084">
      <c r="A1084" s="131">
        <f>IFERROR(__xludf.DUMMYFUNCTION("""COMPUTED_VALUE"""),46179.3312037037)</f>
        <v>46179.3312</v>
      </c>
      <c r="B1084" s="122" t="str">
        <f>IFERROR(__xludf.DUMMYFUNCTION("""COMPUTED_VALUE"""),"RIDE")</f>
        <v>RIDE</v>
      </c>
      <c r="C1084" s="122" t="str">
        <f>IFERROR(__xludf.DUMMYFUNCTION("""COMPUTED_VALUE"""),"QuickRide reports steady growth and improved market confidence.")</f>
        <v>QuickRide reports steady growth and improved market confidence.</v>
      </c>
      <c r="D1084" s="122" t="str">
        <f>IFERROR(__xludf.DUMMYFUNCTION("""COMPUTED_VALUE"""),"QuickRide continues to show positive momentum with moderate risk.")</f>
        <v>QuickRide continues to show positive momentum with moderate risk.</v>
      </c>
      <c r="E1084" s="122" t="str">
        <f>IFERROR(__xludf.DUMMYFUNCTION("""COMPUTED_VALUE"""),"Positive")</f>
        <v>Positive</v>
      </c>
      <c r="F1084" s="122">
        <f>IFERROR(__xludf.DUMMYFUNCTION("""COMPUTED_VALUE"""),0.015)</f>
        <v>0.015</v>
      </c>
      <c r="G1084" s="122">
        <f>IFERROR(__xludf.DUMMYFUNCTION("""COMPUTED_VALUE"""),0.5)</f>
        <v>0.5</v>
      </c>
      <c r="H1084" s="122" t="str">
        <f>IFERROR(__xludf.DUMMYFUNCTION("""COMPUTED_VALUE"""),"Active")</f>
        <v>Active</v>
      </c>
    </row>
    <row r="1085">
      <c r="A1085" s="131">
        <f>IFERROR(__xludf.DUMMYFUNCTION("""COMPUTED_VALUE"""),46179.33121527778)</f>
        <v>46179.33122</v>
      </c>
      <c r="B1085" s="122" t="str">
        <f>IFERROR(__xludf.DUMMYFUNCTION("""COMPUTED_VALUE"""),"RAIL")</f>
        <v>RAIL</v>
      </c>
      <c r="C1085" s="122" t="str">
        <f>IFERROR(__xludf.DUMMYFUNCTION("""COMPUTED_VALUE"""),"MetroRail Corp reports steady growth and improved market confidence.")</f>
        <v>MetroRail Corp reports steady growth and improved market confidence.</v>
      </c>
      <c r="D1085" s="122" t="str">
        <f>IFERROR(__xludf.DUMMYFUNCTION("""COMPUTED_VALUE"""),"MetroRail Corp continues to show positive momentum with moderate risk.")</f>
        <v>MetroRail Corp continues to show positive momentum with moderate risk.</v>
      </c>
      <c r="E1085" s="122" t="str">
        <f>IFERROR(__xludf.DUMMYFUNCTION("""COMPUTED_VALUE"""),"Positive")</f>
        <v>Positive</v>
      </c>
      <c r="F1085" s="122">
        <f>IFERROR(__xludf.DUMMYFUNCTION("""COMPUTED_VALUE"""),0.015)</f>
        <v>0.015</v>
      </c>
      <c r="G1085" s="122">
        <f>IFERROR(__xludf.DUMMYFUNCTION("""COMPUTED_VALUE"""),0.5)</f>
        <v>0.5</v>
      </c>
      <c r="H1085" s="122" t="str">
        <f>IFERROR(__xludf.DUMMYFUNCTION("""COMPUTED_VALUE"""),"Active")</f>
        <v>Active</v>
      </c>
    </row>
    <row r="1086">
      <c r="A1086" s="131">
        <f>IFERROR(__xludf.DUMMYFUNCTION("""COMPUTED_VALUE"""),46179.33122685185)</f>
        <v>46179.33123</v>
      </c>
      <c r="B1086" s="122" t="str">
        <f>IFERROR(__xludf.DUMMYFUNCTION("""COMPUTED_VALUE"""),"MEDX")</f>
        <v>MEDX</v>
      </c>
      <c r="C1086" s="122" t="str">
        <f>IFERROR(__xludf.DUMMYFUNCTION("""COMPUTED_VALUE"""),"MediCore drops sharply after major concerns hit the market.")</f>
        <v>MediCore drops sharply after major concerns hit the market.</v>
      </c>
      <c r="D1086" s="122" t="str">
        <f>IFERROR(__xludf.DUMMYFUNCTION("""COMPUTED_VALUE"""),"MediCore is under pressure as investors react to worsening conditions.")</f>
        <v>MediCore is under pressure as investors react to worsening conditions.</v>
      </c>
      <c r="E1086" s="122" t="str">
        <f>IFERROR(__xludf.DUMMYFUNCTION("""COMPUTED_VALUE"""),"Negative")</f>
        <v>Negative</v>
      </c>
      <c r="F1086" s="122">
        <f>IFERROR(__xludf.DUMMYFUNCTION("""COMPUTED_VALUE"""),-0.04)</f>
        <v>-0.04</v>
      </c>
      <c r="G1086" s="122">
        <f>IFERROR(__xludf.DUMMYFUNCTION("""COMPUTED_VALUE"""),2.0)</f>
        <v>2</v>
      </c>
      <c r="H1086" s="122" t="str">
        <f>IFERROR(__xludf.DUMMYFUNCTION("""COMPUTED_VALUE"""),"Active")</f>
        <v>Active</v>
      </c>
    </row>
    <row r="1087">
      <c r="A1087" s="131">
        <f>IFERROR(__xludf.DUMMYFUNCTION("""COMPUTED_VALUE"""),46179.33122685185)</f>
        <v>46179.33123</v>
      </c>
      <c r="B1087" s="122" t="str">
        <f>IFERROR(__xludf.DUMMYFUNCTION("""COMPUTED_VALUE"""),"GYMX")</f>
        <v>GYMX</v>
      </c>
      <c r="C1087" s="122" t="str">
        <f>IFERROR(__xludf.DUMMYFUNCTION("""COMPUTED_VALUE"""),"GymX Fitness reports steady growth and improved market confidence.")</f>
        <v>GymX Fitness reports steady growth and improved market confidence.</v>
      </c>
      <c r="D1087" s="122" t="str">
        <f>IFERROR(__xludf.DUMMYFUNCTION("""COMPUTED_VALUE"""),"GymX Fitness continues to show positive momentum with moderate risk.")</f>
        <v>GymX Fitness continues to show positive momentum with moderate risk.</v>
      </c>
      <c r="E1087" s="122" t="str">
        <f>IFERROR(__xludf.DUMMYFUNCTION("""COMPUTED_VALUE"""),"Positive")</f>
        <v>Positive</v>
      </c>
      <c r="F1087" s="122">
        <f>IFERROR(__xludf.DUMMYFUNCTION("""COMPUTED_VALUE"""),0.015)</f>
        <v>0.015</v>
      </c>
      <c r="G1087" s="122">
        <f>IFERROR(__xludf.DUMMYFUNCTION("""COMPUTED_VALUE"""),0.5)</f>
        <v>0.5</v>
      </c>
      <c r="H1087" s="122" t="str">
        <f>IFERROR(__xludf.DUMMYFUNCTION("""COMPUTED_VALUE"""),"Active")</f>
        <v>Active</v>
      </c>
    </row>
    <row r="1088">
      <c r="A1088" s="131">
        <f>IFERROR(__xludf.DUMMYFUNCTION("""COMPUTED_VALUE"""),46179.331238425926)</f>
        <v>46179.33124</v>
      </c>
      <c r="B1088" s="122" t="str">
        <f>IFERROR(__xludf.DUMMYFUNCTION("""COMPUTED_VALUE"""),"VITA")</f>
        <v>VITA</v>
      </c>
      <c r="C1088" s="122" t="str">
        <f>IFERROR(__xludf.DUMMYFUNCTION("""COMPUTED_VALUE"""),"VitaPlus remains stable as the Healthcare market shows normal activity.")</f>
        <v>VitaPlus remains stable as the Healthcare market shows normal activity.</v>
      </c>
      <c r="D1088" s="122" t="str">
        <f>IFERROR(__xludf.DUMMYFUNCTION("""COMPUTED_VALUE"""),"VitaPlus appears steady with no major changes reported.")</f>
        <v>VitaPlus appears steady with no major changes reported.</v>
      </c>
      <c r="E1088" s="122" t="str">
        <f>IFERROR(__xludf.DUMMYFUNCTION("""COMPUTED_VALUE"""),"Neutral")</f>
        <v>Neutral</v>
      </c>
      <c r="F1088" s="122">
        <f>IFERROR(__xludf.DUMMYFUNCTION("""COMPUTED_VALUE"""),0.0)</f>
        <v>0</v>
      </c>
      <c r="G1088" s="122">
        <f>IFERROR(__xludf.DUMMYFUNCTION("""COMPUTED_VALUE"""),0.0)</f>
        <v>0</v>
      </c>
      <c r="H1088" s="122" t="str">
        <f>IFERROR(__xludf.DUMMYFUNCTION("""COMPUTED_VALUE"""),"Active")</f>
        <v>Active</v>
      </c>
    </row>
    <row r="1089">
      <c r="A1089" s="131">
        <f>IFERROR(__xludf.DUMMYFUNCTION("""COMPUTED_VALUE"""),46179.33125)</f>
        <v>46179.33125</v>
      </c>
      <c r="B1089" s="122" t="str">
        <f>IFERROR(__xludf.DUMMYFUNCTION("""COMPUTED_VALUE"""),"CARE")</f>
        <v>CARE</v>
      </c>
      <c r="C1089" s="122" t="str">
        <f>IFERROR(__xludf.DUMMYFUNCTION("""COMPUTED_VALUE"""),"CareCloud faces weaker demand and cautious investor sentiment.")</f>
        <v>CareCloud faces weaker demand and cautious investor sentiment.</v>
      </c>
      <c r="D1089" s="122" t="str">
        <f>IFERROR(__xludf.DUMMYFUNCTION("""COMPUTED_VALUE"""),"Investors are watching CareCloud closely as demand weakens.")</f>
        <v>Investors are watching CareCloud closely as demand weakens.</v>
      </c>
      <c r="E1089" s="122" t="str">
        <f>IFERROR(__xludf.DUMMYFUNCTION("""COMPUTED_VALUE"""),"Negative")</f>
        <v>Negative</v>
      </c>
      <c r="F1089" s="122">
        <f>IFERROR(__xludf.DUMMYFUNCTION("""COMPUTED_VALUE"""),-0.015)</f>
        <v>-0.015</v>
      </c>
      <c r="G1089" s="122">
        <f>IFERROR(__xludf.DUMMYFUNCTION("""COMPUTED_VALUE"""),0.75)</f>
        <v>0.75</v>
      </c>
      <c r="H1089" s="122" t="str">
        <f>IFERROR(__xludf.DUMMYFUNCTION("""COMPUTED_VALUE"""),"Active")</f>
        <v>Active</v>
      </c>
    </row>
    <row r="1090">
      <c r="A1090" s="131">
        <f>IFERROR(__xludf.DUMMYFUNCTION("""COMPUTED_VALUE"""),46179.33126157407)</f>
        <v>46179.33126</v>
      </c>
      <c r="B1090" s="122" t="str">
        <f>IFERROR(__xludf.DUMMYFUNCTION("""COMPUTED_VALUE"""),"DENT")</f>
        <v>DENT</v>
      </c>
      <c r="C1090" s="122" t="str">
        <f>IFERROR(__xludf.DUMMYFUNCTION("""COMPUTED_VALUE"""),"SmileWorks reports steady growth and improved market confidence.")</f>
        <v>SmileWorks reports steady growth and improved market confidence.</v>
      </c>
      <c r="D1090" s="122" t="str">
        <f>IFERROR(__xludf.DUMMYFUNCTION("""COMPUTED_VALUE"""),"SmileWorks continues to show positive momentum with moderate risk.")</f>
        <v>SmileWorks continues to show positive momentum with moderate risk.</v>
      </c>
      <c r="E1090" s="122" t="str">
        <f>IFERROR(__xludf.DUMMYFUNCTION("""COMPUTED_VALUE"""),"Positive")</f>
        <v>Positive</v>
      </c>
      <c r="F1090" s="122">
        <f>IFERROR(__xludf.DUMMYFUNCTION("""COMPUTED_VALUE"""),0.015)</f>
        <v>0.015</v>
      </c>
      <c r="G1090" s="122">
        <f>IFERROR(__xludf.DUMMYFUNCTION("""COMPUTED_VALUE"""),0.5)</f>
        <v>0.5</v>
      </c>
      <c r="H1090" s="122" t="str">
        <f>IFERROR(__xludf.DUMMYFUNCTION("""COMPUTED_VALUE"""),"Active")</f>
        <v>Active</v>
      </c>
    </row>
    <row r="1091">
      <c r="A1091" s="131">
        <f>IFERROR(__xludf.DUMMYFUNCTION("""COMPUTED_VALUE"""),46179.33126157407)</f>
        <v>46179.33126</v>
      </c>
      <c r="B1091" s="122" t="str">
        <f>IFERROR(__xludf.DUMMYFUNCTION("""COMPUTED_VALUE"""),"EDUX")</f>
        <v>EDUX</v>
      </c>
      <c r="C1091" s="122" t="str">
        <f>IFERROR(__xludf.DUMMYFUNCTION("""COMPUTED_VALUE"""),"EduMax Learning faces weaker demand and cautious investor sentiment.")</f>
        <v>EduMax Learning faces weaker demand and cautious investor sentiment.</v>
      </c>
      <c r="D1091" s="122" t="str">
        <f>IFERROR(__xludf.DUMMYFUNCTION("""COMPUTED_VALUE"""),"Investors are watching EduMax Learning closely as demand weakens.")</f>
        <v>Investors are watching EduMax Learning closely as demand weakens.</v>
      </c>
      <c r="E1091" s="122" t="str">
        <f>IFERROR(__xludf.DUMMYFUNCTION("""COMPUTED_VALUE"""),"Negative")</f>
        <v>Negative</v>
      </c>
      <c r="F1091" s="122">
        <f>IFERROR(__xludf.DUMMYFUNCTION("""COMPUTED_VALUE"""),-0.015)</f>
        <v>-0.015</v>
      </c>
      <c r="G1091" s="122">
        <f>IFERROR(__xludf.DUMMYFUNCTION("""COMPUTED_VALUE"""),0.75)</f>
        <v>0.75</v>
      </c>
      <c r="H1091" s="122" t="str">
        <f>IFERROR(__xludf.DUMMYFUNCTION("""COMPUTED_VALUE"""),"Active")</f>
        <v>Active</v>
      </c>
    </row>
    <row r="1092">
      <c r="A1092" s="131">
        <f>IFERROR(__xludf.DUMMYFUNCTION("""COMPUTED_VALUE"""),46179.33127314815)</f>
        <v>46179.33127</v>
      </c>
      <c r="B1092" s="122" t="str">
        <f>IFERROR(__xludf.DUMMYFUNCTION("""COMPUTED_VALUE"""),"BOOK")</f>
        <v>BOOK</v>
      </c>
      <c r="C1092" s="122" t="str">
        <f>IFERROR(__xludf.DUMMYFUNCTION("""COMPUTED_VALUE"""),"BookBridge remains stable as the Education market shows normal activity.")</f>
        <v>BookBridge remains stable as the Education market shows normal activity.</v>
      </c>
      <c r="D1092" s="122" t="str">
        <f>IFERROR(__xludf.DUMMYFUNCTION("""COMPUTED_VALUE"""),"BookBridge appears steady with no major changes reported.")</f>
        <v>BookBridge appears steady with no major changes reported.</v>
      </c>
      <c r="E1092" s="122" t="str">
        <f>IFERROR(__xludf.DUMMYFUNCTION("""COMPUTED_VALUE"""),"Neutral")</f>
        <v>Neutral</v>
      </c>
      <c r="F1092" s="122">
        <f>IFERROR(__xludf.DUMMYFUNCTION("""COMPUTED_VALUE"""),0.0)</f>
        <v>0</v>
      </c>
      <c r="G1092" s="122">
        <f>IFERROR(__xludf.DUMMYFUNCTION("""COMPUTED_VALUE"""),0.0)</f>
        <v>0</v>
      </c>
      <c r="H1092" s="122" t="str">
        <f>IFERROR(__xludf.DUMMYFUNCTION("""COMPUTED_VALUE"""),"Active")</f>
        <v>Active</v>
      </c>
    </row>
    <row r="1093">
      <c r="A1093" s="131">
        <f>IFERROR(__xludf.DUMMYFUNCTION("""COMPUTED_VALUE"""),46179.33128472222)</f>
        <v>46179.33128</v>
      </c>
      <c r="B1093" s="122" t="str">
        <f>IFERROR(__xludf.DUMMYFUNCTION("""COMPUTED_VALUE"""),"TUTR")</f>
        <v>TUTR</v>
      </c>
      <c r="C1093" s="122" t="str">
        <f>IFERROR(__xludf.DUMMYFUNCTION("""COMPUTED_VALUE"""),"TutorTown faces weaker demand and cautious investor sentiment.")</f>
        <v>TutorTown faces weaker demand and cautious investor sentiment.</v>
      </c>
      <c r="D1093" s="122" t="str">
        <f>IFERROR(__xludf.DUMMYFUNCTION("""COMPUTED_VALUE"""),"Investors are watching TutorTown closely as demand weakens.")</f>
        <v>Investors are watching TutorTown closely as demand weakens.</v>
      </c>
      <c r="E1093" s="122" t="str">
        <f>IFERROR(__xludf.DUMMYFUNCTION("""COMPUTED_VALUE"""),"Negative")</f>
        <v>Negative</v>
      </c>
      <c r="F1093" s="122">
        <f>IFERROR(__xludf.DUMMYFUNCTION("""COMPUTED_VALUE"""),-0.015)</f>
        <v>-0.015</v>
      </c>
      <c r="G1093" s="122">
        <f>IFERROR(__xludf.DUMMYFUNCTION("""COMPUTED_VALUE"""),0.75)</f>
        <v>0.75</v>
      </c>
      <c r="H1093" s="122" t="str">
        <f>IFERROR(__xludf.DUMMYFUNCTION("""COMPUTED_VALUE"""),"Active")</f>
        <v>Active</v>
      </c>
    </row>
    <row r="1094">
      <c r="A1094" s="131">
        <f>IFERROR(__xludf.DUMMYFUNCTION("""COMPUTED_VALUE"""),46179.33128472222)</f>
        <v>46179.33128</v>
      </c>
      <c r="B1094" s="122" t="str">
        <f>IFERROR(__xludf.DUMMYFUNCTION("""COMPUTED_VALUE"""),"LANG")</f>
        <v>LANG</v>
      </c>
      <c r="C1094" s="122" t="str">
        <f>IFERROR(__xludf.DUMMYFUNCTION("""COMPUTED_VALUE"""),"LinguaLab reports steady growth and improved market confidence.")</f>
        <v>LinguaLab reports steady growth and improved market confidence.</v>
      </c>
      <c r="D1094" s="122" t="str">
        <f>IFERROR(__xludf.DUMMYFUNCTION("""COMPUTED_VALUE"""),"LinguaLab continues to show positive momentum with moderate risk.")</f>
        <v>LinguaLab continues to show positive momentum with moderate risk.</v>
      </c>
      <c r="E1094" s="122" t="str">
        <f>IFERROR(__xludf.DUMMYFUNCTION("""COMPUTED_VALUE"""),"Positive")</f>
        <v>Positive</v>
      </c>
      <c r="F1094" s="122">
        <f>IFERROR(__xludf.DUMMYFUNCTION("""COMPUTED_VALUE"""),0.015)</f>
        <v>0.015</v>
      </c>
      <c r="G1094" s="122">
        <f>IFERROR(__xludf.DUMMYFUNCTION("""COMPUTED_VALUE"""),0.5)</f>
        <v>0.5</v>
      </c>
      <c r="H1094" s="122" t="str">
        <f>IFERROR(__xludf.DUMMYFUNCTION("""COMPUTED_VALUE"""),"Active")</f>
        <v>Active</v>
      </c>
    </row>
    <row r="1095">
      <c r="A1095" s="131">
        <f>IFERROR(__xludf.DUMMYFUNCTION("""COMPUTED_VALUE"""),46179.331296296295)</f>
        <v>46179.3313</v>
      </c>
      <c r="B1095" s="122" t="str">
        <f>IFERROR(__xludf.DUMMYFUNCTION("""COMPUTED_VALUE"""),"TEST")</f>
        <v>TEST</v>
      </c>
      <c r="C1095" s="122" t="str">
        <f>IFERROR(__xludf.DUMMYFUNCTION("""COMPUTED_VALUE"""),"TestPrep Pro faces weaker demand and cautious investor sentiment.")</f>
        <v>TestPrep Pro faces weaker demand and cautious investor sentiment.</v>
      </c>
      <c r="D1095" s="122" t="str">
        <f>IFERROR(__xludf.DUMMYFUNCTION("""COMPUTED_VALUE"""),"Investors are watching TestPrep Pro closely as demand weakens.")</f>
        <v>Investors are watching TestPrep Pro closely as demand weakens.</v>
      </c>
      <c r="E1095" s="122" t="str">
        <f>IFERROR(__xludf.DUMMYFUNCTION("""COMPUTED_VALUE"""),"Negative")</f>
        <v>Negative</v>
      </c>
      <c r="F1095" s="122">
        <f>IFERROR(__xludf.DUMMYFUNCTION("""COMPUTED_VALUE"""),-0.015)</f>
        <v>-0.015</v>
      </c>
      <c r="G1095" s="122">
        <f>IFERROR(__xludf.DUMMYFUNCTION("""COMPUTED_VALUE"""),0.75)</f>
        <v>0.75</v>
      </c>
      <c r="H1095" s="122" t="str">
        <f>IFERROR(__xludf.DUMMYFUNCTION("""COMPUTED_VALUE"""),"Active")</f>
        <v>Active</v>
      </c>
    </row>
    <row r="1096">
      <c r="A1096" s="131">
        <f>IFERROR(__xludf.DUMMYFUNCTION("""COMPUTED_VALUE"""),46179.33130787037)</f>
        <v>46179.33131</v>
      </c>
      <c r="B1096" s="122" t="str">
        <f>IFERROR(__xludf.DUMMYFUNCTION("""COMPUTED_VALUE"""),"MOVI")</f>
        <v>MOVI</v>
      </c>
      <c r="C1096" s="122" t="str">
        <f>IFERROR(__xludf.DUMMYFUNCTION("""COMPUTED_VALUE"""),"MovieBox remains stable as the Entertainment market shows normal activity.")</f>
        <v>MovieBox remains stable as the Entertainment market shows normal activity.</v>
      </c>
      <c r="D1096" s="122" t="str">
        <f>IFERROR(__xludf.DUMMYFUNCTION("""COMPUTED_VALUE"""),"MovieBox appears steady with no major changes reported.")</f>
        <v>MovieBox appears steady with no major changes reported.</v>
      </c>
      <c r="E1096" s="122" t="str">
        <f>IFERROR(__xludf.DUMMYFUNCTION("""COMPUTED_VALUE"""),"Neutral")</f>
        <v>Neutral</v>
      </c>
      <c r="F1096" s="122">
        <f>IFERROR(__xludf.DUMMYFUNCTION("""COMPUTED_VALUE"""),0.0)</f>
        <v>0</v>
      </c>
      <c r="G1096" s="122">
        <f>IFERROR(__xludf.DUMMYFUNCTION("""COMPUTED_VALUE"""),0.0)</f>
        <v>0</v>
      </c>
      <c r="H1096" s="122" t="str">
        <f>IFERROR(__xludf.DUMMYFUNCTION("""COMPUTED_VALUE"""),"Active")</f>
        <v>Active</v>
      </c>
    </row>
    <row r="1097">
      <c r="A1097" s="131">
        <f>IFERROR(__xludf.DUMMYFUNCTION("""COMPUTED_VALUE"""),46179.33131944444)</f>
        <v>46179.33132</v>
      </c>
      <c r="B1097" s="122" t="str">
        <f>IFERROR(__xludf.DUMMYFUNCTION("""COMPUTED_VALUE"""),"MUSC")</f>
        <v>MUSC</v>
      </c>
      <c r="C1097" s="122" t="str">
        <f>IFERROR(__xludf.DUMMYFUNCTION("""COMPUTED_VALUE"""),"MusicWave reports steady growth and improved market confidence.")</f>
        <v>MusicWave reports steady growth and improved market confidence.</v>
      </c>
      <c r="D1097" s="122" t="str">
        <f>IFERROR(__xludf.DUMMYFUNCTION("""COMPUTED_VALUE"""),"MusicWave continues to show positive momentum with moderate risk.")</f>
        <v>MusicWave continues to show positive momentum with moderate risk.</v>
      </c>
      <c r="E1097" s="122" t="str">
        <f>IFERROR(__xludf.DUMMYFUNCTION("""COMPUTED_VALUE"""),"Positive")</f>
        <v>Positive</v>
      </c>
      <c r="F1097" s="122">
        <f>IFERROR(__xludf.DUMMYFUNCTION("""COMPUTED_VALUE"""),0.015)</f>
        <v>0.015</v>
      </c>
      <c r="G1097" s="122">
        <f>IFERROR(__xludf.DUMMYFUNCTION("""COMPUTED_VALUE"""),0.5)</f>
        <v>0.5</v>
      </c>
      <c r="H1097" s="122" t="str">
        <f>IFERROR(__xludf.DUMMYFUNCTION("""COMPUTED_VALUE"""),"Active")</f>
        <v>Active</v>
      </c>
    </row>
    <row r="1098">
      <c r="A1098" s="131">
        <f>IFERROR(__xludf.DUMMYFUNCTION("""COMPUTED_VALUE"""),46179.33133101852)</f>
        <v>46179.33133</v>
      </c>
      <c r="B1098" s="122" t="str">
        <f>IFERROR(__xludf.DUMMYFUNCTION("""COMPUTED_VALUE"""),"IDOL")</f>
        <v>IDOL</v>
      </c>
      <c r="C1098" s="122" t="str">
        <f>IFERROR(__xludf.DUMMYFUNCTION("""COMPUTED_VALUE"""),"Idol Agency faces weaker demand and cautious investor sentiment.")</f>
        <v>Idol Agency faces weaker demand and cautious investor sentiment.</v>
      </c>
      <c r="D1098" s="122" t="str">
        <f>IFERROR(__xludf.DUMMYFUNCTION("""COMPUTED_VALUE"""),"Investors are watching Idol Agency closely as demand weakens.")</f>
        <v>Investors are watching Idol Agency closely as demand weakens.</v>
      </c>
      <c r="E1098" s="122" t="str">
        <f>IFERROR(__xludf.DUMMYFUNCTION("""COMPUTED_VALUE"""),"Negative")</f>
        <v>Negative</v>
      </c>
      <c r="F1098" s="122">
        <f>IFERROR(__xludf.DUMMYFUNCTION("""COMPUTED_VALUE"""),-0.015)</f>
        <v>-0.015</v>
      </c>
      <c r="G1098" s="122">
        <f>IFERROR(__xludf.DUMMYFUNCTION("""COMPUTED_VALUE"""),0.75)</f>
        <v>0.75</v>
      </c>
      <c r="H1098" s="122" t="str">
        <f>IFERROR(__xludf.DUMMYFUNCTION("""COMPUTED_VALUE"""),"Active")</f>
        <v>Active</v>
      </c>
    </row>
    <row r="1099">
      <c r="A1099" s="131">
        <f>IFERROR(__xludf.DUMMYFUNCTION("""COMPUTED_VALUE"""),46179.33133101852)</f>
        <v>46179.33133</v>
      </c>
      <c r="B1099" s="122" t="str">
        <f>IFERROR(__xludf.DUMMYFUNCTION("""COMPUTED_VALUE"""),"MEME")</f>
        <v>MEME</v>
      </c>
      <c r="C1099" s="122" t="str">
        <f>IFERROR(__xludf.DUMMYFUNCTION("""COMPUTED_VALUE"""),"Meme Media reports steady growth and improved market confidence.")</f>
        <v>Meme Media reports steady growth and improved market confidence.</v>
      </c>
      <c r="D1099" s="122" t="str">
        <f>IFERROR(__xludf.DUMMYFUNCTION("""COMPUTED_VALUE"""),"Meme Media continues to show positive momentum with moderate risk.")</f>
        <v>Meme Media continues to show positive momentum with moderate risk.</v>
      </c>
      <c r="E1099" s="122" t="str">
        <f>IFERROR(__xludf.DUMMYFUNCTION("""COMPUTED_VALUE"""),"Positive")</f>
        <v>Positive</v>
      </c>
      <c r="F1099" s="122">
        <f>IFERROR(__xludf.DUMMYFUNCTION("""COMPUTED_VALUE"""),0.015)</f>
        <v>0.015</v>
      </c>
      <c r="G1099" s="122">
        <f>IFERROR(__xludf.DUMMYFUNCTION("""COMPUTED_VALUE"""),0.5)</f>
        <v>0.5</v>
      </c>
      <c r="H1099" s="122" t="str">
        <f>IFERROR(__xludf.DUMMYFUNCTION("""COMPUTED_VALUE"""),"Active")</f>
        <v>Active</v>
      </c>
    </row>
    <row r="1100">
      <c r="A1100" s="131">
        <f>IFERROR(__xludf.DUMMYFUNCTION("""COMPUTED_VALUE"""),46179.331342592595)</f>
        <v>46179.33134</v>
      </c>
      <c r="B1100" s="122" t="str">
        <f>IFERROR(__xludf.DUMMYFUNCTION("""COMPUTED_VALUE"""),"STRM")</f>
        <v>STRM</v>
      </c>
      <c r="C1100" s="122" t="str">
        <f>IFERROR(__xludf.DUMMYFUNCTION("""COMPUTED_VALUE"""),"Streamly faces weaker demand and cautious investor sentiment.")</f>
        <v>Streamly faces weaker demand and cautious investor sentiment.</v>
      </c>
      <c r="D1100" s="122" t="str">
        <f>IFERROR(__xludf.DUMMYFUNCTION("""COMPUTED_VALUE"""),"Investors are watching Streamly closely as demand weakens.")</f>
        <v>Investors are watching Streamly closely as demand weakens.</v>
      </c>
      <c r="E1100" s="122" t="str">
        <f>IFERROR(__xludf.DUMMYFUNCTION("""COMPUTED_VALUE"""),"Negative")</f>
        <v>Negative</v>
      </c>
      <c r="F1100" s="122">
        <f>IFERROR(__xludf.DUMMYFUNCTION("""COMPUTED_VALUE"""),-0.015)</f>
        <v>-0.015</v>
      </c>
      <c r="G1100" s="122">
        <f>IFERROR(__xludf.DUMMYFUNCTION("""COMPUTED_VALUE"""),0.75)</f>
        <v>0.75</v>
      </c>
      <c r="H1100" s="122" t="str">
        <f>IFERROR(__xludf.DUMMYFUNCTION("""COMPUTED_VALUE"""),"Active")</f>
        <v>Active</v>
      </c>
    </row>
    <row r="1101">
      <c r="A1101" s="131">
        <f>IFERROR(__xludf.DUMMYFUNCTION("""COMPUTED_VALUE"""),46179.331354166665)</f>
        <v>46179.33135</v>
      </c>
      <c r="B1101" s="122" t="str">
        <f>IFERROR(__xludf.DUMMYFUNCTION("""COMPUTED_VALUE"""),"FARM")</f>
        <v>FARM</v>
      </c>
      <c r="C1101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101" s="122" t="str">
        <f>IFERROR(__xludf.DUMMYFUNCTION("""COMPUTED_VALUE"""),"Future Farms appears steady with no major changes reported.")</f>
        <v>Future Farms appears steady with no major changes reported.</v>
      </c>
      <c r="E1101" s="122" t="str">
        <f>IFERROR(__xludf.DUMMYFUNCTION("""COMPUTED_VALUE"""),"Neutral")</f>
        <v>Neutral</v>
      </c>
      <c r="F1101" s="122">
        <f>IFERROR(__xludf.DUMMYFUNCTION("""COMPUTED_VALUE"""),0.0)</f>
        <v>0</v>
      </c>
      <c r="G1101" s="122">
        <f>IFERROR(__xludf.DUMMYFUNCTION("""COMPUTED_VALUE"""),0.0)</f>
        <v>0</v>
      </c>
      <c r="H1101" s="122" t="str">
        <f>IFERROR(__xludf.DUMMYFUNCTION("""COMPUTED_VALUE"""),"Active")</f>
        <v>Active</v>
      </c>
    </row>
    <row r="1102">
      <c r="A1102" s="131">
        <f>IFERROR(__xludf.DUMMYFUNCTION("""COMPUTED_VALUE"""),46179.33136574074)</f>
        <v>46179.33137</v>
      </c>
      <c r="B1102" s="122" t="str">
        <f>IFERROR(__xludf.DUMMYFUNCTION("""COMPUTED_VALUE"""),"MEAT")</f>
        <v>MEAT</v>
      </c>
      <c r="C1102" s="122" t="str">
        <f>IFERROR(__xludf.DUMMYFUNCTION("""COMPUTED_VALUE"""),"MeatWorks remains stable as the Food market shows normal activity.")</f>
        <v>MeatWorks remains stable as the Food market shows normal activity.</v>
      </c>
      <c r="D1102" s="122" t="str">
        <f>IFERROR(__xludf.DUMMYFUNCTION("""COMPUTED_VALUE"""),"MeatWorks appears steady with no major changes reported.")</f>
        <v>MeatWorks appears steady with no major changes reported.</v>
      </c>
      <c r="E1102" s="122" t="str">
        <f>IFERROR(__xludf.DUMMYFUNCTION("""COMPUTED_VALUE"""),"Neutral")</f>
        <v>Neutral</v>
      </c>
      <c r="F1102" s="122">
        <f>IFERROR(__xludf.DUMMYFUNCTION("""COMPUTED_VALUE"""),0.0)</f>
        <v>0</v>
      </c>
      <c r="G1102" s="122">
        <f>IFERROR(__xludf.DUMMYFUNCTION("""COMPUTED_VALUE"""),0.0)</f>
        <v>0</v>
      </c>
      <c r="H1102" s="122" t="str">
        <f>IFERROR(__xludf.DUMMYFUNCTION("""COMPUTED_VALUE"""),"Active")</f>
        <v>Active</v>
      </c>
    </row>
    <row r="1103">
      <c r="A1103" s="131">
        <f>IFERROR(__xludf.DUMMYFUNCTION("""COMPUTED_VALUE"""),46179.33137731482)</f>
        <v>46179.33138</v>
      </c>
      <c r="B1103" s="122" t="str">
        <f>IFERROR(__xludf.DUMMYFUNCTION("""COMPUTED_VALUE"""),"VEGI")</f>
        <v>VEGI</v>
      </c>
      <c r="C1103" s="122" t="str">
        <f>IFERROR(__xludf.DUMMYFUNCTION("""COMPUTED_VALUE"""),"Green Basket remains stable as the Food market shows normal activity.")</f>
        <v>Green Basket remains stable as the Food market shows normal activity.</v>
      </c>
      <c r="D1103" s="122" t="str">
        <f>IFERROR(__xludf.DUMMYFUNCTION("""COMPUTED_VALUE"""),"Green Basket appears steady with no major changes reported.")</f>
        <v>Green Basket appears steady with no major changes reported.</v>
      </c>
      <c r="E1103" s="122" t="str">
        <f>IFERROR(__xludf.DUMMYFUNCTION("""COMPUTED_VALUE"""),"Neutral")</f>
        <v>Neutral</v>
      </c>
      <c r="F1103" s="122">
        <f>IFERROR(__xludf.DUMMYFUNCTION("""COMPUTED_VALUE"""),0.0)</f>
        <v>0</v>
      </c>
      <c r="G1103" s="122">
        <f>IFERROR(__xludf.DUMMYFUNCTION("""COMPUTED_VALUE"""),0.0)</f>
        <v>0</v>
      </c>
      <c r="H1103" s="122" t="str">
        <f>IFERROR(__xludf.DUMMYFUNCTION("""COMPUTED_VALUE"""),"Active")</f>
        <v>Active</v>
      </c>
    </row>
    <row r="1104">
      <c r="A1104" s="131">
        <f>IFERROR(__xludf.DUMMYFUNCTION("""COMPUTED_VALUE"""),46179.33138888889)</f>
        <v>46179.33139</v>
      </c>
      <c r="B1104" s="122" t="str">
        <f>IFERROR(__xludf.DUMMYFUNCTION("""COMPUTED_VALUE"""),"CAFE")</f>
        <v>CAFE</v>
      </c>
      <c r="C1104" s="122" t="str">
        <f>IFERROR(__xludf.DUMMYFUNCTION("""COMPUTED_VALUE"""),"Cafe Cloud remains stable as the Food market shows normal activity.")</f>
        <v>Cafe Cloud remains stable as the Food market shows normal activity.</v>
      </c>
      <c r="D1104" s="122" t="str">
        <f>IFERROR(__xludf.DUMMYFUNCTION("""COMPUTED_VALUE"""),"Cafe Cloud appears steady with no major changes reported.")</f>
        <v>Cafe Cloud appears steady with no major changes reported.</v>
      </c>
      <c r="E1104" s="122" t="str">
        <f>IFERROR(__xludf.DUMMYFUNCTION("""COMPUTED_VALUE"""),"Neutral")</f>
        <v>Neutral</v>
      </c>
      <c r="F1104" s="122">
        <f>IFERROR(__xludf.DUMMYFUNCTION("""COMPUTED_VALUE"""),0.0)</f>
        <v>0</v>
      </c>
      <c r="G1104" s="122">
        <f>IFERROR(__xludf.DUMMYFUNCTION("""COMPUTED_VALUE"""),0.0)</f>
        <v>0</v>
      </c>
      <c r="H1104" s="122" t="str">
        <f>IFERROR(__xludf.DUMMYFUNCTION("""COMPUTED_VALUE"""),"Active")</f>
        <v>Active</v>
      </c>
    </row>
    <row r="1105">
      <c r="A1105" s="131">
        <f>IFERROR(__xludf.DUMMYFUNCTION("""COMPUTED_VALUE"""),46179.331400462965)</f>
        <v>46179.3314</v>
      </c>
      <c r="B1105" s="122" t="str">
        <f>IFERROR(__xludf.DUMMYFUNCTION("""COMPUTED_VALUE"""),"BAKE")</f>
        <v>BAKE</v>
      </c>
      <c r="C1105" s="122" t="str">
        <f>IFERROR(__xludf.DUMMYFUNCTION("""COMPUTED_VALUE"""),"BakeHouse remains stable as the Food market shows normal activity.")</f>
        <v>BakeHouse remains stable as the Food market shows normal activity.</v>
      </c>
      <c r="D1105" s="122" t="str">
        <f>IFERROR(__xludf.DUMMYFUNCTION("""COMPUTED_VALUE"""),"BakeHouse appears steady with no major changes reported.")</f>
        <v>BakeHouse appears steady with no major changes reported.</v>
      </c>
      <c r="E1105" s="122" t="str">
        <f>IFERROR(__xludf.DUMMYFUNCTION("""COMPUTED_VALUE"""),"Neutral")</f>
        <v>Neutral</v>
      </c>
      <c r="F1105" s="122">
        <f>IFERROR(__xludf.DUMMYFUNCTION("""COMPUTED_VALUE"""),0.0)</f>
        <v>0</v>
      </c>
      <c r="G1105" s="122">
        <f>IFERROR(__xludf.DUMMYFUNCTION("""COMPUTED_VALUE"""),0.0)</f>
        <v>0</v>
      </c>
      <c r="H1105" s="122" t="str">
        <f>IFERROR(__xludf.DUMMYFUNCTION("""COMPUTED_VALUE"""),"Active")</f>
        <v>Active</v>
      </c>
    </row>
    <row r="1106">
      <c r="A1106" s="131">
        <f>IFERROR(__xludf.DUMMYFUNCTION("""COMPUTED_VALUE"""),46179.331412037034)</f>
        <v>46179.33141</v>
      </c>
      <c r="B1106" s="122" t="str">
        <f>IFERROR(__xludf.DUMMYFUNCTION("""COMPUTED_VALUE"""),"OILX")</f>
        <v>OILX</v>
      </c>
      <c r="C1106" s="122" t="str">
        <f>IFERROR(__xludf.DUMMYFUNCTION("""COMPUTED_VALUE"""),"OilMax Energy surges as demand rises across the Energy sector.")</f>
        <v>OilMax Energy surges as demand rises across the Energy sector.</v>
      </c>
      <c r="D1106" s="122" t="str">
        <f>IFERROR(__xludf.DUMMYFUNCTION("""COMPUTED_VALUE"""),"OilMax Energy is seeing strong demand, which may increase investor confidence.")</f>
        <v>OilMax Energy is seeing strong demand, which may increase investor confidence.</v>
      </c>
      <c r="E1106" s="122" t="str">
        <f>IFERROR(__xludf.DUMMYFUNCTION("""COMPUTED_VALUE"""),"Positive")</f>
        <v>Positive</v>
      </c>
      <c r="F1106" s="122">
        <f>IFERROR(__xludf.DUMMYFUNCTION("""COMPUTED_VALUE"""),0.03)</f>
        <v>0.03</v>
      </c>
      <c r="G1106" s="122">
        <f>IFERROR(__xludf.DUMMYFUNCTION("""COMPUTED_VALUE"""),1.0)</f>
        <v>1</v>
      </c>
      <c r="H1106" s="122" t="str">
        <f>IFERROR(__xludf.DUMMYFUNCTION("""COMPUTED_VALUE"""),"Active")</f>
        <v>Active</v>
      </c>
    </row>
    <row r="1107">
      <c r="A1107" s="131">
        <f>IFERROR(__xludf.DUMMYFUNCTION("""COMPUTED_VALUE"""),46179.331412037034)</f>
        <v>46179.33141</v>
      </c>
      <c r="B1107" s="122" t="str">
        <f>IFERROR(__xludf.DUMMYFUNCTION("""COMPUTED_VALUE"""),"SOLR")</f>
        <v>SOLR</v>
      </c>
      <c r="C1107" s="122" t="str">
        <f>IFERROR(__xludf.DUMMYFUNCTION("""COMPUTED_VALUE"""),"SolarSpark remains stable as the Energy market shows normal activity.")</f>
        <v>SolarSpark remains stable as the Energy market shows normal activity.</v>
      </c>
      <c r="D1107" s="122" t="str">
        <f>IFERROR(__xludf.DUMMYFUNCTION("""COMPUTED_VALUE"""),"SolarSpark appears steady with no major changes reported.")</f>
        <v>SolarSpark appears steady with no major changes reported.</v>
      </c>
      <c r="E1107" s="122" t="str">
        <f>IFERROR(__xludf.DUMMYFUNCTION("""COMPUTED_VALUE"""),"Neutral")</f>
        <v>Neutral</v>
      </c>
      <c r="F1107" s="122">
        <f>IFERROR(__xludf.DUMMYFUNCTION("""COMPUTED_VALUE"""),0.0)</f>
        <v>0</v>
      </c>
      <c r="G1107" s="122">
        <f>IFERROR(__xludf.DUMMYFUNCTION("""COMPUTED_VALUE"""),0.0)</f>
        <v>0</v>
      </c>
      <c r="H1107" s="122" t="str">
        <f>IFERROR(__xludf.DUMMYFUNCTION("""COMPUTED_VALUE"""),"Active")</f>
        <v>Active</v>
      </c>
    </row>
    <row r="1108">
      <c r="A1108" s="131">
        <f>IFERROR(__xludf.DUMMYFUNCTION("""COMPUTED_VALUE"""),46179.33142361111)</f>
        <v>46179.33142</v>
      </c>
      <c r="B1108" s="122" t="str">
        <f>IFERROR(__xludf.DUMMYFUNCTION("""COMPUTED_VALUE"""),"BATT")</f>
        <v>BATT</v>
      </c>
      <c r="C1108" s="122" t="str">
        <f>IFERROR(__xludf.DUMMYFUNCTION("""COMPUTED_VALUE"""),"BatteryBox faces weaker demand and cautious investor sentiment.")</f>
        <v>BatteryBox faces weaker demand and cautious investor sentiment.</v>
      </c>
      <c r="D1108" s="122" t="str">
        <f>IFERROR(__xludf.DUMMYFUNCTION("""COMPUTED_VALUE"""),"Investors are watching BatteryBox closely as demand weakens.")</f>
        <v>Investors are watching BatteryBox closely as demand weakens.</v>
      </c>
      <c r="E1108" s="122" t="str">
        <f>IFERROR(__xludf.DUMMYFUNCTION("""COMPUTED_VALUE"""),"Negative")</f>
        <v>Negative</v>
      </c>
      <c r="F1108" s="122">
        <f>IFERROR(__xludf.DUMMYFUNCTION("""COMPUTED_VALUE"""),-0.015)</f>
        <v>-0.015</v>
      </c>
      <c r="G1108" s="122">
        <f>IFERROR(__xludf.DUMMYFUNCTION("""COMPUTED_VALUE"""),0.75)</f>
        <v>0.75</v>
      </c>
      <c r="H1108" s="122" t="str">
        <f>IFERROR(__xludf.DUMMYFUNCTION("""COMPUTED_VALUE"""),"Active")</f>
        <v>Active</v>
      </c>
    </row>
    <row r="1109">
      <c r="A1109" s="131">
        <f>IFERROR(__xludf.DUMMYFUNCTION("""COMPUTED_VALUE"""),46179.33143518519)</f>
        <v>46179.33144</v>
      </c>
      <c r="B1109" s="122" t="str">
        <f>IFERROR(__xludf.DUMMYFUNCTION("""COMPUTED_VALUE"""),"WIND")</f>
        <v>WIND</v>
      </c>
      <c r="C1109" s="122" t="str">
        <f>IFERROR(__xludf.DUMMYFUNCTION("""COMPUTED_VALUE"""),"WindWorks remains stable as the Energy market shows normal activity.")</f>
        <v>WindWorks remains stable as the Energy market shows normal activity.</v>
      </c>
      <c r="D1109" s="122" t="str">
        <f>IFERROR(__xludf.DUMMYFUNCTION("""COMPUTED_VALUE"""),"WindWorks appears steady with no major changes reported.")</f>
        <v>WindWorks appears steady with no major changes reported.</v>
      </c>
      <c r="E1109" s="122" t="str">
        <f>IFERROR(__xludf.DUMMYFUNCTION("""COMPUTED_VALUE"""),"Neutral")</f>
        <v>Neutral</v>
      </c>
      <c r="F1109" s="122">
        <f>IFERROR(__xludf.DUMMYFUNCTION("""COMPUTED_VALUE"""),0.0)</f>
        <v>0</v>
      </c>
      <c r="G1109" s="122">
        <f>IFERROR(__xludf.DUMMYFUNCTION("""COMPUTED_VALUE"""),0.0)</f>
        <v>0</v>
      </c>
      <c r="H1109" s="122" t="str">
        <f>IFERROR(__xludf.DUMMYFUNCTION("""COMPUTED_VALUE"""),"Active")</f>
        <v>Active</v>
      </c>
    </row>
    <row r="1110">
      <c r="A1110" s="131">
        <f>IFERROR(__xludf.DUMMYFUNCTION("""COMPUTED_VALUE"""),46179.33144675926)</f>
        <v>46179.33145</v>
      </c>
      <c r="B1110" s="122" t="str">
        <f>IFERROR(__xludf.DUMMYFUNCTION("""COMPUTED_VALUE"""),"GRID")</f>
        <v>GRID</v>
      </c>
      <c r="C1110" s="122" t="str">
        <f>IFERROR(__xludf.DUMMYFUNCTION("""COMPUTED_VALUE"""),"GridPower reports steady growth and improved market confidence.")</f>
        <v>GridPower reports steady growth and improved market confidence.</v>
      </c>
      <c r="D1110" s="122" t="str">
        <f>IFERROR(__xludf.DUMMYFUNCTION("""COMPUTED_VALUE"""),"GridPower continues to show positive momentum with moderate risk.")</f>
        <v>GridPower continues to show positive momentum with moderate risk.</v>
      </c>
      <c r="E1110" s="122" t="str">
        <f>IFERROR(__xludf.DUMMYFUNCTION("""COMPUTED_VALUE"""),"Positive")</f>
        <v>Positive</v>
      </c>
      <c r="F1110" s="122">
        <f>IFERROR(__xludf.DUMMYFUNCTION("""COMPUTED_VALUE"""),0.015)</f>
        <v>0.015</v>
      </c>
      <c r="G1110" s="122">
        <f>IFERROR(__xludf.DUMMYFUNCTION("""COMPUTED_VALUE"""),0.5)</f>
        <v>0.5</v>
      </c>
      <c r="H1110" s="122" t="str">
        <f>IFERROR(__xludf.DUMMYFUNCTION("""COMPUTED_VALUE"""),"Active")</f>
        <v>Active</v>
      </c>
    </row>
    <row r="1111">
      <c r="A1111" s="131">
        <f>IFERROR(__xludf.DUMMYFUNCTION("""COMPUTED_VALUE"""),46179.331458333334)</f>
        <v>46179.33146</v>
      </c>
      <c r="B1111" s="122" t="str">
        <f>IFERROR(__xludf.DUMMYFUNCTION("""COMPUTED_VALUE"""),"HOME")</f>
        <v>HOME</v>
      </c>
      <c r="C1111" s="122" t="str">
        <f>IFERROR(__xludf.DUMMYFUNCTION("""COMPUTED_VALUE"""),"HomeHub reports steady growth and improved market confidence.")</f>
        <v>HomeHub reports steady growth and improved market confidence.</v>
      </c>
      <c r="D1111" s="122" t="str">
        <f>IFERROR(__xludf.DUMMYFUNCTION("""COMPUTED_VALUE"""),"HomeHub continues to show positive momentum with moderate risk.")</f>
        <v>HomeHub continues to show positive momentum with moderate risk.</v>
      </c>
      <c r="E1111" s="122" t="str">
        <f>IFERROR(__xludf.DUMMYFUNCTION("""COMPUTED_VALUE"""),"Positive")</f>
        <v>Positive</v>
      </c>
      <c r="F1111" s="122">
        <f>IFERROR(__xludf.DUMMYFUNCTION("""COMPUTED_VALUE"""),0.015)</f>
        <v>0.015</v>
      </c>
      <c r="G1111" s="122">
        <f>IFERROR(__xludf.DUMMYFUNCTION("""COMPUTED_VALUE"""),0.5)</f>
        <v>0.5</v>
      </c>
      <c r="H1111" s="122" t="str">
        <f>IFERROR(__xludf.DUMMYFUNCTION("""COMPUTED_VALUE"""),"Active")</f>
        <v>Active</v>
      </c>
    </row>
    <row r="1112">
      <c r="A1112" s="131">
        <f>IFERROR(__xludf.DUMMYFUNCTION("""COMPUTED_VALUE"""),46179.331458333334)</f>
        <v>46179.33146</v>
      </c>
      <c r="B1112" s="122" t="str">
        <f>IFERROR(__xludf.DUMMYFUNCTION("""COMPUTED_VALUE"""),"RENT")</f>
        <v>RENT</v>
      </c>
      <c r="C1112" s="122" t="str">
        <f>IFERROR(__xludf.DUMMYFUNCTION("""COMPUTED_VALUE"""),"RentRight remains stable as the Real Estate market shows normal activity.")</f>
        <v>RentRight remains stable as the Real Estate market shows normal activity.</v>
      </c>
      <c r="D1112" s="122" t="str">
        <f>IFERROR(__xludf.DUMMYFUNCTION("""COMPUTED_VALUE"""),"RentRight appears steady with no major changes reported.")</f>
        <v>RentRight appears steady with no major changes reported.</v>
      </c>
      <c r="E1112" s="122" t="str">
        <f>IFERROR(__xludf.DUMMYFUNCTION("""COMPUTED_VALUE"""),"Neutral")</f>
        <v>Neutral</v>
      </c>
      <c r="F1112" s="122">
        <f>IFERROR(__xludf.DUMMYFUNCTION("""COMPUTED_VALUE"""),0.0)</f>
        <v>0</v>
      </c>
      <c r="G1112" s="122">
        <f>IFERROR(__xludf.DUMMYFUNCTION("""COMPUTED_VALUE"""),0.0)</f>
        <v>0</v>
      </c>
      <c r="H1112" s="122" t="str">
        <f>IFERROR(__xludf.DUMMYFUNCTION("""COMPUTED_VALUE"""),"Active")</f>
        <v>Active</v>
      </c>
    </row>
    <row r="1113">
      <c r="A1113" s="131">
        <f>IFERROR(__xludf.DUMMYFUNCTION("""COMPUTED_VALUE"""),46179.33148148148)</f>
        <v>46179.33148</v>
      </c>
      <c r="B1113" s="122" t="str">
        <f>IFERROR(__xludf.DUMMYFUNCTION("""COMPUTED_VALUE"""),"MALL")</f>
        <v>MALL</v>
      </c>
      <c r="C1113" s="122" t="str">
        <f>IFERROR(__xludf.DUMMYFUNCTION("""COMPUTED_VALUE"""),"MegaMall reports steady growth and improved market confidence.")</f>
        <v>MegaMall reports steady growth and improved market confidence.</v>
      </c>
      <c r="D1113" s="122" t="str">
        <f>IFERROR(__xludf.DUMMYFUNCTION("""COMPUTED_VALUE"""),"MegaMall continues to show positive momentum with moderate risk.")</f>
        <v>MegaMall continues to show positive momentum with moderate risk.</v>
      </c>
      <c r="E1113" s="122" t="str">
        <f>IFERROR(__xludf.DUMMYFUNCTION("""COMPUTED_VALUE"""),"Positive")</f>
        <v>Positive</v>
      </c>
      <c r="F1113" s="122">
        <f>IFERROR(__xludf.DUMMYFUNCTION("""COMPUTED_VALUE"""),0.015)</f>
        <v>0.015</v>
      </c>
      <c r="G1113" s="122">
        <f>IFERROR(__xludf.DUMMYFUNCTION("""COMPUTED_VALUE"""),0.5)</f>
        <v>0.5</v>
      </c>
      <c r="H1113" s="122" t="str">
        <f>IFERROR(__xludf.DUMMYFUNCTION("""COMPUTED_VALUE"""),"Active")</f>
        <v>Active</v>
      </c>
    </row>
    <row r="1114">
      <c r="A1114" s="131">
        <f>IFERROR(__xludf.DUMMYFUNCTION("""COMPUTED_VALUE"""),46179.33149305556)</f>
        <v>46179.33149</v>
      </c>
      <c r="B1114" s="122" t="str">
        <f>IFERROR(__xludf.DUMMYFUNCTION("""COMPUTED_VALUE"""),"HOTL")</f>
        <v>HOTL</v>
      </c>
      <c r="C1114" s="122" t="str">
        <f>IFERROR(__xludf.DUMMYFUNCTION("""COMPUTED_VALUE"""),"HotelHive remains stable as the Real Estate market shows normal activity.")</f>
        <v>HotelHive remains stable as the Real Estate market shows normal activity.</v>
      </c>
      <c r="D1114" s="122" t="str">
        <f>IFERROR(__xludf.DUMMYFUNCTION("""COMPUTED_VALUE"""),"HotelHive appears steady with no major changes reported.")</f>
        <v>HotelHive appears steady with no major changes reported.</v>
      </c>
      <c r="E1114" s="122" t="str">
        <f>IFERROR(__xludf.DUMMYFUNCTION("""COMPUTED_VALUE"""),"Neutral")</f>
        <v>Neutral</v>
      </c>
      <c r="F1114" s="122">
        <f>IFERROR(__xludf.DUMMYFUNCTION("""COMPUTED_VALUE"""),0.0)</f>
        <v>0</v>
      </c>
      <c r="G1114" s="122">
        <f>IFERROR(__xludf.DUMMYFUNCTION("""COMPUTED_VALUE"""),0.0)</f>
        <v>0</v>
      </c>
      <c r="H1114" s="122" t="str">
        <f>IFERROR(__xludf.DUMMYFUNCTION("""COMPUTED_VALUE"""),"Active")</f>
        <v>Active</v>
      </c>
    </row>
    <row r="1115">
      <c r="A1115" s="131">
        <f>IFERROR(__xludf.DUMMYFUNCTION("""COMPUTED_VALUE"""),46179.33150462963)</f>
        <v>46179.3315</v>
      </c>
      <c r="B1115" s="122" t="str">
        <f>IFERROR(__xludf.DUMMYFUNCTION("""COMPUTED_VALUE"""),"LAND")</f>
        <v>LAND</v>
      </c>
      <c r="C1115" s="122" t="str">
        <f>IFERROR(__xludf.DUMMYFUNCTION("""COMPUTED_VALUE"""),"LandLink remains stable as the Real Estate market shows normal activity.")</f>
        <v>LandLink remains stable as the Real Estate market shows normal activity.</v>
      </c>
      <c r="D1115" s="122" t="str">
        <f>IFERROR(__xludf.DUMMYFUNCTION("""COMPUTED_VALUE"""),"LandLink appears steady with no major changes reported.")</f>
        <v>LandLink appears steady with no major changes reported.</v>
      </c>
      <c r="E1115" s="122" t="str">
        <f>IFERROR(__xludf.DUMMYFUNCTION("""COMPUTED_VALUE"""),"Neutral")</f>
        <v>Neutral</v>
      </c>
      <c r="F1115" s="122">
        <f>IFERROR(__xludf.DUMMYFUNCTION("""COMPUTED_VALUE"""),0.0)</f>
        <v>0</v>
      </c>
      <c r="G1115" s="122">
        <f>IFERROR(__xludf.DUMMYFUNCTION("""COMPUTED_VALUE"""),0.0)</f>
        <v>0</v>
      </c>
      <c r="H1115" s="122" t="str">
        <f>IFERROR(__xludf.DUMMYFUNCTION("""COMPUTED_VALUE"""),"Active")</f>
        <v>Active</v>
      </c>
    </row>
    <row r="1116">
      <c r="A1116" s="131">
        <f>IFERROR(__xludf.DUMMYFUNCTION("""COMPUTED_VALUE"""),46179.33152777778)</f>
        <v>46179.33153</v>
      </c>
      <c r="B1116" s="122" t="str">
        <f>IFERROR(__xludf.DUMMYFUNCTION("""COMPUTED_VALUE"""),"CARS")</f>
        <v>CARS</v>
      </c>
      <c r="C1116" s="122" t="str">
        <f>IFERROR(__xludf.DUMMYFUNCTION("""COMPUTED_VALUE"""),"AutoArena remains stable as the Automotive market shows normal activity.")</f>
        <v>AutoArena remains stable as the Automotive market shows normal activity.</v>
      </c>
      <c r="D1116" s="122" t="str">
        <f>IFERROR(__xludf.DUMMYFUNCTION("""COMPUTED_VALUE"""),"AutoArena appears steady with no major changes reported.")</f>
        <v>AutoArena appears steady with no major changes reported.</v>
      </c>
      <c r="E1116" s="122" t="str">
        <f>IFERROR(__xludf.DUMMYFUNCTION("""COMPUTED_VALUE"""),"Neutral")</f>
        <v>Neutral</v>
      </c>
      <c r="F1116" s="122">
        <f>IFERROR(__xludf.DUMMYFUNCTION("""COMPUTED_VALUE"""),0.0)</f>
        <v>0</v>
      </c>
      <c r="G1116" s="122">
        <f>IFERROR(__xludf.DUMMYFUNCTION("""COMPUTED_VALUE"""),0.0)</f>
        <v>0</v>
      </c>
      <c r="H1116" s="122" t="str">
        <f>IFERROR(__xludf.DUMMYFUNCTION("""COMPUTED_VALUE"""),"Active")</f>
        <v>Active</v>
      </c>
    </row>
    <row r="1117">
      <c r="A1117" s="131">
        <f>IFERROR(__xludf.DUMMYFUNCTION("""COMPUTED_VALUE"""),46179.33152777778)</f>
        <v>46179.33153</v>
      </c>
      <c r="B1117" s="122" t="str">
        <f>IFERROR(__xludf.DUMMYFUNCTION("""COMPUTED_VALUE"""),"EVGO")</f>
        <v>EVGO</v>
      </c>
      <c r="C1117" s="122" t="str">
        <f>IFERROR(__xludf.DUMMYFUNCTION("""COMPUTED_VALUE"""),"EVGo Motors surges as demand rises across the Automotive sector.")</f>
        <v>EVGo Motors surges as demand rises across the Automotive sector.</v>
      </c>
      <c r="D1117" s="122" t="str">
        <f>IFERROR(__xludf.DUMMYFUNCTION("""COMPUTED_VALUE"""),"EVGo Motors is seeing strong demand, which may increase investor confidence.")</f>
        <v>EVGo Motors is seeing strong demand, which may increase investor confidence.</v>
      </c>
      <c r="E1117" s="122" t="str">
        <f>IFERROR(__xludf.DUMMYFUNCTION("""COMPUTED_VALUE"""),"Positive")</f>
        <v>Positive</v>
      </c>
      <c r="F1117" s="122">
        <f>IFERROR(__xludf.DUMMYFUNCTION("""COMPUTED_VALUE"""),0.03)</f>
        <v>0.03</v>
      </c>
      <c r="G1117" s="122">
        <f>IFERROR(__xludf.DUMMYFUNCTION("""COMPUTED_VALUE"""),1.0)</f>
        <v>1</v>
      </c>
      <c r="H1117" s="122" t="str">
        <f>IFERROR(__xludf.DUMMYFUNCTION("""COMPUTED_VALUE"""),"Active")</f>
        <v>Active</v>
      </c>
    </row>
    <row r="1118">
      <c r="A1118" s="131">
        <f>IFERROR(__xludf.DUMMYFUNCTION("""COMPUTED_VALUE"""),46179.33153935185)</f>
        <v>46179.33154</v>
      </c>
      <c r="B1118" s="122" t="str">
        <f>IFERROR(__xludf.DUMMYFUNCTION("""COMPUTED_VALUE"""),"TIRE")</f>
        <v>TIRE</v>
      </c>
      <c r="C1118" s="122" t="str">
        <f>IFERROR(__xludf.DUMMYFUNCTION("""COMPUTED_VALUE"""),"TireTown reports steady growth and improved market confidence.")</f>
        <v>TireTown reports steady growth and improved market confidence.</v>
      </c>
      <c r="D1118" s="122" t="str">
        <f>IFERROR(__xludf.DUMMYFUNCTION("""COMPUTED_VALUE"""),"TireTown continues to show positive momentum with moderate risk.")</f>
        <v>TireTown continues to show positive momentum with moderate risk.</v>
      </c>
      <c r="E1118" s="122" t="str">
        <f>IFERROR(__xludf.DUMMYFUNCTION("""COMPUTED_VALUE"""),"Positive")</f>
        <v>Positive</v>
      </c>
      <c r="F1118" s="122">
        <f>IFERROR(__xludf.DUMMYFUNCTION("""COMPUTED_VALUE"""),0.015)</f>
        <v>0.015</v>
      </c>
      <c r="G1118" s="122">
        <f>IFERROR(__xludf.DUMMYFUNCTION("""COMPUTED_VALUE"""),0.5)</f>
        <v>0.5</v>
      </c>
      <c r="H1118" s="122" t="str">
        <f>IFERROR(__xludf.DUMMYFUNCTION("""COMPUTED_VALUE"""),"Active")</f>
        <v>Active</v>
      </c>
    </row>
    <row r="1119">
      <c r="A1119" s="131">
        <f>IFERROR(__xludf.DUMMYFUNCTION("""COMPUTED_VALUE"""),46179.33155092593)</f>
        <v>46179.33155</v>
      </c>
      <c r="B1119" s="122" t="str">
        <f>IFERROR(__xludf.DUMMYFUNCTION("""COMPUTED_VALUE"""),"BIKE")</f>
        <v>BIKE</v>
      </c>
      <c r="C1119" s="122" t="str">
        <f>IFERROR(__xludf.DUMMYFUNCTION("""COMPUTED_VALUE"""),"BikeBox faces weaker demand and cautious investor sentiment.")</f>
        <v>BikeBox faces weaker demand and cautious investor sentiment.</v>
      </c>
      <c r="D1119" s="122" t="str">
        <f>IFERROR(__xludf.DUMMYFUNCTION("""COMPUTED_VALUE"""),"Investors are watching BikeBox closely as demand weakens.")</f>
        <v>Investors are watching BikeBox closely as demand weakens.</v>
      </c>
      <c r="E1119" s="122" t="str">
        <f>IFERROR(__xludf.DUMMYFUNCTION("""COMPUTED_VALUE"""),"Negative")</f>
        <v>Negative</v>
      </c>
      <c r="F1119" s="122">
        <f>IFERROR(__xludf.DUMMYFUNCTION("""COMPUTED_VALUE"""),-0.015)</f>
        <v>-0.015</v>
      </c>
      <c r="G1119" s="122">
        <f>IFERROR(__xludf.DUMMYFUNCTION("""COMPUTED_VALUE"""),0.75)</f>
        <v>0.75</v>
      </c>
      <c r="H1119" s="122" t="str">
        <f>IFERROR(__xludf.DUMMYFUNCTION("""COMPUTED_VALUE"""),"Active")</f>
        <v>Active</v>
      </c>
    </row>
    <row r="1120">
      <c r="A1120" s="131">
        <f>IFERROR(__xludf.DUMMYFUNCTION("""COMPUTED_VALUE"""),46179.33155092593)</f>
        <v>46179.33155</v>
      </c>
      <c r="B1120" s="122" t="str">
        <f>IFERROR(__xludf.DUMMYFUNCTION("""COMPUTED_VALUE"""),"WASH")</f>
        <v>WASH</v>
      </c>
      <c r="C1120" s="122" t="str">
        <f>IFERROR(__xludf.DUMMYFUNCTION("""COMPUTED_VALUE"""),"CarWash Co reports steady growth and improved market confidence.")</f>
        <v>CarWash Co reports steady growth and improved market confidence.</v>
      </c>
      <c r="D1120" s="122" t="str">
        <f>IFERROR(__xludf.DUMMYFUNCTION("""COMPUTED_VALUE"""),"CarWash Co continues to show positive momentum with moderate risk.")</f>
        <v>CarWash Co continues to show positive momentum with moderate risk.</v>
      </c>
      <c r="E1120" s="122" t="str">
        <f>IFERROR(__xludf.DUMMYFUNCTION("""COMPUTED_VALUE"""),"Positive")</f>
        <v>Positive</v>
      </c>
      <c r="F1120" s="122">
        <f>IFERROR(__xludf.DUMMYFUNCTION("""COMPUTED_VALUE"""),0.015)</f>
        <v>0.015</v>
      </c>
      <c r="G1120" s="122">
        <f>IFERROR(__xludf.DUMMYFUNCTION("""COMPUTED_VALUE"""),0.5)</f>
        <v>0.5</v>
      </c>
      <c r="H1120" s="122" t="str">
        <f>IFERROR(__xludf.DUMMYFUNCTION("""COMPUTED_VALUE"""),"Active")</f>
        <v>Active</v>
      </c>
    </row>
    <row r="1121">
      <c r="A1121" s="131">
        <f>IFERROR(__xludf.DUMMYFUNCTION("""COMPUTED_VALUE"""),46179.3315625)</f>
        <v>46179.33156</v>
      </c>
      <c r="B1121" s="122" t="str">
        <f>IFERROR(__xludf.DUMMYFUNCTION("""COMPUTED_VALUE"""),"GBND")</f>
        <v>GBND</v>
      </c>
      <c r="C1121" s="122" t="str">
        <f>IFERROR(__xludf.DUMMYFUNCTION("""COMPUTED_VALUE"""),"Classroom Government Bond remains steady as investors seek stability.")</f>
        <v>Classroom Government Bond remains steady as investors seek stability.</v>
      </c>
      <c r="D1121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121" s="122" t="str">
        <f>IFERROR(__xludf.DUMMYFUNCTION("""COMPUTED_VALUE"""),"Neutral")</f>
        <v>Neutral</v>
      </c>
      <c r="F1121" s="122">
        <f>IFERROR(__xludf.DUMMYFUNCTION("""COMPUTED_VALUE"""),0.0)</f>
        <v>0</v>
      </c>
      <c r="G1121" s="122">
        <f>IFERROR(__xludf.DUMMYFUNCTION("""COMPUTED_VALUE"""),0.0)</f>
        <v>0</v>
      </c>
      <c r="H1121" s="122" t="str">
        <f>IFERROR(__xludf.DUMMYFUNCTION("""COMPUTED_VALUE"""),"Active")</f>
        <v>Active</v>
      </c>
    </row>
    <row r="1122">
      <c r="A1122" s="131">
        <f>IFERROR(__xludf.DUMMYFUNCTION("""COMPUTED_VALUE"""),46179.33157407407)</f>
        <v>46179.33157</v>
      </c>
      <c r="B1122" s="122" t="str">
        <f>IFERROR(__xludf.DUMMYFUNCTION("""COMPUTED_VALUE"""),"SBND")</f>
        <v>SBND</v>
      </c>
      <c r="C1122" s="122" t="str">
        <f>IFERROR(__xludf.DUMMYFUNCTION("""COMPUTED_VALUE"""),"School Savings Bond remains steady as investors seek stability.")</f>
        <v>School Savings Bond remains steady as investors seek stability.</v>
      </c>
      <c r="D1122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122" s="122" t="str">
        <f>IFERROR(__xludf.DUMMYFUNCTION("""COMPUTED_VALUE"""),"Neutral")</f>
        <v>Neutral</v>
      </c>
      <c r="F1122" s="122">
        <f>IFERROR(__xludf.DUMMYFUNCTION("""COMPUTED_VALUE"""),0.0)</f>
        <v>0</v>
      </c>
      <c r="G1122" s="122">
        <f>IFERROR(__xludf.DUMMYFUNCTION("""COMPUTED_VALUE"""),0.0)</f>
        <v>0</v>
      </c>
      <c r="H1122" s="122" t="str">
        <f>IFERROR(__xludf.DUMMYFUNCTION("""COMPUTED_VALUE"""),"Active")</f>
        <v>Active</v>
      </c>
    </row>
    <row r="1123">
      <c r="A1123" s="131">
        <f>IFERROR(__xludf.DUMMYFUNCTION("""COMPUTED_VALUE"""),46179.33158564815)</f>
        <v>46179.33159</v>
      </c>
      <c r="B1123" s="122" t="str">
        <f>IFERROR(__xludf.DUMMYFUNCTION("""COMPUTED_VALUE"""),"CBND")</f>
        <v>CBND</v>
      </c>
      <c r="C1123" s="122" t="str">
        <f>IFERROR(__xludf.DUMMYFUNCTION("""COMPUTED_VALUE"""),"Corporate Classroom Bond remains steady as investors seek stability.")</f>
        <v>Corporate Classroom Bond remains steady as investors seek stability.</v>
      </c>
      <c r="D1123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123" s="122" t="str">
        <f>IFERROR(__xludf.DUMMYFUNCTION("""COMPUTED_VALUE"""),"Neutral")</f>
        <v>Neutral</v>
      </c>
      <c r="F1123" s="122">
        <f>IFERROR(__xludf.DUMMYFUNCTION("""COMPUTED_VALUE"""),0.0)</f>
        <v>0</v>
      </c>
      <c r="G1123" s="122">
        <f>IFERROR(__xludf.DUMMYFUNCTION("""COMPUTED_VALUE"""),0.0)</f>
        <v>0</v>
      </c>
      <c r="H1123" s="122" t="str">
        <f>IFERROR(__xludf.DUMMYFUNCTION("""COMPUTED_VALUE"""),"Active")</f>
        <v>Active</v>
      </c>
    </row>
    <row r="1124">
      <c r="A1124" s="131">
        <f>IFERROR(__xludf.DUMMYFUNCTION("""COMPUTED_VALUE"""),46179.33158564815)</f>
        <v>46179.33159</v>
      </c>
      <c r="B1124" s="122" t="str">
        <f>IFERROR(__xludf.DUMMYFUNCTION("""COMPUTED_VALUE"""),"TBIL")</f>
        <v>TBIL</v>
      </c>
      <c r="C1124" s="122" t="str">
        <f>IFERROR(__xludf.DUMMYFUNCTION("""COMPUTED_VALUE"""),"Treasury Bill remains steady as investors seek stability.")</f>
        <v>Treasury Bill remains steady as investors seek stability.</v>
      </c>
      <c r="D1124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124" s="122" t="str">
        <f>IFERROR(__xludf.DUMMYFUNCTION("""COMPUTED_VALUE"""),"Neutral")</f>
        <v>Neutral</v>
      </c>
      <c r="F1124" s="122">
        <f>IFERROR(__xludf.DUMMYFUNCTION("""COMPUTED_VALUE"""),0.0)</f>
        <v>0</v>
      </c>
      <c r="G1124" s="122">
        <f>IFERROR(__xludf.DUMMYFUNCTION("""COMPUTED_VALUE"""),0.0)</f>
        <v>0</v>
      </c>
      <c r="H1124" s="122" t="str">
        <f>IFERROR(__xludf.DUMMYFUNCTION("""COMPUTED_VALUE"""),"Active")</f>
        <v>Active</v>
      </c>
    </row>
    <row r="1125">
      <c r="A1125" s="131">
        <f>IFERROR(__xludf.DUMMYFUNCTION("""COMPUTED_VALUE"""),46179.33159722222)</f>
        <v>46179.3316</v>
      </c>
      <c r="B1125" s="122" t="str">
        <f>IFERROR(__xludf.DUMMYFUNCTION("""COMPUTED_VALUE"""),"IBND")</f>
        <v>IBND</v>
      </c>
      <c r="C1125" s="122" t="str">
        <f>IFERROR(__xludf.DUMMYFUNCTION("""COMPUTED_VALUE"""),"Inflation Protected Bond remains steady as investors seek stability.")</f>
        <v>Inflation Protected Bond remains steady as investors seek stability.</v>
      </c>
      <c r="D1125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125" s="122" t="str">
        <f>IFERROR(__xludf.DUMMYFUNCTION("""COMPUTED_VALUE"""),"Neutral")</f>
        <v>Neutral</v>
      </c>
      <c r="F1125" s="122">
        <f>IFERROR(__xludf.DUMMYFUNCTION("""COMPUTED_VALUE"""),0.0)</f>
        <v>0</v>
      </c>
      <c r="G1125" s="122">
        <f>IFERROR(__xludf.DUMMYFUNCTION("""COMPUTED_VALUE"""),0.0)</f>
        <v>0</v>
      </c>
      <c r="H1125" s="122" t="str">
        <f>IFERROR(__xludf.DUMMYFUNCTION("""COMPUTED_VALUE"""),"Active")</f>
        <v>Active</v>
      </c>
    </row>
    <row r="1126">
      <c r="A1126" s="131">
        <f>IFERROR(__xludf.DUMMYFUNCTION("""COMPUTED_VALUE"""),46180.3175462963)</f>
        <v>46180.31755</v>
      </c>
      <c r="B1126" s="122" t="str">
        <f>IFERROR(__xludf.DUMMYFUNCTION("""COMPUTED_VALUE"""),"BAGG")</f>
        <v>BAGG</v>
      </c>
      <c r="C1126" s="122" t="str">
        <f>IFERROR(__xludf.DUMMYFUNCTION("""COMPUTED_VALUE"""),"BagVault releases earnings report: Inline profit, guidance Maintained.")</f>
        <v>BagVault releases earnings report: Inline profit, guidance Maintained.</v>
      </c>
      <c r="D1126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126" s="122" t="str">
        <f>IFERROR(__xludf.DUMMYFUNCTION("""COMPUTED_VALUE"""),"Neutral")</f>
        <v>Neutral</v>
      </c>
      <c r="F1126" s="122">
        <f>IFERROR(__xludf.DUMMYFUNCTION("""COMPUTED_VALUE"""),-0.003238863372494647)</f>
        <v>-0.003238863372</v>
      </c>
      <c r="G1126" s="122">
        <f>IFERROR(__xludf.DUMMYFUNCTION("""COMPUTED_VALUE"""),0.08097158431236617)</f>
        <v>0.08097158431</v>
      </c>
      <c r="H1126" s="122" t="str">
        <f>IFERROR(__xludf.DUMMYFUNCTION("""COMPUTED_VALUE"""),"Active")</f>
        <v>Active</v>
      </c>
    </row>
    <row r="1127">
      <c r="A1127" s="131">
        <f>IFERROR(__xludf.DUMMYFUNCTION("""COMPUTED_VALUE"""),46180.31763888889)</f>
        <v>46180.31764</v>
      </c>
      <c r="B1127" s="122" t="str">
        <f>IFERROR(__xludf.DUMMYFUNCTION("""COMPUTED_VALUE"""),"RAMN")</f>
        <v>RAMN</v>
      </c>
      <c r="C1127" s="122" t="str">
        <f>IFERROR(__xludf.DUMMYFUNCTION("""COMPUTED_VALUE"""),"Ramen Republic releases earnings report: Inline profit, guidance Maintained.")</f>
        <v>Ramen Republic releases earnings report: Inline profit, guidance Maintained.</v>
      </c>
      <c r="D1127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127" s="122" t="str">
        <f>IFERROR(__xludf.DUMMYFUNCTION("""COMPUTED_VALUE"""),"Neutral")</f>
        <v>Neutral</v>
      </c>
      <c r="F1127" s="122">
        <f>IFERROR(__xludf.DUMMYFUNCTION("""COMPUTED_VALUE"""),-0.0035468891782486534)</f>
        <v>-0.003546889178</v>
      </c>
      <c r="G1127" s="122">
        <f>IFERROR(__xludf.DUMMYFUNCTION("""COMPUTED_VALUE"""),0.08867222945621633)</f>
        <v>0.08867222946</v>
      </c>
      <c r="H1127" s="122" t="str">
        <f>IFERROR(__xludf.DUMMYFUNCTION("""COMPUTED_VALUE"""),"Active")</f>
        <v>Active</v>
      </c>
    </row>
    <row r="1128">
      <c r="A1128" s="131">
        <f>IFERROR(__xludf.DUMMYFUNCTION("""COMPUTED_VALUE"""),46180.31769675926)</f>
        <v>46180.3177</v>
      </c>
      <c r="B1128" s="122" t="str">
        <f>IFERROR(__xludf.DUMMYFUNCTION("""COMPUTED_VALUE"""),"COLA")</f>
        <v>COLA</v>
      </c>
      <c r="C1128" s="122" t="str">
        <f>IFERROR(__xludf.DUMMYFUNCTION("""COMPUTED_VALUE"""),"K-Pop Cola releases earnings report: Beat profit, guidance Raised.")</f>
        <v>K-Pop Cola releases earnings report: Beat profit, guidance Raised.</v>
      </c>
      <c r="D112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128" s="122" t="str">
        <f>IFERROR(__xludf.DUMMYFUNCTION("""COMPUTED_VALUE"""),"Positive")</f>
        <v>Positive</v>
      </c>
      <c r="F1128" s="122">
        <f>IFERROR(__xludf.DUMMYFUNCTION("""COMPUTED_VALUE"""),0.03926922501635516)</f>
        <v>0.03926922502</v>
      </c>
      <c r="G1128" s="122">
        <f>IFERROR(__xludf.DUMMYFUNCTION("""COMPUTED_VALUE"""),0.9817306254088789)</f>
        <v>0.9817306254</v>
      </c>
      <c r="H1128" s="122" t="str">
        <f>IFERROR(__xludf.DUMMYFUNCTION("""COMPUTED_VALUE"""),"Active")</f>
        <v>Active</v>
      </c>
    </row>
    <row r="1129">
      <c r="A1129" s="131">
        <f>IFERROR(__xludf.DUMMYFUNCTION("""COMPUTED_VALUE"""),46180.31775462963)</f>
        <v>46180.31775</v>
      </c>
      <c r="B1129" s="122" t="str">
        <f>IFERROR(__xludf.DUMMYFUNCTION("""COMPUTED_VALUE"""),"MALL")</f>
        <v>MALL</v>
      </c>
      <c r="C1129" s="122" t="str">
        <f>IFERROR(__xludf.DUMMYFUNCTION("""COMPUTED_VALUE"""),"MegaMall releases earnings report: Beat profit, guidance Maintained.")</f>
        <v>MegaMall releases earnings report: Beat profit, guidance Maintained.</v>
      </c>
      <c r="D1129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1129" s="122" t="str">
        <f>IFERROR(__xludf.DUMMYFUNCTION("""COMPUTED_VALUE"""),"Positive")</f>
        <v>Positive</v>
      </c>
      <c r="F1129" s="122">
        <f>IFERROR(__xludf.DUMMYFUNCTION("""COMPUTED_VALUE"""),0.014616983505399802)</f>
        <v>0.01461698351</v>
      </c>
      <c r="G1129" s="122">
        <f>IFERROR(__xludf.DUMMYFUNCTION("""COMPUTED_VALUE"""),0.365424587634995)</f>
        <v>0.3654245876</v>
      </c>
      <c r="H1129" s="122" t="str">
        <f>IFERROR(__xludf.DUMMYFUNCTION("""COMPUTED_VALUE"""),"Active")</f>
        <v>Active</v>
      </c>
    </row>
    <row r="1130">
      <c r="A1130" s="131">
        <f>IFERROR(__xludf.DUMMYFUNCTION("""COMPUTED_VALUE"""),46180.317824074074)</f>
        <v>46180.31782</v>
      </c>
      <c r="B1130" s="122" t="str">
        <f>IFERROR(__xludf.DUMMYFUNCTION("""COMPUTED_VALUE"""),"INSR")</f>
        <v>INSR</v>
      </c>
      <c r="C1130" s="122" t="str">
        <f>IFERROR(__xludf.DUMMYFUNCTION("""COMPUTED_VALUE"""),"Shield Insurance releases earnings report: Miss profit, guidance Lowered.")</f>
        <v>Shield Insurance releases earnings report: Miss profit, guidance Lowered.</v>
      </c>
      <c r="D1130" s="122" t="str">
        <f>IFERROR(__xludf.DUMMYFUNCTION("""COMPUTED_VALUE"""),"Earnings report: revenue Miss, profit Miss, debt Worse, guidance Lowered.")</f>
        <v>Earnings report: revenue Miss, profit Miss, debt Worse, guidance Lowered.</v>
      </c>
      <c r="E1130" s="122" t="str">
        <f>IFERROR(__xludf.DUMMYFUNCTION("""COMPUTED_VALUE"""),"Negative")</f>
        <v>Negative</v>
      </c>
      <c r="F1130" s="122">
        <f>IFERROR(__xludf.DUMMYFUNCTION("""COMPUTED_VALUE"""),-0.035475688206389036)</f>
        <v>-0.03547568821</v>
      </c>
      <c r="G1130" s="122">
        <f>IFERROR(__xludf.DUMMYFUNCTION("""COMPUTED_VALUE"""),0.8868922051597259)</f>
        <v>0.8868922052</v>
      </c>
      <c r="H1130" s="122" t="str">
        <f>IFERROR(__xludf.DUMMYFUNCTION("""COMPUTED_VALUE"""),"Active")</f>
        <v>Active</v>
      </c>
    </row>
    <row r="1131">
      <c r="A1131" s="131">
        <f>IFERROR(__xludf.DUMMYFUNCTION("""COMPUTED_VALUE"""),46180.31787037037)</f>
        <v>46180.31787</v>
      </c>
      <c r="B1131" s="122" t="str">
        <f>IFERROR(__xludf.DUMMYFUNCTION("""COMPUTED_VALUE"""),"AIBO")</f>
        <v>AIBO</v>
      </c>
      <c r="C1131" s="122" t="str">
        <f>IFERROR(__xludf.DUMMYFUNCTION("""COMPUTED_VALUE"""),"Homework AI releases earnings report: Miss profit, guidance Lowered.")</f>
        <v>Homework AI releases earnings report: Miss profit, guidance Lowered.</v>
      </c>
      <c r="D1131" s="122" t="str">
        <f>IFERROR(__xludf.DUMMYFUNCTION("""COMPUTED_VALUE"""),"Earnings report: revenue Miss, profit Miss, debt Worse, guidance Lowered.")</f>
        <v>Earnings report: revenue Miss, profit Miss, debt Worse, guidance Lowered.</v>
      </c>
      <c r="E1131" s="122" t="str">
        <f>IFERROR(__xludf.DUMMYFUNCTION("""COMPUTED_VALUE"""),"Negative")</f>
        <v>Negative</v>
      </c>
      <c r="F1131" s="122">
        <f>IFERROR(__xludf.DUMMYFUNCTION("""COMPUTED_VALUE"""),-0.05200878335357409)</f>
        <v>-0.05200878335</v>
      </c>
      <c r="G1131" s="122">
        <f>IFERROR(__xludf.DUMMYFUNCTION("""COMPUTED_VALUE"""),1.3002195838393522)</f>
        <v>1.300219584</v>
      </c>
      <c r="H1131" s="122" t="str">
        <f>IFERROR(__xludf.DUMMYFUNCTION("""COMPUTED_VALUE"""),"Active")</f>
        <v>Active</v>
      </c>
    </row>
    <row r="1132">
      <c r="A1132" s="131">
        <f>IFERROR(__xludf.DUMMYFUNCTION("""COMPUTED_VALUE"""),46180.31793981481)</f>
        <v>46180.31794</v>
      </c>
      <c r="B1132" s="122" t="str">
        <f>IFERROR(__xludf.DUMMYFUNCTION("""COMPUTED_VALUE"""),"BATT")</f>
        <v>BATT</v>
      </c>
      <c r="C1132" s="122" t="str">
        <f>IFERROR(__xludf.DUMMYFUNCTION("""COMPUTED_VALUE"""),"BatteryBox releases earnings report: Miss profit, guidance Lowered.")</f>
        <v>BatteryBox releases earnings report: Miss profit, guidance Lowered.</v>
      </c>
      <c r="D1132" s="122" t="str">
        <f>IFERROR(__xludf.DUMMYFUNCTION("""COMPUTED_VALUE"""),"Earnings report: revenue Miss, profit Miss, debt Worse, guidance Lowered.")</f>
        <v>Earnings report: revenue Miss, profit Miss, debt Worse, guidance Lowered.</v>
      </c>
      <c r="E1132" s="122" t="str">
        <f>IFERROR(__xludf.DUMMYFUNCTION("""COMPUTED_VALUE"""),"Negative")</f>
        <v>Negative</v>
      </c>
      <c r="F1132" s="122">
        <f>IFERROR(__xludf.DUMMYFUNCTION("""COMPUTED_VALUE"""),-0.04672713162826622)</f>
        <v>-0.04672713163</v>
      </c>
      <c r="G1132" s="122">
        <f>IFERROR(__xludf.DUMMYFUNCTION("""COMPUTED_VALUE"""),1.1681782907066556)</f>
        <v>1.168178291</v>
      </c>
      <c r="H1132" s="122" t="str">
        <f>IFERROR(__xludf.DUMMYFUNCTION("""COMPUTED_VALUE"""),"Active")</f>
        <v>Active</v>
      </c>
    </row>
    <row r="1133">
      <c r="A1133" s="131">
        <f>IFERROR(__xludf.DUMMYFUNCTION("""COMPUTED_VALUE"""),46180.31798611111)</f>
        <v>46180.31799</v>
      </c>
      <c r="B1133" s="122" t="str">
        <f>IFERROR(__xludf.DUMMYFUNCTION("""COMPUTED_VALUE"""),"VRSE")</f>
        <v>VRSE</v>
      </c>
      <c r="C1133" s="122" t="str">
        <f>IFERROR(__xludf.DUMMYFUNCTION("""COMPUTED_VALUE"""),"VerseVR releases earnings report: Beat profit, guidance Raised.")</f>
        <v>VerseVR releases earnings report: Beat profit, guidance Raised.</v>
      </c>
      <c r="D113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133" s="122" t="str">
        <f>IFERROR(__xludf.DUMMYFUNCTION("""COMPUTED_VALUE"""),"Positive")</f>
        <v>Positive</v>
      </c>
      <c r="F1133" s="122">
        <f>IFERROR(__xludf.DUMMYFUNCTION("""COMPUTED_VALUE"""),0.055054905210688336)</f>
        <v>0.05505490521</v>
      </c>
      <c r="G1133" s="122">
        <f>IFERROR(__xludf.DUMMYFUNCTION("""COMPUTED_VALUE"""),1.3763726302672084)</f>
        <v>1.37637263</v>
      </c>
      <c r="H1133" s="122" t="str">
        <f>IFERROR(__xludf.DUMMYFUNCTION("""COMPUTED_VALUE"""),"Active")</f>
        <v>Active</v>
      </c>
    </row>
    <row r="1134">
      <c r="A1134" s="131">
        <f>IFERROR(__xludf.DUMMYFUNCTION("""COMPUTED_VALUE"""),46180.31804398148)</f>
        <v>46180.31804</v>
      </c>
      <c r="B1134" s="122" t="str">
        <f>IFERROR(__xludf.DUMMYFUNCTION("""COMPUTED_VALUE"""),"SHIP")</f>
        <v>SHIP</v>
      </c>
      <c r="C1134" s="122" t="str">
        <f>IFERROR(__xludf.DUMMYFUNCTION("""COMPUTED_VALUE"""),"Seoul Shipping releases earnings report: Miss profit, guidance Maintained.")</f>
        <v>Seoul Shipping releases earnings report: Miss profit, guidance Maintained.</v>
      </c>
      <c r="D1134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134" s="122" t="str">
        <f>IFERROR(__xludf.DUMMYFUNCTION("""COMPUTED_VALUE"""),"Negative")</f>
        <v>Negative</v>
      </c>
      <c r="F1134" s="122">
        <f>IFERROR(__xludf.DUMMYFUNCTION("""COMPUTED_VALUE"""),-0.014089272745382278)</f>
        <v>-0.01408927275</v>
      </c>
      <c r="G1134" s="122">
        <f>IFERROR(__xludf.DUMMYFUNCTION("""COMPUTED_VALUE"""),0.35223181863455694)</f>
        <v>0.3522318186</v>
      </c>
      <c r="H1134" s="122" t="str">
        <f>IFERROR(__xludf.DUMMYFUNCTION("""COMPUTED_VALUE"""),"Active")</f>
        <v>Active</v>
      </c>
    </row>
    <row r="1135">
      <c r="A1135" s="131">
        <f>IFERROR(__xludf.DUMMYFUNCTION("""COMPUTED_VALUE"""),46180.330983796295)</f>
        <v>46180.33098</v>
      </c>
      <c r="B1135" s="122" t="str">
        <f>IFERROR(__xludf.DUMMYFUNCTION("""COMPUTED_VALUE"""),"SNAX")</f>
        <v>SNAX</v>
      </c>
      <c r="C1135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1135" s="122" t="str">
        <f>IFERROR(__xludf.DUMMYFUNCTION("""COMPUTED_VALUE"""),"MICA Snacks appears steady with no major changes reported.")</f>
        <v>MICA Snacks appears steady with no major changes reported.</v>
      </c>
      <c r="E1135" s="122" t="str">
        <f>IFERROR(__xludf.DUMMYFUNCTION("""COMPUTED_VALUE"""),"Neutral")</f>
        <v>Neutral</v>
      </c>
      <c r="F1135" s="122">
        <f>IFERROR(__xludf.DUMMYFUNCTION("""COMPUTED_VALUE"""),0.0)</f>
        <v>0</v>
      </c>
      <c r="G1135" s="122">
        <f>IFERROR(__xludf.DUMMYFUNCTION("""COMPUTED_VALUE"""),0.0)</f>
        <v>0</v>
      </c>
      <c r="H1135" s="122" t="str">
        <f>IFERROR(__xludf.DUMMYFUNCTION("""COMPUTED_VALUE"""),"Active")</f>
        <v>Active</v>
      </c>
    </row>
    <row r="1136">
      <c r="A1136" s="131">
        <f>IFERROR(__xludf.DUMMYFUNCTION("""COMPUTED_VALUE"""),46180.33099537037)</f>
        <v>46180.331</v>
      </c>
      <c r="B1136" s="122" t="str">
        <f>IFERROR(__xludf.DUMMYFUNCTION("""COMPUTED_VALUE"""),"RAMN")</f>
        <v>RAMN</v>
      </c>
      <c r="C1136" s="122" t="str">
        <f>IFERROR(__xludf.DUMMYFUNCTION("""COMPUTED_VALUE"""),"Ramen Republic remains stable as the Food market shows normal activity.")</f>
        <v>Ramen Republic remains stable as the Food market shows normal activity.</v>
      </c>
      <c r="D1136" s="122" t="str">
        <f>IFERROR(__xludf.DUMMYFUNCTION("""COMPUTED_VALUE"""),"Ramen Republic appears steady with no major changes reported.")</f>
        <v>Ramen Republic appears steady with no major changes reported.</v>
      </c>
      <c r="E1136" s="122" t="str">
        <f>IFERROR(__xludf.DUMMYFUNCTION("""COMPUTED_VALUE"""),"Neutral")</f>
        <v>Neutral</v>
      </c>
      <c r="F1136" s="122">
        <f>IFERROR(__xludf.DUMMYFUNCTION("""COMPUTED_VALUE"""),0.0)</f>
        <v>0</v>
      </c>
      <c r="G1136" s="122">
        <f>IFERROR(__xludf.DUMMYFUNCTION("""COMPUTED_VALUE"""),0.0)</f>
        <v>0</v>
      </c>
      <c r="H1136" s="122" t="str">
        <f>IFERROR(__xludf.DUMMYFUNCTION("""COMPUTED_VALUE"""),"Active")</f>
        <v>Active</v>
      </c>
    </row>
    <row r="1137">
      <c r="A1137" s="131">
        <f>IFERROR(__xludf.DUMMYFUNCTION("""COMPUTED_VALUE"""),46180.33100694444)</f>
        <v>46180.33101</v>
      </c>
      <c r="B1137" s="122" t="str">
        <f>IFERROR(__xludf.DUMMYFUNCTION("""COMPUTED_VALUE"""),"COLA")</f>
        <v>COLA</v>
      </c>
      <c r="C1137" s="122" t="str">
        <f>IFERROR(__xludf.DUMMYFUNCTION("""COMPUTED_VALUE"""),"K-Pop Cola remains stable as the Beverage market shows normal activity.")</f>
        <v>K-Pop Cola remains stable as the Beverage market shows normal activity.</v>
      </c>
      <c r="D1137" s="122" t="str">
        <f>IFERROR(__xludf.DUMMYFUNCTION("""COMPUTED_VALUE"""),"K-Pop Cola appears steady with no major changes reported.")</f>
        <v>K-Pop Cola appears steady with no major changes reported.</v>
      </c>
      <c r="E1137" s="122" t="str">
        <f>IFERROR(__xludf.DUMMYFUNCTION("""COMPUTED_VALUE"""),"Neutral")</f>
        <v>Neutral</v>
      </c>
      <c r="F1137" s="122">
        <f>IFERROR(__xludf.DUMMYFUNCTION("""COMPUTED_VALUE"""),0.0)</f>
        <v>0</v>
      </c>
      <c r="G1137" s="122">
        <f>IFERROR(__xludf.DUMMYFUNCTION("""COMPUTED_VALUE"""),0.0)</f>
        <v>0</v>
      </c>
      <c r="H1137" s="122" t="str">
        <f>IFERROR(__xludf.DUMMYFUNCTION("""COMPUTED_VALUE"""),"Active")</f>
        <v>Active</v>
      </c>
    </row>
    <row r="1138">
      <c r="A1138" s="131">
        <f>IFERROR(__xludf.DUMMYFUNCTION("""COMPUTED_VALUE"""),46180.33101851852)</f>
        <v>46180.33102</v>
      </c>
      <c r="B1138" s="122" t="str">
        <f>IFERROR(__xludf.DUMMYFUNCTION("""COMPUTED_VALUE"""),"CHIP")</f>
        <v>CHIP</v>
      </c>
      <c r="C1138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1138" s="122" t="str">
        <f>IFERROR(__xludf.DUMMYFUNCTION("""COMPUTED_VALUE"""),"Chip Empire appears steady with no major changes reported.")</f>
        <v>Chip Empire appears steady with no major changes reported.</v>
      </c>
      <c r="E1138" s="122" t="str">
        <f>IFERROR(__xludf.DUMMYFUNCTION("""COMPUTED_VALUE"""),"Neutral")</f>
        <v>Neutral</v>
      </c>
      <c r="F1138" s="122">
        <f>IFERROR(__xludf.DUMMYFUNCTION("""COMPUTED_VALUE"""),0.0)</f>
        <v>0</v>
      </c>
      <c r="G1138" s="122">
        <f>IFERROR(__xludf.DUMMYFUNCTION("""COMPUTED_VALUE"""),0.0)</f>
        <v>0</v>
      </c>
      <c r="H1138" s="122" t="str">
        <f>IFERROR(__xludf.DUMMYFUNCTION("""COMPUTED_VALUE"""),"Active")</f>
        <v>Active</v>
      </c>
    </row>
    <row r="1139">
      <c r="A1139" s="131">
        <f>IFERROR(__xludf.DUMMYFUNCTION("""COMPUTED_VALUE"""),46180.33101851852)</f>
        <v>46180.33102</v>
      </c>
      <c r="B1139" s="122" t="str">
        <f>IFERROR(__xludf.DUMMYFUNCTION("""COMPUTED_VALUE"""),"CAND")</f>
        <v>CAND</v>
      </c>
      <c r="C1139" s="122" t="str">
        <f>IFERROR(__xludf.DUMMYFUNCTION("""COMPUTED_VALUE"""),"Candy Capital drops sharply after major concerns hit the market.")</f>
        <v>Candy Capital drops sharply after major concerns hit the market.</v>
      </c>
      <c r="D1139" s="122" t="str">
        <f>IFERROR(__xludf.DUMMYFUNCTION("""COMPUTED_VALUE"""),"Candy Capital is under pressure as investors react to worsening conditions.")</f>
        <v>Candy Capital is under pressure as investors react to worsening conditions.</v>
      </c>
      <c r="E1139" s="122" t="str">
        <f>IFERROR(__xludf.DUMMYFUNCTION("""COMPUTED_VALUE"""),"Negative")</f>
        <v>Negative</v>
      </c>
      <c r="F1139" s="122">
        <f>IFERROR(__xludf.DUMMYFUNCTION("""COMPUTED_VALUE"""),-0.04)</f>
        <v>-0.04</v>
      </c>
      <c r="G1139" s="122">
        <f>IFERROR(__xludf.DUMMYFUNCTION("""COMPUTED_VALUE"""),2.0)</f>
        <v>2</v>
      </c>
      <c r="H1139" s="122" t="str">
        <f>IFERROR(__xludf.DUMMYFUNCTION("""COMPUTED_VALUE"""),"Active")</f>
        <v>Active</v>
      </c>
    </row>
    <row r="1140">
      <c r="A1140" s="131">
        <f>IFERROR(__xludf.DUMMYFUNCTION("""COMPUTED_VALUE"""),46180.331030092595)</f>
        <v>46180.33103</v>
      </c>
      <c r="B1140" s="122" t="str">
        <f>IFERROR(__xludf.DUMMYFUNCTION("""COMPUTED_VALUE"""),"TECH")</f>
        <v>TECH</v>
      </c>
      <c r="C1140" s="122" t="str">
        <f>IFERROR(__xludf.DUMMYFUNCTION("""COMPUTED_VALUE"""),"Dragon Tech reports steady growth and improved market confidence.")</f>
        <v>Dragon Tech reports steady growth and improved market confidence.</v>
      </c>
      <c r="D1140" s="122" t="str">
        <f>IFERROR(__xludf.DUMMYFUNCTION("""COMPUTED_VALUE"""),"Dragon Tech continues to show positive momentum with moderate risk.")</f>
        <v>Dragon Tech continues to show positive momentum with moderate risk.</v>
      </c>
      <c r="E1140" s="122" t="str">
        <f>IFERROR(__xludf.DUMMYFUNCTION("""COMPUTED_VALUE"""),"Positive")</f>
        <v>Positive</v>
      </c>
      <c r="F1140" s="122">
        <f>IFERROR(__xludf.DUMMYFUNCTION("""COMPUTED_VALUE"""),0.015)</f>
        <v>0.015</v>
      </c>
      <c r="G1140" s="122">
        <f>IFERROR(__xludf.DUMMYFUNCTION("""COMPUTED_VALUE"""),0.5)</f>
        <v>0.5</v>
      </c>
      <c r="H1140" s="122" t="str">
        <f>IFERROR(__xludf.DUMMYFUNCTION("""COMPUTED_VALUE"""),"Active")</f>
        <v>Active</v>
      </c>
    </row>
    <row r="1141">
      <c r="A1141" s="131">
        <f>IFERROR(__xludf.DUMMYFUNCTION("""COMPUTED_VALUE"""),46180.331030092595)</f>
        <v>46180.33103</v>
      </c>
      <c r="B1141" s="122" t="str">
        <f>IFERROR(__xludf.DUMMYFUNCTION("""COMPUTED_VALUE"""),"AIBO")</f>
        <v>AIBO</v>
      </c>
      <c r="C1141" s="122" t="str">
        <f>IFERROR(__xludf.DUMMYFUNCTION("""COMPUTED_VALUE"""),"Homework AI faces weaker demand and cautious investor sentiment.")</f>
        <v>Homework AI faces weaker demand and cautious investor sentiment.</v>
      </c>
      <c r="D1141" s="122" t="str">
        <f>IFERROR(__xludf.DUMMYFUNCTION("""COMPUTED_VALUE"""),"Investors are watching Homework AI closely as demand weakens.")</f>
        <v>Investors are watching Homework AI closely as demand weakens.</v>
      </c>
      <c r="E1141" s="122" t="str">
        <f>IFERROR(__xludf.DUMMYFUNCTION("""COMPUTED_VALUE"""),"Negative")</f>
        <v>Negative</v>
      </c>
      <c r="F1141" s="122">
        <f>IFERROR(__xludf.DUMMYFUNCTION("""COMPUTED_VALUE"""),-0.015)</f>
        <v>-0.015</v>
      </c>
      <c r="G1141" s="122">
        <f>IFERROR(__xludf.DUMMYFUNCTION("""COMPUTED_VALUE"""),0.75)</f>
        <v>0.75</v>
      </c>
      <c r="H1141" s="122" t="str">
        <f>IFERROR(__xludf.DUMMYFUNCTION("""COMPUTED_VALUE"""),"Active")</f>
        <v>Active</v>
      </c>
    </row>
    <row r="1142">
      <c r="A1142" s="131">
        <f>IFERROR(__xludf.DUMMYFUNCTION("""COMPUTED_VALUE"""),46180.331041666665)</f>
        <v>46180.33104</v>
      </c>
      <c r="B1142" s="122" t="str">
        <f>IFERROR(__xludf.DUMMYFUNCTION("""COMPUTED_VALUE"""),"GAME")</f>
        <v>GAME</v>
      </c>
      <c r="C1142" s="122" t="str">
        <f>IFERROR(__xludf.DUMMYFUNCTION("""COMPUTED_VALUE"""),"GameBox Media drops sharply after major concerns hit the market.")</f>
        <v>GameBox Media drops sharply after major concerns hit the market.</v>
      </c>
      <c r="D1142" s="122" t="str">
        <f>IFERROR(__xludf.DUMMYFUNCTION("""COMPUTED_VALUE"""),"GameBox Media is under pressure as investors react to worsening conditions.")</f>
        <v>GameBox Media is under pressure as investors react to worsening conditions.</v>
      </c>
      <c r="E1142" s="122" t="str">
        <f>IFERROR(__xludf.DUMMYFUNCTION("""COMPUTED_VALUE"""),"Negative")</f>
        <v>Negative</v>
      </c>
      <c r="F1142" s="122">
        <f>IFERROR(__xludf.DUMMYFUNCTION("""COMPUTED_VALUE"""),-0.04)</f>
        <v>-0.04</v>
      </c>
      <c r="G1142" s="122">
        <f>IFERROR(__xludf.DUMMYFUNCTION("""COMPUTED_VALUE"""),2.0)</f>
        <v>2</v>
      </c>
      <c r="H1142" s="122" t="str">
        <f>IFERROR(__xludf.DUMMYFUNCTION("""COMPUTED_VALUE"""),"Active")</f>
        <v>Active</v>
      </c>
    </row>
    <row r="1143">
      <c r="A1143" s="131">
        <f>IFERROR(__xludf.DUMMYFUNCTION("""COMPUTED_VALUE"""),46180.331041666665)</f>
        <v>46180.33104</v>
      </c>
      <c r="B1143" s="122" t="str">
        <f>IFERROR(__xludf.DUMMYFUNCTION("""COMPUTED_VALUE"""),"VRSE")</f>
        <v>VRSE</v>
      </c>
      <c r="C1143" s="122" t="str">
        <f>IFERROR(__xludf.DUMMYFUNCTION("""COMPUTED_VALUE"""),"VerseVR remains stable as the Technology market shows normal activity.")</f>
        <v>VerseVR remains stable as the Technology market shows normal activity.</v>
      </c>
      <c r="D1143" s="122" t="str">
        <f>IFERROR(__xludf.DUMMYFUNCTION("""COMPUTED_VALUE"""),"VerseVR appears steady with no major changes reported.")</f>
        <v>VerseVR appears steady with no major changes reported.</v>
      </c>
      <c r="E1143" s="122" t="str">
        <f>IFERROR(__xludf.DUMMYFUNCTION("""COMPUTED_VALUE"""),"Neutral")</f>
        <v>Neutral</v>
      </c>
      <c r="F1143" s="122">
        <f>IFERROR(__xludf.DUMMYFUNCTION("""COMPUTED_VALUE"""),0.0)</f>
        <v>0</v>
      </c>
      <c r="G1143" s="122">
        <f>IFERROR(__xludf.DUMMYFUNCTION("""COMPUTED_VALUE"""),0.0)</f>
        <v>0</v>
      </c>
      <c r="H1143" s="122" t="str">
        <f>IFERROR(__xludf.DUMMYFUNCTION("""COMPUTED_VALUE"""),"Active")</f>
        <v>Active</v>
      </c>
    </row>
    <row r="1144">
      <c r="A1144" s="131">
        <f>IFERROR(__xludf.DUMMYFUNCTION("""COMPUTED_VALUE"""),46180.33105324074)</f>
        <v>46180.33105</v>
      </c>
      <c r="B1144" s="122" t="str">
        <f>IFERROR(__xludf.DUMMYFUNCTION("""COMPUTED_VALUE"""),"BYTE")</f>
        <v>BYTE</v>
      </c>
      <c r="C1144" s="122" t="str">
        <f>IFERROR(__xludf.DUMMYFUNCTION("""COMPUTED_VALUE"""),"ByteWorks remains stable as the Technology market shows normal activity.")</f>
        <v>ByteWorks remains stable as the Technology market shows normal activity.</v>
      </c>
      <c r="D1144" s="122" t="str">
        <f>IFERROR(__xludf.DUMMYFUNCTION("""COMPUTED_VALUE"""),"ByteWorks appears steady with no major changes reported.")</f>
        <v>ByteWorks appears steady with no major changes reported.</v>
      </c>
      <c r="E1144" s="122" t="str">
        <f>IFERROR(__xludf.DUMMYFUNCTION("""COMPUTED_VALUE"""),"Neutral")</f>
        <v>Neutral</v>
      </c>
      <c r="F1144" s="122">
        <f>IFERROR(__xludf.DUMMYFUNCTION("""COMPUTED_VALUE"""),0.0)</f>
        <v>0</v>
      </c>
      <c r="G1144" s="122">
        <f>IFERROR(__xludf.DUMMYFUNCTION("""COMPUTED_VALUE"""),0.0)</f>
        <v>0</v>
      </c>
      <c r="H1144" s="122" t="str">
        <f>IFERROR(__xludf.DUMMYFUNCTION("""COMPUTED_VALUE"""),"Active")</f>
        <v>Active</v>
      </c>
    </row>
    <row r="1145">
      <c r="A1145" s="131">
        <f>IFERROR(__xludf.DUMMYFUNCTION("""COMPUTED_VALUE"""),46180.33106481482)</f>
        <v>46180.33106</v>
      </c>
      <c r="B1145" s="122" t="str">
        <f>IFERROR(__xludf.DUMMYFUNCTION("""COMPUTED_VALUE"""),"BANK")</f>
        <v>BANK</v>
      </c>
      <c r="C1145" s="122" t="str">
        <f>IFERROR(__xludf.DUMMYFUNCTION("""COMPUTED_VALUE"""),"Tiger Bank surges as demand rises across the Finance sector.")</f>
        <v>Tiger Bank surges as demand rises across the Finance sector.</v>
      </c>
      <c r="D1145" s="122" t="str">
        <f>IFERROR(__xludf.DUMMYFUNCTION("""COMPUTED_VALUE"""),"Tiger Bank is seeing strong demand, which may increase investor confidence.")</f>
        <v>Tiger Bank is seeing strong demand, which may increase investor confidence.</v>
      </c>
      <c r="E1145" s="122" t="str">
        <f>IFERROR(__xludf.DUMMYFUNCTION("""COMPUTED_VALUE"""),"Positive")</f>
        <v>Positive</v>
      </c>
      <c r="F1145" s="122">
        <f>IFERROR(__xludf.DUMMYFUNCTION("""COMPUTED_VALUE"""),0.03)</f>
        <v>0.03</v>
      </c>
      <c r="G1145" s="122">
        <f>IFERROR(__xludf.DUMMYFUNCTION("""COMPUTED_VALUE"""),1.0)</f>
        <v>1</v>
      </c>
      <c r="H1145" s="122" t="str">
        <f>IFERROR(__xludf.DUMMYFUNCTION("""COMPUTED_VALUE"""),"Active")</f>
        <v>Active</v>
      </c>
    </row>
    <row r="1146">
      <c r="A1146" s="131">
        <f>IFERROR(__xludf.DUMMYFUNCTION("""COMPUTED_VALUE"""),46180.33107638889)</f>
        <v>46180.33108</v>
      </c>
      <c r="B1146" s="122" t="str">
        <f>IFERROR(__xludf.DUMMYFUNCTION("""COMPUTED_VALUE"""),"CRED")</f>
        <v>CRED</v>
      </c>
      <c r="C1146" s="122" t="str">
        <f>IFERROR(__xludf.DUMMYFUNCTION("""COMPUTED_VALUE"""),"Credit Castle remains stable as the Finance market shows normal activity.")</f>
        <v>Credit Castle remains stable as the Finance market shows normal activity.</v>
      </c>
      <c r="D1146" s="122" t="str">
        <f>IFERROR(__xludf.DUMMYFUNCTION("""COMPUTED_VALUE"""),"Credit Castle appears steady with no major changes reported.")</f>
        <v>Credit Castle appears steady with no major changes reported.</v>
      </c>
      <c r="E1146" s="122" t="str">
        <f>IFERROR(__xludf.DUMMYFUNCTION("""COMPUTED_VALUE"""),"Neutral")</f>
        <v>Neutral</v>
      </c>
      <c r="F1146" s="122">
        <f>IFERROR(__xludf.DUMMYFUNCTION("""COMPUTED_VALUE"""),0.0)</f>
        <v>0</v>
      </c>
      <c r="G1146" s="122">
        <f>IFERROR(__xludf.DUMMYFUNCTION("""COMPUTED_VALUE"""),0.0)</f>
        <v>0</v>
      </c>
      <c r="H1146" s="122" t="str">
        <f>IFERROR(__xludf.DUMMYFUNCTION("""COMPUTED_VALUE"""),"Active")</f>
        <v>Active</v>
      </c>
    </row>
    <row r="1147">
      <c r="A1147" s="131">
        <f>IFERROR(__xludf.DUMMYFUNCTION("""COMPUTED_VALUE"""),46180.33107638889)</f>
        <v>46180.33108</v>
      </c>
      <c r="B1147" s="122" t="str">
        <f>IFERROR(__xludf.DUMMYFUNCTION("""COMPUTED_VALUE"""),"BOND")</f>
        <v>BOND</v>
      </c>
      <c r="C1147" s="122" t="str">
        <f>IFERROR(__xludf.DUMMYFUNCTION("""COMPUTED_VALUE"""),"BondBridge remains stable as the Finance market shows normal activity.")</f>
        <v>BondBridge remains stable as the Finance market shows normal activity.</v>
      </c>
      <c r="D1147" s="122" t="str">
        <f>IFERROR(__xludf.DUMMYFUNCTION("""COMPUTED_VALUE"""),"BondBridge appears steady with no major changes reported.")</f>
        <v>BondBridge appears steady with no major changes reported.</v>
      </c>
      <c r="E1147" s="122" t="str">
        <f>IFERROR(__xludf.DUMMYFUNCTION("""COMPUTED_VALUE"""),"Neutral")</f>
        <v>Neutral</v>
      </c>
      <c r="F1147" s="122">
        <f>IFERROR(__xludf.DUMMYFUNCTION("""COMPUTED_VALUE"""),0.0)</f>
        <v>0</v>
      </c>
      <c r="G1147" s="122">
        <f>IFERROR(__xludf.DUMMYFUNCTION("""COMPUTED_VALUE"""),0.0)</f>
        <v>0</v>
      </c>
      <c r="H1147" s="122" t="str">
        <f>IFERROR(__xludf.DUMMYFUNCTION("""COMPUTED_VALUE"""),"Active")</f>
        <v>Active</v>
      </c>
    </row>
    <row r="1148">
      <c r="A1148" s="131">
        <f>IFERROR(__xludf.DUMMYFUNCTION("""COMPUTED_VALUE"""),46180.331087962964)</f>
        <v>46180.33109</v>
      </c>
      <c r="B1148" s="122" t="str">
        <f>IFERROR(__xludf.DUMMYFUNCTION("""COMPUTED_VALUE"""),"INSR")</f>
        <v>INSR</v>
      </c>
      <c r="C1148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1148" s="122" t="str">
        <f>IFERROR(__xludf.DUMMYFUNCTION("""COMPUTED_VALUE"""),"Shield Insurance appears steady with no major changes reported.")</f>
        <v>Shield Insurance appears steady with no major changes reported.</v>
      </c>
      <c r="E1148" s="122" t="str">
        <f>IFERROR(__xludf.DUMMYFUNCTION("""COMPUTED_VALUE"""),"Neutral")</f>
        <v>Neutral</v>
      </c>
      <c r="F1148" s="122">
        <f>IFERROR(__xludf.DUMMYFUNCTION("""COMPUTED_VALUE"""),0.0)</f>
        <v>0</v>
      </c>
      <c r="G1148" s="122">
        <f>IFERROR(__xludf.DUMMYFUNCTION("""COMPUTED_VALUE"""),0.0)</f>
        <v>0</v>
      </c>
      <c r="H1148" s="122" t="str">
        <f>IFERROR(__xludf.DUMMYFUNCTION("""COMPUTED_VALUE"""),"Active")</f>
        <v>Active</v>
      </c>
    </row>
    <row r="1149">
      <c r="A1149" s="131">
        <f>IFERROR(__xludf.DUMMYFUNCTION("""COMPUTED_VALUE"""),46180.331087962964)</f>
        <v>46180.33109</v>
      </c>
      <c r="B1149" s="122" t="str">
        <f>IFERROR(__xludf.DUMMYFUNCTION("""COMPUTED_VALUE"""),"LOAN")</f>
        <v>LOAN</v>
      </c>
      <c r="C1149" s="122" t="str">
        <f>IFERROR(__xludf.DUMMYFUNCTION("""COMPUTED_VALUE"""),"LoanLab remains stable as the Finance market shows normal activity.")</f>
        <v>LoanLab remains stable as the Finance market shows normal activity.</v>
      </c>
      <c r="D1149" s="122" t="str">
        <f>IFERROR(__xludf.DUMMYFUNCTION("""COMPUTED_VALUE"""),"LoanLab appears steady with no major changes reported.")</f>
        <v>LoanLab appears steady with no major changes reported.</v>
      </c>
      <c r="E1149" s="122" t="str">
        <f>IFERROR(__xludf.DUMMYFUNCTION("""COMPUTED_VALUE"""),"Neutral")</f>
        <v>Neutral</v>
      </c>
      <c r="F1149" s="122">
        <f>IFERROR(__xludf.DUMMYFUNCTION("""COMPUTED_VALUE"""),0.0)</f>
        <v>0</v>
      </c>
      <c r="G1149" s="122">
        <f>IFERROR(__xludf.DUMMYFUNCTION("""COMPUTED_VALUE"""),0.0)</f>
        <v>0</v>
      </c>
      <c r="H1149" s="122" t="str">
        <f>IFERROR(__xludf.DUMMYFUNCTION("""COMPUTED_VALUE"""),"Active")</f>
        <v>Active</v>
      </c>
    </row>
    <row r="1150">
      <c r="A1150" s="131">
        <f>IFERROR(__xludf.DUMMYFUNCTION("""COMPUTED_VALUE"""),46180.33111111111)</f>
        <v>46180.33111</v>
      </c>
      <c r="B1150" s="122" t="str">
        <f>IFERROR(__xludf.DUMMYFUNCTION("""COMPUTED_VALUE"""),"LUXE")</f>
        <v>LUXE</v>
      </c>
      <c r="C1150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1150" s="122" t="str">
        <f>IFERROR(__xludf.DUMMYFUNCTION("""COMPUTED_VALUE"""),"Luxury Locker appears steady with no major changes reported.")</f>
        <v>Luxury Locker appears steady with no major changes reported.</v>
      </c>
      <c r="E1150" s="122" t="str">
        <f>IFERROR(__xludf.DUMMYFUNCTION("""COMPUTED_VALUE"""),"Neutral")</f>
        <v>Neutral</v>
      </c>
      <c r="F1150" s="122">
        <f>IFERROR(__xludf.DUMMYFUNCTION("""COMPUTED_VALUE"""),0.0)</f>
        <v>0</v>
      </c>
      <c r="G1150" s="122">
        <f>IFERROR(__xludf.DUMMYFUNCTION("""COMPUTED_VALUE"""),0.0)</f>
        <v>0</v>
      </c>
      <c r="H1150" s="122" t="str">
        <f>IFERROR(__xludf.DUMMYFUNCTION("""COMPUTED_VALUE"""),"Active")</f>
        <v>Active</v>
      </c>
    </row>
    <row r="1151">
      <c r="A1151" s="131">
        <f>IFERROR(__xludf.DUMMYFUNCTION("""COMPUTED_VALUE"""),46180.33112268519)</f>
        <v>46180.33112</v>
      </c>
      <c r="B1151" s="122" t="str">
        <f>IFERROR(__xludf.DUMMYFUNCTION("""COMPUTED_VALUE"""),"DRIP")</f>
        <v>DRIP</v>
      </c>
      <c r="C1151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151" s="122" t="str">
        <f>IFERROR(__xludf.DUMMYFUNCTION("""COMPUTED_VALUE"""),"Drip Streetwear appears steady with no major changes reported.")</f>
        <v>Drip Streetwear appears steady with no major changes reported.</v>
      </c>
      <c r="E1151" s="122" t="str">
        <f>IFERROR(__xludf.DUMMYFUNCTION("""COMPUTED_VALUE"""),"Neutral")</f>
        <v>Neutral</v>
      </c>
      <c r="F1151" s="122">
        <f>IFERROR(__xludf.DUMMYFUNCTION("""COMPUTED_VALUE"""),0.0)</f>
        <v>0</v>
      </c>
      <c r="G1151" s="122">
        <f>IFERROR(__xludf.DUMMYFUNCTION("""COMPUTED_VALUE"""),0.0)</f>
        <v>0</v>
      </c>
      <c r="H1151" s="122" t="str">
        <f>IFERROR(__xludf.DUMMYFUNCTION("""COMPUTED_VALUE"""),"Active")</f>
        <v>Active</v>
      </c>
    </row>
    <row r="1152">
      <c r="A1152" s="131">
        <f>IFERROR(__xludf.DUMMYFUNCTION("""COMPUTED_VALUE"""),46180.33112268519)</f>
        <v>46180.33112</v>
      </c>
      <c r="B1152" s="122" t="str">
        <f>IFERROR(__xludf.DUMMYFUNCTION("""COMPUTED_VALUE"""),"KICK")</f>
        <v>KICK</v>
      </c>
      <c r="C1152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1152" s="122" t="str">
        <f>IFERROR(__xludf.DUMMYFUNCTION("""COMPUTED_VALUE"""),"KickDrop Sneakers appears steady with no major changes reported.")</f>
        <v>KickDrop Sneakers appears steady with no major changes reported.</v>
      </c>
      <c r="E1152" s="122" t="str">
        <f>IFERROR(__xludf.DUMMYFUNCTION("""COMPUTED_VALUE"""),"Neutral")</f>
        <v>Neutral</v>
      </c>
      <c r="F1152" s="122">
        <f>IFERROR(__xludf.DUMMYFUNCTION("""COMPUTED_VALUE"""),0.0)</f>
        <v>0</v>
      </c>
      <c r="G1152" s="122">
        <f>IFERROR(__xludf.DUMMYFUNCTION("""COMPUTED_VALUE"""),0.0)</f>
        <v>0</v>
      </c>
      <c r="H1152" s="122" t="str">
        <f>IFERROR(__xludf.DUMMYFUNCTION("""COMPUTED_VALUE"""),"Active")</f>
        <v>Active</v>
      </c>
    </row>
    <row r="1153">
      <c r="A1153" s="131">
        <f>IFERROR(__xludf.DUMMYFUNCTION("""COMPUTED_VALUE"""),46180.33113425926)</f>
        <v>46180.33113</v>
      </c>
      <c r="B1153" s="122" t="str">
        <f>IFERROR(__xludf.DUMMYFUNCTION("""COMPUTED_VALUE"""),"GLAM")</f>
        <v>GLAM</v>
      </c>
      <c r="C1153" s="122" t="str">
        <f>IFERROR(__xludf.DUMMYFUNCTION("""COMPUTED_VALUE"""),"Glow Cosmetics faces weaker demand and cautious investor sentiment.")</f>
        <v>Glow Cosmetics faces weaker demand and cautious investor sentiment.</v>
      </c>
      <c r="D1153" s="122" t="str">
        <f>IFERROR(__xludf.DUMMYFUNCTION("""COMPUTED_VALUE"""),"Investors are watching Glow Cosmetics closely as demand weakens.")</f>
        <v>Investors are watching Glow Cosmetics closely as demand weakens.</v>
      </c>
      <c r="E1153" s="122" t="str">
        <f>IFERROR(__xludf.DUMMYFUNCTION("""COMPUTED_VALUE"""),"Negative")</f>
        <v>Negative</v>
      </c>
      <c r="F1153" s="122">
        <f>IFERROR(__xludf.DUMMYFUNCTION("""COMPUTED_VALUE"""),-0.015)</f>
        <v>-0.015</v>
      </c>
      <c r="G1153" s="122">
        <f>IFERROR(__xludf.DUMMYFUNCTION("""COMPUTED_VALUE"""),0.75)</f>
        <v>0.75</v>
      </c>
      <c r="H1153" s="122" t="str">
        <f>IFERROR(__xludf.DUMMYFUNCTION("""COMPUTED_VALUE"""),"Active")</f>
        <v>Active</v>
      </c>
    </row>
    <row r="1154">
      <c r="A1154" s="131">
        <f>IFERROR(__xludf.DUMMYFUNCTION("""COMPUTED_VALUE"""),46180.33113425926)</f>
        <v>46180.33113</v>
      </c>
      <c r="B1154" s="122" t="str">
        <f>IFERROR(__xludf.DUMMYFUNCTION("""COMPUTED_VALUE"""),"BAGG")</f>
        <v>BAGG</v>
      </c>
      <c r="C1154" s="122" t="str">
        <f>IFERROR(__xludf.DUMMYFUNCTION("""COMPUTED_VALUE"""),"BagVault reports steady growth and improved market confidence.")</f>
        <v>BagVault reports steady growth and improved market confidence.</v>
      </c>
      <c r="D1154" s="122" t="str">
        <f>IFERROR(__xludf.DUMMYFUNCTION("""COMPUTED_VALUE"""),"BagVault continues to show positive momentum with moderate risk.")</f>
        <v>BagVault continues to show positive momentum with moderate risk.</v>
      </c>
      <c r="E1154" s="122" t="str">
        <f>IFERROR(__xludf.DUMMYFUNCTION("""COMPUTED_VALUE"""),"Positive")</f>
        <v>Positive</v>
      </c>
      <c r="F1154" s="122">
        <f>IFERROR(__xludf.DUMMYFUNCTION("""COMPUTED_VALUE"""),0.015)</f>
        <v>0.015</v>
      </c>
      <c r="G1154" s="122">
        <f>IFERROR(__xludf.DUMMYFUNCTION("""COMPUTED_VALUE"""),0.5)</f>
        <v>0.5</v>
      </c>
      <c r="H1154" s="122" t="str">
        <f>IFERROR(__xludf.DUMMYFUNCTION("""COMPUTED_VALUE"""),"Active")</f>
        <v>Active</v>
      </c>
    </row>
    <row r="1155">
      <c r="A1155" s="131">
        <f>IFERROR(__xludf.DUMMYFUNCTION("""COMPUTED_VALUE"""),46180.331145833334)</f>
        <v>46180.33115</v>
      </c>
      <c r="B1155" s="122" t="str">
        <f>IFERROR(__xludf.DUMMYFUNCTION("""COMPUTED_VALUE"""),"FAST")</f>
        <v>FAST</v>
      </c>
      <c r="C1155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1155" s="122" t="str">
        <f>IFERROR(__xludf.DUMMYFUNCTION("""COMPUTED_VALUE"""),"Flash Logistics appears steady with no major changes reported.")</f>
        <v>Flash Logistics appears steady with no major changes reported.</v>
      </c>
      <c r="E1155" s="122" t="str">
        <f>IFERROR(__xludf.DUMMYFUNCTION("""COMPUTED_VALUE"""),"Neutral")</f>
        <v>Neutral</v>
      </c>
      <c r="F1155" s="122">
        <f>IFERROR(__xludf.DUMMYFUNCTION("""COMPUTED_VALUE"""),0.0)</f>
        <v>0</v>
      </c>
      <c r="G1155" s="122">
        <f>IFERROR(__xludf.DUMMYFUNCTION("""COMPUTED_VALUE"""),0.0)</f>
        <v>0</v>
      </c>
      <c r="H1155" s="122" t="str">
        <f>IFERROR(__xludf.DUMMYFUNCTION("""COMPUTED_VALUE"""),"Active")</f>
        <v>Active</v>
      </c>
    </row>
    <row r="1156">
      <c r="A1156" s="131">
        <f>IFERROR(__xludf.DUMMYFUNCTION("""COMPUTED_VALUE"""),46180.33116898148)</f>
        <v>46180.33117</v>
      </c>
      <c r="B1156" s="122" t="str">
        <f>IFERROR(__xludf.DUMMYFUNCTION("""COMPUTED_VALUE"""),"SHIP")</f>
        <v>SHIP</v>
      </c>
      <c r="C1156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156" s="122" t="str">
        <f>IFERROR(__xludf.DUMMYFUNCTION("""COMPUTED_VALUE"""),"Seoul Shipping appears steady with no major changes reported.")</f>
        <v>Seoul Shipping appears steady with no major changes reported.</v>
      </c>
      <c r="E1156" s="122" t="str">
        <f>IFERROR(__xludf.DUMMYFUNCTION("""COMPUTED_VALUE"""),"Neutral")</f>
        <v>Neutral</v>
      </c>
      <c r="F1156" s="122">
        <f>IFERROR(__xludf.DUMMYFUNCTION("""COMPUTED_VALUE"""),0.0)</f>
        <v>0</v>
      </c>
      <c r="G1156" s="122">
        <f>IFERROR(__xludf.DUMMYFUNCTION("""COMPUTED_VALUE"""),0.0)</f>
        <v>0</v>
      </c>
      <c r="H1156" s="122" t="str">
        <f>IFERROR(__xludf.DUMMYFUNCTION("""COMPUTED_VALUE"""),"Active")</f>
        <v>Active</v>
      </c>
    </row>
    <row r="1157">
      <c r="A1157" s="131">
        <f>IFERROR(__xludf.DUMMYFUNCTION("""COMPUTED_VALUE"""),46180.33116898148)</f>
        <v>46180.33117</v>
      </c>
      <c r="B1157" s="122" t="str">
        <f>IFERROR(__xludf.DUMMYFUNCTION("""COMPUTED_VALUE"""),"DRON")</f>
        <v>DRON</v>
      </c>
      <c r="C1157" s="122" t="str">
        <f>IFERROR(__xludf.DUMMYFUNCTION("""COMPUTED_VALUE"""),"DroneDrop reports steady growth and improved market confidence.")</f>
        <v>DroneDrop reports steady growth and improved market confidence.</v>
      </c>
      <c r="D1157" s="122" t="str">
        <f>IFERROR(__xludf.DUMMYFUNCTION("""COMPUTED_VALUE"""),"DroneDrop continues to show positive momentum with moderate risk.")</f>
        <v>DroneDrop continues to show positive momentum with moderate risk.</v>
      </c>
      <c r="E1157" s="122" t="str">
        <f>IFERROR(__xludf.DUMMYFUNCTION("""COMPUTED_VALUE"""),"Positive")</f>
        <v>Positive</v>
      </c>
      <c r="F1157" s="122">
        <f>IFERROR(__xludf.DUMMYFUNCTION("""COMPUTED_VALUE"""),0.015)</f>
        <v>0.015</v>
      </c>
      <c r="G1157" s="122">
        <f>IFERROR(__xludf.DUMMYFUNCTION("""COMPUTED_VALUE"""),0.5)</f>
        <v>0.5</v>
      </c>
      <c r="H1157" s="122" t="str">
        <f>IFERROR(__xludf.DUMMYFUNCTION("""COMPUTED_VALUE"""),"Active")</f>
        <v>Active</v>
      </c>
    </row>
    <row r="1158">
      <c r="A1158" s="131">
        <f>IFERROR(__xludf.DUMMYFUNCTION("""COMPUTED_VALUE"""),46180.33118055556)</f>
        <v>46180.33118</v>
      </c>
      <c r="B1158" s="122" t="str">
        <f>IFERROR(__xludf.DUMMYFUNCTION("""COMPUTED_VALUE"""),"RIDE")</f>
        <v>RIDE</v>
      </c>
      <c r="C1158" s="122" t="str">
        <f>IFERROR(__xludf.DUMMYFUNCTION("""COMPUTED_VALUE"""),"QuickRide faces weaker demand and cautious investor sentiment.")</f>
        <v>QuickRide faces weaker demand and cautious investor sentiment.</v>
      </c>
      <c r="D1158" s="122" t="str">
        <f>IFERROR(__xludf.DUMMYFUNCTION("""COMPUTED_VALUE"""),"Investors are watching QuickRide closely as demand weakens.")</f>
        <v>Investors are watching QuickRide closely as demand weakens.</v>
      </c>
      <c r="E1158" s="122" t="str">
        <f>IFERROR(__xludf.DUMMYFUNCTION("""COMPUTED_VALUE"""),"Negative")</f>
        <v>Negative</v>
      </c>
      <c r="F1158" s="122">
        <f>IFERROR(__xludf.DUMMYFUNCTION("""COMPUTED_VALUE"""),-0.015)</f>
        <v>-0.015</v>
      </c>
      <c r="G1158" s="122">
        <f>IFERROR(__xludf.DUMMYFUNCTION("""COMPUTED_VALUE"""),0.75)</f>
        <v>0.75</v>
      </c>
      <c r="H1158" s="122" t="str">
        <f>IFERROR(__xludf.DUMMYFUNCTION("""COMPUTED_VALUE"""),"Active")</f>
        <v>Active</v>
      </c>
    </row>
    <row r="1159">
      <c r="A1159" s="131">
        <f>IFERROR(__xludf.DUMMYFUNCTION("""COMPUTED_VALUE"""),46180.331192129626)</f>
        <v>46180.33119</v>
      </c>
      <c r="B1159" s="122" t="str">
        <f>IFERROR(__xludf.DUMMYFUNCTION("""COMPUTED_VALUE"""),"RAIL")</f>
        <v>RAIL</v>
      </c>
      <c r="C1159" s="122" t="str">
        <f>IFERROR(__xludf.DUMMYFUNCTION("""COMPUTED_VALUE"""),"MetroRail Corp faces weaker demand and cautious investor sentiment.")</f>
        <v>MetroRail Corp faces weaker demand and cautious investor sentiment.</v>
      </c>
      <c r="D1159" s="122" t="str">
        <f>IFERROR(__xludf.DUMMYFUNCTION("""COMPUTED_VALUE"""),"Investors are watching MetroRail Corp closely as demand weakens.")</f>
        <v>Investors are watching MetroRail Corp closely as demand weakens.</v>
      </c>
      <c r="E1159" s="122" t="str">
        <f>IFERROR(__xludf.DUMMYFUNCTION("""COMPUTED_VALUE"""),"Negative")</f>
        <v>Negative</v>
      </c>
      <c r="F1159" s="122">
        <f>IFERROR(__xludf.DUMMYFUNCTION("""COMPUTED_VALUE"""),-0.015)</f>
        <v>-0.015</v>
      </c>
      <c r="G1159" s="122">
        <f>IFERROR(__xludf.DUMMYFUNCTION("""COMPUTED_VALUE"""),0.75)</f>
        <v>0.75</v>
      </c>
      <c r="H1159" s="122" t="str">
        <f>IFERROR(__xludf.DUMMYFUNCTION("""COMPUTED_VALUE"""),"Active")</f>
        <v>Active</v>
      </c>
    </row>
    <row r="1160">
      <c r="A1160" s="131">
        <f>IFERROR(__xludf.DUMMYFUNCTION("""COMPUTED_VALUE"""),46180.331192129626)</f>
        <v>46180.33119</v>
      </c>
      <c r="B1160" s="122" t="str">
        <f>IFERROR(__xludf.DUMMYFUNCTION("""COMPUTED_VALUE"""),"MEDX")</f>
        <v>MEDX</v>
      </c>
      <c r="C1160" s="122" t="str">
        <f>IFERROR(__xludf.DUMMYFUNCTION("""COMPUTED_VALUE"""),"MediCore reports steady growth and improved market confidence.")</f>
        <v>MediCore reports steady growth and improved market confidence.</v>
      </c>
      <c r="D1160" s="122" t="str">
        <f>IFERROR(__xludf.DUMMYFUNCTION("""COMPUTED_VALUE"""),"MediCore continues to show positive momentum with moderate risk.")</f>
        <v>MediCore continues to show positive momentum with moderate risk.</v>
      </c>
      <c r="E1160" s="122" t="str">
        <f>IFERROR(__xludf.DUMMYFUNCTION("""COMPUTED_VALUE"""),"Positive")</f>
        <v>Positive</v>
      </c>
      <c r="F1160" s="122">
        <f>IFERROR(__xludf.DUMMYFUNCTION("""COMPUTED_VALUE"""),0.015)</f>
        <v>0.015</v>
      </c>
      <c r="G1160" s="122">
        <f>IFERROR(__xludf.DUMMYFUNCTION("""COMPUTED_VALUE"""),0.5)</f>
        <v>0.5</v>
      </c>
      <c r="H1160" s="122" t="str">
        <f>IFERROR(__xludf.DUMMYFUNCTION("""COMPUTED_VALUE"""),"Active")</f>
        <v>Active</v>
      </c>
    </row>
    <row r="1161">
      <c r="A1161" s="131">
        <f>IFERROR(__xludf.DUMMYFUNCTION("""COMPUTED_VALUE"""),46180.3312037037)</f>
        <v>46180.3312</v>
      </c>
      <c r="B1161" s="122" t="str">
        <f>IFERROR(__xludf.DUMMYFUNCTION("""COMPUTED_VALUE"""),"GYMX")</f>
        <v>GYMX</v>
      </c>
      <c r="C1161" s="122" t="str">
        <f>IFERROR(__xludf.DUMMYFUNCTION("""COMPUTED_VALUE"""),"GymX Fitness faces weaker demand and cautious investor sentiment.")</f>
        <v>GymX Fitness faces weaker demand and cautious investor sentiment.</v>
      </c>
      <c r="D1161" s="122" t="str">
        <f>IFERROR(__xludf.DUMMYFUNCTION("""COMPUTED_VALUE"""),"Investors are watching GymX Fitness closely as demand weakens.")</f>
        <v>Investors are watching GymX Fitness closely as demand weakens.</v>
      </c>
      <c r="E1161" s="122" t="str">
        <f>IFERROR(__xludf.DUMMYFUNCTION("""COMPUTED_VALUE"""),"Negative")</f>
        <v>Negative</v>
      </c>
      <c r="F1161" s="122">
        <f>IFERROR(__xludf.DUMMYFUNCTION("""COMPUTED_VALUE"""),-0.015)</f>
        <v>-0.015</v>
      </c>
      <c r="G1161" s="122">
        <f>IFERROR(__xludf.DUMMYFUNCTION("""COMPUTED_VALUE"""),0.75)</f>
        <v>0.75</v>
      </c>
      <c r="H1161" s="122" t="str">
        <f>IFERROR(__xludf.DUMMYFUNCTION("""COMPUTED_VALUE"""),"Active")</f>
        <v>Active</v>
      </c>
    </row>
    <row r="1162">
      <c r="A1162" s="131">
        <f>IFERROR(__xludf.DUMMYFUNCTION("""COMPUTED_VALUE"""),46180.3312037037)</f>
        <v>46180.3312</v>
      </c>
      <c r="B1162" s="122" t="str">
        <f>IFERROR(__xludf.DUMMYFUNCTION("""COMPUTED_VALUE"""),"VITA")</f>
        <v>VITA</v>
      </c>
      <c r="C1162" s="122" t="str">
        <f>IFERROR(__xludf.DUMMYFUNCTION("""COMPUTED_VALUE"""),"VitaPlus faces weaker demand and cautious investor sentiment.")</f>
        <v>VitaPlus faces weaker demand and cautious investor sentiment.</v>
      </c>
      <c r="D1162" s="122" t="str">
        <f>IFERROR(__xludf.DUMMYFUNCTION("""COMPUTED_VALUE"""),"Investors are watching VitaPlus closely as demand weakens.")</f>
        <v>Investors are watching VitaPlus closely as demand weakens.</v>
      </c>
      <c r="E1162" s="122" t="str">
        <f>IFERROR(__xludf.DUMMYFUNCTION("""COMPUTED_VALUE"""),"Negative")</f>
        <v>Negative</v>
      </c>
      <c r="F1162" s="122">
        <f>IFERROR(__xludf.DUMMYFUNCTION("""COMPUTED_VALUE"""),-0.015)</f>
        <v>-0.015</v>
      </c>
      <c r="G1162" s="122">
        <f>IFERROR(__xludf.DUMMYFUNCTION("""COMPUTED_VALUE"""),0.75)</f>
        <v>0.75</v>
      </c>
      <c r="H1162" s="122" t="str">
        <f>IFERROR(__xludf.DUMMYFUNCTION("""COMPUTED_VALUE"""),"Active")</f>
        <v>Active</v>
      </c>
    </row>
    <row r="1163">
      <c r="A1163" s="131">
        <f>IFERROR(__xludf.DUMMYFUNCTION("""COMPUTED_VALUE"""),46180.33121527778)</f>
        <v>46180.33122</v>
      </c>
      <c r="B1163" s="122" t="str">
        <f>IFERROR(__xludf.DUMMYFUNCTION("""COMPUTED_VALUE"""),"CARE")</f>
        <v>CARE</v>
      </c>
      <c r="C1163" s="122" t="str">
        <f>IFERROR(__xludf.DUMMYFUNCTION("""COMPUTED_VALUE"""),"CareCloud remains stable as the Healthcare market shows normal activity.")</f>
        <v>CareCloud remains stable as the Healthcare market shows normal activity.</v>
      </c>
      <c r="D1163" s="122" t="str">
        <f>IFERROR(__xludf.DUMMYFUNCTION("""COMPUTED_VALUE"""),"CareCloud appears steady with no major changes reported.")</f>
        <v>CareCloud appears steady with no major changes reported.</v>
      </c>
      <c r="E1163" s="122" t="str">
        <f>IFERROR(__xludf.DUMMYFUNCTION("""COMPUTED_VALUE"""),"Neutral")</f>
        <v>Neutral</v>
      </c>
      <c r="F1163" s="122">
        <f>IFERROR(__xludf.DUMMYFUNCTION("""COMPUTED_VALUE"""),0.0)</f>
        <v>0</v>
      </c>
      <c r="G1163" s="122">
        <f>IFERROR(__xludf.DUMMYFUNCTION("""COMPUTED_VALUE"""),0.0)</f>
        <v>0</v>
      </c>
      <c r="H1163" s="122" t="str">
        <f>IFERROR(__xludf.DUMMYFUNCTION("""COMPUTED_VALUE"""),"Active")</f>
        <v>Active</v>
      </c>
    </row>
    <row r="1164">
      <c r="A1164" s="131">
        <f>IFERROR(__xludf.DUMMYFUNCTION("""COMPUTED_VALUE"""),46180.33122685185)</f>
        <v>46180.33123</v>
      </c>
      <c r="B1164" s="122" t="str">
        <f>IFERROR(__xludf.DUMMYFUNCTION("""COMPUTED_VALUE"""),"DENT")</f>
        <v>DENT</v>
      </c>
      <c r="C1164" s="122" t="str">
        <f>IFERROR(__xludf.DUMMYFUNCTION("""COMPUTED_VALUE"""),"SmileWorks reports steady growth and improved market confidence.")</f>
        <v>SmileWorks reports steady growth and improved market confidence.</v>
      </c>
      <c r="D1164" s="122" t="str">
        <f>IFERROR(__xludf.DUMMYFUNCTION("""COMPUTED_VALUE"""),"SmileWorks continues to show positive momentum with moderate risk.")</f>
        <v>SmileWorks continues to show positive momentum with moderate risk.</v>
      </c>
      <c r="E1164" s="122" t="str">
        <f>IFERROR(__xludf.DUMMYFUNCTION("""COMPUTED_VALUE"""),"Positive")</f>
        <v>Positive</v>
      </c>
      <c r="F1164" s="122">
        <f>IFERROR(__xludf.DUMMYFUNCTION("""COMPUTED_VALUE"""),0.015)</f>
        <v>0.015</v>
      </c>
      <c r="G1164" s="122">
        <f>IFERROR(__xludf.DUMMYFUNCTION("""COMPUTED_VALUE"""),0.5)</f>
        <v>0.5</v>
      </c>
      <c r="H1164" s="122" t="str">
        <f>IFERROR(__xludf.DUMMYFUNCTION("""COMPUTED_VALUE"""),"Active")</f>
        <v>Active</v>
      </c>
    </row>
    <row r="1165">
      <c r="A1165" s="131">
        <f>IFERROR(__xludf.DUMMYFUNCTION("""COMPUTED_VALUE"""),46180.33122685185)</f>
        <v>46180.33123</v>
      </c>
      <c r="B1165" s="122" t="str">
        <f>IFERROR(__xludf.DUMMYFUNCTION("""COMPUTED_VALUE"""),"EDUX")</f>
        <v>EDUX</v>
      </c>
      <c r="C1165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165" s="122" t="str">
        <f>IFERROR(__xludf.DUMMYFUNCTION("""COMPUTED_VALUE"""),"EduMax Learning appears steady with no major changes reported.")</f>
        <v>EduMax Learning appears steady with no major changes reported.</v>
      </c>
      <c r="E1165" s="122" t="str">
        <f>IFERROR(__xludf.DUMMYFUNCTION("""COMPUTED_VALUE"""),"Neutral")</f>
        <v>Neutral</v>
      </c>
      <c r="F1165" s="122">
        <f>IFERROR(__xludf.DUMMYFUNCTION("""COMPUTED_VALUE"""),0.0)</f>
        <v>0</v>
      </c>
      <c r="G1165" s="122">
        <f>IFERROR(__xludf.DUMMYFUNCTION("""COMPUTED_VALUE"""),0.0)</f>
        <v>0</v>
      </c>
      <c r="H1165" s="122" t="str">
        <f>IFERROR(__xludf.DUMMYFUNCTION("""COMPUTED_VALUE"""),"Active")</f>
        <v>Active</v>
      </c>
    </row>
    <row r="1166">
      <c r="A1166" s="131">
        <f>IFERROR(__xludf.DUMMYFUNCTION("""COMPUTED_VALUE"""),46180.331238425926)</f>
        <v>46180.33124</v>
      </c>
      <c r="B1166" s="122" t="str">
        <f>IFERROR(__xludf.DUMMYFUNCTION("""COMPUTED_VALUE"""),"BOOK")</f>
        <v>BOOK</v>
      </c>
      <c r="C1166" s="122" t="str">
        <f>IFERROR(__xludf.DUMMYFUNCTION("""COMPUTED_VALUE"""),"BookBridge remains stable as the Education market shows normal activity.")</f>
        <v>BookBridge remains stable as the Education market shows normal activity.</v>
      </c>
      <c r="D1166" s="122" t="str">
        <f>IFERROR(__xludf.DUMMYFUNCTION("""COMPUTED_VALUE"""),"BookBridge appears steady with no major changes reported.")</f>
        <v>BookBridge appears steady with no major changes reported.</v>
      </c>
      <c r="E1166" s="122" t="str">
        <f>IFERROR(__xludf.DUMMYFUNCTION("""COMPUTED_VALUE"""),"Neutral")</f>
        <v>Neutral</v>
      </c>
      <c r="F1166" s="122">
        <f>IFERROR(__xludf.DUMMYFUNCTION("""COMPUTED_VALUE"""),0.0)</f>
        <v>0</v>
      </c>
      <c r="G1166" s="122">
        <f>IFERROR(__xludf.DUMMYFUNCTION("""COMPUTED_VALUE"""),0.0)</f>
        <v>0</v>
      </c>
      <c r="H1166" s="122" t="str">
        <f>IFERROR(__xludf.DUMMYFUNCTION("""COMPUTED_VALUE"""),"Active")</f>
        <v>Active</v>
      </c>
    </row>
    <row r="1167">
      <c r="A1167" s="131">
        <f>IFERROR(__xludf.DUMMYFUNCTION("""COMPUTED_VALUE"""),46180.331238425926)</f>
        <v>46180.33124</v>
      </c>
      <c r="B1167" s="122" t="str">
        <f>IFERROR(__xludf.DUMMYFUNCTION("""COMPUTED_VALUE"""),"TUTR")</f>
        <v>TUTR</v>
      </c>
      <c r="C1167" s="122" t="str">
        <f>IFERROR(__xludf.DUMMYFUNCTION("""COMPUTED_VALUE"""),"TutorTown reports steady growth and improved market confidence.")</f>
        <v>TutorTown reports steady growth and improved market confidence.</v>
      </c>
      <c r="D1167" s="122" t="str">
        <f>IFERROR(__xludf.DUMMYFUNCTION("""COMPUTED_VALUE"""),"TutorTown continues to show positive momentum with moderate risk.")</f>
        <v>TutorTown continues to show positive momentum with moderate risk.</v>
      </c>
      <c r="E1167" s="122" t="str">
        <f>IFERROR(__xludf.DUMMYFUNCTION("""COMPUTED_VALUE"""),"Positive")</f>
        <v>Positive</v>
      </c>
      <c r="F1167" s="122">
        <f>IFERROR(__xludf.DUMMYFUNCTION("""COMPUTED_VALUE"""),0.015)</f>
        <v>0.015</v>
      </c>
      <c r="G1167" s="122">
        <f>IFERROR(__xludf.DUMMYFUNCTION("""COMPUTED_VALUE"""),0.5)</f>
        <v>0.5</v>
      </c>
      <c r="H1167" s="122" t="str">
        <f>IFERROR(__xludf.DUMMYFUNCTION("""COMPUTED_VALUE"""),"Active")</f>
        <v>Active</v>
      </c>
    </row>
    <row r="1168">
      <c r="A1168" s="131">
        <f>IFERROR(__xludf.DUMMYFUNCTION("""COMPUTED_VALUE"""),46180.33125)</f>
        <v>46180.33125</v>
      </c>
      <c r="B1168" s="122" t="str">
        <f>IFERROR(__xludf.DUMMYFUNCTION("""COMPUTED_VALUE"""),"LANG")</f>
        <v>LANG</v>
      </c>
      <c r="C1168" s="122" t="str">
        <f>IFERROR(__xludf.DUMMYFUNCTION("""COMPUTED_VALUE"""),"LinguaLab remains stable as the Education market shows normal activity.")</f>
        <v>LinguaLab remains stable as the Education market shows normal activity.</v>
      </c>
      <c r="D1168" s="122" t="str">
        <f>IFERROR(__xludf.DUMMYFUNCTION("""COMPUTED_VALUE"""),"LinguaLab appears steady with no major changes reported.")</f>
        <v>LinguaLab appears steady with no major changes reported.</v>
      </c>
      <c r="E1168" s="122" t="str">
        <f>IFERROR(__xludf.DUMMYFUNCTION("""COMPUTED_VALUE"""),"Neutral")</f>
        <v>Neutral</v>
      </c>
      <c r="F1168" s="122">
        <f>IFERROR(__xludf.DUMMYFUNCTION("""COMPUTED_VALUE"""),0.0)</f>
        <v>0</v>
      </c>
      <c r="G1168" s="122">
        <f>IFERROR(__xludf.DUMMYFUNCTION("""COMPUTED_VALUE"""),0.0)</f>
        <v>0</v>
      </c>
      <c r="H1168" s="122" t="str">
        <f>IFERROR(__xludf.DUMMYFUNCTION("""COMPUTED_VALUE"""),"Active")</f>
        <v>Active</v>
      </c>
    </row>
    <row r="1169">
      <c r="A1169" s="131">
        <f>IFERROR(__xludf.DUMMYFUNCTION("""COMPUTED_VALUE"""),46180.33126157407)</f>
        <v>46180.33126</v>
      </c>
      <c r="B1169" s="122" t="str">
        <f>IFERROR(__xludf.DUMMYFUNCTION("""COMPUTED_VALUE"""),"TEST")</f>
        <v>TEST</v>
      </c>
      <c r="C1169" s="122" t="str">
        <f>IFERROR(__xludf.DUMMYFUNCTION("""COMPUTED_VALUE"""),"TestPrep Pro reports steady growth and improved market confidence.")</f>
        <v>TestPrep Pro reports steady growth and improved market confidence.</v>
      </c>
      <c r="D1169" s="122" t="str">
        <f>IFERROR(__xludf.DUMMYFUNCTION("""COMPUTED_VALUE"""),"TestPrep Pro continues to show positive momentum with moderate risk.")</f>
        <v>TestPrep Pro continues to show positive momentum with moderate risk.</v>
      </c>
      <c r="E1169" s="122" t="str">
        <f>IFERROR(__xludf.DUMMYFUNCTION("""COMPUTED_VALUE"""),"Positive")</f>
        <v>Positive</v>
      </c>
      <c r="F1169" s="122">
        <f>IFERROR(__xludf.DUMMYFUNCTION("""COMPUTED_VALUE"""),0.015)</f>
        <v>0.015</v>
      </c>
      <c r="G1169" s="122">
        <f>IFERROR(__xludf.DUMMYFUNCTION("""COMPUTED_VALUE"""),0.5)</f>
        <v>0.5</v>
      </c>
      <c r="H1169" s="122" t="str">
        <f>IFERROR(__xludf.DUMMYFUNCTION("""COMPUTED_VALUE"""),"Active")</f>
        <v>Active</v>
      </c>
    </row>
    <row r="1170">
      <c r="A1170" s="131">
        <f>IFERROR(__xludf.DUMMYFUNCTION("""COMPUTED_VALUE"""),46180.33126157407)</f>
        <v>46180.33126</v>
      </c>
      <c r="B1170" s="122" t="str">
        <f>IFERROR(__xludf.DUMMYFUNCTION("""COMPUTED_VALUE"""),"MOVI")</f>
        <v>MOVI</v>
      </c>
      <c r="C1170" s="122" t="str">
        <f>IFERROR(__xludf.DUMMYFUNCTION("""COMPUTED_VALUE"""),"MovieBox remains stable as the Entertainment market shows normal activity.")</f>
        <v>MovieBox remains stable as the Entertainment market shows normal activity.</v>
      </c>
      <c r="D1170" s="122" t="str">
        <f>IFERROR(__xludf.DUMMYFUNCTION("""COMPUTED_VALUE"""),"MovieBox appears steady with no major changes reported.")</f>
        <v>MovieBox appears steady with no major changes reported.</v>
      </c>
      <c r="E1170" s="122" t="str">
        <f>IFERROR(__xludf.DUMMYFUNCTION("""COMPUTED_VALUE"""),"Neutral")</f>
        <v>Neutral</v>
      </c>
      <c r="F1170" s="122">
        <f>IFERROR(__xludf.DUMMYFUNCTION("""COMPUTED_VALUE"""),0.0)</f>
        <v>0</v>
      </c>
      <c r="G1170" s="122">
        <f>IFERROR(__xludf.DUMMYFUNCTION("""COMPUTED_VALUE"""),0.0)</f>
        <v>0</v>
      </c>
      <c r="H1170" s="122" t="str">
        <f>IFERROR(__xludf.DUMMYFUNCTION("""COMPUTED_VALUE"""),"Active")</f>
        <v>Active</v>
      </c>
    </row>
    <row r="1171">
      <c r="A1171" s="131">
        <f>IFERROR(__xludf.DUMMYFUNCTION("""COMPUTED_VALUE"""),46180.33127314815)</f>
        <v>46180.33127</v>
      </c>
      <c r="B1171" s="122" t="str">
        <f>IFERROR(__xludf.DUMMYFUNCTION("""COMPUTED_VALUE"""),"MUSC")</f>
        <v>MUSC</v>
      </c>
      <c r="C1171" s="122" t="str">
        <f>IFERROR(__xludf.DUMMYFUNCTION("""COMPUTED_VALUE"""),"MusicWave faces weaker demand and cautious investor sentiment.")</f>
        <v>MusicWave faces weaker demand and cautious investor sentiment.</v>
      </c>
      <c r="D1171" s="122" t="str">
        <f>IFERROR(__xludf.DUMMYFUNCTION("""COMPUTED_VALUE"""),"Investors are watching MusicWave closely as demand weakens.")</f>
        <v>Investors are watching MusicWave closely as demand weakens.</v>
      </c>
      <c r="E1171" s="122" t="str">
        <f>IFERROR(__xludf.DUMMYFUNCTION("""COMPUTED_VALUE"""),"Negative")</f>
        <v>Negative</v>
      </c>
      <c r="F1171" s="122">
        <f>IFERROR(__xludf.DUMMYFUNCTION("""COMPUTED_VALUE"""),-0.015)</f>
        <v>-0.015</v>
      </c>
      <c r="G1171" s="122">
        <f>IFERROR(__xludf.DUMMYFUNCTION("""COMPUTED_VALUE"""),0.75)</f>
        <v>0.75</v>
      </c>
      <c r="H1171" s="122" t="str">
        <f>IFERROR(__xludf.DUMMYFUNCTION("""COMPUTED_VALUE"""),"Active")</f>
        <v>Active</v>
      </c>
    </row>
    <row r="1172">
      <c r="A1172" s="131">
        <f>IFERROR(__xludf.DUMMYFUNCTION("""COMPUTED_VALUE"""),46180.33128472222)</f>
        <v>46180.33128</v>
      </c>
      <c r="B1172" s="122" t="str">
        <f>IFERROR(__xludf.DUMMYFUNCTION("""COMPUTED_VALUE"""),"IDOL")</f>
        <v>IDOL</v>
      </c>
      <c r="C1172" s="122" t="str">
        <f>IFERROR(__xludf.DUMMYFUNCTION("""COMPUTED_VALUE"""),"Idol Agency surges as demand rises across the Entertainment sector.")</f>
        <v>Idol Agency surges as demand rises across the Entertainment sector.</v>
      </c>
      <c r="D1172" s="122" t="str">
        <f>IFERROR(__xludf.DUMMYFUNCTION("""COMPUTED_VALUE"""),"Idol Agency is seeing strong demand, which may increase investor confidence.")</f>
        <v>Idol Agency is seeing strong demand, which may increase investor confidence.</v>
      </c>
      <c r="E1172" s="122" t="str">
        <f>IFERROR(__xludf.DUMMYFUNCTION("""COMPUTED_VALUE"""),"Positive")</f>
        <v>Positive</v>
      </c>
      <c r="F1172" s="122">
        <f>IFERROR(__xludf.DUMMYFUNCTION("""COMPUTED_VALUE"""),0.03)</f>
        <v>0.03</v>
      </c>
      <c r="G1172" s="122">
        <f>IFERROR(__xludf.DUMMYFUNCTION("""COMPUTED_VALUE"""),1.0)</f>
        <v>1</v>
      </c>
      <c r="H1172" s="122" t="str">
        <f>IFERROR(__xludf.DUMMYFUNCTION("""COMPUTED_VALUE"""),"Active")</f>
        <v>Active</v>
      </c>
    </row>
    <row r="1173">
      <c r="A1173" s="131">
        <f>IFERROR(__xludf.DUMMYFUNCTION("""COMPUTED_VALUE"""),46180.331296296295)</f>
        <v>46180.3313</v>
      </c>
      <c r="B1173" s="122" t="str">
        <f>IFERROR(__xludf.DUMMYFUNCTION("""COMPUTED_VALUE"""),"MEME")</f>
        <v>MEME</v>
      </c>
      <c r="C1173" s="122" t="str">
        <f>IFERROR(__xludf.DUMMYFUNCTION("""COMPUTED_VALUE"""),"Meme Media reports steady growth and improved market confidence.")</f>
        <v>Meme Media reports steady growth and improved market confidence.</v>
      </c>
      <c r="D1173" s="122" t="str">
        <f>IFERROR(__xludf.DUMMYFUNCTION("""COMPUTED_VALUE"""),"Meme Media continues to show positive momentum with moderate risk.")</f>
        <v>Meme Media continues to show positive momentum with moderate risk.</v>
      </c>
      <c r="E1173" s="122" t="str">
        <f>IFERROR(__xludf.DUMMYFUNCTION("""COMPUTED_VALUE"""),"Positive")</f>
        <v>Positive</v>
      </c>
      <c r="F1173" s="122">
        <f>IFERROR(__xludf.DUMMYFUNCTION("""COMPUTED_VALUE"""),0.015)</f>
        <v>0.015</v>
      </c>
      <c r="G1173" s="122">
        <f>IFERROR(__xludf.DUMMYFUNCTION("""COMPUTED_VALUE"""),0.5)</f>
        <v>0.5</v>
      </c>
      <c r="H1173" s="122" t="str">
        <f>IFERROR(__xludf.DUMMYFUNCTION("""COMPUTED_VALUE"""),"Active")</f>
        <v>Active</v>
      </c>
    </row>
    <row r="1174">
      <c r="A1174" s="131">
        <f>IFERROR(__xludf.DUMMYFUNCTION("""COMPUTED_VALUE"""),46180.33131944444)</f>
        <v>46180.33132</v>
      </c>
      <c r="B1174" s="122" t="str">
        <f>IFERROR(__xludf.DUMMYFUNCTION("""COMPUTED_VALUE"""),"STRM")</f>
        <v>STRM</v>
      </c>
      <c r="C1174" s="122" t="str">
        <f>IFERROR(__xludf.DUMMYFUNCTION("""COMPUTED_VALUE"""),"Streamly faces weaker demand and cautious investor sentiment.")</f>
        <v>Streamly faces weaker demand and cautious investor sentiment.</v>
      </c>
      <c r="D1174" s="122" t="str">
        <f>IFERROR(__xludf.DUMMYFUNCTION("""COMPUTED_VALUE"""),"Investors are watching Streamly closely as demand weakens.")</f>
        <v>Investors are watching Streamly closely as demand weakens.</v>
      </c>
      <c r="E1174" s="122" t="str">
        <f>IFERROR(__xludf.DUMMYFUNCTION("""COMPUTED_VALUE"""),"Negative")</f>
        <v>Negative</v>
      </c>
      <c r="F1174" s="122">
        <f>IFERROR(__xludf.DUMMYFUNCTION("""COMPUTED_VALUE"""),-0.015)</f>
        <v>-0.015</v>
      </c>
      <c r="G1174" s="122">
        <f>IFERROR(__xludf.DUMMYFUNCTION("""COMPUTED_VALUE"""),0.75)</f>
        <v>0.75</v>
      </c>
      <c r="H1174" s="122" t="str">
        <f>IFERROR(__xludf.DUMMYFUNCTION("""COMPUTED_VALUE"""),"Active")</f>
        <v>Active</v>
      </c>
    </row>
    <row r="1175">
      <c r="A1175" s="131">
        <f>IFERROR(__xludf.DUMMYFUNCTION("""COMPUTED_VALUE"""),46180.33133101852)</f>
        <v>46180.33133</v>
      </c>
      <c r="B1175" s="122" t="str">
        <f>IFERROR(__xludf.DUMMYFUNCTION("""COMPUTED_VALUE"""),"FARM")</f>
        <v>FARM</v>
      </c>
      <c r="C1175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175" s="122" t="str">
        <f>IFERROR(__xludf.DUMMYFUNCTION("""COMPUTED_VALUE"""),"Future Farms appears steady with no major changes reported.")</f>
        <v>Future Farms appears steady with no major changes reported.</v>
      </c>
      <c r="E1175" s="122" t="str">
        <f>IFERROR(__xludf.DUMMYFUNCTION("""COMPUTED_VALUE"""),"Neutral")</f>
        <v>Neutral</v>
      </c>
      <c r="F1175" s="122">
        <f>IFERROR(__xludf.DUMMYFUNCTION("""COMPUTED_VALUE"""),0.0)</f>
        <v>0</v>
      </c>
      <c r="G1175" s="122">
        <f>IFERROR(__xludf.DUMMYFUNCTION("""COMPUTED_VALUE"""),0.0)</f>
        <v>0</v>
      </c>
      <c r="H1175" s="122" t="str">
        <f>IFERROR(__xludf.DUMMYFUNCTION("""COMPUTED_VALUE"""),"Active")</f>
        <v>Active</v>
      </c>
    </row>
    <row r="1176">
      <c r="A1176" s="131">
        <f>IFERROR(__xludf.DUMMYFUNCTION("""COMPUTED_VALUE"""),46180.33133101852)</f>
        <v>46180.33133</v>
      </c>
      <c r="B1176" s="122" t="str">
        <f>IFERROR(__xludf.DUMMYFUNCTION("""COMPUTED_VALUE"""),"MEAT")</f>
        <v>MEAT</v>
      </c>
      <c r="C1176" s="122" t="str">
        <f>IFERROR(__xludf.DUMMYFUNCTION("""COMPUTED_VALUE"""),"MeatWorks remains stable as the Food market shows normal activity.")</f>
        <v>MeatWorks remains stable as the Food market shows normal activity.</v>
      </c>
      <c r="D1176" s="122" t="str">
        <f>IFERROR(__xludf.DUMMYFUNCTION("""COMPUTED_VALUE"""),"MeatWorks appears steady with no major changes reported.")</f>
        <v>MeatWorks appears steady with no major changes reported.</v>
      </c>
      <c r="E1176" s="122" t="str">
        <f>IFERROR(__xludf.DUMMYFUNCTION("""COMPUTED_VALUE"""),"Neutral")</f>
        <v>Neutral</v>
      </c>
      <c r="F1176" s="122">
        <f>IFERROR(__xludf.DUMMYFUNCTION("""COMPUTED_VALUE"""),0.0)</f>
        <v>0</v>
      </c>
      <c r="G1176" s="122">
        <f>IFERROR(__xludf.DUMMYFUNCTION("""COMPUTED_VALUE"""),0.0)</f>
        <v>0</v>
      </c>
      <c r="H1176" s="122" t="str">
        <f>IFERROR(__xludf.DUMMYFUNCTION("""COMPUTED_VALUE"""),"Active")</f>
        <v>Active</v>
      </c>
    </row>
    <row r="1177">
      <c r="A1177" s="131">
        <f>IFERROR(__xludf.DUMMYFUNCTION("""COMPUTED_VALUE"""),46180.331342592595)</f>
        <v>46180.33134</v>
      </c>
      <c r="B1177" s="122" t="str">
        <f>IFERROR(__xludf.DUMMYFUNCTION("""COMPUTED_VALUE"""),"VEGI")</f>
        <v>VEGI</v>
      </c>
      <c r="C1177" s="122" t="str">
        <f>IFERROR(__xludf.DUMMYFUNCTION("""COMPUTED_VALUE"""),"Green Basket remains stable as the Food market shows normal activity.")</f>
        <v>Green Basket remains stable as the Food market shows normal activity.</v>
      </c>
      <c r="D1177" s="122" t="str">
        <f>IFERROR(__xludf.DUMMYFUNCTION("""COMPUTED_VALUE"""),"Green Basket appears steady with no major changes reported.")</f>
        <v>Green Basket appears steady with no major changes reported.</v>
      </c>
      <c r="E1177" s="122" t="str">
        <f>IFERROR(__xludf.DUMMYFUNCTION("""COMPUTED_VALUE"""),"Neutral")</f>
        <v>Neutral</v>
      </c>
      <c r="F1177" s="122">
        <f>IFERROR(__xludf.DUMMYFUNCTION("""COMPUTED_VALUE"""),0.0)</f>
        <v>0</v>
      </c>
      <c r="G1177" s="122">
        <f>IFERROR(__xludf.DUMMYFUNCTION("""COMPUTED_VALUE"""),0.0)</f>
        <v>0</v>
      </c>
      <c r="H1177" s="122" t="str">
        <f>IFERROR(__xludf.DUMMYFUNCTION("""COMPUTED_VALUE"""),"Active")</f>
        <v>Active</v>
      </c>
    </row>
    <row r="1178">
      <c r="A1178" s="131">
        <f>IFERROR(__xludf.DUMMYFUNCTION("""COMPUTED_VALUE"""),46180.331354166665)</f>
        <v>46180.33135</v>
      </c>
      <c r="B1178" s="122" t="str">
        <f>IFERROR(__xludf.DUMMYFUNCTION("""COMPUTED_VALUE"""),"CAFE")</f>
        <v>CAFE</v>
      </c>
      <c r="C1178" s="122" t="str">
        <f>IFERROR(__xludf.DUMMYFUNCTION("""COMPUTED_VALUE"""),"Cafe Cloud remains stable as the Food market shows normal activity.")</f>
        <v>Cafe Cloud remains stable as the Food market shows normal activity.</v>
      </c>
      <c r="D1178" s="122" t="str">
        <f>IFERROR(__xludf.DUMMYFUNCTION("""COMPUTED_VALUE"""),"Cafe Cloud appears steady with no major changes reported.")</f>
        <v>Cafe Cloud appears steady with no major changes reported.</v>
      </c>
      <c r="E1178" s="122" t="str">
        <f>IFERROR(__xludf.DUMMYFUNCTION("""COMPUTED_VALUE"""),"Neutral")</f>
        <v>Neutral</v>
      </c>
      <c r="F1178" s="122">
        <f>IFERROR(__xludf.DUMMYFUNCTION("""COMPUTED_VALUE"""),0.0)</f>
        <v>0</v>
      </c>
      <c r="G1178" s="122">
        <f>IFERROR(__xludf.DUMMYFUNCTION("""COMPUTED_VALUE"""),0.0)</f>
        <v>0</v>
      </c>
      <c r="H1178" s="122" t="str">
        <f>IFERROR(__xludf.DUMMYFUNCTION("""COMPUTED_VALUE"""),"Active")</f>
        <v>Active</v>
      </c>
    </row>
    <row r="1179">
      <c r="A1179" s="131">
        <f>IFERROR(__xludf.DUMMYFUNCTION("""COMPUTED_VALUE"""),46180.331354166665)</f>
        <v>46180.33135</v>
      </c>
      <c r="B1179" s="122" t="str">
        <f>IFERROR(__xludf.DUMMYFUNCTION("""COMPUTED_VALUE"""),"BAKE")</f>
        <v>BAKE</v>
      </c>
      <c r="C1179" s="122" t="str">
        <f>IFERROR(__xludf.DUMMYFUNCTION("""COMPUTED_VALUE"""),"BakeHouse faces weaker demand and cautious investor sentiment.")</f>
        <v>BakeHouse faces weaker demand and cautious investor sentiment.</v>
      </c>
      <c r="D1179" s="122" t="str">
        <f>IFERROR(__xludf.DUMMYFUNCTION("""COMPUTED_VALUE"""),"Investors are watching BakeHouse closely as demand weakens.")</f>
        <v>Investors are watching BakeHouse closely as demand weakens.</v>
      </c>
      <c r="E1179" s="122" t="str">
        <f>IFERROR(__xludf.DUMMYFUNCTION("""COMPUTED_VALUE"""),"Negative")</f>
        <v>Negative</v>
      </c>
      <c r="F1179" s="122">
        <f>IFERROR(__xludf.DUMMYFUNCTION("""COMPUTED_VALUE"""),-0.015)</f>
        <v>-0.015</v>
      </c>
      <c r="G1179" s="122">
        <f>IFERROR(__xludf.DUMMYFUNCTION("""COMPUTED_VALUE"""),0.75)</f>
        <v>0.75</v>
      </c>
      <c r="H1179" s="122" t="str">
        <f>IFERROR(__xludf.DUMMYFUNCTION("""COMPUTED_VALUE"""),"Active")</f>
        <v>Active</v>
      </c>
    </row>
    <row r="1180">
      <c r="A1180" s="131">
        <f>IFERROR(__xludf.DUMMYFUNCTION("""COMPUTED_VALUE"""),46180.33136574074)</f>
        <v>46180.33137</v>
      </c>
      <c r="B1180" s="122" t="str">
        <f>IFERROR(__xludf.DUMMYFUNCTION("""COMPUTED_VALUE"""),"OILX")</f>
        <v>OILX</v>
      </c>
      <c r="C1180" s="122" t="str">
        <f>IFERROR(__xludf.DUMMYFUNCTION("""COMPUTED_VALUE"""),"OilMax Energy remains stable as the Energy market shows normal activity.")</f>
        <v>OilMax Energy remains stable as the Energy market shows normal activity.</v>
      </c>
      <c r="D1180" s="122" t="str">
        <f>IFERROR(__xludf.DUMMYFUNCTION("""COMPUTED_VALUE"""),"OilMax Energy appears steady with no major changes reported.")</f>
        <v>OilMax Energy appears steady with no major changes reported.</v>
      </c>
      <c r="E1180" s="122" t="str">
        <f>IFERROR(__xludf.DUMMYFUNCTION("""COMPUTED_VALUE"""),"Neutral")</f>
        <v>Neutral</v>
      </c>
      <c r="F1180" s="122">
        <f>IFERROR(__xludf.DUMMYFUNCTION("""COMPUTED_VALUE"""),0.0)</f>
        <v>0</v>
      </c>
      <c r="G1180" s="122">
        <f>IFERROR(__xludf.DUMMYFUNCTION("""COMPUTED_VALUE"""),0.0)</f>
        <v>0</v>
      </c>
      <c r="H1180" s="122" t="str">
        <f>IFERROR(__xludf.DUMMYFUNCTION("""COMPUTED_VALUE"""),"Active")</f>
        <v>Active</v>
      </c>
    </row>
    <row r="1181">
      <c r="A1181" s="131">
        <f>IFERROR(__xludf.DUMMYFUNCTION("""COMPUTED_VALUE"""),46180.33136574074)</f>
        <v>46180.33137</v>
      </c>
      <c r="B1181" s="122" t="str">
        <f>IFERROR(__xludf.DUMMYFUNCTION("""COMPUTED_VALUE"""),"SOLR")</f>
        <v>SOLR</v>
      </c>
      <c r="C1181" s="122" t="str">
        <f>IFERROR(__xludf.DUMMYFUNCTION("""COMPUTED_VALUE"""),"SolarSpark remains stable as the Energy market shows normal activity.")</f>
        <v>SolarSpark remains stable as the Energy market shows normal activity.</v>
      </c>
      <c r="D1181" s="122" t="str">
        <f>IFERROR(__xludf.DUMMYFUNCTION("""COMPUTED_VALUE"""),"SolarSpark appears steady with no major changes reported.")</f>
        <v>SolarSpark appears steady with no major changes reported.</v>
      </c>
      <c r="E1181" s="122" t="str">
        <f>IFERROR(__xludf.DUMMYFUNCTION("""COMPUTED_VALUE"""),"Neutral")</f>
        <v>Neutral</v>
      </c>
      <c r="F1181" s="122">
        <f>IFERROR(__xludf.DUMMYFUNCTION("""COMPUTED_VALUE"""),0.0)</f>
        <v>0</v>
      </c>
      <c r="G1181" s="122">
        <f>IFERROR(__xludf.DUMMYFUNCTION("""COMPUTED_VALUE"""),0.0)</f>
        <v>0</v>
      </c>
      <c r="H1181" s="122" t="str">
        <f>IFERROR(__xludf.DUMMYFUNCTION("""COMPUTED_VALUE"""),"Active")</f>
        <v>Active</v>
      </c>
    </row>
    <row r="1182">
      <c r="A1182" s="131">
        <f>IFERROR(__xludf.DUMMYFUNCTION("""COMPUTED_VALUE"""),46180.33137731482)</f>
        <v>46180.33138</v>
      </c>
      <c r="B1182" s="122" t="str">
        <f>IFERROR(__xludf.DUMMYFUNCTION("""COMPUTED_VALUE"""),"BATT")</f>
        <v>BATT</v>
      </c>
      <c r="C1182" s="122" t="str">
        <f>IFERROR(__xludf.DUMMYFUNCTION("""COMPUTED_VALUE"""),"BatteryBox remains stable as the Energy market shows normal activity.")</f>
        <v>BatteryBox remains stable as the Energy market shows normal activity.</v>
      </c>
      <c r="D1182" s="122" t="str">
        <f>IFERROR(__xludf.DUMMYFUNCTION("""COMPUTED_VALUE"""),"BatteryBox appears steady with no major changes reported.")</f>
        <v>BatteryBox appears steady with no major changes reported.</v>
      </c>
      <c r="E1182" s="122" t="str">
        <f>IFERROR(__xludf.DUMMYFUNCTION("""COMPUTED_VALUE"""),"Neutral")</f>
        <v>Neutral</v>
      </c>
      <c r="F1182" s="122">
        <f>IFERROR(__xludf.DUMMYFUNCTION("""COMPUTED_VALUE"""),0.0)</f>
        <v>0</v>
      </c>
      <c r="G1182" s="122">
        <f>IFERROR(__xludf.DUMMYFUNCTION("""COMPUTED_VALUE"""),0.0)</f>
        <v>0</v>
      </c>
      <c r="H1182" s="122" t="str">
        <f>IFERROR(__xludf.DUMMYFUNCTION("""COMPUTED_VALUE"""),"Active")</f>
        <v>Active</v>
      </c>
    </row>
    <row r="1183">
      <c r="A1183" s="131">
        <f>IFERROR(__xludf.DUMMYFUNCTION("""COMPUTED_VALUE"""),46180.33138888889)</f>
        <v>46180.33139</v>
      </c>
      <c r="B1183" s="122" t="str">
        <f>IFERROR(__xludf.DUMMYFUNCTION("""COMPUTED_VALUE"""),"WIND")</f>
        <v>WIND</v>
      </c>
      <c r="C1183" s="122" t="str">
        <f>IFERROR(__xludf.DUMMYFUNCTION("""COMPUTED_VALUE"""),"WindWorks faces weaker demand and cautious investor sentiment.")</f>
        <v>WindWorks faces weaker demand and cautious investor sentiment.</v>
      </c>
      <c r="D1183" s="122" t="str">
        <f>IFERROR(__xludf.DUMMYFUNCTION("""COMPUTED_VALUE"""),"Investors are watching WindWorks closely as demand weakens.")</f>
        <v>Investors are watching WindWorks closely as demand weakens.</v>
      </c>
      <c r="E1183" s="122" t="str">
        <f>IFERROR(__xludf.DUMMYFUNCTION("""COMPUTED_VALUE"""),"Negative")</f>
        <v>Negative</v>
      </c>
      <c r="F1183" s="122">
        <f>IFERROR(__xludf.DUMMYFUNCTION("""COMPUTED_VALUE"""),-0.015)</f>
        <v>-0.015</v>
      </c>
      <c r="G1183" s="122">
        <f>IFERROR(__xludf.DUMMYFUNCTION("""COMPUTED_VALUE"""),0.75)</f>
        <v>0.75</v>
      </c>
      <c r="H1183" s="122" t="str">
        <f>IFERROR(__xludf.DUMMYFUNCTION("""COMPUTED_VALUE"""),"Active")</f>
        <v>Active</v>
      </c>
    </row>
    <row r="1184">
      <c r="A1184" s="131">
        <f>IFERROR(__xludf.DUMMYFUNCTION("""COMPUTED_VALUE"""),46180.331400462965)</f>
        <v>46180.3314</v>
      </c>
      <c r="B1184" s="122" t="str">
        <f>IFERROR(__xludf.DUMMYFUNCTION("""COMPUTED_VALUE"""),"GRID")</f>
        <v>GRID</v>
      </c>
      <c r="C1184" s="122" t="str">
        <f>IFERROR(__xludf.DUMMYFUNCTION("""COMPUTED_VALUE"""),"GridPower remains stable as the Energy market shows normal activity.")</f>
        <v>GridPower remains stable as the Energy market shows normal activity.</v>
      </c>
      <c r="D1184" s="122" t="str">
        <f>IFERROR(__xludf.DUMMYFUNCTION("""COMPUTED_VALUE"""),"GridPower appears steady with no major changes reported.")</f>
        <v>GridPower appears steady with no major changes reported.</v>
      </c>
      <c r="E1184" s="122" t="str">
        <f>IFERROR(__xludf.DUMMYFUNCTION("""COMPUTED_VALUE"""),"Neutral")</f>
        <v>Neutral</v>
      </c>
      <c r="F1184" s="122">
        <f>IFERROR(__xludf.DUMMYFUNCTION("""COMPUTED_VALUE"""),0.0)</f>
        <v>0</v>
      </c>
      <c r="G1184" s="122">
        <f>IFERROR(__xludf.DUMMYFUNCTION("""COMPUTED_VALUE"""),0.0)</f>
        <v>0</v>
      </c>
      <c r="H1184" s="122" t="str">
        <f>IFERROR(__xludf.DUMMYFUNCTION("""COMPUTED_VALUE"""),"Active")</f>
        <v>Active</v>
      </c>
    </row>
    <row r="1185">
      <c r="A1185" s="131">
        <f>IFERROR(__xludf.DUMMYFUNCTION("""COMPUTED_VALUE"""),46180.331412037034)</f>
        <v>46180.33141</v>
      </c>
      <c r="B1185" s="122" t="str">
        <f>IFERROR(__xludf.DUMMYFUNCTION("""COMPUTED_VALUE"""),"HOME")</f>
        <v>HOME</v>
      </c>
      <c r="C1185" s="122" t="str">
        <f>IFERROR(__xludf.DUMMYFUNCTION("""COMPUTED_VALUE"""),"HomeHub faces weaker demand and cautious investor sentiment.")</f>
        <v>HomeHub faces weaker demand and cautious investor sentiment.</v>
      </c>
      <c r="D1185" s="122" t="str">
        <f>IFERROR(__xludf.DUMMYFUNCTION("""COMPUTED_VALUE"""),"Investors are watching HomeHub closely as demand weakens.")</f>
        <v>Investors are watching HomeHub closely as demand weakens.</v>
      </c>
      <c r="E1185" s="122" t="str">
        <f>IFERROR(__xludf.DUMMYFUNCTION("""COMPUTED_VALUE"""),"Negative")</f>
        <v>Negative</v>
      </c>
      <c r="F1185" s="122">
        <f>IFERROR(__xludf.DUMMYFUNCTION("""COMPUTED_VALUE"""),-0.015)</f>
        <v>-0.015</v>
      </c>
      <c r="G1185" s="122">
        <f>IFERROR(__xludf.DUMMYFUNCTION("""COMPUTED_VALUE"""),0.75)</f>
        <v>0.75</v>
      </c>
      <c r="H1185" s="122" t="str">
        <f>IFERROR(__xludf.DUMMYFUNCTION("""COMPUTED_VALUE"""),"Active")</f>
        <v>Active</v>
      </c>
    </row>
    <row r="1186">
      <c r="A1186" s="131">
        <f>IFERROR(__xludf.DUMMYFUNCTION("""COMPUTED_VALUE"""),46180.33142361111)</f>
        <v>46180.33142</v>
      </c>
      <c r="B1186" s="122" t="str">
        <f>IFERROR(__xludf.DUMMYFUNCTION("""COMPUTED_VALUE"""),"RENT")</f>
        <v>RENT</v>
      </c>
      <c r="C1186" s="122" t="str">
        <f>IFERROR(__xludf.DUMMYFUNCTION("""COMPUTED_VALUE"""),"RentRight remains stable as the Real Estate market shows normal activity.")</f>
        <v>RentRight remains stable as the Real Estate market shows normal activity.</v>
      </c>
      <c r="D1186" s="122" t="str">
        <f>IFERROR(__xludf.DUMMYFUNCTION("""COMPUTED_VALUE"""),"RentRight appears steady with no major changes reported.")</f>
        <v>RentRight appears steady with no major changes reported.</v>
      </c>
      <c r="E1186" s="122" t="str">
        <f>IFERROR(__xludf.DUMMYFUNCTION("""COMPUTED_VALUE"""),"Neutral")</f>
        <v>Neutral</v>
      </c>
      <c r="F1186" s="122">
        <f>IFERROR(__xludf.DUMMYFUNCTION("""COMPUTED_VALUE"""),0.0)</f>
        <v>0</v>
      </c>
      <c r="G1186" s="122">
        <f>IFERROR(__xludf.DUMMYFUNCTION("""COMPUTED_VALUE"""),0.0)</f>
        <v>0</v>
      </c>
      <c r="H1186" s="122" t="str">
        <f>IFERROR(__xludf.DUMMYFUNCTION("""COMPUTED_VALUE"""),"Active")</f>
        <v>Active</v>
      </c>
    </row>
    <row r="1187">
      <c r="A1187" s="131">
        <f>IFERROR(__xludf.DUMMYFUNCTION("""COMPUTED_VALUE"""),46180.33142361111)</f>
        <v>46180.33142</v>
      </c>
      <c r="B1187" s="122" t="str">
        <f>IFERROR(__xludf.DUMMYFUNCTION("""COMPUTED_VALUE"""),"MALL")</f>
        <v>MALL</v>
      </c>
      <c r="C1187" s="122" t="str">
        <f>IFERROR(__xludf.DUMMYFUNCTION("""COMPUTED_VALUE"""),"MegaMall reports steady growth and improved market confidence.")</f>
        <v>MegaMall reports steady growth and improved market confidence.</v>
      </c>
      <c r="D1187" s="122" t="str">
        <f>IFERROR(__xludf.DUMMYFUNCTION("""COMPUTED_VALUE"""),"MegaMall continues to show positive momentum with moderate risk.")</f>
        <v>MegaMall continues to show positive momentum with moderate risk.</v>
      </c>
      <c r="E1187" s="122" t="str">
        <f>IFERROR(__xludf.DUMMYFUNCTION("""COMPUTED_VALUE"""),"Positive")</f>
        <v>Positive</v>
      </c>
      <c r="F1187" s="122">
        <f>IFERROR(__xludf.DUMMYFUNCTION("""COMPUTED_VALUE"""),0.015)</f>
        <v>0.015</v>
      </c>
      <c r="G1187" s="122">
        <f>IFERROR(__xludf.DUMMYFUNCTION("""COMPUTED_VALUE"""),0.5)</f>
        <v>0.5</v>
      </c>
      <c r="H1187" s="122" t="str">
        <f>IFERROR(__xludf.DUMMYFUNCTION("""COMPUTED_VALUE"""),"Active")</f>
        <v>Active</v>
      </c>
    </row>
    <row r="1188">
      <c r="A1188" s="131">
        <f>IFERROR(__xludf.DUMMYFUNCTION("""COMPUTED_VALUE"""),46180.33144675926)</f>
        <v>46180.33145</v>
      </c>
      <c r="B1188" s="122" t="str">
        <f>IFERROR(__xludf.DUMMYFUNCTION("""COMPUTED_VALUE"""),"HOTL")</f>
        <v>HOTL</v>
      </c>
      <c r="C1188" s="122" t="str">
        <f>IFERROR(__xludf.DUMMYFUNCTION("""COMPUTED_VALUE"""),"HotelHive remains stable as the Real Estate market shows normal activity.")</f>
        <v>HotelHive remains stable as the Real Estate market shows normal activity.</v>
      </c>
      <c r="D1188" s="122" t="str">
        <f>IFERROR(__xludf.DUMMYFUNCTION("""COMPUTED_VALUE"""),"HotelHive appears steady with no major changes reported.")</f>
        <v>HotelHive appears steady with no major changes reported.</v>
      </c>
      <c r="E1188" s="122" t="str">
        <f>IFERROR(__xludf.DUMMYFUNCTION("""COMPUTED_VALUE"""),"Neutral")</f>
        <v>Neutral</v>
      </c>
      <c r="F1188" s="122">
        <f>IFERROR(__xludf.DUMMYFUNCTION("""COMPUTED_VALUE"""),0.0)</f>
        <v>0</v>
      </c>
      <c r="G1188" s="122">
        <f>IFERROR(__xludf.DUMMYFUNCTION("""COMPUTED_VALUE"""),0.0)</f>
        <v>0</v>
      </c>
      <c r="H1188" s="122" t="str">
        <f>IFERROR(__xludf.DUMMYFUNCTION("""COMPUTED_VALUE"""),"Active")</f>
        <v>Active</v>
      </c>
    </row>
    <row r="1189">
      <c r="A1189" s="131">
        <f>IFERROR(__xludf.DUMMYFUNCTION("""COMPUTED_VALUE"""),46180.33146990741)</f>
        <v>46180.33147</v>
      </c>
      <c r="B1189" s="122" t="str">
        <f>IFERROR(__xludf.DUMMYFUNCTION("""COMPUTED_VALUE"""),"LAND")</f>
        <v>LAND</v>
      </c>
      <c r="C1189" s="122" t="str">
        <f>IFERROR(__xludf.DUMMYFUNCTION("""COMPUTED_VALUE"""),"LandLink surges as demand rises across the Real Estate sector.")</f>
        <v>LandLink surges as demand rises across the Real Estate sector.</v>
      </c>
      <c r="D1189" s="122" t="str">
        <f>IFERROR(__xludf.DUMMYFUNCTION("""COMPUTED_VALUE"""),"LandLink is seeing strong demand, which may increase investor confidence.")</f>
        <v>LandLink is seeing strong demand, which may increase investor confidence.</v>
      </c>
      <c r="E1189" s="122" t="str">
        <f>IFERROR(__xludf.DUMMYFUNCTION("""COMPUTED_VALUE"""),"Positive")</f>
        <v>Positive</v>
      </c>
      <c r="F1189" s="122">
        <f>IFERROR(__xludf.DUMMYFUNCTION("""COMPUTED_VALUE"""),0.03)</f>
        <v>0.03</v>
      </c>
      <c r="G1189" s="122">
        <f>IFERROR(__xludf.DUMMYFUNCTION("""COMPUTED_VALUE"""),1.0)</f>
        <v>1</v>
      </c>
      <c r="H1189" s="122" t="str">
        <f>IFERROR(__xludf.DUMMYFUNCTION("""COMPUTED_VALUE"""),"Active")</f>
        <v>Active</v>
      </c>
    </row>
    <row r="1190">
      <c r="A1190" s="131">
        <f>IFERROR(__xludf.DUMMYFUNCTION("""COMPUTED_VALUE"""),46180.33146990741)</f>
        <v>46180.33147</v>
      </c>
      <c r="B1190" s="122" t="str">
        <f>IFERROR(__xludf.DUMMYFUNCTION("""COMPUTED_VALUE"""),"CARS")</f>
        <v>CARS</v>
      </c>
      <c r="C1190" s="122" t="str">
        <f>IFERROR(__xludf.DUMMYFUNCTION("""COMPUTED_VALUE"""),"AutoArena faces weaker demand and cautious investor sentiment.")</f>
        <v>AutoArena faces weaker demand and cautious investor sentiment.</v>
      </c>
      <c r="D1190" s="122" t="str">
        <f>IFERROR(__xludf.DUMMYFUNCTION("""COMPUTED_VALUE"""),"Investors are watching AutoArena closely as demand weakens.")</f>
        <v>Investors are watching AutoArena closely as demand weakens.</v>
      </c>
      <c r="E1190" s="122" t="str">
        <f>IFERROR(__xludf.DUMMYFUNCTION("""COMPUTED_VALUE"""),"Negative")</f>
        <v>Negative</v>
      </c>
      <c r="F1190" s="122">
        <f>IFERROR(__xludf.DUMMYFUNCTION("""COMPUTED_VALUE"""),-0.015)</f>
        <v>-0.015</v>
      </c>
      <c r="G1190" s="122">
        <f>IFERROR(__xludf.DUMMYFUNCTION("""COMPUTED_VALUE"""),0.75)</f>
        <v>0.75</v>
      </c>
      <c r="H1190" s="122" t="str">
        <f>IFERROR(__xludf.DUMMYFUNCTION("""COMPUTED_VALUE"""),"Active")</f>
        <v>Active</v>
      </c>
    </row>
    <row r="1191">
      <c r="A1191" s="131">
        <f>IFERROR(__xludf.DUMMYFUNCTION("""COMPUTED_VALUE"""),46180.33148148148)</f>
        <v>46180.33148</v>
      </c>
      <c r="B1191" s="122" t="str">
        <f>IFERROR(__xludf.DUMMYFUNCTION("""COMPUTED_VALUE"""),"EVGO")</f>
        <v>EVGO</v>
      </c>
      <c r="C1191" s="122" t="str">
        <f>IFERROR(__xludf.DUMMYFUNCTION("""COMPUTED_VALUE"""),"EVGo Motors remains stable as the Automotive market shows normal activity.")</f>
        <v>EVGo Motors remains stable as the Automotive market shows normal activity.</v>
      </c>
      <c r="D1191" s="122" t="str">
        <f>IFERROR(__xludf.DUMMYFUNCTION("""COMPUTED_VALUE"""),"EVGo Motors appears steady with no major changes reported.")</f>
        <v>EVGo Motors appears steady with no major changes reported.</v>
      </c>
      <c r="E1191" s="122" t="str">
        <f>IFERROR(__xludf.DUMMYFUNCTION("""COMPUTED_VALUE"""),"Neutral")</f>
        <v>Neutral</v>
      </c>
      <c r="F1191" s="122">
        <f>IFERROR(__xludf.DUMMYFUNCTION("""COMPUTED_VALUE"""),0.0)</f>
        <v>0</v>
      </c>
      <c r="G1191" s="122">
        <f>IFERROR(__xludf.DUMMYFUNCTION("""COMPUTED_VALUE"""),0.0)</f>
        <v>0</v>
      </c>
      <c r="H1191" s="122" t="str">
        <f>IFERROR(__xludf.DUMMYFUNCTION("""COMPUTED_VALUE"""),"Active")</f>
        <v>Active</v>
      </c>
    </row>
    <row r="1192">
      <c r="A1192" s="131">
        <f>IFERROR(__xludf.DUMMYFUNCTION("""COMPUTED_VALUE"""),46180.33149305556)</f>
        <v>46180.33149</v>
      </c>
      <c r="B1192" s="122" t="str">
        <f>IFERROR(__xludf.DUMMYFUNCTION("""COMPUTED_VALUE"""),"TIRE")</f>
        <v>TIRE</v>
      </c>
      <c r="C1192" s="122" t="str">
        <f>IFERROR(__xludf.DUMMYFUNCTION("""COMPUTED_VALUE"""),"TireTown faces weaker demand and cautious investor sentiment.")</f>
        <v>TireTown faces weaker demand and cautious investor sentiment.</v>
      </c>
      <c r="D1192" s="122" t="str">
        <f>IFERROR(__xludf.DUMMYFUNCTION("""COMPUTED_VALUE"""),"Investors are watching TireTown closely as demand weakens.")</f>
        <v>Investors are watching TireTown closely as demand weakens.</v>
      </c>
      <c r="E1192" s="122" t="str">
        <f>IFERROR(__xludf.DUMMYFUNCTION("""COMPUTED_VALUE"""),"Negative")</f>
        <v>Negative</v>
      </c>
      <c r="F1192" s="122">
        <f>IFERROR(__xludf.DUMMYFUNCTION("""COMPUTED_VALUE"""),-0.015)</f>
        <v>-0.015</v>
      </c>
      <c r="G1192" s="122">
        <f>IFERROR(__xludf.DUMMYFUNCTION("""COMPUTED_VALUE"""),0.75)</f>
        <v>0.75</v>
      </c>
      <c r="H1192" s="122" t="str">
        <f>IFERROR(__xludf.DUMMYFUNCTION("""COMPUTED_VALUE"""),"Active")</f>
        <v>Active</v>
      </c>
    </row>
    <row r="1193">
      <c r="A1193" s="131">
        <f>IFERROR(__xludf.DUMMYFUNCTION("""COMPUTED_VALUE"""),46180.33149305556)</f>
        <v>46180.33149</v>
      </c>
      <c r="B1193" s="122" t="str">
        <f>IFERROR(__xludf.DUMMYFUNCTION("""COMPUTED_VALUE"""),"BIKE")</f>
        <v>BIKE</v>
      </c>
      <c r="C1193" s="122" t="str">
        <f>IFERROR(__xludf.DUMMYFUNCTION("""COMPUTED_VALUE"""),"BikeBox remains stable as the Automotive market shows normal activity.")</f>
        <v>BikeBox remains stable as the Automotive market shows normal activity.</v>
      </c>
      <c r="D1193" s="122" t="str">
        <f>IFERROR(__xludf.DUMMYFUNCTION("""COMPUTED_VALUE"""),"BikeBox appears steady with no major changes reported.")</f>
        <v>BikeBox appears steady with no major changes reported.</v>
      </c>
      <c r="E1193" s="122" t="str">
        <f>IFERROR(__xludf.DUMMYFUNCTION("""COMPUTED_VALUE"""),"Neutral")</f>
        <v>Neutral</v>
      </c>
      <c r="F1193" s="122">
        <f>IFERROR(__xludf.DUMMYFUNCTION("""COMPUTED_VALUE"""),0.0)</f>
        <v>0</v>
      </c>
      <c r="G1193" s="122">
        <f>IFERROR(__xludf.DUMMYFUNCTION("""COMPUTED_VALUE"""),0.0)</f>
        <v>0</v>
      </c>
      <c r="H1193" s="122" t="str">
        <f>IFERROR(__xludf.DUMMYFUNCTION("""COMPUTED_VALUE"""),"Active")</f>
        <v>Active</v>
      </c>
    </row>
    <row r="1194">
      <c r="A1194" s="131">
        <f>IFERROR(__xludf.DUMMYFUNCTION("""COMPUTED_VALUE"""),46180.33150462963)</f>
        <v>46180.3315</v>
      </c>
      <c r="B1194" s="122" t="str">
        <f>IFERROR(__xludf.DUMMYFUNCTION("""COMPUTED_VALUE"""),"WASH")</f>
        <v>WASH</v>
      </c>
      <c r="C1194" s="122" t="str">
        <f>IFERROR(__xludf.DUMMYFUNCTION("""COMPUTED_VALUE"""),"CarWash Co reports steady growth and improved market confidence.")</f>
        <v>CarWash Co reports steady growth and improved market confidence.</v>
      </c>
      <c r="D1194" s="122" t="str">
        <f>IFERROR(__xludf.DUMMYFUNCTION("""COMPUTED_VALUE"""),"CarWash Co continues to show positive momentum with moderate risk.")</f>
        <v>CarWash Co continues to show positive momentum with moderate risk.</v>
      </c>
      <c r="E1194" s="122" t="str">
        <f>IFERROR(__xludf.DUMMYFUNCTION("""COMPUTED_VALUE"""),"Positive")</f>
        <v>Positive</v>
      </c>
      <c r="F1194" s="122">
        <f>IFERROR(__xludf.DUMMYFUNCTION("""COMPUTED_VALUE"""),0.015)</f>
        <v>0.015</v>
      </c>
      <c r="G1194" s="122">
        <f>IFERROR(__xludf.DUMMYFUNCTION("""COMPUTED_VALUE"""),0.5)</f>
        <v>0.5</v>
      </c>
      <c r="H1194" s="122" t="str">
        <f>IFERROR(__xludf.DUMMYFUNCTION("""COMPUTED_VALUE"""),"Active")</f>
        <v>Active</v>
      </c>
    </row>
    <row r="1195">
      <c r="A1195" s="131">
        <f>IFERROR(__xludf.DUMMYFUNCTION("""COMPUTED_VALUE"""),46180.33150462963)</f>
        <v>46180.3315</v>
      </c>
      <c r="B1195" s="122" t="str">
        <f>IFERROR(__xludf.DUMMYFUNCTION("""COMPUTED_VALUE"""),"GBND")</f>
        <v>GBND</v>
      </c>
      <c r="C1195" s="122" t="str">
        <f>IFERROR(__xludf.DUMMYFUNCTION("""COMPUTED_VALUE"""),"Classroom Government Bond remains steady as investors seek stability.")</f>
        <v>Classroom Government Bond remains steady as investors seek stability.</v>
      </c>
      <c r="D1195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195" s="122" t="str">
        <f>IFERROR(__xludf.DUMMYFUNCTION("""COMPUTED_VALUE"""),"Neutral")</f>
        <v>Neutral</v>
      </c>
      <c r="F1195" s="122">
        <f>IFERROR(__xludf.DUMMYFUNCTION("""COMPUTED_VALUE"""),0.0)</f>
        <v>0</v>
      </c>
      <c r="G1195" s="122">
        <f>IFERROR(__xludf.DUMMYFUNCTION("""COMPUTED_VALUE"""),0.0)</f>
        <v>0</v>
      </c>
      <c r="H1195" s="122" t="str">
        <f>IFERROR(__xludf.DUMMYFUNCTION("""COMPUTED_VALUE"""),"Active")</f>
        <v>Active</v>
      </c>
    </row>
    <row r="1196">
      <c r="A1196" s="131">
        <f>IFERROR(__xludf.DUMMYFUNCTION("""COMPUTED_VALUE"""),46180.3315162037)</f>
        <v>46180.33152</v>
      </c>
      <c r="B1196" s="122" t="str">
        <f>IFERROR(__xludf.DUMMYFUNCTION("""COMPUTED_VALUE"""),"SBND")</f>
        <v>SBND</v>
      </c>
      <c r="C1196" s="122" t="str">
        <f>IFERROR(__xludf.DUMMYFUNCTION("""COMPUTED_VALUE"""),"School Savings Bond remains steady as investors seek stability.")</f>
        <v>School Savings Bond remains steady as investors seek stability.</v>
      </c>
      <c r="D1196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196" s="122" t="str">
        <f>IFERROR(__xludf.DUMMYFUNCTION("""COMPUTED_VALUE"""),"Neutral")</f>
        <v>Neutral</v>
      </c>
      <c r="F1196" s="122">
        <f>IFERROR(__xludf.DUMMYFUNCTION("""COMPUTED_VALUE"""),0.0)</f>
        <v>0</v>
      </c>
      <c r="G1196" s="122">
        <f>IFERROR(__xludf.DUMMYFUNCTION("""COMPUTED_VALUE"""),0.0)</f>
        <v>0</v>
      </c>
      <c r="H1196" s="122" t="str">
        <f>IFERROR(__xludf.DUMMYFUNCTION("""COMPUTED_VALUE"""),"Active")</f>
        <v>Active</v>
      </c>
    </row>
    <row r="1197">
      <c r="A1197" s="131">
        <f>IFERROR(__xludf.DUMMYFUNCTION("""COMPUTED_VALUE"""),46180.33152777778)</f>
        <v>46180.33153</v>
      </c>
      <c r="B1197" s="122" t="str">
        <f>IFERROR(__xludf.DUMMYFUNCTION("""COMPUTED_VALUE"""),"CBND")</f>
        <v>CBND</v>
      </c>
      <c r="C1197" s="122" t="str">
        <f>IFERROR(__xludf.DUMMYFUNCTION("""COMPUTED_VALUE"""),"Corporate Classroom Bond remains steady as investors seek stability.")</f>
        <v>Corporate Classroom Bond remains steady as investors seek stability.</v>
      </c>
      <c r="D1197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197" s="122" t="str">
        <f>IFERROR(__xludf.DUMMYFUNCTION("""COMPUTED_VALUE"""),"Neutral")</f>
        <v>Neutral</v>
      </c>
      <c r="F1197" s="122">
        <f>IFERROR(__xludf.DUMMYFUNCTION("""COMPUTED_VALUE"""),0.0)</f>
        <v>0</v>
      </c>
      <c r="G1197" s="122">
        <f>IFERROR(__xludf.DUMMYFUNCTION("""COMPUTED_VALUE"""),0.0)</f>
        <v>0</v>
      </c>
      <c r="H1197" s="122" t="str">
        <f>IFERROR(__xludf.DUMMYFUNCTION("""COMPUTED_VALUE"""),"Active")</f>
        <v>Active</v>
      </c>
    </row>
    <row r="1198">
      <c r="A1198" s="131">
        <f>IFERROR(__xludf.DUMMYFUNCTION("""COMPUTED_VALUE"""),46180.33152777778)</f>
        <v>46180.33153</v>
      </c>
      <c r="B1198" s="122" t="str">
        <f>IFERROR(__xludf.DUMMYFUNCTION("""COMPUTED_VALUE"""),"TBIL")</f>
        <v>TBIL</v>
      </c>
      <c r="C1198" s="122" t="str">
        <f>IFERROR(__xludf.DUMMYFUNCTION("""COMPUTED_VALUE"""),"Treasury Bill remains steady as investors seek stability.")</f>
        <v>Treasury Bill remains steady as investors seek stability.</v>
      </c>
      <c r="D1198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198" s="122" t="str">
        <f>IFERROR(__xludf.DUMMYFUNCTION("""COMPUTED_VALUE"""),"Neutral")</f>
        <v>Neutral</v>
      </c>
      <c r="F1198" s="122">
        <f>IFERROR(__xludf.DUMMYFUNCTION("""COMPUTED_VALUE"""),0.0)</f>
        <v>0</v>
      </c>
      <c r="G1198" s="122">
        <f>IFERROR(__xludf.DUMMYFUNCTION("""COMPUTED_VALUE"""),0.0)</f>
        <v>0</v>
      </c>
      <c r="H1198" s="122" t="str">
        <f>IFERROR(__xludf.DUMMYFUNCTION("""COMPUTED_VALUE"""),"Active")</f>
        <v>Active</v>
      </c>
    </row>
    <row r="1199">
      <c r="A1199" s="131">
        <f>IFERROR(__xludf.DUMMYFUNCTION("""COMPUTED_VALUE"""),46180.33153935185)</f>
        <v>46180.33154</v>
      </c>
      <c r="B1199" s="122" t="str">
        <f>IFERROR(__xludf.DUMMYFUNCTION("""COMPUTED_VALUE"""),"IBND")</f>
        <v>IBND</v>
      </c>
      <c r="C1199" s="122" t="str">
        <f>IFERROR(__xludf.DUMMYFUNCTION("""COMPUTED_VALUE"""),"Inflation Protected Bond remains steady as investors seek stability.")</f>
        <v>Inflation Protected Bond remains steady as investors seek stability.</v>
      </c>
      <c r="D1199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199" s="122" t="str">
        <f>IFERROR(__xludf.DUMMYFUNCTION("""COMPUTED_VALUE"""),"Neutral")</f>
        <v>Neutral</v>
      </c>
      <c r="F1199" s="122">
        <f>IFERROR(__xludf.DUMMYFUNCTION("""COMPUTED_VALUE"""),0.0)</f>
        <v>0</v>
      </c>
      <c r="G1199" s="122">
        <f>IFERROR(__xludf.DUMMYFUNCTION("""COMPUTED_VALUE"""),0.0)</f>
        <v>0</v>
      </c>
      <c r="H1199" s="122" t="str">
        <f>IFERROR(__xludf.DUMMYFUNCTION("""COMPUTED_VALUE"""),"Active")</f>
        <v>Active</v>
      </c>
    </row>
    <row r="1200">
      <c r="A1200" s="131">
        <f>IFERROR(__xludf.DUMMYFUNCTION("""COMPUTED_VALUE"""),46180.338784722226)</f>
        <v>46180.33878</v>
      </c>
      <c r="B1200" s="122" t="str">
        <f>IFERROR(__xludf.DUMMYFUNCTION("""COMPUTED_VALUE"""),"MARKET")</f>
        <v>MARKET</v>
      </c>
      <c r="C1200" s="122" t="str">
        <f>IFERROR(__xludf.DUMMYFUNCTION("""COMPUTED_VALUE"""),"Weekly Market Outlook")</f>
        <v>Weekly Market Outlook</v>
      </c>
      <c r="D1200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1200" s="122" t="str">
        <f>IFERROR(__xludf.DUMMYFUNCTION("""COMPUTED_VALUE"""),"Neutral")</f>
        <v>Neutral</v>
      </c>
      <c r="F1200" s="122">
        <f>IFERROR(__xludf.DUMMYFUNCTION("""COMPUTED_VALUE"""),0.0)</f>
        <v>0</v>
      </c>
      <c r="G1200" s="122">
        <f>IFERROR(__xludf.DUMMYFUNCTION("""COMPUTED_VALUE"""),0.0)</f>
        <v>0</v>
      </c>
      <c r="H1200" s="122" t="str">
        <f>IFERROR(__xludf.DUMMYFUNCTION("""COMPUTED_VALUE"""),"Active")</f>
        <v>Active</v>
      </c>
    </row>
    <row r="1201">
      <c r="A1201" s="131">
        <f>IFERROR(__xludf.DUMMYFUNCTION("""COMPUTED_VALUE"""),46180.338796296295)</f>
        <v>46180.3388</v>
      </c>
      <c r="B1201" s="122" t="str">
        <f>IFERROR(__xludf.DUMMYFUNCTION("""COMPUTED_VALUE"""),"MARKET")</f>
        <v>MARKET</v>
      </c>
      <c r="C1201" s="122" t="str">
        <f>IFERROR(__xludf.DUMMYFUNCTION("""COMPUTED_VALUE"""),"Market Stability Report")</f>
        <v>Market Stability Report</v>
      </c>
      <c r="D1201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1201" s="122" t="str">
        <f>IFERROR(__xludf.DUMMYFUNCTION("""COMPUTED_VALUE"""),"Neutral")</f>
        <v>Neutral</v>
      </c>
      <c r="F1201" s="122">
        <f>IFERROR(__xludf.DUMMYFUNCTION("""COMPUTED_VALUE"""),0.0)</f>
        <v>0</v>
      </c>
      <c r="G1201" s="122">
        <f>IFERROR(__xludf.DUMMYFUNCTION("""COMPUTED_VALUE"""),0.0)</f>
        <v>0</v>
      </c>
      <c r="H1201" s="122" t="str">
        <f>IFERROR(__xludf.DUMMYFUNCTION("""COMPUTED_VALUE"""),"Active")</f>
        <v>Active</v>
      </c>
    </row>
    <row r="1202">
      <c r="A1202" s="131">
        <f>IFERROR(__xludf.DUMMYFUNCTION("""COMPUTED_VALUE"""),46181.292395833334)</f>
        <v>46181.2924</v>
      </c>
      <c r="B1202" s="122" t="str">
        <f>IFERROR(__xludf.DUMMYFUNCTION("""COMPUTED_VALUE"""),"MARKET")</f>
        <v>MARKET</v>
      </c>
      <c r="C1202" s="122" t="str">
        <f>IFERROR(__xludf.DUMMYFUNCTION("""COMPUTED_VALUE"""),"Weekly Market Outlook")</f>
        <v>Weekly Market Outlook</v>
      </c>
      <c r="D1202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1202" s="122" t="str">
        <f>IFERROR(__xludf.DUMMYFUNCTION("""COMPUTED_VALUE"""),"Neutral")</f>
        <v>Neutral</v>
      </c>
      <c r="F1202" s="122">
        <f>IFERROR(__xludf.DUMMYFUNCTION("""COMPUTED_VALUE"""),0.0)</f>
        <v>0</v>
      </c>
      <c r="G1202" s="122">
        <f>IFERROR(__xludf.DUMMYFUNCTION("""COMPUTED_VALUE"""),0.0)</f>
        <v>0</v>
      </c>
      <c r="H1202" s="122" t="str">
        <f>IFERROR(__xludf.DUMMYFUNCTION("""COMPUTED_VALUE"""),"Active")</f>
        <v>Active</v>
      </c>
    </row>
    <row r="1203">
      <c r="A1203" s="131">
        <f>IFERROR(__xludf.DUMMYFUNCTION("""COMPUTED_VALUE"""),46181.31758101852)</f>
        <v>46181.31758</v>
      </c>
      <c r="B1203" s="122" t="str">
        <f>IFERROR(__xludf.DUMMYFUNCTION("""COMPUTED_VALUE"""),"RIDE")</f>
        <v>RIDE</v>
      </c>
      <c r="C1203" s="122" t="str">
        <f>IFERROR(__xludf.DUMMYFUNCTION("""COMPUTED_VALUE"""),"QuickRide releases earnings report: Miss profit, guidance Lowered.")</f>
        <v>QuickRide releases earnings report: Miss profit, guidance Lowered.</v>
      </c>
      <c r="D1203" s="122" t="str">
        <f>IFERROR(__xludf.DUMMYFUNCTION("""COMPUTED_VALUE"""),"Earnings report: revenue Miss, profit Miss, debt Worse, guidance Lowered.")</f>
        <v>Earnings report: revenue Miss, profit Miss, debt Worse, guidance Lowered.</v>
      </c>
      <c r="E1203" s="122" t="str">
        <f>IFERROR(__xludf.DUMMYFUNCTION("""COMPUTED_VALUE"""),"Negative")</f>
        <v>Negative</v>
      </c>
      <c r="F1203" s="122">
        <f>IFERROR(__xludf.DUMMYFUNCTION("""COMPUTED_VALUE"""),-0.02289460613604518)</f>
        <v>-0.02289460614</v>
      </c>
      <c r="G1203" s="122">
        <f>IFERROR(__xludf.DUMMYFUNCTION("""COMPUTED_VALUE"""),0.5723651534011295)</f>
        <v>0.5723651534</v>
      </c>
      <c r="H1203" s="122" t="str">
        <f>IFERROR(__xludf.DUMMYFUNCTION("""COMPUTED_VALUE"""),"Active")</f>
        <v>Active</v>
      </c>
    </row>
    <row r="1204">
      <c r="A1204" s="131">
        <f>IFERROR(__xludf.DUMMYFUNCTION("""COMPUTED_VALUE"""),46181.31762731481)</f>
        <v>46181.31763</v>
      </c>
      <c r="B1204" s="122" t="str">
        <f>IFERROR(__xludf.DUMMYFUNCTION("""COMPUTED_VALUE"""),"HOTL")</f>
        <v>HOTL</v>
      </c>
      <c r="C1204" s="122" t="str">
        <f>IFERROR(__xludf.DUMMYFUNCTION("""COMPUTED_VALUE"""),"HotelHive releases earnings report: Beat profit, guidance Raised.")</f>
        <v>HotelHive releases earnings report: Beat profit, guidance Raised.</v>
      </c>
      <c r="D120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204" s="122" t="str">
        <f>IFERROR(__xludf.DUMMYFUNCTION("""COMPUTED_VALUE"""),"Positive")</f>
        <v>Positive</v>
      </c>
      <c r="F1204" s="122">
        <f>IFERROR(__xludf.DUMMYFUNCTION("""COMPUTED_VALUE"""),0.036731186791371113)</f>
        <v>0.03673118679</v>
      </c>
      <c r="G1204" s="122">
        <f>IFERROR(__xludf.DUMMYFUNCTION("""COMPUTED_VALUE"""),0.9182796697842779)</f>
        <v>0.9182796698</v>
      </c>
      <c r="H1204" s="122" t="str">
        <f>IFERROR(__xludf.DUMMYFUNCTION("""COMPUTED_VALUE"""),"Active")</f>
        <v>Active</v>
      </c>
    </row>
    <row r="1205">
      <c r="A1205" s="131">
        <f>IFERROR(__xludf.DUMMYFUNCTION("""COMPUTED_VALUE"""),46181.31767361111)</f>
        <v>46181.31767</v>
      </c>
      <c r="B1205" s="122" t="str">
        <f>IFERROR(__xludf.DUMMYFUNCTION("""COMPUTED_VALUE"""),"SOLR")</f>
        <v>SOLR</v>
      </c>
      <c r="C1205" s="122" t="str">
        <f>IFERROR(__xludf.DUMMYFUNCTION("""COMPUTED_VALUE"""),"SolarSpark releases earnings report: Miss profit, guidance Lowered.")</f>
        <v>SolarSpark releases earnings report: Miss profit, guidance Lowered.</v>
      </c>
      <c r="D1205" s="122" t="str">
        <f>IFERROR(__xludf.DUMMYFUNCTION("""COMPUTED_VALUE"""),"Earnings report: revenue Miss, profit Miss, debt Worse, guidance Lowered.")</f>
        <v>Earnings report: revenue Miss, profit Miss, debt Worse, guidance Lowered.</v>
      </c>
      <c r="E1205" s="122" t="str">
        <f>IFERROR(__xludf.DUMMYFUNCTION("""COMPUTED_VALUE"""),"Negative")</f>
        <v>Negative</v>
      </c>
      <c r="F1205" s="122">
        <f>IFERROR(__xludf.DUMMYFUNCTION("""COMPUTED_VALUE"""),-0.027914804932457755)</f>
        <v>-0.02791480493</v>
      </c>
      <c r="G1205" s="122">
        <f>IFERROR(__xludf.DUMMYFUNCTION("""COMPUTED_VALUE"""),0.6978701233114438)</f>
        <v>0.6978701233</v>
      </c>
      <c r="H1205" s="122" t="str">
        <f>IFERROR(__xludf.DUMMYFUNCTION("""COMPUTED_VALUE"""),"Active")</f>
        <v>Active</v>
      </c>
    </row>
    <row r="1206">
      <c r="A1206" s="131">
        <f>IFERROR(__xludf.DUMMYFUNCTION("""COMPUTED_VALUE"""),46181.317719907405)</f>
        <v>46181.31772</v>
      </c>
      <c r="B1206" s="122" t="str">
        <f>IFERROR(__xludf.DUMMYFUNCTION("""COMPUTED_VALUE"""),"STRM")</f>
        <v>STRM</v>
      </c>
      <c r="C1206" s="122" t="str">
        <f>IFERROR(__xludf.DUMMYFUNCTION("""COMPUTED_VALUE"""),"Streamly releases earnings report: Miss profit, guidance Lowered.")</f>
        <v>Streamly releases earnings report: Miss profit, guidance Lowered.</v>
      </c>
      <c r="D1206" s="122" t="str">
        <f>IFERROR(__xludf.DUMMYFUNCTION("""COMPUTED_VALUE"""),"Earnings report: revenue Miss, profit Miss, debt Worse, guidance Lowered.")</f>
        <v>Earnings report: revenue Miss, profit Miss, debt Worse, guidance Lowered.</v>
      </c>
      <c r="E1206" s="122" t="str">
        <f>IFERROR(__xludf.DUMMYFUNCTION("""COMPUTED_VALUE"""),"Negative")</f>
        <v>Negative</v>
      </c>
      <c r="F1206" s="122">
        <f>IFERROR(__xludf.DUMMYFUNCTION("""COMPUTED_VALUE"""),-0.05415285840709304)</f>
        <v>-0.05415285841</v>
      </c>
      <c r="G1206" s="122">
        <f>IFERROR(__xludf.DUMMYFUNCTION("""COMPUTED_VALUE"""),1.353821460177326)</f>
        <v>1.35382146</v>
      </c>
      <c r="H1206" s="122" t="str">
        <f>IFERROR(__xludf.DUMMYFUNCTION("""COMPUTED_VALUE"""),"Active")</f>
        <v>Active</v>
      </c>
    </row>
    <row r="1207">
      <c r="A1207" s="131">
        <f>IFERROR(__xludf.DUMMYFUNCTION("""COMPUTED_VALUE"""),46181.317777777775)</f>
        <v>46181.31778</v>
      </c>
      <c r="B1207" s="122" t="str">
        <f>IFERROR(__xludf.DUMMYFUNCTION("""COMPUTED_VALUE"""),"INSR")</f>
        <v>INSR</v>
      </c>
      <c r="C1207" s="122" t="str">
        <f>IFERROR(__xludf.DUMMYFUNCTION("""COMPUTED_VALUE"""),"Shield Insurance releases earnings report: Miss profit, guidance Lowered.")</f>
        <v>Shield Insurance releases earnings report: Miss profit, guidance Lowered.</v>
      </c>
      <c r="D1207" s="122" t="str">
        <f>IFERROR(__xludf.DUMMYFUNCTION("""COMPUTED_VALUE"""),"Earnings report: revenue Miss, profit Miss, debt Worse, guidance Lowered.")</f>
        <v>Earnings report: revenue Miss, profit Miss, debt Worse, guidance Lowered.</v>
      </c>
      <c r="E1207" s="122" t="str">
        <f>IFERROR(__xludf.DUMMYFUNCTION("""COMPUTED_VALUE"""),"Negative")</f>
        <v>Negative</v>
      </c>
      <c r="F1207" s="122">
        <f>IFERROR(__xludf.DUMMYFUNCTION("""COMPUTED_VALUE"""),-0.03590465839767859)</f>
        <v>-0.0359046584</v>
      </c>
      <c r="G1207" s="122">
        <f>IFERROR(__xludf.DUMMYFUNCTION("""COMPUTED_VALUE"""),0.8976164599419647)</f>
        <v>0.8976164599</v>
      </c>
      <c r="H1207" s="122" t="str">
        <f>IFERROR(__xludf.DUMMYFUNCTION("""COMPUTED_VALUE"""),"Active")</f>
        <v>Active</v>
      </c>
    </row>
    <row r="1208">
      <c r="A1208" s="131">
        <f>IFERROR(__xludf.DUMMYFUNCTION("""COMPUTED_VALUE"""),46181.317824074074)</f>
        <v>46181.31782</v>
      </c>
      <c r="B1208" s="122" t="str">
        <f>IFERROR(__xludf.DUMMYFUNCTION("""COMPUTED_VALUE"""),"DENT")</f>
        <v>DENT</v>
      </c>
      <c r="C1208" s="122" t="str">
        <f>IFERROR(__xludf.DUMMYFUNCTION("""COMPUTED_VALUE"""),"SmileWorks releases earnings report: Miss profit, guidance Maintained.")</f>
        <v>SmileWorks releases earnings report: Miss profit, guidance Maintained.</v>
      </c>
      <c r="D1208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208" s="122" t="str">
        <f>IFERROR(__xludf.DUMMYFUNCTION("""COMPUTED_VALUE"""),"Negative")</f>
        <v>Negative</v>
      </c>
      <c r="F1208" s="122">
        <f>IFERROR(__xludf.DUMMYFUNCTION("""COMPUTED_VALUE"""),-0.010527150377261488)</f>
        <v>-0.01052715038</v>
      </c>
      <c r="G1208" s="122">
        <f>IFERROR(__xludf.DUMMYFUNCTION("""COMPUTED_VALUE"""),0.26317875943153723)</f>
        <v>0.2631787594</v>
      </c>
      <c r="H1208" s="122" t="str">
        <f>IFERROR(__xludf.DUMMYFUNCTION("""COMPUTED_VALUE"""),"Active")</f>
        <v>Active</v>
      </c>
    </row>
    <row r="1209">
      <c r="A1209" s="131">
        <f>IFERROR(__xludf.DUMMYFUNCTION("""COMPUTED_VALUE"""),46181.3178587963)</f>
        <v>46181.31786</v>
      </c>
      <c r="B1209" s="122" t="str">
        <f>IFERROR(__xludf.DUMMYFUNCTION("""COMPUTED_VALUE"""),"CARS")</f>
        <v>CARS</v>
      </c>
      <c r="C1209" s="122" t="str">
        <f>IFERROR(__xludf.DUMMYFUNCTION("""COMPUTED_VALUE"""),"AutoArena releases earnings report: Beat profit, guidance Raised.")</f>
        <v>AutoArena releases earnings report: Beat profit, guidance Raised.</v>
      </c>
      <c r="D120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209" s="122" t="str">
        <f>IFERROR(__xludf.DUMMYFUNCTION("""COMPUTED_VALUE"""),"Positive")</f>
        <v>Positive</v>
      </c>
      <c r="F1209" s="122">
        <f>IFERROR(__xludf.DUMMYFUNCTION("""COMPUTED_VALUE"""),0.04167073654419309)</f>
        <v>0.04167073654</v>
      </c>
      <c r="G1209" s="122">
        <f>IFERROR(__xludf.DUMMYFUNCTION("""COMPUTED_VALUE"""),1.0417684136048273)</f>
        <v>1.041768414</v>
      </c>
      <c r="H1209" s="122" t="str">
        <f>IFERROR(__xludf.DUMMYFUNCTION("""COMPUTED_VALUE"""),"Active")</f>
        <v>Active</v>
      </c>
    </row>
    <row r="1210">
      <c r="A1210" s="131">
        <f>IFERROR(__xludf.DUMMYFUNCTION("""COMPUTED_VALUE"""),46181.31791666667)</f>
        <v>46181.31792</v>
      </c>
      <c r="B1210" s="122" t="str">
        <f>IFERROR(__xludf.DUMMYFUNCTION("""COMPUTED_VALUE"""),"CAFE")</f>
        <v>CAFE</v>
      </c>
      <c r="C1210" s="122" t="str">
        <f>IFERROR(__xludf.DUMMYFUNCTION("""COMPUTED_VALUE"""),"Cafe Cloud releases earnings report: Beat profit, guidance Raised.")</f>
        <v>Cafe Cloud releases earnings report: Beat profit, guidance Raised.</v>
      </c>
      <c r="D121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210" s="122" t="str">
        <f>IFERROR(__xludf.DUMMYFUNCTION("""COMPUTED_VALUE"""),"Positive")</f>
        <v>Positive</v>
      </c>
      <c r="F1210" s="122">
        <f>IFERROR(__xludf.DUMMYFUNCTION("""COMPUTED_VALUE"""),0.043740910628344065)</f>
        <v>0.04374091063</v>
      </c>
      <c r="G1210" s="122">
        <f>IFERROR(__xludf.DUMMYFUNCTION("""COMPUTED_VALUE"""),1.0935227657086015)</f>
        <v>1.093522766</v>
      </c>
      <c r="H1210" s="122" t="str">
        <f>IFERROR(__xludf.DUMMYFUNCTION("""COMPUTED_VALUE"""),"Active")</f>
        <v>Active</v>
      </c>
    </row>
    <row r="1211">
      <c r="A1211" s="131">
        <f>IFERROR(__xludf.DUMMYFUNCTION("""COMPUTED_VALUE"""),46181.31795138889)</f>
        <v>46181.31795</v>
      </c>
      <c r="B1211" s="122" t="str">
        <f>IFERROR(__xludf.DUMMYFUNCTION("""COMPUTED_VALUE"""),"GAME")</f>
        <v>GAME</v>
      </c>
      <c r="C1211" s="122" t="str">
        <f>IFERROR(__xludf.DUMMYFUNCTION("""COMPUTED_VALUE"""),"GameBox Media releases earnings report: Miss profit, guidance Lowered.")</f>
        <v>GameBox Media releases earnings report: Miss profit, guidance Lowered.</v>
      </c>
      <c r="D1211" s="122" t="str">
        <f>IFERROR(__xludf.DUMMYFUNCTION("""COMPUTED_VALUE"""),"Earnings report: revenue Miss, profit Miss, debt Worse, guidance Lowered.")</f>
        <v>Earnings report: revenue Miss, profit Miss, debt Worse, guidance Lowered.</v>
      </c>
      <c r="E1211" s="122" t="str">
        <f>IFERROR(__xludf.DUMMYFUNCTION("""COMPUTED_VALUE"""),"Negative")</f>
        <v>Negative</v>
      </c>
      <c r="F1211" s="122">
        <f>IFERROR(__xludf.DUMMYFUNCTION("""COMPUTED_VALUE"""),-0.05739183423940296)</f>
        <v>-0.05739183424</v>
      </c>
      <c r="G1211" s="122">
        <f>IFERROR(__xludf.DUMMYFUNCTION("""COMPUTED_VALUE"""),1.434795855985074)</f>
        <v>1.434795856</v>
      </c>
      <c r="H1211" s="122" t="str">
        <f>IFERROR(__xludf.DUMMYFUNCTION("""COMPUTED_VALUE"""),"Active")</f>
        <v>Active</v>
      </c>
    </row>
    <row r="1212">
      <c r="A1212" s="131">
        <f>IFERROR(__xludf.DUMMYFUNCTION("""COMPUTED_VALUE"""),46181.3308912037)</f>
        <v>46181.33089</v>
      </c>
      <c r="B1212" s="122" t="str">
        <f>IFERROR(__xludf.DUMMYFUNCTION("""COMPUTED_VALUE"""),"SNAX")</f>
        <v>SNAX</v>
      </c>
      <c r="C1212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1212" s="122" t="str">
        <f>IFERROR(__xludf.DUMMYFUNCTION("""COMPUTED_VALUE"""),"MICA Snacks appears steady with no major changes reported.")</f>
        <v>MICA Snacks appears steady with no major changes reported.</v>
      </c>
      <c r="E1212" s="122" t="str">
        <f>IFERROR(__xludf.DUMMYFUNCTION("""COMPUTED_VALUE"""),"Neutral")</f>
        <v>Neutral</v>
      </c>
      <c r="F1212" s="122">
        <f>IFERROR(__xludf.DUMMYFUNCTION("""COMPUTED_VALUE"""),0.0)</f>
        <v>0</v>
      </c>
      <c r="G1212" s="122">
        <f>IFERROR(__xludf.DUMMYFUNCTION("""COMPUTED_VALUE"""),0.0)</f>
        <v>0</v>
      </c>
      <c r="H1212" s="122" t="str">
        <f>IFERROR(__xludf.DUMMYFUNCTION("""COMPUTED_VALUE"""),"Active")</f>
        <v>Active</v>
      </c>
    </row>
    <row r="1213">
      <c r="A1213" s="131">
        <f>IFERROR(__xludf.DUMMYFUNCTION("""COMPUTED_VALUE"""),46181.33090277778)</f>
        <v>46181.3309</v>
      </c>
      <c r="B1213" s="122" t="str">
        <f>IFERROR(__xludf.DUMMYFUNCTION("""COMPUTED_VALUE"""),"RAMN")</f>
        <v>RAMN</v>
      </c>
      <c r="C1213" s="122" t="str">
        <f>IFERROR(__xludf.DUMMYFUNCTION("""COMPUTED_VALUE"""),"Ramen Republic faces weaker demand and cautious investor sentiment.")</f>
        <v>Ramen Republic faces weaker demand and cautious investor sentiment.</v>
      </c>
      <c r="D1213" s="122" t="str">
        <f>IFERROR(__xludf.DUMMYFUNCTION("""COMPUTED_VALUE"""),"Investors are watching Ramen Republic closely as demand weakens.")</f>
        <v>Investors are watching Ramen Republic closely as demand weakens.</v>
      </c>
      <c r="E1213" s="122" t="str">
        <f>IFERROR(__xludf.DUMMYFUNCTION("""COMPUTED_VALUE"""),"Negative")</f>
        <v>Negative</v>
      </c>
      <c r="F1213" s="122">
        <f>IFERROR(__xludf.DUMMYFUNCTION("""COMPUTED_VALUE"""),-0.015)</f>
        <v>-0.015</v>
      </c>
      <c r="G1213" s="122">
        <f>IFERROR(__xludf.DUMMYFUNCTION("""COMPUTED_VALUE"""),0.75)</f>
        <v>0.75</v>
      </c>
      <c r="H1213" s="122" t="str">
        <f>IFERROR(__xludf.DUMMYFUNCTION("""COMPUTED_VALUE"""),"Active")</f>
        <v>Active</v>
      </c>
    </row>
    <row r="1214">
      <c r="A1214" s="131">
        <f>IFERROR(__xludf.DUMMYFUNCTION("""COMPUTED_VALUE"""),46181.33090277778)</f>
        <v>46181.3309</v>
      </c>
      <c r="B1214" s="122" t="str">
        <f>IFERROR(__xludf.DUMMYFUNCTION("""COMPUTED_VALUE"""),"COLA")</f>
        <v>COLA</v>
      </c>
      <c r="C1214" s="122" t="str">
        <f>IFERROR(__xludf.DUMMYFUNCTION("""COMPUTED_VALUE"""),"K-Pop Cola remains stable as the Beverage market shows normal activity.")</f>
        <v>K-Pop Cola remains stable as the Beverage market shows normal activity.</v>
      </c>
      <c r="D1214" s="122" t="str">
        <f>IFERROR(__xludf.DUMMYFUNCTION("""COMPUTED_VALUE"""),"K-Pop Cola appears steady with no major changes reported.")</f>
        <v>K-Pop Cola appears steady with no major changes reported.</v>
      </c>
      <c r="E1214" s="122" t="str">
        <f>IFERROR(__xludf.DUMMYFUNCTION("""COMPUTED_VALUE"""),"Neutral")</f>
        <v>Neutral</v>
      </c>
      <c r="F1214" s="122">
        <f>IFERROR(__xludf.DUMMYFUNCTION("""COMPUTED_VALUE"""),0.0)</f>
        <v>0</v>
      </c>
      <c r="G1214" s="122">
        <f>IFERROR(__xludf.DUMMYFUNCTION("""COMPUTED_VALUE"""),0.0)</f>
        <v>0</v>
      </c>
      <c r="H1214" s="122" t="str">
        <f>IFERROR(__xludf.DUMMYFUNCTION("""COMPUTED_VALUE"""),"Active")</f>
        <v>Active</v>
      </c>
    </row>
    <row r="1215">
      <c r="A1215" s="131">
        <f>IFERROR(__xludf.DUMMYFUNCTION("""COMPUTED_VALUE"""),46181.33091435185)</f>
        <v>46181.33091</v>
      </c>
      <c r="B1215" s="122" t="str">
        <f>IFERROR(__xludf.DUMMYFUNCTION("""COMPUTED_VALUE"""),"CHIP")</f>
        <v>CHIP</v>
      </c>
      <c r="C1215" s="122" t="str">
        <f>IFERROR(__xludf.DUMMYFUNCTION("""COMPUTED_VALUE"""),"Chip Empire reports steady growth and improved market confidence.")</f>
        <v>Chip Empire reports steady growth and improved market confidence.</v>
      </c>
      <c r="D1215" s="122" t="str">
        <f>IFERROR(__xludf.DUMMYFUNCTION("""COMPUTED_VALUE"""),"Chip Empire continues to show positive momentum with moderate risk.")</f>
        <v>Chip Empire continues to show positive momentum with moderate risk.</v>
      </c>
      <c r="E1215" s="122" t="str">
        <f>IFERROR(__xludf.DUMMYFUNCTION("""COMPUTED_VALUE"""),"Positive")</f>
        <v>Positive</v>
      </c>
      <c r="F1215" s="122">
        <f>IFERROR(__xludf.DUMMYFUNCTION("""COMPUTED_VALUE"""),0.015)</f>
        <v>0.015</v>
      </c>
      <c r="G1215" s="122">
        <f>IFERROR(__xludf.DUMMYFUNCTION("""COMPUTED_VALUE"""),0.5)</f>
        <v>0.5</v>
      </c>
      <c r="H1215" s="122" t="str">
        <f>IFERROR(__xludf.DUMMYFUNCTION("""COMPUTED_VALUE"""),"Active")</f>
        <v>Active</v>
      </c>
    </row>
    <row r="1216">
      <c r="A1216" s="131">
        <f>IFERROR(__xludf.DUMMYFUNCTION("""COMPUTED_VALUE"""),46181.33091435185)</f>
        <v>46181.33091</v>
      </c>
      <c r="B1216" s="122" t="str">
        <f>IFERROR(__xludf.DUMMYFUNCTION("""COMPUTED_VALUE"""),"CAND")</f>
        <v>CAND</v>
      </c>
      <c r="C1216" s="122" t="str">
        <f>IFERROR(__xludf.DUMMYFUNCTION("""COMPUTED_VALUE"""),"Candy Capital reports steady growth and improved market confidence.")</f>
        <v>Candy Capital reports steady growth and improved market confidence.</v>
      </c>
      <c r="D1216" s="122" t="str">
        <f>IFERROR(__xludf.DUMMYFUNCTION("""COMPUTED_VALUE"""),"Candy Capital continues to show positive momentum with moderate risk.")</f>
        <v>Candy Capital continues to show positive momentum with moderate risk.</v>
      </c>
      <c r="E1216" s="122" t="str">
        <f>IFERROR(__xludf.DUMMYFUNCTION("""COMPUTED_VALUE"""),"Positive")</f>
        <v>Positive</v>
      </c>
      <c r="F1216" s="122">
        <f>IFERROR(__xludf.DUMMYFUNCTION("""COMPUTED_VALUE"""),0.015)</f>
        <v>0.015</v>
      </c>
      <c r="G1216" s="122">
        <f>IFERROR(__xludf.DUMMYFUNCTION("""COMPUTED_VALUE"""),0.5)</f>
        <v>0.5</v>
      </c>
      <c r="H1216" s="122" t="str">
        <f>IFERROR(__xludf.DUMMYFUNCTION("""COMPUTED_VALUE"""),"Active")</f>
        <v>Active</v>
      </c>
    </row>
    <row r="1217">
      <c r="A1217" s="131">
        <f>IFERROR(__xludf.DUMMYFUNCTION("""COMPUTED_VALUE"""),46181.3309375)</f>
        <v>46181.33094</v>
      </c>
      <c r="B1217" s="122" t="str">
        <f>IFERROR(__xludf.DUMMYFUNCTION("""COMPUTED_VALUE"""),"TECH")</f>
        <v>TECH</v>
      </c>
      <c r="C1217" s="122" t="str">
        <f>IFERROR(__xludf.DUMMYFUNCTION("""COMPUTED_VALUE"""),"Dragon Tech remains stable as the Technology market shows normal activity.")</f>
        <v>Dragon Tech remains stable as the Technology market shows normal activity.</v>
      </c>
      <c r="D1217" s="122" t="str">
        <f>IFERROR(__xludf.DUMMYFUNCTION("""COMPUTED_VALUE"""),"Dragon Tech appears steady with no major changes reported.")</f>
        <v>Dragon Tech appears steady with no major changes reported.</v>
      </c>
      <c r="E1217" s="122" t="str">
        <f>IFERROR(__xludf.DUMMYFUNCTION("""COMPUTED_VALUE"""),"Neutral")</f>
        <v>Neutral</v>
      </c>
      <c r="F1217" s="122">
        <f>IFERROR(__xludf.DUMMYFUNCTION("""COMPUTED_VALUE"""),0.0)</f>
        <v>0</v>
      </c>
      <c r="G1217" s="122">
        <f>IFERROR(__xludf.DUMMYFUNCTION("""COMPUTED_VALUE"""),0.0)</f>
        <v>0</v>
      </c>
      <c r="H1217" s="122" t="str">
        <f>IFERROR(__xludf.DUMMYFUNCTION("""COMPUTED_VALUE"""),"Active")</f>
        <v>Active</v>
      </c>
    </row>
    <row r="1218">
      <c r="A1218" s="131">
        <f>IFERROR(__xludf.DUMMYFUNCTION("""COMPUTED_VALUE"""),46181.3309375)</f>
        <v>46181.33094</v>
      </c>
      <c r="B1218" s="122" t="str">
        <f>IFERROR(__xludf.DUMMYFUNCTION("""COMPUTED_VALUE"""),"AIBO")</f>
        <v>AIBO</v>
      </c>
      <c r="C1218" s="122" t="str">
        <f>IFERROR(__xludf.DUMMYFUNCTION("""COMPUTED_VALUE"""),"Homework AI surges as demand rises across the Technology sector.")</f>
        <v>Homework AI surges as demand rises across the Technology sector.</v>
      </c>
      <c r="D1218" s="122" t="str">
        <f>IFERROR(__xludf.DUMMYFUNCTION("""COMPUTED_VALUE"""),"Homework AI is seeing strong demand, which may increase investor confidence.")</f>
        <v>Homework AI is seeing strong demand, which may increase investor confidence.</v>
      </c>
      <c r="E1218" s="122" t="str">
        <f>IFERROR(__xludf.DUMMYFUNCTION("""COMPUTED_VALUE"""),"Positive")</f>
        <v>Positive</v>
      </c>
      <c r="F1218" s="122">
        <f>IFERROR(__xludf.DUMMYFUNCTION("""COMPUTED_VALUE"""),0.03)</f>
        <v>0.03</v>
      </c>
      <c r="G1218" s="122">
        <f>IFERROR(__xludf.DUMMYFUNCTION("""COMPUTED_VALUE"""),1.0)</f>
        <v>1</v>
      </c>
      <c r="H1218" s="122" t="str">
        <f>IFERROR(__xludf.DUMMYFUNCTION("""COMPUTED_VALUE"""),"Active")</f>
        <v>Active</v>
      </c>
    </row>
    <row r="1219">
      <c r="A1219" s="131">
        <f>IFERROR(__xludf.DUMMYFUNCTION("""COMPUTED_VALUE"""),46181.33094907407)</f>
        <v>46181.33095</v>
      </c>
      <c r="B1219" s="122" t="str">
        <f>IFERROR(__xludf.DUMMYFUNCTION("""COMPUTED_VALUE"""),"GAME")</f>
        <v>GAME</v>
      </c>
      <c r="C1219" s="122" t="str">
        <f>IFERROR(__xludf.DUMMYFUNCTION("""COMPUTED_VALUE"""),"GameBox Media sees uncertain trading as investors react to mixed signals.")</f>
        <v>GameBox Media sees uncertain trading as investors react to mixed signals.</v>
      </c>
      <c r="D1219" s="122" t="str">
        <f>IFERROR(__xludf.DUMMYFUNCTION("""COMPUTED_VALUE"""),"GameBox Media may experience larger price swings as investors disagree on direction.")</f>
        <v>GameBox Media may experience larger price swings as investors disagree on direction.</v>
      </c>
      <c r="E1219" s="122" t="str">
        <f>IFERROR(__xludf.DUMMYFUNCTION("""COMPUTED_VALUE"""),"Mixed")</f>
        <v>Mixed</v>
      </c>
      <c r="F1219" s="122">
        <f>IFERROR(__xludf.DUMMYFUNCTION("""COMPUTED_VALUE"""),-0.01846619378374616)</f>
        <v>-0.01846619378</v>
      </c>
      <c r="G1219" s="122">
        <f>IFERROR(__xludf.DUMMYFUNCTION("""COMPUTED_VALUE"""),1.5)</f>
        <v>1.5</v>
      </c>
      <c r="H1219" s="122" t="str">
        <f>IFERROR(__xludf.DUMMYFUNCTION("""COMPUTED_VALUE"""),"Active")</f>
        <v>Active</v>
      </c>
    </row>
    <row r="1220">
      <c r="A1220" s="131">
        <f>IFERROR(__xludf.DUMMYFUNCTION("""COMPUTED_VALUE"""),46181.33094907407)</f>
        <v>46181.33095</v>
      </c>
      <c r="B1220" s="122" t="str">
        <f>IFERROR(__xludf.DUMMYFUNCTION("""COMPUTED_VALUE"""),"VRSE")</f>
        <v>VRSE</v>
      </c>
      <c r="C1220" s="122" t="str">
        <f>IFERROR(__xludf.DUMMYFUNCTION("""COMPUTED_VALUE"""),"VerseVR remains stable as the Technology market shows normal activity.")</f>
        <v>VerseVR remains stable as the Technology market shows normal activity.</v>
      </c>
      <c r="D1220" s="122" t="str">
        <f>IFERROR(__xludf.DUMMYFUNCTION("""COMPUTED_VALUE"""),"VerseVR appears steady with no major changes reported.")</f>
        <v>VerseVR appears steady with no major changes reported.</v>
      </c>
      <c r="E1220" s="122" t="str">
        <f>IFERROR(__xludf.DUMMYFUNCTION("""COMPUTED_VALUE"""),"Neutral")</f>
        <v>Neutral</v>
      </c>
      <c r="F1220" s="122">
        <f>IFERROR(__xludf.DUMMYFUNCTION("""COMPUTED_VALUE"""),0.0)</f>
        <v>0</v>
      </c>
      <c r="G1220" s="122">
        <f>IFERROR(__xludf.DUMMYFUNCTION("""COMPUTED_VALUE"""),0.0)</f>
        <v>0</v>
      </c>
      <c r="H1220" s="122" t="str">
        <f>IFERROR(__xludf.DUMMYFUNCTION("""COMPUTED_VALUE"""),"Active")</f>
        <v>Active</v>
      </c>
    </row>
    <row r="1221">
      <c r="A1221" s="131">
        <f>IFERROR(__xludf.DUMMYFUNCTION("""COMPUTED_VALUE"""),46181.33096064815)</f>
        <v>46181.33096</v>
      </c>
      <c r="B1221" s="122" t="str">
        <f>IFERROR(__xludf.DUMMYFUNCTION("""COMPUTED_VALUE"""),"BYTE")</f>
        <v>BYTE</v>
      </c>
      <c r="C1221" s="122" t="str">
        <f>IFERROR(__xludf.DUMMYFUNCTION("""COMPUTED_VALUE"""),"ByteWorks remains stable as the Technology market shows normal activity.")</f>
        <v>ByteWorks remains stable as the Technology market shows normal activity.</v>
      </c>
      <c r="D1221" s="122" t="str">
        <f>IFERROR(__xludf.DUMMYFUNCTION("""COMPUTED_VALUE"""),"ByteWorks appears steady with no major changes reported.")</f>
        <v>ByteWorks appears steady with no major changes reported.</v>
      </c>
      <c r="E1221" s="122" t="str">
        <f>IFERROR(__xludf.DUMMYFUNCTION("""COMPUTED_VALUE"""),"Neutral")</f>
        <v>Neutral</v>
      </c>
      <c r="F1221" s="122">
        <f>IFERROR(__xludf.DUMMYFUNCTION("""COMPUTED_VALUE"""),0.0)</f>
        <v>0</v>
      </c>
      <c r="G1221" s="122">
        <f>IFERROR(__xludf.DUMMYFUNCTION("""COMPUTED_VALUE"""),0.0)</f>
        <v>0</v>
      </c>
      <c r="H1221" s="122" t="str">
        <f>IFERROR(__xludf.DUMMYFUNCTION("""COMPUTED_VALUE"""),"Active")</f>
        <v>Active</v>
      </c>
    </row>
    <row r="1222">
      <c r="A1222" s="131">
        <f>IFERROR(__xludf.DUMMYFUNCTION("""COMPUTED_VALUE"""),46181.33096064815)</f>
        <v>46181.33096</v>
      </c>
      <c r="B1222" s="122" t="str">
        <f>IFERROR(__xludf.DUMMYFUNCTION("""COMPUTED_VALUE"""),"BANK")</f>
        <v>BANK</v>
      </c>
      <c r="C1222" s="122" t="str">
        <f>IFERROR(__xludf.DUMMYFUNCTION("""COMPUTED_VALUE"""),"Tiger Bank faces weaker demand and cautious investor sentiment.")</f>
        <v>Tiger Bank faces weaker demand and cautious investor sentiment.</v>
      </c>
      <c r="D1222" s="122" t="str">
        <f>IFERROR(__xludf.DUMMYFUNCTION("""COMPUTED_VALUE"""),"Investors are watching Tiger Bank closely as demand weakens.")</f>
        <v>Investors are watching Tiger Bank closely as demand weakens.</v>
      </c>
      <c r="E1222" s="122" t="str">
        <f>IFERROR(__xludf.DUMMYFUNCTION("""COMPUTED_VALUE"""),"Negative")</f>
        <v>Negative</v>
      </c>
      <c r="F1222" s="122">
        <f>IFERROR(__xludf.DUMMYFUNCTION("""COMPUTED_VALUE"""),-0.015)</f>
        <v>-0.015</v>
      </c>
      <c r="G1222" s="122">
        <f>IFERROR(__xludf.DUMMYFUNCTION("""COMPUTED_VALUE"""),0.75)</f>
        <v>0.75</v>
      </c>
      <c r="H1222" s="122" t="str">
        <f>IFERROR(__xludf.DUMMYFUNCTION("""COMPUTED_VALUE"""),"Active")</f>
        <v>Active</v>
      </c>
    </row>
    <row r="1223">
      <c r="A1223" s="131">
        <f>IFERROR(__xludf.DUMMYFUNCTION("""COMPUTED_VALUE"""),46181.330972222226)</f>
        <v>46181.33097</v>
      </c>
      <c r="B1223" s="122" t="str">
        <f>IFERROR(__xludf.DUMMYFUNCTION("""COMPUTED_VALUE"""),"CRED")</f>
        <v>CRED</v>
      </c>
      <c r="C1223" s="122" t="str">
        <f>IFERROR(__xludf.DUMMYFUNCTION("""COMPUTED_VALUE"""),"Credit Castle faces weaker demand and cautious investor sentiment.")</f>
        <v>Credit Castle faces weaker demand and cautious investor sentiment.</v>
      </c>
      <c r="D1223" s="122" t="str">
        <f>IFERROR(__xludf.DUMMYFUNCTION("""COMPUTED_VALUE"""),"Investors are watching Credit Castle closely as demand weakens.")</f>
        <v>Investors are watching Credit Castle closely as demand weakens.</v>
      </c>
      <c r="E1223" s="122" t="str">
        <f>IFERROR(__xludf.DUMMYFUNCTION("""COMPUTED_VALUE"""),"Negative")</f>
        <v>Negative</v>
      </c>
      <c r="F1223" s="122">
        <f>IFERROR(__xludf.DUMMYFUNCTION("""COMPUTED_VALUE"""),-0.015)</f>
        <v>-0.015</v>
      </c>
      <c r="G1223" s="122">
        <f>IFERROR(__xludf.DUMMYFUNCTION("""COMPUTED_VALUE"""),0.75)</f>
        <v>0.75</v>
      </c>
      <c r="H1223" s="122" t="str">
        <f>IFERROR(__xludf.DUMMYFUNCTION("""COMPUTED_VALUE"""),"Active")</f>
        <v>Active</v>
      </c>
    </row>
    <row r="1224">
      <c r="A1224" s="131">
        <f>IFERROR(__xludf.DUMMYFUNCTION("""COMPUTED_VALUE"""),46181.330972222226)</f>
        <v>46181.33097</v>
      </c>
      <c r="B1224" s="122" t="str">
        <f>IFERROR(__xludf.DUMMYFUNCTION("""COMPUTED_VALUE"""),"BOND")</f>
        <v>BOND</v>
      </c>
      <c r="C1224" s="122" t="str">
        <f>IFERROR(__xludf.DUMMYFUNCTION("""COMPUTED_VALUE"""),"BondBridge remains stable as the Finance market shows normal activity.")</f>
        <v>BondBridge remains stable as the Finance market shows normal activity.</v>
      </c>
      <c r="D1224" s="122" t="str">
        <f>IFERROR(__xludf.DUMMYFUNCTION("""COMPUTED_VALUE"""),"BondBridge appears steady with no major changes reported.")</f>
        <v>BondBridge appears steady with no major changes reported.</v>
      </c>
      <c r="E1224" s="122" t="str">
        <f>IFERROR(__xludf.DUMMYFUNCTION("""COMPUTED_VALUE"""),"Neutral")</f>
        <v>Neutral</v>
      </c>
      <c r="F1224" s="122">
        <f>IFERROR(__xludf.DUMMYFUNCTION("""COMPUTED_VALUE"""),0.0)</f>
        <v>0</v>
      </c>
      <c r="G1224" s="122">
        <f>IFERROR(__xludf.DUMMYFUNCTION("""COMPUTED_VALUE"""),0.0)</f>
        <v>0</v>
      </c>
      <c r="H1224" s="122" t="str">
        <f>IFERROR(__xludf.DUMMYFUNCTION("""COMPUTED_VALUE"""),"Active")</f>
        <v>Active</v>
      </c>
    </row>
    <row r="1225">
      <c r="A1225" s="131">
        <f>IFERROR(__xludf.DUMMYFUNCTION("""COMPUTED_VALUE"""),46181.330983796295)</f>
        <v>46181.33098</v>
      </c>
      <c r="B1225" s="122" t="str">
        <f>IFERROR(__xludf.DUMMYFUNCTION("""COMPUTED_VALUE"""),"INSR")</f>
        <v>INSR</v>
      </c>
      <c r="C1225" s="122" t="str">
        <f>IFERROR(__xludf.DUMMYFUNCTION("""COMPUTED_VALUE"""),"Shield Insurance reports steady growth and improved market confidence.")</f>
        <v>Shield Insurance reports steady growth and improved market confidence.</v>
      </c>
      <c r="D1225" s="122" t="str">
        <f>IFERROR(__xludf.DUMMYFUNCTION("""COMPUTED_VALUE"""),"Shield Insurance continues to show positive momentum with moderate risk.")</f>
        <v>Shield Insurance continues to show positive momentum with moderate risk.</v>
      </c>
      <c r="E1225" s="122" t="str">
        <f>IFERROR(__xludf.DUMMYFUNCTION("""COMPUTED_VALUE"""),"Positive")</f>
        <v>Positive</v>
      </c>
      <c r="F1225" s="122">
        <f>IFERROR(__xludf.DUMMYFUNCTION("""COMPUTED_VALUE"""),0.015)</f>
        <v>0.015</v>
      </c>
      <c r="G1225" s="122">
        <f>IFERROR(__xludf.DUMMYFUNCTION("""COMPUTED_VALUE"""),0.5)</f>
        <v>0.5</v>
      </c>
      <c r="H1225" s="122" t="str">
        <f>IFERROR(__xludf.DUMMYFUNCTION("""COMPUTED_VALUE"""),"Active")</f>
        <v>Active</v>
      </c>
    </row>
    <row r="1226">
      <c r="A1226" s="131">
        <f>IFERROR(__xludf.DUMMYFUNCTION("""COMPUTED_VALUE"""),46181.330983796295)</f>
        <v>46181.33098</v>
      </c>
      <c r="B1226" s="122" t="str">
        <f>IFERROR(__xludf.DUMMYFUNCTION("""COMPUTED_VALUE"""),"LOAN")</f>
        <v>LOAN</v>
      </c>
      <c r="C1226" s="122" t="str">
        <f>IFERROR(__xludf.DUMMYFUNCTION("""COMPUTED_VALUE"""),"LoanLab remains stable as the Finance market shows normal activity.")</f>
        <v>LoanLab remains stable as the Finance market shows normal activity.</v>
      </c>
      <c r="D1226" s="122" t="str">
        <f>IFERROR(__xludf.DUMMYFUNCTION("""COMPUTED_VALUE"""),"LoanLab appears steady with no major changes reported.")</f>
        <v>LoanLab appears steady with no major changes reported.</v>
      </c>
      <c r="E1226" s="122" t="str">
        <f>IFERROR(__xludf.DUMMYFUNCTION("""COMPUTED_VALUE"""),"Neutral")</f>
        <v>Neutral</v>
      </c>
      <c r="F1226" s="122">
        <f>IFERROR(__xludf.DUMMYFUNCTION("""COMPUTED_VALUE"""),0.0)</f>
        <v>0</v>
      </c>
      <c r="G1226" s="122">
        <f>IFERROR(__xludf.DUMMYFUNCTION("""COMPUTED_VALUE"""),0.0)</f>
        <v>0</v>
      </c>
      <c r="H1226" s="122" t="str">
        <f>IFERROR(__xludf.DUMMYFUNCTION("""COMPUTED_VALUE"""),"Active")</f>
        <v>Active</v>
      </c>
    </row>
    <row r="1227">
      <c r="A1227" s="131">
        <f>IFERROR(__xludf.DUMMYFUNCTION("""COMPUTED_VALUE"""),46181.33099537037)</f>
        <v>46181.331</v>
      </c>
      <c r="B1227" s="122" t="str">
        <f>IFERROR(__xludf.DUMMYFUNCTION("""COMPUTED_VALUE"""),"LUXE")</f>
        <v>LUXE</v>
      </c>
      <c r="C1227" s="122" t="str">
        <f>IFERROR(__xludf.DUMMYFUNCTION("""COMPUTED_VALUE"""),"Luxury Locker faces weaker demand and cautious investor sentiment.")</f>
        <v>Luxury Locker faces weaker demand and cautious investor sentiment.</v>
      </c>
      <c r="D1227" s="122" t="str">
        <f>IFERROR(__xludf.DUMMYFUNCTION("""COMPUTED_VALUE"""),"Investors are watching Luxury Locker closely as demand weakens.")</f>
        <v>Investors are watching Luxury Locker closely as demand weakens.</v>
      </c>
      <c r="E1227" s="122" t="str">
        <f>IFERROR(__xludf.DUMMYFUNCTION("""COMPUTED_VALUE"""),"Negative")</f>
        <v>Negative</v>
      </c>
      <c r="F1227" s="122">
        <f>IFERROR(__xludf.DUMMYFUNCTION("""COMPUTED_VALUE"""),-0.015)</f>
        <v>-0.015</v>
      </c>
      <c r="G1227" s="122">
        <f>IFERROR(__xludf.DUMMYFUNCTION("""COMPUTED_VALUE"""),0.75)</f>
        <v>0.75</v>
      </c>
      <c r="H1227" s="122" t="str">
        <f>IFERROR(__xludf.DUMMYFUNCTION("""COMPUTED_VALUE"""),"Active")</f>
        <v>Active</v>
      </c>
    </row>
    <row r="1228">
      <c r="A1228" s="131">
        <f>IFERROR(__xludf.DUMMYFUNCTION("""COMPUTED_VALUE"""),46181.33100694444)</f>
        <v>46181.33101</v>
      </c>
      <c r="B1228" s="122" t="str">
        <f>IFERROR(__xludf.DUMMYFUNCTION("""COMPUTED_VALUE"""),"DRIP")</f>
        <v>DRIP</v>
      </c>
      <c r="C1228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228" s="122" t="str">
        <f>IFERROR(__xludf.DUMMYFUNCTION("""COMPUTED_VALUE"""),"Drip Streetwear appears steady with no major changes reported.")</f>
        <v>Drip Streetwear appears steady with no major changes reported.</v>
      </c>
      <c r="E1228" s="122" t="str">
        <f>IFERROR(__xludf.DUMMYFUNCTION("""COMPUTED_VALUE"""),"Neutral")</f>
        <v>Neutral</v>
      </c>
      <c r="F1228" s="122">
        <f>IFERROR(__xludf.DUMMYFUNCTION("""COMPUTED_VALUE"""),0.0)</f>
        <v>0</v>
      </c>
      <c r="G1228" s="122">
        <f>IFERROR(__xludf.DUMMYFUNCTION("""COMPUTED_VALUE"""),0.0)</f>
        <v>0</v>
      </c>
      <c r="H1228" s="122" t="str">
        <f>IFERROR(__xludf.DUMMYFUNCTION("""COMPUTED_VALUE"""),"Active")</f>
        <v>Active</v>
      </c>
    </row>
    <row r="1229">
      <c r="A1229" s="131">
        <f>IFERROR(__xludf.DUMMYFUNCTION("""COMPUTED_VALUE"""),46181.33100694444)</f>
        <v>46181.33101</v>
      </c>
      <c r="B1229" s="122" t="str">
        <f>IFERROR(__xludf.DUMMYFUNCTION("""COMPUTED_VALUE"""),"KICK")</f>
        <v>KICK</v>
      </c>
      <c r="C1229" s="122" t="str">
        <f>IFERROR(__xludf.DUMMYFUNCTION("""COMPUTED_VALUE"""),"KickDrop Sneakers reports steady growth and improved market confidence.")</f>
        <v>KickDrop Sneakers reports steady growth and improved market confidence.</v>
      </c>
      <c r="D1229" s="122" t="str">
        <f>IFERROR(__xludf.DUMMYFUNCTION("""COMPUTED_VALUE"""),"KickDrop Sneakers continues to show positive momentum with moderate risk.")</f>
        <v>KickDrop Sneakers continues to show positive momentum with moderate risk.</v>
      </c>
      <c r="E1229" s="122" t="str">
        <f>IFERROR(__xludf.DUMMYFUNCTION("""COMPUTED_VALUE"""),"Positive")</f>
        <v>Positive</v>
      </c>
      <c r="F1229" s="122">
        <f>IFERROR(__xludf.DUMMYFUNCTION("""COMPUTED_VALUE"""),0.015)</f>
        <v>0.015</v>
      </c>
      <c r="G1229" s="122">
        <f>IFERROR(__xludf.DUMMYFUNCTION("""COMPUTED_VALUE"""),0.5)</f>
        <v>0.5</v>
      </c>
      <c r="H1229" s="122" t="str">
        <f>IFERROR(__xludf.DUMMYFUNCTION("""COMPUTED_VALUE"""),"Active")</f>
        <v>Active</v>
      </c>
    </row>
    <row r="1230">
      <c r="A1230" s="131">
        <f>IFERROR(__xludf.DUMMYFUNCTION("""COMPUTED_VALUE"""),46181.33101851852)</f>
        <v>46181.33102</v>
      </c>
      <c r="B1230" s="122" t="str">
        <f>IFERROR(__xludf.DUMMYFUNCTION("""COMPUTED_VALUE"""),"GLAM")</f>
        <v>GLAM</v>
      </c>
      <c r="C1230" s="122" t="str">
        <f>IFERROR(__xludf.DUMMYFUNCTION("""COMPUTED_VALUE"""),"Glow Cosmetics sees uncertain trading as investors react to mixed signals.")</f>
        <v>Glow Cosmetics sees uncertain trading as investors react to mixed signals.</v>
      </c>
      <c r="D1230" s="122" t="str">
        <f>IFERROR(__xludf.DUMMYFUNCTION("""COMPUTED_VALUE"""),"Glow Cosmetics may experience larger price swings as investors disagree on direction.")</f>
        <v>Glow Cosmetics may experience larger price swings as investors disagree on direction.</v>
      </c>
      <c r="E1230" s="122" t="str">
        <f>IFERROR(__xludf.DUMMYFUNCTION("""COMPUTED_VALUE"""),"Mixed")</f>
        <v>Mixed</v>
      </c>
      <c r="F1230" s="122">
        <f>IFERROR(__xludf.DUMMYFUNCTION("""COMPUTED_VALUE"""),-0.0035434475750949143)</f>
        <v>-0.003543447575</v>
      </c>
      <c r="G1230" s="122">
        <f>IFERROR(__xludf.DUMMYFUNCTION("""COMPUTED_VALUE"""),1.5)</f>
        <v>1.5</v>
      </c>
      <c r="H1230" s="122" t="str">
        <f>IFERROR(__xludf.DUMMYFUNCTION("""COMPUTED_VALUE"""),"Active")</f>
        <v>Active</v>
      </c>
    </row>
    <row r="1231">
      <c r="A1231" s="131">
        <f>IFERROR(__xludf.DUMMYFUNCTION("""COMPUTED_VALUE"""),46181.331030092595)</f>
        <v>46181.33103</v>
      </c>
      <c r="B1231" s="122" t="str">
        <f>IFERROR(__xludf.DUMMYFUNCTION("""COMPUTED_VALUE"""),"BAGG")</f>
        <v>BAGG</v>
      </c>
      <c r="C1231" s="122" t="str">
        <f>IFERROR(__xludf.DUMMYFUNCTION("""COMPUTED_VALUE"""),"BagVault reports steady growth and improved market confidence.")</f>
        <v>BagVault reports steady growth and improved market confidence.</v>
      </c>
      <c r="D1231" s="122" t="str">
        <f>IFERROR(__xludf.DUMMYFUNCTION("""COMPUTED_VALUE"""),"BagVault continues to show positive momentum with moderate risk.")</f>
        <v>BagVault continues to show positive momentum with moderate risk.</v>
      </c>
      <c r="E1231" s="122" t="str">
        <f>IFERROR(__xludf.DUMMYFUNCTION("""COMPUTED_VALUE"""),"Positive")</f>
        <v>Positive</v>
      </c>
      <c r="F1231" s="122">
        <f>IFERROR(__xludf.DUMMYFUNCTION("""COMPUTED_VALUE"""),0.015)</f>
        <v>0.015</v>
      </c>
      <c r="G1231" s="122">
        <f>IFERROR(__xludf.DUMMYFUNCTION("""COMPUTED_VALUE"""),0.5)</f>
        <v>0.5</v>
      </c>
      <c r="H1231" s="122" t="str">
        <f>IFERROR(__xludf.DUMMYFUNCTION("""COMPUTED_VALUE"""),"Active")</f>
        <v>Active</v>
      </c>
    </row>
    <row r="1232">
      <c r="A1232" s="131">
        <f>IFERROR(__xludf.DUMMYFUNCTION("""COMPUTED_VALUE"""),46181.331030092595)</f>
        <v>46181.33103</v>
      </c>
      <c r="B1232" s="122" t="str">
        <f>IFERROR(__xludf.DUMMYFUNCTION("""COMPUTED_VALUE"""),"FAST")</f>
        <v>FAST</v>
      </c>
      <c r="C1232" s="122" t="str">
        <f>IFERROR(__xludf.DUMMYFUNCTION("""COMPUTED_VALUE"""),"Flash Logistics faces weaker demand and cautious investor sentiment.")</f>
        <v>Flash Logistics faces weaker demand and cautious investor sentiment.</v>
      </c>
      <c r="D1232" s="122" t="str">
        <f>IFERROR(__xludf.DUMMYFUNCTION("""COMPUTED_VALUE"""),"Investors are watching Flash Logistics closely as demand weakens.")</f>
        <v>Investors are watching Flash Logistics closely as demand weakens.</v>
      </c>
      <c r="E1232" s="122" t="str">
        <f>IFERROR(__xludf.DUMMYFUNCTION("""COMPUTED_VALUE"""),"Negative")</f>
        <v>Negative</v>
      </c>
      <c r="F1232" s="122">
        <f>IFERROR(__xludf.DUMMYFUNCTION("""COMPUTED_VALUE"""),-0.015)</f>
        <v>-0.015</v>
      </c>
      <c r="G1232" s="122">
        <f>IFERROR(__xludf.DUMMYFUNCTION("""COMPUTED_VALUE"""),0.75)</f>
        <v>0.75</v>
      </c>
      <c r="H1232" s="122" t="str">
        <f>IFERROR(__xludf.DUMMYFUNCTION("""COMPUTED_VALUE"""),"Active")</f>
        <v>Active</v>
      </c>
    </row>
    <row r="1233">
      <c r="A1233" s="131">
        <f>IFERROR(__xludf.DUMMYFUNCTION("""COMPUTED_VALUE"""),46181.331041666665)</f>
        <v>46181.33104</v>
      </c>
      <c r="B1233" s="122" t="str">
        <f>IFERROR(__xludf.DUMMYFUNCTION("""COMPUTED_VALUE"""),"SHIP")</f>
        <v>SHIP</v>
      </c>
      <c r="C1233" s="122" t="str">
        <f>IFERROR(__xludf.DUMMYFUNCTION("""COMPUTED_VALUE"""),"Seoul Shipping reports steady growth and improved market confidence.")</f>
        <v>Seoul Shipping reports steady growth and improved market confidence.</v>
      </c>
      <c r="D1233" s="122" t="str">
        <f>IFERROR(__xludf.DUMMYFUNCTION("""COMPUTED_VALUE"""),"Seoul Shipping continues to show positive momentum with moderate risk.")</f>
        <v>Seoul Shipping continues to show positive momentum with moderate risk.</v>
      </c>
      <c r="E1233" s="122" t="str">
        <f>IFERROR(__xludf.DUMMYFUNCTION("""COMPUTED_VALUE"""),"Positive")</f>
        <v>Positive</v>
      </c>
      <c r="F1233" s="122">
        <f>IFERROR(__xludf.DUMMYFUNCTION("""COMPUTED_VALUE"""),0.015)</f>
        <v>0.015</v>
      </c>
      <c r="G1233" s="122">
        <f>IFERROR(__xludf.DUMMYFUNCTION("""COMPUTED_VALUE"""),0.5)</f>
        <v>0.5</v>
      </c>
      <c r="H1233" s="122" t="str">
        <f>IFERROR(__xludf.DUMMYFUNCTION("""COMPUTED_VALUE"""),"Active")</f>
        <v>Active</v>
      </c>
    </row>
    <row r="1234">
      <c r="A1234" s="131">
        <f>IFERROR(__xludf.DUMMYFUNCTION("""COMPUTED_VALUE"""),46181.33105324074)</f>
        <v>46181.33105</v>
      </c>
      <c r="B1234" s="122" t="str">
        <f>IFERROR(__xludf.DUMMYFUNCTION("""COMPUTED_VALUE"""),"DRON")</f>
        <v>DRON</v>
      </c>
      <c r="C1234" s="122" t="str">
        <f>IFERROR(__xludf.DUMMYFUNCTION("""COMPUTED_VALUE"""),"DroneDrop faces weaker demand and cautious investor sentiment.")</f>
        <v>DroneDrop faces weaker demand and cautious investor sentiment.</v>
      </c>
      <c r="D1234" s="122" t="str">
        <f>IFERROR(__xludf.DUMMYFUNCTION("""COMPUTED_VALUE"""),"Investors are watching DroneDrop closely as demand weakens.")</f>
        <v>Investors are watching DroneDrop closely as demand weakens.</v>
      </c>
      <c r="E1234" s="122" t="str">
        <f>IFERROR(__xludf.DUMMYFUNCTION("""COMPUTED_VALUE"""),"Negative")</f>
        <v>Negative</v>
      </c>
      <c r="F1234" s="122">
        <f>IFERROR(__xludf.DUMMYFUNCTION("""COMPUTED_VALUE"""),-0.015)</f>
        <v>-0.015</v>
      </c>
      <c r="G1234" s="122">
        <f>IFERROR(__xludf.DUMMYFUNCTION("""COMPUTED_VALUE"""),0.75)</f>
        <v>0.75</v>
      </c>
      <c r="H1234" s="122" t="str">
        <f>IFERROR(__xludf.DUMMYFUNCTION("""COMPUTED_VALUE"""),"Active")</f>
        <v>Active</v>
      </c>
    </row>
    <row r="1235">
      <c r="A1235" s="131">
        <f>IFERROR(__xludf.DUMMYFUNCTION("""COMPUTED_VALUE"""),46181.33106481482)</f>
        <v>46181.33106</v>
      </c>
      <c r="B1235" s="122" t="str">
        <f>IFERROR(__xludf.DUMMYFUNCTION("""COMPUTED_VALUE"""),"RIDE")</f>
        <v>RIDE</v>
      </c>
      <c r="C1235" s="122" t="str">
        <f>IFERROR(__xludf.DUMMYFUNCTION("""COMPUTED_VALUE"""),"QuickRide faces weaker demand and cautious investor sentiment.")</f>
        <v>QuickRide faces weaker demand and cautious investor sentiment.</v>
      </c>
      <c r="D1235" s="122" t="str">
        <f>IFERROR(__xludf.DUMMYFUNCTION("""COMPUTED_VALUE"""),"Investors are watching QuickRide closely as demand weakens.")</f>
        <v>Investors are watching QuickRide closely as demand weakens.</v>
      </c>
      <c r="E1235" s="122" t="str">
        <f>IFERROR(__xludf.DUMMYFUNCTION("""COMPUTED_VALUE"""),"Negative")</f>
        <v>Negative</v>
      </c>
      <c r="F1235" s="122">
        <f>IFERROR(__xludf.DUMMYFUNCTION("""COMPUTED_VALUE"""),-0.015)</f>
        <v>-0.015</v>
      </c>
      <c r="G1235" s="122">
        <f>IFERROR(__xludf.DUMMYFUNCTION("""COMPUTED_VALUE"""),0.75)</f>
        <v>0.75</v>
      </c>
      <c r="H1235" s="122" t="str">
        <f>IFERROR(__xludf.DUMMYFUNCTION("""COMPUTED_VALUE"""),"Active")</f>
        <v>Active</v>
      </c>
    </row>
    <row r="1236">
      <c r="A1236" s="131">
        <f>IFERROR(__xludf.DUMMYFUNCTION("""COMPUTED_VALUE"""),46181.33106481482)</f>
        <v>46181.33106</v>
      </c>
      <c r="B1236" s="122" t="str">
        <f>IFERROR(__xludf.DUMMYFUNCTION("""COMPUTED_VALUE"""),"RAIL")</f>
        <v>RAIL</v>
      </c>
      <c r="C1236" s="122" t="str">
        <f>IFERROR(__xludf.DUMMYFUNCTION("""COMPUTED_VALUE"""),"MetroRail Corp drops sharply after major concerns hit the market.")</f>
        <v>MetroRail Corp drops sharply after major concerns hit the market.</v>
      </c>
      <c r="D1236" s="122" t="str">
        <f>IFERROR(__xludf.DUMMYFUNCTION("""COMPUTED_VALUE"""),"MetroRail Corp is under pressure as investors react to worsening conditions.")</f>
        <v>MetroRail Corp is under pressure as investors react to worsening conditions.</v>
      </c>
      <c r="E1236" s="122" t="str">
        <f>IFERROR(__xludf.DUMMYFUNCTION("""COMPUTED_VALUE"""),"Negative")</f>
        <v>Negative</v>
      </c>
      <c r="F1236" s="122">
        <f>IFERROR(__xludf.DUMMYFUNCTION("""COMPUTED_VALUE"""),-0.04)</f>
        <v>-0.04</v>
      </c>
      <c r="G1236" s="122">
        <f>IFERROR(__xludf.DUMMYFUNCTION("""COMPUTED_VALUE"""),2.0)</f>
        <v>2</v>
      </c>
      <c r="H1236" s="122" t="str">
        <f>IFERROR(__xludf.DUMMYFUNCTION("""COMPUTED_VALUE"""),"Active")</f>
        <v>Active</v>
      </c>
    </row>
    <row r="1237">
      <c r="A1237" s="131">
        <f>IFERROR(__xludf.DUMMYFUNCTION("""COMPUTED_VALUE"""),46181.33107638889)</f>
        <v>46181.33108</v>
      </c>
      <c r="B1237" s="122" t="str">
        <f>IFERROR(__xludf.DUMMYFUNCTION("""COMPUTED_VALUE"""),"MEDX")</f>
        <v>MEDX</v>
      </c>
      <c r="C1237" s="122" t="str">
        <f>IFERROR(__xludf.DUMMYFUNCTION("""COMPUTED_VALUE"""),"MediCore faces weaker demand and cautious investor sentiment.")</f>
        <v>MediCore faces weaker demand and cautious investor sentiment.</v>
      </c>
      <c r="D1237" s="122" t="str">
        <f>IFERROR(__xludf.DUMMYFUNCTION("""COMPUTED_VALUE"""),"Investors are watching MediCore closely as demand weakens.")</f>
        <v>Investors are watching MediCore closely as demand weakens.</v>
      </c>
      <c r="E1237" s="122" t="str">
        <f>IFERROR(__xludf.DUMMYFUNCTION("""COMPUTED_VALUE"""),"Negative")</f>
        <v>Negative</v>
      </c>
      <c r="F1237" s="122">
        <f>IFERROR(__xludf.DUMMYFUNCTION("""COMPUTED_VALUE"""),-0.015)</f>
        <v>-0.015</v>
      </c>
      <c r="G1237" s="122">
        <f>IFERROR(__xludf.DUMMYFUNCTION("""COMPUTED_VALUE"""),0.75)</f>
        <v>0.75</v>
      </c>
      <c r="H1237" s="122" t="str">
        <f>IFERROR(__xludf.DUMMYFUNCTION("""COMPUTED_VALUE"""),"Active")</f>
        <v>Active</v>
      </c>
    </row>
    <row r="1238">
      <c r="A1238" s="131">
        <f>IFERROR(__xludf.DUMMYFUNCTION("""COMPUTED_VALUE"""),46181.33107638889)</f>
        <v>46181.33108</v>
      </c>
      <c r="B1238" s="122" t="str">
        <f>IFERROR(__xludf.DUMMYFUNCTION("""COMPUTED_VALUE"""),"GYMX")</f>
        <v>GYMX</v>
      </c>
      <c r="C1238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1238" s="122" t="str">
        <f>IFERROR(__xludf.DUMMYFUNCTION("""COMPUTED_VALUE"""),"GymX Fitness appears steady with no major changes reported.")</f>
        <v>GymX Fitness appears steady with no major changes reported.</v>
      </c>
      <c r="E1238" s="122" t="str">
        <f>IFERROR(__xludf.DUMMYFUNCTION("""COMPUTED_VALUE"""),"Neutral")</f>
        <v>Neutral</v>
      </c>
      <c r="F1238" s="122">
        <f>IFERROR(__xludf.DUMMYFUNCTION("""COMPUTED_VALUE"""),0.0)</f>
        <v>0</v>
      </c>
      <c r="G1238" s="122">
        <f>IFERROR(__xludf.DUMMYFUNCTION("""COMPUTED_VALUE"""),0.0)</f>
        <v>0</v>
      </c>
      <c r="H1238" s="122" t="str">
        <f>IFERROR(__xludf.DUMMYFUNCTION("""COMPUTED_VALUE"""),"Active")</f>
        <v>Active</v>
      </c>
    </row>
    <row r="1239">
      <c r="A1239" s="131">
        <f>IFERROR(__xludf.DUMMYFUNCTION("""COMPUTED_VALUE"""),46181.331087962964)</f>
        <v>46181.33109</v>
      </c>
      <c r="B1239" s="122" t="str">
        <f>IFERROR(__xludf.DUMMYFUNCTION("""COMPUTED_VALUE"""),"VITA")</f>
        <v>VITA</v>
      </c>
      <c r="C1239" s="122" t="str">
        <f>IFERROR(__xludf.DUMMYFUNCTION("""COMPUTED_VALUE"""),"VitaPlus faces weaker demand and cautious investor sentiment.")</f>
        <v>VitaPlus faces weaker demand and cautious investor sentiment.</v>
      </c>
      <c r="D1239" s="122" t="str">
        <f>IFERROR(__xludf.DUMMYFUNCTION("""COMPUTED_VALUE"""),"Investors are watching VitaPlus closely as demand weakens.")</f>
        <v>Investors are watching VitaPlus closely as demand weakens.</v>
      </c>
      <c r="E1239" s="122" t="str">
        <f>IFERROR(__xludf.DUMMYFUNCTION("""COMPUTED_VALUE"""),"Negative")</f>
        <v>Negative</v>
      </c>
      <c r="F1239" s="122">
        <f>IFERROR(__xludf.DUMMYFUNCTION("""COMPUTED_VALUE"""),-0.015)</f>
        <v>-0.015</v>
      </c>
      <c r="G1239" s="122">
        <f>IFERROR(__xludf.DUMMYFUNCTION("""COMPUTED_VALUE"""),0.75)</f>
        <v>0.75</v>
      </c>
      <c r="H1239" s="122" t="str">
        <f>IFERROR(__xludf.DUMMYFUNCTION("""COMPUTED_VALUE"""),"Active")</f>
        <v>Active</v>
      </c>
    </row>
    <row r="1240">
      <c r="A1240" s="131">
        <f>IFERROR(__xludf.DUMMYFUNCTION("""COMPUTED_VALUE"""),46181.331087962964)</f>
        <v>46181.33109</v>
      </c>
      <c r="B1240" s="122" t="str">
        <f>IFERROR(__xludf.DUMMYFUNCTION("""COMPUTED_VALUE"""),"CARE")</f>
        <v>CARE</v>
      </c>
      <c r="C1240" s="122" t="str">
        <f>IFERROR(__xludf.DUMMYFUNCTION("""COMPUTED_VALUE"""),"CareCloud reports steady growth and improved market confidence.")</f>
        <v>CareCloud reports steady growth and improved market confidence.</v>
      </c>
      <c r="D1240" s="122" t="str">
        <f>IFERROR(__xludf.DUMMYFUNCTION("""COMPUTED_VALUE"""),"CareCloud continues to show positive momentum with moderate risk.")</f>
        <v>CareCloud continues to show positive momentum with moderate risk.</v>
      </c>
      <c r="E1240" s="122" t="str">
        <f>IFERROR(__xludf.DUMMYFUNCTION("""COMPUTED_VALUE"""),"Positive")</f>
        <v>Positive</v>
      </c>
      <c r="F1240" s="122">
        <f>IFERROR(__xludf.DUMMYFUNCTION("""COMPUTED_VALUE"""),0.015)</f>
        <v>0.015</v>
      </c>
      <c r="G1240" s="122">
        <f>IFERROR(__xludf.DUMMYFUNCTION("""COMPUTED_VALUE"""),0.5)</f>
        <v>0.5</v>
      </c>
      <c r="H1240" s="122" t="str">
        <f>IFERROR(__xludf.DUMMYFUNCTION("""COMPUTED_VALUE"""),"Active")</f>
        <v>Active</v>
      </c>
    </row>
    <row r="1241">
      <c r="A1241" s="131">
        <f>IFERROR(__xludf.DUMMYFUNCTION("""COMPUTED_VALUE"""),46181.331099537034)</f>
        <v>46181.3311</v>
      </c>
      <c r="B1241" s="122" t="str">
        <f>IFERROR(__xludf.DUMMYFUNCTION("""COMPUTED_VALUE"""),"DENT")</f>
        <v>DENT</v>
      </c>
      <c r="C1241" s="122" t="str">
        <f>IFERROR(__xludf.DUMMYFUNCTION("""COMPUTED_VALUE"""),"SmileWorks remains stable as the Healthcare market shows normal activity.")</f>
        <v>SmileWorks remains stable as the Healthcare market shows normal activity.</v>
      </c>
      <c r="D1241" s="122" t="str">
        <f>IFERROR(__xludf.DUMMYFUNCTION("""COMPUTED_VALUE"""),"SmileWorks appears steady with no major changes reported.")</f>
        <v>SmileWorks appears steady with no major changes reported.</v>
      </c>
      <c r="E1241" s="122" t="str">
        <f>IFERROR(__xludf.DUMMYFUNCTION("""COMPUTED_VALUE"""),"Neutral")</f>
        <v>Neutral</v>
      </c>
      <c r="F1241" s="122">
        <f>IFERROR(__xludf.DUMMYFUNCTION("""COMPUTED_VALUE"""),0.0)</f>
        <v>0</v>
      </c>
      <c r="G1241" s="122">
        <f>IFERROR(__xludf.DUMMYFUNCTION("""COMPUTED_VALUE"""),0.0)</f>
        <v>0</v>
      </c>
      <c r="H1241" s="122" t="str">
        <f>IFERROR(__xludf.DUMMYFUNCTION("""COMPUTED_VALUE"""),"Active")</f>
        <v>Active</v>
      </c>
    </row>
    <row r="1242">
      <c r="A1242" s="131">
        <f>IFERROR(__xludf.DUMMYFUNCTION("""COMPUTED_VALUE"""),46181.331099537034)</f>
        <v>46181.3311</v>
      </c>
      <c r="B1242" s="122" t="str">
        <f>IFERROR(__xludf.DUMMYFUNCTION("""COMPUTED_VALUE"""),"EDUX")</f>
        <v>EDUX</v>
      </c>
      <c r="C1242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242" s="122" t="str">
        <f>IFERROR(__xludf.DUMMYFUNCTION("""COMPUTED_VALUE"""),"EduMax Learning appears steady with no major changes reported.")</f>
        <v>EduMax Learning appears steady with no major changes reported.</v>
      </c>
      <c r="E1242" s="122" t="str">
        <f>IFERROR(__xludf.DUMMYFUNCTION("""COMPUTED_VALUE"""),"Neutral")</f>
        <v>Neutral</v>
      </c>
      <c r="F1242" s="122">
        <f>IFERROR(__xludf.DUMMYFUNCTION("""COMPUTED_VALUE"""),0.0)</f>
        <v>0</v>
      </c>
      <c r="G1242" s="122">
        <f>IFERROR(__xludf.DUMMYFUNCTION("""COMPUTED_VALUE"""),0.0)</f>
        <v>0</v>
      </c>
      <c r="H1242" s="122" t="str">
        <f>IFERROR(__xludf.DUMMYFUNCTION("""COMPUTED_VALUE"""),"Active")</f>
        <v>Active</v>
      </c>
    </row>
    <row r="1243">
      <c r="A1243" s="131">
        <f>IFERROR(__xludf.DUMMYFUNCTION("""COMPUTED_VALUE"""),46181.33111111111)</f>
        <v>46181.33111</v>
      </c>
      <c r="B1243" s="122" t="str">
        <f>IFERROR(__xludf.DUMMYFUNCTION("""COMPUTED_VALUE"""),"BOOK")</f>
        <v>BOOK</v>
      </c>
      <c r="C1243" s="122" t="str">
        <f>IFERROR(__xludf.DUMMYFUNCTION("""COMPUTED_VALUE"""),"BookBridge surges as demand rises across the Education sector.")</f>
        <v>BookBridge surges as demand rises across the Education sector.</v>
      </c>
      <c r="D1243" s="122" t="str">
        <f>IFERROR(__xludf.DUMMYFUNCTION("""COMPUTED_VALUE"""),"BookBridge is seeing strong demand, which may increase investor confidence.")</f>
        <v>BookBridge is seeing strong demand, which may increase investor confidence.</v>
      </c>
      <c r="E1243" s="122" t="str">
        <f>IFERROR(__xludf.DUMMYFUNCTION("""COMPUTED_VALUE"""),"Positive")</f>
        <v>Positive</v>
      </c>
      <c r="F1243" s="122">
        <f>IFERROR(__xludf.DUMMYFUNCTION("""COMPUTED_VALUE"""),0.03)</f>
        <v>0.03</v>
      </c>
      <c r="G1243" s="122">
        <f>IFERROR(__xludf.DUMMYFUNCTION("""COMPUTED_VALUE"""),1.0)</f>
        <v>1</v>
      </c>
      <c r="H1243" s="122" t="str">
        <f>IFERROR(__xludf.DUMMYFUNCTION("""COMPUTED_VALUE"""),"Active")</f>
        <v>Active</v>
      </c>
    </row>
    <row r="1244">
      <c r="A1244" s="131">
        <f>IFERROR(__xludf.DUMMYFUNCTION("""COMPUTED_VALUE"""),46181.33111111111)</f>
        <v>46181.33111</v>
      </c>
      <c r="B1244" s="122" t="str">
        <f>IFERROR(__xludf.DUMMYFUNCTION("""COMPUTED_VALUE"""),"TUTR")</f>
        <v>TUTR</v>
      </c>
      <c r="C1244" s="122" t="str">
        <f>IFERROR(__xludf.DUMMYFUNCTION("""COMPUTED_VALUE"""),"TutorTown drops sharply after major concerns hit the market.")</f>
        <v>TutorTown drops sharply after major concerns hit the market.</v>
      </c>
      <c r="D1244" s="122" t="str">
        <f>IFERROR(__xludf.DUMMYFUNCTION("""COMPUTED_VALUE"""),"TutorTown is under pressure as investors react to worsening conditions.")</f>
        <v>TutorTown is under pressure as investors react to worsening conditions.</v>
      </c>
      <c r="E1244" s="122" t="str">
        <f>IFERROR(__xludf.DUMMYFUNCTION("""COMPUTED_VALUE"""),"Negative")</f>
        <v>Negative</v>
      </c>
      <c r="F1244" s="122">
        <f>IFERROR(__xludf.DUMMYFUNCTION("""COMPUTED_VALUE"""),-0.04)</f>
        <v>-0.04</v>
      </c>
      <c r="G1244" s="122">
        <f>IFERROR(__xludf.DUMMYFUNCTION("""COMPUTED_VALUE"""),2.0)</f>
        <v>2</v>
      </c>
      <c r="H1244" s="122" t="str">
        <f>IFERROR(__xludf.DUMMYFUNCTION("""COMPUTED_VALUE"""),"Active")</f>
        <v>Active</v>
      </c>
    </row>
    <row r="1245">
      <c r="A1245" s="131">
        <f>IFERROR(__xludf.DUMMYFUNCTION("""COMPUTED_VALUE"""),46181.33112268519)</f>
        <v>46181.33112</v>
      </c>
      <c r="B1245" s="122" t="str">
        <f>IFERROR(__xludf.DUMMYFUNCTION("""COMPUTED_VALUE"""),"LANG")</f>
        <v>LANG</v>
      </c>
      <c r="C1245" s="122" t="str">
        <f>IFERROR(__xludf.DUMMYFUNCTION("""COMPUTED_VALUE"""),"LinguaLab remains stable as the Education market shows normal activity.")</f>
        <v>LinguaLab remains stable as the Education market shows normal activity.</v>
      </c>
      <c r="D1245" s="122" t="str">
        <f>IFERROR(__xludf.DUMMYFUNCTION("""COMPUTED_VALUE"""),"LinguaLab appears steady with no major changes reported.")</f>
        <v>LinguaLab appears steady with no major changes reported.</v>
      </c>
      <c r="E1245" s="122" t="str">
        <f>IFERROR(__xludf.DUMMYFUNCTION("""COMPUTED_VALUE"""),"Neutral")</f>
        <v>Neutral</v>
      </c>
      <c r="F1245" s="122">
        <f>IFERROR(__xludf.DUMMYFUNCTION("""COMPUTED_VALUE"""),0.0)</f>
        <v>0</v>
      </c>
      <c r="G1245" s="122">
        <f>IFERROR(__xludf.DUMMYFUNCTION("""COMPUTED_VALUE"""),0.0)</f>
        <v>0</v>
      </c>
      <c r="H1245" s="122" t="str">
        <f>IFERROR(__xludf.DUMMYFUNCTION("""COMPUTED_VALUE"""),"Active")</f>
        <v>Active</v>
      </c>
    </row>
    <row r="1246">
      <c r="A1246" s="131">
        <f>IFERROR(__xludf.DUMMYFUNCTION("""COMPUTED_VALUE"""),46181.33112268519)</f>
        <v>46181.33112</v>
      </c>
      <c r="B1246" s="122" t="str">
        <f>IFERROR(__xludf.DUMMYFUNCTION("""COMPUTED_VALUE"""),"TEST")</f>
        <v>TEST</v>
      </c>
      <c r="C1246" s="122" t="str">
        <f>IFERROR(__xludf.DUMMYFUNCTION("""COMPUTED_VALUE"""),"TestPrep Pro faces weaker demand and cautious investor sentiment.")</f>
        <v>TestPrep Pro faces weaker demand and cautious investor sentiment.</v>
      </c>
      <c r="D1246" s="122" t="str">
        <f>IFERROR(__xludf.DUMMYFUNCTION("""COMPUTED_VALUE"""),"Investors are watching TestPrep Pro closely as demand weakens.")</f>
        <v>Investors are watching TestPrep Pro closely as demand weakens.</v>
      </c>
      <c r="E1246" s="122" t="str">
        <f>IFERROR(__xludf.DUMMYFUNCTION("""COMPUTED_VALUE"""),"Negative")</f>
        <v>Negative</v>
      </c>
      <c r="F1246" s="122">
        <f>IFERROR(__xludf.DUMMYFUNCTION("""COMPUTED_VALUE"""),-0.015)</f>
        <v>-0.015</v>
      </c>
      <c r="G1246" s="122">
        <f>IFERROR(__xludf.DUMMYFUNCTION("""COMPUTED_VALUE"""),0.75)</f>
        <v>0.75</v>
      </c>
      <c r="H1246" s="122" t="str">
        <f>IFERROR(__xludf.DUMMYFUNCTION("""COMPUTED_VALUE"""),"Active")</f>
        <v>Active</v>
      </c>
    </row>
    <row r="1247">
      <c r="A1247" s="131">
        <f>IFERROR(__xludf.DUMMYFUNCTION("""COMPUTED_VALUE"""),46181.33113425926)</f>
        <v>46181.33113</v>
      </c>
      <c r="B1247" s="122" t="str">
        <f>IFERROR(__xludf.DUMMYFUNCTION("""COMPUTED_VALUE"""),"MOVI")</f>
        <v>MOVI</v>
      </c>
      <c r="C1247" s="122" t="str">
        <f>IFERROR(__xludf.DUMMYFUNCTION("""COMPUTED_VALUE"""),"MovieBox reports steady growth and improved market confidence.")</f>
        <v>MovieBox reports steady growth and improved market confidence.</v>
      </c>
      <c r="D1247" s="122" t="str">
        <f>IFERROR(__xludf.DUMMYFUNCTION("""COMPUTED_VALUE"""),"MovieBox continues to show positive momentum with moderate risk.")</f>
        <v>MovieBox continues to show positive momentum with moderate risk.</v>
      </c>
      <c r="E1247" s="122" t="str">
        <f>IFERROR(__xludf.DUMMYFUNCTION("""COMPUTED_VALUE"""),"Positive")</f>
        <v>Positive</v>
      </c>
      <c r="F1247" s="122">
        <f>IFERROR(__xludf.DUMMYFUNCTION("""COMPUTED_VALUE"""),0.015)</f>
        <v>0.015</v>
      </c>
      <c r="G1247" s="122">
        <f>IFERROR(__xludf.DUMMYFUNCTION("""COMPUTED_VALUE"""),0.5)</f>
        <v>0.5</v>
      </c>
      <c r="H1247" s="122" t="str">
        <f>IFERROR(__xludf.DUMMYFUNCTION("""COMPUTED_VALUE"""),"Active")</f>
        <v>Active</v>
      </c>
    </row>
    <row r="1248">
      <c r="A1248" s="131">
        <f>IFERROR(__xludf.DUMMYFUNCTION("""COMPUTED_VALUE"""),46181.33113425926)</f>
        <v>46181.33113</v>
      </c>
      <c r="B1248" s="122" t="str">
        <f>IFERROR(__xludf.DUMMYFUNCTION("""COMPUTED_VALUE"""),"MUSC")</f>
        <v>MUSC</v>
      </c>
      <c r="C1248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1248" s="122" t="str">
        <f>IFERROR(__xludf.DUMMYFUNCTION("""COMPUTED_VALUE"""),"MusicWave appears steady with no major changes reported.")</f>
        <v>MusicWave appears steady with no major changes reported.</v>
      </c>
      <c r="E1248" s="122" t="str">
        <f>IFERROR(__xludf.DUMMYFUNCTION("""COMPUTED_VALUE"""),"Neutral")</f>
        <v>Neutral</v>
      </c>
      <c r="F1248" s="122">
        <f>IFERROR(__xludf.DUMMYFUNCTION("""COMPUTED_VALUE"""),0.0)</f>
        <v>0</v>
      </c>
      <c r="G1248" s="122">
        <f>IFERROR(__xludf.DUMMYFUNCTION("""COMPUTED_VALUE"""),0.0)</f>
        <v>0</v>
      </c>
      <c r="H1248" s="122" t="str">
        <f>IFERROR(__xludf.DUMMYFUNCTION("""COMPUTED_VALUE"""),"Active")</f>
        <v>Active</v>
      </c>
    </row>
    <row r="1249">
      <c r="A1249" s="131">
        <f>IFERROR(__xludf.DUMMYFUNCTION("""COMPUTED_VALUE"""),46181.331145833334)</f>
        <v>46181.33115</v>
      </c>
      <c r="B1249" s="122" t="str">
        <f>IFERROR(__xludf.DUMMYFUNCTION("""COMPUTED_VALUE"""),"IDOL")</f>
        <v>IDOL</v>
      </c>
      <c r="C1249" s="122" t="str">
        <f>IFERROR(__xludf.DUMMYFUNCTION("""COMPUTED_VALUE"""),"Idol Agency drops sharply after major concerns hit the market.")</f>
        <v>Idol Agency drops sharply after major concerns hit the market.</v>
      </c>
      <c r="D1249" s="122" t="str">
        <f>IFERROR(__xludf.DUMMYFUNCTION("""COMPUTED_VALUE"""),"Idol Agency is under pressure as investors react to worsening conditions.")</f>
        <v>Idol Agency is under pressure as investors react to worsening conditions.</v>
      </c>
      <c r="E1249" s="122" t="str">
        <f>IFERROR(__xludf.DUMMYFUNCTION("""COMPUTED_VALUE"""),"Negative")</f>
        <v>Negative</v>
      </c>
      <c r="F1249" s="122">
        <f>IFERROR(__xludf.DUMMYFUNCTION("""COMPUTED_VALUE"""),-0.04)</f>
        <v>-0.04</v>
      </c>
      <c r="G1249" s="122">
        <f>IFERROR(__xludf.DUMMYFUNCTION("""COMPUTED_VALUE"""),2.0)</f>
        <v>2</v>
      </c>
      <c r="H1249" s="122" t="str">
        <f>IFERROR(__xludf.DUMMYFUNCTION("""COMPUTED_VALUE"""),"Active")</f>
        <v>Active</v>
      </c>
    </row>
    <row r="1250">
      <c r="A1250" s="131">
        <f>IFERROR(__xludf.DUMMYFUNCTION("""COMPUTED_VALUE"""),46181.33115740741)</f>
        <v>46181.33116</v>
      </c>
      <c r="B1250" s="122" t="str">
        <f>IFERROR(__xludf.DUMMYFUNCTION("""COMPUTED_VALUE"""),"MEME")</f>
        <v>MEME</v>
      </c>
      <c r="C1250" s="122" t="str">
        <f>IFERROR(__xludf.DUMMYFUNCTION("""COMPUTED_VALUE"""),"Meme Media faces weaker demand and cautious investor sentiment.")</f>
        <v>Meme Media faces weaker demand and cautious investor sentiment.</v>
      </c>
      <c r="D1250" s="122" t="str">
        <f>IFERROR(__xludf.DUMMYFUNCTION("""COMPUTED_VALUE"""),"Investors are watching Meme Media closely as demand weakens.")</f>
        <v>Investors are watching Meme Media closely as demand weakens.</v>
      </c>
      <c r="E1250" s="122" t="str">
        <f>IFERROR(__xludf.DUMMYFUNCTION("""COMPUTED_VALUE"""),"Negative")</f>
        <v>Negative</v>
      </c>
      <c r="F1250" s="122">
        <f>IFERROR(__xludf.DUMMYFUNCTION("""COMPUTED_VALUE"""),-0.015)</f>
        <v>-0.015</v>
      </c>
      <c r="G1250" s="122">
        <f>IFERROR(__xludf.DUMMYFUNCTION("""COMPUTED_VALUE"""),0.75)</f>
        <v>0.75</v>
      </c>
      <c r="H1250" s="122" t="str">
        <f>IFERROR(__xludf.DUMMYFUNCTION("""COMPUTED_VALUE"""),"Active")</f>
        <v>Active</v>
      </c>
    </row>
    <row r="1251">
      <c r="A1251" s="131">
        <f>IFERROR(__xludf.DUMMYFUNCTION("""COMPUTED_VALUE"""),46181.33116898148)</f>
        <v>46181.33117</v>
      </c>
      <c r="B1251" s="122" t="str">
        <f>IFERROR(__xludf.DUMMYFUNCTION("""COMPUTED_VALUE"""),"STRM")</f>
        <v>STRM</v>
      </c>
      <c r="C1251" s="122" t="str">
        <f>IFERROR(__xludf.DUMMYFUNCTION("""COMPUTED_VALUE"""),"Streamly remains stable as the Entertainment market shows normal activity.")</f>
        <v>Streamly remains stable as the Entertainment market shows normal activity.</v>
      </c>
      <c r="D1251" s="122" t="str">
        <f>IFERROR(__xludf.DUMMYFUNCTION("""COMPUTED_VALUE"""),"Streamly appears steady with no major changes reported.")</f>
        <v>Streamly appears steady with no major changes reported.</v>
      </c>
      <c r="E1251" s="122" t="str">
        <f>IFERROR(__xludf.DUMMYFUNCTION("""COMPUTED_VALUE"""),"Neutral")</f>
        <v>Neutral</v>
      </c>
      <c r="F1251" s="122">
        <f>IFERROR(__xludf.DUMMYFUNCTION("""COMPUTED_VALUE"""),0.0)</f>
        <v>0</v>
      </c>
      <c r="G1251" s="122">
        <f>IFERROR(__xludf.DUMMYFUNCTION("""COMPUTED_VALUE"""),0.0)</f>
        <v>0</v>
      </c>
      <c r="H1251" s="122" t="str">
        <f>IFERROR(__xludf.DUMMYFUNCTION("""COMPUTED_VALUE"""),"Active")</f>
        <v>Active</v>
      </c>
    </row>
    <row r="1252">
      <c r="A1252" s="131">
        <f>IFERROR(__xludf.DUMMYFUNCTION("""COMPUTED_VALUE"""),46181.33116898148)</f>
        <v>46181.33117</v>
      </c>
      <c r="B1252" s="122" t="str">
        <f>IFERROR(__xludf.DUMMYFUNCTION("""COMPUTED_VALUE"""),"FARM")</f>
        <v>FARM</v>
      </c>
      <c r="C1252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252" s="122" t="str">
        <f>IFERROR(__xludf.DUMMYFUNCTION("""COMPUTED_VALUE"""),"Future Farms appears steady with no major changes reported.")</f>
        <v>Future Farms appears steady with no major changes reported.</v>
      </c>
      <c r="E1252" s="122" t="str">
        <f>IFERROR(__xludf.DUMMYFUNCTION("""COMPUTED_VALUE"""),"Neutral")</f>
        <v>Neutral</v>
      </c>
      <c r="F1252" s="122">
        <f>IFERROR(__xludf.DUMMYFUNCTION("""COMPUTED_VALUE"""),0.0)</f>
        <v>0</v>
      </c>
      <c r="G1252" s="122">
        <f>IFERROR(__xludf.DUMMYFUNCTION("""COMPUTED_VALUE"""),0.0)</f>
        <v>0</v>
      </c>
      <c r="H1252" s="122" t="str">
        <f>IFERROR(__xludf.DUMMYFUNCTION("""COMPUTED_VALUE"""),"Active")</f>
        <v>Active</v>
      </c>
    </row>
    <row r="1253">
      <c r="A1253" s="131">
        <f>IFERROR(__xludf.DUMMYFUNCTION("""COMPUTED_VALUE"""),46181.33118055556)</f>
        <v>46181.33118</v>
      </c>
      <c r="B1253" s="122" t="str">
        <f>IFERROR(__xludf.DUMMYFUNCTION("""COMPUTED_VALUE"""),"MEAT")</f>
        <v>MEAT</v>
      </c>
      <c r="C1253" s="122" t="str">
        <f>IFERROR(__xludf.DUMMYFUNCTION("""COMPUTED_VALUE"""),"MeatWorks faces weaker demand and cautious investor sentiment.")</f>
        <v>MeatWorks faces weaker demand and cautious investor sentiment.</v>
      </c>
      <c r="D1253" s="122" t="str">
        <f>IFERROR(__xludf.DUMMYFUNCTION("""COMPUTED_VALUE"""),"Investors are watching MeatWorks closely as demand weakens.")</f>
        <v>Investors are watching MeatWorks closely as demand weakens.</v>
      </c>
      <c r="E1253" s="122" t="str">
        <f>IFERROR(__xludf.DUMMYFUNCTION("""COMPUTED_VALUE"""),"Negative")</f>
        <v>Negative</v>
      </c>
      <c r="F1253" s="122">
        <f>IFERROR(__xludf.DUMMYFUNCTION("""COMPUTED_VALUE"""),-0.015)</f>
        <v>-0.015</v>
      </c>
      <c r="G1253" s="122">
        <f>IFERROR(__xludf.DUMMYFUNCTION("""COMPUTED_VALUE"""),0.75)</f>
        <v>0.75</v>
      </c>
      <c r="H1253" s="122" t="str">
        <f>IFERROR(__xludf.DUMMYFUNCTION("""COMPUTED_VALUE"""),"Active")</f>
        <v>Active</v>
      </c>
    </row>
    <row r="1254">
      <c r="A1254" s="131">
        <f>IFERROR(__xludf.DUMMYFUNCTION("""COMPUTED_VALUE"""),46181.33118055556)</f>
        <v>46181.33118</v>
      </c>
      <c r="B1254" s="122" t="str">
        <f>IFERROR(__xludf.DUMMYFUNCTION("""COMPUTED_VALUE"""),"VEGI")</f>
        <v>VEGI</v>
      </c>
      <c r="C1254" s="122" t="str">
        <f>IFERROR(__xludf.DUMMYFUNCTION("""COMPUTED_VALUE"""),"Green Basket remains stable as the Food market shows normal activity.")</f>
        <v>Green Basket remains stable as the Food market shows normal activity.</v>
      </c>
      <c r="D1254" s="122" t="str">
        <f>IFERROR(__xludf.DUMMYFUNCTION("""COMPUTED_VALUE"""),"Green Basket appears steady with no major changes reported.")</f>
        <v>Green Basket appears steady with no major changes reported.</v>
      </c>
      <c r="E1254" s="122" t="str">
        <f>IFERROR(__xludf.DUMMYFUNCTION("""COMPUTED_VALUE"""),"Neutral")</f>
        <v>Neutral</v>
      </c>
      <c r="F1254" s="122">
        <f>IFERROR(__xludf.DUMMYFUNCTION("""COMPUTED_VALUE"""),0.0)</f>
        <v>0</v>
      </c>
      <c r="G1254" s="122">
        <f>IFERROR(__xludf.DUMMYFUNCTION("""COMPUTED_VALUE"""),0.0)</f>
        <v>0</v>
      </c>
      <c r="H1254" s="122" t="str">
        <f>IFERROR(__xludf.DUMMYFUNCTION("""COMPUTED_VALUE"""),"Active")</f>
        <v>Active</v>
      </c>
    </row>
    <row r="1255">
      <c r="A1255" s="131">
        <f>IFERROR(__xludf.DUMMYFUNCTION("""COMPUTED_VALUE"""),46181.331192129626)</f>
        <v>46181.33119</v>
      </c>
      <c r="B1255" s="122" t="str">
        <f>IFERROR(__xludf.DUMMYFUNCTION("""COMPUTED_VALUE"""),"CAFE")</f>
        <v>CAFE</v>
      </c>
      <c r="C1255" s="122" t="str">
        <f>IFERROR(__xludf.DUMMYFUNCTION("""COMPUTED_VALUE"""),"Cafe Cloud faces weaker demand and cautious investor sentiment.")</f>
        <v>Cafe Cloud faces weaker demand and cautious investor sentiment.</v>
      </c>
      <c r="D1255" s="122" t="str">
        <f>IFERROR(__xludf.DUMMYFUNCTION("""COMPUTED_VALUE"""),"Investors are watching Cafe Cloud closely as demand weakens.")</f>
        <v>Investors are watching Cafe Cloud closely as demand weakens.</v>
      </c>
      <c r="E1255" s="122" t="str">
        <f>IFERROR(__xludf.DUMMYFUNCTION("""COMPUTED_VALUE"""),"Negative")</f>
        <v>Negative</v>
      </c>
      <c r="F1255" s="122">
        <f>IFERROR(__xludf.DUMMYFUNCTION("""COMPUTED_VALUE"""),-0.015)</f>
        <v>-0.015</v>
      </c>
      <c r="G1255" s="122">
        <f>IFERROR(__xludf.DUMMYFUNCTION("""COMPUTED_VALUE"""),0.75)</f>
        <v>0.75</v>
      </c>
      <c r="H1255" s="122" t="str">
        <f>IFERROR(__xludf.DUMMYFUNCTION("""COMPUTED_VALUE"""),"Active")</f>
        <v>Active</v>
      </c>
    </row>
    <row r="1256">
      <c r="A1256" s="131">
        <f>IFERROR(__xludf.DUMMYFUNCTION("""COMPUTED_VALUE"""),46181.331192129626)</f>
        <v>46181.33119</v>
      </c>
      <c r="B1256" s="122" t="str">
        <f>IFERROR(__xludf.DUMMYFUNCTION("""COMPUTED_VALUE"""),"BAKE")</f>
        <v>BAKE</v>
      </c>
      <c r="C1256" s="122" t="str">
        <f>IFERROR(__xludf.DUMMYFUNCTION("""COMPUTED_VALUE"""),"BakeHouse faces weaker demand and cautious investor sentiment.")</f>
        <v>BakeHouse faces weaker demand and cautious investor sentiment.</v>
      </c>
      <c r="D1256" s="122" t="str">
        <f>IFERROR(__xludf.DUMMYFUNCTION("""COMPUTED_VALUE"""),"Investors are watching BakeHouse closely as demand weakens.")</f>
        <v>Investors are watching BakeHouse closely as demand weakens.</v>
      </c>
      <c r="E1256" s="122" t="str">
        <f>IFERROR(__xludf.DUMMYFUNCTION("""COMPUTED_VALUE"""),"Negative")</f>
        <v>Negative</v>
      </c>
      <c r="F1256" s="122">
        <f>IFERROR(__xludf.DUMMYFUNCTION("""COMPUTED_VALUE"""),-0.015)</f>
        <v>-0.015</v>
      </c>
      <c r="G1256" s="122">
        <f>IFERROR(__xludf.DUMMYFUNCTION("""COMPUTED_VALUE"""),0.75)</f>
        <v>0.75</v>
      </c>
      <c r="H1256" s="122" t="str">
        <f>IFERROR(__xludf.DUMMYFUNCTION("""COMPUTED_VALUE"""),"Active")</f>
        <v>Active</v>
      </c>
    </row>
    <row r="1257">
      <c r="A1257" s="131">
        <f>IFERROR(__xludf.DUMMYFUNCTION("""COMPUTED_VALUE"""),46181.33121527778)</f>
        <v>46181.33122</v>
      </c>
      <c r="B1257" s="122" t="str">
        <f>IFERROR(__xludf.DUMMYFUNCTION("""COMPUTED_VALUE"""),"OILX")</f>
        <v>OILX</v>
      </c>
      <c r="C1257" s="122" t="str">
        <f>IFERROR(__xludf.DUMMYFUNCTION("""COMPUTED_VALUE"""),"OilMax Energy remains stable as the Energy market shows normal activity.")</f>
        <v>OilMax Energy remains stable as the Energy market shows normal activity.</v>
      </c>
      <c r="D1257" s="122" t="str">
        <f>IFERROR(__xludf.DUMMYFUNCTION("""COMPUTED_VALUE"""),"OilMax Energy appears steady with no major changes reported.")</f>
        <v>OilMax Energy appears steady with no major changes reported.</v>
      </c>
      <c r="E1257" s="122" t="str">
        <f>IFERROR(__xludf.DUMMYFUNCTION("""COMPUTED_VALUE"""),"Neutral")</f>
        <v>Neutral</v>
      </c>
      <c r="F1257" s="122">
        <f>IFERROR(__xludf.DUMMYFUNCTION("""COMPUTED_VALUE"""),0.0)</f>
        <v>0</v>
      </c>
      <c r="G1257" s="122">
        <f>IFERROR(__xludf.DUMMYFUNCTION("""COMPUTED_VALUE"""),0.0)</f>
        <v>0</v>
      </c>
      <c r="H1257" s="122" t="str">
        <f>IFERROR(__xludf.DUMMYFUNCTION("""COMPUTED_VALUE"""),"Active")</f>
        <v>Active</v>
      </c>
    </row>
    <row r="1258">
      <c r="A1258" s="131">
        <f>IFERROR(__xludf.DUMMYFUNCTION("""COMPUTED_VALUE"""),46181.33122685185)</f>
        <v>46181.33123</v>
      </c>
      <c r="B1258" s="122" t="str">
        <f>IFERROR(__xludf.DUMMYFUNCTION("""COMPUTED_VALUE"""),"SOLR")</f>
        <v>SOLR</v>
      </c>
      <c r="C1258" s="122" t="str">
        <f>IFERROR(__xludf.DUMMYFUNCTION("""COMPUTED_VALUE"""),"SolarSpark sees uncertain trading as investors react to mixed signals.")</f>
        <v>SolarSpark sees uncertain trading as investors react to mixed signals.</v>
      </c>
      <c r="D1258" s="122" t="str">
        <f>IFERROR(__xludf.DUMMYFUNCTION("""COMPUTED_VALUE"""),"SolarSpark may experience larger price swings as investors disagree on direction.")</f>
        <v>SolarSpark may experience larger price swings as investors disagree on direction.</v>
      </c>
      <c r="E1258" s="122" t="str">
        <f>IFERROR(__xludf.DUMMYFUNCTION("""COMPUTED_VALUE"""),"Mixed")</f>
        <v>Mixed</v>
      </c>
      <c r="F1258" s="122">
        <f>IFERROR(__xludf.DUMMYFUNCTION("""COMPUTED_VALUE"""),0.017093304062444078)</f>
        <v>0.01709330406</v>
      </c>
      <c r="G1258" s="122">
        <f>IFERROR(__xludf.DUMMYFUNCTION("""COMPUTED_VALUE"""),1.5)</f>
        <v>1.5</v>
      </c>
      <c r="H1258" s="122" t="str">
        <f>IFERROR(__xludf.DUMMYFUNCTION("""COMPUTED_VALUE"""),"Active")</f>
        <v>Active</v>
      </c>
    </row>
    <row r="1259">
      <c r="A1259" s="131">
        <f>IFERROR(__xludf.DUMMYFUNCTION("""COMPUTED_VALUE"""),46181.33122685185)</f>
        <v>46181.33123</v>
      </c>
      <c r="B1259" s="122" t="str">
        <f>IFERROR(__xludf.DUMMYFUNCTION("""COMPUTED_VALUE"""),"BATT")</f>
        <v>BATT</v>
      </c>
      <c r="C1259" s="122" t="str">
        <f>IFERROR(__xludf.DUMMYFUNCTION("""COMPUTED_VALUE"""),"BatteryBox reports steady growth and improved market confidence.")</f>
        <v>BatteryBox reports steady growth and improved market confidence.</v>
      </c>
      <c r="D1259" s="122" t="str">
        <f>IFERROR(__xludf.DUMMYFUNCTION("""COMPUTED_VALUE"""),"BatteryBox continues to show positive momentum with moderate risk.")</f>
        <v>BatteryBox continues to show positive momentum with moderate risk.</v>
      </c>
      <c r="E1259" s="122" t="str">
        <f>IFERROR(__xludf.DUMMYFUNCTION("""COMPUTED_VALUE"""),"Positive")</f>
        <v>Positive</v>
      </c>
      <c r="F1259" s="122">
        <f>IFERROR(__xludf.DUMMYFUNCTION("""COMPUTED_VALUE"""),0.015)</f>
        <v>0.015</v>
      </c>
      <c r="G1259" s="122">
        <f>IFERROR(__xludf.DUMMYFUNCTION("""COMPUTED_VALUE"""),0.5)</f>
        <v>0.5</v>
      </c>
      <c r="H1259" s="122" t="str">
        <f>IFERROR(__xludf.DUMMYFUNCTION("""COMPUTED_VALUE"""),"Active")</f>
        <v>Active</v>
      </c>
    </row>
    <row r="1260">
      <c r="A1260" s="131">
        <f>IFERROR(__xludf.DUMMYFUNCTION("""COMPUTED_VALUE"""),46181.331238425926)</f>
        <v>46181.33124</v>
      </c>
      <c r="B1260" s="122" t="str">
        <f>IFERROR(__xludf.DUMMYFUNCTION("""COMPUTED_VALUE"""),"WIND")</f>
        <v>WIND</v>
      </c>
      <c r="C1260" s="122" t="str">
        <f>IFERROR(__xludf.DUMMYFUNCTION("""COMPUTED_VALUE"""),"WindWorks remains stable as the Energy market shows normal activity.")</f>
        <v>WindWorks remains stable as the Energy market shows normal activity.</v>
      </c>
      <c r="D1260" s="122" t="str">
        <f>IFERROR(__xludf.DUMMYFUNCTION("""COMPUTED_VALUE"""),"WindWorks appears steady with no major changes reported.")</f>
        <v>WindWorks appears steady with no major changes reported.</v>
      </c>
      <c r="E1260" s="122" t="str">
        <f>IFERROR(__xludf.DUMMYFUNCTION("""COMPUTED_VALUE"""),"Neutral")</f>
        <v>Neutral</v>
      </c>
      <c r="F1260" s="122">
        <f>IFERROR(__xludf.DUMMYFUNCTION("""COMPUTED_VALUE"""),0.0)</f>
        <v>0</v>
      </c>
      <c r="G1260" s="122">
        <f>IFERROR(__xludf.DUMMYFUNCTION("""COMPUTED_VALUE"""),0.0)</f>
        <v>0</v>
      </c>
      <c r="H1260" s="122" t="str">
        <f>IFERROR(__xludf.DUMMYFUNCTION("""COMPUTED_VALUE"""),"Active")</f>
        <v>Active</v>
      </c>
    </row>
    <row r="1261">
      <c r="A1261" s="131">
        <f>IFERROR(__xludf.DUMMYFUNCTION("""COMPUTED_VALUE"""),46181.331238425926)</f>
        <v>46181.33124</v>
      </c>
      <c r="B1261" s="122" t="str">
        <f>IFERROR(__xludf.DUMMYFUNCTION("""COMPUTED_VALUE"""),"GRID")</f>
        <v>GRID</v>
      </c>
      <c r="C1261" s="122" t="str">
        <f>IFERROR(__xludf.DUMMYFUNCTION("""COMPUTED_VALUE"""),"GridPower remains stable as the Energy market shows normal activity.")</f>
        <v>GridPower remains stable as the Energy market shows normal activity.</v>
      </c>
      <c r="D1261" s="122" t="str">
        <f>IFERROR(__xludf.DUMMYFUNCTION("""COMPUTED_VALUE"""),"GridPower appears steady with no major changes reported.")</f>
        <v>GridPower appears steady with no major changes reported.</v>
      </c>
      <c r="E1261" s="122" t="str">
        <f>IFERROR(__xludf.DUMMYFUNCTION("""COMPUTED_VALUE"""),"Neutral")</f>
        <v>Neutral</v>
      </c>
      <c r="F1261" s="122">
        <f>IFERROR(__xludf.DUMMYFUNCTION("""COMPUTED_VALUE"""),0.0)</f>
        <v>0</v>
      </c>
      <c r="G1261" s="122">
        <f>IFERROR(__xludf.DUMMYFUNCTION("""COMPUTED_VALUE"""),0.0)</f>
        <v>0</v>
      </c>
      <c r="H1261" s="122" t="str">
        <f>IFERROR(__xludf.DUMMYFUNCTION("""COMPUTED_VALUE"""),"Active")</f>
        <v>Active</v>
      </c>
    </row>
    <row r="1262">
      <c r="A1262" s="131">
        <f>IFERROR(__xludf.DUMMYFUNCTION("""COMPUTED_VALUE"""),46181.33126157407)</f>
        <v>46181.33126</v>
      </c>
      <c r="B1262" s="122" t="str">
        <f>IFERROR(__xludf.DUMMYFUNCTION("""COMPUTED_VALUE"""),"HOME")</f>
        <v>HOME</v>
      </c>
      <c r="C1262" s="122" t="str">
        <f>IFERROR(__xludf.DUMMYFUNCTION("""COMPUTED_VALUE"""),"HomeHub reports steady growth and improved market confidence.")</f>
        <v>HomeHub reports steady growth and improved market confidence.</v>
      </c>
      <c r="D1262" s="122" t="str">
        <f>IFERROR(__xludf.DUMMYFUNCTION("""COMPUTED_VALUE"""),"HomeHub continues to show positive momentum with moderate risk.")</f>
        <v>HomeHub continues to show positive momentum with moderate risk.</v>
      </c>
      <c r="E1262" s="122" t="str">
        <f>IFERROR(__xludf.DUMMYFUNCTION("""COMPUTED_VALUE"""),"Positive")</f>
        <v>Positive</v>
      </c>
      <c r="F1262" s="122">
        <f>IFERROR(__xludf.DUMMYFUNCTION("""COMPUTED_VALUE"""),0.015)</f>
        <v>0.015</v>
      </c>
      <c r="G1262" s="122">
        <f>IFERROR(__xludf.DUMMYFUNCTION("""COMPUTED_VALUE"""),0.5)</f>
        <v>0.5</v>
      </c>
      <c r="H1262" s="122" t="str">
        <f>IFERROR(__xludf.DUMMYFUNCTION("""COMPUTED_VALUE"""),"Active")</f>
        <v>Active</v>
      </c>
    </row>
    <row r="1263">
      <c r="A1263" s="131">
        <f>IFERROR(__xludf.DUMMYFUNCTION("""COMPUTED_VALUE"""),46181.33126157407)</f>
        <v>46181.33126</v>
      </c>
      <c r="B1263" s="122" t="str">
        <f>IFERROR(__xludf.DUMMYFUNCTION("""COMPUTED_VALUE"""),"RENT")</f>
        <v>RENT</v>
      </c>
      <c r="C1263" s="122" t="str">
        <f>IFERROR(__xludf.DUMMYFUNCTION("""COMPUTED_VALUE"""),"RentRight remains stable as the Real Estate market shows normal activity.")</f>
        <v>RentRight remains stable as the Real Estate market shows normal activity.</v>
      </c>
      <c r="D1263" s="122" t="str">
        <f>IFERROR(__xludf.DUMMYFUNCTION("""COMPUTED_VALUE"""),"RentRight appears steady with no major changes reported.")</f>
        <v>RentRight appears steady with no major changes reported.</v>
      </c>
      <c r="E1263" s="122" t="str">
        <f>IFERROR(__xludf.DUMMYFUNCTION("""COMPUTED_VALUE"""),"Neutral")</f>
        <v>Neutral</v>
      </c>
      <c r="F1263" s="122">
        <f>IFERROR(__xludf.DUMMYFUNCTION("""COMPUTED_VALUE"""),0.0)</f>
        <v>0</v>
      </c>
      <c r="G1263" s="122">
        <f>IFERROR(__xludf.DUMMYFUNCTION("""COMPUTED_VALUE"""),0.0)</f>
        <v>0</v>
      </c>
      <c r="H1263" s="122" t="str">
        <f>IFERROR(__xludf.DUMMYFUNCTION("""COMPUTED_VALUE"""),"Active")</f>
        <v>Active</v>
      </c>
    </row>
    <row r="1264">
      <c r="A1264" s="131">
        <f>IFERROR(__xludf.DUMMYFUNCTION("""COMPUTED_VALUE"""),46181.33126157407)</f>
        <v>46181.33126</v>
      </c>
      <c r="B1264" s="122" t="str">
        <f>IFERROR(__xludf.DUMMYFUNCTION("""COMPUTED_VALUE"""),"MALL")</f>
        <v>MALL</v>
      </c>
      <c r="C1264" s="122" t="str">
        <f>IFERROR(__xludf.DUMMYFUNCTION("""COMPUTED_VALUE"""),"MegaMall remains stable as the Real Estate market shows normal activity.")</f>
        <v>MegaMall remains stable as the Real Estate market shows normal activity.</v>
      </c>
      <c r="D1264" s="122" t="str">
        <f>IFERROR(__xludf.DUMMYFUNCTION("""COMPUTED_VALUE"""),"MegaMall appears steady with no major changes reported.")</f>
        <v>MegaMall appears steady with no major changes reported.</v>
      </c>
      <c r="E1264" s="122" t="str">
        <f>IFERROR(__xludf.DUMMYFUNCTION("""COMPUTED_VALUE"""),"Neutral")</f>
        <v>Neutral</v>
      </c>
      <c r="F1264" s="122">
        <f>IFERROR(__xludf.DUMMYFUNCTION("""COMPUTED_VALUE"""),0.0)</f>
        <v>0</v>
      </c>
      <c r="G1264" s="122">
        <f>IFERROR(__xludf.DUMMYFUNCTION("""COMPUTED_VALUE"""),0.0)</f>
        <v>0</v>
      </c>
      <c r="H1264" s="122" t="str">
        <f>IFERROR(__xludf.DUMMYFUNCTION("""COMPUTED_VALUE"""),"Active")</f>
        <v>Active</v>
      </c>
    </row>
    <row r="1265">
      <c r="A1265" s="131">
        <f>IFERROR(__xludf.DUMMYFUNCTION("""COMPUTED_VALUE"""),46181.33127314815)</f>
        <v>46181.33127</v>
      </c>
      <c r="B1265" s="122" t="str">
        <f>IFERROR(__xludf.DUMMYFUNCTION("""COMPUTED_VALUE"""),"HOTL")</f>
        <v>HOTL</v>
      </c>
      <c r="C1265" s="122" t="str">
        <f>IFERROR(__xludf.DUMMYFUNCTION("""COMPUTED_VALUE"""),"HotelHive reports steady growth and improved market confidence.")</f>
        <v>HotelHive reports steady growth and improved market confidence.</v>
      </c>
      <c r="D1265" s="122" t="str">
        <f>IFERROR(__xludf.DUMMYFUNCTION("""COMPUTED_VALUE"""),"HotelHive continues to show positive momentum with moderate risk.")</f>
        <v>HotelHive continues to show positive momentum with moderate risk.</v>
      </c>
      <c r="E1265" s="122" t="str">
        <f>IFERROR(__xludf.DUMMYFUNCTION("""COMPUTED_VALUE"""),"Positive")</f>
        <v>Positive</v>
      </c>
      <c r="F1265" s="122">
        <f>IFERROR(__xludf.DUMMYFUNCTION("""COMPUTED_VALUE"""),0.015)</f>
        <v>0.015</v>
      </c>
      <c r="G1265" s="122">
        <f>IFERROR(__xludf.DUMMYFUNCTION("""COMPUTED_VALUE"""),0.5)</f>
        <v>0.5</v>
      </c>
      <c r="H1265" s="122" t="str">
        <f>IFERROR(__xludf.DUMMYFUNCTION("""COMPUTED_VALUE"""),"Active")</f>
        <v>Active</v>
      </c>
    </row>
    <row r="1266">
      <c r="A1266" s="131">
        <f>IFERROR(__xludf.DUMMYFUNCTION("""COMPUTED_VALUE"""),46181.33127314815)</f>
        <v>46181.33127</v>
      </c>
      <c r="B1266" s="122" t="str">
        <f>IFERROR(__xludf.DUMMYFUNCTION("""COMPUTED_VALUE"""),"LAND")</f>
        <v>LAND</v>
      </c>
      <c r="C1266" s="122" t="str">
        <f>IFERROR(__xludf.DUMMYFUNCTION("""COMPUTED_VALUE"""),"LandLink faces weaker demand and cautious investor sentiment.")</f>
        <v>LandLink faces weaker demand and cautious investor sentiment.</v>
      </c>
      <c r="D1266" s="122" t="str">
        <f>IFERROR(__xludf.DUMMYFUNCTION("""COMPUTED_VALUE"""),"Investors are watching LandLink closely as demand weakens.")</f>
        <v>Investors are watching LandLink closely as demand weakens.</v>
      </c>
      <c r="E1266" s="122" t="str">
        <f>IFERROR(__xludf.DUMMYFUNCTION("""COMPUTED_VALUE"""),"Negative")</f>
        <v>Negative</v>
      </c>
      <c r="F1266" s="122">
        <f>IFERROR(__xludf.DUMMYFUNCTION("""COMPUTED_VALUE"""),-0.015)</f>
        <v>-0.015</v>
      </c>
      <c r="G1266" s="122">
        <f>IFERROR(__xludf.DUMMYFUNCTION("""COMPUTED_VALUE"""),0.75)</f>
        <v>0.75</v>
      </c>
      <c r="H1266" s="122" t="str">
        <f>IFERROR(__xludf.DUMMYFUNCTION("""COMPUTED_VALUE"""),"Active")</f>
        <v>Active</v>
      </c>
    </row>
    <row r="1267">
      <c r="A1267" s="131">
        <f>IFERROR(__xludf.DUMMYFUNCTION("""COMPUTED_VALUE"""),46181.33128472222)</f>
        <v>46181.33128</v>
      </c>
      <c r="B1267" s="122" t="str">
        <f>IFERROR(__xludf.DUMMYFUNCTION("""COMPUTED_VALUE"""),"CARS")</f>
        <v>CARS</v>
      </c>
      <c r="C1267" s="122" t="str">
        <f>IFERROR(__xludf.DUMMYFUNCTION("""COMPUTED_VALUE"""),"AutoArena remains stable as the Automotive market shows normal activity.")</f>
        <v>AutoArena remains stable as the Automotive market shows normal activity.</v>
      </c>
      <c r="D1267" s="122" t="str">
        <f>IFERROR(__xludf.DUMMYFUNCTION("""COMPUTED_VALUE"""),"AutoArena appears steady with no major changes reported.")</f>
        <v>AutoArena appears steady with no major changes reported.</v>
      </c>
      <c r="E1267" s="122" t="str">
        <f>IFERROR(__xludf.DUMMYFUNCTION("""COMPUTED_VALUE"""),"Neutral")</f>
        <v>Neutral</v>
      </c>
      <c r="F1267" s="122">
        <f>IFERROR(__xludf.DUMMYFUNCTION("""COMPUTED_VALUE"""),0.0)</f>
        <v>0</v>
      </c>
      <c r="G1267" s="122">
        <f>IFERROR(__xludf.DUMMYFUNCTION("""COMPUTED_VALUE"""),0.0)</f>
        <v>0</v>
      </c>
      <c r="H1267" s="122" t="str">
        <f>IFERROR(__xludf.DUMMYFUNCTION("""COMPUTED_VALUE"""),"Active")</f>
        <v>Active</v>
      </c>
    </row>
    <row r="1268">
      <c r="A1268" s="131">
        <f>IFERROR(__xludf.DUMMYFUNCTION("""COMPUTED_VALUE"""),46181.33128472222)</f>
        <v>46181.33128</v>
      </c>
      <c r="B1268" s="122" t="str">
        <f>IFERROR(__xludf.DUMMYFUNCTION("""COMPUTED_VALUE"""),"EVGO")</f>
        <v>EVGO</v>
      </c>
      <c r="C1268" s="122" t="str">
        <f>IFERROR(__xludf.DUMMYFUNCTION("""COMPUTED_VALUE"""),"EVGo Motors remains stable as the Automotive market shows normal activity.")</f>
        <v>EVGo Motors remains stable as the Automotive market shows normal activity.</v>
      </c>
      <c r="D1268" s="122" t="str">
        <f>IFERROR(__xludf.DUMMYFUNCTION("""COMPUTED_VALUE"""),"EVGo Motors appears steady with no major changes reported.")</f>
        <v>EVGo Motors appears steady with no major changes reported.</v>
      </c>
      <c r="E1268" s="122" t="str">
        <f>IFERROR(__xludf.DUMMYFUNCTION("""COMPUTED_VALUE"""),"Neutral")</f>
        <v>Neutral</v>
      </c>
      <c r="F1268" s="122">
        <f>IFERROR(__xludf.DUMMYFUNCTION("""COMPUTED_VALUE"""),0.0)</f>
        <v>0</v>
      </c>
      <c r="G1268" s="122">
        <f>IFERROR(__xludf.DUMMYFUNCTION("""COMPUTED_VALUE"""),0.0)</f>
        <v>0</v>
      </c>
      <c r="H1268" s="122" t="str">
        <f>IFERROR(__xludf.DUMMYFUNCTION("""COMPUTED_VALUE"""),"Active")</f>
        <v>Active</v>
      </c>
    </row>
    <row r="1269">
      <c r="A1269" s="131">
        <f>IFERROR(__xludf.DUMMYFUNCTION("""COMPUTED_VALUE"""),46181.331296296295)</f>
        <v>46181.3313</v>
      </c>
      <c r="B1269" s="122" t="str">
        <f>IFERROR(__xludf.DUMMYFUNCTION("""COMPUTED_VALUE"""),"TIRE")</f>
        <v>TIRE</v>
      </c>
      <c r="C1269" s="122" t="str">
        <f>IFERROR(__xludf.DUMMYFUNCTION("""COMPUTED_VALUE"""),"TireTown faces weaker demand and cautious investor sentiment.")</f>
        <v>TireTown faces weaker demand and cautious investor sentiment.</v>
      </c>
      <c r="D1269" s="122" t="str">
        <f>IFERROR(__xludf.DUMMYFUNCTION("""COMPUTED_VALUE"""),"Investors are watching TireTown closely as demand weakens.")</f>
        <v>Investors are watching TireTown closely as demand weakens.</v>
      </c>
      <c r="E1269" s="122" t="str">
        <f>IFERROR(__xludf.DUMMYFUNCTION("""COMPUTED_VALUE"""),"Negative")</f>
        <v>Negative</v>
      </c>
      <c r="F1269" s="122">
        <f>IFERROR(__xludf.DUMMYFUNCTION("""COMPUTED_VALUE"""),-0.015)</f>
        <v>-0.015</v>
      </c>
      <c r="G1269" s="122">
        <f>IFERROR(__xludf.DUMMYFUNCTION("""COMPUTED_VALUE"""),0.75)</f>
        <v>0.75</v>
      </c>
      <c r="H1269" s="122" t="str">
        <f>IFERROR(__xludf.DUMMYFUNCTION("""COMPUTED_VALUE"""),"Active")</f>
        <v>Active</v>
      </c>
    </row>
    <row r="1270">
      <c r="A1270" s="131">
        <f>IFERROR(__xludf.DUMMYFUNCTION("""COMPUTED_VALUE"""),46181.331296296295)</f>
        <v>46181.3313</v>
      </c>
      <c r="B1270" s="122" t="str">
        <f>IFERROR(__xludf.DUMMYFUNCTION("""COMPUTED_VALUE"""),"BIKE")</f>
        <v>BIKE</v>
      </c>
      <c r="C1270" s="122" t="str">
        <f>IFERROR(__xludf.DUMMYFUNCTION("""COMPUTED_VALUE"""),"BikeBox remains stable as the Automotive market shows normal activity.")</f>
        <v>BikeBox remains stable as the Automotive market shows normal activity.</v>
      </c>
      <c r="D1270" s="122" t="str">
        <f>IFERROR(__xludf.DUMMYFUNCTION("""COMPUTED_VALUE"""),"BikeBox appears steady with no major changes reported.")</f>
        <v>BikeBox appears steady with no major changes reported.</v>
      </c>
      <c r="E1270" s="122" t="str">
        <f>IFERROR(__xludf.DUMMYFUNCTION("""COMPUTED_VALUE"""),"Neutral")</f>
        <v>Neutral</v>
      </c>
      <c r="F1270" s="122">
        <f>IFERROR(__xludf.DUMMYFUNCTION("""COMPUTED_VALUE"""),0.0)</f>
        <v>0</v>
      </c>
      <c r="G1270" s="122">
        <f>IFERROR(__xludf.DUMMYFUNCTION("""COMPUTED_VALUE"""),0.0)</f>
        <v>0</v>
      </c>
      <c r="H1270" s="122" t="str">
        <f>IFERROR(__xludf.DUMMYFUNCTION("""COMPUTED_VALUE"""),"Active")</f>
        <v>Active</v>
      </c>
    </row>
    <row r="1271">
      <c r="A1271" s="131">
        <f>IFERROR(__xludf.DUMMYFUNCTION("""COMPUTED_VALUE"""),46181.33130787037)</f>
        <v>46181.33131</v>
      </c>
      <c r="B1271" s="122" t="str">
        <f>IFERROR(__xludf.DUMMYFUNCTION("""COMPUTED_VALUE"""),"WASH")</f>
        <v>WASH</v>
      </c>
      <c r="C1271" s="122" t="str">
        <f>IFERROR(__xludf.DUMMYFUNCTION("""COMPUTED_VALUE"""),"CarWash Co remains stable as the Automotive market shows normal activity.")</f>
        <v>CarWash Co remains stable as the Automotive market shows normal activity.</v>
      </c>
      <c r="D1271" s="122" t="str">
        <f>IFERROR(__xludf.DUMMYFUNCTION("""COMPUTED_VALUE"""),"CarWash Co appears steady with no major changes reported.")</f>
        <v>CarWash Co appears steady with no major changes reported.</v>
      </c>
      <c r="E1271" s="122" t="str">
        <f>IFERROR(__xludf.DUMMYFUNCTION("""COMPUTED_VALUE"""),"Neutral")</f>
        <v>Neutral</v>
      </c>
      <c r="F1271" s="122">
        <f>IFERROR(__xludf.DUMMYFUNCTION("""COMPUTED_VALUE"""),0.0)</f>
        <v>0</v>
      </c>
      <c r="G1271" s="122">
        <f>IFERROR(__xludf.DUMMYFUNCTION("""COMPUTED_VALUE"""),0.0)</f>
        <v>0</v>
      </c>
      <c r="H1271" s="122" t="str">
        <f>IFERROR(__xludf.DUMMYFUNCTION("""COMPUTED_VALUE"""),"Active")</f>
        <v>Active</v>
      </c>
    </row>
    <row r="1272">
      <c r="A1272" s="131">
        <f>IFERROR(__xludf.DUMMYFUNCTION("""COMPUTED_VALUE"""),46181.33130787037)</f>
        <v>46181.33131</v>
      </c>
      <c r="B1272" s="122" t="str">
        <f>IFERROR(__xludf.DUMMYFUNCTION("""COMPUTED_VALUE"""),"GBND")</f>
        <v>GBND</v>
      </c>
      <c r="C1272" s="122" t="str">
        <f>IFERROR(__xludf.DUMMYFUNCTION("""COMPUTED_VALUE"""),"Classroom Government Bond remains steady as investors seek stability.")</f>
        <v>Classroom Government Bond remains steady as investors seek stability.</v>
      </c>
      <c r="D127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272" s="122" t="str">
        <f>IFERROR(__xludf.DUMMYFUNCTION("""COMPUTED_VALUE"""),"Neutral")</f>
        <v>Neutral</v>
      </c>
      <c r="F1272" s="122">
        <f>IFERROR(__xludf.DUMMYFUNCTION("""COMPUTED_VALUE"""),0.0)</f>
        <v>0</v>
      </c>
      <c r="G1272" s="122">
        <f>IFERROR(__xludf.DUMMYFUNCTION("""COMPUTED_VALUE"""),0.0)</f>
        <v>0</v>
      </c>
      <c r="H1272" s="122" t="str">
        <f>IFERROR(__xludf.DUMMYFUNCTION("""COMPUTED_VALUE"""),"Active")</f>
        <v>Active</v>
      </c>
    </row>
    <row r="1273">
      <c r="A1273" s="131">
        <f>IFERROR(__xludf.DUMMYFUNCTION("""COMPUTED_VALUE"""),46181.331342592595)</f>
        <v>46181.33134</v>
      </c>
      <c r="B1273" s="122" t="str">
        <f>IFERROR(__xludf.DUMMYFUNCTION("""COMPUTED_VALUE"""),"SBND")</f>
        <v>SBND</v>
      </c>
      <c r="C1273" s="122" t="str">
        <f>IFERROR(__xludf.DUMMYFUNCTION("""COMPUTED_VALUE"""),"School Savings Bond remains steady as investors seek stability.")</f>
        <v>School Savings Bond remains steady as investors seek stability.</v>
      </c>
      <c r="D127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273" s="122" t="str">
        <f>IFERROR(__xludf.DUMMYFUNCTION("""COMPUTED_VALUE"""),"Neutral")</f>
        <v>Neutral</v>
      </c>
      <c r="F1273" s="122">
        <f>IFERROR(__xludf.DUMMYFUNCTION("""COMPUTED_VALUE"""),0.0)</f>
        <v>0</v>
      </c>
      <c r="G1273" s="122">
        <f>IFERROR(__xludf.DUMMYFUNCTION("""COMPUTED_VALUE"""),0.0)</f>
        <v>0</v>
      </c>
      <c r="H1273" s="122" t="str">
        <f>IFERROR(__xludf.DUMMYFUNCTION("""COMPUTED_VALUE"""),"Active")</f>
        <v>Active</v>
      </c>
    </row>
    <row r="1274">
      <c r="A1274" s="131">
        <f>IFERROR(__xludf.DUMMYFUNCTION("""COMPUTED_VALUE"""),46181.331342592595)</f>
        <v>46181.33134</v>
      </c>
      <c r="B1274" s="122" t="str">
        <f>IFERROR(__xludf.DUMMYFUNCTION("""COMPUTED_VALUE"""),"CBND")</f>
        <v>CBND</v>
      </c>
      <c r="C1274" s="122" t="str">
        <f>IFERROR(__xludf.DUMMYFUNCTION("""COMPUTED_VALUE"""),"Corporate Classroom Bond remains steady as investors seek stability.")</f>
        <v>Corporate Classroom Bond remains steady as investors seek stability.</v>
      </c>
      <c r="D127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274" s="122" t="str">
        <f>IFERROR(__xludf.DUMMYFUNCTION("""COMPUTED_VALUE"""),"Neutral")</f>
        <v>Neutral</v>
      </c>
      <c r="F1274" s="122">
        <f>IFERROR(__xludf.DUMMYFUNCTION("""COMPUTED_VALUE"""),0.0)</f>
        <v>0</v>
      </c>
      <c r="G1274" s="122">
        <f>IFERROR(__xludf.DUMMYFUNCTION("""COMPUTED_VALUE"""),0.0)</f>
        <v>0</v>
      </c>
      <c r="H1274" s="122" t="str">
        <f>IFERROR(__xludf.DUMMYFUNCTION("""COMPUTED_VALUE"""),"Active")</f>
        <v>Active</v>
      </c>
    </row>
    <row r="1275">
      <c r="A1275" s="131">
        <f>IFERROR(__xludf.DUMMYFUNCTION("""COMPUTED_VALUE"""),46181.331354166665)</f>
        <v>46181.33135</v>
      </c>
      <c r="B1275" s="122" t="str">
        <f>IFERROR(__xludf.DUMMYFUNCTION("""COMPUTED_VALUE"""),"TBIL")</f>
        <v>TBIL</v>
      </c>
      <c r="C1275" s="122" t="str">
        <f>IFERROR(__xludf.DUMMYFUNCTION("""COMPUTED_VALUE"""),"Treasury Bill remains steady as investors seek stability.")</f>
        <v>Treasury Bill remains steady as investors seek stability.</v>
      </c>
      <c r="D127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275" s="122" t="str">
        <f>IFERROR(__xludf.DUMMYFUNCTION("""COMPUTED_VALUE"""),"Neutral")</f>
        <v>Neutral</v>
      </c>
      <c r="F1275" s="122">
        <f>IFERROR(__xludf.DUMMYFUNCTION("""COMPUTED_VALUE"""),0.0)</f>
        <v>0</v>
      </c>
      <c r="G1275" s="122">
        <f>IFERROR(__xludf.DUMMYFUNCTION("""COMPUTED_VALUE"""),0.0)</f>
        <v>0</v>
      </c>
      <c r="H1275" s="122" t="str">
        <f>IFERROR(__xludf.DUMMYFUNCTION("""COMPUTED_VALUE"""),"Active")</f>
        <v>Active</v>
      </c>
    </row>
    <row r="1276">
      <c r="A1276" s="131">
        <f>IFERROR(__xludf.DUMMYFUNCTION("""COMPUTED_VALUE"""),46181.331354166665)</f>
        <v>46181.33135</v>
      </c>
      <c r="B1276" s="122" t="str">
        <f>IFERROR(__xludf.DUMMYFUNCTION("""COMPUTED_VALUE"""),"IBND")</f>
        <v>IBND</v>
      </c>
      <c r="C1276" s="122" t="str">
        <f>IFERROR(__xludf.DUMMYFUNCTION("""COMPUTED_VALUE"""),"Inflation Protected Bond remains steady as investors seek stability.")</f>
        <v>Inflation Protected Bond remains steady as investors seek stability.</v>
      </c>
      <c r="D127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276" s="122" t="str">
        <f>IFERROR(__xludf.DUMMYFUNCTION("""COMPUTED_VALUE"""),"Neutral")</f>
        <v>Neutral</v>
      </c>
      <c r="F1276" s="122">
        <f>IFERROR(__xludf.DUMMYFUNCTION("""COMPUTED_VALUE"""),0.0)</f>
        <v>0</v>
      </c>
      <c r="G1276" s="122">
        <f>IFERROR(__xludf.DUMMYFUNCTION("""COMPUTED_VALUE"""),0.0)</f>
        <v>0</v>
      </c>
      <c r="H1276" s="122" t="str">
        <f>IFERROR(__xludf.DUMMYFUNCTION("""COMPUTED_VALUE"""),"Active")</f>
        <v>Active</v>
      </c>
    </row>
    <row r="1277">
      <c r="A1277" s="131">
        <f>IFERROR(__xludf.DUMMYFUNCTION("""COMPUTED_VALUE"""),46181.33877314815)</f>
        <v>46181.33877</v>
      </c>
      <c r="B1277" s="122" t="str">
        <f>IFERROR(__xludf.DUMMYFUNCTION("""COMPUTED_VALUE"""),"MARKET")</f>
        <v>MARKET</v>
      </c>
      <c r="C1277" s="122" t="str">
        <f>IFERROR(__xludf.DUMMYFUNCTION("""COMPUTED_VALUE"""),"Market Stability Report")</f>
        <v>Market Stability Report</v>
      </c>
      <c r="D1277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1277" s="122" t="str">
        <f>IFERROR(__xludf.DUMMYFUNCTION("""COMPUTED_VALUE"""),"Neutral")</f>
        <v>Neutral</v>
      </c>
      <c r="F1277" s="122">
        <f>IFERROR(__xludf.DUMMYFUNCTION("""COMPUTED_VALUE"""),0.0)</f>
        <v>0</v>
      </c>
      <c r="G1277" s="122">
        <f>IFERROR(__xludf.DUMMYFUNCTION("""COMPUTED_VALUE"""),0.0)</f>
        <v>0</v>
      </c>
      <c r="H1277" s="122" t="str">
        <f>IFERROR(__xludf.DUMMYFUNCTION("""COMPUTED_VALUE"""),"Active")</f>
        <v>Active</v>
      </c>
    </row>
    <row r="1278">
      <c r="A1278" s="131">
        <f>IFERROR(__xludf.DUMMYFUNCTION("""COMPUTED_VALUE"""),46182.31811342593)</f>
        <v>46182.31811</v>
      </c>
      <c r="B1278" s="122" t="str">
        <f>IFERROR(__xludf.DUMMYFUNCTION("""COMPUTED_VALUE"""),"LANG")</f>
        <v>LANG</v>
      </c>
      <c r="C1278" s="122" t="str">
        <f>IFERROR(__xludf.DUMMYFUNCTION("""COMPUTED_VALUE"""),"LinguaLab releases earnings report: Beat profit, guidance Raised.")</f>
        <v>LinguaLab releases earnings report: Beat profit, guidance Raised.</v>
      </c>
      <c r="D1278" s="122" t="str">
        <f>IFERROR(__xludf.DUMMYFUNCTION("""COMPUTED_VALUE"""),"Earnings report: revenue Beat, profit Beat, debt Stable, guidance Raised.")</f>
        <v>Earnings report: revenue Beat, profit Beat, debt Stable, guidance Raised.</v>
      </c>
      <c r="E1278" s="122" t="str">
        <f>IFERROR(__xludf.DUMMYFUNCTION("""COMPUTED_VALUE"""),"Positive")</f>
        <v>Positive</v>
      </c>
      <c r="F1278" s="122">
        <f>IFERROR(__xludf.DUMMYFUNCTION("""COMPUTED_VALUE"""),0.02092425312947261)</f>
        <v>0.02092425313</v>
      </c>
      <c r="G1278" s="122">
        <f>IFERROR(__xludf.DUMMYFUNCTION("""COMPUTED_VALUE"""),0.5231063282368152)</f>
        <v>0.5231063282</v>
      </c>
      <c r="H1278" s="122" t="str">
        <f>IFERROR(__xludf.DUMMYFUNCTION("""COMPUTED_VALUE"""),"Active")</f>
        <v>Active</v>
      </c>
    </row>
    <row r="1279">
      <c r="A1279" s="131">
        <f>IFERROR(__xludf.DUMMYFUNCTION("""COMPUTED_VALUE"""),46182.31821759259)</f>
        <v>46182.31822</v>
      </c>
      <c r="B1279" s="122" t="str">
        <f>IFERROR(__xludf.DUMMYFUNCTION("""COMPUTED_VALUE"""),"RENT")</f>
        <v>RENT</v>
      </c>
      <c r="C1279" s="122" t="str">
        <f>IFERROR(__xludf.DUMMYFUNCTION("""COMPUTED_VALUE"""),"RentRight releases earnings report: Miss profit, guidance Lowered.")</f>
        <v>RentRight releases earnings report: Miss profit, guidance Lowered.</v>
      </c>
      <c r="D1279" s="122" t="str">
        <f>IFERROR(__xludf.DUMMYFUNCTION("""COMPUTED_VALUE"""),"Earnings report: revenue Miss, profit Miss, debt Worse, guidance Lowered.")</f>
        <v>Earnings report: revenue Miss, profit Miss, debt Worse, guidance Lowered.</v>
      </c>
      <c r="E1279" s="122" t="str">
        <f>IFERROR(__xludf.DUMMYFUNCTION("""COMPUTED_VALUE"""),"Negative")</f>
        <v>Negative</v>
      </c>
      <c r="F1279" s="122">
        <f>IFERROR(__xludf.DUMMYFUNCTION("""COMPUTED_VALUE"""),-0.04573839621835675)</f>
        <v>-0.04573839622</v>
      </c>
      <c r="G1279" s="122">
        <f>IFERROR(__xludf.DUMMYFUNCTION("""COMPUTED_VALUE"""),1.1434599054589187)</f>
        <v>1.143459905</v>
      </c>
      <c r="H1279" s="122" t="str">
        <f>IFERROR(__xludf.DUMMYFUNCTION("""COMPUTED_VALUE"""),"Active")</f>
        <v>Active</v>
      </c>
    </row>
    <row r="1280">
      <c r="A1280" s="131">
        <f>IFERROR(__xludf.DUMMYFUNCTION("""COMPUTED_VALUE"""),46182.31832175926)</f>
        <v>46182.31832</v>
      </c>
      <c r="B1280" s="122" t="str">
        <f>IFERROR(__xludf.DUMMYFUNCTION("""COMPUTED_VALUE"""),"FAST")</f>
        <v>FAST</v>
      </c>
      <c r="C1280" s="122" t="str">
        <f>IFERROR(__xludf.DUMMYFUNCTION("""COMPUTED_VALUE"""),"Flash Logistics releases earnings report: Beat profit, guidance Raised.")</f>
        <v>Flash Logistics releases earnings report: Beat profit, guidance Raised.</v>
      </c>
      <c r="D1280" s="122" t="str">
        <f>IFERROR(__xludf.DUMMYFUNCTION("""COMPUTED_VALUE"""),"Earnings report: revenue Beat, profit Beat, debt Stable, guidance Raised.")</f>
        <v>Earnings report: revenue Beat, profit Beat, debt Stable, guidance Raised.</v>
      </c>
      <c r="E1280" s="122" t="str">
        <f>IFERROR(__xludf.DUMMYFUNCTION("""COMPUTED_VALUE"""),"Positive")</f>
        <v>Positive</v>
      </c>
      <c r="F1280" s="122">
        <f>IFERROR(__xludf.DUMMYFUNCTION("""COMPUTED_VALUE"""),0.02045578866164133)</f>
        <v>0.02045578866</v>
      </c>
      <c r="G1280" s="122">
        <f>IFERROR(__xludf.DUMMYFUNCTION("""COMPUTED_VALUE"""),0.5113947165410333)</f>
        <v>0.5113947165</v>
      </c>
      <c r="H1280" s="122" t="str">
        <f>IFERROR(__xludf.DUMMYFUNCTION("""COMPUTED_VALUE"""),"Active")</f>
        <v>Active</v>
      </c>
    </row>
    <row r="1281">
      <c r="A1281" s="131">
        <f>IFERROR(__xludf.DUMMYFUNCTION("""COMPUTED_VALUE"""),46182.31842592593)</f>
        <v>46182.31843</v>
      </c>
      <c r="B1281" s="122" t="str">
        <f>IFERROR(__xludf.DUMMYFUNCTION("""COMPUTED_VALUE"""),"LUXE")</f>
        <v>LUXE</v>
      </c>
      <c r="C1281" s="122" t="str">
        <f>IFERROR(__xludf.DUMMYFUNCTION("""COMPUTED_VALUE"""),"Luxury Locker releases earnings report: Miss profit, guidance Lowered.")</f>
        <v>Luxury Locker releases earnings report: Miss profit, guidance Lowered.</v>
      </c>
      <c r="D1281" s="122" t="str">
        <f>IFERROR(__xludf.DUMMYFUNCTION("""COMPUTED_VALUE"""),"Earnings report: revenue Miss, profit Miss, debt Worse, guidance Lowered.")</f>
        <v>Earnings report: revenue Miss, profit Miss, debt Worse, guidance Lowered.</v>
      </c>
      <c r="E1281" s="122" t="str">
        <f>IFERROR(__xludf.DUMMYFUNCTION("""COMPUTED_VALUE"""),"Negative")</f>
        <v>Negative</v>
      </c>
      <c r="F1281" s="122">
        <f>IFERROR(__xludf.DUMMYFUNCTION("""COMPUTED_VALUE"""),-0.02184428551371465)</f>
        <v>-0.02184428551</v>
      </c>
      <c r="G1281" s="122">
        <f>IFERROR(__xludf.DUMMYFUNCTION("""COMPUTED_VALUE"""),0.5461071378428662)</f>
        <v>0.5461071378</v>
      </c>
      <c r="H1281" s="122" t="str">
        <f>IFERROR(__xludf.DUMMYFUNCTION("""COMPUTED_VALUE"""),"Active")</f>
        <v>Active</v>
      </c>
    </row>
    <row r="1282">
      <c r="A1282" s="131">
        <f>IFERROR(__xludf.DUMMYFUNCTION("""COMPUTED_VALUE"""),46182.31854166667)</f>
        <v>46182.31854</v>
      </c>
      <c r="B1282" s="122" t="str">
        <f>IFERROR(__xludf.DUMMYFUNCTION("""COMPUTED_VALUE"""),"RAIL")</f>
        <v>RAIL</v>
      </c>
      <c r="C1282" s="122" t="str">
        <f>IFERROR(__xludf.DUMMYFUNCTION("""COMPUTED_VALUE"""),"MetroRail Corp releases earnings report: Beat profit, guidance Raised.")</f>
        <v>MetroRail Corp releases earnings report: Beat profit, guidance Raised.</v>
      </c>
      <c r="D128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282" s="122" t="str">
        <f>IFERROR(__xludf.DUMMYFUNCTION("""COMPUTED_VALUE"""),"Positive")</f>
        <v>Positive</v>
      </c>
      <c r="F1282" s="122">
        <f>IFERROR(__xludf.DUMMYFUNCTION("""COMPUTED_VALUE"""),0.050270080485125185)</f>
        <v>0.05027008049</v>
      </c>
      <c r="G1282" s="122">
        <f>IFERROR(__xludf.DUMMYFUNCTION("""COMPUTED_VALUE"""),1.2567520121281297)</f>
        <v>1.256752012</v>
      </c>
      <c r="H1282" s="122" t="str">
        <f>IFERROR(__xludf.DUMMYFUNCTION("""COMPUTED_VALUE"""),"Active")</f>
        <v>Active</v>
      </c>
    </row>
    <row r="1283">
      <c r="A1283" s="131">
        <f>IFERROR(__xludf.DUMMYFUNCTION("""COMPUTED_VALUE"""),46182.318715277775)</f>
        <v>46182.31872</v>
      </c>
      <c r="B1283" s="122" t="str">
        <f>IFERROR(__xludf.DUMMYFUNCTION("""COMPUTED_VALUE"""),"VRSE")</f>
        <v>VRSE</v>
      </c>
      <c r="C1283" s="122" t="str">
        <f>IFERROR(__xludf.DUMMYFUNCTION("""COMPUTED_VALUE"""),"VerseVR releases earnings report: Beat profit, guidance Maintained.")</f>
        <v>VerseVR releases earnings report: Beat profit, guidance Maintained.</v>
      </c>
      <c r="D1283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1283" s="122" t="str">
        <f>IFERROR(__xludf.DUMMYFUNCTION("""COMPUTED_VALUE"""),"Positive")</f>
        <v>Positive</v>
      </c>
      <c r="F1283" s="122">
        <f>IFERROR(__xludf.DUMMYFUNCTION("""COMPUTED_VALUE"""),0.011177142193954812)</f>
        <v>0.01117714219</v>
      </c>
      <c r="G1283" s="122">
        <f>IFERROR(__xludf.DUMMYFUNCTION("""COMPUTED_VALUE"""),0.2794285548488703)</f>
        <v>0.2794285548</v>
      </c>
      <c r="H1283" s="122" t="str">
        <f>IFERROR(__xludf.DUMMYFUNCTION("""COMPUTED_VALUE"""),"Active")</f>
        <v>Active</v>
      </c>
    </row>
    <row r="1284">
      <c r="A1284" s="131">
        <f>IFERROR(__xludf.DUMMYFUNCTION("""COMPUTED_VALUE"""),46182.31884259259)</f>
        <v>46182.31884</v>
      </c>
      <c r="B1284" s="122" t="str">
        <f>IFERROR(__xludf.DUMMYFUNCTION("""COMPUTED_VALUE"""),"BYTE")</f>
        <v>BYTE</v>
      </c>
      <c r="C1284" s="122" t="str">
        <f>IFERROR(__xludf.DUMMYFUNCTION("""COMPUTED_VALUE"""),"ByteWorks releases earnings report: Miss profit, guidance Lowered.")</f>
        <v>ByteWorks releases earnings report: Miss profit, guidance Lowered.</v>
      </c>
      <c r="D1284" s="122" t="str">
        <f>IFERROR(__xludf.DUMMYFUNCTION("""COMPUTED_VALUE"""),"Earnings report: revenue Miss, profit Miss, debt Worse, guidance Lowered.")</f>
        <v>Earnings report: revenue Miss, profit Miss, debt Worse, guidance Lowered.</v>
      </c>
      <c r="E1284" s="122" t="str">
        <f>IFERROR(__xludf.DUMMYFUNCTION("""COMPUTED_VALUE"""),"Negative")</f>
        <v>Negative</v>
      </c>
      <c r="F1284" s="122">
        <f>IFERROR(__xludf.DUMMYFUNCTION("""COMPUTED_VALUE"""),-0.028462881798140556)</f>
        <v>-0.0284628818</v>
      </c>
      <c r="G1284" s="122">
        <f>IFERROR(__xludf.DUMMYFUNCTION("""COMPUTED_VALUE"""),0.7115720449535139)</f>
        <v>0.711572045</v>
      </c>
      <c r="H1284" s="122" t="str">
        <f>IFERROR(__xludf.DUMMYFUNCTION("""COMPUTED_VALUE"""),"Active")</f>
        <v>Active</v>
      </c>
    </row>
    <row r="1285">
      <c r="A1285" s="131">
        <f>IFERROR(__xludf.DUMMYFUNCTION("""COMPUTED_VALUE"""),46182.31896990741)</f>
        <v>46182.31897</v>
      </c>
      <c r="B1285" s="122" t="str">
        <f>IFERROR(__xludf.DUMMYFUNCTION("""COMPUTED_VALUE"""),"BOND")</f>
        <v>BOND</v>
      </c>
      <c r="C1285" s="122" t="str">
        <f>IFERROR(__xludf.DUMMYFUNCTION("""COMPUTED_VALUE"""),"BondBridge releases earnings report: Miss profit, guidance Lowered.")</f>
        <v>BondBridge releases earnings report: Miss profit, guidance Lowered.</v>
      </c>
      <c r="D1285" s="122" t="str">
        <f>IFERROR(__xludf.DUMMYFUNCTION("""COMPUTED_VALUE"""),"Earnings report: revenue Miss, profit Miss, debt Worse, guidance Lowered.")</f>
        <v>Earnings report: revenue Miss, profit Miss, debt Worse, guidance Lowered.</v>
      </c>
      <c r="E1285" s="122" t="str">
        <f>IFERROR(__xludf.DUMMYFUNCTION("""COMPUTED_VALUE"""),"Negative")</f>
        <v>Negative</v>
      </c>
      <c r="F1285" s="122">
        <f>IFERROR(__xludf.DUMMYFUNCTION("""COMPUTED_VALUE"""),-0.054743905675095426)</f>
        <v>-0.05474390568</v>
      </c>
      <c r="G1285" s="122">
        <f>IFERROR(__xludf.DUMMYFUNCTION("""COMPUTED_VALUE"""),1.3685976418773858)</f>
        <v>1.368597642</v>
      </c>
      <c r="H1285" s="122" t="str">
        <f>IFERROR(__xludf.DUMMYFUNCTION("""COMPUTED_VALUE"""),"Active")</f>
        <v>Active</v>
      </c>
    </row>
    <row r="1286">
      <c r="A1286" s="131">
        <f>IFERROR(__xludf.DUMMYFUNCTION("""COMPUTED_VALUE"""),46182.3190625)</f>
        <v>46182.31906</v>
      </c>
      <c r="B1286" s="122" t="str">
        <f>IFERROR(__xludf.DUMMYFUNCTION("""COMPUTED_VALUE"""),"MOVI")</f>
        <v>MOVI</v>
      </c>
      <c r="C1286" s="122" t="str">
        <f>IFERROR(__xludf.DUMMYFUNCTION("""COMPUTED_VALUE"""),"MovieBox releases earnings report: Beat profit, guidance Raised.")</f>
        <v>MovieBox releases earnings report: Beat profit, guidance Raised.</v>
      </c>
      <c r="D128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286" s="122" t="str">
        <f>IFERROR(__xludf.DUMMYFUNCTION("""COMPUTED_VALUE"""),"Positive")</f>
        <v>Positive</v>
      </c>
      <c r="F1286" s="122">
        <f>IFERROR(__xludf.DUMMYFUNCTION("""COMPUTED_VALUE"""),0.04038579995169688)</f>
        <v>0.04038579995</v>
      </c>
      <c r="G1286" s="122">
        <f>IFERROR(__xludf.DUMMYFUNCTION("""COMPUTED_VALUE"""),1.009644998792422)</f>
        <v>1.009644999</v>
      </c>
      <c r="H1286" s="122" t="str">
        <f>IFERROR(__xludf.DUMMYFUNCTION("""COMPUTED_VALUE"""),"Active")</f>
        <v>Active</v>
      </c>
    </row>
    <row r="1287">
      <c r="A1287" s="131">
        <f>IFERROR(__xludf.DUMMYFUNCTION("""COMPUTED_VALUE"""),46182.3309375)</f>
        <v>46182.33094</v>
      </c>
      <c r="B1287" s="122" t="str">
        <f>IFERROR(__xludf.DUMMYFUNCTION("""COMPUTED_VALUE"""),"SNAX")</f>
        <v>SNAX</v>
      </c>
      <c r="C1287" s="122" t="str">
        <f>IFERROR(__xludf.DUMMYFUNCTION("""COMPUTED_VALUE"""),"MICA Snacks reports steady growth and improved market confidence.")</f>
        <v>MICA Snacks reports steady growth and improved market confidence.</v>
      </c>
      <c r="D1287" s="122" t="str">
        <f>IFERROR(__xludf.DUMMYFUNCTION("""COMPUTED_VALUE"""),"MICA Snacks continues to show positive momentum with moderate risk.")</f>
        <v>MICA Snacks continues to show positive momentum with moderate risk.</v>
      </c>
      <c r="E1287" s="122" t="str">
        <f>IFERROR(__xludf.DUMMYFUNCTION("""COMPUTED_VALUE"""),"Positive")</f>
        <v>Positive</v>
      </c>
      <c r="F1287" s="122">
        <f>IFERROR(__xludf.DUMMYFUNCTION("""COMPUTED_VALUE"""),0.015)</f>
        <v>0.015</v>
      </c>
      <c r="G1287" s="122">
        <f>IFERROR(__xludf.DUMMYFUNCTION("""COMPUTED_VALUE"""),0.5)</f>
        <v>0.5</v>
      </c>
      <c r="H1287" s="122" t="str">
        <f>IFERROR(__xludf.DUMMYFUNCTION("""COMPUTED_VALUE"""),"Active")</f>
        <v>Active</v>
      </c>
    </row>
    <row r="1288">
      <c r="A1288" s="131">
        <f>IFERROR(__xludf.DUMMYFUNCTION("""COMPUTED_VALUE"""),46182.33094907407)</f>
        <v>46182.33095</v>
      </c>
      <c r="B1288" s="122" t="str">
        <f>IFERROR(__xludf.DUMMYFUNCTION("""COMPUTED_VALUE"""),"RAMN")</f>
        <v>RAMN</v>
      </c>
      <c r="C1288" s="122" t="str">
        <f>IFERROR(__xludf.DUMMYFUNCTION("""COMPUTED_VALUE"""),"Ramen Republic faces weaker demand and cautious investor sentiment.")</f>
        <v>Ramen Republic faces weaker demand and cautious investor sentiment.</v>
      </c>
      <c r="D1288" s="122" t="str">
        <f>IFERROR(__xludf.DUMMYFUNCTION("""COMPUTED_VALUE"""),"Investors are watching Ramen Republic closely as demand weakens.")</f>
        <v>Investors are watching Ramen Republic closely as demand weakens.</v>
      </c>
      <c r="E1288" s="122" t="str">
        <f>IFERROR(__xludf.DUMMYFUNCTION("""COMPUTED_VALUE"""),"Negative")</f>
        <v>Negative</v>
      </c>
      <c r="F1288" s="122">
        <f>IFERROR(__xludf.DUMMYFUNCTION("""COMPUTED_VALUE"""),-0.015)</f>
        <v>-0.015</v>
      </c>
      <c r="G1288" s="122">
        <f>IFERROR(__xludf.DUMMYFUNCTION("""COMPUTED_VALUE"""),0.75)</f>
        <v>0.75</v>
      </c>
      <c r="H1288" s="122" t="str">
        <f>IFERROR(__xludf.DUMMYFUNCTION("""COMPUTED_VALUE"""),"Active")</f>
        <v>Active</v>
      </c>
    </row>
    <row r="1289">
      <c r="A1289" s="131">
        <f>IFERROR(__xludf.DUMMYFUNCTION("""COMPUTED_VALUE"""),46182.33096064815)</f>
        <v>46182.33096</v>
      </c>
      <c r="B1289" s="122" t="str">
        <f>IFERROR(__xludf.DUMMYFUNCTION("""COMPUTED_VALUE"""),"COLA")</f>
        <v>COLA</v>
      </c>
      <c r="C1289" s="122" t="str">
        <f>IFERROR(__xludf.DUMMYFUNCTION("""COMPUTED_VALUE"""),"K-Pop Cola faces weaker demand and cautious investor sentiment.")</f>
        <v>K-Pop Cola faces weaker demand and cautious investor sentiment.</v>
      </c>
      <c r="D1289" s="122" t="str">
        <f>IFERROR(__xludf.DUMMYFUNCTION("""COMPUTED_VALUE"""),"Investors are watching K-Pop Cola closely as demand weakens.")</f>
        <v>Investors are watching K-Pop Cola closely as demand weakens.</v>
      </c>
      <c r="E1289" s="122" t="str">
        <f>IFERROR(__xludf.DUMMYFUNCTION("""COMPUTED_VALUE"""),"Negative")</f>
        <v>Negative</v>
      </c>
      <c r="F1289" s="122">
        <f>IFERROR(__xludf.DUMMYFUNCTION("""COMPUTED_VALUE"""),-0.015)</f>
        <v>-0.015</v>
      </c>
      <c r="G1289" s="122">
        <f>IFERROR(__xludf.DUMMYFUNCTION("""COMPUTED_VALUE"""),0.75)</f>
        <v>0.75</v>
      </c>
      <c r="H1289" s="122" t="str">
        <f>IFERROR(__xludf.DUMMYFUNCTION("""COMPUTED_VALUE"""),"Active")</f>
        <v>Active</v>
      </c>
    </row>
    <row r="1290">
      <c r="A1290" s="131">
        <f>IFERROR(__xludf.DUMMYFUNCTION("""COMPUTED_VALUE"""),46182.330972222226)</f>
        <v>46182.33097</v>
      </c>
      <c r="B1290" s="122" t="str">
        <f>IFERROR(__xludf.DUMMYFUNCTION("""COMPUTED_VALUE"""),"CHIP")</f>
        <v>CHIP</v>
      </c>
      <c r="C1290" s="122" t="str">
        <f>IFERROR(__xludf.DUMMYFUNCTION("""COMPUTED_VALUE"""),"Chip Empire surges as demand rises across the Consumer Goods sector.")</f>
        <v>Chip Empire surges as demand rises across the Consumer Goods sector.</v>
      </c>
      <c r="D1290" s="122" t="str">
        <f>IFERROR(__xludf.DUMMYFUNCTION("""COMPUTED_VALUE"""),"Chip Empire is seeing strong demand, which may increase investor confidence.")</f>
        <v>Chip Empire is seeing strong demand, which may increase investor confidence.</v>
      </c>
      <c r="E1290" s="122" t="str">
        <f>IFERROR(__xludf.DUMMYFUNCTION("""COMPUTED_VALUE"""),"Positive")</f>
        <v>Positive</v>
      </c>
      <c r="F1290" s="122">
        <f>IFERROR(__xludf.DUMMYFUNCTION("""COMPUTED_VALUE"""),0.03)</f>
        <v>0.03</v>
      </c>
      <c r="G1290" s="122">
        <f>IFERROR(__xludf.DUMMYFUNCTION("""COMPUTED_VALUE"""),1.0)</f>
        <v>1</v>
      </c>
      <c r="H1290" s="122" t="str">
        <f>IFERROR(__xludf.DUMMYFUNCTION("""COMPUTED_VALUE"""),"Active")</f>
        <v>Active</v>
      </c>
    </row>
    <row r="1291">
      <c r="A1291" s="131">
        <f>IFERROR(__xludf.DUMMYFUNCTION("""COMPUTED_VALUE"""),46182.330983796295)</f>
        <v>46182.33098</v>
      </c>
      <c r="B1291" s="122" t="str">
        <f>IFERROR(__xludf.DUMMYFUNCTION("""COMPUTED_VALUE"""),"CAND")</f>
        <v>CAND</v>
      </c>
      <c r="C1291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1291" s="122" t="str">
        <f>IFERROR(__xludf.DUMMYFUNCTION("""COMPUTED_VALUE"""),"Candy Capital appears steady with no major changes reported.")</f>
        <v>Candy Capital appears steady with no major changes reported.</v>
      </c>
      <c r="E1291" s="122" t="str">
        <f>IFERROR(__xludf.DUMMYFUNCTION("""COMPUTED_VALUE"""),"Neutral")</f>
        <v>Neutral</v>
      </c>
      <c r="F1291" s="122">
        <f>IFERROR(__xludf.DUMMYFUNCTION("""COMPUTED_VALUE"""),0.0)</f>
        <v>0</v>
      </c>
      <c r="G1291" s="122">
        <f>IFERROR(__xludf.DUMMYFUNCTION("""COMPUTED_VALUE"""),0.0)</f>
        <v>0</v>
      </c>
      <c r="H1291" s="122" t="str">
        <f>IFERROR(__xludf.DUMMYFUNCTION("""COMPUTED_VALUE"""),"Active")</f>
        <v>Active</v>
      </c>
    </row>
    <row r="1292">
      <c r="A1292" s="131">
        <f>IFERROR(__xludf.DUMMYFUNCTION("""COMPUTED_VALUE"""),46182.330983796295)</f>
        <v>46182.33098</v>
      </c>
      <c r="B1292" s="122" t="str">
        <f>IFERROR(__xludf.DUMMYFUNCTION("""COMPUTED_VALUE"""),"TECH")</f>
        <v>TECH</v>
      </c>
      <c r="C1292" s="122" t="str">
        <f>IFERROR(__xludf.DUMMYFUNCTION("""COMPUTED_VALUE"""),"Dragon Tech faces weaker demand and cautious investor sentiment.")</f>
        <v>Dragon Tech faces weaker demand and cautious investor sentiment.</v>
      </c>
      <c r="D1292" s="122" t="str">
        <f>IFERROR(__xludf.DUMMYFUNCTION("""COMPUTED_VALUE"""),"Investors are watching Dragon Tech closely as demand weakens.")</f>
        <v>Investors are watching Dragon Tech closely as demand weakens.</v>
      </c>
      <c r="E1292" s="122" t="str">
        <f>IFERROR(__xludf.DUMMYFUNCTION("""COMPUTED_VALUE"""),"Negative")</f>
        <v>Negative</v>
      </c>
      <c r="F1292" s="122">
        <f>IFERROR(__xludf.DUMMYFUNCTION("""COMPUTED_VALUE"""),-0.015)</f>
        <v>-0.015</v>
      </c>
      <c r="G1292" s="122">
        <f>IFERROR(__xludf.DUMMYFUNCTION("""COMPUTED_VALUE"""),0.75)</f>
        <v>0.75</v>
      </c>
      <c r="H1292" s="122" t="str">
        <f>IFERROR(__xludf.DUMMYFUNCTION("""COMPUTED_VALUE"""),"Active")</f>
        <v>Active</v>
      </c>
    </row>
    <row r="1293">
      <c r="A1293" s="131">
        <f>IFERROR(__xludf.DUMMYFUNCTION("""COMPUTED_VALUE"""),46182.33099537037)</f>
        <v>46182.331</v>
      </c>
      <c r="B1293" s="122" t="str">
        <f>IFERROR(__xludf.DUMMYFUNCTION("""COMPUTED_VALUE"""),"AIBO")</f>
        <v>AIBO</v>
      </c>
      <c r="C1293" s="122" t="str">
        <f>IFERROR(__xludf.DUMMYFUNCTION("""COMPUTED_VALUE"""),"Homework AI remains stable as the Technology market shows normal activity.")</f>
        <v>Homework AI remains stable as the Technology market shows normal activity.</v>
      </c>
      <c r="D1293" s="122" t="str">
        <f>IFERROR(__xludf.DUMMYFUNCTION("""COMPUTED_VALUE"""),"Homework AI appears steady with no major changes reported.")</f>
        <v>Homework AI appears steady with no major changes reported.</v>
      </c>
      <c r="E1293" s="122" t="str">
        <f>IFERROR(__xludf.DUMMYFUNCTION("""COMPUTED_VALUE"""),"Neutral")</f>
        <v>Neutral</v>
      </c>
      <c r="F1293" s="122">
        <f>IFERROR(__xludf.DUMMYFUNCTION("""COMPUTED_VALUE"""),0.0)</f>
        <v>0</v>
      </c>
      <c r="G1293" s="122">
        <f>IFERROR(__xludf.DUMMYFUNCTION("""COMPUTED_VALUE"""),0.0)</f>
        <v>0</v>
      </c>
      <c r="H1293" s="122" t="str">
        <f>IFERROR(__xludf.DUMMYFUNCTION("""COMPUTED_VALUE"""),"Active")</f>
        <v>Active</v>
      </c>
    </row>
    <row r="1294">
      <c r="A1294" s="131">
        <f>IFERROR(__xludf.DUMMYFUNCTION("""COMPUTED_VALUE"""),46182.33100694444)</f>
        <v>46182.33101</v>
      </c>
      <c r="B1294" s="122" t="str">
        <f>IFERROR(__xludf.DUMMYFUNCTION("""COMPUTED_VALUE"""),"GAME")</f>
        <v>GAME</v>
      </c>
      <c r="C1294" s="122" t="str">
        <f>IFERROR(__xludf.DUMMYFUNCTION("""COMPUTED_VALUE"""),"GameBox Media surges as demand rises across the Entertainment sector.")</f>
        <v>GameBox Media surges as demand rises across the Entertainment sector.</v>
      </c>
      <c r="D1294" s="122" t="str">
        <f>IFERROR(__xludf.DUMMYFUNCTION("""COMPUTED_VALUE"""),"GameBox Media is seeing strong demand, which may increase investor confidence.")</f>
        <v>GameBox Media is seeing strong demand, which may increase investor confidence.</v>
      </c>
      <c r="E1294" s="122" t="str">
        <f>IFERROR(__xludf.DUMMYFUNCTION("""COMPUTED_VALUE"""),"Positive")</f>
        <v>Positive</v>
      </c>
      <c r="F1294" s="122">
        <f>IFERROR(__xludf.DUMMYFUNCTION("""COMPUTED_VALUE"""),0.03)</f>
        <v>0.03</v>
      </c>
      <c r="G1294" s="122">
        <f>IFERROR(__xludf.DUMMYFUNCTION("""COMPUTED_VALUE"""),1.0)</f>
        <v>1</v>
      </c>
      <c r="H1294" s="122" t="str">
        <f>IFERROR(__xludf.DUMMYFUNCTION("""COMPUTED_VALUE"""),"Active")</f>
        <v>Active</v>
      </c>
    </row>
    <row r="1295">
      <c r="A1295" s="131">
        <f>IFERROR(__xludf.DUMMYFUNCTION("""COMPUTED_VALUE"""),46182.33101851852)</f>
        <v>46182.33102</v>
      </c>
      <c r="B1295" s="122" t="str">
        <f>IFERROR(__xludf.DUMMYFUNCTION("""COMPUTED_VALUE"""),"VRSE")</f>
        <v>VRSE</v>
      </c>
      <c r="C1295" s="122" t="str">
        <f>IFERROR(__xludf.DUMMYFUNCTION("""COMPUTED_VALUE"""),"VerseVR sees uncertain trading as investors react to mixed signals.")</f>
        <v>VerseVR sees uncertain trading as investors react to mixed signals.</v>
      </c>
      <c r="D1295" s="122" t="str">
        <f>IFERROR(__xludf.DUMMYFUNCTION("""COMPUTED_VALUE"""),"VerseVR may experience larger price swings as investors disagree on direction.")</f>
        <v>VerseVR may experience larger price swings as investors disagree on direction.</v>
      </c>
      <c r="E1295" s="122" t="str">
        <f>IFERROR(__xludf.DUMMYFUNCTION("""COMPUTED_VALUE"""),"Mixed")</f>
        <v>Mixed</v>
      </c>
      <c r="F1295" s="122">
        <f>IFERROR(__xludf.DUMMYFUNCTION("""COMPUTED_VALUE"""),-0.014249412937933807)</f>
        <v>-0.01424941294</v>
      </c>
      <c r="G1295" s="122">
        <f>IFERROR(__xludf.DUMMYFUNCTION("""COMPUTED_VALUE"""),1.5)</f>
        <v>1.5</v>
      </c>
      <c r="H1295" s="122" t="str">
        <f>IFERROR(__xludf.DUMMYFUNCTION("""COMPUTED_VALUE"""),"Active")</f>
        <v>Active</v>
      </c>
    </row>
    <row r="1296">
      <c r="A1296" s="131">
        <f>IFERROR(__xludf.DUMMYFUNCTION("""COMPUTED_VALUE"""),46182.331030092595)</f>
        <v>46182.33103</v>
      </c>
      <c r="B1296" s="122" t="str">
        <f>IFERROR(__xludf.DUMMYFUNCTION("""COMPUTED_VALUE"""),"BYTE")</f>
        <v>BYTE</v>
      </c>
      <c r="C1296" s="122" t="str">
        <f>IFERROR(__xludf.DUMMYFUNCTION("""COMPUTED_VALUE"""),"ByteWorks faces weaker demand and cautious investor sentiment.")</f>
        <v>ByteWorks faces weaker demand and cautious investor sentiment.</v>
      </c>
      <c r="D1296" s="122" t="str">
        <f>IFERROR(__xludf.DUMMYFUNCTION("""COMPUTED_VALUE"""),"Investors are watching ByteWorks closely as demand weakens.")</f>
        <v>Investors are watching ByteWorks closely as demand weakens.</v>
      </c>
      <c r="E1296" s="122" t="str">
        <f>IFERROR(__xludf.DUMMYFUNCTION("""COMPUTED_VALUE"""),"Negative")</f>
        <v>Negative</v>
      </c>
      <c r="F1296" s="122">
        <f>IFERROR(__xludf.DUMMYFUNCTION("""COMPUTED_VALUE"""),-0.015)</f>
        <v>-0.015</v>
      </c>
      <c r="G1296" s="122">
        <f>IFERROR(__xludf.DUMMYFUNCTION("""COMPUTED_VALUE"""),0.75)</f>
        <v>0.75</v>
      </c>
      <c r="H1296" s="122" t="str">
        <f>IFERROR(__xludf.DUMMYFUNCTION("""COMPUTED_VALUE"""),"Active")</f>
        <v>Active</v>
      </c>
    </row>
    <row r="1297">
      <c r="A1297" s="131">
        <f>IFERROR(__xludf.DUMMYFUNCTION("""COMPUTED_VALUE"""),46182.331041666665)</f>
        <v>46182.33104</v>
      </c>
      <c r="B1297" s="122" t="str">
        <f>IFERROR(__xludf.DUMMYFUNCTION("""COMPUTED_VALUE"""),"BANK")</f>
        <v>BANK</v>
      </c>
      <c r="C1297" s="122" t="str">
        <f>IFERROR(__xludf.DUMMYFUNCTION("""COMPUTED_VALUE"""),"Tiger Bank surges as demand rises across the Finance sector.")</f>
        <v>Tiger Bank surges as demand rises across the Finance sector.</v>
      </c>
      <c r="D1297" s="122" t="str">
        <f>IFERROR(__xludf.DUMMYFUNCTION("""COMPUTED_VALUE"""),"Tiger Bank is seeing strong demand, which may increase investor confidence.")</f>
        <v>Tiger Bank is seeing strong demand, which may increase investor confidence.</v>
      </c>
      <c r="E1297" s="122" t="str">
        <f>IFERROR(__xludf.DUMMYFUNCTION("""COMPUTED_VALUE"""),"Positive")</f>
        <v>Positive</v>
      </c>
      <c r="F1297" s="122">
        <f>IFERROR(__xludf.DUMMYFUNCTION("""COMPUTED_VALUE"""),0.03)</f>
        <v>0.03</v>
      </c>
      <c r="G1297" s="122">
        <f>IFERROR(__xludf.DUMMYFUNCTION("""COMPUTED_VALUE"""),1.0)</f>
        <v>1</v>
      </c>
      <c r="H1297" s="122" t="str">
        <f>IFERROR(__xludf.DUMMYFUNCTION("""COMPUTED_VALUE"""),"Active")</f>
        <v>Active</v>
      </c>
    </row>
    <row r="1298">
      <c r="A1298" s="131">
        <f>IFERROR(__xludf.DUMMYFUNCTION("""COMPUTED_VALUE"""),46182.331041666665)</f>
        <v>46182.33104</v>
      </c>
      <c r="B1298" s="122" t="str">
        <f>IFERROR(__xludf.DUMMYFUNCTION("""COMPUTED_VALUE"""),"CRED")</f>
        <v>CRED</v>
      </c>
      <c r="C1298" s="122" t="str">
        <f>IFERROR(__xludf.DUMMYFUNCTION("""COMPUTED_VALUE"""),"Credit Castle remains stable as the Finance market shows normal activity.")</f>
        <v>Credit Castle remains stable as the Finance market shows normal activity.</v>
      </c>
      <c r="D1298" s="122" t="str">
        <f>IFERROR(__xludf.DUMMYFUNCTION("""COMPUTED_VALUE"""),"Credit Castle appears steady with no major changes reported.")</f>
        <v>Credit Castle appears steady with no major changes reported.</v>
      </c>
      <c r="E1298" s="122" t="str">
        <f>IFERROR(__xludf.DUMMYFUNCTION("""COMPUTED_VALUE"""),"Neutral")</f>
        <v>Neutral</v>
      </c>
      <c r="F1298" s="122">
        <f>IFERROR(__xludf.DUMMYFUNCTION("""COMPUTED_VALUE"""),0.0)</f>
        <v>0</v>
      </c>
      <c r="G1298" s="122">
        <f>IFERROR(__xludf.DUMMYFUNCTION("""COMPUTED_VALUE"""),0.0)</f>
        <v>0</v>
      </c>
      <c r="H1298" s="122" t="str">
        <f>IFERROR(__xludf.DUMMYFUNCTION("""COMPUTED_VALUE"""),"Active")</f>
        <v>Active</v>
      </c>
    </row>
    <row r="1299">
      <c r="A1299" s="131">
        <f>IFERROR(__xludf.DUMMYFUNCTION("""COMPUTED_VALUE"""),46182.33105324074)</f>
        <v>46182.33105</v>
      </c>
      <c r="B1299" s="122" t="str">
        <f>IFERROR(__xludf.DUMMYFUNCTION("""COMPUTED_VALUE"""),"BOND")</f>
        <v>BOND</v>
      </c>
      <c r="C1299" s="122" t="str">
        <f>IFERROR(__xludf.DUMMYFUNCTION("""COMPUTED_VALUE"""),"BondBridge faces weaker demand and cautious investor sentiment.")</f>
        <v>BondBridge faces weaker demand and cautious investor sentiment.</v>
      </c>
      <c r="D1299" s="122" t="str">
        <f>IFERROR(__xludf.DUMMYFUNCTION("""COMPUTED_VALUE"""),"Investors are watching BondBridge closely as demand weakens.")</f>
        <v>Investors are watching BondBridge closely as demand weakens.</v>
      </c>
      <c r="E1299" s="122" t="str">
        <f>IFERROR(__xludf.DUMMYFUNCTION("""COMPUTED_VALUE"""),"Negative")</f>
        <v>Negative</v>
      </c>
      <c r="F1299" s="122">
        <f>IFERROR(__xludf.DUMMYFUNCTION("""COMPUTED_VALUE"""),-0.015)</f>
        <v>-0.015</v>
      </c>
      <c r="G1299" s="122">
        <f>IFERROR(__xludf.DUMMYFUNCTION("""COMPUTED_VALUE"""),0.75)</f>
        <v>0.75</v>
      </c>
      <c r="H1299" s="122" t="str">
        <f>IFERROR(__xludf.DUMMYFUNCTION("""COMPUTED_VALUE"""),"Active")</f>
        <v>Active</v>
      </c>
    </row>
    <row r="1300">
      <c r="A1300" s="131">
        <f>IFERROR(__xludf.DUMMYFUNCTION("""COMPUTED_VALUE"""),46182.33106481482)</f>
        <v>46182.33106</v>
      </c>
      <c r="B1300" s="122" t="str">
        <f>IFERROR(__xludf.DUMMYFUNCTION("""COMPUTED_VALUE"""),"INSR")</f>
        <v>INSR</v>
      </c>
      <c r="C1300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1300" s="122" t="str">
        <f>IFERROR(__xludf.DUMMYFUNCTION("""COMPUTED_VALUE"""),"Shield Insurance appears steady with no major changes reported.")</f>
        <v>Shield Insurance appears steady with no major changes reported.</v>
      </c>
      <c r="E1300" s="122" t="str">
        <f>IFERROR(__xludf.DUMMYFUNCTION("""COMPUTED_VALUE"""),"Neutral")</f>
        <v>Neutral</v>
      </c>
      <c r="F1300" s="122">
        <f>IFERROR(__xludf.DUMMYFUNCTION("""COMPUTED_VALUE"""),0.0)</f>
        <v>0</v>
      </c>
      <c r="G1300" s="122">
        <f>IFERROR(__xludf.DUMMYFUNCTION("""COMPUTED_VALUE"""),0.0)</f>
        <v>0</v>
      </c>
      <c r="H1300" s="122" t="str">
        <f>IFERROR(__xludf.DUMMYFUNCTION("""COMPUTED_VALUE"""),"Active")</f>
        <v>Active</v>
      </c>
    </row>
    <row r="1301">
      <c r="A1301" s="131">
        <f>IFERROR(__xludf.DUMMYFUNCTION("""COMPUTED_VALUE"""),46182.33107638889)</f>
        <v>46182.33108</v>
      </c>
      <c r="B1301" s="122" t="str">
        <f>IFERROR(__xludf.DUMMYFUNCTION("""COMPUTED_VALUE"""),"LOAN")</f>
        <v>LOAN</v>
      </c>
      <c r="C1301" s="122" t="str">
        <f>IFERROR(__xludf.DUMMYFUNCTION("""COMPUTED_VALUE"""),"LoanLab sees uncertain trading as investors react to mixed signals.")</f>
        <v>LoanLab sees uncertain trading as investors react to mixed signals.</v>
      </c>
      <c r="D1301" s="122" t="str">
        <f>IFERROR(__xludf.DUMMYFUNCTION("""COMPUTED_VALUE"""),"LoanLab may experience larger price swings as investors disagree on direction.")</f>
        <v>LoanLab may experience larger price swings as investors disagree on direction.</v>
      </c>
      <c r="E1301" s="122" t="str">
        <f>IFERROR(__xludf.DUMMYFUNCTION("""COMPUTED_VALUE"""),"Mixed")</f>
        <v>Mixed</v>
      </c>
      <c r="F1301" s="122">
        <f>IFERROR(__xludf.DUMMYFUNCTION("""COMPUTED_VALUE"""),0.011626227705108263)</f>
        <v>0.01162622771</v>
      </c>
      <c r="G1301" s="122">
        <f>IFERROR(__xludf.DUMMYFUNCTION("""COMPUTED_VALUE"""),1.5)</f>
        <v>1.5</v>
      </c>
      <c r="H1301" s="122" t="str">
        <f>IFERROR(__xludf.DUMMYFUNCTION("""COMPUTED_VALUE"""),"Active")</f>
        <v>Active</v>
      </c>
    </row>
    <row r="1302">
      <c r="A1302" s="131">
        <f>IFERROR(__xludf.DUMMYFUNCTION("""COMPUTED_VALUE"""),46182.331087962964)</f>
        <v>46182.33109</v>
      </c>
      <c r="B1302" s="122" t="str">
        <f>IFERROR(__xludf.DUMMYFUNCTION("""COMPUTED_VALUE"""),"LUXE")</f>
        <v>LUXE</v>
      </c>
      <c r="C1302" s="122" t="str">
        <f>IFERROR(__xludf.DUMMYFUNCTION("""COMPUTED_VALUE"""),"Luxury Locker sees uncertain trading as investors react to mixed signals.")</f>
        <v>Luxury Locker sees uncertain trading as investors react to mixed signals.</v>
      </c>
      <c r="D1302" s="122" t="str">
        <f>IFERROR(__xludf.DUMMYFUNCTION("""COMPUTED_VALUE"""),"Luxury Locker may experience larger price swings as investors disagree on direction.")</f>
        <v>Luxury Locker may experience larger price swings as investors disagree on direction.</v>
      </c>
      <c r="E1302" s="122" t="str">
        <f>IFERROR(__xludf.DUMMYFUNCTION("""COMPUTED_VALUE"""),"Mixed")</f>
        <v>Mixed</v>
      </c>
      <c r="F1302" s="122">
        <f>IFERROR(__xludf.DUMMYFUNCTION("""COMPUTED_VALUE"""),0.016958552765313644)</f>
        <v>0.01695855277</v>
      </c>
      <c r="G1302" s="122">
        <f>IFERROR(__xludf.DUMMYFUNCTION("""COMPUTED_VALUE"""),1.5)</f>
        <v>1.5</v>
      </c>
      <c r="H1302" s="122" t="str">
        <f>IFERROR(__xludf.DUMMYFUNCTION("""COMPUTED_VALUE"""),"Active")</f>
        <v>Active</v>
      </c>
    </row>
    <row r="1303">
      <c r="A1303" s="131">
        <f>IFERROR(__xludf.DUMMYFUNCTION("""COMPUTED_VALUE"""),46182.331099537034)</f>
        <v>46182.3311</v>
      </c>
      <c r="B1303" s="122" t="str">
        <f>IFERROR(__xludf.DUMMYFUNCTION("""COMPUTED_VALUE"""),"DRIP")</f>
        <v>DRIP</v>
      </c>
      <c r="C1303" s="122" t="str">
        <f>IFERROR(__xludf.DUMMYFUNCTION("""COMPUTED_VALUE"""),"Drip Streetwear reports steady growth and improved market confidence.")</f>
        <v>Drip Streetwear reports steady growth and improved market confidence.</v>
      </c>
      <c r="D1303" s="122" t="str">
        <f>IFERROR(__xludf.DUMMYFUNCTION("""COMPUTED_VALUE"""),"Drip Streetwear continues to show positive momentum with moderate risk.")</f>
        <v>Drip Streetwear continues to show positive momentum with moderate risk.</v>
      </c>
      <c r="E1303" s="122" t="str">
        <f>IFERROR(__xludf.DUMMYFUNCTION("""COMPUTED_VALUE"""),"Positive")</f>
        <v>Positive</v>
      </c>
      <c r="F1303" s="122">
        <f>IFERROR(__xludf.DUMMYFUNCTION("""COMPUTED_VALUE"""),0.015)</f>
        <v>0.015</v>
      </c>
      <c r="G1303" s="122">
        <f>IFERROR(__xludf.DUMMYFUNCTION("""COMPUTED_VALUE"""),0.5)</f>
        <v>0.5</v>
      </c>
      <c r="H1303" s="122" t="str">
        <f>IFERROR(__xludf.DUMMYFUNCTION("""COMPUTED_VALUE"""),"Active")</f>
        <v>Active</v>
      </c>
    </row>
    <row r="1304">
      <c r="A1304" s="131">
        <f>IFERROR(__xludf.DUMMYFUNCTION("""COMPUTED_VALUE"""),46182.33111111111)</f>
        <v>46182.33111</v>
      </c>
      <c r="B1304" s="122" t="str">
        <f>IFERROR(__xludf.DUMMYFUNCTION("""COMPUTED_VALUE"""),"KICK")</f>
        <v>KICK</v>
      </c>
      <c r="C1304" s="122" t="str">
        <f>IFERROR(__xludf.DUMMYFUNCTION("""COMPUTED_VALUE"""),"KickDrop Sneakers reports steady growth and improved market confidence.")</f>
        <v>KickDrop Sneakers reports steady growth and improved market confidence.</v>
      </c>
      <c r="D1304" s="122" t="str">
        <f>IFERROR(__xludf.DUMMYFUNCTION("""COMPUTED_VALUE"""),"KickDrop Sneakers continues to show positive momentum with moderate risk.")</f>
        <v>KickDrop Sneakers continues to show positive momentum with moderate risk.</v>
      </c>
      <c r="E1304" s="122" t="str">
        <f>IFERROR(__xludf.DUMMYFUNCTION("""COMPUTED_VALUE"""),"Positive")</f>
        <v>Positive</v>
      </c>
      <c r="F1304" s="122">
        <f>IFERROR(__xludf.DUMMYFUNCTION("""COMPUTED_VALUE"""),0.015)</f>
        <v>0.015</v>
      </c>
      <c r="G1304" s="122">
        <f>IFERROR(__xludf.DUMMYFUNCTION("""COMPUTED_VALUE"""),0.5)</f>
        <v>0.5</v>
      </c>
      <c r="H1304" s="122" t="str">
        <f>IFERROR(__xludf.DUMMYFUNCTION("""COMPUTED_VALUE"""),"Active")</f>
        <v>Active</v>
      </c>
    </row>
    <row r="1305">
      <c r="A1305" s="131">
        <f>IFERROR(__xludf.DUMMYFUNCTION("""COMPUTED_VALUE"""),46182.33111111111)</f>
        <v>46182.33111</v>
      </c>
      <c r="B1305" s="122" t="str">
        <f>IFERROR(__xludf.DUMMYFUNCTION("""COMPUTED_VALUE"""),"GLAM")</f>
        <v>GLAM</v>
      </c>
      <c r="C1305" s="122" t="str">
        <f>IFERROR(__xludf.DUMMYFUNCTION("""COMPUTED_VALUE"""),"Glow Cosmetics sees uncertain trading as investors react to mixed signals.")</f>
        <v>Glow Cosmetics sees uncertain trading as investors react to mixed signals.</v>
      </c>
      <c r="D1305" s="122" t="str">
        <f>IFERROR(__xludf.DUMMYFUNCTION("""COMPUTED_VALUE"""),"Glow Cosmetics may experience larger price swings as investors disagree on direction.")</f>
        <v>Glow Cosmetics may experience larger price swings as investors disagree on direction.</v>
      </c>
      <c r="E1305" s="122" t="str">
        <f>IFERROR(__xludf.DUMMYFUNCTION("""COMPUTED_VALUE"""),"Mixed")</f>
        <v>Mixed</v>
      </c>
      <c r="F1305" s="122">
        <f>IFERROR(__xludf.DUMMYFUNCTION("""COMPUTED_VALUE"""),-0.01408008091711669)</f>
        <v>-0.01408008092</v>
      </c>
      <c r="G1305" s="122">
        <f>IFERROR(__xludf.DUMMYFUNCTION("""COMPUTED_VALUE"""),1.5)</f>
        <v>1.5</v>
      </c>
      <c r="H1305" s="122" t="str">
        <f>IFERROR(__xludf.DUMMYFUNCTION("""COMPUTED_VALUE"""),"Active")</f>
        <v>Active</v>
      </c>
    </row>
    <row r="1306">
      <c r="A1306" s="131">
        <f>IFERROR(__xludf.DUMMYFUNCTION("""COMPUTED_VALUE"""),46182.33112268519)</f>
        <v>46182.33112</v>
      </c>
      <c r="B1306" s="122" t="str">
        <f>IFERROR(__xludf.DUMMYFUNCTION("""COMPUTED_VALUE"""),"BAGG")</f>
        <v>BAGG</v>
      </c>
      <c r="C1306" s="122" t="str">
        <f>IFERROR(__xludf.DUMMYFUNCTION("""COMPUTED_VALUE"""),"BagVault remains stable as the Fashion market shows normal activity.")</f>
        <v>BagVault remains stable as the Fashion market shows normal activity.</v>
      </c>
      <c r="D1306" s="122" t="str">
        <f>IFERROR(__xludf.DUMMYFUNCTION("""COMPUTED_VALUE"""),"BagVault appears steady with no major changes reported.")</f>
        <v>BagVault appears steady with no major changes reported.</v>
      </c>
      <c r="E1306" s="122" t="str">
        <f>IFERROR(__xludf.DUMMYFUNCTION("""COMPUTED_VALUE"""),"Neutral")</f>
        <v>Neutral</v>
      </c>
      <c r="F1306" s="122">
        <f>IFERROR(__xludf.DUMMYFUNCTION("""COMPUTED_VALUE"""),0.0)</f>
        <v>0</v>
      </c>
      <c r="G1306" s="122">
        <f>IFERROR(__xludf.DUMMYFUNCTION("""COMPUTED_VALUE"""),0.0)</f>
        <v>0</v>
      </c>
      <c r="H1306" s="122" t="str">
        <f>IFERROR(__xludf.DUMMYFUNCTION("""COMPUTED_VALUE"""),"Active")</f>
        <v>Active</v>
      </c>
    </row>
    <row r="1307">
      <c r="A1307" s="131">
        <f>IFERROR(__xludf.DUMMYFUNCTION("""COMPUTED_VALUE"""),46182.33113425926)</f>
        <v>46182.33113</v>
      </c>
      <c r="B1307" s="122" t="str">
        <f>IFERROR(__xludf.DUMMYFUNCTION("""COMPUTED_VALUE"""),"FAST")</f>
        <v>FAST</v>
      </c>
      <c r="C1307" s="122" t="str">
        <f>IFERROR(__xludf.DUMMYFUNCTION("""COMPUTED_VALUE"""),"Flash Logistics faces weaker demand and cautious investor sentiment.")</f>
        <v>Flash Logistics faces weaker demand and cautious investor sentiment.</v>
      </c>
      <c r="D1307" s="122" t="str">
        <f>IFERROR(__xludf.DUMMYFUNCTION("""COMPUTED_VALUE"""),"Investors are watching Flash Logistics closely as demand weakens.")</f>
        <v>Investors are watching Flash Logistics closely as demand weakens.</v>
      </c>
      <c r="E1307" s="122" t="str">
        <f>IFERROR(__xludf.DUMMYFUNCTION("""COMPUTED_VALUE"""),"Negative")</f>
        <v>Negative</v>
      </c>
      <c r="F1307" s="122">
        <f>IFERROR(__xludf.DUMMYFUNCTION("""COMPUTED_VALUE"""),-0.015)</f>
        <v>-0.015</v>
      </c>
      <c r="G1307" s="122">
        <f>IFERROR(__xludf.DUMMYFUNCTION("""COMPUTED_VALUE"""),0.75)</f>
        <v>0.75</v>
      </c>
      <c r="H1307" s="122" t="str">
        <f>IFERROR(__xludf.DUMMYFUNCTION("""COMPUTED_VALUE"""),"Active")</f>
        <v>Active</v>
      </c>
    </row>
    <row r="1308">
      <c r="A1308" s="131">
        <f>IFERROR(__xludf.DUMMYFUNCTION("""COMPUTED_VALUE"""),46182.33113425926)</f>
        <v>46182.33113</v>
      </c>
      <c r="B1308" s="122" t="str">
        <f>IFERROR(__xludf.DUMMYFUNCTION("""COMPUTED_VALUE"""),"SHIP")</f>
        <v>SHIP</v>
      </c>
      <c r="C1308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308" s="122" t="str">
        <f>IFERROR(__xludf.DUMMYFUNCTION("""COMPUTED_VALUE"""),"Seoul Shipping appears steady with no major changes reported.")</f>
        <v>Seoul Shipping appears steady with no major changes reported.</v>
      </c>
      <c r="E1308" s="122" t="str">
        <f>IFERROR(__xludf.DUMMYFUNCTION("""COMPUTED_VALUE"""),"Neutral")</f>
        <v>Neutral</v>
      </c>
      <c r="F1308" s="122">
        <f>IFERROR(__xludf.DUMMYFUNCTION("""COMPUTED_VALUE"""),0.0)</f>
        <v>0</v>
      </c>
      <c r="G1308" s="122">
        <f>IFERROR(__xludf.DUMMYFUNCTION("""COMPUTED_VALUE"""),0.0)</f>
        <v>0</v>
      </c>
      <c r="H1308" s="122" t="str">
        <f>IFERROR(__xludf.DUMMYFUNCTION("""COMPUTED_VALUE"""),"Active")</f>
        <v>Active</v>
      </c>
    </row>
    <row r="1309">
      <c r="A1309" s="131">
        <f>IFERROR(__xludf.DUMMYFUNCTION("""COMPUTED_VALUE"""),46182.331145833334)</f>
        <v>46182.33115</v>
      </c>
      <c r="B1309" s="122" t="str">
        <f>IFERROR(__xludf.DUMMYFUNCTION("""COMPUTED_VALUE"""),"DRON")</f>
        <v>DRON</v>
      </c>
      <c r="C1309" s="122" t="str">
        <f>IFERROR(__xludf.DUMMYFUNCTION("""COMPUTED_VALUE"""),"DroneDrop sees uncertain trading as investors react to mixed signals.")</f>
        <v>DroneDrop sees uncertain trading as investors react to mixed signals.</v>
      </c>
      <c r="D1309" s="122" t="str">
        <f>IFERROR(__xludf.DUMMYFUNCTION("""COMPUTED_VALUE"""),"DroneDrop may experience larger price swings as investors disagree on direction.")</f>
        <v>DroneDrop may experience larger price swings as investors disagree on direction.</v>
      </c>
      <c r="E1309" s="122" t="str">
        <f>IFERROR(__xludf.DUMMYFUNCTION("""COMPUTED_VALUE"""),"Mixed")</f>
        <v>Mixed</v>
      </c>
      <c r="F1309" s="122">
        <f>IFERROR(__xludf.DUMMYFUNCTION("""COMPUTED_VALUE"""),-0.011190920683558377)</f>
        <v>-0.01119092068</v>
      </c>
      <c r="G1309" s="122">
        <f>IFERROR(__xludf.DUMMYFUNCTION("""COMPUTED_VALUE"""),1.5)</f>
        <v>1.5</v>
      </c>
      <c r="H1309" s="122" t="str">
        <f>IFERROR(__xludf.DUMMYFUNCTION("""COMPUTED_VALUE"""),"Active")</f>
        <v>Active</v>
      </c>
    </row>
    <row r="1310">
      <c r="A1310" s="131">
        <f>IFERROR(__xludf.DUMMYFUNCTION("""COMPUTED_VALUE"""),46182.33115740741)</f>
        <v>46182.33116</v>
      </c>
      <c r="B1310" s="122" t="str">
        <f>IFERROR(__xludf.DUMMYFUNCTION("""COMPUTED_VALUE"""),"RIDE")</f>
        <v>RIDE</v>
      </c>
      <c r="C1310" s="122" t="str">
        <f>IFERROR(__xludf.DUMMYFUNCTION("""COMPUTED_VALUE"""),"QuickRide reports steady growth and improved market confidence.")</f>
        <v>QuickRide reports steady growth and improved market confidence.</v>
      </c>
      <c r="D1310" s="122" t="str">
        <f>IFERROR(__xludf.DUMMYFUNCTION("""COMPUTED_VALUE"""),"QuickRide continues to show positive momentum with moderate risk.")</f>
        <v>QuickRide continues to show positive momentum with moderate risk.</v>
      </c>
      <c r="E1310" s="122" t="str">
        <f>IFERROR(__xludf.DUMMYFUNCTION("""COMPUTED_VALUE"""),"Positive")</f>
        <v>Positive</v>
      </c>
      <c r="F1310" s="122">
        <f>IFERROR(__xludf.DUMMYFUNCTION("""COMPUTED_VALUE"""),0.015)</f>
        <v>0.015</v>
      </c>
      <c r="G1310" s="122">
        <f>IFERROR(__xludf.DUMMYFUNCTION("""COMPUTED_VALUE"""),0.5)</f>
        <v>0.5</v>
      </c>
      <c r="H1310" s="122" t="str">
        <f>IFERROR(__xludf.DUMMYFUNCTION("""COMPUTED_VALUE"""),"Active")</f>
        <v>Active</v>
      </c>
    </row>
    <row r="1311">
      <c r="A1311" s="131">
        <f>IFERROR(__xludf.DUMMYFUNCTION("""COMPUTED_VALUE"""),46182.33118055556)</f>
        <v>46182.33118</v>
      </c>
      <c r="B1311" s="122" t="str">
        <f>IFERROR(__xludf.DUMMYFUNCTION("""COMPUTED_VALUE"""),"RAIL")</f>
        <v>RAIL</v>
      </c>
      <c r="C1311" s="122" t="str">
        <f>IFERROR(__xludf.DUMMYFUNCTION("""COMPUTED_VALUE"""),"MetroRail Corp faces weaker demand and cautious investor sentiment.")</f>
        <v>MetroRail Corp faces weaker demand and cautious investor sentiment.</v>
      </c>
      <c r="D1311" s="122" t="str">
        <f>IFERROR(__xludf.DUMMYFUNCTION("""COMPUTED_VALUE"""),"Investors are watching MetroRail Corp closely as demand weakens.")</f>
        <v>Investors are watching MetroRail Corp closely as demand weakens.</v>
      </c>
      <c r="E1311" s="122" t="str">
        <f>IFERROR(__xludf.DUMMYFUNCTION("""COMPUTED_VALUE"""),"Negative")</f>
        <v>Negative</v>
      </c>
      <c r="F1311" s="122">
        <f>IFERROR(__xludf.DUMMYFUNCTION("""COMPUTED_VALUE"""),-0.015)</f>
        <v>-0.015</v>
      </c>
      <c r="G1311" s="122">
        <f>IFERROR(__xludf.DUMMYFUNCTION("""COMPUTED_VALUE"""),0.75)</f>
        <v>0.75</v>
      </c>
      <c r="H1311" s="122" t="str">
        <f>IFERROR(__xludf.DUMMYFUNCTION("""COMPUTED_VALUE"""),"Active")</f>
        <v>Active</v>
      </c>
    </row>
    <row r="1312">
      <c r="A1312" s="131">
        <f>IFERROR(__xludf.DUMMYFUNCTION("""COMPUTED_VALUE"""),46182.331192129626)</f>
        <v>46182.33119</v>
      </c>
      <c r="B1312" s="122" t="str">
        <f>IFERROR(__xludf.DUMMYFUNCTION("""COMPUTED_VALUE"""),"MEDX")</f>
        <v>MEDX</v>
      </c>
      <c r="C1312" s="122" t="str">
        <f>IFERROR(__xludf.DUMMYFUNCTION("""COMPUTED_VALUE"""),"MediCore remains stable as the Healthcare market shows normal activity.")</f>
        <v>MediCore remains stable as the Healthcare market shows normal activity.</v>
      </c>
      <c r="D1312" s="122" t="str">
        <f>IFERROR(__xludf.DUMMYFUNCTION("""COMPUTED_VALUE"""),"MediCore appears steady with no major changes reported.")</f>
        <v>MediCore appears steady with no major changes reported.</v>
      </c>
      <c r="E1312" s="122" t="str">
        <f>IFERROR(__xludf.DUMMYFUNCTION("""COMPUTED_VALUE"""),"Neutral")</f>
        <v>Neutral</v>
      </c>
      <c r="F1312" s="122">
        <f>IFERROR(__xludf.DUMMYFUNCTION("""COMPUTED_VALUE"""),0.0)</f>
        <v>0</v>
      </c>
      <c r="G1312" s="122">
        <f>IFERROR(__xludf.DUMMYFUNCTION("""COMPUTED_VALUE"""),0.0)</f>
        <v>0</v>
      </c>
      <c r="H1312" s="122" t="str">
        <f>IFERROR(__xludf.DUMMYFUNCTION("""COMPUTED_VALUE"""),"Active")</f>
        <v>Active</v>
      </c>
    </row>
    <row r="1313">
      <c r="A1313" s="131">
        <f>IFERROR(__xludf.DUMMYFUNCTION("""COMPUTED_VALUE"""),46182.331192129626)</f>
        <v>46182.33119</v>
      </c>
      <c r="B1313" s="122" t="str">
        <f>IFERROR(__xludf.DUMMYFUNCTION("""COMPUTED_VALUE"""),"GYMX")</f>
        <v>GYMX</v>
      </c>
      <c r="C1313" s="122" t="str">
        <f>IFERROR(__xludf.DUMMYFUNCTION("""COMPUTED_VALUE"""),"GymX Fitness reports steady growth and improved market confidence.")</f>
        <v>GymX Fitness reports steady growth and improved market confidence.</v>
      </c>
      <c r="D1313" s="122" t="str">
        <f>IFERROR(__xludf.DUMMYFUNCTION("""COMPUTED_VALUE"""),"GymX Fitness continues to show positive momentum with moderate risk.")</f>
        <v>GymX Fitness continues to show positive momentum with moderate risk.</v>
      </c>
      <c r="E1313" s="122" t="str">
        <f>IFERROR(__xludf.DUMMYFUNCTION("""COMPUTED_VALUE"""),"Positive")</f>
        <v>Positive</v>
      </c>
      <c r="F1313" s="122">
        <f>IFERROR(__xludf.DUMMYFUNCTION("""COMPUTED_VALUE"""),0.015)</f>
        <v>0.015</v>
      </c>
      <c r="G1313" s="122">
        <f>IFERROR(__xludf.DUMMYFUNCTION("""COMPUTED_VALUE"""),0.5)</f>
        <v>0.5</v>
      </c>
      <c r="H1313" s="122" t="str">
        <f>IFERROR(__xludf.DUMMYFUNCTION("""COMPUTED_VALUE"""),"Active")</f>
        <v>Active</v>
      </c>
    </row>
    <row r="1314">
      <c r="A1314" s="131">
        <f>IFERROR(__xludf.DUMMYFUNCTION("""COMPUTED_VALUE"""),46182.3312037037)</f>
        <v>46182.3312</v>
      </c>
      <c r="B1314" s="122" t="str">
        <f>IFERROR(__xludf.DUMMYFUNCTION("""COMPUTED_VALUE"""),"VITA")</f>
        <v>VITA</v>
      </c>
      <c r="C1314" s="122" t="str">
        <f>IFERROR(__xludf.DUMMYFUNCTION("""COMPUTED_VALUE"""),"VitaPlus faces weaker demand and cautious investor sentiment.")</f>
        <v>VitaPlus faces weaker demand and cautious investor sentiment.</v>
      </c>
      <c r="D1314" s="122" t="str">
        <f>IFERROR(__xludf.DUMMYFUNCTION("""COMPUTED_VALUE"""),"Investors are watching VitaPlus closely as demand weakens.")</f>
        <v>Investors are watching VitaPlus closely as demand weakens.</v>
      </c>
      <c r="E1314" s="122" t="str">
        <f>IFERROR(__xludf.DUMMYFUNCTION("""COMPUTED_VALUE"""),"Negative")</f>
        <v>Negative</v>
      </c>
      <c r="F1314" s="122">
        <f>IFERROR(__xludf.DUMMYFUNCTION("""COMPUTED_VALUE"""),-0.015)</f>
        <v>-0.015</v>
      </c>
      <c r="G1314" s="122">
        <f>IFERROR(__xludf.DUMMYFUNCTION("""COMPUTED_VALUE"""),0.75)</f>
        <v>0.75</v>
      </c>
      <c r="H1314" s="122" t="str">
        <f>IFERROR(__xludf.DUMMYFUNCTION("""COMPUTED_VALUE"""),"Active")</f>
        <v>Active</v>
      </c>
    </row>
    <row r="1315">
      <c r="A1315" s="131">
        <f>IFERROR(__xludf.DUMMYFUNCTION("""COMPUTED_VALUE"""),46182.33121527778)</f>
        <v>46182.33122</v>
      </c>
      <c r="B1315" s="122" t="str">
        <f>IFERROR(__xludf.DUMMYFUNCTION("""COMPUTED_VALUE"""),"CARE")</f>
        <v>CARE</v>
      </c>
      <c r="C1315" s="122" t="str">
        <f>IFERROR(__xludf.DUMMYFUNCTION("""COMPUTED_VALUE"""),"CareCloud faces weaker demand and cautious investor sentiment.")</f>
        <v>CareCloud faces weaker demand and cautious investor sentiment.</v>
      </c>
      <c r="D1315" s="122" t="str">
        <f>IFERROR(__xludf.DUMMYFUNCTION("""COMPUTED_VALUE"""),"Investors are watching CareCloud closely as demand weakens.")</f>
        <v>Investors are watching CareCloud closely as demand weakens.</v>
      </c>
      <c r="E1315" s="122" t="str">
        <f>IFERROR(__xludf.DUMMYFUNCTION("""COMPUTED_VALUE"""),"Negative")</f>
        <v>Negative</v>
      </c>
      <c r="F1315" s="122">
        <f>IFERROR(__xludf.DUMMYFUNCTION("""COMPUTED_VALUE"""),-0.015)</f>
        <v>-0.015</v>
      </c>
      <c r="G1315" s="122">
        <f>IFERROR(__xludf.DUMMYFUNCTION("""COMPUTED_VALUE"""),0.75)</f>
        <v>0.75</v>
      </c>
      <c r="H1315" s="122" t="str">
        <f>IFERROR(__xludf.DUMMYFUNCTION("""COMPUTED_VALUE"""),"Active")</f>
        <v>Active</v>
      </c>
    </row>
    <row r="1316">
      <c r="A1316" s="131">
        <f>IFERROR(__xludf.DUMMYFUNCTION("""COMPUTED_VALUE"""),46182.33122685185)</f>
        <v>46182.33123</v>
      </c>
      <c r="B1316" s="122" t="str">
        <f>IFERROR(__xludf.DUMMYFUNCTION("""COMPUTED_VALUE"""),"DENT")</f>
        <v>DENT</v>
      </c>
      <c r="C1316" s="122" t="str">
        <f>IFERROR(__xludf.DUMMYFUNCTION("""COMPUTED_VALUE"""),"SmileWorks remains stable as the Healthcare market shows normal activity.")</f>
        <v>SmileWorks remains stable as the Healthcare market shows normal activity.</v>
      </c>
      <c r="D1316" s="122" t="str">
        <f>IFERROR(__xludf.DUMMYFUNCTION("""COMPUTED_VALUE"""),"SmileWorks appears steady with no major changes reported.")</f>
        <v>SmileWorks appears steady with no major changes reported.</v>
      </c>
      <c r="E1316" s="122" t="str">
        <f>IFERROR(__xludf.DUMMYFUNCTION("""COMPUTED_VALUE"""),"Neutral")</f>
        <v>Neutral</v>
      </c>
      <c r="F1316" s="122">
        <f>IFERROR(__xludf.DUMMYFUNCTION("""COMPUTED_VALUE"""),0.0)</f>
        <v>0</v>
      </c>
      <c r="G1316" s="122">
        <f>IFERROR(__xludf.DUMMYFUNCTION("""COMPUTED_VALUE"""),0.0)</f>
        <v>0</v>
      </c>
      <c r="H1316" s="122" t="str">
        <f>IFERROR(__xludf.DUMMYFUNCTION("""COMPUTED_VALUE"""),"Active")</f>
        <v>Active</v>
      </c>
    </row>
    <row r="1317">
      <c r="A1317" s="131">
        <f>IFERROR(__xludf.DUMMYFUNCTION("""COMPUTED_VALUE"""),46182.33122685185)</f>
        <v>46182.33123</v>
      </c>
      <c r="B1317" s="122" t="str">
        <f>IFERROR(__xludf.DUMMYFUNCTION("""COMPUTED_VALUE"""),"EDUX")</f>
        <v>EDUX</v>
      </c>
      <c r="C1317" s="122" t="str">
        <f>IFERROR(__xludf.DUMMYFUNCTION("""COMPUTED_VALUE"""),"EduMax Learning faces weaker demand and cautious investor sentiment.")</f>
        <v>EduMax Learning faces weaker demand and cautious investor sentiment.</v>
      </c>
      <c r="D1317" s="122" t="str">
        <f>IFERROR(__xludf.DUMMYFUNCTION("""COMPUTED_VALUE"""),"Investors are watching EduMax Learning closely as demand weakens.")</f>
        <v>Investors are watching EduMax Learning closely as demand weakens.</v>
      </c>
      <c r="E1317" s="122" t="str">
        <f>IFERROR(__xludf.DUMMYFUNCTION("""COMPUTED_VALUE"""),"Negative")</f>
        <v>Negative</v>
      </c>
      <c r="F1317" s="122">
        <f>IFERROR(__xludf.DUMMYFUNCTION("""COMPUTED_VALUE"""),-0.015)</f>
        <v>-0.015</v>
      </c>
      <c r="G1317" s="122">
        <f>IFERROR(__xludf.DUMMYFUNCTION("""COMPUTED_VALUE"""),0.75)</f>
        <v>0.75</v>
      </c>
      <c r="H1317" s="122" t="str">
        <f>IFERROR(__xludf.DUMMYFUNCTION("""COMPUTED_VALUE"""),"Active")</f>
        <v>Active</v>
      </c>
    </row>
    <row r="1318">
      <c r="A1318" s="131">
        <f>IFERROR(__xludf.DUMMYFUNCTION("""COMPUTED_VALUE"""),46182.331238425926)</f>
        <v>46182.33124</v>
      </c>
      <c r="B1318" s="122" t="str">
        <f>IFERROR(__xludf.DUMMYFUNCTION("""COMPUTED_VALUE"""),"BOOK")</f>
        <v>BOOK</v>
      </c>
      <c r="C1318" s="122" t="str">
        <f>IFERROR(__xludf.DUMMYFUNCTION("""COMPUTED_VALUE"""),"BookBridge faces weaker demand and cautious investor sentiment.")</f>
        <v>BookBridge faces weaker demand and cautious investor sentiment.</v>
      </c>
      <c r="D1318" s="122" t="str">
        <f>IFERROR(__xludf.DUMMYFUNCTION("""COMPUTED_VALUE"""),"Investors are watching BookBridge closely as demand weakens.")</f>
        <v>Investors are watching BookBridge closely as demand weakens.</v>
      </c>
      <c r="E1318" s="122" t="str">
        <f>IFERROR(__xludf.DUMMYFUNCTION("""COMPUTED_VALUE"""),"Negative")</f>
        <v>Negative</v>
      </c>
      <c r="F1318" s="122">
        <f>IFERROR(__xludf.DUMMYFUNCTION("""COMPUTED_VALUE"""),-0.015)</f>
        <v>-0.015</v>
      </c>
      <c r="G1318" s="122">
        <f>IFERROR(__xludf.DUMMYFUNCTION("""COMPUTED_VALUE"""),0.75)</f>
        <v>0.75</v>
      </c>
      <c r="H1318" s="122" t="str">
        <f>IFERROR(__xludf.DUMMYFUNCTION("""COMPUTED_VALUE"""),"Active")</f>
        <v>Active</v>
      </c>
    </row>
    <row r="1319">
      <c r="A1319" s="131">
        <f>IFERROR(__xludf.DUMMYFUNCTION("""COMPUTED_VALUE"""),46182.33125)</f>
        <v>46182.33125</v>
      </c>
      <c r="B1319" s="122" t="str">
        <f>IFERROR(__xludf.DUMMYFUNCTION("""COMPUTED_VALUE"""),"TUTR")</f>
        <v>TUTR</v>
      </c>
      <c r="C1319" s="122" t="str">
        <f>IFERROR(__xludf.DUMMYFUNCTION("""COMPUTED_VALUE"""),"TutorTown faces weaker demand and cautious investor sentiment.")</f>
        <v>TutorTown faces weaker demand and cautious investor sentiment.</v>
      </c>
      <c r="D1319" s="122" t="str">
        <f>IFERROR(__xludf.DUMMYFUNCTION("""COMPUTED_VALUE"""),"Investors are watching TutorTown closely as demand weakens.")</f>
        <v>Investors are watching TutorTown closely as demand weakens.</v>
      </c>
      <c r="E1319" s="122" t="str">
        <f>IFERROR(__xludf.DUMMYFUNCTION("""COMPUTED_VALUE"""),"Negative")</f>
        <v>Negative</v>
      </c>
      <c r="F1319" s="122">
        <f>IFERROR(__xludf.DUMMYFUNCTION("""COMPUTED_VALUE"""),-0.015)</f>
        <v>-0.015</v>
      </c>
      <c r="G1319" s="122">
        <f>IFERROR(__xludf.DUMMYFUNCTION("""COMPUTED_VALUE"""),0.75)</f>
        <v>0.75</v>
      </c>
      <c r="H1319" s="122" t="str">
        <f>IFERROR(__xludf.DUMMYFUNCTION("""COMPUTED_VALUE"""),"Active")</f>
        <v>Active</v>
      </c>
    </row>
    <row r="1320">
      <c r="A1320" s="131">
        <f>IFERROR(__xludf.DUMMYFUNCTION("""COMPUTED_VALUE"""),46182.33125)</f>
        <v>46182.33125</v>
      </c>
      <c r="B1320" s="122" t="str">
        <f>IFERROR(__xludf.DUMMYFUNCTION("""COMPUTED_VALUE"""),"LANG")</f>
        <v>LANG</v>
      </c>
      <c r="C1320" s="122" t="str">
        <f>IFERROR(__xludf.DUMMYFUNCTION("""COMPUTED_VALUE"""),"LinguaLab faces weaker demand and cautious investor sentiment.")</f>
        <v>LinguaLab faces weaker demand and cautious investor sentiment.</v>
      </c>
      <c r="D1320" s="122" t="str">
        <f>IFERROR(__xludf.DUMMYFUNCTION("""COMPUTED_VALUE"""),"Investors are watching LinguaLab closely as demand weakens.")</f>
        <v>Investors are watching LinguaLab closely as demand weakens.</v>
      </c>
      <c r="E1320" s="122" t="str">
        <f>IFERROR(__xludf.DUMMYFUNCTION("""COMPUTED_VALUE"""),"Negative")</f>
        <v>Negative</v>
      </c>
      <c r="F1320" s="122">
        <f>IFERROR(__xludf.DUMMYFUNCTION("""COMPUTED_VALUE"""),-0.015)</f>
        <v>-0.015</v>
      </c>
      <c r="G1320" s="122">
        <f>IFERROR(__xludf.DUMMYFUNCTION("""COMPUTED_VALUE"""),0.75)</f>
        <v>0.75</v>
      </c>
      <c r="H1320" s="122" t="str">
        <f>IFERROR(__xludf.DUMMYFUNCTION("""COMPUTED_VALUE"""),"Active")</f>
        <v>Active</v>
      </c>
    </row>
    <row r="1321">
      <c r="A1321" s="131">
        <f>IFERROR(__xludf.DUMMYFUNCTION("""COMPUTED_VALUE"""),46182.33126157407)</f>
        <v>46182.33126</v>
      </c>
      <c r="B1321" s="122" t="str">
        <f>IFERROR(__xludf.DUMMYFUNCTION("""COMPUTED_VALUE"""),"TEST")</f>
        <v>TEST</v>
      </c>
      <c r="C1321" s="122" t="str">
        <f>IFERROR(__xludf.DUMMYFUNCTION("""COMPUTED_VALUE"""),"TestPrep Pro reports steady growth and improved market confidence.")</f>
        <v>TestPrep Pro reports steady growth and improved market confidence.</v>
      </c>
      <c r="D1321" s="122" t="str">
        <f>IFERROR(__xludf.DUMMYFUNCTION("""COMPUTED_VALUE"""),"TestPrep Pro continues to show positive momentum with moderate risk.")</f>
        <v>TestPrep Pro continues to show positive momentum with moderate risk.</v>
      </c>
      <c r="E1321" s="122" t="str">
        <f>IFERROR(__xludf.DUMMYFUNCTION("""COMPUTED_VALUE"""),"Positive")</f>
        <v>Positive</v>
      </c>
      <c r="F1321" s="122">
        <f>IFERROR(__xludf.DUMMYFUNCTION("""COMPUTED_VALUE"""),0.015)</f>
        <v>0.015</v>
      </c>
      <c r="G1321" s="122">
        <f>IFERROR(__xludf.DUMMYFUNCTION("""COMPUTED_VALUE"""),0.5)</f>
        <v>0.5</v>
      </c>
      <c r="H1321" s="122" t="str">
        <f>IFERROR(__xludf.DUMMYFUNCTION("""COMPUTED_VALUE"""),"Active")</f>
        <v>Active</v>
      </c>
    </row>
    <row r="1322">
      <c r="A1322" s="131">
        <f>IFERROR(__xludf.DUMMYFUNCTION("""COMPUTED_VALUE"""),46182.33127314815)</f>
        <v>46182.33127</v>
      </c>
      <c r="B1322" s="122" t="str">
        <f>IFERROR(__xludf.DUMMYFUNCTION("""COMPUTED_VALUE"""),"MOVI")</f>
        <v>MOVI</v>
      </c>
      <c r="C1322" s="122" t="str">
        <f>IFERROR(__xludf.DUMMYFUNCTION("""COMPUTED_VALUE"""),"MovieBox remains stable as the Entertainment market shows normal activity.")</f>
        <v>MovieBox remains stable as the Entertainment market shows normal activity.</v>
      </c>
      <c r="D1322" s="122" t="str">
        <f>IFERROR(__xludf.DUMMYFUNCTION("""COMPUTED_VALUE"""),"MovieBox appears steady with no major changes reported.")</f>
        <v>MovieBox appears steady with no major changes reported.</v>
      </c>
      <c r="E1322" s="122" t="str">
        <f>IFERROR(__xludf.DUMMYFUNCTION("""COMPUTED_VALUE"""),"Neutral")</f>
        <v>Neutral</v>
      </c>
      <c r="F1322" s="122">
        <f>IFERROR(__xludf.DUMMYFUNCTION("""COMPUTED_VALUE"""),0.0)</f>
        <v>0</v>
      </c>
      <c r="G1322" s="122">
        <f>IFERROR(__xludf.DUMMYFUNCTION("""COMPUTED_VALUE"""),0.0)</f>
        <v>0</v>
      </c>
      <c r="H1322" s="122" t="str">
        <f>IFERROR(__xludf.DUMMYFUNCTION("""COMPUTED_VALUE"""),"Active")</f>
        <v>Active</v>
      </c>
    </row>
    <row r="1323">
      <c r="A1323" s="131">
        <f>IFERROR(__xludf.DUMMYFUNCTION("""COMPUTED_VALUE"""),46182.33127314815)</f>
        <v>46182.33127</v>
      </c>
      <c r="B1323" s="122" t="str">
        <f>IFERROR(__xludf.DUMMYFUNCTION("""COMPUTED_VALUE"""),"MUSC")</f>
        <v>MUSC</v>
      </c>
      <c r="C1323" s="122" t="str">
        <f>IFERROR(__xludf.DUMMYFUNCTION("""COMPUTED_VALUE"""),"MusicWave faces weaker demand and cautious investor sentiment.")</f>
        <v>MusicWave faces weaker demand and cautious investor sentiment.</v>
      </c>
      <c r="D1323" s="122" t="str">
        <f>IFERROR(__xludf.DUMMYFUNCTION("""COMPUTED_VALUE"""),"Investors are watching MusicWave closely as demand weakens.")</f>
        <v>Investors are watching MusicWave closely as demand weakens.</v>
      </c>
      <c r="E1323" s="122" t="str">
        <f>IFERROR(__xludf.DUMMYFUNCTION("""COMPUTED_VALUE"""),"Negative")</f>
        <v>Negative</v>
      </c>
      <c r="F1323" s="122">
        <f>IFERROR(__xludf.DUMMYFUNCTION("""COMPUTED_VALUE"""),-0.015)</f>
        <v>-0.015</v>
      </c>
      <c r="G1323" s="122">
        <f>IFERROR(__xludf.DUMMYFUNCTION("""COMPUTED_VALUE"""),0.75)</f>
        <v>0.75</v>
      </c>
      <c r="H1323" s="122" t="str">
        <f>IFERROR(__xludf.DUMMYFUNCTION("""COMPUTED_VALUE"""),"Active")</f>
        <v>Active</v>
      </c>
    </row>
    <row r="1324">
      <c r="A1324" s="131">
        <f>IFERROR(__xludf.DUMMYFUNCTION("""COMPUTED_VALUE"""),46182.331296296295)</f>
        <v>46182.3313</v>
      </c>
      <c r="B1324" s="122" t="str">
        <f>IFERROR(__xludf.DUMMYFUNCTION("""COMPUTED_VALUE"""),"IDOL")</f>
        <v>IDOL</v>
      </c>
      <c r="C1324" s="122" t="str">
        <f>IFERROR(__xludf.DUMMYFUNCTION("""COMPUTED_VALUE"""),"Idol Agency drops sharply after major concerns hit the market.")</f>
        <v>Idol Agency drops sharply after major concerns hit the market.</v>
      </c>
      <c r="D1324" s="122" t="str">
        <f>IFERROR(__xludf.DUMMYFUNCTION("""COMPUTED_VALUE"""),"Idol Agency is under pressure as investors react to worsening conditions.")</f>
        <v>Idol Agency is under pressure as investors react to worsening conditions.</v>
      </c>
      <c r="E1324" s="122" t="str">
        <f>IFERROR(__xludf.DUMMYFUNCTION("""COMPUTED_VALUE"""),"Negative")</f>
        <v>Negative</v>
      </c>
      <c r="F1324" s="122">
        <f>IFERROR(__xludf.DUMMYFUNCTION("""COMPUTED_VALUE"""),-0.04)</f>
        <v>-0.04</v>
      </c>
      <c r="G1324" s="122">
        <f>IFERROR(__xludf.DUMMYFUNCTION("""COMPUTED_VALUE"""),2.0)</f>
        <v>2</v>
      </c>
      <c r="H1324" s="122" t="str">
        <f>IFERROR(__xludf.DUMMYFUNCTION("""COMPUTED_VALUE"""),"Active")</f>
        <v>Active</v>
      </c>
    </row>
    <row r="1325">
      <c r="A1325" s="131">
        <f>IFERROR(__xludf.DUMMYFUNCTION("""COMPUTED_VALUE"""),46182.331296296295)</f>
        <v>46182.3313</v>
      </c>
      <c r="B1325" s="122" t="str">
        <f>IFERROR(__xludf.DUMMYFUNCTION("""COMPUTED_VALUE"""),"MEME")</f>
        <v>MEME</v>
      </c>
      <c r="C1325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1325" s="122" t="str">
        <f>IFERROR(__xludf.DUMMYFUNCTION("""COMPUTED_VALUE"""),"Meme Media appears steady with no major changes reported.")</f>
        <v>Meme Media appears steady with no major changes reported.</v>
      </c>
      <c r="E1325" s="122" t="str">
        <f>IFERROR(__xludf.DUMMYFUNCTION("""COMPUTED_VALUE"""),"Neutral")</f>
        <v>Neutral</v>
      </c>
      <c r="F1325" s="122">
        <f>IFERROR(__xludf.DUMMYFUNCTION("""COMPUTED_VALUE"""),0.0)</f>
        <v>0</v>
      </c>
      <c r="G1325" s="122">
        <f>IFERROR(__xludf.DUMMYFUNCTION("""COMPUTED_VALUE"""),0.0)</f>
        <v>0</v>
      </c>
      <c r="H1325" s="122" t="str">
        <f>IFERROR(__xludf.DUMMYFUNCTION("""COMPUTED_VALUE"""),"Active")</f>
        <v>Active</v>
      </c>
    </row>
    <row r="1326">
      <c r="A1326" s="131">
        <f>IFERROR(__xludf.DUMMYFUNCTION("""COMPUTED_VALUE"""),46182.33130787037)</f>
        <v>46182.33131</v>
      </c>
      <c r="B1326" s="122" t="str">
        <f>IFERROR(__xludf.DUMMYFUNCTION("""COMPUTED_VALUE"""),"STRM")</f>
        <v>STRM</v>
      </c>
      <c r="C1326" s="122" t="str">
        <f>IFERROR(__xludf.DUMMYFUNCTION("""COMPUTED_VALUE"""),"Streamly remains stable as the Entertainment market shows normal activity.")</f>
        <v>Streamly remains stable as the Entertainment market shows normal activity.</v>
      </c>
      <c r="D1326" s="122" t="str">
        <f>IFERROR(__xludf.DUMMYFUNCTION("""COMPUTED_VALUE"""),"Streamly appears steady with no major changes reported.")</f>
        <v>Streamly appears steady with no major changes reported.</v>
      </c>
      <c r="E1326" s="122" t="str">
        <f>IFERROR(__xludf.DUMMYFUNCTION("""COMPUTED_VALUE"""),"Neutral")</f>
        <v>Neutral</v>
      </c>
      <c r="F1326" s="122">
        <f>IFERROR(__xludf.DUMMYFUNCTION("""COMPUTED_VALUE"""),0.0)</f>
        <v>0</v>
      </c>
      <c r="G1326" s="122">
        <f>IFERROR(__xludf.DUMMYFUNCTION("""COMPUTED_VALUE"""),0.0)</f>
        <v>0</v>
      </c>
      <c r="H1326" s="122" t="str">
        <f>IFERROR(__xludf.DUMMYFUNCTION("""COMPUTED_VALUE"""),"Active")</f>
        <v>Active</v>
      </c>
    </row>
    <row r="1327">
      <c r="A1327" s="131">
        <f>IFERROR(__xludf.DUMMYFUNCTION("""COMPUTED_VALUE"""),46182.33131944444)</f>
        <v>46182.33132</v>
      </c>
      <c r="B1327" s="122" t="str">
        <f>IFERROR(__xludf.DUMMYFUNCTION("""COMPUTED_VALUE"""),"FARM")</f>
        <v>FARM</v>
      </c>
      <c r="C1327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327" s="122" t="str">
        <f>IFERROR(__xludf.DUMMYFUNCTION("""COMPUTED_VALUE"""),"Future Farms appears steady with no major changes reported.")</f>
        <v>Future Farms appears steady with no major changes reported.</v>
      </c>
      <c r="E1327" s="122" t="str">
        <f>IFERROR(__xludf.DUMMYFUNCTION("""COMPUTED_VALUE"""),"Neutral")</f>
        <v>Neutral</v>
      </c>
      <c r="F1327" s="122">
        <f>IFERROR(__xludf.DUMMYFUNCTION("""COMPUTED_VALUE"""),0.0)</f>
        <v>0</v>
      </c>
      <c r="G1327" s="122">
        <f>IFERROR(__xludf.DUMMYFUNCTION("""COMPUTED_VALUE"""),0.0)</f>
        <v>0</v>
      </c>
      <c r="H1327" s="122" t="str">
        <f>IFERROR(__xludf.DUMMYFUNCTION("""COMPUTED_VALUE"""),"Active")</f>
        <v>Active</v>
      </c>
    </row>
    <row r="1328">
      <c r="A1328" s="131">
        <f>IFERROR(__xludf.DUMMYFUNCTION("""COMPUTED_VALUE"""),46182.33133101852)</f>
        <v>46182.33133</v>
      </c>
      <c r="B1328" s="122" t="str">
        <f>IFERROR(__xludf.DUMMYFUNCTION("""COMPUTED_VALUE"""),"MEAT")</f>
        <v>MEAT</v>
      </c>
      <c r="C1328" s="122" t="str">
        <f>IFERROR(__xludf.DUMMYFUNCTION("""COMPUTED_VALUE"""),"MeatWorks remains stable as the Food market shows normal activity.")</f>
        <v>MeatWorks remains stable as the Food market shows normal activity.</v>
      </c>
      <c r="D1328" s="122" t="str">
        <f>IFERROR(__xludf.DUMMYFUNCTION("""COMPUTED_VALUE"""),"MeatWorks appears steady with no major changes reported.")</f>
        <v>MeatWorks appears steady with no major changes reported.</v>
      </c>
      <c r="E1328" s="122" t="str">
        <f>IFERROR(__xludf.DUMMYFUNCTION("""COMPUTED_VALUE"""),"Neutral")</f>
        <v>Neutral</v>
      </c>
      <c r="F1328" s="122">
        <f>IFERROR(__xludf.DUMMYFUNCTION("""COMPUTED_VALUE"""),0.0)</f>
        <v>0</v>
      </c>
      <c r="G1328" s="122">
        <f>IFERROR(__xludf.DUMMYFUNCTION("""COMPUTED_VALUE"""),0.0)</f>
        <v>0</v>
      </c>
      <c r="H1328" s="122" t="str">
        <f>IFERROR(__xludf.DUMMYFUNCTION("""COMPUTED_VALUE"""),"Active")</f>
        <v>Active</v>
      </c>
    </row>
    <row r="1329">
      <c r="A1329" s="131">
        <f>IFERROR(__xludf.DUMMYFUNCTION("""COMPUTED_VALUE"""),46182.331342592595)</f>
        <v>46182.33134</v>
      </c>
      <c r="B1329" s="122" t="str">
        <f>IFERROR(__xludf.DUMMYFUNCTION("""COMPUTED_VALUE"""),"VEGI")</f>
        <v>VEGI</v>
      </c>
      <c r="C1329" s="122" t="str">
        <f>IFERROR(__xludf.DUMMYFUNCTION("""COMPUTED_VALUE"""),"Green Basket surges as demand rises across the Food sector.")</f>
        <v>Green Basket surges as demand rises across the Food sector.</v>
      </c>
      <c r="D1329" s="122" t="str">
        <f>IFERROR(__xludf.DUMMYFUNCTION("""COMPUTED_VALUE"""),"Green Basket is seeing strong demand, which may increase investor confidence.")</f>
        <v>Green Basket is seeing strong demand, which may increase investor confidence.</v>
      </c>
      <c r="E1329" s="122" t="str">
        <f>IFERROR(__xludf.DUMMYFUNCTION("""COMPUTED_VALUE"""),"Positive")</f>
        <v>Positive</v>
      </c>
      <c r="F1329" s="122">
        <f>IFERROR(__xludf.DUMMYFUNCTION("""COMPUTED_VALUE"""),0.03)</f>
        <v>0.03</v>
      </c>
      <c r="G1329" s="122">
        <f>IFERROR(__xludf.DUMMYFUNCTION("""COMPUTED_VALUE"""),1.0)</f>
        <v>1</v>
      </c>
      <c r="H1329" s="122" t="str">
        <f>IFERROR(__xludf.DUMMYFUNCTION("""COMPUTED_VALUE"""),"Active")</f>
        <v>Active</v>
      </c>
    </row>
    <row r="1330">
      <c r="A1330" s="131">
        <f>IFERROR(__xludf.DUMMYFUNCTION("""COMPUTED_VALUE"""),46182.331342592595)</f>
        <v>46182.33134</v>
      </c>
      <c r="B1330" s="122" t="str">
        <f>IFERROR(__xludf.DUMMYFUNCTION("""COMPUTED_VALUE"""),"CAFE")</f>
        <v>CAFE</v>
      </c>
      <c r="C1330" s="122" t="str">
        <f>IFERROR(__xludf.DUMMYFUNCTION("""COMPUTED_VALUE"""),"Cafe Cloud remains stable as the Food market shows normal activity.")</f>
        <v>Cafe Cloud remains stable as the Food market shows normal activity.</v>
      </c>
      <c r="D1330" s="122" t="str">
        <f>IFERROR(__xludf.DUMMYFUNCTION("""COMPUTED_VALUE"""),"Cafe Cloud appears steady with no major changes reported.")</f>
        <v>Cafe Cloud appears steady with no major changes reported.</v>
      </c>
      <c r="E1330" s="122" t="str">
        <f>IFERROR(__xludf.DUMMYFUNCTION("""COMPUTED_VALUE"""),"Neutral")</f>
        <v>Neutral</v>
      </c>
      <c r="F1330" s="122">
        <f>IFERROR(__xludf.DUMMYFUNCTION("""COMPUTED_VALUE"""),0.0)</f>
        <v>0</v>
      </c>
      <c r="G1330" s="122">
        <f>IFERROR(__xludf.DUMMYFUNCTION("""COMPUTED_VALUE"""),0.0)</f>
        <v>0</v>
      </c>
      <c r="H1330" s="122" t="str">
        <f>IFERROR(__xludf.DUMMYFUNCTION("""COMPUTED_VALUE"""),"Active")</f>
        <v>Active</v>
      </c>
    </row>
    <row r="1331">
      <c r="A1331" s="131">
        <f>IFERROR(__xludf.DUMMYFUNCTION("""COMPUTED_VALUE"""),46182.331354166665)</f>
        <v>46182.33135</v>
      </c>
      <c r="B1331" s="122" t="str">
        <f>IFERROR(__xludf.DUMMYFUNCTION("""COMPUTED_VALUE"""),"BAKE")</f>
        <v>BAKE</v>
      </c>
      <c r="C1331" s="122" t="str">
        <f>IFERROR(__xludf.DUMMYFUNCTION("""COMPUTED_VALUE"""),"BakeHouse reports steady growth and improved market confidence.")</f>
        <v>BakeHouse reports steady growth and improved market confidence.</v>
      </c>
      <c r="D1331" s="122" t="str">
        <f>IFERROR(__xludf.DUMMYFUNCTION("""COMPUTED_VALUE"""),"BakeHouse continues to show positive momentum with moderate risk.")</f>
        <v>BakeHouse continues to show positive momentum with moderate risk.</v>
      </c>
      <c r="E1331" s="122" t="str">
        <f>IFERROR(__xludf.DUMMYFUNCTION("""COMPUTED_VALUE"""),"Positive")</f>
        <v>Positive</v>
      </c>
      <c r="F1331" s="122">
        <f>IFERROR(__xludf.DUMMYFUNCTION("""COMPUTED_VALUE"""),0.015)</f>
        <v>0.015</v>
      </c>
      <c r="G1331" s="122">
        <f>IFERROR(__xludf.DUMMYFUNCTION("""COMPUTED_VALUE"""),0.5)</f>
        <v>0.5</v>
      </c>
      <c r="H1331" s="122" t="str">
        <f>IFERROR(__xludf.DUMMYFUNCTION("""COMPUTED_VALUE"""),"Active")</f>
        <v>Active</v>
      </c>
    </row>
    <row r="1332">
      <c r="A1332" s="131">
        <f>IFERROR(__xludf.DUMMYFUNCTION("""COMPUTED_VALUE"""),46182.33136574074)</f>
        <v>46182.33137</v>
      </c>
      <c r="B1332" s="122" t="str">
        <f>IFERROR(__xludf.DUMMYFUNCTION("""COMPUTED_VALUE"""),"OILX")</f>
        <v>OILX</v>
      </c>
      <c r="C1332" s="122" t="str">
        <f>IFERROR(__xludf.DUMMYFUNCTION("""COMPUTED_VALUE"""),"OilMax Energy remains stable as the Energy market shows normal activity.")</f>
        <v>OilMax Energy remains stable as the Energy market shows normal activity.</v>
      </c>
      <c r="D1332" s="122" t="str">
        <f>IFERROR(__xludf.DUMMYFUNCTION("""COMPUTED_VALUE"""),"OilMax Energy appears steady with no major changes reported.")</f>
        <v>OilMax Energy appears steady with no major changes reported.</v>
      </c>
      <c r="E1332" s="122" t="str">
        <f>IFERROR(__xludf.DUMMYFUNCTION("""COMPUTED_VALUE"""),"Neutral")</f>
        <v>Neutral</v>
      </c>
      <c r="F1332" s="122">
        <f>IFERROR(__xludf.DUMMYFUNCTION("""COMPUTED_VALUE"""),0.0)</f>
        <v>0</v>
      </c>
      <c r="G1332" s="122">
        <f>IFERROR(__xludf.DUMMYFUNCTION("""COMPUTED_VALUE"""),0.0)</f>
        <v>0</v>
      </c>
      <c r="H1332" s="122" t="str">
        <f>IFERROR(__xludf.DUMMYFUNCTION("""COMPUTED_VALUE"""),"Active")</f>
        <v>Active</v>
      </c>
    </row>
    <row r="1333">
      <c r="A1333" s="131">
        <f>IFERROR(__xludf.DUMMYFUNCTION("""COMPUTED_VALUE"""),46182.33136574074)</f>
        <v>46182.33137</v>
      </c>
      <c r="B1333" s="122" t="str">
        <f>IFERROR(__xludf.DUMMYFUNCTION("""COMPUTED_VALUE"""),"SOLR")</f>
        <v>SOLR</v>
      </c>
      <c r="C1333" s="122" t="str">
        <f>IFERROR(__xludf.DUMMYFUNCTION("""COMPUTED_VALUE"""),"SolarSpark remains stable as the Energy market shows normal activity.")</f>
        <v>SolarSpark remains stable as the Energy market shows normal activity.</v>
      </c>
      <c r="D1333" s="122" t="str">
        <f>IFERROR(__xludf.DUMMYFUNCTION("""COMPUTED_VALUE"""),"SolarSpark appears steady with no major changes reported.")</f>
        <v>SolarSpark appears steady with no major changes reported.</v>
      </c>
      <c r="E1333" s="122" t="str">
        <f>IFERROR(__xludf.DUMMYFUNCTION("""COMPUTED_VALUE"""),"Neutral")</f>
        <v>Neutral</v>
      </c>
      <c r="F1333" s="122">
        <f>IFERROR(__xludf.DUMMYFUNCTION("""COMPUTED_VALUE"""),0.0)</f>
        <v>0</v>
      </c>
      <c r="G1333" s="122">
        <f>IFERROR(__xludf.DUMMYFUNCTION("""COMPUTED_VALUE"""),0.0)</f>
        <v>0</v>
      </c>
      <c r="H1333" s="122" t="str">
        <f>IFERROR(__xludf.DUMMYFUNCTION("""COMPUTED_VALUE"""),"Active")</f>
        <v>Active</v>
      </c>
    </row>
    <row r="1334">
      <c r="A1334" s="131">
        <f>IFERROR(__xludf.DUMMYFUNCTION("""COMPUTED_VALUE"""),46182.33137731482)</f>
        <v>46182.33138</v>
      </c>
      <c r="B1334" s="122" t="str">
        <f>IFERROR(__xludf.DUMMYFUNCTION("""COMPUTED_VALUE"""),"BATT")</f>
        <v>BATT</v>
      </c>
      <c r="C1334" s="122" t="str">
        <f>IFERROR(__xludf.DUMMYFUNCTION("""COMPUTED_VALUE"""),"BatteryBox remains stable as the Energy market shows normal activity.")</f>
        <v>BatteryBox remains stable as the Energy market shows normal activity.</v>
      </c>
      <c r="D1334" s="122" t="str">
        <f>IFERROR(__xludf.DUMMYFUNCTION("""COMPUTED_VALUE"""),"BatteryBox appears steady with no major changes reported.")</f>
        <v>BatteryBox appears steady with no major changes reported.</v>
      </c>
      <c r="E1334" s="122" t="str">
        <f>IFERROR(__xludf.DUMMYFUNCTION("""COMPUTED_VALUE"""),"Neutral")</f>
        <v>Neutral</v>
      </c>
      <c r="F1334" s="122">
        <f>IFERROR(__xludf.DUMMYFUNCTION("""COMPUTED_VALUE"""),0.0)</f>
        <v>0</v>
      </c>
      <c r="G1334" s="122">
        <f>IFERROR(__xludf.DUMMYFUNCTION("""COMPUTED_VALUE"""),0.0)</f>
        <v>0</v>
      </c>
      <c r="H1334" s="122" t="str">
        <f>IFERROR(__xludf.DUMMYFUNCTION("""COMPUTED_VALUE"""),"Active")</f>
        <v>Active</v>
      </c>
    </row>
    <row r="1335">
      <c r="A1335" s="131">
        <f>IFERROR(__xludf.DUMMYFUNCTION("""COMPUTED_VALUE"""),46182.331400462965)</f>
        <v>46182.3314</v>
      </c>
      <c r="B1335" s="122" t="str">
        <f>IFERROR(__xludf.DUMMYFUNCTION("""COMPUTED_VALUE"""),"WIND")</f>
        <v>WIND</v>
      </c>
      <c r="C1335" s="122" t="str">
        <f>IFERROR(__xludf.DUMMYFUNCTION("""COMPUTED_VALUE"""),"WindWorks surges as demand rises across the Energy sector.")</f>
        <v>WindWorks surges as demand rises across the Energy sector.</v>
      </c>
      <c r="D1335" s="122" t="str">
        <f>IFERROR(__xludf.DUMMYFUNCTION("""COMPUTED_VALUE"""),"WindWorks is seeing strong demand, which may increase investor confidence.")</f>
        <v>WindWorks is seeing strong demand, which may increase investor confidence.</v>
      </c>
      <c r="E1335" s="122" t="str">
        <f>IFERROR(__xludf.DUMMYFUNCTION("""COMPUTED_VALUE"""),"Positive")</f>
        <v>Positive</v>
      </c>
      <c r="F1335" s="122">
        <f>IFERROR(__xludf.DUMMYFUNCTION("""COMPUTED_VALUE"""),0.03)</f>
        <v>0.03</v>
      </c>
      <c r="G1335" s="122">
        <f>IFERROR(__xludf.DUMMYFUNCTION("""COMPUTED_VALUE"""),1.0)</f>
        <v>1</v>
      </c>
      <c r="H1335" s="122" t="str">
        <f>IFERROR(__xludf.DUMMYFUNCTION("""COMPUTED_VALUE"""),"Active")</f>
        <v>Active</v>
      </c>
    </row>
    <row r="1336">
      <c r="A1336" s="131">
        <f>IFERROR(__xludf.DUMMYFUNCTION("""COMPUTED_VALUE"""),46182.331412037034)</f>
        <v>46182.33141</v>
      </c>
      <c r="B1336" s="122" t="str">
        <f>IFERROR(__xludf.DUMMYFUNCTION("""COMPUTED_VALUE"""),"GRID")</f>
        <v>GRID</v>
      </c>
      <c r="C1336" s="122" t="str">
        <f>IFERROR(__xludf.DUMMYFUNCTION("""COMPUTED_VALUE"""),"GridPower remains stable as the Energy market shows normal activity.")</f>
        <v>GridPower remains stable as the Energy market shows normal activity.</v>
      </c>
      <c r="D1336" s="122" t="str">
        <f>IFERROR(__xludf.DUMMYFUNCTION("""COMPUTED_VALUE"""),"GridPower appears steady with no major changes reported.")</f>
        <v>GridPower appears steady with no major changes reported.</v>
      </c>
      <c r="E1336" s="122" t="str">
        <f>IFERROR(__xludf.DUMMYFUNCTION("""COMPUTED_VALUE"""),"Neutral")</f>
        <v>Neutral</v>
      </c>
      <c r="F1336" s="122">
        <f>IFERROR(__xludf.DUMMYFUNCTION("""COMPUTED_VALUE"""),0.0)</f>
        <v>0</v>
      </c>
      <c r="G1336" s="122">
        <f>IFERROR(__xludf.DUMMYFUNCTION("""COMPUTED_VALUE"""),0.0)</f>
        <v>0</v>
      </c>
      <c r="H1336" s="122" t="str">
        <f>IFERROR(__xludf.DUMMYFUNCTION("""COMPUTED_VALUE"""),"Active")</f>
        <v>Active</v>
      </c>
    </row>
    <row r="1337">
      <c r="A1337" s="131">
        <f>IFERROR(__xludf.DUMMYFUNCTION("""COMPUTED_VALUE"""),46182.331412037034)</f>
        <v>46182.33141</v>
      </c>
      <c r="B1337" s="122" t="str">
        <f>IFERROR(__xludf.DUMMYFUNCTION("""COMPUTED_VALUE"""),"HOME")</f>
        <v>HOME</v>
      </c>
      <c r="C1337" s="122" t="str">
        <f>IFERROR(__xludf.DUMMYFUNCTION("""COMPUTED_VALUE"""),"HomeHub reports steady growth and improved market confidence.")</f>
        <v>HomeHub reports steady growth and improved market confidence.</v>
      </c>
      <c r="D1337" s="122" t="str">
        <f>IFERROR(__xludf.DUMMYFUNCTION("""COMPUTED_VALUE"""),"HomeHub continues to show positive momentum with moderate risk.")</f>
        <v>HomeHub continues to show positive momentum with moderate risk.</v>
      </c>
      <c r="E1337" s="122" t="str">
        <f>IFERROR(__xludf.DUMMYFUNCTION("""COMPUTED_VALUE"""),"Positive")</f>
        <v>Positive</v>
      </c>
      <c r="F1337" s="122">
        <f>IFERROR(__xludf.DUMMYFUNCTION("""COMPUTED_VALUE"""),0.015)</f>
        <v>0.015</v>
      </c>
      <c r="G1337" s="122">
        <f>IFERROR(__xludf.DUMMYFUNCTION("""COMPUTED_VALUE"""),0.5)</f>
        <v>0.5</v>
      </c>
      <c r="H1337" s="122" t="str">
        <f>IFERROR(__xludf.DUMMYFUNCTION("""COMPUTED_VALUE"""),"Active")</f>
        <v>Active</v>
      </c>
    </row>
    <row r="1338">
      <c r="A1338" s="131">
        <f>IFERROR(__xludf.DUMMYFUNCTION("""COMPUTED_VALUE"""),46182.33142361111)</f>
        <v>46182.33142</v>
      </c>
      <c r="B1338" s="122" t="str">
        <f>IFERROR(__xludf.DUMMYFUNCTION("""COMPUTED_VALUE"""),"RENT")</f>
        <v>RENT</v>
      </c>
      <c r="C1338" s="122" t="str">
        <f>IFERROR(__xludf.DUMMYFUNCTION("""COMPUTED_VALUE"""),"RentRight remains stable as the Real Estate market shows normal activity.")</f>
        <v>RentRight remains stable as the Real Estate market shows normal activity.</v>
      </c>
      <c r="D1338" s="122" t="str">
        <f>IFERROR(__xludf.DUMMYFUNCTION("""COMPUTED_VALUE"""),"RentRight appears steady with no major changes reported.")</f>
        <v>RentRight appears steady with no major changes reported.</v>
      </c>
      <c r="E1338" s="122" t="str">
        <f>IFERROR(__xludf.DUMMYFUNCTION("""COMPUTED_VALUE"""),"Neutral")</f>
        <v>Neutral</v>
      </c>
      <c r="F1338" s="122">
        <f>IFERROR(__xludf.DUMMYFUNCTION("""COMPUTED_VALUE"""),0.0)</f>
        <v>0</v>
      </c>
      <c r="G1338" s="122">
        <f>IFERROR(__xludf.DUMMYFUNCTION("""COMPUTED_VALUE"""),0.0)</f>
        <v>0</v>
      </c>
      <c r="H1338" s="122" t="str">
        <f>IFERROR(__xludf.DUMMYFUNCTION("""COMPUTED_VALUE"""),"Active")</f>
        <v>Active</v>
      </c>
    </row>
    <row r="1339">
      <c r="A1339" s="131">
        <f>IFERROR(__xludf.DUMMYFUNCTION("""COMPUTED_VALUE"""),46182.33143518519)</f>
        <v>46182.33144</v>
      </c>
      <c r="B1339" s="122" t="str">
        <f>IFERROR(__xludf.DUMMYFUNCTION("""COMPUTED_VALUE"""),"MALL")</f>
        <v>MALL</v>
      </c>
      <c r="C1339" s="122" t="str">
        <f>IFERROR(__xludf.DUMMYFUNCTION("""COMPUTED_VALUE"""),"MegaMall remains stable as the Real Estate market shows normal activity.")</f>
        <v>MegaMall remains stable as the Real Estate market shows normal activity.</v>
      </c>
      <c r="D1339" s="122" t="str">
        <f>IFERROR(__xludf.DUMMYFUNCTION("""COMPUTED_VALUE"""),"MegaMall appears steady with no major changes reported.")</f>
        <v>MegaMall appears steady with no major changes reported.</v>
      </c>
      <c r="E1339" s="122" t="str">
        <f>IFERROR(__xludf.DUMMYFUNCTION("""COMPUTED_VALUE"""),"Neutral")</f>
        <v>Neutral</v>
      </c>
      <c r="F1339" s="122">
        <f>IFERROR(__xludf.DUMMYFUNCTION("""COMPUTED_VALUE"""),0.0)</f>
        <v>0</v>
      </c>
      <c r="G1339" s="122">
        <f>IFERROR(__xludf.DUMMYFUNCTION("""COMPUTED_VALUE"""),0.0)</f>
        <v>0</v>
      </c>
      <c r="H1339" s="122" t="str">
        <f>IFERROR(__xludf.DUMMYFUNCTION("""COMPUTED_VALUE"""),"Active")</f>
        <v>Active</v>
      </c>
    </row>
    <row r="1340">
      <c r="A1340" s="131">
        <f>IFERROR(__xludf.DUMMYFUNCTION("""COMPUTED_VALUE"""),46182.33144675926)</f>
        <v>46182.33145</v>
      </c>
      <c r="B1340" s="122" t="str">
        <f>IFERROR(__xludf.DUMMYFUNCTION("""COMPUTED_VALUE"""),"HOTL")</f>
        <v>HOTL</v>
      </c>
      <c r="C1340" s="122" t="str">
        <f>IFERROR(__xludf.DUMMYFUNCTION("""COMPUTED_VALUE"""),"HotelHive reports steady growth and improved market confidence.")</f>
        <v>HotelHive reports steady growth and improved market confidence.</v>
      </c>
      <c r="D1340" s="122" t="str">
        <f>IFERROR(__xludf.DUMMYFUNCTION("""COMPUTED_VALUE"""),"HotelHive continues to show positive momentum with moderate risk.")</f>
        <v>HotelHive continues to show positive momentum with moderate risk.</v>
      </c>
      <c r="E1340" s="122" t="str">
        <f>IFERROR(__xludf.DUMMYFUNCTION("""COMPUTED_VALUE"""),"Positive")</f>
        <v>Positive</v>
      </c>
      <c r="F1340" s="122">
        <f>IFERROR(__xludf.DUMMYFUNCTION("""COMPUTED_VALUE"""),0.015)</f>
        <v>0.015</v>
      </c>
      <c r="G1340" s="122">
        <f>IFERROR(__xludf.DUMMYFUNCTION("""COMPUTED_VALUE"""),0.5)</f>
        <v>0.5</v>
      </c>
      <c r="H1340" s="122" t="str">
        <f>IFERROR(__xludf.DUMMYFUNCTION("""COMPUTED_VALUE"""),"Active")</f>
        <v>Active</v>
      </c>
    </row>
    <row r="1341">
      <c r="A1341" s="131">
        <f>IFERROR(__xludf.DUMMYFUNCTION("""COMPUTED_VALUE"""),46182.331458333334)</f>
        <v>46182.33146</v>
      </c>
      <c r="B1341" s="122" t="str">
        <f>IFERROR(__xludf.DUMMYFUNCTION("""COMPUTED_VALUE"""),"LAND")</f>
        <v>LAND</v>
      </c>
      <c r="C1341" s="122" t="str">
        <f>IFERROR(__xludf.DUMMYFUNCTION("""COMPUTED_VALUE"""),"LandLink surges as demand rises across the Real Estate sector.")</f>
        <v>LandLink surges as demand rises across the Real Estate sector.</v>
      </c>
      <c r="D1341" s="122" t="str">
        <f>IFERROR(__xludf.DUMMYFUNCTION("""COMPUTED_VALUE"""),"LandLink is seeing strong demand, which may increase investor confidence.")</f>
        <v>LandLink is seeing strong demand, which may increase investor confidence.</v>
      </c>
      <c r="E1341" s="122" t="str">
        <f>IFERROR(__xludf.DUMMYFUNCTION("""COMPUTED_VALUE"""),"Positive")</f>
        <v>Positive</v>
      </c>
      <c r="F1341" s="122">
        <f>IFERROR(__xludf.DUMMYFUNCTION("""COMPUTED_VALUE"""),0.03)</f>
        <v>0.03</v>
      </c>
      <c r="G1341" s="122">
        <f>IFERROR(__xludf.DUMMYFUNCTION("""COMPUTED_VALUE"""),1.0)</f>
        <v>1</v>
      </c>
      <c r="H1341" s="122" t="str">
        <f>IFERROR(__xludf.DUMMYFUNCTION("""COMPUTED_VALUE"""),"Active")</f>
        <v>Active</v>
      </c>
    </row>
    <row r="1342">
      <c r="A1342" s="131">
        <f>IFERROR(__xludf.DUMMYFUNCTION("""COMPUTED_VALUE"""),46182.331458333334)</f>
        <v>46182.33146</v>
      </c>
      <c r="B1342" s="122" t="str">
        <f>IFERROR(__xludf.DUMMYFUNCTION("""COMPUTED_VALUE"""),"CARS")</f>
        <v>CARS</v>
      </c>
      <c r="C1342" s="122" t="str">
        <f>IFERROR(__xludf.DUMMYFUNCTION("""COMPUTED_VALUE"""),"AutoArena sees uncertain trading as investors react to mixed signals.")</f>
        <v>AutoArena sees uncertain trading as investors react to mixed signals.</v>
      </c>
      <c r="D1342" s="122" t="str">
        <f>IFERROR(__xludf.DUMMYFUNCTION("""COMPUTED_VALUE"""),"AutoArena may experience larger price swings as investors disagree on direction.")</f>
        <v>AutoArena may experience larger price swings as investors disagree on direction.</v>
      </c>
      <c r="E1342" s="122" t="str">
        <f>IFERROR(__xludf.DUMMYFUNCTION("""COMPUTED_VALUE"""),"Mixed")</f>
        <v>Mixed</v>
      </c>
      <c r="F1342" s="122">
        <f>IFERROR(__xludf.DUMMYFUNCTION("""COMPUTED_VALUE"""),0.007734535317490798)</f>
        <v>0.007734535317</v>
      </c>
      <c r="G1342" s="122">
        <f>IFERROR(__xludf.DUMMYFUNCTION("""COMPUTED_VALUE"""),1.5)</f>
        <v>1.5</v>
      </c>
      <c r="H1342" s="122" t="str">
        <f>IFERROR(__xludf.DUMMYFUNCTION("""COMPUTED_VALUE"""),"Active")</f>
        <v>Active</v>
      </c>
    </row>
    <row r="1343">
      <c r="A1343" s="131">
        <f>IFERROR(__xludf.DUMMYFUNCTION("""COMPUTED_VALUE"""),46182.33146990741)</f>
        <v>46182.33147</v>
      </c>
      <c r="B1343" s="122" t="str">
        <f>IFERROR(__xludf.DUMMYFUNCTION("""COMPUTED_VALUE"""),"EVGO")</f>
        <v>EVGO</v>
      </c>
      <c r="C1343" s="122" t="str">
        <f>IFERROR(__xludf.DUMMYFUNCTION("""COMPUTED_VALUE"""),"EVGo Motors faces weaker demand and cautious investor sentiment.")</f>
        <v>EVGo Motors faces weaker demand and cautious investor sentiment.</v>
      </c>
      <c r="D1343" s="122" t="str">
        <f>IFERROR(__xludf.DUMMYFUNCTION("""COMPUTED_VALUE"""),"Investors are watching EVGo Motors closely as demand weakens.")</f>
        <v>Investors are watching EVGo Motors closely as demand weakens.</v>
      </c>
      <c r="E1343" s="122" t="str">
        <f>IFERROR(__xludf.DUMMYFUNCTION("""COMPUTED_VALUE"""),"Negative")</f>
        <v>Negative</v>
      </c>
      <c r="F1343" s="122">
        <f>IFERROR(__xludf.DUMMYFUNCTION("""COMPUTED_VALUE"""),-0.015)</f>
        <v>-0.015</v>
      </c>
      <c r="G1343" s="122">
        <f>IFERROR(__xludf.DUMMYFUNCTION("""COMPUTED_VALUE"""),0.75)</f>
        <v>0.75</v>
      </c>
      <c r="H1343" s="122" t="str">
        <f>IFERROR(__xludf.DUMMYFUNCTION("""COMPUTED_VALUE"""),"Active")</f>
        <v>Active</v>
      </c>
    </row>
    <row r="1344">
      <c r="A1344" s="131">
        <f>IFERROR(__xludf.DUMMYFUNCTION("""COMPUTED_VALUE"""),46182.33148148148)</f>
        <v>46182.33148</v>
      </c>
      <c r="B1344" s="122" t="str">
        <f>IFERROR(__xludf.DUMMYFUNCTION("""COMPUTED_VALUE"""),"TIRE")</f>
        <v>TIRE</v>
      </c>
      <c r="C1344" s="122" t="str">
        <f>IFERROR(__xludf.DUMMYFUNCTION("""COMPUTED_VALUE"""),"TireTown remains stable as the Automotive market shows normal activity.")</f>
        <v>TireTown remains stable as the Automotive market shows normal activity.</v>
      </c>
      <c r="D1344" s="122" t="str">
        <f>IFERROR(__xludf.DUMMYFUNCTION("""COMPUTED_VALUE"""),"TireTown appears steady with no major changes reported.")</f>
        <v>TireTown appears steady with no major changes reported.</v>
      </c>
      <c r="E1344" s="122" t="str">
        <f>IFERROR(__xludf.DUMMYFUNCTION("""COMPUTED_VALUE"""),"Neutral")</f>
        <v>Neutral</v>
      </c>
      <c r="F1344" s="122">
        <f>IFERROR(__xludf.DUMMYFUNCTION("""COMPUTED_VALUE"""),0.0)</f>
        <v>0</v>
      </c>
      <c r="G1344" s="122">
        <f>IFERROR(__xludf.DUMMYFUNCTION("""COMPUTED_VALUE"""),0.0)</f>
        <v>0</v>
      </c>
      <c r="H1344" s="122" t="str">
        <f>IFERROR(__xludf.DUMMYFUNCTION("""COMPUTED_VALUE"""),"Active")</f>
        <v>Active</v>
      </c>
    </row>
    <row r="1345">
      <c r="A1345" s="131">
        <f>IFERROR(__xludf.DUMMYFUNCTION("""COMPUTED_VALUE"""),46182.33149305556)</f>
        <v>46182.33149</v>
      </c>
      <c r="B1345" s="122" t="str">
        <f>IFERROR(__xludf.DUMMYFUNCTION("""COMPUTED_VALUE"""),"BIKE")</f>
        <v>BIKE</v>
      </c>
      <c r="C1345" s="122" t="str">
        <f>IFERROR(__xludf.DUMMYFUNCTION("""COMPUTED_VALUE"""),"BikeBox drops sharply after major concerns hit the market.")</f>
        <v>BikeBox drops sharply after major concerns hit the market.</v>
      </c>
      <c r="D1345" s="122" t="str">
        <f>IFERROR(__xludf.DUMMYFUNCTION("""COMPUTED_VALUE"""),"BikeBox is under pressure as investors react to worsening conditions.")</f>
        <v>BikeBox is under pressure as investors react to worsening conditions.</v>
      </c>
      <c r="E1345" s="122" t="str">
        <f>IFERROR(__xludf.DUMMYFUNCTION("""COMPUTED_VALUE"""),"Negative")</f>
        <v>Negative</v>
      </c>
      <c r="F1345" s="122">
        <f>IFERROR(__xludf.DUMMYFUNCTION("""COMPUTED_VALUE"""),-0.04)</f>
        <v>-0.04</v>
      </c>
      <c r="G1345" s="122">
        <f>IFERROR(__xludf.DUMMYFUNCTION("""COMPUTED_VALUE"""),2.0)</f>
        <v>2</v>
      </c>
      <c r="H1345" s="122" t="str">
        <f>IFERROR(__xludf.DUMMYFUNCTION("""COMPUTED_VALUE"""),"Active")</f>
        <v>Active</v>
      </c>
    </row>
    <row r="1346">
      <c r="A1346" s="131">
        <f>IFERROR(__xludf.DUMMYFUNCTION("""COMPUTED_VALUE"""),46182.33150462963)</f>
        <v>46182.3315</v>
      </c>
      <c r="B1346" s="122" t="str">
        <f>IFERROR(__xludf.DUMMYFUNCTION("""COMPUTED_VALUE"""),"WASH")</f>
        <v>WASH</v>
      </c>
      <c r="C1346" s="122" t="str">
        <f>IFERROR(__xludf.DUMMYFUNCTION("""COMPUTED_VALUE"""),"CarWash Co reports steady growth and improved market confidence.")</f>
        <v>CarWash Co reports steady growth and improved market confidence.</v>
      </c>
      <c r="D1346" s="122" t="str">
        <f>IFERROR(__xludf.DUMMYFUNCTION("""COMPUTED_VALUE"""),"CarWash Co continues to show positive momentum with moderate risk.")</f>
        <v>CarWash Co continues to show positive momentum with moderate risk.</v>
      </c>
      <c r="E1346" s="122" t="str">
        <f>IFERROR(__xludf.DUMMYFUNCTION("""COMPUTED_VALUE"""),"Positive")</f>
        <v>Positive</v>
      </c>
      <c r="F1346" s="122">
        <f>IFERROR(__xludf.DUMMYFUNCTION("""COMPUTED_VALUE"""),0.015)</f>
        <v>0.015</v>
      </c>
      <c r="G1346" s="122">
        <f>IFERROR(__xludf.DUMMYFUNCTION("""COMPUTED_VALUE"""),0.5)</f>
        <v>0.5</v>
      </c>
      <c r="H1346" s="122" t="str">
        <f>IFERROR(__xludf.DUMMYFUNCTION("""COMPUTED_VALUE"""),"Active")</f>
        <v>Active</v>
      </c>
    </row>
    <row r="1347">
      <c r="A1347" s="131">
        <f>IFERROR(__xludf.DUMMYFUNCTION("""COMPUTED_VALUE"""),46182.33150462963)</f>
        <v>46182.3315</v>
      </c>
      <c r="B1347" s="122" t="str">
        <f>IFERROR(__xludf.DUMMYFUNCTION("""COMPUTED_VALUE"""),"GBND")</f>
        <v>GBND</v>
      </c>
      <c r="C1347" s="122" t="str">
        <f>IFERROR(__xludf.DUMMYFUNCTION("""COMPUTED_VALUE"""),"Classroom Government Bond remains steady as investors seek stability.")</f>
        <v>Classroom Government Bond remains steady as investors seek stability.</v>
      </c>
      <c r="D134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347" s="122" t="str">
        <f>IFERROR(__xludf.DUMMYFUNCTION("""COMPUTED_VALUE"""),"Neutral")</f>
        <v>Neutral</v>
      </c>
      <c r="F1347" s="122">
        <f>IFERROR(__xludf.DUMMYFUNCTION("""COMPUTED_VALUE"""),0.0)</f>
        <v>0</v>
      </c>
      <c r="G1347" s="122">
        <f>IFERROR(__xludf.DUMMYFUNCTION("""COMPUTED_VALUE"""),0.0)</f>
        <v>0</v>
      </c>
      <c r="H1347" s="122" t="str">
        <f>IFERROR(__xludf.DUMMYFUNCTION("""COMPUTED_VALUE"""),"Active")</f>
        <v>Active</v>
      </c>
    </row>
    <row r="1348">
      <c r="A1348" s="131">
        <f>IFERROR(__xludf.DUMMYFUNCTION("""COMPUTED_VALUE"""),46182.3315162037)</f>
        <v>46182.33152</v>
      </c>
      <c r="B1348" s="122" t="str">
        <f>IFERROR(__xludf.DUMMYFUNCTION("""COMPUTED_VALUE"""),"SBND")</f>
        <v>SBND</v>
      </c>
      <c r="C1348" s="122" t="str">
        <f>IFERROR(__xludf.DUMMYFUNCTION("""COMPUTED_VALUE"""),"School Savings Bond remains steady as investors seek stability.")</f>
        <v>School Savings Bond remains steady as investors seek stability.</v>
      </c>
      <c r="D134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348" s="122" t="str">
        <f>IFERROR(__xludf.DUMMYFUNCTION("""COMPUTED_VALUE"""),"Neutral")</f>
        <v>Neutral</v>
      </c>
      <c r="F1348" s="122">
        <f>IFERROR(__xludf.DUMMYFUNCTION("""COMPUTED_VALUE"""),0.0)</f>
        <v>0</v>
      </c>
      <c r="G1348" s="122">
        <f>IFERROR(__xludf.DUMMYFUNCTION("""COMPUTED_VALUE"""),0.0)</f>
        <v>0</v>
      </c>
      <c r="H1348" s="122" t="str">
        <f>IFERROR(__xludf.DUMMYFUNCTION("""COMPUTED_VALUE"""),"Active")</f>
        <v>Active</v>
      </c>
    </row>
    <row r="1349">
      <c r="A1349" s="131">
        <f>IFERROR(__xludf.DUMMYFUNCTION("""COMPUTED_VALUE"""),46182.33152777778)</f>
        <v>46182.33153</v>
      </c>
      <c r="B1349" s="122" t="str">
        <f>IFERROR(__xludf.DUMMYFUNCTION("""COMPUTED_VALUE"""),"CBND")</f>
        <v>CBND</v>
      </c>
      <c r="C1349" s="122" t="str">
        <f>IFERROR(__xludf.DUMMYFUNCTION("""COMPUTED_VALUE"""),"Corporate Classroom Bond remains steady as investors seek stability.")</f>
        <v>Corporate Classroom Bond remains steady as investors seek stability.</v>
      </c>
      <c r="D134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349" s="122" t="str">
        <f>IFERROR(__xludf.DUMMYFUNCTION("""COMPUTED_VALUE"""),"Neutral")</f>
        <v>Neutral</v>
      </c>
      <c r="F1349" s="122">
        <f>IFERROR(__xludf.DUMMYFUNCTION("""COMPUTED_VALUE"""),0.0)</f>
        <v>0</v>
      </c>
      <c r="G1349" s="122">
        <f>IFERROR(__xludf.DUMMYFUNCTION("""COMPUTED_VALUE"""),0.0)</f>
        <v>0</v>
      </c>
      <c r="H1349" s="122" t="str">
        <f>IFERROR(__xludf.DUMMYFUNCTION("""COMPUTED_VALUE"""),"Active")</f>
        <v>Active</v>
      </c>
    </row>
    <row r="1350">
      <c r="A1350" s="131">
        <f>IFERROR(__xludf.DUMMYFUNCTION("""COMPUTED_VALUE"""),46182.33153935185)</f>
        <v>46182.33154</v>
      </c>
      <c r="B1350" s="122" t="str">
        <f>IFERROR(__xludf.DUMMYFUNCTION("""COMPUTED_VALUE"""),"TBIL")</f>
        <v>TBIL</v>
      </c>
      <c r="C1350" s="122" t="str">
        <f>IFERROR(__xludf.DUMMYFUNCTION("""COMPUTED_VALUE"""),"Treasury Bill remains steady as investors seek stability.")</f>
        <v>Treasury Bill remains steady as investors seek stability.</v>
      </c>
      <c r="D135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350" s="122" t="str">
        <f>IFERROR(__xludf.DUMMYFUNCTION("""COMPUTED_VALUE"""),"Neutral")</f>
        <v>Neutral</v>
      </c>
      <c r="F1350" s="122">
        <f>IFERROR(__xludf.DUMMYFUNCTION("""COMPUTED_VALUE"""),0.0)</f>
        <v>0</v>
      </c>
      <c r="G1350" s="122">
        <f>IFERROR(__xludf.DUMMYFUNCTION("""COMPUTED_VALUE"""),0.0)</f>
        <v>0</v>
      </c>
      <c r="H1350" s="122" t="str">
        <f>IFERROR(__xludf.DUMMYFUNCTION("""COMPUTED_VALUE"""),"Active")</f>
        <v>Active</v>
      </c>
    </row>
    <row r="1351">
      <c r="A1351" s="131">
        <f>IFERROR(__xludf.DUMMYFUNCTION("""COMPUTED_VALUE"""),46182.33153935185)</f>
        <v>46182.33154</v>
      </c>
      <c r="B1351" s="122" t="str">
        <f>IFERROR(__xludf.DUMMYFUNCTION("""COMPUTED_VALUE"""),"IBND")</f>
        <v>IBND</v>
      </c>
      <c r="C1351" s="122" t="str">
        <f>IFERROR(__xludf.DUMMYFUNCTION("""COMPUTED_VALUE"""),"Inflation Protected Bond remains steady as investors seek stability.")</f>
        <v>Inflation Protected Bond remains steady as investors seek stability.</v>
      </c>
      <c r="D135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351" s="122" t="str">
        <f>IFERROR(__xludf.DUMMYFUNCTION("""COMPUTED_VALUE"""),"Neutral")</f>
        <v>Neutral</v>
      </c>
      <c r="F1351" s="122">
        <f>IFERROR(__xludf.DUMMYFUNCTION("""COMPUTED_VALUE"""),0.0)</f>
        <v>0</v>
      </c>
      <c r="G1351" s="122">
        <f>IFERROR(__xludf.DUMMYFUNCTION("""COMPUTED_VALUE"""),0.0)</f>
        <v>0</v>
      </c>
      <c r="H1351" s="122" t="str">
        <f>IFERROR(__xludf.DUMMYFUNCTION("""COMPUTED_VALUE"""),"Active")</f>
        <v>Active</v>
      </c>
    </row>
    <row r="1352">
      <c r="A1352" s="131">
        <f>IFERROR(__xludf.DUMMYFUNCTION("""COMPUTED_VALUE"""),46182.33877314815)</f>
        <v>46182.33877</v>
      </c>
      <c r="B1352" s="122" t="str">
        <f>IFERROR(__xludf.DUMMYFUNCTION("""COMPUTED_VALUE"""),"MARKET")</f>
        <v>MARKET</v>
      </c>
      <c r="C1352" s="122" t="str">
        <f>IFERROR(__xludf.DUMMYFUNCTION("""COMPUTED_VALUE"""),"Market Stability Report")</f>
        <v>Market Stability Report</v>
      </c>
      <c r="D1352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1352" s="122" t="str">
        <f>IFERROR(__xludf.DUMMYFUNCTION("""COMPUTED_VALUE"""),"Neutral")</f>
        <v>Neutral</v>
      </c>
      <c r="F1352" s="122">
        <f>IFERROR(__xludf.DUMMYFUNCTION("""COMPUTED_VALUE"""),0.0)</f>
        <v>0</v>
      </c>
      <c r="G1352" s="122">
        <f>IFERROR(__xludf.DUMMYFUNCTION("""COMPUTED_VALUE"""),0.0)</f>
        <v>0</v>
      </c>
      <c r="H1352" s="122" t="str">
        <f>IFERROR(__xludf.DUMMYFUNCTION("""COMPUTED_VALUE"""),"Active")</f>
        <v>Active</v>
      </c>
    </row>
    <row r="1353">
      <c r="A1353" s="131">
        <f>IFERROR(__xludf.DUMMYFUNCTION("""COMPUTED_VALUE"""),46183.31756944444)</f>
        <v>46183.31757</v>
      </c>
      <c r="B1353" s="122" t="str">
        <f>IFERROR(__xludf.DUMMYFUNCTION("""COMPUTED_VALUE"""),"RAMN")</f>
        <v>RAMN</v>
      </c>
      <c r="C1353" s="122" t="str">
        <f>IFERROR(__xludf.DUMMYFUNCTION("""COMPUTED_VALUE"""),"Ramen Republic releases earnings report: Beat profit, guidance Raised.")</f>
        <v>Ramen Republic releases earnings report: Beat profit, guidance Raised.</v>
      </c>
      <c r="D1353" s="122" t="str">
        <f>IFERROR(__xludf.DUMMYFUNCTION("""COMPUTED_VALUE"""),"Earnings report: revenue Beat, profit Beat, debt Stable, guidance Raised.")</f>
        <v>Earnings report: revenue Beat, profit Beat, debt Stable, guidance Raised.</v>
      </c>
      <c r="E1353" s="122" t="str">
        <f>IFERROR(__xludf.DUMMYFUNCTION("""COMPUTED_VALUE"""),"Positive")</f>
        <v>Positive</v>
      </c>
      <c r="F1353" s="122">
        <f>IFERROR(__xludf.DUMMYFUNCTION("""COMPUTED_VALUE"""),0.018310493696620488)</f>
        <v>0.0183104937</v>
      </c>
      <c r="G1353" s="122">
        <f>IFERROR(__xludf.DUMMYFUNCTION("""COMPUTED_VALUE"""),0.45776234241551217)</f>
        <v>0.4577623424</v>
      </c>
      <c r="H1353" s="122" t="str">
        <f>IFERROR(__xludf.DUMMYFUNCTION("""COMPUTED_VALUE"""),"Active")</f>
        <v>Active</v>
      </c>
    </row>
    <row r="1354">
      <c r="A1354" s="131">
        <f>IFERROR(__xludf.DUMMYFUNCTION("""COMPUTED_VALUE"""),46183.31762731481)</f>
        <v>46183.31763</v>
      </c>
      <c r="B1354" s="122" t="str">
        <f>IFERROR(__xludf.DUMMYFUNCTION("""COMPUTED_VALUE"""),"HOTL")</f>
        <v>HOTL</v>
      </c>
      <c r="C1354" s="122" t="str">
        <f>IFERROR(__xludf.DUMMYFUNCTION("""COMPUTED_VALUE"""),"HotelHive releases earnings report: Miss profit, guidance Lowered.")</f>
        <v>HotelHive releases earnings report: Miss profit, guidance Lowered.</v>
      </c>
      <c r="D1354" s="122" t="str">
        <f>IFERROR(__xludf.DUMMYFUNCTION("""COMPUTED_VALUE"""),"Earnings report: revenue Miss, profit Miss, debt Worse, guidance Lowered.")</f>
        <v>Earnings report: revenue Miss, profit Miss, debt Worse, guidance Lowered.</v>
      </c>
      <c r="E1354" s="122" t="str">
        <f>IFERROR(__xludf.DUMMYFUNCTION("""COMPUTED_VALUE"""),"Negative")</f>
        <v>Negative</v>
      </c>
      <c r="F1354" s="122">
        <f>IFERROR(__xludf.DUMMYFUNCTION("""COMPUTED_VALUE"""),-0.05771272311545233)</f>
        <v>-0.05771272312</v>
      </c>
      <c r="G1354" s="122">
        <f>IFERROR(__xludf.DUMMYFUNCTION("""COMPUTED_VALUE"""),1.4428180778863082)</f>
        <v>1.442818078</v>
      </c>
      <c r="H1354" s="122" t="str">
        <f>IFERROR(__xludf.DUMMYFUNCTION("""COMPUTED_VALUE"""),"Active")</f>
        <v>Active</v>
      </c>
    </row>
    <row r="1355">
      <c r="A1355" s="131">
        <f>IFERROR(__xludf.DUMMYFUNCTION("""COMPUTED_VALUE"""),46183.31769675926)</f>
        <v>46183.3177</v>
      </c>
      <c r="B1355" s="122" t="str">
        <f>IFERROR(__xludf.DUMMYFUNCTION("""COMPUTED_VALUE"""),"CAFE")</f>
        <v>CAFE</v>
      </c>
      <c r="C1355" s="122" t="str">
        <f>IFERROR(__xludf.DUMMYFUNCTION("""COMPUTED_VALUE"""),"Cafe Cloud releases earnings report: Miss profit, guidance Lowered.")</f>
        <v>Cafe Cloud releases earnings report: Miss profit, guidance Lowered.</v>
      </c>
      <c r="D1355" s="122" t="str">
        <f>IFERROR(__xludf.DUMMYFUNCTION("""COMPUTED_VALUE"""),"Earnings report: revenue Miss, profit Miss, debt Worse, guidance Lowered.")</f>
        <v>Earnings report: revenue Miss, profit Miss, debt Worse, guidance Lowered.</v>
      </c>
      <c r="E1355" s="122" t="str">
        <f>IFERROR(__xludf.DUMMYFUNCTION("""COMPUTED_VALUE"""),"Negative")</f>
        <v>Negative</v>
      </c>
      <c r="F1355" s="122">
        <f>IFERROR(__xludf.DUMMYFUNCTION("""COMPUTED_VALUE"""),-0.02269474889778627)</f>
        <v>-0.0226947489</v>
      </c>
      <c r="G1355" s="122">
        <f>IFERROR(__xludf.DUMMYFUNCTION("""COMPUTED_VALUE"""),0.5673687224446567)</f>
        <v>0.5673687224</v>
      </c>
      <c r="H1355" s="122" t="str">
        <f>IFERROR(__xludf.DUMMYFUNCTION("""COMPUTED_VALUE"""),"Active")</f>
        <v>Active</v>
      </c>
    </row>
    <row r="1356">
      <c r="A1356" s="131">
        <f>IFERROR(__xludf.DUMMYFUNCTION("""COMPUTED_VALUE"""),46183.31775462963)</f>
        <v>46183.31775</v>
      </c>
      <c r="B1356" s="122" t="str">
        <f>IFERROR(__xludf.DUMMYFUNCTION("""COMPUTED_VALUE"""),"OILX")</f>
        <v>OILX</v>
      </c>
      <c r="C1356" s="122" t="str">
        <f>IFERROR(__xludf.DUMMYFUNCTION("""COMPUTED_VALUE"""),"OilMax Energy releases earnings report: Beat profit, guidance Raised.")</f>
        <v>OilMax Energy releases earnings report: Beat profit, guidance Raised.</v>
      </c>
      <c r="D135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356" s="122" t="str">
        <f>IFERROR(__xludf.DUMMYFUNCTION("""COMPUTED_VALUE"""),"Positive")</f>
        <v>Positive</v>
      </c>
      <c r="F1356" s="122">
        <f>IFERROR(__xludf.DUMMYFUNCTION("""COMPUTED_VALUE"""),0.03174996462634454)</f>
        <v>0.03174996463</v>
      </c>
      <c r="G1356" s="122">
        <f>IFERROR(__xludf.DUMMYFUNCTION("""COMPUTED_VALUE"""),0.7937491156586134)</f>
        <v>0.7937491157</v>
      </c>
      <c r="H1356" s="122" t="str">
        <f>IFERROR(__xludf.DUMMYFUNCTION("""COMPUTED_VALUE"""),"Active")</f>
        <v>Active</v>
      </c>
    </row>
    <row r="1357">
      <c r="A1357" s="131">
        <f>IFERROR(__xludf.DUMMYFUNCTION("""COMPUTED_VALUE"""),46183.317824074074)</f>
        <v>46183.31782</v>
      </c>
      <c r="B1357" s="122" t="str">
        <f>IFERROR(__xludf.DUMMYFUNCTION("""COMPUTED_VALUE"""),"VRSE")</f>
        <v>VRSE</v>
      </c>
      <c r="C1357" s="122" t="str">
        <f>IFERROR(__xludf.DUMMYFUNCTION("""COMPUTED_VALUE"""),"VerseVR releases earnings report: Beat profit, guidance Raised.")</f>
        <v>VerseVR releases earnings report: Beat profit, guidance Raised.</v>
      </c>
      <c r="D135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357" s="122" t="str">
        <f>IFERROR(__xludf.DUMMYFUNCTION("""COMPUTED_VALUE"""),"Positive")</f>
        <v>Positive</v>
      </c>
      <c r="F1357" s="122">
        <f>IFERROR(__xludf.DUMMYFUNCTION("""COMPUTED_VALUE"""),0.022376385240789574)</f>
        <v>0.02237638524</v>
      </c>
      <c r="G1357" s="122">
        <f>IFERROR(__xludf.DUMMYFUNCTION("""COMPUTED_VALUE"""),0.5594096310197394)</f>
        <v>0.559409631</v>
      </c>
      <c r="H1357" s="122" t="str">
        <f>IFERROR(__xludf.DUMMYFUNCTION("""COMPUTED_VALUE"""),"Active")</f>
        <v>Active</v>
      </c>
    </row>
    <row r="1358">
      <c r="A1358" s="131">
        <f>IFERROR(__xludf.DUMMYFUNCTION("""COMPUTED_VALUE"""),46183.31789351852)</f>
        <v>46183.31789</v>
      </c>
      <c r="B1358" s="122" t="str">
        <f>IFERROR(__xludf.DUMMYFUNCTION("""COMPUTED_VALUE"""),"IDOL")</f>
        <v>IDOL</v>
      </c>
      <c r="C1358" s="122" t="str">
        <f>IFERROR(__xludf.DUMMYFUNCTION("""COMPUTED_VALUE"""),"Idol Agency releases earnings report: Beat profit, guidance Maintained.")</f>
        <v>Idol Agency releases earnings report: Beat profit, guidance Maintained.</v>
      </c>
      <c r="D1358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1358" s="122" t="str">
        <f>IFERROR(__xludf.DUMMYFUNCTION("""COMPUTED_VALUE"""),"Positive")</f>
        <v>Positive</v>
      </c>
      <c r="F1358" s="122">
        <f>IFERROR(__xludf.DUMMYFUNCTION("""COMPUTED_VALUE"""),0.011836580554870432)</f>
        <v>0.01183658055</v>
      </c>
      <c r="G1358" s="122">
        <f>IFERROR(__xludf.DUMMYFUNCTION("""COMPUTED_VALUE"""),0.2959145138717608)</f>
        <v>0.2959145139</v>
      </c>
      <c r="H1358" s="122" t="str">
        <f>IFERROR(__xludf.DUMMYFUNCTION("""COMPUTED_VALUE"""),"Active")</f>
        <v>Active</v>
      </c>
    </row>
    <row r="1359">
      <c r="A1359" s="131">
        <f>IFERROR(__xludf.DUMMYFUNCTION("""COMPUTED_VALUE"""),46183.31793981481)</f>
        <v>46183.31794</v>
      </c>
      <c r="B1359" s="122" t="str">
        <f>IFERROR(__xludf.DUMMYFUNCTION("""COMPUTED_VALUE"""),"HOME")</f>
        <v>HOME</v>
      </c>
      <c r="C1359" s="122" t="str">
        <f>IFERROR(__xludf.DUMMYFUNCTION("""COMPUTED_VALUE"""),"HomeHub releases earnings report: Beat profit, guidance Raised.")</f>
        <v>HomeHub releases earnings report: Beat profit, guidance Raised.</v>
      </c>
      <c r="D135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359" s="122" t="str">
        <f>IFERROR(__xludf.DUMMYFUNCTION("""COMPUTED_VALUE"""),"Positive")</f>
        <v>Positive</v>
      </c>
      <c r="F1359" s="122">
        <f>IFERROR(__xludf.DUMMYFUNCTION("""COMPUTED_VALUE"""),0.045697693975335234)</f>
        <v>0.04569769398</v>
      </c>
      <c r="G1359" s="122">
        <f>IFERROR(__xludf.DUMMYFUNCTION("""COMPUTED_VALUE"""),1.1424423493833809)</f>
        <v>1.142442349</v>
      </c>
      <c r="H1359" s="122" t="str">
        <f>IFERROR(__xludf.DUMMYFUNCTION("""COMPUTED_VALUE"""),"Active")</f>
        <v>Active</v>
      </c>
    </row>
    <row r="1360">
      <c r="A1360" s="131">
        <f>IFERROR(__xludf.DUMMYFUNCTION("""COMPUTED_VALUE"""),46183.317974537036)</f>
        <v>46183.31797</v>
      </c>
      <c r="B1360" s="122" t="str">
        <f>IFERROR(__xludf.DUMMYFUNCTION("""COMPUTED_VALUE"""),"MUSC")</f>
        <v>MUSC</v>
      </c>
      <c r="C1360" s="122" t="str">
        <f>IFERROR(__xludf.DUMMYFUNCTION("""COMPUTED_VALUE"""),"MusicWave releases earnings report: Beat profit, guidance Raised.")</f>
        <v>MusicWave releases earnings report: Beat profit, guidance Raised.</v>
      </c>
      <c r="D136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360" s="122" t="str">
        <f>IFERROR(__xludf.DUMMYFUNCTION("""COMPUTED_VALUE"""),"Positive")</f>
        <v>Positive</v>
      </c>
      <c r="F1360" s="122">
        <f>IFERROR(__xludf.DUMMYFUNCTION("""COMPUTED_VALUE"""),0.0577133640170223)</f>
        <v>0.05771336402</v>
      </c>
      <c r="G1360" s="122">
        <f>IFERROR(__xludf.DUMMYFUNCTION("""COMPUTED_VALUE"""),1.4428341004255576)</f>
        <v>1.4428341</v>
      </c>
      <c r="H1360" s="122" t="str">
        <f>IFERROR(__xludf.DUMMYFUNCTION("""COMPUTED_VALUE"""),"Active")</f>
        <v>Active</v>
      </c>
    </row>
    <row r="1361">
      <c r="A1361" s="131">
        <f>IFERROR(__xludf.DUMMYFUNCTION("""COMPUTED_VALUE"""),46183.318020833336)</f>
        <v>46183.31802</v>
      </c>
      <c r="B1361" s="122" t="str">
        <f>IFERROR(__xludf.DUMMYFUNCTION("""COMPUTED_VALUE"""),"VITA")</f>
        <v>VITA</v>
      </c>
      <c r="C1361" s="122" t="str">
        <f>IFERROR(__xludf.DUMMYFUNCTION("""COMPUTED_VALUE"""),"VitaPlus releases earnings report: Miss profit, guidance Maintained.")</f>
        <v>VitaPlus releases earnings report: Miss profit, guidance Maintained.</v>
      </c>
      <c r="D1361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361" s="122" t="str">
        <f>IFERROR(__xludf.DUMMYFUNCTION("""COMPUTED_VALUE"""),"Negative")</f>
        <v>Negative</v>
      </c>
      <c r="F1361" s="122">
        <f>IFERROR(__xludf.DUMMYFUNCTION("""COMPUTED_VALUE"""),-0.01136134664739481)</f>
        <v>-0.01136134665</v>
      </c>
      <c r="G1361" s="122">
        <f>IFERROR(__xludf.DUMMYFUNCTION("""COMPUTED_VALUE"""),0.28403366618487025)</f>
        <v>0.2840336662</v>
      </c>
      <c r="H1361" s="122" t="str">
        <f>IFERROR(__xludf.DUMMYFUNCTION("""COMPUTED_VALUE"""),"Active")</f>
        <v>Active</v>
      </c>
    </row>
    <row r="1362">
      <c r="A1362" s="131">
        <f>IFERROR(__xludf.DUMMYFUNCTION("""COMPUTED_VALUE"""),46183.3308912037)</f>
        <v>46183.33089</v>
      </c>
      <c r="B1362" s="122" t="str">
        <f>IFERROR(__xludf.DUMMYFUNCTION("""COMPUTED_VALUE"""),"SNAX")</f>
        <v>SNAX</v>
      </c>
      <c r="C1362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1362" s="122" t="str">
        <f>IFERROR(__xludf.DUMMYFUNCTION("""COMPUTED_VALUE"""),"MICA Snacks appears steady with no major changes reported.")</f>
        <v>MICA Snacks appears steady with no major changes reported.</v>
      </c>
      <c r="E1362" s="122" t="str">
        <f>IFERROR(__xludf.DUMMYFUNCTION("""COMPUTED_VALUE"""),"Neutral")</f>
        <v>Neutral</v>
      </c>
      <c r="F1362" s="122">
        <f>IFERROR(__xludf.DUMMYFUNCTION("""COMPUTED_VALUE"""),0.0)</f>
        <v>0</v>
      </c>
      <c r="G1362" s="122">
        <f>IFERROR(__xludf.DUMMYFUNCTION("""COMPUTED_VALUE"""),0.0)</f>
        <v>0</v>
      </c>
      <c r="H1362" s="122" t="str">
        <f>IFERROR(__xludf.DUMMYFUNCTION("""COMPUTED_VALUE"""),"Active")</f>
        <v>Active</v>
      </c>
    </row>
    <row r="1363">
      <c r="A1363" s="131">
        <f>IFERROR(__xludf.DUMMYFUNCTION("""COMPUTED_VALUE"""),46183.33090277778)</f>
        <v>46183.3309</v>
      </c>
      <c r="B1363" s="122" t="str">
        <f>IFERROR(__xludf.DUMMYFUNCTION("""COMPUTED_VALUE"""),"RAMN")</f>
        <v>RAMN</v>
      </c>
      <c r="C1363" s="122" t="str">
        <f>IFERROR(__xludf.DUMMYFUNCTION("""COMPUTED_VALUE"""),"Ramen Republic reports steady growth and improved market confidence.")</f>
        <v>Ramen Republic reports steady growth and improved market confidence.</v>
      </c>
      <c r="D1363" s="122" t="str">
        <f>IFERROR(__xludf.DUMMYFUNCTION("""COMPUTED_VALUE"""),"Ramen Republic continues to show positive momentum with moderate risk.")</f>
        <v>Ramen Republic continues to show positive momentum with moderate risk.</v>
      </c>
      <c r="E1363" s="122" t="str">
        <f>IFERROR(__xludf.DUMMYFUNCTION("""COMPUTED_VALUE"""),"Positive")</f>
        <v>Positive</v>
      </c>
      <c r="F1363" s="122">
        <f>IFERROR(__xludf.DUMMYFUNCTION("""COMPUTED_VALUE"""),0.015)</f>
        <v>0.015</v>
      </c>
      <c r="G1363" s="122">
        <f>IFERROR(__xludf.DUMMYFUNCTION("""COMPUTED_VALUE"""),0.5)</f>
        <v>0.5</v>
      </c>
      <c r="H1363" s="122" t="str">
        <f>IFERROR(__xludf.DUMMYFUNCTION("""COMPUTED_VALUE"""),"Active")</f>
        <v>Active</v>
      </c>
    </row>
    <row r="1364">
      <c r="A1364" s="131">
        <f>IFERROR(__xludf.DUMMYFUNCTION("""COMPUTED_VALUE"""),46183.33090277778)</f>
        <v>46183.3309</v>
      </c>
      <c r="B1364" s="122" t="str">
        <f>IFERROR(__xludf.DUMMYFUNCTION("""COMPUTED_VALUE"""),"COLA")</f>
        <v>COLA</v>
      </c>
      <c r="C1364" s="122" t="str">
        <f>IFERROR(__xludf.DUMMYFUNCTION("""COMPUTED_VALUE"""),"K-Pop Cola reports steady growth and improved market confidence.")</f>
        <v>K-Pop Cola reports steady growth and improved market confidence.</v>
      </c>
      <c r="D1364" s="122" t="str">
        <f>IFERROR(__xludf.DUMMYFUNCTION("""COMPUTED_VALUE"""),"K-Pop Cola continues to show positive momentum with moderate risk.")</f>
        <v>K-Pop Cola continues to show positive momentum with moderate risk.</v>
      </c>
      <c r="E1364" s="122" t="str">
        <f>IFERROR(__xludf.DUMMYFUNCTION("""COMPUTED_VALUE"""),"Positive")</f>
        <v>Positive</v>
      </c>
      <c r="F1364" s="122">
        <f>IFERROR(__xludf.DUMMYFUNCTION("""COMPUTED_VALUE"""),0.015)</f>
        <v>0.015</v>
      </c>
      <c r="G1364" s="122">
        <f>IFERROR(__xludf.DUMMYFUNCTION("""COMPUTED_VALUE"""),0.5)</f>
        <v>0.5</v>
      </c>
      <c r="H1364" s="122" t="str">
        <f>IFERROR(__xludf.DUMMYFUNCTION("""COMPUTED_VALUE"""),"Active")</f>
        <v>Active</v>
      </c>
    </row>
    <row r="1365">
      <c r="A1365" s="131">
        <f>IFERROR(__xludf.DUMMYFUNCTION("""COMPUTED_VALUE"""),46183.33091435185)</f>
        <v>46183.33091</v>
      </c>
      <c r="B1365" s="122" t="str">
        <f>IFERROR(__xludf.DUMMYFUNCTION("""COMPUTED_VALUE"""),"CHIP")</f>
        <v>CHIP</v>
      </c>
      <c r="C1365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1365" s="122" t="str">
        <f>IFERROR(__xludf.DUMMYFUNCTION("""COMPUTED_VALUE"""),"Chip Empire appears steady with no major changes reported.")</f>
        <v>Chip Empire appears steady with no major changes reported.</v>
      </c>
      <c r="E1365" s="122" t="str">
        <f>IFERROR(__xludf.DUMMYFUNCTION("""COMPUTED_VALUE"""),"Neutral")</f>
        <v>Neutral</v>
      </c>
      <c r="F1365" s="122">
        <f>IFERROR(__xludf.DUMMYFUNCTION("""COMPUTED_VALUE"""),0.0)</f>
        <v>0</v>
      </c>
      <c r="G1365" s="122">
        <f>IFERROR(__xludf.DUMMYFUNCTION("""COMPUTED_VALUE"""),0.0)</f>
        <v>0</v>
      </c>
      <c r="H1365" s="122" t="str">
        <f>IFERROR(__xludf.DUMMYFUNCTION("""COMPUTED_VALUE"""),"Active")</f>
        <v>Active</v>
      </c>
    </row>
    <row r="1366">
      <c r="A1366" s="131">
        <f>IFERROR(__xludf.DUMMYFUNCTION("""COMPUTED_VALUE"""),46183.330925925926)</f>
        <v>46183.33093</v>
      </c>
      <c r="B1366" s="122" t="str">
        <f>IFERROR(__xludf.DUMMYFUNCTION("""COMPUTED_VALUE"""),"CAND")</f>
        <v>CAND</v>
      </c>
      <c r="C1366" s="122" t="str">
        <f>IFERROR(__xludf.DUMMYFUNCTION("""COMPUTED_VALUE"""),"Candy Capital faces weaker demand and cautious investor sentiment.")</f>
        <v>Candy Capital faces weaker demand and cautious investor sentiment.</v>
      </c>
      <c r="D1366" s="122" t="str">
        <f>IFERROR(__xludf.DUMMYFUNCTION("""COMPUTED_VALUE"""),"Investors are watching Candy Capital closely as demand weakens.")</f>
        <v>Investors are watching Candy Capital closely as demand weakens.</v>
      </c>
      <c r="E1366" s="122" t="str">
        <f>IFERROR(__xludf.DUMMYFUNCTION("""COMPUTED_VALUE"""),"Negative")</f>
        <v>Negative</v>
      </c>
      <c r="F1366" s="122">
        <f>IFERROR(__xludf.DUMMYFUNCTION("""COMPUTED_VALUE"""),-0.015)</f>
        <v>-0.015</v>
      </c>
      <c r="G1366" s="122">
        <f>IFERROR(__xludf.DUMMYFUNCTION("""COMPUTED_VALUE"""),0.75)</f>
        <v>0.75</v>
      </c>
      <c r="H1366" s="122" t="str">
        <f>IFERROR(__xludf.DUMMYFUNCTION("""COMPUTED_VALUE"""),"Active")</f>
        <v>Active</v>
      </c>
    </row>
    <row r="1367">
      <c r="A1367" s="131">
        <f>IFERROR(__xludf.DUMMYFUNCTION("""COMPUTED_VALUE"""),46183.330925925926)</f>
        <v>46183.33093</v>
      </c>
      <c r="B1367" s="122" t="str">
        <f>IFERROR(__xludf.DUMMYFUNCTION("""COMPUTED_VALUE"""),"TECH")</f>
        <v>TECH</v>
      </c>
      <c r="C1367" s="122" t="str">
        <f>IFERROR(__xludf.DUMMYFUNCTION("""COMPUTED_VALUE"""),"Dragon Tech reports steady growth and improved market confidence.")</f>
        <v>Dragon Tech reports steady growth and improved market confidence.</v>
      </c>
      <c r="D1367" s="122" t="str">
        <f>IFERROR(__xludf.DUMMYFUNCTION("""COMPUTED_VALUE"""),"Dragon Tech continues to show positive momentum with moderate risk.")</f>
        <v>Dragon Tech continues to show positive momentum with moderate risk.</v>
      </c>
      <c r="E1367" s="122" t="str">
        <f>IFERROR(__xludf.DUMMYFUNCTION("""COMPUTED_VALUE"""),"Positive")</f>
        <v>Positive</v>
      </c>
      <c r="F1367" s="122">
        <f>IFERROR(__xludf.DUMMYFUNCTION("""COMPUTED_VALUE"""),0.015)</f>
        <v>0.015</v>
      </c>
      <c r="G1367" s="122">
        <f>IFERROR(__xludf.DUMMYFUNCTION("""COMPUTED_VALUE"""),0.5)</f>
        <v>0.5</v>
      </c>
      <c r="H1367" s="122" t="str">
        <f>IFERROR(__xludf.DUMMYFUNCTION("""COMPUTED_VALUE"""),"Active")</f>
        <v>Active</v>
      </c>
    </row>
    <row r="1368">
      <c r="A1368" s="131">
        <f>IFERROR(__xludf.DUMMYFUNCTION("""COMPUTED_VALUE"""),46183.3309375)</f>
        <v>46183.33094</v>
      </c>
      <c r="B1368" s="122" t="str">
        <f>IFERROR(__xludf.DUMMYFUNCTION("""COMPUTED_VALUE"""),"AIBO")</f>
        <v>AIBO</v>
      </c>
      <c r="C1368" s="122" t="str">
        <f>IFERROR(__xludf.DUMMYFUNCTION("""COMPUTED_VALUE"""),"Homework AI surges as demand rises across the Technology sector.")</f>
        <v>Homework AI surges as demand rises across the Technology sector.</v>
      </c>
      <c r="D1368" s="122" t="str">
        <f>IFERROR(__xludf.DUMMYFUNCTION("""COMPUTED_VALUE"""),"Homework AI is seeing strong demand, which may increase investor confidence.")</f>
        <v>Homework AI is seeing strong demand, which may increase investor confidence.</v>
      </c>
      <c r="E1368" s="122" t="str">
        <f>IFERROR(__xludf.DUMMYFUNCTION("""COMPUTED_VALUE"""),"Positive")</f>
        <v>Positive</v>
      </c>
      <c r="F1368" s="122">
        <f>IFERROR(__xludf.DUMMYFUNCTION("""COMPUTED_VALUE"""),0.03)</f>
        <v>0.03</v>
      </c>
      <c r="G1368" s="122">
        <f>IFERROR(__xludf.DUMMYFUNCTION("""COMPUTED_VALUE"""),1.0)</f>
        <v>1</v>
      </c>
      <c r="H1368" s="122" t="str">
        <f>IFERROR(__xludf.DUMMYFUNCTION("""COMPUTED_VALUE"""),"Active")</f>
        <v>Active</v>
      </c>
    </row>
    <row r="1369">
      <c r="A1369" s="131">
        <f>IFERROR(__xludf.DUMMYFUNCTION("""COMPUTED_VALUE"""),46183.3309375)</f>
        <v>46183.33094</v>
      </c>
      <c r="B1369" s="122" t="str">
        <f>IFERROR(__xludf.DUMMYFUNCTION("""COMPUTED_VALUE"""),"GAME")</f>
        <v>GAME</v>
      </c>
      <c r="C1369" s="122" t="str">
        <f>IFERROR(__xludf.DUMMYFUNCTION("""COMPUTED_VALUE"""),"GameBox Media faces weaker demand and cautious investor sentiment.")</f>
        <v>GameBox Media faces weaker demand and cautious investor sentiment.</v>
      </c>
      <c r="D1369" s="122" t="str">
        <f>IFERROR(__xludf.DUMMYFUNCTION("""COMPUTED_VALUE"""),"Investors are watching GameBox Media closely as demand weakens.")</f>
        <v>Investors are watching GameBox Media closely as demand weakens.</v>
      </c>
      <c r="E1369" s="122" t="str">
        <f>IFERROR(__xludf.DUMMYFUNCTION("""COMPUTED_VALUE"""),"Negative")</f>
        <v>Negative</v>
      </c>
      <c r="F1369" s="122">
        <f>IFERROR(__xludf.DUMMYFUNCTION("""COMPUTED_VALUE"""),-0.015)</f>
        <v>-0.015</v>
      </c>
      <c r="G1369" s="122">
        <f>IFERROR(__xludf.DUMMYFUNCTION("""COMPUTED_VALUE"""),0.75)</f>
        <v>0.75</v>
      </c>
      <c r="H1369" s="122" t="str">
        <f>IFERROR(__xludf.DUMMYFUNCTION("""COMPUTED_VALUE"""),"Active")</f>
        <v>Active</v>
      </c>
    </row>
    <row r="1370">
      <c r="A1370" s="131">
        <f>IFERROR(__xludf.DUMMYFUNCTION("""COMPUTED_VALUE"""),46183.33094907407)</f>
        <v>46183.33095</v>
      </c>
      <c r="B1370" s="122" t="str">
        <f>IFERROR(__xludf.DUMMYFUNCTION("""COMPUTED_VALUE"""),"VRSE")</f>
        <v>VRSE</v>
      </c>
      <c r="C1370" s="122" t="str">
        <f>IFERROR(__xludf.DUMMYFUNCTION("""COMPUTED_VALUE"""),"VerseVR surges as demand rises across the Technology sector.")</f>
        <v>VerseVR surges as demand rises across the Technology sector.</v>
      </c>
      <c r="D1370" s="122" t="str">
        <f>IFERROR(__xludf.DUMMYFUNCTION("""COMPUTED_VALUE"""),"VerseVR is seeing strong demand, which may increase investor confidence.")</f>
        <v>VerseVR is seeing strong demand, which may increase investor confidence.</v>
      </c>
      <c r="E1370" s="122" t="str">
        <f>IFERROR(__xludf.DUMMYFUNCTION("""COMPUTED_VALUE"""),"Positive")</f>
        <v>Positive</v>
      </c>
      <c r="F1370" s="122">
        <f>IFERROR(__xludf.DUMMYFUNCTION("""COMPUTED_VALUE"""),0.03)</f>
        <v>0.03</v>
      </c>
      <c r="G1370" s="122">
        <f>IFERROR(__xludf.DUMMYFUNCTION("""COMPUTED_VALUE"""),1.0)</f>
        <v>1</v>
      </c>
      <c r="H1370" s="122" t="str">
        <f>IFERROR(__xludf.DUMMYFUNCTION("""COMPUTED_VALUE"""),"Active")</f>
        <v>Active</v>
      </c>
    </row>
    <row r="1371">
      <c r="A1371" s="131">
        <f>IFERROR(__xludf.DUMMYFUNCTION("""COMPUTED_VALUE"""),46183.33094907407)</f>
        <v>46183.33095</v>
      </c>
      <c r="B1371" s="122" t="str">
        <f>IFERROR(__xludf.DUMMYFUNCTION("""COMPUTED_VALUE"""),"BYTE")</f>
        <v>BYTE</v>
      </c>
      <c r="C1371" s="122" t="str">
        <f>IFERROR(__xludf.DUMMYFUNCTION("""COMPUTED_VALUE"""),"ByteWorks surges as demand rises across the Technology sector.")</f>
        <v>ByteWorks surges as demand rises across the Technology sector.</v>
      </c>
      <c r="D1371" s="122" t="str">
        <f>IFERROR(__xludf.DUMMYFUNCTION("""COMPUTED_VALUE"""),"ByteWorks is seeing strong demand, which may increase investor confidence.")</f>
        <v>ByteWorks is seeing strong demand, which may increase investor confidence.</v>
      </c>
      <c r="E1371" s="122" t="str">
        <f>IFERROR(__xludf.DUMMYFUNCTION("""COMPUTED_VALUE"""),"Positive")</f>
        <v>Positive</v>
      </c>
      <c r="F1371" s="122">
        <f>IFERROR(__xludf.DUMMYFUNCTION("""COMPUTED_VALUE"""),0.03)</f>
        <v>0.03</v>
      </c>
      <c r="G1371" s="122">
        <f>IFERROR(__xludf.DUMMYFUNCTION("""COMPUTED_VALUE"""),1.0)</f>
        <v>1</v>
      </c>
      <c r="H1371" s="122" t="str">
        <f>IFERROR(__xludf.DUMMYFUNCTION("""COMPUTED_VALUE"""),"Active")</f>
        <v>Active</v>
      </c>
    </row>
    <row r="1372">
      <c r="A1372" s="131">
        <f>IFERROR(__xludf.DUMMYFUNCTION("""COMPUTED_VALUE"""),46183.33096064815)</f>
        <v>46183.33096</v>
      </c>
      <c r="B1372" s="122" t="str">
        <f>IFERROR(__xludf.DUMMYFUNCTION("""COMPUTED_VALUE"""),"BANK")</f>
        <v>BANK</v>
      </c>
      <c r="C1372" s="122" t="str">
        <f>IFERROR(__xludf.DUMMYFUNCTION("""COMPUTED_VALUE"""),"Tiger Bank surges as demand rises across the Finance sector.")</f>
        <v>Tiger Bank surges as demand rises across the Finance sector.</v>
      </c>
      <c r="D1372" s="122" t="str">
        <f>IFERROR(__xludf.DUMMYFUNCTION("""COMPUTED_VALUE"""),"Tiger Bank is seeing strong demand, which may increase investor confidence.")</f>
        <v>Tiger Bank is seeing strong demand, which may increase investor confidence.</v>
      </c>
      <c r="E1372" s="122" t="str">
        <f>IFERROR(__xludf.DUMMYFUNCTION("""COMPUTED_VALUE"""),"Positive")</f>
        <v>Positive</v>
      </c>
      <c r="F1372" s="122">
        <f>IFERROR(__xludf.DUMMYFUNCTION("""COMPUTED_VALUE"""),0.03)</f>
        <v>0.03</v>
      </c>
      <c r="G1372" s="122">
        <f>IFERROR(__xludf.DUMMYFUNCTION("""COMPUTED_VALUE"""),1.0)</f>
        <v>1</v>
      </c>
      <c r="H1372" s="122" t="str">
        <f>IFERROR(__xludf.DUMMYFUNCTION("""COMPUTED_VALUE"""),"Active")</f>
        <v>Active</v>
      </c>
    </row>
    <row r="1373">
      <c r="A1373" s="131">
        <f>IFERROR(__xludf.DUMMYFUNCTION("""COMPUTED_VALUE"""),46183.330972222226)</f>
        <v>46183.33097</v>
      </c>
      <c r="B1373" s="122" t="str">
        <f>IFERROR(__xludf.DUMMYFUNCTION("""COMPUTED_VALUE"""),"CRED")</f>
        <v>CRED</v>
      </c>
      <c r="C1373" s="122" t="str">
        <f>IFERROR(__xludf.DUMMYFUNCTION("""COMPUTED_VALUE"""),"Credit Castle reports steady growth and improved market confidence.")</f>
        <v>Credit Castle reports steady growth and improved market confidence.</v>
      </c>
      <c r="D1373" s="122" t="str">
        <f>IFERROR(__xludf.DUMMYFUNCTION("""COMPUTED_VALUE"""),"Credit Castle continues to show positive momentum with moderate risk.")</f>
        <v>Credit Castle continues to show positive momentum with moderate risk.</v>
      </c>
      <c r="E1373" s="122" t="str">
        <f>IFERROR(__xludf.DUMMYFUNCTION("""COMPUTED_VALUE"""),"Positive")</f>
        <v>Positive</v>
      </c>
      <c r="F1373" s="122">
        <f>IFERROR(__xludf.DUMMYFUNCTION("""COMPUTED_VALUE"""),0.015)</f>
        <v>0.015</v>
      </c>
      <c r="G1373" s="122">
        <f>IFERROR(__xludf.DUMMYFUNCTION("""COMPUTED_VALUE"""),0.5)</f>
        <v>0.5</v>
      </c>
      <c r="H1373" s="122" t="str">
        <f>IFERROR(__xludf.DUMMYFUNCTION("""COMPUTED_VALUE"""),"Active")</f>
        <v>Active</v>
      </c>
    </row>
    <row r="1374">
      <c r="A1374" s="131">
        <f>IFERROR(__xludf.DUMMYFUNCTION("""COMPUTED_VALUE"""),46183.330972222226)</f>
        <v>46183.33097</v>
      </c>
      <c r="B1374" s="122" t="str">
        <f>IFERROR(__xludf.DUMMYFUNCTION("""COMPUTED_VALUE"""),"BOND")</f>
        <v>BOND</v>
      </c>
      <c r="C1374" s="122" t="str">
        <f>IFERROR(__xludf.DUMMYFUNCTION("""COMPUTED_VALUE"""),"BondBridge remains stable as the Finance market shows normal activity.")</f>
        <v>BondBridge remains stable as the Finance market shows normal activity.</v>
      </c>
      <c r="D1374" s="122" t="str">
        <f>IFERROR(__xludf.DUMMYFUNCTION("""COMPUTED_VALUE"""),"BondBridge appears steady with no major changes reported.")</f>
        <v>BondBridge appears steady with no major changes reported.</v>
      </c>
      <c r="E1374" s="122" t="str">
        <f>IFERROR(__xludf.DUMMYFUNCTION("""COMPUTED_VALUE"""),"Neutral")</f>
        <v>Neutral</v>
      </c>
      <c r="F1374" s="122">
        <f>IFERROR(__xludf.DUMMYFUNCTION("""COMPUTED_VALUE"""),0.0)</f>
        <v>0</v>
      </c>
      <c r="G1374" s="122">
        <f>IFERROR(__xludf.DUMMYFUNCTION("""COMPUTED_VALUE"""),0.0)</f>
        <v>0</v>
      </c>
      <c r="H1374" s="122" t="str">
        <f>IFERROR(__xludf.DUMMYFUNCTION("""COMPUTED_VALUE"""),"Active")</f>
        <v>Active</v>
      </c>
    </row>
    <row r="1375">
      <c r="A1375" s="131">
        <f>IFERROR(__xludf.DUMMYFUNCTION("""COMPUTED_VALUE"""),46183.330983796295)</f>
        <v>46183.33098</v>
      </c>
      <c r="B1375" s="122" t="str">
        <f>IFERROR(__xludf.DUMMYFUNCTION("""COMPUTED_VALUE"""),"INSR")</f>
        <v>INSR</v>
      </c>
      <c r="C1375" s="122" t="str">
        <f>IFERROR(__xludf.DUMMYFUNCTION("""COMPUTED_VALUE"""),"Shield Insurance reports steady growth and improved market confidence.")</f>
        <v>Shield Insurance reports steady growth and improved market confidence.</v>
      </c>
      <c r="D1375" s="122" t="str">
        <f>IFERROR(__xludf.DUMMYFUNCTION("""COMPUTED_VALUE"""),"Shield Insurance continues to show positive momentum with moderate risk.")</f>
        <v>Shield Insurance continues to show positive momentum with moderate risk.</v>
      </c>
      <c r="E1375" s="122" t="str">
        <f>IFERROR(__xludf.DUMMYFUNCTION("""COMPUTED_VALUE"""),"Positive")</f>
        <v>Positive</v>
      </c>
      <c r="F1375" s="122">
        <f>IFERROR(__xludf.DUMMYFUNCTION("""COMPUTED_VALUE"""),0.015)</f>
        <v>0.015</v>
      </c>
      <c r="G1375" s="122">
        <f>IFERROR(__xludf.DUMMYFUNCTION("""COMPUTED_VALUE"""),0.5)</f>
        <v>0.5</v>
      </c>
      <c r="H1375" s="122" t="str">
        <f>IFERROR(__xludf.DUMMYFUNCTION("""COMPUTED_VALUE"""),"Active")</f>
        <v>Active</v>
      </c>
    </row>
    <row r="1376">
      <c r="A1376" s="131">
        <f>IFERROR(__xludf.DUMMYFUNCTION("""COMPUTED_VALUE"""),46183.33099537037)</f>
        <v>46183.331</v>
      </c>
      <c r="B1376" s="122" t="str">
        <f>IFERROR(__xludf.DUMMYFUNCTION("""COMPUTED_VALUE"""),"LOAN")</f>
        <v>LOAN</v>
      </c>
      <c r="C1376" s="122" t="str">
        <f>IFERROR(__xludf.DUMMYFUNCTION("""COMPUTED_VALUE"""),"LoanLab remains stable as the Finance market shows normal activity.")</f>
        <v>LoanLab remains stable as the Finance market shows normal activity.</v>
      </c>
      <c r="D1376" s="122" t="str">
        <f>IFERROR(__xludf.DUMMYFUNCTION("""COMPUTED_VALUE"""),"LoanLab appears steady with no major changes reported.")</f>
        <v>LoanLab appears steady with no major changes reported.</v>
      </c>
      <c r="E1376" s="122" t="str">
        <f>IFERROR(__xludf.DUMMYFUNCTION("""COMPUTED_VALUE"""),"Neutral")</f>
        <v>Neutral</v>
      </c>
      <c r="F1376" s="122">
        <f>IFERROR(__xludf.DUMMYFUNCTION("""COMPUTED_VALUE"""),0.0)</f>
        <v>0</v>
      </c>
      <c r="G1376" s="122">
        <f>IFERROR(__xludf.DUMMYFUNCTION("""COMPUTED_VALUE"""),0.0)</f>
        <v>0</v>
      </c>
      <c r="H1376" s="122" t="str">
        <f>IFERROR(__xludf.DUMMYFUNCTION("""COMPUTED_VALUE"""),"Active")</f>
        <v>Active</v>
      </c>
    </row>
    <row r="1377">
      <c r="A1377" s="131">
        <f>IFERROR(__xludf.DUMMYFUNCTION("""COMPUTED_VALUE"""),46183.33100694444)</f>
        <v>46183.33101</v>
      </c>
      <c r="B1377" s="122" t="str">
        <f>IFERROR(__xludf.DUMMYFUNCTION("""COMPUTED_VALUE"""),"LUXE")</f>
        <v>LUXE</v>
      </c>
      <c r="C1377" s="122" t="str">
        <f>IFERROR(__xludf.DUMMYFUNCTION("""COMPUTED_VALUE"""),"Luxury Locker faces weaker demand and cautious investor sentiment.")</f>
        <v>Luxury Locker faces weaker demand and cautious investor sentiment.</v>
      </c>
      <c r="D1377" s="122" t="str">
        <f>IFERROR(__xludf.DUMMYFUNCTION("""COMPUTED_VALUE"""),"Investors are watching Luxury Locker closely as demand weakens.")</f>
        <v>Investors are watching Luxury Locker closely as demand weakens.</v>
      </c>
      <c r="E1377" s="122" t="str">
        <f>IFERROR(__xludf.DUMMYFUNCTION("""COMPUTED_VALUE"""),"Negative")</f>
        <v>Negative</v>
      </c>
      <c r="F1377" s="122">
        <f>IFERROR(__xludf.DUMMYFUNCTION("""COMPUTED_VALUE"""),-0.015)</f>
        <v>-0.015</v>
      </c>
      <c r="G1377" s="122">
        <f>IFERROR(__xludf.DUMMYFUNCTION("""COMPUTED_VALUE"""),0.75)</f>
        <v>0.75</v>
      </c>
      <c r="H1377" s="122" t="str">
        <f>IFERROR(__xludf.DUMMYFUNCTION("""COMPUTED_VALUE"""),"Active")</f>
        <v>Active</v>
      </c>
    </row>
    <row r="1378">
      <c r="A1378" s="131">
        <f>IFERROR(__xludf.DUMMYFUNCTION("""COMPUTED_VALUE"""),46183.33101851852)</f>
        <v>46183.33102</v>
      </c>
      <c r="B1378" s="122" t="str">
        <f>IFERROR(__xludf.DUMMYFUNCTION("""COMPUTED_VALUE"""),"DRIP")</f>
        <v>DRIP</v>
      </c>
      <c r="C1378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378" s="122" t="str">
        <f>IFERROR(__xludf.DUMMYFUNCTION("""COMPUTED_VALUE"""),"Drip Streetwear appears steady with no major changes reported.")</f>
        <v>Drip Streetwear appears steady with no major changes reported.</v>
      </c>
      <c r="E1378" s="122" t="str">
        <f>IFERROR(__xludf.DUMMYFUNCTION("""COMPUTED_VALUE"""),"Neutral")</f>
        <v>Neutral</v>
      </c>
      <c r="F1378" s="122">
        <f>IFERROR(__xludf.DUMMYFUNCTION("""COMPUTED_VALUE"""),0.0)</f>
        <v>0</v>
      </c>
      <c r="G1378" s="122">
        <f>IFERROR(__xludf.DUMMYFUNCTION("""COMPUTED_VALUE"""),0.0)</f>
        <v>0</v>
      </c>
      <c r="H1378" s="122" t="str">
        <f>IFERROR(__xludf.DUMMYFUNCTION("""COMPUTED_VALUE"""),"Active")</f>
        <v>Active</v>
      </c>
    </row>
    <row r="1379">
      <c r="A1379" s="131">
        <f>IFERROR(__xludf.DUMMYFUNCTION("""COMPUTED_VALUE"""),46183.33101851852)</f>
        <v>46183.33102</v>
      </c>
      <c r="B1379" s="122" t="str">
        <f>IFERROR(__xludf.DUMMYFUNCTION("""COMPUTED_VALUE"""),"KICK")</f>
        <v>KICK</v>
      </c>
      <c r="C1379" s="122" t="str">
        <f>IFERROR(__xludf.DUMMYFUNCTION("""COMPUTED_VALUE"""),"KickDrop Sneakers remains stable as the Fashion market shows normal activity.")</f>
        <v>KickDrop Sneakers remains stable as the Fashion market shows normal activity.</v>
      </c>
      <c r="D1379" s="122" t="str">
        <f>IFERROR(__xludf.DUMMYFUNCTION("""COMPUTED_VALUE"""),"KickDrop Sneakers appears steady with no major changes reported.")</f>
        <v>KickDrop Sneakers appears steady with no major changes reported.</v>
      </c>
      <c r="E1379" s="122" t="str">
        <f>IFERROR(__xludf.DUMMYFUNCTION("""COMPUTED_VALUE"""),"Neutral")</f>
        <v>Neutral</v>
      </c>
      <c r="F1379" s="122">
        <f>IFERROR(__xludf.DUMMYFUNCTION("""COMPUTED_VALUE"""),0.0)</f>
        <v>0</v>
      </c>
      <c r="G1379" s="122">
        <f>IFERROR(__xludf.DUMMYFUNCTION("""COMPUTED_VALUE"""),0.0)</f>
        <v>0</v>
      </c>
      <c r="H1379" s="122" t="str">
        <f>IFERROR(__xludf.DUMMYFUNCTION("""COMPUTED_VALUE"""),"Active")</f>
        <v>Active</v>
      </c>
    </row>
    <row r="1380">
      <c r="A1380" s="131">
        <f>IFERROR(__xludf.DUMMYFUNCTION("""COMPUTED_VALUE"""),46183.331030092595)</f>
        <v>46183.33103</v>
      </c>
      <c r="B1380" s="122" t="str">
        <f>IFERROR(__xludf.DUMMYFUNCTION("""COMPUTED_VALUE"""),"GLAM")</f>
        <v>GLAM</v>
      </c>
      <c r="C1380" s="122" t="str">
        <f>IFERROR(__xludf.DUMMYFUNCTION("""COMPUTED_VALUE"""),"Glow Cosmetics reports steady growth and improved market confidence.")</f>
        <v>Glow Cosmetics reports steady growth and improved market confidence.</v>
      </c>
      <c r="D1380" s="122" t="str">
        <f>IFERROR(__xludf.DUMMYFUNCTION("""COMPUTED_VALUE"""),"Glow Cosmetics continues to show positive momentum with moderate risk.")</f>
        <v>Glow Cosmetics continues to show positive momentum with moderate risk.</v>
      </c>
      <c r="E1380" s="122" t="str">
        <f>IFERROR(__xludf.DUMMYFUNCTION("""COMPUTED_VALUE"""),"Positive")</f>
        <v>Positive</v>
      </c>
      <c r="F1380" s="122">
        <f>IFERROR(__xludf.DUMMYFUNCTION("""COMPUTED_VALUE"""),0.015)</f>
        <v>0.015</v>
      </c>
      <c r="G1380" s="122">
        <f>IFERROR(__xludf.DUMMYFUNCTION("""COMPUTED_VALUE"""),0.5)</f>
        <v>0.5</v>
      </c>
      <c r="H1380" s="122" t="str">
        <f>IFERROR(__xludf.DUMMYFUNCTION("""COMPUTED_VALUE"""),"Active")</f>
        <v>Active</v>
      </c>
    </row>
    <row r="1381">
      <c r="A1381" s="131">
        <f>IFERROR(__xludf.DUMMYFUNCTION("""COMPUTED_VALUE"""),46183.331030092595)</f>
        <v>46183.33103</v>
      </c>
      <c r="B1381" s="122" t="str">
        <f>IFERROR(__xludf.DUMMYFUNCTION("""COMPUTED_VALUE"""),"BAGG")</f>
        <v>BAGG</v>
      </c>
      <c r="C1381" s="122" t="str">
        <f>IFERROR(__xludf.DUMMYFUNCTION("""COMPUTED_VALUE"""),"BagVault remains stable as the Fashion market shows normal activity.")</f>
        <v>BagVault remains stable as the Fashion market shows normal activity.</v>
      </c>
      <c r="D1381" s="122" t="str">
        <f>IFERROR(__xludf.DUMMYFUNCTION("""COMPUTED_VALUE"""),"BagVault appears steady with no major changes reported.")</f>
        <v>BagVault appears steady with no major changes reported.</v>
      </c>
      <c r="E1381" s="122" t="str">
        <f>IFERROR(__xludf.DUMMYFUNCTION("""COMPUTED_VALUE"""),"Neutral")</f>
        <v>Neutral</v>
      </c>
      <c r="F1381" s="122">
        <f>IFERROR(__xludf.DUMMYFUNCTION("""COMPUTED_VALUE"""),0.0)</f>
        <v>0</v>
      </c>
      <c r="G1381" s="122">
        <f>IFERROR(__xludf.DUMMYFUNCTION("""COMPUTED_VALUE"""),0.0)</f>
        <v>0</v>
      </c>
      <c r="H1381" s="122" t="str">
        <f>IFERROR(__xludf.DUMMYFUNCTION("""COMPUTED_VALUE"""),"Active")</f>
        <v>Active</v>
      </c>
    </row>
    <row r="1382">
      <c r="A1382" s="131">
        <f>IFERROR(__xludf.DUMMYFUNCTION("""COMPUTED_VALUE"""),46183.331041666665)</f>
        <v>46183.33104</v>
      </c>
      <c r="B1382" s="122" t="str">
        <f>IFERROR(__xludf.DUMMYFUNCTION("""COMPUTED_VALUE"""),"FAST")</f>
        <v>FAST</v>
      </c>
      <c r="C1382" s="122" t="str">
        <f>IFERROR(__xludf.DUMMYFUNCTION("""COMPUTED_VALUE"""),"Flash Logistics sees uncertain trading as investors react to mixed signals.")</f>
        <v>Flash Logistics sees uncertain trading as investors react to mixed signals.</v>
      </c>
      <c r="D1382" s="122" t="str">
        <f>IFERROR(__xludf.DUMMYFUNCTION("""COMPUTED_VALUE"""),"Flash Logistics may experience larger price swings as investors disagree on direction.")</f>
        <v>Flash Logistics may experience larger price swings as investors disagree on direction.</v>
      </c>
      <c r="E1382" s="122" t="str">
        <f>IFERROR(__xludf.DUMMYFUNCTION("""COMPUTED_VALUE"""),"Mixed")</f>
        <v>Mixed</v>
      </c>
      <c r="F1382" s="122">
        <f>IFERROR(__xludf.DUMMYFUNCTION("""COMPUTED_VALUE"""),-0.0056160592225948935)</f>
        <v>-0.005616059223</v>
      </c>
      <c r="G1382" s="122">
        <f>IFERROR(__xludf.DUMMYFUNCTION("""COMPUTED_VALUE"""),1.5)</f>
        <v>1.5</v>
      </c>
      <c r="H1382" s="122" t="str">
        <f>IFERROR(__xludf.DUMMYFUNCTION("""COMPUTED_VALUE"""),"Active")</f>
        <v>Active</v>
      </c>
    </row>
    <row r="1383">
      <c r="A1383" s="131">
        <f>IFERROR(__xludf.DUMMYFUNCTION("""COMPUTED_VALUE"""),46183.33105324074)</f>
        <v>46183.33105</v>
      </c>
      <c r="B1383" s="122" t="str">
        <f>IFERROR(__xludf.DUMMYFUNCTION("""COMPUTED_VALUE"""),"SHIP")</f>
        <v>SHIP</v>
      </c>
      <c r="C1383" s="122" t="str">
        <f>IFERROR(__xludf.DUMMYFUNCTION("""COMPUTED_VALUE"""),"Seoul Shipping surges as demand rises across the Logistics sector.")</f>
        <v>Seoul Shipping surges as demand rises across the Logistics sector.</v>
      </c>
      <c r="D1383" s="122" t="str">
        <f>IFERROR(__xludf.DUMMYFUNCTION("""COMPUTED_VALUE"""),"Seoul Shipping is seeing strong demand, which may increase investor confidence.")</f>
        <v>Seoul Shipping is seeing strong demand, which may increase investor confidence.</v>
      </c>
      <c r="E1383" s="122" t="str">
        <f>IFERROR(__xludf.DUMMYFUNCTION("""COMPUTED_VALUE"""),"Positive")</f>
        <v>Positive</v>
      </c>
      <c r="F1383" s="122">
        <f>IFERROR(__xludf.DUMMYFUNCTION("""COMPUTED_VALUE"""),0.03)</f>
        <v>0.03</v>
      </c>
      <c r="G1383" s="122">
        <f>IFERROR(__xludf.DUMMYFUNCTION("""COMPUTED_VALUE"""),1.0)</f>
        <v>1</v>
      </c>
      <c r="H1383" s="122" t="str">
        <f>IFERROR(__xludf.DUMMYFUNCTION("""COMPUTED_VALUE"""),"Active")</f>
        <v>Active</v>
      </c>
    </row>
    <row r="1384">
      <c r="A1384" s="131">
        <f>IFERROR(__xludf.DUMMYFUNCTION("""COMPUTED_VALUE"""),46183.33105324074)</f>
        <v>46183.33105</v>
      </c>
      <c r="B1384" s="122" t="str">
        <f>IFERROR(__xludf.DUMMYFUNCTION("""COMPUTED_VALUE"""),"DRON")</f>
        <v>DRON</v>
      </c>
      <c r="C1384" s="122" t="str">
        <f>IFERROR(__xludf.DUMMYFUNCTION("""COMPUTED_VALUE"""),"DroneDrop remains stable as the Logistics market shows normal activity.")</f>
        <v>DroneDrop remains stable as the Logistics market shows normal activity.</v>
      </c>
      <c r="D1384" s="122" t="str">
        <f>IFERROR(__xludf.DUMMYFUNCTION("""COMPUTED_VALUE"""),"DroneDrop appears steady with no major changes reported.")</f>
        <v>DroneDrop appears steady with no major changes reported.</v>
      </c>
      <c r="E1384" s="122" t="str">
        <f>IFERROR(__xludf.DUMMYFUNCTION("""COMPUTED_VALUE"""),"Neutral")</f>
        <v>Neutral</v>
      </c>
      <c r="F1384" s="122">
        <f>IFERROR(__xludf.DUMMYFUNCTION("""COMPUTED_VALUE"""),0.0)</f>
        <v>0</v>
      </c>
      <c r="G1384" s="122">
        <f>IFERROR(__xludf.DUMMYFUNCTION("""COMPUTED_VALUE"""),0.0)</f>
        <v>0</v>
      </c>
      <c r="H1384" s="122" t="str">
        <f>IFERROR(__xludf.DUMMYFUNCTION("""COMPUTED_VALUE"""),"Active")</f>
        <v>Active</v>
      </c>
    </row>
    <row r="1385">
      <c r="A1385" s="131">
        <f>IFERROR(__xludf.DUMMYFUNCTION("""COMPUTED_VALUE"""),46183.33106481482)</f>
        <v>46183.33106</v>
      </c>
      <c r="B1385" s="122" t="str">
        <f>IFERROR(__xludf.DUMMYFUNCTION("""COMPUTED_VALUE"""),"RIDE")</f>
        <v>RIDE</v>
      </c>
      <c r="C1385" s="122" t="str">
        <f>IFERROR(__xludf.DUMMYFUNCTION("""COMPUTED_VALUE"""),"QuickRide sees uncertain trading as investors react to mixed signals.")</f>
        <v>QuickRide sees uncertain trading as investors react to mixed signals.</v>
      </c>
      <c r="D1385" s="122" t="str">
        <f>IFERROR(__xludf.DUMMYFUNCTION("""COMPUTED_VALUE"""),"QuickRide may experience larger price swings as investors disagree on direction.")</f>
        <v>QuickRide may experience larger price swings as investors disagree on direction.</v>
      </c>
      <c r="E1385" s="122" t="str">
        <f>IFERROR(__xludf.DUMMYFUNCTION("""COMPUTED_VALUE"""),"Mixed")</f>
        <v>Mixed</v>
      </c>
      <c r="F1385" s="122">
        <f>IFERROR(__xludf.DUMMYFUNCTION("""COMPUTED_VALUE"""),0.01376384531334619)</f>
        <v>0.01376384531</v>
      </c>
      <c r="G1385" s="122">
        <f>IFERROR(__xludf.DUMMYFUNCTION("""COMPUTED_VALUE"""),1.5)</f>
        <v>1.5</v>
      </c>
      <c r="H1385" s="122" t="str">
        <f>IFERROR(__xludf.DUMMYFUNCTION("""COMPUTED_VALUE"""),"Active")</f>
        <v>Active</v>
      </c>
    </row>
    <row r="1386">
      <c r="A1386" s="131">
        <f>IFERROR(__xludf.DUMMYFUNCTION("""COMPUTED_VALUE"""),46183.33107638889)</f>
        <v>46183.33108</v>
      </c>
      <c r="B1386" s="122" t="str">
        <f>IFERROR(__xludf.DUMMYFUNCTION("""COMPUTED_VALUE"""),"RAIL")</f>
        <v>RAIL</v>
      </c>
      <c r="C1386" s="122" t="str">
        <f>IFERROR(__xludf.DUMMYFUNCTION("""COMPUTED_VALUE"""),"MetroRail Corp reports steady growth and improved market confidence.")</f>
        <v>MetroRail Corp reports steady growth and improved market confidence.</v>
      </c>
      <c r="D1386" s="122" t="str">
        <f>IFERROR(__xludf.DUMMYFUNCTION("""COMPUTED_VALUE"""),"MetroRail Corp continues to show positive momentum with moderate risk.")</f>
        <v>MetroRail Corp continues to show positive momentum with moderate risk.</v>
      </c>
      <c r="E1386" s="122" t="str">
        <f>IFERROR(__xludf.DUMMYFUNCTION("""COMPUTED_VALUE"""),"Positive")</f>
        <v>Positive</v>
      </c>
      <c r="F1386" s="122">
        <f>IFERROR(__xludf.DUMMYFUNCTION("""COMPUTED_VALUE"""),0.015)</f>
        <v>0.015</v>
      </c>
      <c r="G1386" s="122">
        <f>IFERROR(__xludf.DUMMYFUNCTION("""COMPUTED_VALUE"""),0.5)</f>
        <v>0.5</v>
      </c>
      <c r="H1386" s="122" t="str">
        <f>IFERROR(__xludf.DUMMYFUNCTION("""COMPUTED_VALUE"""),"Active")</f>
        <v>Active</v>
      </c>
    </row>
    <row r="1387">
      <c r="A1387" s="131">
        <f>IFERROR(__xludf.DUMMYFUNCTION("""COMPUTED_VALUE"""),46183.33107638889)</f>
        <v>46183.33108</v>
      </c>
      <c r="B1387" s="122" t="str">
        <f>IFERROR(__xludf.DUMMYFUNCTION("""COMPUTED_VALUE"""),"MEDX")</f>
        <v>MEDX</v>
      </c>
      <c r="C1387" s="122" t="str">
        <f>IFERROR(__xludf.DUMMYFUNCTION("""COMPUTED_VALUE"""),"MediCore faces weaker demand and cautious investor sentiment.")</f>
        <v>MediCore faces weaker demand and cautious investor sentiment.</v>
      </c>
      <c r="D1387" s="122" t="str">
        <f>IFERROR(__xludf.DUMMYFUNCTION("""COMPUTED_VALUE"""),"Investors are watching MediCore closely as demand weakens.")</f>
        <v>Investors are watching MediCore closely as demand weakens.</v>
      </c>
      <c r="E1387" s="122" t="str">
        <f>IFERROR(__xludf.DUMMYFUNCTION("""COMPUTED_VALUE"""),"Negative")</f>
        <v>Negative</v>
      </c>
      <c r="F1387" s="122">
        <f>IFERROR(__xludf.DUMMYFUNCTION("""COMPUTED_VALUE"""),-0.015)</f>
        <v>-0.015</v>
      </c>
      <c r="G1387" s="122">
        <f>IFERROR(__xludf.DUMMYFUNCTION("""COMPUTED_VALUE"""),0.75)</f>
        <v>0.75</v>
      </c>
      <c r="H1387" s="122" t="str">
        <f>IFERROR(__xludf.DUMMYFUNCTION("""COMPUTED_VALUE"""),"Active")</f>
        <v>Active</v>
      </c>
    </row>
    <row r="1388">
      <c r="A1388" s="131">
        <f>IFERROR(__xludf.DUMMYFUNCTION("""COMPUTED_VALUE"""),46183.331087962964)</f>
        <v>46183.33109</v>
      </c>
      <c r="B1388" s="122" t="str">
        <f>IFERROR(__xludf.DUMMYFUNCTION("""COMPUTED_VALUE"""),"GYMX")</f>
        <v>GYMX</v>
      </c>
      <c r="C1388" s="122" t="str">
        <f>IFERROR(__xludf.DUMMYFUNCTION("""COMPUTED_VALUE"""),"GymX Fitness sees uncertain trading as investors react to mixed signals.")</f>
        <v>GymX Fitness sees uncertain trading as investors react to mixed signals.</v>
      </c>
      <c r="D1388" s="122" t="str">
        <f>IFERROR(__xludf.DUMMYFUNCTION("""COMPUTED_VALUE"""),"GymX Fitness may experience larger price swings as investors disagree on direction.")</f>
        <v>GymX Fitness may experience larger price swings as investors disagree on direction.</v>
      </c>
      <c r="E1388" s="122" t="str">
        <f>IFERROR(__xludf.DUMMYFUNCTION("""COMPUTED_VALUE"""),"Mixed")</f>
        <v>Mixed</v>
      </c>
      <c r="F1388" s="122">
        <f>IFERROR(__xludf.DUMMYFUNCTION("""COMPUTED_VALUE"""),-0.017709858759759434)</f>
        <v>-0.01770985876</v>
      </c>
      <c r="G1388" s="122">
        <f>IFERROR(__xludf.DUMMYFUNCTION("""COMPUTED_VALUE"""),1.5)</f>
        <v>1.5</v>
      </c>
      <c r="H1388" s="122" t="str">
        <f>IFERROR(__xludf.DUMMYFUNCTION("""COMPUTED_VALUE"""),"Active")</f>
        <v>Active</v>
      </c>
    </row>
    <row r="1389">
      <c r="A1389" s="131">
        <f>IFERROR(__xludf.DUMMYFUNCTION("""COMPUTED_VALUE"""),46183.331087962964)</f>
        <v>46183.33109</v>
      </c>
      <c r="B1389" s="122" t="str">
        <f>IFERROR(__xludf.DUMMYFUNCTION("""COMPUTED_VALUE"""),"VITA")</f>
        <v>VITA</v>
      </c>
      <c r="C1389" s="122" t="str">
        <f>IFERROR(__xludf.DUMMYFUNCTION("""COMPUTED_VALUE"""),"VitaPlus remains stable as the Healthcare market shows normal activity.")</f>
        <v>VitaPlus remains stable as the Healthcare market shows normal activity.</v>
      </c>
      <c r="D1389" s="122" t="str">
        <f>IFERROR(__xludf.DUMMYFUNCTION("""COMPUTED_VALUE"""),"VitaPlus appears steady with no major changes reported.")</f>
        <v>VitaPlus appears steady with no major changes reported.</v>
      </c>
      <c r="E1389" s="122" t="str">
        <f>IFERROR(__xludf.DUMMYFUNCTION("""COMPUTED_VALUE"""),"Neutral")</f>
        <v>Neutral</v>
      </c>
      <c r="F1389" s="122">
        <f>IFERROR(__xludf.DUMMYFUNCTION("""COMPUTED_VALUE"""),0.0)</f>
        <v>0</v>
      </c>
      <c r="G1389" s="122">
        <f>IFERROR(__xludf.DUMMYFUNCTION("""COMPUTED_VALUE"""),0.0)</f>
        <v>0</v>
      </c>
      <c r="H1389" s="122" t="str">
        <f>IFERROR(__xludf.DUMMYFUNCTION("""COMPUTED_VALUE"""),"Active")</f>
        <v>Active</v>
      </c>
    </row>
    <row r="1390">
      <c r="A1390" s="131">
        <f>IFERROR(__xludf.DUMMYFUNCTION("""COMPUTED_VALUE"""),46183.331099537034)</f>
        <v>46183.3311</v>
      </c>
      <c r="B1390" s="122" t="str">
        <f>IFERROR(__xludf.DUMMYFUNCTION("""COMPUTED_VALUE"""),"CARE")</f>
        <v>CARE</v>
      </c>
      <c r="C1390" s="122" t="str">
        <f>IFERROR(__xludf.DUMMYFUNCTION("""COMPUTED_VALUE"""),"CareCloud remains stable as the Healthcare market shows normal activity.")</f>
        <v>CareCloud remains stable as the Healthcare market shows normal activity.</v>
      </c>
      <c r="D1390" s="122" t="str">
        <f>IFERROR(__xludf.DUMMYFUNCTION("""COMPUTED_VALUE"""),"CareCloud appears steady with no major changes reported.")</f>
        <v>CareCloud appears steady with no major changes reported.</v>
      </c>
      <c r="E1390" s="122" t="str">
        <f>IFERROR(__xludf.DUMMYFUNCTION("""COMPUTED_VALUE"""),"Neutral")</f>
        <v>Neutral</v>
      </c>
      <c r="F1390" s="122">
        <f>IFERROR(__xludf.DUMMYFUNCTION("""COMPUTED_VALUE"""),0.0)</f>
        <v>0</v>
      </c>
      <c r="G1390" s="122">
        <f>IFERROR(__xludf.DUMMYFUNCTION("""COMPUTED_VALUE"""),0.0)</f>
        <v>0</v>
      </c>
      <c r="H1390" s="122" t="str">
        <f>IFERROR(__xludf.DUMMYFUNCTION("""COMPUTED_VALUE"""),"Active")</f>
        <v>Active</v>
      </c>
    </row>
    <row r="1391">
      <c r="A1391" s="131">
        <f>IFERROR(__xludf.DUMMYFUNCTION("""COMPUTED_VALUE"""),46183.331099537034)</f>
        <v>46183.3311</v>
      </c>
      <c r="B1391" s="122" t="str">
        <f>IFERROR(__xludf.DUMMYFUNCTION("""COMPUTED_VALUE"""),"DENT")</f>
        <v>DENT</v>
      </c>
      <c r="C1391" s="122" t="str">
        <f>IFERROR(__xludf.DUMMYFUNCTION("""COMPUTED_VALUE"""),"SmileWorks remains stable as the Healthcare market shows normal activity.")</f>
        <v>SmileWorks remains stable as the Healthcare market shows normal activity.</v>
      </c>
      <c r="D1391" s="122" t="str">
        <f>IFERROR(__xludf.DUMMYFUNCTION("""COMPUTED_VALUE"""),"SmileWorks appears steady with no major changes reported.")</f>
        <v>SmileWorks appears steady with no major changes reported.</v>
      </c>
      <c r="E1391" s="122" t="str">
        <f>IFERROR(__xludf.DUMMYFUNCTION("""COMPUTED_VALUE"""),"Neutral")</f>
        <v>Neutral</v>
      </c>
      <c r="F1391" s="122">
        <f>IFERROR(__xludf.DUMMYFUNCTION("""COMPUTED_VALUE"""),0.0)</f>
        <v>0</v>
      </c>
      <c r="G1391" s="122">
        <f>IFERROR(__xludf.DUMMYFUNCTION("""COMPUTED_VALUE"""),0.0)</f>
        <v>0</v>
      </c>
      <c r="H1391" s="122" t="str">
        <f>IFERROR(__xludf.DUMMYFUNCTION("""COMPUTED_VALUE"""),"Active")</f>
        <v>Active</v>
      </c>
    </row>
    <row r="1392">
      <c r="A1392" s="131">
        <f>IFERROR(__xludf.DUMMYFUNCTION("""COMPUTED_VALUE"""),46183.33111111111)</f>
        <v>46183.33111</v>
      </c>
      <c r="B1392" s="122" t="str">
        <f>IFERROR(__xludf.DUMMYFUNCTION("""COMPUTED_VALUE"""),"EDUX")</f>
        <v>EDUX</v>
      </c>
      <c r="C1392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392" s="122" t="str">
        <f>IFERROR(__xludf.DUMMYFUNCTION("""COMPUTED_VALUE"""),"EduMax Learning appears steady with no major changes reported.")</f>
        <v>EduMax Learning appears steady with no major changes reported.</v>
      </c>
      <c r="E1392" s="122" t="str">
        <f>IFERROR(__xludf.DUMMYFUNCTION("""COMPUTED_VALUE"""),"Neutral")</f>
        <v>Neutral</v>
      </c>
      <c r="F1392" s="122">
        <f>IFERROR(__xludf.DUMMYFUNCTION("""COMPUTED_VALUE"""),0.0)</f>
        <v>0</v>
      </c>
      <c r="G1392" s="122">
        <f>IFERROR(__xludf.DUMMYFUNCTION("""COMPUTED_VALUE"""),0.0)</f>
        <v>0</v>
      </c>
      <c r="H1392" s="122" t="str">
        <f>IFERROR(__xludf.DUMMYFUNCTION("""COMPUTED_VALUE"""),"Active")</f>
        <v>Active</v>
      </c>
    </row>
    <row r="1393">
      <c r="A1393" s="131">
        <f>IFERROR(__xludf.DUMMYFUNCTION("""COMPUTED_VALUE"""),46183.33111111111)</f>
        <v>46183.33111</v>
      </c>
      <c r="B1393" s="122" t="str">
        <f>IFERROR(__xludf.DUMMYFUNCTION("""COMPUTED_VALUE"""),"BOOK")</f>
        <v>BOOK</v>
      </c>
      <c r="C1393" s="122" t="str">
        <f>IFERROR(__xludf.DUMMYFUNCTION("""COMPUTED_VALUE"""),"BookBridge remains stable as the Education market shows normal activity.")</f>
        <v>BookBridge remains stable as the Education market shows normal activity.</v>
      </c>
      <c r="D1393" s="122" t="str">
        <f>IFERROR(__xludf.DUMMYFUNCTION("""COMPUTED_VALUE"""),"BookBridge appears steady with no major changes reported.")</f>
        <v>BookBridge appears steady with no major changes reported.</v>
      </c>
      <c r="E1393" s="122" t="str">
        <f>IFERROR(__xludf.DUMMYFUNCTION("""COMPUTED_VALUE"""),"Neutral")</f>
        <v>Neutral</v>
      </c>
      <c r="F1393" s="122">
        <f>IFERROR(__xludf.DUMMYFUNCTION("""COMPUTED_VALUE"""),0.0)</f>
        <v>0</v>
      </c>
      <c r="G1393" s="122">
        <f>IFERROR(__xludf.DUMMYFUNCTION("""COMPUTED_VALUE"""),0.0)</f>
        <v>0</v>
      </c>
      <c r="H1393" s="122" t="str">
        <f>IFERROR(__xludf.DUMMYFUNCTION("""COMPUTED_VALUE"""),"Active")</f>
        <v>Active</v>
      </c>
    </row>
    <row r="1394">
      <c r="A1394" s="131">
        <f>IFERROR(__xludf.DUMMYFUNCTION("""COMPUTED_VALUE"""),46183.33112268519)</f>
        <v>46183.33112</v>
      </c>
      <c r="B1394" s="122" t="str">
        <f>IFERROR(__xludf.DUMMYFUNCTION("""COMPUTED_VALUE"""),"TUTR")</f>
        <v>TUTR</v>
      </c>
      <c r="C1394" s="122" t="str">
        <f>IFERROR(__xludf.DUMMYFUNCTION("""COMPUTED_VALUE"""),"TutorTown reports steady growth and improved market confidence.")</f>
        <v>TutorTown reports steady growth and improved market confidence.</v>
      </c>
      <c r="D1394" s="122" t="str">
        <f>IFERROR(__xludf.DUMMYFUNCTION("""COMPUTED_VALUE"""),"TutorTown continues to show positive momentum with moderate risk.")</f>
        <v>TutorTown continues to show positive momentum with moderate risk.</v>
      </c>
      <c r="E1394" s="122" t="str">
        <f>IFERROR(__xludf.DUMMYFUNCTION("""COMPUTED_VALUE"""),"Positive")</f>
        <v>Positive</v>
      </c>
      <c r="F1394" s="122">
        <f>IFERROR(__xludf.DUMMYFUNCTION("""COMPUTED_VALUE"""),0.015)</f>
        <v>0.015</v>
      </c>
      <c r="G1394" s="122">
        <f>IFERROR(__xludf.DUMMYFUNCTION("""COMPUTED_VALUE"""),0.5)</f>
        <v>0.5</v>
      </c>
      <c r="H1394" s="122" t="str">
        <f>IFERROR(__xludf.DUMMYFUNCTION("""COMPUTED_VALUE"""),"Active")</f>
        <v>Active</v>
      </c>
    </row>
    <row r="1395">
      <c r="A1395" s="131">
        <f>IFERROR(__xludf.DUMMYFUNCTION("""COMPUTED_VALUE"""),46183.33113425926)</f>
        <v>46183.33113</v>
      </c>
      <c r="B1395" s="122" t="str">
        <f>IFERROR(__xludf.DUMMYFUNCTION("""COMPUTED_VALUE"""),"LANG")</f>
        <v>LANG</v>
      </c>
      <c r="C1395" s="122" t="str">
        <f>IFERROR(__xludf.DUMMYFUNCTION("""COMPUTED_VALUE"""),"LinguaLab reports steady growth and improved market confidence.")</f>
        <v>LinguaLab reports steady growth and improved market confidence.</v>
      </c>
      <c r="D1395" s="122" t="str">
        <f>IFERROR(__xludf.DUMMYFUNCTION("""COMPUTED_VALUE"""),"LinguaLab continues to show positive momentum with moderate risk.")</f>
        <v>LinguaLab continues to show positive momentum with moderate risk.</v>
      </c>
      <c r="E1395" s="122" t="str">
        <f>IFERROR(__xludf.DUMMYFUNCTION("""COMPUTED_VALUE"""),"Positive")</f>
        <v>Positive</v>
      </c>
      <c r="F1395" s="122">
        <f>IFERROR(__xludf.DUMMYFUNCTION("""COMPUTED_VALUE"""),0.015)</f>
        <v>0.015</v>
      </c>
      <c r="G1395" s="122">
        <f>IFERROR(__xludf.DUMMYFUNCTION("""COMPUTED_VALUE"""),0.5)</f>
        <v>0.5</v>
      </c>
      <c r="H1395" s="122" t="str">
        <f>IFERROR(__xludf.DUMMYFUNCTION("""COMPUTED_VALUE"""),"Active")</f>
        <v>Active</v>
      </c>
    </row>
    <row r="1396">
      <c r="A1396" s="131">
        <f>IFERROR(__xludf.DUMMYFUNCTION("""COMPUTED_VALUE"""),46183.33113425926)</f>
        <v>46183.33113</v>
      </c>
      <c r="B1396" s="122" t="str">
        <f>IFERROR(__xludf.DUMMYFUNCTION("""COMPUTED_VALUE"""),"TEST")</f>
        <v>TEST</v>
      </c>
      <c r="C1396" s="122" t="str">
        <f>IFERROR(__xludf.DUMMYFUNCTION("""COMPUTED_VALUE"""),"TestPrep Pro faces weaker demand and cautious investor sentiment.")</f>
        <v>TestPrep Pro faces weaker demand and cautious investor sentiment.</v>
      </c>
      <c r="D1396" s="122" t="str">
        <f>IFERROR(__xludf.DUMMYFUNCTION("""COMPUTED_VALUE"""),"Investors are watching TestPrep Pro closely as demand weakens.")</f>
        <v>Investors are watching TestPrep Pro closely as demand weakens.</v>
      </c>
      <c r="E1396" s="122" t="str">
        <f>IFERROR(__xludf.DUMMYFUNCTION("""COMPUTED_VALUE"""),"Negative")</f>
        <v>Negative</v>
      </c>
      <c r="F1396" s="122">
        <f>IFERROR(__xludf.DUMMYFUNCTION("""COMPUTED_VALUE"""),-0.015)</f>
        <v>-0.015</v>
      </c>
      <c r="G1396" s="122">
        <f>IFERROR(__xludf.DUMMYFUNCTION("""COMPUTED_VALUE"""),0.75)</f>
        <v>0.75</v>
      </c>
      <c r="H1396" s="122" t="str">
        <f>IFERROR(__xludf.DUMMYFUNCTION("""COMPUTED_VALUE"""),"Active")</f>
        <v>Active</v>
      </c>
    </row>
    <row r="1397">
      <c r="A1397" s="131">
        <f>IFERROR(__xludf.DUMMYFUNCTION("""COMPUTED_VALUE"""),46183.331145833334)</f>
        <v>46183.33115</v>
      </c>
      <c r="B1397" s="122" t="str">
        <f>IFERROR(__xludf.DUMMYFUNCTION("""COMPUTED_VALUE"""),"MOVI")</f>
        <v>MOVI</v>
      </c>
      <c r="C1397" s="122" t="str">
        <f>IFERROR(__xludf.DUMMYFUNCTION("""COMPUTED_VALUE"""),"MovieBox faces weaker demand and cautious investor sentiment.")</f>
        <v>MovieBox faces weaker demand and cautious investor sentiment.</v>
      </c>
      <c r="D1397" s="122" t="str">
        <f>IFERROR(__xludf.DUMMYFUNCTION("""COMPUTED_VALUE"""),"Investors are watching MovieBox closely as demand weakens.")</f>
        <v>Investors are watching MovieBox closely as demand weakens.</v>
      </c>
      <c r="E1397" s="122" t="str">
        <f>IFERROR(__xludf.DUMMYFUNCTION("""COMPUTED_VALUE"""),"Negative")</f>
        <v>Negative</v>
      </c>
      <c r="F1397" s="122">
        <f>IFERROR(__xludf.DUMMYFUNCTION("""COMPUTED_VALUE"""),-0.015)</f>
        <v>-0.015</v>
      </c>
      <c r="G1397" s="122">
        <f>IFERROR(__xludf.DUMMYFUNCTION("""COMPUTED_VALUE"""),0.75)</f>
        <v>0.75</v>
      </c>
      <c r="H1397" s="122" t="str">
        <f>IFERROR(__xludf.DUMMYFUNCTION("""COMPUTED_VALUE"""),"Active")</f>
        <v>Active</v>
      </c>
    </row>
    <row r="1398">
      <c r="A1398" s="131">
        <f>IFERROR(__xludf.DUMMYFUNCTION("""COMPUTED_VALUE"""),46183.331145833334)</f>
        <v>46183.33115</v>
      </c>
      <c r="B1398" s="122" t="str">
        <f>IFERROR(__xludf.DUMMYFUNCTION("""COMPUTED_VALUE"""),"MUSC")</f>
        <v>MUSC</v>
      </c>
      <c r="C1398" s="122" t="str">
        <f>IFERROR(__xludf.DUMMYFUNCTION("""COMPUTED_VALUE"""),"MusicWave drops sharply after major concerns hit the market.")</f>
        <v>MusicWave drops sharply after major concerns hit the market.</v>
      </c>
      <c r="D1398" s="122" t="str">
        <f>IFERROR(__xludf.DUMMYFUNCTION("""COMPUTED_VALUE"""),"MusicWave is under pressure as investors react to worsening conditions.")</f>
        <v>MusicWave is under pressure as investors react to worsening conditions.</v>
      </c>
      <c r="E1398" s="122" t="str">
        <f>IFERROR(__xludf.DUMMYFUNCTION("""COMPUTED_VALUE"""),"Negative")</f>
        <v>Negative</v>
      </c>
      <c r="F1398" s="122">
        <f>IFERROR(__xludf.DUMMYFUNCTION("""COMPUTED_VALUE"""),-0.04)</f>
        <v>-0.04</v>
      </c>
      <c r="G1398" s="122">
        <f>IFERROR(__xludf.DUMMYFUNCTION("""COMPUTED_VALUE"""),2.0)</f>
        <v>2</v>
      </c>
      <c r="H1398" s="122" t="str">
        <f>IFERROR(__xludf.DUMMYFUNCTION("""COMPUTED_VALUE"""),"Active")</f>
        <v>Active</v>
      </c>
    </row>
    <row r="1399">
      <c r="A1399" s="131">
        <f>IFERROR(__xludf.DUMMYFUNCTION("""COMPUTED_VALUE"""),46183.33115740741)</f>
        <v>46183.33116</v>
      </c>
      <c r="B1399" s="122" t="str">
        <f>IFERROR(__xludf.DUMMYFUNCTION("""COMPUTED_VALUE"""),"IDOL")</f>
        <v>IDOL</v>
      </c>
      <c r="C1399" s="122" t="str">
        <f>IFERROR(__xludf.DUMMYFUNCTION("""COMPUTED_VALUE"""),"Idol Agency reports steady growth and improved market confidence.")</f>
        <v>Idol Agency reports steady growth and improved market confidence.</v>
      </c>
      <c r="D1399" s="122" t="str">
        <f>IFERROR(__xludf.DUMMYFUNCTION("""COMPUTED_VALUE"""),"Idol Agency continues to show positive momentum with moderate risk.")</f>
        <v>Idol Agency continues to show positive momentum with moderate risk.</v>
      </c>
      <c r="E1399" s="122" t="str">
        <f>IFERROR(__xludf.DUMMYFUNCTION("""COMPUTED_VALUE"""),"Positive")</f>
        <v>Positive</v>
      </c>
      <c r="F1399" s="122">
        <f>IFERROR(__xludf.DUMMYFUNCTION("""COMPUTED_VALUE"""),0.015)</f>
        <v>0.015</v>
      </c>
      <c r="G1399" s="122">
        <f>IFERROR(__xludf.DUMMYFUNCTION("""COMPUTED_VALUE"""),0.5)</f>
        <v>0.5</v>
      </c>
      <c r="H1399" s="122" t="str">
        <f>IFERROR(__xludf.DUMMYFUNCTION("""COMPUTED_VALUE"""),"Active")</f>
        <v>Active</v>
      </c>
    </row>
    <row r="1400">
      <c r="A1400" s="131">
        <f>IFERROR(__xludf.DUMMYFUNCTION("""COMPUTED_VALUE"""),46183.33116898148)</f>
        <v>46183.33117</v>
      </c>
      <c r="B1400" s="122" t="str">
        <f>IFERROR(__xludf.DUMMYFUNCTION("""COMPUTED_VALUE"""),"MEME")</f>
        <v>MEME</v>
      </c>
      <c r="C1400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1400" s="122" t="str">
        <f>IFERROR(__xludf.DUMMYFUNCTION("""COMPUTED_VALUE"""),"Meme Media appears steady with no major changes reported.")</f>
        <v>Meme Media appears steady with no major changes reported.</v>
      </c>
      <c r="E1400" s="122" t="str">
        <f>IFERROR(__xludf.DUMMYFUNCTION("""COMPUTED_VALUE"""),"Neutral")</f>
        <v>Neutral</v>
      </c>
      <c r="F1400" s="122">
        <f>IFERROR(__xludf.DUMMYFUNCTION("""COMPUTED_VALUE"""),0.0)</f>
        <v>0</v>
      </c>
      <c r="G1400" s="122">
        <f>IFERROR(__xludf.DUMMYFUNCTION("""COMPUTED_VALUE"""),0.0)</f>
        <v>0</v>
      </c>
      <c r="H1400" s="122" t="str">
        <f>IFERROR(__xludf.DUMMYFUNCTION("""COMPUTED_VALUE"""),"Active")</f>
        <v>Active</v>
      </c>
    </row>
    <row r="1401">
      <c r="A1401" s="131">
        <f>IFERROR(__xludf.DUMMYFUNCTION("""COMPUTED_VALUE"""),46183.33118055556)</f>
        <v>46183.33118</v>
      </c>
      <c r="B1401" s="122" t="str">
        <f>IFERROR(__xludf.DUMMYFUNCTION("""COMPUTED_VALUE"""),"STRM")</f>
        <v>STRM</v>
      </c>
      <c r="C1401" s="122" t="str">
        <f>IFERROR(__xludf.DUMMYFUNCTION("""COMPUTED_VALUE"""),"Streamly faces weaker demand and cautious investor sentiment.")</f>
        <v>Streamly faces weaker demand and cautious investor sentiment.</v>
      </c>
      <c r="D1401" s="122" t="str">
        <f>IFERROR(__xludf.DUMMYFUNCTION("""COMPUTED_VALUE"""),"Investors are watching Streamly closely as demand weakens.")</f>
        <v>Investors are watching Streamly closely as demand weakens.</v>
      </c>
      <c r="E1401" s="122" t="str">
        <f>IFERROR(__xludf.DUMMYFUNCTION("""COMPUTED_VALUE"""),"Negative")</f>
        <v>Negative</v>
      </c>
      <c r="F1401" s="122">
        <f>IFERROR(__xludf.DUMMYFUNCTION("""COMPUTED_VALUE"""),-0.015)</f>
        <v>-0.015</v>
      </c>
      <c r="G1401" s="122">
        <f>IFERROR(__xludf.DUMMYFUNCTION("""COMPUTED_VALUE"""),0.75)</f>
        <v>0.75</v>
      </c>
      <c r="H1401" s="122" t="str">
        <f>IFERROR(__xludf.DUMMYFUNCTION("""COMPUTED_VALUE"""),"Active")</f>
        <v>Active</v>
      </c>
    </row>
    <row r="1402">
      <c r="A1402" s="131">
        <f>IFERROR(__xludf.DUMMYFUNCTION("""COMPUTED_VALUE"""),46183.33118055556)</f>
        <v>46183.33118</v>
      </c>
      <c r="B1402" s="122" t="str">
        <f>IFERROR(__xludf.DUMMYFUNCTION("""COMPUTED_VALUE"""),"FARM")</f>
        <v>FARM</v>
      </c>
      <c r="C1402" s="122" t="str">
        <f>IFERROR(__xludf.DUMMYFUNCTION("""COMPUTED_VALUE"""),"Future Farms faces weaker demand and cautious investor sentiment.")</f>
        <v>Future Farms faces weaker demand and cautious investor sentiment.</v>
      </c>
      <c r="D1402" s="122" t="str">
        <f>IFERROR(__xludf.DUMMYFUNCTION("""COMPUTED_VALUE"""),"Investors are watching Future Farms closely as demand weakens.")</f>
        <v>Investors are watching Future Farms closely as demand weakens.</v>
      </c>
      <c r="E1402" s="122" t="str">
        <f>IFERROR(__xludf.DUMMYFUNCTION("""COMPUTED_VALUE"""),"Negative")</f>
        <v>Negative</v>
      </c>
      <c r="F1402" s="122">
        <f>IFERROR(__xludf.DUMMYFUNCTION("""COMPUTED_VALUE"""),-0.015)</f>
        <v>-0.015</v>
      </c>
      <c r="G1402" s="122">
        <f>IFERROR(__xludf.DUMMYFUNCTION("""COMPUTED_VALUE"""),0.75)</f>
        <v>0.75</v>
      </c>
      <c r="H1402" s="122" t="str">
        <f>IFERROR(__xludf.DUMMYFUNCTION("""COMPUTED_VALUE"""),"Active")</f>
        <v>Active</v>
      </c>
    </row>
    <row r="1403">
      <c r="A1403" s="131">
        <f>IFERROR(__xludf.DUMMYFUNCTION("""COMPUTED_VALUE"""),46183.331192129626)</f>
        <v>46183.33119</v>
      </c>
      <c r="B1403" s="122" t="str">
        <f>IFERROR(__xludf.DUMMYFUNCTION("""COMPUTED_VALUE"""),"MEAT")</f>
        <v>MEAT</v>
      </c>
      <c r="C1403" s="122" t="str">
        <f>IFERROR(__xludf.DUMMYFUNCTION("""COMPUTED_VALUE"""),"MeatWorks faces weaker demand and cautious investor sentiment.")</f>
        <v>MeatWorks faces weaker demand and cautious investor sentiment.</v>
      </c>
      <c r="D1403" s="122" t="str">
        <f>IFERROR(__xludf.DUMMYFUNCTION("""COMPUTED_VALUE"""),"Investors are watching MeatWorks closely as demand weakens.")</f>
        <v>Investors are watching MeatWorks closely as demand weakens.</v>
      </c>
      <c r="E1403" s="122" t="str">
        <f>IFERROR(__xludf.DUMMYFUNCTION("""COMPUTED_VALUE"""),"Negative")</f>
        <v>Negative</v>
      </c>
      <c r="F1403" s="122">
        <f>IFERROR(__xludf.DUMMYFUNCTION("""COMPUTED_VALUE"""),-0.015)</f>
        <v>-0.015</v>
      </c>
      <c r="G1403" s="122">
        <f>IFERROR(__xludf.DUMMYFUNCTION("""COMPUTED_VALUE"""),0.75)</f>
        <v>0.75</v>
      </c>
      <c r="H1403" s="122" t="str">
        <f>IFERROR(__xludf.DUMMYFUNCTION("""COMPUTED_VALUE"""),"Active")</f>
        <v>Active</v>
      </c>
    </row>
    <row r="1404">
      <c r="A1404" s="131">
        <f>IFERROR(__xludf.DUMMYFUNCTION("""COMPUTED_VALUE"""),46183.3312037037)</f>
        <v>46183.3312</v>
      </c>
      <c r="B1404" s="122" t="str">
        <f>IFERROR(__xludf.DUMMYFUNCTION("""COMPUTED_VALUE"""),"VEGI")</f>
        <v>VEGI</v>
      </c>
      <c r="C1404" s="122" t="str">
        <f>IFERROR(__xludf.DUMMYFUNCTION("""COMPUTED_VALUE"""),"Green Basket faces weaker demand and cautious investor sentiment.")</f>
        <v>Green Basket faces weaker demand and cautious investor sentiment.</v>
      </c>
      <c r="D1404" s="122" t="str">
        <f>IFERROR(__xludf.DUMMYFUNCTION("""COMPUTED_VALUE"""),"Investors are watching Green Basket closely as demand weakens.")</f>
        <v>Investors are watching Green Basket closely as demand weakens.</v>
      </c>
      <c r="E1404" s="122" t="str">
        <f>IFERROR(__xludf.DUMMYFUNCTION("""COMPUTED_VALUE"""),"Negative")</f>
        <v>Negative</v>
      </c>
      <c r="F1404" s="122">
        <f>IFERROR(__xludf.DUMMYFUNCTION("""COMPUTED_VALUE"""),-0.015)</f>
        <v>-0.015</v>
      </c>
      <c r="G1404" s="122">
        <f>IFERROR(__xludf.DUMMYFUNCTION("""COMPUTED_VALUE"""),0.75)</f>
        <v>0.75</v>
      </c>
      <c r="H1404" s="122" t="str">
        <f>IFERROR(__xludf.DUMMYFUNCTION("""COMPUTED_VALUE"""),"Active")</f>
        <v>Active</v>
      </c>
    </row>
    <row r="1405">
      <c r="A1405" s="131">
        <f>IFERROR(__xludf.DUMMYFUNCTION("""COMPUTED_VALUE"""),46183.3312037037)</f>
        <v>46183.3312</v>
      </c>
      <c r="B1405" s="122" t="str">
        <f>IFERROR(__xludf.DUMMYFUNCTION("""COMPUTED_VALUE"""),"CAFE")</f>
        <v>CAFE</v>
      </c>
      <c r="C1405" s="122" t="str">
        <f>IFERROR(__xludf.DUMMYFUNCTION("""COMPUTED_VALUE"""),"Cafe Cloud remains stable as the Food market shows normal activity.")</f>
        <v>Cafe Cloud remains stable as the Food market shows normal activity.</v>
      </c>
      <c r="D1405" s="122" t="str">
        <f>IFERROR(__xludf.DUMMYFUNCTION("""COMPUTED_VALUE"""),"Cafe Cloud appears steady with no major changes reported.")</f>
        <v>Cafe Cloud appears steady with no major changes reported.</v>
      </c>
      <c r="E1405" s="122" t="str">
        <f>IFERROR(__xludf.DUMMYFUNCTION("""COMPUTED_VALUE"""),"Neutral")</f>
        <v>Neutral</v>
      </c>
      <c r="F1405" s="122">
        <f>IFERROR(__xludf.DUMMYFUNCTION("""COMPUTED_VALUE"""),0.0)</f>
        <v>0</v>
      </c>
      <c r="G1405" s="122">
        <f>IFERROR(__xludf.DUMMYFUNCTION("""COMPUTED_VALUE"""),0.0)</f>
        <v>0</v>
      </c>
      <c r="H1405" s="122" t="str">
        <f>IFERROR(__xludf.DUMMYFUNCTION("""COMPUTED_VALUE"""),"Active")</f>
        <v>Active</v>
      </c>
    </row>
    <row r="1406">
      <c r="A1406" s="131">
        <f>IFERROR(__xludf.DUMMYFUNCTION("""COMPUTED_VALUE"""),46183.33121527778)</f>
        <v>46183.33122</v>
      </c>
      <c r="B1406" s="122" t="str">
        <f>IFERROR(__xludf.DUMMYFUNCTION("""COMPUTED_VALUE"""),"BAKE")</f>
        <v>BAKE</v>
      </c>
      <c r="C1406" s="122" t="str">
        <f>IFERROR(__xludf.DUMMYFUNCTION("""COMPUTED_VALUE"""),"BakeHouse faces weaker demand and cautious investor sentiment.")</f>
        <v>BakeHouse faces weaker demand and cautious investor sentiment.</v>
      </c>
      <c r="D1406" s="122" t="str">
        <f>IFERROR(__xludf.DUMMYFUNCTION("""COMPUTED_VALUE"""),"Investors are watching BakeHouse closely as demand weakens.")</f>
        <v>Investors are watching BakeHouse closely as demand weakens.</v>
      </c>
      <c r="E1406" s="122" t="str">
        <f>IFERROR(__xludf.DUMMYFUNCTION("""COMPUTED_VALUE"""),"Negative")</f>
        <v>Negative</v>
      </c>
      <c r="F1406" s="122">
        <f>IFERROR(__xludf.DUMMYFUNCTION("""COMPUTED_VALUE"""),-0.015)</f>
        <v>-0.015</v>
      </c>
      <c r="G1406" s="122">
        <f>IFERROR(__xludf.DUMMYFUNCTION("""COMPUTED_VALUE"""),0.75)</f>
        <v>0.75</v>
      </c>
      <c r="H1406" s="122" t="str">
        <f>IFERROR(__xludf.DUMMYFUNCTION("""COMPUTED_VALUE"""),"Active")</f>
        <v>Active</v>
      </c>
    </row>
    <row r="1407">
      <c r="A1407" s="131">
        <f>IFERROR(__xludf.DUMMYFUNCTION("""COMPUTED_VALUE"""),46183.33121527778)</f>
        <v>46183.33122</v>
      </c>
      <c r="B1407" s="122" t="str">
        <f>IFERROR(__xludf.DUMMYFUNCTION("""COMPUTED_VALUE"""),"OILX")</f>
        <v>OILX</v>
      </c>
      <c r="C1407" s="122" t="str">
        <f>IFERROR(__xludf.DUMMYFUNCTION("""COMPUTED_VALUE"""),"OilMax Energy remains stable as the Energy market shows normal activity.")</f>
        <v>OilMax Energy remains stable as the Energy market shows normal activity.</v>
      </c>
      <c r="D1407" s="122" t="str">
        <f>IFERROR(__xludf.DUMMYFUNCTION("""COMPUTED_VALUE"""),"OilMax Energy appears steady with no major changes reported.")</f>
        <v>OilMax Energy appears steady with no major changes reported.</v>
      </c>
      <c r="E1407" s="122" t="str">
        <f>IFERROR(__xludf.DUMMYFUNCTION("""COMPUTED_VALUE"""),"Neutral")</f>
        <v>Neutral</v>
      </c>
      <c r="F1407" s="122">
        <f>IFERROR(__xludf.DUMMYFUNCTION("""COMPUTED_VALUE"""),0.0)</f>
        <v>0</v>
      </c>
      <c r="G1407" s="122">
        <f>IFERROR(__xludf.DUMMYFUNCTION("""COMPUTED_VALUE"""),0.0)</f>
        <v>0</v>
      </c>
      <c r="H1407" s="122" t="str">
        <f>IFERROR(__xludf.DUMMYFUNCTION("""COMPUTED_VALUE"""),"Active")</f>
        <v>Active</v>
      </c>
    </row>
    <row r="1408">
      <c r="A1408" s="131">
        <f>IFERROR(__xludf.DUMMYFUNCTION("""COMPUTED_VALUE"""),46183.33121527778)</f>
        <v>46183.33122</v>
      </c>
      <c r="B1408" s="122" t="str">
        <f>IFERROR(__xludf.DUMMYFUNCTION("""COMPUTED_VALUE"""),"SOLR")</f>
        <v>SOLR</v>
      </c>
      <c r="C1408" s="122" t="str">
        <f>IFERROR(__xludf.DUMMYFUNCTION("""COMPUTED_VALUE"""),"SolarSpark sees uncertain trading as investors react to mixed signals.")</f>
        <v>SolarSpark sees uncertain trading as investors react to mixed signals.</v>
      </c>
      <c r="D1408" s="122" t="str">
        <f>IFERROR(__xludf.DUMMYFUNCTION("""COMPUTED_VALUE"""),"SolarSpark may experience larger price swings as investors disagree on direction.")</f>
        <v>SolarSpark may experience larger price swings as investors disagree on direction.</v>
      </c>
      <c r="E1408" s="122" t="str">
        <f>IFERROR(__xludf.DUMMYFUNCTION("""COMPUTED_VALUE"""),"Mixed")</f>
        <v>Mixed</v>
      </c>
      <c r="F1408" s="122">
        <f>IFERROR(__xludf.DUMMYFUNCTION("""COMPUTED_VALUE"""),0.0029193241185927477)</f>
        <v>0.002919324119</v>
      </c>
      <c r="G1408" s="122">
        <f>IFERROR(__xludf.DUMMYFUNCTION("""COMPUTED_VALUE"""),1.5)</f>
        <v>1.5</v>
      </c>
      <c r="H1408" s="122" t="str">
        <f>IFERROR(__xludf.DUMMYFUNCTION("""COMPUTED_VALUE"""),"Active")</f>
        <v>Active</v>
      </c>
    </row>
    <row r="1409">
      <c r="A1409" s="131">
        <f>IFERROR(__xludf.DUMMYFUNCTION("""COMPUTED_VALUE"""),46183.33122685185)</f>
        <v>46183.33123</v>
      </c>
      <c r="B1409" s="122" t="str">
        <f>IFERROR(__xludf.DUMMYFUNCTION("""COMPUTED_VALUE"""),"BATT")</f>
        <v>BATT</v>
      </c>
      <c r="C1409" s="122" t="str">
        <f>IFERROR(__xludf.DUMMYFUNCTION("""COMPUTED_VALUE"""),"BatteryBox reports steady growth and improved market confidence.")</f>
        <v>BatteryBox reports steady growth and improved market confidence.</v>
      </c>
      <c r="D1409" s="122" t="str">
        <f>IFERROR(__xludf.DUMMYFUNCTION("""COMPUTED_VALUE"""),"BatteryBox continues to show positive momentum with moderate risk.")</f>
        <v>BatteryBox continues to show positive momentum with moderate risk.</v>
      </c>
      <c r="E1409" s="122" t="str">
        <f>IFERROR(__xludf.DUMMYFUNCTION("""COMPUTED_VALUE"""),"Positive")</f>
        <v>Positive</v>
      </c>
      <c r="F1409" s="122">
        <f>IFERROR(__xludf.DUMMYFUNCTION("""COMPUTED_VALUE"""),0.015)</f>
        <v>0.015</v>
      </c>
      <c r="G1409" s="122">
        <f>IFERROR(__xludf.DUMMYFUNCTION("""COMPUTED_VALUE"""),0.5)</f>
        <v>0.5</v>
      </c>
      <c r="H1409" s="122" t="str">
        <f>IFERROR(__xludf.DUMMYFUNCTION("""COMPUTED_VALUE"""),"Active")</f>
        <v>Active</v>
      </c>
    </row>
    <row r="1410">
      <c r="A1410" s="131">
        <f>IFERROR(__xludf.DUMMYFUNCTION("""COMPUTED_VALUE"""),46183.331238425926)</f>
        <v>46183.33124</v>
      </c>
      <c r="B1410" s="122" t="str">
        <f>IFERROR(__xludf.DUMMYFUNCTION("""COMPUTED_VALUE"""),"WIND")</f>
        <v>WIND</v>
      </c>
      <c r="C1410" s="122" t="str">
        <f>IFERROR(__xludf.DUMMYFUNCTION("""COMPUTED_VALUE"""),"WindWorks remains stable as the Energy market shows normal activity.")</f>
        <v>WindWorks remains stable as the Energy market shows normal activity.</v>
      </c>
      <c r="D1410" s="122" t="str">
        <f>IFERROR(__xludf.DUMMYFUNCTION("""COMPUTED_VALUE"""),"WindWorks appears steady with no major changes reported.")</f>
        <v>WindWorks appears steady with no major changes reported.</v>
      </c>
      <c r="E1410" s="122" t="str">
        <f>IFERROR(__xludf.DUMMYFUNCTION("""COMPUTED_VALUE"""),"Neutral")</f>
        <v>Neutral</v>
      </c>
      <c r="F1410" s="122">
        <f>IFERROR(__xludf.DUMMYFUNCTION("""COMPUTED_VALUE"""),0.0)</f>
        <v>0</v>
      </c>
      <c r="G1410" s="122">
        <f>IFERROR(__xludf.DUMMYFUNCTION("""COMPUTED_VALUE"""),0.0)</f>
        <v>0</v>
      </c>
      <c r="H1410" s="122" t="str">
        <f>IFERROR(__xludf.DUMMYFUNCTION("""COMPUTED_VALUE"""),"Active")</f>
        <v>Active</v>
      </c>
    </row>
    <row r="1411">
      <c r="A1411" s="131">
        <f>IFERROR(__xludf.DUMMYFUNCTION("""COMPUTED_VALUE"""),46183.33125)</f>
        <v>46183.33125</v>
      </c>
      <c r="B1411" s="122" t="str">
        <f>IFERROR(__xludf.DUMMYFUNCTION("""COMPUTED_VALUE"""),"GRID")</f>
        <v>GRID</v>
      </c>
      <c r="C1411" s="122" t="str">
        <f>IFERROR(__xludf.DUMMYFUNCTION("""COMPUTED_VALUE"""),"GridPower faces weaker demand and cautious investor sentiment.")</f>
        <v>GridPower faces weaker demand and cautious investor sentiment.</v>
      </c>
      <c r="D1411" s="122" t="str">
        <f>IFERROR(__xludf.DUMMYFUNCTION("""COMPUTED_VALUE"""),"Investors are watching GridPower closely as demand weakens.")</f>
        <v>Investors are watching GridPower closely as demand weakens.</v>
      </c>
      <c r="E1411" s="122" t="str">
        <f>IFERROR(__xludf.DUMMYFUNCTION("""COMPUTED_VALUE"""),"Negative")</f>
        <v>Negative</v>
      </c>
      <c r="F1411" s="122">
        <f>IFERROR(__xludf.DUMMYFUNCTION("""COMPUTED_VALUE"""),-0.015)</f>
        <v>-0.015</v>
      </c>
      <c r="G1411" s="122">
        <f>IFERROR(__xludf.DUMMYFUNCTION("""COMPUTED_VALUE"""),0.75)</f>
        <v>0.75</v>
      </c>
      <c r="H1411" s="122" t="str">
        <f>IFERROR(__xludf.DUMMYFUNCTION("""COMPUTED_VALUE"""),"Active")</f>
        <v>Active</v>
      </c>
    </row>
    <row r="1412">
      <c r="A1412" s="131">
        <f>IFERROR(__xludf.DUMMYFUNCTION("""COMPUTED_VALUE"""),46183.33125)</f>
        <v>46183.33125</v>
      </c>
      <c r="B1412" s="122" t="str">
        <f>IFERROR(__xludf.DUMMYFUNCTION("""COMPUTED_VALUE"""),"HOME")</f>
        <v>HOME</v>
      </c>
      <c r="C1412" s="122" t="str">
        <f>IFERROR(__xludf.DUMMYFUNCTION("""COMPUTED_VALUE"""),"HomeHub remains stable as the Real Estate market shows normal activity.")</f>
        <v>HomeHub remains stable as the Real Estate market shows normal activity.</v>
      </c>
      <c r="D1412" s="122" t="str">
        <f>IFERROR(__xludf.DUMMYFUNCTION("""COMPUTED_VALUE"""),"HomeHub appears steady with no major changes reported.")</f>
        <v>HomeHub appears steady with no major changes reported.</v>
      </c>
      <c r="E1412" s="122" t="str">
        <f>IFERROR(__xludf.DUMMYFUNCTION("""COMPUTED_VALUE"""),"Neutral")</f>
        <v>Neutral</v>
      </c>
      <c r="F1412" s="122">
        <f>IFERROR(__xludf.DUMMYFUNCTION("""COMPUTED_VALUE"""),0.0)</f>
        <v>0</v>
      </c>
      <c r="G1412" s="122">
        <f>IFERROR(__xludf.DUMMYFUNCTION("""COMPUTED_VALUE"""),0.0)</f>
        <v>0</v>
      </c>
      <c r="H1412" s="122" t="str">
        <f>IFERROR(__xludf.DUMMYFUNCTION("""COMPUTED_VALUE"""),"Active")</f>
        <v>Active</v>
      </c>
    </row>
    <row r="1413">
      <c r="A1413" s="131">
        <f>IFERROR(__xludf.DUMMYFUNCTION("""COMPUTED_VALUE"""),46183.33126157407)</f>
        <v>46183.33126</v>
      </c>
      <c r="B1413" s="122" t="str">
        <f>IFERROR(__xludf.DUMMYFUNCTION("""COMPUTED_VALUE"""),"RENT")</f>
        <v>RENT</v>
      </c>
      <c r="C1413" s="122" t="str">
        <f>IFERROR(__xludf.DUMMYFUNCTION("""COMPUTED_VALUE"""),"RentRight reports steady growth and improved market confidence.")</f>
        <v>RentRight reports steady growth and improved market confidence.</v>
      </c>
      <c r="D1413" s="122" t="str">
        <f>IFERROR(__xludf.DUMMYFUNCTION("""COMPUTED_VALUE"""),"RentRight continues to show positive momentum with moderate risk.")</f>
        <v>RentRight continues to show positive momentum with moderate risk.</v>
      </c>
      <c r="E1413" s="122" t="str">
        <f>IFERROR(__xludf.DUMMYFUNCTION("""COMPUTED_VALUE"""),"Positive")</f>
        <v>Positive</v>
      </c>
      <c r="F1413" s="122">
        <f>IFERROR(__xludf.DUMMYFUNCTION("""COMPUTED_VALUE"""),0.015)</f>
        <v>0.015</v>
      </c>
      <c r="G1413" s="122">
        <f>IFERROR(__xludf.DUMMYFUNCTION("""COMPUTED_VALUE"""),0.5)</f>
        <v>0.5</v>
      </c>
      <c r="H1413" s="122" t="str">
        <f>IFERROR(__xludf.DUMMYFUNCTION("""COMPUTED_VALUE"""),"Active")</f>
        <v>Active</v>
      </c>
    </row>
    <row r="1414">
      <c r="A1414" s="131">
        <f>IFERROR(__xludf.DUMMYFUNCTION("""COMPUTED_VALUE"""),46183.33126157407)</f>
        <v>46183.33126</v>
      </c>
      <c r="B1414" s="122" t="str">
        <f>IFERROR(__xludf.DUMMYFUNCTION("""COMPUTED_VALUE"""),"MALL")</f>
        <v>MALL</v>
      </c>
      <c r="C1414" s="122" t="str">
        <f>IFERROR(__xludf.DUMMYFUNCTION("""COMPUTED_VALUE"""),"MegaMall sees uncertain trading as investors react to mixed signals.")</f>
        <v>MegaMall sees uncertain trading as investors react to mixed signals.</v>
      </c>
      <c r="D1414" s="122" t="str">
        <f>IFERROR(__xludf.DUMMYFUNCTION("""COMPUTED_VALUE"""),"MegaMall may experience larger price swings as investors disagree on direction.")</f>
        <v>MegaMall may experience larger price swings as investors disagree on direction.</v>
      </c>
      <c r="E1414" s="122" t="str">
        <f>IFERROR(__xludf.DUMMYFUNCTION("""COMPUTED_VALUE"""),"Mixed")</f>
        <v>Mixed</v>
      </c>
      <c r="F1414" s="122">
        <f>IFERROR(__xludf.DUMMYFUNCTION("""COMPUTED_VALUE"""),-0.0016581200460695014)</f>
        <v>-0.001658120046</v>
      </c>
      <c r="G1414" s="122">
        <f>IFERROR(__xludf.DUMMYFUNCTION("""COMPUTED_VALUE"""),1.5)</f>
        <v>1.5</v>
      </c>
      <c r="H1414" s="122" t="str">
        <f>IFERROR(__xludf.DUMMYFUNCTION("""COMPUTED_VALUE"""),"Active")</f>
        <v>Active</v>
      </c>
    </row>
    <row r="1415">
      <c r="A1415" s="131">
        <f>IFERROR(__xludf.DUMMYFUNCTION("""COMPUTED_VALUE"""),46183.33127314815)</f>
        <v>46183.33127</v>
      </c>
      <c r="B1415" s="122" t="str">
        <f>IFERROR(__xludf.DUMMYFUNCTION("""COMPUTED_VALUE"""),"HOTL")</f>
        <v>HOTL</v>
      </c>
      <c r="C1415" s="122" t="str">
        <f>IFERROR(__xludf.DUMMYFUNCTION("""COMPUTED_VALUE"""),"HotelHive remains stable as the Real Estate market shows normal activity.")</f>
        <v>HotelHive remains stable as the Real Estate market shows normal activity.</v>
      </c>
      <c r="D1415" s="122" t="str">
        <f>IFERROR(__xludf.DUMMYFUNCTION("""COMPUTED_VALUE"""),"HotelHive appears steady with no major changes reported.")</f>
        <v>HotelHive appears steady with no major changes reported.</v>
      </c>
      <c r="E1415" s="122" t="str">
        <f>IFERROR(__xludf.DUMMYFUNCTION("""COMPUTED_VALUE"""),"Neutral")</f>
        <v>Neutral</v>
      </c>
      <c r="F1415" s="122">
        <f>IFERROR(__xludf.DUMMYFUNCTION("""COMPUTED_VALUE"""),0.0)</f>
        <v>0</v>
      </c>
      <c r="G1415" s="122">
        <f>IFERROR(__xludf.DUMMYFUNCTION("""COMPUTED_VALUE"""),0.0)</f>
        <v>0</v>
      </c>
      <c r="H1415" s="122" t="str">
        <f>IFERROR(__xludf.DUMMYFUNCTION("""COMPUTED_VALUE"""),"Active")</f>
        <v>Active</v>
      </c>
    </row>
    <row r="1416">
      <c r="A1416" s="131">
        <f>IFERROR(__xludf.DUMMYFUNCTION("""COMPUTED_VALUE"""),46183.33127314815)</f>
        <v>46183.33127</v>
      </c>
      <c r="B1416" s="122" t="str">
        <f>IFERROR(__xludf.DUMMYFUNCTION("""COMPUTED_VALUE"""),"LAND")</f>
        <v>LAND</v>
      </c>
      <c r="C1416" s="122" t="str">
        <f>IFERROR(__xludf.DUMMYFUNCTION("""COMPUTED_VALUE"""),"LandLink reports steady growth and improved market confidence.")</f>
        <v>LandLink reports steady growth and improved market confidence.</v>
      </c>
      <c r="D1416" s="122" t="str">
        <f>IFERROR(__xludf.DUMMYFUNCTION("""COMPUTED_VALUE"""),"LandLink continues to show positive momentum with moderate risk.")</f>
        <v>LandLink continues to show positive momentum with moderate risk.</v>
      </c>
      <c r="E1416" s="122" t="str">
        <f>IFERROR(__xludf.DUMMYFUNCTION("""COMPUTED_VALUE"""),"Positive")</f>
        <v>Positive</v>
      </c>
      <c r="F1416" s="122">
        <f>IFERROR(__xludf.DUMMYFUNCTION("""COMPUTED_VALUE"""),0.015)</f>
        <v>0.015</v>
      </c>
      <c r="G1416" s="122">
        <f>IFERROR(__xludf.DUMMYFUNCTION("""COMPUTED_VALUE"""),0.5)</f>
        <v>0.5</v>
      </c>
      <c r="H1416" s="122" t="str">
        <f>IFERROR(__xludf.DUMMYFUNCTION("""COMPUTED_VALUE"""),"Active")</f>
        <v>Active</v>
      </c>
    </row>
    <row r="1417">
      <c r="A1417" s="131">
        <f>IFERROR(__xludf.DUMMYFUNCTION("""COMPUTED_VALUE"""),46183.33128472222)</f>
        <v>46183.33128</v>
      </c>
      <c r="B1417" s="122" t="str">
        <f>IFERROR(__xludf.DUMMYFUNCTION("""COMPUTED_VALUE"""),"CARS")</f>
        <v>CARS</v>
      </c>
      <c r="C1417" s="122" t="str">
        <f>IFERROR(__xludf.DUMMYFUNCTION("""COMPUTED_VALUE"""),"AutoArena faces weaker demand and cautious investor sentiment.")</f>
        <v>AutoArena faces weaker demand and cautious investor sentiment.</v>
      </c>
      <c r="D1417" s="122" t="str">
        <f>IFERROR(__xludf.DUMMYFUNCTION("""COMPUTED_VALUE"""),"Investors are watching AutoArena closely as demand weakens.")</f>
        <v>Investors are watching AutoArena closely as demand weakens.</v>
      </c>
      <c r="E1417" s="122" t="str">
        <f>IFERROR(__xludf.DUMMYFUNCTION("""COMPUTED_VALUE"""),"Negative")</f>
        <v>Negative</v>
      </c>
      <c r="F1417" s="122">
        <f>IFERROR(__xludf.DUMMYFUNCTION("""COMPUTED_VALUE"""),-0.015)</f>
        <v>-0.015</v>
      </c>
      <c r="G1417" s="122">
        <f>IFERROR(__xludf.DUMMYFUNCTION("""COMPUTED_VALUE"""),0.75)</f>
        <v>0.75</v>
      </c>
      <c r="H1417" s="122" t="str">
        <f>IFERROR(__xludf.DUMMYFUNCTION("""COMPUTED_VALUE"""),"Active")</f>
        <v>Active</v>
      </c>
    </row>
    <row r="1418">
      <c r="A1418" s="131">
        <f>IFERROR(__xludf.DUMMYFUNCTION("""COMPUTED_VALUE"""),46183.331296296295)</f>
        <v>46183.3313</v>
      </c>
      <c r="B1418" s="122" t="str">
        <f>IFERROR(__xludf.DUMMYFUNCTION("""COMPUTED_VALUE"""),"EVGO")</f>
        <v>EVGO</v>
      </c>
      <c r="C1418" s="122" t="str">
        <f>IFERROR(__xludf.DUMMYFUNCTION("""COMPUTED_VALUE"""),"EVGo Motors reports steady growth and improved market confidence.")</f>
        <v>EVGo Motors reports steady growth and improved market confidence.</v>
      </c>
      <c r="D1418" s="122" t="str">
        <f>IFERROR(__xludf.DUMMYFUNCTION("""COMPUTED_VALUE"""),"EVGo Motors continues to show positive momentum with moderate risk.")</f>
        <v>EVGo Motors continues to show positive momentum with moderate risk.</v>
      </c>
      <c r="E1418" s="122" t="str">
        <f>IFERROR(__xludf.DUMMYFUNCTION("""COMPUTED_VALUE"""),"Positive")</f>
        <v>Positive</v>
      </c>
      <c r="F1418" s="122">
        <f>IFERROR(__xludf.DUMMYFUNCTION("""COMPUTED_VALUE"""),0.015)</f>
        <v>0.015</v>
      </c>
      <c r="G1418" s="122">
        <f>IFERROR(__xludf.DUMMYFUNCTION("""COMPUTED_VALUE"""),0.5)</f>
        <v>0.5</v>
      </c>
      <c r="H1418" s="122" t="str">
        <f>IFERROR(__xludf.DUMMYFUNCTION("""COMPUTED_VALUE"""),"Active")</f>
        <v>Active</v>
      </c>
    </row>
    <row r="1419">
      <c r="A1419" s="131">
        <f>IFERROR(__xludf.DUMMYFUNCTION("""COMPUTED_VALUE"""),46183.331296296295)</f>
        <v>46183.3313</v>
      </c>
      <c r="B1419" s="122" t="str">
        <f>IFERROR(__xludf.DUMMYFUNCTION("""COMPUTED_VALUE"""),"TIRE")</f>
        <v>TIRE</v>
      </c>
      <c r="C1419" s="122" t="str">
        <f>IFERROR(__xludf.DUMMYFUNCTION("""COMPUTED_VALUE"""),"TireTown reports steady growth and improved market confidence.")</f>
        <v>TireTown reports steady growth and improved market confidence.</v>
      </c>
      <c r="D1419" s="122" t="str">
        <f>IFERROR(__xludf.DUMMYFUNCTION("""COMPUTED_VALUE"""),"TireTown continues to show positive momentum with moderate risk.")</f>
        <v>TireTown continues to show positive momentum with moderate risk.</v>
      </c>
      <c r="E1419" s="122" t="str">
        <f>IFERROR(__xludf.DUMMYFUNCTION("""COMPUTED_VALUE"""),"Positive")</f>
        <v>Positive</v>
      </c>
      <c r="F1419" s="122">
        <f>IFERROR(__xludf.DUMMYFUNCTION("""COMPUTED_VALUE"""),0.015)</f>
        <v>0.015</v>
      </c>
      <c r="G1419" s="122">
        <f>IFERROR(__xludf.DUMMYFUNCTION("""COMPUTED_VALUE"""),0.5)</f>
        <v>0.5</v>
      </c>
      <c r="H1419" s="122" t="str">
        <f>IFERROR(__xludf.DUMMYFUNCTION("""COMPUTED_VALUE"""),"Active")</f>
        <v>Active</v>
      </c>
    </row>
    <row r="1420">
      <c r="A1420" s="131">
        <f>IFERROR(__xludf.DUMMYFUNCTION("""COMPUTED_VALUE"""),46183.33130787037)</f>
        <v>46183.33131</v>
      </c>
      <c r="B1420" s="122" t="str">
        <f>IFERROR(__xludf.DUMMYFUNCTION("""COMPUTED_VALUE"""),"BIKE")</f>
        <v>BIKE</v>
      </c>
      <c r="C1420" s="122" t="str">
        <f>IFERROR(__xludf.DUMMYFUNCTION("""COMPUTED_VALUE"""),"BikeBox faces weaker demand and cautious investor sentiment.")</f>
        <v>BikeBox faces weaker demand and cautious investor sentiment.</v>
      </c>
      <c r="D1420" s="122" t="str">
        <f>IFERROR(__xludf.DUMMYFUNCTION("""COMPUTED_VALUE"""),"Investors are watching BikeBox closely as demand weakens.")</f>
        <v>Investors are watching BikeBox closely as demand weakens.</v>
      </c>
      <c r="E1420" s="122" t="str">
        <f>IFERROR(__xludf.DUMMYFUNCTION("""COMPUTED_VALUE"""),"Negative")</f>
        <v>Negative</v>
      </c>
      <c r="F1420" s="122">
        <f>IFERROR(__xludf.DUMMYFUNCTION("""COMPUTED_VALUE"""),-0.015)</f>
        <v>-0.015</v>
      </c>
      <c r="G1420" s="122">
        <f>IFERROR(__xludf.DUMMYFUNCTION("""COMPUTED_VALUE"""),0.75)</f>
        <v>0.75</v>
      </c>
      <c r="H1420" s="122" t="str">
        <f>IFERROR(__xludf.DUMMYFUNCTION("""COMPUTED_VALUE"""),"Active")</f>
        <v>Active</v>
      </c>
    </row>
    <row r="1421">
      <c r="A1421" s="131">
        <f>IFERROR(__xludf.DUMMYFUNCTION("""COMPUTED_VALUE"""),46183.33130787037)</f>
        <v>46183.33131</v>
      </c>
      <c r="B1421" s="122" t="str">
        <f>IFERROR(__xludf.DUMMYFUNCTION("""COMPUTED_VALUE"""),"WASH")</f>
        <v>WASH</v>
      </c>
      <c r="C1421" s="122" t="str">
        <f>IFERROR(__xludf.DUMMYFUNCTION("""COMPUTED_VALUE"""),"CarWash Co remains stable as the Automotive market shows normal activity.")</f>
        <v>CarWash Co remains stable as the Automotive market shows normal activity.</v>
      </c>
      <c r="D1421" s="122" t="str">
        <f>IFERROR(__xludf.DUMMYFUNCTION("""COMPUTED_VALUE"""),"CarWash Co appears steady with no major changes reported.")</f>
        <v>CarWash Co appears steady with no major changes reported.</v>
      </c>
      <c r="E1421" s="122" t="str">
        <f>IFERROR(__xludf.DUMMYFUNCTION("""COMPUTED_VALUE"""),"Neutral")</f>
        <v>Neutral</v>
      </c>
      <c r="F1421" s="122">
        <f>IFERROR(__xludf.DUMMYFUNCTION("""COMPUTED_VALUE"""),0.0)</f>
        <v>0</v>
      </c>
      <c r="G1421" s="122">
        <f>IFERROR(__xludf.DUMMYFUNCTION("""COMPUTED_VALUE"""),0.0)</f>
        <v>0</v>
      </c>
      <c r="H1421" s="122" t="str">
        <f>IFERROR(__xludf.DUMMYFUNCTION("""COMPUTED_VALUE"""),"Active")</f>
        <v>Active</v>
      </c>
    </row>
    <row r="1422">
      <c r="A1422" s="131">
        <f>IFERROR(__xludf.DUMMYFUNCTION("""COMPUTED_VALUE"""),46183.33131944444)</f>
        <v>46183.33132</v>
      </c>
      <c r="B1422" s="122" t="str">
        <f>IFERROR(__xludf.DUMMYFUNCTION("""COMPUTED_VALUE"""),"GBND")</f>
        <v>GBND</v>
      </c>
      <c r="C1422" s="122" t="str">
        <f>IFERROR(__xludf.DUMMYFUNCTION("""COMPUTED_VALUE"""),"Classroom Government Bond remains steady as investors seek stability.")</f>
        <v>Classroom Government Bond remains steady as investors seek stability.</v>
      </c>
      <c r="D142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422" s="122" t="str">
        <f>IFERROR(__xludf.DUMMYFUNCTION("""COMPUTED_VALUE"""),"Neutral")</f>
        <v>Neutral</v>
      </c>
      <c r="F1422" s="122">
        <f>IFERROR(__xludf.DUMMYFUNCTION("""COMPUTED_VALUE"""),0.0)</f>
        <v>0</v>
      </c>
      <c r="G1422" s="122">
        <f>IFERROR(__xludf.DUMMYFUNCTION("""COMPUTED_VALUE"""),0.0)</f>
        <v>0</v>
      </c>
      <c r="H1422" s="122" t="str">
        <f>IFERROR(__xludf.DUMMYFUNCTION("""COMPUTED_VALUE"""),"Active")</f>
        <v>Active</v>
      </c>
    </row>
    <row r="1423">
      <c r="A1423" s="131">
        <f>IFERROR(__xludf.DUMMYFUNCTION("""COMPUTED_VALUE"""),46183.33131944444)</f>
        <v>46183.33132</v>
      </c>
      <c r="B1423" s="122" t="str">
        <f>IFERROR(__xludf.DUMMYFUNCTION("""COMPUTED_VALUE"""),"SBND")</f>
        <v>SBND</v>
      </c>
      <c r="C1423" s="122" t="str">
        <f>IFERROR(__xludf.DUMMYFUNCTION("""COMPUTED_VALUE"""),"School Savings Bond remains steady as investors seek stability.")</f>
        <v>School Savings Bond remains steady as investors seek stability.</v>
      </c>
      <c r="D142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423" s="122" t="str">
        <f>IFERROR(__xludf.DUMMYFUNCTION("""COMPUTED_VALUE"""),"Neutral")</f>
        <v>Neutral</v>
      </c>
      <c r="F1423" s="122">
        <f>IFERROR(__xludf.DUMMYFUNCTION("""COMPUTED_VALUE"""),0.0)</f>
        <v>0</v>
      </c>
      <c r="G1423" s="122">
        <f>IFERROR(__xludf.DUMMYFUNCTION("""COMPUTED_VALUE"""),0.0)</f>
        <v>0</v>
      </c>
      <c r="H1423" s="122" t="str">
        <f>IFERROR(__xludf.DUMMYFUNCTION("""COMPUTED_VALUE"""),"Active")</f>
        <v>Active</v>
      </c>
    </row>
    <row r="1424">
      <c r="A1424" s="131">
        <f>IFERROR(__xludf.DUMMYFUNCTION("""COMPUTED_VALUE"""),46183.33133101852)</f>
        <v>46183.33133</v>
      </c>
      <c r="B1424" s="122" t="str">
        <f>IFERROR(__xludf.DUMMYFUNCTION("""COMPUTED_VALUE"""),"CBND")</f>
        <v>CBND</v>
      </c>
      <c r="C1424" s="122" t="str">
        <f>IFERROR(__xludf.DUMMYFUNCTION("""COMPUTED_VALUE"""),"Corporate Classroom Bond remains steady as investors seek stability.")</f>
        <v>Corporate Classroom Bond remains steady as investors seek stability.</v>
      </c>
      <c r="D142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424" s="122" t="str">
        <f>IFERROR(__xludf.DUMMYFUNCTION("""COMPUTED_VALUE"""),"Neutral")</f>
        <v>Neutral</v>
      </c>
      <c r="F1424" s="122">
        <f>IFERROR(__xludf.DUMMYFUNCTION("""COMPUTED_VALUE"""),0.0)</f>
        <v>0</v>
      </c>
      <c r="G1424" s="122">
        <f>IFERROR(__xludf.DUMMYFUNCTION("""COMPUTED_VALUE"""),0.0)</f>
        <v>0</v>
      </c>
      <c r="H1424" s="122" t="str">
        <f>IFERROR(__xludf.DUMMYFUNCTION("""COMPUTED_VALUE"""),"Active")</f>
        <v>Active</v>
      </c>
    </row>
    <row r="1425">
      <c r="A1425" s="131">
        <f>IFERROR(__xludf.DUMMYFUNCTION("""COMPUTED_VALUE"""),46183.33133101852)</f>
        <v>46183.33133</v>
      </c>
      <c r="B1425" s="122" t="str">
        <f>IFERROR(__xludf.DUMMYFUNCTION("""COMPUTED_VALUE"""),"TBIL")</f>
        <v>TBIL</v>
      </c>
      <c r="C1425" s="122" t="str">
        <f>IFERROR(__xludf.DUMMYFUNCTION("""COMPUTED_VALUE"""),"Treasury Bill remains steady as investors seek stability.")</f>
        <v>Treasury Bill remains steady as investors seek stability.</v>
      </c>
      <c r="D142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425" s="122" t="str">
        <f>IFERROR(__xludf.DUMMYFUNCTION("""COMPUTED_VALUE"""),"Neutral")</f>
        <v>Neutral</v>
      </c>
      <c r="F1425" s="122">
        <f>IFERROR(__xludf.DUMMYFUNCTION("""COMPUTED_VALUE"""),0.0)</f>
        <v>0</v>
      </c>
      <c r="G1425" s="122">
        <f>IFERROR(__xludf.DUMMYFUNCTION("""COMPUTED_VALUE"""),0.0)</f>
        <v>0</v>
      </c>
      <c r="H1425" s="122" t="str">
        <f>IFERROR(__xludf.DUMMYFUNCTION("""COMPUTED_VALUE"""),"Active")</f>
        <v>Active</v>
      </c>
    </row>
    <row r="1426">
      <c r="A1426" s="131">
        <f>IFERROR(__xludf.DUMMYFUNCTION("""COMPUTED_VALUE"""),46183.33133101852)</f>
        <v>46183.33133</v>
      </c>
      <c r="B1426" s="122" t="str">
        <f>IFERROR(__xludf.DUMMYFUNCTION("""COMPUTED_VALUE"""),"IBND")</f>
        <v>IBND</v>
      </c>
      <c r="C1426" s="122" t="str">
        <f>IFERROR(__xludf.DUMMYFUNCTION("""COMPUTED_VALUE"""),"Inflation Protected Bond remains steady as investors seek stability.")</f>
        <v>Inflation Protected Bond remains steady as investors seek stability.</v>
      </c>
      <c r="D142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426" s="122" t="str">
        <f>IFERROR(__xludf.DUMMYFUNCTION("""COMPUTED_VALUE"""),"Neutral")</f>
        <v>Neutral</v>
      </c>
      <c r="F1426" s="122">
        <f>IFERROR(__xludf.DUMMYFUNCTION("""COMPUTED_VALUE"""),0.0)</f>
        <v>0</v>
      </c>
      <c r="G1426" s="122">
        <f>IFERROR(__xludf.DUMMYFUNCTION("""COMPUTED_VALUE"""),0.0)</f>
        <v>0</v>
      </c>
      <c r="H1426" s="122" t="str">
        <f>IFERROR(__xludf.DUMMYFUNCTION("""COMPUTED_VALUE"""),"Active")</f>
        <v>Active</v>
      </c>
    </row>
    <row r="1427">
      <c r="A1427" s="131">
        <f>IFERROR(__xludf.DUMMYFUNCTION("""COMPUTED_VALUE"""),46183.338842592595)</f>
        <v>46183.33884</v>
      </c>
      <c r="B1427" s="122" t="str">
        <f>IFERROR(__xludf.DUMMYFUNCTION("""COMPUTED_VALUE"""),"MARKET")</f>
        <v>MARKET</v>
      </c>
      <c r="C1427" s="122" t="str">
        <f>IFERROR(__xludf.DUMMYFUNCTION("""COMPUTED_VALUE"""),"Economic Shock Hits the Market")</f>
        <v>Economic Shock Hits the Market</v>
      </c>
      <c r="D1427" s="122" t="str">
        <f>IFERROR(__xludf.DUMMYFUNCTION("""COMPUTED_VALUE"""),"A sudden economic shock hit the classroom market today. Around 60% of non-bond companies were affected, causing sharp price declines and increased volatility across multiple sectors. Bond instruments remained comparatively stable.")</f>
        <v>A sudden economic shock hit the classroom market today. Around 60% of non-bond companies were affected, causing sharp price declines and increased volatility across multiple sectors. Bond instruments remained comparatively stable.</v>
      </c>
      <c r="E1427" s="122" t="str">
        <f>IFERROR(__xludf.DUMMYFUNCTION("""COMPUTED_VALUE"""),"Negative")</f>
        <v>Negative</v>
      </c>
      <c r="F1427" s="122">
        <f>IFERROR(__xludf.DUMMYFUNCTION("""COMPUTED_VALUE"""),-0.08)</f>
        <v>-0.08</v>
      </c>
      <c r="G1427" s="122">
        <f>IFERROR(__xludf.DUMMYFUNCTION("""COMPUTED_VALUE"""),2.0)</f>
        <v>2</v>
      </c>
      <c r="H1427" s="122" t="str">
        <f>IFERROR(__xludf.DUMMYFUNCTION("""COMPUTED_VALUE"""),"Active")</f>
        <v>Active</v>
      </c>
    </row>
    <row r="1428">
      <c r="A1428" s="131">
        <f>IFERROR(__xludf.DUMMYFUNCTION("""COMPUTED_VALUE"""),46184.31760416667)</f>
        <v>46184.3176</v>
      </c>
      <c r="B1428" s="122" t="str">
        <f>IFERROR(__xludf.DUMMYFUNCTION("""COMPUTED_VALUE"""),"BYTE")</f>
        <v>BYTE</v>
      </c>
      <c r="C1428" s="122" t="str">
        <f>IFERROR(__xludf.DUMMYFUNCTION("""COMPUTED_VALUE"""),"ByteWorks releases earnings report: Beat profit, guidance Raised.")</f>
        <v>ByteWorks releases earnings report: Beat profit, guidance Raised.</v>
      </c>
      <c r="D142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428" s="122" t="str">
        <f>IFERROR(__xludf.DUMMYFUNCTION("""COMPUTED_VALUE"""),"Positive")</f>
        <v>Positive</v>
      </c>
      <c r="F1428" s="122">
        <f>IFERROR(__xludf.DUMMYFUNCTION("""COMPUTED_VALUE"""),0.04556247922512164)</f>
        <v>0.04556247923</v>
      </c>
      <c r="G1428" s="122">
        <f>IFERROR(__xludf.DUMMYFUNCTION("""COMPUTED_VALUE"""),1.139061980628041)</f>
        <v>1.139061981</v>
      </c>
      <c r="H1428" s="122" t="str">
        <f>IFERROR(__xludf.DUMMYFUNCTION("""COMPUTED_VALUE"""),"Active")</f>
        <v>Active</v>
      </c>
    </row>
    <row r="1429">
      <c r="A1429" s="131">
        <f>IFERROR(__xludf.DUMMYFUNCTION("""COMPUTED_VALUE"""),46184.31768518518)</f>
        <v>46184.31769</v>
      </c>
      <c r="B1429" s="122" t="str">
        <f>IFERROR(__xludf.DUMMYFUNCTION("""COMPUTED_VALUE"""),"TECH")</f>
        <v>TECH</v>
      </c>
      <c r="C1429" s="122" t="str">
        <f>IFERROR(__xludf.DUMMYFUNCTION("""COMPUTED_VALUE"""),"Dragon Tech releases earnings report: Miss profit, guidance Lowered.")</f>
        <v>Dragon Tech releases earnings report: Miss profit, guidance Lowered.</v>
      </c>
      <c r="D1429" s="122" t="str">
        <f>IFERROR(__xludf.DUMMYFUNCTION("""COMPUTED_VALUE"""),"Earnings report: revenue Miss, profit Miss, debt Worse, guidance Lowered.")</f>
        <v>Earnings report: revenue Miss, profit Miss, debt Worse, guidance Lowered.</v>
      </c>
      <c r="E1429" s="122" t="str">
        <f>IFERROR(__xludf.DUMMYFUNCTION("""COMPUTED_VALUE"""),"Negative")</f>
        <v>Negative</v>
      </c>
      <c r="F1429" s="122">
        <f>IFERROR(__xludf.DUMMYFUNCTION("""COMPUTED_VALUE"""),-0.04644295551200721)</f>
        <v>-0.04644295551</v>
      </c>
      <c r="G1429" s="122">
        <f>IFERROR(__xludf.DUMMYFUNCTION("""COMPUTED_VALUE"""),1.1610738878001803)</f>
        <v>1.161073888</v>
      </c>
      <c r="H1429" s="122" t="str">
        <f>IFERROR(__xludf.DUMMYFUNCTION("""COMPUTED_VALUE"""),"Active")</f>
        <v>Active</v>
      </c>
    </row>
    <row r="1430">
      <c r="A1430" s="131">
        <f>IFERROR(__xludf.DUMMYFUNCTION("""COMPUTED_VALUE"""),46184.317766203705)</f>
        <v>46184.31777</v>
      </c>
      <c r="B1430" s="122" t="str">
        <f>IFERROR(__xludf.DUMMYFUNCTION("""COMPUTED_VALUE"""),"BANK")</f>
        <v>BANK</v>
      </c>
      <c r="C1430" s="122" t="str">
        <f>IFERROR(__xludf.DUMMYFUNCTION("""COMPUTED_VALUE"""),"Tiger Bank releases earnings report: Miss profit, guidance Lowered.")</f>
        <v>Tiger Bank releases earnings report: Miss profit, guidance Lowered.</v>
      </c>
      <c r="D1430" s="122" t="str">
        <f>IFERROR(__xludf.DUMMYFUNCTION("""COMPUTED_VALUE"""),"Earnings report: revenue Miss, profit Miss, debt Worse, guidance Lowered.")</f>
        <v>Earnings report: revenue Miss, profit Miss, debt Worse, guidance Lowered.</v>
      </c>
      <c r="E1430" s="122" t="str">
        <f>IFERROR(__xludf.DUMMYFUNCTION("""COMPUTED_VALUE"""),"Negative")</f>
        <v>Negative</v>
      </c>
      <c r="F1430" s="122">
        <f>IFERROR(__xludf.DUMMYFUNCTION("""COMPUTED_VALUE"""),-0.05398383140736016)</f>
        <v>-0.05398383141</v>
      </c>
      <c r="G1430" s="122">
        <f>IFERROR(__xludf.DUMMYFUNCTION("""COMPUTED_VALUE"""),1.3495957851840041)</f>
        <v>1.349595785</v>
      </c>
      <c r="H1430" s="122" t="str">
        <f>IFERROR(__xludf.DUMMYFUNCTION("""COMPUTED_VALUE"""),"Active")</f>
        <v>Active</v>
      </c>
    </row>
    <row r="1431">
      <c r="A1431" s="131">
        <f>IFERROR(__xludf.DUMMYFUNCTION("""COMPUTED_VALUE"""),46184.31783564815)</f>
        <v>46184.31784</v>
      </c>
      <c r="B1431" s="122" t="str">
        <f>IFERROR(__xludf.DUMMYFUNCTION("""COMPUTED_VALUE"""),"FAST")</f>
        <v>FAST</v>
      </c>
      <c r="C1431" s="122" t="str">
        <f>IFERROR(__xludf.DUMMYFUNCTION("""COMPUTED_VALUE"""),"Flash Logistics releases earnings report: Beat profit, guidance Maintained.")</f>
        <v>Flash Logistics releases earnings report: Beat profit, guidance Maintained.</v>
      </c>
      <c r="D1431" s="122" t="str">
        <f>IFERROR(__xludf.DUMMYFUNCTION("""COMPUTED_VALUE"""),"Earnings report: revenue Inline, profit Beat, debt Stable, guidance Maintained.")</f>
        <v>Earnings report: revenue Inline, profit Beat, debt Stable, guidance Maintained.</v>
      </c>
      <c r="E1431" s="122" t="str">
        <f>IFERROR(__xludf.DUMMYFUNCTION("""COMPUTED_VALUE"""),"Positive")</f>
        <v>Positive</v>
      </c>
      <c r="F1431" s="122">
        <f>IFERROR(__xludf.DUMMYFUNCTION("""COMPUTED_VALUE"""),0.010169911437632932)</f>
        <v>0.01016991144</v>
      </c>
      <c r="G1431" s="122">
        <f>IFERROR(__xludf.DUMMYFUNCTION("""COMPUTED_VALUE"""),0.2542477859408233)</f>
        <v>0.2542477859</v>
      </c>
      <c r="H1431" s="122" t="str">
        <f>IFERROR(__xludf.DUMMYFUNCTION("""COMPUTED_VALUE"""),"Active")</f>
        <v>Active</v>
      </c>
    </row>
    <row r="1432">
      <c r="A1432" s="131">
        <f>IFERROR(__xludf.DUMMYFUNCTION("""COMPUTED_VALUE"""),46184.31791666667)</f>
        <v>46184.31792</v>
      </c>
      <c r="B1432" s="122" t="str">
        <f>IFERROR(__xludf.DUMMYFUNCTION("""COMPUTED_VALUE"""),"CARS")</f>
        <v>CARS</v>
      </c>
      <c r="C1432" s="122" t="str">
        <f>IFERROR(__xludf.DUMMYFUNCTION("""COMPUTED_VALUE"""),"AutoArena releases earnings report: Beat profit, guidance Raised.")</f>
        <v>AutoArena releases earnings report: Beat profit, guidance Raised.</v>
      </c>
      <c r="D143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432" s="122" t="str">
        <f>IFERROR(__xludf.DUMMYFUNCTION("""COMPUTED_VALUE"""),"Positive")</f>
        <v>Positive</v>
      </c>
      <c r="F1432" s="122">
        <f>IFERROR(__xludf.DUMMYFUNCTION("""COMPUTED_VALUE"""),0.057940606022271045)</f>
        <v>0.05794060602</v>
      </c>
      <c r="G1432" s="122">
        <f>IFERROR(__xludf.DUMMYFUNCTION("""COMPUTED_VALUE"""),1.4485151505567762)</f>
        <v>1.448515151</v>
      </c>
      <c r="H1432" s="122" t="str">
        <f>IFERROR(__xludf.DUMMYFUNCTION("""COMPUTED_VALUE"""),"Active")</f>
        <v>Active</v>
      </c>
    </row>
    <row r="1433">
      <c r="A1433" s="131">
        <f>IFERROR(__xludf.DUMMYFUNCTION("""COMPUTED_VALUE"""),46184.318020833336)</f>
        <v>46184.31802</v>
      </c>
      <c r="B1433" s="122" t="str">
        <f>IFERROR(__xludf.DUMMYFUNCTION("""COMPUTED_VALUE"""),"STRM")</f>
        <v>STRM</v>
      </c>
      <c r="C1433" s="122" t="str">
        <f>IFERROR(__xludf.DUMMYFUNCTION("""COMPUTED_VALUE"""),"Streamly releases earnings report: Miss profit, guidance Maintained.")</f>
        <v>Streamly releases earnings report: Miss profit, guidance Maintained.</v>
      </c>
      <c r="D1433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433" s="122" t="str">
        <f>IFERROR(__xludf.DUMMYFUNCTION("""COMPUTED_VALUE"""),"Negative")</f>
        <v>Negative</v>
      </c>
      <c r="F1433" s="122">
        <f>IFERROR(__xludf.DUMMYFUNCTION("""COMPUTED_VALUE"""),-0.014130974734876522)</f>
        <v>-0.01413097473</v>
      </c>
      <c r="G1433" s="122">
        <f>IFERROR(__xludf.DUMMYFUNCTION("""COMPUTED_VALUE"""),0.35327436837191306)</f>
        <v>0.3532743684</v>
      </c>
      <c r="H1433" s="122" t="str">
        <f>IFERROR(__xludf.DUMMYFUNCTION("""COMPUTED_VALUE"""),"Active")</f>
        <v>Active</v>
      </c>
    </row>
    <row r="1434">
      <c r="A1434" s="131">
        <f>IFERROR(__xludf.DUMMYFUNCTION("""COMPUTED_VALUE"""),46184.318078703705)</f>
        <v>46184.31808</v>
      </c>
      <c r="B1434" s="122" t="str">
        <f>IFERROR(__xludf.DUMMYFUNCTION("""COMPUTED_VALUE"""),"SHIP")</f>
        <v>SHIP</v>
      </c>
      <c r="C1434" s="122" t="str">
        <f>IFERROR(__xludf.DUMMYFUNCTION("""COMPUTED_VALUE"""),"Seoul Shipping releases earnings report: Beat profit, guidance Raised.")</f>
        <v>Seoul Shipping releases earnings report: Beat profit, guidance Raised.</v>
      </c>
      <c r="D1434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434" s="122" t="str">
        <f>IFERROR(__xludf.DUMMYFUNCTION("""COMPUTED_VALUE"""),"Positive")</f>
        <v>Positive</v>
      </c>
      <c r="F1434" s="122">
        <f>IFERROR(__xludf.DUMMYFUNCTION("""COMPUTED_VALUE"""),0.05855120066040519)</f>
        <v>0.05855120066</v>
      </c>
      <c r="G1434" s="122">
        <f>IFERROR(__xludf.DUMMYFUNCTION("""COMPUTED_VALUE"""),1.4637800165101296)</f>
        <v>1.463780017</v>
      </c>
      <c r="H1434" s="122" t="str">
        <f>IFERROR(__xludf.DUMMYFUNCTION("""COMPUTED_VALUE"""),"Active")</f>
        <v>Active</v>
      </c>
    </row>
    <row r="1435">
      <c r="A1435" s="131">
        <f>IFERROR(__xludf.DUMMYFUNCTION("""COMPUTED_VALUE"""),46184.318136574075)</f>
        <v>46184.31814</v>
      </c>
      <c r="B1435" s="122" t="str">
        <f>IFERROR(__xludf.DUMMYFUNCTION("""COMPUTED_VALUE"""),"COLA")</f>
        <v>COLA</v>
      </c>
      <c r="C1435" s="122" t="str">
        <f>IFERROR(__xludf.DUMMYFUNCTION("""COMPUTED_VALUE"""),"K-Pop Cola releases earnings report: Miss profit, guidance Lowered.")</f>
        <v>K-Pop Cola releases earnings report: Miss profit, guidance Lowered.</v>
      </c>
      <c r="D1435" s="122" t="str">
        <f>IFERROR(__xludf.DUMMYFUNCTION("""COMPUTED_VALUE"""),"Earnings report: revenue Miss, profit Miss, debt Worse, guidance Lowered.")</f>
        <v>Earnings report: revenue Miss, profit Miss, debt Worse, guidance Lowered.</v>
      </c>
      <c r="E1435" s="122" t="str">
        <f>IFERROR(__xludf.DUMMYFUNCTION("""COMPUTED_VALUE"""),"Negative")</f>
        <v>Negative</v>
      </c>
      <c r="F1435" s="122">
        <f>IFERROR(__xludf.DUMMYFUNCTION("""COMPUTED_VALUE"""),-0.05811619445556343)</f>
        <v>-0.05811619446</v>
      </c>
      <c r="G1435" s="122">
        <f>IFERROR(__xludf.DUMMYFUNCTION("""COMPUTED_VALUE"""),1.4529048613890858)</f>
        <v>1.452904861</v>
      </c>
      <c r="H1435" s="122" t="str">
        <f>IFERROR(__xludf.DUMMYFUNCTION("""COMPUTED_VALUE"""),"Active")</f>
        <v>Active</v>
      </c>
    </row>
    <row r="1436">
      <c r="A1436" s="131">
        <f>IFERROR(__xludf.DUMMYFUNCTION("""COMPUTED_VALUE"""),46184.31822916667)</f>
        <v>46184.31823</v>
      </c>
      <c r="B1436" s="122" t="str">
        <f>IFERROR(__xludf.DUMMYFUNCTION("""COMPUTED_VALUE"""),"GRID")</f>
        <v>GRID</v>
      </c>
      <c r="C1436" s="122" t="str">
        <f>IFERROR(__xludf.DUMMYFUNCTION("""COMPUTED_VALUE"""),"GridPower releases earnings report: Beat profit, guidance Raised.")</f>
        <v>GridPower releases earnings report: Beat profit, guidance Raised.</v>
      </c>
      <c r="D143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436" s="122" t="str">
        <f>IFERROR(__xludf.DUMMYFUNCTION("""COMPUTED_VALUE"""),"Positive")</f>
        <v>Positive</v>
      </c>
      <c r="F1436" s="122">
        <f>IFERROR(__xludf.DUMMYFUNCTION("""COMPUTED_VALUE"""),0.04472116245686412)</f>
        <v>0.04472116246</v>
      </c>
      <c r="G1436" s="122">
        <f>IFERROR(__xludf.DUMMYFUNCTION("""COMPUTED_VALUE"""),1.1180290614216029)</f>
        <v>1.118029061</v>
      </c>
      <c r="H1436" s="122" t="str">
        <f>IFERROR(__xludf.DUMMYFUNCTION("""COMPUTED_VALUE"""),"Active")</f>
        <v>Active</v>
      </c>
    </row>
    <row r="1437">
      <c r="A1437" s="131">
        <f>IFERROR(__xludf.DUMMYFUNCTION("""COMPUTED_VALUE"""),46184.33096064815)</f>
        <v>46184.33096</v>
      </c>
      <c r="B1437" s="122" t="str">
        <f>IFERROR(__xludf.DUMMYFUNCTION("""COMPUTED_VALUE"""),"SNAX")</f>
        <v>SNAX</v>
      </c>
      <c r="C1437" s="122" t="str">
        <f>IFERROR(__xludf.DUMMYFUNCTION("""COMPUTED_VALUE"""),"MICA Snacks faces weaker demand and cautious investor sentiment.")</f>
        <v>MICA Snacks faces weaker demand and cautious investor sentiment.</v>
      </c>
      <c r="D1437" s="122" t="str">
        <f>IFERROR(__xludf.DUMMYFUNCTION("""COMPUTED_VALUE"""),"Investors are watching MICA Snacks closely as demand weakens.")</f>
        <v>Investors are watching MICA Snacks closely as demand weakens.</v>
      </c>
      <c r="E1437" s="122" t="str">
        <f>IFERROR(__xludf.DUMMYFUNCTION("""COMPUTED_VALUE"""),"Negative")</f>
        <v>Negative</v>
      </c>
      <c r="F1437" s="122">
        <f>IFERROR(__xludf.DUMMYFUNCTION("""COMPUTED_VALUE"""),-0.015)</f>
        <v>-0.015</v>
      </c>
      <c r="G1437" s="122">
        <f>IFERROR(__xludf.DUMMYFUNCTION("""COMPUTED_VALUE"""),0.75)</f>
        <v>0.75</v>
      </c>
      <c r="H1437" s="122" t="str">
        <f>IFERROR(__xludf.DUMMYFUNCTION("""COMPUTED_VALUE"""),"Active")</f>
        <v>Active</v>
      </c>
    </row>
    <row r="1438">
      <c r="A1438" s="131">
        <f>IFERROR(__xludf.DUMMYFUNCTION("""COMPUTED_VALUE"""),46184.330972222226)</f>
        <v>46184.33097</v>
      </c>
      <c r="B1438" s="122" t="str">
        <f>IFERROR(__xludf.DUMMYFUNCTION("""COMPUTED_VALUE"""),"RAMN")</f>
        <v>RAMN</v>
      </c>
      <c r="C1438" s="122" t="str">
        <f>IFERROR(__xludf.DUMMYFUNCTION("""COMPUTED_VALUE"""),"Ramen Republic remains stable as the Food market shows normal activity.")</f>
        <v>Ramen Republic remains stable as the Food market shows normal activity.</v>
      </c>
      <c r="D1438" s="122" t="str">
        <f>IFERROR(__xludf.DUMMYFUNCTION("""COMPUTED_VALUE"""),"Ramen Republic appears steady with no major changes reported.")</f>
        <v>Ramen Republic appears steady with no major changes reported.</v>
      </c>
      <c r="E1438" s="122" t="str">
        <f>IFERROR(__xludf.DUMMYFUNCTION("""COMPUTED_VALUE"""),"Neutral")</f>
        <v>Neutral</v>
      </c>
      <c r="F1438" s="122">
        <f>IFERROR(__xludf.DUMMYFUNCTION("""COMPUTED_VALUE"""),0.0)</f>
        <v>0</v>
      </c>
      <c r="G1438" s="122">
        <f>IFERROR(__xludf.DUMMYFUNCTION("""COMPUTED_VALUE"""),0.0)</f>
        <v>0</v>
      </c>
      <c r="H1438" s="122" t="str">
        <f>IFERROR(__xludf.DUMMYFUNCTION("""COMPUTED_VALUE"""),"Active")</f>
        <v>Active</v>
      </c>
    </row>
    <row r="1439">
      <c r="A1439" s="131">
        <f>IFERROR(__xludf.DUMMYFUNCTION("""COMPUTED_VALUE"""),46184.330983796295)</f>
        <v>46184.33098</v>
      </c>
      <c r="B1439" s="122" t="str">
        <f>IFERROR(__xludf.DUMMYFUNCTION("""COMPUTED_VALUE"""),"COLA")</f>
        <v>COLA</v>
      </c>
      <c r="C1439" s="122" t="str">
        <f>IFERROR(__xludf.DUMMYFUNCTION("""COMPUTED_VALUE"""),"K-Pop Cola surges as demand rises across the Beverage sector.")</f>
        <v>K-Pop Cola surges as demand rises across the Beverage sector.</v>
      </c>
      <c r="D1439" s="122" t="str">
        <f>IFERROR(__xludf.DUMMYFUNCTION("""COMPUTED_VALUE"""),"K-Pop Cola is seeing strong demand, which may increase investor confidence.")</f>
        <v>K-Pop Cola is seeing strong demand, which may increase investor confidence.</v>
      </c>
      <c r="E1439" s="122" t="str">
        <f>IFERROR(__xludf.DUMMYFUNCTION("""COMPUTED_VALUE"""),"Positive")</f>
        <v>Positive</v>
      </c>
      <c r="F1439" s="122">
        <f>IFERROR(__xludf.DUMMYFUNCTION("""COMPUTED_VALUE"""),0.03)</f>
        <v>0.03</v>
      </c>
      <c r="G1439" s="122">
        <f>IFERROR(__xludf.DUMMYFUNCTION("""COMPUTED_VALUE"""),1.0)</f>
        <v>1</v>
      </c>
      <c r="H1439" s="122" t="str">
        <f>IFERROR(__xludf.DUMMYFUNCTION("""COMPUTED_VALUE"""),"Active")</f>
        <v>Active</v>
      </c>
    </row>
    <row r="1440">
      <c r="A1440" s="131">
        <f>IFERROR(__xludf.DUMMYFUNCTION("""COMPUTED_VALUE"""),46184.330983796295)</f>
        <v>46184.33098</v>
      </c>
      <c r="B1440" s="122" t="str">
        <f>IFERROR(__xludf.DUMMYFUNCTION("""COMPUTED_VALUE"""),"CHIP")</f>
        <v>CHIP</v>
      </c>
      <c r="C1440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1440" s="122" t="str">
        <f>IFERROR(__xludf.DUMMYFUNCTION("""COMPUTED_VALUE"""),"Chip Empire appears steady with no major changes reported.")</f>
        <v>Chip Empire appears steady with no major changes reported.</v>
      </c>
      <c r="E1440" s="122" t="str">
        <f>IFERROR(__xludf.DUMMYFUNCTION("""COMPUTED_VALUE"""),"Neutral")</f>
        <v>Neutral</v>
      </c>
      <c r="F1440" s="122">
        <f>IFERROR(__xludf.DUMMYFUNCTION("""COMPUTED_VALUE"""),0.0)</f>
        <v>0</v>
      </c>
      <c r="G1440" s="122">
        <f>IFERROR(__xludf.DUMMYFUNCTION("""COMPUTED_VALUE"""),0.0)</f>
        <v>0</v>
      </c>
      <c r="H1440" s="122" t="str">
        <f>IFERROR(__xludf.DUMMYFUNCTION("""COMPUTED_VALUE"""),"Active")</f>
        <v>Active</v>
      </c>
    </row>
    <row r="1441">
      <c r="A1441" s="131">
        <f>IFERROR(__xludf.DUMMYFUNCTION("""COMPUTED_VALUE"""),46184.33100694444)</f>
        <v>46184.33101</v>
      </c>
      <c r="B1441" s="122" t="str">
        <f>IFERROR(__xludf.DUMMYFUNCTION("""COMPUTED_VALUE"""),"CAND")</f>
        <v>CAND</v>
      </c>
      <c r="C1441" s="122" t="str">
        <f>IFERROR(__xludf.DUMMYFUNCTION("""COMPUTED_VALUE"""),"Candy Capital reports steady growth and improved market confidence.")</f>
        <v>Candy Capital reports steady growth and improved market confidence.</v>
      </c>
      <c r="D1441" s="122" t="str">
        <f>IFERROR(__xludf.DUMMYFUNCTION("""COMPUTED_VALUE"""),"Candy Capital continues to show positive momentum with moderate risk.")</f>
        <v>Candy Capital continues to show positive momentum with moderate risk.</v>
      </c>
      <c r="E1441" s="122" t="str">
        <f>IFERROR(__xludf.DUMMYFUNCTION("""COMPUTED_VALUE"""),"Positive")</f>
        <v>Positive</v>
      </c>
      <c r="F1441" s="122">
        <f>IFERROR(__xludf.DUMMYFUNCTION("""COMPUTED_VALUE"""),0.015)</f>
        <v>0.015</v>
      </c>
      <c r="G1441" s="122">
        <f>IFERROR(__xludf.DUMMYFUNCTION("""COMPUTED_VALUE"""),0.5)</f>
        <v>0.5</v>
      </c>
      <c r="H1441" s="122" t="str">
        <f>IFERROR(__xludf.DUMMYFUNCTION("""COMPUTED_VALUE"""),"Active")</f>
        <v>Active</v>
      </c>
    </row>
    <row r="1442">
      <c r="A1442" s="131">
        <f>IFERROR(__xludf.DUMMYFUNCTION("""COMPUTED_VALUE"""),46184.33101851852)</f>
        <v>46184.33102</v>
      </c>
      <c r="B1442" s="122" t="str">
        <f>IFERROR(__xludf.DUMMYFUNCTION("""COMPUTED_VALUE"""),"TECH")</f>
        <v>TECH</v>
      </c>
      <c r="C1442" s="122" t="str">
        <f>IFERROR(__xludf.DUMMYFUNCTION("""COMPUTED_VALUE"""),"Dragon Tech surges as demand rises across the Technology sector.")</f>
        <v>Dragon Tech surges as demand rises across the Technology sector.</v>
      </c>
      <c r="D1442" s="122" t="str">
        <f>IFERROR(__xludf.DUMMYFUNCTION("""COMPUTED_VALUE"""),"Dragon Tech is seeing strong demand, which may increase investor confidence.")</f>
        <v>Dragon Tech is seeing strong demand, which may increase investor confidence.</v>
      </c>
      <c r="E1442" s="122" t="str">
        <f>IFERROR(__xludf.DUMMYFUNCTION("""COMPUTED_VALUE"""),"Positive")</f>
        <v>Positive</v>
      </c>
      <c r="F1442" s="122">
        <f>IFERROR(__xludf.DUMMYFUNCTION("""COMPUTED_VALUE"""),0.03)</f>
        <v>0.03</v>
      </c>
      <c r="G1442" s="122">
        <f>IFERROR(__xludf.DUMMYFUNCTION("""COMPUTED_VALUE"""),1.0)</f>
        <v>1</v>
      </c>
      <c r="H1442" s="122" t="str">
        <f>IFERROR(__xludf.DUMMYFUNCTION("""COMPUTED_VALUE"""),"Active")</f>
        <v>Active</v>
      </c>
    </row>
    <row r="1443">
      <c r="A1443" s="131">
        <f>IFERROR(__xludf.DUMMYFUNCTION("""COMPUTED_VALUE"""),46184.33101851852)</f>
        <v>46184.33102</v>
      </c>
      <c r="B1443" s="122" t="str">
        <f>IFERROR(__xludf.DUMMYFUNCTION("""COMPUTED_VALUE"""),"AIBO")</f>
        <v>AIBO</v>
      </c>
      <c r="C1443" s="122" t="str">
        <f>IFERROR(__xludf.DUMMYFUNCTION("""COMPUTED_VALUE"""),"Homework AI remains stable as the Technology market shows normal activity.")</f>
        <v>Homework AI remains stable as the Technology market shows normal activity.</v>
      </c>
      <c r="D1443" s="122" t="str">
        <f>IFERROR(__xludf.DUMMYFUNCTION("""COMPUTED_VALUE"""),"Homework AI appears steady with no major changes reported.")</f>
        <v>Homework AI appears steady with no major changes reported.</v>
      </c>
      <c r="E1443" s="122" t="str">
        <f>IFERROR(__xludf.DUMMYFUNCTION("""COMPUTED_VALUE"""),"Neutral")</f>
        <v>Neutral</v>
      </c>
      <c r="F1443" s="122">
        <f>IFERROR(__xludf.DUMMYFUNCTION("""COMPUTED_VALUE"""),0.0)</f>
        <v>0</v>
      </c>
      <c r="G1443" s="122">
        <f>IFERROR(__xludf.DUMMYFUNCTION("""COMPUTED_VALUE"""),0.0)</f>
        <v>0</v>
      </c>
      <c r="H1443" s="122" t="str">
        <f>IFERROR(__xludf.DUMMYFUNCTION("""COMPUTED_VALUE"""),"Active")</f>
        <v>Active</v>
      </c>
    </row>
    <row r="1444">
      <c r="A1444" s="131">
        <f>IFERROR(__xludf.DUMMYFUNCTION("""COMPUTED_VALUE"""),46184.331030092595)</f>
        <v>46184.33103</v>
      </c>
      <c r="B1444" s="122" t="str">
        <f>IFERROR(__xludf.DUMMYFUNCTION("""COMPUTED_VALUE"""),"GAME")</f>
        <v>GAME</v>
      </c>
      <c r="C1444" s="122" t="str">
        <f>IFERROR(__xludf.DUMMYFUNCTION("""COMPUTED_VALUE"""),"GameBox Media surges as demand rises across the Entertainment sector.")</f>
        <v>GameBox Media surges as demand rises across the Entertainment sector.</v>
      </c>
      <c r="D1444" s="122" t="str">
        <f>IFERROR(__xludf.DUMMYFUNCTION("""COMPUTED_VALUE"""),"GameBox Media is seeing strong demand, which may increase investor confidence.")</f>
        <v>GameBox Media is seeing strong demand, which may increase investor confidence.</v>
      </c>
      <c r="E1444" s="122" t="str">
        <f>IFERROR(__xludf.DUMMYFUNCTION("""COMPUTED_VALUE"""),"Positive")</f>
        <v>Positive</v>
      </c>
      <c r="F1444" s="122">
        <f>IFERROR(__xludf.DUMMYFUNCTION("""COMPUTED_VALUE"""),0.03)</f>
        <v>0.03</v>
      </c>
      <c r="G1444" s="122">
        <f>IFERROR(__xludf.DUMMYFUNCTION("""COMPUTED_VALUE"""),1.0)</f>
        <v>1</v>
      </c>
      <c r="H1444" s="122" t="str">
        <f>IFERROR(__xludf.DUMMYFUNCTION("""COMPUTED_VALUE"""),"Active")</f>
        <v>Active</v>
      </c>
    </row>
    <row r="1445">
      <c r="A1445" s="131">
        <f>IFERROR(__xludf.DUMMYFUNCTION("""COMPUTED_VALUE"""),46184.331041666665)</f>
        <v>46184.33104</v>
      </c>
      <c r="B1445" s="122" t="str">
        <f>IFERROR(__xludf.DUMMYFUNCTION("""COMPUTED_VALUE"""),"VRSE")</f>
        <v>VRSE</v>
      </c>
      <c r="C1445" s="122" t="str">
        <f>IFERROR(__xludf.DUMMYFUNCTION("""COMPUTED_VALUE"""),"VerseVR reports steady growth and improved market confidence.")</f>
        <v>VerseVR reports steady growth and improved market confidence.</v>
      </c>
      <c r="D1445" s="122" t="str">
        <f>IFERROR(__xludf.DUMMYFUNCTION("""COMPUTED_VALUE"""),"VerseVR continues to show positive momentum with moderate risk.")</f>
        <v>VerseVR continues to show positive momentum with moderate risk.</v>
      </c>
      <c r="E1445" s="122" t="str">
        <f>IFERROR(__xludf.DUMMYFUNCTION("""COMPUTED_VALUE"""),"Positive")</f>
        <v>Positive</v>
      </c>
      <c r="F1445" s="122">
        <f>IFERROR(__xludf.DUMMYFUNCTION("""COMPUTED_VALUE"""),0.015)</f>
        <v>0.015</v>
      </c>
      <c r="G1445" s="122">
        <f>IFERROR(__xludf.DUMMYFUNCTION("""COMPUTED_VALUE"""),0.5)</f>
        <v>0.5</v>
      </c>
      <c r="H1445" s="122" t="str">
        <f>IFERROR(__xludf.DUMMYFUNCTION("""COMPUTED_VALUE"""),"Active")</f>
        <v>Active</v>
      </c>
    </row>
    <row r="1446">
      <c r="A1446" s="131">
        <f>IFERROR(__xludf.DUMMYFUNCTION("""COMPUTED_VALUE"""),46184.331041666665)</f>
        <v>46184.33104</v>
      </c>
      <c r="B1446" s="122" t="str">
        <f>IFERROR(__xludf.DUMMYFUNCTION("""COMPUTED_VALUE"""),"BYTE")</f>
        <v>BYTE</v>
      </c>
      <c r="C1446" s="122" t="str">
        <f>IFERROR(__xludf.DUMMYFUNCTION("""COMPUTED_VALUE"""),"ByteWorks surges as demand rises across the Technology sector.")</f>
        <v>ByteWorks surges as demand rises across the Technology sector.</v>
      </c>
      <c r="D1446" s="122" t="str">
        <f>IFERROR(__xludf.DUMMYFUNCTION("""COMPUTED_VALUE"""),"ByteWorks is seeing strong demand, which may increase investor confidence.")</f>
        <v>ByteWorks is seeing strong demand, which may increase investor confidence.</v>
      </c>
      <c r="E1446" s="122" t="str">
        <f>IFERROR(__xludf.DUMMYFUNCTION("""COMPUTED_VALUE"""),"Positive")</f>
        <v>Positive</v>
      </c>
      <c r="F1446" s="122">
        <f>IFERROR(__xludf.DUMMYFUNCTION("""COMPUTED_VALUE"""),0.03)</f>
        <v>0.03</v>
      </c>
      <c r="G1446" s="122">
        <f>IFERROR(__xludf.DUMMYFUNCTION("""COMPUTED_VALUE"""),1.0)</f>
        <v>1</v>
      </c>
      <c r="H1446" s="122" t="str">
        <f>IFERROR(__xludf.DUMMYFUNCTION("""COMPUTED_VALUE"""),"Active")</f>
        <v>Active</v>
      </c>
    </row>
    <row r="1447">
      <c r="A1447" s="131">
        <f>IFERROR(__xludf.DUMMYFUNCTION("""COMPUTED_VALUE"""),46184.33105324074)</f>
        <v>46184.33105</v>
      </c>
      <c r="B1447" s="122" t="str">
        <f>IFERROR(__xludf.DUMMYFUNCTION("""COMPUTED_VALUE"""),"BANK")</f>
        <v>BANK</v>
      </c>
      <c r="C1447" s="122" t="str">
        <f>IFERROR(__xludf.DUMMYFUNCTION("""COMPUTED_VALUE"""),"Tiger Bank remains stable as the Finance market shows normal activity.")</f>
        <v>Tiger Bank remains stable as the Finance market shows normal activity.</v>
      </c>
      <c r="D1447" s="122" t="str">
        <f>IFERROR(__xludf.DUMMYFUNCTION("""COMPUTED_VALUE"""),"Tiger Bank appears steady with no major changes reported.")</f>
        <v>Tiger Bank appears steady with no major changes reported.</v>
      </c>
      <c r="E1447" s="122" t="str">
        <f>IFERROR(__xludf.DUMMYFUNCTION("""COMPUTED_VALUE"""),"Neutral")</f>
        <v>Neutral</v>
      </c>
      <c r="F1447" s="122">
        <f>IFERROR(__xludf.DUMMYFUNCTION("""COMPUTED_VALUE"""),0.0)</f>
        <v>0</v>
      </c>
      <c r="G1447" s="122">
        <f>IFERROR(__xludf.DUMMYFUNCTION("""COMPUTED_VALUE"""),0.0)</f>
        <v>0</v>
      </c>
      <c r="H1447" s="122" t="str">
        <f>IFERROR(__xludf.DUMMYFUNCTION("""COMPUTED_VALUE"""),"Active")</f>
        <v>Active</v>
      </c>
    </row>
    <row r="1448">
      <c r="A1448" s="131">
        <f>IFERROR(__xludf.DUMMYFUNCTION("""COMPUTED_VALUE"""),46184.33106481482)</f>
        <v>46184.33106</v>
      </c>
      <c r="B1448" s="122" t="str">
        <f>IFERROR(__xludf.DUMMYFUNCTION("""COMPUTED_VALUE"""),"CRED")</f>
        <v>CRED</v>
      </c>
      <c r="C1448" s="122" t="str">
        <f>IFERROR(__xludf.DUMMYFUNCTION("""COMPUTED_VALUE"""),"Credit Castle faces weaker demand and cautious investor sentiment.")</f>
        <v>Credit Castle faces weaker demand and cautious investor sentiment.</v>
      </c>
      <c r="D1448" s="122" t="str">
        <f>IFERROR(__xludf.DUMMYFUNCTION("""COMPUTED_VALUE"""),"Investors are watching Credit Castle closely as demand weakens.")</f>
        <v>Investors are watching Credit Castle closely as demand weakens.</v>
      </c>
      <c r="E1448" s="122" t="str">
        <f>IFERROR(__xludf.DUMMYFUNCTION("""COMPUTED_VALUE"""),"Negative")</f>
        <v>Negative</v>
      </c>
      <c r="F1448" s="122">
        <f>IFERROR(__xludf.DUMMYFUNCTION("""COMPUTED_VALUE"""),-0.015)</f>
        <v>-0.015</v>
      </c>
      <c r="G1448" s="122">
        <f>IFERROR(__xludf.DUMMYFUNCTION("""COMPUTED_VALUE"""),0.75)</f>
        <v>0.75</v>
      </c>
      <c r="H1448" s="122" t="str">
        <f>IFERROR(__xludf.DUMMYFUNCTION("""COMPUTED_VALUE"""),"Active")</f>
        <v>Active</v>
      </c>
    </row>
    <row r="1449">
      <c r="A1449" s="131">
        <f>IFERROR(__xludf.DUMMYFUNCTION("""COMPUTED_VALUE"""),46184.33107638889)</f>
        <v>46184.33108</v>
      </c>
      <c r="B1449" s="122" t="str">
        <f>IFERROR(__xludf.DUMMYFUNCTION("""COMPUTED_VALUE"""),"BOND")</f>
        <v>BOND</v>
      </c>
      <c r="C1449" s="122" t="str">
        <f>IFERROR(__xludf.DUMMYFUNCTION("""COMPUTED_VALUE"""),"BondBridge surges as demand rises across the Finance sector.")</f>
        <v>BondBridge surges as demand rises across the Finance sector.</v>
      </c>
      <c r="D1449" s="122" t="str">
        <f>IFERROR(__xludf.DUMMYFUNCTION("""COMPUTED_VALUE"""),"BondBridge is seeing strong demand, which may increase investor confidence.")</f>
        <v>BondBridge is seeing strong demand, which may increase investor confidence.</v>
      </c>
      <c r="E1449" s="122" t="str">
        <f>IFERROR(__xludf.DUMMYFUNCTION("""COMPUTED_VALUE"""),"Positive")</f>
        <v>Positive</v>
      </c>
      <c r="F1449" s="122">
        <f>IFERROR(__xludf.DUMMYFUNCTION("""COMPUTED_VALUE"""),0.03)</f>
        <v>0.03</v>
      </c>
      <c r="G1449" s="122">
        <f>IFERROR(__xludf.DUMMYFUNCTION("""COMPUTED_VALUE"""),1.0)</f>
        <v>1</v>
      </c>
      <c r="H1449" s="122" t="str">
        <f>IFERROR(__xludf.DUMMYFUNCTION("""COMPUTED_VALUE"""),"Active")</f>
        <v>Active</v>
      </c>
    </row>
    <row r="1450">
      <c r="A1450" s="131">
        <f>IFERROR(__xludf.DUMMYFUNCTION("""COMPUTED_VALUE"""),46184.33107638889)</f>
        <v>46184.33108</v>
      </c>
      <c r="B1450" s="122" t="str">
        <f>IFERROR(__xludf.DUMMYFUNCTION("""COMPUTED_VALUE"""),"INSR")</f>
        <v>INSR</v>
      </c>
      <c r="C1450" s="122" t="str">
        <f>IFERROR(__xludf.DUMMYFUNCTION("""COMPUTED_VALUE"""),"Shield Insurance reports steady growth and improved market confidence.")</f>
        <v>Shield Insurance reports steady growth and improved market confidence.</v>
      </c>
      <c r="D1450" s="122" t="str">
        <f>IFERROR(__xludf.DUMMYFUNCTION("""COMPUTED_VALUE"""),"Shield Insurance continues to show positive momentum with moderate risk.")</f>
        <v>Shield Insurance continues to show positive momentum with moderate risk.</v>
      </c>
      <c r="E1450" s="122" t="str">
        <f>IFERROR(__xludf.DUMMYFUNCTION("""COMPUTED_VALUE"""),"Positive")</f>
        <v>Positive</v>
      </c>
      <c r="F1450" s="122">
        <f>IFERROR(__xludf.DUMMYFUNCTION("""COMPUTED_VALUE"""),0.015)</f>
        <v>0.015</v>
      </c>
      <c r="G1450" s="122">
        <f>IFERROR(__xludf.DUMMYFUNCTION("""COMPUTED_VALUE"""),0.5)</f>
        <v>0.5</v>
      </c>
      <c r="H1450" s="122" t="str">
        <f>IFERROR(__xludf.DUMMYFUNCTION("""COMPUTED_VALUE"""),"Active")</f>
        <v>Active</v>
      </c>
    </row>
    <row r="1451">
      <c r="A1451" s="131">
        <f>IFERROR(__xludf.DUMMYFUNCTION("""COMPUTED_VALUE"""),46184.331087962964)</f>
        <v>46184.33109</v>
      </c>
      <c r="B1451" s="122" t="str">
        <f>IFERROR(__xludf.DUMMYFUNCTION("""COMPUTED_VALUE"""),"LOAN")</f>
        <v>LOAN</v>
      </c>
      <c r="C1451" s="122" t="str">
        <f>IFERROR(__xludf.DUMMYFUNCTION("""COMPUTED_VALUE"""),"LoanLab remains stable as the Finance market shows normal activity.")</f>
        <v>LoanLab remains stable as the Finance market shows normal activity.</v>
      </c>
      <c r="D1451" s="122" t="str">
        <f>IFERROR(__xludf.DUMMYFUNCTION("""COMPUTED_VALUE"""),"LoanLab appears steady with no major changes reported.")</f>
        <v>LoanLab appears steady with no major changes reported.</v>
      </c>
      <c r="E1451" s="122" t="str">
        <f>IFERROR(__xludf.DUMMYFUNCTION("""COMPUTED_VALUE"""),"Neutral")</f>
        <v>Neutral</v>
      </c>
      <c r="F1451" s="122">
        <f>IFERROR(__xludf.DUMMYFUNCTION("""COMPUTED_VALUE"""),0.0)</f>
        <v>0</v>
      </c>
      <c r="G1451" s="122">
        <f>IFERROR(__xludf.DUMMYFUNCTION("""COMPUTED_VALUE"""),0.0)</f>
        <v>0</v>
      </c>
      <c r="H1451" s="122" t="str">
        <f>IFERROR(__xludf.DUMMYFUNCTION("""COMPUTED_VALUE"""),"Active")</f>
        <v>Active</v>
      </c>
    </row>
    <row r="1452">
      <c r="A1452" s="131">
        <f>IFERROR(__xludf.DUMMYFUNCTION("""COMPUTED_VALUE"""),46184.331099537034)</f>
        <v>46184.3311</v>
      </c>
      <c r="B1452" s="122" t="str">
        <f>IFERROR(__xludf.DUMMYFUNCTION("""COMPUTED_VALUE"""),"LUXE")</f>
        <v>LUXE</v>
      </c>
      <c r="C1452" s="122" t="str">
        <f>IFERROR(__xludf.DUMMYFUNCTION("""COMPUTED_VALUE"""),"Luxury Locker reports steady growth and improved market confidence.")</f>
        <v>Luxury Locker reports steady growth and improved market confidence.</v>
      </c>
      <c r="D1452" s="122" t="str">
        <f>IFERROR(__xludf.DUMMYFUNCTION("""COMPUTED_VALUE"""),"Luxury Locker continues to show positive momentum with moderate risk.")</f>
        <v>Luxury Locker continues to show positive momentum with moderate risk.</v>
      </c>
      <c r="E1452" s="122" t="str">
        <f>IFERROR(__xludf.DUMMYFUNCTION("""COMPUTED_VALUE"""),"Positive")</f>
        <v>Positive</v>
      </c>
      <c r="F1452" s="122">
        <f>IFERROR(__xludf.DUMMYFUNCTION("""COMPUTED_VALUE"""),0.015)</f>
        <v>0.015</v>
      </c>
      <c r="G1452" s="122">
        <f>IFERROR(__xludf.DUMMYFUNCTION("""COMPUTED_VALUE"""),0.5)</f>
        <v>0.5</v>
      </c>
      <c r="H1452" s="122" t="str">
        <f>IFERROR(__xludf.DUMMYFUNCTION("""COMPUTED_VALUE"""),"Active")</f>
        <v>Active</v>
      </c>
    </row>
    <row r="1453">
      <c r="A1453" s="131">
        <f>IFERROR(__xludf.DUMMYFUNCTION("""COMPUTED_VALUE"""),46184.331099537034)</f>
        <v>46184.3311</v>
      </c>
      <c r="B1453" s="122" t="str">
        <f>IFERROR(__xludf.DUMMYFUNCTION("""COMPUTED_VALUE"""),"DRIP")</f>
        <v>DRIP</v>
      </c>
      <c r="C1453" s="122" t="str">
        <f>IFERROR(__xludf.DUMMYFUNCTION("""COMPUTED_VALUE"""),"Drip Streetwear reports steady growth and improved market confidence.")</f>
        <v>Drip Streetwear reports steady growth and improved market confidence.</v>
      </c>
      <c r="D1453" s="122" t="str">
        <f>IFERROR(__xludf.DUMMYFUNCTION("""COMPUTED_VALUE"""),"Drip Streetwear continues to show positive momentum with moderate risk.")</f>
        <v>Drip Streetwear continues to show positive momentum with moderate risk.</v>
      </c>
      <c r="E1453" s="122" t="str">
        <f>IFERROR(__xludf.DUMMYFUNCTION("""COMPUTED_VALUE"""),"Positive")</f>
        <v>Positive</v>
      </c>
      <c r="F1453" s="122">
        <f>IFERROR(__xludf.DUMMYFUNCTION("""COMPUTED_VALUE"""),0.015)</f>
        <v>0.015</v>
      </c>
      <c r="G1453" s="122">
        <f>IFERROR(__xludf.DUMMYFUNCTION("""COMPUTED_VALUE"""),0.5)</f>
        <v>0.5</v>
      </c>
      <c r="H1453" s="122" t="str">
        <f>IFERROR(__xludf.DUMMYFUNCTION("""COMPUTED_VALUE"""),"Active")</f>
        <v>Active</v>
      </c>
    </row>
    <row r="1454">
      <c r="A1454" s="131">
        <f>IFERROR(__xludf.DUMMYFUNCTION("""COMPUTED_VALUE"""),46184.33111111111)</f>
        <v>46184.33111</v>
      </c>
      <c r="B1454" s="122" t="str">
        <f>IFERROR(__xludf.DUMMYFUNCTION("""COMPUTED_VALUE"""),"KICK")</f>
        <v>KICK</v>
      </c>
      <c r="C1454" s="122" t="str">
        <f>IFERROR(__xludf.DUMMYFUNCTION("""COMPUTED_VALUE"""),"KickDrop Sneakers reports steady growth and improved market confidence.")</f>
        <v>KickDrop Sneakers reports steady growth and improved market confidence.</v>
      </c>
      <c r="D1454" s="122" t="str">
        <f>IFERROR(__xludf.DUMMYFUNCTION("""COMPUTED_VALUE"""),"KickDrop Sneakers continues to show positive momentum with moderate risk.")</f>
        <v>KickDrop Sneakers continues to show positive momentum with moderate risk.</v>
      </c>
      <c r="E1454" s="122" t="str">
        <f>IFERROR(__xludf.DUMMYFUNCTION("""COMPUTED_VALUE"""),"Positive")</f>
        <v>Positive</v>
      </c>
      <c r="F1454" s="122">
        <f>IFERROR(__xludf.DUMMYFUNCTION("""COMPUTED_VALUE"""),0.015)</f>
        <v>0.015</v>
      </c>
      <c r="G1454" s="122">
        <f>IFERROR(__xludf.DUMMYFUNCTION("""COMPUTED_VALUE"""),0.5)</f>
        <v>0.5</v>
      </c>
      <c r="H1454" s="122" t="str">
        <f>IFERROR(__xludf.DUMMYFUNCTION("""COMPUTED_VALUE"""),"Active")</f>
        <v>Active</v>
      </c>
    </row>
    <row r="1455">
      <c r="A1455" s="131">
        <f>IFERROR(__xludf.DUMMYFUNCTION("""COMPUTED_VALUE"""),46184.33112268519)</f>
        <v>46184.33112</v>
      </c>
      <c r="B1455" s="122" t="str">
        <f>IFERROR(__xludf.DUMMYFUNCTION("""COMPUTED_VALUE"""),"GLAM")</f>
        <v>GLAM</v>
      </c>
      <c r="C1455" s="122" t="str">
        <f>IFERROR(__xludf.DUMMYFUNCTION("""COMPUTED_VALUE"""),"Glow Cosmetics remains stable as the Fashion market shows normal activity.")</f>
        <v>Glow Cosmetics remains stable as the Fashion market shows normal activity.</v>
      </c>
      <c r="D1455" s="122" t="str">
        <f>IFERROR(__xludf.DUMMYFUNCTION("""COMPUTED_VALUE"""),"Glow Cosmetics appears steady with no major changes reported.")</f>
        <v>Glow Cosmetics appears steady with no major changes reported.</v>
      </c>
      <c r="E1455" s="122" t="str">
        <f>IFERROR(__xludf.DUMMYFUNCTION("""COMPUTED_VALUE"""),"Neutral")</f>
        <v>Neutral</v>
      </c>
      <c r="F1455" s="122">
        <f>IFERROR(__xludf.DUMMYFUNCTION("""COMPUTED_VALUE"""),0.0)</f>
        <v>0</v>
      </c>
      <c r="G1455" s="122">
        <f>IFERROR(__xludf.DUMMYFUNCTION("""COMPUTED_VALUE"""),0.0)</f>
        <v>0</v>
      </c>
      <c r="H1455" s="122" t="str">
        <f>IFERROR(__xludf.DUMMYFUNCTION("""COMPUTED_VALUE"""),"Active")</f>
        <v>Active</v>
      </c>
    </row>
    <row r="1456">
      <c r="A1456" s="131">
        <f>IFERROR(__xludf.DUMMYFUNCTION("""COMPUTED_VALUE"""),46184.33113425926)</f>
        <v>46184.33113</v>
      </c>
      <c r="B1456" s="122" t="str">
        <f>IFERROR(__xludf.DUMMYFUNCTION("""COMPUTED_VALUE"""),"BAGG")</f>
        <v>BAGG</v>
      </c>
      <c r="C1456" s="122" t="str">
        <f>IFERROR(__xludf.DUMMYFUNCTION("""COMPUTED_VALUE"""),"BagVault reports steady growth and improved market confidence.")</f>
        <v>BagVault reports steady growth and improved market confidence.</v>
      </c>
      <c r="D1456" s="122" t="str">
        <f>IFERROR(__xludf.DUMMYFUNCTION("""COMPUTED_VALUE"""),"BagVault continues to show positive momentum with moderate risk.")</f>
        <v>BagVault continues to show positive momentum with moderate risk.</v>
      </c>
      <c r="E1456" s="122" t="str">
        <f>IFERROR(__xludf.DUMMYFUNCTION("""COMPUTED_VALUE"""),"Positive")</f>
        <v>Positive</v>
      </c>
      <c r="F1456" s="122">
        <f>IFERROR(__xludf.DUMMYFUNCTION("""COMPUTED_VALUE"""),0.015)</f>
        <v>0.015</v>
      </c>
      <c r="G1456" s="122">
        <f>IFERROR(__xludf.DUMMYFUNCTION("""COMPUTED_VALUE"""),0.5)</f>
        <v>0.5</v>
      </c>
      <c r="H1456" s="122" t="str">
        <f>IFERROR(__xludf.DUMMYFUNCTION("""COMPUTED_VALUE"""),"Active")</f>
        <v>Active</v>
      </c>
    </row>
    <row r="1457">
      <c r="A1457" s="131">
        <f>IFERROR(__xludf.DUMMYFUNCTION("""COMPUTED_VALUE"""),46184.33113425926)</f>
        <v>46184.33113</v>
      </c>
      <c r="B1457" s="122" t="str">
        <f>IFERROR(__xludf.DUMMYFUNCTION("""COMPUTED_VALUE"""),"FAST")</f>
        <v>FAST</v>
      </c>
      <c r="C1457" s="122" t="str">
        <f>IFERROR(__xludf.DUMMYFUNCTION("""COMPUTED_VALUE"""),"Flash Logistics remains stable as the Logistics market shows normal activity.")</f>
        <v>Flash Logistics remains stable as the Logistics market shows normal activity.</v>
      </c>
      <c r="D1457" s="122" t="str">
        <f>IFERROR(__xludf.DUMMYFUNCTION("""COMPUTED_VALUE"""),"Flash Logistics appears steady with no major changes reported.")</f>
        <v>Flash Logistics appears steady with no major changes reported.</v>
      </c>
      <c r="E1457" s="122" t="str">
        <f>IFERROR(__xludf.DUMMYFUNCTION("""COMPUTED_VALUE"""),"Neutral")</f>
        <v>Neutral</v>
      </c>
      <c r="F1457" s="122">
        <f>IFERROR(__xludf.DUMMYFUNCTION("""COMPUTED_VALUE"""),0.0)</f>
        <v>0</v>
      </c>
      <c r="G1457" s="122">
        <f>IFERROR(__xludf.DUMMYFUNCTION("""COMPUTED_VALUE"""),0.0)</f>
        <v>0</v>
      </c>
      <c r="H1457" s="122" t="str">
        <f>IFERROR(__xludf.DUMMYFUNCTION("""COMPUTED_VALUE"""),"Active")</f>
        <v>Active</v>
      </c>
    </row>
    <row r="1458">
      <c r="A1458" s="131">
        <f>IFERROR(__xludf.DUMMYFUNCTION("""COMPUTED_VALUE"""),46184.331145833334)</f>
        <v>46184.33115</v>
      </c>
      <c r="B1458" s="122" t="str">
        <f>IFERROR(__xludf.DUMMYFUNCTION("""COMPUTED_VALUE"""),"SHIP")</f>
        <v>SHIP</v>
      </c>
      <c r="C1458" s="122" t="str">
        <f>IFERROR(__xludf.DUMMYFUNCTION("""COMPUTED_VALUE"""),"Seoul Shipping sees uncertain trading as investors react to mixed signals.")</f>
        <v>Seoul Shipping sees uncertain trading as investors react to mixed signals.</v>
      </c>
      <c r="D1458" s="122" t="str">
        <f>IFERROR(__xludf.DUMMYFUNCTION("""COMPUTED_VALUE"""),"Seoul Shipping may experience larger price swings as investors disagree on direction.")</f>
        <v>Seoul Shipping may experience larger price swings as investors disagree on direction.</v>
      </c>
      <c r="E1458" s="122" t="str">
        <f>IFERROR(__xludf.DUMMYFUNCTION("""COMPUTED_VALUE"""),"Mixed")</f>
        <v>Mixed</v>
      </c>
      <c r="F1458" s="122">
        <f>IFERROR(__xludf.DUMMYFUNCTION("""COMPUTED_VALUE"""),-0.00852648772140773)</f>
        <v>-0.008526487721</v>
      </c>
      <c r="G1458" s="122">
        <f>IFERROR(__xludf.DUMMYFUNCTION("""COMPUTED_VALUE"""),1.5)</f>
        <v>1.5</v>
      </c>
      <c r="H1458" s="122" t="str">
        <f>IFERROR(__xludf.DUMMYFUNCTION("""COMPUTED_VALUE"""),"Active")</f>
        <v>Active</v>
      </c>
    </row>
    <row r="1459">
      <c r="A1459" s="131">
        <f>IFERROR(__xludf.DUMMYFUNCTION("""COMPUTED_VALUE"""),46184.33115740741)</f>
        <v>46184.33116</v>
      </c>
      <c r="B1459" s="122" t="str">
        <f>IFERROR(__xludf.DUMMYFUNCTION("""COMPUTED_VALUE"""),"DRON")</f>
        <v>DRON</v>
      </c>
      <c r="C1459" s="122" t="str">
        <f>IFERROR(__xludf.DUMMYFUNCTION("""COMPUTED_VALUE"""),"DroneDrop sees uncertain trading as investors react to mixed signals.")</f>
        <v>DroneDrop sees uncertain trading as investors react to mixed signals.</v>
      </c>
      <c r="D1459" s="122" t="str">
        <f>IFERROR(__xludf.DUMMYFUNCTION("""COMPUTED_VALUE"""),"DroneDrop may experience larger price swings as investors disagree on direction.")</f>
        <v>DroneDrop may experience larger price swings as investors disagree on direction.</v>
      </c>
      <c r="E1459" s="122" t="str">
        <f>IFERROR(__xludf.DUMMYFUNCTION("""COMPUTED_VALUE"""),"Mixed")</f>
        <v>Mixed</v>
      </c>
      <c r="F1459" s="122">
        <f>IFERROR(__xludf.DUMMYFUNCTION("""COMPUTED_VALUE"""),0.0068261879929494285)</f>
        <v>0.006826187993</v>
      </c>
      <c r="G1459" s="122">
        <f>IFERROR(__xludf.DUMMYFUNCTION("""COMPUTED_VALUE"""),1.5)</f>
        <v>1.5</v>
      </c>
      <c r="H1459" s="122" t="str">
        <f>IFERROR(__xludf.DUMMYFUNCTION("""COMPUTED_VALUE"""),"Active")</f>
        <v>Active</v>
      </c>
    </row>
    <row r="1460">
      <c r="A1460" s="131">
        <f>IFERROR(__xludf.DUMMYFUNCTION("""COMPUTED_VALUE"""),46184.33115740741)</f>
        <v>46184.33116</v>
      </c>
      <c r="B1460" s="122" t="str">
        <f>IFERROR(__xludf.DUMMYFUNCTION("""COMPUTED_VALUE"""),"RIDE")</f>
        <v>RIDE</v>
      </c>
      <c r="C1460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1460" s="122" t="str">
        <f>IFERROR(__xludf.DUMMYFUNCTION("""COMPUTED_VALUE"""),"QuickRide appears steady with no major changes reported.")</f>
        <v>QuickRide appears steady with no major changes reported.</v>
      </c>
      <c r="E1460" s="122" t="str">
        <f>IFERROR(__xludf.DUMMYFUNCTION("""COMPUTED_VALUE"""),"Neutral")</f>
        <v>Neutral</v>
      </c>
      <c r="F1460" s="122">
        <f>IFERROR(__xludf.DUMMYFUNCTION("""COMPUTED_VALUE"""),0.0)</f>
        <v>0</v>
      </c>
      <c r="G1460" s="122">
        <f>IFERROR(__xludf.DUMMYFUNCTION("""COMPUTED_VALUE"""),0.0)</f>
        <v>0</v>
      </c>
      <c r="H1460" s="122" t="str">
        <f>IFERROR(__xludf.DUMMYFUNCTION("""COMPUTED_VALUE"""),"Active")</f>
        <v>Active</v>
      </c>
    </row>
    <row r="1461">
      <c r="A1461" s="131">
        <f>IFERROR(__xludf.DUMMYFUNCTION("""COMPUTED_VALUE"""),46184.33116898148)</f>
        <v>46184.33117</v>
      </c>
      <c r="B1461" s="122" t="str">
        <f>IFERROR(__xludf.DUMMYFUNCTION("""COMPUTED_VALUE"""),"RAIL")</f>
        <v>RAIL</v>
      </c>
      <c r="C1461" s="122" t="str">
        <f>IFERROR(__xludf.DUMMYFUNCTION("""COMPUTED_VALUE"""),"MetroRail Corp faces weaker demand and cautious investor sentiment.")</f>
        <v>MetroRail Corp faces weaker demand and cautious investor sentiment.</v>
      </c>
      <c r="D1461" s="122" t="str">
        <f>IFERROR(__xludf.DUMMYFUNCTION("""COMPUTED_VALUE"""),"Investors are watching MetroRail Corp closely as demand weakens.")</f>
        <v>Investors are watching MetroRail Corp closely as demand weakens.</v>
      </c>
      <c r="E1461" s="122" t="str">
        <f>IFERROR(__xludf.DUMMYFUNCTION("""COMPUTED_VALUE"""),"Negative")</f>
        <v>Negative</v>
      </c>
      <c r="F1461" s="122">
        <f>IFERROR(__xludf.DUMMYFUNCTION("""COMPUTED_VALUE"""),-0.015)</f>
        <v>-0.015</v>
      </c>
      <c r="G1461" s="122">
        <f>IFERROR(__xludf.DUMMYFUNCTION("""COMPUTED_VALUE"""),0.75)</f>
        <v>0.75</v>
      </c>
      <c r="H1461" s="122" t="str">
        <f>IFERROR(__xludf.DUMMYFUNCTION("""COMPUTED_VALUE"""),"Active")</f>
        <v>Active</v>
      </c>
    </row>
    <row r="1462">
      <c r="A1462" s="131">
        <f>IFERROR(__xludf.DUMMYFUNCTION("""COMPUTED_VALUE"""),46184.33118055556)</f>
        <v>46184.33118</v>
      </c>
      <c r="B1462" s="122" t="str">
        <f>IFERROR(__xludf.DUMMYFUNCTION("""COMPUTED_VALUE"""),"MEDX")</f>
        <v>MEDX</v>
      </c>
      <c r="C1462" s="122" t="str">
        <f>IFERROR(__xludf.DUMMYFUNCTION("""COMPUTED_VALUE"""),"MediCore remains stable as the Healthcare market shows normal activity.")</f>
        <v>MediCore remains stable as the Healthcare market shows normal activity.</v>
      </c>
      <c r="D1462" s="122" t="str">
        <f>IFERROR(__xludf.DUMMYFUNCTION("""COMPUTED_VALUE"""),"MediCore appears steady with no major changes reported.")</f>
        <v>MediCore appears steady with no major changes reported.</v>
      </c>
      <c r="E1462" s="122" t="str">
        <f>IFERROR(__xludf.DUMMYFUNCTION("""COMPUTED_VALUE"""),"Neutral")</f>
        <v>Neutral</v>
      </c>
      <c r="F1462" s="122">
        <f>IFERROR(__xludf.DUMMYFUNCTION("""COMPUTED_VALUE"""),0.0)</f>
        <v>0</v>
      </c>
      <c r="G1462" s="122">
        <f>IFERROR(__xludf.DUMMYFUNCTION("""COMPUTED_VALUE"""),0.0)</f>
        <v>0</v>
      </c>
      <c r="H1462" s="122" t="str">
        <f>IFERROR(__xludf.DUMMYFUNCTION("""COMPUTED_VALUE"""),"Active")</f>
        <v>Active</v>
      </c>
    </row>
    <row r="1463">
      <c r="A1463" s="131">
        <f>IFERROR(__xludf.DUMMYFUNCTION("""COMPUTED_VALUE"""),46184.331192129626)</f>
        <v>46184.33119</v>
      </c>
      <c r="B1463" s="122" t="str">
        <f>IFERROR(__xludf.DUMMYFUNCTION("""COMPUTED_VALUE"""),"GYMX")</f>
        <v>GYMX</v>
      </c>
      <c r="C1463" s="122" t="str">
        <f>IFERROR(__xludf.DUMMYFUNCTION("""COMPUTED_VALUE"""),"GymX Fitness reports steady growth and improved market confidence.")</f>
        <v>GymX Fitness reports steady growth and improved market confidence.</v>
      </c>
      <c r="D1463" s="122" t="str">
        <f>IFERROR(__xludf.DUMMYFUNCTION("""COMPUTED_VALUE"""),"GymX Fitness continues to show positive momentum with moderate risk.")</f>
        <v>GymX Fitness continues to show positive momentum with moderate risk.</v>
      </c>
      <c r="E1463" s="122" t="str">
        <f>IFERROR(__xludf.DUMMYFUNCTION("""COMPUTED_VALUE"""),"Positive")</f>
        <v>Positive</v>
      </c>
      <c r="F1463" s="122">
        <f>IFERROR(__xludf.DUMMYFUNCTION("""COMPUTED_VALUE"""),0.015)</f>
        <v>0.015</v>
      </c>
      <c r="G1463" s="122">
        <f>IFERROR(__xludf.DUMMYFUNCTION("""COMPUTED_VALUE"""),0.5)</f>
        <v>0.5</v>
      </c>
      <c r="H1463" s="122" t="str">
        <f>IFERROR(__xludf.DUMMYFUNCTION("""COMPUTED_VALUE"""),"Active")</f>
        <v>Active</v>
      </c>
    </row>
    <row r="1464">
      <c r="A1464" s="131">
        <f>IFERROR(__xludf.DUMMYFUNCTION("""COMPUTED_VALUE"""),46184.331192129626)</f>
        <v>46184.33119</v>
      </c>
      <c r="B1464" s="122" t="str">
        <f>IFERROR(__xludf.DUMMYFUNCTION("""COMPUTED_VALUE"""),"VITA")</f>
        <v>VITA</v>
      </c>
      <c r="C1464" s="122" t="str">
        <f>IFERROR(__xludf.DUMMYFUNCTION("""COMPUTED_VALUE"""),"VitaPlus remains stable as the Healthcare market shows normal activity.")</f>
        <v>VitaPlus remains stable as the Healthcare market shows normal activity.</v>
      </c>
      <c r="D1464" s="122" t="str">
        <f>IFERROR(__xludf.DUMMYFUNCTION("""COMPUTED_VALUE"""),"VitaPlus appears steady with no major changes reported.")</f>
        <v>VitaPlus appears steady with no major changes reported.</v>
      </c>
      <c r="E1464" s="122" t="str">
        <f>IFERROR(__xludf.DUMMYFUNCTION("""COMPUTED_VALUE"""),"Neutral")</f>
        <v>Neutral</v>
      </c>
      <c r="F1464" s="122">
        <f>IFERROR(__xludf.DUMMYFUNCTION("""COMPUTED_VALUE"""),0.0)</f>
        <v>0</v>
      </c>
      <c r="G1464" s="122">
        <f>IFERROR(__xludf.DUMMYFUNCTION("""COMPUTED_VALUE"""),0.0)</f>
        <v>0</v>
      </c>
      <c r="H1464" s="122" t="str">
        <f>IFERROR(__xludf.DUMMYFUNCTION("""COMPUTED_VALUE"""),"Active")</f>
        <v>Active</v>
      </c>
    </row>
    <row r="1465">
      <c r="A1465" s="131">
        <f>IFERROR(__xludf.DUMMYFUNCTION("""COMPUTED_VALUE"""),46184.3312037037)</f>
        <v>46184.3312</v>
      </c>
      <c r="B1465" s="122" t="str">
        <f>IFERROR(__xludf.DUMMYFUNCTION("""COMPUTED_VALUE"""),"CARE")</f>
        <v>CARE</v>
      </c>
      <c r="C1465" s="122" t="str">
        <f>IFERROR(__xludf.DUMMYFUNCTION("""COMPUTED_VALUE"""),"CareCloud remains stable as the Healthcare market shows normal activity.")</f>
        <v>CareCloud remains stable as the Healthcare market shows normal activity.</v>
      </c>
      <c r="D1465" s="122" t="str">
        <f>IFERROR(__xludf.DUMMYFUNCTION("""COMPUTED_VALUE"""),"CareCloud appears steady with no major changes reported.")</f>
        <v>CareCloud appears steady with no major changes reported.</v>
      </c>
      <c r="E1465" s="122" t="str">
        <f>IFERROR(__xludf.DUMMYFUNCTION("""COMPUTED_VALUE"""),"Neutral")</f>
        <v>Neutral</v>
      </c>
      <c r="F1465" s="122">
        <f>IFERROR(__xludf.DUMMYFUNCTION("""COMPUTED_VALUE"""),0.0)</f>
        <v>0</v>
      </c>
      <c r="G1465" s="122">
        <f>IFERROR(__xludf.DUMMYFUNCTION("""COMPUTED_VALUE"""),0.0)</f>
        <v>0</v>
      </c>
      <c r="H1465" s="122" t="str">
        <f>IFERROR(__xludf.DUMMYFUNCTION("""COMPUTED_VALUE"""),"Active")</f>
        <v>Active</v>
      </c>
    </row>
    <row r="1466">
      <c r="A1466" s="131">
        <f>IFERROR(__xludf.DUMMYFUNCTION("""COMPUTED_VALUE"""),46184.33121527778)</f>
        <v>46184.33122</v>
      </c>
      <c r="B1466" s="122" t="str">
        <f>IFERROR(__xludf.DUMMYFUNCTION("""COMPUTED_VALUE"""),"DENT")</f>
        <v>DENT</v>
      </c>
      <c r="C1466" s="122" t="str">
        <f>IFERROR(__xludf.DUMMYFUNCTION("""COMPUTED_VALUE"""),"SmileWorks drops sharply after major concerns hit the market.")</f>
        <v>SmileWorks drops sharply after major concerns hit the market.</v>
      </c>
      <c r="D1466" s="122" t="str">
        <f>IFERROR(__xludf.DUMMYFUNCTION("""COMPUTED_VALUE"""),"SmileWorks is under pressure as investors react to worsening conditions.")</f>
        <v>SmileWorks is under pressure as investors react to worsening conditions.</v>
      </c>
      <c r="E1466" s="122" t="str">
        <f>IFERROR(__xludf.DUMMYFUNCTION("""COMPUTED_VALUE"""),"Negative")</f>
        <v>Negative</v>
      </c>
      <c r="F1466" s="122">
        <f>IFERROR(__xludf.DUMMYFUNCTION("""COMPUTED_VALUE"""),-0.04)</f>
        <v>-0.04</v>
      </c>
      <c r="G1466" s="122">
        <f>IFERROR(__xludf.DUMMYFUNCTION("""COMPUTED_VALUE"""),2.0)</f>
        <v>2</v>
      </c>
      <c r="H1466" s="122" t="str">
        <f>IFERROR(__xludf.DUMMYFUNCTION("""COMPUTED_VALUE"""),"Active")</f>
        <v>Active</v>
      </c>
    </row>
    <row r="1467">
      <c r="A1467" s="131">
        <f>IFERROR(__xludf.DUMMYFUNCTION("""COMPUTED_VALUE"""),46184.33121527778)</f>
        <v>46184.33122</v>
      </c>
      <c r="B1467" s="122" t="str">
        <f>IFERROR(__xludf.DUMMYFUNCTION("""COMPUTED_VALUE"""),"EDUX")</f>
        <v>EDUX</v>
      </c>
      <c r="C1467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467" s="122" t="str">
        <f>IFERROR(__xludf.DUMMYFUNCTION("""COMPUTED_VALUE"""),"EduMax Learning appears steady with no major changes reported.")</f>
        <v>EduMax Learning appears steady with no major changes reported.</v>
      </c>
      <c r="E1467" s="122" t="str">
        <f>IFERROR(__xludf.DUMMYFUNCTION("""COMPUTED_VALUE"""),"Neutral")</f>
        <v>Neutral</v>
      </c>
      <c r="F1467" s="122">
        <f>IFERROR(__xludf.DUMMYFUNCTION("""COMPUTED_VALUE"""),0.0)</f>
        <v>0</v>
      </c>
      <c r="G1467" s="122">
        <f>IFERROR(__xludf.DUMMYFUNCTION("""COMPUTED_VALUE"""),0.0)</f>
        <v>0</v>
      </c>
      <c r="H1467" s="122" t="str">
        <f>IFERROR(__xludf.DUMMYFUNCTION("""COMPUTED_VALUE"""),"Active")</f>
        <v>Active</v>
      </c>
    </row>
    <row r="1468">
      <c r="A1468" s="131">
        <f>IFERROR(__xludf.DUMMYFUNCTION("""COMPUTED_VALUE"""),46184.331238425926)</f>
        <v>46184.33124</v>
      </c>
      <c r="B1468" s="122" t="str">
        <f>IFERROR(__xludf.DUMMYFUNCTION("""COMPUTED_VALUE"""),"BOOK")</f>
        <v>BOOK</v>
      </c>
      <c r="C1468" s="122" t="str">
        <f>IFERROR(__xludf.DUMMYFUNCTION("""COMPUTED_VALUE"""),"BookBridge reports steady growth and improved market confidence.")</f>
        <v>BookBridge reports steady growth and improved market confidence.</v>
      </c>
      <c r="D1468" s="122" t="str">
        <f>IFERROR(__xludf.DUMMYFUNCTION("""COMPUTED_VALUE"""),"BookBridge continues to show positive momentum with moderate risk.")</f>
        <v>BookBridge continues to show positive momentum with moderate risk.</v>
      </c>
      <c r="E1468" s="122" t="str">
        <f>IFERROR(__xludf.DUMMYFUNCTION("""COMPUTED_VALUE"""),"Positive")</f>
        <v>Positive</v>
      </c>
      <c r="F1468" s="122">
        <f>IFERROR(__xludf.DUMMYFUNCTION("""COMPUTED_VALUE"""),0.015)</f>
        <v>0.015</v>
      </c>
      <c r="G1468" s="122">
        <f>IFERROR(__xludf.DUMMYFUNCTION("""COMPUTED_VALUE"""),0.5)</f>
        <v>0.5</v>
      </c>
      <c r="H1468" s="122" t="str">
        <f>IFERROR(__xludf.DUMMYFUNCTION("""COMPUTED_VALUE"""),"Active")</f>
        <v>Active</v>
      </c>
    </row>
    <row r="1469">
      <c r="A1469" s="131">
        <f>IFERROR(__xludf.DUMMYFUNCTION("""COMPUTED_VALUE"""),46184.33125)</f>
        <v>46184.33125</v>
      </c>
      <c r="B1469" s="122" t="str">
        <f>IFERROR(__xludf.DUMMYFUNCTION("""COMPUTED_VALUE"""),"TUTR")</f>
        <v>TUTR</v>
      </c>
      <c r="C1469" s="122" t="str">
        <f>IFERROR(__xludf.DUMMYFUNCTION("""COMPUTED_VALUE"""),"TutorTown faces weaker demand and cautious investor sentiment.")</f>
        <v>TutorTown faces weaker demand and cautious investor sentiment.</v>
      </c>
      <c r="D1469" s="122" t="str">
        <f>IFERROR(__xludf.DUMMYFUNCTION("""COMPUTED_VALUE"""),"Investors are watching TutorTown closely as demand weakens.")</f>
        <v>Investors are watching TutorTown closely as demand weakens.</v>
      </c>
      <c r="E1469" s="122" t="str">
        <f>IFERROR(__xludf.DUMMYFUNCTION("""COMPUTED_VALUE"""),"Negative")</f>
        <v>Negative</v>
      </c>
      <c r="F1469" s="122">
        <f>IFERROR(__xludf.DUMMYFUNCTION("""COMPUTED_VALUE"""),-0.015)</f>
        <v>-0.015</v>
      </c>
      <c r="G1469" s="122">
        <f>IFERROR(__xludf.DUMMYFUNCTION("""COMPUTED_VALUE"""),0.75)</f>
        <v>0.75</v>
      </c>
      <c r="H1469" s="122" t="str">
        <f>IFERROR(__xludf.DUMMYFUNCTION("""COMPUTED_VALUE"""),"Active")</f>
        <v>Active</v>
      </c>
    </row>
    <row r="1470">
      <c r="A1470" s="131">
        <f>IFERROR(__xludf.DUMMYFUNCTION("""COMPUTED_VALUE"""),46184.33126157407)</f>
        <v>46184.33126</v>
      </c>
      <c r="B1470" s="122" t="str">
        <f>IFERROR(__xludf.DUMMYFUNCTION("""COMPUTED_VALUE"""),"LANG")</f>
        <v>LANG</v>
      </c>
      <c r="C1470" s="122" t="str">
        <f>IFERROR(__xludf.DUMMYFUNCTION("""COMPUTED_VALUE"""),"LinguaLab remains stable as the Education market shows normal activity.")</f>
        <v>LinguaLab remains stable as the Education market shows normal activity.</v>
      </c>
      <c r="D1470" s="122" t="str">
        <f>IFERROR(__xludf.DUMMYFUNCTION("""COMPUTED_VALUE"""),"LinguaLab appears steady with no major changes reported.")</f>
        <v>LinguaLab appears steady with no major changes reported.</v>
      </c>
      <c r="E1470" s="122" t="str">
        <f>IFERROR(__xludf.DUMMYFUNCTION("""COMPUTED_VALUE"""),"Neutral")</f>
        <v>Neutral</v>
      </c>
      <c r="F1470" s="122">
        <f>IFERROR(__xludf.DUMMYFUNCTION("""COMPUTED_VALUE"""),0.0)</f>
        <v>0</v>
      </c>
      <c r="G1470" s="122">
        <f>IFERROR(__xludf.DUMMYFUNCTION("""COMPUTED_VALUE"""),0.0)</f>
        <v>0</v>
      </c>
      <c r="H1470" s="122" t="str">
        <f>IFERROR(__xludf.DUMMYFUNCTION("""COMPUTED_VALUE"""),"Active")</f>
        <v>Active</v>
      </c>
    </row>
    <row r="1471">
      <c r="A1471" s="131">
        <f>IFERROR(__xludf.DUMMYFUNCTION("""COMPUTED_VALUE"""),46184.33126157407)</f>
        <v>46184.33126</v>
      </c>
      <c r="B1471" s="122" t="str">
        <f>IFERROR(__xludf.DUMMYFUNCTION("""COMPUTED_VALUE"""),"TEST")</f>
        <v>TEST</v>
      </c>
      <c r="C1471" s="122" t="str">
        <f>IFERROR(__xludf.DUMMYFUNCTION("""COMPUTED_VALUE"""),"TestPrep Pro faces weaker demand and cautious investor sentiment.")</f>
        <v>TestPrep Pro faces weaker demand and cautious investor sentiment.</v>
      </c>
      <c r="D1471" s="122" t="str">
        <f>IFERROR(__xludf.DUMMYFUNCTION("""COMPUTED_VALUE"""),"Investors are watching TestPrep Pro closely as demand weakens.")</f>
        <v>Investors are watching TestPrep Pro closely as demand weakens.</v>
      </c>
      <c r="E1471" s="122" t="str">
        <f>IFERROR(__xludf.DUMMYFUNCTION("""COMPUTED_VALUE"""),"Negative")</f>
        <v>Negative</v>
      </c>
      <c r="F1471" s="122">
        <f>IFERROR(__xludf.DUMMYFUNCTION("""COMPUTED_VALUE"""),-0.015)</f>
        <v>-0.015</v>
      </c>
      <c r="G1471" s="122">
        <f>IFERROR(__xludf.DUMMYFUNCTION("""COMPUTED_VALUE"""),0.75)</f>
        <v>0.75</v>
      </c>
      <c r="H1471" s="122" t="str">
        <f>IFERROR(__xludf.DUMMYFUNCTION("""COMPUTED_VALUE"""),"Active")</f>
        <v>Active</v>
      </c>
    </row>
    <row r="1472">
      <c r="A1472" s="131">
        <f>IFERROR(__xludf.DUMMYFUNCTION("""COMPUTED_VALUE"""),46184.33127314815)</f>
        <v>46184.33127</v>
      </c>
      <c r="B1472" s="122" t="str">
        <f>IFERROR(__xludf.DUMMYFUNCTION("""COMPUTED_VALUE"""),"MOVI")</f>
        <v>MOVI</v>
      </c>
      <c r="C1472" s="122" t="str">
        <f>IFERROR(__xludf.DUMMYFUNCTION("""COMPUTED_VALUE"""),"MovieBox faces weaker demand and cautious investor sentiment.")</f>
        <v>MovieBox faces weaker demand and cautious investor sentiment.</v>
      </c>
      <c r="D1472" s="122" t="str">
        <f>IFERROR(__xludf.DUMMYFUNCTION("""COMPUTED_VALUE"""),"Investors are watching MovieBox closely as demand weakens.")</f>
        <v>Investors are watching MovieBox closely as demand weakens.</v>
      </c>
      <c r="E1472" s="122" t="str">
        <f>IFERROR(__xludf.DUMMYFUNCTION("""COMPUTED_VALUE"""),"Negative")</f>
        <v>Negative</v>
      </c>
      <c r="F1472" s="122">
        <f>IFERROR(__xludf.DUMMYFUNCTION("""COMPUTED_VALUE"""),-0.015)</f>
        <v>-0.015</v>
      </c>
      <c r="G1472" s="122">
        <f>IFERROR(__xludf.DUMMYFUNCTION("""COMPUTED_VALUE"""),0.75)</f>
        <v>0.75</v>
      </c>
      <c r="H1472" s="122" t="str">
        <f>IFERROR(__xludf.DUMMYFUNCTION("""COMPUTED_VALUE"""),"Active")</f>
        <v>Active</v>
      </c>
    </row>
    <row r="1473">
      <c r="A1473" s="131">
        <f>IFERROR(__xludf.DUMMYFUNCTION("""COMPUTED_VALUE"""),46184.33128472222)</f>
        <v>46184.33128</v>
      </c>
      <c r="B1473" s="122" t="str">
        <f>IFERROR(__xludf.DUMMYFUNCTION("""COMPUTED_VALUE"""),"MUSC")</f>
        <v>MUSC</v>
      </c>
      <c r="C1473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1473" s="122" t="str">
        <f>IFERROR(__xludf.DUMMYFUNCTION("""COMPUTED_VALUE"""),"MusicWave appears steady with no major changes reported.")</f>
        <v>MusicWave appears steady with no major changes reported.</v>
      </c>
      <c r="E1473" s="122" t="str">
        <f>IFERROR(__xludf.DUMMYFUNCTION("""COMPUTED_VALUE"""),"Neutral")</f>
        <v>Neutral</v>
      </c>
      <c r="F1473" s="122">
        <f>IFERROR(__xludf.DUMMYFUNCTION("""COMPUTED_VALUE"""),0.0)</f>
        <v>0</v>
      </c>
      <c r="G1473" s="122">
        <f>IFERROR(__xludf.DUMMYFUNCTION("""COMPUTED_VALUE"""),0.0)</f>
        <v>0</v>
      </c>
      <c r="H1473" s="122" t="str">
        <f>IFERROR(__xludf.DUMMYFUNCTION("""COMPUTED_VALUE"""),"Active")</f>
        <v>Active</v>
      </c>
    </row>
    <row r="1474">
      <c r="A1474" s="131">
        <f>IFERROR(__xludf.DUMMYFUNCTION("""COMPUTED_VALUE"""),46184.33128472222)</f>
        <v>46184.33128</v>
      </c>
      <c r="B1474" s="122" t="str">
        <f>IFERROR(__xludf.DUMMYFUNCTION("""COMPUTED_VALUE"""),"IDOL")</f>
        <v>IDOL</v>
      </c>
      <c r="C1474" s="122" t="str">
        <f>IFERROR(__xludf.DUMMYFUNCTION("""COMPUTED_VALUE"""),"Idol Agency sees uncertain trading as investors react to mixed signals.")</f>
        <v>Idol Agency sees uncertain trading as investors react to mixed signals.</v>
      </c>
      <c r="D1474" s="122" t="str">
        <f>IFERROR(__xludf.DUMMYFUNCTION("""COMPUTED_VALUE"""),"Idol Agency may experience larger price swings as investors disagree on direction.")</f>
        <v>Idol Agency may experience larger price swings as investors disagree on direction.</v>
      </c>
      <c r="E1474" s="122" t="str">
        <f>IFERROR(__xludf.DUMMYFUNCTION("""COMPUTED_VALUE"""),"Mixed")</f>
        <v>Mixed</v>
      </c>
      <c r="F1474" s="122">
        <f>IFERROR(__xludf.DUMMYFUNCTION("""COMPUTED_VALUE"""),0.011523501416811247)</f>
        <v>0.01152350142</v>
      </c>
      <c r="G1474" s="122">
        <f>IFERROR(__xludf.DUMMYFUNCTION("""COMPUTED_VALUE"""),1.5)</f>
        <v>1.5</v>
      </c>
      <c r="H1474" s="122" t="str">
        <f>IFERROR(__xludf.DUMMYFUNCTION("""COMPUTED_VALUE"""),"Active")</f>
        <v>Active</v>
      </c>
    </row>
    <row r="1475">
      <c r="A1475" s="131">
        <f>IFERROR(__xludf.DUMMYFUNCTION("""COMPUTED_VALUE"""),46184.331296296295)</f>
        <v>46184.3313</v>
      </c>
      <c r="B1475" s="122" t="str">
        <f>IFERROR(__xludf.DUMMYFUNCTION("""COMPUTED_VALUE"""),"MEME")</f>
        <v>MEME</v>
      </c>
      <c r="C1475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1475" s="122" t="str">
        <f>IFERROR(__xludf.DUMMYFUNCTION("""COMPUTED_VALUE"""),"Meme Media appears steady with no major changes reported.")</f>
        <v>Meme Media appears steady with no major changes reported.</v>
      </c>
      <c r="E1475" s="122" t="str">
        <f>IFERROR(__xludf.DUMMYFUNCTION("""COMPUTED_VALUE"""),"Neutral")</f>
        <v>Neutral</v>
      </c>
      <c r="F1475" s="122">
        <f>IFERROR(__xludf.DUMMYFUNCTION("""COMPUTED_VALUE"""),0.0)</f>
        <v>0</v>
      </c>
      <c r="G1475" s="122">
        <f>IFERROR(__xludf.DUMMYFUNCTION("""COMPUTED_VALUE"""),0.0)</f>
        <v>0</v>
      </c>
      <c r="H1475" s="122" t="str">
        <f>IFERROR(__xludf.DUMMYFUNCTION("""COMPUTED_VALUE"""),"Active")</f>
        <v>Active</v>
      </c>
    </row>
    <row r="1476">
      <c r="A1476" s="131">
        <f>IFERROR(__xludf.DUMMYFUNCTION("""COMPUTED_VALUE"""),46184.33130787037)</f>
        <v>46184.33131</v>
      </c>
      <c r="B1476" s="122" t="str">
        <f>IFERROR(__xludf.DUMMYFUNCTION("""COMPUTED_VALUE"""),"STRM")</f>
        <v>STRM</v>
      </c>
      <c r="C1476" s="122" t="str">
        <f>IFERROR(__xludf.DUMMYFUNCTION("""COMPUTED_VALUE"""),"Streamly remains stable as the Entertainment market shows normal activity.")</f>
        <v>Streamly remains stable as the Entertainment market shows normal activity.</v>
      </c>
      <c r="D1476" s="122" t="str">
        <f>IFERROR(__xludf.DUMMYFUNCTION("""COMPUTED_VALUE"""),"Streamly appears steady with no major changes reported.")</f>
        <v>Streamly appears steady with no major changes reported.</v>
      </c>
      <c r="E1476" s="122" t="str">
        <f>IFERROR(__xludf.DUMMYFUNCTION("""COMPUTED_VALUE"""),"Neutral")</f>
        <v>Neutral</v>
      </c>
      <c r="F1476" s="122">
        <f>IFERROR(__xludf.DUMMYFUNCTION("""COMPUTED_VALUE"""),0.0)</f>
        <v>0</v>
      </c>
      <c r="G1476" s="122">
        <f>IFERROR(__xludf.DUMMYFUNCTION("""COMPUTED_VALUE"""),0.0)</f>
        <v>0</v>
      </c>
      <c r="H1476" s="122" t="str">
        <f>IFERROR(__xludf.DUMMYFUNCTION("""COMPUTED_VALUE"""),"Active")</f>
        <v>Active</v>
      </c>
    </row>
    <row r="1477">
      <c r="A1477" s="131">
        <f>IFERROR(__xludf.DUMMYFUNCTION("""COMPUTED_VALUE"""),46184.33131944444)</f>
        <v>46184.33132</v>
      </c>
      <c r="B1477" s="122" t="str">
        <f>IFERROR(__xludf.DUMMYFUNCTION("""COMPUTED_VALUE"""),"FARM")</f>
        <v>FARM</v>
      </c>
      <c r="C1477" s="122" t="str">
        <f>IFERROR(__xludf.DUMMYFUNCTION("""COMPUTED_VALUE"""),"Future Farms faces weaker demand and cautious investor sentiment.")</f>
        <v>Future Farms faces weaker demand and cautious investor sentiment.</v>
      </c>
      <c r="D1477" s="122" t="str">
        <f>IFERROR(__xludf.DUMMYFUNCTION("""COMPUTED_VALUE"""),"Investors are watching Future Farms closely as demand weakens.")</f>
        <v>Investors are watching Future Farms closely as demand weakens.</v>
      </c>
      <c r="E1477" s="122" t="str">
        <f>IFERROR(__xludf.DUMMYFUNCTION("""COMPUTED_VALUE"""),"Negative")</f>
        <v>Negative</v>
      </c>
      <c r="F1477" s="122">
        <f>IFERROR(__xludf.DUMMYFUNCTION("""COMPUTED_VALUE"""),-0.015)</f>
        <v>-0.015</v>
      </c>
      <c r="G1477" s="122">
        <f>IFERROR(__xludf.DUMMYFUNCTION("""COMPUTED_VALUE"""),0.75)</f>
        <v>0.75</v>
      </c>
      <c r="H1477" s="122" t="str">
        <f>IFERROR(__xludf.DUMMYFUNCTION("""COMPUTED_VALUE"""),"Active")</f>
        <v>Active</v>
      </c>
    </row>
    <row r="1478">
      <c r="A1478" s="131">
        <f>IFERROR(__xludf.DUMMYFUNCTION("""COMPUTED_VALUE"""),46184.33131944444)</f>
        <v>46184.33132</v>
      </c>
      <c r="B1478" s="122" t="str">
        <f>IFERROR(__xludf.DUMMYFUNCTION("""COMPUTED_VALUE"""),"MEAT")</f>
        <v>MEAT</v>
      </c>
      <c r="C1478" s="122" t="str">
        <f>IFERROR(__xludf.DUMMYFUNCTION("""COMPUTED_VALUE"""),"MeatWorks faces weaker demand and cautious investor sentiment.")</f>
        <v>MeatWorks faces weaker demand and cautious investor sentiment.</v>
      </c>
      <c r="D1478" s="122" t="str">
        <f>IFERROR(__xludf.DUMMYFUNCTION("""COMPUTED_VALUE"""),"Investors are watching MeatWorks closely as demand weakens.")</f>
        <v>Investors are watching MeatWorks closely as demand weakens.</v>
      </c>
      <c r="E1478" s="122" t="str">
        <f>IFERROR(__xludf.DUMMYFUNCTION("""COMPUTED_VALUE"""),"Negative")</f>
        <v>Negative</v>
      </c>
      <c r="F1478" s="122">
        <f>IFERROR(__xludf.DUMMYFUNCTION("""COMPUTED_VALUE"""),-0.015)</f>
        <v>-0.015</v>
      </c>
      <c r="G1478" s="122">
        <f>IFERROR(__xludf.DUMMYFUNCTION("""COMPUTED_VALUE"""),0.75)</f>
        <v>0.75</v>
      </c>
      <c r="H1478" s="122" t="str">
        <f>IFERROR(__xludf.DUMMYFUNCTION("""COMPUTED_VALUE"""),"Active")</f>
        <v>Active</v>
      </c>
    </row>
    <row r="1479">
      <c r="A1479" s="131">
        <f>IFERROR(__xludf.DUMMYFUNCTION("""COMPUTED_VALUE"""),46184.33133101852)</f>
        <v>46184.33133</v>
      </c>
      <c r="B1479" s="122" t="str">
        <f>IFERROR(__xludf.DUMMYFUNCTION("""COMPUTED_VALUE"""),"VEGI")</f>
        <v>VEGI</v>
      </c>
      <c r="C1479" s="122" t="str">
        <f>IFERROR(__xludf.DUMMYFUNCTION("""COMPUTED_VALUE"""),"Green Basket sees uncertain trading as investors react to mixed signals.")</f>
        <v>Green Basket sees uncertain trading as investors react to mixed signals.</v>
      </c>
      <c r="D1479" s="122" t="str">
        <f>IFERROR(__xludf.DUMMYFUNCTION("""COMPUTED_VALUE"""),"Green Basket may experience larger price swings as investors disagree on direction.")</f>
        <v>Green Basket may experience larger price swings as investors disagree on direction.</v>
      </c>
      <c r="E1479" s="122" t="str">
        <f>IFERROR(__xludf.DUMMYFUNCTION("""COMPUTED_VALUE"""),"Mixed")</f>
        <v>Mixed</v>
      </c>
      <c r="F1479" s="122">
        <f>IFERROR(__xludf.DUMMYFUNCTION("""COMPUTED_VALUE"""),0.017002514875445216)</f>
        <v>0.01700251488</v>
      </c>
      <c r="G1479" s="122">
        <f>IFERROR(__xludf.DUMMYFUNCTION("""COMPUTED_VALUE"""),1.5)</f>
        <v>1.5</v>
      </c>
      <c r="H1479" s="122" t="str">
        <f>IFERROR(__xludf.DUMMYFUNCTION("""COMPUTED_VALUE"""),"Active")</f>
        <v>Active</v>
      </c>
    </row>
    <row r="1480">
      <c r="A1480" s="131">
        <f>IFERROR(__xludf.DUMMYFUNCTION("""COMPUTED_VALUE"""),46184.33133101852)</f>
        <v>46184.33133</v>
      </c>
      <c r="B1480" s="122" t="str">
        <f>IFERROR(__xludf.DUMMYFUNCTION("""COMPUTED_VALUE"""),"CAFE")</f>
        <v>CAFE</v>
      </c>
      <c r="C1480" s="122" t="str">
        <f>IFERROR(__xludf.DUMMYFUNCTION("""COMPUTED_VALUE"""),"Cafe Cloud faces weaker demand and cautious investor sentiment.")</f>
        <v>Cafe Cloud faces weaker demand and cautious investor sentiment.</v>
      </c>
      <c r="D1480" s="122" t="str">
        <f>IFERROR(__xludf.DUMMYFUNCTION("""COMPUTED_VALUE"""),"Investors are watching Cafe Cloud closely as demand weakens.")</f>
        <v>Investors are watching Cafe Cloud closely as demand weakens.</v>
      </c>
      <c r="E1480" s="122" t="str">
        <f>IFERROR(__xludf.DUMMYFUNCTION("""COMPUTED_VALUE"""),"Negative")</f>
        <v>Negative</v>
      </c>
      <c r="F1480" s="122">
        <f>IFERROR(__xludf.DUMMYFUNCTION("""COMPUTED_VALUE"""),-0.015)</f>
        <v>-0.015</v>
      </c>
      <c r="G1480" s="122">
        <f>IFERROR(__xludf.DUMMYFUNCTION("""COMPUTED_VALUE"""),0.75)</f>
        <v>0.75</v>
      </c>
      <c r="H1480" s="122" t="str">
        <f>IFERROR(__xludf.DUMMYFUNCTION("""COMPUTED_VALUE"""),"Active")</f>
        <v>Active</v>
      </c>
    </row>
    <row r="1481">
      <c r="A1481" s="131">
        <f>IFERROR(__xludf.DUMMYFUNCTION("""COMPUTED_VALUE"""),46184.331342592595)</f>
        <v>46184.33134</v>
      </c>
      <c r="B1481" s="122" t="str">
        <f>IFERROR(__xludf.DUMMYFUNCTION("""COMPUTED_VALUE"""),"BAKE")</f>
        <v>BAKE</v>
      </c>
      <c r="C1481" s="122" t="str">
        <f>IFERROR(__xludf.DUMMYFUNCTION("""COMPUTED_VALUE"""),"BakeHouse faces weaker demand and cautious investor sentiment.")</f>
        <v>BakeHouse faces weaker demand and cautious investor sentiment.</v>
      </c>
      <c r="D1481" s="122" t="str">
        <f>IFERROR(__xludf.DUMMYFUNCTION("""COMPUTED_VALUE"""),"Investors are watching BakeHouse closely as demand weakens.")</f>
        <v>Investors are watching BakeHouse closely as demand weakens.</v>
      </c>
      <c r="E1481" s="122" t="str">
        <f>IFERROR(__xludf.DUMMYFUNCTION("""COMPUTED_VALUE"""),"Negative")</f>
        <v>Negative</v>
      </c>
      <c r="F1481" s="122">
        <f>IFERROR(__xludf.DUMMYFUNCTION("""COMPUTED_VALUE"""),-0.015)</f>
        <v>-0.015</v>
      </c>
      <c r="G1481" s="122">
        <f>IFERROR(__xludf.DUMMYFUNCTION("""COMPUTED_VALUE"""),0.75)</f>
        <v>0.75</v>
      </c>
      <c r="H1481" s="122" t="str">
        <f>IFERROR(__xludf.DUMMYFUNCTION("""COMPUTED_VALUE"""),"Active")</f>
        <v>Active</v>
      </c>
    </row>
    <row r="1482">
      <c r="A1482" s="131">
        <f>IFERROR(__xludf.DUMMYFUNCTION("""COMPUTED_VALUE"""),46184.331354166665)</f>
        <v>46184.33135</v>
      </c>
      <c r="B1482" s="122" t="str">
        <f>IFERROR(__xludf.DUMMYFUNCTION("""COMPUTED_VALUE"""),"OILX")</f>
        <v>OILX</v>
      </c>
      <c r="C1482" s="122" t="str">
        <f>IFERROR(__xludf.DUMMYFUNCTION("""COMPUTED_VALUE"""),"OilMax Energy remains stable as the Energy market shows normal activity.")</f>
        <v>OilMax Energy remains stable as the Energy market shows normal activity.</v>
      </c>
      <c r="D1482" s="122" t="str">
        <f>IFERROR(__xludf.DUMMYFUNCTION("""COMPUTED_VALUE"""),"OilMax Energy appears steady with no major changes reported.")</f>
        <v>OilMax Energy appears steady with no major changes reported.</v>
      </c>
      <c r="E1482" s="122" t="str">
        <f>IFERROR(__xludf.DUMMYFUNCTION("""COMPUTED_VALUE"""),"Neutral")</f>
        <v>Neutral</v>
      </c>
      <c r="F1482" s="122">
        <f>IFERROR(__xludf.DUMMYFUNCTION("""COMPUTED_VALUE"""),0.0)</f>
        <v>0</v>
      </c>
      <c r="G1482" s="122">
        <f>IFERROR(__xludf.DUMMYFUNCTION("""COMPUTED_VALUE"""),0.0)</f>
        <v>0</v>
      </c>
      <c r="H1482" s="122" t="str">
        <f>IFERROR(__xludf.DUMMYFUNCTION("""COMPUTED_VALUE"""),"Active")</f>
        <v>Active</v>
      </c>
    </row>
    <row r="1483">
      <c r="A1483" s="131">
        <f>IFERROR(__xludf.DUMMYFUNCTION("""COMPUTED_VALUE"""),46184.33136574074)</f>
        <v>46184.33137</v>
      </c>
      <c r="B1483" s="122" t="str">
        <f>IFERROR(__xludf.DUMMYFUNCTION("""COMPUTED_VALUE"""),"SOLR")</f>
        <v>SOLR</v>
      </c>
      <c r="C1483" s="122" t="str">
        <f>IFERROR(__xludf.DUMMYFUNCTION("""COMPUTED_VALUE"""),"SolarSpark remains stable as the Energy market shows normal activity.")</f>
        <v>SolarSpark remains stable as the Energy market shows normal activity.</v>
      </c>
      <c r="D1483" s="122" t="str">
        <f>IFERROR(__xludf.DUMMYFUNCTION("""COMPUTED_VALUE"""),"SolarSpark appears steady with no major changes reported.")</f>
        <v>SolarSpark appears steady with no major changes reported.</v>
      </c>
      <c r="E1483" s="122" t="str">
        <f>IFERROR(__xludf.DUMMYFUNCTION("""COMPUTED_VALUE"""),"Neutral")</f>
        <v>Neutral</v>
      </c>
      <c r="F1483" s="122">
        <f>IFERROR(__xludf.DUMMYFUNCTION("""COMPUTED_VALUE"""),0.0)</f>
        <v>0</v>
      </c>
      <c r="G1483" s="122">
        <f>IFERROR(__xludf.DUMMYFUNCTION("""COMPUTED_VALUE"""),0.0)</f>
        <v>0</v>
      </c>
      <c r="H1483" s="122" t="str">
        <f>IFERROR(__xludf.DUMMYFUNCTION("""COMPUTED_VALUE"""),"Active")</f>
        <v>Active</v>
      </c>
    </row>
    <row r="1484">
      <c r="A1484" s="131">
        <f>IFERROR(__xludf.DUMMYFUNCTION("""COMPUTED_VALUE"""),46184.33137731482)</f>
        <v>46184.33138</v>
      </c>
      <c r="B1484" s="122" t="str">
        <f>IFERROR(__xludf.DUMMYFUNCTION("""COMPUTED_VALUE"""),"BATT")</f>
        <v>BATT</v>
      </c>
      <c r="C1484" s="122" t="str">
        <f>IFERROR(__xludf.DUMMYFUNCTION("""COMPUTED_VALUE"""),"BatteryBox remains stable as the Energy market shows normal activity.")</f>
        <v>BatteryBox remains stable as the Energy market shows normal activity.</v>
      </c>
      <c r="D1484" s="122" t="str">
        <f>IFERROR(__xludf.DUMMYFUNCTION("""COMPUTED_VALUE"""),"BatteryBox appears steady with no major changes reported.")</f>
        <v>BatteryBox appears steady with no major changes reported.</v>
      </c>
      <c r="E1484" s="122" t="str">
        <f>IFERROR(__xludf.DUMMYFUNCTION("""COMPUTED_VALUE"""),"Neutral")</f>
        <v>Neutral</v>
      </c>
      <c r="F1484" s="122">
        <f>IFERROR(__xludf.DUMMYFUNCTION("""COMPUTED_VALUE"""),0.0)</f>
        <v>0</v>
      </c>
      <c r="G1484" s="122">
        <f>IFERROR(__xludf.DUMMYFUNCTION("""COMPUTED_VALUE"""),0.0)</f>
        <v>0</v>
      </c>
      <c r="H1484" s="122" t="str">
        <f>IFERROR(__xludf.DUMMYFUNCTION("""COMPUTED_VALUE"""),"Active")</f>
        <v>Active</v>
      </c>
    </row>
    <row r="1485">
      <c r="A1485" s="131">
        <f>IFERROR(__xludf.DUMMYFUNCTION("""COMPUTED_VALUE"""),46184.33138888889)</f>
        <v>46184.33139</v>
      </c>
      <c r="B1485" s="122" t="str">
        <f>IFERROR(__xludf.DUMMYFUNCTION("""COMPUTED_VALUE"""),"WIND")</f>
        <v>WIND</v>
      </c>
      <c r="C1485" s="122" t="str">
        <f>IFERROR(__xludf.DUMMYFUNCTION("""COMPUTED_VALUE"""),"WindWorks remains stable as the Energy market shows normal activity.")</f>
        <v>WindWorks remains stable as the Energy market shows normal activity.</v>
      </c>
      <c r="D1485" s="122" t="str">
        <f>IFERROR(__xludf.DUMMYFUNCTION("""COMPUTED_VALUE"""),"WindWorks appears steady with no major changes reported.")</f>
        <v>WindWorks appears steady with no major changes reported.</v>
      </c>
      <c r="E1485" s="122" t="str">
        <f>IFERROR(__xludf.DUMMYFUNCTION("""COMPUTED_VALUE"""),"Neutral")</f>
        <v>Neutral</v>
      </c>
      <c r="F1485" s="122">
        <f>IFERROR(__xludf.DUMMYFUNCTION("""COMPUTED_VALUE"""),0.0)</f>
        <v>0</v>
      </c>
      <c r="G1485" s="122">
        <f>IFERROR(__xludf.DUMMYFUNCTION("""COMPUTED_VALUE"""),0.0)</f>
        <v>0</v>
      </c>
      <c r="H1485" s="122" t="str">
        <f>IFERROR(__xludf.DUMMYFUNCTION("""COMPUTED_VALUE"""),"Active")</f>
        <v>Active</v>
      </c>
    </row>
    <row r="1486">
      <c r="A1486" s="131">
        <f>IFERROR(__xludf.DUMMYFUNCTION("""COMPUTED_VALUE"""),46184.33138888889)</f>
        <v>46184.33139</v>
      </c>
      <c r="B1486" s="122" t="str">
        <f>IFERROR(__xludf.DUMMYFUNCTION("""COMPUTED_VALUE"""),"GRID")</f>
        <v>GRID</v>
      </c>
      <c r="C1486" s="122" t="str">
        <f>IFERROR(__xludf.DUMMYFUNCTION("""COMPUTED_VALUE"""),"GridPower faces weaker demand and cautious investor sentiment.")</f>
        <v>GridPower faces weaker demand and cautious investor sentiment.</v>
      </c>
      <c r="D1486" s="122" t="str">
        <f>IFERROR(__xludf.DUMMYFUNCTION("""COMPUTED_VALUE"""),"Investors are watching GridPower closely as demand weakens.")</f>
        <v>Investors are watching GridPower closely as demand weakens.</v>
      </c>
      <c r="E1486" s="122" t="str">
        <f>IFERROR(__xludf.DUMMYFUNCTION("""COMPUTED_VALUE"""),"Negative")</f>
        <v>Negative</v>
      </c>
      <c r="F1486" s="122">
        <f>IFERROR(__xludf.DUMMYFUNCTION("""COMPUTED_VALUE"""),-0.015)</f>
        <v>-0.015</v>
      </c>
      <c r="G1486" s="122">
        <f>IFERROR(__xludf.DUMMYFUNCTION("""COMPUTED_VALUE"""),0.75)</f>
        <v>0.75</v>
      </c>
      <c r="H1486" s="122" t="str">
        <f>IFERROR(__xludf.DUMMYFUNCTION("""COMPUTED_VALUE"""),"Active")</f>
        <v>Active</v>
      </c>
    </row>
    <row r="1487">
      <c r="A1487" s="131">
        <f>IFERROR(__xludf.DUMMYFUNCTION("""COMPUTED_VALUE"""),46184.331400462965)</f>
        <v>46184.3314</v>
      </c>
      <c r="B1487" s="122" t="str">
        <f>IFERROR(__xludf.DUMMYFUNCTION("""COMPUTED_VALUE"""),"HOME")</f>
        <v>HOME</v>
      </c>
      <c r="C1487" s="122" t="str">
        <f>IFERROR(__xludf.DUMMYFUNCTION("""COMPUTED_VALUE"""),"HomeHub remains stable as the Real Estate market shows normal activity.")</f>
        <v>HomeHub remains stable as the Real Estate market shows normal activity.</v>
      </c>
      <c r="D1487" s="122" t="str">
        <f>IFERROR(__xludf.DUMMYFUNCTION("""COMPUTED_VALUE"""),"HomeHub appears steady with no major changes reported.")</f>
        <v>HomeHub appears steady with no major changes reported.</v>
      </c>
      <c r="E1487" s="122" t="str">
        <f>IFERROR(__xludf.DUMMYFUNCTION("""COMPUTED_VALUE"""),"Neutral")</f>
        <v>Neutral</v>
      </c>
      <c r="F1487" s="122">
        <f>IFERROR(__xludf.DUMMYFUNCTION("""COMPUTED_VALUE"""),0.0)</f>
        <v>0</v>
      </c>
      <c r="G1487" s="122">
        <f>IFERROR(__xludf.DUMMYFUNCTION("""COMPUTED_VALUE"""),0.0)</f>
        <v>0</v>
      </c>
      <c r="H1487" s="122" t="str">
        <f>IFERROR(__xludf.DUMMYFUNCTION("""COMPUTED_VALUE"""),"Active")</f>
        <v>Active</v>
      </c>
    </row>
    <row r="1488">
      <c r="A1488" s="131">
        <f>IFERROR(__xludf.DUMMYFUNCTION("""COMPUTED_VALUE"""),46184.331412037034)</f>
        <v>46184.33141</v>
      </c>
      <c r="B1488" s="122" t="str">
        <f>IFERROR(__xludf.DUMMYFUNCTION("""COMPUTED_VALUE"""),"RENT")</f>
        <v>RENT</v>
      </c>
      <c r="C1488" s="122" t="str">
        <f>IFERROR(__xludf.DUMMYFUNCTION("""COMPUTED_VALUE"""),"RentRight remains stable as the Real Estate market shows normal activity.")</f>
        <v>RentRight remains stable as the Real Estate market shows normal activity.</v>
      </c>
      <c r="D1488" s="122" t="str">
        <f>IFERROR(__xludf.DUMMYFUNCTION("""COMPUTED_VALUE"""),"RentRight appears steady with no major changes reported.")</f>
        <v>RentRight appears steady with no major changes reported.</v>
      </c>
      <c r="E1488" s="122" t="str">
        <f>IFERROR(__xludf.DUMMYFUNCTION("""COMPUTED_VALUE"""),"Neutral")</f>
        <v>Neutral</v>
      </c>
      <c r="F1488" s="122">
        <f>IFERROR(__xludf.DUMMYFUNCTION("""COMPUTED_VALUE"""),0.0)</f>
        <v>0</v>
      </c>
      <c r="G1488" s="122">
        <f>IFERROR(__xludf.DUMMYFUNCTION("""COMPUTED_VALUE"""),0.0)</f>
        <v>0</v>
      </c>
      <c r="H1488" s="122" t="str">
        <f>IFERROR(__xludf.DUMMYFUNCTION("""COMPUTED_VALUE"""),"Active")</f>
        <v>Active</v>
      </c>
    </row>
    <row r="1489">
      <c r="A1489" s="131">
        <f>IFERROR(__xludf.DUMMYFUNCTION("""COMPUTED_VALUE"""),46184.33142361111)</f>
        <v>46184.33142</v>
      </c>
      <c r="B1489" s="122" t="str">
        <f>IFERROR(__xludf.DUMMYFUNCTION("""COMPUTED_VALUE"""),"MALL")</f>
        <v>MALL</v>
      </c>
      <c r="C1489" s="122" t="str">
        <f>IFERROR(__xludf.DUMMYFUNCTION("""COMPUTED_VALUE"""),"MegaMall drops sharply after major concerns hit the market.")</f>
        <v>MegaMall drops sharply after major concerns hit the market.</v>
      </c>
      <c r="D1489" s="122" t="str">
        <f>IFERROR(__xludf.DUMMYFUNCTION("""COMPUTED_VALUE"""),"MegaMall is under pressure as investors react to worsening conditions.")</f>
        <v>MegaMall is under pressure as investors react to worsening conditions.</v>
      </c>
      <c r="E1489" s="122" t="str">
        <f>IFERROR(__xludf.DUMMYFUNCTION("""COMPUTED_VALUE"""),"Negative")</f>
        <v>Negative</v>
      </c>
      <c r="F1489" s="122">
        <f>IFERROR(__xludf.DUMMYFUNCTION("""COMPUTED_VALUE"""),-0.04)</f>
        <v>-0.04</v>
      </c>
      <c r="G1489" s="122">
        <f>IFERROR(__xludf.DUMMYFUNCTION("""COMPUTED_VALUE"""),2.0)</f>
        <v>2</v>
      </c>
      <c r="H1489" s="122" t="str">
        <f>IFERROR(__xludf.DUMMYFUNCTION("""COMPUTED_VALUE"""),"Active")</f>
        <v>Active</v>
      </c>
    </row>
    <row r="1490">
      <c r="A1490" s="131">
        <f>IFERROR(__xludf.DUMMYFUNCTION("""COMPUTED_VALUE"""),46184.33143518519)</f>
        <v>46184.33144</v>
      </c>
      <c r="B1490" s="122" t="str">
        <f>IFERROR(__xludf.DUMMYFUNCTION("""COMPUTED_VALUE"""),"HOTL")</f>
        <v>HOTL</v>
      </c>
      <c r="C1490" s="122" t="str">
        <f>IFERROR(__xludf.DUMMYFUNCTION("""COMPUTED_VALUE"""),"HotelHive remains stable as the Real Estate market shows normal activity.")</f>
        <v>HotelHive remains stable as the Real Estate market shows normal activity.</v>
      </c>
      <c r="D1490" s="122" t="str">
        <f>IFERROR(__xludf.DUMMYFUNCTION("""COMPUTED_VALUE"""),"HotelHive appears steady with no major changes reported.")</f>
        <v>HotelHive appears steady with no major changes reported.</v>
      </c>
      <c r="E1490" s="122" t="str">
        <f>IFERROR(__xludf.DUMMYFUNCTION("""COMPUTED_VALUE"""),"Neutral")</f>
        <v>Neutral</v>
      </c>
      <c r="F1490" s="122">
        <f>IFERROR(__xludf.DUMMYFUNCTION("""COMPUTED_VALUE"""),0.0)</f>
        <v>0</v>
      </c>
      <c r="G1490" s="122">
        <f>IFERROR(__xludf.DUMMYFUNCTION("""COMPUTED_VALUE"""),0.0)</f>
        <v>0</v>
      </c>
      <c r="H1490" s="122" t="str">
        <f>IFERROR(__xludf.DUMMYFUNCTION("""COMPUTED_VALUE"""),"Active")</f>
        <v>Active</v>
      </c>
    </row>
    <row r="1491">
      <c r="A1491" s="131">
        <f>IFERROR(__xludf.DUMMYFUNCTION("""COMPUTED_VALUE"""),46184.33144675926)</f>
        <v>46184.33145</v>
      </c>
      <c r="B1491" s="122" t="str">
        <f>IFERROR(__xludf.DUMMYFUNCTION("""COMPUTED_VALUE"""),"LAND")</f>
        <v>LAND</v>
      </c>
      <c r="C1491" s="122" t="str">
        <f>IFERROR(__xludf.DUMMYFUNCTION("""COMPUTED_VALUE"""),"LandLink remains stable as the Real Estate market shows normal activity.")</f>
        <v>LandLink remains stable as the Real Estate market shows normal activity.</v>
      </c>
      <c r="D1491" s="122" t="str">
        <f>IFERROR(__xludf.DUMMYFUNCTION("""COMPUTED_VALUE"""),"LandLink appears steady with no major changes reported.")</f>
        <v>LandLink appears steady with no major changes reported.</v>
      </c>
      <c r="E1491" s="122" t="str">
        <f>IFERROR(__xludf.DUMMYFUNCTION("""COMPUTED_VALUE"""),"Neutral")</f>
        <v>Neutral</v>
      </c>
      <c r="F1491" s="122">
        <f>IFERROR(__xludf.DUMMYFUNCTION("""COMPUTED_VALUE"""),0.0)</f>
        <v>0</v>
      </c>
      <c r="G1491" s="122">
        <f>IFERROR(__xludf.DUMMYFUNCTION("""COMPUTED_VALUE"""),0.0)</f>
        <v>0</v>
      </c>
      <c r="H1491" s="122" t="str">
        <f>IFERROR(__xludf.DUMMYFUNCTION("""COMPUTED_VALUE"""),"Active")</f>
        <v>Active</v>
      </c>
    </row>
    <row r="1492">
      <c r="A1492" s="131">
        <f>IFERROR(__xludf.DUMMYFUNCTION("""COMPUTED_VALUE"""),46184.33144675926)</f>
        <v>46184.33145</v>
      </c>
      <c r="B1492" s="122" t="str">
        <f>IFERROR(__xludf.DUMMYFUNCTION("""COMPUTED_VALUE"""),"CARS")</f>
        <v>CARS</v>
      </c>
      <c r="C1492" s="122" t="str">
        <f>IFERROR(__xludf.DUMMYFUNCTION("""COMPUTED_VALUE"""),"AutoArena drops sharply after major concerns hit the market.")</f>
        <v>AutoArena drops sharply after major concerns hit the market.</v>
      </c>
      <c r="D1492" s="122" t="str">
        <f>IFERROR(__xludf.DUMMYFUNCTION("""COMPUTED_VALUE"""),"AutoArena is under pressure as investors react to worsening conditions.")</f>
        <v>AutoArena is under pressure as investors react to worsening conditions.</v>
      </c>
      <c r="E1492" s="122" t="str">
        <f>IFERROR(__xludf.DUMMYFUNCTION("""COMPUTED_VALUE"""),"Negative")</f>
        <v>Negative</v>
      </c>
      <c r="F1492" s="122">
        <f>IFERROR(__xludf.DUMMYFUNCTION("""COMPUTED_VALUE"""),-0.04)</f>
        <v>-0.04</v>
      </c>
      <c r="G1492" s="122">
        <f>IFERROR(__xludf.DUMMYFUNCTION("""COMPUTED_VALUE"""),2.0)</f>
        <v>2</v>
      </c>
      <c r="H1492" s="122" t="str">
        <f>IFERROR(__xludf.DUMMYFUNCTION("""COMPUTED_VALUE"""),"Active")</f>
        <v>Active</v>
      </c>
    </row>
    <row r="1493">
      <c r="A1493" s="131">
        <f>IFERROR(__xludf.DUMMYFUNCTION("""COMPUTED_VALUE"""),46184.331458333334)</f>
        <v>46184.33146</v>
      </c>
      <c r="B1493" s="122" t="str">
        <f>IFERROR(__xludf.DUMMYFUNCTION("""COMPUTED_VALUE"""),"EVGO")</f>
        <v>EVGO</v>
      </c>
      <c r="C1493" s="122" t="str">
        <f>IFERROR(__xludf.DUMMYFUNCTION("""COMPUTED_VALUE"""),"EVGo Motors reports steady growth and improved market confidence.")</f>
        <v>EVGo Motors reports steady growth and improved market confidence.</v>
      </c>
      <c r="D1493" s="122" t="str">
        <f>IFERROR(__xludf.DUMMYFUNCTION("""COMPUTED_VALUE"""),"EVGo Motors continues to show positive momentum with moderate risk.")</f>
        <v>EVGo Motors continues to show positive momentum with moderate risk.</v>
      </c>
      <c r="E1493" s="122" t="str">
        <f>IFERROR(__xludf.DUMMYFUNCTION("""COMPUTED_VALUE"""),"Positive")</f>
        <v>Positive</v>
      </c>
      <c r="F1493" s="122">
        <f>IFERROR(__xludf.DUMMYFUNCTION("""COMPUTED_VALUE"""),0.015)</f>
        <v>0.015</v>
      </c>
      <c r="G1493" s="122">
        <f>IFERROR(__xludf.DUMMYFUNCTION("""COMPUTED_VALUE"""),0.5)</f>
        <v>0.5</v>
      </c>
      <c r="H1493" s="122" t="str">
        <f>IFERROR(__xludf.DUMMYFUNCTION("""COMPUTED_VALUE"""),"Active")</f>
        <v>Active</v>
      </c>
    </row>
    <row r="1494">
      <c r="A1494" s="131">
        <f>IFERROR(__xludf.DUMMYFUNCTION("""COMPUTED_VALUE"""),46184.331458333334)</f>
        <v>46184.33146</v>
      </c>
      <c r="B1494" s="122" t="str">
        <f>IFERROR(__xludf.DUMMYFUNCTION("""COMPUTED_VALUE"""),"TIRE")</f>
        <v>TIRE</v>
      </c>
      <c r="C1494" s="122" t="str">
        <f>IFERROR(__xludf.DUMMYFUNCTION("""COMPUTED_VALUE"""),"TireTown remains stable as the Automotive market shows normal activity.")</f>
        <v>TireTown remains stable as the Automotive market shows normal activity.</v>
      </c>
      <c r="D1494" s="122" t="str">
        <f>IFERROR(__xludf.DUMMYFUNCTION("""COMPUTED_VALUE"""),"TireTown appears steady with no major changes reported.")</f>
        <v>TireTown appears steady with no major changes reported.</v>
      </c>
      <c r="E1494" s="122" t="str">
        <f>IFERROR(__xludf.DUMMYFUNCTION("""COMPUTED_VALUE"""),"Neutral")</f>
        <v>Neutral</v>
      </c>
      <c r="F1494" s="122">
        <f>IFERROR(__xludf.DUMMYFUNCTION("""COMPUTED_VALUE"""),0.0)</f>
        <v>0</v>
      </c>
      <c r="G1494" s="122">
        <f>IFERROR(__xludf.DUMMYFUNCTION("""COMPUTED_VALUE"""),0.0)</f>
        <v>0</v>
      </c>
      <c r="H1494" s="122" t="str">
        <f>IFERROR(__xludf.DUMMYFUNCTION("""COMPUTED_VALUE"""),"Active")</f>
        <v>Active</v>
      </c>
    </row>
    <row r="1495">
      <c r="A1495" s="131">
        <f>IFERROR(__xludf.DUMMYFUNCTION("""COMPUTED_VALUE"""),46184.33146990741)</f>
        <v>46184.33147</v>
      </c>
      <c r="B1495" s="122" t="str">
        <f>IFERROR(__xludf.DUMMYFUNCTION("""COMPUTED_VALUE"""),"BIKE")</f>
        <v>BIKE</v>
      </c>
      <c r="C1495" s="122" t="str">
        <f>IFERROR(__xludf.DUMMYFUNCTION("""COMPUTED_VALUE"""),"BikeBox remains stable as the Automotive market shows normal activity.")</f>
        <v>BikeBox remains stable as the Automotive market shows normal activity.</v>
      </c>
      <c r="D1495" s="122" t="str">
        <f>IFERROR(__xludf.DUMMYFUNCTION("""COMPUTED_VALUE"""),"BikeBox appears steady with no major changes reported.")</f>
        <v>BikeBox appears steady with no major changes reported.</v>
      </c>
      <c r="E1495" s="122" t="str">
        <f>IFERROR(__xludf.DUMMYFUNCTION("""COMPUTED_VALUE"""),"Neutral")</f>
        <v>Neutral</v>
      </c>
      <c r="F1495" s="122">
        <f>IFERROR(__xludf.DUMMYFUNCTION("""COMPUTED_VALUE"""),0.0)</f>
        <v>0</v>
      </c>
      <c r="G1495" s="122">
        <f>IFERROR(__xludf.DUMMYFUNCTION("""COMPUTED_VALUE"""),0.0)</f>
        <v>0</v>
      </c>
      <c r="H1495" s="122" t="str">
        <f>IFERROR(__xludf.DUMMYFUNCTION("""COMPUTED_VALUE"""),"Active")</f>
        <v>Active</v>
      </c>
    </row>
    <row r="1496">
      <c r="A1496" s="131">
        <f>IFERROR(__xludf.DUMMYFUNCTION("""COMPUTED_VALUE"""),46184.33148148148)</f>
        <v>46184.33148</v>
      </c>
      <c r="B1496" s="122" t="str">
        <f>IFERROR(__xludf.DUMMYFUNCTION("""COMPUTED_VALUE"""),"WASH")</f>
        <v>WASH</v>
      </c>
      <c r="C1496" s="122" t="str">
        <f>IFERROR(__xludf.DUMMYFUNCTION("""COMPUTED_VALUE"""),"CarWash Co remains stable as the Automotive market shows normal activity.")</f>
        <v>CarWash Co remains stable as the Automotive market shows normal activity.</v>
      </c>
      <c r="D1496" s="122" t="str">
        <f>IFERROR(__xludf.DUMMYFUNCTION("""COMPUTED_VALUE"""),"CarWash Co appears steady with no major changes reported.")</f>
        <v>CarWash Co appears steady with no major changes reported.</v>
      </c>
      <c r="E1496" s="122" t="str">
        <f>IFERROR(__xludf.DUMMYFUNCTION("""COMPUTED_VALUE"""),"Neutral")</f>
        <v>Neutral</v>
      </c>
      <c r="F1496" s="122">
        <f>IFERROR(__xludf.DUMMYFUNCTION("""COMPUTED_VALUE"""),0.0)</f>
        <v>0</v>
      </c>
      <c r="G1496" s="122">
        <f>IFERROR(__xludf.DUMMYFUNCTION("""COMPUTED_VALUE"""),0.0)</f>
        <v>0</v>
      </c>
      <c r="H1496" s="122" t="str">
        <f>IFERROR(__xludf.DUMMYFUNCTION("""COMPUTED_VALUE"""),"Active")</f>
        <v>Active</v>
      </c>
    </row>
    <row r="1497">
      <c r="A1497" s="131">
        <f>IFERROR(__xludf.DUMMYFUNCTION("""COMPUTED_VALUE"""),46184.33148148148)</f>
        <v>46184.33148</v>
      </c>
      <c r="B1497" s="122" t="str">
        <f>IFERROR(__xludf.DUMMYFUNCTION("""COMPUTED_VALUE"""),"GBND")</f>
        <v>GBND</v>
      </c>
      <c r="C1497" s="122" t="str">
        <f>IFERROR(__xludf.DUMMYFUNCTION("""COMPUTED_VALUE"""),"Classroom Government Bond remains steady as investors seek stability.")</f>
        <v>Classroom Government Bond remains steady as investors seek stability.</v>
      </c>
      <c r="D1497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497" s="122" t="str">
        <f>IFERROR(__xludf.DUMMYFUNCTION("""COMPUTED_VALUE"""),"Neutral")</f>
        <v>Neutral</v>
      </c>
      <c r="F1497" s="122">
        <f>IFERROR(__xludf.DUMMYFUNCTION("""COMPUTED_VALUE"""),0.0)</f>
        <v>0</v>
      </c>
      <c r="G1497" s="122">
        <f>IFERROR(__xludf.DUMMYFUNCTION("""COMPUTED_VALUE"""),0.0)</f>
        <v>0</v>
      </c>
      <c r="H1497" s="122" t="str">
        <f>IFERROR(__xludf.DUMMYFUNCTION("""COMPUTED_VALUE"""),"Active")</f>
        <v>Active</v>
      </c>
    </row>
    <row r="1498">
      <c r="A1498" s="131">
        <f>IFERROR(__xludf.DUMMYFUNCTION("""COMPUTED_VALUE"""),46184.33149305556)</f>
        <v>46184.33149</v>
      </c>
      <c r="B1498" s="122" t="str">
        <f>IFERROR(__xludf.DUMMYFUNCTION("""COMPUTED_VALUE"""),"SBND")</f>
        <v>SBND</v>
      </c>
      <c r="C1498" s="122" t="str">
        <f>IFERROR(__xludf.DUMMYFUNCTION("""COMPUTED_VALUE"""),"School Savings Bond remains steady as investors seek stability.")</f>
        <v>School Savings Bond remains steady as investors seek stability.</v>
      </c>
      <c r="D1498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498" s="122" t="str">
        <f>IFERROR(__xludf.DUMMYFUNCTION("""COMPUTED_VALUE"""),"Neutral")</f>
        <v>Neutral</v>
      </c>
      <c r="F1498" s="122">
        <f>IFERROR(__xludf.DUMMYFUNCTION("""COMPUTED_VALUE"""),0.0)</f>
        <v>0</v>
      </c>
      <c r="G1498" s="122">
        <f>IFERROR(__xludf.DUMMYFUNCTION("""COMPUTED_VALUE"""),0.0)</f>
        <v>0</v>
      </c>
      <c r="H1498" s="122" t="str">
        <f>IFERROR(__xludf.DUMMYFUNCTION("""COMPUTED_VALUE"""),"Active")</f>
        <v>Active</v>
      </c>
    </row>
    <row r="1499">
      <c r="A1499" s="131">
        <f>IFERROR(__xludf.DUMMYFUNCTION("""COMPUTED_VALUE"""),46184.33149305556)</f>
        <v>46184.33149</v>
      </c>
      <c r="B1499" s="122" t="str">
        <f>IFERROR(__xludf.DUMMYFUNCTION("""COMPUTED_VALUE"""),"CBND")</f>
        <v>CBND</v>
      </c>
      <c r="C1499" s="122" t="str">
        <f>IFERROR(__xludf.DUMMYFUNCTION("""COMPUTED_VALUE"""),"Corporate Classroom Bond remains steady as investors seek stability.")</f>
        <v>Corporate Classroom Bond remains steady as investors seek stability.</v>
      </c>
      <c r="D1499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499" s="122" t="str">
        <f>IFERROR(__xludf.DUMMYFUNCTION("""COMPUTED_VALUE"""),"Neutral")</f>
        <v>Neutral</v>
      </c>
      <c r="F1499" s="122">
        <f>IFERROR(__xludf.DUMMYFUNCTION("""COMPUTED_VALUE"""),0.0)</f>
        <v>0</v>
      </c>
      <c r="G1499" s="122">
        <f>IFERROR(__xludf.DUMMYFUNCTION("""COMPUTED_VALUE"""),0.0)</f>
        <v>0</v>
      </c>
      <c r="H1499" s="122" t="str">
        <f>IFERROR(__xludf.DUMMYFUNCTION("""COMPUTED_VALUE"""),"Active")</f>
        <v>Active</v>
      </c>
    </row>
    <row r="1500">
      <c r="A1500" s="131">
        <f>IFERROR(__xludf.DUMMYFUNCTION("""COMPUTED_VALUE"""),46184.33150462963)</f>
        <v>46184.3315</v>
      </c>
      <c r="B1500" s="122" t="str">
        <f>IFERROR(__xludf.DUMMYFUNCTION("""COMPUTED_VALUE"""),"TBIL")</f>
        <v>TBIL</v>
      </c>
      <c r="C1500" s="122" t="str">
        <f>IFERROR(__xludf.DUMMYFUNCTION("""COMPUTED_VALUE"""),"Treasury Bill remains steady as investors seek stability.")</f>
        <v>Treasury Bill remains steady as investors seek stability.</v>
      </c>
      <c r="D1500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500" s="122" t="str">
        <f>IFERROR(__xludf.DUMMYFUNCTION("""COMPUTED_VALUE"""),"Neutral")</f>
        <v>Neutral</v>
      </c>
      <c r="F1500" s="122">
        <f>IFERROR(__xludf.DUMMYFUNCTION("""COMPUTED_VALUE"""),0.0)</f>
        <v>0</v>
      </c>
      <c r="G1500" s="122">
        <f>IFERROR(__xludf.DUMMYFUNCTION("""COMPUTED_VALUE"""),0.0)</f>
        <v>0</v>
      </c>
      <c r="H1500" s="122" t="str">
        <f>IFERROR(__xludf.DUMMYFUNCTION("""COMPUTED_VALUE"""),"Active")</f>
        <v>Active</v>
      </c>
    </row>
    <row r="1501">
      <c r="A1501" s="131">
        <f>IFERROR(__xludf.DUMMYFUNCTION("""COMPUTED_VALUE"""),46184.3315162037)</f>
        <v>46184.33152</v>
      </c>
      <c r="B1501" s="122" t="str">
        <f>IFERROR(__xludf.DUMMYFUNCTION("""COMPUTED_VALUE"""),"IBND")</f>
        <v>IBND</v>
      </c>
      <c r="C1501" s="122" t="str">
        <f>IFERROR(__xludf.DUMMYFUNCTION("""COMPUTED_VALUE"""),"Inflation Protected Bond remains steady as investors seek stability.")</f>
        <v>Inflation Protected Bond remains steady as investors seek stability.</v>
      </c>
      <c r="D1501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501" s="122" t="str">
        <f>IFERROR(__xludf.DUMMYFUNCTION("""COMPUTED_VALUE"""),"Neutral")</f>
        <v>Neutral</v>
      </c>
      <c r="F1501" s="122">
        <f>IFERROR(__xludf.DUMMYFUNCTION("""COMPUTED_VALUE"""),0.0)</f>
        <v>0</v>
      </c>
      <c r="G1501" s="122">
        <f>IFERROR(__xludf.DUMMYFUNCTION("""COMPUTED_VALUE"""),0.0)</f>
        <v>0</v>
      </c>
      <c r="H1501" s="122" t="str">
        <f>IFERROR(__xludf.DUMMYFUNCTION("""COMPUTED_VALUE"""),"Active")</f>
        <v>Active</v>
      </c>
    </row>
    <row r="1502">
      <c r="A1502" s="131">
        <f>IFERROR(__xludf.DUMMYFUNCTION("""COMPUTED_VALUE"""),46184.649733796294)</f>
        <v>46184.64973</v>
      </c>
      <c r="B1502" s="122" t="str">
        <f>IFERROR(__xludf.DUMMYFUNCTION("""COMPUTED_VALUE"""),"CAFE")</f>
        <v>CAFE</v>
      </c>
      <c r="C1502" s="122" t="str">
        <f>IFERROR(__xludf.DUMMYFUNCTION("""COMPUTED_VALUE"""),"Cafe Cloud receives investor attention.")</f>
        <v>Cafe Cloud receives investor attention.</v>
      </c>
      <c r="D1502" s="122" t="str">
        <f>IFERROR(__xludf.DUMMYFUNCTION("""COMPUTED_VALUE"""),"Cafe Cloud receives investor attention.")</f>
        <v>Cafe Cloud receives investor attention.</v>
      </c>
      <c r="E1502" s="122" t="str">
        <f>IFERROR(__xludf.DUMMYFUNCTION("""COMPUTED_VALUE"""),"Positive")</f>
        <v>Positive</v>
      </c>
      <c r="F1502" s="122">
        <f>IFERROR(__xludf.DUMMYFUNCTION("""COMPUTED_VALUE"""),0.035)</f>
        <v>0.035</v>
      </c>
      <c r="G1502" s="122">
        <f>IFERROR(__xludf.DUMMYFUNCTION("""COMPUTED_VALUE"""),1.5)</f>
        <v>1.5</v>
      </c>
      <c r="H1502" s="122" t="str">
        <f>IFERROR(__xludf.DUMMYFUNCTION("""COMPUTED_VALUE"""),"Active")</f>
        <v>Active</v>
      </c>
    </row>
    <row r="1503">
      <c r="A1503" s="131">
        <f>IFERROR(__xludf.DUMMYFUNCTION("""COMPUTED_VALUE"""),46185.31756944444)</f>
        <v>46185.31757</v>
      </c>
      <c r="B1503" s="122" t="str">
        <f>IFERROR(__xludf.DUMMYFUNCTION("""COMPUTED_VALUE"""),"HOME")</f>
        <v>HOME</v>
      </c>
      <c r="C1503" s="122" t="str">
        <f>IFERROR(__xludf.DUMMYFUNCTION("""COMPUTED_VALUE"""),"HomeHub releases earnings report: Miss profit, guidance Lowered.")</f>
        <v>HomeHub releases earnings report: Miss profit, guidance Lowered.</v>
      </c>
      <c r="D1503" s="122" t="str">
        <f>IFERROR(__xludf.DUMMYFUNCTION("""COMPUTED_VALUE"""),"Earnings report: revenue Miss, profit Miss, debt Worse, guidance Lowered.")</f>
        <v>Earnings report: revenue Miss, profit Miss, debt Worse, guidance Lowered.</v>
      </c>
      <c r="E1503" s="122" t="str">
        <f>IFERROR(__xludf.DUMMYFUNCTION("""COMPUTED_VALUE"""),"Negative")</f>
        <v>Negative</v>
      </c>
      <c r="F1503" s="122">
        <f>IFERROR(__xludf.DUMMYFUNCTION("""COMPUTED_VALUE"""),-0.024700197519046875)</f>
        <v>-0.02470019752</v>
      </c>
      <c r="G1503" s="122">
        <f>IFERROR(__xludf.DUMMYFUNCTION("""COMPUTED_VALUE"""),0.6175049379761719)</f>
        <v>0.617504938</v>
      </c>
      <c r="H1503" s="122" t="str">
        <f>IFERROR(__xludf.DUMMYFUNCTION("""COMPUTED_VALUE"""),"Active")</f>
        <v>Active</v>
      </c>
    </row>
    <row r="1504">
      <c r="A1504" s="131">
        <f>IFERROR(__xludf.DUMMYFUNCTION("""COMPUTED_VALUE"""),46185.31763888889)</f>
        <v>46185.31764</v>
      </c>
      <c r="B1504" s="122" t="str">
        <f>IFERROR(__xludf.DUMMYFUNCTION("""COMPUTED_VALUE"""),"DRON")</f>
        <v>DRON</v>
      </c>
      <c r="C1504" s="122" t="str">
        <f>IFERROR(__xludf.DUMMYFUNCTION("""COMPUTED_VALUE"""),"DroneDrop releases earnings report: Miss profit, guidance Lowered.")</f>
        <v>DroneDrop releases earnings report: Miss profit, guidance Lowered.</v>
      </c>
      <c r="D1504" s="122" t="str">
        <f>IFERROR(__xludf.DUMMYFUNCTION("""COMPUTED_VALUE"""),"Earnings report: revenue Miss, profit Miss, debt Worse, guidance Lowered.")</f>
        <v>Earnings report: revenue Miss, profit Miss, debt Worse, guidance Lowered.</v>
      </c>
      <c r="E1504" s="122" t="str">
        <f>IFERROR(__xludf.DUMMYFUNCTION("""COMPUTED_VALUE"""),"Negative")</f>
        <v>Negative</v>
      </c>
      <c r="F1504" s="122">
        <f>IFERROR(__xludf.DUMMYFUNCTION("""COMPUTED_VALUE"""),-0.05704825845727387)</f>
        <v>-0.05704825846</v>
      </c>
      <c r="G1504" s="122">
        <f>IFERROR(__xludf.DUMMYFUNCTION("""COMPUTED_VALUE"""),1.4262064614318468)</f>
        <v>1.426206461</v>
      </c>
      <c r="H1504" s="122" t="str">
        <f>IFERROR(__xludf.DUMMYFUNCTION("""COMPUTED_VALUE"""),"Active")</f>
        <v>Active</v>
      </c>
    </row>
    <row r="1505">
      <c r="A1505" s="131">
        <f>IFERROR(__xludf.DUMMYFUNCTION("""COMPUTED_VALUE"""),46185.31769675926)</f>
        <v>46185.3177</v>
      </c>
      <c r="B1505" s="122" t="str">
        <f>IFERROR(__xludf.DUMMYFUNCTION("""COMPUTED_VALUE"""),"TECH")</f>
        <v>TECH</v>
      </c>
      <c r="C1505" s="122" t="str">
        <f>IFERROR(__xludf.DUMMYFUNCTION("""COMPUTED_VALUE"""),"Dragon Tech releases earnings report: Beat profit, guidance Raised.")</f>
        <v>Dragon Tech releases earnings report: Beat profit, guidance Raised.</v>
      </c>
      <c r="D150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05" s="122" t="str">
        <f>IFERROR(__xludf.DUMMYFUNCTION("""COMPUTED_VALUE"""),"Positive")</f>
        <v>Positive</v>
      </c>
      <c r="F1505" s="122">
        <f>IFERROR(__xludf.DUMMYFUNCTION("""COMPUTED_VALUE"""),0.033070593882685025)</f>
        <v>0.03307059388</v>
      </c>
      <c r="G1505" s="122">
        <f>IFERROR(__xludf.DUMMYFUNCTION("""COMPUTED_VALUE"""),0.8267648470671256)</f>
        <v>0.8267648471</v>
      </c>
      <c r="H1505" s="122" t="str">
        <f>IFERROR(__xludf.DUMMYFUNCTION("""COMPUTED_VALUE"""),"Active")</f>
        <v>Active</v>
      </c>
    </row>
    <row r="1506">
      <c r="A1506" s="131">
        <f>IFERROR(__xludf.DUMMYFUNCTION("""COMPUTED_VALUE"""),46185.31775462963)</f>
        <v>46185.31775</v>
      </c>
      <c r="B1506" s="122" t="str">
        <f>IFERROR(__xludf.DUMMYFUNCTION("""COMPUTED_VALUE"""),"OILX")</f>
        <v>OILX</v>
      </c>
      <c r="C1506" s="122" t="str">
        <f>IFERROR(__xludf.DUMMYFUNCTION("""COMPUTED_VALUE"""),"OilMax Energy releases earnings report: Beat profit, guidance Raised.")</f>
        <v>OilMax Energy releases earnings report: Beat profit, guidance Raised.</v>
      </c>
      <c r="D1506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06" s="122" t="str">
        <f>IFERROR(__xludf.DUMMYFUNCTION("""COMPUTED_VALUE"""),"Positive")</f>
        <v>Positive</v>
      </c>
      <c r="F1506" s="122">
        <f>IFERROR(__xludf.DUMMYFUNCTION("""COMPUTED_VALUE"""),0.040620930268866234)</f>
        <v>0.04062093027</v>
      </c>
      <c r="G1506" s="122">
        <f>IFERROR(__xludf.DUMMYFUNCTION("""COMPUTED_VALUE"""),1.0155232567216559)</f>
        <v>1.015523257</v>
      </c>
      <c r="H1506" s="122" t="str">
        <f>IFERROR(__xludf.DUMMYFUNCTION("""COMPUTED_VALUE"""),"Active")</f>
        <v>Active</v>
      </c>
    </row>
    <row r="1507">
      <c r="A1507" s="131">
        <f>IFERROR(__xludf.DUMMYFUNCTION("""COMPUTED_VALUE"""),46185.3178125)</f>
        <v>46185.31781</v>
      </c>
      <c r="B1507" s="122" t="str">
        <f>IFERROR(__xludf.DUMMYFUNCTION("""COMPUTED_VALUE"""),"CHIP")</f>
        <v>CHIP</v>
      </c>
      <c r="C1507" s="122" t="str">
        <f>IFERROR(__xludf.DUMMYFUNCTION("""COMPUTED_VALUE"""),"Chip Empire releases earnings report: Beat profit, guidance Raised.")</f>
        <v>Chip Empire releases earnings report: Beat profit, guidance Raised.</v>
      </c>
      <c r="D150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07" s="122" t="str">
        <f>IFERROR(__xludf.DUMMYFUNCTION("""COMPUTED_VALUE"""),"Positive")</f>
        <v>Positive</v>
      </c>
      <c r="F1507" s="122">
        <f>IFERROR(__xludf.DUMMYFUNCTION("""COMPUTED_VALUE"""),0.05583618551458811)</f>
        <v>0.05583618551</v>
      </c>
      <c r="G1507" s="122">
        <f>IFERROR(__xludf.DUMMYFUNCTION("""COMPUTED_VALUE"""),1.3959046378647029)</f>
        <v>1.395904638</v>
      </c>
      <c r="H1507" s="122" t="str">
        <f>IFERROR(__xludf.DUMMYFUNCTION("""COMPUTED_VALUE"""),"Active")</f>
        <v>Active</v>
      </c>
    </row>
    <row r="1508">
      <c r="A1508" s="131">
        <f>IFERROR(__xludf.DUMMYFUNCTION("""COMPUTED_VALUE"""),46185.3178587963)</f>
        <v>46185.31786</v>
      </c>
      <c r="B1508" s="122" t="str">
        <f>IFERROR(__xludf.DUMMYFUNCTION("""COMPUTED_VALUE"""),"VITA")</f>
        <v>VITA</v>
      </c>
      <c r="C1508" s="122" t="str">
        <f>IFERROR(__xludf.DUMMYFUNCTION("""COMPUTED_VALUE"""),"VitaPlus releases earnings report: Miss profit, guidance Lowered.")</f>
        <v>VitaPlus releases earnings report: Miss profit, guidance Lowered.</v>
      </c>
      <c r="D1508" s="122" t="str">
        <f>IFERROR(__xludf.DUMMYFUNCTION("""COMPUTED_VALUE"""),"Earnings report: revenue Miss, profit Miss, debt Worse, guidance Lowered.")</f>
        <v>Earnings report: revenue Miss, profit Miss, debt Worse, guidance Lowered.</v>
      </c>
      <c r="E1508" s="122" t="str">
        <f>IFERROR(__xludf.DUMMYFUNCTION("""COMPUTED_VALUE"""),"Negative")</f>
        <v>Negative</v>
      </c>
      <c r="F1508" s="122">
        <f>IFERROR(__xludf.DUMMYFUNCTION("""COMPUTED_VALUE"""),-0.02615864908891973)</f>
        <v>-0.02615864909</v>
      </c>
      <c r="G1508" s="122">
        <f>IFERROR(__xludf.DUMMYFUNCTION("""COMPUTED_VALUE"""),0.6539662272229932)</f>
        <v>0.6539662272</v>
      </c>
      <c r="H1508" s="122" t="str">
        <f>IFERROR(__xludf.DUMMYFUNCTION("""COMPUTED_VALUE"""),"Active")</f>
        <v>Active</v>
      </c>
    </row>
    <row r="1509">
      <c r="A1509" s="131">
        <f>IFERROR(__xludf.DUMMYFUNCTION("""COMPUTED_VALUE"""),46185.31790509259)</f>
        <v>46185.31791</v>
      </c>
      <c r="B1509" s="122" t="str">
        <f>IFERROR(__xludf.DUMMYFUNCTION("""COMPUTED_VALUE"""),"STRM")</f>
        <v>STRM</v>
      </c>
      <c r="C1509" s="122" t="str">
        <f>IFERROR(__xludf.DUMMYFUNCTION("""COMPUTED_VALUE"""),"Streamly releases earnings report: Beat profit, guidance Raised.")</f>
        <v>Streamly releases earnings report: Beat profit, guidance Raised.</v>
      </c>
      <c r="D150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09" s="122" t="str">
        <f>IFERROR(__xludf.DUMMYFUNCTION("""COMPUTED_VALUE"""),"Positive")</f>
        <v>Positive</v>
      </c>
      <c r="F1509" s="122">
        <f>IFERROR(__xludf.DUMMYFUNCTION("""COMPUTED_VALUE"""),0.04972175488194705)</f>
        <v>0.04972175488</v>
      </c>
      <c r="G1509" s="122">
        <f>IFERROR(__xludf.DUMMYFUNCTION("""COMPUTED_VALUE"""),1.2430438720486763)</f>
        <v>1.243043872</v>
      </c>
      <c r="H1509" s="122" t="str">
        <f>IFERROR(__xludf.DUMMYFUNCTION("""COMPUTED_VALUE"""),"Active")</f>
        <v>Active</v>
      </c>
    </row>
    <row r="1510">
      <c r="A1510" s="131">
        <f>IFERROR(__xludf.DUMMYFUNCTION("""COMPUTED_VALUE"""),46185.31795138889)</f>
        <v>46185.31795</v>
      </c>
      <c r="B1510" s="122" t="str">
        <f>IFERROR(__xludf.DUMMYFUNCTION("""COMPUTED_VALUE"""),"AIBO")</f>
        <v>AIBO</v>
      </c>
      <c r="C1510" s="122" t="str">
        <f>IFERROR(__xludf.DUMMYFUNCTION("""COMPUTED_VALUE"""),"Homework AI releases earnings report: Beat profit, guidance Maintained.")</f>
        <v>Homework AI releases earnings report: Beat profit, guidance Maintained.</v>
      </c>
      <c r="D1510" s="122" t="str">
        <f>IFERROR(__xludf.DUMMYFUNCTION("""COMPUTED_VALUE"""),"Earnings report: revenue Beat, profit Beat, debt Stable, guidance Maintained.")</f>
        <v>Earnings report: revenue Beat, profit Beat, debt Stable, guidance Maintained.</v>
      </c>
      <c r="E1510" s="122" t="str">
        <f>IFERROR(__xludf.DUMMYFUNCTION("""COMPUTED_VALUE"""),"Positive")</f>
        <v>Positive</v>
      </c>
      <c r="F1510" s="122">
        <f>IFERROR(__xludf.DUMMYFUNCTION("""COMPUTED_VALUE"""),0.017315208421820487)</f>
        <v>0.01731520842</v>
      </c>
      <c r="G1510" s="122">
        <f>IFERROR(__xludf.DUMMYFUNCTION("""COMPUTED_VALUE"""),0.4328802105455122)</f>
        <v>0.4328802105</v>
      </c>
      <c r="H1510" s="122" t="str">
        <f>IFERROR(__xludf.DUMMYFUNCTION("""COMPUTED_VALUE"""),"Active")</f>
        <v>Active</v>
      </c>
    </row>
    <row r="1511">
      <c r="A1511" s="131">
        <f>IFERROR(__xludf.DUMMYFUNCTION("""COMPUTED_VALUE"""),46185.31800925926)</f>
        <v>46185.31801</v>
      </c>
      <c r="B1511" s="122" t="str">
        <f>IFERROR(__xludf.DUMMYFUNCTION("""COMPUTED_VALUE"""),"IDOL")</f>
        <v>IDOL</v>
      </c>
      <c r="C1511" s="122" t="str">
        <f>IFERROR(__xludf.DUMMYFUNCTION("""COMPUTED_VALUE"""),"Idol Agency releases earnings report: Beat profit, guidance Raised.")</f>
        <v>Idol Agency releases earnings report: Beat profit, guidance Raised.</v>
      </c>
      <c r="D1511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11" s="122" t="str">
        <f>IFERROR(__xludf.DUMMYFUNCTION("""COMPUTED_VALUE"""),"Positive")</f>
        <v>Positive</v>
      </c>
      <c r="F1511" s="122">
        <f>IFERROR(__xludf.DUMMYFUNCTION("""COMPUTED_VALUE"""),0.04011704000622865)</f>
        <v>0.04011704001</v>
      </c>
      <c r="G1511" s="122">
        <f>IFERROR(__xludf.DUMMYFUNCTION("""COMPUTED_VALUE"""),1.0029260001557163)</f>
        <v>1.002926</v>
      </c>
      <c r="H1511" s="122" t="str">
        <f>IFERROR(__xludf.DUMMYFUNCTION("""COMPUTED_VALUE"""),"Active")</f>
        <v>Active</v>
      </c>
    </row>
    <row r="1512">
      <c r="A1512" s="131">
        <f>IFERROR(__xludf.DUMMYFUNCTION("""COMPUTED_VALUE"""),46185.3309375)</f>
        <v>46185.33094</v>
      </c>
      <c r="B1512" s="122" t="str">
        <f>IFERROR(__xludf.DUMMYFUNCTION("""COMPUTED_VALUE"""),"SNAX")</f>
        <v>SNAX</v>
      </c>
      <c r="C1512" s="122" t="str">
        <f>IFERROR(__xludf.DUMMYFUNCTION("""COMPUTED_VALUE"""),"MICA Snacks surges as demand rises across the Consumer Goods sector.")</f>
        <v>MICA Snacks surges as demand rises across the Consumer Goods sector.</v>
      </c>
      <c r="D1512" s="122" t="str">
        <f>IFERROR(__xludf.DUMMYFUNCTION("""COMPUTED_VALUE"""),"MICA Snacks is seeing strong demand, which may increase investor confidence.")</f>
        <v>MICA Snacks is seeing strong demand, which may increase investor confidence.</v>
      </c>
      <c r="E1512" s="122" t="str">
        <f>IFERROR(__xludf.DUMMYFUNCTION("""COMPUTED_VALUE"""),"Positive")</f>
        <v>Positive</v>
      </c>
      <c r="F1512" s="122">
        <f>IFERROR(__xludf.DUMMYFUNCTION("""COMPUTED_VALUE"""),0.03)</f>
        <v>0.03</v>
      </c>
      <c r="G1512" s="122">
        <f>IFERROR(__xludf.DUMMYFUNCTION("""COMPUTED_VALUE"""),1.0)</f>
        <v>1</v>
      </c>
      <c r="H1512" s="122" t="str">
        <f>IFERROR(__xludf.DUMMYFUNCTION("""COMPUTED_VALUE"""),"Active")</f>
        <v>Active</v>
      </c>
    </row>
    <row r="1513">
      <c r="A1513" s="131">
        <f>IFERROR(__xludf.DUMMYFUNCTION("""COMPUTED_VALUE"""),46185.33094907407)</f>
        <v>46185.33095</v>
      </c>
      <c r="B1513" s="122" t="str">
        <f>IFERROR(__xludf.DUMMYFUNCTION("""COMPUTED_VALUE"""),"RAMN")</f>
        <v>RAMN</v>
      </c>
      <c r="C1513" s="122" t="str">
        <f>IFERROR(__xludf.DUMMYFUNCTION("""COMPUTED_VALUE"""),"Ramen Republic remains stable as the Food market shows normal activity.")</f>
        <v>Ramen Republic remains stable as the Food market shows normal activity.</v>
      </c>
      <c r="D1513" s="122" t="str">
        <f>IFERROR(__xludf.DUMMYFUNCTION("""COMPUTED_VALUE"""),"Ramen Republic appears steady with no major changes reported.")</f>
        <v>Ramen Republic appears steady with no major changes reported.</v>
      </c>
      <c r="E1513" s="122" t="str">
        <f>IFERROR(__xludf.DUMMYFUNCTION("""COMPUTED_VALUE"""),"Neutral")</f>
        <v>Neutral</v>
      </c>
      <c r="F1513" s="122">
        <f>IFERROR(__xludf.DUMMYFUNCTION("""COMPUTED_VALUE"""),0.0)</f>
        <v>0</v>
      </c>
      <c r="G1513" s="122">
        <f>IFERROR(__xludf.DUMMYFUNCTION("""COMPUTED_VALUE"""),0.0)</f>
        <v>0</v>
      </c>
      <c r="H1513" s="122" t="str">
        <f>IFERROR(__xludf.DUMMYFUNCTION("""COMPUTED_VALUE"""),"Active")</f>
        <v>Active</v>
      </c>
    </row>
    <row r="1514">
      <c r="A1514" s="131">
        <f>IFERROR(__xludf.DUMMYFUNCTION("""COMPUTED_VALUE"""),46185.33096064815)</f>
        <v>46185.33096</v>
      </c>
      <c r="B1514" s="122" t="str">
        <f>IFERROR(__xludf.DUMMYFUNCTION("""COMPUTED_VALUE"""),"COLA")</f>
        <v>COLA</v>
      </c>
      <c r="C1514" s="122" t="str">
        <f>IFERROR(__xludf.DUMMYFUNCTION("""COMPUTED_VALUE"""),"K-Pop Cola remains stable as the Beverage market shows normal activity.")</f>
        <v>K-Pop Cola remains stable as the Beverage market shows normal activity.</v>
      </c>
      <c r="D1514" s="122" t="str">
        <f>IFERROR(__xludf.DUMMYFUNCTION("""COMPUTED_VALUE"""),"K-Pop Cola appears steady with no major changes reported.")</f>
        <v>K-Pop Cola appears steady with no major changes reported.</v>
      </c>
      <c r="E1514" s="122" t="str">
        <f>IFERROR(__xludf.DUMMYFUNCTION("""COMPUTED_VALUE"""),"Neutral")</f>
        <v>Neutral</v>
      </c>
      <c r="F1514" s="122">
        <f>IFERROR(__xludf.DUMMYFUNCTION("""COMPUTED_VALUE"""),0.0)</f>
        <v>0</v>
      </c>
      <c r="G1514" s="122">
        <f>IFERROR(__xludf.DUMMYFUNCTION("""COMPUTED_VALUE"""),0.0)</f>
        <v>0</v>
      </c>
      <c r="H1514" s="122" t="str">
        <f>IFERROR(__xludf.DUMMYFUNCTION("""COMPUTED_VALUE"""),"Active")</f>
        <v>Active</v>
      </c>
    </row>
    <row r="1515">
      <c r="A1515" s="131">
        <f>IFERROR(__xludf.DUMMYFUNCTION("""COMPUTED_VALUE"""),46185.33096064815)</f>
        <v>46185.33096</v>
      </c>
      <c r="B1515" s="122" t="str">
        <f>IFERROR(__xludf.DUMMYFUNCTION("""COMPUTED_VALUE"""),"CHIP")</f>
        <v>CHIP</v>
      </c>
      <c r="C1515" s="122" t="str">
        <f>IFERROR(__xludf.DUMMYFUNCTION("""COMPUTED_VALUE"""),"Chip Empire reports steady growth and improved market confidence.")</f>
        <v>Chip Empire reports steady growth and improved market confidence.</v>
      </c>
      <c r="D1515" s="122" t="str">
        <f>IFERROR(__xludf.DUMMYFUNCTION("""COMPUTED_VALUE"""),"Chip Empire continues to show positive momentum with moderate risk.")</f>
        <v>Chip Empire continues to show positive momentum with moderate risk.</v>
      </c>
      <c r="E1515" s="122" t="str">
        <f>IFERROR(__xludf.DUMMYFUNCTION("""COMPUTED_VALUE"""),"Positive")</f>
        <v>Positive</v>
      </c>
      <c r="F1515" s="122">
        <f>IFERROR(__xludf.DUMMYFUNCTION("""COMPUTED_VALUE"""),0.015)</f>
        <v>0.015</v>
      </c>
      <c r="G1515" s="122">
        <f>IFERROR(__xludf.DUMMYFUNCTION("""COMPUTED_VALUE"""),0.5)</f>
        <v>0.5</v>
      </c>
      <c r="H1515" s="122" t="str">
        <f>IFERROR(__xludf.DUMMYFUNCTION("""COMPUTED_VALUE"""),"Active")</f>
        <v>Active</v>
      </c>
    </row>
    <row r="1516">
      <c r="A1516" s="131">
        <f>IFERROR(__xludf.DUMMYFUNCTION("""COMPUTED_VALUE"""),46185.330972222226)</f>
        <v>46185.33097</v>
      </c>
      <c r="B1516" s="122" t="str">
        <f>IFERROR(__xludf.DUMMYFUNCTION("""COMPUTED_VALUE"""),"CAND")</f>
        <v>CAND</v>
      </c>
      <c r="C1516" s="122" t="str">
        <f>IFERROR(__xludf.DUMMYFUNCTION("""COMPUTED_VALUE"""),"Candy Capital reports steady growth and improved market confidence.")</f>
        <v>Candy Capital reports steady growth and improved market confidence.</v>
      </c>
      <c r="D1516" s="122" t="str">
        <f>IFERROR(__xludf.DUMMYFUNCTION("""COMPUTED_VALUE"""),"Candy Capital continues to show positive momentum with moderate risk.")</f>
        <v>Candy Capital continues to show positive momentum with moderate risk.</v>
      </c>
      <c r="E1516" s="122" t="str">
        <f>IFERROR(__xludf.DUMMYFUNCTION("""COMPUTED_VALUE"""),"Positive")</f>
        <v>Positive</v>
      </c>
      <c r="F1516" s="122">
        <f>IFERROR(__xludf.DUMMYFUNCTION("""COMPUTED_VALUE"""),0.015)</f>
        <v>0.015</v>
      </c>
      <c r="G1516" s="122">
        <f>IFERROR(__xludf.DUMMYFUNCTION("""COMPUTED_VALUE"""),0.5)</f>
        <v>0.5</v>
      </c>
      <c r="H1516" s="122" t="str">
        <f>IFERROR(__xludf.DUMMYFUNCTION("""COMPUTED_VALUE"""),"Active")</f>
        <v>Active</v>
      </c>
    </row>
    <row r="1517">
      <c r="A1517" s="131">
        <f>IFERROR(__xludf.DUMMYFUNCTION("""COMPUTED_VALUE"""),46185.330972222226)</f>
        <v>46185.33097</v>
      </c>
      <c r="B1517" s="122" t="str">
        <f>IFERROR(__xludf.DUMMYFUNCTION("""COMPUTED_VALUE"""),"TECH")</f>
        <v>TECH</v>
      </c>
      <c r="C1517" s="122" t="str">
        <f>IFERROR(__xludf.DUMMYFUNCTION("""COMPUTED_VALUE"""),"Dragon Tech remains stable as the Technology market shows normal activity.")</f>
        <v>Dragon Tech remains stable as the Technology market shows normal activity.</v>
      </c>
      <c r="D1517" s="122" t="str">
        <f>IFERROR(__xludf.DUMMYFUNCTION("""COMPUTED_VALUE"""),"Dragon Tech appears steady with no major changes reported.")</f>
        <v>Dragon Tech appears steady with no major changes reported.</v>
      </c>
      <c r="E1517" s="122" t="str">
        <f>IFERROR(__xludf.DUMMYFUNCTION("""COMPUTED_VALUE"""),"Neutral")</f>
        <v>Neutral</v>
      </c>
      <c r="F1517" s="122">
        <f>IFERROR(__xludf.DUMMYFUNCTION("""COMPUTED_VALUE"""),0.0)</f>
        <v>0</v>
      </c>
      <c r="G1517" s="122">
        <f>IFERROR(__xludf.DUMMYFUNCTION("""COMPUTED_VALUE"""),0.0)</f>
        <v>0</v>
      </c>
      <c r="H1517" s="122" t="str">
        <f>IFERROR(__xludf.DUMMYFUNCTION("""COMPUTED_VALUE"""),"Active")</f>
        <v>Active</v>
      </c>
    </row>
    <row r="1518">
      <c r="A1518" s="131">
        <f>IFERROR(__xludf.DUMMYFUNCTION("""COMPUTED_VALUE"""),46185.330983796295)</f>
        <v>46185.33098</v>
      </c>
      <c r="B1518" s="122" t="str">
        <f>IFERROR(__xludf.DUMMYFUNCTION("""COMPUTED_VALUE"""),"AIBO")</f>
        <v>AIBO</v>
      </c>
      <c r="C1518" s="122" t="str">
        <f>IFERROR(__xludf.DUMMYFUNCTION("""COMPUTED_VALUE"""),"Homework AI drops sharply after major concerns hit the market.")</f>
        <v>Homework AI drops sharply after major concerns hit the market.</v>
      </c>
      <c r="D1518" s="122" t="str">
        <f>IFERROR(__xludf.DUMMYFUNCTION("""COMPUTED_VALUE"""),"Homework AI is under pressure as investors react to worsening conditions.")</f>
        <v>Homework AI is under pressure as investors react to worsening conditions.</v>
      </c>
      <c r="E1518" s="122" t="str">
        <f>IFERROR(__xludf.DUMMYFUNCTION("""COMPUTED_VALUE"""),"Negative")</f>
        <v>Negative</v>
      </c>
      <c r="F1518" s="122">
        <f>IFERROR(__xludf.DUMMYFUNCTION("""COMPUTED_VALUE"""),-0.04)</f>
        <v>-0.04</v>
      </c>
      <c r="G1518" s="122">
        <f>IFERROR(__xludf.DUMMYFUNCTION("""COMPUTED_VALUE"""),2.0)</f>
        <v>2</v>
      </c>
      <c r="H1518" s="122" t="str">
        <f>IFERROR(__xludf.DUMMYFUNCTION("""COMPUTED_VALUE"""),"Active")</f>
        <v>Active</v>
      </c>
    </row>
    <row r="1519">
      <c r="A1519" s="131">
        <f>IFERROR(__xludf.DUMMYFUNCTION("""COMPUTED_VALUE"""),46185.33099537037)</f>
        <v>46185.331</v>
      </c>
      <c r="B1519" s="122" t="str">
        <f>IFERROR(__xludf.DUMMYFUNCTION("""COMPUTED_VALUE"""),"GAME")</f>
        <v>GAME</v>
      </c>
      <c r="C1519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1519" s="122" t="str">
        <f>IFERROR(__xludf.DUMMYFUNCTION("""COMPUTED_VALUE"""),"GameBox Media appears steady with no major changes reported.")</f>
        <v>GameBox Media appears steady with no major changes reported.</v>
      </c>
      <c r="E1519" s="122" t="str">
        <f>IFERROR(__xludf.DUMMYFUNCTION("""COMPUTED_VALUE"""),"Neutral")</f>
        <v>Neutral</v>
      </c>
      <c r="F1519" s="122">
        <f>IFERROR(__xludf.DUMMYFUNCTION("""COMPUTED_VALUE"""),0.0)</f>
        <v>0</v>
      </c>
      <c r="G1519" s="122">
        <f>IFERROR(__xludf.DUMMYFUNCTION("""COMPUTED_VALUE"""),0.0)</f>
        <v>0</v>
      </c>
      <c r="H1519" s="122" t="str">
        <f>IFERROR(__xludf.DUMMYFUNCTION("""COMPUTED_VALUE"""),"Active")</f>
        <v>Active</v>
      </c>
    </row>
    <row r="1520">
      <c r="A1520" s="131">
        <f>IFERROR(__xludf.DUMMYFUNCTION("""COMPUTED_VALUE"""),46185.33099537037)</f>
        <v>46185.331</v>
      </c>
      <c r="B1520" s="122" t="str">
        <f>IFERROR(__xludf.DUMMYFUNCTION("""COMPUTED_VALUE"""),"VRSE")</f>
        <v>VRSE</v>
      </c>
      <c r="C1520" s="122" t="str">
        <f>IFERROR(__xludf.DUMMYFUNCTION("""COMPUTED_VALUE"""),"VerseVR remains stable as the Technology market shows normal activity.")</f>
        <v>VerseVR remains stable as the Technology market shows normal activity.</v>
      </c>
      <c r="D1520" s="122" t="str">
        <f>IFERROR(__xludf.DUMMYFUNCTION("""COMPUTED_VALUE"""),"VerseVR appears steady with no major changes reported.")</f>
        <v>VerseVR appears steady with no major changes reported.</v>
      </c>
      <c r="E1520" s="122" t="str">
        <f>IFERROR(__xludf.DUMMYFUNCTION("""COMPUTED_VALUE"""),"Neutral")</f>
        <v>Neutral</v>
      </c>
      <c r="F1520" s="122">
        <f>IFERROR(__xludf.DUMMYFUNCTION("""COMPUTED_VALUE"""),0.0)</f>
        <v>0</v>
      </c>
      <c r="G1520" s="122">
        <f>IFERROR(__xludf.DUMMYFUNCTION("""COMPUTED_VALUE"""),0.0)</f>
        <v>0</v>
      </c>
      <c r="H1520" s="122" t="str">
        <f>IFERROR(__xludf.DUMMYFUNCTION("""COMPUTED_VALUE"""),"Active")</f>
        <v>Active</v>
      </c>
    </row>
    <row r="1521">
      <c r="A1521" s="131">
        <f>IFERROR(__xludf.DUMMYFUNCTION("""COMPUTED_VALUE"""),46185.33100694444)</f>
        <v>46185.33101</v>
      </c>
      <c r="B1521" s="122" t="str">
        <f>IFERROR(__xludf.DUMMYFUNCTION("""COMPUTED_VALUE"""),"BYTE")</f>
        <v>BYTE</v>
      </c>
      <c r="C1521" s="122" t="str">
        <f>IFERROR(__xludf.DUMMYFUNCTION("""COMPUTED_VALUE"""),"ByteWorks drops sharply after major concerns hit the market.")</f>
        <v>ByteWorks drops sharply after major concerns hit the market.</v>
      </c>
      <c r="D1521" s="122" t="str">
        <f>IFERROR(__xludf.DUMMYFUNCTION("""COMPUTED_VALUE"""),"ByteWorks is under pressure as investors react to worsening conditions.")</f>
        <v>ByteWorks is under pressure as investors react to worsening conditions.</v>
      </c>
      <c r="E1521" s="122" t="str">
        <f>IFERROR(__xludf.DUMMYFUNCTION("""COMPUTED_VALUE"""),"Negative")</f>
        <v>Negative</v>
      </c>
      <c r="F1521" s="122">
        <f>IFERROR(__xludf.DUMMYFUNCTION("""COMPUTED_VALUE"""),-0.04)</f>
        <v>-0.04</v>
      </c>
      <c r="G1521" s="122">
        <f>IFERROR(__xludf.DUMMYFUNCTION("""COMPUTED_VALUE"""),2.0)</f>
        <v>2</v>
      </c>
      <c r="H1521" s="122" t="str">
        <f>IFERROR(__xludf.DUMMYFUNCTION("""COMPUTED_VALUE"""),"Active")</f>
        <v>Active</v>
      </c>
    </row>
    <row r="1522">
      <c r="A1522" s="131">
        <f>IFERROR(__xludf.DUMMYFUNCTION("""COMPUTED_VALUE"""),46185.33100694444)</f>
        <v>46185.33101</v>
      </c>
      <c r="B1522" s="122" t="str">
        <f>IFERROR(__xludf.DUMMYFUNCTION("""COMPUTED_VALUE"""),"BANK")</f>
        <v>BANK</v>
      </c>
      <c r="C1522" s="122" t="str">
        <f>IFERROR(__xludf.DUMMYFUNCTION("""COMPUTED_VALUE"""),"Tiger Bank remains stable as the Finance market shows normal activity.")</f>
        <v>Tiger Bank remains stable as the Finance market shows normal activity.</v>
      </c>
      <c r="D1522" s="122" t="str">
        <f>IFERROR(__xludf.DUMMYFUNCTION("""COMPUTED_VALUE"""),"Tiger Bank appears steady with no major changes reported.")</f>
        <v>Tiger Bank appears steady with no major changes reported.</v>
      </c>
      <c r="E1522" s="122" t="str">
        <f>IFERROR(__xludf.DUMMYFUNCTION("""COMPUTED_VALUE"""),"Neutral")</f>
        <v>Neutral</v>
      </c>
      <c r="F1522" s="122">
        <f>IFERROR(__xludf.DUMMYFUNCTION("""COMPUTED_VALUE"""),0.0)</f>
        <v>0</v>
      </c>
      <c r="G1522" s="122">
        <f>IFERROR(__xludf.DUMMYFUNCTION("""COMPUTED_VALUE"""),0.0)</f>
        <v>0</v>
      </c>
      <c r="H1522" s="122" t="str">
        <f>IFERROR(__xludf.DUMMYFUNCTION("""COMPUTED_VALUE"""),"Active")</f>
        <v>Active</v>
      </c>
    </row>
    <row r="1523">
      <c r="A1523" s="131">
        <f>IFERROR(__xludf.DUMMYFUNCTION("""COMPUTED_VALUE"""),46185.33101851852)</f>
        <v>46185.33102</v>
      </c>
      <c r="B1523" s="122" t="str">
        <f>IFERROR(__xludf.DUMMYFUNCTION("""COMPUTED_VALUE"""),"CRED")</f>
        <v>CRED</v>
      </c>
      <c r="C1523" s="122" t="str">
        <f>IFERROR(__xludf.DUMMYFUNCTION("""COMPUTED_VALUE"""),"Credit Castle faces weaker demand and cautious investor sentiment.")</f>
        <v>Credit Castle faces weaker demand and cautious investor sentiment.</v>
      </c>
      <c r="D1523" s="122" t="str">
        <f>IFERROR(__xludf.DUMMYFUNCTION("""COMPUTED_VALUE"""),"Investors are watching Credit Castle closely as demand weakens.")</f>
        <v>Investors are watching Credit Castle closely as demand weakens.</v>
      </c>
      <c r="E1523" s="122" t="str">
        <f>IFERROR(__xludf.DUMMYFUNCTION("""COMPUTED_VALUE"""),"Negative")</f>
        <v>Negative</v>
      </c>
      <c r="F1523" s="122">
        <f>IFERROR(__xludf.DUMMYFUNCTION("""COMPUTED_VALUE"""),-0.015)</f>
        <v>-0.015</v>
      </c>
      <c r="G1523" s="122">
        <f>IFERROR(__xludf.DUMMYFUNCTION("""COMPUTED_VALUE"""),0.75)</f>
        <v>0.75</v>
      </c>
      <c r="H1523" s="122" t="str">
        <f>IFERROR(__xludf.DUMMYFUNCTION("""COMPUTED_VALUE"""),"Active")</f>
        <v>Active</v>
      </c>
    </row>
    <row r="1524">
      <c r="A1524" s="131">
        <f>IFERROR(__xludf.DUMMYFUNCTION("""COMPUTED_VALUE"""),46185.331030092595)</f>
        <v>46185.33103</v>
      </c>
      <c r="B1524" s="122" t="str">
        <f>IFERROR(__xludf.DUMMYFUNCTION("""COMPUTED_VALUE"""),"BOND")</f>
        <v>BOND</v>
      </c>
      <c r="C1524" s="122" t="str">
        <f>IFERROR(__xludf.DUMMYFUNCTION("""COMPUTED_VALUE"""),"BondBridge remains stable as the Finance market shows normal activity.")</f>
        <v>BondBridge remains stable as the Finance market shows normal activity.</v>
      </c>
      <c r="D1524" s="122" t="str">
        <f>IFERROR(__xludf.DUMMYFUNCTION("""COMPUTED_VALUE"""),"BondBridge appears steady with no major changes reported.")</f>
        <v>BondBridge appears steady with no major changes reported.</v>
      </c>
      <c r="E1524" s="122" t="str">
        <f>IFERROR(__xludf.DUMMYFUNCTION("""COMPUTED_VALUE"""),"Neutral")</f>
        <v>Neutral</v>
      </c>
      <c r="F1524" s="122">
        <f>IFERROR(__xludf.DUMMYFUNCTION("""COMPUTED_VALUE"""),0.0)</f>
        <v>0</v>
      </c>
      <c r="G1524" s="122">
        <f>IFERROR(__xludf.DUMMYFUNCTION("""COMPUTED_VALUE"""),0.0)</f>
        <v>0</v>
      </c>
      <c r="H1524" s="122" t="str">
        <f>IFERROR(__xludf.DUMMYFUNCTION("""COMPUTED_VALUE"""),"Active")</f>
        <v>Active</v>
      </c>
    </row>
    <row r="1525">
      <c r="A1525" s="131">
        <f>IFERROR(__xludf.DUMMYFUNCTION("""COMPUTED_VALUE"""),46185.331030092595)</f>
        <v>46185.33103</v>
      </c>
      <c r="B1525" s="122" t="str">
        <f>IFERROR(__xludf.DUMMYFUNCTION("""COMPUTED_VALUE"""),"INSR")</f>
        <v>INSR</v>
      </c>
      <c r="C1525" s="122" t="str">
        <f>IFERROR(__xludf.DUMMYFUNCTION("""COMPUTED_VALUE"""),"Shield Insurance surges as demand rises across the Finance sector.")</f>
        <v>Shield Insurance surges as demand rises across the Finance sector.</v>
      </c>
      <c r="D1525" s="122" t="str">
        <f>IFERROR(__xludf.DUMMYFUNCTION("""COMPUTED_VALUE"""),"Shield Insurance is seeing strong demand, which may increase investor confidence.")</f>
        <v>Shield Insurance is seeing strong demand, which may increase investor confidence.</v>
      </c>
      <c r="E1525" s="122" t="str">
        <f>IFERROR(__xludf.DUMMYFUNCTION("""COMPUTED_VALUE"""),"Positive")</f>
        <v>Positive</v>
      </c>
      <c r="F1525" s="122">
        <f>IFERROR(__xludf.DUMMYFUNCTION("""COMPUTED_VALUE"""),0.03)</f>
        <v>0.03</v>
      </c>
      <c r="G1525" s="122">
        <f>IFERROR(__xludf.DUMMYFUNCTION("""COMPUTED_VALUE"""),1.0)</f>
        <v>1</v>
      </c>
      <c r="H1525" s="122" t="str">
        <f>IFERROR(__xludf.DUMMYFUNCTION("""COMPUTED_VALUE"""),"Active")</f>
        <v>Active</v>
      </c>
    </row>
    <row r="1526">
      <c r="A1526" s="131">
        <f>IFERROR(__xludf.DUMMYFUNCTION("""COMPUTED_VALUE"""),46185.331041666665)</f>
        <v>46185.33104</v>
      </c>
      <c r="B1526" s="122" t="str">
        <f>IFERROR(__xludf.DUMMYFUNCTION("""COMPUTED_VALUE"""),"LOAN")</f>
        <v>LOAN</v>
      </c>
      <c r="C1526" s="122" t="str">
        <f>IFERROR(__xludf.DUMMYFUNCTION("""COMPUTED_VALUE"""),"LoanLab drops sharply after major concerns hit the market.")</f>
        <v>LoanLab drops sharply after major concerns hit the market.</v>
      </c>
      <c r="D1526" s="122" t="str">
        <f>IFERROR(__xludf.DUMMYFUNCTION("""COMPUTED_VALUE"""),"LoanLab is under pressure as investors react to worsening conditions.")</f>
        <v>LoanLab is under pressure as investors react to worsening conditions.</v>
      </c>
      <c r="E1526" s="122" t="str">
        <f>IFERROR(__xludf.DUMMYFUNCTION("""COMPUTED_VALUE"""),"Negative")</f>
        <v>Negative</v>
      </c>
      <c r="F1526" s="122">
        <f>IFERROR(__xludf.DUMMYFUNCTION("""COMPUTED_VALUE"""),-0.04)</f>
        <v>-0.04</v>
      </c>
      <c r="G1526" s="122">
        <f>IFERROR(__xludf.DUMMYFUNCTION("""COMPUTED_VALUE"""),2.0)</f>
        <v>2</v>
      </c>
      <c r="H1526" s="122" t="str">
        <f>IFERROR(__xludf.DUMMYFUNCTION("""COMPUTED_VALUE"""),"Active")</f>
        <v>Active</v>
      </c>
    </row>
    <row r="1527">
      <c r="A1527" s="131">
        <f>IFERROR(__xludf.DUMMYFUNCTION("""COMPUTED_VALUE"""),46185.331041666665)</f>
        <v>46185.33104</v>
      </c>
      <c r="B1527" s="122" t="str">
        <f>IFERROR(__xludf.DUMMYFUNCTION("""COMPUTED_VALUE"""),"LUXE")</f>
        <v>LUXE</v>
      </c>
      <c r="C1527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1527" s="122" t="str">
        <f>IFERROR(__xludf.DUMMYFUNCTION("""COMPUTED_VALUE"""),"Luxury Locker appears steady with no major changes reported.")</f>
        <v>Luxury Locker appears steady with no major changes reported.</v>
      </c>
      <c r="E1527" s="122" t="str">
        <f>IFERROR(__xludf.DUMMYFUNCTION("""COMPUTED_VALUE"""),"Neutral")</f>
        <v>Neutral</v>
      </c>
      <c r="F1527" s="122">
        <f>IFERROR(__xludf.DUMMYFUNCTION("""COMPUTED_VALUE"""),0.0)</f>
        <v>0</v>
      </c>
      <c r="G1527" s="122">
        <f>IFERROR(__xludf.DUMMYFUNCTION("""COMPUTED_VALUE"""),0.0)</f>
        <v>0</v>
      </c>
      <c r="H1527" s="122" t="str">
        <f>IFERROR(__xludf.DUMMYFUNCTION("""COMPUTED_VALUE"""),"Active")</f>
        <v>Active</v>
      </c>
    </row>
    <row r="1528">
      <c r="A1528" s="131">
        <f>IFERROR(__xludf.DUMMYFUNCTION("""COMPUTED_VALUE"""),46185.33105324074)</f>
        <v>46185.33105</v>
      </c>
      <c r="B1528" s="122" t="str">
        <f>IFERROR(__xludf.DUMMYFUNCTION("""COMPUTED_VALUE"""),"DRIP")</f>
        <v>DRIP</v>
      </c>
      <c r="C1528" s="122" t="str">
        <f>IFERROR(__xludf.DUMMYFUNCTION("""COMPUTED_VALUE"""),"Drip Streetwear surges as demand rises across the Fashion sector.")</f>
        <v>Drip Streetwear surges as demand rises across the Fashion sector.</v>
      </c>
      <c r="D1528" s="122" t="str">
        <f>IFERROR(__xludf.DUMMYFUNCTION("""COMPUTED_VALUE"""),"Drip Streetwear is seeing strong demand, which may increase investor confidence.")</f>
        <v>Drip Streetwear is seeing strong demand, which may increase investor confidence.</v>
      </c>
      <c r="E1528" s="122" t="str">
        <f>IFERROR(__xludf.DUMMYFUNCTION("""COMPUTED_VALUE"""),"Positive")</f>
        <v>Positive</v>
      </c>
      <c r="F1528" s="122">
        <f>IFERROR(__xludf.DUMMYFUNCTION("""COMPUTED_VALUE"""),0.03)</f>
        <v>0.03</v>
      </c>
      <c r="G1528" s="122">
        <f>IFERROR(__xludf.DUMMYFUNCTION("""COMPUTED_VALUE"""),1.0)</f>
        <v>1</v>
      </c>
      <c r="H1528" s="122" t="str">
        <f>IFERROR(__xludf.DUMMYFUNCTION("""COMPUTED_VALUE"""),"Active")</f>
        <v>Active</v>
      </c>
    </row>
    <row r="1529">
      <c r="A1529" s="131">
        <f>IFERROR(__xludf.DUMMYFUNCTION("""COMPUTED_VALUE"""),46185.33105324074)</f>
        <v>46185.33105</v>
      </c>
      <c r="B1529" s="122" t="str">
        <f>IFERROR(__xludf.DUMMYFUNCTION("""COMPUTED_VALUE"""),"KICK")</f>
        <v>KICK</v>
      </c>
      <c r="C1529" s="122" t="str">
        <f>IFERROR(__xludf.DUMMYFUNCTION("""COMPUTED_VALUE"""),"KickDrop Sneakers reports steady growth and improved market confidence.")</f>
        <v>KickDrop Sneakers reports steady growth and improved market confidence.</v>
      </c>
      <c r="D1529" s="122" t="str">
        <f>IFERROR(__xludf.DUMMYFUNCTION("""COMPUTED_VALUE"""),"KickDrop Sneakers continues to show positive momentum with moderate risk.")</f>
        <v>KickDrop Sneakers continues to show positive momentum with moderate risk.</v>
      </c>
      <c r="E1529" s="122" t="str">
        <f>IFERROR(__xludf.DUMMYFUNCTION("""COMPUTED_VALUE"""),"Positive")</f>
        <v>Positive</v>
      </c>
      <c r="F1529" s="122">
        <f>IFERROR(__xludf.DUMMYFUNCTION("""COMPUTED_VALUE"""),0.015)</f>
        <v>0.015</v>
      </c>
      <c r="G1529" s="122">
        <f>IFERROR(__xludf.DUMMYFUNCTION("""COMPUTED_VALUE"""),0.5)</f>
        <v>0.5</v>
      </c>
      <c r="H1529" s="122" t="str">
        <f>IFERROR(__xludf.DUMMYFUNCTION("""COMPUTED_VALUE"""),"Active")</f>
        <v>Active</v>
      </c>
    </row>
    <row r="1530">
      <c r="A1530" s="131">
        <f>IFERROR(__xludf.DUMMYFUNCTION("""COMPUTED_VALUE"""),46185.33106481482)</f>
        <v>46185.33106</v>
      </c>
      <c r="B1530" s="122" t="str">
        <f>IFERROR(__xludf.DUMMYFUNCTION("""COMPUTED_VALUE"""),"GLAM")</f>
        <v>GLAM</v>
      </c>
      <c r="C1530" s="122" t="str">
        <f>IFERROR(__xludf.DUMMYFUNCTION("""COMPUTED_VALUE"""),"Glow Cosmetics sees uncertain trading as investors react to mixed signals.")</f>
        <v>Glow Cosmetics sees uncertain trading as investors react to mixed signals.</v>
      </c>
      <c r="D1530" s="122" t="str">
        <f>IFERROR(__xludf.DUMMYFUNCTION("""COMPUTED_VALUE"""),"Glow Cosmetics may experience larger price swings as investors disagree on direction.")</f>
        <v>Glow Cosmetics may experience larger price swings as investors disagree on direction.</v>
      </c>
      <c r="E1530" s="122" t="str">
        <f>IFERROR(__xludf.DUMMYFUNCTION("""COMPUTED_VALUE"""),"Mixed")</f>
        <v>Mixed</v>
      </c>
      <c r="F1530" s="122">
        <f>IFERROR(__xludf.DUMMYFUNCTION("""COMPUTED_VALUE"""),-0.0027027232719851885)</f>
        <v>-0.002702723272</v>
      </c>
      <c r="G1530" s="122">
        <f>IFERROR(__xludf.DUMMYFUNCTION("""COMPUTED_VALUE"""),1.5)</f>
        <v>1.5</v>
      </c>
      <c r="H1530" s="122" t="str">
        <f>IFERROR(__xludf.DUMMYFUNCTION("""COMPUTED_VALUE"""),"Active")</f>
        <v>Active</v>
      </c>
    </row>
    <row r="1531">
      <c r="A1531" s="131">
        <f>IFERROR(__xludf.DUMMYFUNCTION("""COMPUTED_VALUE"""),46185.33106481482)</f>
        <v>46185.33106</v>
      </c>
      <c r="B1531" s="122" t="str">
        <f>IFERROR(__xludf.DUMMYFUNCTION("""COMPUTED_VALUE"""),"BAGG")</f>
        <v>BAGG</v>
      </c>
      <c r="C1531" s="122" t="str">
        <f>IFERROR(__xludf.DUMMYFUNCTION("""COMPUTED_VALUE"""),"BagVault faces weaker demand and cautious investor sentiment.")</f>
        <v>BagVault faces weaker demand and cautious investor sentiment.</v>
      </c>
      <c r="D1531" s="122" t="str">
        <f>IFERROR(__xludf.DUMMYFUNCTION("""COMPUTED_VALUE"""),"Investors are watching BagVault closely as demand weakens.")</f>
        <v>Investors are watching BagVault closely as demand weakens.</v>
      </c>
      <c r="E1531" s="122" t="str">
        <f>IFERROR(__xludf.DUMMYFUNCTION("""COMPUTED_VALUE"""),"Negative")</f>
        <v>Negative</v>
      </c>
      <c r="F1531" s="122">
        <f>IFERROR(__xludf.DUMMYFUNCTION("""COMPUTED_VALUE"""),-0.015)</f>
        <v>-0.015</v>
      </c>
      <c r="G1531" s="122">
        <f>IFERROR(__xludf.DUMMYFUNCTION("""COMPUTED_VALUE"""),0.75)</f>
        <v>0.75</v>
      </c>
      <c r="H1531" s="122" t="str">
        <f>IFERROR(__xludf.DUMMYFUNCTION("""COMPUTED_VALUE"""),"Active")</f>
        <v>Active</v>
      </c>
    </row>
    <row r="1532">
      <c r="A1532" s="131">
        <f>IFERROR(__xludf.DUMMYFUNCTION("""COMPUTED_VALUE"""),46185.33107638889)</f>
        <v>46185.33108</v>
      </c>
      <c r="B1532" s="122" t="str">
        <f>IFERROR(__xludf.DUMMYFUNCTION("""COMPUTED_VALUE"""),"FAST")</f>
        <v>FAST</v>
      </c>
      <c r="C1532" s="122" t="str">
        <f>IFERROR(__xludf.DUMMYFUNCTION("""COMPUTED_VALUE"""),"Flash Logistics sees uncertain trading as investors react to mixed signals.")</f>
        <v>Flash Logistics sees uncertain trading as investors react to mixed signals.</v>
      </c>
      <c r="D1532" s="122" t="str">
        <f>IFERROR(__xludf.DUMMYFUNCTION("""COMPUTED_VALUE"""),"Flash Logistics may experience larger price swings as investors disagree on direction.")</f>
        <v>Flash Logistics may experience larger price swings as investors disagree on direction.</v>
      </c>
      <c r="E1532" s="122" t="str">
        <f>IFERROR(__xludf.DUMMYFUNCTION("""COMPUTED_VALUE"""),"Mixed")</f>
        <v>Mixed</v>
      </c>
      <c r="F1532" s="122">
        <f>IFERROR(__xludf.DUMMYFUNCTION("""COMPUTED_VALUE"""),-0.005977564529197199)</f>
        <v>-0.005977564529</v>
      </c>
      <c r="G1532" s="122">
        <f>IFERROR(__xludf.DUMMYFUNCTION("""COMPUTED_VALUE"""),1.5)</f>
        <v>1.5</v>
      </c>
      <c r="H1532" s="122" t="str">
        <f>IFERROR(__xludf.DUMMYFUNCTION("""COMPUTED_VALUE"""),"Active")</f>
        <v>Active</v>
      </c>
    </row>
    <row r="1533">
      <c r="A1533" s="131">
        <f>IFERROR(__xludf.DUMMYFUNCTION("""COMPUTED_VALUE"""),46185.33107638889)</f>
        <v>46185.33108</v>
      </c>
      <c r="B1533" s="122" t="str">
        <f>IFERROR(__xludf.DUMMYFUNCTION("""COMPUTED_VALUE"""),"SHIP")</f>
        <v>SHIP</v>
      </c>
      <c r="C1533" s="122" t="str">
        <f>IFERROR(__xludf.DUMMYFUNCTION("""COMPUTED_VALUE"""),"Seoul Shipping reports steady growth and improved market confidence.")</f>
        <v>Seoul Shipping reports steady growth and improved market confidence.</v>
      </c>
      <c r="D1533" s="122" t="str">
        <f>IFERROR(__xludf.DUMMYFUNCTION("""COMPUTED_VALUE"""),"Seoul Shipping continues to show positive momentum with moderate risk.")</f>
        <v>Seoul Shipping continues to show positive momentum with moderate risk.</v>
      </c>
      <c r="E1533" s="122" t="str">
        <f>IFERROR(__xludf.DUMMYFUNCTION("""COMPUTED_VALUE"""),"Positive")</f>
        <v>Positive</v>
      </c>
      <c r="F1533" s="122">
        <f>IFERROR(__xludf.DUMMYFUNCTION("""COMPUTED_VALUE"""),0.015)</f>
        <v>0.015</v>
      </c>
      <c r="G1533" s="122">
        <f>IFERROR(__xludf.DUMMYFUNCTION("""COMPUTED_VALUE"""),0.5)</f>
        <v>0.5</v>
      </c>
      <c r="H1533" s="122" t="str">
        <f>IFERROR(__xludf.DUMMYFUNCTION("""COMPUTED_VALUE"""),"Active")</f>
        <v>Active</v>
      </c>
    </row>
    <row r="1534">
      <c r="A1534" s="131">
        <f>IFERROR(__xludf.DUMMYFUNCTION("""COMPUTED_VALUE"""),46185.331087962964)</f>
        <v>46185.33109</v>
      </c>
      <c r="B1534" s="122" t="str">
        <f>IFERROR(__xludf.DUMMYFUNCTION("""COMPUTED_VALUE"""),"DRON")</f>
        <v>DRON</v>
      </c>
      <c r="C1534" s="122" t="str">
        <f>IFERROR(__xludf.DUMMYFUNCTION("""COMPUTED_VALUE"""),"DroneDrop remains stable as the Logistics market shows normal activity.")</f>
        <v>DroneDrop remains stable as the Logistics market shows normal activity.</v>
      </c>
      <c r="D1534" s="122" t="str">
        <f>IFERROR(__xludf.DUMMYFUNCTION("""COMPUTED_VALUE"""),"DroneDrop appears steady with no major changes reported.")</f>
        <v>DroneDrop appears steady with no major changes reported.</v>
      </c>
      <c r="E1534" s="122" t="str">
        <f>IFERROR(__xludf.DUMMYFUNCTION("""COMPUTED_VALUE"""),"Neutral")</f>
        <v>Neutral</v>
      </c>
      <c r="F1534" s="122">
        <f>IFERROR(__xludf.DUMMYFUNCTION("""COMPUTED_VALUE"""),0.0)</f>
        <v>0</v>
      </c>
      <c r="G1534" s="122">
        <f>IFERROR(__xludf.DUMMYFUNCTION("""COMPUTED_VALUE"""),0.0)</f>
        <v>0</v>
      </c>
      <c r="H1534" s="122" t="str">
        <f>IFERROR(__xludf.DUMMYFUNCTION("""COMPUTED_VALUE"""),"Active")</f>
        <v>Active</v>
      </c>
    </row>
    <row r="1535">
      <c r="A1535" s="131">
        <f>IFERROR(__xludf.DUMMYFUNCTION("""COMPUTED_VALUE"""),46185.331099537034)</f>
        <v>46185.3311</v>
      </c>
      <c r="B1535" s="122" t="str">
        <f>IFERROR(__xludf.DUMMYFUNCTION("""COMPUTED_VALUE"""),"RIDE")</f>
        <v>RIDE</v>
      </c>
      <c r="C1535" s="122" t="str">
        <f>IFERROR(__xludf.DUMMYFUNCTION("""COMPUTED_VALUE"""),"QuickRide reports steady growth and improved market confidence.")</f>
        <v>QuickRide reports steady growth and improved market confidence.</v>
      </c>
      <c r="D1535" s="122" t="str">
        <f>IFERROR(__xludf.DUMMYFUNCTION("""COMPUTED_VALUE"""),"QuickRide continues to show positive momentum with moderate risk.")</f>
        <v>QuickRide continues to show positive momentum with moderate risk.</v>
      </c>
      <c r="E1535" s="122" t="str">
        <f>IFERROR(__xludf.DUMMYFUNCTION("""COMPUTED_VALUE"""),"Positive")</f>
        <v>Positive</v>
      </c>
      <c r="F1535" s="122">
        <f>IFERROR(__xludf.DUMMYFUNCTION("""COMPUTED_VALUE"""),0.015)</f>
        <v>0.015</v>
      </c>
      <c r="G1535" s="122">
        <f>IFERROR(__xludf.DUMMYFUNCTION("""COMPUTED_VALUE"""),0.5)</f>
        <v>0.5</v>
      </c>
      <c r="H1535" s="122" t="str">
        <f>IFERROR(__xludf.DUMMYFUNCTION("""COMPUTED_VALUE"""),"Active")</f>
        <v>Active</v>
      </c>
    </row>
    <row r="1536">
      <c r="A1536" s="131">
        <f>IFERROR(__xludf.DUMMYFUNCTION("""COMPUTED_VALUE"""),46185.33111111111)</f>
        <v>46185.33111</v>
      </c>
      <c r="B1536" s="122" t="str">
        <f>IFERROR(__xludf.DUMMYFUNCTION("""COMPUTED_VALUE"""),"RAIL")</f>
        <v>RAIL</v>
      </c>
      <c r="C1536" s="122" t="str">
        <f>IFERROR(__xludf.DUMMYFUNCTION("""COMPUTED_VALUE"""),"MetroRail Corp faces weaker demand and cautious investor sentiment.")</f>
        <v>MetroRail Corp faces weaker demand and cautious investor sentiment.</v>
      </c>
      <c r="D1536" s="122" t="str">
        <f>IFERROR(__xludf.DUMMYFUNCTION("""COMPUTED_VALUE"""),"Investors are watching MetroRail Corp closely as demand weakens.")</f>
        <v>Investors are watching MetroRail Corp closely as demand weakens.</v>
      </c>
      <c r="E1536" s="122" t="str">
        <f>IFERROR(__xludf.DUMMYFUNCTION("""COMPUTED_VALUE"""),"Negative")</f>
        <v>Negative</v>
      </c>
      <c r="F1536" s="122">
        <f>IFERROR(__xludf.DUMMYFUNCTION("""COMPUTED_VALUE"""),-0.015)</f>
        <v>-0.015</v>
      </c>
      <c r="G1536" s="122">
        <f>IFERROR(__xludf.DUMMYFUNCTION("""COMPUTED_VALUE"""),0.75)</f>
        <v>0.75</v>
      </c>
      <c r="H1536" s="122" t="str">
        <f>IFERROR(__xludf.DUMMYFUNCTION("""COMPUTED_VALUE"""),"Active")</f>
        <v>Active</v>
      </c>
    </row>
    <row r="1537">
      <c r="A1537" s="131">
        <f>IFERROR(__xludf.DUMMYFUNCTION("""COMPUTED_VALUE"""),46185.33112268519)</f>
        <v>46185.33112</v>
      </c>
      <c r="B1537" s="122" t="str">
        <f>IFERROR(__xludf.DUMMYFUNCTION("""COMPUTED_VALUE"""),"MEDX")</f>
        <v>MEDX</v>
      </c>
      <c r="C1537" s="122" t="str">
        <f>IFERROR(__xludf.DUMMYFUNCTION("""COMPUTED_VALUE"""),"MediCore remains stable as the Healthcare market shows normal activity.")</f>
        <v>MediCore remains stable as the Healthcare market shows normal activity.</v>
      </c>
      <c r="D1537" s="122" t="str">
        <f>IFERROR(__xludf.DUMMYFUNCTION("""COMPUTED_VALUE"""),"MediCore appears steady with no major changes reported.")</f>
        <v>MediCore appears steady with no major changes reported.</v>
      </c>
      <c r="E1537" s="122" t="str">
        <f>IFERROR(__xludf.DUMMYFUNCTION("""COMPUTED_VALUE"""),"Neutral")</f>
        <v>Neutral</v>
      </c>
      <c r="F1537" s="122">
        <f>IFERROR(__xludf.DUMMYFUNCTION("""COMPUTED_VALUE"""),0.0)</f>
        <v>0</v>
      </c>
      <c r="G1537" s="122">
        <f>IFERROR(__xludf.DUMMYFUNCTION("""COMPUTED_VALUE"""),0.0)</f>
        <v>0</v>
      </c>
      <c r="H1537" s="122" t="str">
        <f>IFERROR(__xludf.DUMMYFUNCTION("""COMPUTED_VALUE"""),"Active")</f>
        <v>Active</v>
      </c>
    </row>
    <row r="1538">
      <c r="A1538" s="131">
        <f>IFERROR(__xludf.DUMMYFUNCTION("""COMPUTED_VALUE"""),46185.33112268519)</f>
        <v>46185.33112</v>
      </c>
      <c r="B1538" s="122" t="str">
        <f>IFERROR(__xludf.DUMMYFUNCTION("""COMPUTED_VALUE"""),"GYMX")</f>
        <v>GYMX</v>
      </c>
      <c r="C1538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1538" s="122" t="str">
        <f>IFERROR(__xludf.DUMMYFUNCTION("""COMPUTED_VALUE"""),"GymX Fitness appears steady with no major changes reported.")</f>
        <v>GymX Fitness appears steady with no major changes reported.</v>
      </c>
      <c r="E1538" s="122" t="str">
        <f>IFERROR(__xludf.DUMMYFUNCTION("""COMPUTED_VALUE"""),"Neutral")</f>
        <v>Neutral</v>
      </c>
      <c r="F1538" s="122">
        <f>IFERROR(__xludf.DUMMYFUNCTION("""COMPUTED_VALUE"""),0.0)</f>
        <v>0</v>
      </c>
      <c r="G1538" s="122">
        <f>IFERROR(__xludf.DUMMYFUNCTION("""COMPUTED_VALUE"""),0.0)</f>
        <v>0</v>
      </c>
      <c r="H1538" s="122" t="str">
        <f>IFERROR(__xludf.DUMMYFUNCTION("""COMPUTED_VALUE"""),"Active")</f>
        <v>Active</v>
      </c>
    </row>
    <row r="1539">
      <c r="A1539" s="131">
        <f>IFERROR(__xludf.DUMMYFUNCTION("""COMPUTED_VALUE"""),46185.33113425926)</f>
        <v>46185.33113</v>
      </c>
      <c r="B1539" s="122" t="str">
        <f>IFERROR(__xludf.DUMMYFUNCTION("""COMPUTED_VALUE"""),"VITA")</f>
        <v>VITA</v>
      </c>
      <c r="C1539" s="122" t="str">
        <f>IFERROR(__xludf.DUMMYFUNCTION("""COMPUTED_VALUE"""),"VitaPlus faces weaker demand and cautious investor sentiment.")</f>
        <v>VitaPlus faces weaker demand and cautious investor sentiment.</v>
      </c>
      <c r="D1539" s="122" t="str">
        <f>IFERROR(__xludf.DUMMYFUNCTION("""COMPUTED_VALUE"""),"Investors are watching VitaPlus closely as demand weakens.")</f>
        <v>Investors are watching VitaPlus closely as demand weakens.</v>
      </c>
      <c r="E1539" s="122" t="str">
        <f>IFERROR(__xludf.DUMMYFUNCTION("""COMPUTED_VALUE"""),"Negative")</f>
        <v>Negative</v>
      </c>
      <c r="F1539" s="122">
        <f>IFERROR(__xludf.DUMMYFUNCTION("""COMPUTED_VALUE"""),-0.015)</f>
        <v>-0.015</v>
      </c>
      <c r="G1539" s="122">
        <f>IFERROR(__xludf.DUMMYFUNCTION("""COMPUTED_VALUE"""),0.75)</f>
        <v>0.75</v>
      </c>
      <c r="H1539" s="122" t="str">
        <f>IFERROR(__xludf.DUMMYFUNCTION("""COMPUTED_VALUE"""),"Active")</f>
        <v>Active</v>
      </c>
    </row>
    <row r="1540">
      <c r="A1540" s="131">
        <f>IFERROR(__xludf.DUMMYFUNCTION("""COMPUTED_VALUE"""),46185.33113425926)</f>
        <v>46185.33113</v>
      </c>
      <c r="B1540" s="122" t="str">
        <f>IFERROR(__xludf.DUMMYFUNCTION("""COMPUTED_VALUE"""),"CARE")</f>
        <v>CARE</v>
      </c>
      <c r="C1540" s="122" t="str">
        <f>IFERROR(__xludf.DUMMYFUNCTION("""COMPUTED_VALUE"""),"CareCloud remains stable as the Healthcare market shows normal activity.")</f>
        <v>CareCloud remains stable as the Healthcare market shows normal activity.</v>
      </c>
      <c r="D1540" s="122" t="str">
        <f>IFERROR(__xludf.DUMMYFUNCTION("""COMPUTED_VALUE"""),"CareCloud appears steady with no major changes reported.")</f>
        <v>CareCloud appears steady with no major changes reported.</v>
      </c>
      <c r="E1540" s="122" t="str">
        <f>IFERROR(__xludf.DUMMYFUNCTION("""COMPUTED_VALUE"""),"Neutral")</f>
        <v>Neutral</v>
      </c>
      <c r="F1540" s="122">
        <f>IFERROR(__xludf.DUMMYFUNCTION("""COMPUTED_VALUE"""),0.0)</f>
        <v>0</v>
      </c>
      <c r="G1540" s="122">
        <f>IFERROR(__xludf.DUMMYFUNCTION("""COMPUTED_VALUE"""),0.0)</f>
        <v>0</v>
      </c>
      <c r="H1540" s="122" t="str">
        <f>IFERROR(__xludf.DUMMYFUNCTION("""COMPUTED_VALUE"""),"Active")</f>
        <v>Active</v>
      </c>
    </row>
    <row r="1541">
      <c r="A1541" s="131">
        <f>IFERROR(__xludf.DUMMYFUNCTION("""COMPUTED_VALUE"""),46185.331145833334)</f>
        <v>46185.33115</v>
      </c>
      <c r="B1541" s="122" t="str">
        <f>IFERROR(__xludf.DUMMYFUNCTION("""COMPUTED_VALUE"""),"DENT")</f>
        <v>DENT</v>
      </c>
      <c r="C1541" s="122" t="str">
        <f>IFERROR(__xludf.DUMMYFUNCTION("""COMPUTED_VALUE"""),"SmileWorks reports steady growth and improved market confidence.")</f>
        <v>SmileWorks reports steady growth and improved market confidence.</v>
      </c>
      <c r="D1541" s="122" t="str">
        <f>IFERROR(__xludf.DUMMYFUNCTION("""COMPUTED_VALUE"""),"SmileWorks continues to show positive momentum with moderate risk.")</f>
        <v>SmileWorks continues to show positive momentum with moderate risk.</v>
      </c>
      <c r="E1541" s="122" t="str">
        <f>IFERROR(__xludf.DUMMYFUNCTION("""COMPUTED_VALUE"""),"Positive")</f>
        <v>Positive</v>
      </c>
      <c r="F1541" s="122">
        <f>IFERROR(__xludf.DUMMYFUNCTION("""COMPUTED_VALUE"""),0.015)</f>
        <v>0.015</v>
      </c>
      <c r="G1541" s="122">
        <f>IFERROR(__xludf.DUMMYFUNCTION("""COMPUTED_VALUE"""),0.5)</f>
        <v>0.5</v>
      </c>
      <c r="H1541" s="122" t="str">
        <f>IFERROR(__xludf.DUMMYFUNCTION("""COMPUTED_VALUE"""),"Active")</f>
        <v>Active</v>
      </c>
    </row>
    <row r="1542">
      <c r="A1542" s="131">
        <f>IFERROR(__xludf.DUMMYFUNCTION("""COMPUTED_VALUE"""),46185.331145833334)</f>
        <v>46185.33115</v>
      </c>
      <c r="B1542" s="122" t="str">
        <f>IFERROR(__xludf.DUMMYFUNCTION("""COMPUTED_VALUE"""),"EDUX")</f>
        <v>EDUX</v>
      </c>
      <c r="C1542" s="122" t="str">
        <f>IFERROR(__xludf.DUMMYFUNCTION("""COMPUTED_VALUE"""),"EduMax Learning remains stable as the Education market shows normal activity.")</f>
        <v>EduMax Learning remains stable as the Education market shows normal activity.</v>
      </c>
      <c r="D1542" s="122" t="str">
        <f>IFERROR(__xludf.DUMMYFUNCTION("""COMPUTED_VALUE"""),"EduMax Learning appears steady with no major changes reported.")</f>
        <v>EduMax Learning appears steady with no major changes reported.</v>
      </c>
      <c r="E1542" s="122" t="str">
        <f>IFERROR(__xludf.DUMMYFUNCTION("""COMPUTED_VALUE"""),"Neutral")</f>
        <v>Neutral</v>
      </c>
      <c r="F1542" s="122">
        <f>IFERROR(__xludf.DUMMYFUNCTION("""COMPUTED_VALUE"""),0.0)</f>
        <v>0</v>
      </c>
      <c r="G1542" s="122">
        <f>IFERROR(__xludf.DUMMYFUNCTION("""COMPUTED_VALUE"""),0.0)</f>
        <v>0</v>
      </c>
      <c r="H1542" s="122" t="str">
        <f>IFERROR(__xludf.DUMMYFUNCTION("""COMPUTED_VALUE"""),"Active")</f>
        <v>Active</v>
      </c>
    </row>
    <row r="1543">
      <c r="A1543" s="131">
        <f>IFERROR(__xludf.DUMMYFUNCTION("""COMPUTED_VALUE"""),46185.33115740741)</f>
        <v>46185.33116</v>
      </c>
      <c r="B1543" s="122" t="str">
        <f>IFERROR(__xludf.DUMMYFUNCTION("""COMPUTED_VALUE"""),"BOOK")</f>
        <v>BOOK</v>
      </c>
      <c r="C1543" s="122" t="str">
        <f>IFERROR(__xludf.DUMMYFUNCTION("""COMPUTED_VALUE"""),"BookBridge remains stable as the Education market shows normal activity.")</f>
        <v>BookBridge remains stable as the Education market shows normal activity.</v>
      </c>
      <c r="D1543" s="122" t="str">
        <f>IFERROR(__xludf.DUMMYFUNCTION("""COMPUTED_VALUE"""),"BookBridge appears steady with no major changes reported.")</f>
        <v>BookBridge appears steady with no major changes reported.</v>
      </c>
      <c r="E1543" s="122" t="str">
        <f>IFERROR(__xludf.DUMMYFUNCTION("""COMPUTED_VALUE"""),"Neutral")</f>
        <v>Neutral</v>
      </c>
      <c r="F1543" s="122">
        <f>IFERROR(__xludf.DUMMYFUNCTION("""COMPUTED_VALUE"""),0.0)</f>
        <v>0</v>
      </c>
      <c r="G1543" s="122">
        <f>IFERROR(__xludf.DUMMYFUNCTION("""COMPUTED_VALUE"""),0.0)</f>
        <v>0</v>
      </c>
      <c r="H1543" s="122" t="str">
        <f>IFERROR(__xludf.DUMMYFUNCTION("""COMPUTED_VALUE"""),"Active")</f>
        <v>Active</v>
      </c>
    </row>
    <row r="1544">
      <c r="A1544" s="131">
        <f>IFERROR(__xludf.DUMMYFUNCTION("""COMPUTED_VALUE"""),46185.33115740741)</f>
        <v>46185.33116</v>
      </c>
      <c r="B1544" s="122" t="str">
        <f>IFERROR(__xludf.DUMMYFUNCTION("""COMPUTED_VALUE"""),"TUTR")</f>
        <v>TUTR</v>
      </c>
      <c r="C1544" s="122" t="str">
        <f>IFERROR(__xludf.DUMMYFUNCTION("""COMPUTED_VALUE"""),"TutorTown faces weaker demand and cautious investor sentiment.")</f>
        <v>TutorTown faces weaker demand and cautious investor sentiment.</v>
      </c>
      <c r="D1544" s="122" t="str">
        <f>IFERROR(__xludf.DUMMYFUNCTION("""COMPUTED_VALUE"""),"Investors are watching TutorTown closely as demand weakens.")</f>
        <v>Investors are watching TutorTown closely as demand weakens.</v>
      </c>
      <c r="E1544" s="122" t="str">
        <f>IFERROR(__xludf.DUMMYFUNCTION("""COMPUTED_VALUE"""),"Negative")</f>
        <v>Negative</v>
      </c>
      <c r="F1544" s="122">
        <f>IFERROR(__xludf.DUMMYFUNCTION("""COMPUTED_VALUE"""),-0.015)</f>
        <v>-0.015</v>
      </c>
      <c r="G1544" s="122">
        <f>IFERROR(__xludf.DUMMYFUNCTION("""COMPUTED_VALUE"""),0.75)</f>
        <v>0.75</v>
      </c>
      <c r="H1544" s="122" t="str">
        <f>IFERROR(__xludf.DUMMYFUNCTION("""COMPUTED_VALUE"""),"Active")</f>
        <v>Active</v>
      </c>
    </row>
    <row r="1545">
      <c r="A1545" s="131">
        <f>IFERROR(__xludf.DUMMYFUNCTION("""COMPUTED_VALUE"""),46185.33116898148)</f>
        <v>46185.33117</v>
      </c>
      <c r="B1545" s="122" t="str">
        <f>IFERROR(__xludf.DUMMYFUNCTION("""COMPUTED_VALUE"""),"LANG")</f>
        <v>LANG</v>
      </c>
      <c r="C1545" s="122" t="str">
        <f>IFERROR(__xludf.DUMMYFUNCTION("""COMPUTED_VALUE"""),"LinguaLab remains stable as the Education market shows normal activity.")</f>
        <v>LinguaLab remains stable as the Education market shows normal activity.</v>
      </c>
      <c r="D1545" s="122" t="str">
        <f>IFERROR(__xludf.DUMMYFUNCTION("""COMPUTED_VALUE"""),"LinguaLab appears steady with no major changes reported.")</f>
        <v>LinguaLab appears steady with no major changes reported.</v>
      </c>
      <c r="E1545" s="122" t="str">
        <f>IFERROR(__xludf.DUMMYFUNCTION("""COMPUTED_VALUE"""),"Neutral")</f>
        <v>Neutral</v>
      </c>
      <c r="F1545" s="122">
        <f>IFERROR(__xludf.DUMMYFUNCTION("""COMPUTED_VALUE"""),0.0)</f>
        <v>0</v>
      </c>
      <c r="G1545" s="122">
        <f>IFERROR(__xludf.DUMMYFUNCTION("""COMPUTED_VALUE"""),0.0)</f>
        <v>0</v>
      </c>
      <c r="H1545" s="122" t="str">
        <f>IFERROR(__xludf.DUMMYFUNCTION("""COMPUTED_VALUE"""),"Active")</f>
        <v>Active</v>
      </c>
    </row>
    <row r="1546">
      <c r="A1546" s="131">
        <f>IFERROR(__xludf.DUMMYFUNCTION("""COMPUTED_VALUE"""),46185.33118055556)</f>
        <v>46185.33118</v>
      </c>
      <c r="B1546" s="122" t="str">
        <f>IFERROR(__xludf.DUMMYFUNCTION("""COMPUTED_VALUE"""),"TEST")</f>
        <v>TEST</v>
      </c>
      <c r="C1546" s="122" t="str">
        <f>IFERROR(__xludf.DUMMYFUNCTION("""COMPUTED_VALUE"""),"TestPrep Pro faces weaker demand and cautious investor sentiment.")</f>
        <v>TestPrep Pro faces weaker demand and cautious investor sentiment.</v>
      </c>
      <c r="D1546" s="122" t="str">
        <f>IFERROR(__xludf.DUMMYFUNCTION("""COMPUTED_VALUE"""),"Investors are watching TestPrep Pro closely as demand weakens.")</f>
        <v>Investors are watching TestPrep Pro closely as demand weakens.</v>
      </c>
      <c r="E1546" s="122" t="str">
        <f>IFERROR(__xludf.DUMMYFUNCTION("""COMPUTED_VALUE"""),"Negative")</f>
        <v>Negative</v>
      </c>
      <c r="F1546" s="122">
        <f>IFERROR(__xludf.DUMMYFUNCTION("""COMPUTED_VALUE"""),-0.015)</f>
        <v>-0.015</v>
      </c>
      <c r="G1546" s="122">
        <f>IFERROR(__xludf.DUMMYFUNCTION("""COMPUTED_VALUE"""),0.75)</f>
        <v>0.75</v>
      </c>
      <c r="H1546" s="122" t="str">
        <f>IFERROR(__xludf.DUMMYFUNCTION("""COMPUTED_VALUE"""),"Active")</f>
        <v>Active</v>
      </c>
    </row>
    <row r="1547">
      <c r="A1547" s="131">
        <f>IFERROR(__xludf.DUMMYFUNCTION("""COMPUTED_VALUE"""),46185.33118055556)</f>
        <v>46185.33118</v>
      </c>
      <c r="B1547" s="122" t="str">
        <f>IFERROR(__xludf.DUMMYFUNCTION("""COMPUTED_VALUE"""),"MOVI")</f>
        <v>MOVI</v>
      </c>
      <c r="C1547" s="122" t="str">
        <f>IFERROR(__xludf.DUMMYFUNCTION("""COMPUTED_VALUE"""),"MovieBox remains stable as the Entertainment market shows normal activity.")</f>
        <v>MovieBox remains stable as the Entertainment market shows normal activity.</v>
      </c>
      <c r="D1547" s="122" t="str">
        <f>IFERROR(__xludf.DUMMYFUNCTION("""COMPUTED_VALUE"""),"MovieBox appears steady with no major changes reported.")</f>
        <v>MovieBox appears steady with no major changes reported.</v>
      </c>
      <c r="E1547" s="122" t="str">
        <f>IFERROR(__xludf.DUMMYFUNCTION("""COMPUTED_VALUE"""),"Neutral")</f>
        <v>Neutral</v>
      </c>
      <c r="F1547" s="122">
        <f>IFERROR(__xludf.DUMMYFUNCTION("""COMPUTED_VALUE"""),0.0)</f>
        <v>0</v>
      </c>
      <c r="G1547" s="122">
        <f>IFERROR(__xludf.DUMMYFUNCTION("""COMPUTED_VALUE"""),0.0)</f>
        <v>0</v>
      </c>
      <c r="H1547" s="122" t="str">
        <f>IFERROR(__xludf.DUMMYFUNCTION("""COMPUTED_VALUE"""),"Active")</f>
        <v>Active</v>
      </c>
    </row>
    <row r="1548">
      <c r="A1548" s="131">
        <f>IFERROR(__xludf.DUMMYFUNCTION("""COMPUTED_VALUE"""),46185.331192129626)</f>
        <v>46185.33119</v>
      </c>
      <c r="B1548" s="122" t="str">
        <f>IFERROR(__xludf.DUMMYFUNCTION("""COMPUTED_VALUE"""),"MUSC")</f>
        <v>MUSC</v>
      </c>
      <c r="C1548" s="122" t="str">
        <f>IFERROR(__xludf.DUMMYFUNCTION("""COMPUTED_VALUE"""),"MusicWave reports steady growth and improved market confidence.")</f>
        <v>MusicWave reports steady growth and improved market confidence.</v>
      </c>
      <c r="D1548" s="122" t="str">
        <f>IFERROR(__xludf.DUMMYFUNCTION("""COMPUTED_VALUE"""),"MusicWave continues to show positive momentum with moderate risk.")</f>
        <v>MusicWave continues to show positive momentum with moderate risk.</v>
      </c>
      <c r="E1548" s="122" t="str">
        <f>IFERROR(__xludf.DUMMYFUNCTION("""COMPUTED_VALUE"""),"Positive")</f>
        <v>Positive</v>
      </c>
      <c r="F1548" s="122">
        <f>IFERROR(__xludf.DUMMYFUNCTION("""COMPUTED_VALUE"""),0.015)</f>
        <v>0.015</v>
      </c>
      <c r="G1548" s="122">
        <f>IFERROR(__xludf.DUMMYFUNCTION("""COMPUTED_VALUE"""),0.5)</f>
        <v>0.5</v>
      </c>
      <c r="H1548" s="122" t="str">
        <f>IFERROR(__xludf.DUMMYFUNCTION("""COMPUTED_VALUE"""),"Active")</f>
        <v>Active</v>
      </c>
    </row>
    <row r="1549">
      <c r="A1549" s="131">
        <f>IFERROR(__xludf.DUMMYFUNCTION("""COMPUTED_VALUE"""),46185.3312037037)</f>
        <v>46185.3312</v>
      </c>
      <c r="B1549" s="122" t="str">
        <f>IFERROR(__xludf.DUMMYFUNCTION("""COMPUTED_VALUE"""),"IDOL")</f>
        <v>IDOL</v>
      </c>
      <c r="C1549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1549" s="122" t="str">
        <f>IFERROR(__xludf.DUMMYFUNCTION("""COMPUTED_VALUE"""),"Idol Agency appears steady with no major changes reported.")</f>
        <v>Idol Agency appears steady with no major changes reported.</v>
      </c>
      <c r="E1549" s="122" t="str">
        <f>IFERROR(__xludf.DUMMYFUNCTION("""COMPUTED_VALUE"""),"Neutral")</f>
        <v>Neutral</v>
      </c>
      <c r="F1549" s="122">
        <f>IFERROR(__xludf.DUMMYFUNCTION("""COMPUTED_VALUE"""),0.0)</f>
        <v>0</v>
      </c>
      <c r="G1549" s="122">
        <f>IFERROR(__xludf.DUMMYFUNCTION("""COMPUTED_VALUE"""),0.0)</f>
        <v>0</v>
      </c>
      <c r="H1549" s="122" t="str">
        <f>IFERROR(__xludf.DUMMYFUNCTION("""COMPUTED_VALUE"""),"Active")</f>
        <v>Active</v>
      </c>
    </row>
    <row r="1550">
      <c r="A1550" s="131">
        <f>IFERROR(__xludf.DUMMYFUNCTION("""COMPUTED_VALUE"""),46185.3312037037)</f>
        <v>46185.3312</v>
      </c>
      <c r="B1550" s="122" t="str">
        <f>IFERROR(__xludf.DUMMYFUNCTION("""COMPUTED_VALUE"""),"MEME")</f>
        <v>MEME</v>
      </c>
      <c r="C1550" s="122" t="str">
        <f>IFERROR(__xludf.DUMMYFUNCTION("""COMPUTED_VALUE"""),"Meme Media reports steady growth and improved market confidence.")</f>
        <v>Meme Media reports steady growth and improved market confidence.</v>
      </c>
      <c r="D1550" s="122" t="str">
        <f>IFERROR(__xludf.DUMMYFUNCTION("""COMPUTED_VALUE"""),"Meme Media continues to show positive momentum with moderate risk.")</f>
        <v>Meme Media continues to show positive momentum with moderate risk.</v>
      </c>
      <c r="E1550" s="122" t="str">
        <f>IFERROR(__xludf.DUMMYFUNCTION("""COMPUTED_VALUE"""),"Positive")</f>
        <v>Positive</v>
      </c>
      <c r="F1550" s="122">
        <f>IFERROR(__xludf.DUMMYFUNCTION("""COMPUTED_VALUE"""),0.015)</f>
        <v>0.015</v>
      </c>
      <c r="G1550" s="122">
        <f>IFERROR(__xludf.DUMMYFUNCTION("""COMPUTED_VALUE"""),0.5)</f>
        <v>0.5</v>
      </c>
      <c r="H1550" s="122" t="str">
        <f>IFERROR(__xludf.DUMMYFUNCTION("""COMPUTED_VALUE"""),"Active")</f>
        <v>Active</v>
      </c>
    </row>
    <row r="1551">
      <c r="A1551" s="131">
        <f>IFERROR(__xludf.DUMMYFUNCTION("""COMPUTED_VALUE"""),46185.33121527778)</f>
        <v>46185.33122</v>
      </c>
      <c r="B1551" s="122" t="str">
        <f>IFERROR(__xludf.DUMMYFUNCTION("""COMPUTED_VALUE"""),"STRM")</f>
        <v>STRM</v>
      </c>
      <c r="C1551" s="122" t="str">
        <f>IFERROR(__xludf.DUMMYFUNCTION("""COMPUTED_VALUE"""),"Streamly remains stable as the Entertainment market shows normal activity.")</f>
        <v>Streamly remains stable as the Entertainment market shows normal activity.</v>
      </c>
      <c r="D1551" s="122" t="str">
        <f>IFERROR(__xludf.DUMMYFUNCTION("""COMPUTED_VALUE"""),"Streamly appears steady with no major changes reported.")</f>
        <v>Streamly appears steady with no major changes reported.</v>
      </c>
      <c r="E1551" s="122" t="str">
        <f>IFERROR(__xludf.DUMMYFUNCTION("""COMPUTED_VALUE"""),"Neutral")</f>
        <v>Neutral</v>
      </c>
      <c r="F1551" s="122">
        <f>IFERROR(__xludf.DUMMYFUNCTION("""COMPUTED_VALUE"""),0.0)</f>
        <v>0</v>
      </c>
      <c r="G1551" s="122">
        <f>IFERROR(__xludf.DUMMYFUNCTION("""COMPUTED_VALUE"""),0.0)</f>
        <v>0</v>
      </c>
      <c r="H1551" s="122" t="str">
        <f>IFERROR(__xludf.DUMMYFUNCTION("""COMPUTED_VALUE"""),"Active")</f>
        <v>Active</v>
      </c>
    </row>
    <row r="1552">
      <c r="A1552" s="131">
        <f>IFERROR(__xludf.DUMMYFUNCTION("""COMPUTED_VALUE"""),46185.33122685185)</f>
        <v>46185.33123</v>
      </c>
      <c r="B1552" s="122" t="str">
        <f>IFERROR(__xludf.DUMMYFUNCTION("""COMPUTED_VALUE"""),"FARM")</f>
        <v>FARM</v>
      </c>
      <c r="C1552" s="122" t="str">
        <f>IFERROR(__xludf.DUMMYFUNCTION("""COMPUTED_VALUE"""),"Future Farms faces weaker demand and cautious investor sentiment.")</f>
        <v>Future Farms faces weaker demand and cautious investor sentiment.</v>
      </c>
      <c r="D1552" s="122" t="str">
        <f>IFERROR(__xludf.DUMMYFUNCTION("""COMPUTED_VALUE"""),"Investors are watching Future Farms closely as demand weakens.")</f>
        <v>Investors are watching Future Farms closely as demand weakens.</v>
      </c>
      <c r="E1552" s="122" t="str">
        <f>IFERROR(__xludf.DUMMYFUNCTION("""COMPUTED_VALUE"""),"Negative")</f>
        <v>Negative</v>
      </c>
      <c r="F1552" s="122">
        <f>IFERROR(__xludf.DUMMYFUNCTION("""COMPUTED_VALUE"""),-0.015)</f>
        <v>-0.015</v>
      </c>
      <c r="G1552" s="122">
        <f>IFERROR(__xludf.DUMMYFUNCTION("""COMPUTED_VALUE"""),0.75)</f>
        <v>0.75</v>
      </c>
      <c r="H1552" s="122" t="str">
        <f>IFERROR(__xludf.DUMMYFUNCTION("""COMPUTED_VALUE"""),"Active")</f>
        <v>Active</v>
      </c>
    </row>
    <row r="1553">
      <c r="A1553" s="131">
        <f>IFERROR(__xludf.DUMMYFUNCTION("""COMPUTED_VALUE"""),46185.33122685185)</f>
        <v>46185.33123</v>
      </c>
      <c r="B1553" s="122" t="str">
        <f>IFERROR(__xludf.DUMMYFUNCTION("""COMPUTED_VALUE"""),"MEAT")</f>
        <v>MEAT</v>
      </c>
      <c r="C1553" s="122" t="str">
        <f>IFERROR(__xludf.DUMMYFUNCTION("""COMPUTED_VALUE"""),"MeatWorks remains stable as the Food market shows normal activity.")</f>
        <v>MeatWorks remains stable as the Food market shows normal activity.</v>
      </c>
      <c r="D1553" s="122" t="str">
        <f>IFERROR(__xludf.DUMMYFUNCTION("""COMPUTED_VALUE"""),"MeatWorks appears steady with no major changes reported.")</f>
        <v>MeatWorks appears steady with no major changes reported.</v>
      </c>
      <c r="E1553" s="122" t="str">
        <f>IFERROR(__xludf.DUMMYFUNCTION("""COMPUTED_VALUE"""),"Neutral")</f>
        <v>Neutral</v>
      </c>
      <c r="F1553" s="122">
        <f>IFERROR(__xludf.DUMMYFUNCTION("""COMPUTED_VALUE"""),0.0)</f>
        <v>0</v>
      </c>
      <c r="G1553" s="122">
        <f>IFERROR(__xludf.DUMMYFUNCTION("""COMPUTED_VALUE"""),0.0)</f>
        <v>0</v>
      </c>
      <c r="H1553" s="122" t="str">
        <f>IFERROR(__xludf.DUMMYFUNCTION("""COMPUTED_VALUE"""),"Active")</f>
        <v>Active</v>
      </c>
    </row>
    <row r="1554">
      <c r="A1554" s="131">
        <f>IFERROR(__xludf.DUMMYFUNCTION("""COMPUTED_VALUE"""),46185.331238425926)</f>
        <v>46185.33124</v>
      </c>
      <c r="B1554" s="122" t="str">
        <f>IFERROR(__xludf.DUMMYFUNCTION("""COMPUTED_VALUE"""),"VEGI")</f>
        <v>VEGI</v>
      </c>
      <c r="C1554" s="122" t="str">
        <f>IFERROR(__xludf.DUMMYFUNCTION("""COMPUTED_VALUE"""),"Green Basket remains stable as the Food market shows normal activity.")</f>
        <v>Green Basket remains stable as the Food market shows normal activity.</v>
      </c>
      <c r="D1554" s="122" t="str">
        <f>IFERROR(__xludf.DUMMYFUNCTION("""COMPUTED_VALUE"""),"Green Basket appears steady with no major changes reported.")</f>
        <v>Green Basket appears steady with no major changes reported.</v>
      </c>
      <c r="E1554" s="122" t="str">
        <f>IFERROR(__xludf.DUMMYFUNCTION("""COMPUTED_VALUE"""),"Neutral")</f>
        <v>Neutral</v>
      </c>
      <c r="F1554" s="122">
        <f>IFERROR(__xludf.DUMMYFUNCTION("""COMPUTED_VALUE"""),0.0)</f>
        <v>0</v>
      </c>
      <c r="G1554" s="122">
        <f>IFERROR(__xludf.DUMMYFUNCTION("""COMPUTED_VALUE"""),0.0)</f>
        <v>0</v>
      </c>
      <c r="H1554" s="122" t="str">
        <f>IFERROR(__xludf.DUMMYFUNCTION("""COMPUTED_VALUE"""),"Active")</f>
        <v>Active</v>
      </c>
    </row>
    <row r="1555">
      <c r="A1555" s="131">
        <f>IFERROR(__xludf.DUMMYFUNCTION("""COMPUTED_VALUE"""),46185.331238425926)</f>
        <v>46185.33124</v>
      </c>
      <c r="B1555" s="122" t="str">
        <f>IFERROR(__xludf.DUMMYFUNCTION("""COMPUTED_VALUE"""),"CAFE")</f>
        <v>CAFE</v>
      </c>
      <c r="C1555" s="122" t="str">
        <f>IFERROR(__xludf.DUMMYFUNCTION("""COMPUTED_VALUE"""),"Cafe Cloud surges as demand rises across the Food sector.")</f>
        <v>Cafe Cloud surges as demand rises across the Food sector.</v>
      </c>
      <c r="D1555" s="122" t="str">
        <f>IFERROR(__xludf.DUMMYFUNCTION("""COMPUTED_VALUE"""),"Cafe Cloud is seeing strong demand, which may increase investor confidence.")</f>
        <v>Cafe Cloud is seeing strong demand, which may increase investor confidence.</v>
      </c>
      <c r="E1555" s="122" t="str">
        <f>IFERROR(__xludf.DUMMYFUNCTION("""COMPUTED_VALUE"""),"Positive")</f>
        <v>Positive</v>
      </c>
      <c r="F1555" s="122">
        <f>IFERROR(__xludf.DUMMYFUNCTION("""COMPUTED_VALUE"""),0.03)</f>
        <v>0.03</v>
      </c>
      <c r="G1555" s="122">
        <f>IFERROR(__xludf.DUMMYFUNCTION("""COMPUTED_VALUE"""),1.0)</f>
        <v>1</v>
      </c>
      <c r="H1555" s="122" t="str">
        <f>IFERROR(__xludf.DUMMYFUNCTION("""COMPUTED_VALUE"""),"Active")</f>
        <v>Active</v>
      </c>
    </row>
    <row r="1556">
      <c r="A1556" s="131">
        <f>IFERROR(__xludf.DUMMYFUNCTION("""COMPUTED_VALUE"""),46185.33125)</f>
        <v>46185.33125</v>
      </c>
      <c r="B1556" s="122" t="str">
        <f>IFERROR(__xludf.DUMMYFUNCTION("""COMPUTED_VALUE"""),"BAKE")</f>
        <v>BAKE</v>
      </c>
      <c r="C1556" s="122" t="str">
        <f>IFERROR(__xludf.DUMMYFUNCTION("""COMPUTED_VALUE"""),"BakeHouse reports steady growth and improved market confidence.")</f>
        <v>BakeHouse reports steady growth and improved market confidence.</v>
      </c>
      <c r="D1556" s="122" t="str">
        <f>IFERROR(__xludf.DUMMYFUNCTION("""COMPUTED_VALUE"""),"BakeHouse continues to show positive momentum with moderate risk.")</f>
        <v>BakeHouse continues to show positive momentum with moderate risk.</v>
      </c>
      <c r="E1556" s="122" t="str">
        <f>IFERROR(__xludf.DUMMYFUNCTION("""COMPUTED_VALUE"""),"Positive")</f>
        <v>Positive</v>
      </c>
      <c r="F1556" s="122">
        <f>IFERROR(__xludf.DUMMYFUNCTION("""COMPUTED_VALUE"""),0.015)</f>
        <v>0.015</v>
      </c>
      <c r="G1556" s="122">
        <f>IFERROR(__xludf.DUMMYFUNCTION("""COMPUTED_VALUE"""),0.5)</f>
        <v>0.5</v>
      </c>
      <c r="H1556" s="122" t="str">
        <f>IFERROR(__xludf.DUMMYFUNCTION("""COMPUTED_VALUE"""),"Active")</f>
        <v>Active</v>
      </c>
    </row>
    <row r="1557">
      <c r="A1557" s="131">
        <f>IFERROR(__xludf.DUMMYFUNCTION("""COMPUTED_VALUE"""),46185.33125)</f>
        <v>46185.33125</v>
      </c>
      <c r="B1557" s="122" t="str">
        <f>IFERROR(__xludf.DUMMYFUNCTION("""COMPUTED_VALUE"""),"OILX")</f>
        <v>OILX</v>
      </c>
      <c r="C1557" s="122" t="str">
        <f>IFERROR(__xludf.DUMMYFUNCTION("""COMPUTED_VALUE"""),"OilMax Energy remains stable as the Energy market shows normal activity.")</f>
        <v>OilMax Energy remains stable as the Energy market shows normal activity.</v>
      </c>
      <c r="D1557" s="122" t="str">
        <f>IFERROR(__xludf.DUMMYFUNCTION("""COMPUTED_VALUE"""),"OilMax Energy appears steady with no major changes reported.")</f>
        <v>OilMax Energy appears steady with no major changes reported.</v>
      </c>
      <c r="E1557" s="122" t="str">
        <f>IFERROR(__xludf.DUMMYFUNCTION("""COMPUTED_VALUE"""),"Neutral")</f>
        <v>Neutral</v>
      </c>
      <c r="F1557" s="122">
        <f>IFERROR(__xludf.DUMMYFUNCTION("""COMPUTED_VALUE"""),0.0)</f>
        <v>0</v>
      </c>
      <c r="G1557" s="122">
        <f>IFERROR(__xludf.DUMMYFUNCTION("""COMPUTED_VALUE"""),0.0)</f>
        <v>0</v>
      </c>
      <c r="H1557" s="122" t="str">
        <f>IFERROR(__xludf.DUMMYFUNCTION("""COMPUTED_VALUE"""),"Active")</f>
        <v>Active</v>
      </c>
    </row>
    <row r="1558">
      <c r="A1558" s="131">
        <f>IFERROR(__xludf.DUMMYFUNCTION("""COMPUTED_VALUE"""),46185.33126157407)</f>
        <v>46185.33126</v>
      </c>
      <c r="B1558" s="122" t="str">
        <f>IFERROR(__xludf.DUMMYFUNCTION("""COMPUTED_VALUE"""),"SOLR")</f>
        <v>SOLR</v>
      </c>
      <c r="C1558" s="122" t="str">
        <f>IFERROR(__xludf.DUMMYFUNCTION("""COMPUTED_VALUE"""),"SolarSpark faces weaker demand and cautious investor sentiment.")</f>
        <v>SolarSpark faces weaker demand and cautious investor sentiment.</v>
      </c>
      <c r="D1558" s="122" t="str">
        <f>IFERROR(__xludf.DUMMYFUNCTION("""COMPUTED_VALUE"""),"Investors are watching SolarSpark closely as demand weakens.")</f>
        <v>Investors are watching SolarSpark closely as demand weakens.</v>
      </c>
      <c r="E1558" s="122" t="str">
        <f>IFERROR(__xludf.DUMMYFUNCTION("""COMPUTED_VALUE"""),"Negative")</f>
        <v>Negative</v>
      </c>
      <c r="F1558" s="122">
        <f>IFERROR(__xludf.DUMMYFUNCTION("""COMPUTED_VALUE"""),-0.015)</f>
        <v>-0.015</v>
      </c>
      <c r="G1558" s="122">
        <f>IFERROR(__xludf.DUMMYFUNCTION("""COMPUTED_VALUE"""),0.75)</f>
        <v>0.75</v>
      </c>
      <c r="H1558" s="122" t="str">
        <f>IFERROR(__xludf.DUMMYFUNCTION("""COMPUTED_VALUE"""),"Active")</f>
        <v>Active</v>
      </c>
    </row>
    <row r="1559">
      <c r="A1559" s="131">
        <f>IFERROR(__xludf.DUMMYFUNCTION("""COMPUTED_VALUE"""),46185.33127314815)</f>
        <v>46185.33127</v>
      </c>
      <c r="B1559" s="122" t="str">
        <f>IFERROR(__xludf.DUMMYFUNCTION("""COMPUTED_VALUE"""),"BATT")</f>
        <v>BATT</v>
      </c>
      <c r="C1559" s="122" t="str">
        <f>IFERROR(__xludf.DUMMYFUNCTION("""COMPUTED_VALUE"""),"BatteryBox drops sharply after major concerns hit the market.")</f>
        <v>BatteryBox drops sharply after major concerns hit the market.</v>
      </c>
      <c r="D1559" s="122" t="str">
        <f>IFERROR(__xludf.DUMMYFUNCTION("""COMPUTED_VALUE"""),"BatteryBox is under pressure as investors react to worsening conditions.")</f>
        <v>BatteryBox is under pressure as investors react to worsening conditions.</v>
      </c>
      <c r="E1559" s="122" t="str">
        <f>IFERROR(__xludf.DUMMYFUNCTION("""COMPUTED_VALUE"""),"Negative")</f>
        <v>Negative</v>
      </c>
      <c r="F1559" s="122">
        <f>IFERROR(__xludf.DUMMYFUNCTION("""COMPUTED_VALUE"""),-0.04)</f>
        <v>-0.04</v>
      </c>
      <c r="G1559" s="122">
        <f>IFERROR(__xludf.DUMMYFUNCTION("""COMPUTED_VALUE"""),2.0)</f>
        <v>2</v>
      </c>
      <c r="H1559" s="122" t="str">
        <f>IFERROR(__xludf.DUMMYFUNCTION("""COMPUTED_VALUE"""),"Active")</f>
        <v>Active</v>
      </c>
    </row>
    <row r="1560">
      <c r="A1560" s="131">
        <f>IFERROR(__xludf.DUMMYFUNCTION("""COMPUTED_VALUE"""),46185.33127314815)</f>
        <v>46185.33127</v>
      </c>
      <c r="B1560" s="122" t="str">
        <f>IFERROR(__xludf.DUMMYFUNCTION("""COMPUTED_VALUE"""),"WIND")</f>
        <v>WIND</v>
      </c>
      <c r="C1560" s="122" t="str">
        <f>IFERROR(__xludf.DUMMYFUNCTION("""COMPUTED_VALUE"""),"WindWorks remains stable as the Energy market shows normal activity.")</f>
        <v>WindWorks remains stable as the Energy market shows normal activity.</v>
      </c>
      <c r="D1560" s="122" t="str">
        <f>IFERROR(__xludf.DUMMYFUNCTION("""COMPUTED_VALUE"""),"WindWorks appears steady with no major changes reported.")</f>
        <v>WindWorks appears steady with no major changes reported.</v>
      </c>
      <c r="E1560" s="122" t="str">
        <f>IFERROR(__xludf.DUMMYFUNCTION("""COMPUTED_VALUE"""),"Neutral")</f>
        <v>Neutral</v>
      </c>
      <c r="F1560" s="122">
        <f>IFERROR(__xludf.DUMMYFUNCTION("""COMPUTED_VALUE"""),0.0)</f>
        <v>0</v>
      </c>
      <c r="G1560" s="122">
        <f>IFERROR(__xludf.DUMMYFUNCTION("""COMPUTED_VALUE"""),0.0)</f>
        <v>0</v>
      </c>
      <c r="H1560" s="122" t="str">
        <f>IFERROR(__xludf.DUMMYFUNCTION("""COMPUTED_VALUE"""),"Active")</f>
        <v>Active</v>
      </c>
    </row>
    <row r="1561">
      <c r="A1561" s="131">
        <f>IFERROR(__xludf.DUMMYFUNCTION("""COMPUTED_VALUE"""),46185.33128472222)</f>
        <v>46185.33128</v>
      </c>
      <c r="B1561" s="122" t="str">
        <f>IFERROR(__xludf.DUMMYFUNCTION("""COMPUTED_VALUE"""),"GRID")</f>
        <v>GRID</v>
      </c>
      <c r="C1561" s="122" t="str">
        <f>IFERROR(__xludf.DUMMYFUNCTION("""COMPUTED_VALUE"""),"GridPower remains stable as the Energy market shows normal activity.")</f>
        <v>GridPower remains stable as the Energy market shows normal activity.</v>
      </c>
      <c r="D1561" s="122" t="str">
        <f>IFERROR(__xludf.DUMMYFUNCTION("""COMPUTED_VALUE"""),"GridPower appears steady with no major changes reported.")</f>
        <v>GridPower appears steady with no major changes reported.</v>
      </c>
      <c r="E1561" s="122" t="str">
        <f>IFERROR(__xludf.DUMMYFUNCTION("""COMPUTED_VALUE"""),"Neutral")</f>
        <v>Neutral</v>
      </c>
      <c r="F1561" s="122">
        <f>IFERROR(__xludf.DUMMYFUNCTION("""COMPUTED_VALUE"""),0.0)</f>
        <v>0</v>
      </c>
      <c r="G1561" s="122">
        <f>IFERROR(__xludf.DUMMYFUNCTION("""COMPUTED_VALUE"""),0.0)</f>
        <v>0</v>
      </c>
      <c r="H1561" s="122" t="str">
        <f>IFERROR(__xludf.DUMMYFUNCTION("""COMPUTED_VALUE"""),"Active")</f>
        <v>Active</v>
      </c>
    </row>
    <row r="1562">
      <c r="A1562" s="131">
        <f>IFERROR(__xludf.DUMMYFUNCTION("""COMPUTED_VALUE"""),46185.331296296295)</f>
        <v>46185.3313</v>
      </c>
      <c r="B1562" s="122" t="str">
        <f>IFERROR(__xludf.DUMMYFUNCTION("""COMPUTED_VALUE"""),"HOME")</f>
        <v>HOME</v>
      </c>
      <c r="C1562" s="122" t="str">
        <f>IFERROR(__xludf.DUMMYFUNCTION("""COMPUTED_VALUE"""),"HomeHub remains stable as the Real Estate market shows normal activity.")</f>
        <v>HomeHub remains stable as the Real Estate market shows normal activity.</v>
      </c>
      <c r="D1562" s="122" t="str">
        <f>IFERROR(__xludf.DUMMYFUNCTION("""COMPUTED_VALUE"""),"HomeHub appears steady with no major changes reported.")</f>
        <v>HomeHub appears steady with no major changes reported.</v>
      </c>
      <c r="E1562" s="122" t="str">
        <f>IFERROR(__xludf.DUMMYFUNCTION("""COMPUTED_VALUE"""),"Neutral")</f>
        <v>Neutral</v>
      </c>
      <c r="F1562" s="122">
        <f>IFERROR(__xludf.DUMMYFUNCTION("""COMPUTED_VALUE"""),0.0)</f>
        <v>0</v>
      </c>
      <c r="G1562" s="122">
        <f>IFERROR(__xludf.DUMMYFUNCTION("""COMPUTED_VALUE"""),0.0)</f>
        <v>0</v>
      </c>
      <c r="H1562" s="122" t="str">
        <f>IFERROR(__xludf.DUMMYFUNCTION("""COMPUTED_VALUE"""),"Active")</f>
        <v>Active</v>
      </c>
    </row>
    <row r="1563">
      <c r="A1563" s="131">
        <f>IFERROR(__xludf.DUMMYFUNCTION("""COMPUTED_VALUE"""),46185.33130787037)</f>
        <v>46185.33131</v>
      </c>
      <c r="B1563" s="122" t="str">
        <f>IFERROR(__xludf.DUMMYFUNCTION("""COMPUTED_VALUE"""),"RENT")</f>
        <v>RENT</v>
      </c>
      <c r="C1563" s="122" t="str">
        <f>IFERROR(__xludf.DUMMYFUNCTION("""COMPUTED_VALUE"""),"RentRight faces weaker demand and cautious investor sentiment.")</f>
        <v>RentRight faces weaker demand and cautious investor sentiment.</v>
      </c>
      <c r="D1563" s="122" t="str">
        <f>IFERROR(__xludf.DUMMYFUNCTION("""COMPUTED_VALUE"""),"Investors are watching RentRight closely as demand weakens.")</f>
        <v>Investors are watching RentRight closely as demand weakens.</v>
      </c>
      <c r="E1563" s="122" t="str">
        <f>IFERROR(__xludf.DUMMYFUNCTION("""COMPUTED_VALUE"""),"Negative")</f>
        <v>Negative</v>
      </c>
      <c r="F1563" s="122">
        <f>IFERROR(__xludf.DUMMYFUNCTION("""COMPUTED_VALUE"""),-0.015)</f>
        <v>-0.015</v>
      </c>
      <c r="G1563" s="122">
        <f>IFERROR(__xludf.DUMMYFUNCTION("""COMPUTED_VALUE"""),0.75)</f>
        <v>0.75</v>
      </c>
      <c r="H1563" s="122" t="str">
        <f>IFERROR(__xludf.DUMMYFUNCTION("""COMPUTED_VALUE"""),"Active")</f>
        <v>Active</v>
      </c>
    </row>
    <row r="1564">
      <c r="A1564" s="131">
        <f>IFERROR(__xludf.DUMMYFUNCTION("""COMPUTED_VALUE"""),46185.33131944444)</f>
        <v>46185.33132</v>
      </c>
      <c r="B1564" s="122" t="str">
        <f>IFERROR(__xludf.DUMMYFUNCTION("""COMPUTED_VALUE"""),"MALL")</f>
        <v>MALL</v>
      </c>
      <c r="C1564" s="122" t="str">
        <f>IFERROR(__xludf.DUMMYFUNCTION("""COMPUTED_VALUE"""),"MegaMall remains stable as the Real Estate market shows normal activity.")</f>
        <v>MegaMall remains stable as the Real Estate market shows normal activity.</v>
      </c>
      <c r="D1564" s="122" t="str">
        <f>IFERROR(__xludf.DUMMYFUNCTION("""COMPUTED_VALUE"""),"MegaMall appears steady with no major changes reported.")</f>
        <v>MegaMall appears steady with no major changes reported.</v>
      </c>
      <c r="E1564" s="122" t="str">
        <f>IFERROR(__xludf.DUMMYFUNCTION("""COMPUTED_VALUE"""),"Neutral")</f>
        <v>Neutral</v>
      </c>
      <c r="F1564" s="122">
        <f>IFERROR(__xludf.DUMMYFUNCTION("""COMPUTED_VALUE"""),0.0)</f>
        <v>0</v>
      </c>
      <c r="G1564" s="122">
        <f>IFERROR(__xludf.DUMMYFUNCTION("""COMPUTED_VALUE"""),0.0)</f>
        <v>0</v>
      </c>
      <c r="H1564" s="122" t="str">
        <f>IFERROR(__xludf.DUMMYFUNCTION("""COMPUTED_VALUE"""),"Active")</f>
        <v>Active</v>
      </c>
    </row>
    <row r="1565">
      <c r="A1565" s="131">
        <f>IFERROR(__xludf.DUMMYFUNCTION("""COMPUTED_VALUE"""),46185.33131944444)</f>
        <v>46185.33132</v>
      </c>
      <c r="B1565" s="122" t="str">
        <f>IFERROR(__xludf.DUMMYFUNCTION("""COMPUTED_VALUE"""),"HOTL")</f>
        <v>HOTL</v>
      </c>
      <c r="C1565" s="122" t="str">
        <f>IFERROR(__xludf.DUMMYFUNCTION("""COMPUTED_VALUE"""),"HotelHive reports steady growth and improved market confidence.")</f>
        <v>HotelHive reports steady growth and improved market confidence.</v>
      </c>
      <c r="D1565" s="122" t="str">
        <f>IFERROR(__xludf.DUMMYFUNCTION("""COMPUTED_VALUE"""),"HotelHive continues to show positive momentum with moderate risk.")</f>
        <v>HotelHive continues to show positive momentum with moderate risk.</v>
      </c>
      <c r="E1565" s="122" t="str">
        <f>IFERROR(__xludf.DUMMYFUNCTION("""COMPUTED_VALUE"""),"Positive")</f>
        <v>Positive</v>
      </c>
      <c r="F1565" s="122">
        <f>IFERROR(__xludf.DUMMYFUNCTION("""COMPUTED_VALUE"""),0.015)</f>
        <v>0.015</v>
      </c>
      <c r="G1565" s="122">
        <f>IFERROR(__xludf.DUMMYFUNCTION("""COMPUTED_VALUE"""),0.5)</f>
        <v>0.5</v>
      </c>
      <c r="H1565" s="122" t="str">
        <f>IFERROR(__xludf.DUMMYFUNCTION("""COMPUTED_VALUE"""),"Active")</f>
        <v>Active</v>
      </c>
    </row>
    <row r="1566">
      <c r="A1566" s="131">
        <f>IFERROR(__xludf.DUMMYFUNCTION("""COMPUTED_VALUE"""),46185.33133101852)</f>
        <v>46185.33133</v>
      </c>
      <c r="B1566" s="122" t="str">
        <f>IFERROR(__xludf.DUMMYFUNCTION("""COMPUTED_VALUE"""),"LAND")</f>
        <v>LAND</v>
      </c>
      <c r="C1566" s="122" t="str">
        <f>IFERROR(__xludf.DUMMYFUNCTION("""COMPUTED_VALUE"""),"LandLink reports steady growth and improved market confidence.")</f>
        <v>LandLink reports steady growth and improved market confidence.</v>
      </c>
      <c r="D1566" s="122" t="str">
        <f>IFERROR(__xludf.DUMMYFUNCTION("""COMPUTED_VALUE"""),"LandLink continues to show positive momentum with moderate risk.")</f>
        <v>LandLink continues to show positive momentum with moderate risk.</v>
      </c>
      <c r="E1566" s="122" t="str">
        <f>IFERROR(__xludf.DUMMYFUNCTION("""COMPUTED_VALUE"""),"Positive")</f>
        <v>Positive</v>
      </c>
      <c r="F1566" s="122">
        <f>IFERROR(__xludf.DUMMYFUNCTION("""COMPUTED_VALUE"""),0.015)</f>
        <v>0.015</v>
      </c>
      <c r="G1566" s="122">
        <f>IFERROR(__xludf.DUMMYFUNCTION("""COMPUTED_VALUE"""),0.5)</f>
        <v>0.5</v>
      </c>
      <c r="H1566" s="122" t="str">
        <f>IFERROR(__xludf.DUMMYFUNCTION("""COMPUTED_VALUE"""),"Active")</f>
        <v>Active</v>
      </c>
    </row>
    <row r="1567">
      <c r="A1567" s="131">
        <f>IFERROR(__xludf.DUMMYFUNCTION("""COMPUTED_VALUE"""),46185.33133101852)</f>
        <v>46185.33133</v>
      </c>
      <c r="B1567" s="122" t="str">
        <f>IFERROR(__xludf.DUMMYFUNCTION("""COMPUTED_VALUE"""),"CARS")</f>
        <v>CARS</v>
      </c>
      <c r="C1567" s="122" t="str">
        <f>IFERROR(__xludf.DUMMYFUNCTION("""COMPUTED_VALUE"""),"AutoArena faces weaker demand and cautious investor sentiment.")</f>
        <v>AutoArena faces weaker demand and cautious investor sentiment.</v>
      </c>
      <c r="D1567" s="122" t="str">
        <f>IFERROR(__xludf.DUMMYFUNCTION("""COMPUTED_VALUE"""),"Investors are watching AutoArena closely as demand weakens.")</f>
        <v>Investors are watching AutoArena closely as demand weakens.</v>
      </c>
      <c r="E1567" s="122" t="str">
        <f>IFERROR(__xludf.DUMMYFUNCTION("""COMPUTED_VALUE"""),"Negative")</f>
        <v>Negative</v>
      </c>
      <c r="F1567" s="122">
        <f>IFERROR(__xludf.DUMMYFUNCTION("""COMPUTED_VALUE"""),-0.015)</f>
        <v>-0.015</v>
      </c>
      <c r="G1567" s="122">
        <f>IFERROR(__xludf.DUMMYFUNCTION("""COMPUTED_VALUE"""),0.75)</f>
        <v>0.75</v>
      </c>
      <c r="H1567" s="122" t="str">
        <f>IFERROR(__xludf.DUMMYFUNCTION("""COMPUTED_VALUE"""),"Active")</f>
        <v>Active</v>
      </c>
    </row>
    <row r="1568">
      <c r="A1568" s="131">
        <f>IFERROR(__xludf.DUMMYFUNCTION("""COMPUTED_VALUE"""),46185.331342592595)</f>
        <v>46185.33134</v>
      </c>
      <c r="B1568" s="122" t="str">
        <f>IFERROR(__xludf.DUMMYFUNCTION("""COMPUTED_VALUE"""),"EVGO")</f>
        <v>EVGO</v>
      </c>
      <c r="C1568" s="122" t="str">
        <f>IFERROR(__xludf.DUMMYFUNCTION("""COMPUTED_VALUE"""),"EVGo Motors remains stable as the Automotive market shows normal activity.")</f>
        <v>EVGo Motors remains stable as the Automotive market shows normal activity.</v>
      </c>
      <c r="D1568" s="122" t="str">
        <f>IFERROR(__xludf.DUMMYFUNCTION("""COMPUTED_VALUE"""),"EVGo Motors appears steady with no major changes reported.")</f>
        <v>EVGo Motors appears steady with no major changes reported.</v>
      </c>
      <c r="E1568" s="122" t="str">
        <f>IFERROR(__xludf.DUMMYFUNCTION("""COMPUTED_VALUE"""),"Neutral")</f>
        <v>Neutral</v>
      </c>
      <c r="F1568" s="122">
        <f>IFERROR(__xludf.DUMMYFUNCTION("""COMPUTED_VALUE"""),0.0)</f>
        <v>0</v>
      </c>
      <c r="G1568" s="122">
        <f>IFERROR(__xludf.DUMMYFUNCTION("""COMPUTED_VALUE"""),0.0)</f>
        <v>0</v>
      </c>
      <c r="H1568" s="122" t="str">
        <f>IFERROR(__xludf.DUMMYFUNCTION("""COMPUTED_VALUE"""),"Active")</f>
        <v>Active</v>
      </c>
    </row>
    <row r="1569">
      <c r="A1569" s="131">
        <f>IFERROR(__xludf.DUMMYFUNCTION("""COMPUTED_VALUE"""),46185.331342592595)</f>
        <v>46185.33134</v>
      </c>
      <c r="B1569" s="122" t="str">
        <f>IFERROR(__xludf.DUMMYFUNCTION("""COMPUTED_VALUE"""),"TIRE")</f>
        <v>TIRE</v>
      </c>
      <c r="C1569" s="122" t="str">
        <f>IFERROR(__xludf.DUMMYFUNCTION("""COMPUTED_VALUE"""),"TireTown faces weaker demand and cautious investor sentiment.")</f>
        <v>TireTown faces weaker demand and cautious investor sentiment.</v>
      </c>
      <c r="D1569" s="122" t="str">
        <f>IFERROR(__xludf.DUMMYFUNCTION("""COMPUTED_VALUE"""),"Investors are watching TireTown closely as demand weakens.")</f>
        <v>Investors are watching TireTown closely as demand weakens.</v>
      </c>
      <c r="E1569" s="122" t="str">
        <f>IFERROR(__xludf.DUMMYFUNCTION("""COMPUTED_VALUE"""),"Negative")</f>
        <v>Negative</v>
      </c>
      <c r="F1569" s="122">
        <f>IFERROR(__xludf.DUMMYFUNCTION("""COMPUTED_VALUE"""),-0.015)</f>
        <v>-0.015</v>
      </c>
      <c r="G1569" s="122">
        <f>IFERROR(__xludf.DUMMYFUNCTION("""COMPUTED_VALUE"""),0.75)</f>
        <v>0.75</v>
      </c>
      <c r="H1569" s="122" t="str">
        <f>IFERROR(__xludf.DUMMYFUNCTION("""COMPUTED_VALUE"""),"Active")</f>
        <v>Active</v>
      </c>
    </row>
    <row r="1570">
      <c r="A1570" s="131">
        <f>IFERROR(__xludf.DUMMYFUNCTION("""COMPUTED_VALUE"""),46185.331354166665)</f>
        <v>46185.33135</v>
      </c>
      <c r="B1570" s="122" t="str">
        <f>IFERROR(__xludf.DUMMYFUNCTION("""COMPUTED_VALUE"""),"BIKE")</f>
        <v>BIKE</v>
      </c>
      <c r="C1570" s="122" t="str">
        <f>IFERROR(__xludf.DUMMYFUNCTION("""COMPUTED_VALUE"""),"BikeBox faces weaker demand and cautious investor sentiment.")</f>
        <v>BikeBox faces weaker demand and cautious investor sentiment.</v>
      </c>
      <c r="D1570" s="122" t="str">
        <f>IFERROR(__xludf.DUMMYFUNCTION("""COMPUTED_VALUE"""),"Investors are watching BikeBox closely as demand weakens.")</f>
        <v>Investors are watching BikeBox closely as demand weakens.</v>
      </c>
      <c r="E1570" s="122" t="str">
        <f>IFERROR(__xludf.DUMMYFUNCTION("""COMPUTED_VALUE"""),"Negative")</f>
        <v>Negative</v>
      </c>
      <c r="F1570" s="122">
        <f>IFERROR(__xludf.DUMMYFUNCTION("""COMPUTED_VALUE"""),-0.015)</f>
        <v>-0.015</v>
      </c>
      <c r="G1570" s="122">
        <f>IFERROR(__xludf.DUMMYFUNCTION("""COMPUTED_VALUE"""),0.75)</f>
        <v>0.75</v>
      </c>
      <c r="H1570" s="122" t="str">
        <f>IFERROR(__xludf.DUMMYFUNCTION("""COMPUTED_VALUE"""),"Active")</f>
        <v>Active</v>
      </c>
    </row>
    <row r="1571">
      <c r="A1571" s="131">
        <f>IFERROR(__xludf.DUMMYFUNCTION("""COMPUTED_VALUE"""),46185.331354166665)</f>
        <v>46185.33135</v>
      </c>
      <c r="B1571" s="122" t="str">
        <f>IFERROR(__xludf.DUMMYFUNCTION("""COMPUTED_VALUE"""),"WASH")</f>
        <v>WASH</v>
      </c>
      <c r="C1571" s="122" t="str">
        <f>IFERROR(__xludf.DUMMYFUNCTION("""COMPUTED_VALUE"""),"CarWash Co remains stable as the Automotive market shows normal activity.")</f>
        <v>CarWash Co remains stable as the Automotive market shows normal activity.</v>
      </c>
      <c r="D1571" s="122" t="str">
        <f>IFERROR(__xludf.DUMMYFUNCTION("""COMPUTED_VALUE"""),"CarWash Co appears steady with no major changes reported.")</f>
        <v>CarWash Co appears steady with no major changes reported.</v>
      </c>
      <c r="E1571" s="122" t="str">
        <f>IFERROR(__xludf.DUMMYFUNCTION("""COMPUTED_VALUE"""),"Neutral")</f>
        <v>Neutral</v>
      </c>
      <c r="F1571" s="122">
        <f>IFERROR(__xludf.DUMMYFUNCTION("""COMPUTED_VALUE"""),0.0)</f>
        <v>0</v>
      </c>
      <c r="G1571" s="122">
        <f>IFERROR(__xludf.DUMMYFUNCTION("""COMPUTED_VALUE"""),0.0)</f>
        <v>0</v>
      </c>
      <c r="H1571" s="122" t="str">
        <f>IFERROR(__xludf.DUMMYFUNCTION("""COMPUTED_VALUE"""),"Active")</f>
        <v>Active</v>
      </c>
    </row>
    <row r="1572">
      <c r="A1572" s="131">
        <f>IFERROR(__xludf.DUMMYFUNCTION("""COMPUTED_VALUE"""),46185.33136574074)</f>
        <v>46185.33137</v>
      </c>
      <c r="B1572" s="122" t="str">
        <f>IFERROR(__xludf.DUMMYFUNCTION("""COMPUTED_VALUE"""),"GBND")</f>
        <v>GBND</v>
      </c>
      <c r="C1572" s="122" t="str">
        <f>IFERROR(__xludf.DUMMYFUNCTION("""COMPUTED_VALUE"""),"Classroom Government Bond remains steady as investors seek stability.")</f>
        <v>Classroom Government Bond remains steady as investors seek stability.</v>
      </c>
      <c r="D1572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572" s="122" t="str">
        <f>IFERROR(__xludf.DUMMYFUNCTION("""COMPUTED_VALUE"""),"Neutral")</f>
        <v>Neutral</v>
      </c>
      <c r="F1572" s="122">
        <f>IFERROR(__xludf.DUMMYFUNCTION("""COMPUTED_VALUE"""),0.0)</f>
        <v>0</v>
      </c>
      <c r="G1572" s="122">
        <f>IFERROR(__xludf.DUMMYFUNCTION("""COMPUTED_VALUE"""),0.0)</f>
        <v>0</v>
      </c>
      <c r="H1572" s="122" t="str">
        <f>IFERROR(__xludf.DUMMYFUNCTION("""COMPUTED_VALUE"""),"Active")</f>
        <v>Active</v>
      </c>
    </row>
    <row r="1573">
      <c r="A1573" s="131">
        <f>IFERROR(__xludf.DUMMYFUNCTION("""COMPUTED_VALUE"""),46185.33137731482)</f>
        <v>46185.33138</v>
      </c>
      <c r="B1573" s="122" t="str">
        <f>IFERROR(__xludf.DUMMYFUNCTION("""COMPUTED_VALUE"""),"SBND")</f>
        <v>SBND</v>
      </c>
      <c r="C1573" s="122" t="str">
        <f>IFERROR(__xludf.DUMMYFUNCTION("""COMPUTED_VALUE"""),"School Savings Bond remains steady as investors seek stability.")</f>
        <v>School Savings Bond remains steady as investors seek stability.</v>
      </c>
      <c r="D1573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573" s="122" t="str">
        <f>IFERROR(__xludf.DUMMYFUNCTION("""COMPUTED_VALUE"""),"Neutral")</f>
        <v>Neutral</v>
      </c>
      <c r="F1573" s="122">
        <f>IFERROR(__xludf.DUMMYFUNCTION("""COMPUTED_VALUE"""),0.0)</f>
        <v>0</v>
      </c>
      <c r="G1573" s="122">
        <f>IFERROR(__xludf.DUMMYFUNCTION("""COMPUTED_VALUE"""),0.0)</f>
        <v>0</v>
      </c>
      <c r="H1573" s="122" t="str">
        <f>IFERROR(__xludf.DUMMYFUNCTION("""COMPUTED_VALUE"""),"Active")</f>
        <v>Active</v>
      </c>
    </row>
    <row r="1574">
      <c r="A1574" s="131">
        <f>IFERROR(__xludf.DUMMYFUNCTION("""COMPUTED_VALUE"""),46185.33138888889)</f>
        <v>46185.33139</v>
      </c>
      <c r="B1574" s="122" t="str">
        <f>IFERROR(__xludf.DUMMYFUNCTION("""COMPUTED_VALUE"""),"CBND")</f>
        <v>CBND</v>
      </c>
      <c r="C1574" s="122" t="str">
        <f>IFERROR(__xludf.DUMMYFUNCTION("""COMPUTED_VALUE"""),"Corporate Classroom Bond remains steady as investors seek stability.")</f>
        <v>Corporate Classroom Bond remains steady as investors seek stability.</v>
      </c>
      <c r="D1574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574" s="122" t="str">
        <f>IFERROR(__xludf.DUMMYFUNCTION("""COMPUTED_VALUE"""),"Neutral")</f>
        <v>Neutral</v>
      </c>
      <c r="F1574" s="122">
        <f>IFERROR(__xludf.DUMMYFUNCTION("""COMPUTED_VALUE"""),0.0)</f>
        <v>0</v>
      </c>
      <c r="G1574" s="122">
        <f>IFERROR(__xludf.DUMMYFUNCTION("""COMPUTED_VALUE"""),0.0)</f>
        <v>0</v>
      </c>
      <c r="H1574" s="122" t="str">
        <f>IFERROR(__xludf.DUMMYFUNCTION("""COMPUTED_VALUE"""),"Active")</f>
        <v>Active</v>
      </c>
    </row>
    <row r="1575">
      <c r="A1575" s="131">
        <f>IFERROR(__xludf.DUMMYFUNCTION("""COMPUTED_VALUE"""),46185.33138888889)</f>
        <v>46185.33139</v>
      </c>
      <c r="B1575" s="122" t="str">
        <f>IFERROR(__xludf.DUMMYFUNCTION("""COMPUTED_VALUE"""),"TBIL")</f>
        <v>TBIL</v>
      </c>
      <c r="C1575" s="122" t="str">
        <f>IFERROR(__xludf.DUMMYFUNCTION("""COMPUTED_VALUE"""),"Treasury Bill remains steady as investors seek stability.")</f>
        <v>Treasury Bill remains steady as investors seek stability.</v>
      </c>
      <c r="D1575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575" s="122" t="str">
        <f>IFERROR(__xludf.DUMMYFUNCTION("""COMPUTED_VALUE"""),"Neutral")</f>
        <v>Neutral</v>
      </c>
      <c r="F1575" s="122">
        <f>IFERROR(__xludf.DUMMYFUNCTION("""COMPUTED_VALUE"""),0.0)</f>
        <v>0</v>
      </c>
      <c r="G1575" s="122">
        <f>IFERROR(__xludf.DUMMYFUNCTION("""COMPUTED_VALUE"""),0.0)</f>
        <v>0</v>
      </c>
      <c r="H1575" s="122" t="str">
        <f>IFERROR(__xludf.DUMMYFUNCTION("""COMPUTED_VALUE"""),"Active")</f>
        <v>Active</v>
      </c>
    </row>
    <row r="1576">
      <c r="A1576" s="131">
        <f>IFERROR(__xludf.DUMMYFUNCTION("""COMPUTED_VALUE"""),46185.331400462965)</f>
        <v>46185.3314</v>
      </c>
      <c r="B1576" s="122" t="str">
        <f>IFERROR(__xludf.DUMMYFUNCTION("""COMPUTED_VALUE"""),"IBND")</f>
        <v>IBND</v>
      </c>
      <c r="C1576" s="122" t="str">
        <f>IFERROR(__xludf.DUMMYFUNCTION("""COMPUTED_VALUE"""),"Inflation Protected Bond remains steady as investors seek stability.")</f>
        <v>Inflation Protected Bond remains steady as investors seek stability.</v>
      </c>
      <c r="D1576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576" s="122" t="str">
        <f>IFERROR(__xludf.DUMMYFUNCTION("""COMPUTED_VALUE"""),"Neutral")</f>
        <v>Neutral</v>
      </c>
      <c r="F1576" s="122">
        <f>IFERROR(__xludf.DUMMYFUNCTION("""COMPUTED_VALUE"""),0.0)</f>
        <v>0</v>
      </c>
      <c r="G1576" s="122">
        <f>IFERROR(__xludf.DUMMYFUNCTION("""COMPUTED_VALUE"""),0.0)</f>
        <v>0</v>
      </c>
      <c r="H1576" s="122" t="str">
        <f>IFERROR(__xludf.DUMMYFUNCTION("""COMPUTED_VALUE"""),"Active")</f>
        <v>Active</v>
      </c>
    </row>
    <row r="1577">
      <c r="A1577" s="131">
        <f>IFERROR(__xludf.DUMMYFUNCTION("""COMPUTED_VALUE"""),46186.317557870374)</f>
        <v>46186.31756</v>
      </c>
      <c r="B1577" s="122" t="str">
        <f>IFERROR(__xludf.DUMMYFUNCTION("""COMPUTED_VALUE"""),"BOOK")</f>
        <v>BOOK</v>
      </c>
      <c r="C1577" s="122" t="str">
        <f>IFERROR(__xludf.DUMMYFUNCTION("""COMPUTED_VALUE"""),"BookBridge releases earnings report: Beat profit, guidance Raised.")</f>
        <v>BookBridge releases earnings report: Beat profit, guidance Raised.</v>
      </c>
      <c r="D157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77" s="122" t="str">
        <f>IFERROR(__xludf.DUMMYFUNCTION("""COMPUTED_VALUE"""),"Positive")</f>
        <v>Positive</v>
      </c>
      <c r="F1577" s="122">
        <f>IFERROR(__xludf.DUMMYFUNCTION("""COMPUTED_VALUE"""),0.04836439484060925)</f>
        <v>0.04836439484</v>
      </c>
      <c r="G1577" s="122">
        <f>IFERROR(__xludf.DUMMYFUNCTION("""COMPUTED_VALUE"""),1.2091098710152313)</f>
        <v>1.209109871</v>
      </c>
      <c r="H1577" s="122" t="str">
        <f>IFERROR(__xludf.DUMMYFUNCTION("""COMPUTED_VALUE"""),"Active")</f>
        <v>Active</v>
      </c>
    </row>
    <row r="1578">
      <c r="A1578" s="131">
        <f>IFERROR(__xludf.DUMMYFUNCTION("""COMPUTED_VALUE"""),46186.31762731481)</f>
        <v>46186.31763</v>
      </c>
      <c r="B1578" s="122" t="str">
        <f>IFERROR(__xludf.DUMMYFUNCTION("""COMPUTED_VALUE"""),"FAST")</f>
        <v>FAST</v>
      </c>
      <c r="C1578" s="122" t="str">
        <f>IFERROR(__xludf.DUMMYFUNCTION("""COMPUTED_VALUE"""),"Flash Logistics releases earnings report: Miss profit, guidance Maintained.")</f>
        <v>Flash Logistics releases earnings report: Miss profit, guidance Maintained.</v>
      </c>
      <c r="D1578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578" s="122" t="str">
        <f>IFERROR(__xludf.DUMMYFUNCTION("""COMPUTED_VALUE"""),"Negative")</f>
        <v>Negative</v>
      </c>
      <c r="F1578" s="122">
        <f>IFERROR(__xludf.DUMMYFUNCTION("""COMPUTED_VALUE"""),-0.010451986081741861)</f>
        <v>-0.01045198608</v>
      </c>
      <c r="G1578" s="122">
        <f>IFERROR(__xludf.DUMMYFUNCTION("""COMPUTED_VALUE"""),0.26129965204354655)</f>
        <v>0.261299652</v>
      </c>
      <c r="H1578" s="122" t="str">
        <f>IFERROR(__xludf.DUMMYFUNCTION("""COMPUTED_VALUE"""),"Active")</f>
        <v>Active</v>
      </c>
    </row>
    <row r="1579">
      <c r="A1579" s="131">
        <f>IFERROR(__xludf.DUMMYFUNCTION("""COMPUTED_VALUE"""),46186.31768518518)</f>
        <v>46186.31769</v>
      </c>
      <c r="B1579" s="122" t="str">
        <f>IFERROR(__xludf.DUMMYFUNCTION("""COMPUTED_VALUE"""),"RAMN")</f>
        <v>RAMN</v>
      </c>
      <c r="C1579" s="122" t="str">
        <f>IFERROR(__xludf.DUMMYFUNCTION("""COMPUTED_VALUE"""),"Ramen Republic releases earnings report: Beat profit, guidance Raised.")</f>
        <v>Ramen Republic releases earnings report: Beat profit, guidance Raised.</v>
      </c>
      <c r="D1579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79" s="122" t="str">
        <f>IFERROR(__xludf.DUMMYFUNCTION("""COMPUTED_VALUE"""),"Positive")</f>
        <v>Positive</v>
      </c>
      <c r="F1579" s="122">
        <f>IFERROR(__xludf.DUMMYFUNCTION("""COMPUTED_VALUE"""),0.02950280135402109)</f>
        <v>0.02950280135</v>
      </c>
      <c r="G1579" s="122">
        <f>IFERROR(__xludf.DUMMYFUNCTION("""COMPUTED_VALUE"""),0.7375700338505272)</f>
        <v>0.7375700339</v>
      </c>
      <c r="H1579" s="122" t="str">
        <f>IFERROR(__xludf.DUMMYFUNCTION("""COMPUTED_VALUE"""),"Active")</f>
        <v>Active</v>
      </c>
    </row>
    <row r="1580">
      <c r="A1580" s="131">
        <f>IFERROR(__xludf.DUMMYFUNCTION("""COMPUTED_VALUE"""),46186.31774305556)</f>
        <v>46186.31774</v>
      </c>
      <c r="B1580" s="122" t="str">
        <f>IFERROR(__xludf.DUMMYFUNCTION("""COMPUTED_VALUE"""),"BANK")</f>
        <v>BANK</v>
      </c>
      <c r="C1580" s="122" t="str">
        <f>IFERROR(__xludf.DUMMYFUNCTION("""COMPUTED_VALUE"""),"Tiger Bank releases earnings report: Beat profit, guidance Raised.")</f>
        <v>Tiger Bank releases earnings report: Beat profit, guidance Raised.</v>
      </c>
      <c r="D1580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80" s="122" t="str">
        <f>IFERROR(__xludf.DUMMYFUNCTION("""COMPUTED_VALUE"""),"Positive")</f>
        <v>Positive</v>
      </c>
      <c r="F1580" s="122">
        <f>IFERROR(__xludf.DUMMYFUNCTION("""COMPUTED_VALUE"""),0.024527179551249546)</f>
        <v>0.02452717955</v>
      </c>
      <c r="G1580" s="122">
        <f>IFERROR(__xludf.DUMMYFUNCTION("""COMPUTED_VALUE"""),0.6131794887812386)</f>
        <v>0.6131794888</v>
      </c>
      <c r="H1580" s="122" t="str">
        <f>IFERROR(__xludf.DUMMYFUNCTION("""COMPUTED_VALUE"""),"Active")</f>
        <v>Active</v>
      </c>
    </row>
    <row r="1581">
      <c r="A1581" s="131">
        <f>IFERROR(__xludf.DUMMYFUNCTION("""COMPUTED_VALUE"""),46186.31780092593)</f>
        <v>46186.3178</v>
      </c>
      <c r="B1581" s="122" t="str">
        <f>IFERROR(__xludf.DUMMYFUNCTION("""COMPUTED_VALUE"""),"LANG")</f>
        <v>LANG</v>
      </c>
      <c r="C1581" s="122" t="str">
        <f>IFERROR(__xludf.DUMMYFUNCTION("""COMPUTED_VALUE"""),"LinguaLab releases earnings report: Miss profit, guidance Lowered.")</f>
        <v>LinguaLab releases earnings report: Miss profit, guidance Lowered.</v>
      </c>
      <c r="D1581" s="122" t="str">
        <f>IFERROR(__xludf.DUMMYFUNCTION("""COMPUTED_VALUE"""),"Earnings report: revenue Miss, profit Miss, debt Worse, guidance Lowered.")</f>
        <v>Earnings report: revenue Miss, profit Miss, debt Worse, guidance Lowered.</v>
      </c>
      <c r="E1581" s="122" t="str">
        <f>IFERROR(__xludf.DUMMYFUNCTION("""COMPUTED_VALUE"""),"Negative")</f>
        <v>Negative</v>
      </c>
      <c r="F1581" s="122">
        <f>IFERROR(__xludf.DUMMYFUNCTION("""COMPUTED_VALUE"""),-0.05631117447716156)</f>
        <v>-0.05631117448</v>
      </c>
      <c r="G1581" s="122">
        <f>IFERROR(__xludf.DUMMYFUNCTION("""COMPUTED_VALUE"""),1.407779361929039)</f>
        <v>1.407779362</v>
      </c>
      <c r="H1581" s="122" t="str">
        <f>IFERROR(__xludf.DUMMYFUNCTION("""COMPUTED_VALUE"""),"Active")</f>
        <v>Active</v>
      </c>
    </row>
    <row r="1582">
      <c r="A1582" s="131">
        <f>IFERROR(__xludf.DUMMYFUNCTION("""COMPUTED_VALUE"""),46186.3178587963)</f>
        <v>46186.31786</v>
      </c>
      <c r="B1582" s="122" t="str">
        <f>IFERROR(__xludf.DUMMYFUNCTION("""COMPUTED_VALUE"""),"INSR")</f>
        <v>INSR</v>
      </c>
      <c r="C1582" s="122" t="str">
        <f>IFERROR(__xludf.DUMMYFUNCTION("""COMPUTED_VALUE"""),"Shield Insurance releases earnings report: Beat profit, guidance Raised.")</f>
        <v>Shield Insurance releases earnings report: Beat profit, guidance Raised.</v>
      </c>
      <c r="D1582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82" s="122" t="str">
        <f>IFERROR(__xludf.DUMMYFUNCTION("""COMPUTED_VALUE"""),"Positive")</f>
        <v>Positive</v>
      </c>
      <c r="F1582" s="122">
        <f>IFERROR(__xludf.DUMMYFUNCTION("""COMPUTED_VALUE"""),0.03549088230518291)</f>
        <v>0.03549088231</v>
      </c>
      <c r="G1582" s="122">
        <f>IFERROR(__xludf.DUMMYFUNCTION("""COMPUTED_VALUE"""),0.8872720576295727)</f>
        <v>0.8872720576</v>
      </c>
      <c r="H1582" s="122" t="str">
        <f>IFERROR(__xludf.DUMMYFUNCTION("""COMPUTED_VALUE"""),"Active")</f>
        <v>Active</v>
      </c>
    </row>
    <row r="1583">
      <c r="A1583" s="131">
        <f>IFERROR(__xludf.DUMMYFUNCTION("""COMPUTED_VALUE"""),46186.317928240744)</f>
        <v>46186.31793</v>
      </c>
      <c r="B1583" s="122" t="str">
        <f>IFERROR(__xludf.DUMMYFUNCTION("""COMPUTED_VALUE"""),"HOME")</f>
        <v>HOME</v>
      </c>
      <c r="C1583" s="122" t="str">
        <f>IFERROR(__xludf.DUMMYFUNCTION("""COMPUTED_VALUE"""),"HomeHub releases earnings report: Inline profit, guidance Maintained.")</f>
        <v>HomeHub releases earnings report: Inline profit, guidance Maintained.</v>
      </c>
      <c r="D1583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583" s="122" t="str">
        <f>IFERROR(__xludf.DUMMYFUNCTION("""COMPUTED_VALUE"""),"Neutral")</f>
        <v>Neutral</v>
      </c>
      <c r="F1583" s="122">
        <f>IFERROR(__xludf.DUMMYFUNCTION("""COMPUTED_VALUE"""),-0.0034314008036640995)</f>
        <v>-0.003431400804</v>
      </c>
      <c r="G1583" s="122">
        <f>IFERROR(__xludf.DUMMYFUNCTION("""COMPUTED_VALUE"""),0.08578502009160249)</f>
        <v>0.08578502009</v>
      </c>
      <c r="H1583" s="122" t="str">
        <f>IFERROR(__xludf.DUMMYFUNCTION("""COMPUTED_VALUE"""),"Active")</f>
        <v>Active</v>
      </c>
    </row>
    <row r="1584">
      <c r="A1584" s="131">
        <f>IFERROR(__xludf.DUMMYFUNCTION("""COMPUTED_VALUE"""),46186.317974537036)</f>
        <v>46186.31797</v>
      </c>
      <c r="B1584" s="122" t="str">
        <f>IFERROR(__xludf.DUMMYFUNCTION("""COMPUTED_VALUE"""),"OILX")</f>
        <v>OILX</v>
      </c>
      <c r="C1584" s="122" t="str">
        <f>IFERROR(__xludf.DUMMYFUNCTION("""COMPUTED_VALUE"""),"OilMax Energy releases earnings report: Miss profit, guidance Lowered.")</f>
        <v>OilMax Energy releases earnings report: Miss profit, guidance Lowered.</v>
      </c>
      <c r="D1584" s="122" t="str">
        <f>IFERROR(__xludf.DUMMYFUNCTION("""COMPUTED_VALUE"""),"Earnings report: revenue Miss, profit Miss, debt Worse, guidance Lowered.")</f>
        <v>Earnings report: revenue Miss, profit Miss, debt Worse, guidance Lowered.</v>
      </c>
      <c r="E1584" s="122" t="str">
        <f>IFERROR(__xludf.DUMMYFUNCTION("""COMPUTED_VALUE"""),"Negative")</f>
        <v>Negative</v>
      </c>
      <c r="F1584" s="122">
        <f>IFERROR(__xludf.DUMMYFUNCTION("""COMPUTED_VALUE"""),-0.03476806255694287)</f>
        <v>-0.03476806256</v>
      </c>
      <c r="G1584" s="122">
        <f>IFERROR(__xludf.DUMMYFUNCTION("""COMPUTED_VALUE"""),0.8692015639235717)</f>
        <v>0.8692015639</v>
      </c>
      <c r="H1584" s="122" t="str">
        <f>IFERROR(__xludf.DUMMYFUNCTION("""COMPUTED_VALUE"""),"Active")</f>
        <v>Active</v>
      </c>
    </row>
    <row r="1585">
      <c r="A1585" s="131">
        <f>IFERROR(__xludf.DUMMYFUNCTION("""COMPUTED_VALUE"""),46186.31804398148)</f>
        <v>46186.31804</v>
      </c>
      <c r="B1585" s="122" t="str">
        <f>IFERROR(__xludf.DUMMYFUNCTION("""COMPUTED_VALUE"""),"IDOL")</f>
        <v>IDOL</v>
      </c>
      <c r="C1585" s="122" t="str">
        <f>IFERROR(__xludf.DUMMYFUNCTION("""COMPUTED_VALUE"""),"Idol Agency releases earnings report: Beat profit, guidance Raised.")</f>
        <v>Idol Agency releases earnings report: Beat profit, guidance Raised.</v>
      </c>
      <c r="D1585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585" s="122" t="str">
        <f>IFERROR(__xludf.DUMMYFUNCTION("""COMPUTED_VALUE"""),"Positive")</f>
        <v>Positive</v>
      </c>
      <c r="F1585" s="122">
        <f>IFERROR(__xludf.DUMMYFUNCTION("""COMPUTED_VALUE"""),0.027508020264453217)</f>
        <v>0.02750802026</v>
      </c>
      <c r="G1585" s="122">
        <f>IFERROR(__xludf.DUMMYFUNCTION("""COMPUTED_VALUE"""),0.6877005066113304)</f>
        <v>0.6877005066</v>
      </c>
      <c r="H1585" s="122" t="str">
        <f>IFERROR(__xludf.DUMMYFUNCTION("""COMPUTED_VALUE"""),"Active")</f>
        <v>Active</v>
      </c>
    </row>
    <row r="1586">
      <c r="A1586" s="131">
        <f>IFERROR(__xludf.DUMMYFUNCTION("""COMPUTED_VALUE"""),46186.331238425926)</f>
        <v>46186.33124</v>
      </c>
      <c r="B1586" s="122" t="str">
        <f>IFERROR(__xludf.DUMMYFUNCTION("""COMPUTED_VALUE"""),"SNAX")</f>
        <v>SNAX</v>
      </c>
      <c r="C1586" s="122" t="str">
        <f>IFERROR(__xludf.DUMMYFUNCTION("""COMPUTED_VALUE"""),"MICA Snacks reports steady growth and improved market confidence.")</f>
        <v>MICA Snacks reports steady growth and improved market confidence.</v>
      </c>
      <c r="D1586" s="122" t="str">
        <f>IFERROR(__xludf.DUMMYFUNCTION("""COMPUTED_VALUE"""),"MICA Snacks continues to show positive momentum with moderate risk.")</f>
        <v>MICA Snacks continues to show positive momentum with moderate risk.</v>
      </c>
      <c r="E1586" s="122" t="str">
        <f>IFERROR(__xludf.DUMMYFUNCTION("""COMPUTED_VALUE"""),"Positive")</f>
        <v>Positive</v>
      </c>
      <c r="F1586" s="122">
        <f>IFERROR(__xludf.DUMMYFUNCTION("""COMPUTED_VALUE"""),0.015)</f>
        <v>0.015</v>
      </c>
      <c r="G1586" s="122">
        <f>IFERROR(__xludf.DUMMYFUNCTION("""COMPUTED_VALUE"""),0.5)</f>
        <v>0.5</v>
      </c>
      <c r="H1586" s="122" t="str">
        <f>IFERROR(__xludf.DUMMYFUNCTION("""COMPUTED_VALUE"""),"Active")</f>
        <v>Active</v>
      </c>
    </row>
    <row r="1587">
      <c r="A1587" s="131">
        <f>IFERROR(__xludf.DUMMYFUNCTION("""COMPUTED_VALUE"""),46186.33125)</f>
        <v>46186.33125</v>
      </c>
      <c r="B1587" s="122" t="str">
        <f>IFERROR(__xludf.DUMMYFUNCTION("""COMPUTED_VALUE"""),"RAMN")</f>
        <v>RAMN</v>
      </c>
      <c r="C1587" s="122" t="str">
        <f>IFERROR(__xludf.DUMMYFUNCTION("""COMPUTED_VALUE"""),"Ramen Republic faces weaker demand and cautious investor sentiment.")</f>
        <v>Ramen Republic faces weaker demand and cautious investor sentiment.</v>
      </c>
      <c r="D1587" s="122" t="str">
        <f>IFERROR(__xludf.DUMMYFUNCTION("""COMPUTED_VALUE"""),"Investors are watching Ramen Republic closely as demand weakens.")</f>
        <v>Investors are watching Ramen Republic closely as demand weakens.</v>
      </c>
      <c r="E1587" s="122" t="str">
        <f>IFERROR(__xludf.DUMMYFUNCTION("""COMPUTED_VALUE"""),"Negative")</f>
        <v>Negative</v>
      </c>
      <c r="F1587" s="122">
        <f>IFERROR(__xludf.DUMMYFUNCTION("""COMPUTED_VALUE"""),-0.015)</f>
        <v>-0.015</v>
      </c>
      <c r="G1587" s="122">
        <f>IFERROR(__xludf.DUMMYFUNCTION("""COMPUTED_VALUE"""),0.75)</f>
        <v>0.75</v>
      </c>
      <c r="H1587" s="122" t="str">
        <f>IFERROR(__xludf.DUMMYFUNCTION("""COMPUTED_VALUE"""),"Active")</f>
        <v>Active</v>
      </c>
    </row>
    <row r="1588">
      <c r="A1588" s="131">
        <f>IFERROR(__xludf.DUMMYFUNCTION("""COMPUTED_VALUE"""),46186.33126157407)</f>
        <v>46186.33126</v>
      </c>
      <c r="B1588" s="122" t="str">
        <f>IFERROR(__xludf.DUMMYFUNCTION("""COMPUTED_VALUE"""),"COLA")</f>
        <v>COLA</v>
      </c>
      <c r="C1588" s="122" t="str">
        <f>IFERROR(__xludf.DUMMYFUNCTION("""COMPUTED_VALUE"""),"K-Pop Cola remains stable as the Beverage market shows normal activity.")</f>
        <v>K-Pop Cola remains stable as the Beverage market shows normal activity.</v>
      </c>
      <c r="D1588" s="122" t="str">
        <f>IFERROR(__xludf.DUMMYFUNCTION("""COMPUTED_VALUE"""),"K-Pop Cola appears steady with no major changes reported.")</f>
        <v>K-Pop Cola appears steady with no major changes reported.</v>
      </c>
      <c r="E1588" s="122" t="str">
        <f>IFERROR(__xludf.DUMMYFUNCTION("""COMPUTED_VALUE"""),"Neutral")</f>
        <v>Neutral</v>
      </c>
      <c r="F1588" s="122">
        <f>IFERROR(__xludf.DUMMYFUNCTION("""COMPUTED_VALUE"""),0.0)</f>
        <v>0</v>
      </c>
      <c r="G1588" s="122">
        <f>IFERROR(__xludf.DUMMYFUNCTION("""COMPUTED_VALUE"""),0.0)</f>
        <v>0</v>
      </c>
      <c r="H1588" s="122" t="str">
        <f>IFERROR(__xludf.DUMMYFUNCTION("""COMPUTED_VALUE"""),"Active")</f>
        <v>Active</v>
      </c>
    </row>
    <row r="1589">
      <c r="A1589" s="131">
        <f>IFERROR(__xludf.DUMMYFUNCTION("""COMPUTED_VALUE"""),46186.33126157407)</f>
        <v>46186.33126</v>
      </c>
      <c r="B1589" s="122" t="str">
        <f>IFERROR(__xludf.DUMMYFUNCTION("""COMPUTED_VALUE"""),"CHIP")</f>
        <v>CHIP</v>
      </c>
      <c r="C1589" s="122" t="str">
        <f>IFERROR(__xludf.DUMMYFUNCTION("""COMPUTED_VALUE"""),"Chip Empire surges as demand rises across the Consumer Goods sector.")</f>
        <v>Chip Empire surges as demand rises across the Consumer Goods sector.</v>
      </c>
      <c r="D1589" s="122" t="str">
        <f>IFERROR(__xludf.DUMMYFUNCTION("""COMPUTED_VALUE"""),"Chip Empire is seeing strong demand, which may increase investor confidence.")</f>
        <v>Chip Empire is seeing strong demand, which may increase investor confidence.</v>
      </c>
      <c r="E1589" s="122" t="str">
        <f>IFERROR(__xludf.DUMMYFUNCTION("""COMPUTED_VALUE"""),"Positive")</f>
        <v>Positive</v>
      </c>
      <c r="F1589" s="122">
        <f>IFERROR(__xludf.DUMMYFUNCTION("""COMPUTED_VALUE"""),0.03)</f>
        <v>0.03</v>
      </c>
      <c r="G1589" s="122">
        <f>IFERROR(__xludf.DUMMYFUNCTION("""COMPUTED_VALUE"""),1.0)</f>
        <v>1</v>
      </c>
      <c r="H1589" s="122" t="str">
        <f>IFERROR(__xludf.DUMMYFUNCTION("""COMPUTED_VALUE"""),"Active")</f>
        <v>Active</v>
      </c>
    </row>
    <row r="1590">
      <c r="A1590" s="131">
        <f>IFERROR(__xludf.DUMMYFUNCTION("""COMPUTED_VALUE"""),46186.33127314815)</f>
        <v>46186.33127</v>
      </c>
      <c r="B1590" s="122" t="str">
        <f>IFERROR(__xludf.DUMMYFUNCTION("""COMPUTED_VALUE"""),"CAND")</f>
        <v>CAND</v>
      </c>
      <c r="C1590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1590" s="122" t="str">
        <f>IFERROR(__xludf.DUMMYFUNCTION("""COMPUTED_VALUE"""),"Candy Capital appears steady with no major changes reported.")</f>
        <v>Candy Capital appears steady with no major changes reported.</v>
      </c>
      <c r="E1590" s="122" t="str">
        <f>IFERROR(__xludf.DUMMYFUNCTION("""COMPUTED_VALUE"""),"Neutral")</f>
        <v>Neutral</v>
      </c>
      <c r="F1590" s="122">
        <f>IFERROR(__xludf.DUMMYFUNCTION("""COMPUTED_VALUE"""),0.0)</f>
        <v>0</v>
      </c>
      <c r="G1590" s="122">
        <f>IFERROR(__xludf.DUMMYFUNCTION("""COMPUTED_VALUE"""),0.0)</f>
        <v>0</v>
      </c>
      <c r="H1590" s="122" t="str">
        <f>IFERROR(__xludf.DUMMYFUNCTION("""COMPUTED_VALUE"""),"Active")</f>
        <v>Active</v>
      </c>
    </row>
    <row r="1591">
      <c r="A1591" s="131">
        <f>IFERROR(__xludf.DUMMYFUNCTION("""COMPUTED_VALUE"""),46186.33128472222)</f>
        <v>46186.33128</v>
      </c>
      <c r="B1591" s="122" t="str">
        <f>IFERROR(__xludf.DUMMYFUNCTION("""COMPUTED_VALUE"""),"TECH")</f>
        <v>TECH</v>
      </c>
      <c r="C1591" s="122" t="str">
        <f>IFERROR(__xludf.DUMMYFUNCTION("""COMPUTED_VALUE"""),"Dragon Tech reports steady growth and improved market confidence.")</f>
        <v>Dragon Tech reports steady growth and improved market confidence.</v>
      </c>
      <c r="D1591" s="122" t="str">
        <f>IFERROR(__xludf.DUMMYFUNCTION("""COMPUTED_VALUE"""),"Dragon Tech continues to show positive momentum with moderate risk.")</f>
        <v>Dragon Tech continues to show positive momentum with moderate risk.</v>
      </c>
      <c r="E1591" s="122" t="str">
        <f>IFERROR(__xludf.DUMMYFUNCTION("""COMPUTED_VALUE"""),"Positive")</f>
        <v>Positive</v>
      </c>
      <c r="F1591" s="122">
        <f>IFERROR(__xludf.DUMMYFUNCTION("""COMPUTED_VALUE"""),0.015)</f>
        <v>0.015</v>
      </c>
      <c r="G1591" s="122">
        <f>IFERROR(__xludf.DUMMYFUNCTION("""COMPUTED_VALUE"""),0.5)</f>
        <v>0.5</v>
      </c>
      <c r="H1591" s="122" t="str">
        <f>IFERROR(__xludf.DUMMYFUNCTION("""COMPUTED_VALUE"""),"Active")</f>
        <v>Active</v>
      </c>
    </row>
    <row r="1592">
      <c r="A1592" s="131">
        <f>IFERROR(__xludf.DUMMYFUNCTION("""COMPUTED_VALUE"""),46186.331296296295)</f>
        <v>46186.3313</v>
      </c>
      <c r="B1592" s="122" t="str">
        <f>IFERROR(__xludf.DUMMYFUNCTION("""COMPUTED_VALUE"""),"AIBO")</f>
        <v>AIBO</v>
      </c>
      <c r="C1592" s="122" t="str">
        <f>IFERROR(__xludf.DUMMYFUNCTION("""COMPUTED_VALUE"""),"Homework AI remains stable as the Technology market shows normal activity.")</f>
        <v>Homework AI remains stable as the Technology market shows normal activity.</v>
      </c>
      <c r="D1592" s="122" t="str">
        <f>IFERROR(__xludf.DUMMYFUNCTION("""COMPUTED_VALUE"""),"Homework AI appears steady with no major changes reported.")</f>
        <v>Homework AI appears steady with no major changes reported.</v>
      </c>
      <c r="E1592" s="122" t="str">
        <f>IFERROR(__xludf.DUMMYFUNCTION("""COMPUTED_VALUE"""),"Neutral")</f>
        <v>Neutral</v>
      </c>
      <c r="F1592" s="122">
        <f>IFERROR(__xludf.DUMMYFUNCTION("""COMPUTED_VALUE"""),0.0)</f>
        <v>0</v>
      </c>
      <c r="G1592" s="122">
        <f>IFERROR(__xludf.DUMMYFUNCTION("""COMPUTED_VALUE"""),0.0)</f>
        <v>0</v>
      </c>
      <c r="H1592" s="122" t="str">
        <f>IFERROR(__xludf.DUMMYFUNCTION("""COMPUTED_VALUE"""),"Active")</f>
        <v>Active</v>
      </c>
    </row>
    <row r="1593">
      <c r="A1593" s="131">
        <f>IFERROR(__xludf.DUMMYFUNCTION("""COMPUTED_VALUE"""),46186.33130787037)</f>
        <v>46186.33131</v>
      </c>
      <c r="B1593" s="122" t="str">
        <f>IFERROR(__xludf.DUMMYFUNCTION("""COMPUTED_VALUE"""),"GAME")</f>
        <v>GAME</v>
      </c>
      <c r="C1593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1593" s="122" t="str">
        <f>IFERROR(__xludf.DUMMYFUNCTION("""COMPUTED_VALUE"""),"GameBox Media appears steady with no major changes reported.")</f>
        <v>GameBox Media appears steady with no major changes reported.</v>
      </c>
      <c r="E1593" s="122" t="str">
        <f>IFERROR(__xludf.DUMMYFUNCTION("""COMPUTED_VALUE"""),"Neutral")</f>
        <v>Neutral</v>
      </c>
      <c r="F1593" s="122">
        <f>IFERROR(__xludf.DUMMYFUNCTION("""COMPUTED_VALUE"""),0.0)</f>
        <v>0</v>
      </c>
      <c r="G1593" s="122">
        <f>IFERROR(__xludf.DUMMYFUNCTION("""COMPUTED_VALUE"""),0.0)</f>
        <v>0</v>
      </c>
      <c r="H1593" s="122" t="str">
        <f>IFERROR(__xludf.DUMMYFUNCTION("""COMPUTED_VALUE"""),"Active")</f>
        <v>Active</v>
      </c>
    </row>
    <row r="1594">
      <c r="A1594" s="131">
        <f>IFERROR(__xludf.DUMMYFUNCTION("""COMPUTED_VALUE"""),46186.33130787037)</f>
        <v>46186.33131</v>
      </c>
      <c r="B1594" s="122" t="str">
        <f>IFERROR(__xludf.DUMMYFUNCTION("""COMPUTED_VALUE"""),"VRSE")</f>
        <v>VRSE</v>
      </c>
      <c r="C1594" s="122" t="str">
        <f>IFERROR(__xludf.DUMMYFUNCTION("""COMPUTED_VALUE"""),"VerseVR remains stable as the Technology market shows normal activity.")</f>
        <v>VerseVR remains stable as the Technology market shows normal activity.</v>
      </c>
      <c r="D1594" s="122" t="str">
        <f>IFERROR(__xludf.DUMMYFUNCTION("""COMPUTED_VALUE"""),"VerseVR appears steady with no major changes reported.")</f>
        <v>VerseVR appears steady with no major changes reported.</v>
      </c>
      <c r="E1594" s="122" t="str">
        <f>IFERROR(__xludf.DUMMYFUNCTION("""COMPUTED_VALUE"""),"Neutral")</f>
        <v>Neutral</v>
      </c>
      <c r="F1594" s="122">
        <f>IFERROR(__xludf.DUMMYFUNCTION("""COMPUTED_VALUE"""),0.0)</f>
        <v>0</v>
      </c>
      <c r="G1594" s="122">
        <f>IFERROR(__xludf.DUMMYFUNCTION("""COMPUTED_VALUE"""),0.0)</f>
        <v>0</v>
      </c>
      <c r="H1594" s="122" t="str">
        <f>IFERROR(__xludf.DUMMYFUNCTION("""COMPUTED_VALUE"""),"Active")</f>
        <v>Active</v>
      </c>
    </row>
    <row r="1595">
      <c r="A1595" s="131">
        <f>IFERROR(__xludf.DUMMYFUNCTION("""COMPUTED_VALUE"""),46186.33131944444)</f>
        <v>46186.33132</v>
      </c>
      <c r="B1595" s="122" t="str">
        <f>IFERROR(__xludf.DUMMYFUNCTION("""COMPUTED_VALUE"""),"BYTE")</f>
        <v>BYTE</v>
      </c>
      <c r="C1595" s="122" t="str">
        <f>IFERROR(__xludf.DUMMYFUNCTION("""COMPUTED_VALUE"""),"ByteWorks faces weaker demand and cautious investor sentiment.")</f>
        <v>ByteWorks faces weaker demand and cautious investor sentiment.</v>
      </c>
      <c r="D1595" s="122" t="str">
        <f>IFERROR(__xludf.DUMMYFUNCTION("""COMPUTED_VALUE"""),"Investors are watching ByteWorks closely as demand weakens.")</f>
        <v>Investors are watching ByteWorks closely as demand weakens.</v>
      </c>
      <c r="E1595" s="122" t="str">
        <f>IFERROR(__xludf.DUMMYFUNCTION("""COMPUTED_VALUE"""),"Negative")</f>
        <v>Negative</v>
      </c>
      <c r="F1595" s="122">
        <f>IFERROR(__xludf.DUMMYFUNCTION("""COMPUTED_VALUE"""),-0.015)</f>
        <v>-0.015</v>
      </c>
      <c r="G1595" s="122">
        <f>IFERROR(__xludf.DUMMYFUNCTION("""COMPUTED_VALUE"""),0.75)</f>
        <v>0.75</v>
      </c>
      <c r="H1595" s="122" t="str">
        <f>IFERROR(__xludf.DUMMYFUNCTION("""COMPUTED_VALUE"""),"Active")</f>
        <v>Active</v>
      </c>
    </row>
    <row r="1596">
      <c r="A1596" s="131">
        <f>IFERROR(__xludf.DUMMYFUNCTION("""COMPUTED_VALUE"""),46186.33133101852)</f>
        <v>46186.33133</v>
      </c>
      <c r="B1596" s="122" t="str">
        <f>IFERROR(__xludf.DUMMYFUNCTION("""COMPUTED_VALUE"""),"BANK")</f>
        <v>BANK</v>
      </c>
      <c r="C1596" s="122" t="str">
        <f>IFERROR(__xludf.DUMMYFUNCTION("""COMPUTED_VALUE"""),"Tiger Bank faces weaker demand and cautious investor sentiment.")</f>
        <v>Tiger Bank faces weaker demand and cautious investor sentiment.</v>
      </c>
      <c r="D1596" s="122" t="str">
        <f>IFERROR(__xludf.DUMMYFUNCTION("""COMPUTED_VALUE"""),"Investors are watching Tiger Bank closely as demand weakens.")</f>
        <v>Investors are watching Tiger Bank closely as demand weakens.</v>
      </c>
      <c r="E1596" s="122" t="str">
        <f>IFERROR(__xludf.DUMMYFUNCTION("""COMPUTED_VALUE"""),"Negative")</f>
        <v>Negative</v>
      </c>
      <c r="F1596" s="122">
        <f>IFERROR(__xludf.DUMMYFUNCTION("""COMPUTED_VALUE"""),-0.015)</f>
        <v>-0.015</v>
      </c>
      <c r="G1596" s="122">
        <f>IFERROR(__xludf.DUMMYFUNCTION("""COMPUTED_VALUE"""),0.75)</f>
        <v>0.75</v>
      </c>
      <c r="H1596" s="122" t="str">
        <f>IFERROR(__xludf.DUMMYFUNCTION("""COMPUTED_VALUE"""),"Active")</f>
        <v>Active</v>
      </c>
    </row>
    <row r="1597">
      <c r="A1597" s="131">
        <f>IFERROR(__xludf.DUMMYFUNCTION("""COMPUTED_VALUE"""),46186.331342592595)</f>
        <v>46186.33134</v>
      </c>
      <c r="B1597" s="122" t="str">
        <f>IFERROR(__xludf.DUMMYFUNCTION("""COMPUTED_VALUE"""),"CRED")</f>
        <v>CRED</v>
      </c>
      <c r="C1597" s="122" t="str">
        <f>IFERROR(__xludf.DUMMYFUNCTION("""COMPUTED_VALUE"""),"Credit Castle faces weaker demand and cautious investor sentiment.")</f>
        <v>Credit Castle faces weaker demand and cautious investor sentiment.</v>
      </c>
      <c r="D1597" s="122" t="str">
        <f>IFERROR(__xludf.DUMMYFUNCTION("""COMPUTED_VALUE"""),"Investors are watching Credit Castle closely as demand weakens.")</f>
        <v>Investors are watching Credit Castle closely as demand weakens.</v>
      </c>
      <c r="E1597" s="122" t="str">
        <f>IFERROR(__xludf.DUMMYFUNCTION("""COMPUTED_VALUE"""),"Negative")</f>
        <v>Negative</v>
      </c>
      <c r="F1597" s="122">
        <f>IFERROR(__xludf.DUMMYFUNCTION("""COMPUTED_VALUE"""),-0.015)</f>
        <v>-0.015</v>
      </c>
      <c r="G1597" s="122">
        <f>IFERROR(__xludf.DUMMYFUNCTION("""COMPUTED_VALUE"""),0.75)</f>
        <v>0.75</v>
      </c>
      <c r="H1597" s="122" t="str">
        <f>IFERROR(__xludf.DUMMYFUNCTION("""COMPUTED_VALUE"""),"Active")</f>
        <v>Active</v>
      </c>
    </row>
    <row r="1598">
      <c r="A1598" s="131">
        <f>IFERROR(__xludf.DUMMYFUNCTION("""COMPUTED_VALUE"""),46186.331354166665)</f>
        <v>46186.33135</v>
      </c>
      <c r="B1598" s="122" t="str">
        <f>IFERROR(__xludf.DUMMYFUNCTION("""COMPUTED_VALUE"""),"BOND")</f>
        <v>BOND</v>
      </c>
      <c r="C1598" s="122" t="str">
        <f>IFERROR(__xludf.DUMMYFUNCTION("""COMPUTED_VALUE"""),"BondBridge remains stable as the Finance market shows normal activity.")</f>
        <v>BondBridge remains stable as the Finance market shows normal activity.</v>
      </c>
      <c r="D1598" s="122" t="str">
        <f>IFERROR(__xludf.DUMMYFUNCTION("""COMPUTED_VALUE"""),"BondBridge appears steady with no major changes reported.")</f>
        <v>BondBridge appears steady with no major changes reported.</v>
      </c>
      <c r="E1598" s="122" t="str">
        <f>IFERROR(__xludf.DUMMYFUNCTION("""COMPUTED_VALUE"""),"Neutral")</f>
        <v>Neutral</v>
      </c>
      <c r="F1598" s="122">
        <f>IFERROR(__xludf.DUMMYFUNCTION("""COMPUTED_VALUE"""),0.0)</f>
        <v>0</v>
      </c>
      <c r="G1598" s="122">
        <f>IFERROR(__xludf.DUMMYFUNCTION("""COMPUTED_VALUE"""),0.0)</f>
        <v>0</v>
      </c>
      <c r="H1598" s="122" t="str">
        <f>IFERROR(__xludf.DUMMYFUNCTION("""COMPUTED_VALUE"""),"Active")</f>
        <v>Active</v>
      </c>
    </row>
    <row r="1599">
      <c r="A1599" s="131">
        <f>IFERROR(__xludf.DUMMYFUNCTION("""COMPUTED_VALUE"""),46186.33136574074)</f>
        <v>46186.33137</v>
      </c>
      <c r="B1599" s="122" t="str">
        <f>IFERROR(__xludf.DUMMYFUNCTION("""COMPUTED_VALUE"""),"INSR")</f>
        <v>INSR</v>
      </c>
      <c r="C1599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1599" s="122" t="str">
        <f>IFERROR(__xludf.DUMMYFUNCTION("""COMPUTED_VALUE"""),"Shield Insurance appears steady with no major changes reported.")</f>
        <v>Shield Insurance appears steady with no major changes reported.</v>
      </c>
      <c r="E1599" s="122" t="str">
        <f>IFERROR(__xludf.DUMMYFUNCTION("""COMPUTED_VALUE"""),"Neutral")</f>
        <v>Neutral</v>
      </c>
      <c r="F1599" s="122">
        <f>IFERROR(__xludf.DUMMYFUNCTION("""COMPUTED_VALUE"""),0.0)</f>
        <v>0</v>
      </c>
      <c r="G1599" s="122">
        <f>IFERROR(__xludf.DUMMYFUNCTION("""COMPUTED_VALUE"""),0.0)</f>
        <v>0</v>
      </c>
      <c r="H1599" s="122" t="str">
        <f>IFERROR(__xludf.DUMMYFUNCTION("""COMPUTED_VALUE"""),"Active")</f>
        <v>Active</v>
      </c>
    </row>
    <row r="1600">
      <c r="A1600" s="131">
        <f>IFERROR(__xludf.DUMMYFUNCTION("""COMPUTED_VALUE"""),46186.33136574074)</f>
        <v>46186.33137</v>
      </c>
      <c r="B1600" s="122" t="str">
        <f>IFERROR(__xludf.DUMMYFUNCTION("""COMPUTED_VALUE"""),"LOAN")</f>
        <v>LOAN</v>
      </c>
      <c r="C1600" s="122" t="str">
        <f>IFERROR(__xludf.DUMMYFUNCTION("""COMPUTED_VALUE"""),"LoanLab remains stable as the Finance market shows normal activity.")</f>
        <v>LoanLab remains stable as the Finance market shows normal activity.</v>
      </c>
      <c r="D1600" s="122" t="str">
        <f>IFERROR(__xludf.DUMMYFUNCTION("""COMPUTED_VALUE"""),"LoanLab appears steady with no major changes reported.")</f>
        <v>LoanLab appears steady with no major changes reported.</v>
      </c>
      <c r="E1600" s="122" t="str">
        <f>IFERROR(__xludf.DUMMYFUNCTION("""COMPUTED_VALUE"""),"Neutral")</f>
        <v>Neutral</v>
      </c>
      <c r="F1600" s="122">
        <f>IFERROR(__xludf.DUMMYFUNCTION("""COMPUTED_VALUE"""),0.0)</f>
        <v>0</v>
      </c>
      <c r="G1600" s="122">
        <f>IFERROR(__xludf.DUMMYFUNCTION("""COMPUTED_VALUE"""),0.0)</f>
        <v>0</v>
      </c>
      <c r="H1600" s="122" t="str">
        <f>IFERROR(__xludf.DUMMYFUNCTION("""COMPUTED_VALUE"""),"Active")</f>
        <v>Active</v>
      </c>
    </row>
    <row r="1601">
      <c r="A1601" s="131">
        <f>IFERROR(__xludf.DUMMYFUNCTION("""COMPUTED_VALUE"""),46186.33137731482)</f>
        <v>46186.33138</v>
      </c>
      <c r="B1601" s="122" t="str">
        <f>IFERROR(__xludf.DUMMYFUNCTION("""COMPUTED_VALUE"""),"LUXE")</f>
        <v>LUXE</v>
      </c>
      <c r="C1601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1601" s="122" t="str">
        <f>IFERROR(__xludf.DUMMYFUNCTION("""COMPUTED_VALUE"""),"Luxury Locker appears steady with no major changes reported.")</f>
        <v>Luxury Locker appears steady with no major changes reported.</v>
      </c>
      <c r="E1601" s="122" t="str">
        <f>IFERROR(__xludf.DUMMYFUNCTION("""COMPUTED_VALUE"""),"Neutral")</f>
        <v>Neutral</v>
      </c>
      <c r="F1601" s="122">
        <f>IFERROR(__xludf.DUMMYFUNCTION("""COMPUTED_VALUE"""),0.0)</f>
        <v>0</v>
      </c>
      <c r="G1601" s="122">
        <f>IFERROR(__xludf.DUMMYFUNCTION("""COMPUTED_VALUE"""),0.0)</f>
        <v>0</v>
      </c>
      <c r="H1601" s="122" t="str">
        <f>IFERROR(__xludf.DUMMYFUNCTION("""COMPUTED_VALUE"""),"Active")</f>
        <v>Active</v>
      </c>
    </row>
    <row r="1602">
      <c r="A1602" s="131">
        <f>IFERROR(__xludf.DUMMYFUNCTION("""COMPUTED_VALUE"""),46186.33138888889)</f>
        <v>46186.33139</v>
      </c>
      <c r="B1602" s="122" t="str">
        <f>IFERROR(__xludf.DUMMYFUNCTION("""COMPUTED_VALUE"""),"DRIP")</f>
        <v>DRIP</v>
      </c>
      <c r="C1602" s="122" t="str">
        <f>IFERROR(__xludf.DUMMYFUNCTION("""COMPUTED_VALUE"""),"Drip Streetwear remains stable as the Fashion market shows normal activity.")</f>
        <v>Drip Streetwear remains stable as the Fashion market shows normal activity.</v>
      </c>
      <c r="D1602" s="122" t="str">
        <f>IFERROR(__xludf.DUMMYFUNCTION("""COMPUTED_VALUE"""),"Drip Streetwear appears steady with no major changes reported.")</f>
        <v>Drip Streetwear appears steady with no major changes reported.</v>
      </c>
      <c r="E1602" s="122" t="str">
        <f>IFERROR(__xludf.DUMMYFUNCTION("""COMPUTED_VALUE"""),"Neutral")</f>
        <v>Neutral</v>
      </c>
      <c r="F1602" s="122">
        <f>IFERROR(__xludf.DUMMYFUNCTION("""COMPUTED_VALUE"""),0.0)</f>
        <v>0</v>
      </c>
      <c r="G1602" s="122">
        <f>IFERROR(__xludf.DUMMYFUNCTION("""COMPUTED_VALUE"""),0.0)</f>
        <v>0</v>
      </c>
      <c r="H1602" s="122" t="str">
        <f>IFERROR(__xludf.DUMMYFUNCTION("""COMPUTED_VALUE"""),"Active")</f>
        <v>Active</v>
      </c>
    </row>
    <row r="1603">
      <c r="A1603" s="131">
        <f>IFERROR(__xludf.DUMMYFUNCTION("""COMPUTED_VALUE"""),46186.331400462965)</f>
        <v>46186.3314</v>
      </c>
      <c r="B1603" s="122" t="str">
        <f>IFERROR(__xludf.DUMMYFUNCTION("""COMPUTED_VALUE"""),"KICK")</f>
        <v>KICK</v>
      </c>
      <c r="C1603" s="122" t="str">
        <f>IFERROR(__xludf.DUMMYFUNCTION("""COMPUTED_VALUE"""),"KickDrop Sneakers faces weaker demand and cautious investor sentiment.")</f>
        <v>KickDrop Sneakers faces weaker demand and cautious investor sentiment.</v>
      </c>
      <c r="D1603" s="122" t="str">
        <f>IFERROR(__xludf.DUMMYFUNCTION("""COMPUTED_VALUE"""),"Investors are watching KickDrop Sneakers closely as demand weakens.")</f>
        <v>Investors are watching KickDrop Sneakers closely as demand weakens.</v>
      </c>
      <c r="E1603" s="122" t="str">
        <f>IFERROR(__xludf.DUMMYFUNCTION("""COMPUTED_VALUE"""),"Negative")</f>
        <v>Negative</v>
      </c>
      <c r="F1603" s="122">
        <f>IFERROR(__xludf.DUMMYFUNCTION("""COMPUTED_VALUE"""),-0.015)</f>
        <v>-0.015</v>
      </c>
      <c r="G1603" s="122">
        <f>IFERROR(__xludf.DUMMYFUNCTION("""COMPUTED_VALUE"""),0.75)</f>
        <v>0.75</v>
      </c>
      <c r="H1603" s="122" t="str">
        <f>IFERROR(__xludf.DUMMYFUNCTION("""COMPUTED_VALUE"""),"Active")</f>
        <v>Active</v>
      </c>
    </row>
    <row r="1604">
      <c r="A1604" s="131">
        <f>IFERROR(__xludf.DUMMYFUNCTION("""COMPUTED_VALUE"""),46186.331400462965)</f>
        <v>46186.3314</v>
      </c>
      <c r="B1604" s="122" t="str">
        <f>IFERROR(__xludf.DUMMYFUNCTION("""COMPUTED_VALUE"""),"GLAM")</f>
        <v>GLAM</v>
      </c>
      <c r="C1604" s="122" t="str">
        <f>IFERROR(__xludf.DUMMYFUNCTION("""COMPUTED_VALUE"""),"Glow Cosmetics remains stable as the Fashion market shows normal activity.")</f>
        <v>Glow Cosmetics remains stable as the Fashion market shows normal activity.</v>
      </c>
      <c r="D1604" s="122" t="str">
        <f>IFERROR(__xludf.DUMMYFUNCTION("""COMPUTED_VALUE"""),"Glow Cosmetics appears steady with no major changes reported.")</f>
        <v>Glow Cosmetics appears steady with no major changes reported.</v>
      </c>
      <c r="E1604" s="122" t="str">
        <f>IFERROR(__xludf.DUMMYFUNCTION("""COMPUTED_VALUE"""),"Neutral")</f>
        <v>Neutral</v>
      </c>
      <c r="F1604" s="122">
        <f>IFERROR(__xludf.DUMMYFUNCTION("""COMPUTED_VALUE"""),0.0)</f>
        <v>0</v>
      </c>
      <c r="G1604" s="122">
        <f>IFERROR(__xludf.DUMMYFUNCTION("""COMPUTED_VALUE"""),0.0)</f>
        <v>0</v>
      </c>
      <c r="H1604" s="122" t="str">
        <f>IFERROR(__xludf.DUMMYFUNCTION("""COMPUTED_VALUE"""),"Active")</f>
        <v>Active</v>
      </c>
    </row>
    <row r="1605">
      <c r="A1605" s="131">
        <f>IFERROR(__xludf.DUMMYFUNCTION("""COMPUTED_VALUE"""),46186.331412037034)</f>
        <v>46186.33141</v>
      </c>
      <c r="B1605" s="122" t="str">
        <f>IFERROR(__xludf.DUMMYFUNCTION("""COMPUTED_VALUE"""),"BAGG")</f>
        <v>BAGG</v>
      </c>
      <c r="C1605" s="122" t="str">
        <f>IFERROR(__xludf.DUMMYFUNCTION("""COMPUTED_VALUE"""),"BagVault surges as demand rises across the Fashion sector.")</f>
        <v>BagVault surges as demand rises across the Fashion sector.</v>
      </c>
      <c r="D1605" s="122" t="str">
        <f>IFERROR(__xludf.DUMMYFUNCTION("""COMPUTED_VALUE"""),"BagVault is seeing strong demand, which may increase investor confidence.")</f>
        <v>BagVault is seeing strong demand, which may increase investor confidence.</v>
      </c>
      <c r="E1605" s="122" t="str">
        <f>IFERROR(__xludf.DUMMYFUNCTION("""COMPUTED_VALUE"""),"Positive")</f>
        <v>Positive</v>
      </c>
      <c r="F1605" s="122">
        <f>IFERROR(__xludf.DUMMYFUNCTION("""COMPUTED_VALUE"""),0.03)</f>
        <v>0.03</v>
      </c>
      <c r="G1605" s="122">
        <f>IFERROR(__xludf.DUMMYFUNCTION("""COMPUTED_VALUE"""),1.0)</f>
        <v>1</v>
      </c>
      <c r="H1605" s="122" t="str">
        <f>IFERROR(__xludf.DUMMYFUNCTION("""COMPUTED_VALUE"""),"Active")</f>
        <v>Active</v>
      </c>
    </row>
    <row r="1606">
      <c r="A1606" s="131">
        <f>IFERROR(__xludf.DUMMYFUNCTION("""COMPUTED_VALUE"""),46186.331412037034)</f>
        <v>46186.33141</v>
      </c>
      <c r="B1606" s="122" t="str">
        <f>IFERROR(__xludf.DUMMYFUNCTION("""COMPUTED_VALUE"""),"FAST")</f>
        <v>FAST</v>
      </c>
      <c r="C1606" s="122" t="str">
        <f>IFERROR(__xludf.DUMMYFUNCTION("""COMPUTED_VALUE"""),"Flash Logistics reports steady growth and improved market confidence.")</f>
        <v>Flash Logistics reports steady growth and improved market confidence.</v>
      </c>
      <c r="D1606" s="122" t="str">
        <f>IFERROR(__xludf.DUMMYFUNCTION("""COMPUTED_VALUE"""),"Flash Logistics continues to show positive momentum with moderate risk.")</f>
        <v>Flash Logistics continues to show positive momentum with moderate risk.</v>
      </c>
      <c r="E1606" s="122" t="str">
        <f>IFERROR(__xludf.DUMMYFUNCTION("""COMPUTED_VALUE"""),"Positive")</f>
        <v>Positive</v>
      </c>
      <c r="F1606" s="122">
        <f>IFERROR(__xludf.DUMMYFUNCTION("""COMPUTED_VALUE"""),0.015)</f>
        <v>0.015</v>
      </c>
      <c r="G1606" s="122">
        <f>IFERROR(__xludf.DUMMYFUNCTION("""COMPUTED_VALUE"""),0.5)</f>
        <v>0.5</v>
      </c>
      <c r="H1606" s="122" t="str">
        <f>IFERROR(__xludf.DUMMYFUNCTION("""COMPUTED_VALUE"""),"Active")</f>
        <v>Active</v>
      </c>
    </row>
    <row r="1607">
      <c r="A1607" s="131">
        <f>IFERROR(__xludf.DUMMYFUNCTION("""COMPUTED_VALUE"""),46186.33142361111)</f>
        <v>46186.33142</v>
      </c>
      <c r="B1607" s="122" t="str">
        <f>IFERROR(__xludf.DUMMYFUNCTION("""COMPUTED_VALUE"""),"SHIP")</f>
        <v>SHIP</v>
      </c>
      <c r="C1607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607" s="122" t="str">
        <f>IFERROR(__xludf.DUMMYFUNCTION("""COMPUTED_VALUE"""),"Seoul Shipping appears steady with no major changes reported.")</f>
        <v>Seoul Shipping appears steady with no major changes reported.</v>
      </c>
      <c r="E1607" s="122" t="str">
        <f>IFERROR(__xludf.DUMMYFUNCTION("""COMPUTED_VALUE"""),"Neutral")</f>
        <v>Neutral</v>
      </c>
      <c r="F1607" s="122">
        <f>IFERROR(__xludf.DUMMYFUNCTION("""COMPUTED_VALUE"""),0.0)</f>
        <v>0</v>
      </c>
      <c r="G1607" s="122">
        <f>IFERROR(__xludf.DUMMYFUNCTION("""COMPUTED_VALUE"""),0.0)</f>
        <v>0</v>
      </c>
      <c r="H1607" s="122" t="str">
        <f>IFERROR(__xludf.DUMMYFUNCTION("""COMPUTED_VALUE"""),"Active")</f>
        <v>Active</v>
      </c>
    </row>
    <row r="1608">
      <c r="A1608" s="131">
        <f>IFERROR(__xludf.DUMMYFUNCTION("""COMPUTED_VALUE"""),46186.33144675926)</f>
        <v>46186.33145</v>
      </c>
      <c r="B1608" s="122" t="str">
        <f>IFERROR(__xludf.DUMMYFUNCTION("""COMPUTED_VALUE"""),"DRON")</f>
        <v>DRON</v>
      </c>
      <c r="C1608" s="122" t="str">
        <f>IFERROR(__xludf.DUMMYFUNCTION("""COMPUTED_VALUE"""),"DroneDrop remains stable as the Logistics market shows normal activity.")</f>
        <v>DroneDrop remains stable as the Logistics market shows normal activity.</v>
      </c>
      <c r="D1608" s="122" t="str">
        <f>IFERROR(__xludf.DUMMYFUNCTION("""COMPUTED_VALUE"""),"DroneDrop appears steady with no major changes reported.")</f>
        <v>DroneDrop appears steady with no major changes reported.</v>
      </c>
      <c r="E1608" s="122" t="str">
        <f>IFERROR(__xludf.DUMMYFUNCTION("""COMPUTED_VALUE"""),"Neutral")</f>
        <v>Neutral</v>
      </c>
      <c r="F1608" s="122">
        <f>IFERROR(__xludf.DUMMYFUNCTION("""COMPUTED_VALUE"""),0.0)</f>
        <v>0</v>
      </c>
      <c r="G1608" s="122">
        <f>IFERROR(__xludf.DUMMYFUNCTION("""COMPUTED_VALUE"""),0.0)</f>
        <v>0</v>
      </c>
      <c r="H1608" s="122" t="str">
        <f>IFERROR(__xludf.DUMMYFUNCTION("""COMPUTED_VALUE"""),"Active")</f>
        <v>Active</v>
      </c>
    </row>
    <row r="1609">
      <c r="A1609" s="131">
        <f>IFERROR(__xludf.DUMMYFUNCTION("""COMPUTED_VALUE"""),46186.33144675926)</f>
        <v>46186.33145</v>
      </c>
      <c r="B1609" s="122" t="str">
        <f>IFERROR(__xludf.DUMMYFUNCTION("""COMPUTED_VALUE"""),"RIDE")</f>
        <v>RIDE</v>
      </c>
      <c r="C1609" s="122" t="str">
        <f>IFERROR(__xludf.DUMMYFUNCTION("""COMPUTED_VALUE"""),"QuickRide reports steady growth and improved market confidence.")</f>
        <v>QuickRide reports steady growth and improved market confidence.</v>
      </c>
      <c r="D1609" s="122" t="str">
        <f>IFERROR(__xludf.DUMMYFUNCTION("""COMPUTED_VALUE"""),"QuickRide continues to show positive momentum with moderate risk.")</f>
        <v>QuickRide continues to show positive momentum with moderate risk.</v>
      </c>
      <c r="E1609" s="122" t="str">
        <f>IFERROR(__xludf.DUMMYFUNCTION("""COMPUTED_VALUE"""),"Positive")</f>
        <v>Positive</v>
      </c>
      <c r="F1609" s="122">
        <f>IFERROR(__xludf.DUMMYFUNCTION("""COMPUTED_VALUE"""),0.015)</f>
        <v>0.015</v>
      </c>
      <c r="G1609" s="122">
        <f>IFERROR(__xludf.DUMMYFUNCTION("""COMPUTED_VALUE"""),0.5)</f>
        <v>0.5</v>
      </c>
      <c r="H1609" s="122" t="str">
        <f>IFERROR(__xludf.DUMMYFUNCTION("""COMPUTED_VALUE"""),"Active")</f>
        <v>Active</v>
      </c>
    </row>
    <row r="1610">
      <c r="A1610" s="131">
        <f>IFERROR(__xludf.DUMMYFUNCTION("""COMPUTED_VALUE"""),46186.331458333334)</f>
        <v>46186.33146</v>
      </c>
      <c r="B1610" s="122" t="str">
        <f>IFERROR(__xludf.DUMMYFUNCTION("""COMPUTED_VALUE"""),"RAIL")</f>
        <v>RAIL</v>
      </c>
      <c r="C1610" s="122" t="str">
        <f>IFERROR(__xludf.DUMMYFUNCTION("""COMPUTED_VALUE"""),"MetroRail Corp surges as demand rises across the Transportation sector.")</f>
        <v>MetroRail Corp surges as demand rises across the Transportation sector.</v>
      </c>
      <c r="D1610" s="122" t="str">
        <f>IFERROR(__xludf.DUMMYFUNCTION("""COMPUTED_VALUE"""),"MetroRail Corp is seeing strong demand, which may increase investor confidence.")</f>
        <v>MetroRail Corp is seeing strong demand, which may increase investor confidence.</v>
      </c>
      <c r="E1610" s="122" t="str">
        <f>IFERROR(__xludf.DUMMYFUNCTION("""COMPUTED_VALUE"""),"Positive")</f>
        <v>Positive</v>
      </c>
      <c r="F1610" s="122">
        <f>IFERROR(__xludf.DUMMYFUNCTION("""COMPUTED_VALUE"""),0.03)</f>
        <v>0.03</v>
      </c>
      <c r="G1610" s="122">
        <f>IFERROR(__xludf.DUMMYFUNCTION("""COMPUTED_VALUE"""),1.0)</f>
        <v>1</v>
      </c>
      <c r="H1610" s="122" t="str">
        <f>IFERROR(__xludf.DUMMYFUNCTION("""COMPUTED_VALUE"""),"Active")</f>
        <v>Active</v>
      </c>
    </row>
    <row r="1611">
      <c r="A1611" s="131">
        <f>IFERROR(__xludf.DUMMYFUNCTION("""COMPUTED_VALUE"""),46186.331458333334)</f>
        <v>46186.33146</v>
      </c>
      <c r="B1611" s="122" t="str">
        <f>IFERROR(__xludf.DUMMYFUNCTION("""COMPUTED_VALUE"""),"MEDX")</f>
        <v>MEDX</v>
      </c>
      <c r="C1611" s="122" t="str">
        <f>IFERROR(__xludf.DUMMYFUNCTION("""COMPUTED_VALUE"""),"MediCore remains stable as the Healthcare market shows normal activity.")</f>
        <v>MediCore remains stable as the Healthcare market shows normal activity.</v>
      </c>
      <c r="D1611" s="122" t="str">
        <f>IFERROR(__xludf.DUMMYFUNCTION("""COMPUTED_VALUE"""),"MediCore appears steady with no major changes reported.")</f>
        <v>MediCore appears steady with no major changes reported.</v>
      </c>
      <c r="E1611" s="122" t="str">
        <f>IFERROR(__xludf.DUMMYFUNCTION("""COMPUTED_VALUE"""),"Neutral")</f>
        <v>Neutral</v>
      </c>
      <c r="F1611" s="122">
        <f>IFERROR(__xludf.DUMMYFUNCTION("""COMPUTED_VALUE"""),0.0)</f>
        <v>0</v>
      </c>
      <c r="G1611" s="122">
        <f>IFERROR(__xludf.DUMMYFUNCTION("""COMPUTED_VALUE"""),0.0)</f>
        <v>0</v>
      </c>
      <c r="H1611" s="122" t="str">
        <f>IFERROR(__xludf.DUMMYFUNCTION("""COMPUTED_VALUE"""),"Active")</f>
        <v>Active</v>
      </c>
    </row>
    <row r="1612">
      <c r="A1612" s="131">
        <f>IFERROR(__xludf.DUMMYFUNCTION("""COMPUTED_VALUE"""),46186.33146990741)</f>
        <v>46186.33147</v>
      </c>
      <c r="B1612" s="122" t="str">
        <f>IFERROR(__xludf.DUMMYFUNCTION("""COMPUTED_VALUE"""),"GYMX")</f>
        <v>GYMX</v>
      </c>
      <c r="C1612" s="122" t="str">
        <f>IFERROR(__xludf.DUMMYFUNCTION("""COMPUTED_VALUE"""),"GymX Fitness faces weaker demand and cautious investor sentiment.")</f>
        <v>GymX Fitness faces weaker demand and cautious investor sentiment.</v>
      </c>
      <c r="D1612" s="122" t="str">
        <f>IFERROR(__xludf.DUMMYFUNCTION("""COMPUTED_VALUE"""),"Investors are watching GymX Fitness closely as demand weakens.")</f>
        <v>Investors are watching GymX Fitness closely as demand weakens.</v>
      </c>
      <c r="E1612" s="122" t="str">
        <f>IFERROR(__xludf.DUMMYFUNCTION("""COMPUTED_VALUE"""),"Negative")</f>
        <v>Negative</v>
      </c>
      <c r="F1612" s="122">
        <f>IFERROR(__xludf.DUMMYFUNCTION("""COMPUTED_VALUE"""),-0.015)</f>
        <v>-0.015</v>
      </c>
      <c r="G1612" s="122">
        <f>IFERROR(__xludf.DUMMYFUNCTION("""COMPUTED_VALUE"""),0.75)</f>
        <v>0.75</v>
      </c>
      <c r="H1612" s="122" t="str">
        <f>IFERROR(__xludf.DUMMYFUNCTION("""COMPUTED_VALUE"""),"Active")</f>
        <v>Active</v>
      </c>
    </row>
    <row r="1613">
      <c r="A1613" s="131">
        <f>IFERROR(__xludf.DUMMYFUNCTION("""COMPUTED_VALUE"""),46186.33148148148)</f>
        <v>46186.33148</v>
      </c>
      <c r="B1613" s="122" t="str">
        <f>IFERROR(__xludf.DUMMYFUNCTION("""COMPUTED_VALUE"""),"VITA")</f>
        <v>VITA</v>
      </c>
      <c r="C1613" s="122" t="str">
        <f>IFERROR(__xludf.DUMMYFUNCTION("""COMPUTED_VALUE"""),"VitaPlus faces weaker demand and cautious investor sentiment.")</f>
        <v>VitaPlus faces weaker demand and cautious investor sentiment.</v>
      </c>
      <c r="D1613" s="122" t="str">
        <f>IFERROR(__xludf.DUMMYFUNCTION("""COMPUTED_VALUE"""),"Investors are watching VitaPlus closely as demand weakens.")</f>
        <v>Investors are watching VitaPlus closely as demand weakens.</v>
      </c>
      <c r="E1613" s="122" t="str">
        <f>IFERROR(__xludf.DUMMYFUNCTION("""COMPUTED_VALUE"""),"Negative")</f>
        <v>Negative</v>
      </c>
      <c r="F1613" s="122">
        <f>IFERROR(__xludf.DUMMYFUNCTION("""COMPUTED_VALUE"""),-0.015)</f>
        <v>-0.015</v>
      </c>
      <c r="G1613" s="122">
        <f>IFERROR(__xludf.DUMMYFUNCTION("""COMPUTED_VALUE"""),0.75)</f>
        <v>0.75</v>
      </c>
      <c r="H1613" s="122" t="str">
        <f>IFERROR(__xludf.DUMMYFUNCTION("""COMPUTED_VALUE"""),"Active")</f>
        <v>Active</v>
      </c>
    </row>
    <row r="1614">
      <c r="A1614" s="131">
        <f>IFERROR(__xludf.DUMMYFUNCTION("""COMPUTED_VALUE"""),46186.33148148148)</f>
        <v>46186.33148</v>
      </c>
      <c r="B1614" s="122" t="str">
        <f>IFERROR(__xludf.DUMMYFUNCTION("""COMPUTED_VALUE"""),"CARE")</f>
        <v>CARE</v>
      </c>
      <c r="C1614" s="122" t="str">
        <f>IFERROR(__xludf.DUMMYFUNCTION("""COMPUTED_VALUE"""),"CareCloud surges as demand rises across the Healthcare sector.")</f>
        <v>CareCloud surges as demand rises across the Healthcare sector.</v>
      </c>
      <c r="D1614" s="122" t="str">
        <f>IFERROR(__xludf.DUMMYFUNCTION("""COMPUTED_VALUE"""),"CareCloud is seeing strong demand, which may increase investor confidence.")</f>
        <v>CareCloud is seeing strong demand, which may increase investor confidence.</v>
      </c>
      <c r="E1614" s="122" t="str">
        <f>IFERROR(__xludf.DUMMYFUNCTION("""COMPUTED_VALUE"""),"Positive")</f>
        <v>Positive</v>
      </c>
      <c r="F1614" s="122">
        <f>IFERROR(__xludf.DUMMYFUNCTION("""COMPUTED_VALUE"""),0.03)</f>
        <v>0.03</v>
      </c>
      <c r="G1614" s="122">
        <f>IFERROR(__xludf.DUMMYFUNCTION("""COMPUTED_VALUE"""),1.0)</f>
        <v>1</v>
      </c>
      <c r="H1614" s="122" t="str">
        <f>IFERROR(__xludf.DUMMYFUNCTION("""COMPUTED_VALUE"""),"Active")</f>
        <v>Active</v>
      </c>
    </row>
    <row r="1615">
      <c r="A1615" s="131">
        <f>IFERROR(__xludf.DUMMYFUNCTION("""COMPUTED_VALUE"""),46186.33149305556)</f>
        <v>46186.33149</v>
      </c>
      <c r="B1615" s="122" t="str">
        <f>IFERROR(__xludf.DUMMYFUNCTION("""COMPUTED_VALUE"""),"DENT")</f>
        <v>DENT</v>
      </c>
      <c r="C1615" s="122" t="str">
        <f>IFERROR(__xludf.DUMMYFUNCTION("""COMPUTED_VALUE"""),"SmileWorks sees uncertain trading as investors react to mixed signals.")</f>
        <v>SmileWorks sees uncertain trading as investors react to mixed signals.</v>
      </c>
      <c r="D1615" s="122" t="str">
        <f>IFERROR(__xludf.DUMMYFUNCTION("""COMPUTED_VALUE"""),"SmileWorks may experience larger price swings as investors disagree on direction.")</f>
        <v>SmileWorks may experience larger price swings as investors disagree on direction.</v>
      </c>
      <c r="E1615" s="122" t="str">
        <f>IFERROR(__xludf.DUMMYFUNCTION("""COMPUTED_VALUE"""),"Mixed")</f>
        <v>Mixed</v>
      </c>
      <c r="F1615" s="122">
        <f>IFERROR(__xludf.DUMMYFUNCTION("""COMPUTED_VALUE"""),-0.013102363135150386)</f>
        <v>-0.01310236314</v>
      </c>
      <c r="G1615" s="122">
        <f>IFERROR(__xludf.DUMMYFUNCTION("""COMPUTED_VALUE"""),1.5)</f>
        <v>1.5</v>
      </c>
      <c r="H1615" s="122" t="str">
        <f>IFERROR(__xludf.DUMMYFUNCTION("""COMPUTED_VALUE"""),"Active")</f>
        <v>Active</v>
      </c>
    </row>
    <row r="1616">
      <c r="A1616" s="131">
        <f>IFERROR(__xludf.DUMMYFUNCTION("""COMPUTED_VALUE"""),46186.33149305556)</f>
        <v>46186.33149</v>
      </c>
      <c r="B1616" s="122" t="str">
        <f>IFERROR(__xludf.DUMMYFUNCTION("""COMPUTED_VALUE"""),"EDUX")</f>
        <v>EDUX</v>
      </c>
      <c r="C1616" s="122" t="str">
        <f>IFERROR(__xludf.DUMMYFUNCTION("""COMPUTED_VALUE"""),"EduMax Learning faces weaker demand and cautious investor sentiment.")</f>
        <v>EduMax Learning faces weaker demand and cautious investor sentiment.</v>
      </c>
      <c r="D1616" s="122" t="str">
        <f>IFERROR(__xludf.DUMMYFUNCTION("""COMPUTED_VALUE"""),"Investors are watching EduMax Learning closely as demand weakens.")</f>
        <v>Investors are watching EduMax Learning closely as demand weakens.</v>
      </c>
      <c r="E1616" s="122" t="str">
        <f>IFERROR(__xludf.DUMMYFUNCTION("""COMPUTED_VALUE"""),"Negative")</f>
        <v>Negative</v>
      </c>
      <c r="F1616" s="122">
        <f>IFERROR(__xludf.DUMMYFUNCTION("""COMPUTED_VALUE"""),-0.015)</f>
        <v>-0.015</v>
      </c>
      <c r="G1616" s="122">
        <f>IFERROR(__xludf.DUMMYFUNCTION("""COMPUTED_VALUE"""),0.75)</f>
        <v>0.75</v>
      </c>
      <c r="H1616" s="122" t="str">
        <f>IFERROR(__xludf.DUMMYFUNCTION("""COMPUTED_VALUE"""),"Active")</f>
        <v>Active</v>
      </c>
    </row>
    <row r="1617">
      <c r="A1617" s="131">
        <f>IFERROR(__xludf.DUMMYFUNCTION("""COMPUTED_VALUE"""),46186.33150462963)</f>
        <v>46186.3315</v>
      </c>
      <c r="B1617" s="122" t="str">
        <f>IFERROR(__xludf.DUMMYFUNCTION("""COMPUTED_VALUE"""),"BOOK")</f>
        <v>BOOK</v>
      </c>
      <c r="C1617" s="122" t="str">
        <f>IFERROR(__xludf.DUMMYFUNCTION("""COMPUTED_VALUE"""),"BookBridge reports steady growth and improved market confidence.")</f>
        <v>BookBridge reports steady growth and improved market confidence.</v>
      </c>
      <c r="D1617" s="122" t="str">
        <f>IFERROR(__xludf.DUMMYFUNCTION("""COMPUTED_VALUE"""),"BookBridge continues to show positive momentum with moderate risk.")</f>
        <v>BookBridge continues to show positive momentum with moderate risk.</v>
      </c>
      <c r="E1617" s="122" t="str">
        <f>IFERROR(__xludf.DUMMYFUNCTION("""COMPUTED_VALUE"""),"Positive")</f>
        <v>Positive</v>
      </c>
      <c r="F1617" s="122">
        <f>IFERROR(__xludf.DUMMYFUNCTION("""COMPUTED_VALUE"""),0.015)</f>
        <v>0.015</v>
      </c>
      <c r="G1617" s="122">
        <f>IFERROR(__xludf.DUMMYFUNCTION("""COMPUTED_VALUE"""),0.5)</f>
        <v>0.5</v>
      </c>
      <c r="H1617" s="122" t="str">
        <f>IFERROR(__xludf.DUMMYFUNCTION("""COMPUTED_VALUE"""),"Active")</f>
        <v>Active</v>
      </c>
    </row>
    <row r="1618">
      <c r="A1618" s="131">
        <f>IFERROR(__xludf.DUMMYFUNCTION("""COMPUTED_VALUE"""),46186.3315162037)</f>
        <v>46186.33152</v>
      </c>
      <c r="B1618" s="122" t="str">
        <f>IFERROR(__xludf.DUMMYFUNCTION("""COMPUTED_VALUE"""),"TUTR")</f>
        <v>TUTR</v>
      </c>
      <c r="C1618" s="122" t="str">
        <f>IFERROR(__xludf.DUMMYFUNCTION("""COMPUTED_VALUE"""),"TutorTown surges as demand rises across the Education sector.")</f>
        <v>TutorTown surges as demand rises across the Education sector.</v>
      </c>
      <c r="D1618" s="122" t="str">
        <f>IFERROR(__xludf.DUMMYFUNCTION("""COMPUTED_VALUE"""),"TutorTown is seeing strong demand, which may increase investor confidence.")</f>
        <v>TutorTown is seeing strong demand, which may increase investor confidence.</v>
      </c>
      <c r="E1618" s="122" t="str">
        <f>IFERROR(__xludf.DUMMYFUNCTION("""COMPUTED_VALUE"""),"Positive")</f>
        <v>Positive</v>
      </c>
      <c r="F1618" s="122">
        <f>IFERROR(__xludf.DUMMYFUNCTION("""COMPUTED_VALUE"""),0.03)</f>
        <v>0.03</v>
      </c>
      <c r="G1618" s="122">
        <f>IFERROR(__xludf.DUMMYFUNCTION("""COMPUTED_VALUE"""),1.0)</f>
        <v>1</v>
      </c>
      <c r="H1618" s="122" t="str">
        <f>IFERROR(__xludf.DUMMYFUNCTION("""COMPUTED_VALUE"""),"Active")</f>
        <v>Active</v>
      </c>
    </row>
    <row r="1619">
      <c r="A1619" s="131">
        <f>IFERROR(__xludf.DUMMYFUNCTION("""COMPUTED_VALUE"""),46186.33152777778)</f>
        <v>46186.33153</v>
      </c>
      <c r="B1619" s="122" t="str">
        <f>IFERROR(__xludf.DUMMYFUNCTION("""COMPUTED_VALUE"""),"LANG")</f>
        <v>LANG</v>
      </c>
      <c r="C1619" s="122" t="str">
        <f>IFERROR(__xludf.DUMMYFUNCTION("""COMPUTED_VALUE"""),"LinguaLab remains stable as the Education market shows normal activity.")</f>
        <v>LinguaLab remains stable as the Education market shows normal activity.</v>
      </c>
      <c r="D1619" s="122" t="str">
        <f>IFERROR(__xludf.DUMMYFUNCTION("""COMPUTED_VALUE"""),"LinguaLab appears steady with no major changes reported.")</f>
        <v>LinguaLab appears steady with no major changes reported.</v>
      </c>
      <c r="E1619" s="122" t="str">
        <f>IFERROR(__xludf.DUMMYFUNCTION("""COMPUTED_VALUE"""),"Neutral")</f>
        <v>Neutral</v>
      </c>
      <c r="F1619" s="122">
        <f>IFERROR(__xludf.DUMMYFUNCTION("""COMPUTED_VALUE"""),0.0)</f>
        <v>0</v>
      </c>
      <c r="G1619" s="122">
        <f>IFERROR(__xludf.DUMMYFUNCTION("""COMPUTED_VALUE"""),0.0)</f>
        <v>0</v>
      </c>
      <c r="H1619" s="122" t="str">
        <f>IFERROR(__xludf.DUMMYFUNCTION("""COMPUTED_VALUE"""),"Active")</f>
        <v>Active</v>
      </c>
    </row>
    <row r="1620">
      <c r="A1620" s="131">
        <f>IFERROR(__xludf.DUMMYFUNCTION("""COMPUTED_VALUE"""),46186.33152777778)</f>
        <v>46186.33153</v>
      </c>
      <c r="B1620" s="122" t="str">
        <f>IFERROR(__xludf.DUMMYFUNCTION("""COMPUTED_VALUE"""),"TEST")</f>
        <v>TEST</v>
      </c>
      <c r="C1620" s="122" t="str">
        <f>IFERROR(__xludf.DUMMYFUNCTION("""COMPUTED_VALUE"""),"TestPrep Pro remains stable as the Education market shows normal activity.")</f>
        <v>TestPrep Pro remains stable as the Education market shows normal activity.</v>
      </c>
      <c r="D1620" s="122" t="str">
        <f>IFERROR(__xludf.DUMMYFUNCTION("""COMPUTED_VALUE"""),"TestPrep Pro appears steady with no major changes reported.")</f>
        <v>TestPrep Pro appears steady with no major changes reported.</v>
      </c>
      <c r="E1620" s="122" t="str">
        <f>IFERROR(__xludf.DUMMYFUNCTION("""COMPUTED_VALUE"""),"Neutral")</f>
        <v>Neutral</v>
      </c>
      <c r="F1620" s="122">
        <f>IFERROR(__xludf.DUMMYFUNCTION("""COMPUTED_VALUE"""),0.0)</f>
        <v>0</v>
      </c>
      <c r="G1620" s="122">
        <f>IFERROR(__xludf.DUMMYFUNCTION("""COMPUTED_VALUE"""),0.0)</f>
        <v>0</v>
      </c>
      <c r="H1620" s="122" t="str">
        <f>IFERROR(__xludf.DUMMYFUNCTION("""COMPUTED_VALUE"""),"Active")</f>
        <v>Active</v>
      </c>
    </row>
    <row r="1621">
      <c r="A1621" s="131">
        <f>IFERROR(__xludf.DUMMYFUNCTION("""COMPUTED_VALUE"""),46186.33153935185)</f>
        <v>46186.33154</v>
      </c>
      <c r="B1621" s="122" t="str">
        <f>IFERROR(__xludf.DUMMYFUNCTION("""COMPUTED_VALUE"""),"MOVI")</f>
        <v>MOVI</v>
      </c>
      <c r="C1621" s="122" t="str">
        <f>IFERROR(__xludf.DUMMYFUNCTION("""COMPUTED_VALUE"""),"MovieBox faces weaker demand and cautious investor sentiment.")</f>
        <v>MovieBox faces weaker demand and cautious investor sentiment.</v>
      </c>
      <c r="D1621" s="122" t="str">
        <f>IFERROR(__xludf.DUMMYFUNCTION("""COMPUTED_VALUE"""),"Investors are watching MovieBox closely as demand weakens.")</f>
        <v>Investors are watching MovieBox closely as demand weakens.</v>
      </c>
      <c r="E1621" s="122" t="str">
        <f>IFERROR(__xludf.DUMMYFUNCTION("""COMPUTED_VALUE"""),"Negative")</f>
        <v>Negative</v>
      </c>
      <c r="F1621" s="122">
        <f>IFERROR(__xludf.DUMMYFUNCTION("""COMPUTED_VALUE"""),-0.015)</f>
        <v>-0.015</v>
      </c>
      <c r="G1621" s="122">
        <f>IFERROR(__xludf.DUMMYFUNCTION("""COMPUTED_VALUE"""),0.75)</f>
        <v>0.75</v>
      </c>
      <c r="H1621" s="122" t="str">
        <f>IFERROR(__xludf.DUMMYFUNCTION("""COMPUTED_VALUE"""),"Active")</f>
        <v>Active</v>
      </c>
    </row>
    <row r="1622">
      <c r="A1622" s="131">
        <f>IFERROR(__xludf.DUMMYFUNCTION("""COMPUTED_VALUE"""),46186.33153935185)</f>
        <v>46186.33154</v>
      </c>
      <c r="B1622" s="122" t="str">
        <f>IFERROR(__xludf.DUMMYFUNCTION("""COMPUTED_VALUE"""),"MUSC")</f>
        <v>MUSC</v>
      </c>
      <c r="C1622" s="122" t="str">
        <f>IFERROR(__xludf.DUMMYFUNCTION("""COMPUTED_VALUE"""),"MusicWave remains stable as the Entertainment market shows normal activity.")</f>
        <v>MusicWave remains stable as the Entertainment market shows normal activity.</v>
      </c>
      <c r="D1622" s="122" t="str">
        <f>IFERROR(__xludf.DUMMYFUNCTION("""COMPUTED_VALUE"""),"MusicWave appears steady with no major changes reported.")</f>
        <v>MusicWave appears steady with no major changes reported.</v>
      </c>
      <c r="E1622" s="122" t="str">
        <f>IFERROR(__xludf.DUMMYFUNCTION("""COMPUTED_VALUE"""),"Neutral")</f>
        <v>Neutral</v>
      </c>
      <c r="F1622" s="122">
        <f>IFERROR(__xludf.DUMMYFUNCTION("""COMPUTED_VALUE"""),0.0)</f>
        <v>0</v>
      </c>
      <c r="G1622" s="122">
        <f>IFERROR(__xludf.DUMMYFUNCTION("""COMPUTED_VALUE"""),0.0)</f>
        <v>0</v>
      </c>
      <c r="H1622" s="122" t="str">
        <f>IFERROR(__xludf.DUMMYFUNCTION("""COMPUTED_VALUE"""),"Active")</f>
        <v>Active</v>
      </c>
    </row>
    <row r="1623">
      <c r="A1623" s="131">
        <f>IFERROR(__xludf.DUMMYFUNCTION("""COMPUTED_VALUE"""),46186.33155092593)</f>
        <v>46186.33155</v>
      </c>
      <c r="B1623" s="122" t="str">
        <f>IFERROR(__xludf.DUMMYFUNCTION("""COMPUTED_VALUE"""),"IDOL")</f>
        <v>IDOL</v>
      </c>
      <c r="C1623" s="122" t="str">
        <f>IFERROR(__xludf.DUMMYFUNCTION("""COMPUTED_VALUE"""),"Idol Agency remains stable as the Entertainment market shows normal activity.")</f>
        <v>Idol Agency remains stable as the Entertainment market shows normal activity.</v>
      </c>
      <c r="D1623" s="122" t="str">
        <f>IFERROR(__xludf.DUMMYFUNCTION("""COMPUTED_VALUE"""),"Idol Agency appears steady with no major changes reported.")</f>
        <v>Idol Agency appears steady with no major changes reported.</v>
      </c>
      <c r="E1623" s="122" t="str">
        <f>IFERROR(__xludf.DUMMYFUNCTION("""COMPUTED_VALUE"""),"Neutral")</f>
        <v>Neutral</v>
      </c>
      <c r="F1623" s="122">
        <f>IFERROR(__xludf.DUMMYFUNCTION("""COMPUTED_VALUE"""),0.0)</f>
        <v>0</v>
      </c>
      <c r="G1623" s="122">
        <f>IFERROR(__xludf.DUMMYFUNCTION("""COMPUTED_VALUE"""),0.0)</f>
        <v>0</v>
      </c>
      <c r="H1623" s="122" t="str">
        <f>IFERROR(__xludf.DUMMYFUNCTION("""COMPUTED_VALUE"""),"Active")</f>
        <v>Active</v>
      </c>
    </row>
    <row r="1624">
      <c r="A1624" s="131">
        <f>IFERROR(__xludf.DUMMYFUNCTION("""COMPUTED_VALUE"""),46186.33155092593)</f>
        <v>46186.33155</v>
      </c>
      <c r="B1624" s="122" t="str">
        <f>IFERROR(__xludf.DUMMYFUNCTION("""COMPUTED_VALUE"""),"MEME")</f>
        <v>MEME</v>
      </c>
      <c r="C1624" s="122" t="str">
        <f>IFERROR(__xludf.DUMMYFUNCTION("""COMPUTED_VALUE"""),"Meme Media reports steady growth and improved market confidence.")</f>
        <v>Meme Media reports steady growth and improved market confidence.</v>
      </c>
      <c r="D1624" s="122" t="str">
        <f>IFERROR(__xludf.DUMMYFUNCTION("""COMPUTED_VALUE"""),"Meme Media continues to show positive momentum with moderate risk.")</f>
        <v>Meme Media continues to show positive momentum with moderate risk.</v>
      </c>
      <c r="E1624" s="122" t="str">
        <f>IFERROR(__xludf.DUMMYFUNCTION("""COMPUTED_VALUE"""),"Positive")</f>
        <v>Positive</v>
      </c>
      <c r="F1624" s="122">
        <f>IFERROR(__xludf.DUMMYFUNCTION("""COMPUTED_VALUE"""),0.015)</f>
        <v>0.015</v>
      </c>
      <c r="G1624" s="122">
        <f>IFERROR(__xludf.DUMMYFUNCTION("""COMPUTED_VALUE"""),0.5)</f>
        <v>0.5</v>
      </c>
      <c r="H1624" s="122" t="str">
        <f>IFERROR(__xludf.DUMMYFUNCTION("""COMPUTED_VALUE"""),"Active")</f>
        <v>Active</v>
      </c>
    </row>
    <row r="1625">
      <c r="A1625" s="131">
        <f>IFERROR(__xludf.DUMMYFUNCTION("""COMPUTED_VALUE"""),46186.3315625)</f>
        <v>46186.33156</v>
      </c>
      <c r="B1625" s="122" t="str">
        <f>IFERROR(__xludf.DUMMYFUNCTION("""COMPUTED_VALUE"""),"STRM")</f>
        <v>STRM</v>
      </c>
      <c r="C1625" s="122" t="str">
        <f>IFERROR(__xludf.DUMMYFUNCTION("""COMPUTED_VALUE"""),"Streamly remains stable as the Entertainment market shows normal activity.")</f>
        <v>Streamly remains stable as the Entertainment market shows normal activity.</v>
      </c>
      <c r="D1625" s="122" t="str">
        <f>IFERROR(__xludf.DUMMYFUNCTION("""COMPUTED_VALUE"""),"Streamly appears steady with no major changes reported.")</f>
        <v>Streamly appears steady with no major changes reported.</v>
      </c>
      <c r="E1625" s="122" t="str">
        <f>IFERROR(__xludf.DUMMYFUNCTION("""COMPUTED_VALUE"""),"Neutral")</f>
        <v>Neutral</v>
      </c>
      <c r="F1625" s="122">
        <f>IFERROR(__xludf.DUMMYFUNCTION("""COMPUTED_VALUE"""),0.0)</f>
        <v>0</v>
      </c>
      <c r="G1625" s="122">
        <f>IFERROR(__xludf.DUMMYFUNCTION("""COMPUTED_VALUE"""),0.0)</f>
        <v>0</v>
      </c>
      <c r="H1625" s="122" t="str">
        <f>IFERROR(__xludf.DUMMYFUNCTION("""COMPUTED_VALUE"""),"Active")</f>
        <v>Active</v>
      </c>
    </row>
    <row r="1626">
      <c r="A1626" s="131">
        <f>IFERROR(__xludf.DUMMYFUNCTION("""COMPUTED_VALUE"""),46186.33157407407)</f>
        <v>46186.33157</v>
      </c>
      <c r="B1626" s="122" t="str">
        <f>IFERROR(__xludf.DUMMYFUNCTION("""COMPUTED_VALUE"""),"FARM")</f>
        <v>FARM</v>
      </c>
      <c r="C1626" s="122" t="str">
        <f>IFERROR(__xludf.DUMMYFUNCTION("""COMPUTED_VALUE"""),"Future Farms remains stable as the Agriculture market shows normal activity.")</f>
        <v>Future Farms remains stable as the Agriculture market shows normal activity.</v>
      </c>
      <c r="D1626" s="122" t="str">
        <f>IFERROR(__xludf.DUMMYFUNCTION("""COMPUTED_VALUE"""),"Future Farms appears steady with no major changes reported.")</f>
        <v>Future Farms appears steady with no major changes reported.</v>
      </c>
      <c r="E1626" s="122" t="str">
        <f>IFERROR(__xludf.DUMMYFUNCTION("""COMPUTED_VALUE"""),"Neutral")</f>
        <v>Neutral</v>
      </c>
      <c r="F1626" s="122">
        <f>IFERROR(__xludf.DUMMYFUNCTION("""COMPUTED_VALUE"""),0.0)</f>
        <v>0</v>
      </c>
      <c r="G1626" s="122">
        <f>IFERROR(__xludf.DUMMYFUNCTION("""COMPUTED_VALUE"""),0.0)</f>
        <v>0</v>
      </c>
      <c r="H1626" s="122" t="str">
        <f>IFERROR(__xludf.DUMMYFUNCTION("""COMPUTED_VALUE"""),"Active")</f>
        <v>Active</v>
      </c>
    </row>
    <row r="1627">
      <c r="A1627" s="131">
        <f>IFERROR(__xludf.DUMMYFUNCTION("""COMPUTED_VALUE"""),46186.33157407407)</f>
        <v>46186.33157</v>
      </c>
      <c r="B1627" s="122" t="str">
        <f>IFERROR(__xludf.DUMMYFUNCTION("""COMPUTED_VALUE"""),"MEAT")</f>
        <v>MEAT</v>
      </c>
      <c r="C1627" s="122" t="str">
        <f>IFERROR(__xludf.DUMMYFUNCTION("""COMPUTED_VALUE"""),"MeatWorks remains stable as the Food market shows normal activity.")</f>
        <v>MeatWorks remains stable as the Food market shows normal activity.</v>
      </c>
      <c r="D1627" s="122" t="str">
        <f>IFERROR(__xludf.DUMMYFUNCTION("""COMPUTED_VALUE"""),"MeatWorks appears steady with no major changes reported.")</f>
        <v>MeatWorks appears steady with no major changes reported.</v>
      </c>
      <c r="E1627" s="122" t="str">
        <f>IFERROR(__xludf.DUMMYFUNCTION("""COMPUTED_VALUE"""),"Neutral")</f>
        <v>Neutral</v>
      </c>
      <c r="F1627" s="122">
        <f>IFERROR(__xludf.DUMMYFUNCTION("""COMPUTED_VALUE"""),0.0)</f>
        <v>0</v>
      </c>
      <c r="G1627" s="122">
        <f>IFERROR(__xludf.DUMMYFUNCTION("""COMPUTED_VALUE"""),0.0)</f>
        <v>0</v>
      </c>
      <c r="H1627" s="122" t="str">
        <f>IFERROR(__xludf.DUMMYFUNCTION("""COMPUTED_VALUE"""),"Active")</f>
        <v>Active</v>
      </c>
    </row>
    <row r="1628">
      <c r="A1628" s="131">
        <f>IFERROR(__xludf.DUMMYFUNCTION("""COMPUTED_VALUE"""),46186.33158564815)</f>
        <v>46186.33159</v>
      </c>
      <c r="B1628" s="122" t="str">
        <f>IFERROR(__xludf.DUMMYFUNCTION("""COMPUTED_VALUE"""),"VEGI")</f>
        <v>VEGI</v>
      </c>
      <c r="C1628" s="122" t="str">
        <f>IFERROR(__xludf.DUMMYFUNCTION("""COMPUTED_VALUE"""),"Green Basket remains stable as the Food market shows normal activity.")</f>
        <v>Green Basket remains stable as the Food market shows normal activity.</v>
      </c>
      <c r="D1628" s="122" t="str">
        <f>IFERROR(__xludf.DUMMYFUNCTION("""COMPUTED_VALUE"""),"Green Basket appears steady with no major changes reported.")</f>
        <v>Green Basket appears steady with no major changes reported.</v>
      </c>
      <c r="E1628" s="122" t="str">
        <f>IFERROR(__xludf.DUMMYFUNCTION("""COMPUTED_VALUE"""),"Neutral")</f>
        <v>Neutral</v>
      </c>
      <c r="F1628" s="122">
        <f>IFERROR(__xludf.DUMMYFUNCTION("""COMPUTED_VALUE"""),0.0)</f>
        <v>0</v>
      </c>
      <c r="G1628" s="122">
        <f>IFERROR(__xludf.DUMMYFUNCTION("""COMPUTED_VALUE"""),0.0)</f>
        <v>0</v>
      </c>
      <c r="H1628" s="122" t="str">
        <f>IFERROR(__xludf.DUMMYFUNCTION("""COMPUTED_VALUE"""),"Active")</f>
        <v>Active</v>
      </c>
    </row>
    <row r="1629">
      <c r="A1629" s="131">
        <f>IFERROR(__xludf.DUMMYFUNCTION("""COMPUTED_VALUE"""),46186.33158564815)</f>
        <v>46186.33159</v>
      </c>
      <c r="B1629" s="122" t="str">
        <f>IFERROR(__xludf.DUMMYFUNCTION("""COMPUTED_VALUE"""),"CAFE")</f>
        <v>CAFE</v>
      </c>
      <c r="C1629" s="122" t="str">
        <f>IFERROR(__xludf.DUMMYFUNCTION("""COMPUTED_VALUE"""),"Cafe Cloud remains stable as the Food market shows normal activity.")</f>
        <v>Cafe Cloud remains stable as the Food market shows normal activity.</v>
      </c>
      <c r="D1629" s="122" t="str">
        <f>IFERROR(__xludf.DUMMYFUNCTION("""COMPUTED_VALUE"""),"Cafe Cloud appears steady with no major changes reported.")</f>
        <v>Cafe Cloud appears steady with no major changes reported.</v>
      </c>
      <c r="E1629" s="122" t="str">
        <f>IFERROR(__xludf.DUMMYFUNCTION("""COMPUTED_VALUE"""),"Neutral")</f>
        <v>Neutral</v>
      </c>
      <c r="F1629" s="122">
        <f>IFERROR(__xludf.DUMMYFUNCTION("""COMPUTED_VALUE"""),0.0)</f>
        <v>0</v>
      </c>
      <c r="G1629" s="122">
        <f>IFERROR(__xludf.DUMMYFUNCTION("""COMPUTED_VALUE"""),0.0)</f>
        <v>0</v>
      </c>
      <c r="H1629" s="122" t="str">
        <f>IFERROR(__xludf.DUMMYFUNCTION("""COMPUTED_VALUE"""),"Active")</f>
        <v>Active</v>
      </c>
    </row>
    <row r="1630">
      <c r="A1630" s="131">
        <f>IFERROR(__xludf.DUMMYFUNCTION("""COMPUTED_VALUE"""),46186.33159722222)</f>
        <v>46186.3316</v>
      </c>
      <c r="B1630" s="122" t="str">
        <f>IFERROR(__xludf.DUMMYFUNCTION("""COMPUTED_VALUE"""),"BAKE")</f>
        <v>BAKE</v>
      </c>
      <c r="C1630" s="122" t="str">
        <f>IFERROR(__xludf.DUMMYFUNCTION("""COMPUTED_VALUE"""),"BakeHouse remains stable as the Food market shows normal activity.")</f>
        <v>BakeHouse remains stable as the Food market shows normal activity.</v>
      </c>
      <c r="D1630" s="122" t="str">
        <f>IFERROR(__xludf.DUMMYFUNCTION("""COMPUTED_VALUE"""),"BakeHouse appears steady with no major changes reported.")</f>
        <v>BakeHouse appears steady with no major changes reported.</v>
      </c>
      <c r="E1630" s="122" t="str">
        <f>IFERROR(__xludf.DUMMYFUNCTION("""COMPUTED_VALUE"""),"Neutral")</f>
        <v>Neutral</v>
      </c>
      <c r="F1630" s="122">
        <f>IFERROR(__xludf.DUMMYFUNCTION("""COMPUTED_VALUE"""),0.0)</f>
        <v>0</v>
      </c>
      <c r="G1630" s="122">
        <f>IFERROR(__xludf.DUMMYFUNCTION("""COMPUTED_VALUE"""),0.0)</f>
        <v>0</v>
      </c>
      <c r="H1630" s="122" t="str">
        <f>IFERROR(__xludf.DUMMYFUNCTION("""COMPUTED_VALUE"""),"Active")</f>
        <v>Active</v>
      </c>
    </row>
    <row r="1631">
      <c r="A1631" s="131">
        <f>IFERROR(__xludf.DUMMYFUNCTION("""COMPUTED_VALUE"""),46186.331608796296)</f>
        <v>46186.33161</v>
      </c>
      <c r="B1631" s="122" t="str">
        <f>IFERROR(__xludf.DUMMYFUNCTION("""COMPUTED_VALUE"""),"OILX")</f>
        <v>OILX</v>
      </c>
      <c r="C1631" s="122" t="str">
        <f>IFERROR(__xludf.DUMMYFUNCTION("""COMPUTED_VALUE"""),"OilMax Energy faces weaker demand and cautious investor sentiment.")</f>
        <v>OilMax Energy faces weaker demand and cautious investor sentiment.</v>
      </c>
      <c r="D1631" s="122" t="str">
        <f>IFERROR(__xludf.DUMMYFUNCTION("""COMPUTED_VALUE"""),"Investors are watching OilMax Energy closely as demand weakens.")</f>
        <v>Investors are watching OilMax Energy closely as demand weakens.</v>
      </c>
      <c r="E1631" s="122" t="str">
        <f>IFERROR(__xludf.DUMMYFUNCTION("""COMPUTED_VALUE"""),"Negative")</f>
        <v>Negative</v>
      </c>
      <c r="F1631" s="122">
        <f>IFERROR(__xludf.DUMMYFUNCTION("""COMPUTED_VALUE"""),-0.015)</f>
        <v>-0.015</v>
      </c>
      <c r="G1631" s="122">
        <f>IFERROR(__xludf.DUMMYFUNCTION("""COMPUTED_VALUE"""),0.75)</f>
        <v>0.75</v>
      </c>
      <c r="H1631" s="122" t="str">
        <f>IFERROR(__xludf.DUMMYFUNCTION("""COMPUTED_VALUE"""),"Active")</f>
        <v>Active</v>
      </c>
    </row>
    <row r="1632">
      <c r="A1632" s="131">
        <f>IFERROR(__xludf.DUMMYFUNCTION("""COMPUTED_VALUE"""),46186.331608796296)</f>
        <v>46186.33161</v>
      </c>
      <c r="B1632" s="122" t="str">
        <f>IFERROR(__xludf.DUMMYFUNCTION("""COMPUTED_VALUE"""),"SOLR")</f>
        <v>SOLR</v>
      </c>
      <c r="C1632" s="122" t="str">
        <f>IFERROR(__xludf.DUMMYFUNCTION("""COMPUTED_VALUE"""),"SolarSpark drops sharply after major concerns hit the market.")</f>
        <v>SolarSpark drops sharply after major concerns hit the market.</v>
      </c>
      <c r="D1632" s="122" t="str">
        <f>IFERROR(__xludf.DUMMYFUNCTION("""COMPUTED_VALUE"""),"SolarSpark is under pressure as investors react to worsening conditions.")</f>
        <v>SolarSpark is under pressure as investors react to worsening conditions.</v>
      </c>
      <c r="E1632" s="122" t="str">
        <f>IFERROR(__xludf.DUMMYFUNCTION("""COMPUTED_VALUE"""),"Negative")</f>
        <v>Negative</v>
      </c>
      <c r="F1632" s="122">
        <f>IFERROR(__xludf.DUMMYFUNCTION("""COMPUTED_VALUE"""),-0.04)</f>
        <v>-0.04</v>
      </c>
      <c r="G1632" s="122">
        <f>IFERROR(__xludf.DUMMYFUNCTION("""COMPUTED_VALUE"""),2.0)</f>
        <v>2</v>
      </c>
      <c r="H1632" s="122" t="str">
        <f>IFERROR(__xludf.DUMMYFUNCTION("""COMPUTED_VALUE"""),"Active")</f>
        <v>Active</v>
      </c>
    </row>
    <row r="1633">
      <c r="A1633" s="131">
        <f>IFERROR(__xludf.DUMMYFUNCTION("""COMPUTED_VALUE"""),46186.33162037037)</f>
        <v>46186.33162</v>
      </c>
      <c r="B1633" s="122" t="str">
        <f>IFERROR(__xludf.DUMMYFUNCTION("""COMPUTED_VALUE"""),"BATT")</f>
        <v>BATT</v>
      </c>
      <c r="C1633" s="122" t="str">
        <f>IFERROR(__xludf.DUMMYFUNCTION("""COMPUTED_VALUE"""),"BatteryBox reports steady growth and improved market confidence.")</f>
        <v>BatteryBox reports steady growth and improved market confidence.</v>
      </c>
      <c r="D1633" s="122" t="str">
        <f>IFERROR(__xludf.DUMMYFUNCTION("""COMPUTED_VALUE"""),"BatteryBox continues to show positive momentum with moderate risk.")</f>
        <v>BatteryBox continues to show positive momentum with moderate risk.</v>
      </c>
      <c r="E1633" s="122" t="str">
        <f>IFERROR(__xludf.DUMMYFUNCTION("""COMPUTED_VALUE"""),"Positive")</f>
        <v>Positive</v>
      </c>
      <c r="F1633" s="122">
        <f>IFERROR(__xludf.DUMMYFUNCTION("""COMPUTED_VALUE"""),0.015)</f>
        <v>0.015</v>
      </c>
      <c r="G1633" s="122">
        <f>IFERROR(__xludf.DUMMYFUNCTION("""COMPUTED_VALUE"""),0.5)</f>
        <v>0.5</v>
      </c>
      <c r="H1633" s="122" t="str">
        <f>IFERROR(__xludf.DUMMYFUNCTION("""COMPUTED_VALUE"""),"Active")</f>
        <v>Active</v>
      </c>
    </row>
    <row r="1634">
      <c r="A1634" s="131">
        <f>IFERROR(__xludf.DUMMYFUNCTION("""COMPUTED_VALUE"""),46186.33163194444)</f>
        <v>46186.33163</v>
      </c>
      <c r="B1634" s="122" t="str">
        <f>IFERROR(__xludf.DUMMYFUNCTION("""COMPUTED_VALUE"""),"WIND")</f>
        <v>WIND</v>
      </c>
      <c r="C1634" s="122" t="str">
        <f>IFERROR(__xludf.DUMMYFUNCTION("""COMPUTED_VALUE"""),"WindWorks faces weaker demand and cautious investor sentiment.")</f>
        <v>WindWorks faces weaker demand and cautious investor sentiment.</v>
      </c>
      <c r="D1634" s="122" t="str">
        <f>IFERROR(__xludf.DUMMYFUNCTION("""COMPUTED_VALUE"""),"Investors are watching WindWorks closely as demand weakens.")</f>
        <v>Investors are watching WindWorks closely as demand weakens.</v>
      </c>
      <c r="E1634" s="122" t="str">
        <f>IFERROR(__xludf.DUMMYFUNCTION("""COMPUTED_VALUE"""),"Negative")</f>
        <v>Negative</v>
      </c>
      <c r="F1634" s="122">
        <f>IFERROR(__xludf.DUMMYFUNCTION("""COMPUTED_VALUE"""),-0.015)</f>
        <v>-0.015</v>
      </c>
      <c r="G1634" s="122">
        <f>IFERROR(__xludf.DUMMYFUNCTION("""COMPUTED_VALUE"""),0.75)</f>
        <v>0.75</v>
      </c>
      <c r="H1634" s="122" t="str">
        <f>IFERROR(__xludf.DUMMYFUNCTION("""COMPUTED_VALUE"""),"Active")</f>
        <v>Active</v>
      </c>
    </row>
    <row r="1635">
      <c r="A1635" s="131">
        <f>IFERROR(__xludf.DUMMYFUNCTION("""COMPUTED_VALUE"""),46186.33163194444)</f>
        <v>46186.33163</v>
      </c>
      <c r="B1635" s="122" t="str">
        <f>IFERROR(__xludf.DUMMYFUNCTION("""COMPUTED_VALUE"""),"GRID")</f>
        <v>GRID</v>
      </c>
      <c r="C1635" s="122" t="str">
        <f>IFERROR(__xludf.DUMMYFUNCTION("""COMPUTED_VALUE"""),"GridPower surges as demand rises across the Energy sector.")</f>
        <v>GridPower surges as demand rises across the Energy sector.</v>
      </c>
      <c r="D1635" s="122" t="str">
        <f>IFERROR(__xludf.DUMMYFUNCTION("""COMPUTED_VALUE"""),"GridPower is seeing strong demand, which may increase investor confidence.")</f>
        <v>GridPower is seeing strong demand, which may increase investor confidence.</v>
      </c>
      <c r="E1635" s="122" t="str">
        <f>IFERROR(__xludf.DUMMYFUNCTION("""COMPUTED_VALUE"""),"Positive")</f>
        <v>Positive</v>
      </c>
      <c r="F1635" s="122">
        <f>IFERROR(__xludf.DUMMYFUNCTION("""COMPUTED_VALUE"""),0.03)</f>
        <v>0.03</v>
      </c>
      <c r="G1635" s="122">
        <f>IFERROR(__xludf.DUMMYFUNCTION("""COMPUTED_VALUE"""),1.0)</f>
        <v>1</v>
      </c>
      <c r="H1635" s="122" t="str">
        <f>IFERROR(__xludf.DUMMYFUNCTION("""COMPUTED_VALUE"""),"Active")</f>
        <v>Active</v>
      </c>
    </row>
    <row r="1636">
      <c r="A1636" s="131">
        <f>IFERROR(__xludf.DUMMYFUNCTION("""COMPUTED_VALUE"""),46186.331655092596)</f>
        <v>46186.33166</v>
      </c>
      <c r="B1636" s="122" t="str">
        <f>IFERROR(__xludf.DUMMYFUNCTION("""COMPUTED_VALUE"""),"HOME")</f>
        <v>HOME</v>
      </c>
      <c r="C1636" s="122" t="str">
        <f>IFERROR(__xludf.DUMMYFUNCTION("""COMPUTED_VALUE"""),"HomeHub faces weaker demand and cautious investor sentiment.")</f>
        <v>HomeHub faces weaker demand and cautious investor sentiment.</v>
      </c>
      <c r="D1636" s="122" t="str">
        <f>IFERROR(__xludf.DUMMYFUNCTION("""COMPUTED_VALUE"""),"Investors are watching HomeHub closely as demand weakens.")</f>
        <v>Investors are watching HomeHub closely as demand weakens.</v>
      </c>
      <c r="E1636" s="122" t="str">
        <f>IFERROR(__xludf.DUMMYFUNCTION("""COMPUTED_VALUE"""),"Negative")</f>
        <v>Negative</v>
      </c>
      <c r="F1636" s="122">
        <f>IFERROR(__xludf.DUMMYFUNCTION("""COMPUTED_VALUE"""),-0.015)</f>
        <v>-0.015</v>
      </c>
      <c r="G1636" s="122">
        <f>IFERROR(__xludf.DUMMYFUNCTION("""COMPUTED_VALUE"""),0.75)</f>
        <v>0.75</v>
      </c>
      <c r="H1636" s="122" t="str">
        <f>IFERROR(__xludf.DUMMYFUNCTION("""COMPUTED_VALUE"""),"Active")</f>
        <v>Active</v>
      </c>
    </row>
    <row r="1637">
      <c r="A1637" s="131">
        <f>IFERROR(__xludf.DUMMYFUNCTION("""COMPUTED_VALUE"""),46186.331666666665)</f>
        <v>46186.33167</v>
      </c>
      <c r="B1637" s="122" t="str">
        <f>IFERROR(__xludf.DUMMYFUNCTION("""COMPUTED_VALUE"""),"RENT")</f>
        <v>RENT</v>
      </c>
      <c r="C1637" s="122" t="str">
        <f>IFERROR(__xludf.DUMMYFUNCTION("""COMPUTED_VALUE"""),"RentRight sees uncertain trading as investors react to mixed signals.")</f>
        <v>RentRight sees uncertain trading as investors react to mixed signals.</v>
      </c>
      <c r="D1637" s="122" t="str">
        <f>IFERROR(__xludf.DUMMYFUNCTION("""COMPUTED_VALUE"""),"RentRight may experience larger price swings as investors disagree on direction.")</f>
        <v>RentRight may experience larger price swings as investors disagree on direction.</v>
      </c>
      <c r="E1637" s="122" t="str">
        <f>IFERROR(__xludf.DUMMYFUNCTION("""COMPUTED_VALUE"""),"Mixed")</f>
        <v>Mixed</v>
      </c>
      <c r="F1637" s="122">
        <f>IFERROR(__xludf.DUMMYFUNCTION("""COMPUTED_VALUE"""),-0.0024795339471902073)</f>
        <v>-0.002479533947</v>
      </c>
      <c r="G1637" s="122">
        <f>IFERROR(__xludf.DUMMYFUNCTION("""COMPUTED_VALUE"""),1.5)</f>
        <v>1.5</v>
      </c>
      <c r="H1637" s="122" t="str">
        <f>IFERROR(__xludf.DUMMYFUNCTION("""COMPUTED_VALUE"""),"Active")</f>
        <v>Active</v>
      </c>
    </row>
    <row r="1638">
      <c r="A1638" s="131">
        <f>IFERROR(__xludf.DUMMYFUNCTION("""COMPUTED_VALUE"""),46186.33167824074)</f>
        <v>46186.33168</v>
      </c>
      <c r="B1638" s="122" t="str">
        <f>IFERROR(__xludf.DUMMYFUNCTION("""COMPUTED_VALUE"""),"MALL")</f>
        <v>MALL</v>
      </c>
      <c r="C1638" s="122" t="str">
        <f>IFERROR(__xludf.DUMMYFUNCTION("""COMPUTED_VALUE"""),"MegaMall remains stable as the Real Estate market shows normal activity.")</f>
        <v>MegaMall remains stable as the Real Estate market shows normal activity.</v>
      </c>
      <c r="D1638" s="122" t="str">
        <f>IFERROR(__xludf.DUMMYFUNCTION("""COMPUTED_VALUE"""),"MegaMall appears steady with no major changes reported.")</f>
        <v>MegaMall appears steady with no major changes reported.</v>
      </c>
      <c r="E1638" s="122" t="str">
        <f>IFERROR(__xludf.DUMMYFUNCTION("""COMPUTED_VALUE"""),"Neutral")</f>
        <v>Neutral</v>
      </c>
      <c r="F1638" s="122">
        <f>IFERROR(__xludf.DUMMYFUNCTION("""COMPUTED_VALUE"""),0.0)</f>
        <v>0</v>
      </c>
      <c r="G1638" s="122">
        <f>IFERROR(__xludf.DUMMYFUNCTION("""COMPUTED_VALUE"""),0.0)</f>
        <v>0</v>
      </c>
      <c r="H1638" s="122" t="str">
        <f>IFERROR(__xludf.DUMMYFUNCTION("""COMPUTED_VALUE"""),"Active")</f>
        <v>Active</v>
      </c>
    </row>
    <row r="1639">
      <c r="A1639" s="131">
        <f>IFERROR(__xludf.DUMMYFUNCTION("""COMPUTED_VALUE"""),46186.33170138889)</f>
        <v>46186.3317</v>
      </c>
      <c r="B1639" s="122" t="str">
        <f>IFERROR(__xludf.DUMMYFUNCTION("""COMPUTED_VALUE"""),"HOTL")</f>
        <v>HOTL</v>
      </c>
      <c r="C1639" s="122" t="str">
        <f>IFERROR(__xludf.DUMMYFUNCTION("""COMPUTED_VALUE"""),"HotelHive faces weaker demand and cautious investor sentiment.")</f>
        <v>HotelHive faces weaker demand and cautious investor sentiment.</v>
      </c>
      <c r="D1639" s="122" t="str">
        <f>IFERROR(__xludf.DUMMYFUNCTION("""COMPUTED_VALUE"""),"Investors are watching HotelHive closely as demand weakens.")</f>
        <v>Investors are watching HotelHive closely as demand weakens.</v>
      </c>
      <c r="E1639" s="122" t="str">
        <f>IFERROR(__xludf.DUMMYFUNCTION("""COMPUTED_VALUE"""),"Negative")</f>
        <v>Negative</v>
      </c>
      <c r="F1639" s="122">
        <f>IFERROR(__xludf.DUMMYFUNCTION("""COMPUTED_VALUE"""),-0.015)</f>
        <v>-0.015</v>
      </c>
      <c r="G1639" s="122">
        <f>IFERROR(__xludf.DUMMYFUNCTION("""COMPUTED_VALUE"""),0.75)</f>
        <v>0.75</v>
      </c>
      <c r="H1639" s="122" t="str">
        <f>IFERROR(__xludf.DUMMYFUNCTION("""COMPUTED_VALUE"""),"Active")</f>
        <v>Active</v>
      </c>
    </row>
    <row r="1640">
      <c r="A1640" s="131">
        <f>IFERROR(__xludf.DUMMYFUNCTION("""COMPUTED_VALUE"""),46186.33170138889)</f>
        <v>46186.3317</v>
      </c>
      <c r="B1640" s="122" t="str">
        <f>IFERROR(__xludf.DUMMYFUNCTION("""COMPUTED_VALUE"""),"LAND")</f>
        <v>LAND</v>
      </c>
      <c r="C1640" s="122" t="str">
        <f>IFERROR(__xludf.DUMMYFUNCTION("""COMPUTED_VALUE"""),"LandLink reports steady growth and improved market confidence.")</f>
        <v>LandLink reports steady growth and improved market confidence.</v>
      </c>
      <c r="D1640" s="122" t="str">
        <f>IFERROR(__xludf.DUMMYFUNCTION("""COMPUTED_VALUE"""),"LandLink continues to show positive momentum with moderate risk.")</f>
        <v>LandLink continues to show positive momentum with moderate risk.</v>
      </c>
      <c r="E1640" s="122" t="str">
        <f>IFERROR(__xludf.DUMMYFUNCTION("""COMPUTED_VALUE"""),"Positive")</f>
        <v>Positive</v>
      </c>
      <c r="F1640" s="122">
        <f>IFERROR(__xludf.DUMMYFUNCTION("""COMPUTED_VALUE"""),0.015)</f>
        <v>0.015</v>
      </c>
      <c r="G1640" s="122">
        <f>IFERROR(__xludf.DUMMYFUNCTION("""COMPUTED_VALUE"""),0.5)</f>
        <v>0.5</v>
      </c>
      <c r="H1640" s="122" t="str">
        <f>IFERROR(__xludf.DUMMYFUNCTION("""COMPUTED_VALUE"""),"Active")</f>
        <v>Active</v>
      </c>
    </row>
    <row r="1641">
      <c r="A1641" s="131">
        <f>IFERROR(__xludf.DUMMYFUNCTION("""COMPUTED_VALUE"""),46186.331712962965)</f>
        <v>46186.33171</v>
      </c>
      <c r="B1641" s="122" t="str">
        <f>IFERROR(__xludf.DUMMYFUNCTION("""COMPUTED_VALUE"""),"CARS")</f>
        <v>CARS</v>
      </c>
      <c r="C1641" s="122" t="str">
        <f>IFERROR(__xludf.DUMMYFUNCTION("""COMPUTED_VALUE"""),"AutoArena reports steady growth and improved market confidence.")</f>
        <v>AutoArena reports steady growth and improved market confidence.</v>
      </c>
      <c r="D1641" s="122" t="str">
        <f>IFERROR(__xludf.DUMMYFUNCTION("""COMPUTED_VALUE"""),"AutoArena continues to show positive momentum with moderate risk.")</f>
        <v>AutoArena continues to show positive momentum with moderate risk.</v>
      </c>
      <c r="E1641" s="122" t="str">
        <f>IFERROR(__xludf.DUMMYFUNCTION("""COMPUTED_VALUE"""),"Positive")</f>
        <v>Positive</v>
      </c>
      <c r="F1641" s="122">
        <f>IFERROR(__xludf.DUMMYFUNCTION("""COMPUTED_VALUE"""),0.015)</f>
        <v>0.015</v>
      </c>
      <c r="G1641" s="122">
        <f>IFERROR(__xludf.DUMMYFUNCTION("""COMPUTED_VALUE"""),0.5)</f>
        <v>0.5</v>
      </c>
      <c r="H1641" s="122" t="str">
        <f>IFERROR(__xludf.DUMMYFUNCTION("""COMPUTED_VALUE"""),"Active")</f>
        <v>Active</v>
      </c>
    </row>
    <row r="1642">
      <c r="A1642" s="131">
        <f>IFERROR(__xludf.DUMMYFUNCTION("""COMPUTED_VALUE"""),46186.331712962965)</f>
        <v>46186.33171</v>
      </c>
      <c r="B1642" s="122" t="str">
        <f>IFERROR(__xludf.DUMMYFUNCTION("""COMPUTED_VALUE"""),"EVGO")</f>
        <v>EVGO</v>
      </c>
      <c r="C1642" s="122" t="str">
        <f>IFERROR(__xludf.DUMMYFUNCTION("""COMPUTED_VALUE"""),"EVGo Motors faces weaker demand and cautious investor sentiment.")</f>
        <v>EVGo Motors faces weaker demand and cautious investor sentiment.</v>
      </c>
      <c r="D1642" s="122" t="str">
        <f>IFERROR(__xludf.DUMMYFUNCTION("""COMPUTED_VALUE"""),"Investors are watching EVGo Motors closely as demand weakens.")</f>
        <v>Investors are watching EVGo Motors closely as demand weakens.</v>
      </c>
      <c r="E1642" s="122" t="str">
        <f>IFERROR(__xludf.DUMMYFUNCTION("""COMPUTED_VALUE"""),"Negative")</f>
        <v>Negative</v>
      </c>
      <c r="F1642" s="122">
        <f>IFERROR(__xludf.DUMMYFUNCTION("""COMPUTED_VALUE"""),-0.015)</f>
        <v>-0.015</v>
      </c>
      <c r="G1642" s="122">
        <f>IFERROR(__xludf.DUMMYFUNCTION("""COMPUTED_VALUE"""),0.75)</f>
        <v>0.75</v>
      </c>
      <c r="H1642" s="122" t="str">
        <f>IFERROR(__xludf.DUMMYFUNCTION("""COMPUTED_VALUE"""),"Active")</f>
        <v>Active</v>
      </c>
    </row>
    <row r="1643">
      <c r="A1643" s="131">
        <f>IFERROR(__xludf.DUMMYFUNCTION("""COMPUTED_VALUE"""),46186.331724537034)</f>
        <v>46186.33172</v>
      </c>
      <c r="B1643" s="122" t="str">
        <f>IFERROR(__xludf.DUMMYFUNCTION("""COMPUTED_VALUE"""),"TIRE")</f>
        <v>TIRE</v>
      </c>
      <c r="C1643" s="122" t="str">
        <f>IFERROR(__xludf.DUMMYFUNCTION("""COMPUTED_VALUE"""),"TireTown surges as demand rises across the Automotive sector.")</f>
        <v>TireTown surges as demand rises across the Automotive sector.</v>
      </c>
      <c r="D1643" s="122" t="str">
        <f>IFERROR(__xludf.DUMMYFUNCTION("""COMPUTED_VALUE"""),"TireTown is seeing strong demand, which may increase investor confidence.")</f>
        <v>TireTown is seeing strong demand, which may increase investor confidence.</v>
      </c>
      <c r="E1643" s="122" t="str">
        <f>IFERROR(__xludf.DUMMYFUNCTION("""COMPUTED_VALUE"""),"Positive")</f>
        <v>Positive</v>
      </c>
      <c r="F1643" s="122">
        <f>IFERROR(__xludf.DUMMYFUNCTION("""COMPUTED_VALUE"""),0.03)</f>
        <v>0.03</v>
      </c>
      <c r="G1643" s="122">
        <f>IFERROR(__xludf.DUMMYFUNCTION("""COMPUTED_VALUE"""),1.0)</f>
        <v>1</v>
      </c>
      <c r="H1643" s="122" t="str">
        <f>IFERROR(__xludf.DUMMYFUNCTION("""COMPUTED_VALUE"""),"Active")</f>
        <v>Active</v>
      </c>
    </row>
    <row r="1644">
      <c r="A1644" s="131">
        <f>IFERROR(__xludf.DUMMYFUNCTION("""COMPUTED_VALUE"""),46186.331724537034)</f>
        <v>46186.33172</v>
      </c>
      <c r="B1644" s="122" t="str">
        <f>IFERROR(__xludf.DUMMYFUNCTION("""COMPUTED_VALUE"""),"BIKE")</f>
        <v>BIKE</v>
      </c>
      <c r="C1644" s="122" t="str">
        <f>IFERROR(__xludf.DUMMYFUNCTION("""COMPUTED_VALUE"""),"BikeBox sees uncertain trading as investors react to mixed signals.")</f>
        <v>BikeBox sees uncertain trading as investors react to mixed signals.</v>
      </c>
      <c r="D1644" s="122" t="str">
        <f>IFERROR(__xludf.DUMMYFUNCTION("""COMPUTED_VALUE"""),"BikeBox may experience larger price swings as investors disagree on direction.")</f>
        <v>BikeBox may experience larger price swings as investors disagree on direction.</v>
      </c>
      <c r="E1644" s="122" t="str">
        <f>IFERROR(__xludf.DUMMYFUNCTION("""COMPUTED_VALUE"""),"Mixed")</f>
        <v>Mixed</v>
      </c>
      <c r="F1644" s="122">
        <f>IFERROR(__xludf.DUMMYFUNCTION("""COMPUTED_VALUE"""),0.0026404598884555604)</f>
        <v>0.002640459888</v>
      </c>
      <c r="G1644" s="122">
        <f>IFERROR(__xludf.DUMMYFUNCTION("""COMPUTED_VALUE"""),1.5)</f>
        <v>1.5</v>
      </c>
      <c r="H1644" s="122" t="str">
        <f>IFERROR(__xludf.DUMMYFUNCTION("""COMPUTED_VALUE"""),"Active")</f>
        <v>Active</v>
      </c>
    </row>
    <row r="1645">
      <c r="A1645" s="131">
        <f>IFERROR(__xludf.DUMMYFUNCTION("""COMPUTED_VALUE"""),46186.33173611111)</f>
        <v>46186.33174</v>
      </c>
      <c r="B1645" s="122" t="str">
        <f>IFERROR(__xludf.DUMMYFUNCTION("""COMPUTED_VALUE"""),"WASH")</f>
        <v>WASH</v>
      </c>
      <c r="C1645" s="122" t="str">
        <f>IFERROR(__xludf.DUMMYFUNCTION("""COMPUTED_VALUE"""),"CarWash Co reports steady growth and improved market confidence.")</f>
        <v>CarWash Co reports steady growth and improved market confidence.</v>
      </c>
      <c r="D1645" s="122" t="str">
        <f>IFERROR(__xludf.DUMMYFUNCTION("""COMPUTED_VALUE"""),"CarWash Co continues to show positive momentum with moderate risk.")</f>
        <v>CarWash Co continues to show positive momentum with moderate risk.</v>
      </c>
      <c r="E1645" s="122" t="str">
        <f>IFERROR(__xludf.DUMMYFUNCTION("""COMPUTED_VALUE"""),"Positive")</f>
        <v>Positive</v>
      </c>
      <c r="F1645" s="122">
        <f>IFERROR(__xludf.DUMMYFUNCTION("""COMPUTED_VALUE"""),0.015)</f>
        <v>0.015</v>
      </c>
      <c r="G1645" s="122">
        <f>IFERROR(__xludf.DUMMYFUNCTION("""COMPUTED_VALUE"""),0.5)</f>
        <v>0.5</v>
      </c>
      <c r="H1645" s="122" t="str">
        <f>IFERROR(__xludf.DUMMYFUNCTION("""COMPUTED_VALUE"""),"Active")</f>
        <v>Active</v>
      </c>
    </row>
    <row r="1646">
      <c r="A1646" s="131">
        <f>IFERROR(__xludf.DUMMYFUNCTION("""COMPUTED_VALUE"""),46186.331770833334)</f>
        <v>46186.33177</v>
      </c>
      <c r="B1646" s="122" t="str">
        <f>IFERROR(__xludf.DUMMYFUNCTION("""COMPUTED_VALUE"""),"GBND")</f>
        <v>GBND</v>
      </c>
      <c r="C1646" s="122" t="str">
        <f>IFERROR(__xludf.DUMMYFUNCTION("""COMPUTED_VALUE"""),"Classroom Government Bond remains steady as investors seek stability.")</f>
        <v>Classroom Government Bond remains steady as investors seek stability.</v>
      </c>
      <c r="D1646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646" s="122" t="str">
        <f>IFERROR(__xludf.DUMMYFUNCTION("""COMPUTED_VALUE"""),"Neutral")</f>
        <v>Neutral</v>
      </c>
      <c r="F1646" s="122">
        <f>IFERROR(__xludf.DUMMYFUNCTION("""COMPUTED_VALUE"""),0.0)</f>
        <v>0</v>
      </c>
      <c r="G1646" s="122">
        <f>IFERROR(__xludf.DUMMYFUNCTION("""COMPUTED_VALUE"""),0.0)</f>
        <v>0</v>
      </c>
      <c r="H1646" s="122" t="str">
        <f>IFERROR(__xludf.DUMMYFUNCTION("""COMPUTED_VALUE"""),"Active")</f>
        <v>Active</v>
      </c>
    </row>
    <row r="1647">
      <c r="A1647" s="131">
        <f>IFERROR(__xludf.DUMMYFUNCTION("""COMPUTED_VALUE"""),46186.331782407404)</f>
        <v>46186.33178</v>
      </c>
      <c r="B1647" s="122" t="str">
        <f>IFERROR(__xludf.DUMMYFUNCTION("""COMPUTED_VALUE"""),"SBND")</f>
        <v>SBND</v>
      </c>
      <c r="C1647" s="122" t="str">
        <f>IFERROR(__xludf.DUMMYFUNCTION("""COMPUTED_VALUE"""),"School Savings Bond remains steady as investors seek stability.")</f>
        <v>School Savings Bond remains steady as investors seek stability.</v>
      </c>
      <c r="D1647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647" s="122" t="str">
        <f>IFERROR(__xludf.DUMMYFUNCTION("""COMPUTED_VALUE"""),"Neutral")</f>
        <v>Neutral</v>
      </c>
      <c r="F1647" s="122">
        <f>IFERROR(__xludf.DUMMYFUNCTION("""COMPUTED_VALUE"""),0.0)</f>
        <v>0</v>
      </c>
      <c r="G1647" s="122">
        <f>IFERROR(__xludf.DUMMYFUNCTION("""COMPUTED_VALUE"""),0.0)</f>
        <v>0</v>
      </c>
      <c r="H1647" s="122" t="str">
        <f>IFERROR(__xludf.DUMMYFUNCTION("""COMPUTED_VALUE"""),"Active")</f>
        <v>Active</v>
      </c>
    </row>
    <row r="1648">
      <c r="A1648" s="131">
        <f>IFERROR(__xludf.DUMMYFUNCTION("""COMPUTED_VALUE"""),46186.331782407404)</f>
        <v>46186.33178</v>
      </c>
      <c r="B1648" s="122" t="str">
        <f>IFERROR(__xludf.DUMMYFUNCTION("""COMPUTED_VALUE"""),"CBND")</f>
        <v>CBND</v>
      </c>
      <c r="C1648" s="122" t="str">
        <f>IFERROR(__xludf.DUMMYFUNCTION("""COMPUTED_VALUE"""),"Corporate Classroom Bond remains steady as investors seek stability.")</f>
        <v>Corporate Classroom Bond remains steady as investors seek stability.</v>
      </c>
      <c r="D1648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648" s="122" t="str">
        <f>IFERROR(__xludf.DUMMYFUNCTION("""COMPUTED_VALUE"""),"Neutral")</f>
        <v>Neutral</v>
      </c>
      <c r="F1648" s="122">
        <f>IFERROR(__xludf.DUMMYFUNCTION("""COMPUTED_VALUE"""),0.0)</f>
        <v>0</v>
      </c>
      <c r="G1648" s="122">
        <f>IFERROR(__xludf.DUMMYFUNCTION("""COMPUTED_VALUE"""),0.0)</f>
        <v>0</v>
      </c>
      <c r="H1648" s="122" t="str">
        <f>IFERROR(__xludf.DUMMYFUNCTION("""COMPUTED_VALUE"""),"Active")</f>
        <v>Active</v>
      </c>
    </row>
    <row r="1649">
      <c r="A1649" s="131">
        <f>IFERROR(__xludf.DUMMYFUNCTION("""COMPUTED_VALUE"""),46186.33179398148)</f>
        <v>46186.33179</v>
      </c>
      <c r="B1649" s="122" t="str">
        <f>IFERROR(__xludf.DUMMYFUNCTION("""COMPUTED_VALUE"""),"TBIL")</f>
        <v>TBIL</v>
      </c>
      <c r="C1649" s="122" t="str">
        <f>IFERROR(__xludf.DUMMYFUNCTION("""COMPUTED_VALUE"""),"Treasury Bill remains steady as investors seek stability.")</f>
        <v>Treasury Bill remains steady as investors seek stability.</v>
      </c>
      <c r="D1649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649" s="122" t="str">
        <f>IFERROR(__xludf.DUMMYFUNCTION("""COMPUTED_VALUE"""),"Neutral")</f>
        <v>Neutral</v>
      </c>
      <c r="F1649" s="122">
        <f>IFERROR(__xludf.DUMMYFUNCTION("""COMPUTED_VALUE"""),0.0)</f>
        <v>0</v>
      </c>
      <c r="G1649" s="122">
        <f>IFERROR(__xludf.DUMMYFUNCTION("""COMPUTED_VALUE"""),0.0)</f>
        <v>0</v>
      </c>
      <c r="H1649" s="122" t="str">
        <f>IFERROR(__xludf.DUMMYFUNCTION("""COMPUTED_VALUE"""),"Active")</f>
        <v>Active</v>
      </c>
    </row>
    <row r="1650">
      <c r="A1650" s="131">
        <f>IFERROR(__xludf.DUMMYFUNCTION("""COMPUTED_VALUE"""),46186.33179398148)</f>
        <v>46186.33179</v>
      </c>
      <c r="B1650" s="122" t="str">
        <f>IFERROR(__xludf.DUMMYFUNCTION("""COMPUTED_VALUE"""),"IBND")</f>
        <v>IBND</v>
      </c>
      <c r="C1650" s="122" t="str">
        <f>IFERROR(__xludf.DUMMYFUNCTION("""COMPUTED_VALUE"""),"Inflation Protected Bond remains steady as investors seek stability.")</f>
        <v>Inflation Protected Bond remains steady as investors seek stability.</v>
      </c>
      <c r="D1650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650" s="122" t="str">
        <f>IFERROR(__xludf.DUMMYFUNCTION("""COMPUTED_VALUE"""),"Neutral")</f>
        <v>Neutral</v>
      </c>
      <c r="F1650" s="122">
        <f>IFERROR(__xludf.DUMMYFUNCTION("""COMPUTED_VALUE"""),0.0)</f>
        <v>0</v>
      </c>
      <c r="G1650" s="122">
        <f>IFERROR(__xludf.DUMMYFUNCTION("""COMPUTED_VALUE"""),0.0)</f>
        <v>0</v>
      </c>
      <c r="H1650" s="122" t="str">
        <f>IFERROR(__xludf.DUMMYFUNCTION("""COMPUTED_VALUE"""),"Active")</f>
        <v>Active</v>
      </c>
    </row>
    <row r="1651">
      <c r="A1651" s="131">
        <f>IFERROR(__xludf.DUMMYFUNCTION("""COMPUTED_VALUE"""),46187.31761574074)</f>
        <v>46187.31762</v>
      </c>
      <c r="B1651" s="122" t="str">
        <f>IFERROR(__xludf.DUMMYFUNCTION("""COMPUTED_VALUE"""),"EDUX")</f>
        <v>EDUX</v>
      </c>
      <c r="C1651" s="122" t="str">
        <f>IFERROR(__xludf.DUMMYFUNCTION("""COMPUTED_VALUE"""),"EduMax Learning releases earnings report: Miss profit, guidance Lowered.")</f>
        <v>EduMax Learning releases earnings report: Miss profit, guidance Lowered.</v>
      </c>
      <c r="D1651" s="122" t="str">
        <f>IFERROR(__xludf.DUMMYFUNCTION("""COMPUTED_VALUE"""),"Earnings report: revenue Miss, profit Miss, debt Worse, guidance Lowered.")</f>
        <v>Earnings report: revenue Miss, profit Miss, debt Worse, guidance Lowered.</v>
      </c>
      <c r="E1651" s="122" t="str">
        <f>IFERROR(__xludf.DUMMYFUNCTION("""COMPUTED_VALUE"""),"Negative")</f>
        <v>Negative</v>
      </c>
      <c r="F1651" s="122">
        <f>IFERROR(__xludf.DUMMYFUNCTION("""COMPUTED_VALUE"""),-0.03208658819992736)</f>
        <v>-0.0320865882</v>
      </c>
      <c r="G1651" s="122">
        <f>IFERROR(__xludf.DUMMYFUNCTION("""COMPUTED_VALUE"""),0.8021647049981839)</f>
        <v>0.802164705</v>
      </c>
      <c r="H1651" s="122" t="str">
        <f>IFERROR(__xludf.DUMMYFUNCTION("""COMPUTED_VALUE"""),"Active")</f>
        <v>Active</v>
      </c>
    </row>
    <row r="1652">
      <c r="A1652" s="131">
        <f>IFERROR(__xludf.DUMMYFUNCTION("""COMPUTED_VALUE"""),46187.31769675926)</f>
        <v>46187.3177</v>
      </c>
      <c r="B1652" s="122" t="str">
        <f>IFERROR(__xludf.DUMMYFUNCTION("""COMPUTED_VALUE"""),"RAIL")</f>
        <v>RAIL</v>
      </c>
      <c r="C1652" s="122" t="str">
        <f>IFERROR(__xludf.DUMMYFUNCTION("""COMPUTED_VALUE"""),"MetroRail Corp releases earnings report: Beat profit, guidance Maintained.")</f>
        <v>MetroRail Corp releases earnings report: Beat profit, guidance Maintained.</v>
      </c>
      <c r="D1652" s="122" t="str">
        <f>IFERROR(__xludf.DUMMYFUNCTION("""COMPUTED_VALUE"""),"Earnings report: revenue Beat, profit Beat, debt Stable, guidance Maintained.")</f>
        <v>Earnings report: revenue Beat, profit Beat, debt Stable, guidance Maintained.</v>
      </c>
      <c r="E1652" s="122" t="str">
        <f>IFERROR(__xludf.DUMMYFUNCTION("""COMPUTED_VALUE"""),"Positive")</f>
        <v>Positive</v>
      </c>
      <c r="F1652" s="122">
        <f>IFERROR(__xludf.DUMMYFUNCTION("""COMPUTED_VALUE"""),0.01563003153490399)</f>
        <v>0.01563003153</v>
      </c>
      <c r="G1652" s="122">
        <f>IFERROR(__xludf.DUMMYFUNCTION("""COMPUTED_VALUE"""),0.3907507883725998)</f>
        <v>0.3907507884</v>
      </c>
      <c r="H1652" s="122" t="str">
        <f>IFERROR(__xludf.DUMMYFUNCTION("""COMPUTED_VALUE"""),"Active")</f>
        <v>Active</v>
      </c>
    </row>
    <row r="1653">
      <c r="A1653" s="131">
        <f>IFERROR(__xludf.DUMMYFUNCTION("""COMPUTED_VALUE"""),46187.317766203705)</f>
        <v>46187.31777</v>
      </c>
      <c r="B1653" s="122" t="str">
        <f>IFERROR(__xludf.DUMMYFUNCTION("""COMPUTED_VALUE"""),"INSR")</f>
        <v>INSR</v>
      </c>
      <c r="C1653" s="122" t="str">
        <f>IFERROR(__xludf.DUMMYFUNCTION("""COMPUTED_VALUE"""),"Shield Insurance releases earnings report: Beat profit, guidance Raised.")</f>
        <v>Shield Insurance releases earnings report: Beat profit, guidance Raised.</v>
      </c>
      <c r="D1653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653" s="122" t="str">
        <f>IFERROR(__xludf.DUMMYFUNCTION("""COMPUTED_VALUE"""),"Positive")</f>
        <v>Positive</v>
      </c>
      <c r="F1653" s="122">
        <f>IFERROR(__xludf.DUMMYFUNCTION("""COMPUTED_VALUE"""),0.02987043377413822)</f>
        <v>0.02987043377</v>
      </c>
      <c r="G1653" s="122">
        <f>IFERROR(__xludf.DUMMYFUNCTION("""COMPUTED_VALUE"""),0.7467608443534555)</f>
        <v>0.7467608444</v>
      </c>
      <c r="H1653" s="122" t="str">
        <f>IFERROR(__xludf.DUMMYFUNCTION("""COMPUTED_VALUE"""),"Active")</f>
        <v>Active</v>
      </c>
    </row>
    <row r="1654">
      <c r="A1654" s="131">
        <f>IFERROR(__xludf.DUMMYFUNCTION("""COMPUTED_VALUE"""),46187.3178587963)</f>
        <v>46187.31786</v>
      </c>
      <c r="B1654" s="122" t="str">
        <f>IFERROR(__xludf.DUMMYFUNCTION("""COMPUTED_VALUE"""),"TUTR")</f>
        <v>TUTR</v>
      </c>
      <c r="C1654" s="122" t="str">
        <f>IFERROR(__xludf.DUMMYFUNCTION("""COMPUTED_VALUE"""),"TutorTown releases earnings report: Miss profit, guidance Maintained.")</f>
        <v>TutorTown releases earnings report: Miss profit, guidance Maintained.</v>
      </c>
      <c r="D1654" s="122" t="str">
        <f>IFERROR(__xludf.DUMMYFUNCTION("""COMPUTED_VALUE"""),"Earnings report: revenue Inline, profit Miss, debt Stable, guidance Maintained.")</f>
        <v>Earnings report: revenue Inline, profit Miss, debt Stable, guidance Maintained.</v>
      </c>
      <c r="E1654" s="122" t="str">
        <f>IFERROR(__xludf.DUMMYFUNCTION("""COMPUTED_VALUE"""),"Negative")</f>
        <v>Negative</v>
      </c>
      <c r="F1654" s="122">
        <f>IFERROR(__xludf.DUMMYFUNCTION("""COMPUTED_VALUE"""),-0.011606723565180851)</f>
        <v>-0.01160672357</v>
      </c>
      <c r="G1654" s="122">
        <f>IFERROR(__xludf.DUMMYFUNCTION("""COMPUTED_VALUE"""),0.2901680891295213)</f>
        <v>0.2901680891</v>
      </c>
      <c r="H1654" s="122" t="str">
        <f>IFERROR(__xludf.DUMMYFUNCTION("""COMPUTED_VALUE"""),"Active")</f>
        <v>Active</v>
      </c>
    </row>
    <row r="1655">
      <c r="A1655" s="131">
        <f>IFERROR(__xludf.DUMMYFUNCTION("""COMPUTED_VALUE"""),46187.317928240744)</f>
        <v>46187.31793</v>
      </c>
      <c r="B1655" s="122" t="str">
        <f>IFERROR(__xludf.DUMMYFUNCTION("""COMPUTED_VALUE"""),"SNAX")</f>
        <v>SNAX</v>
      </c>
      <c r="C1655" s="122" t="str">
        <f>IFERROR(__xludf.DUMMYFUNCTION("""COMPUTED_VALUE"""),"MICA Snacks releases earnings report: Miss profit, guidance Lowered.")</f>
        <v>MICA Snacks releases earnings report: Miss profit, guidance Lowered.</v>
      </c>
      <c r="D1655" s="122" t="str">
        <f>IFERROR(__xludf.DUMMYFUNCTION("""COMPUTED_VALUE"""),"Earnings report: revenue Miss, profit Miss, debt Worse, guidance Lowered.")</f>
        <v>Earnings report: revenue Miss, profit Miss, debt Worse, guidance Lowered.</v>
      </c>
      <c r="E1655" s="122" t="str">
        <f>IFERROR(__xludf.DUMMYFUNCTION("""COMPUTED_VALUE"""),"Negative")</f>
        <v>Negative</v>
      </c>
      <c r="F1655" s="122">
        <f>IFERROR(__xludf.DUMMYFUNCTION("""COMPUTED_VALUE"""),-0.02430766815673288)</f>
        <v>-0.02430766816</v>
      </c>
      <c r="G1655" s="122">
        <f>IFERROR(__xludf.DUMMYFUNCTION("""COMPUTED_VALUE"""),0.6076917039183221)</f>
        <v>0.6076917039</v>
      </c>
      <c r="H1655" s="122" t="str">
        <f>IFERROR(__xludf.DUMMYFUNCTION("""COMPUTED_VALUE"""),"Active")</f>
        <v>Active</v>
      </c>
    </row>
    <row r="1656">
      <c r="A1656" s="131">
        <f>IFERROR(__xludf.DUMMYFUNCTION("""COMPUTED_VALUE"""),46187.31799768518)</f>
        <v>46187.318</v>
      </c>
      <c r="B1656" s="122" t="str">
        <f>IFERROR(__xludf.DUMMYFUNCTION("""COMPUTED_VALUE"""),"AIBO")</f>
        <v>AIBO</v>
      </c>
      <c r="C1656" s="122" t="str">
        <f>IFERROR(__xludf.DUMMYFUNCTION("""COMPUTED_VALUE"""),"Homework AI releases earnings report: Miss profit, guidance Lowered.")</f>
        <v>Homework AI releases earnings report: Miss profit, guidance Lowered.</v>
      </c>
      <c r="D1656" s="122" t="str">
        <f>IFERROR(__xludf.DUMMYFUNCTION("""COMPUTED_VALUE"""),"Earnings report: revenue Miss, profit Miss, debt Worse, guidance Lowered.")</f>
        <v>Earnings report: revenue Miss, profit Miss, debt Worse, guidance Lowered.</v>
      </c>
      <c r="E1656" s="122" t="str">
        <f>IFERROR(__xludf.DUMMYFUNCTION("""COMPUTED_VALUE"""),"Negative")</f>
        <v>Negative</v>
      </c>
      <c r="F1656" s="122">
        <f>IFERROR(__xludf.DUMMYFUNCTION("""COMPUTED_VALUE"""),-0.04848024500607119)</f>
        <v>-0.04848024501</v>
      </c>
      <c r="G1656" s="122">
        <f>IFERROR(__xludf.DUMMYFUNCTION("""COMPUTED_VALUE"""),1.2120061251517797)</f>
        <v>1.212006125</v>
      </c>
      <c r="H1656" s="122" t="str">
        <f>IFERROR(__xludf.DUMMYFUNCTION("""COMPUTED_VALUE"""),"Active")</f>
        <v>Active</v>
      </c>
    </row>
    <row r="1657">
      <c r="A1657" s="131">
        <f>IFERROR(__xludf.DUMMYFUNCTION("""COMPUTED_VALUE"""),46187.31806712963)</f>
        <v>46187.31807</v>
      </c>
      <c r="B1657" s="122" t="str">
        <f>IFERROR(__xludf.DUMMYFUNCTION("""COMPUTED_VALUE"""),"TIRE")</f>
        <v>TIRE</v>
      </c>
      <c r="C1657" s="122" t="str">
        <f>IFERROR(__xludf.DUMMYFUNCTION("""COMPUTED_VALUE"""),"TireTown releases earnings report: Beat profit, guidance Raised.")</f>
        <v>TireTown releases earnings report: Beat profit, guidance Raised.</v>
      </c>
      <c r="D1657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657" s="122" t="str">
        <f>IFERROR(__xludf.DUMMYFUNCTION("""COMPUTED_VALUE"""),"Positive")</f>
        <v>Positive</v>
      </c>
      <c r="F1657" s="122">
        <f>IFERROR(__xludf.DUMMYFUNCTION("""COMPUTED_VALUE"""),0.05642337374040141)</f>
        <v>0.05642337374</v>
      </c>
      <c r="G1657" s="122">
        <f>IFERROR(__xludf.DUMMYFUNCTION("""COMPUTED_VALUE"""),1.4105843435100354)</f>
        <v>1.410584344</v>
      </c>
      <c r="H1657" s="122" t="str">
        <f>IFERROR(__xludf.DUMMYFUNCTION("""COMPUTED_VALUE"""),"Active")</f>
        <v>Active</v>
      </c>
    </row>
    <row r="1658">
      <c r="A1658" s="131">
        <f>IFERROR(__xludf.DUMMYFUNCTION("""COMPUTED_VALUE"""),46187.318125)</f>
        <v>46187.31813</v>
      </c>
      <c r="B1658" s="122" t="str">
        <f>IFERROR(__xludf.DUMMYFUNCTION("""COMPUTED_VALUE"""),"GLAM")</f>
        <v>GLAM</v>
      </c>
      <c r="C1658" s="122" t="str">
        <f>IFERROR(__xludf.DUMMYFUNCTION("""COMPUTED_VALUE"""),"Glow Cosmetics releases earnings report: Beat profit, guidance Raised.")</f>
        <v>Glow Cosmetics releases earnings report: Beat profit, guidance Raised.</v>
      </c>
      <c r="D1658" s="122" t="str">
        <f>IFERROR(__xludf.DUMMYFUNCTION("""COMPUTED_VALUE"""),"Earnings report: revenue Beat, profit Beat, debt Improved, guidance Raised.")</f>
        <v>Earnings report: revenue Beat, profit Beat, debt Improved, guidance Raised.</v>
      </c>
      <c r="E1658" s="122" t="str">
        <f>IFERROR(__xludf.DUMMYFUNCTION("""COMPUTED_VALUE"""),"Positive")</f>
        <v>Positive</v>
      </c>
      <c r="F1658" s="122">
        <f>IFERROR(__xludf.DUMMYFUNCTION("""COMPUTED_VALUE"""),0.0456134184347885)</f>
        <v>0.04561341843</v>
      </c>
      <c r="G1658" s="122">
        <f>IFERROR(__xludf.DUMMYFUNCTION("""COMPUTED_VALUE"""),1.1403354608697125)</f>
        <v>1.140335461</v>
      </c>
      <c r="H1658" s="122" t="str">
        <f>IFERROR(__xludf.DUMMYFUNCTION("""COMPUTED_VALUE"""),"Active")</f>
        <v>Active</v>
      </c>
    </row>
    <row r="1659">
      <c r="A1659" s="131">
        <f>IFERROR(__xludf.DUMMYFUNCTION("""COMPUTED_VALUE"""),46187.318194444444)</f>
        <v>46187.31819</v>
      </c>
      <c r="B1659" s="122" t="str">
        <f>IFERROR(__xludf.DUMMYFUNCTION("""COMPUTED_VALUE"""),"SOLR")</f>
        <v>SOLR</v>
      </c>
      <c r="C1659" s="122" t="str">
        <f>IFERROR(__xludf.DUMMYFUNCTION("""COMPUTED_VALUE"""),"SolarSpark releases earnings report: Inline profit, guidance Maintained.")</f>
        <v>SolarSpark releases earnings report: Inline profit, guidance Maintained.</v>
      </c>
      <c r="D1659" s="122" t="str">
        <f>IFERROR(__xludf.DUMMYFUNCTION("""COMPUTED_VALUE"""),"Earnings report: revenue Inline, profit Inline, debt Stable, guidance Maintained.")</f>
        <v>Earnings report: revenue Inline, profit Inline, debt Stable, guidance Maintained.</v>
      </c>
      <c r="E1659" s="122" t="str">
        <f>IFERROR(__xludf.DUMMYFUNCTION("""COMPUTED_VALUE"""),"Neutral")</f>
        <v>Neutral</v>
      </c>
      <c r="F1659" s="122">
        <f>IFERROR(__xludf.DUMMYFUNCTION("""COMPUTED_VALUE"""),0.0022243843680625065)</f>
        <v>0.002224384368</v>
      </c>
      <c r="G1659" s="122">
        <f>IFERROR(__xludf.DUMMYFUNCTION("""COMPUTED_VALUE"""),0.05560960920156266)</f>
        <v>0.0556096092</v>
      </c>
      <c r="H1659" s="122" t="str">
        <f>IFERROR(__xludf.DUMMYFUNCTION("""COMPUTED_VALUE"""),"Active")</f>
        <v>Active</v>
      </c>
    </row>
    <row r="1660">
      <c r="A1660" s="131">
        <f>IFERROR(__xludf.DUMMYFUNCTION("""COMPUTED_VALUE"""),46187.3308912037)</f>
        <v>46187.33089</v>
      </c>
      <c r="B1660" s="122" t="str">
        <f>IFERROR(__xludf.DUMMYFUNCTION("""COMPUTED_VALUE"""),"SNAX")</f>
        <v>SNAX</v>
      </c>
      <c r="C1660" s="122" t="str">
        <f>IFERROR(__xludf.DUMMYFUNCTION("""COMPUTED_VALUE"""),"MICA Snacks remains stable as the Consumer Goods market shows normal activity.")</f>
        <v>MICA Snacks remains stable as the Consumer Goods market shows normal activity.</v>
      </c>
      <c r="D1660" s="122" t="str">
        <f>IFERROR(__xludf.DUMMYFUNCTION("""COMPUTED_VALUE"""),"MICA Snacks appears steady with no major changes reported.")</f>
        <v>MICA Snacks appears steady with no major changes reported.</v>
      </c>
      <c r="E1660" s="122" t="str">
        <f>IFERROR(__xludf.DUMMYFUNCTION("""COMPUTED_VALUE"""),"Neutral")</f>
        <v>Neutral</v>
      </c>
      <c r="F1660" s="122">
        <f>IFERROR(__xludf.DUMMYFUNCTION("""COMPUTED_VALUE"""),0.0)</f>
        <v>0</v>
      </c>
      <c r="G1660" s="122">
        <f>IFERROR(__xludf.DUMMYFUNCTION("""COMPUTED_VALUE"""),0.0)</f>
        <v>0</v>
      </c>
      <c r="H1660" s="122" t="str">
        <f>IFERROR(__xludf.DUMMYFUNCTION("""COMPUTED_VALUE"""),"Active")</f>
        <v>Active</v>
      </c>
    </row>
    <row r="1661">
      <c r="A1661" s="131">
        <f>IFERROR(__xludf.DUMMYFUNCTION("""COMPUTED_VALUE"""),46187.33090277778)</f>
        <v>46187.3309</v>
      </c>
      <c r="B1661" s="122" t="str">
        <f>IFERROR(__xludf.DUMMYFUNCTION("""COMPUTED_VALUE"""),"RAMN")</f>
        <v>RAMN</v>
      </c>
      <c r="C1661" s="122" t="str">
        <f>IFERROR(__xludf.DUMMYFUNCTION("""COMPUTED_VALUE"""),"Ramen Republic drops sharply after major concerns hit the market.")</f>
        <v>Ramen Republic drops sharply after major concerns hit the market.</v>
      </c>
      <c r="D1661" s="122" t="str">
        <f>IFERROR(__xludf.DUMMYFUNCTION("""COMPUTED_VALUE"""),"Ramen Republic is under pressure as investors react to worsening conditions.")</f>
        <v>Ramen Republic is under pressure as investors react to worsening conditions.</v>
      </c>
      <c r="E1661" s="122" t="str">
        <f>IFERROR(__xludf.DUMMYFUNCTION("""COMPUTED_VALUE"""),"Negative")</f>
        <v>Negative</v>
      </c>
      <c r="F1661" s="122">
        <f>IFERROR(__xludf.DUMMYFUNCTION("""COMPUTED_VALUE"""),-0.04)</f>
        <v>-0.04</v>
      </c>
      <c r="G1661" s="122">
        <f>IFERROR(__xludf.DUMMYFUNCTION("""COMPUTED_VALUE"""),2.0)</f>
        <v>2</v>
      </c>
      <c r="H1661" s="122" t="str">
        <f>IFERROR(__xludf.DUMMYFUNCTION("""COMPUTED_VALUE"""),"Active")</f>
        <v>Active</v>
      </c>
    </row>
    <row r="1662">
      <c r="A1662" s="131">
        <f>IFERROR(__xludf.DUMMYFUNCTION("""COMPUTED_VALUE"""),46187.33090277778)</f>
        <v>46187.3309</v>
      </c>
      <c r="B1662" s="122" t="str">
        <f>IFERROR(__xludf.DUMMYFUNCTION("""COMPUTED_VALUE"""),"COLA")</f>
        <v>COLA</v>
      </c>
      <c r="C1662" s="122" t="str">
        <f>IFERROR(__xludf.DUMMYFUNCTION("""COMPUTED_VALUE"""),"K-Pop Cola reports steady growth and improved market confidence.")</f>
        <v>K-Pop Cola reports steady growth and improved market confidence.</v>
      </c>
      <c r="D1662" s="122" t="str">
        <f>IFERROR(__xludf.DUMMYFUNCTION("""COMPUTED_VALUE"""),"K-Pop Cola continues to show positive momentum with moderate risk.")</f>
        <v>K-Pop Cola continues to show positive momentum with moderate risk.</v>
      </c>
      <c r="E1662" s="122" t="str">
        <f>IFERROR(__xludf.DUMMYFUNCTION("""COMPUTED_VALUE"""),"Positive")</f>
        <v>Positive</v>
      </c>
      <c r="F1662" s="122">
        <f>IFERROR(__xludf.DUMMYFUNCTION("""COMPUTED_VALUE"""),0.015)</f>
        <v>0.015</v>
      </c>
      <c r="G1662" s="122">
        <f>IFERROR(__xludf.DUMMYFUNCTION("""COMPUTED_VALUE"""),0.5)</f>
        <v>0.5</v>
      </c>
      <c r="H1662" s="122" t="str">
        <f>IFERROR(__xludf.DUMMYFUNCTION("""COMPUTED_VALUE"""),"Active")</f>
        <v>Active</v>
      </c>
    </row>
    <row r="1663">
      <c r="A1663" s="131">
        <f>IFERROR(__xludf.DUMMYFUNCTION("""COMPUTED_VALUE"""),46187.33091435185)</f>
        <v>46187.33091</v>
      </c>
      <c r="B1663" s="122" t="str">
        <f>IFERROR(__xludf.DUMMYFUNCTION("""COMPUTED_VALUE"""),"CHIP")</f>
        <v>CHIP</v>
      </c>
      <c r="C1663" s="122" t="str">
        <f>IFERROR(__xludf.DUMMYFUNCTION("""COMPUTED_VALUE"""),"Chip Empire remains stable as the Consumer Goods market shows normal activity.")</f>
        <v>Chip Empire remains stable as the Consumer Goods market shows normal activity.</v>
      </c>
      <c r="D1663" s="122" t="str">
        <f>IFERROR(__xludf.DUMMYFUNCTION("""COMPUTED_VALUE"""),"Chip Empire appears steady with no major changes reported.")</f>
        <v>Chip Empire appears steady with no major changes reported.</v>
      </c>
      <c r="E1663" s="122" t="str">
        <f>IFERROR(__xludf.DUMMYFUNCTION("""COMPUTED_VALUE"""),"Neutral")</f>
        <v>Neutral</v>
      </c>
      <c r="F1663" s="122">
        <f>IFERROR(__xludf.DUMMYFUNCTION("""COMPUTED_VALUE"""),0.0)</f>
        <v>0</v>
      </c>
      <c r="G1663" s="122">
        <f>IFERROR(__xludf.DUMMYFUNCTION("""COMPUTED_VALUE"""),0.0)</f>
        <v>0</v>
      </c>
      <c r="H1663" s="122" t="str">
        <f>IFERROR(__xludf.DUMMYFUNCTION("""COMPUTED_VALUE"""),"Active")</f>
        <v>Active</v>
      </c>
    </row>
    <row r="1664">
      <c r="A1664" s="131">
        <f>IFERROR(__xludf.DUMMYFUNCTION("""COMPUTED_VALUE"""),46187.33091435185)</f>
        <v>46187.33091</v>
      </c>
      <c r="B1664" s="122" t="str">
        <f>IFERROR(__xludf.DUMMYFUNCTION("""COMPUTED_VALUE"""),"CAND")</f>
        <v>CAND</v>
      </c>
      <c r="C1664" s="122" t="str">
        <f>IFERROR(__xludf.DUMMYFUNCTION("""COMPUTED_VALUE"""),"Candy Capital remains stable as the Consumer Goods market shows normal activity.")</f>
        <v>Candy Capital remains stable as the Consumer Goods market shows normal activity.</v>
      </c>
      <c r="D1664" s="122" t="str">
        <f>IFERROR(__xludf.DUMMYFUNCTION("""COMPUTED_VALUE"""),"Candy Capital appears steady with no major changes reported.")</f>
        <v>Candy Capital appears steady with no major changes reported.</v>
      </c>
      <c r="E1664" s="122" t="str">
        <f>IFERROR(__xludf.DUMMYFUNCTION("""COMPUTED_VALUE"""),"Neutral")</f>
        <v>Neutral</v>
      </c>
      <c r="F1664" s="122">
        <f>IFERROR(__xludf.DUMMYFUNCTION("""COMPUTED_VALUE"""),0.0)</f>
        <v>0</v>
      </c>
      <c r="G1664" s="122">
        <f>IFERROR(__xludf.DUMMYFUNCTION("""COMPUTED_VALUE"""),0.0)</f>
        <v>0</v>
      </c>
      <c r="H1664" s="122" t="str">
        <f>IFERROR(__xludf.DUMMYFUNCTION("""COMPUTED_VALUE"""),"Active")</f>
        <v>Active</v>
      </c>
    </row>
    <row r="1665">
      <c r="A1665" s="131">
        <f>IFERROR(__xludf.DUMMYFUNCTION("""COMPUTED_VALUE"""),46187.330925925926)</f>
        <v>46187.33093</v>
      </c>
      <c r="B1665" s="122" t="str">
        <f>IFERROR(__xludf.DUMMYFUNCTION("""COMPUTED_VALUE"""),"TECH")</f>
        <v>TECH</v>
      </c>
      <c r="C1665" s="122" t="str">
        <f>IFERROR(__xludf.DUMMYFUNCTION("""COMPUTED_VALUE"""),"Dragon Tech reports steady growth and improved market confidence.")</f>
        <v>Dragon Tech reports steady growth and improved market confidence.</v>
      </c>
      <c r="D1665" s="122" t="str">
        <f>IFERROR(__xludf.DUMMYFUNCTION("""COMPUTED_VALUE"""),"Dragon Tech continues to show positive momentum with moderate risk.")</f>
        <v>Dragon Tech continues to show positive momentum with moderate risk.</v>
      </c>
      <c r="E1665" s="122" t="str">
        <f>IFERROR(__xludf.DUMMYFUNCTION("""COMPUTED_VALUE"""),"Positive")</f>
        <v>Positive</v>
      </c>
      <c r="F1665" s="122">
        <f>IFERROR(__xludf.DUMMYFUNCTION("""COMPUTED_VALUE"""),0.015)</f>
        <v>0.015</v>
      </c>
      <c r="G1665" s="122">
        <f>IFERROR(__xludf.DUMMYFUNCTION("""COMPUTED_VALUE"""),0.5)</f>
        <v>0.5</v>
      </c>
      <c r="H1665" s="122" t="str">
        <f>IFERROR(__xludf.DUMMYFUNCTION("""COMPUTED_VALUE"""),"Active")</f>
        <v>Active</v>
      </c>
    </row>
    <row r="1666">
      <c r="A1666" s="131">
        <f>IFERROR(__xludf.DUMMYFUNCTION("""COMPUTED_VALUE"""),46187.3309375)</f>
        <v>46187.33094</v>
      </c>
      <c r="B1666" s="122" t="str">
        <f>IFERROR(__xludf.DUMMYFUNCTION("""COMPUTED_VALUE"""),"AIBO")</f>
        <v>AIBO</v>
      </c>
      <c r="C1666" s="122" t="str">
        <f>IFERROR(__xludf.DUMMYFUNCTION("""COMPUTED_VALUE"""),"Homework AI surges as demand rises across the Technology sector.")</f>
        <v>Homework AI surges as demand rises across the Technology sector.</v>
      </c>
      <c r="D1666" s="122" t="str">
        <f>IFERROR(__xludf.DUMMYFUNCTION("""COMPUTED_VALUE"""),"Homework AI is seeing strong demand, which may increase investor confidence.")</f>
        <v>Homework AI is seeing strong demand, which may increase investor confidence.</v>
      </c>
      <c r="E1666" s="122" t="str">
        <f>IFERROR(__xludf.DUMMYFUNCTION("""COMPUTED_VALUE"""),"Positive")</f>
        <v>Positive</v>
      </c>
      <c r="F1666" s="122">
        <f>IFERROR(__xludf.DUMMYFUNCTION("""COMPUTED_VALUE"""),0.03)</f>
        <v>0.03</v>
      </c>
      <c r="G1666" s="122">
        <f>IFERROR(__xludf.DUMMYFUNCTION("""COMPUTED_VALUE"""),1.0)</f>
        <v>1</v>
      </c>
      <c r="H1666" s="122" t="str">
        <f>IFERROR(__xludf.DUMMYFUNCTION("""COMPUTED_VALUE"""),"Active")</f>
        <v>Active</v>
      </c>
    </row>
    <row r="1667">
      <c r="A1667" s="131">
        <f>IFERROR(__xludf.DUMMYFUNCTION("""COMPUTED_VALUE"""),46187.3309375)</f>
        <v>46187.33094</v>
      </c>
      <c r="B1667" s="122" t="str">
        <f>IFERROR(__xludf.DUMMYFUNCTION("""COMPUTED_VALUE"""),"GAME")</f>
        <v>GAME</v>
      </c>
      <c r="C1667" s="122" t="str">
        <f>IFERROR(__xludf.DUMMYFUNCTION("""COMPUTED_VALUE"""),"GameBox Media remains stable as the Entertainment market shows normal activity.")</f>
        <v>GameBox Media remains stable as the Entertainment market shows normal activity.</v>
      </c>
      <c r="D1667" s="122" t="str">
        <f>IFERROR(__xludf.DUMMYFUNCTION("""COMPUTED_VALUE"""),"GameBox Media appears steady with no major changes reported.")</f>
        <v>GameBox Media appears steady with no major changes reported.</v>
      </c>
      <c r="E1667" s="122" t="str">
        <f>IFERROR(__xludf.DUMMYFUNCTION("""COMPUTED_VALUE"""),"Neutral")</f>
        <v>Neutral</v>
      </c>
      <c r="F1667" s="122">
        <f>IFERROR(__xludf.DUMMYFUNCTION("""COMPUTED_VALUE"""),0.0)</f>
        <v>0</v>
      </c>
      <c r="G1667" s="122">
        <f>IFERROR(__xludf.DUMMYFUNCTION("""COMPUTED_VALUE"""),0.0)</f>
        <v>0</v>
      </c>
      <c r="H1667" s="122" t="str">
        <f>IFERROR(__xludf.DUMMYFUNCTION("""COMPUTED_VALUE"""),"Active")</f>
        <v>Active</v>
      </c>
    </row>
    <row r="1668">
      <c r="A1668" s="131">
        <f>IFERROR(__xludf.DUMMYFUNCTION("""COMPUTED_VALUE"""),46187.33094907407)</f>
        <v>46187.33095</v>
      </c>
      <c r="B1668" s="122" t="str">
        <f>IFERROR(__xludf.DUMMYFUNCTION("""COMPUTED_VALUE"""),"VRSE")</f>
        <v>VRSE</v>
      </c>
      <c r="C1668" s="122" t="str">
        <f>IFERROR(__xludf.DUMMYFUNCTION("""COMPUTED_VALUE"""),"VerseVR remains stable as the Technology market shows normal activity.")</f>
        <v>VerseVR remains stable as the Technology market shows normal activity.</v>
      </c>
      <c r="D1668" s="122" t="str">
        <f>IFERROR(__xludf.DUMMYFUNCTION("""COMPUTED_VALUE"""),"VerseVR appears steady with no major changes reported.")</f>
        <v>VerseVR appears steady with no major changes reported.</v>
      </c>
      <c r="E1668" s="122" t="str">
        <f>IFERROR(__xludf.DUMMYFUNCTION("""COMPUTED_VALUE"""),"Neutral")</f>
        <v>Neutral</v>
      </c>
      <c r="F1668" s="122">
        <f>IFERROR(__xludf.DUMMYFUNCTION("""COMPUTED_VALUE"""),0.0)</f>
        <v>0</v>
      </c>
      <c r="G1668" s="122">
        <f>IFERROR(__xludf.DUMMYFUNCTION("""COMPUTED_VALUE"""),0.0)</f>
        <v>0</v>
      </c>
      <c r="H1668" s="122" t="str">
        <f>IFERROR(__xludf.DUMMYFUNCTION("""COMPUTED_VALUE"""),"Active")</f>
        <v>Active</v>
      </c>
    </row>
    <row r="1669">
      <c r="A1669" s="131">
        <f>IFERROR(__xludf.DUMMYFUNCTION("""COMPUTED_VALUE"""),46187.33096064815)</f>
        <v>46187.33096</v>
      </c>
      <c r="B1669" s="122" t="str">
        <f>IFERROR(__xludf.DUMMYFUNCTION("""COMPUTED_VALUE"""),"BYTE")</f>
        <v>BYTE</v>
      </c>
      <c r="C1669" s="122" t="str">
        <f>IFERROR(__xludf.DUMMYFUNCTION("""COMPUTED_VALUE"""),"ByteWorks remains stable as the Technology market shows normal activity.")</f>
        <v>ByteWorks remains stable as the Technology market shows normal activity.</v>
      </c>
      <c r="D1669" s="122" t="str">
        <f>IFERROR(__xludf.DUMMYFUNCTION("""COMPUTED_VALUE"""),"ByteWorks appears steady with no major changes reported.")</f>
        <v>ByteWorks appears steady with no major changes reported.</v>
      </c>
      <c r="E1669" s="122" t="str">
        <f>IFERROR(__xludf.DUMMYFUNCTION("""COMPUTED_VALUE"""),"Neutral")</f>
        <v>Neutral</v>
      </c>
      <c r="F1669" s="122">
        <f>IFERROR(__xludf.DUMMYFUNCTION("""COMPUTED_VALUE"""),0.0)</f>
        <v>0</v>
      </c>
      <c r="G1669" s="122">
        <f>IFERROR(__xludf.DUMMYFUNCTION("""COMPUTED_VALUE"""),0.0)</f>
        <v>0</v>
      </c>
      <c r="H1669" s="122" t="str">
        <f>IFERROR(__xludf.DUMMYFUNCTION("""COMPUTED_VALUE"""),"Active")</f>
        <v>Active</v>
      </c>
    </row>
    <row r="1670">
      <c r="A1670" s="131">
        <f>IFERROR(__xludf.DUMMYFUNCTION("""COMPUTED_VALUE"""),46187.330972222226)</f>
        <v>46187.33097</v>
      </c>
      <c r="B1670" s="122" t="str">
        <f>IFERROR(__xludf.DUMMYFUNCTION("""COMPUTED_VALUE"""),"BANK")</f>
        <v>BANK</v>
      </c>
      <c r="C1670" s="122" t="str">
        <f>IFERROR(__xludf.DUMMYFUNCTION("""COMPUTED_VALUE"""),"Tiger Bank sees uncertain trading as investors react to mixed signals.")</f>
        <v>Tiger Bank sees uncertain trading as investors react to mixed signals.</v>
      </c>
      <c r="D1670" s="122" t="str">
        <f>IFERROR(__xludf.DUMMYFUNCTION("""COMPUTED_VALUE"""),"Tiger Bank may experience larger price swings as investors disagree on direction.")</f>
        <v>Tiger Bank may experience larger price swings as investors disagree on direction.</v>
      </c>
      <c r="E1670" s="122" t="str">
        <f>IFERROR(__xludf.DUMMYFUNCTION("""COMPUTED_VALUE"""),"Mixed")</f>
        <v>Mixed</v>
      </c>
      <c r="F1670" s="122">
        <f>IFERROR(__xludf.DUMMYFUNCTION("""COMPUTED_VALUE"""),-0.0039276358284094474)</f>
        <v>-0.003927635828</v>
      </c>
      <c r="G1670" s="122">
        <f>IFERROR(__xludf.DUMMYFUNCTION("""COMPUTED_VALUE"""),1.5)</f>
        <v>1.5</v>
      </c>
      <c r="H1670" s="122" t="str">
        <f>IFERROR(__xludf.DUMMYFUNCTION("""COMPUTED_VALUE"""),"Active")</f>
        <v>Active</v>
      </c>
    </row>
    <row r="1671">
      <c r="A1671" s="131">
        <f>IFERROR(__xludf.DUMMYFUNCTION("""COMPUTED_VALUE"""),46187.330983796295)</f>
        <v>46187.33098</v>
      </c>
      <c r="B1671" s="122" t="str">
        <f>IFERROR(__xludf.DUMMYFUNCTION("""COMPUTED_VALUE"""),"CRED")</f>
        <v>CRED</v>
      </c>
      <c r="C1671" s="122" t="str">
        <f>IFERROR(__xludf.DUMMYFUNCTION("""COMPUTED_VALUE"""),"Credit Castle remains stable as the Finance market shows normal activity.")</f>
        <v>Credit Castle remains stable as the Finance market shows normal activity.</v>
      </c>
      <c r="D1671" s="122" t="str">
        <f>IFERROR(__xludf.DUMMYFUNCTION("""COMPUTED_VALUE"""),"Credit Castle appears steady with no major changes reported.")</f>
        <v>Credit Castle appears steady with no major changes reported.</v>
      </c>
      <c r="E1671" s="122" t="str">
        <f>IFERROR(__xludf.DUMMYFUNCTION("""COMPUTED_VALUE"""),"Neutral")</f>
        <v>Neutral</v>
      </c>
      <c r="F1671" s="122">
        <f>IFERROR(__xludf.DUMMYFUNCTION("""COMPUTED_VALUE"""),0.0)</f>
        <v>0</v>
      </c>
      <c r="G1671" s="122">
        <f>IFERROR(__xludf.DUMMYFUNCTION("""COMPUTED_VALUE"""),0.0)</f>
        <v>0</v>
      </c>
      <c r="H1671" s="122" t="str">
        <f>IFERROR(__xludf.DUMMYFUNCTION("""COMPUTED_VALUE"""),"Active")</f>
        <v>Active</v>
      </c>
    </row>
    <row r="1672">
      <c r="A1672" s="131">
        <f>IFERROR(__xludf.DUMMYFUNCTION("""COMPUTED_VALUE"""),46187.330983796295)</f>
        <v>46187.33098</v>
      </c>
      <c r="B1672" s="122" t="str">
        <f>IFERROR(__xludf.DUMMYFUNCTION("""COMPUTED_VALUE"""),"BOND")</f>
        <v>BOND</v>
      </c>
      <c r="C1672" s="122" t="str">
        <f>IFERROR(__xludf.DUMMYFUNCTION("""COMPUTED_VALUE"""),"BondBridge reports steady growth and improved market confidence.")</f>
        <v>BondBridge reports steady growth and improved market confidence.</v>
      </c>
      <c r="D1672" s="122" t="str">
        <f>IFERROR(__xludf.DUMMYFUNCTION("""COMPUTED_VALUE"""),"BondBridge continues to show positive momentum with moderate risk.")</f>
        <v>BondBridge continues to show positive momentum with moderate risk.</v>
      </c>
      <c r="E1672" s="122" t="str">
        <f>IFERROR(__xludf.DUMMYFUNCTION("""COMPUTED_VALUE"""),"Positive")</f>
        <v>Positive</v>
      </c>
      <c r="F1672" s="122">
        <f>IFERROR(__xludf.DUMMYFUNCTION("""COMPUTED_VALUE"""),0.015)</f>
        <v>0.015</v>
      </c>
      <c r="G1672" s="122">
        <f>IFERROR(__xludf.DUMMYFUNCTION("""COMPUTED_VALUE"""),0.5)</f>
        <v>0.5</v>
      </c>
      <c r="H1672" s="122" t="str">
        <f>IFERROR(__xludf.DUMMYFUNCTION("""COMPUTED_VALUE"""),"Active")</f>
        <v>Active</v>
      </c>
    </row>
    <row r="1673">
      <c r="A1673" s="131">
        <f>IFERROR(__xludf.DUMMYFUNCTION("""COMPUTED_VALUE"""),46187.330983796295)</f>
        <v>46187.33098</v>
      </c>
      <c r="B1673" s="122" t="str">
        <f>IFERROR(__xludf.DUMMYFUNCTION("""COMPUTED_VALUE"""),"INSR")</f>
        <v>INSR</v>
      </c>
      <c r="C1673" s="122" t="str">
        <f>IFERROR(__xludf.DUMMYFUNCTION("""COMPUTED_VALUE"""),"Shield Insurance remains stable as the Finance market shows normal activity.")</f>
        <v>Shield Insurance remains stable as the Finance market shows normal activity.</v>
      </c>
      <c r="D1673" s="122" t="str">
        <f>IFERROR(__xludf.DUMMYFUNCTION("""COMPUTED_VALUE"""),"Shield Insurance appears steady with no major changes reported.")</f>
        <v>Shield Insurance appears steady with no major changes reported.</v>
      </c>
      <c r="E1673" s="122" t="str">
        <f>IFERROR(__xludf.DUMMYFUNCTION("""COMPUTED_VALUE"""),"Neutral")</f>
        <v>Neutral</v>
      </c>
      <c r="F1673" s="122">
        <f>IFERROR(__xludf.DUMMYFUNCTION("""COMPUTED_VALUE"""),0.0)</f>
        <v>0</v>
      </c>
      <c r="G1673" s="122">
        <f>IFERROR(__xludf.DUMMYFUNCTION("""COMPUTED_VALUE"""),0.0)</f>
        <v>0</v>
      </c>
      <c r="H1673" s="122" t="str">
        <f>IFERROR(__xludf.DUMMYFUNCTION("""COMPUTED_VALUE"""),"Active")</f>
        <v>Active</v>
      </c>
    </row>
    <row r="1674">
      <c r="A1674" s="131">
        <f>IFERROR(__xludf.DUMMYFUNCTION("""COMPUTED_VALUE"""),46187.33099537037)</f>
        <v>46187.331</v>
      </c>
      <c r="B1674" s="122" t="str">
        <f>IFERROR(__xludf.DUMMYFUNCTION("""COMPUTED_VALUE"""),"LOAN")</f>
        <v>LOAN</v>
      </c>
      <c r="C1674" s="122" t="str">
        <f>IFERROR(__xludf.DUMMYFUNCTION("""COMPUTED_VALUE"""),"LoanLab surges as demand rises across the Finance sector.")</f>
        <v>LoanLab surges as demand rises across the Finance sector.</v>
      </c>
      <c r="D1674" s="122" t="str">
        <f>IFERROR(__xludf.DUMMYFUNCTION("""COMPUTED_VALUE"""),"LoanLab is seeing strong demand, which may increase investor confidence.")</f>
        <v>LoanLab is seeing strong demand, which may increase investor confidence.</v>
      </c>
      <c r="E1674" s="122" t="str">
        <f>IFERROR(__xludf.DUMMYFUNCTION("""COMPUTED_VALUE"""),"Positive")</f>
        <v>Positive</v>
      </c>
      <c r="F1674" s="122">
        <f>IFERROR(__xludf.DUMMYFUNCTION("""COMPUTED_VALUE"""),0.03)</f>
        <v>0.03</v>
      </c>
      <c r="G1674" s="122">
        <f>IFERROR(__xludf.DUMMYFUNCTION("""COMPUTED_VALUE"""),1.0)</f>
        <v>1</v>
      </c>
      <c r="H1674" s="122" t="str">
        <f>IFERROR(__xludf.DUMMYFUNCTION("""COMPUTED_VALUE"""),"Active")</f>
        <v>Active</v>
      </c>
    </row>
    <row r="1675">
      <c r="A1675" s="131">
        <f>IFERROR(__xludf.DUMMYFUNCTION("""COMPUTED_VALUE"""),46187.33099537037)</f>
        <v>46187.331</v>
      </c>
      <c r="B1675" s="122" t="str">
        <f>IFERROR(__xludf.DUMMYFUNCTION("""COMPUTED_VALUE"""),"LUXE")</f>
        <v>LUXE</v>
      </c>
      <c r="C1675" s="122" t="str">
        <f>IFERROR(__xludf.DUMMYFUNCTION("""COMPUTED_VALUE"""),"Luxury Locker remains stable as the Luxury Goods market shows normal activity.")</f>
        <v>Luxury Locker remains stable as the Luxury Goods market shows normal activity.</v>
      </c>
      <c r="D1675" s="122" t="str">
        <f>IFERROR(__xludf.DUMMYFUNCTION("""COMPUTED_VALUE"""),"Luxury Locker appears steady with no major changes reported.")</f>
        <v>Luxury Locker appears steady with no major changes reported.</v>
      </c>
      <c r="E1675" s="122" t="str">
        <f>IFERROR(__xludf.DUMMYFUNCTION("""COMPUTED_VALUE"""),"Neutral")</f>
        <v>Neutral</v>
      </c>
      <c r="F1675" s="122">
        <f>IFERROR(__xludf.DUMMYFUNCTION("""COMPUTED_VALUE"""),0.0)</f>
        <v>0</v>
      </c>
      <c r="G1675" s="122">
        <f>IFERROR(__xludf.DUMMYFUNCTION("""COMPUTED_VALUE"""),0.0)</f>
        <v>0</v>
      </c>
      <c r="H1675" s="122" t="str">
        <f>IFERROR(__xludf.DUMMYFUNCTION("""COMPUTED_VALUE"""),"Active")</f>
        <v>Active</v>
      </c>
    </row>
    <row r="1676">
      <c r="A1676" s="131">
        <f>IFERROR(__xludf.DUMMYFUNCTION("""COMPUTED_VALUE"""),46187.33100694444)</f>
        <v>46187.33101</v>
      </c>
      <c r="B1676" s="122" t="str">
        <f>IFERROR(__xludf.DUMMYFUNCTION("""COMPUTED_VALUE"""),"DRIP")</f>
        <v>DRIP</v>
      </c>
      <c r="C1676" s="122" t="str">
        <f>IFERROR(__xludf.DUMMYFUNCTION("""COMPUTED_VALUE"""),"Drip Streetwear faces weaker demand and cautious investor sentiment.")</f>
        <v>Drip Streetwear faces weaker demand and cautious investor sentiment.</v>
      </c>
      <c r="D1676" s="122" t="str">
        <f>IFERROR(__xludf.DUMMYFUNCTION("""COMPUTED_VALUE"""),"Investors are watching Drip Streetwear closely as demand weakens.")</f>
        <v>Investors are watching Drip Streetwear closely as demand weakens.</v>
      </c>
      <c r="E1676" s="122" t="str">
        <f>IFERROR(__xludf.DUMMYFUNCTION("""COMPUTED_VALUE"""),"Negative")</f>
        <v>Negative</v>
      </c>
      <c r="F1676" s="122">
        <f>IFERROR(__xludf.DUMMYFUNCTION("""COMPUTED_VALUE"""),-0.015)</f>
        <v>-0.015</v>
      </c>
      <c r="G1676" s="122">
        <f>IFERROR(__xludf.DUMMYFUNCTION("""COMPUTED_VALUE"""),0.75)</f>
        <v>0.75</v>
      </c>
      <c r="H1676" s="122" t="str">
        <f>IFERROR(__xludf.DUMMYFUNCTION("""COMPUTED_VALUE"""),"Active")</f>
        <v>Active</v>
      </c>
    </row>
    <row r="1677">
      <c r="A1677" s="131">
        <f>IFERROR(__xludf.DUMMYFUNCTION("""COMPUTED_VALUE"""),46187.33101851852)</f>
        <v>46187.33102</v>
      </c>
      <c r="B1677" s="122" t="str">
        <f>IFERROR(__xludf.DUMMYFUNCTION("""COMPUTED_VALUE"""),"KICK")</f>
        <v>KICK</v>
      </c>
      <c r="C1677" s="122" t="str">
        <f>IFERROR(__xludf.DUMMYFUNCTION("""COMPUTED_VALUE"""),"KickDrop Sneakers sees uncertain trading as investors react to mixed signals.")</f>
        <v>KickDrop Sneakers sees uncertain trading as investors react to mixed signals.</v>
      </c>
      <c r="D1677" s="122" t="str">
        <f>IFERROR(__xludf.DUMMYFUNCTION("""COMPUTED_VALUE"""),"KickDrop Sneakers may experience larger price swings as investors disagree on direction.")</f>
        <v>KickDrop Sneakers may experience larger price swings as investors disagree on direction.</v>
      </c>
      <c r="E1677" s="122" t="str">
        <f>IFERROR(__xludf.DUMMYFUNCTION("""COMPUTED_VALUE"""),"Mixed")</f>
        <v>Mixed</v>
      </c>
      <c r="F1677" s="122">
        <f>IFERROR(__xludf.DUMMYFUNCTION("""COMPUTED_VALUE"""),-0.017773186679003294)</f>
        <v>-0.01777318668</v>
      </c>
      <c r="G1677" s="122">
        <f>IFERROR(__xludf.DUMMYFUNCTION("""COMPUTED_VALUE"""),1.5)</f>
        <v>1.5</v>
      </c>
      <c r="H1677" s="122" t="str">
        <f>IFERROR(__xludf.DUMMYFUNCTION("""COMPUTED_VALUE"""),"Active")</f>
        <v>Active</v>
      </c>
    </row>
    <row r="1678">
      <c r="A1678" s="131">
        <f>IFERROR(__xludf.DUMMYFUNCTION("""COMPUTED_VALUE"""),46187.331030092595)</f>
        <v>46187.33103</v>
      </c>
      <c r="B1678" s="122" t="str">
        <f>IFERROR(__xludf.DUMMYFUNCTION("""COMPUTED_VALUE"""),"GLAM")</f>
        <v>GLAM</v>
      </c>
      <c r="C1678" s="122" t="str">
        <f>IFERROR(__xludf.DUMMYFUNCTION("""COMPUTED_VALUE"""),"Glow Cosmetics reports steady growth and improved market confidence.")</f>
        <v>Glow Cosmetics reports steady growth and improved market confidence.</v>
      </c>
      <c r="D1678" s="122" t="str">
        <f>IFERROR(__xludf.DUMMYFUNCTION("""COMPUTED_VALUE"""),"Glow Cosmetics continues to show positive momentum with moderate risk.")</f>
        <v>Glow Cosmetics continues to show positive momentum with moderate risk.</v>
      </c>
      <c r="E1678" s="122" t="str">
        <f>IFERROR(__xludf.DUMMYFUNCTION("""COMPUTED_VALUE"""),"Positive")</f>
        <v>Positive</v>
      </c>
      <c r="F1678" s="122">
        <f>IFERROR(__xludf.DUMMYFUNCTION("""COMPUTED_VALUE"""),0.015)</f>
        <v>0.015</v>
      </c>
      <c r="G1678" s="122">
        <f>IFERROR(__xludf.DUMMYFUNCTION("""COMPUTED_VALUE"""),0.5)</f>
        <v>0.5</v>
      </c>
      <c r="H1678" s="122" t="str">
        <f>IFERROR(__xludf.DUMMYFUNCTION("""COMPUTED_VALUE"""),"Active")</f>
        <v>Active</v>
      </c>
    </row>
    <row r="1679">
      <c r="A1679" s="131">
        <f>IFERROR(__xludf.DUMMYFUNCTION("""COMPUTED_VALUE"""),46187.331030092595)</f>
        <v>46187.33103</v>
      </c>
      <c r="B1679" s="122" t="str">
        <f>IFERROR(__xludf.DUMMYFUNCTION("""COMPUTED_VALUE"""),"BAGG")</f>
        <v>BAGG</v>
      </c>
      <c r="C1679" s="122" t="str">
        <f>IFERROR(__xludf.DUMMYFUNCTION("""COMPUTED_VALUE"""),"BagVault reports steady growth and improved market confidence.")</f>
        <v>BagVault reports steady growth and improved market confidence.</v>
      </c>
      <c r="D1679" s="122" t="str">
        <f>IFERROR(__xludf.DUMMYFUNCTION("""COMPUTED_VALUE"""),"BagVault continues to show positive momentum with moderate risk.")</f>
        <v>BagVault continues to show positive momentum with moderate risk.</v>
      </c>
      <c r="E1679" s="122" t="str">
        <f>IFERROR(__xludf.DUMMYFUNCTION("""COMPUTED_VALUE"""),"Positive")</f>
        <v>Positive</v>
      </c>
      <c r="F1679" s="122">
        <f>IFERROR(__xludf.DUMMYFUNCTION("""COMPUTED_VALUE"""),0.015)</f>
        <v>0.015</v>
      </c>
      <c r="G1679" s="122">
        <f>IFERROR(__xludf.DUMMYFUNCTION("""COMPUTED_VALUE"""),0.5)</f>
        <v>0.5</v>
      </c>
      <c r="H1679" s="122" t="str">
        <f>IFERROR(__xludf.DUMMYFUNCTION("""COMPUTED_VALUE"""),"Active")</f>
        <v>Active</v>
      </c>
    </row>
    <row r="1680">
      <c r="A1680" s="131">
        <f>IFERROR(__xludf.DUMMYFUNCTION("""COMPUTED_VALUE"""),46187.331041666665)</f>
        <v>46187.33104</v>
      </c>
      <c r="B1680" s="122" t="str">
        <f>IFERROR(__xludf.DUMMYFUNCTION("""COMPUTED_VALUE"""),"FAST")</f>
        <v>FAST</v>
      </c>
      <c r="C1680" s="122" t="str">
        <f>IFERROR(__xludf.DUMMYFUNCTION("""COMPUTED_VALUE"""),"Flash Logistics reports steady growth and improved market confidence.")</f>
        <v>Flash Logistics reports steady growth and improved market confidence.</v>
      </c>
      <c r="D1680" s="122" t="str">
        <f>IFERROR(__xludf.DUMMYFUNCTION("""COMPUTED_VALUE"""),"Flash Logistics continues to show positive momentum with moderate risk.")</f>
        <v>Flash Logistics continues to show positive momentum with moderate risk.</v>
      </c>
      <c r="E1680" s="122" t="str">
        <f>IFERROR(__xludf.DUMMYFUNCTION("""COMPUTED_VALUE"""),"Positive")</f>
        <v>Positive</v>
      </c>
      <c r="F1680" s="122">
        <f>IFERROR(__xludf.DUMMYFUNCTION("""COMPUTED_VALUE"""),0.015)</f>
        <v>0.015</v>
      </c>
      <c r="G1680" s="122">
        <f>IFERROR(__xludf.DUMMYFUNCTION("""COMPUTED_VALUE"""),0.5)</f>
        <v>0.5</v>
      </c>
      <c r="H1680" s="122" t="str">
        <f>IFERROR(__xludf.DUMMYFUNCTION("""COMPUTED_VALUE"""),"Active")</f>
        <v>Active</v>
      </c>
    </row>
    <row r="1681">
      <c r="A1681" s="131">
        <f>IFERROR(__xludf.DUMMYFUNCTION("""COMPUTED_VALUE"""),46187.331041666665)</f>
        <v>46187.33104</v>
      </c>
      <c r="B1681" s="122" t="str">
        <f>IFERROR(__xludf.DUMMYFUNCTION("""COMPUTED_VALUE"""),"SHIP")</f>
        <v>SHIP</v>
      </c>
      <c r="C1681" s="122" t="str">
        <f>IFERROR(__xludf.DUMMYFUNCTION("""COMPUTED_VALUE"""),"Seoul Shipping remains stable as the Logistics market shows normal activity.")</f>
        <v>Seoul Shipping remains stable as the Logistics market shows normal activity.</v>
      </c>
      <c r="D1681" s="122" t="str">
        <f>IFERROR(__xludf.DUMMYFUNCTION("""COMPUTED_VALUE"""),"Seoul Shipping appears steady with no major changes reported.")</f>
        <v>Seoul Shipping appears steady with no major changes reported.</v>
      </c>
      <c r="E1681" s="122" t="str">
        <f>IFERROR(__xludf.DUMMYFUNCTION("""COMPUTED_VALUE"""),"Neutral")</f>
        <v>Neutral</v>
      </c>
      <c r="F1681" s="122">
        <f>IFERROR(__xludf.DUMMYFUNCTION("""COMPUTED_VALUE"""),0.0)</f>
        <v>0</v>
      </c>
      <c r="G1681" s="122">
        <f>IFERROR(__xludf.DUMMYFUNCTION("""COMPUTED_VALUE"""),0.0)</f>
        <v>0</v>
      </c>
      <c r="H1681" s="122" t="str">
        <f>IFERROR(__xludf.DUMMYFUNCTION("""COMPUTED_VALUE"""),"Active")</f>
        <v>Active</v>
      </c>
    </row>
    <row r="1682">
      <c r="A1682" s="131">
        <f>IFERROR(__xludf.DUMMYFUNCTION("""COMPUTED_VALUE"""),46187.33105324074)</f>
        <v>46187.33105</v>
      </c>
      <c r="B1682" s="122" t="str">
        <f>IFERROR(__xludf.DUMMYFUNCTION("""COMPUTED_VALUE"""),"DRON")</f>
        <v>DRON</v>
      </c>
      <c r="C1682" s="122" t="str">
        <f>IFERROR(__xludf.DUMMYFUNCTION("""COMPUTED_VALUE"""),"DroneDrop remains stable as the Logistics market shows normal activity.")</f>
        <v>DroneDrop remains stable as the Logistics market shows normal activity.</v>
      </c>
      <c r="D1682" s="122" t="str">
        <f>IFERROR(__xludf.DUMMYFUNCTION("""COMPUTED_VALUE"""),"DroneDrop appears steady with no major changes reported.")</f>
        <v>DroneDrop appears steady with no major changes reported.</v>
      </c>
      <c r="E1682" s="122" t="str">
        <f>IFERROR(__xludf.DUMMYFUNCTION("""COMPUTED_VALUE"""),"Neutral")</f>
        <v>Neutral</v>
      </c>
      <c r="F1682" s="122">
        <f>IFERROR(__xludf.DUMMYFUNCTION("""COMPUTED_VALUE"""),0.0)</f>
        <v>0</v>
      </c>
      <c r="G1682" s="122">
        <f>IFERROR(__xludf.DUMMYFUNCTION("""COMPUTED_VALUE"""),0.0)</f>
        <v>0</v>
      </c>
      <c r="H1682" s="122" t="str">
        <f>IFERROR(__xludf.DUMMYFUNCTION("""COMPUTED_VALUE"""),"Active")</f>
        <v>Active</v>
      </c>
    </row>
    <row r="1683">
      <c r="A1683" s="131">
        <f>IFERROR(__xludf.DUMMYFUNCTION("""COMPUTED_VALUE"""),46187.33105324074)</f>
        <v>46187.33105</v>
      </c>
      <c r="B1683" s="122" t="str">
        <f>IFERROR(__xludf.DUMMYFUNCTION("""COMPUTED_VALUE"""),"RIDE")</f>
        <v>RIDE</v>
      </c>
      <c r="C1683" s="122" t="str">
        <f>IFERROR(__xludf.DUMMYFUNCTION("""COMPUTED_VALUE"""),"QuickRide remains stable as the Transportation market shows normal activity.")</f>
        <v>QuickRide remains stable as the Transportation market shows normal activity.</v>
      </c>
      <c r="D1683" s="122" t="str">
        <f>IFERROR(__xludf.DUMMYFUNCTION("""COMPUTED_VALUE"""),"QuickRide appears steady with no major changes reported.")</f>
        <v>QuickRide appears steady with no major changes reported.</v>
      </c>
      <c r="E1683" s="122" t="str">
        <f>IFERROR(__xludf.DUMMYFUNCTION("""COMPUTED_VALUE"""),"Neutral")</f>
        <v>Neutral</v>
      </c>
      <c r="F1683" s="122">
        <f>IFERROR(__xludf.DUMMYFUNCTION("""COMPUTED_VALUE"""),0.0)</f>
        <v>0</v>
      </c>
      <c r="G1683" s="122">
        <f>IFERROR(__xludf.DUMMYFUNCTION("""COMPUTED_VALUE"""),0.0)</f>
        <v>0</v>
      </c>
      <c r="H1683" s="122" t="str">
        <f>IFERROR(__xludf.DUMMYFUNCTION("""COMPUTED_VALUE"""),"Active")</f>
        <v>Active</v>
      </c>
    </row>
    <row r="1684">
      <c r="A1684" s="131">
        <f>IFERROR(__xludf.DUMMYFUNCTION("""COMPUTED_VALUE"""),46187.33106481482)</f>
        <v>46187.33106</v>
      </c>
      <c r="B1684" s="122" t="str">
        <f>IFERROR(__xludf.DUMMYFUNCTION("""COMPUTED_VALUE"""),"RAIL")</f>
        <v>RAIL</v>
      </c>
      <c r="C1684" s="122" t="str">
        <f>IFERROR(__xludf.DUMMYFUNCTION("""COMPUTED_VALUE"""),"MetroRail Corp faces weaker demand and cautious investor sentiment.")</f>
        <v>MetroRail Corp faces weaker demand and cautious investor sentiment.</v>
      </c>
      <c r="D1684" s="122" t="str">
        <f>IFERROR(__xludf.DUMMYFUNCTION("""COMPUTED_VALUE"""),"Investors are watching MetroRail Corp closely as demand weakens.")</f>
        <v>Investors are watching MetroRail Corp closely as demand weakens.</v>
      </c>
      <c r="E1684" s="122" t="str">
        <f>IFERROR(__xludf.DUMMYFUNCTION("""COMPUTED_VALUE"""),"Negative")</f>
        <v>Negative</v>
      </c>
      <c r="F1684" s="122">
        <f>IFERROR(__xludf.DUMMYFUNCTION("""COMPUTED_VALUE"""),-0.015)</f>
        <v>-0.015</v>
      </c>
      <c r="G1684" s="122">
        <f>IFERROR(__xludf.DUMMYFUNCTION("""COMPUTED_VALUE"""),0.75)</f>
        <v>0.75</v>
      </c>
      <c r="H1684" s="122" t="str">
        <f>IFERROR(__xludf.DUMMYFUNCTION("""COMPUTED_VALUE"""),"Active")</f>
        <v>Active</v>
      </c>
    </row>
    <row r="1685">
      <c r="A1685" s="131">
        <f>IFERROR(__xludf.DUMMYFUNCTION("""COMPUTED_VALUE"""),46187.33106481482)</f>
        <v>46187.33106</v>
      </c>
      <c r="B1685" s="122" t="str">
        <f>IFERROR(__xludf.DUMMYFUNCTION("""COMPUTED_VALUE"""),"MEDX")</f>
        <v>MEDX</v>
      </c>
      <c r="C1685" s="122" t="str">
        <f>IFERROR(__xludf.DUMMYFUNCTION("""COMPUTED_VALUE"""),"MediCore remains stable as the Healthcare market shows normal activity.")</f>
        <v>MediCore remains stable as the Healthcare market shows normal activity.</v>
      </c>
      <c r="D1685" s="122" t="str">
        <f>IFERROR(__xludf.DUMMYFUNCTION("""COMPUTED_VALUE"""),"MediCore appears steady with no major changes reported.")</f>
        <v>MediCore appears steady with no major changes reported.</v>
      </c>
      <c r="E1685" s="122" t="str">
        <f>IFERROR(__xludf.DUMMYFUNCTION("""COMPUTED_VALUE"""),"Neutral")</f>
        <v>Neutral</v>
      </c>
      <c r="F1685" s="122">
        <f>IFERROR(__xludf.DUMMYFUNCTION("""COMPUTED_VALUE"""),0.0)</f>
        <v>0</v>
      </c>
      <c r="G1685" s="122">
        <f>IFERROR(__xludf.DUMMYFUNCTION("""COMPUTED_VALUE"""),0.0)</f>
        <v>0</v>
      </c>
      <c r="H1685" s="122" t="str">
        <f>IFERROR(__xludf.DUMMYFUNCTION("""COMPUTED_VALUE"""),"Active")</f>
        <v>Active</v>
      </c>
    </row>
    <row r="1686">
      <c r="A1686" s="131">
        <f>IFERROR(__xludf.DUMMYFUNCTION("""COMPUTED_VALUE"""),46187.33107638889)</f>
        <v>46187.33108</v>
      </c>
      <c r="B1686" s="122" t="str">
        <f>IFERROR(__xludf.DUMMYFUNCTION("""COMPUTED_VALUE"""),"GYMX")</f>
        <v>GYMX</v>
      </c>
      <c r="C1686" s="122" t="str">
        <f>IFERROR(__xludf.DUMMYFUNCTION("""COMPUTED_VALUE"""),"GymX Fitness remains stable as the Healthcare market shows normal activity.")</f>
        <v>GymX Fitness remains stable as the Healthcare market shows normal activity.</v>
      </c>
      <c r="D1686" s="122" t="str">
        <f>IFERROR(__xludf.DUMMYFUNCTION("""COMPUTED_VALUE"""),"GymX Fitness appears steady with no major changes reported.")</f>
        <v>GymX Fitness appears steady with no major changes reported.</v>
      </c>
      <c r="E1686" s="122" t="str">
        <f>IFERROR(__xludf.DUMMYFUNCTION("""COMPUTED_VALUE"""),"Neutral")</f>
        <v>Neutral</v>
      </c>
      <c r="F1686" s="122">
        <f>IFERROR(__xludf.DUMMYFUNCTION("""COMPUTED_VALUE"""),0.0)</f>
        <v>0</v>
      </c>
      <c r="G1686" s="122">
        <f>IFERROR(__xludf.DUMMYFUNCTION("""COMPUTED_VALUE"""),0.0)</f>
        <v>0</v>
      </c>
      <c r="H1686" s="122" t="str">
        <f>IFERROR(__xludf.DUMMYFUNCTION("""COMPUTED_VALUE"""),"Active")</f>
        <v>Active</v>
      </c>
    </row>
    <row r="1687">
      <c r="A1687" s="131">
        <f>IFERROR(__xludf.DUMMYFUNCTION("""COMPUTED_VALUE"""),46187.331087962964)</f>
        <v>46187.33109</v>
      </c>
      <c r="B1687" s="122" t="str">
        <f>IFERROR(__xludf.DUMMYFUNCTION("""COMPUTED_VALUE"""),"VITA")</f>
        <v>VITA</v>
      </c>
      <c r="C1687" s="122" t="str">
        <f>IFERROR(__xludf.DUMMYFUNCTION("""COMPUTED_VALUE"""),"VitaPlus remains stable as the Healthcare market shows normal activity.")</f>
        <v>VitaPlus remains stable as the Healthcare market shows normal activity.</v>
      </c>
      <c r="D1687" s="122" t="str">
        <f>IFERROR(__xludf.DUMMYFUNCTION("""COMPUTED_VALUE"""),"VitaPlus appears steady with no major changes reported.")</f>
        <v>VitaPlus appears steady with no major changes reported.</v>
      </c>
      <c r="E1687" s="122" t="str">
        <f>IFERROR(__xludf.DUMMYFUNCTION("""COMPUTED_VALUE"""),"Neutral")</f>
        <v>Neutral</v>
      </c>
      <c r="F1687" s="122">
        <f>IFERROR(__xludf.DUMMYFUNCTION("""COMPUTED_VALUE"""),0.0)</f>
        <v>0</v>
      </c>
      <c r="G1687" s="122">
        <f>IFERROR(__xludf.DUMMYFUNCTION("""COMPUTED_VALUE"""),0.0)</f>
        <v>0</v>
      </c>
      <c r="H1687" s="122" t="str">
        <f>IFERROR(__xludf.DUMMYFUNCTION("""COMPUTED_VALUE"""),"Active")</f>
        <v>Active</v>
      </c>
    </row>
    <row r="1688">
      <c r="A1688" s="131">
        <f>IFERROR(__xludf.DUMMYFUNCTION("""COMPUTED_VALUE"""),46187.331087962964)</f>
        <v>46187.33109</v>
      </c>
      <c r="B1688" s="122" t="str">
        <f>IFERROR(__xludf.DUMMYFUNCTION("""COMPUTED_VALUE"""),"CARE")</f>
        <v>CARE</v>
      </c>
      <c r="C1688" s="122" t="str">
        <f>IFERROR(__xludf.DUMMYFUNCTION("""COMPUTED_VALUE"""),"CareCloud sees uncertain trading as investors react to mixed signals.")</f>
        <v>CareCloud sees uncertain trading as investors react to mixed signals.</v>
      </c>
      <c r="D1688" s="122" t="str">
        <f>IFERROR(__xludf.DUMMYFUNCTION("""COMPUTED_VALUE"""),"CareCloud may experience larger price swings as investors disagree on direction.")</f>
        <v>CareCloud may experience larger price swings as investors disagree on direction.</v>
      </c>
      <c r="E1688" s="122" t="str">
        <f>IFERROR(__xludf.DUMMYFUNCTION("""COMPUTED_VALUE"""),"Mixed")</f>
        <v>Mixed</v>
      </c>
      <c r="F1688" s="122">
        <f>IFERROR(__xludf.DUMMYFUNCTION("""COMPUTED_VALUE"""),-0.019837434853475)</f>
        <v>-0.01983743485</v>
      </c>
      <c r="G1688" s="122">
        <f>IFERROR(__xludf.DUMMYFUNCTION("""COMPUTED_VALUE"""),1.5)</f>
        <v>1.5</v>
      </c>
      <c r="H1688" s="122" t="str">
        <f>IFERROR(__xludf.DUMMYFUNCTION("""COMPUTED_VALUE"""),"Active")</f>
        <v>Active</v>
      </c>
    </row>
    <row r="1689">
      <c r="A1689" s="131">
        <f>IFERROR(__xludf.DUMMYFUNCTION("""COMPUTED_VALUE"""),46187.331099537034)</f>
        <v>46187.3311</v>
      </c>
      <c r="B1689" s="122" t="str">
        <f>IFERROR(__xludf.DUMMYFUNCTION("""COMPUTED_VALUE"""),"DENT")</f>
        <v>DENT</v>
      </c>
      <c r="C1689" s="122" t="str">
        <f>IFERROR(__xludf.DUMMYFUNCTION("""COMPUTED_VALUE"""),"SmileWorks surges as demand rises across the Healthcare sector.")</f>
        <v>SmileWorks surges as demand rises across the Healthcare sector.</v>
      </c>
      <c r="D1689" s="122" t="str">
        <f>IFERROR(__xludf.DUMMYFUNCTION("""COMPUTED_VALUE"""),"SmileWorks is seeing strong demand, which may increase investor confidence.")</f>
        <v>SmileWorks is seeing strong demand, which may increase investor confidence.</v>
      </c>
      <c r="E1689" s="122" t="str">
        <f>IFERROR(__xludf.DUMMYFUNCTION("""COMPUTED_VALUE"""),"Positive")</f>
        <v>Positive</v>
      </c>
      <c r="F1689" s="122">
        <f>IFERROR(__xludf.DUMMYFUNCTION("""COMPUTED_VALUE"""),0.03)</f>
        <v>0.03</v>
      </c>
      <c r="G1689" s="122">
        <f>IFERROR(__xludf.DUMMYFUNCTION("""COMPUTED_VALUE"""),1.0)</f>
        <v>1</v>
      </c>
      <c r="H1689" s="122" t="str">
        <f>IFERROR(__xludf.DUMMYFUNCTION("""COMPUTED_VALUE"""),"Active")</f>
        <v>Active</v>
      </c>
    </row>
    <row r="1690">
      <c r="A1690" s="131">
        <f>IFERROR(__xludf.DUMMYFUNCTION("""COMPUTED_VALUE"""),46187.331099537034)</f>
        <v>46187.3311</v>
      </c>
      <c r="B1690" s="122" t="str">
        <f>IFERROR(__xludf.DUMMYFUNCTION("""COMPUTED_VALUE"""),"EDUX")</f>
        <v>EDUX</v>
      </c>
      <c r="C1690" s="122" t="str">
        <f>IFERROR(__xludf.DUMMYFUNCTION("""COMPUTED_VALUE"""),"EduMax Learning reports steady growth and improved market confidence.")</f>
        <v>EduMax Learning reports steady growth and improved market confidence.</v>
      </c>
      <c r="D1690" s="122" t="str">
        <f>IFERROR(__xludf.DUMMYFUNCTION("""COMPUTED_VALUE"""),"EduMax Learning continues to show positive momentum with moderate risk.")</f>
        <v>EduMax Learning continues to show positive momentum with moderate risk.</v>
      </c>
      <c r="E1690" s="122" t="str">
        <f>IFERROR(__xludf.DUMMYFUNCTION("""COMPUTED_VALUE"""),"Positive")</f>
        <v>Positive</v>
      </c>
      <c r="F1690" s="122">
        <f>IFERROR(__xludf.DUMMYFUNCTION("""COMPUTED_VALUE"""),0.015)</f>
        <v>0.015</v>
      </c>
      <c r="G1690" s="122">
        <f>IFERROR(__xludf.DUMMYFUNCTION("""COMPUTED_VALUE"""),0.5)</f>
        <v>0.5</v>
      </c>
      <c r="H1690" s="122" t="str">
        <f>IFERROR(__xludf.DUMMYFUNCTION("""COMPUTED_VALUE"""),"Active")</f>
        <v>Active</v>
      </c>
    </row>
    <row r="1691">
      <c r="A1691" s="131">
        <f>IFERROR(__xludf.DUMMYFUNCTION("""COMPUTED_VALUE"""),46187.33111111111)</f>
        <v>46187.33111</v>
      </c>
      <c r="B1691" s="122" t="str">
        <f>IFERROR(__xludf.DUMMYFUNCTION("""COMPUTED_VALUE"""),"BOOK")</f>
        <v>BOOK</v>
      </c>
      <c r="C1691" s="122" t="str">
        <f>IFERROR(__xludf.DUMMYFUNCTION("""COMPUTED_VALUE"""),"BookBridge reports steady growth and improved market confidence.")</f>
        <v>BookBridge reports steady growth and improved market confidence.</v>
      </c>
      <c r="D1691" s="122" t="str">
        <f>IFERROR(__xludf.DUMMYFUNCTION("""COMPUTED_VALUE"""),"BookBridge continues to show positive momentum with moderate risk.")</f>
        <v>BookBridge continues to show positive momentum with moderate risk.</v>
      </c>
      <c r="E1691" s="122" t="str">
        <f>IFERROR(__xludf.DUMMYFUNCTION("""COMPUTED_VALUE"""),"Positive")</f>
        <v>Positive</v>
      </c>
      <c r="F1691" s="122">
        <f>IFERROR(__xludf.DUMMYFUNCTION("""COMPUTED_VALUE"""),0.015)</f>
        <v>0.015</v>
      </c>
      <c r="G1691" s="122">
        <f>IFERROR(__xludf.DUMMYFUNCTION("""COMPUTED_VALUE"""),0.5)</f>
        <v>0.5</v>
      </c>
      <c r="H1691" s="122" t="str">
        <f>IFERROR(__xludf.DUMMYFUNCTION("""COMPUTED_VALUE"""),"Active")</f>
        <v>Active</v>
      </c>
    </row>
    <row r="1692">
      <c r="A1692" s="131">
        <f>IFERROR(__xludf.DUMMYFUNCTION("""COMPUTED_VALUE"""),46187.33111111111)</f>
        <v>46187.33111</v>
      </c>
      <c r="B1692" s="122" t="str">
        <f>IFERROR(__xludf.DUMMYFUNCTION("""COMPUTED_VALUE"""),"TUTR")</f>
        <v>TUTR</v>
      </c>
      <c r="C1692" s="122" t="str">
        <f>IFERROR(__xludf.DUMMYFUNCTION("""COMPUTED_VALUE"""),"TutorTown remains stable as the Education market shows normal activity.")</f>
        <v>TutorTown remains stable as the Education market shows normal activity.</v>
      </c>
      <c r="D1692" s="122" t="str">
        <f>IFERROR(__xludf.DUMMYFUNCTION("""COMPUTED_VALUE"""),"TutorTown appears steady with no major changes reported.")</f>
        <v>TutorTown appears steady with no major changes reported.</v>
      </c>
      <c r="E1692" s="122" t="str">
        <f>IFERROR(__xludf.DUMMYFUNCTION("""COMPUTED_VALUE"""),"Neutral")</f>
        <v>Neutral</v>
      </c>
      <c r="F1692" s="122">
        <f>IFERROR(__xludf.DUMMYFUNCTION("""COMPUTED_VALUE"""),0.0)</f>
        <v>0</v>
      </c>
      <c r="G1692" s="122">
        <f>IFERROR(__xludf.DUMMYFUNCTION("""COMPUTED_VALUE"""),0.0)</f>
        <v>0</v>
      </c>
      <c r="H1692" s="122" t="str">
        <f>IFERROR(__xludf.DUMMYFUNCTION("""COMPUTED_VALUE"""),"Active")</f>
        <v>Active</v>
      </c>
    </row>
    <row r="1693">
      <c r="A1693" s="131">
        <f>IFERROR(__xludf.DUMMYFUNCTION("""COMPUTED_VALUE"""),46187.33112268519)</f>
        <v>46187.33112</v>
      </c>
      <c r="B1693" s="122" t="str">
        <f>IFERROR(__xludf.DUMMYFUNCTION("""COMPUTED_VALUE"""),"LANG")</f>
        <v>LANG</v>
      </c>
      <c r="C1693" s="122" t="str">
        <f>IFERROR(__xludf.DUMMYFUNCTION("""COMPUTED_VALUE"""),"LinguaLab reports steady growth and improved market confidence.")</f>
        <v>LinguaLab reports steady growth and improved market confidence.</v>
      </c>
      <c r="D1693" s="122" t="str">
        <f>IFERROR(__xludf.DUMMYFUNCTION("""COMPUTED_VALUE"""),"LinguaLab continues to show positive momentum with moderate risk.")</f>
        <v>LinguaLab continues to show positive momentum with moderate risk.</v>
      </c>
      <c r="E1693" s="122" t="str">
        <f>IFERROR(__xludf.DUMMYFUNCTION("""COMPUTED_VALUE"""),"Positive")</f>
        <v>Positive</v>
      </c>
      <c r="F1693" s="122">
        <f>IFERROR(__xludf.DUMMYFUNCTION("""COMPUTED_VALUE"""),0.015)</f>
        <v>0.015</v>
      </c>
      <c r="G1693" s="122">
        <f>IFERROR(__xludf.DUMMYFUNCTION("""COMPUTED_VALUE"""),0.5)</f>
        <v>0.5</v>
      </c>
      <c r="H1693" s="122" t="str">
        <f>IFERROR(__xludf.DUMMYFUNCTION("""COMPUTED_VALUE"""),"Active")</f>
        <v>Active</v>
      </c>
    </row>
    <row r="1694">
      <c r="A1694" s="131">
        <f>IFERROR(__xludf.DUMMYFUNCTION("""COMPUTED_VALUE"""),46187.33112268519)</f>
        <v>46187.33112</v>
      </c>
      <c r="B1694" s="122" t="str">
        <f>IFERROR(__xludf.DUMMYFUNCTION("""COMPUTED_VALUE"""),"TEST")</f>
        <v>TEST</v>
      </c>
      <c r="C1694" s="122" t="str">
        <f>IFERROR(__xludf.DUMMYFUNCTION("""COMPUTED_VALUE"""),"TestPrep Pro faces weaker demand and cautious investor sentiment.")</f>
        <v>TestPrep Pro faces weaker demand and cautious investor sentiment.</v>
      </c>
      <c r="D1694" s="122" t="str">
        <f>IFERROR(__xludf.DUMMYFUNCTION("""COMPUTED_VALUE"""),"Investors are watching TestPrep Pro closely as demand weakens.")</f>
        <v>Investors are watching TestPrep Pro closely as demand weakens.</v>
      </c>
      <c r="E1694" s="122" t="str">
        <f>IFERROR(__xludf.DUMMYFUNCTION("""COMPUTED_VALUE"""),"Negative")</f>
        <v>Negative</v>
      </c>
      <c r="F1694" s="122">
        <f>IFERROR(__xludf.DUMMYFUNCTION("""COMPUTED_VALUE"""),-0.015)</f>
        <v>-0.015</v>
      </c>
      <c r="G1694" s="122">
        <f>IFERROR(__xludf.DUMMYFUNCTION("""COMPUTED_VALUE"""),0.75)</f>
        <v>0.75</v>
      </c>
      <c r="H1694" s="122" t="str">
        <f>IFERROR(__xludf.DUMMYFUNCTION("""COMPUTED_VALUE"""),"Active")</f>
        <v>Active</v>
      </c>
    </row>
    <row r="1695">
      <c r="A1695" s="131">
        <f>IFERROR(__xludf.DUMMYFUNCTION("""COMPUTED_VALUE"""),46187.33113425926)</f>
        <v>46187.33113</v>
      </c>
      <c r="B1695" s="122" t="str">
        <f>IFERROR(__xludf.DUMMYFUNCTION("""COMPUTED_VALUE"""),"MOVI")</f>
        <v>MOVI</v>
      </c>
      <c r="C1695" s="122" t="str">
        <f>IFERROR(__xludf.DUMMYFUNCTION("""COMPUTED_VALUE"""),"MovieBox remains stable as the Entertainment market shows normal activity.")</f>
        <v>MovieBox remains stable as the Entertainment market shows normal activity.</v>
      </c>
      <c r="D1695" s="122" t="str">
        <f>IFERROR(__xludf.DUMMYFUNCTION("""COMPUTED_VALUE"""),"MovieBox appears steady with no major changes reported.")</f>
        <v>MovieBox appears steady with no major changes reported.</v>
      </c>
      <c r="E1695" s="122" t="str">
        <f>IFERROR(__xludf.DUMMYFUNCTION("""COMPUTED_VALUE"""),"Neutral")</f>
        <v>Neutral</v>
      </c>
      <c r="F1695" s="122">
        <f>IFERROR(__xludf.DUMMYFUNCTION("""COMPUTED_VALUE"""),0.0)</f>
        <v>0</v>
      </c>
      <c r="G1695" s="122">
        <f>IFERROR(__xludf.DUMMYFUNCTION("""COMPUTED_VALUE"""),0.0)</f>
        <v>0</v>
      </c>
      <c r="H1695" s="122" t="str">
        <f>IFERROR(__xludf.DUMMYFUNCTION("""COMPUTED_VALUE"""),"Active")</f>
        <v>Active</v>
      </c>
    </row>
    <row r="1696">
      <c r="A1696" s="131">
        <f>IFERROR(__xludf.DUMMYFUNCTION("""COMPUTED_VALUE"""),46187.331145833334)</f>
        <v>46187.33115</v>
      </c>
      <c r="B1696" s="122" t="str">
        <f>IFERROR(__xludf.DUMMYFUNCTION("""COMPUTED_VALUE"""),"MUSC")</f>
        <v>MUSC</v>
      </c>
      <c r="C1696" s="122" t="str">
        <f>IFERROR(__xludf.DUMMYFUNCTION("""COMPUTED_VALUE"""),"MusicWave reports steady growth and improved market confidence.")</f>
        <v>MusicWave reports steady growth and improved market confidence.</v>
      </c>
      <c r="D1696" s="122" t="str">
        <f>IFERROR(__xludf.DUMMYFUNCTION("""COMPUTED_VALUE"""),"MusicWave continues to show positive momentum with moderate risk.")</f>
        <v>MusicWave continues to show positive momentum with moderate risk.</v>
      </c>
      <c r="E1696" s="122" t="str">
        <f>IFERROR(__xludf.DUMMYFUNCTION("""COMPUTED_VALUE"""),"Positive")</f>
        <v>Positive</v>
      </c>
      <c r="F1696" s="122">
        <f>IFERROR(__xludf.DUMMYFUNCTION("""COMPUTED_VALUE"""),0.015)</f>
        <v>0.015</v>
      </c>
      <c r="G1696" s="122">
        <f>IFERROR(__xludf.DUMMYFUNCTION("""COMPUTED_VALUE"""),0.5)</f>
        <v>0.5</v>
      </c>
      <c r="H1696" s="122" t="str">
        <f>IFERROR(__xludf.DUMMYFUNCTION("""COMPUTED_VALUE"""),"Active")</f>
        <v>Active</v>
      </c>
    </row>
    <row r="1697">
      <c r="A1697" s="131">
        <f>IFERROR(__xludf.DUMMYFUNCTION("""COMPUTED_VALUE"""),46187.331145833334)</f>
        <v>46187.33115</v>
      </c>
      <c r="B1697" s="122" t="str">
        <f>IFERROR(__xludf.DUMMYFUNCTION("""COMPUTED_VALUE"""),"IDOL")</f>
        <v>IDOL</v>
      </c>
      <c r="C1697" s="122" t="str">
        <f>IFERROR(__xludf.DUMMYFUNCTION("""COMPUTED_VALUE"""),"Idol Agency faces weaker demand and cautious investor sentiment.")</f>
        <v>Idol Agency faces weaker demand and cautious investor sentiment.</v>
      </c>
      <c r="D1697" s="122" t="str">
        <f>IFERROR(__xludf.DUMMYFUNCTION("""COMPUTED_VALUE"""),"Investors are watching Idol Agency closely as demand weakens.")</f>
        <v>Investors are watching Idol Agency closely as demand weakens.</v>
      </c>
      <c r="E1697" s="122" t="str">
        <f>IFERROR(__xludf.DUMMYFUNCTION("""COMPUTED_VALUE"""),"Negative")</f>
        <v>Negative</v>
      </c>
      <c r="F1697" s="122">
        <f>IFERROR(__xludf.DUMMYFUNCTION("""COMPUTED_VALUE"""),-0.015)</f>
        <v>-0.015</v>
      </c>
      <c r="G1697" s="122">
        <f>IFERROR(__xludf.DUMMYFUNCTION("""COMPUTED_VALUE"""),0.75)</f>
        <v>0.75</v>
      </c>
      <c r="H1697" s="122" t="str">
        <f>IFERROR(__xludf.DUMMYFUNCTION("""COMPUTED_VALUE"""),"Active")</f>
        <v>Active</v>
      </c>
    </row>
    <row r="1698">
      <c r="A1698" s="131">
        <f>IFERROR(__xludf.DUMMYFUNCTION("""COMPUTED_VALUE"""),46187.33115740741)</f>
        <v>46187.33116</v>
      </c>
      <c r="B1698" s="122" t="str">
        <f>IFERROR(__xludf.DUMMYFUNCTION("""COMPUTED_VALUE"""),"MEME")</f>
        <v>MEME</v>
      </c>
      <c r="C1698" s="122" t="str">
        <f>IFERROR(__xludf.DUMMYFUNCTION("""COMPUTED_VALUE"""),"Meme Media remains stable as the Entertainment market shows normal activity.")</f>
        <v>Meme Media remains stable as the Entertainment market shows normal activity.</v>
      </c>
      <c r="D1698" s="122" t="str">
        <f>IFERROR(__xludf.DUMMYFUNCTION("""COMPUTED_VALUE"""),"Meme Media appears steady with no major changes reported.")</f>
        <v>Meme Media appears steady with no major changes reported.</v>
      </c>
      <c r="E1698" s="122" t="str">
        <f>IFERROR(__xludf.DUMMYFUNCTION("""COMPUTED_VALUE"""),"Neutral")</f>
        <v>Neutral</v>
      </c>
      <c r="F1698" s="122">
        <f>IFERROR(__xludf.DUMMYFUNCTION("""COMPUTED_VALUE"""),0.0)</f>
        <v>0</v>
      </c>
      <c r="G1698" s="122">
        <f>IFERROR(__xludf.DUMMYFUNCTION("""COMPUTED_VALUE"""),0.0)</f>
        <v>0</v>
      </c>
      <c r="H1698" s="122" t="str">
        <f>IFERROR(__xludf.DUMMYFUNCTION("""COMPUTED_VALUE"""),"Active")</f>
        <v>Active</v>
      </c>
    </row>
    <row r="1699">
      <c r="A1699" s="131">
        <f>IFERROR(__xludf.DUMMYFUNCTION("""COMPUTED_VALUE"""),46187.33115740741)</f>
        <v>46187.33116</v>
      </c>
      <c r="B1699" s="122" t="str">
        <f>IFERROR(__xludf.DUMMYFUNCTION("""COMPUTED_VALUE"""),"STRM")</f>
        <v>STRM</v>
      </c>
      <c r="C1699" s="122" t="str">
        <f>IFERROR(__xludf.DUMMYFUNCTION("""COMPUTED_VALUE"""),"Streamly faces weaker demand and cautious investor sentiment.")</f>
        <v>Streamly faces weaker demand and cautious investor sentiment.</v>
      </c>
      <c r="D1699" s="122" t="str">
        <f>IFERROR(__xludf.DUMMYFUNCTION("""COMPUTED_VALUE"""),"Investors are watching Streamly closely as demand weakens.")</f>
        <v>Investors are watching Streamly closely as demand weakens.</v>
      </c>
      <c r="E1699" s="122" t="str">
        <f>IFERROR(__xludf.DUMMYFUNCTION("""COMPUTED_VALUE"""),"Negative")</f>
        <v>Negative</v>
      </c>
      <c r="F1699" s="122">
        <f>IFERROR(__xludf.DUMMYFUNCTION("""COMPUTED_VALUE"""),-0.015)</f>
        <v>-0.015</v>
      </c>
      <c r="G1699" s="122">
        <f>IFERROR(__xludf.DUMMYFUNCTION("""COMPUTED_VALUE"""),0.75)</f>
        <v>0.75</v>
      </c>
      <c r="H1699" s="122" t="str">
        <f>IFERROR(__xludf.DUMMYFUNCTION("""COMPUTED_VALUE"""),"Active")</f>
        <v>Active</v>
      </c>
    </row>
    <row r="1700">
      <c r="A1700" s="131">
        <f>IFERROR(__xludf.DUMMYFUNCTION("""COMPUTED_VALUE"""),46187.33116898148)</f>
        <v>46187.33117</v>
      </c>
      <c r="B1700" s="122" t="str">
        <f>IFERROR(__xludf.DUMMYFUNCTION("""COMPUTED_VALUE"""),"FARM")</f>
        <v>FARM</v>
      </c>
      <c r="C1700" s="122" t="str">
        <f>IFERROR(__xludf.DUMMYFUNCTION("""COMPUTED_VALUE"""),"Future Farms surges as demand rises across the Agriculture sector.")</f>
        <v>Future Farms surges as demand rises across the Agriculture sector.</v>
      </c>
      <c r="D1700" s="122" t="str">
        <f>IFERROR(__xludf.DUMMYFUNCTION("""COMPUTED_VALUE"""),"Future Farms is seeing strong demand, which may increase investor confidence.")</f>
        <v>Future Farms is seeing strong demand, which may increase investor confidence.</v>
      </c>
      <c r="E1700" s="122" t="str">
        <f>IFERROR(__xludf.DUMMYFUNCTION("""COMPUTED_VALUE"""),"Positive")</f>
        <v>Positive</v>
      </c>
      <c r="F1700" s="122">
        <f>IFERROR(__xludf.DUMMYFUNCTION("""COMPUTED_VALUE"""),0.03)</f>
        <v>0.03</v>
      </c>
      <c r="G1700" s="122">
        <f>IFERROR(__xludf.DUMMYFUNCTION("""COMPUTED_VALUE"""),1.0)</f>
        <v>1</v>
      </c>
      <c r="H1700" s="122" t="str">
        <f>IFERROR(__xludf.DUMMYFUNCTION("""COMPUTED_VALUE"""),"Active")</f>
        <v>Active</v>
      </c>
    </row>
    <row r="1701">
      <c r="A1701" s="131">
        <f>IFERROR(__xludf.DUMMYFUNCTION("""COMPUTED_VALUE"""),46187.33116898148)</f>
        <v>46187.33117</v>
      </c>
      <c r="B1701" s="122" t="str">
        <f>IFERROR(__xludf.DUMMYFUNCTION("""COMPUTED_VALUE"""),"MEAT")</f>
        <v>MEAT</v>
      </c>
      <c r="C1701" s="122" t="str">
        <f>IFERROR(__xludf.DUMMYFUNCTION("""COMPUTED_VALUE"""),"MeatWorks reports steady growth and improved market confidence.")</f>
        <v>MeatWorks reports steady growth and improved market confidence.</v>
      </c>
      <c r="D1701" s="122" t="str">
        <f>IFERROR(__xludf.DUMMYFUNCTION("""COMPUTED_VALUE"""),"MeatWorks continues to show positive momentum with moderate risk.")</f>
        <v>MeatWorks continues to show positive momentum with moderate risk.</v>
      </c>
      <c r="E1701" s="122" t="str">
        <f>IFERROR(__xludf.DUMMYFUNCTION("""COMPUTED_VALUE"""),"Positive")</f>
        <v>Positive</v>
      </c>
      <c r="F1701" s="122">
        <f>IFERROR(__xludf.DUMMYFUNCTION("""COMPUTED_VALUE"""),0.015)</f>
        <v>0.015</v>
      </c>
      <c r="G1701" s="122">
        <f>IFERROR(__xludf.DUMMYFUNCTION("""COMPUTED_VALUE"""),0.5)</f>
        <v>0.5</v>
      </c>
      <c r="H1701" s="122" t="str">
        <f>IFERROR(__xludf.DUMMYFUNCTION("""COMPUTED_VALUE"""),"Active")</f>
        <v>Active</v>
      </c>
    </row>
    <row r="1702">
      <c r="A1702" s="131">
        <f>IFERROR(__xludf.DUMMYFUNCTION("""COMPUTED_VALUE"""),46187.33118055556)</f>
        <v>46187.33118</v>
      </c>
      <c r="B1702" s="122" t="str">
        <f>IFERROR(__xludf.DUMMYFUNCTION("""COMPUTED_VALUE"""),"VEGI")</f>
        <v>VEGI</v>
      </c>
      <c r="C1702" s="122" t="str">
        <f>IFERROR(__xludf.DUMMYFUNCTION("""COMPUTED_VALUE"""),"Green Basket faces weaker demand and cautious investor sentiment.")</f>
        <v>Green Basket faces weaker demand and cautious investor sentiment.</v>
      </c>
      <c r="D1702" s="122" t="str">
        <f>IFERROR(__xludf.DUMMYFUNCTION("""COMPUTED_VALUE"""),"Investors are watching Green Basket closely as demand weakens.")</f>
        <v>Investors are watching Green Basket closely as demand weakens.</v>
      </c>
      <c r="E1702" s="122" t="str">
        <f>IFERROR(__xludf.DUMMYFUNCTION("""COMPUTED_VALUE"""),"Negative")</f>
        <v>Negative</v>
      </c>
      <c r="F1702" s="122">
        <f>IFERROR(__xludf.DUMMYFUNCTION("""COMPUTED_VALUE"""),-0.015)</f>
        <v>-0.015</v>
      </c>
      <c r="G1702" s="122">
        <f>IFERROR(__xludf.DUMMYFUNCTION("""COMPUTED_VALUE"""),0.75)</f>
        <v>0.75</v>
      </c>
      <c r="H1702" s="122" t="str">
        <f>IFERROR(__xludf.DUMMYFUNCTION("""COMPUTED_VALUE"""),"Active")</f>
        <v>Active</v>
      </c>
    </row>
    <row r="1703">
      <c r="A1703" s="131">
        <f>IFERROR(__xludf.DUMMYFUNCTION("""COMPUTED_VALUE"""),46187.33118055556)</f>
        <v>46187.33118</v>
      </c>
      <c r="B1703" s="122" t="str">
        <f>IFERROR(__xludf.DUMMYFUNCTION("""COMPUTED_VALUE"""),"CAFE")</f>
        <v>CAFE</v>
      </c>
      <c r="C1703" s="122" t="str">
        <f>IFERROR(__xludf.DUMMYFUNCTION("""COMPUTED_VALUE"""),"Cafe Cloud reports steady growth and improved market confidence.")</f>
        <v>Cafe Cloud reports steady growth and improved market confidence.</v>
      </c>
      <c r="D1703" s="122" t="str">
        <f>IFERROR(__xludf.DUMMYFUNCTION("""COMPUTED_VALUE"""),"Cafe Cloud continues to show positive momentum with moderate risk.")</f>
        <v>Cafe Cloud continues to show positive momentum with moderate risk.</v>
      </c>
      <c r="E1703" s="122" t="str">
        <f>IFERROR(__xludf.DUMMYFUNCTION("""COMPUTED_VALUE"""),"Positive")</f>
        <v>Positive</v>
      </c>
      <c r="F1703" s="122">
        <f>IFERROR(__xludf.DUMMYFUNCTION("""COMPUTED_VALUE"""),0.015)</f>
        <v>0.015</v>
      </c>
      <c r="G1703" s="122">
        <f>IFERROR(__xludf.DUMMYFUNCTION("""COMPUTED_VALUE"""),0.5)</f>
        <v>0.5</v>
      </c>
      <c r="H1703" s="122" t="str">
        <f>IFERROR(__xludf.DUMMYFUNCTION("""COMPUTED_VALUE"""),"Active")</f>
        <v>Active</v>
      </c>
    </row>
    <row r="1704">
      <c r="A1704" s="131">
        <f>IFERROR(__xludf.DUMMYFUNCTION("""COMPUTED_VALUE"""),46187.331192129626)</f>
        <v>46187.33119</v>
      </c>
      <c r="B1704" s="122" t="str">
        <f>IFERROR(__xludf.DUMMYFUNCTION("""COMPUTED_VALUE"""),"BAKE")</f>
        <v>BAKE</v>
      </c>
      <c r="C1704" s="122" t="str">
        <f>IFERROR(__xludf.DUMMYFUNCTION("""COMPUTED_VALUE"""),"BakeHouse sees uncertain trading as investors react to mixed signals.")</f>
        <v>BakeHouse sees uncertain trading as investors react to mixed signals.</v>
      </c>
      <c r="D1704" s="122" t="str">
        <f>IFERROR(__xludf.DUMMYFUNCTION("""COMPUTED_VALUE"""),"BakeHouse may experience larger price swings as investors disagree on direction.")</f>
        <v>BakeHouse may experience larger price swings as investors disagree on direction.</v>
      </c>
      <c r="E1704" s="122" t="str">
        <f>IFERROR(__xludf.DUMMYFUNCTION("""COMPUTED_VALUE"""),"Mixed")</f>
        <v>Mixed</v>
      </c>
      <c r="F1704" s="122">
        <f>IFERROR(__xludf.DUMMYFUNCTION("""COMPUTED_VALUE"""),-0.005913889289704955)</f>
        <v>-0.00591388929</v>
      </c>
      <c r="G1704" s="122">
        <f>IFERROR(__xludf.DUMMYFUNCTION("""COMPUTED_VALUE"""),1.5)</f>
        <v>1.5</v>
      </c>
      <c r="H1704" s="122" t="str">
        <f>IFERROR(__xludf.DUMMYFUNCTION("""COMPUTED_VALUE"""),"Active")</f>
        <v>Active</v>
      </c>
    </row>
    <row r="1705">
      <c r="A1705" s="131">
        <f>IFERROR(__xludf.DUMMYFUNCTION("""COMPUTED_VALUE"""),46187.331192129626)</f>
        <v>46187.33119</v>
      </c>
      <c r="B1705" s="122" t="str">
        <f>IFERROR(__xludf.DUMMYFUNCTION("""COMPUTED_VALUE"""),"OILX")</f>
        <v>OILX</v>
      </c>
      <c r="C1705" s="122" t="str">
        <f>IFERROR(__xludf.DUMMYFUNCTION("""COMPUTED_VALUE"""),"OilMax Energy remains stable as the Energy market shows normal activity.")</f>
        <v>OilMax Energy remains stable as the Energy market shows normal activity.</v>
      </c>
      <c r="D1705" s="122" t="str">
        <f>IFERROR(__xludf.DUMMYFUNCTION("""COMPUTED_VALUE"""),"OilMax Energy appears steady with no major changes reported.")</f>
        <v>OilMax Energy appears steady with no major changes reported.</v>
      </c>
      <c r="E1705" s="122" t="str">
        <f>IFERROR(__xludf.DUMMYFUNCTION("""COMPUTED_VALUE"""),"Neutral")</f>
        <v>Neutral</v>
      </c>
      <c r="F1705" s="122">
        <f>IFERROR(__xludf.DUMMYFUNCTION("""COMPUTED_VALUE"""),0.0)</f>
        <v>0</v>
      </c>
      <c r="G1705" s="122">
        <f>IFERROR(__xludf.DUMMYFUNCTION("""COMPUTED_VALUE"""),0.0)</f>
        <v>0</v>
      </c>
      <c r="H1705" s="122" t="str">
        <f>IFERROR(__xludf.DUMMYFUNCTION("""COMPUTED_VALUE"""),"Active")</f>
        <v>Active</v>
      </c>
    </row>
    <row r="1706">
      <c r="A1706" s="131">
        <f>IFERROR(__xludf.DUMMYFUNCTION("""COMPUTED_VALUE"""),46187.3312037037)</f>
        <v>46187.3312</v>
      </c>
      <c r="B1706" s="122" t="str">
        <f>IFERROR(__xludf.DUMMYFUNCTION("""COMPUTED_VALUE"""),"SOLR")</f>
        <v>SOLR</v>
      </c>
      <c r="C1706" s="122" t="str">
        <f>IFERROR(__xludf.DUMMYFUNCTION("""COMPUTED_VALUE"""),"SolarSpark surges as demand rises across the Energy sector.")</f>
        <v>SolarSpark surges as demand rises across the Energy sector.</v>
      </c>
      <c r="D1706" s="122" t="str">
        <f>IFERROR(__xludf.DUMMYFUNCTION("""COMPUTED_VALUE"""),"SolarSpark is seeing strong demand, which may increase investor confidence.")</f>
        <v>SolarSpark is seeing strong demand, which may increase investor confidence.</v>
      </c>
      <c r="E1706" s="122" t="str">
        <f>IFERROR(__xludf.DUMMYFUNCTION("""COMPUTED_VALUE"""),"Positive")</f>
        <v>Positive</v>
      </c>
      <c r="F1706" s="122">
        <f>IFERROR(__xludf.DUMMYFUNCTION("""COMPUTED_VALUE"""),0.03)</f>
        <v>0.03</v>
      </c>
      <c r="G1706" s="122">
        <f>IFERROR(__xludf.DUMMYFUNCTION("""COMPUTED_VALUE"""),1.0)</f>
        <v>1</v>
      </c>
      <c r="H1706" s="122" t="str">
        <f>IFERROR(__xludf.DUMMYFUNCTION("""COMPUTED_VALUE"""),"Active")</f>
        <v>Active</v>
      </c>
    </row>
    <row r="1707">
      <c r="A1707" s="131">
        <f>IFERROR(__xludf.DUMMYFUNCTION("""COMPUTED_VALUE"""),46187.3312037037)</f>
        <v>46187.3312</v>
      </c>
      <c r="B1707" s="122" t="str">
        <f>IFERROR(__xludf.DUMMYFUNCTION("""COMPUTED_VALUE"""),"BATT")</f>
        <v>BATT</v>
      </c>
      <c r="C1707" s="122" t="str">
        <f>IFERROR(__xludf.DUMMYFUNCTION("""COMPUTED_VALUE"""),"BatteryBox sees uncertain trading as investors react to mixed signals.")</f>
        <v>BatteryBox sees uncertain trading as investors react to mixed signals.</v>
      </c>
      <c r="D1707" s="122" t="str">
        <f>IFERROR(__xludf.DUMMYFUNCTION("""COMPUTED_VALUE"""),"BatteryBox may experience larger price swings as investors disagree on direction.")</f>
        <v>BatteryBox may experience larger price swings as investors disagree on direction.</v>
      </c>
      <c r="E1707" s="122" t="str">
        <f>IFERROR(__xludf.DUMMYFUNCTION("""COMPUTED_VALUE"""),"Mixed")</f>
        <v>Mixed</v>
      </c>
      <c r="F1707" s="122">
        <f>IFERROR(__xludf.DUMMYFUNCTION("""COMPUTED_VALUE"""),-3.996750137476614E-4)</f>
        <v>-0.0003996750137</v>
      </c>
      <c r="G1707" s="122">
        <f>IFERROR(__xludf.DUMMYFUNCTION("""COMPUTED_VALUE"""),1.5)</f>
        <v>1.5</v>
      </c>
      <c r="H1707" s="122" t="str">
        <f>IFERROR(__xludf.DUMMYFUNCTION("""COMPUTED_VALUE"""),"Active")</f>
        <v>Active</v>
      </c>
    </row>
    <row r="1708">
      <c r="A1708" s="131">
        <f>IFERROR(__xludf.DUMMYFUNCTION("""COMPUTED_VALUE"""),46187.33121527778)</f>
        <v>46187.33122</v>
      </c>
      <c r="B1708" s="122" t="str">
        <f>IFERROR(__xludf.DUMMYFUNCTION("""COMPUTED_VALUE"""),"WIND")</f>
        <v>WIND</v>
      </c>
      <c r="C1708" s="122" t="str">
        <f>IFERROR(__xludf.DUMMYFUNCTION("""COMPUTED_VALUE"""),"WindWorks remains stable as the Energy market shows normal activity.")</f>
        <v>WindWorks remains stable as the Energy market shows normal activity.</v>
      </c>
      <c r="D1708" s="122" t="str">
        <f>IFERROR(__xludf.DUMMYFUNCTION("""COMPUTED_VALUE"""),"WindWorks appears steady with no major changes reported.")</f>
        <v>WindWorks appears steady with no major changes reported.</v>
      </c>
      <c r="E1708" s="122" t="str">
        <f>IFERROR(__xludf.DUMMYFUNCTION("""COMPUTED_VALUE"""),"Neutral")</f>
        <v>Neutral</v>
      </c>
      <c r="F1708" s="122">
        <f>IFERROR(__xludf.DUMMYFUNCTION("""COMPUTED_VALUE"""),0.0)</f>
        <v>0</v>
      </c>
      <c r="G1708" s="122">
        <f>IFERROR(__xludf.DUMMYFUNCTION("""COMPUTED_VALUE"""),0.0)</f>
        <v>0</v>
      </c>
      <c r="H1708" s="122" t="str">
        <f>IFERROR(__xludf.DUMMYFUNCTION("""COMPUTED_VALUE"""),"Active")</f>
        <v>Active</v>
      </c>
    </row>
    <row r="1709">
      <c r="A1709" s="131">
        <f>IFERROR(__xludf.DUMMYFUNCTION("""COMPUTED_VALUE"""),46187.33121527778)</f>
        <v>46187.33122</v>
      </c>
      <c r="B1709" s="122" t="str">
        <f>IFERROR(__xludf.DUMMYFUNCTION("""COMPUTED_VALUE"""),"GRID")</f>
        <v>GRID</v>
      </c>
      <c r="C1709" s="122" t="str">
        <f>IFERROR(__xludf.DUMMYFUNCTION("""COMPUTED_VALUE"""),"GridPower drops sharply after major concerns hit the market.")</f>
        <v>GridPower drops sharply after major concerns hit the market.</v>
      </c>
      <c r="D1709" s="122" t="str">
        <f>IFERROR(__xludf.DUMMYFUNCTION("""COMPUTED_VALUE"""),"GridPower is under pressure as investors react to worsening conditions.")</f>
        <v>GridPower is under pressure as investors react to worsening conditions.</v>
      </c>
      <c r="E1709" s="122" t="str">
        <f>IFERROR(__xludf.DUMMYFUNCTION("""COMPUTED_VALUE"""),"Negative")</f>
        <v>Negative</v>
      </c>
      <c r="F1709" s="122">
        <f>IFERROR(__xludf.DUMMYFUNCTION("""COMPUTED_VALUE"""),-0.04)</f>
        <v>-0.04</v>
      </c>
      <c r="G1709" s="122">
        <f>IFERROR(__xludf.DUMMYFUNCTION("""COMPUTED_VALUE"""),2.0)</f>
        <v>2</v>
      </c>
      <c r="H1709" s="122" t="str">
        <f>IFERROR(__xludf.DUMMYFUNCTION("""COMPUTED_VALUE"""),"Active")</f>
        <v>Active</v>
      </c>
    </row>
    <row r="1710">
      <c r="A1710" s="131">
        <f>IFERROR(__xludf.DUMMYFUNCTION("""COMPUTED_VALUE"""),46187.33122685185)</f>
        <v>46187.33123</v>
      </c>
      <c r="B1710" s="122" t="str">
        <f>IFERROR(__xludf.DUMMYFUNCTION("""COMPUTED_VALUE"""),"HOME")</f>
        <v>HOME</v>
      </c>
      <c r="C1710" s="122" t="str">
        <f>IFERROR(__xludf.DUMMYFUNCTION("""COMPUTED_VALUE"""),"HomeHub reports steady growth and improved market confidence.")</f>
        <v>HomeHub reports steady growth and improved market confidence.</v>
      </c>
      <c r="D1710" s="122" t="str">
        <f>IFERROR(__xludf.DUMMYFUNCTION("""COMPUTED_VALUE"""),"HomeHub continues to show positive momentum with moderate risk.")</f>
        <v>HomeHub continues to show positive momentum with moderate risk.</v>
      </c>
      <c r="E1710" s="122" t="str">
        <f>IFERROR(__xludf.DUMMYFUNCTION("""COMPUTED_VALUE"""),"Positive")</f>
        <v>Positive</v>
      </c>
      <c r="F1710" s="122">
        <f>IFERROR(__xludf.DUMMYFUNCTION("""COMPUTED_VALUE"""),0.015)</f>
        <v>0.015</v>
      </c>
      <c r="G1710" s="122">
        <f>IFERROR(__xludf.DUMMYFUNCTION("""COMPUTED_VALUE"""),0.5)</f>
        <v>0.5</v>
      </c>
      <c r="H1710" s="122" t="str">
        <f>IFERROR(__xludf.DUMMYFUNCTION("""COMPUTED_VALUE"""),"Active")</f>
        <v>Active</v>
      </c>
    </row>
    <row r="1711">
      <c r="A1711" s="131">
        <f>IFERROR(__xludf.DUMMYFUNCTION("""COMPUTED_VALUE"""),46187.331238425926)</f>
        <v>46187.33124</v>
      </c>
      <c r="B1711" s="122" t="str">
        <f>IFERROR(__xludf.DUMMYFUNCTION("""COMPUTED_VALUE"""),"RENT")</f>
        <v>RENT</v>
      </c>
      <c r="C1711" s="122" t="str">
        <f>IFERROR(__xludf.DUMMYFUNCTION("""COMPUTED_VALUE"""),"RentRight sees uncertain trading as investors react to mixed signals.")</f>
        <v>RentRight sees uncertain trading as investors react to mixed signals.</v>
      </c>
      <c r="D1711" s="122" t="str">
        <f>IFERROR(__xludf.DUMMYFUNCTION("""COMPUTED_VALUE"""),"RentRight may experience larger price swings as investors disagree on direction.")</f>
        <v>RentRight may experience larger price swings as investors disagree on direction.</v>
      </c>
      <c r="E1711" s="122" t="str">
        <f>IFERROR(__xludf.DUMMYFUNCTION("""COMPUTED_VALUE"""),"Mixed")</f>
        <v>Mixed</v>
      </c>
      <c r="F1711" s="122">
        <f>IFERROR(__xludf.DUMMYFUNCTION("""COMPUTED_VALUE"""),-0.017868933424419118)</f>
        <v>-0.01786893342</v>
      </c>
      <c r="G1711" s="122">
        <f>IFERROR(__xludf.DUMMYFUNCTION("""COMPUTED_VALUE"""),1.5)</f>
        <v>1.5</v>
      </c>
      <c r="H1711" s="122" t="str">
        <f>IFERROR(__xludf.DUMMYFUNCTION("""COMPUTED_VALUE"""),"Active")</f>
        <v>Active</v>
      </c>
    </row>
    <row r="1712">
      <c r="A1712" s="131">
        <f>IFERROR(__xludf.DUMMYFUNCTION("""COMPUTED_VALUE"""),46187.331238425926)</f>
        <v>46187.33124</v>
      </c>
      <c r="B1712" s="122" t="str">
        <f>IFERROR(__xludf.DUMMYFUNCTION("""COMPUTED_VALUE"""),"MALL")</f>
        <v>MALL</v>
      </c>
      <c r="C1712" s="122" t="str">
        <f>IFERROR(__xludf.DUMMYFUNCTION("""COMPUTED_VALUE"""),"MegaMall reports steady growth and improved market confidence.")</f>
        <v>MegaMall reports steady growth and improved market confidence.</v>
      </c>
      <c r="D1712" s="122" t="str">
        <f>IFERROR(__xludf.DUMMYFUNCTION("""COMPUTED_VALUE"""),"MegaMall continues to show positive momentum with moderate risk.")</f>
        <v>MegaMall continues to show positive momentum with moderate risk.</v>
      </c>
      <c r="E1712" s="122" t="str">
        <f>IFERROR(__xludf.DUMMYFUNCTION("""COMPUTED_VALUE"""),"Positive")</f>
        <v>Positive</v>
      </c>
      <c r="F1712" s="122">
        <f>IFERROR(__xludf.DUMMYFUNCTION("""COMPUTED_VALUE"""),0.015)</f>
        <v>0.015</v>
      </c>
      <c r="G1712" s="122">
        <f>IFERROR(__xludf.DUMMYFUNCTION("""COMPUTED_VALUE"""),0.5)</f>
        <v>0.5</v>
      </c>
      <c r="H1712" s="122" t="str">
        <f>IFERROR(__xludf.DUMMYFUNCTION("""COMPUTED_VALUE"""),"Active")</f>
        <v>Active</v>
      </c>
    </row>
    <row r="1713">
      <c r="A1713" s="131">
        <f>IFERROR(__xludf.DUMMYFUNCTION("""COMPUTED_VALUE"""),46187.33125)</f>
        <v>46187.33125</v>
      </c>
      <c r="B1713" s="122" t="str">
        <f>IFERROR(__xludf.DUMMYFUNCTION("""COMPUTED_VALUE"""),"HOTL")</f>
        <v>HOTL</v>
      </c>
      <c r="C1713" s="122" t="str">
        <f>IFERROR(__xludf.DUMMYFUNCTION("""COMPUTED_VALUE"""),"HotelHive faces weaker demand and cautious investor sentiment.")</f>
        <v>HotelHive faces weaker demand and cautious investor sentiment.</v>
      </c>
      <c r="D1713" s="122" t="str">
        <f>IFERROR(__xludf.DUMMYFUNCTION("""COMPUTED_VALUE"""),"Investors are watching HotelHive closely as demand weakens.")</f>
        <v>Investors are watching HotelHive closely as demand weakens.</v>
      </c>
      <c r="E1713" s="122" t="str">
        <f>IFERROR(__xludf.DUMMYFUNCTION("""COMPUTED_VALUE"""),"Negative")</f>
        <v>Negative</v>
      </c>
      <c r="F1713" s="122">
        <f>IFERROR(__xludf.DUMMYFUNCTION("""COMPUTED_VALUE"""),-0.015)</f>
        <v>-0.015</v>
      </c>
      <c r="G1713" s="122">
        <f>IFERROR(__xludf.DUMMYFUNCTION("""COMPUTED_VALUE"""),0.75)</f>
        <v>0.75</v>
      </c>
      <c r="H1713" s="122" t="str">
        <f>IFERROR(__xludf.DUMMYFUNCTION("""COMPUTED_VALUE"""),"Active")</f>
        <v>Active</v>
      </c>
    </row>
    <row r="1714">
      <c r="A1714" s="131">
        <f>IFERROR(__xludf.DUMMYFUNCTION("""COMPUTED_VALUE"""),46187.33125)</f>
        <v>46187.33125</v>
      </c>
      <c r="B1714" s="122" t="str">
        <f>IFERROR(__xludf.DUMMYFUNCTION("""COMPUTED_VALUE"""),"LAND")</f>
        <v>LAND</v>
      </c>
      <c r="C1714" s="122" t="str">
        <f>IFERROR(__xludf.DUMMYFUNCTION("""COMPUTED_VALUE"""),"LandLink sees uncertain trading as investors react to mixed signals.")</f>
        <v>LandLink sees uncertain trading as investors react to mixed signals.</v>
      </c>
      <c r="D1714" s="122" t="str">
        <f>IFERROR(__xludf.DUMMYFUNCTION("""COMPUTED_VALUE"""),"LandLink may experience larger price swings as investors disagree on direction.")</f>
        <v>LandLink may experience larger price swings as investors disagree on direction.</v>
      </c>
      <c r="E1714" s="122" t="str">
        <f>IFERROR(__xludf.DUMMYFUNCTION("""COMPUTED_VALUE"""),"Mixed")</f>
        <v>Mixed</v>
      </c>
      <c r="F1714" s="122">
        <f>IFERROR(__xludf.DUMMYFUNCTION("""COMPUTED_VALUE"""),0.008210342905894497)</f>
        <v>0.008210342906</v>
      </c>
      <c r="G1714" s="122">
        <f>IFERROR(__xludf.DUMMYFUNCTION("""COMPUTED_VALUE"""),1.5)</f>
        <v>1.5</v>
      </c>
      <c r="H1714" s="122" t="str">
        <f>IFERROR(__xludf.DUMMYFUNCTION("""COMPUTED_VALUE"""),"Active")</f>
        <v>Active</v>
      </c>
    </row>
    <row r="1715">
      <c r="A1715" s="131">
        <f>IFERROR(__xludf.DUMMYFUNCTION("""COMPUTED_VALUE"""),46187.33126157407)</f>
        <v>46187.33126</v>
      </c>
      <c r="B1715" s="122" t="str">
        <f>IFERROR(__xludf.DUMMYFUNCTION("""COMPUTED_VALUE"""),"CARS")</f>
        <v>CARS</v>
      </c>
      <c r="C1715" s="122" t="str">
        <f>IFERROR(__xludf.DUMMYFUNCTION("""COMPUTED_VALUE"""),"AutoArena remains stable as the Automotive market shows normal activity.")</f>
        <v>AutoArena remains stable as the Automotive market shows normal activity.</v>
      </c>
      <c r="D1715" s="122" t="str">
        <f>IFERROR(__xludf.DUMMYFUNCTION("""COMPUTED_VALUE"""),"AutoArena appears steady with no major changes reported.")</f>
        <v>AutoArena appears steady with no major changes reported.</v>
      </c>
      <c r="E1715" s="122" t="str">
        <f>IFERROR(__xludf.DUMMYFUNCTION("""COMPUTED_VALUE"""),"Neutral")</f>
        <v>Neutral</v>
      </c>
      <c r="F1715" s="122">
        <f>IFERROR(__xludf.DUMMYFUNCTION("""COMPUTED_VALUE"""),0.0)</f>
        <v>0</v>
      </c>
      <c r="G1715" s="122">
        <f>IFERROR(__xludf.DUMMYFUNCTION("""COMPUTED_VALUE"""),0.0)</f>
        <v>0</v>
      </c>
      <c r="H1715" s="122" t="str">
        <f>IFERROR(__xludf.DUMMYFUNCTION("""COMPUTED_VALUE"""),"Active")</f>
        <v>Active</v>
      </c>
    </row>
    <row r="1716">
      <c r="A1716" s="131">
        <f>IFERROR(__xludf.DUMMYFUNCTION("""COMPUTED_VALUE"""),46187.33126157407)</f>
        <v>46187.33126</v>
      </c>
      <c r="B1716" s="122" t="str">
        <f>IFERROR(__xludf.DUMMYFUNCTION("""COMPUTED_VALUE"""),"EVGO")</f>
        <v>EVGO</v>
      </c>
      <c r="C1716" s="122" t="str">
        <f>IFERROR(__xludf.DUMMYFUNCTION("""COMPUTED_VALUE"""),"EVGo Motors faces weaker demand and cautious investor sentiment.")</f>
        <v>EVGo Motors faces weaker demand and cautious investor sentiment.</v>
      </c>
      <c r="D1716" s="122" t="str">
        <f>IFERROR(__xludf.DUMMYFUNCTION("""COMPUTED_VALUE"""),"Investors are watching EVGo Motors closely as demand weakens.")</f>
        <v>Investors are watching EVGo Motors closely as demand weakens.</v>
      </c>
      <c r="E1716" s="122" t="str">
        <f>IFERROR(__xludf.DUMMYFUNCTION("""COMPUTED_VALUE"""),"Negative")</f>
        <v>Negative</v>
      </c>
      <c r="F1716" s="122">
        <f>IFERROR(__xludf.DUMMYFUNCTION("""COMPUTED_VALUE"""),-0.015)</f>
        <v>-0.015</v>
      </c>
      <c r="G1716" s="122">
        <f>IFERROR(__xludf.DUMMYFUNCTION("""COMPUTED_VALUE"""),0.75)</f>
        <v>0.75</v>
      </c>
      <c r="H1716" s="122" t="str">
        <f>IFERROR(__xludf.DUMMYFUNCTION("""COMPUTED_VALUE"""),"Active")</f>
        <v>Active</v>
      </c>
    </row>
    <row r="1717">
      <c r="A1717" s="131">
        <f>IFERROR(__xludf.DUMMYFUNCTION("""COMPUTED_VALUE"""),46187.33127314815)</f>
        <v>46187.33127</v>
      </c>
      <c r="B1717" s="122" t="str">
        <f>IFERROR(__xludf.DUMMYFUNCTION("""COMPUTED_VALUE"""),"TIRE")</f>
        <v>TIRE</v>
      </c>
      <c r="C1717" s="122" t="str">
        <f>IFERROR(__xludf.DUMMYFUNCTION("""COMPUTED_VALUE"""),"TireTown reports steady growth and improved market confidence.")</f>
        <v>TireTown reports steady growth and improved market confidence.</v>
      </c>
      <c r="D1717" s="122" t="str">
        <f>IFERROR(__xludf.DUMMYFUNCTION("""COMPUTED_VALUE"""),"TireTown continues to show positive momentum with moderate risk.")</f>
        <v>TireTown continues to show positive momentum with moderate risk.</v>
      </c>
      <c r="E1717" s="122" t="str">
        <f>IFERROR(__xludf.DUMMYFUNCTION("""COMPUTED_VALUE"""),"Positive")</f>
        <v>Positive</v>
      </c>
      <c r="F1717" s="122">
        <f>IFERROR(__xludf.DUMMYFUNCTION("""COMPUTED_VALUE"""),0.015)</f>
        <v>0.015</v>
      </c>
      <c r="G1717" s="122">
        <f>IFERROR(__xludf.DUMMYFUNCTION("""COMPUTED_VALUE"""),0.5)</f>
        <v>0.5</v>
      </c>
      <c r="H1717" s="122" t="str">
        <f>IFERROR(__xludf.DUMMYFUNCTION("""COMPUTED_VALUE"""),"Active")</f>
        <v>Active</v>
      </c>
    </row>
    <row r="1718">
      <c r="A1718" s="131">
        <f>IFERROR(__xludf.DUMMYFUNCTION("""COMPUTED_VALUE"""),46187.33127314815)</f>
        <v>46187.33127</v>
      </c>
      <c r="B1718" s="122" t="str">
        <f>IFERROR(__xludf.DUMMYFUNCTION("""COMPUTED_VALUE"""),"BIKE")</f>
        <v>BIKE</v>
      </c>
      <c r="C1718" s="122" t="str">
        <f>IFERROR(__xludf.DUMMYFUNCTION("""COMPUTED_VALUE"""),"BikeBox faces weaker demand and cautious investor sentiment.")</f>
        <v>BikeBox faces weaker demand and cautious investor sentiment.</v>
      </c>
      <c r="D1718" s="122" t="str">
        <f>IFERROR(__xludf.DUMMYFUNCTION("""COMPUTED_VALUE"""),"Investors are watching BikeBox closely as demand weakens.")</f>
        <v>Investors are watching BikeBox closely as demand weakens.</v>
      </c>
      <c r="E1718" s="122" t="str">
        <f>IFERROR(__xludf.DUMMYFUNCTION("""COMPUTED_VALUE"""),"Negative")</f>
        <v>Negative</v>
      </c>
      <c r="F1718" s="122">
        <f>IFERROR(__xludf.DUMMYFUNCTION("""COMPUTED_VALUE"""),-0.015)</f>
        <v>-0.015</v>
      </c>
      <c r="G1718" s="122">
        <f>IFERROR(__xludf.DUMMYFUNCTION("""COMPUTED_VALUE"""),0.75)</f>
        <v>0.75</v>
      </c>
      <c r="H1718" s="122" t="str">
        <f>IFERROR(__xludf.DUMMYFUNCTION("""COMPUTED_VALUE"""),"Active")</f>
        <v>Active</v>
      </c>
    </row>
    <row r="1719">
      <c r="A1719" s="131">
        <f>IFERROR(__xludf.DUMMYFUNCTION("""COMPUTED_VALUE"""),46187.33128472222)</f>
        <v>46187.33128</v>
      </c>
      <c r="B1719" s="122" t="str">
        <f>IFERROR(__xludf.DUMMYFUNCTION("""COMPUTED_VALUE"""),"WASH")</f>
        <v>WASH</v>
      </c>
      <c r="C1719" s="122" t="str">
        <f>IFERROR(__xludf.DUMMYFUNCTION("""COMPUTED_VALUE"""),"CarWash Co sees uncertain trading as investors react to mixed signals.")</f>
        <v>CarWash Co sees uncertain trading as investors react to mixed signals.</v>
      </c>
      <c r="D1719" s="122" t="str">
        <f>IFERROR(__xludf.DUMMYFUNCTION("""COMPUTED_VALUE"""),"CarWash Co may experience larger price swings as investors disagree on direction.")</f>
        <v>CarWash Co may experience larger price swings as investors disagree on direction.</v>
      </c>
      <c r="E1719" s="122" t="str">
        <f>IFERROR(__xludf.DUMMYFUNCTION("""COMPUTED_VALUE"""),"Mixed")</f>
        <v>Mixed</v>
      </c>
      <c r="F1719" s="122">
        <f>IFERROR(__xludf.DUMMYFUNCTION("""COMPUTED_VALUE"""),0.0010345083528587075)</f>
        <v>0.001034508353</v>
      </c>
      <c r="G1719" s="122">
        <f>IFERROR(__xludf.DUMMYFUNCTION("""COMPUTED_VALUE"""),1.5)</f>
        <v>1.5</v>
      </c>
      <c r="H1719" s="122" t="str">
        <f>IFERROR(__xludf.DUMMYFUNCTION("""COMPUTED_VALUE"""),"Active")</f>
        <v>Active</v>
      </c>
    </row>
    <row r="1720">
      <c r="A1720" s="131">
        <f>IFERROR(__xludf.DUMMYFUNCTION("""COMPUTED_VALUE"""),46187.33128472222)</f>
        <v>46187.33128</v>
      </c>
      <c r="B1720" s="122" t="str">
        <f>IFERROR(__xludf.DUMMYFUNCTION("""COMPUTED_VALUE"""),"GBND")</f>
        <v>GBND</v>
      </c>
      <c r="C1720" s="122" t="str">
        <f>IFERROR(__xludf.DUMMYFUNCTION("""COMPUTED_VALUE"""),"Classroom Government Bond remains steady as investors seek stability.")</f>
        <v>Classroom Government Bond remains steady as investors seek stability.</v>
      </c>
      <c r="D1720" s="122" t="str">
        <f>IFERROR(__xludf.DUMMYFUNCTION("""COMPUTED_VALUE"""),"Classroom Government Bond is a bond instrument and is less sensitive to market shocks than regular stocks.")</f>
        <v>Classroom Government Bond is a bond instrument and is less sensitive to market shocks than regular stocks.</v>
      </c>
      <c r="E1720" s="122" t="str">
        <f>IFERROR(__xludf.DUMMYFUNCTION("""COMPUTED_VALUE"""),"Neutral")</f>
        <v>Neutral</v>
      </c>
      <c r="F1720" s="122">
        <f>IFERROR(__xludf.DUMMYFUNCTION("""COMPUTED_VALUE"""),0.0)</f>
        <v>0</v>
      </c>
      <c r="G1720" s="122">
        <f>IFERROR(__xludf.DUMMYFUNCTION("""COMPUTED_VALUE"""),0.0)</f>
        <v>0</v>
      </c>
      <c r="H1720" s="122" t="str">
        <f>IFERROR(__xludf.DUMMYFUNCTION("""COMPUTED_VALUE"""),"Active")</f>
        <v>Active</v>
      </c>
    </row>
    <row r="1721">
      <c r="A1721" s="131">
        <f>IFERROR(__xludf.DUMMYFUNCTION("""COMPUTED_VALUE"""),46187.331296296295)</f>
        <v>46187.3313</v>
      </c>
      <c r="B1721" s="122" t="str">
        <f>IFERROR(__xludf.DUMMYFUNCTION("""COMPUTED_VALUE"""),"SBND")</f>
        <v>SBND</v>
      </c>
      <c r="C1721" s="122" t="str">
        <f>IFERROR(__xludf.DUMMYFUNCTION("""COMPUTED_VALUE"""),"School Savings Bond remains steady as investors seek stability.")</f>
        <v>School Savings Bond remains steady as investors seek stability.</v>
      </c>
      <c r="D1721" s="122" t="str">
        <f>IFERROR(__xludf.DUMMYFUNCTION("""COMPUTED_VALUE"""),"School Savings Bond is a bond instrument and is less sensitive to market shocks than regular stocks.")</f>
        <v>School Savings Bond is a bond instrument and is less sensitive to market shocks than regular stocks.</v>
      </c>
      <c r="E1721" s="122" t="str">
        <f>IFERROR(__xludf.DUMMYFUNCTION("""COMPUTED_VALUE"""),"Neutral")</f>
        <v>Neutral</v>
      </c>
      <c r="F1721" s="122">
        <f>IFERROR(__xludf.DUMMYFUNCTION("""COMPUTED_VALUE"""),0.0)</f>
        <v>0</v>
      </c>
      <c r="G1721" s="122">
        <f>IFERROR(__xludf.DUMMYFUNCTION("""COMPUTED_VALUE"""),0.0)</f>
        <v>0</v>
      </c>
      <c r="H1721" s="122" t="str">
        <f>IFERROR(__xludf.DUMMYFUNCTION("""COMPUTED_VALUE"""),"Active")</f>
        <v>Active</v>
      </c>
    </row>
    <row r="1722">
      <c r="A1722" s="131">
        <f>IFERROR(__xludf.DUMMYFUNCTION("""COMPUTED_VALUE"""),46187.331296296295)</f>
        <v>46187.3313</v>
      </c>
      <c r="B1722" s="122" t="str">
        <f>IFERROR(__xludf.DUMMYFUNCTION("""COMPUTED_VALUE"""),"CBND")</f>
        <v>CBND</v>
      </c>
      <c r="C1722" s="122" t="str">
        <f>IFERROR(__xludf.DUMMYFUNCTION("""COMPUTED_VALUE"""),"Corporate Classroom Bond remains steady as investors seek stability.")</f>
        <v>Corporate Classroom Bond remains steady as investors seek stability.</v>
      </c>
      <c r="D1722" s="122" t="str">
        <f>IFERROR(__xludf.DUMMYFUNCTION("""COMPUTED_VALUE"""),"Corporate Classroom Bond is a bond instrument and is less sensitive to market shocks than regular stocks.")</f>
        <v>Corporate Classroom Bond is a bond instrument and is less sensitive to market shocks than regular stocks.</v>
      </c>
      <c r="E1722" s="122" t="str">
        <f>IFERROR(__xludf.DUMMYFUNCTION("""COMPUTED_VALUE"""),"Neutral")</f>
        <v>Neutral</v>
      </c>
      <c r="F1722" s="122">
        <f>IFERROR(__xludf.DUMMYFUNCTION("""COMPUTED_VALUE"""),0.0)</f>
        <v>0</v>
      </c>
      <c r="G1722" s="122">
        <f>IFERROR(__xludf.DUMMYFUNCTION("""COMPUTED_VALUE"""),0.0)</f>
        <v>0</v>
      </c>
      <c r="H1722" s="122" t="str">
        <f>IFERROR(__xludf.DUMMYFUNCTION("""COMPUTED_VALUE"""),"Active")</f>
        <v>Active</v>
      </c>
    </row>
    <row r="1723">
      <c r="A1723" s="131">
        <f>IFERROR(__xludf.DUMMYFUNCTION("""COMPUTED_VALUE"""),46187.331296296295)</f>
        <v>46187.3313</v>
      </c>
      <c r="B1723" s="122" t="str">
        <f>IFERROR(__xludf.DUMMYFUNCTION("""COMPUTED_VALUE"""),"TBIL")</f>
        <v>TBIL</v>
      </c>
      <c r="C1723" s="122" t="str">
        <f>IFERROR(__xludf.DUMMYFUNCTION("""COMPUTED_VALUE"""),"Treasury Bill remains steady as investors seek stability.")</f>
        <v>Treasury Bill remains steady as investors seek stability.</v>
      </c>
      <c r="D1723" s="122" t="str">
        <f>IFERROR(__xludf.DUMMYFUNCTION("""COMPUTED_VALUE"""),"Treasury Bill is a bond instrument and is less sensitive to market shocks than regular stocks.")</f>
        <v>Treasury Bill is a bond instrument and is less sensitive to market shocks than regular stocks.</v>
      </c>
      <c r="E1723" s="122" t="str">
        <f>IFERROR(__xludf.DUMMYFUNCTION("""COMPUTED_VALUE"""),"Neutral")</f>
        <v>Neutral</v>
      </c>
      <c r="F1723" s="122">
        <f>IFERROR(__xludf.DUMMYFUNCTION("""COMPUTED_VALUE"""),0.0)</f>
        <v>0</v>
      </c>
      <c r="G1723" s="122">
        <f>IFERROR(__xludf.DUMMYFUNCTION("""COMPUTED_VALUE"""),0.0)</f>
        <v>0</v>
      </c>
      <c r="H1723" s="122" t="str">
        <f>IFERROR(__xludf.DUMMYFUNCTION("""COMPUTED_VALUE"""),"Active")</f>
        <v>Active</v>
      </c>
    </row>
    <row r="1724">
      <c r="A1724" s="131">
        <f>IFERROR(__xludf.DUMMYFUNCTION("""COMPUTED_VALUE"""),46187.33131944444)</f>
        <v>46187.33132</v>
      </c>
      <c r="B1724" s="122" t="str">
        <f>IFERROR(__xludf.DUMMYFUNCTION("""COMPUTED_VALUE"""),"IBND")</f>
        <v>IBND</v>
      </c>
      <c r="C1724" s="122" t="str">
        <f>IFERROR(__xludf.DUMMYFUNCTION("""COMPUTED_VALUE"""),"Inflation Protected Bond remains steady as investors seek stability.")</f>
        <v>Inflation Protected Bond remains steady as investors seek stability.</v>
      </c>
      <c r="D1724" s="122" t="str">
        <f>IFERROR(__xludf.DUMMYFUNCTION("""COMPUTED_VALUE"""),"Inflation Protected Bond is a bond instrument and is less sensitive to market shocks than regular stocks.")</f>
        <v>Inflation Protected Bond is a bond instrument and is less sensitive to market shocks than regular stocks.</v>
      </c>
      <c r="E1724" s="122" t="str">
        <f>IFERROR(__xludf.DUMMYFUNCTION("""COMPUTED_VALUE"""),"Neutral")</f>
        <v>Neutral</v>
      </c>
      <c r="F1724" s="122">
        <f>IFERROR(__xludf.DUMMYFUNCTION("""COMPUTED_VALUE"""),0.0)</f>
        <v>0</v>
      </c>
      <c r="G1724" s="122">
        <f>IFERROR(__xludf.DUMMYFUNCTION("""COMPUTED_VALUE"""),0.0)</f>
        <v>0</v>
      </c>
      <c r="H1724" s="122" t="str">
        <f>IFERROR(__xludf.DUMMYFUNCTION("""COMPUTED_VALUE"""),"Active")</f>
        <v>Active</v>
      </c>
    </row>
    <row r="1725">
      <c r="A1725" s="131">
        <f>IFERROR(__xludf.DUMMYFUNCTION("""COMPUTED_VALUE"""),46187.338796296295)</f>
        <v>46187.3388</v>
      </c>
      <c r="B1725" s="122" t="str">
        <f>IFERROR(__xludf.DUMMYFUNCTION("""COMPUTED_VALUE"""),"MARKET")</f>
        <v>MARKET</v>
      </c>
      <c r="C1725" s="122" t="str">
        <f>IFERROR(__xludf.DUMMYFUNCTION("""COMPUTED_VALUE"""),"Weekly Market Outlook")</f>
        <v>Weekly Market Outlook</v>
      </c>
      <c r="D1725" s="122" t="str">
        <f>IFERROR(__xludf.DUMMYFUNCTION("""COMPUTED_VALUE"""),"The market opens the week with uncertainty. Analysts warn that a possible economic shock may occur later this week, but the exact timing is unknown.")</f>
        <v>The market opens the week with uncertainty. Analysts warn that a possible economic shock may occur later this week, but the exact timing is unknown.</v>
      </c>
      <c r="E1725" s="122" t="str">
        <f>IFERROR(__xludf.DUMMYFUNCTION("""COMPUTED_VALUE"""),"Neutral")</f>
        <v>Neutral</v>
      </c>
      <c r="F1725" s="122">
        <f>IFERROR(__xludf.DUMMYFUNCTION("""COMPUTED_VALUE"""),0.0)</f>
        <v>0</v>
      </c>
      <c r="G1725" s="122">
        <f>IFERROR(__xludf.DUMMYFUNCTION("""COMPUTED_VALUE"""),0.0)</f>
        <v>0</v>
      </c>
      <c r="H1725" s="122" t="str">
        <f>IFERROR(__xludf.DUMMYFUNCTION("""COMPUTED_VALUE"""),"Active")</f>
        <v>Active</v>
      </c>
    </row>
    <row r="1726">
      <c r="A1726" s="131">
        <f>IFERROR(__xludf.DUMMYFUNCTION("""COMPUTED_VALUE"""),46187.33880787037)</f>
        <v>46187.33881</v>
      </c>
      <c r="B1726" s="122" t="str">
        <f>IFERROR(__xludf.DUMMYFUNCTION("""COMPUTED_VALUE"""),"MARKET")</f>
        <v>MARKET</v>
      </c>
      <c r="C1726" s="122" t="str">
        <f>IFERROR(__xludf.DUMMYFUNCTION("""COMPUTED_VALUE"""),"Market Stability Report")</f>
        <v>Market Stability Report</v>
      </c>
      <c r="D1726" s="122" t="str">
        <f>IFERROR(__xludf.DUMMYFUNCTION("""COMPUTED_VALUE"""),"Markets opened without a major economic shock today. Investors remain cautious as uncertainty continues through the week.")</f>
        <v>Markets opened without a major economic shock today. Investors remain cautious as uncertainty continues through the week.</v>
      </c>
      <c r="E1726" s="122" t="str">
        <f>IFERROR(__xludf.DUMMYFUNCTION("""COMPUTED_VALUE"""),"Neutral")</f>
        <v>Neutral</v>
      </c>
      <c r="F1726" s="122">
        <f>IFERROR(__xludf.DUMMYFUNCTION("""COMPUTED_VALUE"""),0.0)</f>
        <v>0</v>
      </c>
      <c r="G1726" s="122">
        <f>IFERROR(__xludf.DUMMYFUNCTION("""COMPUTED_VALUE"""),0.0)</f>
        <v>0</v>
      </c>
      <c r="H1726" s="122" t="str">
        <f>IFERROR(__xludf.DUMMYFUNCTION("""COMPUTED_VALUE"""),"Active")</f>
        <v>Active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tr">
        <f>IFERROR(__xludf.DUMMYFUNCTION("IMPORTRANGE(""1R2r21OUCmsRB4LtOboB6fOM_WL3_ezt7cytLM-cfMvg"",""Stock_Financials!A:H"")"),"Ticker")</f>
        <v>Ticker</v>
      </c>
      <c r="B1" s="122" t="str">
        <f>IFERROR(__xludf.DUMMYFUNCTION("""COMPUTED_VALUE"""),"Revenue")</f>
        <v>Revenue</v>
      </c>
      <c r="C1" s="122" t="str">
        <f>IFERROR(__xludf.DUMMYFUNCTION("""COMPUTED_VALUE"""),"Profit")</f>
        <v>Profit</v>
      </c>
      <c r="D1" s="122" t="str">
        <f>IFERROR(__xludf.DUMMYFUNCTION("""COMPUTED_VALUE"""),"Debt")</f>
        <v>Debt</v>
      </c>
      <c r="E1" s="122" t="str">
        <f>IFERROR(__xludf.DUMMYFUNCTION("""COMPUTED_VALUE"""),"Cash")</f>
        <v>Cash</v>
      </c>
      <c r="F1" s="122" t="str">
        <f>IFERROR(__xludf.DUMMYFUNCTION("""COMPUTED_VALUE"""),"Growth_Rate")</f>
        <v>Growth_Rate</v>
      </c>
      <c r="G1" s="122" t="str">
        <f>IFERROR(__xludf.DUMMYFUNCTION("""COMPUTED_VALUE"""),"Risk_Rating")</f>
        <v>Risk_Rating</v>
      </c>
      <c r="H1" s="122" t="str">
        <f>IFERROR(__xludf.DUMMYFUNCTION("""COMPUTED_VALUE"""),"Notes")</f>
        <v>Notes</v>
      </c>
    </row>
    <row r="2">
      <c r="A2" s="122" t="str">
        <f>IFERROR(__xludf.DUMMYFUNCTION("""COMPUTED_VALUE"""),"SNAX")</f>
        <v>SNAX</v>
      </c>
      <c r="B2" s="122">
        <f>IFERROR(__xludf.DUMMYFUNCTION("""COMPUTED_VALUE"""),59513.0)</f>
        <v>59513</v>
      </c>
      <c r="C2" s="122">
        <f>IFERROR(__xludf.DUMMYFUNCTION("""COMPUTED_VALUE"""),-806.0)</f>
        <v>-806</v>
      </c>
      <c r="D2" s="122">
        <f>IFERROR(__xludf.DUMMYFUNCTION("""COMPUTED_VALUE"""),13454.0)</f>
        <v>13454</v>
      </c>
      <c r="E2" s="122">
        <f>IFERROR(__xludf.DUMMYFUNCTION("""COMPUTED_VALUE"""),3314.0)</f>
        <v>3314</v>
      </c>
      <c r="F2" s="122">
        <f>IFERROR(__xludf.DUMMYFUNCTION("""COMPUTED_VALUE"""),0.0806)</f>
        <v>0.0806</v>
      </c>
      <c r="G2" s="122" t="str">
        <f>IFERROR(__xludf.DUMMYFUNCTION("""COMPUTED_VALUE"""),"High")</f>
        <v>High</v>
      </c>
      <c r="H2" s="122" t="str">
        <f>IFERROR(__xludf.DUMMYFUNCTION("""COMPUTED_VALUE"""),"MICA Snacks updated based on Stable trend.")</f>
        <v>MICA Snacks updated based on Stable trend.</v>
      </c>
    </row>
    <row r="3">
      <c r="A3" s="122" t="str">
        <f>IFERROR(__xludf.DUMMYFUNCTION("""COMPUTED_VALUE"""),"RAMN")</f>
        <v>RAMN</v>
      </c>
      <c r="B3" s="122">
        <f>IFERROR(__xludf.DUMMYFUNCTION("""COMPUTED_VALUE"""),11372.0)</f>
        <v>11372</v>
      </c>
      <c r="C3" s="122">
        <f>IFERROR(__xludf.DUMMYFUNCTION("""COMPUTED_VALUE"""),4549.0)</f>
        <v>4549</v>
      </c>
      <c r="D3" s="122">
        <f>IFERROR(__xludf.DUMMYFUNCTION("""COMPUTED_VALUE"""),33502.0)</f>
        <v>33502</v>
      </c>
      <c r="E3" s="122">
        <f>IFERROR(__xludf.DUMMYFUNCTION("""COMPUTED_VALUE"""),1371.0)</f>
        <v>1371</v>
      </c>
      <c r="F3" s="122">
        <f>IFERROR(__xludf.DUMMYFUNCTION("""COMPUTED_VALUE"""),0.0547)</f>
        <v>0.0547</v>
      </c>
      <c r="G3" s="122" t="str">
        <f>IFERROR(__xludf.DUMMYFUNCTION("""COMPUTED_VALUE"""),"Medium-High")</f>
        <v>Medium-High</v>
      </c>
      <c r="H3" s="122" t="str">
        <f>IFERROR(__xludf.DUMMYFUNCTION("""COMPUTED_VALUE"""),"Ramen Republic updated based on Crash trend.")</f>
        <v>Ramen Republic updated based on Crash trend.</v>
      </c>
    </row>
    <row r="4">
      <c r="A4" s="122" t="str">
        <f>IFERROR(__xludf.DUMMYFUNCTION("""COMPUTED_VALUE"""),"COLA")</f>
        <v>COLA</v>
      </c>
      <c r="B4" s="122">
        <f>IFERROR(__xludf.DUMMYFUNCTION("""COMPUTED_VALUE"""),10677.0)</f>
        <v>10677</v>
      </c>
      <c r="C4" s="122">
        <f>IFERROR(__xludf.DUMMYFUNCTION("""COMPUTED_VALUE"""),5802.0)</f>
        <v>5802</v>
      </c>
      <c r="D4" s="122">
        <f>IFERROR(__xludf.DUMMYFUNCTION("""COMPUTED_VALUE"""),28211.0)</f>
        <v>28211</v>
      </c>
      <c r="E4" s="122">
        <f>IFERROR(__xludf.DUMMYFUNCTION("""COMPUTED_VALUE"""),13495.0)</f>
        <v>13495</v>
      </c>
      <c r="F4" s="122">
        <f>IFERROR(__xludf.DUMMYFUNCTION("""COMPUTED_VALUE"""),0.2034)</f>
        <v>0.2034</v>
      </c>
      <c r="G4" s="122" t="str">
        <f>IFERROR(__xludf.DUMMYFUNCTION("""COMPUTED_VALUE"""),"Medium-High")</f>
        <v>Medium-High</v>
      </c>
      <c r="H4" s="122" t="str">
        <f>IFERROR(__xludf.DUMMYFUNCTION("""COMPUTED_VALUE"""),"K-Pop Cola updated based on Growth trend.")</f>
        <v>K-Pop Cola updated based on Growth trend.</v>
      </c>
    </row>
    <row r="5">
      <c r="A5" s="122" t="str">
        <f>IFERROR(__xludf.DUMMYFUNCTION("""COMPUTED_VALUE"""),"CHIP")</f>
        <v>CHIP</v>
      </c>
      <c r="B5" s="122">
        <f>IFERROR(__xludf.DUMMYFUNCTION("""COMPUTED_VALUE"""),46107.0)</f>
        <v>46107</v>
      </c>
      <c r="C5" s="122">
        <f>IFERROR(__xludf.DUMMYFUNCTION("""COMPUTED_VALUE"""),1080.0)</f>
        <v>1080</v>
      </c>
      <c r="D5" s="122">
        <f>IFERROR(__xludf.DUMMYFUNCTION("""COMPUTED_VALUE"""),5392.0)</f>
        <v>5392</v>
      </c>
      <c r="E5" s="122">
        <f>IFERROR(__xludf.DUMMYFUNCTION("""COMPUTED_VALUE"""),10993.0)</f>
        <v>10993</v>
      </c>
      <c r="F5" s="122">
        <f>IFERROR(__xludf.DUMMYFUNCTION("""COMPUTED_VALUE"""),0.0063)</f>
        <v>0.0063</v>
      </c>
      <c r="G5" s="122" t="str">
        <f>IFERROR(__xludf.DUMMYFUNCTION("""COMPUTED_VALUE"""),"Medium")</f>
        <v>Medium</v>
      </c>
      <c r="H5" s="122" t="str">
        <f>IFERROR(__xludf.DUMMYFUNCTION("""COMPUTED_VALUE"""),"Chip Empire updated based on Stable trend.")</f>
        <v>Chip Empire updated based on Stable trend.</v>
      </c>
    </row>
    <row r="6">
      <c r="A6" s="122" t="str">
        <f>IFERROR(__xludf.DUMMYFUNCTION("""COMPUTED_VALUE"""),"CAND")</f>
        <v>CAND</v>
      </c>
      <c r="B6" s="122">
        <f>IFERROR(__xludf.DUMMYFUNCTION("""COMPUTED_VALUE"""),9849.0)</f>
        <v>9849</v>
      </c>
      <c r="C6" s="122">
        <f>IFERROR(__xludf.DUMMYFUNCTION("""COMPUTED_VALUE"""),7883.0)</f>
        <v>7883</v>
      </c>
      <c r="D6" s="122">
        <f>IFERROR(__xludf.DUMMYFUNCTION("""COMPUTED_VALUE"""),23005.0)</f>
        <v>23005</v>
      </c>
      <c r="E6" s="122">
        <f>IFERROR(__xludf.DUMMYFUNCTION("""COMPUTED_VALUE"""),14323.0)</f>
        <v>14323</v>
      </c>
      <c r="F6" s="122">
        <f>IFERROR(__xludf.DUMMYFUNCTION("""COMPUTED_VALUE"""),0.2068)</f>
        <v>0.2068</v>
      </c>
      <c r="G6" s="122" t="str">
        <f>IFERROR(__xludf.DUMMYFUNCTION("""COMPUTED_VALUE"""),"Medium")</f>
        <v>Medium</v>
      </c>
      <c r="H6" s="122" t="str">
        <f>IFERROR(__xludf.DUMMYFUNCTION("""COMPUTED_VALUE"""),"Candy Capital updated based on Stable trend.")</f>
        <v>Candy Capital updated based on Stable trend.</v>
      </c>
    </row>
    <row r="7">
      <c r="A7" s="122" t="str">
        <f>IFERROR(__xludf.DUMMYFUNCTION("""COMPUTED_VALUE"""),"TECH")</f>
        <v>TECH</v>
      </c>
      <c r="B7" s="122">
        <f>IFERROR(__xludf.DUMMYFUNCTION("""COMPUTED_VALUE"""),25411.0)</f>
        <v>25411</v>
      </c>
      <c r="C7" s="122">
        <f>IFERROR(__xludf.DUMMYFUNCTION("""COMPUTED_VALUE"""),-754.0)</f>
        <v>-754</v>
      </c>
      <c r="D7" s="122">
        <f>IFERROR(__xludf.DUMMYFUNCTION("""COMPUTED_VALUE"""),10265.0)</f>
        <v>10265</v>
      </c>
      <c r="E7" s="122">
        <f>IFERROR(__xludf.DUMMYFUNCTION("""COMPUTED_VALUE"""),16114.0)</f>
        <v>16114</v>
      </c>
      <c r="F7" s="122">
        <f>IFERROR(__xludf.DUMMYFUNCTION("""COMPUTED_VALUE"""),0.164)</f>
        <v>0.164</v>
      </c>
      <c r="G7" s="122" t="str">
        <f>IFERROR(__xludf.DUMMYFUNCTION("""COMPUTED_VALUE"""),"Medium")</f>
        <v>Medium</v>
      </c>
      <c r="H7" s="122" t="str">
        <f>IFERROR(__xludf.DUMMYFUNCTION("""COMPUTED_VALUE"""),"Dragon Tech updated based on Growth trend.")</f>
        <v>Dragon Tech updated based on Growth trend.</v>
      </c>
    </row>
    <row r="8">
      <c r="A8" s="122" t="str">
        <f>IFERROR(__xludf.DUMMYFUNCTION("""COMPUTED_VALUE"""),"AIBO")</f>
        <v>AIBO</v>
      </c>
      <c r="B8" s="122">
        <f>IFERROR(__xludf.DUMMYFUNCTION("""COMPUTED_VALUE"""),8887.0)</f>
        <v>8887</v>
      </c>
      <c r="C8" s="122">
        <f>IFERROR(__xludf.DUMMYFUNCTION("""COMPUTED_VALUE"""),7356.0)</f>
        <v>7356</v>
      </c>
      <c r="D8" s="122">
        <f>IFERROR(__xludf.DUMMYFUNCTION("""COMPUTED_VALUE"""),11581.0)</f>
        <v>11581</v>
      </c>
      <c r="E8" s="122">
        <f>IFERROR(__xludf.DUMMYFUNCTION("""COMPUTED_VALUE"""),4577.0)</f>
        <v>4577</v>
      </c>
      <c r="F8" s="122">
        <f>IFERROR(__xludf.DUMMYFUNCTION("""COMPUTED_VALUE"""),0.1222)</f>
        <v>0.1222</v>
      </c>
      <c r="G8" s="122" t="str">
        <f>IFERROR(__xludf.DUMMYFUNCTION("""COMPUTED_VALUE"""),"Medium-High")</f>
        <v>Medium-High</v>
      </c>
      <c r="H8" s="122" t="str">
        <f>IFERROR(__xludf.DUMMYFUNCTION("""COMPUTED_VALUE"""),"Homework AI updated based on Hot trend.")</f>
        <v>Homework AI updated based on Hot trend.</v>
      </c>
    </row>
    <row r="9">
      <c r="A9" s="122" t="str">
        <f>IFERROR(__xludf.DUMMYFUNCTION("""COMPUTED_VALUE"""),"GAME")</f>
        <v>GAME</v>
      </c>
      <c r="B9" s="122">
        <f>IFERROR(__xludf.DUMMYFUNCTION("""COMPUTED_VALUE"""),46659.0)</f>
        <v>46659</v>
      </c>
      <c r="C9" s="122">
        <f>IFERROR(__xludf.DUMMYFUNCTION("""COMPUTED_VALUE"""),7928.0)</f>
        <v>7928</v>
      </c>
      <c r="D9" s="122">
        <f>IFERROR(__xludf.DUMMYFUNCTION("""COMPUTED_VALUE"""),1158.0)</f>
        <v>1158</v>
      </c>
      <c r="E9" s="122">
        <f>IFERROR(__xludf.DUMMYFUNCTION("""COMPUTED_VALUE"""),11681.0)</f>
        <v>11681</v>
      </c>
      <c r="F9" s="122">
        <f>IFERROR(__xludf.DUMMYFUNCTION("""COMPUTED_VALUE"""),0.1295)</f>
        <v>0.1295</v>
      </c>
      <c r="G9" s="122" t="str">
        <f>IFERROR(__xludf.DUMMYFUNCTION("""COMPUTED_VALUE"""),"Low")</f>
        <v>Low</v>
      </c>
      <c r="H9" s="122" t="str">
        <f>IFERROR(__xludf.DUMMYFUNCTION("""COMPUTED_VALUE"""),"GameBox Media updated based on Stable trend.")</f>
        <v>GameBox Media updated based on Stable trend.</v>
      </c>
    </row>
    <row r="10">
      <c r="A10" s="122" t="str">
        <f>IFERROR(__xludf.DUMMYFUNCTION("""COMPUTED_VALUE"""),"VRSE")</f>
        <v>VRSE</v>
      </c>
      <c r="B10" s="122">
        <f>IFERROR(__xludf.DUMMYFUNCTION("""COMPUTED_VALUE"""),19208.0)</f>
        <v>19208</v>
      </c>
      <c r="C10" s="122">
        <f>IFERROR(__xludf.DUMMYFUNCTION("""COMPUTED_VALUE"""),9008.0)</f>
        <v>9008</v>
      </c>
      <c r="D10" s="122">
        <f>IFERROR(__xludf.DUMMYFUNCTION("""COMPUTED_VALUE"""),15539.0)</f>
        <v>15539</v>
      </c>
      <c r="E10" s="122">
        <f>IFERROR(__xludf.DUMMYFUNCTION("""COMPUTED_VALUE"""),15290.0)</f>
        <v>15290</v>
      </c>
      <c r="F10" s="122">
        <f>IFERROR(__xludf.DUMMYFUNCTION("""COMPUTED_VALUE"""),0.201)</f>
        <v>0.201</v>
      </c>
      <c r="G10" s="122" t="str">
        <f>IFERROR(__xludf.DUMMYFUNCTION("""COMPUTED_VALUE"""),"Medium")</f>
        <v>Medium</v>
      </c>
      <c r="H10" s="122" t="str">
        <f>IFERROR(__xludf.DUMMYFUNCTION("""COMPUTED_VALUE"""),"VerseVR updated based on Stable trend.")</f>
        <v>VerseVR updated based on Stable trend.</v>
      </c>
    </row>
    <row r="11">
      <c r="A11" s="122" t="str">
        <f>IFERROR(__xludf.DUMMYFUNCTION("""COMPUTED_VALUE"""),"BYTE")</f>
        <v>BYTE</v>
      </c>
      <c r="B11" s="122">
        <f>IFERROR(__xludf.DUMMYFUNCTION("""COMPUTED_VALUE"""),11553.0)</f>
        <v>11553</v>
      </c>
      <c r="C11" s="122">
        <f>IFERROR(__xludf.DUMMYFUNCTION("""COMPUTED_VALUE"""),1134.0)</f>
        <v>1134</v>
      </c>
      <c r="D11" s="122">
        <f>IFERROR(__xludf.DUMMYFUNCTION("""COMPUTED_VALUE"""),20913.0)</f>
        <v>20913</v>
      </c>
      <c r="E11" s="122">
        <f>IFERROR(__xludf.DUMMYFUNCTION("""COMPUTED_VALUE"""),10751.0)</f>
        <v>10751</v>
      </c>
      <c r="F11" s="122">
        <f>IFERROR(__xludf.DUMMYFUNCTION("""COMPUTED_VALUE"""),-0.0612)</f>
        <v>-0.0612</v>
      </c>
      <c r="G11" s="122" t="str">
        <f>IFERROR(__xludf.DUMMYFUNCTION("""COMPUTED_VALUE"""),"Medium")</f>
        <v>Medium</v>
      </c>
      <c r="H11" s="122" t="str">
        <f>IFERROR(__xludf.DUMMYFUNCTION("""COMPUTED_VALUE"""),"ByteWorks updated based on Stable trend.")</f>
        <v>ByteWorks updated based on Stable trend.</v>
      </c>
    </row>
    <row r="12">
      <c r="A12" s="122" t="str">
        <f>IFERROR(__xludf.DUMMYFUNCTION("""COMPUTED_VALUE"""),"BANK")</f>
        <v>BANK</v>
      </c>
      <c r="B12" s="122">
        <f>IFERROR(__xludf.DUMMYFUNCTION("""COMPUTED_VALUE"""),49645.0)</f>
        <v>49645</v>
      </c>
      <c r="C12" s="122">
        <f>IFERROR(__xludf.DUMMYFUNCTION("""COMPUTED_VALUE"""),10165.0)</f>
        <v>10165</v>
      </c>
      <c r="D12" s="122">
        <f>IFERROR(__xludf.DUMMYFUNCTION("""COMPUTED_VALUE"""),5482.0)</f>
        <v>5482</v>
      </c>
      <c r="E12" s="122">
        <f>IFERROR(__xludf.DUMMYFUNCTION("""COMPUTED_VALUE"""),10394.0)</f>
        <v>10394</v>
      </c>
      <c r="F12" s="122">
        <f>IFERROR(__xludf.DUMMYFUNCTION("""COMPUTED_VALUE"""),0.333)</f>
        <v>0.333</v>
      </c>
      <c r="G12" s="122" t="str">
        <f>IFERROR(__xludf.DUMMYFUNCTION("""COMPUTED_VALUE"""),"Low")</f>
        <v>Low</v>
      </c>
      <c r="H12" s="122" t="str">
        <f>IFERROR(__xludf.DUMMYFUNCTION("""COMPUTED_VALUE"""),"Tiger Bank updated based on Volatile trend.")</f>
        <v>Tiger Bank updated based on Volatile trend.</v>
      </c>
    </row>
    <row r="13">
      <c r="A13" s="122" t="str">
        <f>IFERROR(__xludf.DUMMYFUNCTION("""COMPUTED_VALUE"""),"CRED")</f>
        <v>CRED</v>
      </c>
      <c r="B13" s="122">
        <f>IFERROR(__xludf.DUMMYFUNCTION("""COMPUTED_VALUE"""),9899.0)</f>
        <v>9899</v>
      </c>
      <c r="C13" s="122">
        <f>IFERROR(__xludf.DUMMYFUNCTION("""COMPUTED_VALUE"""),3700.0)</f>
        <v>3700</v>
      </c>
      <c r="D13" s="122">
        <f>IFERROR(__xludf.DUMMYFUNCTION("""COMPUTED_VALUE"""),8357.0)</f>
        <v>8357</v>
      </c>
      <c r="E13" s="122">
        <f>IFERROR(__xludf.DUMMYFUNCTION("""COMPUTED_VALUE"""),7748.0)</f>
        <v>7748</v>
      </c>
      <c r="F13" s="122">
        <f>IFERROR(__xludf.DUMMYFUNCTION("""COMPUTED_VALUE"""),-0.0236)</f>
        <v>-0.0236</v>
      </c>
      <c r="G13" s="122" t="str">
        <f>IFERROR(__xludf.DUMMYFUNCTION("""COMPUTED_VALUE"""),"Medium")</f>
        <v>Medium</v>
      </c>
      <c r="H13" s="122" t="str">
        <f>IFERROR(__xludf.DUMMYFUNCTION("""COMPUTED_VALUE"""),"Credit Castle updated based on Stable trend.")</f>
        <v>Credit Castle updated based on Stable trend.</v>
      </c>
    </row>
    <row r="14">
      <c r="A14" s="122" t="str">
        <f>IFERROR(__xludf.DUMMYFUNCTION("""COMPUTED_VALUE"""),"BOND")</f>
        <v>BOND</v>
      </c>
      <c r="B14" s="122">
        <f>IFERROR(__xludf.DUMMYFUNCTION("""COMPUTED_VALUE"""),11630.0)</f>
        <v>11630</v>
      </c>
      <c r="C14" s="122">
        <f>IFERROR(__xludf.DUMMYFUNCTION("""COMPUTED_VALUE"""),5619.0)</f>
        <v>5619</v>
      </c>
      <c r="D14" s="122">
        <f>IFERROR(__xludf.DUMMYFUNCTION("""COMPUTED_VALUE"""),16643.0)</f>
        <v>16643</v>
      </c>
      <c r="E14" s="122">
        <f>IFERROR(__xludf.DUMMYFUNCTION("""COMPUTED_VALUE"""),3699.0)</f>
        <v>3699</v>
      </c>
      <c r="F14" s="122">
        <f>IFERROR(__xludf.DUMMYFUNCTION("""COMPUTED_VALUE"""),0.0853)</f>
        <v>0.0853</v>
      </c>
      <c r="G14" s="122" t="str">
        <f>IFERROR(__xludf.DUMMYFUNCTION("""COMPUTED_VALUE"""),"Medium-High")</f>
        <v>Medium-High</v>
      </c>
      <c r="H14" s="122" t="str">
        <f>IFERROR(__xludf.DUMMYFUNCTION("""COMPUTED_VALUE"""),"BondBridge updated based on Growth trend.")</f>
        <v>BondBridge updated based on Growth trend.</v>
      </c>
    </row>
    <row r="15">
      <c r="A15" s="122" t="str">
        <f>IFERROR(__xludf.DUMMYFUNCTION("""COMPUTED_VALUE"""),"INSR")</f>
        <v>INSR</v>
      </c>
      <c r="B15" s="122">
        <f>IFERROR(__xludf.DUMMYFUNCTION("""COMPUTED_VALUE"""),28314.0)</f>
        <v>28314</v>
      </c>
      <c r="C15" s="122">
        <f>IFERROR(__xludf.DUMMYFUNCTION("""COMPUTED_VALUE"""),7462.0)</f>
        <v>7462</v>
      </c>
      <c r="D15" s="122">
        <f>IFERROR(__xludf.DUMMYFUNCTION("""COMPUTED_VALUE"""),26427.0)</f>
        <v>26427</v>
      </c>
      <c r="E15" s="122">
        <f>IFERROR(__xludf.DUMMYFUNCTION("""COMPUTED_VALUE"""),11476.0)</f>
        <v>11476</v>
      </c>
      <c r="F15" s="122">
        <f>IFERROR(__xludf.DUMMYFUNCTION("""COMPUTED_VALUE"""),0.0108)</f>
        <v>0.0108</v>
      </c>
      <c r="G15" s="122" t="str">
        <f>IFERROR(__xludf.DUMMYFUNCTION("""COMPUTED_VALUE"""),"Medium-High")</f>
        <v>Medium-High</v>
      </c>
      <c r="H15" s="122" t="str">
        <f>IFERROR(__xludf.DUMMYFUNCTION("""COMPUTED_VALUE"""),"Shield Insurance updated based on Stable trend.")</f>
        <v>Shield Insurance updated based on Stable trend.</v>
      </c>
    </row>
    <row r="16">
      <c r="A16" s="122" t="str">
        <f>IFERROR(__xludf.DUMMYFUNCTION("""COMPUTED_VALUE"""),"LOAN")</f>
        <v>LOAN</v>
      </c>
      <c r="B16" s="122">
        <f>IFERROR(__xludf.DUMMYFUNCTION("""COMPUTED_VALUE"""),12721.0)</f>
        <v>12721</v>
      </c>
      <c r="C16" s="122">
        <f>IFERROR(__xludf.DUMMYFUNCTION("""COMPUTED_VALUE"""),1590.0)</f>
        <v>1590</v>
      </c>
      <c r="D16" s="122">
        <f>IFERROR(__xludf.DUMMYFUNCTION("""COMPUTED_VALUE"""),13100.0)</f>
        <v>13100</v>
      </c>
      <c r="E16" s="122">
        <f>IFERROR(__xludf.DUMMYFUNCTION("""COMPUTED_VALUE"""),10180.0)</f>
        <v>10180</v>
      </c>
      <c r="F16" s="122">
        <f>IFERROR(__xludf.DUMMYFUNCTION("""COMPUTED_VALUE"""),0.0783)</f>
        <v>0.0783</v>
      </c>
      <c r="G16" s="122" t="str">
        <f>IFERROR(__xludf.DUMMYFUNCTION("""COMPUTED_VALUE"""),"Medium")</f>
        <v>Medium</v>
      </c>
      <c r="H16" s="122" t="str">
        <f>IFERROR(__xludf.DUMMYFUNCTION("""COMPUTED_VALUE"""),"LoanLab updated based on Hot trend.")</f>
        <v>LoanLab updated based on Hot trend.</v>
      </c>
    </row>
    <row r="17">
      <c r="A17" s="122" t="str">
        <f>IFERROR(__xludf.DUMMYFUNCTION("""COMPUTED_VALUE"""),"LUXE")</f>
        <v>LUXE</v>
      </c>
      <c r="B17" s="122">
        <f>IFERROR(__xludf.DUMMYFUNCTION("""COMPUTED_VALUE"""),7665.0)</f>
        <v>7665</v>
      </c>
      <c r="C17" s="122">
        <f>IFERROR(__xludf.DUMMYFUNCTION("""COMPUTED_VALUE"""),6004.0)</f>
        <v>6004</v>
      </c>
      <c r="D17" s="122">
        <f>IFERROR(__xludf.DUMMYFUNCTION("""COMPUTED_VALUE"""),1477.0)</f>
        <v>1477</v>
      </c>
      <c r="E17" s="122">
        <f>IFERROR(__xludf.DUMMYFUNCTION("""COMPUTED_VALUE"""),15102.0)</f>
        <v>15102</v>
      </c>
      <c r="F17" s="122">
        <f>IFERROR(__xludf.DUMMYFUNCTION("""COMPUTED_VALUE"""),0.1781)</f>
        <v>0.1781</v>
      </c>
      <c r="G17" s="122" t="str">
        <f>IFERROR(__xludf.DUMMYFUNCTION("""COMPUTED_VALUE"""),"Low")</f>
        <v>Low</v>
      </c>
      <c r="H17" s="122" t="str">
        <f>IFERROR(__xludf.DUMMYFUNCTION("""COMPUTED_VALUE"""),"Luxury Locker updated based on Stable trend.")</f>
        <v>Luxury Locker updated based on Stable trend.</v>
      </c>
    </row>
    <row r="18">
      <c r="A18" s="122" t="str">
        <f>IFERROR(__xludf.DUMMYFUNCTION("""COMPUTED_VALUE"""),"DRIP")</f>
        <v>DRIP</v>
      </c>
      <c r="B18" s="122">
        <f>IFERROR(__xludf.DUMMYFUNCTION("""COMPUTED_VALUE"""),32531.0)</f>
        <v>32531</v>
      </c>
      <c r="C18" s="122">
        <f>IFERROR(__xludf.DUMMYFUNCTION("""COMPUTED_VALUE"""),4670.0)</f>
        <v>4670</v>
      </c>
      <c r="D18" s="122">
        <f>IFERROR(__xludf.DUMMYFUNCTION("""COMPUTED_VALUE"""),14561.0)</f>
        <v>14561</v>
      </c>
      <c r="E18" s="122">
        <f>IFERROR(__xludf.DUMMYFUNCTION("""COMPUTED_VALUE"""),7487.0)</f>
        <v>7487</v>
      </c>
      <c r="F18" s="122">
        <f>IFERROR(__xludf.DUMMYFUNCTION("""COMPUTED_VALUE"""),0.2309)</f>
        <v>0.2309</v>
      </c>
      <c r="G18" s="122" t="str">
        <f>IFERROR(__xludf.DUMMYFUNCTION("""COMPUTED_VALUE"""),"Medium")</f>
        <v>Medium</v>
      </c>
      <c r="H18" s="122" t="str">
        <f>IFERROR(__xludf.DUMMYFUNCTION("""COMPUTED_VALUE"""),"Drip Streetwear updated based on Decline trend.")</f>
        <v>Drip Streetwear updated based on Decline trend.</v>
      </c>
    </row>
    <row r="19">
      <c r="A19" s="122" t="str">
        <f>IFERROR(__xludf.DUMMYFUNCTION("""COMPUTED_VALUE"""),"KICK")</f>
        <v>KICK</v>
      </c>
      <c r="B19" s="122">
        <f>IFERROR(__xludf.DUMMYFUNCTION("""COMPUTED_VALUE"""),60553.0)</f>
        <v>60553</v>
      </c>
      <c r="C19" s="122">
        <f>IFERROR(__xludf.DUMMYFUNCTION("""COMPUTED_VALUE"""),7072.0)</f>
        <v>7072</v>
      </c>
      <c r="D19" s="122">
        <f>IFERROR(__xludf.DUMMYFUNCTION("""COMPUTED_VALUE"""),3624.0)</f>
        <v>3624</v>
      </c>
      <c r="E19" s="122">
        <f>IFERROR(__xludf.DUMMYFUNCTION("""COMPUTED_VALUE"""),1523.0)</f>
        <v>1523</v>
      </c>
      <c r="F19" s="122">
        <f>IFERROR(__xludf.DUMMYFUNCTION("""COMPUTED_VALUE"""),0.0862)</f>
        <v>0.0862</v>
      </c>
      <c r="G19" s="122" t="str">
        <f>IFERROR(__xludf.DUMMYFUNCTION("""COMPUTED_VALUE"""),"Medium-High")</f>
        <v>Medium-High</v>
      </c>
      <c r="H19" s="122" t="str">
        <f>IFERROR(__xludf.DUMMYFUNCTION("""COMPUTED_VALUE"""),"KickDrop Sneakers updated based on Volatile trend.")</f>
        <v>KickDrop Sneakers updated based on Volatile trend.</v>
      </c>
    </row>
    <row r="20">
      <c r="A20" s="122" t="str">
        <f>IFERROR(__xludf.DUMMYFUNCTION("""COMPUTED_VALUE"""),"GLAM")</f>
        <v>GLAM</v>
      </c>
      <c r="B20" s="122">
        <f>IFERROR(__xludf.DUMMYFUNCTION("""COMPUTED_VALUE"""),15386.0)</f>
        <v>15386</v>
      </c>
      <c r="C20" s="122">
        <f>IFERROR(__xludf.DUMMYFUNCTION("""COMPUTED_VALUE"""),373.0)</f>
        <v>373</v>
      </c>
      <c r="D20" s="122">
        <f>IFERROR(__xludf.DUMMYFUNCTION("""COMPUTED_VALUE"""),4619.0)</f>
        <v>4619</v>
      </c>
      <c r="E20" s="122">
        <f>IFERROR(__xludf.DUMMYFUNCTION("""COMPUTED_VALUE"""),10398.0)</f>
        <v>10398</v>
      </c>
      <c r="F20" s="122">
        <f>IFERROR(__xludf.DUMMYFUNCTION("""COMPUTED_VALUE"""),0.3004)</f>
        <v>0.3004</v>
      </c>
      <c r="G20" s="122" t="str">
        <f>IFERROR(__xludf.DUMMYFUNCTION("""COMPUTED_VALUE"""),"Medium")</f>
        <v>Medium</v>
      </c>
      <c r="H20" s="122" t="str">
        <f>IFERROR(__xludf.DUMMYFUNCTION("""COMPUTED_VALUE"""),"Glow Cosmetics updated based on Growth trend.")</f>
        <v>Glow Cosmetics updated based on Growth trend.</v>
      </c>
    </row>
    <row r="21">
      <c r="A21" s="122" t="str">
        <f>IFERROR(__xludf.DUMMYFUNCTION("""COMPUTED_VALUE"""),"BAGG")</f>
        <v>BAGG</v>
      </c>
      <c r="B21" s="122">
        <f>IFERROR(__xludf.DUMMYFUNCTION("""COMPUTED_VALUE"""),13734.0)</f>
        <v>13734</v>
      </c>
      <c r="C21" s="122">
        <f>IFERROR(__xludf.DUMMYFUNCTION("""COMPUTED_VALUE"""),2358.0)</f>
        <v>2358</v>
      </c>
      <c r="D21" s="122">
        <f>IFERROR(__xludf.DUMMYFUNCTION("""COMPUTED_VALUE"""),10817.0)</f>
        <v>10817</v>
      </c>
      <c r="E21" s="122">
        <f>IFERROR(__xludf.DUMMYFUNCTION("""COMPUTED_VALUE"""),16543.0)</f>
        <v>16543</v>
      </c>
      <c r="F21" s="122">
        <f>IFERROR(__xludf.DUMMYFUNCTION("""COMPUTED_VALUE"""),0.2453)</f>
        <v>0.2453</v>
      </c>
      <c r="G21" s="122" t="str">
        <f>IFERROR(__xludf.DUMMYFUNCTION("""COMPUTED_VALUE"""),"Medium")</f>
        <v>Medium</v>
      </c>
      <c r="H21" s="122" t="str">
        <f>IFERROR(__xludf.DUMMYFUNCTION("""COMPUTED_VALUE"""),"BagVault updated based on Growth trend.")</f>
        <v>BagVault updated based on Growth trend.</v>
      </c>
    </row>
    <row r="22">
      <c r="A22" s="122" t="str">
        <f>IFERROR(__xludf.DUMMYFUNCTION("""COMPUTED_VALUE"""),"FAST")</f>
        <v>FAST</v>
      </c>
      <c r="B22" s="122">
        <f>IFERROR(__xludf.DUMMYFUNCTION("""COMPUTED_VALUE"""),51724.0)</f>
        <v>51724</v>
      </c>
      <c r="C22" s="122">
        <f>IFERROR(__xludf.DUMMYFUNCTION("""COMPUTED_VALUE"""),2269.0)</f>
        <v>2269</v>
      </c>
      <c r="D22" s="122">
        <f>IFERROR(__xludf.DUMMYFUNCTION("""COMPUTED_VALUE"""),16239.0)</f>
        <v>16239</v>
      </c>
      <c r="E22" s="122">
        <f>IFERROR(__xludf.DUMMYFUNCTION("""COMPUTED_VALUE"""),12843.0)</f>
        <v>12843</v>
      </c>
      <c r="F22" s="122">
        <f>IFERROR(__xludf.DUMMYFUNCTION("""COMPUTED_VALUE"""),-0.099)</f>
        <v>-0.099</v>
      </c>
      <c r="G22" s="122" t="str">
        <f>IFERROR(__xludf.DUMMYFUNCTION("""COMPUTED_VALUE"""),"Medium")</f>
        <v>Medium</v>
      </c>
      <c r="H22" s="122" t="str">
        <f>IFERROR(__xludf.DUMMYFUNCTION("""COMPUTED_VALUE"""),"Flash Logistics updated based on Growth trend.")</f>
        <v>Flash Logistics updated based on Growth trend.</v>
      </c>
    </row>
    <row r="23">
      <c r="A23" s="122" t="str">
        <f>IFERROR(__xludf.DUMMYFUNCTION("""COMPUTED_VALUE"""),"SHIP")</f>
        <v>SHIP</v>
      </c>
      <c r="B23" s="122">
        <f>IFERROR(__xludf.DUMMYFUNCTION("""COMPUTED_VALUE"""),26188.0)</f>
        <v>26188</v>
      </c>
      <c r="C23" s="122">
        <f>IFERROR(__xludf.DUMMYFUNCTION("""COMPUTED_VALUE"""),1009.0)</f>
        <v>1009</v>
      </c>
      <c r="D23" s="122">
        <f>IFERROR(__xludf.DUMMYFUNCTION("""COMPUTED_VALUE"""),5627.0)</f>
        <v>5627</v>
      </c>
      <c r="E23" s="122">
        <f>IFERROR(__xludf.DUMMYFUNCTION("""COMPUTED_VALUE"""),9065.0)</f>
        <v>9065</v>
      </c>
      <c r="F23" s="122">
        <f>IFERROR(__xludf.DUMMYFUNCTION("""COMPUTED_VALUE"""),0.1066)</f>
        <v>0.1066</v>
      </c>
      <c r="G23" s="122" t="str">
        <f>IFERROR(__xludf.DUMMYFUNCTION("""COMPUTED_VALUE"""),"Medium")</f>
        <v>Medium</v>
      </c>
      <c r="H23" s="122" t="str">
        <f>IFERROR(__xludf.DUMMYFUNCTION("""COMPUTED_VALUE"""),"Seoul Shipping updated based on Stable trend.")</f>
        <v>Seoul Shipping updated based on Stable trend.</v>
      </c>
    </row>
    <row r="24">
      <c r="A24" s="122" t="str">
        <f>IFERROR(__xludf.DUMMYFUNCTION("""COMPUTED_VALUE"""),"DRON")</f>
        <v>DRON</v>
      </c>
      <c r="B24" s="122">
        <f>IFERROR(__xludf.DUMMYFUNCTION("""COMPUTED_VALUE"""),12296.0)</f>
        <v>12296</v>
      </c>
      <c r="C24" s="122">
        <f>IFERROR(__xludf.DUMMYFUNCTION("""COMPUTED_VALUE"""),4170.0)</f>
        <v>4170</v>
      </c>
      <c r="D24" s="122">
        <f>IFERROR(__xludf.DUMMYFUNCTION("""COMPUTED_VALUE"""),10594.0)</f>
        <v>10594</v>
      </c>
      <c r="E24" s="122">
        <f>IFERROR(__xludf.DUMMYFUNCTION("""COMPUTED_VALUE"""),11112.0)</f>
        <v>11112</v>
      </c>
      <c r="F24" s="122">
        <f>IFERROR(__xludf.DUMMYFUNCTION("""COMPUTED_VALUE"""),0.178)</f>
        <v>0.178</v>
      </c>
      <c r="G24" s="122" t="str">
        <f>IFERROR(__xludf.DUMMYFUNCTION("""COMPUTED_VALUE"""),"Medium")</f>
        <v>Medium</v>
      </c>
      <c r="H24" s="122" t="str">
        <f>IFERROR(__xludf.DUMMYFUNCTION("""COMPUTED_VALUE"""),"DroneDrop updated based on Stable trend.")</f>
        <v>DroneDrop updated based on Stable trend.</v>
      </c>
    </row>
    <row r="25">
      <c r="A25" s="122" t="str">
        <f>IFERROR(__xludf.DUMMYFUNCTION("""COMPUTED_VALUE"""),"RIDE")</f>
        <v>RIDE</v>
      </c>
      <c r="B25" s="122">
        <f>IFERROR(__xludf.DUMMYFUNCTION("""COMPUTED_VALUE"""),34226.0)</f>
        <v>34226</v>
      </c>
      <c r="C25" s="122">
        <f>IFERROR(__xludf.DUMMYFUNCTION("""COMPUTED_VALUE"""),882.0)</f>
        <v>882</v>
      </c>
      <c r="D25" s="122">
        <f>IFERROR(__xludf.DUMMYFUNCTION("""COMPUTED_VALUE"""),33151.0)</f>
        <v>33151</v>
      </c>
      <c r="E25" s="122">
        <f>IFERROR(__xludf.DUMMYFUNCTION("""COMPUTED_VALUE"""),10262.0)</f>
        <v>10262</v>
      </c>
      <c r="F25" s="122">
        <f>IFERROR(__xludf.DUMMYFUNCTION("""COMPUTED_VALUE"""),0.0954)</f>
        <v>0.0954</v>
      </c>
      <c r="G25" s="122" t="str">
        <f>IFERROR(__xludf.DUMMYFUNCTION("""COMPUTED_VALUE"""),"Medium-High")</f>
        <v>Medium-High</v>
      </c>
      <c r="H25" s="122" t="str">
        <f>IFERROR(__xludf.DUMMYFUNCTION("""COMPUTED_VALUE"""),"QuickRide updated based on Stable trend.")</f>
        <v>QuickRide updated based on Stable trend.</v>
      </c>
    </row>
    <row r="26">
      <c r="A26" s="122" t="str">
        <f>IFERROR(__xludf.DUMMYFUNCTION("""COMPUTED_VALUE"""),"RAIL")</f>
        <v>RAIL</v>
      </c>
      <c r="B26" s="122">
        <f>IFERROR(__xludf.DUMMYFUNCTION("""COMPUTED_VALUE"""),27583.0)</f>
        <v>27583</v>
      </c>
      <c r="C26" s="122">
        <f>IFERROR(__xludf.DUMMYFUNCTION("""COMPUTED_VALUE"""),3922.0)</f>
        <v>3922</v>
      </c>
      <c r="D26" s="122">
        <f>IFERROR(__xludf.DUMMYFUNCTION("""COMPUTED_VALUE"""),23476.0)</f>
        <v>23476</v>
      </c>
      <c r="E26" s="122">
        <f>IFERROR(__xludf.DUMMYFUNCTION("""COMPUTED_VALUE"""),1013.0)</f>
        <v>1013</v>
      </c>
      <c r="F26" s="122">
        <f>IFERROR(__xludf.DUMMYFUNCTION("""COMPUTED_VALUE"""),0.1381)</f>
        <v>0.1381</v>
      </c>
      <c r="G26" s="122" t="str">
        <f>IFERROR(__xludf.DUMMYFUNCTION("""COMPUTED_VALUE"""),"Medium-High")</f>
        <v>Medium-High</v>
      </c>
      <c r="H26" s="122" t="str">
        <f>IFERROR(__xludf.DUMMYFUNCTION("""COMPUTED_VALUE"""),"MetroRail Corp updated based on Decline trend.")</f>
        <v>MetroRail Corp updated based on Decline trend.</v>
      </c>
    </row>
    <row r="27">
      <c r="A27" s="122" t="str">
        <f>IFERROR(__xludf.DUMMYFUNCTION("""COMPUTED_VALUE"""),"MEDX")</f>
        <v>MEDX</v>
      </c>
      <c r="B27" s="122">
        <f>IFERROR(__xludf.DUMMYFUNCTION("""COMPUTED_VALUE"""),38186.0)</f>
        <v>38186</v>
      </c>
      <c r="C27" s="122">
        <f>IFERROR(__xludf.DUMMYFUNCTION("""COMPUTED_VALUE"""),9022.0)</f>
        <v>9022</v>
      </c>
      <c r="D27" s="122">
        <f>IFERROR(__xludf.DUMMYFUNCTION("""COMPUTED_VALUE"""),21570.0)</f>
        <v>21570</v>
      </c>
      <c r="E27" s="122">
        <f>IFERROR(__xludf.DUMMYFUNCTION("""COMPUTED_VALUE"""),5239.0)</f>
        <v>5239</v>
      </c>
      <c r="F27" s="122">
        <f>IFERROR(__xludf.DUMMYFUNCTION("""COMPUTED_VALUE"""),-0.0851)</f>
        <v>-0.0851</v>
      </c>
      <c r="G27" s="122" t="str">
        <f>IFERROR(__xludf.DUMMYFUNCTION("""COMPUTED_VALUE"""),"Medium-High")</f>
        <v>Medium-High</v>
      </c>
      <c r="H27" s="122" t="str">
        <f>IFERROR(__xludf.DUMMYFUNCTION("""COMPUTED_VALUE"""),"MediCore updated based on Stable trend.")</f>
        <v>MediCore updated based on Stable trend.</v>
      </c>
    </row>
    <row r="28">
      <c r="A28" s="122" t="str">
        <f>IFERROR(__xludf.DUMMYFUNCTION("""COMPUTED_VALUE"""),"GYMX")</f>
        <v>GYMX</v>
      </c>
      <c r="B28" s="122">
        <f>IFERROR(__xludf.DUMMYFUNCTION("""COMPUTED_VALUE"""),38225.0)</f>
        <v>38225</v>
      </c>
      <c r="C28" s="122">
        <f>IFERROR(__xludf.DUMMYFUNCTION("""COMPUTED_VALUE"""),4676.0)</f>
        <v>4676</v>
      </c>
      <c r="D28" s="122">
        <f>IFERROR(__xludf.DUMMYFUNCTION("""COMPUTED_VALUE"""),19303.0)</f>
        <v>19303</v>
      </c>
      <c r="E28" s="122">
        <f>IFERROR(__xludf.DUMMYFUNCTION("""COMPUTED_VALUE"""),1977.0)</f>
        <v>1977</v>
      </c>
      <c r="F28" s="122">
        <f>IFERROR(__xludf.DUMMYFUNCTION("""COMPUTED_VALUE"""),-0.0013)</f>
        <v>-0.0013</v>
      </c>
      <c r="G28" s="122" t="str">
        <f>IFERROR(__xludf.DUMMYFUNCTION("""COMPUTED_VALUE"""),"Medium-High")</f>
        <v>Medium-High</v>
      </c>
      <c r="H28" s="122" t="str">
        <f>IFERROR(__xludf.DUMMYFUNCTION("""COMPUTED_VALUE"""),"GymX Fitness updated based on Stable trend.")</f>
        <v>GymX Fitness updated based on Stable trend.</v>
      </c>
    </row>
    <row r="29">
      <c r="A29" s="122" t="str">
        <f>IFERROR(__xludf.DUMMYFUNCTION("""COMPUTED_VALUE"""),"VITA")</f>
        <v>VITA</v>
      </c>
      <c r="B29" s="122">
        <f>IFERROR(__xludf.DUMMYFUNCTION("""COMPUTED_VALUE"""),17821.0)</f>
        <v>17821</v>
      </c>
      <c r="C29" s="122">
        <f>IFERROR(__xludf.DUMMYFUNCTION("""COMPUTED_VALUE"""),252.0)</f>
        <v>252</v>
      </c>
      <c r="D29" s="122">
        <f>IFERROR(__xludf.DUMMYFUNCTION("""COMPUTED_VALUE"""),26105.0)</f>
        <v>26105</v>
      </c>
      <c r="E29" s="122">
        <f>IFERROR(__xludf.DUMMYFUNCTION("""COMPUTED_VALUE"""),11468.0)</f>
        <v>11468</v>
      </c>
      <c r="F29" s="122">
        <f>IFERROR(__xludf.DUMMYFUNCTION("""COMPUTED_VALUE"""),-0.0506)</f>
        <v>-0.0506</v>
      </c>
      <c r="G29" s="122" t="str">
        <f>IFERROR(__xludf.DUMMYFUNCTION("""COMPUTED_VALUE"""),"Medium-High")</f>
        <v>Medium-High</v>
      </c>
      <c r="H29" s="122" t="str">
        <f>IFERROR(__xludf.DUMMYFUNCTION("""COMPUTED_VALUE"""),"VitaPlus updated based on Stable trend.")</f>
        <v>VitaPlus updated based on Stable trend.</v>
      </c>
    </row>
    <row r="30">
      <c r="A30" s="122" t="str">
        <f>IFERROR(__xludf.DUMMYFUNCTION("""COMPUTED_VALUE"""),"CARE")</f>
        <v>CARE</v>
      </c>
      <c r="B30" s="122">
        <f>IFERROR(__xludf.DUMMYFUNCTION("""COMPUTED_VALUE"""),30800.0)</f>
        <v>30800</v>
      </c>
      <c r="C30" s="122">
        <f>IFERROR(__xludf.DUMMYFUNCTION("""COMPUTED_VALUE"""),779.0)</f>
        <v>779</v>
      </c>
      <c r="D30" s="122">
        <f>IFERROR(__xludf.DUMMYFUNCTION("""COMPUTED_VALUE"""),27886.0)</f>
        <v>27886</v>
      </c>
      <c r="E30" s="122">
        <f>IFERROR(__xludf.DUMMYFUNCTION("""COMPUTED_VALUE"""),9645.0)</f>
        <v>9645</v>
      </c>
      <c r="F30" s="122">
        <f>IFERROR(__xludf.DUMMYFUNCTION("""COMPUTED_VALUE"""),0.3161)</f>
        <v>0.3161</v>
      </c>
      <c r="G30" s="122" t="str">
        <f>IFERROR(__xludf.DUMMYFUNCTION("""COMPUTED_VALUE"""),"Medium-High")</f>
        <v>Medium-High</v>
      </c>
      <c r="H30" s="122" t="str">
        <f>IFERROR(__xludf.DUMMYFUNCTION("""COMPUTED_VALUE"""),"CareCloud updated based on Volatile trend.")</f>
        <v>CareCloud updated based on Volatile trend.</v>
      </c>
    </row>
    <row r="31">
      <c r="A31" s="122" t="str">
        <f>IFERROR(__xludf.DUMMYFUNCTION("""COMPUTED_VALUE"""),"DENT")</f>
        <v>DENT</v>
      </c>
      <c r="B31" s="122">
        <f>IFERROR(__xludf.DUMMYFUNCTION("""COMPUTED_VALUE"""),51120.0)</f>
        <v>51120</v>
      </c>
      <c r="C31" s="122">
        <f>IFERROR(__xludf.DUMMYFUNCTION("""COMPUTED_VALUE"""),916.0)</f>
        <v>916</v>
      </c>
      <c r="D31" s="122">
        <f>IFERROR(__xludf.DUMMYFUNCTION("""COMPUTED_VALUE"""),27344.0)</f>
        <v>27344</v>
      </c>
      <c r="E31" s="122">
        <f>IFERROR(__xludf.DUMMYFUNCTION("""COMPUTED_VALUE"""),4656.0)</f>
        <v>4656</v>
      </c>
      <c r="F31" s="122">
        <f>IFERROR(__xludf.DUMMYFUNCTION("""COMPUTED_VALUE"""),0.3087)</f>
        <v>0.3087</v>
      </c>
      <c r="G31" s="122" t="str">
        <f>IFERROR(__xludf.DUMMYFUNCTION("""COMPUTED_VALUE"""),"Medium-High")</f>
        <v>Medium-High</v>
      </c>
      <c r="H31" s="122" t="str">
        <f>IFERROR(__xludf.DUMMYFUNCTION("""COMPUTED_VALUE"""),"SmileWorks updated based on Hot trend.")</f>
        <v>SmileWorks updated based on Hot trend.</v>
      </c>
    </row>
    <row r="32">
      <c r="A32" s="122" t="str">
        <f>IFERROR(__xludf.DUMMYFUNCTION("""COMPUTED_VALUE"""),"EDUX")</f>
        <v>EDUX</v>
      </c>
      <c r="B32" s="122">
        <f>IFERROR(__xludf.DUMMYFUNCTION("""COMPUTED_VALUE"""),17600.0)</f>
        <v>17600</v>
      </c>
      <c r="C32" s="122">
        <f>IFERROR(__xludf.DUMMYFUNCTION("""COMPUTED_VALUE"""),5222.0)</f>
        <v>5222</v>
      </c>
      <c r="D32" s="122">
        <f>IFERROR(__xludf.DUMMYFUNCTION("""COMPUTED_VALUE"""),8842.0)</f>
        <v>8842</v>
      </c>
      <c r="E32" s="122">
        <f>IFERROR(__xludf.DUMMYFUNCTION("""COMPUTED_VALUE"""),8793.0)</f>
        <v>8793</v>
      </c>
      <c r="F32" s="122">
        <f>IFERROR(__xludf.DUMMYFUNCTION("""COMPUTED_VALUE"""),0.2395)</f>
        <v>0.2395</v>
      </c>
      <c r="G32" s="122" t="str">
        <f>IFERROR(__xludf.DUMMYFUNCTION("""COMPUTED_VALUE"""),"Medium")</f>
        <v>Medium</v>
      </c>
      <c r="H32" s="122" t="str">
        <f>IFERROR(__xludf.DUMMYFUNCTION("""COMPUTED_VALUE"""),"EduMax Learning updated based on Growth trend.")</f>
        <v>EduMax Learning updated based on Growth trend.</v>
      </c>
    </row>
    <row r="33">
      <c r="A33" s="122" t="str">
        <f>IFERROR(__xludf.DUMMYFUNCTION("""COMPUTED_VALUE"""),"BOOK")</f>
        <v>BOOK</v>
      </c>
      <c r="B33" s="122">
        <f>IFERROR(__xludf.DUMMYFUNCTION("""COMPUTED_VALUE"""),27275.0)</f>
        <v>27275</v>
      </c>
      <c r="C33" s="122">
        <f>IFERROR(__xludf.DUMMYFUNCTION("""COMPUTED_VALUE"""),7896.0)</f>
        <v>7896</v>
      </c>
      <c r="D33" s="122">
        <f>IFERROR(__xludf.DUMMYFUNCTION("""COMPUTED_VALUE"""),13384.0)</f>
        <v>13384</v>
      </c>
      <c r="E33" s="122">
        <f>IFERROR(__xludf.DUMMYFUNCTION("""COMPUTED_VALUE"""),10520.0)</f>
        <v>10520</v>
      </c>
      <c r="F33" s="122">
        <f>IFERROR(__xludf.DUMMYFUNCTION("""COMPUTED_VALUE"""),0.2311)</f>
        <v>0.2311</v>
      </c>
      <c r="G33" s="122" t="str">
        <f>IFERROR(__xludf.DUMMYFUNCTION("""COMPUTED_VALUE"""),"Medium")</f>
        <v>Medium</v>
      </c>
      <c r="H33" s="122" t="str">
        <f>IFERROR(__xludf.DUMMYFUNCTION("""COMPUTED_VALUE"""),"BookBridge updated based on Growth trend.")</f>
        <v>BookBridge updated based on Growth trend.</v>
      </c>
    </row>
    <row r="34">
      <c r="A34" s="122" t="str">
        <f>IFERROR(__xludf.DUMMYFUNCTION("""COMPUTED_VALUE"""),"TUTR")</f>
        <v>TUTR</v>
      </c>
      <c r="B34" s="122">
        <f>IFERROR(__xludf.DUMMYFUNCTION("""COMPUTED_VALUE"""),33320.0)</f>
        <v>33320</v>
      </c>
      <c r="C34" s="122">
        <f>IFERROR(__xludf.DUMMYFUNCTION("""COMPUTED_VALUE"""),5630.0)</f>
        <v>5630</v>
      </c>
      <c r="D34" s="122">
        <f>IFERROR(__xludf.DUMMYFUNCTION("""COMPUTED_VALUE"""),1152.0)</f>
        <v>1152</v>
      </c>
      <c r="E34" s="122">
        <f>IFERROR(__xludf.DUMMYFUNCTION("""COMPUTED_VALUE"""),6754.0)</f>
        <v>6754</v>
      </c>
      <c r="F34" s="122">
        <f>IFERROR(__xludf.DUMMYFUNCTION("""COMPUTED_VALUE"""),-0.0831)</f>
        <v>-0.0831</v>
      </c>
      <c r="G34" s="122" t="str">
        <f>IFERROR(__xludf.DUMMYFUNCTION("""COMPUTED_VALUE"""),"Low")</f>
        <v>Low</v>
      </c>
      <c r="H34" s="122" t="str">
        <f>IFERROR(__xludf.DUMMYFUNCTION("""COMPUTED_VALUE"""),"TutorTown updated based on Stable trend.")</f>
        <v>TutorTown updated based on Stable trend.</v>
      </c>
    </row>
    <row r="35">
      <c r="A35" s="122" t="str">
        <f>IFERROR(__xludf.DUMMYFUNCTION("""COMPUTED_VALUE"""),"LANG")</f>
        <v>LANG</v>
      </c>
      <c r="B35" s="122">
        <f>IFERROR(__xludf.DUMMYFUNCTION("""COMPUTED_VALUE"""),32331.0)</f>
        <v>32331</v>
      </c>
      <c r="C35" s="122">
        <f>IFERROR(__xludf.DUMMYFUNCTION("""COMPUTED_VALUE"""),642.0)</f>
        <v>642</v>
      </c>
      <c r="D35" s="122">
        <f>IFERROR(__xludf.DUMMYFUNCTION("""COMPUTED_VALUE"""),13844.0)</f>
        <v>13844</v>
      </c>
      <c r="E35" s="122">
        <f>IFERROR(__xludf.DUMMYFUNCTION("""COMPUTED_VALUE"""),6153.0)</f>
        <v>6153</v>
      </c>
      <c r="F35" s="122">
        <f>IFERROR(__xludf.DUMMYFUNCTION("""COMPUTED_VALUE"""),0.1626)</f>
        <v>0.1626</v>
      </c>
      <c r="G35" s="122" t="str">
        <f>IFERROR(__xludf.DUMMYFUNCTION("""COMPUTED_VALUE"""),"Medium-High")</f>
        <v>Medium-High</v>
      </c>
      <c r="H35" s="122" t="str">
        <f>IFERROR(__xludf.DUMMYFUNCTION("""COMPUTED_VALUE"""),"LinguaLab updated based on Growth trend.")</f>
        <v>LinguaLab updated based on Growth trend.</v>
      </c>
    </row>
    <row r="36">
      <c r="A36" s="122" t="str">
        <f>IFERROR(__xludf.DUMMYFUNCTION("""COMPUTED_VALUE"""),"TEST")</f>
        <v>TEST</v>
      </c>
      <c r="B36" s="122">
        <f>IFERROR(__xludf.DUMMYFUNCTION("""COMPUTED_VALUE"""),45913.0)</f>
        <v>45913</v>
      </c>
      <c r="C36" s="122">
        <f>IFERROR(__xludf.DUMMYFUNCTION("""COMPUTED_VALUE"""),1133.0)</f>
        <v>1133</v>
      </c>
      <c r="D36" s="122">
        <f>IFERROR(__xludf.DUMMYFUNCTION("""COMPUTED_VALUE"""),13732.0)</f>
        <v>13732</v>
      </c>
      <c r="E36" s="122">
        <f>IFERROR(__xludf.DUMMYFUNCTION("""COMPUTED_VALUE"""),7510.0)</f>
        <v>7510</v>
      </c>
      <c r="F36" s="122">
        <f>IFERROR(__xludf.DUMMYFUNCTION("""COMPUTED_VALUE"""),-0.0298)</f>
        <v>-0.0298</v>
      </c>
      <c r="G36" s="122" t="str">
        <f>IFERROR(__xludf.DUMMYFUNCTION("""COMPUTED_VALUE"""),"Medium")</f>
        <v>Medium</v>
      </c>
      <c r="H36" s="122" t="str">
        <f>IFERROR(__xludf.DUMMYFUNCTION("""COMPUTED_VALUE"""),"TestPrep Pro updated based on Decline trend.")</f>
        <v>TestPrep Pro updated based on Decline trend.</v>
      </c>
    </row>
    <row r="37">
      <c r="A37" s="122" t="str">
        <f>IFERROR(__xludf.DUMMYFUNCTION("""COMPUTED_VALUE"""),"MOVI")</f>
        <v>MOVI</v>
      </c>
      <c r="B37" s="122">
        <f>IFERROR(__xludf.DUMMYFUNCTION("""COMPUTED_VALUE"""),16314.0)</f>
        <v>16314</v>
      </c>
      <c r="C37" s="122">
        <f>IFERROR(__xludf.DUMMYFUNCTION("""COMPUTED_VALUE"""),4375.0)</f>
        <v>4375</v>
      </c>
      <c r="D37" s="122">
        <f>IFERROR(__xludf.DUMMYFUNCTION("""COMPUTED_VALUE"""),25194.0)</f>
        <v>25194</v>
      </c>
      <c r="E37" s="122">
        <f>IFERROR(__xludf.DUMMYFUNCTION("""COMPUTED_VALUE"""),1663.0)</f>
        <v>1663</v>
      </c>
      <c r="F37" s="122">
        <f>IFERROR(__xludf.DUMMYFUNCTION("""COMPUTED_VALUE"""),0.0242)</f>
        <v>0.0242</v>
      </c>
      <c r="G37" s="122" t="str">
        <f>IFERROR(__xludf.DUMMYFUNCTION("""COMPUTED_VALUE"""),"Medium-High")</f>
        <v>Medium-High</v>
      </c>
      <c r="H37" s="122" t="str">
        <f>IFERROR(__xludf.DUMMYFUNCTION("""COMPUTED_VALUE"""),"MovieBox updated based on Stable trend.")</f>
        <v>MovieBox updated based on Stable trend.</v>
      </c>
    </row>
    <row r="38">
      <c r="A38" s="122" t="str">
        <f>IFERROR(__xludf.DUMMYFUNCTION("""COMPUTED_VALUE"""),"MUSC")</f>
        <v>MUSC</v>
      </c>
      <c r="B38" s="122">
        <f>IFERROR(__xludf.DUMMYFUNCTION("""COMPUTED_VALUE"""),17731.0)</f>
        <v>17731</v>
      </c>
      <c r="C38" s="122">
        <f>IFERROR(__xludf.DUMMYFUNCTION("""COMPUTED_VALUE"""),5505.0)</f>
        <v>5505</v>
      </c>
      <c r="D38" s="122">
        <f>IFERROR(__xludf.DUMMYFUNCTION("""COMPUTED_VALUE"""),19002.0)</f>
        <v>19002</v>
      </c>
      <c r="E38" s="122">
        <f>IFERROR(__xludf.DUMMYFUNCTION("""COMPUTED_VALUE"""),1226.0)</f>
        <v>1226</v>
      </c>
      <c r="F38" s="122">
        <f>IFERROR(__xludf.DUMMYFUNCTION("""COMPUTED_VALUE"""),-0.0058)</f>
        <v>-0.0058</v>
      </c>
      <c r="G38" s="122" t="str">
        <f>IFERROR(__xludf.DUMMYFUNCTION("""COMPUTED_VALUE"""),"Medium-High")</f>
        <v>Medium-High</v>
      </c>
      <c r="H38" s="122" t="str">
        <f>IFERROR(__xludf.DUMMYFUNCTION("""COMPUTED_VALUE"""),"MusicWave updated based on Growth trend.")</f>
        <v>MusicWave updated based on Growth trend.</v>
      </c>
    </row>
    <row r="39">
      <c r="A39" s="122" t="str">
        <f>IFERROR(__xludf.DUMMYFUNCTION("""COMPUTED_VALUE"""),"IDOL")</f>
        <v>IDOL</v>
      </c>
      <c r="B39" s="122">
        <f>IFERROR(__xludf.DUMMYFUNCTION("""COMPUTED_VALUE"""),19773.0)</f>
        <v>19773</v>
      </c>
      <c r="C39" s="122">
        <f>IFERROR(__xludf.DUMMYFUNCTION("""COMPUTED_VALUE"""),2162.0)</f>
        <v>2162</v>
      </c>
      <c r="D39" s="122">
        <f>IFERROR(__xludf.DUMMYFUNCTION("""COMPUTED_VALUE"""),21828.0)</f>
        <v>21828</v>
      </c>
      <c r="E39" s="122">
        <f>IFERROR(__xludf.DUMMYFUNCTION("""COMPUTED_VALUE"""),9636.0)</f>
        <v>9636</v>
      </c>
      <c r="F39" s="122">
        <f>IFERROR(__xludf.DUMMYFUNCTION("""COMPUTED_VALUE"""),0.0999)</f>
        <v>0.0999</v>
      </c>
      <c r="G39" s="122" t="str">
        <f>IFERROR(__xludf.DUMMYFUNCTION("""COMPUTED_VALUE"""),"Medium-High")</f>
        <v>Medium-High</v>
      </c>
      <c r="H39" s="122" t="str">
        <f>IFERROR(__xludf.DUMMYFUNCTION("""COMPUTED_VALUE"""),"Idol Agency updated based on Decline trend.")</f>
        <v>Idol Agency updated based on Decline trend.</v>
      </c>
    </row>
    <row r="40">
      <c r="A40" s="122" t="str">
        <f>IFERROR(__xludf.DUMMYFUNCTION("""COMPUTED_VALUE"""),"MEME")</f>
        <v>MEME</v>
      </c>
      <c r="B40" s="122">
        <f>IFERROR(__xludf.DUMMYFUNCTION("""COMPUTED_VALUE"""),30284.0)</f>
        <v>30284</v>
      </c>
      <c r="C40" s="122">
        <f>IFERROR(__xludf.DUMMYFUNCTION("""COMPUTED_VALUE"""),1256.0)</f>
        <v>1256</v>
      </c>
      <c r="D40" s="122">
        <f>IFERROR(__xludf.DUMMYFUNCTION("""COMPUTED_VALUE"""),18397.0)</f>
        <v>18397</v>
      </c>
      <c r="E40" s="122">
        <f>IFERROR(__xludf.DUMMYFUNCTION("""COMPUTED_VALUE"""),844.0)</f>
        <v>844</v>
      </c>
      <c r="F40" s="122">
        <f>IFERROR(__xludf.DUMMYFUNCTION("""COMPUTED_VALUE"""),0.153)</f>
        <v>0.153</v>
      </c>
      <c r="G40" s="122" t="str">
        <f>IFERROR(__xludf.DUMMYFUNCTION("""COMPUTED_VALUE"""),"Medium-High")</f>
        <v>Medium-High</v>
      </c>
      <c r="H40" s="122" t="str">
        <f>IFERROR(__xludf.DUMMYFUNCTION("""COMPUTED_VALUE"""),"Meme Media updated based on Stable trend.")</f>
        <v>Meme Media updated based on Stable trend.</v>
      </c>
    </row>
    <row r="41">
      <c r="A41" s="122" t="str">
        <f>IFERROR(__xludf.DUMMYFUNCTION("""COMPUTED_VALUE"""),"STRM")</f>
        <v>STRM</v>
      </c>
      <c r="B41" s="122">
        <f>IFERROR(__xludf.DUMMYFUNCTION("""COMPUTED_VALUE"""),5809.0)</f>
        <v>5809</v>
      </c>
      <c r="C41" s="122">
        <f>IFERROR(__xludf.DUMMYFUNCTION("""COMPUTED_VALUE"""),4269.0)</f>
        <v>4269</v>
      </c>
      <c r="D41" s="122">
        <f>IFERROR(__xludf.DUMMYFUNCTION("""COMPUTED_VALUE"""),10111.0)</f>
        <v>10111</v>
      </c>
      <c r="E41" s="122">
        <f>IFERROR(__xludf.DUMMYFUNCTION("""COMPUTED_VALUE"""),12274.0)</f>
        <v>12274</v>
      </c>
      <c r="F41" s="122">
        <f>IFERROR(__xludf.DUMMYFUNCTION("""COMPUTED_VALUE"""),-0.0235)</f>
        <v>-0.0235</v>
      </c>
      <c r="G41" s="122" t="str">
        <f>IFERROR(__xludf.DUMMYFUNCTION("""COMPUTED_VALUE"""),"Medium")</f>
        <v>Medium</v>
      </c>
      <c r="H41" s="122" t="str">
        <f>IFERROR(__xludf.DUMMYFUNCTION("""COMPUTED_VALUE"""),"Streamly updated based on Decline trend.")</f>
        <v>Streamly updated based on Decline trend.</v>
      </c>
    </row>
    <row r="42">
      <c r="A42" s="122" t="str">
        <f>IFERROR(__xludf.DUMMYFUNCTION("""COMPUTED_VALUE"""),"FARM")</f>
        <v>FARM</v>
      </c>
      <c r="B42" s="122">
        <f>IFERROR(__xludf.DUMMYFUNCTION("""COMPUTED_VALUE"""),19183.0)</f>
        <v>19183</v>
      </c>
      <c r="C42" s="122">
        <f>IFERROR(__xludf.DUMMYFUNCTION("""COMPUTED_VALUE"""),3989.0)</f>
        <v>3989</v>
      </c>
      <c r="D42" s="122">
        <f>IFERROR(__xludf.DUMMYFUNCTION("""COMPUTED_VALUE"""),29560.0)</f>
        <v>29560</v>
      </c>
      <c r="E42" s="122">
        <f>IFERROR(__xludf.DUMMYFUNCTION("""COMPUTED_VALUE"""),13548.0)</f>
        <v>13548</v>
      </c>
      <c r="F42" s="122">
        <f>IFERROR(__xludf.DUMMYFUNCTION("""COMPUTED_VALUE"""),0.1651)</f>
        <v>0.1651</v>
      </c>
      <c r="G42" s="122" t="str">
        <f>IFERROR(__xludf.DUMMYFUNCTION("""COMPUTED_VALUE"""),"Medium-High")</f>
        <v>Medium-High</v>
      </c>
      <c r="H42" s="122" t="str">
        <f>IFERROR(__xludf.DUMMYFUNCTION("""COMPUTED_VALUE"""),"Future Farms updated based on Hot trend.")</f>
        <v>Future Farms updated based on Hot trend.</v>
      </c>
    </row>
    <row r="43">
      <c r="A43" s="122" t="str">
        <f>IFERROR(__xludf.DUMMYFUNCTION("""COMPUTED_VALUE"""),"MEAT")</f>
        <v>MEAT</v>
      </c>
      <c r="B43" s="122">
        <f>IFERROR(__xludf.DUMMYFUNCTION("""COMPUTED_VALUE"""),5541.0)</f>
        <v>5541</v>
      </c>
      <c r="C43" s="122">
        <f>IFERROR(__xludf.DUMMYFUNCTION("""COMPUTED_VALUE"""),8089.0)</f>
        <v>8089</v>
      </c>
      <c r="D43" s="122">
        <f>IFERROR(__xludf.DUMMYFUNCTION("""COMPUTED_VALUE"""),28532.0)</f>
        <v>28532</v>
      </c>
      <c r="E43" s="122">
        <f>IFERROR(__xludf.DUMMYFUNCTION("""COMPUTED_VALUE"""),8798.0)</f>
        <v>8798</v>
      </c>
      <c r="F43" s="122">
        <f>IFERROR(__xludf.DUMMYFUNCTION("""COMPUTED_VALUE"""),0.1485)</f>
        <v>0.1485</v>
      </c>
      <c r="G43" s="122" t="str">
        <f>IFERROR(__xludf.DUMMYFUNCTION("""COMPUTED_VALUE"""),"Medium-High")</f>
        <v>Medium-High</v>
      </c>
      <c r="H43" s="122" t="str">
        <f>IFERROR(__xludf.DUMMYFUNCTION("""COMPUTED_VALUE"""),"MeatWorks updated based on Growth trend.")</f>
        <v>MeatWorks updated based on Growth trend.</v>
      </c>
    </row>
    <row r="44">
      <c r="A44" s="122" t="str">
        <f>IFERROR(__xludf.DUMMYFUNCTION("""COMPUTED_VALUE"""),"VEGI")</f>
        <v>VEGI</v>
      </c>
      <c r="B44" s="122">
        <f>IFERROR(__xludf.DUMMYFUNCTION("""COMPUTED_VALUE"""),12010.0)</f>
        <v>12010</v>
      </c>
      <c r="C44" s="122">
        <f>IFERROR(__xludf.DUMMYFUNCTION("""COMPUTED_VALUE"""),8708.0)</f>
        <v>8708</v>
      </c>
      <c r="D44" s="122">
        <f>IFERROR(__xludf.DUMMYFUNCTION("""COMPUTED_VALUE"""),6215.0)</f>
        <v>6215</v>
      </c>
      <c r="E44" s="122">
        <f>IFERROR(__xludf.DUMMYFUNCTION("""COMPUTED_VALUE"""),9657.0)</f>
        <v>9657</v>
      </c>
      <c r="F44" s="122">
        <f>IFERROR(__xludf.DUMMYFUNCTION("""COMPUTED_VALUE"""),0.0373)</f>
        <v>0.0373</v>
      </c>
      <c r="G44" s="122" t="str">
        <f>IFERROR(__xludf.DUMMYFUNCTION("""COMPUTED_VALUE"""),"Low")</f>
        <v>Low</v>
      </c>
      <c r="H44" s="122" t="str">
        <f>IFERROR(__xludf.DUMMYFUNCTION("""COMPUTED_VALUE"""),"Green Basket updated based on Decline trend.")</f>
        <v>Green Basket updated based on Decline trend.</v>
      </c>
    </row>
    <row r="45">
      <c r="A45" s="122" t="str">
        <f>IFERROR(__xludf.DUMMYFUNCTION("""COMPUTED_VALUE"""),"CAFE")</f>
        <v>CAFE</v>
      </c>
      <c r="B45" s="122">
        <f>IFERROR(__xludf.DUMMYFUNCTION("""COMPUTED_VALUE"""),32632.0)</f>
        <v>32632</v>
      </c>
      <c r="C45" s="122">
        <f>IFERROR(__xludf.DUMMYFUNCTION("""COMPUTED_VALUE"""),4275.0)</f>
        <v>4275</v>
      </c>
      <c r="D45" s="122">
        <f>IFERROR(__xludf.DUMMYFUNCTION("""COMPUTED_VALUE"""),30033.0)</f>
        <v>30033</v>
      </c>
      <c r="E45" s="122">
        <f>IFERROR(__xludf.DUMMYFUNCTION("""COMPUTED_VALUE"""),8292.0)</f>
        <v>8292</v>
      </c>
      <c r="F45" s="122">
        <f>IFERROR(__xludf.DUMMYFUNCTION("""COMPUTED_VALUE"""),0.0142)</f>
        <v>0.0142</v>
      </c>
      <c r="G45" s="122" t="str">
        <f>IFERROR(__xludf.DUMMYFUNCTION("""COMPUTED_VALUE"""),"Medium-High")</f>
        <v>Medium-High</v>
      </c>
      <c r="H45" s="122" t="str">
        <f>IFERROR(__xludf.DUMMYFUNCTION("""COMPUTED_VALUE"""),"Cafe Cloud updated based on Growth trend.")</f>
        <v>Cafe Cloud updated based on Growth trend.</v>
      </c>
    </row>
    <row r="46">
      <c r="A46" s="122" t="str">
        <f>IFERROR(__xludf.DUMMYFUNCTION("""COMPUTED_VALUE"""),"BAKE")</f>
        <v>BAKE</v>
      </c>
      <c r="B46" s="122">
        <f>IFERROR(__xludf.DUMMYFUNCTION("""COMPUTED_VALUE"""),30376.0)</f>
        <v>30376</v>
      </c>
      <c r="C46" s="122">
        <f>IFERROR(__xludf.DUMMYFUNCTION("""COMPUTED_VALUE"""),3627.0)</f>
        <v>3627</v>
      </c>
      <c r="D46" s="122">
        <f>IFERROR(__xludf.DUMMYFUNCTION("""COMPUTED_VALUE"""),31910.0)</f>
        <v>31910</v>
      </c>
      <c r="E46" s="122">
        <f>IFERROR(__xludf.DUMMYFUNCTION("""COMPUTED_VALUE"""),8400.0)</f>
        <v>8400</v>
      </c>
      <c r="F46" s="122">
        <f>IFERROR(__xludf.DUMMYFUNCTION("""COMPUTED_VALUE"""),0.0961)</f>
        <v>0.0961</v>
      </c>
      <c r="G46" s="122" t="str">
        <f>IFERROR(__xludf.DUMMYFUNCTION("""COMPUTED_VALUE"""),"Medium-High")</f>
        <v>Medium-High</v>
      </c>
      <c r="H46" s="122" t="str">
        <f>IFERROR(__xludf.DUMMYFUNCTION("""COMPUTED_VALUE"""),"BakeHouse updated based on Volatile trend.")</f>
        <v>BakeHouse updated based on Volatile trend.</v>
      </c>
    </row>
    <row r="47">
      <c r="A47" s="122" t="str">
        <f>IFERROR(__xludf.DUMMYFUNCTION("""COMPUTED_VALUE"""),"OILX")</f>
        <v>OILX</v>
      </c>
      <c r="B47" s="122">
        <f>IFERROR(__xludf.DUMMYFUNCTION("""COMPUTED_VALUE"""),25693.0)</f>
        <v>25693</v>
      </c>
      <c r="C47" s="122">
        <f>IFERROR(__xludf.DUMMYFUNCTION("""COMPUTED_VALUE"""),4805.0)</f>
        <v>4805</v>
      </c>
      <c r="D47" s="122">
        <f>IFERROR(__xludf.DUMMYFUNCTION("""COMPUTED_VALUE"""),28302.0)</f>
        <v>28302</v>
      </c>
      <c r="E47" s="122">
        <f>IFERROR(__xludf.DUMMYFUNCTION("""COMPUTED_VALUE"""),7038.0)</f>
        <v>7038</v>
      </c>
      <c r="F47" s="122">
        <f>IFERROR(__xludf.DUMMYFUNCTION("""COMPUTED_VALUE"""),0.2324)</f>
        <v>0.2324</v>
      </c>
      <c r="G47" s="122" t="str">
        <f>IFERROR(__xludf.DUMMYFUNCTION("""COMPUTED_VALUE"""),"Medium-High")</f>
        <v>Medium-High</v>
      </c>
      <c r="H47" s="122" t="str">
        <f>IFERROR(__xludf.DUMMYFUNCTION("""COMPUTED_VALUE"""),"OilMax Energy updated based on Stable trend.")</f>
        <v>OilMax Energy updated based on Stable trend.</v>
      </c>
    </row>
    <row r="48">
      <c r="A48" s="122" t="str">
        <f>IFERROR(__xludf.DUMMYFUNCTION("""COMPUTED_VALUE"""),"SOLR")</f>
        <v>SOLR</v>
      </c>
      <c r="B48" s="122">
        <f>IFERROR(__xludf.DUMMYFUNCTION("""COMPUTED_VALUE"""),48954.0)</f>
        <v>48954</v>
      </c>
      <c r="C48" s="122">
        <f>IFERROR(__xludf.DUMMYFUNCTION("""COMPUTED_VALUE"""),1078.0)</f>
        <v>1078</v>
      </c>
      <c r="D48" s="122">
        <f>IFERROR(__xludf.DUMMYFUNCTION("""COMPUTED_VALUE"""),27828.0)</f>
        <v>27828</v>
      </c>
      <c r="E48" s="122">
        <f>IFERROR(__xludf.DUMMYFUNCTION("""COMPUTED_VALUE"""),17103.0)</f>
        <v>17103</v>
      </c>
      <c r="F48" s="122">
        <f>IFERROR(__xludf.DUMMYFUNCTION("""COMPUTED_VALUE"""),0.068)</f>
        <v>0.068</v>
      </c>
      <c r="G48" s="122" t="str">
        <f>IFERROR(__xludf.DUMMYFUNCTION("""COMPUTED_VALUE"""),"Medium")</f>
        <v>Medium</v>
      </c>
      <c r="H48" s="122" t="str">
        <f>IFERROR(__xludf.DUMMYFUNCTION("""COMPUTED_VALUE"""),"SolarSpark updated based on Hot trend.")</f>
        <v>SolarSpark updated based on Hot trend.</v>
      </c>
    </row>
    <row r="49">
      <c r="A49" s="122" t="str">
        <f>IFERROR(__xludf.DUMMYFUNCTION("""COMPUTED_VALUE"""),"BATT")</f>
        <v>BATT</v>
      </c>
      <c r="B49" s="122">
        <f>IFERROR(__xludf.DUMMYFUNCTION("""COMPUTED_VALUE"""),18938.0)</f>
        <v>18938</v>
      </c>
      <c r="C49" s="122">
        <f>IFERROR(__xludf.DUMMYFUNCTION("""COMPUTED_VALUE"""),413.0)</f>
        <v>413</v>
      </c>
      <c r="D49" s="122">
        <f>IFERROR(__xludf.DUMMYFUNCTION("""COMPUTED_VALUE"""),39115.0)</f>
        <v>39115</v>
      </c>
      <c r="E49" s="122">
        <f>IFERROR(__xludf.DUMMYFUNCTION("""COMPUTED_VALUE"""),14703.0)</f>
        <v>14703</v>
      </c>
      <c r="F49" s="122">
        <f>IFERROR(__xludf.DUMMYFUNCTION("""COMPUTED_VALUE"""),0.172)</f>
        <v>0.172</v>
      </c>
      <c r="G49" s="122" t="str">
        <f>IFERROR(__xludf.DUMMYFUNCTION("""COMPUTED_VALUE"""),"Medium-High")</f>
        <v>Medium-High</v>
      </c>
      <c r="H49" s="122" t="str">
        <f>IFERROR(__xludf.DUMMYFUNCTION("""COMPUTED_VALUE"""),"BatteryBox updated based on Volatile trend.")</f>
        <v>BatteryBox updated based on Volatile trend.</v>
      </c>
    </row>
    <row r="50">
      <c r="A50" s="122" t="str">
        <f>IFERROR(__xludf.DUMMYFUNCTION("""COMPUTED_VALUE"""),"WIND")</f>
        <v>WIND</v>
      </c>
      <c r="B50" s="122">
        <f>IFERROR(__xludf.DUMMYFUNCTION("""COMPUTED_VALUE"""),63504.0)</f>
        <v>63504</v>
      </c>
      <c r="C50" s="122">
        <f>IFERROR(__xludf.DUMMYFUNCTION("""COMPUTED_VALUE"""),2358.0)</f>
        <v>2358</v>
      </c>
      <c r="D50" s="122">
        <f>IFERROR(__xludf.DUMMYFUNCTION("""COMPUTED_VALUE"""),4195.0)</f>
        <v>4195</v>
      </c>
      <c r="E50" s="122">
        <f>IFERROR(__xludf.DUMMYFUNCTION("""COMPUTED_VALUE"""),18940.0)</f>
        <v>18940</v>
      </c>
      <c r="F50" s="122">
        <f>IFERROR(__xludf.DUMMYFUNCTION("""COMPUTED_VALUE"""),0.3069)</f>
        <v>0.3069</v>
      </c>
      <c r="G50" s="122" t="str">
        <f>IFERROR(__xludf.DUMMYFUNCTION("""COMPUTED_VALUE"""),"Medium")</f>
        <v>Medium</v>
      </c>
      <c r="H50" s="122" t="str">
        <f>IFERROR(__xludf.DUMMYFUNCTION("""COMPUTED_VALUE"""),"WindWorks updated based on Stable trend.")</f>
        <v>WindWorks updated based on Stable trend.</v>
      </c>
    </row>
    <row r="51">
      <c r="A51" s="122" t="str">
        <f>IFERROR(__xludf.DUMMYFUNCTION("""COMPUTED_VALUE"""),"GRID")</f>
        <v>GRID</v>
      </c>
      <c r="B51" s="122">
        <f>IFERROR(__xludf.DUMMYFUNCTION("""COMPUTED_VALUE"""),10475.0)</f>
        <v>10475</v>
      </c>
      <c r="C51" s="122">
        <f>IFERROR(__xludf.DUMMYFUNCTION("""COMPUTED_VALUE"""),4018.0)</f>
        <v>4018</v>
      </c>
      <c r="D51" s="122">
        <f>IFERROR(__xludf.DUMMYFUNCTION("""COMPUTED_VALUE"""),8988.0)</f>
        <v>8988</v>
      </c>
      <c r="E51" s="122">
        <f>IFERROR(__xludf.DUMMYFUNCTION("""COMPUTED_VALUE"""),11922.0)</f>
        <v>11922</v>
      </c>
      <c r="F51" s="122">
        <f>IFERROR(__xludf.DUMMYFUNCTION("""COMPUTED_VALUE"""),0.1925)</f>
        <v>0.1925</v>
      </c>
      <c r="G51" s="122" t="str">
        <f>IFERROR(__xludf.DUMMYFUNCTION("""COMPUTED_VALUE"""),"Medium")</f>
        <v>Medium</v>
      </c>
      <c r="H51" s="122" t="str">
        <f>IFERROR(__xludf.DUMMYFUNCTION("""COMPUTED_VALUE"""),"GridPower updated based on Crash trend.")</f>
        <v>GridPower updated based on Crash trend.</v>
      </c>
    </row>
    <row r="52">
      <c r="A52" s="122" t="str">
        <f>IFERROR(__xludf.DUMMYFUNCTION("""COMPUTED_VALUE"""),"HOME")</f>
        <v>HOME</v>
      </c>
      <c r="B52" s="122">
        <f>IFERROR(__xludf.DUMMYFUNCTION("""COMPUTED_VALUE"""),47807.0)</f>
        <v>47807</v>
      </c>
      <c r="C52" s="122">
        <f>IFERROR(__xludf.DUMMYFUNCTION("""COMPUTED_VALUE"""),-775.0)</f>
        <v>-775</v>
      </c>
      <c r="D52" s="122">
        <f>IFERROR(__xludf.DUMMYFUNCTION("""COMPUTED_VALUE"""),8603.0)</f>
        <v>8603</v>
      </c>
      <c r="E52" s="122">
        <f>IFERROR(__xludf.DUMMYFUNCTION("""COMPUTED_VALUE"""),11721.0)</f>
        <v>11721</v>
      </c>
      <c r="F52" s="122">
        <f>IFERROR(__xludf.DUMMYFUNCTION("""COMPUTED_VALUE"""),-0.0088)</f>
        <v>-0.0088</v>
      </c>
      <c r="G52" s="122" t="str">
        <f>IFERROR(__xludf.DUMMYFUNCTION("""COMPUTED_VALUE"""),"Medium")</f>
        <v>Medium</v>
      </c>
      <c r="H52" s="122" t="str">
        <f>IFERROR(__xludf.DUMMYFUNCTION("""COMPUTED_VALUE"""),"HomeHub updated based on Growth trend.")</f>
        <v>HomeHub updated based on Growth trend.</v>
      </c>
    </row>
    <row r="53">
      <c r="A53" s="122" t="str">
        <f>IFERROR(__xludf.DUMMYFUNCTION("""COMPUTED_VALUE"""),"RENT")</f>
        <v>RENT</v>
      </c>
      <c r="B53" s="122">
        <f>IFERROR(__xludf.DUMMYFUNCTION("""COMPUTED_VALUE"""),28005.0)</f>
        <v>28005</v>
      </c>
      <c r="C53" s="122">
        <f>IFERROR(__xludf.DUMMYFUNCTION("""COMPUTED_VALUE"""),6973.0)</f>
        <v>6973</v>
      </c>
      <c r="D53" s="122">
        <f>IFERROR(__xludf.DUMMYFUNCTION("""COMPUTED_VALUE"""),12647.0)</f>
        <v>12647</v>
      </c>
      <c r="E53" s="122">
        <f>IFERROR(__xludf.DUMMYFUNCTION("""COMPUTED_VALUE"""),906.0)</f>
        <v>906</v>
      </c>
      <c r="F53" s="122">
        <f>IFERROR(__xludf.DUMMYFUNCTION("""COMPUTED_VALUE"""),-0.0078)</f>
        <v>-0.0078</v>
      </c>
      <c r="G53" s="122" t="str">
        <f>IFERROR(__xludf.DUMMYFUNCTION("""COMPUTED_VALUE"""),"Medium-High")</f>
        <v>Medium-High</v>
      </c>
      <c r="H53" s="122" t="str">
        <f>IFERROR(__xludf.DUMMYFUNCTION("""COMPUTED_VALUE"""),"RentRight updated based on Volatile trend.")</f>
        <v>RentRight updated based on Volatile trend.</v>
      </c>
    </row>
    <row r="54">
      <c r="A54" s="122" t="str">
        <f>IFERROR(__xludf.DUMMYFUNCTION("""COMPUTED_VALUE"""),"MALL")</f>
        <v>MALL</v>
      </c>
      <c r="B54" s="122">
        <f>IFERROR(__xludf.DUMMYFUNCTION("""COMPUTED_VALUE"""),40390.0)</f>
        <v>40390</v>
      </c>
      <c r="C54" s="122">
        <f>IFERROR(__xludf.DUMMYFUNCTION("""COMPUTED_VALUE"""),2393.0)</f>
        <v>2393</v>
      </c>
      <c r="D54" s="122">
        <f>IFERROR(__xludf.DUMMYFUNCTION("""COMPUTED_VALUE"""),23717.0)</f>
        <v>23717</v>
      </c>
      <c r="E54" s="122">
        <f>IFERROR(__xludf.DUMMYFUNCTION("""COMPUTED_VALUE"""),1975.0)</f>
        <v>1975</v>
      </c>
      <c r="F54" s="122">
        <f>IFERROR(__xludf.DUMMYFUNCTION("""COMPUTED_VALUE"""),-0.0352)</f>
        <v>-0.0352</v>
      </c>
      <c r="G54" s="122" t="str">
        <f>IFERROR(__xludf.DUMMYFUNCTION("""COMPUTED_VALUE"""),"Medium-High")</f>
        <v>Medium-High</v>
      </c>
      <c r="H54" s="122" t="str">
        <f>IFERROR(__xludf.DUMMYFUNCTION("""COMPUTED_VALUE"""),"MegaMall updated based on Growth trend.")</f>
        <v>MegaMall updated based on Growth trend.</v>
      </c>
    </row>
    <row r="55">
      <c r="A55" s="122" t="str">
        <f>IFERROR(__xludf.DUMMYFUNCTION("""COMPUTED_VALUE"""),"HOTL")</f>
        <v>HOTL</v>
      </c>
      <c r="B55" s="122">
        <f>IFERROR(__xludf.DUMMYFUNCTION("""COMPUTED_VALUE"""),21107.0)</f>
        <v>21107</v>
      </c>
      <c r="C55" s="122">
        <f>IFERROR(__xludf.DUMMYFUNCTION("""COMPUTED_VALUE"""),7301.0)</f>
        <v>7301</v>
      </c>
      <c r="D55" s="122">
        <f>IFERROR(__xludf.DUMMYFUNCTION("""COMPUTED_VALUE"""),21829.0)</f>
        <v>21829</v>
      </c>
      <c r="E55" s="122">
        <f>IFERROR(__xludf.DUMMYFUNCTION("""COMPUTED_VALUE"""),7731.0)</f>
        <v>7731</v>
      </c>
      <c r="F55" s="122">
        <f>IFERROR(__xludf.DUMMYFUNCTION("""COMPUTED_VALUE"""),0.1169)</f>
        <v>0.1169</v>
      </c>
      <c r="G55" s="122" t="str">
        <f>IFERROR(__xludf.DUMMYFUNCTION("""COMPUTED_VALUE"""),"Medium-High")</f>
        <v>Medium-High</v>
      </c>
      <c r="H55" s="122" t="str">
        <f>IFERROR(__xludf.DUMMYFUNCTION("""COMPUTED_VALUE"""),"HotelHive updated based on Decline trend.")</f>
        <v>HotelHive updated based on Decline trend.</v>
      </c>
    </row>
    <row r="56">
      <c r="A56" s="122" t="str">
        <f>IFERROR(__xludf.DUMMYFUNCTION("""COMPUTED_VALUE"""),"LAND")</f>
        <v>LAND</v>
      </c>
      <c r="B56" s="122">
        <f>IFERROR(__xludf.DUMMYFUNCTION("""COMPUTED_VALUE"""),28209.0)</f>
        <v>28209</v>
      </c>
      <c r="C56" s="122">
        <f>IFERROR(__xludf.DUMMYFUNCTION("""COMPUTED_VALUE"""),7454.0)</f>
        <v>7454</v>
      </c>
      <c r="D56" s="122">
        <f>IFERROR(__xludf.DUMMYFUNCTION("""COMPUTED_VALUE"""),17784.0)</f>
        <v>17784</v>
      </c>
      <c r="E56" s="122">
        <f>IFERROR(__xludf.DUMMYFUNCTION("""COMPUTED_VALUE"""),10182.0)</f>
        <v>10182</v>
      </c>
      <c r="F56" s="122">
        <f>IFERROR(__xludf.DUMMYFUNCTION("""COMPUTED_VALUE"""),0.1179)</f>
        <v>0.1179</v>
      </c>
      <c r="G56" s="122" t="str">
        <f>IFERROR(__xludf.DUMMYFUNCTION("""COMPUTED_VALUE"""),"Medium")</f>
        <v>Medium</v>
      </c>
      <c r="H56" s="122" t="str">
        <f>IFERROR(__xludf.DUMMYFUNCTION("""COMPUTED_VALUE"""),"LandLink updated based on Volatile trend.")</f>
        <v>LandLink updated based on Volatile trend.</v>
      </c>
    </row>
    <row r="57">
      <c r="A57" s="122" t="str">
        <f>IFERROR(__xludf.DUMMYFUNCTION("""COMPUTED_VALUE"""),"CARS")</f>
        <v>CARS</v>
      </c>
      <c r="B57" s="122">
        <f>IFERROR(__xludf.DUMMYFUNCTION("""COMPUTED_VALUE"""),26634.0)</f>
        <v>26634</v>
      </c>
      <c r="C57" s="122">
        <f>IFERROR(__xludf.DUMMYFUNCTION("""COMPUTED_VALUE"""),406.0)</f>
        <v>406</v>
      </c>
      <c r="D57" s="122">
        <f>IFERROR(__xludf.DUMMYFUNCTION("""COMPUTED_VALUE"""),13125.0)</f>
        <v>13125</v>
      </c>
      <c r="E57" s="122">
        <f>IFERROR(__xludf.DUMMYFUNCTION("""COMPUTED_VALUE"""),1400.0)</f>
        <v>1400</v>
      </c>
      <c r="F57" s="122">
        <f>IFERROR(__xludf.DUMMYFUNCTION("""COMPUTED_VALUE"""),-0.086)</f>
        <v>-0.086</v>
      </c>
      <c r="G57" s="122" t="str">
        <f>IFERROR(__xludf.DUMMYFUNCTION("""COMPUTED_VALUE"""),"Medium-High")</f>
        <v>Medium-High</v>
      </c>
      <c r="H57" s="122" t="str">
        <f>IFERROR(__xludf.DUMMYFUNCTION("""COMPUTED_VALUE"""),"AutoArena updated based on Stable trend.")</f>
        <v>AutoArena updated based on Stable trend.</v>
      </c>
    </row>
    <row r="58">
      <c r="A58" s="122" t="str">
        <f>IFERROR(__xludf.DUMMYFUNCTION("""COMPUTED_VALUE"""),"EVGO")</f>
        <v>EVGO</v>
      </c>
      <c r="B58" s="122">
        <f>IFERROR(__xludf.DUMMYFUNCTION("""COMPUTED_VALUE"""),45424.0)</f>
        <v>45424</v>
      </c>
      <c r="C58" s="122">
        <f>IFERROR(__xludf.DUMMYFUNCTION("""COMPUTED_VALUE"""),8528.0)</f>
        <v>8528</v>
      </c>
      <c r="D58" s="122">
        <f>IFERROR(__xludf.DUMMYFUNCTION("""COMPUTED_VALUE"""),876.0)</f>
        <v>876</v>
      </c>
      <c r="E58" s="122">
        <f>IFERROR(__xludf.DUMMYFUNCTION("""COMPUTED_VALUE"""),9110.0)</f>
        <v>9110</v>
      </c>
      <c r="F58" s="122">
        <f>IFERROR(__xludf.DUMMYFUNCTION("""COMPUTED_VALUE"""),0.1146)</f>
        <v>0.1146</v>
      </c>
      <c r="G58" s="122" t="str">
        <f>IFERROR(__xludf.DUMMYFUNCTION("""COMPUTED_VALUE"""),"Low")</f>
        <v>Low</v>
      </c>
      <c r="H58" s="122" t="str">
        <f>IFERROR(__xludf.DUMMYFUNCTION("""COMPUTED_VALUE"""),"EVGo Motors updated based on Decline trend.")</f>
        <v>EVGo Motors updated based on Decline trend.</v>
      </c>
    </row>
    <row r="59">
      <c r="A59" s="122" t="str">
        <f>IFERROR(__xludf.DUMMYFUNCTION("""COMPUTED_VALUE"""),"TIRE")</f>
        <v>TIRE</v>
      </c>
      <c r="B59" s="122">
        <f>IFERROR(__xludf.DUMMYFUNCTION("""COMPUTED_VALUE"""),51883.0)</f>
        <v>51883</v>
      </c>
      <c r="C59" s="122">
        <f>IFERROR(__xludf.DUMMYFUNCTION("""COMPUTED_VALUE"""),4240.0)</f>
        <v>4240</v>
      </c>
      <c r="D59" s="122">
        <f>IFERROR(__xludf.DUMMYFUNCTION("""COMPUTED_VALUE"""),367.0)</f>
        <v>367</v>
      </c>
      <c r="E59" s="122">
        <f>IFERROR(__xludf.DUMMYFUNCTION("""COMPUTED_VALUE"""),9021.0)</f>
        <v>9021</v>
      </c>
      <c r="F59" s="122">
        <f>IFERROR(__xludf.DUMMYFUNCTION("""COMPUTED_VALUE"""),0.2989)</f>
        <v>0.2989</v>
      </c>
      <c r="G59" s="122" t="str">
        <f>IFERROR(__xludf.DUMMYFUNCTION("""COMPUTED_VALUE"""),"Medium")</f>
        <v>Medium</v>
      </c>
      <c r="H59" s="122" t="str">
        <f>IFERROR(__xludf.DUMMYFUNCTION("""COMPUTED_VALUE"""),"TireTown updated based on Growth trend.")</f>
        <v>TireTown updated based on Growth trend.</v>
      </c>
    </row>
    <row r="60">
      <c r="A60" s="122" t="str">
        <f>IFERROR(__xludf.DUMMYFUNCTION("""COMPUTED_VALUE"""),"BIKE")</f>
        <v>BIKE</v>
      </c>
      <c r="B60" s="122">
        <f>IFERROR(__xludf.DUMMYFUNCTION("""COMPUTED_VALUE"""),28384.0)</f>
        <v>28384</v>
      </c>
      <c r="C60" s="122">
        <f>IFERROR(__xludf.DUMMYFUNCTION("""COMPUTED_VALUE"""),2255.0)</f>
        <v>2255</v>
      </c>
      <c r="D60" s="122">
        <f>IFERROR(__xludf.DUMMYFUNCTION("""COMPUTED_VALUE"""),8761.0)</f>
        <v>8761</v>
      </c>
      <c r="E60" s="122">
        <f>IFERROR(__xludf.DUMMYFUNCTION("""COMPUTED_VALUE"""),8342.0)</f>
        <v>8342</v>
      </c>
      <c r="F60" s="122">
        <f>IFERROR(__xludf.DUMMYFUNCTION("""COMPUTED_VALUE"""),-0.0732)</f>
        <v>-0.0732</v>
      </c>
      <c r="G60" s="122" t="str">
        <f>IFERROR(__xludf.DUMMYFUNCTION("""COMPUTED_VALUE"""),"Medium")</f>
        <v>Medium</v>
      </c>
      <c r="H60" s="122" t="str">
        <f>IFERROR(__xludf.DUMMYFUNCTION("""COMPUTED_VALUE"""),"BikeBox updated based on Decline trend.")</f>
        <v>BikeBox updated based on Decline trend.</v>
      </c>
    </row>
    <row r="61">
      <c r="A61" s="122" t="str">
        <f>IFERROR(__xludf.DUMMYFUNCTION("""COMPUTED_VALUE"""),"WASH")</f>
        <v>WASH</v>
      </c>
      <c r="B61" s="122">
        <f>IFERROR(__xludf.DUMMYFUNCTION("""COMPUTED_VALUE"""),36264.0)</f>
        <v>36264</v>
      </c>
      <c r="C61" s="122">
        <f>IFERROR(__xludf.DUMMYFUNCTION("""COMPUTED_VALUE"""),11930.0)</f>
        <v>11930</v>
      </c>
      <c r="D61" s="122">
        <f>IFERROR(__xludf.DUMMYFUNCTION("""COMPUTED_VALUE"""),2579.0)</f>
        <v>2579</v>
      </c>
      <c r="E61" s="122">
        <f>IFERROR(__xludf.DUMMYFUNCTION("""COMPUTED_VALUE"""),18018.0)</f>
        <v>18018</v>
      </c>
      <c r="F61" s="122">
        <f>IFERROR(__xludf.DUMMYFUNCTION("""COMPUTED_VALUE"""),0.2911)</f>
        <v>0.2911</v>
      </c>
      <c r="G61" s="122" t="str">
        <f>IFERROR(__xludf.DUMMYFUNCTION("""COMPUTED_VALUE"""),"Low")</f>
        <v>Low</v>
      </c>
      <c r="H61" s="122" t="str">
        <f>IFERROR(__xludf.DUMMYFUNCTION("""COMPUTED_VALUE"""),"CarWash Co updated based on Volatile trend.")</f>
        <v>CarWash Co updated based on Volatile trend.</v>
      </c>
    </row>
    <row r="62">
      <c r="A62" s="122" t="str">
        <f>IFERROR(__xludf.DUMMYFUNCTION("""COMPUTED_VALUE"""),"GBND")</f>
        <v>GBND</v>
      </c>
      <c r="B62" s="122">
        <f>IFERROR(__xludf.DUMMYFUNCTION("""COMPUTED_VALUE"""),1656.0)</f>
        <v>1656</v>
      </c>
      <c r="C62" s="122">
        <f>IFERROR(__xludf.DUMMYFUNCTION("""COMPUTED_VALUE"""),316.0)</f>
        <v>316</v>
      </c>
      <c r="D62" s="122">
        <f>IFERROR(__xludf.DUMMYFUNCTION("""COMPUTED_VALUE"""),1442.0)</f>
        <v>1442</v>
      </c>
      <c r="E62" s="122">
        <f>IFERROR(__xludf.DUMMYFUNCTION("""COMPUTED_VALUE"""),5532.0)</f>
        <v>5532</v>
      </c>
      <c r="F62" s="122">
        <f>IFERROR(__xludf.DUMMYFUNCTION("""COMPUTED_VALUE"""),0.0471)</f>
        <v>0.0471</v>
      </c>
      <c r="G62" s="122" t="str">
        <f>IFERROR(__xludf.DUMMYFUNCTION("""COMPUTED_VALUE"""),"Medium")</f>
        <v>Medium</v>
      </c>
      <c r="H62" s="122" t="str">
        <f>IFERROR(__xludf.DUMMYFUNCTION("""COMPUTED_VALUE"""),"Classroom Government Bond updated based on stable bond trend.")</f>
        <v>Classroom Government Bond updated based on stable bond trend.</v>
      </c>
    </row>
    <row r="63">
      <c r="A63" s="122" t="str">
        <f>IFERROR(__xludf.DUMMYFUNCTION("""COMPUTED_VALUE"""),"SBND")</f>
        <v>SBND</v>
      </c>
      <c r="B63" s="122">
        <f>IFERROR(__xludf.DUMMYFUNCTION("""COMPUTED_VALUE"""),1393.0)</f>
        <v>1393</v>
      </c>
      <c r="C63" s="122">
        <f>IFERROR(__xludf.DUMMYFUNCTION("""COMPUTED_VALUE"""),766.0)</f>
        <v>766</v>
      </c>
      <c r="D63" s="122">
        <f>IFERROR(__xludf.DUMMYFUNCTION("""COMPUTED_VALUE"""),1649.0)</f>
        <v>1649</v>
      </c>
      <c r="E63" s="122">
        <f>IFERROR(__xludf.DUMMYFUNCTION("""COMPUTED_VALUE"""),5151.0)</f>
        <v>5151</v>
      </c>
      <c r="F63" s="122">
        <f>IFERROR(__xludf.DUMMYFUNCTION("""COMPUTED_VALUE"""),0.0448)</f>
        <v>0.0448</v>
      </c>
      <c r="G63" s="122" t="str">
        <f>IFERROR(__xludf.DUMMYFUNCTION("""COMPUTED_VALUE"""),"Medium")</f>
        <v>Medium</v>
      </c>
      <c r="H63" s="122" t="str">
        <f>IFERROR(__xludf.DUMMYFUNCTION("""COMPUTED_VALUE"""),"School Savings Bond updated based on stable bond trend.")</f>
        <v>School Savings Bond updated based on stable bond trend.</v>
      </c>
    </row>
    <row r="64">
      <c r="A64" s="122" t="str">
        <f>IFERROR(__xludf.DUMMYFUNCTION("""COMPUTED_VALUE"""),"CBND")</f>
        <v>CBND</v>
      </c>
      <c r="B64" s="122">
        <f>IFERROR(__xludf.DUMMYFUNCTION("""COMPUTED_VALUE"""),3377.0)</f>
        <v>3377</v>
      </c>
      <c r="C64" s="122">
        <f>IFERROR(__xludf.DUMMYFUNCTION("""COMPUTED_VALUE"""),584.0)</f>
        <v>584</v>
      </c>
      <c r="D64" s="122">
        <f>IFERROR(__xludf.DUMMYFUNCTION("""COMPUTED_VALUE"""),1185.0)</f>
        <v>1185</v>
      </c>
      <c r="E64" s="122">
        <f>IFERROR(__xludf.DUMMYFUNCTION("""COMPUTED_VALUE"""),6081.0)</f>
        <v>6081</v>
      </c>
      <c r="F64" s="122">
        <f>IFERROR(__xludf.DUMMYFUNCTION("""COMPUTED_VALUE"""),0.0783)</f>
        <v>0.0783</v>
      </c>
      <c r="G64" s="122" t="str">
        <f>IFERROR(__xludf.DUMMYFUNCTION("""COMPUTED_VALUE"""),"Medium")</f>
        <v>Medium</v>
      </c>
      <c r="H64" s="122" t="str">
        <f>IFERROR(__xludf.DUMMYFUNCTION("""COMPUTED_VALUE"""),"Corporate Classroom Bond updated based on stable bond trend.")</f>
        <v>Corporate Classroom Bond updated based on stable bond trend.</v>
      </c>
    </row>
    <row r="65">
      <c r="A65" s="122" t="str">
        <f>IFERROR(__xludf.DUMMYFUNCTION("""COMPUTED_VALUE"""),"TBIL")</f>
        <v>TBIL</v>
      </c>
      <c r="B65" s="122">
        <f>IFERROR(__xludf.DUMMYFUNCTION("""COMPUTED_VALUE"""),3339.0)</f>
        <v>3339</v>
      </c>
      <c r="C65" s="122">
        <f>IFERROR(__xludf.DUMMYFUNCTION("""COMPUTED_VALUE"""),269.0)</f>
        <v>269</v>
      </c>
      <c r="D65" s="122">
        <f>IFERROR(__xludf.DUMMYFUNCTION("""COMPUTED_VALUE"""),1591.0)</f>
        <v>1591</v>
      </c>
      <c r="E65" s="122">
        <f>IFERROR(__xludf.DUMMYFUNCTION("""COMPUTED_VALUE"""),2974.0)</f>
        <v>2974</v>
      </c>
      <c r="F65" s="122">
        <f>IFERROR(__xludf.DUMMYFUNCTION("""COMPUTED_VALUE"""),0.0657)</f>
        <v>0.0657</v>
      </c>
      <c r="G65" s="122" t="str">
        <f>IFERROR(__xludf.DUMMYFUNCTION("""COMPUTED_VALUE"""),"Medium")</f>
        <v>Medium</v>
      </c>
      <c r="H65" s="122" t="str">
        <f>IFERROR(__xludf.DUMMYFUNCTION("""COMPUTED_VALUE"""),"Treasury Bill updated based on stable bond trend.")</f>
        <v>Treasury Bill updated based on stable bond trend.</v>
      </c>
    </row>
    <row r="66">
      <c r="A66" s="122" t="str">
        <f>IFERROR(__xludf.DUMMYFUNCTION("""COMPUTED_VALUE"""),"IBND")</f>
        <v>IBND</v>
      </c>
      <c r="B66" s="122">
        <f>IFERROR(__xludf.DUMMYFUNCTION("""COMPUTED_VALUE"""),3296.0)</f>
        <v>3296</v>
      </c>
      <c r="C66" s="122">
        <f>IFERROR(__xludf.DUMMYFUNCTION("""COMPUTED_VALUE"""),870.0)</f>
        <v>870</v>
      </c>
      <c r="D66" s="122">
        <f>IFERROR(__xludf.DUMMYFUNCTION("""COMPUTED_VALUE"""),18.0)</f>
        <v>18</v>
      </c>
      <c r="E66" s="122">
        <f>IFERROR(__xludf.DUMMYFUNCTION("""COMPUTED_VALUE"""),1226.0)</f>
        <v>1226</v>
      </c>
      <c r="F66" s="122">
        <f>IFERROR(__xludf.DUMMYFUNCTION("""COMPUTED_VALUE"""),0.0662)</f>
        <v>0.0662</v>
      </c>
      <c r="G66" s="122" t="str">
        <f>IFERROR(__xludf.DUMMYFUNCTION("""COMPUTED_VALUE"""),"Medium")</f>
        <v>Medium</v>
      </c>
      <c r="H66" s="122" t="str">
        <f>IFERROR(__xludf.DUMMYFUNCTION("""COMPUTED_VALUE"""),"Inflation Protected Bond updated based on stable bond trend.")</f>
        <v>Inflation Protected Bond updated based on stable bond trend.</v>
      </c>
    </row>
    <row r="67">
      <c r="A67" s="122"/>
      <c r="B67" s="122"/>
      <c r="C67" s="122"/>
      <c r="D67" s="122"/>
      <c r="E67" s="122"/>
      <c r="F67" s="122"/>
      <c r="G67" s="122"/>
      <c r="H67" s="122"/>
    </row>
    <row r="68">
      <c r="A68" s="122"/>
      <c r="B68" s="122"/>
      <c r="C68" s="122"/>
      <c r="D68" s="122"/>
      <c r="E68" s="122"/>
      <c r="F68" s="122"/>
      <c r="G68" s="122"/>
      <c r="H68" s="122"/>
    </row>
    <row r="69">
      <c r="A69" s="122"/>
      <c r="B69" s="122"/>
      <c r="C69" s="122"/>
      <c r="D69" s="122"/>
      <c r="E69" s="122"/>
      <c r="F69" s="122"/>
      <c r="G69" s="122"/>
      <c r="H69" s="122"/>
    </row>
    <row r="70">
      <c r="A70" s="122"/>
      <c r="B70" s="122"/>
      <c r="C70" s="122"/>
      <c r="D70" s="122"/>
      <c r="E70" s="122"/>
      <c r="F70" s="122"/>
      <c r="G70" s="122"/>
      <c r="H70" s="122"/>
    </row>
    <row r="71">
      <c r="A71" s="122"/>
      <c r="B71" s="122"/>
      <c r="C71" s="122"/>
      <c r="D71" s="122"/>
      <c r="E71" s="122"/>
      <c r="F71" s="122"/>
      <c r="G71" s="122"/>
      <c r="H71" s="122"/>
    </row>
    <row r="72">
      <c r="A72" s="122"/>
      <c r="B72" s="122"/>
      <c r="C72" s="122"/>
      <c r="D72" s="122"/>
      <c r="E72" s="122"/>
      <c r="F72" s="122"/>
      <c r="G72" s="122"/>
      <c r="H72" s="122"/>
    </row>
    <row r="73">
      <c r="A73" s="122"/>
      <c r="B73" s="122"/>
      <c r="C73" s="122"/>
      <c r="D73" s="122"/>
      <c r="E73" s="122"/>
      <c r="F73" s="122"/>
      <c r="G73" s="122"/>
      <c r="H73" s="122"/>
    </row>
    <row r="74">
      <c r="A74" s="122"/>
      <c r="B74" s="122"/>
      <c r="C74" s="122"/>
      <c r="D74" s="122"/>
      <c r="E74" s="122"/>
      <c r="F74" s="122"/>
      <c r="G74" s="122"/>
      <c r="H74" s="122"/>
    </row>
    <row r="75">
      <c r="A75" s="122"/>
      <c r="B75" s="122"/>
      <c r="C75" s="122"/>
      <c r="D75" s="122"/>
      <c r="E75" s="122"/>
      <c r="F75" s="122"/>
      <c r="G75" s="122"/>
      <c r="H75" s="122"/>
    </row>
    <row r="76">
      <c r="A76" s="122"/>
      <c r="B76" s="122"/>
      <c r="C76" s="122"/>
      <c r="D76" s="122"/>
      <c r="E76" s="122"/>
      <c r="F76" s="122"/>
      <c r="G76" s="122"/>
      <c r="H76" s="122"/>
    </row>
    <row r="77">
      <c r="A77" s="122"/>
      <c r="B77" s="122"/>
      <c r="C77" s="122"/>
      <c r="D77" s="122"/>
      <c r="E77" s="122"/>
      <c r="F77" s="122"/>
      <c r="G77" s="122"/>
      <c r="H77" s="122"/>
    </row>
    <row r="78">
      <c r="A78" s="122"/>
      <c r="B78" s="122"/>
      <c r="C78" s="122"/>
      <c r="D78" s="122"/>
      <c r="E78" s="122"/>
      <c r="F78" s="122"/>
      <c r="G78" s="122"/>
      <c r="H78" s="122"/>
    </row>
    <row r="79">
      <c r="A79" s="122"/>
      <c r="B79" s="122"/>
      <c r="C79" s="122"/>
      <c r="D79" s="122"/>
      <c r="E79" s="122"/>
      <c r="F79" s="122"/>
      <c r="G79" s="122"/>
      <c r="H79" s="122"/>
    </row>
    <row r="80">
      <c r="A80" s="122"/>
      <c r="B80" s="122"/>
      <c r="C80" s="122"/>
      <c r="D80" s="122"/>
      <c r="E80" s="122"/>
      <c r="F80" s="122"/>
      <c r="G80" s="122"/>
      <c r="H80" s="122"/>
    </row>
    <row r="81">
      <c r="A81" s="122"/>
      <c r="B81" s="122"/>
      <c r="C81" s="122"/>
      <c r="D81" s="122"/>
      <c r="E81" s="122"/>
      <c r="F81" s="122"/>
      <c r="G81" s="122"/>
      <c r="H81" s="122"/>
    </row>
    <row r="82">
      <c r="A82" s="122"/>
      <c r="B82" s="122"/>
      <c r="C82" s="122"/>
      <c r="D82" s="122"/>
      <c r="E82" s="122"/>
      <c r="F82" s="122"/>
      <c r="G82" s="122"/>
      <c r="H82" s="122"/>
    </row>
    <row r="83">
      <c r="A83" s="122"/>
      <c r="B83" s="122"/>
      <c r="C83" s="122"/>
      <c r="D83" s="122"/>
      <c r="E83" s="122"/>
      <c r="F83" s="122"/>
      <c r="G83" s="122"/>
      <c r="H83" s="122"/>
    </row>
    <row r="84">
      <c r="A84" s="122"/>
      <c r="B84" s="122"/>
      <c r="C84" s="122"/>
      <c r="D84" s="122"/>
      <c r="E84" s="122"/>
      <c r="F84" s="122"/>
      <c r="G84" s="122"/>
      <c r="H84" s="122"/>
    </row>
    <row r="85">
      <c r="A85" s="122"/>
      <c r="B85" s="122"/>
      <c r="C85" s="122"/>
      <c r="D85" s="122"/>
      <c r="E85" s="122"/>
      <c r="F85" s="122"/>
      <c r="G85" s="122"/>
      <c r="H85" s="122"/>
    </row>
    <row r="86">
      <c r="A86" s="122"/>
      <c r="B86" s="122"/>
      <c r="C86" s="122"/>
      <c r="D86" s="122"/>
      <c r="E86" s="122"/>
      <c r="F86" s="122"/>
      <c r="G86" s="122"/>
      <c r="H86" s="122"/>
    </row>
    <row r="87">
      <c r="A87" s="122"/>
      <c r="B87" s="122"/>
      <c r="C87" s="122"/>
      <c r="D87" s="122"/>
      <c r="E87" s="122"/>
      <c r="F87" s="122"/>
      <c r="G87" s="122"/>
      <c r="H87" s="122"/>
    </row>
    <row r="88">
      <c r="A88" s="122"/>
      <c r="B88" s="122"/>
      <c r="C88" s="122"/>
      <c r="D88" s="122"/>
      <c r="E88" s="122"/>
      <c r="F88" s="122"/>
      <c r="G88" s="122"/>
      <c r="H88" s="122"/>
    </row>
    <row r="89">
      <c r="A89" s="122"/>
      <c r="B89" s="122"/>
      <c r="C89" s="122"/>
      <c r="D89" s="122"/>
      <c r="E89" s="122"/>
      <c r="F89" s="122"/>
      <c r="G89" s="122"/>
      <c r="H89" s="122"/>
    </row>
    <row r="90">
      <c r="A90" s="122"/>
      <c r="B90" s="122"/>
      <c r="C90" s="122"/>
      <c r="D90" s="122"/>
      <c r="E90" s="122"/>
      <c r="F90" s="122"/>
      <c r="G90" s="122"/>
      <c r="H90" s="122"/>
    </row>
    <row r="91">
      <c r="A91" s="122"/>
      <c r="B91" s="122"/>
      <c r="C91" s="122"/>
      <c r="D91" s="122"/>
      <c r="E91" s="122"/>
      <c r="F91" s="122"/>
      <c r="G91" s="122"/>
      <c r="H91" s="122"/>
    </row>
    <row r="92">
      <c r="A92" s="122"/>
      <c r="B92" s="122"/>
      <c r="C92" s="122"/>
      <c r="D92" s="122"/>
      <c r="E92" s="122"/>
      <c r="F92" s="122"/>
      <c r="G92" s="122"/>
      <c r="H92" s="122"/>
    </row>
    <row r="93">
      <c r="A93" s="122"/>
      <c r="B93" s="122"/>
      <c r="C93" s="122"/>
      <c r="D93" s="122"/>
      <c r="E93" s="122"/>
      <c r="F93" s="122"/>
      <c r="G93" s="122"/>
      <c r="H93" s="122"/>
    </row>
    <row r="94">
      <c r="A94" s="122"/>
      <c r="B94" s="122"/>
      <c r="C94" s="122"/>
      <c r="D94" s="122"/>
      <c r="E94" s="122"/>
      <c r="F94" s="122"/>
      <c r="G94" s="122"/>
      <c r="H94" s="122"/>
    </row>
    <row r="95">
      <c r="A95" s="122"/>
      <c r="B95" s="122"/>
      <c r="C95" s="122"/>
      <c r="D95" s="122"/>
      <c r="E95" s="122"/>
      <c r="F95" s="122"/>
      <c r="G95" s="122"/>
      <c r="H95" s="122"/>
    </row>
    <row r="96">
      <c r="A96" s="122"/>
      <c r="B96" s="122"/>
      <c r="C96" s="122"/>
      <c r="D96" s="122"/>
      <c r="E96" s="122"/>
      <c r="F96" s="122"/>
      <c r="G96" s="122"/>
      <c r="H96" s="122"/>
    </row>
    <row r="97">
      <c r="A97" s="122"/>
      <c r="B97" s="122"/>
      <c r="C97" s="122"/>
      <c r="D97" s="122"/>
      <c r="E97" s="122"/>
      <c r="F97" s="122"/>
      <c r="G97" s="122"/>
      <c r="H97" s="122"/>
    </row>
    <row r="98">
      <c r="A98" s="122"/>
      <c r="B98" s="122"/>
      <c r="C98" s="122"/>
      <c r="D98" s="122"/>
      <c r="E98" s="122"/>
      <c r="F98" s="122"/>
      <c r="G98" s="122"/>
      <c r="H98" s="122"/>
    </row>
    <row r="99">
      <c r="A99" s="122"/>
      <c r="B99" s="122"/>
      <c r="C99" s="122"/>
      <c r="D99" s="122"/>
      <c r="E99" s="122"/>
      <c r="F99" s="122"/>
      <c r="G99" s="122"/>
      <c r="H99" s="122"/>
    </row>
    <row r="100">
      <c r="A100" s="122"/>
      <c r="B100" s="122"/>
      <c r="C100" s="122"/>
      <c r="D100" s="122"/>
      <c r="E100" s="122"/>
      <c r="F100" s="122"/>
      <c r="G100" s="122"/>
      <c r="H100" s="122"/>
    </row>
    <row r="101">
      <c r="A101" s="122"/>
      <c r="B101" s="122"/>
      <c r="C101" s="122"/>
      <c r="D101" s="122"/>
      <c r="E101" s="122"/>
      <c r="F101" s="122"/>
      <c r="G101" s="122"/>
      <c r="H101" s="122"/>
    </row>
    <row r="102">
      <c r="A102" s="122"/>
      <c r="B102" s="122"/>
      <c r="C102" s="122"/>
      <c r="D102" s="122"/>
      <c r="E102" s="122"/>
      <c r="F102" s="122"/>
      <c r="G102" s="122"/>
      <c r="H102" s="122"/>
    </row>
    <row r="103">
      <c r="A103" s="122"/>
      <c r="B103" s="122"/>
      <c r="C103" s="122"/>
      <c r="D103" s="122"/>
      <c r="E103" s="122"/>
      <c r="F103" s="122"/>
      <c r="G103" s="122"/>
      <c r="H103" s="122"/>
    </row>
    <row r="104">
      <c r="A104" s="122"/>
      <c r="B104" s="122"/>
      <c r="C104" s="122"/>
      <c r="D104" s="122"/>
      <c r="E104" s="122"/>
      <c r="F104" s="122"/>
      <c r="G104" s="122"/>
      <c r="H104" s="122"/>
    </row>
    <row r="105">
      <c r="A105" s="122"/>
      <c r="B105" s="122"/>
      <c r="C105" s="122"/>
      <c r="D105" s="122"/>
      <c r="E105" s="122"/>
      <c r="F105" s="122"/>
      <c r="G105" s="122"/>
      <c r="H105" s="122"/>
    </row>
    <row r="106">
      <c r="A106" s="122"/>
      <c r="B106" s="122"/>
      <c r="C106" s="122"/>
      <c r="D106" s="122"/>
      <c r="E106" s="122"/>
      <c r="F106" s="122"/>
      <c r="G106" s="122"/>
      <c r="H106" s="122"/>
    </row>
    <row r="107">
      <c r="A107" s="122"/>
      <c r="B107" s="122"/>
      <c r="C107" s="122"/>
      <c r="D107" s="122"/>
      <c r="E107" s="122"/>
      <c r="F107" s="122"/>
      <c r="G107" s="122"/>
      <c r="H107" s="122"/>
    </row>
    <row r="108">
      <c r="A108" s="122"/>
      <c r="B108" s="122"/>
      <c r="C108" s="122"/>
      <c r="D108" s="122"/>
      <c r="E108" s="122"/>
      <c r="F108" s="122"/>
      <c r="G108" s="122"/>
      <c r="H108" s="122"/>
    </row>
    <row r="109">
      <c r="A109" s="122"/>
      <c r="B109" s="122"/>
      <c r="C109" s="122"/>
      <c r="D109" s="122"/>
      <c r="E109" s="122"/>
      <c r="F109" s="122"/>
      <c r="G109" s="122"/>
      <c r="H109" s="122"/>
    </row>
    <row r="110">
      <c r="A110" s="122"/>
      <c r="B110" s="122"/>
      <c r="C110" s="122"/>
      <c r="D110" s="122"/>
      <c r="E110" s="122"/>
      <c r="F110" s="122"/>
      <c r="G110" s="122"/>
      <c r="H110" s="122"/>
    </row>
    <row r="111">
      <c r="A111" s="122"/>
      <c r="B111" s="122"/>
      <c r="C111" s="122"/>
      <c r="D111" s="122"/>
      <c r="E111" s="122"/>
      <c r="F111" s="122"/>
      <c r="G111" s="122"/>
      <c r="H111" s="122"/>
    </row>
    <row r="112">
      <c r="A112" s="122"/>
      <c r="B112" s="122"/>
      <c r="C112" s="122"/>
      <c r="D112" s="122"/>
      <c r="E112" s="122"/>
      <c r="F112" s="122"/>
      <c r="G112" s="122"/>
      <c r="H112" s="122"/>
    </row>
    <row r="113">
      <c r="A113" s="122"/>
      <c r="B113" s="122"/>
      <c r="C113" s="122"/>
      <c r="D113" s="122"/>
      <c r="E113" s="122"/>
      <c r="F113" s="122"/>
      <c r="G113" s="122"/>
      <c r="H113" s="122"/>
    </row>
    <row r="114">
      <c r="A114" s="122"/>
      <c r="B114" s="122"/>
      <c r="C114" s="122"/>
      <c r="D114" s="122"/>
      <c r="E114" s="122"/>
      <c r="F114" s="122"/>
      <c r="G114" s="122"/>
      <c r="H114" s="122"/>
    </row>
    <row r="115">
      <c r="A115" s="122"/>
      <c r="B115" s="122"/>
      <c r="C115" s="122"/>
      <c r="D115" s="122"/>
      <c r="E115" s="122"/>
      <c r="F115" s="122"/>
      <c r="G115" s="122"/>
      <c r="H115" s="122"/>
    </row>
    <row r="116">
      <c r="A116" s="122"/>
      <c r="B116" s="122"/>
      <c r="C116" s="122"/>
      <c r="D116" s="122"/>
      <c r="E116" s="122"/>
      <c r="F116" s="122"/>
      <c r="G116" s="122"/>
      <c r="H116" s="122"/>
    </row>
    <row r="117">
      <c r="A117" s="122"/>
      <c r="B117" s="122"/>
      <c r="C117" s="122"/>
      <c r="D117" s="122"/>
      <c r="E117" s="122"/>
      <c r="F117" s="122"/>
      <c r="G117" s="122"/>
      <c r="H117" s="122"/>
    </row>
    <row r="118">
      <c r="A118" s="122"/>
      <c r="B118" s="122"/>
      <c r="C118" s="122"/>
      <c r="D118" s="122"/>
      <c r="E118" s="122"/>
      <c r="F118" s="122"/>
      <c r="G118" s="122"/>
      <c r="H118" s="122"/>
    </row>
    <row r="119">
      <c r="A119" s="122"/>
      <c r="B119" s="122"/>
      <c r="C119" s="122"/>
      <c r="D119" s="122"/>
      <c r="E119" s="122"/>
      <c r="F119" s="122"/>
      <c r="G119" s="122"/>
      <c r="H119" s="122"/>
    </row>
    <row r="120">
      <c r="A120" s="122"/>
      <c r="B120" s="122"/>
      <c r="C120" s="122"/>
      <c r="D120" s="122"/>
      <c r="E120" s="122"/>
      <c r="F120" s="122"/>
      <c r="G120" s="122"/>
      <c r="H120" s="122"/>
    </row>
    <row r="121">
      <c r="A121" s="122"/>
      <c r="B121" s="122"/>
      <c r="C121" s="122"/>
      <c r="D121" s="122"/>
      <c r="E121" s="122"/>
      <c r="F121" s="122"/>
      <c r="G121" s="122"/>
      <c r="H121" s="122"/>
    </row>
    <row r="122">
      <c r="A122" s="122"/>
      <c r="B122" s="122"/>
      <c r="C122" s="122"/>
      <c r="D122" s="122"/>
      <c r="E122" s="122"/>
      <c r="F122" s="122"/>
      <c r="G122" s="122"/>
      <c r="H122" s="122"/>
    </row>
    <row r="123">
      <c r="A123" s="122"/>
      <c r="B123" s="122"/>
      <c r="C123" s="122"/>
      <c r="D123" s="122"/>
      <c r="E123" s="122"/>
      <c r="F123" s="122"/>
      <c r="G123" s="122"/>
      <c r="H123" s="122"/>
    </row>
    <row r="124">
      <c r="A124" s="122"/>
      <c r="B124" s="122"/>
      <c r="C124" s="122"/>
      <c r="D124" s="122"/>
      <c r="E124" s="122"/>
      <c r="F124" s="122"/>
      <c r="G124" s="122"/>
      <c r="H124" s="122"/>
    </row>
    <row r="125">
      <c r="A125" s="122"/>
      <c r="B125" s="122"/>
      <c r="C125" s="122"/>
      <c r="D125" s="122"/>
      <c r="E125" s="122"/>
      <c r="F125" s="122"/>
      <c r="G125" s="122"/>
      <c r="H125" s="122"/>
    </row>
    <row r="126">
      <c r="A126" s="122"/>
      <c r="B126" s="122"/>
      <c r="C126" s="122"/>
      <c r="D126" s="122"/>
      <c r="E126" s="122"/>
      <c r="F126" s="122"/>
      <c r="G126" s="122"/>
      <c r="H126" s="122"/>
    </row>
    <row r="127">
      <c r="A127" s="122"/>
      <c r="B127" s="122"/>
      <c r="C127" s="122"/>
      <c r="D127" s="122"/>
      <c r="E127" s="122"/>
      <c r="F127" s="122"/>
      <c r="G127" s="122"/>
      <c r="H127" s="122"/>
    </row>
    <row r="128">
      <c r="A128" s="122"/>
      <c r="B128" s="122"/>
      <c r="C128" s="122"/>
      <c r="D128" s="122"/>
      <c r="E128" s="122"/>
      <c r="F128" s="122"/>
      <c r="G128" s="122"/>
      <c r="H128" s="122"/>
    </row>
    <row r="129">
      <c r="A129" s="122"/>
      <c r="B129" s="122"/>
      <c r="C129" s="122"/>
      <c r="D129" s="122"/>
      <c r="E129" s="122"/>
      <c r="F129" s="122"/>
      <c r="G129" s="122"/>
      <c r="H129" s="122"/>
    </row>
    <row r="130">
      <c r="A130" s="122"/>
      <c r="B130" s="122"/>
      <c r="C130" s="122"/>
      <c r="D130" s="122"/>
      <c r="E130" s="122"/>
      <c r="F130" s="122"/>
      <c r="G130" s="122"/>
      <c r="H130" s="122"/>
    </row>
    <row r="131">
      <c r="A131" s="122"/>
      <c r="B131" s="122"/>
      <c r="C131" s="122"/>
      <c r="D131" s="122"/>
      <c r="E131" s="122"/>
      <c r="F131" s="122"/>
      <c r="G131" s="122"/>
      <c r="H131" s="122"/>
    </row>
    <row r="132">
      <c r="A132" s="122"/>
      <c r="B132" s="122"/>
      <c r="C132" s="122"/>
      <c r="D132" s="122"/>
      <c r="E132" s="122"/>
      <c r="F132" s="122"/>
      <c r="G132" s="122"/>
      <c r="H132" s="122"/>
    </row>
    <row r="133">
      <c r="A133" s="122"/>
      <c r="B133" s="122"/>
      <c r="C133" s="122"/>
      <c r="D133" s="122"/>
      <c r="E133" s="122"/>
      <c r="F133" s="122"/>
      <c r="G133" s="122"/>
      <c r="H133" s="122"/>
    </row>
    <row r="134">
      <c r="A134" s="122"/>
      <c r="B134" s="122"/>
      <c r="C134" s="122"/>
      <c r="D134" s="122"/>
      <c r="E134" s="122"/>
      <c r="F134" s="122"/>
      <c r="G134" s="122"/>
      <c r="H134" s="122"/>
    </row>
    <row r="135">
      <c r="A135" s="122"/>
      <c r="B135" s="122"/>
      <c r="C135" s="122"/>
      <c r="D135" s="122"/>
      <c r="E135" s="122"/>
      <c r="F135" s="122"/>
      <c r="G135" s="122"/>
      <c r="H135" s="122"/>
    </row>
    <row r="136">
      <c r="A136" s="122"/>
      <c r="B136" s="122"/>
      <c r="C136" s="122"/>
      <c r="D136" s="122"/>
      <c r="E136" s="122"/>
      <c r="F136" s="122"/>
      <c r="G136" s="122"/>
      <c r="H136" s="122"/>
    </row>
    <row r="137">
      <c r="A137" s="122"/>
      <c r="B137" s="122"/>
      <c r="C137" s="122"/>
      <c r="D137" s="122"/>
      <c r="E137" s="122"/>
      <c r="F137" s="122"/>
      <c r="G137" s="122"/>
      <c r="H137" s="122"/>
    </row>
    <row r="138">
      <c r="A138" s="122"/>
      <c r="B138" s="122"/>
      <c r="C138" s="122"/>
      <c r="D138" s="122"/>
      <c r="E138" s="122"/>
      <c r="F138" s="122"/>
      <c r="G138" s="122"/>
      <c r="H138" s="122"/>
    </row>
    <row r="139">
      <c r="A139" s="122"/>
      <c r="B139" s="122"/>
      <c r="C139" s="122"/>
      <c r="D139" s="122"/>
      <c r="E139" s="122"/>
      <c r="F139" s="122"/>
      <c r="G139" s="122"/>
      <c r="H139" s="122"/>
    </row>
    <row r="140">
      <c r="A140" s="122"/>
      <c r="B140" s="122"/>
      <c r="C140" s="122"/>
      <c r="D140" s="122"/>
      <c r="E140" s="122"/>
      <c r="F140" s="122"/>
      <c r="G140" s="122"/>
      <c r="H140" s="122"/>
    </row>
    <row r="141">
      <c r="A141" s="122"/>
      <c r="B141" s="122"/>
      <c r="C141" s="122"/>
      <c r="D141" s="122"/>
      <c r="E141" s="122"/>
      <c r="F141" s="122"/>
      <c r="G141" s="122"/>
      <c r="H141" s="122"/>
    </row>
    <row r="142">
      <c r="A142" s="122"/>
      <c r="B142" s="122"/>
      <c r="C142" s="122"/>
      <c r="D142" s="122"/>
      <c r="E142" s="122"/>
      <c r="F142" s="122"/>
      <c r="G142" s="122"/>
      <c r="H142" s="122"/>
    </row>
    <row r="143">
      <c r="A143" s="122"/>
      <c r="B143" s="122"/>
      <c r="C143" s="122"/>
      <c r="D143" s="122"/>
      <c r="E143" s="122"/>
      <c r="F143" s="122"/>
      <c r="G143" s="122"/>
      <c r="H143" s="122"/>
    </row>
    <row r="144">
      <c r="A144" s="122"/>
      <c r="B144" s="122"/>
      <c r="C144" s="122"/>
      <c r="D144" s="122"/>
      <c r="E144" s="122"/>
      <c r="F144" s="122"/>
      <c r="G144" s="122"/>
      <c r="H144" s="122"/>
    </row>
    <row r="145">
      <c r="A145" s="122"/>
      <c r="B145" s="122"/>
      <c r="C145" s="122"/>
      <c r="D145" s="122"/>
      <c r="E145" s="122"/>
      <c r="F145" s="122"/>
      <c r="G145" s="122"/>
      <c r="H145" s="122"/>
    </row>
    <row r="146">
      <c r="A146" s="122"/>
      <c r="B146" s="122"/>
      <c r="C146" s="122"/>
      <c r="D146" s="122"/>
      <c r="E146" s="122"/>
      <c r="F146" s="122"/>
      <c r="G146" s="122"/>
      <c r="H146" s="122"/>
    </row>
    <row r="147">
      <c r="A147" s="122"/>
      <c r="B147" s="122"/>
      <c r="C147" s="122"/>
      <c r="D147" s="122"/>
      <c r="E147" s="122"/>
      <c r="F147" s="122"/>
      <c r="G147" s="122"/>
      <c r="H147" s="122"/>
    </row>
    <row r="148">
      <c r="A148" s="122"/>
      <c r="B148" s="122"/>
      <c r="C148" s="122"/>
      <c r="D148" s="122"/>
      <c r="E148" s="122"/>
      <c r="F148" s="122"/>
      <c r="G148" s="122"/>
      <c r="H148" s="122"/>
    </row>
    <row r="149">
      <c r="A149" s="122"/>
      <c r="B149" s="122"/>
      <c r="C149" s="122"/>
      <c r="D149" s="122"/>
      <c r="E149" s="122"/>
      <c r="F149" s="122"/>
      <c r="G149" s="122"/>
      <c r="H149" s="122"/>
    </row>
    <row r="150">
      <c r="A150" s="122"/>
      <c r="B150" s="122"/>
      <c r="C150" s="122"/>
      <c r="D150" s="122"/>
      <c r="E150" s="122"/>
      <c r="F150" s="122"/>
      <c r="G150" s="122"/>
      <c r="H150" s="122"/>
    </row>
    <row r="151">
      <c r="A151" s="122"/>
      <c r="B151" s="122"/>
      <c r="C151" s="122"/>
      <c r="D151" s="122"/>
      <c r="E151" s="122"/>
      <c r="F151" s="122"/>
      <c r="G151" s="122"/>
      <c r="H151" s="122"/>
    </row>
    <row r="152">
      <c r="A152" s="122"/>
      <c r="B152" s="122"/>
      <c r="C152" s="122"/>
      <c r="D152" s="122"/>
      <c r="E152" s="122"/>
      <c r="F152" s="122"/>
      <c r="G152" s="122"/>
      <c r="H152" s="122"/>
    </row>
    <row r="153">
      <c r="A153" s="122"/>
      <c r="B153" s="122"/>
      <c r="C153" s="122"/>
      <c r="D153" s="122"/>
      <c r="E153" s="122"/>
      <c r="F153" s="122"/>
      <c r="G153" s="122"/>
      <c r="H153" s="122"/>
    </row>
    <row r="154">
      <c r="A154" s="122"/>
      <c r="B154" s="122"/>
      <c r="C154" s="122"/>
      <c r="D154" s="122"/>
      <c r="E154" s="122"/>
      <c r="F154" s="122"/>
      <c r="G154" s="122"/>
      <c r="H154" s="122"/>
    </row>
    <row r="155">
      <c r="A155" s="122"/>
      <c r="B155" s="122"/>
      <c r="C155" s="122"/>
      <c r="D155" s="122"/>
      <c r="E155" s="122"/>
      <c r="F155" s="122"/>
      <c r="G155" s="122"/>
      <c r="H155" s="122"/>
    </row>
    <row r="156">
      <c r="A156" s="122"/>
      <c r="B156" s="122"/>
      <c r="C156" s="122"/>
      <c r="D156" s="122"/>
      <c r="E156" s="122"/>
      <c r="F156" s="122"/>
      <c r="G156" s="122"/>
      <c r="H156" s="122"/>
    </row>
    <row r="157">
      <c r="A157" s="122"/>
      <c r="B157" s="122"/>
      <c r="C157" s="122"/>
      <c r="D157" s="122"/>
      <c r="E157" s="122"/>
      <c r="F157" s="122"/>
      <c r="G157" s="122"/>
      <c r="H157" s="122"/>
    </row>
    <row r="158">
      <c r="A158" s="122"/>
      <c r="B158" s="122"/>
      <c r="C158" s="122"/>
      <c r="D158" s="122"/>
      <c r="E158" s="122"/>
      <c r="F158" s="122"/>
      <c r="G158" s="122"/>
      <c r="H158" s="122"/>
    </row>
    <row r="159">
      <c r="A159" s="122"/>
      <c r="B159" s="122"/>
      <c r="C159" s="122"/>
      <c r="D159" s="122"/>
      <c r="E159" s="122"/>
      <c r="F159" s="122"/>
      <c r="G159" s="122"/>
      <c r="H159" s="122"/>
    </row>
    <row r="160">
      <c r="A160" s="122"/>
      <c r="B160" s="122"/>
      <c r="C160" s="122"/>
      <c r="D160" s="122"/>
      <c r="E160" s="122"/>
      <c r="F160" s="122"/>
      <c r="G160" s="122"/>
      <c r="H160" s="122"/>
    </row>
    <row r="161">
      <c r="A161" s="122"/>
      <c r="B161" s="122"/>
      <c r="C161" s="122"/>
      <c r="D161" s="122"/>
      <c r="E161" s="122"/>
      <c r="F161" s="122"/>
      <c r="G161" s="122"/>
      <c r="H161" s="122"/>
    </row>
    <row r="162">
      <c r="A162" s="122"/>
      <c r="B162" s="122"/>
      <c r="C162" s="122"/>
      <c r="D162" s="122"/>
      <c r="E162" s="122"/>
      <c r="F162" s="122"/>
      <c r="G162" s="122"/>
      <c r="H162" s="122"/>
    </row>
    <row r="163">
      <c r="A163" s="122"/>
      <c r="B163" s="122"/>
      <c r="C163" s="122"/>
      <c r="D163" s="122"/>
      <c r="E163" s="122"/>
      <c r="F163" s="122"/>
      <c r="G163" s="122"/>
      <c r="H163" s="122"/>
    </row>
    <row r="164">
      <c r="A164" s="122"/>
      <c r="B164" s="122"/>
      <c r="C164" s="122"/>
      <c r="D164" s="122"/>
      <c r="E164" s="122"/>
      <c r="F164" s="122"/>
      <c r="G164" s="122"/>
      <c r="H164" s="122"/>
    </row>
    <row r="165">
      <c r="A165" s="122"/>
      <c r="B165" s="122"/>
      <c r="C165" s="122"/>
      <c r="D165" s="122"/>
      <c r="E165" s="122"/>
      <c r="F165" s="122"/>
      <c r="G165" s="122"/>
      <c r="H165" s="122"/>
    </row>
    <row r="166">
      <c r="A166" s="122"/>
      <c r="B166" s="122"/>
      <c r="C166" s="122"/>
      <c r="D166" s="122"/>
      <c r="E166" s="122"/>
      <c r="F166" s="122"/>
      <c r="G166" s="122"/>
      <c r="H166" s="122"/>
    </row>
    <row r="167">
      <c r="A167" s="122"/>
      <c r="B167" s="122"/>
      <c r="C167" s="122"/>
      <c r="D167" s="122"/>
      <c r="E167" s="122"/>
      <c r="F167" s="122"/>
      <c r="G167" s="122"/>
      <c r="H167" s="122"/>
    </row>
    <row r="168">
      <c r="A168" s="122"/>
      <c r="B168" s="122"/>
      <c r="C168" s="122"/>
      <c r="D168" s="122"/>
      <c r="E168" s="122"/>
      <c r="F168" s="122"/>
      <c r="G168" s="122"/>
      <c r="H168" s="122"/>
    </row>
    <row r="169">
      <c r="A169" s="122"/>
      <c r="B169" s="122"/>
      <c r="C169" s="122"/>
      <c r="D169" s="122"/>
      <c r="E169" s="122"/>
      <c r="F169" s="122"/>
      <c r="G169" s="122"/>
      <c r="H169" s="122"/>
    </row>
    <row r="170">
      <c r="A170" s="122"/>
      <c r="B170" s="122"/>
      <c r="C170" s="122"/>
      <c r="D170" s="122"/>
      <c r="E170" s="122"/>
      <c r="F170" s="122"/>
      <c r="G170" s="122"/>
      <c r="H170" s="122"/>
    </row>
    <row r="171">
      <c r="A171" s="122"/>
      <c r="B171" s="122"/>
      <c r="C171" s="122"/>
      <c r="D171" s="122"/>
      <c r="E171" s="122"/>
      <c r="F171" s="122"/>
      <c r="G171" s="122"/>
      <c r="H171" s="122"/>
    </row>
    <row r="172">
      <c r="A172" s="122"/>
      <c r="B172" s="122"/>
      <c r="C172" s="122"/>
      <c r="D172" s="122"/>
      <c r="E172" s="122"/>
      <c r="F172" s="122"/>
      <c r="G172" s="122"/>
      <c r="H172" s="122"/>
    </row>
    <row r="173">
      <c r="A173" s="122"/>
      <c r="B173" s="122"/>
      <c r="C173" s="122"/>
      <c r="D173" s="122"/>
      <c r="E173" s="122"/>
      <c r="F173" s="122"/>
      <c r="G173" s="122"/>
      <c r="H173" s="122"/>
    </row>
    <row r="174">
      <c r="A174" s="122"/>
      <c r="B174" s="122"/>
      <c r="C174" s="122"/>
      <c r="D174" s="122"/>
      <c r="E174" s="122"/>
      <c r="F174" s="122"/>
      <c r="G174" s="122"/>
      <c r="H174" s="122"/>
    </row>
    <row r="175">
      <c r="A175" s="122"/>
      <c r="B175" s="122"/>
      <c r="C175" s="122"/>
      <c r="D175" s="122"/>
      <c r="E175" s="122"/>
      <c r="F175" s="122"/>
      <c r="G175" s="122"/>
      <c r="H175" s="122"/>
    </row>
    <row r="176">
      <c r="A176" s="122"/>
      <c r="B176" s="122"/>
      <c r="C176" s="122"/>
      <c r="D176" s="122"/>
      <c r="E176" s="122"/>
      <c r="F176" s="122"/>
      <c r="G176" s="122"/>
      <c r="H176" s="122"/>
    </row>
    <row r="177">
      <c r="A177" s="122"/>
      <c r="B177" s="122"/>
      <c r="C177" s="122"/>
      <c r="D177" s="122"/>
      <c r="E177" s="122"/>
      <c r="F177" s="122"/>
      <c r="G177" s="122"/>
      <c r="H177" s="122"/>
    </row>
    <row r="178">
      <c r="A178" s="122"/>
      <c r="B178" s="122"/>
      <c r="C178" s="122"/>
      <c r="D178" s="122"/>
      <c r="E178" s="122"/>
      <c r="F178" s="122"/>
      <c r="G178" s="122"/>
      <c r="H178" s="122"/>
    </row>
    <row r="179">
      <c r="A179" s="122"/>
      <c r="B179" s="122"/>
      <c r="C179" s="122"/>
      <c r="D179" s="122"/>
      <c r="E179" s="122"/>
      <c r="F179" s="122"/>
      <c r="G179" s="122"/>
      <c r="H179" s="122"/>
    </row>
    <row r="180">
      <c r="A180" s="122"/>
      <c r="B180" s="122"/>
      <c r="C180" s="122"/>
      <c r="D180" s="122"/>
      <c r="E180" s="122"/>
      <c r="F180" s="122"/>
      <c r="G180" s="122"/>
      <c r="H180" s="122"/>
    </row>
    <row r="181">
      <c r="A181" s="122"/>
      <c r="B181" s="122"/>
      <c r="C181" s="122"/>
      <c r="D181" s="122"/>
      <c r="E181" s="122"/>
      <c r="F181" s="122"/>
      <c r="G181" s="122"/>
      <c r="H181" s="122"/>
    </row>
    <row r="182">
      <c r="A182" s="122"/>
      <c r="B182" s="122"/>
      <c r="C182" s="122"/>
      <c r="D182" s="122"/>
      <c r="E182" s="122"/>
      <c r="F182" s="122"/>
      <c r="G182" s="122"/>
      <c r="H182" s="122"/>
    </row>
    <row r="183">
      <c r="A183" s="122"/>
      <c r="B183" s="122"/>
      <c r="C183" s="122"/>
      <c r="D183" s="122"/>
      <c r="E183" s="122"/>
      <c r="F183" s="122"/>
      <c r="G183" s="122"/>
      <c r="H183" s="122"/>
    </row>
    <row r="184">
      <c r="A184" s="122"/>
      <c r="B184" s="122"/>
      <c r="C184" s="122"/>
      <c r="D184" s="122"/>
      <c r="E184" s="122"/>
      <c r="F184" s="122"/>
      <c r="G184" s="122"/>
      <c r="H184" s="122"/>
    </row>
    <row r="185">
      <c r="A185" s="122"/>
      <c r="B185" s="122"/>
      <c r="C185" s="122"/>
      <c r="D185" s="122"/>
      <c r="E185" s="122"/>
      <c r="F185" s="122"/>
      <c r="G185" s="122"/>
      <c r="H185" s="122"/>
    </row>
    <row r="186">
      <c r="A186" s="122"/>
      <c r="B186" s="122"/>
      <c r="C186" s="122"/>
      <c r="D186" s="122"/>
      <c r="E186" s="122"/>
      <c r="F186" s="122"/>
      <c r="G186" s="122"/>
      <c r="H186" s="122"/>
    </row>
    <row r="187">
      <c r="A187" s="122"/>
      <c r="B187" s="122"/>
      <c r="C187" s="122"/>
      <c r="D187" s="122"/>
      <c r="E187" s="122"/>
      <c r="F187" s="122"/>
      <c r="G187" s="122"/>
      <c r="H187" s="122"/>
    </row>
    <row r="188">
      <c r="A188" s="122"/>
      <c r="B188" s="122"/>
      <c r="C188" s="122"/>
      <c r="D188" s="122"/>
      <c r="E188" s="122"/>
      <c r="F188" s="122"/>
      <c r="G188" s="122"/>
      <c r="H188" s="122"/>
    </row>
    <row r="189">
      <c r="A189" s="122"/>
      <c r="B189" s="122"/>
      <c r="C189" s="122"/>
      <c r="D189" s="122"/>
      <c r="E189" s="122"/>
      <c r="F189" s="122"/>
      <c r="G189" s="122"/>
      <c r="H189" s="122"/>
    </row>
    <row r="190">
      <c r="A190" s="122"/>
      <c r="B190" s="122"/>
      <c r="C190" s="122"/>
      <c r="D190" s="122"/>
      <c r="E190" s="122"/>
      <c r="F190" s="122"/>
      <c r="G190" s="122"/>
      <c r="H190" s="122"/>
    </row>
    <row r="191">
      <c r="A191" s="122"/>
      <c r="B191" s="122"/>
      <c r="C191" s="122"/>
      <c r="D191" s="122"/>
      <c r="E191" s="122"/>
      <c r="F191" s="122"/>
      <c r="G191" s="122"/>
      <c r="H191" s="122"/>
    </row>
    <row r="192">
      <c r="A192" s="122"/>
      <c r="B192" s="122"/>
      <c r="C192" s="122"/>
      <c r="D192" s="122"/>
      <c r="E192" s="122"/>
      <c r="F192" s="122"/>
      <c r="G192" s="122"/>
      <c r="H192" s="122"/>
    </row>
    <row r="193">
      <c r="A193" s="122"/>
      <c r="B193" s="122"/>
      <c r="C193" s="122"/>
      <c r="D193" s="122"/>
      <c r="E193" s="122"/>
      <c r="F193" s="122"/>
      <c r="G193" s="122"/>
      <c r="H193" s="122"/>
    </row>
    <row r="194">
      <c r="A194" s="122"/>
      <c r="B194" s="122"/>
      <c r="C194" s="122"/>
      <c r="D194" s="122"/>
      <c r="E194" s="122"/>
      <c r="F194" s="122"/>
      <c r="G194" s="122"/>
      <c r="H194" s="122"/>
    </row>
    <row r="195">
      <c r="A195" s="122"/>
      <c r="B195" s="122"/>
      <c r="C195" s="122"/>
      <c r="D195" s="122"/>
      <c r="E195" s="122"/>
      <c r="F195" s="122"/>
      <c r="G195" s="122"/>
      <c r="H195" s="122"/>
    </row>
    <row r="196">
      <c r="A196" s="122"/>
      <c r="B196" s="122"/>
      <c r="C196" s="122"/>
      <c r="D196" s="122"/>
      <c r="E196" s="122"/>
      <c r="F196" s="122"/>
      <c r="G196" s="122"/>
      <c r="H196" s="122"/>
    </row>
    <row r="197">
      <c r="A197" s="122"/>
      <c r="B197" s="122"/>
      <c r="C197" s="122"/>
      <c r="D197" s="122"/>
      <c r="E197" s="122"/>
      <c r="F197" s="122"/>
      <c r="G197" s="122"/>
      <c r="H197" s="122"/>
    </row>
    <row r="198">
      <c r="A198" s="122"/>
      <c r="B198" s="122"/>
      <c r="C198" s="122"/>
      <c r="D198" s="122"/>
      <c r="E198" s="122"/>
      <c r="F198" s="122"/>
      <c r="G198" s="122"/>
      <c r="H198" s="122"/>
    </row>
    <row r="199">
      <c r="A199" s="122"/>
      <c r="B199" s="122"/>
      <c r="C199" s="122"/>
      <c r="D199" s="122"/>
      <c r="E199" s="122"/>
      <c r="F199" s="122"/>
      <c r="G199" s="122"/>
      <c r="H199" s="122"/>
    </row>
    <row r="200">
      <c r="A200" s="122"/>
      <c r="B200" s="122"/>
      <c r="C200" s="122"/>
      <c r="D200" s="122"/>
      <c r="E200" s="122"/>
      <c r="F200" s="122"/>
      <c r="G200" s="122"/>
      <c r="H200" s="122"/>
    </row>
    <row r="201">
      <c r="A201" s="122"/>
      <c r="B201" s="122"/>
      <c r="C201" s="122"/>
      <c r="D201" s="122"/>
      <c r="E201" s="122"/>
      <c r="F201" s="122"/>
      <c r="G201" s="122"/>
      <c r="H201" s="122"/>
    </row>
    <row r="202">
      <c r="A202" s="122"/>
      <c r="B202" s="122"/>
      <c r="C202" s="122"/>
      <c r="D202" s="122"/>
      <c r="E202" s="122"/>
      <c r="F202" s="122"/>
      <c r="G202" s="122"/>
      <c r="H202" s="122"/>
    </row>
    <row r="203">
      <c r="A203" s="122"/>
      <c r="B203" s="122"/>
      <c r="C203" s="122"/>
      <c r="D203" s="122"/>
      <c r="E203" s="122"/>
      <c r="F203" s="122"/>
      <c r="G203" s="122"/>
      <c r="H203" s="122"/>
    </row>
    <row r="204">
      <c r="A204" s="122"/>
      <c r="B204" s="122"/>
      <c r="C204" s="122"/>
      <c r="D204" s="122"/>
      <c r="E204" s="122"/>
      <c r="F204" s="122"/>
      <c r="G204" s="122"/>
      <c r="H204" s="122"/>
    </row>
    <row r="205">
      <c r="A205" s="122"/>
      <c r="B205" s="122"/>
      <c r="C205" s="122"/>
      <c r="D205" s="122"/>
      <c r="E205" s="122"/>
      <c r="F205" s="122"/>
      <c r="G205" s="122"/>
      <c r="H205" s="122"/>
    </row>
    <row r="206">
      <c r="A206" s="122"/>
      <c r="B206" s="122"/>
      <c r="C206" s="122"/>
      <c r="D206" s="122"/>
      <c r="E206" s="122"/>
      <c r="F206" s="122"/>
      <c r="G206" s="122"/>
      <c r="H206" s="122"/>
    </row>
    <row r="207">
      <c r="A207" s="122"/>
      <c r="B207" s="122"/>
      <c r="C207" s="122"/>
      <c r="D207" s="122"/>
      <c r="E207" s="122"/>
      <c r="F207" s="122"/>
      <c r="G207" s="122"/>
      <c r="H207" s="122"/>
    </row>
    <row r="208">
      <c r="A208" s="122"/>
      <c r="B208" s="122"/>
      <c r="C208" s="122"/>
      <c r="D208" s="122"/>
      <c r="E208" s="122"/>
      <c r="F208" s="122"/>
      <c r="G208" s="122"/>
      <c r="H208" s="122"/>
    </row>
    <row r="209">
      <c r="A209" s="122"/>
      <c r="B209" s="122"/>
      <c r="C209" s="122"/>
      <c r="D209" s="122"/>
      <c r="E209" s="122"/>
      <c r="F209" s="122"/>
      <c r="G209" s="122"/>
      <c r="H209" s="122"/>
    </row>
    <row r="210">
      <c r="A210" s="122"/>
      <c r="B210" s="122"/>
      <c r="C210" s="122"/>
      <c r="D210" s="122"/>
      <c r="E210" s="122"/>
      <c r="F210" s="122"/>
      <c r="G210" s="122"/>
      <c r="H210" s="122"/>
    </row>
    <row r="211">
      <c r="A211" s="122"/>
      <c r="B211" s="122"/>
      <c r="C211" s="122"/>
      <c r="D211" s="122"/>
      <c r="E211" s="122"/>
      <c r="F211" s="122"/>
      <c r="G211" s="122"/>
      <c r="H211" s="122"/>
    </row>
    <row r="212">
      <c r="A212" s="122"/>
      <c r="B212" s="122"/>
      <c r="C212" s="122"/>
      <c r="D212" s="122"/>
      <c r="E212" s="122"/>
      <c r="F212" s="122"/>
      <c r="G212" s="122"/>
      <c r="H212" s="122"/>
    </row>
    <row r="213">
      <c r="A213" s="122"/>
      <c r="B213" s="122"/>
      <c r="C213" s="122"/>
      <c r="D213" s="122"/>
      <c r="E213" s="122"/>
      <c r="F213" s="122"/>
      <c r="G213" s="122"/>
      <c r="H213" s="122"/>
    </row>
    <row r="214">
      <c r="A214" s="122"/>
      <c r="B214" s="122"/>
      <c r="C214" s="122"/>
      <c r="D214" s="122"/>
      <c r="E214" s="122"/>
      <c r="F214" s="122"/>
      <c r="G214" s="122"/>
      <c r="H214" s="122"/>
    </row>
    <row r="215">
      <c r="A215" s="122"/>
      <c r="B215" s="122"/>
      <c r="C215" s="122"/>
      <c r="D215" s="122"/>
      <c r="E215" s="122"/>
      <c r="F215" s="122"/>
      <c r="G215" s="122"/>
      <c r="H215" s="122"/>
    </row>
    <row r="216">
      <c r="A216" s="122"/>
      <c r="B216" s="122"/>
      <c r="C216" s="122"/>
      <c r="D216" s="122"/>
      <c r="E216" s="122"/>
      <c r="F216" s="122"/>
      <c r="G216" s="122"/>
      <c r="H216" s="122"/>
    </row>
    <row r="217">
      <c r="A217" s="122"/>
      <c r="B217" s="122"/>
      <c r="C217" s="122"/>
      <c r="D217" s="122"/>
      <c r="E217" s="122"/>
      <c r="F217" s="122"/>
      <c r="G217" s="122"/>
      <c r="H217" s="122"/>
    </row>
    <row r="218">
      <c r="A218" s="122"/>
      <c r="B218" s="122"/>
      <c r="C218" s="122"/>
      <c r="D218" s="122"/>
      <c r="E218" s="122"/>
      <c r="F218" s="122"/>
      <c r="G218" s="122"/>
      <c r="H218" s="122"/>
    </row>
    <row r="219">
      <c r="A219" s="122"/>
      <c r="B219" s="122"/>
      <c r="C219" s="122"/>
      <c r="D219" s="122"/>
      <c r="E219" s="122"/>
      <c r="F219" s="122"/>
      <c r="G219" s="122"/>
      <c r="H219" s="122"/>
    </row>
    <row r="220">
      <c r="A220" s="122"/>
      <c r="B220" s="122"/>
      <c r="C220" s="122"/>
      <c r="D220" s="122"/>
      <c r="E220" s="122"/>
      <c r="F220" s="122"/>
      <c r="G220" s="122"/>
      <c r="H220" s="122"/>
    </row>
    <row r="221">
      <c r="A221" s="122"/>
      <c r="B221" s="122"/>
      <c r="C221" s="122"/>
      <c r="D221" s="122"/>
      <c r="E221" s="122"/>
      <c r="F221" s="122"/>
      <c r="G221" s="122"/>
      <c r="H221" s="122"/>
    </row>
    <row r="222">
      <c r="A222" s="122"/>
      <c r="B222" s="122"/>
      <c r="C222" s="122"/>
      <c r="D222" s="122"/>
      <c r="E222" s="122"/>
      <c r="F222" s="122"/>
      <c r="G222" s="122"/>
      <c r="H222" s="122"/>
    </row>
    <row r="223">
      <c r="A223" s="122"/>
      <c r="B223" s="122"/>
      <c r="C223" s="122"/>
      <c r="D223" s="122"/>
      <c r="E223" s="122"/>
      <c r="F223" s="122"/>
      <c r="G223" s="122"/>
      <c r="H223" s="122"/>
    </row>
    <row r="224">
      <c r="A224" s="122"/>
      <c r="B224" s="122"/>
      <c r="C224" s="122"/>
      <c r="D224" s="122"/>
      <c r="E224" s="122"/>
      <c r="F224" s="122"/>
      <c r="G224" s="122"/>
      <c r="H224" s="122"/>
    </row>
    <row r="225">
      <c r="A225" s="122"/>
      <c r="B225" s="122"/>
      <c r="C225" s="122"/>
      <c r="D225" s="122"/>
      <c r="E225" s="122"/>
      <c r="F225" s="122"/>
      <c r="G225" s="122"/>
      <c r="H225" s="122"/>
    </row>
    <row r="226">
      <c r="A226" s="122"/>
      <c r="B226" s="122"/>
      <c r="C226" s="122"/>
      <c r="D226" s="122"/>
      <c r="E226" s="122"/>
      <c r="F226" s="122"/>
      <c r="G226" s="122"/>
      <c r="H226" s="122"/>
    </row>
    <row r="227">
      <c r="A227" s="122"/>
      <c r="B227" s="122"/>
      <c r="C227" s="122"/>
      <c r="D227" s="122"/>
      <c r="E227" s="122"/>
      <c r="F227" s="122"/>
      <c r="G227" s="122"/>
      <c r="H227" s="122"/>
    </row>
    <row r="228">
      <c r="A228" s="122"/>
      <c r="B228" s="122"/>
      <c r="C228" s="122"/>
      <c r="D228" s="122"/>
      <c r="E228" s="122"/>
      <c r="F228" s="122"/>
      <c r="G228" s="122"/>
      <c r="H228" s="122"/>
    </row>
    <row r="229">
      <c r="A229" s="122"/>
      <c r="B229" s="122"/>
      <c r="C229" s="122"/>
      <c r="D229" s="122"/>
      <c r="E229" s="122"/>
      <c r="F229" s="122"/>
      <c r="G229" s="122"/>
      <c r="H229" s="122"/>
    </row>
    <row r="230">
      <c r="A230" s="122"/>
      <c r="B230" s="122"/>
      <c r="C230" s="122"/>
      <c r="D230" s="122"/>
      <c r="E230" s="122"/>
      <c r="F230" s="122"/>
      <c r="G230" s="122"/>
      <c r="H230" s="122"/>
    </row>
    <row r="231">
      <c r="A231" s="122"/>
      <c r="B231" s="122"/>
      <c r="C231" s="122"/>
      <c r="D231" s="122"/>
      <c r="E231" s="122"/>
      <c r="F231" s="122"/>
      <c r="G231" s="122"/>
      <c r="H231" s="122"/>
    </row>
    <row r="232">
      <c r="A232" s="122"/>
      <c r="B232" s="122"/>
      <c r="C232" s="122"/>
      <c r="D232" s="122"/>
      <c r="E232" s="122"/>
      <c r="F232" s="122"/>
      <c r="G232" s="122"/>
      <c r="H232" s="122"/>
    </row>
    <row r="233">
      <c r="A233" s="122"/>
      <c r="B233" s="122"/>
      <c r="C233" s="122"/>
      <c r="D233" s="122"/>
      <c r="E233" s="122"/>
      <c r="F233" s="122"/>
      <c r="G233" s="122"/>
      <c r="H233" s="122"/>
    </row>
    <row r="234">
      <c r="A234" s="122"/>
      <c r="B234" s="122"/>
      <c r="C234" s="122"/>
      <c r="D234" s="122"/>
      <c r="E234" s="122"/>
      <c r="F234" s="122"/>
      <c r="G234" s="122"/>
      <c r="H234" s="122"/>
    </row>
    <row r="235">
      <c r="A235" s="122"/>
      <c r="B235" s="122"/>
      <c r="C235" s="122"/>
      <c r="D235" s="122"/>
      <c r="E235" s="122"/>
      <c r="F235" s="122"/>
      <c r="G235" s="122"/>
      <c r="H235" s="122"/>
    </row>
    <row r="236">
      <c r="A236" s="122"/>
      <c r="B236" s="122"/>
      <c r="C236" s="122"/>
      <c r="D236" s="122"/>
      <c r="E236" s="122"/>
      <c r="F236" s="122"/>
      <c r="G236" s="122"/>
      <c r="H236" s="122"/>
    </row>
    <row r="237">
      <c r="A237" s="122"/>
      <c r="B237" s="122"/>
      <c r="C237" s="122"/>
      <c r="D237" s="122"/>
      <c r="E237" s="122"/>
      <c r="F237" s="122"/>
      <c r="G237" s="122"/>
      <c r="H237" s="122"/>
    </row>
    <row r="238">
      <c r="A238" s="122"/>
      <c r="B238" s="122"/>
      <c r="C238" s="122"/>
      <c r="D238" s="122"/>
      <c r="E238" s="122"/>
      <c r="F238" s="122"/>
      <c r="G238" s="122"/>
      <c r="H238" s="122"/>
    </row>
    <row r="239">
      <c r="A239" s="122"/>
      <c r="B239" s="122"/>
      <c r="C239" s="122"/>
      <c r="D239" s="122"/>
      <c r="E239" s="122"/>
      <c r="F239" s="122"/>
      <c r="G239" s="122"/>
      <c r="H239" s="122"/>
    </row>
    <row r="240">
      <c r="A240" s="122"/>
      <c r="B240" s="122"/>
      <c r="C240" s="122"/>
      <c r="D240" s="122"/>
      <c r="E240" s="122"/>
      <c r="F240" s="122"/>
      <c r="G240" s="122"/>
      <c r="H240" s="122"/>
    </row>
    <row r="241">
      <c r="A241" s="122"/>
      <c r="B241" s="122"/>
      <c r="C241" s="122"/>
      <c r="D241" s="122"/>
      <c r="E241" s="122"/>
      <c r="F241" s="122"/>
      <c r="G241" s="122"/>
      <c r="H241" s="122"/>
    </row>
    <row r="242">
      <c r="A242" s="122"/>
      <c r="B242" s="122"/>
      <c r="C242" s="122"/>
      <c r="D242" s="122"/>
      <c r="E242" s="122"/>
      <c r="F242" s="122"/>
      <c r="G242" s="122"/>
      <c r="H242" s="122"/>
    </row>
    <row r="243">
      <c r="A243" s="122"/>
      <c r="B243" s="122"/>
      <c r="C243" s="122"/>
      <c r="D243" s="122"/>
      <c r="E243" s="122"/>
      <c r="F243" s="122"/>
      <c r="G243" s="122"/>
      <c r="H243" s="122"/>
    </row>
    <row r="244">
      <c r="A244" s="122"/>
      <c r="B244" s="122"/>
      <c r="C244" s="122"/>
      <c r="D244" s="122"/>
      <c r="E244" s="122"/>
      <c r="F244" s="122"/>
      <c r="G244" s="122"/>
      <c r="H244" s="122"/>
    </row>
    <row r="245">
      <c r="A245" s="122"/>
      <c r="B245" s="122"/>
      <c r="C245" s="122"/>
      <c r="D245" s="122"/>
      <c r="E245" s="122"/>
      <c r="F245" s="122"/>
      <c r="G245" s="122"/>
      <c r="H245" s="122"/>
    </row>
    <row r="246">
      <c r="A246" s="122"/>
      <c r="B246" s="122"/>
      <c r="C246" s="122"/>
      <c r="D246" s="122"/>
      <c r="E246" s="122"/>
      <c r="F246" s="122"/>
      <c r="G246" s="122"/>
      <c r="H246" s="122"/>
    </row>
    <row r="247">
      <c r="A247" s="122"/>
      <c r="B247" s="122"/>
      <c r="C247" s="122"/>
      <c r="D247" s="122"/>
      <c r="E247" s="122"/>
      <c r="F247" s="122"/>
      <c r="G247" s="122"/>
      <c r="H247" s="122"/>
    </row>
    <row r="248">
      <c r="A248" s="122"/>
      <c r="B248" s="122"/>
      <c r="C248" s="122"/>
      <c r="D248" s="122"/>
      <c r="E248" s="122"/>
      <c r="F248" s="122"/>
      <c r="G248" s="122"/>
      <c r="H248" s="122"/>
    </row>
    <row r="249">
      <c r="A249" s="122"/>
      <c r="B249" s="122"/>
      <c r="C249" s="122"/>
      <c r="D249" s="122"/>
      <c r="E249" s="122"/>
      <c r="F249" s="122"/>
      <c r="G249" s="122"/>
      <c r="H249" s="122"/>
    </row>
    <row r="250">
      <c r="A250" s="122"/>
      <c r="B250" s="122"/>
      <c r="C250" s="122"/>
      <c r="D250" s="122"/>
      <c r="E250" s="122"/>
      <c r="F250" s="122"/>
      <c r="G250" s="122"/>
      <c r="H250" s="122"/>
    </row>
    <row r="251">
      <c r="A251" s="122"/>
      <c r="B251" s="122"/>
      <c r="C251" s="122"/>
      <c r="D251" s="122"/>
      <c r="E251" s="122"/>
      <c r="F251" s="122"/>
      <c r="G251" s="122"/>
      <c r="H251" s="122"/>
    </row>
    <row r="252">
      <c r="A252" s="122"/>
      <c r="B252" s="122"/>
      <c r="C252" s="122"/>
      <c r="D252" s="122"/>
      <c r="E252" s="122"/>
      <c r="F252" s="122"/>
      <c r="G252" s="122"/>
      <c r="H252" s="122"/>
    </row>
    <row r="253">
      <c r="A253" s="122"/>
      <c r="B253" s="122"/>
      <c r="C253" s="122"/>
      <c r="D253" s="122"/>
      <c r="E253" s="122"/>
      <c r="F253" s="122"/>
      <c r="G253" s="122"/>
      <c r="H253" s="122"/>
    </row>
    <row r="254">
      <c r="A254" s="122"/>
      <c r="B254" s="122"/>
      <c r="C254" s="122"/>
      <c r="D254" s="122"/>
      <c r="E254" s="122"/>
      <c r="F254" s="122"/>
      <c r="G254" s="122"/>
      <c r="H254" s="122"/>
    </row>
    <row r="255">
      <c r="A255" s="122"/>
      <c r="B255" s="122"/>
      <c r="C255" s="122"/>
      <c r="D255" s="122"/>
      <c r="E255" s="122"/>
      <c r="F255" s="122"/>
      <c r="G255" s="122"/>
      <c r="H255" s="122"/>
    </row>
    <row r="256">
      <c r="A256" s="122"/>
      <c r="B256" s="122"/>
      <c r="C256" s="122"/>
      <c r="D256" s="122"/>
      <c r="E256" s="122"/>
      <c r="F256" s="122"/>
      <c r="G256" s="122"/>
      <c r="H256" s="122"/>
    </row>
    <row r="257">
      <c r="A257" s="122"/>
      <c r="B257" s="122"/>
      <c r="C257" s="122"/>
      <c r="D257" s="122"/>
      <c r="E257" s="122"/>
      <c r="F257" s="122"/>
      <c r="G257" s="122"/>
      <c r="H257" s="122"/>
    </row>
    <row r="258">
      <c r="A258" s="122"/>
      <c r="B258" s="122"/>
      <c r="C258" s="122"/>
      <c r="D258" s="122"/>
      <c r="E258" s="122"/>
      <c r="F258" s="122"/>
      <c r="G258" s="122"/>
      <c r="H258" s="122"/>
    </row>
    <row r="259">
      <c r="A259" s="122"/>
      <c r="B259" s="122"/>
      <c r="C259" s="122"/>
      <c r="D259" s="122"/>
      <c r="E259" s="122"/>
      <c r="F259" s="122"/>
      <c r="G259" s="122"/>
      <c r="H259" s="122"/>
    </row>
    <row r="260">
      <c r="A260" s="122"/>
      <c r="B260" s="122"/>
      <c r="C260" s="122"/>
      <c r="D260" s="122"/>
      <c r="E260" s="122"/>
      <c r="F260" s="122"/>
      <c r="G260" s="122"/>
      <c r="H260" s="122"/>
    </row>
    <row r="261">
      <c r="A261" s="122"/>
      <c r="B261" s="122"/>
      <c r="C261" s="122"/>
      <c r="D261" s="122"/>
      <c r="E261" s="122"/>
      <c r="F261" s="122"/>
      <c r="G261" s="122"/>
      <c r="H261" s="122"/>
    </row>
    <row r="262">
      <c r="A262" s="122"/>
      <c r="B262" s="122"/>
      <c r="C262" s="122"/>
      <c r="D262" s="122"/>
      <c r="E262" s="122"/>
      <c r="F262" s="122"/>
      <c r="G262" s="122"/>
      <c r="H262" s="122"/>
    </row>
    <row r="263">
      <c r="A263" s="122"/>
      <c r="B263" s="122"/>
      <c r="C263" s="122"/>
      <c r="D263" s="122"/>
      <c r="E263" s="122"/>
      <c r="F263" s="122"/>
      <c r="G263" s="122"/>
      <c r="H263" s="122"/>
    </row>
    <row r="264">
      <c r="A264" s="122"/>
      <c r="B264" s="122"/>
      <c r="C264" s="122"/>
      <c r="D264" s="122"/>
      <c r="E264" s="122"/>
      <c r="F264" s="122"/>
      <c r="G264" s="122"/>
      <c r="H264" s="122"/>
    </row>
    <row r="265">
      <c r="A265" s="122"/>
      <c r="B265" s="122"/>
      <c r="C265" s="122"/>
      <c r="D265" s="122"/>
      <c r="E265" s="122"/>
      <c r="F265" s="122"/>
      <c r="G265" s="122"/>
      <c r="H265" s="122"/>
    </row>
    <row r="266">
      <c r="A266" s="122"/>
      <c r="B266" s="122"/>
      <c r="C266" s="122"/>
      <c r="D266" s="122"/>
      <c r="E266" s="122"/>
      <c r="F266" s="122"/>
      <c r="G266" s="122"/>
      <c r="H266" s="122"/>
    </row>
    <row r="267">
      <c r="A267" s="122"/>
      <c r="B267" s="122"/>
      <c r="C267" s="122"/>
      <c r="D267" s="122"/>
      <c r="E267" s="122"/>
      <c r="F267" s="122"/>
      <c r="G267" s="122"/>
      <c r="H267" s="122"/>
    </row>
    <row r="268">
      <c r="A268" s="122"/>
      <c r="B268" s="122"/>
      <c r="C268" s="122"/>
      <c r="D268" s="122"/>
      <c r="E268" s="122"/>
      <c r="F268" s="122"/>
      <c r="G268" s="122"/>
      <c r="H268" s="122"/>
    </row>
    <row r="269">
      <c r="A269" s="122"/>
      <c r="B269" s="122"/>
      <c r="C269" s="122"/>
      <c r="D269" s="122"/>
      <c r="E269" s="122"/>
      <c r="F269" s="122"/>
      <c r="G269" s="122"/>
      <c r="H269" s="122"/>
    </row>
    <row r="270">
      <c r="A270" s="122"/>
      <c r="B270" s="122"/>
      <c r="C270" s="122"/>
      <c r="D270" s="122"/>
      <c r="E270" s="122"/>
      <c r="F270" s="122"/>
      <c r="G270" s="122"/>
      <c r="H270" s="122"/>
    </row>
    <row r="271">
      <c r="A271" s="122"/>
      <c r="B271" s="122"/>
      <c r="C271" s="122"/>
      <c r="D271" s="122"/>
      <c r="E271" s="122"/>
      <c r="F271" s="122"/>
      <c r="G271" s="122"/>
      <c r="H271" s="122"/>
    </row>
    <row r="272">
      <c r="A272" s="122"/>
      <c r="B272" s="122"/>
      <c r="C272" s="122"/>
      <c r="D272" s="122"/>
      <c r="E272" s="122"/>
      <c r="F272" s="122"/>
      <c r="G272" s="122"/>
      <c r="H272" s="122"/>
    </row>
    <row r="273">
      <c r="A273" s="122"/>
      <c r="B273" s="122"/>
      <c r="C273" s="122"/>
      <c r="D273" s="122"/>
      <c r="E273" s="122"/>
      <c r="F273" s="122"/>
      <c r="G273" s="122"/>
      <c r="H273" s="122"/>
    </row>
    <row r="274">
      <c r="A274" s="122"/>
      <c r="B274" s="122"/>
      <c r="C274" s="122"/>
      <c r="D274" s="122"/>
      <c r="E274" s="122"/>
      <c r="F274" s="122"/>
      <c r="G274" s="122"/>
      <c r="H274" s="122"/>
    </row>
    <row r="275">
      <c r="A275" s="122"/>
      <c r="B275" s="122"/>
      <c r="C275" s="122"/>
      <c r="D275" s="122"/>
      <c r="E275" s="122"/>
      <c r="F275" s="122"/>
      <c r="G275" s="122"/>
      <c r="H275" s="122"/>
    </row>
    <row r="276">
      <c r="A276" s="122"/>
      <c r="B276" s="122"/>
      <c r="C276" s="122"/>
      <c r="D276" s="122"/>
      <c r="E276" s="122"/>
      <c r="F276" s="122"/>
      <c r="G276" s="122"/>
      <c r="H276" s="122"/>
    </row>
    <row r="277">
      <c r="A277" s="122"/>
      <c r="B277" s="122"/>
      <c r="C277" s="122"/>
      <c r="D277" s="122"/>
      <c r="E277" s="122"/>
      <c r="F277" s="122"/>
      <c r="G277" s="122"/>
      <c r="H277" s="122"/>
    </row>
    <row r="278">
      <c r="A278" s="122"/>
      <c r="B278" s="122"/>
      <c r="C278" s="122"/>
      <c r="D278" s="122"/>
      <c r="E278" s="122"/>
      <c r="F278" s="122"/>
      <c r="G278" s="122"/>
      <c r="H278" s="122"/>
    </row>
    <row r="279">
      <c r="A279" s="122"/>
      <c r="B279" s="122"/>
      <c r="C279" s="122"/>
      <c r="D279" s="122"/>
      <c r="E279" s="122"/>
      <c r="F279" s="122"/>
      <c r="G279" s="122"/>
      <c r="H279" s="122"/>
    </row>
    <row r="280">
      <c r="A280" s="122"/>
      <c r="B280" s="122"/>
      <c r="C280" s="122"/>
      <c r="D280" s="122"/>
      <c r="E280" s="122"/>
      <c r="F280" s="122"/>
      <c r="G280" s="122"/>
      <c r="H280" s="122"/>
    </row>
    <row r="281">
      <c r="A281" s="122"/>
      <c r="B281" s="122"/>
      <c r="C281" s="122"/>
      <c r="D281" s="122"/>
      <c r="E281" s="122"/>
      <c r="F281" s="122"/>
      <c r="G281" s="122"/>
      <c r="H281" s="122"/>
    </row>
    <row r="282">
      <c r="A282" s="122"/>
      <c r="B282" s="122"/>
      <c r="C282" s="122"/>
      <c r="D282" s="122"/>
      <c r="E282" s="122"/>
      <c r="F282" s="122"/>
      <c r="G282" s="122"/>
      <c r="H282" s="122"/>
    </row>
    <row r="283">
      <c r="A283" s="122"/>
      <c r="B283" s="122"/>
      <c r="C283" s="122"/>
      <c r="D283" s="122"/>
      <c r="E283" s="122"/>
      <c r="F283" s="122"/>
      <c r="G283" s="122"/>
      <c r="H283" s="122"/>
    </row>
    <row r="284">
      <c r="A284" s="122"/>
      <c r="B284" s="122"/>
      <c r="C284" s="122"/>
      <c r="D284" s="122"/>
      <c r="E284" s="122"/>
      <c r="F284" s="122"/>
      <c r="G284" s="122"/>
      <c r="H284" s="122"/>
    </row>
    <row r="285">
      <c r="A285" s="122"/>
      <c r="B285" s="122"/>
      <c r="C285" s="122"/>
      <c r="D285" s="122"/>
      <c r="E285" s="122"/>
      <c r="F285" s="122"/>
      <c r="G285" s="122"/>
      <c r="H285" s="122"/>
    </row>
    <row r="286">
      <c r="A286" s="122"/>
      <c r="B286" s="122"/>
      <c r="C286" s="122"/>
      <c r="D286" s="122"/>
      <c r="E286" s="122"/>
      <c r="F286" s="122"/>
      <c r="G286" s="122"/>
      <c r="H286" s="122"/>
    </row>
    <row r="287">
      <c r="A287" s="122"/>
      <c r="B287" s="122"/>
      <c r="C287" s="122"/>
      <c r="D287" s="122"/>
      <c r="E287" s="122"/>
      <c r="F287" s="122"/>
      <c r="G287" s="122"/>
      <c r="H287" s="122"/>
    </row>
    <row r="288">
      <c r="A288" s="122"/>
      <c r="B288" s="122"/>
      <c r="C288" s="122"/>
      <c r="D288" s="122"/>
      <c r="E288" s="122"/>
      <c r="F288" s="122"/>
      <c r="G288" s="122"/>
      <c r="H288" s="122"/>
    </row>
    <row r="289">
      <c r="A289" s="122"/>
      <c r="B289" s="122"/>
      <c r="C289" s="122"/>
      <c r="D289" s="122"/>
      <c r="E289" s="122"/>
      <c r="F289" s="122"/>
      <c r="G289" s="122"/>
      <c r="H289" s="122"/>
    </row>
    <row r="290">
      <c r="A290" s="122"/>
      <c r="B290" s="122"/>
      <c r="C290" s="122"/>
      <c r="D290" s="122"/>
      <c r="E290" s="122"/>
      <c r="F290" s="122"/>
      <c r="G290" s="122"/>
      <c r="H290" s="122"/>
    </row>
    <row r="291">
      <c r="A291" s="122"/>
      <c r="B291" s="122"/>
      <c r="C291" s="122"/>
      <c r="D291" s="122"/>
      <c r="E291" s="122"/>
      <c r="F291" s="122"/>
      <c r="G291" s="122"/>
      <c r="H291" s="122"/>
    </row>
    <row r="292">
      <c r="A292" s="122"/>
      <c r="B292" s="122"/>
      <c r="C292" s="122"/>
      <c r="D292" s="122"/>
      <c r="E292" s="122"/>
      <c r="F292" s="122"/>
      <c r="G292" s="122"/>
      <c r="H292" s="122"/>
    </row>
    <row r="293">
      <c r="A293" s="122"/>
      <c r="B293" s="122"/>
      <c r="C293" s="122"/>
      <c r="D293" s="122"/>
      <c r="E293" s="122"/>
      <c r="F293" s="122"/>
      <c r="G293" s="122"/>
      <c r="H293" s="122"/>
    </row>
    <row r="294">
      <c r="A294" s="122"/>
      <c r="B294" s="122"/>
      <c r="C294" s="122"/>
      <c r="D294" s="122"/>
      <c r="E294" s="122"/>
      <c r="F294" s="122"/>
      <c r="G294" s="122"/>
      <c r="H294" s="122"/>
    </row>
    <row r="295">
      <c r="A295" s="122"/>
      <c r="B295" s="122"/>
      <c r="C295" s="122"/>
      <c r="D295" s="122"/>
      <c r="E295" s="122"/>
      <c r="F295" s="122"/>
      <c r="G295" s="122"/>
      <c r="H295" s="122"/>
    </row>
    <row r="296">
      <c r="A296" s="122"/>
      <c r="B296" s="122"/>
      <c r="C296" s="122"/>
      <c r="D296" s="122"/>
      <c r="E296" s="122"/>
      <c r="F296" s="122"/>
      <c r="G296" s="122"/>
      <c r="H296" s="122"/>
    </row>
    <row r="297">
      <c r="A297" s="122"/>
      <c r="B297" s="122"/>
      <c r="C297" s="122"/>
      <c r="D297" s="122"/>
      <c r="E297" s="122"/>
      <c r="F297" s="122"/>
      <c r="G297" s="122"/>
      <c r="H297" s="122"/>
    </row>
    <row r="298">
      <c r="A298" s="122"/>
      <c r="B298" s="122"/>
      <c r="C298" s="122"/>
      <c r="D298" s="122"/>
      <c r="E298" s="122"/>
      <c r="F298" s="122"/>
      <c r="G298" s="122"/>
      <c r="H298" s="122"/>
    </row>
    <row r="299">
      <c r="A299" s="122"/>
      <c r="B299" s="122"/>
      <c r="C299" s="122"/>
      <c r="D299" s="122"/>
      <c r="E299" s="122"/>
      <c r="F299" s="122"/>
      <c r="G299" s="122"/>
      <c r="H299" s="122"/>
    </row>
    <row r="300">
      <c r="A300" s="122"/>
      <c r="B300" s="122"/>
      <c r="C300" s="122"/>
      <c r="D300" s="122"/>
      <c r="E300" s="122"/>
      <c r="F300" s="122"/>
      <c r="G300" s="122"/>
      <c r="H300" s="122"/>
    </row>
    <row r="301">
      <c r="A301" s="122"/>
      <c r="B301" s="122"/>
      <c r="C301" s="122"/>
      <c r="D301" s="122"/>
      <c r="E301" s="122"/>
      <c r="F301" s="122"/>
      <c r="G301" s="122"/>
      <c r="H301" s="122"/>
    </row>
    <row r="302">
      <c r="A302" s="122"/>
      <c r="B302" s="122"/>
      <c r="C302" s="122"/>
      <c r="D302" s="122"/>
      <c r="E302" s="122"/>
      <c r="F302" s="122"/>
      <c r="G302" s="122"/>
      <c r="H302" s="122"/>
    </row>
    <row r="303">
      <c r="A303" s="122"/>
      <c r="B303" s="122"/>
      <c r="C303" s="122"/>
      <c r="D303" s="122"/>
      <c r="E303" s="122"/>
      <c r="F303" s="122"/>
      <c r="G303" s="122"/>
      <c r="H303" s="122"/>
    </row>
    <row r="304">
      <c r="A304" s="122"/>
      <c r="B304" s="122"/>
      <c r="C304" s="122"/>
      <c r="D304" s="122"/>
      <c r="E304" s="122"/>
      <c r="F304" s="122"/>
      <c r="G304" s="122"/>
      <c r="H304" s="122"/>
    </row>
    <row r="305">
      <c r="A305" s="122"/>
      <c r="B305" s="122"/>
      <c r="C305" s="122"/>
      <c r="D305" s="122"/>
      <c r="E305" s="122"/>
      <c r="F305" s="122"/>
      <c r="G305" s="122"/>
      <c r="H305" s="122"/>
    </row>
    <row r="306">
      <c r="A306" s="122"/>
      <c r="B306" s="122"/>
      <c r="C306" s="122"/>
      <c r="D306" s="122"/>
      <c r="E306" s="122"/>
      <c r="F306" s="122"/>
      <c r="G306" s="122"/>
      <c r="H306" s="122"/>
    </row>
    <row r="307">
      <c r="A307" s="122"/>
      <c r="B307" s="122"/>
      <c r="C307" s="122"/>
      <c r="D307" s="122"/>
      <c r="E307" s="122"/>
      <c r="F307" s="122"/>
      <c r="G307" s="122"/>
      <c r="H307" s="122"/>
    </row>
    <row r="308">
      <c r="A308" s="122"/>
      <c r="B308" s="122"/>
      <c r="C308" s="122"/>
      <c r="D308" s="122"/>
      <c r="E308" s="122"/>
      <c r="F308" s="122"/>
      <c r="G308" s="122"/>
      <c r="H308" s="122"/>
    </row>
    <row r="309">
      <c r="A309" s="122"/>
      <c r="B309" s="122"/>
      <c r="C309" s="122"/>
      <c r="D309" s="122"/>
      <c r="E309" s="122"/>
      <c r="F309" s="122"/>
      <c r="G309" s="122"/>
      <c r="H309" s="122"/>
    </row>
    <row r="310">
      <c r="A310" s="122"/>
      <c r="B310" s="122"/>
      <c r="C310" s="122"/>
      <c r="D310" s="122"/>
      <c r="E310" s="122"/>
      <c r="F310" s="122"/>
      <c r="G310" s="122"/>
      <c r="H310" s="122"/>
    </row>
    <row r="311">
      <c r="A311" s="122"/>
      <c r="B311" s="122"/>
      <c r="C311" s="122"/>
      <c r="D311" s="122"/>
      <c r="E311" s="122"/>
      <c r="F311" s="122"/>
      <c r="G311" s="122"/>
      <c r="H311" s="122"/>
    </row>
    <row r="312">
      <c r="A312" s="122"/>
      <c r="B312" s="122"/>
      <c r="C312" s="122"/>
      <c r="D312" s="122"/>
      <c r="E312" s="122"/>
      <c r="F312" s="122"/>
      <c r="G312" s="122"/>
      <c r="H312" s="122"/>
    </row>
    <row r="313">
      <c r="A313" s="122"/>
      <c r="B313" s="122"/>
      <c r="C313" s="122"/>
      <c r="D313" s="122"/>
      <c r="E313" s="122"/>
      <c r="F313" s="122"/>
      <c r="G313" s="122"/>
      <c r="H313" s="122"/>
    </row>
    <row r="314">
      <c r="A314" s="122"/>
      <c r="B314" s="122"/>
      <c r="C314" s="122"/>
      <c r="D314" s="122"/>
      <c r="E314" s="122"/>
      <c r="F314" s="122"/>
      <c r="G314" s="122"/>
      <c r="H314" s="122"/>
    </row>
    <row r="315">
      <c r="A315" s="122"/>
      <c r="B315" s="122"/>
      <c r="C315" s="122"/>
      <c r="D315" s="122"/>
      <c r="E315" s="122"/>
      <c r="F315" s="122"/>
      <c r="G315" s="122"/>
      <c r="H315" s="122"/>
    </row>
    <row r="316">
      <c r="A316" s="122"/>
      <c r="B316" s="122"/>
      <c r="C316" s="122"/>
      <c r="D316" s="122"/>
      <c r="E316" s="122"/>
      <c r="F316" s="122"/>
      <c r="G316" s="122"/>
      <c r="H316" s="122"/>
    </row>
    <row r="317">
      <c r="A317" s="122"/>
      <c r="B317" s="122"/>
      <c r="C317" s="122"/>
      <c r="D317" s="122"/>
      <c r="E317" s="122"/>
      <c r="F317" s="122"/>
      <c r="G317" s="122"/>
      <c r="H317" s="122"/>
    </row>
    <row r="318">
      <c r="A318" s="122"/>
      <c r="B318" s="122"/>
      <c r="C318" s="122"/>
      <c r="D318" s="122"/>
      <c r="E318" s="122"/>
      <c r="F318" s="122"/>
      <c r="G318" s="122"/>
      <c r="H318" s="122"/>
    </row>
    <row r="319">
      <c r="A319" s="122"/>
      <c r="B319" s="122"/>
      <c r="C319" s="122"/>
      <c r="D319" s="122"/>
      <c r="E319" s="122"/>
      <c r="F319" s="122"/>
      <c r="G319" s="122"/>
      <c r="H319" s="122"/>
    </row>
    <row r="320">
      <c r="A320" s="122"/>
      <c r="B320" s="122"/>
      <c r="C320" s="122"/>
      <c r="D320" s="122"/>
      <c r="E320" s="122"/>
      <c r="F320" s="122"/>
      <c r="G320" s="122"/>
      <c r="H320" s="122"/>
    </row>
    <row r="321">
      <c r="A321" s="122"/>
      <c r="B321" s="122"/>
      <c r="C321" s="122"/>
      <c r="D321" s="122"/>
      <c r="E321" s="122"/>
      <c r="F321" s="122"/>
      <c r="G321" s="122"/>
      <c r="H321" s="122"/>
    </row>
    <row r="322">
      <c r="A322" s="122"/>
      <c r="B322" s="122"/>
      <c r="C322" s="122"/>
      <c r="D322" s="122"/>
      <c r="E322" s="122"/>
      <c r="F322" s="122"/>
      <c r="G322" s="122"/>
      <c r="H322" s="122"/>
    </row>
    <row r="323">
      <c r="A323" s="122"/>
      <c r="B323" s="122"/>
      <c r="C323" s="122"/>
      <c r="D323" s="122"/>
      <c r="E323" s="122"/>
      <c r="F323" s="122"/>
      <c r="G323" s="122"/>
      <c r="H323" s="122"/>
    </row>
    <row r="324">
      <c r="A324" s="122"/>
      <c r="B324" s="122"/>
      <c r="C324" s="122"/>
      <c r="D324" s="122"/>
      <c r="E324" s="122"/>
      <c r="F324" s="122"/>
      <c r="G324" s="122"/>
      <c r="H324" s="122"/>
    </row>
    <row r="325">
      <c r="A325" s="122"/>
      <c r="B325" s="122"/>
      <c r="C325" s="122"/>
      <c r="D325" s="122"/>
      <c r="E325" s="122"/>
      <c r="F325" s="122"/>
      <c r="G325" s="122"/>
      <c r="H325" s="122"/>
    </row>
    <row r="326">
      <c r="A326" s="122"/>
      <c r="B326" s="122"/>
      <c r="C326" s="122"/>
      <c r="D326" s="122"/>
      <c r="E326" s="122"/>
      <c r="F326" s="122"/>
      <c r="G326" s="122"/>
      <c r="H326" s="122"/>
    </row>
    <row r="327">
      <c r="A327" s="122"/>
      <c r="B327" s="122"/>
      <c r="C327" s="122"/>
      <c r="D327" s="122"/>
      <c r="E327" s="122"/>
      <c r="F327" s="122"/>
      <c r="G327" s="122"/>
      <c r="H327" s="122"/>
    </row>
    <row r="328">
      <c r="A328" s="122"/>
      <c r="B328" s="122"/>
      <c r="C328" s="122"/>
      <c r="D328" s="122"/>
      <c r="E328" s="122"/>
      <c r="F328" s="122"/>
      <c r="G328" s="122"/>
      <c r="H328" s="122"/>
    </row>
    <row r="329">
      <c r="A329" s="122"/>
      <c r="B329" s="122"/>
      <c r="C329" s="122"/>
      <c r="D329" s="122"/>
      <c r="E329" s="122"/>
      <c r="F329" s="122"/>
      <c r="G329" s="122"/>
      <c r="H329" s="122"/>
    </row>
    <row r="330">
      <c r="A330" s="122"/>
      <c r="B330" s="122"/>
      <c r="C330" s="122"/>
      <c r="D330" s="122"/>
      <c r="E330" s="122"/>
      <c r="F330" s="122"/>
      <c r="G330" s="122"/>
      <c r="H330" s="122"/>
    </row>
    <row r="331">
      <c r="A331" s="122"/>
      <c r="B331" s="122"/>
      <c r="C331" s="122"/>
      <c r="D331" s="122"/>
      <c r="E331" s="122"/>
      <c r="F331" s="122"/>
      <c r="G331" s="122"/>
      <c r="H331" s="122"/>
    </row>
    <row r="332">
      <c r="A332" s="122"/>
      <c r="B332" s="122"/>
      <c r="C332" s="122"/>
      <c r="D332" s="122"/>
      <c r="E332" s="122"/>
      <c r="F332" s="122"/>
      <c r="G332" s="122"/>
      <c r="H332" s="122"/>
    </row>
    <row r="333">
      <c r="A333" s="122"/>
      <c r="B333" s="122"/>
      <c r="C333" s="122"/>
      <c r="D333" s="122"/>
      <c r="E333" s="122"/>
      <c r="F333" s="122"/>
      <c r="G333" s="122"/>
      <c r="H333" s="122"/>
    </row>
    <row r="334">
      <c r="A334" s="122"/>
      <c r="B334" s="122"/>
      <c r="C334" s="122"/>
      <c r="D334" s="122"/>
      <c r="E334" s="122"/>
      <c r="F334" s="122"/>
      <c r="G334" s="122"/>
      <c r="H334" s="122"/>
    </row>
    <row r="335">
      <c r="A335" s="122"/>
      <c r="B335" s="122"/>
      <c r="C335" s="122"/>
      <c r="D335" s="122"/>
      <c r="E335" s="122"/>
      <c r="F335" s="122"/>
      <c r="G335" s="122"/>
      <c r="H335" s="122"/>
    </row>
    <row r="336">
      <c r="A336" s="122"/>
      <c r="B336" s="122"/>
      <c r="C336" s="122"/>
      <c r="D336" s="122"/>
      <c r="E336" s="122"/>
      <c r="F336" s="122"/>
      <c r="G336" s="122"/>
      <c r="H336" s="122"/>
    </row>
    <row r="337">
      <c r="A337" s="122"/>
      <c r="B337" s="122"/>
      <c r="C337" s="122"/>
      <c r="D337" s="122"/>
      <c r="E337" s="122"/>
      <c r="F337" s="122"/>
      <c r="G337" s="122"/>
      <c r="H337" s="122"/>
    </row>
    <row r="338">
      <c r="A338" s="122"/>
      <c r="B338" s="122"/>
      <c r="C338" s="122"/>
      <c r="D338" s="122"/>
      <c r="E338" s="122"/>
      <c r="F338" s="122"/>
      <c r="G338" s="122"/>
      <c r="H338" s="122"/>
    </row>
    <row r="339">
      <c r="A339" s="122"/>
      <c r="B339" s="122"/>
      <c r="C339" s="122"/>
      <c r="D339" s="122"/>
      <c r="E339" s="122"/>
      <c r="F339" s="122"/>
      <c r="G339" s="122"/>
      <c r="H339" s="122"/>
    </row>
    <row r="340">
      <c r="A340" s="122"/>
      <c r="B340" s="122"/>
      <c r="C340" s="122"/>
      <c r="D340" s="122"/>
      <c r="E340" s="122"/>
      <c r="F340" s="122"/>
      <c r="G340" s="122"/>
      <c r="H340" s="122"/>
    </row>
    <row r="341">
      <c r="A341" s="122"/>
      <c r="B341" s="122"/>
      <c r="C341" s="122"/>
      <c r="D341" s="122"/>
      <c r="E341" s="122"/>
      <c r="F341" s="122"/>
      <c r="G341" s="122"/>
      <c r="H341" s="122"/>
    </row>
    <row r="342">
      <c r="A342" s="122"/>
      <c r="B342" s="122"/>
      <c r="C342" s="122"/>
      <c r="D342" s="122"/>
      <c r="E342" s="122"/>
      <c r="F342" s="122"/>
      <c r="G342" s="122"/>
      <c r="H342" s="122"/>
    </row>
    <row r="343">
      <c r="A343" s="122"/>
      <c r="B343" s="122"/>
      <c r="C343" s="122"/>
      <c r="D343" s="122"/>
      <c r="E343" s="122"/>
      <c r="F343" s="122"/>
      <c r="G343" s="122"/>
      <c r="H343" s="122"/>
    </row>
    <row r="344">
      <c r="A344" s="122"/>
      <c r="B344" s="122"/>
      <c r="C344" s="122"/>
      <c r="D344" s="122"/>
      <c r="E344" s="122"/>
      <c r="F344" s="122"/>
      <c r="G344" s="122"/>
      <c r="H344" s="122"/>
    </row>
    <row r="345">
      <c r="A345" s="122"/>
      <c r="B345" s="122"/>
      <c r="C345" s="122"/>
      <c r="D345" s="122"/>
      <c r="E345" s="122"/>
      <c r="F345" s="122"/>
      <c r="G345" s="122"/>
      <c r="H345" s="122"/>
    </row>
    <row r="346">
      <c r="A346" s="122"/>
      <c r="B346" s="122"/>
      <c r="C346" s="122"/>
      <c r="D346" s="122"/>
      <c r="E346" s="122"/>
      <c r="F346" s="122"/>
      <c r="G346" s="122"/>
      <c r="H346" s="122"/>
    </row>
    <row r="347">
      <c r="A347" s="122"/>
      <c r="B347" s="122"/>
      <c r="C347" s="122"/>
      <c r="D347" s="122"/>
      <c r="E347" s="122"/>
      <c r="F347" s="122"/>
      <c r="G347" s="122"/>
      <c r="H347" s="122"/>
    </row>
    <row r="348">
      <c r="A348" s="122"/>
      <c r="B348" s="122"/>
      <c r="C348" s="122"/>
      <c r="D348" s="122"/>
      <c r="E348" s="122"/>
      <c r="F348" s="122"/>
      <c r="G348" s="122"/>
      <c r="H348" s="122"/>
    </row>
    <row r="349">
      <c r="A349" s="122"/>
      <c r="B349" s="122"/>
      <c r="C349" s="122"/>
      <c r="D349" s="122"/>
      <c r="E349" s="122"/>
      <c r="F349" s="122"/>
      <c r="G349" s="122"/>
      <c r="H349" s="122"/>
    </row>
    <row r="350">
      <c r="A350" s="122"/>
      <c r="B350" s="122"/>
      <c r="C350" s="122"/>
      <c r="D350" s="122"/>
      <c r="E350" s="122"/>
      <c r="F350" s="122"/>
      <c r="G350" s="122"/>
      <c r="H350" s="122"/>
    </row>
    <row r="351">
      <c r="A351" s="122"/>
      <c r="B351" s="122"/>
      <c r="C351" s="122"/>
      <c r="D351" s="122"/>
      <c r="E351" s="122"/>
      <c r="F351" s="122"/>
      <c r="G351" s="122"/>
      <c r="H351" s="122"/>
    </row>
    <row r="352">
      <c r="A352" s="122"/>
      <c r="B352" s="122"/>
      <c r="C352" s="122"/>
      <c r="D352" s="122"/>
      <c r="E352" s="122"/>
      <c r="F352" s="122"/>
      <c r="G352" s="122"/>
      <c r="H352" s="122"/>
    </row>
    <row r="353">
      <c r="A353" s="122"/>
      <c r="B353" s="122"/>
      <c r="C353" s="122"/>
      <c r="D353" s="122"/>
      <c r="E353" s="122"/>
      <c r="F353" s="122"/>
      <c r="G353" s="122"/>
      <c r="H353" s="122"/>
    </row>
    <row r="354">
      <c r="A354" s="122"/>
      <c r="B354" s="122"/>
      <c r="C354" s="122"/>
      <c r="D354" s="122"/>
      <c r="E354" s="122"/>
      <c r="F354" s="122"/>
      <c r="G354" s="122"/>
      <c r="H354" s="122"/>
    </row>
    <row r="355">
      <c r="A355" s="122"/>
      <c r="B355" s="122"/>
      <c r="C355" s="122"/>
      <c r="D355" s="122"/>
      <c r="E355" s="122"/>
      <c r="F355" s="122"/>
      <c r="G355" s="122"/>
      <c r="H355" s="122"/>
    </row>
    <row r="356">
      <c r="A356" s="122"/>
      <c r="B356" s="122"/>
      <c r="C356" s="122"/>
      <c r="D356" s="122"/>
      <c r="E356" s="122"/>
      <c r="F356" s="122"/>
      <c r="G356" s="122"/>
      <c r="H356" s="122"/>
    </row>
    <row r="357">
      <c r="A357" s="122"/>
      <c r="B357" s="122"/>
      <c r="C357" s="122"/>
      <c r="D357" s="122"/>
      <c r="E357" s="122"/>
      <c r="F357" s="122"/>
      <c r="G357" s="122"/>
      <c r="H357" s="122"/>
    </row>
    <row r="358">
      <c r="A358" s="122"/>
      <c r="B358" s="122"/>
      <c r="C358" s="122"/>
      <c r="D358" s="122"/>
      <c r="E358" s="122"/>
      <c r="F358" s="122"/>
      <c r="G358" s="122"/>
      <c r="H358" s="122"/>
    </row>
    <row r="359">
      <c r="A359" s="122"/>
      <c r="B359" s="122"/>
      <c r="C359" s="122"/>
      <c r="D359" s="122"/>
      <c r="E359" s="122"/>
      <c r="F359" s="122"/>
      <c r="G359" s="122"/>
      <c r="H359" s="122"/>
    </row>
    <row r="360">
      <c r="A360" s="122"/>
      <c r="B360" s="122"/>
      <c r="C360" s="122"/>
      <c r="D360" s="122"/>
      <c r="E360" s="122"/>
      <c r="F360" s="122"/>
      <c r="G360" s="122"/>
      <c r="H360" s="122"/>
    </row>
    <row r="361">
      <c r="A361" s="122"/>
      <c r="B361" s="122"/>
      <c r="C361" s="122"/>
      <c r="D361" s="122"/>
      <c r="E361" s="122"/>
      <c r="F361" s="122"/>
      <c r="G361" s="122"/>
      <c r="H361" s="122"/>
    </row>
    <row r="362">
      <c r="A362" s="122"/>
      <c r="B362" s="122"/>
      <c r="C362" s="122"/>
      <c r="D362" s="122"/>
      <c r="E362" s="122"/>
      <c r="F362" s="122"/>
      <c r="G362" s="122"/>
      <c r="H362" s="122"/>
    </row>
    <row r="363">
      <c r="A363" s="122"/>
      <c r="B363" s="122"/>
      <c r="C363" s="122"/>
      <c r="D363" s="122"/>
      <c r="E363" s="122"/>
      <c r="F363" s="122"/>
      <c r="G363" s="122"/>
      <c r="H363" s="122"/>
    </row>
    <row r="364">
      <c r="A364" s="122"/>
      <c r="B364" s="122"/>
      <c r="C364" s="122"/>
      <c r="D364" s="122"/>
      <c r="E364" s="122"/>
      <c r="F364" s="122"/>
      <c r="G364" s="122"/>
      <c r="H364" s="122"/>
    </row>
    <row r="365">
      <c r="A365" s="122"/>
      <c r="B365" s="122"/>
      <c r="C365" s="122"/>
      <c r="D365" s="122"/>
      <c r="E365" s="122"/>
      <c r="F365" s="122"/>
      <c r="G365" s="122"/>
      <c r="H365" s="122"/>
    </row>
    <row r="366">
      <c r="A366" s="122"/>
      <c r="B366" s="122"/>
      <c r="C366" s="122"/>
      <c r="D366" s="122"/>
      <c r="E366" s="122"/>
      <c r="F366" s="122"/>
      <c r="G366" s="122"/>
      <c r="H366" s="122"/>
    </row>
    <row r="367">
      <c r="A367" s="122"/>
      <c r="B367" s="122"/>
      <c r="C367" s="122"/>
      <c r="D367" s="122"/>
      <c r="E367" s="122"/>
      <c r="F367" s="122"/>
      <c r="G367" s="122"/>
      <c r="H367" s="122"/>
    </row>
    <row r="368">
      <c r="A368" s="122"/>
      <c r="B368" s="122"/>
      <c r="C368" s="122"/>
      <c r="D368" s="122"/>
      <c r="E368" s="122"/>
      <c r="F368" s="122"/>
      <c r="G368" s="122"/>
      <c r="H368" s="122"/>
    </row>
    <row r="369">
      <c r="A369" s="122"/>
      <c r="B369" s="122"/>
      <c r="C369" s="122"/>
      <c r="D369" s="122"/>
      <c r="E369" s="122"/>
      <c r="F369" s="122"/>
      <c r="G369" s="122"/>
      <c r="H369" s="122"/>
    </row>
    <row r="370">
      <c r="A370" s="122"/>
      <c r="B370" s="122"/>
      <c r="C370" s="122"/>
      <c r="D370" s="122"/>
      <c r="E370" s="122"/>
      <c r="F370" s="122"/>
      <c r="G370" s="122"/>
      <c r="H370" s="122"/>
    </row>
    <row r="371">
      <c r="A371" s="122"/>
      <c r="B371" s="122"/>
      <c r="C371" s="122"/>
      <c r="D371" s="122"/>
      <c r="E371" s="122"/>
      <c r="F371" s="122"/>
      <c r="G371" s="122"/>
      <c r="H371" s="122"/>
    </row>
    <row r="372">
      <c r="A372" s="122"/>
      <c r="B372" s="122"/>
      <c r="C372" s="122"/>
      <c r="D372" s="122"/>
      <c r="E372" s="122"/>
      <c r="F372" s="122"/>
      <c r="G372" s="122"/>
      <c r="H372" s="122"/>
    </row>
    <row r="373">
      <c r="A373" s="122"/>
      <c r="B373" s="122"/>
      <c r="C373" s="122"/>
      <c r="D373" s="122"/>
      <c r="E373" s="122"/>
      <c r="F373" s="122"/>
      <c r="G373" s="122"/>
      <c r="H373" s="122"/>
    </row>
    <row r="374">
      <c r="A374" s="122"/>
      <c r="B374" s="122"/>
      <c r="C374" s="122"/>
      <c r="D374" s="122"/>
      <c r="E374" s="122"/>
      <c r="F374" s="122"/>
      <c r="G374" s="122"/>
      <c r="H374" s="122"/>
    </row>
    <row r="375">
      <c r="A375" s="122"/>
      <c r="B375" s="122"/>
      <c r="C375" s="122"/>
      <c r="D375" s="122"/>
      <c r="E375" s="122"/>
      <c r="F375" s="122"/>
      <c r="G375" s="122"/>
      <c r="H375" s="122"/>
    </row>
    <row r="376">
      <c r="A376" s="122"/>
      <c r="B376" s="122"/>
      <c r="C376" s="122"/>
      <c r="D376" s="122"/>
      <c r="E376" s="122"/>
      <c r="F376" s="122"/>
      <c r="G376" s="122"/>
      <c r="H376" s="122"/>
    </row>
    <row r="377">
      <c r="A377" s="122"/>
      <c r="B377" s="122"/>
      <c r="C377" s="122"/>
      <c r="D377" s="122"/>
      <c r="E377" s="122"/>
      <c r="F377" s="122"/>
      <c r="G377" s="122"/>
      <c r="H377" s="122"/>
    </row>
    <row r="378">
      <c r="A378" s="122"/>
      <c r="B378" s="122"/>
      <c r="C378" s="122"/>
      <c r="D378" s="122"/>
      <c r="E378" s="122"/>
      <c r="F378" s="122"/>
      <c r="G378" s="122"/>
      <c r="H378" s="122"/>
    </row>
    <row r="379">
      <c r="A379" s="122"/>
      <c r="B379" s="122"/>
      <c r="C379" s="122"/>
      <c r="D379" s="122"/>
      <c r="E379" s="122"/>
      <c r="F379" s="122"/>
      <c r="G379" s="122"/>
      <c r="H379" s="122"/>
    </row>
    <row r="380">
      <c r="A380" s="122"/>
      <c r="B380" s="122"/>
      <c r="C380" s="122"/>
      <c r="D380" s="122"/>
      <c r="E380" s="122"/>
      <c r="F380" s="122"/>
      <c r="G380" s="122"/>
      <c r="H380" s="122"/>
    </row>
    <row r="381">
      <c r="A381" s="122"/>
      <c r="B381" s="122"/>
      <c r="C381" s="122"/>
      <c r="D381" s="122"/>
      <c r="E381" s="122"/>
      <c r="F381" s="122"/>
      <c r="G381" s="122"/>
      <c r="H381" s="122"/>
    </row>
    <row r="382">
      <c r="A382" s="122"/>
      <c r="B382" s="122"/>
      <c r="C382" s="122"/>
      <c r="D382" s="122"/>
      <c r="E382" s="122"/>
      <c r="F382" s="122"/>
      <c r="G382" s="122"/>
      <c r="H382" s="122"/>
    </row>
    <row r="383">
      <c r="A383" s="122"/>
      <c r="B383" s="122"/>
      <c r="C383" s="122"/>
      <c r="D383" s="122"/>
      <c r="E383" s="122"/>
      <c r="F383" s="122"/>
      <c r="G383" s="122"/>
      <c r="H383" s="122"/>
    </row>
    <row r="384">
      <c r="A384" s="122"/>
      <c r="B384" s="122"/>
      <c r="C384" s="122"/>
      <c r="D384" s="122"/>
      <c r="E384" s="122"/>
      <c r="F384" s="122"/>
      <c r="G384" s="122"/>
      <c r="H384" s="122"/>
    </row>
    <row r="385">
      <c r="A385" s="122"/>
      <c r="B385" s="122"/>
      <c r="C385" s="122"/>
      <c r="D385" s="122"/>
      <c r="E385" s="122"/>
      <c r="F385" s="122"/>
      <c r="G385" s="122"/>
      <c r="H385" s="122"/>
    </row>
    <row r="386">
      <c r="A386" s="122"/>
      <c r="B386" s="122"/>
      <c r="C386" s="122"/>
      <c r="D386" s="122"/>
      <c r="E386" s="122"/>
      <c r="F386" s="122"/>
      <c r="G386" s="122"/>
      <c r="H386" s="122"/>
    </row>
    <row r="387">
      <c r="A387" s="122"/>
      <c r="B387" s="122"/>
      <c r="C387" s="122"/>
      <c r="D387" s="122"/>
      <c r="E387" s="122"/>
      <c r="F387" s="122"/>
      <c r="G387" s="122"/>
      <c r="H387" s="122"/>
    </row>
    <row r="388">
      <c r="A388" s="122"/>
      <c r="B388" s="122"/>
      <c r="C388" s="122"/>
      <c r="D388" s="122"/>
      <c r="E388" s="122"/>
      <c r="F388" s="122"/>
      <c r="G388" s="122"/>
      <c r="H388" s="122"/>
    </row>
    <row r="389">
      <c r="A389" s="122"/>
      <c r="B389" s="122"/>
      <c r="C389" s="122"/>
      <c r="D389" s="122"/>
      <c r="E389" s="122"/>
      <c r="F389" s="122"/>
      <c r="G389" s="122"/>
      <c r="H389" s="122"/>
    </row>
    <row r="390">
      <c r="A390" s="122"/>
      <c r="B390" s="122"/>
      <c r="C390" s="122"/>
      <c r="D390" s="122"/>
      <c r="E390" s="122"/>
      <c r="F390" s="122"/>
      <c r="G390" s="122"/>
      <c r="H390" s="122"/>
    </row>
    <row r="391">
      <c r="A391" s="122"/>
      <c r="B391" s="122"/>
      <c r="C391" s="122"/>
      <c r="D391" s="122"/>
      <c r="E391" s="122"/>
      <c r="F391" s="122"/>
      <c r="G391" s="122"/>
      <c r="H391" s="122"/>
    </row>
    <row r="392">
      <c r="A392" s="122"/>
      <c r="B392" s="122"/>
      <c r="C392" s="122"/>
      <c r="D392" s="122"/>
      <c r="E392" s="122"/>
      <c r="F392" s="122"/>
      <c r="G392" s="122"/>
      <c r="H392" s="122"/>
    </row>
    <row r="393">
      <c r="A393" s="122"/>
      <c r="B393" s="122"/>
      <c r="C393" s="122"/>
      <c r="D393" s="122"/>
      <c r="E393" s="122"/>
      <c r="F393" s="122"/>
      <c r="G393" s="122"/>
      <c r="H393" s="122"/>
    </row>
    <row r="394">
      <c r="A394" s="122"/>
      <c r="B394" s="122"/>
      <c r="C394" s="122"/>
      <c r="D394" s="122"/>
      <c r="E394" s="122"/>
      <c r="F394" s="122"/>
      <c r="G394" s="122"/>
      <c r="H394" s="122"/>
    </row>
    <row r="395">
      <c r="A395" s="122"/>
      <c r="B395" s="122"/>
      <c r="C395" s="122"/>
      <c r="D395" s="122"/>
      <c r="E395" s="122"/>
      <c r="F395" s="122"/>
      <c r="G395" s="122"/>
      <c r="H395" s="122"/>
    </row>
    <row r="396">
      <c r="A396" s="122"/>
      <c r="B396" s="122"/>
      <c r="C396" s="122"/>
      <c r="D396" s="122"/>
      <c r="E396" s="122"/>
      <c r="F396" s="122"/>
      <c r="G396" s="122"/>
      <c r="H396" s="122"/>
    </row>
    <row r="397">
      <c r="A397" s="122"/>
      <c r="B397" s="122"/>
      <c r="C397" s="122"/>
      <c r="D397" s="122"/>
      <c r="E397" s="122"/>
      <c r="F397" s="122"/>
      <c r="G397" s="122"/>
      <c r="H397" s="122"/>
    </row>
    <row r="398">
      <c r="A398" s="122"/>
      <c r="B398" s="122"/>
      <c r="C398" s="122"/>
      <c r="D398" s="122"/>
      <c r="E398" s="122"/>
      <c r="F398" s="122"/>
      <c r="G398" s="122"/>
      <c r="H398" s="122"/>
    </row>
    <row r="399">
      <c r="A399" s="122"/>
      <c r="B399" s="122"/>
      <c r="C399" s="122"/>
      <c r="D399" s="122"/>
      <c r="E399" s="122"/>
      <c r="F399" s="122"/>
      <c r="G399" s="122"/>
      <c r="H399" s="122"/>
    </row>
    <row r="400">
      <c r="A400" s="122"/>
      <c r="B400" s="122"/>
      <c r="C400" s="122"/>
      <c r="D400" s="122"/>
      <c r="E400" s="122"/>
      <c r="F400" s="122"/>
      <c r="G400" s="122"/>
      <c r="H400" s="122"/>
    </row>
    <row r="401">
      <c r="A401" s="122"/>
      <c r="B401" s="122"/>
      <c r="C401" s="122"/>
      <c r="D401" s="122"/>
      <c r="E401" s="122"/>
      <c r="F401" s="122"/>
      <c r="G401" s="122"/>
      <c r="H401" s="122"/>
    </row>
    <row r="402">
      <c r="A402" s="122"/>
      <c r="B402" s="122"/>
      <c r="C402" s="122"/>
      <c r="D402" s="122"/>
      <c r="E402" s="122"/>
      <c r="F402" s="122"/>
      <c r="G402" s="122"/>
      <c r="H402" s="122"/>
    </row>
    <row r="403">
      <c r="A403" s="122"/>
      <c r="B403" s="122"/>
      <c r="C403" s="122"/>
      <c r="D403" s="122"/>
      <c r="E403" s="122"/>
      <c r="F403" s="122"/>
      <c r="G403" s="122"/>
      <c r="H403" s="122"/>
    </row>
    <row r="404">
      <c r="A404" s="122"/>
      <c r="B404" s="122"/>
      <c r="C404" s="122"/>
      <c r="D404" s="122"/>
      <c r="E404" s="122"/>
      <c r="F404" s="122"/>
      <c r="G404" s="122"/>
      <c r="H404" s="122"/>
    </row>
    <row r="405">
      <c r="A405" s="122"/>
      <c r="B405" s="122"/>
      <c r="C405" s="122"/>
      <c r="D405" s="122"/>
      <c r="E405" s="122"/>
      <c r="F405" s="122"/>
      <c r="G405" s="122"/>
      <c r="H405" s="122"/>
    </row>
    <row r="406">
      <c r="A406" s="122"/>
      <c r="B406" s="122"/>
      <c r="C406" s="122"/>
      <c r="D406" s="122"/>
      <c r="E406" s="122"/>
      <c r="F406" s="122"/>
      <c r="G406" s="122"/>
      <c r="H406" s="122"/>
    </row>
    <row r="407">
      <c r="A407" s="122"/>
      <c r="B407" s="122"/>
      <c r="C407" s="122"/>
      <c r="D407" s="122"/>
      <c r="E407" s="122"/>
      <c r="F407" s="122"/>
      <c r="G407" s="122"/>
      <c r="H407" s="122"/>
    </row>
    <row r="408">
      <c r="A408" s="122"/>
      <c r="B408" s="122"/>
      <c r="C408" s="122"/>
      <c r="D408" s="122"/>
      <c r="E408" s="122"/>
      <c r="F408" s="122"/>
      <c r="G408" s="122"/>
      <c r="H408" s="122"/>
    </row>
    <row r="409">
      <c r="A409" s="122"/>
      <c r="B409" s="122"/>
      <c r="C409" s="122"/>
      <c r="D409" s="122"/>
      <c r="E409" s="122"/>
      <c r="F409" s="122"/>
      <c r="G409" s="122"/>
      <c r="H409" s="122"/>
    </row>
    <row r="410">
      <c r="A410" s="122"/>
      <c r="B410" s="122"/>
      <c r="C410" s="122"/>
      <c r="D410" s="122"/>
      <c r="E410" s="122"/>
      <c r="F410" s="122"/>
      <c r="G410" s="122"/>
      <c r="H410" s="122"/>
    </row>
    <row r="411">
      <c r="A411" s="122"/>
      <c r="B411" s="122"/>
      <c r="C411" s="122"/>
      <c r="D411" s="122"/>
      <c r="E411" s="122"/>
      <c r="F411" s="122"/>
      <c r="G411" s="122"/>
      <c r="H411" s="122"/>
    </row>
    <row r="412">
      <c r="A412" s="122"/>
      <c r="B412" s="122"/>
      <c r="C412" s="122"/>
      <c r="D412" s="122"/>
      <c r="E412" s="122"/>
      <c r="F412" s="122"/>
      <c r="G412" s="122"/>
      <c r="H412" s="122"/>
    </row>
    <row r="413">
      <c r="A413" s="122"/>
      <c r="B413" s="122"/>
      <c r="C413" s="122"/>
      <c r="D413" s="122"/>
      <c r="E413" s="122"/>
      <c r="F413" s="122"/>
      <c r="G413" s="122"/>
      <c r="H413" s="122"/>
    </row>
    <row r="414">
      <c r="A414" s="122"/>
      <c r="B414" s="122"/>
      <c r="C414" s="122"/>
      <c r="D414" s="122"/>
      <c r="E414" s="122"/>
      <c r="F414" s="122"/>
      <c r="G414" s="122"/>
      <c r="H414" s="122"/>
    </row>
    <row r="415">
      <c r="A415" s="122"/>
      <c r="B415" s="122"/>
      <c r="C415" s="122"/>
      <c r="D415" s="122"/>
      <c r="E415" s="122"/>
      <c r="F415" s="122"/>
      <c r="G415" s="122"/>
      <c r="H415" s="122"/>
    </row>
    <row r="416">
      <c r="A416" s="122"/>
      <c r="B416" s="122"/>
      <c r="C416" s="122"/>
      <c r="D416" s="122"/>
      <c r="E416" s="122"/>
      <c r="F416" s="122"/>
      <c r="G416" s="122"/>
      <c r="H416" s="122"/>
    </row>
    <row r="417">
      <c r="A417" s="122"/>
      <c r="B417" s="122"/>
      <c r="C417" s="122"/>
      <c r="D417" s="122"/>
      <c r="E417" s="122"/>
      <c r="F417" s="122"/>
      <c r="G417" s="122"/>
      <c r="H417" s="122"/>
    </row>
    <row r="418">
      <c r="A418" s="122"/>
      <c r="B418" s="122"/>
      <c r="C418" s="122"/>
      <c r="D418" s="122"/>
      <c r="E418" s="122"/>
      <c r="F418" s="122"/>
      <c r="G418" s="122"/>
      <c r="H418" s="122"/>
    </row>
    <row r="419">
      <c r="A419" s="122"/>
      <c r="B419" s="122"/>
      <c r="C419" s="122"/>
      <c r="D419" s="122"/>
      <c r="E419" s="122"/>
      <c r="F419" s="122"/>
      <c r="G419" s="122"/>
      <c r="H419" s="122"/>
    </row>
    <row r="420">
      <c r="A420" s="122"/>
      <c r="B420" s="122"/>
      <c r="C420" s="122"/>
      <c r="D420" s="122"/>
      <c r="E420" s="122"/>
      <c r="F420" s="122"/>
      <c r="G420" s="122"/>
      <c r="H420" s="122"/>
    </row>
    <row r="421">
      <c r="A421" s="122"/>
      <c r="B421" s="122"/>
      <c r="C421" s="122"/>
      <c r="D421" s="122"/>
      <c r="E421" s="122"/>
      <c r="F421" s="122"/>
      <c r="G421" s="122"/>
      <c r="H421" s="122"/>
    </row>
    <row r="422">
      <c r="A422" s="122"/>
      <c r="B422" s="122"/>
      <c r="C422" s="122"/>
      <c r="D422" s="122"/>
      <c r="E422" s="122"/>
      <c r="F422" s="122"/>
      <c r="G422" s="122"/>
      <c r="H422" s="122"/>
    </row>
    <row r="423">
      <c r="A423" s="122"/>
      <c r="B423" s="122"/>
      <c r="C423" s="122"/>
      <c r="D423" s="122"/>
      <c r="E423" s="122"/>
      <c r="F423" s="122"/>
      <c r="G423" s="122"/>
      <c r="H423" s="122"/>
    </row>
    <row r="424">
      <c r="A424" s="122"/>
      <c r="B424" s="122"/>
      <c r="C424" s="122"/>
      <c r="D424" s="122"/>
      <c r="E424" s="122"/>
      <c r="F424" s="122"/>
      <c r="G424" s="122"/>
      <c r="H424" s="122"/>
    </row>
    <row r="425">
      <c r="A425" s="122"/>
      <c r="B425" s="122"/>
      <c r="C425" s="122"/>
      <c r="D425" s="122"/>
      <c r="E425" s="122"/>
      <c r="F425" s="122"/>
      <c r="G425" s="122"/>
      <c r="H425" s="122"/>
    </row>
    <row r="426">
      <c r="A426" s="122"/>
      <c r="B426" s="122"/>
      <c r="C426" s="122"/>
      <c r="D426" s="122"/>
      <c r="E426" s="122"/>
      <c r="F426" s="122"/>
      <c r="G426" s="122"/>
      <c r="H426" s="122"/>
    </row>
    <row r="427">
      <c r="A427" s="122"/>
      <c r="B427" s="122"/>
      <c r="C427" s="122"/>
      <c r="D427" s="122"/>
      <c r="E427" s="122"/>
      <c r="F427" s="122"/>
      <c r="G427" s="122"/>
      <c r="H427" s="122"/>
    </row>
    <row r="428">
      <c r="A428" s="122"/>
      <c r="B428" s="122"/>
      <c r="C428" s="122"/>
      <c r="D428" s="122"/>
      <c r="E428" s="122"/>
      <c r="F428" s="122"/>
      <c r="G428" s="122"/>
      <c r="H428" s="122"/>
    </row>
    <row r="429">
      <c r="A429" s="122"/>
      <c r="B429" s="122"/>
      <c r="C429" s="122"/>
      <c r="D429" s="122"/>
      <c r="E429" s="122"/>
      <c r="F429" s="122"/>
      <c r="G429" s="122"/>
      <c r="H429" s="122"/>
    </row>
    <row r="430">
      <c r="A430" s="122"/>
      <c r="B430" s="122"/>
      <c r="C430" s="122"/>
      <c r="D430" s="122"/>
      <c r="E430" s="122"/>
      <c r="F430" s="122"/>
      <c r="G430" s="122"/>
      <c r="H430" s="122"/>
    </row>
    <row r="431">
      <c r="A431" s="122"/>
      <c r="B431" s="122"/>
      <c r="C431" s="122"/>
      <c r="D431" s="122"/>
      <c r="E431" s="122"/>
      <c r="F431" s="122"/>
      <c r="G431" s="122"/>
      <c r="H431" s="122"/>
    </row>
    <row r="432">
      <c r="A432" s="122"/>
      <c r="B432" s="122"/>
      <c r="C432" s="122"/>
      <c r="D432" s="122"/>
      <c r="E432" s="122"/>
      <c r="F432" s="122"/>
      <c r="G432" s="122"/>
      <c r="H432" s="122"/>
    </row>
    <row r="433">
      <c r="A433" s="122"/>
      <c r="B433" s="122"/>
      <c r="C433" s="122"/>
      <c r="D433" s="122"/>
      <c r="E433" s="122"/>
      <c r="F433" s="122"/>
      <c r="G433" s="122"/>
      <c r="H433" s="122"/>
    </row>
    <row r="434">
      <c r="A434" s="122"/>
      <c r="B434" s="122"/>
      <c r="C434" s="122"/>
      <c r="D434" s="122"/>
      <c r="E434" s="122"/>
      <c r="F434" s="122"/>
      <c r="G434" s="122"/>
      <c r="H434" s="122"/>
    </row>
    <row r="435">
      <c r="A435" s="122"/>
      <c r="B435" s="122"/>
      <c r="C435" s="122"/>
      <c r="D435" s="122"/>
      <c r="E435" s="122"/>
      <c r="F435" s="122"/>
      <c r="G435" s="122"/>
      <c r="H435" s="122"/>
    </row>
    <row r="436">
      <c r="A436" s="122"/>
      <c r="B436" s="122"/>
      <c r="C436" s="122"/>
      <c r="D436" s="122"/>
      <c r="E436" s="122"/>
      <c r="F436" s="122"/>
      <c r="G436" s="122"/>
      <c r="H436" s="122"/>
    </row>
    <row r="437">
      <c r="A437" s="122"/>
      <c r="B437" s="122"/>
      <c r="C437" s="122"/>
      <c r="D437" s="122"/>
      <c r="E437" s="122"/>
      <c r="F437" s="122"/>
      <c r="G437" s="122"/>
      <c r="H437" s="122"/>
    </row>
    <row r="438">
      <c r="A438" s="122"/>
      <c r="B438" s="122"/>
      <c r="C438" s="122"/>
      <c r="D438" s="122"/>
      <c r="E438" s="122"/>
      <c r="F438" s="122"/>
      <c r="G438" s="122"/>
      <c r="H438" s="122"/>
    </row>
    <row r="439">
      <c r="A439" s="122"/>
      <c r="B439" s="122"/>
      <c r="C439" s="122"/>
      <c r="D439" s="122"/>
      <c r="E439" s="122"/>
      <c r="F439" s="122"/>
      <c r="G439" s="122"/>
      <c r="H439" s="122"/>
    </row>
    <row r="440">
      <c r="A440" s="122"/>
      <c r="B440" s="122"/>
      <c r="C440" s="122"/>
      <c r="D440" s="122"/>
      <c r="E440" s="122"/>
      <c r="F440" s="122"/>
      <c r="G440" s="122"/>
      <c r="H440" s="122"/>
    </row>
    <row r="441">
      <c r="A441" s="122"/>
      <c r="B441" s="122"/>
      <c r="C441" s="122"/>
      <c r="D441" s="122"/>
      <c r="E441" s="122"/>
      <c r="F441" s="122"/>
      <c r="G441" s="122"/>
      <c r="H441" s="122"/>
    </row>
    <row r="442">
      <c r="A442" s="122"/>
      <c r="B442" s="122"/>
      <c r="C442" s="122"/>
      <c r="D442" s="122"/>
      <c r="E442" s="122"/>
      <c r="F442" s="122"/>
      <c r="G442" s="122"/>
      <c r="H442" s="122"/>
    </row>
    <row r="443">
      <c r="A443" s="122"/>
      <c r="B443" s="122"/>
      <c r="C443" s="122"/>
      <c r="D443" s="122"/>
      <c r="E443" s="122"/>
      <c r="F443" s="122"/>
      <c r="G443" s="122"/>
      <c r="H443" s="122"/>
    </row>
    <row r="444">
      <c r="A444" s="122"/>
      <c r="B444" s="122"/>
      <c r="C444" s="122"/>
      <c r="D444" s="122"/>
      <c r="E444" s="122"/>
      <c r="F444" s="122"/>
      <c r="G444" s="122"/>
      <c r="H444" s="122"/>
    </row>
    <row r="445">
      <c r="A445" s="122"/>
      <c r="B445" s="122"/>
      <c r="C445" s="122"/>
      <c r="D445" s="122"/>
      <c r="E445" s="122"/>
      <c r="F445" s="122"/>
      <c r="G445" s="122"/>
      <c r="H445" s="122"/>
    </row>
    <row r="446">
      <c r="A446" s="122"/>
      <c r="B446" s="122"/>
      <c r="C446" s="122"/>
      <c r="D446" s="122"/>
      <c r="E446" s="122"/>
      <c r="F446" s="122"/>
      <c r="G446" s="122"/>
      <c r="H446" s="122"/>
    </row>
    <row r="447">
      <c r="A447" s="122"/>
      <c r="B447" s="122"/>
      <c r="C447" s="122"/>
      <c r="D447" s="122"/>
      <c r="E447" s="122"/>
      <c r="F447" s="122"/>
      <c r="G447" s="122"/>
      <c r="H447" s="122"/>
    </row>
    <row r="448">
      <c r="A448" s="122"/>
      <c r="B448" s="122"/>
      <c r="C448" s="122"/>
      <c r="D448" s="122"/>
      <c r="E448" s="122"/>
      <c r="F448" s="122"/>
      <c r="G448" s="122"/>
      <c r="H448" s="122"/>
    </row>
    <row r="449">
      <c r="A449" s="122"/>
      <c r="B449" s="122"/>
      <c r="C449" s="122"/>
      <c r="D449" s="122"/>
      <c r="E449" s="122"/>
      <c r="F449" s="122"/>
      <c r="G449" s="122"/>
      <c r="H449" s="122"/>
    </row>
    <row r="450">
      <c r="A450" s="122"/>
      <c r="B450" s="122"/>
      <c r="C450" s="122"/>
      <c r="D450" s="122"/>
      <c r="E450" s="122"/>
      <c r="F450" s="122"/>
      <c r="G450" s="122"/>
      <c r="H450" s="122"/>
    </row>
    <row r="451">
      <c r="A451" s="122"/>
      <c r="B451" s="122"/>
      <c r="C451" s="122"/>
      <c r="D451" s="122"/>
      <c r="E451" s="122"/>
      <c r="F451" s="122"/>
      <c r="G451" s="122"/>
      <c r="H451" s="122"/>
    </row>
    <row r="452">
      <c r="A452" s="122"/>
      <c r="B452" s="122"/>
      <c r="C452" s="122"/>
      <c r="D452" s="122"/>
      <c r="E452" s="122"/>
      <c r="F452" s="122"/>
      <c r="G452" s="122"/>
      <c r="H452" s="122"/>
    </row>
    <row r="453">
      <c r="A453" s="122"/>
      <c r="B453" s="122"/>
      <c r="C453" s="122"/>
      <c r="D453" s="122"/>
      <c r="E453" s="122"/>
      <c r="F453" s="122"/>
      <c r="G453" s="122"/>
      <c r="H453" s="122"/>
    </row>
    <row r="454">
      <c r="A454" s="122"/>
      <c r="B454" s="122"/>
      <c r="C454" s="122"/>
      <c r="D454" s="122"/>
      <c r="E454" s="122"/>
      <c r="F454" s="122"/>
      <c r="G454" s="122"/>
      <c r="H454" s="122"/>
    </row>
    <row r="455">
      <c r="A455" s="122"/>
      <c r="B455" s="122"/>
      <c r="C455" s="122"/>
      <c r="D455" s="122"/>
      <c r="E455" s="122"/>
      <c r="F455" s="122"/>
      <c r="G455" s="122"/>
      <c r="H455" s="122"/>
    </row>
    <row r="456">
      <c r="A456" s="122"/>
      <c r="B456" s="122"/>
      <c r="C456" s="122"/>
      <c r="D456" s="122"/>
      <c r="E456" s="122"/>
      <c r="F456" s="122"/>
      <c r="G456" s="122"/>
      <c r="H456" s="122"/>
    </row>
    <row r="457">
      <c r="A457" s="122"/>
      <c r="B457" s="122"/>
      <c r="C457" s="122"/>
      <c r="D457" s="122"/>
      <c r="E457" s="122"/>
      <c r="F457" s="122"/>
      <c r="G457" s="122"/>
      <c r="H457" s="122"/>
    </row>
    <row r="458">
      <c r="A458" s="122"/>
      <c r="B458" s="122"/>
      <c r="C458" s="122"/>
      <c r="D458" s="122"/>
      <c r="E458" s="122"/>
      <c r="F458" s="122"/>
      <c r="G458" s="122"/>
      <c r="H458" s="122"/>
    </row>
    <row r="459">
      <c r="A459" s="122"/>
      <c r="B459" s="122"/>
      <c r="C459" s="122"/>
      <c r="D459" s="122"/>
      <c r="E459" s="122"/>
      <c r="F459" s="122"/>
      <c r="G459" s="122"/>
      <c r="H459" s="122"/>
    </row>
    <row r="460">
      <c r="A460" s="122"/>
      <c r="B460" s="122"/>
      <c r="C460" s="122"/>
      <c r="D460" s="122"/>
      <c r="E460" s="122"/>
      <c r="F460" s="122"/>
      <c r="G460" s="122"/>
      <c r="H460" s="122"/>
    </row>
    <row r="461">
      <c r="A461" s="122"/>
      <c r="B461" s="122"/>
      <c r="C461" s="122"/>
      <c r="D461" s="122"/>
      <c r="E461" s="122"/>
      <c r="F461" s="122"/>
      <c r="G461" s="122"/>
      <c r="H461" s="122"/>
    </row>
    <row r="462">
      <c r="A462" s="122"/>
      <c r="B462" s="122"/>
      <c r="C462" s="122"/>
      <c r="D462" s="122"/>
      <c r="E462" s="122"/>
      <c r="F462" s="122"/>
      <c r="G462" s="122"/>
      <c r="H462" s="122"/>
    </row>
    <row r="463">
      <c r="A463" s="122"/>
      <c r="B463" s="122"/>
      <c r="C463" s="122"/>
      <c r="D463" s="122"/>
      <c r="E463" s="122"/>
      <c r="F463" s="122"/>
      <c r="G463" s="122"/>
      <c r="H463" s="122"/>
    </row>
    <row r="464">
      <c r="A464" s="122"/>
      <c r="B464" s="122"/>
      <c r="C464" s="122"/>
      <c r="D464" s="122"/>
      <c r="E464" s="122"/>
      <c r="F464" s="122"/>
      <c r="G464" s="122"/>
      <c r="H464" s="122"/>
    </row>
    <row r="465">
      <c r="A465" s="122"/>
      <c r="B465" s="122"/>
      <c r="C465" s="122"/>
      <c r="D465" s="122"/>
      <c r="E465" s="122"/>
      <c r="F465" s="122"/>
      <c r="G465" s="122"/>
      <c r="H465" s="122"/>
    </row>
    <row r="466">
      <c r="A466" s="122"/>
      <c r="B466" s="122"/>
      <c r="C466" s="122"/>
      <c r="D466" s="122"/>
      <c r="E466" s="122"/>
      <c r="F466" s="122"/>
      <c r="G466" s="122"/>
      <c r="H466" s="122"/>
    </row>
    <row r="467">
      <c r="A467" s="122"/>
      <c r="B467" s="122"/>
      <c r="C467" s="122"/>
      <c r="D467" s="122"/>
      <c r="E467" s="122"/>
      <c r="F467" s="122"/>
      <c r="G467" s="122"/>
      <c r="H467" s="122"/>
    </row>
    <row r="468">
      <c r="A468" s="122"/>
      <c r="B468" s="122"/>
      <c r="C468" s="122"/>
      <c r="D468" s="122"/>
      <c r="E468" s="122"/>
      <c r="F468" s="122"/>
      <c r="G468" s="122"/>
      <c r="H468" s="122"/>
    </row>
    <row r="469">
      <c r="A469" s="122"/>
      <c r="B469" s="122"/>
      <c r="C469" s="122"/>
      <c r="D469" s="122"/>
      <c r="E469" s="122"/>
      <c r="F469" s="122"/>
      <c r="G469" s="122"/>
      <c r="H469" s="122"/>
    </row>
    <row r="470">
      <c r="A470" s="122"/>
      <c r="B470" s="122"/>
      <c r="C470" s="122"/>
      <c r="D470" s="122"/>
      <c r="E470" s="122"/>
      <c r="F470" s="122"/>
      <c r="G470" s="122"/>
      <c r="H470" s="122"/>
    </row>
    <row r="471">
      <c r="A471" s="122"/>
      <c r="B471" s="122"/>
      <c r="C471" s="122"/>
      <c r="D471" s="122"/>
      <c r="E471" s="122"/>
      <c r="F471" s="122"/>
      <c r="G471" s="122"/>
      <c r="H471" s="122"/>
    </row>
    <row r="472">
      <c r="A472" s="122"/>
      <c r="B472" s="122"/>
      <c r="C472" s="122"/>
      <c r="D472" s="122"/>
      <c r="E472" s="122"/>
      <c r="F472" s="122"/>
      <c r="G472" s="122"/>
      <c r="H472" s="122"/>
    </row>
    <row r="473">
      <c r="A473" s="122"/>
      <c r="B473" s="122"/>
      <c r="C473" s="122"/>
      <c r="D473" s="122"/>
      <c r="E473" s="122"/>
      <c r="F473" s="122"/>
      <c r="G473" s="122"/>
      <c r="H473" s="122"/>
    </row>
    <row r="474">
      <c r="A474" s="122"/>
      <c r="B474" s="122"/>
      <c r="C474" s="122"/>
      <c r="D474" s="122"/>
      <c r="E474" s="122"/>
      <c r="F474" s="122"/>
      <c r="G474" s="122"/>
      <c r="H474" s="122"/>
    </row>
    <row r="475">
      <c r="A475" s="122"/>
      <c r="B475" s="122"/>
      <c r="C475" s="122"/>
      <c r="D475" s="122"/>
      <c r="E475" s="122"/>
      <c r="F475" s="122"/>
      <c r="G475" s="122"/>
      <c r="H475" s="122"/>
    </row>
    <row r="476">
      <c r="A476" s="122"/>
      <c r="B476" s="122"/>
      <c r="C476" s="122"/>
      <c r="D476" s="122"/>
      <c r="E476" s="122"/>
      <c r="F476" s="122"/>
      <c r="G476" s="122"/>
      <c r="H476" s="122"/>
    </row>
    <row r="477">
      <c r="A477" s="122"/>
      <c r="B477" s="122"/>
      <c r="C477" s="122"/>
      <c r="D477" s="122"/>
      <c r="E477" s="122"/>
      <c r="F477" s="122"/>
      <c r="G477" s="122"/>
      <c r="H477" s="122"/>
    </row>
    <row r="478">
      <c r="A478" s="122"/>
      <c r="B478" s="122"/>
      <c r="C478" s="122"/>
      <c r="D478" s="122"/>
      <c r="E478" s="122"/>
      <c r="F478" s="122"/>
      <c r="G478" s="122"/>
      <c r="H478" s="122"/>
    </row>
    <row r="479">
      <c r="A479" s="122"/>
      <c r="B479" s="122"/>
      <c r="C479" s="122"/>
      <c r="D479" s="122"/>
      <c r="E479" s="122"/>
      <c r="F479" s="122"/>
      <c r="G479" s="122"/>
      <c r="H479" s="122"/>
    </row>
    <row r="480">
      <c r="A480" s="122"/>
      <c r="B480" s="122"/>
      <c r="C480" s="122"/>
      <c r="D480" s="122"/>
      <c r="E480" s="122"/>
      <c r="F480" s="122"/>
      <c r="G480" s="122"/>
      <c r="H480" s="122"/>
    </row>
    <row r="481">
      <c r="A481" s="122"/>
      <c r="B481" s="122"/>
      <c r="C481" s="122"/>
      <c r="D481" s="122"/>
      <c r="E481" s="122"/>
      <c r="F481" s="122"/>
      <c r="G481" s="122"/>
      <c r="H481" s="122"/>
    </row>
    <row r="482">
      <c r="A482" s="122"/>
      <c r="B482" s="122"/>
      <c r="C482" s="122"/>
      <c r="D482" s="122"/>
      <c r="E482" s="122"/>
      <c r="F482" s="122"/>
      <c r="G482" s="122"/>
      <c r="H482" s="122"/>
    </row>
    <row r="483">
      <c r="A483" s="122"/>
      <c r="B483" s="122"/>
      <c r="C483" s="122"/>
      <c r="D483" s="122"/>
      <c r="E483" s="122"/>
      <c r="F483" s="122"/>
      <c r="G483" s="122"/>
      <c r="H483" s="122"/>
    </row>
    <row r="484">
      <c r="A484" s="122"/>
      <c r="B484" s="122"/>
      <c r="C484" s="122"/>
      <c r="D484" s="122"/>
      <c r="E484" s="122"/>
      <c r="F484" s="122"/>
      <c r="G484" s="122"/>
      <c r="H484" s="122"/>
    </row>
    <row r="485">
      <c r="A485" s="122"/>
      <c r="B485" s="122"/>
      <c r="C485" s="122"/>
      <c r="D485" s="122"/>
      <c r="E485" s="122"/>
      <c r="F485" s="122"/>
      <c r="G485" s="122"/>
      <c r="H485" s="122"/>
    </row>
    <row r="486">
      <c r="A486" s="122"/>
      <c r="B486" s="122"/>
      <c r="C486" s="122"/>
      <c r="D486" s="122"/>
      <c r="E486" s="122"/>
      <c r="F486" s="122"/>
      <c r="G486" s="122"/>
      <c r="H486" s="122"/>
    </row>
    <row r="487">
      <c r="A487" s="122"/>
      <c r="B487" s="122"/>
      <c r="C487" s="122"/>
      <c r="D487" s="122"/>
      <c r="E487" s="122"/>
      <c r="F487" s="122"/>
      <c r="G487" s="122"/>
      <c r="H487" s="122"/>
    </row>
    <row r="488">
      <c r="A488" s="122"/>
      <c r="B488" s="122"/>
      <c r="C488" s="122"/>
      <c r="D488" s="122"/>
      <c r="E488" s="122"/>
      <c r="F488" s="122"/>
      <c r="G488" s="122"/>
      <c r="H488" s="122"/>
    </row>
    <row r="489">
      <c r="A489" s="122"/>
      <c r="B489" s="122"/>
      <c r="C489" s="122"/>
      <c r="D489" s="122"/>
      <c r="E489" s="122"/>
      <c r="F489" s="122"/>
      <c r="G489" s="122"/>
      <c r="H489" s="122"/>
    </row>
    <row r="490">
      <c r="A490" s="122"/>
      <c r="B490" s="122"/>
      <c r="C490" s="122"/>
      <c r="D490" s="122"/>
      <c r="E490" s="122"/>
      <c r="F490" s="122"/>
      <c r="G490" s="122"/>
      <c r="H490" s="122"/>
    </row>
    <row r="491">
      <c r="A491" s="122"/>
      <c r="B491" s="122"/>
      <c r="C491" s="122"/>
      <c r="D491" s="122"/>
      <c r="E491" s="122"/>
      <c r="F491" s="122"/>
      <c r="G491" s="122"/>
      <c r="H491" s="122"/>
    </row>
    <row r="492">
      <c r="A492" s="122"/>
      <c r="B492" s="122"/>
      <c r="C492" s="122"/>
      <c r="D492" s="122"/>
      <c r="E492" s="122"/>
      <c r="F492" s="122"/>
      <c r="G492" s="122"/>
      <c r="H492" s="122"/>
    </row>
    <row r="493">
      <c r="A493" s="122"/>
      <c r="B493" s="122"/>
      <c r="C493" s="122"/>
      <c r="D493" s="122"/>
      <c r="E493" s="122"/>
      <c r="F493" s="122"/>
      <c r="G493" s="122"/>
      <c r="H493" s="122"/>
    </row>
    <row r="494">
      <c r="A494" s="122"/>
      <c r="B494" s="122"/>
      <c r="C494" s="122"/>
      <c r="D494" s="122"/>
      <c r="E494" s="122"/>
      <c r="F494" s="122"/>
      <c r="G494" s="122"/>
      <c r="H494" s="122"/>
    </row>
    <row r="495">
      <c r="A495" s="122"/>
      <c r="B495" s="122"/>
      <c r="C495" s="122"/>
      <c r="D495" s="122"/>
      <c r="E495" s="122"/>
      <c r="F495" s="122"/>
      <c r="G495" s="122"/>
      <c r="H495" s="122"/>
    </row>
    <row r="496">
      <c r="A496" s="122"/>
      <c r="B496" s="122"/>
      <c r="C496" s="122"/>
      <c r="D496" s="122"/>
      <c r="E496" s="122"/>
      <c r="F496" s="122"/>
      <c r="G496" s="122"/>
      <c r="H496" s="122"/>
    </row>
    <row r="497">
      <c r="A497" s="122"/>
      <c r="B497" s="122"/>
      <c r="C497" s="122"/>
      <c r="D497" s="122"/>
      <c r="E497" s="122"/>
      <c r="F497" s="122"/>
      <c r="G497" s="122"/>
      <c r="H497" s="122"/>
    </row>
    <row r="498">
      <c r="A498" s="122"/>
      <c r="B498" s="122"/>
      <c r="C498" s="122"/>
      <c r="D498" s="122"/>
      <c r="E498" s="122"/>
      <c r="F498" s="122"/>
      <c r="G498" s="122"/>
      <c r="H498" s="122"/>
    </row>
    <row r="499">
      <c r="A499" s="122"/>
      <c r="B499" s="122"/>
      <c r="C499" s="122"/>
      <c r="D499" s="122"/>
      <c r="E499" s="122"/>
      <c r="F499" s="122"/>
      <c r="G499" s="122"/>
      <c r="H499" s="122"/>
    </row>
    <row r="500">
      <c r="A500" s="122"/>
      <c r="B500" s="122"/>
      <c r="C500" s="122"/>
      <c r="D500" s="122"/>
      <c r="E500" s="122"/>
      <c r="F500" s="122"/>
      <c r="G500" s="122"/>
      <c r="H500" s="122"/>
    </row>
    <row r="501">
      <c r="A501" s="122"/>
      <c r="B501" s="122"/>
      <c r="C501" s="122"/>
      <c r="D501" s="122"/>
      <c r="E501" s="122"/>
      <c r="F501" s="122"/>
      <c r="G501" s="122"/>
      <c r="H501" s="122"/>
    </row>
    <row r="502">
      <c r="A502" s="122"/>
      <c r="B502" s="122"/>
      <c r="C502" s="122"/>
      <c r="D502" s="122"/>
      <c r="E502" s="122"/>
      <c r="F502" s="122"/>
      <c r="G502" s="122"/>
      <c r="H502" s="122"/>
    </row>
    <row r="503">
      <c r="A503" s="122"/>
      <c r="B503" s="122"/>
      <c r="C503" s="122"/>
      <c r="D503" s="122"/>
      <c r="E503" s="122"/>
      <c r="F503" s="122"/>
      <c r="G503" s="122"/>
      <c r="H503" s="122"/>
    </row>
    <row r="504">
      <c r="A504" s="122"/>
      <c r="B504" s="122"/>
      <c r="C504" s="122"/>
      <c r="D504" s="122"/>
      <c r="E504" s="122"/>
      <c r="F504" s="122"/>
      <c r="G504" s="122"/>
      <c r="H504" s="122"/>
    </row>
    <row r="505">
      <c r="A505" s="122"/>
      <c r="B505" s="122"/>
      <c r="C505" s="122"/>
      <c r="D505" s="122"/>
      <c r="E505" s="122"/>
      <c r="F505" s="122"/>
      <c r="G505" s="122"/>
      <c r="H505" s="122"/>
    </row>
    <row r="506">
      <c r="A506" s="122"/>
      <c r="B506" s="122"/>
      <c r="C506" s="122"/>
      <c r="D506" s="122"/>
      <c r="E506" s="122"/>
      <c r="F506" s="122"/>
      <c r="G506" s="122"/>
      <c r="H506" s="122"/>
    </row>
    <row r="507">
      <c r="A507" s="122"/>
      <c r="B507" s="122"/>
      <c r="C507" s="122"/>
      <c r="D507" s="122"/>
      <c r="E507" s="122"/>
      <c r="F507" s="122"/>
      <c r="G507" s="122"/>
      <c r="H507" s="122"/>
    </row>
    <row r="508">
      <c r="A508" s="122"/>
      <c r="B508" s="122"/>
      <c r="C508" s="122"/>
      <c r="D508" s="122"/>
      <c r="E508" s="122"/>
      <c r="F508" s="122"/>
      <c r="G508" s="122"/>
      <c r="H508" s="122"/>
    </row>
    <row r="509">
      <c r="A509" s="122"/>
      <c r="B509" s="122"/>
      <c r="C509" s="122"/>
      <c r="D509" s="122"/>
      <c r="E509" s="122"/>
      <c r="F509" s="122"/>
      <c r="G509" s="122"/>
      <c r="H509" s="122"/>
    </row>
    <row r="510">
      <c r="A510" s="122"/>
      <c r="B510" s="122"/>
      <c r="C510" s="122"/>
      <c r="D510" s="122"/>
      <c r="E510" s="122"/>
      <c r="F510" s="122"/>
      <c r="G510" s="122"/>
      <c r="H510" s="122"/>
    </row>
    <row r="511">
      <c r="A511" s="122"/>
      <c r="B511" s="122"/>
      <c r="C511" s="122"/>
      <c r="D511" s="122"/>
      <c r="E511" s="122"/>
      <c r="F511" s="122"/>
      <c r="G511" s="122"/>
      <c r="H511" s="122"/>
    </row>
    <row r="512">
      <c r="A512" s="122"/>
      <c r="B512" s="122"/>
      <c r="C512" s="122"/>
      <c r="D512" s="122"/>
      <c r="E512" s="122"/>
      <c r="F512" s="122"/>
      <c r="G512" s="122"/>
      <c r="H512" s="122"/>
    </row>
    <row r="513">
      <c r="A513" s="122"/>
      <c r="B513" s="122"/>
      <c r="C513" s="122"/>
      <c r="D513" s="122"/>
      <c r="E513" s="122"/>
      <c r="F513" s="122"/>
      <c r="G513" s="122"/>
      <c r="H513" s="122"/>
    </row>
    <row r="514">
      <c r="A514" s="122"/>
      <c r="B514" s="122"/>
      <c r="C514" s="122"/>
      <c r="D514" s="122"/>
      <c r="E514" s="122"/>
      <c r="F514" s="122"/>
      <c r="G514" s="122"/>
      <c r="H514" s="122"/>
    </row>
    <row r="515">
      <c r="A515" s="122"/>
      <c r="B515" s="122"/>
      <c r="C515" s="122"/>
      <c r="D515" s="122"/>
      <c r="E515" s="122"/>
      <c r="F515" s="122"/>
      <c r="G515" s="122"/>
      <c r="H515" s="122"/>
    </row>
    <row r="516">
      <c r="A516" s="122"/>
      <c r="B516" s="122"/>
      <c r="C516" s="122"/>
      <c r="D516" s="122"/>
      <c r="E516" s="122"/>
      <c r="F516" s="122"/>
      <c r="G516" s="122"/>
      <c r="H516" s="122"/>
    </row>
    <row r="517">
      <c r="A517" s="122"/>
      <c r="B517" s="122"/>
      <c r="C517" s="122"/>
      <c r="D517" s="122"/>
      <c r="E517" s="122"/>
      <c r="F517" s="122"/>
      <c r="G517" s="122"/>
      <c r="H517" s="122"/>
    </row>
    <row r="518">
      <c r="A518" s="122"/>
      <c r="B518" s="122"/>
      <c r="C518" s="122"/>
      <c r="D518" s="122"/>
      <c r="E518" s="122"/>
      <c r="F518" s="122"/>
      <c r="G518" s="122"/>
      <c r="H518" s="122"/>
    </row>
    <row r="519">
      <c r="A519" s="122"/>
      <c r="B519" s="122"/>
      <c r="C519" s="122"/>
      <c r="D519" s="122"/>
      <c r="E519" s="122"/>
      <c r="F519" s="122"/>
      <c r="G519" s="122"/>
      <c r="H519" s="122"/>
    </row>
    <row r="520">
      <c r="A520" s="122"/>
      <c r="B520" s="122"/>
      <c r="C520" s="122"/>
      <c r="D520" s="122"/>
      <c r="E520" s="122"/>
      <c r="F520" s="122"/>
      <c r="G520" s="122"/>
      <c r="H520" s="122"/>
    </row>
    <row r="521">
      <c r="A521" s="122"/>
      <c r="B521" s="122"/>
      <c r="C521" s="122"/>
      <c r="D521" s="122"/>
      <c r="E521" s="122"/>
      <c r="F521" s="122"/>
      <c r="G521" s="122"/>
      <c r="H521" s="122"/>
    </row>
    <row r="522">
      <c r="A522" s="122"/>
      <c r="B522" s="122"/>
      <c r="C522" s="122"/>
      <c r="D522" s="122"/>
      <c r="E522" s="122"/>
      <c r="F522" s="122"/>
      <c r="G522" s="122"/>
      <c r="H522" s="122"/>
    </row>
    <row r="523">
      <c r="A523" s="122"/>
      <c r="B523" s="122"/>
      <c r="C523" s="122"/>
      <c r="D523" s="122"/>
      <c r="E523" s="122"/>
      <c r="F523" s="122"/>
      <c r="G523" s="122"/>
      <c r="H523" s="122"/>
    </row>
    <row r="524">
      <c r="A524" s="122"/>
      <c r="B524" s="122"/>
      <c r="C524" s="122"/>
      <c r="D524" s="122"/>
      <c r="E524" s="122"/>
      <c r="F524" s="122"/>
      <c r="G524" s="122"/>
      <c r="H524" s="122"/>
    </row>
    <row r="525">
      <c r="A525" s="122"/>
      <c r="B525" s="122"/>
      <c r="C525" s="122"/>
      <c r="D525" s="122"/>
      <c r="E525" s="122"/>
      <c r="F525" s="122"/>
      <c r="G525" s="122"/>
      <c r="H525" s="122"/>
    </row>
    <row r="526">
      <c r="A526" s="122"/>
      <c r="B526" s="122"/>
      <c r="C526" s="122"/>
      <c r="D526" s="122"/>
      <c r="E526" s="122"/>
      <c r="F526" s="122"/>
      <c r="G526" s="122"/>
      <c r="H526" s="122"/>
    </row>
    <row r="527">
      <c r="A527" s="122"/>
      <c r="B527" s="122"/>
      <c r="C527" s="122"/>
      <c r="D527" s="122"/>
      <c r="E527" s="122"/>
      <c r="F527" s="122"/>
      <c r="G527" s="122"/>
      <c r="H527" s="122"/>
    </row>
    <row r="528">
      <c r="A528" s="122"/>
      <c r="B528" s="122"/>
      <c r="C528" s="122"/>
      <c r="D528" s="122"/>
      <c r="E528" s="122"/>
      <c r="F528" s="122"/>
      <c r="G528" s="122"/>
      <c r="H528" s="122"/>
    </row>
    <row r="529">
      <c r="A529" s="122"/>
      <c r="B529" s="122"/>
      <c r="C529" s="122"/>
      <c r="D529" s="122"/>
      <c r="E529" s="122"/>
      <c r="F529" s="122"/>
      <c r="G529" s="122"/>
      <c r="H529" s="122"/>
    </row>
    <row r="530">
      <c r="A530" s="122"/>
      <c r="B530" s="122"/>
      <c r="C530" s="122"/>
      <c r="D530" s="122"/>
      <c r="E530" s="122"/>
      <c r="F530" s="122"/>
      <c r="G530" s="122"/>
      <c r="H530" s="122"/>
    </row>
    <row r="531">
      <c r="A531" s="122"/>
      <c r="B531" s="122"/>
      <c r="C531" s="122"/>
      <c r="D531" s="122"/>
      <c r="E531" s="122"/>
      <c r="F531" s="122"/>
      <c r="G531" s="122"/>
      <c r="H531" s="122"/>
    </row>
    <row r="532">
      <c r="A532" s="122"/>
      <c r="B532" s="122"/>
      <c r="C532" s="122"/>
      <c r="D532" s="122"/>
      <c r="E532" s="122"/>
      <c r="F532" s="122"/>
      <c r="G532" s="122"/>
      <c r="H532" s="122"/>
    </row>
    <row r="533">
      <c r="A533" s="122"/>
      <c r="B533" s="122"/>
      <c r="C533" s="122"/>
      <c r="D533" s="122"/>
      <c r="E533" s="122"/>
      <c r="F533" s="122"/>
      <c r="G533" s="122"/>
      <c r="H533" s="122"/>
    </row>
    <row r="534">
      <c r="A534" s="122"/>
      <c r="B534" s="122"/>
      <c r="C534" s="122"/>
      <c r="D534" s="122"/>
      <c r="E534" s="122"/>
      <c r="F534" s="122"/>
      <c r="G534" s="122"/>
      <c r="H534" s="122"/>
    </row>
    <row r="535">
      <c r="A535" s="122"/>
      <c r="B535" s="122"/>
      <c r="C535" s="122"/>
      <c r="D535" s="122"/>
      <c r="E535" s="122"/>
      <c r="F535" s="122"/>
      <c r="G535" s="122"/>
      <c r="H535" s="122"/>
    </row>
    <row r="536">
      <c r="A536" s="122"/>
      <c r="B536" s="122"/>
      <c r="C536" s="122"/>
      <c r="D536" s="122"/>
      <c r="E536" s="122"/>
      <c r="F536" s="122"/>
      <c r="G536" s="122"/>
      <c r="H536" s="122"/>
    </row>
    <row r="537">
      <c r="A537" s="122"/>
      <c r="B537" s="122"/>
      <c r="C537" s="122"/>
      <c r="D537" s="122"/>
      <c r="E537" s="122"/>
      <c r="F537" s="122"/>
      <c r="G537" s="122"/>
      <c r="H537" s="122"/>
    </row>
    <row r="538">
      <c r="A538" s="122"/>
      <c r="B538" s="122"/>
      <c r="C538" s="122"/>
      <c r="D538" s="122"/>
      <c r="E538" s="122"/>
      <c r="F538" s="122"/>
      <c r="G538" s="122"/>
      <c r="H538" s="122"/>
    </row>
    <row r="539">
      <c r="A539" s="122"/>
      <c r="B539" s="122"/>
      <c r="C539" s="122"/>
      <c r="D539" s="122"/>
      <c r="E539" s="122"/>
      <c r="F539" s="122"/>
      <c r="G539" s="122"/>
      <c r="H539" s="122"/>
    </row>
    <row r="540">
      <c r="A540" s="122"/>
      <c r="B540" s="122"/>
      <c r="C540" s="122"/>
      <c r="D540" s="122"/>
      <c r="E540" s="122"/>
      <c r="F540" s="122"/>
      <c r="G540" s="122"/>
      <c r="H540" s="122"/>
    </row>
    <row r="541">
      <c r="A541" s="122"/>
      <c r="B541" s="122"/>
      <c r="C541" s="122"/>
      <c r="D541" s="122"/>
      <c r="E541" s="122"/>
      <c r="F541" s="122"/>
      <c r="G541" s="122"/>
      <c r="H541" s="122"/>
    </row>
    <row r="542">
      <c r="A542" s="122"/>
      <c r="B542" s="122"/>
      <c r="C542" s="122"/>
      <c r="D542" s="122"/>
      <c r="E542" s="122"/>
      <c r="F542" s="122"/>
      <c r="G542" s="122"/>
      <c r="H542" s="122"/>
    </row>
    <row r="543">
      <c r="A543" s="122"/>
      <c r="B543" s="122"/>
      <c r="C543" s="122"/>
      <c r="D543" s="122"/>
      <c r="E543" s="122"/>
      <c r="F543" s="122"/>
      <c r="G543" s="122"/>
      <c r="H543" s="122"/>
    </row>
    <row r="544">
      <c r="A544" s="122"/>
      <c r="B544" s="122"/>
      <c r="C544" s="122"/>
      <c r="D544" s="122"/>
      <c r="E544" s="122"/>
      <c r="F544" s="122"/>
      <c r="G544" s="122"/>
      <c r="H544" s="122"/>
    </row>
    <row r="545">
      <c r="A545" s="122"/>
      <c r="B545" s="122"/>
      <c r="C545" s="122"/>
      <c r="D545" s="122"/>
      <c r="E545" s="122"/>
      <c r="F545" s="122"/>
      <c r="G545" s="122"/>
      <c r="H545" s="122"/>
    </row>
    <row r="546">
      <c r="A546" s="122"/>
      <c r="B546" s="122"/>
      <c r="C546" s="122"/>
      <c r="D546" s="122"/>
      <c r="E546" s="122"/>
      <c r="F546" s="122"/>
      <c r="G546" s="122"/>
      <c r="H546" s="122"/>
    </row>
    <row r="547">
      <c r="A547" s="122"/>
      <c r="B547" s="122"/>
      <c r="C547" s="122"/>
      <c r="D547" s="122"/>
      <c r="E547" s="122"/>
      <c r="F547" s="122"/>
      <c r="G547" s="122"/>
      <c r="H547" s="122"/>
    </row>
    <row r="548">
      <c r="A548" s="122"/>
      <c r="B548" s="122"/>
      <c r="C548" s="122"/>
      <c r="D548" s="122"/>
      <c r="E548" s="122"/>
      <c r="F548" s="122"/>
      <c r="G548" s="122"/>
      <c r="H548" s="122"/>
    </row>
    <row r="549">
      <c r="A549" s="122"/>
      <c r="B549" s="122"/>
      <c r="C549" s="122"/>
      <c r="D549" s="122"/>
      <c r="E549" s="122"/>
      <c r="F549" s="122"/>
      <c r="G549" s="122"/>
      <c r="H549" s="122"/>
    </row>
    <row r="550">
      <c r="A550" s="122"/>
      <c r="B550" s="122"/>
      <c r="C550" s="122"/>
      <c r="D550" s="122"/>
      <c r="E550" s="122"/>
      <c r="F550" s="122"/>
      <c r="G550" s="122"/>
      <c r="H550" s="122"/>
    </row>
    <row r="551">
      <c r="A551" s="122"/>
      <c r="B551" s="122"/>
      <c r="C551" s="122"/>
      <c r="D551" s="122"/>
      <c r="E551" s="122"/>
      <c r="F551" s="122"/>
      <c r="G551" s="122"/>
      <c r="H551" s="122"/>
    </row>
    <row r="552">
      <c r="A552" s="122"/>
      <c r="B552" s="122"/>
      <c r="C552" s="122"/>
      <c r="D552" s="122"/>
      <c r="E552" s="122"/>
      <c r="F552" s="122"/>
      <c r="G552" s="122"/>
      <c r="H552" s="122"/>
    </row>
    <row r="553">
      <c r="A553" s="122"/>
      <c r="B553" s="122"/>
      <c r="C553" s="122"/>
      <c r="D553" s="122"/>
      <c r="E553" s="122"/>
      <c r="F553" s="122"/>
      <c r="G553" s="122"/>
      <c r="H553" s="122"/>
    </row>
    <row r="554">
      <c r="A554" s="122"/>
      <c r="B554" s="122"/>
      <c r="C554" s="122"/>
      <c r="D554" s="122"/>
      <c r="E554" s="122"/>
      <c r="F554" s="122"/>
      <c r="G554" s="122"/>
      <c r="H554" s="122"/>
    </row>
    <row r="555">
      <c r="A555" s="122"/>
      <c r="B555" s="122"/>
      <c r="C555" s="122"/>
      <c r="D555" s="122"/>
      <c r="E555" s="122"/>
      <c r="F555" s="122"/>
      <c r="G555" s="122"/>
      <c r="H555" s="122"/>
    </row>
    <row r="556">
      <c r="A556" s="122"/>
      <c r="B556" s="122"/>
      <c r="C556" s="122"/>
      <c r="D556" s="122"/>
      <c r="E556" s="122"/>
      <c r="F556" s="122"/>
      <c r="G556" s="122"/>
      <c r="H556" s="122"/>
    </row>
    <row r="557">
      <c r="A557" s="122"/>
      <c r="B557" s="122"/>
      <c r="C557" s="122"/>
      <c r="D557" s="122"/>
      <c r="E557" s="122"/>
      <c r="F557" s="122"/>
      <c r="G557" s="122"/>
      <c r="H557" s="122"/>
    </row>
    <row r="558">
      <c r="A558" s="122"/>
      <c r="B558" s="122"/>
      <c r="C558" s="122"/>
      <c r="D558" s="122"/>
      <c r="E558" s="122"/>
      <c r="F558" s="122"/>
      <c r="G558" s="122"/>
      <c r="H558" s="122"/>
    </row>
    <row r="559">
      <c r="A559" s="122"/>
      <c r="B559" s="122"/>
      <c r="C559" s="122"/>
      <c r="D559" s="122"/>
      <c r="E559" s="122"/>
      <c r="F559" s="122"/>
      <c r="G559" s="122"/>
      <c r="H559" s="122"/>
    </row>
    <row r="560">
      <c r="A560" s="122"/>
      <c r="B560" s="122"/>
      <c r="C560" s="122"/>
      <c r="D560" s="122"/>
      <c r="E560" s="122"/>
      <c r="F560" s="122"/>
      <c r="G560" s="122"/>
      <c r="H560" s="122"/>
    </row>
    <row r="561">
      <c r="A561" s="122"/>
      <c r="B561" s="122"/>
      <c r="C561" s="122"/>
      <c r="D561" s="122"/>
      <c r="E561" s="122"/>
      <c r="F561" s="122"/>
      <c r="G561" s="122"/>
      <c r="H561" s="122"/>
    </row>
    <row r="562">
      <c r="A562" s="122"/>
      <c r="B562" s="122"/>
      <c r="C562" s="122"/>
      <c r="D562" s="122"/>
      <c r="E562" s="122"/>
      <c r="F562" s="122"/>
      <c r="G562" s="122"/>
      <c r="H562" s="122"/>
    </row>
    <row r="563">
      <c r="A563" s="122"/>
      <c r="B563" s="122"/>
      <c r="C563" s="122"/>
      <c r="D563" s="122"/>
      <c r="E563" s="122"/>
      <c r="F563" s="122"/>
      <c r="G563" s="122"/>
      <c r="H563" s="122"/>
    </row>
    <row r="564">
      <c r="A564" s="122"/>
      <c r="B564" s="122"/>
      <c r="C564" s="122"/>
      <c r="D564" s="122"/>
      <c r="E564" s="122"/>
      <c r="F564" s="122"/>
      <c r="G564" s="122"/>
      <c r="H564" s="122"/>
    </row>
    <row r="565">
      <c r="A565" s="122"/>
      <c r="B565" s="122"/>
      <c r="C565" s="122"/>
      <c r="D565" s="122"/>
      <c r="E565" s="122"/>
      <c r="F565" s="122"/>
      <c r="G565" s="122"/>
      <c r="H565" s="122"/>
    </row>
    <row r="566">
      <c r="A566" s="122"/>
      <c r="B566" s="122"/>
      <c r="C566" s="122"/>
      <c r="D566" s="122"/>
      <c r="E566" s="122"/>
      <c r="F566" s="122"/>
      <c r="G566" s="122"/>
      <c r="H566" s="122"/>
    </row>
    <row r="567">
      <c r="A567" s="122"/>
      <c r="B567" s="122"/>
      <c r="C567" s="122"/>
      <c r="D567" s="122"/>
      <c r="E567" s="122"/>
      <c r="F567" s="122"/>
      <c r="G567" s="122"/>
      <c r="H567" s="122"/>
    </row>
    <row r="568">
      <c r="A568" s="122"/>
      <c r="B568" s="122"/>
      <c r="C568" s="122"/>
      <c r="D568" s="122"/>
      <c r="E568" s="122"/>
      <c r="F568" s="122"/>
      <c r="G568" s="122"/>
      <c r="H568" s="122"/>
    </row>
    <row r="569">
      <c r="A569" s="122"/>
      <c r="B569" s="122"/>
      <c r="C569" s="122"/>
      <c r="D569" s="122"/>
      <c r="E569" s="122"/>
      <c r="F569" s="122"/>
      <c r="G569" s="122"/>
      <c r="H569" s="122"/>
    </row>
    <row r="570">
      <c r="A570" s="122"/>
      <c r="B570" s="122"/>
      <c r="C570" s="122"/>
      <c r="D570" s="122"/>
      <c r="E570" s="122"/>
      <c r="F570" s="122"/>
      <c r="G570" s="122"/>
      <c r="H570" s="122"/>
    </row>
    <row r="571">
      <c r="A571" s="122"/>
      <c r="B571" s="122"/>
      <c r="C571" s="122"/>
      <c r="D571" s="122"/>
      <c r="E571" s="122"/>
      <c r="F571" s="122"/>
      <c r="G571" s="122"/>
      <c r="H571" s="122"/>
    </row>
    <row r="572">
      <c r="A572" s="122"/>
      <c r="B572" s="122"/>
      <c r="C572" s="122"/>
      <c r="D572" s="122"/>
      <c r="E572" s="122"/>
      <c r="F572" s="122"/>
      <c r="G572" s="122"/>
      <c r="H572" s="122"/>
    </row>
    <row r="573">
      <c r="A573" s="122"/>
      <c r="B573" s="122"/>
      <c r="C573" s="122"/>
      <c r="D573" s="122"/>
      <c r="E573" s="122"/>
      <c r="F573" s="122"/>
      <c r="G573" s="122"/>
      <c r="H573" s="122"/>
    </row>
    <row r="574">
      <c r="A574" s="122"/>
      <c r="B574" s="122"/>
      <c r="C574" s="122"/>
      <c r="D574" s="122"/>
      <c r="E574" s="122"/>
      <c r="F574" s="122"/>
      <c r="G574" s="122"/>
      <c r="H574" s="122"/>
    </row>
    <row r="575">
      <c r="A575" s="122"/>
      <c r="B575" s="122"/>
      <c r="C575" s="122"/>
      <c r="D575" s="122"/>
      <c r="E575" s="122"/>
      <c r="F575" s="122"/>
      <c r="G575" s="122"/>
      <c r="H575" s="122"/>
    </row>
    <row r="576">
      <c r="A576" s="122"/>
      <c r="B576" s="122"/>
      <c r="C576" s="122"/>
      <c r="D576" s="122"/>
      <c r="E576" s="122"/>
      <c r="F576" s="122"/>
      <c r="G576" s="122"/>
      <c r="H576" s="122"/>
    </row>
    <row r="577">
      <c r="A577" s="122"/>
      <c r="B577" s="122"/>
      <c r="C577" s="122"/>
      <c r="D577" s="122"/>
      <c r="E577" s="122"/>
      <c r="F577" s="122"/>
      <c r="G577" s="122"/>
      <c r="H577" s="122"/>
    </row>
    <row r="578">
      <c r="A578" s="122"/>
      <c r="B578" s="122"/>
      <c r="C578" s="122"/>
      <c r="D578" s="122"/>
      <c r="E578" s="122"/>
      <c r="F578" s="122"/>
      <c r="G578" s="122"/>
      <c r="H578" s="122"/>
    </row>
    <row r="579">
      <c r="A579" s="122"/>
      <c r="B579" s="122"/>
      <c r="C579" s="122"/>
      <c r="D579" s="122"/>
      <c r="E579" s="122"/>
      <c r="F579" s="122"/>
      <c r="G579" s="122"/>
      <c r="H579" s="122"/>
    </row>
    <row r="580">
      <c r="A580" s="122"/>
      <c r="B580" s="122"/>
      <c r="C580" s="122"/>
      <c r="D580" s="122"/>
      <c r="E580" s="122"/>
      <c r="F580" s="122"/>
      <c r="G580" s="122"/>
      <c r="H580" s="122"/>
    </row>
    <row r="581">
      <c r="A581" s="122"/>
      <c r="B581" s="122"/>
      <c r="C581" s="122"/>
      <c r="D581" s="122"/>
      <c r="E581" s="122"/>
      <c r="F581" s="122"/>
      <c r="G581" s="122"/>
      <c r="H581" s="122"/>
    </row>
    <row r="582">
      <c r="A582" s="122"/>
      <c r="B582" s="122"/>
      <c r="C582" s="122"/>
      <c r="D582" s="122"/>
      <c r="E582" s="122"/>
      <c r="F582" s="122"/>
      <c r="G582" s="122"/>
      <c r="H582" s="122"/>
    </row>
    <row r="583">
      <c r="A583" s="122"/>
      <c r="B583" s="122"/>
      <c r="C583" s="122"/>
      <c r="D583" s="122"/>
      <c r="E583" s="122"/>
      <c r="F583" s="122"/>
      <c r="G583" s="122"/>
      <c r="H583" s="122"/>
    </row>
    <row r="584">
      <c r="A584" s="122"/>
      <c r="B584" s="122"/>
      <c r="C584" s="122"/>
      <c r="D584" s="122"/>
      <c r="E584" s="122"/>
      <c r="F584" s="122"/>
      <c r="G584" s="122"/>
      <c r="H584" s="122"/>
    </row>
    <row r="585">
      <c r="A585" s="122"/>
      <c r="B585" s="122"/>
      <c r="C585" s="122"/>
      <c r="D585" s="122"/>
      <c r="E585" s="122"/>
      <c r="F585" s="122"/>
      <c r="G585" s="122"/>
      <c r="H585" s="122"/>
    </row>
    <row r="586">
      <c r="A586" s="122"/>
      <c r="B586" s="122"/>
      <c r="C586" s="122"/>
      <c r="D586" s="122"/>
      <c r="E586" s="122"/>
      <c r="F586" s="122"/>
      <c r="G586" s="122"/>
      <c r="H586" s="122"/>
    </row>
    <row r="587">
      <c r="A587" s="122"/>
      <c r="B587" s="122"/>
      <c r="C587" s="122"/>
      <c r="D587" s="122"/>
      <c r="E587" s="122"/>
      <c r="F587" s="122"/>
      <c r="G587" s="122"/>
      <c r="H587" s="122"/>
    </row>
    <row r="588">
      <c r="A588" s="122"/>
      <c r="B588" s="122"/>
      <c r="C588" s="122"/>
      <c r="D588" s="122"/>
      <c r="E588" s="122"/>
      <c r="F588" s="122"/>
      <c r="G588" s="122"/>
      <c r="H588" s="122"/>
    </row>
    <row r="589">
      <c r="A589" s="122"/>
      <c r="B589" s="122"/>
      <c r="C589" s="122"/>
      <c r="D589" s="122"/>
      <c r="E589" s="122"/>
      <c r="F589" s="122"/>
      <c r="G589" s="122"/>
      <c r="H589" s="122"/>
    </row>
    <row r="590">
      <c r="A590" s="122"/>
      <c r="B590" s="122"/>
      <c r="C590" s="122"/>
      <c r="D590" s="122"/>
      <c r="E590" s="122"/>
      <c r="F590" s="122"/>
      <c r="G590" s="122"/>
      <c r="H590" s="122"/>
    </row>
    <row r="591">
      <c r="A591" s="122"/>
      <c r="B591" s="122"/>
      <c r="C591" s="122"/>
      <c r="D591" s="122"/>
      <c r="E591" s="122"/>
      <c r="F591" s="122"/>
      <c r="G591" s="122"/>
      <c r="H591" s="122"/>
    </row>
    <row r="592">
      <c r="A592" s="122"/>
      <c r="B592" s="122"/>
      <c r="C592" s="122"/>
      <c r="D592" s="122"/>
      <c r="E592" s="122"/>
      <c r="F592" s="122"/>
      <c r="G592" s="122"/>
      <c r="H592" s="122"/>
    </row>
    <row r="593">
      <c r="A593" s="122"/>
      <c r="B593" s="122"/>
      <c r="C593" s="122"/>
      <c r="D593" s="122"/>
      <c r="E593" s="122"/>
      <c r="F593" s="122"/>
      <c r="G593" s="122"/>
      <c r="H593" s="122"/>
    </row>
    <row r="594">
      <c r="A594" s="122"/>
      <c r="B594" s="122"/>
      <c r="C594" s="122"/>
      <c r="D594" s="122"/>
      <c r="E594" s="122"/>
      <c r="F594" s="122"/>
      <c r="G594" s="122"/>
      <c r="H594" s="122"/>
    </row>
    <row r="595">
      <c r="A595" s="122"/>
      <c r="B595" s="122"/>
      <c r="C595" s="122"/>
      <c r="D595" s="122"/>
      <c r="E595" s="122"/>
      <c r="F595" s="122"/>
      <c r="G595" s="122"/>
      <c r="H595" s="122"/>
    </row>
    <row r="596">
      <c r="A596" s="122"/>
      <c r="B596" s="122"/>
      <c r="C596" s="122"/>
      <c r="D596" s="122"/>
      <c r="E596" s="122"/>
      <c r="F596" s="122"/>
      <c r="G596" s="122"/>
      <c r="H596" s="122"/>
    </row>
    <row r="597">
      <c r="A597" s="122"/>
      <c r="B597" s="122"/>
      <c r="C597" s="122"/>
      <c r="D597" s="122"/>
      <c r="E597" s="122"/>
      <c r="F597" s="122"/>
      <c r="G597" s="122"/>
      <c r="H597" s="122"/>
    </row>
    <row r="598">
      <c r="A598" s="122"/>
      <c r="B598" s="122"/>
      <c r="C598" s="122"/>
      <c r="D598" s="122"/>
      <c r="E598" s="122"/>
      <c r="F598" s="122"/>
      <c r="G598" s="122"/>
      <c r="H598" s="122"/>
    </row>
    <row r="599">
      <c r="A599" s="122"/>
      <c r="B599" s="122"/>
      <c r="C599" s="122"/>
      <c r="D599" s="122"/>
      <c r="E599" s="122"/>
      <c r="F599" s="122"/>
      <c r="G599" s="122"/>
      <c r="H599" s="122"/>
    </row>
    <row r="600">
      <c r="A600" s="122"/>
      <c r="B600" s="122"/>
      <c r="C600" s="122"/>
      <c r="D600" s="122"/>
      <c r="E600" s="122"/>
      <c r="F600" s="122"/>
      <c r="G600" s="122"/>
      <c r="H600" s="122"/>
    </row>
    <row r="601">
      <c r="A601" s="122"/>
      <c r="B601" s="122"/>
      <c r="C601" s="122"/>
      <c r="D601" s="122"/>
      <c r="E601" s="122"/>
      <c r="F601" s="122"/>
      <c r="G601" s="122"/>
      <c r="H601" s="122"/>
    </row>
    <row r="602">
      <c r="A602" s="122"/>
      <c r="B602" s="122"/>
      <c r="C602" s="122"/>
      <c r="D602" s="122"/>
      <c r="E602" s="122"/>
      <c r="F602" s="122"/>
      <c r="G602" s="122"/>
      <c r="H602" s="122"/>
    </row>
    <row r="603">
      <c r="A603" s="122"/>
      <c r="B603" s="122"/>
      <c r="C603" s="122"/>
      <c r="D603" s="122"/>
      <c r="E603" s="122"/>
      <c r="F603" s="122"/>
      <c r="G603" s="122"/>
      <c r="H603" s="122"/>
    </row>
    <row r="604">
      <c r="A604" s="122"/>
      <c r="B604" s="122"/>
      <c r="C604" s="122"/>
      <c r="D604" s="122"/>
      <c r="E604" s="122"/>
      <c r="F604" s="122"/>
      <c r="G604" s="122"/>
      <c r="H604" s="122"/>
    </row>
    <row r="605">
      <c r="A605" s="122"/>
      <c r="B605" s="122"/>
      <c r="C605" s="122"/>
      <c r="D605" s="122"/>
      <c r="E605" s="122"/>
      <c r="F605" s="122"/>
      <c r="G605" s="122"/>
      <c r="H605" s="122"/>
    </row>
    <row r="606">
      <c r="A606" s="122"/>
      <c r="B606" s="122"/>
      <c r="C606" s="122"/>
      <c r="D606" s="122"/>
      <c r="E606" s="122"/>
      <c r="F606" s="122"/>
      <c r="G606" s="122"/>
      <c r="H606" s="122"/>
    </row>
    <row r="607">
      <c r="A607" s="122"/>
      <c r="B607" s="122"/>
      <c r="C607" s="122"/>
      <c r="D607" s="122"/>
      <c r="E607" s="122"/>
      <c r="F607" s="122"/>
      <c r="G607" s="122"/>
      <c r="H607" s="122"/>
    </row>
    <row r="608">
      <c r="A608" s="122"/>
      <c r="B608" s="122"/>
      <c r="C608" s="122"/>
      <c r="D608" s="122"/>
      <c r="E608" s="122"/>
      <c r="F608" s="122"/>
      <c r="G608" s="122"/>
      <c r="H608" s="122"/>
    </row>
    <row r="609">
      <c r="A609" s="122"/>
      <c r="B609" s="122"/>
      <c r="C609" s="122"/>
      <c r="D609" s="122"/>
      <c r="E609" s="122"/>
      <c r="F609" s="122"/>
      <c r="G609" s="122"/>
      <c r="H609" s="122"/>
    </row>
    <row r="610">
      <c r="A610" s="122"/>
      <c r="B610" s="122"/>
      <c r="C610" s="122"/>
      <c r="D610" s="122"/>
      <c r="E610" s="122"/>
      <c r="F610" s="122"/>
      <c r="G610" s="122"/>
      <c r="H610" s="122"/>
    </row>
    <row r="611">
      <c r="A611" s="122"/>
      <c r="B611" s="122"/>
      <c r="C611" s="122"/>
      <c r="D611" s="122"/>
      <c r="E611" s="122"/>
      <c r="F611" s="122"/>
      <c r="G611" s="122"/>
      <c r="H611" s="122"/>
    </row>
    <row r="612">
      <c r="A612" s="122"/>
      <c r="B612" s="122"/>
      <c r="C612" s="122"/>
      <c r="D612" s="122"/>
      <c r="E612" s="122"/>
      <c r="F612" s="122"/>
      <c r="G612" s="122"/>
      <c r="H612" s="122"/>
    </row>
    <row r="613">
      <c r="A613" s="122"/>
      <c r="B613" s="122"/>
      <c r="C613" s="122"/>
      <c r="D613" s="122"/>
      <c r="E613" s="122"/>
      <c r="F613" s="122"/>
      <c r="G613" s="122"/>
      <c r="H613" s="122"/>
    </row>
    <row r="614">
      <c r="A614" s="122"/>
      <c r="B614" s="122"/>
      <c r="C614" s="122"/>
      <c r="D614" s="122"/>
      <c r="E614" s="122"/>
      <c r="F614" s="122"/>
      <c r="G614" s="122"/>
      <c r="H614" s="122"/>
    </row>
    <row r="615">
      <c r="A615" s="122"/>
      <c r="B615" s="122"/>
      <c r="C615" s="122"/>
      <c r="D615" s="122"/>
      <c r="E615" s="122"/>
      <c r="F615" s="122"/>
      <c r="G615" s="122"/>
      <c r="H615" s="122"/>
    </row>
    <row r="616">
      <c r="A616" s="122"/>
      <c r="B616" s="122"/>
      <c r="C616" s="122"/>
      <c r="D616" s="122"/>
      <c r="E616" s="122"/>
      <c r="F616" s="122"/>
      <c r="G616" s="122"/>
      <c r="H616" s="122"/>
    </row>
    <row r="617">
      <c r="A617" s="122"/>
      <c r="B617" s="122"/>
      <c r="C617" s="122"/>
      <c r="D617" s="122"/>
      <c r="E617" s="122"/>
      <c r="F617" s="122"/>
      <c r="G617" s="122"/>
      <c r="H617" s="122"/>
    </row>
    <row r="618">
      <c r="A618" s="122"/>
      <c r="B618" s="122"/>
      <c r="C618" s="122"/>
      <c r="D618" s="122"/>
      <c r="E618" s="122"/>
      <c r="F618" s="122"/>
      <c r="G618" s="122"/>
      <c r="H618" s="122"/>
    </row>
    <row r="619">
      <c r="A619" s="122"/>
      <c r="B619" s="122"/>
      <c r="C619" s="122"/>
      <c r="D619" s="122"/>
      <c r="E619" s="122"/>
      <c r="F619" s="122"/>
      <c r="G619" s="122"/>
      <c r="H619" s="122"/>
    </row>
    <row r="620">
      <c r="A620" s="122"/>
      <c r="B620" s="122"/>
      <c r="C620" s="122"/>
      <c r="D620" s="122"/>
      <c r="E620" s="122"/>
      <c r="F620" s="122"/>
      <c r="G620" s="122"/>
      <c r="H620" s="122"/>
    </row>
    <row r="621">
      <c r="A621" s="122"/>
      <c r="B621" s="122"/>
      <c r="C621" s="122"/>
      <c r="D621" s="122"/>
      <c r="E621" s="122"/>
      <c r="F621" s="122"/>
      <c r="G621" s="122"/>
      <c r="H621" s="122"/>
    </row>
    <row r="622">
      <c r="A622" s="122"/>
      <c r="B622" s="122"/>
      <c r="C622" s="122"/>
      <c r="D622" s="122"/>
      <c r="E622" s="122"/>
      <c r="F622" s="122"/>
      <c r="G622" s="122"/>
      <c r="H622" s="122"/>
    </row>
    <row r="623">
      <c r="A623" s="122"/>
      <c r="B623" s="122"/>
      <c r="C623" s="122"/>
      <c r="D623" s="122"/>
      <c r="E623" s="122"/>
      <c r="F623" s="122"/>
      <c r="G623" s="122"/>
      <c r="H623" s="122"/>
    </row>
    <row r="624">
      <c r="A624" s="122"/>
      <c r="B624" s="122"/>
      <c r="C624" s="122"/>
      <c r="D624" s="122"/>
      <c r="E624" s="122"/>
      <c r="F624" s="122"/>
      <c r="G624" s="122"/>
      <c r="H624" s="122"/>
    </row>
    <row r="625">
      <c r="A625" s="122"/>
      <c r="B625" s="122"/>
      <c r="C625" s="122"/>
      <c r="D625" s="122"/>
      <c r="E625" s="122"/>
      <c r="F625" s="122"/>
      <c r="G625" s="122"/>
      <c r="H625" s="122"/>
    </row>
    <row r="626">
      <c r="A626" s="122"/>
      <c r="B626" s="122"/>
      <c r="C626" s="122"/>
      <c r="D626" s="122"/>
      <c r="E626" s="122"/>
      <c r="F626" s="122"/>
      <c r="G626" s="122"/>
      <c r="H626" s="122"/>
    </row>
    <row r="627">
      <c r="A627" s="122"/>
      <c r="B627" s="122"/>
      <c r="C627" s="122"/>
      <c r="D627" s="122"/>
      <c r="E627" s="122"/>
      <c r="F627" s="122"/>
      <c r="G627" s="122"/>
      <c r="H627" s="122"/>
    </row>
    <row r="628">
      <c r="A628" s="122"/>
      <c r="B628" s="122"/>
      <c r="C628" s="122"/>
      <c r="D628" s="122"/>
      <c r="E628" s="122"/>
      <c r="F628" s="122"/>
      <c r="G628" s="122"/>
      <c r="H628" s="122"/>
    </row>
    <row r="629">
      <c r="A629" s="122"/>
      <c r="B629" s="122"/>
      <c r="C629" s="122"/>
      <c r="D629" s="122"/>
      <c r="E629" s="122"/>
      <c r="F629" s="122"/>
      <c r="G629" s="122"/>
      <c r="H629" s="122"/>
    </row>
    <row r="630">
      <c r="A630" s="122"/>
      <c r="B630" s="122"/>
      <c r="C630" s="122"/>
      <c r="D630" s="122"/>
      <c r="E630" s="122"/>
      <c r="F630" s="122"/>
      <c r="G630" s="122"/>
      <c r="H630" s="122"/>
    </row>
    <row r="631">
      <c r="A631" s="122"/>
      <c r="B631" s="122"/>
      <c r="C631" s="122"/>
      <c r="D631" s="122"/>
      <c r="E631" s="122"/>
      <c r="F631" s="122"/>
      <c r="G631" s="122"/>
      <c r="H631" s="122"/>
    </row>
    <row r="632">
      <c r="A632" s="122"/>
      <c r="B632" s="122"/>
      <c r="C632" s="122"/>
      <c r="D632" s="122"/>
      <c r="E632" s="122"/>
      <c r="F632" s="122"/>
      <c r="G632" s="122"/>
      <c r="H632" s="122"/>
    </row>
    <row r="633">
      <c r="A633" s="122"/>
      <c r="B633" s="122"/>
      <c r="C633" s="122"/>
      <c r="D633" s="122"/>
      <c r="E633" s="122"/>
      <c r="F633" s="122"/>
      <c r="G633" s="122"/>
      <c r="H633" s="122"/>
    </row>
    <row r="634">
      <c r="A634" s="122"/>
      <c r="B634" s="122"/>
      <c r="C634" s="122"/>
      <c r="D634" s="122"/>
      <c r="E634" s="122"/>
      <c r="F634" s="122"/>
      <c r="G634" s="122"/>
      <c r="H634" s="122"/>
    </row>
    <row r="635">
      <c r="A635" s="122"/>
      <c r="B635" s="122"/>
      <c r="C635" s="122"/>
      <c r="D635" s="122"/>
      <c r="E635" s="122"/>
      <c r="F635" s="122"/>
      <c r="G635" s="122"/>
      <c r="H635" s="122"/>
    </row>
    <row r="636">
      <c r="A636" s="122"/>
      <c r="B636" s="122"/>
      <c r="C636" s="122"/>
      <c r="D636" s="122"/>
      <c r="E636" s="122"/>
      <c r="F636" s="122"/>
      <c r="G636" s="122"/>
      <c r="H636" s="122"/>
    </row>
    <row r="637">
      <c r="A637" s="122"/>
      <c r="B637" s="122"/>
      <c r="C637" s="122"/>
      <c r="D637" s="122"/>
      <c r="E637" s="122"/>
      <c r="F637" s="122"/>
      <c r="G637" s="122"/>
      <c r="H637" s="122"/>
    </row>
    <row r="638">
      <c r="A638" s="122"/>
      <c r="B638" s="122"/>
      <c r="C638" s="122"/>
      <c r="D638" s="122"/>
      <c r="E638" s="122"/>
      <c r="F638" s="122"/>
      <c r="G638" s="122"/>
      <c r="H638" s="122"/>
    </row>
    <row r="639">
      <c r="A639" s="122"/>
      <c r="B639" s="122"/>
      <c r="C639" s="122"/>
      <c r="D639" s="122"/>
      <c r="E639" s="122"/>
      <c r="F639" s="122"/>
      <c r="G639" s="122"/>
      <c r="H639" s="122"/>
    </row>
    <row r="640">
      <c r="A640" s="122"/>
      <c r="B640" s="122"/>
      <c r="C640" s="122"/>
      <c r="D640" s="122"/>
      <c r="E640" s="122"/>
      <c r="F640" s="122"/>
      <c r="G640" s="122"/>
      <c r="H640" s="122"/>
    </row>
    <row r="641">
      <c r="A641" s="122"/>
      <c r="B641" s="122"/>
      <c r="C641" s="122"/>
      <c r="D641" s="122"/>
      <c r="E641" s="122"/>
      <c r="F641" s="122"/>
      <c r="G641" s="122"/>
      <c r="H641" s="122"/>
    </row>
    <row r="642">
      <c r="A642" s="122"/>
      <c r="B642" s="122"/>
      <c r="C642" s="122"/>
      <c r="D642" s="122"/>
      <c r="E642" s="122"/>
      <c r="F642" s="122"/>
      <c r="G642" s="122"/>
      <c r="H642" s="122"/>
    </row>
    <row r="643">
      <c r="A643" s="122"/>
      <c r="B643" s="122"/>
      <c r="C643" s="122"/>
      <c r="D643" s="122"/>
      <c r="E643" s="122"/>
      <c r="F643" s="122"/>
      <c r="G643" s="122"/>
      <c r="H643" s="122"/>
    </row>
    <row r="644">
      <c r="A644" s="122"/>
      <c r="B644" s="122"/>
      <c r="C644" s="122"/>
      <c r="D644" s="122"/>
      <c r="E644" s="122"/>
      <c r="F644" s="122"/>
      <c r="G644" s="122"/>
      <c r="H644" s="122"/>
    </row>
    <row r="645">
      <c r="A645" s="122"/>
      <c r="B645" s="122"/>
      <c r="C645" s="122"/>
      <c r="D645" s="122"/>
      <c r="E645" s="122"/>
      <c r="F645" s="122"/>
      <c r="G645" s="122"/>
      <c r="H645" s="122"/>
    </row>
    <row r="646">
      <c r="A646" s="122"/>
      <c r="B646" s="122"/>
      <c r="C646" s="122"/>
      <c r="D646" s="122"/>
      <c r="E646" s="122"/>
      <c r="F646" s="122"/>
      <c r="G646" s="122"/>
      <c r="H646" s="122"/>
    </row>
    <row r="647">
      <c r="A647" s="122"/>
      <c r="B647" s="122"/>
      <c r="C647" s="122"/>
      <c r="D647" s="122"/>
      <c r="E647" s="122"/>
      <c r="F647" s="122"/>
      <c r="G647" s="122"/>
      <c r="H647" s="122"/>
    </row>
    <row r="648">
      <c r="A648" s="122"/>
      <c r="B648" s="122"/>
      <c r="C648" s="122"/>
      <c r="D648" s="122"/>
      <c r="E648" s="122"/>
      <c r="F648" s="122"/>
      <c r="G648" s="122"/>
      <c r="H648" s="122"/>
    </row>
    <row r="649">
      <c r="A649" s="122"/>
      <c r="B649" s="122"/>
      <c r="C649" s="122"/>
      <c r="D649" s="122"/>
      <c r="E649" s="122"/>
      <c r="F649" s="122"/>
      <c r="G649" s="122"/>
      <c r="H649" s="122"/>
    </row>
    <row r="650">
      <c r="A650" s="122"/>
      <c r="B650" s="122"/>
      <c r="C650" s="122"/>
      <c r="D650" s="122"/>
      <c r="E650" s="122"/>
      <c r="F650" s="122"/>
      <c r="G650" s="122"/>
      <c r="H650" s="122"/>
    </row>
    <row r="651">
      <c r="A651" s="122"/>
      <c r="B651" s="122"/>
      <c r="C651" s="122"/>
      <c r="D651" s="122"/>
      <c r="E651" s="122"/>
      <c r="F651" s="122"/>
      <c r="G651" s="122"/>
      <c r="H651" s="122"/>
    </row>
    <row r="652">
      <c r="A652" s="122"/>
      <c r="B652" s="122"/>
      <c r="C652" s="122"/>
      <c r="D652" s="122"/>
      <c r="E652" s="122"/>
      <c r="F652" s="122"/>
      <c r="G652" s="122"/>
      <c r="H652" s="122"/>
    </row>
    <row r="653">
      <c r="A653" s="122"/>
      <c r="B653" s="122"/>
      <c r="C653" s="122"/>
      <c r="D653" s="122"/>
      <c r="E653" s="122"/>
      <c r="F653" s="122"/>
      <c r="G653" s="122"/>
      <c r="H653" s="122"/>
    </row>
    <row r="654">
      <c r="A654" s="122"/>
      <c r="B654" s="122"/>
      <c r="C654" s="122"/>
      <c r="D654" s="122"/>
      <c r="E654" s="122"/>
      <c r="F654" s="122"/>
      <c r="G654" s="122"/>
      <c r="H654" s="122"/>
    </row>
    <row r="655">
      <c r="A655" s="122"/>
      <c r="B655" s="122"/>
      <c r="C655" s="122"/>
      <c r="D655" s="122"/>
      <c r="E655" s="122"/>
      <c r="F655" s="122"/>
      <c r="G655" s="122"/>
      <c r="H655" s="122"/>
    </row>
    <row r="656">
      <c r="A656" s="122"/>
      <c r="B656" s="122"/>
      <c r="C656" s="122"/>
      <c r="D656" s="122"/>
      <c r="E656" s="122"/>
      <c r="F656" s="122"/>
      <c r="G656" s="122"/>
      <c r="H656" s="122"/>
    </row>
    <row r="657">
      <c r="A657" s="122"/>
      <c r="B657" s="122"/>
      <c r="C657" s="122"/>
      <c r="D657" s="122"/>
      <c r="E657" s="122"/>
      <c r="F657" s="122"/>
      <c r="G657" s="122"/>
      <c r="H657" s="122"/>
    </row>
    <row r="658">
      <c r="A658" s="122"/>
      <c r="B658" s="122"/>
      <c r="C658" s="122"/>
      <c r="D658" s="122"/>
      <c r="E658" s="122"/>
      <c r="F658" s="122"/>
      <c r="G658" s="122"/>
      <c r="H658" s="122"/>
    </row>
    <row r="659">
      <c r="A659" s="122"/>
      <c r="B659" s="122"/>
      <c r="C659" s="122"/>
      <c r="D659" s="122"/>
      <c r="E659" s="122"/>
      <c r="F659" s="122"/>
      <c r="G659" s="122"/>
      <c r="H659" s="122"/>
    </row>
    <row r="660">
      <c r="A660" s="122"/>
      <c r="B660" s="122"/>
      <c r="C660" s="122"/>
      <c r="D660" s="122"/>
      <c r="E660" s="122"/>
      <c r="F660" s="122"/>
      <c r="G660" s="122"/>
      <c r="H660" s="122"/>
    </row>
    <row r="661">
      <c r="A661" s="122"/>
      <c r="B661" s="122"/>
      <c r="C661" s="122"/>
      <c r="D661" s="122"/>
      <c r="E661" s="122"/>
      <c r="F661" s="122"/>
      <c r="G661" s="122"/>
      <c r="H661" s="122"/>
    </row>
    <row r="662">
      <c r="A662" s="122"/>
      <c r="B662" s="122"/>
      <c r="C662" s="122"/>
      <c r="D662" s="122"/>
      <c r="E662" s="122"/>
      <c r="F662" s="122"/>
      <c r="G662" s="122"/>
      <c r="H662" s="122"/>
    </row>
    <row r="663">
      <c r="A663" s="122"/>
      <c r="B663" s="122"/>
      <c r="C663" s="122"/>
      <c r="D663" s="122"/>
      <c r="E663" s="122"/>
      <c r="F663" s="122"/>
      <c r="G663" s="122"/>
      <c r="H663" s="122"/>
    </row>
    <row r="664">
      <c r="A664" s="122"/>
      <c r="B664" s="122"/>
      <c r="C664" s="122"/>
      <c r="D664" s="122"/>
      <c r="E664" s="122"/>
      <c r="F664" s="122"/>
      <c r="G664" s="122"/>
      <c r="H664" s="122"/>
    </row>
    <row r="665">
      <c r="A665" s="122"/>
      <c r="B665" s="122"/>
      <c r="C665" s="122"/>
      <c r="D665" s="122"/>
      <c r="E665" s="122"/>
      <c r="F665" s="122"/>
      <c r="G665" s="122"/>
      <c r="H665" s="122"/>
    </row>
    <row r="666">
      <c r="A666" s="122"/>
      <c r="B666" s="122"/>
      <c r="C666" s="122"/>
      <c r="D666" s="122"/>
      <c r="E666" s="122"/>
      <c r="F666" s="122"/>
      <c r="G666" s="122"/>
      <c r="H666" s="122"/>
    </row>
    <row r="667">
      <c r="A667" s="122"/>
      <c r="B667" s="122"/>
      <c r="C667" s="122"/>
      <c r="D667" s="122"/>
      <c r="E667" s="122"/>
      <c r="F667" s="122"/>
      <c r="G667" s="122"/>
      <c r="H667" s="122"/>
    </row>
    <row r="668">
      <c r="A668" s="122"/>
      <c r="B668" s="122"/>
      <c r="C668" s="122"/>
      <c r="D668" s="122"/>
      <c r="E668" s="122"/>
      <c r="F668" s="122"/>
      <c r="G668" s="122"/>
      <c r="H668" s="122"/>
    </row>
    <row r="669">
      <c r="A669" s="122"/>
      <c r="B669" s="122"/>
      <c r="C669" s="122"/>
      <c r="D669" s="122"/>
      <c r="E669" s="122"/>
      <c r="F669" s="122"/>
      <c r="G669" s="122"/>
      <c r="H669" s="122"/>
    </row>
    <row r="670">
      <c r="A670" s="122"/>
      <c r="B670" s="122"/>
      <c r="C670" s="122"/>
      <c r="D670" s="122"/>
      <c r="E670" s="122"/>
      <c r="F670" s="122"/>
      <c r="G670" s="122"/>
      <c r="H670" s="122"/>
    </row>
    <row r="671">
      <c r="A671" s="122"/>
      <c r="B671" s="122"/>
      <c r="C671" s="122"/>
      <c r="D671" s="122"/>
      <c r="E671" s="122"/>
      <c r="F671" s="122"/>
      <c r="G671" s="122"/>
      <c r="H671" s="122"/>
    </row>
    <row r="672">
      <c r="A672" s="122"/>
      <c r="B672" s="122"/>
      <c r="C672" s="122"/>
      <c r="D672" s="122"/>
      <c r="E672" s="122"/>
      <c r="F672" s="122"/>
      <c r="G672" s="122"/>
      <c r="H672" s="122"/>
    </row>
    <row r="673">
      <c r="A673" s="122"/>
      <c r="B673" s="122"/>
      <c r="C673" s="122"/>
      <c r="D673" s="122"/>
      <c r="E673" s="122"/>
      <c r="F673" s="122"/>
      <c r="G673" s="122"/>
      <c r="H673" s="122"/>
    </row>
    <row r="674">
      <c r="A674" s="122"/>
      <c r="B674" s="122"/>
      <c r="C674" s="122"/>
      <c r="D674" s="122"/>
      <c r="E674" s="122"/>
      <c r="F674" s="122"/>
      <c r="G674" s="122"/>
      <c r="H674" s="122"/>
    </row>
    <row r="675">
      <c r="A675" s="122"/>
      <c r="B675" s="122"/>
      <c r="C675" s="122"/>
      <c r="D675" s="122"/>
      <c r="E675" s="122"/>
      <c r="F675" s="122"/>
      <c r="G675" s="122"/>
      <c r="H675" s="122"/>
    </row>
    <row r="676">
      <c r="A676" s="122"/>
      <c r="B676" s="122"/>
      <c r="C676" s="122"/>
      <c r="D676" s="122"/>
      <c r="E676" s="122"/>
      <c r="F676" s="122"/>
      <c r="G676" s="122"/>
      <c r="H676" s="122"/>
    </row>
    <row r="677">
      <c r="A677" s="122"/>
      <c r="B677" s="122"/>
      <c r="C677" s="122"/>
      <c r="D677" s="122"/>
      <c r="E677" s="122"/>
      <c r="F677" s="122"/>
      <c r="G677" s="122"/>
      <c r="H677" s="122"/>
    </row>
    <row r="678">
      <c r="A678" s="122"/>
      <c r="B678" s="122"/>
      <c r="C678" s="122"/>
      <c r="D678" s="122"/>
      <c r="E678" s="122"/>
      <c r="F678" s="122"/>
      <c r="G678" s="122"/>
      <c r="H678" s="122"/>
    </row>
    <row r="679">
      <c r="A679" s="122"/>
      <c r="B679" s="122"/>
      <c r="C679" s="122"/>
      <c r="D679" s="122"/>
      <c r="E679" s="122"/>
      <c r="F679" s="122"/>
      <c r="G679" s="122"/>
      <c r="H679" s="122"/>
    </row>
    <row r="680">
      <c r="A680" s="122"/>
      <c r="B680" s="122"/>
      <c r="C680" s="122"/>
      <c r="D680" s="122"/>
      <c r="E680" s="122"/>
      <c r="F680" s="122"/>
      <c r="G680" s="122"/>
      <c r="H680" s="122"/>
    </row>
    <row r="681">
      <c r="A681" s="122"/>
      <c r="B681" s="122"/>
      <c r="C681" s="122"/>
      <c r="D681" s="122"/>
      <c r="E681" s="122"/>
      <c r="F681" s="122"/>
      <c r="G681" s="122"/>
      <c r="H681" s="122"/>
    </row>
    <row r="682">
      <c r="A682" s="122"/>
      <c r="B682" s="122"/>
      <c r="C682" s="122"/>
      <c r="D682" s="122"/>
      <c r="E682" s="122"/>
      <c r="F682" s="122"/>
      <c r="G682" s="122"/>
      <c r="H682" s="122"/>
    </row>
    <row r="683">
      <c r="A683" s="122"/>
      <c r="B683" s="122"/>
      <c r="C683" s="122"/>
      <c r="D683" s="122"/>
      <c r="E683" s="122"/>
      <c r="F683" s="122"/>
      <c r="G683" s="122"/>
      <c r="H683" s="122"/>
    </row>
    <row r="684">
      <c r="A684" s="122"/>
      <c r="B684" s="122"/>
      <c r="C684" s="122"/>
      <c r="D684" s="122"/>
      <c r="E684" s="122"/>
      <c r="F684" s="122"/>
      <c r="G684" s="122"/>
      <c r="H684" s="122"/>
    </row>
    <row r="685">
      <c r="A685" s="122"/>
      <c r="B685" s="122"/>
      <c r="C685" s="122"/>
      <c r="D685" s="122"/>
      <c r="E685" s="122"/>
      <c r="F685" s="122"/>
      <c r="G685" s="122"/>
      <c r="H685" s="122"/>
    </row>
    <row r="686">
      <c r="A686" s="122"/>
      <c r="B686" s="122"/>
      <c r="C686" s="122"/>
      <c r="D686" s="122"/>
      <c r="E686" s="122"/>
      <c r="F686" s="122"/>
      <c r="G686" s="122"/>
      <c r="H686" s="122"/>
    </row>
    <row r="687">
      <c r="A687" s="122"/>
      <c r="B687" s="122"/>
      <c r="C687" s="122"/>
      <c r="D687" s="122"/>
      <c r="E687" s="122"/>
      <c r="F687" s="122"/>
      <c r="G687" s="122"/>
      <c r="H687" s="122"/>
    </row>
    <row r="688">
      <c r="A688" s="122"/>
      <c r="B688" s="122"/>
      <c r="C688" s="122"/>
      <c r="D688" s="122"/>
      <c r="E688" s="122"/>
      <c r="F688" s="122"/>
      <c r="G688" s="122"/>
      <c r="H688" s="122"/>
    </row>
    <row r="689">
      <c r="A689" s="122"/>
      <c r="B689" s="122"/>
      <c r="C689" s="122"/>
      <c r="D689" s="122"/>
      <c r="E689" s="122"/>
      <c r="F689" s="122"/>
      <c r="G689" s="122"/>
      <c r="H689" s="122"/>
    </row>
    <row r="690">
      <c r="A690" s="122"/>
      <c r="B690" s="122"/>
      <c r="C690" s="122"/>
      <c r="D690" s="122"/>
      <c r="E690" s="122"/>
      <c r="F690" s="122"/>
      <c r="G690" s="122"/>
      <c r="H690" s="122"/>
    </row>
    <row r="691">
      <c r="A691" s="122"/>
      <c r="B691" s="122"/>
      <c r="C691" s="122"/>
      <c r="D691" s="122"/>
      <c r="E691" s="122"/>
      <c r="F691" s="122"/>
      <c r="G691" s="122"/>
      <c r="H691" s="122"/>
    </row>
    <row r="692">
      <c r="A692" s="122"/>
      <c r="B692" s="122"/>
      <c r="C692" s="122"/>
      <c r="D692" s="122"/>
      <c r="E692" s="122"/>
      <c r="F692" s="122"/>
      <c r="G692" s="122"/>
      <c r="H692" s="122"/>
    </row>
    <row r="693">
      <c r="A693" s="122"/>
      <c r="B693" s="122"/>
      <c r="C693" s="122"/>
      <c r="D693" s="122"/>
      <c r="E693" s="122"/>
      <c r="F693" s="122"/>
      <c r="G693" s="122"/>
      <c r="H693" s="122"/>
    </row>
    <row r="694">
      <c r="A694" s="122"/>
      <c r="B694" s="122"/>
      <c r="C694" s="122"/>
      <c r="D694" s="122"/>
      <c r="E694" s="122"/>
      <c r="F694" s="122"/>
      <c r="G694" s="122"/>
      <c r="H694" s="122"/>
    </row>
    <row r="695">
      <c r="A695" s="122"/>
      <c r="B695" s="122"/>
      <c r="C695" s="122"/>
      <c r="D695" s="122"/>
      <c r="E695" s="122"/>
      <c r="F695" s="122"/>
      <c r="G695" s="122"/>
      <c r="H695" s="122"/>
    </row>
    <row r="696">
      <c r="A696" s="122"/>
      <c r="B696" s="122"/>
      <c r="C696" s="122"/>
      <c r="D696" s="122"/>
      <c r="E696" s="122"/>
      <c r="F696" s="122"/>
      <c r="G696" s="122"/>
      <c r="H696" s="122"/>
    </row>
    <row r="697">
      <c r="A697" s="122"/>
      <c r="B697" s="122"/>
      <c r="C697" s="122"/>
      <c r="D697" s="122"/>
      <c r="E697" s="122"/>
      <c r="F697" s="122"/>
      <c r="G697" s="122"/>
      <c r="H697" s="122"/>
    </row>
    <row r="698">
      <c r="A698" s="122"/>
      <c r="B698" s="122"/>
      <c r="C698" s="122"/>
      <c r="D698" s="122"/>
      <c r="E698" s="122"/>
      <c r="F698" s="122"/>
      <c r="G698" s="122"/>
      <c r="H698" s="122"/>
    </row>
    <row r="699">
      <c r="A699" s="122"/>
      <c r="B699" s="122"/>
      <c r="C699" s="122"/>
      <c r="D699" s="122"/>
      <c r="E699" s="122"/>
      <c r="F699" s="122"/>
      <c r="G699" s="122"/>
      <c r="H699" s="122"/>
    </row>
    <row r="700">
      <c r="A700" s="122"/>
      <c r="B700" s="122"/>
      <c r="C700" s="122"/>
      <c r="D700" s="122"/>
      <c r="E700" s="122"/>
      <c r="F700" s="122"/>
      <c r="G700" s="122"/>
      <c r="H700" s="122"/>
    </row>
    <row r="701">
      <c r="A701" s="122"/>
      <c r="B701" s="122"/>
      <c r="C701" s="122"/>
      <c r="D701" s="122"/>
      <c r="E701" s="122"/>
      <c r="F701" s="122"/>
      <c r="G701" s="122"/>
      <c r="H701" s="122"/>
    </row>
    <row r="702">
      <c r="A702" s="122"/>
      <c r="B702" s="122"/>
      <c r="C702" s="122"/>
      <c r="D702" s="122"/>
      <c r="E702" s="122"/>
      <c r="F702" s="122"/>
      <c r="G702" s="122"/>
      <c r="H702" s="122"/>
    </row>
    <row r="703">
      <c r="A703" s="122"/>
      <c r="B703" s="122"/>
      <c r="C703" s="122"/>
      <c r="D703" s="122"/>
      <c r="E703" s="122"/>
      <c r="F703" s="122"/>
      <c r="G703" s="122"/>
      <c r="H703" s="122"/>
    </row>
    <row r="704">
      <c r="A704" s="122"/>
      <c r="B704" s="122"/>
      <c r="C704" s="122"/>
      <c r="D704" s="122"/>
      <c r="E704" s="122"/>
      <c r="F704" s="122"/>
      <c r="G704" s="122"/>
      <c r="H704" s="122"/>
    </row>
    <row r="705">
      <c r="A705" s="122"/>
      <c r="B705" s="122"/>
      <c r="C705" s="122"/>
      <c r="D705" s="122"/>
      <c r="E705" s="122"/>
      <c r="F705" s="122"/>
      <c r="G705" s="122"/>
      <c r="H705" s="122"/>
    </row>
    <row r="706">
      <c r="A706" s="122"/>
      <c r="B706" s="122"/>
      <c r="C706" s="122"/>
      <c r="D706" s="122"/>
      <c r="E706" s="122"/>
      <c r="F706" s="122"/>
      <c r="G706" s="122"/>
      <c r="H706" s="122"/>
    </row>
    <row r="707">
      <c r="A707" s="122"/>
      <c r="B707" s="122"/>
      <c r="C707" s="122"/>
      <c r="D707" s="122"/>
      <c r="E707" s="122"/>
      <c r="F707" s="122"/>
      <c r="G707" s="122"/>
      <c r="H707" s="122"/>
    </row>
    <row r="708">
      <c r="A708" s="122"/>
      <c r="B708" s="122"/>
      <c r="C708" s="122"/>
      <c r="D708" s="122"/>
      <c r="E708" s="122"/>
      <c r="F708" s="122"/>
      <c r="G708" s="122"/>
      <c r="H708" s="122"/>
    </row>
    <row r="709">
      <c r="A709" s="122"/>
      <c r="B709" s="122"/>
      <c r="C709" s="122"/>
      <c r="D709" s="122"/>
      <c r="E709" s="122"/>
      <c r="F709" s="122"/>
      <c r="G709" s="122"/>
      <c r="H709" s="122"/>
    </row>
    <row r="710">
      <c r="A710" s="122"/>
      <c r="B710" s="122"/>
      <c r="C710" s="122"/>
      <c r="D710" s="122"/>
      <c r="E710" s="122"/>
      <c r="F710" s="122"/>
      <c r="G710" s="122"/>
      <c r="H710" s="122"/>
    </row>
    <row r="711">
      <c r="A711" s="122"/>
      <c r="B711" s="122"/>
      <c r="C711" s="122"/>
      <c r="D711" s="122"/>
      <c r="E711" s="122"/>
      <c r="F711" s="122"/>
      <c r="G711" s="122"/>
      <c r="H711" s="122"/>
    </row>
    <row r="712">
      <c r="A712" s="122"/>
      <c r="B712" s="122"/>
      <c r="C712" s="122"/>
      <c r="D712" s="122"/>
      <c r="E712" s="122"/>
      <c r="F712" s="122"/>
      <c r="G712" s="122"/>
      <c r="H712" s="122"/>
    </row>
    <row r="713">
      <c r="A713" s="122"/>
      <c r="B713" s="122"/>
      <c r="C713" s="122"/>
      <c r="D713" s="122"/>
      <c r="E713" s="122"/>
      <c r="F713" s="122"/>
      <c r="G713" s="122"/>
      <c r="H713" s="122"/>
    </row>
    <row r="714">
      <c r="A714" s="122"/>
      <c r="B714" s="122"/>
      <c r="C714" s="122"/>
      <c r="D714" s="122"/>
      <c r="E714" s="122"/>
      <c r="F714" s="122"/>
      <c r="G714" s="122"/>
      <c r="H714" s="122"/>
    </row>
    <row r="715">
      <c r="A715" s="122"/>
      <c r="B715" s="122"/>
      <c r="C715" s="122"/>
      <c r="D715" s="122"/>
      <c r="E715" s="122"/>
      <c r="F715" s="122"/>
      <c r="G715" s="122"/>
      <c r="H715" s="122"/>
    </row>
    <row r="716">
      <c r="A716" s="122"/>
      <c r="B716" s="122"/>
      <c r="C716" s="122"/>
      <c r="D716" s="122"/>
      <c r="E716" s="122"/>
      <c r="F716" s="122"/>
      <c r="G716" s="122"/>
      <c r="H716" s="122"/>
    </row>
    <row r="717">
      <c r="A717" s="122"/>
      <c r="B717" s="122"/>
      <c r="C717" s="122"/>
      <c r="D717" s="122"/>
      <c r="E717" s="122"/>
      <c r="F717" s="122"/>
      <c r="G717" s="122"/>
      <c r="H717" s="122"/>
    </row>
    <row r="718">
      <c r="A718" s="122"/>
      <c r="B718" s="122"/>
      <c r="C718" s="122"/>
      <c r="D718" s="122"/>
      <c r="E718" s="122"/>
      <c r="F718" s="122"/>
      <c r="G718" s="122"/>
      <c r="H718" s="122"/>
    </row>
    <row r="719">
      <c r="A719" s="122"/>
      <c r="B719" s="122"/>
      <c r="C719" s="122"/>
      <c r="D719" s="122"/>
      <c r="E719" s="122"/>
      <c r="F719" s="122"/>
      <c r="G719" s="122"/>
      <c r="H719" s="122"/>
    </row>
    <row r="720">
      <c r="A720" s="122"/>
      <c r="B720" s="122"/>
      <c r="C720" s="122"/>
      <c r="D720" s="122"/>
      <c r="E720" s="122"/>
      <c r="F720" s="122"/>
      <c r="G720" s="122"/>
      <c r="H720" s="122"/>
    </row>
    <row r="721">
      <c r="A721" s="122"/>
      <c r="B721" s="122"/>
      <c r="C721" s="122"/>
      <c r="D721" s="122"/>
      <c r="E721" s="122"/>
      <c r="F721" s="122"/>
      <c r="G721" s="122"/>
      <c r="H721" s="122"/>
    </row>
    <row r="722">
      <c r="A722" s="122"/>
      <c r="B722" s="122"/>
      <c r="C722" s="122"/>
      <c r="D722" s="122"/>
      <c r="E722" s="122"/>
      <c r="F722" s="122"/>
      <c r="G722" s="122"/>
      <c r="H722" s="122"/>
    </row>
    <row r="723">
      <c r="A723" s="122"/>
      <c r="B723" s="122"/>
      <c r="C723" s="122"/>
      <c r="D723" s="122"/>
      <c r="E723" s="122"/>
      <c r="F723" s="122"/>
      <c r="G723" s="122"/>
      <c r="H723" s="122"/>
    </row>
    <row r="724">
      <c r="A724" s="122"/>
      <c r="B724" s="122"/>
      <c r="C724" s="122"/>
      <c r="D724" s="122"/>
      <c r="E724" s="122"/>
      <c r="F724" s="122"/>
      <c r="G724" s="122"/>
      <c r="H724" s="122"/>
    </row>
    <row r="725">
      <c r="A725" s="122"/>
      <c r="B725" s="122"/>
      <c r="C725" s="122"/>
      <c r="D725" s="122"/>
      <c r="E725" s="122"/>
      <c r="F725" s="122"/>
      <c r="G725" s="122"/>
      <c r="H725" s="122"/>
    </row>
    <row r="726">
      <c r="A726" s="122"/>
      <c r="B726" s="122"/>
      <c r="C726" s="122"/>
      <c r="D726" s="122"/>
      <c r="E726" s="122"/>
      <c r="F726" s="122"/>
      <c r="G726" s="122"/>
      <c r="H726" s="122"/>
    </row>
    <row r="727">
      <c r="A727" s="122"/>
      <c r="B727" s="122"/>
      <c r="C727" s="122"/>
      <c r="D727" s="122"/>
      <c r="E727" s="122"/>
      <c r="F727" s="122"/>
      <c r="G727" s="122"/>
      <c r="H727" s="122"/>
    </row>
    <row r="728">
      <c r="A728" s="122"/>
      <c r="B728" s="122"/>
      <c r="C728" s="122"/>
      <c r="D728" s="122"/>
      <c r="E728" s="122"/>
      <c r="F728" s="122"/>
      <c r="G728" s="122"/>
      <c r="H728" s="122"/>
    </row>
    <row r="729">
      <c r="A729" s="122"/>
      <c r="B729" s="122"/>
      <c r="C729" s="122"/>
      <c r="D729" s="122"/>
      <c r="E729" s="122"/>
      <c r="F729" s="122"/>
      <c r="G729" s="122"/>
      <c r="H729" s="122"/>
    </row>
    <row r="730">
      <c r="A730" s="122"/>
      <c r="B730" s="122"/>
      <c r="C730" s="122"/>
      <c r="D730" s="122"/>
      <c r="E730" s="122"/>
      <c r="F730" s="122"/>
      <c r="G730" s="122"/>
      <c r="H730" s="122"/>
    </row>
    <row r="731">
      <c r="A731" s="122"/>
      <c r="B731" s="122"/>
      <c r="C731" s="122"/>
      <c r="D731" s="122"/>
      <c r="E731" s="122"/>
      <c r="F731" s="122"/>
      <c r="G731" s="122"/>
      <c r="H731" s="122"/>
    </row>
    <row r="732">
      <c r="A732" s="122"/>
      <c r="B732" s="122"/>
      <c r="C732" s="122"/>
      <c r="D732" s="122"/>
      <c r="E732" s="122"/>
      <c r="F732" s="122"/>
      <c r="G732" s="122"/>
      <c r="H732" s="122"/>
    </row>
    <row r="733">
      <c r="A733" s="122"/>
      <c r="B733" s="122"/>
      <c r="C733" s="122"/>
      <c r="D733" s="122"/>
      <c r="E733" s="122"/>
      <c r="F733" s="122"/>
      <c r="G733" s="122"/>
      <c r="H733" s="122"/>
    </row>
    <row r="734">
      <c r="A734" s="122"/>
      <c r="B734" s="122"/>
      <c r="C734" s="122"/>
      <c r="D734" s="122"/>
      <c r="E734" s="122"/>
      <c r="F734" s="122"/>
      <c r="G734" s="122"/>
      <c r="H734" s="122"/>
    </row>
    <row r="735">
      <c r="A735" s="122"/>
      <c r="B735" s="122"/>
      <c r="C735" s="122"/>
      <c r="D735" s="122"/>
      <c r="E735" s="122"/>
      <c r="F735" s="122"/>
      <c r="G735" s="122"/>
      <c r="H735" s="122"/>
    </row>
    <row r="736">
      <c r="A736" s="122"/>
      <c r="B736" s="122"/>
      <c r="C736" s="122"/>
      <c r="D736" s="122"/>
      <c r="E736" s="122"/>
      <c r="F736" s="122"/>
      <c r="G736" s="122"/>
      <c r="H736" s="122"/>
    </row>
    <row r="737">
      <c r="A737" s="122"/>
      <c r="B737" s="122"/>
      <c r="C737" s="122"/>
      <c r="D737" s="122"/>
      <c r="E737" s="122"/>
      <c r="F737" s="122"/>
      <c r="G737" s="122"/>
      <c r="H737" s="122"/>
    </row>
    <row r="738">
      <c r="A738" s="122"/>
      <c r="B738" s="122"/>
      <c r="C738" s="122"/>
      <c r="D738" s="122"/>
      <c r="E738" s="122"/>
      <c r="F738" s="122"/>
      <c r="G738" s="122"/>
      <c r="H738" s="122"/>
    </row>
    <row r="739">
      <c r="A739" s="122"/>
      <c r="B739" s="122"/>
      <c r="C739" s="122"/>
      <c r="D739" s="122"/>
      <c r="E739" s="122"/>
      <c r="F739" s="122"/>
      <c r="G739" s="122"/>
      <c r="H739" s="122"/>
    </row>
    <row r="740">
      <c r="A740" s="122"/>
      <c r="B740" s="122"/>
      <c r="C740" s="122"/>
      <c r="D740" s="122"/>
      <c r="E740" s="122"/>
      <c r="F740" s="122"/>
      <c r="G740" s="122"/>
      <c r="H740" s="122"/>
    </row>
    <row r="741">
      <c r="A741" s="122"/>
      <c r="B741" s="122"/>
      <c r="C741" s="122"/>
      <c r="D741" s="122"/>
      <c r="E741" s="122"/>
      <c r="F741" s="122"/>
      <c r="G741" s="122"/>
      <c r="H741" s="122"/>
    </row>
    <row r="742">
      <c r="A742" s="122"/>
      <c r="B742" s="122"/>
      <c r="C742" s="122"/>
      <c r="D742" s="122"/>
      <c r="E742" s="122"/>
      <c r="F742" s="122"/>
      <c r="G742" s="122"/>
      <c r="H742" s="122"/>
    </row>
    <row r="743">
      <c r="A743" s="122"/>
      <c r="B743" s="122"/>
      <c r="C743" s="122"/>
      <c r="D743" s="122"/>
      <c r="E743" s="122"/>
      <c r="F743" s="122"/>
      <c r="G743" s="122"/>
      <c r="H743" s="122"/>
    </row>
    <row r="744">
      <c r="A744" s="122"/>
      <c r="B744" s="122"/>
      <c r="C744" s="122"/>
      <c r="D744" s="122"/>
      <c r="E744" s="122"/>
      <c r="F744" s="122"/>
      <c r="G744" s="122"/>
      <c r="H744" s="122"/>
    </row>
    <row r="745">
      <c r="A745" s="122"/>
      <c r="B745" s="122"/>
      <c r="C745" s="122"/>
      <c r="D745" s="122"/>
      <c r="E745" s="122"/>
      <c r="F745" s="122"/>
      <c r="G745" s="122"/>
      <c r="H745" s="122"/>
    </row>
    <row r="746">
      <c r="A746" s="122"/>
      <c r="B746" s="122"/>
      <c r="C746" s="122"/>
      <c r="D746" s="122"/>
      <c r="E746" s="122"/>
      <c r="F746" s="122"/>
      <c r="G746" s="122"/>
      <c r="H746" s="122"/>
    </row>
    <row r="747">
      <c r="A747" s="122"/>
      <c r="B747" s="122"/>
      <c r="C747" s="122"/>
      <c r="D747" s="122"/>
      <c r="E747" s="122"/>
      <c r="F747" s="122"/>
      <c r="G747" s="122"/>
      <c r="H747" s="122"/>
    </row>
    <row r="748">
      <c r="A748" s="122"/>
      <c r="B748" s="122"/>
      <c r="C748" s="122"/>
      <c r="D748" s="122"/>
      <c r="E748" s="122"/>
      <c r="F748" s="122"/>
      <c r="G748" s="122"/>
      <c r="H748" s="122"/>
    </row>
    <row r="749">
      <c r="A749" s="122"/>
      <c r="B749" s="122"/>
      <c r="C749" s="122"/>
      <c r="D749" s="122"/>
      <c r="E749" s="122"/>
      <c r="F749" s="122"/>
      <c r="G749" s="122"/>
      <c r="H749" s="122"/>
    </row>
    <row r="750">
      <c r="A750" s="122"/>
      <c r="B750" s="122"/>
      <c r="C750" s="122"/>
      <c r="D750" s="122"/>
      <c r="E750" s="122"/>
      <c r="F750" s="122"/>
      <c r="G750" s="122"/>
      <c r="H750" s="122"/>
    </row>
    <row r="751">
      <c r="A751" s="122"/>
      <c r="B751" s="122"/>
      <c r="C751" s="122"/>
      <c r="D751" s="122"/>
      <c r="E751" s="122"/>
      <c r="F751" s="122"/>
      <c r="G751" s="122"/>
      <c r="H751" s="122"/>
    </row>
    <row r="752">
      <c r="A752" s="122"/>
      <c r="B752" s="122"/>
      <c r="C752" s="122"/>
      <c r="D752" s="122"/>
      <c r="E752" s="122"/>
      <c r="F752" s="122"/>
      <c r="G752" s="122"/>
      <c r="H752" s="122"/>
    </row>
    <row r="753">
      <c r="A753" s="122"/>
      <c r="B753" s="122"/>
      <c r="C753" s="122"/>
      <c r="D753" s="122"/>
      <c r="E753" s="122"/>
      <c r="F753" s="122"/>
      <c r="G753" s="122"/>
      <c r="H753" s="122"/>
    </row>
    <row r="754">
      <c r="A754" s="122"/>
      <c r="B754" s="122"/>
      <c r="C754" s="122"/>
      <c r="D754" s="122"/>
      <c r="E754" s="122"/>
      <c r="F754" s="122"/>
      <c r="G754" s="122"/>
      <c r="H754" s="122"/>
    </row>
    <row r="755">
      <c r="A755" s="122"/>
      <c r="B755" s="122"/>
      <c r="C755" s="122"/>
      <c r="D755" s="122"/>
      <c r="E755" s="122"/>
      <c r="F755" s="122"/>
      <c r="G755" s="122"/>
      <c r="H755" s="122"/>
    </row>
    <row r="756">
      <c r="A756" s="122"/>
      <c r="B756" s="122"/>
      <c r="C756" s="122"/>
      <c r="D756" s="122"/>
      <c r="E756" s="122"/>
      <c r="F756" s="122"/>
      <c r="G756" s="122"/>
      <c r="H756" s="122"/>
    </row>
    <row r="757">
      <c r="A757" s="122"/>
      <c r="B757" s="122"/>
      <c r="C757" s="122"/>
      <c r="D757" s="122"/>
      <c r="E757" s="122"/>
      <c r="F757" s="122"/>
      <c r="G757" s="122"/>
      <c r="H757" s="122"/>
    </row>
    <row r="758">
      <c r="A758" s="122"/>
      <c r="B758" s="122"/>
      <c r="C758" s="122"/>
      <c r="D758" s="122"/>
      <c r="E758" s="122"/>
      <c r="F758" s="122"/>
      <c r="G758" s="122"/>
      <c r="H758" s="122"/>
    </row>
    <row r="759">
      <c r="A759" s="122"/>
      <c r="B759" s="122"/>
      <c r="C759" s="122"/>
      <c r="D759" s="122"/>
      <c r="E759" s="122"/>
      <c r="F759" s="122"/>
      <c r="G759" s="122"/>
      <c r="H759" s="122"/>
    </row>
    <row r="760">
      <c r="A760" s="122"/>
      <c r="B760" s="122"/>
      <c r="C760" s="122"/>
      <c r="D760" s="122"/>
      <c r="E760" s="122"/>
      <c r="F760" s="122"/>
      <c r="G760" s="122"/>
      <c r="H760" s="122"/>
    </row>
    <row r="761">
      <c r="A761" s="122"/>
      <c r="B761" s="122"/>
      <c r="C761" s="122"/>
      <c r="D761" s="122"/>
      <c r="E761" s="122"/>
      <c r="F761" s="122"/>
      <c r="G761" s="122"/>
      <c r="H761" s="122"/>
    </row>
    <row r="762">
      <c r="A762" s="122"/>
      <c r="B762" s="122"/>
      <c r="C762" s="122"/>
      <c r="D762" s="122"/>
      <c r="E762" s="122"/>
      <c r="F762" s="122"/>
      <c r="G762" s="122"/>
      <c r="H762" s="122"/>
    </row>
    <row r="763">
      <c r="A763" s="122"/>
      <c r="B763" s="122"/>
      <c r="C763" s="122"/>
      <c r="D763" s="122"/>
      <c r="E763" s="122"/>
      <c r="F763" s="122"/>
      <c r="G763" s="122"/>
      <c r="H763" s="122"/>
    </row>
    <row r="764">
      <c r="A764" s="122"/>
      <c r="B764" s="122"/>
      <c r="C764" s="122"/>
      <c r="D764" s="122"/>
      <c r="E764" s="122"/>
      <c r="F764" s="122"/>
      <c r="G764" s="122"/>
      <c r="H764" s="122"/>
    </row>
    <row r="765">
      <c r="A765" s="122"/>
      <c r="B765" s="122"/>
      <c r="C765" s="122"/>
      <c r="D765" s="122"/>
      <c r="E765" s="122"/>
      <c r="F765" s="122"/>
      <c r="G765" s="122"/>
      <c r="H765" s="122"/>
    </row>
    <row r="766">
      <c r="A766" s="122"/>
      <c r="B766" s="122"/>
      <c r="C766" s="122"/>
      <c r="D766" s="122"/>
      <c r="E766" s="122"/>
      <c r="F766" s="122"/>
      <c r="G766" s="122"/>
      <c r="H766" s="122"/>
    </row>
    <row r="767">
      <c r="A767" s="122"/>
      <c r="B767" s="122"/>
      <c r="C767" s="122"/>
      <c r="D767" s="122"/>
      <c r="E767" s="122"/>
      <c r="F767" s="122"/>
      <c r="G767" s="122"/>
      <c r="H767" s="122"/>
    </row>
    <row r="768">
      <c r="A768" s="122"/>
      <c r="B768" s="122"/>
      <c r="C768" s="122"/>
      <c r="D768" s="122"/>
      <c r="E768" s="122"/>
      <c r="F768" s="122"/>
      <c r="G768" s="122"/>
      <c r="H768" s="122"/>
    </row>
    <row r="769">
      <c r="A769" s="122"/>
      <c r="B769" s="122"/>
      <c r="C769" s="122"/>
      <c r="D769" s="122"/>
      <c r="E769" s="122"/>
      <c r="F769" s="122"/>
      <c r="G769" s="122"/>
      <c r="H769" s="122"/>
    </row>
    <row r="770">
      <c r="A770" s="122"/>
      <c r="B770" s="122"/>
      <c r="C770" s="122"/>
      <c r="D770" s="122"/>
      <c r="E770" s="122"/>
      <c r="F770" s="122"/>
      <c r="G770" s="122"/>
      <c r="H770" s="122"/>
    </row>
    <row r="771">
      <c r="A771" s="122"/>
      <c r="B771" s="122"/>
      <c r="C771" s="122"/>
      <c r="D771" s="122"/>
      <c r="E771" s="122"/>
      <c r="F771" s="122"/>
      <c r="G771" s="122"/>
      <c r="H771" s="122"/>
    </row>
    <row r="772">
      <c r="A772" s="122"/>
      <c r="B772" s="122"/>
      <c r="C772" s="122"/>
      <c r="D772" s="122"/>
      <c r="E772" s="122"/>
      <c r="F772" s="122"/>
      <c r="G772" s="122"/>
      <c r="H772" s="122"/>
    </row>
    <row r="773">
      <c r="A773" s="122"/>
      <c r="B773" s="122"/>
      <c r="C773" s="122"/>
      <c r="D773" s="122"/>
      <c r="E773" s="122"/>
      <c r="F773" s="122"/>
      <c r="G773" s="122"/>
      <c r="H773" s="122"/>
    </row>
    <row r="774">
      <c r="A774" s="122"/>
      <c r="B774" s="122"/>
      <c r="C774" s="122"/>
      <c r="D774" s="122"/>
      <c r="E774" s="122"/>
      <c r="F774" s="122"/>
      <c r="G774" s="122"/>
      <c r="H774" s="122"/>
    </row>
    <row r="775">
      <c r="A775" s="122"/>
      <c r="B775" s="122"/>
      <c r="C775" s="122"/>
      <c r="D775" s="122"/>
      <c r="E775" s="122"/>
      <c r="F775" s="122"/>
      <c r="G775" s="122"/>
      <c r="H775" s="122"/>
    </row>
    <row r="776">
      <c r="A776" s="122"/>
      <c r="B776" s="122"/>
      <c r="C776" s="122"/>
      <c r="D776" s="122"/>
      <c r="E776" s="122"/>
      <c r="F776" s="122"/>
      <c r="G776" s="122"/>
      <c r="H776" s="122"/>
    </row>
    <row r="777">
      <c r="A777" s="122"/>
      <c r="B777" s="122"/>
      <c r="C777" s="122"/>
      <c r="D777" s="122"/>
      <c r="E777" s="122"/>
      <c r="F777" s="122"/>
      <c r="G777" s="122"/>
      <c r="H777" s="122"/>
    </row>
    <row r="778">
      <c r="A778" s="122"/>
      <c r="B778" s="122"/>
      <c r="C778" s="122"/>
      <c r="D778" s="122"/>
      <c r="E778" s="122"/>
      <c r="F778" s="122"/>
      <c r="G778" s="122"/>
      <c r="H778" s="122"/>
    </row>
    <row r="779">
      <c r="A779" s="122"/>
      <c r="B779" s="122"/>
      <c r="C779" s="122"/>
      <c r="D779" s="122"/>
      <c r="E779" s="122"/>
      <c r="F779" s="122"/>
      <c r="G779" s="122"/>
      <c r="H779" s="122"/>
    </row>
    <row r="780">
      <c r="A780" s="122"/>
      <c r="B780" s="122"/>
      <c r="C780" s="122"/>
      <c r="D780" s="122"/>
      <c r="E780" s="122"/>
      <c r="F780" s="122"/>
      <c r="G780" s="122"/>
      <c r="H780" s="122"/>
    </row>
    <row r="781">
      <c r="A781" s="122"/>
      <c r="B781" s="122"/>
      <c r="C781" s="122"/>
      <c r="D781" s="122"/>
      <c r="E781" s="122"/>
      <c r="F781" s="122"/>
      <c r="G781" s="122"/>
      <c r="H781" s="122"/>
    </row>
    <row r="782">
      <c r="A782" s="122"/>
      <c r="B782" s="122"/>
      <c r="C782" s="122"/>
      <c r="D782" s="122"/>
      <c r="E782" s="122"/>
      <c r="F782" s="122"/>
      <c r="G782" s="122"/>
      <c r="H782" s="122"/>
    </row>
    <row r="783">
      <c r="A783" s="122"/>
      <c r="B783" s="122"/>
      <c r="C783" s="122"/>
      <c r="D783" s="122"/>
      <c r="E783" s="122"/>
      <c r="F783" s="122"/>
      <c r="G783" s="122"/>
      <c r="H783" s="122"/>
    </row>
    <row r="784">
      <c r="A784" s="122"/>
      <c r="B784" s="122"/>
      <c r="C784" s="122"/>
      <c r="D784" s="122"/>
      <c r="E784" s="122"/>
      <c r="F784" s="122"/>
      <c r="G784" s="122"/>
      <c r="H784" s="122"/>
    </row>
    <row r="785">
      <c r="A785" s="122"/>
      <c r="B785" s="122"/>
      <c r="C785" s="122"/>
      <c r="D785" s="122"/>
      <c r="E785" s="122"/>
      <c r="F785" s="122"/>
      <c r="G785" s="122"/>
      <c r="H785" s="122"/>
    </row>
    <row r="786">
      <c r="A786" s="122"/>
      <c r="B786" s="122"/>
      <c r="C786" s="122"/>
      <c r="D786" s="122"/>
      <c r="E786" s="122"/>
      <c r="F786" s="122"/>
      <c r="G786" s="122"/>
      <c r="H786" s="122"/>
    </row>
    <row r="787">
      <c r="A787" s="122"/>
      <c r="B787" s="122"/>
      <c r="C787" s="122"/>
      <c r="D787" s="122"/>
      <c r="E787" s="122"/>
      <c r="F787" s="122"/>
      <c r="G787" s="122"/>
      <c r="H787" s="122"/>
    </row>
    <row r="788">
      <c r="A788" s="122"/>
      <c r="B788" s="122"/>
      <c r="C788" s="122"/>
      <c r="D788" s="122"/>
      <c r="E788" s="122"/>
      <c r="F788" s="122"/>
      <c r="G788" s="122"/>
      <c r="H788" s="122"/>
    </row>
    <row r="789">
      <c r="A789" s="122"/>
      <c r="B789" s="122"/>
      <c r="C789" s="122"/>
      <c r="D789" s="122"/>
      <c r="E789" s="122"/>
      <c r="F789" s="122"/>
      <c r="G789" s="122"/>
      <c r="H789" s="122"/>
    </row>
    <row r="790">
      <c r="A790" s="122"/>
      <c r="B790" s="122"/>
      <c r="C790" s="122"/>
      <c r="D790" s="122"/>
      <c r="E790" s="122"/>
      <c r="F790" s="122"/>
      <c r="G790" s="122"/>
      <c r="H790" s="122"/>
    </row>
    <row r="791">
      <c r="A791" s="122"/>
      <c r="B791" s="122"/>
      <c r="C791" s="122"/>
      <c r="D791" s="122"/>
      <c r="E791" s="122"/>
      <c r="F791" s="122"/>
      <c r="G791" s="122"/>
      <c r="H791" s="122"/>
    </row>
    <row r="792">
      <c r="A792" s="122"/>
      <c r="B792" s="122"/>
      <c r="C792" s="122"/>
      <c r="D792" s="122"/>
      <c r="E792" s="122"/>
      <c r="F792" s="122"/>
      <c r="G792" s="122"/>
      <c r="H792" s="122"/>
    </row>
    <row r="793">
      <c r="A793" s="122"/>
      <c r="B793" s="122"/>
      <c r="C793" s="122"/>
      <c r="D793" s="122"/>
      <c r="E793" s="122"/>
      <c r="F793" s="122"/>
      <c r="G793" s="122"/>
      <c r="H793" s="122"/>
    </row>
    <row r="794">
      <c r="A794" s="122"/>
      <c r="B794" s="122"/>
      <c r="C794" s="122"/>
      <c r="D794" s="122"/>
      <c r="E794" s="122"/>
      <c r="F794" s="122"/>
      <c r="G794" s="122"/>
      <c r="H794" s="122"/>
    </row>
    <row r="795">
      <c r="A795" s="122"/>
      <c r="B795" s="122"/>
      <c r="C795" s="122"/>
      <c r="D795" s="122"/>
      <c r="E795" s="122"/>
      <c r="F795" s="122"/>
      <c r="G795" s="122"/>
      <c r="H795" s="122"/>
    </row>
    <row r="796">
      <c r="A796" s="122"/>
      <c r="B796" s="122"/>
      <c r="C796" s="122"/>
      <c r="D796" s="122"/>
      <c r="E796" s="122"/>
      <c r="F796" s="122"/>
      <c r="G796" s="122"/>
      <c r="H796" s="122"/>
    </row>
    <row r="797">
      <c r="A797" s="122"/>
      <c r="B797" s="122"/>
      <c r="C797" s="122"/>
      <c r="D797" s="122"/>
      <c r="E797" s="122"/>
      <c r="F797" s="122"/>
      <c r="G797" s="122"/>
      <c r="H797" s="122"/>
    </row>
    <row r="798">
      <c r="A798" s="122"/>
      <c r="B798" s="122"/>
      <c r="C798" s="122"/>
      <c r="D798" s="122"/>
      <c r="E798" s="122"/>
      <c r="F798" s="122"/>
      <c r="G798" s="122"/>
      <c r="H798" s="122"/>
    </row>
    <row r="799">
      <c r="A799" s="122"/>
      <c r="B799" s="122"/>
      <c r="C799" s="122"/>
      <c r="D799" s="122"/>
      <c r="E799" s="122"/>
      <c r="F799" s="122"/>
      <c r="G799" s="122"/>
      <c r="H799" s="122"/>
    </row>
    <row r="800">
      <c r="A800" s="122"/>
      <c r="B800" s="122"/>
      <c r="C800" s="122"/>
      <c r="D800" s="122"/>
      <c r="E800" s="122"/>
      <c r="F800" s="122"/>
      <c r="G800" s="122"/>
      <c r="H800" s="122"/>
    </row>
    <row r="801">
      <c r="A801" s="122"/>
      <c r="B801" s="122"/>
      <c r="C801" s="122"/>
      <c r="D801" s="122"/>
      <c r="E801" s="122"/>
      <c r="F801" s="122"/>
      <c r="G801" s="122"/>
      <c r="H801" s="122"/>
    </row>
    <row r="802">
      <c r="A802" s="122"/>
      <c r="B802" s="122"/>
      <c r="C802" s="122"/>
      <c r="D802" s="122"/>
      <c r="E802" s="122"/>
      <c r="F802" s="122"/>
      <c r="G802" s="122"/>
      <c r="H802" s="122"/>
    </row>
    <row r="803">
      <c r="A803" s="122"/>
      <c r="B803" s="122"/>
      <c r="C803" s="122"/>
      <c r="D803" s="122"/>
      <c r="E803" s="122"/>
      <c r="F803" s="122"/>
      <c r="G803" s="122"/>
      <c r="H803" s="122"/>
    </row>
    <row r="804">
      <c r="A804" s="122"/>
      <c r="B804" s="122"/>
      <c r="C804" s="122"/>
      <c r="D804" s="122"/>
      <c r="E804" s="122"/>
      <c r="F804" s="122"/>
      <c r="G804" s="122"/>
      <c r="H804" s="122"/>
    </row>
    <row r="805">
      <c r="A805" s="122"/>
      <c r="B805" s="122"/>
      <c r="C805" s="122"/>
      <c r="D805" s="122"/>
      <c r="E805" s="122"/>
      <c r="F805" s="122"/>
      <c r="G805" s="122"/>
      <c r="H805" s="122"/>
    </row>
    <row r="806">
      <c r="A806" s="122"/>
      <c r="B806" s="122"/>
      <c r="C806" s="122"/>
      <c r="D806" s="122"/>
      <c r="E806" s="122"/>
      <c r="F806" s="122"/>
      <c r="G806" s="122"/>
      <c r="H806" s="122"/>
    </row>
    <row r="807">
      <c r="A807" s="122"/>
      <c r="B807" s="122"/>
      <c r="C807" s="122"/>
      <c r="D807" s="122"/>
      <c r="E807" s="122"/>
      <c r="F807" s="122"/>
      <c r="G807" s="122"/>
      <c r="H807" s="122"/>
    </row>
    <row r="808">
      <c r="A808" s="122"/>
      <c r="B808" s="122"/>
      <c r="C808" s="122"/>
      <c r="D808" s="122"/>
      <c r="E808" s="122"/>
      <c r="F808" s="122"/>
      <c r="G808" s="122"/>
      <c r="H808" s="122"/>
    </row>
    <row r="809">
      <c r="A809" s="122"/>
      <c r="B809" s="122"/>
      <c r="C809" s="122"/>
      <c r="D809" s="122"/>
      <c r="E809" s="122"/>
      <c r="F809" s="122"/>
      <c r="G809" s="122"/>
      <c r="H809" s="122"/>
    </row>
    <row r="810">
      <c r="A810" s="122"/>
      <c r="B810" s="122"/>
      <c r="C810" s="122"/>
      <c r="D810" s="122"/>
      <c r="E810" s="122"/>
      <c r="F810" s="122"/>
      <c r="G810" s="122"/>
      <c r="H810" s="122"/>
    </row>
    <row r="811">
      <c r="A811" s="122"/>
      <c r="B811" s="122"/>
      <c r="C811" s="122"/>
      <c r="D811" s="122"/>
      <c r="E811" s="122"/>
      <c r="F811" s="122"/>
      <c r="G811" s="122"/>
      <c r="H811" s="122"/>
    </row>
    <row r="812">
      <c r="A812" s="122"/>
      <c r="B812" s="122"/>
      <c r="C812" s="122"/>
      <c r="D812" s="122"/>
      <c r="E812" s="122"/>
      <c r="F812" s="122"/>
      <c r="G812" s="122"/>
      <c r="H812" s="122"/>
    </row>
    <row r="813">
      <c r="A813" s="122"/>
      <c r="B813" s="122"/>
      <c r="C813" s="122"/>
      <c r="D813" s="122"/>
      <c r="E813" s="122"/>
      <c r="F813" s="122"/>
      <c r="G813" s="122"/>
      <c r="H813" s="122"/>
    </row>
    <row r="814">
      <c r="A814" s="122"/>
      <c r="B814" s="122"/>
      <c r="C814" s="122"/>
      <c r="D814" s="122"/>
      <c r="E814" s="122"/>
      <c r="F814" s="122"/>
      <c r="G814" s="122"/>
      <c r="H814" s="122"/>
    </row>
    <row r="815">
      <c r="A815" s="122"/>
      <c r="B815" s="122"/>
      <c r="C815" s="122"/>
      <c r="D815" s="122"/>
      <c r="E815" s="122"/>
      <c r="F815" s="122"/>
      <c r="G815" s="122"/>
      <c r="H815" s="122"/>
    </row>
    <row r="816">
      <c r="A816" s="122"/>
      <c r="B816" s="122"/>
      <c r="C816" s="122"/>
      <c r="D816" s="122"/>
      <c r="E816" s="122"/>
      <c r="F816" s="122"/>
      <c r="G816" s="122"/>
      <c r="H816" s="122"/>
    </row>
    <row r="817">
      <c r="A817" s="122"/>
      <c r="B817" s="122"/>
      <c r="C817" s="122"/>
      <c r="D817" s="122"/>
      <c r="E817" s="122"/>
      <c r="F817" s="122"/>
      <c r="G817" s="122"/>
      <c r="H817" s="122"/>
    </row>
    <row r="818">
      <c r="A818" s="122"/>
      <c r="B818" s="122"/>
      <c r="C818" s="122"/>
      <c r="D818" s="122"/>
      <c r="E818" s="122"/>
      <c r="F818" s="122"/>
      <c r="G818" s="122"/>
      <c r="H818" s="122"/>
    </row>
    <row r="819">
      <c r="A819" s="122"/>
      <c r="B819" s="122"/>
      <c r="C819" s="122"/>
      <c r="D819" s="122"/>
      <c r="E819" s="122"/>
      <c r="F819" s="122"/>
      <c r="G819" s="122"/>
      <c r="H819" s="122"/>
    </row>
    <row r="820">
      <c r="A820" s="122"/>
      <c r="B820" s="122"/>
      <c r="C820" s="122"/>
      <c r="D820" s="122"/>
      <c r="E820" s="122"/>
      <c r="F820" s="122"/>
      <c r="G820" s="122"/>
      <c r="H820" s="122"/>
    </row>
    <row r="821">
      <c r="A821" s="122"/>
      <c r="B821" s="122"/>
      <c r="C821" s="122"/>
      <c r="D821" s="122"/>
      <c r="E821" s="122"/>
      <c r="F821" s="122"/>
      <c r="G821" s="122"/>
      <c r="H821" s="122"/>
    </row>
    <row r="822">
      <c r="A822" s="122"/>
      <c r="B822" s="122"/>
      <c r="C822" s="122"/>
      <c r="D822" s="122"/>
      <c r="E822" s="122"/>
      <c r="F822" s="122"/>
      <c r="G822" s="122"/>
      <c r="H822" s="122"/>
    </row>
    <row r="823">
      <c r="A823" s="122"/>
      <c r="B823" s="122"/>
      <c r="C823" s="122"/>
      <c r="D823" s="122"/>
      <c r="E823" s="122"/>
      <c r="F823" s="122"/>
      <c r="G823" s="122"/>
      <c r="H823" s="122"/>
    </row>
    <row r="824">
      <c r="A824" s="122"/>
      <c r="B824" s="122"/>
      <c r="C824" s="122"/>
      <c r="D824" s="122"/>
      <c r="E824" s="122"/>
      <c r="F824" s="122"/>
      <c r="G824" s="122"/>
      <c r="H824" s="122"/>
    </row>
    <row r="825">
      <c r="A825" s="122"/>
      <c r="B825" s="122"/>
      <c r="C825" s="122"/>
      <c r="D825" s="122"/>
      <c r="E825" s="122"/>
      <c r="F825" s="122"/>
      <c r="G825" s="122"/>
      <c r="H825" s="122"/>
    </row>
    <row r="826">
      <c r="A826" s="122"/>
      <c r="B826" s="122"/>
      <c r="C826" s="122"/>
      <c r="D826" s="122"/>
      <c r="E826" s="122"/>
      <c r="F826" s="122"/>
      <c r="G826" s="122"/>
      <c r="H826" s="122"/>
    </row>
    <row r="827">
      <c r="A827" s="122"/>
      <c r="B827" s="122"/>
      <c r="C827" s="122"/>
      <c r="D827" s="122"/>
      <c r="E827" s="122"/>
      <c r="F827" s="122"/>
      <c r="G827" s="122"/>
      <c r="H827" s="122"/>
    </row>
    <row r="828">
      <c r="A828" s="122"/>
      <c r="B828" s="122"/>
      <c r="C828" s="122"/>
      <c r="D828" s="122"/>
      <c r="E828" s="122"/>
      <c r="F828" s="122"/>
      <c r="G828" s="122"/>
      <c r="H828" s="122"/>
    </row>
    <row r="829">
      <c r="A829" s="122"/>
      <c r="B829" s="122"/>
      <c r="C829" s="122"/>
      <c r="D829" s="122"/>
      <c r="E829" s="122"/>
      <c r="F829" s="122"/>
      <c r="G829" s="122"/>
      <c r="H829" s="122"/>
    </row>
    <row r="830">
      <c r="A830" s="122"/>
      <c r="B830" s="122"/>
      <c r="C830" s="122"/>
      <c r="D830" s="122"/>
      <c r="E830" s="122"/>
      <c r="F830" s="122"/>
      <c r="G830" s="122"/>
      <c r="H830" s="122"/>
    </row>
    <row r="831">
      <c r="A831" s="122"/>
      <c r="B831" s="122"/>
      <c r="C831" s="122"/>
      <c r="D831" s="122"/>
      <c r="E831" s="122"/>
      <c r="F831" s="122"/>
      <c r="G831" s="122"/>
      <c r="H831" s="122"/>
    </row>
    <row r="832">
      <c r="A832" s="122"/>
      <c r="B832" s="122"/>
      <c r="C832" s="122"/>
      <c r="D832" s="122"/>
      <c r="E832" s="122"/>
      <c r="F832" s="122"/>
      <c r="G832" s="122"/>
      <c r="H832" s="122"/>
    </row>
    <row r="833">
      <c r="A833" s="122"/>
      <c r="B833" s="122"/>
      <c r="C833" s="122"/>
      <c r="D833" s="122"/>
      <c r="E833" s="122"/>
      <c r="F833" s="122"/>
      <c r="G833" s="122"/>
      <c r="H833" s="122"/>
    </row>
    <row r="834">
      <c r="A834" s="122"/>
      <c r="B834" s="122"/>
      <c r="C834" s="122"/>
      <c r="D834" s="122"/>
      <c r="E834" s="122"/>
      <c r="F834" s="122"/>
      <c r="G834" s="122"/>
      <c r="H834" s="122"/>
    </row>
    <row r="835">
      <c r="A835" s="122"/>
      <c r="B835" s="122"/>
      <c r="C835" s="122"/>
      <c r="D835" s="122"/>
      <c r="E835" s="122"/>
      <c r="F835" s="122"/>
      <c r="G835" s="122"/>
      <c r="H835" s="122"/>
    </row>
    <row r="836">
      <c r="A836" s="122"/>
      <c r="B836" s="122"/>
      <c r="C836" s="122"/>
      <c r="D836" s="122"/>
      <c r="E836" s="122"/>
      <c r="F836" s="122"/>
      <c r="G836" s="122"/>
      <c r="H836" s="122"/>
    </row>
    <row r="837">
      <c r="A837" s="122"/>
      <c r="B837" s="122"/>
      <c r="C837" s="122"/>
      <c r="D837" s="122"/>
      <c r="E837" s="122"/>
      <c r="F837" s="122"/>
      <c r="G837" s="122"/>
      <c r="H837" s="122"/>
    </row>
    <row r="838">
      <c r="A838" s="122"/>
      <c r="B838" s="122"/>
      <c r="C838" s="122"/>
      <c r="D838" s="122"/>
      <c r="E838" s="122"/>
      <c r="F838" s="122"/>
      <c r="G838" s="122"/>
      <c r="H838" s="122"/>
    </row>
    <row r="839">
      <c r="A839" s="122"/>
      <c r="B839" s="122"/>
      <c r="C839" s="122"/>
      <c r="D839" s="122"/>
      <c r="E839" s="122"/>
      <c r="F839" s="122"/>
      <c r="G839" s="122"/>
      <c r="H839" s="122"/>
    </row>
    <row r="840">
      <c r="A840" s="122"/>
      <c r="B840" s="122"/>
      <c r="C840" s="122"/>
      <c r="D840" s="122"/>
      <c r="E840" s="122"/>
      <c r="F840" s="122"/>
      <c r="G840" s="122"/>
      <c r="H840" s="122"/>
    </row>
    <row r="841">
      <c r="A841" s="122"/>
      <c r="B841" s="122"/>
      <c r="C841" s="122"/>
      <c r="D841" s="122"/>
      <c r="E841" s="122"/>
      <c r="F841" s="122"/>
      <c r="G841" s="122"/>
      <c r="H841" s="122"/>
    </row>
    <row r="842">
      <c r="A842" s="122"/>
      <c r="B842" s="122"/>
      <c r="C842" s="122"/>
      <c r="D842" s="122"/>
      <c r="E842" s="122"/>
      <c r="F842" s="122"/>
      <c r="G842" s="122"/>
      <c r="H842" s="122"/>
    </row>
    <row r="843">
      <c r="A843" s="122"/>
      <c r="B843" s="122"/>
      <c r="C843" s="122"/>
      <c r="D843" s="122"/>
      <c r="E843" s="122"/>
      <c r="F843" s="122"/>
      <c r="G843" s="122"/>
      <c r="H843" s="122"/>
    </row>
    <row r="844">
      <c r="A844" s="122"/>
      <c r="B844" s="122"/>
      <c r="C844" s="122"/>
      <c r="D844" s="122"/>
      <c r="E844" s="122"/>
      <c r="F844" s="122"/>
      <c r="G844" s="122"/>
      <c r="H844" s="122"/>
    </row>
    <row r="845">
      <c r="A845" s="122"/>
      <c r="B845" s="122"/>
      <c r="C845" s="122"/>
      <c r="D845" s="122"/>
      <c r="E845" s="122"/>
      <c r="F845" s="122"/>
      <c r="G845" s="122"/>
      <c r="H845" s="122"/>
    </row>
    <row r="846">
      <c r="A846" s="122"/>
      <c r="B846" s="122"/>
      <c r="C846" s="122"/>
      <c r="D846" s="122"/>
      <c r="E846" s="122"/>
      <c r="F846" s="122"/>
      <c r="G846" s="122"/>
      <c r="H846" s="122"/>
    </row>
    <row r="847">
      <c r="A847" s="122"/>
      <c r="B847" s="122"/>
      <c r="C847" s="122"/>
      <c r="D847" s="122"/>
      <c r="E847" s="122"/>
      <c r="F847" s="122"/>
      <c r="G847" s="122"/>
      <c r="H847" s="122"/>
    </row>
    <row r="848">
      <c r="A848" s="122"/>
      <c r="B848" s="122"/>
      <c r="C848" s="122"/>
      <c r="D848" s="122"/>
      <c r="E848" s="122"/>
      <c r="F848" s="122"/>
      <c r="G848" s="122"/>
      <c r="H848" s="122"/>
    </row>
    <row r="849">
      <c r="A849" s="122"/>
      <c r="B849" s="122"/>
      <c r="C849" s="122"/>
      <c r="D849" s="122"/>
      <c r="E849" s="122"/>
      <c r="F849" s="122"/>
      <c r="G849" s="122"/>
      <c r="H849" s="122"/>
    </row>
    <row r="850">
      <c r="A850" s="122"/>
      <c r="B850" s="122"/>
      <c r="C850" s="122"/>
      <c r="D850" s="122"/>
      <c r="E850" s="122"/>
      <c r="F850" s="122"/>
      <c r="G850" s="122"/>
      <c r="H850" s="122"/>
    </row>
    <row r="851">
      <c r="A851" s="122"/>
      <c r="B851" s="122"/>
      <c r="C851" s="122"/>
      <c r="D851" s="122"/>
      <c r="E851" s="122"/>
      <c r="F851" s="122"/>
      <c r="G851" s="122"/>
      <c r="H851" s="122"/>
    </row>
    <row r="852">
      <c r="A852" s="122"/>
      <c r="B852" s="122"/>
      <c r="C852" s="122"/>
      <c r="D852" s="122"/>
      <c r="E852" s="122"/>
      <c r="F852" s="122"/>
      <c r="G852" s="122"/>
      <c r="H852" s="122"/>
    </row>
    <row r="853">
      <c r="A853" s="122"/>
      <c r="B853" s="122"/>
      <c r="C853" s="122"/>
      <c r="D853" s="122"/>
      <c r="E853" s="122"/>
      <c r="F853" s="122"/>
      <c r="G853" s="122"/>
      <c r="H853" s="122"/>
    </row>
    <row r="854">
      <c r="A854" s="122"/>
      <c r="B854" s="122"/>
      <c r="C854" s="122"/>
      <c r="D854" s="122"/>
      <c r="E854" s="122"/>
      <c r="F854" s="122"/>
      <c r="G854" s="122"/>
      <c r="H854" s="122"/>
    </row>
    <row r="855">
      <c r="A855" s="122"/>
      <c r="B855" s="122"/>
      <c r="C855" s="122"/>
      <c r="D855" s="122"/>
      <c r="E855" s="122"/>
      <c r="F855" s="122"/>
      <c r="G855" s="122"/>
      <c r="H855" s="122"/>
    </row>
    <row r="856">
      <c r="A856" s="122"/>
      <c r="B856" s="122"/>
      <c r="C856" s="122"/>
      <c r="D856" s="122"/>
      <c r="E856" s="122"/>
      <c r="F856" s="122"/>
      <c r="G856" s="122"/>
      <c r="H856" s="122"/>
    </row>
    <row r="857">
      <c r="A857" s="122"/>
      <c r="B857" s="122"/>
      <c r="C857" s="122"/>
      <c r="D857" s="122"/>
      <c r="E857" s="122"/>
      <c r="F857" s="122"/>
      <c r="G857" s="122"/>
      <c r="H857" s="122"/>
    </row>
    <row r="858">
      <c r="A858" s="122"/>
      <c r="B858" s="122"/>
      <c r="C858" s="122"/>
      <c r="D858" s="122"/>
      <c r="E858" s="122"/>
      <c r="F858" s="122"/>
      <c r="G858" s="122"/>
      <c r="H858" s="122"/>
    </row>
    <row r="859">
      <c r="A859" s="122"/>
      <c r="B859" s="122"/>
      <c r="C859" s="122"/>
      <c r="D859" s="122"/>
      <c r="E859" s="122"/>
      <c r="F859" s="122"/>
      <c r="G859" s="122"/>
      <c r="H859" s="122"/>
    </row>
    <row r="860">
      <c r="A860" s="122"/>
      <c r="B860" s="122"/>
      <c r="C860" s="122"/>
      <c r="D860" s="122"/>
      <c r="E860" s="122"/>
      <c r="F860" s="122"/>
      <c r="G860" s="122"/>
      <c r="H860" s="122"/>
    </row>
    <row r="861">
      <c r="A861" s="122"/>
      <c r="B861" s="122"/>
      <c r="C861" s="122"/>
      <c r="D861" s="122"/>
      <c r="E861" s="122"/>
      <c r="F861" s="122"/>
      <c r="G861" s="122"/>
      <c r="H861" s="122"/>
    </row>
    <row r="862">
      <c r="A862" s="122"/>
      <c r="B862" s="122"/>
      <c r="C862" s="122"/>
      <c r="D862" s="122"/>
      <c r="E862" s="122"/>
      <c r="F862" s="122"/>
      <c r="G862" s="122"/>
      <c r="H862" s="122"/>
    </row>
    <row r="863">
      <c r="A863" s="122"/>
      <c r="B863" s="122"/>
      <c r="C863" s="122"/>
      <c r="D863" s="122"/>
      <c r="E863" s="122"/>
      <c r="F863" s="122"/>
      <c r="G863" s="122"/>
      <c r="H863" s="122"/>
    </row>
    <row r="864">
      <c r="A864" s="122"/>
      <c r="B864" s="122"/>
      <c r="C864" s="122"/>
      <c r="D864" s="122"/>
      <c r="E864" s="122"/>
      <c r="F864" s="122"/>
      <c r="G864" s="122"/>
      <c r="H864" s="122"/>
    </row>
    <row r="865">
      <c r="A865" s="122"/>
      <c r="B865" s="122"/>
      <c r="C865" s="122"/>
      <c r="D865" s="122"/>
      <c r="E865" s="122"/>
      <c r="F865" s="122"/>
      <c r="G865" s="122"/>
      <c r="H865" s="122"/>
    </row>
    <row r="866">
      <c r="A866" s="122"/>
      <c r="B866" s="122"/>
      <c r="C866" s="122"/>
      <c r="D866" s="122"/>
      <c r="E866" s="122"/>
      <c r="F866" s="122"/>
      <c r="G866" s="122"/>
      <c r="H866" s="122"/>
    </row>
    <row r="867">
      <c r="A867" s="122"/>
      <c r="B867" s="122"/>
      <c r="C867" s="122"/>
      <c r="D867" s="122"/>
      <c r="E867" s="122"/>
      <c r="F867" s="122"/>
      <c r="G867" s="122"/>
      <c r="H867" s="122"/>
    </row>
    <row r="868">
      <c r="A868" s="122"/>
      <c r="B868" s="122"/>
      <c r="C868" s="122"/>
      <c r="D868" s="122"/>
      <c r="E868" s="122"/>
      <c r="F868" s="122"/>
      <c r="G868" s="122"/>
      <c r="H868" s="122"/>
    </row>
    <row r="869">
      <c r="A869" s="122"/>
      <c r="B869" s="122"/>
      <c r="C869" s="122"/>
      <c r="D869" s="122"/>
      <c r="E869" s="122"/>
      <c r="F869" s="122"/>
      <c r="G869" s="122"/>
      <c r="H869" s="122"/>
    </row>
    <row r="870">
      <c r="A870" s="122"/>
      <c r="B870" s="122"/>
      <c r="C870" s="122"/>
      <c r="D870" s="122"/>
      <c r="E870" s="122"/>
      <c r="F870" s="122"/>
      <c r="G870" s="122"/>
      <c r="H870" s="122"/>
    </row>
    <row r="871">
      <c r="A871" s="122"/>
      <c r="B871" s="122"/>
      <c r="C871" s="122"/>
      <c r="D871" s="122"/>
      <c r="E871" s="122"/>
      <c r="F871" s="122"/>
      <c r="G871" s="122"/>
      <c r="H871" s="122"/>
    </row>
    <row r="872">
      <c r="A872" s="122"/>
      <c r="B872" s="122"/>
      <c r="C872" s="122"/>
      <c r="D872" s="122"/>
      <c r="E872" s="122"/>
      <c r="F872" s="122"/>
      <c r="G872" s="122"/>
      <c r="H872" s="122"/>
    </row>
    <row r="873">
      <c r="A873" s="122"/>
      <c r="B873" s="122"/>
      <c r="C873" s="122"/>
      <c r="D873" s="122"/>
      <c r="E873" s="122"/>
      <c r="F873" s="122"/>
      <c r="G873" s="122"/>
      <c r="H873" s="122"/>
    </row>
    <row r="874">
      <c r="A874" s="122"/>
      <c r="B874" s="122"/>
      <c r="C874" s="122"/>
      <c r="D874" s="122"/>
      <c r="E874" s="122"/>
      <c r="F874" s="122"/>
      <c r="G874" s="122"/>
      <c r="H874" s="122"/>
    </row>
    <row r="875">
      <c r="A875" s="122"/>
      <c r="B875" s="122"/>
      <c r="C875" s="122"/>
      <c r="D875" s="122"/>
      <c r="E875" s="122"/>
      <c r="F875" s="122"/>
      <c r="G875" s="122"/>
      <c r="H875" s="122"/>
    </row>
    <row r="876">
      <c r="A876" s="122"/>
      <c r="B876" s="122"/>
      <c r="C876" s="122"/>
      <c r="D876" s="122"/>
      <c r="E876" s="122"/>
      <c r="F876" s="122"/>
      <c r="G876" s="122"/>
      <c r="H876" s="122"/>
    </row>
    <row r="877">
      <c r="A877" s="122"/>
      <c r="B877" s="122"/>
      <c r="C877" s="122"/>
      <c r="D877" s="122"/>
      <c r="E877" s="122"/>
      <c r="F877" s="122"/>
      <c r="G877" s="122"/>
      <c r="H877" s="122"/>
    </row>
    <row r="878">
      <c r="A878" s="122"/>
      <c r="B878" s="122"/>
      <c r="C878" s="122"/>
      <c r="D878" s="122"/>
      <c r="E878" s="122"/>
      <c r="F878" s="122"/>
      <c r="G878" s="122"/>
      <c r="H878" s="122"/>
    </row>
    <row r="879">
      <c r="A879" s="122"/>
      <c r="B879" s="122"/>
      <c r="C879" s="122"/>
      <c r="D879" s="122"/>
      <c r="E879" s="122"/>
      <c r="F879" s="122"/>
      <c r="G879" s="122"/>
      <c r="H879" s="122"/>
    </row>
    <row r="880">
      <c r="A880" s="122"/>
      <c r="B880" s="122"/>
      <c r="C880" s="122"/>
      <c r="D880" s="122"/>
      <c r="E880" s="122"/>
      <c r="F880" s="122"/>
      <c r="G880" s="122"/>
      <c r="H880" s="122"/>
    </row>
    <row r="881">
      <c r="A881" s="122"/>
      <c r="B881" s="122"/>
      <c r="C881" s="122"/>
      <c r="D881" s="122"/>
      <c r="E881" s="122"/>
      <c r="F881" s="122"/>
      <c r="G881" s="122"/>
      <c r="H881" s="122"/>
    </row>
    <row r="882">
      <c r="A882" s="122"/>
      <c r="B882" s="122"/>
      <c r="C882" s="122"/>
      <c r="D882" s="122"/>
      <c r="E882" s="122"/>
      <c r="F882" s="122"/>
      <c r="G882" s="122"/>
      <c r="H882" s="122"/>
    </row>
    <row r="883">
      <c r="A883" s="122"/>
      <c r="B883" s="122"/>
      <c r="C883" s="122"/>
      <c r="D883" s="122"/>
      <c r="E883" s="122"/>
      <c r="F883" s="122"/>
      <c r="G883" s="122"/>
      <c r="H883" s="122"/>
    </row>
    <row r="884">
      <c r="A884" s="122"/>
      <c r="B884" s="122"/>
      <c r="C884" s="122"/>
      <c r="D884" s="122"/>
      <c r="E884" s="122"/>
      <c r="F884" s="122"/>
      <c r="G884" s="122"/>
      <c r="H884" s="122"/>
    </row>
    <row r="885">
      <c r="A885" s="122"/>
      <c r="B885" s="122"/>
      <c r="C885" s="122"/>
      <c r="D885" s="122"/>
      <c r="E885" s="122"/>
      <c r="F885" s="122"/>
      <c r="G885" s="122"/>
      <c r="H885" s="122"/>
    </row>
    <row r="886">
      <c r="A886" s="122"/>
      <c r="B886" s="122"/>
      <c r="C886" s="122"/>
      <c r="D886" s="122"/>
      <c r="E886" s="122"/>
      <c r="F886" s="122"/>
      <c r="G886" s="122"/>
      <c r="H886" s="122"/>
    </row>
    <row r="887">
      <c r="A887" s="122"/>
      <c r="B887" s="122"/>
      <c r="C887" s="122"/>
      <c r="D887" s="122"/>
      <c r="E887" s="122"/>
      <c r="F887" s="122"/>
      <c r="G887" s="122"/>
      <c r="H887" s="122"/>
    </row>
    <row r="888">
      <c r="A888" s="122"/>
      <c r="B888" s="122"/>
      <c r="C888" s="122"/>
      <c r="D888" s="122"/>
      <c r="E888" s="122"/>
      <c r="F888" s="122"/>
      <c r="G888" s="122"/>
      <c r="H888" s="122"/>
    </row>
    <row r="889">
      <c r="A889" s="122"/>
      <c r="B889" s="122"/>
      <c r="C889" s="122"/>
      <c r="D889" s="122"/>
      <c r="E889" s="122"/>
      <c r="F889" s="122"/>
      <c r="G889" s="122"/>
      <c r="H889" s="122"/>
    </row>
    <row r="890">
      <c r="A890" s="122"/>
      <c r="B890" s="122"/>
      <c r="C890" s="122"/>
      <c r="D890" s="122"/>
      <c r="E890" s="122"/>
      <c r="F890" s="122"/>
      <c r="G890" s="122"/>
      <c r="H890" s="122"/>
    </row>
    <row r="891">
      <c r="A891" s="122"/>
      <c r="B891" s="122"/>
      <c r="C891" s="122"/>
      <c r="D891" s="122"/>
      <c r="E891" s="122"/>
      <c r="F891" s="122"/>
      <c r="G891" s="122"/>
      <c r="H891" s="122"/>
    </row>
    <row r="892">
      <c r="A892" s="122"/>
      <c r="B892" s="122"/>
      <c r="C892" s="122"/>
      <c r="D892" s="122"/>
      <c r="E892" s="122"/>
      <c r="F892" s="122"/>
      <c r="G892" s="122"/>
      <c r="H892" s="122"/>
    </row>
    <row r="893">
      <c r="A893" s="122"/>
      <c r="B893" s="122"/>
      <c r="C893" s="122"/>
      <c r="D893" s="122"/>
      <c r="E893" s="122"/>
      <c r="F893" s="122"/>
      <c r="G893" s="122"/>
      <c r="H893" s="122"/>
    </row>
    <row r="894">
      <c r="A894" s="122"/>
      <c r="B894" s="122"/>
      <c r="C894" s="122"/>
      <c r="D894" s="122"/>
      <c r="E894" s="122"/>
      <c r="F894" s="122"/>
      <c r="G894" s="122"/>
      <c r="H894" s="122"/>
    </row>
    <row r="895">
      <c r="A895" s="122"/>
      <c r="B895" s="122"/>
      <c r="C895" s="122"/>
      <c r="D895" s="122"/>
      <c r="E895" s="122"/>
      <c r="F895" s="122"/>
      <c r="G895" s="122"/>
      <c r="H895" s="122"/>
    </row>
    <row r="896">
      <c r="A896" s="122"/>
      <c r="B896" s="122"/>
      <c r="C896" s="122"/>
      <c r="D896" s="122"/>
      <c r="E896" s="122"/>
      <c r="F896" s="122"/>
      <c r="G896" s="122"/>
      <c r="H896" s="122"/>
    </row>
    <row r="897">
      <c r="A897" s="122"/>
      <c r="B897" s="122"/>
      <c r="C897" s="122"/>
      <c r="D897" s="122"/>
      <c r="E897" s="122"/>
      <c r="F897" s="122"/>
      <c r="G897" s="122"/>
      <c r="H897" s="122"/>
    </row>
    <row r="898">
      <c r="A898" s="122"/>
      <c r="B898" s="122"/>
      <c r="C898" s="122"/>
      <c r="D898" s="122"/>
      <c r="E898" s="122"/>
      <c r="F898" s="122"/>
      <c r="G898" s="122"/>
      <c r="H898" s="122"/>
    </row>
    <row r="899">
      <c r="A899" s="122"/>
      <c r="B899" s="122"/>
      <c r="C899" s="122"/>
      <c r="D899" s="122"/>
      <c r="E899" s="122"/>
      <c r="F899" s="122"/>
      <c r="G899" s="122"/>
      <c r="H899" s="122"/>
    </row>
    <row r="900">
      <c r="A900" s="122"/>
      <c r="B900" s="122"/>
      <c r="C900" s="122"/>
      <c r="D900" s="122"/>
      <c r="E900" s="122"/>
      <c r="F900" s="122"/>
      <c r="G900" s="122"/>
      <c r="H900" s="122"/>
    </row>
    <row r="901">
      <c r="A901" s="122"/>
      <c r="B901" s="122"/>
      <c r="C901" s="122"/>
      <c r="D901" s="122"/>
      <c r="E901" s="122"/>
      <c r="F901" s="122"/>
      <c r="G901" s="122"/>
      <c r="H901" s="122"/>
    </row>
    <row r="902">
      <c r="A902" s="122"/>
      <c r="B902" s="122"/>
      <c r="C902" s="122"/>
      <c r="D902" s="122"/>
      <c r="E902" s="122"/>
      <c r="F902" s="122"/>
      <c r="G902" s="122"/>
      <c r="H902" s="122"/>
    </row>
    <row r="903">
      <c r="A903" s="122"/>
      <c r="B903" s="122"/>
      <c r="C903" s="122"/>
      <c r="D903" s="122"/>
      <c r="E903" s="122"/>
      <c r="F903" s="122"/>
      <c r="G903" s="122"/>
      <c r="H903" s="122"/>
    </row>
    <row r="904">
      <c r="A904" s="122"/>
      <c r="B904" s="122"/>
      <c r="C904" s="122"/>
      <c r="D904" s="122"/>
      <c r="E904" s="122"/>
      <c r="F904" s="122"/>
      <c r="G904" s="122"/>
      <c r="H904" s="122"/>
    </row>
    <row r="905">
      <c r="A905" s="122"/>
      <c r="B905" s="122"/>
      <c r="C905" s="122"/>
      <c r="D905" s="122"/>
      <c r="E905" s="122"/>
      <c r="F905" s="122"/>
      <c r="G905" s="122"/>
      <c r="H905" s="122"/>
    </row>
    <row r="906">
      <c r="A906" s="122"/>
      <c r="B906" s="122"/>
      <c r="C906" s="122"/>
      <c r="D906" s="122"/>
      <c r="E906" s="122"/>
      <c r="F906" s="122"/>
      <c r="G906" s="122"/>
      <c r="H906" s="122"/>
    </row>
    <row r="907">
      <c r="A907" s="122"/>
      <c r="B907" s="122"/>
      <c r="C907" s="122"/>
      <c r="D907" s="122"/>
      <c r="E907" s="122"/>
      <c r="F907" s="122"/>
      <c r="G907" s="122"/>
      <c r="H907" s="122"/>
    </row>
    <row r="908">
      <c r="A908" s="122"/>
      <c r="B908" s="122"/>
      <c r="C908" s="122"/>
      <c r="D908" s="122"/>
      <c r="E908" s="122"/>
      <c r="F908" s="122"/>
      <c r="G908" s="122"/>
      <c r="H908" s="122"/>
    </row>
    <row r="909">
      <c r="A909" s="122"/>
      <c r="B909" s="122"/>
      <c r="C909" s="122"/>
      <c r="D909" s="122"/>
      <c r="E909" s="122"/>
      <c r="F909" s="122"/>
      <c r="G909" s="122"/>
      <c r="H909" s="122"/>
    </row>
    <row r="910">
      <c r="A910" s="122"/>
      <c r="B910" s="122"/>
      <c r="C910" s="122"/>
      <c r="D910" s="122"/>
      <c r="E910" s="122"/>
      <c r="F910" s="122"/>
      <c r="G910" s="122"/>
      <c r="H910" s="122"/>
    </row>
    <row r="911">
      <c r="A911" s="122"/>
      <c r="B911" s="122"/>
      <c r="C911" s="122"/>
      <c r="D911" s="122"/>
      <c r="E911" s="122"/>
      <c r="F911" s="122"/>
      <c r="G911" s="122"/>
      <c r="H911" s="122"/>
    </row>
    <row r="912">
      <c r="A912" s="122"/>
      <c r="B912" s="122"/>
      <c r="C912" s="122"/>
      <c r="D912" s="122"/>
      <c r="E912" s="122"/>
      <c r="F912" s="122"/>
      <c r="G912" s="122"/>
      <c r="H912" s="122"/>
    </row>
    <row r="913">
      <c r="A913" s="122"/>
      <c r="B913" s="122"/>
      <c r="C913" s="122"/>
      <c r="D913" s="122"/>
      <c r="E913" s="122"/>
      <c r="F913" s="122"/>
      <c r="G913" s="122"/>
      <c r="H913" s="122"/>
    </row>
    <row r="914">
      <c r="A914" s="122"/>
      <c r="B914" s="122"/>
      <c r="C914" s="122"/>
      <c r="D914" s="122"/>
      <c r="E914" s="122"/>
      <c r="F914" s="122"/>
      <c r="G914" s="122"/>
      <c r="H914" s="122"/>
    </row>
    <row r="915">
      <c r="A915" s="122"/>
      <c r="B915" s="122"/>
      <c r="C915" s="122"/>
      <c r="D915" s="122"/>
      <c r="E915" s="122"/>
      <c r="F915" s="122"/>
      <c r="G915" s="122"/>
      <c r="H915" s="122"/>
    </row>
    <row r="916">
      <c r="A916" s="122"/>
      <c r="B916" s="122"/>
      <c r="C916" s="122"/>
      <c r="D916" s="122"/>
      <c r="E916" s="122"/>
      <c r="F916" s="122"/>
      <c r="G916" s="122"/>
      <c r="H916" s="122"/>
    </row>
    <row r="917">
      <c r="A917" s="122"/>
      <c r="B917" s="122"/>
      <c r="C917" s="122"/>
      <c r="D917" s="122"/>
      <c r="E917" s="122"/>
      <c r="F917" s="122"/>
      <c r="G917" s="122"/>
      <c r="H917" s="122"/>
    </row>
    <row r="918">
      <c r="A918" s="122"/>
      <c r="B918" s="122"/>
      <c r="C918" s="122"/>
      <c r="D918" s="122"/>
      <c r="E918" s="122"/>
      <c r="F918" s="122"/>
      <c r="G918" s="122"/>
      <c r="H918" s="122"/>
    </row>
    <row r="919">
      <c r="A919" s="122"/>
      <c r="B919" s="122"/>
      <c r="C919" s="122"/>
      <c r="D919" s="122"/>
      <c r="E919" s="122"/>
      <c r="F919" s="122"/>
      <c r="G919" s="122"/>
      <c r="H919" s="122"/>
    </row>
    <row r="920">
      <c r="A920" s="122"/>
      <c r="B920" s="122"/>
      <c r="C920" s="122"/>
      <c r="D920" s="122"/>
      <c r="E920" s="122"/>
      <c r="F920" s="122"/>
      <c r="G920" s="122"/>
      <c r="H920" s="122"/>
    </row>
    <row r="921">
      <c r="A921" s="122"/>
      <c r="B921" s="122"/>
      <c r="C921" s="122"/>
      <c r="D921" s="122"/>
      <c r="E921" s="122"/>
      <c r="F921" s="122"/>
      <c r="G921" s="122"/>
      <c r="H921" s="122"/>
    </row>
    <row r="922">
      <c r="A922" s="122"/>
      <c r="B922" s="122"/>
      <c r="C922" s="122"/>
      <c r="D922" s="122"/>
      <c r="E922" s="122"/>
      <c r="F922" s="122"/>
      <c r="G922" s="122"/>
      <c r="H922" s="122"/>
    </row>
    <row r="923">
      <c r="A923" s="122"/>
      <c r="B923" s="122"/>
      <c r="C923" s="122"/>
      <c r="D923" s="122"/>
      <c r="E923" s="122"/>
      <c r="F923" s="122"/>
      <c r="G923" s="122"/>
      <c r="H923" s="122"/>
    </row>
    <row r="924">
      <c r="A924" s="122"/>
      <c r="B924" s="122"/>
      <c r="C924" s="122"/>
      <c r="D924" s="122"/>
      <c r="E924" s="122"/>
      <c r="F924" s="122"/>
      <c r="G924" s="122"/>
      <c r="H924" s="122"/>
    </row>
    <row r="925">
      <c r="A925" s="122"/>
      <c r="B925" s="122"/>
      <c r="C925" s="122"/>
      <c r="D925" s="122"/>
      <c r="E925" s="122"/>
      <c r="F925" s="122"/>
      <c r="G925" s="122"/>
      <c r="H925" s="122"/>
    </row>
    <row r="926">
      <c r="A926" s="122"/>
      <c r="B926" s="122"/>
      <c r="C926" s="122"/>
      <c r="D926" s="122"/>
      <c r="E926" s="122"/>
      <c r="F926" s="122"/>
      <c r="G926" s="122"/>
      <c r="H926" s="122"/>
    </row>
    <row r="927">
      <c r="A927" s="122"/>
      <c r="B927" s="122"/>
      <c r="C927" s="122"/>
      <c r="D927" s="122"/>
      <c r="E927" s="122"/>
      <c r="F927" s="122"/>
      <c r="G927" s="122"/>
      <c r="H927" s="122"/>
    </row>
    <row r="928">
      <c r="A928" s="122"/>
      <c r="B928" s="122"/>
      <c r="C928" s="122"/>
      <c r="D928" s="122"/>
      <c r="E928" s="122"/>
      <c r="F928" s="122"/>
      <c r="G928" s="122"/>
      <c r="H928" s="122"/>
    </row>
    <row r="929">
      <c r="A929" s="122"/>
      <c r="B929" s="122"/>
      <c r="C929" s="122"/>
      <c r="D929" s="122"/>
      <c r="E929" s="122"/>
      <c r="F929" s="122"/>
      <c r="G929" s="122"/>
      <c r="H929" s="122"/>
    </row>
    <row r="930">
      <c r="A930" s="122"/>
      <c r="B930" s="122"/>
      <c r="C930" s="122"/>
      <c r="D930" s="122"/>
      <c r="E930" s="122"/>
      <c r="F930" s="122"/>
      <c r="G930" s="122"/>
      <c r="H930" s="122"/>
    </row>
    <row r="931">
      <c r="A931" s="122"/>
      <c r="B931" s="122"/>
      <c r="C931" s="122"/>
      <c r="D931" s="122"/>
      <c r="E931" s="122"/>
      <c r="F931" s="122"/>
      <c r="G931" s="122"/>
      <c r="H931" s="122"/>
    </row>
    <row r="932">
      <c r="A932" s="122"/>
      <c r="B932" s="122"/>
      <c r="C932" s="122"/>
      <c r="D932" s="122"/>
      <c r="E932" s="122"/>
      <c r="F932" s="122"/>
      <c r="G932" s="122"/>
      <c r="H932" s="122"/>
    </row>
    <row r="933">
      <c r="A933" s="122"/>
      <c r="B933" s="122"/>
      <c r="C933" s="122"/>
      <c r="D933" s="122"/>
      <c r="E933" s="122"/>
      <c r="F933" s="122"/>
      <c r="G933" s="122"/>
      <c r="H933" s="122"/>
    </row>
    <row r="934">
      <c r="A934" s="122"/>
      <c r="B934" s="122"/>
      <c r="C934" s="122"/>
      <c r="D934" s="122"/>
      <c r="E934" s="122"/>
      <c r="F934" s="122"/>
      <c r="G934" s="122"/>
      <c r="H934" s="122"/>
    </row>
    <row r="935">
      <c r="A935" s="122"/>
      <c r="B935" s="122"/>
      <c r="C935" s="122"/>
      <c r="D935" s="122"/>
      <c r="E935" s="122"/>
      <c r="F935" s="122"/>
      <c r="G935" s="122"/>
      <c r="H935" s="122"/>
    </row>
    <row r="936">
      <c r="A936" s="122"/>
      <c r="B936" s="122"/>
      <c r="C936" s="122"/>
      <c r="D936" s="122"/>
      <c r="E936" s="122"/>
      <c r="F936" s="122"/>
      <c r="G936" s="122"/>
      <c r="H936" s="122"/>
    </row>
    <row r="937">
      <c r="A937" s="122"/>
      <c r="B937" s="122"/>
      <c r="C937" s="122"/>
      <c r="D937" s="122"/>
      <c r="E937" s="122"/>
      <c r="F937" s="122"/>
      <c r="G937" s="122"/>
      <c r="H937" s="122"/>
    </row>
    <row r="938">
      <c r="A938" s="122"/>
      <c r="B938" s="122"/>
      <c r="C938" s="122"/>
      <c r="D938" s="122"/>
      <c r="E938" s="122"/>
      <c r="F938" s="122"/>
      <c r="G938" s="122"/>
      <c r="H938" s="122"/>
    </row>
    <row r="939">
      <c r="A939" s="122"/>
      <c r="B939" s="122"/>
      <c r="C939" s="122"/>
      <c r="D939" s="122"/>
      <c r="E939" s="122"/>
      <c r="F939" s="122"/>
      <c r="G939" s="122"/>
      <c r="H939" s="122"/>
    </row>
    <row r="940">
      <c r="A940" s="122"/>
      <c r="B940" s="122"/>
      <c r="C940" s="122"/>
      <c r="D940" s="122"/>
      <c r="E940" s="122"/>
      <c r="F940" s="122"/>
      <c r="G940" s="122"/>
      <c r="H940" s="122"/>
    </row>
    <row r="941">
      <c r="A941" s="122"/>
      <c r="B941" s="122"/>
      <c r="C941" s="122"/>
      <c r="D941" s="122"/>
      <c r="E941" s="122"/>
      <c r="F941" s="122"/>
      <c r="G941" s="122"/>
      <c r="H941" s="122"/>
    </row>
    <row r="942">
      <c r="A942" s="122"/>
      <c r="B942" s="122"/>
      <c r="C942" s="122"/>
      <c r="D942" s="122"/>
      <c r="E942" s="122"/>
      <c r="F942" s="122"/>
      <c r="G942" s="122"/>
      <c r="H942" s="122"/>
    </row>
    <row r="943">
      <c r="A943" s="122"/>
      <c r="B943" s="122"/>
      <c r="C943" s="122"/>
      <c r="D943" s="122"/>
      <c r="E943" s="122"/>
      <c r="F943" s="122"/>
      <c r="G943" s="122"/>
      <c r="H943" s="122"/>
    </row>
    <row r="944">
      <c r="A944" s="122"/>
      <c r="B944" s="122"/>
      <c r="C944" s="122"/>
      <c r="D944" s="122"/>
      <c r="E944" s="122"/>
      <c r="F944" s="122"/>
      <c r="G944" s="122"/>
      <c r="H944" s="122"/>
    </row>
    <row r="945">
      <c r="A945" s="122"/>
      <c r="B945" s="122"/>
      <c r="C945" s="122"/>
      <c r="D945" s="122"/>
      <c r="E945" s="122"/>
      <c r="F945" s="122"/>
      <c r="G945" s="122"/>
      <c r="H945" s="122"/>
    </row>
    <row r="946">
      <c r="A946" s="122"/>
      <c r="B946" s="122"/>
      <c r="C946" s="122"/>
      <c r="D946" s="122"/>
      <c r="E946" s="122"/>
      <c r="F946" s="122"/>
      <c r="G946" s="122"/>
      <c r="H946" s="122"/>
    </row>
    <row r="947">
      <c r="A947" s="122"/>
      <c r="B947" s="122"/>
      <c r="C947" s="122"/>
      <c r="D947" s="122"/>
      <c r="E947" s="122"/>
      <c r="F947" s="122"/>
      <c r="G947" s="122"/>
      <c r="H947" s="122"/>
    </row>
    <row r="948">
      <c r="A948" s="122"/>
      <c r="B948" s="122"/>
      <c r="C948" s="122"/>
      <c r="D948" s="122"/>
      <c r="E948" s="122"/>
      <c r="F948" s="122"/>
      <c r="G948" s="122"/>
      <c r="H948" s="122"/>
    </row>
    <row r="949">
      <c r="A949" s="122"/>
      <c r="B949" s="122"/>
      <c r="C949" s="122"/>
      <c r="D949" s="122"/>
      <c r="E949" s="122"/>
      <c r="F949" s="122"/>
      <c r="G949" s="122"/>
      <c r="H949" s="122"/>
    </row>
    <row r="950">
      <c r="A950" s="122"/>
      <c r="B950" s="122"/>
      <c r="C950" s="122"/>
      <c r="D950" s="122"/>
      <c r="E950" s="122"/>
      <c r="F950" s="122"/>
      <c r="G950" s="122"/>
      <c r="H950" s="122"/>
    </row>
    <row r="951">
      <c r="A951" s="122"/>
      <c r="B951" s="122"/>
      <c r="C951" s="122"/>
      <c r="D951" s="122"/>
      <c r="E951" s="122"/>
      <c r="F951" s="122"/>
      <c r="G951" s="122"/>
      <c r="H951" s="122"/>
    </row>
    <row r="952">
      <c r="A952" s="122"/>
      <c r="B952" s="122"/>
      <c r="C952" s="122"/>
      <c r="D952" s="122"/>
      <c r="E952" s="122"/>
      <c r="F952" s="122"/>
      <c r="G952" s="122"/>
      <c r="H952" s="122"/>
    </row>
    <row r="953">
      <c r="A953" s="122"/>
      <c r="B953" s="122"/>
      <c r="C953" s="122"/>
      <c r="D953" s="122"/>
      <c r="E953" s="122"/>
      <c r="F953" s="122"/>
      <c r="G953" s="122"/>
      <c r="H953" s="122"/>
    </row>
    <row r="954">
      <c r="A954" s="122"/>
      <c r="B954" s="122"/>
      <c r="C954" s="122"/>
      <c r="D954" s="122"/>
      <c r="E954" s="122"/>
      <c r="F954" s="122"/>
      <c r="G954" s="122"/>
      <c r="H954" s="122"/>
    </row>
    <row r="955">
      <c r="A955" s="122"/>
      <c r="B955" s="122"/>
      <c r="C955" s="122"/>
      <c r="D955" s="122"/>
      <c r="E955" s="122"/>
      <c r="F955" s="122"/>
      <c r="G955" s="122"/>
      <c r="H955" s="122"/>
    </row>
    <row r="956">
      <c r="A956" s="122"/>
      <c r="B956" s="122"/>
      <c r="C956" s="122"/>
      <c r="D956" s="122"/>
      <c r="E956" s="122"/>
      <c r="F956" s="122"/>
      <c r="G956" s="122"/>
      <c r="H956" s="122"/>
    </row>
    <row r="957">
      <c r="A957" s="122"/>
      <c r="B957" s="122"/>
      <c r="C957" s="122"/>
      <c r="D957" s="122"/>
      <c r="E957" s="122"/>
      <c r="F957" s="122"/>
      <c r="G957" s="122"/>
      <c r="H957" s="122"/>
    </row>
    <row r="958">
      <c r="A958" s="122"/>
      <c r="B958" s="122"/>
      <c r="C958" s="122"/>
      <c r="D958" s="122"/>
      <c r="E958" s="122"/>
      <c r="F958" s="122"/>
      <c r="G958" s="122"/>
      <c r="H958" s="122"/>
    </row>
    <row r="959">
      <c r="A959" s="122"/>
      <c r="B959" s="122"/>
      <c r="C959" s="122"/>
      <c r="D959" s="122"/>
      <c r="E959" s="122"/>
      <c r="F959" s="122"/>
      <c r="G959" s="122"/>
      <c r="H959" s="122"/>
    </row>
    <row r="960">
      <c r="A960" s="122"/>
      <c r="B960" s="122"/>
      <c r="C960" s="122"/>
      <c r="D960" s="122"/>
      <c r="E960" s="122"/>
      <c r="F960" s="122"/>
      <c r="G960" s="122"/>
      <c r="H960" s="122"/>
    </row>
    <row r="961">
      <c r="A961" s="122"/>
      <c r="B961" s="122"/>
      <c r="C961" s="122"/>
      <c r="D961" s="122"/>
      <c r="E961" s="122"/>
      <c r="F961" s="122"/>
      <c r="G961" s="122"/>
      <c r="H961" s="122"/>
    </row>
    <row r="962">
      <c r="A962" s="122"/>
      <c r="B962" s="122"/>
      <c r="C962" s="122"/>
      <c r="D962" s="122"/>
      <c r="E962" s="122"/>
      <c r="F962" s="122"/>
      <c r="G962" s="122"/>
      <c r="H962" s="122"/>
    </row>
    <row r="963">
      <c r="A963" s="122"/>
      <c r="B963" s="122"/>
      <c r="C963" s="122"/>
      <c r="D963" s="122"/>
      <c r="E963" s="122"/>
      <c r="F963" s="122"/>
      <c r="G963" s="122"/>
      <c r="H963" s="122"/>
    </row>
    <row r="964">
      <c r="A964" s="122"/>
      <c r="B964" s="122"/>
      <c r="C964" s="122"/>
      <c r="D964" s="122"/>
      <c r="E964" s="122"/>
      <c r="F964" s="122"/>
      <c r="G964" s="122"/>
      <c r="H964" s="122"/>
    </row>
    <row r="965">
      <c r="A965" s="122"/>
      <c r="B965" s="122"/>
      <c r="C965" s="122"/>
      <c r="D965" s="122"/>
      <c r="E965" s="122"/>
      <c r="F965" s="122"/>
      <c r="G965" s="122"/>
      <c r="H965" s="122"/>
    </row>
    <row r="966">
      <c r="A966" s="122"/>
      <c r="B966" s="122"/>
      <c r="C966" s="122"/>
      <c r="D966" s="122"/>
      <c r="E966" s="122"/>
      <c r="F966" s="122"/>
      <c r="G966" s="122"/>
      <c r="H966" s="122"/>
    </row>
    <row r="967">
      <c r="A967" s="122"/>
      <c r="B967" s="122"/>
      <c r="C967" s="122"/>
      <c r="D967" s="122"/>
      <c r="E967" s="122"/>
      <c r="F967" s="122"/>
      <c r="G967" s="122"/>
      <c r="H967" s="122"/>
    </row>
    <row r="968">
      <c r="A968" s="122"/>
      <c r="B968" s="122"/>
      <c r="C968" s="122"/>
      <c r="D968" s="122"/>
      <c r="E968" s="122"/>
      <c r="F968" s="122"/>
      <c r="G968" s="122"/>
      <c r="H968" s="122"/>
    </row>
    <row r="969">
      <c r="A969" s="122"/>
      <c r="B969" s="122"/>
      <c r="C969" s="122"/>
      <c r="D969" s="122"/>
      <c r="E969" s="122"/>
      <c r="F969" s="122"/>
      <c r="G969" s="122"/>
      <c r="H969" s="122"/>
    </row>
    <row r="970">
      <c r="A970" s="122"/>
      <c r="B970" s="122"/>
      <c r="C970" s="122"/>
      <c r="D970" s="122"/>
      <c r="E970" s="122"/>
      <c r="F970" s="122"/>
      <c r="G970" s="122"/>
      <c r="H970" s="122"/>
    </row>
    <row r="971">
      <c r="A971" s="122"/>
      <c r="B971" s="122"/>
      <c r="C971" s="122"/>
      <c r="D971" s="122"/>
      <c r="E971" s="122"/>
      <c r="F971" s="122"/>
      <c r="G971" s="122"/>
      <c r="H971" s="122"/>
    </row>
    <row r="972">
      <c r="A972" s="122"/>
      <c r="B972" s="122"/>
      <c r="C972" s="122"/>
      <c r="D972" s="122"/>
      <c r="E972" s="122"/>
      <c r="F972" s="122"/>
      <c r="G972" s="122"/>
      <c r="H972" s="122"/>
    </row>
    <row r="973">
      <c r="A973" s="122"/>
      <c r="B973" s="122"/>
      <c r="C973" s="122"/>
      <c r="D973" s="122"/>
      <c r="E973" s="122"/>
      <c r="F973" s="122"/>
      <c r="G973" s="122"/>
      <c r="H973" s="122"/>
    </row>
    <row r="974">
      <c r="A974" s="122"/>
      <c r="B974" s="122"/>
      <c r="C974" s="122"/>
      <c r="D974" s="122"/>
      <c r="E974" s="122"/>
      <c r="F974" s="122"/>
      <c r="G974" s="122"/>
      <c r="H974" s="122"/>
    </row>
    <row r="975">
      <c r="A975" s="122"/>
      <c r="B975" s="122"/>
      <c r="C975" s="122"/>
      <c r="D975" s="122"/>
      <c r="E975" s="122"/>
      <c r="F975" s="122"/>
      <c r="G975" s="122"/>
      <c r="H975" s="122"/>
    </row>
    <row r="976">
      <c r="A976" s="122"/>
      <c r="B976" s="122"/>
      <c r="C976" s="122"/>
      <c r="D976" s="122"/>
      <c r="E976" s="122"/>
      <c r="F976" s="122"/>
      <c r="G976" s="122"/>
      <c r="H976" s="122"/>
    </row>
    <row r="977">
      <c r="A977" s="122"/>
      <c r="B977" s="122"/>
      <c r="C977" s="122"/>
      <c r="D977" s="122"/>
      <c r="E977" s="122"/>
      <c r="F977" s="122"/>
      <c r="G977" s="122"/>
      <c r="H977" s="122"/>
    </row>
    <row r="978">
      <c r="A978" s="122"/>
      <c r="B978" s="122"/>
      <c r="C978" s="122"/>
      <c r="D978" s="122"/>
      <c r="E978" s="122"/>
      <c r="F978" s="122"/>
      <c r="G978" s="122"/>
      <c r="H978" s="122"/>
    </row>
    <row r="979">
      <c r="A979" s="122"/>
      <c r="B979" s="122"/>
      <c r="C979" s="122"/>
      <c r="D979" s="122"/>
      <c r="E979" s="122"/>
      <c r="F979" s="122"/>
      <c r="G979" s="122"/>
      <c r="H979" s="122"/>
    </row>
    <row r="980">
      <c r="A980" s="122"/>
      <c r="B980" s="122"/>
      <c r="C980" s="122"/>
      <c r="D980" s="122"/>
      <c r="E980" s="122"/>
      <c r="F980" s="122"/>
      <c r="G980" s="122"/>
      <c r="H980" s="122"/>
    </row>
    <row r="981">
      <c r="A981" s="122"/>
      <c r="B981" s="122"/>
      <c r="C981" s="122"/>
      <c r="D981" s="122"/>
      <c r="E981" s="122"/>
      <c r="F981" s="122"/>
      <c r="G981" s="122"/>
      <c r="H981" s="122"/>
    </row>
    <row r="982">
      <c r="A982" s="122"/>
      <c r="B982" s="122"/>
      <c r="C982" s="122"/>
      <c r="D982" s="122"/>
      <c r="E982" s="122"/>
      <c r="F982" s="122"/>
      <c r="G982" s="122"/>
      <c r="H982" s="122"/>
    </row>
    <row r="983">
      <c r="A983" s="122"/>
      <c r="B983" s="122"/>
      <c r="C983" s="122"/>
      <c r="D983" s="122"/>
      <c r="E983" s="122"/>
      <c r="F983" s="122"/>
      <c r="G983" s="122"/>
      <c r="H983" s="122"/>
    </row>
    <row r="984">
      <c r="A984" s="122"/>
      <c r="B984" s="122"/>
      <c r="C984" s="122"/>
      <c r="D984" s="122"/>
      <c r="E984" s="122"/>
      <c r="F984" s="122"/>
      <c r="G984" s="122"/>
      <c r="H984" s="122"/>
    </row>
    <row r="985">
      <c r="A985" s="122"/>
      <c r="B985" s="122"/>
      <c r="C985" s="122"/>
      <c r="D985" s="122"/>
      <c r="E985" s="122"/>
      <c r="F985" s="122"/>
      <c r="G985" s="122"/>
      <c r="H985" s="122"/>
    </row>
    <row r="986">
      <c r="A986" s="122"/>
      <c r="B986" s="122"/>
      <c r="C986" s="122"/>
      <c r="D986" s="122"/>
      <c r="E986" s="122"/>
      <c r="F986" s="122"/>
      <c r="G986" s="122"/>
      <c r="H986" s="122"/>
    </row>
    <row r="987">
      <c r="A987" s="122"/>
      <c r="B987" s="122"/>
      <c r="C987" s="122"/>
      <c r="D987" s="122"/>
      <c r="E987" s="122"/>
      <c r="F987" s="122"/>
      <c r="G987" s="122"/>
      <c r="H987" s="122"/>
    </row>
    <row r="988">
      <c r="A988" s="122"/>
      <c r="B988" s="122"/>
      <c r="C988" s="122"/>
      <c r="D988" s="122"/>
      <c r="E988" s="122"/>
      <c r="F988" s="122"/>
      <c r="G988" s="122"/>
      <c r="H988" s="122"/>
    </row>
    <row r="989">
      <c r="A989" s="122"/>
      <c r="B989" s="122"/>
      <c r="C989" s="122"/>
      <c r="D989" s="122"/>
      <c r="E989" s="122"/>
      <c r="F989" s="122"/>
      <c r="G989" s="122"/>
      <c r="H989" s="122"/>
    </row>
    <row r="990">
      <c r="A990" s="122"/>
      <c r="B990" s="122"/>
      <c r="C990" s="122"/>
      <c r="D990" s="122"/>
      <c r="E990" s="122"/>
      <c r="F990" s="122"/>
      <c r="G990" s="122"/>
      <c r="H990" s="122"/>
    </row>
    <row r="991">
      <c r="A991" s="122"/>
      <c r="B991" s="122"/>
      <c r="C991" s="122"/>
      <c r="D991" s="122"/>
      <c r="E991" s="122"/>
      <c r="F991" s="122"/>
      <c r="G991" s="122"/>
      <c r="H991" s="122"/>
    </row>
    <row r="992">
      <c r="A992" s="122"/>
      <c r="B992" s="122"/>
      <c r="C992" s="122"/>
      <c r="D992" s="122"/>
      <c r="E992" s="122"/>
      <c r="F992" s="122"/>
      <c r="G992" s="122"/>
      <c r="H992" s="122"/>
    </row>
    <row r="993">
      <c r="A993" s="122"/>
      <c r="B993" s="122"/>
      <c r="C993" s="122"/>
      <c r="D993" s="122"/>
      <c r="E993" s="122"/>
      <c r="F993" s="122"/>
      <c r="G993" s="122"/>
      <c r="H993" s="122"/>
    </row>
    <row r="994">
      <c r="A994" s="122"/>
      <c r="B994" s="122"/>
      <c r="C994" s="122"/>
      <c r="D994" s="122"/>
      <c r="E994" s="122"/>
      <c r="F994" s="122"/>
      <c r="G994" s="122"/>
      <c r="H994" s="122"/>
    </row>
    <row r="995">
      <c r="A995" s="122"/>
      <c r="B995" s="122"/>
      <c r="C995" s="122"/>
      <c r="D995" s="122"/>
      <c r="E995" s="122"/>
      <c r="F995" s="122"/>
      <c r="G995" s="122"/>
      <c r="H995" s="122"/>
    </row>
    <row r="996">
      <c r="A996" s="122"/>
      <c r="B996" s="122"/>
      <c r="C996" s="122"/>
      <c r="D996" s="122"/>
      <c r="E996" s="122"/>
      <c r="F996" s="122"/>
      <c r="G996" s="122"/>
      <c r="H996" s="122"/>
    </row>
    <row r="997">
      <c r="A997" s="122"/>
      <c r="B997" s="122"/>
      <c r="C997" s="122"/>
      <c r="D997" s="122"/>
      <c r="E997" s="122"/>
      <c r="F997" s="122"/>
      <c r="G997" s="122"/>
      <c r="H997" s="122"/>
    </row>
    <row r="998">
      <c r="A998" s="122"/>
      <c r="B998" s="122"/>
      <c r="C998" s="122"/>
      <c r="D998" s="122"/>
      <c r="E998" s="122"/>
      <c r="F998" s="122"/>
      <c r="G998" s="122"/>
      <c r="H998" s="122"/>
    </row>
    <row r="999">
      <c r="A999" s="122"/>
      <c r="B999" s="122"/>
      <c r="C999" s="122"/>
      <c r="D999" s="122"/>
      <c r="E999" s="122"/>
      <c r="F999" s="122"/>
      <c r="G999" s="122"/>
      <c r="H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</row>
  </sheetData>
  <drawing r:id="rId1"/>
</worksheet>
</file>